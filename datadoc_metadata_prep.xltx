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04"/>
  <workbookPr defaultThemeVersion="124226"/>
  <mc:AlternateContent xmlns:mc="http://schemas.openxmlformats.org/markup-compatibility/2006">
    <mc:Choice Requires="x15">
      <x15ac:absPath xmlns:x15ac="http://schemas.microsoft.com/office/spreadsheetml/2010/11/ac" url="/Users/elpus/Library/CloudStorage/Dropbox/Ken's Dropbox/Stata Dev Projects/datadoc-priv/"/>
    </mc:Choice>
  </mc:AlternateContent>
  <xr:revisionPtr revIDLastSave="0" documentId="8_{956852AE-CA67-FF42-8DA6-672549CD573F}" xr6:coauthVersionLast="47" xr6:coauthVersionMax="47" xr10:uidLastSave="{00000000-0000-0000-0000-000000000000}"/>
  <bookViews>
    <workbookView xWindow="1580" yWindow="780" windowWidth="32060" windowHeight="21360" xr2:uid="{00000000-000D-0000-FFFF-FFFF00000000}"/>
  </bookViews>
  <sheets>
    <sheet name="Input" sheetId="1" r:id="rId1"/>
    <sheet name="Stata do-file commands" sheetId="2" r:id="rId2"/>
  </sheets>
  <definedNames>
    <definedName name="_xlnm._FilterDatabase" localSheetId="0" hidden="1">Input!$A$19:$J$1019</definedName>
    <definedName name="_xlnm.Print_Area" localSheetId="0">Input!$A$19:$J$1019</definedName>
    <definedName name="_xlnm.Print_Area" localSheetId="1">'Stata do-file commands'!$A$1:$A$9008</definedName>
    <definedName name="_xlnm.Print_Titles" localSheetId="0">Input!$19:$19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019" i="1" l="1"/>
  <c r="B9008" i="2" s="1"/>
  <c r="S1019" i="1"/>
  <c r="B9007" i="2" s="1"/>
  <c r="R1019" i="1"/>
  <c r="B9006" i="2" s="1"/>
  <c r="Q1019" i="1"/>
  <c r="B9005" i="2" s="1"/>
  <c r="P1019" i="1"/>
  <c r="B9004" i="2" s="1"/>
  <c r="O1019" i="1"/>
  <c r="B9003" i="2" s="1"/>
  <c r="N1019" i="1"/>
  <c r="B9002" i="2" s="1"/>
  <c r="M1019" i="1"/>
  <c r="L1019" i="1"/>
  <c r="B9000" i="2" s="1"/>
  <c r="K1019" i="1"/>
  <c r="T1018" i="1"/>
  <c r="B8999" i="2" s="1"/>
  <c r="S1018" i="1"/>
  <c r="B8998" i="2" s="1"/>
  <c r="R1018" i="1"/>
  <c r="B8997" i="2" s="1"/>
  <c r="Q1018" i="1"/>
  <c r="B8996" i="2" s="1"/>
  <c r="P1018" i="1"/>
  <c r="B8995" i="2" s="1"/>
  <c r="O1018" i="1"/>
  <c r="B8994" i="2" s="1"/>
  <c r="N1018" i="1"/>
  <c r="B8993" i="2" s="1"/>
  <c r="M1018" i="1"/>
  <c r="B8992" i="2" s="1"/>
  <c r="L1018" i="1"/>
  <c r="T1017" i="1"/>
  <c r="B8990" i="2" s="1"/>
  <c r="S1017" i="1"/>
  <c r="B8989" i="2" s="1"/>
  <c r="R1017" i="1"/>
  <c r="B8988" i="2" s="1"/>
  <c r="Q1017" i="1"/>
  <c r="B8987" i="2" s="1"/>
  <c r="P1017" i="1"/>
  <c r="B8986" i="2" s="1"/>
  <c r="O1017" i="1"/>
  <c r="B8985" i="2" s="1"/>
  <c r="N1017" i="1"/>
  <c r="B8984" i="2" s="1"/>
  <c r="M1017" i="1"/>
  <c r="B8983" i="2" s="1"/>
  <c r="L1017" i="1"/>
  <c r="B8982" i="2" s="1"/>
  <c r="T1016" i="1"/>
  <c r="B8981" i="2" s="1"/>
  <c r="S1016" i="1"/>
  <c r="B8980" i="2" s="1"/>
  <c r="R1016" i="1"/>
  <c r="B8979" i="2" s="1"/>
  <c r="Q1016" i="1"/>
  <c r="B8978" i="2" s="1"/>
  <c r="P1016" i="1"/>
  <c r="B8977" i="2" s="1"/>
  <c r="O1016" i="1"/>
  <c r="B8976" i="2" s="1"/>
  <c r="N1016" i="1"/>
  <c r="B8975" i="2" s="1"/>
  <c r="M1016" i="1"/>
  <c r="B8974" i="2" s="1"/>
  <c r="L1016" i="1"/>
  <c r="B8973" i="2" s="1"/>
  <c r="T1015" i="1"/>
  <c r="B8972" i="2" s="1"/>
  <c r="S1015" i="1"/>
  <c r="B8971" i="2" s="1"/>
  <c r="R1015" i="1"/>
  <c r="B8970" i="2" s="1"/>
  <c r="Q1015" i="1"/>
  <c r="B8969" i="2" s="1"/>
  <c r="P1015" i="1"/>
  <c r="B8968" i="2" s="1"/>
  <c r="O1015" i="1"/>
  <c r="B8967" i="2" s="1"/>
  <c r="N1015" i="1"/>
  <c r="B8966" i="2" s="1"/>
  <c r="M1015" i="1"/>
  <c r="B8965" i="2" s="1"/>
  <c r="L1015" i="1"/>
  <c r="B8964" i="2" s="1"/>
  <c r="T1014" i="1"/>
  <c r="B8963" i="2" s="1"/>
  <c r="S1014" i="1"/>
  <c r="B8962" i="2" s="1"/>
  <c r="R1014" i="1"/>
  <c r="B8961" i="2" s="1"/>
  <c r="Q1014" i="1"/>
  <c r="B8960" i="2" s="1"/>
  <c r="P1014" i="1"/>
  <c r="B8959" i="2" s="1"/>
  <c r="O1014" i="1"/>
  <c r="B8958" i="2" s="1"/>
  <c r="N1014" i="1"/>
  <c r="B8957" i="2" s="1"/>
  <c r="M1014" i="1"/>
  <c r="B8956" i="2" s="1"/>
  <c r="L1014" i="1"/>
  <c r="B8955" i="2" s="1"/>
  <c r="T1013" i="1"/>
  <c r="B8954" i="2" s="1"/>
  <c r="S1013" i="1"/>
  <c r="B8953" i="2" s="1"/>
  <c r="R1013" i="1"/>
  <c r="B8952" i="2" s="1"/>
  <c r="Q1013" i="1"/>
  <c r="B8951" i="2" s="1"/>
  <c r="P1013" i="1"/>
  <c r="B8950" i="2" s="1"/>
  <c r="O1013" i="1"/>
  <c r="B8949" i="2" s="1"/>
  <c r="N1013" i="1"/>
  <c r="B8948" i="2" s="1"/>
  <c r="M1013" i="1"/>
  <c r="B8947" i="2" s="1"/>
  <c r="L1013" i="1"/>
  <c r="B8946" i="2" s="1"/>
  <c r="T1012" i="1"/>
  <c r="B8945" i="2" s="1"/>
  <c r="S1012" i="1"/>
  <c r="B8944" i="2" s="1"/>
  <c r="R1012" i="1"/>
  <c r="B8943" i="2" s="1"/>
  <c r="Q1012" i="1"/>
  <c r="B8942" i="2" s="1"/>
  <c r="P1012" i="1"/>
  <c r="B8941" i="2" s="1"/>
  <c r="O1012" i="1"/>
  <c r="B8940" i="2" s="1"/>
  <c r="N1012" i="1"/>
  <c r="B8939" i="2" s="1"/>
  <c r="M1012" i="1"/>
  <c r="B8938" i="2" s="1"/>
  <c r="L1012" i="1"/>
  <c r="B8937" i="2" s="1"/>
  <c r="K1012" i="1"/>
  <c r="T1011" i="1"/>
  <c r="B8936" i="2" s="1"/>
  <c r="S1011" i="1"/>
  <c r="B8935" i="2" s="1"/>
  <c r="R1011" i="1"/>
  <c r="B8934" i="2" s="1"/>
  <c r="Q1011" i="1"/>
  <c r="B8933" i="2" s="1"/>
  <c r="P1011" i="1"/>
  <c r="B8932" i="2" s="1"/>
  <c r="O1011" i="1"/>
  <c r="B8931" i="2" s="1"/>
  <c r="N1011" i="1"/>
  <c r="B8930" i="2" s="1"/>
  <c r="M1011" i="1"/>
  <c r="B8929" i="2" s="1"/>
  <c r="L1011" i="1"/>
  <c r="B8928" i="2" s="1"/>
  <c r="T1010" i="1"/>
  <c r="B8927" i="2" s="1"/>
  <c r="S1010" i="1"/>
  <c r="B8926" i="2" s="1"/>
  <c r="R1010" i="1"/>
  <c r="B8925" i="2" s="1"/>
  <c r="Q1010" i="1"/>
  <c r="B8924" i="2" s="1"/>
  <c r="P1010" i="1"/>
  <c r="B8923" i="2" s="1"/>
  <c r="O1010" i="1"/>
  <c r="B8922" i="2" s="1"/>
  <c r="N1010" i="1"/>
  <c r="B8921" i="2" s="1"/>
  <c r="M1010" i="1"/>
  <c r="B8920" i="2" s="1"/>
  <c r="L1010" i="1"/>
  <c r="B8919" i="2" s="1"/>
  <c r="T1009" i="1"/>
  <c r="B8918" i="2" s="1"/>
  <c r="S1009" i="1"/>
  <c r="B8917" i="2" s="1"/>
  <c r="R1009" i="1"/>
  <c r="B8916" i="2" s="1"/>
  <c r="Q1009" i="1"/>
  <c r="B8915" i="2" s="1"/>
  <c r="P1009" i="1"/>
  <c r="B8914" i="2" s="1"/>
  <c r="O1009" i="1"/>
  <c r="B8913" i="2" s="1"/>
  <c r="N1009" i="1"/>
  <c r="B8912" i="2" s="1"/>
  <c r="M1009" i="1"/>
  <c r="B8911" i="2" s="1"/>
  <c r="L1009" i="1"/>
  <c r="B8910" i="2" s="1"/>
  <c r="T1008" i="1"/>
  <c r="B8909" i="2" s="1"/>
  <c r="S1008" i="1"/>
  <c r="B8908" i="2" s="1"/>
  <c r="R1008" i="1"/>
  <c r="B8907" i="2" s="1"/>
  <c r="Q1008" i="1"/>
  <c r="B8906" i="2" s="1"/>
  <c r="P1008" i="1"/>
  <c r="B8905" i="2" s="1"/>
  <c r="O1008" i="1"/>
  <c r="B8904" i="2" s="1"/>
  <c r="N1008" i="1"/>
  <c r="B8903" i="2" s="1"/>
  <c r="M1008" i="1"/>
  <c r="B8902" i="2" s="1"/>
  <c r="L1008" i="1"/>
  <c r="B8901" i="2" s="1"/>
  <c r="T1007" i="1"/>
  <c r="B8900" i="2" s="1"/>
  <c r="S1007" i="1"/>
  <c r="B8899" i="2" s="1"/>
  <c r="R1007" i="1"/>
  <c r="B8898" i="2" s="1"/>
  <c r="Q1007" i="1"/>
  <c r="B8897" i="2" s="1"/>
  <c r="P1007" i="1"/>
  <c r="B8896" i="2" s="1"/>
  <c r="O1007" i="1"/>
  <c r="B8895" i="2" s="1"/>
  <c r="N1007" i="1"/>
  <c r="B8894" i="2" s="1"/>
  <c r="M1007" i="1"/>
  <c r="B8893" i="2" s="1"/>
  <c r="L1007" i="1"/>
  <c r="B8892" i="2" s="1"/>
  <c r="T1006" i="1"/>
  <c r="B8891" i="2" s="1"/>
  <c r="S1006" i="1"/>
  <c r="B8890" i="2" s="1"/>
  <c r="R1006" i="1"/>
  <c r="B8889" i="2" s="1"/>
  <c r="Q1006" i="1"/>
  <c r="B8888" i="2" s="1"/>
  <c r="P1006" i="1"/>
  <c r="B8887" i="2" s="1"/>
  <c r="O1006" i="1"/>
  <c r="B8886" i="2" s="1"/>
  <c r="N1006" i="1"/>
  <c r="B8885" i="2" s="1"/>
  <c r="M1006" i="1"/>
  <c r="B8884" i="2" s="1"/>
  <c r="L1006" i="1"/>
  <c r="B8883" i="2" s="1"/>
  <c r="U1005" i="1"/>
  <c r="T1005" i="1"/>
  <c r="B8882" i="2" s="1"/>
  <c r="S1005" i="1"/>
  <c r="B8881" i="2" s="1"/>
  <c r="R1005" i="1"/>
  <c r="B8880" i="2" s="1"/>
  <c r="Q1005" i="1"/>
  <c r="B8879" i="2" s="1"/>
  <c r="P1005" i="1"/>
  <c r="B8878" i="2" s="1"/>
  <c r="O1005" i="1"/>
  <c r="B8877" i="2" s="1"/>
  <c r="N1005" i="1"/>
  <c r="B8876" i="2" s="1"/>
  <c r="M1005" i="1"/>
  <c r="B8875" i="2" s="1"/>
  <c r="L1005" i="1"/>
  <c r="B8874" i="2" s="1"/>
  <c r="T1004" i="1"/>
  <c r="B8873" i="2" s="1"/>
  <c r="S1004" i="1"/>
  <c r="B8872" i="2" s="1"/>
  <c r="R1004" i="1"/>
  <c r="B8871" i="2" s="1"/>
  <c r="Q1004" i="1"/>
  <c r="B8870" i="2" s="1"/>
  <c r="P1004" i="1"/>
  <c r="B8869" i="2" s="1"/>
  <c r="O1004" i="1"/>
  <c r="B8868" i="2" s="1"/>
  <c r="N1004" i="1"/>
  <c r="B8867" i="2" s="1"/>
  <c r="M1004" i="1"/>
  <c r="B8866" i="2" s="1"/>
  <c r="L1004" i="1"/>
  <c r="B8865" i="2" s="1"/>
  <c r="T1003" i="1"/>
  <c r="B8864" i="2" s="1"/>
  <c r="S1003" i="1"/>
  <c r="B8863" i="2" s="1"/>
  <c r="R1003" i="1"/>
  <c r="B8862" i="2" s="1"/>
  <c r="Q1003" i="1"/>
  <c r="B8861" i="2" s="1"/>
  <c r="P1003" i="1"/>
  <c r="B8860" i="2" s="1"/>
  <c r="O1003" i="1"/>
  <c r="B8859" i="2" s="1"/>
  <c r="N1003" i="1"/>
  <c r="B8858" i="2" s="1"/>
  <c r="M1003" i="1"/>
  <c r="B8857" i="2" s="1"/>
  <c r="L1003" i="1"/>
  <c r="B8856" i="2" s="1"/>
  <c r="K1003" i="1"/>
  <c r="T1002" i="1"/>
  <c r="B8855" i="2" s="1"/>
  <c r="S1002" i="1"/>
  <c r="B8854" i="2" s="1"/>
  <c r="R1002" i="1"/>
  <c r="B8853" i="2" s="1"/>
  <c r="Q1002" i="1"/>
  <c r="B8852" i="2" s="1"/>
  <c r="P1002" i="1"/>
  <c r="B8851" i="2" s="1"/>
  <c r="O1002" i="1"/>
  <c r="B8850" i="2" s="1"/>
  <c r="N1002" i="1"/>
  <c r="B8849" i="2" s="1"/>
  <c r="M1002" i="1"/>
  <c r="B8848" i="2" s="1"/>
  <c r="L1002" i="1"/>
  <c r="B8847" i="2" s="1"/>
  <c r="T1001" i="1"/>
  <c r="B8846" i="2" s="1"/>
  <c r="S1001" i="1"/>
  <c r="B8845" i="2" s="1"/>
  <c r="R1001" i="1"/>
  <c r="B8844" i="2" s="1"/>
  <c r="Q1001" i="1"/>
  <c r="B8843" i="2" s="1"/>
  <c r="P1001" i="1"/>
  <c r="B8842" i="2" s="1"/>
  <c r="O1001" i="1"/>
  <c r="B8841" i="2" s="1"/>
  <c r="N1001" i="1"/>
  <c r="B8840" i="2" s="1"/>
  <c r="M1001" i="1"/>
  <c r="B8839" i="2" s="1"/>
  <c r="L1001" i="1"/>
  <c r="B8838" i="2" s="1"/>
  <c r="T1000" i="1"/>
  <c r="B8837" i="2" s="1"/>
  <c r="S1000" i="1"/>
  <c r="B8836" i="2" s="1"/>
  <c r="R1000" i="1"/>
  <c r="B8835" i="2" s="1"/>
  <c r="Q1000" i="1"/>
  <c r="B8834" i="2" s="1"/>
  <c r="P1000" i="1"/>
  <c r="B8833" i="2" s="1"/>
  <c r="O1000" i="1"/>
  <c r="B8832" i="2" s="1"/>
  <c r="N1000" i="1"/>
  <c r="B8831" i="2" s="1"/>
  <c r="M1000" i="1"/>
  <c r="B8830" i="2" s="1"/>
  <c r="L1000" i="1"/>
  <c r="B8829" i="2" s="1"/>
  <c r="T999" i="1"/>
  <c r="B8828" i="2" s="1"/>
  <c r="S999" i="1"/>
  <c r="B8827" i="2" s="1"/>
  <c r="R999" i="1"/>
  <c r="B8826" i="2" s="1"/>
  <c r="Q999" i="1"/>
  <c r="B8825" i="2" s="1"/>
  <c r="P999" i="1"/>
  <c r="B8824" i="2" s="1"/>
  <c r="O999" i="1"/>
  <c r="B8823" i="2" s="1"/>
  <c r="N999" i="1"/>
  <c r="B8822" i="2" s="1"/>
  <c r="M999" i="1"/>
  <c r="B8821" i="2" s="1"/>
  <c r="L999" i="1"/>
  <c r="B8820" i="2" s="1"/>
  <c r="T998" i="1"/>
  <c r="B8819" i="2" s="1"/>
  <c r="S998" i="1"/>
  <c r="B8818" i="2" s="1"/>
  <c r="R998" i="1"/>
  <c r="B8817" i="2" s="1"/>
  <c r="Q998" i="1"/>
  <c r="B8816" i="2" s="1"/>
  <c r="P998" i="1"/>
  <c r="B8815" i="2" s="1"/>
  <c r="O998" i="1"/>
  <c r="B8814" i="2" s="1"/>
  <c r="N998" i="1"/>
  <c r="B8813" i="2" s="1"/>
  <c r="M998" i="1"/>
  <c r="B8812" i="2" s="1"/>
  <c r="L998" i="1"/>
  <c r="B8811" i="2" s="1"/>
  <c r="T997" i="1"/>
  <c r="B8810" i="2" s="1"/>
  <c r="S997" i="1"/>
  <c r="B8809" i="2" s="1"/>
  <c r="R997" i="1"/>
  <c r="B8808" i="2" s="1"/>
  <c r="Q997" i="1"/>
  <c r="B8807" i="2" s="1"/>
  <c r="P997" i="1"/>
  <c r="B8806" i="2" s="1"/>
  <c r="O997" i="1"/>
  <c r="B8805" i="2" s="1"/>
  <c r="N997" i="1"/>
  <c r="B8804" i="2" s="1"/>
  <c r="M997" i="1"/>
  <c r="B8803" i="2" s="1"/>
  <c r="L997" i="1"/>
  <c r="B8802" i="2" s="1"/>
  <c r="T996" i="1"/>
  <c r="B8801" i="2" s="1"/>
  <c r="S996" i="1"/>
  <c r="B8800" i="2" s="1"/>
  <c r="R996" i="1"/>
  <c r="B8799" i="2" s="1"/>
  <c r="Q996" i="1"/>
  <c r="B8798" i="2" s="1"/>
  <c r="P996" i="1"/>
  <c r="B8797" i="2" s="1"/>
  <c r="O996" i="1"/>
  <c r="B8796" i="2" s="1"/>
  <c r="N996" i="1"/>
  <c r="B8795" i="2" s="1"/>
  <c r="M996" i="1"/>
  <c r="B8794" i="2" s="1"/>
  <c r="L996" i="1"/>
  <c r="B8793" i="2" s="1"/>
  <c r="K996" i="1"/>
  <c r="T995" i="1"/>
  <c r="B8792" i="2" s="1"/>
  <c r="S995" i="1"/>
  <c r="B8791" i="2" s="1"/>
  <c r="R995" i="1"/>
  <c r="B8790" i="2" s="1"/>
  <c r="Q995" i="1"/>
  <c r="B8789" i="2" s="1"/>
  <c r="P995" i="1"/>
  <c r="B8788" i="2" s="1"/>
  <c r="O995" i="1"/>
  <c r="B8787" i="2" s="1"/>
  <c r="N995" i="1"/>
  <c r="B8786" i="2" s="1"/>
  <c r="M995" i="1"/>
  <c r="B8785" i="2" s="1"/>
  <c r="L995" i="1"/>
  <c r="B8784" i="2" s="1"/>
  <c r="T994" i="1"/>
  <c r="B8783" i="2" s="1"/>
  <c r="S994" i="1"/>
  <c r="B8782" i="2" s="1"/>
  <c r="R994" i="1"/>
  <c r="B8781" i="2" s="1"/>
  <c r="Q994" i="1"/>
  <c r="B8780" i="2" s="1"/>
  <c r="P994" i="1"/>
  <c r="B8779" i="2" s="1"/>
  <c r="O994" i="1"/>
  <c r="B8778" i="2" s="1"/>
  <c r="N994" i="1"/>
  <c r="B8777" i="2" s="1"/>
  <c r="M994" i="1"/>
  <c r="B8776" i="2" s="1"/>
  <c r="L994" i="1"/>
  <c r="B8775" i="2" s="1"/>
  <c r="T993" i="1"/>
  <c r="B8774" i="2" s="1"/>
  <c r="S993" i="1"/>
  <c r="B8773" i="2" s="1"/>
  <c r="R993" i="1"/>
  <c r="B8772" i="2" s="1"/>
  <c r="Q993" i="1"/>
  <c r="B8771" i="2" s="1"/>
  <c r="P993" i="1"/>
  <c r="B8770" i="2" s="1"/>
  <c r="O993" i="1"/>
  <c r="B8769" i="2" s="1"/>
  <c r="N993" i="1"/>
  <c r="B8768" i="2" s="1"/>
  <c r="M993" i="1"/>
  <c r="B8767" i="2" s="1"/>
  <c r="L993" i="1"/>
  <c r="B8766" i="2" s="1"/>
  <c r="T992" i="1"/>
  <c r="B8765" i="2" s="1"/>
  <c r="S992" i="1"/>
  <c r="B8764" i="2" s="1"/>
  <c r="R992" i="1"/>
  <c r="B8763" i="2" s="1"/>
  <c r="Q992" i="1"/>
  <c r="B8762" i="2" s="1"/>
  <c r="P992" i="1"/>
  <c r="B8761" i="2" s="1"/>
  <c r="O992" i="1"/>
  <c r="B8760" i="2" s="1"/>
  <c r="N992" i="1"/>
  <c r="B8759" i="2" s="1"/>
  <c r="M992" i="1"/>
  <c r="B8758" i="2" s="1"/>
  <c r="L992" i="1"/>
  <c r="B8757" i="2" s="1"/>
  <c r="T991" i="1"/>
  <c r="B8756" i="2" s="1"/>
  <c r="S991" i="1"/>
  <c r="B8755" i="2" s="1"/>
  <c r="R991" i="1"/>
  <c r="B8754" i="2" s="1"/>
  <c r="Q991" i="1"/>
  <c r="B8753" i="2" s="1"/>
  <c r="P991" i="1"/>
  <c r="B8752" i="2" s="1"/>
  <c r="O991" i="1"/>
  <c r="B8751" i="2" s="1"/>
  <c r="N991" i="1"/>
  <c r="B8750" i="2" s="1"/>
  <c r="M991" i="1"/>
  <c r="B8749" i="2" s="1"/>
  <c r="L991" i="1"/>
  <c r="B8748" i="2" s="1"/>
  <c r="T990" i="1"/>
  <c r="B8747" i="2" s="1"/>
  <c r="S990" i="1"/>
  <c r="B8746" i="2" s="1"/>
  <c r="R990" i="1"/>
  <c r="B8745" i="2" s="1"/>
  <c r="Q990" i="1"/>
  <c r="B8744" i="2" s="1"/>
  <c r="P990" i="1"/>
  <c r="B8743" i="2" s="1"/>
  <c r="O990" i="1"/>
  <c r="B8742" i="2" s="1"/>
  <c r="N990" i="1"/>
  <c r="B8741" i="2" s="1"/>
  <c r="M990" i="1"/>
  <c r="B8740" i="2" s="1"/>
  <c r="L990" i="1"/>
  <c r="B8739" i="2" s="1"/>
  <c r="U989" i="1"/>
  <c r="T989" i="1"/>
  <c r="B8738" i="2" s="1"/>
  <c r="S989" i="1"/>
  <c r="B8737" i="2" s="1"/>
  <c r="R989" i="1"/>
  <c r="B8736" i="2" s="1"/>
  <c r="Q989" i="1"/>
  <c r="B8735" i="2" s="1"/>
  <c r="P989" i="1"/>
  <c r="B8734" i="2" s="1"/>
  <c r="O989" i="1"/>
  <c r="B8733" i="2" s="1"/>
  <c r="N989" i="1"/>
  <c r="B8732" i="2" s="1"/>
  <c r="M989" i="1"/>
  <c r="B8731" i="2" s="1"/>
  <c r="L989" i="1"/>
  <c r="B8730" i="2" s="1"/>
  <c r="T988" i="1"/>
  <c r="B8729" i="2" s="1"/>
  <c r="S988" i="1"/>
  <c r="B8728" i="2" s="1"/>
  <c r="R988" i="1"/>
  <c r="B8727" i="2" s="1"/>
  <c r="Q988" i="1"/>
  <c r="B8726" i="2" s="1"/>
  <c r="P988" i="1"/>
  <c r="B8725" i="2" s="1"/>
  <c r="O988" i="1"/>
  <c r="B8724" i="2" s="1"/>
  <c r="N988" i="1"/>
  <c r="B8723" i="2" s="1"/>
  <c r="M988" i="1"/>
  <c r="B8722" i="2" s="1"/>
  <c r="L988" i="1"/>
  <c r="B8721" i="2" s="1"/>
  <c r="T987" i="1"/>
  <c r="B8720" i="2" s="1"/>
  <c r="S987" i="1"/>
  <c r="B8719" i="2" s="1"/>
  <c r="R987" i="1"/>
  <c r="B8718" i="2" s="1"/>
  <c r="Q987" i="1"/>
  <c r="B8717" i="2" s="1"/>
  <c r="P987" i="1"/>
  <c r="B8716" i="2" s="1"/>
  <c r="O987" i="1"/>
  <c r="B8715" i="2" s="1"/>
  <c r="N987" i="1"/>
  <c r="B8714" i="2" s="1"/>
  <c r="M987" i="1"/>
  <c r="B8713" i="2" s="1"/>
  <c r="L987" i="1"/>
  <c r="B8712" i="2" s="1"/>
  <c r="T986" i="1"/>
  <c r="B8711" i="2" s="1"/>
  <c r="S986" i="1"/>
  <c r="B8710" i="2" s="1"/>
  <c r="R986" i="1"/>
  <c r="B8709" i="2" s="1"/>
  <c r="Q986" i="1"/>
  <c r="B8708" i="2" s="1"/>
  <c r="P986" i="1"/>
  <c r="B8707" i="2" s="1"/>
  <c r="O986" i="1"/>
  <c r="B8706" i="2" s="1"/>
  <c r="N986" i="1"/>
  <c r="B8705" i="2" s="1"/>
  <c r="M986" i="1"/>
  <c r="B8704" i="2" s="1"/>
  <c r="L986" i="1"/>
  <c r="B8703" i="2" s="1"/>
  <c r="T985" i="1"/>
  <c r="B8702" i="2" s="1"/>
  <c r="S985" i="1"/>
  <c r="B8701" i="2" s="1"/>
  <c r="R985" i="1"/>
  <c r="B8700" i="2" s="1"/>
  <c r="Q985" i="1"/>
  <c r="B8699" i="2" s="1"/>
  <c r="P985" i="1"/>
  <c r="B8698" i="2" s="1"/>
  <c r="O985" i="1"/>
  <c r="B8697" i="2" s="1"/>
  <c r="N985" i="1"/>
  <c r="B8696" i="2" s="1"/>
  <c r="M985" i="1"/>
  <c r="B8695" i="2" s="1"/>
  <c r="L985" i="1"/>
  <c r="B8694" i="2" s="1"/>
  <c r="T984" i="1"/>
  <c r="B8693" i="2" s="1"/>
  <c r="S984" i="1"/>
  <c r="B8692" i="2" s="1"/>
  <c r="R984" i="1"/>
  <c r="B8691" i="2" s="1"/>
  <c r="Q984" i="1"/>
  <c r="B8690" i="2" s="1"/>
  <c r="P984" i="1"/>
  <c r="B8689" i="2" s="1"/>
  <c r="O984" i="1"/>
  <c r="B8688" i="2" s="1"/>
  <c r="N984" i="1"/>
  <c r="B8687" i="2" s="1"/>
  <c r="M984" i="1"/>
  <c r="B8686" i="2" s="1"/>
  <c r="L984" i="1"/>
  <c r="B8685" i="2" s="1"/>
  <c r="T983" i="1"/>
  <c r="B8684" i="2" s="1"/>
  <c r="S983" i="1"/>
  <c r="B8683" i="2" s="1"/>
  <c r="R983" i="1"/>
  <c r="B8682" i="2" s="1"/>
  <c r="Q983" i="1"/>
  <c r="B8681" i="2" s="1"/>
  <c r="P983" i="1"/>
  <c r="B8680" i="2" s="1"/>
  <c r="O983" i="1"/>
  <c r="B8679" i="2" s="1"/>
  <c r="N983" i="1"/>
  <c r="B8678" i="2" s="1"/>
  <c r="M983" i="1"/>
  <c r="B8677" i="2" s="1"/>
  <c r="L983" i="1"/>
  <c r="B8676" i="2" s="1"/>
  <c r="U982" i="1"/>
  <c r="T982" i="1"/>
  <c r="B8675" i="2" s="1"/>
  <c r="S982" i="1"/>
  <c r="B8674" i="2" s="1"/>
  <c r="R982" i="1"/>
  <c r="B8673" i="2" s="1"/>
  <c r="Q982" i="1"/>
  <c r="B8672" i="2" s="1"/>
  <c r="P982" i="1"/>
  <c r="B8671" i="2" s="1"/>
  <c r="O982" i="1"/>
  <c r="B8670" i="2" s="1"/>
  <c r="N982" i="1"/>
  <c r="B8669" i="2" s="1"/>
  <c r="M982" i="1"/>
  <c r="B8668" i="2" s="1"/>
  <c r="L982" i="1"/>
  <c r="B8667" i="2" s="1"/>
  <c r="T981" i="1"/>
  <c r="B8666" i="2" s="1"/>
  <c r="S981" i="1"/>
  <c r="B8665" i="2" s="1"/>
  <c r="R981" i="1"/>
  <c r="B8664" i="2" s="1"/>
  <c r="Q981" i="1"/>
  <c r="B8663" i="2" s="1"/>
  <c r="P981" i="1"/>
  <c r="B8662" i="2" s="1"/>
  <c r="O981" i="1"/>
  <c r="B8661" i="2" s="1"/>
  <c r="N981" i="1"/>
  <c r="B8660" i="2" s="1"/>
  <c r="M981" i="1"/>
  <c r="B8659" i="2" s="1"/>
  <c r="L981" i="1"/>
  <c r="B8658" i="2" s="1"/>
  <c r="T980" i="1"/>
  <c r="B8657" i="2" s="1"/>
  <c r="S980" i="1"/>
  <c r="B8656" i="2" s="1"/>
  <c r="R980" i="1"/>
  <c r="B8655" i="2" s="1"/>
  <c r="Q980" i="1"/>
  <c r="B8654" i="2" s="1"/>
  <c r="P980" i="1"/>
  <c r="B8653" i="2" s="1"/>
  <c r="O980" i="1"/>
  <c r="B8652" i="2" s="1"/>
  <c r="N980" i="1"/>
  <c r="B8651" i="2" s="1"/>
  <c r="M980" i="1"/>
  <c r="B8650" i="2" s="1"/>
  <c r="L980" i="1"/>
  <c r="B8649" i="2" s="1"/>
  <c r="K980" i="1"/>
  <c r="T979" i="1"/>
  <c r="B8648" i="2" s="1"/>
  <c r="S979" i="1"/>
  <c r="B8647" i="2" s="1"/>
  <c r="R979" i="1"/>
  <c r="B8646" i="2" s="1"/>
  <c r="Q979" i="1"/>
  <c r="B8645" i="2" s="1"/>
  <c r="P979" i="1"/>
  <c r="B8644" i="2" s="1"/>
  <c r="O979" i="1"/>
  <c r="B8643" i="2" s="1"/>
  <c r="N979" i="1"/>
  <c r="B8642" i="2" s="1"/>
  <c r="M979" i="1"/>
  <c r="B8641" i="2" s="1"/>
  <c r="L979" i="1"/>
  <c r="B8640" i="2" s="1"/>
  <c r="T978" i="1"/>
  <c r="B8639" i="2" s="1"/>
  <c r="S978" i="1"/>
  <c r="B8638" i="2" s="1"/>
  <c r="R978" i="1"/>
  <c r="B8637" i="2" s="1"/>
  <c r="Q978" i="1"/>
  <c r="B8636" i="2" s="1"/>
  <c r="P978" i="1"/>
  <c r="B8635" i="2" s="1"/>
  <c r="O978" i="1"/>
  <c r="B8634" i="2" s="1"/>
  <c r="N978" i="1"/>
  <c r="B8633" i="2" s="1"/>
  <c r="M978" i="1"/>
  <c r="B8632" i="2" s="1"/>
  <c r="L978" i="1"/>
  <c r="B8631" i="2" s="1"/>
  <c r="T977" i="1"/>
  <c r="B8630" i="2" s="1"/>
  <c r="S977" i="1"/>
  <c r="B8629" i="2" s="1"/>
  <c r="R977" i="1"/>
  <c r="B8628" i="2" s="1"/>
  <c r="Q977" i="1"/>
  <c r="B8627" i="2" s="1"/>
  <c r="P977" i="1"/>
  <c r="B8626" i="2" s="1"/>
  <c r="O977" i="1"/>
  <c r="B8625" i="2" s="1"/>
  <c r="N977" i="1"/>
  <c r="B8624" i="2" s="1"/>
  <c r="M977" i="1"/>
  <c r="B8623" i="2" s="1"/>
  <c r="L977" i="1"/>
  <c r="B8622" i="2" s="1"/>
  <c r="T976" i="1"/>
  <c r="B8621" i="2" s="1"/>
  <c r="S976" i="1"/>
  <c r="B8620" i="2" s="1"/>
  <c r="R976" i="1"/>
  <c r="B8619" i="2" s="1"/>
  <c r="Q976" i="1"/>
  <c r="B8618" i="2" s="1"/>
  <c r="P976" i="1"/>
  <c r="B8617" i="2" s="1"/>
  <c r="O976" i="1"/>
  <c r="B8616" i="2" s="1"/>
  <c r="N976" i="1"/>
  <c r="B8615" i="2" s="1"/>
  <c r="M976" i="1"/>
  <c r="B8614" i="2" s="1"/>
  <c r="L976" i="1"/>
  <c r="B8613" i="2" s="1"/>
  <c r="T975" i="1"/>
  <c r="B8612" i="2" s="1"/>
  <c r="S975" i="1"/>
  <c r="B8611" i="2" s="1"/>
  <c r="R975" i="1"/>
  <c r="B8610" i="2" s="1"/>
  <c r="Q975" i="1"/>
  <c r="B8609" i="2" s="1"/>
  <c r="P975" i="1"/>
  <c r="B8608" i="2" s="1"/>
  <c r="O975" i="1"/>
  <c r="B8607" i="2" s="1"/>
  <c r="N975" i="1"/>
  <c r="B8606" i="2" s="1"/>
  <c r="M975" i="1"/>
  <c r="B8605" i="2" s="1"/>
  <c r="L975" i="1"/>
  <c r="B8604" i="2" s="1"/>
  <c r="T974" i="1"/>
  <c r="B8603" i="2" s="1"/>
  <c r="S974" i="1"/>
  <c r="B8602" i="2" s="1"/>
  <c r="R974" i="1"/>
  <c r="B8601" i="2" s="1"/>
  <c r="Q974" i="1"/>
  <c r="B8600" i="2" s="1"/>
  <c r="P974" i="1"/>
  <c r="B8599" i="2" s="1"/>
  <c r="O974" i="1"/>
  <c r="B8598" i="2" s="1"/>
  <c r="N974" i="1"/>
  <c r="B8597" i="2" s="1"/>
  <c r="M974" i="1"/>
  <c r="B8596" i="2" s="1"/>
  <c r="L974" i="1"/>
  <c r="B8595" i="2" s="1"/>
  <c r="U973" i="1"/>
  <c r="T973" i="1"/>
  <c r="B8594" i="2" s="1"/>
  <c r="S973" i="1"/>
  <c r="B8593" i="2" s="1"/>
  <c r="R973" i="1"/>
  <c r="B8592" i="2" s="1"/>
  <c r="Q973" i="1"/>
  <c r="B8591" i="2" s="1"/>
  <c r="P973" i="1"/>
  <c r="B8590" i="2" s="1"/>
  <c r="O973" i="1"/>
  <c r="B8589" i="2" s="1"/>
  <c r="N973" i="1"/>
  <c r="B8588" i="2" s="1"/>
  <c r="M973" i="1"/>
  <c r="B8587" i="2" s="1"/>
  <c r="L973" i="1"/>
  <c r="B8586" i="2" s="1"/>
  <c r="T972" i="1"/>
  <c r="B8585" i="2" s="1"/>
  <c r="S972" i="1"/>
  <c r="B8584" i="2" s="1"/>
  <c r="R972" i="1"/>
  <c r="B8583" i="2" s="1"/>
  <c r="Q972" i="1"/>
  <c r="B8582" i="2" s="1"/>
  <c r="P972" i="1"/>
  <c r="B8581" i="2" s="1"/>
  <c r="O972" i="1"/>
  <c r="B8580" i="2" s="1"/>
  <c r="N972" i="1"/>
  <c r="B8579" i="2" s="1"/>
  <c r="M972" i="1"/>
  <c r="B8578" i="2" s="1"/>
  <c r="L972" i="1"/>
  <c r="B8577" i="2" s="1"/>
  <c r="T971" i="1"/>
  <c r="B8576" i="2" s="1"/>
  <c r="S971" i="1"/>
  <c r="B8575" i="2" s="1"/>
  <c r="R971" i="1"/>
  <c r="B8574" i="2" s="1"/>
  <c r="Q971" i="1"/>
  <c r="B8573" i="2" s="1"/>
  <c r="P971" i="1"/>
  <c r="B8572" i="2" s="1"/>
  <c r="O971" i="1"/>
  <c r="B8571" i="2" s="1"/>
  <c r="N971" i="1"/>
  <c r="B8570" i="2" s="1"/>
  <c r="M971" i="1"/>
  <c r="B8569" i="2" s="1"/>
  <c r="L971" i="1"/>
  <c r="B8568" i="2" s="1"/>
  <c r="T970" i="1"/>
  <c r="B8567" i="2" s="1"/>
  <c r="S970" i="1"/>
  <c r="B8566" i="2" s="1"/>
  <c r="R970" i="1"/>
  <c r="B8565" i="2" s="1"/>
  <c r="Q970" i="1"/>
  <c r="B8564" i="2" s="1"/>
  <c r="P970" i="1"/>
  <c r="B8563" i="2" s="1"/>
  <c r="O970" i="1"/>
  <c r="B8562" i="2" s="1"/>
  <c r="N970" i="1"/>
  <c r="B8561" i="2" s="1"/>
  <c r="M970" i="1"/>
  <c r="B8560" i="2" s="1"/>
  <c r="L970" i="1"/>
  <c r="B8559" i="2" s="1"/>
  <c r="T969" i="1"/>
  <c r="B8558" i="2" s="1"/>
  <c r="S969" i="1"/>
  <c r="B8557" i="2" s="1"/>
  <c r="R969" i="1"/>
  <c r="B8556" i="2" s="1"/>
  <c r="Q969" i="1"/>
  <c r="B8555" i="2" s="1"/>
  <c r="P969" i="1"/>
  <c r="B8554" i="2" s="1"/>
  <c r="O969" i="1"/>
  <c r="B8553" i="2" s="1"/>
  <c r="N969" i="1"/>
  <c r="B8552" i="2" s="1"/>
  <c r="M969" i="1"/>
  <c r="B8551" i="2" s="1"/>
  <c r="L969" i="1"/>
  <c r="B8550" i="2" s="1"/>
  <c r="T968" i="1"/>
  <c r="B8549" i="2" s="1"/>
  <c r="S968" i="1"/>
  <c r="B8548" i="2" s="1"/>
  <c r="R968" i="1"/>
  <c r="B8547" i="2" s="1"/>
  <c r="Q968" i="1"/>
  <c r="B8546" i="2" s="1"/>
  <c r="P968" i="1"/>
  <c r="B8545" i="2" s="1"/>
  <c r="O968" i="1"/>
  <c r="B8544" i="2" s="1"/>
  <c r="N968" i="1"/>
  <c r="B8543" i="2" s="1"/>
  <c r="M968" i="1"/>
  <c r="B8542" i="2" s="1"/>
  <c r="L968" i="1"/>
  <c r="B8541" i="2" s="1"/>
  <c r="T967" i="1"/>
  <c r="B8540" i="2" s="1"/>
  <c r="S967" i="1"/>
  <c r="B8539" i="2" s="1"/>
  <c r="R967" i="1"/>
  <c r="B8538" i="2" s="1"/>
  <c r="Q967" i="1"/>
  <c r="B8537" i="2" s="1"/>
  <c r="P967" i="1"/>
  <c r="B8536" i="2" s="1"/>
  <c r="O967" i="1"/>
  <c r="B8535" i="2" s="1"/>
  <c r="N967" i="1"/>
  <c r="B8534" i="2" s="1"/>
  <c r="M967" i="1"/>
  <c r="B8533" i="2" s="1"/>
  <c r="L967" i="1"/>
  <c r="B8532" i="2" s="1"/>
  <c r="U966" i="1"/>
  <c r="T966" i="1"/>
  <c r="B8531" i="2" s="1"/>
  <c r="S966" i="1"/>
  <c r="B8530" i="2" s="1"/>
  <c r="R966" i="1"/>
  <c r="B8529" i="2" s="1"/>
  <c r="Q966" i="1"/>
  <c r="B8528" i="2" s="1"/>
  <c r="P966" i="1"/>
  <c r="B8527" i="2" s="1"/>
  <c r="O966" i="1"/>
  <c r="B8526" i="2" s="1"/>
  <c r="N966" i="1"/>
  <c r="B8525" i="2" s="1"/>
  <c r="M966" i="1"/>
  <c r="B8524" i="2" s="1"/>
  <c r="L966" i="1"/>
  <c r="B8523" i="2" s="1"/>
  <c r="T965" i="1"/>
  <c r="B8522" i="2" s="1"/>
  <c r="S965" i="1"/>
  <c r="B8521" i="2" s="1"/>
  <c r="R965" i="1"/>
  <c r="B8520" i="2" s="1"/>
  <c r="Q965" i="1"/>
  <c r="B8519" i="2" s="1"/>
  <c r="P965" i="1"/>
  <c r="B8518" i="2" s="1"/>
  <c r="O965" i="1"/>
  <c r="B8517" i="2" s="1"/>
  <c r="N965" i="1"/>
  <c r="B8516" i="2" s="1"/>
  <c r="M965" i="1"/>
  <c r="B8515" i="2" s="1"/>
  <c r="L965" i="1"/>
  <c r="B8514" i="2" s="1"/>
  <c r="T964" i="1"/>
  <c r="B8513" i="2" s="1"/>
  <c r="S964" i="1"/>
  <c r="B8512" i="2" s="1"/>
  <c r="R964" i="1"/>
  <c r="B8511" i="2" s="1"/>
  <c r="Q964" i="1"/>
  <c r="B8510" i="2" s="1"/>
  <c r="P964" i="1"/>
  <c r="B8509" i="2" s="1"/>
  <c r="O964" i="1"/>
  <c r="B8508" i="2" s="1"/>
  <c r="N964" i="1"/>
  <c r="B8507" i="2" s="1"/>
  <c r="M964" i="1"/>
  <c r="B8506" i="2" s="1"/>
  <c r="L964" i="1"/>
  <c r="B8505" i="2" s="1"/>
  <c r="K964" i="1"/>
  <c r="T963" i="1"/>
  <c r="B8504" i="2" s="1"/>
  <c r="S963" i="1"/>
  <c r="B8503" i="2" s="1"/>
  <c r="R963" i="1"/>
  <c r="B8502" i="2" s="1"/>
  <c r="Q963" i="1"/>
  <c r="B8501" i="2" s="1"/>
  <c r="P963" i="1"/>
  <c r="B8500" i="2" s="1"/>
  <c r="O963" i="1"/>
  <c r="B8499" i="2" s="1"/>
  <c r="N963" i="1"/>
  <c r="B8498" i="2" s="1"/>
  <c r="M963" i="1"/>
  <c r="B8497" i="2" s="1"/>
  <c r="L963" i="1"/>
  <c r="B8496" i="2" s="1"/>
  <c r="T962" i="1"/>
  <c r="B8495" i="2" s="1"/>
  <c r="S962" i="1"/>
  <c r="B8494" i="2" s="1"/>
  <c r="R962" i="1"/>
  <c r="B8493" i="2" s="1"/>
  <c r="Q962" i="1"/>
  <c r="B8492" i="2" s="1"/>
  <c r="P962" i="1"/>
  <c r="B8491" i="2" s="1"/>
  <c r="O962" i="1"/>
  <c r="B8490" i="2" s="1"/>
  <c r="N962" i="1"/>
  <c r="B8489" i="2" s="1"/>
  <c r="M962" i="1"/>
  <c r="B8488" i="2" s="1"/>
  <c r="L962" i="1"/>
  <c r="B8487" i="2" s="1"/>
  <c r="T961" i="1"/>
  <c r="B8486" i="2" s="1"/>
  <c r="S961" i="1"/>
  <c r="B8485" i="2" s="1"/>
  <c r="R961" i="1"/>
  <c r="B8484" i="2" s="1"/>
  <c r="Q961" i="1"/>
  <c r="B8483" i="2" s="1"/>
  <c r="P961" i="1"/>
  <c r="B8482" i="2" s="1"/>
  <c r="O961" i="1"/>
  <c r="B8481" i="2" s="1"/>
  <c r="N961" i="1"/>
  <c r="B8480" i="2" s="1"/>
  <c r="M961" i="1"/>
  <c r="B8479" i="2" s="1"/>
  <c r="L961" i="1"/>
  <c r="B8478" i="2" s="1"/>
  <c r="T960" i="1"/>
  <c r="B8477" i="2" s="1"/>
  <c r="S960" i="1"/>
  <c r="B8476" i="2" s="1"/>
  <c r="R960" i="1"/>
  <c r="B8475" i="2" s="1"/>
  <c r="Q960" i="1"/>
  <c r="B8474" i="2" s="1"/>
  <c r="P960" i="1"/>
  <c r="B8473" i="2" s="1"/>
  <c r="O960" i="1"/>
  <c r="B8472" i="2" s="1"/>
  <c r="N960" i="1"/>
  <c r="B8471" i="2" s="1"/>
  <c r="M960" i="1"/>
  <c r="B8470" i="2" s="1"/>
  <c r="L960" i="1"/>
  <c r="B8469" i="2" s="1"/>
  <c r="T959" i="1"/>
  <c r="B8468" i="2" s="1"/>
  <c r="S959" i="1"/>
  <c r="B8467" i="2" s="1"/>
  <c r="R959" i="1"/>
  <c r="B8466" i="2" s="1"/>
  <c r="Q959" i="1"/>
  <c r="B8465" i="2" s="1"/>
  <c r="P959" i="1"/>
  <c r="B8464" i="2" s="1"/>
  <c r="O959" i="1"/>
  <c r="B8463" i="2" s="1"/>
  <c r="N959" i="1"/>
  <c r="B8462" i="2" s="1"/>
  <c r="M959" i="1"/>
  <c r="B8461" i="2" s="1"/>
  <c r="L959" i="1"/>
  <c r="B8460" i="2" s="1"/>
  <c r="T958" i="1"/>
  <c r="B8459" i="2" s="1"/>
  <c r="S958" i="1"/>
  <c r="B8458" i="2" s="1"/>
  <c r="R958" i="1"/>
  <c r="B8457" i="2" s="1"/>
  <c r="Q958" i="1"/>
  <c r="B8456" i="2" s="1"/>
  <c r="P958" i="1"/>
  <c r="B8455" i="2" s="1"/>
  <c r="O958" i="1"/>
  <c r="B8454" i="2" s="1"/>
  <c r="N958" i="1"/>
  <c r="B8453" i="2" s="1"/>
  <c r="M958" i="1"/>
  <c r="B8452" i="2" s="1"/>
  <c r="L958" i="1"/>
  <c r="B8451" i="2" s="1"/>
  <c r="T957" i="1"/>
  <c r="B8450" i="2" s="1"/>
  <c r="S957" i="1"/>
  <c r="B8449" i="2" s="1"/>
  <c r="R957" i="1"/>
  <c r="B8448" i="2" s="1"/>
  <c r="Q957" i="1"/>
  <c r="B8447" i="2" s="1"/>
  <c r="P957" i="1"/>
  <c r="B8446" i="2" s="1"/>
  <c r="O957" i="1"/>
  <c r="B8445" i="2" s="1"/>
  <c r="N957" i="1"/>
  <c r="B8444" i="2" s="1"/>
  <c r="M957" i="1"/>
  <c r="B8443" i="2" s="1"/>
  <c r="L957" i="1"/>
  <c r="B8442" i="2" s="1"/>
  <c r="T956" i="1"/>
  <c r="B8441" i="2" s="1"/>
  <c r="S956" i="1"/>
  <c r="B8440" i="2" s="1"/>
  <c r="R956" i="1"/>
  <c r="B8439" i="2" s="1"/>
  <c r="Q956" i="1"/>
  <c r="B8438" i="2" s="1"/>
  <c r="P956" i="1"/>
  <c r="B8437" i="2" s="1"/>
  <c r="O956" i="1"/>
  <c r="B8436" i="2" s="1"/>
  <c r="N956" i="1"/>
  <c r="B8435" i="2" s="1"/>
  <c r="M956" i="1"/>
  <c r="B8434" i="2" s="1"/>
  <c r="L956" i="1"/>
  <c r="B8433" i="2" s="1"/>
  <c r="T955" i="1"/>
  <c r="B8432" i="2" s="1"/>
  <c r="S955" i="1"/>
  <c r="B8431" i="2" s="1"/>
  <c r="R955" i="1"/>
  <c r="B8430" i="2" s="1"/>
  <c r="Q955" i="1"/>
  <c r="B8429" i="2" s="1"/>
  <c r="P955" i="1"/>
  <c r="B8428" i="2" s="1"/>
  <c r="O955" i="1"/>
  <c r="B8427" i="2" s="1"/>
  <c r="N955" i="1"/>
  <c r="B8426" i="2" s="1"/>
  <c r="M955" i="1"/>
  <c r="B8425" i="2" s="1"/>
  <c r="L955" i="1"/>
  <c r="B8424" i="2" s="1"/>
  <c r="U954" i="1"/>
  <c r="T954" i="1"/>
  <c r="B8423" i="2" s="1"/>
  <c r="S954" i="1"/>
  <c r="B8422" i="2" s="1"/>
  <c r="R954" i="1"/>
  <c r="B8421" i="2" s="1"/>
  <c r="Q954" i="1"/>
  <c r="B8420" i="2" s="1"/>
  <c r="P954" i="1"/>
  <c r="B8419" i="2" s="1"/>
  <c r="O954" i="1"/>
  <c r="B8418" i="2" s="1"/>
  <c r="N954" i="1"/>
  <c r="B8417" i="2" s="1"/>
  <c r="M954" i="1"/>
  <c r="B8416" i="2" s="1"/>
  <c r="L954" i="1"/>
  <c r="B8415" i="2" s="1"/>
  <c r="T953" i="1"/>
  <c r="B8414" i="2" s="1"/>
  <c r="S953" i="1"/>
  <c r="B8413" i="2" s="1"/>
  <c r="R953" i="1"/>
  <c r="B8412" i="2" s="1"/>
  <c r="Q953" i="1"/>
  <c r="B8411" i="2" s="1"/>
  <c r="P953" i="1"/>
  <c r="B8410" i="2" s="1"/>
  <c r="O953" i="1"/>
  <c r="B8409" i="2" s="1"/>
  <c r="N953" i="1"/>
  <c r="B8408" i="2" s="1"/>
  <c r="M953" i="1"/>
  <c r="B8407" i="2" s="1"/>
  <c r="L953" i="1"/>
  <c r="B8406" i="2" s="1"/>
  <c r="T952" i="1"/>
  <c r="B8405" i="2" s="1"/>
  <c r="S952" i="1"/>
  <c r="B8404" i="2" s="1"/>
  <c r="R952" i="1"/>
  <c r="B8403" i="2" s="1"/>
  <c r="Q952" i="1"/>
  <c r="B8402" i="2" s="1"/>
  <c r="P952" i="1"/>
  <c r="B8401" i="2" s="1"/>
  <c r="O952" i="1"/>
  <c r="B8400" i="2" s="1"/>
  <c r="N952" i="1"/>
  <c r="B8399" i="2" s="1"/>
  <c r="M952" i="1"/>
  <c r="B8398" i="2" s="1"/>
  <c r="L952" i="1"/>
  <c r="B8397" i="2" s="1"/>
  <c r="T951" i="1"/>
  <c r="B8396" i="2" s="1"/>
  <c r="S951" i="1"/>
  <c r="B8395" i="2" s="1"/>
  <c r="R951" i="1"/>
  <c r="B8394" i="2" s="1"/>
  <c r="Q951" i="1"/>
  <c r="B8393" i="2" s="1"/>
  <c r="P951" i="1"/>
  <c r="B8392" i="2" s="1"/>
  <c r="O951" i="1"/>
  <c r="B8391" i="2" s="1"/>
  <c r="N951" i="1"/>
  <c r="B8390" i="2" s="1"/>
  <c r="M951" i="1"/>
  <c r="B8389" i="2" s="1"/>
  <c r="L951" i="1"/>
  <c r="B8388" i="2" s="1"/>
  <c r="U950" i="1"/>
  <c r="T950" i="1"/>
  <c r="B8387" i="2" s="1"/>
  <c r="S950" i="1"/>
  <c r="B8386" i="2" s="1"/>
  <c r="R950" i="1"/>
  <c r="B8385" i="2" s="1"/>
  <c r="Q950" i="1"/>
  <c r="B8384" i="2" s="1"/>
  <c r="P950" i="1"/>
  <c r="B8383" i="2" s="1"/>
  <c r="O950" i="1"/>
  <c r="B8382" i="2" s="1"/>
  <c r="N950" i="1"/>
  <c r="B8381" i="2" s="1"/>
  <c r="M950" i="1"/>
  <c r="B8380" i="2" s="1"/>
  <c r="L950" i="1"/>
  <c r="B8379" i="2" s="1"/>
  <c r="T949" i="1"/>
  <c r="B8378" i="2" s="1"/>
  <c r="S949" i="1"/>
  <c r="B8377" i="2" s="1"/>
  <c r="R949" i="1"/>
  <c r="B8376" i="2" s="1"/>
  <c r="Q949" i="1"/>
  <c r="B8375" i="2" s="1"/>
  <c r="P949" i="1"/>
  <c r="B8374" i="2" s="1"/>
  <c r="O949" i="1"/>
  <c r="B8373" i="2" s="1"/>
  <c r="N949" i="1"/>
  <c r="B8372" i="2" s="1"/>
  <c r="M949" i="1"/>
  <c r="B8371" i="2" s="1"/>
  <c r="L949" i="1"/>
  <c r="B8370" i="2" s="1"/>
  <c r="T948" i="1"/>
  <c r="B8369" i="2" s="1"/>
  <c r="S948" i="1"/>
  <c r="B8368" i="2" s="1"/>
  <c r="R948" i="1"/>
  <c r="B8367" i="2" s="1"/>
  <c r="Q948" i="1"/>
  <c r="B8366" i="2" s="1"/>
  <c r="P948" i="1"/>
  <c r="B8365" i="2" s="1"/>
  <c r="O948" i="1"/>
  <c r="B8364" i="2" s="1"/>
  <c r="N948" i="1"/>
  <c r="B8363" i="2" s="1"/>
  <c r="M948" i="1"/>
  <c r="B8362" i="2" s="1"/>
  <c r="L948" i="1"/>
  <c r="B8361" i="2" s="1"/>
  <c r="K948" i="1"/>
  <c r="T947" i="1"/>
  <c r="B8360" i="2" s="1"/>
  <c r="S947" i="1"/>
  <c r="B8359" i="2" s="1"/>
  <c r="R947" i="1"/>
  <c r="B8358" i="2" s="1"/>
  <c r="Q947" i="1"/>
  <c r="B8357" i="2" s="1"/>
  <c r="P947" i="1"/>
  <c r="B8356" i="2" s="1"/>
  <c r="O947" i="1"/>
  <c r="B8355" i="2" s="1"/>
  <c r="N947" i="1"/>
  <c r="B8354" i="2" s="1"/>
  <c r="M947" i="1"/>
  <c r="B8353" i="2" s="1"/>
  <c r="L947" i="1"/>
  <c r="B8352" i="2" s="1"/>
  <c r="T946" i="1"/>
  <c r="B8351" i="2" s="1"/>
  <c r="S946" i="1"/>
  <c r="B8350" i="2" s="1"/>
  <c r="R946" i="1"/>
  <c r="B8349" i="2" s="1"/>
  <c r="Q946" i="1"/>
  <c r="B8348" i="2" s="1"/>
  <c r="P946" i="1"/>
  <c r="B8347" i="2" s="1"/>
  <c r="O946" i="1"/>
  <c r="B8346" i="2" s="1"/>
  <c r="N946" i="1"/>
  <c r="B8345" i="2" s="1"/>
  <c r="M946" i="1"/>
  <c r="B8344" i="2" s="1"/>
  <c r="L946" i="1"/>
  <c r="B8343" i="2" s="1"/>
  <c r="T945" i="1"/>
  <c r="B8342" i="2" s="1"/>
  <c r="S945" i="1"/>
  <c r="B8341" i="2" s="1"/>
  <c r="R945" i="1"/>
  <c r="B8340" i="2" s="1"/>
  <c r="Q945" i="1"/>
  <c r="B8339" i="2" s="1"/>
  <c r="P945" i="1"/>
  <c r="B8338" i="2" s="1"/>
  <c r="O945" i="1"/>
  <c r="B8337" i="2" s="1"/>
  <c r="N945" i="1"/>
  <c r="B8336" i="2" s="1"/>
  <c r="M945" i="1"/>
  <c r="B8335" i="2" s="1"/>
  <c r="L945" i="1"/>
  <c r="B8334" i="2" s="1"/>
  <c r="T944" i="1"/>
  <c r="B8333" i="2" s="1"/>
  <c r="S944" i="1"/>
  <c r="B8332" i="2" s="1"/>
  <c r="R944" i="1"/>
  <c r="B8331" i="2" s="1"/>
  <c r="Q944" i="1"/>
  <c r="B8330" i="2" s="1"/>
  <c r="P944" i="1"/>
  <c r="B8329" i="2" s="1"/>
  <c r="O944" i="1"/>
  <c r="B8328" i="2" s="1"/>
  <c r="N944" i="1"/>
  <c r="B8327" i="2" s="1"/>
  <c r="M944" i="1"/>
  <c r="B8326" i="2" s="1"/>
  <c r="L944" i="1"/>
  <c r="B8325" i="2" s="1"/>
  <c r="T943" i="1"/>
  <c r="B8324" i="2" s="1"/>
  <c r="S943" i="1"/>
  <c r="B8323" i="2" s="1"/>
  <c r="R943" i="1"/>
  <c r="B8322" i="2" s="1"/>
  <c r="Q943" i="1"/>
  <c r="B8321" i="2" s="1"/>
  <c r="P943" i="1"/>
  <c r="B8320" i="2" s="1"/>
  <c r="O943" i="1"/>
  <c r="B8319" i="2" s="1"/>
  <c r="N943" i="1"/>
  <c r="B8318" i="2" s="1"/>
  <c r="M943" i="1"/>
  <c r="B8317" i="2" s="1"/>
  <c r="L943" i="1"/>
  <c r="B8316" i="2" s="1"/>
  <c r="T942" i="1"/>
  <c r="B8315" i="2" s="1"/>
  <c r="S942" i="1"/>
  <c r="B8314" i="2" s="1"/>
  <c r="R942" i="1"/>
  <c r="B8313" i="2" s="1"/>
  <c r="Q942" i="1"/>
  <c r="B8312" i="2" s="1"/>
  <c r="P942" i="1"/>
  <c r="B8311" i="2" s="1"/>
  <c r="O942" i="1"/>
  <c r="B8310" i="2" s="1"/>
  <c r="N942" i="1"/>
  <c r="B8309" i="2" s="1"/>
  <c r="M942" i="1"/>
  <c r="B8308" i="2" s="1"/>
  <c r="L942" i="1"/>
  <c r="B8307" i="2" s="1"/>
  <c r="U941" i="1"/>
  <c r="T941" i="1"/>
  <c r="B8306" i="2" s="1"/>
  <c r="S941" i="1"/>
  <c r="B8305" i="2" s="1"/>
  <c r="R941" i="1"/>
  <c r="B8304" i="2" s="1"/>
  <c r="Q941" i="1"/>
  <c r="B8303" i="2" s="1"/>
  <c r="P941" i="1"/>
  <c r="B8302" i="2" s="1"/>
  <c r="O941" i="1"/>
  <c r="B8301" i="2" s="1"/>
  <c r="N941" i="1"/>
  <c r="B8300" i="2" s="1"/>
  <c r="M941" i="1"/>
  <c r="B8299" i="2" s="1"/>
  <c r="L941" i="1"/>
  <c r="B8298" i="2" s="1"/>
  <c r="T940" i="1"/>
  <c r="B8297" i="2" s="1"/>
  <c r="S940" i="1"/>
  <c r="B8296" i="2" s="1"/>
  <c r="R940" i="1"/>
  <c r="B8295" i="2" s="1"/>
  <c r="Q940" i="1"/>
  <c r="B8294" i="2" s="1"/>
  <c r="P940" i="1"/>
  <c r="B8293" i="2" s="1"/>
  <c r="O940" i="1"/>
  <c r="B8292" i="2" s="1"/>
  <c r="N940" i="1"/>
  <c r="B8291" i="2" s="1"/>
  <c r="M940" i="1"/>
  <c r="B8290" i="2" s="1"/>
  <c r="L940" i="1"/>
  <c r="B8289" i="2" s="1"/>
  <c r="T939" i="1"/>
  <c r="B8288" i="2" s="1"/>
  <c r="S939" i="1"/>
  <c r="B8287" i="2" s="1"/>
  <c r="R939" i="1"/>
  <c r="B8286" i="2" s="1"/>
  <c r="Q939" i="1"/>
  <c r="B8285" i="2" s="1"/>
  <c r="P939" i="1"/>
  <c r="B8284" i="2" s="1"/>
  <c r="O939" i="1"/>
  <c r="B8283" i="2" s="1"/>
  <c r="N939" i="1"/>
  <c r="B8282" i="2" s="1"/>
  <c r="M939" i="1"/>
  <c r="B8281" i="2" s="1"/>
  <c r="L939" i="1"/>
  <c r="B8280" i="2" s="1"/>
  <c r="U938" i="1"/>
  <c r="T938" i="1"/>
  <c r="B8279" i="2" s="1"/>
  <c r="S938" i="1"/>
  <c r="B8278" i="2" s="1"/>
  <c r="R938" i="1"/>
  <c r="B8277" i="2" s="1"/>
  <c r="Q938" i="1"/>
  <c r="B8276" i="2" s="1"/>
  <c r="P938" i="1"/>
  <c r="B8275" i="2" s="1"/>
  <c r="O938" i="1"/>
  <c r="B8274" i="2" s="1"/>
  <c r="N938" i="1"/>
  <c r="B8273" i="2" s="1"/>
  <c r="M938" i="1"/>
  <c r="B8272" i="2" s="1"/>
  <c r="L938" i="1"/>
  <c r="B8271" i="2" s="1"/>
  <c r="T937" i="1"/>
  <c r="B8270" i="2" s="1"/>
  <c r="S937" i="1"/>
  <c r="B8269" i="2" s="1"/>
  <c r="R937" i="1"/>
  <c r="B8268" i="2" s="1"/>
  <c r="Q937" i="1"/>
  <c r="B8267" i="2" s="1"/>
  <c r="P937" i="1"/>
  <c r="B8266" i="2" s="1"/>
  <c r="O937" i="1"/>
  <c r="B8265" i="2" s="1"/>
  <c r="N937" i="1"/>
  <c r="B8264" i="2" s="1"/>
  <c r="M937" i="1"/>
  <c r="B8263" i="2" s="1"/>
  <c r="L937" i="1"/>
  <c r="B8262" i="2" s="1"/>
  <c r="T936" i="1"/>
  <c r="B8261" i="2" s="1"/>
  <c r="S936" i="1"/>
  <c r="B8260" i="2" s="1"/>
  <c r="R936" i="1"/>
  <c r="B8259" i="2" s="1"/>
  <c r="Q936" i="1"/>
  <c r="B8258" i="2" s="1"/>
  <c r="P936" i="1"/>
  <c r="B8257" i="2" s="1"/>
  <c r="O936" i="1"/>
  <c r="B8256" i="2" s="1"/>
  <c r="N936" i="1"/>
  <c r="B8255" i="2" s="1"/>
  <c r="M936" i="1"/>
  <c r="B8254" i="2" s="1"/>
  <c r="L936" i="1"/>
  <c r="B8253" i="2" s="1"/>
  <c r="T935" i="1"/>
  <c r="B8252" i="2" s="1"/>
  <c r="S935" i="1"/>
  <c r="B8251" i="2" s="1"/>
  <c r="R935" i="1"/>
  <c r="B8250" i="2" s="1"/>
  <c r="Q935" i="1"/>
  <c r="B8249" i="2" s="1"/>
  <c r="P935" i="1"/>
  <c r="B8248" i="2" s="1"/>
  <c r="O935" i="1"/>
  <c r="B8247" i="2" s="1"/>
  <c r="N935" i="1"/>
  <c r="B8246" i="2" s="1"/>
  <c r="M935" i="1"/>
  <c r="B8245" i="2" s="1"/>
  <c r="L935" i="1"/>
  <c r="B8244" i="2" s="1"/>
  <c r="K935" i="1"/>
  <c r="U934" i="1"/>
  <c r="T934" i="1"/>
  <c r="B8243" i="2" s="1"/>
  <c r="S934" i="1"/>
  <c r="B8242" i="2" s="1"/>
  <c r="R934" i="1"/>
  <c r="B8241" i="2" s="1"/>
  <c r="Q934" i="1"/>
  <c r="B8240" i="2" s="1"/>
  <c r="P934" i="1"/>
  <c r="B8239" i="2" s="1"/>
  <c r="O934" i="1"/>
  <c r="B8238" i="2" s="1"/>
  <c r="N934" i="1"/>
  <c r="B8237" i="2" s="1"/>
  <c r="M934" i="1"/>
  <c r="B8236" i="2" s="1"/>
  <c r="L934" i="1"/>
  <c r="B8235" i="2" s="1"/>
  <c r="T933" i="1"/>
  <c r="B8234" i="2" s="1"/>
  <c r="S933" i="1"/>
  <c r="B8233" i="2" s="1"/>
  <c r="R933" i="1"/>
  <c r="B8232" i="2" s="1"/>
  <c r="Q933" i="1"/>
  <c r="B8231" i="2" s="1"/>
  <c r="P933" i="1"/>
  <c r="B8230" i="2" s="1"/>
  <c r="O933" i="1"/>
  <c r="B8229" i="2" s="1"/>
  <c r="N933" i="1"/>
  <c r="B8228" i="2" s="1"/>
  <c r="M933" i="1"/>
  <c r="B8227" i="2" s="1"/>
  <c r="L933" i="1"/>
  <c r="B8226" i="2" s="1"/>
  <c r="T932" i="1"/>
  <c r="B8225" i="2" s="1"/>
  <c r="S932" i="1"/>
  <c r="B8224" i="2" s="1"/>
  <c r="R932" i="1"/>
  <c r="B8223" i="2" s="1"/>
  <c r="Q932" i="1"/>
  <c r="B8222" i="2" s="1"/>
  <c r="P932" i="1"/>
  <c r="B8221" i="2" s="1"/>
  <c r="O932" i="1"/>
  <c r="B8220" i="2" s="1"/>
  <c r="N932" i="1"/>
  <c r="B8219" i="2" s="1"/>
  <c r="M932" i="1"/>
  <c r="B8218" i="2" s="1"/>
  <c r="L932" i="1"/>
  <c r="B8217" i="2" s="1"/>
  <c r="K932" i="1"/>
  <c r="T931" i="1"/>
  <c r="B8216" i="2" s="1"/>
  <c r="S931" i="1"/>
  <c r="B8215" i="2" s="1"/>
  <c r="R931" i="1"/>
  <c r="B8214" i="2" s="1"/>
  <c r="Q931" i="1"/>
  <c r="B8213" i="2" s="1"/>
  <c r="P931" i="1"/>
  <c r="B8212" i="2" s="1"/>
  <c r="O931" i="1"/>
  <c r="B8211" i="2" s="1"/>
  <c r="N931" i="1"/>
  <c r="B8210" i="2" s="1"/>
  <c r="M931" i="1"/>
  <c r="B8209" i="2" s="1"/>
  <c r="L931" i="1"/>
  <c r="B8208" i="2" s="1"/>
  <c r="T930" i="1"/>
  <c r="B8207" i="2" s="1"/>
  <c r="S930" i="1"/>
  <c r="B8206" i="2" s="1"/>
  <c r="R930" i="1"/>
  <c r="B8205" i="2" s="1"/>
  <c r="Q930" i="1"/>
  <c r="B8204" i="2" s="1"/>
  <c r="P930" i="1"/>
  <c r="B8203" i="2" s="1"/>
  <c r="O930" i="1"/>
  <c r="B8202" i="2" s="1"/>
  <c r="N930" i="1"/>
  <c r="B8201" i="2" s="1"/>
  <c r="M930" i="1"/>
  <c r="B8200" i="2" s="1"/>
  <c r="L930" i="1"/>
  <c r="B8199" i="2" s="1"/>
  <c r="T929" i="1"/>
  <c r="B8198" i="2" s="1"/>
  <c r="S929" i="1"/>
  <c r="B8197" i="2" s="1"/>
  <c r="R929" i="1"/>
  <c r="B8196" i="2" s="1"/>
  <c r="Q929" i="1"/>
  <c r="B8195" i="2" s="1"/>
  <c r="P929" i="1"/>
  <c r="B8194" i="2" s="1"/>
  <c r="O929" i="1"/>
  <c r="B8193" i="2" s="1"/>
  <c r="N929" i="1"/>
  <c r="B8192" i="2" s="1"/>
  <c r="M929" i="1"/>
  <c r="B8191" i="2" s="1"/>
  <c r="L929" i="1"/>
  <c r="B8190" i="2" s="1"/>
  <c r="T928" i="1"/>
  <c r="B8189" i="2" s="1"/>
  <c r="S928" i="1"/>
  <c r="B8188" i="2" s="1"/>
  <c r="R928" i="1"/>
  <c r="B8187" i="2" s="1"/>
  <c r="Q928" i="1"/>
  <c r="B8186" i="2" s="1"/>
  <c r="P928" i="1"/>
  <c r="B8185" i="2" s="1"/>
  <c r="O928" i="1"/>
  <c r="B8184" i="2" s="1"/>
  <c r="N928" i="1"/>
  <c r="B8183" i="2" s="1"/>
  <c r="M928" i="1"/>
  <c r="B8182" i="2" s="1"/>
  <c r="L928" i="1"/>
  <c r="B8181" i="2" s="1"/>
  <c r="T927" i="1"/>
  <c r="B8180" i="2" s="1"/>
  <c r="S927" i="1"/>
  <c r="B8179" i="2" s="1"/>
  <c r="R927" i="1"/>
  <c r="B8178" i="2" s="1"/>
  <c r="Q927" i="1"/>
  <c r="B8177" i="2" s="1"/>
  <c r="P927" i="1"/>
  <c r="B8176" i="2" s="1"/>
  <c r="O927" i="1"/>
  <c r="B8175" i="2" s="1"/>
  <c r="N927" i="1"/>
  <c r="B8174" i="2" s="1"/>
  <c r="M927" i="1"/>
  <c r="B8173" i="2" s="1"/>
  <c r="L927" i="1"/>
  <c r="B8172" i="2" s="1"/>
  <c r="T926" i="1"/>
  <c r="B8171" i="2" s="1"/>
  <c r="S926" i="1"/>
  <c r="B8170" i="2" s="1"/>
  <c r="R926" i="1"/>
  <c r="B8169" i="2" s="1"/>
  <c r="Q926" i="1"/>
  <c r="B8168" i="2" s="1"/>
  <c r="P926" i="1"/>
  <c r="B8167" i="2" s="1"/>
  <c r="O926" i="1"/>
  <c r="B8166" i="2" s="1"/>
  <c r="N926" i="1"/>
  <c r="B8165" i="2" s="1"/>
  <c r="M926" i="1"/>
  <c r="B8164" i="2" s="1"/>
  <c r="L926" i="1"/>
  <c r="B8163" i="2" s="1"/>
  <c r="U925" i="1"/>
  <c r="T925" i="1"/>
  <c r="B8162" i="2" s="1"/>
  <c r="S925" i="1"/>
  <c r="B8161" i="2" s="1"/>
  <c r="R925" i="1"/>
  <c r="B8160" i="2" s="1"/>
  <c r="Q925" i="1"/>
  <c r="B8159" i="2" s="1"/>
  <c r="P925" i="1"/>
  <c r="B8158" i="2" s="1"/>
  <c r="O925" i="1"/>
  <c r="B8157" i="2" s="1"/>
  <c r="N925" i="1"/>
  <c r="B8156" i="2" s="1"/>
  <c r="M925" i="1"/>
  <c r="B8155" i="2" s="1"/>
  <c r="L925" i="1"/>
  <c r="B8154" i="2" s="1"/>
  <c r="T924" i="1"/>
  <c r="B8153" i="2" s="1"/>
  <c r="S924" i="1"/>
  <c r="B8152" i="2" s="1"/>
  <c r="R924" i="1"/>
  <c r="B8151" i="2" s="1"/>
  <c r="Q924" i="1"/>
  <c r="B8150" i="2" s="1"/>
  <c r="P924" i="1"/>
  <c r="B8149" i="2" s="1"/>
  <c r="O924" i="1"/>
  <c r="B8148" i="2" s="1"/>
  <c r="N924" i="1"/>
  <c r="B8147" i="2" s="1"/>
  <c r="M924" i="1"/>
  <c r="B8146" i="2" s="1"/>
  <c r="L924" i="1"/>
  <c r="B8145" i="2" s="1"/>
  <c r="T923" i="1"/>
  <c r="B8144" i="2" s="1"/>
  <c r="S923" i="1"/>
  <c r="B8143" i="2" s="1"/>
  <c r="R923" i="1"/>
  <c r="B8142" i="2" s="1"/>
  <c r="Q923" i="1"/>
  <c r="B8141" i="2" s="1"/>
  <c r="P923" i="1"/>
  <c r="B8140" i="2" s="1"/>
  <c r="O923" i="1"/>
  <c r="B8139" i="2" s="1"/>
  <c r="N923" i="1"/>
  <c r="B8138" i="2" s="1"/>
  <c r="M923" i="1"/>
  <c r="B8137" i="2" s="1"/>
  <c r="L923" i="1"/>
  <c r="B8136" i="2" s="1"/>
  <c r="U922" i="1"/>
  <c r="T922" i="1"/>
  <c r="B8135" i="2" s="1"/>
  <c r="S922" i="1"/>
  <c r="B8134" i="2" s="1"/>
  <c r="R922" i="1"/>
  <c r="B8133" i="2" s="1"/>
  <c r="Q922" i="1"/>
  <c r="B8132" i="2" s="1"/>
  <c r="P922" i="1"/>
  <c r="B8131" i="2" s="1"/>
  <c r="O922" i="1"/>
  <c r="B8130" i="2" s="1"/>
  <c r="N922" i="1"/>
  <c r="B8129" i="2" s="1"/>
  <c r="M922" i="1"/>
  <c r="B8128" i="2" s="1"/>
  <c r="L922" i="1"/>
  <c r="B8127" i="2" s="1"/>
  <c r="T921" i="1"/>
  <c r="B8126" i="2" s="1"/>
  <c r="S921" i="1"/>
  <c r="B8125" i="2" s="1"/>
  <c r="R921" i="1"/>
  <c r="B8124" i="2" s="1"/>
  <c r="Q921" i="1"/>
  <c r="B8123" i="2" s="1"/>
  <c r="P921" i="1"/>
  <c r="B8122" i="2" s="1"/>
  <c r="O921" i="1"/>
  <c r="B8121" i="2" s="1"/>
  <c r="N921" i="1"/>
  <c r="B8120" i="2" s="1"/>
  <c r="M921" i="1"/>
  <c r="B8119" i="2" s="1"/>
  <c r="L921" i="1"/>
  <c r="B8118" i="2" s="1"/>
  <c r="T920" i="1"/>
  <c r="B8117" i="2" s="1"/>
  <c r="S920" i="1"/>
  <c r="B8116" i="2" s="1"/>
  <c r="R920" i="1"/>
  <c r="B8115" i="2" s="1"/>
  <c r="Q920" i="1"/>
  <c r="B8114" i="2" s="1"/>
  <c r="P920" i="1"/>
  <c r="B8113" i="2" s="1"/>
  <c r="O920" i="1"/>
  <c r="B8112" i="2" s="1"/>
  <c r="N920" i="1"/>
  <c r="B8111" i="2" s="1"/>
  <c r="M920" i="1"/>
  <c r="B8110" i="2" s="1"/>
  <c r="L920" i="1"/>
  <c r="B8109" i="2" s="1"/>
  <c r="T919" i="1"/>
  <c r="B8108" i="2" s="1"/>
  <c r="S919" i="1"/>
  <c r="B8107" i="2" s="1"/>
  <c r="R919" i="1"/>
  <c r="B8106" i="2" s="1"/>
  <c r="Q919" i="1"/>
  <c r="B8105" i="2" s="1"/>
  <c r="P919" i="1"/>
  <c r="B8104" i="2" s="1"/>
  <c r="O919" i="1"/>
  <c r="B8103" i="2" s="1"/>
  <c r="N919" i="1"/>
  <c r="B8102" i="2" s="1"/>
  <c r="M919" i="1"/>
  <c r="B8101" i="2" s="1"/>
  <c r="L919" i="1"/>
  <c r="B8100" i="2" s="1"/>
  <c r="K919" i="1"/>
  <c r="U918" i="1"/>
  <c r="T918" i="1"/>
  <c r="B8099" i="2" s="1"/>
  <c r="S918" i="1"/>
  <c r="B8098" i="2" s="1"/>
  <c r="R918" i="1"/>
  <c r="B8097" i="2" s="1"/>
  <c r="Q918" i="1"/>
  <c r="B8096" i="2" s="1"/>
  <c r="P918" i="1"/>
  <c r="B8095" i="2" s="1"/>
  <c r="O918" i="1"/>
  <c r="B8094" i="2" s="1"/>
  <c r="N918" i="1"/>
  <c r="B8093" i="2" s="1"/>
  <c r="M918" i="1"/>
  <c r="B8092" i="2" s="1"/>
  <c r="L918" i="1"/>
  <c r="B8091" i="2" s="1"/>
  <c r="T917" i="1"/>
  <c r="B8090" i="2" s="1"/>
  <c r="S917" i="1"/>
  <c r="B8089" i="2" s="1"/>
  <c r="R917" i="1"/>
  <c r="B8088" i="2" s="1"/>
  <c r="Q917" i="1"/>
  <c r="B8087" i="2" s="1"/>
  <c r="P917" i="1"/>
  <c r="B8086" i="2" s="1"/>
  <c r="O917" i="1"/>
  <c r="B8085" i="2" s="1"/>
  <c r="N917" i="1"/>
  <c r="B8084" i="2" s="1"/>
  <c r="M917" i="1"/>
  <c r="B8083" i="2" s="1"/>
  <c r="L917" i="1"/>
  <c r="B8082" i="2" s="1"/>
  <c r="T916" i="1"/>
  <c r="B8081" i="2" s="1"/>
  <c r="S916" i="1"/>
  <c r="B8080" i="2" s="1"/>
  <c r="R916" i="1"/>
  <c r="B8079" i="2" s="1"/>
  <c r="Q916" i="1"/>
  <c r="B8078" i="2" s="1"/>
  <c r="P916" i="1"/>
  <c r="B8077" i="2" s="1"/>
  <c r="O916" i="1"/>
  <c r="B8076" i="2" s="1"/>
  <c r="N916" i="1"/>
  <c r="B8075" i="2" s="1"/>
  <c r="M916" i="1"/>
  <c r="B8074" i="2" s="1"/>
  <c r="L916" i="1"/>
  <c r="B8073" i="2" s="1"/>
  <c r="K916" i="1"/>
  <c r="T915" i="1"/>
  <c r="B8072" i="2" s="1"/>
  <c r="S915" i="1"/>
  <c r="B8071" i="2" s="1"/>
  <c r="R915" i="1"/>
  <c r="B8070" i="2" s="1"/>
  <c r="Q915" i="1"/>
  <c r="B8069" i="2" s="1"/>
  <c r="P915" i="1"/>
  <c r="B8068" i="2" s="1"/>
  <c r="O915" i="1"/>
  <c r="B8067" i="2" s="1"/>
  <c r="N915" i="1"/>
  <c r="B8066" i="2" s="1"/>
  <c r="M915" i="1"/>
  <c r="B8065" i="2" s="1"/>
  <c r="L915" i="1"/>
  <c r="B8064" i="2" s="1"/>
  <c r="T914" i="1"/>
  <c r="B8063" i="2" s="1"/>
  <c r="S914" i="1"/>
  <c r="B8062" i="2" s="1"/>
  <c r="R914" i="1"/>
  <c r="B8061" i="2" s="1"/>
  <c r="Q914" i="1"/>
  <c r="B8060" i="2" s="1"/>
  <c r="P914" i="1"/>
  <c r="B8059" i="2" s="1"/>
  <c r="O914" i="1"/>
  <c r="B8058" i="2" s="1"/>
  <c r="N914" i="1"/>
  <c r="B8057" i="2" s="1"/>
  <c r="M914" i="1"/>
  <c r="B8056" i="2" s="1"/>
  <c r="L914" i="1"/>
  <c r="B8055" i="2" s="1"/>
  <c r="T913" i="1"/>
  <c r="B8054" i="2" s="1"/>
  <c r="S913" i="1"/>
  <c r="B8053" i="2" s="1"/>
  <c r="R913" i="1"/>
  <c r="B8052" i="2" s="1"/>
  <c r="Q913" i="1"/>
  <c r="B8051" i="2" s="1"/>
  <c r="P913" i="1"/>
  <c r="B8050" i="2" s="1"/>
  <c r="O913" i="1"/>
  <c r="B8049" i="2" s="1"/>
  <c r="N913" i="1"/>
  <c r="B8048" i="2" s="1"/>
  <c r="M913" i="1"/>
  <c r="B8047" i="2" s="1"/>
  <c r="L913" i="1"/>
  <c r="B8046" i="2" s="1"/>
  <c r="T912" i="1"/>
  <c r="B8045" i="2" s="1"/>
  <c r="S912" i="1"/>
  <c r="B8044" i="2" s="1"/>
  <c r="R912" i="1"/>
  <c r="B8043" i="2" s="1"/>
  <c r="Q912" i="1"/>
  <c r="B8042" i="2" s="1"/>
  <c r="P912" i="1"/>
  <c r="B8041" i="2" s="1"/>
  <c r="O912" i="1"/>
  <c r="B8040" i="2" s="1"/>
  <c r="N912" i="1"/>
  <c r="B8039" i="2" s="1"/>
  <c r="M912" i="1"/>
  <c r="B8038" i="2" s="1"/>
  <c r="L912" i="1"/>
  <c r="B8037" i="2" s="1"/>
  <c r="T911" i="1"/>
  <c r="B8036" i="2" s="1"/>
  <c r="S911" i="1"/>
  <c r="B8035" i="2" s="1"/>
  <c r="R911" i="1"/>
  <c r="B8034" i="2" s="1"/>
  <c r="Q911" i="1"/>
  <c r="B8033" i="2" s="1"/>
  <c r="P911" i="1"/>
  <c r="B8032" i="2" s="1"/>
  <c r="O911" i="1"/>
  <c r="B8031" i="2" s="1"/>
  <c r="N911" i="1"/>
  <c r="B8030" i="2" s="1"/>
  <c r="M911" i="1"/>
  <c r="B8029" i="2" s="1"/>
  <c r="L911" i="1"/>
  <c r="B8028" i="2" s="1"/>
  <c r="T910" i="1"/>
  <c r="B8027" i="2" s="1"/>
  <c r="S910" i="1"/>
  <c r="B8026" i="2" s="1"/>
  <c r="R910" i="1"/>
  <c r="B8025" i="2" s="1"/>
  <c r="Q910" i="1"/>
  <c r="B8024" i="2" s="1"/>
  <c r="P910" i="1"/>
  <c r="B8023" i="2" s="1"/>
  <c r="O910" i="1"/>
  <c r="B8022" i="2" s="1"/>
  <c r="N910" i="1"/>
  <c r="B8021" i="2" s="1"/>
  <c r="M910" i="1"/>
  <c r="B8020" i="2" s="1"/>
  <c r="L910" i="1"/>
  <c r="B8019" i="2" s="1"/>
  <c r="U909" i="1"/>
  <c r="T909" i="1"/>
  <c r="B8018" i="2" s="1"/>
  <c r="S909" i="1"/>
  <c r="B8017" i="2" s="1"/>
  <c r="R909" i="1"/>
  <c r="B8016" i="2" s="1"/>
  <c r="Q909" i="1"/>
  <c r="B8015" i="2" s="1"/>
  <c r="P909" i="1"/>
  <c r="B8014" i="2" s="1"/>
  <c r="O909" i="1"/>
  <c r="B8013" i="2" s="1"/>
  <c r="N909" i="1"/>
  <c r="B8012" i="2" s="1"/>
  <c r="M909" i="1"/>
  <c r="B8011" i="2" s="1"/>
  <c r="L909" i="1"/>
  <c r="B8010" i="2" s="1"/>
  <c r="T908" i="1"/>
  <c r="B8009" i="2" s="1"/>
  <c r="S908" i="1"/>
  <c r="B8008" i="2" s="1"/>
  <c r="R908" i="1"/>
  <c r="B8007" i="2" s="1"/>
  <c r="Q908" i="1"/>
  <c r="B8006" i="2" s="1"/>
  <c r="P908" i="1"/>
  <c r="B8005" i="2" s="1"/>
  <c r="O908" i="1"/>
  <c r="B8004" i="2" s="1"/>
  <c r="N908" i="1"/>
  <c r="B8003" i="2" s="1"/>
  <c r="M908" i="1"/>
  <c r="B8002" i="2" s="1"/>
  <c r="L908" i="1"/>
  <c r="B8001" i="2" s="1"/>
  <c r="T907" i="1"/>
  <c r="B8000" i="2" s="1"/>
  <c r="S907" i="1"/>
  <c r="B7999" i="2" s="1"/>
  <c r="R907" i="1"/>
  <c r="B7998" i="2" s="1"/>
  <c r="Q907" i="1"/>
  <c r="B7997" i="2" s="1"/>
  <c r="P907" i="1"/>
  <c r="B7996" i="2" s="1"/>
  <c r="O907" i="1"/>
  <c r="B7995" i="2" s="1"/>
  <c r="N907" i="1"/>
  <c r="B7994" i="2" s="1"/>
  <c r="M907" i="1"/>
  <c r="B7993" i="2" s="1"/>
  <c r="L907" i="1"/>
  <c r="B7992" i="2" s="1"/>
  <c r="U906" i="1"/>
  <c r="T906" i="1"/>
  <c r="B7991" i="2" s="1"/>
  <c r="S906" i="1"/>
  <c r="B7990" i="2" s="1"/>
  <c r="R906" i="1"/>
  <c r="B7989" i="2" s="1"/>
  <c r="Q906" i="1"/>
  <c r="B7988" i="2" s="1"/>
  <c r="P906" i="1"/>
  <c r="B7987" i="2" s="1"/>
  <c r="O906" i="1"/>
  <c r="B7986" i="2" s="1"/>
  <c r="N906" i="1"/>
  <c r="B7985" i="2" s="1"/>
  <c r="M906" i="1"/>
  <c r="B7984" i="2" s="1"/>
  <c r="L906" i="1"/>
  <c r="B7983" i="2" s="1"/>
  <c r="T905" i="1"/>
  <c r="B7982" i="2" s="1"/>
  <c r="S905" i="1"/>
  <c r="B7981" i="2" s="1"/>
  <c r="R905" i="1"/>
  <c r="B7980" i="2" s="1"/>
  <c r="Q905" i="1"/>
  <c r="B7979" i="2" s="1"/>
  <c r="P905" i="1"/>
  <c r="B7978" i="2" s="1"/>
  <c r="O905" i="1"/>
  <c r="B7977" i="2" s="1"/>
  <c r="N905" i="1"/>
  <c r="B7976" i="2" s="1"/>
  <c r="M905" i="1"/>
  <c r="B7975" i="2" s="1"/>
  <c r="L905" i="1"/>
  <c r="B7974" i="2" s="1"/>
  <c r="T904" i="1"/>
  <c r="B7973" i="2" s="1"/>
  <c r="S904" i="1"/>
  <c r="B7972" i="2" s="1"/>
  <c r="R904" i="1"/>
  <c r="B7971" i="2" s="1"/>
  <c r="Q904" i="1"/>
  <c r="B7970" i="2" s="1"/>
  <c r="P904" i="1"/>
  <c r="B7969" i="2" s="1"/>
  <c r="O904" i="1"/>
  <c r="B7968" i="2" s="1"/>
  <c r="N904" i="1"/>
  <c r="B7967" i="2" s="1"/>
  <c r="M904" i="1"/>
  <c r="B7966" i="2" s="1"/>
  <c r="L904" i="1"/>
  <c r="B7965" i="2" s="1"/>
  <c r="T903" i="1"/>
  <c r="B7964" i="2" s="1"/>
  <c r="S903" i="1"/>
  <c r="B7963" i="2" s="1"/>
  <c r="R903" i="1"/>
  <c r="B7962" i="2" s="1"/>
  <c r="Q903" i="1"/>
  <c r="B7961" i="2" s="1"/>
  <c r="P903" i="1"/>
  <c r="B7960" i="2" s="1"/>
  <c r="O903" i="1"/>
  <c r="B7959" i="2" s="1"/>
  <c r="N903" i="1"/>
  <c r="B7958" i="2" s="1"/>
  <c r="M903" i="1"/>
  <c r="B7957" i="2" s="1"/>
  <c r="L903" i="1"/>
  <c r="B7956" i="2" s="1"/>
  <c r="K903" i="1"/>
  <c r="U902" i="1"/>
  <c r="T902" i="1"/>
  <c r="B7955" i="2" s="1"/>
  <c r="S902" i="1"/>
  <c r="B7954" i="2" s="1"/>
  <c r="R902" i="1"/>
  <c r="B7953" i="2" s="1"/>
  <c r="Q902" i="1"/>
  <c r="B7952" i="2" s="1"/>
  <c r="P902" i="1"/>
  <c r="B7951" i="2" s="1"/>
  <c r="O902" i="1"/>
  <c r="B7950" i="2" s="1"/>
  <c r="N902" i="1"/>
  <c r="B7949" i="2" s="1"/>
  <c r="M902" i="1"/>
  <c r="B7948" i="2" s="1"/>
  <c r="L902" i="1"/>
  <c r="B7947" i="2" s="1"/>
  <c r="T901" i="1"/>
  <c r="B7946" i="2" s="1"/>
  <c r="S901" i="1"/>
  <c r="B7945" i="2" s="1"/>
  <c r="R901" i="1"/>
  <c r="B7944" i="2" s="1"/>
  <c r="Q901" i="1"/>
  <c r="B7943" i="2" s="1"/>
  <c r="P901" i="1"/>
  <c r="B7942" i="2" s="1"/>
  <c r="O901" i="1"/>
  <c r="B7941" i="2" s="1"/>
  <c r="N901" i="1"/>
  <c r="B7940" i="2" s="1"/>
  <c r="M901" i="1"/>
  <c r="B7939" i="2" s="1"/>
  <c r="L901" i="1"/>
  <c r="B7938" i="2" s="1"/>
  <c r="T900" i="1"/>
  <c r="B7937" i="2" s="1"/>
  <c r="S900" i="1"/>
  <c r="B7936" i="2" s="1"/>
  <c r="R900" i="1"/>
  <c r="B7935" i="2" s="1"/>
  <c r="Q900" i="1"/>
  <c r="B7934" i="2" s="1"/>
  <c r="P900" i="1"/>
  <c r="B7933" i="2" s="1"/>
  <c r="O900" i="1"/>
  <c r="B7932" i="2" s="1"/>
  <c r="N900" i="1"/>
  <c r="B7931" i="2" s="1"/>
  <c r="M900" i="1"/>
  <c r="B7930" i="2" s="1"/>
  <c r="L900" i="1"/>
  <c r="B7929" i="2" s="1"/>
  <c r="K900" i="1"/>
  <c r="T899" i="1"/>
  <c r="B7928" i="2" s="1"/>
  <c r="S899" i="1"/>
  <c r="B7927" i="2" s="1"/>
  <c r="R899" i="1"/>
  <c r="B7926" i="2" s="1"/>
  <c r="Q899" i="1"/>
  <c r="B7925" i="2" s="1"/>
  <c r="P899" i="1"/>
  <c r="B7924" i="2" s="1"/>
  <c r="O899" i="1"/>
  <c r="B7923" i="2" s="1"/>
  <c r="N899" i="1"/>
  <c r="B7922" i="2" s="1"/>
  <c r="M899" i="1"/>
  <c r="B7921" i="2" s="1"/>
  <c r="L899" i="1"/>
  <c r="B7920" i="2" s="1"/>
  <c r="T898" i="1"/>
  <c r="B7919" i="2" s="1"/>
  <c r="S898" i="1"/>
  <c r="B7918" i="2" s="1"/>
  <c r="R898" i="1"/>
  <c r="B7917" i="2" s="1"/>
  <c r="Q898" i="1"/>
  <c r="B7916" i="2" s="1"/>
  <c r="P898" i="1"/>
  <c r="B7915" i="2" s="1"/>
  <c r="O898" i="1"/>
  <c r="B7914" i="2" s="1"/>
  <c r="N898" i="1"/>
  <c r="B7913" i="2" s="1"/>
  <c r="M898" i="1"/>
  <c r="B7912" i="2" s="1"/>
  <c r="L898" i="1"/>
  <c r="B7911" i="2" s="1"/>
  <c r="T897" i="1"/>
  <c r="B7910" i="2" s="1"/>
  <c r="S897" i="1"/>
  <c r="B7909" i="2" s="1"/>
  <c r="R897" i="1"/>
  <c r="B7908" i="2" s="1"/>
  <c r="Q897" i="1"/>
  <c r="B7907" i="2" s="1"/>
  <c r="P897" i="1"/>
  <c r="B7906" i="2" s="1"/>
  <c r="O897" i="1"/>
  <c r="B7905" i="2" s="1"/>
  <c r="N897" i="1"/>
  <c r="B7904" i="2" s="1"/>
  <c r="M897" i="1"/>
  <c r="B7903" i="2" s="1"/>
  <c r="L897" i="1"/>
  <c r="B7902" i="2" s="1"/>
  <c r="T896" i="1"/>
  <c r="B7901" i="2" s="1"/>
  <c r="S896" i="1"/>
  <c r="B7900" i="2" s="1"/>
  <c r="R896" i="1"/>
  <c r="B7899" i="2" s="1"/>
  <c r="Q896" i="1"/>
  <c r="B7898" i="2" s="1"/>
  <c r="P896" i="1"/>
  <c r="B7897" i="2" s="1"/>
  <c r="O896" i="1"/>
  <c r="B7896" i="2" s="1"/>
  <c r="N896" i="1"/>
  <c r="B7895" i="2" s="1"/>
  <c r="M896" i="1"/>
  <c r="B7894" i="2" s="1"/>
  <c r="L896" i="1"/>
  <c r="B7893" i="2" s="1"/>
  <c r="T895" i="1"/>
  <c r="B7892" i="2" s="1"/>
  <c r="S895" i="1"/>
  <c r="B7891" i="2" s="1"/>
  <c r="R895" i="1"/>
  <c r="B7890" i="2" s="1"/>
  <c r="Q895" i="1"/>
  <c r="B7889" i="2" s="1"/>
  <c r="P895" i="1"/>
  <c r="B7888" i="2" s="1"/>
  <c r="O895" i="1"/>
  <c r="B7887" i="2" s="1"/>
  <c r="N895" i="1"/>
  <c r="B7886" i="2" s="1"/>
  <c r="M895" i="1"/>
  <c r="B7885" i="2" s="1"/>
  <c r="L895" i="1"/>
  <c r="B7884" i="2" s="1"/>
  <c r="T894" i="1"/>
  <c r="B7883" i="2" s="1"/>
  <c r="S894" i="1"/>
  <c r="B7882" i="2" s="1"/>
  <c r="R894" i="1"/>
  <c r="B7881" i="2" s="1"/>
  <c r="Q894" i="1"/>
  <c r="B7880" i="2" s="1"/>
  <c r="P894" i="1"/>
  <c r="B7879" i="2" s="1"/>
  <c r="O894" i="1"/>
  <c r="B7878" i="2" s="1"/>
  <c r="N894" i="1"/>
  <c r="B7877" i="2" s="1"/>
  <c r="M894" i="1"/>
  <c r="B7876" i="2" s="1"/>
  <c r="L894" i="1"/>
  <c r="B7875" i="2" s="1"/>
  <c r="U893" i="1"/>
  <c r="T893" i="1"/>
  <c r="B7874" i="2" s="1"/>
  <c r="S893" i="1"/>
  <c r="B7873" i="2" s="1"/>
  <c r="R893" i="1"/>
  <c r="B7872" i="2" s="1"/>
  <c r="Q893" i="1"/>
  <c r="B7871" i="2" s="1"/>
  <c r="P893" i="1"/>
  <c r="B7870" i="2" s="1"/>
  <c r="O893" i="1"/>
  <c r="B7869" i="2" s="1"/>
  <c r="N893" i="1"/>
  <c r="B7868" i="2" s="1"/>
  <c r="M893" i="1"/>
  <c r="B7867" i="2" s="1"/>
  <c r="L893" i="1"/>
  <c r="B7866" i="2" s="1"/>
  <c r="K893" i="1"/>
  <c r="T892" i="1"/>
  <c r="B7865" i="2" s="1"/>
  <c r="S892" i="1"/>
  <c r="B7864" i="2" s="1"/>
  <c r="R892" i="1"/>
  <c r="B7863" i="2" s="1"/>
  <c r="Q892" i="1"/>
  <c r="B7862" i="2" s="1"/>
  <c r="P892" i="1"/>
  <c r="B7861" i="2" s="1"/>
  <c r="O892" i="1"/>
  <c r="B7860" i="2" s="1"/>
  <c r="N892" i="1"/>
  <c r="B7859" i="2" s="1"/>
  <c r="M892" i="1"/>
  <c r="B7858" i="2" s="1"/>
  <c r="L892" i="1"/>
  <c r="B7857" i="2" s="1"/>
  <c r="T891" i="1"/>
  <c r="B7856" i="2" s="1"/>
  <c r="S891" i="1"/>
  <c r="B7855" i="2" s="1"/>
  <c r="R891" i="1"/>
  <c r="B7854" i="2" s="1"/>
  <c r="Q891" i="1"/>
  <c r="B7853" i="2" s="1"/>
  <c r="P891" i="1"/>
  <c r="B7852" i="2" s="1"/>
  <c r="O891" i="1"/>
  <c r="B7851" i="2" s="1"/>
  <c r="N891" i="1"/>
  <c r="B7850" i="2" s="1"/>
  <c r="M891" i="1"/>
  <c r="B7849" i="2" s="1"/>
  <c r="L891" i="1"/>
  <c r="B7848" i="2" s="1"/>
  <c r="T890" i="1"/>
  <c r="B7847" i="2" s="1"/>
  <c r="S890" i="1"/>
  <c r="B7846" i="2" s="1"/>
  <c r="R890" i="1"/>
  <c r="B7845" i="2" s="1"/>
  <c r="Q890" i="1"/>
  <c r="B7844" i="2" s="1"/>
  <c r="P890" i="1"/>
  <c r="B7843" i="2" s="1"/>
  <c r="O890" i="1"/>
  <c r="B7842" i="2" s="1"/>
  <c r="N890" i="1"/>
  <c r="B7841" i="2" s="1"/>
  <c r="M890" i="1"/>
  <c r="B7840" i="2" s="1"/>
  <c r="L890" i="1"/>
  <c r="B7839" i="2" s="1"/>
  <c r="U889" i="1"/>
  <c r="T889" i="1"/>
  <c r="B7838" i="2" s="1"/>
  <c r="S889" i="1"/>
  <c r="B7837" i="2" s="1"/>
  <c r="R889" i="1"/>
  <c r="B7836" i="2" s="1"/>
  <c r="Q889" i="1"/>
  <c r="B7835" i="2" s="1"/>
  <c r="P889" i="1"/>
  <c r="B7834" i="2" s="1"/>
  <c r="O889" i="1"/>
  <c r="B7833" i="2" s="1"/>
  <c r="N889" i="1"/>
  <c r="B7832" i="2" s="1"/>
  <c r="M889" i="1"/>
  <c r="B7831" i="2" s="1"/>
  <c r="L889" i="1"/>
  <c r="B7830" i="2" s="1"/>
  <c r="T888" i="1"/>
  <c r="B7829" i="2" s="1"/>
  <c r="S888" i="1"/>
  <c r="B7828" i="2" s="1"/>
  <c r="R888" i="1"/>
  <c r="B7827" i="2" s="1"/>
  <c r="Q888" i="1"/>
  <c r="B7826" i="2" s="1"/>
  <c r="P888" i="1"/>
  <c r="B7825" i="2" s="1"/>
  <c r="O888" i="1"/>
  <c r="B7824" i="2" s="1"/>
  <c r="N888" i="1"/>
  <c r="B7823" i="2" s="1"/>
  <c r="M888" i="1"/>
  <c r="B7822" i="2" s="1"/>
  <c r="L888" i="1"/>
  <c r="B7821" i="2" s="1"/>
  <c r="T887" i="1"/>
  <c r="B7820" i="2" s="1"/>
  <c r="S887" i="1"/>
  <c r="B7819" i="2" s="1"/>
  <c r="R887" i="1"/>
  <c r="B7818" i="2" s="1"/>
  <c r="Q887" i="1"/>
  <c r="B7817" i="2" s="1"/>
  <c r="P887" i="1"/>
  <c r="B7816" i="2" s="1"/>
  <c r="O887" i="1"/>
  <c r="B7815" i="2" s="1"/>
  <c r="N887" i="1"/>
  <c r="B7814" i="2" s="1"/>
  <c r="M887" i="1"/>
  <c r="B7813" i="2" s="1"/>
  <c r="L887" i="1"/>
  <c r="B7812" i="2" s="1"/>
  <c r="K887" i="1"/>
  <c r="T886" i="1"/>
  <c r="B7811" i="2" s="1"/>
  <c r="S886" i="1"/>
  <c r="B7810" i="2" s="1"/>
  <c r="R886" i="1"/>
  <c r="B7809" i="2" s="1"/>
  <c r="Q886" i="1"/>
  <c r="B7808" i="2" s="1"/>
  <c r="P886" i="1"/>
  <c r="B7807" i="2" s="1"/>
  <c r="O886" i="1"/>
  <c r="B7806" i="2" s="1"/>
  <c r="N886" i="1"/>
  <c r="B7805" i="2" s="1"/>
  <c r="M886" i="1"/>
  <c r="B7804" i="2" s="1"/>
  <c r="L886" i="1"/>
  <c r="B7803" i="2" s="1"/>
  <c r="T885" i="1"/>
  <c r="B7802" i="2" s="1"/>
  <c r="S885" i="1"/>
  <c r="B7801" i="2" s="1"/>
  <c r="R885" i="1"/>
  <c r="B7800" i="2" s="1"/>
  <c r="Q885" i="1"/>
  <c r="B7799" i="2" s="1"/>
  <c r="P885" i="1"/>
  <c r="B7798" i="2" s="1"/>
  <c r="O885" i="1"/>
  <c r="B7797" i="2" s="1"/>
  <c r="N885" i="1"/>
  <c r="B7796" i="2" s="1"/>
  <c r="M885" i="1"/>
  <c r="B7795" i="2" s="1"/>
  <c r="L885" i="1"/>
  <c r="B7794" i="2" s="1"/>
  <c r="T884" i="1"/>
  <c r="B7793" i="2" s="1"/>
  <c r="S884" i="1"/>
  <c r="B7792" i="2" s="1"/>
  <c r="R884" i="1"/>
  <c r="B7791" i="2" s="1"/>
  <c r="Q884" i="1"/>
  <c r="B7790" i="2" s="1"/>
  <c r="P884" i="1"/>
  <c r="B7789" i="2" s="1"/>
  <c r="O884" i="1"/>
  <c r="B7788" i="2" s="1"/>
  <c r="N884" i="1"/>
  <c r="B7787" i="2" s="1"/>
  <c r="M884" i="1"/>
  <c r="B7786" i="2" s="1"/>
  <c r="L884" i="1"/>
  <c r="B7785" i="2" s="1"/>
  <c r="T883" i="1"/>
  <c r="B7784" i="2" s="1"/>
  <c r="S883" i="1"/>
  <c r="B7783" i="2" s="1"/>
  <c r="R883" i="1"/>
  <c r="B7782" i="2" s="1"/>
  <c r="Q883" i="1"/>
  <c r="B7781" i="2" s="1"/>
  <c r="P883" i="1"/>
  <c r="B7780" i="2" s="1"/>
  <c r="O883" i="1"/>
  <c r="B7779" i="2" s="1"/>
  <c r="N883" i="1"/>
  <c r="B7778" i="2" s="1"/>
  <c r="M883" i="1"/>
  <c r="B7777" i="2" s="1"/>
  <c r="L883" i="1"/>
  <c r="B7776" i="2" s="1"/>
  <c r="T882" i="1"/>
  <c r="B7775" i="2" s="1"/>
  <c r="S882" i="1"/>
  <c r="B7774" i="2" s="1"/>
  <c r="R882" i="1"/>
  <c r="B7773" i="2" s="1"/>
  <c r="Q882" i="1"/>
  <c r="B7772" i="2" s="1"/>
  <c r="P882" i="1"/>
  <c r="B7771" i="2" s="1"/>
  <c r="O882" i="1"/>
  <c r="B7770" i="2" s="1"/>
  <c r="N882" i="1"/>
  <c r="B7769" i="2" s="1"/>
  <c r="M882" i="1"/>
  <c r="B7768" i="2" s="1"/>
  <c r="L882" i="1"/>
  <c r="B7767" i="2" s="1"/>
  <c r="T881" i="1"/>
  <c r="B7766" i="2" s="1"/>
  <c r="S881" i="1"/>
  <c r="B7765" i="2" s="1"/>
  <c r="R881" i="1"/>
  <c r="B7764" i="2" s="1"/>
  <c r="Q881" i="1"/>
  <c r="B7763" i="2" s="1"/>
  <c r="P881" i="1"/>
  <c r="B7762" i="2" s="1"/>
  <c r="O881" i="1"/>
  <c r="B7761" i="2" s="1"/>
  <c r="N881" i="1"/>
  <c r="B7760" i="2" s="1"/>
  <c r="M881" i="1"/>
  <c r="B7759" i="2" s="1"/>
  <c r="L881" i="1"/>
  <c r="B7758" i="2" s="1"/>
  <c r="T880" i="1"/>
  <c r="B7757" i="2" s="1"/>
  <c r="S880" i="1"/>
  <c r="B7756" i="2" s="1"/>
  <c r="R880" i="1"/>
  <c r="B7755" i="2" s="1"/>
  <c r="Q880" i="1"/>
  <c r="B7754" i="2" s="1"/>
  <c r="P880" i="1"/>
  <c r="B7753" i="2" s="1"/>
  <c r="O880" i="1"/>
  <c r="B7752" i="2" s="1"/>
  <c r="N880" i="1"/>
  <c r="B7751" i="2" s="1"/>
  <c r="M880" i="1"/>
  <c r="B7750" i="2" s="1"/>
  <c r="L880" i="1"/>
  <c r="B7749" i="2" s="1"/>
  <c r="T879" i="1"/>
  <c r="B7748" i="2" s="1"/>
  <c r="S879" i="1"/>
  <c r="B7747" i="2" s="1"/>
  <c r="R879" i="1"/>
  <c r="B7746" i="2" s="1"/>
  <c r="Q879" i="1"/>
  <c r="B7745" i="2" s="1"/>
  <c r="P879" i="1"/>
  <c r="B7744" i="2" s="1"/>
  <c r="O879" i="1"/>
  <c r="B7743" i="2" s="1"/>
  <c r="N879" i="1"/>
  <c r="B7742" i="2" s="1"/>
  <c r="M879" i="1"/>
  <c r="B7741" i="2" s="1"/>
  <c r="L879" i="1"/>
  <c r="B7740" i="2" s="1"/>
  <c r="T878" i="1"/>
  <c r="B7739" i="2" s="1"/>
  <c r="S878" i="1"/>
  <c r="B7738" i="2" s="1"/>
  <c r="R878" i="1"/>
  <c r="B7737" i="2" s="1"/>
  <c r="Q878" i="1"/>
  <c r="B7736" i="2" s="1"/>
  <c r="P878" i="1"/>
  <c r="B7735" i="2" s="1"/>
  <c r="O878" i="1"/>
  <c r="B7734" i="2" s="1"/>
  <c r="N878" i="1"/>
  <c r="B7733" i="2" s="1"/>
  <c r="M878" i="1"/>
  <c r="B7732" i="2" s="1"/>
  <c r="L878" i="1"/>
  <c r="B7731" i="2" s="1"/>
  <c r="U877" i="1"/>
  <c r="T877" i="1"/>
  <c r="B7730" i="2" s="1"/>
  <c r="S877" i="1"/>
  <c r="B7729" i="2" s="1"/>
  <c r="R877" i="1"/>
  <c r="B7728" i="2" s="1"/>
  <c r="Q877" i="1"/>
  <c r="B7727" i="2" s="1"/>
  <c r="P877" i="1"/>
  <c r="B7726" i="2" s="1"/>
  <c r="O877" i="1"/>
  <c r="B7725" i="2" s="1"/>
  <c r="N877" i="1"/>
  <c r="B7724" i="2" s="1"/>
  <c r="M877" i="1"/>
  <c r="B7723" i="2" s="1"/>
  <c r="L877" i="1"/>
  <c r="B7722" i="2" s="1"/>
  <c r="K877" i="1"/>
  <c r="T876" i="1"/>
  <c r="B7721" i="2" s="1"/>
  <c r="S876" i="1"/>
  <c r="B7720" i="2" s="1"/>
  <c r="R876" i="1"/>
  <c r="B7719" i="2" s="1"/>
  <c r="Q876" i="1"/>
  <c r="B7718" i="2" s="1"/>
  <c r="P876" i="1"/>
  <c r="B7717" i="2" s="1"/>
  <c r="O876" i="1"/>
  <c r="B7716" i="2" s="1"/>
  <c r="N876" i="1"/>
  <c r="B7715" i="2" s="1"/>
  <c r="M876" i="1"/>
  <c r="B7714" i="2" s="1"/>
  <c r="L876" i="1"/>
  <c r="B7713" i="2" s="1"/>
  <c r="T875" i="1"/>
  <c r="B7712" i="2" s="1"/>
  <c r="S875" i="1"/>
  <c r="B7711" i="2" s="1"/>
  <c r="R875" i="1"/>
  <c r="B7710" i="2" s="1"/>
  <c r="Q875" i="1"/>
  <c r="B7709" i="2" s="1"/>
  <c r="P875" i="1"/>
  <c r="B7708" i="2" s="1"/>
  <c r="O875" i="1"/>
  <c r="B7707" i="2" s="1"/>
  <c r="N875" i="1"/>
  <c r="B7706" i="2" s="1"/>
  <c r="M875" i="1"/>
  <c r="B7705" i="2" s="1"/>
  <c r="L875" i="1"/>
  <c r="B7704" i="2" s="1"/>
  <c r="T874" i="1"/>
  <c r="B7703" i="2" s="1"/>
  <c r="S874" i="1"/>
  <c r="B7702" i="2" s="1"/>
  <c r="R874" i="1"/>
  <c r="B7701" i="2" s="1"/>
  <c r="Q874" i="1"/>
  <c r="B7700" i="2" s="1"/>
  <c r="P874" i="1"/>
  <c r="B7699" i="2" s="1"/>
  <c r="O874" i="1"/>
  <c r="B7698" i="2" s="1"/>
  <c r="N874" i="1"/>
  <c r="B7697" i="2" s="1"/>
  <c r="M874" i="1"/>
  <c r="B7696" i="2" s="1"/>
  <c r="L874" i="1"/>
  <c r="B7695" i="2" s="1"/>
  <c r="U873" i="1"/>
  <c r="T873" i="1"/>
  <c r="B7694" i="2" s="1"/>
  <c r="S873" i="1"/>
  <c r="B7693" i="2" s="1"/>
  <c r="R873" i="1"/>
  <c r="B7692" i="2" s="1"/>
  <c r="Q873" i="1"/>
  <c r="B7691" i="2" s="1"/>
  <c r="P873" i="1"/>
  <c r="B7690" i="2" s="1"/>
  <c r="O873" i="1"/>
  <c r="B7689" i="2" s="1"/>
  <c r="N873" i="1"/>
  <c r="B7688" i="2" s="1"/>
  <c r="M873" i="1"/>
  <c r="B7687" i="2" s="1"/>
  <c r="L873" i="1"/>
  <c r="B7686" i="2" s="1"/>
  <c r="T872" i="1"/>
  <c r="B7685" i="2" s="1"/>
  <c r="S872" i="1"/>
  <c r="B7684" i="2" s="1"/>
  <c r="R872" i="1"/>
  <c r="B7683" i="2" s="1"/>
  <c r="Q872" i="1"/>
  <c r="B7682" i="2" s="1"/>
  <c r="P872" i="1"/>
  <c r="B7681" i="2" s="1"/>
  <c r="O872" i="1"/>
  <c r="B7680" i="2" s="1"/>
  <c r="N872" i="1"/>
  <c r="B7679" i="2" s="1"/>
  <c r="M872" i="1"/>
  <c r="B7678" i="2" s="1"/>
  <c r="L872" i="1"/>
  <c r="B7677" i="2" s="1"/>
  <c r="T871" i="1"/>
  <c r="B7676" i="2" s="1"/>
  <c r="S871" i="1"/>
  <c r="B7675" i="2" s="1"/>
  <c r="R871" i="1"/>
  <c r="B7674" i="2" s="1"/>
  <c r="Q871" i="1"/>
  <c r="B7673" i="2" s="1"/>
  <c r="P871" i="1"/>
  <c r="B7672" i="2" s="1"/>
  <c r="O871" i="1"/>
  <c r="B7671" i="2" s="1"/>
  <c r="N871" i="1"/>
  <c r="B7670" i="2" s="1"/>
  <c r="M871" i="1"/>
  <c r="B7669" i="2" s="1"/>
  <c r="L871" i="1"/>
  <c r="B7668" i="2" s="1"/>
  <c r="K871" i="1"/>
  <c r="T870" i="1"/>
  <c r="B7667" i="2" s="1"/>
  <c r="S870" i="1"/>
  <c r="B7666" i="2" s="1"/>
  <c r="R870" i="1"/>
  <c r="B7665" i="2" s="1"/>
  <c r="Q870" i="1"/>
  <c r="B7664" i="2" s="1"/>
  <c r="P870" i="1"/>
  <c r="B7663" i="2" s="1"/>
  <c r="O870" i="1"/>
  <c r="B7662" i="2" s="1"/>
  <c r="N870" i="1"/>
  <c r="B7661" i="2" s="1"/>
  <c r="M870" i="1"/>
  <c r="B7660" i="2" s="1"/>
  <c r="L870" i="1"/>
  <c r="B7659" i="2" s="1"/>
  <c r="T869" i="1"/>
  <c r="B7658" i="2" s="1"/>
  <c r="S869" i="1"/>
  <c r="B7657" i="2" s="1"/>
  <c r="R869" i="1"/>
  <c r="B7656" i="2" s="1"/>
  <c r="Q869" i="1"/>
  <c r="B7655" i="2" s="1"/>
  <c r="P869" i="1"/>
  <c r="B7654" i="2" s="1"/>
  <c r="O869" i="1"/>
  <c r="B7653" i="2" s="1"/>
  <c r="N869" i="1"/>
  <c r="B7652" i="2" s="1"/>
  <c r="M869" i="1"/>
  <c r="B7651" i="2" s="1"/>
  <c r="L869" i="1"/>
  <c r="B7650" i="2" s="1"/>
  <c r="T868" i="1"/>
  <c r="B7649" i="2" s="1"/>
  <c r="S868" i="1"/>
  <c r="B7648" i="2" s="1"/>
  <c r="R868" i="1"/>
  <c r="B7647" i="2" s="1"/>
  <c r="Q868" i="1"/>
  <c r="B7646" i="2" s="1"/>
  <c r="P868" i="1"/>
  <c r="B7645" i="2" s="1"/>
  <c r="O868" i="1"/>
  <c r="B7644" i="2" s="1"/>
  <c r="N868" i="1"/>
  <c r="B7643" i="2" s="1"/>
  <c r="M868" i="1"/>
  <c r="B7642" i="2" s="1"/>
  <c r="L868" i="1"/>
  <c r="B7641" i="2" s="1"/>
  <c r="T867" i="1"/>
  <c r="B7640" i="2" s="1"/>
  <c r="S867" i="1"/>
  <c r="B7639" i="2" s="1"/>
  <c r="R867" i="1"/>
  <c r="B7638" i="2" s="1"/>
  <c r="Q867" i="1"/>
  <c r="B7637" i="2" s="1"/>
  <c r="P867" i="1"/>
  <c r="B7636" i="2" s="1"/>
  <c r="O867" i="1"/>
  <c r="B7635" i="2" s="1"/>
  <c r="N867" i="1"/>
  <c r="B7634" i="2" s="1"/>
  <c r="M867" i="1"/>
  <c r="B7633" i="2" s="1"/>
  <c r="L867" i="1"/>
  <c r="B7632" i="2" s="1"/>
  <c r="T866" i="1"/>
  <c r="B7631" i="2" s="1"/>
  <c r="S866" i="1"/>
  <c r="B7630" i="2" s="1"/>
  <c r="R866" i="1"/>
  <c r="B7629" i="2" s="1"/>
  <c r="Q866" i="1"/>
  <c r="B7628" i="2" s="1"/>
  <c r="P866" i="1"/>
  <c r="B7627" i="2" s="1"/>
  <c r="O866" i="1"/>
  <c r="B7626" i="2" s="1"/>
  <c r="N866" i="1"/>
  <c r="B7625" i="2" s="1"/>
  <c r="M866" i="1"/>
  <c r="B7624" i="2" s="1"/>
  <c r="L866" i="1"/>
  <c r="B7623" i="2" s="1"/>
  <c r="T865" i="1"/>
  <c r="B7622" i="2" s="1"/>
  <c r="S865" i="1"/>
  <c r="B7621" i="2" s="1"/>
  <c r="R865" i="1"/>
  <c r="B7620" i="2" s="1"/>
  <c r="Q865" i="1"/>
  <c r="B7619" i="2" s="1"/>
  <c r="P865" i="1"/>
  <c r="B7618" i="2" s="1"/>
  <c r="O865" i="1"/>
  <c r="B7617" i="2" s="1"/>
  <c r="N865" i="1"/>
  <c r="B7616" i="2" s="1"/>
  <c r="M865" i="1"/>
  <c r="B7615" i="2" s="1"/>
  <c r="L865" i="1"/>
  <c r="B7614" i="2" s="1"/>
  <c r="T864" i="1"/>
  <c r="B7613" i="2" s="1"/>
  <c r="S864" i="1"/>
  <c r="B7612" i="2" s="1"/>
  <c r="R864" i="1"/>
  <c r="B7611" i="2" s="1"/>
  <c r="Q864" i="1"/>
  <c r="B7610" i="2" s="1"/>
  <c r="P864" i="1"/>
  <c r="B7609" i="2" s="1"/>
  <c r="O864" i="1"/>
  <c r="B7608" i="2" s="1"/>
  <c r="N864" i="1"/>
  <c r="B7607" i="2" s="1"/>
  <c r="M864" i="1"/>
  <c r="B7606" i="2" s="1"/>
  <c r="L864" i="1"/>
  <c r="B7605" i="2" s="1"/>
  <c r="T863" i="1"/>
  <c r="B7604" i="2" s="1"/>
  <c r="S863" i="1"/>
  <c r="B7603" i="2" s="1"/>
  <c r="R863" i="1"/>
  <c r="B7602" i="2" s="1"/>
  <c r="Q863" i="1"/>
  <c r="B7601" i="2" s="1"/>
  <c r="P863" i="1"/>
  <c r="B7600" i="2" s="1"/>
  <c r="O863" i="1"/>
  <c r="B7599" i="2" s="1"/>
  <c r="N863" i="1"/>
  <c r="B7598" i="2" s="1"/>
  <c r="M863" i="1"/>
  <c r="B7597" i="2" s="1"/>
  <c r="L863" i="1"/>
  <c r="B7596" i="2" s="1"/>
  <c r="T862" i="1"/>
  <c r="B7595" i="2" s="1"/>
  <c r="S862" i="1"/>
  <c r="B7594" i="2" s="1"/>
  <c r="R862" i="1"/>
  <c r="B7593" i="2" s="1"/>
  <c r="Q862" i="1"/>
  <c r="B7592" i="2" s="1"/>
  <c r="P862" i="1"/>
  <c r="B7591" i="2" s="1"/>
  <c r="O862" i="1"/>
  <c r="B7590" i="2" s="1"/>
  <c r="N862" i="1"/>
  <c r="B7589" i="2" s="1"/>
  <c r="M862" i="1"/>
  <c r="B7588" i="2" s="1"/>
  <c r="L862" i="1"/>
  <c r="B7587" i="2" s="1"/>
  <c r="U861" i="1"/>
  <c r="T861" i="1"/>
  <c r="B7586" i="2" s="1"/>
  <c r="S861" i="1"/>
  <c r="B7585" i="2" s="1"/>
  <c r="R861" i="1"/>
  <c r="B7584" i="2" s="1"/>
  <c r="Q861" i="1"/>
  <c r="B7583" i="2" s="1"/>
  <c r="P861" i="1"/>
  <c r="B7582" i="2" s="1"/>
  <c r="O861" i="1"/>
  <c r="B7581" i="2" s="1"/>
  <c r="N861" i="1"/>
  <c r="B7580" i="2" s="1"/>
  <c r="M861" i="1"/>
  <c r="B7579" i="2" s="1"/>
  <c r="L861" i="1"/>
  <c r="B7578" i="2" s="1"/>
  <c r="K861" i="1"/>
  <c r="T860" i="1"/>
  <c r="B7577" i="2" s="1"/>
  <c r="S860" i="1"/>
  <c r="B7576" i="2" s="1"/>
  <c r="R860" i="1"/>
  <c r="B7575" i="2" s="1"/>
  <c r="Q860" i="1"/>
  <c r="B7574" i="2" s="1"/>
  <c r="P860" i="1"/>
  <c r="B7573" i="2" s="1"/>
  <c r="O860" i="1"/>
  <c r="B7572" i="2" s="1"/>
  <c r="N860" i="1"/>
  <c r="B7571" i="2" s="1"/>
  <c r="M860" i="1"/>
  <c r="B7570" i="2" s="1"/>
  <c r="L860" i="1"/>
  <c r="B7569" i="2" s="1"/>
  <c r="T859" i="1"/>
  <c r="B7568" i="2" s="1"/>
  <c r="S859" i="1"/>
  <c r="B7567" i="2" s="1"/>
  <c r="R859" i="1"/>
  <c r="B7566" i="2" s="1"/>
  <c r="Q859" i="1"/>
  <c r="B7565" i="2" s="1"/>
  <c r="P859" i="1"/>
  <c r="B7564" i="2" s="1"/>
  <c r="O859" i="1"/>
  <c r="B7563" i="2" s="1"/>
  <c r="N859" i="1"/>
  <c r="B7562" i="2" s="1"/>
  <c r="M859" i="1"/>
  <c r="B7561" i="2" s="1"/>
  <c r="L859" i="1"/>
  <c r="B7560" i="2" s="1"/>
  <c r="U858" i="1"/>
  <c r="T858" i="1"/>
  <c r="B7559" i="2" s="1"/>
  <c r="S858" i="1"/>
  <c r="B7558" i="2" s="1"/>
  <c r="R858" i="1"/>
  <c r="B7557" i="2" s="1"/>
  <c r="Q858" i="1"/>
  <c r="B7556" i="2" s="1"/>
  <c r="P858" i="1"/>
  <c r="B7555" i="2" s="1"/>
  <c r="O858" i="1"/>
  <c r="B7554" i="2" s="1"/>
  <c r="N858" i="1"/>
  <c r="B7553" i="2" s="1"/>
  <c r="M858" i="1"/>
  <c r="B7552" i="2" s="1"/>
  <c r="L858" i="1"/>
  <c r="B7551" i="2" s="1"/>
  <c r="U857" i="1"/>
  <c r="T857" i="1"/>
  <c r="B7550" i="2" s="1"/>
  <c r="S857" i="1"/>
  <c r="B7549" i="2" s="1"/>
  <c r="R857" i="1"/>
  <c r="B7548" i="2" s="1"/>
  <c r="Q857" i="1"/>
  <c r="B7547" i="2" s="1"/>
  <c r="P857" i="1"/>
  <c r="B7546" i="2" s="1"/>
  <c r="O857" i="1"/>
  <c r="B7545" i="2" s="1"/>
  <c r="N857" i="1"/>
  <c r="B7544" i="2" s="1"/>
  <c r="M857" i="1"/>
  <c r="B7543" i="2" s="1"/>
  <c r="L857" i="1"/>
  <c r="B7542" i="2" s="1"/>
  <c r="T856" i="1"/>
  <c r="B7541" i="2" s="1"/>
  <c r="S856" i="1"/>
  <c r="B7540" i="2" s="1"/>
  <c r="R856" i="1"/>
  <c r="B7539" i="2" s="1"/>
  <c r="Q856" i="1"/>
  <c r="B7538" i="2" s="1"/>
  <c r="P856" i="1"/>
  <c r="B7537" i="2" s="1"/>
  <c r="O856" i="1"/>
  <c r="B7536" i="2" s="1"/>
  <c r="N856" i="1"/>
  <c r="B7535" i="2" s="1"/>
  <c r="M856" i="1"/>
  <c r="B7534" i="2" s="1"/>
  <c r="L856" i="1"/>
  <c r="B7533" i="2" s="1"/>
  <c r="T855" i="1"/>
  <c r="B7532" i="2" s="1"/>
  <c r="S855" i="1"/>
  <c r="B7531" i="2" s="1"/>
  <c r="R855" i="1"/>
  <c r="B7530" i="2" s="1"/>
  <c r="Q855" i="1"/>
  <c r="B7529" i="2" s="1"/>
  <c r="P855" i="1"/>
  <c r="B7528" i="2" s="1"/>
  <c r="O855" i="1"/>
  <c r="B7527" i="2" s="1"/>
  <c r="N855" i="1"/>
  <c r="B7526" i="2" s="1"/>
  <c r="M855" i="1"/>
  <c r="B7525" i="2" s="1"/>
  <c r="L855" i="1"/>
  <c r="B7524" i="2" s="1"/>
  <c r="K855" i="1"/>
  <c r="T854" i="1"/>
  <c r="B7523" i="2" s="1"/>
  <c r="S854" i="1"/>
  <c r="B7522" i="2" s="1"/>
  <c r="R854" i="1"/>
  <c r="B7521" i="2" s="1"/>
  <c r="Q854" i="1"/>
  <c r="B7520" i="2" s="1"/>
  <c r="P854" i="1"/>
  <c r="B7519" i="2" s="1"/>
  <c r="O854" i="1"/>
  <c r="B7518" i="2" s="1"/>
  <c r="N854" i="1"/>
  <c r="B7517" i="2" s="1"/>
  <c r="M854" i="1"/>
  <c r="B7516" i="2" s="1"/>
  <c r="L854" i="1"/>
  <c r="B7515" i="2" s="1"/>
  <c r="T853" i="1"/>
  <c r="B7514" i="2" s="1"/>
  <c r="S853" i="1"/>
  <c r="B7513" i="2" s="1"/>
  <c r="R853" i="1"/>
  <c r="B7512" i="2" s="1"/>
  <c r="Q853" i="1"/>
  <c r="B7511" i="2" s="1"/>
  <c r="P853" i="1"/>
  <c r="B7510" i="2" s="1"/>
  <c r="O853" i="1"/>
  <c r="B7509" i="2" s="1"/>
  <c r="N853" i="1"/>
  <c r="B7508" i="2" s="1"/>
  <c r="M853" i="1"/>
  <c r="B7507" i="2" s="1"/>
  <c r="L853" i="1"/>
  <c r="B7506" i="2" s="1"/>
  <c r="T852" i="1"/>
  <c r="B7505" i="2" s="1"/>
  <c r="S852" i="1"/>
  <c r="B7504" i="2" s="1"/>
  <c r="R852" i="1"/>
  <c r="B7503" i="2" s="1"/>
  <c r="Q852" i="1"/>
  <c r="B7502" i="2" s="1"/>
  <c r="P852" i="1"/>
  <c r="B7501" i="2" s="1"/>
  <c r="O852" i="1"/>
  <c r="B7500" i="2" s="1"/>
  <c r="N852" i="1"/>
  <c r="B7499" i="2" s="1"/>
  <c r="M852" i="1"/>
  <c r="B7498" i="2" s="1"/>
  <c r="L852" i="1"/>
  <c r="B7497" i="2" s="1"/>
  <c r="T851" i="1"/>
  <c r="B7496" i="2" s="1"/>
  <c r="S851" i="1"/>
  <c r="B7495" i="2" s="1"/>
  <c r="R851" i="1"/>
  <c r="B7494" i="2" s="1"/>
  <c r="Q851" i="1"/>
  <c r="B7493" i="2" s="1"/>
  <c r="P851" i="1"/>
  <c r="B7492" i="2" s="1"/>
  <c r="O851" i="1"/>
  <c r="B7491" i="2" s="1"/>
  <c r="N851" i="1"/>
  <c r="B7490" i="2" s="1"/>
  <c r="M851" i="1"/>
  <c r="B7489" i="2" s="1"/>
  <c r="L851" i="1"/>
  <c r="B7488" i="2" s="1"/>
  <c r="T850" i="1"/>
  <c r="B7487" i="2" s="1"/>
  <c r="S850" i="1"/>
  <c r="B7486" i="2" s="1"/>
  <c r="R850" i="1"/>
  <c r="B7485" i="2" s="1"/>
  <c r="Q850" i="1"/>
  <c r="B7484" i="2" s="1"/>
  <c r="P850" i="1"/>
  <c r="B7483" i="2" s="1"/>
  <c r="O850" i="1"/>
  <c r="B7482" i="2" s="1"/>
  <c r="N850" i="1"/>
  <c r="B7481" i="2" s="1"/>
  <c r="M850" i="1"/>
  <c r="B7480" i="2" s="1"/>
  <c r="L850" i="1"/>
  <c r="B7479" i="2" s="1"/>
  <c r="T849" i="1"/>
  <c r="B7478" i="2" s="1"/>
  <c r="S849" i="1"/>
  <c r="B7477" i="2" s="1"/>
  <c r="R849" i="1"/>
  <c r="B7476" i="2" s="1"/>
  <c r="Q849" i="1"/>
  <c r="B7475" i="2" s="1"/>
  <c r="P849" i="1"/>
  <c r="B7474" i="2" s="1"/>
  <c r="O849" i="1"/>
  <c r="B7473" i="2" s="1"/>
  <c r="N849" i="1"/>
  <c r="B7472" i="2" s="1"/>
  <c r="M849" i="1"/>
  <c r="B7471" i="2" s="1"/>
  <c r="L849" i="1"/>
  <c r="B7470" i="2" s="1"/>
  <c r="T848" i="1"/>
  <c r="B7469" i="2" s="1"/>
  <c r="S848" i="1"/>
  <c r="B7468" i="2" s="1"/>
  <c r="R848" i="1"/>
  <c r="B7467" i="2" s="1"/>
  <c r="Q848" i="1"/>
  <c r="B7466" i="2" s="1"/>
  <c r="P848" i="1"/>
  <c r="B7465" i="2" s="1"/>
  <c r="O848" i="1"/>
  <c r="B7464" i="2" s="1"/>
  <c r="N848" i="1"/>
  <c r="B7463" i="2" s="1"/>
  <c r="M848" i="1"/>
  <c r="B7462" i="2" s="1"/>
  <c r="L848" i="1"/>
  <c r="B7461" i="2" s="1"/>
  <c r="T847" i="1"/>
  <c r="B7460" i="2" s="1"/>
  <c r="S847" i="1"/>
  <c r="B7459" i="2" s="1"/>
  <c r="R847" i="1"/>
  <c r="B7458" i="2" s="1"/>
  <c r="Q847" i="1"/>
  <c r="B7457" i="2" s="1"/>
  <c r="P847" i="1"/>
  <c r="B7456" i="2" s="1"/>
  <c r="O847" i="1"/>
  <c r="B7455" i="2" s="1"/>
  <c r="N847" i="1"/>
  <c r="B7454" i="2" s="1"/>
  <c r="M847" i="1"/>
  <c r="B7453" i="2" s="1"/>
  <c r="L847" i="1"/>
  <c r="B7452" i="2" s="1"/>
  <c r="T846" i="1"/>
  <c r="B7451" i="2" s="1"/>
  <c r="S846" i="1"/>
  <c r="B7450" i="2" s="1"/>
  <c r="R846" i="1"/>
  <c r="B7449" i="2" s="1"/>
  <c r="Q846" i="1"/>
  <c r="B7448" i="2" s="1"/>
  <c r="P846" i="1"/>
  <c r="B7447" i="2" s="1"/>
  <c r="O846" i="1"/>
  <c r="B7446" i="2" s="1"/>
  <c r="N846" i="1"/>
  <c r="B7445" i="2" s="1"/>
  <c r="M846" i="1"/>
  <c r="B7444" i="2" s="1"/>
  <c r="L846" i="1"/>
  <c r="B7443" i="2" s="1"/>
  <c r="U845" i="1"/>
  <c r="T845" i="1"/>
  <c r="B7442" i="2" s="1"/>
  <c r="S845" i="1"/>
  <c r="B7441" i="2" s="1"/>
  <c r="R845" i="1"/>
  <c r="B7440" i="2" s="1"/>
  <c r="Q845" i="1"/>
  <c r="B7439" i="2" s="1"/>
  <c r="P845" i="1"/>
  <c r="B7438" i="2" s="1"/>
  <c r="O845" i="1"/>
  <c r="B7437" i="2" s="1"/>
  <c r="N845" i="1"/>
  <c r="B7436" i="2" s="1"/>
  <c r="M845" i="1"/>
  <c r="B7435" i="2" s="1"/>
  <c r="L845" i="1"/>
  <c r="B7434" i="2" s="1"/>
  <c r="T844" i="1"/>
  <c r="B7433" i="2" s="1"/>
  <c r="S844" i="1"/>
  <c r="B7432" i="2" s="1"/>
  <c r="R844" i="1"/>
  <c r="B7431" i="2" s="1"/>
  <c r="Q844" i="1"/>
  <c r="B7430" i="2" s="1"/>
  <c r="P844" i="1"/>
  <c r="B7429" i="2" s="1"/>
  <c r="O844" i="1"/>
  <c r="B7428" i="2" s="1"/>
  <c r="N844" i="1"/>
  <c r="B7427" i="2" s="1"/>
  <c r="M844" i="1"/>
  <c r="B7426" i="2" s="1"/>
  <c r="L844" i="1"/>
  <c r="B7425" i="2" s="1"/>
  <c r="T843" i="1"/>
  <c r="B7424" i="2" s="1"/>
  <c r="S843" i="1"/>
  <c r="B7423" i="2" s="1"/>
  <c r="R843" i="1"/>
  <c r="B7422" i="2" s="1"/>
  <c r="Q843" i="1"/>
  <c r="B7421" i="2" s="1"/>
  <c r="P843" i="1"/>
  <c r="B7420" i="2" s="1"/>
  <c r="O843" i="1"/>
  <c r="B7419" i="2" s="1"/>
  <c r="N843" i="1"/>
  <c r="B7418" i="2" s="1"/>
  <c r="M843" i="1"/>
  <c r="B7417" i="2" s="1"/>
  <c r="L843" i="1"/>
  <c r="B7416" i="2" s="1"/>
  <c r="U842" i="1"/>
  <c r="T842" i="1"/>
  <c r="B7415" i="2" s="1"/>
  <c r="S842" i="1"/>
  <c r="B7414" i="2" s="1"/>
  <c r="R842" i="1"/>
  <c r="B7413" i="2" s="1"/>
  <c r="Q842" i="1"/>
  <c r="B7412" i="2" s="1"/>
  <c r="P842" i="1"/>
  <c r="B7411" i="2" s="1"/>
  <c r="O842" i="1"/>
  <c r="B7410" i="2" s="1"/>
  <c r="N842" i="1"/>
  <c r="B7409" i="2" s="1"/>
  <c r="M842" i="1"/>
  <c r="B7408" i="2" s="1"/>
  <c r="L842" i="1"/>
  <c r="B7407" i="2" s="1"/>
  <c r="U841" i="1"/>
  <c r="T841" i="1"/>
  <c r="B7406" i="2" s="1"/>
  <c r="S841" i="1"/>
  <c r="B7405" i="2" s="1"/>
  <c r="R841" i="1"/>
  <c r="B7404" i="2" s="1"/>
  <c r="Q841" i="1"/>
  <c r="B7403" i="2" s="1"/>
  <c r="P841" i="1"/>
  <c r="B7402" i="2" s="1"/>
  <c r="O841" i="1"/>
  <c r="B7401" i="2" s="1"/>
  <c r="N841" i="1"/>
  <c r="B7400" i="2" s="1"/>
  <c r="M841" i="1"/>
  <c r="B7399" i="2" s="1"/>
  <c r="L841" i="1"/>
  <c r="B7398" i="2" s="1"/>
  <c r="T840" i="1"/>
  <c r="B7397" i="2" s="1"/>
  <c r="S840" i="1"/>
  <c r="B7396" i="2" s="1"/>
  <c r="R840" i="1"/>
  <c r="B7395" i="2" s="1"/>
  <c r="Q840" i="1"/>
  <c r="B7394" i="2" s="1"/>
  <c r="P840" i="1"/>
  <c r="B7393" i="2" s="1"/>
  <c r="O840" i="1"/>
  <c r="B7392" i="2" s="1"/>
  <c r="N840" i="1"/>
  <c r="B7391" i="2" s="1"/>
  <c r="M840" i="1"/>
  <c r="B7390" i="2" s="1"/>
  <c r="L840" i="1"/>
  <c r="B7389" i="2" s="1"/>
  <c r="T839" i="1"/>
  <c r="B7388" i="2" s="1"/>
  <c r="S839" i="1"/>
  <c r="B7387" i="2" s="1"/>
  <c r="R839" i="1"/>
  <c r="B7386" i="2" s="1"/>
  <c r="Q839" i="1"/>
  <c r="B7385" i="2" s="1"/>
  <c r="P839" i="1"/>
  <c r="B7384" i="2" s="1"/>
  <c r="O839" i="1"/>
  <c r="B7383" i="2" s="1"/>
  <c r="N839" i="1"/>
  <c r="B7382" i="2" s="1"/>
  <c r="M839" i="1"/>
  <c r="B7381" i="2" s="1"/>
  <c r="L839" i="1"/>
  <c r="B7380" i="2" s="1"/>
  <c r="K839" i="1"/>
  <c r="U838" i="1"/>
  <c r="T838" i="1"/>
  <c r="B7379" i="2" s="1"/>
  <c r="S838" i="1"/>
  <c r="B7378" i="2" s="1"/>
  <c r="R838" i="1"/>
  <c r="B7377" i="2" s="1"/>
  <c r="Q838" i="1"/>
  <c r="B7376" i="2" s="1"/>
  <c r="P838" i="1"/>
  <c r="B7375" i="2" s="1"/>
  <c r="O838" i="1"/>
  <c r="B7374" i="2" s="1"/>
  <c r="N838" i="1"/>
  <c r="B7373" i="2" s="1"/>
  <c r="M838" i="1"/>
  <c r="B7372" i="2" s="1"/>
  <c r="L838" i="1"/>
  <c r="B7371" i="2" s="1"/>
  <c r="T837" i="1"/>
  <c r="B7370" i="2" s="1"/>
  <c r="S837" i="1"/>
  <c r="B7369" i="2" s="1"/>
  <c r="R837" i="1"/>
  <c r="B7368" i="2" s="1"/>
  <c r="Q837" i="1"/>
  <c r="B7367" i="2" s="1"/>
  <c r="P837" i="1"/>
  <c r="B7366" i="2" s="1"/>
  <c r="O837" i="1"/>
  <c r="B7365" i="2" s="1"/>
  <c r="N837" i="1"/>
  <c r="B7364" i="2" s="1"/>
  <c r="M837" i="1"/>
  <c r="B7363" i="2" s="1"/>
  <c r="L837" i="1"/>
  <c r="B7362" i="2" s="1"/>
  <c r="T836" i="1"/>
  <c r="B7361" i="2" s="1"/>
  <c r="S836" i="1"/>
  <c r="B7360" i="2" s="1"/>
  <c r="R836" i="1"/>
  <c r="B7359" i="2" s="1"/>
  <c r="Q836" i="1"/>
  <c r="B7358" i="2" s="1"/>
  <c r="P836" i="1"/>
  <c r="B7357" i="2" s="1"/>
  <c r="O836" i="1"/>
  <c r="B7356" i="2" s="1"/>
  <c r="N836" i="1"/>
  <c r="B7355" i="2" s="1"/>
  <c r="M836" i="1"/>
  <c r="B7354" i="2" s="1"/>
  <c r="L836" i="1"/>
  <c r="B7353" i="2" s="1"/>
  <c r="T835" i="1"/>
  <c r="B7352" i="2" s="1"/>
  <c r="S835" i="1"/>
  <c r="B7351" i="2" s="1"/>
  <c r="R835" i="1"/>
  <c r="B7350" i="2" s="1"/>
  <c r="Q835" i="1"/>
  <c r="B7349" i="2" s="1"/>
  <c r="P835" i="1"/>
  <c r="B7348" i="2" s="1"/>
  <c r="O835" i="1"/>
  <c r="B7347" i="2" s="1"/>
  <c r="N835" i="1"/>
  <c r="B7346" i="2" s="1"/>
  <c r="M835" i="1"/>
  <c r="B7345" i="2" s="1"/>
  <c r="L835" i="1"/>
  <c r="B7344" i="2" s="1"/>
  <c r="T834" i="1"/>
  <c r="B7343" i="2" s="1"/>
  <c r="S834" i="1"/>
  <c r="B7342" i="2" s="1"/>
  <c r="R834" i="1"/>
  <c r="B7341" i="2" s="1"/>
  <c r="Q834" i="1"/>
  <c r="B7340" i="2" s="1"/>
  <c r="P834" i="1"/>
  <c r="B7339" i="2" s="1"/>
  <c r="O834" i="1"/>
  <c r="B7338" i="2" s="1"/>
  <c r="N834" i="1"/>
  <c r="B7337" i="2" s="1"/>
  <c r="M834" i="1"/>
  <c r="B7336" i="2" s="1"/>
  <c r="L834" i="1"/>
  <c r="B7335" i="2" s="1"/>
  <c r="T833" i="1"/>
  <c r="B7334" i="2" s="1"/>
  <c r="S833" i="1"/>
  <c r="B7333" i="2" s="1"/>
  <c r="R833" i="1"/>
  <c r="B7332" i="2" s="1"/>
  <c r="Q833" i="1"/>
  <c r="B7331" i="2" s="1"/>
  <c r="P833" i="1"/>
  <c r="B7330" i="2" s="1"/>
  <c r="O833" i="1"/>
  <c r="B7329" i="2" s="1"/>
  <c r="N833" i="1"/>
  <c r="B7328" i="2" s="1"/>
  <c r="M833" i="1"/>
  <c r="B7327" i="2" s="1"/>
  <c r="L833" i="1"/>
  <c r="B7326" i="2" s="1"/>
  <c r="T832" i="1"/>
  <c r="B7325" i="2" s="1"/>
  <c r="S832" i="1"/>
  <c r="B7324" i="2" s="1"/>
  <c r="R832" i="1"/>
  <c r="B7323" i="2" s="1"/>
  <c r="Q832" i="1"/>
  <c r="B7322" i="2" s="1"/>
  <c r="P832" i="1"/>
  <c r="B7321" i="2" s="1"/>
  <c r="O832" i="1"/>
  <c r="B7320" i="2" s="1"/>
  <c r="N832" i="1"/>
  <c r="B7319" i="2" s="1"/>
  <c r="M832" i="1"/>
  <c r="B7318" i="2" s="1"/>
  <c r="L832" i="1"/>
  <c r="B7317" i="2" s="1"/>
  <c r="T831" i="1"/>
  <c r="B7316" i="2" s="1"/>
  <c r="S831" i="1"/>
  <c r="B7315" i="2" s="1"/>
  <c r="R831" i="1"/>
  <c r="B7314" i="2" s="1"/>
  <c r="Q831" i="1"/>
  <c r="B7313" i="2" s="1"/>
  <c r="P831" i="1"/>
  <c r="B7312" i="2" s="1"/>
  <c r="O831" i="1"/>
  <c r="B7311" i="2" s="1"/>
  <c r="N831" i="1"/>
  <c r="B7310" i="2" s="1"/>
  <c r="M831" i="1"/>
  <c r="B7309" i="2" s="1"/>
  <c r="L831" i="1"/>
  <c r="B7308" i="2" s="1"/>
  <c r="T830" i="1"/>
  <c r="B7307" i="2" s="1"/>
  <c r="S830" i="1"/>
  <c r="B7306" i="2" s="1"/>
  <c r="R830" i="1"/>
  <c r="B7305" i="2" s="1"/>
  <c r="Q830" i="1"/>
  <c r="B7304" i="2" s="1"/>
  <c r="P830" i="1"/>
  <c r="B7303" i="2" s="1"/>
  <c r="O830" i="1"/>
  <c r="B7302" i="2" s="1"/>
  <c r="N830" i="1"/>
  <c r="B7301" i="2" s="1"/>
  <c r="M830" i="1"/>
  <c r="B7300" i="2" s="1"/>
  <c r="L830" i="1"/>
  <c r="B7299" i="2" s="1"/>
  <c r="U829" i="1"/>
  <c r="T829" i="1"/>
  <c r="B7298" i="2" s="1"/>
  <c r="S829" i="1"/>
  <c r="B7297" i="2" s="1"/>
  <c r="R829" i="1"/>
  <c r="B7296" i="2" s="1"/>
  <c r="Q829" i="1"/>
  <c r="B7295" i="2" s="1"/>
  <c r="P829" i="1"/>
  <c r="B7294" i="2" s="1"/>
  <c r="O829" i="1"/>
  <c r="B7293" i="2" s="1"/>
  <c r="N829" i="1"/>
  <c r="B7292" i="2" s="1"/>
  <c r="M829" i="1"/>
  <c r="B7291" i="2" s="1"/>
  <c r="L829" i="1"/>
  <c r="B7290" i="2" s="1"/>
  <c r="T828" i="1"/>
  <c r="B7289" i="2" s="1"/>
  <c r="S828" i="1"/>
  <c r="B7288" i="2" s="1"/>
  <c r="R828" i="1"/>
  <c r="B7287" i="2" s="1"/>
  <c r="Q828" i="1"/>
  <c r="B7286" i="2" s="1"/>
  <c r="P828" i="1"/>
  <c r="B7285" i="2" s="1"/>
  <c r="O828" i="1"/>
  <c r="B7284" i="2" s="1"/>
  <c r="N828" i="1"/>
  <c r="B7283" i="2" s="1"/>
  <c r="M828" i="1"/>
  <c r="B7282" i="2" s="1"/>
  <c r="L828" i="1"/>
  <c r="B7281" i="2" s="1"/>
  <c r="T827" i="1"/>
  <c r="B7280" i="2" s="1"/>
  <c r="S827" i="1"/>
  <c r="B7279" i="2" s="1"/>
  <c r="R827" i="1"/>
  <c r="B7278" i="2" s="1"/>
  <c r="Q827" i="1"/>
  <c r="B7277" i="2" s="1"/>
  <c r="P827" i="1"/>
  <c r="B7276" i="2" s="1"/>
  <c r="O827" i="1"/>
  <c r="B7275" i="2" s="1"/>
  <c r="N827" i="1"/>
  <c r="B7274" i="2" s="1"/>
  <c r="M827" i="1"/>
  <c r="B7273" i="2" s="1"/>
  <c r="L827" i="1"/>
  <c r="B7272" i="2" s="1"/>
  <c r="U826" i="1"/>
  <c r="T826" i="1"/>
  <c r="B7271" i="2" s="1"/>
  <c r="S826" i="1"/>
  <c r="B7270" i="2" s="1"/>
  <c r="R826" i="1"/>
  <c r="B7269" i="2" s="1"/>
  <c r="Q826" i="1"/>
  <c r="B7268" i="2" s="1"/>
  <c r="P826" i="1"/>
  <c r="B7267" i="2" s="1"/>
  <c r="O826" i="1"/>
  <c r="B7266" i="2" s="1"/>
  <c r="N826" i="1"/>
  <c r="B7265" i="2" s="1"/>
  <c r="M826" i="1"/>
  <c r="B7264" i="2" s="1"/>
  <c r="L826" i="1"/>
  <c r="B7263" i="2" s="1"/>
  <c r="K826" i="1"/>
  <c r="U825" i="1"/>
  <c r="T825" i="1"/>
  <c r="B7262" i="2" s="1"/>
  <c r="S825" i="1"/>
  <c r="B7261" i="2" s="1"/>
  <c r="R825" i="1"/>
  <c r="B7260" i="2" s="1"/>
  <c r="Q825" i="1"/>
  <c r="B7259" i="2" s="1"/>
  <c r="P825" i="1"/>
  <c r="B7258" i="2" s="1"/>
  <c r="O825" i="1"/>
  <c r="B7257" i="2" s="1"/>
  <c r="N825" i="1"/>
  <c r="B7256" i="2" s="1"/>
  <c r="M825" i="1"/>
  <c r="B7255" i="2" s="1"/>
  <c r="L825" i="1"/>
  <c r="B7254" i="2" s="1"/>
  <c r="T824" i="1"/>
  <c r="B7253" i="2" s="1"/>
  <c r="S824" i="1"/>
  <c r="B7252" i="2" s="1"/>
  <c r="R824" i="1"/>
  <c r="B7251" i="2" s="1"/>
  <c r="Q824" i="1"/>
  <c r="B7250" i="2" s="1"/>
  <c r="P824" i="1"/>
  <c r="B7249" i="2" s="1"/>
  <c r="O824" i="1"/>
  <c r="B7248" i="2" s="1"/>
  <c r="N824" i="1"/>
  <c r="B7247" i="2" s="1"/>
  <c r="M824" i="1"/>
  <c r="B7246" i="2" s="1"/>
  <c r="L824" i="1"/>
  <c r="B7245" i="2" s="1"/>
  <c r="T823" i="1"/>
  <c r="B7244" i="2" s="1"/>
  <c r="S823" i="1"/>
  <c r="B7243" i="2" s="1"/>
  <c r="R823" i="1"/>
  <c r="B7242" i="2" s="1"/>
  <c r="Q823" i="1"/>
  <c r="B7241" i="2" s="1"/>
  <c r="P823" i="1"/>
  <c r="B7240" i="2" s="1"/>
  <c r="O823" i="1"/>
  <c r="B7239" i="2" s="1"/>
  <c r="N823" i="1"/>
  <c r="B7238" i="2" s="1"/>
  <c r="M823" i="1"/>
  <c r="B7237" i="2" s="1"/>
  <c r="L823" i="1"/>
  <c r="B7236" i="2" s="1"/>
  <c r="K823" i="1"/>
  <c r="U822" i="1"/>
  <c r="T822" i="1"/>
  <c r="B7235" i="2" s="1"/>
  <c r="S822" i="1"/>
  <c r="B7234" i="2" s="1"/>
  <c r="R822" i="1"/>
  <c r="B7233" i="2" s="1"/>
  <c r="Q822" i="1"/>
  <c r="B7232" i="2" s="1"/>
  <c r="P822" i="1"/>
  <c r="B7231" i="2" s="1"/>
  <c r="O822" i="1"/>
  <c r="B7230" i="2" s="1"/>
  <c r="N822" i="1"/>
  <c r="B7229" i="2" s="1"/>
  <c r="M822" i="1"/>
  <c r="B7228" i="2" s="1"/>
  <c r="L822" i="1"/>
  <c r="B7227" i="2" s="1"/>
  <c r="T821" i="1"/>
  <c r="B7226" i="2" s="1"/>
  <c r="S821" i="1"/>
  <c r="B7225" i="2" s="1"/>
  <c r="R821" i="1"/>
  <c r="B7224" i="2" s="1"/>
  <c r="Q821" i="1"/>
  <c r="B7223" i="2" s="1"/>
  <c r="P821" i="1"/>
  <c r="B7222" i="2" s="1"/>
  <c r="O821" i="1"/>
  <c r="B7221" i="2" s="1"/>
  <c r="N821" i="1"/>
  <c r="B7220" i="2" s="1"/>
  <c r="M821" i="1"/>
  <c r="B7219" i="2" s="1"/>
  <c r="L821" i="1"/>
  <c r="B7218" i="2" s="1"/>
  <c r="T820" i="1"/>
  <c r="B7217" i="2" s="1"/>
  <c r="S820" i="1"/>
  <c r="B7216" i="2" s="1"/>
  <c r="R820" i="1"/>
  <c r="B7215" i="2" s="1"/>
  <c r="Q820" i="1"/>
  <c r="B7214" i="2" s="1"/>
  <c r="P820" i="1"/>
  <c r="B7213" i="2" s="1"/>
  <c r="O820" i="1"/>
  <c r="B7212" i="2" s="1"/>
  <c r="N820" i="1"/>
  <c r="B7211" i="2" s="1"/>
  <c r="M820" i="1"/>
  <c r="B7210" i="2" s="1"/>
  <c r="L820" i="1"/>
  <c r="B7209" i="2" s="1"/>
  <c r="T819" i="1"/>
  <c r="B7208" i="2" s="1"/>
  <c r="S819" i="1"/>
  <c r="B7207" i="2" s="1"/>
  <c r="R819" i="1"/>
  <c r="B7206" i="2" s="1"/>
  <c r="Q819" i="1"/>
  <c r="B7205" i="2" s="1"/>
  <c r="P819" i="1"/>
  <c r="B7204" i="2" s="1"/>
  <c r="O819" i="1"/>
  <c r="B7203" i="2" s="1"/>
  <c r="N819" i="1"/>
  <c r="B7202" i="2" s="1"/>
  <c r="M819" i="1"/>
  <c r="B7201" i="2" s="1"/>
  <c r="L819" i="1"/>
  <c r="B7200" i="2" s="1"/>
  <c r="T818" i="1"/>
  <c r="B7199" i="2" s="1"/>
  <c r="S818" i="1"/>
  <c r="B7198" i="2" s="1"/>
  <c r="R818" i="1"/>
  <c r="B7197" i="2" s="1"/>
  <c r="Q818" i="1"/>
  <c r="B7196" i="2" s="1"/>
  <c r="P818" i="1"/>
  <c r="B7195" i="2" s="1"/>
  <c r="O818" i="1"/>
  <c r="B7194" i="2" s="1"/>
  <c r="N818" i="1"/>
  <c r="B7193" i="2" s="1"/>
  <c r="M818" i="1"/>
  <c r="B7192" i="2" s="1"/>
  <c r="L818" i="1"/>
  <c r="B7191" i="2" s="1"/>
  <c r="T817" i="1"/>
  <c r="B7190" i="2" s="1"/>
  <c r="S817" i="1"/>
  <c r="B7189" i="2" s="1"/>
  <c r="R817" i="1"/>
  <c r="B7188" i="2" s="1"/>
  <c r="Q817" i="1"/>
  <c r="B7187" i="2" s="1"/>
  <c r="P817" i="1"/>
  <c r="B7186" i="2" s="1"/>
  <c r="O817" i="1"/>
  <c r="B7185" i="2" s="1"/>
  <c r="N817" i="1"/>
  <c r="B7184" i="2" s="1"/>
  <c r="M817" i="1"/>
  <c r="B7183" i="2" s="1"/>
  <c r="L817" i="1"/>
  <c r="B7182" i="2" s="1"/>
  <c r="T816" i="1"/>
  <c r="B7181" i="2" s="1"/>
  <c r="S816" i="1"/>
  <c r="B7180" i="2" s="1"/>
  <c r="R816" i="1"/>
  <c r="B7179" i="2" s="1"/>
  <c r="Q816" i="1"/>
  <c r="B7178" i="2" s="1"/>
  <c r="P816" i="1"/>
  <c r="B7177" i="2" s="1"/>
  <c r="O816" i="1"/>
  <c r="B7176" i="2" s="1"/>
  <c r="N816" i="1"/>
  <c r="B7175" i="2" s="1"/>
  <c r="M816" i="1"/>
  <c r="B7174" i="2" s="1"/>
  <c r="L816" i="1"/>
  <c r="B7173" i="2" s="1"/>
  <c r="T815" i="1"/>
  <c r="B7172" i="2" s="1"/>
  <c r="S815" i="1"/>
  <c r="B7171" i="2" s="1"/>
  <c r="R815" i="1"/>
  <c r="B7170" i="2" s="1"/>
  <c r="Q815" i="1"/>
  <c r="B7169" i="2" s="1"/>
  <c r="P815" i="1"/>
  <c r="B7168" i="2" s="1"/>
  <c r="O815" i="1"/>
  <c r="B7167" i="2" s="1"/>
  <c r="N815" i="1"/>
  <c r="B7166" i="2" s="1"/>
  <c r="M815" i="1"/>
  <c r="B7165" i="2" s="1"/>
  <c r="L815" i="1"/>
  <c r="B7164" i="2" s="1"/>
  <c r="T814" i="1"/>
  <c r="B7163" i="2" s="1"/>
  <c r="S814" i="1"/>
  <c r="B7162" i="2" s="1"/>
  <c r="R814" i="1"/>
  <c r="B7161" i="2" s="1"/>
  <c r="Q814" i="1"/>
  <c r="B7160" i="2" s="1"/>
  <c r="P814" i="1"/>
  <c r="B7159" i="2" s="1"/>
  <c r="O814" i="1"/>
  <c r="B7158" i="2" s="1"/>
  <c r="N814" i="1"/>
  <c r="B7157" i="2" s="1"/>
  <c r="M814" i="1"/>
  <c r="B7156" i="2" s="1"/>
  <c r="L814" i="1"/>
  <c r="B7155" i="2" s="1"/>
  <c r="U813" i="1"/>
  <c r="T813" i="1"/>
  <c r="B7154" i="2" s="1"/>
  <c r="S813" i="1"/>
  <c r="B7153" i="2" s="1"/>
  <c r="R813" i="1"/>
  <c r="B7152" i="2" s="1"/>
  <c r="Q813" i="1"/>
  <c r="B7151" i="2" s="1"/>
  <c r="P813" i="1"/>
  <c r="B7150" i="2" s="1"/>
  <c r="O813" i="1"/>
  <c r="B7149" i="2" s="1"/>
  <c r="N813" i="1"/>
  <c r="B7148" i="2" s="1"/>
  <c r="M813" i="1"/>
  <c r="B7147" i="2" s="1"/>
  <c r="L813" i="1"/>
  <c r="B7146" i="2" s="1"/>
  <c r="T812" i="1"/>
  <c r="B7145" i="2" s="1"/>
  <c r="S812" i="1"/>
  <c r="B7144" i="2" s="1"/>
  <c r="R812" i="1"/>
  <c r="B7143" i="2" s="1"/>
  <c r="Q812" i="1"/>
  <c r="B7142" i="2" s="1"/>
  <c r="P812" i="1"/>
  <c r="B7141" i="2" s="1"/>
  <c r="O812" i="1"/>
  <c r="B7140" i="2" s="1"/>
  <c r="N812" i="1"/>
  <c r="B7139" i="2" s="1"/>
  <c r="M812" i="1"/>
  <c r="B7138" i="2" s="1"/>
  <c r="L812" i="1"/>
  <c r="B7137" i="2" s="1"/>
  <c r="T811" i="1"/>
  <c r="B7136" i="2" s="1"/>
  <c r="S811" i="1"/>
  <c r="B7135" i="2" s="1"/>
  <c r="R811" i="1"/>
  <c r="B7134" i="2" s="1"/>
  <c r="Q811" i="1"/>
  <c r="B7133" i="2" s="1"/>
  <c r="P811" i="1"/>
  <c r="B7132" i="2" s="1"/>
  <c r="O811" i="1"/>
  <c r="B7131" i="2" s="1"/>
  <c r="N811" i="1"/>
  <c r="B7130" i="2" s="1"/>
  <c r="M811" i="1"/>
  <c r="B7129" i="2" s="1"/>
  <c r="L811" i="1"/>
  <c r="B7128" i="2" s="1"/>
  <c r="U810" i="1"/>
  <c r="T810" i="1"/>
  <c r="B7127" i="2" s="1"/>
  <c r="S810" i="1"/>
  <c r="B7126" i="2" s="1"/>
  <c r="R810" i="1"/>
  <c r="B7125" i="2" s="1"/>
  <c r="Q810" i="1"/>
  <c r="B7124" i="2" s="1"/>
  <c r="P810" i="1"/>
  <c r="B7123" i="2" s="1"/>
  <c r="O810" i="1"/>
  <c r="B7122" i="2" s="1"/>
  <c r="N810" i="1"/>
  <c r="B7121" i="2" s="1"/>
  <c r="M810" i="1"/>
  <c r="B7120" i="2" s="1"/>
  <c r="L810" i="1"/>
  <c r="B7119" i="2" s="1"/>
  <c r="K810" i="1"/>
  <c r="U809" i="1"/>
  <c r="T809" i="1"/>
  <c r="B7118" i="2" s="1"/>
  <c r="S809" i="1"/>
  <c r="B7117" i="2" s="1"/>
  <c r="R809" i="1"/>
  <c r="B7116" i="2" s="1"/>
  <c r="Q809" i="1"/>
  <c r="B7115" i="2" s="1"/>
  <c r="P809" i="1"/>
  <c r="B7114" i="2" s="1"/>
  <c r="O809" i="1"/>
  <c r="B7113" i="2" s="1"/>
  <c r="N809" i="1"/>
  <c r="B7112" i="2" s="1"/>
  <c r="M809" i="1"/>
  <c r="B7111" i="2" s="1"/>
  <c r="L809" i="1"/>
  <c r="B7110" i="2" s="1"/>
  <c r="T808" i="1"/>
  <c r="B7109" i="2" s="1"/>
  <c r="S808" i="1"/>
  <c r="B7108" i="2" s="1"/>
  <c r="R808" i="1"/>
  <c r="B7107" i="2" s="1"/>
  <c r="Q808" i="1"/>
  <c r="B7106" i="2" s="1"/>
  <c r="P808" i="1"/>
  <c r="B7105" i="2" s="1"/>
  <c r="O808" i="1"/>
  <c r="B7104" i="2" s="1"/>
  <c r="N808" i="1"/>
  <c r="B7103" i="2" s="1"/>
  <c r="M808" i="1"/>
  <c r="B7102" i="2" s="1"/>
  <c r="L808" i="1"/>
  <c r="B7101" i="2" s="1"/>
  <c r="T807" i="1"/>
  <c r="B7100" i="2" s="1"/>
  <c r="S807" i="1"/>
  <c r="B7099" i="2" s="1"/>
  <c r="R807" i="1"/>
  <c r="B7098" i="2" s="1"/>
  <c r="Q807" i="1"/>
  <c r="B7097" i="2" s="1"/>
  <c r="P807" i="1"/>
  <c r="B7096" i="2" s="1"/>
  <c r="O807" i="1"/>
  <c r="B7095" i="2" s="1"/>
  <c r="N807" i="1"/>
  <c r="B7094" i="2" s="1"/>
  <c r="M807" i="1"/>
  <c r="B7093" i="2" s="1"/>
  <c r="L807" i="1"/>
  <c r="B7092" i="2" s="1"/>
  <c r="K807" i="1"/>
  <c r="U806" i="1"/>
  <c r="T806" i="1"/>
  <c r="B7091" i="2" s="1"/>
  <c r="S806" i="1"/>
  <c r="B7090" i="2" s="1"/>
  <c r="R806" i="1"/>
  <c r="B7089" i="2" s="1"/>
  <c r="Q806" i="1"/>
  <c r="B7088" i="2" s="1"/>
  <c r="P806" i="1"/>
  <c r="B7087" i="2" s="1"/>
  <c r="O806" i="1"/>
  <c r="B7086" i="2" s="1"/>
  <c r="N806" i="1"/>
  <c r="B7085" i="2" s="1"/>
  <c r="M806" i="1"/>
  <c r="B7084" i="2" s="1"/>
  <c r="L806" i="1"/>
  <c r="B7083" i="2" s="1"/>
  <c r="T805" i="1"/>
  <c r="B7082" i="2" s="1"/>
  <c r="S805" i="1"/>
  <c r="B7081" i="2" s="1"/>
  <c r="R805" i="1"/>
  <c r="B7080" i="2" s="1"/>
  <c r="Q805" i="1"/>
  <c r="B7079" i="2" s="1"/>
  <c r="P805" i="1"/>
  <c r="B7078" i="2" s="1"/>
  <c r="O805" i="1"/>
  <c r="B7077" i="2" s="1"/>
  <c r="N805" i="1"/>
  <c r="B7076" i="2" s="1"/>
  <c r="M805" i="1"/>
  <c r="B7075" i="2" s="1"/>
  <c r="L805" i="1"/>
  <c r="B7074" i="2" s="1"/>
  <c r="T804" i="1"/>
  <c r="B7073" i="2" s="1"/>
  <c r="S804" i="1"/>
  <c r="B7072" i="2" s="1"/>
  <c r="R804" i="1"/>
  <c r="B7071" i="2" s="1"/>
  <c r="Q804" i="1"/>
  <c r="B7070" i="2" s="1"/>
  <c r="P804" i="1"/>
  <c r="B7069" i="2" s="1"/>
  <c r="O804" i="1"/>
  <c r="B7068" i="2" s="1"/>
  <c r="N804" i="1"/>
  <c r="B7067" i="2" s="1"/>
  <c r="M804" i="1"/>
  <c r="B7066" i="2" s="1"/>
  <c r="L804" i="1"/>
  <c r="B7065" i="2" s="1"/>
  <c r="T803" i="1"/>
  <c r="B7064" i="2" s="1"/>
  <c r="S803" i="1"/>
  <c r="B7063" i="2" s="1"/>
  <c r="R803" i="1"/>
  <c r="B7062" i="2" s="1"/>
  <c r="Q803" i="1"/>
  <c r="B7061" i="2" s="1"/>
  <c r="P803" i="1"/>
  <c r="B7060" i="2" s="1"/>
  <c r="O803" i="1"/>
  <c r="B7059" i="2" s="1"/>
  <c r="N803" i="1"/>
  <c r="B7058" i="2" s="1"/>
  <c r="M803" i="1"/>
  <c r="B7057" i="2" s="1"/>
  <c r="L803" i="1"/>
  <c r="B7056" i="2" s="1"/>
  <c r="T802" i="1"/>
  <c r="B7055" i="2" s="1"/>
  <c r="S802" i="1"/>
  <c r="B7054" i="2" s="1"/>
  <c r="R802" i="1"/>
  <c r="B7053" i="2" s="1"/>
  <c r="Q802" i="1"/>
  <c r="B7052" i="2" s="1"/>
  <c r="P802" i="1"/>
  <c r="B7051" i="2" s="1"/>
  <c r="O802" i="1"/>
  <c r="B7050" i="2" s="1"/>
  <c r="N802" i="1"/>
  <c r="B7049" i="2" s="1"/>
  <c r="M802" i="1"/>
  <c r="B7048" i="2" s="1"/>
  <c r="L802" i="1"/>
  <c r="B7047" i="2" s="1"/>
  <c r="T801" i="1"/>
  <c r="B7046" i="2" s="1"/>
  <c r="S801" i="1"/>
  <c r="B7045" i="2" s="1"/>
  <c r="R801" i="1"/>
  <c r="B7044" i="2" s="1"/>
  <c r="Q801" i="1"/>
  <c r="B7043" i="2" s="1"/>
  <c r="P801" i="1"/>
  <c r="B7042" i="2" s="1"/>
  <c r="O801" i="1"/>
  <c r="B7041" i="2" s="1"/>
  <c r="N801" i="1"/>
  <c r="B7040" i="2" s="1"/>
  <c r="M801" i="1"/>
  <c r="B7039" i="2" s="1"/>
  <c r="L801" i="1"/>
  <c r="B7038" i="2" s="1"/>
  <c r="T800" i="1"/>
  <c r="B7037" i="2" s="1"/>
  <c r="S800" i="1"/>
  <c r="B7036" i="2" s="1"/>
  <c r="R800" i="1"/>
  <c r="B7035" i="2" s="1"/>
  <c r="Q800" i="1"/>
  <c r="B7034" i="2" s="1"/>
  <c r="P800" i="1"/>
  <c r="B7033" i="2" s="1"/>
  <c r="O800" i="1"/>
  <c r="B7032" i="2" s="1"/>
  <c r="N800" i="1"/>
  <c r="B7031" i="2" s="1"/>
  <c r="M800" i="1"/>
  <c r="B7030" i="2" s="1"/>
  <c r="L800" i="1"/>
  <c r="B7029" i="2" s="1"/>
  <c r="T799" i="1"/>
  <c r="B7028" i="2" s="1"/>
  <c r="S799" i="1"/>
  <c r="B7027" i="2" s="1"/>
  <c r="R799" i="1"/>
  <c r="B7026" i="2" s="1"/>
  <c r="Q799" i="1"/>
  <c r="B7025" i="2" s="1"/>
  <c r="P799" i="1"/>
  <c r="B7024" i="2" s="1"/>
  <c r="O799" i="1"/>
  <c r="B7023" i="2" s="1"/>
  <c r="N799" i="1"/>
  <c r="B7022" i="2" s="1"/>
  <c r="M799" i="1"/>
  <c r="B7021" i="2" s="1"/>
  <c r="L799" i="1"/>
  <c r="B7020" i="2" s="1"/>
  <c r="T798" i="1"/>
  <c r="B7019" i="2" s="1"/>
  <c r="S798" i="1"/>
  <c r="B7018" i="2" s="1"/>
  <c r="R798" i="1"/>
  <c r="B7017" i="2" s="1"/>
  <c r="Q798" i="1"/>
  <c r="B7016" i="2" s="1"/>
  <c r="P798" i="1"/>
  <c r="B7015" i="2" s="1"/>
  <c r="O798" i="1"/>
  <c r="B7014" i="2" s="1"/>
  <c r="N798" i="1"/>
  <c r="B7013" i="2" s="1"/>
  <c r="M798" i="1"/>
  <c r="B7012" i="2" s="1"/>
  <c r="L798" i="1"/>
  <c r="B7011" i="2" s="1"/>
  <c r="U797" i="1"/>
  <c r="T797" i="1"/>
  <c r="B7010" i="2" s="1"/>
  <c r="S797" i="1"/>
  <c r="B7009" i="2" s="1"/>
  <c r="R797" i="1"/>
  <c r="B7008" i="2" s="1"/>
  <c r="Q797" i="1"/>
  <c r="B7007" i="2" s="1"/>
  <c r="P797" i="1"/>
  <c r="B7006" i="2" s="1"/>
  <c r="O797" i="1"/>
  <c r="B7005" i="2" s="1"/>
  <c r="N797" i="1"/>
  <c r="B7004" i="2" s="1"/>
  <c r="M797" i="1"/>
  <c r="B7003" i="2" s="1"/>
  <c r="L797" i="1"/>
  <c r="B7002" i="2" s="1"/>
  <c r="T796" i="1"/>
  <c r="B7001" i="2" s="1"/>
  <c r="S796" i="1"/>
  <c r="B7000" i="2" s="1"/>
  <c r="R796" i="1"/>
  <c r="B6999" i="2" s="1"/>
  <c r="Q796" i="1"/>
  <c r="B6998" i="2" s="1"/>
  <c r="P796" i="1"/>
  <c r="B6997" i="2" s="1"/>
  <c r="O796" i="1"/>
  <c r="B6996" i="2" s="1"/>
  <c r="N796" i="1"/>
  <c r="B6995" i="2" s="1"/>
  <c r="M796" i="1"/>
  <c r="B6994" i="2" s="1"/>
  <c r="L796" i="1"/>
  <c r="B6993" i="2" s="1"/>
  <c r="T795" i="1"/>
  <c r="B6992" i="2" s="1"/>
  <c r="S795" i="1"/>
  <c r="B6991" i="2" s="1"/>
  <c r="R795" i="1"/>
  <c r="B6990" i="2" s="1"/>
  <c r="Q795" i="1"/>
  <c r="B6989" i="2" s="1"/>
  <c r="P795" i="1"/>
  <c r="B6988" i="2" s="1"/>
  <c r="O795" i="1"/>
  <c r="B6987" i="2" s="1"/>
  <c r="N795" i="1"/>
  <c r="B6986" i="2" s="1"/>
  <c r="M795" i="1"/>
  <c r="B6985" i="2" s="1"/>
  <c r="L795" i="1"/>
  <c r="B6984" i="2" s="1"/>
  <c r="T794" i="1"/>
  <c r="B6983" i="2" s="1"/>
  <c r="S794" i="1"/>
  <c r="B6982" i="2" s="1"/>
  <c r="R794" i="1"/>
  <c r="B6981" i="2" s="1"/>
  <c r="Q794" i="1"/>
  <c r="B6980" i="2" s="1"/>
  <c r="P794" i="1"/>
  <c r="B6979" i="2" s="1"/>
  <c r="O794" i="1"/>
  <c r="B6978" i="2" s="1"/>
  <c r="N794" i="1"/>
  <c r="B6977" i="2" s="1"/>
  <c r="M794" i="1"/>
  <c r="B6976" i="2" s="1"/>
  <c r="L794" i="1"/>
  <c r="B6975" i="2" s="1"/>
  <c r="U793" i="1"/>
  <c r="T793" i="1"/>
  <c r="B6974" i="2" s="1"/>
  <c r="S793" i="1"/>
  <c r="B6973" i="2" s="1"/>
  <c r="R793" i="1"/>
  <c r="B6972" i="2" s="1"/>
  <c r="Q793" i="1"/>
  <c r="B6971" i="2" s="1"/>
  <c r="P793" i="1"/>
  <c r="B6970" i="2" s="1"/>
  <c r="O793" i="1"/>
  <c r="B6969" i="2" s="1"/>
  <c r="N793" i="1"/>
  <c r="B6968" i="2" s="1"/>
  <c r="M793" i="1"/>
  <c r="B6967" i="2" s="1"/>
  <c r="L793" i="1"/>
  <c r="B6966" i="2" s="1"/>
  <c r="T792" i="1"/>
  <c r="B6965" i="2" s="1"/>
  <c r="S792" i="1"/>
  <c r="B6964" i="2" s="1"/>
  <c r="R792" i="1"/>
  <c r="B6963" i="2" s="1"/>
  <c r="Q792" i="1"/>
  <c r="B6962" i="2" s="1"/>
  <c r="P792" i="1"/>
  <c r="B6961" i="2" s="1"/>
  <c r="O792" i="1"/>
  <c r="B6960" i="2" s="1"/>
  <c r="N792" i="1"/>
  <c r="B6959" i="2" s="1"/>
  <c r="M792" i="1"/>
  <c r="B6958" i="2" s="1"/>
  <c r="L792" i="1"/>
  <c r="B6957" i="2" s="1"/>
  <c r="T791" i="1"/>
  <c r="B6956" i="2" s="1"/>
  <c r="S791" i="1"/>
  <c r="B6955" i="2" s="1"/>
  <c r="R791" i="1"/>
  <c r="B6954" i="2" s="1"/>
  <c r="Q791" i="1"/>
  <c r="B6953" i="2" s="1"/>
  <c r="P791" i="1"/>
  <c r="B6952" i="2" s="1"/>
  <c r="O791" i="1"/>
  <c r="B6951" i="2" s="1"/>
  <c r="N791" i="1"/>
  <c r="B6950" i="2" s="1"/>
  <c r="M791" i="1"/>
  <c r="B6949" i="2" s="1"/>
  <c r="L791" i="1"/>
  <c r="B6948" i="2" s="1"/>
  <c r="K791" i="1"/>
  <c r="U790" i="1"/>
  <c r="T790" i="1"/>
  <c r="B6947" i="2" s="1"/>
  <c r="S790" i="1"/>
  <c r="B6946" i="2" s="1"/>
  <c r="R790" i="1"/>
  <c r="B6945" i="2" s="1"/>
  <c r="Q790" i="1"/>
  <c r="B6944" i="2" s="1"/>
  <c r="P790" i="1"/>
  <c r="B6943" i="2" s="1"/>
  <c r="O790" i="1"/>
  <c r="B6942" i="2" s="1"/>
  <c r="N790" i="1"/>
  <c r="B6941" i="2" s="1"/>
  <c r="M790" i="1"/>
  <c r="B6940" i="2" s="1"/>
  <c r="L790" i="1"/>
  <c r="B6939" i="2" s="1"/>
  <c r="T789" i="1"/>
  <c r="B6938" i="2" s="1"/>
  <c r="S789" i="1"/>
  <c r="B6937" i="2" s="1"/>
  <c r="R789" i="1"/>
  <c r="B6936" i="2" s="1"/>
  <c r="Q789" i="1"/>
  <c r="B6935" i="2" s="1"/>
  <c r="P789" i="1"/>
  <c r="B6934" i="2" s="1"/>
  <c r="O789" i="1"/>
  <c r="B6933" i="2" s="1"/>
  <c r="N789" i="1"/>
  <c r="B6932" i="2" s="1"/>
  <c r="M789" i="1"/>
  <c r="B6931" i="2" s="1"/>
  <c r="L789" i="1"/>
  <c r="B6930" i="2" s="1"/>
  <c r="T788" i="1"/>
  <c r="B6929" i="2" s="1"/>
  <c r="S788" i="1"/>
  <c r="B6928" i="2" s="1"/>
  <c r="R788" i="1"/>
  <c r="B6927" i="2" s="1"/>
  <c r="Q788" i="1"/>
  <c r="B6926" i="2" s="1"/>
  <c r="P788" i="1"/>
  <c r="B6925" i="2" s="1"/>
  <c r="O788" i="1"/>
  <c r="B6924" i="2" s="1"/>
  <c r="N788" i="1"/>
  <c r="B6923" i="2" s="1"/>
  <c r="M788" i="1"/>
  <c r="B6922" i="2" s="1"/>
  <c r="L788" i="1"/>
  <c r="B6921" i="2" s="1"/>
  <c r="T787" i="1"/>
  <c r="B6920" i="2" s="1"/>
  <c r="S787" i="1"/>
  <c r="B6919" i="2" s="1"/>
  <c r="R787" i="1"/>
  <c r="B6918" i="2" s="1"/>
  <c r="Q787" i="1"/>
  <c r="B6917" i="2" s="1"/>
  <c r="P787" i="1"/>
  <c r="B6916" i="2" s="1"/>
  <c r="O787" i="1"/>
  <c r="B6915" i="2" s="1"/>
  <c r="N787" i="1"/>
  <c r="B6914" i="2" s="1"/>
  <c r="M787" i="1"/>
  <c r="B6913" i="2" s="1"/>
  <c r="L787" i="1"/>
  <c r="B6912" i="2" s="1"/>
  <c r="T786" i="1"/>
  <c r="B6911" i="2" s="1"/>
  <c r="S786" i="1"/>
  <c r="B6910" i="2" s="1"/>
  <c r="R786" i="1"/>
  <c r="B6909" i="2" s="1"/>
  <c r="Q786" i="1"/>
  <c r="B6908" i="2" s="1"/>
  <c r="P786" i="1"/>
  <c r="B6907" i="2" s="1"/>
  <c r="O786" i="1"/>
  <c r="B6906" i="2" s="1"/>
  <c r="N786" i="1"/>
  <c r="B6905" i="2" s="1"/>
  <c r="M786" i="1"/>
  <c r="B6904" i="2" s="1"/>
  <c r="L786" i="1"/>
  <c r="B6903" i="2" s="1"/>
  <c r="T785" i="1"/>
  <c r="B6902" i="2" s="1"/>
  <c r="S785" i="1"/>
  <c r="B6901" i="2" s="1"/>
  <c r="R785" i="1"/>
  <c r="B6900" i="2" s="1"/>
  <c r="Q785" i="1"/>
  <c r="B6899" i="2" s="1"/>
  <c r="P785" i="1"/>
  <c r="B6898" i="2" s="1"/>
  <c r="O785" i="1"/>
  <c r="B6897" i="2" s="1"/>
  <c r="N785" i="1"/>
  <c r="B6896" i="2" s="1"/>
  <c r="M785" i="1"/>
  <c r="B6895" i="2" s="1"/>
  <c r="L785" i="1"/>
  <c r="B6894" i="2" s="1"/>
  <c r="T784" i="1"/>
  <c r="B6893" i="2" s="1"/>
  <c r="S784" i="1"/>
  <c r="B6892" i="2" s="1"/>
  <c r="R784" i="1"/>
  <c r="B6891" i="2" s="1"/>
  <c r="Q784" i="1"/>
  <c r="B6890" i="2" s="1"/>
  <c r="P784" i="1"/>
  <c r="B6889" i="2" s="1"/>
  <c r="O784" i="1"/>
  <c r="B6888" i="2" s="1"/>
  <c r="N784" i="1"/>
  <c r="B6887" i="2" s="1"/>
  <c r="M784" i="1"/>
  <c r="B6886" i="2" s="1"/>
  <c r="L784" i="1"/>
  <c r="B6885" i="2" s="1"/>
  <c r="T783" i="1"/>
  <c r="B6884" i="2" s="1"/>
  <c r="S783" i="1"/>
  <c r="B6883" i="2" s="1"/>
  <c r="R783" i="1"/>
  <c r="B6882" i="2" s="1"/>
  <c r="Q783" i="1"/>
  <c r="B6881" i="2" s="1"/>
  <c r="P783" i="1"/>
  <c r="B6880" i="2" s="1"/>
  <c r="O783" i="1"/>
  <c r="B6879" i="2" s="1"/>
  <c r="N783" i="1"/>
  <c r="B6878" i="2" s="1"/>
  <c r="M783" i="1"/>
  <c r="B6877" i="2" s="1"/>
  <c r="L783" i="1"/>
  <c r="B6876" i="2" s="1"/>
  <c r="T782" i="1"/>
  <c r="B6875" i="2" s="1"/>
  <c r="S782" i="1"/>
  <c r="B6874" i="2" s="1"/>
  <c r="R782" i="1"/>
  <c r="B6873" i="2" s="1"/>
  <c r="Q782" i="1"/>
  <c r="B6872" i="2" s="1"/>
  <c r="P782" i="1"/>
  <c r="B6871" i="2" s="1"/>
  <c r="O782" i="1"/>
  <c r="B6870" i="2" s="1"/>
  <c r="N782" i="1"/>
  <c r="B6869" i="2" s="1"/>
  <c r="M782" i="1"/>
  <c r="B6868" i="2" s="1"/>
  <c r="L782" i="1"/>
  <c r="B6867" i="2" s="1"/>
  <c r="T781" i="1"/>
  <c r="B6866" i="2" s="1"/>
  <c r="S781" i="1"/>
  <c r="B6865" i="2" s="1"/>
  <c r="R781" i="1"/>
  <c r="B6864" i="2" s="1"/>
  <c r="Q781" i="1"/>
  <c r="B6863" i="2" s="1"/>
  <c r="P781" i="1"/>
  <c r="B6862" i="2" s="1"/>
  <c r="O781" i="1"/>
  <c r="B6861" i="2" s="1"/>
  <c r="N781" i="1"/>
  <c r="B6860" i="2" s="1"/>
  <c r="M781" i="1"/>
  <c r="B6859" i="2" s="1"/>
  <c r="L781" i="1"/>
  <c r="B6858" i="2" s="1"/>
  <c r="T780" i="1"/>
  <c r="B6857" i="2" s="1"/>
  <c r="S780" i="1"/>
  <c r="B6856" i="2" s="1"/>
  <c r="R780" i="1"/>
  <c r="B6855" i="2" s="1"/>
  <c r="Q780" i="1"/>
  <c r="B6854" i="2" s="1"/>
  <c r="P780" i="1"/>
  <c r="B6853" i="2" s="1"/>
  <c r="O780" i="1"/>
  <c r="B6852" i="2" s="1"/>
  <c r="N780" i="1"/>
  <c r="B6851" i="2" s="1"/>
  <c r="M780" i="1"/>
  <c r="B6850" i="2" s="1"/>
  <c r="L780" i="1"/>
  <c r="B6849" i="2" s="1"/>
  <c r="T779" i="1"/>
  <c r="B6848" i="2" s="1"/>
  <c r="S779" i="1"/>
  <c r="B6847" i="2" s="1"/>
  <c r="R779" i="1"/>
  <c r="B6846" i="2" s="1"/>
  <c r="Q779" i="1"/>
  <c r="B6845" i="2" s="1"/>
  <c r="P779" i="1"/>
  <c r="B6844" i="2" s="1"/>
  <c r="O779" i="1"/>
  <c r="B6843" i="2" s="1"/>
  <c r="N779" i="1"/>
  <c r="B6842" i="2" s="1"/>
  <c r="M779" i="1"/>
  <c r="B6841" i="2" s="1"/>
  <c r="L779" i="1"/>
  <c r="B6840" i="2" s="1"/>
  <c r="T778" i="1"/>
  <c r="B6839" i="2" s="1"/>
  <c r="S778" i="1"/>
  <c r="B6838" i="2" s="1"/>
  <c r="R778" i="1"/>
  <c r="B6837" i="2" s="1"/>
  <c r="Q778" i="1"/>
  <c r="B6836" i="2" s="1"/>
  <c r="P778" i="1"/>
  <c r="B6835" i="2" s="1"/>
  <c r="O778" i="1"/>
  <c r="B6834" i="2" s="1"/>
  <c r="N778" i="1"/>
  <c r="B6833" i="2" s="1"/>
  <c r="M778" i="1"/>
  <c r="B6832" i="2" s="1"/>
  <c r="L778" i="1"/>
  <c r="B6831" i="2" s="1"/>
  <c r="U777" i="1"/>
  <c r="T777" i="1"/>
  <c r="B6830" i="2" s="1"/>
  <c r="S777" i="1"/>
  <c r="B6829" i="2" s="1"/>
  <c r="R777" i="1"/>
  <c r="B6828" i="2" s="1"/>
  <c r="Q777" i="1"/>
  <c r="B6827" i="2" s="1"/>
  <c r="P777" i="1"/>
  <c r="B6826" i="2" s="1"/>
  <c r="O777" i="1"/>
  <c r="B6825" i="2" s="1"/>
  <c r="N777" i="1"/>
  <c r="B6824" i="2" s="1"/>
  <c r="M777" i="1"/>
  <c r="B6823" i="2" s="1"/>
  <c r="L777" i="1"/>
  <c r="B6822" i="2" s="1"/>
  <c r="T776" i="1"/>
  <c r="B6821" i="2" s="1"/>
  <c r="S776" i="1"/>
  <c r="B6820" i="2" s="1"/>
  <c r="R776" i="1"/>
  <c r="B6819" i="2" s="1"/>
  <c r="Q776" i="1"/>
  <c r="B6818" i="2" s="1"/>
  <c r="P776" i="1"/>
  <c r="B6817" i="2" s="1"/>
  <c r="O776" i="1"/>
  <c r="B6816" i="2" s="1"/>
  <c r="N776" i="1"/>
  <c r="B6815" i="2" s="1"/>
  <c r="M776" i="1"/>
  <c r="B6814" i="2" s="1"/>
  <c r="L776" i="1"/>
  <c r="B6813" i="2" s="1"/>
  <c r="T775" i="1"/>
  <c r="B6812" i="2" s="1"/>
  <c r="S775" i="1"/>
  <c r="B6811" i="2" s="1"/>
  <c r="R775" i="1"/>
  <c r="B6810" i="2" s="1"/>
  <c r="Q775" i="1"/>
  <c r="B6809" i="2" s="1"/>
  <c r="P775" i="1"/>
  <c r="B6808" i="2" s="1"/>
  <c r="O775" i="1"/>
  <c r="B6807" i="2" s="1"/>
  <c r="N775" i="1"/>
  <c r="B6806" i="2" s="1"/>
  <c r="M775" i="1"/>
  <c r="B6805" i="2" s="1"/>
  <c r="L775" i="1"/>
  <c r="B6804" i="2" s="1"/>
  <c r="K775" i="1"/>
  <c r="U774" i="1"/>
  <c r="T774" i="1"/>
  <c r="B6803" i="2" s="1"/>
  <c r="S774" i="1"/>
  <c r="B6802" i="2" s="1"/>
  <c r="R774" i="1"/>
  <c r="B6801" i="2" s="1"/>
  <c r="Q774" i="1"/>
  <c r="B6800" i="2" s="1"/>
  <c r="P774" i="1"/>
  <c r="B6799" i="2" s="1"/>
  <c r="O774" i="1"/>
  <c r="B6798" i="2" s="1"/>
  <c r="N774" i="1"/>
  <c r="B6797" i="2" s="1"/>
  <c r="M774" i="1"/>
  <c r="B6796" i="2" s="1"/>
  <c r="L774" i="1"/>
  <c r="B6795" i="2" s="1"/>
  <c r="T773" i="1"/>
  <c r="B6794" i="2" s="1"/>
  <c r="S773" i="1"/>
  <c r="B6793" i="2" s="1"/>
  <c r="R773" i="1"/>
  <c r="B6792" i="2" s="1"/>
  <c r="Q773" i="1"/>
  <c r="B6791" i="2" s="1"/>
  <c r="P773" i="1"/>
  <c r="B6790" i="2" s="1"/>
  <c r="O773" i="1"/>
  <c r="B6789" i="2" s="1"/>
  <c r="N773" i="1"/>
  <c r="B6788" i="2" s="1"/>
  <c r="M773" i="1"/>
  <c r="B6787" i="2" s="1"/>
  <c r="L773" i="1"/>
  <c r="B6786" i="2" s="1"/>
  <c r="T772" i="1"/>
  <c r="B6785" i="2" s="1"/>
  <c r="S772" i="1"/>
  <c r="B6784" i="2" s="1"/>
  <c r="R772" i="1"/>
  <c r="B6783" i="2" s="1"/>
  <c r="Q772" i="1"/>
  <c r="B6782" i="2" s="1"/>
  <c r="P772" i="1"/>
  <c r="B6781" i="2" s="1"/>
  <c r="O772" i="1"/>
  <c r="B6780" i="2" s="1"/>
  <c r="N772" i="1"/>
  <c r="B6779" i="2" s="1"/>
  <c r="M772" i="1"/>
  <c r="B6778" i="2" s="1"/>
  <c r="L772" i="1"/>
  <c r="B6777" i="2" s="1"/>
  <c r="T771" i="1"/>
  <c r="B6776" i="2" s="1"/>
  <c r="S771" i="1"/>
  <c r="B6775" i="2" s="1"/>
  <c r="R771" i="1"/>
  <c r="B6774" i="2" s="1"/>
  <c r="Q771" i="1"/>
  <c r="B6773" i="2" s="1"/>
  <c r="P771" i="1"/>
  <c r="B6772" i="2" s="1"/>
  <c r="O771" i="1"/>
  <c r="B6771" i="2" s="1"/>
  <c r="N771" i="1"/>
  <c r="B6770" i="2" s="1"/>
  <c r="M771" i="1"/>
  <c r="B6769" i="2" s="1"/>
  <c r="L771" i="1"/>
  <c r="B6768" i="2" s="1"/>
  <c r="T770" i="1"/>
  <c r="B6767" i="2" s="1"/>
  <c r="S770" i="1"/>
  <c r="B6766" i="2" s="1"/>
  <c r="R770" i="1"/>
  <c r="B6765" i="2" s="1"/>
  <c r="Q770" i="1"/>
  <c r="B6764" i="2" s="1"/>
  <c r="P770" i="1"/>
  <c r="B6763" i="2" s="1"/>
  <c r="O770" i="1"/>
  <c r="B6762" i="2" s="1"/>
  <c r="N770" i="1"/>
  <c r="B6761" i="2" s="1"/>
  <c r="M770" i="1"/>
  <c r="B6760" i="2" s="1"/>
  <c r="L770" i="1"/>
  <c r="B6759" i="2" s="1"/>
  <c r="T769" i="1"/>
  <c r="B6758" i="2" s="1"/>
  <c r="S769" i="1"/>
  <c r="B6757" i="2" s="1"/>
  <c r="R769" i="1"/>
  <c r="B6756" i="2" s="1"/>
  <c r="Q769" i="1"/>
  <c r="B6755" i="2" s="1"/>
  <c r="P769" i="1"/>
  <c r="B6754" i="2" s="1"/>
  <c r="O769" i="1"/>
  <c r="B6753" i="2" s="1"/>
  <c r="N769" i="1"/>
  <c r="B6752" i="2" s="1"/>
  <c r="M769" i="1"/>
  <c r="B6751" i="2" s="1"/>
  <c r="L769" i="1"/>
  <c r="B6750" i="2" s="1"/>
  <c r="T768" i="1"/>
  <c r="B6749" i="2" s="1"/>
  <c r="S768" i="1"/>
  <c r="B6748" i="2" s="1"/>
  <c r="R768" i="1"/>
  <c r="B6747" i="2" s="1"/>
  <c r="Q768" i="1"/>
  <c r="B6746" i="2" s="1"/>
  <c r="P768" i="1"/>
  <c r="B6745" i="2" s="1"/>
  <c r="O768" i="1"/>
  <c r="B6744" i="2" s="1"/>
  <c r="N768" i="1"/>
  <c r="B6743" i="2" s="1"/>
  <c r="M768" i="1"/>
  <c r="B6742" i="2" s="1"/>
  <c r="L768" i="1"/>
  <c r="B6741" i="2" s="1"/>
  <c r="T767" i="1"/>
  <c r="B6740" i="2" s="1"/>
  <c r="S767" i="1"/>
  <c r="B6739" i="2" s="1"/>
  <c r="R767" i="1"/>
  <c r="B6738" i="2" s="1"/>
  <c r="Q767" i="1"/>
  <c r="B6737" i="2" s="1"/>
  <c r="P767" i="1"/>
  <c r="B6736" i="2" s="1"/>
  <c r="O767" i="1"/>
  <c r="B6735" i="2" s="1"/>
  <c r="N767" i="1"/>
  <c r="B6734" i="2" s="1"/>
  <c r="M767" i="1"/>
  <c r="B6733" i="2" s="1"/>
  <c r="L767" i="1"/>
  <c r="B6732" i="2" s="1"/>
  <c r="T766" i="1"/>
  <c r="B6731" i="2" s="1"/>
  <c r="S766" i="1"/>
  <c r="B6730" i="2" s="1"/>
  <c r="R766" i="1"/>
  <c r="B6729" i="2" s="1"/>
  <c r="Q766" i="1"/>
  <c r="B6728" i="2" s="1"/>
  <c r="P766" i="1"/>
  <c r="B6727" i="2" s="1"/>
  <c r="O766" i="1"/>
  <c r="B6726" i="2" s="1"/>
  <c r="N766" i="1"/>
  <c r="B6725" i="2" s="1"/>
  <c r="M766" i="1"/>
  <c r="B6724" i="2" s="1"/>
  <c r="L766" i="1"/>
  <c r="B6723" i="2" s="1"/>
  <c r="T765" i="1"/>
  <c r="B6722" i="2" s="1"/>
  <c r="S765" i="1"/>
  <c r="B6721" i="2" s="1"/>
  <c r="R765" i="1"/>
  <c r="B6720" i="2" s="1"/>
  <c r="Q765" i="1"/>
  <c r="B6719" i="2" s="1"/>
  <c r="P765" i="1"/>
  <c r="B6718" i="2" s="1"/>
  <c r="O765" i="1"/>
  <c r="B6717" i="2" s="1"/>
  <c r="N765" i="1"/>
  <c r="B6716" i="2" s="1"/>
  <c r="M765" i="1"/>
  <c r="B6715" i="2" s="1"/>
  <c r="L765" i="1"/>
  <c r="B6714" i="2" s="1"/>
  <c r="T764" i="1"/>
  <c r="B6713" i="2" s="1"/>
  <c r="S764" i="1"/>
  <c r="B6712" i="2" s="1"/>
  <c r="R764" i="1"/>
  <c r="B6711" i="2" s="1"/>
  <c r="Q764" i="1"/>
  <c r="B6710" i="2" s="1"/>
  <c r="P764" i="1"/>
  <c r="B6709" i="2" s="1"/>
  <c r="O764" i="1"/>
  <c r="B6708" i="2" s="1"/>
  <c r="N764" i="1"/>
  <c r="B6707" i="2" s="1"/>
  <c r="M764" i="1"/>
  <c r="B6706" i="2" s="1"/>
  <c r="L764" i="1"/>
  <c r="B6705" i="2" s="1"/>
  <c r="T763" i="1"/>
  <c r="B6704" i="2" s="1"/>
  <c r="S763" i="1"/>
  <c r="B6703" i="2" s="1"/>
  <c r="R763" i="1"/>
  <c r="B6702" i="2" s="1"/>
  <c r="Q763" i="1"/>
  <c r="B6701" i="2" s="1"/>
  <c r="P763" i="1"/>
  <c r="B6700" i="2" s="1"/>
  <c r="O763" i="1"/>
  <c r="B6699" i="2" s="1"/>
  <c r="N763" i="1"/>
  <c r="B6698" i="2" s="1"/>
  <c r="M763" i="1"/>
  <c r="B6697" i="2" s="1"/>
  <c r="L763" i="1"/>
  <c r="B6696" i="2" s="1"/>
  <c r="T762" i="1"/>
  <c r="B6695" i="2" s="1"/>
  <c r="S762" i="1"/>
  <c r="B6694" i="2" s="1"/>
  <c r="R762" i="1"/>
  <c r="B6693" i="2" s="1"/>
  <c r="Q762" i="1"/>
  <c r="B6692" i="2" s="1"/>
  <c r="P762" i="1"/>
  <c r="B6691" i="2" s="1"/>
  <c r="O762" i="1"/>
  <c r="B6690" i="2" s="1"/>
  <c r="N762" i="1"/>
  <c r="B6689" i="2" s="1"/>
  <c r="M762" i="1"/>
  <c r="B6688" i="2" s="1"/>
  <c r="L762" i="1"/>
  <c r="B6687" i="2" s="1"/>
  <c r="U761" i="1"/>
  <c r="T761" i="1"/>
  <c r="B6686" i="2" s="1"/>
  <c r="S761" i="1"/>
  <c r="B6685" i="2" s="1"/>
  <c r="R761" i="1"/>
  <c r="B6684" i="2" s="1"/>
  <c r="Q761" i="1"/>
  <c r="B6683" i="2" s="1"/>
  <c r="P761" i="1"/>
  <c r="B6682" i="2" s="1"/>
  <c r="O761" i="1"/>
  <c r="B6681" i="2" s="1"/>
  <c r="N761" i="1"/>
  <c r="B6680" i="2" s="1"/>
  <c r="M761" i="1"/>
  <c r="B6679" i="2" s="1"/>
  <c r="L761" i="1"/>
  <c r="B6678" i="2" s="1"/>
  <c r="T760" i="1"/>
  <c r="B6677" i="2" s="1"/>
  <c r="S760" i="1"/>
  <c r="B6676" i="2" s="1"/>
  <c r="R760" i="1"/>
  <c r="B6675" i="2" s="1"/>
  <c r="Q760" i="1"/>
  <c r="B6674" i="2" s="1"/>
  <c r="P760" i="1"/>
  <c r="B6673" i="2" s="1"/>
  <c r="O760" i="1"/>
  <c r="B6672" i="2" s="1"/>
  <c r="N760" i="1"/>
  <c r="B6671" i="2" s="1"/>
  <c r="M760" i="1"/>
  <c r="B6670" i="2" s="1"/>
  <c r="L760" i="1"/>
  <c r="B6669" i="2" s="1"/>
  <c r="T759" i="1"/>
  <c r="B6668" i="2" s="1"/>
  <c r="S759" i="1"/>
  <c r="B6667" i="2" s="1"/>
  <c r="R759" i="1"/>
  <c r="B6666" i="2" s="1"/>
  <c r="Q759" i="1"/>
  <c r="B6665" i="2" s="1"/>
  <c r="P759" i="1"/>
  <c r="B6664" i="2" s="1"/>
  <c r="O759" i="1"/>
  <c r="B6663" i="2" s="1"/>
  <c r="N759" i="1"/>
  <c r="B6662" i="2" s="1"/>
  <c r="M759" i="1"/>
  <c r="B6661" i="2" s="1"/>
  <c r="L759" i="1"/>
  <c r="B6660" i="2" s="1"/>
  <c r="K759" i="1"/>
  <c r="U758" i="1"/>
  <c r="T758" i="1"/>
  <c r="B6659" i="2" s="1"/>
  <c r="S758" i="1"/>
  <c r="B6658" i="2" s="1"/>
  <c r="R758" i="1"/>
  <c r="B6657" i="2" s="1"/>
  <c r="Q758" i="1"/>
  <c r="B6656" i="2" s="1"/>
  <c r="P758" i="1"/>
  <c r="B6655" i="2" s="1"/>
  <c r="O758" i="1"/>
  <c r="B6654" i="2" s="1"/>
  <c r="N758" i="1"/>
  <c r="B6653" i="2" s="1"/>
  <c r="M758" i="1"/>
  <c r="B6652" i="2" s="1"/>
  <c r="L758" i="1"/>
  <c r="B6651" i="2" s="1"/>
  <c r="T757" i="1"/>
  <c r="B6650" i="2" s="1"/>
  <c r="S757" i="1"/>
  <c r="B6649" i="2" s="1"/>
  <c r="R757" i="1"/>
  <c r="B6648" i="2" s="1"/>
  <c r="Q757" i="1"/>
  <c r="B6647" i="2" s="1"/>
  <c r="P757" i="1"/>
  <c r="B6646" i="2" s="1"/>
  <c r="O757" i="1"/>
  <c r="B6645" i="2" s="1"/>
  <c r="N757" i="1"/>
  <c r="B6644" i="2" s="1"/>
  <c r="M757" i="1"/>
  <c r="B6643" i="2" s="1"/>
  <c r="L757" i="1"/>
  <c r="B6642" i="2" s="1"/>
  <c r="T756" i="1"/>
  <c r="B6641" i="2" s="1"/>
  <c r="S756" i="1"/>
  <c r="B6640" i="2" s="1"/>
  <c r="R756" i="1"/>
  <c r="B6639" i="2" s="1"/>
  <c r="Q756" i="1"/>
  <c r="B6638" i="2" s="1"/>
  <c r="P756" i="1"/>
  <c r="B6637" i="2" s="1"/>
  <c r="O756" i="1"/>
  <c r="B6636" i="2" s="1"/>
  <c r="N756" i="1"/>
  <c r="B6635" i="2" s="1"/>
  <c r="M756" i="1"/>
  <c r="B6634" i="2" s="1"/>
  <c r="L756" i="1"/>
  <c r="B6633" i="2" s="1"/>
  <c r="T755" i="1"/>
  <c r="B6632" i="2" s="1"/>
  <c r="S755" i="1"/>
  <c r="B6631" i="2" s="1"/>
  <c r="R755" i="1"/>
  <c r="B6630" i="2" s="1"/>
  <c r="Q755" i="1"/>
  <c r="B6629" i="2" s="1"/>
  <c r="P755" i="1"/>
  <c r="B6628" i="2" s="1"/>
  <c r="O755" i="1"/>
  <c r="B6627" i="2" s="1"/>
  <c r="N755" i="1"/>
  <c r="B6626" i="2" s="1"/>
  <c r="M755" i="1"/>
  <c r="B6625" i="2" s="1"/>
  <c r="L755" i="1"/>
  <c r="B6624" i="2" s="1"/>
  <c r="T754" i="1"/>
  <c r="B6623" i="2" s="1"/>
  <c r="S754" i="1"/>
  <c r="B6622" i="2" s="1"/>
  <c r="R754" i="1"/>
  <c r="B6621" i="2" s="1"/>
  <c r="Q754" i="1"/>
  <c r="B6620" i="2" s="1"/>
  <c r="P754" i="1"/>
  <c r="B6619" i="2" s="1"/>
  <c r="O754" i="1"/>
  <c r="B6618" i="2" s="1"/>
  <c r="N754" i="1"/>
  <c r="B6617" i="2" s="1"/>
  <c r="M754" i="1"/>
  <c r="B6616" i="2" s="1"/>
  <c r="L754" i="1"/>
  <c r="B6615" i="2" s="1"/>
  <c r="T753" i="1"/>
  <c r="B6614" i="2" s="1"/>
  <c r="S753" i="1"/>
  <c r="B6613" i="2" s="1"/>
  <c r="R753" i="1"/>
  <c r="B6612" i="2" s="1"/>
  <c r="Q753" i="1"/>
  <c r="B6611" i="2" s="1"/>
  <c r="P753" i="1"/>
  <c r="B6610" i="2" s="1"/>
  <c r="O753" i="1"/>
  <c r="B6609" i="2" s="1"/>
  <c r="N753" i="1"/>
  <c r="B6608" i="2" s="1"/>
  <c r="M753" i="1"/>
  <c r="B6607" i="2" s="1"/>
  <c r="L753" i="1"/>
  <c r="B6606" i="2" s="1"/>
  <c r="T752" i="1"/>
  <c r="B6605" i="2" s="1"/>
  <c r="S752" i="1"/>
  <c r="B6604" i="2" s="1"/>
  <c r="R752" i="1"/>
  <c r="B6603" i="2" s="1"/>
  <c r="Q752" i="1"/>
  <c r="B6602" i="2" s="1"/>
  <c r="P752" i="1"/>
  <c r="B6601" i="2" s="1"/>
  <c r="O752" i="1"/>
  <c r="B6600" i="2" s="1"/>
  <c r="N752" i="1"/>
  <c r="B6599" i="2" s="1"/>
  <c r="M752" i="1"/>
  <c r="B6598" i="2" s="1"/>
  <c r="L752" i="1"/>
  <c r="B6597" i="2" s="1"/>
  <c r="T751" i="1"/>
  <c r="B6596" i="2" s="1"/>
  <c r="S751" i="1"/>
  <c r="B6595" i="2" s="1"/>
  <c r="R751" i="1"/>
  <c r="B6594" i="2" s="1"/>
  <c r="Q751" i="1"/>
  <c r="B6593" i="2" s="1"/>
  <c r="P751" i="1"/>
  <c r="B6592" i="2" s="1"/>
  <c r="O751" i="1"/>
  <c r="B6591" i="2" s="1"/>
  <c r="N751" i="1"/>
  <c r="B6590" i="2" s="1"/>
  <c r="M751" i="1"/>
  <c r="B6589" i="2" s="1"/>
  <c r="L751" i="1"/>
  <c r="B6588" i="2" s="1"/>
  <c r="T750" i="1"/>
  <c r="B6587" i="2" s="1"/>
  <c r="S750" i="1"/>
  <c r="B6586" i="2" s="1"/>
  <c r="R750" i="1"/>
  <c r="B6585" i="2" s="1"/>
  <c r="Q750" i="1"/>
  <c r="B6584" i="2" s="1"/>
  <c r="P750" i="1"/>
  <c r="B6583" i="2" s="1"/>
  <c r="O750" i="1"/>
  <c r="B6582" i="2" s="1"/>
  <c r="N750" i="1"/>
  <c r="B6581" i="2" s="1"/>
  <c r="M750" i="1"/>
  <c r="B6580" i="2" s="1"/>
  <c r="L750" i="1"/>
  <c r="B6579" i="2" s="1"/>
  <c r="T749" i="1"/>
  <c r="B6578" i="2" s="1"/>
  <c r="S749" i="1"/>
  <c r="B6577" i="2" s="1"/>
  <c r="R749" i="1"/>
  <c r="B6576" i="2" s="1"/>
  <c r="Q749" i="1"/>
  <c r="B6575" i="2" s="1"/>
  <c r="P749" i="1"/>
  <c r="B6574" i="2" s="1"/>
  <c r="O749" i="1"/>
  <c r="B6573" i="2" s="1"/>
  <c r="N749" i="1"/>
  <c r="B6572" i="2" s="1"/>
  <c r="M749" i="1"/>
  <c r="B6571" i="2" s="1"/>
  <c r="L749" i="1"/>
  <c r="B6570" i="2" s="1"/>
  <c r="T748" i="1"/>
  <c r="B6569" i="2" s="1"/>
  <c r="S748" i="1"/>
  <c r="B6568" i="2" s="1"/>
  <c r="R748" i="1"/>
  <c r="B6567" i="2" s="1"/>
  <c r="Q748" i="1"/>
  <c r="B6566" i="2" s="1"/>
  <c r="P748" i="1"/>
  <c r="B6565" i="2" s="1"/>
  <c r="O748" i="1"/>
  <c r="B6564" i="2" s="1"/>
  <c r="N748" i="1"/>
  <c r="B6563" i="2" s="1"/>
  <c r="M748" i="1"/>
  <c r="B6562" i="2" s="1"/>
  <c r="L748" i="1"/>
  <c r="B6561" i="2" s="1"/>
  <c r="T747" i="1"/>
  <c r="B6560" i="2" s="1"/>
  <c r="S747" i="1"/>
  <c r="B6559" i="2" s="1"/>
  <c r="R747" i="1"/>
  <c r="B6558" i="2" s="1"/>
  <c r="Q747" i="1"/>
  <c r="B6557" i="2" s="1"/>
  <c r="P747" i="1"/>
  <c r="B6556" i="2" s="1"/>
  <c r="O747" i="1"/>
  <c r="B6555" i="2" s="1"/>
  <c r="N747" i="1"/>
  <c r="B6554" i="2" s="1"/>
  <c r="M747" i="1"/>
  <c r="B6553" i="2" s="1"/>
  <c r="L747" i="1"/>
  <c r="B6552" i="2" s="1"/>
  <c r="U746" i="1"/>
  <c r="T746" i="1"/>
  <c r="B6551" i="2" s="1"/>
  <c r="S746" i="1"/>
  <c r="B6550" i="2" s="1"/>
  <c r="R746" i="1"/>
  <c r="B6549" i="2" s="1"/>
  <c r="Q746" i="1"/>
  <c r="B6548" i="2" s="1"/>
  <c r="P746" i="1"/>
  <c r="B6547" i="2" s="1"/>
  <c r="O746" i="1"/>
  <c r="B6546" i="2" s="1"/>
  <c r="N746" i="1"/>
  <c r="B6545" i="2" s="1"/>
  <c r="M746" i="1"/>
  <c r="B6544" i="2" s="1"/>
  <c r="L746" i="1"/>
  <c r="B6543" i="2" s="1"/>
  <c r="K746" i="1"/>
  <c r="U745" i="1"/>
  <c r="T745" i="1"/>
  <c r="B6542" i="2" s="1"/>
  <c r="S745" i="1"/>
  <c r="B6541" i="2" s="1"/>
  <c r="R745" i="1"/>
  <c r="B6540" i="2" s="1"/>
  <c r="Q745" i="1"/>
  <c r="B6539" i="2" s="1"/>
  <c r="P745" i="1"/>
  <c r="B6538" i="2" s="1"/>
  <c r="O745" i="1"/>
  <c r="B6537" i="2" s="1"/>
  <c r="N745" i="1"/>
  <c r="B6536" i="2" s="1"/>
  <c r="M745" i="1"/>
  <c r="B6535" i="2" s="1"/>
  <c r="L745" i="1"/>
  <c r="B6534" i="2" s="1"/>
  <c r="T744" i="1"/>
  <c r="B6533" i="2" s="1"/>
  <c r="S744" i="1"/>
  <c r="B6532" i="2" s="1"/>
  <c r="R744" i="1"/>
  <c r="B6531" i="2" s="1"/>
  <c r="Q744" i="1"/>
  <c r="B6530" i="2" s="1"/>
  <c r="P744" i="1"/>
  <c r="B6529" i="2" s="1"/>
  <c r="O744" i="1"/>
  <c r="B6528" i="2" s="1"/>
  <c r="N744" i="1"/>
  <c r="B6527" i="2" s="1"/>
  <c r="M744" i="1"/>
  <c r="B6526" i="2" s="1"/>
  <c r="L744" i="1"/>
  <c r="B6525" i="2" s="1"/>
  <c r="T743" i="1"/>
  <c r="B6524" i="2" s="1"/>
  <c r="S743" i="1"/>
  <c r="B6523" i="2" s="1"/>
  <c r="R743" i="1"/>
  <c r="B6522" i="2" s="1"/>
  <c r="Q743" i="1"/>
  <c r="B6521" i="2" s="1"/>
  <c r="P743" i="1"/>
  <c r="B6520" i="2" s="1"/>
  <c r="O743" i="1"/>
  <c r="B6519" i="2" s="1"/>
  <c r="N743" i="1"/>
  <c r="B6518" i="2" s="1"/>
  <c r="M743" i="1"/>
  <c r="B6517" i="2" s="1"/>
  <c r="L743" i="1"/>
  <c r="B6516" i="2" s="1"/>
  <c r="K743" i="1"/>
  <c r="T742" i="1"/>
  <c r="B6515" i="2" s="1"/>
  <c r="S742" i="1"/>
  <c r="B6514" i="2" s="1"/>
  <c r="R742" i="1"/>
  <c r="B6513" i="2" s="1"/>
  <c r="Q742" i="1"/>
  <c r="B6512" i="2" s="1"/>
  <c r="P742" i="1"/>
  <c r="B6511" i="2" s="1"/>
  <c r="O742" i="1"/>
  <c r="B6510" i="2" s="1"/>
  <c r="N742" i="1"/>
  <c r="B6509" i="2" s="1"/>
  <c r="M742" i="1"/>
  <c r="B6508" i="2" s="1"/>
  <c r="L742" i="1"/>
  <c r="B6507" i="2" s="1"/>
  <c r="T741" i="1"/>
  <c r="B6506" i="2" s="1"/>
  <c r="S741" i="1"/>
  <c r="B6505" i="2" s="1"/>
  <c r="R741" i="1"/>
  <c r="B6504" i="2" s="1"/>
  <c r="Q741" i="1"/>
  <c r="B6503" i="2" s="1"/>
  <c r="P741" i="1"/>
  <c r="B6502" i="2" s="1"/>
  <c r="O741" i="1"/>
  <c r="B6501" i="2" s="1"/>
  <c r="N741" i="1"/>
  <c r="B6500" i="2" s="1"/>
  <c r="M741" i="1"/>
  <c r="B6499" i="2" s="1"/>
  <c r="L741" i="1"/>
  <c r="B6498" i="2" s="1"/>
  <c r="T740" i="1"/>
  <c r="B6497" i="2" s="1"/>
  <c r="S740" i="1"/>
  <c r="B6496" i="2" s="1"/>
  <c r="R740" i="1"/>
  <c r="B6495" i="2" s="1"/>
  <c r="Q740" i="1"/>
  <c r="B6494" i="2" s="1"/>
  <c r="P740" i="1"/>
  <c r="B6493" i="2" s="1"/>
  <c r="O740" i="1"/>
  <c r="B6492" i="2" s="1"/>
  <c r="N740" i="1"/>
  <c r="B6491" i="2" s="1"/>
  <c r="M740" i="1"/>
  <c r="B6490" i="2" s="1"/>
  <c r="L740" i="1"/>
  <c r="B6489" i="2" s="1"/>
  <c r="T739" i="1"/>
  <c r="B6488" i="2" s="1"/>
  <c r="S739" i="1"/>
  <c r="B6487" i="2" s="1"/>
  <c r="R739" i="1"/>
  <c r="B6486" i="2" s="1"/>
  <c r="Q739" i="1"/>
  <c r="B6485" i="2" s="1"/>
  <c r="P739" i="1"/>
  <c r="B6484" i="2" s="1"/>
  <c r="O739" i="1"/>
  <c r="B6483" i="2" s="1"/>
  <c r="N739" i="1"/>
  <c r="B6482" i="2" s="1"/>
  <c r="M739" i="1"/>
  <c r="B6481" i="2" s="1"/>
  <c r="L739" i="1"/>
  <c r="B6480" i="2" s="1"/>
  <c r="T738" i="1"/>
  <c r="B6479" i="2" s="1"/>
  <c r="S738" i="1"/>
  <c r="B6478" i="2" s="1"/>
  <c r="R738" i="1"/>
  <c r="B6477" i="2" s="1"/>
  <c r="Q738" i="1"/>
  <c r="B6476" i="2" s="1"/>
  <c r="P738" i="1"/>
  <c r="B6475" i="2" s="1"/>
  <c r="O738" i="1"/>
  <c r="B6474" i="2" s="1"/>
  <c r="N738" i="1"/>
  <c r="B6473" i="2" s="1"/>
  <c r="M738" i="1"/>
  <c r="B6472" i="2" s="1"/>
  <c r="L738" i="1"/>
  <c r="B6471" i="2" s="1"/>
  <c r="T737" i="1"/>
  <c r="B6470" i="2" s="1"/>
  <c r="S737" i="1"/>
  <c r="B6469" i="2" s="1"/>
  <c r="R737" i="1"/>
  <c r="B6468" i="2" s="1"/>
  <c r="Q737" i="1"/>
  <c r="B6467" i="2" s="1"/>
  <c r="P737" i="1"/>
  <c r="B6466" i="2" s="1"/>
  <c r="O737" i="1"/>
  <c r="B6465" i="2" s="1"/>
  <c r="N737" i="1"/>
  <c r="B6464" i="2" s="1"/>
  <c r="M737" i="1"/>
  <c r="B6463" i="2" s="1"/>
  <c r="L737" i="1"/>
  <c r="B6462" i="2" s="1"/>
  <c r="T736" i="1"/>
  <c r="B6461" i="2" s="1"/>
  <c r="S736" i="1"/>
  <c r="B6460" i="2" s="1"/>
  <c r="R736" i="1"/>
  <c r="B6459" i="2" s="1"/>
  <c r="Q736" i="1"/>
  <c r="B6458" i="2" s="1"/>
  <c r="P736" i="1"/>
  <c r="B6457" i="2" s="1"/>
  <c r="O736" i="1"/>
  <c r="B6456" i="2" s="1"/>
  <c r="N736" i="1"/>
  <c r="B6455" i="2" s="1"/>
  <c r="M736" i="1"/>
  <c r="B6454" i="2" s="1"/>
  <c r="L736" i="1"/>
  <c r="B6453" i="2" s="1"/>
  <c r="T735" i="1"/>
  <c r="B6452" i="2" s="1"/>
  <c r="S735" i="1"/>
  <c r="B6451" i="2" s="1"/>
  <c r="R735" i="1"/>
  <c r="B6450" i="2" s="1"/>
  <c r="Q735" i="1"/>
  <c r="B6449" i="2" s="1"/>
  <c r="P735" i="1"/>
  <c r="B6448" i="2" s="1"/>
  <c r="O735" i="1"/>
  <c r="B6447" i="2" s="1"/>
  <c r="N735" i="1"/>
  <c r="B6446" i="2" s="1"/>
  <c r="M735" i="1"/>
  <c r="B6445" i="2" s="1"/>
  <c r="L735" i="1"/>
  <c r="B6444" i="2" s="1"/>
  <c r="T734" i="1"/>
  <c r="B6443" i="2" s="1"/>
  <c r="S734" i="1"/>
  <c r="B6442" i="2" s="1"/>
  <c r="R734" i="1"/>
  <c r="B6441" i="2" s="1"/>
  <c r="Q734" i="1"/>
  <c r="B6440" i="2" s="1"/>
  <c r="P734" i="1"/>
  <c r="B6439" i="2" s="1"/>
  <c r="O734" i="1"/>
  <c r="B6438" i="2" s="1"/>
  <c r="N734" i="1"/>
  <c r="B6437" i="2" s="1"/>
  <c r="M734" i="1"/>
  <c r="B6436" i="2" s="1"/>
  <c r="L734" i="1"/>
  <c r="B6435" i="2" s="1"/>
  <c r="T733" i="1"/>
  <c r="B6434" i="2" s="1"/>
  <c r="S733" i="1"/>
  <c r="B6433" i="2" s="1"/>
  <c r="R733" i="1"/>
  <c r="B6432" i="2" s="1"/>
  <c r="Q733" i="1"/>
  <c r="B6431" i="2" s="1"/>
  <c r="P733" i="1"/>
  <c r="B6430" i="2" s="1"/>
  <c r="O733" i="1"/>
  <c r="B6429" i="2" s="1"/>
  <c r="N733" i="1"/>
  <c r="B6428" i="2" s="1"/>
  <c r="M733" i="1"/>
  <c r="B6427" i="2" s="1"/>
  <c r="L733" i="1"/>
  <c r="B6426" i="2" s="1"/>
  <c r="T732" i="1"/>
  <c r="B6425" i="2" s="1"/>
  <c r="S732" i="1"/>
  <c r="B6424" i="2" s="1"/>
  <c r="R732" i="1"/>
  <c r="B6423" i="2" s="1"/>
  <c r="Q732" i="1"/>
  <c r="B6422" i="2" s="1"/>
  <c r="P732" i="1"/>
  <c r="B6421" i="2" s="1"/>
  <c r="O732" i="1"/>
  <c r="B6420" i="2" s="1"/>
  <c r="N732" i="1"/>
  <c r="B6419" i="2" s="1"/>
  <c r="M732" i="1"/>
  <c r="B6418" i="2" s="1"/>
  <c r="L732" i="1"/>
  <c r="B6417" i="2" s="1"/>
  <c r="T731" i="1"/>
  <c r="B6416" i="2" s="1"/>
  <c r="S731" i="1"/>
  <c r="B6415" i="2" s="1"/>
  <c r="R731" i="1"/>
  <c r="B6414" i="2" s="1"/>
  <c r="Q731" i="1"/>
  <c r="B6413" i="2" s="1"/>
  <c r="P731" i="1"/>
  <c r="B6412" i="2" s="1"/>
  <c r="O731" i="1"/>
  <c r="B6411" i="2" s="1"/>
  <c r="N731" i="1"/>
  <c r="B6410" i="2" s="1"/>
  <c r="M731" i="1"/>
  <c r="B6409" i="2" s="1"/>
  <c r="L731" i="1"/>
  <c r="B6408" i="2" s="1"/>
  <c r="T730" i="1"/>
  <c r="B6407" i="2" s="1"/>
  <c r="S730" i="1"/>
  <c r="B6406" i="2" s="1"/>
  <c r="R730" i="1"/>
  <c r="B6405" i="2" s="1"/>
  <c r="Q730" i="1"/>
  <c r="B6404" i="2" s="1"/>
  <c r="P730" i="1"/>
  <c r="B6403" i="2" s="1"/>
  <c r="O730" i="1"/>
  <c r="B6402" i="2" s="1"/>
  <c r="N730" i="1"/>
  <c r="B6401" i="2" s="1"/>
  <c r="M730" i="1"/>
  <c r="B6400" i="2" s="1"/>
  <c r="L730" i="1"/>
  <c r="B6399" i="2" s="1"/>
  <c r="U729" i="1"/>
  <c r="T729" i="1"/>
  <c r="B6398" i="2" s="1"/>
  <c r="S729" i="1"/>
  <c r="B6397" i="2" s="1"/>
  <c r="R729" i="1"/>
  <c r="B6396" i="2" s="1"/>
  <c r="Q729" i="1"/>
  <c r="B6395" i="2" s="1"/>
  <c r="P729" i="1"/>
  <c r="B6394" i="2" s="1"/>
  <c r="O729" i="1"/>
  <c r="B6393" i="2" s="1"/>
  <c r="N729" i="1"/>
  <c r="B6392" i="2" s="1"/>
  <c r="M729" i="1"/>
  <c r="B6391" i="2" s="1"/>
  <c r="L729" i="1"/>
  <c r="B6390" i="2" s="1"/>
  <c r="T728" i="1"/>
  <c r="B6389" i="2" s="1"/>
  <c r="S728" i="1"/>
  <c r="B6388" i="2" s="1"/>
  <c r="R728" i="1"/>
  <c r="B6387" i="2" s="1"/>
  <c r="Q728" i="1"/>
  <c r="B6386" i="2" s="1"/>
  <c r="P728" i="1"/>
  <c r="B6385" i="2" s="1"/>
  <c r="O728" i="1"/>
  <c r="B6384" i="2" s="1"/>
  <c r="N728" i="1"/>
  <c r="B6383" i="2" s="1"/>
  <c r="M728" i="1"/>
  <c r="B6382" i="2" s="1"/>
  <c r="L728" i="1"/>
  <c r="B6381" i="2" s="1"/>
  <c r="T727" i="1"/>
  <c r="B6380" i="2" s="1"/>
  <c r="S727" i="1"/>
  <c r="B6379" i="2" s="1"/>
  <c r="R727" i="1"/>
  <c r="B6378" i="2" s="1"/>
  <c r="Q727" i="1"/>
  <c r="B6377" i="2" s="1"/>
  <c r="P727" i="1"/>
  <c r="B6376" i="2" s="1"/>
  <c r="O727" i="1"/>
  <c r="B6375" i="2" s="1"/>
  <c r="N727" i="1"/>
  <c r="B6374" i="2" s="1"/>
  <c r="M727" i="1"/>
  <c r="B6373" i="2" s="1"/>
  <c r="L727" i="1"/>
  <c r="B6372" i="2" s="1"/>
  <c r="K727" i="1"/>
  <c r="T726" i="1"/>
  <c r="B6371" i="2" s="1"/>
  <c r="S726" i="1"/>
  <c r="B6370" i="2" s="1"/>
  <c r="R726" i="1"/>
  <c r="B6369" i="2" s="1"/>
  <c r="Q726" i="1"/>
  <c r="B6368" i="2" s="1"/>
  <c r="P726" i="1"/>
  <c r="B6367" i="2" s="1"/>
  <c r="O726" i="1"/>
  <c r="B6366" i="2" s="1"/>
  <c r="N726" i="1"/>
  <c r="B6365" i="2" s="1"/>
  <c r="M726" i="1"/>
  <c r="B6364" i="2" s="1"/>
  <c r="L726" i="1"/>
  <c r="B6363" i="2" s="1"/>
  <c r="T725" i="1"/>
  <c r="B6362" i="2" s="1"/>
  <c r="S725" i="1"/>
  <c r="B6361" i="2" s="1"/>
  <c r="R725" i="1"/>
  <c r="B6360" i="2" s="1"/>
  <c r="Q725" i="1"/>
  <c r="B6359" i="2" s="1"/>
  <c r="P725" i="1"/>
  <c r="B6358" i="2" s="1"/>
  <c r="O725" i="1"/>
  <c r="B6357" i="2" s="1"/>
  <c r="N725" i="1"/>
  <c r="B6356" i="2" s="1"/>
  <c r="M725" i="1"/>
  <c r="B6355" i="2" s="1"/>
  <c r="L725" i="1"/>
  <c r="B6354" i="2" s="1"/>
  <c r="T724" i="1"/>
  <c r="B6353" i="2" s="1"/>
  <c r="S724" i="1"/>
  <c r="B6352" i="2" s="1"/>
  <c r="R724" i="1"/>
  <c r="B6351" i="2" s="1"/>
  <c r="Q724" i="1"/>
  <c r="B6350" i="2" s="1"/>
  <c r="P724" i="1"/>
  <c r="B6349" i="2" s="1"/>
  <c r="O724" i="1"/>
  <c r="B6348" i="2" s="1"/>
  <c r="N724" i="1"/>
  <c r="B6347" i="2" s="1"/>
  <c r="M724" i="1"/>
  <c r="B6346" i="2" s="1"/>
  <c r="L724" i="1"/>
  <c r="B6345" i="2" s="1"/>
  <c r="T723" i="1"/>
  <c r="B6344" i="2" s="1"/>
  <c r="S723" i="1"/>
  <c r="B6343" i="2" s="1"/>
  <c r="R723" i="1"/>
  <c r="B6342" i="2" s="1"/>
  <c r="Q723" i="1"/>
  <c r="B6341" i="2" s="1"/>
  <c r="P723" i="1"/>
  <c r="B6340" i="2" s="1"/>
  <c r="O723" i="1"/>
  <c r="B6339" i="2" s="1"/>
  <c r="N723" i="1"/>
  <c r="B6338" i="2" s="1"/>
  <c r="M723" i="1"/>
  <c r="B6337" i="2" s="1"/>
  <c r="L723" i="1"/>
  <c r="B6336" i="2" s="1"/>
  <c r="T722" i="1"/>
  <c r="B6335" i="2" s="1"/>
  <c r="S722" i="1"/>
  <c r="B6334" i="2" s="1"/>
  <c r="R722" i="1"/>
  <c r="B6333" i="2" s="1"/>
  <c r="Q722" i="1"/>
  <c r="B6332" i="2" s="1"/>
  <c r="P722" i="1"/>
  <c r="B6331" i="2" s="1"/>
  <c r="O722" i="1"/>
  <c r="B6330" i="2" s="1"/>
  <c r="N722" i="1"/>
  <c r="B6329" i="2" s="1"/>
  <c r="M722" i="1"/>
  <c r="B6328" i="2" s="1"/>
  <c r="L722" i="1"/>
  <c r="B6327" i="2" s="1"/>
  <c r="T721" i="1"/>
  <c r="B6326" i="2" s="1"/>
  <c r="S721" i="1"/>
  <c r="B6325" i="2" s="1"/>
  <c r="R721" i="1"/>
  <c r="B6324" i="2" s="1"/>
  <c r="Q721" i="1"/>
  <c r="B6323" i="2" s="1"/>
  <c r="P721" i="1"/>
  <c r="B6322" i="2" s="1"/>
  <c r="O721" i="1"/>
  <c r="B6321" i="2" s="1"/>
  <c r="N721" i="1"/>
  <c r="B6320" i="2" s="1"/>
  <c r="M721" i="1"/>
  <c r="B6319" i="2" s="1"/>
  <c r="L721" i="1"/>
  <c r="B6318" i="2" s="1"/>
  <c r="T720" i="1"/>
  <c r="B6317" i="2" s="1"/>
  <c r="S720" i="1"/>
  <c r="B6316" i="2" s="1"/>
  <c r="R720" i="1"/>
  <c r="B6315" i="2" s="1"/>
  <c r="Q720" i="1"/>
  <c r="B6314" i="2" s="1"/>
  <c r="P720" i="1"/>
  <c r="B6313" i="2" s="1"/>
  <c r="O720" i="1"/>
  <c r="B6312" i="2" s="1"/>
  <c r="N720" i="1"/>
  <c r="B6311" i="2" s="1"/>
  <c r="M720" i="1"/>
  <c r="B6310" i="2" s="1"/>
  <c r="L720" i="1"/>
  <c r="B6309" i="2" s="1"/>
  <c r="T719" i="1"/>
  <c r="B6308" i="2" s="1"/>
  <c r="S719" i="1"/>
  <c r="B6307" i="2" s="1"/>
  <c r="R719" i="1"/>
  <c r="B6306" i="2" s="1"/>
  <c r="Q719" i="1"/>
  <c r="B6305" i="2" s="1"/>
  <c r="P719" i="1"/>
  <c r="B6304" i="2" s="1"/>
  <c r="O719" i="1"/>
  <c r="B6303" i="2" s="1"/>
  <c r="N719" i="1"/>
  <c r="B6302" i="2" s="1"/>
  <c r="M719" i="1"/>
  <c r="B6301" i="2" s="1"/>
  <c r="L719" i="1"/>
  <c r="B6300" i="2" s="1"/>
  <c r="T718" i="1"/>
  <c r="B6299" i="2" s="1"/>
  <c r="S718" i="1"/>
  <c r="B6298" i="2" s="1"/>
  <c r="R718" i="1"/>
  <c r="B6297" i="2" s="1"/>
  <c r="Q718" i="1"/>
  <c r="B6296" i="2" s="1"/>
  <c r="P718" i="1"/>
  <c r="B6295" i="2" s="1"/>
  <c r="O718" i="1"/>
  <c r="B6294" i="2" s="1"/>
  <c r="N718" i="1"/>
  <c r="B6293" i="2" s="1"/>
  <c r="M718" i="1"/>
  <c r="B6292" i="2" s="1"/>
  <c r="L718" i="1"/>
  <c r="B6291" i="2" s="1"/>
  <c r="T717" i="1"/>
  <c r="B6290" i="2" s="1"/>
  <c r="S717" i="1"/>
  <c r="B6289" i="2" s="1"/>
  <c r="R717" i="1"/>
  <c r="B6288" i="2" s="1"/>
  <c r="Q717" i="1"/>
  <c r="B6287" i="2" s="1"/>
  <c r="P717" i="1"/>
  <c r="B6286" i="2" s="1"/>
  <c r="O717" i="1"/>
  <c r="B6285" i="2" s="1"/>
  <c r="N717" i="1"/>
  <c r="B6284" i="2" s="1"/>
  <c r="M717" i="1"/>
  <c r="B6283" i="2" s="1"/>
  <c r="L717" i="1"/>
  <c r="B6282" i="2" s="1"/>
  <c r="T716" i="1"/>
  <c r="B6281" i="2" s="1"/>
  <c r="S716" i="1"/>
  <c r="B6280" i="2" s="1"/>
  <c r="R716" i="1"/>
  <c r="B6279" i="2" s="1"/>
  <c r="Q716" i="1"/>
  <c r="B6278" i="2" s="1"/>
  <c r="P716" i="1"/>
  <c r="B6277" i="2" s="1"/>
  <c r="O716" i="1"/>
  <c r="B6276" i="2" s="1"/>
  <c r="N716" i="1"/>
  <c r="B6275" i="2" s="1"/>
  <c r="M716" i="1"/>
  <c r="B6274" i="2" s="1"/>
  <c r="L716" i="1"/>
  <c r="B6273" i="2" s="1"/>
  <c r="T715" i="1"/>
  <c r="B6272" i="2" s="1"/>
  <c r="S715" i="1"/>
  <c r="B6271" i="2" s="1"/>
  <c r="R715" i="1"/>
  <c r="B6270" i="2" s="1"/>
  <c r="Q715" i="1"/>
  <c r="B6269" i="2" s="1"/>
  <c r="P715" i="1"/>
  <c r="B6268" i="2" s="1"/>
  <c r="O715" i="1"/>
  <c r="B6267" i="2" s="1"/>
  <c r="N715" i="1"/>
  <c r="B6266" i="2" s="1"/>
  <c r="M715" i="1"/>
  <c r="B6265" i="2" s="1"/>
  <c r="L715" i="1"/>
  <c r="B6264" i="2" s="1"/>
  <c r="T714" i="1"/>
  <c r="B6263" i="2" s="1"/>
  <c r="S714" i="1"/>
  <c r="B6262" i="2" s="1"/>
  <c r="R714" i="1"/>
  <c r="B6261" i="2" s="1"/>
  <c r="Q714" i="1"/>
  <c r="B6260" i="2" s="1"/>
  <c r="P714" i="1"/>
  <c r="B6259" i="2" s="1"/>
  <c r="O714" i="1"/>
  <c r="B6258" i="2" s="1"/>
  <c r="N714" i="1"/>
  <c r="B6257" i="2" s="1"/>
  <c r="M714" i="1"/>
  <c r="B6256" i="2" s="1"/>
  <c r="L714" i="1"/>
  <c r="B6255" i="2" s="1"/>
  <c r="U713" i="1"/>
  <c r="T713" i="1"/>
  <c r="B6254" i="2" s="1"/>
  <c r="S713" i="1"/>
  <c r="B6253" i="2" s="1"/>
  <c r="R713" i="1"/>
  <c r="B6252" i="2" s="1"/>
  <c r="Q713" i="1"/>
  <c r="B6251" i="2" s="1"/>
  <c r="P713" i="1"/>
  <c r="B6250" i="2" s="1"/>
  <c r="O713" i="1"/>
  <c r="B6249" i="2" s="1"/>
  <c r="N713" i="1"/>
  <c r="B6248" i="2" s="1"/>
  <c r="M713" i="1"/>
  <c r="B6247" i="2" s="1"/>
  <c r="L713" i="1"/>
  <c r="B6246" i="2" s="1"/>
  <c r="T712" i="1"/>
  <c r="B6245" i="2" s="1"/>
  <c r="S712" i="1"/>
  <c r="B6244" i="2" s="1"/>
  <c r="R712" i="1"/>
  <c r="B6243" i="2" s="1"/>
  <c r="Q712" i="1"/>
  <c r="B6242" i="2" s="1"/>
  <c r="P712" i="1"/>
  <c r="B6241" i="2" s="1"/>
  <c r="O712" i="1"/>
  <c r="B6240" i="2" s="1"/>
  <c r="N712" i="1"/>
  <c r="B6239" i="2" s="1"/>
  <c r="M712" i="1"/>
  <c r="B6238" i="2" s="1"/>
  <c r="L712" i="1"/>
  <c r="B6237" i="2" s="1"/>
  <c r="T711" i="1"/>
  <c r="B6236" i="2" s="1"/>
  <c r="S711" i="1"/>
  <c r="B6235" i="2" s="1"/>
  <c r="R711" i="1"/>
  <c r="B6234" i="2" s="1"/>
  <c r="Q711" i="1"/>
  <c r="B6233" i="2" s="1"/>
  <c r="P711" i="1"/>
  <c r="B6232" i="2" s="1"/>
  <c r="O711" i="1"/>
  <c r="B6231" i="2" s="1"/>
  <c r="N711" i="1"/>
  <c r="B6230" i="2" s="1"/>
  <c r="M711" i="1"/>
  <c r="B6229" i="2" s="1"/>
  <c r="L711" i="1"/>
  <c r="B6228" i="2" s="1"/>
  <c r="K711" i="1"/>
  <c r="U710" i="1"/>
  <c r="T710" i="1"/>
  <c r="B6227" i="2" s="1"/>
  <c r="S710" i="1"/>
  <c r="B6226" i="2" s="1"/>
  <c r="R710" i="1"/>
  <c r="B6225" i="2" s="1"/>
  <c r="Q710" i="1"/>
  <c r="B6224" i="2" s="1"/>
  <c r="P710" i="1"/>
  <c r="B6223" i="2" s="1"/>
  <c r="O710" i="1"/>
  <c r="B6222" i="2" s="1"/>
  <c r="N710" i="1"/>
  <c r="B6221" i="2" s="1"/>
  <c r="M710" i="1"/>
  <c r="B6220" i="2" s="1"/>
  <c r="L710" i="1"/>
  <c r="B6219" i="2" s="1"/>
  <c r="T709" i="1"/>
  <c r="B6218" i="2" s="1"/>
  <c r="S709" i="1"/>
  <c r="B6217" i="2" s="1"/>
  <c r="R709" i="1"/>
  <c r="B6216" i="2" s="1"/>
  <c r="Q709" i="1"/>
  <c r="B6215" i="2" s="1"/>
  <c r="P709" i="1"/>
  <c r="B6214" i="2" s="1"/>
  <c r="O709" i="1"/>
  <c r="B6213" i="2" s="1"/>
  <c r="N709" i="1"/>
  <c r="B6212" i="2" s="1"/>
  <c r="M709" i="1"/>
  <c r="B6211" i="2" s="1"/>
  <c r="L709" i="1"/>
  <c r="B6210" i="2" s="1"/>
  <c r="T708" i="1"/>
  <c r="B6209" i="2" s="1"/>
  <c r="S708" i="1"/>
  <c r="B6208" i="2" s="1"/>
  <c r="R708" i="1"/>
  <c r="B6207" i="2" s="1"/>
  <c r="Q708" i="1"/>
  <c r="B6206" i="2" s="1"/>
  <c r="P708" i="1"/>
  <c r="B6205" i="2" s="1"/>
  <c r="O708" i="1"/>
  <c r="B6204" i="2" s="1"/>
  <c r="N708" i="1"/>
  <c r="B6203" i="2" s="1"/>
  <c r="M708" i="1"/>
  <c r="B6202" i="2" s="1"/>
  <c r="L708" i="1"/>
  <c r="B6201" i="2" s="1"/>
  <c r="T707" i="1"/>
  <c r="B6200" i="2" s="1"/>
  <c r="S707" i="1"/>
  <c r="B6199" i="2" s="1"/>
  <c r="R707" i="1"/>
  <c r="B6198" i="2" s="1"/>
  <c r="Q707" i="1"/>
  <c r="B6197" i="2" s="1"/>
  <c r="P707" i="1"/>
  <c r="B6196" i="2" s="1"/>
  <c r="O707" i="1"/>
  <c r="B6195" i="2" s="1"/>
  <c r="N707" i="1"/>
  <c r="B6194" i="2" s="1"/>
  <c r="M707" i="1"/>
  <c r="B6193" i="2" s="1"/>
  <c r="L707" i="1"/>
  <c r="B6192" i="2" s="1"/>
  <c r="T706" i="1"/>
  <c r="B6191" i="2" s="1"/>
  <c r="S706" i="1"/>
  <c r="B6190" i="2" s="1"/>
  <c r="R706" i="1"/>
  <c r="B6189" i="2" s="1"/>
  <c r="Q706" i="1"/>
  <c r="B6188" i="2" s="1"/>
  <c r="P706" i="1"/>
  <c r="B6187" i="2" s="1"/>
  <c r="O706" i="1"/>
  <c r="B6186" i="2" s="1"/>
  <c r="N706" i="1"/>
  <c r="B6185" i="2" s="1"/>
  <c r="M706" i="1"/>
  <c r="B6184" i="2" s="1"/>
  <c r="L706" i="1"/>
  <c r="B6183" i="2" s="1"/>
  <c r="T705" i="1"/>
  <c r="B6182" i="2" s="1"/>
  <c r="S705" i="1"/>
  <c r="B6181" i="2" s="1"/>
  <c r="R705" i="1"/>
  <c r="B6180" i="2" s="1"/>
  <c r="Q705" i="1"/>
  <c r="B6179" i="2" s="1"/>
  <c r="P705" i="1"/>
  <c r="B6178" i="2" s="1"/>
  <c r="O705" i="1"/>
  <c r="B6177" i="2" s="1"/>
  <c r="N705" i="1"/>
  <c r="B6176" i="2" s="1"/>
  <c r="M705" i="1"/>
  <c r="B6175" i="2" s="1"/>
  <c r="L705" i="1"/>
  <c r="B6174" i="2" s="1"/>
  <c r="T704" i="1"/>
  <c r="B6173" i="2" s="1"/>
  <c r="S704" i="1"/>
  <c r="B6172" i="2" s="1"/>
  <c r="R704" i="1"/>
  <c r="B6171" i="2" s="1"/>
  <c r="Q704" i="1"/>
  <c r="B6170" i="2" s="1"/>
  <c r="P704" i="1"/>
  <c r="B6169" i="2" s="1"/>
  <c r="O704" i="1"/>
  <c r="B6168" i="2" s="1"/>
  <c r="N704" i="1"/>
  <c r="B6167" i="2" s="1"/>
  <c r="M704" i="1"/>
  <c r="B6166" i="2" s="1"/>
  <c r="L704" i="1"/>
  <c r="B6165" i="2" s="1"/>
  <c r="T703" i="1"/>
  <c r="B6164" i="2" s="1"/>
  <c r="S703" i="1"/>
  <c r="B6163" i="2" s="1"/>
  <c r="R703" i="1"/>
  <c r="B6162" i="2" s="1"/>
  <c r="Q703" i="1"/>
  <c r="B6161" i="2" s="1"/>
  <c r="P703" i="1"/>
  <c r="B6160" i="2" s="1"/>
  <c r="O703" i="1"/>
  <c r="B6159" i="2" s="1"/>
  <c r="N703" i="1"/>
  <c r="B6158" i="2" s="1"/>
  <c r="M703" i="1"/>
  <c r="B6157" i="2" s="1"/>
  <c r="L703" i="1"/>
  <c r="B6156" i="2" s="1"/>
  <c r="T702" i="1"/>
  <c r="B6155" i="2" s="1"/>
  <c r="S702" i="1"/>
  <c r="B6154" i="2" s="1"/>
  <c r="R702" i="1"/>
  <c r="B6153" i="2" s="1"/>
  <c r="Q702" i="1"/>
  <c r="B6152" i="2" s="1"/>
  <c r="P702" i="1"/>
  <c r="B6151" i="2" s="1"/>
  <c r="O702" i="1"/>
  <c r="B6150" i="2" s="1"/>
  <c r="N702" i="1"/>
  <c r="B6149" i="2" s="1"/>
  <c r="M702" i="1"/>
  <c r="B6148" i="2" s="1"/>
  <c r="L702" i="1"/>
  <c r="B6147" i="2" s="1"/>
  <c r="T701" i="1"/>
  <c r="B6146" i="2" s="1"/>
  <c r="S701" i="1"/>
  <c r="B6145" i="2" s="1"/>
  <c r="R701" i="1"/>
  <c r="B6144" i="2" s="1"/>
  <c r="Q701" i="1"/>
  <c r="B6143" i="2" s="1"/>
  <c r="P701" i="1"/>
  <c r="B6142" i="2" s="1"/>
  <c r="O701" i="1"/>
  <c r="B6141" i="2" s="1"/>
  <c r="N701" i="1"/>
  <c r="B6140" i="2" s="1"/>
  <c r="M701" i="1"/>
  <c r="B6139" i="2" s="1"/>
  <c r="L701" i="1"/>
  <c r="B6138" i="2" s="1"/>
  <c r="T700" i="1"/>
  <c r="B6137" i="2" s="1"/>
  <c r="S700" i="1"/>
  <c r="B6136" i="2" s="1"/>
  <c r="R700" i="1"/>
  <c r="B6135" i="2" s="1"/>
  <c r="Q700" i="1"/>
  <c r="B6134" i="2" s="1"/>
  <c r="P700" i="1"/>
  <c r="B6133" i="2" s="1"/>
  <c r="O700" i="1"/>
  <c r="B6132" i="2" s="1"/>
  <c r="N700" i="1"/>
  <c r="B6131" i="2" s="1"/>
  <c r="M700" i="1"/>
  <c r="B6130" i="2" s="1"/>
  <c r="L700" i="1"/>
  <c r="B6129" i="2" s="1"/>
  <c r="T699" i="1"/>
  <c r="B6128" i="2" s="1"/>
  <c r="S699" i="1"/>
  <c r="B6127" i="2" s="1"/>
  <c r="R699" i="1"/>
  <c r="B6126" i="2" s="1"/>
  <c r="Q699" i="1"/>
  <c r="B6125" i="2" s="1"/>
  <c r="P699" i="1"/>
  <c r="B6124" i="2" s="1"/>
  <c r="O699" i="1"/>
  <c r="B6123" i="2" s="1"/>
  <c r="N699" i="1"/>
  <c r="B6122" i="2" s="1"/>
  <c r="M699" i="1"/>
  <c r="B6121" i="2" s="1"/>
  <c r="L699" i="1"/>
  <c r="B6120" i="2" s="1"/>
  <c r="T698" i="1"/>
  <c r="B6119" i="2" s="1"/>
  <c r="S698" i="1"/>
  <c r="B6118" i="2" s="1"/>
  <c r="R698" i="1"/>
  <c r="B6117" i="2" s="1"/>
  <c r="Q698" i="1"/>
  <c r="B6116" i="2" s="1"/>
  <c r="P698" i="1"/>
  <c r="B6115" i="2" s="1"/>
  <c r="O698" i="1"/>
  <c r="B6114" i="2" s="1"/>
  <c r="N698" i="1"/>
  <c r="B6113" i="2" s="1"/>
  <c r="M698" i="1"/>
  <c r="B6112" i="2" s="1"/>
  <c r="L698" i="1"/>
  <c r="B6111" i="2" s="1"/>
  <c r="K698" i="1"/>
  <c r="U697" i="1"/>
  <c r="T697" i="1"/>
  <c r="B6110" i="2" s="1"/>
  <c r="S697" i="1"/>
  <c r="B6109" i="2" s="1"/>
  <c r="R697" i="1"/>
  <c r="B6108" i="2" s="1"/>
  <c r="Q697" i="1"/>
  <c r="B6107" i="2" s="1"/>
  <c r="P697" i="1"/>
  <c r="B6106" i="2" s="1"/>
  <c r="O697" i="1"/>
  <c r="B6105" i="2" s="1"/>
  <c r="N697" i="1"/>
  <c r="B6104" i="2" s="1"/>
  <c r="M697" i="1"/>
  <c r="B6103" i="2" s="1"/>
  <c r="L697" i="1"/>
  <c r="B6102" i="2" s="1"/>
  <c r="T696" i="1"/>
  <c r="B6101" i="2" s="1"/>
  <c r="S696" i="1"/>
  <c r="B6100" i="2" s="1"/>
  <c r="R696" i="1"/>
  <c r="B6099" i="2" s="1"/>
  <c r="Q696" i="1"/>
  <c r="B6098" i="2" s="1"/>
  <c r="P696" i="1"/>
  <c r="B6097" i="2" s="1"/>
  <c r="O696" i="1"/>
  <c r="B6096" i="2" s="1"/>
  <c r="N696" i="1"/>
  <c r="B6095" i="2" s="1"/>
  <c r="M696" i="1"/>
  <c r="B6094" i="2" s="1"/>
  <c r="L696" i="1"/>
  <c r="B6093" i="2" s="1"/>
  <c r="T695" i="1"/>
  <c r="B6092" i="2" s="1"/>
  <c r="S695" i="1"/>
  <c r="B6091" i="2" s="1"/>
  <c r="R695" i="1"/>
  <c r="B6090" i="2" s="1"/>
  <c r="Q695" i="1"/>
  <c r="B6089" i="2" s="1"/>
  <c r="P695" i="1"/>
  <c r="B6088" i="2" s="1"/>
  <c r="O695" i="1"/>
  <c r="B6087" i="2" s="1"/>
  <c r="N695" i="1"/>
  <c r="B6086" i="2" s="1"/>
  <c r="M695" i="1"/>
  <c r="B6085" i="2" s="1"/>
  <c r="L695" i="1"/>
  <c r="B6084" i="2" s="1"/>
  <c r="K695" i="1"/>
  <c r="U694" i="1"/>
  <c r="T694" i="1"/>
  <c r="B6083" i="2" s="1"/>
  <c r="S694" i="1"/>
  <c r="B6082" i="2" s="1"/>
  <c r="R694" i="1"/>
  <c r="B6081" i="2" s="1"/>
  <c r="Q694" i="1"/>
  <c r="B6080" i="2" s="1"/>
  <c r="P694" i="1"/>
  <c r="B6079" i="2" s="1"/>
  <c r="O694" i="1"/>
  <c r="B6078" i="2" s="1"/>
  <c r="N694" i="1"/>
  <c r="B6077" i="2" s="1"/>
  <c r="M694" i="1"/>
  <c r="B6076" i="2" s="1"/>
  <c r="L694" i="1"/>
  <c r="B6075" i="2" s="1"/>
  <c r="T693" i="1"/>
  <c r="B6074" i="2" s="1"/>
  <c r="S693" i="1"/>
  <c r="B6073" i="2" s="1"/>
  <c r="R693" i="1"/>
  <c r="B6072" i="2" s="1"/>
  <c r="Q693" i="1"/>
  <c r="B6071" i="2" s="1"/>
  <c r="P693" i="1"/>
  <c r="B6070" i="2" s="1"/>
  <c r="O693" i="1"/>
  <c r="B6069" i="2" s="1"/>
  <c r="N693" i="1"/>
  <c r="B6068" i="2" s="1"/>
  <c r="M693" i="1"/>
  <c r="B6067" i="2" s="1"/>
  <c r="L693" i="1"/>
  <c r="B6066" i="2" s="1"/>
  <c r="T692" i="1"/>
  <c r="B6065" i="2" s="1"/>
  <c r="S692" i="1"/>
  <c r="B6064" i="2" s="1"/>
  <c r="R692" i="1"/>
  <c r="B6063" i="2" s="1"/>
  <c r="Q692" i="1"/>
  <c r="B6062" i="2" s="1"/>
  <c r="P692" i="1"/>
  <c r="B6061" i="2" s="1"/>
  <c r="O692" i="1"/>
  <c r="B6060" i="2" s="1"/>
  <c r="N692" i="1"/>
  <c r="B6059" i="2" s="1"/>
  <c r="M692" i="1"/>
  <c r="B6058" i="2" s="1"/>
  <c r="L692" i="1"/>
  <c r="B6057" i="2" s="1"/>
  <c r="T691" i="1"/>
  <c r="B6056" i="2" s="1"/>
  <c r="S691" i="1"/>
  <c r="B6055" i="2" s="1"/>
  <c r="R691" i="1"/>
  <c r="B6054" i="2" s="1"/>
  <c r="Q691" i="1"/>
  <c r="B6053" i="2" s="1"/>
  <c r="P691" i="1"/>
  <c r="B6052" i="2" s="1"/>
  <c r="O691" i="1"/>
  <c r="B6051" i="2" s="1"/>
  <c r="N691" i="1"/>
  <c r="B6050" i="2" s="1"/>
  <c r="M691" i="1"/>
  <c r="B6049" i="2" s="1"/>
  <c r="L691" i="1"/>
  <c r="B6048" i="2" s="1"/>
  <c r="T690" i="1"/>
  <c r="B6047" i="2" s="1"/>
  <c r="S690" i="1"/>
  <c r="B6046" i="2" s="1"/>
  <c r="R690" i="1"/>
  <c r="B6045" i="2" s="1"/>
  <c r="Q690" i="1"/>
  <c r="B6044" i="2" s="1"/>
  <c r="P690" i="1"/>
  <c r="B6043" i="2" s="1"/>
  <c r="O690" i="1"/>
  <c r="B6042" i="2" s="1"/>
  <c r="N690" i="1"/>
  <c r="B6041" i="2" s="1"/>
  <c r="M690" i="1"/>
  <c r="B6040" i="2" s="1"/>
  <c r="L690" i="1"/>
  <c r="B6039" i="2" s="1"/>
  <c r="T689" i="1"/>
  <c r="B6038" i="2" s="1"/>
  <c r="S689" i="1"/>
  <c r="B6037" i="2" s="1"/>
  <c r="R689" i="1"/>
  <c r="B6036" i="2" s="1"/>
  <c r="Q689" i="1"/>
  <c r="B6035" i="2" s="1"/>
  <c r="P689" i="1"/>
  <c r="B6034" i="2" s="1"/>
  <c r="O689" i="1"/>
  <c r="B6033" i="2" s="1"/>
  <c r="N689" i="1"/>
  <c r="B6032" i="2" s="1"/>
  <c r="M689" i="1"/>
  <c r="B6031" i="2" s="1"/>
  <c r="L689" i="1"/>
  <c r="B6030" i="2" s="1"/>
  <c r="T688" i="1"/>
  <c r="B6029" i="2" s="1"/>
  <c r="S688" i="1"/>
  <c r="B6028" i="2" s="1"/>
  <c r="R688" i="1"/>
  <c r="B6027" i="2" s="1"/>
  <c r="Q688" i="1"/>
  <c r="B6026" i="2" s="1"/>
  <c r="P688" i="1"/>
  <c r="B6025" i="2" s="1"/>
  <c r="O688" i="1"/>
  <c r="B6024" i="2" s="1"/>
  <c r="N688" i="1"/>
  <c r="B6023" i="2" s="1"/>
  <c r="M688" i="1"/>
  <c r="B6022" i="2" s="1"/>
  <c r="L688" i="1"/>
  <c r="B6021" i="2" s="1"/>
  <c r="T687" i="1"/>
  <c r="B6020" i="2" s="1"/>
  <c r="S687" i="1"/>
  <c r="B6019" i="2" s="1"/>
  <c r="R687" i="1"/>
  <c r="B6018" i="2" s="1"/>
  <c r="Q687" i="1"/>
  <c r="B6017" i="2" s="1"/>
  <c r="P687" i="1"/>
  <c r="B6016" i="2" s="1"/>
  <c r="O687" i="1"/>
  <c r="B6015" i="2" s="1"/>
  <c r="N687" i="1"/>
  <c r="B6014" i="2" s="1"/>
  <c r="M687" i="1"/>
  <c r="B6013" i="2" s="1"/>
  <c r="L687" i="1"/>
  <c r="B6012" i="2" s="1"/>
  <c r="T686" i="1"/>
  <c r="B6011" i="2" s="1"/>
  <c r="S686" i="1"/>
  <c r="B6010" i="2" s="1"/>
  <c r="R686" i="1"/>
  <c r="B6009" i="2" s="1"/>
  <c r="Q686" i="1"/>
  <c r="B6008" i="2" s="1"/>
  <c r="P686" i="1"/>
  <c r="B6007" i="2" s="1"/>
  <c r="O686" i="1"/>
  <c r="B6006" i="2" s="1"/>
  <c r="N686" i="1"/>
  <c r="B6005" i="2" s="1"/>
  <c r="M686" i="1"/>
  <c r="B6004" i="2" s="1"/>
  <c r="L686" i="1"/>
  <c r="B6003" i="2" s="1"/>
  <c r="T685" i="1"/>
  <c r="B6002" i="2" s="1"/>
  <c r="S685" i="1"/>
  <c r="B6001" i="2" s="1"/>
  <c r="R685" i="1"/>
  <c r="B6000" i="2" s="1"/>
  <c r="Q685" i="1"/>
  <c r="B5999" i="2" s="1"/>
  <c r="P685" i="1"/>
  <c r="B5998" i="2" s="1"/>
  <c r="O685" i="1"/>
  <c r="B5997" i="2" s="1"/>
  <c r="N685" i="1"/>
  <c r="B5996" i="2" s="1"/>
  <c r="M685" i="1"/>
  <c r="B5995" i="2" s="1"/>
  <c r="L685" i="1"/>
  <c r="B5994" i="2" s="1"/>
  <c r="T684" i="1"/>
  <c r="B5993" i="2" s="1"/>
  <c r="S684" i="1"/>
  <c r="B5992" i="2" s="1"/>
  <c r="R684" i="1"/>
  <c r="B5991" i="2" s="1"/>
  <c r="Q684" i="1"/>
  <c r="B5990" i="2" s="1"/>
  <c r="P684" i="1"/>
  <c r="B5989" i="2" s="1"/>
  <c r="O684" i="1"/>
  <c r="B5988" i="2" s="1"/>
  <c r="N684" i="1"/>
  <c r="B5987" i="2" s="1"/>
  <c r="M684" i="1"/>
  <c r="B5986" i="2" s="1"/>
  <c r="L684" i="1"/>
  <c r="B5985" i="2" s="1"/>
  <c r="T683" i="1"/>
  <c r="B5984" i="2" s="1"/>
  <c r="S683" i="1"/>
  <c r="B5983" i="2" s="1"/>
  <c r="R683" i="1"/>
  <c r="B5982" i="2" s="1"/>
  <c r="Q683" i="1"/>
  <c r="B5981" i="2" s="1"/>
  <c r="P683" i="1"/>
  <c r="B5980" i="2" s="1"/>
  <c r="O683" i="1"/>
  <c r="B5979" i="2" s="1"/>
  <c r="N683" i="1"/>
  <c r="B5978" i="2" s="1"/>
  <c r="M683" i="1"/>
  <c r="B5977" i="2" s="1"/>
  <c r="L683" i="1"/>
  <c r="B5976" i="2" s="1"/>
  <c r="T682" i="1"/>
  <c r="B5975" i="2" s="1"/>
  <c r="S682" i="1"/>
  <c r="B5974" i="2" s="1"/>
  <c r="R682" i="1"/>
  <c r="B5973" i="2" s="1"/>
  <c r="Q682" i="1"/>
  <c r="B5972" i="2" s="1"/>
  <c r="P682" i="1"/>
  <c r="B5971" i="2" s="1"/>
  <c r="O682" i="1"/>
  <c r="B5970" i="2" s="1"/>
  <c r="N682" i="1"/>
  <c r="B5969" i="2" s="1"/>
  <c r="M682" i="1"/>
  <c r="B5968" i="2" s="1"/>
  <c r="L682" i="1"/>
  <c r="B5967" i="2" s="1"/>
  <c r="U681" i="1"/>
  <c r="T681" i="1"/>
  <c r="B5966" i="2" s="1"/>
  <c r="S681" i="1"/>
  <c r="B5965" i="2" s="1"/>
  <c r="R681" i="1"/>
  <c r="B5964" i="2" s="1"/>
  <c r="Q681" i="1"/>
  <c r="B5963" i="2" s="1"/>
  <c r="P681" i="1"/>
  <c r="B5962" i="2" s="1"/>
  <c r="O681" i="1"/>
  <c r="B5961" i="2" s="1"/>
  <c r="N681" i="1"/>
  <c r="B5960" i="2" s="1"/>
  <c r="M681" i="1"/>
  <c r="B5959" i="2" s="1"/>
  <c r="L681" i="1"/>
  <c r="B5958" i="2" s="1"/>
  <c r="T680" i="1"/>
  <c r="B5957" i="2" s="1"/>
  <c r="S680" i="1"/>
  <c r="B5956" i="2" s="1"/>
  <c r="R680" i="1"/>
  <c r="B5955" i="2" s="1"/>
  <c r="Q680" i="1"/>
  <c r="B5954" i="2" s="1"/>
  <c r="P680" i="1"/>
  <c r="B5953" i="2" s="1"/>
  <c r="O680" i="1"/>
  <c r="B5952" i="2" s="1"/>
  <c r="N680" i="1"/>
  <c r="B5951" i="2" s="1"/>
  <c r="M680" i="1"/>
  <c r="B5950" i="2" s="1"/>
  <c r="L680" i="1"/>
  <c r="B5949" i="2" s="1"/>
  <c r="T679" i="1"/>
  <c r="B5948" i="2" s="1"/>
  <c r="S679" i="1"/>
  <c r="B5947" i="2" s="1"/>
  <c r="R679" i="1"/>
  <c r="B5946" i="2" s="1"/>
  <c r="Q679" i="1"/>
  <c r="B5945" i="2" s="1"/>
  <c r="P679" i="1"/>
  <c r="B5944" i="2" s="1"/>
  <c r="O679" i="1"/>
  <c r="B5943" i="2" s="1"/>
  <c r="N679" i="1"/>
  <c r="B5942" i="2" s="1"/>
  <c r="M679" i="1"/>
  <c r="B5941" i="2" s="1"/>
  <c r="L679" i="1"/>
  <c r="B5940" i="2" s="1"/>
  <c r="K679" i="1"/>
  <c r="T678" i="1"/>
  <c r="B5939" i="2" s="1"/>
  <c r="S678" i="1"/>
  <c r="B5938" i="2" s="1"/>
  <c r="R678" i="1"/>
  <c r="B5937" i="2" s="1"/>
  <c r="Q678" i="1"/>
  <c r="B5936" i="2" s="1"/>
  <c r="P678" i="1"/>
  <c r="B5935" i="2" s="1"/>
  <c r="O678" i="1"/>
  <c r="B5934" i="2" s="1"/>
  <c r="N678" i="1"/>
  <c r="B5933" i="2" s="1"/>
  <c r="M678" i="1"/>
  <c r="B5932" i="2" s="1"/>
  <c r="L678" i="1"/>
  <c r="B5931" i="2" s="1"/>
  <c r="T677" i="1"/>
  <c r="B5930" i="2" s="1"/>
  <c r="S677" i="1"/>
  <c r="B5929" i="2" s="1"/>
  <c r="R677" i="1"/>
  <c r="B5928" i="2" s="1"/>
  <c r="Q677" i="1"/>
  <c r="B5927" i="2" s="1"/>
  <c r="P677" i="1"/>
  <c r="B5926" i="2" s="1"/>
  <c r="O677" i="1"/>
  <c r="B5925" i="2" s="1"/>
  <c r="N677" i="1"/>
  <c r="B5924" i="2" s="1"/>
  <c r="M677" i="1"/>
  <c r="B5923" i="2" s="1"/>
  <c r="L677" i="1"/>
  <c r="B5922" i="2" s="1"/>
  <c r="T676" i="1"/>
  <c r="B5921" i="2" s="1"/>
  <c r="S676" i="1"/>
  <c r="B5920" i="2" s="1"/>
  <c r="R676" i="1"/>
  <c r="B5919" i="2" s="1"/>
  <c r="Q676" i="1"/>
  <c r="B5918" i="2" s="1"/>
  <c r="P676" i="1"/>
  <c r="B5917" i="2" s="1"/>
  <c r="O676" i="1"/>
  <c r="B5916" i="2" s="1"/>
  <c r="N676" i="1"/>
  <c r="B5915" i="2" s="1"/>
  <c r="M676" i="1"/>
  <c r="B5914" i="2" s="1"/>
  <c r="L676" i="1"/>
  <c r="B5913" i="2" s="1"/>
  <c r="T675" i="1"/>
  <c r="B5912" i="2" s="1"/>
  <c r="S675" i="1"/>
  <c r="B5911" i="2" s="1"/>
  <c r="R675" i="1"/>
  <c r="B5910" i="2" s="1"/>
  <c r="Q675" i="1"/>
  <c r="B5909" i="2" s="1"/>
  <c r="P675" i="1"/>
  <c r="B5908" i="2" s="1"/>
  <c r="O675" i="1"/>
  <c r="B5907" i="2" s="1"/>
  <c r="N675" i="1"/>
  <c r="B5906" i="2" s="1"/>
  <c r="M675" i="1"/>
  <c r="B5905" i="2" s="1"/>
  <c r="L675" i="1"/>
  <c r="B5904" i="2" s="1"/>
  <c r="T674" i="1"/>
  <c r="B5903" i="2" s="1"/>
  <c r="S674" i="1"/>
  <c r="B5902" i="2" s="1"/>
  <c r="R674" i="1"/>
  <c r="B5901" i="2" s="1"/>
  <c r="Q674" i="1"/>
  <c r="B5900" i="2" s="1"/>
  <c r="P674" i="1"/>
  <c r="B5899" i="2" s="1"/>
  <c r="O674" i="1"/>
  <c r="B5898" i="2" s="1"/>
  <c r="N674" i="1"/>
  <c r="B5897" i="2" s="1"/>
  <c r="M674" i="1"/>
  <c r="B5896" i="2" s="1"/>
  <c r="L674" i="1"/>
  <c r="B5895" i="2" s="1"/>
  <c r="T673" i="1"/>
  <c r="B5894" i="2" s="1"/>
  <c r="S673" i="1"/>
  <c r="B5893" i="2" s="1"/>
  <c r="R673" i="1"/>
  <c r="B5892" i="2" s="1"/>
  <c r="Q673" i="1"/>
  <c r="B5891" i="2" s="1"/>
  <c r="P673" i="1"/>
  <c r="B5890" i="2" s="1"/>
  <c r="O673" i="1"/>
  <c r="B5889" i="2" s="1"/>
  <c r="N673" i="1"/>
  <c r="B5888" i="2" s="1"/>
  <c r="M673" i="1"/>
  <c r="B5887" i="2" s="1"/>
  <c r="L673" i="1"/>
  <c r="B5886" i="2" s="1"/>
  <c r="T672" i="1"/>
  <c r="B5885" i="2" s="1"/>
  <c r="S672" i="1"/>
  <c r="B5884" i="2" s="1"/>
  <c r="R672" i="1"/>
  <c r="B5883" i="2" s="1"/>
  <c r="Q672" i="1"/>
  <c r="B5882" i="2" s="1"/>
  <c r="P672" i="1"/>
  <c r="B5881" i="2" s="1"/>
  <c r="O672" i="1"/>
  <c r="B5880" i="2" s="1"/>
  <c r="N672" i="1"/>
  <c r="B5879" i="2" s="1"/>
  <c r="M672" i="1"/>
  <c r="B5878" i="2" s="1"/>
  <c r="L672" i="1"/>
  <c r="B5877" i="2" s="1"/>
  <c r="T671" i="1"/>
  <c r="B5876" i="2" s="1"/>
  <c r="S671" i="1"/>
  <c r="B5875" i="2" s="1"/>
  <c r="R671" i="1"/>
  <c r="B5874" i="2" s="1"/>
  <c r="Q671" i="1"/>
  <c r="B5873" i="2" s="1"/>
  <c r="P671" i="1"/>
  <c r="B5872" i="2" s="1"/>
  <c r="O671" i="1"/>
  <c r="B5871" i="2" s="1"/>
  <c r="N671" i="1"/>
  <c r="B5870" i="2" s="1"/>
  <c r="M671" i="1"/>
  <c r="B5869" i="2" s="1"/>
  <c r="L671" i="1"/>
  <c r="B5868" i="2" s="1"/>
  <c r="T670" i="1"/>
  <c r="B5867" i="2" s="1"/>
  <c r="S670" i="1"/>
  <c r="B5866" i="2" s="1"/>
  <c r="R670" i="1"/>
  <c r="B5865" i="2" s="1"/>
  <c r="Q670" i="1"/>
  <c r="B5864" i="2" s="1"/>
  <c r="P670" i="1"/>
  <c r="B5863" i="2" s="1"/>
  <c r="O670" i="1"/>
  <c r="B5862" i="2" s="1"/>
  <c r="N670" i="1"/>
  <c r="B5861" i="2" s="1"/>
  <c r="M670" i="1"/>
  <c r="B5860" i="2" s="1"/>
  <c r="L670" i="1"/>
  <c r="B5859" i="2" s="1"/>
  <c r="U669" i="1"/>
  <c r="T669" i="1"/>
  <c r="B5858" i="2" s="1"/>
  <c r="S669" i="1"/>
  <c r="B5857" i="2" s="1"/>
  <c r="R669" i="1"/>
  <c r="B5856" i="2" s="1"/>
  <c r="Q669" i="1"/>
  <c r="B5855" i="2" s="1"/>
  <c r="P669" i="1"/>
  <c r="B5854" i="2" s="1"/>
  <c r="O669" i="1"/>
  <c r="B5853" i="2" s="1"/>
  <c r="N669" i="1"/>
  <c r="B5852" i="2" s="1"/>
  <c r="M669" i="1"/>
  <c r="B5851" i="2" s="1"/>
  <c r="L669" i="1"/>
  <c r="B5850" i="2" s="1"/>
  <c r="T668" i="1"/>
  <c r="B5849" i="2" s="1"/>
  <c r="S668" i="1"/>
  <c r="B5848" i="2" s="1"/>
  <c r="R668" i="1"/>
  <c r="B5847" i="2" s="1"/>
  <c r="Q668" i="1"/>
  <c r="B5846" i="2" s="1"/>
  <c r="P668" i="1"/>
  <c r="B5845" i="2" s="1"/>
  <c r="O668" i="1"/>
  <c r="B5844" i="2" s="1"/>
  <c r="N668" i="1"/>
  <c r="B5843" i="2" s="1"/>
  <c r="M668" i="1"/>
  <c r="B5842" i="2" s="1"/>
  <c r="L668" i="1"/>
  <c r="B5841" i="2" s="1"/>
  <c r="T667" i="1"/>
  <c r="B5840" i="2" s="1"/>
  <c r="S667" i="1"/>
  <c r="B5839" i="2" s="1"/>
  <c r="R667" i="1"/>
  <c r="B5838" i="2" s="1"/>
  <c r="Q667" i="1"/>
  <c r="B5837" i="2" s="1"/>
  <c r="P667" i="1"/>
  <c r="B5836" i="2" s="1"/>
  <c r="O667" i="1"/>
  <c r="B5835" i="2" s="1"/>
  <c r="N667" i="1"/>
  <c r="B5834" i="2" s="1"/>
  <c r="M667" i="1"/>
  <c r="B5833" i="2" s="1"/>
  <c r="L667" i="1"/>
  <c r="B5832" i="2" s="1"/>
  <c r="T666" i="1"/>
  <c r="B5831" i="2" s="1"/>
  <c r="S666" i="1"/>
  <c r="B5830" i="2" s="1"/>
  <c r="R666" i="1"/>
  <c r="B5829" i="2" s="1"/>
  <c r="Q666" i="1"/>
  <c r="B5828" i="2" s="1"/>
  <c r="P666" i="1"/>
  <c r="B5827" i="2" s="1"/>
  <c r="O666" i="1"/>
  <c r="B5826" i="2" s="1"/>
  <c r="N666" i="1"/>
  <c r="B5825" i="2" s="1"/>
  <c r="M666" i="1"/>
  <c r="B5824" i="2" s="1"/>
  <c r="L666" i="1"/>
  <c r="B5823" i="2" s="1"/>
  <c r="K666" i="1"/>
  <c r="U665" i="1"/>
  <c r="T665" i="1"/>
  <c r="B5822" i="2" s="1"/>
  <c r="S665" i="1"/>
  <c r="B5821" i="2" s="1"/>
  <c r="R665" i="1"/>
  <c r="B5820" i="2" s="1"/>
  <c r="Q665" i="1"/>
  <c r="B5819" i="2" s="1"/>
  <c r="P665" i="1"/>
  <c r="B5818" i="2" s="1"/>
  <c r="O665" i="1"/>
  <c r="B5817" i="2" s="1"/>
  <c r="N665" i="1"/>
  <c r="B5816" i="2" s="1"/>
  <c r="M665" i="1"/>
  <c r="B5815" i="2" s="1"/>
  <c r="L665" i="1"/>
  <c r="B5814" i="2" s="1"/>
  <c r="T664" i="1"/>
  <c r="B5813" i="2" s="1"/>
  <c r="S664" i="1"/>
  <c r="B5812" i="2" s="1"/>
  <c r="R664" i="1"/>
  <c r="B5811" i="2" s="1"/>
  <c r="Q664" i="1"/>
  <c r="B5810" i="2" s="1"/>
  <c r="P664" i="1"/>
  <c r="B5809" i="2" s="1"/>
  <c r="O664" i="1"/>
  <c r="B5808" i="2" s="1"/>
  <c r="N664" i="1"/>
  <c r="B5807" i="2" s="1"/>
  <c r="M664" i="1"/>
  <c r="B5806" i="2" s="1"/>
  <c r="L664" i="1"/>
  <c r="B5805" i="2" s="1"/>
  <c r="T663" i="1"/>
  <c r="B5804" i="2" s="1"/>
  <c r="S663" i="1"/>
  <c r="B5803" i="2" s="1"/>
  <c r="R663" i="1"/>
  <c r="B5802" i="2" s="1"/>
  <c r="Q663" i="1"/>
  <c r="B5801" i="2" s="1"/>
  <c r="P663" i="1"/>
  <c r="B5800" i="2" s="1"/>
  <c r="O663" i="1"/>
  <c r="B5799" i="2" s="1"/>
  <c r="N663" i="1"/>
  <c r="B5798" i="2" s="1"/>
  <c r="M663" i="1"/>
  <c r="B5797" i="2" s="1"/>
  <c r="L663" i="1"/>
  <c r="B5796" i="2" s="1"/>
  <c r="K663" i="1"/>
  <c r="T662" i="1"/>
  <c r="B5795" i="2" s="1"/>
  <c r="S662" i="1"/>
  <c r="B5794" i="2" s="1"/>
  <c r="R662" i="1"/>
  <c r="B5793" i="2" s="1"/>
  <c r="Q662" i="1"/>
  <c r="B5792" i="2" s="1"/>
  <c r="P662" i="1"/>
  <c r="B5791" i="2" s="1"/>
  <c r="O662" i="1"/>
  <c r="B5790" i="2" s="1"/>
  <c r="N662" i="1"/>
  <c r="B5789" i="2" s="1"/>
  <c r="M662" i="1"/>
  <c r="B5788" i="2" s="1"/>
  <c r="L662" i="1"/>
  <c r="B5787" i="2" s="1"/>
  <c r="T661" i="1"/>
  <c r="B5786" i="2" s="1"/>
  <c r="S661" i="1"/>
  <c r="B5785" i="2" s="1"/>
  <c r="R661" i="1"/>
  <c r="B5784" i="2" s="1"/>
  <c r="Q661" i="1"/>
  <c r="B5783" i="2" s="1"/>
  <c r="P661" i="1"/>
  <c r="B5782" i="2" s="1"/>
  <c r="O661" i="1"/>
  <c r="B5781" i="2" s="1"/>
  <c r="N661" i="1"/>
  <c r="B5780" i="2" s="1"/>
  <c r="M661" i="1"/>
  <c r="B5779" i="2" s="1"/>
  <c r="L661" i="1"/>
  <c r="B5778" i="2" s="1"/>
  <c r="T660" i="1"/>
  <c r="B5777" i="2" s="1"/>
  <c r="S660" i="1"/>
  <c r="B5776" i="2" s="1"/>
  <c r="R660" i="1"/>
  <c r="B5775" i="2" s="1"/>
  <c r="Q660" i="1"/>
  <c r="B5774" i="2" s="1"/>
  <c r="P660" i="1"/>
  <c r="B5773" i="2" s="1"/>
  <c r="O660" i="1"/>
  <c r="B5772" i="2" s="1"/>
  <c r="N660" i="1"/>
  <c r="B5771" i="2" s="1"/>
  <c r="M660" i="1"/>
  <c r="B5770" i="2" s="1"/>
  <c r="L660" i="1"/>
  <c r="B5769" i="2" s="1"/>
  <c r="T659" i="1"/>
  <c r="B5768" i="2" s="1"/>
  <c r="S659" i="1"/>
  <c r="B5767" i="2" s="1"/>
  <c r="R659" i="1"/>
  <c r="B5766" i="2" s="1"/>
  <c r="Q659" i="1"/>
  <c r="B5765" i="2" s="1"/>
  <c r="P659" i="1"/>
  <c r="B5764" i="2" s="1"/>
  <c r="O659" i="1"/>
  <c r="B5763" i="2" s="1"/>
  <c r="N659" i="1"/>
  <c r="B5762" i="2" s="1"/>
  <c r="M659" i="1"/>
  <c r="B5761" i="2" s="1"/>
  <c r="L659" i="1"/>
  <c r="B5760" i="2" s="1"/>
  <c r="T658" i="1"/>
  <c r="B5759" i="2" s="1"/>
  <c r="S658" i="1"/>
  <c r="B5758" i="2" s="1"/>
  <c r="R658" i="1"/>
  <c r="B5757" i="2" s="1"/>
  <c r="Q658" i="1"/>
  <c r="B5756" i="2" s="1"/>
  <c r="P658" i="1"/>
  <c r="B5755" i="2" s="1"/>
  <c r="O658" i="1"/>
  <c r="B5754" i="2" s="1"/>
  <c r="N658" i="1"/>
  <c r="B5753" i="2" s="1"/>
  <c r="M658" i="1"/>
  <c r="B5752" i="2" s="1"/>
  <c r="L658" i="1"/>
  <c r="B5751" i="2" s="1"/>
  <c r="T657" i="1"/>
  <c r="B5750" i="2" s="1"/>
  <c r="S657" i="1"/>
  <c r="B5749" i="2" s="1"/>
  <c r="R657" i="1"/>
  <c r="B5748" i="2" s="1"/>
  <c r="Q657" i="1"/>
  <c r="B5747" i="2" s="1"/>
  <c r="P657" i="1"/>
  <c r="B5746" i="2" s="1"/>
  <c r="O657" i="1"/>
  <c r="B5745" i="2" s="1"/>
  <c r="N657" i="1"/>
  <c r="B5744" i="2" s="1"/>
  <c r="M657" i="1"/>
  <c r="B5743" i="2" s="1"/>
  <c r="L657" i="1"/>
  <c r="B5742" i="2" s="1"/>
  <c r="T656" i="1"/>
  <c r="B5741" i="2" s="1"/>
  <c r="S656" i="1"/>
  <c r="B5740" i="2" s="1"/>
  <c r="R656" i="1"/>
  <c r="B5739" i="2" s="1"/>
  <c r="Q656" i="1"/>
  <c r="B5738" i="2" s="1"/>
  <c r="P656" i="1"/>
  <c r="B5737" i="2" s="1"/>
  <c r="O656" i="1"/>
  <c r="B5736" i="2" s="1"/>
  <c r="N656" i="1"/>
  <c r="B5735" i="2" s="1"/>
  <c r="M656" i="1"/>
  <c r="B5734" i="2" s="1"/>
  <c r="L656" i="1"/>
  <c r="B5733" i="2" s="1"/>
  <c r="T655" i="1"/>
  <c r="B5732" i="2" s="1"/>
  <c r="S655" i="1"/>
  <c r="B5731" i="2" s="1"/>
  <c r="R655" i="1"/>
  <c r="B5730" i="2" s="1"/>
  <c r="Q655" i="1"/>
  <c r="B5729" i="2" s="1"/>
  <c r="P655" i="1"/>
  <c r="B5728" i="2" s="1"/>
  <c r="O655" i="1"/>
  <c r="B5727" i="2" s="1"/>
  <c r="N655" i="1"/>
  <c r="B5726" i="2" s="1"/>
  <c r="M655" i="1"/>
  <c r="B5725" i="2" s="1"/>
  <c r="L655" i="1"/>
  <c r="B5724" i="2" s="1"/>
  <c r="T654" i="1"/>
  <c r="B5723" i="2" s="1"/>
  <c r="S654" i="1"/>
  <c r="B5722" i="2" s="1"/>
  <c r="R654" i="1"/>
  <c r="B5721" i="2" s="1"/>
  <c r="Q654" i="1"/>
  <c r="B5720" i="2" s="1"/>
  <c r="P654" i="1"/>
  <c r="B5719" i="2" s="1"/>
  <c r="O654" i="1"/>
  <c r="B5718" i="2" s="1"/>
  <c r="N654" i="1"/>
  <c r="B5717" i="2" s="1"/>
  <c r="M654" i="1"/>
  <c r="B5716" i="2" s="1"/>
  <c r="L654" i="1"/>
  <c r="B5715" i="2" s="1"/>
  <c r="T653" i="1"/>
  <c r="B5714" i="2" s="1"/>
  <c r="S653" i="1"/>
  <c r="B5713" i="2" s="1"/>
  <c r="R653" i="1"/>
  <c r="B5712" i="2" s="1"/>
  <c r="Q653" i="1"/>
  <c r="B5711" i="2" s="1"/>
  <c r="P653" i="1"/>
  <c r="B5710" i="2" s="1"/>
  <c r="O653" i="1"/>
  <c r="B5709" i="2" s="1"/>
  <c r="N653" i="1"/>
  <c r="B5708" i="2" s="1"/>
  <c r="M653" i="1"/>
  <c r="B5707" i="2" s="1"/>
  <c r="L653" i="1"/>
  <c r="B5706" i="2" s="1"/>
  <c r="T652" i="1"/>
  <c r="B5705" i="2" s="1"/>
  <c r="S652" i="1"/>
  <c r="B5704" i="2" s="1"/>
  <c r="R652" i="1"/>
  <c r="B5703" i="2" s="1"/>
  <c r="Q652" i="1"/>
  <c r="B5702" i="2" s="1"/>
  <c r="P652" i="1"/>
  <c r="B5701" i="2" s="1"/>
  <c r="O652" i="1"/>
  <c r="B5700" i="2" s="1"/>
  <c r="N652" i="1"/>
  <c r="B5699" i="2" s="1"/>
  <c r="M652" i="1"/>
  <c r="B5698" i="2" s="1"/>
  <c r="L652" i="1"/>
  <c r="B5697" i="2" s="1"/>
  <c r="T651" i="1"/>
  <c r="B5696" i="2" s="1"/>
  <c r="S651" i="1"/>
  <c r="B5695" i="2" s="1"/>
  <c r="R651" i="1"/>
  <c r="B5694" i="2" s="1"/>
  <c r="Q651" i="1"/>
  <c r="B5693" i="2" s="1"/>
  <c r="P651" i="1"/>
  <c r="B5692" i="2" s="1"/>
  <c r="O651" i="1"/>
  <c r="B5691" i="2" s="1"/>
  <c r="N651" i="1"/>
  <c r="B5690" i="2" s="1"/>
  <c r="M651" i="1"/>
  <c r="B5689" i="2" s="1"/>
  <c r="L651" i="1"/>
  <c r="B5688" i="2" s="1"/>
  <c r="T650" i="1"/>
  <c r="B5687" i="2" s="1"/>
  <c r="S650" i="1"/>
  <c r="B5686" i="2" s="1"/>
  <c r="R650" i="1"/>
  <c r="B5685" i="2" s="1"/>
  <c r="Q650" i="1"/>
  <c r="B5684" i="2" s="1"/>
  <c r="P650" i="1"/>
  <c r="B5683" i="2" s="1"/>
  <c r="O650" i="1"/>
  <c r="B5682" i="2" s="1"/>
  <c r="N650" i="1"/>
  <c r="B5681" i="2" s="1"/>
  <c r="M650" i="1"/>
  <c r="B5680" i="2" s="1"/>
  <c r="L650" i="1"/>
  <c r="B5679" i="2" s="1"/>
  <c r="U649" i="1"/>
  <c r="T649" i="1"/>
  <c r="B5678" i="2" s="1"/>
  <c r="S649" i="1"/>
  <c r="B5677" i="2" s="1"/>
  <c r="R649" i="1"/>
  <c r="B5676" i="2" s="1"/>
  <c r="Q649" i="1"/>
  <c r="B5675" i="2" s="1"/>
  <c r="P649" i="1"/>
  <c r="B5674" i="2" s="1"/>
  <c r="O649" i="1"/>
  <c r="B5673" i="2" s="1"/>
  <c r="N649" i="1"/>
  <c r="B5672" i="2" s="1"/>
  <c r="M649" i="1"/>
  <c r="B5671" i="2" s="1"/>
  <c r="L649" i="1"/>
  <c r="B5670" i="2" s="1"/>
  <c r="T648" i="1"/>
  <c r="B5669" i="2" s="1"/>
  <c r="S648" i="1"/>
  <c r="B5668" i="2" s="1"/>
  <c r="R648" i="1"/>
  <c r="B5667" i="2" s="1"/>
  <c r="Q648" i="1"/>
  <c r="B5666" i="2" s="1"/>
  <c r="P648" i="1"/>
  <c r="B5665" i="2" s="1"/>
  <c r="O648" i="1"/>
  <c r="B5664" i="2" s="1"/>
  <c r="N648" i="1"/>
  <c r="B5663" i="2" s="1"/>
  <c r="M648" i="1"/>
  <c r="B5662" i="2" s="1"/>
  <c r="L648" i="1"/>
  <c r="B5661" i="2" s="1"/>
  <c r="T647" i="1"/>
  <c r="B5660" i="2" s="1"/>
  <c r="S647" i="1"/>
  <c r="B5659" i="2" s="1"/>
  <c r="R647" i="1"/>
  <c r="B5658" i="2" s="1"/>
  <c r="Q647" i="1"/>
  <c r="B5657" i="2" s="1"/>
  <c r="P647" i="1"/>
  <c r="B5656" i="2" s="1"/>
  <c r="O647" i="1"/>
  <c r="B5655" i="2" s="1"/>
  <c r="N647" i="1"/>
  <c r="B5654" i="2" s="1"/>
  <c r="M647" i="1"/>
  <c r="B5653" i="2" s="1"/>
  <c r="L647" i="1"/>
  <c r="B5652" i="2" s="1"/>
  <c r="K647" i="1"/>
  <c r="T646" i="1"/>
  <c r="B5651" i="2" s="1"/>
  <c r="S646" i="1"/>
  <c r="B5650" i="2" s="1"/>
  <c r="R646" i="1"/>
  <c r="B5649" i="2" s="1"/>
  <c r="Q646" i="1"/>
  <c r="B5648" i="2" s="1"/>
  <c r="P646" i="1"/>
  <c r="B5647" i="2" s="1"/>
  <c r="O646" i="1"/>
  <c r="B5646" i="2" s="1"/>
  <c r="N646" i="1"/>
  <c r="B5645" i="2" s="1"/>
  <c r="M646" i="1"/>
  <c r="B5644" i="2" s="1"/>
  <c r="L646" i="1"/>
  <c r="B5643" i="2" s="1"/>
  <c r="T645" i="1"/>
  <c r="B5642" i="2" s="1"/>
  <c r="S645" i="1"/>
  <c r="B5641" i="2" s="1"/>
  <c r="R645" i="1"/>
  <c r="B5640" i="2" s="1"/>
  <c r="Q645" i="1"/>
  <c r="B5639" i="2" s="1"/>
  <c r="P645" i="1"/>
  <c r="B5638" i="2" s="1"/>
  <c r="O645" i="1"/>
  <c r="B5637" i="2" s="1"/>
  <c r="N645" i="1"/>
  <c r="B5636" i="2" s="1"/>
  <c r="M645" i="1"/>
  <c r="B5635" i="2" s="1"/>
  <c r="L645" i="1"/>
  <c r="B5634" i="2" s="1"/>
  <c r="T644" i="1"/>
  <c r="B5633" i="2" s="1"/>
  <c r="S644" i="1"/>
  <c r="B5632" i="2" s="1"/>
  <c r="R644" i="1"/>
  <c r="B5631" i="2" s="1"/>
  <c r="Q644" i="1"/>
  <c r="B5630" i="2" s="1"/>
  <c r="P644" i="1"/>
  <c r="B5629" i="2" s="1"/>
  <c r="O644" i="1"/>
  <c r="B5628" i="2" s="1"/>
  <c r="N644" i="1"/>
  <c r="B5627" i="2" s="1"/>
  <c r="M644" i="1"/>
  <c r="B5626" i="2" s="1"/>
  <c r="L644" i="1"/>
  <c r="B5625" i="2" s="1"/>
  <c r="T643" i="1"/>
  <c r="B5624" i="2" s="1"/>
  <c r="S643" i="1"/>
  <c r="B5623" i="2" s="1"/>
  <c r="R643" i="1"/>
  <c r="B5622" i="2" s="1"/>
  <c r="Q643" i="1"/>
  <c r="B5621" i="2" s="1"/>
  <c r="P643" i="1"/>
  <c r="B5620" i="2" s="1"/>
  <c r="O643" i="1"/>
  <c r="B5619" i="2" s="1"/>
  <c r="N643" i="1"/>
  <c r="B5618" i="2" s="1"/>
  <c r="M643" i="1"/>
  <c r="B5617" i="2" s="1"/>
  <c r="L643" i="1"/>
  <c r="B5616" i="2" s="1"/>
  <c r="T642" i="1"/>
  <c r="B5615" i="2" s="1"/>
  <c r="S642" i="1"/>
  <c r="B5614" i="2" s="1"/>
  <c r="R642" i="1"/>
  <c r="B5613" i="2" s="1"/>
  <c r="Q642" i="1"/>
  <c r="B5612" i="2" s="1"/>
  <c r="P642" i="1"/>
  <c r="B5611" i="2" s="1"/>
  <c r="O642" i="1"/>
  <c r="B5610" i="2" s="1"/>
  <c r="N642" i="1"/>
  <c r="B5609" i="2" s="1"/>
  <c r="M642" i="1"/>
  <c r="B5608" i="2" s="1"/>
  <c r="L642" i="1"/>
  <c r="B5607" i="2" s="1"/>
  <c r="T641" i="1"/>
  <c r="B5606" i="2" s="1"/>
  <c r="S641" i="1"/>
  <c r="B5605" i="2" s="1"/>
  <c r="R641" i="1"/>
  <c r="B5604" i="2" s="1"/>
  <c r="Q641" i="1"/>
  <c r="B5603" i="2" s="1"/>
  <c r="P641" i="1"/>
  <c r="B5602" i="2" s="1"/>
  <c r="O641" i="1"/>
  <c r="B5601" i="2" s="1"/>
  <c r="N641" i="1"/>
  <c r="B5600" i="2" s="1"/>
  <c r="M641" i="1"/>
  <c r="B5599" i="2" s="1"/>
  <c r="L641" i="1"/>
  <c r="B5598" i="2" s="1"/>
  <c r="T640" i="1"/>
  <c r="B5597" i="2" s="1"/>
  <c r="S640" i="1"/>
  <c r="B5596" i="2" s="1"/>
  <c r="R640" i="1"/>
  <c r="B5595" i="2" s="1"/>
  <c r="Q640" i="1"/>
  <c r="B5594" i="2" s="1"/>
  <c r="P640" i="1"/>
  <c r="B5593" i="2" s="1"/>
  <c r="O640" i="1"/>
  <c r="B5592" i="2" s="1"/>
  <c r="N640" i="1"/>
  <c r="B5591" i="2" s="1"/>
  <c r="M640" i="1"/>
  <c r="B5590" i="2" s="1"/>
  <c r="L640" i="1"/>
  <c r="B5589" i="2" s="1"/>
  <c r="T639" i="1"/>
  <c r="B5588" i="2" s="1"/>
  <c r="S639" i="1"/>
  <c r="B5587" i="2" s="1"/>
  <c r="R639" i="1"/>
  <c r="B5586" i="2" s="1"/>
  <c r="Q639" i="1"/>
  <c r="B5585" i="2" s="1"/>
  <c r="P639" i="1"/>
  <c r="B5584" i="2" s="1"/>
  <c r="O639" i="1"/>
  <c r="B5583" i="2" s="1"/>
  <c r="N639" i="1"/>
  <c r="B5582" i="2" s="1"/>
  <c r="M639" i="1"/>
  <c r="B5581" i="2" s="1"/>
  <c r="L639" i="1"/>
  <c r="B5580" i="2" s="1"/>
  <c r="T638" i="1"/>
  <c r="B5579" i="2" s="1"/>
  <c r="S638" i="1"/>
  <c r="B5578" i="2" s="1"/>
  <c r="R638" i="1"/>
  <c r="B5577" i="2" s="1"/>
  <c r="Q638" i="1"/>
  <c r="B5576" i="2" s="1"/>
  <c r="P638" i="1"/>
  <c r="B5575" i="2" s="1"/>
  <c r="O638" i="1"/>
  <c r="B5574" i="2" s="1"/>
  <c r="N638" i="1"/>
  <c r="B5573" i="2" s="1"/>
  <c r="M638" i="1"/>
  <c r="B5572" i="2" s="1"/>
  <c r="L638" i="1"/>
  <c r="B5571" i="2" s="1"/>
  <c r="T637" i="1"/>
  <c r="B5570" i="2" s="1"/>
  <c r="S637" i="1"/>
  <c r="B5569" i="2" s="1"/>
  <c r="R637" i="1"/>
  <c r="B5568" i="2" s="1"/>
  <c r="Q637" i="1"/>
  <c r="B5567" i="2" s="1"/>
  <c r="P637" i="1"/>
  <c r="B5566" i="2" s="1"/>
  <c r="O637" i="1"/>
  <c r="B5565" i="2" s="1"/>
  <c r="N637" i="1"/>
  <c r="B5564" i="2" s="1"/>
  <c r="M637" i="1"/>
  <c r="B5563" i="2" s="1"/>
  <c r="L637" i="1"/>
  <c r="B5562" i="2" s="1"/>
  <c r="T636" i="1"/>
  <c r="B5561" i="2" s="1"/>
  <c r="S636" i="1"/>
  <c r="B5560" i="2" s="1"/>
  <c r="R636" i="1"/>
  <c r="B5559" i="2" s="1"/>
  <c r="Q636" i="1"/>
  <c r="B5558" i="2" s="1"/>
  <c r="P636" i="1"/>
  <c r="B5557" i="2" s="1"/>
  <c r="O636" i="1"/>
  <c r="B5556" i="2" s="1"/>
  <c r="N636" i="1"/>
  <c r="B5555" i="2" s="1"/>
  <c r="M636" i="1"/>
  <c r="B5554" i="2" s="1"/>
  <c r="L636" i="1"/>
  <c r="B5553" i="2" s="1"/>
  <c r="T635" i="1"/>
  <c r="B5552" i="2" s="1"/>
  <c r="S635" i="1"/>
  <c r="B5551" i="2" s="1"/>
  <c r="R635" i="1"/>
  <c r="B5550" i="2" s="1"/>
  <c r="Q635" i="1"/>
  <c r="B5549" i="2" s="1"/>
  <c r="P635" i="1"/>
  <c r="B5548" i="2" s="1"/>
  <c r="O635" i="1"/>
  <c r="B5547" i="2" s="1"/>
  <c r="N635" i="1"/>
  <c r="B5546" i="2" s="1"/>
  <c r="M635" i="1"/>
  <c r="B5545" i="2" s="1"/>
  <c r="L635" i="1"/>
  <c r="B5544" i="2" s="1"/>
  <c r="T634" i="1"/>
  <c r="B5543" i="2" s="1"/>
  <c r="S634" i="1"/>
  <c r="B5542" i="2" s="1"/>
  <c r="R634" i="1"/>
  <c r="B5541" i="2" s="1"/>
  <c r="Q634" i="1"/>
  <c r="B5540" i="2" s="1"/>
  <c r="P634" i="1"/>
  <c r="B5539" i="2" s="1"/>
  <c r="O634" i="1"/>
  <c r="B5538" i="2" s="1"/>
  <c r="N634" i="1"/>
  <c r="B5537" i="2" s="1"/>
  <c r="M634" i="1"/>
  <c r="B5536" i="2" s="1"/>
  <c r="L634" i="1"/>
  <c r="B5535" i="2" s="1"/>
  <c r="U633" i="1"/>
  <c r="T633" i="1"/>
  <c r="B5534" i="2" s="1"/>
  <c r="S633" i="1"/>
  <c r="B5533" i="2" s="1"/>
  <c r="R633" i="1"/>
  <c r="B5532" i="2" s="1"/>
  <c r="Q633" i="1"/>
  <c r="B5531" i="2" s="1"/>
  <c r="P633" i="1"/>
  <c r="B5530" i="2" s="1"/>
  <c r="O633" i="1"/>
  <c r="B5529" i="2" s="1"/>
  <c r="N633" i="1"/>
  <c r="B5528" i="2" s="1"/>
  <c r="M633" i="1"/>
  <c r="B5527" i="2" s="1"/>
  <c r="L633" i="1"/>
  <c r="B5526" i="2" s="1"/>
  <c r="T632" i="1"/>
  <c r="B5525" i="2" s="1"/>
  <c r="S632" i="1"/>
  <c r="B5524" i="2" s="1"/>
  <c r="R632" i="1"/>
  <c r="B5523" i="2" s="1"/>
  <c r="Q632" i="1"/>
  <c r="B5522" i="2" s="1"/>
  <c r="P632" i="1"/>
  <c r="B5521" i="2" s="1"/>
  <c r="O632" i="1"/>
  <c r="B5520" i="2" s="1"/>
  <c r="N632" i="1"/>
  <c r="B5519" i="2" s="1"/>
  <c r="M632" i="1"/>
  <c r="B5518" i="2" s="1"/>
  <c r="L632" i="1"/>
  <c r="B5517" i="2" s="1"/>
  <c r="T631" i="1"/>
  <c r="B5516" i="2" s="1"/>
  <c r="S631" i="1"/>
  <c r="B5515" i="2" s="1"/>
  <c r="R631" i="1"/>
  <c r="B5514" i="2" s="1"/>
  <c r="Q631" i="1"/>
  <c r="B5513" i="2" s="1"/>
  <c r="P631" i="1"/>
  <c r="B5512" i="2" s="1"/>
  <c r="O631" i="1"/>
  <c r="B5511" i="2" s="1"/>
  <c r="N631" i="1"/>
  <c r="B5510" i="2" s="1"/>
  <c r="M631" i="1"/>
  <c r="B5509" i="2" s="1"/>
  <c r="L631" i="1"/>
  <c r="B5508" i="2" s="1"/>
  <c r="K631" i="1"/>
  <c r="T630" i="1"/>
  <c r="B5507" i="2" s="1"/>
  <c r="S630" i="1"/>
  <c r="B5506" i="2" s="1"/>
  <c r="R630" i="1"/>
  <c r="B5505" i="2" s="1"/>
  <c r="Q630" i="1"/>
  <c r="B5504" i="2" s="1"/>
  <c r="P630" i="1"/>
  <c r="B5503" i="2" s="1"/>
  <c r="O630" i="1"/>
  <c r="B5502" i="2" s="1"/>
  <c r="N630" i="1"/>
  <c r="B5501" i="2" s="1"/>
  <c r="M630" i="1"/>
  <c r="B5500" i="2" s="1"/>
  <c r="L630" i="1"/>
  <c r="B5499" i="2" s="1"/>
  <c r="T629" i="1"/>
  <c r="B5498" i="2" s="1"/>
  <c r="S629" i="1"/>
  <c r="B5497" i="2" s="1"/>
  <c r="R629" i="1"/>
  <c r="B5496" i="2" s="1"/>
  <c r="Q629" i="1"/>
  <c r="B5495" i="2" s="1"/>
  <c r="P629" i="1"/>
  <c r="B5494" i="2" s="1"/>
  <c r="O629" i="1"/>
  <c r="B5493" i="2" s="1"/>
  <c r="N629" i="1"/>
  <c r="B5492" i="2" s="1"/>
  <c r="M629" i="1"/>
  <c r="B5491" i="2" s="1"/>
  <c r="L629" i="1"/>
  <c r="B5490" i="2" s="1"/>
  <c r="T628" i="1"/>
  <c r="B5489" i="2" s="1"/>
  <c r="S628" i="1"/>
  <c r="B5488" i="2" s="1"/>
  <c r="R628" i="1"/>
  <c r="B5487" i="2" s="1"/>
  <c r="Q628" i="1"/>
  <c r="B5486" i="2" s="1"/>
  <c r="P628" i="1"/>
  <c r="B5485" i="2" s="1"/>
  <c r="O628" i="1"/>
  <c r="B5484" i="2" s="1"/>
  <c r="N628" i="1"/>
  <c r="B5483" i="2" s="1"/>
  <c r="M628" i="1"/>
  <c r="B5482" i="2" s="1"/>
  <c r="L628" i="1"/>
  <c r="B5481" i="2" s="1"/>
  <c r="T627" i="1"/>
  <c r="B5480" i="2" s="1"/>
  <c r="S627" i="1"/>
  <c r="B5479" i="2" s="1"/>
  <c r="R627" i="1"/>
  <c r="B5478" i="2" s="1"/>
  <c r="Q627" i="1"/>
  <c r="B5477" i="2" s="1"/>
  <c r="P627" i="1"/>
  <c r="B5476" i="2" s="1"/>
  <c r="O627" i="1"/>
  <c r="B5475" i="2" s="1"/>
  <c r="N627" i="1"/>
  <c r="B5474" i="2" s="1"/>
  <c r="M627" i="1"/>
  <c r="B5473" i="2" s="1"/>
  <c r="L627" i="1"/>
  <c r="B5472" i="2" s="1"/>
  <c r="T626" i="1"/>
  <c r="B5471" i="2" s="1"/>
  <c r="S626" i="1"/>
  <c r="B5470" i="2" s="1"/>
  <c r="R626" i="1"/>
  <c r="B5469" i="2" s="1"/>
  <c r="Q626" i="1"/>
  <c r="B5468" i="2" s="1"/>
  <c r="P626" i="1"/>
  <c r="B5467" i="2" s="1"/>
  <c r="O626" i="1"/>
  <c r="B5466" i="2" s="1"/>
  <c r="N626" i="1"/>
  <c r="B5465" i="2" s="1"/>
  <c r="M626" i="1"/>
  <c r="B5464" i="2" s="1"/>
  <c r="L626" i="1"/>
  <c r="B5463" i="2" s="1"/>
  <c r="T625" i="1"/>
  <c r="B5462" i="2" s="1"/>
  <c r="S625" i="1"/>
  <c r="B5461" i="2" s="1"/>
  <c r="R625" i="1"/>
  <c r="B5460" i="2" s="1"/>
  <c r="Q625" i="1"/>
  <c r="B5459" i="2" s="1"/>
  <c r="P625" i="1"/>
  <c r="B5458" i="2" s="1"/>
  <c r="O625" i="1"/>
  <c r="B5457" i="2" s="1"/>
  <c r="N625" i="1"/>
  <c r="B5456" i="2" s="1"/>
  <c r="M625" i="1"/>
  <c r="B5455" i="2" s="1"/>
  <c r="L625" i="1"/>
  <c r="B5454" i="2" s="1"/>
  <c r="T624" i="1"/>
  <c r="B5453" i="2" s="1"/>
  <c r="S624" i="1"/>
  <c r="B5452" i="2" s="1"/>
  <c r="R624" i="1"/>
  <c r="B5451" i="2" s="1"/>
  <c r="Q624" i="1"/>
  <c r="B5450" i="2" s="1"/>
  <c r="P624" i="1"/>
  <c r="B5449" i="2" s="1"/>
  <c r="O624" i="1"/>
  <c r="B5448" i="2" s="1"/>
  <c r="N624" i="1"/>
  <c r="B5447" i="2" s="1"/>
  <c r="M624" i="1"/>
  <c r="B5446" i="2" s="1"/>
  <c r="L624" i="1"/>
  <c r="B5445" i="2" s="1"/>
  <c r="T623" i="1"/>
  <c r="B5444" i="2" s="1"/>
  <c r="S623" i="1"/>
  <c r="B5443" i="2" s="1"/>
  <c r="R623" i="1"/>
  <c r="B5442" i="2" s="1"/>
  <c r="Q623" i="1"/>
  <c r="B5441" i="2" s="1"/>
  <c r="P623" i="1"/>
  <c r="B5440" i="2" s="1"/>
  <c r="O623" i="1"/>
  <c r="B5439" i="2" s="1"/>
  <c r="N623" i="1"/>
  <c r="B5438" i="2" s="1"/>
  <c r="M623" i="1"/>
  <c r="B5437" i="2" s="1"/>
  <c r="L623" i="1"/>
  <c r="B5436" i="2" s="1"/>
  <c r="T622" i="1"/>
  <c r="B5435" i="2" s="1"/>
  <c r="S622" i="1"/>
  <c r="B5434" i="2" s="1"/>
  <c r="R622" i="1"/>
  <c r="B5433" i="2" s="1"/>
  <c r="Q622" i="1"/>
  <c r="B5432" i="2" s="1"/>
  <c r="P622" i="1"/>
  <c r="B5431" i="2" s="1"/>
  <c r="O622" i="1"/>
  <c r="B5430" i="2" s="1"/>
  <c r="N622" i="1"/>
  <c r="B5429" i="2" s="1"/>
  <c r="M622" i="1"/>
  <c r="B5428" i="2" s="1"/>
  <c r="L622" i="1"/>
  <c r="B5427" i="2" s="1"/>
  <c r="U621" i="1"/>
  <c r="T621" i="1"/>
  <c r="B5426" i="2" s="1"/>
  <c r="S621" i="1"/>
  <c r="B5425" i="2" s="1"/>
  <c r="R621" i="1"/>
  <c r="B5424" i="2" s="1"/>
  <c r="Q621" i="1"/>
  <c r="B5423" i="2" s="1"/>
  <c r="P621" i="1"/>
  <c r="B5422" i="2" s="1"/>
  <c r="O621" i="1"/>
  <c r="B5421" i="2" s="1"/>
  <c r="N621" i="1"/>
  <c r="B5420" i="2" s="1"/>
  <c r="M621" i="1"/>
  <c r="B5419" i="2" s="1"/>
  <c r="L621" i="1"/>
  <c r="B5418" i="2" s="1"/>
  <c r="T620" i="1"/>
  <c r="B5417" i="2" s="1"/>
  <c r="S620" i="1"/>
  <c r="B5416" i="2" s="1"/>
  <c r="R620" i="1"/>
  <c r="B5415" i="2" s="1"/>
  <c r="Q620" i="1"/>
  <c r="B5414" i="2" s="1"/>
  <c r="P620" i="1"/>
  <c r="B5413" i="2" s="1"/>
  <c r="O620" i="1"/>
  <c r="B5412" i="2" s="1"/>
  <c r="N620" i="1"/>
  <c r="B5411" i="2" s="1"/>
  <c r="M620" i="1"/>
  <c r="B5410" i="2" s="1"/>
  <c r="L620" i="1"/>
  <c r="B5409" i="2" s="1"/>
  <c r="T619" i="1"/>
  <c r="B5408" i="2" s="1"/>
  <c r="S619" i="1"/>
  <c r="B5407" i="2" s="1"/>
  <c r="R619" i="1"/>
  <c r="B5406" i="2" s="1"/>
  <c r="Q619" i="1"/>
  <c r="B5405" i="2" s="1"/>
  <c r="P619" i="1"/>
  <c r="B5404" i="2" s="1"/>
  <c r="O619" i="1"/>
  <c r="B5403" i="2" s="1"/>
  <c r="N619" i="1"/>
  <c r="B5402" i="2" s="1"/>
  <c r="M619" i="1"/>
  <c r="B5401" i="2" s="1"/>
  <c r="L619" i="1"/>
  <c r="B5400" i="2" s="1"/>
  <c r="T618" i="1"/>
  <c r="B5399" i="2" s="1"/>
  <c r="S618" i="1"/>
  <c r="B5398" i="2" s="1"/>
  <c r="R618" i="1"/>
  <c r="B5397" i="2" s="1"/>
  <c r="Q618" i="1"/>
  <c r="B5396" i="2" s="1"/>
  <c r="P618" i="1"/>
  <c r="B5395" i="2" s="1"/>
  <c r="O618" i="1"/>
  <c r="B5394" i="2" s="1"/>
  <c r="N618" i="1"/>
  <c r="B5393" i="2" s="1"/>
  <c r="M618" i="1"/>
  <c r="B5392" i="2" s="1"/>
  <c r="L618" i="1"/>
  <c r="B5391" i="2" s="1"/>
  <c r="U617" i="1"/>
  <c r="T617" i="1"/>
  <c r="B5390" i="2" s="1"/>
  <c r="S617" i="1"/>
  <c r="B5389" i="2" s="1"/>
  <c r="R617" i="1"/>
  <c r="B5388" i="2" s="1"/>
  <c r="Q617" i="1"/>
  <c r="B5387" i="2" s="1"/>
  <c r="P617" i="1"/>
  <c r="B5386" i="2" s="1"/>
  <c r="O617" i="1"/>
  <c r="B5385" i="2" s="1"/>
  <c r="N617" i="1"/>
  <c r="B5384" i="2" s="1"/>
  <c r="M617" i="1"/>
  <c r="B5383" i="2" s="1"/>
  <c r="L617" i="1"/>
  <c r="B5382" i="2" s="1"/>
  <c r="T616" i="1"/>
  <c r="B5381" i="2" s="1"/>
  <c r="S616" i="1"/>
  <c r="B5380" i="2" s="1"/>
  <c r="R616" i="1"/>
  <c r="B5379" i="2" s="1"/>
  <c r="Q616" i="1"/>
  <c r="B5378" i="2" s="1"/>
  <c r="P616" i="1"/>
  <c r="B5377" i="2" s="1"/>
  <c r="O616" i="1"/>
  <c r="B5376" i="2" s="1"/>
  <c r="N616" i="1"/>
  <c r="B5375" i="2" s="1"/>
  <c r="M616" i="1"/>
  <c r="B5374" i="2" s="1"/>
  <c r="L616" i="1"/>
  <c r="B5373" i="2" s="1"/>
  <c r="T615" i="1"/>
  <c r="B5372" i="2" s="1"/>
  <c r="S615" i="1"/>
  <c r="B5371" i="2" s="1"/>
  <c r="R615" i="1"/>
  <c r="B5370" i="2" s="1"/>
  <c r="Q615" i="1"/>
  <c r="B5369" i="2" s="1"/>
  <c r="P615" i="1"/>
  <c r="B5368" i="2" s="1"/>
  <c r="O615" i="1"/>
  <c r="B5367" i="2" s="1"/>
  <c r="N615" i="1"/>
  <c r="B5366" i="2" s="1"/>
  <c r="M615" i="1"/>
  <c r="B5365" i="2" s="1"/>
  <c r="L615" i="1"/>
  <c r="B5364" i="2" s="1"/>
  <c r="K615" i="1"/>
  <c r="T614" i="1"/>
  <c r="B5363" i="2" s="1"/>
  <c r="S614" i="1"/>
  <c r="B5362" i="2" s="1"/>
  <c r="R614" i="1"/>
  <c r="B5361" i="2" s="1"/>
  <c r="Q614" i="1"/>
  <c r="B5360" i="2" s="1"/>
  <c r="P614" i="1"/>
  <c r="B5359" i="2" s="1"/>
  <c r="O614" i="1"/>
  <c r="B5358" i="2" s="1"/>
  <c r="N614" i="1"/>
  <c r="B5357" i="2" s="1"/>
  <c r="M614" i="1"/>
  <c r="B5356" i="2" s="1"/>
  <c r="L614" i="1"/>
  <c r="B5355" i="2" s="1"/>
  <c r="T613" i="1"/>
  <c r="B5354" i="2" s="1"/>
  <c r="S613" i="1"/>
  <c r="B5353" i="2" s="1"/>
  <c r="R613" i="1"/>
  <c r="B5352" i="2" s="1"/>
  <c r="Q613" i="1"/>
  <c r="B5351" i="2" s="1"/>
  <c r="P613" i="1"/>
  <c r="B5350" i="2" s="1"/>
  <c r="O613" i="1"/>
  <c r="B5349" i="2" s="1"/>
  <c r="N613" i="1"/>
  <c r="B5348" i="2" s="1"/>
  <c r="M613" i="1"/>
  <c r="B5347" i="2" s="1"/>
  <c r="L613" i="1"/>
  <c r="B5346" i="2" s="1"/>
  <c r="T612" i="1"/>
  <c r="B5345" i="2" s="1"/>
  <c r="S612" i="1"/>
  <c r="B5344" i="2" s="1"/>
  <c r="R612" i="1"/>
  <c r="B5343" i="2" s="1"/>
  <c r="Q612" i="1"/>
  <c r="B5342" i="2" s="1"/>
  <c r="P612" i="1"/>
  <c r="B5341" i="2" s="1"/>
  <c r="O612" i="1"/>
  <c r="B5340" i="2" s="1"/>
  <c r="N612" i="1"/>
  <c r="B5339" i="2" s="1"/>
  <c r="M612" i="1"/>
  <c r="B5338" i="2" s="1"/>
  <c r="L612" i="1"/>
  <c r="B5337" i="2" s="1"/>
  <c r="T611" i="1"/>
  <c r="B5336" i="2" s="1"/>
  <c r="S611" i="1"/>
  <c r="B5335" i="2" s="1"/>
  <c r="R611" i="1"/>
  <c r="B5334" i="2" s="1"/>
  <c r="Q611" i="1"/>
  <c r="B5333" i="2" s="1"/>
  <c r="P611" i="1"/>
  <c r="B5332" i="2" s="1"/>
  <c r="O611" i="1"/>
  <c r="B5331" i="2" s="1"/>
  <c r="N611" i="1"/>
  <c r="B5330" i="2" s="1"/>
  <c r="M611" i="1"/>
  <c r="B5329" i="2" s="1"/>
  <c r="L611" i="1"/>
  <c r="B5328" i="2" s="1"/>
  <c r="T610" i="1"/>
  <c r="B5327" i="2" s="1"/>
  <c r="S610" i="1"/>
  <c r="B5326" i="2" s="1"/>
  <c r="R610" i="1"/>
  <c r="B5325" i="2" s="1"/>
  <c r="Q610" i="1"/>
  <c r="B5324" i="2" s="1"/>
  <c r="P610" i="1"/>
  <c r="B5323" i="2" s="1"/>
  <c r="O610" i="1"/>
  <c r="B5322" i="2" s="1"/>
  <c r="N610" i="1"/>
  <c r="B5321" i="2" s="1"/>
  <c r="M610" i="1"/>
  <c r="B5320" i="2" s="1"/>
  <c r="L610" i="1"/>
  <c r="B5319" i="2" s="1"/>
  <c r="T609" i="1"/>
  <c r="B5318" i="2" s="1"/>
  <c r="S609" i="1"/>
  <c r="B5317" i="2" s="1"/>
  <c r="R609" i="1"/>
  <c r="B5316" i="2" s="1"/>
  <c r="Q609" i="1"/>
  <c r="B5315" i="2" s="1"/>
  <c r="P609" i="1"/>
  <c r="B5314" i="2" s="1"/>
  <c r="O609" i="1"/>
  <c r="B5313" i="2" s="1"/>
  <c r="N609" i="1"/>
  <c r="B5312" i="2" s="1"/>
  <c r="M609" i="1"/>
  <c r="B5311" i="2" s="1"/>
  <c r="L609" i="1"/>
  <c r="B5310" i="2" s="1"/>
  <c r="T608" i="1"/>
  <c r="B5309" i="2" s="1"/>
  <c r="S608" i="1"/>
  <c r="B5308" i="2" s="1"/>
  <c r="R608" i="1"/>
  <c r="B5307" i="2" s="1"/>
  <c r="Q608" i="1"/>
  <c r="B5306" i="2" s="1"/>
  <c r="P608" i="1"/>
  <c r="B5305" i="2" s="1"/>
  <c r="O608" i="1"/>
  <c r="B5304" i="2" s="1"/>
  <c r="N608" i="1"/>
  <c r="B5303" i="2" s="1"/>
  <c r="M608" i="1"/>
  <c r="B5302" i="2" s="1"/>
  <c r="L608" i="1"/>
  <c r="B5301" i="2" s="1"/>
  <c r="T607" i="1"/>
  <c r="B5300" i="2" s="1"/>
  <c r="S607" i="1"/>
  <c r="B5299" i="2" s="1"/>
  <c r="R607" i="1"/>
  <c r="B5298" i="2" s="1"/>
  <c r="Q607" i="1"/>
  <c r="B5297" i="2" s="1"/>
  <c r="P607" i="1"/>
  <c r="B5296" i="2" s="1"/>
  <c r="O607" i="1"/>
  <c r="B5295" i="2" s="1"/>
  <c r="N607" i="1"/>
  <c r="B5294" i="2" s="1"/>
  <c r="M607" i="1"/>
  <c r="B5293" i="2" s="1"/>
  <c r="L607" i="1"/>
  <c r="B5292" i="2" s="1"/>
  <c r="T606" i="1"/>
  <c r="B5291" i="2" s="1"/>
  <c r="S606" i="1"/>
  <c r="B5290" i="2" s="1"/>
  <c r="R606" i="1"/>
  <c r="B5289" i="2" s="1"/>
  <c r="Q606" i="1"/>
  <c r="B5288" i="2" s="1"/>
  <c r="P606" i="1"/>
  <c r="B5287" i="2" s="1"/>
  <c r="O606" i="1"/>
  <c r="B5286" i="2" s="1"/>
  <c r="N606" i="1"/>
  <c r="B5285" i="2" s="1"/>
  <c r="M606" i="1"/>
  <c r="B5284" i="2" s="1"/>
  <c r="L606" i="1"/>
  <c r="B5283" i="2" s="1"/>
  <c r="U605" i="1"/>
  <c r="T605" i="1"/>
  <c r="B5282" i="2" s="1"/>
  <c r="S605" i="1"/>
  <c r="B5281" i="2" s="1"/>
  <c r="R605" i="1"/>
  <c r="B5280" i="2" s="1"/>
  <c r="Q605" i="1"/>
  <c r="B5279" i="2" s="1"/>
  <c r="P605" i="1"/>
  <c r="B5278" i="2" s="1"/>
  <c r="O605" i="1"/>
  <c r="B5277" i="2" s="1"/>
  <c r="N605" i="1"/>
  <c r="B5276" i="2" s="1"/>
  <c r="M605" i="1"/>
  <c r="B5275" i="2" s="1"/>
  <c r="L605" i="1"/>
  <c r="B5274" i="2" s="1"/>
  <c r="T604" i="1"/>
  <c r="B5273" i="2" s="1"/>
  <c r="S604" i="1"/>
  <c r="B5272" i="2" s="1"/>
  <c r="R604" i="1"/>
  <c r="B5271" i="2" s="1"/>
  <c r="Q604" i="1"/>
  <c r="B5270" i="2" s="1"/>
  <c r="P604" i="1"/>
  <c r="B5269" i="2" s="1"/>
  <c r="O604" i="1"/>
  <c r="B5268" i="2" s="1"/>
  <c r="N604" i="1"/>
  <c r="B5267" i="2" s="1"/>
  <c r="M604" i="1"/>
  <c r="B5266" i="2" s="1"/>
  <c r="L604" i="1"/>
  <c r="B5265" i="2" s="1"/>
  <c r="T603" i="1"/>
  <c r="B5264" i="2" s="1"/>
  <c r="S603" i="1"/>
  <c r="B5263" i="2" s="1"/>
  <c r="R603" i="1"/>
  <c r="B5262" i="2" s="1"/>
  <c r="Q603" i="1"/>
  <c r="B5261" i="2" s="1"/>
  <c r="P603" i="1"/>
  <c r="B5260" i="2" s="1"/>
  <c r="O603" i="1"/>
  <c r="B5259" i="2" s="1"/>
  <c r="N603" i="1"/>
  <c r="B5258" i="2" s="1"/>
  <c r="M603" i="1"/>
  <c r="B5257" i="2" s="1"/>
  <c r="L603" i="1"/>
  <c r="B5256" i="2" s="1"/>
  <c r="T602" i="1"/>
  <c r="B5255" i="2" s="1"/>
  <c r="S602" i="1"/>
  <c r="B5254" i="2" s="1"/>
  <c r="R602" i="1"/>
  <c r="B5253" i="2" s="1"/>
  <c r="Q602" i="1"/>
  <c r="B5252" i="2" s="1"/>
  <c r="P602" i="1"/>
  <c r="B5251" i="2" s="1"/>
  <c r="O602" i="1"/>
  <c r="B5250" i="2" s="1"/>
  <c r="N602" i="1"/>
  <c r="B5249" i="2" s="1"/>
  <c r="M602" i="1"/>
  <c r="B5248" i="2" s="1"/>
  <c r="L602" i="1"/>
  <c r="B5247" i="2" s="1"/>
  <c r="U601" i="1"/>
  <c r="T601" i="1"/>
  <c r="B5246" i="2" s="1"/>
  <c r="S601" i="1"/>
  <c r="B5245" i="2" s="1"/>
  <c r="R601" i="1"/>
  <c r="B5244" i="2" s="1"/>
  <c r="Q601" i="1"/>
  <c r="B5243" i="2" s="1"/>
  <c r="P601" i="1"/>
  <c r="B5242" i="2" s="1"/>
  <c r="O601" i="1"/>
  <c r="B5241" i="2" s="1"/>
  <c r="N601" i="1"/>
  <c r="B5240" i="2" s="1"/>
  <c r="M601" i="1"/>
  <c r="B5239" i="2" s="1"/>
  <c r="L601" i="1"/>
  <c r="B5238" i="2" s="1"/>
  <c r="T600" i="1"/>
  <c r="B5237" i="2" s="1"/>
  <c r="S600" i="1"/>
  <c r="B5236" i="2" s="1"/>
  <c r="R600" i="1"/>
  <c r="B5235" i="2" s="1"/>
  <c r="Q600" i="1"/>
  <c r="B5234" i="2" s="1"/>
  <c r="P600" i="1"/>
  <c r="B5233" i="2" s="1"/>
  <c r="O600" i="1"/>
  <c r="B5232" i="2" s="1"/>
  <c r="N600" i="1"/>
  <c r="B5231" i="2" s="1"/>
  <c r="M600" i="1"/>
  <c r="B5230" i="2" s="1"/>
  <c r="L600" i="1"/>
  <c r="B5229" i="2" s="1"/>
  <c r="T599" i="1"/>
  <c r="B5228" i="2" s="1"/>
  <c r="S599" i="1"/>
  <c r="B5227" i="2" s="1"/>
  <c r="R599" i="1"/>
  <c r="B5226" i="2" s="1"/>
  <c r="Q599" i="1"/>
  <c r="B5225" i="2" s="1"/>
  <c r="P599" i="1"/>
  <c r="B5224" i="2" s="1"/>
  <c r="O599" i="1"/>
  <c r="B5223" i="2" s="1"/>
  <c r="N599" i="1"/>
  <c r="B5222" i="2" s="1"/>
  <c r="M599" i="1"/>
  <c r="B5221" i="2" s="1"/>
  <c r="L599" i="1"/>
  <c r="B5220" i="2" s="1"/>
  <c r="K599" i="1"/>
  <c r="T598" i="1"/>
  <c r="B5219" i="2" s="1"/>
  <c r="S598" i="1"/>
  <c r="B5218" i="2" s="1"/>
  <c r="R598" i="1"/>
  <c r="B5217" i="2" s="1"/>
  <c r="Q598" i="1"/>
  <c r="B5216" i="2" s="1"/>
  <c r="P598" i="1"/>
  <c r="B5215" i="2" s="1"/>
  <c r="O598" i="1"/>
  <c r="B5214" i="2" s="1"/>
  <c r="N598" i="1"/>
  <c r="B5213" i="2" s="1"/>
  <c r="M598" i="1"/>
  <c r="B5212" i="2" s="1"/>
  <c r="L598" i="1"/>
  <c r="B5211" i="2" s="1"/>
  <c r="T597" i="1"/>
  <c r="B5210" i="2" s="1"/>
  <c r="S597" i="1"/>
  <c r="B5209" i="2" s="1"/>
  <c r="R597" i="1"/>
  <c r="B5208" i="2" s="1"/>
  <c r="Q597" i="1"/>
  <c r="B5207" i="2" s="1"/>
  <c r="P597" i="1"/>
  <c r="B5206" i="2" s="1"/>
  <c r="O597" i="1"/>
  <c r="B5205" i="2" s="1"/>
  <c r="N597" i="1"/>
  <c r="B5204" i="2" s="1"/>
  <c r="M597" i="1"/>
  <c r="B5203" i="2" s="1"/>
  <c r="L597" i="1"/>
  <c r="B5202" i="2" s="1"/>
  <c r="T596" i="1"/>
  <c r="B5201" i="2" s="1"/>
  <c r="S596" i="1"/>
  <c r="B5200" i="2" s="1"/>
  <c r="R596" i="1"/>
  <c r="B5199" i="2" s="1"/>
  <c r="Q596" i="1"/>
  <c r="B5198" i="2" s="1"/>
  <c r="P596" i="1"/>
  <c r="B5197" i="2" s="1"/>
  <c r="O596" i="1"/>
  <c r="B5196" i="2" s="1"/>
  <c r="N596" i="1"/>
  <c r="B5195" i="2" s="1"/>
  <c r="M596" i="1"/>
  <c r="B5194" i="2" s="1"/>
  <c r="L596" i="1"/>
  <c r="B5193" i="2" s="1"/>
  <c r="T595" i="1"/>
  <c r="B5192" i="2" s="1"/>
  <c r="S595" i="1"/>
  <c r="B5191" i="2" s="1"/>
  <c r="R595" i="1"/>
  <c r="B5190" i="2" s="1"/>
  <c r="Q595" i="1"/>
  <c r="B5189" i="2" s="1"/>
  <c r="P595" i="1"/>
  <c r="B5188" i="2" s="1"/>
  <c r="O595" i="1"/>
  <c r="B5187" i="2" s="1"/>
  <c r="N595" i="1"/>
  <c r="B5186" i="2" s="1"/>
  <c r="M595" i="1"/>
  <c r="B5185" i="2" s="1"/>
  <c r="L595" i="1"/>
  <c r="B5184" i="2" s="1"/>
  <c r="T594" i="1"/>
  <c r="B5183" i="2" s="1"/>
  <c r="S594" i="1"/>
  <c r="B5182" i="2" s="1"/>
  <c r="R594" i="1"/>
  <c r="B5181" i="2" s="1"/>
  <c r="Q594" i="1"/>
  <c r="B5180" i="2" s="1"/>
  <c r="P594" i="1"/>
  <c r="B5179" i="2" s="1"/>
  <c r="O594" i="1"/>
  <c r="B5178" i="2" s="1"/>
  <c r="N594" i="1"/>
  <c r="B5177" i="2" s="1"/>
  <c r="M594" i="1"/>
  <c r="B5176" i="2" s="1"/>
  <c r="L594" i="1"/>
  <c r="B5175" i="2" s="1"/>
  <c r="T593" i="1"/>
  <c r="B5174" i="2" s="1"/>
  <c r="S593" i="1"/>
  <c r="B5173" i="2" s="1"/>
  <c r="R593" i="1"/>
  <c r="B5172" i="2" s="1"/>
  <c r="Q593" i="1"/>
  <c r="B5171" i="2" s="1"/>
  <c r="P593" i="1"/>
  <c r="B5170" i="2" s="1"/>
  <c r="O593" i="1"/>
  <c r="B5169" i="2" s="1"/>
  <c r="N593" i="1"/>
  <c r="B5168" i="2" s="1"/>
  <c r="M593" i="1"/>
  <c r="B5167" i="2" s="1"/>
  <c r="L593" i="1"/>
  <c r="B5166" i="2" s="1"/>
  <c r="T592" i="1"/>
  <c r="B5165" i="2" s="1"/>
  <c r="S592" i="1"/>
  <c r="B5164" i="2" s="1"/>
  <c r="R592" i="1"/>
  <c r="B5163" i="2" s="1"/>
  <c r="Q592" i="1"/>
  <c r="B5162" i="2" s="1"/>
  <c r="P592" i="1"/>
  <c r="B5161" i="2" s="1"/>
  <c r="O592" i="1"/>
  <c r="B5160" i="2" s="1"/>
  <c r="N592" i="1"/>
  <c r="B5159" i="2" s="1"/>
  <c r="M592" i="1"/>
  <c r="B5158" i="2" s="1"/>
  <c r="L592" i="1"/>
  <c r="B5157" i="2" s="1"/>
  <c r="T591" i="1"/>
  <c r="B5156" i="2" s="1"/>
  <c r="S591" i="1"/>
  <c r="B5155" i="2" s="1"/>
  <c r="R591" i="1"/>
  <c r="B5154" i="2" s="1"/>
  <c r="Q591" i="1"/>
  <c r="B5153" i="2" s="1"/>
  <c r="P591" i="1"/>
  <c r="B5152" i="2" s="1"/>
  <c r="O591" i="1"/>
  <c r="B5151" i="2" s="1"/>
  <c r="N591" i="1"/>
  <c r="B5150" i="2" s="1"/>
  <c r="M591" i="1"/>
  <c r="B5149" i="2" s="1"/>
  <c r="L591" i="1"/>
  <c r="B5148" i="2" s="1"/>
  <c r="T590" i="1"/>
  <c r="B5147" i="2" s="1"/>
  <c r="S590" i="1"/>
  <c r="B5146" i="2" s="1"/>
  <c r="R590" i="1"/>
  <c r="B5145" i="2" s="1"/>
  <c r="Q590" i="1"/>
  <c r="B5144" i="2" s="1"/>
  <c r="P590" i="1"/>
  <c r="B5143" i="2" s="1"/>
  <c r="O590" i="1"/>
  <c r="B5142" i="2" s="1"/>
  <c r="N590" i="1"/>
  <c r="B5141" i="2" s="1"/>
  <c r="M590" i="1"/>
  <c r="B5140" i="2" s="1"/>
  <c r="L590" i="1"/>
  <c r="B5139" i="2" s="1"/>
  <c r="U589" i="1"/>
  <c r="T589" i="1"/>
  <c r="B5138" i="2" s="1"/>
  <c r="S589" i="1"/>
  <c r="B5137" i="2" s="1"/>
  <c r="R589" i="1"/>
  <c r="B5136" i="2" s="1"/>
  <c r="Q589" i="1"/>
  <c r="B5135" i="2" s="1"/>
  <c r="P589" i="1"/>
  <c r="B5134" i="2" s="1"/>
  <c r="O589" i="1"/>
  <c r="B5133" i="2" s="1"/>
  <c r="N589" i="1"/>
  <c r="B5132" i="2" s="1"/>
  <c r="M589" i="1"/>
  <c r="B5131" i="2" s="1"/>
  <c r="L589" i="1"/>
  <c r="B5130" i="2" s="1"/>
  <c r="T588" i="1"/>
  <c r="B5129" i="2" s="1"/>
  <c r="S588" i="1"/>
  <c r="B5128" i="2" s="1"/>
  <c r="R588" i="1"/>
  <c r="B5127" i="2" s="1"/>
  <c r="Q588" i="1"/>
  <c r="B5126" i="2" s="1"/>
  <c r="P588" i="1"/>
  <c r="B5125" i="2" s="1"/>
  <c r="O588" i="1"/>
  <c r="B5124" i="2" s="1"/>
  <c r="N588" i="1"/>
  <c r="B5123" i="2" s="1"/>
  <c r="M588" i="1"/>
  <c r="B5122" i="2" s="1"/>
  <c r="L588" i="1"/>
  <c r="B5121" i="2" s="1"/>
  <c r="T587" i="1"/>
  <c r="B5120" i="2" s="1"/>
  <c r="S587" i="1"/>
  <c r="B5119" i="2" s="1"/>
  <c r="R587" i="1"/>
  <c r="B5118" i="2" s="1"/>
  <c r="Q587" i="1"/>
  <c r="B5117" i="2" s="1"/>
  <c r="P587" i="1"/>
  <c r="B5116" i="2" s="1"/>
  <c r="O587" i="1"/>
  <c r="B5115" i="2" s="1"/>
  <c r="N587" i="1"/>
  <c r="B5114" i="2" s="1"/>
  <c r="M587" i="1"/>
  <c r="B5113" i="2" s="1"/>
  <c r="L587" i="1"/>
  <c r="B5112" i="2" s="1"/>
  <c r="T586" i="1"/>
  <c r="B5111" i="2" s="1"/>
  <c r="S586" i="1"/>
  <c r="B5110" i="2" s="1"/>
  <c r="R586" i="1"/>
  <c r="B5109" i="2" s="1"/>
  <c r="Q586" i="1"/>
  <c r="B5108" i="2" s="1"/>
  <c r="P586" i="1"/>
  <c r="B5107" i="2" s="1"/>
  <c r="O586" i="1"/>
  <c r="B5106" i="2" s="1"/>
  <c r="N586" i="1"/>
  <c r="B5105" i="2" s="1"/>
  <c r="M586" i="1"/>
  <c r="B5104" i="2" s="1"/>
  <c r="L586" i="1"/>
  <c r="B5103" i="2" s="1"/>
  <c r="U585" i="1"/>
  <c r="T585" i="1"/>
  <c r="B5102" i="2" s="1"/>
  <c r="S585" i="1"/>
  <c r="B5101" i="2" s="1"/>
  <c r="R585" i="1"/>
  <c r="B5100" i="2" s="1"/>
  <c r="Q585" i="1"/>
  <c r="B5099" i="2" s="1"/>
  <c r="P585" i="1"/>
  <c r="B5098" i="2" s="1"/>
  <c r="O585" i="1"/>
  <c r="B5097" i="2" s="1"/>
  <c r="N585" i="1"/>
  <c r="B5096" i="2" s="1"/>
  <c r="M585" i="1"/>
  <c r="B5095" i="2" s="1"/>
  <c r="L585" i="1"/>
  <c r="B5094" i="2" s="1"/>
  <c r="T584" i="1"/>
  <c r="B5093" i="2" s="1"/>
  <c r="S584" i="1"/>
  <c r="B5092" i="2" s="1"/>
  <c r="R584" i="1"/>
  <c r="B5091" i="2" s="1"/>
  <c r="Q584" i="1"/>
  <c r="B5090" i="2" s="1"/>
  <c r="P584" i="1"/>
  <c r="B5089" i="2" s="1"/>
  <c r="O584" i="1"/>
  <c r="B5088" i="2" s="1"/>
  <c r="N584" i="1"/>
  <c r="B5087" i="2" s="1"/>
  <c r="M584" i="1"/>
  <c r="B5086" i="2" s="1"/>
  <c r="L584" i="1"/>
  <c r="B5085" i="2" s="1"/>
  <c r="T583" i="1"/>
  <c r="B5084" i="2" s="1"/>
  <c r="S583" i="1"/>
  <c r="B5083" i="2" s="1"/>
  <c r="R583" i="1"/>
  <c r="B5082" i="2" s="1"/>
  <c r="Q583" i="1"/>
  <c r="B5081" i="2" s="1"/>
  <c r="P583" i="1"/>
  <c r="B5080" i="2" s="1"/>
  <c r="O583" i="1"/>
  <c r="B5079" i="2" s="1"/>
  <c r="N583" i="1"/>
  <c r="B5078" i="2" s="1"/>
  <c r="M583" i="1"/>
  <c r="B5077" i="2" s="1"/>
  <c r="L583" i="1"/>
  <c r="B5076" i="2" s="1"/>
  <c r="K583" i="1"/>
  <c r="T582" i="1"/>
  <c r="B5075" i="2" s="1"/>
  <c r="S582" i="1"/>
  <c r="B5074" i="2" s="1"/>
  <c r="R582" i="1"/>
  <c r="B5073" i="2" s="1"/>
  <c r="Q582" i="1"/>
  <c r="B5072" i="2" s="1"/>
  <c r="P582" i="1"/>
  <c r="B5071" i="2" s="1"/>
  <c r="O582" i="1"/>
  <c r="B5070" i="2" s="1"/>
  <c r="N582" i="1"/>
  <c r="B5069" i="2" s="1"/>
  <c r="M582" i="1"/>
  <c r="B5068" i="2" s="1"/>
  <c r="L582" i="1"/>
  <c r="B5067" i="2" s="1"/>
  <c r="T581" i="1"/>
  <c r="B5066" i="2" s="1"/>
  <c r="S581" i="1"/>
  <c r="B5065" i="2" s="1"/>
  <c r="R581" i="1"/>
  <c r="B5064" i="2" s="1"/>
  <c r="Q581" i="1"/>
  <c r="B5063" i="2" s="1"/>
  <c r="P581" i="1"/>
  <c r="B5062" i="2" s="1"/>
  <c r="O581" i="1"/>
  <c r="B5061" i="2" s="1"/>
  <c r="N581" i="1"/>
  <c r="B5060" i="2" s="1"/>
  <c r="M581" i="1"/>
  <c r="B5059" i="2" s="1"/>
  <c r="L581" i="1"/>
  <c r="B5058" i="2" s="1"/>
  <c r="T580" i="1"/>
  <c r="B5057" i="2" s="1"/>
  <c r="S580" i="1"/>
  <c r="B5056" i="2" s="1"/>
  <c r="R580" i="1"/>
  <c r="B5055" i="2" s="1"/>
  <c r="Q580" i="1"/>
  <c r="B5054" i="2" s="1"/>
  <c r="P580" i="1"/>
  <c r="B5053" i="2" s="1"/>
  <c r="O580" i="1"/>
  <c r="B5052" i="2" s="1"/>
  <c r="N580" i="1"/>
  <c r="B5051" i="2" s="1"/>
  <c r="M580" i="1"/>
  <c r="B5050" i="2" s="1"/>
  <c r="L580" i="1"/>
  <c r="B5049" i="2" s="1"/>
  <c r="T579" i="1"/>
  <c r="B5048" i="2" s="1"/>
  <c r="S579" i="1"/>
  <c r="B5047" i="2" s="1"/>
  <c r="R579" i="1"/>
  <c r="B5046" i="2" s="1"/>
  <c r="Q579" i="1"/>
  <c r="B5045" i="2" s="1"/>
  <c r="P579" i="1"/>
  <c r="B5044" i="2" s="1"/>
  <c r="O579" i="1"/>
  <c r="B5043" i="2" s="1"/>
  <c r="N579" i="1"/>
  <c r="B5042" i="2" s="1"/>
  <c r="M579" i="1"/>
  <c r="B5041" i="2" s="1"/>
  <c r="L579" i="1"/>
  <c r="B5040" i="2" s="1"/>
  <c r="T578" i="1"/>
  <c r="B5039" i="2" s="1"/>
  <c r="S578" i="1"/>
  <c r="B5038" i="2" s="1"/>
  <c r="R578" i="1"/>
  <c r="B5037" i="2" s="1"/>
  <c r="Q578" i="1"/>
  <c r="B5036" i="2" s="1"/>
  <c r="P578" i="1"/>
  <c r="B5035" i="2" s="1"/>
  <c r="O578" i="1"/>
  <c r="B5034" i="2" s="1"/>
  <c r="N578" i="1"/>
  <c r="B5033" i="2" s="1"/>
  <c r="M578" i="1"/>
  <c r="B5032" i="2" s="1"/>
  <c r="L578" i="1"/>
  <c r="B5031" i="2" s="1"/>
  <c r="T577" i="1"/>
  <c r="B5030" i="2" s="1"/>
  <c r="S577" i="1"/>
  <c r="B5029" i="2" s="1"/>
  <c r="R577" i="1"/>
  <c r="B5028" i="2" s="1"/>
  <c r="Q577" i="1"/>
  <c r="B5027" i="2" s="1"/>
  <c r="P577" i="1"/>
  <c r="B5026" i="2" s="1"/>
  <c r="O577" i="1"/>
  <c r="B5025" i="2" s="1"/>
  <c r="N577" i="1"/>
  <c r="B5024" i="2" s="1"/>
  <c r="M577" i="1"/>
  <c r="B5023" i="2" s="1"/>
  <c r="L577" i="1"/>
  <c r="B5022" i="2" s="1"/>
  <c r="T576" i="1"/>
  <c r="B5021" i="2" s="1"/>
  <c r="S576" i="1"/>
  <c r="B5020" i="2" s="1"/>
  <c r="R576" i="1"/>
  <c r="B5019" i="2" s="1"/>
  <c r="Q576" i="1"/>
  <c r="B5018" i="2" s="1"/>
  <c r="P576" i="1"/>
  <c r="B5017" i="2" s="1"/>
  <c r="O576" i="1"/>
  <c r="B5016" i="2" s="1"/>
  <c r="N576" i="1"/>
  <c r="B5015" i="2" s="1"/>
  <c r="M576" i="1"/>
  <c r="B5014" i="2" s="1"/>
  <c r="L576" i="1"/>
  <c r="B5013" i="2" s="1"/>
  <c r="T575" i="1"/>
  <c r="B5012" i="2" s="1"/>
  <c r="S575" i="1"/>
  <c r="B5011" i="2" s="1"/>
  <c r="R575" i="1"/>
  <c r="B5010" i="2" s="1"/>
  <c r="Q575" i="1"/>
  <c r="B5009" i="2" s="1"/>
  <c r="P575" i="1"/>
  <c r="B5008" i="2" s="1"/>
  <c r="O575" i="1"/>
  <c r="B5007" i="2" s="1"/>
  <c r="N575" i="1"/>
  <c r="B5006" i="2" s="1"/>
  <c r="M575" i="1"/>
  <c r="B5005" i="2" s="1"/>
  <c r="L575" i="1"/>
  <c r="B5004" i="2" s="1"/>
  <c r="T574" i="1"/>
  <c r="B5003" i="2" s="1"/>
  <c r="S574" i="1"/>
  <c r="B5002" i="2" s="1"/>
  <c r="R574" i="1"/>
  <c r="B5001" i="2" s="1"/>
  <c r="Q574" i="1"/>
  <c r="B5000" i="2" s="1"/>
  <c r="P574" i="1"/>
  <c r="B4999" i="2" s="1"/>
  <c r="O574" i="1"/>
  <c r="B4998" i="2" s="1"/>
  <c r="N574" i="1"/>
  <c r="B4997" i="2" s="1"/>
  <c r="M574" i="1"/>
  <c r="B4996" i="2" s="1"/>
  <c r="L574" i="1"/>
  <c r="B4995" i="2" s="1"/>
  <c r="U573" i="1"/>
  <c r="T573" i="1"/>
  <c r="B4994" i="2" s="1"/>
  <c r="S573" i="1"/>
  <c r="B4993" i="2" s="1"/>
  <c r="R573" i="1"/>
  <c r="B4992" i="2" s="1"/>
  <c r="Q573" i="1"/>
  <c r="B4991" i="2" s="1"/>
  <c r="P573" i="1"/>
  <c r="B4990" i="2" s="1"/>
  <c r="O573" i="1"/>
  <c r="B4989" i="2" s="1"/>
  <c r="N573" i="1"/>
  <c r="B4988" i="2" s="1"/>
  <c r="M573" i="1"/>
  <c r="B4987" i="2" s="1"/>
  <c r="L573" i="1"/>
  <c r="B4986" i="2" s="1"/>
  <c r="T572" i="1"/>
  <c r="B4985" i="2" s="1"/>
  <c r="S572" i="1"/>
  <c r="B4984" i="2" s="1"/>
  <c r="R572" i="1"/>
  <c r="B4983" i="2" s="1"/>
  <c r="Q572" i="1"/>
  <c r="B4982" i="2" s="1"/>
  <c r="P572" i="1"/>
  <c r="B4981" i="2" s="1"/>
  <c r="O572" i="1"/>
  <c r="B4980" i="2" s="1"/>
  <c r="N572" i="1"/>
  <c r="B4979" i="2" s="1"/>
  <c r="M572" i="1"/>
  <c r="B4978" i="2" s="1"/>
  <c r="L572" i="1"/>
  <c r="B4977" i="2" s="1"/>
  <c r="T571" i="1"/>
  <c r="B4976" i="2" s="1"/>
  <c r="S571" i="1"/>
  <c r="B4975" i="2" s="1"/>
  <c r="R571" i="1"/>
  <c r="B4974" i="2" s="1"/>
  <c r="Q571" i="1"/>
  <c r="B4973" i="2" s="1"/>
  <c r="P571" i="1"/>
  <c r="B4972" i="2" s="1"/>
  <c r="O571" i="1"/>
  <c r="B4971" i="2" s="1"/>
  <c r="N571" i="1"/>
  <c r="B4970" i="2" s="1"/>
  <c r="M571" i="1"/>
  <c r="B4969" i="2" s="1"/>
  <c r="L571" i="1"/>
  <c r="B4968" i="2" s="1"/>
  <c r="T570" i="1"/>
  <c r="B4967" i="2" s="1"/>
  <c r="S570" i="1"/>
  <c r="B4966" i="2" s="1"/>
  <c r="R570" i="1"/>
  <c r="B4965" i="2" s="1"/>
  <c r="Q570" i="1"/>
  <c r="B4964" i="2" s="1"/>
  <c r="P570" i="1"/>
  <c r="B4963" i="2" s="1"/>
  <c r="O570" i="1"/>
  <c r="B4962" i="2" s="1"/>
  <c r="N570" i="1"/>
  <c r="B4961" i="2" s="1"/>
  <c r="M570" i="1"/>
  <c r="B4960" i="2" s="1"/>
  <c r="L570" i="1"/>
  <c r="B4959" i="2" s="1"/>
  <c r="U569" i="1"/>
  <c r="T569" i="1"/>
  <c r="B4958" i="2" s="1"/>
  <c r="S569" i="1"/>
  <c r="B4957" i="2" s="1"/>
  <c r="R569" i="1"/>
  <c r="B4956" i="2" s="1"/>
  <c r="Q569" i="1"/>
  <c r="B4955" i="2" s="1"/>
  <c r="P569" i="1"/>
  <c r="B4954" i="2" s="1"/>
  <c r="O569" i="1"/>
  <c r="B4953" i="2" s="1"/>
  <c r="N569" i="1"/>
  <c r="B4952" i="2" s="1"/>
  <c r="M569" i="1"/>
  <c r="B4951" i="2" s="1"/>
  <c r="L569" i="1"/>
  <c r="B4950" i="2" s="1"/>
  <c r="T568" i="1"/>
  <c r="B4949" i="2" s="1"/>
  <c r="S568" i="1"/>
  <c r="B4948" i="2" s="1"/>
  <c r="R568" i="1"/>
  <c r="B4947" i="2" s="1"/>
  <c r="Q568" i="1"/>
  <c r="B4946" i="2" s="1"/>
  <c r="P568" i="1"/>
  <c r="B4945" i="2" s="1"/>
  <c r="O568" i="1"/>
  <c r="B4944" i="2" s="1"/>
  <c r="N568" i="1"/>
  <c r="B4943" i="2" s="1"/>
  <c r="M568" i="1"/>
  <c r="B4942" i="2" s="1"/>
  <c r="L568" i="1"/>
  <c r="B4941" i="2" s="1"/>
  <c r="T567" i="1"/>
  <c r="B4940" i="2" s="1"/>
  <c r="S567" i="1"/>
  <c r="B4939" i="2" s="1"/>
  <c r="R567" i="1"/>
  <c r="B4938" i="2" s="1"/>
  <c r="Q567" i="1"/>
  <c r="B4937" i="2" s="1"/>
  <c r="P567" i="1"/>
  <c r="B4936" i="2" s="1"/>
  <c r="O567" i="1"/>
  <c r="B4935" i="2" s="1"/>
  <c r="N567" i="1"/>
  <c r="B4934" i="2" s="1"/>
  <c r="M567" i="1"/>
  <c r="B4933" i="2" s="1"/>
  <c r="L567" i="1"/>
  <c r="B4932" i="2" s="1"/>
  <c r="K567" i="1"/>
  <c r="T566" i="1"/>
  <c r="B4931" i="2" s="1"/>
  <c r="S566" i="1"/>
  <c r="B4930" i="2" s="1"/>
  <c r="R566" i="1"/>
  <c r="B4929" i="2" s="1"/>
  <c r="Q566" i="1"/>
  <c r="B4928" i="2" s="1"/>
  <c r="P566" i="1"/>
  <c r="B4927" i="2" s="1"/>
  <c r="O566" i="1"/>
  <c r="B4926" i="2" s="1"/>
  <c r="N566" i="1"/>
  <c r="B4925" i="2" s="1"/>
  <c r="M566" i="1"/>
  <c r="B4924" i="2" s="1"/>
  <c r="L566" i="1"/>
  <c r="B4923" i="2" s="1"/>
  <c r="T565" i="1"/>
  <c r="B4922" i="2" s="1"/>
  <c r="S565" i="1"/>
  <c r="B4921" i="2" s="1"/>
  <c r="R565" i="1"/>
  <c r="B4920" i="2" s="1"/>
  <c r="Q565" i="1"/>
  <c r="B4919" i="2" s="1"/>
  <c r="P565" i="1"/>
  <c r="B4918" i="2" s="1"/>
  <c r="O565" i="1"/>
  <c r="B4917" i="2" s="1"/>
  <c r="N565" i="1"/>
  <c r="B4916" i="2" s="1"/>
  <c r="M565" i="1"/>
  <c r="B4915" i="2" s="1"/>
  <c r="L565" i="1"/>
  <c r="B4914" i="2" s="1"/>
  <c r="T564" i="1"/>
  <c r="B4913" i="2" s="1"/>
  <c r="S564" i="1"/>
  <c r="B4912" i="2" s="1"/>
  <c r="R564" i="1"/>
  <c r="B4911" i="2" s="1"/>
  <c r="Q564" i="1"/>
  <c r="B4910" i="2" s="1"/>
  <c r="P564" i="1"/>
  <c r="B4909" i="2" s="1"/>
  <c r="O564" i="1"/>
  <c r="B4908" i="2" s="1"/>
  <c r="N564" i="1"/>
  <c r="B4907" i="2" s="1"/>
  <c r="M564" i="1"/>
  <c r="B4906" i="2" s="1"/>
  <c r="L564" i="1"/>
  <c r="B4905" i="2" s="1"/>
  <c r="T563" i="1"/>
  <c r="B4904" i="2" s="1"/>
  <c r="S563" i="1"/>
  <c r="B4903" i="2" s="1"/>
  <c r="R563" i="1"/>
  <c r="B4902" i="2" s="1"/>
  <c r="Q563" i="1"/>
  <c r="B4901" i="2" s="1"/>
  <c r="P563" i="1"/>
  <c r="B4900" i="2" s="1"/>
  <c r="O563" i="1"/>
  <c r="B4899" i="2" s="1"/>
  <c r="N563" i="1"/>
  <c r="B4898" i="2" s="1"/>
  <c r="M563" i="1"/>
  <c r="B4897" i="2" s="1"/>
  <c r="L563" i="1"/>
  <c r="B4896" i="2" s="1"/>
  <c r="T562" i="1"/>
  <c r="B4895" i="2" s="1"/>
  <c r="S562" i="1"/>
  <c r="B4894" i="2" s="1"/>
  <c r="R562" i="1"/>
  <c r="B4893" i="2" s="1"/>
  <c r="Q562" i="1"/>
  <c r="B4892" i="2" s="1"/>
  <c r="P562" i="1"/>
  <c r="B4891" i="2" s="1"/>
  <c r="O562" i="1"/>
  <c r="B4890" i="2" s="1"/>
  <c r="N562" i="1"/>
  <c r="B4889" i="2" s="1"/>
  <c r="M562" i="1"/>
  <c r="B4888" i="2" s="1"/>
  <c r="L562" i="1"/>
  <c r="B4887" i="2" s="1"/>
  <c r="T561" i="1"/>
  <c r="B4886" i="2" s="1"/>
  <c r="S561" i="1"/>
  <c r="B4885" i="2" s="1"/>
  <c r="R561" i="1"/>
  <c r="B4884" i="2" s="1"/>
  <c r="Q561" i="1"/>
  <c r="B4883" i="2" s="1"/>
  <c r="P561" i="1"/>
  <c r="B4882" i="2" s="1"/>
  <c r="O561" i="1"/>
  <c r="B4881" i="2" s="1"/>
  <c r="N561" i="1"/>
  <c r="B4880" i="2" s="1"/>
  <c r="M561" i="1"/>
  <c r="B4879" i="2" s="1"/>
  <c r="L561" i="1"/>
  <c r="B4878" i="2" s="1"/>
  <c r="T560" i="1"/>
  <c r="B4877" i="2" s="1"/>
  <c r="S560" i="1"/>
  <c r="B4876" i="2" s="1"/>
  <c r="R560" i="1"/>
  <c r="B4875" i="2" s="1"/>
  <c r="Q560" i="1"/>
  <c r="B4874" i="2" s="1"/>
  <c r="P560" i="1"/>
  <c r="B4873" i="2" s="1"/>
  <c r="O560" i="1"/>
  <c r="B4872" i="2" s="1"/>
  <c r="N560" i="1"/>
  <c r="B4871" i="2" s="1"/>
  <c r="M560" i="1"/>
  <c r="B4870" i="2" s="1"/>
  <c r="L560" i="1"/>
  <c r="B4869" i="2" s="1"/>
  <c r="T559" i="1"/>
  <c r="B4868" i="2" s="1"/>
  <c r="S559" i="1"/>
  <c r="B4867" i="2" s="1"/>
  <c r="R559" i="1"/>
  <c r="B4866" i="2" s="1"/>
  <c r="Q559" i="1"/>
  <c r="B4865" i="2" s="1"/>
  <c r="P559" i="1"/>
  <c r="B4864" i="2" s="1"/>
  <c r="O559" i="1"/>
  <c r="B4863" i="2" s="1"/>
  <c r="N559" i="1"/>
  <c r="B4862" i="2" s="1"/>
  <c r="M559" i="1"/>
  <c r="B4861" i="2" s="1"/>
  <c r="L559" i="1"/>
  <c r="B4860" i="2" s="1"/>
  <c r="T558" i="1"/>
  <c r="B4859" i="2" s="1"/>
  <c r="S558" i="1"/>
  <c r="B4858" i="2" s="1"/>
  <c r="R558" i="1"/>
  <c r="B4857" i="2" s="1"/>
  <c r="Q558" i="1"/>
  <c r="B4856" i="2" s="1"/>
  <c r="P558" i="1"/>
  <c r="B4855" i="2" s="1"/>
  <c r="O558" i="1"/>
  <c r="B4854" i="2" s="1"/>
  <c r="N558" i="1"/>
  <c r="B4853" i="2" s="1"/>
  <c r="M558" i="1"/>
  <c r="B4852" i="2" s="1"/>
  <c r="L558" i="1"/>
  <c r="B4851" i="2" s="1"/>
  <c r="U557" i="1"/>
  <c r="T557" i="1"/>
  <c r="B4850" i="2" s="1"/>
  <c r="S557" i="1"/>
  <c r="B4849" i="2" s="1"/>
  <c r="R557" i="1"/>
  <c r="B4848" i="2" s="1"/>
  <c r="Q557" i="1"/>
  <c r="B4847" i="2" s="1"/>
  <c r="P557" i="1"/>
  <c r="B4846" i="2" s="1"/>
  <c r="O557" i="1"/>
  <c r="B4845" i="2" s="1"/>
  <c r="N557" i="1"/>
  <c r="B4844" i="2" s="1"/>
  <c r="M557" i="1"/>
  <c r="B4843" i="2" s="1"/>
  <c r="L557" i="1"/>
  <c r="B4842" i="2" s="1"/>
  <c r="T556" i="1"/>
  <c r="B4841" i="2" s="1"/>
  <c r="S556" i="1"/>
  <c r="B4840" i="2" s="1"/>
  <c r="R556" i="1"/>
  <c r="B4839" i="2" s="1"/>
  <c r="Q556" i="1"/>
  <c r="B4838" i="2" s="1"/>
  <c r="P556" i="1"/>
  <c r="B4837" i="2" s="1"/>
  <c r="O556" i="1"/>
  <c r="B4836" i="2" s="1"/>
  <c r="N556" i="1"/>
  <c r="B4835" i="2" s="1"/>
  <c r="M556" i="1"/>
  <c r="B4834" i="2" s="1"/>
  <c r="L556" i="1"/>
  <c r="B4833" i="2" s="1"/>
  <c r="T555" i="1"/>
  <c r="B4832" i="2" s="1"/>
  <c r="S555" i="1"/>
  <c r="B4831" i="2" s="1"/>
  <c r="R555" i="1"/>
  <c r="B4830" i="2" s="1"/>
  <c r="Q555" i="1"/>
  <c r="B4829" i="2" s="1"/>
  <c r="P555" i="1"/>
  <c r="B4828" i="2" s="1"/>
  <c r="O555" i="1"/>
  <c r="B4827" i="2" s="1"/>
  <c r="N555" i="1"/>
  <c r="B4826" i="2" s="1"/>
  <c r="M555" i="1"/>
  <c r="B4825" i="2" s="1"/>
  <c r="L555" i="1"/>
  <c r="B4824" i="2" s="1"/>
  <c r="T554" i="1"/>
  <c r="B4823" i="2" s="1"/>
  <c r="S554" i="1"/>
  <c r="B4822" i="2" s="1"/>
  <c r="R554" i="1"/>
  <c r="B4821" i="2" s="1"/>
  <c r="Q554" i="1"/>
  <c r="B4820" i="2" s="1"/>
  <c r="P554" i="1"/>
  <c r="B4819" i="2" s="1"/>
  <c r="O554" i="1"/>
  <c r="B4818" i="2" s="1"/>
  <c r="N554" i="1"/>
  <c r="B4817" i="2" s="1"/>
  <c r="M554" i="1"/>
  <c r="B4816" i="2" s="1"/>
  <c r="L554" i="1"/>
  <c r="B4815" i="2" s="1"/>
  <c r="U553" i="1"/>
  <c r="T553" i="1"/>
  <c r="B4814" i="2" s="1"/>
  <c r="S553" i="1"/>
  <c r="B4813" i="2" s="1"/>
  <c r="R553" i="1"/>
  <c r="B4812" i="2" s="1"/>
  <c r="Q553" i="1"/>
  <c r="B4811" i="2" s="1"/>
  <c r="P553" i="1"/>
  <c r="B4810" i="2" s="1"/>
  <c r="O553" i="1"/>
  <c r="B4809" i="2" s="1"/>
  <c r="N553" i="1"/>
  <c r="B4808" i="2" s="1"/>
  <c r="M553" i="1"/>
  <c r="B4807" i="2" s="1"/>
  <c r="L553" i="1"/>
  <c r="B4806" i="2" s="1"/>
  <c r="T552" i="1"/>
  <c r="B4805" i="2" s="1"/>
  <c r="S552" i="1"/>
  <c r="B4804" i="2" s="1"/>
  <c r="R552" i="1"/>
  <c r="B4803" i="2" s="1"/>
  <c r="Q552" i="1"/>
  <c r="B4802" i="2" s="1"/>
  <c r="P552" i="1"/>
  <c r="B4801" i="2" s="1"/>
  <c r="O552" i="1"/>
  <c r="B4800" i="2" s="1"/>
  <c r="N552" i="1"/>
  <c r="B4799" i="2" s="1"/>
  <c r="M552" i="1"/>
  <c r="B4798" i="2" s="1"/>
  <c r="L552" i="1"/>
  <c r="B4797" i="2" s="1"/>
  <c r="T551" i="1"/>
  <c r="B4796" i="2" s="1"/>
  <c r="S551" i="1"/>
  <c r="B4795" i="2" s="1"/>
  <c r="R551" i="1"/>
  <c r="B4794" i="2" s="1"/>
  <c r="Q551" i="1"/>
  <c r="B4793" i="2" s="1"/>
  <c r="P551" i="1"/>
  <c r="B4792" i="2" s="1"/>
  <c r="O551" i="1"/>
  <c r="B4791" i="2" s="1"/>
  <c r="N551" i="1"/>
  <c r="B4790" i="2" s="1"/>
  <c r="M551" i="1"/>
  <c r="B4789" i="2" s="1"/>
  <c r="L551" i="1"/>
  <c r="B4788" i="2" s="1"/>
  <c r="K551" i="1"/>
  <c r="T550" i="1"/>
  <c r="B4787" i="2" s="1"/>
  <c r="S550" i="1"/>
  <c r="B4786" i="2" s="1"/>
  <c r="R550" i="1"/>
  <c r="B4785" i="2" s="1"/>
  <c r="Q550" i="1"/>
  <c r="B4784" i="2" s="1"/>
  <c r="P550" i="1"/>
  <c r="B4783" i="2" s="1"/>
  <c r="O550" i="1"/>
  <c r="B4782" i="2" s="1"/>
  <c r="N550" i="1"/>
  <c r="B4781" i="2" s="1"/>
  <c r="M550" i="1"/>
  <c r="B4780" i="2" s="1"/>
  <c r="L550" i="1"/>
  <c r="B4779" i="2" s="1"/>
  <c r="T549" i="1"/>
  <c r="B4778" i="2" s="1"/>
  <c r="S549" i="1"/>
  <c r="B4777" i="2" s="1"/>
  <c r="R549" i="1"/>
  <c r="B4776" i="2" s="1"/>
  <c r="Q549" i="1"/>
  <c r="B4775" i="2" s="1"/>
  <c r="P549" i="1"/>
  <c r="B4774" i="2" s="1"/>
  <c r="O549" i="1"/>
  <c r="B4773" i="2" s="1"/>
  <c r="N549" i="1"/>
  <c r="B4772" i="2" s="1"/>
  <c r="M549" i="1"/>
  <c r="B4771" i="2" s="1"/>
  <c r="L549" i="1"/>
  <c r="B4770" i="2" s="1"/>
  <c r="T548" i="1"/>
  <c r="B4769" i="2" s="1"/>
  <c r="S548" i="1"/>
  <c r="B4768" i="2" s="1"/>
  <c r="R548" i="1"/>
  <c r="B4767" i="2" s="1"/>
  <c r="Q548" i="1"/>
  <c r="B4766" i="2" s="1"/>
  <c r="P548" i="1"/>
  <c r="B4765" i="2" s="1"/>
  <c r="O548" i="1"/>
  <c r="B4764" i="2" s="1"/>
  <c r="N548" i="1"/>
  <c r="B4763" i="2" s="1"/>
  <c r="M548" i="1"/>
  <c r="B4762" i="2" s="1"/>
  <c r="L548" i="1"/>
  <c r="B4761" i="2" s="1"/>
  <c r="T547" i="1"/>
  <c r="B4760" i="2" s="1"/>
  <c r="S547" i="1"/>
  <c r="B4759" i="2" s="1"/>
  <c r="R547" i="1"/>
  <c r="B4758" i="2" s="1"/>
  <c r="Q547" i="1"/>
  <c r="B4757" i="2" s="1"/>
  <c r="P547" i="1"/>
  <c r="B4756" i="2" s="1"/>
  <c r="O547" i="1"/>
  <c r="B4755" i="2" s="1"/>
  <c r="N547" i="1"/>
  <c r="B4754" i="2" s="1"/>
  <c r="M547" i="1"/>
  <c r="B4753" i="2" s="1"/>
  <c r="L547" i="1"/>
  <c r="B4752" i="2" s="1"/>
  <c r="T546" i="1"/>
  <c r="B4751" i="2" s="1"/>
  <c r="S546" i="1"/>
  <c r="B4750" i="2" s="1"/>
  <c r="R546" i="1"/>
  <c r="B4749" i="2" s="1"/>
  <c r="Q546" i="1"/>
  <c r="B4748" i="2" s="1"/>
  <c r="P546" i="1"/>
  <c r="B4747" i="2" s="1"/>
  <c r="O546" i="1"/>
  <c r="B4746" i="2" s="1"/>
  <c r="N546" i="1"/>
  <c r="B4745" i="2" s="1"/>
  <c r="M546" i="1"/>
  <c r="B4744" i="2" s="1"/>
  <c r="L546" i="1"/>
  <c r="B4743" i="2" s="1"/>
  <c r="T545" i="1"/>
  <c r="B4742" i="2" s="1"/>
  <c r="S545" i="1"/>
  <c r="B4741" i="2" s="1"/>
  <c r="R545" i="1"/>
  <c r="B4740" i="2" s="1"/>
  <c r="Q545" i="1"/>
  <c r="B4739" i="2" s="1"/>
  <c r="P545" i="1"/>
  <c r="B4738" i="2" s="1"/>
  <c r="O545" i="1"/>
  <c r="B4737" i="2" s="1"/>
  <c r="N545" i="1"/>
  <c r="B4736" i="2" s="1"/>
  <c r="M545" i="1"/>
  <c r="B4735" i="2" s="1"/>
  <c r="L545" i="1"/>
  <c r="B4734" i="2" s="1"/>
  <c r="T544" i="1"/>
  <c r="B4733" i="2" s="1"/>
  <c r="S544" i="1"/>
  <c r="B4732" i="2" s="1"/>
  <c r="R544" i="1"/>
  <c r="B4731" i="2" s="1"/>
  <c r="Q544" i="1"/>
  <c r="B4730" i="2" s="1"/>
  <c r="P544" i="1"/>
  <c r="B4729" i="2" s="1"/>
  <c r="O544" i="1"/>
  <c r="B4728" i="2" s="1"/>
  <c r="N544" i="1"/>
  <c r="B4727" i="2" s="1"/>
  <c r="M544" i="1"/>
  <c r="B4726" i="2" s="1"/>
  <c r="L544" i="1"/>
  <c r="B4725" i="2" s="1"/>
  <c r="T543" i="1"/>
  <c r="B4724" i="2" s="1"/>
  <c r="S543" i="1"/>
  <c r="B4723" i="2" s="1"/>
  <c r="R543" i="1"/>
  <c r="B4722" i="2" s="1"/>
  <c r="Q543" i="1"/>
  <c r="B4721" i="2" s="1"/>
  <c r="P543" i="1"/>
  <c r="B4720" i="2" s="1"/>
  <c r="O543" i="1"/>
  <c r="B4719" i="2" s="1"/>
  <c r="N543" i="1"/>
  <c r="B4718" i="2" s="1"/>
  <c r="M543" i="1"/>
  <c r="B4717" i="2" s="1"/>
  <c r="L543" i="1"/>
  <c r="B4716" i="2" s="1"/>
  <c r="T542" i="1"/>
  <c r="B4715" i="2" s="1"/>
  <c r="S542" i="1"/>
  <c r="B4714" i="2" s="1"/>
  <c r="R542" i="1"/>
  <c r="B4713" i="2" s="1"/>
  <c r="Q542" i="1"/>
  <c r="B4712" i="2" s="1"/>
  <c r="P542" i="1"/>
  <c r="B4711" i="2" s="1"/>
  <c r="O542" i="1"/>
  <c r="B4710" i="2" s="1"/>
  <c r="N542" i="1"/>
  <c r="B4709" i="2" s="1"/>
  <c r="M542" i="1"/>
  <c r="B4708" i="2" s="1"/>
  <c r="L542" i="1"/>
  <c r="B4707" i="2" s="1"/>
  <c r="U541" i="1"/>
  <c r="T541" i="1"/>
  <c r="B4706" i="2" s="1"/>
  <c r="S541" i="1"/>
  <c r="B4705" i="2" s="1"/>
  <c r="R541" i="1"/>
  <c r="B4704" i="2" s="1"/>
  <c r="Q541" i="1"/>
  <c r="B4703" i="2" s="1"/>
  <c r="P541" i="1"/>
  <c r="B4702" i="2" s="1"/>
  <c r="O541" i="1"/>
  <c r="B4701" i="2" s="1"/>
  <c r="N541" i="1"/>
  <c r="B4700" i="2" s="1"/>
  <c r="M541" i="1"/>
  <c r="B4699" i="2" s="1"/>
  <c r="L541" i="1"/>
  <c r="B4698" i="2" s="1"/>
  <c r="T540" i="1"/>
  <c r="B4697" i="2" s="1"/>
  <c r="S540" i="1"/>
  <c r="B4696" i="2" s="1"/>
  <c r="R540" i="1"/>
  <c r="B4695" i="2" s="1"/>
  <c r="Q540" i="1"/>
  <c r="B4694" i="2" s="1"/>
  <c r="P540" i="1"/>
  <c r="B4693" i="2" s="1"/>
  <c r="O540" i="1"/>
  <c r="B4692" i="2" s="1"/>
  <c r="N540" i="1"/>
  <c r="B4691" i="2" s="1"/>
  <c r="M540" i="1"/>
  <c r="B4690" i="2" s="1"/>
  <c r="L540" i="1"/>
  <c r="B4689" i="2" s="1"/>
  <c r="T539" i="1"/>
  <c r="B4688" i="2" s="1"/>
  <c r="S539" i="1"/>
  <c r="B4687" i="2" s="1"/>
  <c r="R539" i="1"/>
  <c r="B4686" i="2" s="1"/>
  <c r="Q539" i="1"/>
  <c r="B4685" i="2" s="1"/>
  <c r="P539" i="1"/>
  <c r="B4684" i="2" s="1"/>
  <c r="O539" i="1"/>
  <c r="B4683" i="2" s="1"/>
  <c r="N539" i="1"/>
  <c r="B4682" i="2" s="1"/>
  <c r="M539" i="1"/>
  <c r="B4681" i="2" s="1"/>
  <c r="L539" i="1"/>
  <c r="B4680" i="2" s="1"/>
  <c r="T538" i="1"/>
  <c r="B4679" i="2" s="1"/>
  <c r="S538" i="1"/>
  <c r="B4678" i="2" s="1"/>
  <c r="R538" i="1"/>
  <c r="B4677" i="2" s="1"/>
  <c r="Q538" i="1"/>
  <c r="B4676" i="2" s="1"/>
  <c r="P538" i="1"/>
  <c r="B4675" i="2" s="1"/>
  <c r="O538" i="1"/>
  <c r="B4674" i="2" s="1"/>
  <c r="N538" i="1"/>
  <c r="B4673" i="2" s="1"/>
  <c r="M538" i="1"/>
  <c r="B4672" i="2" s="1"/>
  <c r="L538" i="1"/>
  <c r="B4671" i="2" s="1"/>
  <c r="U537" i="1"/>
  <c r="T537" i="1"/>
  <c r="B4670" i="2" s="1"/>
  <c r="S537" i="1"/>
  <c r="B4669" i="2" s="1"/>
  <c r="R537" i="1"/>
  <c r="B4668" i="2" s="1"/>
  <c r="Q537" i="1"/>
  <c r="B4667" i="2" s="1"/>
  <c r="P537" i="1"/>
  <c r="B4666" i="2" s="1"/>
  <c r="O537" i="1"/>
  <c r="B4665" i="2" s="1"/>
  <c r="N537" i="1"/>
  <c r="B4664" i="2" s="1"/>
  <c r="M537" i="1"/>
  <c r="B4663" i="2" s="1"/>
  <c r="L537" i="1"/>
  <c r="B4662" i="2" s="1"/>
  <c r="T536" i="1"/>
  <c r="B4661" i="2" s="1"/>
  <c r="S536" i="1"/>
  <c r="B4660" i="2" s="1"/>
  <c r="R536" i="1"/>
  <c r="B4659" i="2" s="1"/>
  <c r="Q536" i="1"/>
  <c r="B4658" i="2" s="1"/>
  <c r="P536" i="1"/>
  <c r="B4657" i="2" s="1"/>
  <c r="O536" i="1"/>
  <c r="B4656" i="2" s="1"/>
  <c r="N536" i="1"/>
  <c r="B4655" i="2" s="1"/>
  <c r="M536" i="1"/>
  <c r="B4654" i="2" s="1"/>
  <c r="L536" i="1"/>
  <c r="B4653" i="2" s="1"/>
  <c r="T535" i="1"/>
  <c r="B4652" i="2" s="1"/>
  <c r="S535" i="1"/>
  <c r="B4651" i="2" s="1"/>
  <c r="R535" i="1"/>
  <c r="B4650" i="2" s="1"/>
  <c r="Q535" i="1"/>
  <c r="B4649" i="2" s="1"/>
  <c r="P535" i="1"/>
  <c r="B4648" i="2" s="1"/>
  <c r="O535" i="1"/>
  <c r="B4647" i="2" s="1"/>
  <c r="N535" i="1"/>
  <c r="B4646" i="2" s="1"/>
  <c r="M535" i="1"/>
  <c r="B4645" i="2" s="1"/>
  <c r="L535" i="1"/>
  <c r="B4644" i="2" s="1"/>
  <c r="K535" i="1"/>
  <c r="T534" i="1"/>
  <c r="B4643" i="2" s="1"/>
  <c r="S534" i="1"/>
  <c r="B4642" i="2" s="1"/>
  <c r="R534" i="1"/>
  <c r="B4641" i="2" s="1"/>
  <c r="Q534" i="1"/>
  <c r="B4640" i="2" s="1"/>
  <c r="P534" i="1"/>
  <c r="B4639" i="2" s="1"/>
  <c r="O534" i="1"/>
  <c r="B4638" i="2" s="1"/>
  <c r="N534" i="1"/>
  <c r="B4637" i="2" s="1"/>
  <c r="M534" i="1"/>
  <c r="B4636" i="2" s="1"/>
  <c r="L534" i="1"/>
  <c r="B4635" i="2" s="1"/>
  <c r="T533" i="1"/>
  <c r="B4634" i="2" s="1"/>
  <c r="S533" i="1"/>
  <c r="B4633" i="2" s="1"/>
  <c r="R533" i="1"/>
  <c r="B4632" i="2" s="1"/>
  <c r="Q533" i="1"/>
  <c r="B4631" i="2" s="1"/>
  <c r="P533" i="1"/>
  <c r="B4630" i="2" s="1"/>
  <c r="O533" i="1"/>
  <c r="B4629" i="2" s="1"/>
  <c r="N533" i="1"/>
  <c r="B4628" i="2" s="1"/>
  <c r="M533" i="1"/>
  <c r="B4627" i="2" s="1"/>
  <c r="L533" i="1"/>
  <c r="B4626" i="2" s="1"/>
  <c r="T532" i="1"/>
  <c r="B4625" i="2" s="1"/>
  <c r="S532" i="1"/>
  <c r="B4624" i="2" s="1"/>
  <c r="R532" i="1"/>
  <c r="B4623" i="2" s="1"/>
  <c r="Q532" i="1"/>
  <c r="B4622" i="2" s="1"/>
  <c r="P532" i="1"/>
  <c r="B4621" i="2" s="1"/>
  <c r="O532" i="1"/>
  <c r="B4620" i="2" s="1"/>
  <c r="N532" i="1"/>
  <c r="B4619" i="2" s="1"/>
  <c r="M532" i="1"/>
  <c r="B4618" i="2" s="1"/>
  <c r="L532" i="1"/>
  <c r="B4617" i="2" s="1"/>
  <c r="T531" i="1"/>
  <c r="B4616" i="2" s="1"/>
  <c r="S531" i="1"/>
  <c r="B4615" i="2" s="1"/>
  <c r="R531" i="1"/>
  <c r="B4614" i="2" s="1"/>
  <c r="Q531" i="1"/>
  <c r="B4613" i="2" s="1"/>
  <c r="P531" i="1"/>
  <c r="B4612" i="2" s="1"/>
  <c r="O531" i="1"/>
  <c r="B4611" i="2" s="1"/>
  <c r="N531" i="1"/>
  <c r="B4610" i="2" s="1"/>
  <c r="M531" i="1"/>
  <c r="B4609" i="2" s="1"/>
  <c r="L531" i="1"/>
  <c r="B4608" i="2" s="1"/>
  <c r="T530" i="1"/>
  <c r="B4607" i="2" s="1"/>
  <c r="S530" i="1"/>
  <c r="B4606" i="2" s="1"/>
  <c r="R530" i="1"/>
  <c r="B4605" i="2" s="1"/>
  <c r="Q530" i="1"/>
  <c r="B4604" i="2" s="1"/>
  <c r="P530" i="1"/>
  <c r="B4603" i="2" s="1"/>
  <c r="O530" i="1"/>
  <c r="B4602" i="2" s="1"/>
  <c r="N530" i="1"/>
  <c r="B4601" i="2" s="1"/>
  <c r="M530" i="1"/>
  <c r="B4600" i="2" s="1"/>
  <c r="L530" i="1"/>
  <c r="B4599" i="2" s="1"/>
  <c r="T529" i="1"/>
  <c r="B4598" i="2" s="1"/>
  <c r="S529" i="1"/>
  <c r="B4597" i="2" s="1"/>
  <c r="R529" i="1"/>
  <c r="B4596" i="2" s="1"/>
  <c r="Q529" i="1"/>
  <c r="B4595" i="2" s="1"/>
  <c r="P529" i="1"/>
  <c r="B4594" i="2" s="1"/>
  <c r="O529" i="1"/>
  <c r="B4593" i="2" s="1"/>
  <c r="N529" i="1"/>
  <c r="B4592" i="2" s="1"/>
  <c r="M529" i="1"/>
  <c r="B4591" i="2" s="1"/>
  <c r="L529" i="1"/>
  <c r="B4590" i="2" s="1"/>
  <c r="T528" i="1"/>
  <c r="B4589" i="2" s="1"/>
  <c r="S528" i="1"/>
  <c r="B4588" i="2" s="1"/>
  <c r="R528" i="1"/>
  <c r="B4587" i="2" s="1"/>
  <c r="Q528" i="1"/>
  <c r="B4586" i="2" s="1"/>
  <c r="P528" i="1"/>
  <c r="B4585" i="2" s="1"/>
  <c r="O528" i="1"/>
  <c r="B4584" i="2" s="1"/>
  <c r="N528" i="1"/>
  <c r="B4583" i="2" s="1"/>
  <c r="M528" i="1"/>
  <c r="B4582" i="2" s="1"/>
  <c r="L528" i="1"/>
  <c r="B4581" i="2" s="1"/>
  <c r="T527" i="1"/>
  <c r="B4580" i="2" s="1"/>
  <c r="S527" i="1"/>
  <c r="B4579" i="2" s="1"/>
  <c r="R527" i="1"/>
  <c r="B4578" i="2" s="1"/>
  <c r="Q527" i="1"/>
  <c r="B4577" i="2" s="1"/>
  <c r="P527" i="1"/>
  <c r="B4576" i="2" s="1"/>
  <c r="O527" i="1"/>
  <c r="B4575" i="2" s="1"/>
  <c r="N527" i="1"/>
  <c r="B4574" i="2" s="1"/>
  <c r="M527" i="1"/>
  <c r="B4573" i="2" s="1"/>
  <c r="L527" i="1"/>
  <c r="B4572" i="2" s="1"/>
  <c r="T526" i="1"/>
  <c r="B4571" i="2" s="1"/>
  <c r="S526" i="1"/>
  <c r="B4570" i="2" s="1"/>
  <c r="R526" i="1"/>
  <c r="B4569" i="2" s="1"/>
  <c r="Q526" i="1"/>
  <c r="B4568" i="2" s="1"/>
  <c r="P526" i="1"/>
  <c r="B4567" i="2" s="1"/>
  <c r="O526" i="1"/>
  <c r="B4566" i="2" s="1"/>
  <c r="N526" i="1"/>
  <c r="B4565" i="2" s="1"/>
  <c r="M526" i="1"/>
  <c r="B4564" i="2" s="1"/>
  <c r="L526" i="1"/>
  <c r="B4563" i="2" s="1"/>
  <c r="U525" i="1"/>
  <c r="T525" i="1"/>
  <c r="B4562" i="2" s="1"/>
  <c r="S525" i="1"/>
  <c r="B4561" i="2" s="1"/>
  <c r="R525" i="1"/>
  <c r="B4560" i="2" s="1"/>
  <c r="Q525" i="1"/>
  <c r="B4559" i="2" s="1"/>
  <c r="P525" i="1"/>
  <c r="B4558" i="2" s="1"/>
  <c r="O525" i="1"/>
  <c r="B4557" i="2" s="1"/>
  <c r="N525" i="1"/>
  <c r="B4556" i="2" s="1"/>
  <c r="M525" i="1"/>
  <c r="B4555" i="2" s="1"/>
  <c r="L525" i="1"/>
  <c r="B4554" i="2" s="1"/>
  <c r="T524" i="1"/>
  <c r="B4553" i="2" s="1"/>
  <c r="S524" i="1"/>
  <c r="B4552" i="2" s="1"/>
  <c r="R524" i="1"/>
  <c r="B4551" i="2" s="1"/>
  <c r="Q524" i="1"/>
  <c r="B4550" i="2" s="1"/>
  <c r="P524" i="1"/>
  <c r="B4549" i="2" s="1"/>
  <c r="O524" i="1"/>
  <c r="B4548" i="2" s="1"/>
  <c r="N524" i="1"/>
  <c r="B4547" i="2" s="1"/>
  <c r="M524" i="1"/>
  <c r="B4546" i="2" s="1"/>
  <c r="L524" i="1"/>
  <c r="B4545" i="2" s="1"/>
  <c r="T523" i="1"/>
  <c r="B4544" i="2" s="1"/>
  <c r="S523" i="1"/>
  <c r="B4543" i="2" s="1"/>
  <c r="R523" i="1"/>
  <c r="B4542" i="2" s="1"/>
  <c r="Q523" i="1"/>
  <c r="B4541" i="2" s="1"/>
  <c r="P523" i="1"/>
  <c r="B4540" i="2" s="1"/>
  <c r="O523" i="1"/>
  <c r="B4539" i="2" s="1"/>
  <c r="N523" i="1"/>
  <c r="B4538" i="2" s="1"/>
  <c r="M523" i="1"/>
  <c r="B4537" i="2" s="1"/>
  <c r="L523" i="1"/>
  <c r="B4536" i="2" s="1"/>
  <c r="T522" i="1"/>
  <c r="B4535" i="2" s="1"/>
  <c r="S522" i="1"/>
  <c r="B4534" i="2" s="1"/>
  <c r="R522" i="1"/>
  <c r="B4533" i="2" s="1"/>
  <c r="Q522" i="1"/>
  <c r="B4532" i="2" s="1"/>
  <c r="P522" i="1"/>
  <c r="B4531" i="2" s="1"/>
  <c r="O522" i="1"/>
  <c r="B4530" i="2" s="1"/>
  <c r="N522" i="1"/>
  <c r="B4529" i="2" s="1"/>
  <c r="M522" i="1"/>
  <c r="B4528" i="2" s="1"/>
  <c r="L522" i="1"/>
  <c r="B4527" i="2" s="1"/>
  <c r="U521" i="1"/>
  <c r="T521" i="1"/>
  <c r="B4526" i="2" s="1"/>
  <c r="S521" i="1"/>
  <c r="B4525" i="2" s="1"/>
  <c r="R521" i="1"/>
  <c r="B4524" i="2" s="1"/>
  <c r="Q521" i="1"/>
  <c r="B4523" i="2" s="1"/>
  <c r="P521" i="1"/>
  <c r="B4522" i="2" s="1"/>
  <c r="O521" i="1"/>
  <c r="B4521" i="2" s="1"/>
  <c r="N521" i="1"/>
  <c r="B4520" i="2" s="1"/>
  <c r="M521" i="1"/>
  <c r="B4519" i="2" s="1"/>
  <c r="L521" i="1"/>
  <c r="B4518" i="2" s="1"/>
  <c r="T520" i="1"/>
  <c r="B4517" i="2" s="1"/>
  <c r="S520" i="1"/>
  <c r="B4516" i="2" s="1"/>
  <c r="R520" i="1"/>
  <c r="B4515" i="2" s="1"/>
  <c r="Q520" i="1"/>
  <c r="B4514" i="2" s="1"/>
  <c r="P520" i="1"/>
  <c r="B4513" i="2" s="1"/>
  <c r="O520" i="1"/>
  <c r="B4512" i="2" s="1"/>
  <c r="N520" i="1"/>
  <c r="B4511" i="2" s="1"/>
  <c r="M520" i="1"/>
  <c r="B4510" i="2" s="1"/>
  <c r="L520" i="1"/>
  <c r="B4509" i="2" s="1"/>
  <c r="T519" i="1"/>
  <c r="B4508" i="2" s="1"/>
  <c r="S519" i="1"/>
  <c r="B4507" i="2" s="1"/>
  <c r="R519" i="1"/>
  <c r="B4506" i="2" s="1"/>
  <c r="Q519" i="1"/>
  <c r="B4505" i="2" s="1"/>
  <c r="P519" i="1"/>
  <c r="B4504" i="2" s="1"/>
  <c r="O519" i="1"/>
  <c r="B4503" i="2" s="1"/>
  <c r="N519" i="1"/>
  <c r="B4502" i="2" s="1"/>
  <c r="M519" i="1"/>
  <c r="B4501" i="2" s="1"/>
  <c r="L519" i="1"/>
  <c r="B4500" i="2" s="1"/>
  <c r="K519" i="1"/>
  <c r="T518" i="1"/>
  <c r="B4499" i="2" s="1"/>
  <c r="S518" i="1"/>
  <c r="B4498" i="2" s="1"/>
  <c r="R518" i="1"/>
  <c r="B4497" i="2" s="1"/>
  <c r="Q518" i="1"/>
  <c r="B4496" i="2" s="1"/>
  <c r="P518" i="1"/>
  <c r="B4495" i="2" s="1"/>
  <c r="O518" i="1"/>
  <c r="B4494" i="2" s="1"/>
  <c r="N518" i="1"/>
  <c r="B4493" i="2" s="1"/>
  <c r="M518" i="1"/>
  <c r="B4492" i="2" s="1"/>
  <c r="L518" i="1"/>
  <c r="B4491" i="2" s="1"/>
  <c r="T517" i="1"/>
  <c r="B4490" i="2" s="1"/>
  <c r="S517" i="1"/>
  <c r="B4489" i="2" s="1"/>
  <c r="R517" i="1"/>
  <c r="B4488" i="2" s="1"/>
  <c r="Q517" i="1"/>
  <c r="B4487" i="2" s="1"/>
  <c r="P517" i="1"/>
  <c r="B4486" i="2" s="1"/>
  <c r="O517" i="1"/>
  <c r="B4485" i="2" s="1"/>
  <c r="N517" i="1"/>
  <c r="B4484" i="2" s="1"/>
  <c r="M517" i="1"/>
  <c r="B4483" i="2" s="1"/>
  <c r="L517" i="1"/>
  <c r="B4482" i="2" s="1"/>
  <c r="T516" i="1"/>
  <c r="B4481" i="2" s="1"/>
  <c r="S516" i="1"/>
  <c r="B4480" i="2" s="1"/>
  <c r="R516" i="1"/>
  <c r="B4479" i="2" s="1"/>
  <c r="Q516" i="1"/>
  <c r="B4478" i="2" s="1"/>
  <c r="P516" i="1"/>
  <c r="B4477" i="2" s="1"/>
  <c r="O516" i="1"/>
  <c r="B4476" i="2" s="1"/>
  <c r="N516" i="1"/>
  <c r="B4475" i="2" s="1"/>
  <c r="M516" i="1"/>
  <c r="B4474" i="2" s="1"/>
  <c r="L516" i="1"/>
  <c r="B4473" i="2" s="1"/>
  <c r="T515" i="1"/>
  <c r="B4472" i="2" s="1"/>
  <c r="S515" i="1"/>
  <c r="B4471" i="2" s="1"/>
  <c r="R515" i="1"/>
  <c r="B4470" i="2" s="1"/>
  <c r="Q515" i="1"/>
  <c r="B4469" i="2" s="1"/>
  <c r="P515" i="1"/>
  <c r="B4468" i="2" s="1"/>
  <c r="O515" i="1"/>
  <c r="B4467" i="2" s="1"/>
  <c r="N515" i="1"/>
  <c r="B4466" i="2" s="1"/>
  <c r="M515" i="1"/>
  <c r="B4465" i="2" s="1"/>
  <c r="L515" i="1"/>
  <c r="B4464" i="2" s="1"/>
  <c r="T514" i="1"/>
  <c r="B4463" i="2" s="1"/>
  <c r="S514" i="1"/>
  <c r="B4462" i="2" s="1"/>
  <c r="R514" i="1"/>
  <c r="B4461" i="2" s="1"/>
  <c r="Q514" i="1"/>
  <c r="B4460" i="2" s="1"/>
  <c r="P514" i="1"/>
  <c r="B4459" i="2" s="1"/>
  <c r="O514" i="1"/>
  <c r="B4458" i="2" s="1"/>
  <c r="N514" i="1"/>
  <c r="B4457" i="2" s="1"/>
  <c r="M514" i="1"/>
  <c r="B4456" i="2" s="1"/>
  <c r="L514" i="1"/>
  <c r="B4455" i="2" s="1"/>
  <c r="T513" i="1"/>
  <c r="B4454" i="2" s="1"/>
  <c r="S513" i="1"/>
  <c r="B4453" i="2" s="1"/>
  <c r="R513" i="1"/>
  <c r="B4452" i="2" s="1"/>
  <c r="Q513" i="1"/>
  <c r="B4451" i="2" s="1"/>
  <c r="P513" i="1"/>
  <c r="B4450" i="2" s="1"/>
  <c r="O513" i="1"/>
  <c r="B4449" i="2" s="1"/>
  <c r="N513" i="1"/>
  <c r="B4448" i="2" s="1"/>
  <c r="M513" i="1"/>
  <c r="B4447" i="2" s="1"/>
  <c r="L513" i="1"/>
  <c r="B4446" i="2" s="1"/>
  <c r="T512" i="1"/>
  <c r="B4445" i="2" s="1"/>
  <c r="S512" i="1"/>
  <c r="B4444" i="2" s="1"/>
  <c r="R512" i="1"/>
  <c r="B4443" i="2" s="1"/>
  <c r="Q512" i="1"/>
  <c r="B4442" i="2" s="1"/>
  <c r="P512" i="1"/>
  <c r="B4441" i="2" s="1"/>
  <c r="O512" i="1"/>
  <c r="B4440" i="2" s="1"/>
  <c r="N512" i="1"/>
  <c r="B4439" i="2" s="1"/>
  <c r="M512" i="1"/>
  <c r="B4438" i="2" s="1"/>
  <c r="L512" i="1"/>
  <c r="B4437" i="2" s="1"/>
  <c r="T511" i="1"/>
  <c r="B4436" i="2" s="1"/>
  <c r="S511" i="1"/>
  <c r="B4435" i="2" s="1"/>
  <c r="R511" i="1"/>
  <c r="B4434" i="2" s="1"/>
  <c r="Q511" i="1"/>
  <c r="B4433" i="2" s="1"/>
  <c r="P511" i="1"/>
  <c r="B4432" i="2" s="1"/>
  <c r="O511" i="1"/>
  <c r="B4431" i="2" s="1"/>
  <c r="N511" i="1"/>
  <c r="B4430" i="2" s="1"/>
  <c r="M511" i="1"/>
  <c r="B4429" i="2" s="1"/>
  <c r="L511" i="1"/>
  <c r="B4428" i="2" s="1"/>
  <c r="T510" i="1"/>
  <c r="B4427" i="2" s="1"/>
  <c r="S510" i="1"/>
  <c r="B4426" i="2" s="1"/>
  <c r="R510" i="1"/>
  <c r="B4425" i="2" s="1"/>
  <c r="Q510" i="1"/>
  <c r="B4424" i="2" s="1"/>
  <c r="P510" i="1"/>
  <c r="B4423" i="2" s="1"/>
  <c r="O510" i="1"/>
  <c r="B4422" i="2" s="1"/>
  <c r="N510" i="1"/>
  <c r="B4421" i="2" s="1"/>
  <c r="M510" i="1"/>
  <c r="B4420" i="2" s="1"/>
  <c r="L510" i="1"/>
  <c r="B4419" i="2" s="1"/>
  <c r="T509" i="1"/>
  <c r="B4418" i="2" s="1"/>
  <c r="S509" i="1"/>
  <c r="B4417" i="2" s="1"/>
  <c r="R509" i="1"/>
  <c r="B4416" i="2" s="1"/>
  <c r="Q509" i="1"/>
  <c r="B4415" i="2" s="1"/>
  <c r="P509" i="1"/>
  <c r="B4414" i="2" s="1"/>
  <c r="O509" i="1"/>
  <c r="B4413" i="2" s="1"/>
  <c r="N509" i="1"/>
  <c r="B4412" i="2" s="1"/>
  <c r="M509" i="1"/>
  <c r="B4411" i="2" s="1"/>
  <c r="L509" i="1"/>
  <c r="B4410" i="2" s="1"/>
  <c r="T508" i="1"/>
  <c r="B4409" i="2" s="1"/>
  <c r="S508" i="1"/>
  <c r="B4408" i="2" s="1"/>
  <c r="R508" i="1"/>
  <c r="B4407" i="2" s="1"/>
  <c r="Q508" i="1"/>
  <c r="B4406" i="2" s="1"/>
  <c r="P508" i="1"/>
  <c r="B4405" i="2" s="1"/>
  <c r="O508" i="1"/>
  <c r="B4404" i="2" s="1"/>
  <c r="N508" i="1"/>
  <c r="B4403" i="2" s="1"/>
  <c r="M508" i="1"/>
  <c r="B4402" i="2" s="1"/>
  <c r="L508" i="1"/>
  <c r="B4401" i="2" s="1"/>
  <c r="T507" i="1"/>
  <c r="B4400" i="2" s="1"/>
  <c r="S507" i="1"/>
  <c r="B4399" i="2" s="1"/>
  <c r="R507" i="1"/>
  <c r="B4398" i="2" s="1"/>
  <c r="Q507" i="1"/>
  <c r="B4397" i="2" s="1"/>
  <c r="P507" i="1"/>
  <c r="B4396" i="2" s="1"/>
  <c r="O507" i="1"/>
  <c r="B4395" i="2" s="1"/>
  <c r="N507" i="1"/>
  <c r="B4394" i="2" s="1"/>
  <c r="M507" i="1"/>
  <c r="B4393" i="2" s="1"/>
  <c r="L507" i="1"/>
  <c r="B4392" i="2" s="1"/>
  <c r="T506" i="1"/>
  <c r="B4391" i="2" s="1"/>
  <c r="S506" i="1"/>
  <c r="B4390" i="2" s="1"/>
  <c r="R506" i="1"/>
  <c r="B4389" i="2" s="1"/>
  <c r="Q506" i="1"/>
  <c r="B4388" i="2" s="1"/>
  <c r="P506" i="1"/>
  <c r="B4387" i="2" s="1"/>
  <c r="O506" i="1"/>
  <c r="B4386" i="2" s="1"/>
  <c r="N506" i="1"/>
  <c r="B4385" i="2" s="1"/>
  <c r="M506" i="1"/>
  <c r="B4384" i="2" s="1"/>
  <c r="L506" i="1"/>
  <c r="B4383" i="2" s="1"/>
  <c r="U505" i="1"/>
  <c r="T505" i="1"/>
  <c r="B4382" i="2" s="1"/>
  <c r="S505" i="1"/>
  <c r="B4381" i="2" s="1"/>
  <c r="R505" i="1"/>
  <c r="B4380" i="2" s="1"/>
  <c r="Q505" i="1"/>
  <c r="B4379" i="2" s="1"/>
  <c r="P505" i="1"/>
  <c r="B4378" i="2" s="1"/>
  <c r="O505" i="1"/>
  <c r="B4377" i="2" s="1"/>
  <c r="N505" i="1"/>
  <c r="B4376" i="2" s="1"/>
  <c r="M505" i="1"/>
  <c r="B4375" i="2" s="1"/>
  <c r="L505" i="1"/>
  <c r="B4374" i="2" s="1"/>
  <c r="T504" i="1"/>
  <c r="B4373" i="2" s="1"/>
  <c r="S504" i="1"/>
  <c r="B4372" i="2" s="1"/>
  <c r="R504" i="1"/>
  <c r="B4371" i="2" s="1"/>
  <c r="Q504" i="1"/>
  <c r="B4370" i="2" s="1"/>
  <c r="P504" i="1"/>
  <c r="B4369" i="2" s="1"/>
  <c r="O504" i="1"/>
  <c r="B4368" i="2" s="1"/>
  <c r="N504" i="1"/>
  <c r="B4367" i="2" s="1"/>
  <c r="M504" i="1"/>
  <c r="B4366" i="2" s="1"/>
  <c r="L504" i="1"/>
  <c r="B4365" i="2" s="1"/>
  <c r="T503" i="1"/>
  <c r="B4364" i="2" s="1"/>
  <c r="S503" i="1"/>
  <c r="B4363" i="2" s="1"/>
  <c r="R503" i="1"/>
  <c r="B4362" i="2" s="1"/>
  <c r="Q503" i="1"/>
  <c r="B4361" i="2" s="1"/>
  <c r="P503" i="1"/>
  <c r="B4360" i="2" s="1"/>
  <c r="O503" i="1"/>
  <c r="B4359" i="2" s="1"/>
  <c r="N503" i="1"/>
  <c r="B4358" i="2" s="1"/>
  <c r="M503" i="1"/>
  <c r="B4357" i="2" s="1"/>
  <c r="L503" i="1"/>
  <c r="B4356" i="2" s="1"/>
  <c r="K503" i="1"/>
  <c r="T502" i="1"/>
  <c r="B4355" i="2" s="1"/>
  <c r="S502" i="1"/>
  <c r="B4354" i="2" s="1"/>
  <c r="R502" i="1"/>
  <c r="B4353" i="2" s="1"/>
  <c r="Q502" i="1"/>
  <c r="B4352" i="2" s="1"/>
  <c r="P502" i="1"/>
  <c r="B4351" i="2" s="1"/>
  <c r="O502" i="1"/>
  <c r="B4350" i="2" s="1"/>
  <c r="N502" i="1"/>
  <c r="B4349" i="2" s="1"/>
  <c r="M502" i="1"/>
  <c r="B4348" i="2" s="1"/>
  <c r="L502" i="1"/>
  <c r="B4347" i="2" s="1"/>
  <c r="T501" i="1"/>
  <c r="B4346" i="2" s="1"/>
  <c r="S501" i="1"/>
  <c r="B4345" i="2" s="1"/>
  <c r="R501" i="1"/>
  <c r="B4344" i="2" s="1"/>
  <c r="Q501" i="1"/>
  <c r="B4343" i="2" s="1"/>
  <c r="P501" i="1"/>
  <c r="B4342" i="2" s="1"/>
  <c r="O501" i="1"/>
  <c r="B4341" i="2" s="1"/>
  <c r="N501" i="1"/>
  <c r="B4340" i="2" s="1"/>
  <c r="M501" i="1"/>
  <c r="B4339" i="2" s="1"/>
  <c r="L501" i="1"/>
  <c r="B4338" i="2" s="1"/>
  <c r="T500" i="1"/>
  <c r="B4337" i="2" s="1"/>
  <c r="S500" i="1"/>
  <c r="B4336" i="2" s="1"/>
  <c r="R500" i="1"/>
  <c r="B4335" i="2" s="1"/>
  <c r="Q500" i="1"/>
  <c r="B4334" i="2" s="1"/>
  <c r="P500" i="1"/>
  <c r="B4333" i="2" s="1"/>
  <c r="O500" i="1"/>
  <c r="B4332" i="2" s="1"/>
  <c r="N500" i="1"/>
  <c r="B4331" i="2" s="1"/>
  <c r="M500" i="1"/>
  <c r="B4330" i="2" s="1"/>
  <c r="L500" i="1"/>
  <c r="B4329" i="2" s="1"/>
  <c r="T499" i="1"/>
  <c r="B4328" i="2" s="1"/>
  <c r="S499" i="1"/>
  <c r="B4327" i="2" s="1"/>
  <c r="R499" i="1"/>
  <c r="B4326" i="2" s="1"/>
  <c r="Q499" i="1"/>
  <c r="B4325" i="2" s="1"/>
  <c r="P499" i="1"/>
  <c r="B4324" i="2" s="1"/>
  <c r="O499" i="1"/>
  <c r="B4323" i="2" s="1"/>
  <c r="N499" i="1"/>
  <c r="B4322" i="2" s="1"/>
  <c r="M499" i="1"/>
  <c r="B4321" i="2" s="1"/>
  <c r="L499" i="1"/>
  <c r="B4320" i="2" s="1"/>
  <c r="T498" i="1"/>
  <c r="B4319" i="2" s="1"/>
  <c r="S498" i="1"/>
  <c r="B4318" i="2" s="1"/>
  <c r="R498" i="1"/>
  <c r="B4317" i="2" s="1"/>
  <c r="Q498" i="1"/>
  <c r="B4316" i="2" s="1"/>
  <c r="P498" i="1"/>
  <c r="B4315" i="2" s="1"/>
  <c r="O498" i="1"/>
  <c r="B4314" i="2" s="1"/>
  <c r="N498" i="1"/>
  <c r="B4313" i="2" s="1"/>
  <c r="M498" i="1"/>
  <c r="B4312" i="2" s="1"/>
  <c r="L498" i="1"/>
  <c r="B4311" i="2" s="1"/>
  <c r="T497" i="1"/>
  <c r="B4310" i="2" s="1"/>
  <c r="S497" i="1"/>
  <c r="B4309" i="2" s="1"/>
  <c r="R497" i="1"/>
  <c r="B4308" i="2" s="1"/>
  <c r="Q497" i="1"/>
  <c r="B4307" i="2" s="1"/>
  <c r="P497" i="1"/>
  <c r="B4306" i="2" s="1"/>
  <c r="O497" i="1"/>
  <c r="B4305" i="2" s="1"/>
  <c r="N497" i="1"/>
  <c r="B4304" i="2" s="1"/>
  <c r="M497" i="1"/>
  <c r="B4303" i="2" s="1"/>
  <c r="L497" i="1"/>
  <c r="B4302" i="2" s="1"/>
  <c r="T496" i="1"/>
  <c r="B4301" i="2" s="1"/>
  <c r="S496" i="1"/>
  <c r="B4300" i="2" s="1"/>
  <c r="R496" i="1"/>
  <c r="B4299" i="2" s="1"/>
  <c r="Q496" i="1"/>
  <c r="B4298" i="2" s="1"/>
  <c r="P496" i="1"/>
  <c r="B4297" i="2" s="1"/>
  <c r="O496" i="1"/>
  <c r="B4296" i="2" s="1"/>
  <c r="N496" i="1"/>
  <c r="B4295" i="2" s="1"/>
  <c r="M496" i="1"/>
  <c r="B4294" i="2" s="1"/>
  <c r="L496" i="1"/>
  <c r="B4293" i="2" s="1"/>
  <c r="T495" i="1"/>
  <c r="B4292" i="2" s="1"/>
  <c r="S495" i="1"/>
  <c r="B4291" i="2" s="1"/>
  <c r="R495" i="1"/>
  <c r="B4290" i="2" s="1"/>
  <c r="Q495" i="1"/>
  <c r="B4289" i="2" s="1"/>
  <c r="P495" i="1"/>
  <c r="B4288" i="2" s="1"/>
  <c r="O495" i="1"/>
  <c r="B4287" i="2" s="1"/>
  <c r="N495" i="1"/>
  <c r="B4286" i="2" s="1"/>
  <c r="M495" i="1"/>
  <c r="B4285" i="2" s="1"/>
  <c r="L495" i="1"/>
  <c r="B4284" i="2" s="1"/>
  <c r="T494" i="1"/>
  <c r="B4283" i="2" s="1"/>
  <c r="S494" i="1"/>
  <c r="B4282" i="2" s="1"/>
  <c r="R494" i="1"/>
  <c r="B4281" i="2" s="1"/>
  <c r="Q494" i="1"/>
  <c r="B4280" i="2" s="1"/>
  <c r="P494" i="1"/>
  <c r="B4279" i="2" s="1"/>
  <c r="O494" i="1"/>
  <c r="B4278" i="2" s="1"/>
  <c r="N494" i="1"/>
  <c r="B4277" i="2" s="1"/>
  <c r="M494" i="1"/>
  <c r="B4276" i="2" s="1"/>
  <c r="L494" i="1"/>
  <c r="B4275" i="2" s="1"/>
  <c r="U493" i="1"/>
  <c r="T493" i="1"/>
  <c r="B4274" i="2" s="1"/>
  <c r="S493" i="1"/>
  <c r="B4273" i="2" s="1"/>
  <c r="R493" i="1"/>
  <c r="B4272" i="2" s="1"/>
  <c r="Q493" i="1"/>
  <c r="B4271" i="2" s="1"/>
  <c r="P493" i="1"/>
  <c r="B4270" i="2" s="1"/>
  <c r="O493" i="1"/>
  <c r="B4269" i="2" s="1"/>
  <c r="N493" i="1"/>
  <c r="B4268" i="2" s="1"/>
  <c r="M493" i="1"/>
  <c r="B4267" i="2" s="1"/>
  <c r="L493" i="1"/>
  <c r="B4266" i="2" s="1"/>
  <c r="T492" i="1"/>
  <c r="B4265" i="2" s="1"/>
  <c r="S492" i="1"/>
  <c r="B4264" i="2" s="1"/>
  <c r="R492" i="1"/>
  <c r="B4263" i="2" s="1"/>
  <c r="Q492" i="1"/>
  <c r="B4262" i="2" s="1"/>
  <c r="P492" i="1"/>
  <c r="B4261" i="2" s="1"/>
  <c r="O492" i="1"/>
  <c r="B4260" i="2" s="1"/>
  <c r="N492" i="1"/>
  <c r="B4259" i="2" s="1"/>
  <c r="M492" i="1"/>
  <c r="B4258" i="2" s="1"/>
  <c r="L492" i="1"/>
  <c r="B4257" i="2" s="1"/>
  <c r="T491" i="1"/>
  <c r="B4256" i="2" s="1"/>
  <c r="S491" i="1"/>
  <c r="B4255" i="2" s="1"/>
  <c r="R491" i="1"/>
  <c r="B4254" i="2" s="1"/>
  <c r="Q491" i="1"/>
  <c r="B4253" i="2" s="1"/>
  <c r="P491" i="1"/>
  <c r="B4252" i="2" s="1"/>
  <c r="O491" i="1"/>
  <c r="B4251" i="2" s="1"/>
  <c r="N491" i="1"/>
  <c r="B4250" i="2" s="1"/>
  <c r="M491" i="1"/>
  <c r="B4249" i="2" s="1"/>
  <c r="L491" i="1"/>
  <c r="B4248" i="2" s="1"/>
  <c r="T490" i="1"/>
  <c r="B4247" i="2" s="1"/>
  <c r="S490" i="1"/>
  <c r="B4246" i="2" s="1"/>
  <c r="R490" i="1"/>
  <c r="B4245" i="2" s="1"/>
  <c r="Q490" i="1"/>
  <c r="B4244" i="2" s="1"/>
  <c r="P490" i="1"/>
  <c r="B4243" i="2" s="1"/>
  <c r="O490" i="1"/>
  <c r="B4242" i="2" s="1"/>
  <c r="N490" i="1"/>
  <c r="B4241" i="2" s="1"/>
  <c r="M490" i="1"/>
  <c r="B4240" i="2" s="1"/>
  <c r="L490" i="1"/>
  <c r="B4239" i="2" s="1"/>
  <c r="U489" i="1"/>
  <c r="T489" i="1"/>
  <c r="B4238" i="2" s="1"/>
  <c r="S489" i="1"/>
  <c r="B4237" i="2" s="1"/>
  <c r="R489" i="1"/>
  <c r="B4236" i="2" s="1"/>
  <c r="Q489" i="1"/>
  <c r="B4235" i="2" s="1"/>
  <c r="P489" i="1"/>
  <c r="B4234" i="2" s="1"/>
  <c r="O489" i="1"/>
  <c r="B4233" i="2" s="1"/>
  <c r="N489" i="1"/>
  <c r="B4232" i="2" s="1"/>
  <c r="M489" i="1"/>
  <c r="B4231" i="2" s="1"/>
  <c r="L489" i="1"/>
  <c r="B4230" i="2" s="1"/>
  <c r="T488" i="1"/>
  <c r="B4229" i="2" s="1"/>
  <c r="S488" i="1"/>
  <c r="B4228" i="2" s="1"/>
  <c r="R488" i="1"/>
  <c r="B4227" i="2" s="1"/>
  <c r="Q488" i="1"/>
  <c r="B4226" i="2" s="1"/>
  <c r="P488" i="1"/>
  <c r="B4225" i="2" s="1"/>
  <c r="O488" i="1"/>
  <c r="B4224" i="2" s="1"/>
  <c r="N488" i="1"/>
  <c r="B4223" i="2" s="1"/>
  <c r="M488" i="1"/>
  <c r="B4222" i="2" s="1"/>
  <c r="L488" i="1"/>
  <c r="B4221" i="2" s="1"/>
  <c r="T487" i="1"/>
  <c r="B4220" i="2" s="1"/>
  <c r="S487" i="1"/>
  <c r="B4219" i="2" s="1"/>
  <c r="R487" i="1"/>
  <c r="B4218" i="2" s="1"/>
  <c r="Q487" i="1"/>
  <c r="B4217" i="2" s="1"/>
  <c r="P487" i="1"/>
  <c r="B4216" i="2" s="1"/>
  <c r="O487" i="1"/>
  <c r="B4215" i="2" s="1"/>
  <c r="N487" i="1"/>
  <c r="B4214" i="2" s="1"/>
  <c r="M487" i="1"/>
  <c r="B4213" i="2" s="1"/>
  <c r="L487" i="1"/>
  <c r="B4212" i="2" s="1"/>
  <c r="K487" i="1"/>
  <c r="T486" i="1"/>
  <c r="B4211" i="2" s="1"/>
  <c r="S486" i="1"/>
  <c r="B4210" i="2" s="1"/>
  <c r="R486" i="1"/>
  <c r="B4209" i="2" s="1"/>
  <c r="Q486" i="1"/>
  <c r="B4208" i="2" s="1"/>
  <c r="P486" i="1"/>
  <c r="B4207" i="2" s="1"/>
  <c r="O486" i="1"/>
  <c r="B4206" i="2" s="1"/>
  <c r="N486" i="1"/>
  <c r="B4205" i="2" s="1"/>
  <c r="M486" i="1"/>
  <c r="B4204" i="2" s="1"/>
  <c r="L486" i="1"/>
  <c r="B4203" i="2" s="1"/>
  <c r="T485" i="1"/>
  <c r="B4202" i="2" s="1"/>
  <c r="S485" i="1"/>
  <c r="B4201" i="2" s="1"/>
  <c r="R485" i="1"/>
  <c r="B4200" i="2" s="1"/>
  <c r="Q485" i="1"/>
  <c r="B4199" i="2" s="1"/>
  <c r="P485" i="1"/>
  <c r="B4198" i="2" s="1"/>
  <c r="O485" i="1"/>
  <c r="B4197" i="2" s="1"/>
  <c r="N485" i="1"/>
  <c r="B4196" i="2" s="1"/>
  <c r="M485" i="1"/>
  <c r="B4195" i="2" s="1"/>
  <c r="L485" i="1"/>
  <c r="B4194" i="2" s="1"/>
  <c r="T484" i="1"/>
  <c r="B4193" i="2" s="1"/>
  <c r="S484" i="1"/>
  <c r="B4192" i="2" s="1"/>
  <c r="R484" i="1"/>
  <c r="B4191" i="2" s="1"/>
  <c r="Q484" i="1"/>
  <c r="B4190" i="2" s="1"/>
  <c r="P484" i="1"/>
  <c r="B4189" i="2" s="1"/>
  <c r="O484" i="1"/>
  <c r="B4188" i="2" s="1"/>
  <c r="N484" i="1"/>
  <c r="B4187" i="2" s="1"/>
  <c r="M484" i="1"/>
  <c r="B4186" i="2" s="1"/>
  <c r="L484" i="1"/>
  <c r="B4185" i="2" s="1"/>
  <c r="T483" i="1"/>
  <c r="B4184" i="2" s="1"/>
  <c r="S483" i="1"/>
  <c r="B4183" i="2" s="1"/>
  <c r="R483" i="1"/>
  <c r="B4182" i="2" s="1"/>
  <c r="Q483" i="1"/>
  <c r="B4181" i="2" s="1"/>
  <c r="P483" i="1"/>
  <c r="B4180" i="2" s="1"/>
  <c r="O483" i="1"/>
  <c r="B4179" i="2" s="1"/>
  <c r="N483" i="1"/>
  <c r="B4178" i="2" s="1"/>
  <c r="M483" i="1"/>
  <c r="B4177" i="2" s="1"/>
  <c r="L483" i="1"/>
  <c r="B4176" i="2" s="1"/>
  <c r="K483" i="1"/>
  <c r="T482" i="1"/>
  <c r="B4175" i="2" s="1"/>
  <c r="S482" i="1"/>
  <c r="B4174" i="2" s="1"/>
  <c r="R482" i="1"/>
  <c r="B4173" i="2" s="1"/>
  <c r="Q482" i="1"/>
  <c r="B4172" i="2" s="1"/>
  <c r="P482" i="1"/>
  <c r="B4171" i="2" s="1"/>
  <c r="O482" i="1"/>
  <c r="B4170" i="2" s="1"/>
  <c r="N482" i="1"/>
  <c r="B4169" i="2" s="1"/>
  <c r="M482" i="1"/>
  <c r="B4168" i="2" s="1"/>
  <c r="L482" i="1"/>
  <c r="B4167" i="2" s="1"/>
  <c r="T481" i="1"/>
  <c r="B4166" i="2" s="1"/>
  <c r="S481" i="1"/>
  <c r="B4165" i="2" s="1"/>
  <c r="R481" i="1"/>
  <c r="B4164" i="2" s="1"/>
  <c r="Q481" i="1"/>
  <c r="B4163" i="2" s="1"/>
  <c r="P481" i="1"/>
  <c r="B4162" i="2" s="1"/>
  <c r="O481" i="1"/>
  <c r="B4161" i="2" s="1"/>
  <c r="N481" i="1"/>
  <c r="B4160" i="2" s="1"/>
  <c r="M481" i="1"/>
  <c r="B4159" i="2" s="1"/>
  <c r="L481" i="1"/>
  <c r="B4158" i="2" s="1"/>
  <c r="T480" i="1"/>
  <c r="B4157" i="2" s="1"/>
  <c r="S480" i="1"/>
  <c r="B4156" i="2" s="1"/>
  <c r="R480" i="1"/>
  <c r="B4155" i="2" s="1"/>
  <c r="Q480" i="1"/>
  <c r="B4154" i="2" s="1"/>
  <c r="P480" i="1"/>
  <c r="B4153" i="2" s="1"/>
  <c r="O480" i="1"/>
  <c r="B4152" i="2" s="1"/>
  <c r="N480" i="1"/>
  <c r="B4151" i="2" s="1"/>
  <c r="M480" i="1"/>
  <c r="B4150" i="2" s="1"/>
  <c r="L480" i="1"/>
  <c r="B4149" i="2" s="1"/>
  <c r="T479" i="1"/>
  <c r="B4148" i="2" s="1"/>
  <c r="S479" i="1"/>
  <c r="B4147" i="2" s="1"/>
  <c r="R479" i="1"/>
  <c r="B4146" i="2" s="1"/>
  <c r="Q479" i="1"/>
  <c r="B4145" i="2" s="1"/>
  <c r="P479" i="1"/>
  <c r="B4144" i="2" s="1"/>
  <c r="O479" i="1"/>
  <c r="B4143" i="2" s="1"/>
  <c r="N479" i="1"/>
  <c r="B4142" i="2" s="1"/>
  <c r="M479" i="1"/>
  <c r="B4141" i="2" s="1"/>
  <c r="L479" i="1"/>
  <c r="B4140" i="2" s="1"/>
  <c r="T478" i="1"/>
  <c r="B4139" i="2" s="1"/>
  <c r="S478" i="1"/>
  <c r="B4138" i="2" s="1"/>
  <c r="R478" i="1"/>
  <c r="B4137" i="2" s="1"/>
  <c r="Q478" i="1"/>
  <c r="B4136" i="2" s="1"/>
  <c r="P478" i="1"/>
  <c r="B4135" i="2" s="1"/>
  <c r="O478" i="1"/>
  <c r="B4134" i="2" s="1"/>
  <c r="N478" i="1"/>
  <c r="B4133" i="2" s="1"/>
  <c r="M478" i="1"/>
  <c r="B4132" i="2" s="1"/>
  <c r="L478" i="1"/>
  <c r="B4131" i="2" s="1"/>
  <c r="U477" i="1"/>
  <c r="T477" i="1"/>
  <c r="B4130" i="2" s="1"/>
  <c r="S477" i="1"/>
  <c r="B4129" i="2" s="1"/>
  <c r="R477" i="1"/>
  <c r="B4128" i="2" s="1"/>
  <c r="Q477" i="1"/>
  <c r="B4127" i="2" s="1"/>
  <c r="P477" i="1"/>
  <c r="B4126" i="2" s="1"/>
  <c r="O477" i="1"/>
  <c r="B4125" i="2" s="1"/>
  <c r="N477" i="1"/>
  <c r="B4124" i="2" s="1"/>
  <c r="M477" i="1"/>
  <c r="B4123" i="2" s="1"/>
  <c r="L477" i="1"/>
  <c r="B4122" i="2" s="1"/>
  <c r="T476" i="1"/>
  <c r="B4121" i="2" s="1"/>
  <c r="S476" i="1"/>
  <c r="B4120" i="2" s="1"/>
  <c r="R476" i="1"/>
  <c r="B4119" i="2" s="1"/>
  <c r="Q476" i="1"/>
  <c r="B4118" i="2" s="1"/>
  <c r="P476" i="1"/>
  <c r="B4117" i="2" s="1"/>
  <c r="O476" i="1"/>
  <c r="B4116" i="2" s="1"/>
  <c r="N476" i="1"/>
  <c r="B4115" i="2" s="1"/>
  <c r="M476" i="1"/>
  <c r="B4114" i="2" s="1"/>
  <c r="L476" i="1"/>
  <c r="B4113" i="2" s="1"/>
  <c r="T475" i="1"/>
  <c r="B4112" i="2" s="1"/>
  <c r="S475" i="1"/>
  <c r="B4111" i="2" s="1"/>
  <c r="R475" i="1"/>
  <c r="B4110" i="2" s="1"/>
  <c r="Q475" i="1"/>
  <c r="B4109" i="2" s="1"/>
  <c r="P475" i="1"/>
  <c r="B4108" i="2" s="1"/>
  <c r="O475" i="1"/>
  <c r="B4107" i="2" s="1"/>
  <c r="N475" i="1"/>
  <c r="B4106" i="2" s="1"/>
  <c r="M475" i="1"/>
  <c r="B4105" i="2" s="1"/>
  <c r="L475" i="1"/>
  <c r="B4104" i="2" s="1"/>
  <c r="T474" i="1"/>
  <c r="B4103" i="2" s="1"/>
  <c r="S474" i="1"/>
  <c r="B4102" i="2" s="1"/>
  <c r="R474" i="1"/>
  <c r="B4101" i="2" s="1"/>
  <c r="Q474" i="1"/>
  <c r="B4100" i="2" s="1"/>
  <c r="P474" i="1"/>
  <c r="B4099" i="2" s="1"/>
  <c r="O474" i="1"/>
  <c r="B4098" i="2" s="1"/>
  <c r="N474" i="1"/>
  <c r="B4097" i="2" s="1"/>
  <c r="M474" i="1"/>
  <c r="B4096" i="2" s="1"/>
  <c r="L474" i="1"/>
  <c r="B4095" i="2" s="1"/>
  <c r="U473" i="1"/>
  <c r="T473" i="1"/>
  <c r="B4094" i="2" s="1"/>
  <c r="S473" i="1"/>
  <c r="B4093" i="2" s="1"/>
  <c r="R473" i="1"/>
  <c r="B4092" i="2" s="1"/>
  <c r="Q473" i="1"/>
  <c r="B4091" i="2" s="1"/>
  <c r="P473" i="1"/>
  <c r="B4090" i="2" s="1"/>
  <c r="O473" i="1"/>
  <c r="B4089" i="2" s="1"/>
  <c r="N473" i="1"/>
  <c r="B4088" i="2" s="1"/>
  <c r="M473" i="1"/>
  <c r="B4087" i="2" s="1"/>
  <c r="L473" i="1"/>
  <c r="B4086" i="2" s="1"/>
  <c r="T472" i="1"/>
  <c r="B4085" i="2" s="1"/>
  <c r="S472" i="1"/>
  <c r="B4084" i="2" s="1"/>
  <c r="R472" i="1"/>
  <c r="B4083" i="2" s="1"/>
  <c r="Q472" i="1"/>
  <c r="B4082" i="2" s="1"/>
  <c r="P472" i="1"/>
  <c r="B4081" i="2" s="1"/>
  <c r="O472" i="1"/>
  <c r="B4080" i="2" s="1"/>
  <c r="N472" i="1"/>
  <c r="B4079" i="2" s="1"/>
  <c r="M472" i="1"/>
  <c r="B4078" i="2" s="1"/>
  <c r="L472" i="1"/>
  <c r="B4077" i="2" s="1"/>
  <c r="T471" i="1"/>
  <c r="B4076" i="2" s="1"/>
  <c r="S471" i="1"/>
  <c r="B4075" i="2" s="1"/>
  <c r="R471" i="1"/>
  <c r="B4074" i="2" s="1"/>
  <c r="Q471" i="1"/>
  <c r="B4073" i="2" s="1"/>
  <c r="P471" i="1"/>
  <c r="B4072" i="2" s="1"/>
  <c r="O471" i="1"/>
  <c r="B4071" i="2" s="1"/>
  <c r="N471" i="1"/>
  <c r="B4070" i="2" s="1"/>
  <c r="M471" i="1"/>
  <c r="B4069" i="2" s="1"/>
  <c r="L471" i="1"/>
  <c r="B4068" i="2" s="1"/>
  <c r="K471" i="1"/>
  <c r="T470" i="1"/>
  <c r="B4067" i="2" s="1"/>
  <c r="S470" i="1"/>
  <c r="B4066" i="2" s="1"/>
  <c r="R470" i="1"/>
  <c r="B4065" i="2" s="1"/>
  <c r="Q470" i="1"/>
  <c r="B4064" i="2" s="1"/>
  <c r="P470" i="1"/>
  <c r="B4063" i="2" s="1"/>
  <c r="O470" i="1"/>
  <c r="B4062" i="2" s="1"/>
  <c r="N470" i="1"/>
  <c r="B4061" i="2" s="1"/>
  <c r="M470" i="1"/>
  <c r="B4060" i="2" s="1"/>
  <c r="L470" i="1"/>
  <c r="B4059" i="2" s="1"/>
  <c r="T469" i="1"/>
  <c r="B4058" i="2" s="1"/>
  <c r="S469" i="1"/>
  <c r="B4057" i="2" s="1"/>
  <c r="R469" i="1"/>
  <c r="B4056" i="2" s="1"/>
  <c r="Q469" i="1"/>
  <c r="B4055" i="2" s="1"/>
  <c r="P469" i="1"/>
  <c r="B4054" i="2" s="1"/>
  <c r="O469" i="1"/>
  <c r="B4053" i="2" s="1"/>
  <c r="N469" i="1"/>
  <c r="B4052" i="2" s="1"/>
  <c r="M469" i="1"/>
  <c r="B4051" i="2" s="1"/>
  <c r="L469" i="1"/>
  <c r="B4050" i="2" s="1"/>
  <c r="T468" i="1"/>
  <c r="B4049" i="2" s="1"/>
  <c r="S468" i="1"/>
  <c r="B4048" i="2" s="1"/>
  <c r="R468" i="1"/>
  <c r="B4047" i="2" s="1"/>
  <c r="Q468" i="1"/>
  <c r="B4046" i="2" s="1"/>
  <c r="P468" i="1"/>
  <c r="B4045" i="2" s="1"/>
  <c r="O468" i="1"/>
  <c r="B4044" i="2" s="1"/>
  <c r="N468" i="1"/>
  <c r="B4043" i="2" s="1"/>
  <c r="M468" i="1"/>
  <c r="B4042" i="2" s="1"/>
  <c r="L468" i="1"/>
  <c r="B4041" i="2" s="1"/>
  <c r="T467" i="1"/>
  <c r="B4040" i="2" s="1"/>
  <c r="S467" i="1"/>
  <c r="B4039" i="2" s="1"/>
  <c r="R467" i="1"/>
  <c r="B4038" i="2" s="1"/>
  <c r="Q467" i="1"/>
  <c r="B4037" i="2" s="1"/>
  <c r="P467" i="1"/>
  <c r="B4036" i="2" s="1"/>
  <c r="O467" i="1"/>
  <c r="B4035" i="2" s="1"/>
  <c r="N467" i="1"/>
  <c r="B4034" i="2" s="1"/>
  <c r="M467" i="1"/>
  <c r="B4033" i="2" s="1"/>
  <c r="L467" i="1"/>
  <c r="B4032" i="2" s="1"/>
  <c r="T466" i="1"/>
  <c r="B4031" i="2" s="1"/>
  <c r="S466" i="1"/>
  <c r="B4030" i="2" s="1"/>
  <c r="R466" i="1"/>
  <c r="B4029" i="2" s="1"/>
  <c r="Q466" i="1"/>
  <c r="B4028" i="2" s="1"/>
  <c r="P466" i="1"/>
  <c r="B4027" i="2" s="1"/>
  <c r="O466" i="1"/>
  <c r="B4026" i="2" s="1"/>
  <c r="N466" i="1"/>
  <c r="B4025" i="2" s="1"/>
  <c r="M466" i="1"/>
  <c r="B4024" i="2" s="1"/>
  <c r="L466" i="1"/>
  <c r="B4023" i="2" s="1"/>
  <c r="T465" i="1"/>
  <c r="B4022" i="2" s="1"/>
  <c r="S465" i="1"/>
  <c r="B4021" i="2" s="1"/>
  <c r="R465" i="1"/>
  <c r="B4020" i="2" s="1"/>
  <c r="Q465" i="1"/>
  <c r="B4019" i="2" s="1"/>
  <c r="P465" i="1"/>
  <c r="B4018" i="2" s="1"/>
  <c r="O465" i="1"/>
  <c r="B4017" i="2" s="1"/>
  <c r="N465" i="1"/>
  <c r="B4016" i="2" s="1"/>
  <c r="M465" i="1"/>
  <c r="B4015" i="2" s="1"/>
  <c r="L465" i="1"/>
  <c r="B4014" i="2" s="1"/>
  <c r="T464" i="1"/>
  <c r="B4013" i="2" s="1"/>
  <c r="S464" i="1"/>
  <c r="B4012" i="2" s="1"/>
  <c r="R464" i="1"/>
  <c r="B4011" i="2" s="1"/>
  <c r="Q464" i="1"/>
  <c r="B4010" i="2" s="1"/>
  <c r="P464" i="1"/>
  <c r="B4009" i="2" s="1"/>
  <c r="O464" i="1"/>
  <c r="B4008" i="2" s="1"/>
  <c r="N464" i="1"/>
  <c r="B4007" i="2" s="1"/>
  <c r="M464" i="1"/>
  <c r="B4006" i="2" s="1"/>
  <c r="L464" i="1"/>
  <c r="B4005" i="2" s="1"/>
  <c r="T463" i="1"/>
  <c r="B4004" i="2" s="1"/>
  <c r="S463" i="1"/>
  <c r="B4003" i="2" s="1"/>
  <c r="R463" i="1"/>
  <c r="B4002" i="2" s="1"/>
  <c r="Q463" i="1"/>
  <c r="B4001" i="2" s="1"/>
  <c r="P463" i="1"/>
  <c r="B4000" i="2" s="1"/>
  <c r="O463" i="1"/>
  <c r="B3999" i="2" s="1"/>
  <c r="N463" i="1"/>
  <c r="B3998" i="2" s="1"/>
  <c r="M463" i="1"/>
  <c r="B3997" i="2" s="1"/>
  <c r="L463" i="1"/>
  <c r="B3996" i="2" s="1"/>
  <c r="T462" i="1"/>
  <c r="B3995" i="2" s="1"/>
  <c r="S462" i="1"/>
  <c r="B3994" i="2" s="1"/>
  <c r="R462" i="1"/>
  <c r="B3993" i="2" s="1"/>
  <c r="Q462" i="1"/>
  <c r="B3992" i="2" s="1"/>
  <c r="P462" i="1"/>
  <c r="B3991" i="2" s="1"/>
  <c r="O462" i="1"/>
  <c r="B3990" i="2" s="1"/>
  <c r="N462" i="1"/>
  <c r="B3989" i="2" s="1"/>
  <c r="M462" i="1"/>
  <c r="B3988" i="2" s="1"/>
  <c r="L462" i="1"/>
  <c r="B3987" i="2" s="1"/>
  <c r="U461" i="1"/>
  <c r="T461" i="1"/>
  <c r="B3986" i="2" s="1"/>
  <c r="S461" i="1"/>
  <c r="B3985" i="2" s="1"/>
  <c r="R461" i="1"/>
  <c r="B3984" i="2" s="1"/>
  <c r="Q461" i="1"/>
  <c r="B3983" i="2" s="1"/>
  <c r="P461" i="1"/>
  <c r="B3982" i="2" s="1"/>
  <c r="O461" i="1"/>
  <c r="B3981" i="2" s="1"/>
  <c r="N461" i="1"/>
  <c r="B3980" i="2" s="1"/>
  <c r="M461" i="1"/>
  <c r="B3979" i="2" s="1"/>
  <c r="L461" i="1"/>
  <c r="B3978" i="2" s="1"/>
  <c r="T460" i="1"/>
  <c r="B3977" i="2" s="1"/>
  <c r="S460" i="1"/>
  <c r="B3976" i="2" s="1"/>
  <c r="R460" i="1"/>
  <c r="B3975" i="2" s="1"/>
  <c r="Q460" i="1"/>
  <c r="B3974" i="2" s="1"/>
  <c r="P460" i="1"/>
  <c r="B3973" i="2" s="1"/>
  <c r="O460" i="1"/>
  <c r="B3972" i="2" s="1"/>
  <c r="N460" i="1"/>
  <c r="B3971" i="2" s="1"/>
  <c r="M460" i="1"/>
  <c r="B3970" i="2" s="1"/>
  <c r="L460" i="1"/>
  <c r="B3969" i="2" s="1"/>
  <c r="T459" i="1"/>
  <c r="B3968" i="2" s="1"/>
  <c r="S459" i="1"/>
  <c r="B3967" i="2" s="1"/>
  <c r="R459" i="1"/>
  <c r="B3966" i="2" s="1"/>
  <c r="Q459" i="1"/>
  <c r="B3965" i="2" s="1"/>
  <c r="P459" i="1"/>
  <c r="B3964" i="2" s="1"/>
  <c r="O459" i="1"/>
  <c r="B3963" i="2" s="1"/>
  <c r="N459" i="1"/>
  <c r="B3962" i="2" s="1"/>
  <c r="M459" i="1"/>
  <c r="B3961" i="2" s="1"/>
  <c r="L459" i="1"/>
  <c r="B3960" i="2" s="1"/>
  <c r="T458" i="1"/>
  <c r="B3959" i="2" s="1"/>
  <c r="S458" i="1"/>
  <c r="B3958" i="2" s="1"/>
  <c r="R458" i="1"/>
  <c r="B3957" i="2" s="1"/>
  <c r="Q458" i="1"/>
  <c r="B3956" i="2" s="1"/>
  <c r="P458" i="1"/>
  <c r="B3955" i="2" s="1"/>
  <c r="O458" i="1"/>
  <c r="B3954" i="2" s="1"/>
  <c r="N458" i="1"/>
  <c r="B3953" i="2" s="1"/>
  <c r="M458" i="1"/>
  <c r="B3952" i="2" s="1"/>
  <c r="L458" i="1"/>
  <c r="B3951" i="2" s="1"/>
  <c r="U457" i="1"/>
  <c r="T457" i="1"/>
  <c r="B3950" i="2" s="1"/>
  <c r="S457" i="1"/>
  <c r="B3949" i="2" s="1"/>
  <c r="R457" i="1"/>
  <c r="B3948" i="2" s="1"/>
  <c r="Q457" i="1"/>
  <c r="B3947" i="2" s="1"/>
  <c r="P457" i="1"/>
  <c r="B3946" i="2" s="1"/>
  <c r="O457" i="1"/>
  <c r="B3945" i="2" s="1"/>
  <c r="N457" i="1"/>
  <c r="B3944" i="2" s="1"/>
  <c r="M457" i="1"/>
  <c r="B3943" i="2" s="1"/>
  <c r="L457" i="1"/>
  <c r="B3942" i="2" s="1"/>
  <c r="T456" i="1"/>
  <c r="B3941" i="2" s="1"/>
  <c r="S456" i="1"/>
  <c r="B3940" i="2" s="1"/>
  <c r="R456" i="1"/>
  <c r="B3939" i="2" s="1"/>
  <c r="Q456" i="1"/>
  <c r="B3938" i="2" s="1"/>
  <c r="P456" i="1"/>
  <c r="B3937" i="2" s="1"/>
  <c r="O456" i="1"/>
  <c r="B3936" i="2" s="1"/>
  <c r="N456" i="1"/>
  <c r="B3935" i="2" s="1"/>
  <c r="M456" i="1"/>
  <c r="B3934" i="2" s="1"/>
  <c r="L456" i="1"/>
  <c r="B3933" i="2" s="1"/>
  <c r="T455" i="1"/>
  <c r="B3932" i="2" s="1"/>
  <c r="S455" i="1"/>
  <c r="B3931" i="2" s="1"/>
  <c r="R455" i="1"/>
  <c r="B3930" i="2" s="1"/>
  <c r="Q455" i="1"/>
  <c r="B3929" i="2" s="1"/>
  <c r="P455" i="1"/>
  <c r="B3928" i="2" s="1"/>
  <c r="O455" i="1"/>
  <c r="B3927" i="2" s="1"/>
  <c r="N455" i="1"/>
  <c r="B3926" i="2" s="1"/>
  <c r="M455" i="1"/>
  <c r="B3925" i="2" s="1"/>
  <c r="L455" i="1"/>
  <c r="B3924" i="2" s="1"/>
  <c r="K455" i="1"/>
  <c r="T454" i="1"/>
  <c r="B3923" i="2" s="1"/>
  <c r="S454" i="1"/>
  <c r="B3922" i="2" s="1"/>
  <c r="R454" i="1"/>
  <c r="B3921" i="2" s="1"/>
  <c r="Q454" i="1"/>
  <c r="B3920" i="2" s="1"/>
  <c r="P454" i="1"/>
  <c r="B3919" i="2" s="1"/>
  <c r="O454" i="1"/>
  <c r="B3918" i="2" s="1"/>
  <c r="N454" i="1"/>
  <c r="B3917" i="2" s="1"/>
  <c r="M454" i="1"/>
  <c r="B3916" i="2" s="1"/>
  <c r="L454" i="1"/>
  <c r="B3915" i="2" s="1"/>
  <c r="T453" i="1"/>
  <c r="B3914" i="2" s="1"/>
  <c r="S453" i="1"/>
  <c r="B3913" i="2" s="1"/>
  <c r="R453" i="1"/>
  <c r="B3912" i="2" s="1"/>
  <c r="Q453" i="1"/>
  <c r="B3911" i="2" s="1"/>
  <c r="P453" i="1"/>
  <c r="B3910" i="2" s="1"/>
  <c r="O453" i="1"/>
  <c r="B3909" i="2" s="1"/>
  <c r="N453" i="1"/>
  <c r="B3908" i="2" s="1"/>
  <c r="M453" i="1"/>
  <c r="B3907" i="2" s="1"/>
  <c r="L453" i="1"/>
  <c r="B3906" i="2" s="1"/>
  <c r="T452" i="1"/>
  <c r="B3905" i="2" s="1"/>
  <c r="S452" i="1"/>
  <c r="B3904" i="2" s="1"/>
  <c r="R452" i="1"/>
  <c r="B3903" i="2" s="1"/>
  <c r="Q452" i="1"/>
  <c r="B3902" i="2" s="1"/>
  <c r="P452" i="1"/>
  <c r="B3901" i="2" s="1"/>
  <c r="O452" i="1"/>
  <c r="B3900" i="2" s="1"/>
  <c r="N452" i="1"/>
  <c r="B3899" i="2" s="1"/>
  <c r="M452" i="1"/>
  <c r="B3898" i="2" s="1"/>
  <c r="L452" i="1"/>
  <c r="B3897" i="2" s="1"/>
  <c r="T451" i="1"/>
  <c r="B3896" i="2" s="1"/>
  <c r="S451" i="1"/>
  <c r="B3895" i="2" s="1"/>
  <c r="R451" i="1"/>
  <c r="B3894" i="2" s="1"/>
  <c r="Q451" i="1"/>
  <c r="B3893" i="2" s="1"/>
  <c r="P451" i="1"/>
  <c r="B3892" i="2" s="1"/>
  <c r="O451" i="1"/>
  <c r="B3891" i="2" s="1"/>
  <c r="N451" i="1"/>
  <c r="B3890" i="2" s="1"/>
  <c r="M451" i="1"/>
  <c r="B3889" i="2" s="1"/>
  <c r="L451" i="1"/>
  <c r="B3888" i="2" s="1"/>
  <c r="T450" i="1"/>
  <c r="B3887" i="2" s="1"/>
  <c r="S450" i="1"/>
  <c r="B3886" i="2" s="1"/>
  <c r="R450" i="1"/>
  <c r="B3885" i="2" s="1"/>
  <c r="Q450" i="1"/>
  <c r="B3884" i="2" s="1"/>
  <c r="P450" i="1"/>
  <c r="B3883" i="2" s="1"/>
  <c r="O450" i="1"/>
  <c r="B3882" i="2" s="1"/>
  <c r="N450" i="1"/>
  <c r="B3881" i="2" s="1"/>
  <c r="M450" i="1"/>
  <c r="B3880" i="2" s="1"/>
  <c r="L450" i="1"/>
  <c r="B3879" i="2" s="1"/>
  <c r="T449" i="1"/>
  <c r="B3878" i="2" s="1"/>
  <c r="S449" i="1"/>
  <c r="B3877" i="2" s="1"/>
  <c r="R449" i="1"/>
  <c r="B3876" i="2" s="1"/>
  <c r="Q449" i="1"/>
  <c r="B3875" i="2" s="1"/>
  <c r="P449" i="1"/>
  <c r="B3874" i="2" s="1"/>
  <c r="O449" i="1"/>
  <c r="B3873" i="2" s="1"/>
  <c r="N449" i="1"/>
  <c r="B3872" i="2" s="1"/>
  <c r="M449" i="1"/>
  <c r="B3871" i="2" s="1"/>
  <c r="L449" i="1"/>
  <c r="B3870" i="2" s="1"/>
  <c r="T448" i="1"/>
  <c r="B3869" i="2" s="1"/>
  <c r="S448" i="1"/>
  <c r="B3868" i="2" s="1"/>
  <c r="R448" i="1"/>
  <c r="B3867" i="2" s="1"/>
  <c r="Q448" i="1"/>
  <c r="B3866" i="2" s="1"/>
  <c r="P448" i="1"/>
  <c r="B3865" i="2" s="1"/>
  <c r="O448" i="1"/>
  <c r="B3864" i="2" s="1"/>
  <c r="N448" i="1"/>
  <c r="B3863" i="2" s="1"/>
  <c r="M448" i="1"/>
  <c r="B3862" i="2" s="1"/>
  <c r="L448" i="1"/>
  <c r="B3861" i="2" s="1"/>
  <c r="T447" i="1"/>
  <c r="B3860" i="2" s="1"/>
  <c r="S447" i="1"/>
  <c r="B3859" i="2" s="1"/>
  <c r="R447" i="1"/>
  <c r="B3858" i="2" s="1"/>
  <c r="Q447" i="1"/>
  <c r="B3857" i="2" s="1"/>
  <c r="P447" i="1"/>
  <c r="B3856" i="2" s="1"/>
  <c r="O447" i="1"/>
  <c r="B3855" i="2" s="1"/>
  <c r="N447" i="1"/>
  <c r="B3854" i="2" s="1"/>
  <c r="M447" i="1"/>
  <c r="B3853" i="2" s="1"/>
  <c r="L447" i="1"/>
  <c r="B3852" i="2" s="1"/>
  <c r="T446" i="1"/>
  <c r="B3851" i="2" s="1"/>
  <c r="S446" i="1"/>
  <c r="B3850" i="2" s="1"/>
  <c r="R446" i="1"/>
  <c r="B3849" i="2" s="1"/>
  <c r="Q446" i="1"/>
  <c r="B3848" i="2" s="1"/>
  <c r="P446" i="1"/>
  <c r="B3847" i="2" s="1"/>
  <c r="O446" i="1"/>
  <c r="B3846" i="2" s="1"/>
  <c r="N446" i="1"/>
  <c r="B3845" i="2" s="1"/>
  <c r="M446" i="1"/>
  <c r="B3844" i="2" s="1"/>
  <c r="L446" i="1"/>
  <c r="B3843" i="2" s="1"/>
  <c r="U445" i="1"/>
  <c r="T445" i="1"/>
  <c r="B3842" i="2" s="1"/>
  <c r="S445" i="1"/>
  <c r="B3841" i="2" s="1"/>
  <c r="R445" i="1"/>
  <c r="B3840" i="2" s="1"/>
  <c r="Q445" i="1"/>
  <c r="B3839" i="2" s="1"/>
  <c r="P445" i="1"/>
  <c r="B3838" i="2" s="1"/>
  <c r="O445" i="1"/>
  <c r="B3837" i="2" s="1"/>
  <c r="N445" i="1"/>
  <c r="B3836" i="2" s="1"/>
  <c r="M445" i="1"/>
  <c r="B3835" i="2" s="1"/>
  <c r="L445" i="1"/>
  <c r="B3834" i="2" s="1"/>
  <c r="T444" i="1"/>
  <c r="B3833" i="2" s="1"/>
  <c r="S444" i="1"/>
  <c r="B3832" i="2" s="1"/>
  <c r="R444" i="1"/>
  <c r="B3831" i="2" s="1"/>
  <c r="Q444" i="1"/>
  <c r="B3830" i="2" s="1"/>
  <c r="P444" i="1"/>
  <c r="B3829" i="2" s="1"/>
  <c r="O444" i="1"/>
  <c r="B3828" i="2" s="1"/>
  <c r="N444" i="1"/>
  <c r="B3827" i="2" s="1"/>
  <c r="M444" i="1"/>
  <c r="B3826" i="2" s="1"/>
  <c r="L444" i="1"/>
  <c r="B3825" i="2" s="1"/>
  <c r="T443" i="1"/>
  <c r="B3824" i="2" s="1"/>
  <c r="S443" i="1"/>
  <c r="B3823" i="2" s="1"/>
  <c r="R443" i="1"/>
  <c r="B3822" i="2" s="1"/>
  <c r="Q443" i="1"/>
  <c r="B3821" i="2" s="1"/>
  <c r="P443" i="1"/>
  <c r="B3820" i="2" s="1"/>
  <c r="O443" i="1"/>
  <c r="B3819" i="2" s="1"/>
  <c r="N443" i="1"/>
  <c r="B3818" i="2" s="1"/>
  <c r="M443" i="1"/>
  <c r="B3817" i="2" s="1"/>
  <c r="L443" i="1"/>
  <c r="B3816" i="2" s="1"/>
  <c r="T442" i="1"/>
  <c r="B3815" i="2" s="1"/>
  <c r="S442" i="1"/>
  <c r="B3814" i="2" s="1"/>
  <c r="R442" i="1"/>
  <c r="B3813" i="2" s="1"/>
  <c r="Q442" i="1"/>
  <c r="B3812" i="2" s="1"/>
  <c r="P442" i="1"/>
  <c r="B3811" i="2" s="1"/>
  <c r="O442" i="1"/>
  <c r="B3810" i="2" s="1"/>
  <c r="N442" i="1"/>
  <c r="B3809" i="2" s="1"/>
  <c r="M442" i="1"/>
  <c r="B3808" i="2" s="1"/>
  <c r="L442" i="1"/>
  <c r="B3807" i="2" s="1"/>
  <c r="U441" i="1"/>
  <c r="T441" i="1"/>
  <c r="B3806" i="2" s="1"/>
  <c r="S441" i="1"/>
  <c r="B3805" i="2" s="1"/>
  <c r="R441" i="1"/>
  <c r="B3804" i="2" s="1"/>
  <c r="Q441" i="1"/>
  <c r="B3803" i="2" s="1"/>
  <c r="P441" i="1"/>
  <c r="B3802" i="2" s="1"/>
  <c r="O441" i="1"/>
  <c r="B3801" i="2" s="1"/>
  <c r="N441" i="1"/>
  <c r="B3800" i="2" s="1"/>
  <c r="M441" i="1"/>
  <c r="B3799" i="2" s="1"/>
  <c r="L441" i="1"/>
  <c r="B3798" i="2" s="1"/>
  <c r="T440" i="1"/>
  <c r="B3797" i="2" s="1"/>
  <c r="S440" i="1"/>
  <c r="B3796" i="2" s="1"/>
  <c r="R440" i="1"/>
  <c r="B3795" i="2" s="1"/>
  <c r="Q440" i="1"/>
  <c r="B3794" i="2" s="1"/>
  <c r="P440" i="1"/>
  <c r="B3793" i="2" s="1"/>
  <c r="O440" i="1"/>
  <c r="B3792" i="2" s="1"/>
  <c r="N440" i="1"/>
  <c r="B3791" i="2" s="1"/>
  <c r="M440" i="1"/>
  <c r="B3790" i="2" s="1"/>
  <c r="L440" i="1"/>
  <c r="B3789" i="2" s="1"/>
  <c r="T439" i="1"/>
  <c r="B3788" i="2" s="1"/>
  <c r="S439" i="1"/>
  <c r="B3787" i="2" s="1"/>
  <c r="R439" i="1"/>
  <c r="B3786" i="2" s="1"/>
  <c r="Q439" i="1"/>
  <c r="B3785" i="2" s="1"/>
  <c r="P439" i="1"/>
  <c r="B3784" i="2" s="1"/>
  <c r="O439" i="1"/>
  <c r="B3783" i="2" s="1"/>
  <c r="N439" i="1"/>
  <c r="B3782" i="2" s="1"/>
  <c r="M439" i="1"/>
  <c r="B3781" i="2" s="1"/>
  <c r="L439" i="1"/>
  <c r="B3780" i="2" s="1"/>
  <c r="K439" i="1"/>
  <c r="T438" i="1"/>
  <c r="B3779" i="2" s="1"/>
  <c r="S438" i="1"/>
  <c r="B3778" i="2" s="1"/>
  <c r="R438" i="1"/>
  <c r="B3777" i="2" s="1"/>
  <c r="Q438" i="1"/>
  <c r="B3776" i="2" s="1"/>
  <c r="P438" i="1"/>
  <c r="B3775" i="2" s="1"/>
  <c r="O438" i="1"/>
  <c r="B3774" i="2" s="1"/>
  <c r="N438" i="1"/>
  <c r="B3773" i="2" s="1"/>
  <c r="M438" i="1"/>
  <c r="B3772" i="2" s="1"/>
  <c r="L438" i="1"/>
  <c r="B3771" i="2" s="1"/>
  <c r="T437" i="1"/>
  <c r="B3770" i="2" s="1"/>
  <c r="S437" i="1"/>
  <c r="B3769" i="2" s="1"/>
  <c r="R437" i="1"/>
  <c r="B3768" i="2" s="1"/>
  <c r="Q437" i="1"/>
  <c r="B3767" i="2" s="1"/>
  <c r="P437" i="1"/>
  <c r="B3766" i="2" s="1"/>
  <c r="O437" i="1"/>
  <c r="B3765" i="2" s="1"/>
  <c r="N437" i="1"/>
  <c r="B3764" i="2" s="1"/>
  <c r="M437" i="1"/>
  <c r="B3763" i="2" s="1"/>
  <c r="L437" i="1"/>
  <c r="B3762" i="2" s="1"/>
  <c r="T436" i="1"/>
  <c r="B3761" i="2" s="1"/>
  <c r="S436" i="1"/>
  <c r="B3760" i="2" s="1"/>
  <c r="R436" i="1"/>
  <c r="B3759" i="2" s="1"/>
  <c r="Q436" i="1"/>
  <c r="B3758" i="2" s="1"/>
  <c r="P436" i="1"/>
  <c r="B3757" i="2" s="1"/>
  <c r="O436" i="1"/>
  <c r="B3756" i="2" s="1"/>
  <c r="N436" i="1"/>
  <c r="B3755" i="2" s="1"/>
  <c r="M436" i="1"/>
  <c r="B3754" i="2" s="1"/>
  <c r="L436" i="1"/>
  <c r="B3753" i="2" s="1"/>
  <c r="T435" i="1"/>
  <c r="B3752" i="2" s="1"/>
  <c r="S435" i="1"/>
  <c r="B3751" i="2" s="1"/>
  <c r="R435" i="1"/>
  <c r="B3750" i="2" s="1"/>
  <c r="Q435" i="1"/>
  <c r="B3749" i="2" s="1"/>
  <c r="P435" i="1"/>
  <c r="B3748" i="2" s="1"/>
  <c r="O435" i="1"/>
  <c r="B3747" i="2" s="1"/>
  <c r="N435" i="1"/>
  <c r="B3746" i="2" s="1"/>
  <c r="M435" i="1"/>
  <c r="B3745" i="2" s="1"/>
  <c r="L435" i="1"/>
  <c r="B3744" i="2" s="1"/>
  <c r="T434" i="1"/>
  <c r="B3743" i="2" s="1"/>
  <c r="S434" i="1"/>
  <c r="B3742" i="2" s="1"/>
  <c r="R434" i="1"/>
  <c r="B3741" i="2" s="1"/>
  <c r="Q434" i="1"/>
  <c r="B3740" i="2" s="1"/>
  <c r="P434" i="1"/>
  <c r="B3739" i="2" s="1"/>
  <c r="O434" i="1"/>
  <c r="B3738" i="2" s="1"/>
  <c r="N434" i="1"/>
  <c r="B3737" i="2" s="1"/>
  <c r="M434" i="1"/>
  <c r="B3736" i="2" s="1"/>
  <c r="L434" i="1"/>
  <c r="B3735" i="2" s="1"/>
  <c r="T433" i="1"/>
  <c r="B3734" i="2" s="1"/>
  <c r="S433" i="1"/>
  <c r="B3733" i="2" s="1"/>
  <c r="R433" i="1"/>
  <c r="B3732" i="2" s="1"/>
  <c r="Q433" i="1"/>
  <c r="B3731" i="2" s="1"/>
  <c r="P433" i="1"/>
  <c r="B3730" i="2" s="1"/>
  <c r="O433" i="1"/>
  <c r="B3729" i="2" s="1"/>
  <c r="N433" i="1"/>
  <c r="B3728" i="2" s="1"/>
  <c r="M433" i="1"/>
  <c r="B3727" i="2" s="1"/>
  <c r="L433" i="1"/>
  <c r="B3726" i="2" s="1"/>
  <c r="T432" i="1"/>
  <c r="B3725" i="2" s="1"/>
  <c r="S432" i="1"/>
  <c r="B3724" i="2" s="1"/>
  <c r="R432" i="1"/>
  <c r="B3723" i="2" s="1"/>
  <c r="Q432" i="1"/>
  <c r="B3722" i="2" s="1"/>
  <c r="P432" i="1"/>
  <c r="B3721" i="2" s="1"/>
  <c r="O432" i="1"/>
  <c r="B3720" i="2" s="1"/>
  <c r="N432" i="1"/>
  <c r="B3719" i="2" s="1"/>
  <c r="M432" i="1"/>
  <c r="B3718" i="2" s="1"/>
  <c r="L432" i="1"/>
  <c r="B3717" i="2" s="1"/>
  <c r="T431" i="1"/>
  <c r="B3716" i="2" s="1"/>
  <c r="S431" i="1"/>
  <c r="B3715" i="2" s="1"/>
  <c r="R431" i="1"/>
  <c r="B3714" i="2" s="1"/>
  <c r="Q431" i="1"/>
  <c r="B3713" i="2" s="1"/>
  <c r="P431" i="1"/>
  <c r="B3712" i="2" s="1"/>
  <c r="O431" i="1"/>
  <c r="B3711" i="2" s="1"/>
  <c r="N431" i="1"/>
  <c r="B3710" i="2" s="1"/>
  <c r="M431" i="1"/>
  <c r="B3709" i="2" s="1"/>
  <c r="L431" i="1"/>
  <c r="B3708" i="2" s="1"/>
  <c r="T430" i="1"/>
  <c r="B3707" i="2" s="1"/>
  <c r="S430" i="1"/>
  <c r="B3706" i="2" s="1"/>
  <c r="R430" i="1"/>
  <c r="B3705" i="2" s="1"/>
  <c r="Q430" i="1"/>
  <c r="B3704" i="2" s="1"/>
  <c r="P430" i="1"/>
  <c r="B3703" i="2" s="1"/>
  <c r="O430" i="1"/>
  <c r="B3702" i="2" s="1"/>
  <c r="N430" i="1"/>
  <c r="B3701" i="2" s="1"/>
  <c r="M430" i="1"/>
  <c r="B3700" i="2" s="1"/>
  <c r="L430" i="1"/>
  <c r="B3699" i="2" s="1"/>
  <c r="U429" i="1"/>
  <c r="T429" i="1"/>
  <c r="B3698" i="2" s="1"/>
  <c r="S429" i="1"/>
  <c r="B3697" i="2" s="1"/>
  <c r="R429" i="1"/>
  <c r="B3696" i="2" s="1"/>
  <c r="Q429" i="1"/>
  <c r="B3695" i="2" s="1"/>
  <c r="P429" i="1"/>
  <c r="B3694" i="2" s="1"/>
  <c r="O429" i="1"/>
  <c r="B3693" i="2" s="1"/>
  <c r="N429" i="1"/>
  <c r="B3692" i="2" s="1"/>
  <c r="M429" i="1"/>
  <c r="B3691" i="2" s="1"/>
  <c r="L429" i="1"/>
  <c r="B3690" i="2" s="1"/>
  <c r="T428" i="1"/>
  <c r="B3689" i="2" s="1"/>
  <c r="S428" i="1"/>
  <c r="B3688" i="2" s="1"/>
  <c r="R428" i="1"/>
  <c r="B3687" i="2" s="1"/>
  <c r="Q428" i="1"/>
  <c r="B3686" i="2" s="1"/>
  <c r="P428" i="1"/>
  <c r="B3685" i="2" s="1"/>
  <c r="O428" i="1"/>
  <c r="B3684" i="2" s="1"/>
  <c r="N428" i="1"/>
  <c r="B3683" i="2" s="1"/>
  <c r="M428" i="1"/>
  <c r="B3682" i="2" s="1"/>
  <c r="L428" i="1"/>
  <c r="B3681" i="2" s="1"/>
  <c r="T427" i="1"/>
  <c r="B3680" i="2" s="1"/>
  <c r="S427" i="1"/>
  <c r="B3679" i="2" s="1"/>
  <c r="R427" i="1"/>
  <c r="B3678" i="2" s="1"/>
  <c r="Q427" i="1"/>
  <c r="B3677" i="2" s="1"/>
  <c r="P427" i="1"/>
  <c r="B3676" i="2" s="1"/>
  <c r="O427" i="1"/>
  <c r="B3675" i="2" s="1"/>
  <c r="N427" i="1"/>
  <c r="B3674" i="2" s="1"/>
  <c r="M427" i="1"/>
  <c r="B3673" i="2" s="1"/>
  <c r="L427" i="1"/>
  <c r="B3672" i="2" s="1"/>
  <c r="T426" i="1"/>
  <c r="B3671" i="2" s="1"/>
  <c r="S426" i="1"/>
  <c r="B3670" i="2" s="1"/>
  <c r="R426" i="1"/>
  <c r="B3669" i="2" s="1"/>
  <c r="Q426" i="1"/>
  <c r="B3668" i="2" s="1"/>
  <c r="P426" i="1"/>
  <c r="B3667" i="2" s="1"/>
  <c r="O426" i="1"/>
  <c r="B3666" i="2" s="1"/>
  <c r="N426" i="1"/>
  <c r="B3665" i="2" s="1"/>
  <c r="M426" i="1"/>
  <c r="B3664" i="2" s="1"/>
  <c r="L426" i="1"/>
  <c r="B3663" i="2" s="1"/>
  <c r="U425" i="1"/>
  <c r="T425" i="1"/>
  <c r="B3662" i="2" s="1"/>
  <c r="S425" i="1"/>
  <c r="B3661" i="2" s="1"/>
  <c r="R425" i="1"/>
  <c r="B3660" i="2" s="1"/>
  <c r="Q425" i="1"/>
  <c r="B3659" i="2" s="1"/>
  <c r="P425" i="1"/>
  <c r="B3658" i="2" s="1"/>
  <c r="O425" i="1"/>
  <c r="B3657" i="2" s="1"/>
  <c r="N425" i="1"/>
  <c r="B3656" i="2" s="1"/>
  <c r="M425" i="1"/>
  <c r="B3655" i="2" s="1"/>
  <c r="L425" i="1"/>
  <c r="B3654" i="2" s="1"/>
  <c r="T424" i="1"/>
  <c r="B3653" i="2" s="1"/>
  <c r="S424" i="1"/>
  <c r="B3652" i="2" s="1"/>
  <c r="R424" i="1"/>
  <c r="B3651" i="2" s="1"/>
  <c r="Q424" i="1"/>
  <c r="B3650" i="2" s="1"/>
  <c r="P424" i="1"/>
  <c r="B3649" i="2" s="1"/>
  <c r="O424" i="1"/>
  <c r="B3648" i="2" s="1"/>
  <c r="N424" i="1"/>
  <c r="B3647" i="2" s="1"/>
  <c r="M424" i="1"/>
  <c r="B3646" i="2" s="1"/>
  <c r="L424" i="1"/>
  <c r="B3645" i="2" s="1"/>
  <c r="T423" i="1"/>
  <c r="B3644" i="2" s="1"/>
  <c r="S423" i="1"/>
  <c r="B3643" i="2" s="1"/>
  <c r="R423" i="1"/>
  <c r="B3642" i="2" s="1"/>
  <c r="Q423" i="1"/>
  <c r="B3641" i="2" s="1"/>
  <c r="P423" i="1"/>
  <c r="B3640" i="2" s="1"/>
  <c r="O423" i="1"/>
  <c r="B3639" i="2" s="1"/>
  <c r="N423" i="1"/>
  <c r="B3638" i="2" s="1"/>
  <c r="M423" i="1"/>
  <c r="B3637" i="2" s="1"/>
  <c r="L423" i="1"/>
  <c r="B3636" i="2" s="1"/>
  <c r="K423" i="1"/>
  <c r="T422" i="1"/>
  <c r="B3635" i="2" s="1"/>
  <c r="S422" i="1"/>
  <c r="B3634" i="2" s="1"/>
  <c r="R422" i="1"/>
  <c r="B3633" i="2" s="1"/>
  <c r="Q422" i="1"/>
  <c r="B3632" i="2" s="1"/>
  <c r="P422" i="1"/>
  <c r="B3631" i="2" s="1"/>
  <c r="O422" i="1"/>
  <c r="B3630" i="2" s="1"/>
  <c r="N422" i="1"/>
  <c r="B3629" i="2" s="1"/>
  <c r="M422" i="1"/>
  <c r="B3628" i="2" s="1"/>
  <c r="L422" i="1"/>
  <c r="B3627" i="2" s="1"/>
  <c r="T421" i="1"/>
  <c r="B3626" i="2" s="1"/>
  <c r="S421" i="1"/>
  <c r="B3625" i="2" s="1"/>
  <c r="R421" i="1"/>
  <c r="B3624" i="2" s="1"/>
  <c r="Q421" i="1"/>
  <c r="B3623" i="2" s="1"/>
  <c r="P421" i="1"/>
  <c r="B3622" i="2" s="1"/>
  <c r="O421" i="1"/>
  <c r="B3621" i="2" s="1"/>
  <c r="N421" i="1"/>
  <c r="B3620" i="2" s="1"/>
  <c r="M421" i="1"/>
  <c r="B3619" i="2" s="1"/>
  <c r="L421" i="1"/>
  <c r="B3618" i="2" s="1"/>
  <c r="T420" i="1"/>
  <c r="B3617" i="2" s="1"/>
  <c r="S420" i="1"/>
  <c r="B3616" i="2" s="1"/>
  <c r="R420" i="1"/>
  <c r="B3615" i="2" s="1"/>
  <c r="Q420" i="1"/>
  <c r="B3614" i="2" s="1"/>
  <c r="P420" i="1"/>
  <c r="B3613" i="2" s="1"/>
  <c r="O420" i="1"/>
  <c r="B3612" i="2" s="1"/>
  <c r="N420" i="1"/>
  <c r="B3611" i="2" s="1"/>
  <c r="M420" i="1"/>
  <c r="B3610" i="2" s="1"/>
  <c r="L420" i="1"/>
  <c r="B3609" i="2" s="1"/>
  <c r="T419" i="1"/>
  <c r="B3608" i="2" s="1"/>
  <c r="S419" i="1"/>
  <c r="B3607" i="2" s="1"/>
  <c r="R419" i="1"/>
  <c r="B3606" i="2" s="1"/>
  <c r="Q419" i="1"/>
  <c r="B3605" i="2" s="1"/>
  <c r="P419" i="1"/>
  <c r="B3604" i="2" s="1"/>
  <c r="O419" i="1"/>
  <c r="B3603" i="2" s="1"/>
  <c r="N419" i="1"/>
  <c r="B3602" i="2" s="1"/>
  <c r="M419" i="1"/>
  <c r="B3601" i="2" s="1"/>
  <c r="L419" i="1"/>
  <c r="B3600" i="2" s="1"/>
  <c r="T418" i="1"/>
  <c r="B3599" i="2" s="1"/>
  <c r="S418" i="1"/>
  <c r="B3598" i="2" s="1"/>
  <c r="R418" i="1"/>
  <c r="B3597" i="2" s="1"/>
  <c r="Q418" i="1"/>
  <c r="B3596" i="2" s="1"/>
  <c r="P418" i="1"/>
  <c r="B3595" i="2" s="1"/>
  <c r="O418" i="1"/>
  <c r="B3594" i="2" s="1"/>
  <c r="N418" i="1"/>
  <c r="B3593" i="2" s="1"/>
  <c r="M418" i="1"/>
  <c r="B3592" i="2" s="1"/>
  <c r="L418" i="1"/>
  <c r="B3591" i="2" s="1"/>
  <c r="T417" i="1"/>
  <c r="B3590" i="2" s="1"/>
  <c r="S417" i="1"/>
  <c r="B3589" i="2" s="1"/>
  <c r="R417" i="1"/>
  <c r="B3588" i="2" s="1"/>
  <c r="Q417" i="1"/>
  <c r="B3587" i="2" s="1"/>
  <c r="P417" i="1"/>
  <c r="B3586" i="2" s="1"/>
  <c r="O417" i="1"/>
  <c r="B3585" i="2" s="1"/>
  <c r="N417" i="1"/>
  <c r="B3584" i="2" s="1"/>
  <c r="M417" i="1"/>
  <c r="B3583" i="2" s="1"/>
  <c r="L417" i="1"/>
  <c r="B3582" i="2" s="1"/>
  <c r="T416" i="1"/>
  <c r="B3581" i="2" s="1"/>
  <c r="S416" i="1"/>
  <c r="B3580" i="2" s="1"/>
  <c r="R416" i="1"/>
  <c r="B3579" i="2" s="1"/>
  <c r="Q416" i="1"/>
  <c r="B3578" i="2" s="1"/>
  <c r="P416" i="1"/>
  <c r="B3577" i="2" s="1"/>
  <c r="O416" i="1"/>
  <c r="B3576" i="2" s="1"/>
  <c r="N416" i="1"/>
  <c r="B3575" i="2" s="1"/>
  <c r="M416" i="1"/>
  <c r="B3574" i="2" s="1"/>
  <c r="L416" i="1"/>
  <c r="B3573" i="2" s="1"/>
  <c r="T415" i="1"/>
  <c r="B3572" i="2" s="1"/>
  <c r="S415" i="1"/>
  <c r="B3571" i="2" s="1"/>
  <c r="R415" i="1"/>
  <c r="B3570" i="2" s="1"/>
  <c r="Q415" i="1"/>
  <c r="B3569" i="2" s="1"/>
  <c r="P415" i="1"/>
  <c r="B3568" i="2" s="1"/>
  <c r="O415" i="1"/>
  <c r="B3567" i="2" s="1"/>
  <c r="N415" i="1"/>
  <c r="B3566" i="2" s="1"/>
  <c r="M415" i="1"/>
  <c r="B3565" i="2" s="1"/>
  <c r="L415" i="1"/>
  <c r="B3564" i="2" s="1"/>
  <c r="T414" i="1"/>
  <c r="B3563" i="2" s="1"/>
  <c r="S414" i="1"/>
  <c r="B3562" i="2" s="1"/>
  <c r="R414" i="1"/>
  <c r="B3561" i="2" s="1"/>
  <c r="Q414" i="1"/>
  <c r="B3560" i="2" s="1"/>
  <c r="P414" i="1"/>
  <c r="B3559" i="2" s="1"/>
  <c r="O414" i="1"/>
  <c r="B3558" i="2" s="1"/>
  <c r="N414" i="1"/>
  <c r="B3557" i="2" s="1"/>
  <c r="M414" i="1"/>
  <c r="B3556" i="2" s="1"/>
  <c r="L414" i="1"/>
  <c r="B3555" i="2" s="1"/>
  <c r="U413" i="1"/>
  <c r="T413" i="1"/>
  <c r="B3554" i="2" s="1"/>
  <c r="S413" i="1"/>
  <c r="B3553" i="2" s="1"/>
  <c r="R413" i="1"/>
  <c r="B3552" i="2" s="1"/>
  <c r="Q413" i="1"/>
  <c r="B3551" i="2" s="1"/>
  <c r="P413" i="1"/>
  <c r="B3550" i="2" s="1"/>
  <c r="O413" i="1"/>
  <c r="B3549" i="2" s="1"/>
  <c r="N413" i="1"/>
  <c r="B3548" i="2" s="1"/>
  <c r="M413" i="1"/>
  <c r="B3547" i="2" s="1"/>
  <c r="L413" i="1"/>
  <c r="B3546" i="2" s="1"/>
  <c r="T412" i="1"/>
  <c r="B3545" i="2" s="1"/>
  <c r="S412" i="1"/>
  <c r="B3544" i="2" s="1"/>
  <c r="R412" i="1"/>
  <c r="B3543" i="2" s="1"/>
  <c r="Q412" i="1"/>
  <c r="B3542" i="2" s="1"/>
  <c r="P412" i="1"/>
  <c r="B3541" i="2" s="1"/>
  <c r="O412" i="1"/>
  <c r="B3540" i="2" s="1"/>
  <c r="N412" i="1"/>
  <c r="B3539" i="2" s="1"/>
  <c r="M412" i="1"/>
  <c r="B3538" i="2" s="1"/>
  <c r="L412" i="1"/>
  <c r="B3537" i="2" s="1"/>
  <c r="T411" i="1"/>
  <c r="B3536" i="2" s="1"/>
  <c r="S411" i="1"/>
  <c r="B3535" i="2" s="1"/>
  <c r="R411" i="1"/>
  <c r="B3534" i="2" s="1"/>
  <c r="Q411" i="1"/>
  <c r="B3533" i="2" s="1"/>
  <c r="P411" i="1"/>
  <c r="B3532" i="2" s="1"/>
  <c r="O411" i="1"/>
  <c r="B3531" i="2" s="1"/>
  <c r="N411" i="1"/>
  <c r="B3530" i="2" s="1"/>
  <c r="M411" i="1"/>
  <c r="B3529" i="2" s="1"/>
  <c r="L411" i="1"/>
  <c r="B3528" i="2" s="1"/>
  <c r="T410" i="1"/>
  <c r="B3527" i="2" s="1"/>
  <c r="S410" i="1"/>
  <c r="B3526" i="2" s="1"/>
  <c r="R410" i="1"/>
  <c r="B3525" i="2" s="1"/>
  <c r="Q410" i="1"/>
  <c r="B3524" i="2" s="1"/>
  <c r="P410" i="1"/>
  <c r="B3523" i="2" s="1"/>
  <c r="O410" i="1"/>
  <c r="B3522" i="2" s="1"/>
  <c r="N410" i="1"/>
  <c r="B3521" i="2" s="1"/>
  <c r="M410" i="1"/>
  <c r="B3520" i="2" s="1"/>
  <c r="L410" i="1"/>
  <c r="B3519" i="2" s="1"/>
  <c r="U409" i="1"/>
  <c r="T409" i="1"/>
  <c r="B3518" i="2" s="1"/>
  <c r="S409" i="1"/>
  <c r="B3517" i="2" s="1"/>
  <c r="R409" i="1"/>
  <c r="B3516" i="2" s="1"/>
  <c r="Q409" i="1"/>
  <c r="B3515" i="2" s="1"/>
  <c r="P409" i="1"/>
  <c r="B3514" i="2" s="1"/>
  <c r="O409" i="1"/>
  <c r="B3513" i="2" s="1"/>
  <c r="N409" i="1"/>
  <c r="B3512" i="2" s="1"/>
  <c r="M409" i="1"/>
  <c r="B3511" i="2" s="1"/>
  <c r="L409" i="1"/>
  <c r="B3510" i="2" s="1"/>
  <c r="T408" i="1"/>
  <c r="B3509" i="2" s="1"/>
  <c r="S408" i="1"/>
  <c r="B3508" i="2" s="1"/>
  <c r="R408" i="1"/>
  <c r="B3507" i="2" s="1"/>
  <c r="Q408" i="1"/>
  <c r="B3506" i="2" s="1"/>
  <c r="P408" i="1"/>
  <c r="B3505" i="2" s="1"/>
  <c r="O408" i="1"/>
  <c r="B3504" i="2" s="1"/>
  <c r="N408" i="1"/>
  <c r="B3503" i="2" s="1"/>
  <c r="M408" i="1"/>
  <c r="B3502" i="2" s="1"/>
  <c r="L408" i="1"/>
  <c r="B3501" i="2" s="1"/>
  <c r="T407" i="1"/>
  <c r="B3500" i="2" s="1"/>
  <c r="S407" i="1"/>
  <c r="B3499" i="2" s="1"/>
  <c r="R407" i="1"/>
  <c r="B3498" i="2" s="1"/>
  <c r="Q407" i="1"/>
  <c r="B3497" i="2" s="1"/>
  <c r="P407" i="1"/>
  <c r="B3496" i="2" s="1"/>
  <c r="O407" i="1"/>
  <c r="B3495" i="2" s="1"/>
  <c r="N407" i="1"/>
  <c r="B3494" i="2" s="1"/>
  <c r="M407" i="1"/>
  <c r="B3493" i="2" s="1"/>
  <c r="L407" i="1"/>
  <c r="B3492" i="2" s="1"/>
  <c r="K407" i="1"/>
  <c r="T406" i="1"/>
  <c r="B3491" i="2" s="1"/>
  <c r="S406" i="1"/>
  <c r="B3490" i="2" s="1"/>
  <c r="R406" i="1"/>
  <c r="B3489" i="2" s="1"/>
  <c r="Q406" i="1"/>
  <c r="B3488" i="2" s="1"/>
  <c r="P406" i="1"/>
  <c r="B3487" i="2" s="1"/>
  <c r="O406" i="1"/>
  <c r="B3486" i="2" s="1"/>
  <c r="N406" i="1"/>
  <c r="B3485" i="2" s="1"/>
  <c r="M406" i="1"/>
  <c r="B3484" i="2" s="1"/>
  <c r="L406" i="1"/>
  <c r="B3483" i="2" s="1"/>
  <c r="T405" i="1"/>
  <c r="B3482" i="2" s="1"/>
  <c r="S405" i="1"/>
  <c r="B3481" i="2" s="1"/>
  <c r="R405" i="1"/>
  <c r="B3480" i="2" s="1"/>
  <c r="Q405" i="1"/>
  <c r="B3479" i="2" s="1"/>
  <c r="P405" i="1"/>
  <c r="B3478" i="2" s="1"/>
  <c r="O405" i="1"/>
  <c r="B3477" i="2" s="1"/>
  <c r="N405" i="1"/>
  <c r="B3476" i="2" s="1"/>
  <c r="M405" i="1"/>
  <c r="B3475" i="2" s="1"/>
  <c r="L405" i="1"/>
  <c r="B3474" i="2" s="1"/>
  <c r="T404" i="1"/>
  <c r="B3473" i="2" s="1"/>
  <c r="S404" i="1"/>
  <c r="B3472" i="2" s="1"/>
  <c r="R404" i="1"/>
  <c r="B3471" i="2" s="1"/>
  <c r="Q404" i="1"/>
  <c r="B3470" i="2" s="1"/>
  <c r="P404" i="1"/>
  <c r="B3469" i="2" s="1"/>
  <c r="O404" i="1"/>
  <c r="B3468" i="2" s="1"/>
  <c r="N404" i="1"/>
  <c r="B3467" i="2" s="1"/>
  <c r="M404" i="1"/>
  <c r="B3466" i="2" s="1"/>
  <c r="L404" i="1"/>
  <c r="B3465" i="2" s="1"/>
  <c r="T403" i="1"/>
  <c r="B3464" i="2" s="1"/>
  <c r="S403" i="1"/>
  <c r="B3463" i="2" s="1"/>
  <c r="R403" i="1"/>
  <c r="B3462" i="2" s="1"/>
  <c r="Q403" i="1"/>
  <c r="B3461" i="2" s="1"/>
  <c r="P403" i="1"/>
  <c r="B3460" i="2" s="1"/>
  <c r="O403" i="1"/>
  <c r="B3459" i="2" s="1"/>
  <c r="N403" i="1"/>
  <c r="B3458" i="2" s="1"/>
  <c r="M403" i="1"/>
  <c r="B3457" i="2" s="1"/>
  <c r="L403" i="1"/>
  <c r="B3456" i="2" s="1"/>
  <c r="T402" i="1"/>
  <c r="B3455" i="2" s="1"/>
  <c r="S402" i="1"/>
  <c r="B3454" i="2" s="1"/>
  <c r="R402" i="1"/>
  <c r="B3453" i="2" s="1"/>
  <c r="Q402" i="1"/>
  <c r="B3452" i="2" s="1"/>
  <c r="P402" i="1"/>
  <c r="B3451" i="2" s="1"/>
  <c r="O402" i="1"/>
  <c r="B3450" i="2" s="1"/>
  <c r="N402" i="1"/>
  <c r="B3449" i="2" s="1"/>
  <c r="M402" i="1"/>
  <c r="B3448" i="2" s="1"/>
  <c r="L402" i="1"/>
  <c r="B3447" i="2" s="1"/>
  <c r="T401" i="1"/>
  <c r="B3446" i="2" s="1"/>
  <c r="S401" i="1"/>
  <c r="B3445" i="2" s="1"/>
  <c r="R401" i="1"/>
  <c r="B3444" i="2" s="1"/>
  <c r="Q401" i="1"/>
  <c r="B3443" i="2" s="1"/>
  <c r="P401" i="1"/>
  <c r="B3442" i="2" s="1"/>
  <c r="O401" i="1"/>
  <c r="B3441" i="2" s="1"/>
  <c r="N401" i="1"/>
  <c r="B3440" i="2" s="1"/>
  <c r="M401" i="1"/>
  <c r="B3439" i="2" s="1"/>
  <c r="L401" i="1"/>
  <c r="B3438" i="2" s="1"/>
  <c r="T400" i="1"/>
  <c r="B3437" i="2" s="1"/>
  <c r="S400" i="1"/>
  <c r="B3436" i="2" s="1"/>
  <c r="R400" i="1"/>
  <c r="B3435" i="2" s="1"/>
  <c r="Q400" i="1"/>
  <c r="B3434" i="2" s="1"/>
  <c r="P400" i="1"/>
  <c r="B3433" i="2" s="1"/>
  <c r="O400" i="1"/>
  <c r="B3432" i="2" s="1"/>
  <c r="N400" i="1"/>
  <c r="B3431" i="2" s="1"/>
  <c r="M400" i="1"/>
  <c r="B3430" i="2" s="1"/>
  <c r="L400" i="1"/>
  <c r="B3429" i="2" s="1"/>
  <c r="T399" i="1"/>
  <c r="B3428" i="2" s="1"/>
  <c r="S399" i="1"/>
  <c r="B3427" i="2" s="1"/>
  <c r="R399" i="1"/>
  <c r="B3426" i="2" s="1"/>
  <c r="Q399" i="1"/>
  <c r="B3425" i="2" s="1"/>
  <c r="P399" i="1"/>
  <c r="B3424" i="2" s="1"/>
  <c r="O399" i="1"/>
  <c r="B3423" i="2" s="1"/>
  <c r="N399" i="1"/>
  <c r="B3422" i="2" s="1"/>
  <c r="M399" i="1"/>
  <c r="B3421" i="2" s="1"/>
  <c r="L399" i="1"/>
  <c r="B3420" i="2" s="1"/>
  <c r="T398" i="1"/>
  <c r="B3419" i="2" s="1"/>
  <c r="S398" i="1"/>
  <c r="B3418" i="2" s="1"/>
  <c r="R398" i="1"/>
  <c r="B3417" i="2" s="1"/>
  <c r="Q398" i="1"/>
  <c r="B3416" i="2" s="1"/>
  <c r="P398" i="1"/>
  <c r="B3415" i="2" s="1"/>
  <c r="O398" i="1"/>
  <c r="B3414" i="2" s="1"/>
  <c r="N398" i="1"/>
  <c r="B3413" i="2" s="1"/>
  <c r="M398" i="1"/>
  <c r="B3412" i="2" s="1"/>
  <c r="L398" i="1"/>
  <c r="B3411" i="2" s="1"/>
  <c r="U397" i="1"/>
  <c r="T397" i="1"/>
  <c r="B3410" i="2" s="1"/>
  <c r="S397" i="1"/>
  <c r="B3409" i="2" s="1"/>
  <c r="R397" i="1"/>
  <c r="B3408" i="2" s="1"/>
  <c r="Q397" i="1"/>
  <c r="B3407" i="2" s="1"/>
  <c r="P397" i="1"/>
  <c r="B3406" i="2" s="1"/>
  <c r="O397" i="1"/>
  <c r="B3405" i="2" s="1"/>
  <c r="N397" i="1"/>
  <c r="B3404" i="2" s="1"/>
  <c r="M397" i="1"/>
  <c r="B3403" i="2" s="1"/>
  <c r="L397" i="1"/>
  <c r="B3402" i="2" s="1"/>
  <c r="T396" i="1"/>
  <c r="B3401" i="2" s="1"/>
  <c r="S396" i="1"/>
  <c r="B3400" i="2" s="1"/>
  <c r="R396" i="1"/>
  <c r="B3399" i="2" s="1"/>
  <c r="Q396" i="1"/>
  <c r="B3398" i="2" s="1"/>
  <c r="P396" i="1"/>
  <c r="B3397" i="2" s="1"/>
  <c r="O396" i="1"/>
  <c r="B3396" i="2" s="1"/>
  <c r="N396" i="1"/>
  <c r="B3395" i="2" s="1"/>
  <c r="M396" i="1"/>
  <c r="B3394" i="2" s="1"/>
  <c r="L396" i="1"/>
  <c r="B3393" i="2" s="1"/>
  <c r="T395" i="1"/>
  <c r="B3392" i="2" s="1"/>
  <c r="S395" i="1"/>
  <c r="B3391" i="2" s="1"/>
  <c r="R395" i="1"/>
  <c r="B3390" i="2" s="1"/>
  <c r="Q395" i="1"/>
  <c r="B3389" i="2" s="1"/>
  <c r="P395" i="1"/>
  <c r="B3388" i="2" s="1"/>
  <c r="O395" i="1"/>
  <c r="B3387" i="2" s="1"/>
  <c r="N395" i="1"/>
  <c r="B3386" i="2" s="1"/>
  <c r="M395" i="1"/>
  <c r="B3385" i="2" s="1"/>
  <c r="L395" i="1"/>
  <c r="B3384" i="2" s="1"/>
  <c r="T394" i="1"/>
  <c r="B3383" i="2" s="1"/>
  <c r="S394" i="1"/>
  <c r="B3382" i="2" s="1"/>
  <c r="R394" i="1"/>
  <c r="B3381" i="2" s="1"/>
  <c r="Q394" i="1"/>
  <c r="B3380" i="2" s="1"/>
  <c r="P394" i="1"/>
  <c r="B3379" i="2" s="1"/>
  <c r="O394" i="1"/>
  <c r="B3378" i="2" s="1"/>
  <c r="N394" i="1"/>
  <c r="B3377" i="2" s="1"/>
  <c r="M394" i="1"/>
  <c r="B3376" i="2" s="1"/>
  <c r="L394" i="1"/>
  <c r="B3375" i="2" s="1"/>
  <c r="U393" i="1"/>
  <c r="T393" i="1"/>
  <c r="B3374" i="2" s="1"/>
  <c r="S393" i="1"/>
  <c r="B3373" i="2" s="1"/>
  <c r="R393" i="1"/>
  <c r="B3372" i="2" s="1"/>
  <c r="Q393" i="1"/>
  <c r="B3371" i="2" s="1"/>
  <c r="P393" i="1"/>
  <c r="B3370" i="2" s="1"/>
  <c r="O393" i="1"/>
  <c r="B3369" i="2" s="1"/>
  <c r="N393" i="1"/>
  <c r="B3368" i="2" s="1"/>
  <c r="M393" i="1"/>
  <c r="B3367" i="2" s="1"/>
  <c r="L393" i="1"/>
  <c r="B3366" i="2" s="1"/>
  <c r="T392" i="1"/>
  <c r="B3365" i="2" s="1"/>
  <c r="S392" i="1"/>
  <c r="B3364" i="2" s="1"/>
  <c r="R392" i="1"/>
  <c r="B3363" i="2" s="1"/>
  <c r="Q392" i="1"/>
  <c r="B3362" i="2" s="1"/>
  <c r="P392" i="1"/>
  <c r="B3361" i="2" s="1"/>
  <c r="O392" i="1"/>
  <c r="B3360" i="2" s="1"/>
  <c r="N392" i="1"/>
  <c r="B3359" i="2" s="1"/>
  <c r="M392" i="1"/>
  <c r="B3358" i="2" s="1"/>
  <c r="L392" i="1"/>
  <c r="B3357" i="2" s="1"/>
  <c r="T391" i="1"/>
  <c r="B3356" i="2" s="1"/>
  <c r="S391" i="1"/>
  <c r="B3355" i="2" s="1"/>
  <c r="R391" i="1"/>
  <c r="B3354" i="2" s="1"/>
  <c r="Q391" i="1"/>
  <c r="B3353" i="2" s="1"/>
  <c r="P391" i="1"/>
  <c r="B3352" i="2" s="1"/>
  <c r="O391" i="1"/>
  <c r="B3351" i="2" s="1"/>
  <c r="N391" i="1"/>
  <c r="B3350" i="2" s="1"/>
  <c r="M391" i="1"/>
  <c r="B3349" i="2" s="1"/>
  <c r="L391" i="1"/>
  <c r="B3348" i="2" s="1"/>
  <c r="K391" i="1"/>
  <c r="T390" i="1"/>
  <c r="B3347" i="2" s="1"/>
  <c r="S390" i="1"/>
  <c r="B3346" i="2" s="1"/>
  <c r="R390" i="1"/>
  <c r="B3345" i="2" s="1"/>
  <c r="Q390" i="1"/>
  <c r="B3344" i="2" s="1"/>
  <c r="P390" i="1"/>
  <c r="B3343" i="2" s="1"/>
  <c r="O390" i="1"/>
  <c r="B3342" i="2" s="1"/>
  <c r="N390" i="1"/>
  <c r="B3341" i="2" s="1"/>
  <c r="M390" i="1"/>
  <c r="B3340" i="2" s="1"/>
  <c r="L390" i="1"/>
  <c r="B3339" i="2" s="1"/>
  <c r="T389" i="1"/>
  <c r="B3338" i="2" s="1"/>
  <c r="S389" i="1"/>
  <c r="B3337" i="2" s="1"/>
  <c r="R389" i="1"/>
  <c r="B3336" i="2" s="1"/>
  <c r="Q389" i="1"/>
  <c r="B3335" i="2" s="1"/>
  <c r="P389" i="1"/>
  <c r="B3334" i="2" s="1"/>
  <c r="O389" i="1"/>
  <c r="B3333" i="2" s="1"/>
  <c r="N389" i="1"/>
  <c r="B3332" i="2" s="1"/>
  <c r="M389" i="1"/>
  <c r="B3331" i="2" s="1"/>
  <c r="L389" i="1"/>
  <c r="B3330" i="2" s="1"/>
  <c r="T388" i="1"/>
  <c r="B3329" i="2" s="1"/>
  <c r="S388" i="1"/>
  <c r="B3328" i="2" s="1"/>
  <c r="R388" i="1"/>
  <c r="B3327" i="2" s="1"/>
  <c r="Q388" i="1"/>
  <c r="B3326" i="2" s="1"/>
  <c r="P388" i="1"/>
  <c r="B3325" i="2" s="1"/>
  <c r="O388" i="1"/>
  <c r="B3324" i="2" s="1"/>
  <c r="N388" i="1"/>
  <c r="B3323" i="2" s="1"/>
  <c r="M388" i="1"/>
  <c r="B3322" i="2" s="1"/>
  <c r="L388" i="1"/>
  <c r="B3321" i="2" s="1"/>
  <c r="T387" i="1"/>
  <c r="B3320" i="2" s="1"/>
  <c r="S387" i="1"/>
  <c r="B3319" i="2" s="1"/>
  <c r="R387" i="1"/>
  <c r="B3318" i="2" s="1"/>
  <c r="Q387" i="1"/>
  <c r="B3317" i="2" s="1"/>
  <c r="P387" i="1"/>
  <c r="B3316" i="2" s="1"/>
  <c r="O387" i="1"/>
  <c r="B3315" i="2" s="1"/>
  <c r="N387" i="1"/>
  <c r="B3314" i="2" s="1"/>
  <c r="M387" i="1"/>
  <c r="B3313" i="2" s="1"/>
  <c r="L387" i="1"/>
  <c r="B3312" i="2" s="1"/>
  <c r="T386" i="1"/>
  <c r="B3311" i="2" s="1"/>
  <c r="S386" i="1"/>
  <c r="B3310" i="2" s="1"/>
  <c r="R386" i="1"/>
  <c r="B3309" i="2" s="1"/>
  <c r="Q386" i="1"/>
  <c r="B3308" i="2" s="1"/>
  <c r="P386" i="1"/>
  <c r="B3307" i="2" s="1"/>
  <c r="O386" i="1"/>
  <c r="B3306" i="2" s="1"/>
  <c r="N386" i="1"/>
  <c r="B3305" i="2" s="1"/>
  <c r="M386" i="1"/>
  <c r="B3304" i="2" s="1"/>
  <c r="L386" i="1"/>
  <c r="B3303" i="2" s="1"/>
  <c r="T385" i="1"/>
  <c r="B3302" i="2" s="1"/>
  <c r="S385" i="1"/>
  <c r="B3301" i="2" s="1"/>
  <c r="R385" i="1"/>
  <c r="B3300" i="2" s="1"/>
  <c r="Q385" i="1"/>
  <c r="B3299" i="2" s="1"/>
  <c r="P385" i="1"/>
  <c r="B3298" i="2" s="1"/>
  <c r="O385" i="1"/>
  <c r="B3297" i="2" s="1"/>
  <c r="N385" i="1"/>
  <c r="B3296" i="2" s="1"/>
  <c r="M385" i="1"/>
  <c r="B3295" i="2" s="1"/>
  <c r="L385" i="1"/>
  <c r="B3294" i="2" s="1"/>
  <c r="T384" i="1"/>
  <c r="B3293" i="2" s="1"/>
  <c r="S384" i="1"/>
  <c r="B3292" i="2" s="1"/>
  <c r="R384" i="1"/>
  <c r="B3291" i="2" s="1"/>
  <c r="Q384" i="1"/>
  <c r="B3290" i="2" s="1"/>
  <c r="P384" i="1"/>
  <c r="B3289" i="2" s="1"/>
  <c r="O384" i="1"/>
  <c r="B3288" i="2" s="1"/>
  <c r="N384" i="1"/>
  <c r="B3287" i="2" s="1"/>
  <c r="M384" i="1"/>
  <c r="B3286" i="2" s="1"/>
  <c r="L384" i="1"/>
  <c r="B3285" i="2" s="1"/>
  <c r="T383" i="1"/>
  <c r="B3284" i="2" s="1"/>
  <c r="S383" i="1"/>
  <c r="B3283" i="2" s="1"/>
  <c r="R383" i="1"/>
  <c r="B3282" i="2" s="1"/>
  <c r="Q383" i="1"/>
  <c r="B3281" i="2" s="1"/>
  <c r="P383" i="1"/>
  <c r="B3280" i="2" s="1"/>
  <c r="O383" i="1"/>
  <c r="B3279" i="2" s="1"/>
  <c r="N383" i="1"/>
  <c r="B3278" i="2" s="1"/>
  <c r="M383" i="1"/>
  <c r="B3277" i="2" s="1"/>
  <c r="L383" i="1"/>
  <c r="B3276" i="2" s="1"/>
  <c r="T382" i="1"/>
  <c r="B3275" i="2" s="1"/>
  <c r="S382" i="1"/>
  <c r="B3274" i="2" s="1"/>
  <c r="R382" i="1"/>
  <c r="B3273" i="2" s="1"/>
  <c r="Q382" i="1"/>
  <c r="B3272" i="2" s="1"/>
  <c r="P382" i="1"/>
  <c r="B3271" i="2" s="1"/>
  <c r="O382" i="1"/>
  <c r="B3270" i="2" s="1"/>
  <c r="N382" i="1"/>
  <c r="B3269" i="2" s="1"/>
  <c r="M382" i="1"/>
  <c r="B3268" i="2" s="1"/>
  <c r="L382" i="1"/>
  <c r="B3267" i="2" s="1"/>
  <c r="U381" i="1"/>
  <c r="T381" i="1"/>
  <c r="B3266" i="2" s="1"/>
  <c r="S381" i="1"/>
  <c r="B3265" i="2" s="1"/>
  <c r="R381" i="1"/>
  <c r="B3264" i="2" s="1"/>
  <c r="Q381" i="1"/>
  <c r="B3263" i="2" s="1"/>
  <c r="P381" i="1"/>
  <c r="B3262" i="2" s="1"/>
  <c r="O381" i="1"/>
  <c r="B3261" i="2" s="1"/>
  <c r="N381" i="1"/>
  <c r="B3260" i="2" s="1"/>
  <c r="M381" i="1"/>
  <c r="B3259" i="2" s="1"/>
  <c r="L381" i="1"/>
  <c r="B3258" i="2" s="1"/>
  <c r="T380" i="1"/>
  <c r="B3257" i="2" s="1"/>
  <c r="S380" i="1"/>
  <c r="B3256" i="2" s="1"/>
  <c r="R380" i="1"/>
  <c r="B3255" i="2" s="1"/>
  <c r="Q380" i="1"/>
  <c r="B3254" i="2" s="1"/>
  <c r="P380" i="1"/>
  <c r="B3253" i="2" s="1"/>
  <c r="O380" i="1"/>
  <c r="B3252" i="2" s="1"/>
  <c r="N380" i="1"/>
  <c r="B3251" i="2" s="1"/>
  <c r="M380" i="1"/>
  <c r="B3250" i="2" s="1"/>
  <c r="L380" i="1"/>
  <c r="B3249" i="2" s="1"/>
  <c r="T379" i="1"/>
  <c r="B3248" i="2" s="1"/>
  <c r="S379" i="1"/>
  <c r="B3247" i="2" s="1"/>
  <c r="R379" i="1"/>
  <c r="B3246" i="2" s="1"/>
  <c r="Q379" i="1"/>
  <c r="B3245" i="2" s="1"/>
  <c r="P379" i="1"/>
  <c r="B3244" i="2" s="1"/>
  <c r="O379" i="1"/>
  <c r="B3243" i="2" s="1"/>
  <c r="N379" i="1"/>
  <c r="B3242" i="2" s="1"/>
  <c r="M379" i="1"/>
  <c r="B3241" i="2" s="1"/>
  <c r="L379" i="1"/>
  <c r="B3240" i="2" s="1"/>
  <c r="T378" i="1"/>
  <c r="B3239" i="2" s="1"/>
  <c r="S378" i="1"/>
  <c r="B3238" i="2" s="1"/>
  <c r="R378" i="1"/>
  <c r="B3237" i="2" s="1"/>
  <c r="Q378" i="1"/>
  <c r="B3236" i="2" s="1"/>
  <c r="P378" i="1"/>
  <c r="B3235" i="2" s="1"/>
  <c r="O378" i="1"/>
  <c r="B3234" i="2" s="1"/>
  <c r="N378" i="1"/>
  <c r="B3233" i="2" s="1"/>
  <c r="M378" i="1"/>
  <c r="B3232" i="2" s="1"/>
  <c r="L378" i="1"/>
  <c r="B3231" i="2" s="1"/>
  <c r="U377" i="1"/>
  <c r="T377" i="1"/>
  <c r="B3230" i="2" s="1"/>
  <c r="S377" i="1"/>
  <c r="B3229" i="2" s="1"/>
  <c r="R377" i="1"/>
  <c r="B3228" i="2" s="1"/>
  <c r="Q377" i="1"/>
  <c r="B3227" i="2" s="1"/>
  <c r="P377" i="1"/>
  <c r="B3226" i="2" s="1"/>
  <c r="O377" i="1"/>
  <c r="B3225" i="2" s="1"/>
  <c r="N377" i="1"/>
  <c r="B3224" i="2" s="1"/>
  <c r="M377" i="1"/>
  <c r="B3223" i="2" s="1"/>
  <c r="L377" i="1"/>
  <c r="B3222" i="2" s="1"/>
  <c r="T376" i="1"/>
  <c r="B3221" i="2" s="1"/>
  <c r="S376" i="1"/>
  <c r="B3220" i="2" s="1"/>
  <c r="R376" i="1"/>
  <c r="B3219" i="2" s="1"/>
  <c r="Q376" i="1"/>
  <c r="B3218" i="2" s="1"/>
  <c r="P376" i="1"/>
  <c r="B3217" i="2" s="1"/>
  <c r="O376" i="1"/>
  <c r="B3216" i="2" s="1"/>
  <c r="N376" i="1"/>
  <c r="B3215" i="2" s="1"/>
  <c r="M376" i="1"/>
  <c r="B3214" i="2" s="1"/>
  <c r="L376" i="1"/>
  <c r="B3213" i="2" s="1"/>
  <c r="T375" i="1"/>
  <c r="B3212" i="2" s="1"/>
  <c r="S375" i="1"/>
  <c r="B3211" i="2" s="1"/>
  <c r="R375" i="1"/>
  <c r="B3210" i="2" s="1"/>
  <c r="Q375" i="1"/>
  <c r="B3209" i="2" s="1"/>
  <c r="P375" i="1"/>
  <c r="B3208" i="2" s="1"/>
  <c r="O375" i="1"/>
  <c r="B3207" i="2" s="1"/>
  <c r="N375" i="1"/>
  <c r="B3206" i="2" s="1"/>
  <c r="M375" i="1"/>
  <c r="B3205" i="2" s="1"/>
  <c r="L375" i="1"/>
  <c r="B3204" i="2" s="1"/>
  <c r="K375" i="1"/>
  <c r="T374" i="1"/>
  <c r="B3203" i="2" s="1"/>
  <c r="S374" i="1"/>
  <c r="B3202" i="2" s="1"/>
  <c r="R374" i="1"/>
  <c r="B3201" i="2" s="1"/>
  <c r="Q374" i="1"/>
  <c r="B3200" i="2" s="1"/>
  <c r="P374" i="1"/>
  <c r="B3199" i="2" s="1"/>
  <c r="O374" i="1"/>
  <c r="B3198" i="2" s="1"/>
  <c r="N374" i="1"/>
  <c r="B3197" i="2" s="1"/>
  <c r="M374" i="1"/>
  <c r="B3196" i="2" s="1"/>
  <c r="L374" i="1"/>
  <c r="B3195" i="2" s="1"/>
  <c r="T373" i="1"/>
  <c r="B3194" i="2" s="1"/>
  <c r="S373" i="1"/>
  <c r="B3193" i="2" s="1"/>
  <c r="R373" i="1"/>
  <c r="B3192" i="2" s="1"/>
  <c r="Q373" i="1"/>
  <c r="B3191" i="2" s="1"/>
  <c r="P373" i="1"/>
  <c r="B3190" i="2" s="1"/>
  <c r="O373" i="1"/>
  <c r="B3189" i="2" s="1"/>
  <c r="N373" i="1"/>
  <c r="B3188" i="2" s="1"/>
  <c r="M373" i="1"/>
  <c r="B3187" i="2" s="1"/>
  <c r="L373" i="1"/>
  <c r="B3186" i="2" s="1"/>
  <c r="T372" i="1"/>
  <c r="B3185" i="2" s="1"/>
  <c r="S372" i="1"/>
  <c r="B3184" i="2" s="1"/>
  <c r="R372" i="1"/>
  <c r="B3183" i="2" s="1"/>
  <c r="Q372" i="1"/>
  <c r="B3182" i="2" s="1"/>
  <c r="P372" i="1"/>
  <c r="B3181" i="2" s="1"/>
  <c r="O372" i="1"/>
  <c r="B3180" i="2" s="1"/>
  <c r="N372" i="1"/>
  <c r="B3179" i="2" s="1"/>
  <c r="M372" i="1"/>
  <c r="B3178" i="2" s="1"/>
  <c r="L372" i="1"/>
  <c r="B3177" i="2" s="1"/>
  <c r="T371" i="1"/>
  <c r="B3176" i="2" s="1"/>
  <c r="S371" i="1"/>
  <c r="B3175" i="2" s="1"/>
  <c r="R371" i="1"/>
  <c r="B3174" i="2" s="1"/>
  <c r="Q371" i="1"/>
  <c r="B3173" i="2" s="1"/>
  <c r="P371" i="1"/>
  <c r="B3172" i="2" s="1"/>
  <c r="O371" i="1"/>
  <c r="B3171" i="2" s="1"/>
  <c r="N371" i="1"/>
  <c r="B3170" i="2" s="1"/>
  <c r="M371" i="1"/>
  <c r="B3169" i="2" s="1"/>
  <c r="L371" i="1"/>
  <c r="B3168" i="2" s="1"/>
  <c r="T370" i="1"/>
  <c r="B3167" i="2" s="1"/>
  <c r="S370" i="1"/>
  <c r="B3166" i="2" s="1"/>
  <c r="R370" i="1"/>
  <c r="B3165" i="2" s="1"/>
  <c r="Q370" i="1"/>
  <c r="B3164" i="2" s="1"/>
  <c r="P370" i="1"/>
  <c r="B3163" i="2" s="1"/>
  <c r="O370" i="1"/>
  <c r="B3162" i="2" s="1"/>
  <c r="N370" i="1"/>
  <c r="B3161" i="2" s="1"/>
  <c r="M370" i="1"/>
  <c r="B3160" i="2" s="1"/>
  <c r="L370" i="1"/>
  <c r="B3159" i="2" s="1"/>
  <c r="T369" i="1"/>
  <c r="B3158" i="2" s="1"/>
  <c r="S369" i="1"/>
  <c r="B3157" i="2" s="1"/>
  <c r="R369" i="1"/>
  <c r="B3156" i="2" s="1"/>
  <c r="Q369" i="1"/>
  <c r="B3155" i="2" s="1"/>
  <c r="P369" i="1"/>
  <c r="B3154" i="2" s="1"/>
  <c r="O369" i="1"/>
  <c r="B3153" i="2" s="1"/>
  <c r="N369" i="1"/>
  <c r="B3152" i="2" s="1"/>
  <c r="M369" i="1"/>
  <c r="B3151" i="2" s="1"/>
  <c r="L369" i="1"/>
  <c r="B3150" i="2" s="1"/>
  <c r="T368" i="1"/>
  <c r="B3149" i="2" s="1"/>
  <c r="S368" i="1"/>
  <c r="B3148" i="2" s="1"/>
  <c r="R368" i="1"/>
  <c r="B3147" i="2" s="1"/>
  <c r="Q368" i="1"/>
  <c r="B3146" i="2" s="1"/>
  <c r="P368" i="1"/>
  <c r="B3145" i="2" s="1"/>
  <c r="O368" i="1"/>
  <c r="B3144" i="2" s="1"/>
  <c r="N368" i="1"/>
  <c r="B3143" i="2" s="1"/>
  <c r="M368" i="1"/>
  <c r="B3142" i="2" s="1"/>
  <c r="L368" i="1"/>
  <c r="B3141" i="2" s="1"/>
  <c r="T367" i="1"/>
  <c r="B3140" i="2" s="1"/>
  <c r="S367" i="1"/>
  <c r="B3139" i="2" s="1"/>
  <c r="R367" i="1"/>
  <c r="B3138" i="2" s="1"/>
  <c r="Q367" i="1"/>
  <c r="B3137" i="2" s="1"/>
  <c r="P367" i="1"/>
  <c r="B3136" i="2" s="1"/>
  <c r="O367" i="1"/>
  <c r="B3135" i="2" s="1"/>
  <c r="N367" i="1"/>
  <c r="B3134" i="2" s="1"/>
  <c r="M367" i="1"/>
  <c r="B3133" i="2" s="1"/>
  <c r="L367" i="1"/>
  <c r="B3132" i="2" s="1"/>
  <c r="T366" i="1"/>
  <c r="B3131" i="2" s="1"/>
  <c r="S366" i="1"/>
  <c r="B3130" i="2" s="1"/>
  <c r="R366" i="1"/>
  <c r="B3129" i="2" s="1"/>
  <c r="Q366" i="1"/>
  <c r="B3128" i="2" s="1"/>
  <c r="P366" i="1"/>
  <c r="B3127" i="2" s="1"/>
  <c r="O366" i="1"/>
  <c r="B3126" i="2" s="1"/>
  <c r="N366" i="1"/>
  <c r="B3125" i="2" s="1"/>
  <c r="M366" i="1"/>
  <c r="B3124" i="2" s="1"/>
  <c r="L366" i="1"/>
  <c r="B3123" i="2" s="1"/>
  <c r="U365" i="1"/>
  <c r="T365" i="1"/>
  <c r="B3122" i="2" s="1"/>
  <c r="S365" i="1"/>
  <c r="B3121" i="2" s="1"/>
  <c r="R365" i="1"/>
  <c r="B3120" i="2" s="1"/>
  <c r="Q365" i="1"/>
  <c r="B3119" i="2" s="1"/>
  <c r="P365" i="1"/>
  <c r="B3118" i="2" s="1"/>
  <c r="O365" i="1"/>
  <c r="B3117" i="2" s="1"/>
  <c r="N365" i="1"/>
  <c r="B3116" i="2" s="1"/>
  <c r="M365" i="1"/>
  <c r="B3115" i="2" s="1"/>
  <c r="L365" i="1"/>
  <c r="B3114" i="2" s="1"/>
  <c r="T364" i="1"/>
  <c r="B3113" i="2" s="1"/>
  <c r="S364" i="1"/>
  <c r="B3112" i="2" s="1"/>
  <c r="R364" i="1"/>
  <c r="B3111" i="2" s="1"/>
  <c r="Q364" i="1"/>
  <c r="B3110" i="2" s="1"/>
  <c r="P364" i="1"/>
  <c r="B3109" i="2" s="1"/>
  <c r="O364" i="1"/>
  <c r="B3108" i="2" s="1"/>
  <c r="N364" i="1"/>
  <c r="B3107" i="2" s="1"/>
  <c r="M364" i="1"/>
  <c r="B3106" i="2" s="1"/>
  <c r="L364" i="1"/>
  <c r="B3105" i="2" s="1"/>
  <c r="T363" i="1"/>
  <c r="B3104" i="2" s="1"/>
  <c r="S363" i="1"/>
  <c r="B3103" i="2" s="1"/>
  <c r="R363" i="1"/>
  <c r="B3102" i="2" s="1"/>
  <c r="Q363" i="1"/>
  <c r="B3101" i="2" s="1"/>
  <c r="P363" i="1"/>
  <c r="B3100" i="2" s="1"/>
  <c r="O363" i="1"/>
  <c r="B3099" i="2" s="1"/>
  <c r="N363" i="1"/>
  <c r="B3098" i="2" s="1"/>
  <c r="M363" i="1"/>
  <c r="B3097" i="2" s="1"/>
  <c r="L363" i="1"/>
  <c r="B3096" i="2" s="1"/>
  <c r="T362" i="1"/>
  <c r="B3095" i="2" s="1"/>
  <c r="S362" i="1"/>
  <c r="B3094" i="2" s="1"/>
  <c r="R362" i="1"/>
  <c r="B3093" i="2" s="1"/>
  <c r="Q362" i="1"/>
  <c r="B3092" i="2" s="1"/>
  <c r="P362" i="1"/>
  <c r="B3091" i="2" s="1"/>
  <c r="O362" i="1"/>
  <c r="B3090" i="2" s="1"/>
  <c r="N362" i="1"/>
  <c r="B3089" i="2" s="1"/>
  <c r="M362" i="1"/>
  <c r="B3088" i="2" s="1"/>
  <c r="L362" i="1"/>
  <c r="B3087" i="2" s="1"/>
  <c r="U361" i="1"/>
  <c r="T361" i="1"/>
  <c r="B3086" i="2" s="1"/>
  <c r="S361" i="1"/>
  <c r="B3085" i="2" s="1"/>
  <c r="R361" i="1"/>
  <c r="B3084" i="2" s="1"/>
  <c r="Q361" i="1"/>
  <c r="B3083" i="2" s="1"/>
  <c r="P361" i="1"/>
  <c r="B3082" i="2" s="1"/>
  <c r="O361" i="1"/>
  <c r="B3081" i="2" s="1"/>
  <c r="N361" i="1"/>
  <c r="B3080" i="2" s="1"/>
  <c r="M361" i="1"/>
  <c r="B3079" i="2" s="1"/>
  <c r="L361" i="1"/>
  <c r="B3078" i="2" s="1"/>
  <c r="T360" i="1"/>
  <c r="B3077" i="2" s="1"/>
  <c r="S360" i="1"/>
  <c r="B3076" i="2" s="1"/>
  <c r="R360" i="1"/>
  <c r="B3075" i="2" s="1"/>
  <c r="Q360" i="1"/>
  <c r="B3074" i="2" s="1"/>
  <c r="P360" i="1"/>
  <c r="B3073" i="2" s="1"/>
  <c r="O360" i="1"/>
  <c r="B3072" i="2" s="1"/>
  <c r="N360" i="1"/>
  <c r="B3071" i="2" s="1"/>
  <c r="M360" i="1"/>
  <c r="B3070" i="2" s="1"/>
  <c r="L360" i="1"/>
  <c r="B3069" i="2" s="1"/>
  <c r="T359" i="1"/>
  <c r="B3068" i="2" s="1"/>
  <c r="S359" i="1"/>
  <c r="B3067" i="2" s="1"/>
  <c r="R359" i="1"/>
  <c r="B3066" i="2" s="1"/>
  <c r="Q359" i="1"/>
  <c r="B3065" i="2" s="1"/>
  <c r="P359" i="1"/>
  <c r="B3064" i="2" s="1"/>
  <c r="O359" i="1"/>
  <c r="B3063" i="2" s="1"/>
  <c r="N359" i="1"/>
  <c r="B3062" i="2" s="1"/>
  <c r="M359" i="1"/>
  <c r="B3061" i="2" s="1"/>
  <c r="L359" i="1"/>
  <c r="B3060" i="2" s="1"/>
  <c r="K359" i="1"/>
  <c r="T358" i="1"/>
  <c r="B3059" i="2" s="1"/>
  <c r="S358" i="1"/>
  <c r="B3058" i="2" s="1"/>
  <c r="R358" i="1"/>
  <c r="B3057" i="2" s="1"/>
  <c r="Q358" i="1"/>
  <c r="B3056" i="2" s="1"/>
  <c r="P358" i="1"/>
  <c r="B3055" i="2" s="1"/>
  <c r="O358" i="1"/>
  <c r="B3054" i="2" s="1"/>
  <c r="N358" i="1"/>
  <c r="B3053" i="2" s="1"/>
  <c r="M358" i="1"/>
  <c r="B3052" i="2" s="1"/>
  <c r="L358" i="1"/>
  <c r="B3051" i="2" s="1"/>
  <c r="T357" i="1"/>
  <c r="B3050" i="2" s="1"/>
  <c r="S357" i="1"/>
  <c r="B3049" i="2" s="1"/>
  <c r="R357" i="1"/>
  <c r="B3048" i="2" s="1"/>
  <c r="Q357" i="1"/>
  <c r="B3047" i="2" s="1"/>
  <c r="P357" i="1"/>
  <c r="B3046" i="2" s="1"/>
  <c r="O357" i="1"/>
  <c r="B3045" i="2" s="1"/>
  <c r="N357" i="1"/>
  <c r="B3044" i="2" s="1"/>
  <c r="M357" i="1"/>
  <c r="B3043" i="2" s="1"/>
  <c r="L357" i="1"/>
  <c r="B3042" i="2" s="1"/>
  <c r="T356" i="1"/>
  <c r="B3041" i="2" s="1"/>
  <c r="S356" i="1"/>
  <c r="B3040" i="2" s="1"/>
  <c r="R356" i="1"/>
  <c r="B3039" i="2" s="1"/>
  <c r="Q356" i="1"/>
  <c r="B3038" i="2" s="1"/>
  <c r="P356" i="1"/>
  <c r="B3037" i="2" s="1"/>
  <c r="O356" i="1"/>
  <c r="B3036" i="2" s="1"/>
  <c r="N356" i="1"/>
  <c r="B3035" i="2" s="1"/>
  <c r="M356" i="1"/>
  <c r="B3034" i="2" s="1"/>
  <c r="L356" i="1"/>
  <c r="B3033" i="2" s="1"/>
  <c r="T355" i="1"/>
  <c r="B3032" i="2" s="1"/>
  <c r="S355" i="1"/>
  <c r="B3031" i="2" s="1"/>
  <c r="R355" i="1"/>
  <c r="B3030" i="2" s="1"/>
  <c r="Q355" i="1"/>
  <c r="B3029" i="2" s="1"/>
  <c r="P355" i="1"/>
  <c r="B3028" i="2" s="1"/>
  <c r="O355" i="1"/>
  <c r="B3027" i="2" s="1"/>
  <c r="N355" i="1"/>
  <c r="B3026" i="2" s="1"/>
  <c r="M355" i="1"/>
  <c r="B3025" i="2" s="1"/>
  <c r="L355" i="1"/>
  <c r="B3024" i="2" s="1"/>
  <c r="K355" i="1"/>
  <c r="T354" i="1"/>
  <c r="B3023" i="2" s="1"/>
  <c r="S354" i="1"/>
  <c r="B3022" i="2" s="1"/>
  <c r="R354" i="1"/>
  <c r="B3021" i="2" s="1"/>
  <c r="Q354" i="1"/>
  <c r="B3020" i="2" s="1"/>
  <c r="P354" i="1"/>
  <c r="B3019" i="2" s="1"/>
  <c r="O354" i="1"/>
  <c r="B3018" i="2" s="1"/>
  <c r="N354" i="1"/>
  <c r="B3017" i="2" s="1"/>
  <c r="M354" i="1"/>
  <c r="B3016" i="2" s="1"/>
  <c r="L354" i="1"/>
  <c r="B3015" i="2" s="1"/>
  <c r="T353" i="1"/>
  <c r="B3014" i="2" s="1"/>
  <c r="S353" i="1"/>
  <c r="B3013" i="2" s="1"/>
  <c r="R353" i="1"/>
  <c r="B3012" i="2" s="1"/>
  <c r="Q353" i="1"/>
  <c r="B3011" i="2" s="1"/>
  <c r="P353" i="1"/>
  <c r="B3010" i="2" s="1"/>
  <c r="O353" i="1"/>
  <c r="B3009" i="2" s="1"/>
  <c r="N353" i="1"/>
  <c r="B3008" i="2" s="1"/>
  <c r="M353" i="1"/>
  <c r="B3007" i="2" s="1"/>
  <c r="L353" i="1"/>
  <c r="B3006" i="2" s="1"/>
  <c r="T352" i="1"/>
  <c r="B3005" i="2" s="1"/>
  <c r="S352" i="1"/>
  <c r="B3004" i="2" s="1"/>
  <c r="R352" i="1"/>
  <c r="B3003" i="2" s="1"/>
  <c r="Q352" i="1"/>
  <c r="B3002" i="2" s="1"/>
  <c r="P352" i="1"/>
  <c r="B3001" i="2" s="1"/>
  <c r="O352" i="1"/>
  <c r="B3000" i="2" s="1"/>
  <c r="N352" i="1"/>
  <c r="B2999" i="2" s="1"/>
  <c r="M352" i="1"/>
  <c r="B2998" i="2" s="1"/>
  <c r="L352" i="1"/>
  <c r="B2997" i="2" s="1"/>
  <c r="T351" i="1"/>
  <c r="B2996" i="2" s="1"/>
  <c r="S351" i="1"/>
  <c r="B2995" i="2" s="1"/>
  <c r="R351" i="1"/>
  <c r="B2994" i="2" s="1"/>
  <c r="Q351" i="1"/>
  <c r="B2993" i="2" s="1"/>
  <c r="P351" i="1"/>
  <c r="B2992" i="2" s="1"/>
  <c r="O351" i="1"/>
  <c r="B2991" i="2" s="1"/>
  <c r="N351" i="1"/>
  <c r="B2990" i="2" s="1"/>
  <c r="M351" i="1"/>
  <c r="B2989" i="2" s="1"/>
  <c r="L351" i="1"/>
  <c r="B2988" i="2" s="1"/>
  <c r="T350" i="1"/>
  <c r="B2987" i="2" s="1"/>
  <c r="S350" i="1"/>
  <c r="B2986" i="2" s="1"/>
  <c r="R350" i="1"/>
  <c r="B2985" i="2" s="1"/>
  <c r="Q350" i="1"/>
  <c r="B2984" i="2" s="1"/>
  <c r="P350" i="1"/>
  <c r="B2983" i="2" s="1"/>
  <c r="O350" i="1"/>
  <c r="B2982" i="2" s="1"/>
  <c r="N350" i="1"/>
  <c r="B2981" i="2" s="1"/>
  <c r="M350" i="1"/>
  <c r="B2980" i="2" s="1"/>
  <c r="L350" i="1"/>
  <c r="B2979" i="2" s="1"/>
  <c r="T349" i="1"/>
  <c r="B2978" i="2" s="1"/>
  <c r="S349" i="1"/>
  <c r="B2977" i="2" s="1"/>
  <c r="R349" i="1"/>
  <c r="B2976" i="2" s="1"/>
  <c r="Q349" i="1"/>
  <c r="B2975" i="2" s="1"/>
  <c r="P349" i="1"/>
  <c r="B2974" i="2" s="1"/>
  <c r="O349" i="1"/>
  <c r="B2973" i="2" s="1"/>
  <c r="N349" i="1"/>
  <c r="B2972" i="2" s="1"/>
  <c r="M349" i="1"/>
  <c r="B2971" i="2" s="1"/>
  <c r="L349" i="1"/>
  <c r="B2970" i="2" s="1"/>
  <c r="T348" i="1"/>
  <c r="B2969" i="2" s="1"/>
  <c r="S348" i="1"/>
  <c r="B2968" i="2" s="1"/>
  <c r="R348" i="1"/>
  <c r="B2967" i="2" s="1"/>
  <c r="Q348" i="1"/>
  <c r="B2966" i="2" s="1"/>
  <c r="P348" i="1"/>
  <c r="B2965" i="2" s="1"/>
  <c r="O348" i="1"/>
  <c r="B2964" i="2" s="1"/>
  <c r="N348" i="1"/>
  <c r="B2963" i="2" s="1"/>
  <c r="M348" i="1"/>
  <c r="B2962" i="2" s="1"/>
  <c r="L348" i="1"/>
  <c r="B2961" i="2" s="1"/>
  <c r="T347" i="1"/>
  <c r="B2960" i="2" s="1"/>
  <c r="S347" i="1"/>
  <c r="B2959" i="2" s="1"/>
  <c r="R347" i="1"/>
  <c r="B2958" i="2" s="1"/>
  <c r="Q347" i="1"/>
  <c r="B2957" i="2" s="1"/>
  <c r="P347" i="1"/>
  <c r="B2956" i="2" s="1"/>
  <c r="O347" i="1"/>
  <c r="B2955" i="2" s="1"/>
  <c r="N347" i="1"/>
  <c r="B2954" i="2" s="1"/>
  <c r="M347" i="1"/>
  <c r="B2953" i="2" s="1"/>
  <c r="L347" i="1"/>
  <c r="B2952" i="2" s="1"/>
  <c r="T346" i="1"/>
  <c r="B2951" i="2" s="1"/>
  <c r="S346" i="1"/>
  <c r="B2950" i="2" s="1"/>
  <c r="R346" i="1"/>
  <c r="B2949" i="2" s="1"/>
  <c r="Q346" i="1"/>
  <c r="B2948" i="2" s="1"/>
  <c r="P346" i="1"/>
  <c r="B2947" i="2" s="1"/>
  <c r="O346" i="1"/>
  <c r="B2946" i="2" s="1"/>
  <c r="N346" i="1"/>
  <c r="B2945" i="2" s="1"/>
  <c r="M346" i="1"/>
  <c r="B2944" i="2" s="1"/>
  <c r="L346" i="1"/>
  <c r="B2943" i="2" s="1"/>
  <c r="U345" i="1"/>
  <c r="T345" i="1"/>
  <c r="B2942" i="2" s="1"/>
  <c r="S345" i="1"/>
  <c r="B2941" i="2" s="1"/>
  <c r="R345" i="1"/>
  <c r="B2940" i="2" s="1"/>
  <c r="Q345" i="1"/>
  <c r="B2939" i="2" s="1"/>
  <c r="P345" i="1"/>
  <c r="B2938" i="2" s="1"/>
  <c r="O345" i="1"/>
  <c r="B2937" i="2" s="1"/>
  <c r="N345" i="1"/>
  <c r="B2936" i="2" s="1"/>
  <c r="M345" i="1"/>
  <c r="B2935" i="2" s="1"/>
  <c r="L345" i="1"/>
  <c r="B2934" i="2" s="1"/>
  <c r="T344" i="1"/>
  <c r="B2933" i="2" s="1"/>
  <c r="S344" i="1"/>
  <c r="B2932" i="2" s="1"/>
  <c r="R344" i="1"/>
  <c r="B2931" i="2" s="1"/>
  <c r="Q344" i="1"/>
  <c r="B2930" i="2" s="1"/>
  <c r="P344" i="1"/>
  <c r="B2929" i="2" s="1"/>
  <c r="O344" i="1"/>
  <c r="B2928" i="2" s="1"/>
  <c r="N344" i="1"/>
  <c r="B2927" i="2" s="1"/>
  <c r="M344" i="1"/>
  <c r="B2926" i="2" s="1"/>
  <c r="L344" i="1"/>
  <c r="B2925" i="2" s="1"/>
  <c r="T343" i="1"/>
  <c r="B2924" i="2" s="1"/>
  <c r="S343" i="1"/>
  <c r="B2923" i="2" s="1"/>
  <c r="R343" i="1"/>
  <c r="B2922" i="2" s="1"/>
  <c r="Q343" i="1"/>
  <c r="B2921" i="2" s="1"/>
  <c r="P343" i="1"/>
  <c r="B2920" i="2" s="1"/>
  <c r="O343" i="1"/>
  <c r="B2919" i="2" s="1"/>
  <c r="N343" i="1"/>
  <c r="B2918" i="2" s="1"/>
  <c r="M343" i="1"/>
  <c r="B2917" i="2" s="1"/>
  <c r="L343" i="1"/>
  <c r="B2916" i="2" s="1"/>
  <c r="K343" i="1"/>
  <c r="T342" i="1"/>
  <c r="B2915" i="2" s="1"/>
  <c r="S342" i="1"/>
  <c r="B2914" i="2" s="1"/>
  <c r="R342" i="1"/>
  <c r="B2913" i="2" s="1"/>
  <c r="Q342" i="1"/>
  <c r="B2912" i="2" s="1"/>
  <c r="P342" i="1"/>
  <c r="B2911" i="2" s="1"/>
  <c r="O342" i="1"/>
  <c r="B2910" i="2" s="1"/>
  <c r="N342" i="1"/>
  <c r="B2909" i="2" s="1"/>
  <c r="M342" i="1"/>
  <c r="B2908" i="2" s="1"/>
  <c r="L342" i="1"/>
  <c r="B2907" i="2" s="1"/>
  <c r="T341" i="1"/>
  <c r="B2906" i="2" s="1"/>
  <c r="S341" i="1"/>
  <c r="B2905" i="2" s="1"/>
  <c r="R341" i="1"/>
  <c r="B2904" i="2" s="1"/>
  <c r="Q341" i="1"/>
  <c r="B2903" i="2" s="1"/>
  <c r="P341" i="1"/>
  <c r="B2902" i="2" s="1"/>
  <c r="O341" i="1"/>
  <c r="B2901" i="2" s="1"/>
  <c r="N341" i="1"/>
  <c r="B2900" i="2" s="1"/>
  <c r="M341" i="1"/>
  <c r="B2899" i="2" s="1"/>
  <c r="L341" i="1"/>
  <c r="B2898" i="2" s="1"/>
  <c r="T340" i="1"/>
  <c r="B2897" i="2" s="1"/>
  <c r="S340" i="1"/>
  <c r="B2896" i="2" s="1"/>
  <c r="R340" i="1"/>
  <c r="B2895" i="2" s="1"/>
  <c r="Q340" i="1"/>
  <c r="B2894" i="2" s="1"/>
  <c r="P340" i="1"/>
  <c r="B2893" i="2" s="1"/>
  <c r="O340" i="1"/>
  <c r="B2892" i="2" s="1"/>
  <c r="N340" i="1"/>
  <c r="B2891" i="2" s="1"/>
  <c r="M340" i="1"/>
  <c r="B2890" i="2" s="1"/>
  <c r="L340" i="1"/>
  <c r="B2889" i="2" s="1"/>
  <c r="T339" i="1"/>
  <c r="B2888" i="2" s="1"/>
  <c r="S339" i="1"/>
  <c r="B2887" i="2" s="1"/>
  <c r="R339" i="1"/>
  <c r="B2886" i="2" s="1"/>
  <c r="Q339" i="1"/>
  <c r="B2885" i="2" s="1"/>
  <c r="P339" i="1"/>
  <c r="B2884" i="2" s="1"/>
  <c r="O339" i="1"/>
  <c r="B2883" i="2" s="1"/>
  <c r="N339" i="1"/>
  <c r="B2882" i="2" s="1"/>
  <c r="M339" i="1"/>
  <c r="B2881" i="2" s="1"/>
  <c r="L339" i="1"/>
  <c r="B2880" i="2" s="1"/>
  <c r="K339" i="1"/>
  <c r="T338" i="1"/>
  <c r="B2879" i="2" s="1"/>
  <c r="S338" i="1"/>
  <c r="B2878" i="2" s="1"/>
  <c r="R338" i="1"/>
  <c r="B2877" i="2" s="1"/>
  <c r="Q338" i="1"/>
  <c r="B2876" i="2" s="1"/>
  <c r="P338" i="1"/>
  <c r="B2875" i="2" s="1"/>
  <c r="O338" i="1"/>
  <c r="B2874" i="2" s="1"/>
  <c r="N338" i="1"/>
  <c r="B2873" i="2" s="1"/>
  <c r="M338" i="1"/>
  <c r="B2872" i="2" s="1"/>
  <c r="L338" i="1"/>
  <c r="B2871" i="2" s="1"/>
  <c r="T337" i="1"/>
  <c r="B2870" i="2" s="1"/>
  <c r="S337" i="1"/>
  <c r="B2869" i="2" s="1"/>
  <c r="R337" i="1"/>
  <c r="B2868" i="2" s="1"/>
  <c r="Q337" i="1"/>
  <c r="B2867" i="2" s="1"/>
  <c r="P337" i="1"/>
  <c r="B2866" i="2" s="1"/>
  <c r="O337" i="1"/>
  <c r="B2865" i="2" s="1"/>
  <c r="N337" i="1"/>
  <c r="B2864" i="2" s="1"/>
  <c r="M337" i="1"/>
  <c r="B2863" i="2" s="1"/>
  <c r="L337" i="1"/>
  <c r="B2862" i="2" s="1"/>
  <c r="T336" i="1"/>
  <c r="B2861" i="2" s="1"/>
  <c r="S336" i="1"/>
  <c r="B2860" i="2" s="1"/>
  <c r="R336" i="1"/>
  <c r="B2859" i="2" s="1"/>
  <c r="Q336" i="1"/>
  <c r="B2858" i="2" s="1"/>
  <c r="P336" i="1"/>
  <c r="B2857" i="2" s="1"/>
  <c r="O336" i="1"/>
  <c r="B2856" i="2" s="1"/>
  <c r="N336" i="1"/>
  <c r="B2855" i="2" s="1"/>
  <c r="M336" i="1"/>
  <c r="B2854" i="2" s="1"/>
  <c r="L336" i="1"/>
  <c r="B2853" i="2" s="1"/>
  <c r="T335" i="1"/>
  <c r="B2852" i="2" s="1"/>
  <c r="S335" i="1"/>
  <c r="B2851" i="2" s="1"/>
  <c r="R335" i="1"/>
  <c r="B2850" i="2" s="1"/>
  <c r="Q335" i="1"/>
  <c r="B2849" i="2" s="1"/>
  <c r="P335" i="1"/>
  <c r="B2848" i="2" s="1"/>
  <c r="O335" i="1"/>
  <c r="B2847" i="2" s="1"/>
  <c r="N335" i="1"/>
  <c r="B2846" i="2" s="1"/>
  <c r="M335" i="1"/>
  <c r="B2845" i="2" s="1"/>
  <c r="L335" i="1"/>
  <c r="B2844" i="2" s="1"/>
  <c r="T334" i="1"/>
  <c r="B2843" i="2" s="1"/>
  <c r="S334" i="1"/>
  <c r="B2842" i="2" s="1"/>
  <c r="R334" i="1"/>
  <c r="B2841" i="2" s="1"/>
  <c r="Q334" i="1"/>
  <c r="B2840" i="2" s="1"/>
  <c r="P334" i="1"/>
  <c r="B2839" i="2" s="1"/>
  <c r="O334" i="1"/>
  <c r="B2838" i="2" s="1"/>
  <c r="N334" i="1"/>
  <c r="B2837" i="2" s="1"/>
  <c r="M334" i="1"/>
  <c r="B2836" i="2" s="1"/>
  <c r="L334" i="1"/>
  <c r="B2835" i="2" s="1"/>
  <c r="T333" i="1"/>
  <c r="B2834" i="2" s="1"/>
  <c r="S333" i="1"/>
  <c r="B2833" i="2" s="1"/>
  <c r="R333" i="1"/>
  <c r="B2832" i="2" s="1"/>
  <c r="Q333" i="1"/>
  <c r="B2831" i="2" s="1"/>
  <c r="P333" i="1"/>
  <c r="B2830" i="2" s="1"/>
  <c r="O333" i="1"/>
  <c r="B2829" i="2" s="1"/>
  <c r="N333" i="1"/>
  <c r="B2828" i="2" s="1"/>
  <c r="M333" i="1"/>
  <c r="B2827" i="2" s="1"/>
  <c r="L333" i="1"/>
  <c r="B2826" i="2" s="1"/>
  <c r="T332" i="1"/>
  <c r="B2825" i="2" s="1"/>
  <c r="S332" i="1"/>
  <c r="B2824" i="2" s="1"/>
  <c r="R332" i="1"/>
  <c r="B2823" i="2" s="1"/>
  <c r="Q332" i="1"/>
  <c r="B2822" i="2" s="1"/>
  <c r="P332" i="1"/>
  <c r="B2821" i="2" s="1"/>
  <c r="O332" i="1"/>
  <c r="B2820" i="2" s="1"/>
  <c r="N332" i="1"/>
  <c r="B2819" i="2" s="1"/>
  <c r="M332" i="1"/>
  <c r="B2818" i="2" s="1"/>
  <c r="L332" i="1"/>
  <c r="B2817" i="2" s="1"/>
  <c r="T331" i="1"/>
  <c r="B2816" i="2" s="1"/>
  <c r="S331" i="1"/>
  <c r="B2815" i="2" s="1"/>
  <c r="R331" i="1"/>
  <c r="B2814" i="2" s="1"/>
  <c r="Q331" i="1"/>
  <c r="B2813" i="2" s="1"/>
  <c r="P331" i="1"/>
  <c r="B2812" i="2" s="1"/>
  <c r="O331" i="1"/>
  <c r="B2811" i="2" s="1"/>
  <c r="N331" i="1"/>
  <c r="B2810" i="2" s="1"/>
  <c r="M331" i="1"/>
  <c r="B2809" i="2" s="1"/>
  <c r="L331" i="1"/>
  <c r="B2808" i="2" s="1"/>
  <c r="T330" i="1"/>
  <c r="B2807" i="2" s="1"/>
  <c r="S330" i="1"/>
  <c r="B2806" i="2" s="1"/>
  <c r="R330" i="1"/>
  <c r="B2805" i="2" s="1"/>
  <c r="Q330" i="1"/>
  <c r="B2804" i="2" s="1"/>
  <c r="P330" i="1"/>
  <c r="B2803" i="2" s="1"/>
  <c r="O330" i="1"/>
  <c r="B2802" i="2" s="1"/>
  <c r="N330" i="1"/>
  <c r="B2801" i="2" s="1"/>
  <c r="M330" i="1"/>
  <c r="B2800" i="2" s="1"/>
  <c r="L330" i="1"/>
  <c r="B2799" i="2" s="1"/>
  <c r="U329" i="1"/>
  <c r="T329" i="1"/>
  <c r="B2798" i="2" s="1"/>
  <c r="S329" i="1"/>
  <c r="B2797" i="2" s="1"/>
  <c r="R329" i="1"/>
  <c r="B2796" i="2" s="1"/>
  <c r="Q329" i="1"/>
  <c r="B2795" i="2" s="1"/>
  <c r="P329" i="1"/>
  <c r="B2794" i="2" s="1"/>
  <c r="O329" i="1"/>
  <c r="B2793" i="2" s="1"/>
  <c r="N329" i="1"/>
  <c r="B2792" i="2" s="1"/>
  <c r="M329" i="1"/>
  <c r="B2791" i="2" s="1"/>
  <c r="L329" i="1"/>
  <c r="B2790" i="2" s="1"/>
  <c r="T328" i="1"/>
  <c r="B2789" i="2" s="1"/>
  <c r="S328" i="1"/>
  <c r="B2788" i="2" s="1"/>
  <c r="R328" i="1"/>
  <c r="B2787" i="2" s="1"/>
  <c r="Q328" i="1"/>
  <c r="B2786" i="2" s="1"/>
  <c r="P328" i="1"/>
  <c r="B2785" i="2" s="1"/>
  <c r="O328" i="1"/>
  <c r="B2784" i="2" s="1"/>
  <c r="N328" i="1"/>
  <c r="B2783" i="2" s="1"/>
  <c r="M328" i="1"/>
  <c r="B2782" i="2" s="1"/>
  <c r="L328" i="1"/>
  <c r="B2781" i="2" s="1"/>
  <c r="T327" i="1"/>
  <c r="B2780" i="2" s="1"/>
  <c r="S327" i="1"/>
  <c r="B2779" i="2" s="1"/>
  <c r="R327" i="1"/>
  <c r="B2778" i="2" s="1"/>
  <c r="Q327" i="1"/>
  <c r="B2777" i="2" s="1"/>
  <c r="P327" i="1"/>
  <c r="B2776" i="2" s="1"/>
  <c r="O327" i="1"/>
  <c r="B2775" i="2" s="1"/>
  <c r="N327" i="1"/>
  <c r="B2774" i="2" s="1"/>
  <c r="M327" i="1"/>
  <c r="B2773" i="2" s="1"/>
  <c r="L327" i="1"/>
  <c r="B2772" i="2" s="1"/>
  <c r="K327" i="1"/>
  <c r="T326" i="1"/>
  <c r="B2771" i="2" s="1"/>
  <c r="S326" i="1"/>
  <c r="B2770" i="2" s="1"/>
  <c r="R326" i="1"/>
  <c r="B2769" i="2" s="1"/>
  <c r="Q326" i="1"/>
  <c r="B2768" i="2" s="1"/>
  <c r="P326" i="1"/>
  <c r="B2767" i="2" s="1"/>
  <c r="O326" i="1"/>
  <c r="B2766" i="2" s="1"/>
  <c r="N326" i="1"/>
  <c r="B2765" i="2" s="1"/>
  <c r="M326" i="1"/>
  <c r="B2764" i="2" s="1"/>
  <c r="L326" i="1"/>
  <c r="B2763" i="2" s="1"/>
  <c r="T325" i="1"/>
  <c r="B2762" i="2" s="1"/>
  <c r="S325" i="1"/>
  <c r="B2761" i="2" s="1"/>
  <c r="R325" i="1"/>
  <c r="B2760" i="2" s="1"/>
  <c r="Q325" i="1"/>
  <c r="B2759" i="2" s="1"/>
  <c r="P325" i="1"/>
  <c r="B2758" i="2" s="1"/>
  <c r="O325" i="1"/>
  <c r="B2757" i="2" s="1"/>
  <c r="N325" i="1"/>
  <c r="B2756" i="2" s="1"/>
  <c r="M325" i="1"/>
  <c r="B2755" i="2" s="1"/>
  <c r="L325" i="1"/>
  <c r="B2754" i="2" s="1"/>
  <c r="T324" i="1"/>
  <c r="B2753" i="2" s="1"/>
  <c r="S324" i="1"/>
  <c r="B2752" i="2" s="1"/>
  <c r="R324" i="1"/>
  <c r="B2751" i="2" s="1"/>
  <c r="Q324" i="1"/>
  <c r="B2750" i="2" s="1"/>
  <c r="P324" i="1"/>
  <c r="B2749" i="2" s="1"/>
  <c r="O324" i="1"/>
  <c r="B2748" i="2" s="1"/>
  <c r="N324" i="1"/>
  <c r="B2747" i="2" s="1"/>
  <c r="M324" i="1"/>
  <c r="B2746" i="2" s="1"/>
  <c r="L324" i="1"/>
  <c r="B2745" i="2" s="1"/>
  <c r="T323" i="1"/>
  <c r="B2744" i="2" s="1"/>
  <c r="S323" i="1"/>
  <c r="B2743" i="2" s="1"/>
  <c r="R323" i="1"/>
  <c r="B2742" i="2" s="1"/>
  <c r="Q323" i="1"/>
  <c r="B2741" i="2" s="1"/>
  <c r="P323" i="1"/>
  <c r="B2740" i="2" s="1"/>
  <c r="O323" i="1"/>
  <c r="B2739" i="2" s="1"/>
  <c r="N323" i="1"/>
  <c r="B2738" i="2" s="1"/>
  <c r="M323" i="1"/>
  <c r="B2737" i="2" s="1"/>
  <c r="L323" i="1"/>
  <c r="B2736" i="2" s="1"/>
  <c r="K323" i="1"/>
  <c r="T322" i="1"/>
  <c r="B2735" i="2" s="1"/>
  <c r="S322" i="1"/>
  <c r="B2734" i="2" s="1"/>
  <c r="R322" i="1"/>
  <c r="B2733" i="2" s="1"/>
  <c r="Q322" i="1"/>
  <c r="B2732" i="2" s="1"/>
  <c r="P322" i="1"/>
  <c r="B2731" i="2" s="1"/>
  <c r="O322" i="1"/>
  <c r="B2730" i="2" s="1"/>
  <c r="N322" i="1"/>
  <c r="B2729" i="2" s="1"/>
  <c r="M322" i="1"/>
  <c r="B2728" i="2" s="1"/>
  <c r="L322" i="1"/>
  <c r="B2727" i="2" s="1"/>
  <c r="T321" i="1"/>
  <c r="B2726" i="2" s="1"/>
  <c r="S321" i="1"/>
  <c r="B2725" i="2" s="1"/>
  <c r="R321" i="1"/>
  <c r="B2724" i="2" s="1"/>
  <c r="Q321" i="1"/>
  <c r="B2723" i="2" s="1"/>
  <c r="P321" i="1"/>
  <c r="B2722" i="2" s="1"/>
  <c r="O321" i="1"/>
  <c r="B2721" i="2" s="1"/>
  <c r="N321" i="1"/>
  <c r="B2720" i="2" s="1"/>
  <c r="M321" i="1"/>
  <c r="B2719" i="2" s="1"/>
  <c r="L321" i="1"/>
  <c r="B2718" i="2" s="1"/>
  <c r="T320" i="1"/>
  <c r="B2717" i="2" s="1"/>
  <c r="S320" i="1"/>
  <c r="B2716" i="2" s="1"/>
  <c r="R320" i="1"/>
  <c r="B2715" i="2" s="1"/>
  <c r="Q320" i="1"/>
  <c r="B2714" i="2" s="1"/>
  <c r="P320" i="1"/>
  <c r="B2713" i="2" s="1"/>
  <c r="O320" i="1"/>
  <c r="B2712" i="2" s="1"/>
  <c r="N320" i="1"/>
  <c r="B2711" i="2" s="1"/>
  <c r="M320" i="1"/>
  <c r="B2710" i="2" s="1"/>
  <c r="L320" i="1"/>
  <c r="B2709" i="2" s="1"/>
  <c r="T319" i="1"/>
  <c r="B2708" i="2" s="1"/>
  <c r="S319" i="1"/>
  <c r="B2707" i="2" s="1"/>
  <c r="R319" i="1"/>
  <c r="B2706" i="2" s="1"/>
  <c r="Q319" i="1"/>
  <c r="B2705" i="2" s="1"/>
  <c r="P319" i="1"/>
  <c r="B2704" i="2" s="1"/>
  <c r="O319" i="1"/>
  <c r="B2703" i="2" s="1"/>
  <c r="N319" i="1"/>
  <c r="B2702" i="2" s="1"/>
  <c r="M319" i="1"/>
  <c r="B2701" i="2" s="1"/>
  <c r="L319" i="1"/>
  <c r="B2700" i="2" s="1"/>
  <c r="T318" i="1"/>
  <c r="B2699" i="2" s="1"/>
  <c r="S318" i="1"/>
  <c r="B2698" i="2" s="1"/>
  <c r="R318" i="1"/>
  <c r="B2697" i="2" s="1"/>
  <c r="Q318" i="1"/>
  <c r="B2696" i="2" s="1"/>
  <c r="P318" i="1"/>
  <c r="B2695" i="2" s="1"/>
  <c r="O318" i="1"/>
  <c r="B2694" i="2" s="1"/>
  <c r="N318" i="1"/>
  <c r="B2693" i="2" s="1"/>
  <c r="M318" i="1"/>
  <c r="B2692" i="2" s="1"/>
  <c r="L318" i="1"/>
  <c r="B2691" i="2" s="1"/>
  <c r="T317" i="1"/>
  <c r="B2690" i="2" s="1"/>
  <c r="S317" i="1"/>
  <c r="B2689" i="2" s="1"/>
  <c r="R317" i="1"/>
  <c r="B2688" i="2" s="1"/>
  <c r="Q317" i="1"/>
  <c r="B2687" i="2" s="1"/>
  <c r="P317" i="1"/>
  <c r="B2686" i="2" s="1"/>
  <c r="O317" i="1"/>
  <c r="B2685" i="2" s="1"/>
  <c r="N317" i="1"/>
  <c r="B2684" i="2" s="1"/>
  <c r="M317" i="1"/>
  <c r="B2683" i="2" s="1"/>
  <c r="L317" i="1"/>
  <c r="B2682" i="2" s="1"/>
  <c r="T316" i="1"/>
  <c r="B2681" i="2" s="1"/>
  <c r="S316" i="1"/>
  <c r="B2680" i="2" s="1"/>
  <c r="R316" i="1"/>
  <c r="B2679" i="2" s="1"/>
  <c r="Q316" i="1"/>
  <c r="B2678" i="2" s="1"/>
  <c r="P316" i="1"/>
  <c r="B2677" i="2" s="1"/>
  <c r="O316" i="1"/>
  <c r="B2676" i="2" s="1"/>
  <c r="N316" i="1"/>
  <c r="B2675" i="2" s="1"/>
  <c r="M316" i="1"/>
  <c r="B2674" i="2" s="1"/>
  <c r="L316" i="1"/>
  <c r="B2673" i="2" s="1"/>
  <c r="T315" i="1"/>
  <c r="B2672" i="2" s="1"/>
  <c r="S315" i="1"/>
  <c r="B2671" i="2" s="1"/>
  <c r="R315" i="1"/>
  <c r="B2670" i="2" s="1"/>
  <c r="Q315" i="1"/>
  <c r="B2669" i="2" s="1"/>
  <c r="P315" i="1"/>
  <c r="B2668" i="2" s="1"/>
  <c r="O315" i="1"/>
  <c r="B2667" i="2" s="1"/>
  <c r="N315" i="1"/>
  <c r="B2666" i="2" s="1"/>
  <c r="M315" i="1"/>
  <c r="B2665" i="2" s="1"/>
  <c r="L315" i="1"/>
  <c r="B2664" i="2" s="1"/>
  <c r="T314" i="1"/>
  <c r="B2663" i="2" s="1"/>
  <c r="S314" i="1"/>
  <c r="B2662" i="2" s="1"/>
  <c r="R314" i="1"/>
  <c r="B2661" i="2" s="1"/>
  <c r="Q314" i="1"/>
  <c r="B2660" i="2" s="1"/>
  <c r="P314" i="1"/>
  <c r="B2659" i="2" s="1"/>
  <c r="O314" i="1"/>
  <c r="B2658" i="2" s="1"/>
  <c r="N314" i="1"/>
  <c r="B2657" i="2" s="1"/>
  <c r="M314" i="1"/>
  <c r="B2656" i="2" s="1"/>
  <c r="L314" i="1"/>
  <c r="B2655" i="2" s="1"/>
  <c r="U313" i="1"/>
  <c r="T313" i="1"/>
  <c r="B2654" i="2" s="1"/>
  <c r="S313" i="1"/>
  <c r="B2653" i="2" s="1"/>
  <c r="R313" i="1"/>
  <c r="B2652" i="2" s="1"/>
  <c r="Q313" i="1"/>
  <c r="B2651" i="2" s="1"/>
  <c r="P313" i="1"/>
  <c r="B2650" i="2" s="1"/>
  <c r="O313" i="1"/>
  <c r="B2649" i="2" s="1"/>
  <c r="N313" i="1"/>
  <c r="B2648" i="2" s="1"/>
  <c r="M313" i="1"/>
  <c r="B2647" i="2" s="1"/>
  <c r="L313" i="1"/>
  <c r="B2646" i="2" s="1"/>
  <c r="T312" i="1"/>
  <c r="B2645" i="2" s="1"/>
  <c r="S312" i="1"/>
  <c r="B2644" i="2" s="1"/>
  <c r="R312" i="1"/>
  <c r="B2643" i="2" s="1"/>
  <c r="Q312" i="1"/>
  <c r="B2642" i="2" s="1"/>
  <c r="P312" i="1"/>
  <c r="B2641" i="2" s="1"/>
  <c r="O312" i="1"/>
  <c r="B2640" i="2" s="1"/>
  <c r="N312" i="1"/>
  <c r="B2639" i="2" s="1"/>
  <c r="M312" i="1"/>
  <c r="B2638" i="2" s="1"/>
  <c r="L312" i="1"/>
  <c r="B2637" i="2" s="1"/>
  <c r="T311" i="1"/>
  <c r="B2636" i="2" s="1"/>
  <c r="S311" i="1"/>
  <c r="B2635" i="2" s="1"/>
  <c r="R311" i="1"/>
  <c r="B2634" i="2" s="1"/>
  <c r="Q311" i="1"/>
  <c r="B2633" i="2" s="1"/>
  <c r="P311" i="1"/>
  <c r="B2632" i="2" s="1"/>
  <c r="O311" i="1"/>
  <c r="B2631" i="2" s="1"/>
  <c r="N311" i="1"/>
  <c r="B2630" i="2" s="1"/>
  <c r="M311" i="1"/>
  <c r="B2629" i="2" s="1"/>
  <c r="L311" i="1"/>
  <c r="B2628" i="2" s="1"/>
  <c r="K311" i="1"/>
  <c r="T310" i="1"/>
  <c r="B2627" i="2" s="1"/>
  <c r="S310" i="1"/>
  <c r="B2626" i="2" s="1"/>
  <c r="R310" i="1"/>
  <c r="B2625" i="2" s="1"/>
  <c r="Q310" i="1"/>
  <c r="B2624" i="2" s="1"/>
  <c r="P310" i="1"/>
  <c r="B2623" i="2" s="1"/>
  <c r="O310" i="1"/>
  <c r="B2622" i="2" s="1"/>
  <c r="N310" i="1"/>
  <c r="B2621" i="2" s="1"/>
  <c r="M310" i="1"/>
  <c r="B2620" i="2" s="1"/>
  <c r="L310" i="1"/>
  <c r="B2619" i="2" s="1"/>
  <c r="T309" i="1"/>
  <c r="B2618" i="2" s="1"/>
  <c r="S309" i="1"/>
  <c r="B2617" i="2" s="1"/>
  <c r="R309" i="1"/>
  <c r="B2616" i="2" s="1"/>
  <c r="Q309" i="1"/>
  <c r="B2615" i="2" s="1"/>
  <c r="P309" i="1"/>
  <c r="B2614" i="2" s="1"/>
  <c r="O309" i="1"/>
  <c r="B2613" i="2" s="1"/>
  <c r="N309" i="1"/>
  <c r="B2612" i="2" s="1"/>
  <c r="M309" i="1"/>
  <c r="B2611" i="2" s="1"/>
  <c r="L309" i="1"/>
  <c r="B2610" i="2" s="1"/>
  <c r="T308" i="1"/>
  <c r="B2609" i="2" s="1"/>
  <c r="S308" i="1"/>
  <c r="B2608" i="2" s="1"/>
  <c r="R308" i="1"/>
  <c r="B2607" i="2" s="1"/>
  <c r="Q308" i="1"/>
  <c r="B2606" i="2" s="1"/>
  <c r="P308" i="1"/>
  <c r="B2605" i="2" s="1"/>
  <c r="O308" i="1"/>
  <c r="B2604" i="2" s="1"/>
  <c r="N308" i="1"/>
  <c r="B2603" i="2" s="1"/>
  <c r="M308" i="1"/>
  <c r="B2602" i="2" s="1"/>
  <c r="L308" i="1"/>
  <c r="B2601" i="2" s="1"/>
  <c r="T307" i="1"/>
  <c r="B2600" i="2" s="1"/>
  <c r="S307" i="1"/>
  <c r="B2599" i="2" s="1"/>
  <c r="R307" i="1"/>
  <c r="B2598" i="2" s="1"/>
  <c r="Q307" i="1"/>
  <c r="B2597" i="2" s="1"/>
  <c r="P307" i="1"/>
  <c r="B2596" i="2" s="1"/>
  <c r="O307" i="1"/>
  <c r="B2595" i="2" s="1"/>
  <c r="N307" i="1"/>
  <c r="B2594" i="2" s="1"/>
  <c r="M307" i="1"/>
  <c r="B2593" i="2" s="1"/>
  <c r="L307" i="1"/>
  <c r="B2592" i="2" s="1"/>
  <c r="K307" i="1"/>
  <c r="T306" i="1"/>
  <c r="B2591" i="2" s="1"/>
  <c r="S306" i="1"/>
  <c r="B2590" i="2" s="1"/>
  <c r="R306" i="1"/>
  <c r="B2589" i="2" s="1"/>
  <c r="Q306" i="1"/>
  <c r="B2588" i="2" s="1"/>
  <c r="P306" i="1"/>
  <c r="B2587" i="2" s="1"/>
  <c r="O306" i="1"/>
  <c r="B2586" i="2" s="1"/>
  <c r="N306" i="1"/>
  <c r="B2585" i="2" s="1"/>
  <c r="M306" i="1"/>
  <c r="B2584" i="2" s="1"/>
  <c r="L306" i="1"/>
  <c r="B2583" i="2" s="1"/>
  <c r="T305" i="1"/>
  <c r="B2582" i="2" s="1"/>
  <c r="S305" i="1"/>
  <c r="B2581" i="2" s="1"/>
  <c r="R305" i="1"/>
  <c r="B2580" i="2" s="1"/>
  <c r="Q305" i="1"/>
  <c r="B2579" i="2" s="1"/>
  <c r="P305" i="1"/>
  <c r="B2578" i="2" s="1"/>
  <c r="O305" i="1"/>
  <c r="B2577" i="2" s="1"/>
  <c r="N305" i="1"/>
  <c r="B2576" i="2" s="1"/>
  <c r="M305" i="1"/>
  <c r="B2575" i="2" s="1"/>
  <c r="L305" i="1"/>
  <c r="B2574" i="2" s="1"/>
  <c r="T304" i="1"/>
  <c r="B2573" i="2" s="1"/>
  <c r="S304" i="1"/>
  <c r="B2572" i="2" s="1"/>
  <c r="R304" i="1"/>
  <c r="B2571" i="2" s="1"/>
  <c r="Q304" i="1"/>
  <c r="B2570" i="2" s="1"/>
  <c r="P304" i="1"/>
  <c r="B2569" i="2" s="1"/>
  <c r="O304" i="1"/>
  <c r="B2568" i="2" s="1"/>
  <c r="N304" i="1"/>
  <c r="B2567" i="2" s="1"/>
  <c r="M304" i="1"/>
  <c r="B2566" i="2" s="1"/>
  <c r="L304" i="1"/>
  <c r="B2565" i="2" s="1"/>
  <c r="T303" i="1"/>
  <c r="B2564" i="2" s="1"/>
  <c r="S303" i="1"/>
  <c r="B2563" i="2" s="1"/>
  <c r="R303" i="1"/>
  <c r="B2562" i="2" s="1"/>
  <c r="Q303" i="1"/>
  <c r="B2561" i="2" s="1"/>
  <c r="P303" i="1"/>
  <c r="B2560" i="2" s="1"/>
  <c r="O303" i="1"/>
  <c r="B2559" i="2" s="1"/>
  <c r="N303" i="1"/>
  <c r="B2558" i="2" s="1"/>
  <c r="M303" i="1"/>
  <c r="B2557" i="2" s="1"/>
  <c r="L303" i="1"/>
  <c r="B2556" i="2" s="1"/>
  <c r="T302" i="1"/>
  <c r="B2555" i="2" s="1"/>
  <c r="S302" i="1"/>
  <c r="B2554" i="2" s="1"/>
  <c r="R302" i="1"/>
  <c r="B2553" i="2" s="1"/>
  <c r="Q302" i="1"/>
  <c r="B2552" i="2" s="1"/>
  <c r="P302" i="1"/>
  <c r="B2551" i="2" s="1"/>
  <c r="O302" i="1"/>
  <c r="B2550" i="2" s="1"/>
  <c r="N302" i="1"/>
  <c r="B2549" i="2" s="1"/>
  <c r="M302" i="1"/>
  <c r="B2548" i="2" s="1"/>
  <c r="L302" i="1"/>
  <c r="B2547" i="2" s="1"/>
  <c r="T301" i="1"/>
  <c r="B2546" i="2" s="1"/>
  <c r="S301" i="1"/>
  <c r="B2545" i="2" s="1"/>
  <c r="R301" i="1"/>
  <c r="B2544" i="2" s="1"/>
  <c r="Q301" i="1"/>
  <c r="B2543" i="2" s="1"/>
  <c r="P301" i="1"/>
  <c r="B2542" i="2" s="1"/>
  <c r="O301" i="1"/>
  <c r="B2541" i="2" s="1"/>
  <c r="N301" i="1"/>
  <c r="B2540" i="2" s="1"/>
  <c r="M301" i="1"/>
  <c r="B2539" i="2" s="1"/>
  <c r="L301" i="1"/>
  <c r="B2538" i="2" s="1"/>
  <c r="T300" i="1"/>
  <c r="B2537" i="2" s="1"/>
  <c r="S300" i="1"/>
  <c r="B2536" i="2" s="1"/>
  <c r="R300" i="1"/>
  <c r="B2535" i="2" s="1"/>
  <c r="Q300" i="1"/>
  <c r="B2534" i="2" s="1"/>
  <c r="P300" i="1"/>
  <c r="B2533" i="2" s="1"/>
  <c r="O300" i="1"/>
  <c r="B2532" i="2" s="1"/>
  <c r="N300" i="1"/>
  <c r="B2531" i="2" s="1"/>
  <c r="M300" i="1"/>
  <c r="B2530" i="2" s="1"/>
  <c r="L300" i="1"/>
  <c r="B2529" i="2" s="1"/>
  <c r="T299" i="1"/>
  <c r="B2528" i="2" s="1"/>
  <c r="S299" i="1"/>
  <c r="B2527" i="2" s="1"/>
  <c r="R299" i="1"/>
  <c r="B2526" i="2" s="1"/>
  <c r="Q299" i="1"/>
  <c r="B2525" i="2" s="1"/>
  <c r="P299" i="1"/>
  <c r="B2524" i="2" s="1"/>
  <c r="O299" i="1"/>
  <c r="B2523" i="2" s="1"/>
  <c r="N299" i="1"/>
  <c r="B2522" i="2" s="1"/>
  <c r="M299" i="1"/>
  <c r="B2521" i="2" s="1"/>
  <c r="L299" i="1"/>
  <c r="B2520" i="2" s="1"/>
  <c r="T298" i="1"/>
  <c r="B2519" i="2" s="1"/>
  <c r="S298" i="1"/>
  <c r="B2518" i="2" s="1"/>
  <c r="R298" i="1"/>
  <c r="B2517" i="2" s="1"/>
  <c r="Q298" i="1"/>
  <c r="B2516" i="2" s="1"/>
  <c r="P298" i="1"/>
  <c r="B2515" i="2" s="1"/>
  <c r="O298" i="1"/>
  <c r="B2514" i="2" s="1"/>
  <c r="N298" i="1"/>
  <c r="B2513" i="2" s="1"/>
  <c r="M298" i="1"/>
  <c r="B2512" i="2" s="1"/>
  <c r="L298" i="1"/>
  <c r="B2511" i="2" s="1"/>
  <c r="U297" i="1"/>
  <c r="T297" i="1"/>
  <c r="B2510" i="2" s="1"/>
  <c r="S297" i="1"/>
  <c r="B2509" i="2" s="1"/>
  <c r="R297" i="1"/>
  <c r="B2508" i="2" s="1"/>
  <c r="Q297" i="1"/>
  <c r="B2507" i="2" s="1"/>
  <c r="P297" i="1"/>
  <c r="B2506" i="2" s="1"/>
  <c r="O297" i="1"/>
  <c r="B2505" i="2" s="1"/>
  <c r="N297" i="1"/>
  <c r="B2504" i="2" s="1"/>
  <c r="M297" i="1"/>
  <c r="B2503" i="2" s="1"/>
  <c r="L297" i="1"/>
  <c r="B2502" i="2" s="1"/>
  <c r="T296" i="1"/>
  <c r="B2501" i="2" s="1"/>
  <c r="S296" i="1"/>
  <c r="B2500" i="2" s="1"/>
  <c r="R296" i="1"/>
  <c r="B2499" i="2" s="1"/>
  <c r="Q296" i="1"/>
  <c r="B2498" i="2" s="1"/>
  <c r="P296" i="1"/>
  <c r="B2497" i="2" s="1"/>
  <c r="O296" i="1"/>
  <c r="B2496" i="2" s="1"/>
  <c r="N296" i="1"/>
  <c r="B2495" i="2" s="1"/>
  <c r="M296" i="1"/>
  <c r="B2494" i="2" s="1"/>
  <c r="L296" i="1"/>
  <c r="B2493" i="2" s="1"/>
  <c r="T295" i="1"/>
  <c r="B2492" i="2" s="1"/>
  <c r="S295" i="1"/>
  <c r="B2491" i="2" s="1"/>
  <c r="R295" i="1"/>
  <c r="B2490" i="2" s="1"/>
  <c r="Q295" i="1"/>
  <c r="B2489" i="2" s="1"/>
  <c r="P295" i="1"/>
  <c r="B2488" i="2" s="1"/>
  <c r="O295" i="1"/>
  <c r="B2487" i="2" s="1"/>
  <c r="N295" i="1"/>
  <c r="B2486" i="2" s="1"/>
  <c r="M295" i="1"/>
  <c r="B2485" i="2" s="1"/>
  <c r="L295" i="1"/>
  <c r="B2484" i="2" s="1"/>
  <c r="K295" i="1"/>
  <c r="T294" i="1"/>
  <c r="B2483" i="2" s="1"/>
  <c r="S294" i="1"/>
  <c r="B2482" i="2" s="1"/>
  <c r="R294" i="1"/>
  <c r="B2481" i="2" s="1"/>
  <c r="Q294" i="1"/>
  <c r="B2480" i="2" s="1"/>
  <c r="P294" i="1"/>
  <c r="B2479" i="2" s="1"/>
  <c r="O294" i="1"/>
  <c r="B2478" i="2" s="1"/>
  <c r="N294" i="1"/>
  <c r="B2477" i="2" s="1"/>
  <c r="M294" i="1"/>
  <c r="B2476" i="2" s="1"/>
  <c r="L294" i="1"/>
  <c r="B2475" i="2" s="1"/>
  <c r="T293" i="1"/>
  <c r="B2474" i="2" s="1"/>
  <c r="S293" i="1"/>
  <c r="B2473" i="2" s="1"/>
  <c r="R293" i="1"/>
  <c r="B2472" i="2" s="1"/>
  <c r="Q293" i="1"/>
  <c r="B2471" i="2" s="1"/>
  <c r="P293" i="1"/>
  <c r="B2470" i="2" s="1"/>
  <c r="O293" i="1"/>
  <c r="B2469" i="2" s="1"/>
  <c r="N293" i="1"/>
  <c r="B2468" i="2" s="1"/>
  <c r="M293" i="1"/>
  <c r="B2467" i="2" s="1"/>
  <c r="L293" i="1"/>
  <c r="B2466" i="2" s="1"/>
  <c r="T292" i="1"/>
  <c r="B2465" i="2" s="1"/>
  <c r="S292" i="1"/>
  <c r="B2464" i="2" s="1"/>
  <c r="R292" i="1"/>
  <c r="B2463" i="2" s="1"/>
  <c r="Q292" i="1"/>
  <c r="B2462" i="2" s="1"/>
  <c r="P292" i="1"/>
  <c r="B2461" i="2" s="1"/>
  <c r="O292" i="1"/>
  <c r="B2460" i="2" s="1"/>
  <c r="N292" i="1"/>
  <c r="B2459" i="2" s="1"/>
  <c r="M292" i="1"/>
  <c r="B2458" i="2" s="1"/>
  <c r="L292" i="1"/>
  <c r="B2457" i="2" s="1"/>
  <c r="T291" i="1"/>
  <c r="B2456" i="2" s="1"/>
  <c r="S291" i="1"/>
  <c r="B2455" i="2" s="1"/>
  <c r="R291" i="1"/>
  <c r="B2454" i="2" s="1"/>
  <c r="Q291" i="1"/>
  <c r="B2453" i="2" s="1"/>
  <c r="P291" i="1"/>
  <c r="B2452" i="2" s="1"/>
  <c r="O291" i="1"/>
  <c r="B2451" i="2" s="1"/>
  <c r="N291" i="1"/>
  <c r="B2450" i="2" s="1"/>
  <c r="M291" i="1"/>
  <c r="B2449" i="2" s="1"/>
  <c r="L291" i="1"/>
  <c r="B2448" i="2" s="1"/>
  <c r="K291" i="1"/>
  <c r="T290" i="1"/>
  <c r="B2447" i="2" s="1"/>
  <c r="S290" i="1"/>
  <c r="B2446" i="2" s="1"/>
  <c r="R290" i="1"/>
  <c r="B2445" i="2" s="1"/>
  <c r="Q290" i="1"/>
  <c r="B2444" i="2" s="1"/>
  <c r="P290" i="1"/>
  <c r="B2443" i="2" s="1"/>
  <c r="O290" i="1"/>
  <c r="B2442" i="2" s="1"/>
  <c r="N290" i="1"/>
  <c r="B2441" i="2" s="1"/>
  <c r="M290" i="1"/>
  <c r="B2440" i="2" s="1"/>
  <c r="L290" i="1"/>
  <c r="B2439" i="2" s="1"/>
  <c r="T289" i="1"/>
  <c r="B2438" i="2" s="1"/>
  <c r="S289" i="1"/>
  <c r="B2437" i="2" s="1"/>
  <c r="R289" i="1"/>
  <c r="B2436" i="2" s="1"/>
  <c r="Q289" i="1"/>
  <c r="B2435" i="2" s="1"/>
  <c r="P289" i="1"/>
  <c r="B2434" i="2" s="1"/>
  <c r="O289" i="1"/>
  <c r="B2433" i="2" s="1"/>
  <c r="N289" i="1"/>
  <c r="B2432" i="2" s="1"/>
  <c r="M289" i="1"/>
  <c r="B2431" i="2" s="1"/>
  <c r="L289" i="1"/>
  <c r="B2430" i="2" s="1"/>
  <c r="T288" i="1"/>
  <c r="B2429" i="2" s="1"/>
  <c r="S288" i="1"/>
  <c r="B2428" i="2" s="1"/>
  <c r="R288" i="1"/>
  <c r="B2427" i="2" s="1"/>
  <c r="Q288" i="1"/>
  <c r="B2426" i="2" s="1"/>
  <c r="P288" i="1"/>
  <c r="B2425" i="2" s="1"/>
  <c r="O288" i="1"/>
  <c r="B2424" i="2" s="1"/>
  <c r="N288" i="1"/>
  <c r="B2423" i="2" s="1"/>
  <c r="M288" i="1"/>
  <c r="B2422" i="2" s="1"/>
  <c r="L288" i="1"/>
  <c r="B2421" i="2" s="1"/>
  <c r="T287" i="1"/>
  <c r="B2420" i="2" s="1"/>
  <c r="S287" i="1"/>
  <c r="B2419" i="2" s="1"/>
  <c r="R287" i="1"/>
  <c r="B2418" i="2" s="1"/>
  <c r="Q287" i="1"/>
  <c r="B2417" i="2" s="1"/>
  <c r="P287" i="1"/>
  <c r="B2416" i="2" s="1"/>
  <c r="O287" i="1"/>
  <c r="B2415" i="2" s="1"/>
  <c r="N287" i="1"/>
  <c r="B2414" i="2" s="1"/>
  <c r="M287" i="1"/>
  <c r="B2413" i="2" s="1"/>
  <c r="L287" i="1"/>
  <c r="B2412" i="2" s="1"/>
  <c r="T286" i="1"/>
  <c r="B2411" i="2" s="1"/>
  <c r="S286" i="1"/>
  <c r="B2410" i="2" s="1"/>
  <c r="R286" i="1"/>
  <c r="B2409" i="2" s="1"/>
  <c r="Q286" i="1"/>
  <c r="B2408" i="2" s="1"/>
  <c r="P286" i="1"/>
  <c r="B2407" i="2" s="1"/>
  <c r="O286" i="1"/>
  <c r="B2406" i="2" s="1"/>
  <c r="N286" i="1"/>
  <c r="B2405" i="2" s="1"/>
  <c r="M286" i="1"/>
  <c r="B2404" i="2" s="1"/>
  <c r="L286" i="1"/>
  <c r="B2403" i="2" s="1"/>
  <c r="T285" i="1"/>
  <c r="B2402" i="2" s="1"/>
  <c r="S285" i="1"/>
  <c r="B2401" i="2" s="1"/>
  <c r="R285" i="1"/>
  <c r="B2400" i="2" s="1"/>
  <c r="Q285" i="1"/>
  <c r="B2399" i="2" s="1"/>
  <c r="P285" i="1"/>
  <c r="B2398" i="2" s="1"/>
  <c r="O285" i="1"/>
  <c r="B2397" i="2" s="1"/>
  <c r="N285" i="1"/>
  <c r="B2396" i="2" s="1"/>
  <c r="M285" i="1"/>
  <c r="B2395" i="2" s="1"/>
  <c r="L285" i="1"/>
  <c r="B2394" i="2" s="1"/>
  <c r="T284" i="1"/>
  <c r="B2393" i="2" s="1"/>
  <c r="S284" i="1"/>
  <c r="B2392" i="2" s="1"/>
  <c r="R284" i="1"/>
  <c r="B2391" i="2" s="1"/>
  <c r="Q284" i="1"/>
  <c r="B2390" i="2" s="1"/>
  <c r="P284" i="1"/>
  <c r="B2389" i="2" s="1"/>
  <c r="O284" i="1"/>
  <c r="B2388" i="2" s="1"/>
  <c r="N284" i="1"/>
  <c r="B2387" i="2" s="1"/>
  <c r="M284" i="1"/>
  <c r="B2386" i="2" s="1"/>
  <c r="L284" i="1"/>
  <c r="B2385" i="2" s="1"/>
  <c r="T283" i="1"/>
  <c r="B2384" i="2" s="1"/>
  <c r="S283" i="1"/>
  <c r="B2383" i="2" s="1"/>
  <c r="R283" i="1"/>
  <c r="B2382" i="2" s="1"/>
  <c r="Q283" i="1"/>
  <c r="B2381" i="2" s="1"/>
  <c r="P283" i="1"/>
  <c r="B2380" i="2" s="1"/>
  <c r="O283" i="1"/>
  <c r="B2379" i="2" s="1"/>
  <c r="N283" i="1"/>
  <c r="B2378" i="2" s="1"/>
  <c r="M283" i="1"/>
  <c r="B2377" i="2" s="1"/>
  <c r="L283" i="1"/>
  <c r="B2376" i="2" s="1"/>
  <c r="T282" i="1"/>
  <c r="B2375" i="2" s="1"/>
  <c r="S282" i="1"/>
  <c r="B2374" i="2" s="1"/>
  <c r="R282" i="1"/>
  <c r="B2373" i="2" s="1"/>
  <c r="Q282" i="1"/>
  <c r="B2372" i="2" s="1"/>
  <c r="P282" i="1"/>
  <c r="B2371" i="2" s="1"/>
  <c r="O282" i="1"/>
  <c r="B2370" i="2" s="1"/>
  <c r="N282" i="1"/>
  <c r="B2369" i="2" s="1"/>
  <c r="M282" i="1"/>
  <c r="B2368" i="2" s="1"/>
  <c r="L282" i="1"/>
  <c r="B2367" i="2" s="1"/>
  <c r="U281" i="1"/>
  <c r="T281" i="1"/>
  <c r="B2366" i="2" s="1"/>
  <c r="S281" i="1"/>
  <c r="B2365" i="2" s="1"/>
  <c r="R281" i="1"/>
  <c r="B2364" i="2" s="1"/>
  <c r="Q281" i="1"/>
  <c r="B2363" i="2" s="1"/>
  <c r="P281" i="1"/>
  <c r="B2362" i="2" s="1"/>
  <c r="O281" i="1"/>
  <c r="B2361" i="2" s="1"/>
  <c r="N281" i="1"/>
  <c r="B2360" i="2" s="1"/>
  <c r="M281" i="1"/>
  <c r="B2359" i="2" s="1"/>
  <c r="L281" i="1"/>
  <c r="B2358" i="2" s="1"/>
  <c r="T280" i="1"/>
  <c r="B2357" i="2" s="1"/>
  <c r="S280" i="1"/>
  <c r="B2356" i="2" s="1"/>
  <c r="R280" i="1"/>
  <c r="B2355" i="2" s="1"/>
  <c r="Q280" i="1"/>
  <c r="B2354" i="2" s="1"/>
  <c r="P280" i="1"/>
  <c r="B2353" i="2" s="1"/>
  <c r="O280" i="1"/>
  <c r="B2352" i="2" s="1"/>
  <c r="N280" i="1"/>
  <c r="B2351" i="2" s="1"/>
  <c r="M280" i="1"/>
  <c r="B2350" i="2" s="1"/>
  <c r="L280" i="1"/>
  <c r="B2349" i="2" s="1"/>
  <c r="T279" i="1"/>
  <c r="B2348" i="2" s="1"/>
  <c r="S279" i="1"/>
  <c r="B2347" i="2" s="1"/>
  <c r="R279" i="1"/>
  <c r="B2346" i="2" s="1"/>
  <c r="Q279" i="1"/>
  <c r="B2345" i="2" s="1"/>
  <c r="P279" i="1"/>
  <c r="B2344" i="2" s="1"/>
  <c r="O279" i="1"/>
  <c r="B2343" i="2" s="1"/>
  <c r="N279" i="1"/>
  <c r="B2342" i="2" s="1"/>
  <c r="M279" i="1"/>
  <c r="B2341" i="2" s="1"/>
  <c r="L279" i="1"/>
  <c r="B2340" i="2" s="1"/>
  <c r="K279" i="1"/>
  <c r="T278" i="1"/>
  <c r="B2339" i="2" s="1"/>
  <c r="S278" i="1"/>
  <c r="B2338" i="2" s="1"/>
  <c r="R278" i="1"/>
  <c r="B2337" i="2" s="1"/>
  <c r="Q278" i="1"/>
  <c r="B2336" i="2" s="1"/>
  <c r="P278" i="1"/>
  <c r="B2335" i="2" s="1"/>
  <c r="O278" i="1"/>
  <c r="B2334" i="2" s="1"/>
  <c r="N278" i="1"/>
  <c r="B2333" i="2" s="1"/>
  <c r="M278" i="1"/>
  <c r="B2332" i="2" s="1"/>
  <c r="L278" i="1"/>
  <c r="B2331" i="2" s="1"/>
  <c r="T277" i="1"/>
  <c r="B2330" i="2" s="1"/>
  <c r="S277" i="1"/>
  <c r="B2329" i="2" s="1"/>
  <c r="R277" i="1"/>
  <c r="B2328" i="2" s="1"/>
  <c r="Q277" i="1"/>
  <c r="B2327" i="2" s="1"/>
  <c r="P277" i="1"/>
  <c r="B2326" i="2" s="1"/>
  <c r="O277" i="1"/>
  <c r="B2325" i="2" s="1"/>
  <c r="N277" i="1"/>
  <c r="B2324" i="2" s="1"/>
  <c r="M277" i="1"/>
  <c r="B2323" i="2" s="1"/>
  <c r="L277" i="1"/>
  <c r="B2322" i="2" s="1"/>
  <c r="T276" i="1"/>
  <c r="B2321" i="2" s="1"/>
  <c r="S276" i="1"/>
  <c r="B2320" i="2" s="1"/>
  <c r="R276" i="1"/>
  <c r="B2319" i="2" s="1"/>
  <c r="Q276" i="1"/>
  <c r="B2318" i="2" s="1"/>
  <c r="P276" i="1"/>
  <c r="B2317" i="2" s="1"/>
  <c r="O276" i="1"/>
  <c r="B2316" i="2" s="1"/>
  <c r="N276" i="1"/>
  <c r="B2315" i="2" s="1"/>
  <c r="M276" i="1"/>
  <c r="B2314" i="2" s="1"/>
  <c r="L276" i="1"/>
  <c r="B2313" i="2" s="1"/>
  <c r="T275" i="1"/>
  <c r="B2312" i="2" s="1"/>
  <c r="S275" i="1"/>
  <c r="B2311" i="2" s="1"/>
  <c r="R275" i="1"/>
  <c r="B2310" i="2" s="1"/>
  <c r="Q275" i="1"/>
  <c r="B2309" i="2" s="1"/>
  <c r="P275" i="1"/>
  <c r="B2308" i="2" s="1"/>
  <c r="O275" i="1"/>
  <c r="B2307" i="2" s="1"/>
  <c r="N275" i="1"/>
  <c r="B2306" i="2" s="1"/>
  <c r="M275" i="1"/>
  <c r="B2305" i="2" s="1"/>
  <c r="L275" i="1"/>
  <c r="B2304" i="2" s="1"/>
  <c r="K275" i="1"/>
  <c r="T274" i="1"/>
  <c r="B2303" i="2" s="1"/>
  <c r="S274" i="1"/>
  <c r="B2302" i="2" s="1"/>
  <c r="R274" i="1"/>
  <c r="B2301" i="2" s="1"/>
  <c r="Q274" i="1"/>
  <c r="B2300" i="2" s="1"/>
  <c r="P274" i="1"/>
  <c r="B2299" i="2" s="1"/>
  <c r="O274" i="1"/>
  <c r="B2298" i="2" s="1"/>
  <c r="N274" i="1"/>
  <c r="B2297" i="2" s="1"/>
  <c r="M274" i="1"/>
  <c r="B2296" i="2" s="1"/>
  <c r="L274" i="1"/>
  <c r="B2295" i="2" s="1"/>
  <c r="T273" i="1"/>
  <c r="B2294" i="2" s="1"/>
  <c r="S273" i="1"/>
  <c r="B2293" i="2" s="1"/>
  <c r="R273" i="1"/>
  <c r="B2292" i="2" s="1"/>
  <c r="Q273" i="1"/>
  <c r="B2291" i="2" s="1"/>
  <c r="P273" i="1"/>
  <c r="B2290" i="2" s="1"/>
  <c r="O273" i="1"/>
  <c r="B2289" i="2" s="1"/>
  <c r="N273" i="1"/>
  <c r="B2288" i="2" s="1"/>
  <c r="M273" i="1"/>
  <c r="B2287" i="2" s="1"/>
  <c r="L273" i="1"/>
  <c r="B2286" i="2" s="1"/>
  <c r="T272" i="1"/>
  <c r="B2285" i="2" s="1"/>
  <c r="S272" i="1"/>
  <c r="B2284" i="2" s="1"/>
  <c r="R272" i="1"/>
  <c r="B2283" i="2" s="1"/>
  <c r="Q272" i="1"/>
  <c r="B2282" i="2" s="1"/>
  <c r="P272" i="1"/>
  <c r="B2281" i="2" s="1"/>
  <c r="O272" i="1"/>
  <c r="B2280" i="2" s="1"/>
  <c r="N272" i="1"/>
  <c r="B2279" i="2" s="1"/>
  <c r="M272" i="1"/>
  <c r="B2278" i="2" s="1"/>
  <c r="L272" i="1"/>
  <c r="B2277" i="2" s="1"/>
  <c r="T271" i="1"/>
  <c r="B2276" i="2" s="1"/>
  <c r="S271" i="1"/>
  <c r="B2275" i="2" s="1"/>
  <c r="R271" i="1"/>
  <c r="B2274" i="2" s="1"/>
  <c r="Q271" i="1"/>
  <c r="B2273" i="2" s="1"/>
  <c r="P271" i="1"/>
  <c r="B2272" i="2" s="1"/>
  <c r="O271" i="1"/>
  <c r="B2271" i="2" s="1"/>
  <c r="N271" i="1"/>
  <c r="B2270" i="2" s="1"/>
  <c r="M271" i="1"/>
  <c r="B2269" i="2" s="1"/>
  <c r="L271" i="1"/>
  <c r="B2268" i="2" s="1"/>
  <c r="T270" i="1"/>
  <c r="B2267" i="2" s="1"/>
  <c r="S270" i="1"/>
  <c r="B2266" i="2" s="1"/>
  <c r="R270" i="1"/>
  <c r="B2265" i="2" s="1"/>
  <c r="Q270" i="1"/>
  <c r="B2264" i="2" s="1"/>
  <c r="P270" i="1"/>
  <c r="B2263" i="2" s="1"/>
  <c r="O270" i="1"/>
  <c r="B2262" i="2" s="1"/>
  <c r="N270" i="1"/>
  <c r="B2261" i="2" s="1"/>
  <c r="M270" i="1"/>
  <c r="B2260" i="2" s="1"/>
  <c r="L270" i="1"/>
  <c r="B2259" i="2" s="1"/>
  <c r="U269" i="1"/>
  <c r="T269" i="1"/>
  <c r="B2258" i="2" s="1"/>
  <c r="S269" i="1"/>
  <c r="B2257" i="2" s="1"/>
  <c r="R269" i="1"/>
  <c r="B2256" i="2" s="1"/>
  <c r="Q269" i="1"/>
  <c r="B2255" i="2" s="1"/>
  <c r="P269" i="1"/>
  <c r="B2254" i="2" s="1"/>
  <c r="O269" i="1"/>
  <c r="B2253" i="2" s="1"/>
  <c r="N269" i="1"/>
  <c r="B2252" i="2" s="1"/>
  <c r="M269" i="1"/>
  <c r="B2251" i="2" s="1"/>
  <c r="L269" i="1"/>
  <c r="B2250" i="2" s="1"/>
  <c r="T268" i="1"/>
  <c r="B2249" i="2" s="1"/>
  <c r="S268" i="1"/>
  <c r="B2248" i="2" s="1"/>
  <c r="R268" i="1"/>
  <c r="B2247" i="2" s="1"/>
  <c r="Q268" i="1"/>
  <c r="B2246" i="2" s="1"/>
  <c r="P268" i="1"/>
  <c r="B2245" i="2" s="1"/>
  <c r="O268" i="1"/>
  <c r="B2244" i="2" s="1"/>
  <c r="N268" i="1"/>
  <c r="B2243" i="2" s="1"/>
  <c r="M268" i="1"/>
  <c r="B2242" i="2" s="1"/>
  <c r="L268" i="1"/>
  <c r="B2241" i="2" s="1"/>
  <c r="T267" i="1"/>
  <c r="B2240" i="2" s="1"/>
  <c r="S267" i="1"/>
  <c r="B2239" i="2" s="1"/>
  <c r="R267" i="1"/>
  <c r="B2238" i="2" s="1"/>
  <c r="Q267" i="1"/>
  <c r="B2237" i="2" s="1"/>
  <c r="P267" i="1"/>
  <c r="B2236" i="2" s="1"/>
  <c r="O267" i="1"/>
  <c r="B2235" i="2" s="1"/>
  <c r="N267" i="1"/>
  <c r="B2234" i="2" s="1"/>
  <c r="M267" i="1"/>
  <c r="B2233" i="2" s="1"/>
  <c r="L267" i="1"/>
  <c r="B2232" i="2" s="1"/>
  <c r="T266" i="1"/>
  <c r="B2231" i="2" s="1"/>
  <c r="S266" i="1"/>
  <c r="B2230" i="2" s="1"/>
  <c r="R266" i="1"/>
  <c r="B2229" i="2" s="1"/>
  <c r="Q266" i="1"/>
  <c r="B2228" i="2" s="1"/>
  <c r="P266" i="1"/>
  <c r="B2227" i="2" s="1"/>
  <c r="O266" i="1"/>
  <c r="B2226" i="2" s="1"/>
  <c r="N266" i="1"/>
  <c r="B2225" i="2" s="1"/>
  <c r="M266" i="1"/>
  <c r="B2224" i="2" s="1"/>
  <c r="L266" i="1"/>
  <c r="B2223" i="2" s="1"/>
  <c r="U265" i="1"/>
  <c r="T265" i="1"/>
  <c r="B2222" i="2" s="1"/>
  <c r="S265" i="1"/>
  <c r="B2221" i="2" s="1"/>
  <c r="R265" i="1"/>
  <c r="B2220" i="2" s="1"/>
  <c r="Q265" i="1"/>
  <c r="B2219" i="2" s="1"/>
  <c r="P265" i="1"/>
  <c r="B2218" i="2" s="1"/>
  <c r="O265" i="1"/>
  <c r="B2217" i="2" s="1"/>
  <c r="N265" i="1"/>
  <c r="B2216" i="2" s="1"/>
  <c r="M265" i="1"/>
  <c r="B2215" i="2" s="1"/>
  <c r="L265" i="1"/>
  <c r="B2214" i="2" s="1"/>
  <c r="T264" i="1"/>
  <c r="B2213" i="2" s="1"/>
  <c r="S264" i="1"/>
  <c r="B2212" i="2" s="1"/>
  <c r="R264" i="1"/>
  <c r="B2211" i="2" s="1"/>
  <c r="Q264" i="1"/>
  <c r="B2210" i="2" s="1"/>
  <c r="P264" i="1"/>
  <c r="B2209" i="2" s="1"/>
  <c r="O264" i="1"/>
  <c r="B2208" i="2" s="1"/>
  <c r="N264" i="1"/>
  <c r="B2207" i="2" s="1"/>
  <c r="M264" i="1"/>
  <c r="B2206" i="2" s="1"/>
  <c r="L264" i="1"/>
  <c r="B2205" i="2" s="1"/>
  <c r="T263" i="1"/>
  <c r="B2204" i="2" s="1"/>
  <c r="S263" i="1"/>
  <c r="B2203" i="2" s="1"/>
  <c r="R263" i="1"/>
  <c r="B2202" i="2" s="1"/>
  <c r="Q263" i="1"/>
  <c r="B2201" i="2" s="1"/>
  <c r="P263" i="1"/>
  <c r="B2200" i="2" s="1"/>
  <c r="O263" i="1"/>
  <c r="B2199" i="2" s="1"/>
  <c r="N263" i="1"/>
  <c r="B2198" i="2" s="1"/>
  <c r="M263" i="1"/>
  <c r="B2197" i="2" s="1"/>
  <c r="L263" i="1"/>
  <c r="B2196" i="2" s="1"/>
  <c r="K263" i="1"/>
  <c r="T262" i="1"/>
  <c r="B2195" i="2" s="1"/>
  <c r="S262" i="1"/>
  <c r="B2194" i="2" s="1"/>
  <c r="R262" i="1"/>
  <c r="B2193" i="2" s="1"/>
  <c r="Q262" i="1"/>
  <c r="B2192" i="2" s="1"/>
  <c r="P262" i="1"/>
  <c r="B2191" i="2" s="1"/>
  <c r="O262" i="1"/>
  <c r="B2190" i="2" s="1"/>
  <c r="N262" i="1"/>
  <c r="B2189" i="2" s="1"/>
  <c r="M262" i="1"/>
  <c r="B2188" i="2" s="1"/>
  <c r="L262" i="1"/>
  <c r="B2187" i="2" s="1"/>
  <c r="T261" i="1"/>
  <c r="B2186" i="2" s="1"/>
  <c r="S261" i="1"/>
  <c r="B2185" i="2" s="1"/>
  <c r="R261" i="1"/>
  <c r="B2184" i="2" s="1"/>
  <c r="Q261" i="1"/>
  <c r="B2183" i="2" s="1"/>
  <c r="P261" i="1"/>
  <c r="B2182" i="2" s="1"/>
  <c r="O261" i="1"/>
  <c r="B2181" i="2" s="1"/>
  <c r="N261" i="1"/>
  <c r="B2180" i="2" s="1"/>
  <c r="M261" i="1"/>
  <c r="B2179" i="2" s="1"/>
  <c r="L261" i="1"/>
  <c r="B2178" i="2" s="1"/>
  <c r="T260" i="1"/>
  <c r="B2177" i="2" s="1"/>
  <c r="S260" i="1"/>
  <c r="B2176" i="2" s="1"/>
  <c r="R260" i="1"/>
  <c r="B2175" i="2" s="1"/>
  <c r="Q260" i="1"/>
  <c r="B2174" i="2" s="1"/>
  <c r="P260" i="1"/>
  <c r="B2173" i="2" s="1"/>
  <c r="O260" i="1"/>
  <c r="B2172" i="2" s="1"/>
  <c r="N260" i="1"/>
  <c r="B2171" i="2" s="1"/>
  <c r="M260" i="1"/>
  <c r="B2170" i="2" s="1"/>
  <c r="L260" i="1"/>
  <c r="B2169" i="2" s="1"/>
  <c r="T259" i="1"/>
  <c r="B2168" i="2" s="1"/>
  <c r="S259" i="1"/>
  <c r="B2167" i="2" s="1"/>
  <c r="R259" i="1"/>
  <c r="B2166" i="2" s="1"/>
  <c r="Q259" i="1"/>
  <c r="B2165" i="2" s="1"/>
  <c r="P259" i="1"/>
  <c r="B2164" i="2" s="1"/>
  <c r="O259" i="1"/>
  <c r="B2163" i="2" s="1"/>
  <c r="N259" i="1"/>
  <c r="B2162" i="2" s="1"/>
  <c r="M259" i="1"/>
  <c r="B2161" i="2" s="1"/>
  <c r="L259" i="1"/>
  <c r="B2160" i="2" s="1"/>
  <c r="T258" i="1"/>
  <c r="B2159" i="2" s="1"/>
  <c r="S258" i="1"/>
  <c r="B2158" i="2" s="1"/>
  <c r="R258" i="1"/>
  <c r="B2157" i="2" s="1"/>
  <c r="Q258" i="1"/>
  <c r="B2156" i="2" s="1"/>
  <c r="P258" i="1"/>
  <c r="B2155" i="2" s="1"/>
  <c r="O258" i="1"/>
  <c r="B2154" i="2" s="1"/>
  <c r="N258" i="1"/>
  <c r="B2153" i="2" s="1"/>
  <c r="M258" i="1"/>
  <c r="B2152" i="2" s="1"/>
  <c r="L258" i="1"/>
  <c r="B2151" i="2" s="1"/>
  <c r="T257" i="1"/>
  <c r="B2150" i="2" s="1"/>
  <c r="S257" i="1"/>
  <c r="B2149" i="2" s="1"/>
  <c r="R257" i="1"/>
  <c r="B2148" i="2" s="1"/>
  <c r="Q257" i="1"/>
  <c r="B2147" i="2" s="1"/>
  <c r="P257" i="1"/>
  <c r="B2146" i="2" s="1"/>
  <c r="O257" i="1"/>
  <c r="B2145" i="2" s="1"/>
  <c r="N257" i="1"/>
  <c r="B2144" i="2" s="1"/>
  <c r="M257" i="1"/>
  <c r="B2143" i="2" s="1"/>
  <c r="L257" i="1"/>
  <c r="B2142" i="2" s="1"/>
  <c r="T256" i="1"/>
  <c r="B2141" i="2" s="1"/>
  <c r="S256" i="1"/>
  <c r="B2140" i="2" s="1"/>
  <c r="R256" i="1"/>
  <c r="B2139" i="2" s="1"/>
  <c r="Q256" i="1"/>
  <c r="B2138" i="2" s="1"/>
  <c r="P256" i="1"/>
  <c r="B2137" i="2" s="1"/>
  <c r="O256" i="1"/>
  <c r="B2136" i="2" s="1"/>
  <c r="N256" i="1"/>
  <c r="B2135" i="2" s="1"/>
  <c r="M256" i="1"/>
  <c r="B2134" i="2" s="1"/>
  <c r="L256" i="1"/>
  <c r="B2133" i="2" s="1"/>
  <c r="T255" i="1"/>
  <c r="B2132" i="2" s="1"/>
  <c r="S255" i="1"/>
  <c r="B2131" i="2" s="1"/>
  <c r="R255" i="1"/>
  <c r="B2130" i="2" s="1"/>
  <c r="Q255" i="1"/>
  <c r="B2129" i="2" s="1"/>
  <c r="P255" i="1"/>
  <c r="B2128" i="2" s="1"/>
  <c r="O255" i="1"/>
  <c r="B2127" i="2" s="1"/>
  <c r="N255" i="1"/>
  <c r="B2126" i="2" s="1"/>
  <c r="M255" i="1"/>
  <c r="B2125" i="2" s="1"/>
  <c r="L255" i="1"/>
  <c r="B2124" i="2" s="1"/>
  <c r="T254" i="1"/>
  <c r="B2123" i="2" s="1"/>
  <c r="S254" i="1"/>
  <c r="B2122" i="2" s="1"/>
  <c r="R254" i="1"/>
  <c r="B2121" i="2" s="1"/>
  <c r="Q254" i="1"/>
  <c r="B2120" i="2" s="1"/>
  <c r="P254" i="1"/>
  <c r="B2119" i="2" s="1"/>
  <c r="O254" i="1"/>
  <c r="B2118" i="2" s="1"/>
  <c r="N254" i="1"/>
  <c r="B2117" i="2" s="1"/>
  <c r="M254" i="1"/>
  <c r="B2116" i="2" s="1"/>
  <c r="L254" i="1"/>
  <c r="B2115" i="2" s="1"/>
  <c r="T253" i="1"/>
  <c r="B2114" i="2" s="1"/>
  <c r="S253" i="1"/>
  <c r="B2113" i="2" s="1"/>
  <c r="R253" i="1"/>
  <c r="B2112" i="2" s="1"/>
  <c r="Q253" i="1"/>
  <c r="B2111" i="2" s="1"/>
  <c r="P253" i="1"/>
  <c r="B2110" i="2" s="1"/>
  <c r="O253" i="1"/>
  <c r="B2109" i="2" s="1"/>
  <c r="N253" i="1"/>
  <c r="B2108" i="2" s="1"/>
  <c r="M253" i="1"/>
  <c r="B2107" i="2" s="1"/>
  <c r="L253" i="1"/>
  <c r="B2106" i="2" s="1"/>
  <c r="T252" i="1"/>
  <c r="B2105" i="2" s="1"/>
  <c r="S252" i="1"/>
  <c r="B2104" i="2" s="1"/>
  <c r="R252" i="1"/>
  <c r="B2103" i="2" s="1"/>
  <c r="Q252" i="1"/>
  <c r="B2102" i="2" s="1"/>
  <c r="P252" i="1"/>
  <c r="B2101" i="2" s="1"/>
  <c r="O252" i="1"/>
  <c r="B2100" i="2" s="1"/>
  <c r="N252" i="1"/>
  <c r="B2099" i="2" s="1"/>
  <c r="M252" i="1"/>
  <c r="B2098" i="2" s="1"/>
  <c r="L252" i="1"/>
  <c r="B2097" i="2" s="1"/>
  <c r="T251" i="1"/>
  <c r="B2096" i="2" s="1"/>
  <c r="S251" i="1"/>
  <c r="B2095" i="2" s="1"/>
  <c r="R251" i="1"/>
  <c r="B2094" i="2" s="1"/>
  <c r="Q251" i="1"/>
  <c r="B2093" i="2" s="1"/>
  <c r="P251" i="1"/>
  <c r="B2092" i="2" s="1"/>
  <c r="O251" i="1"/>
  <c r="B2091" i="2" s="1"/>
  <c r="N251" i="1"/>
  <c r="B2090" i="2" s="1"/>
  <c r="M251" i="1"/>
  <c r="B2089" i="2" s="1"/>
  <c r="L251" i="1"/>
  <c r="B2088" i="2" s="1"/>
  <c r="T250" i="1"/>
  <c r="B2087" i="2" s="1"/>
  <c r="S250" i="1"/>
  <c r="B2086" i="2" s="1"/>
  <c r="R250" i="1"/>
  <c r="B2085" i="2" s="1"/>
  <c r="Q250" i="1"/>
  <c r="B2084" i="2" s="1"/>
  <c r="P250" i="1"/>
  <c r="B2083" i="2" s="1"/>
  <c r="O250" i="1"/>
  <c r="B2082" i="2" s="1"/>
  <c r="N250" i="1"/>
  <c r="B2081" i="2" s="1"/>
  <c r="M250" i="1"/>
  <c r="B2080" i="2" s="1"/>
  <c r="L250" i="1"/>
  <c r="B2079" i="2" s="1"/>
  <c r="U249" i="1"/>
  <c r="T249" i="1"/>
  <c r="B2078" i="2" s="1"/>
  <c r="S249" i="1"/>
  <c r="B2077" i="2" s="1"/>
  <c r="R249" i="1"/>
  <c r="B2076" i="2" s="1"/>
  <c r="Q249" i="1"/>
  <c r="B2075" i="2" s="1"/>
  <c r="P249" i="1"/>
  <c r="B2074" i="2" s="1"/>
  <c r="O249" i="1"/>
  <c r="B2073" i="2" s="1"/>
  <c r="N249" i="1"/>
  <c r="B2072" i="2" s="1"/>
  <c r="M249" i="1"/>
  <c r="B2071" i="2" s="1"/>
  <c r="L249" i="1"/>
  <c r="B2070" i="2" s="1"/>
  <c r="T248" i="1"/>
  <c r="B2069" i="2" s="1"/>
  <c r="S248" i="1"/>
  <c r="B2068" i="2" s="1"/>
  <c r="R248" i="1"/>
  <c r="B2067" i="2" s="1"/>
  <c r="Q248" i="1"/>
  <c r="B2066" i="2" s="1"/>
  <c r="P248" i="1"/>
  <c r="B2065" i="2" s="1"/>
  <c r="O248" i="1"/>
  <c r="B2064" i="2" s="1"/>
  <c r="N248" i="1"/>
  <c r="B2063" i="2" s="1"/>
  <c r="M248" i="1"/>
  <c r="B2062" i="2" s="1"/>
  <c r="L248" i="1"/>
  <c r="B2061" i="2" s="1"/>
  <c r="T247" i="1"/>
  <c r="B2060" i="2" s="1"/>
  <c r="S247" i="1"/>
  <c r="B2059" i="2" s="1"/>
  <c r="R247" i="1"/>
  <c r="B2058" i="2" s="1"/>
  <c r="Q247" i="1"/>
  <c r="B2057" i="2" s="1"/>
  <c r="P247" i="1"/>
  <c r="B2056" i="2" s="1"/>
  <c r="O247" i="1"/>
  <c r="B2055" i="2" s="1"/>
  <c r="N247" i="1"/>
  <c r="B2054" i="2" s="1"/>
  <c r="M247" i="1"/>
  <c r="B2053" i="2" s="1"/>
  <c r="L247" i="1"/>
  <c r="B2052" i="2" s="1"/>
  <c r="K247" i="1"/>
  <c r="T246" i="1"/>
  <c r="B2051" i="2" s="1"/>
  <c r="S246" i="1"/>
  <c r="B2050" i="2" s="1"/>
  <c r="R246" i="1"/>
  <c r="B2049" i="2" s="1"/>
  <c r="Q246" i="1"/>
  <c r="B2048" i="2" s="1"/>
  <c r="P246" i="1"/>
  <c r="B2047" i="2" s="1"/>
  <c r="O246" i="1"/>
  <c r="B2046" i="2" s="1"/>
  <c r="N246" i="1"/>
  <c r="B2045" i="2" s="1"/>
  <c r="M246" i="1"/>
  <c r="B2044" i="2" s="1"/>
  <c r="L246" i="1"/>
  <c r="B2043" i="2" s="1"/>
  <c r="T245" i="1"/>
  <c r="B2042" i="2" s="1"/>
  <c r="S245" i="1"/>
  <c r="B2041" i="2" s="1"/>
  <c r="R245" i="1"/>
  <c r="B2040" i="2" s="1"/>
  <c r="Q245" i="1"/>
  <c r="B2039" i="2" s="1"/>
  <c r="P245" i="1"/>
  <c r="B2038" i="2" s="1"/>
  <c r="O245" i="1"/>
  <c r="B2037" i="2" s="1"/>
  <c r="N245" i="1"/>
  <c r="B2036" i="2" s="1"/>
  <c r="M245" i="1"/>
  <c r="B2035" i="2" s="1"/>
  <c r="L245" i="1"/>
  <c r="B2034" i="2" s="1"/>
  <c r="T244" i="1"/>
  <c r="B2033" i="2" s="1"/>
  <c r="S244" i="1"/>
  <c r="B2032" i="2" s="1"/>
  <c r="R244" i="1"/>
  <c r="B2031" i="2" s="1"/>
  <c r="Q244" i="1"/>
  <c r="B2030" i="2" s="1"/>
  <c r="P244" i="1"/>
  <c r="B2029" i="2" s="1"/>
  <c r="O244" i="1"/>
  <c r="B2028" i="2" s="1"/>
  <c r="N244" i="1"/>
  <c r="B2027" i="2" s="1"/>
  <c r="M244" i="1"/>
  <c r="B2026" i="2" s="1"/>
  <c r="L244" i="1"/>
  <c r="B2025" i="2" s="1"/>
  <c r="T243" i="1"/>
  <c r="B2024" i="2" s="1"/>
  <c r="S243" i="1"/>
  <c r="B2023" i="2" s="1"/>
  <c r="R243" i="1"/>
  <c r="B2022" i="2" s="1"/>
  <c r="Q243" i="1"/>
  <c r="B2021" i="2" s="1"/>
  <c r="P243" i="1"/>
  <c r="B2020" i="2" s="1"/>
  <c r="O243" i="1"/>
  <c r="B2019" i="2" s="1"/>
  <c r="N243" i="1"/>
  <c r="B2018" i="2" s="1"/>
  <c r="M243" i="1"/>
  <c r="B2017" i="2" s="1"/>
  <c r="L243" i="1"/>
  <c r="B2016" i="2" s="1"/>
  <c r="K243" i="1"/>
  <c r="T242" i="1"/>
  <c r="B2015" i="2" s="1"/>
  <c r="S242" i="1"/>
  <c r="B2014" i="2" s="1"/>
  <c r="R242" i="1"/>
  <c r="B2013" i="2" s="1"/>
  <c r="Q242" i="1"/>
  <c r="B2012" i="2" s="1"/>
  <c r="P242" i="1"/>
  <c r="B2011" i="2" s="1"/>
  <c r="O242" i="1"/>
  <c r="B2010" i="2" s="1"/>
  <c r="N242" i="1"/>
  <c r="B2009" i="2" s="1"/>
  <c r="M242" i="1"/>
  <c r="B2008" i="2" s="1"/>
  <c r="L242" i="1"/>
  <c r="B2007" i="2" s="1"/>
  <c r="T241" i="1"/>
  <c r="B2006" i="2" s="1"/>
  <c r="S241" i="1"/>
  <c r="B2005" i="2" s="1"/>
  <c r="R241" i="1"/>
  <c r="B2004" i="2" s="1"/>
  <c r="Q241" i="1"/>
  <c r="B2003" i="2" s="1"/>
  <c r="P241" i="1"/>
  <c r="B2002" i="2" s="1"/>
  <c r="O241" i="1"/>
  <c r="B2001" i="2" s="1"/>
  <c r="N241" i="1"/>
  <c r="B2000" i="2" s="1"/>
  <c r="M241" i="1"/>
  <c r="B1999" i="2" s="1"/>
  <c r="L241" i="1"/>
  <c r="B1998" i="2" s="1"/>
  <c r="T240" i="1"/>
  <c r="B1997" i="2" s="1"/>
  <c r="S240" i="1"/>
  <c r="B1996" i="2" s="1"/>
  <c r="R240" i="1"/>
  <c r="B1995" i="2" s="1"/>
  <c r="Q240" i="1"/>
  <c r="B1994" i="2" s="1"/>
  <c r="P240" i="1"/>
  <c r="B1993" i="2" s="1"/>
  <c r="O240" i="1"/>
  <c r="B1992" i="2" s="1"/>
  <c r="N240" i="1"/>
  <c r="B1991" i="2" s="1"/>
  <c r="M240" i="1"/>
  <c r="B1990" i="2" s="1"/>
  <c r="L240" i="1"/>
  <c r="B1989" i="2" s="1"/>
  <c r="T239" i="1"/>
  <c r="B1988" i="2" s="1"/>
  <c r="S239" i="1"/>
  <c r="B1987" i="2" s="1"/>
  <c r="R239" i="1"/>
  <c r="B1986" i="2" s="1"/>
  <c r="Q239" i="1"/>
  <c r="B1985" i="2" s="1"/>
  <c r="P239" i="1"/>
  <c r="B1984" i="2" s="1"/>
  <c r="O239" i="1"/>
  <c r="B1983" i="2" s="1"/>
  <c r="N239" i="1"/>
  <c r="B1982" i="2" s="1"/>
  <c r="M239" i="1"/>
  <c r="B1981" i="2" s="1"/>
  <c r="L239" i="1"/>
  <c r="B1980" i="2" s="1"/>
  <c r="T238" i="1"/>
  <c r="B1979" i="2" s="1"/>
  <c r="S238" i="1"/>
  <c r="B1978" i="2" s="1"/>
  <c r="R238" i="1"/>
  <c r="B1977" i="2" s="1"/>
  <c r="Q238" i="1"/>
  <c r="B1976" i="2" s="1"/>
  <c r="P238" i="1"/>
  <c r="B1975" i="2" s="1"/>
  <c r="O238" i="1"/>
  <c r="B1974" i="2" s="1"/>
  <c r="N238" i="1"/>
  <c r="B1973" i="2" s="1"/>
  <c r="M238" i="1"/>
  <c r="B1972" i="2" s="1"/>
  <c r="L238" i="1"/>
  <c r="B1971" i="2" s="1"/>
  <c r="U237" i="1"/>
  <c r="T237" i="1"/>
  <c r="B1970" i="2" s="1"/>
  <c r="S237" i="1"/>
  <c r="B1969" i="2" s="1"/>
  <c r="R237" i="1"/>
  <c r="B1968" i="2" s="1"/>
  <c r="Q237" i="1"/>
  <c r="B1967" i="2" s="1"/>
  <c r="P237" i="1"/>
  <c r="B1966" i="2" s="1"/>
  <c r="O237" i="1"/>
  <c r="B1965" i="2" s="1"/>
  <c r="N237" i="1"/>
  <c r="B1964" i="2" s="1"/>
  <c r="M237" i="1"/>
  <c r="B1963" i="2" s="1"/>
  <c r="L237" i="1"/>
  <c r="B1962" i="2" s="1"/>
  <c r="T236" i="1"/>
  <c r="B1961" i="2" s="1"/>
  <c r="S236" i="1"/>
  <c r="B1960" i="2" s="1"/>
  <c r="R236" i="1"/>
  <c r="B1959" i="2" s="1"/>
  <c r="Q236" i="1"/>
  <c r="B1958" i="2" s="1"/>
  <c r="P236" i="1"/>
  <c r="B1957" i="2" s="1"/>
  <c r="O236" i="1"/>
  <c r="B1956" i="2" s="1"/>
  <c r="N236" i="1"/>
  <c r="B1955" i="2" s="1"/>
  <c r="M236" i="1"/>
  <c r="B1954" i="2" s="1"/>
  <c r="L236" i="1"/>
  <c r="B1953" i="2" s="1"/>
  <c r="T235" i="1"/>
  <c r="B1952" i="2" s="1"/>
  <c r="S235" i="1"/>
  <c r="B1951" i="2" s="1"/>
  <c r="R235" i="1"/>
  <c r="B1950" i="2" s="1"/>
  <c r="Q235" i="1"/>
  <c r="B1949" i="2" s="1"/>
  <c r="P235" i="1"/>
  <c r="B1948" i="2" s="1"/>
  <c r="O235" i="1"/>
  <c r="B1947" i="2" s="1"/>
  <c r="N235" i="1"/>
  <c r="B1946" i="2" s="1"/>
  <c r="M235" i="1"/>
  <c r="B1945" i="2" s="1"/>
  <c r="L235" i="1"/>
  <c r="B1944" i="2" s="1"/>
  <c r="T234" i="1"/>
  <c r="B1943" i="2" s="1"/>
  <c r="S234" i="1"/>
  <c r="B1942" i="2" s="1"/>
  <c r="R234" i="1"/>
  <c r="B1941" i="2" s="1"/>
  <c r="Q234" i="1"/>
  <c r="B1940" i="2" s="1"/>
  <c r="P234" i="1"/>
  <c r="B1939" i="2" s="1"/>
  <c r="O234" i="1"/>
  <c r="B1938" i="2" s="1"/>
  <c r="N234" i="1"/>
  <c r="B1937" i="2" s="1"/>
  <c r="M234" i="1"/>
  <c r="B1936" i="2" s="1"/>
  <c r="L234" i="1"/>
  <c r="B1935" i="2" s="1"/>
  <c r="U233" i="1"/>
  <c r="T233" i="1"/>
  <c r="B1934" i="2" s="1"/>
  <c r="S233" i="1"/>
  <c r="B1933" i="2" s="1"/>
  <c r="R233" i="1"/>
  <c r="B1932" i="2" s="1"/>
  <c r="Q233" i="1"/>
  <c r="B1931" i="2" s="1"/>
  <c r="P233" i="1"/>
  <c r="B1930" i="2" s="1"/>
  <c r="O233" i="1"/>
  <c r="B1929" i="2" s="1"/>
  <c r="N233" i="1"/>
  <c r="B1928" i="2" s="1"/>
  <c r="M233" i="1"/>
  <c r="B1927" i="2" s="1"/>
  <c r="L233" i="1"/>
  <c r="B1926" i="2" s="1"/>
  <c r="T232" i="1"/>
  <c r="B1925" i="2" s="1"/>
  <c r="S232" i="1"/>
  <c r="B1924" i="2" s="1"/>
  <c r="R232" i="1"/>
  <c r="B1923" i="2" s="1"/>
  <c r="Q232" i="1"/>
  <c r="B1922" i="2" s="1"/>
  <c r="P232" i="1"/>
  <c r="B1921" i="2" s="1"/>
  <c r="O232" i="1"/>
  <c r="B1920" i="2" s="1"/>
  <c r="N232" i="1"/>
  <c r="B1919" i="2" s="1"/>
  <c r="M232" i="1"/>
  <c r="B1918" i="2" s="1"/>
  <c r="L232" i="1"/>
  <c r="B1917" i="2" s="1"/>
  <c r="T231" i="1"/>
  <c r="B1916" i="2" s="1"/>
  <c r="S231" i="1"/>
  <c r="B1915" i="2" s="1"/>
  <c r="R231" i="1"/>
  <c r="B1914" i="2" s="1"/>
  <c r="Q231" i="1"/>
  <c r="B1913" i="2" s="1"/>
  <c r="P231" i="1"/>
  <c r="B1912" i="2" s="1"/>
  <c r="O231" i="1"/>
  <c r="B1911" i="2" s="1"/>
  <c r="N231" i="1"/>
  <c r="B1910" i="2" s="1"/>
  <c r="M231" i="1"/>
  <c r="B1909" i="2" s="1"/>
  <c r="L231" i="1"/>
  <c r="B1908" i="2" s="1"/>
  <c r="K231" i="1"/>
  <c r="T230" i="1"/>
  <c r="B1907" i="2" s="1"/>
  <c r="S230" i="1"/>
  <c r="B1906" i="2" s="1"/>
  <c r="R230" i="1"/>
  <c r="B1905" i="2" s="1"/>
  <c r="Q230" i="1"/>
  <c r="B1904" i="2" s="1"/>
  <c r="P230" i="1"/>
  <c r="B1903" i="2" s="1"/>
  <c r="O230" i="1"/>
  <c r="B1902" i="2" s="1"/>
  <c r="N230" i="1"/>
  <c r="B1901" i="2" s="1"/>
  <c r="M230" i="1"/>
  <c r="B1900" i="2" s="1"/>
  <c r="L230" i="1"/>
  <c r="B1899" i="2" s="1"/>
  <c r="T229" i="1"/>
  <c r="B1898" i="2" s="1"/>
  <c r="S229" i="1"/>
  <c r="B1897" i="2" s="1"/>
  <c r="R229" i="1"/>
  <c r="B1896" i="2" s="1"/>
  <c r="Q229" i="1"/>
  <c r="B1895" i="2" s="1"/>
  <c r="P229" i="1"/>
  <c r="B1894" i="2" s="1"/>
  <c r="O229" i="1"/>
  <c r="B1893" i="2" s="1"/>
  <c r="N229" i="1"/>
  <c r="B1892" i="2" s="1"/>
  <c r="M229" i="1"/>
  <c r="B1891" i="2" s="1"/>
  <c r="L229" i="1"/>
  <c r="B1890" i="2" s="1"/>
  <c r="T228" i="1"/>
  <c r="B1889" i="2" s="1"/>
  <c r="S228" i="1"/>
  <c r="B1888" i="2" s="1"/>
  <c r="R228" i="1"/>
  <c r="B1887" i="2" s="1"/>
  <c r="Q228" i="1"/>
  <c r="B1886" i="2" s="1"/>
  <c r="P228" i="1"/>
  <c r="B1885" i="2" s="1"/>
  <c r="O228" i="1"/>
  <c r="B1884" i="2" s="1"/>
  <c r="N228" i="1"/>
  <c r="B1883" i="2" s="1"/>
  <c r="M228" i="1"/>
  <c r="B1882" i="2" s="1"/>
  <c r="L228" i="1"/>
  <c r="B1881" i="2" s="1"/>
  <c r="T227" i="1"/>
  <c r="B1880" i="2" s="1"/>
  <c r="S227" i="1"/>
  <c r="B1879" i="2" s="1"/>
  <c r="R227" i="1"/>
  <c r="B1878" i="2" s="1"/>
  <c r="Q227" i="1"/>
  <c r="B1877" i="2" s="1"/>
  <c r="P227" i="1"/>
  <c r="B1876" i="2" s="1"/>
  <c r="O227" i="1"/>
  <c r="B1875" i="2" s="1"/>
  <c r="N227" i="1"/>
  <c r="B1874" i="2" s="1"/>
  <c r="M227" i="1"/>
  <c r="B1873" i="2" s="1"/>
  <c r="L227" i="1"/>
  <c r="B1872" i="2" s="1"/>
  <c r="T226" i="1"/>
  <c r="B1871" i="2" s="1"/>
  <c r="S226" i="1"/>
  <c r="B1870" i="2" s="1"/>
  <c r="R226" i="1"/>
  <c r="B1869" i="2" s="1"/>
  <c r="Q226" i="1"/>
  <c r="B1868" i="2" s="1"/>
  <c r="P226" i="1"/>
  <c r="B1867" i="2" s="1"/>
  <c r="O226" i="1"/>
  <c r="B1866" i="2" s="1"/>
  <c r="N226" i="1"/>
  <c r="B1865" i="2" s="1"/>
  <c r="M226" i="1"/>
  <c r="B1864" i="2" s="1"/>
  <c r="L226" i="1"/>
  <c r="B1863" i="2" s="1"/>
  <c r="T225" i="1"/>
  <c r="B1862" i="2" s="1"/>
  <c r="S225" i="1"/>
  <c r="B1861" i="2" s="1"/>
  <c r="R225" i="1"/>
  <c r="B1860" i="2" s="1"/>
  <c r="Q225" i="1"/>
  <c r="B1859" i="2" s="1"/>
  <c r="P225" i="1"/>
  <c r="B1858" i="2" s="1"/>
  <c r="O225" i="1"/>
  <c r="B1857" i="2" s="1"/>
  <c r="N225" i="1"/>
  <c r="B1856" i="2" s="1"/>
  <c r="M225" i="1"/>
  <c r="B1855" i="2" s="1"/>
  <c r="L225" i="1"/>
  <c r="B1854" i="2" s="1"/>
  <c r="T224" i="1"/>
  <c r="B1853" i="2" s="1"/>
  <c r="S224" i="1"/>
  <c r="B1852" i="2" s="1"/>
  <c r="R224" i="1"/>
  <c r="B1851" i="2" s="1"/>
  <c r="Q224" i="1"/>
  <c r="B1850" i="2" s="1"/>
  <c r="P224" i="1"/>
  <c r="B1849" i="2" s="1"/>
  <c r="O224" i="1"/>
  <c r="B1848" i="2" s="1"/>
  <c r="N224" i="1"/>
  <c r="B1847" i="2" s="1"/>
  <c r="M224" i="1"/>
  <c r="B1846" i="2" s="1"/>
  <c r="L224" i="1"/>
  <c r="B1845" i="2" s="1"/>
  <c r="T223" i="1"/>
  <c r="B1844" i="2" s="1"/>
  <c r="S223" i="1"/>
  <c r="B1843" i="2" s="1"/>
  <c r="R223" i="1"/>
  <c r="B1842" i="2" s="1"/>
  <c r="Q223" i="1"/>
  <c r="B1841" i="2" s="1"/>
  <c r="P223" i="1"/>
  <c r="B1840" i="2" s="1"/>
  <c r="O223" i="1"/>
  <c r="B1839" i="2" s="1"/>
  <c r="N223" i="1"/>
  <c r="B1838" i="2" s="1"/>
  <c r="M223" i="1"/>
  <c r="B1837" i="2" s="1"/>
  <c r="L223" i="1"/>
  <c r="B1836" i="2" s="1"/>
  <c r="T222" i="1"/>
  <c r="B1835" i="2" s="1"/>
  <c r="S222" i="1"/>
  <c r="B1834" i="2" s="1"/>
  <c r="R222" i="1"/>
  <c r="B1833" i="2" s="1"/>
  <c r="Q222" i="1"/>
  <c r="B1832" i="2" s="1"/>
  <c r="P222" i="1"/>
  <c r="B1831" i="2" s="1"/>
  <c r="O222" i="1"/>
  <c r="B1830" i="2" s="1"/>
  <c r="N222" i="1"/>
  <c r="B1829" i="2" s="1"/>
  <c r="M222" i="1"/>
  <c r="B1828" i="2" s="1"/>
  <c r="L222" i="1"/>
  <c r="B1827" i="2" s="1"/>
  <c r="U221" i="1"/>
  <c r="T221" i="1"/>
  <c r="B1826" i="2" s="1"/>
  <c r="S221" i="1"/>
  <c r="B1825" i="2" s="1"/>
  <c r="R221" i="1"/>
  <c r="B1824" i="2" s="1"/>
  <c r="Q221" i="1"/>
  <c r="B1823" i="2" s="1"/>
  <c r="P221" i="1"/>
  <c r="B1822" i="2" s="1"/>
  <c r="O221" i="1"/>
  <c r="B1821" i="2" s="1"/>
  <c r="N221" i="1"/>
  <c r="B1820" i="2" s="1"/>
  <c r="M221" i="1"/>
  <c r="B1819" i="2" s="1"/>
  <c r="L221" i="1"/>
  <c r="B1818" i="2" s="1"/>
  <c r="T220" i="1"/>
  <c r="B1817" i="2" s="1"/>
  <c r="S220" i="1"/>
  <c r="B1816" i="2" s="1"/>
  <c r="R220" i="1"/>
  <c r="B1815" i="2" s="1"/>
  <c r="Q220" i="1"/>
  <c r="B1814" i="2" s="1"/>
  <c r="P220" i="1"/>
  <c r="B1813" i="2" s="1"/>
  <c r="O220" i="1"/>
  <c r="B1812" i="2" s="1"/>
  <c r="N220" i="1"/>
  <c r="B1811" i="2" s="1"/>
  <c r="M220" i="1"/>
  <c r="B1810" i="2" s="1"/>
  <c r="L220" i="1"/>
  <c r="B1809" i="2" s="1"/>
  <c r="T219" i="1"/>
  <c r="B1808" i="2" s="1"/>
  <c r="S219" i="1"/>
  <c r="B1807" i="2" s="1"/>
  <c r="R219" i="1"/>
  <c r="B1806" i="2" s="1"/>
  <c r="Q219" i="1"/>
  <c r="B1805" i="2" s="1"/>
  <c r="P219" i="1"/>
  <c r="B1804" i="2" s="1"/>
  <c r="O219" i="1"/>
  <c r="B1803" i="2" s="1"/>
  <c r="N219" i="1"/>
  <c r="B1802" i="2" s="1"/>
  <c r="M219" i="1"/>
  <c r="B1801" i="2" s="1"/>
  <c r="L219" i="1"/>
  <c r="B1800" i="2" s="1"/>
  <c r="K219" i="1"/>
  <c r="T218" i="1"/>
  <c r="B1799" i="2" s="1"/>
  <c r="S218" i="1"/>
  <c r="B1798" i="2" s="1"/>
  <c r="R218" i="1"/>
  <c r="B1797" i="2" s="1"/>
  <c r="Q218" i="1"/>
  <c r="B1796" i="2" s="1"/>
  <c r="P218" i="1"/>
  <c r="B1795" i="2" s="1"/>
  <c r="O218" i="1"/>
  <c r="B1794" i="2" s="1"/>
  <c r="N218" i="1"/>
  <c r="B1793" i="2" s="1"/>
  <c r="M218" i="1"/>
  <c r="B1792" i="2" s="1"/>
  <c r="L218" i="1"/>
  <c r="B1791" i="2" s="1"/>
  <c r="T217" i="1"/>
  <c r="B1790" i="2" s="1"/>
  <c r="S217" i="1"/>
  <c r="B1789" i="2" s="1"/>
  <c r="R217" i="1"/>
  <c r="B1788" i="2" s="1"/>
  <c r="Q217" i="1"/>
  <c r="B1787" i="2" s="1"/>
  <c r="P217" i="1"/>
  <c r="B1786" i="2" s="1"/>
  <c r="O217" i="1"/>
  <c r="B1785" i="2" s="1"/>
  <c r="N217" i="1"/>
  <c r="B1784" i="2" s="1"/>
  <c r="M217" i="1"/>
  <c r="B1783" i="2" s="1"/>
  <c r="L217" i="1"/>
  <c r="B1782" i="2" s="1"/>
  <c r="T216" i="1"/>
  <c r="B1781" i="2" s="1"/>
  <c r="S216" i="1"/>
  <c r="B1780" i="2" s="1"/>
  <c r="R216" i="1"/>
  <c r="B1779" i="2" s="1"/>
  <c r="Q216" i="1"/>
  <c r="B1778" i="2" s="1"/>
  <c r="P216" i="1"/>
  <c r="B1777" i="2" s="1"/>
  <c r="O216" i="1"/>
  <c r="B1776" i="2" s="1"/>
  <c r="N216" i="1"/>
  <c r="B1775" i="2" s="1"/>
  <c r="M216" i="1"/>
  <c r="B1774" i="2" s="1"/>
  <c r="L216" i="1"/>
  <c r="B1773" i="2" s="1"/>
  <c r="T215" i="1"/>
  <c r="B1772" i="2" s="1"/>
  <c r="S215" i="1"/>
  <c r="B1771" i="2" s="1"/>
  <c r="R215" i="1"/>
  <c r="B1770" i="2" s="1"/>
  <c r="Q215" i="1"/>
  <c r="B1769" i="2" s="1"/>
  <c r="P215" i="1"/>
  <c r="B1768" i="2" s="1"/>
  <c r="O215" i="1"/>
  <c r="B1767" i="2" s="1"/>
  <c r="N215" i="1"/>
  <c r="B1766" i="2" s="1"/>
  <c r="M215" i="1"/>
  <c r="B1765" i="2" s="1"/>
  <c r="L215" i="1"/>
  <c r="B1764" i="2" s="1"/>
  <c r="K215" i="1"/>
  <c r="T214" i="1"/>
  <c r="B1763" i="2" s="1"/>
  <c r="S214" i="1"/>
  <c r="B1762" i="2" s="1"/>
  <c r="R214" i="1"/>
  <c r="B1761" i="2" s="1"/>
  <c r="Q214" i="1"/>
  <c r="B1760" i="2" s="1"/>
  <c r="P214" i="1"/>
  <c r="B1759" i="2" s="1"/>
  <c r="O214" i="1"/>
  <c r="B1758" i="2" s="1"/>
  <c r="N214" i="1"/>
  <c r="B1757" i="2" s="1"/>
  <c r="M214" i="1"/>
  <c r="B1756" i="2" s="1"/>
  <c r="L214" i="1"/>
  <c r="B1755" i="2" s="1"/>
  <c r="T213" i="1"/>
  <c r="B1754" i="2" s="1"/>
  <c r="S213" i="1"/>
  <c r="B1753" i="2" s="1"/>
  <c r="R213" i="1"/>
  <c r="B1752" i="2" s="1"/>
  <c r="Q213" i="1"/>
  <c r="B1751" i="2" s="1"/>
  <c r="P213" i="1"/>
  <c r="B1750" i="2" s="1"/>
  <c r="O213" i="1"/>
  <c r="B1749" i="2" s="1"/>
  <c r="N213" i="1"/>
  <c r="B1748" i="2" s="1"/>
  <c r="M213" i="1"/>
  <c r="B1747" i="2" s="1"/>
  <c r="L213" i="1"/>
  <c r="B1746" i="2" s="1"/>
  <c r="T212" i="1"/>
  <c r="B1745" i="2" s="1"/>
  <c r="S212" i="1"/>
  <c r="B1744" i="2" s="1"/>
  <c r="R212" i="1"/>
  <c r="B1743" i="2" s="1"/>
  <c r="Q212" i="1"/>
  <c r="B1742" i="2" s="1"/>
  <c r="P212" i="1"/>
  <c r="B1741" i="2" s="1"/>
  <c r="O212" i="1"/>
  <c r="B1740" i="2" s="1"/>
  <c r="N212" i="1"/>
  <c r="B1739" i="2" s="1"/>
  <c r="M212" i="1"/>
  <c r="B1738" i="2" s="1"/>
  <c r="L212" i="1"/>
  <c r="B1737" i="2" s="1"/>
  <c r="T211" i="1"/>
  <c r="B1736" i="2" s="1"/>
  <c r="S211" i="1"/>
  <c r="B1735" i="2" s="1"/>
  <c r="R211" i="1"/>
  <c r="B1734" i="2" s="1"/>
  <c r="Q211" i="1"/>
  <c r="B1733" i="2" s="1"/>
  <c r="P211" i="1"/>
  <c r="B1732" i="2" s="1"/>
  <c r="O211" i="1"/>
  <c r="B1731" i="2" s="1"/>
  <c r="N211" i="1"/>
  <c r="B1730" i="2" s="1"/>
  <c r="M211" i="1"/>
  <c r="B1729" i="2" s="1"/>
  <c r="L211" i="1"/>
  <c r="B1728" i="2" s="1"/>
  <c r="T210" i="1"/>
  <c r="B1727" i="2" s="1"/>
  <c r="S210" i="1"/>
  <c r="B1726" i="2" s="1"/>
  <c r="R210" i="1"/>
  <c r="B1725" i="2" s="1"/>
  <c r="Q210" i="1"/>
  <c r="B1724" i="2" s="1"/>
  <c r="P210" i="1"/>
  <c r="B1723" i="2" s="1"/>
  <c r="O210" i="1"/>
  <c r="B1722" i="2" s="1"/>
  <c r="N210" i="1"/>
  <c r="B1721" i="2" s="1"/>
  <c r="M210" i="1"/>
  <c r="B1720" i="2" s="1"/>
  <c r="L210" i="1"/>
  <c r="B1719" i="2" s="1"/>
  <c r="T209" i="1"/>
  <c r="B1718" i="2" s="1"/>
  <c r="S209" i="1"/>
  <c r="B1717" i="2" s="1"/>
  <c r="R209" i="1"/>
  <c r="B1716" i="2" s="1"/>
  <c r="Q209" i="1"/>
  <c r="B1715" i="2" s="1"/>
  <c r="P209" i="1"/>
  <c r="B1714" i="2" s="1"/>
  <c r="O209" i="1"/>
  <c r="B1713" i="2" s="1"/>
  <c r="N209" i="1"/>
  <c r="B1712" i="2" s="1"/>
  <c r="M209" i="1"/>
  <c r="B1711" i="2" s="1"/>
  <c r="L209" i="1"/>
  <c r="B1710" i="2" s="1"/>
  <c r="T208" i="1"/>
  <c r="B1709" i="2" s="1"/>
  <c r="S208" i="1"/>
  <c r="B1708" i="2" s="1"/>
  <c r="R208" i="1"/>
  <c r="B1707" i="2" s="1"/>
  <c r="Q208" i="1"/>
  <c r="B1706" i="2" s="1"/>
  <c r="P208" i="1"/>
  <c r="B1705" i="2" s="1"/>
  <c r="O208" i="1"/>
  <c r="B1704" i="2" s="1"/>
  <c r="N208" i="1"/>
  <c r="B1703" i="2" s="1"/>
  <c r="M208" i="1"/>
  <c r="B1702" i="2" s="1"/>
  <c r="L208" i="1"/>
  <c r="B1701" i="2" s="1"/>
  <c r="T207" i="1"/>
  <c r="B1700" i="2" s="1"/>
  <c r="S207" i="1"/>
  <c r="B1699" i="2" s="1"/>
  <c r="R207" i="1"/>
  <c r="B1698" i="2" s="1"/>
  <c r="Q207" i="1"/>
  <c r="B1697" i="2" s="1"/>
  <c r="P207" i="1"/>
  <c r="B1696" i="2" s="1"/>
  <c r="O207" i="1"/>
  <c r="B1695" i="2" s="1"/>
  <c r="N207" i="1"/>
  <c r="B1694" i="2" s="1"/>
  <c r="M207" i="1"/>
  <c r="B1693" i="2" s="1"/>
  <c r="L207" i="1"/>
  <c r="B1692" i="2" s="1"/>
  <c r="T206" i="1"/>
  <c r="B1691" i="2" s="1"/>
  <c r="S206" i="1"/>
  <c r="B1690" i="2" s="1"/>
  <c r="R206" i="1"/>
  <c r="B1689" i="2" s="1"/>
  <c r="Q206" i="1"/>
  <c r="B1688" i="2" s="1"/>
  <c r="P206" i="1"/>
  <c r="B1687" i="2" s="1"/>
  <c r="O206" i="1"/>
  <c r="B1686" i="2" s="1"/>
  <c r="N206" i="1"/>
  <c r="B1685" i="2" s="1"/>
  <c r="M206" i="1"/>
  <c r="B1684" i="2" s="1"/>
  <c r="L206" i="1"/>
  <c r="B1683" i="2" s="1"/>
  <c r="U205" i="1"/>
  <c r="T205" i="1"/>
  <c r="B1682" i="2" s="1"/>
  <c r="S205" i="1"/>
  <c r="B1681" i="2" s="1"/>
  <c r="R205" i="1"/>
  <c r="B1680" i="2" s="1"/>
  <c r="Q205" i="1"/>
  <c r="B1679" i="2" s="1"/>
  <c r="P205" i="1"/>
  <c r="B1678" i="2" s="1"/>
  <c r="O205" i="1"/>
  <c r="B1677" i="2" s="1"/>
  <c r="N205" i="1"/>
  <c r="B1676" i="2" s="1"/>
  <c r="M205" i="1"/>
  <c r="B1675" i="2" s="1"/>
  <c r="L205" i="1"/>
  <c r="B1674" i="2" s="1"/>
  <c r="T204" i="1"/>
  <c r="B1673" i="2" s="1"/>
  <c r="S204" i="1"/>
  <c r="B1672" i="2" s="1"/>
  <c r="R204" i="1"/>
  <c r="B1671" i="2" s="1"/>
  <c r="Q204" i="1"/>
  <c r="B1670" i="2" s="1"/>
  <c r="P204" i="1"/>
  <c r="B1669" i="2" s="1"/>
  <c r="O204" i="1"/>
  <c r="B1668" i="2" s="1"/>
  <c r="N204" i="1"/>
  <c r="B1667" i="2" s="1"/>
  <c r="M204" i="1"/>
  <c r="B1666" i="2" s="1"/>
  <c r="L204" i="1"/>
  <c r="B1665" i="2" s="1"/>
  <c r="T203" i="1"/>
  <c r="B1664" i="2" s="1"/>
  <c r="S203" i="1"/>
  <c r="B1663" i="2" s="1"/>
  <c r="R203" i="1"/>
  <c r="B1662" i="2" s="1"/>
  <c r="Q203" i="1"/>
  <c r="B1661" i="2" s="1"/>
  <c r="P203" i="1"/>
  <c r="B1660" i="2" s="1"/>
  <c r="O203" i="1"/>
  <c r="B1659" i="2" s="1"/>
  <c r="N203" i="1"/>
  <c r="B1658" i="2" s="1"/>
  <c r="M203" i="1"/>
  <c r="B1657" i="2" s="1"/>
  <c r="L203" i="1"/>
  <c r="B1656" i="2" s="1"/>
  <c r="K203" i="1"/>
  <c r="T202" i="1"/>
  <c r="B1655" i="2" s="1"/>
  <c r="S202" i="1"/>
  <c r="B1654" i="2" s="1"/>
  <c r="R202" i="1"/>
  <c r="B1653" i="2" s="1"/>
  <c r="Q202" i="1"/>
  <c r="B1652" i="2" s="1"/>
  <c r="P202" i="1"/>
  <c r="B1651" i="2" s="1"/>
  <c r="O202" i="1"/>
  <c r="B1650" i="2" s="1"/>
  <c r="N202" i="1"/>
  <c r="B1649" i="2" s="1"/>
  <c r="M202" i="1"/>
  <c r="B1648" i="2" s="1"/>
  <c r="L202" i="1"/>
  <c r="B1647" i="2" s="1"/>
  <c r="T201" i="1"/>
  <c r="B1646" i="2" s="1"/>
  <c r="S201" i="1"/>
  <c r="B1645" i="2" s="1"/>
  <c r="R201" i="1"/>
  <c r="B1644" i="2" s="1"/>
  <c r="Q201" i="1"/>
  <c r="B1643" i="2" s="1"/>
  <c r="P201" i="1"/>
  <c r="B1642" i="2" s="1"/>
  <c r="O201" i="1"/>
  <c r="B1641" i="2" s="1"/>
  <c r="N201" i="1"/>
  <c r="B1640" i="2" s="1"/>
  <c r="M201" i="1"/>
  <c r="B1639" i="2" s="1"/>
  <c r="L201" i="1"/>
  <c r="B1638" i="2" s="1"/>
  <c r="T200" i="1"/>
  <c r="B1637" i="2" s="1"/>
  <c r="S200" i="1"/>
  <c r="B1636" i="2" s="1"/>
  <c r="R200" i="1"/>
  <c r="B1635" i="2" s="1"/>
  <c r="Q200" i="1"/>
  <c r="B1634" i="2" s="1"/>
  <c r="P200" i="1"/>
  <c r="B1633" i="2" s="1"/>
  <c r="O200" i="1"/>
  <c r="B1632" i="2" s="1"/>
  <c r="N200" i="1"/>
  <c r="B1631" i="2" s="1"/>
  <c r="M200" i="1"/>
  <c r="B1630" i="2" s="1"/>
  <c r="L200" i="1"/>
  <c r="B1629" i="2" s="1"/>
  <c r="T199" i="1"/>
  <c r="B1628" i="2" s="1"/>
  <c r="S199" i="1"/>
  <c r="B1627" i="2" s="1"/>
  <c r="R199" i="1"/>
  <c r="B1626" i="2" s="1"/>
  <c r="Q199" i="1"/>
  <c r="B1625" i="2" s="1"/>
  <c r="P199" i="1"/>
  <c r="B1624" i="2" s="1"/>
  <c r="O199" i="1"/>
  <c r="B1623" i="2" s="1"/>
  <c r="N199" i="1"/>
  <c r="B1622" i="2" s="1"/>
  <c r="M199" i="1"/>
  <c r="B1621" i="2" s="1"/>
  <c r="L199" i="1"/>
  <c r="B1620" i="2" s="1"/>
  <c r="K199" i="1"/>
  <c r="T198" i="1"/>
  <c r="B1619" i="2" s="1"/>
  <c r="S198" i="1"/>
  <c r="B1618" i="2" s="1"/>
  <c r="R198" i="1"/>
  <c r="B1617" i="2" s="1"/>
  <c r="Q198" i="1"/>
  <c r="B1616" i="2" s="1"/>
  <c r="P198" i="1"/>
  <c r="B1615" i="2" s="1"/>
  <c r="O198" i="1"/>
  <c r="B1614" i="2" s="1"/>
  <c r="N198" i="1"/>
  <c r="B1613" i="2" s="1"/>
  <c r="M198" i="1"/>
  <c r="B1612" i="2" s="1"/>
  <c r="L198" i="1"/>
  <c r="B1611" i="2" s="1"/>
  <c r="T197" i="1"/>
  <c r="B1610" i="2" s="1"/>
  <c r="S197" i="1"/>
  <c r="B1609" i="2" s="1"/>
  <c r="R197" i="1"/>
  <c r="B1608" i="2" s="1"/>
  <c r="Q197" i="1"/>
  <c r="B1607" i="2" s="1"/>
  <c r="P197" i="1"/>
  <c r="B1606" i="2" s="1"/>
  <c r="O197" i="1"/>
  <c r="B1605" i="2" s="1"/>
  <c r="N197" i="1"/>
  <c r="B1604" i="2" s="1"/>
  <c r="M197" i="1"/>
  <c r="B1603" i="2" s="1"/>
  <c r="L197" i="1"/>
  <c r="B1602" i="2" s="1"/>
  <c r="T196" i="1"/>
  <c r="B1601" i="2" s="1"/>
  <c r="S196" i="1"/>
  <c r="B1600" i="2" s="1"/>
  <c r="R196" i="1"/>
  <c r="B1599" i="2" s="1"/>
  <c r="Q196" i="1"/>
  <c r="B1598" i="2" s="1"/>
  <c r="P196" i="1"/>
  <c r="B1597" i="2" s="1"/>
  <c r="O196" i="1"/>
  <c r="B1596" i="2" s="1"/>
  <c r="N196" i="1"/>
  <c r="B1595" i="2" s="1"/>
  <c r="M196" i="1"/>
  <c r="B1594" i="2" s="1"/>
  <c r="L196" i="1"/>
  <c r="B1593" i="2" s="1"/>
  <c r="T195" i="1"/>
  <c r="B1592" i="2" s="1"/>
  <c r="S195" i="1"/>
  <c r="B1591" i="2" s="1"/>
  <c r="R195" i="1"/>
  <c r="B1590" i="2" s="1"/>
  <c r="Q195" i="1"/>
  <c r="B1589" i="2" s="1"/>
  <c r="P195" i="1"/>
  <c r="B1588" i="2" s="1"/>
  <c r="O195" i="1"/>
  <c r="B1587" i="2" s="1"/>
  <c r="N195" i="1"/>
  <c r="B1586" i="2" s="1"/>
  <c r="M195" i="1"/>
  <c r="B1585" i="2" s="1"/>
  <c r="L195" i="1"/>
  <c r="B1584" i="2" s="1"/>
  <c r="T194" i="1"/>
  <c r="B1583" i="2" s="1"/>
  <c r="S194" i="1"/>
  <c r="B1582" i="2" s="1"/>
  <c r="R194" i="1"/>
  <c r="B1581" i="2" s="1"/>
  <c r="Q194" i="1"/>
  <c r="B1580" i="2" s="1"/>
  <c r="P194" i="1"/>
  <c r="B1579" i="2" s="1"/>
  <c r="O194" i="1"/>
  <c r="B1578" i="2" s="1"/>
  <c r="N194" i="1"/>
  <c r="B1577" i="2" s="1"/>
  <c r="M194" i="1"/>
  <c r="B1576" i="2" s="1"/>
  <c r="L194" i="1"/>
  <c r="B1575" i="2" s="1"/>
  <c r="T193" i="1"/>
  <c r="B1574" i="2" s="1"/>
  <c r="S193" i="1"/>
  <c r="B1573" i="2" s="1"/>
  <c r="R193" i="1"/>
  <c r="B1572" i="2" s="1"/>
  <c r="Q193" i="1"/>
  <c r="B1571" i="2" s="1"/>
  <c r="P193" i="1"/>
  <c r="B1570" i="2" s="1"/>
  <c r="O193" i="1"/>
  <c r="B1569" i="2" s="1"/>
  <c r="N193" i="1"/>
  <c r="B1568" i="2" s="1"/>
  <c r="M193" i="1"/>
  <c r="B1567" i="2" s="1"/>
  <c r="L193" i="1"/>
  <c r="B1566" i="2" s="1"/>
  <c r="T192" i="1"/>
  <c r="B1565" i="2" s="1"/>
  <c r="S192" i="1"/>
  <c r="B1564" i="2" s="1"/>
  <c r="R192" i="1"/>
  <c r="B1563" i="2" s="1"/>
  <c r="Q192" i="1"/>
  <c r="B1562" i="2" s="1"/>
  <c r="P192" i="1"/>
  <c r="B1561" i="2" s="1"/>
  <c r="O192" i="1"/>
  <c r="B1560" i="2" s="1"/>
  <c r="N192" i="1"/>
  <c r="B1559" i="2" s="1"/>
  <c r="M192" i="1"/>
  <c r="B1558" i="2" s="1"/>
  <c r="L192" i="1"/>
  <c r="B1557" i="2" s="1"/>
  <c r="T191" i="1"/>
  <c r="B1556" i="2" s="1"/>
  <c r="S191" i="1"/>
  <c r="B1555" i="2" s="1"/>
  <c r="R191" i="1"/>
  <c r="B1554" i="2" s="1"/>
  <c r="Q191" i="1"/>
  <c r="B1553" i="2" s="1"/>
  <c r="P191" i="1"/>
  <c r="B1552" i="2" s="1"/>
  <c r="O191" i="1"/>
  <c r="B1551" i="2" s="1"/>
  <c r="N191" i="1"/>
  <c r="B1550" i="2" s="1"/>
  <c r="M191" i="1"/>
  <c r="B1549" i="2" s="1"/>
  <c r="L191" i="1"/>
  <c r="B1548" i="2" s="1"/>
  <c r="T190" i="1"/>
  <c r="B1547" i="2" s="1"/>
  <c r="S190" i="1"/>
  <c r="B1546" i="2" s="1"/>
  <c r="R190" i="1"/>
  <c r="B1545" i="2" s="1"/>
  <c r="Q190" i="1"/>
  <c r="B1544" i="2" s="1"/>
  <c r="P190" i="1"/>
  <c r="B1543" i="2" s="1"/>
  <c r="O190" i="1"/>
  <c r="B1542" i="2" s="1"/>
  <c r="N190" i="1"/>
  <c r="B1541" i="2" s="1"/>
  <c r="M190" i="1"/>
  <c r="B1540" i="2" s="1"/>
  <c r="L190" i="1"/>
  <c r="B1539" i="2" s="1"/>
  <c r="U189" i="1"/>
  <c r="T189" i="1"/>
  <c r="B1538" i="2" s="1"/>
  <c r="S189" i="1"/>
  <c r="B1537" i="2" s="1"/>
  <c r="R189" i="1"/>
  <c r="B1536" i="2" s="1"/>
  <c r="Q189" i="1"/>
  <c r="B1535" i="2" s="1"/>
  <c r="P189" i="1"/>
  <c r="B1534" i="2" s="1"/>
  <c r="O189" i="1"/>
  <c r="B1533" i="2" s="1"/>
  <c r="N189" i="1"/>
  <c r="B1532" i="2" s="1"/>
  <c r="M189" i="1"/>
  <c r="B1531" i="2" s="1"/>
  <c r="L189" i="1"/>
  <c r="B1530" i="2" s="1"/>
  <c r="T188" i="1"/>
  <c r="B1529" i="2" s="1"/>
  <c r="S188" i="1"/>
  <c r="B1528" i="2" s="1"/>
  <c r="R188" i="1"/>
  <c r="B1527" i="2" s="1"/>
  <c r="Q188" i="1"/>
  <c r="B1526" i="2" s="1"/>
  <c r="P188" i="1"/>
  <c r="B1525" i="2" s="1"/>
  <c r="O188" i="1"/>
  <c r="B1524" i="2" s="1"/>
  <c r="N188" i="1"/>
  <c r="B1523" i="2" s="1"/>
  <c r="M188" i="1"/>
  <c r="B1522" i="2" s="1"/>
  <c r="L188" i="1"/>
  <c r="B1521" i="2" s="1"/>
  <c r="T187" i="1"/>
  <c r="B1520" i="2" s="1"/>
  <c r="S187" i="1"/>
  <c r="B1519" i="2" s="1"/>
  <c r="R187" i="1"/>
  <c r="B1518" i="2" s="1"/>
  <c r="Q187" i="1"/>
  <c r="B1517" i="2" s="1"/>
  <c r="P187" i="1"/>
  <c r="B1516" i="2" s="1"/>
  <c r="O187" i="1"/>
  <c r="B1515" i="2" s="1"/>
  <c r="N187" i="1"/>
  <c r="B1514" i="2" s="1"/>
  <c r="M187" i="1"/>
  <c r="B1513" i="2" s="1"/>
  <c r="L187" i="1"/>
  <c r="B1512" i="2" s="1"/>
  <c r="K187" i="1"/>
  <c r="T186" i="1"/>
  <c r="B1511" i="2" s="1"/>
  <c r="S186" i="1"/>
  <c r="B1510" i="2" s="1"/>
  <c r="R186" i="1"/>
  <c r="B1509" i="2" s="1"/>
  <c r="Q186" i="1"/>
  <c r="B1508" i="2" s="1"/>
  <c r="P186" i="1"/>
  <c r="B1507" i="2" s="1"/>
  <c r="O186" i="1"/>
  <c r="B1506" i="2" s="1"/>
  <c r="N186" i="1"/>
  <c r="B1505" i="2" s="1"/>
  <c r="M186" i="1"/>
  <c r="B1504" i="2" s="1"/>
  <c r="L186" i="1"/>
  <c r="B1503" i="2" s="1"/>
  <c r="T185" i="1"/>
  <c r="B1502" i="2" s="1"/>
  <c r="S185" i="1"/>
  <c r="B1501" i="2" s="1"/>
  <c r="R185" i="1"/>
  <c r="B1500" i="2" s="1"/>
  <c r="Q185" i="1"/>
  <c r="B1499" i="2" s="1"/>
  <c r="P185" i="1"/>
  <c r="B1498" i="2" s="1"/>
  <c r="O185" i="1"/>
  <c r="B1497" i="2" s="1"/>
  <c r="N185" i="1"/>
  <c r="B1496" i="2" s="1"/>
  <c r="M185" i="1"/>
  <c r="B1495" i="2" s="1"/>
  <c r="L185" i="1"/>
  <c r="B1494" i="2" s="1"/>
  <c r="T184" i="1"/>
  <c r="B1493" i="2" s="1"/>
  <c r="S184" i="1"/>
  <c r="B1492" i="2" s="1"/>
  <c r="R184" i="1"/>
  <c r="B1491" i="2" s="1"/>
  <c r="Q184" i="1"/>
  <c r="B1490" i="2" s="1"/>
  <c r="P184" i="1"/>
  <c r="B1489" i="2" s="1"/>
  <c r="O184" i="1"/>
  <c r="B1488" i="2" s="1"/>
  <c r="N184" i="1"/>
  <c r="B1487" i="2" s="1"/>
  <c r="M184" i="1"/>
  <c r="B1486" i="2" s="1"/>
  <c r="L184" i="1"/>
  <c r="B1485" i="2" s="1"/>
  <c r="T183" i="1"/>
  <c r="B1484" i="2" s="1"/>
  <c r="S183" i="1"/>
  <c r="B1483" i="2" s="1"/>
  <c r="R183" i="1"/>
  <c r="B1482" i="2" s="1"/>
  <c r="Q183" i="1"/>
  <c r="B1481" i="2" s="1"/>
  <c r="P183" i="1"/>
  <c r="B1480" i="2" s="1"/>
  <c r="O183" i="1"/>
  <c r="B1479" i="2" s="1"/>
  <c r="N183" i="1"/>
  <c r="B1478" i="2" s="1"/>
  <c r="M183" i="1"/>
  <c r="B1477" i="2" s="1"/>
  <c r="L183" i="1"/>
  <c r="B1476" i="2" s="1"/>
  <c r="K183" i="1"/>
  <c r="T182" i="1"/>
  <c r="B1475" i="2" s="1"/>
  <c r="S182" i="1"/>
  <c r="B1474" i="2" s="1"/>
  <c r="R182" i="1"/>
  <c r="B1473" i="2" s="1"/>
  <c r="Q182" i="1"/>
  <c r="B1472" i="2" s="1"/>
  <c r="P182" i="1"/>
  <c r="B1471" i="2" s="1"/>
  <c r="O182" i="1"/>
  <c r="B1470" i="2" s="1"/>
  <c r="N182" i="1"/>
  <c r="B1469" i="2" s="1"/>
  <c r="M182" i="1"/>
  <c r="B1468" i="2" s="1"/>
  <c r="L182" i="1"/>
  <c r="B1467" i="2" s="1"/>
  <c r="T181" i="1"/>
  <c r="B1466" i="2" s="1"/>
  <c r="S181" i="1"/>
  <c r="B1465" i="2" s="1"/>
  <c r="R181" i="1"/>
  <c r="B1464" i="2" s="1"/>
  <c r="Q181" i="1"/>
  <c r="B1463" i="2" s="1"/>
  <c r="P181" i="1"/>
  <c r="B1462" i="2" s="1"/>
  <c r="O181" i="1"/>
  <c r="B1461" i="2" s="1"/>
  <c r="N181" i="1"/>
  <c r="B1460" i="2" s="1"/>
  <c r="M181" i="1"/>
  <c r="B1459" i="2" s="1"/>
  <c r="L181" i="1"/>
  <c r="B1458" i="2" s="1"/>
  <c r="T180" i="1"/>
  <c r="B1457" i="2" s="1"/>
  <c r="S180" i="1"/>
  <c r="B1456" i="2" s="1"/>
  <c r="R180" i="1"/>
  <c r="B1455" i="2" s="1"/>
  <c r="Q180" i="1"/>
  <c r="B1454" i="2" s="1"/>
  <c r="P180" i="1"/>
  <c r="B1453" i="2" s="1"/>
  <c r="O180" i="1"/>
  <c r="B1452" i="2" s="1"/>
  <c r="N180" i="1"/>
  <c r="B1451" i="2" s="1"/>
  <c r="M180" i="1"/>
  <c r="B1450" i="2" s="1"/>
  <c r="L180" i="1"/>
  <c r="B1449" i="2" s="1"/>
  <c r="T179" i="1"/>
  <c r="B1448" i="2" s="1"/>
  <c r="S179" i="1"/>
  <c r="B1447" i="2" s="1"/>
  <c r="R179" i="1"/>
  <c r="B1446" i="2" s="1"/>
  <c r="Q179" i="1"/>
  <c r="B1445" i="2" s="1"/>
  <c r="P179" i="1"/>
  <c r="B1444" i="2" s="1"/>
  <c r="O179" i="1"/>
  <c r="B1443" i="2" s="1"/>
  <c r="N179" i="1"/>
  <c r="B1442" i="2" s="1"/>
  <c r="M179" i="1"/>
  <c r="B1441" i="2" s="1"/>
  <c r="L179" i="1"/>
  <c r="B1440" i="2" s="1"/>
  <c r="T178" i="1"/>
  <c r="B1439" i="2" s="1"/>
  <c r="S178" i="1"/>
  <c r="B1438" i="2" s="1"/>
  <c r="R178" i="1"/>
  <c r="B1437" i="2" s="1"/>
  <c r="Q178" i="1"/>
  <c r="B1436" i="2" s="1"/>
  <c r="P178" i="1"/>
  <c r="B1435" i="2" s="1"/>
  <c r="O178" i="1"/>
  <c r="B1434" i="2" s="1"/>
  <c r="N178" i="1"/>
  <c r="B1433" i="2" s="1"/>
  <c r="M178" i="1"/>
  <c r="B1432" i="2" s="1"/>
  <c r="L178" i="1"/>
  <c r="B1431" i="2" s="1"/>
  <c r="T177" i="1"/>
  <c r="B1430" i="2" s="1"/>
  <c r="S177" i="1"/>
  <c r="B1429" i="2" s="1"/>
  <c r="R177" i="1"/>
  <c r="B1428" i="2" s="1"/>
  <c r="Q177" i="1"/>
  <c r="B1427" i="2" s="1"/>
  <c r="P177" i="1"/>
  <c r="B1426" i="2" s="1"/>
  <c r="O177" i="1"/>
  <c r="B1425" i="2" s="1"/>
  <c r="N177" i="1"/>
  <c r="B1424" i="2" s="1"/>
  <c r="M177" i="1"/>
  <c r="B1423" i="2" s="1"/>
  <c r="L177" i="1"/>
  <c r="B1422" i="2" s="1"/>
  <c r="T176" i="1"/>
  <c r="B1421" i="2" s="1"/>
  <c r="S176" i="1"/>
  <c r="B1420" i="2" s="1"/>
  <c r="R176" i="1"/>
  <c r="B1419" i="2" s="1"/>
  <c r="Q176" i="1"/>
  <c r="B1418" i="2" s="1"/>
  <c r="P176" i="1"/>
  <c r="B1417" i="2" s="1"/>
  <c r="O176" i="1"/>
  <c r="B1416" i="2" s="1"/>
  <c r="N176" i="1"/>
  <c r="B1415" i="2" s="1"/>
  <c r="M176" i="1"/>
  <c r="B1414" i="2" s="1"/>
  <c r="L176" i="1"/>
  <c r="B1413" i="2" s="1"/>
  <c r="T175" i="1"/>
  <c r="B1412" i="2" s="1"/>
  <c r="S175" i="1"/>
  <c r="B1411" i="2" s="1"/>
  <c r="R175" i="1"/>
  <c r="B1410" i="2" s="1"/>
  <c r="Q175" i="1"/>
  <c r="B1409" i="2" s="1"/>
  <c r="P175" i="1"/>
  <c r="B1408" i="2" s="1"/>
  <c r="O175" i="1"/>
  <c r="B1407" i="2" s="1"/>
  <c r="N175" i="1"/>
  <c r="B1406" i="2" s="1"/>
  <c r="M175" i="1"/>
  <c r="B1405" i="2" s="1"/>
  <c r="L175" i="1"/>
  <c r="B1404" i="2" s="1"/>
  <c r="T174" i="1"/>
  <c r="B1403" i="2" s="1"/>
  <c r="S174" i="1"/>
  <c r="B1402" i="2" s="1"/>
  <c r="R174" i="1"/>
  <c r="B1401" i="2" s="1"/>
  <c r="Q174" i="1"/>
  <c r="B1400" i="2" s="1"/>
  <c r="P174" i="1"/>
  <c r="B1399" i="2" s="1"/>
  <c r="O174" i="1"/>
  <c r="B1398" i="2" s="1"/>
  <c r="N174" i="1"/>
  <c r="B1397" i="2" s="1"/>
  <c r="M174" i="1"/>
  <c r="B1396" i="2" s="1"/>
  <c r="L174" i="1"/>
  <c r="B1395" i="2" s="1"/>
  <c r="U173" i="1"/>
  <c r="T173" i="1"/>
  <c r="B1394" i="2" s="1"/>
  <c r="S173" i="1"/>
  <c r="B1393" i="2" s="1"/>
  <c r="R173" i="1"/>
  <c r="B1392" i="2" s="1"/>
  <c r="Q173" i="1"/>
  <c r="B1391" i="2" s="1"/>
  <c r="P173" i="1"/>
  <c r="B1390" i="2" s="1"/>
  <c r="O173" i="1"/>
  <c r="B1389" i="2" s="1"/>
  <c r="N173" i="1"/>
  <c r="B1388" i="2" s="1"/>
  <c r="M173" i="1"/>
  <c r="B1387" i="2" s="1"/>
  <c r="L173" i="1"/>
  <c r="B1386" i="2" s="1"/>
  <c r="T172" i="1"/>
  <c r="B1385" i="2" s="1"/>
  <c r="S172" i="1"/>
  <c r="B1384" i="2" s="1"/>
  <c r="R172" i="1"/>
  <c r="B1383" i="2" s="1"/>
  <c r="Q172" i="1"/>
  <c r="B1382" i="2" s="1"/>
  <c r="P172" i="1"/>
  <c r="B1381" i="2" s="1"/>
  <c r="O172" i="1"/>
  <c r="B1380" i="2" s="1"/>
  <c r="N172" i="1"/>
  <c r="B1379" i="2" s="1"/>
  <c r="M172" i="1"/>
  <c r="B1378" i="2" s="1"/>
  <c r="L172" i="1"/>
  <c r="B1377" i="2" s="1"/>
  <c r="T171" i="1"/>
  <c r="B1376" i="2" s="1"/>
  <c r="S171" i="1"/>
  <c r="B1375" i="2" s="1"/>
  <c r="R171" i="1"/>
  <c r="B1374" i="2" s="1"/>
  <c r="Q171" i="1"/>
  <c r="B1373" i="2" s="1"/>
  <c r="P171" i="1"/>
  <c r="B1372" i="2" s="1"/>
  <c r="O171" i="1"/>
  <c r="B1371" i="2" s="1"/>
  <c r="N171" i="1"/>
  <c r="B1370" i="2" s="1"/>
  <c r="M171" i="1"/>
  <c r="B1369" i="2" s="1"/>
  <c r="L171" i="1"/>
  <c r="B1368" i="2" s="1"/>
  <c r="K171" i="1"/>
  <c r="T170" i="1"/>
  <c r="B1367" i="2" s="1"/>
  <c r="S170" i="1"/>
  <c r="B1366" i="2" s="1"/>
  <c r="R170" i="1"/>
  <c r="B1365" i="2" s="1"/>
  <c r="Q170" i="1"/>
  <c r="B1364" i="2" s="1"/>
  <c r="P170" i="1"/>
  <c r="B1363" i="2" s="1"/>
  <c r="O170" i="1"/>
  <c r="B1362" i="2" s="1"/>
  <c r="N170" i="1"/>
  <c r="B1361" i="2" s="1"/>
  <c r="M170" i="1"/>
  <c r="B1360" i="2" s="1"/>
  <c r="L170" i="1"/>
  <c r="B1359" i="2" s="1"/>
  <c r="T169" i="1"/>
  <c r="B1358" i="2" s="1"/>
  <c r="S169" i="1"/>
  <c r="B1357" i="2" s="1"/>
  <c r="R169" i="1"/>
  <c r="B1356" i="2" s="1"/>
  <c r="Q169" i="1"/>
  <c r="B1355" i="2" s="1"/>
  <c r="P169" i="1"/>
  <c r="B1354" i="2" s="1"/>
  <c r="O169" i="1"/>
  <c r="B1353" i="2" s="1"/>
  <c r="N169" i="1"/>
  <c r="B1352" i="2" s="1"/>
  <c r="M169" i="1"/>
  <c r="B1351" i="2" s="1"/>
  <c r="L169" i="1"/>
  <c r="B1350" i="2" s="1"/>
  <c r="T168" i="1"/>
  <c r="B1349" i="2" s="1"/>
  <c r="S168" i="1"/>
  <c r="B1348" i="2" s="1"/>
  <c r="R168" i="1"/>
  <c r="B1347" i="2" s="1"/>
  <c r="Q168" i="1"/>
  <c r="B1346" i="2" s="1"/>
  <c r="P168" i="1"/>
  <c r="B1345" i="2" s="1"/>
  <c r="O168" i="1"/>
  <c r="B1344" i="2" s="1"/>
  <c r="N168" i="1"/>
  <c r="B1343" i="2" s="1"/>
  <c r="M168" i="1"/>
  <c r="B1342" i="2" s="1"/>
  <c r="L168" i="1"/>
  <c r="B1341" i="2" s="1"/>
  <c r="T167" i="1"/>
  <c r="B1340" i="2" s="1"/>
  <c r="S167" i="1"/>
  <c r="B1339" i="2" s="1"/>
  <c r="R167" i="1"/>
  <c r="B1338" i="2" s="1"/>
  <c r="Q167" i="1"/>
  <c r="B1337" i="2" s="1"/>
  <c r="P167" i="1"/>
  <c r="B1336" i="2" s="1"/>
  <c r="O167" i="1"/>
  <c r="B1335" i="2" s="1"/>
  <c r="N167" i="1"/>
  <c r="B1334" i="2" s="1"/>
  <c r="M167" i="1"/>
  <c r="B1333" i="2" s="1"/>
  <c r="L167" i="1"/>
  <c r="B1332" i="2" s="1"/>
  <c r="K167" i="1"/>
  <c r="T166" i="1"/>
  <c r="B1331" i="2" s="1"/>
  <c r="S166" i="1"/>
  <c r="B1330" i="2" s="1"/>
  <c r="R166" i="1"/>
  <c r="B1329" i="2" s="1"/>
  <c r="Q166" i="1"/>
  <c r="B1328" i="2" s="1"/>
  <c r="P166" i="1"/>
  <c r="B1327" i="2" s="1"/>
  <c r="O166" i="1"/>
  <c r="B1326" i="2" s="1"/>
  <c r="N166" i="1"/>
  <c r="B1325" i="2" s="1"/>
  <c r="M166" i="1"/>
  <c r="B1324" i="2" s="1"/>
  <c r="L166" i="1"/>
  <c r="B1323" i="2" s="1"/>
  <c r="T165" i="1"/>
  <c r="B1322" i="2" s="1"/>
  <c r="S165" i="1"/>
  <c r="B1321" i="2" s="1"/>
  <c r="R165" i="1"/>
  <c r="B1320" i="2" s="1"/>
  <c r="Q165" i="1"/>
  <c r="B1319" i="2" s="1"/>
  <c r="P165" i="1"/>
  <c r="B1318" i="2" s="1"/>
  <c r="O165" i="1"/>
  <c r="B1317" i="2" s="1"/>
  <c r="N165" i="1"/>
  <c r="B1316" i="2" s="1"/>
  <c r="M165" i="1"/>
  <c r="B1315" i="2" s="1"/>
  <c r="L165" i="1"/>
  <c r="B1314" i="2" s="1"/>
  <c r="T164" i="1"/>
  <c r="B1313" i="2" s="1"/>
  <c r="S164" i="1"/>
  <c r="B1312" i="2" s="1"/>
  <c r="R164" i="1"/>
  <c r="B1311" i="2" s="1"/>
  <c r="Q164" i="1"/>
  <c r="B1310" i="2" s="1"/>
  <c r="P164" i="1"/>
  <c r="B1309" i="2" s="1"/>
  <c r="O164" i="1"/>
  <c r="B1308" i="2" s="1"/>
  <c r="N164" i="1"/>
  <c r="B1307" i="2" s="1"/>
  <c r="M164" i="1"/>
  <c r="B1306" i="2" s="1"/>
  <c r="L164" i="1"/>
  <c r="B1305" i="2" s="1"/>
  <c r="T163" i="1"/>
  <c r="B1304" i="2" s="1"/>
  <c r="S163" i="1"/>
  <c r="B1303" i="2" s="1"/>
  <c r="R163" i="1"/>
  <c r="B1302" i="2" s="1"/>
  <c r="Q163" i="1"/>
  <c r="B1301" i="2" s="1"/>
  <c r="P163" i="1"/>
  <c r="B1300" i="2" s="1"/>
  <c r="O163" i="1"/>
  <c r="B1299" i="2" s="1"/>
  <c r="N163" i="1"/>
  <c r="B1298" i="2" s="1"/>
  <c r="M163" i="1"/>
  <c r="B1297" i="2" s="1"/>
  <c r="L163" i="1"/>
  <c r="B1296" i="2" s="1"/>
  <c r="T162" i="1"/>
  <c r="B1295" i="2" s="1"/>
  <c r="S162" i="1"/>
  <c r="B1294" i="2" s="1"/>
  <c r="R162" i="1"/>
  <c r="B1293" i="2" s="1"/>
  <c r="Q162" i="1"/>
  <c r="B1292" i="2" s="1"/>
  <c r="P162" i="1"/>
  <c r="B1291" i="2" s="1"/>
  <c r="O162" i="1"/>
  <c r="B1290" i="2" s="1"/>
  <c r="N162" i="1"/>
  <c r="B1289" i="2" s="1"/>
  <c r="M162" i="1"/>
  <c r="B1288" i="2" s="1"/>
  <c r="L162" i="1"/>
  <c r="B1287" i="2" s="1"/>
  <c r="T161" i="1"/>
  <c r="B1286" i="2" s="1"/>
  <c r="S161" i="1"/>
  <c r="B1285" i="2" s="1"/>
  <c r="R161" i="1"/>
  <c r="B1284" i="2" s="1"/>
  <c r="Q161" i="1"/>
  <c r="B1283" i="2" s="1"/>
  <c r="P161" i="1"/>
  <c r="B1282" i="2" s="1"/>
  <c r="O161" i="1"/>
  <c r="B1281" i="2" s="1"/>
  <c r="N161" i="1"/>
  <c r="B1280" i="2" s="1"/>
  <c r="M161" i="1"/>
  <c r="B1279" i="2" s="1"/>
  <c r="L161" i="1"/>
  <c r="B1278" i="2" s="1"/>
  <c r="T160" i="1"/>
  <c r="B1277" i="2" s="1"/>
  <c r="S160" i="1"/>
  <c r="B1276" i="2" s="1"/>
  <c r="R160" i="1"/>
  <c r="B1275" i="2" s="1"/>
  <c r="Q160" i="1"/>
  <c r="B1274" i="2" s="1"/>
  <c r="P160" i="1"/>
  <c r="B1273" i="2" s="1"/>
  <c r="O160" i="1"/>
  <c r="B1272" i="2" s="1"/>
  <c r="N160" i="1"/>
  <c r="B1271" i="2" s="1"/>
  <c r="M160" i="1"/>
  <c r="B1270" i="2" s="1"/>
  <c r="L160" i="1"/>
  <c r="B1269" i="2" s="1"/>
  <c r="T159" i="1"/>
  <c r="B1268" i="2" s="1"/>
  <c r="S159" i="1"/>
  <c r="B1267" i="2" s="1"/>
  <c r="R159" i="1"/>
  <c r="B1266" i="2" s="1"/>
  <c r="Q159" i="1"/>
  <c r="B1265" i="2" s="1"/>
  <c r="P159" i="1"/>
  <c r="B1264" i="2" s="1"/>
  <c r="O159" i="1"/>
  <c r="B1263" i="2" s="1"/>
  <c r="N159" i="1"/>
  <c r="B1262" i="2" s="1"/>
  <c r="M159" i="1"/>
  <c r="B1261" i="2" s="1"/>
  <c r="L159" i="1"/>
  <c r="B1260" i="2" s="1"/>
  <c r="T158" i="1"/>
  <c r="B1259" i="2" s="1"/>
  <c r="S158" i="1"/>
  <c r="B1258" i="2" s="1"/>
  <c r="R158" i="1"/>
  <c r="B1257" i="2" s="1"/>
  <c r="Q158" i="1"/>
  <c r="B1256" i="2" s="1"/>
  <c r="P158" i="1"/>
  <c r="B1255" i="2" s="1"/>
  <c r="O158" i="1"/>
  <c r="B1254" i="2" s="1"/>
  <c r="N158" i="1"/>
  <c r="B1253" i="2" s="1"/>
  <c r="M158" i="1"/>
  <c r="B1252" i="2" s="1"/>
  <c r="L158" i="1"/>
  <c r="B1251" i="2" s="1"/>
  <c r="U157" i="1"/>
  <c r="T157" i="1"/>
  <c r="B1250" i="2" s="1"/>
  <c r="S157" i="1"/>
  <c r="B1249" i="2" s="1"/>
  <c r="R157" i="1"/>
  <c r="B1248" i="2" s="1"/>
  <c r="Q157" i="1"/>
  <c r="B1247" i="2" s="1"/>
  <c r="P157" i="1"/>
  <c r="B1246" i="2" s="1"/>
  <c r="O157" i="1"/>
  <c r="B1245" i="2" s="1"/>
  <c r="N157" i="1"/>
  <c r="B1244" i="2" s="1"/>
  <c r="M157" i="1"/>
  <c r="B1243" i="2" s="1"/>
  <c r="L157" i="1"/>
  <c r="B1242" i="2" s="1"/>
  <c r="T156" i="1"/>
  <c r="B1241" i="2" s="1"/>
  <c r="S156" i="1"/>
  <c r="B1240" i="2" s="1"/>
  <c r="R156" i="1"/>
  <c r="B1239" i="2" s="1"/>
  <c r="Q156" i="1"/>
  <c r="B1238" i="2" s="1"/>
  <c r="P156" i="1"/>
  <c r="B1237" i="2" s="1"/>
  <c r="O156" i="1"/>
  <c r="B1236" i="2" s="1"/>
  <c r="N156" i="1"/>
  <c r="B1235" i="2" s="1"/>
  <c r="M156" i="1"/>
  <c r="B1234" i="2" s="1"/>
  <c r="L156" i="1"/>
  <c r="B1233" i="2" s="1"/>
  <c r="T155" i="1"/>
  <c r="B1232" i="2" s="1"/>
  <c r="S155" i="1"/>
  <c r="B1231" i="2" s="1"/>
  <c r="R155" i="1"/>
  <c r="B1230" i="2" s="1"/>
  <c r="Q155" i="1"/>
  <c r="B1229" i="2" s="1"/>
  <c r="P155" i="1"/>
  <c r="B1228" i="2" s="1"/>
  <c r="O155" i="1"/>
  <c r="B1227" i="2" s="1"/>
  <c r="N155" i="1"/>
  <c r="B1226" i="2" s="1"/>
  <c r="M155" i="1"/>
  <c r="B1225" i="2" s="1"/>
  <c r="L155" i="1"/>
  <c r="B1224" i="2" s="1"/>
  <c r="K155" i="1"/>
  <c r="T154" i="1"/>
  <c r="B1223" i="2" s="1"/>
  <c r="S154" i="1"/>
  <c r="B1222" i="2" s="1"/>
  <c r="R154" i="1"/>
  <c r="B1221" i="2" s="1"/>
  <c r="Q154" i="1"/>
  <c r="B1220" i="2" s="1"/>
  <c r="P154" i="1"/>
  <c r="B1219" i="2" s="1"/>
  <c r="O154" i="1"/>
  <c r="B1218" i="2" s="1"/>
  <c r="N154" i="1"/>
  <c r="B1217" i="2" s="1"/>
  <c r="M154" i="1"/>
  <c r="B1216" i="2" s="1"/>
  <c r="L154" i="1"/>
  <c r="B1215" i="2" s="1"/>
  <c r="T153" i="1"/>
  <c r="B1214" i="2" s="1"/>
  <c r="S153" i="1"/>
  <c r="B1213" i="2" s="1"/>
  <c r="R153" i="1"/>
  <c r="B1212" i="2" s="1"/>
  <c r="Q153" i="1"/>
  <c r="B1211" i="2" s="1"/>
  <c r="P153" i="1"/>
  <c r="B1210" i="2" s="1"/>
  <c r="O153" i="1"/>
  <c r="B1209" i="2" s="1"/>
  <c r="N153" i="1"/>
  <c r="B1208" i="2" s="1"/>
  <c r="M153" i="1"/>
  <c r="B1207" i="2" s="1"/>
  <c r="L153" i="1"/>
  <c r="B1206" i="2" s="1"/>
  <c r="T152" i="1"/>
  <c r="B1205" i="2" s="1"/>
  <c r="S152" i="1"/>
  <c r="B1204" i="2" s="1"/>
  <c r="R152" i="1"/>
  <c r="B1203" i="2" s="1"/>
  <c r="Q152" i="1"/>
  <c r="B1202" i="2" s="1"/>
  <c r="P152" i="1"/>
  <c r="B1201" i="2" s="1"/>
  <c r="O152" i="1"/>
  <c r="B1200" i="2" s="1"/>
  <c r="N152" i="1"/>
  <c r="B1199" i="2" s="1"/>
  <c r="M152" i="1"/>
  <c r="B1198" i="2" s="1"/>
  <c r="L152" i="1"/>
  <c r="B1197" i="2" s="1"/>
  <c r="T151" i="1"/>
  <c r="B1196" i="2" s="1"/>
  <c r="S151" i="1"/>
  <c r="B1195" i="2" s="1"/>
  <c r="R151" i="1"/>
  <c r="B1194" i="2" s="1"/>
  <c r="Q151" i="1"/>
  <c r="B1193" i="2" s="1"/>
  <c r="P151" i="1"/>
  <c r="B1192" i="2" s="1"/>
  <c r="O151" i="1"/>
  <c r="B1191" i="2" s="1"/>
  <c r="N151" i="1"/>
  <c r="B1190" i="2" s="1"/>
  <c r="M151" i="1"/>
  <c r="B1189" i="2" s="1"/>
  <c r="L151" i="1"/>
  <c r="B1188" i="2" s="1"/>
  <c r="K151" i="1"/>
  <c r="T150" i="1"/>
  <c r="B1187" i="2" s="1"/>
  <c r="S150" i="1"/>
  <c r="B1186" i="2" s="1"/>
  <c r="R150" i="1"/>
  <c r="B1185" i="2" s="1"/>
  <c r="Q150" i="1"/>
  <c r="B1184" i="2" s="1"/>
  <c r="P150" i="1"/>
  <c r="B1183" i="2" s="1"/>
  <c r="O150" i="1"/>
  <c r="B1182" i="2" s="1"/>
  <c r="N150" i="1"/>
  <c r="B1181" i="2" s="1"/>
  <c r="M150" i="1"/>
  <c r="B1180" i="2" s="1"/>
  <c r="L150" i="1"/>
  <c r="B1179" i="2" s="1"/>
  <c r="T149" i="1"/>
  <c r="B1178" i="2" s="1"/>
  <c r="S149" i="1"/>
  <c r="B1177" i="2" s="1"/>
  <c r="R149" i="1"/>
  <c r="B1176" i="2" s="1"/>
  <c r="Q149" i="1"/>
  <c r="B1175" i="2" s="1"/>
  <c r="P149" i="1"/>
  <c r="B1174" i="2" s="1"/>
  <c r="O149" i="1"/>
  <c r="B1173" i="2" s="1"/>
  <c r="N149" i="1"/>
  <c r="B1172" i="2" s="1"/>
  <c r="M149" i="1"/>
  <c r="B1171" i="2" s="1"/>
  <c r="L149" i="1"/>
  <c r="B1170" i="2" s="1"/>
  <c r="T148" i="1"/>
  <c r="B1169" i="2" s="1"/>
  <c r="S148" i="1"/>
  <c r="B1168" i="2" s="1"/>
  <c r="R148" i="1"/>
  <c r="B1167" i="2" s="1"/>
  <c r="Q148" i="1"/>
  <c r="B1166" i="2" s="1"/>
  <c r="P148" i="1"/>
  <c r="B1165" i="2" s="1"/>
  <c r="O148" i="1"/>
  <c r="B1164" i="2" s="1"/>
  <c r="N148" i="1"/>
  <c r="B1163" i="2" s="1"/>
  <c r="M148" i="1"/>
  <c r="B1162" i="2" s="1"/>
  <c r="L148" i="1"/>
  <c r="B1161" i="2" s="1"/>
  <c r="K148" i="1"/>
  <c r="T147" i="1"/>
  <c r="B1160" i="2" s="1"/>
  <c r="S147" i="1"/>
  <c r="B1159" i="2" s="1"/>
  <c r="R147" i="1"/>
  <c r="B1158" i="2" s="1"/>
  <c r="Q147" i="1"/>
  <c r="B1157" i="2" s="1"/>
  <c r="P147" i="1"/>
  <c r="B1156" i="2" s="1"/>
  <c r="O147" i="1"/>
  <c r="B1155" i="2" s="1"/>
  <c r="N147" i="1"/>
  <c r="B1154" i="2" s="1"/>
  <c r="M147" i="1"/>
  <c r="B1153" i="2" s="1"/>
  <c r="L147" i="1"/>
  <c r="B1152" i="2" s="1"/>
  <c r="T146" i="1"/>
  <c r="B1151" i="2" s="1"/>
  <c r="S146" i="1"/>
  <c r="B1150" i="2" s="1"/>
  <c r="R146" i="1"/>
  <c r="B1149" i="2" s="1"/>
  <c r="Q146" i="1"/>
  <c r="B1148" i="2" s="1"/>
  <c r="P146" i="1"/>
  <c r="B1147" i="2" s="1"/>
  <c r="O146" i="1"/>
  <c r="B1146" i="2" s="1"/>
  <c r="N146" i="1"/>
  <c r="B1145" i="2" s="1"/>
  <c r="M146" i="1"/>
  <c r="B1144" i="2" s="1"/>
  <c r="L146" i="1"/>
  <c r="B1143" i="2" s="1"/>
  <c r="T145" i="1"/>
  <c r="B1142" i="2" s="1"/>
  <c r="S145" i="1"/>
  <c r="B1141" i="2" s="1"/>
  <c r="R145" i="1"/>
  <c r="B1140" i="2" s="1"/>
  <c r="Q145" i="1"/>
  <c r="B1139" i="2" s="1"/>
  <c r="P145" i="1"/>
  <c r="B1138" i="2" s="1"/>
  <c r="O145" i="1"/>
  <c r="B1137" i="2" s="1"/>
  <c r="N145" i="1"/>
  <c r="B1136" i="2" s="1"/>
  <c r="M145" i="1"/>
  <c r="B1135" i="2" s="1"/>
  <c r="L145" i="1"/>
  <c r="B1134" i="2" s="1"/>
  <c r="T144" i="1"/>
  <c r="B1133" i="2" s="1"/>
  <c r="S144" i="1"/>
  <c r="B1132" i="2" s="1"/>
  <c r="R144" i="1"/>
  <c r="B1131" i="2" s="1"/>
  <c r="Q144" i="1"/>
  <c r="B1130" i="2" s="1"/>
  <c r="P144" i="1"/>
  <c r="B1129" i="2" s="1"/>
  <c r="O144" i="1"/>
  <c r="B1128" i="2" s="1"/>
  <c r="N144" i="1"/>
  <c r="B1127" i="2" s="1"/>
  <c r="M144" i="1"/>
  <c r="B1126" i="2" s="1"/>
  <c r="L144" i="1"/>
  <c r="B1125" i="2" s="1"/>
  <c r="T143" i="1"/>
  <c r="B1124" i="2" s="1"/>
  <c r="S143" i="1"/>
  <c r="B1123" i="2" s="1"/>
  <c r="R143" i="1"/>
  <c r="B1122" i="2" s="1"/>
  <c r="Q143" i="1"/>
  <c r="B1121" i="2" s="1"/>
  <c r="P143" i="1"/>
  <c r="B1120" i="2" s="1"/>
  <c r="O143" i="1"/>
  <c r="B1119" i="2" s="1"/>
  <c r="N143" i="1"/>
  <c r="B1118" i="2" s="1"/>
  <c r="M143" i="1"/>
  <c r="B1117" i="2" s="1"/>
  <c r="L143" i="1"/>
  <c r="B1116" i="2" s="1"/>
  <c r="T142" i="1"/>
  <c r="B1115" i="2" s="1"/>
  <c r="S142" i="1"/>
  <c r="B1114" i="2" s="1"/>
  <c r="R142" i="1"/>
  <c r="B1113" i="2" s="1"/>
  <c r="Q142" i="1"/>
  <c r="B1112" i="2" s="1"/>
  <c r="P142" i="1"/>
  <c r="B1111" i="2" s="1"/>
  <c r="O142" i="1"/>
  <c r="B1110" i="2" s="1"/>
  <c r="N142" i="1"/>
  <c r="B1109" i="2" s="1"/>
  <c r="M142" i="1"/>
  <c r="B1108" i="2" s="1"/>
  <c r="L142" i="1"/>
  <c r="B1107" i="2" s="1"/>
  <c r="U141" i="1"/>
  <c r="T141" i="1"/>
  <c r="B1106" i="2" s="1"/>
  <c r="S141" i="1"/>
  <c r="B1105" i="2" s="1"/>
  <c r="R141" i="1"/>
  <c r="B1104" i="2" s="1"/>
  <c r="Q141" i="1"/>
  <c r="B1103" i="2" s="1"/>
  <c r="P141" i="1"/>
  <c r="B1102" i="2" s="1"/>
  <c r="O141" i="1"/>
  <c r="B1101" i="2" s="1"/>
  <c r="N141" i="1"/>
  <c r="B1100" i="2" s="1"/>
  <c r="M141" i="1"/>
  <c r="B1099" i="2" s="1"/>
  <c r="L141" i="1"/>
  <c r="B1098" i="2" s="1"/>
  <c r="T140" i="1"/>
  <c r="B1097" i="2" s="1"/>
  <c r="S140" i="1"/>
  <c r="B1096" i="2" s="1"/>
  <c r="R140" i="1"/>
  <c r="B1095" i="2" s="1"/>
  <c r="Q140" i="1"/>
  <c r="B1094" i="2" s="1"/>
  <c r="P140" i="1"/>
  <c r="B1093" i="2" s="1"/>
  <c r="O140" i="1"/>
  <c r="B1092" i="2" s="1"/>
  <c r="N140" i="1"/>
  <c r="B1091" i="2" s="1"/>
  <c r="M140" i="1"/>
  <c r="B1090" i="2" s="1"/>
  <c r="L140" i="1"/>
  <c r="B1089" i="2" s="1"/>
  <c r="T139" i="1"/>
  <c r="B1088" i="2" s="1"/>
  <c r="S139" i="1"/>
  <c r="B1087" i="2" s="1"/>
  <c r="R139" i="1"/>
  <c r="B1086" i="2" s="1"/>
  <c r="Q139" i="1"/>
  <c r="B1085" i="2" s="1"/>
  <c r="P139" i="1"/>
  <c r="B1084" i="2" s="1"/>
  <c r="O139" i="1"/>
  <c r="B1083" i="2" s="1"/>
  <c r="N139" i="1"/>
  <c r="B1082" i="2" s="1"/>
  <c r="M139" i="1"/>
  <c r="B1081" i="2" s="1"/>
  <c r="L139" i="1"/>
  <c r="B1080" i="2" s="1"/>
  <c r="K139" i="1"/>
  <c r="T138" i="1"/>
  <c r="B1079" i="2" s="1"/>
  <c r="S138" i="1"/>
  <c r="B1078" i="2" s="1"/>
  <c r="R138" i="1"/>
  <c r="B1077" i="2" s="1"/>
  <c r="Q138" i="1"/>
  <c r="B1076" i="2" s="1"/>
  <c r="P138" i="1"/>
  <c r="B1075" i="2" s="1"/>
  <c r="O138" i="1"/>
  <c r="B1074" i="2" s="1"/>
  <c r="N138" i="1"/>
  <c r="B1073" i="2" s="1"/>
  <c r="M138" i="1"/>
  <c r="B1072" i="2" s="1"/>
  <c r="L138" i="1"/>
  <c r="B1071" i="2" s="1"/>
  <c r="T137" i="1"/>
  <c r="B1070" i="2" s="1"/>
  <c r="S137" i="1"/>
  <c r="B1069" i="2" s="1"/>
  <c r="R137" i="1"/>
  <c r="B1068" i="2" s="1"/>
  <c r="Q137" i="1"/>
  <c r="B1067" i="2" s="1"/>
  <c r="P137" i="1"/>
  <c r="B1066" i="2" s="1"/>
  <c r="O137" i="1"/>
  <c r="B1065" i="2" s="1"/>
  <c r="N137" i="1"/>
  <c r="B1064" i="2" s="1"/>
  <c r="M137" i="1"/>
  <c r="B1063" i="2" s="1"/>
  <c r="L137" i="1"/>
  <c r="B1062" i="2" s="1"/>
  <c r="T136" i="1"/>
  <c r="B1061" i="2" s="1"/>
  <c r="S136" i="1"/>
  <c r="B1060" i="2" s="1"/>
  <c r="R136" i="1"/>
  <c r="B1059" i="2" s="1"/>
  <c r="Q136" i="1"/>
  <c r="B1058" i="2" s="1"/>
  <c r="P136" i="1"/>
  <c r="B1057" i="2" s="1"/>
  <c r="O136" i="1"/>
  <c r="B1056" i="2" s="1"/>
  <c r="N136" i="1"/>
  <c r="B1055" i="2" s="1"/>
  <c r="M136" i="1"/>
  <c r="B1054" i="2" s="1"/>
  <c r="L136" i="1"/>
  <c r="B1053" i="2" s="1"/>
  <c r="T135" i="1"/>
  <c r="B1052" i="2" s="1"/>
  <c r="S135" i="1"/>
  <c r="B1051" i="2" s="1"/>
  <c r="R135" i="1"/>
  <c r="B1050" i="2" s="1"/>
  <c r="Q135" i="1"/>
  <c r="B1049" i="2" s="1"/>
  <c r="P135" i="1"/>
  <c r="B1048" i="2" s="1"/>
  <c r="O135" i="1"/>
  <c r="B1047" i="2" s="1"/>
  <c r="N135" i="1"/>
  <c r="B1046" i="2" s="1"/>
  <c r="M135" i="1"/>
  <c r="B1045" i="2" s="1"/>
  <c r="L135" i="1"/>
  <c r="B1044" i="2" s="1"/>
  <c r="K135" i="1"/>
  <c r="T134" i="1"/>
  <c r="B1043" i="2" s="1"/>
  <c r="S134" i="1"/>
  <c r="B1042" i="2" s="1"/>
  <c r="R134" i="1"/>
  <c r="B1041" i="2" s="1"/>
  <c r="Q134" i="1"/>
  <c r="B1040" i="2" s="1"/>
  <c r="P134" i="1"/>
  <c r="B1039" i="2" s="1"/>
  <c r="O134" i="1"/>
  <c r="B1038" i="2" s="1"/>
  <c r="N134" i="1"/>
  <c r="B1037" i="2" s="1"/>
  <c r="M134" i="1"/>
  <c r="B1036" i="2" s="1"/>
  <c r="L134" i="1"/>
  <c r="B1035" i="2" s="1"/>
  <c r="T133" i="1"/>
  <c r="B1034" i="2" s="1"/>
  <c r="S133" i="1"/>
  <c r="B1033" i="2" s="1"/>
  <c r="R133" i="1"/>
  <c r="B1032" i="2" s="1"/>
  <c r="Q133" i="1"/>
  <c r="B1031" i="2" s="1"/>
  <c r="P133" i="1"/>
  <c r="B1030" i="2" s="1"/>
  <c r="O133" i="1"/>
  <c r="B1029" i="2" s="1"/>
  <c r="N133" i="1"/>
  <c r="B1028" i="2" s="1"/>
  <c r="M133" i="1"/>
  <c r="B1027" i="2" s="1"/>
  <c r="L133" i="1"/>
  <c r="B1026" i="2" s="1"/>
  <c r="T132" i="1"/>
  <c r="B1025" i="2" s="1"/>
  <c r="S132" i="1"/>
  <c r="B1024" i="2" s="1"/>
  <c r="R132" i="1"/>
  <c r="B1023" i="2" s="1"/>
  <c r="Q132" i="1"/>
  <c r="B1022" i="2" s="1"/>
  <c r="P132" i="1"/>
  <c r="B1021" i="2" s="1"/>
  <c r="O132" i="1"/>
  <c r="B1020" i="2" s="1"/>
  <c r="N132" i="1"/>
  <c r="B1019" i="2" s="1"/>
  <c r="M132" i="1"/>
  <c r="B1018" i="2" s="1"/>
  <c r="L132" i="1"/>
  <c r="B1017" i="2" s="1"/>
  <c r="K132" i="1"/>
  <c r="T131" i="1"/>
  <c r="B1016" i="2" s="1"/>
  <c r="S131" i="1"/>
  <c r="B1015" i="2" s="1"/>
  <c r="R131" i="1"/>
  <c r="B1014" i="2" s="1"/>
  <c r="Q131" i="1"/>
  <c r="B1013" i="2" s="1"/>
  <c r="P131" i="1"/>
  <c r="B1012" i="2" s="1"/>
  <c r="O131" i="1"/>
  <c r="B1011" i="2" s="1"/>
  <c r="N131" i="1"/>
  <c r="B1010" i="2" s="1"/>
  <c r="M131" i="1"/>
  <c r="B1009" i="2" s="1"/>
  <c r="L131" i="1"/>
  <c r="B1008" i="2" s="1"/>
  <c r="T130" i="1"/>
  <c r="B1007" i="2" s="1"/>
  <c r="S130" i="1"/>
  <c r="B1006" i="2" s="1"/>
  <c r="R130" i="1"/>
  <c r="B1005" i="2" s="1"/>
  <c r="Q130" i="1"/>
  <c r="B1004" i="2" s="1"/>
  <c r="P130" i="1"/>
  <c r="B1003" i="2" s="1"/>
  <c r="O130" i="1"/>
  <c r="B1002" i="2" s="1"/>
  <c r="N130" i="1"/>
  <c r="B1001" i="2" s="1"/>
  <c r="M130" i="1"/>
  <c r="B1000" i="2" s="1"/>
  <c r="L130" i="1"/>
  <c r="B999" i="2" s="1"/>
  <c r="T129" i="1"/>
  <c r="B998" i="2" s="1"/>
  <c r="S129" i="1"/>
  <c r="B997" i="2" s="1"/>
  <c r="R129" i="1"/>
  <c r="B996" i="2" s="1"/>
  <c r="Q129" i="1"/>
  <c r="B995" i="2" s="1"/>
  <c r="P129" i="1"/>
  <c r="B994" i="2" s="1"/>
  <c r="O129" i="1"/>
  <c r="B993" i="2" s="1"/>
  <c r="N129" i="1"/>
  <c r="B992" i="2" s="1"/>
  <c r="M129" i="1"/>
  <c r="B991" i="2" s="1"/>
  <c r="L129" i="1"/>
  <c r="B990" i="2" s="1"/>
  <c r="K129" i="1"/>
  <c r="T128" i="1"/>
  <c r="B989" i="2" s="1"/>
  <c r="S128" i="1"/>
  <c r="B988" i="2" s="1"/>
  <c r="R128" i="1"/>
  <c r="B987" i="2" s="1"/>
  <c r="Q128" i="1"/>
  <c r="B986" i="2" s="1"/>
  <c r="P128" i="1"/>
  <c r="B985" i="2" s="1"/>
  <c r="O128" i="1"/>
  <c r="B984" i="2" s="1"/>
  <c r="N128" i="1"/>
  <c r="B983" i="2" s="1"/>
  <c r="M128" i="1"/>
  <c r="B982" i="2" s="1"/>
  <c r="L128" i="1"/>
  <c r="B981" i="2" s="1"/>
  <c r="T127" i="1"/>
  <c r="B980" i="2" s="1"/>
  <c r="S127" i="1"/>
  <c r="B979" i="2" s="1"/>
  <c r="R127" i="1"/>
  <c r="B978" i="2" s="1"/>
  <c r="Q127" i="1"/>
  <c r="B977" i="2" s="1"/>
  <c r="P127" i="1"/>
  <c r="B976" i="2" s="1"/>
  <c r="O127" i="1"/>
  <c r="B975" i="2" s="1"/>
  <c r="N127" i="1"/>
  <c r="B974" i="2" s="1"/>
  <c r="M127" i="1"/>
  <c r="B973" i="2" s="1"/>
  <c r="L127" i="1"/>
  <c r="B972" i="2" s="1"/>
  <c r="T126" i="1"/>
  <c r="B971" i="2" s="1"/>
  <c r="S126" i="1"/>
  <c r="B970" i="2" s="1"/>
  <c r="R126" i="1"/>
  <c r="B969" i="2" s="1"/>
  <c r="Q126" i="1"/>
  <c r="B968" i="2" s="1"/>
  <c r="P126" i="1"/>
  <c r="B967" i="2" s="1"/>
  <c r="O126" i="1"/>
  <c r="B966" i="2" s="1"/>
  <c r="N126" i="1"/>
  <c r="B965" i="2" s="1"/>
  <c r="M126" i="1"/>
  <c r="B964" i="2" s="1"/>
  <c r="L126" i="1"/>
  <c r="B963" i="2" s="1"/>
  <c r="U125" i="1"/>
  <c r="T125" i="1"/>
  <c r="B962" i="2" s="1"/>
  <c r="S125" i="1"/>
  <c r="B961" i="2" s="1"/>
  <c r="R125" i="1"/>
  <c r="B960" i="2" s="1"/>
  <c r="Q125" i="1"/>
  <c r="B959" i="2" s="1"/>
  <c r="P125" i="1"/>
  <c r="B958" i="2" s="1"/>
  <c r="O125" i="1"/>
  <c r="B957" i="2" s="1"/>
  <c r="N125" i="1"/>
  <c r="B956" i="2" s="1"/>
  <c r="M125" i="1"/>
  <c r="B955" i="2" s="1"/>
  <c r="L125" i="1"/>
  <c r="B954" i="2" s="1"/>
  <c r="T124" i="1"/>
  <c r="B953" i="2" s="1"/>
  <c r="S124" i="1"/>
  <c r="B952" i="2" s="1"/>
  <c r="R124" i="1"/>
  <c r="B951" i="2" s="1"/>
  <c r="Q124" i="1"/>
  <c r="B950" i="2" s="1"/>
  <c r="P124" i="1"/>
  <c r="B949" i="2" s="1"/>
  <c r="O124" i="1"/>
  <c r="B948" i="2" s="1"/>
  <c r="N124" i="1"/>
  <c r="B947" i="2" s="1"/>
  <c r="M124" i="1"/>
  <c r="B946" i="2" s="1"/>
  <c r="L124" i="1"/>
  <c r="B945" i="2" s="1"/>
  <c r="T123" i="1"/>
  <c r="B944" i="2" s="1"/>
  <c r="S123" i="1"/>
  <c r="B943" i="2" s="1"/>
  <c r="R123" i="1"/>
  <c r="B942" i="2" s="1"/>
  <c r="Q123" i="1"/>
  <c r="B941" i="2" s="1"/>
  <c r="P123" i="1"/>
  <c r="B940" i="2" s="1"/>
  <c r="O123" i="1"/>
  <c r="B939" i="2" s="1"/>
  <c r="N123" i="1"/>
  <c r="B938" i="2" s="1"/>
  <c r="M123" i="1"/>
  <c r="B937" i="2" s="1"/>
  <c r="L123" i="1"/>
  <c r="B936" i="2" s="1"/>
  <c r="K123" i="1"/>
  <c r="T122" i="1"/>
  <c r="B935" i="2" s="1"/>
  <c r="S122" i="1"/>
  <c r="B934" i="2" s="1"/>
  <c r="R122" i="1"/>
  <c r="B933" i="2" s="1"/>
  <c r="Q122" i="1"/>
  <c r="B932" i="2" s="1"/>
  <c r="P122" i="1"/>
  <c r="B931" i="2" s="1"/>
  <c r="O122" i="1"/>
  <c r="B930" i="2" s="1"/>
  <c r="N122" i="1"/>
  <c r="B929" i="2" s="1"/>
  <c r="M122" i="1"/>
  <c r="B928" i="2" s="1"/>
  <c r="L122" i="1"/>
  <c r="B927" i="2" s="1"/>
  <c r="T121" i="1"/>
  <c r="B926" i="2" s="1"/>
  <c r="S121" i="1"/>
  <c r="B925" i="2" s="1"/>
  <c r="R121" i="1"/>
  <c r="B924" i="2" s="1"/>
  <c r="Q121" i="1"/>
  <c r="B923" i="2" s="1"/>
  <c r="P121" i="1"/>
  <c r="B922" i="2" s="1"/>
  <c r="O121" i="1"/>
  <c r="B921" i="2" s="1"/>
  <c r="N121" i="1"/>
  <c r="B920" i="2" s="1"/>
  <c r="M121" i="1"/>
  <c r="B919" i="2" s="1"/>
  <c r="L121" i="1"/>
  <c r="B918" i="2" s="1"/>
  <c r="T120" i="1"/>
  <c r="B917" i="2" s="1"/>
  <c r="S120" i="1"/>
  <c r="B916" i="2" s="1"/>
  <c r="R120" i="1"/>
  <c r="B915" i="2" s="1"/>
  <c r="Q120" i="1"/>
  <c r="B914" i="2" s="1"/>
  <c r="P120" i="1"/>
  <c r="B913" i="2" s="1"/>
  <c r="O120" i="1"/>
  <c r="B912" i="2" s="1"/>
  <c r="N120" i="1"/>
  <c r="B911" i="2" s="1"/>
  <c r="M120" i="1"/>
  <c r="B910" i="2" s="1"/>
  <c r="L120" i="1"/>
  <c r="B909" i="2" s="1"/>
  <c r="T119" i="1"/>
  <c r="B908" i="2" s="1"/>
  <c r="S119" i="1"/>
  <c r="B907" i="2" s="1"/>
  <c r="R119" i="1"/>
  <c r="B906" i="2" s="1"/>
  <c r="Q119" i="1"/>
  <c r="B905" i="2" s="1"/>
  <c r="P119" i="1"/>
  <c r="B904" i="2" s="1"/>
  <c r="O119" i="1"/>
  <c r="B903" i="2" s="1"/>
  <c r="N119" i="1"/>
  <c r="B902" i="2" s="1"/>
  <c r="M119" i="1"/>
  <c r="B901" i="2" s="1"/>
  <c r="L119" i="1"/>
  <c r="B900" i="2" s="1"/>
  <c r="K119" i="1"/>
  <c r="T118" i="1"/>
  <c r="B899" i="2" s="1"/>
  <c r="S118" i="1"/>
  <c r="B898" i="2" s="1"/>
  <c r="R118" i="1"/>
  <c r="B897" i="2" s="1"/>
  <c r="Q118" i="1"/>
  <c r="B896" i="2" s="1"/>
  <c r="P118" i="1"/>
  <c r="B895" i="2" s="1"/>
  <c r="O118" i="1"/>
  <c r="B894" i="2" s="1"/>
  <c r="N118" i="1"/>
  <c r="B893" i="2" s="1"/>
  <c r="M118" i="1"/>
  <c r="B892" i="2" s="1"/>
  <c r="L118" i="1"/>
  <c r="B891" i="2" s="1"/>
  <c r="T117" i="1"/>
  <c r="B890" i="2" s="1"/>
  <c r="S117" i="1"/>
  <c r="B889" i="2" s="1"/>
  <c r="R117" i="1"/>
  <c r="B888" i="2" s="1"/>
  <c r="Q117" i="1"/>
  <c r="B887" i="2" s="1"/>
  <c r="P117" i="1"/>
  <c r="B886" i="2" s="1"/>
  <c r="O117" i="1"/>
  <c r="B885" i="2" s="1"/>
  <c r="N117" i="1"/>
  <c r="B884" i="2" s="1"/>
  <c r="M117" i="1"/>
  <c r="B883" i="2" s="1"/>
  <c r="L117" i="1"/>
  <c r="B882" i="2" s="1"/>
  <c r="T116" i="1"/>
  <c r="B881" i="2" s="1"/>
  <c r="S116" i="1"/>
  <c r="B880" i="2" s="1"/>
  <c r="R116" i="1"/>
  <c r="B879" i="2" s="1"/>
  <c r="Q116" i="1"/>
  <c r="B878" i="2" s="1"/>
  <c r="P116" i="1"/>
  <c r="B877" i="2" s="1"/>
  <c r="O116" i="1"/>
  <c r="B876" i="2" s="1"/>
  <c r="N116" i="1"/>
  <c r="B875" i="2" s="1"/>
  <c r="M116" i="1"/>
  <c r="B874" i="2" s="1"/>
  <c r="L116" i="1"/>
  <c r="B873" i="2" s="1"/>
  <c r="K116" i="1"/>
  <c r="T115" i="1"/>
  <c r="B872" i="2" s="1"/>
  <c r="S115" i="1"/>
  <c r="B871" i="2" s="1"/>
  <c r="R115" i="1"/>
  <c r="B870" i="2" s="1"/>
  <c r="Q115" i="1"/>
  <c r="B869" i="2" s="1"/>
  <c r="P115" i="1"/>
  <c r="B868" i="2" s="1"/>
  <c r="O115" i="1"/>
  <c r="B867" i="2" s="1"/>
  <c r="N115" i="1"/>
  <c r="B866" i="2" s="1"/>
  <c r="M115" i="1"/>
  <c r="B865" i="2" s="1"/>
  <c r="L115" i="1"/>
  <c r="B864" i="2" s="1"/>
  <c r="T114" i="1"/>
  <c r="B863" i="2" s="1"/>
  <c r="S114" i="1"/>
  <c r="B862" i="2" s="1"/>
  <c r="R114" i="1"/>
  <c r="B861" i="2" s="1"/>
  <c r="Q114" i="1"/>
  <c r="B860" i="2" s="1"/>
  <c r="P114" i="1"/>
  <c r="B859" i="2" s="1"/>
  <c r="O114" i="1"/>
  <c r="B858" i="2" s="1"/>
  <c r="N114" i="1"/>
  <c r="B857" i="2" s="1"/>
  <c r="M114" i="1"/>
  <c r="B856" i="2" s="1"/>
  <c r="L114" i="1"/>
  <c r="B855" i="2" s="1"/>
  <c r="T113" i="1"/>
  <c r="B854" i="2" s="1"/>
  <c r="S113" i="1"/>
  <c r="B853" i="2" s="1"/>
  <c r="R113" i="1"/>
  <c r="B852" i="2" s="1"/>
  <c r="Q113" i="1"/>
  <c r="B851" i="2" s="1"/>
  <c r="P113" i="1"/>
  <c r="B850" i="2" s="1"/>
  <c r="O113" i="1"/>
  <c r="B849" i="2" s="1"/>
  <c r="N113" i="1"/>
  <c r="B848" i="2" s="1"/>
  <c r="M113" i="1"/>
  <c r="B847" i="2" s="1"/>
  <c r="L113" i="1"/>
  <c r="B846" i="2" s="1"/>
  <c r="K113" i="1"/>
  <c r="T112" i="1"/>
  <c r="B845" i="2" s="1"/>
  <c r="S112" i="1"/>
  <c r="B844" i="2" s="1"/>
  <c r="R112" i="1"/>
  <c r="B843" i="2" s="1"/>
  <c r="Q112" i="1"/>
  <c r="B842" i="2" s="1"/>
  <c r="P112" i="1"/>
  <c r="B841" i="2" s="1"/>
  <c r="O112" i="1"/>
  <c r="B840" i="2" s="1"/>
  <c r="N112" i="1"/>
  <c r="B839" i="2" s="1"/>
  <c r="M112" i="1"/>
  <c r="B838" i="2" s="1"/>
  <c r="L112" i="1"/>
  <c r="B837" i="2" s="1"/>
  <c r="T111" i="1"/>
  <c r="B836" i="2" s="1"/>
  <c r="S111" i="1"/>
  <c r="B835" i="2" s="1"/>
  <c r="R111" i="1"/>
  <c r="B834" i="2" s="1"/>
  <c r="Q111" i="1"/>
  <c r="B833" i="2" s="1"/>
  <c r="P111" i="1"/>
  <c r="B832" i="2" s="1"/>
  <c r="O111" i="1"/>
  <c r="B831" i="2" s="1"/>
  <c r="N111" i="1"/>
  <c r="B830" i="2" s="1"/>
  <c r="M111" i="1"/>
  <c r="B829" i="2" s="1"/>
  <c r="L111" i="1"/>
  <c r="B828" i="2" s="1"/>
  <c r="T110" i="1"/>
  <c r="B827" i="2" s="1"/>
  <c r="S110" i="1"/>
  <c r="B826" i="2" s="1"/>
  <c r="R110" i="1"/>
  <c r="B825" i="2" s="1"/>
  <c r="Q110" i="1"/>
  <c r="B824" i="2" s="1"/>
  <c r="P110" i="1"/>
  <c r="B823" i="2" s="1"/>
  <c r="O110" i="1"/>
  <c r="B822" i="2" s="1"/>
  <c r="N110" i="1"/>
  <c r="B821" i="2" s="1"/>
  <c r="M110" i="1"/>
  <c r="B820" i="2" s="1"/>
  <c r="L110" i="1"/>
  <c r="B819" i="2" s="1"/>
  <c r="U109" i="1"/>
  <c r="T109" i="1"/>
  <c r="B818" i="2" s="1"/>
  <c r="S109" i="1"/>
  <c r="B817" i="2" s="1"/>
  <c r="R109" i="1"/>
  <c r="B816" i="2" s="1"/>
  <c r="Q109" i="1"/>
  <c r="B815" i="2" s="1"/>
  <c r="P109" i="1"/>
  <c r="B814" i="2" s="1"/>
  <c r="O109" i="1"/>
  <c r="B813" i="2" s="1"/>
  <c r="N109" i="1"/>
  <c r="B812" i="2" s="1"/>
  <c r="M109" i="1"/>
  <c r="B811" i="2" s="1"/>
  <c r="L109" i="1"/>
  <c r="B810" i="2" s="1"/>
  <c r="K109" i="1"/>
  <c r="T108" i="1"/>
  <c r="B809" i="2" s="1"/>
  <c r="S108" i="1"/>
  <c r="B808" i="2" s="1"/>
  <c r="R108" i="1"/>
  <c r="B807" i="2" s="1"/>
  <c r="Q108" i="1"/>
  <c r="B806" i="2" s="1"/>
  <c r="P108" i="1"/>
  <c r="B805" i="2" s="1"/>
  <c r="O108" i="1"/>
  <c r="B804" i="2" s="1"/>
  <c r="N108" i="1"/>
  <c r="B803" i="2" s="1"/>
  <c r="M108" i="1"/>
  <c r="B802" i="2" s="1"/>
  <c r="L108" i="1"/>
  <c r="B801" i="2" s="1"/>
  <c r="T107" i="1"/>
  <c r="B800" i="2" s="1"/>
  <c r="S107" i="1"/>
  <c r="B799" i="2" s="1"/>
  <c r="R107" i="1"/>
  <c r="B798" i="2" s="1"/>
  <c r="Q107" i="1"/>
  <c r="B797" i="2" s="1"/>
  <c r="P107" i="1"/>
  <c r="B796" i="2" s="1"/>
  <c r="O107" i="1"/>
  <c r="B795" i="2" s="1"/>
  <c r="N107" i="1"/>
  <c r="B794" i="2" s="1"/>
  <c r="M107" i="1"/>
  <c r="B793" i="2" s="1"/>
  <c r="L107" i="1"/>
  <c r="B792" i="2" s="1"/>
  <c r="K107" i="1"/>
  <c r="T106" i="1"/>
  <c r="B791" i="2" s="1"/>
  <c r="S106" i="1"/>
  <c r="B790" i="2" s="1"/>
  <c r="R106" i="1"/>
  <c r="B789" i="2" s="1"/>
  <c r="Q106" i="1"/>
  <c r="B788" i="2" s="1"/>
  <c r="P106" i="1"/>
  <c r="B787" i="2" s="1"/>
  <c r="O106" i="1"/>
  <c r="B786" i="2" s="1"/>
  <c r="N106" i="1"/>
  <c r="B785" i="2" s="1"/>
  <c r="M106" i="1"/>
  <c r="B784" i="2" s="1"/>
  <c r="L106" i="1"/>
  <c r="B783" i="2" s="1"/>
  <c r="K106" i="1"/>
  <c r="T105" i="1"/>
  <c r="B782" i="2" s="1"/>
  <c r="S105" i="1"/>
  <c r="B781" i="2" s="1"/>
  <c r="R105" i="1"/>
  <c r="B780" i="2" s="1"/>
  <c r="Q105" i="1"/>
  <c r="B779" i="2" s="1"/>
  <c r="P105" i="1"/>
  <c r="B778" i="2" s="1"/>
  <c r="O105" i="1"/>
  <c r="B777" i="2" s="1"/>
  <c r="N105" i="1"/>
  <c r="B776" i="2" s="1"/>
  <c r="M105" i="1"/>
  <c r="B775" i="2" s="1"/>
  <c r="L105" i="1"/>
  <c r="B774" i="2" s="1"/>
  <c r="T104" i="1"/>
  <c r="B773" i="2" s="1"/>
  <c r="S104" i="1"/>
  <c r="B772" i="2" s="1"/>
  <c r="R104" i="1"/>
  <c r="B771" i="2" s="1"/>
  <c r="Q104" i="1"/>
  <c r="B770" i="2" s="1"/>
  <c r="P104" i="1"/>
  <c r="B769" i="2" s="1"/>
  <c r="O104" i="1"/>
  <c r="B768" i="2" s="1"/>
  <c r="N104" i="1"/>
  <c r="B767" i="2" s="1"/>
  <c r="M104" i="1"/>
  <c r="B766" i="2" s="1"/>
  <c r="L104" i="1"/>
  <c r="B765" i="2" s="1"/>
  <c r="T103" i="1"/>
  <c r="B764" i="2" s="1"/>
  <c r="S103" i="1"/>
  <c r="B763" i="2" s="1"/>
  <c r="R103" i="1"/>
  <c r="B762" i="2" s="1"/>
  <c r="Q103" i="1"/>
  <c r="B761" i="2" s="1"/>
  <c r="P103" i="1"/>
  <c r="B760" i="2" s="1"/>
  <c r="O103" i="1"/>
  <c r="B759" i="2" s="1"/>
  <c r="N103" i="1"/>
  <c r="B758" i="2" s="1"/>
  <c r="M103" i="1"/>
  <c r="B757" i="2" s="1"/>
  <c r="L103" i="1"/>
  <c r="B756" i="2" s="1"/>
  <c r="K103" i="1"/>
  <c r="T102" i="1"/>
  <c r="B755" i="2" s="1"/>
  <c r="S102" i="1"/>
  <c r="B754" i="2" s="1"/>
  <c r="R102" i="1"/>
  <c r="B753" i="2" s="1"/>
  <c r="Q102" i="1"/>
  <c r="B752" i="2" s="1"/>
  <c r="P102" i="1"/>
  <c r="B751" i="2" s="1"/>
  <c r="O102" i="1"/>
  <c r="B750" i="2" s="1"/>
  <c r="N102" i="1"/>
  <c r="B749" i="2" s="1"/>
  <c r="M102" i="1"/>
  <c r="B748" i="2" s="1"/>
  <c r="L102" i="1"/>
  <c r="B747" i="2" s="1"/>
  <c r="T101" i="1"/>
  <c r="B746" i="2" s="1"/>
  <c r="S101" i="1"/>
  <c r="B745" i="2" s="1"/>
  <c r="R101" i="1"/>
  <c r="B744" i="2" s="1"/>
  <c r="Q101" i="1"/>
  <c r="B743" i="2" s="1"/>
  <c r="P101" i="1"/>
  <c r="B742" i="2" s="1"/>
  <c r="O101" i="1"/>
  <c r="B741" i="2" s="1"/>
  <c r="N101" i="1"/>
  <c r="B740" i="2" s="1"/>
  <c r="M101" i="1"/>
  <c r="B739" i="2" s="1"/>
  <c r="L101" i="1"/>
  <c r="B738" i="2" s="1"/>
  <c r="T100" i="1"/>
  <c r="B737" i="2" s="1"/>
  <c r="S100" i="1"/>
  <c r="B736" i="2" s="1"/>
  <c r="R100" i="1"/>
  <c r="B735" i="2" s="1"/>
  <c r="Q100" i="1"/>
  <c r="B734" i="2" s="1"/>
  <c r="P100" i="1"/>
  <c r="B733" i="2" s="1"/>
  <c r="O100" i="1"/>
  <c r="B732" i="2" s="1"/>
  <c r="N100" i="1"/>
  <c r="B731" i="2" s="1"/>
  <c r="M100" i="1"/>
  <c r="B730" i="2" s="1"/>
  <c r="L100" i="1"/>
  <c r="B729" i="2" s="1"/>
  <c r="K100" i="1"/>
  <c r="T99" i="1"/>
  <c r="B728" i="2" s="1"/>
  <c r="S99" i="1"/>
  <c r="B727" i="2" s="1"/>
  <c r="R99" i="1"/>
  <c r="B726" i="2" s="1"/>
  <c r="Q99" i="1"/>
  <c r="B725" i="2" s="1"/>
  <c r="P99" i="1"/>
  <c r="B724" i="2" s="1"/>
  <c r="O99" i="1"/>
  <c r="B723" i="2" s="1"/>
  <c r="N99" i="1"/>
  <c r="B722" i="2" s="1"/>
  <c r="M99" i="1"/>
  <c r="B721" i="2" s="1"/>
  <c r="L99" i="1"/>
  <c r="B720" i="2" s="1"/>
  <c r="T98" i="1"/>
  <c r="B719" i="2" s="1"/>
  <c r="S98" i="1"/>
  <c r="B718" i="2" s="1"/>
  <c r="R98" i="1"/>
  <c r="B717" i="2" s="1"/>
  <c r="Q98" i="1"/>
  <c r="B716" i="2" s="1"/>
  <c r="P98" i="1"/>
  <c r="B715" i="2" s="1"/>
  <c r="O98" i="1"/>
  <c r="B714" i="2" s="1"/>
  <c r="N98" i="1"/>
  <c r="B713" i="2" s="1"/>
  <c r="M98" i="1"/>
  <c r="B712" i="2" s="1"/>
  <c r="L98" i="1"/>
  <c r="B711" i="2" s="1"/>
  <c r="T97" i="1"/>
  <c r="B710" i="2" s="1"/>
  <c r="S97" i="1"/>
  <c r="B709" i="2" s="1"/>
  <c r="R97" i="1"/>
  <c r="B708" i="2" s="1"/>
  <c r="Q97" i="1"/>
  <c r="B707" i="2" s="1"/>
  <c r="P97" i="1"/>
  <c r="B706" i="2" s="1"/>
  <c r="O97" i="1"/>
  <c r="B705" i="2" s="1"/>
  <c r="N97" i="1"/>
  <c r="B704" i="2" s="1"/>
  <c r="M97" i="1"/>
  <c r="B703" i="2" s="1"/>
  <c r="L97" i="1"/>
  <c r="B702" i="2" s="1"/>
  <c r="K97" i="1"/>
  <c r="T96" i="1"/>
  <c r="B701" i="2" s="1"/>
  <c r="S96" i="1"/>
  <c r="B700" i="2" s="1"/>
  <c r="R96" i="1"/>
  <c r="B699" i="2" s="1"/>
  <c r="Q96" i="1"/>
  <c r="B698" i="2" s="1"/>
  <c r="P96" i="1"/>
  <c r="B697" i="2" s="1"/>
  <c r="O96" i="1"/>
  <c r="B696" i="2" s="1"/>
  <c r="N96" i="1"/>
  <c r="B695" i="2" s="1"/>
  <c r="M96" i="1"/>
  <c r="B694" i="2" s="1"/>
  <c r="L96" i="1"/>
  <c r="B693" i="2" s="1"/>
  <c r="T95" i="1"/>
  <c r="B692" i="2" s="1"/>
  <c r="S95" i="1"/>
  <c r="B691" i="2" s="1"/>
  <c r="R95" i="1"/>
  <c r="B690" i="2" s="1"/>
  <c r="Q95" i="1"/>
  <c r="B689" i="2" s="1"/>
  <c r="P95" i="1"/>
  <c r="B688" i="2" s="1"/>
  <c r="O95" i="1"/>
  <c r="B687" i="2" s="1"/>
  <c r="N95" i="1"/>
  <c r="B686" i="2" s="1"/>
  <c r="M95" i="1"/>
  <c r="B685" i="2" s="1"/>
  <c r="L95" i="1"/>
  <c r="B684" i="2" s="1"/>
  <c r="T94" i="1"/>
  <c r="B683" i="2" s="1"/>
  <c r="S94" i="1"/>
  <c r="B682" i="2" s="1"/>
  <c r="R94" i="1"/>
  <c r="B681" i="2" s="1"/>
  <c r="Q94" i="1"/>
  <c r="B680" i="2" s="1"/>
  <c r="P94" i="1"/>
  <c r="B679" i="2" s="1"/>
  <c r="O94" i="1"/>
  <c r="B678" i="2" s="1"/>
  <c r="N94" i="1"/>
  <c r="B677" i="2" s="1"/>
  <c r="M94" i="1"/>
  <c r="B676" i="2" s="1"/>
  <c r="L94" i="1"/>
  <c r="B675" i="2" s="1"/>
  <c r="U93" i="1"/>
  <c r="T93" i="1"/>
  <c r="B674" i="2" s="1"/>
  <c r="S93" i="1"/>
  <c r="B673" i="2" s="1"/>
  <c r="R93" i="1"/>
  <c r="B672" i="2" s="1"/>
  <c r="Q93" i="1"/>
  <c r="B671" i="2" s="1"/>
  <c r="P93" i="1"/>
  <c r="B670" i="2" s="1"/>
  <c r="O93" i="1"/>
  <c r="B669" i="2" s="1"/>
  <c r="N93" i="1"/>
  <c r="B668" i="2" s="1"/>
  <c r="M93" i="1"/>
  <c r="B667" i="2" s="1"/>
  <c r="L93" i="1"/>
  <c r="B666" i="2" s="1"/>
  <c r="K93" i="1"/>
  <c r="T92" i="1"/>
  <c r="B665" i="2" s="1"/>
  <c r="S92" i="1"/>
  <c r="B664" i="2" s="1"/>
  <c r="R92" i="1"/>
  <c r="B663" i="2" s="1"/>
  <c r="Q92" i="1"/>
  <c r="B662" i="2" s="1"/>
  <c r="P92" i="1"/>
  <c r="B661" i="2" s="1"/>
  <c r="O92" i="1"/>
  <c r="B660" i="2" s="1"/>
  <c r="N92" i="1"/>
  <c r="B659" i="2" s="1"/>
  <c r="M92" i="1"/>
  <c r="B658" i="2" s="1"/>
  <c r="L92" i="1"/>
  <c r="B657" i="2" s="1"/>
  <c r="T91" i="1"/>
  <c r="B656" i="2" s="1"/>
  <c r="S91" i="1"/>
  <c r="B655" i="2" s="1"/>
  <c r="R91" i="1"/>
  <c r="B654" i="2" s="1"/>
  <c r="Q91" i="1"/>
  <c r="B653" i="2" s="1"/>
  <c r="P91" i="1"/>
  <c r="B652" i="2" s="1"/>
  <c r="O91" i="1"/>
  <c r="B651" i="2" s="1"/>
  <c r="N91" i="1"/>
  <c r="B650" i="2" s="1"/>
  <c r="M91" i="1"/>
  <c r="B649" i="2" s="1"/>
  <c r="L91" i="1"/>
  <c r="B648" i="2" s="1"/>
  <c r="K91" i="1"/>
  <c r="T90" i="1"/>
  <c r="B647" i="2" s="1"/>
  <c r="S90" i="1"/>
  <c r="B646" i="2" s="1"/>
  <c r="R90" i="1"/>
  <c r="B645" i="2" s="1"/>
  <c r="Q90" i="1"/>
  <c r="B644" i="2" s="1"/>
  <c r="P90" i="1"/>
  <c r="B643" i="2" s="1"/>
  <c r="O90" i="1"/>
  <c r="B642" i="2" s="1"/>
  <c r="N90" i="1"/>
  <c r="B641" i="2" s="1"/>
  <c r="M90" i="1"/>
  <c r="B640" i="2" s="1"/>
  <c r="L90" i="1"/>
  <c r="B639" i="2" s="1"/>
  <c r="K90" i="1"/>
  <c r="T89" i="1"/>
  <c r="B638" i="2" s="1"/>
  <c r="S89" i="1"/>
  <c r="B637" i="2" s="1"/>
  <c r="R89" i="1"/>
  <c r="B636" i="2" s="1"/>
  <c r="Q89" i="1"/>
  <c r="B635" i="2" s="1"/>
  <c r="P89" i="1"/>
  <c r="B634" i="2" s="1"/>
  <c r="O89" i="1"/>
  <c r="B633" i="2" s="1"/>
  <c r="N89" i="1"/>
  <c r="B632" i="2" s="1"/>
  <c r="M89" i="1"/>
  <c r="B631" i="2" s="1"/>
  <c r="L89" i="1"/>
  <c r="B630" i="2" s="1"/>
  <c r="T88" i="1"/>
  <c r="B629" i="2" s="1"/>
  <c r="S88" i="1"/>
  <c r="B628" i="2" s="1"/>
  <c r="R88" i="1"/>
  <c r="B627" i="2" s="1"/>
  <c r="Q88" i="1"/>
  <c r="B626" i="2" s="1"/>
  <c r="P88" i="1"/>
  <c r="B625" i="2" s="1"/>
  <c r="O88" i="1"/>
  <c r="B624" i="2" s="1"/>
  <c r="N88" i="1"/>
  <c r="B623" i="2" s="1"/>
  <c r="M88" i="1"/>
  <c r="B622" i="2" s="1"/>
  <c r="L88" i="1"/>
  <c r="B621" i="2" s="1"/>
  <c r="T87" i="1"/>
  <c r="B620" i="2" s="1"/>
  <c r="S87" i="1"/>
  <c r="B619" i="2" s="1"/>
  <c r="R87" i="1"/>
  <c r="B618" i="2" s="1"/>
  <c r="Q87" i="1"/>
  <c r="B617" i="2" s="1"/>
  <c r="P87" i="1"/>
  <c r="B616" i="2" s="1"/>
  <c r="O87" i="1"/>
  <c r="B615" i="2" s="1"/>
  <c r="N87" i="1"/>
  <c r="B614" i="2" s="1"/>
  <c r="M87" i="1"/>
  <c r="B613" i="2" s="1"/>
  <c r="L87" i="1"/>
  <c r="B612" i="2" s="1"/>
  <c r="K87" i="1"/>
  <c r="T86" i="1"/>
  <c r="B611" i="2" s="1"/>
  <c r="S86" i="1"/>
  <c r="B610" i="2" s="1"/>
  <c r="R86" i="1"/>
  <c r="B609" i="2" s="1"/>
  <c r="Q86" i="1"/>
  <c r="B608" i="2" s="1"/>
  <c r="P86" i="1"/>
  <c r="B607" i="2" s="1"/>
  <c r="O86" i="1"/>
  <c r="B606" i="2" s="1"/>
  <c r="N86" i="1"/>
  <c r="B605" i="2" s="1"/>
  <c r="M86" i="1"/>
  <c r="B604" i="2" s="1"/>
  <c r="L86" i="1"/>
  <c r="B603" i="2" s="1"/>
  <c r="T85" i="1"/>
  <c r="B602" i="2" s="1"/>
  <c r="S85" i="1"/>
  <c r="B601" i="2" s="1"/>
  <c r="R85" i="1"/>
  <c r="B600" i="2" s="1"/>
  <c r="Q85" i="1"/>
  <c r="B599" i="2" s="1"/>
  <c r="P85" i="1"/>
  <c r="B598" i="2" s="1"/>
  <c r="O85" i="1"/>
  <c r="B597" i="2" s="1"/>
  <c r="N85" i="1"/>
  <c r="B596" i="2" s="1"/>
  <c r="M85" i="1"/>
  <c r="B595" i="2" s="1"/>
  <c r="L85" i="1"/>
  <c r="B594" i="2" s="1"/>
  <c r="T84" i="1"/>
  <c r="B593" i="2" s="1"/>
  <c r="S84" i="1"/>
  <c r="B592" i="2" s="1"/>
  <c r="R84" i="1"/>
  <c r="B591" i="2" s="1"/>
  <c r="Q84" i="1"/>
  <c r="B590" i="2" s="1"/>
  <c r="P84" i="1"/>
  <c r="B589" i="2" s="1"/>
  <c r="O84" i="1"/>
  <c r="B588" i="2" s="1"/>
  <c r="N84" i="1"/>
  <c r="B587" i="2" s="1"/>
  <c r="M84" i="1"/>
  <c r="B586" i="2" s="1"/>
  <c r="L84" i="1"/>
  <c r="B585" i="2" s="1"/>
  <c r="K84" i="1"/>
  <c r="T83" i="1"/>
  <c r="B584" i="2" s="1"/>
  <c r="S83" i="1"/>
  <c r="B583" i="2" s="1"/>
  <c r="R83" i="1"/>
  <c r="B582" i="2" s="1"/>
  <c r="Q83" i="1"/>
  <c r="B581" i="2" s="1"/>
  <c r="P83" i="1"/>
  <c r="B580" i="2" s="1"/>
  <c r="O83" i="1"/>
  <c r="B579" i="2" s="1"/>
  <c r="N83" i="1"/>
  <c r="B578" i="2" s="1"/>
  <c r="M83" i="1"/>
  <c r="B577" i="2" s="1"/>
  <c r="L83" i="1"/>
  <c r="B576" i="2" s="1"/>
  <c r="T82" i="1"/>
  <c r="B575" i="2" s="1"/>
  <c r="S82" i="1"/>
  <c r="B574" i="2" s="1"/>
  <c r="R82" i="1"/>
  <c r="B573" i="2" s="1"/>
  <c r="Q82" i="1"/>
  <c r="B572" i="2" s="1"/>
  <c r="P82" i="1"/>
  <c r="B571" i="2" s="1"/>
  <c r="O82" i="1"/>
  <c r="B570" i="2" s="1"/>
  <c r="N82" i="1"/>
  <c r="B569" i="2" s="1"/>
  <c r="M82" i="1"/>
  <c r="B568" i="2" s="1"/>
  <c r="L82" i="1"/>
  <c r="B567" i="2" s="1"/>
  <c r="T81" i="1"/>
  <c r="B566" i="2" s="1"/>
  <c r="S81" i="1"/>
  <c r="B565" i="2" s="1"/>
  <c r="R81" i="1"/>
  <c r="B564" i="2" s="1"/>
  <c r="Q81" i="1"/>
  <c r="B563" i="2" s="1"/>
  <c r="P81" i="1"/>
  <c r="B562" i="2" s="1"/>
  <c r="O81" i="1"/>
  <c r="B561" i="2" s="1"/>
  <c r="N81" i="1"/>
  <c r="B560" i="2" s="1"/>
  <c r="M81" i="1"/>
  <c r="B559" i="2" s="1"/>
  <c r="L81" i="1"/>
  <c r="B558" i="2" s="1"/>
  <c r="K81" i="1"/>
  <c r="T80" i="1"/>
  <c r="B557" i="2" s="1"/>
  <c r="S80" i="1"/>
  <c r="B556" i="2" s="1"/>
  <c r="R80" i="1"/>
  <c r="B555" i="2" s="1"/>
  <c r="Q80" i="1"/>
  <c r="B554" i="2" s="1"/>
  <c r="P80" i="1"/>
  <c r="B553" i="2" s="1"/>
  <c r="O80" i="1"/>
  <c r="B552" i="2" s="1"/>
  <c r="N80" i="1"/>
  <c r="B551" i="2" s="1"/>
  <c r="M80" i="1"/>
  <c r="B550" i="2" s="1"/>
  <c r="L80" i="1"/>
  <c r="B549" i="2" s="1"/>
  <c r="T79" i="1"/>
  <c r="B548" i="2" s="1"/>
  <c r="S79" i="1"/>
  <c r="B547" i="2" s="1"/>
  <c r="R79" i="1"/>
  <c r="B546" i="2" s="1"/>
  <c r="Q79" i="1"/>
  <c r="B545" i="2" s="1"/>
  <c r="P79" i="1"/>
  <c r="B544" i="2" s="1"/>
  <c r="O79" i="1"/>
  <c r="B543" i="2" s="1"/>
  <c r="N79" i="1"/>
  <c r="B542" i="2" s="1"/>
  <c r="M79" i="1"/>
  <c r="B541" i="2" s="1"/>
  <c r="L79" i="1"/>
  <c r="B540" i="2" s="1"/>
  <c r="T78" i="1"/>
  <c r="B539" i="2" s="1"/>
  <c r="S78" i="1"/>
  <c r="B538" i="2" s="1"/>
  <c r="R78" i="1"/>
  <c r="B537" i="2" s="1"/>
  <c r="Q78" i="1"/>
  <c r="B536" i="2" s="1"/>
  <c r="P78" i="1"/>
  <c r="B535" i="2" s="1"/>
  <c r="O78" i="1"/>
  <c r="B534" i="2" s="1"/>
  <c r="N78" i="1"/>
  <c r="B533" i="2" s="1"/>
  <c r="M78" i="1"/>
  <c r="B532" i="2" s="1"/>
  <c r="L78" i="1"/>
  <c r="B531" i="2" s="1"/>
  <c r="U77" i="1"/>
  <c r="T77" i="1"/>
  <c r="B530" i="2" s="1"/>
  <c r="S77" i="1"/>
  <c r="B529" i="2" s="1"/>
  <c r="R77" i="1"/>
  <c r="B528" i="2" s="1"/>
  <c r="Q77" i="1"/>
  <c r="B527" i="2" s="1"/>
  <c r="P77" i="1"/>
  <c r="B526" i="2" s="1"/>
  <c r="O77" i="1"/>
  <c r="B525" i="2" s="1"/>
  <c r="N77" i="1"/>
  <c r="B524" i="2" s="1"/>
  <c r="M77" i="1"/>
  <c r="B523" i="2" s="1"/>
  <c r="L77" i="1"/>
  <c r="B522" i="2" s="1"/>
  <c r="K77" i="1"/>
  <c r="T76" i="1"/>
  <c r="B521" i="2" s="1"/>
  <c r="S76" i="1"/>
  <c r="B520" i="2" s="1"/>
  <c r="R76" i="1"/>
  <c r="B519" i="2" s="1"/>
  <c r="Q76" i="1"/>
  <c r="B518" i="2" s="1"/>
  <c r="P76" i="1"/>
  <c r="B517" i="2" s="1"/>
  <c r="O76" i="1"/>
  <c r="B516" i="2" s="1"/>
  <c r="N76" i="1"/>
  <c r="B515" i="2" s="1"/>
  <c r="M76" i="1"/>
  <c r="B514" i="2" s="1"/>
  <c r="L76" i="1"/>
  <c r="B513" i="2" s="1"/>
  <c r="T75" i="1"/>
  <c r="B512" i="2" s="1"/>
  <c r="S75" i="1"/>
  <c r="B511" i="2" s="1"/>
  <c r="R75" i="1"/>
  <c r="B510" i="2" s="1"/>
  <c r="Q75" i="1"/>
  <c r="B509" i="2" s="1"/>
  <c r="P75" i="1"/>
  <c r="B508" i="2" s="1"/>
  <c r="O75" i="1"/>
  <c r="B507" i="2" s="1"/>
  <c r="N75" i="1"/>
  <c r="B506" i="2" s="1"/>
  <c r="M75" i="1"/>
  <c r="B505" i="2" s="1"/>
  <c r="L75" i="1"/>
  <c r="B504" i="2" s="1"/>
  <c r="K75" i="1"/>
  <c r="T74" i="1"/>
  <c r="B503" i="2" s="1"/>
  <c r="S74" i="1"/>
  <c r="B502" i="2" s="1"/>
  <c r="R74" i="1"/>
  <c r="B501" i="2" s="1"/>
  <c r="Q74" i="1"/>
  <c r="B500" i="2" s="1"/>
  <c r="P74" i="1"/>
  <c r="B499" i="2" s="1"/>
  <c r="O74" i="1"/>
  <c r="B498" i="2" s="1"/>
  <c r="N74" i="1"/>
  <c r="B497" i="2" s="1"/>
  <c r="M74" i="1"/>
  <c r="B496" i="2" s="1"/>
  <c r="L74" i="1"/>
  <c r="B495" i="2" s="1"/>
  <c r="K74" i="1"/>
  <c r="T73" i="1"/>
  <c r="B494" i="2" s="1"/>
  <c r="S73" i="1"/>
  <c r="B493" i="2" s="1"/>
  <c r="R73" i="1"/>
  <c r="B492" i="2" s="1"/>
  <c r="Q73" i="1"/>
  <c r="B491" i="2" s="1"/>
  <c r="P73" i="1"/>
  <c r="B490" i="2" s="1"/>
  <c r="O73" i="1"/>
  <c r="B489" i="2" s="1"/>
  <c r="N73" i="1"/>
  <c r="B488" i="2" s="1"/>
  <c r="M73" i="1"/>
  <c r="B487" i="2" s="1"/>
  <c r="L73" i="1"/>
  <c r="B486" i="2" s="1"/>
  <c r="T72" i="1"/>
  <c r="B485" i="2" s="1"/>
  <c r="S72" i="1"/>
  <c r="B484" i="2" s="1"/>
  <c r="R72" i="1"/>
  <c r="B483" i="2" s="1"/>
  <c r="Q72" i="1"/>
  <c r="B482" i="2" s="1"/>
  <c r="P72" i="1"/>
  <c r="B481" i="2" s="1"/>
  <c r="O72" i="1"/>
  <c r="B480" i="2" s="1"/>
  <c r="N72" i="1"/>
  <c r="B479" i="2" s="1"/>
  <c r="M72" i="1"/>
  <c r="B478" i="2" s="1"/>
  <c r="L72" i="1"/>
  <c r="B477" i="2" s="1"/>
  <c r="T71" i="1"/>
  <c r="B476" i="2" s="1"/>
  <c r="S71" i="1"/>
  <c r="B475" i="2" s="1"/>
  <c r="R71" i="1"/>
  <c r="B474" i="2" s="1"/>
  <c r="Q71" i="1"/>
  <c r="B473" i="2" s="1"/>
  <c r="P71" i="1"/>
  <c r="B472" i="2" s="1"/>
  <c r="O71" i="1"/>
  <c r="B471" i="2" s="1"/>
  <c r="N71" i="1"/>
  <c r="B470" i="2" s="1"/>
  <c r="M71" i="1"/>
  <c r="B469" i="2" s="1"/>
  <c r="L71" i="1"/>
  <c r="B468" i="2" s="1"/>
  <c r="K71" i="1"/>
  <c r="T70" i="1"/>
  <c r="B467" i="2" s="1"/>
  <c r="S70" i="1"/>
  <c r="B466" i="2" s="1"/>
  <c r="R70" i="1"/>
  <c r="B465" i="2" s="1"/>
  <c r="Q70" i="1"/>
  <c r="B464" i="2" s="1"/>
  <c r="P70" i="1"/>
  <c r="B463" i="2" s="1"/>
  <c r="O70" i="1"/>
  <c r="B462" i="2" s="1"/>
  <c r="N70" i="1"/>
  <c r="B461" i="2" s="1"/>
  <c r="M70" i="1"/>
  <c r="B460" i="2" s="1"/>
  <c r="L70" i="1"/>
  <c r="B459" i="2" s="1"/>
  <c r="T69" i="1"/>
  <c r="B458" i="2" s="1"/>
  <c r="S69" i="1"/>
  <c r="B457" i="2" s="1"/>
  <c r="R69" i="1"/>
  <c r="B456" i="2" s="1"/>
  <c r="Q69" i="1"/>
  <c r="B455" i="2" s="1"/>
  <c r="P69" i="1"/>
  <c r="B454" i="2" s="1"/>
  <c r="O69" i="1"/>
  <c r="B453" i="2" s="1"/>
  <c r="N69" i="1"/>
  <c r="B452" i="2" s="1"/>
  <c r="M69" i="1"/>
  <c r="B451" i="2" s="1"/>
  <c r="L69" i="1"/>
  <c r="B450" i="2" s="1"/>
  <c r="T68" i="1"/>
  <c r="B449" i="2" s="1"/>
  <c r="S68" i="1"/>
  <c r="B448" i="2" s="1"/>
  <c r="R68" i="1"/>
  <c r="B447" i="2" s="1"/>
  <c r="Q68" i="1"/>
  <c r="B446" i="2" s="1"/>
  <c r="P68" i="1"/>
  <c r="B445" i="2" s="1"/>
  <c r="O68" i="1"/>
  <c r="B444" i="2" s="1"/>
  <c r="N68" i="1"/>
  <c r="B443" i="2" s="1"/>
  <c r="M68" i="1"/>
  <c r="B442" i="2" s="1"/>
  <c r="L68" i="1"/>
  <c r="B441" i="2" s="1"/>
  <c r="K68" i="1"/>
  <c r="T67" i="1"/>
  <c r="B440" i="2" s="1"/>
  <c r="S67" i="1"/>
  <c r="B439" i="2" s="1"/>
  <c r="R67" i="1"/>
  <c r="B438" i="2" s="1"/>
  <c r="Q67" i="1"/>
  <c r="B437" i="2" s="1"/>
  <c r="P67" i="1"/>
  <c r="B436" i="2" s="1"/>
  <c r="O67" i="1"/>
  <c r="B435" i="2" s="1"/>
  <c r="N67" i="1"/>
  <c r="B434" i="2" s="1"/>
  <c r="M67" i="1"/>
  <c r="B433" i="2" s="1"/>
  <c r="L67" i="1"/>
  <c r="B432" i="2" s="1"/>
  <c r="T66" i="1"/>
  <c r="B431" i="2" s="1"/>
  <c r="S66" i="1"/>
  <c r="B430" i="2" s="1"/>
  <c r="R66" i="1"/>
  <c r="B429" i="2" s="1"/>
  <c r="Q66" i="1"/>
  <c r="B428" i="2" s="1"/>
  <c r="P66" i="1"/>
  <c r="B427" i="2" s="1"/>
  <c r="O66" i="1"/>
  <c r="B426" i="2" s="1"/>
  <c r="N66" i="1"/>
  <c r="B425" i="2" s="1"/>
  <c r="M66" i="1"/>
  <c r="B424" i="2" s="1"/>
  <c r="L66" i="1"/>
  <c r="B423" i="2" s="1"/>
  <c r="T65" i="1"/>
  <c r="B422" i="2" s="1"/>
  <c r="S65" i="1"/>
  <c r="B421" i="2" s="1"/>
  <c r="R65" i="1"/>
  <c r="B420" i="2" s="1"/>
  <c r="Q65" i="1"/>
  <c r="B419" i="2" s="1"/>
  <c r="P65" i="1"/>
  <c r="B418" i="2" s="1"/>
  <c r="O65" i="1"/>
  <c r="B417" i="2" s="1"/>
  <c r="N65" i="1"/>
  <c r="B416" i="2" s="1"/>
  <c r="M65" i="1"/>
  <c r="B415" i="2" s="1"/>
  <c r="L65" i="1"/>
  <c r="B414" i="2" s="1"/>
  <c r="K65" i="1"/>
  <c r="T64" i="1"/>
  <c r="B413" i="2" s="1"/>
  <c r="S64" i="1"/>
  <c r="B412" i="2" s="1"/>
  <c r="R64" i="1"/>
  <c r="B411" i="2" s="1"/>
  <c r="Q64" i="1"/>
  <c r="B410" i="2" s="1"/>
  <c r="P64" i="1"/>
  <c r="B409" i="2" s="1"/>
  <c r="O64" i="1"/>
  <c r="B408" i="2" s="1"/>
  <c r="N64" i="1"/>
  <c r="B407" i="2" s="1"/>
  <c r="M64" i="1"/>
  <c r="B406" i="2" s="1"/>
  <c r="L64" i="1"/>
  <c r="B405" i="2" s="1"/>
  <c r="T63" i="1"/>
  <c r="B404" i="2" s="1"/>
  <c r="S63" i="1"/>
  <c r="B403" i="2" s="1"/>
  <c r="R63" i="1"/>
  <c r="B402" i="2" s="1"/>
  <c r="Q63" i="1"/>
  <c r="B401" i="2" s="1"/>
  <c r="P63" i="1"/>
  <c r="B400" i="2" s="1"/>
  <c r="O63" i="1"/>
  <c r="B399" i="2" s="1"/>
  <c r="N63" i="1"/>
  <c r="B398" i="2" s="1"/>
  <c r="M63" i="1"/>
  <c r="B397" i="2" s="1"/>
  <c r="L63" i="1"/>
  <c r="B396" i="2" s="1"/>
  <c r="T62" i="1"/>
  <c r="B395" i="2" s="1"/>
  <c r="S62" i="1"/>
  <c r="B394" i="2" s="1"/>
  <c r="R62" i="1"/>
  <c r="B393" i="2" s="1"/>
  <c r="Q62" i="1"/>
  <c r="B392" i="2" s="1"/>
  <c r="P62" i="1"/>
  <c r="B391" i="2" s="1"/>
  <c r="O62" i="1"/>
  <c r="B390" i="2" s="1"/>
  <c r="N62" i="1"/>
  <c r="B389" i="2" s="1"/>
  <c r="M62" i="1"/>
  <c r="B388" i="2" s="1"/>
  <c r="L62" i="1"/>
  <c r="B387" i="2" s="1"/>
  <c r="U61" i="1"/>
  <c r="T61" i="1"/>
  <c r="B386" i="2" s="1"/>
  <c r="S61" i="1"/>
  <c r="B385" i="2" s="1"/>
  <c r="R61" i="1"/>
  <c r="B384" i="2" s="1"/>
  <c r="Q61" i="1"/>
  <c r="B383" i="2" s="1"/>
  <c r="P61" i="1"/>
  <c r="B382" i="2" s="1"/>
  <c r="O61" i="1"/>
  <c r="B381" i="2" s="1"/>
  <c r="N61" i="1"/>
  <c r="B380" i="2" s="1"/>
  <c r="M61" i="1"/>
  <c r="B379" i="2" s="1"/>
  <c r="L61" i="1"/>
  <c r="B378" i="2" s="1"/>
  <c r="T60" i="1"/>
  <c r="B377" i="2" s="1"/>
  <c r="S60" i="1"/>
  <c r="B376" i="2" s="1"/>
  <c r="R60" i="1"/>
  <c r="B375" i="2" s="1"/>
  <c r="Q60" i="1"/>
  <c r="B374" i="2" s="1"/>
  <c r="P60" i="1"/>
  <c r="B373" i="2" s="1"/>
  <c r="O60" i="1"/>
  <c r="B372" i="2" s="1"/>
  <c r="N60" i="1"/>
  <c r="B371" i="2" s="1"/>
  <c r="M60" i="1"/>
  <c r="B370" i="2" s="1"/>
  <c r="L60" i="1"/>
  <c r="B369" i="2" s="1"/>
  <c r="T59" i="1"/>
  <c r="B368" i="2" s="1"/>
  <c r="S59" i="1"/>
  <c r="B367" i="2" s="1"/>
  <c r="R59" i="1"/>
  <c r="B366" i="2" s="1"/>
  <c r="Q59" i="1"/>
  <c r="B365" i="2" s="1"/>
  <c r="P59" i="1"/>
  <c r="B364" i="2" s="1"/>
  <c r="O59" i="1"/>
  <c r="B363" i="2" s="1"/>
  <c r="N59" i="1"/>
  <c r="B362" i="2" s="1"/>
  <c r="M59" i="1"/>
  <c r="B361" i="2" s="1"/>
  <c r="L59" i="1"/>
  <c r="B360" i="2" s="1"/>
  <c r="K59" i="1"/>
  <c r="U58" i="1"/>
  <c r="T58" i="1"/>
  <c r="B359" i="2" s="1"/>
  <c r="S58" i="1"/>
  <c r="B358" i="2" s="1"/>
  <c r="R58" i="1"/>
  <c r="B357" i="2" s="1"/>
  <c r="Q58" i="1"/>
  <c r="B356" i="2" s="1"/>
  <c r="P58" i="1"/>
  <c r="B355" i="2" s="1"/>
  <c r="O58" i="1"/>
  <c r="B354" i="2" s="1"/>
  <c r="N58" i="1"/>
  <c r="B353" i="2" s="1"/>
  <c r="M58" i="1"/>
  <c r="B352" i="2" s="1"/>
  <c r="L58" i="1"/>
  <c r="B351" i="2" s="1"/>
  <c r="K58" i="1"/>
  <c r="T57" i="1"/>
  <c r="B350" i="2" s="1"/>
  <c r="S57" i="1"/>
  <c r="B349" i="2" s="1"/>
  <c r="R57" i="1"/>
  <c r="B348" i="2" s="1"/>
  <c r="Q57" i="1"/>
  <c r="B347" i="2" s="1"/>
  <c r="P57" i="1"/>
  <c r="B346" i="2" s="1"/>
  <c r="O57" i="1"/>
  <c r="B345" i="2" s="1"/>
  <c r="N57" i="1"/>
  <c r="B344" i="2" s="1"/>
  <c r="M57" i="1"/>
  <c r="B343" i="2" s="1"/>
  <c r="L57" i="1"/>
  <c r="K57" i="1" s="1"/>
  <c r="T56" i="1"/>
  <c r="B341" i="2" s="1"/>
  <c r="S56" i="1"/>
  <c r="B340" i="2" s="1"/>
  <c r="R56" i="1"/>
  <c r="B339" i="2" s="1"/>
  <c r="Q56" i="1"/>
  <c r="B338" i="2" s="1"/>
  <c r="P56" i="1"/>
  <c r="B337" i="2" s="1"/>
  <c r="O56" i="1"/>
  <c r="B336" i="2" s="1"/>
  <c r="N56" i="1"/>
  <c r="B335" i="2" s="1"/>
  <c r="M56" i="1"/>
  <c r="B334" i="2" s="1"/>
  <c r="L56" i="1"/>
  <c r="B333" i="2" s="1"/>
  <c r="T55" i="1"/>
  <c r="B332" i="2" s="1"/>
  <c r="S55" i="1"/>
  <c r="B331" i="2" s="1"/>
  <c r="R55" i="1"/>
  <c r="B330" i="2" s="1"/>
  <c r="Q55" i="1"/>
  <c r="B329" i="2" s="1"/>
  <c r="P55" i="1"/>
  <c r="B328" i="2" s="1"/>
  <c r="O55" i="1"/>
  <c r="B327" i="2" s="1"/>
  <c r="N55" i="1"/>
  <c r="B326" i="2" s="1"/>
  <c r="M55" i="1"/>
  <c r="B325" i="2" s="1"/>
  <c r="L55" i="1"/>
  <c r="B324" i="2" s="1"/>
  <c r="K55" i="1"/>
  <c r="T54" i="1"/>
  <c r="B323" i="2" s="1"/>
  <c r="S54" i="1"/>
  <c r="B322" i="2" s="1"/>
  <c r="R54" i="1"/>
  <c r="B321" i="2" s="1"/>
  <c r="Q54" i="1"/>
  <c r="B320" i="2" s="1"/>
  <c r="P54" i="1"/>
  <c r="B319" i="2" s="1"/>
  <c r="O54" i="1"/>
  <c r="B318" i="2" s="1"/>
  <c r="N54" i="1"/>
  <c r="B317" i="2" s="1"/>
  <c r="M54" i="1"/>
  <c r="B316" i="2" s="1"/>
  <c r="L54" i="1"/>
  <c r="B315" i="2" s="1"/>
  <c r="T53" i="1"/>
  <c r="B314" i="2" s="1"/>
  <c r="S53" i="1"/>
  <c r="B313" i="2" s="1"/>
  <c r="R53" i="1"/>
  <c r="B312" i="2" s="1"/>
  <c r="Q53" i="1"/>
  <c r="B311" i="2" s="1"/>
  <c r="P53" i="1"/>
  <c r="B310" i="2" s="1"/>
  <c r="O53" i="1"/>
  <c r="B309" i="2" s="1"/>
  <c r="N53" i="1"/>
  <c r="B308" i="2" s="1"/>
  <c r="M53" i="1"/>
  <c r="B307" i="2" s="1"/>
  <c r="L53" i="1"/>
  <c r="B306" i="2" s="1"/>
  <c r="T52" i="1"/>
  <c r="B305" i="2" s="1"/>
  <c r="S52" i="1"/>
  <c r="B304" i="2" s="1"/>
  <c r="R52" i="1"/>
  <c r="B303" i="2" s="1"/>
  <c r="Q52" i="1"/>
  <c r="B302" i="2" s="1"/>
  <c r="P52" i="1"/>
  <c r="B301" i="2" s="1"/>
  <c r="O52" i="1"/>
  <c r="B300" i="2" s="1"/>
  <c r="N52" i="1"/>
  <c r="B299" i="2" s="1"/>
  <c r="M52" i="1"/>
  <c r="B298" i="2" s="1"/>
  <c r="L52" i="1"/>
  <c r="B297" i="2" s="1"/>
  <c r="K52" i="1"/>
  <c r="T51" i="1"/>
  <c r="B296" i="2" s="1"/>
  <c r="S51" i="1"/>
  <c r="B295" i="2" s="1"/>
  <c r="R51" i="1"/>
  <c r="K51" i="1" s="1"/>
  <c r="Q51" i="1"/>
  <c r="B293" i="2" s="1"/>
  <c r="P51" i="1"/>
  <c r="B292" i="2" s="1"/>
  <c r="O51" i="1"/>
  <c r="B291" i="2" s="1"/>
  <c r="N51" i="1"/>
  <c r="B290" i="2" s="1"/>
  <c r="M51" i="1"/>
  <c r="B289" i="2" s="1"/>
  <c r="L51" i="1"/>
  <c r="B288" i="2" s="1"/>
  <c r="T50" i="1"/>
  <c r="B287" i="2" s="1"/>
  <c r="S50" i="1"/>
  <c r="B286" i="2" s="1"/>
  <c r="R50" i="1"/>
  <c r="B285" i="2" s="1"/>
  <c r="Q50" i="1"/>
  <c r="B284" i="2" s="1"/>
  <c r="P50" i="1"/>
  <c r="B283" i="2" s="1"/>
  <c r="O50" i="1"/>
  <c r="B282" i="2" s="1"/>
  <c r="N50" i="1"/>
  <c r="B281" i="2" s="1"/>
  <c r="M50" i="1"/>
  <c r="B280" i="2" s="1"/>
  <c r="L50" i="1"/>
  <c r="B279" i="2" s="1"/>
  <c r="T49" i="1"/>
  <c r="B278" i="2" s="1"/>
  <c r="S49" i="1"/>
  <c r="B277" i="2" s="1"/>
  <c r="R49" i="1"/>
  <c r="B276" i="2" s="1"/>
  <c r="Q49" i="1"/>
  <c r="B275" i="2" s="1"/>
  <c r="P49" i="1"/>
  <c r="B274" i="2" s="1"/>
  <c r="O49" i="1"/>
  <c r="B273" i="2" s="1"/>
  <c r="N49" i="1"/>
  <c r="B272" i="2" s="1"/>
  <c r="M49" i="1"/>
  <c r="B271" i="2" s="1"/>
  <c r="L49" i="1"/>
  <c r="B270" i="2" s="1"/>
  <c r="K49" i="1"/>
  <c r="T48" i="1"/>
  <c r="B269" i="2" s="1"/>
  <c r="S48" i="1"/>
  <c r="B268" i="2" s="1"/>
  <c r="R48" i="1"/>
  <c r="B267" i="2" s="1"/>
  <c r="Q48" i="1"/>
  <c r="B266" i="2" s="1"/>
  <c r="P48" i="1"/>
  <c r="B265" i="2" s="1"/>
  <c r="O48" i="1"/>
  <c r="B264" i="2" s="1"/>
  <c r="N48" i="1"/>
  <c r="B263" i="2" s="1"/>
  <c r="M48" i="1"/>
  <c r="B262" i="2" s="1"/>
  <c r="L48" i="1"/>
  <c r="B261" i="2" s="1"/>
  <c r="T47" i="1"/>
  <c r="B260" i="2" s="1"/>
  <c r="S47" i="1"/>
  <c r="B259" i="2" s="1"/>
  <c r="R47" i="1"/>
  <c r="B258" i="2" s="1"/>
  <c r="Q47" i="1"/>
  <c r="B257" i="2" s="1"/>
  <c r="P47" i="1"/>
  <c r="B256" i="2" s="1"/>
  <c r="O47" i="1"/>
  <c r="B255" i="2" s="1"/>
  <c r="N47" i="1"/>
  <c r="B254" i="2" s="1"/>
  <c r="M47" i="1"/>
  <c r="B253" i="2" s="1"/>
  <c r="L47" i="1"/>
  <c r="B252" i="2" s="1"/>
  <c r="T46" i="1"/>
  <c r="B251" i="2" s="1"/>
  <c r="S46" i="1"/>
  <c r="B250" i="2" s="1"/>
  <c r="R46" i="1"/>
  <c r="B249" i="2" s="1"/>
  <c r="Q46" i="1"/>
  <c r="B248" i="2" s="1"/>
  <c r="P46" i="1"/>
  <c r="B247" i="2" s="1"/>
  <c r="O46" i="1"/>
  <c r="B246" i="2" s="1"/>
  <c r="N46" i="1"/>
  <c r="B245" i="2" s="1"/>
  <c r="M46" i="1"/>
  <c r="B244" i="2" s="1"/>
  <c r="L46" i="1"/>
  <c r="B243" i="2" s="1"/>
  <c r="U45" i="1"/>
  <c r="T45" i="1"/>
  <c r="B242" i="2" s="1"/>
  <c r="S45" i="1"/>
  <c r="B241" i="2" s="1"/>
  <c r="R45" i="1"/>
  <c r="B240" i="2" s="1"/>
  <c r="Q45" i="1"/>
  <c r="B239" i="2" s="1"/>
  <c r="P45" i="1"/>
  <c r="B238" i="2" s="1"/>
  <c r="O45" i="1"/>
  <c r="B237" i="2" s="1"/>
  <c r="N45" i="1"/>
  <c r="B236" i="2" s="1"/>
  <c r="M45" i="1"/>
  <c r="B235" i="2" s="1"/>
  <c r="L45" i="1"/>
  <c r="B234" i="2" s="1"/>
  <c r="T44" i="1"/>
  <c r="B233" i="2" s="1"/>
  <c r="S44" i="1"/>
  <c r="B232" i="2" s="1"/>
  <c r="R44" i="1"/>
  <c r="B231" i="2" s="1"/>
  <c r="Q44" i="1"/>
  <c r="B230" i="2" s="1"/>
  <c r="P44" i="1"/>
  <c r="B229" i="2" s="1"/>
  <c r="O44" i="1"/>
  <c r="B228" i="2" s="1"/>
  <c r="N44" i="1"/>
  <c r="B227" i="2" s="1"/>
  <c r="M44" i="1"/>
  <c r="B226" i="2" s="1"/>
  <c r="L44" i="1"/>
  <c r="B225" i="2" s="1"/>
  <c r="T43" i="1"/>
  <c r="B224" i="2" s="1"/>
  <c r="S43" i="1"/>
  <c r="B223" i="2" s="1"/>
  <c r="R43" i="1"/>
  <c r="B222" i="2" s="1"/>
  <c r="Q43" i="1"/>
  <c r="B221" i="2" s="1"/>
  <c r="P43" i="1"/>
  <c r="B220" i="2" s="1"/>
  <c r="O43" i="1"/>
  <c r="B219" i="2" s="1"/>
  <c r="N43" i="1"/>
  <c r="B218" i="2" s="1"/>
  <c r="M43" i="1"/>
  <c r="B217" i="2" s="1"/>
  <c r="L43" i="1"/>
  <c r="B216" i="2" s="1"/>
  <c r="K43" i="1"/>
  <c r="U42" i="1"/>
  <c r="T42" i="1"/>
  <c r="B215" i="2" s="1"/>
  <c r="S42" i="1"/>
  <c r="B214" i="2" s="1"/>
  <c r="R42" i="1"/>
  <c r="B213" i="2" s="1"/>
  <c r="Q42" i="1"/>
  <c r="B212" i="2" s="1"/>
  <c r="P42" i="1"/>
  <c r="B211" i="2" s="1"/>
  <c r="O42" i="1"/>
  <c r="B210" i="2" s="1"/>
  <c r="N42" i="1"/>
  <c r="B209" i="2" s="1"/>
  <c r="M42" i="1"/>
  <c r="B208" i="2" s="1"/>
  <c r="L42" i="1"/>
  <c r="B207" i="2" s="1"/>
  <c r="K42" i="1"/>
  <c r="T41" i="1"/>
  <c r="B206" i="2" s="1"/>
  <c r="S41" i="1"/>
  <c r="B205" i="2" s="1"/>
  <c r="R41" i="1"/>
  <c r="B204" i="2" s="1"/>
  <c r="Q41" i="1"/>
  <c r="B203" i="2" s="1"/>
  <c r="P41" i="1"/>
  <c r="B202" i="2" s="1"/>
  <c r="O41" i="1"/>
  <c r="B201" i="2" s="1"/>
  <c r="N41" i="1"/>
  <c r="B200" i="2" s="1"/>
  <c r="M41" i="1"/>
  <c r="B199" i="2" s="1"/>
  <c r="L41" i="1"/>
  <c r="K41" i="1" s="1"/>
  <c r="T40" i="1"/>
  <c r="B197" i="2" s="1"/>
  <c r="S40" i="1"/>
  <c r="B196" i="2" s="1"/>
  <c r="R40" i="1"/>
  <c r="B195" i="2" s="1"/>
  <c r="Q40" i="1"/>
  <c r="B194" i="2" s="1"/>
  <c r="P40" i="1"/>
  <c r="B193" i="2" s="1"/>
  <c r="O40" i="1"/>
  <c r="B192" i="2" s="1"/>
  <c r="N40" i="1"/>
  <c r="B191" i="2" s="1"/>
  <c r="M40" i="1"/>
  <c r="B190" i="2" s="1"/>
  <c r="L40" i="1"/>
  <c r="B189" i="2" s="1"/>
  <c r="T39" i="1"/>
  <c r="B188" i="2" s="1"/>
  <c r="S39" i="1"/>
  <c r="B187" i="2" s="1"/>
  <c r="R39" i="1"/>
  <c r="B186" i="2" s="1"/>
  <c r="Q39" i="1"/>
  <c r="B185" i="2" s="1"/>
  <c r="P39" i="1"/>
  <c r="B184" i="2" s="1"/>
  <c r="O39" i="1"/>
  <c r="B183" i="2" s="1"/>
  <c r="N39" i="1"/>
  <c r="B182" i="2" s="1"/>
  <c r="M39" i="1"/>
  <c r="B181" i="2" s="1"/>
  <c r="L39" i="1"/>
  <c r="B180" i="2" s="1"/>
  <c r="K39" i="1"/>
  <c r="T38" i="1"/>
  <c r="B179" i="2" s="1"/>
  <c r="S38" i="1"/>
  <c r="B178" i="2" s="1"/>
  <c r="R38" i="1"/>
  <c r="U38" i="1" s="1"/>
  <c r="Q38" i="1"/>
  <c r="B176" i="2" s="1"/>
  <c r="P38" i="1"/>
  <c r="B175" i="2" s="1"/>
  <c r="O38" i="1"/>
  <c r="B174" i="2" s="1"/>
  <c r="N38" i="1"/>
  <c r="B173" i="2" s="1"/>
  <c r="M38" i="1"/>
  <c r="B172" i="2" s="1"/>
  <c r="L38" i="1"/>
  <c r="B171" i="2" s="1"/>
  <c r="T37" i="1"/>
  <c r="B170" i="2" s="1"/>
  <c r="S37" i="1"/>
  <c r="B169" i="2" s="1"/>
  <c r="R37" i="1"/>
  <c r="B168" i="2" s="1"/>
  <c r="Q37" i="1"/>
  <c r="B167" i="2" s="1"/>
  <c r="P37" i="1"/>
  <c r="B166" i="2" s="1"/>
  <c r="O37" i="1"/>
  <c r="B165" i="2" s="1"/>
  <c r="N37" i="1"/>
  <c r="B164" i="2" s="1"/>
  <c r="M37" i="1"/>
  <c r="B163" i="2" s="1"/>
  <c r="L37" i="1"/>
  <c r="B162" i="2" s="1"/>
  <c r="T36" i="1"/>
  <c r="B161" i="2" s="1"/>
  <c r="S36" i="1"/>
  <c r="B160" i="2" s="1"/>
  <c r="R36" i="1"/>
  <c r="B159" i="2" s="1"/>
  <c r="Q36" i="1"/>
  <c r="B158" i="2" s="1"/>
  <c r="P36" i="1"/>
  <c r="B157" i="2" s="1"/>
  <c r="O36" i="1"/>
  <c r="B156" i="2" s="1"/>
  <c r="N36" i="1"/>
  <c r="B155" i="2" s="1"/>
  <c r="M36" i="1"/>
  <c r="B154" i="2" s="1"/>
  <c r="L36" i="1"/>
  <c r="B153" i="2" s="1"/>
  <c r="K36" i="1"/>
  <c r="U35" i="1"/>
  <c r="T35" i="1"/>
  <c r="B152" i="2" s="1"/>
  <c r="S35" i="1"/>
  <c r="B151" i="2" s="1"/>
  <c r="R35" i="1"/>
  <c r="K35" i="1" s="1"/>
  <c r="Q35" i="1"/>
  <c r="B149" i="2" s="1"/>
  <c r="P35" i="1"/>
  <c r="B148" i="2" s="1"/>
  <c r="O35" i="1"/>
  <c r="B147" i="2" s="1"/>
  <c r="N35" i="1"/>
  <c r="B146" i="2" s="1"/>
  <c r="M35" i="1"/>
  <c r="B145" i="2" s="1"/>
  <c r="L35" i="1"/>
  <c r="B144" i="2" s="1"/>
  <c r="T34" i="1"/>
  <c r="B143" i="2" s="1"/>
  <c r="S34" i="1"/>
  <c r="B142" i="2" s="1"/>
  <c r="R34" i="1"/>
  <c r="B141" i="2" s="1"/>
  <c r="Q34" i="1"/>
  <c r="B140" i="2" s="1"/>
  <c r="P34" i="1"/>
  <c r="B139" i="2" s="1"/>
  <c r="O34" i="1"/>
  <c r="B138" i="2" s="1"/>
  <c r="N34" i="1"/>
  <c r="B137" i="2" s="1"/>
  <c r="M34" i="1"/>
  <c r="B136" i="2" s="1"/>
  <c r="L34" i="1"/>
  <c r="B135" i="2" s="1"/>
  <c r="T33" i="1"/>
  <c r="B134" i="2" s="1"/>
  <c r="S33" i="1"/>
  <c r="B133" i="2" s="1"/>
  <c r="R33" i="1"/>
  <c r="B132" i="2" s="1"/>
  <c r="Q33" i="1"/>
  <c r="B131" i="2" s="1"/>
  <c r="P33" i="1"/>
  <c r="B130" i="2" s="1"/>
  <c r="O33" i="1"/>
  <c r="B129" i="2" s="1"/>
  <c r="N33" i="1"/>
  <c r="B128" i="2" s="1"/>
  <c r="M33" i="1"/>
  <c r="B127" i="2" s="1"/>
  <c r="L33" i="1"/>
  <c r="B126" i="2" s="1"/>
  <c r="K33" i="1"/>
  <c r="T32" i="1"/>
  <c r="B125" i="2" s="1"/>
  <c r="S32" i="1"/>
  <c r="B124" i="2" s="1"/>
  <c r="R32" i="1"/>
  <c r="B123" i="2" s="1"/>
  <c r="Q32" i="1"/>
  <c r="B122" i="2" s="1"/>
  <c r="P32" i="1"/>
  <c r="B121" i="2" s="1"/>
  <c r="O32" i="1"/>
  <c r="B120" i="2" s="1"/>
  <c r="N32" i="1"/>
  <c r="B119" i="2" s="1"/>
  <c r="M32" i="1"/>
  <c r="B118" i="2" s="1"/>
  <c r="L32" i="1"/>
  <c r="B117" i="2" s="1"/>
  <c r="T31" i="1"/>
  <c r="B116" i="2" s="1"/>
  <c r="S31" i="1"/>
  <c r="B115" i="2" s="1"/>
  <c r="R31" i="1"/>
  <c r="B114" i="2" s="1"/>
  <c r="Q31" i="1"/>
  <c r="B113" i="2" s="1"/>
  <c r="P31" i="1"/>
  <c r="B112" i="2" s="1"/>
  <c r="O31" i="1"/>
  <c r="B111" i="2" s="1"/>
  <c r="N31" i="1"/>
  <c r="B110" i="2" s="1"/>
  <c r="M31" i="1"/>
  <c r="B109" i="2" s="1"/>
  <c r="L31" i="1"/>
  <c r="B108" i="2" s="1"/>
  <c r="T30" i="1"/>
  <c r="B107" i="2" s="1"/>
  <c r="S30" i="1"/>
  <c r="B106" i="2" s="1"/>
  <c r="R30" i="1"/>
  <c r="B105" i="2" s="1"/>
  <c r="Q30" i="1"/>
  <c r="B104" i="2" s="1"/>
  <c r="P30" i="1"/>
  <c r="B103" i="2" s="1"/>
  <c r="O30" i="1"/>
  <c r="B102" i="2" s="1"/>
  <c r="N30" i="1"/>
  <c r="B101" i="2" s="1"/>
  <c r="M30" i="1"/>
  <c r="B100" i="2" s="1"/>
  <c r="L30" i="1"/>
  <c r="B99" i="2" s="1"/>
  <c r="K30" i="1"/>
  <c r="U29" i="1"/>
  <c r="T29" i="1"/>
  <c r="B98" i="2" s="1"/>
  <c r="S29" i="1"/>
  <c r="B97" i="2" s="1"/>
  <c r="R29" i="1"/>
  <c r="B96" i="2" s="1"/>
  <c r="Q29" i="1"/>
  <c r="B95" i="2" s="1"/>
  <c r="P29" i="1"/>
  <c r="B94" i="2" s="1"/>
  <c r="O29" i="1"/>
  <c r="B93" i="2" s="1"/>
  <c r="N29" i="1"/>
  <c r="B92" i="2" s="1"/>
  <c r="M29" i="1"/>
  <c r="B91" i="2" s="1"/>
  <c r="L29" i="1"/>
  <c r="B90" i="2" s="1"/>
  <c r="T28" i="1"/>
  <c r="B89" i="2" s="1"/>
  <c r="S28" i="1"/>
  <c r="B88" i="2" s="1"/>
  <c r="R28" i="1"/>
  <c r="B87" i="2" s="1"/>
  <c r="Q28" i="1"/>
  <c r="B86" i="2" s="1"/>
  <c r="P28" i="1"/>
  <c r="B85" i="2" s="1"/>
  <c r="O28" i="1"/>
  <c r="B84" i="2" s="1"/>
  <c r="N28" i="1"/>
  <c r="B83" i="2" s="1"/>
  <c r="M28" i="1"/>
  <c r="B82" i="2" s="1"/>
  <c r="L28" i="1"/>
  <c r="B81" i="2" s="1"/>
  <c r="T27" i="1"/>
  <c r="B80" i="2" s="1"/>
  <c r="S27" i="1"/>
  <c r="B79" i="2" s="1"/>
  <c r="R27" i="1"/>
  <c r="B78" i="2" s="1"/>
  <c r="Q27" i="1"/>
  <c r="B77" i="2" s="1"/>
  <c r="P27" i="1"/>
  <c r="B76" i="2" s="1"/>
  <c r="O27" i="1"/>
  <c r="B75" i="2" s="1"/>
  <c r="N27" i="1"/>
  <c r="B74" i="2" s="1"/>
  <c r="M27" i="1"/>
  <c r="B73" i="2" s="1"/>
  <c r="L27" i="1"/>
  <c r="B72" i="2" s="1"/>
  <c r="K27" i="1"/>
  <c r="U26" i="1"/>
  <c r="T26" i="1"/>
  <c r="B71" i="2" s="1"/>
  <c r="S26" i="1"/>
  <c r="B70" i="2" s="1"/>
  <c r="R26" i="1"/>
  <c r="B69" i="2" s="1"/>
  <c r="Q26" i="1"/>
  <c r="B68" i="2" s="1"/>
  <c r="P26" i="1"/>
  <c r="B67" i="2" s="1"/>
  <c r="O26" i="1"/>
  <c r="B66" i="2" s="1"/>
  <c r="N26" i="1"/>
  <c r="B65" i="2" s="1"/>
  <c r="M26" i="1"/>
  <c r="B64" i="2" s="1"/>
  <c r="L26" i="1"/>
  <c r="B63" i="2" s="1"/>
  <c r="K26" i="1"/>
  <c r="T25" i="1"/>
  <c r="B62" i="2" s="1"/>
  <c r="S25" i="1"/>
  <c r="B61" i="2" s="1"/>
  <c r="R25" i="1"/>
  <c r="B60" i="2" s="1"/>
  <c r="Q25" i="1"/>
  <c r="B59" i="2" s="1"/>
  <c r="P25" i="1"/>
  <c r="B58" i="2" s="1"/>
  <c r="O25" i="1"/>
  <c r="B57" i="2" s="1"/>
  <c r="N25" i="1"/>
  <c r="B56" i="2" s="1"/>
  <c r="M25" i="1"/>
  <c r="B55" i="2" s="1"/>
  <c r="L25" i="1"/>
  <c r="B54" i="2" s="1"/>
  <c r="T24" i="1"/>
  <c r="B53" i="2" s="1"/>
  <c r="S24" i="1"/>
  <c r="B52" i="2" s="1"/>
  <c r="R24" i="1"/>
  <c r="B51" i="2" s="1"/>
  <c r="Q24" i="1"/>
  <c r="B50" i="2" s="1"/>
  <c r="P24" i="1"/>
  <c r="B49" i="2" s="1"/>
  <c r="O24" i="1"/>
  <c r="B48" i="2" s="1"/>
  <c r="N24" i="1"/>
  <c r="B47" i="2" s="1"/>
  <c r="M24" i="1"/>
  <c r="B46" i="2" s="1"/>
  <c r="L24" i="1"/>
  <c r="B45" i="2" s="1"/>
  <c r="T23" i="1"/>
  <c r="B44" i="2" s="1"/>
  <c r="S23" i="1"/>
  <c r="B43" i="2" s="1"/>
  <c r="R23" i="1"/>
  <c r="B42" i="2" s="1"/>
  <c r="Q23" i="1"/>
  <c r="B41" i="2" s="1"/>
  <c r="P23" i="1"/>
  <c r="B40" i="2" s="1"/>
  <c r="O23" i="1"/>
  <c r="B39" i="2" s="1"/>
  <c r="N23" i="1"/>
  <c r="B38" i="2" s="1"/>
  <c r="M23" i="1"/>
  <c r="B37" i="2" s="1"/>
  <c r="L23" i="1"/>
  <c r="B36" i="2" s="1"/>
  <c r="K23" i="1"/>
  <c r="T22" i="1"/>
  <c r="B35" i="2" s="1"/>
  <c r="S22" i="1"/>
  <c r="B34" i="2" s="1"/>
  <c r="R22" i="1"/>
  <c r="U22" i="1" s="1"/>
  <c r="Q22" i="1"/>
  <c r="B32" i="2" s="1"/>
  <c r="P22" i="1"/>
  <c r="B31" i="2" s="1"/>
  <c r="O22" i="1"/>
  <c r="B30" i="2" s="1"/>
  <c r="N22" i="1"/>
  <c r="B29" i="2" s="1"/>
  <c r="M22" i="1"/>
  <c r="B28" i="2" s="1"/>
  <c r="L22" i="1"/>
  <c r="B27" i="2" s="1"/>
  <c r="T21" i="1"/>
  <c r="B26" i="2" s="1"/>
  <c r="S21" i="1"/>
  <c r="B25" i="2" s="1"/>
  <c r="R21" i="1"/>
  <c r="B24" i="2" s="1"/>
  <c r="Q21" i="1"/>
  <c r="B23" i="2" s="1"/>
  <c r="P21" i="1"/>
  <c r="B22" i="2" s="1"/>
  <c r="O21" i="1"/>
  <c r="B21" i="2" s="1"/>
  <c r="N21" i="1"/>
  <c r="B20" i="2" s="1"/>
  <c r="M21" i="1"/>
  <c r="B19" i="2" s="1"/>
  <c r="L21" i="1"/>
  <c r="B18" i="2" s="1"/>
  <c r="T20" i="1"/>
  <c r="B17" i="2" s="1"/>
  <c r="S20" i="1"/>
  <c r="B16" i="2" s="1"/>
  <c r="R20" i="1"/>
  <c r="B15" i="2" s="1"/>
  <c r="Q20" i="1"/>
  <c r="B14" i="2" s="1"/>
  <c r="P20" i="1"/>
  <c r="B13" i="2" s="1"/>
  <c r="O20" i="1"/>
  <c r="B12" i="2" s="1"/>
  <c r="N20" i="1"/>
  <c r="B11" i="2" s="1"/>
  <c r="M20" i="1"/>
  <c r="B10" i="2" s="1"/>
  <c r="L20" i="1"/>
  <c r="B9" i="2" s="1"/>
  <c r="C9" i="2" s="1"/>
  <c r="K20" i="1" l="1"/>
  <c r="C10" i="2"/>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U32" i="1"/>
  <c r="K24" i="1"/>
  <c r="K40" i="1"/>
  <c r="K56" i="1"/>
  <c r="K72" i="1"/>
  <c r="U74" i="1"/>
  <c r="K88" i="1"/>
  <c r="U90" i="1"/>
  <c r="K104" i="1"/>
  <c r="U106" i="1"/>
  <c r="K120" i="1"/>
  <c r="U122" i="1"/>
  <c r="K136" i="1"/>
  <c r="U138" i="1"/>
  <c r="K152" i="1"/>
  <c r="U154" i="1"/>
  <c r="K168" i="1"/>
  <c r="U170" i="1"/>
  <c r="K184" i="1"/>
  <c r="U186" i="1"/>
  <c r="K200" i="1"/>
  <c r="U202" i="1"/>
  <c r="K216" i="1"/>
  <c r="U218" i="1"/>
  <c r="K232" i="1"/>
  <c r="U234" i="1"/>
  <c r="K248" i="1"/>
  <c r="U250" i="1"/>
  <c r="K264" i="1"/>
  <c r="U266" i="1"/>
  <c r="K280" i="1"/>
  <c r="U282" i="1"/>
  <c r="K296" i="1"/>
  <c r="U298" i="1"/>
  <c r="K312" i="1"/>
  <c r="U314" i="1"/>
  <c r="K328" i="1"/>
  <c r="U330" i="1"/>
  <c r="K344" i="1"/>
  <c r="U346" i="1"/>
  <c r="K360" i="1"/>
  <c r="U362" i="1"/>
  <c r="K376" i="1"/>
  <c r="U378" i="1"/>
  <c r="K392" i="1"/>
  <c r="U394" i="1"/>
  <c r="K408" i="1"/>
  <c r="U410" i="1"/>
  <c r="K424" i="1"/>
  <c r="U426" i="1"/>
  <c r="K440" i="1"/>
  <c r="U442" i="1"/>
  <c r="K456" i="1"/>
  <c r="U458" i="1"/>
  <c r="K472" i="1"/>
  <c r="U474" i="1"/>
  <c r="K488" i="1"/>
  <c r="U490" i="1"/>
  <c r="K504" i="1"/>
  <c r="U506" i="1"/>
  <c r="K520" i="1"/>
  <c r="U522" i="1"/>
  <c r="K536" i="1"/>
  <c r="U538" i="1"/>
  <c r="K552" i="1"/>
  <c r="U554" i="1"/>
  <c r="K568" i="1"/>
  <c r="U570" i="1"/>
  <c r="K584" i="1"/>
  <c r="U586" i="1"/>
  <c r="K600" i="1"/>
  <c r="U602" i="1"/>
  <c r="K616" i="1"/>
  <c r="U618" i="1"/>
  <c r="K632" i="1"/>
  <c r="U634" i="1"/>
  <c r="K648" i="1"/>
  <c r="U650" i="1"/>
  <c r="K664" i="1"/>
  <c r="U666" i="1"/>
  <c r="K680" i="1"/>
  <c r="U682" i="1"/>
  <c r="K696" i="1"/>
  <c r="U698" i="1"/>
  <c r="K712" i="1"/>
  <c r="U714" i="1"/>
  <c r="K728" i="1"/>
  <c r="U730" i="1"/>
  <c r="K744" i="1"/>
  <c r="K760" i="1"/>
  <c r="U762" i="1"/>
  <c r="K776" i="1"/>
  <c r="U778" i="1"/>
  <c r="K792" i="1"/>
  <c r="U794" i="1"/>
  <c r="K808" i="1"/>
  <c r="K824" i="1"/>
  <c r="K840" i="1"/>
  <c r="K856" i="1"/>
  <c r="K872" i="1"/>
  <c r="U874" i="1"/>
  <c r="K888" i="1"/>
  <c r="U890" i="1"/>
  <c r="K904" i="1"/>
  <c r="K920" i="1"/>
  <c r="K936" i="1"/>
  <c r="K952" i="1"/>
  <c r="K968" i="1"/>
  <c r="U970" i="1"/>
  <c r="K984" i="1"/>
  <c r="U986" i="1"/>
  <c r="K1000" i="1"/>
  <c r="U1002" i="1"/>
  <c r="K1016" i="1"/>
  <c r="B294" i="2"/>
  <c r="K235" i="1"/>
  <c r="K251" i="1"/>
  <c r="U253" i="1"/>
  <c r="K267" i="1"/>
  <c r="K283" i="1"/>
  <c r="U285" i="1"/>
  <c r="K299" i="1"/>
  <c r="U301" i="1"/>
  <c r="K315" i="1"/>
  <c r="U317" i="1"/>
  <c r="K331" i="1"/>
  <c r="U333" i="1"/>
  <c r="K347" i="1"/>
  <c r="U349" i="1"/>
  <c r="K363" i="1"/>
  <c r="K379" i="1"/>
  <c r="K395" i="1"/>
  <c r="K411" i="1"/>
  <c r="K427" i="1"/>
  <c r="K443" i="1"/>
  <c r="K459" i="1"/>
  <c r="K475" i="1"/>
  <c r="K491" i="1"/>
  <c r="K507" i="1"/>
  <c r="U509" i="1"/>
  <c r="K523" i="1"/>
  <c r="K539" i="1"/>
  <c r="K555" i="1"/>
  <c r="K571" i="1"/>
  <c r="K587" i="1"/>
  <c r="K603" i="1"/>
  <c r="K619" i="1"/>
  <c r="K635" i="1"/>
  <c r="U637" i="1"/>
  <c r="K651" i="1"/>
  <c r="U653" i="1"/>
  <c r="K667" i="1"/>
  <c r="K683" i="1"/>
  <c r="U685" i="1"/>
  <c r="K699" i="1"/>
  <c r="U701" i="1"/>
  <c r="K715" i="1"/>
  <c r="U717" i="1"/>
  <c r="K731" i="1"/>
  <c r="U733" i="1"/>
  <c r="K747" i="1"/>
  <c r="U749" i="1"/>
  <c r="K763" i="1"/>
  <c r="U765" i="1"/>
  <c r="K779" i="1"/>
  <c r="U781" i="1"/>
  <c r="K795" i="1"/>
  <c r="K811" i="1"/>
  <c r="K827" i="1"/>
  <c r="K843" i="1"/>
  <c r="K859" i="1"/>
  <c r="K875" i="1"/>
  <c r="K891" i="1"/>
  <c r="K907" i="1"/>
  <c r="K923" i="1"/>
  <c r="K939" i="1"/>
  <c r="K955" i="1"/>
  <c r="U957" i="1"/>
  <c r="K971" i="1"/>
  <c r="K987" i="1"/>
  <c r="B342" i="2"/>
  <c r="K46" i="1"/>
  <c r="U48" i="1"/>
  <c r="K62" i="1"/>
  <c r="U64" i="1"/>
  <c r="K78" i="1"/>
  <c r="U80" i="1"/>
  <c r="K94" i="1"/>
  <c r="U96" i="1"/>
  <c r="K110" i="1"/>
  <c r="U112" i="1"/>
  <c r="K126" i="1"/>
  <c r="U128" i="1"/>
  <c r="K142" i="1"/>
  <c r="U144" i="1"/>
  <c r="K158" i="1"/>
  <c r="U160" i="1"/>
  <c r="K174" i="1"/>
  <c r="U176" i="1"/>
  <c r="K190" i="1"/>
  <c r="U192" i="1"/>
  <c r="K206" i="1"/>
  <c r="U208" i="1"/>
  <c r="K222" i="1"/>
  <c r="U224" i="1"/>
  <c r="K238" i="1"/>
  <c r="U240" i="1"/>
  <c r="K254" i="1"/>
  <c r="U256" i="1"/>
  <c r="K270" i="1"/>
  <c r="U272" i="1"/>
  <c r="K286" i="1"/>
  <c r="U288" i="1"/>
  <c r="K302" i="1"/>
  <c r="U304" i="1"/>
  <c r="K318" i="1"/>
  <c r="U320" i="1"/>
  <c r="K334" i="1"/>
  <c r="U336" i="1"/>
  <c r="K350" i="1"/>
  <c r="U352" i="1"/>
  <c r="K366" i="1"/>
  <c r="U368" i="1"/>
  <c r="K382" i="1"/>
  <c r="U384" i="1"/>
  <c r="K398" i="1"/>
  <c r="U400" i="1"/>
  <c r="K414" i="1"/>
  <c r="U416" i="1"/>
  <c r="K430" i="1"/>
  <c r="U432" i="1"/>
  <c r="K446" i="1"/>
  <c r="U448" i="1"/>
  <c r="K462" i="1"/>
  <c r="U464" i="1"/>
  <c r="K478" i="1"/>
  <c r="U480" i="1"/>
  <c r="K494" i="1"/>
  <c r="U496" i="1"/>
  <c r="K510" i="1"/>
  <c r="U512" i="1"/>
  <c r="K526" i="1"/>
  <c r="U528" i="1"/>
  <c r="K542" i="1"/>
  <c r="U544" i="1"/>
  <c r="K558" i="1"/>
  <c r="U560" i="1"/>
  <c r="K574" i="1"/>
  <c r="U576" i="1"/>
  <c r="K590" i="1"/>
  <c r="U592" i="1"/>
  <c r="K606" i="1"/>
  <c r="U608" i="1"/>
  <c r="K622" i="1"/>
  <c r="U624" i="1"/>
  <c r="K638" i="1"/>
  <c r="U640" i="1"/>
  <c r="K654" i="1"/>
  <c r="U656" i="1"/>
  <c r="K670" i="1"/>
  <c r="U672" i="1"/>
  <c r="K686" i="1"/>
  <c r="U688" i="1"/>
  <c r="K702" i="1"/>
  <c r="U704" i="1"/>
  <c r="K718" i="1"/>
  <c r="U720" i="1"/>
  <c r="K734" i="1"/>
  <c r="U736" i="1"/>
  <c r="K750" i="1"/>
  <c r="U752" i="1"/>
  <c r="K766" i="1"/>
  <c r="U768" i="1"/>
  <c r="K782" i="1"/>
  <c r="U784" i="1"/>
  <c r="K798" i="1"/>
  <c r="U800" i="1"/>
  <c r="K814" i="1"/>
  <c r="U816" i="1"/>
  <c r="K830" i="1"/>
  <c r="U832" i="1"/>
  <c r="K846" i="1"/>
  <c r="U848" i="1"/>
  <c r="K862" i="1"/>
  <c r="U864" i="1"/>
  <c r="K878" i="1"/>
  <c r="U880" i="1"/>
  <c r="K894" i="1"/>
  <c r="U896" i="1"/>
  <c r="K910" i="1"/>
  <c r="U912" i="1"/>
  <c r="K926" i="1"/>
  <c r="U928" i="1"/>
  <c r="K942" i="1"/>
  <c r="U944" i="1"/>
  <c r="K958" i="1"/>
  <c r="U960" i="1"/>
  <c r="K974" i="1"/>
  <c r="U976" i="1"/>
  <c r="K990" i="1"/>
  <c r="U992" i="1"/>
  <c r="K1006" i="1"/>
  <c r="U1008" i="1"/>
  <c r="B9001" i="2"/>
  <c r="U1019" i="1"/>
  <c r="U83" i="1"/>
  <c r="U131" i="1"/>
  <c r="K145" i="1"/>
  <c r="U147" i="1"/>
  <c r="K161" i="1"/>
  <c r="U163" i="1"/>
  <c r="K177" i="1"/>
  <c r="U179" i="1"/>
  <c r="K193" i="1"/>
  <c r="U195" i="1"/>
  <c r="K209" i="1"/>
  <c r="U211" i="1"/>
  <c r="K225" i="1"/>
  <c r="U227" i="1"/>
  <c r="K241" i="1"/>
  <c r="U243" i="1"/>
  <c r="K257" i="1"/>
  <c r="U259" i="1"/>
  <c r="K273" i="1"/>
  <c r="U275" i="1"/>
  <c r="K289" i="1"/>
  <c r="U291" i="1"/>
  <c r="K305" i="1"/>
  <c r="U307" i="1"/>
  <c r="K321" i="1"/>
  <c r="U323" i="1"/>
  <c r="K337" i="1"/>
  <c r="U339" i="1"/>
  <c r="K353" i="1"/>
  <c r="U355" i="1"/>
  <c r="K369" i="1"/>
  <c r="U371" i="1"/>
  <c r="K385" i="1"/>
  <c r="U387" i="1"/>
  <c r="K401" i="1"/>
  <c r="U403" i="1"/>
  <c r="K417" i="1"/>
  <c r="U419" i="1"/>
  <c r="K433" i="1"/>
  <c r="U435" i="1"/>
  <c r="K449" i="1"/>
  <c r="U451" i="1"/>
  <c r="K465" i="1"/>
  <c r="U467" i="1"/>
  <c r="K481" i="1"/>
  <c r="U483" i="1"/>
  <c r="K497" i="1"/>
  <c r="U499" i="1"/>
  <c r="K513" i="1"/>
  <c r="U515" i="1"/>
  <c r="K529" i="1"/>
  <c r="U531" i="1"/>
  <c r="K545" i="1"/>
  <c r="U547" i="1"/>
  <c r="K561" i="1"/>
  <c r="U563" i="1"/>
  <c r="K577" i="1"/>
  <c r="U579" i="1"/>
  <c r="K593" i="1"/>
  <c r="U595" i="1"/>
  <c r="K609" i="1"/>
  <c r="U611" i="1"/>
  <c r="K625" i="1"/>
  <c r="U627" i="1"/>
  <c r="K641" i="1"/>
  <c r="U643" i="1"/>
  <c r="K657" i="1"/>
  <c r="U659" i="1"/>
  <c r="K673" i="1"/>
  <c r="U675" i="1"/>
  <c r="K689" i="1"/>
  <c r="U691" i="1"/>
  <c r="K705" i="1"/>
  <c r="U707" i="1"/>
  <c r="K721" i="1"/>
  <c r="U723" i="1"/>
  <c r="K737" i="1"/>
  <c r="U739" i="1"/>
  <c r="K753" i="1"/>
  <c r="U755" i="1"/>
  <c r="K769" i="1"/>
  <c r="U771" i="1"/>
  <c r="K785" i="1"/>
  <c r="U787" i="1"/>
  <c r="K801" i="1"/>
  <c r="U803" i="1"/>
  <c r="K817" i="1"/>
  <c r="U819" i="1"/>
  <c r="K833" i="1"/>
  <c r="U835" i="1"/>
  <c r="K849" i="1"/>
  <c r="U851" i="1"/>
  <c r="K865" i="1"/>
  <c r="U867" i="1"/>
  <c r="K881" i="1"/>
  <c r="U883" i="1"/>
  <c r="K897" i="1"/>
  <c r="U899" i="1"/>
  <c r="K913" i="1"/>
  <c r="U915" i="1"/>
  <c r="K929" i="1"/>
  <c r="U931" i="1"/>
  <c r="K945" i="1"/>
  <c r="U947" i="1"/>
  <c r="K961" i="1"/>
  <c r="U963" i="1"/>
  <c r="K977" i="1"/>
  <c r="U979" i="1"/>
  <c r="K993" i="1"/>
  <c r="U995" i="1"/>
  <c r="K1009" i="1"/>
  <c r="U1011" i="1"/>
  <c r="U150" i="1"/>
  <c r="K164" i="1"/>
  <c r="U166" i="1"/>
  <c r="K180" i="1"/>
  <c r="U182" i="1"/>
  <c r="K196" i="1"/>
  <c r="U198" i="1"/>
  <c r="K212" i="1"/>
  <c r="U214" i="1"/>
  <c r="K228" i="1"/>
  <c r="U230" i="1"/>
  <c r="K244" i="1"/>
  <c r="U246" i="1"/>
  <c r="K260" i="1"/>
  <c r="U262" i="1"/>
  <c r="K276" i="1"/>
  <c r="U278" i="1"/>
  <c r="K292" i="1"/>
  <c r="U294" i="1"/>
  <c r="K308" i="1"/>
  <c r="U310" i="1"/>
  <c r="K324" i="1"/>
  <c r="U326" i="1"/>
  <c r="K340" i="1"/>
  <c r="U342" i="1"/>
  <c r="K356" i="1"/>
  <c r="U358" i="1"/>
  <c r="K372" i="1"/>
  <c r="U374" i="1"/>
  <c r="K388" i="1"/>
  <c r="U390" i="1"/>
  <c r="K404" i="1"/>
  <c r="U406" i="1"/>
  <c r="K420" i="1"/>
  <c r="U422" i="1"/>
  <c r="K436" i="1"/>
  <c r="U438" i="1"/>
  <c r="K452" i="1"/>
  <c r="U454" i="1"/>
  <c r="K468" i="1"/>
  <c r="U470" i="1"/>
  <c r="K484" i="1"/>
  <c r="U486" i="1"/>
  <c r="K500" i="1"/>
  <c r="U502" i="1"/>
  <c r="K516" i="1"/>
  <c r="U518" i="1"/>
  <c r="K532" i="1"/>
  <c r="U534" i="1"/>
  <c r="K548" i="1"/>
  <c r="U550" i="1"/>
  <c r="K564" i="1"/>
  <c r="U566" i="1"/>
  <c r="K580" i="1"/>
  <c r="U582" i="1"/>
  <c r="K596" i="1"/>
  <c r="U598" i="1"/>
  <c r="K612" i="1"/>
  <c r="U614" i="1"/>
  <c r="K628" i="1"/>
  <c r="U630" i="1"/>
  <c r="K644" i="1"/>
  <c r="U646" i="1"/>
  <c r="K660" i="1"/>
  <c r="U662" i="1"/>
  <c r="K676" i="1"/>
  <c r="U678" i="1"/>
  <c r="K692" i="1"/>
  <c r="K708" i="1"/>
  <c r="K724" i="1"/>
  <c r="U726" i="1"/>
  <c r="K740" i="1"/>
  <c r="U742" i="1"/>
  <c r="K756" i="1"/>
  <c r="K772" i="1"/>
  <c r="K788" i="1"/>
  <c r="K804" i="1"/>
  <c r="K820" i="1"/>
  <c r="K836" i="1"/>
  <c r="K852" i="1"/>
  <c r="U854" i="1"/>
  <c r="K868" i="1"/>
  <c r="U870" i="1"/>
  <c r="K884" i="1"/>
  <c r="U886" i="1"/>
  <c r="U998" i="1"/>
  <c r="U1014" i="1"/>
  <c r="B150" i="2"/>
  <c r="U905" i="1"/>
  <c r="U921" i="1"/>
  <c r="U937" i="1"/>
  <c r="K951" i="1"/>
  <c r="U953" i="1"/>
  <c r="K967" i="1"/>
  <c r="U969" i="1"/>
  <c r="K983" i="1"/>
  <c r="U985" i="1"/>
  <c r="K999" i="1"/>
  <c r="U1001" i="1"/>
  <c r="K1015" i="1"/>
  <c r="U1017" i="1"/>
  <c r="K122" i="1"/>
  <c r="U124" i="1"/>
  <c r="K138" i="1"/>
  <c r="U140" i="1"/>
  <c r="K154" i="1"/>
  <c r="U156" i="1"/>
  <c r="K170" i="1"/>
  <c r="U172" i="1"/>
  <c r="K186" i="1"/>
  <c r="U188" i="1"/>
  <c r="K202" i="1"/>
  <c r="U204" i="1"/>
  <c r="K218" i="1"/>
  <c r="U220" i="1"/>
  <c r="K234" i="1"/>
  <c r="U236" i="1"/>
  <c r="K250" i="1"/>
  <c r="U252" i="1"/>
  <c r="K266" i="1"/>
  <c r="U268" i="1"/>
  <c r="K282" i="1"/>
  <c r="U284" i="1"/>
  <c r="K298" i="1"/>
  <c r="U300" i="1"/>
  <c r="K314" i="1"/>
  <c r="U316" i="1"/>
  <c r="K330" i="1"/>
  <c r="U332" i="1"/>
  <c r="K346" i="1"/>
  <c r="U348" i="1"/>
  <c r="K362" i="1"/>
  <c r="U364" i="1"/>
  <c r="K378" i="1"/>
  <c r="U380" i="1"/>
  <c r="K394" i="1"/>
  <c r="U396" i="1"/>
  <c r="K410" i="1"/>
  <c r="U412" i="1"/>
  <c r="K426" i="1"/>
  <c r="U428" i="1"/>
  <c r="K442" i="1"/>
  <c r="U444" i="1"/>
  <c r="K458" i="1"/>
  <c r="U460" i="1"/>
  <c r="K474" i="1"/>
  <c r="U476" i="1"/>
  <c r="K490" i="1"/>
  <c r="U492" i="1"/>
  <c r="K506" i="1"/>
  <c r="U508" i="1"/>
  <c r="K522" i="1"/>
  <c r="U524" i="1"/>
  <c r="K538" i="1"/>
  <c r="U540" i="1"/>
  <c r="K554" i="1"/>
  <c r="U556" i="1"/>
  <c r="K570" i="1"/>
  <c r="U572" i="1"/>
  <c r="K586" i="1"/>
  <c r="U588" i="1"/>
  <c r="K602" i="1"/>
  <c r="U604" i="1"/>
  <c r="K618" i="1"/>
  <c r="U620" i="1"/>
  <c r="K634" i="1"/>
  <c r="U636" i="1"/>
  <c r="K650" i="1"/>
  <c r="U652" i="1"/>
  <c r="U668" i="1"/>
  <c r="K682" i="1"/>
  <c r="U684" i="1"/>
  <c r="U700" i="1"/>
  <c r="K714" i="1"/>
  <c r="U716" i="1"/>
  <c r="K730" i="1"/>
  <c r="U732" i="1"/>
  <c r="U748" i="1"/>
  <c r="K762" i="1"/>
  <c r="U764" i="1"/>
  <c r="K778" i="1"/>
  <c r="U780" i="1"/>
  <c r="K794" i="1"/>
  <c r="U796" i="1"/>
  <c r="U812" i="1"/>
  <c r="U828" i="1"/>
  <c r="K842" i="1"/>
  <c r="U844" i="1"/>
  <c r="K858" i="1"/>
  <c r="U860" i="1"/>
  <c r="K874" i="1"/>
  <c r="U876" i="1"/>
  <c r="K890" i="1"/>
  <c r="U892" i="1"/>
  <c r="K906" i="1"/>
  <c r="U908" i="1"/>
  <c r="K922" i="1"/>
  <c r="U924" i="1"/>
  <c r="K938" i="1"/>
  <c r="U940" i="1"/>
  <c r="K954" i="1"/>
  <c r="U956" i="1"/>
  <c r="K970" i="1"/>
  <c r="U972" i="1"/>
  <c r="K986" i="1"/>
  <c r="U988" i="1"/>
  <c r="K1002" i="1"/>
  <c r="U1004" i="1"/>
  <c r="K1018" i="1"/>
  <c r="U70" i="1"/>
  <c r="U102" i="1"/>
  <c r="U118" i="1"/>
  <c r="U41" i="1"/>
  <c r="U57" i="1"/>
  <c r="U137" i="1"/>
  <c r="U153" i="1"/>
  <c r="U63" i="1"/>
  <c r="U111" i="1"/>
  <c r="K125" i="1"/>
  <c r="U127" i="1"/>
  <c r="K141" i="1"/>
  <c r="U143" i="1"/>
  <c r="K157" i="1"/>
  <c r="U159" i="1"/>
  <c r="K173" i="1"/>
  <c r="U175" i="1"/>
  <c r="K189" i="1"/>
  <c r="U191" i="1"/>
  <c r="K205" i="1"/>
  <c r="U207" i="1"/>
  <c r="K221" i="1"/>
  <c r="U223" i="1"/>
  <c r="K237" i="1"/>
  <c r="U239" i="1"/>
  <c r="K253" i="1"/>
  <c r="U255" i="1"/>
  <c r="K269" i="1"/>
  <c r="U271" i="1"/>
  <c r="K285" i="1"/>
  <c r="U287" i="1"/>
  <c r="K301" i="1"/>
  <c r="U303" i="1"/>
  <c r="K317" i="1"/>
  <c r="U319" i="1"/>
  <c r="K333" i="1"/>
  <c r="U335" i="1"/>
  <c r="K349" i="1"/>
  <c r="U351" i="1"/>
  <c r="K365" i="1"/>
  <c r="U367" i="1"/>
  <c r="K381" i="1"/>
  <c r="U383" i="1"/>
  <c r="K397" i="1"/>
  <c r="U399" i="1"/>
  <c r="K413" i="1"/>
  <c r="U415" i="1"/>
  <c r="K429" i="1"/>
  <c r="U431" i="1"/>
  <c r="K445" i="1"/>
  <c r="U447" i="1"/>
  <c r="K461" i="1"/>
  <c r="U463" i="1"/>
  <c r="K477" i="1"/>
  <c r="U479" i="1"/>
  <c r="K493" i="1"/>
  <c r="U495" i="1"/>
  <c r="K509" i="1"/>
  <c r="U511" i="1"/>
  <c r="K525" i="1"/>
  <c r="U527" i="1"/>
  <c r="K541" i="1"/>
  <c r="U543" i="1"/>
  <c r="K557" i="1"/>
  <c r="U559" i="1"/>
  <c r="K573" i="1"/>
  <c r="U575" i="1"/>
  <c r="K589" i="1"/>
  <c r="U591" i="1"/>
  <c r="K605" i="1"/>
  <c r="U607" i="1"/>
  <c r="K621" i="1"/>
  <c r="U623" i="1"/>
  <c r="K637" i="1"/>
  <c r="U639" i="1"/>
  <c r="K653" i="1"/>
  <c r="U655" i="1"/>
  <c r="K669" i="1"/>
  <c r="U671" i="1"/>
  <c r="K685" i="1"/>
  <c r="U687" i="1"/>
  <c r="K701" i="1"/>
  <c r="U703" i="1"/>
  <c r="K717" i="1"/>
  <c r="U719" i="1"/>
  <c r="K733" i="1"/>
  <c r="U735" i="1"/>
  <c r="K749" i="1"/>
  <c r="U751" i="1"/>
  <c r="K765" i="1"/>
  <c r="U767" i="1"/>
  <c r="K781" i="1"/>
  <c r="U783" i="1"/>
  <c r="K797" i="1"/>
  <c r="U799" i="1"/>
  <c r="K813" i="1"/>
  <c r="U815" i="1"/>
  <c r="K829" i="1"/>
  <c r="U831" i="1"/>
  <c r="K845" i="1"/>
  <c r="U847" i="1"/>
  <c r="U863" i="1"/>
  <c r="U879" i="1"/>
  <c r="U895" i="1"/>
  <c r="K909" i="1"/>
  <c r="U911" i="1"/>
  <c r="K925" i="1"/>
  <c r="U927" i="1"/>
  <c r="K941" i="1"/>
  <c r="U943" i="1"/>
  <c r="K957" i="1"/>
  <c r="U959" i="1"/>
  <c r="K973" i="1"/>
  <c r="U975" i="1"/>
  <c r="K989" i="1"/>
  <c r="U991" i="1"/>
  <c r="K1005" i="1"/>
  <c r="U1007" i="1"/>
  <c r="B8991" i="2"/>
  <c r="U1018" i="1"/>
  <c r="U115" i="1"/>
  <c r="U86" i="1"/>
  <c r="U73" i="1"/>
  <c r="U76" i="1"/>
  <c r="U92" i="1"/>
  <c r="U47" i="1"/>
  <c r="U95" i="1"/>
  <c r="K32" i="1"/>
  <c r="U34" i="1"/>
  <c r="K48" i="1"/>
  <c r="U50" i="1"/>
  <c r="K64" i="1"/>
  <c r="U66" i="1"/>
  <c r="K80" i="1"/>
  <c r="U82" i="1"/>
  <c r="K96" i="1"/>
  <c r="U98" i="1"/>
  <c r="K112" i="1"/>
  <c r="U114" i="1"/>
  <c r="K128" i="1"/>
  <c r="U130" i="1"/>
  <c r="K144" i="1"/>
  <c r="U146" i="1"/>
  <c r="K160" i="1"/>
  <c r="U162" i="1"/>
  <c r="K176" i="1"/>
  <c r="U178" i="1"/>
  <c r="K192" i="1"/>
  <c r="U194" i="1"/>
  <c r="K208" i="1"/>
  <c r="U210" i="1"/>
  <c r="K224" i="1"/>
  <c r="U226" i="1"/>
  <c r="K240" i="1"/>
  <c r="U242" i="1"/>
  <c r="K256" i="1"/>
  <c r="U258" i="1"/>
  <c r="K272" i="1"/>
  <c r="U274" i="1"/>
  <c r="K288" i="1"/>
  <c r="U290" i="1"/>
  <c r="K304" i="1"/>
  <c r="U306" i="1"/>
  <c r="K320" i="1"/>
  <c r="U322" i="1"/>
  <c r="K336" i="1"/>
  <c r="U338" i="1"/>
  <c r="K352" i="1"/>
  <c r="U354" i="1"/>
  <c r="K368" i="1"/>
  <c r="U370" i="1"/>
  <c r="K384" i="1"/>
  <c r="U386" i="1"/>
  <c r="K400" i="1"/>
  <c r="U402" i="1"/>
  <c r="K416" i="1"/>
  <c r="U418" i="1"/>
  <c r="K432" i="1"/>
  <c r="U434" i="1"/>
  <c r="K448" i="1"/>
  <c r="U450" i="1"/>
  <c r="K464" i="1"/>
  <c r="U466" i="1"/>
  <c r="K480" i="1"/>
  <c r="U482" i="1"/>
  <c r="K496" i="1"/>
  <c r="U498" i="1"/>
  <c r="K512" i="1"/>
  <c r="U514" i="1"/>
  <c r="K528" i="1"/>
  <c r="U530" i="1"/>
  <c r="K544" i="1"/>
  <c r="U546" i="1"/>
  <c r="K560" i="1"/>
  <c r="U562" i="1"/>
  <c r="K576" i="1"/>
  <c r="U578" i="1"/>
  <c r="K592" i="1"/>
  <c r="U594" i="1"/>
  <c r="K608" i="1"/>
  <c r="U610" i="1"/>
  <c r="K624" i="1"/>
  <c r="U626" i="1"/>
  <c r="K640" i="1"/>
  <c r="U642" i="1"/>
  <c r="K656" i="1"/>
  <c r="U658" i="1"/>
  <c r="K672" i="1"/>
  <c r="U674" i="1"/>
  <c r="K688" i="1"/>
  <c r="U690" i="1"/>
  <c r="K704" i="1"/>
  <c r="U706" i="1"/>
  <c r="K720" i="1"/>
  <c r="U722" i="1"/>
  <c r="K736" i="1"/>
  <c r="U738" i="1"/>
  <c r="K752" i="1"/>
  <c r="U754" i="1"/>
  <c r="K768" i="1"/>
  <c r="U770" i="1"/>
  <c r="K784" i="1"/>
  <c r="U786" i="1"/>
  <c r="K800" i="1"/>
  <c r="U802" i="1"/>
  <c r="K816" i="1"/>
  <c r="U818" i="1"/>
  <c r="K832" i="1"/>
  <c r="U834" i="1"/>
  <c r="K848" i="1"/>
  <c r="U850" i="1"/>
  <c r="K864" i="1"/>
  <c r="U866" i="1"/>
  <c r="K880" i="1"/>
  <c r="U882" i="1"/>
  <c r="K896" i="1"/>
  <c r="U898" i="1"/>
  <c r="K912" i="1"/>
  <c r="U914" i="1"/>
  <c r="K928" i="1"/>
  <c r="U930" i="1"/>
  <c r="K944" i="1"/>
  <c r="U946" i="1"/>
  <c r="K960" i="1"/>
  <c r="U962" i="1"/>
  <c r="K976" i="1"/>
  <c r="U978" i="1"/>
  <c r="K992" i="1"/>
  <c r="U994" i="1"/>
  <c r="K1008" i="1"/>
  <c r="U1010" i="1"/>
  <c r="B198" i="2"/>
  <c r="U54" i="1"/>
  <c r="U169" i="1"/>
  <c r="U108" i="1"/>
  <c r="K29" i="1"/>
  <c r="U31" i="1"/>
  <c r="K45" i="1"/>
  <c r="K67" i="1"/>
  <c r="K99" i="1"/>
  <c r="U101" i="1"/>
  <c r="K131" i="1"/>
  <c r="U133" i="1"/>
  <c r="K195" i="1"/>
  <c r="U197" i="1"/>
  <c r="K211" i="1"/>
  <c r="U213" i="1"/>
  <c r="K227" i="1"/>
  <c r="U229" i="1"/>
  <c r="U245" i="1"/>
  <c r="K259" i="1"/>
  <c r="U261" i="1"/>
  <c r="U277" i="1"/>
  <c r="U293" i="1"/>
  <c r="U309" i="1"/>
  <c r="U325" i="1"/>
  <c r="U341" i="1"/>
  <c r="U357" i="1"/>
  <c r="K371" i="1"/>
  <c r="U373" i="1"/>
  <c r="K387" i="1"/>
  <c r="U389" i="1"/>
  <c r="K403" i="1"/>
  <c r="U405" i="1"/>
  <c r="K419" i="1"/>
  <c r="U421" i="1"/>
  <c r="K435" i="1"/>
  <c r="U437" i="1"/>
  <c r="K451" i="1"/>
  <c r="U453" i="1"/>
  <c r="K467" i="1"/>
  <c r="U469" i="1"/>
  <c r="U485" i="1"/>
  <c r="K499" i="1"/>
  <c r="U501" i="1"/>
  <c r="K515" i="1"/>
  <c r="U517" i="1"/>
  <c r="K531" i="1"/>
  <c r="U533" i="1"/>
  <c r="K547" i="1"/>
  <c r="U549" i="1"/>
  <c r="K563" i="1"/>
  <c r="U565" i="1"/>
  <c r="K579" i="1"/>
  <c r="U581" i="1"/>
  <c r="K595" i="1"/>
  <c r="U597" i="1"/>
  <c r="K611" i="1"/>
  <c r="U613" i="1"/>
  <c r="K627" i="1"/>
  <c r="U629" i="1"/>
  <c r="K643" i="1"/>
  <c r="U645" i="1"/>
  <c r="K659" i="1"/>
  <c r="U661" i="1"/>
  <c r="K675" i="1"/>
  <c r="U677" i="1"/>
  <c r="K691" i="1"/>
  <c r="U693" i="1"/>
  <c r="K707" i="1"/>
  <c r="U709" i="1"/>
  <c r="K723" i="1"/>
  <c r="U725" i="1"/>
  <c r="K739" i="1"/>
  <c r="U741" i="1"/>
  <c r="K755" i="1"/>
  <c r="U757" i="1"/>
  <c r="K771" i="1"/>
  <c r="U773" i="1"/>
  <c r="K787" i="1"/>
  <c r="U789" i="1"/>
  <c r="K803" i="1"/>
  <c r="U805" i="1"/>
  <c r="K819" i="1"/>
  <c r="U821" i="1"/>
  <c r="K835" i="1"/>
  <c r="U837" i="1"/>
  <c r="K851" i="1"/>
  <c r="U853" i="1"/>
  <c r="K867" i="1"/>
  <c r="U869" i="1"/>
  <c r="K883" i="1"/>
  <c r="U885" i="1"/>
  <c r="K899" i="1"/>
  <c r="U901" i="1"/>
  <c r="K915" i="1"/>
  <c r="U917" i="1"/>
  <c r="K931" i="1"/>
  <c r="U933" i="1"/>
  <c r="K947" i="1"/>
  <c r="U949" i="1"/>
  <c r="K963" i="1"/>
  <c r="U965" i="1"/>
  <c r="K979" i="1"/>
  <c r="U981" i="1"/>
  <c r="K995" i="1"/>
  <c r="U997" i="1"/>
  <c r="K1011" i="1"/>
  <c r="U1013" i="1"/>
  <c r="B177" i="2"/>
  <c r="U134" i="1"/>
  <c r="U89" i="1"/>
  <c r="U105" i="1"/>
  <c r="U79" i="1"/>
  <c r="U24" i="1"/>
  <c r="K70" i="1"/>
  <c r="U72" i="1"/>
  <c r="K86" i="1"/>
  <c r="K118" i="1"/>
  <c r="U120" i="1"/>
  <c r="K166" i="1"/>
  <c r="U168" i="1"/>
  <c r="K182" i="1"/>
  <c r="U184" i="1"/>
  <c r="K198" i="1"/>
  <c r="U200" i="1"/>
  <c r="K214" i="1"/>
  <c r="U216" i="1"/>
  <c r="K230" i="1"/>
  <c r="U232" i="1"/>
  <c r="K246" i="1"/>
  <c r="U248" i="1"/>
  <c r="K262" i="1"/>
  <c r="U264" i="1"/>
  <c r="K278" i="1"/>
  <c r="U280" i="1"/>
  <c r="K294" i="1"/>
  <c r="U296" i="1"/>
  <c r="K310" i="1"/>
  <c r="U312" i="1"/>
  <c r="K326" i="1"/>
  <c r="U328" i="1"/>
  <c r="K342" i="1"/>
  <c r="U344" i="1"/>
  <c r="K358" i="1"/>
  <c r="U360" i="1"/>
  <c r="K374" i="1"/>
  <c r="U376" i="1"/>
  <c r="K390" i="1"/>
  <c r="U392" i="1"/>
  <c r="K406" i="1"/>
  <c r="U408" i="1"/>
  <c r="K422" i="1"/>
  <c r="U424" i="1"/>
  <c r="K438" i="1"/>
  <c r="U440" i="1"/>
  <c r="K454" i="1"/>
  <c r="U456" i="1"/>
  <c r="K470" i="1"/>
  <c r="U472" i="1"/>
  <c r="K486" i="1"/>
  <c r="U488" i="1"/>
  <c r="K502" i="1"/>
  <c r="U504" i="1"/>
  <c r="K518" i="1"/>
  <c r="U520" i="1"/>
  <c r="K534" i="1"/>
  <c r="U536" i="1"/>
  <c r="K550" i="1"/>
  <c r="U552" i="1"/>
  <c r="K566" i="1"/>
  <c r="U568" i="1"/>
  <c r="K582" i="1"/>
  <c r="U584" i="1"/>
  <c r="K598" i="1"/>
  <c r="U600" i="1"/>
  <c r="K614" i="1"/>
  <c r="U616" i="1"/>
  <c r="K630" i="1"/>
  <c r="U632" i="1"/>
  <c r="K646" i="1"/>
  <c r="U648" i="1"/>
  <c r="K662" i="1"/>
  <c r="U664" i="1"/>
  <c r="K678" i="1"/>
  <c r="U680" i="1"/>
  <c r="K694" i="1"/>
  <c r="U696" i="1"/>
  <c r="K710" i="1"/>
  <c r="U712" i="1"/>
  <c r="K726" i="1"/>
  <c r="U728" i="1"/>
  <c r="K742" i="1"/>
  <c r="U744" i="1"/>
  <c r="K758" i="1"/>
  <c r="U760" i="1"/>
  <c r="K774" i="1"/>
  <c r="U776" i="1"/>
  <c r="K790" i="1"/>
  <c r="U792" i="1"/>
  <c r="K806" i="1"/>
  <c r="U808" i="1"/>
  <c r="K822" i="1"/>
  <c r="U824" i="1"/>
  <c r="K838" i="1"/>
  <c r="U840" i="1"/>
  <c r="K854" i="1"/>
  <c r="U856" i="1"/>
  <c r="K870" i="1"/>
  <c r="U872" i="1"/>
  <c r="K886" i="1"/>
  <c r="U888" i="1"/>
  <c r="K902" i="1"/>
  <c r="U904" i="1"/>
  <c r="K918" i="1"/>
  <c r="U920" i="1"/>
  <c r="K934" i="1"/>
  <c r="U936" i="1"/>
  <c r="K950" i="1"/>
  <c r="U952" i="1"/>
  <c r="K966" i="1"/>
  <c r="U968" i="1"/>
  <c r="K982" i="1"/>
  <c r="U984" i="1"/>
  <c r="K998" i="1"/>
  <c r="U1000" i="1"/>
  <c r="K1014" i="1"/>
  <c r="U1016" i="1"/>
  <c r="U60" i="1"/>
  <c r="U37" i="1"/>
  <c r="K38" i="1"/>
  <c r="U40" i="1"/>
  <c r="K54" i="1"/>
  <c r="U56" i="1"/>
  <c r="U88" i="1"/>
  <c r="K102" i="1"/>
  <c r="U104" i="1"/>
  <c r="K134" i="1"/>
  <c r="U136" i="1"/>
  <c r="K150" i="1"/>
  <c r="U152" i="1"/>
  <c r="K25" i="1"/>
  <c r="U27" i="1"/>
  <c r="U43" i="1"/>
  <c r="U59" i="1"/>
  <c r="K73" i="1"/>
  <c r="U75" i="1"/>
  <c r="K89" i="1"/>
  <c r="U91" i="1"/>
  <c r="K105" i="1"/>
  <c r="U107" i="1"/>
  <c r="K121" i="1"/>
  <c r="U123" i="1"/>
  <c r="K137" i="1"/>
  <c r="U139" i="1"/>
  <c r="K153" i="1"/>
  <c r="U155" i="1"/>
  <c r="K169" i="1"/>
  <c r="U171" i="1"/>
  <c r="K185" i="1"/>
  <c r="U187" i="1"/>
  <c r="K201" i="1"/>
  <c r="U203" i="1"/>
  <c r="K217" i="1"/>
  <c r="U219" i="1"/>
  <c r="K233" i="1"/>
  <c r="U235" i="1"/>
  <c r="K249" i="1"/>
  <c r="U251" i="1"/>
  <c r="K265" i="1"/>
  <c r="U267" i="1"/>
  <c r="K281" i="1"/>
  <c r="U283" i="1"/>
  <c r="K297" i="1"/>
  <c r="U299" i="1"/>
  <c r="K313" i="1"/>
  <c r="U315" i="1"/>
  <c r="K329" i="1"/>
  <c r="U331" i="1"/>
  <c r="K345" i="1"/>
  <c r="U347" i="1"/>
  <c r="K361" i="1"/>
  <c r="U363" i="1"/>
  <c r="K377" i="1"/>
  <c r="U379" i="1"/>
  <c r="K393" i="1"/>
  <c r="U395" i="1"/>
  <c r="K409" i="1"/>
  <c r="U411" i="1"/>
  <c r="K425" i="1"/>
  <c r="U427" i="1"/>
  <c r="K441" i="1"/>
  <c r="U443" i="1"/>
  <c r="K457" i="1"/>
  <c r="U459" i="1"/>
  <c r="K473" i="1"/>
  <c r="U475" i="1"/>
  <c r="K489" i="1"/>
  <c r="U491" i="1"/>
  <c r="K505" i="1"/>
  <c r="U507" i="1"/>
  <c r="K521" i="1"/>
  <c r="U523" i="1"/>
  <c r="K537" i="1"/>
  <c r="U539" i="1"/>
  <c r="K553" i="1"/>
  <c r="U555" i="1"/>
  <c r="K569" i="1"/>
  <c r="U571" i="1"/>
  <c r="K585" i="1"/>
  <c r="U587" i="1"/>
  <c r="K601" i="1"/>
  <c r="U603" i="1"/>
  <c r="K617" i="1"/>
  <c r="U619" i="1"/>
  <c r="K633" i="1"/>
  <c r="U635" i="1"/>
  <c r="K649" i="1"/>
  <c r="U651" i="1"/>
  <c r="K665" i="1"/>
  <c r="U667" i="1"/>
  <c r="K681" i="1"/>
  <c r="U683" i="1"/>
  <c r="K697" i="1"/>
  <c r="U699" i="1"/>
  <c r="K713" i="1"/>
  <c r="U715" i="1"/>
  <c r="K729" i="1"/>
  <c r="U731" i="1"/>
  <c r="K745" i="1"/>
  <c r="U747" i="1"/>
  <c r="K761" i="1"/>
  <c r="U763" i="1"/>
  <c r="K777" i="1"/>
  <c r="U779" i="1"/>
  <c r="K793" i="1"/>
  <c r="U795" i="1"/>
  <c r="K809" i="1"/>
  <c r="U811" i="1"/>
  <c r="K825" i="1"/>
  <c r="U827" i="1"/>
  <c r="K841" i="1"/>
  <c r="U843" i="1"/>
  <c r="K857" i="1"/>
  <c r="U859" i="1"/>
  <c r="K873" i="1"/>
  <c r="U875" i="1"/>
  <c r="K889" i="1"/>
  <c r="U891" i="1"/>
  <c r="K905" i="1"/>
  <c r="U907" i="1"/>
  <c r="K921" i="1"/>
  <c r="U923" i="1"/>
  <c r="K937" i="1"/>
  <c r="U939" i="1"/>
  <c r="K953" i="1"/>
  <c r="U955" i="1"/>
  <c r="K969" i="1"/>
  <c r="U971" i="1"/>
  <c r="K985" i="1"/>
  <c r="U987" i="1"/>
  <c r="K1001" i="1"/>
  <c r="U1003" i="1"/>
  <c r="K1017" i="1"/>
  <c r="U51" i="1"/>
  <c r="U25" i="1"/>
  <c r="U28" i="1"/>
  <c r="U21" i="1"/>
  <c r="U53" i="1"/>
  <c r="K83" i="1"/>
  <c r="U85" i="1"/>
  <c r="K28" i="1"/>
  <c r="U30" i="1"/>
  <c r="K92" i="1"/>
  <c r="K124" i="1"/>
  <c r="K156" i="1"/>
  <c r="U158" i="1"/>
  <c r="U190" i="1"/>
  <c r="K204" i="1"/>
  <c r="U206" i="1"/>
  <c r="K220" i="1"/>
  <c r="U222" i="1"/>
  <c r="K236" i="1"/>
  <c r="U238" i="1"/>
  <c r="K252" i="1"/>
  <c r="U254" i="1"/>
  <c r="K268" i="1"/>
  <c r="U270" i="1"/>
  <c r="K284" i="1"/>
  <c r="U286" i="1"/>
  <c r="K300" i="1"/>
  <c r="U302" i="1"/>
  <c r="K316" i="1"/>
  <c r="U318" i="1"/>
  <c r="K332" i="1"/>
  <c r="U334" i="1"/>
  <c r="K348" i="1"/>
  <c r="U350" i="1"/>
  <c r="K364" i="1"/>
  <c r="U366" i="1"/>
  <c r="K380" i="1"/>
  <c r="U382" i="1"/>
  <c r="K396" i="1"/>
  <c r="U398" i="1"/>
  <c r="K412" i="1"/>
  <c r="U414" i="1"/>
  <c r="K428" i="1"/>
  <c r="U430" i="1"/>
  <c r="K444" i="1"/>
  <c r="U446" i="1"/>
  <c r="K460" i="1"/>
  <c r="U462" i="1"/>
  <c r="K476" i="1"/>
  <c r="U478" i="1"/>
  <c r="K492" i="1"/>
  <c r="U494" i="1"/>
  <c r="K508" i="1"/>
  <c r="U510" i="1"/>
  <c r="K524" i="1"/>
  <c r="U526" i="1"/>
  <c r="K540" i="1"/>
  <c r="U542" i="1"/>
  <c r="K556" i="1"/>
  <c r="U558" i="1"/>
  <c r="K572" i="1"/>
  <c r="U574" i="1"/>
  <c r="K588" i="1"/>
  <c r="U590" i="1"/>
  <c r="K604" i="1"/>
  <c r="U606" i="1"/>
  <c r="K620" i="1"/>
  <c r="U622" i="1"/>
  <c r="K636" i="1"/>
  <c r="U638" i="1"/>
  <c r="K652" i="1"/>
  <c r="U654" i="1"/>
  <c r="K668" i="1"/>
  <c r="U670" i="1"/>
  <c r="K684" i="1"/>
  <c r="U686" i="1"/>
  <c r="K700" i="1"/>
  <c r="U702" i="1"/>
  <c r="K716" i="1"/>
  <c r="U718" i="1"/>
  <c r="K732" i="1"/>
  <c r="U734" i="1"/>
  <c r="K748" i="1"/>
  <c r="U750" i="1"/>
  <c r="K764" i="1"/>
  <c r="U766" i="1"/>
  <c r="K780" i="1"/>
  <c r="U782" i="1"/>
  <c r="K796" i="1"/>
  <c r="U798" i="1"/>
  <c r="K812" i="1"/>
  <c r="U814" i="1"/>
  <c r="K828" i="1"/>
  <c r="U830" i="1"/>
  <c r="K844" i="1"/>
  <c r="U846" i="1"/>
  <c r="K860" i="1"/>
  <c r="U862" i="1"/>
  <c r="K876" i="1"/>
  <c r="U878" i="1"/>
  <c r="K892" i="1"/>
  <c r="U894" i="1"/>
  <c r="K908" i="1"/>
  <c r="U910" i="1"/>
  <c r="K924" i="1"/>
  <c r="U926" i="1"/>
  <c r="K940" i="1"/>
  <c r="U942" i="1"/>
  <c r="K956" i="1"/>
  <c r="U958" i="1"/>
  <c r="K972" i="1"/>
  <c r="U974" i="1"/>
  <c r="K988" i="1"/>
  <c r="U990" i="1"/>
  <c r="K1004" i="1"/>
  <c r="U1006" i="1"/>
  <c r="U67" i="1"/>
  <c r="U99" i="1"/>
  <c r="U121" i="1"/>
  <c r="U185" i="1"/>
  <c r="U217" i="1"/>
  <c r="U44" i="1"/>
  <c r="K115" i="1"/>
  <c r="U117" i="1"/>
  <c r="U149" i="1"/>
  <c r="K179" i="1"/>
  <c r="U181" i="1"/>
  <c r="K172" i="1"/>
  <c r="U174" i="1"/>
  <c r="K31" i="1"/>
  <c r="U33" i="1"/>
  <c r="U81" i="1"/>
  <c r="K95" i="1"/>
  <c r="U97" i="1"/>
  <c r="K111" i="1"/>
  <c r="U113" i="1"/>
  <c r="K127" i="1"/>
  <c r="U129" i="1"/>
  <c r="K143" i="1"/>
  <c r="U145" i="1"/>
  <c r="K159" i="1"/>
  <c r="U161" i="1"/>
  <c r="K175" i="1"/>
  <c r="U177" i="1"/>
  <c r="K191" i="1"/>
  <c r="U193" i="1"/>
  <c r="K207" i="1"/>
  <c r="U209" i="1"/>
  <c r="K223" i="1"/>
  <c r="U225" i="1"/>
  <c r="K239" i="1"/>
  <c r="U241" i="1"/>
  <c r="K255" i="1"/>
  <c r="U257" i="1"/>
  <c r="K271" i="1"/>
  <c r="U273" i="1"/>
  <c r="K287" i="1"/>
  <c r="U289" i="1"/>
  <c r="K303" i="1"/>
  <c r="U305" i="1"/>
  <c r="K319" i="1"/>
  <c r="U321" i="1"/>
  <c r="K335" i="1"/>
  <c r="U337" i="1"/>
  <c r="K351" i="1"/>
  <c r="U353" i="1"/>
  <c r="K367" i="1"/>
  <c r="U369" i="1"/>
  <c r="K383" i="1"/>
  <c r="U385" i="1"/>
  <c r="K399" i="1"/>
  <c r="U401" i="1"/>
  <c r="K415" i="1"/>
  <c r="U417" i="1"/>
  <c r="K431" i="1"/>
  <c r="U433" i="1"/>
  <c r="K447" i="1"/>
  <c r="U449" i="1"/>
  <c r="K463" i="1"/>
  <c r="U465" i="1"/>
  <c r="K479" i="1"/>
  <c r="U481" i="1"/>
  <c r="K495" i="1"/>
  <c r="U497" i="1"/>
  <c r="K511" i="1"/>
  <c r="U513" i="1"/>
  <c r="K527" i="1"/>
  <c r="U529" i="1"/>
  <c r="K543" i="1"/>
  <c r="U545" i="1"/>
  <c r="K559" i="1"/>
  <c r="U561" i="1"/>
  <c r="K575" i="1"/>
  <c r="U577" i="1"/>
  <c r="K591" i="1"/>
  <c r="U593" i="1"/>
  <c r="K607" i="1"/>
  <c r="U609" i="1"/>
  <c r="K623" i="1"/>
  <c r="U625" i="1"/>
  <c r="K639" i="1"/>
  <c r="U641" i="1"/>
  <c r="K655" i="1"/>
  <c r="U657" i="1"/>
  <c r="K671" i="1"/>
  <c r="U673" i="1"/>
  <c r="K687" i="1"/>
  <c r="U689" i="1"/>
  <c r="K703" i="1"/>
  <c r="U705" i="1"/>
  <c r="K719" i="1"/>
  <c r="U721" i="1"/>
  <c r="K735" i="1"/>
  <c r="U737" i="1"/>
  <c r="K751" i="1"/>
  <c r="U753" i="1"/>
  <c r="K767" i="1"/>
  <c r="U769" i="1"/>
  <c r="K783" i="1"/>
  <c r="U785" i="1"/>
  <c r="K799" i="1"/>
  <c r="U801" i="1"/>
  <c r="K815" i="1"/>
  <c r="U817" i="1"/>
  <c r="K831" i="1"/>
  <c r="U833" i="1"/>
  <c r="K847" i="1"/>
  <c r="U849" i="1"/>
  <c r="K863" i="1"/>
  <c r="U865" i="1"/>
  <c r="K879" i="1"/>
  <c r="U881" i="1"/>
  <c r="K895" i="1"/>
  <c r="U897" i="1"/>
  <c r="K911" i="1"/>
  <c r="U913" i="1"/>
  <c r="K927" i="1"/>
  <c r="U929" i="1"/>
  <c r="K943" i="1"/>
  <c r="U945" i="1"/>
  <c r="K959" i="1"/>
  <c r="U961" i="1"/>
  <c r="K975" i="1"/>
  <c r="U977" i="1"/>
  <c r="K991" i="1"/>
  <c r="U993" i="1"/>
  <c r="K1007" i="1"/>
  <c r="U1009" i="1"/>
  <c r="B33" i="2"/>
  <c r="U201" i="1"/>
  <c r="K61" i="1"/>
  <c r="U69" i="1"/>
  <c r="K60" i="1"/>
  <c r="U62" i="1"/>
  <c r="K76" i="1"/>
  <c r="K108" i="1"/>
  <c r="U110" i="1"/>
  <c r="K140" i="1"/>
  <c r="U142" i="1"/>
  <c r="K188" i="1"/>
  <c r="K79" i="1"/>
  <c r="U20" i="1"/>
  <c r="U52" i="1"/>
  <c r="K66" i="1"/>
  <c r="U68" i="1"/>
  <c r="K98" i="1"/>
  <c r="K130" i="1"/>
  <c r="U132" i="1"/>
  <c r="K146" i="1"/>
  <c r="K162" i="1"/>
  <c r="U164" i="1"/>
  <c r="K178" i="1"/>
  <c r="U180" i="1"/>
  <c r="K194" i="1"/>
  <c r="U196" i="1"/>
  <c r="K210" i="1"/>
  <c r="U212" i="1"/>
  <c r="K226" i="1"/>
  <c r="U228" i="1"/>
  <c r="K242" i="1"/>
  <c r="U244" i="1"/>
  <c r="K258" i="1"/>
  <c r="U260" i="1"/>
  <c r="K274" i="1"/>
  <c r="U276" i="1"/>
  <c r="K290" i="1"/>
  <c r="U292" i="1"/>
  <c r="K306" i="1"/>
  <c r="U308" i="1"/>
  <c r="K322" i="1"/>
  <c r="U324" i="1"/>
  <c r="K338" i="1"/>
  <c r="U340" i="1"/>
  <c r="K354" i="1"/>
  <c r="U356" i="1"/>
  <c r="K370" i="1"/>
  <c r="U372" i="1"/>
  <c r="K386" i="1"/>
  <c r="U388" i="1"/>
  <c r="K402" i="1"/>
  <c r="U404" i="1"/>
  <c r="K418" i="1"/>
  <c r="U420" i="1"/>
  <c r="K434" i="1"/>
  <c r="U436" i="1"/>
  <c r="K450" i="1"/>
  <c r="U452" i="1"/>
  <c r="K466" i="1"/>
  <c r="U468" i="1"/>
  <c r="K482" i="1"/>
  <c r="U484" i="1"/>
  <c r="K498" i="1"/>
  <c r="U500" i="1"/>
  <c r="K514" i="1"/>
  <c r="U516" i="1"/>
  <c r="K530" i="1"/>
  <c r="U532" i="1"/>
  <c r="K546" i="1"/>
  <c r="U548" i="1"/>
  <c r="K562" i="1"/>
  <c r="U564" i="1"/>
  <c r="K578" i="1"/>
  <c r="U580" i="1"/>
  <c r="K594" i="1"/>
  <c r="U596" i="1"/>
  <c r="K610" i="1"/>
  <c r="U612" i="1"/>
  <c r="K626" i="1"/>
  <c r="U628" i="1"/>
  <c r="K642" i="1"/>
  <c r="U644" i="1"/>
  <c r="K658" i="1"/>
  <c r="U660" i="1"/>
  <c r="K674" i="1"/>
  <c r="U676" i="1"/>
  <c r="K690" i="1"/>
  <c r="U692" i="1"/>
  <c r="K706" i="1"/>
  <c r="U708" i="1"/>
  <c r="K722" i="1"/>
  <c r="U724" i="1"/>
  <c r="K738" i="1"/>
  <c r="U740" i="1"/>
  <c r="K754" i="1"/>
  <c r="U756" i="1"/>
  <c r="K770" i="1"/>
  <c r="U772" i="1"/>
  <c r="K786" i="1"/>
  <c r="U788" i="1"/>
  <c r="K802" i="1"/>
  <c r="U804" i="1"/>
  <c r="K818" i="1"/>
  <c r="U820" i="1"/>
  <c r="K834" i="1"/>
  <c r="U836" i="1"/>
  <c r="K850" i="1"/>
  <c r="U852" i="1"/>
  <c r="K866" i="1"/>
  <c r="U868" i="1"/>
  <c r="K882" i="1"/>
  <c r="U884" i="1"/>
  <c r="K898" i="1"/>
  <c r="U900" i="1"/>
  <c r="K914" i="1"/>
  <c r="U916" i="1"/>
  <c r="K930" i="1"/>
  <c r="U932" i="1"/>
  <c r="K946" i="1"/>
  <c r="U948" i="1"/>
  <c r="K962" i="1"/>
  <c r="U964" i="1"/>
  <c r="K978" i="1"/>
  <c r="U980" i="1"/>
  <c r="K994" i="1"/>
  <c r="U996" i="1"/>
  <c r="K1010" i="1"/>
  <c r="U1012" i="1"/>
  <c r="K147" i="1"/>
  <c r="K163" i="1"/>
  <c r="U165" i="1"/>
  <c r="K22" i="1"/>
  <c r="K44" i="1"/>
  <c r="U46" i="1"/>
  <c r="U78" i="1"/>
  <c r="U94" i="1"/>
  <c r="U126" i="1"/>
  <c r="K47" i="1"/>
  <c r="U49" i="1"/>
  <c r="K63" i="1"/>
  <c r="U65" i="1"/>
  <c r="K34" i="1"/>
  <c r="U36" i="1"/>
  <c r="K50" i="1"/>
  <c r="K82" i="1"/>
  <c r="U84" i="1"/>
  <c r="U100" i="1"/>
  <c r="K114" i="1"/>
  <c r="U116" i="1"/>
  <c r="U148" i="1"/>
  <c r="K21" i="1"/>
  <c r="U23" i="1"/>
  <c r="K37" i="1"/>
  <c r="U39" i="1"/>
  <c r="K53" i="1"/>
  <c r="U55" i="1"/>
  <c r="K69" i="1"/>
  <c r="U71" i="1"/>
  <c r="K85" i="1"/>
  <c r="U87" i="1"/>
  <c r="K101" i="1"/>
  <c r="U103" i="1"/>
  <c r="K117" i="1"/>
  <c r="U119" i="1"/>
  <c r="K133" i="1"/>
  <c r="U135" i="1"/>
  <c r="K149" i="1"/>
  <c r="U151" i="1"/>
  <c r="K165" i="1"/>
  <c r="U167" i="1"/>
  <c r="K181" i="1"/>
  <c r="U183" i="1"/>
  <c r="K197" i="1"/>
  <c r="U199" i="1"/>
  <c r="K213" i="1"/>
  <c r="U215" i="1"/>
  <c r="K229" i="1"/>
  <c r="U231" i="1"/>
  <c r="K245" i="1"/>
  <c r="U247" i="1"/>
  <c r="K261" i="1"/>
  <c r="U263" i="1"/>
  <c r="K277" i="1"/>
  <c r="U279" i="1"/>
  <c r="K293" i="1"/>
  <c r="U295" i="1"/>
  <c r="K309" i="1"/>
  <c r="U311" i="1"/>
  <c r="K325" i="1"/>
  <c r="U327" i="1"/>
  <c r="K341" i="1"/>
  <c r="U343" i="1"/>
  <c r="K357" i="1"/>
  <c r="U359" i="1"/>
  <c r="K373" i="1"/>
  <c r="U375" i="1"/>
  <c r="K389" i="1"/>
  <c r="U391" i="1"/>
  <c r="K405" i="1"/>
  <c r="U407" i="1"/>
  <c r="K421" i="1"/>
  <c r="U423" i="1"/>
  <c r="K437" i="1"/>
  <c r="U439" i="1"/>
  <c r="K453" i="1"/>
  <c r="U455" i="1"/>
  <c r="K469" i="1"/>
  <c r="U471" i="1"/>
  <c r="K485" i="1"/>
  <c r="U487" i="1"/>
  <c r="K501" i="1"/>
  <c r="U503" i="1"/>
  <c r="K517" i="1"/>
  <c r="U519" i="1"/>
  <c r="K533" i="1"/>
  <c r="U535" i="1"/>
  <c r="K549" i="1"/>
  <c r="U551" i="1"/>
  <c r="K565" i="1"/>
  <c r="U567" i="1"/>
  <c r="K581" i="1"/>
  <c r="U583" i="1"/>
  <c r="K597" i="1"/>
  <c r="U599" i="1"/>
  <c r="K613" i="1"/>
  <c r="U615" i="1"/>
  <c r="K629" i="1"/>
  <c r="U631" i="1"/>
  <c r="K645" i="1"/>
  <c r="U647" i="1"/>
  <c r="K661" i="1"/>
  <c r="U663" i="1"/>
  <c r="K677" i="1"/>
  <c r="U679" i="1"/>
  <c r="K693" i="1"/>
  <c r="U695" i="1"/>
  <c r="K709" i="1"/>
  <c r="U711" i="1"/>
  <c r="K725" i="1"/>
  <c r="U727" i="1"/>
  <c r="K741" i="1"/>
  <c r="U743" i="1"/>
  <c r="K757" i="1"/>
  <c r="U759" i="1"/>
  <c r="K773" i="1"/>
  <c r="U775" i="1"/>
  <c r="K789" i="1"/>
  <c r="U791" i="1"/>
  <c r="K805" i="1"/>
  <c r="U807" i="1"/>
  <c r="K821" i="1"/>
  <c r="U823" i="1"/>
  <c r="K837" i="1"/>
  <c r="U839" i="1"/>
  <c r="K853" i="1"/>
  <c r="U855" i="1"/>
  <c r="K869" i="1"/>
  <c r="U871" i="1"/>
  <c r="K885" i="1"/>
  <c r="U887" i="1"/>
  <c r="K901" i="1"/>
  <c r="U903" i="1"/>
  <c r="K917" i="1"/>
  <c r="U919" i="1"/>
  <c r="K933" i="1"/>
  <c r="U935" i="1"/>
  <c r="K949" i="1"/>
  <c r="U951" i="1"/>
  <c r="K965" i="1"/>
  <c r="U967" i="1"/>
  <c r="K981" i="1"/>
  <c r="U983" i="1"/>
  <c r="K997" i="1"/>
  <c r="U999" i="1"/>
  <c r="K1013" i="1"/>
  <c r="U1015" i="1"/>
  <c r="C33" i="2" l="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5"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C280" i="2" s="1"/>
  <c r="C281" i="2" s="1"/>
  <c r="C282" i="2" s="1"/>
  <c r="C283" i="2" s="1"/>
  <c r="C284" i="2" s="1"/>
  <c r="C285" i="2" s="1"/>
  <c r="C286" i="2" s="1"/>
  <c r="C287" i="2" s="1"/>
  <c r="C288" i="2" s="1"/>
  <c r="C289" i="2" s="1"/>
  <c r="C290" i="2" s="1"/>
  <c r="C291" i="2" s="1"/>
  <c r="C292"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4" i="2" s="1"/>
  <c r="C315" i="2" s="1"/>
  <c r="C316" i="2" s="1"/>
  <c r="C317" i="2" s="1"/>
  <c r="C318" i="2" s="1"/>
  <c r="C319" i="2" s="1"/>
  <c r="C320" i="2" s="1"/>
  <c r="C321" i="2" s="1"/>
  <c r="C322" i="2" s="1"/>
  <c r="C323" i="2" s="1"/>
  <c r="C324" i="2" s="1"/>
  <c r="C325" i="2" s="1"/>
  <c r="C326" i="2" s="1"/>
  <c r="C327" i="2" s="1"/>
  <c r="C328" i="2" s="1"/>
  <c r="C329" i="2" s="1"/>
  <c r="C330" i="2" s="1"/>
  <c r="C331" i="2" s="1"/>
  <c r="C332" i="2" s="1"/>
  <c r="C333" i="2" s="1"/>
  <c r="C334" i="2" s="1"/>
  <c r="C335" i="2" s="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C963" i="2" s="1"/>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C1174" i="2" s="1"/>
  <c r="C1175" i="2" s="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C1241" i="2" s="1"/>
  <c r="C1242" i="2" s="1"/>
  <c r="C1243" i="2" s="1"/>
  <c r="C1244" i="2" s="1"/>
  <c r="C1245" i="2" s="1"/>
  <c r="C1246" i="2" s="1"/>
  <c r="C1247" i="2" s="1"/>
  <c r="C1248" i="2" s="1"/>
  <c r="C1249" i="2" s="1"/>
  <c r="C1250" i="2" s="1"/>
  <c r="C1251" i="2" s="1"/>
  <c r="C1252" i="2" s="1"/>
  <c r="C1253" i="2" s="1"/>
  <c r="C1254" i="2" s="1"/>
  <c r="C1255" i="2" s="1"/>
  <c r="C1256" i="2" s="1"/>
  <c r="C1257" i="2" s="1"/>
  <c r="C1258" i="2" s="1"/>
  <c r="C1259" i="2" s="1"/>
  <c r="C1260" i="2" s="1"/>
  <c r="C1261" i="2" s="1"/>
  <c r="C1262" i="2" s="1"/>
  <c r="C1263" i="2" s="1"/>
  <c r="C1264" i="2" s="1"/>
  <c r="C1265" i="2" s="1"/>
  <c r="C1266" i="2" s="1"/>
  <c r="C1267" i="2" s="1"/>
  <c r="C1268" i="2" s="1"/>
  <c r="C1269" i="2" s="1"/>
  <c r="C1270" i="2" s="1"/>
  <c r="C1271" i="2" s="1"/>
  <c r="C1272" i="2" s="1"/>
  <c r="C1273" i="2" s="1"/>
  <c r="C1274" i="2" s="1"/>
  <c r="C1275" i="2" s="1"/>
  <c r="C1276" i="2" s="1"/>
  <c r="C1277" i="2" s="1"/>
  <c r="C1278" i="2" s="1"/>
  <c r="C1279" i="2" s="1"/>
  <c r="C1280" i="2" s="1"/>
  <c r="C1281" i="2" s="1"/>
  <c r="C1282" i="2" s="1"/>
  <c r="C1283" i="2" s="1"/>
  <c r="C1284" i="2" s="1"/>
  <c r="C1285" i="2" s="1"/>
  <c r="C1286" i="2" s="1"/>
  <c r="C1287" i="2" s="1"/>
  <c r="C1288" i="2" s="1"/>
  <c r="C1289" i="2" s="1"/>
  <c r="C1290" i="2" s="1"/>
  <c r="C1291" i="2" s="1"/>
  <c r="C1292" i="2" s="1"/>
  <c r="C1293" i="2" s="1"/>
  <c r="C1294" i="2" s="1"/>
  <c r="C1295" i="2" s="1"/>
  <c r="C1296" i="2" s="1"/>
  <c r="C1297" i="2" s="1"/>
  <c r="C1298" i="2" s="1"/>
  <c r="C1299" i="2" s="1"/>
  <c r="C1300" i="2" s="1"/>
  <c r="C1301" i="2" s="1"/>
  <c r="C1302" i="2" s="1"/>
  <c r="C1303" i="2" s="1"/>
  <c r="C1304" i="2" s="1"/>
  <c r="C1305" i="2" s="1"/>
  <c r="C1306" i="2" s="1"/>
  <c r="C1307" i="2" s="1"/>
  <c r="C1308" i="2" s="1"/>
  <c r="C1309" i="2" s="1"/>
  <c r="C1310" i="2" s="1"/>
  <c r="C1311" i="2" s="1"/>
  <c r="C1312" i="2" s="1"/>
  <c r="C1313" i="2" s="1"/>
  <c r="C1314" i="2" s="1"/>
  <c r="C1315" i="2" s="1"/>
  <c r="C1316" i="2" s="1"/>
  <c r="C1317" i="2" s="1"/>
  <c r="C1318" i="2" s="1"/>
  <c r="C1319" i="2" s="1"/>
  <c r="C1320" i="2" s="1"/>
  <c r="C1321" i="2" s="1"/>
  <c r="C1322" i="2" s="1"/>
  <c r="C1323" i="2" s="1"/>
  <c r="C1324" i="2" s="1"/>
  <c r="C1325" i="2" s="1"/>
  <c r="C1326" i="2" s="1"/>
  <c r="C1327" i="2" s="1"/>
  <c r="C1328" i="2" s="1"/>
  <c r="C1329" i="2" s="1"/>
  <c r="C1330" i="2" s="1"/>
  <c r="C1331" i="2" s="1"/>
  <c r="C1332" i="2" s="1"/>
  <c r="C1333" i="2" s="1"/>
  <c r="C1334" i="2" s="1"/>
  <c r="C1335" i="2" s="1"/>
  <c r="C1336" i="2" s="1"/>
  <c r="C1337" i="2" s="1"/>
  <c r="C1338" i="2" s="1"/>
  <c r="C1339" i="2" s="1"/>
  <c r="C1340" i="2" s="1"/>
  <c r="C1341" i="2" s="1"/>
  <c r="C1342" i="2" s="1"/>
  <c r="C1343" i="2" s="1"/>
  <c r="C1344" i="2" s="1"/>
  <c r="C1345" i="2" s="1"/>
  <c r="C1346" i="2" s="1"/>
  <c r="C1347" i="2" s="1"/>
  <c r="C1348" i="2" s="1"/>
  <c r="C1349" i="2" s="1"/>
  <c r="C1350" i="2" s="1"/>
  <c r="C1351" i="2" s="1"/>
  <c r="C1352" i="2" s="1"/>
  <c r="C1353" i="2" s="1"/>
  <c r="C1354" i="2" s="1"/>
  <c r="C1355" i="2" s="1"/>
  <c r="C1356" i="2" s="1"/>
  <c r="C1357" i="2" s="1"/>
  <c r="C1358" i="2" s="1"/>
  <c r="C1359" i="2" s="1"/>
  <c r="C1360" i="2" s="1"/>
  <c r="C1361" i="2" s="1"/>
  <c r="C1362" i="2" s="1"/>
  <c r="C1363" i="2" s="1"/>
  <c r="C1364" i="2" s="1"/>
  <c r="C1365" i="2" s="1"/>
  <c r="C1366" i="2" s="1"/>
  <c r="C1367" i="2" s="1"/>
  <c r="C1368" i="2" s="1"/>
  <c r="C1369" i="2" s="1"/>
  <c r="C1370" i="2" s="1"/>
  <c r="C1371" i="2" s="1"/>
  <c r="C1372" i="2" s="1"/>
  <c r="C1373" i="2" s="1"/>
  <c r="C1374" i="2" s="1"/>
  <c r="C1375" i="2" s="1"/>
  <c r="C1376" i="2" s="1"/>
  <c r="C1377" i="2" s="1"/>
  <c r="C1378" i="2" s="1"/>
  <c r="C1379" i="2" s="1"/>
  <c r="C1380" i="2" s="1"/>
  <c r="C1381" i="2" s="1"/>
  <c r="C1382" i="2" s="1"/>
  <c r="C1383" i="2" s="1"/>
  <c r="C1384" i="2" s="1"/>
  <c r="C1385" i="2" s="1"/>
  <c r="C1386" i="2" s="1"/>
  <c r="C1387" i="2" s="1"/>
  <c r="C1388" i="2" s="1"/>
  <c r="C1389" i="2" s="1"/>
  <c r="C1390" i="2" s="1"/>
  <c r="C1391" i="2" s="1"/>
  <c r="C1392" i="2" s="1"/>
  <c r="C1393" i="2" s="1"/>
  <c r="C1394" i="2" s="1"/>
  <c r="C1395" i="2" s="1"/>
  <c r="C1396" i="2" s="1"/>
  <c r="C1397" i="2" s="1"/>
  <c r="C1398" i="2" s="1"/>
  <c r="C1399" i="2" s="1"/>
  <c r="C1400" i="2" s="1"/>
  <c r="C1401" i="2" s="1"/>
  <c r="C1402" i="2" s="1"/>
  <c r="C1403" i="2" s="1"/>
  <c r="C1404" i="2" s="1"/>
  <c r="C1405" i="2" s="1"/>
  <c r="C1406" i="2" s="1"/>
  <c r="C1407" i="2" s="1"/>
  <c r="C1408" i="2" s="1"/>
  <c r="C1409" i="2" s="1"/>
  <c r="C1410" i="2" s="1"/>
  <c r="C1411" i="2" s="1"/>
  <c r="C1412" i="2" s="1"/>
  <c r="C1413" i="2" s="1"/>
  <c r="C1414" i="2" s="1"/>
  <c r="C1415" i="2" s="1"/>
  <c r="C1416" i="2" s="1"/>
  <c r="C1417" i="2" s="1"/>
  <c r="C1418" i="2" s="1"/>
  <c r="C1419" i="2" s="1"/>
  <c r="C1420" i="2" s="1"/>
  <c r="C1421" i="2" s="1"/>
  <c r="C1422" i="2" s="1"/>
  <c r="C1423" i="2" s="1"/>
  <c r="C1424" i="2" s="1"/>
  <c r="C1425" i="2" s="1"/>
  <c r="C1426" i="2" s="1"/>
  <c r="C1427" i="2" s="1"/>
  <c r="C1428" i="2" s="1"/>
  <c r="C1429" i="2" s="1"/>
  <c r="C1430" i="2" s="1"/>
  <c r="C1431" i="2" s="1"/>
  <c r="C1432" i="2" s="1"/>
  <c r="C1433" i="2" s="1"/>
  <c r="C1434" i="2" s="1"/>
  <c r="C1435" i="2" s="1"/>
  <c r="C1436" i="2" s="1"/>
  <c r="C1437" i="2" s="1"/>
  <c r="C1438" i="2" s="1"/>
  <c r="C1439" i="2" s="1"/>
  <c r="C1440" i="2" s="1"/>
  <c r="C1441" i="2" s="1"/>
  <c r="C1442" i="2" s="1"/>
  <c r="C1443" i="2" s="1"/>
  <c r="C1444" i="2" s="1"/>
  <c r="C1445" i="2" s="1"/>
  <c r="C1446" i="2" s="1"/>
  <c r="C1447" i="2" s="1"/>
  <c r="C1448" i="2" s="1"/>
  <c r="C1449" i="2" s="1"/>
  <c r="C1450" i="2" s="1"/>
  <c r="C1451" i="2" s="1"/>
  <c r="C1452" i="2" s="1"/>
  <c r="C1453" i="2" s="1"/>
  <c r="C1454" i="2" s="1"/>
  <c r="C1455" i="2" s="1"/>
  <c r="C1456" i="2" s="1"/>
  <c r="C1457" i="2" s="1"/>
  <c r="C1458" i="2" s="1"/>
  <c r="C1459" i="2" s="1"/>
  <c r="C1460" i="2" s="1"/>
  <c r="C1461" i="2" s="1"/>
  <c r="C1462" i="2" s="1"/>
  <c r="C1463" i="2" s="1"/>
  <c r="C1464" i="2" s="1"/>
  <c r="C1465" i="2" s="1"/>
  <c r="C1466" i="2" s="1"/>
  <c r="C1467" i="2" s="1"/>
  <c r="C1468" i="2" s="1"/>
  <c r="C1469" i="2" s="1"/>
  <c r="C1470" i="2" s="1"/>
  <c r="C1471" i="2" s="1"/>
  <c r="C1472" i="2" s="1"/>
  <c r="C1473" i="2" s="1"/>
  <c r="C1474" i="2" s="1"/>
  <c r="C1475" i="2" s="1"/>
  <c r="C1476" i="2" s="1"/>
  <c r="C1477" i="2" s="1"/>
  <c r="C1478" i="2" s="1"/>
  <c r="C1479" i="2" s="1"/>
  <c r="C1480" i="2" s="1"/>
  <c r="C1481" i="2" s="1"/>
  <c r="C1482" i="2" s="1"/>
  <c r="C1483" i="2" s="1"/>
  <c r="C1484" i="2" s="1"/>
  <c r="C1485" i="2" s="1"/>
  <c r="C1486" i="2" s="1"/>
  <c r="C1487" i="2" s="1"/>
  <c r="C1488" i="2" s="1"/>
  <c r="C1489" i="2" s="1"/>
  <c r="C1490" i="2" s="1"/>
  <c r="C1491" i="2" s="1"/>
  <c r="C1492" i="2" s="1"/>
  <c r="C1493" i="2" s="1"/>
  <c r="C1494" i="2" s="1"/>
  <c r="C1495" i="2" s="1"/>
  <c r="C1496" i="2" s="1"/>
  <c r="C1497" i="2" s="1"/>
  <c r="C1498" i="2" s="1"/>
  <c r="C1499" i="2" s="1"/>
  <c r="C1500" i="2" s="1"/>
  <c r="C1501" i="2" s="1"/>
  <c r="C1502" i="2" s="1"/>
  <c r="C1503" i="2" s="1"/>
  <c r="C1504" i="2" s="1"/>
  <c r="C1505" i="2" s="1"/>
  <c r="C1506" i="2" s="1"/>
  <c r="C1507" i="2" s="1"/>
  <c r="C1508" i="2" s="1"/>
  <c r="C1509" i="2" s="1"/>
  <c r="C1510" i="2" s="1"/>
  <c r="C1511" i="2" s="1"/>
  <c r="C1512" i="2" s="1"/>
  <c r="C1513" i="2" s="1"/>
  <c r="C1514" i="2" s="1"/>
  <c r="C1515" i="2" s="1"/>
  <c r="C1516" i="2" s="1"/>
  <c r="C1517" i="2" s="1"/>
  <c r="C1518" i="2" s="1"/>
  <c r="C1519" i="2" s="1"/>
  <c r="C1520" i="2" s="1"/>
  <c r="C1521" i="2" s="1"/>
  <c r="C1522" i="2" s="1"/>
  <c r="C1523" i="2" s="1"/>
  <c r="C1524" i="2" s="1"/>
  <c r="C1525" i="2" s="1"/>
  <c r="C1526" i="2" s="1"/>
  <c r="C1527" i="2" s="1"/>
  <c r="C1528" i="2" s="1"/>
  <c r="C1529" i="2" s="1"/>
  <c r="C1530" i="2" s="1"/>
  <c r="C1531" i="2" s="1"/>
  <c r="C1532" i="2" s="1"/>
  <c r="C1533" i="2" s="1"/>
  <c r="C1534" i="2" s="1"/>
  <c r="C1535" i="2" s="1"/>
  <c r="C1536" i="2" s="1"/>
  <c r="C1537" i="2" s="1"/>
  <c r="C1538" i="2" s="1"/>
  <c r="C1539" i="2" s="1"/>
  <c r="C1540" i="2" s="1"/>
  <c r="C1541" i="2" s="1"/>
  <c r="C1542" i="2" s="1"/>
  <c r="C1543" i="2" s="1"/>
  <c r="C1544" i="2" s="1"/>
  <c r="C1545" i="2" s="1"/>
  <c r="C1546" i="2" s="1"/>
  <c r="C1547" i="2" s="1"/>
  <c r="C1548" i="2" s="1"/>
  <c r="C1549" i="2" s="1"/>
  <c r="C1550" i="2" s="1"/>
  <c r="C1551" i="2" s="1"/>
  <c r="C1552" i="2" s="1"/>
  <c r="C1553" i="2" s="1"/>
  <c r="C1554" i="2" s="1"/>
  <c r="C1555" i="2" s="1"/>
  <c r="C1556" i="2" s="1"/>
  <c r="C1557" i="2" s="1"/>
  <c r="C1558" i="2" s="1"/>
  <c r="C1559" i="2" s="1"/>
  <c r="C1560" i="2" s="1"/>
  <c r="C1561" i="2" s="1"/>
  <c r="C1562" i="2" s="1"/>
  <c r="C1563" i="2" s="1"/>
  <c r="C1564" i="2" s="1"/>
  <c r="C1565" i="2" s="1"/>
  <c r="C1566" i="2" s="1"/>
  <c r="C1567" i="2" s="1"/>
  <c r="C1568" i="2" s="1"/>
  <c r="C1569" i="2" s="1"/>
  <c r="C1570" i="2" s="1"/>
  <c r="C1571" i="2" s="1"/>
  <c r="C1572" i="2" s="1"/>
  <c r="C1573" i="2" s="1"/>
  <c r="C1574" i="2" s="1"/>
  <c r="C1575" i="2" s="1"/>
  <c r="C1576" i="2" s="1"/>
  <c r="C1577" i="2" s="1"/>
  <c r="C1578" i="2" s="1"/>
  <c r="C1579" i="2" s="1"/>
  <c r="C1580" i="2" s="1"/>
  <c r="C1581" i="2" s="1"/>
  <c r="C1582" i="2" s="1"/>
  <c r="C1583" i="2" s="1"/>
  <c r="C1584" i="2" s="1"/>
  <c r="C1585" i="2" s="1"/>
  <c r="C1586" i="2" s="1"/>
  <c r="C1587" i="2" s="1"/>
  <c r="C1588" i="2" s="1"/>
  <c r="C1589" i="2" s="1"/>
  <c r="C1590" i="2" s="1"/>
  <c r="C1591" i="2" s="1"/>
  <c r="C1592" i="2" s="1"/>
  <c r="C1593" i="2" s="1"/>
  <c r="C1594" i="2" s="1"/>
  <c r="C1595" i="2" s="1"/>
  <c r="C1596" i="2" s="1"/>
  <c r="C1597" i="2" s="1"/>
  <c r="C1598" i="2" s="1"/>
  <c r="C1599" i="2" s="1"/>
  <c r="C1600" i="2" s="1"/>
  <c r="C1601" i="2" s="1"/>
  <c r="C1602" i="2" s="1"/>
  <c r="C1603" i="2" s="1"/>
  <c r="C1604" i="2" s="1"/>
  <c r="C1605" i="2" s="1"/>
  <c r="C1606" i="2" s="1"/>
  <c r="C1607" i="2" s="1"/>
  <c r="C1608" i="2" s="1"/>
  <c r="C1609" i="2" s="1"/>
  <c r="C1610" i="2" s="1"/>
  <c r="C1611" i="2" s="1"/>
  <c r="C1612" i="2" s="1"/>
  <c r="C1613" i="2" s="1"/>
  <c r="C1614" i="2" s="1"/>
  <c r="C1615" i="2" s="1"/>
  <c r="C1616" i="2" s="1"/>
  <c r="C1617" i="2" s="1"/>
  <c r="C1618" i="2" s="1"/>
  <c r="C1619" i="2" s="1"/>
  <c r="C1620" i="2" s="1"/>
  <c r="C1621" i="2" s="1"/>
  <c r="C1622" i="2" s="1"/>
  <c r="C1623" i="2" s="1"/>
  <c r="C1624" i="2" s="1"/>
  <c r="C1625" i="2" s="1"/>
  <c r="C1626" i="2" s="1"/>
  <c r="C1627" i="2" s="1"/>
  <c r="C1628" i="2" s="1"/>
  <c r="C1629" i="2" s="1"/>
  <c r="C1630" i="2" s="1"/>
  <c r="C1631" i="2" s="1"/>
  <c r="C1632" i="2" s="1"/>
  <c r="C1633" i="2" s="1"/>
  <c r="C1634" i="2" s="1"/>
  <c r="C1635" i="2" s="1"/>
  <c r="C1636" i="2" s="1"/>
  <c r="C1637" i="2" s="1"/>
  <c r="C1638" i="2" s="1"/>
  <c r="C1639" i="2" s="1"/>
  <c r="C1640" i="2" s="1"/>
  <c r="C1641" i="2" s="1"/>
  <c r="C1642" i="2" s="1"/>
  <c r="C1643" i="2" s="1"/>
  <c r="C1644" i="2" s="1"/>
  <c r="C1645" i="2" s="1"/>
  <c r="C1646" i="2" s="1"/>
  <c r="C1647" i="2" s="1"/>
  <c r="C1648" i="2" s="1"/>
  <c r="C1649" i="2" s="1"/>
  <c r="C1650" i="2" s="1"/>
  <c r="C1651" i="2" s="1"/>
  <c r="C1652" i="2" s="1"/>
  <c r="C1653" i="2" s="1"/>
  <c r="C1654" i="2" s="1"/>
  <c r="C1655" i="2" s="1"/>
  <c r="C1656" i="2" s="1"/>
  <c r="C1657" i="2" s="1"/>
  <c r="C1658" i="2" s="1"/>
  <c r="C1659" i="2" s="1"/>
  <c r="C1660" i="2" s="1"/>
  <c r="C1661" i="2" s="1"/>
  <c r="C1662" i="2" s="1"/>
  <c r="C1663" i="2" s="1"/>
  <c r="C1664" i="2" s="1"/>
  <c r="C1665" i="2" s="1"/>
  <c r="C1666" i="2" s="1"/>
  <c r="C1667" i="2" s="1"/>
  <c r="C1668" i="2" s="1"/>
  <c r="C1669" i="2" s="1"/>
  <c r="C1670" i="2" s="1"/>
  <c r="C1671" i="2" s="1"/>
  <c r="C1672" i="2" s="1"/>
  <c r="C1673" i="2" s="1"/>
  <c r="C1674" i="2" s="1"/>
  <c r="C1675" i="2" s="1"/>
  <c r="C1676" i="2" s="1"/>
  <c r="C1677" i="2" s="1"/>
  <c r="C1678" i="2" s="1"/>
  <c r="C1679" i="2" s="1"/>
  <c r="C1680" i="2" s="1"/>
  <c r="C1681" i="2" s="1"/>
  <c r="C1682" i="2" s="1"/>
  <c r="C1683" i="2" s="1"/>
  <c r="C1684" i="2" s="1"/>
  <c r="C1685" i="2" s="1"/>
  <c r="C1686" i="2" s="1"/>
  <c r="C1687" i="2" s="1"/>
  <c r="C1688" i="2" s="1"/>
  <c r="C1689" i="2" s="1"/>
  <c r="C1690" i="2" s="1"/>
  <c r="C1691" i="2" s="1"/>
  <c r="C1692" i="2" s="1"/>
  <c r="C1693" i="2" s="1"/>
  <c r="C1694" i="2" s="1"/>
  <c r="C1695" i="2" s="1"/>
  <c r="C1696" i="2" s="1"/>
  <c r="C1697" i="2" s="1"/>
  <c r="C1698" i="2" s="1"/>
  <c r="C1699" i="2" s="1"/>
  <c r="C1700" i="2" s="1"/>
  <c r="C1701" i="2" s="1"/>
  <c r="C1702" i="2" s="1"/>
  <c r="C1703" i="2" s="1"/>
  <c r="C1704" i="2" s="1"/>
  <c r="C1705" i="2" s="1"/>
  <c r="C1706" i="2" s="1"/>
  <c r="C1707" i="2" s="1"/>
  <c r="C1708" i="2" s="1"/>
  <c r="C1709" i="2" s="1"/>
  <c r="C1710" i="2" s="1"/>
  <c r="C1711" i="2" s="1"/>
  <c r="C1712" i="2" s="1"/>
  <c r="C1713" i="2" s="1"/>
  <c r="C1714" i="2" s="1"/>
  <c r="C1715" i="2" s="1"/>
  <c r="C1716" i="2" s="1"/>
  <c r="C1717" i="2" s="1"/>
  <c r="C1718" i="2" s="1"/>
  <c r="C1719" i="2" s="1"/>
  <c r="C1720" i="2" s="1"/>
  <c r="C1721" i="2" s="1"/>
  <c r="C1722" i="2" s="1"/>
  <c r="C1723" i="2" s="1"/>
  <c r="C1724" i="2" s="1"/>
  <c r="C1725" i="2" s="1"/>
  <c r="C1726" i="2" s="1"/>
  <c r="C1727" i="2" s="1"/>
  <c r="C1728" i="2" s="1"/>
  <c r="C1729" i="2" s="1"/>
  <c r="C1730" i="2" s="1"/>
  <c r="C1731" i="2" s="1"/>
  <c r="C1732" i="2" s="1"/>
  <c r="C1733" i="2" s="1"/>
  <c r="C1734" i="2" s="1"/>
  <c r="C1735" i="2" s="1"/>
  <c r="C1736" i="2" s="1"/>
  <c r="C1737" i="2" s="1"/>
  <c r="C1738" i="2" s="1"/>
  <c r="C1739" i="2" s="1"/>
  <c r="C1740" i="2" s="1"/>
  <c r="C1741" i="2" s="1"/>
  <c r="C1742" i="2" s="1"/>
  <c r="C1743" i="2" s="1"/>
  <c r="C1744" i="2" s="1"/>
  <c r="C1745" i="2" s="1"/>
  <c r="C1746" i="2" s="1"/>
  <c r="C1747" i="2" s="1"/>
  <c r="C1748" i="2" s="1"/>
  <c r="C1749" i="2" s="1"/>
  <c r="C1750" i="2" s="1"/>
  <c r="C1751" i="2" s="1"/>
  <c r="C1752" i="2" s="1"/>
  <c r="C1753" i="2" s="1"/>
  <c r="C1754" i="2" s="1"/>
  <c r="C1755" i="2" s="1"/>
  <c r="C1756" i="2" s="1"/>
  <c r="C1757" i="2" s="1"/>
  <c r="C1758" i="2" s="1"/>
  <c r="C1759" i="2" s="1"/>
  <c r="C1760" i="2" s="1"/>
  <c r="C1761" i="2" s="1"/>
  <c r="C1762" i="2" s="1"/>
  <c r="C1763" i="2" s="1"/>
  <c r="C1764" i="2" s="1"/>
  <c r="C1765" i="2" s="1"/>
  <c r="C1766" i="2" s="1"/>
  <c r="C1767" i="2" s="1"/>
  <c r="C1768" i="2" s="1"/>
  <c r="C1769" i="2" s="1"/>
  <c r="C1770" i="2" s="1"/>
  <c r="C1771" i="2" s="1"/>
  <c r="C1772" i="2" s="1"/>
  <c r="C1773" i="2" s="1"/>
  <c r="C1774" i="2" s="1"/>
  <c r="C1775" i="2" s="1"/>
  <c r="C1776" i="2" s="1"/>
  <c r="C1777" i="2" s="1"/>
  <c r="C1778" i="2" s="1"/>
  <c r="C1779" i="2" s="1"/>
  <c r="C1780" i="2" s="1"/>
  <c r="C1781" i="2" s="1"/>
  <c r="C1782" i="2" s="1"/>
  <c r="C1783" i="2" s="1"/>
  <c r="C1784" i="2" s="1"/>
  <c r="C1785" i="2" s="1"/>
  <c r="C1786" i="2" s="1"/>
  <c r="C1787" i="2" s="1"/>
  <c r="C1788" i="2" s="1"/>
  <c r="C1789" i="2" s="1"/>
  <c r="C1790" i="2" s="1"/>
  <c r="C1791" i="2" s="1"/>
  <c r="C1792" i="2" s="1"/>
  <c r="C1793" i="2" s="1"/>
  <c r="C1794" i="2" s="1"/>
  <c r="C1795" i="2" s="1"/>
  <c r="C1796" i="2" s="1"/>
  <c r="C1797" i="2" s="1"/>
  <c r="C1798" i="2" s="1"/>
  <c r="C1799" i="2" s="1"/>
  <c r="C1800" i="2" s="1"/>
  <c r="C1801" i="2" s="1"/>
  <c r="C1802" i="2" s="1"/>
  <c r="C1803" i="2" s="1"/>
  <c r="C1804" i="2" s="1"/>
  <c r="C1805" i="2" s="1"/>
  <c r="C1806" i="2" s="1"/>
  <c r="C1807" i="2" s="1"/>
  <c r="C1808" i="2" s="1"/>
  <c r="C1809" i="2" s="1"/>
  <c r="C1810" i="2" s="1"/>
  <c r="C1811" i="2" s="1"/>
  <c r="C1812" i="2" s="1"/>
  <c r="C1813" i="2" s="1"/>
  <c r="C1814" i="2" s="1"/>
  <c r="C1815" i="2" s="1"/>
  <c r="C1816" i="2" s="1"/>
  <c r="C1817" i="2" s="1"/>
  <c r="C1818" i="2" s="1"/>
  <c r="C1819" i="2" s="1"/>
  <c r="C1820" i="2" s="1"/>
  <c r="C1821" i="2" s="1"/>
  <c r="C1822" i="2" s="1"/>
  <c r="C1823" i="2" s="1"/>
  <c r="C1824" i="2" s="1"/>
  <c r="C1825" i="2" s="1"/>
  <c r="C1826" i="2" s="1"/>
  <c r="C1827" i="2" s="1"/>
  <c r="C1828" i="2" s="1"/>
  <c r="C1829" i="2" s="1"/>
  <c r="C1830" i="2" s="1"/>
  <c r="C1831" i="2" s="1"/>
  <c r="C1832" i="2" s="1"/>
  <c r="C1833" i="2" s="1"/>
  <c r="C1834" i="2" s="1"/>
  <c r="C1835" i="2" s="1"/>
  <c r="C1836" i="2" s="1"/>
  <c r="C1837" i="2" s="1"/>
  <c r="C1838" i="2" s="1"/>
  <c r="C1839" i="2" s="1"/>
  <c r="C1840" i="2" s="1"/>
  <c r="C1841" i="2" s="1"/>
  <c r="C1842" i="2" s="1"/>
  <c r="C1843" i="2" s="1"/>
  <c r="C1844" i="2" s="1"/>
  <c r="C1845" i="2" s="1"/>
  <c r="C1846" i="2" s="1"/>
  <c r="C1847" i="2" s="1"/>
  <c r="C1848" i="2" s="1"/>
  <c r="C1849" i="2" s="1"/>
  <c r="C1850" i="2" s="1"/>
  <c r="C1851" i="2" s="1"/>
  <c r="C1852" i="2" s="1"/>
  <c r="C1853" i="2" s="1"/>
  <c r="C1854" i="2" s="1"/>
  <c r="C1855" i="2" s="1"/>
  <c r="C1856" i="2" s="1"/>
  <c r="C1857" i="2" s="1"/>
  <c r="C1858" i="2" s="1"/>
  <c r="C1859" i="2" s="1"/>
  <c r="C1860" i="2" s="1"/>
  <c r="C1861" i="2" s="1"/>
  <c r="C1862" i="2" s="1"/>
  <c r="C1863" i="2" s="1"/>
  <c r="C1864" i="2" s="1"/>
  <c r="C1865" i="2" s="1"/>
  <c r="C1866" i="2" s="1"/>
  <c r="C1867" i="2" s="1"/>
  <c r="C1868" i="2" s="1"/>
  <c r="C1869" i="2" s="1"/>
  <c r="C1870" i="2" s="1"/>
  <c r="C1871" i="2" s="1"/>
  <c r="C1872" i="2" s="1"/>
  <c r="C1873" i="2" s="1"/>
  <c r="C1874" i="2" s="1"/>
  <c r="C1875" i="2" s="1"/>
  <c r="C1876" i="2" s="1"/>
  <c r="C1877" i="2" s="1"/>
  <c r="C1878" i="2" s="1"/>
  <c r="C1879" i="2" s="1"/>
  <c r="C1880" i="2" s="1"/>
  <c r="C1881" i="2" s="1"/>
  <c r="C1882" i="2" s="1"/>
  <c r="C1883" i="2" s="1"/>
  <c r="C1884" i="2" s="1"/>
  <c r="C1885" i="2" s="1"/>
  <c r="C1886" i="2" s="1"/>
  <c r="C1887" i="2" s="1"/>
  <c r="C1888" i="2" s="1"/>
  <c r="C1889" i="2" s="1"/>
  <c r="C1890" i="2" s="1"/>
  <c r="C1891" i="2" s="1"/>
  <c r="C1892" i="2" s="1"/>
  <c r="C1893" i="2" s="1"/>
  <c r="C1894" i="2" s="1"/>
  <c r="C1895" i="2" s="1"/>
  <c r="C1896" i="2" s="1"/>
  <c r="C1897" i="2" s="1"/>
  <c r="C1898" i="2" s="1"/>
  <c r="C1899" i="2" s="1"/>
  <c r="C1900" i="2" s="1"/>
  <c r="C1901" i="2" s="1"/>
  <c r="C1902" i="2" s="1"/>
  <c r="C1903" i="2" s="1"/>
  <c r="C1904" i="2" s="1"/>
  <c r="C1905" i="2" s="1"/>
  <c r="C1906" i="2" s="1"/>
  <c r="C1907" i="2" s="1"/>
  <c r="C1908" i="2" s="1"/>
  <c r="C1909" i="2" s="1"/>
  <c r="C1910" i="2" s="1"/>
  <c r="C1911" i="2" s="1"/>
  <c r="C1912" i="2" s="1"/>
  <c r="C1913" i="2" s="1"/>
  <c r="C1914" i="2" s="1"/>
  <c r="C1915" i="2" s="1"/>
  <c r="C1916" i="2" s="1"/>
  <c r="C1917" i="2" s="1"/>
  <c r="C1918" i="2" s="1"/>
  <c r="C1919" i="2" s="1"/>
  <c r="C1920" i="2" s="1"/>
  <c r="C1921" i="2" s="1"/>
  <c r="C1922" i="2" s="1"/>
  <c r="C1923" i="2" s="1"/>
  <c r="C1924" i="2" s="1"/>
  <c r="C1925" i="2" s="1"/>
  <c r="C1926" i="2" s="1"/>
  <c r="C1927" i="2" s="1"/>
  <c r="C1928" i="2" s="1"/>
  <c r="C1929" i="2" s="1"/>
  <c r="C1930" i="2" s="1"/>
  <c r="C1931" i="2" s="1"/>
  <c r="C1932" i="2" s="1"/>
  <c r="C1933" i="2" s="1"/>
  <c r="C1934" i="2" s="1"/>
  <c r="C1935" i="2" s="1"/>
  <c r="C1936" i="2" s="1"/>
  <c r="C1937" i="2" s="1"/>
  <c r="C1938" i="2" s="1"/>
  <c r="C1939" i="2" s="1"/>
  <c r="C1940" i="2" s="1"/>
  <c r="C1941" i="2" s="1"/>
  <c r="C1942" i="2" s="1"/>
  <c r="C1943" i="2" s="1"/>
  <c r="C1944" i="2" s="1"/>
  <c r="C1945" i="2" s="1"/>
  <c r="C1946" i="2" s="1"/>
  <c r="C1947" i="2" s="1"/>
  <c r="C1948" i="2" s="1"/>
  <c r="C1949" i="2" s="1"/>
  <c r="C1950" i="2" s="1"/>
  <c r="C1951" i="2" s="1"/>
  <c r="C1952" i="2" s="1"/>
  <c r="C1953" i="2" s="1"/>
  <c r="C1954" i="2" s="1"/>
  <c r="C1955" i="2" s="1"/>
  <c r="C1956" i="2" s="1"/>
  <c r="C1957" i="2" s="1"/>
  <c r="C1958" i="2" s="1"/>
  <c r="C1959" i="2" s="1"/>
  <c r="C1960" i="2" s="1"/>
  <c r="C1961" i="2" s="1"/>
  <c r="C1962" i="2" s="1"/>
  <c r="C1963" i="2" s="1"/>
  <c r="C1964" i="2" s="1"/>
  <c r="C1965" i="2" s="1"/>
  <c r="C1966" i="2" s="1"/>
  <c r="C1967" i="2" s="1"/>
  <c r="C1968" i="2" s="1"/>
  <c r="C1969" i="2" s="1"/>
  <c r="C1970" i="2" s="1"/>
  <c r="C1971" i="2" s="1"/>
  <c r="C1972" i="2" s="1"/>
  <c r="C1973" i="2" s="1"/>
  <c r="C1974" i="2" s="1"/>
  <c r="C1975" i="2" s="1"/>
  <c r="C1976" i="2" s="1"/>
  <c r="C1977" i="2" s="1"/>
  <c r="C1978" i="2" s="1"/>
  <c r="C1979" i="2" s="1"/>
  <c r="C1980" i="2" s="1"/>
  <c r="C1981" i="2" s="1"/>
  <c r="C1982" i="2" s="1"/>
  <c r="C1983" i="2" s="1"/>
  <c r="C1984" i="2" s="1"/>
  <c r="C1985" i="2" s="1"/>
  <c r="C1986" i="2" s="1"/>
  <c r="C1987" i="2" s="1"/>
  <c r="C1988" i="2" s="1"/>
  <c r="C1989" i="2" s="1"/>
  <c r="C1990" i="2" s="1"/>
  <c r="C1991" i="2" s="1"/>
  <c r="C1992" i="2" s="1"/>
  <c r="C1993" i="2" s="1"/>
  <c r="C1994" i="2" s="1"/>
  <c r="C1995" i="2" s="1"/>
  <c r="C1996" i="2" s="1"/>
  <c r="C1997" i="2" s="1"/>
  <c r="C1998" i="2" s="1"/>
  <c r="C1999" i="2" s="1"/>
  <c r="C2000" i="2" s="1"/>
  <c r="C2001" i="2" s="1"/>
  <c r="C2002" i="2" s="1"/>
  <c r="C2003" i="2" s="1"/>
  <c r="C2004" i="2" s="1"/>
  <c r="C2005" i="2" s="1"/>
  <c r="C2006" i="2" s="1"/>
  <c r="C2007" i="2" s="1"/>
  <c r="C2008" i="2" s="1"/>
  <c r="C2009" i="2" s="1"/>
  <c r="C2010" i="2" s="1"/>
  <c r="C2011" i="2" s="1"/>
  <c r="C2012" i="2" s="1"/>
  <c r="C2013" i="2" s="1"/>
  <c r="C2014" i="2" s="1"/>
  <c r="C2015" i="2" s="1"/>
  <c r="C2016" i="2" s="1"/>
  <c r="C2017" i="2" s="1"/>
  <c r="C2018" i="2" s="1"/>
  <c r="C2019" i="2" s="1"/>
  <c r="C2020" i="2" s="1"/>
  <c r="C2021" i="2" s="1"/>
  <c r="C2022" i="2" s="1"/>
  <c r="C2023" i="2" s="1"/>
  <c r="C2024" i="2" s="1"/>
  <c r="C2025" i="2" s="1"/>
  <c r="C2026" i="2" s="1"/>
  <c r="C2027" i="2" s="1"/>
  <c r="C2028" i="2" s="1"/>
  <c r="C2029" i="2" s="1"/>
  <c r="C2030" i="2" s="1"/>
  <c r="C2031" i="2" s="1"/>
  <c r="C2032" i="2" s="1"/>
  <c r="C2033" i="2" s="1"/>
  <c r="C2034" i="2" s="1"/>
  <c r="C2035" i="2" s="1"/>
  <c r="C2036" i="2" s="1"/>
  <c r="C2037" i="2" s="1"/>
  <c r="C2038" i="2" s="1"/>
  <c r="C2039" i="2" s="1"/>
  <c r="C2040" i="2" s="1"/>
  <c r="C2041" i="2" s="1"/>
  <c r="C2042" i="2" s="1"/>
  <c r="C2043" i="2" s="1"/>
  <c r="C2044" i="2" s="1"/>
  <c r="C2045" i="2" s="1"/>
  <c r="C2046" i="2" s="1"/>
  <c r="C2047" i="2" s="1"/>
  <c r="C2048" i="2" s="1"/>
  <c r="C2049" i="2" s="1"/>
  <c r="C2050" i="2" s="1"/>
  <c r="C2051" i="2" s="1"/>
  <c r="C2052" i="2" s="1"/>
  <c r="C2053" i="2" s="1"/>
  <c r="C2054" i="2" s="1"/>
  <c r="C2055" i="2" s="1"/>
  <c r="C2056" i="2" s="1"/>
  <c r="C2057" i="2" s="1"/>
  <c r="C2058" i="2" s="1"/>
  <c r="C2059" i="2" s="1"/>
  <c r="C2060" i="2" s="1"/>
  <c r="C2061" i="2" s="1"/>
  <c r="C2062" i="2" s="1"/>
  <c r="C2063" i="2" s="1"/>
  <c r="C2064" i="2" s="1"/>
  <c r="C2065" i="2" s="1"/>
  <c r="C2066" i="2" s="1"/>
  <c r="C2067" i="2" s="1"/>
  <c r="C2068" i="2" s="1"/>
  <c r="C2069" i="2" s="1"/>
  <c r="C2070" i="2" s="1"/>
  <c r="C2071" i="2" s="1"/>
  <c r="C2072" i="2" s="1"/>
  <c r="C2073" i="2" s="1"/>
  <c r="C2074" i="2" s="1"/>
  <c r="C2075" i="2" s="1"/>
  <c r="C2076" i="2" s="1"/>
  <c r="C2077" i="2" s="1"/>
  <c r="C2078" i="2" s="1"/>
  <c r="C2079" i="2" s="1"/>
  <c r="C2080" i="2" s="1"/>
  <c r="C2081" i="2" s="1"/>
  <c r="C2082" i="2" s="1"/>
  <c r="C2083" i="2" s="1"/>
  <c r="C2084" i="2" s="1"/>
  <c r="C2085" i="2" s="1"/>
  <c r="C2086" i="2" s="1"/>
  <c r="C2087" i="2" s="1"/>
  <c r="C2088" i="2" s="1"/>
  <c r="C2089" i="2" s="1"/>
  <c r="C2090" i="2" s="1"/>
  <c r="C2091" i="2" s="1"/>
  <c r="C2092" i="2" s="1"/>
  <c r="C2093" i="2" s="1"/>
  <c r="C2094" i="2" s="1"/>
  <c r="C2095" i="2" s="1"/>
  <c r="C2096" i="2" s="1"/>
  <c r="C2097" i="2" s="1"/>
  <c r="C2098" i="2" s="1"/>
  <c r="C2099" i="2" s="1"/>
  <c r="C2100" i="2" s="1"/>
  <c r="C2101" i="2" s="1"/>
  <c r="C2102" i="2" s="1"/>
  <c r="C2103" i="2" s="1"/>
  <c r="C2104" i="2" s="1"/>
  <c r="C2105" i="2" s="1"/>
  <c r="C2106" i="2" s="1"/>
  <c r="C2107" i="2" s="1"/>
  <c r="C2108" i="2" s="1"/>
  <c r="C2109" i="2" s="1"/>
  <c r="C2110" i="2" s="1"/>
  <c r="C2111" i="2" s="1"/>
  <c r="C2112" i="2" s="1"/>
  <c r="C2113" i="2" s="1"/>
  <c r="C2114" i="2" s="1"/>
  <c r="C2115" i="2" s="1"/>
  <c r="C2116" i="2" s="1"/>
  <c r="C2117" i="2" s="1"/>
  <c r="C2118" i="2" s="1"/>
  <c r="C2119" i="2" s="1"/>
  <c r="C2120" i="2" s="1"/>
  <c r="C2121" i="2" s="1"/>
  <c r="C2122" i="2" s="1"/>
  <c r="C2123" i="2" s="1"/>
  <c r="C2124" i="2" s="1"/>
  <c r="C2125" i="2" s="1"/>
  <c r="C2126" i="2" s="1"/>
  <c r="C2127" i="2" s="1"/>
  <c r="C2128" i="2" s="1"/>
  <c r="C2129" i="2" s="1"/>
  <c r="C2130" i="2" s="1"/>
  <c r="C2131" i="2" s="1"/>
  <c r="C2132" i="2" s="1"/>
  <c r="C2133" i="2" s="1"/>
  <c r="C2134" i="2" s="1"/>
  <c r="C2135" i="2" s="1"/>
  <c r="C2136" i="2" s="1"/>
  <c r="C2137" i="2" s="1"/>
  <c r="C2138" i="2" s="1"/>
  <c r="C2139" i="2" s="1"/>
  <c r="C2140" i="2" s="1"/>
  <c r="C2141" i="2" s="1"/>
  <c r="C2142" i="2" s="1"/>
  <c r="C2143" i="2" s="1"/>
  <c r="C2144" i="2" s="1"/>
  <c r="C2145" i="2" s="1"/>
  <c r="C2146" i="2" s="1"/>
  <c r="C2147" i="2" s="1"/>
  <c r="C2148" i="2" s="1"/>
  <c r="C2149" i="2" s="1"/>
  <c r="C2150" i="2" s="1"/>
  <c r="C2151" i="2" s="1"/>
  <c r="C2152" i="2" s="1"/>
  <c r="C2153" i="2" s="1"/>
  <c r="C2154" i="2" s="1"/>
  <c r="C2155" i="2" s="1"/>
  <c r="C2156" i="2" s="1"/>
  <c r="C2157" i="2" s="1"/>
  <c r="C2158" i="2" s="1"/>
  <c r="C2159" i="2" s="1"/>
  <c r="C2160" i="2" s="1"/>
  <c r="C2161" i="2" s="1"/>
  <c r="C2162" i="2" s="1"/>
  <c r="C2163" i="2" s="1"/>
  <c r="C2164" i="2" s="1"/>
  <c r="C2165" i="2" s="1"/>
  <c r="C2166" i="2" s="1"/>
  <c r="C2167" i="2" s="1"/>
  <c r="C2168" i="2" s="1"/>
  <c r="C2169" i="2" s="1"/>
  <c r="C2170" i="2" s="1"/>
  <c r="C2171" i="2" s="1"/>
  <c r="C2172" i="2" s="1"/>
  <c r="C2173" i="2" s="1"/>
  <c r="C2174" i="2" s="1"/>
  <c r="C2175" i="2" s="1"/>
  <c r="C2176" i="2" s="1"/>
  <c r="C2177" i="2" s="1"/>
  <c r="C2178" i="2" s="1"/>
  <c r="C2179" i="2" s="1"/>
  <c r="C2180" i="2" s="1"/>
  <c r="C2181" i="2" s="1"/>
  <c r="C2182" i="2" s="1"/>
  <c r="C2183" i="2" s="1"/>
  <c r="C2184" i="2" s="1"/>
  <c r="C2185" i="2" s="1"/>
  <c r="C2186" i="2" s="1"/>
  <c r="C2187" i="2" s="1"/>
  <c r="C2188" i="2" s="1"/>
  <c r="C2189" i="2" s="1"/>
  <c r="C2190" i="2" s="1"/>
  <c r="C2191" i="2" s="1"/>
  <c r="C2192" i="2" s="1"/>
  <c r="C2193" i="2" s="1"/>
  <c r="C2194" i="2" s="1"/>
  <c r="C2195" i="2" s="1"/>
  <c r="C2196" i="2" s="1"/>
  <c r="C2197" i="2" s="1"/>
  <c r="C2198" i="2" s="1"/>
  <c r="C2199" i="2" s="1"/>
  <c r="C2200" i="2" s="1"/>
  <c r="C2201" i="2" s="1"/>
  <c r="C2202" i="2" s="1"/>
  <c r="C2203" i="2" s="1"/>
  <c r="C2204" i="2" s="1"/>
  <c r="C2205" i="2" s="1"/>
  <c r="C2206" i="2" s="1"/>
  <c r="C2207" i="2" s="1"/>
  <c r="C2208" i="2" s="1"/>
  <c r="C2209" i="2" s="1"/>
  <c r="C2210" i="2" s="1"/>
  <c r="C2211" i="2" s="1"/>
  <c r="C2212" i="2" s="1"/>
  <c r="C2213" i="2" s="1"/>
  <c r="C2214" i="2" s="1"/>
  <c r="C2215" i="2" s="1"/>
  <c r="C2216" i="2" s="1"/>
  <c r="C2217" i="2" s="1"/>
  <c r="C2218" i="2" s="1"/>
  <c r="C2219" i="2" s="1"/>
  <c r="C2220" i="2" s="1"/>
  <c r="C2221" i="2" s="1"/>
  <c r="C2222" i="2" s="1"/>
  <c r="C2223" i="2" s="1"/>
  <c r="C2224" i="2" s="1"/>
  <c r="C2225" i="2" s="1"/>
  <c r="C2226" i="2" s="1"/>
  <c r="C2227" i="2" s="1"/>
  <c r="C2228" i="2" s="1"/>
  <c r="C2229" i="2" s="1"/>
  <c r="C2230" i="2" s="1"/>
  <c r="C2231" i="2" s="1"/>
  <c r="C2232" i="2" s="1"/>
  <c r="C2233" i="2" s="1"/>
  <c r="C2234" i="2" s="1"/>
  <c r="C2235" i="2" s="1"/>
  <c r="C2236" i="2" s="1"/>
  <c r="C2237" i="2" s="1"/>
  <c r="C2238" i="2" s="1"/>
  <c r="C2239" i="2" s="1"/>
  <c r="C2240" i="2" s="1"/>
  <c r="C2241" i="2" s="1"/>
  <c r="C2242" i="2" s="1"/>
  <c r="C2243" i="2" s="1"/>
  <c r="C2244" i="2" s="1"/>
  <c r="C2245" i="2" s="1"/>
  <c r="C2246" i="2" s="1"/>
  <c r="C2247" i="2" s="1"/>
  <c r="C2248" i="2" s="1"/>
  <c r="C2249" i="2" s="1"/>
  <c r="C2250" i="2" s="1"/>
  <c r="C2251" i="2" s="1"/>
  <c r="C2252" i="2" s="1"/>
  <c r="C2253" i="2" s="1"/>
  <c r="C2254" i="2" s="1"/>
  <c r="C2255" i="2" s="1"/>
  <c r="C2256" i="2" s="1"/>
  <c r="C2257" i="2" s="1"/>
  <c r="C2258" i="2" s="1"/>
  <c r="C2259" i="2" s="1"/>
  <c r="C2260" i="2" s="1"/>
  <c r="C2261" i="2" s="1"/>
  <c r="C2262" i="2" s="1"/>
  <c r="C2263" i="2" s="1"/>
  <c r="C2264" i="2" s="1"/>
  <c r="C2265" i="2" s="1"/>
  <c r="C2266" i="2" s="1"/>
  <c r="C2267" i="2" s="1"/>
  <c r="C2268" i="2" s="1"/>
  <c r="C2269" i="2" s="1"/>
  <c r="C2270" i="2" s="1"/>
  <c r="C2271" i="2" s="1"/>
  <c r="C2272" i="2" s="1"/>
  <c r="C2273" i="2" s="1"/>
  <c r="C2274" i="2" s="1"/>
  <c r="C2275" i="2" s="1"/>
  <c r="C2276" i="2" s="1"/>
  <c r="C2277" i="2" s="1"/>
  <c r="C2278" i="2" s="1"/>
  <c r="C2279" i="2" s="1"/>
  <c r="C2280" i="2" s="1"/>
  <c r="C2281" i="2" s="1"/>
  <c r="C2282" i="2" s="1"/>
  <c r="C2283" i="2" s="1"/>
  <c r="C2284" i="2" s="1"/>
  <c r="C2285" i="2" s="1"/>
  <c r="C2286" i="2" s="1"/>
  <c r="C2287" i="2" s="1"/>
  <c r="C2288" i="2" s="1"/>
  <c r="C2289" i="2" s="1"/>
  <c r="C2290" i="2" s="1"/>
  <c r="C2291" i="2" s="1"/>
  <c r="C2292" i="2" s="1"/>
  <c r="C2293" i="2" s="1"/>
  <c r="C2294" i="2" s="1"/>
  <c r="C2295" i="2" s="1"/>
  <c r="C2296" i="2" s="1"/>
  <c r="C2297" i="2" s="1"/>
  <c r="C2298" i="2" s="1"/>
  <c r="C2299" i="2" s="1"/>
  <c r="C2300" i="2" s="1"/>
  <c r="C2301" i="2" s="1"/>
  <c r="C2302" i="2" s="1"/>
  <c r="C2303" i="2" s="1"/>
  <c r="C2304" i="2" s="1"/>
  <c r="C2305" i="2" s="1"/>
  <c r="C2306" i="2" s="1"/>
  <c r="C2307" i="2" s="1"/>
  <c r="C2308" i="2" s="1"/>
  <c r="C2309" i="2" s="1"/>
  <c r="C2310" i="2" s="1"/>
  <c r="C2311" i="2" s="1"/>
  <c r="C2312" i="2" s="1"/>
  <c r="C2313" i="2" s="1"/>
  <c r="C2314" i="2" s="1"/>
  <c r="C2315" i="2" s="1"/>
  <c r="C2316" i="2" s="1"/>
  <c r="C2317" i="2" s="1"/>
  <c r="C2318" i="2" s="1"/>
  <c r="C2319" i="2" s="1"/>
  <c r="C2320" i="2" s="1"/>
  <c r="C2321" i="2" s="1"/>
  <c r="C2322" i="2" s="1"/>
  <c r="C2323" i="2" s="1"/>
  <c r="C2324" i="2" s="1"/>
  <c r="C2325" i="2" s="1"/>
  <c r="C2326" i="2" s="1"/>
  <c r="C2327" i="2" s="1"/>
  <c r="C2328" i="2" s="1"/>
  <c r="C2329" i="2" s="1"/>
  <c r="C2330" i="2" s="1"/>
  <c r="C2331" i="2" s="1"/>
  <c r="C2332" i="2" s="1"/>
  <c r="C2333" i="2" s="1"/>
  <c r="C2334" i="2" s="1"/>
  <c r="C2335" i="2" s="1"/>
  <c r="C2336" i="2" s="1"/>
  <c r="C2337" i="2" s="1"/>
  <c r="C2338" i="2" s="1"/>
  <c r="C2339" i="2" s="1"/>
  <c r="C2340" i="2" s="1"/>
  <c r="C2341" i="2" s="1"/>
  <c r="C2342" i="2" s="1"/>
  <c r="C2343" i="2" s="1"/>
  <c r="C2344" i="2" s="1"/>
  <c r="C2345" i="2" s="1"/>
  <c r="C2346" i="2" s="1"/>
  <c r="C2347" i="2" s="1"/>
  <c r="C2348" i="2" s="1"/>
  <c r="C2349" i="2" s="1"/>
  <c r="C2350" i="2" s="1"/>
  <c r="C2351" i="2" s="1"/>
  <c r="C2352" i="2" s="1"/>
  <c r="C2353" i="2" s="1"/>
  <c r="C2354" i="2" s="1"/>
  <c r="C2355" i="2" s="1"/>
  <c r="C2356" i="2" s="1"/>
  <c r="C2357" i="2" s="1"/>
  <c r="C2358" i="2" s="1"/>
  <c r="C2359" i="2" s="1"/>
  <c r="C2360" i="2" s="1"/>
  <c r="C2361" i="2" s="1"/>
  <c r="C2362" i="2" s="1"/>
  <c r="C2363" i="2" s="1"/>
  <c r="C2364" i="2" s="1"/>
  <c r="C2365" i="2" s="1"/>
  <c r="C2366" i="2" s="1"/>
  <c r="C2367" i="2" s="1"/>
  <c r="C2368" i="2" s="1"/>
  <c r="C2369" i="2" s="1"/>
  <c r="C2370" i="2" s="1"/>
  <c r="C2371" i="2" s="1"/>
  <c r="C2372" i="2" s="1"/>
  <c r="C2373" i="2" s="1"/>
  <c r="C2374" i="2" s="1"/>
  <c r="C2375" i="2" s="1"/>
  <c r="C2376" i="2" s="1"/>
  <c r="C2377" i="2" s="1"/>
  <c r="C2378" i="2" s="1"/>
  <c r="C2379" i="2" s="1"/>
  <c r="C2380" i="2" s="1"/>
  <c r="C2381" i="2" s="1"/>
  <c r="C2382" i="2" s="1"/>
  <c r="C2383" i="2" s="1"/>
  <c r="C2384" i="2" s="1"/>
  <c r="C2385" i="2" s="1"/>
  <c r="C2386" i="2" s="1"/>
  <c r="C2387" i="2" s="1"/>
  <c r="C2388" i="2" s="1"/>
  <c r="C2389" i="2" s="1"/>
  <c r="C2390" i="2" s="1"/>
  <c r="C2391" i="2" s="1"/>
  <c r="C2392" i="2" s="1"/>
  <c r="C2393" i="2" s="1"/>
  <c r="C2394" i="2" s="1"/>
  <c r="C2395" i="2" s="1"/>
  <c r="C2396" i="2" s="1"/>
  <c r="C2397" i="2" s="1"/>
  <c r="C2398" i="2" s="1"/>
  <c r="C2399" i="2" s="1"/>
  <c r="C2400" i="2" s="1"/>
  <c r="C2401" i="2" s="1"/>
  <c r="C2402" i="2" s="1"/>
  <c r="C2403" i="2" s="1"/>
  <c r="C2404" i="2" s="1"/>
  <c r="C2405" i="2" s="1"/>
  <c r="C2406" i="2" s="1"/>
  <c r="C2407" i="2" s="1"/>
  <c r="C2408" i="2" s="1"/>
  <c r="C2409" i="2" s="1"/>
  <c r="C2410" i="2" s="1"/>
  <c r="C2411" i="2" s="1"/>
  <c r="C2412" i="2" s="1"/>
  <c r="C2413" i="2" s="1"/>
  <c r="C2414" i="2" s="1"/>
  <c r="C2415" i="2" s="1"/>
  <c r="C2416" i="2" s="1"/>
  <c r="C2417" i="2" s="1"/>
  <c r="C2418" i="2" s="1"/>
  <c r="C2419" i="2" s="1"/>
  <c r="C2420" i="2" s="1"/>
  <c r="C2421" i="2" s="1"/>
  <c r="C2422" i="2" s="1"/>
  <c r="C2423" i="2" s="1"/>
  <c r="C2424" i="2" s="1"/>
  <c r="C2425" i="2" s="1"/>
  <c r="C2426" i="2" s="1"/>
  <c r="C2427" i="2" s="1"/>
  <c r="C2428" i="2" s="1"/>
  <c r="C2429" i="2" s="1"/>
  <c r="C2430" i="2" s="1"/>
  <c r="C2431" i="2" s="1"/>
  <c r="C2432" i="2" s="1"/>
  <c r="C2433" i="2" s="1"/>
  <c r="C2434" i="2" s="1"/>
  <c r="C2435" i="2" s="1"/>
  <c r="C2436" i="2" s="1"/>
  <c r="C2437" i="2" s="1"/>
  <c r="C2438" i="2" s="1"/>
  <c r="C2439" i="2" s="1"/>
  <c r="C2440" i="2" s="1"/>
  <c r="C2441" i="2" s="1"/>
  <c r="C2442" i="2" s="1"/>
  <c r="C2443" i="2" s="1"/>
  <c r="C2444" i="2" s="1"/>
  <c r="C2445" i="2" s="1"/>
  <c r="C2446" i="2" s="1"/>
  <c r="C2447" i="2" s="1"/>
  <c r="C2448" i="2" s="1"/>
  <c r="C2449" i="2" s="1"/>
  <c r="C2450" i="2" s="1"/>
  <c r="C2451" i="2" s="1"/>
  <c r="C2452" i="2" s="1"/>
  <c r="C2453" i="2" s="1"/>
  <c r="C2454" i="2" s="1"/>
  <c r="C2455" i="2" s="1"/>
  <c r="C2456" i="2" s="1"/>
  <c r="C2457" i="2" s="1"/>
  <c r="C2458" i="2" s="1"/>
  <c r="C2459" i="2" s="1"/>
  <c r="C2460" i="2" s="1"/>
  <c r="C2461" i="2" s="1"/>
  <c r="C2462" i="2" s="1"/>
  <c r="C2463" i="2" s="1"/>
  <c r="C2464" i="2" s="1"/>
  <c r="C2465" i="2" s="1"/>
  <c r="C2466" i="2" s="1"/>
  <c r="C2467" i="2" s="1"/>
  <c r="C2468" i="2" s="1"/>
  <c r="C2469" i="2" s="1"/>
  <c r="C2470" i="2" s="1"/>
  <c r="C2471" i="2" s="1"/>
  <c r="C2472" i="2" s="1"/>
  <c r="C2473" i="2" s="1"/>
  <c r="C2474" i="2" s="1"/>
  <c r="C2475" i="2" s="1"/>
  <c r="C2476" i="2" s="1"/>
  <c r="C2477" i="2" s="1"/>
  <c r="C2478" i="2" s="1"/>
  <c r="C2479" i="2" s="1"/>
  <c r="C2480" i="2" s="1"/>
  <c r="C2481" i="2" s="1"/>
  <c r="C2482" i="2" s="1"/>
  <c r="C2483" i="2" s="1"/>
  <c r="C2484" i="2" s="1"/>
  <c r="C2485" i="2" s="1"/>
  <c r="C2486" i="2" s="1"/>
  <c r="C2487" i="2" s="1"/>
  <c r="C2488" i="2" s="1"/>
  <c r="C2489" i="2" s="1"/>
  <c r="C2490" i="2" s="1"/>
  <c r="C2491" i="2" s="1"/>
  <c r="C2492" i="2" s="1"/>
  <c r="C2493" i="2" s="1"/>
  <c r="C2494" i="2" s="1"/>
  <c r="C2495" i="2" s="1"/>
  <c r="C2496" i="2" s="1"/>
  <c r="C2497" i="2" s="1"/>
  <c r="C2498" i="2" s="1"/>
  <c r="C2499" i="2" s="1"/>
  <c r="C2500" i="2" s="1"/>
  <c r="C2501" i="2" s="1"/>
  <c r="C2502" i="2" s="1"/>
  <c r="C2503" i="2" s="1"/>
  <c r="C2504" i="2" s="1"/>
  <c r="C2505" i="2" s="1"/>
  <c r="C2506" i="2" s="1"/>
  <c r="C2507" i="2" s="1"/>
  <c r="C2508" i="2" s="1"/>
  <c r="C2509" i="2" s="1"/>
  <c r="C2510" i="2" s="1"/>
  <c r="C2511" i="2" s="1"/>
  <c r="C2512" i="2" s="1"/>
  <c r="C2513" i="2" s="1"/>
  <c r="C2514" i="2" s="1"/>
  <c r="C2515" i="2" s="1"/>
  <c r="C2516" i="2" s="1"/>
  <c r="C2517" i="2" s="1"/>
  <c r="C2518" i="2" s="1"/>
  <c r="C2519" i="2" s="1"/>
  <c r="C2520" i="2" s="1"/>
  <c r="C2521" i="2" s="1"/>
  <c r="C2522" i="2" s="1"/>
  <c r="C2523" i="2" s="1"/>
  <c r="C2524" i="2" s="1"/>
  <c r="C2525" i="2" s="1"/>
  <c r="C2526" i="2" s="1"/>
  <c r="C2527" i="2" s="1"/>
  <c r="C2528" i="2" s="1"/>
  <c r="C2529" i="2" s="1"/>
  <c r="C2530" i="2" s="1"/>
  <c r="C2531" i="2" s="1"/>
  <c r="C2532" i="2" s="1"/>
  <c r="C2533" i="2" s="1"/>
  <c r="C2534" i="2" s="1"/>
  <c r="C2535" i="2" s="1"/>
  <c r="C2536" i="2" s="1"/>
  <c r="C2537" i="2" s="1"/>
  <c r="C2538" i="2" s="1"/>
  <c r="C2539" i="2" s="1"/>
  <c r="C2540" i="2" s="1"/>
  <c r="C2541" i="2" s="1"/>
  <c r="C2542" i="2" s="1"/>
  <c r="C2543" i="2" s="1"/>
  <c r="C2544" i="2" s="1"/>
  <c r="C2545" i="2" s="1"/>
  <c r="C2546" i="2" s="1"/>
  <c r="C2547" i="2" s="1"/>
  <c r="C2548" i="2" s="1"/>
  <c r="C2549" i="2" s="1"/>
  <c r="C2550" i="2" s="1"/>
  <c r="C2551" i="2" s="1"/>
  <c r="C2552" i="2" s="1"/>
  <c r="C2553" i="2" s="1"/>
  <c r="C2554" i="2" s="1"/>
  <c r="C2555" i="2" s="1"/>
  <c r="C2556" i="2" s="1"/>
  <c r="C2557" i="2" s="1"/>
  <c r="C2558" i="2" s="1"/>
  <c r="C2559" i="2" s="1"/>
  <c r="C2560" i="2" s="1"/>
  <c r="C2561" i="2" s="1"/>
  <c r="C2562" i="2" s="1"/>
  <c r="C2563" i="2" s="1"/>
  <c r="C2564" i="2" s="1"/>
  <c r="C2565" i="2" s="1"/>
  <c r="C2566" i="2" s="1"/>
  <c r="C2567" i="2" s="1"/>
  <c r="C2568" i="2" s="1"/>
  <c r="C2569" i="2" s="1"/>
  <c r="C2570" i="2" s="1"/>
  <c r="C2571" i="2" s="1"/>
  <c r="C2572" i="2" s="1"/>
  <c r="C2573" i="2" s="1"/>
  <c r="C2574" i="2" s="1"/>
  <c r="C2575" i="2" s="1"/>
  <c r="C2576" i="2" s="1"/>
  <c r="C2577" i="2" s="1"/>
  <c r="C2578" i="2" s="1"/>
  <c r="C2579" i="2" s="1"/>
  <c r="C2580" i="2" s="1"/>
  <c r="C2581" i="2" s="1"/>
  <c r="C2582" i="2" s="1"/>
  <c r="C2583" i="2" s="1"/>
  <c r="C2584" i="2" s="1"/>
  <c r="C2585" i="2" s="1"/>
  <c r="C2586" i="2" s="1"/>
  <c r="C2587" i="2" s="1"/>
  <c r="C2588" i="2" s="1"/>
  <c r="C2589" i="2" s="1"/>
  <c r="C2590" i="2" s="1"/>
  <c r="C2591" i="2" s="1"/>
  <c r="C2592" i="2" s="1"/>
  <c r="C2593" i="2" s="1"/>
  <c r="C2594" i="2" s="1"/>
  <c r="C2595" i="2" s="1"/>
  <c r="C2596" i="2" s="1"/>
  <c r="C2597" i="2" s="1"/>
  <c r="C2598" i="2" s="1"/>
  <c r="C2599" i="2" s="1"/>
  <c r="C2600" i="2" s="1"/>
  <c r="C2601" i="2" s="1"/>
  <c r="C2602" i="2" s="1"/>
  <c r="C2603" i="2" s="1"/>
  <c r="C2604" i="2" s="1"/>
  <c r="C2605" i="2" s="1"/>
  <c r="C2606" i="2" s="1"/>
  <c r="C2607" i="2" s="1"/>
  <c r="C2608" i="2" s="1"/>
  <c r="C2609" i="2" s="1"/>
  <c r="C2610" i="2" s="1"/>
  <c r="C2611" i="2" s="1"/>
  <c r="C2612" i="2" s="1"/>
  <c r="C2613" i="2" s="1"/>
  <c r="C2614" i="2" s="1"/>
  <c r="C2615" i="2" s="1"/>
  <c r="C2616" i="2" s="1"/>
  <c r="C2617" i="2" s="1"/>
  <c r="C2618" i="2" s="1"/>
  <c r="C2619" i="2" s="1"/>
  <c r="C2620" i="2" s="1"/>
  <c r="C2621" i="2" s="1"/>
  <c r="C2622" i="2" s="1"/>
  <c r="C2623" i="2" s="1"/>
  <c r="C2624" i="2" s="1"/>
  <c r="C2625" i="2" s="1"/>
  <c r="C2626" i="2" s="1"/>
  <c r="C2627" i="2" s="1"/>
  <c r="C2628" i="2" s="1"/>
  <c r="C2629" i="2" s="1"/>
  <c r="C2630" i="2" s="1"/>
  <c r="C2631" i="2" s="1"/>
  <c r="C2632" i="2" s="1"/>
  <c r="C2633" i="2" s="1"/>
  <c r="C2634" i="2" s="1"/>
  <c r="C2635" i="2" s="1"/>
  <c r="C2636" i="2" s="1"/>
  <c r="C2637" i="2" s="1"/>
  <c r="C2638" i="2" s="1"/>
  <c r="C2639" i="2" s="1"/>
  <c r="C2640" i="2" s="1"/>
  <c r="C2641" i="2" s="1"/>
  <c r="C2642" i="2" s="1"/>
  <c r="C2643" i="2" s="1"/>
  <c r="C2644" i="2" s="1"/>
  <c r="C2645" i="2" s="1"/>
  <c r="C2646" i="2" s="1"/>
  <c r="C2647" i="2" s="1"/>
  <c r="C2648" i="2" s="1"/>
  <c r="C2649" i="2" s="1"/>
  <c r="C2650" i="2" s="1"/>
  <c r="C2651" i="2" s="1"/>
  <c r="C2652" i="2" s="1"/>
  <c r="C2653" i="2" s="1"/>
  <c r="C2654" i="2" s="1"/>
  <c r="C2655" i="2" s="1"/>
  <c r="C2656" i="2" s="1"/>
  <c r="C2657" i="2" s="1"/>
  <c r="C2658" i="2" s="1"/>
  <c r="C2659" i="2" s="1"/>
  <c r="C2660" i="2" s="1"/>
  <c r="C2661" i="2" s="1"/>
  <c r="C2662" i="2" s="1"/>
  <c r="C2663" i="2" s="1"/>
  <c r="C2664" i="2" s="1"/>
  <c r="C2665" i="2" s="1"/>
  <c r="C2666" i="2" s="1"/>
  <c r="C2667" i="2" s="1"/>
  <c r="C2668" i="2" s="1"/>
  <c r="C2669" i="2" s="1"/>
  <c r="C2670" i="2" s="1"/>
  <c r="C2671" i="2" s="1"/>
  <c r="C2672" i="2" s="1"/>
  <c r="C2673" i="2" s="1"/>
  <c r="C2674" i="2" s="1"/>
  <c r="C2675" i="2" s="1"/>
  <c r="C2676" i="2" s="1"/>
  <c r="C2677" i="2" s="1"/>
  <c r="C2678" i="2" s="1"/>
  <c r="C2679" i="2" s="1"/>
  <c r="C2680" i="2" s="1"/>
  <c r="C2681" i="2" s="1"/>
  <c r="C2682" i="2" s="1"/>
  <c r="C2683" i="2" s="1"/>
  <c r="C2684" i="2" s="1"/>
  <c r="C2685" i="2" s="1"/>
  <c r="C2686" i="2" s="1"/>
  <c r="C2687" i="2" s="1"/>
  <c r="C2688" i="2" s="1"/>
  <c r="C2689" i="2" s="1"/>
  <c r="C2690" i="2" s="1"/>
  <c r="C2691" i="2" s="1"/>
  <c r="C2692" i="2" s="1"/>
  <c r="C2693" i="2" s="1"/>
  <c r="C2694" i="2" s="1"/>
  <c r="C2695" i="2" s="1"/>
  <c r="C2696" i="2" s="1"/>
  <c r="C2697" i="2" s="1"/>
  <c r="C2698" i="2" s="1"/>
  <c r="C2699" i="2" s="1"/>
  <c r="C2700" i="2" s="1"/>
  <c r="C2701" i="2" s="1"/>
  <c r="C2702" i="2" s="1"/>
  <c r="C2703" i="2" s="1"/>
  <c r="C2704" i="2" s="1"/>
  <c r="C2705" i="2" s="1"/>
  <c r="C2706" i="2" s="1"/>
  <c r="C2707" i="2" s="1"/>
  <c r="C2708" i="2" s="1"/>
  <c r="C2709" i="2" s="1"/>
  <c r="C2710" i="2" s="1"/>
  <c r="C2711" i="2" s="1"/>
  <c r="C2712" i="2" s="1"/>
  <c r="C2713" i="2" s="1"/>
  <c r="C2714" i="2" s="1"/>
  <c r="C2715" i="2" s="1"/>
  <c r="C2716" i="2" s="1"/>
  <c r="C2717" i="2" s="1"/>
  <c r="C2718" i="2" s="1"/>
  <c r="C2719" i="2" s="1"/>
  <c r="C2720" i="2" s="1"/>
  <c r="C2721" i="2" s="1"/>
  <c r="C2722" i="2" s="1"/>
  <c r="C2723" i="2" s="1"/>
  <c r="C2724" i="2" s="1"/>
  <c r="C2725" i="2" s="1"/>
  <c r="C2726" i="2" s="1"/>
  <c r="C2727" i="2" s="1"/>
  <c r="C2728" i="2" s="1"/>
  <c r="C2729" i="2" s="1"/>
  <c r="C2730" i="2" s="1"/>
  <c r="C2731" i="2" s="1"/>
  <c r="C2732" i="2" s="1"/>
  <c r="C2733" i="2" s="1"/>
  <c r="C2734" i="2" s="1"/>
  <c r="C2735" i="2" s="1"/>
  <c r="C2736" i="2" s="1"/>
  <c r="C2737" i="2" s="1"/>
  <c r="C2738" i="2" s="1"/>
  <c r="C2739" i="2" s="1"/>
  <c r="C2740" i="2" s="1"/>
  <c r="C2741" i="2" s="1"/>
  <c r="C2742" i="2" s="1"/>
  <c r="C2743" i="2" s="1"/>
  <c r="C2744" i="2" s="1"/>
  <c r="C2745" i="2" s="1"/>
  <c r="C2746" i="2" s="1"/>
  <c r="C2747" i="2" s="1"/>
  <c r="C2748" i="2" s="1"/>
  <c r="C2749" i="2" s="1"/>
  <c r="C2750" i="2" s="1"/>
  <c r="C2751" i="2" s="1"/>
  <c r="C2752" i="2" s="1"/>
  <c r="C2753" i="2" s="1"/>
  <c r="C2754" i="2" s="1"/>
  <c r="C2755" i="2" s="1"/>
  <c r="C2756" i="2" s="1"/>
  <c r="C2757" i="2" s="1"/>
  <c r="C2758" i="2" s="1"/>
  <c r="C2759" i="2" s="1"/>
  <c r="C2760" i="2" s="1"/>
  <c r="C2761" i="2" s="1"/>
  <c r="C2762" i="2" s="1"/>
  <c r="C2763" i="2" s="1"/>
  <c r="C2764" i="2" s="1"/>
  <c r="C2765" i="2" s="1"/>
  <c r="C2766" i="2" s="1"/>
  <c r="C2767" i="2" s="1"/>
  <c r="C2768" i="2" s="1"/>
  <c r="C2769" i="2" s="1"/>
  <c r="C2770" i="2" s="1"/>
  <c r="C2771" i="2" s="1"/>
  <c r="C2772" i="2" s="1"/>
  <c r="C2773" i="2" s="1"/>
  <c r="C2774" i="2" s="1"/>
  <c r="C2775" i="2" s="1"/>
  <c r="C2776" i="2" s="1"/>
  <c r="C2777" i="2" s="1"/>
  <c r="C2778" i="2" s="1"/>
  <c r="C2779" i="2" s="1"/>
  <c r="C2780" i="2" s="1"/>
  <c r="C2781" i="2" s="1"/>
  <c r="C2782" i="2" s="1"/>
  <c r="C2783" i="2" s="1"/>
  <c r="C2784" i="2" s="1"/>
  <c r="C2785" i="2" s="1"/>
  <c r="C2786" i="2" s="1"/>
  <c r="C2787" i="2" s="1"/>
  <c r="C2788" i="2" s="1"/>
  <c r="C2789" i="2" s="1"/>
  <c r="C2790" i="2" s="1"/>
  <c r="C2791" i="2" s="1"/>
  <c r="C2792" i="2" s="1"/>
  <c r="C2793" i="2" s="1"/>
  <c r="C2794" i="2" s="1"/>
  <c r="C2795" i="2" s="1"/>
  <c r="C2796" i="2" s="1"/>
  <c r="C2797" i="2" s="1"/>
  <c r="C2798" i="2" s="1"/>
  <c r="C2799" i="2" s="1"/>
  <c r="C2800" i="2" s="1"/>
  <c r="C2801" i="2" s="1"/>
  <c r="C2802" i="2" s="1"/>
  <c r="C2803" i="2" s="1"/>
  <c r="C2804" i="2" s="1"/>
  <c r="C2805" i="2" s="1"/>
  <c r="C2806" i="2" s="1"/>
  <c r="C2807" i="2" s="1"/>
  <c r="C2808" i="2" s="1"/>
  <c r="C2809" i="2" s="1"/>
  <c r="C2810" i="2" s="1"/>
  <c r="C2811" i="2" s="1"/>
  <c r="C2812" i="2" s="1"/>
  <c r="C2813" i="2" s="1"/>
  <c r="C2814" i="2" s="1"/>
  <c r="C2815" i="2" s="1"/>
  <c r="C2816" i="2" s="1"/>
  <c r="C2817" i="2" s="1"/>
  <c r="C2818" i="2" s="1"/>
  <c r="C2819" i="2" s="1"/>
  <c r="C2820" i="2" s="1"/>
  <c r="C2821" i="2" s="1"/>
  <c r="C2822" i="2" s="1"/>
  <c r="C2823" i="2" s="1"/>
  <c r="C2824" i="2" s="1"/>
  <c r="C2825" i="2" s="1"/>
  <c r="C2826" i="2" s="1"/>
  <c r="C2827" i="2" s="1"/>
  <c r="C2828" i="2" s="1"/>
  <c r="C2829" i="2" s="1"/>
  <c r="C2830" i="2" s="1"/>
  <c r="C2831" i="2" s="1"/>
  <c r="C2832" i="2" s="1"/>
  <c r="C2833" i="2" s="1"/>
  <c r="C2834" i="2" s="1"/>
  <c r="C2835" i="2" s="1"/>
  <c r="C2836" i="2" s="1"/>
  <c r="C2837" i="2" s="1"/>
  <c r="C2838" i="2" s="1"/>
  <c r="C2839" i="2" s="1"/>
  <c r="C2840" i="2" s="1"/>
  <c r="C2841" i="2" s="1"/>
  <c r="C2842" i="2" s="1"/>
  <c r="C2843" i="2" s="1"/>
  <c r="C2844" i="2" s="1"/>
  <c r="C2845" i="2" s="1"/>
  <c r="C2846" i="2" s="1"/>
  <c r="C2847" i="2" s="1"/>
  <c r="C2848" i="2" s="1"/>
  <c r="C2849" i="2" s="1"/>
  <c r="C2850" i="2" s="1"/>
  <c r="C2851" i="2" s="1"/>
  <c r="C2852" i="2" s="1"/>
  <c r="C2853" i="2" s="1"/>
  <c r="C2854" i="2" s="1"/>
  <c r="C2855" i="2" s="1"/>
  <c r="C2856" i="2" s="1"/>
  <c r="C2857" i="2" s="1"/>
  <c r="C2858" i="2" s="1"/>
  <c r="C2859" i="2" s="1"/>
  <c r="C2860" i="2" s="1"/>
  <c r="C2861" i="2" s="1"/>
  <c r="C2862" i="2" s="1"/>
  <c r="C2863" i="2" s="1"/>
  <c r="C2864" i="2" s="1"/>
  <c r="C2865" i="2" s="1"/>
  <c r="C2866" i="2" s="1"/>
  <c r="C2867" i="2" s="1"/>
  <c r="C2868" i="2" s="1"/>
  <c r="C2869" i="2" s="1"/>
  <c r="C2870" i="2" s="1"/>
  <c r="C2871" i="2" s="1"/>
  <c r="C2872" i="2" s="1"/>
  <c r="C2873" i="2" s="1"/>
  <c r="C2874" i="2" s="1"/>
  <c r="C2875" i="2" s="1"/>
  <c r="C2876" i="2" s="1"/>
  <c r="C2877" i="2" s="1"/>
  <c r="C2878" i="2" s="1"/>
  <c r="C2879" i="2" s="1"/>
  <c r="C2880" i="2" s="1"/>
  <c r="C2881" i="2" s="1"/>
  <c r="C2882" i="2" s="1"/>
  <c r="C2883" i="2" s="1"/>
  <c r="C2884" i="2" s="1"/>
  <c r="C2885" i="2" s="1"/>
  <c r="C2886" i="2" s="1"/>
  <c r="C2887" i="2" s="1"/>
  <c r="C2888" i="2" s="1"/>
  <c r="C2889" i="2" s="1"/>
  <c r="C2890" i="2" s="1"/>
  <c r="C2891" i="2" s="1"/>
  <c r="C2892" i="2" s="1"/>
  <c r="C2893" i="2" s="1"/>
  <c r="C2894" i="2" s="1"/>
  <c r="C2895" i="2" s="1"/>
  <c r="C2896" i="2" s="1"/>
  <c r="C2897" i="2" s="1"/>
  <c r="C2898" i="2" s="1"/>
  <c r="C2899" i="2" s="1"/>
  <c r="C2900" i="2" s="1"/>
  <c r="C2901" i="2" s="1"/>
  <c r="C2902" i="2" s="1"/>
  <c r="C2903" i="2" s="1"/>
  <c r="C2904" i="2" s="1"/>
  <c r="C2905" i="2" s="1"/>
  <c r="C2906" i="2" s="1"/>
  <c r="C2907" i="2" s="1"/>
  <c r="C2908" i="2" s="1"/>
  <c r="C2909" i="2" s="1"/>
  <c r="C2910" i="2" s="1"/>
  <c r="C2911" i="2" s="1"/>
  <c r="C2912" i="2" s="1"/>
  <c r="C2913" i="2" s="1"/>
  <c r="C2914" i="2" s="1"/>
  <c r="C2915" i="2" s="1"/>
  <c r="C2916" i="2" s="1"/>
  <c r="C2917" i="2" s="1"/>
  <c r="C2918" i="2" s="1"/>
  <c r="C2919" i="2" s="1"/>
  <c r="C2920" i="2" s="1"/>
  <c r="C2921" i="2" s="1"/>
  <c r="C2922" i="2" s="1"/>
  <c r="C2923" i="2" s="1"/>
  <c r="C2924" i="2" s="1"/>
  <c r="C2925" i="2" s="1"/>
  <c r="C2926" i="2" s="1"/>
  <c r="C2927" i="2" s="1"/>
  <c r="C2928" i="2" s="1"/>
  <c r="C2929" i="2" s="1"/>
  <c r="C2930" i="2" s="1"/>
  <c r="C2931" i="2" s="1"/>
  <c r="C2932" i="2" s="1"/>
  <c r="C2933" i="2" s="1"/>
  <c r="C2934" i="2" s="1"/>
  <c r="C2935" i="2" s="1"/>
  <c r="C2936" i="2" s="1"/>
  <c r="C2937" i="2" s="1"/>
  <c r="C2938" i="2" s="1"/>
  <c r="C2939" i="2" s="1"/>
  <c r="C2940" i="2" s="1"/>
  <c r="C2941" i="2" s="1"/>
  <c r="C2942" i="2" s="1"/>
  <c r="C2943" i="2" s="1"/>
  <c r="C2944" i="2" s="1"/>
  <c r="C2945" i="2" s="1"/>
  <c r="C2946" i="2" s="1"/>
  <c r="C2947" i="2" s="1"/>
  <c r="C2948" i="2" s="1"/>
  <c r="C2949" i="2" s="1"/>
  <c r="C2950" i="2" s="1"/>
  <c r="C2951" i="2" s="1"/>
  <c r="C2952" i="2" s="1"/>
  <c r="C2953" i="2" s="1"/>
  <c r="C2954" i="2" s="1"/>
  <c r="C2955" i="2" s="1"/>
  <c r="C2956" i="2" s="1"/>
  <c r="C2957" i="2" s="1"/>
  <c r="C2958" i="2" s="1"/>
  <c r="C2959" i="2" s="1"/>
  <c r="C2960" i="2" s="1"/>
  <c r="C2961" i="2" s="1"/>
  <c r="C2962" i="2" s="1"/>
  <c r="C2963" i="2" s="1"/>
  <c r="C2964" i="2" s="1"/>
  <c r="C2965" i="2" s="1"/>
  <c r="C2966" i="2" s="1"/>
  <c r="C2967" i="2" s="1"/>
  <c r="C2968" i="2" s="1"/>
  <c r="C2969" i="2" s="1"/>
  <c r="C2970" i="2" s="1"/>
  <c r="C2971" i="2" s="1"/>
  <c r="C2972" i="2" s="1"/>
  <c r="C2973" i="2" s="1"/>
  <c r="C2974" i="2" s="1"/>
  <c r="C2975" i="2" s="1"/>
  <c r="C2976" i="2" s="1"/>
  <c r="C2977" i="2" s="1"/>
  <c r="C2978" i="2" s="1"/>
  <c r="C2979" i="2" s="1"/>
  <c r="C2980" i="2" s="1"/>
  <c r="C2981" i="2" s="1"/>
  <c r="C2982" i="2" s="1"/>
  <c r="C2983" i="2" s="1"/>
  <c r="C2984" i="2" s="1"/>
  <c r="C2985" i="2" s="1"/>
  <c r="C2986" i="2" s="1"/>
  <c r="C2987" i="2" s="1"/>
  <c r="C2988" i="2" s="1"/>
  <c r="C2989" i="2" s="1"/>
  <c r="C2990" i="2" s="1"/>
  <c r="C2991" i="2" s="1"/>
  <c r="C2992" i="2" s="1"/>
  <c r="C2993" i="2" s="1"/>
  <c r="C2994" i="2" s="1"/>
  <c r="C2995" i="2" s="1"/>
  <c r="C2996" i="2" s="1"/>
  <c r="C2997" i="2" s="1"/>
  <c r="C2998" i="2" s="1"/>
  <c r="C2999" i="2" s="1"/>
  <c r="C3000" i="2" s="1"/>
  <c r="C3001" i="2" s="1"/>
  <c r="C3002" i="2" s="1"/>
  <c r="C3003" i="2" s="1"/>
  <c r="C3004" i="2" s="1"/>
  <c r="C3005" i="2" s="1"/>
  <c r="C3006" i="2" s="1"/>
  <c r="C3007" i="2" s="1"/>
  <c r="C3008" i="2" s="1"/>
  <c r="C3009" i="2" s="1"/>
  <c r="C3010" i="2" s="1"/>
  <c r="C3011" i="2" s="1"/>
  <c r="C3012" i="2" s="1"/>
  <c r="C3013" i="2" s="1"/>
  <c r="C3014" i="2" s="1"/>
  <c r="C3015" i="2" s="1"/>
  <c r="C3016" i="2" s="1"/>
  <c r="C3017" i="2" s="1"/>
  <c r="C3018" i="2" s="1"/>
  <c r="C3019" i="2" s="1"/>
  <c r="C3020" i="2" s="1"/>
  <c r="C3021" i="2" s="1"/>
  <c r="C3022" i="2" s="1"/>
  <c r="C3023" i="2" s="1"/>
  <c r="C3024" i="2" s="1"/>
  <c r="C3025" i="2" s="1"/>
  <c r="C3026" i="2" s="1"/>
  <c r="C3027" i="2" s="1"/>
  <c r="C3028" i="2" s="1"/>
  <c r="C3029" i="2" s="1"/>
  <c r="C3030" i="2" s="1"/>
  <c r="C3031" i="2" s="1"/>
  <c r="C3032" i="2" s="1"/>
  <c r="C3033" i="2" s="1"/>
  <c r="C3034" i="2" s="1"/>
  <c r="C3035" i="2" s="1"/>
  <c r="C3036" i="2" s="1"/>
  <c r="C3037" i="2" s="1"/>
  <c r="C3038" i="2" s="1"/>
  <c r="C3039" i="2" s="1"/>
  <c r="C3040" i="2" s="1"/>
  <c r="C3041" i="2" s="1"/>
  <c r="C3042" i="2" s="1"/>
  <c r="C3043" i="2" s="1"/>
  <c r="C3044" i="2" s="1"/>
  <c r="C3045" i="2" s="1"/>
  <c r="C3046" i="2" s="1"/>
  <c r="C3047" i="2" s="1"/>
  <c r="C3048" i="2" s="1"/>
  <c r="C3049" i="2" s="1"/>
  <c r="C3050" i="2" s="1"/>
  <c r="C3051" i="2" s="1"/>
  <c r="C3052" i="2" s="1"/>
  <c r="C3053" i="2" s="1"/>
  <c r="C3054" i="2" s="1"/>
  <c r="C3055" i="2" s="1"/>
  <c r="C3056" i="2" s="1"/>
  <c r="C3057" i="2" s="1"/>
  <c r="C3058" i="2" s="1"/>
  <c r="C3059" i="2" s="1"/>
  <c r="C3060" i="2" s="1"/>
  <c r="C3061" i="2" s="1"/>
  <c r="C3062" i="2" s="1"/>
  <c r="C3063" i="2" s="1"/>
  <c r="C3064" i="2" s="1"/>
  <c r="C3065" i="2" s="1"/>
  <c r="C3066" i="2" s="1"/>
  <c r="C3067" i="2" s="1"/>
  <c r="C3068" i="2" s="1"/>
  <c r="C3069" i="2" s="1"/>
  <c r="C3070" i="2" s="1"/>
  <c r="C3071" i="2" s="1"/>
  <c r="C3072" i="2" s="1"/>
  <c r="C3073" i="2" s="1"/>
  <c r="C3074" i="2" s="1"/>
  <c r="C3075" i="2" s="1"/>
  <c r="C3076" i="2" s="1"/>
  <c r="C3077" i="2" s="1"/>
  <c r="C3078" i="2" s="1"/>
  <c r="C3079" i="2" s="1"/>
  <c r="C3080" i="2" s="1"/>
  <c r="C3081" i="2" s="1"/>
  <c r="C3082" i="2" s="1"/>
  <c r="C3083" i="2" s="1"/>
  <c r="C3084" i="2" s="1"/>
  <c r="C3085" i="2" s="1"/>
  <c r="C3086" i="2" s="1"/>
  <c r="C3087" i="2" s="1"/>
  <c r="C3088" i="2" s="1"/>
  <c r="C3089" i="2" s="1"/>
  <c r="C3090" i="2" s="1"/>
  <c r="C3091" i="2" s="1"/>
  <c r="C3092" i="2" s="1"/>
  <c r="C3093" i="2" s="1"/>
  <c r="C3094" i="2" s="1"/>
  <c r="C3095" i="2" s="1"/>
  <c r="C3096" i="2" s="1"/>
  <c r="C3097" i="2" s="1"/>
  <c r="C3098" i="2" s="1"/>
  <c r="C3099" i="2" s="1"/>
  <c r="C3100" i="2" s="1"/>
  <c r="C3101" i="2" s="1"/>
  <c r="C3102" i="2" s="1"/>
  <c r="C3103" i="2" s="1"/>
  <c r="C3104" i="2" s="1"/>
  <c r="C3105" i="2" s="1"/>
  <c r="C3106" i="2" s="1"/>
  <c r="C3107" i="2" s="1"/>
  <c r="C3108" i="2" s="1"/>
  <c r="C3109" i="2" s="1"/>
  <c r="C3110" i="2" s="1"/>
  <c r="C3111" i="2" s="1"/>
  <c r="C3112" i="2" s="1"/>
  <c r="C3113" i="2" s="1"/>
  <c r="C3114" i="2" s="1"/>
  <c r="C3115" i="2" s="1"/>
  <c r="C3116" i="2" s="1"/>
  <c r="C3117" i="2" s="1"/>
  <c r="C3118" i="2" s="1"/>
  <c r="C3119" i="2" s="1"/>
  <c r="C3120" i="2" s="1"/>
  <c r="C3121" i="2" s="1"/>
  <c r="C3122" i="2" s="1"/>
  <c r="C3123" i="2" s="1"/>
  <c r="C3124" i="2" s="1"/>
  <c r="C3125" i="2" s="1"/>
  <c r="C3126" i="2" s="1"/>
  <c r="C3127" i="2" s="1"/>
  <c r="C3128" i="2" s="1"/>
  <c r="C3129" i="2" s="1"/>
  <c r="C3130" i="2" s="1"/>
  <c r="C3131" i="2" s="1"/>
  <c r="C3132" i="2" s="1"/>
  <c r="C3133" i="2" s="1"/>
  <c r="C3134" i="2" s="1"/>
  <c r="C3135" i="2" s="1"/>
  <c r="C3136" i="2" s="1"/>
  <c r="C3137" i="2" s="1"/>
  <c r="C3138" i="2" s="1"/>
  <c r="C3139" i="2" s="1"/>
  <c r="C3140" i="2" s="1"/>
  <c r="C3141" i="2" s="1"/>
  <c r="C3142" i="2" s="1"/>
  <c r="C3143" i="2" s="1"/>
  <c r="C3144" i="2" s="1"/>
  <c r="C3145" i="2" s="1"/>
  <c r="C3146" i="2" s="1"/>
  <c r="C3147" i="2" s="1"/>
  <c r="C3148" i="2" s="1"/>
  <c r="C3149" i="2" s="1"/>
  <c r="C3150" i="2" s="1"/>
  <c r="C3151" i="2" s="1"/>
  <c r="C3152" i="2" s="1"/>
  <c r="C3153" i="2" s="1"/>
  <c r="C3154" i="2" s="1"/>
  <c r="C3155" i="2" s="1"/>
  <c r="C3156" i="2" s="1"/>
  <c r="C3157" i="2" s="1"/>
  <c r="C3158" i="2" s="1"/>
  <c r="C3159" i="2" s="1"/>
  <c r="C3160" i="2" s="1"/>
  <c r="C3161" i="2" s="1"/>
  <c r="C3162" i="2" s="1"/>
  <c r="C3163" i="2" s="1"/>
  <c r="C3164" i="2" s="1"/>
  <c r="C3165" i="2" s="1"/>
  <c r="C3166" i="2" s="1"/>
  <c r="C3167" i="2" s="1"/>
  <c r="C3168" i="2" s="1"/>
  <c r="C3169" i="2" s="1"/>
  <c r="C3170" i="2" s="1"/>
  <c r="C3171" i="2" s="1"/>
  <c r="C3172" i="2" s="1"/>
  <c r="C3173" i="2" s="1"/>
  <c r="C3174" i="2" s="1"/>
  <c r="C3175" i="2" s="1"/>
  <c r="C3176" i="2" s="1"/>
  <c r="C3177" i="2" s="1"/>
  <c r="C3178" i="2" s="1"/>
  <c r="C3179" i="2" s="1"/>
  <c r="C3180" i="2" s="1"/>
  <c r="C3181" i="2" s="1"/>
  <c r="C3182" i="2" s="1"/>
  <c r="C3183" i="2" s="1"/>
  <c r="C3184" i="2" s="1"/>
  <c r="C3185" i="2" s="1"/>
  <c r="C3186" i="2" s="1"/>
  <c r="C3187" i="2" s="1"/>
  <c r="C3188" i="2" s="1"/>
  <c r="C3189" i="2" s="1"/>
  <c r="C3190" i="2" s="1"/>
  <c r="C3191" i="2" s="1"/>
  <c r="C3192" i="2" s="1"/>
  <c r="C3193" i="2" s="1"/>
  <c r="C3194" i="2" s="1"/>
  <c r="C3195" i="2" s="1"/>
  <c r="C3196" i="2" s="1"/>
  <c r="C3197" i="2" s="1"/>
  <c r="C3198" i="2" s="1"/>
  <c r="C3199" i="2" s="1"/>
  <c r="C3200" i="2" s="1"/>
  <c r="C3201" i="2" s="1"/>
  <c r="C3202" i="2" s="1"/>
  <c r="C3203" i="2" s="1"/>
  <c r="C3204" i="2" s="1"/>
  <c r="C3205" i="2" s="1"/>
  <c r="C3206" i="2" s="1"/>
  <c r="C3207" i="2" s="1"/>
  <c r="C3208" i="2" s="1"/>
  <c r="C3209" i="2" s="1"/>
  <c r="C3210" i="2" s="1"/>
  <c r="C3211" i="2" s="1"/>
  <c r="C3212" i="2" s="1"/>
  <c r="C3213" i="2" s="1"/>
  <c r="C3214" i="2" s="1"/>
  <c r="C3215" i="2" s="1"/>
  <c r="C3216" i="2" s="1"/>
  <c r="C3217" i="2" s="1"/>
  <c r="C3218" i="2" s="1"/>
  <c r="C3219" i="2" s="1"/>
  <c r="C3220" i="2" s="1"/>
  <c r="C3221" i="2" s="1"/>
  <c r="C3222" i="2" s="1"/>
  <c r="C3223" i="2" s="1"/>
  <c r="C3224" i="2" s="1"/>
  <c r="C3225" i="2" s="1"/>
  <c r="C3226" i="2" s="1"/>
  <c r="C3227" i="2" s="1"/>
  <c r="C3228" i="2" s="1"/>
  <c r="C3229" i="2" s="1"/>
  <c r="C3230" i="2" s="1"/>
  <c r="C3231" i="2" s="1"/>
  <c r="C3232" i="2" s="1"/>
  <c r="C3233" i="2" s="1"/>
  <c r="C3234" i="2" s="1"/>
  <c r="C3235" i="2" s="1"/>
  <c r="C3236" i="2" s="1"/>
  <c r="C3237" i="2" s="1"/>
  <c r="C3238" i="2" s="1"/>
  <c r="C3239" i="2" s="1"/>
  <c r="C3240" i="2" s="1"/>
  <c r="C3241" i="2" s="1"/>
  <c r="C3242" i="2" s="1"/>
  <c r="C3243" i="2" s="1"/>
  <c r="C3244" i="2" s="1"/>
  <c r="C3245" i="2" s="1"/>
  <c r="C3246" i="2" s="1"/>
  <c r="C3247" i="2" s="1"/>
  <c r="C3248" i="2" s="1"/>
  <c r="C3249" i="2" s="1"/>
  <c r="C3250" i="2" s="1"/>
  <c r="C3251" i="2" s="1"/>
  <c r="C3252" i="2" s="1"/>
  <c r="C3253" i="2" s="1"/>
  <c r="C3254" i="2" s="1"/>
  <c r="C3255" i="2" s="1"/>
  <c r="C3256" i="2" s="1"/>
  <c r="C3257" i="2" s="1"/>
  <c r="C3258" i="2" s="1"/>
  <c r="C3259" i="2" s="1"/>
  <c r="C3260" i="2" s="1"/>
  <c r="C3261" i="2" s="1"/>
  <c r="C3262" i="2" s="1"/>
  <c r="C3263" i="2" s="1"/>
  <c r="C3264" i="2" s="1"/>
  <c r="C3265" i="2" s="1"/>
  <c r="C3266" i="2" s="1"/>
  <c r="C3267" i="2" s="1"/>
  <c r="C3268" i="2" s="1"/>
  <c r="C3269" i="2" s="1"/>
  <c r="C3270" i="2" s="1"/>
  <c r="C3271" i="2" s="1"/>
  <c r="C3272" i="2" s="1"/>
  <c r="C3273" i="2" s="1"/>
  <c r="C3274" i="2" s="1"/>
  <c r="C3275" i="2" s="1"/>
  <c r="C3276" i="2" s="1"/>
  <c r="C3277" i="2" s="1"/>
  <c r="C3278" i="2" s="1"/>
  <c r="C3279" i="2" s="1"/>
  <c r="C3280" i="2" s="1"/>
  <c r="C3281" i="2" s="1"/>
  <c r="C3282" i="2" s="1"/>
  <c r="C3283" i="2" s="1"/>
  <c r="C3284" i="2" s="1"/>
  <c r="C3285" i="2" s="1"/>
  <c r="C3286" i="2" s="1"/>
  <c r="C3287" i="2" s="1"/>
  <c r="C3288" i="2" s="1"/>
  <c r="C3289" i="2" s="1"/>
  <c r="C3290" i="2" s="1"/>
  <c r="C3291" i="2" s="1"/>
  <c r="C3292" i="2" s="1"/>
  <c r="C3293" i="2" s="1"/>
  <c r="C3294" i="2" s="1"/>
  <c r="C3295" i="2" s="1"/>
  <c r="C3296" i="2" s="1"/>
  <c r="C3297" i="2" s="1"/>
  <c r="C3298" i="2" s="1"/>
  <c r="C3299" i="2" s="1"/>
  <c r="C3300" i="2" s="1"/>
  <c r="C3301" i="2" s="1"/>
  <c r="C3302" i="2" s="1"/>
  <c r="C3303" i="2" s="1"/>
  <c r="C3304" i="2" s="1"/>
  <c r="C3305" i="2" s="1"/>
  <c r="C3306" i="2" s="1"/>
  <c r="C3307" i="2" s="1"/>
  <c r="C3308" i="2" s="1"/>
  <c r="C3309" i="2" s="1"/>
  <c r="C3310" i="2" s="1"/>
  <c r="C3311" i="2" s="1"/>
  <c r="C3312" i="2" s="1"/>
  <c r="C3313" i="2" s="1"/>
  <c r="C3314" i="2" s="1"/>
  <c r="C3315" i="2" s="1"/>
  <c r="C3316" i="2" s="1"/>
  <c r="C3317" i="2" s="1"/>
  <c r="C3318" i="2" s="1"/>
  <c r="C3319" i="2" s="1"/>
  <c r="C3320" i="2" s="1"/>
  <c r="C3321" i="2" s="1"/>
  <c r="C3322" i="2" s="1"/>
  <c r="C3323" i="2" s="1"/>
  <c r="C3324" i="2" s="1"/>
  <c r="C3325" i="2" s="1"/>
  <c r="C3326" i="2" s="1"/>
  <c r="C3327" i="2" s="1"/>
  <c r="C3328" i="2" s="1"/>
  <c r="C3329" i="2" s="1"/>
  <c r="C3330" i="2" s="1"/>
  <c r="C3331" i="2" s="1"/>
  <c r="C3332" i="2" s="1"/>
  <c r="C3333" i="2" s="1"/>
  <c r="C3334" i="2" s="1"/>
  <c r="C3335" i="2" s="1"/>
  <c r="C3336" i="2" s="1"/>
  <c r="C3337" i="2" s="1"/>
  <c r="C3338" i="2" s="1"/>
  <c r="C3339" i="2" s="1"/>
  <c r="C3340" i="2" s="1"/>
  <c r="C3341" i="2" s="1"/>
  <c r="C3342" i="2" s="1"/>
  <c r="C3343" i="2" s="1"/>
  <c r="C3344" i="2" s="1"/>
  <c r="C3345" i="2" s="1"/>
  <c r="C3346" i="2" s="1"/>
  <c r="C3347" i="2" s="1"/>
  <c r="C3348" i="2" s="1"/>
  <c r="C3349" i="2" s="1"/>
  <c r="C3350" i="2" s="1"/>
  <c r="C3351" i="2" s="1"/>
  <c r="C3352" i="2" s="1"/>
  <c r="C3353" i="2" s="1"/>
  <c r="C3354" i="2" s="1"/>
  <c r="C3355" i="2" s="1"/>
  <c r="C3356" i="2" s="1"/>
  <c r="C3357" i="2" s="1"/>
  <c r="C3358" i="2" s="1"/>
  <c r="C3359" i="2" s="1"/>
  <c r="C3360" i="2" s="1"/>
  <c r="C3361" i="2" s="1"/>
  <c r="C3362" i="2" s="1"/>
  <c r="C3363" i="2" s="1"/>
  <c r="C3364" i="2" s="1"/>
  <c r="C3365" i="2" s="1"/>
  <c r="C3366" i="2" s="1"/>
  <c r="C3367" i="2" s="1"/>
  <c r="C3368" i="2" s="1"/>
  <c r="C3369" i="2" s="1"/>
  <c r="C3370" i="2" s="1"/>
  <c r="C3371" i="2" s="1"/>
  <c r="C3372" i="2" s="1"/>
  <c r="C3373" i="2" s="1"/>
  <c r="C3374" i="2" s="1"/>
  <c r="C3375" i="2" s="1"/>
  <c r="C3376" i="2" s="1"/>
  <c r="C3377" i="2" s="1"/>
  <c r="C3378" i="2" s="1"/>
  <c r="C3379" i="2" s="1"/>
  <c r="C3380" i="2" s="1"/>
  <c r="C3381" i="2" s="1"/>
  <c r="C3382" i="2" s="1"/>
  <c r="C3383" i="2" s="1"/>
  <c r="C3384" i="2" s="1"/>
  <c r="C3385" i="2" s="1"/>
  <c r="C3386" i="2" s="1"/>
  <c r="C3387" i="2" s="1"/>
  <c r="C3388" i="2" s="1"/>
  <c r="C3389" i="2" s="1"/>
  <c r="C3390" i="2" s="1"/>
  <c r="C3391" i="2" s="1"/>
  <c r="C3392" i="2" s="1"/>
  <c r="C3393" i="2" s="1"/>
  <c r="C3394" i="2" s="1"/>
  <c r="C3395" i="2" s="1"/>
  <c r="C3396" i="2" s="1"/>
  <c r="C3397" i="2" s="1"/>
  <c r="C3398" i="2" s="1"/>
  <c r="C3399" i="2" s="1"/>
  <c r="C3400" i="2" s="1"/>
  <c r="C3401" i="2" s="1"/>
  <c r="C3402" i="2" s="1"/>
  <c r="C3403" i="2" s="1"/>
  <c r="C3404" i="2" s="1"/>
  <c r="C3405" i="2" s="1"/>
  <c r="C3406" i="2" s="1"/>
  <c r="C3407" i="2" s="1"/>
  <c r="C3408" i="2" s="1"/>
  <c r="C3409" i="2" s="1"/>
  <c r="C3410" i="2" s="1"/>
  <c r="C3411" i="2" s="1"/>
  <c r="C3412" i="2" s="1"/>
  <c r="C3413" i="2" s="1"/>
  <c r="C3414" i="2" s="1"/>
  <c r="C3415" i="2" s="1"/>
  <c r="C3416" i="2" s="1"/>
  <c r="C3417" i="2" s="1"/>
  <c r="C3418" i="2" s="1"/>
  <c r="C3419" i="2" s="1"/>
  <c r="C3420" i="2" s="1"/>
  <c r="C3421" i="2" s="1"/>
  <c r="C3422" i="2" s="1"/>
  <c r="C3423" i="2" s="1"/>
  <c r="C3424" i="2" s="1"/>
  <c r="C3425" i="2" s="1"/>
  <c r="C3426" i="2" s="1"/>
  <c r="C3427" i="2" s="1"/>
  <c r="C3428" i="2" s="1"/>
  <c r="C3429" i="2" s="1"/>
  <c r="C3430" i="2" s="1"/>
  <c r="C3431" i="2" s="1"/>
  <c r="C3432" i="2" s="1"/>
  <c r="C3433" i="2" s="1"/>
  <c r="C3434" i="2" s="1"/>
  <c r="C3435" i="2" s="1"/>
  <c r="C3436" i="2" s="1"/>
  <c r="C3437" i="2" s="1"/>
  <c r="C3438" i="2" s="1"/>
  <c r="C3439" i="2" s="1"/>
  <c r="C3440" i="2" s="1"/>
  <c r="C3441" i="2" s="1"/>
  <c r="C3442" i="2" s="1"/>
  <c r="C3443" i="2" s="1"/>
  <c r="C3444" i="2" s="1"/>
  <c r="C3445" i="2" s="1"/>
  <c r="C3446" i="2" s="1"/>
  <c r="C3447" i="2" s="1"/>
  <c r="C3448" i="2" s="1"/>
  <c r="C3449" i="2" s="1"/>
  <c r="C3450" i="2" s="1"/>
  <c r="C3451" i="2" s="1"/>
  <c r="C3452" i="2" s="1"/>
  <c r="C3453" i="2" s="1"/>
  <c r="C3454" i="2" s="1"/>
  <c r="C3455" i="2" s="1"/>
  <c r="C3456" i="2" s="1"/>
  <c r="C3457" i="2" s="1"/>
  <c r="C3458" i="2" s="1"/>
  <c r="C3459" i="2" s="1"/>
  <c r="C3460" i="2" s="1"/>
  <c r="C3461" i="2" s="1"/>
  <c r="C3462" i="2" s="1"/>
  <c r="C3463" i="2" s="1"/>
  <c r="C3464" i="2" s="1"/>
  <c r="C3465" i="2" s="1"/>
  <c r="C3466" i="2" s="1"/>
  <c r="C3467" i="2" s="1"/>
  <c r="C3468" i="2" s="1"/>
  <c r="C3469" i="2" s="1"/>
  <c r="C3470" i="2" s="1"/>
  <c r="C3471" i="2" s="1"/>
  <c r="C3472" i="2" s="1"/>
  <c r="C3473" i="2" s="1"/>
  <c r="C3474" i="2" s="1"/>
  <c r="C3475" i="2" s="1"/>
  <c r="C3476" i="2" s="1"/>
  <c r="C3477" i="2" s="1"/>
  <c r="C3478" i="2" s="1"/>
  <c r="C3479" i="2" s="1"/>
  <c r="C3480" i="2" s="1"/>
  <c r="C3481" i="2" s="1"/>
  <c r="C3482" i="2" s="1"/>
  <c r="C3483" i="2" s="1"/>
  <c r="C3484" i="2" s="1"/>
  <c r="C3485" i="2" s="1"/>
  <c r="C3486" i="2" s="1"/>
  <c r="C3487" i="2" s="1"/>
  <c r="C3488" i="2" s="1"/>
  <c r="C3489" i="2" s="1"/>
  <c r="C3490" i="2" s="1"/>
  <c r="C3491" i="2" s="1"/>
  <c r="C3492" i="2" s="1"/>
  <c r="C3493" i="2" s="1"/>
  <c r="C3494" i="2" s="1"/>
  <c r="C3495" i="2" s="1"/>
  <c r="C3496" i="2" s="1"/>
  <c r="C3497" i="2" s="1"/>
  <c r="C3498" i="2" s="1"/>
  <c r="C3499" i="2" s="1"/>
  <c r="C3500" i="2" s="1"/>
  <c r="C3501" i="2" s="1"/>
  <c r="C3502" i="2" s="1"/>
  <c r="C3503" i="2" s="1"/>
  <c r="C3504" i="2" s="1"/>
  <c r="C3505" i="2" s="1"/>
  <c r="C3506" i="2" s="1"/>
  <c r="C3507" i="2" s="1"/>
  <c r="C3508" i="2" s="1"/>
  <c r="C3509" i="2" s="1"/>
  <c r="C3510" i="2" s="1"/>
  <c r="C3511" i="2" s="1"/>
  <c r="C3512" i="2" s="1"/>
  <c r="C3513" i="2" s="1"/>
  <c r="C3514" i="2" s="1"/>
  <c r="C3515" i="2" s="1"/>
  <c r="C3516" i="2" s="1"/>
  <c r="C3517" i="2" s="1"/>
  <c r="C3518" i="2" s="1"/>
  <c r="C3519" i="2" s="1"/>
  <c r="C3520" i="2" s="1"/>
  <c r="C3521" i="2" s="1"/>
  <c r="C3522" i="2" s="1"/>
  <c r="C3523" i="2" s="1"/>
  <c r="C3524" i="2" s="1"/>
  <c r="C3525" i="2" s="1"/>
  <c r="C3526" i="2" s="1"/>
  <c r="C3527" i="2" s="1"/>
  <c r="C3528" i="2" s="1"/>
  <c r="C3529" i="2" s="1"/>
  <c r="C3530" i="2" s="1"/>
  <c r="C3531" i="2" s="1"/>
  <c r="C3532" i="2" s="1"/>
  <c r="C3533" i="2" s="1"/>
  <c r="C3534" i="2" s="1"/>
  <c r="C3535" i="2" s="1"/>
  <c r="C3536" i="2" s="1"/>
  <c r="C3537" i="2" s="1"/>
  <c r="C3538" i="2" s="1"/>
  <c r="C3539" i="2" s="1"/>
  <c r="C3540" i="2" s="1"/>
  <c r="C3541" i="2" s="1"/>
  <c r="C3542" i="2" s="1"/>
  <c r="C3543" i="2" s="1"/>
  <c r="C3544" i="2" s="1"/>
  <c r="C3545" i="2" s="1"/>
  <c r="C3546" i="2" s="1"/>
  <c r="C3547" i="2" s="1"/>
  <c r="C3548" i="2" s="1"/>
  <c r="C3549" i="2" s="1"/>
  <c r="C3550" i="2" s="1"/>
  <c r="C3551" i="2" s="1"/>
  <c r="C3552" i="2" s="1"/>
  <c r="C3553" i="2" s="1"/>
  <c r="C3554" i="2" s="1"/>
  <c r="C3555" i="2" s="1"/>
  <c r="C3556" i="2" s="1"/>
  <c r="C3557" i="2" s="1"/>
  <c r="C3558" i="2" s="1"/>
  <c r="C3559" i="2" s="1"/>
  <c r="C3560" i="2" s="1"/>
  <c r="C3561" i="2" s="1"/>
  <c r="C3562" i="2" s="1"/>
  <c r="C3563" i="2" s="1"/>
  <c r="C3564" i="2" s="1"/>
  <c r="C3565" i="2" s="1"/>
  <c r="C3566" i="2" s="1"/>
  <c r="C3567" i="2" s="1"/>
  <c r="C3568" i="2" s="1"/>
  <c r="C3569" i="2" s="1"/>
  <c r="C3570" i="2" s="1"/>
  <c r="C3571" i="2" s="1"/>
  <c r="C3572" i="2" s="1"/>
  <c r="C3573" i="2" s="1"/>
  <c r="C3574" i="2" s="1"/>
  <c r="C3575" i="2" s="1"/>
  <c r="C3576" i="2" s="1"/>
  <c r="C3577" i="2" s="1"/>
  <c r="C3578" i="2" s="1"/>
  <c r="C3579" i="2" s="1"/>
  <c r="C3580" i="2" s="1"/>
  <c r="C3581" i="2" s="1"/>
  <c r="C3582" i="2" s="1"/>
  <c r="C3583" i="2" s="1"/>
  <c r="C3584" i="2" s="1"/>
  <c r="C3585" i="2" s="1"/>
  <c r="C3586" i="2" s="1"/>
  <c r="C3587" i="2" s="1"/>
  <c r="C3588" i="2" s="1"/>
  <c r="C3589" i="2" s="1"/>
  <c r="C3590" i="2" s="1"/>
  <c r="C3591" i="2" s="1"/>
  <c r="C3592" i="2" s="1"/>
  <c r="C3593" i="2" s="1"/>
  <c r="C3594" i="2" s="1"/>
  <c r="C3595" i="2" s="1"/>
  <c r="C3596" i="2" s="1"/>
  <c r="C3597" i="2" s="1"/>
  <c r="C3598" i="2" s="1"/>
  <c r="C3599" i="2" s="1"/>
  <c r="C3600" i="2" s="1"/>
  <c r="C3601" i="2" s="1"/>
  <c r="C3602" i="2" s="1"/>
  <c r="C3603" i="2" s="1"/>
  <c r="C3604" i="2" s="1"/>
  <c r="C3605" i="2" s="1"/>
  <c r="C3606" i="2" s="1"/>
  <c r="C3607" i="2" s="1"/>
  <c r="C3608" i="2" s="1"/>
  <c r="C3609" i="2" s="1"/>
  <c r="C3610" i="2" s="1"/>
  <c r="C3611" i="2" s="1"/>
  <c r="C3612" i="2" s="1"/>
  <c r="C3613" i="2" s="1"/>
  <c r="C3614" i="2" s="1"/>
  <c r="C3615" i="2" s="1"/>
  <c r="C3616" i="2" s="1"/>
  <c r="C3617" i="2" s="1"/>
  <c r="C3618" i="2" s="1"/>
  <c r="C3619" i="2" s="1"/>
  <c r="C3620" i="2" s="1"/>
  <c r="C3621" i="2" s="1"/>
  <c r="C3622" i="2" s="1"/>
  <c r="C3623" i="2" s="1"/>
  <c r="C3624" i="2" s="1"/>
  <c r="C3625" i="2" s="1"/>
  <c r="C3626" i="2" s="1"/>
  <c r="C3627" i="2" s="1"/>
  <c r="C3628" i="2" s="1"/>
  <c r="C3629" i="2" s="1"/>
  <c r="C3630" i="2" s="1"/>
  <c r="C3631" i="2" s="1"/>
  <c r="C3632" i="2" s="1"/>
  <c r="C3633" i="2" s="1"/>
  <c r="C3634" i="2" s="1"/>
  <c r="C3635" i="2" s="1"/>
  <c r="C3636" i="2" s="1"/>
  <c r="C3637" i="2" s="1"/>
  <c r="C3638" i="2" s="1"/>
  <c r="C3639" i="2" s="1"/>
  <c r="C3640" i="2" s="1"/>
  <c r="C3641" i="2" s="1"/>
  <c r="C3642" i="2" s="1"/>
  <c r="C3643" i="2" s="1"/>
  <c r="C3644" i="2" s="1"/>
  <c r="C3645" i="2" s="1"/>
  <c r="C3646" i="2" s="1"/>
  <c r="C3647" i="2" s="1"/>
  <c r="C3648" i="2" s="1"/>
  <c r="C3649" i="2" s="1"/>
  <c r="C3650" i="2" s="1"/>
  <c r="C3651" i="2" s="1"/>
  <c r="C3652" i="2" s="1"/>
  <c r="C3653" i="2" s="1"/>
  <c r="C3654" i="2" s="1"/>
  <c r="C3655" i="2" s="1"/>
  <c r="C3656" i="2" s="1"/>
  <c r="C3657" i="2" s="1"/>
  <c r="C3658" i="2" s="1"/>
  <c r="C3659" i="2" s="1"/>
  <c r="C3660" i="2" s="1"/>
  <c r="C3661" i="2" s="1"/>
  <c r="C3662" i="2" s="1"/>
  <c r="C3663" i="2" s="1"/>
  <c r="C3664" i="2" s="1"/>
  <c r="C3665" i="2" s="1"/>
  <c r="C3666" i="2" s="1"/>
  <c r="C3667" i="2" s="1"/>
  <c r="C3668" i="2" s="1"/>
  <c r="C3669" i="2" s="1"/>
  <c r="C3670" i="2" s="1"/>
  <c r="C3671" i="2" s="1"/>
  <c r="C3672" i="2" s="1"/>
  <c r="C3673" i="2" s="1"/>
  <c r="C3674" i="2" s="1"/>
  <c r="C3675" i="2" s="1"/>
  <c r="C3676" i="2" s="1"/>
  <c r="C3677" i="2" s="1"/>
  <c r="C3678" i="2" s="1"/>
  <c r="C3679" i="2" s="1"/>
  <c r="C3680" i="2" s="1"/>
  <c r="C3681" i="2" s="1"/>
  <c r="C3682" i="2" s="1"/>
  <c r="C3683" i="2" s="1"/>
  <c r="C3684" i="2" s="1"/>
  <c r="C3685" i="2" s="1"/>
  <c r="C3686" i="2" s="1"/>
  <c r="C3687" i="2" s="1"/>
  <c r="C3688" i="2" s="1"/>
  <c r="C3689" i="2" s="1"/>
  <c r="C3690" i="2" s="1"/>
  <c r="C3691" i="2" s="1"/>
  <c r="C3692" i="2" s="1"/>
  <c r="C3693" i="2" s="1"/>
  <c r="C3694" i="2" s="1"/>
  <c r="C3695" i="2" s="1"/>
  <c r="C3696" i="2" s="1"/>
  <c r="C3697" i="2" s="1"/>
  <c r="C3698" i="2" s="1"/>
  <c r="C3699" i="2" s="1"/>
  <c r="C3700" i="2" s="1"/>
  <c r="C3701" i="2" s="1"/>
  <c r="C3702" i="2" s="1"/>
  <c r="C3703" i="2" s="1"/>
  <c r="C3704" i="2" s="1"/>
  <c r="C3705" i="2" s="1"/>
  <c r="C3706" i="2" s="1"/>
  <c r="C3707" i="2" s="1"/>
  <c r="C3708" i="2" s="1"/>
  <c r="C3709" i="2" s="1"/>
  <c r="C3710" i="2" s="1"/>
  <c r="C3711" i="2" s="1"/>
  <c r="C3712" i="2" s="1"/>
  <c r="C3713" i="2" s="1"/>
  <c r="C3714" i="2" s="1"/>
  <c r="C3715" i="2" s="1"/>
  <c r="C3716" i="2" s="1"/>
  <c r="C3717" i="2" s="1"/>
  <c r="C3718" i="2" s="1"/>
  <c r="C3719" i="2" s="1"/>
  <c r="C3720" i="2" s="1"/>
  <c r="C3721" i="2" s="1"/>
  <c r="C3722" i="2" s="1"/>
  <c r="C3723" i="2" s="1"/>
  <c r="C3724" i="2" s="1"/>
  <c r="C3725" i="2" s="1"/>
  <c r="C3726" i="2" s="1"/>
  <c r="C3727" i="2" s="1"/>
  <c r="C3728" i="2" s="1"/>
  <c r="C3729" i="2" s="1"/>
  <c r="C3730" i="2" s="1"/>
  <c r="C3731" i="2" s="1"/>
  <c r="C3732" i="2" s="1"/>
  <c r="C3733" i="2" s="1"/>
  <c r="C3734" i="2" s="1"/>
  <c r="C3735" i="2" s="1"/>
  <c r="C3736" i="2" s="1"/>
  <c r="C3737" i="2" s="1"/>
  <c r="C3738" i="2" s="1"/>
  <c r="C3739" i="2" s="1"/>
  <c r="C3740" i="2" s="1"/>
  <c r="C3741" i="2" s="1"/>
  <c r="C3742" i="2" s="1"/>
  <c r="C3743" i="2" s="1"/>
  <c r="C3744" i="2" s="1"/>
  <c r="C3745" i="2" s="1"/>
  <c r="C3746" i="2" s="1"/>
  <c r="C3747" i="2" s="1"/>
  <c r="C3748" i="2" s="1"/>
  <c r="C3749" i="2" s="1"/>
  <c r="C3750" i="2" s="1"/>
  <c r="C3751" i="2" s="1"/>
  <c r="C3752" i="2" s="1"/>
  <c r="C3753" i="2" s="1"/>
  <c r="C3754" i="2" s="1"/>
  <c r="C3755" i="2" s="1"/>
  <c r="C3756" i="2" s="1"/>
  <c r="C3757" i="2" s="1"/>
  <c r="C3758" i="2" s="1"/>
  <c r="C3759" i="2" s="1"/>
  <c r="C3760" i="2" s="1"/>
  <c r="C3761" i="2" s="1"/>
  <c r="C3762" i="2" s="1"/>
  <c r="C3763" i="2" s="1"/>
  <c r="C3764" i="2" s="1"/>
  <c r="C3765" i="2" s="1"/>
  <c r="C3766" i="2" s="1"/>
  <c r="C3767" i="2" s="1"/>
  <c r="C3768" i="2" s="1"/>
  <c r="C3769" i="2" s="1"/>
  <c r="C3770" i="2" s="1"/>
  <c r="C3771" i="2" s="1"/>
  <c r="C3772" i="2" s="1"/>
  <c r="C3773" i="2" s="1"/>
  <c r="C3774" i="2" s="1"/>
  <c r="C3775" i="2" s="1"/>
  <c r="C3776" i="2" s="1"/>
  <c r="C3777" i="2" s="1"/>
  <c r="C3778" i="2" s="1"/>
  <c r="C3779" i="2" s="1"/>
  <c r="C3780" i="2" s="1"/>
  <c r="C3781" i="2" s="1"/>
  <c r="C3782" i="2" s="1"/>
  <c r="C3783" i="2" s="1"/>
  <c r="C3784" i="2" s="1"/>
  <c r="C3785" i="2" s="1"/>
  <c r="C3786" i="2" s="1"/>
  <c r="C3787" i="2" s="1"/>
  <c r="C3788" i="2" s="1"/>
  <c r="C3789" i="2" s="1"/>
  <c r="C3790" i="2" s="1"/>
  <c r="C3791" i="2" s="1"/>
  <c r="C3792" i="2" s="1"/>
  <c r="C3793" i="2" s="1"/>
  <c r="C3794" i="2" s="1"/>
  <c r="C3795" i="2" s="1"/>
  <c r="C3796" i="2" s="1"/>
  <c r="C3797" i="2" s="1"/>
  <c r="C3798" i="2" s="1"/>
  <c r="C3799" i="2" s="1"/>
  <c r="C3800" i="2" s="1"/>
  <c r="C3801" i="2" s="1"/>
  <c r="C3802" i="2" s="1"/>
  <c r="C3803" i="2" s="1"/>
  <c r="C3804" i="2" s="1"/>
  <c r="C3805" i="2" s="1"/>
  <c r="C3806" i="2" s="1"/>
  <c r="C3807" i="2" s="1"/>
  <c r="C3808" i="2" s="1"/>
  <c r="C3809" i="2" s="1"/>
  <c r="C3810" i="2" s="1"/>
  <c r="C3811" i="2" s="1"/>
  <c r="C3812" i="2" s="1"/>
  <c r="C3813" i="2" s="1"/>
  <c r="C3814" i="2" s="1"/>
  <c r="C3815" i="2" s="1"/>
  <c r="C3816" i="2" s="1"/>
  <c r="C3817" i="2" s="1"/>
  <c r="C3818" i="2" s="1"/>
  <c r="C3819" i="2" s="1"/>
  <c r="C3820" i="2" s="1"/>
  <c r="C3821" i="2" s="1"/>
  <c r="C3822" i="2" s="1"/>
  <c r="C3823" i="2" s="1"/>
  <c r="C3824" i="2" s="1"/>
  <c r="C3825" i="2" s="1"/>
  <c r="C3826" i="2" s="1"/>
  <c r="C3827" i="2" s="1"/>
  <c r="C3828" i="2" s="1"/>
  <c r="C3829" i="2" s="1"/>
  <c r="C3830" i="2" s="1"/>
  <c r="C3831" i="2" s="1"/>
  <c r="C3832" i="2" s="1"/>
  <c r="C3833" i="2" s="1"/>
  <c r="C3834" i="2" s="1"/>
  <c r="C3835" i="2" s="1"/>
  <c r="C3836" i="2" s="1"/>
  <c r="C3837" i="2" s="1"/>
  <c r="C3838" i="2" s="1"/>
  <c r="C3839" i="2" s="1"/>
  <c r="C3840" i="2" s="1"/>
  <c r="C3841" i="2" s="1"/>
  <c r="C3842" i="2" s="1"/>
  <c r="C3843" i="2" s="1"/>
  <c r="C3844" i="2" s="1"/>
  <c r="C3845" i="2" s="1"/>
  <c r="C3846" i="2" s="1"/>
  <c r="C3847" i="2" s="1"/>
  <c r="C3848" i="2" s="1"/>
  <c r="C3849" i="2" s="1"/>
  <c r="C3850" i="2" s="1"/>
  <c r="C3851" i="2" s="1"/>
  <c r="C3852" i="2" s="1"/>
  <c r="C3853" i="2" s="1"/>
  <c r="C3854" i="2" s="1"/>
  <c r="C3855" i="2" s="1"/>
  <c r="C3856" i="2" s="1"/>
  <c r="C3857" i="2" s="1"/>
  <c r="C3858" i="2" s="1"/>
  <c r="C3859" i="2" s="1"/>
  <c r="C3860" i="2" s="1"/>
  <c r="C3861" i="2" s="1"/>
  <c r="C3862" i="2" s="1"/>
  <c r="C3863" i="2" s="1"/>
  <c r="C3864" i="2" s="1"/>
  <c r="C3865" i="2" s="1"/>
  <c r="C3866" i="2" s="1"/>
  <c r="C3867" i="2" s="1"/>
  <c r="C3868" i="2" s="1"/>
  <c r="C3869" i="2" s="1"/>
  <c r="C3870" i="2" s="1"/>
  <c r="C3871" i="2" s="1"/>
  <c r="C3872" i="2" s="1"/>
  <c r="C3873" i="2" s="1"/>
  <c r="C3874" i="2" s="1"/>
  <c r="C3875" i="2" s="1"/>
  <c r="C3876" i="2" s="1"/>
  <c r="C3877" i="2" s="1"/>
  <c r="C3878" i="2" s="1"/>
  <c r="C3879" i="2" s="1"/>
  <c r="C3880" i="2" s="1"/>
  <c r="C3881" i="2" s="1"/>
  <c r="C3882" i="2" s="1"/>
  <c r="C3883" i="2" s="1"/>
  <c r="C3884" i="2" s="1"/>
  <c r="C3885" i="2" s="1"/>
  <c r="C3886" i="2" s="1"/>
  <c r="C3887" i="2" s="1"/>
  <c r="C3888" i="2" s="1"/>
  <c r="C3889" i="2" s="1"/>
  <c r="C3890" i="2" s="1"/>
  <c r="C3891" i="2" s="1"/>
  <c r="C3892" i="2" s="1"/>
  <c r="C3893" i="2" s="1"/>
  <c r="C3894" i="2" s="1"/>
  <c r="C3895" i="2" s="1"/>
  <c r="C3896" i="2" s="1"/>
  <c r="C3897" i="2" s="1"/>
  <c r="C3898" i="2" s="1"/>
  <c r="C3899" i="2" s="1"/>
  <c r="C3900" i="2" s="1"/>
  <c r="C3901" i="2" s="1"/>
  <c r="C3902" i="2" s="1"/>
  <c r="C3903" i="2" s="1"/>
  <c r="C3904" i="2" s="1"/>
  <c r="C3905" i="2" s="1"/>
  <c r="C3906" i="2" s="1"/>
  <c r="C3907" i="2" s="1"/>
  <c r="C3908" i="2" s="1"/>
  <c r="C3909" i="2" s="1"/>
  <c r="C3910" i="2" s="1"/>
  <c r="C3911" i="2" s="1"/>
  <c r="C3912" i="2" s="1"/>
  <c r="C3913" i="2" s="1"/>
  <c r="C3914" i="2" s="1"/>
  <c r="C3915" i="2" s="1"/>
  <c r="C3916" i="2" s="1"/>
  <c r="C3917" i="2" s="1"/>
  <c r="C3918" i="2" s="1"/>
  <c r="C3919" i="2" s="1"/>
  <c r="C3920" i="2" s="1"/>
  <c r="C3921" i="2" s="1"/>
  <c r="C3922" i="2" s="1"/>
  <c r="C3923" i="2" s="1"/>
  <c r="C3924" i="2" s="1"/>
  <c r="C3925" i="2" s="1"/>
  <c r="C3926" i="2" s="1"/>
  <c r="C3927" i="2" s="1"/>
  <c r="C3928" i="2" s="1"/>
  <c r="C3929" i="2" s="1"/>
  <c r="C3930" i="2" s="1"/>
  <c r="C3931" i="2" s="1"/>
  <c r="C3932" i="2" s="1"/>
  <c r="C3933" i="2" s="1"/>
  <c r="C3934" i="2" s="1"/>
  <c r="C3935" i="2" s="1"/>
  <c r="C3936" i="2" s="1"/>
  <c r="C3937" i="2" s="1"/>
  <c r="C3938" i="2" s="1"/>
  <c r="C3939" i="2" s="1"/>
  <c r="C3940" i="2" s="1"/>
  <c r="C3941" i="2" s="1"/>
  <c r="C3942" i="2" s="1"/>
  <c r="C3943" i="2" s="1"/>
  <c r="C3944" i="2" s="1"/>
  <c r="C3945" i="2" s="1"/>
  <c r="C3946" i="2" s="1"/>
  <c r="C3947" i="2" s="1"/>
  <c r="C3948" i="2" s="1"/>
  <c r="C3949" i="2" s="1"/>
  <c r="C3950" i="2" s="1"/>
  <c r="C3951" i="2" s="1"/>
  <c r="C3952" i="2" s="1"/>
  <c r="C3953" i="2" s="1"/>
  <c r="C3954" i="2" s="1"/>
  <c r="C3955" i="2" s="1"/>
  <c r="C3956" i="2" s="1"/>
  <c r="C3957" i="2" s="1"/>
  <c r="C3958" i="2" s="1"/>
  <c r="C3959" i="2" s="1"/>
  <c r="C3960" i="2" s="1"/>
  <c r="C3961" i="2" s="1"/>
  <c r="C3962" i="2" s="1"/>
  <c r="C3963" i="2" s="1"/>
  <c r="C3964" i="2" s="1"/>
  <c r="C3965" i="2" s="1"/>
  <c r="C3966" i="2" s="1"/>
  <c r="C3967" i="2" s="1"/>
  <c r="C3968" i="2" s="1"/>
  <c r="C3969" i="2" s="1"/>
  <c r="C3970" i="2" s="1"/>
  <c r="C3971" i="2" s="1"/>
  <c r="C3972" i="2" s="1"/>
  <c r="C3973" i="2" s="1"/>
  <c r="C3974" i="2" s="1"/>
  <c r="C3975" i="2" s="1"/>
  <c r="C3976" i="2" s="1"/>
  <c r="C3977" i="2" s="1"/>
  <c r="C3978" i="2" s="1"/>
  <c r="C3979" i="2" s="1"/>
  <c r="C3980" i="2" s="1"/>
  <c r="C3981" i="2" s="1"/>
  <c r="C3982" i="2" s="1"/>
  <c r="C3983" i="2" s="1"/>
  <c r="C3984" i="2" s="1"/>
  <c r="C3985" i="2" s="1"/>
  <c r="C3986" i="2" s="1"/>
  <c r="C3987" i="2" s="1"/>
  <c r="C3988" i="2" s="1"/>
  <c r="C3989" i="2" s="1"/>
  <c r="C3990" i="2" s="1"/>
  <c r="C3991" i="2" s="1"/>
  <c r="C3992" i="2" s="1"/>
  <c r="C3993" i="2" s="1"/>
  <c r="C3994" i="2" s="1"/>
  <c r="C3995" i="2" s="1"/>
  <c r="C3996" i="2" s="1"/>
  <c r="C3997" i="2" s="1"/>
  <c r="C3998" i="2" s="1"/>
  <c r="C3999" i="2" s="1"/>
  <c r="C4000" i="2" s="1"/>
  <c r="C4001" i="2" s="1"/>
  <c r="C4002" i="2" s="1"/>
  <c r="C4003" i="2" s="1"/>
  <c r="C4004" i="2" s="1"/>
  <c r="C4005" i="2" s="1"/>
  <c r="C4006" i="2" s="1"/>
  <c r="C4007" i="2" s="1"/>
  <c r="C4008" i="2" s="1"/>
  <c r="C4009" i="2" s="1"/>
  <c r="C4010" i="2" s="1"/>
  <c r="C4011" i="2" s="1"/>
  <c r="C4012" i="2" s="1"/>
  <c r="C4013" i="2" s="1"/>
  <c r="C4014" i="2" s="1"/>
  <c r="C4015" i="2" s="1"/>
  <c r="C4016" i="2" s="1"/>
  <c r="C4017" i="2" s="1"/>
  <c r="C4018" i="2" s="1"/>
  <c r="C4019" i="2" s="1"/>
  <c r="C4020" i="2" s="1"/>
  <c r="C4021" i="2" s="1"/>
  <c r="C4022" i="2" s="1"/>
  <c r="C4023" i="2" s="1"/>
  <c r="C4024" i="2" s="1"/>
  <c r="C4025" i="2" s="1"/>
  <c r="C4026" i="2" s="1"/>
  <c r="C4027" i="2" s="1"/>
  <c r="C4028" i="2" s="1"/>
  <c r="C4029" i="2" s="1"/>
  <c r="C4030" i="2" s="1"/>
  <c r="C4031" i="2" s="1"/>
  <c r="C4032" i="2" s="1"/>
  <c r="C4033" i="2" s="1"/>
  <c r="C4034" i="2" s="1"/>
  <c r="C4035" i="2" s="1"/>
  <c r="C4036" i="2" s="1"/>
  <c r="C4037" i="2" s="1"/>
  <c r="C4038" i="2" s="1"/>
  <c r="C4039" i="2" s="1"/>
  <c r="C4040" i="2" s="1"/>
  <c r="C4041" i="2" s="1"/>
  <c r="C4042" i="2" s="1"/>
  <c r="C4043" i="2" s="1"/>
  <c r="C4044" i="2" s="1"/>
  <c r="C4045" i="2" s="1"/>
  <c r="C4046" i="2" s="1"/>
  <c r="C4047" i="2" s="1"/>
  <c r="C4048" i="2" s="1"/>
  <c r="C4049" i="2" s="1"/>
  <c r="C4050" i="2" s="1"/>
  <c r="C4051" i="2" s="1"/>
  <c r="C4052" i="2" s="1"/>
  <c r="C4053" i="2" s="1"/>
  <c r="C4054" i="2" s="1"/>
  <c r="C4055" i="2" s="1"/>
  <c r="C4056" i="2" s="1"/>
  <c r="C4057" i="2" s="1"/>
  <c r="C4058" i="2" s="1"/>
  <c r="C4059" i="2" s="1"/>
  <c r="C4060" i="2" s="1"/>
  <c r="C4061" i="2" s="1"/>
  <c r="C4062" i="2" s="1"/>
  <c r="C4063" i="2" s="1"/>
  <c r="C4064" i="2" s="1"/>
  <c r="C4065" i="2" s="1"/>
  <c r="C4066" i="2" s="1"/>
  <c r="C4067" i="2" s="1"/>
  <c r="C4068" i="2" s="1"/>
  <c r="C4069" i="2" s="1"/>
  <c r="C4070" i="2" s="1"/>
  <c r="C4071" i="2" s="1"/>
  <c r="C4072" i="2" s="1"/>
  <c r="C4073" i="2" s="1"/>
  <c r="C4074" i="2" s="1"/>
  <c r="C4075" i="2" s="1"/>
  <c r="C4076" i="2" s="1"/>
  <c r="C4077" i="2" s="1"/>
  <c r="C4078" i="2" s="1"/>
  <c r="C4079" i="2" s="1"/>
  <c r="C4080" i="2" s="1"/>
  <c r="C4081" i="2" s="1"/>
  <c r="C4082" i="2" s="1"/>
  <c r="C4083" i="2" s="1"/>
  <c r="C4084" i="2" s="1"/>
  <c r="C4085" i="2" s="1"/>
  <c r="C4086" i="2" s="1"/>
  <c r="C4087" i="2" s="1"/>
  <c r="C4088" i="2" s="1"/>
  <c r="C4089" i="2" s="1"/>
  <c r="C4090" i="2" s="1"/>
  <c r="C4091" i="2" s="1"/>
  <c r="C4092" i="2" s="1"/>
  <c r="C4093" i="2" s="1"/>
  <c r="C4094" i="2" s="1"/>
  <c r="C4095" i="2" s="1"/>
  <c r="C4096" i="2" s="1"/>
  <c r="C4097" i="2" s="1"/>
  <c r="C4098" i="2" s="1"/>
  <c r="C4099" i="2" s="1"/>
  <c r="C4100" i="2" s="1"/>
  <c r="C4101" i="2" s="1"/>
  <c r="C4102" i="2" s="1"/>
  <c r="C4103" i="2" s="1"/>
  <c r="C4104" i="2" s="1"/>
  <c r="C4105" i="2" s="1"/>
  <c r="C4106" i="2" s="1"/>
  <c r="C4107" i="2" s="1"/>
  <c r="C4108" i="2" s="1"/>
  <c r="C4109" i="2" s="1"/>
  <c r="C4110" i="2" s="1"/>
  <c r="C4111" i="2" s="1"/>
  <c r="C4112" i="2" s="1"/>
  <c r="C4113" i="2" s="1"/>
  <c r="C4114" i="2" s="1"/>
  <c r="C4115" i="2" s="1"/>
  <c r="C4116" i="2" s="1"/>
  <c r="C4117" i="2" s="1"/>
  <c r="C4118" i="2" s="1"/>
  <c r="C4119" i="2" s="1"/>
  <c r="C4120" i="2" s="1"/>
  <c r="C4121" i="2" s="1"/>
  <c r="C4122" i="2" s="1"/>
  <c r="C4123" i="2" s="1"/>
  <c r="C4124" i="2" s="1"/>
  <c r="C4125" i="2" s="1"/>
  <c r="C4126" i="2" s="1"/>
  <c r="C4127" i="2" s="1"/>
  <c r="C4128" i="2" s="1"/>
  <c r="C4129" i="2" s="1"/>
  <c r="C4130" i="2" s="1"/>
  <c r="C4131" i="2" s="1"/>
  <c r="C4132" i="2" s="1"/>
  <c r="C4133" i="2" s="1"/>
  <c r="C4134" i="2" s="1"/>
  <c r="C4135" i="2" s="1"/>
  <c r="C4136" i="2" s="1"/>
  <c r="C4137" i="2" s="1"/>
  <c r="C4138" i="2" s="1"/>
  <c r="C4139" i="2" s="1"/>
  <c r="C4140" i="2" s="1"/>
  <c r="C4141" i="2" s="1"/>
  <c r="C4142" i="2" s="1"/>
  <c r="C4143" i="2" s="1"/>
  <c r="C4144" i="2" s="1"/>
  <c r="C4145" i="2" s="1"/>
  <c r="C4146" i="2" s="1"/>
  <c r="C4147" i="2" s="1"/>
  <c r="C4148" i="2" s="1"/>
  <c r="C4149" i="2" s="1"/>
  <c r="C4150" i="2" s="1"/>
  <c r="C4151" i="2" s="1"/>
  <c r="C4152" i="2" s="1"/>
  <c r="C4153" i="2" s="1"/>
  <c r="C4154" i="2" s="1"/>
  <c r="C4155" i="2" s="1"/>
  <c r="C4156" i="2" s="1"/>
  <c r="C4157" i="2" s="1"/>
  <c r="C4158" i="2" s="1"/>
  <c r="C4159" i="2" s="1"/>
  <c r="C4160" i="2" s="1"/>
  <c r="C4161" i="2" s="1"/>
  <c r="C4162" i="2" s="1"/>
  <c r="C4163" i="2" s="1"/>
  <c r="C4164" i="2" s="1"/>
  <c r="C4165" i="2" s="1"/>
  <c r="C4166" i="2" s="1"/>
  <c r="C4167" i="2" s="1"/>
  <c r="C4168" i="2" s="1"/>
  <c r="C4169" i="2" s="1"/>
  <c r="C4170" i="2" s="1"/>
  <c r="C4171" i="2" s="1"/>
  <c r="C4172" i="2" s="1"/>
  <c r="C4173" i="2" s="1"/>
  <c r="C4174" i="2" s="1"/>
  <c r="C4175" i="2" s="1"/>
  <c r="C4176" i="2" s="1"/>
  <c r="C4177" i="2" s="1"/>
  <c r="C4178" i="2" s="1"/>
  <c r="C4179" i="2" s="1"/>
  <c r="C4180" i="2" s="1"/>
  <c r="C4181" i="2" s="1"/>
  <c r="C4182" i="2" s="1"/>
  <c r="C4183" i="2" s="1"/>
  <c r="C4184" i="2" s="1"/>
  <c r="C4185" i="2" s="1"/>
  <c r="C4186" i="2" s="1"/>
  <c r="C4187" i="2" s="1"/>
  <c r="C4188" i="2" s="1"/>
  <c r="C4189" i="2" s="1"/>
  <c r="C4190" i="2" s="1"/>
  <c r="C4191" i="2" s="1"/>
  <c r="C4192" i="2" s="1"/>
  <c r="C4193" i="2" s="1"/>
  <c r="C4194" i="2" s="1"/>
  <c r="C4195" i="2" s="1"/>
  <c r="C4196" i="2" s="1"/>
  <c r="C4197" i="2" s="1"/>
  <c r="C4198" i="2" s="1"/>
  <c r="C4199" i="2" s="1"/>
  <c r="C4200" i="2" s="1"/>
  <c r="C4201" i="2" s="1"/>
  <c r="C4202" i="2" s="1"/>
  <c r="C4203" i="2" s="1"/>
  <c r="C4204" i="2" s="1"/>
  <c r="C4205" i="2" s="1"/>
  <c r="C4206" i="2" s="1"/>
  <c r="C4207" i="2" s="1"/>
  <c r="C4208" i="2" s="1"/>
  <c r="C4209" i="2" s="1"/>
  <c r="C4210" i="2" s="1"/>
  <c r="C4211" i="2" s="1"/>
  <c r="C4212" i="2" s="1"/>
  <c r="C4213" i="2" s="1"/>
  <c r="C4214" i="2" s="1"/>
  <c r="C4215" i="2" s="1"/>
  <c r="C4216" i="2" s="1"/>
  <c r="C4217" i="2" s="1"/>
  <c r="C4218" i="2" s="1"/>
  <c r="C4219" i="2" s="1"/>
  <c r="C4220" i="2" s="1"/>
  <c r="C4221" i="2" s="1"/>
  <c r="C4222" i="2" s="1"/>
  <c r="C4223" i="2" s="1"/>
  <c r="C4224" i="2" s="1"/>
  <c r="C4225" i="2" s="1"/>
  <c r="C4226" i="2" s="1"/>
  <c r="C4227" i="2" s="1"/>
  <c r="C4228" i="2" s="1"/>
  <c r="C4229" i="2" s="1"/>
  <c r="C4230" i="2" s="1"/>
  <c r="C4231" i="2" s="1"/>
  <c r="C4232" i="2" s="1"/>
  <c r="C4233" i="2" s="1"/>
  <c r="C4234" i="2" s="1"/>
  <c r="C4235" i="2" s="1"/>
  <c r="C4236" i="2" s="1"/>
  <c r="C4237" i="2" s="1"/>
  <c r="C4238" i="2" s="1"/>
  <c r="C4239" i="2" s="1"/>
  <c r="C4240" i="2" s="1"/>
  <c r="C4241" i="2" s="1"/>
  <c r="C4242" i="2" s="1"/>
  <c r="C4243" i="2" s="1"/>
  <c r="C4244" i="2" s="1"/>
  <c r="C4245" i="2" s="1"/>
  <c r="C4246" i="2" s="1"/>
  <c r="C4247" i="2" s="1"/>
  <c r="C4248" i="2" s="1"/>
  <c r="C4249" i="2" s="1"/>
  <c r="C4250" i="2" s="1"/>
  <c r="C4251" i="2" s="1"/>
  <c r="C4252" i="2" s="1"/>
  <c r="C4253" i="2" s="1"/>
  <c r="C4254" i="2" s="1"/>
  <c r="C4255" i="2" s="1"/>
  <c r="C4256" i="2" s="1"/>
  <c r="C4257" i="2" s="1"/>
  <c r="C4258" i="2" s="1"/>
  <c r="C4259" i="2" s="1"/>
  <c r="C4260" i="2" s="1"/>
  <c r="C4261" i="2" s="1"/>
  <c r="C4262" i="2" s="1"/>
  <c r="C4263" i="2" s="1"/>
  <c r="C4264" i="2" s="1"/>
  <c r="C4265" i="2" s="1"/>
  <c r="C4266" i="2" s="1"/>
  <c r="C4267" i="2" s="1"/>
  <c r="C4268" i="2" s="1"/>
  <c r="C4269" i="2" s="1"/>
  <c r="C4270" i="2" s="1"/>
  <c r="C4271" i="2" s="1"/>
  <c r="C4272" i="2" s="1"/>
  <c r="C4273" i="2" s="1"/>
  <c r="C4274" i="2" s="1"/>
  <c r="C4275" i="2" s="1"/>
  <c r="C4276" i="2" s="1"/>
  <c r="C4277" i="2" s="1"/>
  <c r="C4278" i="2" s="1"/>
  <c r="C4279" i="2" s="1"/>
  <c r="C4280" i="2" s="1"/>
  <c r="C4281" i="2" s="1"/>
  <c r="C4282" i="2" s="1"/>
  <c r="C4283" i="2" s="1"/>
  <c r="C4284" i="2" s="1"/>
  <c r="C4285" i="2" s="1"/>
  <c r="C4286" i="2" s="1"/>
  <c r="C4287" i="2" s="1"/>
  <c r="C4288" i="2" s="1"/>
  <c r="C4289" i="2" s="1"/>
  <c r="C4290" i="2" s="1"/>
  <c r="C4291" i="2" s="1"/>
  <c r="C4292" i="2" s="1"/>
  <c r="C4293" i="2" s="1"/>
  <c r="C4294" i="2" s="1"/>
  <c r="C4295" i="2" s="1"/>
  <c r="C4296" i="2" s="1"/>
  <c r="C4297" i="2" s="1"/>
  <c r="C4298" i="2" s="1"/>
  <c r="C4299" i="2" s="1"/>
  <c r="C4300" i="2" s="1"/>
  <c r="C4301" i="2" s="1"/>
  <c r="C4302" i="2" s="1"/>
  <c r="C4303" i="2" s="1"/>
  <c r="C4304" i="2" s="1"/>
  <c r="C4305" i="2" s="1"/>
  <c r="C4306" i="2" s="1"/>
  <c r="C4307" i="2" s="1"/>
  <c r="C4308" i="2" s="1"/>
  <c r="C4309" i="2" s="1"/>
  <c r="C4310" i="2" s="1"/>
  <c r="C4311" i="2" s="1"/>
  <c r="C4312" i="2" s="1"/>
  <c r="C4313" i="2" s="1"/>
  <c r="C4314" i="2" s="1"/>
  <c r="C4315" i="2" s="1"/>
  <c r="C4316" i="2" s="1"/>
  <c r="C4317" i="2" s="1"/>
  <c r="C4318" i="2" s="1"/>
  <c r="C4319" i="2" s="1"/>
  <c r="C4320" i="2" s="1"/>
  <c r="C4321" i="2" s="1"/>
  <c r="C4322" i="2" s="1"/>
  <c r="C4323" i="2" s="1"/>
  <c r="C4324" i="2" s="1"/>
  <c r="C4325" i="2" s="1"/>
  <c r="C4326" i="2" s="1"/>
  <c r="C4327" i="2" s="1"/>
  <c r="C4328" i="2" s="1"/>
  <c r="C4329" i="2" s="1"/>
  <c r="C4330" i="2" s="1"/>
  <c r="C4331" i="2" s="1"/>
  <c r="C4332" i="2" s="1"/>
  <c r="C4333" i="2" s="1"/>
  <c r="C4334" i="2" s="1"/>
  <c r="C4335" i="2" s="1"/>
  <c r="C4336" i="2" s="1"/>
  <c r="C4337" i="2" s="1"/>
  <c r="C4338" i="2" s="1"/>
  <c r="C4339" i="2" s="1"/>
  <c r="C4340" i="2" s="1"/>
  <c r="C4341" i="2" s="1"/>
  <c r="C4342" i="2" s="1"/>
  <c r="C4343" i="2" s="1"/>
  <c r="C4344" i="2" s="1"/>
  <c r="C4345" i="2" s="1"/>
  <c r="C4346" i="2" s="1"/>
  <c r="C4347" i="2" s="1"/>
  <c r="C4348" i="2" s="1"/>
  <c r="C4349" i="2" s="1"/>
  <c r="C4350" i="2" s="1"/>
  <c r="C4351" i="2" s="1"/>
  <c r="C4352" i="2" s="1"/>
  <c r="C4353" i="2" s="1"/>
  <c r="C4354" i="2" s="1"/>
  <c r="C4355" i="2" s="1"/>
  <c r="C4356" i="2" s="1"/>
  <c r="C4357" i="2" s="1"/>
  <c r="C4358" i="2" s="1"/>
  <c r="C4359" i="2" s="1"/>
  <c r="C4360" i="2" s="1"/>
  <c r="C4361" i="2" s="1"/>
  <c r="C4362" i="2" s="1"/>
  <c r="C4363" i="2" s="1"/>
  <c r="C4364" i="2" s="1"/>
  <c r="C4365" i="2" s="1"/>
  <c r="C4366" i="2" s="1"/>
  <c r="C4367" i="2" s="1"/>
  <c r="C4368" i="2" s="1"/>
  <c r="C4369" i="2" s="1"/>
  <c r="C4370" i="2" s="1"/>
  <c r="C4371" i="2" s="1"/>
  <c r="C4372" i="2" s="1"/>
  <c r="C4373" i="2" s="1"/>
  <c r="C4374" i="2" s="1"/>
  <c r="C4375" i="2" s="1"/>
  <c r="C4376" i="2" s="1"/>
  <c r="C4377" i="2" s="1"/>
  <c r="C4378" i="2" s="1"/>
  <c r="C4379" i="2" s="1"/>
  <c r="C4380" i="2" s="1"/>
  <c r="C4381" i="2" s="1"/>
  <c r="C4382" i="2" s="1"/>
  <c r="C4383" i="2" s="1"/>
  <c r="C4384" i="2" s="1"/>
  <c r="C4385" i="2" s="1"/>
  <c r="C4386" i="2" s="1"/>
  <c r="C4387" i="2" s="1"/>
  <c r="C4388" i="2" s="1"/>
  <c r="C4389" i="2" s="1"/>
  <c r="C4390" i="2" s="1"/>
  <c r="C4391" i="2" s="1"/>
  <c r="C4392" i="2" s="1"/>
  <c r="C4393" i="2" s="1"/>
  <c r="C4394" i="2" s="1"/>
  <c r="C4395" i="2" s="1"/>
  <c r="C4396" i="2" s="1"/>
  <c r="C4397" i="2" s="1"/>
  <c r="C4398" i="2" s="1"/>
  <c r="C4399" i="2" s="1"/>
  <c r="C4400" i="2" s="1"/>
  <c r="C4401" i="2" s="1"/>
  <c r="C4402" i="2" s="1"/>
  <c r="C4403" i="2" s="1"/>
  <c r="C4404" i="2" s="1"/>
  <c r="C4405" i="2" s="1"/>
  <c r="C4406" i="2" s="1"/>
  <c r="C4407" i="2" s="1"/>
  <c r="C4408" i="2" s="1"/>
  <c r="C4409" i="2" s="1"/>
  <c r="C4410" i="2" s="1"/>
  <c r="C4411" i="2" s="1"/>
  <c r="C4412" i="2" s="1"/>
  <c r="C4413" i="2" s="1"/>
  <c r="C4414" i="2" s="1"/>
  <c r="C4415" i="2" s="1"/>
  <c r="C4416" i="2" s="1"/>
  <c r="C4417" i="2" s="1"/>
  <c r="C4418" i="2" s="1"/>
  <c r="C4419" i="2" s="1"/>
  <c r="C4420" i="2" s="1"/>
  <c r="C4421" i="2" s="1"/>
  <c r="C4422" i="2" s="1"/>
  <c r="C4423" i="2" s="1"/>
  <c r="C4424" i="2" s="1"/>
  <c r="C4425" i="2" s="1"/>
  <c r="C4426" i="2" s="1"/>
  <c r="C4427" i="2" s="1"/>
  <c r="C4428" i="2" s="1"/>
  <c r="C4429" i="2" s="1"/>
  <c r="C4430" i="2" s="1"/>
  <c r="C4431" i="2" s="1"/>
  <c r="C4432" i="2" s="1"/>
  <c r="C4433" i="2" s="1"/>
  <c r="C4434" i="2" s="1"/>
  <c r="C4435" i="2" s="1"/>
  <c r="C4436" i="2" s="1"/>
  <c r="C4437" i="2" s="1"/>
  <c r="C4438" i="2" s="1"/>
  <c r="C4439" i="2" s="1"/>
  <c r="C4440" i="2" s="1"/>
  <c r="C4441" i="2" s="1"/>
  <c r="C4442" i="2" s="1"/>
  <c r="C4443" i="2" s="1"/>
  <c r="C4444" i="2" s="1"/>
  <c r="C4445" i="2" s="1"/>
  <c r="C4446" i="2" s="1"/>
  <c r="C4447" i="2" s="1"/>
  <c r="C4448" i="2" s="1"/>
  <c r="C4449" i="2" s="1"/>
  <c r="C4450" i="2" s="1"/>
  <c r="C4451" i="2" s="1"/>
  <c r="C4452" i="2" s="1"/>
  <c r="C4453" i="2" s="1"/>
  <c r="C4454" i="2" s="1"/>
  <c r="C4455" i="2" s="1"/>
  <c r="C4456" i="2" s="1"/>
  <c r="C4457" i="2" s="1"/>
  <c r="C4458" i="2" s="1"/>
  <c r="C4459" i="2" s="1"/>
  <c r="C4460" i="2" s="1"/>
  <c r="C4461" i="2" s="1"/>
  <c r="C4462" i="2" s="1"/>
  <c r="C4463" i="2" s="1"/>
  <c r="C4464" i="2" s="1"/>
  <c r="C4465" i="2" s="1"/>
  <c r="C4466" i="2" s="1"/>
  <c r="C4467" i="2" s="1"/>
  <c r="C4468" i="2" s="1"/>
  <c r="C4469" i="2" s="1"/>
  <c r="C4470" i="2" s="1"/>
  <c r="C4471" i="2" s="1"/>
  <c r="C4472" i="2" s="1"/>
  <c r="C4473" i="2" s="1"/>
  <c r="C4474" i="2" s="1"/>
  <c r="C4475" i="2" s="1"/>
  <c r="C4476" i="2" s="1"/>
  <c r="C4477" i="2" s="1"/>
  <c r="C4478" i="2" s="1"/>
  <c r="C4479" i="2" s="1"/>
  <c r="C4480" i="2" s="1"/>
  <c r="C4481" i="2" s="1"/>
  <c r="C4482" i="2" s="1"/>
  <c r="C4483" i="2" s="1"/>
  <c r="C4484" i="2" s="1"/>
  <c r="C4485" i="2" s="1"/>
  <c r="C4486" i="2" s="1"/>
  <c r="C4487" i="2" s="1"/>
  <c r="C4488" i="2" s="1"/>
  <c r="C4489" i="2" s="1"/>
  <c r="C4490" i="2" s="1"/>
  <c r="C4491" i="2" s="1"/>
  <c r="C4492" i="2" s="1"/>
  <c r="C4493" i="2" s="1"/>
  <c r="C4494" i="2" s="1"/>
  <c r="C4495" i="2" s="1"/>
  <c r="C4496" i="2" s="1"/>
  <c r="C4497" i="2" s="1"/>
  <c r="C4498" i="2" s="1"/>
  <c r="C4499" i="2" s="1"/>
  <c r="C4500" i="2" s="1"/>
  <c r="C4501" i="2" s="1"/>
  <c r="C4502" i="2" s="1"/>
  <c r="C4503" i="2" s="1"/>
  <c r="C4504" i="2" s="1"/>
  <c r="C4505" i="2" s="1"/>
  <c r="C4506" i="2" s="1"/>
  <c r="C4507" i="2" s="1"/>
  <c r="C4508" i="2" s="1"/>
  <c r="C4509" i="2" s="1"/>
  <c r="C4510" i="2" s="1"/>
  <c r="C4511" i="2" s="1"/>
  <c r="C4512" i="2" s="1"/>
  <c r="C4513" i="2" s="1"/>
  <c r="C4514" i="2" s="1"/>
  <c r="C4515" i="2" s="1"/>
  <c r="C4516" i="2" s="1"/>
  <c r="C4517" i="2" s="1"/>
  <c r="C4518" i="2" s="1"/>
  <c r="C4519" i="2" s="1"/>
  <c r="C4520" i="2" s="1"/>
  <c r="C4521" i="2" s="1"/>
  <c r="C4522" i="2" s="1"/>
  <c r="C4523" i="2" s="1"/>
  <c r="C4524" i="2" s="1"/>
  <c r="C4525" i="2" s="1"/>
  <c r="C4526" i="2" s="1"/>
  <c r="C4527" i="2" s="1"/>
  <c r="C4528" i="2" s="1"/>
  <c r="C4529" i="2" s="1"/>
  <c r="C4530" i="2" s="1"/>
  <c r="C4531" i="2" s="1"/>
  <c r="C4532" i="2" s="1"/>
  <c r="C4533" i="2" s="1"/>
  <c r="C4534" i="2" s="1"/>
  <c r="C4535" i="2" s="1"/>
  <c r="C4536" i="2" s="1"/>
  <c r="C4537" i="2" s="1"/>
  <c r="C4538" i="2" s="1"/>
  <c r="C4539" i="2" s="1"/>
  <c r="C4540" i="2" s="1"/>
  <c r="C4541" i="2" s="1"/>
  <c r="C4542" i="2" s="1"/>
  <c r="C4543" i="2" s="1"/>
  <c r="C4544" i="2" s="1"/>
  <c r="C4545" i="2" s="1"/>
  <c r="C4546" i="2" s="1"/>
  <c r="C4547" i="2" s="1"/>
  <c r="C4548" i="2" s="1"/>
  <c r="C4549" i="2" s="1"/>
  <c r="C4550" i="2" s="1"/>
  <c r="C4551" i="2" s="1"/>
  <c r="C4552" i="2" s="1"/>
  <c r="C4553" i="2" s="1"/>
  <c r="C4554" i="2" s="1"/>
  <c r="C4555" i="2" s="1"/>
  <c r="C4556" i="2" s="1"/>
  <c r="C4557" i="2" s="1"/>
  <c r="C4558" i="2" s="1"/>
  <c r="C4559" i="2" s="1"/>
  <c r="C4560" i="2" s="1"/>
  <c r="C4561" i="2" s="1"/>
  <c r="C4562" i="2" s="1"/>
  <c r="C4563" i="2" s="1"/>
  <c r="C4564" i="2" s="1"/>
  <c r="C4565" i="2" s="1"/>
  <c r="C4566" i="2" s="1"/>
  <c r="C4567" i="2" s="1"/>
  <c r="C4568" i="2" s="1"/>
  <c r="C4569" i="2" s="1"/>
  <c r="C4570" i="2" s="1"/>
  <c r="C4571" i="2" s="1"/>
  <c r="C4572" i="2" s="1"/>
  <c r="C4573" i="2" s="1"/>
  <c r="C4574" i="2" s="1"/>
  <c r="C4575" i="2" s="1"/>
  <c r="C4576" i="2" s="1"/>
  <c r="C4577" i="2" s="1"/>
  <c r="C4578" i="2" s="1"/>
  <c r="C4579" i="2" s="1"/>
  <c r="C4580" i="2" s="1"/>
  <c r="C4581" i="2" s="1"/>
  <c r="C4582" i="2" s="1"/>
  <c r="C4583" i="2" s="1"/>
  <c r="C4584" i="2" s="1"/>
  <c r="C4585" i="2" s="1"/>
  <c r="C4586" i="2" s="1"/>
  <c r="C4587" i="2" s="1"/>
  <c r="C4588" i="2" s="1"/>
  <c r="C4589" i="2" s="1"/>
  <c r="C4590" i="2" s="1"/>
  <c r="C4591" i="2" s="1"/>
  <c r="C4592" i="2" s="1"/>
  <c r="C4593" i="2" s="1"/>
  <c r="C4594" i="2" s="1"/>
  <c r="C4595" i="2" s="1"/>
  <c r="C4596" i="2" s="1"/>
  <c r="C4597" i="2" s="1"/>
  <c r="C4598" i="2" s="1"/>
  <c r="C4599" i="2" s="1"/>
  <c r="C4600" i="2" s="1"/>
  <c r="C4601" i="2" s="1"/>
  <c r="C4602" i="2" s="1"/>
  <c r="C4603" i="2" s="1"/>
  <c r="C4604" i="2" s="1"/>
  <c r="C4605" i="2" s="1"/>
  <c r="C4606" i="2" s="1"/>
  <c r="C4607" i="2" s="1"/>
  <c r="C4608" i="2" s="1"/>
  <c r="C4609" i="2" s="1"/>
  <c r="C4610" i="2" s="1"/>
  <c r="C4611" i="2" s="1"/>
  <c r="C4612" i="2" s="1"/>
  <c r="C4613" i="2" s="1"/>
  <c r="C4614" i="2" s="1"/>
  <c r="C4615" i="2" s="1"/>
  <c r="C4616" i="2" s="1"/>
  <c r="C4617" i="2" s="1"/>
  <c r="C4618" i="2" s="1"/>
  <c r="C4619" i="2" s="1"/>
  <c r="C4620" i="2" s="1"/>
  <c r="C4621" i="2" s="1"/>
  <c r="C4622" i="2" s="1"/>
  <c r="C4623" i="2" s="1"/>
  <c r="C4624" i="2" s="1"/>
  <c r="C4625" i="2" s="1"/>
  <c r="C4626" i="2" s="1"/>
  <c r="C4627" i="2" s="1"/>
  <c r="C4628" i="2" s="1"/>
  <c r="C4629" i="2" s="1"/>
  <c r="C4630" i="2" s="1"/>
  <c r="C4631" i="2" s="1"/>
  <c r="C4632" i="2" s="1"/>
  <c r="C4633" i="2" s="1"/>
  <c r="C4634" i="2" s="1"/>
  <c r="C4635" i="2" s="1"/>
  <c r="C4636" i="2" s="1"/>
  <c r="C4637" i="2" s="1"/>
  <c r="C4638" i="2" s="1"/>
  <c r="C4639" i="2" s="1"/>
  <c r="C4640" i="2" s="1"/>
  <c r="C4641" i="2" s="1"/>
  <c r="C4642" i="2" s="1"/>
  <c r="C4643" i="2" s="1"/>
  <c r="C4644" i="2" s="1"/>
  <c r="C4645" i="2" s="1"/>
  <c r="C4646" i="2" s="1"/>
  <c r="C4647" i="2" s="1"/>
  <c r="C4648" i="2" s="1"/>
  <c r="C4649" i="2" s="1"/>
  <c r="C4650" i="2" s="1"/>
  <c r="C4651" i="2" s="1"/>
  <c r="C4652" i="2" s="1"/>
  <c r="C4653" i="2" s="1"/>
  <c r="C4654" i="2" s="1"/>
  <c r="C4655" i="2" s="1"/>
  <c r="C4656" i="2" s="1"/>
  <c r="C4657" i="2" s="1"/>
  <c r="C4658" i="2" s="1"/>
  <c r="C4659" i="2" s="1"/>
  <c r="C4660" i="2" s="1"/>
  <c r="C4661" i="2" s="1"/>
  <c r="C4662" i="2" s="1"/>
  <c r="C4663" i="2" s="1"/>
  <c r="C4664" i="2" s="1"/>
  <c r="C4665" i="2" s="1"/>
  <c r="C4666" i="2" s="1"/>
  <c r="C4667" i="2" s="1"/>
  <c r="C4668" i="2" s="1"/>
  <c r="C4669" i="2" s="1"/>
  <c r="C4670" i="2" s="1"/>
  <c r="C4671" i="2" s="1"/>
  <c r="C4672" i="2" s="1"/>
  <c r="C4673" i="2" s="1"/>
  <c r="C4674" i="2" s="1"/>
  <c r="C4675" i="2" s="1"/>
  <c r="C4676" i="2" s="1"/>
  <c r="C4677" i="2" s="1"/>
  <c r="C4678" i="2" s="1"/>
  <c r="C4679" i="2" s="1"/>
  <c r="C4680" i="2" s="1"/>
  <c r="C4681" i="2" s="1"/>
  <c r="C4682" i="2" s="1"/>
  <c r="C4683" i="2" s="1"/>
  <c r="C4684" i="2" s="1"/>
  <c r="C4685" i="2" s="1"/>
  <c r="C4686" i="2" s="1"/>
  <c r="C4687" i="2" s="1"/>
  <c r="C4688" i="2" s="1"/>
  <c r="C4689" i="2" s="1"/>
  <c r="C4690" i="2" s="1"/>
  <c r="C4691" i="2" s="1"/>
  <c r="C4692" i="2" s="1"/>
  <c r="C4693" i="2" s="1"/>
  <c r="C4694" i="2" s="1"/>
  <c r="C4695" i="2" s="1"/>
  <c r="C4696" i="2" s="1"/>
  <c r="C4697" i="2" s="1"/>
  <c r="C4698" i="2" s="1"/>
  <c r="C4699" i="2" s="1"/>
  <c r="C4700" i="2" s="1"/>
  <c r="C4701" i="2" s="1"/>
  <c r="C4702" i="2" s="1"/>
  <c r="C4703" i="2" s="1"/>
  <c r="C4704" i="2" s="1"/>
  <c r="C4705" i="2" s="1"/>
  <c r="C4706" i="2" s="1"/>
  <c r="C4707" i="2" s="1"/>
  <c r="C4708" i="2" s="1"/>
  <c r="C4709" i="2" s="1"/>
  <c r="C4710" i="2" s="1"/>
  <c r="C4711" i="2" s="1"/>
  <c r="C4712" i="2" s="1"/>
  <c r="C4713" i="2" s="1"/>
  <c r="C4714" i="2" s="1"/>
  <c r="C4715" i="2" s="1"/>
  <c r="C4716" i="2" s="1"/>
  <c r="C4717" i="2" s="1"/>
  <c r="C4718" i="2" s="1"/>
  <c r="C4719" i="2" s="1"/>
  <c r="C4720" i="2" s="1"/>
  <c r="C4721" i="2" s="1"/>
  <c r="C4722" i="2" s="1"/>
  <c r="C4723" i="2" s="1"/>
  <c r="C4724" i="2" s="1"/>
  <c r="C4725" i="2" s="1"/>
  <c r="C4726" i="2" s="1"/>
  <c r="C4727" i="2" s="1"/>
  <c r="C4728" i="2" s="1"/>
  <c r="C4729" i="2" s="1"/>
  <c r="C4730" i="2" s="1"/>
  <c r="C4731" i="2" s="1"/>
  <c r="C4732" i="2" s="1"/>
  <c r="C4733" i="2" s="1"/>
  <c r="C4734" i="2" s="1"/>
  <c r="C4735" i="2" s="1"/>
  <c r="C4736" i="2" s="1"/>
  <c r="C4737" i="2" s="1"/>
  <c r="C4738" i="2" s="1"/>
  <c r="C4739" i="2" s="1"/>
  <c r="C4740" i="2" s="1"/>
  <c r="C4741" i="2" s="1"/>
  <c r="C4742" i="2" s="1"/>
  <c r="C4743" i="2" s="1"/>
  <c r="C4744" i="2" s="1"/>
  <c r="C4745" i="2" s="1"/>
  <c r="C4746" i="2" s="1"/>
  <c r="C4747" i="2" s="1"/>
  <c r="C4748" i="2" s="1"/>
  <c r="C4749" i="2" s="1"/>
  <c r="C4750" i="2" s="1"/>
  <c r="C4751" i="2" s="1"/>
  <c r="C4752" i="2" s="1"/>
  <c r="C4753" i="2" s="1"/>
  <c r="C4754" i="2" s="1"/>
  <c r="C4755" i="2" s="1"/>
  <c r="C4756" i="2" s="1"/>
  <c r="C4757" i="2" s="1"/>
  <c r="C4758" i="2" s="1"/>
  <c r="C4759" i="2" s="1"/>
  <c r="C4760" i="2" s="1"/>
  <c r="C4761" i="2" s="1"/>
  <c r="C4762" i="2" s="1"/>
  <c r="C4763" i="2" s="1"/>
  <c r="C4764" i="2" s="1"/>
  <c r="C4765" i="2" s="1"/>
  <c r="C4766" i="2" s="1"/>
  <c r="C4767" i="2" s="1"/>
  <c r="C4768" i="2" s="1"/>
  <c r="C4769" i="2" s="1"/>
  <c r="C4770" i="2" s="1"/>
  <c r="C4771" i="2" s="1"/>
  <c r="C4772" i="2" s="1"/>
  <c r="C4773" i="2" s="1"/>
  <c r="C4774" i="2" s="1"/>
  <c r="C4775" i="2" s="1"/>
  <c r="C4776" i="2" s="1"/>
  <c r="C4777" i="2" s="1"/>
  <c r="C4778" i="2" s="1"/>
  <c r="C4779" i="2" s="1"/>
  <c r="C4780" i="2" s="1"/>
  <c r="C4781" i="2" s="1"/>
  <c r="C4782" i="2" s="1"/>
  <c r="C4783" i="2" s="1"/>
  <c r="C4784" i="2" s="1"/>
  <c r="C4785" i="2" s="1"/>
  <c r="C4786" i="2" s="1"/>
  <c r="C4787" i="2" s="1"/>
  <c r="C4788" i="2" s="1"/>
  <c r="C4789" i="2" s="1"/>
  <c r="C4790" i="2" s="1"/>
  <c r="C4791" i="2" s="1"/>
  <c r="C4792" i="2" s="1"/>
  <c r="C4793" i="2" s="1"/>
  <c r="C4794" i="2" s="1"/>
  <c r="C4795" i="2" s="1"/>
  <c r="C4796" i="2" s="1"/>
  <c r="C4797" i="2" s="1"/>
  <c r="C4798" i="2" s="1"/>
  <c r="C4799" i="2" s="1"/>
  <c r="C4800" i="2" s="1"/>
  <c r="C4801" i="2" s="1"/>
  <c r="C4802" i="2" s="1"/>
  <c r="C4803" i="2" s="1"/>
  <c r="C4804" i="2" s="1"/>
  <c r="C4805" i="2" s="1"/>
  <c r="C4806" i="2" s="1"/>
  <c r="C4807" i="2" s="1"/>
  <c r="C4808" i="2" s="1"/>
  <c r="C4809" i="2" s="1"/>
  <c r="C4810" i="2" s="1"/>
  <c r="C4811" i="2" s="1"/>
  <c r="C4812" i="2" s="1"/>
  <c r="C4813" i="2" s="1"/>
  <c r="C4814" i="2" s="1"/>
  <c r="C4815" i="2" s="1"/>
  <c r="C4816" i="2" s="1"/>
  <c r="C4817" i="2" s="1"/>
  <c r="C4818" i="2" s="1"/>
  <c r="C4819" i="2" s="1"/>
  <c r="C4820" i="2" s="1"/>
  <c r="C4821" i="2" s="1"/>
  <c r="C4822" i="2" s="1"/>
  <c r="C4823" i="2" s="1"/>
  <c r="C4824" i="2" s="1"/>
  <c r="C4825" i="2" s="1"/>
  <c r="C4826" i="2" s="1"/>
  <c r="C4827" i="2" s="1"/>
  <c r="C4828" i="2" s="1"/>
  <c r="C4829" i="2" s="1"/>
  <c r="C4830" i="2" s="1"/>
  <c r="C4831" i="2" s="1"/>
  <c r="C4832" i="2" s="1"/>
  <c r="C4833" i="2" s="1"/>
  <c r="C4834" i="2" s="1"/>
  <c r="C4835" i="2" s="1"/>
  <c r="C4836" i="2" s="1"/>
  <c r="C4837" i="2" s="1"/>
  <c r="C4838" i="2" s="1"/>
  <c r="C4839" i="2" s="1"/>
  <c r="C4840" i="2" s="1"/>
  <c r="C4841" i="2" s="1"/>
  <c r="C4842" i="2" s="1"/>
  <c r="C4843" i="2" s="1"/>
  <c r="C4844" i="2" s="1"/>
  <c r="C4845" i="2" s="1"/>
  <c r="C4846" i="2" s="1"/>
  <c r="C4847" i="2" s="1"/>
  <c r="C4848" i="2" s="1"/>
  <c r="C4849" i="2" s="1"/>
  <c r="C4850" i="2" s="1"/>
  <c r="C4851" i="2" s="1"/>
  <c r="C4852" i="2" s="1"/>
  <c r="C4853" i="2" s="1"/>
  <c r="C4854" i="2" s="1"/>
  <c r="C4855" i="2" s="1"/>
  <c r="C4856" i="2" s="1"/>
  <c r="C4857" i="2" s="1"/>
  <c r="C4858" i="2" s="1"/>
  <c r="C4859" i="2" s="1"/>
  <c r="C4860" i="2" s="1"/>
  <c r="C4861" i="2" s="1"/>
  <c r="C4862" i="2" s="1"/>
  <c r="C4863" i="2" s="1"/>
  <c r="C4864" i="2" s="1"/>
  <c r="C4865" i="2" s="1"/>
  <c r="C4866" i="2" s="1"/>
  <c r="C4867" i="2" s="1"/>
  <c r="C4868" i="2" s="1"/>
  <c r="C4869" i="2" s="1"/>
  <c r="C4870" i="2" s="1"/>
  <c r="C4871" i="2" s="1"/>
  <c r="C4872" i="2" s="1"/>
  <c r="C4873" i="2" s="1"/>
  <c r="C4874" i="2" s="1"/>
  <c r="C4875" i="2" s="1"/>
  <c r="C4876" i="2" s="1"/>
  <c r="C4877" i="2" s="1"/>
  <c r="C4878" i="2" s="1"/>
  <c r="C4879" i="2" s="1"/>
  <c r="C4880" i="2" s="1"/>
  <c r="C4881" i="2" s="1"/>
  <c r="C4882" i="2" s="1"/>
  <c r="C4883" i="2" s="1"/>
  <c r="C4884" i="2" s="1"/>
  <c r="C4885" i="2" s="1"/>
  <c r="C4886" i="2" s="1"/>
  <c r="C4887" i="2" s="1"/>
  <c r="C4888" i="2" s="1"/>
  <c r="C4889" i="2" s="1"/>
  <c r="C4890" i="2" s="1"/>
  <c r="C4891" i="2" s="1"/>
  <c r="C4892" i="2" s="1"/>
  <c r="C4893" i="2" s="1"/>
  <c r="C4894" i="2" s="1"/>
  <c r="C4895" i="2" s="1"/>
  <c r="C4896" i="2" s="1"/>
  <c r="C4897" i="2" s="1"/>
  <c r="C4898" i="2" s="1"/>
  <c r="C4899" i="2" s="1"/>
  <c r="C4900" i="2" s="1"/>
  <c r="C4901" i="2" s="1"/>
  <c r="C4902" i="2" s="1"/>
  <c r="C4903" i="2" s="1"/>
  <c r="C4904" i="2" s="1"/>
  <c r="C4905" i="2" s="1"/>
  <c r="C4906" i="2" s="1"/>
  <c r="C4907" i="2" s="1"/>
  <c r="C4908" i="2" s="1"/>
  <c r="C4909" i="2" s="1"/>
  <c r="C4910" i="2" s="1"/>
  <c r="C4911" i="2" s="1"/>
  <c r="C4912" i="2" s="1"/>
  <c r="C4913" i="2" s="1"/>
  <c r="C4914" i="2" s="1"/>
  <c r="C4915" i="2" s="1"/>
  <c r="C4916" i="2" s="1"/>
  <c r="C4917" i="2" s="1"/>
  <c r="C4918" i="2" s="1"/>
  <c r="C4919" i="2" s="1"/>
  <c r="C4920" i="2" s="1"/>
  <c r="C4921" i="2" s="1"/>
  <c r="C4922" i="2" s="1"/>
  <c r="C4923" i="2" s="1"/>
  <c r="C4924" i="2" s="1"/>
  <c r="C4925" i="2" s="1"/>
  <c r="C4926" i="2" s="1"/>
  <c r="C4927" i="2" s="1"/>
  <c r="C4928" i="2" s="1"/>
  <c r="C4929" i="2" s="1"/>
  <c r="C4930" i="2" s="1"/>
  <c r="C4931" i="2" s="1"/>
  <c r="C4932" i="2" s="1"/>
  <c r="C4933" i="2" s="1"/>
  <c r="C4934" i="2" s="1"/>
  <c r="C4935" i="2" s="1"/>
  <c r="C4936" i="2" s="1"/>
  <c r="C4937" i="2" s="1"/>
  <c r="C4938" i="2" s="1"/>
  <c r="C4939" i="2" s="1"/>
  <c r="C4940" i="2" s="1"/>
  <c r="C4941" i="2" s="1"/>
  <c r="C4942" i="2" s="1"/>
  <c r="C4943" i="2" s="1"/>
  <c r="C4944" i="2" s="1"/>
  <c r="C4945" i="2" s="1"/>
  <c r="C4946" i="2" s="1"/>
  <c r="C4947" i="2" s="1"/>
  <c r="C4948" i="2" s="1"/>
  <c r="C4949" i="2" s="1"/>
  <c r="C4950" i="2" s="1"/>
  <c r="C4951" i="2" s="1"/>
  <c r="C4952" i="2" s="1"/>
  <c r="C4953" i="2" s="1"/>
  <c r="C4954" i="2" s="1"/>
  <c r="C4955" i="2" s="1"/>
  <c r="C4956" i="2" s="1"/>
  <c r="C4957" i="2" s="1"/>
  <c r="C4958" i="2" s="1"/>
  <c r="C4959" i="2" s="1"/>
  <c r="C4960" i="2" s="1"/>
  <c r="C4961" i="2" s="1"/>
  <c r="C4962" i="2" s="1"/>
  <c r="C4963" i="2" s="1"/>
  <c r="C4964" i="2" s="1"/>
  <c r="C4965" i="2" s="1"/>
  <c r="C4966" i="2" s="1"/>
  <c r="C4967" i="2" s="1"/>
  <c r="C4968" i="2" s="1"/>
  <c r="C4969" i="2" s="1"/>
  <c r="C4970" i="2" s="1"/>
  <c r="C4971" i="2" s="1"/>
  <c r="C4972" i="2" s="1"/>
  <c r="C4973" i="2" s="1"/>
  <c r="C4974" i="2" s="1"/>
  <c r="C4975" i="2" s="1"/>
  <c r="C4976" i="2" s="1"/>
  <c r="C4977" i="2" s="1"/>
  <c r="C4978" i="2" s="1"/>
  <c r="C4979" i="2" s="1"/>
  <c r="C4980" i="2" s="1"/>
  <c r="C4981" i="2" s="1"/>
  <c r="C4982" i="2" s="1"/>
  <c r="C4983" i="2" s="1"/>
  <c r="C4984" i="2" s="1"/>
  <c r="C4985" i="2" s="1"/>
  <c r="C4986" i="2" s="1"/>
  <c r="C4987" i="2" s="1"/>
  <c r="C4988" i="2" s="1"/>
  <c r="C4989" i="2" s="1"/>
  <c r="C4990" i="2" s="1"/>
  <c r="C4991" i="2" s="1"/>
  <c r="C4992" i="2" s="1"/>
  <c r="C4993" i="2" s="1"/>
  <c r="C4994" i="2" s="1"/>
  <c r="C4995" i="2" s="1"/>
  <c r="C4996" i="2" s="1"/>
  <c r="C4997" i="2" s="1"/>
  <c r="C4998" i="2" s="1"/>
  <c r="C4999" i="2" s="1"/>
  <c r="C5000" i="2" s="1"/>
  <c r="C5001" i="2" s="1"/>
  <c r="C5002" i="2" s="1"/>
  <c r="C5003" i="2" s="1"/>
  <c r="C5004" i="2" s="1"/>
  <c r="C5005" i="2" s="1"/>
  <c r="C5006" i="2" s="1"/>
  <c r="C5007" i="2" s="1"/>
  <c r="C5008" i="2" s="1"/>
  <c r="C5009" i="2" s="1"/>
  <c r="C5010" i="2" s="1"/>
  <c r="C5011" i="2" s="1"/>
  <c r="C5012" i="2" s="1"/>
  <c r="C5013" i="2" s="1"/>
  <c r="C5014" i="2" s="1"/>
  <c r="C5015" i="2" s="1"/>
  <c r="C5016" i="2" s="1"/>
  <c r="C5017" i="2" s="1"/>
  <c r="C5018" i="2" s="1"/>
  <c r="C5019" i="2" s="1"/>
  <c r="C5020" i="2" s="1"/>
  <c r="C5021" i="2" s="1"/>
  <c r="C5022" i="2" s="1"/>
  <c r="C5023" i="2" s="1"/>
  <c r="C5024" i="2" s="1"/>
  <c r="C5025" i="2" s="1"/>
  <c r="C5026" i="2" s="1"/>
  <c r="C5027" i="2" s="1"/>
  <c r="C5028" i="2" s="1"/>
  <c r="C5029" i="2" s="1"/>
  <c r="C5030" i="2" s="1"/>
  <c r="C5031" i="2" s="1"/>
  <c r="C5032" i="2" s="1"/>
  <c r="C5033" i="2" s="1"/>
  <c r="C5034" i="2" s="1"/>
  <c r="C5035" i="2" s="1"/>
  <c r="C5036" i="2" s="1"/>
  <c r="C5037" i="2" s="1"/>
  <c r="C5038" i="2" s="1"/>
  <c r="C5039" i="2" s="1"/>
  <c r="C5040" i="2" s="1"/>
  <c r="C5041" i="2" s="1"/>
  <c r="C5042" i="2" s="1"/>
  <c r="C5043" i="2" s="1"/>
  <c r="C5044" i="2" s="1"/>
  <c r="C5045" i="2" s="1"/>
  <c r="C5046" i="2" s="1"/>
  <c r="C5047" i="2" s="1"/>
  <c r="C5048" i="2" s="1"/>
  <c r="C5049" i="2" s="1"/>
  <c r="C5050" i="2" s="1"/>
  <c r="C5051" i="2" s="1"/>
  <c r="C5052" i="2" s="1"/>
  <c r="C5053" i="2" s="1"/>
  <c r="C5054" i="2" s="1"/>
  <c r="C5055" i="2" s="1"/>
  <c r="C5056" i="2" s="1"/>
  <c r="C5057" i="2" s="1"/>
  <c r="C5058" i="2" s="1"/>
  <c r="C5059" i="2" s="1"/>
  <c r="C5060" i="2" s="1"/>
  <c r="C5061" i="2" s="1"/>
  <c r="C5062" i="2" s="1"/>
  <c r="C5063" i="2" s="1"/>
  <c r="C5064" i="2" s="1"/>
  <c r="C5065" i="2" s="1"/>
  <c r="C5066" i="2" s="1"/>
  <c r="C5067" i="2" s="1"/>
  <c r="C5068" i="2" s="1"/>
  <c r="C5069" i="2" s="1"/>
  <c r="C5070" i="2" s="1"/>
  <c r="C5071" i="2" s="1"/>
  <c r="C5072" i="2" s="1"/>
  <c r="C5073" i="2" s="1"/>
  <c r="C5074" i="2" s="1"/>
  <c r="C5075" i="2" s="1"/>
  <c r="C5076" i="2" s="1"/>
  <c r="C5077" i="2" s="1"/>
  <c r="C5078" i="2" s="1"/>
  <c r="C5079" i="2" s="1"/>
  <c r="C5080" i="2" s="1"/>
  <c r="C5081" i="2" s="1"/>
  <c r="C5082" i="2" s="1"/>
  <c r="C5083" i="2" s="1"/>
  <c r="C5084" i="2" s="1"/>
  <c r="C5085" i="2" s="1"/>
  <c r="C5086" i="2" s="1"/>
  <c r="C5087" i="2" s="1"/>
  <c r="C5088" i="2" s="1"/>
  <c r="C5089" i="2" s="1"/>
  <c r="C5090" i="2" s="1"/>
  <c r="C5091" i="2" s="1"/>
  <c r="C5092" i="2" s="1"/>
  <c r="C5093" i="2" s="1"/>
  <c r="C5094" i="2" s="1"/>
  <c r="C5095" i="2" s="1"/>
  <c r="C5096" i="2" s="1"/>
  <c r="C5097" i="2" s="1"/>
  <c r="C5098" i="2" s="1"/>
  <c r="C5099" i="2" s="1"/>
  <c r="C5100" i="2" s="1"/>
  <c r="C5101" i="2" s="1"/>
  <c r="C5102" i="2" s="1"/>
  <c r="C5103" i="2" s="1"/>
  <c r="C5104" i="2" s="1"/>
  <c r="C5105" i="2" s="1"/>
  <c r="C5106" i="2" s="1"/>
  <c r="C5107" i="2" s="1"/>
  <c r="C5108" i="2" s="1"/>
  <c r="C5109" i="2" s="1"/>
  <c r="C5110" i="2" s="1"/>
  <c r="C5111" i="2" s="1"/>
  <c r="C5112" i="2" s="1"/>
  <c r="C5113" i="2" s="1"/>
  <c r="C5114" i="2" s="1"/>
  <c r="C5115" i="2" s="1"/>
  <c r="C5116" i="2" s="1"/>
  <c r="C5117" i="2" s="1"/>
  <c r="C5118" i="2" s="1"/>
  <c r="C5119" i="2" s="1"/>
  <c r="C5120" i="2" s="1"/>
  <c r="C5121" i="2" s="1"/>
  <c r="C5122" i="2" s="1"/>
  <c r="C5123" i="2" s="1"/>
  <c r="C5124" i="2" s="1"/>
  <c r="C5125" i="2" s="1"/>
  <c r="C5126" i="2" s="1"/>
  <c r="C5127" i="2" s="1"/>
  <c r="C5128" i="2" s="1"/>
  <c r="C5129" i="2" s="1"/>
  <c r="C5130" i="2" s="1"/>
  <c r="C5131" i="2" s="1"/>
  <c r="C5132" i="2" s="1"/>
  <c r="C5133" i="2" s="1"/>
  <c r="C5134" i="2" s="1"/>
  <c r="C5135" i="2" s="1"/>
  <c r="C5136" i="2" s="1"/>
  <c r="C5137" i="2" s="1"/>
  <c r="C5138" i="2" s="1"/>
  <c r="C5139" i="2" s="1"/>
  <c r="C5140" i="2" s="1"/>
  <c r="C5141" i="2" s="1"/>
  <c r="C5142" i="2" s="1"/>
  <c r="C5143" i="2" s="1"/>
  <c r="C5144" i="2" s="1"/>
  <c r="C5145" i="2" s="1"/>
  <c r="C5146" i="2" s="1"/>
  <c r="C5147" i="2" s="1"/>
  <c r="C5148" i="2" s="1"/>
  <c r="C5149" i="2" s="1"/>
  <c r="C5150" i="2" s="1"/>
  <c r="C5151" i="2" s="1"/>
  <c r="C5152" i="2" s="1"/>
  <c r="C5153" i="2" s="1"/>
  <c r="C5154" i="2" s="1"/>
  <c r="C5155" i="2" s="1"/>
  <c r="C5156" i="2" s="1"/>
  <c r="C5157" i="2" s="1"/>
  <c r="C5158" i="2" s="1"/>
  <c r="C5159" i="2" s="1"/>
  <c r="C5160" i="2" s="1"/>
  <c r="C5161" i="2" s="1"/>
  <c r="C5162" i="2" s="1"/>
  <c r="C5163" i="2" s="1"/>
  <c r="C5164" i="2" s="1"/>
  <c r="C5165" i="2" s="1"/>
  <c r="C5166" i="2" s="1"/>
  <c r="C5167" i="2" s="1"/>
  <c r="C5168" i="2" s="1"/>
  <c r="C5169" i="2" s="1"/>
  <c r="C5170" i="2" s="1"/>
  <c r="C5171" i="2" s="1"/>
  <c r="C5172" i="2" s="1"/>
  <c r="C5173" i="2" s="1"/>
  <c r="C5174" i="2" s="1"/>
  <c r="C5175" i="2" s="1"/>
  <c r="C5176" i="2" s="1"/>
  <c r="C5177" i="2" s="1"/>
  <c r="C5178" i="2" s="1"/>
  <c r="C5179" i="2" s="1"/>
  <c r="C5180" i="2" s="1"/>
  <c r="C5181" i="2" s="1"/>
  <c r="C5182" i="2" s="1"/>
  <c r="C5183" i="2" s="1"/>
  <c r="C5184" i="2" s="1"/>
  <c r="C5185" i="2" s="1"/>
  <c r="C5186" i="2" s="1"/>
  <c r="C5187" i="2" s="1"/>
  <c r="C5188" i="2" s="1"/>
  <c r="C5189" i="2" s="1"/>
  <c r="C5190" i="2" s="1"/>
  <c r="C5191" i="2" s="1"/>
  <c r="C5192" i="2" s="1"/>
  <c r="C5193" i="2" s="1"/>
  <c r="C5194" i="2" s="1"/>
  <c r="C5195" i="2" s="1"/>
  <c r="C5196" i="2" s="1"/>
  <c r="C5197" i="2" s="1"/>
  <c r="C5198" i="2" s="1"/>
  <c r="C5199" i="2" s="1"/>
  <c r="C5200" i="2" s="1"/>
  <c r="C5201" i="2" s="1"/>
  <c r="C5202" i="2" s="1"/>
  <c r="C5203" i="2" s="1"/>
  <c r="C5204" i="2" s="1"/>
  <c r="C5205" i="2" s="1"/>
  <c r="C5206" i="2" s="1"/>
  <c r="C5207" i="2" s="1"/>
  <c r="C5208" i="2" s="1"/>
  <c r="C5209" i="2" s="1"/>
  <c r="C5210" i="2" s="1"/>
  <c r="C5211" i="2" s="1"/>
  <c r="C5212" i="2" s="1"/>
  <c r="C5213" i="2" s="1"/>
  <c r="C5214" i="2" s="1"/>
  <c r="C5215" i="2" s="1"/>
  <c r="C5216" i="2" s="1"/>
  <c r="C5217" i="2" s="1"/>
  <c r="C5218" i="2" s="1"/>
  <c r="C5219" i="2" s="1"/>
  <c r="C5220" i="2" s="1"/>
  <c r="C5221" i="2" s="1"/>
  <c r="C5222" i="2" s="1"/>
  <c r="C5223" i="2" s="1"/>
  <c r="C5224" i="2" s="1"/>
  <c r="C5225" i="2" s="1"/>
  <c r="C5226" i="2" s="1"/>
  <c r="C5227" i="2" s="1"/>
  <c r="C5228" i="2" s="1"/>
  <c r="C5229" i="2" s="1"/>
  <c r="C5230" i="2" s="1"/>
  <c r="C5231" i="2" s="1"/>
  <c r="C5232" i="2" s="1"/>
  <c r="C5233" i="2" s="1"/>
  <c r="C5234" i="2" s="1"/>
  <c r="C5235" i="2" s="1"/>
  <c r="C5236" i="2" s="1"/>
  <c r="C5237" i="2" s="1"/>
  <c r="C5238" i="2" s="1"/>
  <c r="C5239" i="2" s="1"/>
  <c r="C5240" i="2" s="1"/>
  <c r="C5241" i="2" s="1"/>
  <c r="C5242" i="2" s="1"/>
  <c r="C5243" i="2" s="1"/>
  <c r="C5244" i="2" s="1"/>
  <c r="C5245" i="2" s="1"/>
  <c r="C5246" i="2" s="1"/>
  <c r="C5247" i="2" s="1"/>
  <c r="C5248" i="2" s="1"/>
  <c r="C5249" i="2" s="1"/>
  <c r="C5250" i="2" s="1"/>
  <c r="C5251" i="2" s="1"/>
  <c r="C5252" i="2" s="1"/>
  <c r="C5253" i="2" s="1"/>
  <c r="C5254" i="2" s="1"/>
  <c r="C5255" i="2" s="1"/>
  <c r="C5256" i="2" s="1"/>
  <c r="C5257" i="2" s="1"/>
  <c r="C5258" i="2" s="1"/>
  <c r="C5259" i="2" s="1"/>
  <c r="C5260" i="2" s="1"/>
  <c r="C5261" i="2" s="1"/>
  <c r="C5262" i="2" s="1"/>
  <c r="C5263" i="2" s="1"/>
  <c r="C5264" i="2" s="1"/>
  <c r="C5265" i="2" s="1"/>
  <c r="C5266" i="2" s="1"/>
  <c r="C5267" i="2" s="1"/>
  <c r="C5268" i="2" s="1"/>
  <c r="C5269" i="2" s="1"/>
  <c r="C5270" i="2" s="1"/>
  <c r="C5271" i="2" s="1"/>
  <c r="C5272" i="2" s="1"/>
  <c r="C5273" i="2" s="1"/>
  <c r="C5274" i="2" s="1"/>
  <c r="C5275" i="2" s="1"/>
  <c r="C5276" i="2" s="1"/>
  <c r="C5277" i="2" s="1"/>
  <c r="C5278" i="2" s="1"/>
  <c r="C5279" i="2" s="1"/>
  <c r="C5280" i="2" s="1"/>
  <c r="C5281" i="2" s="1"/>
  <c r="C5282" i="2" s="1"/>
  <c r="C5283" i="2" s="1"/>
  <c r="C5284" i="2" s="1"/>
  <c r="C5285" i="2" s="1"/>
  <c r="C5286" i="2" s="1"/>
  <c r="C5287" i="2" s="1"/>
  <c r="C5288" i="2" s="1"/>
  <c r="C5289" i="2" s="1"/>
  <c r="C5290" i="2" s="1"/>
  <c r="C5291" i="2" s="1"/>
  <c r="C5292" i="2" s="1"/>
  <c r="C5293" i="2" s="1"/>
  <c r="C5294" i="2" s="1"/>
  <c r="C5295" i="2" s="1"/>
  <c r="C5296" i="2" s="1"/>
  <c r="C5297" i="2" s="1"/>
  <c r="C5298" i="2" s="1"/>
  <c r="C5299" i="2" s="1"/>
  <c r="C5300" i="2" s="1"/>
  <c r="C5301" i="2" s="1"/>
  <c r="C5302" i="2" s="1"/>
  <c r="C5303" i="2" s="1"/>
  <c r="C5304" i="2" s="1"/>
  <c r="C5305" i="2" s="1"/>
  <c r="C5306" i="2" s="1"/>
  <c r="C5307" i="2" s="1"/>
  <c r="C5308" i="2" s="1"/>
  <c r="C5309" i="2" s="1"/>
  <c r="C5310" i="2" s="1"/>
  <c r="C5311" i="2" s="1"/>
  <c r="C5312" i="2" s="1"/>
  <c r="C5313" i="2" s="1"/>
  <c r="C5314" i="2" s="1"/>
  <c r="C5315" i="2" s="1"/>
  <c r="C5316" i="2" s="1"/>
  <c r="C5317" i="2" s="1"/>
  <c r="C5318" i="2" s="1"/>
  <c r="C5319" i="2" s="1"/>
  <c r="C5320" i="2" s="1"/>
  <c r="C5321" i="2" s="1"/>
  <c r="C5322" i="2" s="1"/>
  <c r="C5323" i="2" s="1"/>
  <c r="C5324" i="2" s="1"/>
  <c r="C5325" i="2" s="1"/>
  <c r="C5326" i="2" s="1"/>
  <c r="C5327" i="2" s="1"/>
  <c r="C5328" i="2" s="1"/>
  <c r="C5329" i="2" s="1"/>
  <c r="C5330" i="2" s="1"/>
  <c r="C5331" i="2" s="1"/>
  <c r="C5332" i="2" s="1"/>
  <c r="C5333" i="2" s="1"/>
  <c r="C5334" i="2" s="1"/>
  <c r="C5335" i="2" s="1"/>
  <c r="C5336" i="2" s="1"/>
  <c r="C5337" i="2" s="1"/>
  <c r="C5338" i="2" s="1"/>
  <c r="C5339" i="2" s="1"/>
  <c r="C5340" i="2" s="1"/>
  <c r="C5341" i="2" s="1"/>
  <c r="C5342" i="2" s="1"/>
  <c r="C5343" i="2" s="1"/>
  <c r="C5344" i="2" s="1"/>
  <c r="C5345" i="2" s="1"/>
  <c r="C5346" i="2" s="1"/>
  <c r="C5347" i="2" s="1"/>
  <c r="C5348" i="2" s="1"/>
  <c r="C5349" i="2" s="1"/>
  <c r="C5350" i="2" s="1"/>
  <c r="C5351" i="2" s="1"/>
  <c r="C5352" i="2" s="1"/>
  <c r="C5353" i="2" s="1"/>
  <c r="C5354" i="2" s="1"/>
  <c r="C5355" i="2" s="1"/>
  <c r="C5356" i="2" s="1"/>
  <c r="C5357" i="2" s="1"/>
  <c r="C5358" i="2" s="1"/>
  <c r="C5359" i="2" s="1"/>
  <c r="C5360" i="2" s="1"/>
  <c r="C5361" i="2" s="1"/>
  <c r="C5362" i="2" s="1"/>
  <c r="C5363" i="2" s="1"/>
  <c r="C5364" i="2" s="1"/>
  <c r="C5365" i="2" s="1"/>
  <c r="C5366" i="2" s="1"/>
  <c r="C5367" i="2" s="1"/>
  <c r="C5368" i="2" s="1"/>
  <c r="C5369" i="2" s="1"/>
  <c r="C5370" i="2" s="1"/>
  <c r="C5371" i="2" s="1"/>
  <c r="C5372" i="2" s="1"/>
  <c r="C5373" i="2" s="1"/>
  <c r="C5374" i="2" s="1"/>
  <c r="C5375" i="2" s="1"/>
  <c r="C5376" i="2" s="1"/>
  <c r="C5377" i="2" s="1"/>
  <c r="C5378" i="2" s="1"/>
  <c r="C5379" i="2" s="1"/>
  <c r="C5380" i="2" s="1"/>
  <c r="C5381" i="2" s="1"/>
  <c r="C5382" i="2" s="1"/>
  <c r="C5383" i="2" s="1"/>
  <c r="C5384" i="2" s="1"/>
  <c r="C5385" i="2" s="1"/>
  <c r="C5386" i="2" s="1"/>
  <c r="C5387" i="2" s="1"/>
  <c r="C5388" i="2" s="1"/>
  <c r="C5389" i="2" s="1"/>
  <c r="C5390" i="2" s="1"/>
  <c r="C5391" i="2" s="1"/>
  <c r="C5392" i="2" s="1"/>
  <c r="C5393" i="2" s="1"/>
  <c r="C5394" i="2" s="1"/>
  <c r="C5395" i="2" s="1"/>
  <c r="C5396" i="2" s="1"/>
  <c r="C5397" i="2" s="1"/>
  <c r="C5398" i="2" s="1"/>
  <c r="C5399" i="2" s="1"/>
  <c r="C5400" i="2" s="1"/>
  <c r="C5401" i="2" s="1"/>
  <c r="C5402" i="2" s="1"/>
  <c r="C5403" i="2" s="1"/>
  <c r="C5404" i="2" s="1"/>
  <c r="C5405" i="2" s="1"/>
  <c r="C5406" i="2" s="1"/>
  <c r="C5407" i="2" s="1"/>
  <c r="C5408" i="2" s="1"/>
  <c r="C5409" i="2" s="1"/>
  <c r="C5410" i="2" s="1"/>
  <c r="C5411" i="2" s="1"/>
  <c r="C5412" i="2" s="1"/>
  <c r="C5413" i="2" s="1"/>
  <c r="C5414" i="2" s="1"/>
  <c r="C5415" i="2" s="1"/>
  <c r="C5416" i="2" s="1"/>
  <c r="C5417" i="2" s="1"/>
  <c r="C5418" i="2" s="1"/>
  <c r="C5419" i="2" s="1"/>
  <c r="C5420" i="2" s="1"/>
  <c r="C5421" i="2" s="1"/>
  <c r="C5422" i="2" s="1"/>
  <c r="C5423" i="2" s="1"/>
  <c r="C5424" i="2" s="1"/>
  <c r="C5425" i="2" s="1"/>
  <c r="C5426" i="2" s="1"/>
  <c r="C5427" i="2" s="1"/>
  <c r="C5428" i="2" s="1"/>
  <c r="C5429" i="2" s="1"/>
  <c r="C5430" i="2" s="1"/>
  <c r="C5431" i="2" s="1"/>
  <c r="C5432" i="2" s="1"/>
  <c r="C5433" i="2" s="1"/>
  <c r="C5434" i="2" s="1"/>
  <c r="C5435" i="2" s="1"/>
  <c r="C5436" i="2" s="1"/>
  <c r="C5437" i="2" s="1"/>
  <c r="C5438" i="2" s="1"/>
  <c r="C5439" i="2" s="1"/>
  <c r="C5440" i="2" s="1"/>
  <c r="C5441" i="2" s="1"/>
  <c r="C5442" i="2" s="1"/>
  <c r="C5443" i="2" s="1"/>
  <c r="C5444" i="2" s="1"/>
  <c r="C5445" i="2" s="1"/>
  <c r="C5446" i="2" s="1"/>
  <c r="C5447" i="2" s="1"/>
  <c r="C5448" i="2" s="1"/>
  <c r="C5449" i="2" s="1"/>
  <c r="C5450" i="2" s="1"/>
  <c r="C5451" i="2" s="1"/>
  <c r="C5452" i="2" s="1"/>
  <c r="C5453" i="2" s="1"/>
  <c r="C5454" i="2" s="1"/>
  <c r="C5455" i="2" s="1"/>
  <c r="C5456" i="2" s="1"/>
  <c r="C5457" i="2" s="1"/>
  <c r="C5458" i="2" s="1"/>
  <c r="C5459" i="2" s="1"/>
  <c r="C5460" i="2" s="1"/>
  <c r="C5461" i="2" s="1"/>
  <c r="C5462" i="2" s="1"/>
  <c r="C5463" i="2" s="1"/>
  <c r="C5464" i="2" s="1"/>
  <c r="C5465" i="2" s="1"/>
  <c r="C5466" i="2" s="1"/>
  <c r="C5467" i="2" s="1"/>
  <c r="C5468" i="2" s="1"/>
  <c r="C5469" i="2" s="1"/>
  <c r="C5470" i="2" s="1"/>
  <c r="C5471" i="2" s="1"/>
  <c r="C5472" i="2" s="1"/>
  <c r="C5473" i="2" s="1"/>
  <c r="C5474" i="2" s="1"/>
  <c r="C5475" i="2" s="1"/>
  <c r="C5476" i="2" s="1"/>
  <c r="C5477" i="2" s="1"/>
  <c r="C5478" i="2" s="1"/>
  <c r="C5479" i="2" s="1"/>
  <c r="C5480" i="2" s="1"/>
  <c r="C5481" i="2" s="1"/>
  <c r="C5482" i="2" s="1"/>
  <c r="C5483" i="2" s="1"/>
  <c r="C5484" i="2" s="1"/>
  <c r="C5485" i="2" s="1"/>
  <c r="C5486" i="2" s="1"/>
  <c r="C5487" i="2" s="1"/>
  <c r="C5488" i="2" s="1"/>
  <c r="C5489" i="2" s="1"/>
  <c r="C5490" i="2" s="1"/>
  <c r="C5491" i="2" s="1"/>
  <c r="C5492" i="2" s="1"/>
  <c r="C5493" i="2" s="1"/>
  <c r="C5494" i="2" s="1"/>
  <c r="C5495" i="2" s="1"/>
  <c r="C5496" i="2" s="1"/>
  <c r="C5497" i="2" s="1"/>
  <c r="C5498" i="2" s="1"/>
  <c r="C5499" i="2" s="1"/>
  <c r="C5500" i="2" s="1"/>
  <c r="C5501" i="2" s="1"/>
  <c r="C5502" i="2" s="1"/>
  <c r="C5503" i="2" s="1"/>
  <c r="C5504" i="2" s="1"/>
  <c r="C5505" i="2" s="1"/>
  <c r="C5506" i="2" s="1"/>
  <c r="C5507" i="2" s="1"/>
  <c r="C5508" i="2" s="1"/>
  <c r="C5509" i="2" s="1"/>
  <c r="C5510" i="2" s="1"/>
  <c r="C5511" i="2" s="1"/>
  <c r="C5512" i="2" s="1"/>
  <c r="C5513" i="2" s="1"/>
  <c r="C5514" i="2" s="1"/>
  <c r="C5515" i="2" s="1"/>
  <c r="C5516" i="2" s="1"/>
  <c r="C5517" i="2" s="1"/>
  <c r="C5518" i="2" s="1"/>
  <c r="C5519" i="2" s="1"/>
  <c r="C5520" i="2" s="1"/>
  <c r="C5521" i="2" s="1"/>
  <c r="C5522" i="2" s="1"/>
  <c r="C5523" i="2" s="1"/>
  <c r="C5524" i="2" s="1"/>
  <c r="C5525" i="2" s="1"/>
  <c r="C5526" i="2" s="1"/>
  <c r="C5527" i="2" s="1"/>
  <c r="C5528" i="2" s="1"/>
  <c r="C5529" i="2" s="1"/>
  <c r="C5530" i="2" s="1"/>
  <c r="C5531" i="2" s="1"/>
  <c r="C5532" i="2" s="1"/>
  <c r="C5533" i="2" s="1"/>
  <c r="C5534" i="2" s="1"/>
  <c r="C5535" i="2" s="1"/>
  <c r="C5536" i="2" s="1"/>
  <c r="C5537" i="2" s="1"/>
  <c r="C5538" i="2" s="1"/>
  <c r="C5539" i="2" s="1"/>
  <c r="C5540" i="2" s="1"/>
  <c r="C5541" i="2" s="1"/>
  <c r="C5542" i="2" s="1"/>
  <c r="C5543" i="2" s="1"/>
  <c r="C5544" i="2" s="1"/>
  <c r="C5545" i="2" s="1"/>
  <c r="C5546" i="2" s="1"/>
  <c r="C5547" i="2" s="1"/>
  <c r="C5548" i="2" s="1"/>
  <c r="C5549" i="2" s="1"/>
  <c r="C5550" i="2" s="1"/>
  <c r="C5551" i="2" s="1"/>
  <c r="C5552" i="2" s="1"/>
  <c r="C5553" i="2" s="1"/>
  <c r="C5554" i="2" s="1"/>
  <c r="C5555" i="2" s="1"/>
  <c r="C5556" i="2" s="1"/>
  <c r="C5557" i="2" s="1"/>
  <c r="C5558" i="2" s="1"/>
  <c r="C5559" i="2" s="1"/>
  <c r="C5560" i="2" s="1"/>
  <c r="C5561" i="2" s="1"/>
  <c r="C5562" i="2" s="1"/>
  <c r="C5563" i="2" s="1"/>
  <c r="C5564" i="2" s="1"/>
  <c r="C5565" i="2" s="1"/>
  <c r="C5566" i="2" s="1"/>
  <c r="C5567" i="2" s="1"/>
  <c r="C5568" i="2" s="1"/>
  <c r="C5569" i="2" s="1"/>
  <c r="C5570" i="2" s="1"/>
  <c r="C5571" i="2" s="1"/>
  <c r="C5572" i="2" s="1"/>
  <c r="C5573" i="2" s="1"/>
  <c r="C5574" i="2" s="1"/>
  <c r="C5575" i="2" s="1"/>
  <c r="C5576" i="2" s="1"/>
  <c r="C5577" i="2" s="1"/>
  <c r="C5578" i="2" s="1"/>
  <c r="C5579" i="2" s="1"/>
  <c r="C5580" i="2" s="1"/>
  <c r="C5581" i="2" s="1"/>
  <c r="C5582" i="2" s="1"/>
  <c r="C5583" i="2" s="1"/>
  <c r="C5584" i="2" s="1"/>
  <c r="C5585" i="2" s="1"/>
  <c r="C5586" i="2" s="1"/>
  <c r="C5587" i="2" s="1"/>
  <c r="C5588" i="2" s="1"/>
  <c r="C5589" i="2" s="1"/>
  <c r="C5590" i="2" s="1"/>
  <c r="C5591" i="2" s="1"/>
  <c r="C5592" i="2" s="1"/>
  <c r="C5593" i="2" s="1"/>
  <c r="C5594" i="2" s="1"/>
  <c r="C5595" i="2" s="1"/>
  <c r="C5596" i="2" s="1"/>
  <c r="C5597" i="2" s="1"/>
  <c r="C5598" i="2" s="1"/>
  <c r="C5599" i="2" s="1"/>
  <c r="C5600" i="2" s="1"/>
  <c r="C5601" i="2" s="1"/>
  <c r="C5602" i="2" s="1"/>
  <c r="C5603" i="2" s="1"/>
  <c r="C5604" i="2" s="1"/>
  <c r="C5605" i="2" s="1"/>
  <c r="C5606" i="2" s="1"/>
  <c r="C5607" i="2" s="1"/>
  <c r="C5608" i="2" s="1"/>
  <c r="C5609" i="2" s="1"/>
  <c r="C5610" i="2" s="1"/>
  <c r="C5611" i="2" s="1"/>
  <c r="C5612" i="2" s="1"/>
  <c r="C5613" i="2" s="1"/>
  <c r="C5614" i="2" s="1"/>
  <c r="C5615" i="2" s="1"/>
  <c r="C5616" i="2" s="1"/>
  <c r="C5617" i="2" s="1"/>
  <c r="C5618" i="2" s="1"/>
  <c r="C5619" i="2" s="1"/>
  <c r="C5620" i="2" s="1"/>
  <c r="C5621" i="2" s="1"/>
  <c r="C5622" i="2" s="1"/>
  <c r="C5623" i="2" s="1"/>
  <c r="C5624" i="2" s="1"/>
  <c r="C5625" i="2" s="1"/>
  <c r="C5626" i="2" s="1"/>
  <c r="C5627" i="2" s="1"/>
  <c r="C5628" i="2" s="1"/>
  <c r="C5629" i="2" s="1"/>
  <c r="C5630" i="2" s="1"/>
  <c r="C5631" i="2" s="1"/>
  <c r="C5632" i="2" s="1"/>
  <c r="C5633" i="2" s="1"/>
  <c r="C5634" i="2" s="1"/>
  <c r="C5635" i="2" s="1"/>
  <c r="C5636" i="2" s="1"/>
  <c r="C5637" i="2" s="1"/>
  <c r="C5638" i="2" s="1"/>
  <c r="C5639" i="2" s="1"/>
  <c r="C5640" i="2" s="1"/>
  <c r="C5641" i="2" s="1"/>
  <c r="C5642" i="2" s="1"/>
  <c r="C5643" i="2" s="1"/>
  <c r="C5644" i="2" s="1"/>
  <c r="C5645" i="2" s="1"/>
  <c r="C5646" i="2" s="1"/>
  <c r="C5647" i="2" s="1"/>
  <c r="C5648" i="2" s="1"/>
  <c r="C5649" i="2" s="1"/>
  <c r="C5650" i="2" s="1"/>
  <c r="C5651" i="2" s="1"/>
  <c r="C5652" i="2" s="1"/>
  <c r="C5653" i="2" s="1"/>
  <c r="C5654" i="2" s="1"/>
  <c r="C5655" i="2" s="1"/>
  <c r="C5656" i="2" s="1"/>
  <c r="C5657" i="2" s="1"/>
  <c r="C5658" i="2" s="1"/>
  <c r="C5659" i="2" s="1"/>
  <c r="C5660" i="2" s="1"/>
  <c r="C5661" i="2" s="1"/>
  <c r="C5662" i="2" s="1"/>
  <c r="C5663" i="2" s="1"/>
  <c r="C5664" i="2" s="1"/>
  <c r="C5665" i="2" s="1"/>
  <c r="C5666" i="2" s="1"/>
  <c r="C5667" i="2" s="1"/>
  <c r="C5668" i="2" s="1"/>
  <c r="C5669" i="2" s="1"/>
  <c r="C5670" i="2" s="1"/>
  <c r="C5671" i="2" s="1"/>
  <c r="C5672" i="2" s="1"/>
  <c r="C5673" i="2" s="1"/>
  <c r="C5674" i="2" s="1"/>
  <c r="C5675" i="2" s="1"/>
  <c r="C5676" i="2" s="1"/>
  <c r="C5677" i="2" s="1"/>
  <c r="C5678" i="2" s="1"/>
  <c r="C5679" i="2" s="1"/>
  <c r="C5680" i="2" s="1"/>
  <c r="C5681" i="2" s="1"/>
  <c r="C5682" i="2" s="1"/>
  <c r="C5683" i="2" s="1"/>
  <c r="C5684" i="2" s="1"/>
  <c r="C5685" i="2" s="1"/>
  <c r="C5686" i="2" s="1"/>
  <c r="C5687" i="2" s="1"/>
  <c r="C5688" i="2" s="1"/>
  <c r="C5689" i="2" s="1"/>
  <c r="C5690" i="2" s="1"/>
  <c r="C5691" i="2" s="1"/>
  <c r="C5692" i="2" s="1"/>
  <c r="C5693" i="2" s="1"/>
  <c r="C5694" i="2" s="1"/>
  <c r="C5695" i="2" s="1"/>
  <c r="C5696" i="2" s="1"/>
  <c r="C5697" i="2" s="1"/>
  <c r="C5698" i="2" s="1"/>
  <c r="C5699" i="2" s="1"/>
  <c r="C5700" i="2" s="1"/>
  <c r="C5701" i="2" s="1"/>
  <c r="C5702" i="2" s="1"/>
  <c r="C5703" i="2" s="1"/>
  <c r="C5704" i="2" s="1"/>
  <c r="C5705" i="2" s="1"/>
  <c r="C5706" i="2" s="1"/>
  <c r="C5707" i="2" s="1"/>
  <c r="C5708" i="2" s="1"/>
  <c r="C5709" i="2" s="1"/>
  <c r="C5710" i="2" s="1"/>
  <c r="C5711" i="2" s="1"/>
  <c r="C5712" i="2" s="1"/>
  <c r="C5713" i="2" s="1"/>
  <c r="C5714" i="2" s="1"/>
  <c r="C5715" i="2" s="1"/>
  <c r="C5716" i="2" s="1"/>
  <c r="C5717" i="2" s="1"/>
  <c r="C5718" i="2" s="1"/>
  <c r="C5719" i="2" s="1"/>
  <c r="C5720" i="2" s="1"/>
  <c r="C5721" i="2" s="1"/>
  <c r="C5722" i="2" s="1"/>
  <c r="C5723" i="2" s="1"/>
  <c r="C5724" i="2" s="1"/>
  <c r="C5725" i="2" s="1"/>
  <c r="C5726" i="2" s="1"/>
  <c r="C5727" i="2" s="1"/>
  <c r="C5728" i="2" s="1"/>
  <c r="C5729" i="2" s="1"/>
  <c r="C5730" i="2" s="1"/>
  <c r="C5731" i="2" s="1"/>
  <c r="C5732" i="2" s="1"/>
  <c r="C5733" i="2" s="1"/>
  <c r="C5734" i="2" s="1"/>
  <c r="C5735" i="2" s="1"/>
  <c r="C5736" i="2" s="1"/>
  <c r="C5737" i="2" s="1"/>
  <c r="C5738" i="2" s="1"/>
  <c r="C5739" i="2" s="1"/>
  <c r="C5740" i="2" s="1"/>
  <c r="C5741" i="2" s="1"/>
  <c r="C5742" i="2" s="1"/>
  <c r="C5743" i="2" s="1"/>
  <c r="C5744" i="2" s="1"/>
  <c r="C5745" i="2" s="1"/>
  <c r="C5746" i="2" s="1"/>
  <c r="C5747" i="2" s="1"/>
  <c r="C5748" i="2" s="1"/>
  <c r="C5749" i="2" s="1"/>
  <c r="C5750" i="2" s="1"/>
  <c r="C5751" i="2" s="1"/>
  <c r="C5752" i="2" s="1"/>
  <c r="C5753" i="2" s="1"/>
  <c r="C5754" i="2" s="1"/>
  <c r="C5755" i="2" s="1"/>
  <c r="C5756" i="2" s="1"/>
  <c r="C5757" i="2" s="1"/>
  <c r="C5758" i="2" s="1"/>
  <c r="C5759" i="2" s="1"/>
  <c r="C5760" i="2" s="1"/>
  <c r="C5761" i="2" s="1"/>
  <c r="C5762" i="2" s="1"/>
  <c r="C5763" i="2" s="1"/>
  <c r="C5764" i="2" s="1"/>
  <c r="C5765" i="2" s="1"/>
  <c r="C5766" i="2" s="1"/>
  <c r="C5767" i="2" s="1"/>
  <c r="C5768" i="2" s="1"/>
  <c r="C5769" i="2" s="1"/>
  <c r="C5770" i="2" s="1"/>
  <c r="C5771" i="2" s="1"/>
  <c r="C5772" i="2" s="1"/>
  <c r="C5773" i="2" s="1"/>
  <c r="C5774" i="2" s="1"/>
  <c r="C5775" i="2" s="1"/>
  <c r="C5776" i="2" s="1"/>
  <c r="C5777" i="2" s="1"/>
  <c r="C5778" i="2" s="1"/>
  <c r="C5779" i="2" s="1"/>
  <c r="C5780" i="2" s="1"/>
  <c r="C5781" i="2" s="1"/>
  <c r="C5782" i="2" s="1"/>
  <c r="C5783" i="2" s="1"/>
  <c r="C5784" i="2" s="1"/>
  <c r="C5785" i="2" s="1"/>
  <c r="C5786" i="2" s="1"/>
  <c r="C5787" i="2" s="1"/>
  <c r="C5788" i="2" s="1"/>
  <c r="C5789" i="2" s="1"/>
  <c r="C5790" i="2" s="1"/>
  <c r="C5791" i="2" s="1"/>
  <c r="C5792" i="2" s="1"/>
  <c r="C5793" i="2" s="1"/>
  <c r="C5794" i="2" s="1"/>
  <c r="C5795" i="2" s="1"/>
  <c r="C5796" i="2" s="1"/>
  <c r="C5797" i="2" s="1"/>
  <c r="C5798" i="2" s="1"/>
  <c r="C5799" i="2" s="1"/>
  <c r="C5800" i="2" s="1"/>
  <c r="C5801" i="2" s="1"/>
  <c r="C5802" i="2" s="1"/>
  <c r="C5803" i="2" s="1"/>
  <c r="C5804" i="2" s="1"/>
  <c r="C5805" i="2" s="1"/>
  <c r="C5806" i="2" s="1"/>
  <c r="C5807" i="2" s="1"/>
  <c r="C5808" i="2" s="1"/>
  <c r="C5809" i="2" s="1"/>
  <c r="C5810" i="2" s="1"/>
  <c r="C5811" i="2" s="1"/>
  <c r="C5812" i="2" s="1"/>
  <c r="C5813" i="2" s="1"/>
  <c r="C5814" i="2" s="1"/>
  <c r="C5815" i="2" s="1"/>
  <c r="C5816" i="2" s="1"/>
  <c r="C5817" i="2" s="1"/>
  <c r="C5818" i="2" s="1"/>
  <c r="C5819" i="2" s="1"/>
  <c r="C5820" i="2" s="1"/>
  <c r="C5821" i="2" s="1"/>
  <c r="C5822" i="2" s="1"/>
  <c r="C5823" i="2" s="1"/>
  <c r="C5824" i="2" s="1"/>
  <c r="C5825" i="2" s="1"/>
  <c r="C5826" i="2" s="1"/>
  <c r="C5827" i="2" s="1"/>
  <c r="C5828" i="2" s="1"/>
  <c r="C5829" i="2" s="1"/>
  <c r="C5830" i="2" s="1"/>
  <c r="C5831" i="2" s="1"/>
  <c r="C5832" i="2" s="1"/>
  <c r="C5833" i="2" s="1"/>
  <c r="C5834" i="2" s="1"/>
  <c r="C5835" i="2" s="1"/>
  <c r="C5836" i="2" s="1"/>
  <c r="C5837" i="2" s="1"/>
  <c r="C5838" i="2" s="1"/>
  <c r="C5839" i="2" s="1"/>
  <c r="C5840" i="2" s="1"/>
  <c r="C5841" i="2" s="1"/>
  <c r="C5842" i="2" s="1"/>
  <c r="C5843" i="2" s="1"/>
  <c r="C5844" i="2" s="1"/>
  <c r="C5845" i="2" s="1"/>
  <c r="C5846" i="2" s="1"/>
  <c r="C5847" i="2" s="1"/>
  <c r="C5848" i="2" s="1"/>
  <c r="C5849" i="2" s="1"/>
  <c r="C5850" i="2" s="1"/>
  <c r="C5851" i="2" s="1"/>
  <c r="C5852" i="2" s="1"/>
  <c r="C5853" i="2" s="1"/>
  <c r="C5854" i="2" s="1"/>
  <c r="C5855" i="2" s="1"/>
  <c r="C5856" i="2" s="1"/>
  <c r="C5857" i="2" s="1"/>
  <c r="C5858" i="2" s="1"/>
  <c r="C5859" i="2" s="1"/>
  <c r="C5860" i="2" s="1"/>
  <c r="C5861" i="2" s="1"/>
  <c r="C5862" i="2" s="1"/>
  <c r="C5863" i="2" s="1"/>
  <c r="C5864" i="2" s="1"/>
  <c r="C5865" i="2" s="1"/>
  <c r="C5866" i="2" s="1"/>
  <c r="C5867" i="2" s="1"/>
  <c r="C5868" i="2" s="1"/>
  <c r="C5869" i="2" s="1"/>
  <c r="C5870" i="2" s="1"/>
  <c r="C5871" i="2" s="1"/>
  <c r="C5872" i="2" s="1"/>
  <c r="C5873" i="2" s="1"/>
  <c r="C5874" i="2" s="1"/>
  <c r="C5875" i="2" s="1"/>
  <c r="C5876" i="2" s="1"/>
  <c r="C5877" i="2" s="1"/>
  <c r="C5878" i="2" s="1"/>
  <c r="C5879" i="2" s="1"/>
  <c r="C5880" i="2" s="1"/>
  <c r="C5881" i="2" s="1"/>
  <c r="C5882" i="2" s="1"/>
  <c r="C5883" i="2" s="1"/>
  <c r="C5884" i="2" s="1"/>
  <c r="C5885" i="2" s="1"/>
  <c r="C5886" i="2" s="1"/>
  <c r="C5887" i="2" s="1"/>
  <c r="C5888" i="2" s="1"/>
  <c r="C5889" i="2" s="1"/>
  <c r="C5890" i="2" s="1"/>
  <c r="C5891" i="2" s="1"/>
  <c r="C5892" i="2" s="1"/>
  <c r="C5893" i="2" s="1"/>
  <c r="C5894" i="2" s="1"/>
  <c r="C5895" i="2" s="1"/>
  <c r="C5896" i="2" s="1"/>
  <c r="C5897" i="2" s="1"/>
  <c r="C5898" i="2" s="1"/>
  <c r="C5899" i="2" s="1"/>
  <c r="C5900" i="2" s="1"/>
  <c r="C5901" i="2" s="1"/>
  <c r="C5902" i="2" s="1"/>
  <c r="C5903" i="2" s="1"/>
  <c r="C5904" i="2" s="1"/>
  <c r="C5905" i="2" s="1"/>
  <c r="C5906" i="2" s="1"/>
  <c r="C5907" i="2" s="1"/>
  <c r="C5908" i="2" s="1"/>
  <c r="C5909" i="2" s="1"/>
  <c r="C5910" i="2" s="1"/>
  <c r="C5911" i="2" s="1"/>
  <c r="C5912" i="2" s="1"/>
  <c r="C5913" i="2" s="1"/>
  <c r="C5914" i="2" s="1"/>
  <c r="C5915" i="2" s="1"/>
  <c r="C5916" i="2" s="1"/>
  <c r="C5917" i="2" s="1"/>
  <c r="C5918" i="2" s="1"/>
  <c r="C5919" i="2" s="1"/>
  <c r="C5920" i="2" s="1"/>
  <c r="C5921" i="2" s="1"/>
  <c r="C5922" i="2" s="1"/>
  <c r="C5923" i="2" s="1"/>
  <c r="C5924" i="2" s="1"/>
  <c r="C5925" i="2" s="1"/>
  <c r="C5926" i="2" s="1"/>
  <c r="C5927" i="2" s="1"/>
  <c r="C5928" i="2" s="1"/>
  <c r="C5929" i="2" s="1"/>
  <c r="C5930" i="2" s="1"/>
  <c r="C5931" i="2" s="1"/>
  <c r="C5932" i="2" s="1"/>
  <c r="C5933" i="2" s="1"/>
  <c r="C5934" i="2" s="1"/>
  <c r="C5935" i="2" s="1"/>
  <c r="C5936" i="2" s="1"/>
  <c r="C5937" i="2" s="1"/>
  <c r="C5938" i="2" s="1"/>
  <c r="C5939" i="2" s="1"/>
  <c r="C5940" i="2" s="1"/>
  <c r="C5941" i="2" s="1"/>
  <c r="C5942" i="2" s="1"/>
  <c r="C5943" i="2" s="1"/>
  <c r="C5944" i="2" s="1"/>
  <c r="C5945" i="2" s="1"/>
  <c r="C5946" i="2" s="1"/>
  <c r="C5947" i="2" s="1"/>
  <c r="C5948" i="2" s="1"/>
  <c r="C5949" i="2" s="1"/>
  <c r="C5950" i="2" s="1"/>
  <c r="C5951" i="2" s="1"/>
  <c r="C5952" i="2" s="1"/>
  <c r="C5953" i="2" s="1"/>
  <c r="C5954" i="2" s="1"/>
  <c r="C5955" i="2" s="1"/>
  <c r="C5956" i="2" s="1"/>
  <c r="C5957" i="2" s="1"/>
  <c r="C5958" i="2" s="1"/>
  <c r="C5959" i="2" s="1"/>
  <c r="C5960" i="2" s="1"/>
  <c r="C5961" i="2" s="1"/>
  <c r="C5962" i="2" s="1"/>
  <c r="C5963" i="2" s="1"/>
  <c r="C5964" i="2" s="1"/>
  <c r="C5965" i="2" s="1"/>
  <c r="C5966" i="2" s="1"/>
  <c r="C5967" i="2" s="1"/>
  <c r="C5968" i="2" s="1"/>
  <c r="C5969" i="2" s="1"/>
  <c r="C5970" i="2" s="1"/>
  <c r="C5971" i="2" s="1"/>
  <c r="C5972" i="2" s="1"/>
  <c r="C5973" i="2" s="1"/>
  <c r="C5974" i="2" s="1"/>
  <c r="C5975" i="2" s="1"/>
  <c r="C5976" i="2" s="1"/>
  <c r="C5977" i="2" s="1"/>
  <c r="C5978" i="2" s="1"/>
  <c r="C5979" i="2" s="1"/>
  <c r="C5980" i="2" s="1"/>
  <c r="C5981" i="2" s="1"/>
  <c r="C5982" i="2" s="1"/>
  <c r="C5983" i="2" s="1"/>
  <c r="C5984" i="2" s="1"/>
  <c r="C5985" i="2" s="1"/>
  <c r="C5986" i="2" s="1"/>
  <c r="C5987" i="2" s="1"/>
  <c r="C5988" i="2" s="1"/>
  <c r="C5989" i="2" s="1"/>
  <c r="C5990" i="2" s="1"/>
  <c r="C5991" i="2" s="1"/>
  <c r="C5992" i="2" s="1"/>
  <c r="C5993" i="2" s="1"/>
  <c r="C5994" i="2" s="1"/>
  <c r="C5995" i="2" s="1"/>
  <c r="C5996" i="2" s="1"/>
  <c r="C5997" i="2" s="1"/>
  <c r="C5998" i="2" s="1"/>
  <c r="C5999" i="2" s="1"/>
  <c r="C6000" i="2" s="1"/>
  <c r="C6001" i="2" s="1"/>
  <c r="C6002" i="2" s="1"/>
  <c r="C6003" i="2" s="1"/>
  <c r="C6004" i="2" s="1"/>
  <c r="C6005" i="2" s="1"/>
  <c r="C6006" i="2" s="1"/>
  <c r="C6007" i="2" s="1"/>
  <c r="C6008" i="2" s="1"/>
  <c r="C6009" i="2" s="1"/>
  <c r="C6010" i="2" s="1"/>
  <c r="C6011" i="2" s="1"/>
  <c r="C6012" i="2" s="1"/>
  <c r="C6013" i="2" s="1"/>
  <c r="C6014" i="2" s="1"/>
  <c r="C6015" i="2" s="1"/>
  <c r="C6016" i="2" s="1"/>
  <c r="C6017" i="2" s="1"/>
  <c r="C6018" i="2" s="1"/>
  <c r="C6019" i="2" s="1"/>
  <c r="C6020" i="2" s="1"/>
  <c r="C6021" i="2" s="1"/>
  <c r="C6022" i="2" s="1"/>
  <c r="C6023" i="2" s="1"/>
  <c r="C6024" i="2" s="1"/>
  <c r="C6025" i="2" s="1"/>
  <c r="C6026" i="2" s="1"/>
  <c r="C6027" i="2" s="1"/>
  <c r="C6028" i="2" s="1"/>
  <c r="C6029" i="2" s="1"/>
  <c r="C6030" i="2" s="1"/>
  <c r="C6031" i="2" s="1"/>
  <c r="C6032" i="2" s="1"/>
  <c r="C6033" i="2" s="1"/>
  <c r="C6034" i="2" s="1"/>
  <c r="C6035" i="2" s="1"/>
  <c r="C6036" i="2" s="1"/>
  <c r="C6037" i="2" s="1"/>
  <c r="C6038" i="2" s="1"/>
  <c r="C6039" i="2" s="1"/>
  <c r="C6040" i="2" s="1"/>
  <c r="C6041" i="2" s="1"/>
  <c r="C6042" i="2" s="1"/>
  <c r="C6043" i="2" s="1"/>
  <c r="C6044" i="2" s="1"/>
  <c r="C6045" i="2" s="1"/>
  <c r="C6046" i="2" s="1"/>
  <c r="C6047" i="2" s="1"/>
  <c r="C6048" i="2" s="1"/>
  <c r="C6049" i="2" s="1"/>
  <c r="C6050" i="2" s="1"/>
  <c r="C6051" i="2" s="1"/>
  <c r="C6052" i="2" s="1"/>
  <c r="C6053" i="2" s="1"/>
  <c r="C6054" i="2" s="1"/>
  <c r="C6055" i="2" s="1"/>
  <c r="C6056" i="2" s="1"/>
  <c r="C6057" i="2" s="1"/>
  <c r="C6058" i="2" s="1"/>
  <c r="C6059" i="2" s="1"/>
  <c r="C6060" i="2" s="1"/>
  <c r="C6061" i="2" s="1"/>
  <c r="C6062" i="2" s="1"/>
  <c r="C6063" i="2" s="1"/>
  <c r="C6064" i="2" s="1"/>
  <c r="C6065" i="2" s="1"/>
  <c r="C6066" i="2" s="1"/>
  <c r="C6067" i="2" s="1"/>
  <c r="C6068" i="2" s="1"/>
  <c r="C6069" i="2" s="1"/>
  <c r="C6070" i="2" s="1"/>
  <c r="C6071" i="2" s="1"/>
  <c r="C6072" i="2" s="1"/>
  <c r="C6073" i="2" s="1"/>
  <c r="C6074" i="2" s="1"/>
  <c r="C6075" i="2" s="1"/>
  <c r="C6076" i="2" s="1"/>
  <c r="C6077" i="2" s="1"/>
  <c r="C6078" i="2" s="1"/>
  <c r="C6079" i="2" s="1"/>
  <c r="C6080" i="2" s="1"/>
  <c r="C6081" i="2" s="1"/>
  <c r="C6082" i="2" s="1"/>
  <c r="C6083" i="2" s="1"/>
  <c r="C6084" i="2" s="1"/>
  <c r="C6085" i="2" s="1"/>
  <c r="C6086" i="2" s="1"/>
  <c r="C6087" i="2" s="1"/>
  <c r="C6088" i="2" s="1"/>
  <c r="C6089" i="2" s="1"/>
  <c r="C6090" i="2" s="1"/>
  <c r="C6091" i="2" s="1"/>
  <c r="C6092" i="2" s="1"/>
  <c r="C6093" i="2" s="1"/>
  <c r="C6094" i="2" s="1"/>
  <c r="C6095" i="2" s="1"/>
  <c r="C6096" i="2" s="1"/>
  <c r="C6097" i="2" s="1"/>
  <c r="C6098" i="2" s="1"/>
  <c r="C6099" i="2" s="1"/>
  <c r="C6100" i="2" s="1"/>
  <c r="C6101" i="2" s="1"/>
  <c r="C6102" i="2" s="1"/>
  <c r="C6103" i="2" s="1"/>
  <c r="C6104" i="2" s="1"/>
  <c r="C6105" i="2" s="1"/>
  <c r="C6106" i="2" s="1"/>
  <c r="C6107" i="2" s="1"/>
  <c r="C6108" i="2" s="1"/>
  <c r="C6109" i="2" s="1"/>
  <c r="C6110" i="2" s="1"/>
  <c r="C6111" i="2" s="1"/>
  <c r="C6112" i="2" s="1"/>
  <c r="C6113" i="2" s="1"/>
  <c r="C6114" i="2" s="1"/>
  <c r="C6115" i="2" s="1"/>
  <c r="C6116" i="2" s="1"/>
  <c r="C6117" i="2" s="1"/>
  <c r="C6118" i="2" s="1"/>
  <c r="C6119" i="2" s="1"/>
  <c r="C6120" i="2" s="1"/>
  <c r="C6121" i="2" s="1"/>
  <c r="C6122" i="2" s="1"/>
  <c r="C6123" i="2" s="1"/>
  <c r="C6124" i="2" s="1"/>
  <c r="C6125" i="2" s="1"/>
  <c r="C6126" i="2" s="1"/>
  <c r="C6127" i="2" s="1"/>
  <c r="C6128" i="2" s="1"/>
  <c r="C6129" i="2" s="1"/>
  <c r="C6130" i="2" s="1"/>
  <c r="C6131" i="2" s="1"/>
  <c r="C6132" i="2" s="1"/>
  <c r="C6133" i="2" s="1"/>
  <c r="C6134" i="2" s="1"/>
  <c r="C6135" i="2" s="1"/>
  <c r="C6136" i="2" s="1"/>
  <c r="C6137" i="2" s="1"/>
  <c r="C6138" i="2" s="1"/>
  <c r="C6139" i="2" s="1"/>
  <c r="C6140" i="2" s="1"/>
  <c r="C6141" i="2" s="1"/>
  <c r="C6142" i="2" s="1"/>
  <c r="C6143" i="2" s="1"/>
  <c r="C6144" i="2" s="1"/>
  <c r="C6145" i="2" s="1"/>
  <c r="C6146" i="2" s="1"/>
  <c r="C6147" i="2" s="1"/>
  <c r="C6148" i="2" s="1"/>
  <c r="C6149" i="2" s="1"/>
  <c r="C6150" i="2" s="1"/>
  <c r="C6151" i="2" s="1"/>
  <c r="C6152" i="2" s="1"/>
  <c r="C6153" i="2" s="1"/>
  <c r="C6154" i="2" s="1"/>
  <c r="C6155" i="2" s="1"/>
  <c r="C6156" i="2" s="1"/>
  <c r="C6157" i="2" s="1"/>
  <c r="C6158" i="2" s="1"/>
  <c r="C6159" i="2" s="1"/>
  <c r="C6160" i="2" s="1"/>
  <c r="C6161" i="2" s="1"/>
  <c r="C6162" i="2" s="1"/>
  <c r="C6163" i="2" s="1"/>
  <c r="C6164" i="2" s="1"/>
  <c r="C6165" i="2" s="1"/>
  <c r="C6166" i="2" s="1"/>
  <c r="C6167" i="2" s="1"/>
  <c r="C6168" i="2" s="1"/>
  <c r="C6169" i="2" s="1"/>
  <c r="C6170" i="2" s="1"/>
  <c r="C6171" i="2" s="1"/>
  <c r="C6172" i="2" s="1"/>
  <c r="C6173" i="2" s="1"/>
  <c r="C6174" i="2" s="1"/>
  <c r="C6175" i="2" s="1"/>
  <c r="C6176" i="2" s="1"/>
  <c r="C6177" i="2" s="1"/>
  <c r="C6178" i="2" s="1"/>
  <c r="C6179" i="2" s="1"/>
  <c r="C6180" i="2" s="1"/>
  <c r="C6181" i="2" s="1"/>
  <c r="C6182" i="2" s="1"/>
  <c r="C6183" i="2" s="1"/>
  <c r="C6184" i="2" s="1"/>
  <c r="C6185" i="2" s="1"/>
  <c r="C6186" i="2" s="1"/>
  <c r="C6187" i="2" s="1"/>
  <c r="C6188" i="2" s="1"/>
  <c r="C6189" i="2" s="1"/>
  <c r="C6190" i="2" s="1"/>
  <c r="C6191" i="2" s="1"/>
  <c r="C6192" i="2" s="1"/>
  <c r="C6193" i="2" s="1"/>
  <c r="C6194" i="2" s="1"/>
  <c r="C6195" i="2" s="1"/>
  <c r="C6196" i="2" s="1"/>
  <c r="C6197" i="2" s="1"/>
  <c r="C6198" i="2" s="1"/>
  <c r="C6199" i="2" s="1"/>
  <c r="C6200" i="2" s="1"/>
  <c r="C6201" i="2" s="1"/>
  <c r="C6202" i="2" s="1"/>
  <c r="C6203" i="2" s="1"/>
  <c r="C6204" i="2" s="1"/>
  <c r="C6205" i="2" s="1"/>
  <c r="C6206" i="2" s="1"/>
  <c r="C6207" i="2" s="1"/>
  <c r="C6208" i="2" s="1"/>
  <c r="C6209" i="2" s="1"/>
  <c r="C6210" i="2" s="1"/>
  <c r="C6211" i="2" s="1"/>
  <c r="C6212" i="2" s="1"/>
  <c r="C6213" i="2" s="1"/>
  <c r="C6214" i="2" s="1"/>
  <c r="C6215" i="2" s="1"/>
  <c r="C6216" i="2" s="1"/>
  <c r="C6217" i="2" s="1"/>
  <c r="C6218" i="2" s="1"/>
  <c r="C6219" i="2" s="1"/>
  <c r="C6220" i="2" s="1"/>
  <c r="C6221" i="2" s="1"/>
  <c r="C6222" i="2" s="1"/>
  <c r="C6223" i="2" s="1"/>
  <c r="C6224" i="2" s="1"/>
  <c r="C6225" i="2" s="1"/>
  <c r="C6226" i="2" s="1"/>
  <c r="C6227" i="2" s="1"/>
  <c r="C6228" i="2" s="1"/>
  <c r="C6229" i="2" s="1"/>
  <c r="C6230" i="2" s="1"/>
  <c r="C6231" i="2" s="1"/>
  <c r="C6232" i="2" s="1"/>
  <c r="C6233" i="2" s="1"/>
  <c r="C6234" i="2" s="1"/>
  <c r="C6235" i="2" s="1"/>
  <c r="C6236" i="2" s="1"/>
  <c r="C6237" i="2" s="1"/>
  <c r="C6238" i="2" s="1"/>
  <c r="C6239" i="2" s="1"/>
  <c r="C6240" i="2" s="1"/>
  <c r="C6241" i="2" s="1"/>
  <c r="C6242" i="2" s="1"/>
  <c r="C6243" i="2" s="1"/>
  <c r="C6244" i="2" s="1"/>
  <c r="C6245" i="2" s="1"/>
  <c r="C6246" i="2" s="1"/>
  <c r="C6247" i="2" s="1"/>
  <c r="C6248" i="2" s="1"/>
  <c r="C6249" i="2" s="1"/>
  <c r="C6250" i="2" s="1"/>
  <c r="C6251" i="2" s="1"/>
  <c r="C6252" i="2" s="1"/>
  <c r="C6253" i="2" s="1"/>
  <c r="C6254" i="2" s="1"/>
  <c r="C6255" i="2" s="1"/>
  <c r="C6256" i="2" s="1"/>
  <c r="C6257" i="2" s="1"/>
  <c r="C6258" i="2" s="1"/>
  <c r="C6259" i="2" s="1"/>
  <c r="C6260" i="2" s="1"/>
  <c r="C6261" i="2" s="1"/>
  <c r="C6262" i="2" s="1"/>
  <c r="C6263" i="2" s="1"/>
  <c r="C6264" i="2" s="1"/>
  <c r="C6265" i="2" s="1"/>
  <c r="C6266" i="2" s="1"/>
  <c r="C6267" i="2" s="1"/>
  <c r="C6268" i="2" s="1"/>
  <c r="C6269" i="2" s="1"/>
  <c r="C6270" i="2" s="1"/>
  <c r="C6271" i="2" s="1"/>
  <c r="C6272" i="2" s="1"/>
  <c r="C6273" i="2" s="1"/>
  <c r="C6274" i="2" s="1"/>
  <c r="C6275" i="2" s="1"/>
  <c r="C6276" i="2" s="1"/>
  <c r="C6277" i="2" s="1"/>
  <c r="C6278" i="2" s="1"/>
  <c r="C6279" i="2" s="1"/>
  <c r="C6280" i="2" s="1"/>
  <c r="C6281" i="2" s="1"/>
  <c r="C6282" i="2" s="1"/>
  <c r="C6283" i="2" s="1"/>
  <c r="C6284" i="2" s="1"/>
  <c r="C6285" i="2" s="1"/>
  <c r="C6286" i="2" s="1"/>
  <c r="C6287" i="2" s="1"/>
  <c r="C6288" i="2" s="1"/>
  <c r="C6289" i="2" s="1"/>
  <c r="C6290" i="2" s="1"/>
  <c r="C6291" i="2" s="1"/>
  <c r="C6292" i="2" s="1"/>
  <c r="C6293" i="2" s="1"/>
  <c r="C6294" i="2" s="1"/>
  <c r="C6295" i="2" s="1"/>
  <c r="C6296" i="2" s="1"/>
  <c r="C6297" i="2" s="1"/>
  <c r="C6298" i="2" s="1"/>
  <c r="C6299" i="2" s="1"/>
  <c r="C6300" i="2" s="1"/>
  <c r="C6301" i="2" s="1"/>
  <c r="C6302" i="2" s="1"/>
  <c r="C6303" i="2" s="1"/>
  <c r="C6304" i="2" s="1"/>
  <c r="C6305" i="2" s="1"/>
  <c r="C6306" i="2" s="1"/>
  <c r="C6307" i="2" s="1"/>
  <c r="C6308" i="2" s="1"/>
  <c r="C6309" i="2" s="1"/>
  <c r="C6310" i="2" s="1"/>
  <c r="C6311" i="2" s="1"/>
  <c r="C6312" i="2" s="1"/>
  <c r="C6313" i="2" s="1"/>
  <c r="C6314" i="2" s="1"/>
  <c r="C6315" i="2" s="1"/>
  <c r="C6316" i="2" s="1"/>
  <c r="C6317" i="2" s="1"/>
  <c r="C6318" i="2" s="1"/>
  <c r="C6319" i="2" s="1"/>
  <c r="C6320" i="2" s="1"/>
  <c r="C6321" i="2" s="1"/>
  <c r="C6322" i="2" s="1"/>
  <c r="C6323" i="2" s="1"/>
  <c r="C6324" i="2" s="1"/>
  <c r="C6325" i="2" s="1"/>
  <c r="C6326" i="2" s="1"/>
  <c r="C6327" i="2" s="1"/>
  <c r="C6328" i="2" s="1"/>
  <c r="C6329" i="2" s="1"/>
  <c r="C6330" i="2" s="1"/>
  <c r="C6331" i="2" s="1"/>
  <c r="C6332" i="2" s="1"/>
  <c r="C6333" i="2" s="1"/>
  <c r="C6334" i="2" s="1"/>
  <c r="C6335" i="2" s="1"/>
  <c r="C6336" i="2" s="1"/>
  <c r="C6337" i="2" s="1"/>
  <c r="C6338" i="2" s="1"/>
  <c r="C6339" i="2" s="1"/>
  <c r="C6340" i="2" s="1"/>
  <c r="C6341" i="2" s="1"/>
  <c r="C6342" i="2" s="1"/>
  <c r="C6343" i="2" s="1"/>
  <c r="C6344" i="2" s="1"/>
  <c r="C6345" i="2" s="1"/>
  <c r="C6346" i="2" s="1"/>
  <c r="C6347" i="2" s="1"/>
  <c r="C6348" i="2" s="1"/>
  <c r="C6349" i="2" s="1"/>
  <c r="C6350" i="2" s="1"/>
  <c r="C6351" i="2" s="1"/>
  <c r="C6352" i="2" s="1"/>
  <c r="C6353" i="2" s="1"/>
  <c r="C6354" i="2" s="1"/>
  <c r="C6355" i="2" s="1"/>
  <c r="C6356" i="2" s="1"/>
  <c r="C6357" i="2" s="1"/>
  <c r="C6358" i="2" s="1"/>
  <c r="C6359" i="2" s="1"/>
  <c r="C6360" i="2" s="1"/>
  <c r="C6361" i="2" s="1"/>
  <c r="C6362" i="2" s="1"/>
  <c r="C6363" i="2" s="1"/>
  <c r="C6364" i="2" s="1"/>
  <c r="C6365" i="2" s="1"/>
  <c r="C6366" i="2" s="1"/>
  <c r="C6367" i="2" s="1"/>
  <c r="C6368" i="2" s="1"/>
  <c r="C6369" i="2" s="1"/>
  <c r="C6370" i="2" s="1"/>
  <c r="C6371" i="2" s="1"/>
  <c r="C6372" i="2" s="1"/>
  <c r="C6373" i="2" s="1"/>
  <c r="C6374" i="2" s="1"/>
  <c r="C6375" i="2" s="1"/>
  <c r="C6376" i="2" s="1"/>
  <c r="C6377" i="2" s="1"/>
  <c r="C6378" i="2" s="1"/>
  <c r="C6379" i="2" s="1"/>
  <c r="C6380" i="2" s="1"/>
  <c r="C6381" i="2" s="1"/>
  <c r="C6382" i="2" s="1"/>
  <c r="C6383" i="2" s="1"/>
  <c r="C6384" i="2" s="1"/>
  <c r="C6385" i="2" s="1"/>
  <c r="C6386" i="2" s="1"/>
  <c r="C6387" i="2" s="1"/>
  <c r="C6388" i="2" s="1"/>
  <c r="C6389" i="2" s="1"/>
  <c r="C6390" i="2" s="1"/>
  <c r="C6391" i="2" s="1"/>
  <c r="C6392" i="2" s="1"/>
  <c r="C6393" i="2" s="1"/>
  <c r="C6394" i="2" s="1"/>
  <c r="C6395" i="2" s="1"/>
  <c r="C6396" i="2" s="1"/>
  <c r="C6397" i="2" s="1"/>
  <c r="C6398" i="2" s="1"/>
  <c r="C6399" i="2" s="1"/>
  <c r="C6400" i="2" s="1"/>
  <c r="C6401" i="2" s="1"/>
  <c r="C6402" i="2" s="1"/>
  <c r="C6403" i="2" s="1"/>
  <c r="C6404" i="2" s="1"/>
  <c r="C6405" i="2" s="1"/>
  <c r="C6406" i="2" s="1"/>
  <c r="C6407" i="2" s="1"/>
  <c r="C6408" i="2" s="1"/>
  <c r="C6409" i="2" s="1"/>
  <c r="C6410" i="2" s="1"/>
  <c r="C6411" i="2" s="1"/>
  <c r="C6412" i="2" s="1"/>
  <c r="C6413" i="2" s="1"/>
  <c r="C6414" i="2" s="1"/>
  <c r="C6415" i="2" s="1"/>
  <c r="C6416" i="2" s="1"/>
  <c r="C6417" i="2" s="1"/>
  <c r="C6418" i="2" s="1"/>
  <c r="C6419" i="2" s="1"/>
  <c r="C6420" i="2" s="1"/>
  <c r="C6421" i="2" s="1"/>
  <c r="C6422" i="2" s="1"/>
  <c r="C6423" i="2" s="1"/>
  <c r="C6424" i="2" s="1"/>
  <c r="C6425" i="2" s="1"/>
  <c r="C6426" i="2" s="1"/>
  <c r="C6427" i="2" s="1"/>
  <c r="C6428" i="2" s="1"/>
  <c r="C6429" i="2" s="1"/>
  <c r="C6430" i="2" s="1"/>
  <c r="C6431" i="2" s="1"/>
  <c r="C6432" i="2" s="1"/>
  <c r="C6433" i="2" s="1"/>
  <c r="C6434" i="2" s="1"/>
  <c r="C6435" i="2" s="1"/>
  <c r="C6436" i="2" s="1"/>
  <c r="C6437" i="2" s="1"/>
  <c r="C6438" i="2" s="1"/>
  <c r="C6439" i="2" s="1"/>
  <c r="C6440" i="2" s="1"/>
  <c r="C6441" i="2" s="1"/>
  <c r="C6442" i="2" s="1"/>
  <c r="C6443" i="2" s="1"/>
  <c r="C6444" i="2" s="1"/>
  <c r="C6445" i="2" s="1"/>
  <c r="C6446" i="2" s="1"/>
  <c r="C6447" i="2" s="1"/>
  <c r="C6448" i="2" s="1"/>
  <c r="C6449" i="2" s="1"/>
  <c r="C6450" i="2" s="1"/>
  <c r="C6451" i="2" s="1"/>
  <c r="C6452" i="2" s="1"/>
  <c r="C6453" i="2" s="1"/>
  <c r="C6454" i="2" s="1"/>
  <c r="C6455" i="2" s="1"/>
  <c r="C6456" i="2" s="1"/>
  <c r="C6457" i="2" s="1"/>
  <c r="C6458" i="2" s="1"/>
  <c r="C6459" i="2" s="1"/>
  <c r="C6460" i="2" s="1"/>
  <c r="C6461" i="2" s="1"/>
  <c r="C6462" i="2" s="1"/>
  <c r="C6463" i="2" s="1"/>
  <c r="C6464" i="2" s="1"/>
  <c r="C6465" i="2" s="1"/>
  <c r="C6466" i="2" s="1"/>
  <c r="C6467" i="2" s="1"/>
  <c r="C6468" i="2" s="1"/>
  <c r="C6469" i="2" s="1"/>
  <c r="C6470" i="2" s="1"/>
  <c r="C6471" i="2" s="1"/>
  <c r="C6472" i="2" s="1"/>
  <c r="C6473" i="2" s="1"/>
  <c r="C6474" i="2" s="1"/>
  <c r="C6475" i="2" s="1"/>
  <c r="C6476" i="2" s="1"/>
  <c r="C6477" i="2" s="1"/>
  <c r="C6478" i="2" s="1"/>
  <c r="C6479" i="2" s="1"/>
  <c r="C6480" i="2" s="1"/>
  <c r="C6481" i="2" s="1"/>
  <c r="C6482" i="2" s="1"/>
  <c r="C6483" i="2" s="1"/>
  <c r="C6484" i="2" s="1"/>
  <c r="C6485" i="2" s="1"/>
  <c r="C6486" i="2" s="1"/>
  <c r="C6487" i="2" s="1"/>
  <c r="C6488" i="2" s="1"/>
  <c r="C6489" i="2" s="1"/>
  <c r="C6490" i="2" s="1"/>
  <c r="C6491" i="2" s="1"/>
  <c r="C6492" i="2" s="1"/>
  <c r="C6493" i="2" s="1"/>
  <c r="C6494" i="2" s="1"/>
  <c r="C6495" i="2" s="1"/>
  <c r="C6496" i="2" s="1"/>
  <c r="C6497" i="2" s="1"/>
  <c r="C6498" i="2" s="1"/>
  <c r="C6499" i="2" s="1"/>
  <c r="C6500" i="2" s="1"/>
  <c r="C6501" i="2" s="1"/>
  <c r="C6502" i="2" s="1"/>
  <c r="C6503" i="2" s="1"/>
  <c r="C6504" i="2" s="1"/>
  <c r="C6505" i="2" s="1"/>
  <c r="C6506" i="2" s="1"/>
  <c r="C6507" i="2" s="1"/>
  <c r="C6508" i="2" s="1"/>
  <c r="C6509" i="2" s="1"/>
  <c r="C6510" i="2" s="1"/>
  <c r="C6511" i="2" s="1"/>
  <c r="C6512" i="2" s="1"/>
  <c r="C6513" i="2" s="1"/>
  <c r="C6514" i="2" s="1"/>
  <c r="C6515" i="2" s="1"/>
  <c r="C6516" i="2" s="1"/>
  <c r="C6517" i="2" s="1"/>
  <c r="C6518" i="2" s="1"/>
  <c r="C6519" i="2" s="1"/>
  <c r="C6520" i="2" s="1"/>
  <c r="C6521" i="2" s="1"/>
  <c r="C6522" i="2" s="1"/>
  <c r="C6523" i="2" s="1"/>
  <c r="C6524" i="2" s="1"/>
  <c r="C6525" i="2" s="1"/>
  <c r="C6526" i="2" s="1"/>
  <c r="C6527" i="2" s="1"/>
  <c r="C6528" i="2" s="1"/>
  <c r="C6529" i="2" s="1"/>
  <c r="C6530" i="2" s="1"/>
  <c r="C6531" i="2" s="1"/>
  <c r="C6532" i="2" s="1"/>
  <c r="C6533" i="2" s="1"/>
  <c r="C6534" i="2" s="1"/>
  <c r="C6535" i="2" s="1"/>
  <c r="C6536" i="2" s="1"/>
  <c r="C6537" i="2" s="1"/>
  <c r="C6538" i="2" s="1"/>
  <c r="C6539" i="2" s="1"/>
  <c r="C6540" i="2" s="1"/>
  <c r="C6541" i="2" s="1"/>
  <c r="C6542" i="2" s="1"/>
  <c r="C6543" i="2" s="1"/>
  <c r="C6544" i="2" s="1"/>
  <c r="C6545" i="2" s="1"/>
  <c r="C6546" i="2" s="1"/>
  <c r="C6547" i="2" s="1"/>
  <c r="C6548" i="2" s="1"/>
  <c r="C6549" i="2" s="1"/>
  <c r="C6550" i="2" s="1"/>
  <c r="C6551" i="2" s="1"/>
  <c r="C6552" i="2" s="1"/>
  <c r="C6553" i="2" s="1"/>
  <c r="C6554" i="2" s="1"/>
  <c r="C6555" i="2" s="1"/>
  <c r="C6556" i="2" s="1"/>
  <c r="C6557" i="2" s="1"/>
  <c r="C6558" i="2" s="1"/>
  <c r="C6559" i="2" s="1"/>
  <c r="C6560" i="2" s="1"/>
  <c r="C6561" i="2" s="1"/>
  <c r="C6562" i="2" s="1"/>
  <c r="C6563" i="2" s="1"/>
  <c r="C6564" i="2" s="1"/>
  <c r="C6565" i="2" s="1"/>
  <c r="C6566" i="2" s="1"/>
  <c r="C6567" i="2" s="1"/>
  <c r="C6568" i="2" s="1"/>
  <c r="C6569" i="2" s="1"/>
  <c r="C6570" i="2" s="1"/>
  <c r="C6571" i="2" s="1"/>
  <c r="C6572" i="2" s="1"/>
  <c r="C6573" i="2" s="1"/>
  <c r="C6574" i="2" s="1"/>
  <c r="C6575" i="2" s="1"/>
  <c r="C6576" i="2" s="1"/>
  <c r="C6577" i="2" s="1"/>
  <c r="C6578" i="2" s="1"/>
  <c r="C6579" i="2" s="1"/>
  <c r="C6580" i="2" s="1"/>
  <c r="C6581" i="2" s="1"/>
  <c r="C6582" i="2" s="1"/>
  <c r="C6583" i="2" s="1"/>
  <c r="C6584" i="2" s="1"/>
  <c r="C6585" i="2" s="1"/>
  <c r="C6586" i="2" s="1"/>
  <c r="C6587" i="2" s="1"/>
  <c r="C6588" i="2" s="1"/>
  <c r="C6589" i="2" s="1"/>
  <c r="C6590" i="2" s="1"/>
  <c r="C6591" i="2" s="1"/>
  <c r="C6592" i="2" s="1"/>
  <c r="C6593" i="2" s="1"/>
  <c r="C6594" i="2" s="1"/>
  <c r="C6595" i="2" s="1"/>
  <c r="C6596" i="2" s="1"/>
  <c r="C6597" i="2" s="1"/>
  <c r="C6598" i="2" s="1"/>
  <c r="C6599" i="2" s="1"/>
  <c r="C6600" i="2" s="1"/>
  <c r="C6601" i="2" s="1"/>
  <c r="C6602" i="2" s="1"/>
  <c r="C6603" i="2" s="1"/>
  <c r="C6604" i="2" s="1"/>
  <c r="C6605" i="2" s="1"/>
  <c r="C6606" i="2" s="1"/>
  <c r="C6607" i="2" s="1"/>
  <c r="C6608" i="2" s="1"/>
  <c r="C6609" i="2" s="1"/>
  <c r="C6610" i="2" s="1"/>
  <c r="C6611" i="2" s="1"/>
  <c r="C6612" i="2" s="1"/>
  <c r="C6613" i="2" s="1"/>
  <c r="C6614" i="2" s="1"/>
  <c r="C6615" i="2" s="1"/>
  <c r="C6616" i="2" s="1"/>
  <c r="C6617" i="2" s="1"/>
  <c r="C6618" i="2" s="1"/>
  <c r="C6619" i="2" s="1"/>
  <c r="C6620" i="2" s="1"/>
  <c r="C6621" i="2" s="1"/>
  <c r="C6622" i="2" s="1"/>
  <c r="C6623" i="2" s="1"/>
  <c r="C6624" i="2" s="1"/>
  <c r="C6625" i="2" s="1"/>
  <c r="C6626" i="2" s="1"/>
  <c r="C6627" i="2" s="1"/>
  <c r="C6628" i="2" s="1"/>
  <c r="C6629" i="2" s="1"/>
  <c r="C6630" i="2" s="1"/>
  <c r="C6631" i="2" s="1"/>
  <c r="C6632" i="2" s="1"/>
  <c r="C6633" i="2" s="1"/>
  <c r="C6634" i="2" s="1"/>
  <c r="C6635" i="2" s="1"/>
  <c r="C6636" i="2" s="1"/>
  <c r="C6637" i="2" s="1"/>
  <c r="C6638" i="2" s="1"/>
  <c r="C6639" i="2" s="1"/>
  <c r="C6640" i="2" s="1"/>
  <c r="C6641" i="2" s="1"/>
  <c r="C6642" i="2" s="1"/>
  <c r="C6643" i="2" s="1"/>
  <c r="C6644" i="2" s="1"/>
  <c r="C6645" i="2" s="1"/>
  <c r="C6646" i="2" s="1"/>
  <c r="C6647" i="2" s="1"/>
  <c r="C6648" i="2" s="1"/>
  <c r="C6649" i="2" s="1"/>
  <c r="C6650" i="2" s="1"/>
  <c r="C6651" i="2" s="1"/>
  <c r="C6652" i="2" s="1"/>
  <c r="C6653" i="2" s="1"/>
  <c r="C6654" i="2" s="1"/>
  <c r="C6655" i="2" s="1"/>
  <c r="C6656" i="2" s="1"/>
  <c r="C6657" i="2" s="1"/>
  <c r="C6658" i="2" s="1"/>
  <c r="C6659" i="2" s="1"/>
  <c r="C6660" i="2" s="1"/>
  <c r="C6661" i="2" s="1"/>
  <c r="C6662" i="2" s="1"/>
  <c r="C6663" i="2" s="1"/>
  <c r="C6664" i="2" s="1"/>
  <c r="C6665" i="2" s="1"/>
  <c r="C6666" i="2" s="1"/>
  <c r="C6667" i="2" s="1"/>
  <c r="C6668" i="2" s="1"/>
  <c r="C6669" i="2" s="1"/>
  <c r="C6670" i="2" s="1"/>
  <c r="C6671" i="2" s="1"/>
  <c r="C6672" i="2" s="1"/>
  <c r="C6673" i="2" s="1"/>
  <c r="C6674" i="2" s="1"/>
  <c r="C6675" i="2" s="1"/>
  <c r="C6676" i="2" s="1"/>
  <c r="C6677" i="2" s="1"/>
  <c r="C6678" i="2" s="1"/>
  <c r="C6679" i="2" s="1"/>
  <c r="C6680" i="2" s="1"/>
  <c r="C6681" i="2" s="1"/>
  <c r="C6682" i="2" s="1"/>
  <c r="C6683" i="2" s="1"/>
  <c r="C6684" i="2" s="1"/>
  <c r="C6685" i="2" s="1"/>
  <c r="C6686" i="2" s="1"/>
  <c r="C6687" i="2" s="1"/>
  <c r="C6688" i="2" s="1"/>
  <c r="C6689" i="2" s="1"/>
  <c r="C6690" i="2" s="1"/>
  <c r="C6691" i="2" s="1"/>
  <c r="C6692" i="2" s="1"/>
  <c r="C6693" i="2" s="1"/>
  <c r="C6694" i="2" s="1"/>
  <c r="C6695" i="2" s="1"/>
  <c r="C6696" i="2" s="1"/>
  <c r="C6697" i="2" s="1"/>
  <c r="C6698" i="2" s="1"/>
  <c r="C6699" i="2" s="1"/>
  <c r="C6700" i="2" s="1"/>
  <c r="C6701" i="2" s="1"/>
  <c r="C6702" i="2" s="1"/>
  <c r="C6703" i="2" s="1"/>
  <c r="C6704" i="2" s="1"/>
  <c r="C6705" i="2" s="1"/>
  <c r="C6706" i="2" s="1"/>
  <c r="C6707" i="2" s="1"/>
  <c r="C6708" i="2" s="1"/>
  <c r="C6709" i="2" s="1"/>
  <c r="C6710" i="2" s="1"/>
  <c r="C6711" i="2" s="1"/>
  <c r="C6712" i="2" s="1"/>
  <c r="C6713" i="2" s="1"/>
  <c r="C6714" i="2" s="1"/>
  <c r="C6715" i="2" s="1"/>
  <c r="C6716" i="2" s="1"/>
  <c r="C6717" i="2" s="1"/>
  <c r="C6718" i="2" s="1"/>
  <c r="C6719" i="2" s="1"/>
  <c r="C6720" i="2" s="1"/>
  <c r="C6721" i="2" s="1"/>
  <c r="C6722" i="2" s="1"/>
  <c r="C6723" i="2" s="1"/>
  <c r="C6724" i="2" s="1"/>
  <c r="C6725" i="2" s="1"/>
  <c r="C6726" i="2" s="1"/>
  <c r="C6727" i="2" s="1"/>
  <c r="C6728" i="2" s="1"/>
  <c r="C6729" i="2" s="1"/>
  <c r="C6730" i="2" s="1"/>
  <c r="C6731" i="2" s="1"/>
  <c r="C6732" i="2" s="1"/>
  <c r="C6733" i="2" s="1"/>
  <c r="C6734" i="2" s="1"/>
  <c r="C6735" i="2" s="1"/>
  <c r="C6736" i="2" s="1"/>
  <c r="C6737" i="2" s="1"/>
  <c r="C6738" i="2" s="1"/>
  <c r="C6739" i="2" s="1"/>
  <c r="C6740" i="2" s="1"/>
  <c r="C6741" i="2" s="1"/>
  <c r="C6742" i="2" s="1"/>
  <c r="C6743" i="2" s="1"/>
  <c r="C6744" i="2" s="1"/>
  <c r="C6745" i="2" s="1"/>
  <c r="C6746" i="2" s="1"/>
  <c r="C6747" i="2" s="1"/>
  <c r="C6748" i="2" s="1"/>
  <c r="C6749" i="2" s="1"/>
  <c r="C6750" i="2" s="1"/>
  <c r="C6751" i="2" s="1"/>
  <c r="C6752" i="2" s="1"/>
  <c r="C6753" i="2" s="1"/>
  <c r="C6754" i="2" s="1"/>
  <c r="C6755" i="2" s="1"/>
  <c r="C6756" i="2" s="1"/>
  <c r="C6757" i="2" s="1"/>
  <c r="C6758" i="2" s="1"/>
  <c r="C6759" i="2" s="1"/>
  <c r="C6760" i="2" s="1"/>
  <c r="C6761" i="2" s="1"/>
  <c r="C6762" i="2" s="1"/>
  <c r="C6763" i="2" s="1"/>
  <c r="C6764" i="2" s="1"/>
  <c r="C6765" i="2" s="1"/>
  <c r="C6766" i="2" s="1"/>
  <c r="C6767" i="2" s="1"/>
  <c r="C6768" i="2" s="1"/>
  <c r="C6769" i="2" s="1"/>
  <c r="C6770" i="2" s="1"/>
  <c r="C6771" i="2" s="1"/>
  <c r="C6772" i="2" s="1"/>
  <c r="C6773" i="2" s="1"/>
  <c r="C6774" i="2" s="1"/>
  <c r="C6775" i="2" s="1"/>
  <c r="C6776" i="2" s="1"/>
  <c r="C6777" i="2" s="1"/>
  <c r="C6778" i="2" s="1"/>
  <c r="C6779" i="2" s="1"/>
  <c r="C6780" i="2" s="1"/>
  <c r="C6781" i="2" s="1"/>
  <c r="C6782" i="2" s="1"/>
  <c r="C6783" i="2" s="1"/>
  <c r="C6784" i="2" s="1"/>
  <c r="C6785" i="2" s="1"/>
  <c r="C6786" i="2" s="1"/>
  <c r="C6787" i="2" s="1"/>
  <c r="C6788" i="2" s="1"/>
  <c r="C6789" i="2" s="1"/>
  <c r="C6790" i="2" s="1"/>
  <c r="C6791" i="2" s="1"/>
  <c r="C6792" i="2" s="1"/>
  <c r="C6793" i="2" s="1"/>
  <c r="C6794" i="2" s="1"/>
  <c r="C6795" i="2" s="1"/>
  <c r="C6796" i="2" s="1"/>
  <c r="C6797" i="2" s="1"/>
  <c r="C6798" i="2" s="1"/>
  <c r="C6799" i="2" s="1"/>
  <c r="C6800" i="2" s="1"/>
  <c r="C6801" i="2" s="1"/>
  <c r="C6802" i="2" s="1"/>
  <c r="C6803" i="2" s="1"/>
  <c r="C6804" i="2" s="1"/>
  <c r="C6805" i="2" s="1"/>
  <c r="C6806" i="2" s="1"/>
  <c r="C6807" i="2" s="1"/>
  <c r="C6808" i="2" s="1"/>
  <c r="C6809" i="2" s="1"/>
  <c r="C6810" i="2" s="1"/>
  <c r="C6811" i="2" s="1"/>
  <c r="C6812" i="2" s="1"/>
  <c r="C6813" i="2" s="1"/>
  <c r="C6814" i="2" s="1"/>
  <c r="C6815" i="2" s="1"/>
  <c r="C6816" i="2" s="1"/>
  <c r="C6817" i="2" s="1"/>
  <c r="C6818" i="2" s="1"/>
  <c r="C6819" i="2" s="1"/>
  <c r="C6820" i="2" s="1"/>
  <c r="C6821" i="2" s="1"/>
  <c r="C6822" i="2" s="1"/>
  <c r="C6823" i="2" s="1"/>
  <c r="C6824" i="2" s="1"/>
  <c r="C6825" i="2" s="1"/>
  <c r="C6826" i="2" s="1"/>
  <c r="C6827" i="2" s="1"/>
  <c r="C6828" i="2" s="1"/>
  <c r="C6829" i="2" s="1"/>
  <c r="C6830" i="2" s="1"/>
  <c r="C6831" i="2" s="1"/>
  <c r="C6832" i="2" s="1"/>
  <c r="C6833" i="2" s="1"/>
  <c r="C6834" i="2" s="1"/>
  <c r="C6835" i="2" s="1"/>
  <c r="C6836" i="2" s="1"/>
  <c r="C6837" i="2" s="1"/>
  <c r="C6838" i="2" s="1"/>
  <c r="C6839" i="2" s="1"/>
  <c r="C6840" i="2" s="1"/>
  <c r="C6841" i="2" s="1"/>
  <c r="C6842" i="2" s="1"/>
  <c r="C6843" i="2" s="1"/>
  <c r="C6844" i="2" s="1"/>
  <c r="C6845" i="2" s="1"/>
  <c r="C6846" i="2" s="1"/>
  <c r="C6847" i="2" s="1"/>
  <c r="C6848" i="2" s="1"/>
  <c r="C6849" i="2" s="1"/>
  <c r="C6850" i="2" s="1"/>
  <c r="C6851" i="2" s="1"/>
  <c r="C6852" i="2" s="1"/>
  <c r="C6853" i="2" s="1"/>
  <c r="C6854" i="2" s="1"/>
  <c r="C6855" i="2" s="1"/>
  <c r="C6856" i="2" s="1"/>
  <c r="C6857" i="2" s="1"/>
  <c r="C6858" i="2" s="1"/>
  <c r="C6859" i="2" s="1"/>
  <c r="C6860" i="2" s="1"/>
  <c r="C6861" i="2" s="1"/>
  <c r="C6862" i="2" s="1"/>
  <c r="C6863" i="2" s="1"/>
  <c r="C6864" i="2" s="1"/>
  <c r="C6865" i="2" s="1"/>
  <c r="C6866" i="2" s="1"/>
  <c r="C6867" i="2" s="1"/>
  <c r="C6868" i="2" s="1"/>
  <c r="C6869" i="2" s="1"/>
  <c r="C6870" i="2" s="1"/>
  <c r="C6871" i="2" s="1"/>
  <c r="C6872" i="2" s="1"/>
  <c r="C6873" i="2" s="1"/>
  <c r="C6874" i="2" s="1"/>
  <c r="C6875" i="2" s="1"/>
  <c r="C6876" i="2" s="1"/>
  <c r="C6877" i="2" s="1"/>
  <c r="C6878" i="2" s="1"/>
  <c r="C6879" i="2" s="1"/>
  <c r="C6880" i="2" s="1"/>
  <c r="C6881" i="2" s="1"/>
  <c r="C6882" i="2" s="1"/>
  <c r="C6883" i="2" s="1"/>
  <c r="C6884" i="2" s="1"/>
  <c r="C6885" i="2" s="1"/>
  <c r="C6886" i="2" s="1"/>
  <c r="C6887" i="2" s="1"/>
  <c r="C6888" i="2" s="1"/>
  <c r="C6889" i="2" s="1"/>
  <c r="C6890" i="2" s="1"/>
  <c r="C6891" i="2" s="1"/>
  <c r="C6892" i="2" s="1"/>
  <c r="C6893" i="2" s="1"/>
  <c r="C6894" i="2" s="1"/>
  <c r="C6895" i="2" s="1"/>
  <c r="C6896" i="2" s="1"/>
  <c r="C6897" i="2" s="1"/>
  <c r="C6898" i="2" s="1"/>
  <c r="C6899" i="2" s="1"/>
  <c r="C6900" i="2" s="1"/>
  <c r="C6901" i="2" s="1"/>
  <c r="C6902" i="2" s="1"/>
  <c r="C6903" i="2" s="1"/>
  <c r="C6904" i="2" s="1"/>
  <c r="C6905" i="2" s="1"/>
  <c r="C6906" i="2" s="1"/>
  <c r="C6907" i="2" s="1"/>
  <c r="C6908" i="2" s="1"/>
  <c r="C6909" i="2" s="1"/>
  <c r="C6910" i="2" s="1"/>
  <c r="C6911" i="2" s="1"/>
  <c r="C6912" i="2" s="1"/>
  <c r="C6913" i="2" s="1"/>
  <c r="C6914" i="2" s="1"/>
  <c r="C6915" i="2" s="1"/>
  <c r="C6916" i="2" s="1"/>
  <c r="C6917" i="2" s="1"/>
  <c r="C6918" i="2" s="1"/>
  <c r="C6919" i="2" s="1"/>
  <c r="C6920" i="2" s="1"/>
  <c r="C6921" i="2" s="1"/>
  <c r="C6922" i="2" s="1"/>
  <c r="C6923" i="2" s="1"/>
  <c r="C6924" i="2" s="1"/>
  <c r="C6925" i="2" s="1"/>
  <c r="C6926" i="2" s="1"/>
  <c r="C6927" i="2" s="1"/>
  <c r="C6928" i="2" s="1"/>
  <c r="C6929" i="2" s="1"/>
  <c r="C6930" i="2" s="1"/>
  <c r="C6931" i="2" s="1"/>
  <c r="C6932" i="2" s="1"/>
  <c r="C6933" i="2" s="1"/>
  <c r="C6934" i="2" s="1"/>
  <c r="C6935" i="2" s="1"/>
  <c r="C6936" i="2" s="1"/>
  <c r="C6937" i="2" s="1"/>
  <c r="C6938" i="2" s="1"/>
  <c r="C6939" i="2" s="1"/>
  <c r="C6940" i="2" s="1"/>
  <c r="C6941" i="2" s="1"/>
  <c r="C6942" i="2" s="1"/>
  <c r="C6943" i="2" s="1"/>
  <c r="C6944" i="2" s="1"/>
  <c r="C6945" i="2" s="1"/>
  <c r="C6946" i="2" s="1"/>
  <c r="C6947" i="2" s="1"/>
  <c r="C6948" i="2" s="1"/>
  <c r="C6949" i="2" s="1"/>
  <c r="C6950" i="2" s="1"/>
  <c r="C6951" i="2" s="1"/>
  <c r="C6952" i="2" s="1"/>
  <c r="C6953" i="2" s="1"/>
  <c r="C6954" i="2" s="1"/>
  <c r="C6955" i="2" s="1"/>
  <c r="C6956" i="2" s="1"/>
  <c r="C6957" i="2" s="1"/>
  <c r="C6958" i="2" s="1"/>
  <c r="C6959" i="2" s="1"/>
  <c r="C6960" i="2" s="1"/>
  <c r="C6961" i="2" s="1"/>
  <c r="C6962" i="2" s="1"/>
  <c r="C6963" i="2" s="1"/>
  <c r="C6964" i="2" s="1"/>
  <c r="C6965" i="2" s="1"/>
  <c r="C6966" i="2" s="1"/>
  <c r="C6967" i="2" s="1"/>
  <c r="C6968" i="2" s="1"/>
  <c r="C6969" i="2" s="1"/>
  <c r="C6970" i="2" s="1"/>
  <c r="C6971" i="2" s="1"/>
  <c r="C6972" i="2" s="1"/>
  <c r="C6973" i="2" s="1"/>
  <c r="C6974" i="2" s="1"/>
  <c r="C6975" i="2" s="1"/>
  <c r="C6976" i="2" s="1"/>
  <c r="C6977" i="2" s="1"/>
  <c r="C6978" i="2" s="1"/>
  <c r="C6979" i="2" s="1"/>
  <c r="C6980" i="2" s="1"/>
  <c r="C6981" i="2" s="1"/>
  <c r="C6982" i="2" s="1"/>
  <c r="C6983" i="2" s="1"/>
  <c r="C6984" i="2" s="1"/>
  <c r="C6985" i="2" s="1"/>
  <c r="C6986" i="2" s="1"/>
  <c r="C6987" i="2" s="1"/>
  <c r="C6988" i="2" s="1"/>
  <c r="C6989" i="2" s="1"/>
  <c r="C6990" i="2" s="1"/>
  <c r="C6991" i="2" s="1"/>
  <c r="C6992" i="2" s="1"/>
  <c r="C6993" i="2" s="1"/>
  <c r="C6994" i="2" s="1"/>
  <c r="C6995" i="2" s="1"/>
  <c r="C6996" i="2" s="1"/>
  <c r="C6997" i="2" s="1"/>
  <c r="C6998" i="2" s="1"/>
  <c r="C6999" i="2" s="1"/>
  <c r="C7000" i="2" s="1"/>
  <c r="C7001" i="2" s="1"/>
  <c r="C7002" i="2" s="1"/>
  <c r="C7003" i="2" s="1"/>
  <c r="C7004" i="2" s="1"/>
  <c r="C7005" i="2" s="1"/>
  <c r="C7006" i="2" s="1"/>
  <c r="C7007" i="2" s="1"/>
  <c r="C7008" i="2" s="1"/>
  <c r="C7009" i="2" s="1"/>
  <c r="C7010" i="2" s="1"/>
  <c r="C7011" i="2" s="1"/>
  <c r="C7012" i="2" s="1"/>
  <c r="C7013" i="2" s="1"/>
  <c r="C7014" i="2" s="1"/>
  <c r="C7015" i="2" s="1"/>
  <c r="C7016" i="2" s="1"/>
  <c r="C7017" i="2" s="1"/>
  <c r="C7018" i="2" s="1"/>
  <c r="C7019" i="2" s="1"/>
  <c r="C7020" i="2" s="1"/>
  <c r="C7021" i="2" s="1"/>
  <c r="C7022" i="2" s="1"/>
  <c r="C7023" i="2" s="1"/>
  <c r="C7024" i="2" s="1"/>
  <c r="C7025" i="2" s="1"/>
  <c r="C7026" i="2" s="1"/>
  <c r="C7027" i="2" s="1"/>
  <c r="C7028" i="2" s="1"/>
  <c r="C7029" i="2" s="1"/>
  <c r="C7030" i="2" s="1"/>
  <c r="C7031" i="2" s="1"/>
  <c r="C7032" i="2" s="1"/>
  <c r="C7033" i="2" s="1"/>
  <c r="C7034" i="2" s="1"/>
  <c r="C7035" i="2" s="1"/>
  <c r="C7036" i="2" s="1"/>
  <c r="C7037" i="2" s="1"/>
  <c r="C7038" i="2" s="1"/>
  <c r="C7039" i="2" s="1"/>
  <c r="C7040" i="2" s="1"/>
  <c r="C7041" i="2" s="1"/>
  <c r="C7042" i="2" s="1"/>
  <c r="C7043" i="2" s="1"/>
  <c r="C7044" i="2" s="1"/>
  <c r="C7045" i="2" s="1"/>
  <c r="C7046" i="2" s="1"/>
  <c r="C7047" i="2" s="1"/>
  <c r="C7048" i="2" s="1"/>
  <c r="C7049" i="2" s="1"/>
  <c r="C7050" i="2" s="1"/>
  <c r="C7051" i="2" s="1"/>
  <c r="C7052" i="2" s="1"/>
  <c r="C7053" i="2" s="1"/>
  <c r="C7054" i="2" s="1"/>
  <c r="C7055" i="2" s="1"/>
  <c r="C7056" i="2" s="1"/>
  <c r="C7057" i="2" s="1"/>
  <c r="C7058" i="2" s="1"/>
  <c r="C7059" i="2" s="1"/>
  <c r="C7060" i="2" s="1"/>
  <c r="C7061" i="2" s="1"/>
  <c r="C7062" i="2" s="1"/>
  <c r="C7063" i="2" s="1"/>
  <c r="C7064" i="2" s="1"/>
  <c r="C7065" i="2" s="1"/>
  <c r="C7066" i="2" s="1"/>
  <c r="C7067" i="2" s="1"/>
  <c r="C7068" i="2" s="1"/>
  <c r="C7069" i="2" s="1"/>
  <c r="C7070" i="2" s="1"/>
  <c r="C7071" i="2" s="1"/>
  <c r="C7072" i="2" s="1"/>
  <c r="C7073" i="2" s="1"/>
  <c r="C7074" i="2" s="1"/>
  <c r="C7075" i="2" s="1"/>
  <c r="C7076" i="2" s="1"/>
  <c r="C7077" i="2" s="1"/>
  <c r="C7078" i="2" s="1"/>
  <c r="C7079" i="2" s="1"/>
  <c r="C7080" i="2" s="1"/>
  <c r="C7081" i="2" s="1"/>
  <c r="C7082" i="2" s="1"/>
  <c r="C7083" i="2" s="1"/>
  <c r="C7084" i="2" s="1"/>
  <c r="C7085" i="2" s="1"/>
  <c r="C7086" i="2" s="1"/>
  <c r="C7087" i="2" s="1"/>
  <c r="C7088" i="2" s="1"/>
  <c r="C7089" i="2" s="1"/>
  <c r="C7090" i="2" s="1"/>
  <c r="C7091" i="2" s="1"/>
  <c r="C7092" i="2" s="1"/>
  <c r="C7093" i="2" s="1"/>
  <c r="C7094" i="2" s="1"/>
  <c r="C7095" i="2" s="1"/>
  <c r="C7096" i="2" s="1"/>
  <c r="C7097" i="2" s="1"/>
  <c r="C7098" i="2" s="1"/>
  <c r="C7099" i="2" s="1"/>
  <c r="C7100" i="2" s="1"/>
  <c r="C7101" i="2" s="1"/>
  <c r="C7102" i="2" s="1"/>
  <c r="C7103" i="2" s="1"/>
  <c r="C7104" i="2" s="1"/>
  <c r="C7105" i="2" s="1"/>
  <c r="C7106" i="2" s="1"/>
  <c r="C7107" i="2" s="1"/>
  <c r="C7108" i="2" s="1"/>
  <c r="C7109" i="2" s="1"/>
  <c r="C7110" i="2" s="1"/>
  <c r="C7111" i="2" s="1"/>
  <c r="C7112" i="2" s="1"/>
  <c r="C7113" i="2" s="1"/>
  <c r="C7114" i="2" s="1"/>
  <c r="C7115" i="2" s="1"/>
  <c r="C7116" i="2" s="1"/>
  <c r="C7117" i="2" s="1"/>
  <c r="C7118" i="2" s="1"/>
  <c r="C7119" i="2" s="1"/>
  <c r="C7120" i="2" s="1"/>
  <c r="C7121" i="2" s="1"/>
  <c r="C7122" i="2" s="1"/>
  <c r="C7123" i="2" s="1"/>
  <c r="C7124" i="2" s="1"/>
  <c r="C7125" i="2" s="1"/>
  <c r="C7126" i="2" s="1"/>
  <c r="C7127" i="2" s="1"/>
  <c r="C7128" i="2" s="1"/>
  <c r="C7129" i="2" s="1"/>
  <c r="C7130" i="2" s="1"/>
  <c r="C7131" i="2" s="1"/>
  <c r="C7132" i="2" s="1"/>
  <c r="C7133" i="2" s="1"/>
  <c r="C7134" i="2" s="1"/>
  <c r="C7135" i="2" s="1"/>
  <c r="C7136" i="2" s="1"/>
  <c r="C7137" i="2" s="1"/>
  <c r="C7138" i="2" s="1"/>
  <c r="C7139" i="2" s="1"/>
  <c r="C7140" i="2" s="1"/>
  <c r="C7141" i="2" s="1"/>
  <c r="C7142" i="2" s="1"/>
  <c r="C7143" i="2" s="1"/>
  <c r="C7144" i="2" s="1"/>
  <c r="C7145" i="2" s="1"/>
  <c r="C7146" i="2" s="1"/>
  <c r="C7147" i="2" s="1"/>
  <c r="C7148" i="2" s="1"/>
  <c r="C7149" i="2" s="1"/>
  <c r="C7150" i="2" s="1"/>
  <c r="C7151" i="2" s="1"/>
  <c r="C7152" i="2" s="1"/>
  <c r="C7153" i="2" s="1"/>
  <c r="C7154" i="2" s="1"/>
  <c r="C7155" i="2" s="1"/>
  <c r="C7156" i="2" s="1"/>
  <c r="C7157" i="2" s="1"/>
  <c r="C7158" i="2" s="1"/>
  <c r="C7159" i="2" s="1"/>
  <c r="C7160" i="2" s="1"/>
  <c r="C7161" i="2" s="1"/>
  <c r="C7162" i="2" s="1"/>
  <c r="C7163" i="2" s="1"/>
  <c r="C7164" i="2" s="1"/>
  <c r="C7165" i="2" s="1"/>
  <c r="C7166" i="2" s="1"/>
  <c r="C7167" i="2" s="1"/>
  <c r="C7168" i="2" s="1"/>
  <c r="C7169" i="2" s="1"/>
  <c r="C7170" i="2" s="1"/>
  <c r="C7171" i="2" s="1"/>
  <c r="C7172" i="2" s="1"/>
  <c r="C7173" i="2" s="1"/>
  <c r="C7174" i="2" s="1"/>
  <c r="C7175" i="2" s="1"/>
  <c r="C7176" i="2" s="1"/>
  <c r="C7177" i="2" s="1"/>
  <c r="C7178" i="2" s="1"/>
  <c r="C7179" i="2" s="1"/>
  <c r="C7180" i="2" s="1"/>
  <c r="C7181" i="2" s="1"/>
  <c r="C7182" i="2" s="1"/>
  <c r="C7183" i="2" s="1"/>
  <c r="C7184" i="2" s="1"/>
  <c r="C7185" i="2" s="1"/>
  <c r="C7186" i="2" s="1"/>
  <c r="C7187" i="2" s="1"/>
  <c r="C7188" i="2" s="1"/>
  <c r="C7189" i="2" s="1"/>
  <c r="C7190" i="2" s="1"/>
  <c r="C7191" i="2" s="1"/>
  <c r="C7192" i="2" s="1"/>
  <c r="C7193" i="2" s="1"/>
  <c r="C7194" i="2" s="1"/>
  <c r="C7195" i="2" s="1"/>
  <c r="C7196" i="2" s="1"/>
  <c r="C7197" i="2" s="1"/>
  <c r="C7198" i="2" s="1"/>
  <c r="C7199" i="2" s="1"/>
  <c r="C7200" i="2" s="1"/>
  <c r="C7201" i="2" s="1"/>
  <c r="C7202" i="2" s="1"/>
  <c r="C7203" i="2" s="1"/>
  <c r="C7204" i="2" s="1"/>
  <c r="C7205" i="2" s="1"/>
  <c r="C7206" i="2" s="1"/>
  <c r="C7207" i="2" s="1"/>
  <c r="C7208" i="2" s="1"/>
  <c r="C7209" i="2" s="1"/>
  <c r="C7210" i="2" s="1"/>
  <c r="C7211" i="2" s="1"/>
  <c r="C7212" i="2" s="1"/>
  <c r="C7213" i="2" s="1"/>
  <c r="C7214" i="2" s="1"/>
  <c r="C7215" i="2" s="1"/>
  <c r="C7216" i="2" s="1"/>
  <c r="C7217" i="2" s="1"/>
  <c r="C7218" i="2" s="1"/>
  <c r="C7219" i="2" s="1"/>
  <c r="C7220" i="2" s="1"/>
  <c r="C7221" i="2" s="1"/>
  <c r="C7222" i="2" s="1"/>
  <c r="C7223" i="2" s="1"/>
  <c r="C7224" i="2" s="1"/>
  <c r="C7225" i="2" s="1"/>
  <c r="C7226" i="2" s="1"/>
  <c r="C7227" i="2" s="1"/>
  <c r="C7228" i="2" s="1"/>
  <c r="C7229" i="2" s="1"/>
  <c r="C7230" i="2" s="1"/>
  <c r="C7231" i="2" s="1"/>
  <c r="C7232" i="2" s="1"/>
  <c r="C7233" i="2" s="1"/>
  <c r="C7234" i="2" s="1"/>
  <c r="C7235" i="2" s="1"/>
  <c r="C7236" i="2" s="1"/>
  <c r="C7237" i="2" s="1"/>
  <c r="C7238" i="2" s="1"/>
  <c r="C7239" i="2" s="1"/>
  <c r="C7240" i="2" s="1"/>
  <c r="C7241" i="2" s="1"/>
  <c r="C7242" i="2" s="1"/>
  <c r="C7243" i="2" s="1"/>
  <c r="C7244" i="2" s="1"/>
  <c r="C7245" i="2" s="1"/>
  <c r="C7246" i="2" s="1"/>
  <c r="C7247" i="2" s="1"/>
  <c r="C7248" i="2" s="1"/>
  <c r="C7249" i="2" s="1"/>
  <c r="C7250" i="2" s="1"/>
  <c r="C7251" i="2" s="1"/>
  <c r="C7252" i="2" s="1"/>
  <c r="C7253" i="2" s="1"/>
  <c r="C7254" i="2" s="1"/>
  <c r="C7255" i="2" s="1"/>
  <c r="C7256" i="2" s="1"/>
  <c r="C7257" i="2" s="1"/>
  <c r="C7258" i="2" s="1"/>
  <c r="C7259" i="2" s="1"/>
  <c r="C7260" i="2" s="1"/>
  <c r="C7261" i="2" s="1"/>
  <c r="C7262" i="2" s="1"/>
  <c r="C7263" i="2" s="1"/>
  <c r="C7264" i="2" s="1"/>
  <c r="C7265" i="2" s="1"/>
  <c r="C7266" i="2" s="1"/>
  <c r="C7267" i="2" s="1"/>
  <c r="C7268" i="2" s="1"/>
  <c r="C7269" i="2" s="1"/>
  <c r="C7270" i="2" s="1"/>
  <c r="C7271" i="2" s="1"/>
  <c r="C7272" i="2" s="1"/>
  <c r="C7273" i="2" s="1"/>
  <c r="C7274" i="2" s="1"/>
  <c r="C7275" i="2" s="1"/>
  <c r="C7276" i="2" s="1"/>
  <c r="C7277" i="2" s="1"/>
  <c r="C7278" i="2" s="1"/>
  <c r="C7279" i="2" s="1"/>
  <c r="C7280" i="2" s="1"/>
  <c r="C7281" i="2" s="1"/>
  <c r="C7282" i="2" s="1"/>
  <c r="C7283" i="2" s="1"/>
  <c r="C7284" i="2" s="1"/>
  <c r="C7285" i="2" s="1"/>
  <c r="C7286" i="2" s="1"/>
  <c r="C7287" i="2" s="1"/>
  <c r="C7288" i="2" s="1"/>
  <c r="C7289" i="2" s="1"/>
  <c r="C7290" i="2" s="1"/>
  <c r="C7291" i="2" s="1"/>
  <c r="C7292" i="2" s="1"/>
  <c r="C7293" i="2" s="1"/>
  <c r="C7294" i="2" s="1"/>
  <c r="C7295" i="2" s="1"/>
  <c r="C7296" i="2" s="1"/>
  <c r="C7297" i="2" s="1"/>
  <c r="C7298" i="2" s="1"/>
  <c r="C7299" i="2" s="1"/>
  <c r="C7300" i="2" s="1"/>
  <c r="C7301" i="2" s="1"/>
  <c r="C7302" i="2" s="1"/>
  <c r="C7303" i="2" s="1"/>
  <c r="C7304" i="2" s="1"/>
  <c r="C7305" i="2" s="1"/>
  <c r="C7306" i="2" s="1"/>
  <c r="C7307" i="2" s="1"/>
  <c r="C7308" i="2" s="1"/>
  <c r="C7309" i="2" s="1"/>
  <c r="C7310" i="2" s="1"/>
  <c r="C7311" i="2" s="1"/>
  <c r="C7312" i="2" s="1"/>
  <c r="C7313" i="2" s="1"/>
  <c r="C7314" i="2" s="1"/>
  <c r="C7315" i="2" s="1"/>
  <c r="C7316" i="2" s="1"/>
  <c r="C7317" i="2" s="1"/>
  <c r="C7318" i="2" s="1"/>
  <c r="C7319" i="2" s="1"/>
  <c r="C7320" i="2" s="1"/>
  <c r="C7321" i="2" s="1"/>
  <c r="C7322" i="2" s="1"/>
  <c r="C7323" i="2" s="1"/>
  <c r="C7324" i="2" s="1"/>
  <c r="C7325" i="2" s="1"/>
  <c r="C7326" i="2" s="1"/>
  <c r="C7327" i="2" s="1"/>
  <c r="C7328" i="2" s="1"/>
  <c r="C7329" i="2" s="1"/>
  <c r="C7330" i="2" s="1"/>
  <c r="C7331" i="2" s="1"/>
  <c r="C7332" i="2" s="1"/>
  <c r="C7333" i="2" s="1"/>
  <c r="C7334" i="2" s="1"/>
  <c r="C7335" i="2" s="1"/>
  <c r="C7336" i="2" s="1"/>
  <c r="C7337" i="2" s="1"/>
  <c r="C7338" i="2" s="1"/>
  <c r="C7339" i="2" s="1"/>
  <c r="C7340" i="2" s="1"/>
  <c r="C7341" i="2" s="1"/>
  <c r="C7342" i="2" s="1"/>
  <c r="C7343" i="2" s="1"/>
  <c r="C7344" i="2" s="1"/>
  <c r="C7345" i="2" s="1"/>
  <c r="C7346" i="2" s="1"/>
  <c r="C7347" i="2" s="1"/>
  <c r="C7348" i="2" s="1"/>
  <c r="C7349" i="2" s="1"/>
  <c r="C7350" i="2" s="1"/>
  <c r="C7351" i="2" s="1"/>
  <c r="C7352" i="2" s="1"/>
  <c r="C7353" i="2" s="1"/>
  <c r="C7354" i="2" s="1"/>
  <c r="C7355" i="2" s="1"/>
  <c r="C7356" i="2" s="1"/>
  <c r="C7357" i="2" s="1"/>
  <c r="C7358" i="2" s="1"/>
  <c r="C7359" i="2" s="1"/>
  <c r="C7360" i="2" s="1"/>
  <c r="C7361" i="2" s="1"/>
  <c r="C7362" i="2" s="1"/>
  <c r="C7363" i="2" s="1"/>
  <c r="C7364" i="2" s="1"/>
  <c r="C7365" i="2" s="1"/>
  <c r="C7366" i="2" s="1"/>
  <c r="C7367" i="2" s="1"/>
  <c r="C7368" i="2" s="1"/>
  <c r="C7369" i="2" s="1"/>
  <c r="C7370" i="2" s="1"/>
  <c r="C7371" i="2" s="1"/>
  <c r="C7372" i="2" s="1"/>
  <c r="C7373" i="2" s="1"/>
  <c r="C7374" i="2" s="1"/>
  <c r="C7375" i="2" s="1"/>
  <c r="C7376" i="2" s="1"/>
  <c r="C7377" i="2" s="1"/>
  <c r="C7378" i="2" s="1"/>
  <c r="C7379" i="2" s="1"/>
  <c r="C7380" i="2" s="1"/>
  <c r="C7381" i="2" s="1"/>
  <c r="C7382" i="2" s="1"/>
  <c r="C7383" i="2" s="1"/>
  <c r="C7384" i="2" s="1"/>
  <c r="C7385" i="2" s="1"/>
  <c r="C7386" i="2" s="1"/>
  <c r="C7387" i="2" s="1"/>
  <c r="C7388" i="2" s="1"/>
  <c r="C7389" i="2" s="1"/>
  <c r="C7390" i="2" s="1"/>
  <c r="C7391" i="2" s="1"/>
  <c r="C7392" i="2" s="1"/>
  <c r="C7393" i="2" s="1"/>
  <c r="C7394" i="2" s="1"/>
  <c r="C7395" i="2" s="1"/>
  <c r="C7396" i="2" s="1"/>
  <c r="C7397" i="2" s="1"/>
  <c r="C7398" i="2" s="1"/>
  <c r="C7399" i="2" s="1"/>
  <c r="C7400" i="2" s="1"/>
  <c r="C7401" i="2" s="1"/>
  <c r="C7402" i="2" s="1"/>
  <c r="C7403" i="2" s="1"/>
  <c r="C7404" i="2" s="1"/>
  <c r="C7405" i="2" s="1"/>
  <c r="C7406" i="2" s="1"/>
  <c r="C7407" i="2" s="1"/>
  <c r="C7408" i="2" s="1"/>
  <c r="C7409" i="2" s="1"/>
  <c r="C7410" i="2" s="1"/>
  <c r="C7411" i="2" s="1"/>
  <c r="C7412" i="2" s="1"/>
  <c r="C7413" i="2" s="1"/>
  <c r="C7414" i="2" s="1"/>
  <c r="C7415" i="2" s="1"/>
  <c r="C7416" i="2" s="1"/>
  <c r="C7417" i="2" s="1"/>
  <c r="C7418" i="2" s="1"/>
  <c r="C7419" i="2" s="1"/>
  <c r="C7420" i="2" s="1"/>
  <c r="C7421" i="2" s="1"/>
  <c r="C7422" i="2" s="1"/>
  <c r="C7423" i="2" s="1"/>
  <c r="C7424" i="2" s="1"/>
  <c r="C7425" i="2" s="1"/>
  <c r="C7426" i="2" s="1"/>
  <c r="C7427" i="2" s="1"/>
  <c r="C7428" i="2" s="1"/>
  <c r="C7429" i="2" s="1"/>
  <c r="C7430" i="2" s="1"/>
  <c r="C7431" i="2" s="1"/>
  <c r="C7432" i="2" s="1"/>
  <c r="C7433" i="2" s="1"/>
  <c r="C7434" i="2" s="1"/>
  <c r="C7435" i="2" s="1"/>
  <c r="C7436" i="2" s="1"/>
  <c r="C7437" i="2" s="1"/>
  <c r="C7438" i="2" s="1"/>
  <c r="C7439" i="2" s="1"/>
  <c r="C7440" i="2" s="1"/>
  <c r="C7441" i="2" s="1"/>
  <c r="C7442" i="2" s="1"/>
  <c r="C7443" i="2" s="1"/>
  <c r="C7444" i="2" s="1"/>
  <c r="C7445" i="2" s="1"/>
  <c r="C7446" i="2" s="1"/>
  <c r="C7447" i="2" s="1"/>
  <c r="C7448" i="2" s="1"/>
  <c r="C7449" i="2" s="1"/>
  <c r="C7450" i="2" s="1"/>
  <c r="C7451" i="2" s="1"/>
  <c r="C7452" i="2" s="1"/>
  <c r="C7453" i="2" s="1"/>
  <c r="C7454" i="2" s="1"/>
  <c r="C7455" i="2" s="1"/>
  <c r="C7456" i="2" s="1"/>
  <c r="C7457" i="2" s="1"/>
  <c r="C7458" i="2" s="1"/>
  <c r="C7459" i="2" s="1"/>
  <c r="C7460" i="2" s="1"/>
  <c r="C7461" i="2" s="1"/>
  <c r="C7462" i="2" s="1"/>
  <c r="C7463" i="2" s="1"/>
  <c r="C7464" i="2" s="1"/>
  <c r="C7465" i="2" s="1"/>
  <c r="C7466" i="2" s="1"/>
  <c r="C7467" i="2" s="1"/>
  <c r="C7468" i="2" s="1"/>
  <c r="C7469" i="2" s="1"/>
  <c r="C7470" i="2" s="1"/>
  <c r="C7471" i="2" s="1"/>
  <c r="C7472" i="2" s="1"/>
  <c r="C7473" i="2" s="1"/>
  <c r="C7474" i="2" s="1"/>
  <c r="C7475" i="2" s="1"/>
  <c r="C7476" i="2" s="1"/>
  <c r="C7477" i="2" s="1"/>
  <c r="C7478" i="2" s="1"/>
  <c r="C7479" i="2" s="1"/>
  <c r="C7480" i="2" s="1"/>
  <c r="C7481" i="2" s="1"/>
  <c r="C7482" i="2" s="1"/>
  <c r="C7483" i="2" s="1"/>
  <c r="C7484" i="2" s="1"/>
  <c r="C7485" i="2" s="1"/>
  <c r="C7486" i="2" s="1"/>
  <c r="C7487" i="2" s="1"/>
  <c r="C7488" i="2" s="1"/>
  <c r="C7489" i="2" s="1"/>
  <c r="C7490" i="2" s="1"/>
  <c r="C7491" i="2" s="1"/>
  <c r="C7492" i="2" s="1"/>
  <c r="C7493" i="2" s="1"/>
  <c r="C7494" i="2" s="1"/>
  <c r="C7495" i="2" s="1"/>
  <c r="C7496" i="2" s="1"/>
  <c r="C7497" i="2" s="1"/>
  <c r="C7498" i="2" s="1"/>
  <c r="C7499" i="2" s="1"/>
  <c r="C7500" i="2" s="1"/>
  <c r="C7501" i="2" s="1"/>
  <c r="C7502" i="2" s="1"/>
  <c r="C7503" i="2" s="1"/>
  <c r="C7504" i="2" s="1"/>
  <c r="C7505" i="2" s="1"/>
  <c r="C7506" i="2" s="1"/>
  <c r="C7507" i="2" s="1"/>
  <c r="C7508" i="2" s="1"/>
  <c r="C7509" i="2" s="1"/>
  <c r="C7510" i="2" s="1"/>
  <c r="C7511" i="2" s="1"/>
  <c r="C7512" i="2" s="1"/>
  <c r="C7513" i="2" s="1"/>
  <c r="C7514" i="2" s="1"/>
  <c r="C7515" i="2" s="1"/>
  <c r="C7516" i="2" s="1"/>
  <c r="C7517" i="2" s="1"/>
  <c r="C7518" i="2" s="1"/>
  <c r="C7519" i="2" s="1"/>
  <c r="C7520" i="2" s="1"/>
  <c r="C7521" i="2" s="1"/>
  <c r="C7522" i="2" s="1"/>
  <c r="C7523" i="2" s="1"/>
  <c r="C7524" i="2" s="1"/>
  <c r="C7525" i="2" s="1"/>
  <c r="C7526" i="2" s="1"/>
  <c r="C7527" i="2" s="1"/>
  <c r="C7528" i="2" s="1"/>
  <c r="C7529" i="2" s="1"/>
  <c r="C7530" i="2" s="1"/>
  <c r="C7531" i="2" s="1"/>
  <c r="C7532" i="2" s="1"/>
  <c r="C7533" i="2" s="1"/>
  <c r="C7534" i="2" s="1"/>
  <c r="C7535" i="2" s="1"/>
  <c r="C7536" i="2" s="1"/>
  <c r="C7537" i="2" s="1"/>
  <c r="C7538" i="2" s="1"/>
  <c r="C7539" i="2" s="1"/>
  <c r="C7540" i="2" s="1"/>
  <c r="C7541" i="2" s="1"/>
  <c r="C7542" i="2" s="1"/>
  <c r="C7543" i="2" s="1"/>
  <c r="C7544" i="2" s="1"/>
  <c r="C7545" i="2" s="1"/>
  <c r="C7546" i="2" s="1"/>
  <c r="C7547" i="2" s="1"/>
  <c r="C7548" i="2" s="1"/>
  <c r="C7549" i="2" s="1"/>
  <c r="C7550" i="2" s="1"/>
  <c r="C7551" i="2" s="1"/>
  <c r="C7552" i="2" s="1"/>
  <c r="C7553" i="2" s="1"/>
  <c r="C7554" i="2" s="1"/>
  <c r="C7555" i="2" s="1"/>
  <c r="C7556" i="2" s="1"/>
  <c r="C7557" i="2" s="1"/>
  <c r="C7558" i="2" s="1"/>
  <c r="C7559" i="2" s="1"/>
  <c r="C7560" i="2" s="1"/>
  <c r="C7561" i="2" s="1"/>
  <c r="C7562" i="2" s="1"/>
  <c r="C7563" i="2" s="1"/>
  <c r="C7564" i="2" s="1"/>
  <c r="C7565" i="2" s="1"/>
  <c r="C7566" i="2" s="1"/>
  <c r="C7567" i="2" s="1"/>
  <c r="C7568" i="2" s="1"/>
  <c r="C7569" i="2" s="1"/>
  <c r="C7570" i="2" s="1"/>
  <c r="C7571" i="2" s="1"/>
  <c r="C7572" i="2" s="1"/>
  <c r="C7573" i="2" s="1"/>
  <c r="C7574" i="2" s="1"/>
  <c r="C7575" i="2" s="1"/>
  <c r="C7576" i="2" s="1"/>
  <c r="C7577" i="2" s="1"/>
  <c r="C7578" i="2" s="1"/>
  <c r="C7579" i="2" s="1"/>
  <c r="C7580" i="2" s="1"/>
  <c r="C7581" i="2" s="1"/>
  <c r="C7582" i="2" s="1"/>
  <c r="C7583" i="2" s="1"/>
  <c r="C7584" i="2" s="1"/>
  <c r="C7585" i="2" s="1"/>
  <c r="C7586" i="2" s="1"/>
  <c r="C7587" i="2" s="1"/>
  <c r="C7588" i="2" s="1"/>
  <c r="C7589" i="2" s="1"/>
  <c r="C7590" i="2" s="1"/>
  <c r="C7591" i="2" s="1"/>
  <c r="C7592" i="2" s="1"/>
  <c r="C7593" i="2" s="1"/>
  <c r="C7594" i="2" s="1"/>
  <c r="C7595" i="2" s="1"/>
  <c r="C7596" i="2" s="1"/>
  <c r="C7597" i="2" s="1"/>
  <c r="C7598" i="2" s="1"/>
  <c r="C7599" i="2" s="1"/>
  <c r="C7600" i="2" s="1"/>
  <c r="C7601" i="2" s="1"/>
  <c r="C7602" i="2" s="1"/>
  <c r="C7603" i="2" s="1"/>
  <c r="C7604" i="2" s="1"/>
  <c r="C7605" i="2" s="1"/>
  <c r="C7606" i="2" s="1"/>
  <c r="C7607" i="2" s="1"/>
  <c r="C7608" i="2" s="1"/>
  <c r="C7609" i="2" s="1"/>
  <c r="C7610" i="2" s="1"/>
  <c r="C7611" i="2" s="1"/>
  <c r="C7612" i="2" s="1"/>
  <c r="C7613" i="2" s="1"/>
  <c r="C7614" i="2" s="1"/>
  <c r="C7615" i="2" s="1"/>
  <c r="C7616" i="2" s="1"/>
  <c r="C7617" i="2" s="1"/>
  <c r="C7618" i="2" s="1"/>
  <c r="C7619" i="2" s="1"/>
  <c r="C7620" i="2" s="1"/>
  <c r="C7621" i="2" s="1"/>
  <c r="C7622" i="2" s="1"/>
  <c r="C7623" i="2" s="1"/>
  <c r="C7624" i="2" s="1"/>
  <c r="C7625" i="2" s="1"/>
  <c r="C7626" i="2" s="1"/>
  <c r="C7627" i="2" s="1"/>
  <c r="C7628" i="2" s="1"/>
  <c r="C7629" i="2" s="1"/>
  <c r="C7630" i="2" s="1"/>
  <c r="C7631" i="2" s="1"/>
  <c r="C7632" i="2" s="1"/>
  <c r="C7633" i="2" s="1"/>
  <c r="C7634" i="2" s="1"/>
  <c r="C7635" i="2" s="1"/>
  <c r="C7636" i="2" s="1"/>
  <c r="C7637" i="2" s="1"/>
  <c r="C7638" i="2" s="1"/>
  <c r="C7639" i="2" s="1"/>
  <c r="C7640" i="2" s="1"/>
  <c r="C7641" i="2" s="1"/>
  <c r="C7642" i="2" s="1"/>
  <c r="C7643" i="2" s="1"/>
  <c r="C7644" i="2" s="1"/>
  <c r="C7645" i="2" s="1"/>
  <c r="C7646" i="2" s="1"/>
  <c r="C7647" i="2" s="1"/>
  <c r="C7648" i="2" s="1"/>
  <c r="C7649" i="2" s="1"/>
  <c r="C7650" i="2" s="1"/>
  <c r="C7651" i="2" s="1"/>
  <c r="C7652" i="2" s="1"/>
  <c r="C7653" i="2" s="1"/>
  <c r="C7654" i="2" s="1"/>
  <c r="C7655" i="2" s="1"/>
  <c r="C7656" i="2" s="1"/>
  <c r="C7657" i="2" s="1"/>
  <c r="C7658" i="2" s="1"/>
  <c r="C7659" i="2" s="1"/>
  <c r="C7660" i="2" s="1"/>
  <c r="C7661" i="2" s="1"/>
  <c r="C7662" i="2" s="1"/>
  <c r="C7663" i="2" s="1"/>
  <c r="C7664" i="2" s="1"/>
  <c r="C7665" i="2" s="1"/>
  <c r="C7666" i="2" s="1"/>
  <c r="C7667" i="2" s="1"/>
  <c r="C7668" i="2" s="1"/>
  <c r="C7669" i="2" s="1"/>
  <c r="C7670" i="2" s="1"/>
  <c r="C7671" i="2" s="1"/>
  <c r="C7672" i="2" s="1"/>
  <c r="C7673" i="2" s="1"/>
  <c r="C7674" i="2" s="1"/>
  <c r="C7675" i="2" s="1"/>
  <c r="C7676" i="2" s="1"/>
  <c r="C7677" i="2" s="1"/>
  <c r="C7678" i="2" s="1"/>
  <c r="C7679" i="2" s="1"/>
  <c r="C7680" i="2" s="1"/>
  <c r="C7681" i="2" s="1"/>
  <c r="C7682" i="2" s="1"/>
  <c r="C7683" i="2" s="1"/>
  <c r="C7684" i="2" s="1"/>
  <c r="C7685" i="2" s="1"/>
  <c r="C7686" i="2" s="1"/>
  <c r="C7687" i="2" s="1"/>
  <c r="C7688" i="2" s="1"/>
  <c r="C7689" i="2" s="1"/>
  <c r="C7690" i="2" s="1"/>
  <c r="C7691" i="2" s="1"/>
  <c r="C7692" i="2" s="1"/>
  <c r="C7693" i="2" s="1"/>
  <c r="C7694" i="2" s="1"/>
  <c r="C7695" i="2" s="1"/>
  <c r="C7696" i="2" s="1"/>
  <c r="C7697" i="2" s="1"/>
  <c r="C7698" i="2" s="1"/>
  <c r="C7699" i="2" s="1"/>
  <c r="C7700" i="2" s="1"/>
  <c r="C7701" i="2" s="1"/>
  <c r="C7702" i="2" s="1"/>
  <c r="C7703" i="2" s="1"/>
  <c r="C7704" i="2" s="1"/>
  <c r="C7705" i="2" s="1"/>
  <c r="C7706" i="2" s="1"/>
  <c r="C7707" i="2" s="1"/>
  <c r="C7708" i="2" s="1"/>
  <c r="C7709" i="2" s="1"/>
  <c r="C7710" i="2" s="1"/>
  <c r="C7711" i="2" s="1"/>
  <c r="C7712" i="2" s="1"/>
  <c r="C7713" i="2" s="1"/>
  <c r="C7714" i="2" s="1"/>
  <c r="C7715" i="2" s="1"/>
  <c r="C7716" i="2" s="1"/>
  <c r="C7717" i="2" s="1"/>
  <c r="C7718" i="2" s="1"/>
  <c r="C7719" i="2" s="1"/>
  <c r="C7720" i="2" s="1"/>
  <c r="C7721" i="2" s="1"/>
  <c r="C7722" i="2" s="1"/>
  <c r="C7723" i="2" s="1"/>
  <c r="C7724" i="2" s="1"/>
  <c r="C7725" i="2" s="1"/>
  <c r="C7726" i="2" s="1"/>
  <c r="C7727" i="2" s="1"/>
  <c r="C7728" i="2" s="1"/>
  <c r="C7729" i="2" s="1"/>
  <c r="C7730" i="2" s="1"/>
  <c r="C7731" i="2" s="1"/>
  <c r="C7732" i="2" s="1"/>
  <c r="C7733" i="2" s="1"/>
  <c r="C7734" i="2" s="1"/>
  <c r="C7735" i="2" s="1"/>
  <c r="C7736" i="2" s="1"/>
  <c r="C7737" i="2" s="1"/>
  <c r="C7738" i="2" s="1"/>
  <c r="C7739" i="2" s="1"/>
  <c r="C7740" i="2" s="1"/>
  <c r="C7741" i="2" s="1"/>
  <c r="C7742" i="2" s="1"/>
  <c r="C7743" i="2" s="1"/>
  <c r="C7744" i="2" s="1"/>
  <c r="C7745" i="2" s="1"/>
  <c r="C7746" i="2" s="1"/>
  <c r="C7747" i="2" s="1"/>
  <c r="C7748" i="2" s="1"/>
  <c r="C7749" i="2" s="1"/>
  <c r="C7750" i="2" s="1"/>
  <c r="C7751" i="2" s="1"/>
  <c r="C7752" i="2" s="1"/>
  <c r="C7753" i="2" s="1"/>
  <c r="C7754" i="2" s="1"/>
  <c r="C7755" i="2" s="1"/>
  <c r="C7756" i="2" s="1"/>
  <c r="C7757" i="2" s="1"/>
  <c r="C7758" i="2" s="1"/>
  <c r="C7759" i="2" s="1"/>
  <c r="C7760" i="2" s="1"/>
  <c r="C7761" i="2" s="1"/>
  <c r="C7762" i="2" s="1"/>
  <c r="C7763" i="2" s="1"/>
  <c r="C7764" i="2" s="1"/>
  <c r="C7765" i="2" s="1"/>
  <c r="C7766" i="2" s="1"/>
  <c r="C7767" i="2" s="1"/>
  <c r="C7768" i="2" s="1"/>
  <c r="C7769" i="2" s="1"/>
  <c r="C7770" i="2" s="1"/>
  <c r="C7771" i="2" s="1"/>
  <c r="C7772" i="2" s="1"/>
  <c r="C7773" i="2" s="1"/>
  <c r="C7774" i="2" s="1"/>
  <c r="C7775" i="2" s="1"/>
  <c r="C7776" i="2" s="1"/>
  <c r="C7777" i="2" s="1"/>
  <c r="C7778" i="2" s="1"/>
  <c r="C7779" i="2" s="1"/>
  <c r="C7780" i="2" s="1"/>
  <c r="C7781" i="2" s="1"/>
  <c r="C7782" i="2" s="1"/>
  <c r="C7783" i="2" s="1"/>
  <c r="C7784" i="2" s="1"/>
  <c r="C7785" i="2" s="1"/>
  <c r="C7786" i="2" s="1"/>
  <c r="C7787" i="2" s="1"/>
  <c r="C7788" i="2" s="1"/>
  <c r="C7789" i="2" s="1"/>
  <c r="C7790" i="2" s="1"/>
  <c r="C7791" i="2" s="1"/>
  <c r="C7792" i="2" s="1"/>
  <c r="C7793" i="2" s="1"/>
  <c r="C7794" i="2" s="1"/>
  <c r="C7795" i="2" s="1"/>
  <c r="C7796" i="2" s="1"/>
  <c r="C7797" i="2" s="1"/>
  <c r="C7798" i="2" s="1"/>
  <c r="C7799" i="2" s="1"/>
  <c r="C7800" i="2" s="1"/>
  <c r="C7801" i="2" s="1"/>
  <c r="C7802" i="2" s="1"/>
  <c r="C7803" i="2" s="1"/>
  <c r="C7804" i="2" s="1"/>
  <c r="C7805" i="2" s="1"/>
  <c r="C7806" i="2" s="1"/>
  <c r="C7807" i="2" s="1"/>
  <c r="C7808" i="2" s="1"/>
  <c r="C7809" i="2" s="1"/>
  <c r="C7810" i="2" s="1"/>
  <c r="C7811" i="2" s="1"/>
  <c r="C7812" i="2" s="1"/>
  <c r="C7813" i="2" s="1"/>
  <c r="C7814" i="2" s="1"/>
  <c r="C7815" i="2" s="1"/>
  <c r="C7816" i="2" s="1"/>
  <c r="C7817" i="2" s="1"/>
  <c r="C7818" i="2" s="1"/>
  <c r="C7819" i="2" s="1"/>
  <c r="C7820" i="2" s="1"/>
  <c r="C7821" i="2" s="1"/>
  <c r="C7822" i="2" s="1"/>
  <c r="C7823" i="2" s="1"/>
  <c r="C7824" i="2" s="1"/>
  <c r="C7825" i="2" s="1"/>
  <c r="C7826" i="2" s="1"/>
  <c r="C7827" i="2" s="1"/>
  <c r="C7828" i="2" s="1"/>
  <c r="C7829" i="2" s="1"/>
  <c r="C7830" i="2" s="1"/>
  <c r="C7831" i="2" s="1"/>
  <c r="C7832" i="2" s="1"/>
  <c r="C7833" i="2" s="1"/>
  <c r="C7834" i="2" s="1"/>
  <c r="C7835" i="2" s="1"/>
  <c r="C7836" i="2" s="1"/>
  <c r="C7837" i="2" s="1"/>
  <c r="C7838" i="2" s="1"/>
  <c r="C7839" i="2" s="1"/>
  <c r="C7840" i="2" s="1"/>
  <c r="C7841" i="2" s="1"/>
  <c r="C7842" i="2" s="1"/>
  <c r="C7843" i="2" s="1"/>
  <c r="C7844" i="2" s="1"/>
  <c r="C7845" i="2" s="1"/>
  <c r="C7846" i="2" s="1"/>
  <c r="C7847" i="2" s="1"/>
  <c r="C7848" i="2" s="1"/>
  <c r="C7849" i="2" s="1"/>
  <c r="C7850" i="2" s="1"/>
  <c r="C7851" i="2" s="1"/>
  <c r="C7852" i="2" s="1"/>
  <c r="C7853" i="2" s="1"/>
  <c r="C7854" i="2" s="1"/>
  <c r="C7855" i="2" s="1"/>
  <c r="C7856" i="2" s="1"/>
  <c r="C7857" i="2" s="1"/>
  <c r="C7858" i="2" s="1"/>
  <c r="C7859" i="2" s="1"/>
  <c r="C7860" i="2" s="1"/>
  <c r="C7861" i="2" s="1"/>
  <c r="C7862" i="2" s="1"/>
  <c r="C7863" i="2" s="1"/>
  <c r="C7864" i="2" s="1"/>
  <c r="C7865" i="2" s="1"/>
  <c r="C7866" i="2" s="1"/>
  <c r="C7867" i="2" s="1"/>
  <c r="C7868" i="2" s="1"/>
  <c r="C7869" i="2" s="1"/>
  <c r="C7870" i="2" s="1"/>
  <c r="C7871" i="2" s="1"/>
  <c r="C7872" i="2" s="1"/>
  <c r="C7873" i="2" s="1"/>
  <c r="C7874" i="2" s="1"/>
  <c r="C7875" i="2" s="1"/>
  <c r="C7876" i="2" s="1"/>
  <c r="C7877" i="2" s="1"/>
  <c r="C7878" i="2" s="1"/>
  <c r="C7879" i="2" s="1"/>
  <c r="C7880" i="2" s="1"/>
  <c r="C7881" i="2" s="1"/>
  <c r="C7882" i="2" s="1"/>
  <c r="C7883" i="2" s="1"/>
  <c r="C7884" i="2" s="1"/>
  <c r="C7885" i="2" s="1"/>
  <c r="C7886" i="2" s="1"/>
  <c r="C7887" i="2" s="1"/>
  <c r="C7888" i="2" s="1"/>
  <c r="C7889" i="2" s="1"/>
  <c r="C7890" i="2" s="1"/>
  <c r="C7891" i="2" s="1"/>
  <c r="C7892" i="2" s="1"/>
  <c r="C7893" i="2" s="1"/>
  <c r="C7894" i="2" s="1"/>
  <c r="C7895" i="2" s="1"/>
  <c r="C7896" i="2" s="1"/>
  <c r="C7897" i="2" s="1"/>
  <c r="C7898" i="2" s="1"/>
  <c r="C7899" i="2" s="1"/>
  <c r="C7900" i="2" s="1"/>
  <c r="C7901" i="2" s="1"/>
  <c r="C7902" i="2" s="1"/>
  <c r="C7903" i="2" s="1"/>
  <c r="C7904" i="2" s="1"/>
  <c r="C7905" i="2" s="1"/>
  <c r="C7906" i="2" s="1"/>
  <c r="C7907" i="2" s="1"/>
  <c r="C7908" i="2" s="1"/>
  <c r="C7909" i="2" s="1"/>
  <c r="C7910" i="2" s="1"/>
  <c r="C7911" i="2" s="1"/>
  <c r="C7912" i="2" s="1"/>
  <c r="C7913" i="2" s="1"/>
  <c r="C7914" i="2" s="1"/>
  <c r="C7915" i="2" s="1"/>
  <c r="C7916" i="2" s="1"/>
  <c r="C7917" i="2" s="1"/>
  <c r="C7918" i="2" s="1"/>
  <c r="C7919" i="2" s="1"/>
  <c r="C7920" i="2" s="1"/>
  <c r="C7921" i="2" s="1"/>
  <c r="C7922" i="2" s="1"/>
  <c r="C7923" i="2" s="1"/>
  <c r="C7924" i="2" s="1"/>
  <c r="C7925" i="2" s="1"/>
  <c r="C7926" i="2" s="1"/>
  <c r="C7927" i="2" s="1"/>
  <c r="C7928" i="2" s="1"/>
  <c r="C7929" i="2" s="1"/>
  <c r="C7930" i="2" s="1"/>
  <c r="C7931" i="2" s="1"/>
  <c r="C7932" i="2" s="1"/>
  <c r="C7933" i="2" s="1"/>
  <c r="C7934" i="2" s="1"/>
  <c r="C7935" i="2" s="1"/>
  <c r="C7936" i="2" s="1"/>
  <c r="C7937" i="2" s="1"/>
  <c r="C7938" i="2" s="1"/>
  <c r="C7939" i="2" s="1"/>
  <c r="C7940" i="2" s="1"/>
  <c r="C7941" i="2" s="1"/>
  <c r="C7942" i="2" s="1"/>
  <c r="C7943" i="2" s="1"/>
  <c r="C7944" i="2" s="1"/>
  <c r="C7945" i="2" s="1"/>
  <c r="C7946" i="2" s="1"/>
  <c r="C7947" i="2" s="1"/>
  <c r="C7948" i="2" s="1"/>
  <c r="C7949" i="2" s="1"/>
  <c r="C7950" i="2" s="1"/>
  <c r="C7951" i="2" s="1"/>
  <c r="C7952" i="2" s="1"/>
  <c r="C7953" i="2" s="1"/>
  <c r="C7954" i="2" s="1"/>
  <c r="C7955" i="2" s="1"/>
  <c r="C7956" i="2" s="1"/>
  <c r="C7957" i="2" s="1"/>
  <c r="C7958" i="2" s="1"/>
  <c r="C7959" i="2" s="1"/>
  <c r="C7960" i="2" s="1"/>
  <c r="C7961" i="2" s="1"/>
  <c r="C7962" i="2" s="1"/>
  <c r="C7963" i="2" s="1"/>
  <c r="C7964" i="2" s="1"/>
  <c r="C7965" i="2" s="1"/>
  <c r="C7966" i="2" s="1"/>
  <c r="C7967" i="2" s="1"/>
  <c r="C7968" i="2" s="1"/>
  <c r="C7969" i="2" s="1"/>
  <c r="C7970" i="2" s="1"/>
  <c r="C7971" i="2" s="1"/>
  <c r="C7972" i="2" s="1"/>
  <c r="C7973" i="2" s="1"/>
  <c r="C7974" i="2" s="1"/>
  <c r="C7975" i="2" s="1"/>
  <c r="C7976" i="2" s="1"/>
  <c r="C7977" i="2" s="1"/>
  <c r="C7978" i="2" s="1"/>
  <c r="C7979" i="2" s="1"/>
  <c r="C7980" i="2" s="1"/>
  <c r="C7981" i="2" s="1"/>
  <c r="C7982" i="2" s="1"/>
  <c r="C7983" i="2" s="1"/>
  <c r="C7984" i="2" s="1"/>
  <c r="C7985" i="2" s="1"/>
  <c r="C7986" i="2" s="1"/>
  <c r="C7987" i="2" s="1"/>
  <c r="C7988" i="2" s="1"/>
  <c r="C7989" i="2" s="1"/>
  <c r="C7990" i="2" s="1"/>
  <c r="C7991" i="2" s="1"/>
  <c r="C7992" i="2" s="1"/>
  <c r="C7993" i="2" s="1"/>
  <c r="C7994" i="2" s="1"/>
  <c r="C7995" i="2" s="1"/>
  <c r="C7996" i="2" s="1"/>
  <c r="C7997" i="2" s="1"/>
  <c r="C7998" i="2" s="1"/>
  <c r="C7999" i="2" s="1"/>
  <c r="C8000" i="2" s="1"/>
  <c r="C8001" i="2" s="1"/>
  <c r="C8002" i="2" s="1"/>
  <c r="C8003" i="2" s="1"/>
  <c r="C8004" i="2" s="1"/>
  <c r="C8005" i="2" s="1"/>
  <c r="C8006" i="2" s="1"/>
  <c r="C8007" i="2" s="1"/>
  <c r="C8008" i="2" s="1"/>
  <c r="C8009" i="2" s="1"/>
  <c r="C8010" i="2" s="1"/>
  <c r="C8011" i="2" s="1"/>
  <c r="C8012" i="2" s="1"/>
  <c r="C8013" i="2" s="1"/>
  <c r="C8014" i="2" s="1"/>
  <c r="C8015" i="2" s="1"/>
  <c r="C8016" i="2" s="1"/>
  <c r="C8017" i="2" s="1"/>
  <c r="C8018" i="2" s="1"/>
  <c r="C8019" i="2" s="1"/>
  <c r="C8020" i="2" s="1"/>
  <c r="C8021" i="2" s="1"/>
  <c r="C8022" i="2" s="1"/>
  <c r="C8023" i="2" s="1"/>
  <c r="C8024" i="2" s="1"/>
  <c r="C8025" i="2" s="1"/>
  <c r="C8026" i="2" s="1"/>
  <c r="C8027" i="2" s="1"/>
  <c r="C8028" i="2" s="1"/>
  <c r="C8029" i="2" s="1"/>
  <c r="C8030" i="2" s="1"/>
  <c r="C8031" i="2" s="1"/>
  <c r="C8032" i="2" s="1"/>
  <c r="C8033" i="2" s="1"/>
  <c r="C8034" i="2" s="1"/>
  <c r="C8035" i="2" s="1"/>
  <c r="C8036" i="2" s="1"/>
  <c r="C8037" i="2" s="1"/>
  <c r="C8038" i="2" s="1"/>
  <c r="C8039" i="2" s="1"/>
  <c r="C8040" i="2" s="1"/>
  <c r="C8041" i="2" s="1"/>
  <c r="C8042" i="2" s="1"/>
  <c r="C8043" i="2" s="1"/>
  <c r="C8044" i="2" s="1"/>
  <c r="C8045" i="2" s="1"/>
  <c r="C8046" i="2" s="1"/>
  <c r="C8047" i="2" s="1"/>
  <c r="C8048" i="2" s="1"/>
  <c r="C8049" i="2" s="1"/>
  <c r="C8050" i="2" s="1"/>
  <c r="C8051" i="2" s="1"/>
  <c r="C8052" i="2" s="1"/>
  <c r="C8053" i="2" s="1"/>
  <c r="C8054" i="2" s="1"/>
  <c r="C8055" i="2" s="1"/>
  <c r="C8056" i="2" s="1"/>
  <c r="C8057" i="2" s="1"/>
  <c r="C8058" i="2" s="1"/>
  <c r="C8059" i="2" s="1"/>
  <c r="C8060" i="2" s="1"/>
  <c r="C8061" i="2" s="1"/>
  <c r="C8062" i="2" s="1"/>
  <c r="C8063" i="2" s="1"/>
  <c r="C8064" i="2" s="1"/>
  <c r="C8065" i="2" s="1"/>
  <c r="C8066" i="2" s="1"/>
  <c r="C8067" i="2" s="1"/>
  <c r="C8068" i="2" s="1"/>
  <c r="C8069" i="2" s="1"/>
  <c r="C8070" i="2" s="1"/>
  <c r="C8071" i="2" s="1"/>
  <c r="C8072" i="2" s="1"/>
  <c r="C8073" i="2" s="1"/>
  <c r="C8074" i="2" s="1"/>
  <c r="C8075" i="2" s="1"/>
  <c r="C8076" i="2" s="1"/>
  <c r="C8077" i="2" s="1"/>
  <c r="C8078" i="2" s="1"/>
  <c r="C8079" i="2" s="1"/>
  <c r="C8080" i="2" s="1"/>
  <c r="C8081" i="2" s="1"/>
  <c r="C8082" i="2" s="1"/>
  <c r="C8083" i="2" s="1"/>
  <c r="C8084" i="2" s="1"/>
  <c r="C8085" i="2" s="1"/>
  <c r="C8086" i="2" s="1"/>
  <c r="C8087" i="2" s="1"/>
  <c r="C8088" i="2" s="1"/>
  <c r="C8089" i="2" s="1"/>
  <c r="C8090" i="2" s="1"/>
  <c r="C8091" i="2" s="1"/>
  <c r="C8092" i="2" s="1"/>
  <c r="C8093" i="2" s="1"/>
  <c r="C8094" i="2" s="1"/>
  <c r="C8095" i="2" s="1"/>
  <c r="C8096" i="2" s="1"/>
  <c r="C8097" i="2" s="1"/>
  <c r="C8098" i="2" s="1"/>
  <c r="C8099" i="2" s="1"/>
  <c r="C8100" i="2" s="1"/>
  <c r="C8101" i="2" s="1"/>
  <c r="C8102" i="2" s="1"/>
  <c r="C8103" i="2" s="1"/>
  <c r="C8104" i="2" s="1"/>
  <c r="C8105" i="2" s="1"/>
  <c r="C8106" i="2" s="1"/>
  <c r="C8107" i="2" s="1"/>
  <c r="C8108" i="2" s="1"/>
  <c r="C8109" i="2" s="1"/>
  <c r="C8110" i="2" s="1"/>
  <c r="C8111" i="2" s="1"/>
  <c r="C8112" i="2" s="1"/>
  <c r="C8113" i="2" s="1"/>
  <c r="C8114" i="2" s="1"/>
  <c r="C8115" i="2" s="1"/>
  <c r="C8116" i="2" s="1"/>
  <c r="C8117" i="2" s="1"/>
  <c r="C8118" i="2" s="1"/>
  <c r="C8119" i="2" s="1"/>
  <c r="C8120" i="2" s="1"/>
  <c r="C8121" i="2" s="1"/>
  <c r="C8122" i="2" s="1"/>
  <c r="C8123" i="2" s="1"/>
  <c r="C8124" i="2" s="1"/>
  <c r="C8125" i="2" s="1"/>
  <c r="C8126" i="2" s="1"/>
  <c r="C8127" i="2" s="1"/>
  <c r="C8128" i="2" s="1"/>
  <c r="C8129" i="2" s="1"/>
  <c r="C8130" i="2" s="1"/>
  <c r="C8131" i="2" s="1"/>
  <c r="C8132" i="2" s="1"/>
  <c r="C8133" i="2" s="1"/>
  <c r="C8134" i="2" s="1"/>
  <c r="C8135" i="2" s="1"/>
  <c r="C8136" i="2" s="1"/>
  <c r="C8137" i="2" s="1"/>
  <c r="C8138" i="2" s="1"/>
  <c r="C8139" i="2" s="1"/>
  <c r="C8140" i="2" s="1"/>
  <c r="C8141" i="2" s="1"/>
  <c r="C8142" i="2" s="1"/>
  <c r="C8143" i="2" s="1"/>
  <c r="C8144" i="2" s="1"/>
  <c r="C8145" i="2" s="1"/>
  <c r="C8146" i="2" s="1"/>
  <c r="C8147" i="2" s="1"/>
  <c r="C8148" i="2" s="1"/>
  <c r="C8149" i="2" s="1"/>
  <c r="C8150" i="2" s="1"/>
  <c r="C8151" i="2" s="1"/>
  <c r="C8152" i="2" s="1"/>
  <c r="C8153" i="2" s="1"/>
  <c r="C8154" i="2" s="1"/>
  <c r="C8155" i="2" s="1"/>
  <c r="C8156" i="2" s="1"/>
  <c r="C8157" i="2" s="1"/>
  <c r="C8158" i="2" s="1"/>
  <c r="C8159" i="2" s="1"/>
  <c r="C8160" i="2" s="1"/>
  <c r="C8161" i="2" s="1"/>
  <c r="C8162" i="2" s="1"/>
  <c r="C8163" i="2" s="1"/>
  <c r="C8164" i="2" s="1"/>
  <c r="C8165" i="2" s="1"/>
  <c r="C8166" i="2" s="1"/>
  <c r="C8167" i="2" s="1"/>
  <c r="C8168" i="2" s="1"/>
  <c r="C8169" i="2" s="1"/>
  <c r="C8170" i="2" s="1"/>
  <c r="C8171" i="2" s="1"/>
  <c r="C8172" i="2" s="1"/>
  <c r="C8173" i="2" s="1"/>
  <c r="C8174" i="2" s="1"/>
  <c r="C8175" i="2" s="1"/>
  <c r="C8176" i="2" s="1"/>
  <c r="C8177" i="2" s="1"/>
  <c r="C8178" i="2" s="1"/>
  <c r="C8179" i="2" s="1"/>
  <c r="C8180" i="2" s="1"/>
  <c r="C8181" i="2" s="1"/>
  <c r="C8182" i="2" s="1"/>
  <c r="C8183" i="2" s="1"/>
  <c r="C8184" i="2" s="1"/>
  <c r="C8185" i="2" s="1"/>
  <c r="C8186" i="2" s="1"/>
  <c r="C8187" i="2" s="1"/>
  <c r="C8188" i="2" s="1"/>
  <c r="C8189" i="2" s="1"/>
  <c r="C8190" i="2" s="1"/>
  <c r="C8191" i="2" s="1"/>
  <c r="C8192" i="2" s="1"/>
  <c r="C8193" i="2" s="1"/>
  <c r="C8194" i="2" s="1"/>
  <c r="C8195" i="2" s="1"/>
  <c r="C8196" i="2" s="1"/>
  <c r="C8197" i="2" s="1"/>
  <c r="C8198" i="2" s="1"/>
  <c r="C8199" i="2" s="1"/>
  <c r="C8200" i="2" s="1"/>
  <c r="C8201" i="2" s="1"/>
  <c r="C8202" i="2" s="1"/>
  <c r="C8203" i="2" s="1"/>
  <c r="C8204" i="2" s="1"/>
  <c r="C8205" i="2" s="1"/>
  <c r="C8206" i="2" s="1"/>
  <c r="C8207" i="2" s="1"/>
  <c r="C8208" i="2" s="1"/>
  <c r="C8209" i="2" s="1"/>
  <c r="C8210" i="2" s="1"/>
  <c r="C8211" i="2" s="1"/>
  <c r="C8212" i="2" s="1"/>
  <c r="C8213" i="2" s="1"/>
  <c r="C8214" i="2" s="1"/>
  <c r="C8215" i="2" s="1"/>
  <c r="C8216" i="2" s="1"/>
  <c r="C8217" i="2" s="1"/>
  <c r="C8218" i="2" s="1"/>
  <c r="C8219" i="2" s="1"/>
  <c r="C8220" i="2" s="1"/>
  <c r="C8221" i="2" s="1"/>
  <c r="C8222" i="2" s="1"/>
  <c r="C8223" i="2" s="1"/>
  <c r="C8224" i="2" s="1"/>
  <c r="C8225" i="2" s="1"/>
  <c r="C8226" i="2" s="1"/>
  <c r="C8227" i="2" s="1"/>
  <c r="C8228" i="2" s="1"/>
  <c r="C8229" i="2" s="1"/>
  <c r="C8230" i="2" s="1"/>
  <c r="C8231" i="2" s="1"/>
  <c r="C8232" i="2" s="1"/>
  <c r="C8233" i="2" s="1"/>
  <c r="C8234" i="2" s="1"/>
  <c r="C8235" i="2" s="1"/>
  <c r="C8236" i="2" s="1"/>
  <c r="C8237" i="2" s="1"/>
  <c r="C8238" i="2" s="1"/>
  <c r="C8239" i="2" s="1"/>
  <c r="C8240" i="2" s="1"/>
  <c r="C8241" i="2" s="1"/>
  <c r="C8242" i="2" s="1"/>
  <c r="C8243" i="2" s="1"/>
  <c r="C8244" i="2" s="1"/>
  <c r="C8245" i="2" s="1"/>
  <c r="C8246" i="2" s="1"/>
  <c r="C8247" i="2" s="1"/>
  <c r="C8248" i="2" s="1"/>
  <c r="C8249" i="2" s="1"/>
  <c r="C8250" i="2" s="1"/>
  <c r="C8251" i="2" s="1"/>
  <c r="C8252" i="2" s="1"/>
  <c r="C8253" i="2" s="1"/>
  <c r="C8254" i="2" s="1"/>
  <c r="C8255" i="2" s="1"/>
  <c r="C8256" i="2" s="1"/>
  <c r="C8257" i="2" s="1"/>
  <c r="C8258" i="2" s="1"/>
  <c r="C8259" i="2" s="1"/>
  <c r="C8260" i="2" s="1"/>
  <c r="C8261" i="2" s="1"/>
  <c r="C8262" i="2" s="1"/>
  <c r="C8263" i="2" s="1"/>
  <c r="C8264" i="2" s="1"/>
  <c r="C8265" i="2" s="1"/>
  <c r="C8266" i="2" s="1"/>
  <c r="C8267" i="2" s="1"/>
  <c r="C8268" i="2" s="1"/>
  <c r="C8269" i="2" s="1"/>
  <c r="C8270" i="2" s="1"/>
  <c r="C8271" i="2" s="1"/>
  <c r="C8272" i="2" s="1"/>
  <c r="C8273" i="2" s="1"/>
  <c r="C8274" i="2" s="1"/>
  <c r="C8275" i="2" s="1"/>
  <c r="C8276" i="2" s="1"/>
  <c r="C8277" i="2" s="1"/>
  <c r="C8278" i="2" s="1"/>
  <c r="C8279" i="2" s="1"/>
  <c r="C8280" i="2" s="1"/>
  <c r="C8281" i="2" s="1"/>
  <c r="C8282" i="2" s="1"/>
  <c r="C8283" i="2" s="1"/>
  <c r="C8284" i="2" s="1"/>
  <c r="C8285" i="2" s="1"/>
  <c r="C8286" i="2" s="1"/>
  <c r="C8287" i="2" s="1"/>
  <c r="C8288" i="2" s="1"/>
  <c r="C8289" i="2" s="1"/>
  <c r="C8290" i="2" s="1"/>
  <c r="C8291" i="2" s="1"/>
  <c r="C8292" i="2" s="1"/>
  <c r="C8293" i="2" s="1"/>
  <c r="C8294" i="2" s="1"/>
  <c r="C8295" i="2" s="1"/>
  <c r="C8296" i="2" s="1"/>
  <c r="C8297" i="2" s="1"/>
  <c r="C8298" i="2" s="1"/>
  <c r="C8299" i="2" s="1"/>
  <c r="C8300" i="2" s="1"/>
  <c r="C8301" i="2" s="1"/>
  <c r="C8302" i="2" s="1"/>
  <c r="C8303" i="2" s="1"/>
  <c r="C8304" i="2" s="1"/>
  <c r="C8305" i="2" s="1"/>
  <c r="C8306" i="2" s="1"/>
  <c r="C8307" i="2" s="1"/>
  <c r="C8308" i="2" s="1"/>
  <c r="C8309" i="2" s="1"/>
  <c r="C8310" i="2" s="1"/>
  <c r="C8311" i="2" s="1"/>
  <c r="C8312" i="2" s="1"/>
  <c r="C8313" i="2" s="1"/>
  <c r="C8314" i="2" s="1"/>
  <c r="C8315" i="2" s="1"/>
  <c r="C8316" i="2" s="1"/>
  <c r="C8317" i="2" s="1"/>
  <c r="C8318" i="2" s="1"/>
  <c r="C8319" i="2" s="1"/>
  <c r="C8320" i="2" s="1"/>
  <c r="C8321" i="2" s="1"/>
  <c r="C8322" i="2" s="1"/>
  <c r="C8323" i="2" s="1"/>
  <c r="C8324" i="2" s="1"/>
  <c r="C8325" i="2" s="1"/>
  <c r="C8326" i="2" s="1"/>
  <c r="C8327" i="2" s="1"/>
  <c r="C8328" i="2" s="1"/>
  <c r="C8329" i="2" s="1"/>
  <c r="C8330" i="2" s="1"/>
  <c r="C8331" i="2" s="1"/>
  <c r="C8332" i="2" s="1"/>
  <c r="C8333" i="2" s="1"/>
  <c r="C8334" i="2" s="1"/>
  <c r="C8335" i="2" s="1"/>
  <c r="C8336" i="2" s="1"/>
  <c r="C8337" i="2" s="1"/>
  <c r="C8338" i="2" s="1"/>
  <c r="C8339" i="2" s="1"/>
  <c r="C8340" i="2" s="1"/>
  <c r="C8341" i="2" s="1"/>
  <c r="C8342" i="2" s="1"/>
  <c r="C8343" i="2" s="1"/>
  <c r="C8344" i="2" s="1"/>
  <c r="C8345" i="2" s="1"/>
  <c r="C8346" i="2" s="1"/>
  <c r="C8347" i="2" s="1"/>
  <c r="C8348" i="2" s="1"/>
  <c r="C8349" i="2" s="1"/>
  <c r="C8350" i="2" s="1"/>
  <c r="C8351" i="2" s="1"/>
  <c r="C8352" i="2" s="1"/>
  <c r="C8353" i="2" s="1"/>
  <c r="C8354" i="2" s="1"/>
  <c r="C8355" i="2" s="1"/>
  <c r="C8356" i="2" s="1"/>
  <c r="C8357" i="2" s="1"/>
  <c r="C8358" i="2" s="1"/>
  <c r="C8359" i="2" s="1"/>
  <c r="C8360" i="2" s="1"/>
  <c r="C8361" i="2" s="1"/>
  <c r="C8362" i="2" s="1"/>
  <c r="C8363" i="2" s="1"/>
  <c r="C8364" i="2" s="1"/>
  <c r="C8365" i="2" s="1"/>
  <c r="C8366" i="2" s="1"/>
  <c r="C8367" i="2" s="1"/>
  <c r="C8368" i="2" s="1"/>
  <c r="C8369" i="2" s="1"/>
  <c r="C8370" i="2" s="1"/>
  <c r="C8371" i="2" s="1"/>
  <c r="C8372" i="2" s="1"/>
  <c r="C8373" i="2" s="1"/>
  <c r="C8374" i="2" s="1"/>
  <c r="C8375" i="2" s="1"/>
  <c r="C8376" i="2" s="1"/>
  <c r="C8377" i="2" s="1"/>
  <c r="C8378" i="2" s="1"/>
  <c r="C8379" i="2" s="1"/>
  <c r="C8380" i="2" s="1"/>
  <c r="C8381" i="2" s="1"/>
  <c r="C8382" i="2" s="1"/>
  <c r="C8383" i="2" s="1"/>
  <c r="C8384" i="2" s="1"/>
  <c r="C8385" i="2" s="1"/>
  <c r="C8386" i="2" s="1"/>
  <c r="C8387" i="2" s="1"/>
  <c r="C8388" i="2" s="1"/>
  <c r="C8389" i="2" s="1"/>
  <c r="C8390" i="2" s="1"/>
  <c r="C8391" i="2" s="1"/>
  <c r="C8392" i="2" s="1"/>
  <c r="C8393" i="2" s="1"/>
  <c r="C8394" i="2" s="1"/>
  <c r="C8395" i="2" s="1"/>
  <c r="C8396" i="2" s="1"/>
  <c r="C8397" i="2" s="1"/>
  <c r="C8398" i="2" s="1"/>
  <c r="C8399" i="2" s="1"/>
  <c r="C8400" i="2" s="1"/>
  <c r="C8401" i="2" s="1"/>
  <c r="C8402" i="2" s="1"/>
  <c r="C8403" i="2" s="1"/>
  <c r="C8404" i="2" s="1"/>
  <c r="C8405" i="2" s="1"/>
  <c r="C8406" i="2" s="1"/>
  <c r="C8407" i="2" s="1"/>
  <c r="C8408" i="2" s="1"/>
  <c r="C8409" i="2" s="1"/>
  <c r="C8410" i="2" s="1"/>
  <c r="C8411" i="2" s="1"/>
  <c r="C8412" i="2" s="1"/>
  <c r="C8413" i="2" s="1"/>
  <c r="C8414" i="2" s="1"/>
  <c r="C8415" i="2" s="1"/>
  <c r="C8416" i="2" s="1"/>
  <c r="C8417" i="2" s="1"/>
  <c r="C8418" i="2" s="1"/>
  <c r="C8419" i="2" s="1"/>
  <c r="C8420" i="2" s="1"/>
  <c r="C8421" i="2" s="1"/>
  <c r="C8422" i="2" s="1"/>
  <c r="C8423" i="2" s="1"/>
  <c r="C8424" i="2" s="1"/>
  <c r="C8425" i="2" s="1"/>
  <c r="C8426" i="2" s="1"/>
  <c r="C8427" i="2" s="1"/>
  <c r="C8428" i="2" s="1"/>
  <c r="C8429" i="2" s="1"/>
  <c r="C8430" i="2" s="1"/>
  <c r="C8431" i="2" s="1"/>
  <c r="C8432" i="2" s="1"/>
  <c r="C8433" i="2" s="1"/>
  <c r="C8434" i="2" s="1"/>
  <c r="C8435" i="2" s="1"/>
  <c r="C8436" i="2" s="1"/>
  <c r="C8437" i="2" s="1"/>
  <c r="C8438" i="2" s="1"/>
  <c r="C8439" i="2" s="1"/>
  <c r="C8440" i="2" s="1"/>
  <c r="C8441" i="2" s="1"/>
  <c r="C8442" i="2" s="1"/>
  <c r="C8443" i="2" s="1"/>
  <c r="C8444" i="2" s="1"/>
  <c r="C8445" i="2" s="1"/>
  <c r="C8446" i="2" s="1"/>
  <c r="C8447" i="2" s="1"/>
  <c r="C8448" i="2" s="1"/>
  <c r="C8449" i="2" s="1"/>
  <c r="C8450" i="2" s="1"/>
  <c r="C8451" i="2" s="1"/>
  <c r="C8452" i="2" s="1"/>
  <c r="C8453" i="2" s="1"/>
  <c r="C8454" i="2" s="1"/>
  <c r="C8455" i="2" s="1"/>
  <c r="C8456" i="2" s="1"/>
  <c r="C8457" i="2" s="1"/>
  <c r="C8458" i="2" s="1"/>
  <c r="C8459" i="2" s="1"/>
  <c r="C8460" i="2" s="1"/>
  <c r="C8461" i="2" s="1"/>
  <c r="C8462" i="2" s="1"/>
  <c r="C8463" i="2" s="1"/>
  <c r="C8464" i="2" s="1"/>
  <c r="C8465" i="2" s="1"/>
  <c r="C8466" i="2" s="1"/>
  <c r="C8467" i="2" s="1"/>
  <c r="C8468" i="2" s="1"/>
  <c r="C8469" i="2" s="1"/>
  <c r="C8470" i="2" s="1"/>
  <c r="C8471" i="2" s="1"/>
  <c r="C8472" i="2" s="1"/>
  <c r="C8473" i="2" s="1"/>
  <c r="C8474" i="2" s="1"/>
  <c r="C8475" i="2" s="1"/>
  <c r="C8476" i="2" s="1"/>
  <c r="C8477" i="2" s="1"/>
  <c r="C8478" i="2" s="1"/>
  <c r="C8479" i="2" s="1"/>
  <c r="C8480" i="2" s="1"/>
  <c r="C8481" i="2" s="1"/>
  <c r="C8482" i="2" s="1"/>
  <c r="C8483" i="2" s="1"/>
  <c r="C8484" i="2" s="1"/>
  <c r="C8485" i="2" s="1"/>
  <c r="C8486" i="2" s="1"/>
  <c r="C8487" i="2" s="1"/>
  <c r="C8488" i="2" s="1"/>
  <c r="C8489" i="2" s="1"/>
  <c r="C8490" i="2" s="1"/>
  <c r="C8491" i="2" s="1"/>
  <c r="C8492" i="2" s="1"/>
  <c r="C8493" i="2" s="1"/>
  <c r="C8494" i="2" s="1"/>
  <c r="C8495" i="2" s="1"/>
  <c r="C8496" i="2" s="1"/>
  <c r="C8497" i="2" s="1"/>
  <c r="C8498" i="2" s="1"/>
  <c r="C8499" i="2" s="1"/>
  <c r="C8500" i="2" s="1"/>
  <c r="C8501" i="2" s="1"/>
  <c r="C8502" i="2" s="1"/>
  <c r="C8503" i="2" s="1"/>
  <c r="C8504" i="2" s="1"/>
  <c r="C8505" i="2" s="1"/>
  <c r="C8506" i="2" s="1"/>
  <c r="C8507" i="2" s="1"/>
  <c r="C8508" i="2" s="1"/>
  <c r="C8509" i="2" s="1"/>
  <c r="C8510" i="2" s="1"/>
  <c r="C8511" i="2" s="1"/>
  <c r="C8512" i="2" s="1"/>
  <c r="C8513" i="2" s="1"/>
  <c r="C8514" i="2" s="1"/>
  <c r="C8515" i="2" s="1"/>
  <c r="C8516" i="2" s="1"/>
  <c r="C8517" i="2" s="1"/>
  <c r="C8518" i="2" s="1"/>
  <c r="C8519" i="2" s="1"/>
  <c r="C8520" i="2" s="1"/>
  <c r="C8521" i="2" s="1"/>
  <c r="C8522" i="2" s="1"/>
  <c r="C8523" i="2" s="1"/>
  <c r="C8524" i="2" s="1"/>
  <c r="C8525" i="2" s="1"/>
  <c r="C8526" i="2" s="1"/>
  <c r="C8527" i="2" s="1"/>
  <c r="C8528" i="2" s="1"/>
  <c r="C8529" i="2" s="1"/>
  <c r="C8530" i="2" s="1"/>
  <c r="C8531" i="2" s="1"/>
  <c r="C8532" i="2" s="1"/>
  <c r="C8533" i="2" s="1"/>
  <c r="C8534" i="2" s="1"/>
  <c r="C8535" i="2" s="1"/>
  <c r="C8536" i="2" s="1"/>
  <c r="C8537" i="2" s="1"/>
  <c r="C8538" i="2" s="1"/>
  <c r="C8539" i="2" s="1"/>
  <c r="C8540" i="2" s="1"/>
  <c r="C8541" i="2" s="1"/>
  <c r="C8542" i="2" s="1"/>
  <c r="C8543" i="2" s="1"/>
  <c r="C8544" i="2" s="1"/>
  <c r="C8545" i="2" s="1"/>
  <c r="C8546" i="2" s="1"/>
  <c r="C8547" i="2" s="1"/>
  <c r="C8548" i="2" s="1"/>
  <c r="C8549" i="2" s="1"/>
  <c r="C8550" i="2" s="1"/>
  <c r="C8551" i="2" s="1"/>
  <c r="C8552" i="2" s="1"/>
  <c r="C8553" i="2" s="1"/>
  <c r="C8554" i="2" s="1"/>
  <c r="C8555" i="2" s="1"/>
  <c r="C8556" i="2" s="1"/>
  <c r="C8557" i="2" s="1"/>
  <c r="C8558" i="2" s="1"/>
  <c r="C8559" i="2" s="1"/>
  <c r="C8560" i="2" s="1"/>
  <c r="C8561" i="2" s="1"/>
  <c r="C8562" i="2" s="1"/>
  <c r="C8563" i="2" s="1"/>
  <c r="C8564" i="2" s="1"/>
  <c r="C8565" i="2" s="1"/>
  <c r="C8566" i="2" s="1"/>
  <c r="C8567" i="2" s="1"/>
  <c r="C8568" i="2" s="1"/>
  <c r="C8569" i="2" s="1"/>
  <c r="C8570" i="2" s="1"/>
  <c r="C8571" i="2" s="1"/>
  <c r="C8572" i="2" s="1"/>
  <c r="C8573" i="2" s="1"/>
  <c r="C8574" i="2" s="1"/>
  <c r="C8575" i="2" s="1"/>
  <c r="C8576" i="2" s="1"/>
  <c r="C8577" i="2" s="1"/>
  <c r="C8578" i="2" s="1"/>
  <c r="C8579" i="2" s="1"/>
  <c r="C8580" i="2" s="1"/>
  <c r="C8581" i="2" s="1"/>
  <c r="C8582" i="2" s="1"/>
  <c r="C8583" i="2" s="1"/>
  <c r="C8584" i="2" s="1"/>
  <c r="C8585" i="2" s="1"/>
  <c r="C8586" i="2" s="1"/>
  <c r="C8587" i="2" s="1"/>
  <c r="C8588" i="2" s="1"/>
  <c r="C8589" i="2" s="1"/>
  <c r="C8590" i="2" s="1"/>
  <c r="C8591" i="2" s="1"/>
  <c r="C8592" i="2" s="1"/>
  <c r="C8593" i="2" s="1"/>
  <c r="C8594" i="2" s="1"/>
  <c r="C8595" i="2" s="1"/>
  <c r="C8596" i="2" s="1"/>
  <c r="C8597" i="2" s="1"/>
  <c r="C8598" i="2" s="1"/>
  <c r="C8599" i="2" s="1"/>
  <c r="C8600" i="2" s="1"/>
  <c r="C8601" i="2" s="1"/>
  <c r="C8602" i="2" s="1"/>
  <c r="C8603" i="2" s="1"/>
  <c r="C8604" i="2" s="1"/>
  <c r="C8605" i="2" s="1"/>
  <c r="C8606" i="2" s="1"/>
  <c r="C8607" i="2" s="1"/>
  <c r="C8608" i="2" s="1"/>
  <c r="C8609" i="2" s="1"/>
  <c r="C8610" i="2" s="1"/>
  <c r="C8611" i="2" s="1"/>
  <c r="C8612" i="2" s="1"/>
  <c r="C8613" i="2" s="1"/>
  <c r="C8614" i="2" s="1"/>
  <c r="C8615" i="2" s="1"/>
  <c r="C8616" i="2" s="1"/>
  <c r="C8617" i="2" s="1"/>
  <c r="C8618" i="2" s="1"/>
  <c r="C8619" i="2" s="1"/>
  <c r="C8620" i="2" s="1"/>
  <c r="C8621" i="2" s="1"/>
  <c r="C8622" i="2" s="1"/>
  <c r="C8623" i="2" s="1"/>
  <c r="C8624" i="2" s="1"/>
  <c r="C8625" i="2" s="1"/>
  <c r="C8626" i="2" s="1"/>
  <c r="C8627" i="2" s="1"/>
  <c r="C8628" i="2" s="1"/>
  <c r="C8629" i="2" s="1"/>
  <c r="C8630" i="2" s="1"/>
  <c r="C8631" i="2" s="1"/>
  <c r="C8632" i="2" s="1"/>
  <c r="C8633" i="2" s="1"/>
  <c r="C8634" i="2" s="1"/>
  <c r="C8635" i="2" s="1"/>
  <c r="C8636" i="2" s="1"/>
  <c r="C8637" i="2" s="1"/>
  <c r="C8638" i="2" s="1"/>
  <c r="C8639" i="2" s="1"/>
  <c r="C8640" i="2" s="1"/>
  <c r="C8641" i="2" s="1"/>
  <c r="C8642" i="2" s="1"/>
  <c r="C8643" i="2" s="1"/>
  <c r="C8644" i="2" s="1"/>
  <c r="C8645" i="2" s="1"/>
  <c r="C8646" i="2" s="1"/>
  <c r="C8647" i="2" s="1"/>
  <c r="C8648" i="2" s="1"/>
  <c r="C8649" i="2" s="1"/>
  <c r="C8650" i="2" s="1"/>
  <c r="C8651" i="2" s="1"/>
  <c r="C8652" i="2" s="1"/>
  <c r="C8653" i="2" s="1"/>
  <c r="C8654" i="2" s="1"/>
  <c r="C8655" i="2" s="1"/>
  <c r="C8656" i="2" s="1"/>
  <c r="C8657" i="2" s="1"/>
  <c r="C8658" i="2" s="1"/>
  <c r="C8659" i="2" s="1"/>
  <c r="C8660" i="2" s="1"/>
  <c r="C8661" i="2" s="1"/>
  <c r="C8662" i="2" s="1"/>
  <c r="C8663" i="2" s="1"/>
  <c r="C8664" i="2" s="1"/>
  <c r="C8665" i="2" s="1"/>
  <c r="C8666" i="2" s="1"/>
  <c r="C8667" i="2" s="1"/>
  <c r="C8668" i="2" s="1"/>
  <c r="C8669" i="2" s="1"/>
  <c r="C8670" i="2" s="1"/>
  <c r="C8671" i="2" s="1"/>
  <c r="C8672" i="2" s="1"/>
  <c r="C8673" i="2" s="1"/>
  <c r="C8674" i="2" s="1"/>
  <c r="C8675" i="2" s="1"/>
  <c r="C8676" i="2" s="1"/>
  <c r="C8677" i="2" s="1"/>
  <c r="C8678" i="2" s="1"/>
  <c r="C8679" i="2" s="1"/>
  <c r="C8680" i="2" s="1"/>
  <c r="C8681" i="2" s="1"/>
  <c r="C8682" i="2" s="1"/>
  <c r="C8683" i="2" s="1"/>
  <c r="C8684" i="2" s="1"/>
  <c r="C8685" i="2" s="1"/>
  <c r="C8686" i="2" s="1"/>
  <c r="C8687" i="2" s="1"/>
  <c r="C8688" i="2" s="1"/>
  <c r="C8689" i="2" s="1"/>
  <c r="C8690" i="2" s="1"/>
  <c r="C8691" i="2" s="1"/>
  <c r="C8692" i="2" s="1"/>
  <c r="C8693" i="2" s="1"/>
  <c r="C8694" i="2" s="1"/>
  <c r="C8695" i="2" s="1"/>
  <c r="C8696" i="2" s="1"/>
  <c r="C8697" i="2" s="1"/>
  <c r="C8698" i="2" s="1"/>
  <c r="C8699" i="2" s="1"/>
  <c r="C8700" i="2" s="1"/>
  <c r="C8701" i="2" s="1"/>
  <c r="C8702" i="2" s="1"/>
  <c r="C8703" i="2" s="1"/>
  <c r="C8704" i="2" s="1"/>
  <c r="C8705" i="2" s="1"/>
  <c r="C8706" i="2" s="1"/>
  <c r="C8707" i="2" s="1"/>
  <c r="C8708" i="2" s="1"/>
  <c r="C8709" i="2" s="1"/>
  <c r="C8710" i="2" s="1"/>
  <c r="C8711" i="2" s="1"/>
  <c r="C8712" i="2" s="1"/>
  <c r="C8713" i="2" s="1"/>
  <c r="C8714" i="2" s="1"/>
  <c r="C8715" i="2" s="1"/>
  <c r="C8716" i="2" s="1"/>
  <c r="C8717" i="2" s="1"/>
  <c r="C8718" i="2" s="1"/>
  <c r="C8719" i="2" s="1"/>
  <c r="C8720" i="2" s="1"/>
  <c r="C8721" i="2" s="1"/>
  <c r="C8722" i="2" s="1"/>
  <c r="C8723" i="2" s="1"/>
  <c r="C8724" i="2" s="1"/>
  <c r="C8725" i="2" s="1"/>
  <c r="C8726" i="2" s="1"/>
  <c r="C8727" i="2" s="1"/>
  <c r="C8728" i="2" s="1"/>
  <c r="C8729" i="2" s="1"/>
  <c r="C8730" i="2" s="1"/>
  <c r="C8731" i="2" s="1"/>
  <c r="C8732" i="2" s="1"/>
  <c r="C8733" i="2" s="1"/>
  <c r="C8734" i="2" s="1"/>
  <c r="C8735" i="2" s="1"/>
  <c r="C8736" i="2" s="1"/>
  <c r="C8737" i="2" s="1"/>
  <c r="C8738" i="2" s="1"/>
  <c r="C8739" i="2" s="1"/>
  <c r="C8740" i="2" s="1"/>
  <c r="C8741" i="2" s="1"/>
  <c r="C8742" i="2" s="1"/>
  <c r="C8743" i="2" s="1"/>
  <c r="C8744" i="2" s="1"/>
  <c r="C8745" i="2" s="1"/>
  <c r="C8746" i="2" s="1"/>
  <c r="C8747" i="2" s="1"/>
  <c r="C8748" i="2" s="1"/>
  <c r="C8749" i="2" s="1"/>
  <c r="C8750" i="2" s="1"/>
  <c r="C8751" i="2" s="1"/>
  <c r="C8752" i="2" s="1"/>
  <c r="C8753" i="2" s="1"/>
  <c r="C8754" i="2" s="1"/>
  <c r="C8755" i="2" s="1"/>
  <c r="C8756" i="2" s="1"/>
  <c r="C8757" i="2" s="1"/>
  <c r="C8758" i="2" s="1"/>
  <c r="C8759" i="2" s="1"/>
  <c r="C8760" i="2" s="1"/>
  <c r="C8761" i="2" s="1"/>
  <c r="C8762" i="2" s="1"/>
  <c r="C8763" i="2" s="1"/>
  <c r="C8764" i="2" s="1"/>
  <c r="C8765" i="2" s="1"/>
  <c r="C8766" i="2" s="1"/>
  <c r="C8767" i="2" s="1"/>
  <c r="C8768" i="2" s="1"/>
  <c r="C8769" i="2" s="1"/>
  <c r="C8770" i="2" s="1"/>
  <c r="C8771" i="2" s="1"/>
  <c r="C8772" i="2" s="1"/>
  <c r="C8773" i="2" s="1"/>
  <c r="C8774" i="2" s="1"/>
  <c r="C8775" i="2" s="1"/>
  <c r="C8776" i="2" s="1"/>
  <c r="C8777" i="2" s="1"/>
  <c r="C8778" i="2" s="1"/>
  <c r="C8779" i="2" s="1"/>
  <c r="C8780" i="2" s="1"/>
  <c r="C8781" i="2" s="1"/>
  <c r="C8782" i="2" s="1"/>
  <c r="C8783" i="2" s="1"/>
  <c r="C8784" i="2" s="1"/>
  <c r="C8785" i="2" s="1"/>
  <c r="C8786" i="2" s="1"/>
  <c r="C8787" i="2" s="1"/>
  <c r="C8788" i="2" s="1"/>
  <c r="C8789" i="2" s="1"/>
  <c r="C8790" i="2" s="1"/>
  <c r="C8791" i="2" s="1"/>
  <c r="C8792" i="2" s="1"/>
  <c r="C8793" i="2" s="1"/>
  <c r="C8794" i="2" s="1"/>
  <c r="C8795" i="2" s="1"/>
  <c r="C8796" i="2" s="1"/>
  <c r="C8797" i="2" s="1"/>
  <c r="C8798" i="2" s="1"/>
  <c r="C8799" i="2" s="1"/>
  <c r="C8800" i="2" s="1"/>
  <c r="C8801" i="2" s="1"/>
  <c r="C8802" i="2" s="1"/>
  <c r="C8803" i="2" s="1"/>
  <c r="C8804" i="2" s="1"/>
  <c r="C8805" i="2" s="1"/>
  <c r="C8806" i="2" s="1"/>
  <c r="C8807" i="2" s="1"/>
  <c r="C8808" i="2" s="1"/>
  <c r="C8809" i="2" s="1"/>
  <c r="C8810" i="2" s="1"/>
  <c r="C8811" i="2" s="1"/>
  <c r="C8812" i="2" s="1"/>
  <c r="C8813" i="2" s="1"/>
  <c r="C8814" i="2" s="1"/>
  <c r="C8815" i="2" s="1"/>
  <c r="C8816" i="2" s="1"/>
  <c r="C8817" i="2" s="1"/>
  <c r="C8818" i="2" s="1"/>
  <c r="C8819" i="2" s="1"/>
  <c r="C8820" i="2" s="1"/>
  <c r="C8821" i="2" s="1"/>
  <c r="C8822" i="2" s="1"/>
  <c r="C8823" i="2" s="1"/>
  <c r="C8824" i="2" s="1"/>
  <c r="C8825" i="2" s="1"/>
  <c r="C8826" i="2" s="1"/>
  <c r="C8827" i="2" s="1"/>
  <c r="C8828" i="2" s="1"/>
  <c r="C8829" i="2" s="1"/>
  <c r="C8830" i="2" s="1"/>
  <c r="C8831" i="2" s="1"/>
  <c r="C8832" i="2" s="1"/>
  <c r="C8833" i="2" s="1"/>
  <c r="C8834" i="2" s="1"/>
  <c r="C8835" i="2" s="1"/>
  <c r="C8836" i="2" s="1"/>
  <c r="C8837" i="2" s="1"/>
  <c r="C8838" i="2" s="1"/>
  <c r="C8839" i="2" s="1"/>
  <c r="C8840" i="2" s="1"/>
  <c r="C8841" i="2" s="1"/>
  <c r="C8842" i="2" s="1"/>
  <c r="C8843" i="2" s="1"/>
  <c r="C8844" i="2" s="1"/>
  <c r="C8845" i="2" s="1"/>
  <c r="C8846" i="2" s="1"/>
  <c r="C8847" i="2" s="1"/>
  <c r="C8848" i="2" s="1"/>
  <c r="C8849" i="2" s="1"/>
  <c r="C8850" i="2" s="1"/>
  <c r="C8851" i="2" s="1"/>
  <c r="C8852" i="2" s="1"/>
  <c r="C8853" i="2" s="1"/>
  <c r="C8854" i="2" s="1"/>
  <c r="C8855" i="2" s="1"/>
  <c r="C8856" i="2" s="1"/>
  <c r="C8857" i="2" s="1"/>
  <c r="C8858" i="2" s="1"/>
  <c r="C8859" i="2" s="1"/>
  <c r="C8860" i="2" s="1"/>
  <c r="C8861" i="2" s="1"/>
  <c r="C8862" i="2" s="1"/>
  <c r="C8863" i="2" s="1"/>
  <c r="C8864" i="2" s="1"/>
  <c r="C8865" i="2" s="1"/>
  <c r="C8866" i="2" s="1"/>
  <c r="C8867" i="2" s="1"/>
  <c r="C8868" i="2" s="1"/>
  <c r="C8869" i="2" s="1"/>
  <c r="C8870" i="2" s="1"/>
  <c r="C8871" i="2" s="1"/>
  <c r="C8872" i="2" s="1"/>
  <c r="C8873" i="2" s="1"/>
  <c r="C8874" i="2" s="1"/>
  <c r="C8875" i="2" s="1"/>
  <c r="C8876" i="2" s="1"/>
  <c r="C8877" i="2" s="1"/>
  <c r="C8878" i="2" s="1"/>
  <c r="C8879" i="2" s="1"/>
  <c r="C8880" i="2" s="1"/>
  <c r="C8881" i="2" s="1"/>
  <c r="C8882" i="2" s="1"/>
  <c r="C8883" i="2" s="1"/>
  <c r="C8884" i="2" s="1"/>
  <c r="C8885" i="2" s="1"/>
  <c r="C8886" i="2" s="1"/>
  <c r="C8887" i="2" s="1"/>
  <c r="C8888" i="2" s="1"/>
  <c r="C8889" i="2" s="1"/>
  <c r="C8890" i="2" s="1"/>
  <c r="C8891" i="2" s="1"/>
  <c r="C8892" i="2" s="1"/>
  <c r="C8893" i="2" s="1"/>
  <c r="C8894" i="2" s="1"/>
  <c r="C8895" i="2" s="1"/>
  <c r="C8896" i="2" s="1"/>
  <c r="C8897" i="2" s="1"/>
  <c r="C8898" i="2" s="1"/>
  <c r="C8899" i="2" s="1"/>
  <c r="C8900" i="2" s="1"/>
  <c r="C8901" i="2" s="1"/>
  <c r="C8902" i="2" s="1"/>
  <c r="C8903" i="2" s="1"/>
  <c r="C8904" i="2" s="1"/>
  <c r="C8905" i="2" s="1"/>
  <c r="C8906" i="2" s="1"/>
  <c r="C8907" i="2" s="1"/>
  <c r="C8908" i="2" s="1"/>
  <c r="C8909" i="2" s="1"/>
  <c r="C8910" i="2" s="1"/>
  <c r="C8911" i="2" s="1"/>
  <c r="C8912" i="2" s="1"/>
  <c r="C8913" i="2" s="1"/>
  <c r="C8914" i="2" s="1"/>
  <c r="C8915" i="2" s="1"/>
  <c r="C8916" i="2" s="1"/>
  <c r="C8917" i="2" s="1"/>
  <c r="C8918" i="2" s="1"/>
  <c r="C8919" i="2" s="1"/>
  <c r="C8920" i="2" s="1"/>
  <c r="C8921" i="2" s="1"/>
  <c r="C8922" i="2" s="1"/>
  <c r="C8923" i="2" s="1"/>
  <c r="C8924" i="2" s="1"/>
  <c r="C8925" i="2" s="1"/>
  <c r="C8926" i="2" s="1"/>
  <c r="C8927" i="2" s="1"/>
  <c r="C8928" i="2" s="1"/>
  <c r="C8929" i="2" s="1"/>
  <c r="C8930" i="2" s="1"/>
  <c r="C8931" i="2" s="1"/>
  <c r="C8932" i="2" s="1"/>
  <c r="C8933" i="2" s="1"/>
  <c r="C8934" i="2" s="1"/>
  <c r="C8935" i="2" s="1"/>
  <c r="C8936" i="2" s="1"/>
  <c r="C8937" i="2" s="1"/>
  <c r="C8938" i="2" s="1"/>
  <c r="C8939" i="2" s="1"/>
  <c r="C8940" i="2" s="1"/>
  <c r="C8941" i="2" s="1"/>
  <c r="C8942" i="2" s="1"/>
  <c r="C8943" i="2" s="1"/>
  <c r="C8944" i="2" s="1"/>
  <c r="C8945" i="2" s="1"/>
  <c r="C8946" i="2" s="1"/>
  <c r="C8947" i="2" s="1"/>
  <c r="C8948" i="2" s="1"/>
  <c r="C8949" i="2" s="1"/>
  <c r="C8950" i="2" s="1"/>
  <c r="C8951" i="2" s="1"/>
  <c r="C8952" i="2" s="1"/>
  <c r="C8953" i="2" s="1"/>
  <c r="C8954" i="2" s="1"/>
  <c r="C8955" i="2" s="1"/>
  <c r="C8956" i="2" s="1"/>
  <c r="C8957" i="2" s="1"/>
  <c r="C8958" i="2" s="1"/>
  <c r="C8959" i="2" s="1"/>
  <c r="C8960" i="2" s="1"/>
  <c r="C8961" i="2" s="1"/>
  <c r="C8962" i="2" s="1"/>
  <c r="C8963" i="2" s="1"/>
  <c r="C8964" i="2" s="1"/>
  <c r="C8965" i="2" s="1"/>
  <c r="C8966" i="2" s="1"/>
  <c r="C8967" i="2" s="1"/>
  <c r="C8968" i="2" s="1"/>
  <c r="C8969" i="2" s="1"/>
  <c r="C8970" i="2" s="1"/>
  <c r="C8971" i="2" s="1"/>
  <c r="C8972" i="2" s="1"/>
  <c r="C8973" i="2" s="1"/>
  <c r="C8974" i="2" s="1"/>
  <c r="C8975" i="2" s="1"/>
  <c r="C8976" i="2" s="1"/>
  <c r="C8977" i="2" s="1"/>
  <c r="C8978" i="2" s="1"/>
  <c r="C8979" i="2" s="1"/>
  <c r="C8980" i="2" s="1"/>
  <c r="C8981" i="2" s="1"/>
  <c r="C8982" i="2" s="1"/>
  <c r="C8983" i="2" s="1"/>
  <c r="C8984" i="2" s="1"/>
  <c r="C8985" i="2" s="1"/>
  <c r="C8986" i="2" s="1"/>
  <c r="C8987" i="2" s="1"/>
  <c r="C8988" i="2" s="1"/>
  <c r="C8989" i="2" s="1"/>
  <c r="C8990" i="2" s="1"/>
  <c r="C8991" i="2" s="1"/>
  <c r="C8992" i="2" s="1"/>
  <c r="C8993" i="2" s="1"/>
  <c r="C8994" i="2" s="1"/>
  <c r="C8995" i="2" s="1"/>
  <c r="C8996" i="2" s="1"/>
  <c r="C8997" i="2" s="1"/>
  <c r="C8998" i="2" s="1"/>
  <c r="C8999" i="2" s="1"/>
  <c r="C9000" i="2" s="1"/>
  <c r="C9001" i="2" s="1"/>
  <c r="C9002" i="2" s="1"/>
  <c r="C9003" i="2" s="1"/>
  <c r="C9004" i="2" s="1"/>
  <c r="C9005" i="2" s="1"/>
  <c r="C9006" i="2" s="1"/>
  <c r="C9007" i="2" s="1"/>
  <c r="C9008" i="2" s="1"/>
  <c r="A8998" i="2" l="1"/>
  <c r="A8982" i="2"/>
  <c r="A8966" i="2"/>
  <c r="A8950" i="2"/>
  <c r="A8934" i="2"/>
  <c r="A8918" i="2"/>
  <c r="A8902" i="2"/>
  <c r="A8886" i="2"/>
  <c r="A8870" i="2"/>
  <c r="A8854" i="2"/>
  <c r="A8838" i="2"/>
  <c r="A8822" i="2"/>
  <c r="A9008" i="2"/>
  <c r="A8992" i="2"/>
  <c r="A8976" i="2"/>
  <c r="A8960" i="2"/>
  <c r="A8944" i="2"/>
  <c r="A8928" i="2"/>
  <c r="A8912" i="2"/>
  <c r="A8896" i="2"/>
  <c r="A8880" i="2"/>
  <c r="A8864" i="2"/>
  <c r="A8848" i="2"/>
  <c r="A8832" i="2"/>
  <c r="A8816" i="2"/>
  <c r="A8800" i="2"/>
  <c r="A8784" i="2"/>
  <c r="A8768" i="2"/>
  <c r="A8752" i="2"/>
  <c r="A8736" i="2"/>
  <c r="A8720" i="2"/>
  <c r="A8704" i="2"/>
  <c r="A9002" i="2"/>
  <c r="A8986" i="2"/>
  <c r="A8970" i="2"/>
  <c r="A8954" i="2"/>
  <c r="A8938" i="2"/>
  <c r="A8922" i="2"/>
  <c r="A8906" i="2"/>
  <c r="A8890" i="2"/>
  <c r="A8874" i="2"/>
  <c r="A8858" i="2"/>
  <c r="A8842" i="2"/>
  <c r="A9007" i="2"/>
  <c r="A9001" i="2"/>
  <c r="A8985" i="2"/>
  <c r="A8969" i="2"/>
  <c r="A8953" i="2"/>
  <c r="A8937" i="2"/>
  <c r="A8921" i="2"/>
  <c r="A8905" i="2"/>
  <c r="A8889" i="2"/>
  <c r="A8873" i="2"/>
  <c r="A8857" i="2"/>
  <c r="A8841" i="2"/>
  <c r="A8825" i="2"/>
  <c r="A9006" i="2"/>
  <c r="A8995" i="2"/>
  <c r="A8979" i="2"/>
  <c r="A8963" i="2"/>
  <c r="A8947" i="2"/>
  <c r="A8931" i="2"/>
  <c r="A8915" i="2"/>
  <c r="A8899" i="2"/>
  <c r="A8883" i="2"/>
  <c r="A8867" i="2"/>
  <c r="A8851" i="2"/>
  <c r="A9000" i="2"/>
  <c r="A8984" i="2"/>
  <c r="A8968" i="2"/>
  <c r="A8952" i="2"/>
  <c r="A8936" i="2"/>
  <c r="A8920" i="2"/>
  <c r="A8904" i="2"/>
  <c r="A8888" i="2"/>
  <c r="A8872" i="2"/>
  <c r="A8856" i="2"/>
  <c r="A8840" i="2"/>
  <c r="A8824" i="2"/>
  <c r="A9005" i="2"/>
  <c r="A8999" i="2"/>
  <c r="A8983" i="2"/>
  <c r="A8967" i="2"/>
  <c r="A8951" i="2"/>
  <c r="A8935" i="2"/>
  <c r="A8919" i="2"/>
  <c r="A8903" i="2"/>
  <c r="A8887" i="2"/>
  <c r="A8871" i="2"/>
  <c r="A8855" i="2"/>
  <c r="A8839" i="2"/>
  <c r="A8823" i="2"/>
  <c r="A8807" i="2"/>
  <c r="A8791" i="2"/>
  <c r="A8775" i="2"/>
  <c r="A8759" i="2"/>
  <c r="A8743" i="2"/>
  <c r="A8727" i="2"/>
  <c r="A8711" i="2"/>
  <c r="A8695" i="2"/>
  <c r="A8679" i="2"/>
  <c r="A8663" i="2"/>
  <c r="A8647" i="2"/>
  <c r="A8631" i="2"/>
  <c r="A8615" i="2"/>
  <c r="A8599" i="2"/>
  <c r="A8583" i="2"/>
  <c r="A8567" i="2"/>
  <c r="A9004" i="2"/>
  <c r="A8988" i="2"/>
  <c r="A8972" i="2"/>
  <c r="A8956" i="2"/>
  <c r="A8940" i="2"/>
  <c r="A8924" i="2"/>
  <c r="A8908" i="2"/>
  <c r="A8892" i="2"/>
  <c r="A8876" i="2"/>
  <c r="A8860" i="2"/>
  <c r="A8844" i="2"/>
  <c r="A8828" i="2"/>
  <c r="A9003" i="2"/>
  <c r="A8975" i="2"/>
  <c r="A8943" i="2"/>
  <c r="A8911" i="2"/>
  <c r="A8879" i="2"/>
  <c r="A8847" i="2"/>
  <c r="A8827" i="2"/>
  <c r="A8819" i="2"/>
  <c r="A8811" i="2"/>
  <c r="A8762" i="2"/>
  <c r="A8756" i="2"/>
  <c r="A8750" i="2"/>
  <c r="A8744" i="2"/>
  <c r="A8738" i="2"/>
  <c r="A8689" i="2"/>
  <c r="A8672" i="2"/>
  <c r="A8655" i="2"/>
  <c r="A8638" i="2"/>
  <c r="A8621" i="2"/>
  <c r="A8598" i="2"/>
  <c r="A8581" i="2"/>
  <c r="A8564" i="2"/>
  <c r="A8542" i="2"/>
  <c r="A8526" i="2"/>
  <c r="A8510" i="2"/>
  <c r="A8494" i="2"/>
  <c r="A8478" i="2"/>
  <c r="A8462" i="2"/>
  <c r="A8446" i="2"/>
  <c r="A8964" i="2"/>
  <c r="A8932" i="2"/>
  <c r="A8900" i="2"/>
  <c r="A8868" i="2"/>
  <c r="A8836" i="2"/>
  <c r="A8780" i="2"/>
  <c r="A8774" i="2"/>
  <c r="A8725" i="2"/>
  <c r="A8719" i="2"/>
  <c r="A8713" i="2"/>
  <c r="A8707" i="2"/>
  <c r="A8701" i="2"/>
  <c r="A8683" i="2"/>
  <c r="A8666" i="2"/>
  <c r="A8649" i="2"/>
  <c r="A8632" i="2"/>
  <c r="A8609" i="2"/>
  <c r="A8592" i="2"/>
  <c r="A8575" i="2"/>
  <c r="A8558" i="2"/>
  <c r="A8547" i="2"/>
  <c r="A8531" i="2"/>
  <c r="A8515" i="2"/>
  <c r="A8499" i="2"/>
  <c r="A8483" i="2"/>
  <c r="A8997" i="2"/>
  <c r="A8974" i="2"/>
  <c r="A8942" i="2"/>
  <c r="A8910" i="2"/>
  <c r="A8878" i="2"/>
  <c r="A8846" i="2"/>
  <c r="A8826" i="2"/>
  <c r="A8818" i="2"/>
  <c r="A8810" i="2"/>
  <c r="A8804" i="2"/>
  <c r="A8798" i="2"/>
  <c r="A8792" i="2"/>
  <c r="A8786" i="2"/>
  <c r="A8737" i="2"/>
  <c r="A8731" i="2"/>
  <c r="A8677" i="2"/>
  <c r="A8660" i="2"/>
  <c r="A8643" i="2"/>
  <c r="A8626" i="2"/>
  <c r="A8620" i="2"/>
  <c r="A8603" i="2"/>
  <c r="A8586" i="2"/>
  <c r="A8569" i="2"/>
  <c r="A8552" i="2"/>
  <c r="A8536" i="2"/>
  <c r="A8520" i="2"/>
  <c r="A8504" i="2"/>
  <c r="A8488" i="2"/>
  <c r="A8472" i="2"/>
  <c r="A8996" i="2"/>
  <c r="A8973" i="2"/>
  <c r="A8941" i="2"/>
  <c r="A8909" i="2"/>
  <c r="A8877" i="2"/>
  <c r="A8845" i="2"/>
  <c r="A8835" i="2"/>
  <c r="A8817" i="2"/>
  <c r="A8773" i="2"/>
  <c r="A8767" i="2"/>
  <c r="A8761" i="2"/>
  <c r="A8755" i="2"/>
  <c r="A8749" i="2"/>
  <c r="A8700" i="2"/>
  <c r="A8694" i="2"/>
  <c r="A8688" i="2"/>
  <c r="A8671" i="2"/>
  <c r="A8654" i="2"/>
  <c r="A8637" i="2"/>
  <c r="A8614" i="2"/>
  <c r="A8597" i="2"/>
  <c r="A8580" i="2"/>
  <c r="A8563" i="2"/>
  <c r="A8541" i="2"/>
  <c r="A8525" i="2"/>
  <c r="A8509" i="2"/>
  <c r="A8493" i="2"/>
  <c r="A8477" i="2"/>
  <c r="A8994" i="2"/>
  <c r="A8962" i="2"/>
  <c r="A8930" i="2"/>
  <c r="A8898" i="2"/>
  <c r="A8866" i="2"/>
  <c r="A8785" i="2"/>
  <c r="A8779" i="2"/>
  <c r="A8993" i="2"/>
  <c r="A8961" i="2"/>
  <c r="A8981" i="2"/>
  <c r="A8949" i="2"/>
  <c r="A8917" i="2"/>
  <c r="A8885" i="2"/>
  <c r="A8853" i="2"/>
  <c r="A8815" i="2"/>
  <c r="A8796" i="2"/>
  <c r="A8790" i="2"/>
  <c r="A8741" i="2"/>
  <c r="A8735" i="2"/>
  <c r="A8729" i="2"/>
  <c r="A8723" i="2"/>
  <c r="A8717" i="2"/>
  <c r="A8681" i="2"/>
  <c r="A8664" i="2"/>
  <c r="A8991" i="2"/>
  <c r="A8959" i="2"/>
  <c r="A8971" i="2"/>
  <c r="A8897" i="2"/>
  <c r="A8882" i="2"/>
  <c r="A8863" i="2"/>
  <c r="A8747" i="2"/>
  <c r="A8739" i="2"/>
  <c r="A8721" i="2"/>
  <c r="A8703" i="2"/>
  <c r="A8678" i="2"/>
  <c r="A8669" i="2"/>
  <c r="A8652" i="2"/>
  <c r="A8645" i="2"/>
  <c r="A8591" i="2"/>
  <c r="A8584" i="2"/>
  <c r="A8561" i="2"/>
  <c r="A8554" i="2"/>
  <c r="A8546" i="2"/>
  <c r="A8518" i="2"/>
  <c r="A8490" i="2"/>
  <c r="A8482" i="2"/>
  <c r="A8469" i="2"/>
  <c r="A8452" i="2"/>
  <c r="A8424" i="2"/>
  <c r="A8408" i="2"/>
  <c r="A8392" i="2"/>
  <c r="A8376" i="2"/>
  <c r="A8360" i="2"/>
  <c r="A8344" i="2"/>
  <c r="A8328" i="2"/>
  <c r="A8312" i="2"/>
  <c r="A8296" i="2"/>
  <c r="A8933" i="2"/>
  <c r="A8881" i="2"/>
  <c r="A8830" i="2"/>
  <c r="A8806" i="2"/>
  <c r="A8787" i="2"/>
  <c r="A8766" i="2"/>
  <c r="A8757" i="2"/>
  <c r="A8693" i="2"/>
  <c r="A8661" i="2"/>
  <c r="A8636" i="2"/>
  <c r="A8629" i="2"/>
  <c r="A8622" i="2"/>
  <c r="A8568" i="2"/>
  <c r="A8539" i="2"/>
  <c r="A8511" i="2"/>
  <c r="A8503" i="2"/>
  <c r="A8475" i="2"/>
  <c r="A8463" i="2"/>
  <c r="A8440" i="2"/>
  <c r="A8429" i="2"/>
  <c r="A8413" i="2"/>
  <c r="A8397" i="2"/>
  <c r="A8381" i="2"/>
  <c r="A8365" i="2"/>
  <c r="A8349" i="2"/>
  <c r="A8333" i="2"/>
  <c r="A8317" i="2"/>
  <c r="A8301" i="2"/>
  <c r="A8990" i="2"/>
  <c r="A8948" i="2"/>
  <c r="A8929" i="2"/>
  <c r="A8914" i="2"/>
  <c r="A8895" i="2"/>
  <c r="A8862" i="2"/>
  <c r="A8795" i="2"/>
  <c r="A8776" i="2"/>
  <c r="A8746" i="2"/>
  <c r="A8685" i="2"/>
  <c r="A8676" i="2"/>
  <c r="A8668" i="2"/>
  <c r="A8613" i="2"/>
  <c r="A8606" i="2"/>
  <c r="A8576" i="2"/>
  <c r="A8532" i="2"/>
  <c r="A8524" i="2"/>
  <c r="A8496" i="2"/>
  <c r="A8457" i="2"/>
  <c r="A8451" i="2"/>
  <c r="A8434" i="2"/>
  <c r="A8418" i="2"/>
  <c r="A8402" i="2"/>
  <c r="A8386" i="2"/>
  <c r="A8989" i="2"/>
  <c r="A8913" i="2"/>
  <c r="A8861" i="2"/>
  <c r="A8843" i="2"/>
  <c r="A8829" i="2"/>
  <c r="A8814" i="2"/>
  <c r="A8805" i="2"/>
  <c r="A8765" i="2"/>
  <c r="A8728" i="2"/>
  <c r="A8710" i="2"/>
  <c r="A8702" i="2"/>
  <c r="A8692" i="2"/>
  <c r="A8659" i="2"/>
  <c r="A8651" i="2"/>
  <c r="A8644" i="2"/>
  <c r="A8590" i="2"/>
  <c r="A8560" i="2"/>
  <c r="A8553" i="2"/>
  <c r="A8545" i="2"/>
  <c r="A8517" i="2"/>
  <c r="A8489" i="2"/>
  <c r="A8481" i="2"/>
  <c r="A8468" i="2"/>
  <c r="A8445" i="2"/>
  <c r="A8423" i="2"/>
  <c r="A8927" i="2"/>
  <c r="A8894" i="2"/>
  <c r="A8803" i="2"/>
  <c r="A8794" i="2"/>
  <c r="A8718" i="2"/>
  <c r="A8684" i="2"/>
  <c r="A8675" i="2"/>
  <c r="A8635" i="2"/>
  <c r="A8628" i="2"/>
  <c r="A8574" i="2"/>
  <c r="A8538" i="2"/>
  <c r="A8530" i="2"/>
  <c r="A8502" i="2"/>
  <c r="A8474" i="2"/>
  <c r="A8456" i="2"/>
  <c r="A8439" i="2"/>
  <c r="A8428" i="2"/>
  <c r="A8412" i="2"/>
  <c r="A8396" i="2"/>
  <c r="A8380" i="2"/>
  <c r="A8946" i="2"/>
  <c r="A8893" i="2"/>
  <c r="A8875" i="2"/>
  <c r="A8783" i="2"/>
  <c r="A8987" i="2"/>
  <c r="A8945" i="2"/>
  <c r="A8926" i="2"/>
  <c r="A8859" i="2"/>
  <c r="A8813" i="2"/>
  <c r="A8802" i="2"/>
  <c r="A8965" i="2"/>
  <c r="A8925" i="2"/>
  <c r="A8907" i="2"/>
  <c r="A8793" i="2"/>
  <c r="A8772" i="2"/>
  <c r="A8916" i="2"/>
  <c r="A8901" i="2"/>
  <c r="A8865" i="2"/>
  <c r="A8788" i="2"/>
  <c r="A8753" i="2"/>
  <c r="A8690" i="2"/>
  <c r="A8641" i="2"/>
  <c r="A8610" i="2"/>
  <c r="A8577" i="2"/>
  <c r="A8565" i="2"/>
  <c r="A8471" i="2"/>
  <c r="A8447" i="2"/>
  <c r="A8415" i="2"/>
  <c r="A8387" i="2"/>
  <c r="A8379" i="2"/>
  <c r="A8366" i="2"/>
  <c r="A8293" i="2"/>
  <c r="A8282" i="2"/>
  <c r="A8266" i="2"/>
  <c r="A8250" i="2"/>
  <c r="A8234" i="2"/>
  <c r="A8218" i="2"/>
  <c r="A8980" i="2"/>
  <c r="A8831" i="2"/>
  <c r="A8770" i="2"/>
  <c r="A8715" i="2"/>
  <c r="A8608" i="2"/>
  <c r="A8596" i="2"/>
  <c r="A8587" i="2"/>
  <c r="A8543" i="2"/>
  <c r="A8522" i="2"/>
  <c r="A8501" i="2"/>
  <c r="A8480" i="2"/>
  <c r="A8454" i="2"/>
  <c r="A8430" i="2"/>
  <c r="A8407" i="2"/>
  <c r="A8400" i="2"/>
  <c r="A8372" i="2"/>
  <c r="A8359" i="2"/>
  <c r="A8353" i="2"/>
  <c r="A8347" i="2"/>
  <c r="A8341" i="2"/>
  <c r="A8335" i="2"/>
  <c r="A8329" i="2"/>
  <c r="A8323" i="2"/>
  <c r="A8287" i="2"/>
  <c r="A8271" i="2"/>
  <c r="A8255" i="2"/>
  <c r="A8239" i="2"/>
  <c r="A8223" i="2"/>
  <c r="A8801" i="2"/>
  <c r="A8740" i="2"/>
  <c r="A8653" i="2"/>
  <c r="A8630" i="2"/>
  <c r="A8618" i="2"/>
  <c r="A8551" i="2"/>
  <c r="A8533" i="2"/>
  <c r="A8512" i="2"/>
  <c r="A8491" i="2"/>
  <c r="A8461" i="2"/>
  <c r="A8437" i="2"/>
  <c r="A8421" i="2"/>
  <c r="A8393" i="2"/>
  <c r="A8385" i="2"/>
  <c r="A8322" i="2"/>
  <c r="A8316" i="2"/>
  <c r="A8310" i="2"/>
  <c r="A8304" i="2"/>
  <c r="A8298" i="2"/>
  <c r="A8276" i="2"/>
  <c r="A8260" i="2"/>
  <c r="A8244" i="2"/>
  <c r="A8228" i="2"/>
  <c r="A8212" i="2"/>
  <c r="A8196" i="2"/>
  <c r="A8180" i="2"/>
  <c r="A8164" i="2"/>
  <c r="A8891" i="2"/>
  <c r="A8782" i="2"/>
  <c r="A8769" i="2"/>
  <c r="A8726" i="2"/>
  <c r="A8714" i="2"/>
  <c r="A8699" i="2"/>
  <c r="A8640" i="2"/>
  <c r="A8585" i="2"/>
  <c r="A8573" i="2"/>
  <c r="A8470" i="2"/>
  <c r="A8444" i="2"/>
  <c r="A8414" i="2"/>
  <c r="A8406" i="2"/>
  <c r="A8378" i="2"/>
  <c r="A8292" i="2"/>
  <c r="A8281" i="2"/>
  <c r="A8265" i="2"/>
  <c r="A8249" i="2"/>
  <c r="A8233" i="2"/>
  <c r="A8978" i="2"/>
  <c r="A8977" i="2"/>
  <c r="A8852" i="2"/>
  <c r="A8821" i="2"/>
  <c r="A8764" i="2"/>
  <c r="A8751" i="2"/>
  <c r="A8712" i="2"/>
  <c r="A8617" i="2"/>
  <c r="A8605" i="2"/>
  <c r="A8572" i="2"/>
  <c r="A8562" i="2"/>
  <c r="A8550" i="2"/>
  <c r="A8529" i="2"/>
  <c r="A8508" i="2"/>
  <c r="A8487" i="2"/>
  <c r="A8460" i="2"/>
  <c r="A8436" i="2"/>
  <c r="A8427" i="2"/>
  <c r="A8420" i="2"/>
  <c r="A8391" i="2"/>
  <c r="A8384" i="2"/>
  <c r="A8370" i="2"/>
  <c r="A8327" i="2"/>
  <c r="A8321" i="2"/>
  <c r="A8315" i="2"/>
  <c r="A8309" i="2"/>
  <c r="A8303" i="2"/>
  <c r="A8297" i="2"/>
  <c r="A8275" i="2"/>
  <c r="A8259" i="2"/>
  <c r="A8243" i="2"/>
  <c r="A8227" i="2"/>
  <c r="A8211" i="2"/>
  <c r="A8923" i="2"/>
  <c r="A8799" i="2"/>
  <c r="A8763" i="2"/>
  <c r="A8697" i="2"/>
  <c r="A8625" i="2"/>
  <c r="A8604" i="2"/>
  <c r="A8594" i="2"/>
  <c r="A8556" i="2"/>
  <c r="A8523" i="2"/>
  <c r="A8459" i="2"/>
  <c r="A8448" i="2"/>
  <c r="A8435" i="2"/>
  <c r="A8354" i="2"/>
  <c r="A8284" i="2"/>
  <c r="A8277" i="2"/>
  <c r="A8237" i="2"/>
  <c r="A8230" i="2"/>
  <c r="A8208" i="2"/>
  <c r="A8184" i="2"/>
  <c r="A8167" i="2"/>
  <c r="A8145" i="2"/>
  <c r="A8129" i="2"/>
  <c r="A8113" i="2"/>
  <c r="A8097" i="2"/>
  <c r="A8081" i="2"/>
  <c r="A8065" i="2"/>
  <c r="A8049" i="2"/>
  <c r="A8033" i="2"/>
  <c r="A8017" i="2"/>
  <c r="A8837" i="2"/>
  <c r="A8722" i="2"/>
  <c r="A8662" i="2"/>
  <c r="A8506" i="2"/>
  <c r="A8473" i="2"/>
  <c r="A8433" i="2"/>
  <c r="A8403" i="2"/>
  <c r="A8382" i="2"/>
  <c r="A8371" i="2"/>
  <c r="A8362" i="2"/>
  <c r="A8336" i="2"/>
  <c r="A8326" i="2"/>
  <c r="A8300" i="2"/>
  <c r="A8291" i="2"/>
  <c r="A8268" i="2"/>
  <c r="A8261" i="2"/>
  <c r="A8221" i="2"/>
  <c r="A8201" i="2"/>
  <c r="A8195" i="2"/>
  <c r="A8178" i="2"/>
  <c r="A8161" i="2"/>
  <c r="A8150" i="2"/>
  <c r="A8134" i="2"/>
  <c r="A8118" i="2"/>
  <c r="A8102" i="2"/>
  <c r="A8086" i="2"/>
  <c r="A8070" i="2"/>
  <c r="A8054" i="2"/>
  <c r="A8038" i="2"/>
  <c r="A8022" i="2"/>
  <c r="A8006" i="2"/>
  <c r="A7990" i="2"/>
  <c r="A8958" i="2"/>
  <c r="A8834" i="2"/>
  <c r="A8742" i="2"/>
  <c r="A8698" i="2"/>
  <c r="A8658" i="2"/>
  <c r="A8642" i="2"/>
  <c r="A8624" i="2"/>
  <c r="A8607" i="2"/>
  <c r="A8589" i="2"/>
  <c r="A8571" i="2"/>
  <c r="A8537" i="2"/>
  <c r="A8521" i="2"/>
  <c r="A8486" i="2"/>
  <c r="A8411" i="2"/>
  <c r="A8390" i="2"/>
  <c r="A8352" i="2"/>
  <c r="A8318" i="2"/>
  <c r="A8308" i="2"/>
  <c r="A8252" i="2"/>
  <c r="A8245" i="2"/>
  <c r="A8214" i="2"/>
  <c r="A8207" i="2"/>
  <c r="A8189" i="2"/>
  <c r="A8172" i="2"/>
  <c r="A8155" i="2"/>
  <c r="A8139" i="2"/>
  <c r="A8123" i="2"/>
  <c r="A8107" i="2"/>
  <c r="A8091" i="2"/>
  <c r="A8075" i="2"/>
  <c r="A8059" i="2"/>
  <c r="A8043" i="2"/>
  <c r="A8027" i="2"/>
  <c r="A8011" i="2"/>
  <c r="A7995" i="2"/>
  <c r="A7979" i="2"/>
  <c r="A7963" i="2"/>
  <c r="A7947" i="2"/>
  <c r="A8957" i="2"/>
  <c r="A8884" i="2"/>
  <c r="A8833" i="2"/>
  <c r="A8789" i="2"/>
  <c r="A8680" i="2"/>
  <c r="A8555" i="2"/>
  <c r="A8519" i="2"/>
  <c r="A8458" i="2"/>
  <c r="A8422" i="2"/>
  <c r="A8401" i="2"/>
  <c r="A8369" i="2"/>
  <c r="A8343" i="2"/>
  <c r="A8334" i="2"/>
  <c r="A8290" i="2"/>
  <c r="A8283" i="2"/>
  <c r="A8236" i="2"/>
  <c r="A8229" i="2"/>
  <c r="A8200" i="2"/>
  <c r="A8183" i="2"/>
  <c r="A8166" i="2"/>
  <c r="A8144" i="2"/>
  <c r="A8128" i="2"/>
  <c r="A8112" i="2"/>
  <c r="A8096" i="2"/>
  <c r="A8080" i="2"/>
  <c r="A8064" i="2"/>
  <c r="A8048" i="2"/>
  <c r="A8032" i="2"/>
  <c r="A8016" i="2"/>
  <c r="A8760" i="2"/>
  <c r="A8657" i="2"/>
  <c r="A8588" i="2"/>
  <c r="A8535" i="2"/>
  <c r="A8505" i="2"/>
  <c r="A8443" i="2"/>
  <c r="A8432" i="2"/>
  <c r="A8361" i="2"/>
  <c r="A8351" i="2"/>
  <c r="A8325" i="2"/>
  <c r="A8299" i="2"/>
  <c r="A8274" i="2"/>
  <c r="A8267" i="2"/>
  <c r="A8220" i="2"/>
  <c r="A8206" i="2"/>
  <c r="A8194" i="2"/>
  <c r="A8177" i="2"/>
  <c r="A8160" i="2"/>
  <c r="A8149" i="2"/>
  <c r="A8133" i="2"/>
  <c r="A8117" i="2"/>
  <c r="A8101" i="2"/>
  <c r="A8820" i="2"/>
  <c r="A8955" i="2"/>
  <c r="A8734" i="2"/>
  <c r="A8716" i="2"/>
  <c r="A8696" i="2"/>
  <c r="A8674" i="2"/>
  <c r="A8812" i="2"/>
  <c r="A8781" i="2"/>
  <c r="A8673" i="2"/>
  <c r="A8656" i="2"/>
  <c r="A8619" i="2"/>
  <c r="A8582" i="2"/>
  <c r="A8566" i="2"/>
  <c r="A8534" i="2"/>
  <c r="A8939" i="2"/>
  <c r="A8758" i="2"/>
  <c r="A8616" i="2"/>
  <c r="A8559" i="2"/>
  <c r="A8410" i="2"/>
  <c r="A8367" i="2"/>
  <c r="A8340" i="2"/>
  <c r="A8314" i="2"/>
  <c r="A8289" i="2"/>
  <c r="A8246" i="2"/>
  <c r="A8193" i="2"/>
  <c r="A8121" i="2"/>
  <c r="A8114" i="2"/>
  <c r="A8077" i="2"/>
  <c r="A8069" i="2"/>
  <c r="A8041" i="2"/>
  <c r="A8013" i="2"/>
  <c r="A8007" i="2"/>
  <c r="A8001" i="2"/>
  <c r="A7971" i="2"/>
  <c r="A7954" i="2"/>
  <c r="A7937" i="2"/>
  <c r="A7926" i="2"/>
  <c r="A7910" i="2"/>
  <c r="A7894" i="2"/>
  <c r="A7878" i="2"/>
  <c r="A7862" i="2"/>
  <c r="A7846" i="2"/>
  <c r="A8809" i="2"/>
  <c r="A8754" i="2"/>
  <c r="A8709" i="2"/>
  <c r="A8646" i="2"/>
  <c r="A8507" i="2"/>
  <c r="A8484" i="2"/>
  <c r="A8464" i="2"/>
  <c r="A8442" i="2"/>
  <c r="A8426" i="2"/>
  <c r="A8355" i="2"/>
  <c r="A8302" i="2"/>
  <c r="A8256" i="2"/>
  <c r="A8232" i="2"/>
  <c r="A8222" i="2"/>
  <c r="A8185" i="2"/>
  <c r="A8176" i="2"/>
  <c r="A8152" i="2"/>
  <c r="A8105" i="2"/>
  <c r="A8098" i="2"/>
  <c r="A8090" i="2"/>
  <c r="A8062" i="2"/>
  <c r="A8034" i="2"/>
  <c r="A8026" i="2"/>
  <c r="A8000" i="2"/>
  <c r="A7994" i="2"/>
  <c r="A7988" i="2"/>
  <c r="A7982" i="2"/>
  <c r="A7965" i="2"/>
  <c r="A7948" i="2"/>
  <c r="A7931" i="2"/>
  <c r="A7915" i="2"/>
  <c r="A7899" i="2"/>
  <c r="A7883" i="2"/>
  <c r="A7867" i="2"/>
  <c r="A7851" i="2"/>
  <c r="A8639" i="2"/>
  <c r="A8612" i="2"/>
  <c r="A8557" i="2"/>
  <c r="A8528" i="2"/>
  <c r="A8395" i="2"/>
  <c r="A8339" i="2"/>
  <c r="A8278" i="2"/>
  <c r="A8242" i="2"/>
  <c r="A8210" i="2"/>
  <c r="A8202" i="2"/>
  <c r="A8168" i="2"/>
  <c r="A8159" i="2"/>
  <c r="A8143" i="2"/>
  <c r="A8136" i="2"/>
  <c r="A8083" i="2"/>
  <c r="A8055" i="2"/>
  <c r="A8047" i="2"/>
  <c r="A8019" i="2"/>
  <c r="A7976" i="2"/>
  <c r="A7959" i="2"/>
  <c r="A7942" i="2"/>
  <c r="A7936" i="2"/>
  <c r="A7920" i="2"/>
  <c r="A7904" i="2"/>
  <c r="A7888" i="2"/>
  <c r="A7872" i="2"/>
  <c r="A7856" i="2"/>
  <c r="A8808" i="2"/>
  <c r="A8708" i="2"/>
  <c r="A8670" i="2"/>
  <c r="A8479" i="2"/>
  <c r="A8409" i="2"/>
  <c r="A8377" i="2"/>
  <c r="A8364" i="2"/>
  <c r="A8338" i="2"/>
  <c r="A8313" i="2"/>
  <c r="A8288" i="2"/>
  <c r="A8264" i="2"/>
  <c r="A8254" i="2"/>
  <c r="A8192" i="2"/>
  <c r="A8127" i="2"/>
  <c r="A8120" i="2"/>
  <c r="A8076" i="2"/>
  <c r="A8068" i="2"/>
  <c r="A8040" i="2"/>
  <c r="A8012" i="2"/>
  <c r="A8748" i="2"/>
  <c r="A8500" i="2"/>
  <c r="A8441" i="2"/>
  <c r="A8425" i="2"/>
  <c r="A8350" i="2"/>
  <c r="A8231" i="2"/>
  <c r="A8219" i="2"/>
  <c r="A8199" i="2"/>
  <c r="A8175" i="2"/>
  <c r="A8158" i="2"/>
  <c r="A8151" i="2"/>
  <c r="A8111" i="2"/>
  <c r="A8104" i="2"/>
  <c r="A8089" i="2"/>
  <c r="A8061" i="2"/>
  <c r="A8053" i="2"/>
  <c r="A8025" i="2"/>
  <c r="A8005" i="2"/>
  <c r="A7999" i="2"/>
  <c r="A7993" i="2"/>
  <c r="A7987" i="2"/>
  <c r="A7981" i="2"/>
  <c r="A7964" i="2"/>
  <c r="A7941" i="2"/>
  <c r="A7930" i="2"/>
  <c r="A7914" i="2"/>
  <c r="A7898" i="2"/>
  <c r="A7882" i="2"/>
  <c r="A7866" i="2"/>
  <c r="A8706" i="2"/>
  <c r="A8667" i="2"/>
  <c r="A8634" i="2"/>
  <c r="A8611" i="2"/>
  <c r="A8579" i="2"/>
  <c r="A8549" i="2"/>
  <c r="A8527" i="2"/>
  <c r="A8498" i="2"/>
  <c r="A8455" i="2"/>
  <c r="A8394" i="2"/>
  <c r="A8797" i="2"/>
  <c r="A8745" i="2"/>
  <c r="A8602" i="2"/>
  <c r="A8476" i="2"/>
  <c r="A8405" i="2"/>
  <c r="A8389" i="2"/>
  <c r="A8375" i="2"/>
  <c r="A8705" i="2"/>
  <c r="A8665" i="2"/>
  <c r="A8548" i="2"/>
  <c r="A8497" i="2"/>
  <c r="A8453" i="2"/>
  <c r="A8438" i="2"/>
  <c r="A8419" i="2"/>
  <c r="A8311" i="2"/>
  <c r="A8285" i="2"/>
  <c r="A8273" i="2"/>
  <c r="A8217" i="2"/>
  <c r="A8198" i="2"/>
  <c r="A8157" i="2"/>
  <c r="A8110" i="2"/>
  <c r="A8103" i="2"/>
  <c r="A8088" i="2"/>
  <c r="A8601" i="2"/>
  <c r="A8495" i="2"/>
  <c r="A8363" i="2"/>
  <c r="A8342" i="2"/>
  <c r="A8320" i="2"/>
  <c r="A8280" i="2"/>
  <c r="A8209" i="2"/>
  <c r="A8181" i="2"/>
  <c r="A8156" i="2"/>
  <c r="A8142" i="2"/>
  <c r="A8131" i="2"/>
  <c r="A8106" i="2"/>
  <c r="A8082" i="2"/>
  <c r="A8020" i="2"/>
  <c r="A7968" i="2"/>
  <c r="A7961" i="2"/>
  <c r="A7953" i="2"/>
  <c r="A7909" i="2"/>
  <c r="A7902" i="2"/>
  <c r="A7874" i="2"/>
  <c r="A7853" i="2"/>
  <c r="A7834" i="2"/>
  <c r="A7818" i="2"/>
  <c r="A7802" i="2"/>
  <c r="A7786" i="2"/>
  <c r="A7770" i="2"/>
  <c r="A7754" i="2"/>
  <c r="A7738" i="2"/>
  <c r="A7722" i="2"/>
  <c r="A7706" i="2"/>
  <c r="A7690" i="2"/>
  <c r="A7674" i="2"/>
  <c r="A7658" i="2"/>
  <c r="A7642" i="2"/>
  <c r="A7626" i="2"/>
  <c r="A7610" i="2"/>
  <c r="A7594" i="2"/>
  <c r="A7578" i="2"/>
  <c r="A7562" i="2"/>
  <c r="A7546" i="2"/>
  <c r="A7530" i="2"/>
  <c r="A7514" i="2"/>
  <c r="A7498" i="2"/>
  <c r="A7482" i="2"/>
  <c r="A7466" i="2"/>
  <c r="A7450" i="2"/>
  <c r="A7434" i="2"/>
  <c r="A7418" i="2"/>
  <c r="A8733" i="2"/>
  <c r="A8450" i="2"/>
  <c r="A8417" i="2"/>
  <c r="A8388" i="2"/>
  <c r="A8262" i="2"/>
  <c r="A8169" i="2"/>
  <c r="A8154" i="2"/>
  <c r="A8060" i="2"/>
  <c r="A8039" i="2"/>
  <c r="A8018" i="2"/>
  <c r="A8009" i="2"/>
  <c r="A7975" i="2"/>
  <c r="A7952" i="2"/>
  <c r="A7945" i="2"/>
  <c r="A7938" i="2"/>
  <c r="A7923" i="2"/>
  <c r="A7895" i="2"/>
  <c r="A7887" i="2"/>
  <c r="A7859" i="2"/>
  <c r="A7823" i="2"/>
  <c r="A7807" i="2"/>
  <c r="A7791" i="2"/>
  <c r="A7775" i="2"/>
  <c r="A7759" i="2"/>
  <c r="A7743" i="2"/>
  <c r="A7727" i="2"/>
  <c r="A7711" i="2"/>
  <c r="A7695" i="2"/>
  <c r="A7679" i="2"/>
  <c r="A7663" i="2"/>
  <c r="A7647" i="2"/>
  <c r="A7631" i="2"/>
  <c r="A7615" i="2"/>
  <c r="A7599" i="2"/>
  <c r="A7583" i="2"/>
  <c r="A7567" i="2"/>
  <c r="A7551" i="2"/>
  <c r="A7535" i="2"/>
  <c r="A7519" i="2"/>
  <c r="A7503" i="2"/>
  <c r="A7487" i="2"/>
  <c r="A7471" i="2"/>
  <c r="A8869" i="2"/>
  <c r="A8544" i="2"/>
  <c r="A8358" i="2"/>
  <c r="A8241" i="2"/>
  <c r="A8225" i="2"/>
  <c r="A8141" i="2"/>
  <c r="A8116" i="2"/>
  <c r="A8093" i="2"/>
  <c r="A8071" i="2"/>
  <c r="A8050" i="2"/>
  <c r="A8029" i="2"/>
  <c r="A7991" i="2"/>
  <c r="A7983" i="2"/>
  <c r="A7916" i="2"/>
  <c r="A7908" i="2"/>
  <c r="A7880" i="2"/>
  <c r="A7845" i="2"/>
  <c r="A7839" i="2"/>
  <c r="A7828" i="2"/>
  <c r="A7812" i="2"/>
  <c r="A7796" i="2"/>
  <c r="A7780" i="2"/>
  <c r="A7764" i="2"/>
  <c r="A7748" i="2"/>
  <c r="A7732" i="2"/>
  <c r="A7716" i="2"/>
  <c r="A7700" i="2"/>
  <c r="A7684" i="2"/>
  <c r="A7668" i="2"/>
  <c r="A7652" i="2"/>
  <c r="A7636" i="2"/>
  <c r="A7620" i="2"/>
  <c r="A7604" i="2"/>
  <c r="A7588" i="2"/>
  <c r="A7572" i="2"/>
  <c r="A7556" i="2"/>
  <c r="A7540" i="2"/>
  <c r="A7524" i="2"/>
  <c r="A7508" i="2"/>
  <c r="A7492" i="2"/>
  <c r="A7476" i="2"/>
  <c r="A8732" i="2"/>
  <c r="A8600" i="2"/>
  <c r="A8337" i="2"/>
  <c r="A8319" i="2"/>
  <c r="A8295" i="2"/>
  <c r="A8279" i="2"/>
  <c r="A8258" i="2"/>
  <c r="A8205" i="2"/>
  <c r="A8165" i="2"/>
  <c r="A8130" i="2"/>
  <c r="A8058" i="2"/>
  <c r="A8037" i="2"/>
  <c r="A7967" i="2"/>
  <c r="A7960" i="2"/>
  <c r="A7929" i="2"/>
  <c r="A7901" i="2"/>
  <c r="A7873" i="2"/>
  <c r="A7865" i="2"/>
  <c r="A7852" i="2"/>
  <c r="A7833" i="2"/>
  <c r="A7817" i="2"/>
  <c r="A7801" i="2"/>
  <c r="A7785" i="2"/>
  <c r="A7769" i="2"/>
  <c r="A7753" i="2"/>
  <c r="A7737" i="2"/>
  <c r="A7721" i="2"/>
  <c r="A7705" i="2"/>
  <c r="A7689" i="2"/>
  <c r="A7673" i="2"/>
  <c r="A7657" i="2"/>
  <c r="A7641" i="2"/>
  <c r="A7625" i="2"/>
  <c r="A7609" i="2"/>
  <c r="A7593" i="2"/>
  <c r="A7577" i="2"/>
  <c r="A8850" i="2"/>
  <c r="A8730" i="2"/>
  <c r="A8650" i="2"/>
  <c r="A8595" i="2"/>
  <c r="A8449" i="2"/>
  <c r="A8416" i="2"/>
  <c r="A8357" i="2"/>
  <c r="A8240" i="2"/>
  <c r="A8153" i="2"/>
  <c r="A8849" i="2"/>
  <c r="A8648" i="2"/>
  <c r="A8540" i="2"/>
  <c r="A8492" i="2"/>
  <c r="A8332" i="2"/>
  <c r="A8224" i="2"/>
  <c r="A8191" i="2"/>
  <c r="A8179" i="2"/>
  <c r="A8140" i="2"/>
  <c r="A8126" i="2"/>
  <c r="A8115" i="2"/>
  <c r="A8092" i="2"/>
  <c r="A8067" i="2"/>
  <c r="A8046" i="2"/>
  <c r="A8028" i="2"/>
  <c r="A7958" i="2"/>
  <c r="A7935" i="2"/>
  <c r="A7907" i="2"/>
  <c r="A7879" i="2"/>
  <c r="A7871" i="2"/>
  <c r="A7844" i="2"/>
  <c r="A7838" i="2"/>
  <c r="A7827" i="2"/>
  <c r="A7811" i="2"/>
  <c r="A7795" i="2"/>
  <c r="A7779" i="2"/>
  <c r="A7763" i="2"/>
  <c r="A7747" i="2"/>
  <c r="A7731" i="2"/>
  <c r="A7715" i="2"/>
  <c r="A7699" i="2"/>
  <c r="A8724" i="2"/>
  <c r="A8485" i="2"/>
  <c r="A8294" i="2"/>
  <c r="A8257" i="2"/>
  <c r="A8238" i="2"/>
  <c r="A8204" i="2"/>
  <c r="A8190" i="2"/>
  <c r="A8138" i="2"/>
  <c r="A8057" i="2"/>
  <c r="A8036" i="2"/>
  <c r="A8015" i="2"/>
  <c r="A7989" i="2"/>
  <c r="A7973" i="2"/>
  <c r="A7966" i="2"/>
  <c r="A7928" i="2"/>
  <c r="A7900" i="2"/>
  <c r="A7892" i="2"/>
  <c r="A7864" i="2"/>
  <c r="A7850" i="2"/>
  <c r="A7832" i="2"/>
  <c r="A7816" i="2"/>
  <c r="A7800" i="2"/>
  <c r="A7784" i="2"/>
  <c r="A7768" i="2"/>
  <c r="A7752" i="2"/>
  <c r="A7736" i="2"/>
  <c r="A7720" i="2"/>
  <c r="A7704" i="2"/>
  <c r="A8263" i="2"/>
  <c r="A8247" i="2"/>
  <c r="A8226" i="2"/>
  <c r="A8170" i="2"/>
  <c r="A8119" i="2"/>
  <c r="A8108" i="2"/>
  <c r="A8094" i="2"/>
  <c r="A8084" i="2"/>
  <c r="A8072" i="2"/>
  <c r="A8383" i="2"/>
  <c r="A8188" i="2"/>
  <c r="A8163" i="2"/>
  <c r="A8073" i="2"/>
  <c r="A7932" i="2"/>
  <c r="A7824" i="2"/>
  <c r="A7806" i="2"/>
  <c r="A7798" i="2"/>
  <c r="A7772" i="2"/>
  <c r="A7746" i="2"/>
  <c r="A7696" i="2"/>
  <c r="A7666" i="2"/>
  <c r="A7638" i="2"/>
  <c r="A7630" i="2"/>
  <c r="A7602" i="2"/>
  <c r="A7574" i="2"/>
  <c r="A7560" i="2"/>
  <c r="A7541" i="2"/>
  <c r="A7521" i="2"/>
  <c r="A7501" i="2"/>
  <c r="A7481" i="2"/>
  <c r="A7451" i="2"/>
  <c r="A7428" i="2"/>
  <c r="A8778" i="2"/>
  <c r="A8633" i="2"/>
  <c r="A8374" i="2"/>
  <c r="A8331" i="2"/>
  <c r="A8253" i="2"/>
  <c r="A8021" i="2"/>
  <c r="A8004" i="2"/>
  <c r="A7992" i="2"/>
  <c r="A7955" i="2"/>
  <c r="A7831" i="2"/>
  <c r="A7805" i="2"/>
  <c r="A7781" i="2"/>
  <c r="A7755" i="2"/>
  <c r="A7729" i="2"/>
  <c r="A7703" i="2"/>
  <c r="A7687" i="2"/>
  <c r="A7659" i="2"/>
  <c r="A7651" i="2"/>
  <c r="A7623" i="2"/>
  <c r="A7595" i="2"/>
  <c r="A7587" i="2"/>
  <c r="A7566" i="2"/>
  <c r="A7547" i="2"/>
  <c r="A7527" i="2"/>
  <c r="A7507" i="2"/>
  <c r="A7488" i="2"/>
  <c r="A7468" i="2"/>
  <c r="A7462" i="2"/>
  <c r="A7445" i="2"/>
  <c r="A7439" i="2"/>
  <c r="A7422" i="2"/>
  <c r="A7400" i="2"/>
  <c r="A7384" i="2"/>
  <c r="A7368" i="2"/>
  <c r="A7352" i="2"/>
  <c r="A7336" i="2"/>
  <c r="A7320" i="2"/>
  <c r="A7304" i="2"/>
  <c r="A8516" i="2"/>
  <c r="A8251" i="2"/>
  <c r="A8216" i="2"/>
  <c r="A8137" i="2"/>
  <c r="A8052" i="2"/>
  <c r="A7978" i="2"/>
  <c r="A7918" i="2"/>
  <c r="A7906" i="2"/>
  <c r="A7896" i="2"/>
  <c r="A7884" i="2"/>
  <c r="A7861" i="2"/>
  <c r="A7841" i="2"/>
  <c r="A7822" i="2"/>
  <c r="A7814" i="2"/>
  <c r="A7788" i="2"/>
  <c r="A7762" i="2"/>
  <c r="A7712" i="2"/>
  <c r="A7694" i="2"/>
  <c r="A7680" i="2"/>
  <c r="A7672" i="2"/>
  <c r="A7644" i="2"/>
  <c r="A7616" i="2"/>
  <c r="A7608" i="2"/>
  <c r="A7580" i="2"/>
  <c r="A7553" i="2"/>
  <c r="A7533" i="2"/>
  <c r="A7513" i="2"/>
  <c r="A7494" i="2"/>
  <c r="A7474" i="2"/>
  <c r="A7456" i="2"/>
  <c r="A7433" i="2"/>
  <c r="A7416" i="2"/>
  <c r="A7405" i="2"/>
  <c r="A7389" i="2"/>
  <c r="A7373" i="2"/>
  <c r="A7357" i="2"/>
  <c r="A7341" i="2"/>
  <c r="A7325" i="2"/>
  <c r="A7309" i="2"/>
  <c r="A7293" i="2"/>
  <c r="A8777" i="2"/>
  <c r="A8286" i="2"/>
  <c r="A8187" i="2"/>
  <c r="A8162" i="2"/>
  <c r="A8135" i="2"/>
  <c r="A8035" i="2"/>
  <c r="A7940" i="2"/>
  <c r="A7849" i="2"/>
  <c r="A7840" i="2"/>
  <c r="A7821" i="2"/>
  <c r="A7797" i="2"/>
  <c r="A7771" i="2"/>
  <c r="A7745" i="2"/>
  <c r="A7719" i="2"/>
  <c r="A7693" i="2"/>
  <c r="A7665" i="2"/>
  <c r="A7637" i="2"/>
  <c r="A7629" i="2"/>
  <c r="A7601" i="2"/>
  <c r="A7573" i="2"/>
  <c r="A7559" i="2"/>
  <c r="A7539" i="2"/>
  <c r="A7520" i="2"/>
  <c r="A7500" i="2"/>
  <c r="A7480" i="2"/>
  <c r="A7444" i="2"/>
  <c r="A7427" i="2"/>
  <c r="A7410" i="2"/>
  <c r="A7394" i="2"/>
  <c r="A7378" i="2"/>
  <c r="A7362" i="2"/>
  <c r="A7346" i="2"/>
  <c r="A7330" i="2"/>
  <c r="A7314" i="2"/>
  <c r="A7298" i="2"/>
  <c r="A8627" i="2"/>
  <c r="A8514" i="2"/>
  <c r="A8373" i="2"/>
  <c r="A8330" i="2"/>
  <c r="A8003" i="2"/>
  <c r="A7951" i="2"/>
  <c r="A7893" i="2"/>
  <c r="A7870" i="2"/>
  <c r="A7860" i="2"/>
  <c r="A7830" i="2"/>
  <c r="A7804" i="2"/>
  <c r="A7778" i="2"/>
  <c r="A7728" i="2"/>
  <c r="A7710" i="2"/>
  <c r="A7702" i="2"/>
  <c r="A7686" i="2"/>
  <c r="A7678" i="2"/>
  <c r="A7650" i="2"/>
  <c r="A7622" i="2"/>
  <c r="A7614" i="2"/>
  <c r="A7586" i="2"/>
  <c r="A7565" i="2"/>
  <c r="A7545" i="2"/>
  <c r="A7526" i="2"/>
  <c r="A7506" i="2"/>
  <c r="A7486" i="2"/>
  <c r="A7467" i="2"/>
  <c r="A7461" i="2"/>
  <c r="A7455" i="2"/>
  <c r="A7438" i="2"/>
  <c r="A7421" i="2"/>
  <c r="A7399" i="2"/>
  <c r="A7383" i="2"/>
  <c r="A7367" i="2"/>
  <c r="A7351" i="2"/>
  <c r="A7335" i="2"/>
  <c r="A8623" i="2"/>
  <c r="A8431" i="2"/>
  <c r="A8324" i="2"/>
  <c r="A8248" i="2"/>
  <c r="A8215" i="2"/>
  <c r="A8109" i="2"/>
  <c r="A8087" i="2"/>
  <c r="A8066" i="2"/>
  <c r="A8051" i="2"/>
  <c r="A7977" i="2"/>
  <c r="A7950" i="2"/>
  <c r="A7927" i="2"/>
  <c r="A7917" i="2"/>
  <c r="A7905" i="2"/>
  <c r="A8368" i="2"/>
  <c r="A8213" i="2"/>
  <c r="A8186" i="2"/>
  <c r="A8132" i="2"/>
  <c r="A8031" i="2"/>
  <c r="A7974" i="2"/>
  <c r="A7939" i="2"/>
  <c r="A8771" i="2"/>
  <c r="A8513" i="2"/>
  <c r="A8182" i="2"/>
  <c r="A8085" i="2"/>
  <c r="A8014" i="2"/>
  <c r="A8002" i="2"/>
  <c r="A7986" i="2"/>
  <c r="A7962" i="2"/>
  <c r="A7913" i="2"/>
  <c r="A7903" i="2"/>
  <c r="A7891" i="2"/>
  <c r="A7881" i="2"/>
  <c r="A7869" i="2"/>
  <c r="A7857" i="2"/>
  <c r="A7829" i="2"/>
  <c r="A7803" i="2"/>
  <c r="A7777" i="2"/>
  <c r="A7751" i="2"/>
  <c r="A7725" i="2"/>
  <c r="A7701" i="2"/>
  <c r="A7685" i="2"/>
  <c r="A7677" i="2"/>
  <c r="A7649" i="2"/>
  <c r="A7621" i="2"/>
  <c r="A7613" i="2"/>
  <c r="A7585" i="2"/>
  <c r="A7564" i="2"/>
  <c r="A7544" i="2"/>
  <c r="A7525" i="2"/>
  <c r="A7505" i="2"/>
  <c r="A7485" i="2"/>
  <c r="A7454" i="2"/>
  <c r="A8356" i="2"/>
  <c r="A7998" i="2"/>
  <c r="A7949" i="2"/>
  <c r="A7925" i="2"/>
  <c r="A7863" i="2"/>
  <c r="A7815" i="2"/>
  <c r="A7773" i="2"/>
  <c r="A7733" i="2"/>
  <c r="A7718" i="2"/>
  <c r="A7691" i="2"/>
  <c r="A7681" i="2"/>
  <c r="A7669" i="2"/>
  <c r="A7656" i="2"/>
  <c r="A7600" i="2"/>
  <c r="A7515" i="2"/>
  <c r="A7483" i="2"/>
  <c r="A7436" i="2"/>
  <c r="A7412" i="2"/>
  <c r="A7404" i="2"/>
  <c r="A7376" i="2"/>
  <c r="A7348" i="2"/>
  <c r="A7340" i="2"/>
  <c r="A7313" i="2"/>
  <c r="A7294" i="2"/>
  <c r="A7287" i="2"/>
  <c r="A7271" i="2"/>
  <c r="A7255" i="2"/>
  <c r="A7239" i="2"/>
  <c r="A7223" i="2"/>
  <c r="A7207" i="2"/>
  <c r="A7191" i="2"/>
  <c r="A7175" i="2"/>
  <c r="A7159" i="2"/>
  <c r="A7143" i="2"/>
  <c r="A7127" i="2"/>
  <c r="A7111" i="2"/>
  <c r="A7095" i="2"/>
  <c r="A7079" i="2"/>
  <c r="A7063" i="2"/>
  <c r="A7047" i="2"/>
  <c r="A7031" i="2"/>
  <c r="A7015" i="2"/>
  <c r="A6999" i="2"/>
  <c r="A6983" i="2"/>
  <c r="A6967" i="2"/>
  <c r="A6951" i="2"/>
  <c r="A6935" i="2"/>
  <c r="A6919" i="2"/>
  <c r="A6903" i="2"/>
  <c r="A6887" i="2"/>
  <c r="A6871" i="2"/>
  <c r="A6855" i="2"/>
  <c r="A6839" i="2"/>
  <c r="A6823" i="2"/>
  <c r="A6807" i="2"/>
  <c r="A6791" i="2"/>
  <c r="A6775" i="2"/>
  <c r="A8272" i="2"/>
  <c r="A8148" i="2"/>
  <c r="A8100" i="2"/>
  <c r="A8030" i="2"/>
  <c r="A7997" i="2"/>
  <c r="A7972" i="2"/>
  <c r="A7858" i="2"/>
  <c r="A7826" i="2"/>
  <c r="A7813" i="2"/>
  <c r="A7758" i="2"/>
  <c r="A7598" i="2"/>
  <c r="A7576" i="2"/>
  <c r="A7555" i="2"/>
  <c r="A7523" i="2"/>
  <c r="A7512" i="2"/>
  <c r="A7491" i="2"/>
  <c r="A7443" i="2"/>
  <c r="A7419" i="2"/>
  <c r="A7397" i="2"/>
  <c r="A7369" i="2"/>
  <c r="A7361" i="2"/>
  <c r="A7333" i="2"/>
  <c r="A7319" i="2"/>
  <c r="A7300" i="2"/>
  <c r="A7276" i="2"/>
  <c r="A7260" i="2"/>
  <c r="A7244" i="2"/>
  <c r="A7228" i="2"/>
  <c r="A7212" i="2"/>
  <c r="A7196" i="2"/>
  <c r="A7180" i="2"/>
  <c r="A7164" i="2"/>
  <c r="A7148" i="2"/>
  <c r="A7132" i="2"/>
  <c r="A7116" i="2"/>
  <c r="A7100" i="2"/>
  <c r="A7084" i="2"/>
  <c r="A7068" i="2"/>
  <c r="A7052" i="2"/>
  <c r="A7036" i="2"/>
  <c r="A7020" i="2"/>
  <c r="A7004" i="2"/>
  <c r="A6988" i="2"/>
  <c r="A6972" i="2"/>
  <c r="A6956" i="2"/>
  <c r="A6940" i="2"/>
  <c r="A6924" i="2"/>
  <c r="A6908" i="2"/>
  <c r="A6892" i="2"/>
  <c r="A8691" i="2"/>
  <c r="A8467" i="2"/>
  <c r="A8203" i="2"/>
  <c r="A8063" i="2"/>
  <c r="A7924" i="2"/>
  <c r="A7877" i="2"/>
  <c r="A7842" i="2"/>
  <c r="A7799" i="2"/>
  <c r="A7757" i="2"/>
  <c r="A7744" i="2"/>
  <c r="A7717" i="2"/>
  <c r="A7667" i="2"/>
  <c r="A7655" i="2"/>
  <c r="A7645" i="2"/>
  <c r="A7633" i="2"/>
  <c r="A7611" i="2"/>
  <c r="A7589" i="2"/>
  <c r="A7534" i="2"/>
  <c r="A7502" i="2"/>
  <c r="A7470" i="2"/>
  <c r="A7460" i="2"/>
  <c r="A7452" i="2"/>
  <c r="A7426" i="2"/>
  <c r="A7390" i="2"/>
  <c r="A7382" i="2"/>
  <c r="A7354" i="2"/>
  <c r="A7326" i="2"/>
  <c r="A7306" i="2"/>
  <c r="A7281" i="2"/>
  <c r="A7265" i="2"/>
  <c r="A7249" i="2"/>
  <c r="A7233" i="2"/>
  <c r="A7217" i="2"/>
  <c r="A7201" i="2"/>
  <c r="A7185" i="2"/>
  <c r="A7169" i="2"/>
  <c r="A7153" i="2"/>
  <c r="A7137" i="2"/>
  <c r="A7121" i="2"/>
  <c r="A7105" i="2"/>
  <c r="A7089" i="2"/>
  <c r="A7073" i="2"/>
  <c r="A7057" i="2"/>
  <c r="A7041" i="2"/>
  <c r="A7025" i="2"/>
  <c r="A7009" i="2"/>
  <c r="A6993" i="2"/>
  <c r="A6977" i="2"/>
  <c r="A6961" i="2"/>
  <c r="A6945" i="2"/>
  <c r="A6929" i="2"/>
  <c r="A6913" i="2"/>
  <c r="A6897" i="2"/>
  <c r="A8348" i="2"/>
  <c r="A8270" i="2"/>
  <c r="A7810" i="2"/>
  <c r="A7742" i="2"/>
  <c r="A7730" i="2"/>
  <c r="A7643" i="2"/>
  <c r="A7543" i="2"/>
  <c r="A7532" i="2"/>
  <c r="A7511" i="2"/>
  <c r="A7435" i="2"/>
  <c r="A7411" i="2"/>
  <c r="A7403" i="2"/>
  <c r="A7375" i="2"/>
  <c r="A7347" i="2"/>
  <c r="A7339" i="2"/>
  <c r="A7312" i="2"/>
  <c r="A7292" i="2"/>
  <c r="A7286" i="2"/>
  <c r="A7270" i="2"/>
  <c r="A7254" i="2"/>
  <c r="A7238" i="2"/>
  <c r="A7222" i="2"/>
  <c r="A7206" i="2"/>
  <c r="A7190" i="2"/>
  <c r="A7174" i="2"/>
  <c r="A7158" i="2"/>
  <c r="A7142" i="2"/>
  <c r="A7126" i="2"/>
  <c r="A7110" i="2"/>
  <c r="A7094" i="2"/>
  <c r="A7078" i="2"/>
  <c r="A7062" i="2"/>
  <c r="A7046" i="2"/>
  <c r="A7030" i="2"/>
  <c r="A7014" i="2"/>
  <c r="A6998" i="2"/>
  <c r="A6982" i="2"/>
  <c r="A6966" i="2"/>
  <c r="A6950" i="2"/>
  <c r="A6934" i="2"/>
  <c r="A6918" i="2"/>
  <c r="A6902" i="2"/>
  <c r="A8466" i="2"/>
  <c r="A8147" i="2"/>
  <c r="A8099" i="2"/>
  <c r="A8024" i="2"/>
  <c r="A7996" i="2"/>
  <c r="A7970" i="2"/>
  <c r="A7946" i="2"/>
  <c r="A7922" i="2"/>
  <c r="A7876" i="2"/>
  <c r="A7855" i="2"/>
  <c r="A7837" i="2"/>
  <c r="A7825" i="2"/>
  <c r="A7783" i="2"/>
  <c r="A7741" i="2"/>
  <c r="A7619" i="2"/>
  <c r="A7597" i="2"/>
  <c r="A7575" i="2"/>
  <c r="A7554" i="2"/>
  <c r="A7522" i="2"/>
  <c r="A7490" i="2"/>
  <c r="A7479" i="2"/>
  <c r="A7459" i="2"/>
  <c r="A7442" i="2"/>
  <c r="A7396" i="2"/>
  <c r="A7388" i="2"/>
  <c r="A7360" i="2"/>
  <c r="A7332" i="2"/>
  <c r="A7318" i="2"/>
  <c r="A7299" i="2"/>
  <c r="A7275" i="2"/>
  <c r="A7259" i="2"/>
  <c r="A7243" i="2"/>
  <c r="A7227" i="2"/>
  <c r="A7211" i="2"/>
  <c r="A7195" i="2"/>
  <c r="A7179" i="2"/>
  <c r="A7163" i="2"/>
  <c r="A7147" i="2"/>
  <c r="A7131" i="2"/>
  <c r="A7115" i="2"/>
  <c r="A7099" i="2"/>
  <c r="A7083" i="2"/>
  <c r="A7067" i="2"/>
  <c r="A7051" i="2"/>
  <c r="A7035" i="2"/>
  <c r="A7019" i="2"/>
  <c r="A7003" i="2"/>
  <c r="A6987" i="2"/>
  <c r="A6971" i="2"/>
  <c r="A6955" i="2"/>
  <c r="A6939" i="2"/>
  <c r="A6923" i="2"/>
  <c r="A6907" i="2"/>
  <c r="A6891" i="2"/>
  <c r="A8687" i="2"/>
  <c r="A8346" i="2"/>
  <c r="A8269" i="2"/>
  <c r="A7921" i="2"/>
  <c r="A7756" i="2"/>
  <c r="A7714" i="2"/>
  <c r="A7688" i="2"/>
  <c r="A7676" i="2"/>
  <c r="A7654" i="2"/>
  <c r="A7632" i="2"/>
  <c r="A7607" i="2"/>
  <c r="A7563" i="2"/>
  <c r="A7552" i="2"/>
  <c r="A7531" i="2"/>
  <c r="A7469" i="2"/>
  <c r="A7449" i="2"/>
  <c r="A7425" i="2"/>
  <c r="A7409" i="2"/>
  <c r="A7381" i="2"/>
  <c r="A8686" i="2"/>
  <c r="A7969" i="2"/>
  <c r="A7944" i="2"/>
  <c r="A7836" i="2"/>
  <c r="A7809" i="2"/>
  <c r="A7794" i="2"/>
  <c r="A7767" i="2"/>
  <c r="A7726" i="2"/>
  <c r="A7664" i="2"/>
  <c r="A7542" i="2"/>
  <c r="A7510" i="2"/>
  <c r="A7499" i="2"/>
  <c r="A7478" i="2"/>
  <c r="A7432" i="2"/>
  <c r="A7417" i="2"/>
  <c r="A7402" i="2"/>
  <c r="A8682" i="2"/>
  <c r="A8465" i="2"/>
  <c r="A8345" i="2"/>
  <c r="A8197" i="2"/>
  <c r="A8146" i="2"/>
  <c r="A8095" i="2"/>
  <c r="A8056" i="2"/>
  <c r="A8023" i="2"/>
  <c r="A7943" i="2"/>
  <c r="A7919" i="2"/>
  <c r="A7897" i="2"/>
  <c r="A7875" i="2"/>
  <c r="A7854" i="2"/>
  <c r="A7782" i="2"/>
  <c r="A7740" i="2"/>
  <c r="A7698" i="2"/>
  <c r="A7662" i="2"/>
  <c r="A7640" i="2"/>
  <c r="A7618" i="2"/>
  <c r="A7606" i="2"/>
  <c r="A7596" i="2"/>
  <c r="A7584" i="2"/>
  <c r="A7571" i="2"/>
  <c r="A7550" i="2"/>
  <c r="A7489" i="2"/>
  <c r="A7458" i="2"/>
  <c r="A7441" i="2"/>
  <c r="A7395" i="2"/>
  <c r="A7387" i="2"/>
  <c r="A7359" i="2"/>
  <c r="A7331" i="2"/>
  <c r="A7317" i="2"/>
  <c r="A7297" i="2"/>
  <c r="A7274" i="2"/>
  <c r="A7258" i="2"/>
  <c r="A7242" i="2"/>
  <c r="A7226" i="2"/>
  <c r="A8593" i="2"/>
  <c r="A7835" i="2"/>
  <c r="A7675" i="2"/>
  <c r="A7653" i="2"/>
  <c r="A7628" i="2"/>
  <c r="A7561" i="2"/>
  <c r="A7518" i="2"/>
  <c r="A7497" i="2"/>
  <c r="A7424" i="2"/>
  <c r="A7408" i="2"/>
  <c r="A7380" i="2"/>
  <c r="A7370" i="2"/>
  <c r="A7358" i="2"/>
  <c r="A7345" i="2"/>
  <c r="A7323" i="2"/>
  <c r="A7283" i="2"/>
  <c r="A7257" i="2"/>
  <c r="A7248" i="2"/>
  <c r="A7231" i="2"/>
  <c r="A7183" i="2"/>
  <c r="A7176" i="2"/>
  <c r="A7136" i="2"/>
  <c r="A7129" i="2"/>
  <c r="A7122" i="2"/>
  <c r="A7082" i="2"/>
  <c r="A7075" i="2"/>
  <c r="A7028" i="2"/>
  <c r="A7021" i="2"/>
  <c r="A6981" i="2"/>
  <c r="A6974" i="2"/>
  <c r="A6927" i="2"/>
  <c r="A6920" i="2"/>
  <c r="A6882" i="2"/>
  <c r="A6876" i="2"/>
  <c r="A6859" i="2"/>
  <c r="A6842" i="2"/>
  <c r="A6825" i="2"/>
  <c r="A6808" i="2"/>
  <c r="A6785" i="2"/>
  <c r="A6768" i="2"/>
  <c r="A6752" i="2"/>
  <c r="A6736" i="2"/>
  <c r="A6720" i="2"/>
  <c r="A6704" i="2"/>
  <c r="A6688" i="2"/>
  <c r="A6672" i="2"/>
  <c r="A6656" i="2"/>
  <c r="A6640" i="2"/>
  <c r="A6624" i="2"/>
  <c r="A6608" i="2"/>
  <c r="A6592" i="2"/>
  <c r="A6576" i="2"/>
  <c r="A6560" i="2"/>
  <c r="A6544" i="2"/>
  <c r="A6528" i="2"/>
  <c r="A6512" i="2"/>
  <c r="A6496" i="2"/>
  <c r="A6480" i="2"/>
  <c r="A6464" i="2"/>
  <c r="A8578" i="2"/>
  <c r="A7808" i="2"/>
  <c r="A7724" i="2"/>
  <c r="A7582" i="2"/>
  <c r="A7477" i="2"/>
  <c r="A7393" i="2"/>
  <c r="A7302" i="2"/>
  <c r="A7291" i="2"/>
  <c r="A7266" i="2"/>
  <c r="A7240" i="2"/>
  <c r="A7214" i="2"/>
  <c r="A7167" i="2"/>
  <c r="A7160" i="2"/>
  <c r="A7120" i="2"/>
  <c r="A7113" i="2"/>
  <c r="A7106" i="2"/>
  <c r="A7066" i="2"/>
  <c r="A7059" i="2"/>
  <c r="A7012" i="2"/>
  <c r="A7005" i="2"/>
  <c r="A6965" i="2"/>
  <c r="A6958" i="2"/>
  <c r="A6911" i="2"/>
  <c r="A6904" i="2"/>
  <c r="A6870" i="2"/>
  <c r="A6853" i="2"/>
  <c r="A6836" i="2"/>
  <c r="A6819" i="2"/>
  <c r="A6802" i="2"/>
  <c r="A6796" i="2"/>
  <c r="A6779" i="2"/>
  <c r="A6757" i="2"/>
  <c r="A8307" i="2"/>
  <c r="A8174" i="2"/>
  <c r="A8079" i="2"/>
  <c r="A7912" i="2"/>
  <c r="A7697" i="2"/>
  <c r="A7627" i="2"/>
  <c r="A7605" i="2"/>
  <c r="A7538" i="2"/>
  <c r="A7517" i="2"/>
  <c r="A7457" i="2"/>
  <c r="A7440" i="2"/>
  <c r="A7423" i="2"/>
  <c r="A7356" i="2"/>
  <c r="A7344" i="2"/>
  <c r="A7334" i="2"/>
  <c r="A7273" i="2"/>
  <c r="A7264" i="2"/>
  <c r="A7247" i="2"/>
  <c r="A7205" i="2"/>
  <c r="A7198" i="2"/>
  <c r="A7151" i="2"/>
  <c r="A7144" i="2"/>
  <c r="A7104" i="2"/>
  <c r="A7097" i="2"/>
  <c r="A7090" i="2"/>
  <c r="A7050" i="2"/>
  <c r="A7043" i="2"/>
  <c r="A6996" i="2"/>
  <c r="A6989" i="2"/>
  <c r="A6949" i="2"/>
  <c r="A6942" i="2"/>
  <c r="A6895" i="2"/>
  <c r="A6888" i="2"/>
  <c r="A6881" i="2"/>
  <c r="A6864" i="2"/>
  <c r="A6847" i="2"/>
  <c r="A6830" i="2"/>
  <c r="A6813" i="2"/>
  <c r="A6790" i="2"/>
  <c r="A6773" i="2"/>
  <c r="A6762" i="2"/>
  <c r="A6746" i="2"/>
  <c r="A6730" i="2"/>
  <c r="A6714" i="2"/>
  <c r="A6698" i="2"/>
  <c r="A6682" i="2"/>
  <c r="A6666" i="2"/>
  <c r="A6650" i="2"/>
  <c r="A6634" i="2"/>
  <c r="A6618" i="2"/>
  <c r="A6602" i="2"/>
  <c r="A6586" i="2"/>
  <c r="A6570" i="2"/>
  <c r="A6554" i="2"/>
  <c r="A6538" i="2"/>
  <c r="A6522" i="2"/>
  <c r="A8570" i="2"/>
  <c r="A8306" i="2"/>
  <c r="A8078" i="2"/>
  <c r="A7957" i="2"/>
  <c r="A7868" i="2"/>
  <c r="A7750" i="2"/>
  <c r="A7671" i="2"/>
  <c r="A7496" i="2"/>
  <c r="A7407" i="2"/>
  <c r="A7379" i="2"/>
  <c r="A7366" i="2"/>
  <c r="A7322" i="2"/>
  <c r="A7311" i="2"/>
  <c r="A7290" i="2"/>
  <c r="A7282" i="2"/>
  <c r="A7256" i="2"/>
  <c r="A7230" i="2"/>
  <c r="A7221" i="2"/>
  <c r="A7189" i="2"/>
  <c r="A7182" i="2"/>
  <c r="A7135" i="2"/>
  <c r="A7128" i="2"/>
  <c r="A7088" i="2"/>
  <c r="A7081" i="2"/>
  <c r="A7074" i="2"/>
  <c r="A7034" i="2"/>
  <c r="A7027" i="2"/>
  <c r="A6980" i="2"/>
  <c r="A6973" i="2"/>
  <c r="A6933" i="2"/>
  <c r="A6926" i="2"/>
  <c r="A6875" i="2"/>
  <c r="A6858" i="2"/>
  <c r="A6841" i="2"/>
  <c r="A6824" i="2"/>
  <c r="A6801" i="2"/>
  <c r="A6784" i="2"/>
  <c r="A6767" i="2"/>
  <c r="A6751" i="2"/>
  <c r="A6735" i="2"/>
  <c r="A6719" i="2"/>
  <c r="A6703" i="2"/>
  <c r="A6687" i="2"/>
  <c r="A6671" i="2"/>
  <c r="A6655" i="2"/>
  <c r="A6639" i="2"/>
  <c r="A6623" i="2"/>
  <c r="A6607" i="2"/>
  <c r="A6591" i="2"/>
  <c r="A6575" i="2"/>
  <c r="A6559" i="2"/>
  <c r="A6543" i="2"/>
  <c r="A6527" i="2"/>
  <c r="A6511" i="2"/>
  <c r="A6495" i="2"/>
  <c r="A6479" i="2"/>
  <c r="A6463" i="2"/>
  <c r="A8173" i="2"/>
  <c r="A8010" i="2"/>
  <c r="A7723" i="2"/>
  <c r="A7603" i="2"/>
  <c r="A7581" i="2"/>
  <c r="A7558" i="2"/>
  <c r="A7537" i="2"/>
  <c r="A7475" i="2"/>
  <c r="A7392" i="2"/>
  <c r="A7301" i="2"/>
  <c r="A7280" i="2"/>
  <c r="A7263" i="2"/>
  <c r="A7213" i="2"/>
  <c r="A7173" i="2"/>
  <c r="A7166" i="2"/>
  <c r="A7119" i="2"/>
  <c r="A7112" i="2"/>
  <c r="A7072" i="2"/>
  <c r="A7065" i="2"/>
  <c r="A7058" i="2"/>
  <c r="A7018" i="2"/>
  <c r="A7011" i="2"/>
  <c r="A6964" i="2"/>
  <c r="A6957" i="2"/>
  <c r="A6917" i="2"/>
  <c r="A6910" i="2"/>
  <c r="A6869" i="2"/>
  <c r="A6852" i="2"/>
  <c r="A6835" i="2"/>
  <c r="A6818" i="2"/>
  <c r="A6812" i="2"/>
  <c r="A6795" i="2"/>
  <c r="A6778" i="2"/>
  <c r="A6756" i="2"/>
  <c r="A6740" i="2"/>
  <c r="A6724" i="2"/>
  <c r="A6708" i="2"/>
  <c r="A6692" i="2"/>
  <c r="A6676" i="2"/>
  <c r="A8171" i="2"/>
  <c r="A7911" i="2"/>
  <c r="A7776" i="2"/>
  <c r="A7670" i="2"/>
  <c r="A7648" i="2"/>
  <c r="A7579" i="2"/>
  <c r="A7516" i="2"/>
  <c r="A7473" i="2"/>
  <c r="A7437" i="2"/>
  <c r="A7377" i="2"/>
  <c r="A7365" i="2"/>
  <c r="A7355" i="2"/>
  <c r="A7343" i="2"/>
  <c r="A7310" i="2"/>
  <c r="A7272" i="2"/>
  <c r="A7246" i="2"/>
  <c r="A7237" i="2"/>
  <c r="A7220" i="2"/>
  <c r="A7204" i="2"/>
  <c r="A7197" i="2"/>
  <c r="A7157" i="2"/>
  <c r="A7150" i="2"/>
  <c r="A7103" i="2"/>
  <c r="A7096" i="2"/>
  <c r="A7056" i="2"/>
  <c r="A7049" i="2"/>
  <c r="A7042" i="2"/>
  <c r="A7002" i="2"/>
  <c r="A6995" i="2"/>
  <c r="A6948" i="2"/>
  <c r="A6941" i="2"/>
  <c r="A6901" i="2"/>
  <c r="A6894" i="2"/>
  <c r="A6886" i="2"/>
  <c r="A6880" i="2"/>
  <c r="A6863" i="2"/>
  <c r="A6846" i="2"/>
  <c r="A6829" i="2"/>
  <c r="A6806" i="2"/>
  <c r="A6789" i="2"/>
  <c r="A6772" i="2"/>
  <c r="A6761" i="2"/>
  <c r="A6745" i="2"/>
  <c r="A6729" i="2"/>
  <c r="A6713" i="2"/>
  <c r="A6697" i="2"/>
  <c r="A6681" i="2"/>
  <c r="A6665" i="2"/>
  <c r="A6649" i="2"/>
  <c r="A6633" i="2"/>
  <c r="A6617" i="2"/>
  <c r="A6601" i="2"/>
  <c r="A6585" i="2"/>
  <c r="A6569" i="2"/>
  <c r="A6553" i="2"/>
  <c r="A6537" i="2"/>
  <c r="A8305" i="2"/>
  <c r="A8074" i="2"/>
  <c r="A8008" i="2"/>
  <c r="A7956" i="2"/>
  <c r="A7749" i="2"/>
  <c r="A7692" i="2"/>
  <c r="A7557" i="2"/>
  <c r="A7495" i="2"/>
  <c r="A7420" i="2"/>
  <c r="A7406" i="2"/>
  <c r="A7353" i="2"/>
  <c r="A7321" i="2"/>
  <c r="A7289" i="2"/>
  <c r="A7279" i="2"/>
  <c r="A7229" i="2"/>
  <c r="A7188" i="2"/>
  <c r="A7181" i="2"/>
  <c r="A7141" i="2"/>
  <c r="A7134" i="2"/>
  <c r="A7087" i="2"/>
  <c r="A7080" i="2"/>
  <c r="A7040" i="2"/>
  <c r="A7033" i="2"/>
  <c r="A7026" i="2"/>
  <c r="A6986" i="2"/>
  <c r="A6979" i="2"/>
  <c r="A6932" i="2"/>
  <c r="A6925" i="2"/>
  <c r="A7774" i="2"/>
  <c r="A7646" i="2"/>
  <c r="A7624" i="2"/>
  <c r="A7536" i="2"/>
  <c r="A7493" i="2"/>
  <c r="A7472" i="2"/>
  <c r="A7453" i="2"/>
  <c r="A7391" i="2"/>
  <c r="A7329" i="2"/>
  <c r="A7262" i="2"/>
  <c r="A7253" i="2"/>
  <c r="A7236" i="2"/>
  <c r="A7172" i="2"/>
  <c r="A7165" i="2"/>
  <c r="A7125" i="2"/>
  <c r="A7118" i="2"/>
  <c r="A7071" i="2"/>
  <c r="A7064" i="2"/>
  <c r="A7024" i="2"/>
  <c r="A7017" i="2"/>
  <c r="A7010" i="2"/>
  <c r="A6970" i="2"/>
  <c r="A6963" i="2"/>
  <c r="A8125" i="2"/>
  <c r="A8045" i="2"/>
  <c r="A7820" i="2"/>
  <c r="A7793" i="2"/>
  <c r="A7713" i="2"/>
  <c r="A7529" i="2"/>
  <c r="A7448" i="2"/>
  <c r="A7415" i="2"/>
  <c r="A7364" i="2"/>
  <c r="A7342" i="2"/>
  <c r="A7308" i="2"/>
  <c r="A7245" i="2"/>
  <c r="A7219" i="2"/>
  <c r="A7210" i="2"/>
  <c r="A7203" i="2"/>
  <c r="A7156" i="2"/>
  <c r="A7149" i="2"/>
  <c r="A7109" i="2"/>
  <c r="A7102" i="2"/>
  <c r="A7055" i="2"/>
  <c r="A7048" i="2"/>
  <c r="A7008" i="2"/>
  <c r="A7001" i="2"/>
  <c r="A6994" i="2"/>
  <c r="A6954" i="2"/>
  <c r="A6947" i="2"/>
  <c r="A7766" i="2"/>
  <c r="A7709" i="2"/>
  <c r="A7570" i="2"/>
  <c r="A7509" i="2"/>
  <c r="A7465" i="2"/>
  <c r="A7431" i="2"/>
  <c r="A7401" i="2"/>
  <c r="A7374" i="2"/>
  <c r="A7288" i="2"/>
  <c r="A7278" i="2"/>
  <c r="A7269" i="2"/>
  <c r="A7252" i="2"/>
  <c r="A7194" i="2"/>
  <c r="A7187" i="2"/>
  <c r="A7140" i="2"/>
  <c r="A7133" i="2"/>
  <c r="A7093" i="2"/>
  <c r="A7086" i="2"/>
  <c r="A7039" i="2"/>
  <c r="A7032" i="2"/>
  <c r="A6992" i="2"/>
  <c r="A6985" i="2"/>
  <c r="A6978" i="2"/>
  <c r="A8404" i="2"/>
  <c r="A8235" i="2"/>
  <c r="A7985" i="2"/>
  <c r="A7934" i="2"/>
  <c r="A7890" i="2"/>
  <c r="A7848" i="2"/>
  <c r="A7819" i="2"/>
  <c r="A7739" i="2"/>
  <c r="A7683" i="2"/>
  <c r="A7661" i="2"/>
  <c r="A7639" i="2"/>
  <c r="A7617" i="2"/>
  <c r="A7592" i="2"/>
  <c r="A7549" i="2"/>
  <c r="A7386" i="2"/>
  <c r="A7372" i="2"/>
  <c r="A7350" i="2"/>
  <c r="A7328" i="2"/>
  <c r="A7296" i="2"/>
  <c r="A7261" i="2"/>
  <c r="A7235" i="2"/>
  <c r="A7178" i="2"/>
  <c r="A7171" i="2"/>
  <c r="A7124" i="2"/>
  <c r="A7117" i="2"/>
  <c r="A7077" i="2"/>
  <c r="A7070" i="2"/>
  <c r="A7023" i="2"/>
  <c r="A7016" i="2"/>
  <c r="A6976" i="2"/>
  <c r="A6969" i="2"/>
  <c r="A6962" i="2"/>
  <c r="A6922" i="2"/>
  <c r="A6915" i="2"/>
  <c r="A8124" i="2"/>
  <c r="A8044" i="2"/>
  <c r="A7984" i="2"/>
  <c r="A7792" i="2"/>
  <c r="A7735" i="2"/>
  <c r="A7708" i="2"/>
  <c r="A7528" i="2"/>
  <c r="A7447" i="2"/>
  <c r="A7414" i="2"/>
  <c r="A7363" i="2"/>
  <c r="A7338" i="2"/>
  <c r="A7307" i="2"/>
  <c r="A7285" i="2"/>
  <c r="A7268" i="2"/>
  <c r="A7218" i="2"/>
  <c r="A7209" i="2"/>
  <c r="A7202" i="2"/>
  <c r="A7162" i="2"/>
  <c r="A7155" i="2"/>
  <c r="A8399" i="2"/>
  <c r="A8122" i="2"/>
  <c r="A7847" i="2"/>
  <c r="A7765" i="2"/>
  <c r="A7591" i="2"/>
  <c r="A7569" i="2"/>
  <c r="A7464" i="2"/>
  <c r="A7430" i="2"/>
  <c r="A7316" i="2"/>
  <c r="A7305" i="2"/>
  <c r="A7277" i="2"/>
  <c r="A7251" i="2"/>
  <c r="A7225" i="2"/>
  <c r="A7216" i="2"/>
  <c r="A7200" i="2"/>
  <c r="A7193" i="2"/>
  <c r="A7186" i="2"/>
  <c r="A7146" i="2"/>
  <c r="A7139" i="2"/>
  <c r="A7092" i="2"/>
  <c r="A7085" i="2"/>
  <c r="A7045" i="2"/>
  <c r="A7038" i="2"/>
  <c r="A6991" i="2"/>
  <c r="A8042" i="2"/>
  <c r="A7980" i="2"/>
  <c r="A7933" i="2"/>
  <c r="A7889" i="2"/>
  <c r="A7790" i="2"/>
  <c r="A7761" i="2"/>
  <c r="A7734" i="2"/>
  <c r="A7682" i="2"/>
  <c r="A7660" i="2"/>
  <c r="A7635" i="2"/>
  <c r="A7548" i="2"/>
  <c r="A7484" i="2"/>
  <c r="A8398" i="2"/>
  <c r="A7886" i="2"/>
  <c r="A7789" i="2"/>
  <c r="A7707" i="2"/>
  <c r="A7446" i="2"/>
  <c r="A7413" i="2"/>
  <c r="A7398" i="2"/>
  <c r="A7324" i="2"/>
  <c r="A7303" i="2"/>
  <c r="A7267" i="2"/>
  <c r="A7241" i="2"/>
  <c r="A7232" i="2"/>
  <c r="A7215" i="2"/>
  <c r="A7208" i="2"/>
  <c r="A7168" i="2"/>
  <c r="A7161" i="2"/>
  <c r="A7154" i="2"/>
  <c r="A7612" i="2"/>
  <c r="A7224" i="2"/>
  <c r="A7108" i="2"/>
  <c r="A6909" i="2"/>
  <c r="A6831" i="2"/>
  <c r="A6821" i="2"/>
  <c r="A6811" i="2"/>
  <c r="A6749" i="2"/>
  <c r="A6742" i="2"/>
  <c r="A6702" i="2"/>
  <c r="A6695" i="2"/>
  <c r="A6657" i="2"/>
  <c r="A6628" i="2"/>
  <c r="A6621" i="2"/>
  <c r="A6593" i="2"/>
  <c r="A6564" i="2"/>
  <c r="A6557" i="2"/>
  <c r="A6529" i="2"/>
  <c r="A6473" i="2"/>
  <c r="A6467" i="2"/>
  <c r="A6461" i="2"/>
  <c r="A6455" i="2"/>
  <c r="A6449" i="2"/>
  <c r="A6433" i="2"/>
  <c r="A6417" i="2"/>
  <c r="A6401" i="2"/>
  <c r="A6385" i="2"/>
  <c r="A6369" i="2"/>
  <c r="A6353" i="2"/>
  <c r="A6337" i="2"/>
  <c r="A6321" i="2"/>
  <c r="A6305" i="2"/>
  <c r="A6289" i="2"/>
  <c r="A6273" i="2"/>
  <c r="A6257" i="2"/>
  <c r="A6241" i="2"/>
  <c r="A6225" i="2"/>
  <c r="A6209" i="2"/>
  <c r="A6193" i="2"/>
  <c r="A6177" i="2"/>
  <c r="A6161" i="2"/>
  <c r="A6145" i="2"/>
  <c r="A7590" i="2"/>
  <c r="A7371" i="2"/>
  <c r="A7284" i="2"/>
  <c r="A7076" i="2"/>
  <c r="A6984" i="2"/>
  <c r="A6938" i="2"/>
  <c r="A6898" i="2"/>
  <c r="A6884" i="2"/>
  <c r="A6874" i="2"/>
  <c r="A6803" i="2"/>
  <c r="A6793" i="2"/>
  <c r="A6783" i="2"/>
  <c r="A6758" i="2"/>
  <c r="A6733" i="2"/>
  <c r="A6726" i="2"/>
  <c r="A6686" i="2"/>
  <c r="A6679" i="2"/>
  <c r="A6642" i="2"/>
  <c r="A6614" i="2"/>
  <c r="A6606" i="2"/>
  <c r="A6578" i="2"/>
  <c r="A6550" i="2"/>
  <c r="A6542" i="2"/>
  <c r="A6485" i="2"/>
  <c r="A6438" i="2"/>
  <c r="A6422" i="2"/>
  <c r="A6406" i="2"/>
  <c r="A7568" i="2"/>
  <c r="A7152" i="2"/>
  <c r="A7107" i="2"/>
  <c r="A7013" i="2"/>
  <c r="A6959" i="2"/>
  <c r="A6896" i="2"/>
  <c r="A6866" i="2"/>
  <c r="A6856" i="2"/>
  <c r="A6848" i="2"/>
  <c r="A6838" i="2"/>
  <c r="A6828" i="2"/>
  <c r="A6765" i="2"/>
  <c r="A6741" i="2"/>
  <c r="A6717" i="2"/>
  <c r="A6710" i="2"/>
  <c r="A6670" i="2"/>
  <c r="A6663" i="2"/>
  <c r="A6635" i="2"/>
  <c r="A6627" i="2"/>
  <c r="A6599" i="2"/>
  <c r="A6571" i="2"/>
  <c r="A6563" i="2"/>
  <c r="A6535" i="2"/>
  <c r="A6521" i="2"/>
  <c r="A6515" i="2"/>
  <c r="A6509" i="2"/>
  <c r="A6503" i="2"/>
  <c r="A6497" i="2"/>
  <c r="A6491" i="2"/>
  <c r="A6443" i="2"/>
  <c r="A6427" i="2"/>
  <c r="A6411" i="2"/>
  <c r="A6395" i="2"/>
  <c r="A6379" i="2"/>
  <c r="A6363" i="2"/>
  <c r="A6347" i="2"/>
  <c r="A6331" i="2"/>
  <c r="A6315" i="2"/>
  <c r="A6299" i="2"/>
  <c r="A6283" i="2"/>
  <c r="A6267" i="2"/>
  <c r="A6251" i="2"/>
  <c r="A6235" i="2"/>
  <c r="A6219" i="2"/>
  <c r="A6203" i="2"/>
  <c r="A6187" i="2"/>
  <c r="A6171" i="2"/>
  <c r="A6155" i="2"/>
  <c r="A6139" i="2"/>
  <c r="A7044" i="2"/>
  <c r="A6937" i="2"/>
  <c r="A6820" i="2"/>
  <c r="A6810" i="2"/>
  <c r="A6800" i="2"/>
  <c r="A6748" i="2"/>
  <c r="A6725" i="2"/>
  <c r="A6701" i="2"/>
  <c r="A6694" i="2"/>
  <c r="A6648" i="2"/>
  <c r="A6620" i="2"/>
  <c r="A6613" i="2"/>
  <c r="A6584" i="2"/>
  <c r="A6556" i="2"/>
  <c r="A6549" i="2"/>
  <c r="A6484" i="2"/>
  <c r="A6478" i="2"/>
  <c r="A6472" i="2"/>
  <c r="A6466" i="2"/>
  <c r="A6460" i="2"/>
  <c r="A6454" i="2"/>
  <c r="A6448" i="2"/>
  <c r="A6432" i="2"/>
  <c r="A6416" i="2"/>
  <c r="A6400" i="2"/>
  <c r="A6384" i="2"/>
  <c r="A6368" i="2"/>
  <c r="A6352" i="2"/>
  <c r="A6336" i="2"/>
  <c r="A6320" i="2"/>
  <c r="A6304" i="2"/>
  <c r="A6288" i="2"/>
  <c r="A6272" i="2"/>
  <c r="A6256" i="2"/>
  <c r="A6240" i="2"/>
  <c r="A6224" i="2"/>
  <c r="A6208" i="2"/>
  <c r="A6192" i="2"/>
  <c r="A6176" i="2"/>
  <c r="A6160" i="2"/>
  <c r="A7145" i="2"/>
  <c r="A7101" i="2"/>
  <c r="A7007" i="2"/>
  <c r="A6953" i="2"/>
  <c r="A6921" i="2"/>
  <c r="A6906" i="2"/>
  <c r="A6883" i="2"/>
  <c r="A6873" i="2"/>
  <c r="A6865" i="2"/>
  <c r="A6792" i="2"/>
  <c r="A6782" i="2"/>
  <c r="A6774" i="2"/>
  <c r="A6755" i="2"/>
  <c r="A6739" i="2"/>
  <c r="A6732" i="2"/>
  <c r="A6709" i="2"/>
  <c r="A6685" i="2"/>
  <c r="A6678" i="2"/>
  <c r="A6641" i="2"/>
  <c r="A6612" i="2"/>
  <c r="A6605" i="2"/>
  <c r="A6577" i="2"/>
  <c r="A6548" i="2"/>
  <c r="A6541" i="2"/>
  <c r="A6490" i="2"/>
  <c r="A6437" i="2"/>
  <c r="A6421" i="2"/>
  <c r="A6405" i="2"/>
  <c r="A6389" i="2"/>
  <c r="A6373" i="2"/>
  <c r="A6357" i="2"/>
  <c r="A6341" i="2"/>
  <c r="A6325" i="2"/>
  <c r="A6309" i="2"/>
  <c r="A6293" i="2"/>
  <c r="A6277" i="2"/>
  <c r="A6261" i="2"/>
  <c r="A6245" i="2"/>
  <c r="A6229" i="2"/>
  <c r="A6213" i="2"/>
  <c r="A6197" i="2"/>
  <c r="A6181" i="2"/>
  <c r="A6165" i="2"/>
  <c r="A6149" i="2"/>
  <c r="A7504" i="2"/>
  <c r="A7349" i="2"/>
  <c r="A7069" i="2"/>
  <c r="A6893" i="2"/>
  <c r="A6845" i="2"/>
  <c r="A6837" i="2"/>
  <c r="A6827" i="2"/>
  <c r="A6817" i="2"/>
  <c r="A6764" i="2"/>
  <c r="A6723" i="2"/>
  <c r="A6716" i="2"/>
  <c r="A6693" i="2"/>
  <c r="A6669" i="2"/>
  <c r="A6662" i="2"/>
  <c r="A6654" i="2"/>
  <c r="A6626" i="2"/>
  <c r="A6598" i="2"/>
  <c r="A6590" i="2"/>
  <c r="A6562" i="2"/>
  <c r="A6534" i="2"/>
  <c r="A6520" i="2"/>
  <c r="A6514" i="2"/>
  <c r="A6508" i="2"/>
  <c r="A6502" i="2"/>
  <c r="A6453" i="2"/>
  <c r="A6442" i="2"/>
  <c r="A6426" i="2"/>
  <c r="A6410" i="2"/>
  <c r="A6394" i="2"/>
  <c r="A7885" i="2"/>
  <c r="A7199" i="2"/>
  <c r="A7138" i="2"/>
  <c r="A7006" i="2"/>
  <c r="A6936" i="2"/>
  <c r="A6809" i="2"/>
  <c r="A6799" i="2"/>
  <c r="A6747" i="2"/>
  <c r="A6707" i="2"/>
  <c r="A6700" i="2"/>
  <c r="A6677" i="2"/>
  <c r="A6647" i="2"/>
  <c r="A6619" i="2"/>
  <c r="A6611" i="2"/>
  <c r="A6583" i="2"/>
  <c r="A6555" i="2"/>
  <c r="A6547" i="2"/>
  <c r="A6526" i="2"/>
  <c r="A6489" i="2"/>
  <c r="A6483" i="2"/>
  <c r="A6477" i="2"/>
  <c r="A6471" i="2"/>
  <c r="A6465" i="2"/>
  <c r="A6459" i="2"/>
  <c r="A6447" i="2"/>
  <c r="A6431" i="2"/>
  <c r="A6415" i="2"/>
  <c r="A6399" i="2"/>
  <c r="A7843" i="2"/>
  <c r="A7463" i="2"/>
  <c r="A7337" i="2"/>
  <c r="A7130" i="2"/>
  <c r="A7098" i="2"/>
  <c r="A7037" i="2"/>
  <c r="A6975" i="2"/>
  <c r="A6952" i="2"/>
  <c r="A6916" i="2"/>
  <c r="A6905" i="2"/>
  <c r="A6872" i="2"/>
  <c r="A6862" i="2"/>
  <c r="A6854" i="2"/>
  <c r="A6844" i="2"/>
  <c r="A6781" i="2"/>
  <c r="A6771" i="2"/>
  <c r="A6754" i="2"/>
  <c r="A6738" i="2"/>
  <c r="A6731" i="2"/>
  <c r="A6691" i="2"/>
  <c r="A6684" i="2"/>
  <c r="A6661" i="2"/>
  <c r="A6632" i="2"/>
  <c r="A6604" i="2"/>
  <c r="A6597" i="2"/>
  <c r="A6568" i="2"/>
  <c r="A6540" i="2"/>
  <c r="A6533" i="2"/>
  <c r="A6501" i="2"/>
  <c r="A6452" i="2"/>
  <c r="A6436" i="2"/>
  <c r="A6420" i="2"/>
  <c r="A6404" i="2"/>
  <c r="A7192" i="2"/>
  <c r="A7061" i="2"/>
  <c r="A7000" i="2"/>
  <c r="A6834" i="2"/>
  <c r="A6826" i="2"/>
  <c r="A6816" i="2"/>
  <c r="A6763" i="2"/>
  <c r="A6722" i="2"/>
  <c r="A6715" i="2"/>
  <c r="A6675" i="2"/>
  <c r="A6668" i="2"/>
  <c r="A6660" i="2"/>
  <c r="A6653" i="2"/>
  <c r="A6625" i="2"/>
  <c r="A6596" i="2"/>
  <c r="A6589" i="2"/>
  <c r="A6561" i="2"/>
  <c r="A6532" i="2"/>
  <c r="A6519" i="2"/>
  <c r="A6513" i="2"/>
  <c r="A6507" i="2"/>
  <c r="A6458" i="2"/>
  <c r="A6441" i="2"/>
  <c r="A7787" i="2"/>
  <c r="A7327" i="2"/>
  <c r="A7184" i="2"/>
  <c r="A7029" i="2"/>
  <c r="A6931" i="2"/>
  <c r="A6890" i="2"/>
  <c r="A6879" i="2"/>
  <c r="A6798" i="2"/>
  <c r="A6788" i="2"/>
  <c r="A6780" i="2"/>
  <c r="A6706" i="2"/>
  <c r="A6699" i="2"/>
  <c r="A6646" i="2"/>
  <c r="A6638" i="2"/>
  <c r="A6610" i="2"/>
  <c r="A6582" i="2"/>
  <c r="A6574" i="2"/>
  <c r="A6546" i="2"/>
  <c r="A6525" i="2"/>
  <c r="A6500" i="2"/>
  <c r="A6494" i="2"/>
  <c r="A6488" i="2"/>
  <c r="A7760" i="2"/>
  <c r="A7429" i="2"/>
  <c r="A7250" i="2"/>
  <c r="A7123" i="2"/>
  <c r="A7060" i="2"/>
  <c r="A6861" i="2"/>
  <c r="A6851" i="2"/>
  <c r="A6843" i="2"/>
  <c r="A6833" i="2"/>
  <c r="A6770" i="2"/>
  <c r="A6753" i="2"/>
  <c r="A6744" i="2"/>
  <c r="A6737" i="2"/>
  <c r="A6690" i="2"/>
  <c r="A6683" i="2"/>
  <c r="A7177" i="2"/>
  <c r="A7091" i="2"/>
  <c r="A6997" i="2"/>
  <c r="A6946" i="2"/>
  <c r="A6930" i="2"/>
  <c r="A6900" i="2"/>
  <c r="A6815" i="2"/>
  <c r="A6805" i="2"/>
  <c r="A6760" i="2"/>
  <c r="A6728" i="2"/>
  <c r="A6721" i="2"/>
  <c r="A7315" i="2"/>
  <c r="A7054" i="2"/>
  <c r="A6968" i="2"/>
  <c r="A6944" i="2"/>
  <c r="A6928" i="2"/>
  <c r="A6914" i="2"/>
  <c r="A6889" i="2"/>
  <c r="A6878" i="2"/>
  <c r="A6868" i="2"/>
  <c r="A6860" i="2"/>
  <c r="A6797" i="2"/>
  <c r="A6787" i="2"/>
  <c r="A6777" i="2"/>
  <c r="A6769" i="2"/>
  <c r="A6712" i="2"/>
  <c r="A6705" i="2"/>
  <c r="A7234" i="2"/>
  <c r="A7170" i="2"/>
  <c r="A7022" i="2"/>
  <c r="A6912" i="2"/>
  <c r="A6850" i="2"/>
  <c r="A6840" i="2"/>
  <c r="A6832" i="2"/>
  <c r="A6822" i="2"/>
  <c r="A6750" i="2"/>
  <c r="A6743" i="2"/>
  <c r="A6696" i="2"/>
  <c r="A6689" i="2"/>
  <c r="A7114" i="2"/>
  <c r="A7053" i="2"/>
  <c r="A6899" i="2"/>
  <c r="A6885" i="2"/>
  <c r="A6814" i="2"/>
  <c r="A6804" i="2"/>
  <c r="A6794" i="2"/>
  <c r="A6759" i="2"/>
  <c r="A6734" i="2"/>
  <c r="A6727" i="2"/>
  <c r="A6680" i="2"/>
  <c r="A7634" i="2"/>
  <c r="A6877" i="2"/>
  <c r="A6659" i="2"/>
  <c r="A6643" i="2"/>
  <c r="A6603" i="2"/>
  <c r="A6587" i="2"/>
  <c r="A6451" i="2"/>
  <c r="A6407" i="2"/>
  <c r="A6387" i="2"/>
  <c r="A6359" i="2"/>
  <c r="A6351" i="2"/>
  <c r="A6323" i="2"/>
  <c r="A6295" i="2"/>
  <c r="A6287" i="2"/>
  <c r="A6259" i="2"/>
  <c r="A6231" i="2"/>
  <c r="A6223" i="2"/>
  <c r="A6195" i="2"/>
  <c r="A6167" i="2"/>
  <c r="A6159" i="2"/>
  <c r="A6128" i="2"/>
  <c r="A6112" i="2"/>
  <c r="A6096" i="2"/>
  <c r="A6080" i="2"/>
  <c r="A6064" i="2"/>
  <c r="A6048" i="2"/>
  <c r="A6032" i="2"/>
  <c r="A6016" i="2"/>
  <c r="A6000" i="2"/>
  <c r="A5984" i="2"/>
  <c r="A5968" i="2"/>
  <c r="A5952" i="2"/>
  <c r="A5936" i="2"/>
  <c r="A5920" i="2"/>
  <c r="A5904" i="2"/>
  <c r="A5888" i="2"/>
  <c r="A5872" i="2"/>
  <c r="A5856" i="2"/>
  <c r="A5840" i="2"/>
  <c r="A5824" i="2"/>
  <c r="A5808" i="2"/>
  <c r="A5792" i="2"/>
  <c r="A5776" i="2"/>
  <c r="A5760" i="2"/>
  <c r="A5744" i="2"/>
  <c r="A5728" i="2"/>
  <c r="A5712" i="2"/>
  <c r="A5696" i="2"/>
  <c r="A5680" i="2"/>
  <c r="A5664" i="2"/>
  <c r="A5648" i="2"/>
  <c r="A5632" i="2"/>
  <c r="A5616" i="2"/>
  <c r="A7385" i="2"/>
  <c r="A6867" i="2"/>
  <c r="A6622" i="2"/>
  <c r="A6566" i="2"/>
  <c r="A6428" i="2"/>
  <c r="A6396" i="2"/>
  <c r="A6380" i="2"/>
  <c r="A6372" i="2"/>
  <c r="A6344" i="2"/>
  <c r="A6316" i="2"/>
  <c r="A6308" i="2"/>
  <c r="A6280" i="2"/>
  <c r="A6252" i="2"/>
  <c r="A6244" i="2"/>
  <c r="A6216" i="2"/>
  <c r="A6188" i="2"/>
  <c r="A6180" i="2"/>
  <c r="A6152" i="2"/>
  <c r="A6133" i="2"/>
  <c r="A6117" i="2"/>
  <c r="A6101" i="2"/>
  <c r="A6085" i="2"/>
  <c r="A6069" i="2"/>
  <c r="A6053" i="2"/>
  <c r="A6037" i="2"/>
  <c r="A6021" i="2"/>
  <c r="A6005" i="2"/>
  <c r="A5989" i="2"/>
  <c r="A5973" i="2"/>
  <c r="A5957" i="2"/>
  <c r="A5941" i="2"/>
  <c r="A5925" i="2"/>
  <c r="A5909" i="2"/>
  <c r="A5893" i="2"/>
  <c r="A5877" i="2"/>
  <c r="A5861" i="2"/>
  <c r="A5845" i="2"/>
  <c r="A5829" i="2"/>
  <c r="A5813" i="2"/>
  <c r="A5797" i="2"/>
  <c r="A5781" i="2"/>
  <c r="A5765" i="2"/>
  <c r="A5749" i="2"/>
  <c r="A5733" i="2"/>
  <c r="A5717" i="2"/>
  <c r="A7295" i="2"/>
  <c r="A6857" i="2"/>
  <c r="A6718" i="2"/>
  <c r="A6545" i="2"/>
  <c r="A6493" i="2"/>
  <c r="A6439" i="2"/>
  <c r="A6425" i="2"/>
  <c r="A6365" i="2"/>
  <c r="A6358" i="2"/>
  <c r="A6329" i="2"/>
  <c r="A6301" i="2"/>
  <c r="A6294" i="2"/>
  <c r="A6265" i="2"/>
  <c r="A6237" i="2"/>
  <c r="A6230" i="2"/>
  <c r="A6201" i="2"/>
  <c r="A6173" i="2"/>
  <c r="A6166" i="2"/>
  <c r="A6122" i="2"/>
  <c r="A6106" i="2"/>
  <c r="A6090" i="2"/>
  <c r="A6074" i="2"/>
  <c r="A6058" i="2"/>
  <c r="A6042" i="2"/>
  <c r="A6026" i="2"/>
  <c r="A6010" i="2"/>
  <c r="A5994" i="2"/>
  <c r="A5978" i="2"/>
  <c r="A5962" i="2"/>
  <c r="A5946" i="2"/>
  <c r="A5930" i="2"/>
  <c r="A5914" i="2"/>
  <c r="A5898" i="2"/>
  <c r="A5882" i="2"/>
  <c r="A5866" i="2"/>
  <c r="A5850" i="2"/>
  <c r="A5834" i="2"/>
  <c r="A5818" i="2"/>
  <c r="A5802" i="2"/>
  <c r="A5786" i="2"/>
  <c r="A5770" i="2"/>
  <c r="A5754" i="2"/>
  <c r="A5738" i="2"/>
  <c r="A5722" i="2"/>
  <c r="A6849" i="2"/>
  <c r="A6711" i="2"/>
  <c r="A6658" i="2"/>
  <c r="A6581" i="2"/>
  <c r="A6565" i="2"/>
  <c r="A6510" i="2"/>
  <c r="A6476" i="2"/>
  <c r="A6450" i="2"/>
  <c r="A6414" i="2"/>
  <c r="A6393" i="2"/>
  <c r="A6386" i="2"/>
  <c r="A6378" i="2"/>
  <c r="A6350" i="2"/>
  <c r="A6322" i="2"/>
  <c r="A6314" i="2"/>
  <c r="A6286" i="2"/>
  <c r="A6258" i="2"/>
  <c r="A6250" i="2"/>
  <c r="A6222" i="2"/>
  <c r="A6194" i="2"/>
  <c r="A6186" i="2"/>
  <c r="A6158" i="2"/>
  <c r="A6144" i="2"/>
  <c r="A6138" i="2"/>
  <c r="A6127" i="2"/>
  <c r="A6111" i="2"/>
  <c r="A6095" i="2"/>
  <c r="A6079" i="2"/>
  <c r="A6063" i="2"/>
  <c r="A6047" i="2"/>
  <c r="A6031" i="2"/>
  <c r="A6015" i="2"/>
  <c r="A5999" i="2"/>
  <c r="A5983" i="2"/>
  <c r="A5967" i="2"/>
  <c r="A5951" i="2"/>
  <c r="A5935" i="2"/>
  <c r="A5919" i="2"/>
  <c r="A5903" i="2"/>
  <c r="A5887" i="2"/>
  <c r="A5871" i="2"/>
  <c r="A5855" i="2"/>
  <c r="A5839" i="2"/>
  <c r="A5823" i="2"/>
  <c r="A5807" i="2"/>
  <c r="A5791" i="2"/>
  <c r="A5775" i="2"/>
  <c r="A5759" i="2"/>
  <c r="A5743" i="2"/>
  <c r="A5727" i="2"/>
  <c r="A6637" i="2"/>
  <c r="A6580" i="2"/>
  <c r="A6524" i="2"/>
  <c r="A6506" i="2"/>
  <c r="A6403" i="2"/>
  <c r="A6371" i="2"/>
  <c r="A6343" i="2"/>
  <c r="A6335" i="2"/>
  <c r="A6307" i="2"/>
  <c r="A6279" i="2"/>
  <c r="A6271" i="2"/>
  <c r="A6243" i="2"/>
  <c r="A6215" i="2"/>
  <c r="A6207" i="2"/>
  <c r="A6179" i="2"/>
  <c r="A6151" i="2"/>
  <c r="A6132" i="2"/>
  <c r="A6116" i="2"/>
  <c r="A6100" i="2"/>
  <c r="A6084" i="2"/>
  <c r="A6068" i="2"/>
  <c r="A6052" i="2"/>
  <c r="A6036" i="2"/>
  <c r="A6020" i="2"/>
  <c r="A6004" i="2"/>
  <c r="A6616" i="2"/>
  <c r="A6600" i="2"/>
  <c r="A6492" i="2"/>
  <c r="A6462" i="2"/>
  <c r="A6435" i="2"/>
  <c r="A6424" i="2"/>
  <c r="A6364" i="2"/>
  <c r="A6356" i="2"/>
  <c r="A6328" i="2"/>
  <c r="A6300" i="2"/>
  <c r="A6292" i="2"/>
  <c r="A6264" i="2"/>
  <c r="A6236" i="2"/>
  <c r="A6228" i="2"/>
  <c r="A6200" i="2"/>
  <c r="A6172" i="2"/>
  <c r="A6164" i="2"/>
  <c r="A6121" i="2"/>
  <c r="A6105" i="2"/>
  <c r="A6089" i="2"/>
  <c r="A6073" i="2"/>
  <c r="A6057" i="2"/>
  <c r="A6041" i="2"/>
  <c r="A6025" i="2"/>
  <c r="A6009" i="2"/>
  <c r="A5993" i="2"/>
  <c r="A5977" i="2"/>
  <c r="A6595" i="2"/>
  <c r="A6579" i="2"/>
  <c r="A6539" i="2"/>
  <c r="A6505" i="2"/>
  <c r="A6475" i="2"/>
  <c r="A6446" i="2"/>
  <c r="A6413" i="2"/>
  <c r="A6392" i="2"/>
  <c r="A6377" i="2"/>
  <c r="A6349" i="2"/>
  <c r="A6342" i="2"/>
  <c r="A6313" i="2"/>
  <c r="A6285" i="2"/>
  <c r="A6278" i="2"/>
  <c r="A6249" i="2"/>
  <c r="A6221" i="2"/>
  <c r="A6214" i="2"/>
  <c r="A6185" i="2"/>
  <c r="A6157" i="2"/>
  <c r="A6150" i="2"/>
  <c r="A6143" i="2"/>
  <c r="A6137" i="2"/>
  <c r="A6126" i="2"/>
  <c r="A6110" i="2"/>
  <c r="A6094" i="2"/>
  <c r="A6078" i="2"/>
  <c r="A6062" i="2"/>
  <c r="A6046" i="2"/>
  <c r="A6030" i="2"/>
  <c r="A6014" i="2"/>
  <c r="A5998" i="2"/>
  <c r="A5982" i="2"/>
  <c r="A5966" i="2"/>
  <c r="A5950" i="2"/>
  <c r="A5934" i="2"/>
  <c r="A5918" i="2"/>
  <c r="A6652" i="2"/>
  <c r="A6636" i="2"/>
  <c r="A6558" i="2"/>
  <c r="A6523" i="2"/>
  <c r="A6402" i="2"/>
  <c r="A6370" i="2"/>
  <c r="A6362" i="2"/>
  <c r="A6334" i="2"/>
  <c r="A6306" i="2"/>
  <c r="A6298" i="2"/>
  <c r="A6270" i="2"/>
  <c r="A6242" i="2"/>
  <c r="A6234" i="2"/>
  <c r="A6206" i="2"/>
  <c r="A6178" i="2"/>
  <c r="A6170" i="2"/>
  <c r="A6131" i="2"/>
  <c r="A6115" i="2"/>
  <c r="A6099" i="2"/>
  <c r="A6083" i="2"/>
  <c r="A6067" i="2"/>
  <c r="A6051" i="2"/>
  <c r="A6035" i="2"/>
  <c r="A6019" i="2"/>
  <c r="A6003" i="2"/>
  <c r="A5987" i="2"/>
  <c r="A5971" i="2"/>
  <c r="A5955" i="2"/>
  <c r="A6674" i="2"/>
  <c r="A6631" i="2"/>
  <c r="A6615" i="2"/>
  <c r="A6487" i="2"/>
  <c r="A6474" i="2"/>
  <c r="A6434" i="2"/>
  <c r="A6423" i="2"/>
  <c r="A6383" i="2"/>
  <c r="A6355" i="2"/>
  <c r="A6327" i="2"/>
  <c r="A6319" i="2"/>
  <c r="A6291" i="2"/>
  <c r="A6263" i="2"/>
  <c r="A6255" i="2"/>
  <c r="A6227" i="2"/>
  <c r="A6199" i="2"/>
  <c r="A6191" i="2"/>
  <c r="A6163" i="2"/>
  <c r="A6120" i="2"/>
  <c r="A6104" i="2"/>
  <c r="A6088" i="2"/>
  <c r="A6072" i="2"/>
  <c r="A6056" i="2"/>
  <c r="A6040" i="2"/>
  <c r="A6024" i="2"/>
  <c r="A6008" i="2"/>
  <c r="A5992" i="2"/>
  <c r="A6990" i="2"/>
  <c r="A6673" i="2"/>
  <c r="A6594" i="2"/>
  <c r="A6518" i="2"/>
  <c r="A6504" i="2"/>
  <c r="A6457" i="2"/>
  <c r="A6445" i="2"/>
  <c r="A6412" i="2"/>
  <c r="A6391" i="2"/>
  <c r="A6376" i="2"/>
  <c r="A6348" i="2"/>
  <c r="A6340" i="2"/>
  <c r="A6312" i="2"/>
  <c r="A6284" i="2"/>
  <c r="A6276" i="2"/>
  <c r="A6248" i="2"/>
  <c r="A6220" i="2"/>
  <c r="A6212" i="2"/>
  <c r="A6184" i="2"/>
  <c r="A6156" i="2"/>
  <c r="A6148" i="2"/>
  <c r="A6142" i="2"/>
  <c r="A6136" i="2"/>
  <c r="A6125" i="2"/>
  <c r="A6109" i="2"/>
  <c r="A6093" i="2"/>
  <c r="A6077" i="2"/>
  <c r="A6061" i="2"/>
  <c r="A6045" i="2"/>
  <c r="A6029" i="2"/>
  <c r="A6013" i="2"/>
  <c r="A5997" i="2"/>
  <c r="A6960" i="2"/>
  <c r="A6786" i="2"/>
  <c r="A6651" i="2"/>
  <c r="A6573" i="2"/>
  <c r="A6470" i="2"/>
  <c r="A6409" i="2"/>
  <c r="A6361" i="2"/>
  <c r="A6333" i="2"/>
  <c r="A6326" i="2"/>
  <c r="A6297" i="2"/>
  <c r="A6269" i="2"/>
  <c r="A6262" i="2"/>
  <c r="A6233" i="2"/>
  <c r="A6205" i="2"/>
  <c r="A6198" i="2"/>
  <c r="A6169" i="2"/>
  <c r="A6130" i="2"/>
  <c r="A6943" i="2"/>
  <c r="A6776" i="2"/>
  <c r="A6630" i="2"/>
  <c r="A6552" i="2"/>
  <c r="A6536" i="2"/>
  <c r="A6517" i="2"/>
  <c r="A6486" i="2"/>
  <c r="A6430" i="2"/>
  <c r="A6398" i="2"/>
  <c r="A6390" i="2"/>
  <c r="A6382" i="2"/>
  <c r="A6354" i="2"/>
  <c r="A6346" i="2"/>
  <c r="A6318" i="2"/>
  <c r="A6766" i="2"/>
  <c r="A6667" i="2"/>
  <c r="A6609" i="2"/>
  <c r="A6644" i="2"/>
  <c r="A6567" i="2"/>
  <c r="A6551" i="2"/>
  <c r="A6468" i="2"/>
  <c r="A6429" i="2"/>
  <c r="A6397" i="2"/>
  <c r="A6381" i="2"/>
  <c r="A6374" i="2"/>
  <c r="A6345" i="2"/>
  <c r="A6317" i="2"/>
  <c r="A6310" i="2"/>
  <c r="A6281" i="2"/>
  <c r="A6253" i="2"/>
  <c r="A6246" i="2"/>
  <c r="A6217" i="2"/>
  <c r="A6189" i="2"/>
  <c r="A6182" i="2"/>
  <c r="A6153" i="2"/>
  <c r="A6134" i="2"/>
  <c r="A6118" i="2"/>
  <c r="A6102" i="2"/>
  <c r="A6086" i="2"/>
  <c r="A6070" i="2"/>
  <c r="A6469" i="2"/>
  <c r="A6408" i="2"/>
  <c r="A6366" i="2"/>
  <c r="A6290" i="2"/>
  <c r="A6091" i="2"/>
  <c r="A6059" i="2"/>
  <c r="A6001" i="2"/>
  <c r="A5988" i="2"/>
  <c r="A5959" i="2"/>
  <c r="A5911" i="2"/>
  <c r="A5883" i="2"/>
  <c r="A5875" i="2"/>
  <c r="A5847" i="2"/>
  <c r="A5819" i="2"/>
  <c r="A5811" i="2"/>
  <c r="A5783" i="2"/>
  <c r="A5755" i="2"/>
  <c r="A5747" i="2"/>
  <c r="A5719" i="2"/>
  <c r="A5700" i="2"/>
  <c r="A5683" i="2"/>
  <c r="A5666" i="2"/>
  <c r="A5649" i="2"/>
  <c r="A5626" i="2"/>
  <c r="A5609" i="2"/>
  <c r="A5598" i="2"/>
  <c r="A5582" i="2"/>
  <c r="A5566" i="2"/>
  <c r="A5550" i="2"/>
  <c r="A5534" i="2"/>
  <c r="A5518" i="2"/>
  <c r="A5502" i="2"/>
  <c r="A5486" i="2"/>
  <c r="A5470" i="2"/>
  <c r="A5454" i="2"/>
  <c r="A5438" i="2"/>
  <c r="A5422" i="2"/>
  <c r="A5406" i="2"/>
  <c r="A5390" i="2"/>
  <c r="A5374" i="2"/>
  <c r="A5358" i="2"/>
  <c r="A5342" i="2"/>
  <c r="A5326" i="2"/>
  <c r="A6324" i="2"/>
  <c r="A6175" i="2"/>
  <c r="A6147" i="2"/>
  <c r="A6124" i="2"/>
  <c r="A6107" i="2"/>
  <c r="A6071" i="2"/>
  <c r="A6028" i="2"/>
  <c r="A5986" i="2"/>
  <c r="A5976" i="2"/>
  <c r="A5942" i="2"/>
  <c r="A5896" i="2"/>
  <c r="A5868" i="2"/>
  <c r="A5860" i="2"/>
  <c r="A5832" i="2"/>
  <c r="A5804" i="2"/>
  <c r="A5796" i="2"/>
  <c r="A5768" i="2"/>
  <c r="A5740" i="2"/>
  <c r="A5732" i="2"/>
  <c r="A5711" i="2"/>
  <c r="A5694" i="2"/>
  <c r="A5677" i="2"/>
  <c r="A5660" i="2"/>
  <c r="A5643" i="2"/>
  <c r="A5637" i="2"/>
  <c r="A5620" i="2"/>
  <c r="A5603" i="2"/>
  <c r="A5587" i="2"/>
  <c r="A5571" i="2"/>
  <c r="A5555" i="2"/>
  <c r="A5539" i="2"/>
  <c r="A5523" i="2"/>
  <c r="A5507" i="2"/>
  <c r="A5491" i="2"/>
  <c r="A5475" i="2"/>
  <c r="A5459" i="2"/>
  <c r="A5443" i="2"/>
  <c r="A5427" i="2"/>
  <c r="A5411" i="2"/>
  <c r="A5395" i="2"/>
  <c r="A5379" i="2"/>
  <c r="A5363" i="2"/>
  <c r="A5347" i="2"/>
  <c r="A5331" i="2"/>
  <c r="A5315" i="2"/>
  <c r="A6360" i="2"/>
  <c r="A6260" i="2"/>
  <c r="A6232" i="2"/>
  <c r="A6204" i="2"/>
  <c r="A6087" i="2"/>
  <c r="A6055" i="2"/>
  <c r="A6043" i="2"/>
  <c r="A5949" i="2"/>
  <c r="A5933" i="2"/>
  <c r="A5926" i="2"/>
  <c r="A5889" i="2"/>
  <c r="A5881" i="2"/>
  <c r="A5853" i="2"/>
  <c r="A5825" i="2"/>
  <c r="A5817" i="2"/>
  <c r="A5789" i="2"/>
  <c r="A5761" i="2"/>
  <c r="A5753" i="2"/>
  <c r="A5725" i="2"/>
  <c r="A5705" i="2"/>
  <c r="A5688" i="2"/>
  <c r="A5671" i="2"/>
  <c r="A5654" i="2"/>
  <c r="A5631" i="2"/>
  <c r="A5614" i="2"/>
  <c r="A5592" i="2"/>
  <c r="A5576" i="2"/>
  <c r="A5560" i="2"/>
  <c r="A5544" i="2"/>
  <c r="A5528" i="2"/>
  <c r="A5512" i="2"/>
  <c r="A5496" i="2"/>
  <c r="A5480" i="2"/>
  <c r="A5464" i="2"/>
  <c r="A5448" i="2"/>
  <c r="A5432" i="2"/>
  <c r="A5416" i="2"/>
  <c r="A5400" i="2"/>
  <c r="A5384" i="2"/>
  <c r="A5368" i="2"/>
  <c r="A5352" i="2"/>
  <c r="A5336" i="2"/>
  <c r="A5320" i="2"/>
  <c r="A6456" i="2"/>
  <c r="A6202" i="2"/>
  <c r="A6174" i="2"/>
  <c r="A6146" i="2"/>
  <c r="A6123" i="2"/>
  <c r="A6103" i="2"/>
  <c r="A6012" i="2"/>
  <c r="A5958" i="2"/>
  <c r="A5940" i="2"/>
  <c r="A5917" i="2"/>
  <c r="A5910" i="2"/>
  <c r="A5902" i="2"/>
  <c r="A5874" i="2"/>
  <c r="A5846" i="2"/>
  <c r="A5838" i="2"/>
  <c r="A5810" i="2"/>
  <c r="A5782" i="2"/>
  <c r="A5774" i="2"/>
  <c r="A5746" i="2"/>
  <c r="A5718" i="2"/>
  <c r="A5699" i="2"/>
  <c r="A5682" i="2"/>
  <c r="A5665" i="2"/>
  <c r="A5642" i="2"/>
  <c r="A5625" i="2"/>
  <c r="A5608" i="2"/>
  <c r="A5597" i="2"/>
  <c r="A6531" i="2"/>
  <c r="A6282" i="2"/>
  <c r="A6254" i="2"/>
  <c r="A6226" i="2"/>
  <c r="A6119" i="2"/>
  <c r="A6039" i="2"/>
  <c r="A6027" i="2"/>
  <c r="A5985" i="2"/>
  <c r="A5975" i="2"/>
  <c r="A5965" i="2"/>
  <c r="A5924" i="2"/>
  <c r="A5895" i="2"/>
  <c r="A5867" i="2"/>
  <c r="A5859" i="2"/>
  <c r="A5831" i="2"/>
  <c r="A5803" i="2"/>
  <c r="A5795" i="2"/>
  <c r="A5767" i="2"/>
  <c r="A5739" i="2"/>
  <c r="A5731" i="2"/>
  <c r="A5710" i="2"/>
  <c r="A5693" i="2"/>
  <c r="A5676" i="2"/>
  <c r="A5659" i="2"/>
  <c r="A5653" i="2"/>
  <c r="A5636" i="2"/>
  <c r="A5619" i="2"/>
  <c r="A5602" i="2"/>
  <c r="A5586" i="2"/>
  <c r="A5570" i="2"/>
  <c r="A5554" i="2"/>
  <c r="A5538" i="2"/>
  <c r="A5522" i="2"/>
  <c r="A5506" i="2"/>
  <c r="A5490" i="2"/>
  <c r="A5474" i="2"/>
  <c r="A5458" i="2"/>
  <c r="A5442" i="2"/>
  <c r="A5426" i="2"/>
  <c r="A5410" i="2"/>
  <c r="A5394" i="2"/>
  <c r="A5378" i="2"/>
  <c r="A5362" i="2"/>
  <c r="A5346" i="2"/>
  <c r="A5330" i="2"/>
  <c r="A6664" i="2"/>
  <c r="A6141" i="2"/>
  <c r="A6066" i="2"/>
  <c r="A6054" i="2"/>
  <c r="A5996" i="2"/>
  <c r="A5956" i="2"/>
  <c r="A5948" i="2"/>
  <c r="A5939" i="2"/>
  <c r="A5932" i="2"/>
  <c r="A5908" i="2"/>
  <c r="A5880" i="2"/>
  <c r="A5852" i="2"/>
  <c r="A5844" i="2"/>
  <c r="A5816" i="2"/>
  <c r="A5788" i="2"/>
  <c r="A5780" i="2"/>
  <c r="A5752" i="2"/>
  <c r="A5724" i="2"/>
  <c r="A5716" i="2"/>
  <c r="A5704" i="2"/>
  <c r="A5687" i="2"/>
  <c r="A5670" i="2"/>
  <c r="A5647" i="2"/>
  <c r="A5630" i="2"/>
  <c r="A5613" i="2"/>
  <c r="A5591" i="2"/>
  <c r="A5575" i="2"/>
  <c r="A5559" i="2"/>
  <c r="A5543" i="2"/>
  <c r="A5527" i="2"/>
  <c r="A5511" i="2"/>
  <c r="A5495" i="2"/>
  <c r="A5479" i="2"/>
  <c r="A5463" i="2"/>
  <c r="A6645" i="2"/>
  <c r="A6530" i="2"/>
  <c r="A6444" i="2"/>
  <c r="A6388" i="2"/>
  <c r="A6311" i="2"/>
  <c r="A6196" i="2"/>
  <c r="A6168" i="2"/>
  <c r="A6082" i="2"/>
  <c r="A6023" i="2"/>
  <c r="A6011" i="2"/>
  <c r="A5923" i="2"/>
  <c r="A5916" i="2"/>
  <c r="A5901" i="2"/>
  <c r="A5873" i="2"/>
  <c r="A5865" i="2"/>
  <c r="A5837" i="2"/>
  <c r="A5809" i="2"/>
  <c r="A5801" i="2"/>
  <c r="A5773" i="2"/>
  <c r="A5745" i="2"/>
  <c r="A5737" i="2"/>
  <c r="A5698" i="2"/>
  <c r="A5681" i="2"/>
  <c r="A5658" i="2"/>
  <c r="A5641" i="2"/>
  <c r="A5624" i="2"/>
  <c r="A5607" i="2"/>
  <c r="A5596" i="2"/>
  <c r="A5580" i="2"/>
  <c r="A5564" i="2"/>
  <c r="A5548" i="2"/>
  <c r="A5532" i="2"/>
  <c r="A5516" i="2"/>
  <c r="A5500" i="2"/>
  <c r="A6140" i="2"/>
  <c r="A6098" i="2"/>
  <c r="A6050" i="2"/>
  <c r="A6038" i="2"/>
  <c r="A5974" i="2"/>
  <c r="A5964" i="2"/>
  <c r="A5894" i="2"/>
  <c r="A5886" i="2"/>
  <c r="A5858" i="2"/>
  <c r="A5830" i="2"/>
  <c r="A5822" i="2"/>
  <c r="A5794" i="2"/>
  <c r="A5766" i="2"/>
  <c r="A5758" i="2"/>
  <c r="A5730" i="2"/>
  <c r="A5709" i="2"/>
  <c r="A5692" i="2"/>
  <c r="A5675" i="2"/>
  <c r="A5669" i="2"/>
  <c r="A5652" i="2"/>
  <c r="A5635" i="2"/>
  <c r="A5618" i="2"/>
  <c r="A5601" i="2"/>
  <c r="A5585" i="2"/>
  <c r="A5569" i="2"/>
  <c r="A5553" i="2"/>
  <c r="A5537" i="2"/>
  <c r="A5521" i="2"/>
  <c r="A5505" i="2"/>
  <c r="A5489" i="2"/>
  <c r="A5473" i="2"/>
  <c r="A6629" i="2"/>
  <c r="A6516" i="2"/>
  <c r="A6440" i="2"/>
  <c r="A6218" i="2"/>
  <c r="A6190" i="2"/>
  <c r="A6162" i="2"/>
  <c r="A6114" i="2"/>
  <c r="A6065" i="2"/>
  <c r="A6007" i="2"/>
  <c r="A5995" i="2"/>
  <c r="A5947" i="2"/>
  <c r="A5938" i="2"/>
  <c r="A5931" i="2"/>
  <c r="A5907" i="2"/>
  <c r="A5879" i="2"/>
  <c r="A5851" i="2"/>
  <c r="A5843" i="2"/>
  <c r="A5815" i="2"/>
  <c r="A5787" i="2"/>
  <c r="A5779" i="2"/>
  <c r="A5751" i="2"/>
  <c r="A5723" i="2"/>
  <c r="A5715" i="2"/>
  <c r="A5703" i="2"/>
  <c r="A5686" i="2"/>
  <c r="A5663" i="2"/>
  <c r="A5646" i="2"/>
  <c r="A5629" i="2"/>
  <c r="A5612" i="2"/>
  <c r="A5590" i="2"/>
  <c r="A5574" i="2"/>
  <c r="A5558" i="2"/>
  <c r="A6303" i="2"/>
  <c r="A6275" i="2"/>
  <c r="A6247" i="2"/>
  <c r="A6135" i="2"/>
  <c r="A6081" i="2"/>
  <c r="A6034" i="2"/>
  <c r="A6022" i="2"/>
  <c r="A5981" i="2"/>
  <c r="A5972" i="2"/>
  <c r="A5954" i="2"/>
  <c r="A5922" i="2"/>
  <c r="A5915" i="2"/>
  <c r="A5900" i="2"/>
  <c r="A5892" i="2"/>
  <c r="A5864" i="2"/>
  <c r="A5836" i="2"/>
  <c r="A5828" i="2"/>
  <c r="A5800" i="2"/>
  <c r="A5772" i="2"/>
  <c r="A5764" i="2"/>
  <c r="A5736" i="2"/>
  <c r="A5697" i="2"/>
  <c r="A5674" i="2"/>
  <c r="A5657" i="2"/>
  <c r="A5640" i="2"/>
  <c r="A5623" i="2"/>
  <c r="A5606" i="2"/>
  <c r="A5595" i="2"/>
  <c r="A5579" i="2"/>
  <c r="A5563" i="2"/>
  <c r="A6499" i="2"/>
  <c r="A6339" i="2"/>
  <c r="A6097" i="2"/>
  <c r="A6049" i="2"/>
  <c r="A5963" i="2"/>
  <c r="A5945" i="2"/>
  <c r="A5929" i="2"/>
  <c r="A5885" i="2"/>
  <c r="A5857" i="2"/>
  <c r="A5849" i="2"/>
  <c r="A5821" i="2"/>
  <c r="A5793" i="2"/>
  <c r="A5785" i="2"/>
  <c r="A5757" i="2"/>
  <c r="A5729" i="2"/>
  <c r="A5721" i="2"/>
  <c r="A5708" i="2"/>
  <c r="A5691" i="2"/>
  <c r="A5685" i="2"/>
  <c r="A5668" i="2"/>
  <c r="A5651" i="2"/>
  <c r="A5634" i="2"/>
  <c r="A6375" i="2"/>
  <c r="A6302" i="2"/>
  <c r="A6274" i="2"/>
  <c r="A6113" i="2"/>
  <c r="A6018" i="2"/>
  <c r="A6006" i="2"/>
  <c r="A5991" i="2"/>
  <c r="A5944" i="2"/>
  <c r="A5937" i="2"/>
  <c r="A5913" i="2"/>
  <c r="A5906" i="2"/>
  <c r="A5878" i="2"/>
  <c r="A5870" i="2"/>
  <c r="A5842" i="2"/>
  <c r="A5814" i="2"/>
  <c r="A5806" i="2"/>
  <c r="A5778" i="2"/>
  <c r="A6588" i="2"/>
  <c r="A6498" i="2"/>
  <c r="A6419" i="2"/>
  <c r="A6338" i="2"/>
  <c r="A6154" i="2"/>
  <c r="A6033" i="2"/>
  <c r="A5980" i="2"/>
  <c r="A5970" i="2"/>
  <c r="A5961" i="2"/>
  <c r="A5953" i="2"/>
  <c r="A5928" i="2"/>
  <c r="A5921" i="2"/>
  <c r="A5899" i="2"/>
  <c r="A5891" i="2"/>
  <c r="A6572" i="2"/>
  <c r="A6481" i="2"/>
  <c r="A6330" i="2"/>
  <c r="A6266" i="2"/>
  <c r="A6238" i="2"/>
  <c r="A6210" i="2"/>
  <c r="A6108" i="2"/>
  <c r="A6075" i="2"/>
  <c r="A6044" i="2"/>
  <c r="A5979" i="2"/>
  <c r="A5969" i="2"/>
  <c r="A5927" i="2"/>
  <c r="A5890" i="2"/>
  <c r="A5862" i="2"/>
  <c r="A5854" i="2"/>
  <c r="A5826" i="2"/>
  <c r="A5798" i="2"/>
  <c r="A5790" i="2"/>
  <c r="A5762" i="2"/>
  <c r="A5734" i="2"/>
  <c r="A5726" i="2"/>
  <c r="A5706" i="2"/>
  <c r="A5689" i="2"/>
  <c r="A5672" i="2"/>
  <c r="A5655" i="2"/>
  <c r="A5638" i="2"/>
  <c r="A6211" i="2"/>
  <c r="A5812" i="2"/>
  <c r="A5777" i="2"/>
  <c r="A5742" i="2"/>
  <c r="A5714" i="2"/>
  <c r="A5645" i="2"/>
  <c r="A5611" i="2"/>
  <c r="A5583" i="2"/>
  <c r="A5549" i="2"/>
  <c r="A5540" i="2"/>
  <c r="A5530" i="2"/>
  <c r="A5520" i="2"/>
  <c r="A5510" i="2"/>
  <c r="A5483" i="2"/>
  <c r="A5451" i="2"/>
  <c r="A5423" i="2"/>
  <c r="A5415" i="2"/>
  <c r="A5387" i="2"/>
  <c r="A5359" i="2"/>
  <c r="A5351" i="2"/>
  <c r="A5323" i="2"/>
  <c r="A5299" i="2"/>
  <c r="A5283" i="2"/>
  <c r="A5267" i="2"/>
  <c r="A5251" i="2"/>
  <c r="A5235" i="2"/>
  <c r="A5219" i="2"/>
  <c r="A5203" i="2"/>
  <c r="A5187" i="2"/>
  <c r="A5171" i="2"/>
  <c r="A5155" i="2"/>
  <c r="A5139" i="2"/>
  <c r="A5123" i="2"/>
  <c r="A5107" i="2"/>
  <c r="A5091" i="2"/>
  <c r="A5075" i="2"/>
  <c r="A5059" i="2"/>
  <c r="A5043" i="2"/>
  <c r="A5027" i="2"/>
  <c r="A5011" i="2"/>
  <c r="A4995" i="2"/>
  <c r="A4979" i="2"/>
  <c r="A4963" i="2"/>
  <c r="A4947" i="2"/>
  <c r="A4931" i="2"/>
  <c r="A4915" i="2"/>
  <c r="A4899" i="2"/>
  <c r="A4883" i="2"/>
  <c r="A4867" i="2"/>
  <c r="A4851" i="2"/>
  <c r="A4835" i="2"/>
  <c r="A4819" i="2"/>
  <c r="A4803" i="2"/>
  <c r="A4787" i="2"/>
  <c r="A4771" i="2"/>
  <c r="A4755" i="2"/>
  <c r="A4739" i="2"/>
  <c r="A5848" i="2"/>
  <c r="A5771" i="2"/>
  <c r="A5690" i="2"/>
  <c r="A5627" i="2"/>
  <c r="A5501" i="2"/>
  <c r="A5492" i="2"/>
  <c r="A5466" i="2"/>
  <c r="A5444" i="2"/>
  <c r="A5436" i="2"/>
  <c r="A5408" i="2"/>
  <c r="A5380" i="2"/>
  <c r="A5372" i="2"/>
  <c r="A5344" i="2"/>
  <c r="A5304" i="2"/>
  <c r="A5288" i="2"/>
  <c r="A5272" i="2"/>
  <c r="A5256" i="2"/>
  <c r="A5240" i="2"/>
  <c r="A5224" i="2"/>
  <c r="A5208" i="2"/>
  <c r="A5192" i="2"/>
  <c r="A5176" i="2"/>
  <c r="A5160" i="2"/>
  <c r="A5144" i="2"/>
  <c r="A5128" i="2"/>
  <c r="A5112" i="2"/>
  <c r="A5096" i="2"/>
  <c r="A5080" i="2"/>
  <c r="A5064" i="2"/>
  <c r="A5048" i="2"/>
  <c r="A5032" i="2"/>
  <c r="A5016" i="2"/>
  <c r="A5000" i="2"/>
  <c r="A4984" i="2"/>
  <c r="A4968" i="2"/>
  <c r="A4952" i="2"/>
  <c r="A4936" i="2"/>
  <c r="A4920" i="2"/>
  <c r="A4904" i="2"/>
  <c r="A4888" i="2"/>
  <c r="A4872" i="2"/>
  <c r="A4856" i="2"/>
  <c r="A4840" i="2"/>
  <c r="A4824" i="2"/>
  <c r="A4808" i="2"/>
  <c r="A4792" i="2"/>
  <c r="A4776" i="2"/>
  <c r="A4760" i="2"/>
  <c r="A4744" i="2"/>
  <c r="A6482" i="2"/>
  <c r="A6183" i="2"/>
  <c r="A5884" i="2"/>
  <c r="A5667" i="2"/>
  <c r="A5610" i="2"/>
  <c r="A5568" i="2"/>
  <c r="A5557" i="2"/>
  <c r="A5547" i="2"/>
  <c r="A5457" i="2"/>
  <c r="A5429" i="2"/>
  <c r="A5401" i="2"/>
  <c r="A5393" i="2"/>
  <c r="A5365" i="2"/>
  <c r="A5337" i="2"/>
  <c r="A5329" i="2"/>
  <c r="A5316" i="2"/>
  <c r="A5310" i="2"/>
  <c r="A5293" i="2"/>
  <c r="A5277" i="2"/>
  <c r="A5261" i="2"/>
  <c r="A5245" i="2"/>
  <c r="A5229" i="2"/>
  <c r="A5213" i="2"/>
  <c r="A5197" i="2"/>
  <c r="A5181" i="2"/>
  <c r="A5165" i="2"/>
  <c r="A5149" i="2"/>
  <c r="A5133" i="2"/>
  <c r="A5117" i="2"/>
  <c r="A5101" i="2"/>
  <c r="A5085" i="2"/>
  <c r="A5069" i="2"/>
  <c r="A5053" i="2"/>
  <c r="A5037" i="2"/>
  <c r="A5021" i="2"/>
  <c r="A5005" i="2"/>
  <c r="A4989" i="2"/>
  <c r="A4973" i="2"/>
  <c r="A4957" i="2"/>
  <c r="A4941" i="2"/>
  <c r="A4925" i="2"/>
  <c r="A4909" i="2"/>
  <c r="A4893" i="2"/>
  <c r="A4877" i="2"/>
  <c r="A4861" i="2"/>
  <c r="A4845" i="2"/>
  <c r="A4829" i="2"/>
  <c r="A4813" i="2"/>
  <c r="A4797" i="2"/>
  <c r="A4781" i="2"/>
  <c r="A4765" i="2"/>
  <c r="A4749" i="2"/>
  <c r="A4733" i="2"/>
  <c r="A5943" i="2"/>
  <c r="A5769" i="2"/>
  <c r="A5741" i="2"/>
  <c r="A5713" i="2"/>
  <c r="A5644" i="2"/>
  <c r="A5594" i="2"/>
  <c r="A5581" i="2"/>
  <c r="A5529" i="2"/>
  <c r="A5519" i="2"/>
  <c r="A5509" i="2"/>
  <c r="A5499" i="2"/>
  <c r="A5482" i="2"/>
  <c r="A5450" i="2"/>
  <c r="A5421" i="2"/>
  <c r="A5414" i="2"/>
  <c r="A5386" i="2"/>
  <c r="A5357" i="2"/>
  <c r="A5350" i="2"/>
  <c r="A5322" i="2"/>
  <c r="A5309" i="2"/>
  <c r="A5298" i="2"/>
  <c r="A5282" i="2"/>
  <c r="A5266" i="2"/>
  <c r="A5250" i="2"/>
  <c r="A5234" i="2"/>
  <c r="A5218" i="2"/>
  <c r="A5202" i="2"/>
  <c r="A5186" i="2"/>
  <c r="A5170" i="2"/>
  <c r="A5154" i="2"/>
  <c r="A5138" i="2"/>
  <c r="A5122" i="2"/>
  <c r="A5106" i="2"/>
  <c r="A5090" i="2"/>
  <c r="A5074" i="2"/>
  <c r="A5058" i="2"/>
  <c r="A5042" i="2"/>
  <c r="A5026" i="2"/>
  <c r="A5010" i="2"/>
  <c r="A4994" i="2"/>
  <c r="A4978" i="2"/>
  <c r="A4962" i="2"/>
  <c r="A4946" i="2"/>
  <c r="A4930" i="2"/>
  <c r="A4914" i="2"/>
  <c r="A4898" i="2"/>
  <c r="A4882" i="2"/>
  <c r="A4866" i="2"/>
  <c r="A4850" i="2"/>
  <c r="A4834" i="2"/>
  <c r="A4818" i="2"/>
  <c r="A4802" i="2"/>
  <c r="A4786" i="2"/>
  <c r="A4770" i="2"/>
  <c r="A4754" i="2"/>
  <c r="A4738" i="2"/>
  <c r="A5805" i="2"/>
  <c r="A5662" i="2"/>
  <c r="A5465" i="2"/>
  <c r="A5435" i="2"/>
  <c r="A5407" i="2"/>
  <c r="A5399" i="2"/>
  <c r="A5371" i="2"/>
  <c r="A5343" i="2"/>
  <c r="A5335" i="2"/>
  <c r="A5303" i="2"/>
  <c r="A5287" i="2"/>
  <c r="A5271" i="2"/>
  <c r="A5255" i="2"/>
  <c r="A5239" i="2"/>
  <c r="A5223" i="2"/>
  <c r="A5207" i="2"/>
  <c r="A5191" i="2"/>
  <c r="A5175" i="2"/>
  <c r="A5159" i="2"/>
  <c r="A5143" i="2"/>
  <c r="A5127" i="2"/>
  <c r="A5111" i="2"/>
  <c r="A5095" i="2"/>
  <c r="A5079" i="2"/>
  <c r="A5063" i="2"/>
  <c r="A5047" i="2"/>
  <c r="A5031" i="2"/>
  <c r="A5015" i="2"/>
  <c r="A4999" i="2"/>
  <c r="A4983" i="2"/>
  <c r="A4967" i="2"/>
  <c r="A4951" i="2"/>
  <c r="A4935" i="2"/>
  <c r="A4919" i="2"/>
  <c r="A4903" i="2"/>
  <c r="A4887" i="2"/>
  <c r="A4871" i="2"/>
  <c r="A6418" i="2"/>
  <c r="A6017" i="2"/>
  <c r="A5876" i="2"/>
  <c r="A5841" i="2"/>
  <c r="A5799" i="2"/>
  <c r="A5763" i="2"/>
  <c r="A5735" i="2"/>
  <c r="A5639" i="2"/>
  <c r="A5622" i="2"/>
  <c r="A5567" i="2"/>
  <c r="A5556" i="2"/>
  <c r="A5546" i="2"/>
  <c r="A5536" i="2"/>
  <c r="A5526" i="2"/>
  <c r="A5472" i="2"/>
  <c r="A5456" i="2"/>
  <c r="A5428" i="2"/>
  <c r="A5420" i="2"/>
  <c r="A5392" i="2"/>
  <c r="A5364" i="2"/>
  <c r="A5356" i="2"/>
  <c r="A5328" i="2"/>
  <c r="A5292" i="2"/>
  <c r="A5276" i="2"/>
  <c r="A5260" i="2"/>
  <c r="A5244" i="2"/>
  <c r="A5228" i="2"/>
  <c r="A5212" i="2"/>
  <c r="A5196" i="2"/>
  <c r="A5180" i="2"/>
  <c r="A5164" i="2"/>
  <c r="A5148" i="2"/>
  <c r="A5132" i="2"/>
  <c r="A5116" i="2"/>
  <c r="A5100" i="2"/>
  <c r="A5084" i="2"/>
  <c r="A5068" i="2"/>
  <c r="A5052" i="2"/>
  <c r="A5036" i="2"/>
  <c r="A5020" i="2"/>
  <c r="A5004" i="2"/>
  <c r="A4988" i="2"/>
  <c r="A4972" i="2"/>
  <c r="A4956" i="2"/>
  <c r="A4940" i="2"/>
  <c r="A6002" i="2"/>
  <c r="A5835" i="2"/>
  <c r="A5707" i="2"/>
  <c r="A5684" i="2"/>
  <c r="A5605" i="2"/>
  <c r="A5593" i="2"/>
  <c r="A5578" i="2"/>
  <c r="A5517" i="2"/>
  <c r="A5508" i="2"/>
  <c r="A5498" i="2"/>
  <c r="A5481" i="2"/>
  <c r="A5449" i="2"/>
  <c r="A5441" i="2"/>
  <c r="A5413" i="2"/>
  <c r="A5385" i="2"/>
  <c r="A5377" i="2"/>
  <c r="A5349" i="2"/>
  <c r="A5321" i="2"/>
  <c r="A5314" i="2"/>
  <c r="A5308" i="2"/>
  <c r="A5297" i="2"/>
  <c r="A5281" i="2"/>
  <c r="A5265" i="2"/>
  <c r="A5249" i="2"/>
  <c r="A5233" i="2"/>
  <c r="A5217" i="2"/>
  <c r="A5201" i="2"/>
  <c r="A5185" i="2"/>
  <c r="A5169" i="2"/>
  <c r="A5153" i="2"/>
  <c r="A5137" i="2"/>
  <c r="A5121" i="2"/>
  <c r="A5105" i="2"/>
  <c r="A5089" i="2"/>
  <c r="A5073" i="2"/>
  <c r="A5057" i="2"/>
  <c r="A5041" i="2"/>
  <c r="A5025" i="2"/>
  <c r="A5009" i="2"/>
  <c r="A4993" i="2"/>
  <c r="A4977" i="2"/>
  <c r="A4961" i="2"/>
  <c r="A4945" i="2"/>
  <c r="A4929" i="2"/>
  <c r="A6367" i="2"/>
  <c r="A6129" i="2"/>
  <c r="A5661" i="2"/>
  <c r="A5621" i="2"/>
  <c r="A5488" i="2"/>
  <c r="A5462" i="2"/>
  <c r="A5434" i="2"/>
  <c r="A5405" i="2"/>
  <c r="A5398" i="2"/>
  <c r="A5370" i="2"/>
  <c r="A5341" i="2"/>
  <c r="A5334" i="2"/>
  <c r="A5302" i="2"/>
  <c r="A5286" i="2"/>
  <c r="A5270" i="2"/>
  <c r="A5254" i="2"/>
  <c r="A5238" i="2"/>
  <c r="A5222" i="2"/>
  <c r="A5206" i="2"/>
  <c r="A5190" i="2"/>
  <c r="A5174" i="2"/>
  <c r="A5158" i="2"/>
  <c r="A5142" i="2"/>
  <c r="A5126" i="2"/>
  <c r="A5110" i="2"/>
  <c r="A5094" i="2"/>
  <c r="A5078" i="2"/>
  <c r="A5062" i="2"/>
  <c r="A5046" i="2"/>
  <c r="A5030" i="2"/>
  <c r="A5014" i="2"/>
  <c r="A4998" i="2"/>
  <c r="A4982" i="2"/>
  <c r="A4966" i="2"/>
  <c r="A5833" i="2"/>
  <c r="A5702" i="2"/>
  <c r="A5679" i="2"/>
  <c r="A5589" i="2"/>
  <c r="A5565" i="2"/>
  <c r="A5545" i="2"/>
  <c r="A5535" i="2"/>
  <c r="A5525" i="2"/>
  <c r="A5515" i="2"/>
  <c r="A5471" i="2"/>
  <c r="A5455" i="2"/>
  <c r="A5447" i="2"/>
  <c r="A5419" i="2"/>
  <c r="A5391" i="2"/>
  <c r="A5383" i="2"/>
  <c r="A5355" i="2"/>
  <c r="A5327" i="2"/>
  <c r="A5291" i="2"/>
  <c r="A5275" i="2"/>
  <c r="A5259" i="2"/>
  <c r="A5243" i="2"/>
  <c r="A5227" i="2"/>
  <c r="A5211" i="2"/>
  <c r="A5195" i="2"/>
  <c r="A5179" i="2"/>
  <c r="A5163" i="2"/>
  <c r="A5147" i="2"/>
  <c r="A5131" i="2"/>
  <c r="A5115" i="2"/>
  <c r="A5099" i="2"/>
  <c r="A5083" i="2"/>
  <c r="A5067" i="2"/>
  <c r="A5051" i="2"/>
  <c r="A5035" i="2"/>
  <c r="A5019" i="2"/>
  <c r="A5003" i="2"/>
  <c r="A4987" i="2"/>
  <c r="A4971" i="2"/>
  <c r="A6332" i="2"/>
  <c r="A5990" i="2"/>
  <c r="A5869" i="2"/>
  <c r="A5827" i="2"/>
  <c r="A5656" i="2"/>
  <c r="A5617" i="2"/>
  <c r="A5604" i="2"/>
  <c r="A5577" i="2"/>
  <c r="A5497" i="2"/>
  <c r="A5478" i="2"/>
  <c r="A5440" i="2"/>
  <c r="A5412" i="2"/>
  <c r="A5404" i="2"/>
  <c r="A5376" i="2"/>
  <c r="A5348" i="2"/>
  <c r="A5340" i="2"/>
  <c r="A5319" i="2"/>
  <c r="A5313" i="2"/>
  <c r="A5307" i="2"/>
  <c r="A5296" i="2"/>
  <c r="A5280" i="2"/>
  <c r="A5264" i="2"/>
  <c r="A5248" i="2"/>
  <c r="A5232" i="2"/>
  <c r="A5216" i="2"/>
  <c r="A5200" i="2"/>
  <c r="A5184" i="2"/>
  <c r="A5168" i="2"/>
  <c r="A5152" i="2"/>
  <c r="A5136" i="2"/>
  <c r="A5120" i="2"/>
  <c r="A5104" i="2"/>
  <c r="A5088" i="2"/>
  <c r="A5072" i="2"/>
  <c r="A5056" i="2"/>
  <c r="A5040" i="2"/>
  <c r="A5024" i="2"/>
  <c r="A5008" i="2"/>
  <c r="A4992" i="2"/>
  <c r="A4976" i="2"/>
  <c r="A5912" i="2"/>
  <c r="A5863" i="2"/>
  <c r="A5756" i="2"/>
  <c r="A5701" i="2"/>
  <c r="A5633" i="2"/>
  <c r="A5552" i="2"/>
  <c r="A5542" i="2"/>
  <c r="A5487" i="2"/>
  <c r="A5461" i="2"/>
  <c r="A5433" i="2"/>
  <c r="A5425" i="2"/>
  <c r="A5397" i="2"/>
  <c r="A5369" i="2"/>
  <c r="A5361" i="2"/>
  <c r="A5333" i="2"/>
  <c r="A5301" i="2"/>
  <c r="A5285" i="2"/>
  <c r="A5269" i="2"/>
  <c r="A5253" i="2"/>
  <c r="A5237" i="2"/>
  <c r="A5221" i="2"/>
  <c r="A5205" i="2"/>
  <c r="A5189" i="2"/>
  <c r="A5173" i="2"/>
  <c r="A5157" i="2"/>
  <c r="A5141" i="2"/>
  <c r="A5125" i="2"/>
  <c r="A5109" i="2"/>
  <c r="A5093" i="2"/>
  <c r="A5077" i="2"/>
  <c r="A5061" i="2"/>
  <c r="A5045" i="2"/>
  <c r="A5029" i="2"/>
  <c r="A5013" i="2"/>
  <c r="A4997" i="2"/>
  <c r="A6296" i="2"/>
  <c r="A6092" i="2"/>
  <c r="A5678" i="2"/>
  <c r="A5600" i="2"/>
  <c r="A5588" i="2"/>
  <c r="A5562" i="2"/>
  <c r="A5533" i="2"/>
  <c r="A5524" i="2"/>
  <c r="A5514" i="2"/>
  <c r="A5504" i="2"/>
  <c r="A5494" i="2"/>
  <c r="A5469" i="2"/>
  <c r="A5453" i="2"/>
  <c r="A5446" i="2"/>
  <c r="A5418" i="2"/>
  <c r="A6076" i="2"/>
  <c r="A5784" i="2"/>
  <c r="A5750" i="2"/>
  <c r="A5573" i="2"/>
  <c r="A5477" i="2"/>
  <c r="A5468" i="2"/>
  <c r="A5439" i="2"/>
  <c r="A5431" i="2"/>
  <c r="A5403" i="2"/>
  <c r="A5375" i="2"/>
  <c r="A5367" i="2"/>
  <c r="A5339" i="2"/>
  <c r="A5318" i="2"/>
  <c r="A5312" i="2"/>
  <c r="A5306" i="2"/>
  <c r="A5295" i="2"/>
  <c r="A5279" i="2"/>
  <c r="A5263" i="2"/>
  <c r="A5247" i="2"/>
  <c r="A6268" i="2"/>
  <c r="A6239" i="2"/>
  <c r="A6060" i="2"/>
  <c r="A5960" i="2"/>
  <c r="A5748" i="2"/>
  <c r="A5720" i="2"/>
  <c r="A5650" i="2"/>
  <c r="A5628" i="2"/>
  <c r="A5615" i="2"/>
  <c r="A5599" i="2"/>
  <c r="A5561" i="2"/>
  <c r="A5513" i="2"/>
  <c r="A5503" i="2"/>
  <c r="A5493" i="2"/>
  <c r="A5484" i="2"/>
  <c r="A5467" i="2"/>
  <c r="A5445" i="2"/>
  <c r="A5417" i="2"/>
  <c r="A5409" i="2"/>
  <c r="A5381" i="2"/>
  <c r="A5353" i="2"/>
  <c r="A5345" i="2"/>
  <c r="A5289" i="2"/>
  <c r="A5273" i="2"/>
  <c r="A5257" i="2"/>
  <c r="A5241" i="2"/>
  <c r="A5225" i="2"/>
  <c r="A5209" i="2"/>
  <c r="A5193" i="2"/>
  <c r="A5177" i="2"/>
  <c r="A5161" i="2"/>
  <c r="A5145" i="2"/>
  <c r="A5129" i="2"/>
  <c r="A5695" i="2"/>
  <c r="A5338" i="2"/>
  <c r="A5246" i="2"/>
  <c r="A5178" i="2"/>
  <c r="A5118" i="2"/>
  <c r="A5098" i="2"/>
  <c r="A5049" i="2"/>
  <c r="A4955" i="2"/>
  <c r="A4896" i="2"/>
  <c r="A4889" i="2"/>
  <c r="A4865" i="2"/>
  <c r="A4837" i="2"/>
  <c r="A4809" i="2"/>
  <c r="A4801" i="2"/>
  <c r="A4773" i="2"/>
  <c r="A4745" i="2"/>
  <c r="A4737" i="2"/>
  <c r="A4725" i="2"/>
  <c r="A4709" i="2"/>
  <c r="A4693" i="2"/>
  <c r="A4677" i="2"/>
  <c r="A4661" i="2"/>
  <c r="A4645" i="2"/>
  <c r="A4629" i="2"/>
  <c r="A4613" i="2"/>
  <c r="A4597" i="2"/>
  <c r="A4581" i="2"/>
  <c r="A4565" i="2"/>
  <c r="A4549" i="2"/>
  <c r="A4533" i="2"/>
  <c r="A4517" i="2"/>
  <c r="A4501" i="2"/>
  <c r="A4485" i="2"/>
  <c r="A4469" i="2"/>
  <c r="A4453" i="2"/>
  <c r="A4437" i="2"/>
  <c r="A4421" i="2"/>
  <c r="A4405" i="2"/>
  <c r="A4389" i="2"/>
  <c r="A4373" i="2"/>
  <c r="A4357" i="2"/>
  <c r="A4341" i="2"/>
  <c r="A4325" i="2"/>
  <c r="A4309" i="2"/>
  <c r="A4293" i="2"/>
  <c r="A4277" i="2"/>
  <c r="A4261" i="2"/>
  <c r="A5673" i="2"/>
  <c r="A5551" i="2"/>
  <c r="A5373" i="2"/>
  <c r="A5300" i="2"/>
  <c r="A5242" i="2"/>
  <c r="A5199" i="2"/>
  <c r="A5135" i="2"/>
  <c r="A5114" i="2"/>
  <c r="A5065" i="2"/>
  <c r="A4996" i="2"/>
  <c r="A4965" i="2"/>
  <c r="A4937" i="2"/>
  <c r="A4927" i="2"/>
  <c r="A4880" i="2"/>
  <c r="A4873" i="2"/>
  <c r="A4858" i="2"/>
  <c r="A4830" i="2"/>
  <c r="A4822" i="2"/>
  <c r="A4794" i="2"/>
  <c r="A4766" i="2"/>
  <c r="A4758" i="2"/>
  <c r="A4730" i="2"/>
  <c r="A4714" i="2"/>
  <c r="A4698" i="2"/>
  <c r="A4682" i="2"/>
  <c r="A4666" i="2"/>
  <c r="A4650" i="2"/>
  <c r="A4634" i="2"/>
  <c r="A4618" i="2"/>
  <c r="A4602" i="2"/>
  <c r="A4586" i="2"/>
  <c r="A4570" i="2"/>
  <c r="A4554" i="2"/>
  <c r="A4538" i="2"/>
  <c r="A4522" i="2"/>
  <c r="A4506" i="2"/>
  <c r="A4490" i="2"/>
  <c r="A4474" i="2"/>
  <c r="A4458" i="2"/>
  <c r="A4442" i="2"/>
  <c r="A4426" i="2"/>
  <c r="A4410" i="2"/>
  <c r="A4394" i="2"/>
  <c r="A4378" i="2"/>
  <c r="A4362" i="2"/>
  <c r="A4346" i="2"/>
  <c r="A4330" i="2"/>
  <c r="A4314" i="2"/>
  <c r="A4298" i="2"/>
  <c r="A4282" i="2"/>
  <c r="A4266" i="2"/>
  <c r="A4250" i="2"/>
  <c r="A4234" i="2"/>
  <c r="A4218" i="2"/>
  <c r="A4202" i="2"/>
  <c r="A4186" i="2"/>
  <c r="A4170" i="2"/>
  <c r="A4154" i="2"/>
  <c r="A4138" i="2"/>
  <c r="A4122" i="2"/>
  <c r="A5476" i="2"/>
  <c r="A5332" i="2"/>
  <c r="A5220" i="2"/>
  <c r="A5156" i="2"/>
  <c r="A5081" i="2"/>
  <c r="A5012" i="2"/>
  <c r="A4980" i="2"/>
  <c r="A4918" i="2"/>
  <c r="A4911" i="2"/>
  <c r="A4843" i="2"/>
  <c r="A4815" i="2"/>
  <c r="A4807" i="2"/>
  <c r="A4779" i="2"/>
  <c r="A4751" i="2"/>
  <c r="A4743" i="2"/>
  <c r="A4719" i="2"/>
  <c r="A4703" i="2"/>
  <c r="A4687" i="2"/>
  <c r="A4671" i="2"/>
  <c r="A4655" i="2"/>
  <c r="A4639" i="2"/>
  <c r="A4623" i="2"/>
  <c r="A4607" i="2"/>
  <c r="A4591" i="2"/>
  <c r="A4575" i="2"/>
  <c r="A4559" i="2"/>
  <c r="A4543" i="2"/>
  <c r="A4527" i="2"/>
  <c r="A4511" i="2"/>
  <c r="A4495" i="2"/>
  <c r="A4479" i="2"/>
  <c r="A4463" i="2"/>
  <c r="A4447" i="2"/>
  <c r="A4431" i="2"/>
  <c r="A4415" i="2"/>
  <c r="A4399" i="2"/>
  <c r="A4383" i="2"/>
  <c r="A4367" i="2"/>
  <c r="A4351" i="2"/>
  <c r="A4335" i="2"/>
  <c r="A4319" i="2"/>
  <c r="A4303" i="2"/>
  <c r="A4287" i="2"/>
  <c r="A4271" i="2"/>
  <c r="A4255" i="2"/>
  <c r="A5905" i="2"/>
  <c r="A5541" i="2"/>
  <c r="A5268" i="2"/>
  <c r="A5198" i="2"/>
  <c r="A5134" i="2"/>
  <c r="A5097" i="2"/>
  <c r="A5028" i="2"/>
  <c r="A4954" i="2"/>
  <c r="A4944" i="2"/>
  <c r="A4934" i="2"/>
  <c r="A4902" i="2"/>
  <c r="A4895" i="2"/>
  <c r="A4864" i="2"/>
  <c r="A4836" i="2"/>
  <c r="A4828" i="2"/>
  <c r="A4800" i="2"/>
  <c r="A4772" i="2"/>
  <c r="A4764" i="2"/>
  <c r="A4736" i="2"/>
  <c r="A4724" i="2"/>
  <c r="A4708" i="2"/>
  <c r="A4692" i="2"/>
  <c r="A4676" i="2"/>
  <c r="A4660" i="2"/>
  <c r="A4644" i="2"/>
  <c r="A4628" i="2"/>
  <c r="A4612" i="2"/>
  <c r="A4596" i="2"/>
  <c r="A4580" i="2"/>
  <c r="A4564" i="2"/>
  <c r="A4548" i="2"/>
  <c r="A4532" i="2"/>
  <c r="A4516" i="2"/>
  <c r="A4500" i="2"/>
  <c r="A4484" i="2"/>
  <c r="A4468" i="2"/>
  <c r="A4452" i="2"/>
  <c r="A4436" i="2"/>
  <c r="A4420" i="2"/>
  <c r="A4404" i="2"/>
  <c r="A4388" i="2"/>
  <c r="A4372" i="2"/>
  <c r="A4356" i="2"/>
  <c r="A4340" i="2"/>
  <c r="A4324" i="2"/>
  <c r="A4308" i="2"/>
  <c r="A4292" i="2"/>
  <c r="A4276" i="2"/>
  <c r="A4260" i="2"/>
  <c r="A5897" i="2"/>
  <c r="A5366" i="2"/>
  <c r="A5325" i="2"/>
  <c r="A5194" i="2"/>
  <c r="A5130" i="2"/>
  <c r="A5113" i="2"/>
  <c r="A5044" i="2"/>
  <c r="A4964" i="2"/>
  <c r="A4926" i="2"/>
  <c r="A4886" i="2"/>
  <c r="A4879" i="2"/>
  <c r="A4857" i="2"/>
  <c r="A4849" i="2"/>
  <c r="A4821" i="2"/>
  <c r="A4793" i="2"/>
  <c r="A4785" i="2"/>
  <c r="A4757" i="2"/>
  <c r="A4729" i="2"/>
  <c r="A4713" i="2"/>
  <c r="A4697" i="2"/>
  <c r="A4681" i="2"/>
  <c r="A4665" i="2"/>
  <c r="A4649" i="2"/>
  <c r="A4633" i="2"/>
  <c r="A4617" i="2"/>
  <c r="A4601" i="2"/>
  <c r="A4585" i="2"/>
  <c r="A4569" i="2"/>
  <c r="A4553" i="2"/>
  <c r="A4537" i="2"/>
  <c r="A4521" i="2"/>
  <c r="A4505" i="2"/>
  <c r="A4489" i="2"/>
  <c r="A4473" i="2"/>
  <c r="A4457" i="2"/>
  <c r="A4441" i="2"/>
  <c r="A4425" i="2"/>
  <c r="A4409" i="2"/>
  <c r="A4393" i="2"/>
  <c r="A4377" i="2"/>
  <c r="A4361" i="2"/>
  <c r="A4345" i="2"/>
  <c r="A4329" i="2"/>
  <c r="A4313" i="2"/>
  <c r="A4297" i="2"/>
  <c r="A4281" i="2"/>
  <c r="A4265" i="2"/>
  <c r="A5531" i="2"/>
  <c r="A5460" i="2"/>
  <c r="A5324" i="2"/>
  <c r="A5294" i="2"/>
  <c r="A5215" i="2"/>
  <c r="A5151" i="2"/>
  <c r="A5060" i="2"/>
  <c r="A4991" i="2"/>
  <c r="A4924" i="2"/>
  <c r="A4917" i="2"/>
  <c r="A4910" i="2"/>
  <c r="A4870" i="2"/>
  <c r="A4842" i="2"/>
  <c r="A4814" i="2"/>
  <c r="A4806" i="2"/>
  <c r="A4778" i="2"/>
  <c r="A4750" i="2"/>
  <c r="A4742" i="2"/>
  <c r="A4718" i="2"/>
  <c r="A4702" i="2"/>
  <c r="A4686" i="2"/>
  <c r="A4670" i="2"/>
  <c r="A4654" i="2"/>
  <c r="A4638" i="2"/>
  <c r="A4622" i="2"/>
  <c r="A4606" i="2"/>
  <c r="A4590" i="2"/>
  <c r="A4574" i="2"/>
  <c r="A4558" i="2"/>
  <c r="A4542" i="2"/>
  <c r="A4526" i="2"/>
  <c r="A4510" i="2"/>
  <c r="A4494" i="2"/>
  <c r="A4478" i="2"/>
  <c r="A4462" i="2"/>
  <c r="A4446" i="2"/>
  <c r="A5402" i="2"/>
  <c r="A5360" i="2"/>
  <c r="A5290" i="2"/>
  <c r="A5236" i="2"/>
  <c r="A5172" i="2"/>
  <c r="A5076" i="2"/>
  <c r="A5007" i="2"/>
  <c r="A4953" i="2"/>
  <c r="A4943" i="2"/>
  <c r="A4933" i="2"/>
  <c r="A4908" i="2"/>
  <c r="A4901" i="2"/>
  <c r="A4894" i="2"/>
  <c r="A4863" i="2"/>
  <c r="A4855" i="2"/>
  <c r="A4827" i="2"/>
  <c r="A4799" i="2"/>
  <c r="A4791" i="2"/>
  <c r="A4763" i="2"/>
  <c r="A4735" i="2"/>
  <c r="A4723" i="2"/>
  <c r="A4707" i="2"/>
  <c r="A4691" i="2"/>
  <c r="A4675" i="2"/>
  <c r="A4659" i="2"/>
  <c r="A4643" i="2"/>
  <c r="A4627" i="2"/>
  <c r="A4611" i="2"/>
  <c r="A4595" i="2"/>
  <c r="A4579" i="2"/>
  <c r="A4563" i="2"/>
  <c r="A4547" i="2"/>
  <c r="A4531" i="2"/>
  <c r="A4515" i="2"/>
  <c r="A4499" i="2"/>
  <c r="A4483" i="2"/>
  <c r="A4467" i="2"/>
  <c r="A4451" i="2"/>
  <c r="A5820" i="2"/>
  <c r="A5452" i="2"/>
  <c r="A5396" i="2"/>
  <c r="A5262" i="2"/>
  <c r="A5214" i="2"/>
  <c r="A5150" i="2"/>
  <c r="A5092" i="2"/>
  <c r="A5023" i="2"/>
  <c r="A4975" i="2"/>
  <c r="A4892" i="2"/>
  <c r="A4885" i="2"/>
  <c r="A4878" i="2"/>
  <c r="A4848" i="2"/>
  <c r="A4820" i="2"/>
  <c r="A4812" i="2"/>
  <c r="A4784" i="2"/>
  <c r="A4756" i="2"/>
  <c r="A4748" i="2"/>
  <c r="A4728" i="2"/>
  <c r="A4712" i="2"/>
  <c r="A4696" i="2"/>
  <c r="A4680" i="2"/>
  <c r="A4664" i="2"/>
  <c r="A4648" i="2"/>
  <c r="A4632" i="2"/>
  <c r="A4616" i="2"/>
  <c r="A4600" i="2"/>
  <c r="A4584" i="2"/>
  <c r="A4568" i="2"/>
  <c r="A4552" i="2"/>
  <c r="A4536" i="2"/>
  <c r="A4520" i="2"/>
  <c r="A4504" i="2"/>
  <c r="A4488" i="2"/>
  <c r="A4472" i="2"/>
  <c r="A4456" i="2"/>
  <c r="A5354" i="2"/>
  <c r="A5258" i="2"/>
  <c r="A5210" i="2"/>
  <c r="A5146" i="2"/>
  <c r="A5108" i="2"/>
  <c r="A5039" i="2"/>
  <c r="A4990" i="2"/>
  <c r="A4960" i="2"/>
  <c r="A4950" i="2"/>
  <c r="A4923" i="2"/>
  <c r="A4916" i="2"/>
  <c r="A4876" i="2"/>
  <c r="A4869" i="2"/>
  <c r="A4841" i="2"/>
  <c r="A4833" i="2"/>
  <c r="A4805" i="2"/>
  <c r="A4777" i="2"/>
  <c r="A4769" i="2"/>
  <c r="A4741" i="2"/>
  <c r="A4717" i="2"/>
  <c r="A4701" i="2"/>
  <c r="A4685" i="2"/>
  <c r="A4669" i="2"/>
  <c r="A4653" i="2"/>
  <c r="A4637" i="2"/>
  <c r="A4621" i="2"/>
  <c r="A4605" i="2"/>
  <c r="A4589" i="2"/>
  <c r="A4573" i="2"/>
  <c r="A4557" i="2"/>
  <c r="A4541" i="2"/>
  <c r="A4525" i="2"/>
  <c r="A4509" i="2"/>
  <c r="A4493" i="2"/>
  <c r="A4477" i="2"/>
  <c r="A4461" i="2"/>
  <c r="A4445" i="2"/>
  <c r="A5389" i="2"/>
  <c r="A5317" i="2"/>
  <c r="A5231" i="2"/>
  <c r="A5167" i="2"/>
  <c r="A5055" i="2"/>
  <c r="A5006" i="2"/>
  <c r="A4942" i="2"/>
  <c r="A4932" i="2"/>
  <c r="A4907" i="2"/>
  <c r="A4900" i="2"/>
  <c r="A4862" i="2"/>
  <c r="A4854" i="2"/>
  <c r="A4826" i="2"/>
  <c r="A4798" i="2"/>
  <c r="A4790" i="2"/>
  <c r="A4762" i="2"/>
  <c r="A4734" i="2"/>
  <c r="A4722" i="2"/>
  <c r="A4706" i="2"/>
  <c r="A4690" i="2"/>
  <c r="A4674" i="2"/>
  <c r="A4658" i="2"/>
  <c r="A4642" i="2"/>
  <c r="A4626" i="2"/>
  <c r="A4610" i="2"/>
  <c r="A4594" i="2"/>
  <c r="A4578" i="2"/>
  <c r="A4562" i="2"/>
  <c r="A4546" i="2"/>
  <c r="A4530" i="2"/>
  <c r="A4514" i="2"/>
  <c r="A4498" i="2"/>
  <c r="A4482" i="2"/>
  <c r="A4466" i="2"/>
  <c r="A5388" i="2"/>
  <c r="A5284" i="2"/>
  <c r="A5188" i="2"/>
  <c r="A5124" i="2"/>
  <c r="A5071" i="2"/>
  <c r="A5022" i="2"/>
  <c r="A5002" i="2"/>
  <c r="A4986" i="2"/>
  <c r="A4974" i="2"/>
  <c r="A4891" i="2"/>
  <c r="A4884" i="2"/>
  <c r="A4847" i="2"/>
  <c r="A4839" i="2"/>
  <c r="A4811" i="2"/>
  <c r="A4783" i="2"/>
  <c r="A4775" i="2"/>
  <c r="A4747" i="2"/>
  <c r="A4727" i="2"/>
  <c r="A4711" i="2"/>
  <c r="A4695" i="2"/>
  <c r="A4679" i="2"/>
  <c r="A4663" i="2"/>
  <c r="A4647" i="2"/>
  <c r="A4631" i="2"/>
  <c r="A4615" i="2"/>
  <c r="A4599" i="2"/>
  <c r="A4583" i="2"/>
  <c r="A4567" i="2"/>
  <c r="A4551" i="2"/>
  <c r="A4535" i="2"/>
  <c r="A4519" i="2"/>
  <c r="A4503" i="2"/>
  <c r="A4487" i="2"/>
  <c r="A4471" i="2"/>
  <c r="A5584" i="2"/>
  <c r="A5230" i="2"/>
  <c r="A5166" i="2"/>
  <c r="A5087" i="2"/>
  <c r="A5038" i="2"/>
  <c r="A5018" i="2"/>
  <c r="A4959" i="2"/>
  <c r="A4949" i="2"/>
  <c r="A4939" i="2"/>
  <c r="A4922" i="2"/>
  <c r="A5572" i="2"/>
  <c r="A5430" i="2"/>
  <c r="A5278" i="2"/>
  <c r="A5204" i="2"/>
  <c r="A5140" i="2"/>
  <c r="A5086" i="2"/>
  <c r="A5066" i="2"/>
  <c r="A5017" i="2"/>
  <c r="A4958" i="2"/>
  <c r="A4948" i="2"/>
  <c r="A4938" i="2"/>
  <c r="A4928" i="2"/>
  <c r="A4921" i="2"/>
  <c r="A4881" i="2"/>
  <c r="A4874" i="2"/>
  <c r="A4859" i="2"/>
  <c r="A4831" i="2"/>
  <c r="A4823" i="2"/>
  <c r="A4795" i="2"/>
  <c r="A4767" i="2"/>
  <c r="A4759" i="2"/>
  <c r="A4731" i="2"/>
  <c r="A4715" i="2"/>
  <c r="A4699" i="2"/>
  <c r="A4683" i="2"/>
  <c r="A4667" i="2"/>
  <c r="A4651" i="2"/>
  <c r="A4635" i="2"/>
  <c r="A4619" i="2"/>
  <c r="A4603" i="2"/>
  <c r="A5001" i="2"/>
  <c r="A4721" i="2"/>
  <c r="A4657" i="2"/>
  <c r="A4593" i="2"/>
  <c r="A4544" i="2"/>
  <c r="A4524" i="2"/>
  <c r="A4475" i="2"/>
  <c r="A4413" i="2"/>
  <c r="A4406" i="2"/>
  <c r="A4366" i="2"/>
  <c r="A4359" i="2"/>
  <c r="A4352" i="2"/>
  <c r="A4312" i="2"/>
  <c r="A4305" i="2"/>
  <c r="A4258" i="2"/>
  <c r="A4240" i="2"/>
  <c r="A4217" i="2"/>
  <c r="A4200" i="2"/>
  <c r="A4183" i="2"/>
  <c r="A4166" i="2"/>
  <c r="A4149" i="2"/>
  <c r="A4143" i="2"/>
  <c r="A4126" i="2"/>
  <c r="A4115" i="2"/>
  <c r="A4099" i="2"/>
  <c r="A4083" i="2"/>
  <c r="A4067" i="2"/>
  <c r="A4051" i="2"/>
  <c r="A4035" i="2"/>
  <c r="A4019" i="2"/>
  <c r="A4003" i="2"/>
  <c r="A3987" i="2"/>
  <c r="A3971" i="2"/>
  <c r="A3955" i="2"/>
  <c r="A3939" i="2"/>
  <c r="A3923" i="2"/>
  <c r="A3907" i="2"/>
  <c r="A3891" i="2"/>
  <c r="A3875" i="2"/>
  <c r="A3859" i="2"/>
  <c r="A3843" i="2"/>
  <c r="A3827" i="2"/>
  <c r="A3811" i="2"/>
  <c r="A3795" i="2"/>
  <c r="A3779" i="2"/>
  <c r="A3763" i="2"/>
  <c r="A3747" i="2"/>
  <c r="A3731" i="2"/>
  <c r="A3715" i="2"/>
  <c r="A3699" i="2"/>
  <c r="A3683" i="2"/>
  <c r="A3667" i="2"/>
  <c r="A3651" i="2"/>
  <c r="A3635" i="2"/>
  <c r="A3619" i="2"/>
  <c r="A3603" i="2"/>
  <c r="A3587" i="2"/>
  <c r="A3571" i="2"/>
  <c r="A3555" i="2"/>
  <c r="A3539" i="2"/>
  <c r="A3523" i="2"/>
  <c r="A3507" i="2"/>
  <c r="A3491" i="2"/>
  <c r="A4890" i="2"/>
  <c r="A4774" i="2"/>
  <c r="A4746" i="2"/>
  <c r="A4678" i="2"/>
  <c r="A4614" i="2"/>
  <c r="A4560" i="2"/>
  <c r="A4540" i="2"/>
  <c r="A4491" i="2"/>
  <c r="A4459" i="2"/>
  <c r="A4397" i="2"/>
  <c r="A4390" i="2"/>
  <c r="A4350" i="2"/>
  <c r="A4343" i="2"/>
  <c r="A4336" i="2"/>
  <c r="A4296" i="2"/>
  <c r="A4289" i="2"/>
  <c r="A4251" i="2"/>
  <c r="A4228" i="2"/>
  <c r="A4211" i="2"/>
  <c r="A4194" i="2"/>
  <c r="A4177" i="2"/>
  <c r="A4160" i="2"/>
  <c r="A4137" i="2"/>
  <c r="A4120" i="2"/>
  <c r="A4104" i="2"/>
  <c r="A4088" i="2"/>
  <c r="A4072" i="2"/>
  <c r="A4056" i="2"/>
  <c r="A4040" i="2"/>
  <c r="A4024" i="2"/>
  <c r="A4008" i="2"/>
  <c r="A3992" i="2"/>
  <c r="A3976" i="2"/>
  <c r="A3960" i="2"/>
  <c r="A3944" i="2"/>
  <c r="A3928" i="2"/>
  <c r="A3912" i="2"/>
  <c r="A3896" i="2"/>
  <c r="A3880" i="2"/>
  <c r="A3864" i="2"/>
  <c r="A3848" i="2"/>
  <c r="A3832" i="2"/>
  <c r="A3816" i="2"/>
  <c r="A3800" i="2"/>
  <c r="A3784" i="2"/>
  <c r="A3768" i="2"/>
  <c r="A3752" i="2"/>
  <c r="A3736" i="2"/>
  <c r="A3720" i="2"/>
  <c r="A3704" i="2"/>
  <c r="A3688" i="2"/>
  <c r="A3672" i="2"/>
  <c r="A3656" i="2"/>
  <c r="A3640" i="2"/>
  <c r="A3624" i="2"/>
  <c r="A5311" i="2"/>
  <c r="A5183" i="2"/>
  <c r="A5082" i="2"/>
  <c r="A4720" i="2"/>
  <c r="A4656" i="2"/>
  <c r="A4576" i="2"/>
  <c r="A4556" i="2"/>
  <c r="A4507" i="2"/>
  <c r="A4444" i="2"/>
  <c r="A4435" i="2"/>
  <c r="A4428" i="2"/>
  <c r="A4381" i="2"/>
  <c r="A4374" i="2"/>
  <c r="A4334" i="2"/>
  <c r="A4327" i="2"/>
  <c r="A4320" i="2"/>
  <c r="A4280" i="2"/>
  <c r="A4273" i="2"/>
  <c r="A4245" i="2"/>
  <c r="A4239" i="2"/>
  <c r="A4222" i="2"/>
  <c r="A4205" i="2"/>
  <c r="A4188" i="2"/>
  <c r="A4171" i="2"/>
  <c r="A4148" i="2"/>
  <c r="A4131" i="2"/>
  <c r="A4109" i="2"/>
  <c r="A4093" i="2"/>
  <c r="A4077" i="2"/>
  <c r="A4061" i="2"/>
  <c r="A4045" i="2"/>
  <c r="A4029" i="2"/>
  <c r="A4013" i="2"/>
  <c r="A3997" i="2"/>
  <c r="A3981" i="2"/>
  <c r="A3965" i="2"/>
  <c r="A3949" i="2"/>
  <c r="A3933" i="2"/>
  <c r="A3917" i="2"/>
  <c r="A3901" i="2"/>
  <c r="A3885" i="2"/>
  <c r="A3869" i="2"/>
  <c r="A3853" i="2"/>
  <c r="A3837" i="2"/>
  <c r="A3821" i="2"/>
  <c r="A3805" i="2"/>
  <c r="A3789" i="2"/>
  <c r="A3773" i="2"/>
  <c r="A3757" i="2"/>
  <c r="A3741" i="2"/>
  <c r="A3725" i="2"/>
  <c r="A3709" i="2"/>
  <c r="A3693" i="2"/>
  <c r="A3677" i="2"/>
  <c r="A3661" i="2"/>
  <c r="A3645" i="2"/>
  <c r="A3629" i="2"/>
  <c r="A5182" i="2"/>
  <c r="A4985" i="2"/>
  <c r="A4796" i="2"/>
  <c r="A4768" i="2"/>
  <c r="A4740" i="2"/>
  <c r="A4716" i="2"/>
  <c r="A4652" i="2"/>
  <c r="A4592" i="2"/>
  <c r="A4572" i="2"/>
  <c r="A4523" i="2"/>
  <c r="A4455" i="2"/>
  <c r="A4419" i="2"/>
  <c r="A4412" i="2"/>
  <c r="A4365" i="2"/>
  <c r="A4358" i="2"/>
  <c r="A4318" i="2"/>
  <c r="A4311" i="2"/>
  <c r="A4304" i="2"/>
  <c r="A4264" i="2"/>
  <c r="A4257" i="2"/>
  <c r="A4233" i="2"/>
  <c r="A4216" i="2"/>
  <c r="A4199" i="2"/>
  <c r="A4182" i="2"/>
  <c r="A4165" i="2"/>
  <c r="A4159" i="2"/>
  <c r="A4142" i="2"/>
  <c r="A4125" i="2"/>
  <c r="A4114" i="2"/>
  <c r="A4098" i="2"/>
  <c r="A4082" i="2"/>
  <c r="A4066" i="2"/>
  <c r="A4050" i="2"/>
  <c r="A4034" i="2"/>
  <c r="A4018" i="2"/>
  <c r="A4002" i="2"/>
  <c r="A3986" i="2"/>
  <c r="A3970" i="2"/>
  <c r="A3954" i="2"/>
  <c r="A3938" i="2"/>
  <c r="A3922" i="2"/>
  <c r="A3906" i="2"/>
  <c r="A3890" i="2"/>
  <c r="A3874" i="2"/>
  <c r="A3858" i="2"/>
  <c r="A3842" i="2"/>
  <c r="A3826" i="2"/>
  <c r="A3810" i="2"/>
  <c r="A3794" i="2"/>
  <c r="A3778" i="2"/>
  <c r="A3762" i="2"/>
  <c r="A3746" i="2"/>
  <c r="A3730" i="2"/>
  <c r="A3714" i="2"/>
  <c r="A3698" i="2"/>
  <c r="A3682" i="2"/>
  <c r="A3666" i="2"/>
  <c r="A3650" i="2"/>
  <c r="A3634" i="2"/>
  <c r="A5305" i="2"/>
  <c r="A5162" i="2"/>
  <c r="A5070" i="2"/>
  <c r="A4981" i="2"/>
  <c r="A4853" i="2"/>
  <c r="A4825" i="2"/>
  <c r="A4673" i="2"/>
  <c r="A4609" i="2"/>
  <c r="A4588" i="2"/>
  <c r="A4539" i="2"/>
  <c r="A4470" i="2"/>
  <c r="A4403" i="2"/>
  <c r="A4396" i="2"/>
  <c r="A4349" i="2"/>
  <c r="A4342" i="2"/>
  <c r="A4302" i="2"/>
  <c r="A4295" i="2"/>
  <c r="A4288" i="2"/>
  <c r="A4244" i="2"/>
  <c r="A4227" i="2"/>
  <c r="A4210" i="2"/>
  <c r="A4193" i="2"/>
  <c r="A4176" i="2"/>
  <c r="A4153" i="2"/>
  <c r="A4136" i="2"/>
  <c r="A4119" i="2"/>
  <c r="A4103" i="2"/>
  <c r="A4087" i="2"/>
  <c r="A4071" i="2"/>
  <c r="A4055" i="2"/>
  <c r="A4039" i="2"/>
  <c r="A4023" i="2"/>
  <c r="A4007" i="2"/>
  <c r="A3991" i="2"/>
  <c r="A3975" i="2"/>
  <c r="A3959" i="2"/>
  <c r="A3943" i="2"/>
  <c r="A3927" i="2"/>
  <c r="A3911" i="2"/>
  <c r="A3895" i="2"/>
  <c r="A3879" i="2"/>
  <c r="A3863" i="2"/>
  <c r="A3847" i="2"/>
  <c r="A3831" i="2"/>
  <c r="A3815" i="2"/>
  <c r="A3799" i="2"/>
  <c r="A3783" i="2"/>
  <c r="A3767" i="2"/>
  <c r="A3751" i="2"/>
  <c r="A3735" i="2"/>
  <c r="A3719" i="2"/>
  <c r="A3703" i="2"/>
  <c r="A3687" i="2"/>
  <c r="A3671" i="2"/>
  <c r="A3655" i="2"/>
  <c r="A3639" i="2"/>
  <c r="A3623" i="2"/>
  <c r="A4970" i="2"/>
  <c r="A4694" i="2"/>
  <c r="A4630" i="2"/>
  <c r="A4555" i="2"/>
  <c r="A4486" i="2"/>
  <c r="A4443" i="2"/>
  <c r="A4434" i="2"/>
  <c r="A4427" i="2"/>
  <c r="A4387" i="2"/>
  <c r="A4380" i="2"/>
  <c r="A4333" i="2"/>
  <c r="A4326" i="2"/>
  <c r="A4286" i="2"/>
  <c r="A4279" i="2"/>
  <c r="A4272" i="2"/>
  <c r="A4238" i="2"/>
  <c r="A4221" i="2"/>
  <c r="A4204" i="2"/>
  <c r="A4187" i="2"/>
  <c r="A4164" i="2"/>
  <c r="A4147" i="2"/>
  <c r="A4130" i="2"/>
  <c r="A4108" i="2"/>
  <c r="A4092" i="2"/>
  <c r="A4076" i="2"/>
  <c r="A4060" i="2"/>
  <c r="A4044" i="2"/>
  <c r="A4028" i="2"/>
  <c r="A4012" i="2"/>
  <c r="A3996" i="2"/>
  <c r="A3980" i="2"/>
  <c r="A3964" i="2"/>
  <c r="A3948" i="2"/>
  <c r="A3932" i="2"/>
  <c r="A3916" i="2"/>
  <c r="A3900" i="2"/>
  <c r="A3884" i="2"/>
  <c r="A3868" i="2"/>
  <c r="A3852" i="2"/>
  <c r="A3836" i="2"/>
  <c r="A3820" i="2"/>
  <c r="A3804" i="2"/>
  <c r="A3788" i="2"/>
  <c r="A5054" i="2"/>
  <c r="A4852" i="2"/>
  <c r="A4672" i="2"/>
  <c r="A4608" i="2"/>
  <c r="A4571" i="2"/>
  <c r="A4502" i="2"/>
  <c r="A4454" i="2"/>
  <c r="A4418" i="2"/>
  <c r="A4411" i="2"/>
  <c r="A4371" i="2"/>
  <c r="A4364" i="2"/>
  <c r="A4317" i="2"/>
  <c r="A4310" i="2"/>
  <c r="A4270" i="2"/>
  <c r="A4263" i="2"/>
  <c r="A4256" i="2"/>
  <c r="A4249" i="2"/>
  <c r="A4232" i="2"/>
  <c r="A4215" i="2"/>
  <c r="A4198" i="2"/>
  <c r="A4181" i="2"/>
  <c r="A4175" i="2"/>
  <c r="A4158" i="2"/>
  <c r="A4141" i="2"/>
  <c r="A4124" i="2"/>
  <c r="A4113" i="2"/>
  <c r="A4097" i="2"/>
  <c r="A4081" i="2"/>
  <c r="A4065" i="2"/>
  <c r="A4049" i="2"/>
  <c r="A4033" i="2"/>
  <c r="A4017" i="2"/>
  <c r="A4001" i="2"/>
  <c r="A3985" i="2"/>
  <c r="A3969" i="2"/>
  <c r="A3953" i="2"/>
  <c r="A3937" i="2"/>
  <c r="A3921" i="2"/>
  <c r="A3905" i="2"/>
  <c r="A3889" i="2"/>
  <c r="A3873" i="2"/>
  <c r="A3857" i="2"/>
  <c r="A3841" i="2"/>
  <c r="A3825" i="2"/>
  <c r="A3809" i="2"/>
  <c r="A3793" i="2"/>
  <c r="A3777" i="2"/>
  <c r="A3761" i="2"/>
  <c r="A3745" i="2"/>
  <c r="A5274" i="2"/>
  <c r="A5050" i="2"/>
  <c r="A4969" i="2"/>
  <c r="A4913" i="2"/>
  <c r="A4875" i="2"/>
  <c r="A4732" i="2"/>
  <c r="A4668" i="2"/>
  <c r="A4604" i="2"/>
  <c r="A4587" i="2"/>
  <c r="A4518" i="2"/>
  <c r="A4402" i="2"/>
  <c r="A4395" i="2"/>
  <c r="A4355" i="2"/>
  <c r="A4348" i="2"/>
  <c r="A4301" i="2"/>
  <c r="A4294" i="2"/>
  <c r="A4243" i="2"/>
  <c r="A4226" i="2"/>
  <c r="A4209" i="2"/>
  <c r="A4192" i="2"/>
  <c r="A4169" i="2"/>
  <c r="A4152" i="2"/>
  <c r="A4135" i="2"/>
  <c r="A4118" i="2"/>
  <c r="A4102" i="2"/>
  <c r="A4086" i="2"/>
  <c r="A4070" i="2"/>
  <c r="A4054" i="2"/>
  <c r="A4038" i="2"/>
  <c r="A4022" i="2"/>
  <c r="A4006" i="2"/>
  <c r="A3990" i="2"/>
  <c r="A3974" i="2"/>
  <c r="A3958" i="2"/>
  <c r="A3942" i="2"/>
  <c r="A3926" i="2"/>
  <c r="A3910" i="2"/>
  <c r="A3894" i="2"/>
  <c r="A3878" i="2"/>
  <c r="A3862" i="2"/>
  <c r="A3846" i="2"/>
  <c r="A3830" i="2"/>
  <c r="A3814" i="2"/>
  <c r="A3798" i="2"/>
  <c r="A3782" i="2"/>
  <c r="A3766" i="2"/>
  <c r="A3750" i="2"/>
  <c r="A5485" i="2"/>
  <c r="A5252" i="2"/>
  <c r="A4817" i="2"/>
  <c r="A4789" i="2"/>
  <c r="A4761" i="2"/>
  <c r="A4689" i="2"/>
  <c r="A4625" i="2"/>
  <c r="A4534" i="2"/>
  <c r="A4440" i="2"/>
  <c r="A4433" i="2"/>
  <c r="A4386" i="2"/>
  <c r="A4379" i="2"/>
  <c r="A4339" i="2"/>
  <c r="A4332" i="2"/>
  <c r="A4285" i="2"/>
  <c r="A4278" i="2"/>
  <c r="A4254" i="2"/>
  <c r="A4237" i="2"/>
  <c r="A4220" i="2"/>
  <c r="A4203" i="2"/>
  <c r="A4180" i="2"/>
  <c r="A4163" i="2"/>
  <c r="A4146" i="2"/>
  <c r="A4129" i="2"/>
  <c r="A4107" i="2"/>
  <c r="A4091" i="2"/>
  <c r="A4075" i="2"/>
  <c r="A4059" i="2"/>
  <c r="A4043" i="2"/>
  <c r="A4027" i="2"/>
  <c r="A4011" i="2"/>
  <c r="A3995" i="2"/>
  <c r="A3979" i="2"/>
  <c r="A3963" i="2"/>
  <c r="A3947" i="2"/>
  <c r="A3931" i="2"/>
  <c r="A3915" i="2"/>
  <c r="A3899" i="2"/>
  <c r="A3883" i="2"/>
  <c r="A3867" i="2"/>
  <c r="A3851" i="2"/>
  <c r="A3835" i="2"/>
  <c r="A3819" i="2"/>
  <c r="A3803" i="2"/>
  <c r="A3787" i="2"/>
  <c r="A5437" i="2"/>
  <c r="A5034" i="2"/>
  <c r="A4912" i="2"/>
  <c r="A4846" i="2"/>
  <c r="A4710" i="2"/>
  <c r="A4646" i="2"/>
  <c r="A4550" i="2"/>
  <c r="A4481" i="2"/>
  <c r="A4465" i="2"/>
  <c r="A4450" i="2"/>
  <c r="A4424" i="2"/>
  <c r="A4417" i="2"/>
  <c r="A4370" i="2"/>
  <c r="A4363" i="2"/>
  <c r="A4323" i="2"/>
  <c r="A4316" i="2"/>
  <c r="A4269" i="2"/>
  <c r="A4262" i="2"/>
  <c r="A4248" i="2"/>
  <c r="A4231" i="2"/>
  <c r="A4214" i="2"/>
  <c r="A4197" i="2"/>
  <c r="A4191" i="2"/>
  <c r="A4174" i="2"/>
  <c r="A4157" i="2"/>
  <c r="A4140" i="2"/>
  <c r="A4123" i="2"/>
  <c r="A4112" i="2"/>
  <c r="A4096" i="2"/>
  <c r="A4080" i="2"/>
  <c r="A4064" i="2"/>
  <c r="A4048" i="2"/>
  <c r="A4032" i="2"/>
  <c r="A4016" i="2"/>
  <c r="A4000" i="2"/>
  <c r="A3984" i="2"/>
  <c r="A3968" i="2"/>
  <c r="A3952" i="2"/>
  <c r="A3936" i="2"/>
  <c r="A3920" i="2"/>
  <c r="A3904" i="2"/>
  <c r="A3888" i="2"/>
  <c r="A3872" i="2"/>
  <c r="A3856" i="2"/>
  <c r="A3840" i="2"/>
  <c r="A3824" i="2"/>
  <c r="A3808" i="2"/>
  <c r="A3792" i="2"/>
  <c r="A3776" i="2"/>
  <c r="A3760" i="2"/>
  <c r="A4906" i="2"/>
  <c r="A4844" i="2"/>
  <c r="A4816" i="2"/>
  <c r="A4788" i="2"/>
  <c r="A4688" i="2"/>
  <c r="A4624" i="2"/>
  <c r="A4566" i="2"/>
  <c r="A4497" i="2"/>
  <c r="A4408" i="2"/>
  <c r="A4401" i="2"/>
  <c r="A4354" i="2"/>
  <c r="A4347" i="2"/>
  <c r="A4307" i="2"/>
  <c r="A4300" i="2"/>
  <c r="A4242" i="2"/>
  <c r="A4225" i="2"/>
  <c r="A4208" i="2"/>
  <c r="A4185" i="2"/>
  <c r="A4168" i="2"/>
  <c r="A4151" i="2"/>
  <c r="A4134" i="2"/>
  <c r="A4117" i="2"/>
  <c r="A4101" i="2"/>
  <c r="A4085" i="2"/>
  <c r="A4069" i="2"/>
  <c r="A4053" i="2"/>
  <c r="A4037" i="2"/>
  <c r="A4021" i="2"/>
  <c r="A4005" i="2"/>
  <c r="A3989" i="2"/>
  <c r="A3973" i="2"/>
  <c r="A3957" i="2"/>
  <c r="A3941" i="2"/>
  <c r="A3925" i="2"/>
  <c r="A3909" i="2"/>
  <c r="A3893" i="2"/>
  <c r="A3877" i="2"/>
  <c r="A3861" i="2"/>
  <c r="A3845" i="2"/>
  <c r="A3829" i="2"/>
  <c r="A3813" i="2"/>
  <c r="A3797" i="2"/>
  <c r="A3781" i="2"/>
  <c r="A5424" i="2"/>
  <c r="A5226" i="2"/>
  <c r="A5119" i="2"/>
  <c r="A5033" i="2"/>
  <c r="A4868" i="2"/>
  <c r="A4684" i="2"/>
  <c r="A4620" i="2"/>
  <c r="A4582" i="2"/>
  <c r="A4513" i="2"/>
  <c r="A4439" i="2"/>
  <c r="A4432" i="2"/>
  <c r="A4392" i="2"/>
  <c r="A4385" i="2"/>
  <c r="A4338" i="2"/>
  <c r="A4331" i="2"/>
  <c r="A4291" i="2"/>
  <c r="A4284" i="2"/>
  <c r="A4253" i="2"/>
  <c r="A4236" i="2"/>
  <c r="A4219" i="2"/>
  <c r="A4196" i="2"/>
  <c r="A4179" i="2"/>
  <c r="A4162" i="2"/>
  <c r="A4145" i="2"/>
  <c r="A4128" i="2"/>
  <c r="A5382" i="2"/>
  <c r="A4905" i="2"/>
  <c r="A4753" i="2"/>
  <c r="A4705" i="2"/>
  <c r="A4897" i="2"/>
  <c r="A4780" i="2"/>
  <c r="A4752" i="2"/>
  <c r="A4704" i="2"/>
  <c r="A4640" i="2"/>
  <c r="A4561" i="2"/>
  <c r="A4512" i="2"/>
  <c r="A4492" i="2"/>
  <c r="A4460" i="2"/>
  <c r="A4438" i="2"/>
  <c r="A4398" i="2"/>
  <c r="A4391" i="2"/>
  <c r="A4384" i="2"/>
  <c r="A4344" i="2"/>
  <c r="A4337" i="2"/>
  <c r="A4290" i="2"/>
  <c r="A4283" i="2"/>
  <c r="A4252" i="2"/>
  <c r="A4235" i="2"/>
  <c r="A4212" i="2"/>
  <c r="A4195" i="2"/>
  <c r="A4178" i="2"/>
  <c r="A4161" i="2"/>
  <c r="A4144" i="2"/>
  <c r="A4121" i="2"/>
  <c r="A4105" i="2"/>
  <c r="A4089" i="2"/>
  <c r="A4073" i="2"/>
  <c r="A4057" i="2"/>
  <c r="A4041" i="2"/>
  <c r="A4025" i="2"/>
  <c r="A4009" i="2"/>
  <c r="A3993" i="2"/>
  <c r="A3977" i="2"/>
  <c r="A3961" i="2"/>
  <c r="A3945" i="2"/>
  <c r="A3929" i="2"/>
  <c r="A3913" i="2"/>
  <c r="A3897" i="2"/>
  <c r="A3881" i="2"/>
  <c r="A4810" i="2"/>
  <c r="A4449" i="2"/>
  <c r="A4407" i="2"/>
  <c r="A4368" i="2"/>
  <c r="A4322" i="2"/>
  <c r="A4246" i="2"/>
  <c r="A4213" i="2"/>
  <c r="A4184" i="2"/>
  <c r="A4155" i="2"/>
  <c r="A4078" i="2"/>
  <c r="A4014" i="2"/>
  <c r="A3950" i="2"/>
  <c r="A3886" i="2"/>
  <c r="A3833" i="2"/>
  <c r="A3758" i="2"/>
  <c r="A3748" i="2"/>
  <c r="A3738" i="2"/>
  <c r="A3691" i="2"/>
  <c r="A3684" i="2"/>
  <c r="A3644" i="2"/>
  <c r="A3637" i="2"/>
  <c r="A3630" i="2"/>
  <c r="A3597" i="2"/>
  <c r="A3580" i="2"/>
  <c r="A3563" i="2"/>
  <c r="A3546" i="2"/>
  <c r="A3529" i="2"/>
  <c r="A3506" i="2"/>
  <c r="A3489" i="2"/>
  <c r="A3467" i="2"/>
  <c r="A3451" i="2"/>
  <c r="A3435" i="2"/>
  <c r="A3419" i="2"/>
  <c r="A3403" i="2"/>
  <c r="A3387" i="2"/>
  <c r="A3371" i="2"/>
  <c r="A3355" i="2"/>
  <c r="A3339" i="2"/>
  <c r="A3323" i="2"/>
  <c r="A3307" i="2"/>
  <c r="A3291" i="2"/>
  <c r="A3275" i="2"/>
  <c r="A3259" i="2"/>
  <c r="A3243" i="2"/>
  <c r="A3227" i="2"/>
  <c r="A3211" i="2"/>
  <c r="A3195" i="2"/>
  <c r="A3179" i="2"/>
  <c r="A3163" i="2"/>
  <c r="A3147" i="2"/>
  <c r="A3131" i="2"/>
  <c r="A3115" i="2"/>
  <c r="A3099" i="2"/>
  <c r="A3083" i="2"/>
  <c r="A3067" i="2"/>
  <c r="A3051" i="2"/>
  <c r="A3035" i="2"/>
  <c r="A4804" i="2"/>
  <c r="A4636" i="2"/>
  <c r="A4529" i="2"/>
  <c r="A4074" i="2"/>
  <c r="A4010" i="2"/>
  <c r="A3946" i="2"/>
  <c r="A3882" i="2"/>
  <c r="A3849" i="2"/>
  <c r="A3780" i="2"/>
  <c r="A3756" i="2"/>
  <c r="A3729" i="2"/>
  <c r="A3722" i="2"/>
  <c r="A3675" i="2"/>
  <c r="A3668" i="2"/>
  <c r="A3628" i="2"/>
  <c r="A3621" i="2"/>
  <c r="A3608" i="2"/>
  <c r="A3591" i="2"/>
  <c r="A3574" i="2"/>
  <c r="A3557" i="2"/>
  <c r="A3540" i="2"/>
  <c r="A3517" i="2"/>
  <c r="A3500" i="2"/>
  <c r="A3483" i="2"/>
  <c r="A3472" i="2"/>
  <c r="A3456" i="2"/>
  <c r="A3440" i="2"/>
  <c r="A3424" i="2"/>
  <c r="A3408" i="2"/>
  <c r="A3392" i="2"/>
  <c r="A3376" i="2"/>
  <c r="A3360" i="2"/>
  <c r="A3344" i="2"/>
  <c r="A3328" i="2"/>
  <c r="A3312" i="2"/>
  <c r="A3296" i="2"/>
  <c r="A3280" i="2"/>
  <c r="A3264" i="2"/>
  <c r="A3248" i="2"/>
  <c r="A3232" i="2"/>
  <c r="A3216" i="2"/>
  <c r="A3200" i="2"/>
  <c r="A3184" i="2"/>
  <c r="A3168" i="2"/>
  <c r="A3152" i="2"/>
  <c r="A3136" i="2"/>
  <c r="A3120" i="2"/>
  <c r="A3104" i="2"/>
  <c r="A3088" i="2"/>
  <c r="A3072" i="2"/>
  <c r="A4782" i="2"/>
  <c r="A4448" i="2"/>
  <c r="A4360" i="2"/>
  <c r="A4321" i="2"/>
  <c r="A4275" i="2"/>
  <c r="A4241" i="2"/>
  <c r="A4150" i="2"/>
  <c r="A4095" i="2"/>
  <c r="A4031" i="2"/>
  <c r="A3967" i="2"/>
  <c r="A3903" i="2"/>
  <c r="A3865" i="2"/>
  <c r="A3796" i="2"/>
  <c r="A3755" i="2"/>
  <c r="A3713" i="2"/>
  <c r="A3706" i="2"/>
  <c r="A3659" i="2"/>
  <c r="A3652" i="2"/>
  <c r="A3614" i="2"/>
  <c r="A3602" i="2"/>
  <c r="A3585" i="2"/>
  <c r="A3568" i="2"/>
  <c r="A3551" i="2"/>
  <c r="A3534" i="2"/>
  <c r="A3528" i="2"/>
  <c r="A3511" i="2"/>
  <c r="A3494" i="2"/>
  <c r="A3477" i="2"/>
  <c r="A3461" i="2"/>
  <c r="A3445" i="2"/>
  <c r="A3429" i="2"/>
  <c r="A3413" i="2"/>
  <c r="A3397" i="2"/>
  <c r="A3381" i="2"/>
  <c r="A3365" i="2"/>
  <c r="A3349" i="2"/>
  <c r="A3333" i="2"/>
  <c r="A3317" i="2"/>
  <c r="A3301" i="2"/>
  <c r="A3285" i="2"/>
  <c r="A3269" i="2"/>
  <c r="A3253" i="2"/>
  <c r="A3237" i="2"/>
  <c r="A3221" i="2"/>
  <c r="A3205" i="2"/>
  <c r="A3189" i="2"/>
  <c r="A3173" i="2"/>
  <c r="A3157" i="2"/>
  <c r="A3141" i="2"/>
  <c r="A3125" i="2"/>
  <c r="A3109" i="2"/>
  <c r="A3093" i="2"/>
  <c r="A3077" i="2"/>
  <c r="A3061" i="2"/>
  <c r="A3045" i="2"/>
  <c r="A3029" i="2"/>
  <c r="A3013" i="2"/>
  <c r="A2997" i="2"/>
  <c r="A2981" i="2"/>
  <c r="A4528" i="2"/>
  <c r="A4400" i="2"/>
  <c r="A4315" i="2"/>
  <c r="A4207" i="2"/>
  <c r="A4052" i="2"/>
  <c r="A3988" i="2"/>
  <c r="A3924" i="2"/>
  <c r="A3812" i="2"/>
  <c r="A3765" i="2"/>
  <c r="A3737" i="2"/>
  <c r="A3697" i="2"/>
  <c r="A3690" i="2"/>
  <c r="A3643" i="2"/>
  <c r="A3636" i="2"/>
  <c r="A3613" i="2"/>
  <c r="A3596" i="2"/>
  <c r="A3579" i="2"/>
  <c r="A3562" i="2"/>
  <c r="A3545" i="2"/>
  <c r="A3522" i="2"/>
  <c r="A3505" i="2"/>
  <c r="A3488" i="2"/>
  <c r="A3466" i="2"/>
  <c r="A3450" i="2"/>
  <c r="A3434" i="2"/>
  <c r="A3418" i="2"/>
  <c r="A3402" i="2"/>
  <c r="A3386" i="2"/>
  <c r="A3370" i="2"/>
  <c r="A3354" i="2"/>
  <c r="A3338" i="2"/>
  <c r="A3322" i="2"/>
  <c r="A3306" i="2"/>
  <c r="A3290" i="2"/>
  <c r="A3274" i="2"/>
  <c r="A3258" i="2"/>
  <c r="A3242" i="2"/>
  <c r="A3226" i="2"/>
  <c r="A3210" i="2"/>
  <c r="A3194" i="2"/>
  <c r="A3178" i="2"/>
  <c r="A3162" i="2"/>
  <c r="A3146" i="2"/>
  <c r="A3130" i="2"/>
  <c r="A3114" i="2"/>
  <c r="A3098" i="2"/>
  <c r="A3082" i="2"/>
  <c r="A3066" i="2"/>
  <c r="A3050" i="2"/>
  <c r="A3034" i="2"/>
  <c r="A5103" i="2"/>
  <c r="A4274" i="2"/>
  <c r="A4116" i="2"/>
  <c r="A4094" i="2"/>
  <c r="A4030" i="2"/>
  <c r="A3966" i="2"/>
  <c r="A3902" i="2"/>
  <c r="A3828" i="2"/>
  <c r="A3728" i="2"/>
  <c r="A3721" i="2"/>
  <c r="A3681" i="2"/>
  <c r="A3674" i="2"/>
  <c r="A3627" i="2"/>
  <c r="A3620" i="2"/>
  <c r="A3607" i="2"/>
  <c r="A3590" i="2"/>
  <c r="A3573" i="2"/>
  <c r="A3556" i="2"/>
  <c r="A3533" i="2"/>
  <c r="A3516" i="2"/>
  <c r="A3499" i="2"/>
  <c r="A3482" i="2"/>
  <c r="A3471" i="2"/>
  <c r="A3455" i="2"/>
  <c r="A3439" i="2"/>
  <c r="A3423" i="2"/>
  <c r="A3407" i="2"/>
  <c r="A3391" i="2"/>
  <c r="A3375" i="2"/>
  <c r="A3359" i="2"/>
  <c r="A3343" i="2"/>
  <c r="A3327" i="2"/>
  <c r="A3311" i="2"/>
  <c r="A3295" i="2"/>
  <c r="A3279" i="2"/>
  <c r="A3263" i="2"/>
  <c r="A3247" i="2"/>
  <c r="A3231" i="2"/>
  <c r="A3215" i="2"/>
  <c r="A3199" i="2"/>
  <c r="A3183" i="2"/>
  <c r="A3167" i="2"/>
  <c r="A3151" i="2"/>
  <c r="A3135" i="2"/>
  <c r="A3119" i="2"/>
  <c r="A3103" i="2"/>
  <c r="A3087" i="2"/>
  <c r="A3071" i="2"/>
  <c r="A3055" i="2"/>
  <c r="A3039" i="2"/>
  <c r="A5102" i="2"/>
  <c r="A4353" i="2"/>
  <c r="A4268" i="2"/>
  <c r="A4206" i="2"/>
  <c r="A4173" i="2"/>
  <c r="A4090" i="2"/>
  <c r="A4026" i="2"/>
  <c r="A3962" i="2"/>
  <c r="A3898" i="2"/>
  <c r="A3844" i="2"/>
  <c r="A3775" i="2"/>
  <c r="A3754" i="2"/>
  <c r="A3744" i="2"/>
  <c r="A3712" i="2"/>
  <c r="A3705" i="2"/>
  <c r="A3665" i="2"/>
  <c r="A3658" i="2"/>
  <c r="A3601" i="2"/>
  <c r="A3584" i="2"/>
  <c r="A3567" i="2"/>
  <c r="A3550" i="2"/>
  <c r="A3544" i="2"/>
  <c r="A3527" i="2"/>
  <c r="A3510" i="2"/>
  <c r="A3493" i="2"/>
  <c r="A3476" i="2"/>
  <c r="A3460" i="2"/>
  <c r="A3444" i="2"/>
  <c r="A3428" i="2"/>
  <c r="A3412" i="2"/>
  <c r="A3396" i="2"/>
  <c r="A3380" i="2"/>
  <c r="A3364" i="2"/>
  <c r="A3348" i="2"/>
  <c r="A3332" i="2"/>
  <c r="A3316" i="2"/>
  <c r="A3300" i="2"/>
  <c r="A3284" i="2"/>
  <c r="A3268" i="2"/>
  <c r="A4726" i="2"/>
  <c r="A4598" i="2"/>
  <c r="A4508" i="2"/>
  <c r="A4430" i="2"/>
  <c r="A4111" i="2"/>
  <c r="A4047" i="2"/>
  <c r="A3983" i="2"/>
  <c r="A3919" i="2"/>
  <c r="A3860" i="2"/>
  <c r="A3791" i="2"/>
  <c r="A3764" i="2"/>
  <c r="A3696" i="2"/>
  <c r="A3689" i="2"/>
  <c r="A3649" i="2"/>
  <c r="A3642" i="2"/>
  <c r="A3612" i="2"/>
  <c r="A3595" i="2"/>
  <c r="A3578" i="2"/>
  <c r="A3561" i="2"/>
  <c r="A3538" i="2"/>
  <c r="A3521" i="2"/>
  <c r="A3504" i="2"/>
  <c r="A3487" i="2"/>
  <c r="A3465" i="2"/>
  <c r="A3449" i="2"/>
  <c r="A3433" i="2"/>
  <c r="A3417" i="2"/>
  <c r="A3401" i="2"/>
  <c r="A3385" i="2"/>
  <c r="A3369" i="2"/>
  <c r="A3353" i="2"/>
  <c r="A3337" i="2"/>
  <c r="A3321" i="2"/>
  <c r="A3305" i="2"/>
  <c r="A3289" i="2"/>
  <c r="A3273" i="2"/>
  <c r="A4306" i="2"/>
  <c r="A4267" i="2"/>
  <c r="A4230" i="2"/>
  <c r="A4201" i="2"/>
  <c r="A4172" i="2"/>
  <c r="A4139" i="2"/>
  <c r="A4068" i="2"/>
  <c r="A4004" i="2"/>
  <c r="A3940" i="2"/>
  <c r="A3876" i="2"/>
  <c r="A3807" i="2"/>
  <c r="A3734" i="2"/>
  <c r="A3727" i="2"/>
  <c r="A3680" i="2"/>
  <c r="A3673" i="2"/>
  <c r="A3633" i="2"/>
  <c r="A3626" i="2"/>
  <c r="A3618" i="2"/>
  <c r="A3606" i="2"/>
  <c r="A3589" i="2"/>
  <c r="A3572" i="2"/>
  <c r="A3549" i="2"/>
  <c r="A3532" i="2"/>
  <c r="A3515" i="2"/>
  <c r="A3498" i="2"/>
  <c r="A3481" i="2"/>
  <c r="A3470" i="2"/>
  <c r="A3454" i="2"/>
  <c r="A3438" i="2"/>
  <c r="A3422" i="2"/>
  <c r="A3406" i="2"/>
  <c r="A3390" i="2"/>
  <c r="A3374" i="2"/>
  <c r="A3358" i="2"/>
  <c r="A3342" i="2"/>
  <c r="A3326" i="2"/>
  <c r="A3310" i="2"/>
  <c r="A3294" i="2"/>
  <c r="A3278" i="2"/>
  <c r="A3262" i="2"/>
  <c r="A4496" i="2"/>
  <c r="A4429" i="2"/>
  <c r="A4110" i="2"/>
  <c r="A4046" i="2"/>
  <c r="A3982" i="2"/>
  <c r="A3918" i="2"/>
  <c r="A3823" i="2"/>
  <c r="A3774" i="2"/>
  <c r="A3753" i="2"/>
  <c r="A3743" i="2"/>
  <c r="A3718" i="2"/>
  <c r="A3711" i="2"/>
  <c r="A3664" i="2"/>
  <c r="A3657" i="2"/>
  <c r="A3600" i="2"/>
  <c r="A3583" i="2"/>
  <c r="A3566" i="2"/>
  <c r="A3560" i="2"/>
  <c r="A3543" i="2"/>
  <c r="A3526" i="2"/>
  <c r="A3509" i="2"/>
  <c r="A3492" i="2"/>
  <c r="A3475" i="2"/>
  <c r="A3459" i="2"/>
  <c r="A3443" i="2"/>
  <c r="A3427" i="2"/>
  <c r="A3411" i="2"/>
  <c r="A3395" i="2"/>
  <c r="A3379" i="2"/>
  <c r="A3363" i="2"/>
  <c r="A3347" i="2"/>
  <c r="A3331" i="2"/>
  <c r="A3315" i="2"/>
  <c r="A3299" i="2"/>
  <c r="A3283" i="2"/>
  <c r="A3267" i="2"/>
  <c r="A4700" i="2"/>
  <c r="A4423" i="2"/>
  <c r="A4259" i="2"/>
  <c r="A4229" i="2"/>
  <c r="A4167" i="2"/>
  <c r="A4106" i="2"/>
  <c r="A4042" i="2"/>
  <c r="A3978" i="2"/>
  <c r="A3914" i="2"/>
  <c r="A3839" i="2"/>
  <c r="A3790" i="2"/>
  <c r="A3772" i="2"/>
  <c r="A3702" i="2"/>
  <c r="A3695" i="2"/>
  <c r="A3648" i="2"/>
  <c r="A3641" i="2"/>
  <c r="A3617" i="2"/>
  <c r="A3611" i="2"/>
  <c r="A3594" i="2"/>
  <c r="A3577" i="2"/>
  <c r="A3554" i="2"/>
  <c r="A3537" i="2"/>
  <c r="A3520" i="2"/>
  <c r="A3503" i="2"/>
  <c r="A3486" i="2"/>
  <c r="A3480" i="2"/>
  <c r="A3464" i="2"/>
  <c r="A3448" i="2"/>
  <c r="A3432" i="2"/>
  <c r="A3416" i="2"/>
  <c r="A3400" i="2"/>
  <c r="A3384" i="2"/>
  <c r="A3368" i="2"/>
  <c r="A3352" i="2"/>
  <c r="A3336" i="2"/>
  <c r="A3320" i="2"/>
  <c r="A3304" i="2"/>
  <c r="A3288" i="2"/>
  <c r="A3272" i="2"/>
  <c r="A4577" i="2"/>
  <c r="A4480" i="2"/>
  <c r="A4382" i="2"/>
  <c r="A4299" i="2"/>
  <c r="A4063" i="2"/>
  <c r="A3999" i="2"/>
  <c r="A3935" i="2"/>
  <c r="A3855" i="2"/>
  <c r="A3806" i="2"/>
  <c r="A3786" i="2"/>
  <c r="A3771" i="2"/>
  <c r="A3733" i="2"/>
  <c r="A3726" i="2"/>
  <c r="A3686" i="2"/>
  <c r="A3679" i="2"/>
  <c r="A3632" i="2"/>
  <c r="A3625" i="2"/>
  <c r="A3605" i="2"/>
  <c r="A3588" i="2"/>
  <c r="A3565" i="2"/>
  <c r="A3548" i="2"/>
  <c r="A3531" i="2"/>
  <c r="A3514" i="2"/>
  <c r="A3497" i="2"/>
  <c r="A3469" i="2"/>
  <c r="A3453" i="2"/>
  <c r="A3437" i="2"/>
  <c r="A3421" i="2"/>
  <c r="A3405" i="2"/>
  <c r="A3389" i="2"/>
  <c r="A3373" i="2"/>
  <c r="A3357" i="2"/>
  <c r="A3341" i="2"/>
  <c r="A3325" i="2"/>
  <c r="A3309" i="2"/>
  <c r="A4476" i="2"/>
  <c r="A4422" i="2"/>
  <c r="A4376" i="2"/>
  <c r="A4224" i="2"/>
  <c r="A4133" i="2"/>
  <c r="A4084" i="2"/>
  <c r="A4020" i="2"/>
  <c r="A3956" i="2"/>
  <c r="A3892" i="2"/>
  <c r="A3871" i="2"/>
  <c r="A3822" i="2"/>
  <c r="A3802" i="2"/>
  <c r="A3742" i="2"/>
  <c r="A3724" i="2"/>
  <c r="A3717" i="2"/>
  <c r="A3710" i="2"/>
  <c r="A4838" i="2"/>
  <c r="A4369" i="2"/>
  <c r="A4247" i="2"/>
  <c r="A4189" i="2"/>
  <c r="A4156" i="2"/>
  <c r="A4127" i="2"/>
  <c r="A4079" i="2"/>
  <c r="A4015" i="2"/>
  <c r="A3951" i="2"/>
  <c r="A3887" i="2"/>
  <c r="A3870" i="2"/>
  <c r="A3850" i="2"/>
  <c r="A3801" i="2"/>
  <c r="A3723" i="2"/>
  <c r="A3716" i="2"/>
  <c r="A3676" i="2"/>
  <c r="A3669" i="2"/>
  <c r="A3662" i="2"/>
  <c r="A3622" i="2"/>
  <c r="A3598" i="2"/>
  <c r="A3592" i="2"/>
  <c r="A3575" i="2"/>
  <c r="A3558" i="2"/>
  <c r="A3541" i="2"/>
  <c r="A3524" i="2"/>
  <c r="A3501" i="2"/>
  <c r="A3484" i="2"/>
  <c r="A3473" i="2"/>
  <c r="A3457" i="2"/>
  <c r="A3441" i="2"/>
  <c r="A3425" i="2"/>
  <c r="A3409" i="2"/>
  <c r="A3393" i="2"/>
  <c r="A3377" i="2"/>
  <c r="A3361" i="2"/>
  <c r="A3345" i="2"/>
  <c r="A4375" i="2"/>
  <c r="A3930" i="2"/>
  <c r="A3638" i="2"/>
  <c r="A3564" i="2"/>
  <c r="A3452" i="2"/>
  <c r="A3388" i="2"/>
  <c r="A3293" i="2"/>
  <c r="A3281" i="2"/>
  <c r="A3266" i="2"/>
  <c r="A3224" i="2"/>
  <c r="A3217" i="2"/>
  <c r="A3177" i="2"/>
  <c r="A3170" i="2"/>
  <c r="A3123" i="2"/>
  <c r="A3116" i="2"/>
  <c r="A3076" i="2"/>
  <c r="A3069" i="2"/>
  <c r="A3062" i="2"/>
  <c r="A3047" i="2"/>
  <c r="A3040" i="2"/>
  <c r="A3014" i="2"/>
  <c r="A2991" i="2"/>
  <c r="A2974" i="2"/>
  <c r="A2963" i="2"/>
  <c r="A2947" i="2"/>
  <c r="A2931" i="2"/>
  <c r="A2915" i="2"/>
  <c r="A2899" i="2"/>
  <c r="A2883" i="2"/>
  <c r="A2867" i="2"/>
  <c r="A2851" i="2"/>
  <c r="A2835" i="2"/>
  <c r="A2819" i="2"/>
  <c r="A2803" i="2"/>
  <c r="A2787" i="2"/>
  <c r="A2771" i="2"/>
  <c r="A2755" i="2"/>
  <c r="A2739" i="2"/>
  <c r="A2723" i="2"/>
  <c r="A2707" i="2"/>
  <c r="A2691" i="2"/>
  <c r="A2675" i="2"/>
  <c r="A2659" i="2"/>
  <c r="A2643" i="2"/>
  <c r="A2627" i="2"/>
  <c r="A2611" i="2"/>
  <c r="A2595" i="2"/>
  <c r="A2579" i="2"/>
  <c r="A2563" i="2"/>
  <c r="A2547" i="2"/>
  <c r="A2531" i="2"/>
  <c r="A2515" i="2"/>
  <c r="A2499" i="2"/>
  <c r="A2483" i="2"/>
  <c r="A2467" i="2"/>
  <c r="A2451" i="2"/>
  <c r="A2435" i="2"/>
  <c r="A2419" i="2"/>
  <c r="A2403" i="2"/>
  <c r="A2387" i="2"/>
  <c r="A2371" i="2"/>
  <c r="A2355" i="2"/>
  <c r="A4860" i="2"/>
  <c r="A3818" i="2"/>
  <c r="A3749" i="2"/>
  <c r="A3707" i="2"/>
  <c r="A3609" i="2"/>
  <c r="A3586" i="2"/>
  <c r="A3518" i="2"/>
  <c r="A3495" i="2"/>
  <c r="A3430" i="2"/>
  <c r="A3366" i="2"/>
  <c r="A3308" i="2"/>
  <c r="A3208" i="2"/>
  <c r="A3201" i="2"/>
  <c r="A3161" i="2"/>
  <c r="A3154" i="2"/>
  <c r="A3107" i="2"/>
  <c r="A3100" i="2"/>
  <c r="A3060" i="2"/>
  <c r="A3032" i="2"/>
  <c r="A3008" i="2"/>
  <c r="A3002" i="2"/>
  <c r="A2985" i="2"/>
  <c r="A2968" i="2"/>
  <c r="A2952" i="2"/>
  <c r="A2936" i="2"/>
  <c r="A2920" i="2"/>
  <c r="A2904" i="2"/>
  <c r="A2888" i="2"/>
  <c r="A2872" i="2"/>
  <c r="A2856" i="2"/>
  <c r="A2840" i="2"/>
  <c r="A2824" i="2"/>
  <c r="A2808" i="2"/>
  <c r="A2792" i="2"/>
  <c r="A2776" i="2"/>
  <c r="A2760" i="2"/>
  <c r="A2744" i="2"/>
  <c r="A2728" i="2"/>
  <c r="A2712" i="2"/>
  <c r="A2696" i="2"/>
  <c r="A2680" i="2"/>
  <c r="A2664" i="2"/>
  <c r="A2648" i="2"/>
  <c r="A2632" i="2"/>
  <c r="A2616" i="2"/>
  <c r="A2600" i="2"/>
  <c r="A2584" i="2"/>
  <c r="A2568" i="2"/>
  <c r="A2552" i="2"/>
  <c r="A2536" i="2"/>
  <c r="A2520" i="2"/>
  <c r="A2504" i="2"/>
  <c r="A2488" i="2"/>
  <c r="A4832" i="2"/>
  <c r="A4036" i="2"/>
  <c r="A3701" i="2"/>
  <c r="A3663" i="2"/>
  <c r="A3582" i="2"/>
  <c r="A3559" i="2"/>
  <c r="A3426" i="2"/>
  <c r="A3362" i="2"/>
  <c r="A3324" i="2"/>
  <c r="A3277" i="2"/>
  <c r="A3255" i="2"/>
  <c r="A3246" i="2"/>
  <c r="A3239" i="2"/>
  <c r="A3192" i="2"/>
  <c r="A3185" i="2"/>
  <c r="A3145" i="2"/>
  <c r="A3138" i="2"/>
  <c r="A3091" i="2"/>
  <c r="A3084" i="2"/>
  <c r="A3053" i="2"/>
  <c r="A3025" i="2"/>
  <c r="A3019" i="2"/>
  <c r="A2996" i="2"/>
  <c r="A2979" i="2"/>
  <c r="A2957" i="2"/>
  <c r="A2941" i="2"/>
  <c r="A2925" i="2"/>
  <c r="A2909" i="2"/>
  <c r="A2893" i="2"/>
  <c r="A2877" i="2"/>
  <c r="A2861" i="2"/>
  <c r="A2845" i="2"/>
  <c r="A2829" i="2"/>
  <c r="A2813" i="2"/>
  <c r="A2797" i="2"/>
  <c r="A2781" i="2"/>
  <c r="A2765" i="2"/>
  <c r="A2749" i="2"/>
  <c r="A2733" i="2"/>
  <c r="A2717" i="2"/>
  <c r="A2701" i="2"/>
  <c r="A2685" i="2"/>
  <c r="A2669" i="2"/>
  <c r="A2653" i="2"/>
  <c r="A2637" i="2"/>
  <c r="A2621" i="2"/>
  <c r="A2605" i="2"/>
  <c r="A2589" i="2"/>
  <c r="A2573" i="2"/>
  <c r="A2557" i="2"/>
  <c r="A2541" i="2"/>
  <c r="A2525" i="2"/>
  <c r="A2509" i="2"/>
  <c r="A2493" i="2"/>
  <c r="A3817" i="2"/>
  <c r="A3740" i="2"/>
  <c r="A3536" i="2"/>
  <c r="A3447" i="2"/>
  <c r="A3383" i="2"/>
  <c r="A3292" i="2"/>
  <c r="A3265" i="2"/>
  <c r="A3230" i="2"/>
  <c r="A3223" i="2"/>
  <c r="A3176" i="2"/>
  <c r="A3169" i="2"/>
  <c r="A3129" i="2"/>
  <c r="A3122" i="2"/>
  <c r="A3075" i="2"/>
  <c r="A3068" i="2"/>
  <c r="A3046" i="2"/>
  <c r="A3038" i="2"/>
  <c r="A3007" i="2"/>
  <c r="A2990" i="2"/>
  <c r="A2973" i="2"/>
  <c r="A2962" i="2"/>
  <c r="A2946" i="2"/>
  <c r="A2930" i="2"/>
  <c r="A2914" i="2"/>
  <c r="A2898" i="2"/>
  <c r="A2882" i="2"/>
  <c r="A2866" i="2"/>
  <c r="A2850" i="2"/>
  <c r="A2834" i="2"/>
  <c r="A2818" i="2"/>
  <c r="A2802" i="2"/>
  <c r="A2786" i="2"/>
  <c r="A2770" i="2"/>
  <c r="A2754" i="2"/>
  <c r="A2738" i="2"/>
  <c r="A2722" i="2"/>
  <c r="A2706" i="2"/>
  <c r="A2690" i="2"/>
  <c r="A2674" i="2"/>
  <c r="A2658" i="2"/>
  <c r="A2642" i="2"/>
  <c r="A2626" i="2"/>
  <c r="A2610" i="2"/>
  <c r="A2594" i="2"/>
  <c r="A2578" i="2"/>
  <c r="A2562" i="2"/>
  <c r="A2546" i="2"/>
  <c r="A2530" i="2"/>
  <c r="A2514" i="2"/>
  <c r="A2498" i="2"/>
  <c r="A2482" i="2"/>
  <c r="A2466" i="2"/>
  <c r="A2450" i="2"/>
  <c r="A2434" i="2"/>
  <c r="A4662" i="2"/>
  <c r="A4328" i="2"/>
  <c r="A4132" i="2"/>
  <c r="A3908" i="2"/>
  <c r="A3739" i="2"/>
  <c r="A3700" i="2"/>
  <c r="A3631" i="2"/>
  <c r="A3604" i="2"/>
  <c r="A3581" i="2"/>
  <c r="A3513" i="2"/>
  <c r="A3490" i="2"/>
  <c r="A3468" i="2"/>
  <c r="A3404" i="2"/>
  <c r="A3340" i="2"/>
  <c r="A3214" i="2"/>
  <c r="A3207" i="2"/>
  <c r="A3160" i="2"/>
  <c r="A3153" i="2"/>
  <c r="A3113" i="2"/>
  <c r="A3106" i="2"/>
  <c r="A3059" i="2"/>
  <c r="A3031" i="2"/>
  <c r="A3018" i="2"/>
  <c r="A3001" i="2"/>
  <c r="A2984" i="2"/>
  <c r="A2967" i="2"/>
  <c r="A2951" i="2"/>
  <c r="A2935" i="2"/>
  <c r="A2919" i="2"/>
  <c r="A2903" i="2"/>
  <c r="A2887" i="2"/>
  <c r="A2871" i="2"/>
  <c r="A2855" i="2"/>
  <c r="A2839" i="2"/>
  <c r="A2823" i="2"/>
  <c r="A2807" i="2"/>
  <c r="A2791" i="2"/>
  <c r="A2775" i="2"/>
  <c r="A2759" i="2"/>
  <c r="A2743" i="2"/>
  <c r="A2727" i="2"/>
  <c r="A2711" i="2"/>
  <c r="A2695" i="2"/>
  <c r="A2679" i="2"/>
  <c r="A2663" i="2"/>
  <c r="A2647" i="2"/>
  <c r="A2631" i="2"/>
  <c r="A2615" i="2"/>
  <c r="A2599" i="2"/>
  <c r="A2583" i="2"/>
  <c r="A2567" i="2"/>
  <c r="A2551" i="2"/>
  <c r="A2535" i="2"/>
  <c r="A2519" i="2"/>
  <c r="A2503" i="2"/>
  <c r="A2487" i="2"/>
  <c r="A4641" i="2"/>
  <c r="A3694" i="2"/>
  <c r="A3660" i="2"/>
  <c r="A3535" i="2"/>
  <c r="A3512" i="2"/>
  <c r="A3446" i="2"/>
  <c r="A3382" i="2"/>
  <c r="A3276" i="2"/>
  <c r="A3254" i="2"/>
  <c r="A3245" i="2"/>
  <c r="A3238" i="2"/>
  <c r="A3198" i="2"/>
  <c r="A3191" i="2"/>
  <c r="A3144" i="2"/>
  <c r="A3137" i="2"/>
  <c r="A3097" i="2"/>
  <c r="A3090" i="2"/>
  <c r="A3052" i="2"/>
  <c r="A3044" i="2"/>
  <c r="A3024" i="2"/>
  <c r="A3012" i="2"/>
  <c r="A2995" i="2"/>
  <c r="A2978" i="2"/>
  <c r="A2956" i="2"/>
  <c r="A2940" i="2"/>
  <c r="A2924" i="2"/>
  <c r="A2908" i="2"/>
  <c r="A2892" i="2"/>
  <c r="A2876" i="2"/>
  <c r="A2860" i="2"/>
  <c r="A2844" i="2"/>
  <c r="A2828" i="2"/>
  <c r="A2812" i="2"/>
  <c r="A2796" i="2"/>
  <c r="A2780" i="2"/>
  <c r="A2764" i="2"/>
  <c r="A2748" i="2"/>
  <c r="A2732" i="2"/>
  <c r="A2716" i="2"/>
  <c r="A2700" i="2"/>
  <c r="A2684" i="2"/>
  <c r="A2668" i="2"/>
  <c r="A2652" i="2"/>
  <c r="A2636" i="2"/>
  <c r="A3998" i="2"/>
  <c r="A3692" i="2"/>
  <c r="A3599" i="2"/>
  <c r="A3576" i="2"/>
  <c r="A3508" i="2"/>
  <c r="A3485" i="2"/>
  <c r="A3442" i="2"/>
  <c r="A3378" i="2"/>
  <c r="A3319" i="2"/>
  <c r="A3303" i="2"/>
  <c r="A3261" i="2"/>
  <c r="A3252" i="2"/>
  <c r="A3236" i="2"/>
  <c r="A3229" i="2"/>
  <c r="A3222" i="2"/>
  <c r="A3182" i="2"/>
  <c r="A3175" i="2"/>
  <c r="A3128" i="2"/>
  <c r="A3121" i="2"/>
  <c r="A3081" i="2"/>
  <c r="A3074" i="2"/>
  <c r="A3037" i="2"/>
  <c r="A3023" i="2"/>
  <c r="A3006" i="2"/>
  <c r="A2989" i="2"/>
  <c r="A2972" i="2"/>
  <c r="A2961" i="2"/>
  <c r="A2945" i="2"/>
  <c r="A2929" i="2"/>
  <c r="A2913" i="2"/>
  <c r="A2897" i="2"/>
  <c r="A2881" i="2"/>
  <c r="A2865" i="2"/>
  <c r="A2849" i="2"/>
  <c r="A2833" i="2"/>
  <c r="A2817" i="2"/>
  <c r="A2801" i="2"/>
  <c r="A2785" i="2"/>
  <c r="A2769" i="2"/>
  <c r="A2753" i="2"/>
  <c r="A2737" i="2"/>
  <c r="A2721" i="2"/>
  <c r="A2705" i="2"/>
  <c r="A2689" i="2"/>
  <c r="A2673" i="2"/>
  <c r="A2657" i="2"/>
  <c r="A2641" i="2"/>
  <c r="A2625" i="2"/>
  <c r="A2609" i="2"/>
  <c r="A2593" i="2"/>
  <c r="A2577" i="2"/>
  <c r="A3994" i="2"/>
  <c r="A3732" i="2"/>
  <c r="A3654" i="2"/>
  <c r="A3553" i="2"/>
  <c r="A3463" i="2"/>
  <c r="A3399" i="2"/>
  <c r="A3335" i="2"/>
  <c r="A3220" i="2"/>
  <c r="A3213" i="2"/>
  <c r="A3206" i="2"/>
  <c r="A3166" i="2"/>
  <c r="A3159" i="2"/>
  <c r="A3112" i="2"/>
  <c r="A3105" i="2"/>
  <c r="A3065" i="2"/>
  <c r="A3058" i="2"/>
  <c r="A3030" i="2"/>
  <c r="A3017" i="2"/>
  <c r="A3000" i="2"/>
  <c r="A2983" i="2"/>
  <c r="A2966" i="2"/>
  <c r="A2950" i="2"/>
  <c r="A2934" i="2"/>
  <c r="A2918" i="2"/>
  <c r="A2902" i="2"/>
  <c r="A2886" i="2"/>
  <c r="A2870" i="2"/>
  <c r="A2854" i="2"/>
  <c r="A2838" i="2"/>
  <c r="A2822" i="2"/>
  <c r="A2806" i="2"/>
  <c r="A2790" i="2"/>
  <c r="A2774" i="2"/>
  <c r="A2758" i="2"/>
  <c r="A2742" i="2"/>
  <c r="A2726" i="2"/>
  <c r="A2710" i="2"/>
  <c r="A2694" i="2"/>
  <c r="A2678" i="2"/>
  <c r="A2662" i="2"/>
  <c r="A2646" i="2"/>
  <c r="A2630" i="2"/>
  <c r="A4545" i="2"/>
  <c r="A3785" i="2"/>
  <c r="A3530" i="2"/>
  <c r="A3420" i="2"/>
  <c r="A3356" i="2"/>
  <c r="A3287" i="2"/>
  <c r="A3251" i="2"/>
  <c r="A3244" i="2"/>
  <c r="A3204" i="2"/>
  <c r="A3197" i="2"/>
  <c r="A3190" i="2"/>
  <c r="A3150" i="2"/>
  <c r="A3143" i="2"/>
  <c r="A3096" i="2"/>
  <c r="A3089" i="2"/>
  <c r="A3043" i="2"/>
  <c r="A3011" i="2"/>
  <c r="A2994" i="2"/>
  <c r="A2977" i="2"/>
  <c r="A2955" i="2"/>
  <c r="A2939" i="2"/>
  <c r="A2923" i="2"/>
  <c r="A2907" i="2"/>
  <c r="A2891" i="2"/>
  <c r="A2875" i="2"/>
  <c r="A2859" i="2"/>
  <c r="A2843" i="2"/>
  <c r="A2827" i="2"/>
  <c r="A2811" i="2"/>
  <c r="A2795" i="2"/>
  <c r="A2779" i="2"/>
  <c r="A2763" i="2"/>
  <c r="A2747" i="2"/>
  <c r="A2731" i="2"/>
  <c r="A2715" i="2"/>
  <c r="A2699" i="2"/>
  <c r="A2683" i="2"/>
  <c r="A2667" i="2"/>
  <c r="A4100" i="2"/>
  <c r="A3685" i="2"/>
  <c r="A3653" i="2"/>
  <c r="A3552" i="2"/>
  <c r="A3462" i="2"/>
  <c r="A3398" i="2"/>
  <c r="A3318" i="2"/>
  <c r="A3302" i="2"/>
  <c r="A3260" i="2"/>
  <c r="A3235" i="2"/>
  <c r="A3228" i="2"/>
  <c r="A3188" i="2"/>
  <c r="A3181" i="2"/>
  <c r="A3174" i="2"/>
  <c r="A3134" i="2"/>
  <c r="A3127" i="2"/>
  <c r="A3080" i="2"/>
  <c r="A3073" i="2"/>
  <c r="A3036" i="2"/>
  <c r="A3028" i="2"/>
  <c r="A3022" i="2"/>
  <c r="A3005" i="2"/>
  <c r="A2988" i="2"/>
  <c r="A2971" i="2"/>
  <c r="A2960" i="2"/>
  <c r="A2944" i="2"/>
  <c r="A2928" i="2"/>
  <c r="A2912" i="2"/>
  <c r="A2896" i="2"/>
  <c r="A2880" i="2"/>
  <c r="A2864" i="2"/>
  <c r="A2848" i="2"/>
  <c r="A2832" i="2"/>
  <c r="A2816" i="2"/>
  <c r="A2800" i="2"/>
  <c r="A2784" i="2"/>
  <c r="A2768" i="2"/>
  <c r="A2752" i="2"/>
  <c r="A2736" i="2"/>
  <c r="A2720" i="2"/>
  <c r="A2704" i="2"/>
  <c r="A2688" i="2"/>
  <c r="A2672" i="2"/>
  <c r="A4464" i="2"/>
  <c r="A3866" i="2"/>
  <c r="A3770" i="2"/>
  <c r="A3525" i="2"/>
  <c r="A3458" i="2"/>
  <c r="A3394" i="2"/>
  <c r="A3334" i="2"/>
  <c r="A3314" i="2"/>
  <c r="A3271" i="2"/>
  <c r="A3219" i="2"/>
  <c r="A3212" i="2"/>
  <c r="A3172" i="2"/>
  <c r="A3165" i="2"/>
  <c r="A3158" i="2"/>
  <c r="A3118" i="2"/>
  <c r="A3111" i="2"/>
  <c r="A3064" i="2"/>
  <c r="A3057" i="2"/>
  <c r="A3049" i="2"/>
  <c r="A3016" i="2"/>
  <c r="A2999" i="2"/>
  <c r="A2982" i="2"/>
  <c r="A2965" i="2"/>
  <c r="A2949" i="2"/>
  <c r="A2933" i="2"/>
  <c r="A2917" i="2"/>
  <c r="A2901" i="2"/>
  <c r="A2885" i="2"/>
  <c r="A2869" i="2"/>
  <c r="A2853" i="2"/>
  <c r="A2837" i="2"/>
  <c r="A2821" i="2"/>
  <c r="A2805" i="2"/>
  <c r="A2789" i="2"/>
  <c r="A2773" i="2"/>
  <c r="A2757" i="2"/>
  <c r="A2741" i="2"/>
  <c r="A2725" i="2"/>
  <c r="A2709" i="2"/>
  <c r="A2693" i="2"/>
  <c r="A2677" i="2"/>
  <c r="A2661" i="2"/>
  <c r="A4223" i="2"/>
  <c r="A3972" i="2"/>
  <c r="A3647" i="2"/>
  <c r="A3616" i="2"/>
  <c r="A3593" i="2"/>
  <c r="A3570" i="2"/>
  <c r="A3502" i="2"/>
  <c r="A3479" i="2"/>
  <c r="A3415" i="2"/>
  <c r="A3351" i="2"/>
  <c r="A3330" i="2"/>
  <c r="A3298" i="2"/>
  <c r="A3286" i="2"/>
  <c r="A3250" i="2"/>
  <c r="A3203" i="2"/>
  <c r="A3196" i="2"/>
  <c r="A3156" i="2"/>
  <c r="A3149" i="2"/>
  <c r="A3142" i="2"/>
  <c r="A3102" i="2"/>
  <c r="A3095" i="2"/>
  <c r="A3042" i="2"/>
  <c r="A3010" i="2"/>
  <c r="A4416" i="2"/>
  <c r="A4190" i="2"/>
  <c r="A4058" i="2"/>
  <c r="A3838" i="2"/>
  <c r="A3759" i="2"/>
  <c r="A3670" i="2"/>
  <c r="A3542" i="2"/>
  <c r="A3474" i="2"/>
  <c r="A3410" i="2"/>
  <c r="A3346" i="2"/>
  <c r="A3329" i="2"/>
  <c r="A3297" i="2"/>
  <c r="A3249" i="2"/>
  <c r="A3209" i="2"/>
  <c r="A3202" i="2"/>
  <c r="A3155" i="2"/>
  <c r="A3148" i="2"/>
  <c r="A3108" i="2"/>
  <c r="A3101" i="2"/>
  <c r="A3094" i="2"/>
  <c r="A3041" i="2"/>
  <c r="A3033" i="2"/>
  <c r="A3009" i="2"/>
  <c r="A2992" i="2"/>
  <c r="A2986" i="2"/>
  <c r="A2969" i="2"/>
  <c r="A2953" i="2"/>
  <c r="A2937" i="2"/>
  <c r="A2921" i="2"/>
  <c r="A2905" i="2"/>
  <c r="A2889" i="2"/>
  <c r="A2873" i="2"/>
  <c r="A2857" i="2"/>
  <c r="A2841" i="2"/>
  <c r="A2825" i="2"/>
  <c r="A2809" i="2"/>
  <c r="A4414" i="2"/>
  <c r="A3708" i="2"/>
  <c r="A3547" i="2"/>
  <c r="A3126" i="2"/>
  <c r="A2987" i="2"/>
  <c r="A2943" i="2"/>
  <c r="A2879" i="2"/>
  <c r="A2815" i="2"/>
  <c r="A2794" i="2"/>
  <c r="A2745" i="2"/>
  <c r="A2676" i="2"/>
  <c r="A2660" i="2"/>
  <c r="A2649" i="2"/>
  <c r="A2601" i="2"/>
  <c r="A2575" i="2"/>
  <c r="A2528" i="2"/>
  <c r="A2521" i="2"/>
  <c r="A2439" i="2"/>
  <c r="A2433" i="2"/>
  <c r="A2427" i="2"/>
  <c r="A2410" i="2"/>
  <c r="A2393" i="2"/>
  <c r="A2370" i="2"/>
  <c r="A2353" i="2"/>
  <c r="A2331" i="2"/>
  <c r="A2315" i="2"/>
  <c r="A2299" i="2"/>
  <c r="A2283" i="2"/>
  <c r="A2267" i="2"/>
  <c r="A2251" i="2"/>
  <c r="A2235" i="2"/>
  <c r="A2219" i="2"/>
  <c r="A2203" i="2"/>
  <c r="A2187" i="2"/>
  <c r="A2171" i="2"/>
  <c r="A2155" i="2"/>
  <c r="A2139" i="2"/>
  <c r="A2123" i="2"/>
  <c r="A2107" i="2"/>
  <c r="A2091" i="2"/>
  <c r="A2075" i="2"/>
  <c r="A2059" i="2"/>
  <c r="A2043" i="2"/>
  <c r="A2027" i="2"/>
  <c r="A2011" i="2"/>
  <c r="A1995" i="2"/>
  <c r="A1979" i="2"/>
  <c r="A1963" i="2"/>
  <c r="A1947" i="2"/>
  <c r="A1931" i="2"/>
  <c r="A1915" i="2"/>
  <c r="A1899" i="2"/>
  <c r="A1883" i="2"/>
  <c r="A1867" i="2"/>
  <c r="A1851" i="2"/>
  <c r="A1835" i="2"/>
  <c r="A1819" i="2"/>
  <c r="A1803" i="2"/>
  <c r="A1787" i="2"/>
  <c r="A1771" i="2"/>
  <c r="A1755" i="2"/>
  <c r="A1739" i="2"/>
  <c r="A1723" i="2"/>
  <c r="A1707" i="2"/>
  <c r="A1691" i="2"/>
  <c r="A1675" i="2"/>
  <c r="A1659" i="2"/>
  <c r="A1643" i="2"/>
  <c r="A1627" i="2"/>
  <c r="A1611" i="2"/>
  <c r="A1595" i="2"/>
  <c r="A1579" i="2"/>
  <c r="A1563" i="2"/>
  <c r="A1547" i="2"/>
  <c r="A3678" i="2"/>
  <c r="A3431" i="2"/>
  <c r="A3124" i="2"/>
  <c r="A3085" i="2"/>
  <c r="A2964" i="2"/>
  <c r="A2900" i="2"/>
  <c r="A2836" i="2"/>
  <c r="A2761" i="2"/>
  <c r="A2692" i="2"/>
  <c r="A2638" i="2"/>
  <c r="A2608" i="2"/>
  <c r="A2582" i="2"/>
  <c r="A2566" i="2"/>
  <c r="A2559" i="2"/>
  <c r="A2512" i="2"/>
  <c r="A2505" i="2"/>
  <c r="A2445" i="2"/>
  <c r="A2421" i="2"/>
  <c r="A2404" i="2"/>
  <c r="A2381" i="2"/>
  <c r="A2364" i="2"/>
  <c r="A2347" i="2"/>
  <c r="A2336" i="2"/>
  <c r="A2320" i="2"/>
  <c r="A2304" i="2"/>
  <c r="A2288" i="2"/>
  <c r="A2272" i="2"/>
  <c r="A2256" i="2"/>
  <c r="A2240" i="2"/>
  <c r="A2224" i="2"/>
  <c r="A2208" i="2"/>
  <c r="A2192" i="2"/>
  <c r="A2176" i="2"/>
  <c r="A2160" i="2"/>
  <c r="A2144" i="2"/>
  <c r="A2128" i="2"/>
  <c r="A2112" i="2"/>
  <c r="A2096" i="2"/>
  <c r="A2080" i="2"/>
  <c r="A2064" i="2"/>
  <c r="A2048" i="2"/>
  <c r="A2032" i="2"/>
  <c r="A2016" i="2"/>
  <c r="A2000" i="2"/>
  <c r="A1984" i="2"/>
  <c r="A1968" i="2"/>
  <c r="A1952" i="2"/>
  <c r="A1936" i="2"/>
  <c r="A1920" i="2"/>
  <c r="A1904" i="2"/>
  <c r="A1888" i="2"/>
  <c r="A1872" i="2"/>
  <c r="A1856" i="2"/>
  <c r="A1840" i="2"/>
  <c r="A1824" i="2"/>
  <c r="A1808" i="2"/>
  <c r="A1792" i="2"/>
  <c r="A1776" i="2"/>
  <c r="A1760" i="2"/>
  <c r="A1744" i="2"/>
  <c r="A1728" i="2"/>
  <c r="A3313" i="2"/>
  <c r="A3164" i="2"/>
  <c r="A3079" i="2"/>
  <c r="A2942" i="2"/>
  <c r="A2878" i="2"/>
  <c r="A2814" i="2"/>
  <c r="A2777" i="2"/>
  <c r="A2708" i="2"/>
  <c r="A2635" i="2"/>
  <c r="A2617" i="2"/>
  <c r="A2591" i="2"/>
  <c r="A2550" i="2"/>
  <c r="A2543" i="2"/>
  <c r="A2496" i="2"/>
  <c r="A2489" i="2"/>
  <c r="A2481" i="2"/>
  <c r="A2475" i="2"/>
  <c r="A2469" i="2"/>
  <c r="A2463" i="2"/>
  <c r="A2457" i="2"/>
  <c r="A2415" i="2"/>
  <c r="A2398" i="2"/>
  <c r="A2392" i="2"/>
  <c r="A2375" i="2"/>
  <c r="A2358" i="2"/>
  <c r="A2341" i="2"/>
  <c r="A2325" i="2"/>
  <c r="A2309" i="2"/>
  <c r="A2293" i="2"/>
  <c r="A2277" i="2"/>
  <c r="A2261" i="2"/>
  <c r="A2245" i="2"/>
  <c r="A2229" i="2"/>
  <c r="A2213" i="2"/>
  <c r="A2197" i="2"/>
  <c r="A2181" i="2"/>
  <c r="A2165" i="2"/>
  <c r="A2149" i="2"/>
  <c r="A2133" i="2"/>
  <c r="A2117" i="2"/>
  <c r="A2101" i="2"/>
  <c r="A2085" i="2"/>
  <c r="A2069" i="2"/>
  <c r="A2053" i="2"/>
  <c r="A2037" i="2"/>
  <c r="A2021" i="2"/>
  <c r="A2005" i="2"/>
  <c r="A1989" i="2"/>
  <c r="A1973" i="2"/>
  <c r="A1957" i="2"/>
  <c r="A1941" i="2"/>
  <c r="A1925" i="2"/>
  <c r="A1909" i="2"/>
  <c r="A1893" i="2"/>
  <c r="A1877" i="2"/>
  <c r="A1861" i="2"/>
  <c r="A1845" i="2"/>
  <c r="A1829" i="2"/>
  <c r="A1813" i="2"/>
  <c r="A1797" i="2"/>
  <c r="A1781" i="2"/>
  <c r="A1765" i="2"/>
  <c r="A1749" i="2"/>
  <c r="A1733" i="2"/>
  <c r="A3414" i="2"/>
  <c r="A3241" i="2"/>
  <c r="A2938" i="2"/>
  <c r="A2874" i="2"/>
  <c r="A2810" i="2"/>
  <c r="A2793" i="2"/>
  <c r="A2724" i="2"/>
  <c r="A2656" i="2"/>
  <c r="A2624" i="2"/>
  <c r="A2598" i="2"/>
  <c r="A2574" i="2"/>
  <c r="A2534" i="2"/>
  <c r="A2527" i="2"/>
  <c r="A2444" i="2"/>
  <c r="A2438" i="2"/>
  <c r="A2432" i="2"/>
  <c r="A2426" i="2"/>
  <c r="A2409" i="2"/>
  <c r="A2386" i="2"/>
  <c r="A2369" i="2"/>
  <c r="A2352" i="2"/>
  <c r="A2330" i="2"/>
  <c r="A2314" i="2"/>
  <c r="A2298" i="2"/>
  <c r="A2282" i="2"/>
  <c r="A2266" i="2"/>
  <c r="A2250" i="2"/>
  <c r="A2234" i="2"/>
  <c r="A2218" i="2"/>
  <c r="A2202" i="2"/>
  <c r="A2186" i="2"/>
  <c r="A2170" i="2"/>
  <c r="A2154" i="2"/>
  <c r="A2138" i="2"/>
  <c r="A2122" i="2"/>
  <c r="A2106" i="2"/>
  <c r="A2090" i="2"/>
  <c r="A2074" i="2"/>
  <c r="A2058" i="2"/>
  <c r="A2042" i="2"/>
  <c r="A2026" i="2"/>
  <c r="A2010" i="2"/>
  <c r="A1994" i="2"/>
  <c r="A1978" i="2"/>
  <c r="A1962" i="2"/>
  <c r="A1946" i="2"/>
  <c r="A1930" i="2"/>
  <c r="A1914" i="2"/>
  <c r="A1898" i="2"/>
  <c r="A1882" i="2"/>
  <c r="A1866" i="2"/>
  <c r="A1850" i="2"/>
  <c r="A1834" i="2"/>
  <c r="A1818" i="2"/>
  <c r="A1802" i="2"/>
  <c r="A1786" i="2"/>
  <c r="A1770" i="2"/>
  <c r="A1754" i="2"/>
  <c r="A1738" i="2"/>
  <c r="A1722" i="2"/>
  <c r="A4062" i="2"/>
  <c r="A3117" i="2"/>
  <c r="A3078" i="2"/>
  <c r="A3004" i="2"/>
  <c r="A2959" i="2"/>
  <c r="A2895" i="2"/>
  <c r="A2831" i="2"/>
  <c r="A2740" i="2"/>
  <c r="A2671" i="2"/>
  <c r="A2645" i="2"/>
  <c r="A2607" i="2"/>
  <c r="A2581" i="2"/>
  <c r="A2572" i="2"/>
  <c r="A2565" i="2"/>
  <c r="A2558" i="2"/>
  <c r="A2518" i="2"/>
  <c r="A2511" i="2"/>
  <c r="A2456" i="2"/>
  <c r="A2420" i="2"/>
  <c r="A2397" i="2"/>
  <c r="A2380" i="2"/>
  <c r="A2363" i="2"/>
  <c r="A2346" i="2"/>
  <c r="A2335" i="2"/>
  <c r="A2319" i="2"/>
  <c r="A2303" i="2"/>
  <c r="A2287" i="2"/>
  <c r="A2271" i="2"/>
  <c r="A2255" i="2"/>
  <c r="A2239" i="2"/>
  <c r="A2223" i="2"/>
  <c r="A2207" i="2"/>
  <c r="A2191" i="2"/>
  <c r="A2175" i="2"/>
  <c r="A2159" i="2"/>
  <c r="A2143" i="2"/>
  <c r="A2127" i="2"/>
  <c r="A2111" i="2"/>
  <c r="A2095" i="2"/>
  <c r="A2079" i="2"/>
  <c r="A2063" i="2"/>
  <c r="A2047" i="2"/>
  <c r="A2031" i="2"/>
  <c r="A2015" i="2"/>
  <c r="A1999" i="2"/>
  <c r="A1983" i="2"/>
  <c r="A1967" i="2"/>
  <c r="A1951" i="2"/>
  <c r="A1935" i="2"/>
  <c r="A1919" i="2"/>
  <c r="A1903" i="2"/>
  <c r="A1887" i="2"/>
  <c r="A1871" i="2"/>
  <c r="A1855" i="2"/>
  <c r="A1839" i="2"/>
  <c r="A1823" i="2"/>
  <c r="A1807" i="2"/>
  <c r="A1791" i="2"/>
  <c r="A1775" i="2"/>
  <c r="A1759" i="2"/>
  <c r="A1743" i="2"/>
  <c r="A1727" i="2"/>
  <c r="A3646" i="2"/>
  <c r="A3519" i="2"/>
  <c r="A3240" i="2"/>
  <c r="A2916" i="2"/>
  <c r="A2852" i="2"/>
  <c r="A2756" i="2"/>
  <c r="A2687" i="2"/>
  <c r="A2634" i="2"/>
  <c r="A2614" i="2"/>
  <c r="A2590" i="2"/>
  <c r="A2556" i="2"/>
  <c r="A2549" i="2"/>
  <c r="A2542" i="2"/>
  <c r="A2502" i="2"/>
  <c r="A2495" i="2"/>
  <c r="A2480" i="2"/>
  <c r="A2474" i="2"/>
  <c r="A2468" i="2"/>
  <c r="A2462" i="2"/>
  <c r="A2414" i="2"/>
  <c r="A2408" i="2"/>
  <c r="A2391" i="2"/>
  <c r="A2374" i="2"/>
  <c r="A2357" i="2"/>
  <c r="A2340" i="2"/>
  <c r="A2324" i="2"/>
  <c r="A2308" i="2"/>
  <c r="A2292" i="2"/>
  <c r="A2276" i="2"/>
  <c r="A2260" i="2"/>
  <c r="A2244" i="2"/>
  <c r="A2228" i="2"/>
  <c r="A2212" i="2"/>
  <c r="A2196" i="2"/>
  <c r="A2180" i="2"/>
  <c r="A2164" i="2"/>
  <c r="A2148" i="2"/>
  <c r="A2132" i="2"/>
  <c r="A2116" i="2"/>
  <c r="A2100" i="2"/>
  <c r="A2084" i="2"/>
  <c r="A2068" i="2"/>
  <c r="A2052" i="2"/>
  <c r="A2036" i="2"/>
  <c r="A2020" i="2"/>
  <c r="A2004" i="2"/>
  <c r="A1988" i="2"/>
  <c r="A1972" i="2"/>
  <c r="A1956" i="2"/>
  <c r="A1940" i="2"/>
  <c r="A1924" i="2"/>
  <c r="A3234" i="2"/>
  <c r="A3070" i="2"/>
  <c r="A3003" i="2"/>
  <c r="A2980" i="2"/>
  <c r="A2958" i="2"/>
  <c r="A2894" i="2"/>
  <c r="A2830" i="2"/>
  <c r="A2772" i="2"/>
  <c r="A2703" i="2"/>
  <c r="A2655" i="2"/>
  <c r="A2623" i="2"/>
  <c r="A2597" i="2"/>
  <c r="A2588" i="2"/>
  <c r="A2540" i="2"/>
  <c r="A2533" i="2"/>
  <c r="A2526" i="2"/>
  <c r="A2486" i="2"/>
  <c r="A2455" i="2"/>
  <c r="A2449" i="2"/>
  <c r="A2443" i="2"/>
  <c r="A2437" i="2"/>
  <c r="A2431" i="2"/>
  <c r="A2425" i="2"/>
  <c r="A2402" i="2"/>
  <c r="A2385" i="2"/>
  <c r="A2368" i="2"/>
  <c r="A2351" i="2"/>
  <c r="A2329" i="2"/>
  <c r="A2313" i="2"/>
  <c r="A2297" i="2"/>
  <c r="A2281" i="2"/>
  <c r="A2265" i="2"/>
  <c r="A2249" i="2"/>
  <c r="A2233" i="2"/>
  <c r="A2217" i="2"/>
  <c r="A2201" i="2"/>
  <c r="A2185" i="2"/>
  <c r="A2169" i="2"/>
  <c r="A2153" i="2"/>
  <c r="A2137" i="2"/>
  <c r="A2121" i="2"/>
  <c r="A2105" i="2"/>
  <c r="A2089" i="2"/>
  <c r="A2073" i="2"/>
  <c r="A2057" i="2"/>
  <c r="A2041" i="2"/>
  <c r="A2025" i="2"/>
  <c r="A2009" i="2"/>
  <c r="A1993" i="2"/>
  <c r="A1977" i="2"/>
  <c r="A1961" i="2"/>
  <c r="A1945" i="2"/>
  <c r="A1929" i="2"/>
  <c r="A3934" i="2"/>
  <c r="A3193" i="2"/>
  <c r="A3110" i="2"/>
  <c r="A3027" i="2"/>
  <c r="A2976" i="2"/>
  <c r="A2954" i="2"/>
  <c r="A2890" i="2"/>
  <c r="A2826" i="2"/>
  <c r="A2788" i="2"/>
  <c r="A2719" i="2"/>
  <c r="A2670" i="2"/>
  <c r="A2644" i="2"/>
  <c r="A2606" i="2"/>
  <c r="A2580" i="2"/>
  <c r="A2571" i="2"/>
  <c r="A2564" i="2"/>
  <c r="A2524" i="2"/>
  <c r="A2517" i="2"/>
  <c r="A2510" i="2"/>
  <c r="A2461" i="2"/>
  <c r="A2413" i="2"/>
  <c r="A2396" i="2"/>
  <c r="A2379" i="2"/>
  <c r="A2362" i="2"/>
  <c r="A2345" i="2"/>
  <c r="A2334" i="2"/>
  <c r="A2318" i="2"/>
  <c r="A2302" i="2"/>
  <c r="A2286" i="2"/>
  <c r="A2270" i="2"/>
  <c r="A2254" i="2"/>
  <c r="A2238" i="2"/>
  <c r="A2222" i="2"/>
  <c r="A2206" i="2"/>
  <c r="A2190" i="2"/>
  <c r="A2174" i="2"/>
  <c r="A2158" i="2"/>
  <c r="A2142" i="2"/>
  <c r="A2126" i="2"/>
  <c r="A2110" i="2"/>
  <c r="A2094" i="2"/>
  <c r="A2078" i="2"/>
  <c r="A2062" i="2"/>
  <c r="A2046" i="2"/>
  <c r="A2030" i="2"/>
  <c r="A2014" i="2"/>
  <c r="A1998" i="2"/>
  <c r="A1982" i="2"/>
  <c r="A1966" i="2"/>
  <c r="A1950" i="2"/>
  <c r="A1934" i="2"/>
  <c r="A3854" i="2"/>
  <c r="A3615" i="2"/>
  <c r="A3496" i="2"/>
  <c r="A3372" i="2"/>
  <c r="A3282" i="2"/>
  <c r="A3233" i="2"/>
  <c r="A3187" i="2"/>
  <c r="A2911" i="2"/>
  <c r="A2847" i="2"/>
  <c r="A2735" i="2"/>
  <c r="A2686" i="2"/>
  <c r="A2666" i="2"/>
  <c r="A2633" i="2"/>
  <c r="A2613" i="2"/>
  <c r="A2604" i="2"/>
  <c r="A2587" i="2"/>
  <c r="A2555" i="2"/>
  <c r="A2548" i="2"/>
  <c r="A2508" i="2"/>
  <c r="A2501" i="2"/>
  <c r="A2494" i="2"/>
  <c r="A2479" i="2"/>
  <c r="A2473" i="2"/>
  <c r="A2424" i="2"/>
  <c r="A2407" i="2"/>
  <c r="A2390" i="2"/>
  <c r="A2373" i="2"/>
  <c r="A2356" i="2"/>
  <c r="A2339" i="2"/>
  <c r="A2323" i="2"/>
  <c r="A2307" i="2"/>
  <c r="A2291" i="2"/>
  <c r="A2275" i="2"/>
  <c r="A2259" i="2"/>
  <c r="A2243" i="2"/>
  <c r="A2227" i="2"/>
  <c r="A2211" i="2"/>
  <c r="A2195" i="2"/>
  <c r="A2179" i="2"/>
  <c r="A2163" i="2"/>
  <c r="A2147" i="2"/>
  <c r="A2131" i="2"/>
  <c r="A2115" i="2"/>
  <c r="A2099" i="2"/>
  <c r="A2083" i="2"/>
  <c r="A2067" i="2"/>
  <c r="A2051" i="2"/>
  <c r="A2035" i="2"/>
  <c r="A2019" i="2"/>
  <c r="A2003" i="2"/>
  <c r="A1987" i="2"/>
  <c r="A1971" i="2"/>
  <c r="A1955" i="2"/>
  <c r="A1939" i="2"/>
  <c r="A1923" i="2"/>
  <c r="A3610" i="2"/>
  <c r="A3063" i="2"/>
  <c r="A3026" i="2"/>
  <c r="A2998" i="2"/>
  <c r="A2975" i="2"/>
  <c r="A2932" i="2"/>
  <c r="A2868" i="2"/>
  <c r="A2804" i="2"/>
  <c r="A2751" i="2"/>
  <c r="A2702" i="2"/>
  <c r="A2682" i="2"/>
  <c r="A2654" i="2"/>
  <c r="A2622" i="2"/>
  <c r="A2596" i="2"/>
  <c r="A2539" i="2"/>
  <c r="A2532" i="2"/>
  <c r="A2492" i="2"/>
  <c r="A2485" i="2"/>
  <c r="A2460" i="2"/>
  <c r="A2454" i="2"/>
  <c r="A2448" i="2"/>
  <c r="A2442" i="2"/>
  <c r="A2436" i="2"/>
  <c r="A2430" i="2"/>
  <c r="A2418" i="2"/>
  <c r="A2401" i="2"/>
  <c r="A2384" i="2"/>
  <c r="A2367" i="2"/>
  <c r="A2350" i="2"/>
  <c r="A2344" i="2"/>
  <c r="A2328" i="2"/>
  <c r="A2312" i="2"/>
  <c r="A2296" i="2"/>
  <c r="A2280" i="2"/>
  <c r="A2264" i="2"/>
  <c r="A2248" i="2"/>
  <c r="A2232" i="2"/>
  <c r="A2216" i="2"/>
  <c r="A2200" i="2"/>
  <c r="A2184" i="2"/>
  <c r="A2168" i="2"/>
  <c r="A2152" i="2"/>
  <c r="A2136" i="2"/>
  <c r="A2120" i="2"/>
  <c r="A2104" i="2"/>
  <c r="A2088" i="2"/>
  <c r="A2072" i="2"/>
  <c r="A2056" i="2"/>
  <c r="A2040" i="2"/>
  <c r="A2024" i="2"/>
  <c r="A2008" i="2"/>
  <c r="A1992" i="2"/>
  <c r="A1976" i="2"/>
  <c r="A1960" i="2"/>
  <c r="A1944" i="2"/>
  <c r="A1928" i="2"/>
  <c r="A3834" i="2"/>
  <c r="A3478" i="2"/>
  <c r="A3367" i="2"/>
  <c r="A3225" i="2"/>
  <c r="A3186" i="2"/>
  <c r="A3140" i="2"/>
  <c r="A3021" i="2"/>
  <c r="A2910" i="2"/>
  <c r="A2846" i="2"/>
  <c r="A2767" i="2"/>
  <c r="A2718" i="2"/>
  <c r="A2698" i="2"/>
  <c r="A2651" i="2"/>
  <c r="A2620" i="2"/>
  <c r="A2603" i="2"/>
  <c r="A2570" i="2"/>
  <c r="A2523" i="2"/>
  <c r="A2516" i="2"/>
  <c r="A2472" i="2"/>
  <c r="A2412" i="2"/>
  <c r="A2395" i="2"/>
  <c r="A2378" i="2"/>
  <c r="A2361" i="2"/>
  <c r="A2333" i="2"/>
  <c r="A2317" i="2"/>
  <c r="A2301" i="2"/>
  <c r="A2285" i="2"/>
  <c r="A2269" i="2"/>
  <c r="A2253" i="2"/>
  <c r="A2237" i="2"/>
  <c r="A2221" i="2"/>
  <c r="A2205" i="2"/>
  <c r="A2189" i="2"/>
  <c r="A2173" i="2"/>
  <c r="A2157" i="2"/>
  <c r="A2141" i="2"/>
  <c r="A2125" i="2"/>
  <c r="A2109" i="2"/>
  <c r="A2093" i="2"/>
  <c r="A2077" i="2"/>
  <c r="A2061" i="2"/>
  <c r="A2045" i="2"/>
  <c r="A2029" i="2"/>
  <c r="A2013" i="2"/>
  <c r="A1997" i="2"/>
  <c r="A1981" i="2"/>
  <c r="A1965" i="2"/>
  <c r="A1949" i="2"/>
  <c r="A1933" i="2"/>
  <c r="A3769" i="2"/>
  <c r="A3270" i="2"/>
  <c r="A3180" i="2"/>
  <c r="A3056" i="2"/>
  <c r="A2993" i="2"/>
  <c r="A2970" i="2"/>
  <c r="A2906" i="2"/>
  <c r="A2842" i="2"/>
  <c r="A2783" i="2"/>
  <c r="A2734" i="2"/>
  <c r="A2714" i="2"/>
  <c r="A2665" i="2"/>
  <c r="A2640" i="2"/>
  <c r="A2612" i="2"/>
  <c r="A2586" i="2"/>
  <c r="A2561" i="2"/>
  <c r="A2554" i="2"/>
  <c r="A2507" i="2"/>
  <c r="A2500" i="2"/>
  <c r="A2478" i="2"/>
  <c r="A2429" i="2"/>
  <c r="A2423" i="2"/>
  <c r="A2406" i="2"/>
  <c r="A2389" i="2"/>
  <c r="A2372" i="2"/>
  <c r="A2349" i="2"/>
  <c r="A2338" i="2"/>
  <c r="A2322" i="2"/>
  <c r="A2306" i="2"/>
  <c r="A2290" i="2"/>
  <c r="A3350" i="2"/>
  <c r="A3139" i="2"/>
  <c r="A3020" i="2"/>
  <c r="A2927" i="2"/>
  <c r="A2863" i="2"/>
  <c r="A2799" i="2"/>
  <c r="A2750" i="2"/>
  <c r="A2730" i="2"/>
  <c r="A2681" i="2"/>
  <c r="A3569" i="2"/>
  <c r="A3257" i="2"/>
  <c r="A3092" i="2"/>
  <c r="A3015" i="2"/>
  <c r="A2926" i="2"/>
  <c r="A2862" i="2"/>
  <c r="A2782" i="2"/>
  <c r="A2762" i="2"/>
  <c r="A2713" i="2"/>
  <c r="A2639" i="2"/>
  <c r="A2585" i="2"/>
  <c r="A2560" i="2"/>
  <c r="A2553" i="2"/>
  <c r="A2513" i="2"/>
  <c r="A2506" i="2"/>
  <c r="A2440" i="2"/>
  <c r="A2422" i="2"/>
  <c r="A2405" i="2"/>
  <c r="A2388" i="2"/>
  <c r="A2365" i="2"/>
  <c r="A2348" i="2"/>
  <c r="A2337" i="2"/>
  <c r="A2321" i="2"/>
  <c r="A2305" i="2"/>
  <c r="A2289" i="2"/>
  <c r="A2273" i="2"/>
  <c r="A2257" i="2"/>
  <c r="A2241" i="2"/>
  <c r="A2225" i="2"/>
  <c r="A2209" i="2"/>
  <c r="A2193" i="2"/>
  <c r="A2177" i="2"/>
  <c r="A2161" i="2"/>
  <c r="A2145" i="2"/>
  <c r="A2129" i="2"/>
  <c r="A2113" i="2"/>
  <c r="A2097" i="2"/>
  <c r="A2081" i="2"/>
  <c r="A2065" i="2"/>
  <c r="A2049" i="2"/>
  <c r="A2033" i="2"/>
  <c r="A2017" i="2"/>
  <c r="A2884" i="2"/>
  <c r="A2538" i="2"/>
  <c r="A2464" i="2"/>
  <c r="A2262" i="2"/>
  <c r="A2198" i="2"/>
  <c r="A2134" i="2"/>
  <c r="A2070" i="2"/>
  <c r="A2006" i="2"/>
  <c r="A1986" i="2"/>
  <c r="A1937" i="2"/>
  <c r="A1913" i="2"/>
  <c r="A1906" i="2"/>
  <c r="A1859" i="2"/>
  <c r="A1852" i="2"/>
  <c r="A1812" i="2"/>
  <c r="A1805" i="2"/>
  <c r="A1798" i="2"/>
  <c r="A1758" i="2"/>
  <c r="A1751" i="2"/>
  <c r="A1708" i="2"/>
  <c r="A1685" i="2"/>
  <c r="A1668" i="2"/>
  <c r="A1651" i="2"/>
  <c r="A1634" i="2"/>
  <c r="A1617" i="2"/>
  <c r="A1594" i="2"/>
  <c r="A1577" i="2"/>
  <c r="A1560" i="2"/>
  <c r="A1543" i="2"/>
  <c r="A1532" i="2"/>
  <c r="A1516" i="2"/>
  <c r="A1500" i="2"/>
  <c r="A1484" i="2"/>
  <c r="A1468" i="2"/>
  <c r="A1452" i="2"/>
  <c r="A1436" i="2"/>
  <c r="A1420" i="2"/>
  <c r="A1404" i="2"/>
  <c r="A1388" i="2"/>
  <c r="A1372" i="2"/>
  <c r="A1356" i="2"/>
  <c r="A1340" i="2"/>
  <c r="A1324" i="2"/>
  <c r="A1308" i="2"/>
  <c r="A1292" i="2"/>
  <c r="A1276" i="2"/>
  <c r="A1260" i="2"/>
  <c r="A1244" i="2"/>
  <c r="A1228" i="2"/>
  <c r="A1212" i="2"/>
  <c r="A1196" i="2"/>
  <c r="A1180" i="2"/>
  <c r="A1164" i="2"/>
  <c r="A1148" i="2"/>
  <c r="A1132" i="2"/>
  <c r="A1116" i="2"/>
  <c r="A1100" i="2"/>
  <c r="A1084" i="2"/>
  <c r="A1068" i="2"/>
  <c r="A1052" i="2"/>
  <c r="A1036" i="2"/>
  <c r="A1020" i="2"/>
  <c r="A1004" i="2"/>
  <c r="A988" i="2"/>
  <c r="A972" i="2"/>
  <c r="A956" i="2"/>
  <c r="A940" i="2"/>
  <c r="A924" i="2"/>
  <c r="A3086" i="2"/>
  <c r="A2729" i="2"/>
  <c r="A2628" i="2"/>
  <c r="A2497" i="2"/>
  <c r="A2459" i="2"/>
  <c r="A2428" i="2"/>
  <c r="A2399" i="2"/>
  <c r="A2366" i="2"/>
  <c r="A2310" i="2"/>
  <c r="A2258" i="2"/>
  <c r="A2194" i="2"/>
  <c r="A2130" i="2"/>
  <c r="A2066" i="2"/>
  <c r="A2002" i="2"/>
  <c r="A1953" i="2"/>
  <c r="A1897" i="2"/>
  <c r="A1890" i="2"/>
  <c r="A1843" i="2"/>
  <c r="A1836" i="2"/>
  <c r="A1796" i="2"/>
  <c r="A1789" i="2"/>
  <c r="A1782" i="2"/>
  <c r="A1742" i="2"/>
  <c r="A1735" i="2"/>
  <c r="A1702" i="2"/>
  <c r="A1696" i="2"/>
  <c r="A1679" i="2"/>
  <c r="A1662" i="2"/>
  <c r="A1645" i="2"/>
  <c r="A1628" i="2"/>
  <c r="A1605" i="2"/>
  <c r="A1588" i="2"/>
  <c r="A1571" i="2"/>
  <c r="A1554" i="2"/>
  <c r="A1537" i="2"/>
  <c r="A1521" i="2"/>
  <c r="A1505" i="2"/>
  <c r="A1489" i="2"/>
  <c r="A1473" i="2"/>
  <c r="A1457" i="2"/>
  <c r="A1441" i="2"/>
  <c r="A1425" i="2"/>
  <c r="A1409" i="2"/>
  <c r="A1393" i="2"/>
  <c r="A1377" i="2"/>
  <c r="A1361" i="2"/>
  <c r="A1345" i="2"/>
  <c r="A1329" i="2"/>
  <c r="A1313" i="2"/>
  <c r="A1297" i="2"/>
  <c r="A1281" i="2"/>
  <c r="A1265" i="2"/>
  <c r="A1249" i="2"/>
  <c r="A1233" i="2"/>
  <c r="A1217" i="2"/>
  <c r="A1201" i="2"/>
  <c r="A1185" i="2"/>
  <c r="A1169" i="2"/>
  <c r="A1153" i="2"/>
  <c r="A1137" i="2"/>
  <c r="A1121" i="2"/>
  <c r="A1105" i="2"/>
  <c r="A1089" i="2"/>
  <c r="A1073" i="2"/>
  <c r="A1057" i="2"/>
  <c r="A1041" i="2"/>
  <c r="A1025" i="2"/>
  <c r="A1009" i="2"/>
  <c r="A993" i="2"/>
  <c r="A977" i="2"/>
  <c r="A961" i="2"/>
  <c r="A945" i="2"/>
  <c r="A929" i="2"/>
  <c r="A3054" i="2"/>
  <c r="A2619" i="2"/>
  <c r="A2576" i="2"/>
  <c r="A2537" i="2"/>
  <c r="A2491" i="2"/>
  <c r="A2279" i="2"/>
  <c r="A2215" i="2"/>
  <c r="A2151" i="2"/>
  <c r="A2087" i="2"/>
  <c r="A2023" i="2"/>
  <c r="A1969" i="2"/>
  <c r="A1921" i="2"/>
  <c r="A1881" i="2"/>
  <c r="A1874" i="2"/>
  <c r="A1827" i="2"/>
  <c r="A1820" i="2"/>
  <c r="A1780" i="2"/>
  <c r="A1773" i="2"/>
  <c r="A1766" i="2"/>
  <c r="A1726" i="2"/>
  <c r="A1719" i="2"/>
  <c r="A1713" i="2"/>
  <c r="A1690" i="2"/>
  <c r="A1673" i="2"/>
  <c r="A1656" i="2"/>
  <c r="A1639" i="2"/>
  <c r="A1622" i="2"/>
  <c r="A1616" i="2"/>
  <c r="A1599" i="2"/>
  <c r="A1582" i="2"/>
  <c r="A1565" i="2"/>
  <c r="A1548" i="2"/>
  <c r="A1526" i="2"/>
  <c r="A1510" i="2"/>
  <c r="A1494" i="2"/>
  <c r="A1478" i="2"/>
  <c r="A1462" i="2"/>
  <c r="A1446" i="2"/>
  <c r="A1430" i="2"/>
  <c r="A1414" i="2"/>
  <c r="A1398" i="2"/>
  <c r="A1382" i="2"/>
  <c r="A1366" i="2"/>
  <c r="A1350" i="2"/>
  <c r="A1334" i="2"/>
  <c r="A1318" i="2"/>
  <c r="A1302" i="2"/>
  <c r="A1286" i="2"/>
  <c r="A1270" i="2"/>
  <c r="A1254" i="2"/>
  <c r="A1238" i="2"/>
  <c r="A1222" i="2"/>
  <c r="A1206" i="2"/>
  <c r="A1190" i="2"/>
  <c r="A1174" i="2"/>
  <c r="A1158" i="2"/>
  <c r="A1142" i="2"/>
  <c r="A1126" i="2"/>
  <c r="A1110" i="2"/>
  <c r="A1094" i="2"/>
  <c r="A1078" i="2"/>
  <c r="A1062" i="2"/>
  <c r="A1046" i="2"/>
  <c r="A1030" i="2"/>
  <c r="A1014" i="2"/>
  <c r="A998" i="2"/>
  <c r="A982" i="2"/>
  <c r="A966" i="2"/>
  <c r="A950" i="2"/>
  <c r="A934" i="2"/>
  <c r="A3048" i="2"/>
  <c r="A2858" i="2"/>
  <c r="A2458" i="2"/>
  <c r="A2394" i="2"/>
  <c r="A2236" i="2"/>
  <c r="A2172" i="2"/>
  <c r="A2108" i="2"/>
  <c r="A2044" i="2"/>
  <c r="A1985" i="2"/>
  <c r="A1912" i="2"/>
  <c r="A1905" i="2"/>
  <c r="A1865" i="2"/>
  <c r="A1858" i="2"/>
  <c r="A1811" i="2"/>
  <c r="A1804" i="2"/>
  <c r="A1764" i="2"/>
  <c r="A1757" i="2"/>
  <c r="A1750" i="2"/>
  <c r="A1701" i="2"/>
  <c r="A1684" i="2"/>
  <c r="A1667" i="2"/>
  <c r="A1650" i="2"/>
  <c r="A1633" i="2"/>
  <c r="A1610" i="2"/>
  <c r="A1593" i="2"/>
  <c r="A1576" i="2"/>
  <c r="A1559" i="2"/>
  <c r="A1542" i="2"/>
  <c r="A1531" i="2"/>
  <c r="A1515" i="2"/>
  <c r="A1499" i="2"/>
  <c r="A1483" i="2"/>
  <c r="A1467" i="2"/>
  <c r="A1451" i="2"/>
  <c r="A1435" i="2"/>
  <c r="A1419" i="2"/>
  <c r="A1403" i="2"/>
  <c r="A1387" i="2"/>
  <c r="A1371" i="2"/>
  <c r="A1355" i="2"/>
  <c r="A1339" i="2"/>
  <c r="A1323" i="2"/>
  <c r="A1307" i="2"/>
  <c r="A1291" i="2"/>
  <c r="A1275" i="2"/>
  <c r="A1259" i="2"/>
  <c r="A1243" i="2"/>
  <c r="A1227" i="2"/>
  <c r="A1211" i="2"/>
  <c r="A1195" i="2"/>
  <c r="A1179" i="2"/>
  <c r="A1163" i="2"/>
  <c r="A1147" i="2"/>
  <c r="A1131" i="2"/>
  <c r="A1115" i="2"/>
  <c r="A1099" i="2"/>
  <c r="A1083" i="2"/>
  <c r="A1067" i="2"/>
  <c r="A1051" i="2"/>
  <c r="A1035" i="2"/>
  <c r="A1019" i="2"/>
  <c r="A1003" i="2"/>
  <c r="A987" i="2"/>
  <c r="A971" i="2"/>
  <c r="A955" i="2"/>
  <c r="A939" i="2"/>
  <c r="A923" i="2"/>
  <c r="A907" i="2"/>
  <c r="A891" i="2"/>
  <c r="A875" i="2"/>
  <c r="A859" i="2"/>
  <c r="A843" i="2"/>
  <c r="A2697" i="2"/>
  <c r="A2618" i="2"/>
  <c r="A2529" i="2"/>
  <c r="A2490" i="2"/>
  <c r="A2453" i="2"/>
  <c r="A2360" i="2"/>
  <c r="A2332" i="2"/>
  <c r="A2278" i="2"/>
  <c r="A2214" i="2"/>
  <c r="A2150" i="2"/>
  <c r="A2086" i="2"/>
  <c r="A2022" i="2"/>
  <c r="A2001" i="2"/>
  <c r="A1932" i="2"/>
  <c r="A1896" i="2"/>
  <c r="A1889" i="2"/>
  <c r="A1849" i="2"/>
  <c r="A1842" i="2"/>
  <c r="A1795" i="2"/>
  <c r="A1788" i="2"/>
  <c r="A1748" i="2"/>
  <c r="A1741" i="2"/>
  <c r="A1734" i="2"/>
  <c r="A1712" i="2"/>
  <c r="A1695" i="2"/>
  <c r="A1678" i="2"/>
  <c r="A1661" i="2"/>
  <c r="A1644" i="2"/>
  <c r="A1621" i="2"/>
  <c r="A1604" i="2"/>
  <c r="A1587" i="2"/>
  <c r="A1570" i="2"/>
  <c r="A1553" i="2"/>
  <c r="A1536" i="2"/>
  <c r="A1520" i="2"/>
  <c r="A1504" i="2"/>
  <c r="A1488" i="2"/>
  <c r="A1472" i="2"/>
  <c r="A1456" i="2"/>
  <c r="A1440" i="2"/>
  <c r="A1424" i="2"/>
  <c r="A1408" i="2"/>
  <c r="A1392" i="2"/>
  <c r="A1376" i="2"/>
  <c r="A1360" i="2"/>
  <c r="A1344" i="2"/>
  <c r="A1328" i="2"/>
  <c r="A1312" i="2"/>
  <c r="A1296" i="2"/>
  <c r="A1280" i="2"/>
  <c r="A1264" i="2"/>
  <c r="A1248" i="2"/>
  <c r="A1232" i="2"/>
  <c r="A1216" i="2"/>
  <c r="A1200" i="2"/>
  <c r="A1184" i="2"/>
  <c r="A1168" i="2"/>
  <c r="A1152" i="2"/>
  <c r="A1136" i="2"/>
  <c r="A1120" i="2"/>
  <c r="A1104" i="2"/>
  <c r="A1088" i="2"/>
  <c r="A1072" i="2"/>
  <c r="A1056" i="2"/>
  <c r="A1040" i="2"/>
  <c r="A1024" i="2"/>
  <c r="A1008" i="2"/>
  <c r="A992" i="2"/>
  <c r="A976" i="2"/>
  <c r="A960" i="2"/>
  <c r="A944" i="2"/>
  <c r="A928" i="2"/>
  <c r="A3436" i="2"/>
  <c r="A2569" i="2"/>
  <c r="A2484" i="2"/>
  <c r="A2274" i="2"/>
  <c r="A2210" i="2"/>
  <c r="A2146" i="2"/>
  <c r="A2082" i="2"/>
  <c r="A2018" i="2"/>
  <c r="A1948" i="2"/>
  <c r="A1880" i="2"/>
  <c r="A1873" i="2"/>
  <c r="A1833" i="2"/>
  <c r="A1826" i="2"/>
  <c r="A1779" i="2"/>
  <c r="A1772" i="2"/>
  <c r="A1732" i="2"/>
  <c r="A1725" i="2"/>
  <c r="A1718" i="2"/>
  <c r="A1706" i="2"/>
  <c r="A1689" i="2"/>
  <c r="A1672" i="2"/>
  <c r="A1655" i="2"/>
  <c r="A1638" i="2"/>
  <c r="A1632" i="2"/>
  <c r="A1615" i="2"/>
  <c r="A1598" i="2"/>
  <c r="A1581" i="2"/>
  <c r="A1564" i="2"/>
  <c r="A1541" i="2"/>
  <c r="A1525" i="2"/>
  <c r="A1509" i="2"/>
  <c r="A1493" i="2"/>
  <c r="A1477" i="2"/>
  <c r="A1461" i="2"/>
  <c r="A1445" i="2"/>
  <c r="A1429" i="2"/>
  <c r="A1413" i="2"/>
  <c r="A1397" i="2"/>
  <c r="A1381" i="2"/>
  <c r="A1365" i="2"/>
  <c r="A1349" i="2"/>
  <c r="A1333" i="2"/>
  <c r="A1317" i="2"/>
  <c r="A1301" i="2"/>
  <c r="A1285" i="2"/>
  <c r="A1269" i="2"/>
  <c r="A1253" i="2"/>
  <c r="A1237" i="2"/>
  <c r="A1221" i="2"/>
  <c r="A1205" i="2"/>
  <c r="A1189" i="2"/>
  <c r="A1173" i="2"/>
  <c r="A1157" i="2"/>
  <c r="A1141" i="2"/>
  <c r="A1125" i="2"/>
  <c r="A2820" i="2"/>
  <c r="A2452" i="2"/>
  <c r="A2417" i="2"/>
  <c r="A2359" i="2"/>
  <c r="A2327" i="2"/>
  <c r="A2300" i="2"/>
  <c r="A2231" i="2"/>
  <c r="A2167" i="2"/>
  <c r="A2103" i="2"/>
  <c r="A2039" i="2"/>
  <c r="A1964" i="2"/>
  <c r="A1918" i="2"/>
  <c r="A1911" i="2"/>
  <c r="A1864" i="2"/>
  <c r="A1857" i="2"/>
  <c r="A1817" i="2"/>
  <c r="A1810" i="2"/>
  <c r="A1763" i="2"/>
  <c r="A1756" i="2"/>
  <c r="A1717" i="2"/>
  <c r="A1700" i="2"/>
  <c r="A1683" i="2"/>
  <c r="A1666" i="2"/>
  <c r="A1649" i="2"/>
  <c r="A1626" i="2"/>
  <c r="A1609" i="2"/>
  <c r="A1592" i="2"/>
  <c r="A1575" i="2"/>
  <c r="A1558" i="2"/>
  <c r="A1552" i="2"/>
  <c r="A1530" i="2"/>
  <c r="A1514" i="2"/>
  <c r="A1498" i="2"/>
  <c r="A1482" i="2"/>
  <c r="A1466" i="2"/>
  <c r="A1450" i="2"/>
  <c r="A1434" i="2"/>
  <c r="A1418" i="2"/>
  <c r="A1402" i="2"/>
  <c r="A1386" i="2"/>
  <c r="A1370" i="2"/>
  <c r="A1354" i="2"/>
  <c r="A1338" i="2"/>
  <c r="A1322" i="2"/>
  <c r="A1306" i="2"/>
  <c r="A1290" i="2"/>
  <c r="A1274" i="2"/>
  <c r="A1258" i="2"/>
  <c r="A1242" i="2"/>
  <c r="A1226" i="2"/>
  <c r="A1210" i="2"/>
  <c r="A1194" i="2"/>
  <c r="A1178" i="2"/>
  <c r="A1162" i="2"/>
  <c r="A1146" i="2"/>
  <c r="A1130" i="2"/>
  <c r="A2522" i="2"/>
  <c r="A2447" i="2"/>
  <c r="A2252" i="2"/>
  <c r="A2188" i="2"/>
  <c r="A2124" i="2"/>
  <c r="A2060" i="2"/>
  <c r="A1980" i="2"/>
  <c r="A1902" i="2"/>
  <c r="A1895" i="2"/>
  <c r="A1848" i="2"/>
  <c r="A1841" i="2"/>
  <c r="A1801" i="2"/>
  <c r="A1794" i="2"/>
  <c r="A1747" i="2"/>
  <c r="A1740" i="2"/>
  <c r="A1711" i="2"/>
  <c r="A1694" i="2"/>
  <c r="A1677" i="2"/>
  <c r="A1660" i="2"/>
  <c r="A1637" i="2"/>
  <c r="A1620" i="2"/>
  <c r="A1603" i="2"/>
  <c r="A1586" i="2"/>
  <c r="A1569" i="2"/>
  <c r="A1546" i="2"/>
  <c r="A1535" i="2"/>
  <c r="A1519" i="2"/>
  <c r="A1503" i="2"/>
  <c r="A1487" i="2"/>
  <c r="A1471" i="2"/>
  <c r="A1455" i="2"/>
  <c r="A1439" i="2"/>
  <c r="A1423" i="2"/>
  <c r="A1407" i="2"/>
  <c r="A1391" i="2"/>
  <c r="A1375" i="2"/>
  <c r="A1359" i="2"/>
  <c r="A1343" i="2"/>
  <c r="A1327" i="2"/>
  <c r="A1311" i="2"/>
  <c r="A1295" i="2"/>
  <c r="A1279" i="2"/>
  <c r="A1263" i="2"/>
  <c r="A1247" i="2"/>
  <c r="A1231" i="2"/>
  <c r="A1215" i="2"/>
  <c r="A1199" i="2"/>
  <c r="A1183" i="2"/>
  <c r="A1167" i="2"/>
  <c r="A1151" i="2"/>
  <c r="A1135" i="2"/>
  <c r="A1119" i="2"/>
  <c r="A2416" i="2"/>
  <c r="A2383" i="2"/>
  <c r="A2354" i="2"/>
  <c r="A2326" i="2"/>
  <c r="A2295" i="2"/>
  <c r="A2230" i="2"/>
  <c r="A2166" i="2"/>
  <c r="A2102" i="2"/>
  <c r="A2038" i="2"/>
  <c r="A1996" i="2"/>
  <c r="A1886" i="2"/>
  <c r="A1879" i="2"/>
  <c r="A1832" i="2"/>
  <c r="A1825" i="2"/>
  <c r="A1785" i="2"/>
  <c r="A1778" i="2"/>
  <c r="A1731" i="2"/>
  <c r="A1724" i="2"/>
  <c r="A1705" i="2"/>
  <c r="A1688" i="2"/>
  <c r="A1671" i="2"/>
  <c r="A1654" i="2"/>
  <c r="A1648" i="2"/>
  <c r="A1631" i="2"/>
  <c r="A1614" i="2"/>
  <c r="A1597" i="2"/>
  <c r="A1580" i="2"/>
  <c r="A1557" i="2"/>
  <c r="A1540" i="2"/>
  <c r="A1524" i="2"/>
  <c r="A1508" i="2"/>
  <c r="A1492" i="2"/>
  <c r="A1476" i="2"/>
  <c r="A1460" i="2"/>
  <c r="A1444" i="2"/>
  <c r="A1428" i="2"/>
  <c r="A1412" i="2"/>
  <c r="A1396" i="2"/>
  <c r="A1380" i="2"/>
  <c r="A1364" i="2"/>
  <c r="A1348" i="2"/>
  <c r="A1332" i="2"/>
  <c r="A1316" i="2"/>
  <c r="A1300" i="2"/>
  <c r="A1284" i="2"/>
  <c r="A1268" i="2"/>
  <c r="A1252" i="2"/>
  <c r="A1236" i="2"/>
  <c r="A1220" i="2"/>
  <c r="A1204" i="2"/>
  <c r="A1188" i="2"/>
  <c r="A1172" i="2"/>
  <c r="A1156" i="2"/>
  <c r="A1140" i="2"/>
  <c r="A1124" i="2"/>
  <c r="A3256" i="2"/>
  <c r="A2798" i="2"/>
  <c r="A2602" i="2"/>
  <c r="A2477" i="2"/>
  <c r="A2446" i="2"/>
  <c r="A2226" i="2"/>
  <c r="A2162" i="2"/>
  <c r="A2098" i="2"/>
  <c r="A2034" i="2"/>
  <c r="A1943" i="2"/>
  <c r="A1927" i="2"/>
  <c r="A1917" i="2"/>
  <c r="A1910" i="2"/>
  <c r="A1870" i="2"/>
  <c r="A1863" i="2"/>
  <c r="A1816" i="2"/>
  <c r="A1809" i="2"/>
  <c r="A1769" i="2"/>
  <c r="A1762" i="2"/>
  <c r="A1716" i="2"/>
  <c r="A1699" i="2"/>
  <c r="A1682" i="2"/>
  <c r="A1665" i="2"/>
  <c r="A1642" i="2"/>
  <c r="A1625" i="2"/>
  <c r="A1608" i="2"/>
  <c r="A1591" i="2"/>
  <c r="A1574" i="2"/>
  <c r="A1568" i="2"/>
  <c r="A1551" i="2"/>
  <c r="A1529" i="2"/>
  <c r="A1513" i="2"/>
  <c r="A1497" i="2"/>
  <c r="A1481" i="2"/>
  <c r="A1465" i="2"/>
  <c r="A1449" i="2"/>
  <c r="A1433" i="2"/>
  <c r="A1417" i="2"/>
  <c r="A1401" i="2"/>
  <c r="A1385" i="2"/>
  <c r="A1369" i="2"/>
  <c r="A1353" i="2"/>
  <c r="A1337" i="2"/>
  <c r="A1321" i="2"/>
  <c r="A1305" i="2"/>
  <c r="A1289" i="2"/>
  <c r="A1273" i="2"/>
  <c r="A1257" i="2"/>
  <c r="A1241" i="2"/>
  <c r="A1225" i="2"/>
  <c r="A1209" i="2"/>
  <c r="A1193" i="2"/>
  <c r="A1177" i="2"/>
  <c r="A1161" i="2"/>
  <c r="A1145" i="2"/>
  <c r="A1129" i="2"/>
  <c r="A3218" i="2"/>
  <c r="A2948" i="2"/>
  <c r="A2650" i="2"/>
  <c r="A2476" i="2"/>
  <c r="A2441" i="2"/>
  <c r="A2411" i="2"/>
  <c r="A2382" i="2"/>
  <c r="A2294" i="2"/>
  <c r="A2247" i="2"/>
  <c r="A2183" i="2"/>
  <c r="A2119" i="2"/>
  <c r="A2055" i="2"/>
  <c r="A1959" i="2"/>
  <c r="A1908" i="2"/>
  <c r="A1901" i="2"/>
  <c r="A1894" i="2"/>
  <c r="A1854" i="2"/>
  <c r="A1847" i="2"/>
  <c r="A1800" i="2"/>
  <c r="A1793" i="2"/>
  <c r="A1753" i="2"/>
  <c r="A1746" i="2"/>
  <c r="A1710" i="2"/>
  <c r="A1693" i="2"/>
  <c r="A1676" i="2"/>
  <c r="A1653" i="2"/>
  <c r="A1636" i="2"/>
  <c r="A1619" i="2"/>
  <c r="A1602" i="2"/>
  <c r="A1585" i="2"/>
  <c r="A1562" i="2"/>
  <c r="A1545" i="2"/>
  <c r="A1534" i="2"/>
  <c r="A1518" i="2"/>
  <c r="A1502" i="2"/>
  <c r="A1486" i="2"/>
  <c r="A1470" i="2"/>
  <c r="A1454" i="2"/>
  <c r="A1438" i="2"/>
  <c r="A1422" i="2"/>
  <c r="A1406" i="2"/>
  <c r="A1390" i="2"/>
  <c r="A1374" i="2"/>
  <c r="A1358" i="2"/>
  <c r="A1342" i="2"/>
  <c r="A1326" i="2"/>
  <c r="A1310" i="2"/>
  <c r="A1294" i="2"/>
  <c r="A1278" i="2"/>
  <c r="A1262" i="2"/>
  <c r="A1246" i="2"/>
  <c r="A1230" i="2"/>
  <c r="A1214" i="2"/>
  <c r="A1198" i="2"/>
  <c r="A1182" i="2"/>
  <c r="A1166" i="2"/>
  <c r="A1150" i="2"/>
  <c r="A1134" i="2"/>
  <c r="A1118" i="2"/>
  <c r="A2778" i="2"/>
  <c r="A2471" i="2"/>
  <c r="A2268" i="2"/>
  <c r="A2204" i="2"/>
  <c r="A2140" i="2"/>
  <c r="A2076" i="2"/>
  <c r="A2012" i="2"/>
  <c r="A1975" i="2"/>
  <c r="A1892" i="2"/>
  <c r="A1885" i="2"/>
  <c r="A1878" i="2"/>
  <c r="A1838" i="2"/>
  <c r="A1831" i="2"/>
  <c r="A1784" i="2"/>
  <c r="A1777" i="2"/>
  <c r="A1737" i="2"/>
  <c r="A1730" i="2"/>
  <c r="A1704" i="2"/>
  <c r="A1687" i="2"/>
  <c r="A1670" i="2"/>
  <c r="A1664" i="2"/>
  <c r="A1647" i="2"/>
  <c r="A1630" i="2"/>
  <c r="A1613" i="2"/>
  <c r="A1596" i="2"/>
  <c r="A1573" i="2"/>
  <c r="A1556" i="2"/>
  <c r="A1539" i="2"/>
  <c r="A1523" i="2"/>
  <c r="A1507" i="2"/>
  <c r="A1491" i="2"/>
  <c r="A1475" i="2"/>
  <c r="A2766" i="2"/>
  <c r="A2377" i="2"/>
  <c r="A2246" i="2"/>
  <c r="A2182" i="2"/>
  <c r="A2118" i="2"/>
  <c r="A2054" i="2"/>
  <c r="A1991" i="2"/>
  <c r="A1942" i="2"/>
  <c r="A1926" i="2"/>
  <c r="A1916" i="2"/>
  <c r="A1876" i="2"/>
  <c r="A1869" i="2"/>
  <c r="A1862" i="2"/>
  <c r="A1822" i="2"/>
  <c r="A1815" i="2"/>
  <c r="A1768" i="2"/>
  <c r="A1761" i="2"/>
  <c r="A3133" i="2"/>
  <c r="A2746" i="2"/>
  <c r="A2465" i="2"/>
  <c r="A2263" i="2"/>
  <c r="A2199" i="2"/>
  <c r="A2135" i="2"/>
  <c r="A2071" i="2"/>
  <c r="A2007" i="2"/>
  <c r="A1974" i="2"/>
  <c r="A1954" i="2"/>
  <c r="A1891" i="2"/>
  <c r="A1884" i="2"/>
  <c r="A1844" i="2"/>
  <c r="A1837" i="2"/>
  <c r="A1830" i="2"/>
  <c r="A1790" i="2"/>
  <c r="A1783" i="2"/>
  <c r="A1736" i="2"/>
  <c r="A1729" i="2"/>
  <c r="A1703" i="2"/>
  <c r="A1686" i="2"/>
  <c r="A1680" i="2"/>
  <c r="A1663" i="2"/>
  <c r="A1646" i="2"/>
  <c r="A1629" i="2"/>
  <c r="A1612" i="2"/>
  <c r="A1589" i="2"/>
  <c r="A1572" i="2"/>
  <c r="A1555" i="2"/>
  <c r="A1538" i="2"/>
  <c r="A1522" i="2"/>
  <c r="A1506" i="2"/>
  <c r="A1490" i="2"/>
  <c r="A1474" i="2"/>
  <c r="A1458" i="2"/>
  <c r="A1442" i="2"/>
  <c r="A1426" i="2"/>
  <c r="A1410" i="2"/>
  <c r="A1394" i="2"/>
  <c r="A1378" i="2"/>
  <c r="A1362" i="2"/>
  <c r="A1346" i="2"/>
  <c r="A1330" i="2"/>
  <c r="A1314" i="2"/>
  <c r="A1298" i="2"/>
  <c r="A1282" i="2"/>
  <c r="A1266" i="2"/>
  <c r="A1250" i="2"/>
  <c r="A1234" i="2"/>
  <c r="A1218" i="2"/>
  <c r="A1202" i="2"/>
  <c r="A1186" i="2"/>
  <c r="A1170" i="2"/>
  <c r="A1154" i="2"/>
  <c r="A1138" i="2"/>
  <c r="A3171" i="2"/>
  <c r="A2050" i="2"/>
  <c r="A1853" i="2"/>
  <c r="A1443" i="2"/>
  <c r="A1379" i="2"/>
  <c r="A1315" i="2"/>
  <c r="A1251" i="2"/>
  <c r="A1187" i="2"/>
  <c r="A1123" i="2"/>
  <c r="A1087" i="2"/>
  <c r="A1080" i="2"/>
  <c r="A1033" i="2"/>
  <c r="A1026" i="2"/>
  <c r="A986" i="2"/>
  <c r="A979" i="2"/>
  <c r="A932" i="2"/>
  <c r="A925" i="2"/>
  <c r="A918" i="2"/>
  <c r="A912" i="2"/>
  <c r="A895" i="2"/>
  <c r="A878" i="2"/>
  <c r="A861" i="2"/>
  <c r="A844" i="2"/>
  <c r="A822" i="2"/>
  <c r="A806" i="2"/>
  <c r="A790" i="2"/>
  <c r="A774" i="2"/>
  <c r="A758" i="2"/>
  <c r="A742" i="2"/>
  <c r="A726" i="2"/>
  <c r="A710" i="2"/>
  <c r="A694" i="2"/>
  <c r="A678" i="2"/>
  <c r="A662" i="2"/>
  <c r="A646" i="2"/>
  <c r="A630" i="2"/>
  <c r="A614" i="2"/>
  <c r="A598" i="2"/>
  <c r="A3132" i="2"/>
  <c r="A2220" i="2"/>
  <c r="A1698" i="2"/>
  <c r="A1669" i="2"/>
  <c r="A1640" i="2"/>
  <c r="A1607" i="2"/>
  <c r="A1578" i="2"/>
  <c r="A1549" i="2"/>
  <c r="A1464" i="2"/>
  <c r="A1400" i="2"/>
  <c r="A1336" i="2"/>
  <c r="A1272" i="2"/>
  <c r="A1208" i="2"/>
  <c r="A1144" i="2"/>
  <c r="A1111" i="2"/>
  <c r="A1071" i="2"/>
  <c r="A1064" i="2"/>
  <c r="A1017" i="2"/>
  <c r="A1010" i="2"/>
  <c r="A970" i="2"/>
  <c r="A963" i="2"/>
  <c r="A906" i="2"/>
  <c r="A889" i="2"/>
  <c r="A872" i="2"/>
  <c r="A855" i="2"/>
  <c r="A838" i="2"/>
  <c r="A827" i="2"/>
  <c r="A811" i="2"/>
  <c r="A795" i="2"/>
  <c r="A779" i="2"/>
  <c r="A763" i="2"/>
  <c r="A747" i="2"/>
  <c r="A731" i="2"/>
  <c r="A715" i="2"/>
  <c r="A699" i="2"/>
  <c r="A683" i="2"/>
  <c r="A667" i="2"/>
  <c r="A651" i="2"/>
  <c r="A635" i="2"/>
  <c r="A619" i="2"/>
  <c r="A603" i="2"/>
  <c r="A2922" i="2"/>
  <c r="A1907" i="2"/>
  <c r="A1846" i="2"/>
  <c r="A1517" i="2"/>
  <c r="A1421" i="2"/>
  <c r="A1357" i="2"/>
  <c r="A1293" i="2"/>
  <c r="A1229" i="2"/>
  <c r="A1165" i="2"/>
  <c r="A1109" i="2"/>
  <c r="A1102" i="2"/>
  <c r="A1095" i="2"/>
  <c r="A1055" i="2"/>
  <c r="A1048" i="2"/>
  <c r="A1001" i="2"/>
  <c r="A994" i="2"/>
  <c r="A954" i="2"/>
  <c r="A947" i="2"/>
  <c r="A917" i="2"/>
  <c r="A900" i="2"/>
  <c r="A883" i="2"/>
  <c r="A866" i="2"/>
  <c r="A849" i="2"/>
  <c r="A832" i="2"/>
  <c r="A816" i="2"/>
  <c r="A800" i="2"/>
  <c r="A784" i="2"/>
  <c r="A768" i="2"/>
  <c r="A752" i="2"/>
  <c r="A736" i="2"/>
  <c r="A720" i="2"/>
  <c r="A704" i="2"/>
  <c r="A688" i="2"/>
  <c r="A672" i="2"/>
  <c r="A656" i="2"/>
  <c r="A640" i="2"/>
  <c r="A624" i="2"/>
  <c r="A608" i="2"/>
  <c r="A2400" i="2"/>
  <c r="A2028" i="2"/>
  <c r="A1697" i="2"/>
  <c r="A1635" i="2"/>
  <c r="A1606" i="2"/>
  <c r="A1544" i="2"/>
  <c r="A1463" i="2"/>
  <c r="A1399" i="2"/>
  <c r="A1335" i="2"/>
  <c r="A1271" i="2"/>
  <c r="A1207" i="2"/>
  <c r="A1143" i="2"/>
  <c r="A1122" i="2"/>
  <c r="A1093" i="2"/>
  <c r="A1086" i="2"/>
  <c r="A1079" i="2"/>
  <c r="A1039" i="2"/>
  <c r="A1032" i="2"/>
  <c r="A985" i="2"/>
  <c r="A978" i="2"/>
  <c r="A938" i="2"/>
  <c r="A931" i="2"/>
  <c r="A911" i="2"/>
  <c r="A894" i="2"/>
  <c r="A877" i="2"/>
  <c r="A860" i="2"/>
  <c r="A837" i="2"/>
  <c r="A821" i="2"/>
  <c r="A805" i="2"/>
  <c r="A789" i="2"/>
  <c r="A773" i="2"/>
  <c r="A757" i="2"/>
  <c r="A741" i="2"/>
  <c r="A725" i="2"/>
  <c r="A709" i="2"/>
  <c r="A693" i="2"/>
  <c r="A677" i="2"/>
  <c r="A661" i="2"/>
  <c r="A645" i="2"/>
  <c r="A629" i="2"/>
  <c r="A613" i="2"/>
  <c r="A597" i="2"/>
  <c r="A581" i="2"/>
  <c r="A2376" i="2"/>
  <c r="A2178" i="2"/>
  <c r="A1900" i="2"/>
  <c r="A1512" i="2"/>
  <c r="A1485" i="2"/>
  <c r="A1459" i="2"/>
  <c r="A1395" i="2"/>
  <c r="A1331" i="2"/>
  <c r="A1267" i="2"/>
  <c r="A1203" i="2"/>
  <c r="A1139" i="2"/>
  <c r="A1077" i="2"/>
  <c r="A1070" i="2"/>
  <c r="A1063" i="2"/>
  <c r="A1023" i="2"/>
  <c r="A1016" i="2"/>
  <c r="A969" i="2"/>
  <c r="A962" i="2"/>
  <c r="A905" i="2"/>
  <c r="A888" i="2"/>
  <c r="A871" i="2"/>
  <c r="A854" i="2"/>
  <c r="A848" i="2"/>
  <c r="A826" i="2"/>
  <c r="A810" i="2"/>
  <c r="A794" i="2"/>
  <c r="A778" i="2"/>
  <c r="A762" i="2"/>
  <c r="A746" i="2"/>
  <c r="A730" i="2"/>
  <c r="A714" i="2"/>
  <c r="A698" i="2"/>
  <c r="A682" i="2"/>
  <c r="A666" i="2"/>
  <c r="A650" i="2"/>
  <c r="A634" i="2"/>
  <c r="A618" i="2"/>
  <c r="A602" i="2"/>
  <c r="A1774" i="2"/>
  <c r="A1721" i="2"/>
  <c r="A1692" i="2"/>
  <c r="A1601" i="2"/>
  <c r="A1416" i="2"/>
  <c r="A1352" i="2"/>
  <c r="A1288" i="2"/>
  <c r="A1224" i="2"/>
  <c r="A1160" i="2"/>
  <c r="A1108" i="2"/>
  <c r="A1101" i="2"/>
  <c r="A1061" i="2"/>
  <c r="A1054" i="2"/>
  <c r="A1047" i="2"/>
  <c r="A1007" i="2"/>
  <c r="A1000" i="2"/>
  <c r="A953" i="2"/>
  <c r="A946" i="2"/>
  <c r="A922" i="2"/>
  <c r="A916" i="2"/>
  <c r="A899" i="2"/>
  <c r="A882" i="2"/>
  <c r="A865" i="2"/>
  <c r="A842" i="2"/>
  <c r="A831" i="2"/>
  <c r="A815" i="2"/>
  <c r="A799" i="2"/>
  <c r="A783" i="2"/>
  <c r="A767" i="2"/>
  <c r="A751" i="2"/>
  <c r="A735" i="2"/>
  <c r="A719" i="2"/>
  <c r="A2343" i="2"/>
  <c r="A1658" i="2"/>
  <c r="A1600" i="2"/>
  <c r="A1567" i="2"/>
  <c r="A1511" i="2"/>
  <c r="A1480" i="2"/>
  <c r="A1437" i="2"/>
  <c r="A1373" i="2"/>
  <c r="A1309" i="2"/>
  <c r="A1245" i="2"/>
  <c r="A1181" i="2"/>
  <c r="A1092" i="2"/>
  <c r="A1085" i="2"/>
  <c r="A1045" i="2"/>
  <c r="A1038" i="2"/>
  <c r="A1031" i="2"/>
  <c r="A991" i="2"/>
  <c r="A984" i="2"/>
  <c r="A937" i="2"/>
  <c r="A930" i="2"/>
  <c r="A910" i="2"/>
  <c r="A893" i="2"/>
  <c r="A876" i="2"/>
  <c r="A853" i="2"/>
  <c r="A836" i="2"/>
  <c r="A820" i="2"/>
  <c r="A804" i="2"/>
  <c r="A788" i="2"/>
  <c r="A772" i="2"/>
  <c r="A756" i="2"/>
  <c r="A740" i="2"/>
  <c r="A724" i="2"/>
  <c r="A708" i="2"/>
  <c r="A692" i="2"/>
  <c r="A676" i="2"/>
  <c r="A660" i="2"/>
  <c r="A2629" i="2"/>
  <c r="A2342" i="2"/>
  <c r="A2156" i="2"/>
  <c r="A1990" i="2"/>
  <c r="A1828" i="2"/>
  <c r="A1767" i="2"/>
  <c r="A1720" i="2"/>
  <c r="A1415" i="2"/>
  <c r="A1351" i="2"/>
  <c r="A1287" i="2"/>
  <c r="A1223" i="2"/>
  <c r="A1159" i="2"/>
  <c r="A1117" i="2"/>
  <c r="A1076" i="2"/>
  <c r="A1069" i="2"/>
  <c r="A1029" i="2"/>
  <c r="A1022" i="2"/>
  <c r="A1015" i="2"/>
  <c r="A975" i="2"/>
  <c r="A968" i="2"/>
  <c r="A904" i="2"/>
  <c r="A887" i="2"/>
  <c r="A870" i="2"/>
  <c r="A864" i="2"/>
  <c r="A847" i="2"/>
  <c r="A825" i="2"/>
  <c r="A809" i="2"/>
  <c r="A793" i="2"/>
  <c r="A777" i="2"/>
  <c r="A761" i="2"/>
  <c r="A745" i="2"/>
  <c r="A729" i="2"/>
  <c r="A713" i="2"/>
  <c r="A697" i="2"/>
  <c r="A681" i="2"/>
  <c r="A665" i="2"/>
  <c r="A2592" i="2"/>
  <c r="A2316" i="2"/>
  <c r="A1715" i="2"/>
  <c r="A1657" i="2"/>
  <c r="A1624" i="2"/>
  <c r="A1566" i="2"/>
  <c r="A1479" i="2"/>
  <c r="A1411" i="2"/>
  <c r="A1347" i="2"/>
  <c r="A1283" i="2"/>
  <c r="A1219" i="2"/>
  <c r="A1155" i="2"/>
  <c r="A1107" i="2"/>
  <c r="A1060" i="2"/>
  <c r="A1053" i="2"/>
  <c r="A1013" i="2"/>
  <c r="A1006" i="2"/>
  <c r="A999" i="2"/>
  <c r="A959" i="2"/>
  <c r="A952" i="2"/>
  <c r="A921" i="2"/>
  <c r="A915" i="2"/>
  <c r="A898" i="2"/>
  <c r="A881" i="2"/>
  <c r="A858" i="2"/>
  <c r="A841" i="2"/>
  <c r="A830" i="2"/>
  <c r="A814" i="2"/>
  <c r="A798" i="2"/>
  <c r="A782" i="2"/>
  <c r="A766" i="2"/>
  <c r="A750" i="2"/>
  <c r="A734" i="2"/>
  <c r="A718" i="2"/>
  <c r="A2311" i="2"/>
  <c r="A1970" i="2"/>
  <c r="A1821" i="2"/>
  <c r="A1533" i="2"/>
  <c r="A1432" i="2"/>
  <c r="A1368" i="2"/>
  <c r="A1304" i="2"/>
  <c r="A1240" i="2"/>
  <c r="A1176" i="2"/>
  <c r="A1098" i="2"/>
  <c r="A1091" i="2"/>
  <c r="A1044" i="2"/>
  <c r="A1037" i="2"/>
  <c r="A997" i="2"/>
  <c r="A990" i="2"/>
  <c r="A983" i="2"/>
  <c r="A943" i="2"/>
  <c r="A936" i="2"/>
  <c r="A909" i="2"/>
  <c r="A892" i="2"/>
  <c r="A869" i="2"/>
  <c r="A852" i="2"/>
  <c r="A835" i="2"/>
  <c r="A819" i="2"/>
  <c r="A803" i="2"/>
  <c r="A787" i="2"/>
  <c r="A771" i="2"/>
  <c r="A755" i="2"/>
  <c r="A739" i="2"/>
  <c r="A723" i="2"/>
  <c r="A707" i="2"/>
  <c r="A691" i="2"/>
  <c r="A675" i="2"/>
  <c r="A659" i="2"/>
  <c r="A2545" i="2"/>
  <c r="A2114" i="2"/>
  <c r="A1958" i="2"/>
  <c r="A1752" i="2"/>
  <c r="A1714" i="2"/>
  <c r="A1681" i="2"/>
  <c r="A1652" i="2"/>
  <c r="A1623" i="2"/>
  <c r="A1590" i="2"/>
  <c r="A1561" i="2"/>
  <c r="A1453" i="2"/>
  <c r="A1389" i="2"/>
  <c r="A1325" i="2"/>
  <c r="A1261" i="2"/>
  <c r="A1197" i="2"/>
  <c r="A1133" i="2"/>
  <c r="A1114" i="2"/>
  <c r="A1082" i="2"/>
  <c r="A1075" i="2"/>
  <c r="A1028" i="2"/>
  <c r="A1021" i="2"/>
  <c r="A981" i="2"/>
  <c r="A974" i="2"/>
  <c r="A967" i="2"/>
  <c r="A927" i="2"/>
  <c r="A903" i="2"/>
  <c r="A886" i="2"/>
  <c r="A880" i="2"/>
  <c r="A863" i="2"/>
  <c r="A846" i="2"/>
  <c r="A824" i="2"/>
  <c r="A808" i="2"/>
  <c r="A792" i="2"/>
  <c r="A776" i="2"/>
  <c r="A760" i="2"/>
  <c r="A744" i="2"/>
  <c r="A728" i="2"/>
  <c r="A712" i="2"/>
  <c r="A696" i="2"/>
  <c r="A680" i="2"/>
  <c r="A664" i="2"/>
  <c r="A2544" i="2"/>
  <c r="A2284" i="2"/>
  <c r="A1875" i="2"/>
  <c r="A1814" i="2"/>
  <c r="A1528" i="2"/>
  <c r="A1501" i="2"/>
  <c r="A1431" i="2"/>
  <c r="A1367" i="2"/>
  <c r="A1303" i="2"/>
  <c r="A1239" i="2"/>
  <c r="A1175" i="2"/>
  <c r="A1938" i="2"/>
  <c r="A1806" i="2"/>
  <c r="A1709" i="2"/>
  <c r="A1618" i="2"/>
  <c r="A1427" i="2"/>
  <c r="A1363" i="2"/>
  <c r="A1299" i="2"/>
  <c r="A1235" i="2"/>
  <c r="A1171" i="2"/>
  <c r="A1113" i="2"/>
  <c r="A1097" i="2"/>
  <c r="A1090" i="2"/>
  <c r="A1050" i="2"/>
  <c r="A1043" i="2"/>
  <c r="A996" i="2"/>
  <c r="A989" i="2"/>
  <c r="A949" i="2"/>
  <c r="A942" i="2"/>
  <c r="A935" i="2"/>
  <c r="A908" i="2"/>
  <c r="A885" i="2"/>
  <c r="A868" i="2"/>
  <c r="A851" i="2"/>
  <c r="A834" i="2"/>
  <c r="A818" i="2"/>
  <c r="A802" i="2"/>
  <c r="A786" i="2"/>
  <c r="A770" i="2"/>
  <c r="A1799" i="2"/>
  <c r="A1448" i="2"/>
  <c r="A1341" i="2"/>
  <c r="A1127" i="2"/>
  <c r="A995" i="2"/>
  <c r="A884" i="2"/>
  <c r="A817" i="2"/>
  <c r="A754" i="2"/>
  <c r="A705" i="2"/>
  <c r="A668" i="2"/>
  <c r="A655" i="2"/>
  <c r="A639" i="2"/>
  <c r="A632" i="2"/>
  <c r="A625" i="2"/>
  <c r="A587" i="2"/>
  <c r="A565" i="2"/>
  <c r="A549" i="2"/>
  <c r="A533" i="2"/>
  <c r="A517" i="2"/>
  <c r="A501" i="2"/>
  <c r="A485" i="2"/>
  <c r="A469" i="2"/>
  <c r="A453" i="2"/>
  <c r="A437" i="2"/>
  <c r="A421" i="2"/>
  <c r="A405" i="2"/>
  <c r="A389" i="2"/>
  <c r="A373" i="2"/>
  <c r="A357" i="2"/>
  <c r="A341" i="2"/>
  <c r="A325" i="2"/>
  <c r="A309" i="2"/>
  <c r="A293" i="2"/>
  <c r="A277" i="2"/>
  <c r="A261" i="2"/>
  <c r="A245" i="2"/>
  <c r="A229" i="2"/>
  <c r="A213" i="2"/>
  <c r="A197" i="2"/>
  <c r="A181" i="2"/>
  <c r="A165" i="2"/>
  <c r="A149" i="2"/>
  <c r="A133" i="2"/>
  <c r="A117" i="2"/>
  <c r="A101" i="2"/>
  <c r="A85" i="2"/>
  <c r="A69" i="2"/>
  <c r="A53" i="2"/>
  <c r="A37" i="2"/>
  <c r="A21" i="2"/>
  <c r="A2470" i="2"/>
  <c r="A1584" i="2"/>
  <c r="A958" i="2"/>
  <c r="A857" i="2"/>
  <c r="A813" i="2"/>
  <c r="A721" i="2"/>
  <c r="A703" i="2"/>
  <c r="A679" i="2"/>
  <c r="A623" i="2"/>
  <c r="A616" i="2"/>
  <c r="A609" i="2"/>
  <c r="A570" i="2"/>
  <c r="A554" i="2"/>
  <c r="A538" i="2"/>
  <c r="A522" i="2"/>
  <c r="A506" i="2"/>
  <c r="A490" i="2"/>
  <c r="A474" i="2"/>
  <c r="A458" i="2"/>
  <c r="A442" i="2"/>
  <c r="A426" i="2"/>
  <c r="A410" i="2"/>
  <c r="A394" i="2"/>
  <c r="A378" i="2"/>
  <c r="A362" i="2"/>
  <c r="A346" i="2"/>
  <c r="A330" i="2"/>
  <c r="A314" i="2"/>
  <c r="A298" i="2"/>
  <c r="A282" i="2"/>
  <c r="A266" i="2"/>
  <c r="A250" i="2"/>
  <c r="A234" i="2"/>
  <c r="A218" i="2"/>
  <c r="A202" i="2"/>
  <c r="A186" i="2"/>
  <c r="A170" i="2"/>
  <c r="A154" i="2"/>
  <c r="A138" i="2"/>
  <c r="A122" i="2"/>
  <c r="A106" i="2"/>
  <c r="A90" i="2"/>
  <c r="A74" i="2"/>
  <c r="A58" i="2"/>
  <c r="A42" i="2"/>
  <c r="A26" i="2"/>
  <c r="A10" i="2"/>
  <c r="A1745" i="2"/>
  <c r="A1447" i="2"/>
  <c r="A1320" i="2"/>
  <c r="A1213" i="2"/>
  <c r="A1081" i="2"/>
  <c r="A926" i="2"/>
  <c r="A902" i="2"/>
  <c r="A879" i="2"/>
  <c r="A791" i="2"/>
  <c r="A737" i="2"/>
  <c r="A717" i="2"/>
  <c r="A702" i="2"/>
  <c r="A690" i="2"/>
  <c r="A654" i="2"/>
  <c r="A647" i="2"/>
  <c r="A607" i="2"/>
  <c r="A600" i="2"/>
  <c r="A593" i="2"/>
  <c r="A586" i="2"/>
  <c r="A575" i="2"/>
  <c r="A559" i="2"/>
  <c r="A543" i="2"/>
  <c r="A527" i="2"/>
  <c r="A511" i="2"/>
  <c r="A495" i="2"/>
  <c r="A479" i="2"/>
  <c r="A463" i="2"/>
  <c r="A447" i="2"/>
  <c r="A431" i="2"/>
  <c r="A415" i="2"/>
  <c r="A399" i="2"/>
  <c r="A383" i="2"/>
  <c r="A367" i="2"/>
  <c r="A351" i="2"/>
  <c r="A335" i="2"/>
  <c r="A319" i="2"/>
  <c r="A303" i="2"/>
  <c r="A287" i="2"/>
  <c r="A271" i="2"/>
  <c r="A255" i="2"/>
  <c r="A239" i="2"/>
  <c r="A223" i="2"/>
  <c r="A207" i="2"/>
  <c r="A191" i="2"/>
  <c r="A175" i="2"/>
  <c r="A159" i="2"/>
  <c r="A143" i="2"/>
  <c r="A127" i="2"/>
  <c r="A111" i="2"/>
  <c r="A95" i="2"/>
  <c r="A79" i="2"/>
  <c r="A63" i="2"/>
  <c r="A47" i="2"/>
  <c r="A31" i="2"/>
  <c r="A15" i="2"/>
  <c r="A1583" i="2"/>
  <c r="A1112" i="2"/>
  <c r="A1018" i="2"/>
  <c r="A957" i="2"/>
  <c r="A856" i="2"/>
  <c r="A812" i="2"/>
  <c r="A753" i="2"/>
  <c r="A733" i="2"/>
  <c r="A701" i="2"/>
  <c r="A638" i="2"/>
  <c r="A631" i="2"/>
  <c r="A592" i="2"/>
  <c r="A580" i="2"/>
  <c r="A564" i="2"/>
  <c r="A548" i="2"/>
  <c r="A532" i="2"/>
  <c r="A516" i="2"/>
  <c r="A500" i="2"/>
  <c r="A484" i="2"/>
  <c r="A468" i="2"/>
  <c r="A452" i="2"/>
  <c r="A436" i="2"/>
  <c r="A420" i="2"/>
  <c r="A404" i="2"/>
  <c r="A388" i="2"/>
  <c r="A372" i="2"/>
  <c r="A356" i="2"/>
  <c r="A340" i="2"/>
  <c r="A324" i="2"/>
  <c r="A308" i="2"/>
  <c r="A292" i="2"/>
  <c r="A276" i="2"/>
  <c r="A260" i="2"/>
  <c r="A244" i="2"/>
  <c r="A228" i="2"/>
  <c r="A212" i="2"/>
  <c r="A196" i="2"/>
  <c r="A180" i="2"/>
  <c r="A164" i="2"/>
  <c r="A148" i="2"/>
  <c r="A132" i="2"/>
  <c r="A116" i="2"/>
  <c r="A100" i="2"/>
  <c r="A84" i="2"/>
  <c r="A68" i="2"/>
  <c r="A52" i="2"/>
  <c r="A36" i="2"/>
  <c r="A20" i="2"/>
  <c r="A2242" i="2"/>
  <c r="A1319" i="2"/>
  <c r="A1192" i="2"/>
  <c r="A1049" i="2"/>
  <c r="A901" i="2"/>
  <c r="A833" i="2"/>
  <c r="A769" i="2"/>
  <c r="A749" i="2"/>
  <c r="A622" i="2"/>
  <c r="A615" i="2"/>
  <c r="A569" i="2"/>
  <c r="A553" i="2"/>
  <c r="A537" i="2"/>
  <c r="A521" i="2"/>
  <c r="A505" i="2"/>
  <c r="A489" i="2"/>
  <c r="A473" i="2"/>
  <c r="A457" i="2"/>
  <c r="A441" i="2"/>
  <c r="A425" i="2"/>
  <c r="A409" i="2"/>
  <c r="A393" i="2"/>
  <c r="A377" i="2"/>
  <c r="A361" i="2"/>
  <c r="A345" i="2"/>
  <c r="A329" i="2"/>
  <c r="A313" i="2"/>
  <c r="A297" i="2"/>
  <c r="A281" i="2"/>
  <c r="A265" i="2"/>
  <c r="A249" i="2"/>
  <c r="A233" i="2"/>
  <c r="A217" i="2"/>
  <c r="A201" i="2"/>
  <c r="A185" i="2"/>
  <c r="A169" i="2"/>
  <c r="A153" i="2"/>
  <c r="A137" i="2"/>
  <c r="A121" i="2"/>
  <c r="A105" i="2"/>
  <c r="A89" i="2"/>
  <c r="A73" i="2"/>
  <c r="A57" i="2"/>
  <c r="A41" i="2"/>
  <c r="A25" i="2"/>
  <c r="A9" i="2"/>
  <c r="A1106" i="2"/>
  <c r="A1012" i="2"/>
  <c r="A951" i="2"/>
  <c r="A920" i="2"/>
  <c r="A897" i="2"/>
  <c r="A874" i="2"/>
  <c r="A829" i="2"/>
  <c r="A765" i="2"/>
  <c r="A716" i="2"/>
  <c r="A689" i="2"/>
  <c r="A653" i="2"/>
  <c r="A606" i="2"/>
  <c r="A599" i="2"/>
  <c r="A591" i="2"/>
  <c r="A585" i="2"/>
  <c r="A574" i="2"/>
  <c r="A558" i="2"/>
  <c r="A542" i="2"/>
  <c r="A526" i="2"/>
  <c r="A510" i="2"/>
  <c r="A494" i="2"/>
  <c r="A478" i="2"/>
  <c r="A462" i="2"/>
  <c r="A446" i="2"/>
  <c r="A430" i="2"/>
  <c r="A414" i="2"/>
  <c r="A398" i="2"/>
  <c r="A382" i="2"/>
  <c r="A366" i="2"/>
  <c r="A350" i="2"/>
  <c r="A334" i="2"/>
  <c r="A318" i="2"/>
  <c r="A302" i="2"/>
  <c r="A286" i="2"/>
  <c r="A270" i="2"/>
  <c r="A254" i="2"/>
  <c r="A238" i="2"/>
  <c r="A222" i="2"/>
  <c r="A206" i="2"/>
  <c r="A190" i="2"/>
  <c r="A174" i="2"/>
  <c r="A158" i="2"/>
  <c r="A142" i="2"/>
  <c r="A126" i="2"/>
  <c r="A110" i="2"/>
  <c r="A94" i="2"/>
  <c r="A78" i="2"/>
  <c r="A62" i="2"/>
  <c r="A46" i="2"/>
  <c r="A30" i="2"/>
  <c r="A14" i="2"/>
  <c r="A2092" i="2"/>
  <c r="A1550" i="2"/>
  <c r="A1191" i="2"/>
  <c r="A1074" i="2"/>
  <c r="A980" i="2"/>
  <c r="A896" i="2"/>
  <c r="A807" i="2"/>
  <c r="A732" i="2"/>
  <c r="A700" i="2"/>
  <c r="A687" i="2"/>
  <c r="A663" i="2"/>
  <c r="A644" i="2"/>
  <c r="A637" i="2"/>
  <c r="A579" i="2"/>
  <c r="A563" i="2"/>
  <c r="A547" i="2"/>
  <c r="A531" i="2"/>
  <c r="A515" i="2"/>
  <c r="A499" i="2"/>
  <c r="A483" i="2"/>
  <c r="A467" i="2"/>
  <c r="A451" i="2"/>
  <c r="A435" i="2"/>
  <c r="A419" i="2"/>
  <c r="A403" i="2"/>
  <c r="A387" i="2"/>
  <c r="A371" i="2"/>
  <c r="A355" i="2"/>
  <c r="A339" i="2"/>
  <c r="A323" i="2"/>
  <c r="A307" i="2"/>
  <c r="A291" i="2"/>
  <c r="A275" i="2"/>
  <c r="A259" i="2"/>
  <c r="A243" i="2"/>
  <c r="A227" i="2"/>
  <c r="A211" i="2"/>
  <c r="A195" i="2"/>
  <c r="A179" i="2"/>
  <c r="A163" i="2"/>
  <c r="A147" i="2"/>
  <c r="A131" i="2"/>
  <c r="A115" i="2"/>
  <c r="A99" i="2"/>
  <c r="A83" i="2"/>
  <c r="A67" i="2"/>
  <c r="A51" i="2"/>
  <c r="A35" i="2"/>
  <c r="A19" i="2"/>
  <c r="A1527" i="2"/>
  <c r="A1405" i="2"/>
  <c r="A1011" i="2"/>
  <c r="A919" i="2"/>
  <c r="A873" i="2"/>
  <c r="A828" i="2"/>
  <c r="A748" i="2"/>
  <c r="A686" i="2"/>
  <c r="A674" i="2"/>
  <c r="A628" i="2"/>
  <c r="A621" i="2"/>
  <c r="A568" i="2"/>
  <c r="A552" i="2"/>
  <c r="A536" i="2"/>
  <c r="A520" i="2"/>
  <c r="A504" i="2"/>
  <c r="A488" i="2"/>
  <c r="A472" i="2"/>
  <c r="A456" i="2"/>
  <c r="A440" i="2"/>
  <c r="A424" i="2"/>
  <c r="A408" i="2"/>
  <c r="A392" i="2"/>
  <c r="A376" i="2"/>
  <c r="A360" i="2"/>
  <c r="A344" i="2"/>
  <c r="A328" i="2"/>
  <c r="A312" i="2"/>
  <c r="A296" i="2"/>
  <c r="A280" i="2"/>
  <c r="A264" i="2"/>
  <c r="A248" i="2"/>
  <c r="A232" i="2"/>
  <c r="A216" i="2"/>
  <c r="A200" i="2"/>
  <c r="A184" i="2"/>
  <c r="A168" i="2"/>
  <c r="A152" i="2"/>
  <c r="A136" i="2"/>
  <c r="A120" i="2"/>
  <c r="A104" i="2"/>
  <c r="A88" i="2"/>
  <c r="A72" i="2"/>
  <c r="A56" i="2"/>
  <c r="A40" i="2"/>
  <c r="A24" i="2"/>
  <c r="A1103" i="2"/>
  <c r="A1042" i="2"/>
  <c r="A948" i="2"/>
  <c r="A850" i="2"/>
  <c r="A785" i="2"/>
  <c r="A764" i="2"/>
  <c r="A685" i="2"/>
  <c r="A652" i="2"/>
  <c r="A612" i="2"/>
  <c r="A605" i="2"/>
  <c r="A590" i="2"/>
  <c r="A584" i="2"/>
  <c r="A573" i="2"/>
  <c r="A557" i="2"/>
  <c r="A541" i="2"/>
  <c r="A525" i="2"/>
  <c r="A509" i="2"/>
  <c r="A493" i="2"/>
  <c r="A477" i="2"/>
  <c r="A461" i="2"/>
  <c r="A445" i="2"/>
  <c r="A429" i="2"/>
  <c r="A413" i="2"/>
  <c r="A397" i="2"/>
  <c r="A381" i="2"/>
  <c r="A365" i="2"/>
  <c r="A349" i="2"/>
  <c r="A333" i="2"/>
  <c r="A317" i="2"/>
  <c r="A301" i="2"/>
  <c r="A285" i="2"/>
  <c r="A269" i="2"/>
  <c r="A253" i="2"/>
  <c r="A237" i="2"/>
  <c r="A221" i="2"/>
  <c r="A205" i="2"/>
  <c r="A189" i="2"/>
  <c r="A173" i="2"/>
  <c r="A157" i="2"/>
  <c r="A141" i="2"/>
  <c r="A125" i="2"/>
  <c r="A109" i="2"/>
  <c r="A93" i="2"/>
  <c r="A77" i="2"/>
  <c r="A61" i="2"/>
  <c r="A45" i="2"/>
  <c r="A29" i="2"/>
  <c r="A13" i="2"/>
  <c r="A1384" i="2"/>
  <c r="A1277" i="2"/>
  <c r="A1066" i="2"/>
  <c r="A1005" i="2"/>
  <c r="A914" i="2"/>
  <c r="A781" i="2"/>
  <c r="A711" i="2"/>
  <c r="A643" i="2"/>
  <c r="A636" i="2"/>
  <c r="A596" i="2"/>
  <c r="A578" i="2"/>
  <c r="A562" i="2"/>
  <c r="A546" i="2"/>
  <c r="A530" i="2"/>
  <c r="A514" i="2"/>
  <c r="A498" i="2"/>
  <c r="A482" i="2"/>
  <c r="A466" i="2"/>
  <c r="A450" i="2"/>
  <c r="A434" i="2"/>
  <c r="A418" i="2"/>
  <c r="A402" i="2"/>
  <c r="A386" i="2"/>
  <c r="A370" i="2"/>
  <c r="A354" i="2"/>
  <c r="A338" i="2"/>
  <c r="A322" i="2"/>
  <c r="A306" i="2"/>
  <c r="A290" i="2"/>
  <c r="A274" i="2"/>
  <c r="A258" i="2"/>
  <c r="A242" i="2"/>
  <c r="A226" i="2"/>
  <c r="A210" i="2"/>
  <c r="A194" i="2"/>
  <c r="A178" i="2"/>
  <c r="A162" i="2"/>
  <c r="A146" i="2"/>
  <c r="A130" i="2"/>
  <c r="A114" i="2"/>
  <c r="A98" i="2"/>
  <c r="A82" i="2"/>
  <c r="A66" i="2"/>
  <c r="A50" i="2"/>
  <c r="A34" i="2"/>
  <c r="A18" i="2"/>
  <c r="A1674" i="2"/>
  <c r="A1496" i="2"/>
  <c r="A1034" i="2"/>
  <c r="A973" i="2"/>
  <c r="A845" i="2"/>
  <c r="A823" i="2"/>
  <c r="A727" i="2"/>
  <c r="A673" i="2"/>
  <c r="A627" i="2"/>
  <c r="A620" i="2"/>
  <c r="A567" i="2"/>
  <c r="A551" i="2"/>
  <c r="A535" i="2"/>
  <c r="A519" i="2"/>
  <c r="A503" i="2"/>
  <c r="A487" i="2"/>
  <c r="A471" i="2"/>
  <c r="A455" i="2"/>
  <c r="A439" i="2"/>
  <c r="A423" i="2"/>
  <c r="A407" i="2"/>
  <c r="A391" i="2"/>
  <c r="A375" i="2"/>
  <c r="A359" i="2"/>
  <c r="A343" i="2"/>
  <c r="A327" i="2"/>
  <c r="A311" i="2"/>
  <c r="A295" i="2"/>
  <c r="A279" i="2"/>
  <c r="A263" i="2"/>
  <c r="A247" i="2"/>
  <c r="A231" i="2"/>
  <c r="A215" i="2"/>
  <c r="A199" i="2"/>
  <c r="A183" i="2"/>
  <c r="A167" i="2"/>
  <c r="A151" i="2"/>
  <c r="A135" i="2"/>
  <c r="A119" i="2"/>
  <c r="A103" i="2"/>
  <c r="A87" i="2"/>
  <c r="A71" i="2"/>
  <c r="A55" i="2"/>
  <c r="A39" i="2"/>
  <c r="A23" i="2"/>
  <c r="A1922" i="2"/>
  <c r="A1383" i="2"/>
  <c r="A1256" i="2"/>
  <c r="A1149" i="2"/>
  <c r="A1065" i="2"/>
  <c r="A913" i="2"/>
  <c r="A890" i="2"/>
  <c r="A780" i="2"/>
  <c r="A743" i="2"/>
  <c r="A684" i="2"/>
  <c r="A671" i="2"/>
  <c r="A611" i="2"/>
  <c r="A604" i="2"/>
  <c r="A589" i="2"/>
  <c r="A583" i="2"/>
  <c r="A572" i="2"/>
  <c r="A556" i="2"/>
  <c r="A540" i="2"/>
  <c r="A524" i="2"/>
  <c r="A508" i="2"/>
  <c r="A492" i="2"/>
  <c r="A476" i="2"/>
  <c r="A460" i="2"/>
  <c r="A444" i="2"/>
  <c r="A428" i="2"/>
  <c r="A412" i="2"/>
  <c r="A396" i="2"/>
  <c r="A380" i="2"/>
  <c r="A364" i="2"/>
  <c r="A348" i="2"/>
  <c r="A332" i="2"/>
  <c r="A316" i="2"/>
  <c r="A300" i="2"/>
  <c r="A284" i="2"/>
  <c r="A268" i="2"/>
  <c r="A252" i="2"/>
  <c r="A236" i="2"/>
  <c r="A220" i="2"/>
  <c r="A1868" i="2"/>
  <c r="A1495" i="2"/>
  <c r="A1096" i="2"/>
  <c r="A1002" i="2"/>
  <c r="A941" i="2"/>
  <c r="A867" i="2"/>
  <c r="A801" i="2"/>
  <c r="A759" i="2"/>
  <c r="A695" i="2"/>
  <c r="A670" i="2"/>
  <c r="A658" i="2"/>
  <c r="A649" i="2"/>
  <c r="A642" i="2"/>
  <c r="A595" i="2"/>
  <c r="A577" i="2"/>
  <c r="A561" i="2"/>
  <c r="A545" i="2"/>
  <c r="A529" i="2"/>
  <c r="A513" i="2"/>
  <c r="A497" i="2"/>
  <c r="A481" i="2"/>
  <c r="A465" i="2"/>
  <c r="A449" i="2"/>
  <c r="A433" i="2"/>
  <c r="A1860" i="2"/>
  <c r="A1641" i="2"/>
  <c r="A1255" i="2"/>
  <c r="A1059" i="2"/>
  <c r="A965" i="2"/>
  <c r="A840" i="2"/>
  <c r="A797" i="2"/>
  <c r="A706" i="2"/>
  <c r="A669" i="2"/>
  <c r="A633" i="2"/>
  <c r="A626" i="2"/>
  <c r="A566" i="2"/>
  <c r="A550" i="2"/>
  <c r="A534" i="2"/>
  <c r="A518" i="2"/>
  <c r="A502" i="2"/>
  <c r="A486" i="2"/>
  <c r="A470" i="2"/>
  <c r="A454" i="2"/>
  <c r="A438" i="2"/>
  <c r="A422" i="2"/>
  <c r="A406" i="2"/>
  <c r="A390" i="2"/>
  <c r="A374" i="2"/>
  <c r="A358" i="2"/>
  <c r="A342" i="2"/>
  <c r="A326" i="2"/>
  <c r="A1469" i="2"/>
  <c r="A1128" i="2"/>
  <c r="A1027" i="2"/>
  <c r="A933" i="2"/>
  <c r="A862" i="2"/>
  <c r="A775" i="2"/>
  <c r="A722" i="2"/>
  <c r="A617" i="2"/>
  <c r="A610" i="2"/>
  <c r="A588" i="2"/>
  <c r="A582" i="2"/>
  <c r="A571" i="2"/>
  <c r="A555" i="2"/>
  <c r="A539" i="2"/>
  <c r="A523" i="2"/>
  <c r="A507" i="2"/>
  <c r="A491" i="2"/>
  <c r="A475" i="2"/>
  <c r="A459" i="2"/>
  <c r="A443" i="2"/>
  <c r="A427" i="2"/>
  <c r="A411" i="2"/>
  <c r="A395" i="2"/>
  <c r="A379" i="2"/>
  <c r="A363" i="2"/>
  <c r="A347" i="2"/>
  <c r="A331" i="2"/>
  <c r="A315" i="2"/>
  <c r="A299" i="2"/>
  <c r="A283" i="2"/>
  <c r="A267" i="2"/>
  <c r="A251" i="2"/>
  <c r="A235" i="2"/>
  <c r="A219" i="2"/>
  <c r="A203" i="2"/>
  <c r="A187" i="2"/>
  <c r="A171" i="2"/>
  <c r="A155" i="2"/>
  <c r="A139" i="2"/>
  <c r="A123" i="2"/>
  <c r="A107" i="2"/>
  <c r="A91" i="2"/>
  <c r="A75" i="2"/>
  <c r="A59" i="2"/>
  <c r="A43" i="2"/>
  <c r="A27" i="2"/>
  <c r="A11" i="2"/>
  <c r="A1058" i="2"/>
  <c r="A964" i="2"/>
  <c r="A839" i="2"/>
  <c r="A796" i="2"/>
  <c r="A738" i="2"/>
  <c r="A657" i="2"/>
  <c r="A648" i="2"/>
  <c r="A641" i="2"/>
  <c r="A601" i="2"/>
  <c r="A594" i="2"/>
  <c r="A576" i="2"/>
  <c r="A560" i="2"/>
  <c r="A544" i="2"/>
  <c r="A528" i="2"/>
  <c r="A512" i="2"/>
  <c r="A496" i="2"/>
  <c r="A480" i="2"/>
  <c r="A464" i="2"/>
  <c r="A448" i="2"/>
  <c r="A432" i="2"/>
  <c r="A416" i="2"/>
  <c r="A400" i="2"/>
  <c r="A384" i="2"/>
  <c r="A368" i="2"/>
  <c r="A352" i="2"/>
  <c r="A336" i="2"/>
  <c r="A417" i="2"/>
  <c r="A294" i="2"/>
  <c r="A166" i="2"/>
  <c r="A102" i="2"/>
  <c r="A38" i="2"/>
  <c r="A208" i="2"/>
  <c r="A144" i="2"/>
  <c r="A80" i="2"/>
  <c r="A16" i="2"/>
  <c r="A321" i="2"/>
  <c r="A289" i="2"/>
  <c r="A262" i="2"/>
  <c r="A204" i="2"/>
  <c r="A140" i="2"/>
  <c r="A76" i="2"/>
  <c r="A12" i="2"/>
  <c r="A401" i="2"/>
  <c r="A320" i="2"/>
  <c r="A161" i="2"/>
  <c r="A97" i="2"/>
  <c r="A33" i="2"/>
  <c r="A288" i="2"/>
  <c r="A257" i="2"/>
  <c r="A230" i="2"/>
  <c r="A182" i="2"/>
  <c r="A118" i="2"/>
  <c r="A54" i="2"/>
  <c r="A160" i="2"/>
  <c r="A96" i="2"/>
  <c r="A32" i="2"/>
  <c r="A385" i="2"/>
  <c r="A256" i="2"/>
  <c r="A225" i="2"/>
  <c r="A156" i="2"/>
  <c r="A92" i="2"/>
  <c r="A28" i="2"/>
  <c r="A310" i="2"/>
  <c r="A177" i="2"/>
  <c r="A113" i="2"/>
  <c r="A49" i="2"/>
  <c r="A224" i="2"/>
  <c r="A198" i="2"/>
  <c r="A134" i="2"/>
  <c r="A70" i="2"/>
  <c r="A369" i="2"/>
  <c r="A305" i="2"/>
  <c r="A278" i="2"/>
  <c r="A176" i="2"/>
  <c r="A112" i="2"/>
  <c r="A48" i="2"/>
  <c r="A172" i="2"/>
  <c r="A108" i="2"/>
  <c r="A44" i="2"/>
  <c r="A304" i="2"/>
  <c r="A273" i="2"/>
  <c r="A246" i="2"/>
  <c r="A193" i="2"/>
  <c r="A129" i="2"/>
  <c r="A65" i="2"/>
  <c r="A353" i="2"/>
  <c r="A150" i="2"/>
  <c r="A86" i="2"/>
  <c r="A22" i="2"/>
  <c r="A272" i="2"/>
  <c r="A241" i="2"/>
  <c r="A214" i="2"/>
  <c r="A192" i="2"/>
  <c r="A128" i="2"/>
  <c r="A64" i="2"/>
  <c r="A188" i="2"/>
  <c r="A124" i="2"/>
  <c r="A60" i="2"/>
  <c r="A337" i="2"/>
  <c r="A240" i="2"/>
  <c r="A209" i="2"/>
  <c r="A145" i="2"/>
  <c r="A81" i="2"/>
  <c r="A17" i="2"/>
</calcChain>
</file>

<file path=xl/sharedStrings.xml><?xml version="1.0" encoding="utf-8"?>
<sst xmlns="http://schemas.openxmlformats.org/spreadsheetml/2006/main" count="50" uniqueCount="41">
  <si>
    <t>Codebook Section</t>
  </si>
  <si>
    <t>Variable Name</t>
  </si>
  <si>
    <t>Variable Type</t>
  </si>
  <si>
    <t>Item Number</t>
  </si>
  <si>
    <t>Question Wording</t>
  </si>
  <si>
    <t>Units</t>
  </si>
  <si>
    <t>Universe</t>
  </si>
  <si>
    <t>Source</t>
  </si>
  <si>
    <t>Derivation</t>
  </si>
  <si>
    <t>Notes</t>
  </si>
  <si>
    <t>Generated lines</t>
  </si>
  <si>
    <t>doc_section</t>
  </si>
  <si>
    <t>doc_vartype</t>
  </si>
  <si>
    <t>doc_itemnum</t>
  </si>
  <si>
    <t>doc_question</t>
  </si>
  <si>
    <t>doc_units</t>
  </si>
  <si>
    <t>doc_universe</t>
  </si>
  <si>
    <t>doc_source</t>
  </si>
  <si>
    <t>doc_derivation</t>
  </si>
  <si>
    <t>doc_notes</t>
  </si>
  <si>
    <t>Review required</t>
  </si>
  <si>
    <t>* DATADOC CHARACTERISTIC PREPARATION</t>
  </si>
  <si>
    <t>* Enter variable documentation on Sheet 1; copy this column into a Stata do-file.</t>
  </si>
  <si>
    <t>* Load the matching dataset before running. Review all generated commands.</t>
  </si>
  <si>
    <t>* Blank fields do not clear existing characteristics.</t>
  </si>
  <si>
    <t>* Fix any * REVIEW REQUIRED lines before running.</t>
  </si>
  <si>
    <t>* Save the dataset after running to retain the documentation.</t>
  </si>
  <si>
    <t>* GENERATED STATA COMMANDS</t>
  </si>
  <si>
    <t>COLUMN DEFINITIONS - Except for Variable Name, all columns are optional</t>
  </si>
  <si>
    <r>
      <t>Variable Name</t>
    </r>
    <r>
      <rPr>
        <b/>
        <sz val="10"/>
        <color rgb="FFFF0000"/>
        <rFont val="Calibri (Body)"/>
      </rPr>
      <t>*</t>
    </r>
  </si>
  <si>
    <t>Variables in the codebook will be grouped by the Section Names entered here; use the exact same section name for all variables you want to appear in the section. Identifiers get their own section.</t>
  </si>
  <si>
    <t>Enter the exact existing case-sensitive Stata variable name (not the variable label). This column is required to generate any commands for a row. The only required element for this spreadsheet.</t>
  </si>
  <si>
    <t>Choose a classification from the dropdown. Quantitative, Continuous, Discrete, and Ordinal apply to numeric variables. Categorical, Nominal, and Identifier accept numeric or string variables. Blank leaves the current classification unchanged.</t>
  </si>
  <si>
    <t>Question/item number or identifier from the survey questionnaire or other data gathering tool, for example Q12 or 001.</t>
  </si>
  <si>
    <t>The complete wording of the question or item as it was shown to respondents.</t>
  </si>
  <si>
    <t>The variable's unit of measurement, for example USD per year, centimeters, or minutes.</t>
  </si>
  <si>
    <t>Who or what was eligible to provide data for this variable. Useful for items with a lot of missingness due to survey skip logic to document who saw the item.</t>
  </si>
  <si>
    <t>The origin of the variable or information, for example a questionnaire, administrative file, or instrument. Could alternatively be used to document the source of the item wording.</t>
  </si>
  <si>
    <t>How the variable was computed, recoded, or derived. It appears in the codebook as Derivation. Useful for composite or calculated variables where data was not provided by a respondent directly.</t>
  </si>
  <si>
    <t>Open field for any additional data documentation you would like to record. Similar function Stata's built-in notes: feature. No need to duplicate notes:; datadoc reads and includes Stata notes by default.</t>
  </si>
  <si>
    <t>DIRECTIONS FOR USE: DATADOC DATA PREPARATION SPREADSHEET
1. Enter one variable per row starting on Row 20, below the blue header. The template supports 1,000 variables.
2. Enter the exact (case-sensitive) Stata Variable Name (not the variable label) in Column B.
3. In the other columns, enter any metadata you wish to include in the final datadoc codebook. Column definitions are below.
4. If there are metadata characteristics you don't wish to use, leave the corresponding cells blank. Blank cells DO NOT clear characteristics already stored in Stata.
5. When finished, open Sheet 2 and copy its column A into a Stata do-file. 
6. Review the code, load the matching dataset, run the Spreadsheet-generated code, and save the dataset to retain the characteristics. After setting the characteristics, run datadoc.
7. Line breaks/tabs become spaces. Ordinary quotation marks are supported; literal dollar signs, backticks, and backslashes are escaped. Fix any * REVIEW REQUIRED lines before running.
8. The hidden formula columns on both sheets are automatic and required to generate the code; do not edit them. Red entry rows indicate missing Variable Names or a field needing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</si>
</sst>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b/>
      <sz val="11"/>
      <color rgb="FFFFFFFF"/>
      <name val="Calibri"/>
      <family val="2"/>
      <scheme val="minor"/>
    </font>
    <font>
      <b/>
      <sz val="10"/>
      <color theme="1"/>
      <name val="Calibri"/>
      <family val="2"/>
      <scheme val="minor"/>
    </font>
    <font>
      <sz val="10"/>
      <color theme="1"/>
      <name val="Calibri"/>
      <family val="2"/>
      <scheme val="minor"/>
    </font>
    <font>
      <sz val="9"/>
      <color theme="1"/>
      <name val="Consolas"/>
      <family val="2"/>
    </font>
    <font>
      <b/>
      <sz val="10"/>
      <color rgb="FFFF0000"/>
      <name val="Calibri (Body)"/>
    </font>
    <font>
      <sz val="12"/>
      <color rgb="FF426078"/>
      <name val="Consolas"/>
      <family val="2"/>
    </font>
    <font>
      <b/>
      <sz val="12"/>
      <color rgb="FFFFFFFF"/>
      <name val="Calibri"/>
      <family val="2"/>
      <scheme val="minor"/>
    </font>
    <font>
      <sz val="12"/>
      <color theme="1"/>
      <name val="Consolas"/>
      <family val="2"/>
    </font>
  </fonts>
  <fills count="5">
    <fill>
      <patternFill patternType="none"/>
    </fill>
    <fill>
      <patternFill patternType="gray125"/>
    </fill>
    <fill>
      <patternFill patternType="solid">
        <fgColor rgb="FFEDF3FB"/>
        <bgColor indexed="64"/>
      </patternFill>
    </fill>
    <fill>
      <patternFill patternType="solid">
        <fgColor rgb="FF003399"/>
        <bgColor indexed="64"/>
      </patternFill>
    </fill>
    <fill>
      <patternFill patternType="solid">
        <fgColor rgb="FFF3F5F7"/>
        <bgColor indexed="64"/>
      </patternFill>
    </fill>
  </fills>
  <borders count="4">
    <border>
      <left/>
      <right/>
      <top/>
      <bottom/>
      <diagonal/>
    </border>
    <border>
      <left style="thin">
        <color rgb="FFE0E6EE"/>
      </left>
      <right style="thin">
        <color rgb="FFE0E6EE"/>
      </right>
      <top style="thin">
        <color rgb="FFE0E6EE"/>
      </top>
      <bottom style="thin">
        <color rgb="FFE0E6EE"/>
      </bottom>
      <diagonal/>
    </border>
    <border>
      <left style="thin">
        <color rgb="FFC9D6E8"/>
      </left>
      <right style="thin">
        <color rgb="FFC9D6E8"/>
      </right>
      <top style="thin">
        <color rgb="FFC9D6E8"/>
      </top>
      <bottom style="thin">
        <color rgb="FFC9D6E8"/>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4">
    <xf numFmtId="0" fontId="0" fillId="0" borderId="0" xfId="0"/>
    <xf numFmtId="49" fontId="0" fillId="0" borderId="1" xfId="0" applyNumberFormat="1" applyBorder="1" applyAlignment="1">
      <alignment vertical="top" wrapText="1"/>
    </xf>
    <xf numFmtId="0" fontId="2" fillId="3" borderId="3" xfId="0" applyFont="1" applyFill="1" applyBorder="1" applyAlignment="1">
      <alignment vertical="center" wrapText="1"/>
    </xf>
    <xf numFmtId="0" fontId="3" fillId="4" borderId="0" xfId="0" applyFont="1" applyFill="1" applyAlignment="1">
      <alignment vertical="center" wrapText="1"/>
    </xf>
    <xf numFmtId="49" fontId="0" fillId="2" borderId="1" xfId="0" applyNumberFormat="1" applyFill="1" applyBorder="1" applyAlignment="1">
      <alignment vertical="top" wrapText="1"/>
    </xf>
    <xf numFmtId="0" fontId="5" fillId="0" borderId="0" xfId="0" applyFont="1"/>
    <xf numFmtId="0" fontId="7" fillId="0" borderId="0" xfId="0" applyFont="1"/>
    <xf numFmtId="0" fontId="1" fillId="0" borderId="0" xfId="0" applyFont="1"/>
    <xf numFmtId="0" fontId="8" fillId="3" borderId="3" xfId="0" applyFont="1" applyFill="1" applyBorder="1" applyAlignment="1">
      <alignment vertical="center" wrapText="1"/>
    </xf>
    <xf numFmtId="0" fontId="9" fillId="0" borderId="0" xfId="0" applyFont="1"/>
    <xf numFmtId="0" fontId="9" fillId="0" borderId="0" xfId="0" applyFont="1" applyAlignment="1">
      <alignment vertical="top"/>
    </xf>
    <xf numFmtId="0" fontId="0" fillId="2" borderId="2" xfId="0" applyFill="1" applyBorder="1" applyAlignment="1">
      <alignment vertical="top" wrapText="1"/>
    </xf>
    <xf numFmtId="0" fontId="2" fillId="3" borderId="3" xfId="0" applyFont="1" applyFill="1" applyBorder="1" applyAlignment="1">
      <alignment vertical="center" wrapText="1"/>
    </xf>
    <xf numFmtId="0" fontId="4" fillId="0" borderId="0" xfId="0" applyFont="1" applyAlignment="1">
      <alignment vertical="center" wrapText="1"/>
    </xf>
  </cellXfs>
  <cellStyles count="1">
    <cellStyle name="Normal" xfId="0" builtinId="0"/>
  </cellStyles>
  <dxfs count="2">
    <dxf>
      <font>
        <color rgb="FF9C0006"/>
      </font>
      <fill>
        <patternFill>
          <bgColor rgb="FFFFE5E5"/>
        </patternFill>
      </fill>
    </dxf>
    <dxf>
      <font>
        <color rgb="FF9C0006"/>
      </font>
      <fill>
        <patternFill>
          <bgColor rgb="FFFFE5E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U1019"/>
  <sheetViews>
    <sheetView showGridLines="0" tabSelected="1" zoomScale="127" zoomScaleNormal="127" workbookViewId="0">
      <selection sqref="A1:J4"/>
    </sheetView>
  </sheetViews>
  <sheetFormatPr baseColWidth="10" defaultColWidth="8.83203125" defaultRowHeight="15" x14ac:dyDescent="0.2"/>
  <cols>
    <col min="1" max="1" width="24.6640625" style="1" customWidth="1"/>
    <col min="2" max="2" width="22.6640625" style="1" customWidth="1"/>
    <col min="3" max="3" width="20.6640625" style="1" customWidth="1"/>
    <col min="4" max="4" width="16.6640625" style="1" customWidth="1"/>
    <col min="5" max="5" width="48.6640625" style="1" customWidth="1"/>
    <col min="6" max="6" width="22.6640625" style="1" customWidth="1"/>
    <col min="7" max="7" width="38.6640625" style="1" customWidth="1"/>
    <col min="8" max="8" width="34.6640625" style="1" customWidth="1"/>
    <col min="9" max="9" width="40.6640625" style="1" customWidth="1"/>
    <col min="10" max="10" width="48.6640625" style="1" customWidth="1"/>
    <col min="11" max="21" width="20.6640625" hidden="1" customWidth="1"/>
  </cols>
  <sheetData>
    <row r="1" spans="1:10" ht="43" customHeight="1" x14ac:dyDescent="0.2">
      <c r="A1" s="11" t="s">
        <v>40</v>
      </c>
      <c r="B1" s="11"/>
      <c r="C1" s="11"/>
      <c r="D1" s="11"/>
      <c r="E1" s="11"/>
      <c r="F1" s="11"/>
      <c r="G1" s="11"/>
      <c r="H1" s="11"/>
      <c r="I1" s="11"/>
      <c r="J1" s="11"/>
    </row>
    <row r="2" spans="1:10" ht="43" customHeight="1" x14ac:dyDescent="0.2">
      <c r="A2" s="11"/>
      <c r="B2" s="11"/>
      <c r="C2" s="11"/>
      <c r="D2" s="11"/>
      <c r="E2" s="11"/>
      <c r="F2" s="11"/>
      <c r="G2" s="11"/>
      <c r="H2" s="11"/>
      <c r="I2" s="11"/>
      <c r="J2" s="11"/>
    </row>
    <row r="3" spans="1:10" ht="43" customHeight="1" x14ac:dyDescent="0.2">
      <c r="A3" s="11"/>
      <c r="B3" s="11"/>
      <c r="C3" s="11"/>
      <c r="D3" s="11"/>
      <c r="E3" s="11"/>
      <c r="F3" s="11"/>
      <c r="G3" s="11"/>
      <c r="H3" s="11"/>
      <c r="I3" s="11"/>
      <c r="J3" s="11"/>
    </row>
    <row r="4" spans="1:10" ht="43" customHeight="1" x14ac:dyDescent="0.2">
      <c r="A4" s="11"/>
      <c r="B4" s="11"/>
      <c r="C4" s="11"/>
      <c r="D4" s="11"/>
      <c r="E4" s="11"/>
      <c r="F4" s="11"/>
      <c r="G4" s="11"/>
      <c r="H4" s="11"/>
      <c r="I4" s="11"/>
      <c r="J4" s="11"/>
    </row>
    <row r="5" spans="1:10" ht="12" customHeight="1" x14ac:dyDescent="0.2"/>
    <row r="6" spans="1:10" ht="24" customHeight="1" x14ac:dyDescent="0.2">
      <c r="A6" s="12" t="s">
        <v>28</v>
      </c>
      <c r="B6" s="12"/>
      <c r="C6" s="12"/>
      <c r="D6" s="12"/>
      <c r="E6" s="12"/>
      <c r="F6" s="12"/>
      <c r="G6" s="12"/>
      <c r="H6" s="12"/>
      <c r="I6" s="12"/>
      <c r="J6" s="12"/>
    </row>
    <row r="7" spans="1:10" ht="30" customHeight="1" x14ac:dyDescent="0.2">
      <c r="A7" s="3" t="s">
        <v>0</v>
      </c>
      <c r="B7" s="13" t="s">
        <v>30</v>
      </c>
      <c r="C7" s="13"/>
      <c r="D7" s="13"/>
      <c r="E7" s="13"/>
      <c r="F7" s="13"/>
      <c r="G7" s="13"/>
      <c r="H7" s="13"/>
      <c r="I7" s="13"/>
      <c r="J7" s="13"/>
    </row>
    <row r="8" spans="1:10" ht="30" customHeight="1" x14ac:dyDescent="0.2">
      <c r="A8" s="3" t="s">
        <v>29</v>
      </c>
      <c r="B8" s="13" t="s">
        <v>31</v>
      </c>
      <c r="C8" s="13"/>
      <c r="D8" s="13"/>
      <c r="E8" s="13"/>
      <c r="F8" s="13"/>
      <c r="G8" s="13"/>
      <c r="H8" s="13"/>
      <c r="I8" s="13"/>
      <c r="J8" s="13"/>
    </row>
    <row r="9" spans="1:10" ht="30" customHeight="1" x14ac:dyDescent="0.2">
      <c r="A9" s="3" t="s">
        <v>2</v>
      </c>
      <c r="B9" s="13" t="s">
        <v>32</v>
      </c>
      <c r="C9" s="13"/>
      <c r="D9" s="13"/>
      <c r="E9" s="13"/>
      <c r="F9" s="13"/>
      <c r="G9" s="13"/>
      <c r="H9" s="13"/>
      <c r="I9" s="13"/>
      <c r="J9" s="13"/>
    </row>
    <row r="10" spans="1:10" ht="30" customHeight="1" x14ac:dyDescent="0.2">
      <c r="A10" s="3" t="s">
        <v>3</v>
      </c>
      <c r="B10" s="13" t="s">
        <v>33</v>
      </c>
      <c r="C10" s="13"/>
      <c r="D10" s="13"/>
      <c r="E10" s="13"/>
      <c r="F10" s="13"/>
      <c r="G10" s="13"/>
      <c r="H10" s="13"/>
      <c r="I10" s="13"/>
      <c r="J10" s="13"/>
    </row>
    <row r="11" spans="1:10" ht="30" customHeight="1" x14ac:dyDescent="0.2">
      <c r="A11" s="3" t="s">
        <v>4</v>
      </c>
      <c r="B11" s="13" t="s">
        <v>34</v>
      </c>
      <c r="C11" s="13"/>
      <c r="D11" s="13"/>
      <c r="E11" s="13"/>
      <c r="F11" s="13"/>
      <c r="G11" s="13"/>
      <c r="H11" s="13"/>
      <c r="I11" s="13"/>
      <c r="J11" s="13"/>
    </row>
    <row r="12" spans="1:10" ht="30" customHeight="1" x14ac:dyDescent="0.2">
      <c r="A12" s="3" t="s">
        <v>5</v>
      </c>
      <c r="B12" s="13" t="s">
        <v>35</v>
      </c>
      <c r="C12" s="13"/>
      <c r="D12" s="13"/>
      <c r="E12" s="13"/>
      <c r="F12" s="13"/>
      <c r="G12" s="13"/>
      <c r="H12" s="13"/>
      <c r="I12" s="13"/>
      <c r="J12" s="13"/>
    </row>
    <row r="13" spans="1:10" ht="30" customHeight="1" x14ac:dyDescent="0.2">
      <c r="A13" s="3" t="s">
        <v>6</v>
      </c>
      <c r="B13" s="13" t="s">
        <v>36</v>
      </c>
      <c r="C13" s="13"/>
      <c r="D13" s="13"/>
      <c r="E13" s="13"/>
      <c r="F13" s="13"/>
      <c r="G13" s="13"/>
      <c r="H13" s="13"/>
      <c r="I13" s="13"/>
      <c r="J13" s="13"/>
    </row>
    <row r="14" spans="1:10" ht="30" customHeight="1" x14ac:dyDescent="0.2">
      <c r="A14" s="3" t="s">
        <v>7</v>
      </c>
      <c r="B14" s="13" t="s">
        <v>37</v>
      </c>
      <c r="C14" s="13"/>
      <c r="D14" s="13"/>
      <c r="E14" s="13"/>
      <c r="F14" s="13"/>
      <c r="G14" s="13"/>
      <c r="H14" s="13"/>
      <c r="I14" s="13"/>
      <c r="J14" s="13"/>
    </row>
    <row r="15" spans="1:10" ht="30" customHeight="1" x14ac:dyDescent="0.2">
      <c r="A15" s="3" t="s">
        <v>8</v>
      </c>
      <c r="B15" s="13" t="s">
        <v>38</v>
      </c>
      <c r="C15" s="13"/>
      <c r="D15" s="13"/>
      <c r="E15" s="13"/>
      <c r="F15" s="13"/>
      <c r="G15" s="13"/>
      <c r="H15" s="13"/>
      <c r="I15" s="13"/>
      <c r="J15" s="13"/>
    </row>
    <row r="16" spans="1:10" ht="30" customHeight="1" x14ac:dyDescent="0.2">
      <c r="A16" s="3" t="s">
        <v>9</v>
      </c>
      <c r="B16" s="13" t="s">
        <v>39</v>
      </c>
      <c r="C16" s="13"/>
      <c r="D16" s="13"/>
      <c r="E16" s="13"/>
      <c r="F16" s="13"/>
      <c r="G16" s="13"/>
      <c r="H16" s="13"/>
      <c r="I16" s="13"/>
      <c r="J16" s="13"/>
    </row>
    <row r="17" spans="1:21" ht="10" customHeight="1" x14ac:dyDescent="0.2"/>
    <row r="18" spans="1:21" ht="10" customHeight="1" x14ac:dyDescent="0.2"/>
    <row r="19" spans="1:21" ht="36" customHeight="1" x14ac:dyDescent="0.2">
      <c r="A19" s="2" t="s">
        <v>0</v>
      </c>
      <c r="B19" s="2" t="s">
        <v>1</v>
      </c>
      <c r="C19" s="2" t="s">
        <v>2</v>
      </c>
      <c r="D19" s="2" t="s">
        <v>3</v>
      </c>
      <c r="E19" s="2" t="s">
        <v>4</v>
      </c>
      <c r="F19" s="2" t="s">
        <v>5</v>
      </c>
      <c r="G19" s="2" t="s">
        <v>6</v>
      </c>
      <c r="H19" s="2" t="s">
        <v>7</v>
      </c>
      <c r="I19" s="2" t="s">
        <v>8</v>
      </c>
      <c r="J19" s="2" t="s">
        <v>9</v>
      </c>
      <c r="K19" s="2" t="s">
        <v>10</v>
      </c>
      <c r="L19" s="2" t="s">
        <v>11</v>
      </c>
      <c r="M19" s="2" t="s">
        <v>12</v>
      </c>
      <c r="N19" s="2" t="s">
        <v>13</v>
      </c>
      <c r="O19" s="2" t="s">
        <v>14</v>
      </c>
      <c r="P19" s="2" t="s">
        <v>15</v>
      </c>
      <c r="Q19" s="2" t="s">
        <v>16</v>
      </c>
      <c r="R19" s="2" t="s">
        <v>17</v>
      </c>
      <c r="S19" s="2" t="s">
        <v>18</v>
      </c>
      <c r="T19" s="2" t="s">
        <v>19</v>
      </c>
      <c r="U19" s="2" t="s">
        <v>20</v>
      </c>
    </row>
    <row r="20" spans="1:21" ht="30" customHeight="1" x14ac:dyDescent="0.2">
      <c r="C20" s="4"/>
      <c r="K20" s="5">
        <f t="shared" ref="K20:K83" si="0">COUNTIF(L20:T20,"?*")</f>
        <v>0</v>
      </c>
      <c r="L20" s="5" t="str">
        <f>IF(OR(TRIM($B20)="",$A20=""),"",IF(OR(ISNUMBER(SEARCH(_xlfn.CONCAT(CHAR(96),CHAR(34)),$A20)),ISNUMBER(SEARCH(_xlfn.CONCAT(CHAR(34),CHAR(39)),$A20))),_xlfn.CONCAT("* REVIEW REQUIRED: compound-quote delimiter in Codebook Section on Sheet 1 row ",20,"; edit the input before running."),_xlfn.CONCAT("char ",TRIM($B20),"[doc_section] ",CHAR(96),CHAR(34),SUBSTITUTE(SUBSTITUTE(SUBSTITUTE(SUBSTITUTE(SUBSTITUTE(SUBSTITUTE($A20,CHAR(13)," "),CHAR(10)," "),CHAR(9)," "),CHAR(92),_xlfn.CONCAT(CHAR(92),CHAR(92))),"$",_xlfn.CONCAT(CHAR(92),"$")),CHAR(96),_xlfn.CONCAT(CHAR(92),CHAR(96))),CHAR(34),CHAR(39))))</f>
        <v/>
      </c>
      <c r="M20" s="5" t="str">
        <f>IF(OR(TRIM($B20)="",$C20=""),"",IF(IFERROR(MATCH(TRIM($C20),{"Quantitative","Continuous","Discrete","Categorical","Nominal","Ordinal","Identifier"},0),0)=0,_xlfn.CONCAT("* REVIEW REQUIRED: invalid Variable Type on Sheet 1 row ",20,"."),_xlfn.CONCAT("char ",TRIM($B20),"[doc_vartype] ",CHAR(96),CHAR(34),SUBSTITUTE(SUBSTITUTE(SUBSTITUTE(SUBSTITUTE(SUBSTITUTE(SUBSTITUTE(LOWER(TRIM($C20)),CHAR(13)," "),CHAR(10)," "),CHAR(9)," "),CHAR(92),_xlfn.CONCAT(CHAR(92),CHAR(92))),"$",_xlfn.CONCAT(CHAR(92),"$")),CHAR(96),_xlfn.CONCAT(CHAR(92),CHAR(96))),CHAR(34),CHAR(39))))</f>
        <v/>
      </c>
      <c r="N20" s="5" t="str">
        <f>IF(OR(TRIM($B20)="",$D20=""),"",IF(OR(ISNUMBER(SEARCH(_xlfn.CONCAT(CHAR(96),CHAR(34)),$D20)),ISNUMBER(SEARCH(_xlfn.CONCAT(CHAR(34),CHAR(39)),$D20))),_xlfn.CONCAT("* REVIEW REQUIRED: compound-quote delimiter in Item Number on Sheet 1 row ",20,"; edit the input before running."),_xlfn.CONCAT("char ",TRIM($B20),"[doc_itemnum] ",CHAR(96),CHAR(34),SUBSTITUTE(SUBSTITUTE(SUBSTITUTE(SUBSTITUTE(SUBSTITUTE(SUBSTITUTE($D20,CHAR(13)," "),CHAR(10)," "),CHAR(9)," "),CHAR(92),_xlfn.CONCAT(CHAR(92),CHAR(92))),"$",_xlfn.CONCAT(CHAR(92),"$")),CHAR(96),_xlfn.CONCAT(CHAR(92),CHAR(96))),CHAR(34),CHAR(39))))</f>
        <v/>
      </c>
      <c r="O20" s="5" t="str">
        <f>IF(OR(TRIM($B20)="",$E20=""),"",IF(OR(ISNUMBER(SEARCH(_xlfn.CONCAT(CHAR(96),CHAR(34)),$E20)),ISNUMBER(SEARCH(_xlfn.CONCAT(CHAR(34),CHAR(39)),$E20))),_xlfn.CONCAT("* REVIEW REQUIRED: compound-quote delimiter in Question Wording on Sheet 1 row ",20,"; edit the input before running."),_xlfn.CONCAT("char ",TRIM($B20),"[doc_question] ",CHAR(96),CHAR(34),SUBSTITUTE(SUBSTITUTE(SUBSTITUTE(SUBSTITUTE(SUBSTITUTE(SUBSTITUTE($E20,CHAR(13)," "),CHAR(10)," "),CHAR(9)," "),CHAR(92),_xlfn.CONCAT(CHAR(92),CHAR(92))),"$",_xlfn.CONCAT(CHAR(92),"$")),CHAR(96),_xlfn.CONCAT(CHAR(92),CHAR(96))),CHAR(34),CHAR(39))))</f>
        <v/>
      </c>
      <c r="P20" s="5" t="str">
        <f>IF(OR(TRIM($B20)="",$F20=""),"",IF(OR(ISNUMBER(SEARCH(_xlfn.CONCAT(CHAR(96),CHAR(34)),$F20)),ISNUMBER(SEARCH(_xlfn.CONCAT(CHAR(34),CHAR(39)),$F20))),_xlfn.CONCAT("* REVIEW REQUIRED: compound-quote delimiter in Units on Sheet 1 row ",20,"; edit the input before running."),_xlfn.CONCAT("char ",TRIM($B20),"[doc_units] ",CHAR(96),CHAR(34),SUBSTITUTE(SUBSTITUTE(SUBSTITUTE(SUBSTITUTE(SUBSTITUTE(SUBSTITUTE($F20,CHAR(13)," "),CHAR(10)," "),CHAR(9)," "),CHAR(92),_xlfn.CONCAT(CHAR(92),CHAR(92))),"$",_xlfn.CONCAT(CHAR(92),"$")),CHAR(96),_xlfn.CONCAT(CHAR(92),CHAR(96))),CHAR(34),CHAR(39))))</f>
        <v/>
      </c>
      <c r="Q20" s="5" t="str">
        <f>IF(OR(TRIM($B20)="",$G20=""),"",IF(OR(ISNUMBER(SEARCH(_xlfn.CONCAT(CHAR(96),CHAR(34)),$G20)),ISNUMBER(SEARCH(_xlfn.CONCAT(CHAR(34),CHAR(39)),$G20))),_xlfn.CONCAT("* REVIEW REQUIRED: compound-quote delimiter in Universe on Sheet 1 row ",20,"; edit the input before running."),_xlfn.CONCAT("char ",TRIM($B20),"[doc_universe] ",CHAR(96),CHAR(34),SUBSTITUTE(SUBSTITUTE(SUBSTITUTE(SUBSTITUTE(SUBSTITUTE(SUBSTITUTE($G20,CHAR(13)," "),CHAR(10)," "),CHAR(9)," "),CHAR(92),_xlfn.CONCAT(CHAR(92),CHAR(92))),"$",_xlfn.CONCAT(CHAR(92),"$")),CHAR(96),_xlfn.CONCAT(CHAR(92),CHAR(96))),CHAR(34),CHAR(39))))</f>
        <v/>
      </c>
      <c r="R20" s="5" t="str">
        <f>IF(OR(TRIM($B20)="",$H20=""),"",IF(OR(ISNUMBER(SEARCH(_xlfn.CONCAT(CHAR(96),CHAR(34)),$H20)),ISNUMBER(SEARCH(_xlfn.CONCAT(CHAR(34),CHAR(39)),$H20))),_xlfn.CONCAT("* REVIEW REQUIRED: compound-quote delimiter in Source on Sheet 1 row ",20,"; edit the input before running."),_xlfn.CONCAT("char ",TRIM($B20),"[doc_source] ",CHAR(96),CHAR(34),SUBSTITUTE(SUBSTITUTE(SUBSTITUTE(SUBSTITUTE(SUBSTITUTE(SUBSTITUTE($H20,CHAR(13)," "),CHAR(10)," "),CHAR(9)," "),CHAR(92),_xlfn.CONCAT(CHAR(92),CHAR(92))),"$",_xlfn.CONCAT(CHAR(92),"$")),CHAR(96),_xlfn.CONCAT(CHAR(92),CHAR(96))),CHAR(34),CHAR(39))))</f>
        <v/>
      </c>
      <c r="S20" s="5" t="str">
        <f>IF(OR(TRIM($B20)="",$I20=""),"",IF(OR(ISNUMBER(SEARCH(_xlfn.CONCAT(CHAR(96),CHAR(34)),$I20)),ISNUMBER(SEARCH(_xlfn.CONCAT(CHAR(34),CHAR(39)),$I20))),_xlfn.CONCAT("* REVIEW REQUIRED: compound-quote delimiter in Derivation on Sheet 1 row ",20,"; edit the input before running."),_xlfn.CONCAT("char ",TRIM($B20),"[doc_derivation] ",CHAR(96),CHAR(34),SUBSTITUTE(SUBSTITUTE(SUBSTITUTE(SUBSTITUTE(SUBSTITUTE(SUBSTITUTE($I20,CHAR(13)," "),CHAR(10)," "),CHAR(9)," "),CHAR(92),_xlfn.CONCAT(CHAR(92),CHAR(92))),"$",_xlfn.CONCAT(CHAR(92),"$")),CHAR(96),_xlfn.CONCAT(CHAR(92),CHAR(96))),CHAR(34),CHAR(39))))</f>
        <v/>
      </c>
      <c r="T20" s="5" t="str">
        <f>IF(OR(TRIM($B20)="",$J20=""),"",IF(OR(ISNUMBER(SEARCH(_xlfn.CONCAT(CHAR(96),CHAR(34)),$J20)),ISNUMBER(SEARCH(_xlfn.CONCAT(CHAR(34),CHAR(39)),$J20))),_xlfn.CONCAT("* REVIEW REQUIRED: compound-quote delimiter in Notes on Sheet 1 row ",20,"; edit the input before running."),_xlfn.CONCAT("char ",TRIM($B20),"[doc_notes] ",CHAR(96),CHAR(34),SUBSTITUTE(SUBSTITUTE(SUBSTITUTE(SUBSTITUTE(SUBSTITUTE(SUBSTITUTE($J20,CHAR(13)," "),CHAR(10)," "),CHAR(9)," "),CHAR(92),_xlfn.CONCAT(CHAR(92),CHAR(92))),"$",_xlfn.CONCAT(CHAR(92),"$")),CHAR(96),_xlfn.CONCAT(CHAR(92),CHAR(96))),CHAR(34),CHAR(39))))</f>
        <v/>
      </c>
      <c r="U20" s="5">
        <f t="shared" ref="U20:U83" si="1">COUNTIF(L20:T20,"*REVIEW REQUIRED*")</f>
        <v>0</v>
      </c>
    </row>
    <row r="21" spans="1:21" ht="30" customHeight="1" x14ac:dyDescent="0.2">
      <c r="C21" s="4"/>
      <c r="K21" s="5">
        <f t="shared" si="0"/>
        <v>0</v>
      </c>
      <c r="L21" s="5" t="str">
        <f>IF(OR(TRIM($B21)="",$A21=""),"",IF(OR(ISNUMBER(SEARCH(_xlfn.CONCAT(CHAR(96),CHAR(34)),$A21)),ISNUMBER(SEARCH(_xlfn.CONCAT(CHAR(34),CHAR(39)),$A21))),_xlfn.CONCAT("* REVIEW REQUIRED: compound-quote delimiter in Codebook Section on Sheet 1 row ",21,"; edit the input before running."),_xlfn.CONCAT("char ",TRIM($B21),"[doc_section] ",CHAR(96),CHAR(34),SUBSTITUTE(SUBSTITUTE(SUBSTITUTE(SUBSTITUTE(SUBSTITUTE(SUBSTITUTE($A21,CHAR(13)," "),CHAR(10)," "),CHAR(9)," "),CHAR(92),_xlfn.CONCAT(CHAR(92),CHAR(92))),"$",_xlfn.CONCAT(CHAR(92),"$")),CHAR(96),_xlfn.CONCAT(CHAR(92),CHAR(96))),CHAR(34),CHAR(39))))</f>
        <v/>
      </c>
      <c r="M21" s="5" t="str">
        <f>IF(OR(TRIM($B21)="",$C21=""),"",IF(IFERROR(MATCH(TRIM($C21),{"Quantitative","Continuous","Discrete","Categorical","Nominal","Ordinal","Identifier"},0),0)=0,_xlfn.CONCAT("* REVIEW REQUIRED: invalid Variable Type on Sheet 1 row ",21,"."),_xlfn.CONCAT("char ",TRIM($B21),"[doc_vartype] ",CHAR(96),CHAR(34),SUBSTITUTE(SUBSTITUTE(SUBSTITUTE(SUBSTITUTE(SUBSTITUTE(SUBSTITUTE(LOWER(TRIM($C21)),CHAR(13)," "),CHAR(10)," "),CHAR(9)," "),CHAR(92),_xlfn.CONCAT(CHAR(92),CHAR(92))),"$",_xlfn.CONCAT(CHAR(92),"$")),CHAR(96),_xlfn.CONCAT(CHAR(92),CHAR(96))),CHAR(34),CHAR(39))))</f>
        <v/>
      </c>
      <c r="N21" s="5" t="str">
        <f>IF(OR(TRIM($B21)="",$D21=""),"",IF(OR(ISNUMBER(SEARCH(_xlfn.CONCAT(CHAR(96),CHAR(34)),$D21)),ISNUMBER(SEARCH(_xlfn.CONCAT(CHAR(34),CHAR(39)),$D21))),_xlfn.CONCAT("* REVIEW REQUIRED: compound-quote delimiter in Item Number on Sheet 1 row ",21,"; edit the input before running."),_xlfn.CONCAT("char ",TRIM($B21),"[doc_itemnum] ",CHAR(96),CHAR(34),SUBSTITUTE(SUBSTITUTE(SUBSTITUTE(SUBSTITUTE(SUBSTITUTE(SUBSTITUTE($D21,CHAR(13)," "),CHAR(10)," "),CHAR(9)," "),CHAR(92),_xlfn.CONCAT(CHAR(92),CHAR(92))),"$",_xlfn.CONCAT(CHAR(92),"$")),CHAR(96),_xlfn.CONCAT(CHAR(92),CHAR(96))),CHAR(34),CHAR(39))))</f>
        <v/>
      </c>
      <c r="O21" s="5" t="str">
        <f>IF(OR(TRIM($B21)="",$E21=""),"",IF(OR(ISNUMBER(SEARCH(_xlfn.CONCAT(CHAR(96),CHAR(34)),$E21)),ISNUMBER(SEARCH(_xlfn.CONCAT(CHAR(34),CHAR(39)),$E21))),_xlfn.CONCAT("* REVIEW REQUIRED: compound-quote delimiter in Question Wording on Sheet 1 row ",21,"; edit the input before running."),_xlfn.CONCAT("char ",TRIM($B21),"[doc_question] ",CHAR(96),CHAR(34),SUBSTITUTE(SUBSTITUTE(SUBSTITUTE(SUBSTITUTE(SUBSTITUTE(SUBSTITUTE($E21,CHAR(13)," "),CHAR(10)," "),CHAR(9)," "),CHAR(92),_xlfn.CONCAT(CHAR(92),CHAR(92))),"$",_xlfn.CONCAT(CHAR(92),"$")),CHAR(96),_xlfn.CONCAT(CHAR(92),CHAR(96))),CHAR(34),CHAR(39))))</f>
        <v/>
      </c>
      <c r="P21" s="5" t="str">
        <f>IF(OR(TRIM($B21)="",$F21=""),"",IF(OR(ISNUMBER(SEARCH(_xlfn.CONCAT(CHAR(96),CHAR(34)),$F21)),ISNUMBER(SEARCH(_xlfn.CONCAT(CHAR(34),CHAR(39)),$F21))),_xlfn.CONCAT("* REVIEW REQUIRED: compound-quote delimiter in Units on Sheet 1 row ",21,"; edit the input before running."),_xlfn.CONCAT("char ",TRIM($B21),"[doc_units] ",CHAR(96),CHAR(34),SUBSTITUTE(SUBSTITUTE(SUBSTITUTE(SUBSTITUTE(SUBSTITUTE(SUBSTITUTE($F21,CHAR(13)," "),CHAR(10)," "),CHAR(9)," "),CHAR(92),_xlfn.CONCAT(CHAR(92),CHAR(92))),"$",_xlfn.CONCAT(CHAR(92),"$")),CHAR(96),_xlfn.CONCAT(CHAR(92),CHAR(96))),CHAR(34),CHAR(39))))</f>
        <v/>
      </c>
      <c r="Q21" s="5" t="str">
        <f>IF(OR(TRIM($B21)="",$G21=""),"",IF(OR(ISNUMBER(SEARCH(_xlfn.CONCAT(CHAR(96),CHAR(34)),$G21)),ISNUMBER(SEARCH(_xlfn.CONCAT(CHAR(34),CHAR(39)),$G21))),_xlfn.CONCAT("* REVIEW REQUIRED: compound-quote delimiter in Universe on Sheet 1 row ",21,"; edit the input before running."),_xlfn.CONCAT("char ",TRIM($B21),"[doc_universe] ",CHAR(96),CHAR(34),SUBSTITUTE(SUBSTITUTE(SUBSTITUTE(SUBSTITUTE(SUBSTITUTE(SUBSTITUTE($G21,CHAR(13)," "),CHAR(10)," "),CHAR(9)," "),CHAR(92),_xlfn.CONCAT(CHAR(92),CHAR(92))),"$",_xlfn.CONCAT(CHAR(92),"$")),CHAR(96),_xlfn.CONCAT(CHAR(92),CHAR(96))),CHAR(34),CHAR(39))))</f>
        <v/>
      </c>
      <c r="R21" s="5" t="str">
        <f>IF(OR(TRIM($B21)="",$H21=""),"",IF(OR(ISNUMBER(SEARCH(_xlfn.CONCAT(CHAR(96),CHAR(34)),$H21)),ISNUMBER(SEARCH(_xlfn.CONCAT(CHAR(34),CHAR(39)),$H21))),_xlfn.CONCAT("* REVIEW REQUIRED: compound-quote delimiter in Source on Sheet 1 row ",21,"; edit the input before running."),_xlfn.CONCAT("char ",TRIM($B21),"[doc_source] ",CHAR(96),CHAR(34),SUBSTITUTE(SUBSTITUTE(SUBSTITUTE(SUBSTITUTE(SUBSTITUTE(SUBSTITUTE($H21,CHAR(13)," "),CHAR(10)," "),CHAR(9)," "),CHAR(92),_xlfn.CONCAT(CHAR(92),CHAR(92))),"$",_xlfn.CONCAT(CHAR(92),"$")),CHAR(96),_xlfn.CONCAT(CHAR(92),CHAR(96))),CHAR(34),CHAR(39))))</f>
        <v/>
      </c>
      <c r="S21" s="5" t="str">
        <f>IF(OR(TRIM($B21)="",$I21=""),"",IF(OR(ISNUMBER(SEARCH(_xlfn.CONCAT(CHAR(96),CHAR(34)),$I21)),ISNUMBER(SEARCH(_xlfn.CONCAT(CHAR(34),CHAR(39)),$I21))),_xlfn.CONCAT("* REVIEW REQUIRED: compound-quote delimiter in Derivation on Sheet 1 row ",21,"; edit the input before running."),_xlfn.CONCAT("char ",TRIM($B21),"[doc_derivation] ",CHAR(96),CHAR(34),SUBSTITUTE(SUBSTITUTE(SUBSTITUTE(SUBSTITUTE(SUBSTITUTE(SUBSTITUTE($I21,CHAR(13)," "),CHAR(10)," "),CHAR(9)," "),CHAR(92),_xlfn.CONCAT(CHAR(92),CHAR(92))),"$",_xlfn.CONCAT(CHAR(92),"$")),CHAR(96),_xlfn.CONCAT(CHAR(92),CHAR(96))),CHAR(34),CHAR(39))))</f>
        <v/>
      </c>
      <c r="T21" s="5" t="str">
        <f>IF(OR(TRIM($B21)="",$J21=""),"",IF(OR(ISNUMBER(SEARCH(_xlfn.CONCAT(CHAR(96),CHAR(34)),$J21)),ISNUMBER(SEARCH(_xlfn.CONCAT(CHAR(34),CHAR(39)),$J21))),_xlfn.CONCAT("* REVIEW REQUIRED: compound-quote delimiter in Notes on Sheet 1 row ",21,"; edit the input before running."),_xlfn.CONCAT("char ",TRIM($B21),"[doc_notes] ",CHAR(96),CHAR(34),SUBSTITUTE(SUBSTITUTE(SUBSTITUTE(SUBSTITUTE(SUBSTITUTE(SUBSTITUTE($J21,CHAR(13)," "),CHAR(10)," "),CHAR(9)," "),CHAR(92),_xlfn.CONCAT(CHAR(92),CHAR(92))),"$",_xlfn.CONCAT(CHAR(92),"$")),CHAR(96),_xlfn.CONCAT(CHAR(92),CHAR(96))),CHAR(34),CHAR(39))))</f>
        <v/>
      </c>
      <c r="U21" s="5">
        <f t="shared" si="1"/>
        <v>0</v>
      </c>
    </row>
    <row r="22" spans="1:21" ht="30" customHeight="1" x14ac:dyDescent="0.2">
      <c r="C22" s="4"/>
      <c r="K22" s="5">
        <f t="shared" si="0"/>
        <v>0</v>
      </c>
      <c r="L22" s="5" t="str">
        <f>IF(OR(TRIM($B22)="",$A22=""),"",IF(OR(ISNUMBER(SEARCH(_xlfn.CONCAT(CHAR(96),CHAR(34)),$A22)),ISNUMBER(SEARCH(_xlfn.CONCAT(CHAR(34),CHAR(39)),$A22))),_xlfn.CONCAT("* REVIEW REQUIRED: compound-quote delimiter in Codebook Section on Sheet 1 row ",22,"; edit the input before running."),_xlfn.CONCAT("char ",TRIM($B22),"[doc_section] ",CHAR(96),CHAR(34),SUBSTITUTE(SUBSTITUTE(SUBSTITUTE(SUBSTITUTE(SUBSTITUTE(SUBSTITUTE($A22,CHAR(13)," "),CHAR(10)," "),CHAR(9)," "),CHAR(92),_xlfn.CONCAT(CHAR(92),CHAR(92))),"$",_xlfn.CONCAT(CHAR(92),"$")),CHAR(96),_xlfn.CONCAT(CHAR(92),CHAR(96))),CHAR(34),CHAR(39))))</f>
        <v/>
      </c>
      <c r="M22" s="5" t="str">
        <f>IF(OR(TRIM($B22)="",$C22=""),"",IF(IFERROR(MATCH(TRIM($C22),{"Quantitative","Continuous","Discrete","Categorical","Nominal","Ordinal","Identifier"},0),0)=0,_xlfn.CONCAT("* REVIEW REQUIRED: invalid Variable Type on Sheet 1 row ",22,"."),_xlfn.CONCAT("char ",TRIM($B22),"[doc_vartype] ",CHAR(96),CHAR(34),SUBSTITUTE(SUBSTITUTE(SUBSTITUTE(SUBSTITUTE(SUBSTITUTE(SUBSTITUTE(LOWER(TRIM($C22)),CHAR(13)," "),CHAR(10)," "),CHAR(9)," "),CHAR(92),_xlfn.CONCAT(CHAR(92),CHAR(92))),"$",_xlfn.CONCAT(CHAR(92),"$")),CHAR(96),_xlfn.CONCAT(CHAR(92),CHAR(96))),CHAR(34),CHAR(39))))</f>
        <v/>
      </c>
      <c r="N22" s="5" t="str">
        <f>IF(OR(TRIM($B22)="",$D22=""),"",IF(OR(ISNUMBER(SEARCH(_xlfn.CONCAT(CHAR(96),CHAR(34)),$D22)),ISNUMBER(SEARCH(_xlfn.CONCAT(CHAR(34),CHAR(39)),$D22))),_xlfn.CONCAT("* REVIEW REQUIRED: compound-quote delimiter in Item Number on Sheet 1 row ",22,"; edit the input before running."),_xlfn.CONCAT("char ",TRIM($B22),"[doc_itemnum] ",CHAR(96),CHAR(34),SUBSTITUTE(SUBSTITUTE(SUBSTITUTE(SUBSTITUTE(SUBSTITUTE(SUBSTITUTE($D22,CHAR(13)," "),CHAR(10)," "),CHAR(9)," "),CHAR(92),_xlfn.CONCAT(CHAR(92),CHAR(92))),"$",_xlfn.CONCAT(CHAR(92),"$")),CHAR(96),_xlfn.CONCAT(CHAR(92),CHAR(96))),CHAR(34),CHAR(39))))</f>
        <v/>
      </c>
      <c r="O22" s="5" t="str">
        <f>IF(OR(TRIM($B22)="",$E22=""),"",IF(OR(ISNUMBER(SEARCH(_xlfn.CONCAT(CHAR(96),CHAR(34)),$E22)),ISNUMBER(SEARCH(_xlfn.CONCAT(CHAR(34),CHAR(39)),$E22))),_xlfn.CONCAT("* REVIEW REQUIRED: compound-quote delimiter in Question Wording on Sheet 1 row ",22,"; edit the input before running."),_xlfn.CONCAT("char ",TRIM($B22),"[doc_question] ",CHAR(96),CHAR(34),SUBSTITUTE(SUBSTITUTE(SUBSTITUTE(SUBSTITUTE(SUBSTITUTE(SUBSTITUTE($E22,CHAR(13)," "),CHAR(10)," "),CHAR(9)," "),CHAR(92),_xlfn.CONCAT(CHAR(92),CHAR(92))),"$",_xlfn.CONCAT(CHAR(92),"$")),CHAR(96),_xlfn.CONCAT(CHAR(92),CHAR(96))),CHAR(34),CHAR(39))))</f>
        <v/>
      </c>
      <c r="P22" s="5" t="str">
        <f>IF(OR(TRIM($B22)="",$F22=""),"",IF(OR(ISNUMBER(SEARCH(_xlfn.CONCAT(CHAR(96),CHAR(34)),$F22)),ISNUMBER(SEARCH(_xlfn.CONCAT(CHAR(34),CHAR(39)),$F22))),_xlfn.CONCAT("* REVIEW REQUIRED: compound-quote delimiter in Units on Sheet 1 row ",22,"; edit the input before running."),_xlfn.CONCAT("char ",TRIM($B22),"[doc_units] ",CHAR(96),CHAR(34),SUBSTITUTE(SUBSTITUTE(SUBSTITUTE(SUBSTITUTE(SUBSTITUTE(SUBSTITUTE($F22,CHAR(13)," "),CHAR(10)," "),CHAR(9)," "),CHAR(92),_xlfn.CONCAT(CHAR(92),CHAR(92))),"$",_xlfn.CONCAT(CHAR(92),"$")),CHAR(96),_xlfn.CONCAT(CHAR(92),CHAR(96))),CHAR(34),CHAR(39))))</f>
        <v/>
      </c>
      <c r="Q22" s="5" t="str">
        <f>IF(OR(TRIM($B22)="",$G22=""),"",IF(OR(ISNUMBER(SEARCH(_xlfn.CONCAT(CHAR(96),CHAR(34)),$G22)),ISNUMBER(SEARCH(_xlfn.CONCAT(CHAR(34),CHAR(39)),$G22))),_xlfn.CONCAT("* REVIEW REQUIRED: compound-quote delimiter in Universe on Sheet 1 row ",22,"; edit the input before running."),_xlfn.CONCAT("char ",TRIM($B22),"[doc_universe] ",CHAR(96),CHAR(34),SUBSTITUTE(SUBSTITUTE(SUBSTITUTE(SUBSTITUTE(SUBSTITUTE(SUBSTITUTE($G22,CHAR(13)," "),CHAR(10)," "),CHAR(9)," "),CHAR(92),_xlfn.CONCAT(CHAR(92),CHAR(92))),"$",_xlfn.CONCAT(CHAR(92),"$")),CHAR(96),_xlfn.CONCAT(CHAR(92),CHAR(96))),CHAR(34),CHAR(39))))</f>
        <v/>
      </c>
      <c r="R22" s="5" t="str">
        <f>IF(OR(TRIM($B22)="",$H22=""),"",IF(OR(ISNUMBER(SEARCH(_xlfn.CONCAT(CHAR(96),CHAR(34)),$H22)),ISNUMBER(SEARCH(_xlfn.CONCAT(CHAR(34),CHAR(39)),$H22))),_xlfn.CONCAT("* REVIEW REQUIRED: compound-quote delimiter in Source on Sheet 1 row ",22,"; edit the input before running."),_xlfn.CONCAT("char ",TRIM($B22),"[doc_source] ",CHAR(96),CHAR(34),SUBSTITUTE(SUBSTITUTE(SUBSTITUTE(SUBSTITUTE(SUBSTITUTE(SUBSTITUTE($H22,CHAR(13)," "),CHAR(10)," "),CHAR(9)," "),CHAR(92),_xlfn.CONCAT(CHAR(92),CHAR(92))),"$",_xlfn.CONCAT(CHAR(92),"$")),CHAR(96),_xlfn.CONCAT(CHAR(92),CHAR(96))),CHAR(34),CHAR(39))))</f>
        <v/>
      </c>
      <c r="S22" s="5" t="str">
        <f>IF(OR(TRIM($B22)="",$I22=""),"",IF(OR(ISNUMBER(SEARCH(_xlfn.CONCAT(CHAR(96),CHAR(34)),$I22)),ISNUMBER(SEARCH(_xlfn.CONCAT(CHAR(34),CHAR(39)),$I22))),_xlfn.CONCAT("* REVIEW REQUIRED: compound-quote delimiter in Derivation on Sheet 1 row ",22,"; edit the input before running."),_xlfn.CONCAT("char ",TRIM($B22),"[doc_derivation] ",CHAR(96),CHAR(34),SUBSTITUTE(SUBSTITUTE(SUBSTITUTE(SUBSTITUTE(SUBSTITUTE(SUBSTITUTE($I22,CHAR(13)," "),CHAR(10)," "),CHAR(9)," "),CHAR(92),_xlfn.CONCAT(CHAR(92),CHAR(92))),"$",_xlfn.CONCAT(CHAR(92),"$")),CHAR(96),_xlfn.CONCAT(CHAR(92),CHAR(96))),CHAR(34),CHAR(39))))</f>
        <v/>
      </c>
      <c r="T22" s="5" t="str">
        <f>IF(OR(TRIM($B22)="",$J22=""),"",IF(OR(ISNUMBER(SEARCH(_xlfn.CONCAT(CHAR(96),CHAR(34)),$J22)),ISNUMBER(SEARCH(_xlfn.CONCAT(CHAR(34),CHAR(39)),$J22))),_xlfn.CONCAT("* REVIEW REQUIRED: compound-quote delimiter in Notes on Sheet 1 row ",22,"; edit the input before running."),_xlfn.CONCAT("char ",TRIM($B22),"[doc_notes] ",CHAR(96),CHAR(34),SUBSTITUTE(SUBSTITUTE(SUBSTITUTE(SUBSTITUTE(SUBSTITUTE(SUBSTITUTE($J22,CHAR(13)," "),CHAR(10)," "),CHAR(9)," "),CHAR(92),_xlfn.CONCAT(CHAR(92),CHAR(92))),"$",_xlfn.CONCAT(CHAR(92),"$")),CHAR(96),_xlfn.CONCAT(CHAR(92),CHAR(96))),CHAR(34),CHAR(39))))</f>
        <v/>
      </c>
      <c r="U22" s="5">
        <f t="shared" si="1"/>
        <v>0</v>
      </c>
    </row>
    <row r="23" spans="1:21" ht="30" customHeight="1" x14ac:dyDescent="0.2">
      <c r="C23" s="4"/>
      <c r="K23" s="5">
        <f t="shared" si="0"/>
        <v>0</v>
      </c>
      <c r="L23" s="5" t="str">
        <f>IF(OR(TRIM($B23)="",$A23=""),"",IF(OR(ISNUMBER(SEARCH(_xlfn.CONCAT(CHAR(96),CHAR(34)),$A23)),ISNUMBER(SEARCH(_xlfn.CONCAT(CHAR(34),CHAR(39)),$A23))),_xlfn.CONCAT("* REVIEW REQUIRED: compound-quote delimiter in Codebook Section on Sheet 1 row ",23,"; edit the input before running."),_xlfn.CONCAT("char ",TRIM($B23),"[doc_section] ",CHAR(96),CHAR(34),SUBSTITUTE(SUBSTITUTE(SUBSTITUTE(SUBSTITUTE(SUBSTITUTE(SUBSTITUTE($A23,CHAR(13)," "),CHAR(10)," "),CHAR(9)," "),CHAR(92),_xlfn.CONCAT(CHAR(92),CHAR(92))),"$",_xlfn.CONCAT(CHAR(92),"$")),CHAR(96),_xlfn.CONCAT(CHAR(92),CHAR(96))),CHAR(34),CHAR(39))))</f>
        <v/>
      </c>
      <c r="M23" s="5" t="str">
        <f>IF(OR(TRIM($B23)="",$C23=""),"",IF(IFERROR(MATCH(TRIM($C23),{"Quantitative","Continuous","Discrete","Categorical","Nominal","Ordinal","Identifier"},0),0)=0,_xlfn.CONCAT("* REVIEW REQUIRED: invalid Variable Type on Sheet 1 row ",23,"."),_xlfn.CONCAT("char ",TRIM($B23),"[doc_vartype] ",CHAR(96),CHAR(34),SUBSTITUTE(SUBSTITUTE(SUBSTITUTE(SUBSTITUTE(SUBSTITUTE(SUBSTITUTE(LOWER(TRIM($C23)),CHAR(13)," "),CHAR(10)," "),CHAR(9)," "),CHAR(92),_xlfn.CONCAT(CHAR(92),CHAR(92))),"$",_xlfn.CONCAT(CHAR(92),"$")),CHAR(96),_xlfn.CONCAT(CHAR(92),CHAR(96))),CHAR(34),CHAR(39))))</f>
        <v/>
      </c>
      <c r="N23" s="5" t="str">
        <f>IF(OR(TRIM($B23)="",$D23=""),"",IF(OR(ISNUMBER(SEARCH(_xlfn.CONCAT(CHAR(96),CHAR(34)),$D23)),ISNUMBER(SEARCH(_xlfn.CONCAT(CHAR(34),CHAR(39)),$D23))),_xlfn.CONCAT("* REVIEW REQUIRED: compound-quote delimiter in Item Number on Sheet 1 row ",23,"; edit the input before running."),_xlfn.CONCAT("char ",TRIM($B23),"[doc_itemnum] ",CHAR(96),CHAR(34),SUBSTITUTE(SUBSTITUTE(SUBSTITUTE(SUBSTITUTE(SUBSTITUTE(SUBSTITUTE($D23,CHAR(13)," "),CHAR(10)," "),CHAR(9)," "),CHAR(92),_xlfn.CONCAT(CHAR(92),CHAR(92))),"$",_xlfn.CONCAT(CHAR(92),"$")),CHAR(96),_xlfn.CONCAT(CHAR(92),CHAR(96))),CHAR(34),CHAR(39))))</f>
        <v/>
      </c>
      <c r="O23" s="5" t="str">
        <f>IF(OR(TRIM($B23)="",$E23=""),"",IF(OR(ISNUMBER(SEARCH(_xlfn.CONCAT(CHAR(96),CHAR(34)),$E23)),ISNUMBER(SEARCH(_xlfn.CONCAT(CHAR(34),CHAR(39)),$E23))),_xlfn.CONCAT("* REVIEW REQUIRED: compound-quote delimiter in Question Wording on Sheet 1 row ",23,"; edit the input before running."),_xlfn.CONCAT("char ",TRIM($B23),"[doc_question] ",CHAR(96),CHAR(34),SUBSTITUTE(SUBSTITUTE(SUBSTITUTE(SUBSTITUTE(SUBSTITUTE(SUBSTITUTE($E23,CHAR(13)," "),CHAR(10)," "),CHAR(9)," "),CHAR(92),_xlfn.CONCAT(CHAR(92),CHAR(92))),"$",_xlfn.CONCAT(CHAR(92),"$")),CHAR(96),_xlfn.CONCAT(CHAR(92),CHAR(96))),CHAR(34),CHAR(39))))</f>
        <v/>
      </c>
      <c r="P23" s="5" t="str">
        <f>IF(OR(TRIM($B23)="",$F23=""),"",IF(OR(ISNUMBER(SEARCH(_xlfn.CONCAT(CHAR(96),CHAR(34)),$F23)),ISNUMBER(SEARCH(_xlfn.CONCAT(CHAR(34),CHAR(39)),$F23))),_xlfn.CONCAT("* REVIEW REQUIRED: compound-quote delimiter in Units on Sheet 1 row ",23,"; edit the input before running."),_xlfn.CONCAT("char ",TRIM($B23),"[doc_units] ",CHAR(96),CHAR(34),SUBSTITUTE(SUBSTITUTE(SUBSTITUTE(SUBSTITUTE(SUBSTITUTE(SUBSTITUTE($F23,CHAR(13)," "),CHAR(10)," "),CHAR(9)," "),CHAR(92),_xlfn.CONCAT(CHAR(92),CHAR(92))),"$",_xlfn.CONCAT(CHAR(92),"$")),CHAR(96),_xlfn.CONCAT(CHAR(92),CHAR(96))),CHAR(34),CHAR(39))))</f>
        <v/>
      </c>
      <c r="Q23" s="5" t="str">
        <f>IF(OR(TRIM($B23)="",$G23=""),"",IF(OR(ISNUMBER(SEARCH(_xlfn.CONCAT(CHAR(96),CHAR(34)),$G23)),ISNUMBER(SEARCH(_xlfn.CONCAT(CHAR(34),CHAR(39)),$G23))),_xlfn.CONCAT("* REVIEW REQUIRED: compound-quote delimiter in Universe on Sheet 1 row ",23,"; edit the input before running."),_xlfn.CONCAT("char ",TRIM($B23),"[doc_universe] ",CHAR(96),CHAR(34),SUBSTITUTE(SUBSTITUTE(SUBSTITUTE(SUBSTITUTE(SUBSTITUTE(SUBSTITUTE($G23,CHAR(13)," "),CHAR(10)," "),CHAR(9)," "),CHAR(92),_xlfn.CONCAT(CHAR(92),CHAR(92))),"$",_xlfn.CONCAT(CHAR(92),"$")),CHAR(96),_xlfn.CONCAT(CHAR(92),CHAR(96))),CHAR(34),CHAR(39))))</f>
        <v/>
      </c>
      <c r="R23" s="5" t="str">
        <f>IF(OR(TRIM($B23)="",$H23=""),"",IF(OR(ISNUMBER(SEARCH(_xlfn.CONCAT(CHAR(96),CHAR(34)),$H23)),ISNUMBER(SEARCH(_xlfn.CONCAT(CHAR(34),CHAR(39)),$H23))),_xlfn.CONCAT("* REVIEW REQUIRED: compound-quote delimiter in Source on Sheet 1 row ",23,"; edit the input before running."),_xlfn.CONCAT("char ",TRIM($B23),"[doc_source] ",CHAR(96),CHAR(34),SUBSTITUTE(SUBSTITUTE(SUBSTITUTE(SUBSTITUTE(SUBSTITUTE(SUBSTITUTE($H23,CHAR(13)," "),CHAR(10)," "),CHAR(9)," "),CHAR(92),_xlfn.CONCAT(CHAR(92),CHAR(92))),"$",_xlfn.CONCAT(CHAR(92),"$")),CHAR(96),_xlfn.CONCAT(CHAR(92),CHAR(96))),CHAR(34),CHAR(39))))</f>
        <v/>
      </c>
      <c r="S23" s="5" t="str">
        <f>IF(OR(TRIM($B23)="",$I23=""),"",IF(OR(ISNUMBER(SEARCH(_xlfn.CONCAT(CHAR(96),CHAR(34)),$I23)),ISNUMBER(SEARCH(_xlfn.CONCAT(CHAR(34),CHAR(39)),$I23))),_xlfn.CONCAT("* REVIEW REQUIRED: compound-quote delimiter in Derivation on Sheet 1 row ",23,"; edit the input before running."),_xlfn.CONCAT("char ",TRIM($B23),"[doc_derivation] ",CHAR(96),CHAR(34),SUBSTITUTE(SUBSTITUTE(SUBSTITUTE(SUBSTITUTE(SUBSTITUTE(SUBSTITUTE($I23,CHAR(13)," "),CHAR(10)," "),CHAR(9)," "),CHAR(92),_xlfn.CONCAT(CHAR(92),CHAR(92))),"$",_xlfn.CONCAT(CHAR(92),"$")),CHAR(96),_xlfn.CONCAT(CHAR(92),CHAR(96))),CHAR(34),CHAR(39))))</f>
        <v/>
      </c>
      <c r="T23" s="5" t="str">
        <f>IF(OR(TRIM($B23)="",$J23=""),"",IF(OR(ISNUMBER(SEARCH(_xlfn.CONCAT(CHAR(96),CHAR(34)),$J23)),ISNUMBER(SEARCH(_xlfn.CONCAT(CHAR(34),CHAR(39)),$J23))),_xlfn.CONCAT("* REVIEW REQUIRED: compound-quote delimiter in Notes on Sheet 1 row ",23,"; edit the input before running."),_xlfn.CONCAT("char ",TRIM($B23),"[doc_notes] ",CHAR(96),CHAR(34),SUBSTITUTE(SUBSTITUTE(SUBSTITUTE(SUBSTITUTE(SUBSTITUTE(SUBSTITUTE($J23,CHAR(13)," "),CHAR(10)," "),CHAR(9)," "),CHAR(92),_xlfn.CONCAT(CHAR(92),CHAR(92))),"$",_xlfn.CONCAT(CHAR(92),"$")),CHAR(96),_xlfn.CONCAT(CHAR(92),CHAR(96))),CHAR(34),CHAR(39))))</f>
        <v/>
      </c>
      <c r="U23" s="5">
        <f t="shared" si="1"/>
        <v>0</v>
      </c>
    </row>
    <row r="24" spans="1:21" ht="30" customHeight="1" x14ac:dyDescent="0.2">
      <c r="C24" s="4"/>
      <c r="K24" s="5">
        <f t="shared" si="0"/>
        <v>0</v>
      </c>
      <c r="L24" s="5" t="str">
        <f>IF(OR(TRIM($B24)="",$A24=""),"",IF(OR(ISNUMBER(SEARCH(_xlfn.CONCAT(CHAR(96),CHAR(34)),$A24)),ISNUMBER(SEARCH(_xlfn.CONCAT(CHAR(34),CHAR(39)),$A24))),_xlfn.CONCAT("* REVIEW REQUIRED: compound-quote delimiter in Codebook Section on Sheet 1 row ",24,"; edit the input before running."),_xlfn.CONCAT("char ",TRIM($B24),"[doc_section] ",CHAR(96),CHAR(34),SUBSTITUTE(SUBSTITUTE(SUBSTITUTE(SUBSTITUTE(SUBSTITUTE(SUBSTITUTE($A24,CHAR(13)," "),CHAR(10)," "),CHAR(9)," "),CHAR(92),_xlfn.CONCAT(CHAR(92),CHAR(92))),"$",_xlfn.CONCAT(CHAR(92),"$")),CHAR(96),_xlfn.CONCAT(CHAR(92),CHAR(96))),CHAR(34),CHAR(39))))</f>
        <v/>
      </c>
      <c r="M24" s="5" t="str">
        <f>IF(OR(TRIM($B24)="",$C24=""),"",IF(IFERROR(MATCH(TRIM($C24),{"Quantitative","Continuous","Discrete","Categorical","Nominal","Ordinal","Identifier"},0),0)=0,_xlfn.CONCAT("* REVIEW REQUIRED: invalid Variable Type on Sheet 1 row ",24,"."),_xlfn.CONCAT("char ",TRIM($B24),"[doc_vartype] ",CHAR(96),CHAR(34),SUBSTITUTE(SUBSTITUTE(SUBSTITUTE(SUBSTITUTE(SUBSTITUTE(SUBSTITUTE(LOWER(TRIM($C24)),CHAR(13)," "),CHAR(10)," "),CHAR(9)," "),CHAR(92),_xlfn.CONCAT(CHAR(92),CHAR(92))),"$",_xlfn.CONCAT(CHAR(92),"$")),CHAR(96),_xlfn.CONCAT(CHAR(92),CHAR(96))),CHAR(34),CHAR(39))))</f>
        <v/>
      </c>
      <c r="N24" s="5" t="str">
        <f>IF(OR(TRIM($B24)="",$D24=""),"",IF(OR(ISNUMBER(SEARCH(_xlfn.CONCAT(CHAR(96),CHAR(34)),$D24)),ISNUMBER(SEARCH(_xlfn.CONCAT(CHAR(34),CHAR(39)),$D24))),_xlfn.CONCAT("* REVIEW REQUIRED: compound-quote delimiter in Item Number on Sheet 1 row ",24,"; edit the input before running."),_xlfn.CONCAT("char ",TRIM($B24),"[doc_itemnum] ",CHAR(96),CHAR(34),SUBSTITUTE(SUBSTITUTE(SUBSTITUTE(SUBSTITUTE(SUBSTITUTE(SUBSTITUTE($D24,CHAR(13)," "),CHAR(10)," "),CHAR(9)," "),CHAR(92),_xlfn.CONCAT(CHAR(92),CHAR(92))),"$",_xlfn.CONCAT(CHAR(92),"$")),CHAR(96),_xlfn.CONCAT(CHAR(92),CHAR(96))),CHAR(34),CHAR(39))))</f>
        <v/>
      </c>
      <c r="O24" s="5" t="str">
        <f>IF(OR(TRIM($B24)="",$E24=""),"",IF(OR(ISNUMBER(SEARCH(_xlfn.CONCAT(CHAR(96),CHAR(34)),$E24)),ISNUMBER(SEARCH(_xlfn.CONCAT(CHAR(34),CHAR(39)),$E24))),_xlfn.CONCAT("* REVIEW REQUIRED: compound-quote delimiter in Question Wording on Sheet 1 row ",24,"; edit the input before running."),_xlfn.CONCAT("char ",TRIM($B24),"[doc_question] ",CHAR(96),CHAR(34),SUBSTITUTE(SUBSTITUTE(SUBSTITUTE(SUBSTITUTE(SUBSTITUTE(SUBSTITUTE($E24,CHAR(13)," "),CHAR(10)," "),CHAR(9)," "),CHAR(92),_xlfn.CONCAT(CHAR(92),CHAR(92))),"$",_xlfn.CONCAT(CHAR(92),"$")),CHAR(96),_xlfn.CONCAT(CHAR(92),CHAR(96))),CHAR(34),CHAR(39))))</f>
        <v/>
      </c>
      <c r="P24" s="5" t="str">
        <f>IF(OR(TRIM($B24)="",$F24=""),"",IF(OR(ISNUMBER(SEARCH(_xlfn.CONCAT(CHAR(96),CHAR(34)),$F24)),ISNUMBER(SEARCH(_xlfn.CONCAT(CHAR(34),CHAR(39)),$F24))),_xlfn.CONCAT("* REVIEW REQUIRED: compound-quote delimiter in Units on Sheet 1 row ",24,"; edit the input before running."),_xlfn.CONCAT("char ",TRIM($B24),"[doc_units] ",CHAR(96),CHAR(34),SUBSTITUTE(SUBSTITUTE(SUBSTITUTE(SUBSTITUTE(SUBSTITUTE(SUBSTITUTE($F24,CHAR(13)," "),CHAR(10)," "),CHAR(9)," "),CHAR(92),_xlfn.CONCAT(CHAR(92),CHAR(92))),"$",_xlfn.CONCAT(CHAR(92),"$")),CHAR(96),_xlfn.CONCAT(CHAR(92),CHAR(96))),CHAR(34),CHAR(39))))</f>
        <v/>
      </c>
      <c r="Q24" s="5" t="str">
        <f>IF(OR(TRIM($B24)="",$G24=""),"",IF(OR(ISNUMBER(SEARCH(_xlfn.CONCAT(CHAR(96),CHAR(34)),$G24)),ISNUMBER(SEARCH(_xlfn.CONCAT(CHAR(34),CHAR(39)),$G24))),_xlfn.CONCAT("* REVIEW REQUIRED: compound-quote delimiter in Universe on Sheet 1 row ",24,"; edit the input before running."),_xlfn.CONCAT("char ",TRIM($B24),"[doc_universe] ",CHAR(96),CHAR(34),SUBSTITUTE(SUBSTITUTE(SUBSTITUTE(SUBSTITUTE(SUBSTITUTE(SUBSTITUTE($G24,CHAR(13)," "),CHAR(10)," "),CHAR(9)," "),CHAR(92),_xlfn.CONCAT(CHAR(92),CHAR(92))),"$",_xlfn.CONCAT(CHAR(92),"$")),CHAR(96),_xlfn.CONCAT(CHAR(92),CHAR(96))),CHAR(34),CHAR(39))))</f>
        <v/>
      </c>
      <c r="R24" s="5" t="str">
        <f>IF(OR(TRIM($B24)="",$H24=""),"",IF(OR(ISNUMBER(SEARCH(_xlfn.CONCAT(CHAR(96),CHAR(34)),$H24)),ISNUMBER(SEARCH(_xlfn.CONCAT(CHAR(34),CHAR(39)),$H24))),_xlfn.CONCAT("* REVIEW REQUIRED: compound-quote delimiter in Source on Sheet 1 row ",24,"; edit the input before running."),_xlfn.CONCAT("char ",TRIM($B24),"[doc_source] ",CHAR(96),CHAR(34),SUBSTITUTE(SUBSTITUTE(SUBSTITUTE(SUBSTITUTE(SUBSTITUTE(SUBSTITUTE($H24,CHAR(13)," "),CHAR(10)," "),CHAR(9)," "),CHAR(92),_xlfn.CONCAT(CHAR(92),CHAR(92))),"$",_xlfn.CONCAT(CHAR(92),"$")),CHAR(96),_xlfn.CONCAT(CHAR(92),CHAR(96))),CHAR(34),CHAR(39))))</f>
        <v/>
      </c>
      <c r="S24" s="5" t="str">
        <f>IF(OR(TRIM($B24)="",$I24=""),"",IF(OR(ISNUMBER(SEARCH(_xlfn.CONCAT(CHAR(96),CHAR(34)),$I24)),ISNUMBER(SEARCH(_xlfn.CONCAT(CHAR(34),CHAR(39)),$I24))),_xlfn.CONCAT("* REVIEW REQUIRED: compound-quote delimiter in Derivation on Sheet 1 row ",24,"; edit the input before running."),_xlfn.CONCAT("char ",TRIM($B24),"[doc_derivation] ",CHAR(96),CHAR(34),SUBSTITUTE(SUBSTITUTE(SUBSTITUTE(SUBSTITUTE(SUBSTITUTE(SUBSTITUTE($I24,CHAR(13)," "),CHAR(10)," "),CHAR(9)," "),CHAR(92),_xlfn.CONCAT(CHAR(92),CHAR(92))),"$",_xlfn.CONCAT(CHAR(92),"$")),CHAR(96),_xlfn.CONCAT(CHAR(92),CHAR(96))),CHAR(34),CHAR(39))))</f>
        <v/>
      </c>
      <c r="T24" s="5" t="str">
        <f>IF(OR(TRIM($B24)="",$J24=""),"",IF(OR(ISNUMBER(SEARCH(_xlfn.CONCAT(CHAR(96),CHAR(34)),$J24)),ISNUMBER(SEARCH(_xlfn.CONCAT(CHAR(34),CHAR(39)),$J24))),_xlfn.CONCAT("* REVIEW REQUIRED: compound-quote delimiter in Notes on Sheet 1 row ",24,"; edit the input before running."),_xlfn.CONCAT("char ",TRIM($B24),"[doc_notes] ",CHAR(96),CHAR(34),SUBSTITUTE(SUBSTITUTE(SUBSTITUTE(SUBSTITUTE(SUBSTITUTE(SUBSTITUTE($J24,CHAR(13)," "),CHAR(10)," "),CHAR(9)," "),CHAR(92),_xlfn.CONCAT(CHAR(92),CHAR(92))),"$",_xlfn.CONCAT(CHAR(92),"$")),CHAR(96),_xlfn.CONCAT(CHAR(92),CHAR(96))),CHAR(34),CHAR(39))))</f>
        <v/>
      </c>
      <c r="U24" s="5">
        <f t="shared" si="1"/>
        <v>0</v>
      </c>
    </row>
    <row r="25" spans="1:21" ht="30" customHeight="1" x14ac:dyDescent="0.2">
      <c r="C25" s="4"/>
      <c r="K25" s="5">
        <f t="shared" si="0"/>
        <v>0</v>
      </c>
      <c r="L25" s="5" t="str">
        <f>IF(OR(TRIM($B25)="",$A25=""),"",IF(OR(ISNUMBER(SEARCH(_xlfn.CONCAT(CHAR(96),CHAR(34)),$A25)),ISNUMBER(SEARCH(_xlfn.CONCAT(CHAR(34),CHAR(39)),$A25))),_xlfn.CONCAT("* REVIEW REQUIRED: compound-quote delimiter in Codebook Section on Sheet 1 row ",25,"; edit the input before running."),_xlfn.CONCAT("char ",TRIM($B25),"[doc_section] ",CHAR(96),CHAR(34),SUBSTITUTE(SUBSTITUTE(SUBSTITUTE(SUBSTITUTE(SUBSTITUTE(SUBSTITUTE($A25,CHAR(13)," "),CHAR(10)," "),CHAR(9)," "),CHAR(92),_xlfn.CONCAT(CHAR(92),CHAR(92))),"$",_xlfn.CONCAT(CHAR(92),"$")),CHAR(96),_xlfn.CONCAT(CHAR(92),CHAR(96))),CHAR(34),CHAR(39))))</f>
        <v/>
      </c>
      <c r="M25" s="5" t="str">
        <f>IF(OR(TRIM($B25)="",$C25=""),"",IF(IFERROR(MATCH(TRIM($C25),{"Quantitative","Continuous","Discrete","Categorical","Nominal","Ordinal","Identifier"},0),0)=0,_xlfn.CONCAT("* REVIEW REQUIRED: invalid Variable Type on Sheet 1 row ",25,"."),_xlfn.CONCAT("char ",TRIM($B25),"[doc_vartype] ",CHAR(96),CHAR(34),SUBSTITUTE(SUBSTITUTE(SUBSTITUTE(SUBSTITUTE(SUBSTITUTE(SUBSTITUTE(LOWER(TRIM($C25)),CHAR(13)," "),CHAR(10)," "),CHAR(9)," "),CHAR(92),_xlfn.CONCAT(CHAR(92),CHAR(92))),"$",_xlfn.CONCAT(CHAR(92),"$")),CHAR(96),_xlfn.CONCAT(CHAR(92),CHAR(96))),CHAR(34),CHAR(39))))</f>
        <v/>
      </c>
      <c r="N25" s="5" t="str">
        <f>IF(OR(TRIM($B25)="",$D25=""),"",IF(OR(ISNUMBER(SEARCH(_xlfn.CONCAT(CHAR(96),CHAR(34)),$D25)),ISNUMBER(SEARCH(_xlfn.CONCAT(CHAR(34),CHAR(39)),$D25))),_xlfn.CONCAT("* REVIEW REQUIRED: compound-quote delimiter in Item Number on Sheet 1 row ",25,"; edit the input before running."),_xlfn.CONCAT("char ",TRIM($B25),"[doc_itemnum] ",CHAR(96),CHAR(34),SUBSTITUTE(SUBSTITUTE(SUBSTITUTE(SUBSTITUTE(SUBSTITUTE(SUBSTITUTE($D25,CHAR(13)," "),CHAR(10)," "),CHAR(9)," "),CHAR(92),_xlfn.CONCAT(CHAR(92),CHAR(92))),"$",_xlfn.CONCAT(CHAR(92),"$")),CHAR(96),_xlfn.CONCAT(CHAR(92),CHAR(96))),CHAR(34),CHAR(39))))</f>
        <v/>
      </c>
      <c r="O25" s="5" t="str">
        <f>IF(OR(TRIM($B25)="",$E25=""),"",IF(OR(ISNUMBER(SEARCH(_xlfn.CONCAT(CHAR(96),CHAR(34)),$E25)),ISNUMBER(SEARCH(_xlfn.CONCAT(CHAR(34),CHAR(39)),$E25))),_xlfn.CONCAT("* REVIEW REQUIRED: compound-quote delimiter in Question Wording on Sheet 1 row ",25,"; edit the input before running."),_xlfn.CONCAT("char ",TRIM($B25),"[doc_question] ",CHAR(96),CHAR(34),SUBSTITUTE(SUBSTITUTE(SUBSTITUTE(SUBSTITUTE(SUBSTITUTE(SUBSTITUTE($E25,CHAR(13)," "),CHAR(10)," "),CHAR(9)," "),CHAR(92),_xlfn.CONCAT(CHAR(92),CHAR(92))),"$",_xlfn.CONCAT(CHAR(92),"$")),CHAR(96),_xlfn.CONCAT(CHAR(92),CHAR(96))),CHAR(34),CHAR(39))))</f>
        <v/>
      </c>
      <c r="P25" s="5" t="str">
        <f>IF(OR(TRIM($B25)="",$F25=""),"",IF(OR(ISNUMBER(SEARCH(_xlfn.CONCAT(CHAR(96),CHAR(34)),$F25)),ISNUMBER(SEARCH(_xlfn.CONCAT(CHAR(34),CHAR(39)),$F25))),_xlfn.CONCAT("* REVIEW REQUIRED: compound-quote delimiter in Units on Sheet 1 row ",25,"; edit the input before running."),_xlfn.CONCAT("char ",TRIM($B25),"[doc_units] ",CHAR(96),CHAR(34),SUBSTITUTE(SUBSTITUTE(SUBSTITUTE(SUBSTITUTE(SUBSTITUTE(SUBSTITUTE($F25,CHAR(13)," "),CHAR(10)," "),CHAR(9)," "),CHAR(92),_xlfn.CONCAT(CHAR(92),CHAR(92))),"$",_xlfn.CONCAT(CHAR(92),"$")),CHAR(96),_xlfn.CONCAT(CHAR(92),CHAR(96))),CHAR(34),CHAR(39))))</f>
        <v/>
      </c>
      <c r="Q25" s="5" t="str">
        <f>IF(OR(TRIM($B25)="",$G25=""),"",IF(OR(ISNUMBER(SEARCH(_xlfn.CONCAT(CHAR(96),CHAR(34)),$G25)),ISNUMBER(SEARCH(_xlfn.CONCAT(CHAR(34),CHAR(39)),$G25))),_xlfn.CONCAT("* REVIEW REQUIRED: compound-quote delimiter in Universe on Sheet 1 row ",25,"; edit the input before running."),_xlfn.CONCAT("char ",TRIM($B25),"[doc_universe] ",CHAR(96),CHAR(34),SUBSTITUTE(SUBSTITUTE(SUBSTITUTE(SUBSTITUTE(SUBSTITUTE(SUBSTITUTE($G25,CHAR(13)," "),CHAR(10)," "),CHAR(9)," "),CHAR(92),_xlfn.CONCAT(CHAR(92),CHAR(92))),"$",_xlfn.CONCAT(CHAR(92),"$")),CHAR(96),_xlfn.CONCAT(CHAR(92),CHAR(96))),CHAR(34),CHAR(39))))</f>
        <v/>
      </c>
      <c r="R25" s="5" t="str">
        <f>IF(OR(TRIM($B25)="",$H25=""),"",IF(OR(ISNUMBER(SEARCH(_xlfn.CONCAT(CHAR(96),CHAR(34)),$H25)),ISNUMBER(SEARCH(_xlfn.CONCAT(CHAR(34),CHAR(39)),$H25))),_xlfn.CONCAT("* REVIEW REQUIRED: compound-quote delimiter in Source on Sheet 1 row ",25,"; edit the input before running."),_xlfn.CONCAT("char ",TRIM($B25),"[doc_source] ",CHAR(96),CHAR(34),SUBSTITUTE(SUBSTITUTE(SUBSTITUTE(SUBSTITUTE(SUBSTITUTE(SUBSTITUTE($H25,CHAR(13)," "),CHAR(10)," "),CHAR(9)," "),CHAR(92),_xlfn.CONCAT(CHAR(92),CHAR(92))),"$",_xlfn.CONCAT(CHAR(92),"$")),CHAR(96),_xlfn.CONCAT(CHAR(92),CHAR(96))),CHAR(34),CHAR(39))))</f>
        <v/>
      </c>
      <c r="S25" s="5" t="str">
        <f>IF(OR(TRIM($B25)="",$I25=""),"",IF(OR(ISNUMBER(SEARCH(_xlfn.CONCAT(CHAR(96),CHAR(34)),$I25)),ISNUMBER(SEARCH(_xlfn.CONCAT(CHAR(34),CHAR(39)),$I25))),_xlfn.CONCAT("* REVIEW REQUIRED: compound-quote delimiter in Derivation on Sheet 1 row ",25,"; edit the input before running."),_xlfn.CONCAT("char ",TRIM($B25),"[doc_derivation] ",CHAR(96),CHAR(34),SUBSTITUTE(SUBSTITUTE(SUBSTITUTE(SUBSTITUTE(SUBSTITUTE(SUBSTITUTE($I25,CHAR(13)," "),CHAR(10)," "),CHAR(9)," "),CHAR(92),_xlfn.CONCAT(CHAR(92),CHAR(92))),"$",_xlfn.CONCAT(CHAR(92),"$")),CHAR(96),_xlfn.CONCAT(CHAR(92),CHAR(96))),CHAR(34),CHAR(39))))</f>
        <v/>
      </c>
      <c r="T25" s="5" t="str">
        <f>IF(OR(TRIM($B25)="",$J25=""),"",IF(OR(ISNUMBER(SEARCH(_xlfn.CONCAT(CHAR(96),CHAR(34)),$J25)),ISNUMBER(SEARCH(_xlfn.CONCAT(CHAR(34),CHAR(39)),$J25))),_xlfn.CONCAT("* REVIEW REQUIRED: compound-quote delimiter in Notes on Sheet 1 row ",25,"; edit the input before running."),_xlfn.CONCAT("char ",TRIM($B25),"[doc_notes] ",CHAR(96),CHAR(34),SUBSTITUTE(SUBSTITUTE(SUBSTITUTE(SUBSTITUTE(SUBSTITUTE(SUBSTITUTE($J25,CHAR(13)," "),CHAR(10)," "),CHAR(9)," "),CHAR(92),_xlfn.CONCAT(CHAR(92),CHAR(92))),"$",_xlfn.CONCAT(CHAR(92),"$")),CHAR(96),_xlfn.CONCAT(CHAR(92),CHAR(96))),CHAR(34),CHAR(39))))</f>
        <v/>
      </c>
      <c r="U25" s="5">
        <f t="shared" si="1"/>
        <v>0</v>
      </c>
    </row>
    <row r="26" spans="1:21" ht="30" customHeight="1" x14ac:dyDescent="0.2">
      <c r="C26" s="4"/>
      <c r="K26" s="5">
        <f t="shared" si="0"/>
        <v>0</v>
      </c>
      <c r="L26" s="5" t="str">
        <f>IF(OR(TRIM($B26)="",$A26=""),"",IF(OR(ISNUMBER(SEARCH(_xlfn.CONCAT(CHAR(96),CHAR(34)),$A26)),ISNUMBER(SEARCH(_xlfn.CONCAT(CHAR(34),CHAR(39)),$A26))),_xlfn.CONCAT("* REVIEW REQUIRED: compound-quote delimiter in Codebook Section on Sheet 1 row ",26,"; edit the input before running."),_xlfn.CONCAT("char ",TRIM($B26),"[doc_section] ",CHAR(96),CHAR(34),SUBSTITUTE(SUBSTITUTE(SUBSTITUTE(SUBSTITUTE(SUBSTITUTE(SUBSTITUTE($A26,CHAR(13)," "),CHAR(10)," "),CHAR(9)," "),CHAR(92),_xlfn.CONCAT(CHAR(92),CHAR(92))),"$",_xlfn.CONCAT(CHAR(92),"$")),CHAR(96),_xlfn.CONCAT(CHAR(92),CHAR(96))),CHAR(34),CHAR(39))))</f>
        <v/>
      </c>
      <c r="M26" s="5" t="str">
        <f>IF(OR(TRIM($B26)="",$C26=""),"",IF(IFERROR(MATCH(TRIM($C26),{"Quantitative","Continuous","Discrete","Categorical","Nominal","Ordinal","Identifier"},0),0)=0,_xlfn.CONCAT("* REVIEW REQUIRED: invalid Variable Type on Sheet 1 row ",26,"."),_xlfn.CONCAT("char ",TRIM($B26),"[doc_vartype] ",CHAR(96),CHAR(34),SUBSTITUTE(SUBSTITUTE(SUBSTITUTE(SUBSTITUTE(SUBSTITUTE(SUBSTITUTE(LOWER(TRIM($C26)),CHAR(13)," "),CHAR(10)," "),CHAR(9)," "),CHAR(92),_xlfn.CONCAT(CHAR(92),CHAR(92))),"$",_xlfn.CONCAT(CHAR(92),"$")),CHAR(96),_xlfn.CONCAT(CHAR(92),CHAR(96))),CHAR(34),CHAR(39))))</f>
        <v/>
      </c>
      <c r="N26" s="5" t="str">
        <f>IF(OR(TRIM($B26)="",$D26=""),"",IF(OR(ISNUMBER(SEARCH(_xlfn.CONCAT(CHAR(96),CHAR(34)),$D26)),ISNUMBER(SEARCH(_xlfn.CONCAT(CHAR(34),CHAR(39)),$D26))),_xlfn.CONCAT("* REVIEW REQUIRED: compound-quote delimiter in Item Number on Sheet 1 row ",26,"; edit the input before running."),_xlfn.CONCAT("char ",TRIM($B26),"[doc_itemnum] ",CHAR(96),CHAR(34),SUBSTITUTE(SUBSTITUTE(SUBSTITUTE(SUBSTITUTE(SUBSTITUTE(SUBSTITUTE($D26,CHAR(13)," "),CHAR(10)," "),CHAR(9)," "),CHAR(92),_xlfn.CONCAT(CHAR(92),CHAR(92))),"$",_xlfn.CONCAT(CHAR(92),"$")),CHAR(96),_xlfn.CONCAT(CHAR(92),CHAR(96))),CHAR(34),CHAR(39))))</f>
        <v/>
      </c>
      <c r="O26" s="5" t="str">
        <f>IF(OR(TRIM($B26)="",$E26=""),"",IF(OR(ISNUMBER(SEARCH(_xlfn.CONCAT(CHAR(96),CHAR(34)),$E26)),ISNUMBER(SEARCH(_xlfn.CONCAT(CHAR(34),CHAR(39)),$E26))),_xlfn.CONCAT("* REVIEW REQUIRED: compound-quote delimiter in Question Wording on Sheet 1 row ",26,"; edit the input before running."),_xlfn.CONCAT("char ",TRIM($B26),"[doc_question] ",CHAR(96),CHAR(34),SUBSTITUTE(SUBSTITUTE(SUBSTITUTE(SUBSTITUTE(SUBSTITUTE(SUBSTITUTE($E26,CHAR(13)," "),CHAR(10)," "),CHAR(9)," "),CHAR(92),_xlfn.CONCAT(CHAR(92),CHAR(92))),"$",_xlfn.CONCAT(CHAR(92),"$")),CHAR(96),_xlfn.CONCAT(CHAR(92),CHAR(96))),CHAR(34),CHAR(39))))</f>
        <v/>
      </c>
      <c r="P26" s="5" t="str">
        <f>IF(OR(TRIM($B26)="",$F26=""),"",IF(OR(ISNUMBER(SEARCH(_xlfn.CONCAT(CHAR(96),CHAR(34)),$F26)),ISNUMBER(SEARCH(_xlfn.CONCAT(CHAR(34),CHAR(39)),$F26))),_xlfn.CONCAT("* REVIEW REQUIRED: compound-quote delimiter in Units on Sheet 1 row ",26,"; edit the input before running."),_xlfn.CONCAT("char ",TRIM($B26),"[doc_units] ",CHAR(96),CHAR(34),SUBSTITUTE(SUBSTITUTE(SUBSTITUTE(SUBSTITUTE(SUBSTITUTE(SUBSTITUTE($F26,CHAR(13)," "),CHAR(10)," "),CHAR(9)," "),CHAR(92),_xlfn.CONCAT(CHAR(92),CHAR(92))),"$",_xlfn.CONCAT(CHAR(92),"$")),CHAR(96),_xlfn.CONCAT(CHAR(92),CHAR(96))),CHAR(34),CHAR(39))))</f>
        <v/>
      </c>
      <c r="Q26" s="5" t="str">
        <f>IF(OR(TRIM($B26)="",$G26=""),"",IF(OR(ISNUMBER(SEARCH(_xlfn.CONCAT(CHAR(96),CHAR(34)),$G26)),ISNUMBER(SEARCH(_xlfn.CONCAT(CHAR(34),CHAR(39)),$G26))),_xlfn.CONCAT("* REVIEW REQUIRED: compound-quote delimiter in Universe on Sheet 1 row ",26,"; edit the input before running."),_xlfn.CONCAT("char ",TRIM($B26),"[doc_universe] ",CHAR(96),CHAR(34),SUBSTITUTE(SUBSTITUTE(SUBSTITUTE(SUBSTITUTE(SUBSTITUTE(SUBSTITUTE($G26,CHAR(13)," "),CHAR(10)," "),CHAR(9)," "),CHAR(92),_xlfn.CONCAT(CHAR(92),CHAR(92))),"$",_xlfn.CONCAT(CHAR(92),"$")),CHAR(96),_xlfn.CONCAT(CHAR(92),CHAR(96))),CHAR(34),CHAR(39))))</f>
        <v/>
      </c>
      <c r="R26" s="5" t="str">
        <f>IF(OR(TRIM($B26)="",$H26=""),"",IF(OR(ISNUMBER(SEARCH(_xlfn.CONCAT(CHAR(96),CHAR(34)),$H26)),ISNUMBER(SEARCH(_xlfn.CONCAT(CHAR(34),CHAR(39)),$H26))),_xlfn.CONCAT("* REVIEW REQUIRED: compound-quote delimiter in Source on Sheet 1 row ",26,"; edit the input before running."),_xlfn.CONCAT("char ",TRIM($B26),"[doc_source] ",CHAR(96),CHAR(34),SUBSTITUTE(SUBSTITUTE(SUBSTITUTE(SUBSTITUTE(SUBSTITUTE(SUBSTITUTE($H26,CHAR(13)," "),CHAR(10)," "),CHAR(9)," "),CHAR(92),_xlfn.CONCAT(CHAR(92),CHAR(92))),"$",_xlfn.CONCAT(CHAR(92),"$")),CHAR(96),_xlfn.CONCAT(CHAR(92),CHAR(96))),CHAR(34),CHAR(39))))</f>
        <v/>
      </c>
      <c r="S26" s="5" t="str">
        <f>IF(OR(TRIM($B26)="",$I26=""),"",IF(OR(ISNUMBER(SEARCH(_xlfn.CONCAT(CHAR(96),CHAR(34)),$I26)),ISNUMBER(SEARCH(_xlfn.CONCAT(CHAR(34),CHAR(39)),$I26))),_xlfn.CONCAT("* REVIEW REQUIRED: compound-quote delimiter in Derivation on Sheet 1 row ",26,"; edit the input before running."),_xlfn.CONCAT("char ",TRIM($B26),"[doc_derivation] ",CHAR(96),CHAR(34),SUBSTITUTE(SUBSTITUTE(SUBSTITUTE(SUBSTITUTE(SUBSTITUTE(SUBSTITUTE($I26,CHAR(13)," "),CHAR(10)," "),CHAR(9)," "),CHAR(92),_xlfn.CONCAT(CHAR(92),CHAR(92))),"$",_xlfn.CONCAT(CHAR(92),"$")),CHAR(96),_xlfn.CONCAT(CHAR(92),CHAR(96))),CHAR(34),CHAR(39))))</f>
        <v/>
      </c>
      <c r="T26" s="5" t="str">
        <f>IF(OR(TRIM($B26)="",$J26=""),"",IF(OR(ISNUMBER(SEARCH(_xlfn.CONCAT(CHAR(96),CHAR(34)),$J26)),ISNUMBER(SEARCH(_xlfn.CONCAT(CHAR(34),CHAR(39)),$J26))),_xlfn.CONCAT("* REVIEW REQUIRED: compound-quote delimiter in Notes on Sheet 1 row ",26,"; edit the input before running."),_xlfn.CONCAT("char ",TRIM($B26),"[doc_notes] ",CHAR(96),CHAR(34),SUBSTITUTE(SUBSTITUTE(SUBSTITUTE(SUBSTITUTE(SUBSTITUTE(SUBSTITUTE($J26,CHAR(13)," "),CHAR(10)," "),CHAR(9)," "),CHAR(92),_xlfn.CONCAT(CHAR(92),CHAR(92))),"$",_xlfn.CONCAT(CHAR(92),"$")),CHAR(96),_xlfn.CONCAT(CHAR(92),CHAR(96))),CHAR(34),CHAR(39))))</f>
        <v/>
      </c>
      <c r="U26" s="5">
        <f t="shared" si="1"/>
        <v>0</v>
      </c>
    </row>
    <row r="27" spans="1:21" ht="30" customHeight="1" x14ac:dyDescent="0.2">
      <c r="C27" s="4"/>
      <c r="K27" s="5">
        <f t="shared" si="0"/>
        <v>0</v>
      </c>
      <c r="L27" s="5" t="str">
        <f>IF(OR(TRIM($B27)="",$A27=""),"",IF(OR(ISNUMBER(SEARCH(_xlfn.CONCAT(CHAR(96),CHAR(34)),$A27)),ISNUMBER(SEARCH(_xlfn.CONCAT(CHAR(34),CHAR(39)),$A27))),_xlfn.CONCAT("* REVIEW REQUIRED: compound-quote delimiter in Codebook Section on Sheet 1 row ",27,"; edit the input before running."),_xlfn.CONCAT("char ",TRIM($B27),"[doc_section] ",CHAR(96),CHAR(34),SUBSTITUTE(SUBSTITUTE(SUBSTITUTE(SUBSTITUTE(SUBSTITUTE(SUBSTITUTE($A27,CHAR(13)," "),CHAR(10)," "),CHAR(9)," "),CHAR(92),_xlfn.CONCAT(CHAR(92),CHAR(92))),"$",_xlfn.CONCAT(CHAR(92),"$")),CHAR(96),_xlfn.CONCAT(CHAR(92),CHAR(96))),CHAR(34),CHAR(39))))</f>
        <v/>
      </c>
      <c r="M27" s="5" t="str">
        <f>IF(OR(TRIM($B27)="",$C27=""),"",IF(IFERROR(MATCH(TRIM($C27),{"Quantitative","Continuous","Discrete","Categorical","Nominal","Ordinal","Identifier"},0),0)=0,_xlfn.CONCAT("* REVIEW REQUIRED: invalid Variable Type on Sheet 1 row ",27,"."),_xlfn.CONCAT("char ",TRIM($B27),"[doc_vartype] ",CHAR(96),CHAR(34),SUBSTITUTE(SUBSTITUTE(SUBSTITUTE(SUBSTITUTE(SUBSTITUTE(SUBSTITUTE(LOWER(TRIM($C27)),CHAR(13)," "),CHAR(10)," "),CHAR(9)," "),CHAR(92),_xlfn.CONCAT(CHAR(92),CHAR(92))),"$",_xlfn.CONCAT(CHAR(92),"$")),CHAR(96),_xlfn.CONCAT(CHAR(92),CHAR(96))),CHAR(34),CHAR(39))))</f>
        <v/>
      </c>
      <c r="N27" s="5" t="str">
        <f>IF(OR(TRIM($B27)="",$D27=""),"",IF(OR(ISNUMBER(SEARCH(_xlfn.CONCAT(CHAR(96),CHAR(34)),$D27)),ISNUMBER(SEARCH(_xlfn.CONCAT(CHAR(34),CHAR(39)),$D27))),_xlfn.CONCAT("* REVIEW REQUIRED: compound-quote delimiter in Item Number on Sheet 1 row ",27,"; edit the input before running."),_xlfn.CONCAT("char ",TRIM($B27),"[doc_itemnum] ",CHAR(96),CHAR(34),SUBSTITUTE(SUBSTITUTE(SUBSTITUTE(SUBSTITUTE(SUBSTITUTE(SUBSTITUTE($D27,CHAR(13)," "),CHAR(10)," "),CHAR(9)," "),CHAR(92),_xlfn.CONCAT(CHAR(92),CHAR(92))),"$",_xlfn.CONCAT(CHAR(92),"$")),CHAR(96),_xlfn.CONCAT(CHAR(92),CHAR(96))),CHAR(34),CHAR(39))))</f>
        <v/>
      </c>
      <c r="O27" s="5" t="str">
        <f>IF(OR(TRIM($B27)="",$E27=""),"",IF(OR(ISNUMBER(SEARCH(_xlfn.CONCAT(CHAR(96),CHAR(34)),$E27)),ISNUMBER(SEARCH(_xlfn.CONCAT(CHAR(34),CHAR(39)),$E27))),_xlfn.CONCAT("* REVIEW REQUIRED: compound-quote delimiter in Question Wording on Sheet 1 row ",27,"; edit the input before running."),_xlfn.CONCAT("char ",TRIM($B27),"[doc_question] ",CHAR(96),CHAR(34),SUBSTITUTE(SUBSTITUTE(SUBSTITUTE(SUBSTITUTE(SUBSTITUTE(SUBSTITUTE($E27,CHAR(13)," "),CHAR(10)," "),CHAR(9)," "),CHAR(92),_xlfn.CONCAT(CHAR(92),CHAR(92))),"$",_xlfn.CONCAT(CHAR(92),"$")),CHAR(96),_xlfn.CONCAT(CHAR(92),CHAR(96))),CHAR(34),CHAR(39))))</f>
        <v/>
      </c>
      <c r="P27" s="5" t="str">
        <f>IF(OR(TRIM($B27)="",$F27=""),"",IF(OR(ISNUMBER(SEARCH(_xlfn.CONCAT(CHAR(96),CHAR(34)),$F27)),ISNUMBER(SEARCH(_xlfn.CONCAT(CHAR(34),CHAR(39)),$F27))),_xlfn.CONCAT("* REVIEW REQUIRED: compound-quote delimiter in Units on Sheet 1 row ",27,"; edit the input before running."),_xlfn.CONCAT("char ",TRIM($B27),"[doc_units] ",CHAR(96),CHAR(34),SUBSTITUTE(SUBSTITUTE(SUBSTITUTE(SUBSTITUTE(SUBSTITUTE(SUBSTITUTE($F27,CHAR(13)," "),CHAR(10)," "),CHAR(9)," "),CHAR(92),_xlfn.CONCAT(CHAR(92),CHAR(92))),"$",_xlfn.CONCAT(CHAR(92),"$")),CHAR(96),_xlfn.CONCAT(CHAR(92),CHAR(96))),CHAR(34),CHAR(39))))</f>
        <v/>
      </c>
      <c r="Q27" s="5" t="str">
        <f>IF(OR(TRIM($B27)="",$G27=""),"",IF(OR(ISNUMBER(SEARCH(_xlfn.CONCAT(CHAR(96),CHAR(34)),$G27)),ISNUMBER(SEARCH(_xlfn.CONCAT(CHAR(34),CHAR(39)),$G27))),_xlfn.CONCAT("* REVIEW REQUIRED: compound-quote delimiter in Universe on Sheet 1 row ",27,"; edit the input before running."),_xlfn.CONCAT("char ",TRIM($B27),"[doc_universe] ",CHAR(96),CHAR(34),SUBSTITUTE(SUBSTITUTE(SUBSTITUTE(SUBSTITUTE(SUBSTITUTE(SUBSTITUTE($G27,CHAR(13)," "),CHAR(10)," "),CHAR(9)," "),CHAR(92),_xlfn.CONCAT(CHAR(92),CHAR(92))),"$",_xlfn.CONCAT(CHAR(92),"$")),CHAR(96),_xlfn.CONCAT(CHAR(92),CHAR(96))),CHAR(34),CHAR(39))))</f>
        <v/>
      </c>
      <c r="R27" s="5" t="str">
        <f>IF(OR(TRIM($B27)="",$H27=""),"",IF(OR(ISNUMBER(SEARCH(_xlfn.CONCAT(CHAR(96),CHAR(34)),$H27)),ISNUMBER(SEARCH(_xlfn.CONCAT(CHAR(34),CHAR(39)),$H27))),_xlfn.CONCAT("* REVIEW REQUIRED: compound-quote delimiter in Source on Sheet 1 row ",27,"; edit the input before running."),_xlfn.CONCAT("char ",TRIM($B27),"[doc_source] ",CHAR(96),CHAR(34),SUBSTITUTE(SUBSTITUTE(SUBSTITUTE(SUBSTITUTE(SUBSTITUTE(SUBSTITUTE($H27,CHAR(13)," "),CHAR(10)," "),CHAR(9)," "),CHAR(92),_xlfn.CONCAT(CHAR(92),CHAR(92))),"$",_xlfn.CONCAT(CHAR(92),"$")),CHAR(96),_xlfn.CONCAT(CHAR(92),CHAR(96))),CHAR(34),CHAR(39))))</f>
        <v/>
      </c>
      <c r="S27" s="5" t="str">
        <f>IF(OR(TRIM($B27)="",$I27=""),"",IF(OR(ISNUMBER(SEARCH(_xlfn.CONCAT(CHAR(96),CHAR(34)),$I27)),ISNUMBER(SEARCH(_xlfn.CONCAT(CHAR(34),CHAR(39)),$I27))),_xlfn.CONCAT("* REVIEW REQUIRED: compound-quote delimiter in Derivation on Sheet 1 row ",27,"; edit the input before running."),_xlfn.CONCAT("char ",TRIM($B27),"[doc_derivation] ",CHAR(96),CHAR(34),SUBSTITUTE(SUBSTITUTE(SUBSTITUTE(SUBSTITUTE(SUBSTITUTE(SUBSTITUTE($I27,CHAR(13)," "),CHAR(10)," "),CHAR(9)," "),CHAR(92),_xlfn.CONCAT(CHAR(92),CHAR(92))),"$",_xlfn.CONCAT(CHAR(92),"$")),CHAR(96),_xlfn.CONCAT(CHAR(92),CHAR(96))),CHAR(34),CHAR(39))))</f>
        <v/>
      </c>
      <c r="T27" s="5" t="str">
        <f>IF(OR(TRIM($B27)="",$J27=""),"",IF(OR(ISNUMBER(SEARCH(_xlfn.CONCAT(CHAR(96),CHAR(34)),$J27)),ISNUMBER(SEARCH(_xlfn.CONCAT(CHAR(34),CHAR(39)),$J27))),_xlfn.CONCAT("* REVIEW REQUIRED: compound-quote delimiter in Notes on Sheet 1 row ",27,"; edit the input before running."),_xlfn.CONCAT("char ",TRIM($B27),"[doc_notes] ",CHAR(96),CHAR(34),SUBSTITUTE(SUBSTITUTE(SUBSTITUTE(SUBSTITUTE(SUBSTITUTE(SUBSTITUTE($J27,CHAR(13)," "),CHAR(10)," "),CHAR(9)," "),CHAR(92),_xlfn.CONCAT(CHAR(92),CHAR(92))),"$",_xlfn.CONCAT(CHAR(92),"$")),CHAR(96),_xlfn.CONCAT(CHAR(92),CHAR(96))),CHAR(34),CHAR(39))))</f>
        <v/>
      </c>
      <c r="U27" s="5">
        <f t="shared" si="1"/>
        <v>0</v>
      </c>
    </row>
    <row r="28" spans="1:21" ht="30" customHeight="1" x14ac:dyDescent="0.2">
      <c r="C28" s="4"/>
      <c r="K28" s="5">
        <f t="shared" si="0"/>
        <v>0</v>
      </c>
      <c r="L28" s="5" t="str">
        <f>IF(OR(TRIM($B28)="",$A28=""),"",IF(OR(ISNUMBER(SEARCH(_xlfn.CONCAT(CHAR(96),CHAR(34)),$A28)),ISNUMBER(SEARCH(_xlfn.CONCAT(CHAR(34),CHAR(39)),$A28))),_xlfn.CONCAT("* REVIEW REQUIRED: compound-quote delimiter in Codebook Section on Sheet 1 row ",28,"; edit the input before running."),_xlfn.CONCAT("char ",TRIM($B28),"[doc_section] ",CHAR(96),CHAR(34),SUBSTITUTE(SUBSTITUTE(SUBSTITUTE(SUBSTITUTE(SUBSTITUTE(SUBSTITUTE($A28,CHAR(13)," "),CHAR(10)," "),CHAR(9)," "),CHAR(92),_xlfn.CONCAT(CHAR(92),CHAR(92))),"$",_xlfn.CONCAT(CHAR(92),"$")),CHAR(96),_xlfn.CONCAT(CHAR(92),CHAR(96))),CHAR(34),CHAR(39))))</f>
        <v/>
      </c>
      <c r="M28" s="5" t="str">
        <f>IF(OR(TRIM($B28)="",$C28=""),"",IF(IFERROR(MATCH(TRIM($C28),{"Quantitative","Continuous","Discrete","Categorical","Nominal","Ordinal","Identifier"},0),0)=0,_xlfn.CONCAT("* REVIEW REQUIRED: invalid Variable Type on Sheet 1 row ",28,"."),_xlfn.CONCAT("char ",TRIM($B28),"[doc_vartype] ",CHAR(96),CHAR(34),SUBSTITUTE(SUBSTITUTE(SUBSTITUTE(SUBSTITUTE(SUBSTITUTE(SUBSTITUTE(LOWER(TRIM($C28)),CHAR(13)," "),CHAR(10)," "),CHAR(9)," "),CHAR(92),_xlfn.CONCAT(CHAR(92),CHAR(92))),"$",_xlfn.CONCAT(CHAR(92),"$")),CHAR(96),_xlfn.CONCAT(CHAR(92),CHAR(96))),CHAR(34),CHAR(39))))</f>
        <v/>
      </c>
      <c r="N28" s="5" t="str">
        <f>IF(OR(TRIM($B28)="",$D28=""),"",IF(OR(ISNUMBER(SEARCH(_xlfn.CONCAT(CHAR(96),CHAR(34)),$D28)),ISNUMBER(SEARCH(_xlfn.CONCAT(CHAR(34),CHAR(39)),$D28))),_xlfn.CONCAT("* REVIEW REQUIRED: compound-quote delimiter in Item Number on Sheet 1 row ",28,"; edit the input before running."),_xlfn.CONCAT("char ",TRIM($B28),"[doc_itemnum] ",CHAR(96),CHAR(34),SUBSTITUTE(SUBSTITUTE(SUBSTITUTE(SUBSTITUTE(SUBSTITUTE(SUBSTITUTE($D28,CHAR(13)," "),CHAR(10)," "),CHAR(9)," "),CHAR(92),_xlfn.CONCAT(CHAR(92),CHAR(92))),"$",_xlfn.CONCAT(CHAR(92),"$")),CHAR(96),_xlfn.CONCAT(CHAR(92),CHAR(96))),CHAR(34),CHAR(39))))</f>
        <v/>
      </c>
      <c r="O28" s="5" t="str">
        <f>IF(OR(TRIM($B28)="",$E28=""),"",IF(OR(ISNUMBER(SEARCH(_xlfn.CONCAT(CHAR(96),CHAR(34)),$E28)),ISNUMBER(SEARCH(_xlfn.CONCAT(CHAR(34),CHAR(39)),$E28))),_xlfn.CONCAT("* REVIEW REQUIRED: compound-quote delimiter in Question Wording on Sheet 1 row ",28,"; edit the input before running."),_xlfn.CONCAT("char ",TRIM($B28),"[doc_question] ",CHAR(96),CHAR(34),SUBSTITUTE(SUBSTITUTE(SUBSTITUTE(SUBSTITUTE(SUBSTITUTE(SUBSTITUTE($E28,CHAR(13)," "),CHAR(10)," "),CHAR(9)," "),CHAR(92),_xlfn.CONCAT(CHAR(92),CHAR(92))),"$",_xlfn.CONCAT(CHAR(92),"$")),CHAR(96),_xlfn.CONCAT(CHAR(92),CHAR(96))),CHAR(34),CHAR(39))))</f>
        <v/>
      </c>
      <c r="P28" s="5" t="str">
        <f>IF(OR(TRIM($B28)="",$F28=""),"",IF(OR(ISNUMBER(SEARCH(_xlfn.CONCAT(CHAR(96),CHAR(34)),$F28)),ISNUMBER(SEARCH(_xlfn.CONCAT(CHAR(34),CHAR(39)),$F28))),_xlfn.CONCAT("* REVIEW REQUIRED: compound-quote delimiter in Units on Sheet 1 row ",28,"; edit the input before running."),_xlfn.CONCAT("char ",TRIM($B28),"[doc_units] ",CHAR(96),CHAR(34),SUBSTITUTE(SUBSTITUTE(SUBSTITUTE(SUBSTITUTE(SUBSTITUTE(SUBSTITUTE($F28,CHAR(13)," "),CHAR(10)," "),CHAR(9)," "),CHAR(92),_xlfn.CONCAT(CHAR(92),CHAR(92))),"$",_xlfn.CONCAT(CHAR(92),"$")),CHAR(96),_xlfn.CONCAT(CHAR(92),CHAR(96))),CHAR(34),CHAR(39))))</f>
        <v/>
      </c>
      <c r="Q28" s="5" t="str">
        <f>IF(OR(TRIM($B28)="",$G28=""),"",IF(OR(ISNUMBER(SEARCH(_xlfn.CONCAT(CHAR(96),CHAR(34)),$G28)),ISNUMBER(SEARCH(_xlfn.CONCAT(CHAR(34),CHAR(39)),$G28))),_xlfn.CONCAT("* REVIEW REQUIRED: compound-quote delimiter in Universe on Sheet 1 row ",28,"; edit the input before running."),_xlfn.CONCAT("char ",TRIM($B28),"[doc_universe] ",CHAR(96),CHAR(34),SUBSTITUTE(SUBSTITUTE(SUBSTITUTE(SUBSTITUTE(SUBSTITUTE(SUBSTITUTE($G28,CHAR(13)," "),CHAR(10)," "),CHAR(9)," "),CHAR(92),_xlfn.CONCAT(CHAR(92),CHAR(92))),"$",_xlfn.CONCAT(CHAR(92),"$")),CHAR(96),_xlfn.CONCAT(CHAR(92),CHAR(96))),CHAR(34),CHAR(39))))</f>
        <v/>
      </c>
      <c r="R28" s="5" t="str">
        <f>IF(OR(TRIM($B28)="",$H28=""),"",IF(OR(ISNUMBER(SEARCH(_xlfn.CONCAT(CHAR(96),CHAR(34)),$H28)),ISNUMBER(SEARCH(_xlfn.CONCAT(CHAR(34),CHAR(39)),$H28))),_xlfn.CONCAT("* REVIEW REQUIRED: compound-quote delimiter in Source on Sheet 1 row ",28,"; edit the input before running."),_xlfn.CONCAT("char ",TRIM($B28),"[doc_source] ",CHAR(96),CHAR(34),SUBSTITUTE(SUBSTITUTE(SUBSTITUTE(SUBSTITUTE(SUBSTITUTE(SUBSTITUTE($H28,CHAR(13)," "),CHAR(10)," "),CHAR(9)," "),CHAR(92),_xlfn.CONCAT(CHAR(92),CHAR(92))),"$",_xlfn.CONCAT(CHAR(92),"$")),CHAR(96),_xlfn.CONCAT(CHAR(92),CHAR(96))),CHAR(34),CHAR(39))))</f>
        <v/>
      </c>
      <c r="S28" s="5" t="str">
        <f>IF(OR(TRIM($B28)="",$I28=""),"",IF(OR(ISNUMBER(SEARCH(_xlfn.CONCAT(CHAR(96),CHAR(34)),$I28)),ISNUMBER(SEARCH(_xlfn.CONCAT(CHAR(34),CHAR(39)),$I28))),_xlfn.CONCAT("* REVIEW REQUIRED: compound-quote delimiter in Derivation on Sheet 1 row ",28,"; edit the input before running."),_xlfn.CONCAT("char ",TRIM($B28),"[doc_derivation] ",CHAR(96),CHAR(34),SUBSTITUTE(SUBSTITUTE(SUBSTITUTE(SUBSTITUTE(SUBSTITUTE(SUBSTITUTE($I28,CHAR(13)," "),CHAR(10)," "),CHAR(9)," "),CHAR(92),_xlfn.CONCAT(CHAR(92),CHAR(92))),"$",_xlfn.CONCAT(CHAR(92),"$")),CHAR(96),_xlfn.CONCAT(CHAR(92),CHAR(96))),CHAR(34),CHAR(39))))</f>
        <v/>
      </c>
      <c r="T28" s="5" t="str">
        <f>IF(OR(TRIM($B28)="",$J28=""),"",IF(OR(ISNUMBER(SEARCH(_xlfn.CONCAT(CHAR(96),CHAR(34)),$J28)),ISNUMBER(SEARCH(_xlfn.CONCAT(CHAR(34),CHAR(39)),$J28))),_xlfn.CONCAT("* REVIEW REQUIRED: compound-quote delimiter in Notes on Sheet 1 row ",28,"; edit the input before running."),_xlfn.CONCAT("char ",TRIM($B28),"[doc_notes] ",CHAR(96),CHAR(34),SUBSTITUTE(SUBSTITUTE(SUBSTITUTE(SUBSTITUTE(SUBSTITUTE(SUBSTITUTE($J28,CHAR(13)," "),CHAR(10)," "),CHAR(9)," "),CHAR(92),_xlfn.CONCAT(CHAR(92),CHAR(92))),"$",_xlfn.CONCAT(CHAR(92),"$")),CHAR(96),_xlfn.CONCAT(CHAR(92),CHAR(96))),CHAR(34),CHAR(39))))</f>
        <v/>
      </c>
      <c r="U28" s="5">
        <f t="shared" si="1"/>
        <v>0</v>
      </c>
    </row>
    <row r="29" spans="1:21" ht="30" customHeight="1" x14ac:dyDescent="0.2">
      <c r="C29" s="4"/>
      <c r="K29" s="5">
        <f t="shared" si="0"/>
        <v>0</v>
      </c>
      <c r="L29" s="5" t="str">
        <f>IF(OR(TRIM($B29)="",$A29=""),"",IF(OR(ISNUMBER(SEARCH(_xlfn.CONCAT(CHAR(96),CHAR(34)),$A29)),ISNUMBER(SEARCH(_xlfn.CONCAT(CHAR(34),CHAR(39)),$A29))),_xlfn.CONCAT("* REVIEW REQUIRED: compound-quote delimiter in Codebook Section on Sheet 1 row ",29,"; edit the input before running."),_xlfn.CONCAT("char ",TRIM($B29),"[doc_section] ",CHAR(96),CHAR(34),SUBSTITUTE(SUBSTITUTE(SUBSTITUTE(SUBSTITUTE(SUBSTITUTE(SUBSTITUTE($A29,CHAR(13)," "),CHAR(10)," "),CHAR(9)," "),CHAR(92),_xlfn.CONCAT(CHAR(92),CHAR(92))),"$",_xlfn.CONCAT(CHAR(92),"$")),CHAR(96),_xlfn.CONCAT(CHAR(92),CHAR(96))),CHAR(34),CHAR(39))))</f>
        <v/>
      </c>
      <c r="M29" s="5" t="str">
        <f>IF(OR(TRIM($B29)="",$C29=""),"",IF(IFERROR(MATCH(TRIM($C29),{"Quantitative","Continuous","Discrete","Categorical","Nominal","Ordinal","Identifier"},0),0)=0,_xlfn.CONCAT("* REVIEW REQUIRED: invalid Variable Type on Sheet 1 row ",29,"."),_xlfn.CONCAT("char ",TRIM($B29),"[doc_vartype] ",CHAR(96),CHAR(34),SUBSTITUTE(SUBSTITUTE(SUBSTITUTE(SUBSTITUTE(SUBSTITUTE(SUBSTITUTE(LOWER(TRIM($C29)),CHAR(13)," "),CHAR(10)," "),CHAR(9)," "),CHAR(92),_xlfn.CONCAT(CHAR(92),CHAR(92))),"$",_xlfn.CONCAT(CHAR(92),"$")),CHAR(96),_xlfn.CONCAT(CHAR(92),CHAR(96))),CHAR(34),CHAR(39))))</f>
        <v/>
      </c>
      <c r="N29" s="5" t="str">
        <f>IF(OR(TRIM($B29)="",$D29=""),"",IF(OR(ISNUMBER(SEARCH(_xlfn.CONCAT(CHAR(96),CHAR(34)),$D29)),ISNUMBER(SEARCH(_xlfn.CONCAT(CHAR(34),CHAR(39)),$D29))),_xlfn.CONCAT("* REVIEW REQUIRED: compound-quote delimiter in Item Number on Sheet 1 row ",29,"; edit the input before running."),_xlfn.CONCAT("char ",TRIM($B29),"[doc_itemnum] ",CHAR(96),CHAR(34),SUBSTITUTE(SUBSTITUTE(SUBSTITUTE(SUBSTITUTE(SUBSTITUTE(SUBSTITUTE($D29,CHAR(13)," "),CHAR(10)," "),CHAR(9)," "),CHAR(92),_xlfn.CONCAT(CHAR(92),CHAR(92))),"$",_xlfn.CONCAT(CHAR(92),"$")),CHAR(96),_xlfn.CONCAT(CHAR(92),CHAR(96))),CHAR(34),CHAR(39))))</f>
        <v/>
      </c>
      <c r="O29" s="5" t="str">
        <f>IF(OR(TRIM($B29)="",$E29=""),"",IF(OR(ISNUMBER(SEARCH(_xlfn.CONCAT(CHAR(96),CHAR(34)),$E29)),ISNUMBER(SEARCH(_xlfn.CONCAT(CHAR(34),CHAR(39)),$E29))),_xlfn.CONCAT("* REVIEW REQUIRED: compound-quote delimiter in Question Wording on Sheet 1 row ",29,"; edit the input before running."),_xlfn.CONCAT("char ",TRIM($B29),"[doc_question] ",CHAR(96),CHAR(34),SUBSTITUTE(SUBSTITUTE(SUBSTITUTE(SUBSTITUTE(SUBSTITUTE(SUBSTITUTE($E29,CHAR(13)," "),CHAR(10)," "),CHAR(9)," "),CHAR(92),_xlfn.CONCAT(CHAR(92),CHAR(92))),"$",_xlfn.CONCAT(CHAR(92),"$")),CHAR(96),_xlfn.CONCAT(CHAR(92),CHAR(96))),CHAR(34),CHAR(39))))</f>
        <v/>
      </c>
      <c r="P29" s="5" t="str">
        <f>IF(OR(TRIM($B29)="",$F29=""),"",IF(OR(ISNUMBER(SEARCH(_xlfn.CONCAT(CHAR(96),CHAR(34)),$F29)),ISNUMBER(SEARCH(_xlfn.CONCAT(CHAR(34),CHAR(39)),$F29))),_xlfn.CONCAT("* REVIEW REQUIRED: compound-quote delimiter in Units on Sheet 1 row ",29,"; edit the input before running."),_xlfn.CONCAT("char ",TRIM($B29),"[doc_units] ",CHAR(96),CHAR(34),SUBSTITUTE(SUBSTITUTE(SUBSTITUTE(SUBSTITUTE(SUBSTITUTE(SUBSTITUTE($F29,CHAR(13)," "),CHAR(10)," "),CHAR(9)," "),CHAR(92),_xlfn.CONCAT(CHAR(92),CHAR(92))),"$",_xlfn.CONCAT(CHAR(92),"$")),CHAR(96),_xlfn.CONCAT(CHAR(92),CHAR(96))),CHAR(34),CHAR(39))))</f>
        <v/>
      </c>
      <c r="Q29" s="5" t="str">
        <f>IF(OR(TRIM($B29)="",$G29=""),"",IF(OR(ISNUMBER(SEARCH(_xlfn.CONCAT(CHAR(96),CHAR(34)),$G29)),ISNUMBER(SEARCH(_xlfn.CONCAT(CHAR(34),CHAR(39)),$G29))),_xlfn.CONCAT("* REVIEW REQUIRED: compound-quote delimiter in Universe on Sheet 1 row ",29,"; edit the input before running."),_xlfn.CONCAT("char ",TRIM($B29),"[doc_universe] ",CHAR(96),CHAR(34),SUBSTITUTE(SUBSTITUTE(SUBSTITUTE(SUBSTITUTE(SUBSTITUTE(SUBSTITUTE($G29,CHAR(13)," "),CHAR(10)," "),CHAR(9)," "),CHAR(92),_xlfn.CONCAT(CHAR(92),CHAR(92))),"$",_xlfn.CONCAT(CHAR(92),"$")),CHAR(96),_xlfn.CONCAT(CHAR(92),CHAR(96))),CHAR(34),CHAR(39))))</f>
        <v/>
      </c>
      <c r="R29" s="5" t="str">
        <f>IF(OR(TRIM($B29)="",$H29=""),"",IF(OR(ISNUMBER(SEARCH(_xlfn.CONCAT(CHAR(96),CHAR(34)),$H29)),ISNUMBER(SEARCH(_xlfn.CONCAT(CHAR(34),CHAR(39)),$H29))),_xlfn.CONCAT("* REVIEW REQUIRED: compound-quote delimiter in Source on Sheet 1 row ",29,"; edit the input before running."),_xlfn.CONCAT("char ",TRIM($B29),"[doc_source] ",CHAR(96),CHAR(34),SUBSTITUTE(SUBSTITUTE(SUBSTITUTE(SUBSTITUTE(SUBSTITUTE(SUBSTITUTE($H29,CHAR(13)," "),CHAR(10)," "),CHAR(9)," "),CHAR(92),_xlfn.CONCAT(CHAR(92),CHAR(92))),"$",_xlfn.CONCAT(CHAR(92),"$")),CHAR(96),_xlfn.CONCAT(CHAR(92),CHAR(96))),CHAR(34),CHAR(39))))</f>
        <v/>
      </c>
      <c r="S29" s="5" t="str">
        <f>IF(OR(TRIM($B29)="",$I29=""),"",IF(OR(ISNUMBER(SEARCH(_xlfn.CONCAT(CHAR(96),CHAR(34)),$I29)),ISNUMBER(SEARCH(_xlfn.CONCAT(CHAR(34),CHAR(39)),$I29))),_xlfn.CONCAT("* REVIEW REQUIRED: compound-quote delimiter in Derivation on Sheet 1 row ",29,"; edit the input before running."),_xlfn.CONCAT("char ",TRIM($B29),"[doc_derivation] ",CHAR(96),CHAR(34),SUBSTITUTE(SUBSTITUTE(SUBSTITUTE(SUBSTITUTE(SUBSTITUTE(SUBSTITUTE($I29,CHAR(13)," "),CHAR(10)," "),CHAR(9)," "),CHAR(92),_xlfn.CONCAT(CHAR(92),CHAR(92))),"$",_xlfn.CONCAT(CHAR(92),"$")),CHAR(96),_xlfn.CONCAT(CHAR(92),CHAR(96))),CHAR(34),CHAR(39))))</f>
        <v/>
      </c>
      <c r="T29" s="5" t="str">
        <f>IF(OR(TRIM($B29)="",$J29=""),"",IF(OR(ISNUMBER(SEARCH(_xlfn.CONCAT(CHAR(96),CHAR(34)),$J29)),ISNUMBER(SEARCH(_xlfn.CONCAT(CHAR(34),CHAR(39)),$J29))),_xlfn.CONCAT("* REVIEW REQUIRED: compound-quote delimiter in Notes on Sheet 1 row ",29,"; edit the input before running."),_xlfn.CONCAT("char ",TRIM($B29),"[doc_notes] ",CHAR(96),CHAR(34),SUBSTITUTE(SUBSTITUTE(SUBSTITUTE(SUBSTITUTE(SUBSTITUTE(SUBSTITUTE($J29,CHAR(13)," "),CHAR(10)," "),CHAR(9)," "),CHAR(92),_xlfn.CONCAT(CHAR(92),CHAR(92))),"$",_xlfn.CONCAT(CHAR(92),"$")),CHAR(96),_xlfn.CONCAT(CHAR(92),CHAR(96))),CHAR(34),CHAR(39))))</f>
        <v/>
      </c>
      <c r="U29" s="5">
        <f t="shared" si="1"/>
        <v>0</v>
      </c>
    </row>
    <row r="30" spans="1:21" ht="30" customHeight="1" x14ac:dyDescent="0.2">
      <c r="C30" s="4"/>
      <c r="K30" s="5">
        <f t="shared" si="0"/>
        <v>0</v>
      </c>
      <c r="L30" s="5" t="str">
        <f>IF(OR(TRIM($B30)="",$A30=""),"",IF(OR(ISNUMBER(SEARCH(_xlfn.CONCAT(CHAR(96),CHAR(34)),$A30)),ISNUMBER(SEARCH(_xlfn.CONCAT(CHAR(34),CHAR(39)),$A30))),_xlfn.CONCAT("* REVIEW REQUIRED: compound-quote delimiter in Codebook Section on Sheet 1 row ",30,"; edit the input before running."),_xlfn.CONCAT("char ",TRIM($B30),"[doc_section] ",CHAR(96),CHAR(34),SUBSTITUTE(SUBSTITUTE(SUBSTITUTE(SUBSTITUTE(SUBSTITUTE(SUBSTITUTE($A30,CHAR(13)," "),CHAR(10)," "),CHAR(9)," "),CHAR(92),_xlfn.CONCAT(CHAR(92),CHAR(92))),"$",_xlfn.CONCAT(CHAR(92),"$")),CHAR(96),_xlfn.CONCAT(CHAR(92),CHAR(96))),CHAR(34),CHAR(39))))</f>
        <v/>
      </c>
      <c r="M30" s="5" t="str">
        <f>IF(OR(TRIM($B30)="",$C30=""),"",IF(IFERROR(MATCH(TRIM($C30),{"Quantitative","Continuous","Discrete","Categorical","Nominal","Ordinal","Identifier"},0),0)=0,_xlfn.CONCAT("* REVIEW REQUIRED: invalid Variable Type on Sheet 1 row ",30,"."),_xlfn.CONCAT("char ",TRIM($B30),"[doc_vartype] ",CHAR(96),CHAR(34),SUBSTITUTE(SUBSTITUTE(SUBSTITUTE(SUBSTITUTE(SUBSTITUTE(SUBSTITUTE(LOWER(TRIM($C30)),CHAR(13)," "),CHAR(10)," "),CHAR(9)," "),CHAR(92),_xlfn.CONCAT(CHAR(92),CHAR(92))),"$",_xlfn.CONCAT(CHAR(92),"$")),CHAR(96),_xlfn.CONCAT(CHAR(92),CHAR(96))),CHAR(34),CHAR(39))))</f>
        <v/>
      </c>
      <c r="N30" s="5" t="str">
        <f>IF(OR(TRIM($B30)="",$D30=""),"",IF(OR(ISNUMBER(SEARCH(_xlfn.CONCAT(CHAR(96),CHAR(34)),$D30)),ISNUMBER(SEARCH(_xlfn.CONCAT(CHAR(34),CHAR(39)),$D30))),_xlfn.CONCAT("* REVIEW REQUIRED: compound-quote delimiter in Item Number on Sheet 1 row ",30,"; edit the input before running."),_xlfn.CONCAT("char ",TRIM($B30),"[doc_itemnum] ",CHAR(96),CHAR(34),SUBSTITUTE(SUBSTITUTE(SUBSTITUTE(SUBSTITUTE(SUBSTITUTE(SUBSTITUTE($D30,CHAR(13)," "),CHAR(10)," "),CHAR(9)," "),CHAR(92),_xlfn.CONCAT(CHAR(92),CHAR(92))),"$",_xlfn.CONCAT(CHAR(92),"$")),CHAR(96),_xlfn.CONCAT(CHAR(92),CHAR(96))),CHAR(34),CHAR(39))))</f>
        <v/>
      </c>
      <c r="O30" s="5" t="str">
        <f>IF(OR(TRIM($B30)="",$E30=""),"",IF(OR(ISNUMBER(SEARCH(_xlfn.CONCAT(CHAR(96),CHAR(34)),$E30)),ISNUMBER(SEARCH(_xlfn.CONCAT(CHAR(34),CHAR(39)),$E30))),_xlfn.CONCAT("* REVIEW REQUIRED: compound-quote delimiter in Question Wording on Sheet 1 row ",30,"; edit the input before running."),_xlfn.CONCAT("char ",TRIM($B30),"[doc_question] ",CHAR(96),CHAR(34),SUBSTITUTE(SUBSTITUTE(SUBSTITUTE(SUBSTITUTE(SUBSTITUTE(SUBSTITUTE($E30,CHAR(13)," "),CHAR(10)," "),CHAR(9)," "),CHAR(92),_xlfn.CONCAT(CHAR(92),CHAR(92))),"$",_xlfn.CONCAT(CHAR(92),"$")),CHAR(96),_xlfn.CONCAT(CHAR(92),CHAR(96))),CHAR(34),CHAR(39))))</f>
        <v/>
      </c>
      <c r="P30" s="5" t="str">
        <f>IF(OR(TRIM($B30)="",$F30=""),"",IF(OR(ISNUMBER(SEARCH(_xlfn.CONCAT(CHAR(96),CHAR(34)),$F30)),ISNUMBER(SEARCH(_xlfn.CONCAT(CHAR(34),CHAR(39)),$F30))),_xlfn.CONCAT("* REVIEW REQUIRED: compound-quote delimiter in Units on Sheet 1 row ",30,"; edit the input before running."),_xlfn.CONCAT("char ",TRIM($B30),"[doc_units] ",CHAR(96),CHAR(34),SUBSTITUTE(SUBSTITUTE(SUBSTITUTE(SUBSTITUTE(SUBSTITUTE(SUBSTITUTE($F30,CHAR(13)," "),CHAR(10)," "),CHAR(9)," "),CHAR(92),_xlfn.CONCAT(CHAR(92),CHAR(92))),"$",_xlfn.CONCAT(CHAR(92),"$")),CHAR(96),_xlfn.CONCAT(CHAR(92),CHAR(96))),CHAR(34),CHAR(39))))</f>
        <v/>
      </c>
      <c r="Q30" s="5" t="str">
        <f>IF(OR(TRIM($B30)="",$G30=""),"",IF(OR(ISNUMBER(SEARCH(_xlfn.CONCAT(CHAR(96),CHAR(34)),$G30)),ISNUMBER(SEARCH(_xlfn.CONCAT(CHAR(34),CHAR(39)),$G30))),_xlfn.CONCAT("* REVIEW REQUIRED: compound-quote delimiter in Universe on Sheet 1 row ",30,"; edit the input before running."),_xlfn.CONCAT("char ",TRIM($B30),"[doc_universe] ",CHAR(96),CHAR(34),SUBSTITUTE(SUBSTITUTE(SUBSTITUTE(SUBSTITUTE(SUBSTITUTE(SUBSTITUTE($G30,CHAR(13)," "),CHAR(10)," "),CHAR(9)," "),CHAR(92),_xlfn.CONCAT(CHAR(92),CHAR(92))),"$",_xlfn.CONCAT(CHAR(92),"$")),CHAR(96),_xlfn.CONCAT(CHAR(92),CHAR(96))),CHAR(34),CHAR(39))))</f>
        <v/>
      </c>
      <c r="R30" s="5" t="str">
        <f>IF(OR(TRIM($B30)="",$H30=""),"",IF(OR(ISNUMBER(SEARCH(_xlfn.CONCAT(CHAR(96),CHAR(34)),$H30)),ISNUMBER(SEARCH(_xlfn.CONCAT(CHAR(34),CHAR(39)),$H30))),_xlfn.CONCAT("* REVIEW REQUIRED: compound-quote delimiter in Source on Sheet 1 row ",30,"; edit the input before running."),_xlfn.CONCAT("char ",TRIM($B30),"[doc_source] ",CHAR(96),CHAR(34),SUBSTITUTE(SUBSTITUTE(SUBSTITUTE(SUBSTITUTE(SUBSTITUTE(SUBSTITUTE($H30,CHAR(13)," "),CHAR(10)," "),CHAR(9)," "),CHAR(92),_xlfn.CONCAT(CHAR(92),CHAR(92))),"$",_xlfn.CONCAT(CHAR(92),"$")),CHAR(96),_xlfn.CONCAT(CHAR(92),CHAR(96))),CHAR(34),CHAR(39))))</f>
        <v/>
      </c>
      <c r="S30" s="5" t="str">
        <f>IF(OR(TRIM($B30)="",$I30=""),"",IF(OR(ISNUMBER(SEARCH(_xlfn.CONCAT(CHAR(96),CHAR(34)),$I30)),ISNUMBER(SEARCH(_xlfn.CONCAT(CHAR(34),CHAR(39)),$I30))),_xlfn.CONCAT("* REVIEW REQUIRED: compound-quote delimiter in Derivation on Sheet 1 row ",30,"; edit the input before running."),_xlfn.CONCAT("char ",TRIM($B30),"[doc_derivation] ",CHAR(96),CHAR(34),SUBSTITUTE(SUBSTITUTE(SUBSTITUTE(SUBSTITUTE(SUBSTITUTE(SUBSTITUTE($I30,CHAR(13)," "),CHAR(10)," "),CHAR(9)," "),CHAR(92),_xlfn.CONCAT(CHAR(92),CHAR(92))),"$",_xlfn.CONCAT(CHAR(92),"$")),CHAR(96),_xlfn.CONCAT(CHAR(92),CHAR(96))),CHAR(34),CHAR(39))))</f>
        <v/>
      </c>
      <c r="T30" s="5" t="str">
        <f>IF(OR(TRIM($B30)="",$J30=""),"",IF(OR(ISNUMBER(SEARCH(_xlfn.CONCAT(CHAR(96),CHAR(34)),$J30)),ISNUMBER(SEARCH(_xlfn.CONCAT(CHAR(34),CHAR(39)),$J30))),_xlfn.CONCAT("* REVIEW REQUIRED: compound-quote delimiter in Notes on Sheet 1 row ",30,"; edit the input before running."),_xlfn.CONCAT("char ",TRIM($B30),"[doc_notes] ",CHAR(96),CHAR(34),SUBSTITUTE(SUBSTITUTE(SUBSTITUTE(SUBSTITUTE(SUBSTITUTE(SUBSTITUTE($J30,CHAR(13)," "),CHAR(10)," "),CHAR(9)," "),CHAR(92),_xlfn.CONCAT(CHAR(92),CHAR(92))),"$",_xlfn.CONCAT(CHAR(92),"$")),CHAR(96),_xlfn.CONCAT(CHAR(92),CHAR(96))),CHAR(34),CHAR(39))))</f>
        <v/>
      </c>
      <c r="U30" s="5">
        <f t="shared" si="1"/>
        <v>0</v>
      </c>
    </row>
    <row r="31" spans="1:21" ht="30" customHeight="1" x14ac:dyDescent="0.2">
      <c r="C31" s="4"/>
      <c r="K31" s="5">
        <f t="shared" si="0"/>
        <v>0</v>
      </c>
      <c r="L31" s="5" t="str">
        <f>IF(OR(TRIM($B31)="",$A31=""),"",IF(OR(ISNUMBER(SEARCH(_xlfn.CONCAT(CHAR(96),CHAR(34)),$A31)),ISNUMBER(SEARCH(_xlfn.CONCAT(CHAR(34),CHAR(39)),$A31))),_xlfn.CONCAT("* REVIEW REQUIRED: compound-quote delimiter in Codebook Section on Sheet 1 row ",31,"; edit the input before running."),_xlfn.CONCAT("char ",TRIM($B31),"[doc_section] ",CHAR(96),CHAR(34),SUBSTITUTE(SUBSTITUTE(SUBSTITUTE(SUBSTITUTE(SUBSTITUTE(SUBSTITUTE($A31,CHAR(13)," "),CHAR(10)," "),CHAR(9)," "),CHAR(92),_xlfn.CONCAT(CHAR(92),CHAR(92))),"$",_xlfn.CONCAT(CHAR(92),"$")),CHAR(96),_xlfn.CONCAT(CHAR(92),CHAR(96))),CHAR(34),CHAR(39))))</f>
        <v/>
      </c>
      <c r="M31" s="5" t="str">
        <f>IF(OR(TRIM($B31)="",$C31=""),"",IF(IFERROR(MATCH(TRIM($C31),{"Quantitative","Continuous","Discrete","Categorical","Nominal","Ordinal","Identifier"},0),0)=0,_xlfn.CONCAT("* REVIEW REQUIRED: invalid Variable Type on Sheet 1 row ",31,"."),_xlfn.CONCAT("char ",TRIM($B31),"[doc_vartype] ",CHAR(96),CHAR(34),SUBSTITUTE(SUBSTITUTE(SUBSTITUTE(SUBSTITUTE(SUBSTITUTE(SUBSTITUTE(LOWER(TRIM($C31)),CHAR(13)," "),CHAR(10)," "),CHAR(9)," "),CHAR(92),_xlfn.CONCAT(CHAR(92),CHAR(92))),"$",_xlfn.CONCAT(CHAR(92),"$")),CHAR(96),_xlfn.CONCAT(CHAR(92),CHAR(96))),CHAR(34),CHAR(39))))</f>
        <v/>
      </c>
      <c r="N31" s="5" t="str">
        <f>IF(OR(TRIM($B31)="",$D31=""),"",IF(OR(ISNUMBER(SEARCH(_xlfn.CONCAT(CHAR(96),CHAR(34)),$D31)),ISNUMBER(SEARCH(_xlfn.CONCAT(CHAR(34),CHAR(39)),$D31))),_xlfn.CONCAT("* REVIEW REQUIRED: compound-quote delimiter in Item Number on Sheet 1 row ",31,"; edit the input before running."),_xlfn.CONCAT("char ",TRIM($B31),"[doc_itemnum] ",CHAR(96),CHAR(34),SUBSTITUTE(SUBSTITUTE(SUBSTITUTE(SUBSTITUTE(SUBSTITUTE(SUBSTITUTE($D31,CHAR(13)," "),CHAR(10)," "),CHAR(9)," "),CHAR(92),_xlfn.CONCAT(CHAR(92),CHAR(92))),"$",_xlfn.CONCAT(CHAR(92),"$")),CHAR(96),_xlfn.CONCAT(CHAR(92),CHAR(96))),CHAR(34),CHAR(39))))</f>
        <v/>
      </c>
      <c r="O31" s="5" t="str">
        <f>IF(OR(TRIM($B31)="",$E31=""),"",IF(OR(ISNUMBER(SEARCH(_xlfn.CONCAT(CHAR(96),CHAR(34)),$E31)),ISNUMBER(SEARCH(_xlfn.CONCAT(CHAR(34),CHAR(39)),$E31))),_xlfn.CONCAT("* REVIEW REQUIRED: compound-quote delimiter in Question Wording on Sheet 1 row ",31,"; edit the input before running."),_xlfn.CONCAT("char ",TRIM($B31),"[doc_question] ",CHAR(96),CHAR(34),SUBSTITUTE(SUBSTITUTE(SUBSTITUTE(SUBSTITUTE(SUBSTITUTE(SUBSTITUTE($E31,CHAR(13)," "),CHAR(10)," "),CHAR(9)," "),CHAR(92),_xlfn.CONCAT(CHAR(92),CHAR(92))),"$",_xlfn.CONCAT(CHAR(92),"$")),CHAR(96),_xlfn.CONCAT(CHAR(92),CHAR(96))),CHAR(34),CHAR(39))))</f>
        <v/>
      </c>
      <c r="P31" s="5" t="str">
        <f>IF(OR(TRIM($B31)="",$F31=""),"",IF(OR(ISNUMBER(SEARCH(_xlfn.CONCAT(CHAR(96),CHAR(34)),$F31)),ISNUMBER(SEARCH(_xlfn.CONCAT(CHAR(34),CHAR(39)),$F31))),_xlfn.CONCAT("* REVIEW REQUIRED: compound-quote delimiter in Units on Sheet 1 row ",31,"; edit the input before running."),_xlfn.CONCAT("char ",TRIM($B31),"[doc_units] ",CHAR(96),CHAR(34),SUBSTITUTE(SUBSTITUTE(SUBSTITUTE(SUBSTITUTE(SUBSTITUTE(SUBSTITUTE($F31,CHAR(13)," "),CHAR(10)," "),CHAR(9)," "),CHAR(92),_xlfn.CONCAT(CHAR(92),CHAR(92))),"$",_xlfn.CONCAT(CHAR(92),"$")),CHAR(96),_xlfn.CONCAT(CHAR(92),CHAR(96))),CHAR(34),CHAR(39))))</f>
        <v/>
      </c>
      <c r="Q31" s="5" t="str">
        <f>IF(OR(TRIM($B31)="",$G31=""),"",IF(OR(ISNUMBER(SEARCH(_xlfn.CONCAT(CHAR(96),CHAR(34)),$G31)),ISNUMBER(SEARCH(_xlfn.CONCAT(CHAR(34),CHAR(39)),$G31))),_xlfn.CONCAT("* REVIEW REQUIRED: compound-quote delimiter in Universe on Sheet 1 row ",31,"; edit the input before running."),_xlfn.CONCAT("char ",TRIM($B31),"[doc_universe] ",CHAR(96),CHAR(34),SUBSTITUTE(SUBSTITUTE(SUBSTITUTE(SUBSTITUTE(SUBSTITUTE(SUBSTITUTE($G31,CHAR(13)," "),CHAR(10)," "),CHAR(9)," "),CHAR(92),_xlfn.CONCAT(CHAR(92),CHAR(92))),"$",_xlfn.CONCAT(CHAR(92),"$")),CHAR(96),_xlfn.CONCAT(CHAR(92),CHAR(96))),CHAR(34),CHAR(39))))</f>
        <v/>
      </c>
      <c r="R31" s="5" t="str">
        <f>IF(OR(TRIM($B31)="",$H31=""),"",IF(OR(ISNUMBER(SEARCH(_xlfn.CONCAT(CHAR(96),CHAR(34)),$H31)),ISNUMBER(SEARCH(_xlfn.CONCAT(CHAR(34),CHAR(39)),$H31))),_xlfn.CONCAT("* REVIEW REQUIRED: compound-quote delimiter in Source on Sheet 1 row ",31,"; edit the input before running."),_xlfn.CONCAT("char ",TRIM($B31),"[doc_source] ",CHAR(96),CHAR(34),SUBSTITUTE(SUBSTITUTE(SUBSTITUTE(SUBSTITUTE(SUBSTITUTE(SUBSTITUTE($H31,CHAR(13)," "),CHAR(10)," "),CHAR(9)," "),CHAR(92),_xlfn.CONCAT(CHAR(92),CHAR(92))),"$",_xlfn.CONCAT(CHAR(92),"$")),CHAR(96),_xlfn.CONCAT(CHAR(92),CHAR(96))),CHAR(34),CHAR(39))))</f>
        <v/>
      </c>
      <c r="S31" s="5" t="str">
        <f>IF(OR(TRIM($B31)="",$I31=""),"",IF(OR(ISNUMBER(SEARCH(_xlfn.CONCAT(CHAR(96),CHAR(34)),$I31)),ISNUMBER(SEARCH(_xlfn.CONCAT(CHAR(34),CHAR(39)),$I31))),_xlfn.CONCAT("* REVIEW REQUIRED: compound-quote delimiter in Derivation on Sheet 1 row ",31,"; edit the input before running."),_xlfn.CONCAT("char ",TRIM($B31),"[doc_derivation] ",CHAR(96),CHAR(34),SUBSTITUTE(SUBSTITUTE(SUBSTITUTE(SUBSTITUTE(SUBSTITUTE(SUBSTITUTE($I31,CHAR(13)," "),CHAR(10)," "),CHAR(9)," "),CHAR(92),_xlfn.CONCAT(CHAR(92),CHAR(92))),"$",_xlfn.CONCAT(CHAR(92),"$")),CHAR(96),_xlfn.CONCAT(CHAR(92),CHAR(96))),CHAR(34),CHAR(39))))</f>
        <v/>
      </c>
      <c r="T31" s="5" t="str">
        <f>IF(OR(TRIM($B31)="",$J31=""),"",IF(OR(ISNUMBER(SEARCH(_xlfn.CONCAT(CHAR(96),CHAR(34)),$J31)),ISNUMBER(SEARCH(_xlfn.CONCAT(CHAR(34),CHAR(39)),$J31))),_xlfn.CONCAT("* REVIEW REQUIRED: compound-quote delimiter in Notes on Sheet 1 row ",31,"; edit the input before running."),_xlfn.CONCAT("char ",TRIM($B31),"[doc_notes] ",CHAR(96),CHAR(34),SUBSTITUTE(SUBSTITUTE(SUBSTITUTE(SUBSTITUTE(SUBSTITUTE(SUBSTITUTE($J31,CHAR(13)," "),CHAR(10)," "),CHAR(9)," "),CHAR(92),_xlfn.CONCAT(CHAR(92),CHAR(92))),"$",_xlfn.CONCAT(CHAR(92),"$")),CHAR(96),_xlfn.CONCAT(CHAR(92),CHAR(96))),CHAR(34),CHAR(39))))</f>
        <v/>
      </c>
      <c r="U31" s="5">
        <f t="shared" si="1"/>
        <v>0</v>
      </c>
    </row>
    <row r="32" spans="1:21" ht="30" customHeight="1" x14ac:dyDescent="0.2">
      <c r="C32" s="4"/>
      <c r="K32" s="5">
        <f t="shared" si="0"/>
        <v>0</v>
      </c>
      <c r="L32" s="5" t="str">
        <f>IF(OR(TRIM($B32)="",$A32=""),"",IF(OR(ISNUMBER(SEARCH(_xlfn.CONCAT(CHAR(96),CHAR(34)),$A32)),ISNUMBER(SEARCH(_xlfn.CONCAT(CHAR(34),CHAR(39)),$A32))),_xlfn.CONCAT("* REVIEW REQUIRED: compound-quote delimiter in Codebook Section on Sheet 1 row ",32,"; edit the input before running."),_xlfn.CONCAT("char ",TRIM($B32),"[doc_section] ",CHAR(96),CHAR(34),SUBSTITUTE(SUBSTITUTE(SUBSTITUTE(SUBSTITUTE(SUBSTITUTE(SUBSTITUTE($A32,CHAR(13)," "),CHAR(10)," "),CHAR(9)," "),CHAR(92),_xlfn.CONCAT(CHAR(92),CHAR(92))),"$",_xlfn.CONCAT(CHAR(92),"$")),CHAR(96),_xlfn.CONCAT(CHAR(92),CHAR(96))),CHAR(34),CHAR(39))))</f>
        <v/>
      </c>
      <c r="M32" s="5" t="str">
        <f>IF(OR(TRIM($B32)="",$C32=""),"",IF(IFERROR(MATCH(TRIM($C32),{"Quantitative","Continuous","Discrete","Categorical","Nominal","Ordinal","Identifier"},0),0)=0,_xlfn.CONCAT("* REVIEW REQUIRED: invalid Variable Type on Sheet 1 row ",32,"."),_xlfn.CONCAT("char ",TRIM($B32),"[doc_vartype] ",CHAR(96),CHAR(34),SUBSTITUTE(SUBSTITUTE(SUBSTITUTE(SUBSTITUTE(SUBSTITUTE(SUBSTITUTE(LOWER(TRIM($C32)),CHAR(13)," "),CHAR(10)," "),CHAR(9)," "),CHAR(92),_xlfn.CONCAT(CHAR(92),CHAR(92))),"$",_xlfn.CONCAT(CHAR(92),"$")),CHAR(96),_xlfn.CONCAT(CHAR(92),CHAR(96))),CHAR(34),CHAR(39))))</f>
        <v/>
      </c>
      <c r="N32" s="5" t="str">
        <f>IF(OR(TRIM($B32)="",$D32=""),"",IF(OR(ISNUMBER(SEARCH(_xlfn.CONCAT(CHAR(96),CHAR(34)),$D32)),ISNUMBER(SEARCH(_xlfn.CONCAT(CHAR(34),CHAR(39)),$D32))),_xlfn.CONCAT("* REVIEW REQUIRED: compound-quote delimiter in Item Number on Sheet 1 row ",32,"; edit the input before running."),_xlfn.CONCAT("char ",TRIM($B32),"[doc_itemnum] ",CHAR(96),CHAR(34),SUBSTITUTE(SUBSTITUTE(SUBSTITUTE(SUBSTITUTE(SUBSTITUTE(SUBSTITUTE($D32,CHAR(13)," "),CHAR(10)," "),CHAR(9)," "),CHAR(92),_xlfn.CONCAT(CHAR(92),CHAR(92))),"$",_xlfn.CONCAT(CHAR(92),"$")),CHAR(96),_xlfn.CONCAT(CHAR(92),CHAR(96))),CHAR(34),CHAR(39))))</f>
        <v/>
      </c>
      <c r="O32" s="5" t="str">
        <f>IF(OR(TRIM($B32)="",$E32=""),"",IF(OR(ISNUMBER(SEARCH(_xlfn.CONCAT(CHAR(96),CHAR(34)),$E32)),ISNUMBER(SEARCH(_xlfn.CONCAT(CHAR(34),CHAR(39)),$E32))),_xlfn.CONCAT("* REVIEW REQUIRED: compound-quote delimiter in Question Wording on Sheet 1 row ",32,"; edit the input before running."),_xlfn.CONCAT("char ",TRIM($B32),"[doc_question] ",CHAR(96),CHAR(34),SUBSTITUTE(SUBSTITUTE(SUBSTITUTE(SUBSTITUTE(SUBSTITUTE(SUBSTITUTE($E32,CHAR(13)," "),CHAR(10)," "),CHAR(9)," "),CHAR(92),_xlfn.CONCAT(CHAR(92),CHAR(92))),"$",_xlfn.CONCAT(CHAR(92),"$")),CHAR(96),_xlfn.CONCAT(CHAR(92),CHAR(96))),CHAR(34),CHAR(39))))</f>
        <v/>
      </c>
      <c r="P32" s="5" t="str">
        <f>IF(OR(TRIM($B32)="",$F32=""),"",IF(OR(ISNUMBER(SEARCH(_xlfn.CONCAT(CHAR(96),CHAR(34)),$F32)),ISNUMBER(SEARCH(_xlfn.CONCAT(CHAR(34),CHAR(39)),$F32))),_xlfn.CONCAT("* REVIEW REQUIRED: compound-quote delimiter in Units on Sheet 1 row ",32,"; edit the input before running."),_xlfn.CONCAT("char ",TRIM($B32),"[doc_units] ",CHAR(96),CHAR(34),SUBSTITUTE(SUBSTITUTE(SUBSTITUTE(SUBSTITUTE(SUBSTITUTE(SUBSTITUTE($F32,CHAR(13)," "),CHAR(10)," "),CHAR(9)," "),CHAR(92),_xlfn.CONCAT(CHAR(92),CHAR(92))),"$",_xlfn.CONCAT(CHAR(92),"$")),CHAR(96),_xlfn.CONCAT(CHAR(92),CHAR(96))),CHAR(34),CHAR(39))))</f>
        <v/>
      </c>
      <c r="Q32" s="5" t="str">
        <f>IF(OR(TRIM($B32)="",$G32=""),"",IF(OR(ISNUMBER(SEARCH(_xlfn.CONCAT(CHAR(96),CHAR(34)),$G32)),ISNUMBER(SEARCH(_xlfn.CONCAT(CHAR(34),CHAR(39)),$G32))),_xlfn.CONCAT("* REVIEW REQUIRED: compound-quote delimiter in Universe on Sheet 1 row ",32,"; edit the input before running."),_xlfn.CONCAT("char ",TRIM($B32),"[doc_universe] ",CHAR(96),CHAR(34),SUBSTITUTE(SUBSTITUTE(SUBSTITUTE(SUBSTITUTE(SUBSTITUTE(SUBSTITUTE($G32,CHAR(13)," "),CHAR(10)," "),CHAR(9)," "),CHAR(92),_xlfn.CONCAT(CHAR(92),CHAR(92))),"$",_xlfn.CONCAT(CHAR(92),"$")),CHAR(96),_xlfn.CONCAT(CHAR(92),CHAR(96))),CHAR(34),CHAR(39))))</f>
        <v/>
      </c>
      <c r="R32" s="5" t="str">
        <f>IF(OR(TRIM($B32)="",$H32=""),"",IF(OR(ISNUMBER(SEARCH(_xlfn.CONCAT(CHAR(96),CHAR(34)),$H32)),ISNUMBER(SEARCH(_xlfn.CONCAT(CHAR(34),CHAR(39)),$H32))),_xlfn.CONCAT("* REVIEW REQUIRED: compound-quote delimiter in Source on Sheet 1 row ",32,"; edit the input before running."),_xlfn.CONCAT("char ",TRIM($B32),"[doc_source] ",CHAR(96),CHAR(34),SUBSTITUTE(SUBSTITUTE(SUBSTITUTE(SUBSTITUTE(SUBSTITUTE(SUBSTITUTE($H32,CHAR(13)," "),CHAR(10)," "),CHAR(9)," "),CHAR(92),_xlfn.CONCAT(CHAR(92),CHAR(92))),"$",_xlfn.CONCAT(CHAR(92),"$")),CHAR(96),_xlfn.CONCAT(CHAR(92),CHAR(96))),CHAR(34),CHAR(39))))</f>
        <v/>
      </c>
      <c r="S32" s="5" t="str">
        <f>IF(OR(TRIM($B32)="",$I32=""),"",IF(OR(ISNUMBER(SEARCH(_xlfn.CONCAT(CHAR(96),CHAR(34)),$I32)),ISNUMBER(SEARCH(_xlfn.CONCAT(CHAR(34),CHAR(39)),$I32))),_xlfn.CONCAT("* REVIEW REQUIRED: compound-quote delimiter in Derivation on Sheet 1 row ",32,"; edit the input before running."),_xlfn.CONCAT("char ",TRIM($B32),"[doc_derivation] ",CHAR(96),CHAR(34),SUBSTITUTE(SUBSTITUTE(SUBSTITUTE(SUBSTITUTE(SUBSTITUTE(SUBSTITUTE($I32,CHAR(13)," "),CHAR(10)," "),CHAR(9)," "),CHAR(92),_xlfn.CONCAT(CHAR(92),CHAR(92))),"$",_xlfn.CONCAT(CHAR(92),"$")),CHAR(96),_xlfn.CONCAT(CHAR(92),CHAR(96))),CHAR(34),CHAR(39))))</f>
        <v/>
      </c>
      <c r="T32" s="5" t="str">
        <f>IF(OR(TRIM($B32)="",$J32=""),"",IF(OR(ISNUMBER(SEARCH(_xlfn.CONCAT(CHAR(96),CHAR(34)),$J32)),ISNUMBER(SEARCH(_xlfn.CONCAT(CHAR(34),CHAR(39)),$J32))),_xlfn.CONCAT("* REVIEW REQUIRED: compound-quote delimiter in Notes on Sheet 1 row ",32,"; edit the input before running."),_xlfn.CONCAT("char ",TRIM($B32),"[doc_notes] ",CHAR(96),CHAR(34),SUBSTITUTE(SUBSTITUTE(SUBSTITUTE(SUBSTITUTE(SUBSTITUTE(SUBSTITUTE($J32,CHAR(13)," "),CHAR(10)," "),CHAR(9)," "),CHAR(92),_xlfn.CONCAT(CHAR(92),CHAR(92))),"$",_xlfn.CONCAT(CHAR(92),"$")),CHAR(96),_xlfn.CONCAT(CHAR(92),CHAR(96))),CHAR(34),CHAR(39))))</f>
        <v/>
      </c>
      <c r="U32" s="5">
        <f t="shared" si="1"/>
        <v>0</v>
      </c>
    </row>
    <row r="33" spans="3:21" ht="30" customHeight="1" x14ac:dyDescent="0.2">
      <c r="C33" s="4"/>
      <c r="K33" s="5">
        <f t="shared" si="0"/>
        <v>0</v>
      </c>
      <c r="L33" s="5" t="str">
        <f>IF(OR(TRIM($B33)="",$A33=""),"",IF(OR(ISNUMBER(SEARCH(_xlfn.CONCAT(CHAR(96),CHAR(34)),$A33)),ISNUMBER(SEARCH(_xlfn.CONCAT(CHAR(34),CHAR(39)),$A33))),_xlfn.CONCAT("* REVIEW REQUIRED: compound-quote delimiter in Codebook Section on Sheet 1 row ",33,"; edit the input before running."),_xlfn.CONCAT("char ",TRIM($B33),"[doc_section] ",CHAR(96),CHAR(34),SUBSTITUTE(SUBSTITUTE(SUBSTITUTE(SUBSTITUTE(SUBSTITUTE(SUBSTITUTE($A33,CHAR(13)," "),CHAR(10)," "),CHAR(9)," "),CHAR(92),_xlfn.CONCAT(CHAR(92),CHAR(92))),"$",_xlfn.CONCAT(CHAR(92),"$")),CHAR(96),_xlfn.CONCAT(CHAR(92),CHAR(96))),CHAR(34),CHAR(39))))</f>
        <v/>
      </c>
      <c r="M33" s="5" t="str">
        <f>IF(OR(TRIM($B33)="",$C33=""),"",IF(IFERROR(MATCH(TRIM($C33),{"Quantitative","Continuous","Discrete","Categorical","Nominal","Ordinal","Identifier"},0),0)=0,_xlfn.CONCAT("* REVIEW REQUIRED: invalid Variable Type on Sheet 1 row ",33,"."),_xlfn.CONCAT("char ",TRIM($B33),"[doc_vartype] ",CHAR(96),CHAR(34),SUBSTITUTE(SUBSTITUTE(SUBSTITUTE(SUBSTITUTE(SUBSTITUTE(SUBSTITUTE(LOWER(TRIM($C33)),CHAR(13)," "),CHAR(10)," "),CHAR(9)," "),CHAR(92),_xlfn.CONCAT(CHAR(92),CHAR(92))),"$",_xlfn.CONCAT(CHAR(92),"$")),CHAR(96),_xlfn.CONCAT(CHAR(92),CHAR(96))),CHAR(34),CHAR(39))))</f>
        <v/>
      </c>
      <c r="N33" s="5" t="str">
        <f>IF(OR(TRIM($B33)="",$D33=""),"",IF(OR(ISNUMBER(SEARCH(_xlfn.CONCAT(CHAR(96),CHAR(34)),$D33)),ISNUMBER(SEARCH(_xlfn.CONCAT(CHAR(34),CHAR(39)),$D33))),_xlfn.CONCAT("* REVIEW REQUIRED: compound-quote delimiter in Item Number on Sheet 1 row ",33,"; edit the input before running."),_xlfn.CONCAT("char ",TRIM($B33),"[doc_itemnum] ",CHAR(96),CHAR(34),SUBSTITUTE(SUBSTITUTE(SUBSTITUTE(SUBSTITUTE(SUBSTITUTE(SUBSTITUTE($D33,CHAR(13)," "),CHAR(10)," "),CHAR(9)," "),CHAR(92),_xlfn.CONCAT(CHAR(92),CHAR(92))),"$",_xlfn.CONCAT(CHAR(92),"$")),CHAR(96),_xlfn.CONCAT(CHAR(92),CHAR(96))),CHAR(34),CHAR(39))))</f>
        <v/>
      </c>
      <c r="O33" s="5" t="str">
        <f>IF(OR(TRIM($B33)="",$E33=""),"",IF(OR(ISNUMBER(SEARCH(_xlfn.CONCAT(CHAR(96),CHAR(34)),$E33)),ISNUMBER(SEARCH(_xlfn.CONCAT(CHAR(34),CHAR(39)),$E33))),_xlfn.CONCAT("* REVIEW REQUIRED: compound-quote delimiter in Question Wording on Sheet 1 row ",33,"; edit the input before running."),_xlfn.CONCAT("char ",TRIM($B33),"[doc_question] ",CHAR(96),CHAR(34),SUBSTITUTE(SUBSTITUTE(SUBSTITUTE(SUBSTITUTE(SUBSTITUTE(SUBSTITUTE($E33,CHAR(13)," "),CHAR(10)," "),CHAR(9)," "),CHAR(92),_xlfn.CONCAT(CHAR(92),CHAR(92))),"$",_xlfn.CONCAT(CHAR(92),"$")),CHAR(96),_xlfn.CONCAT(CHAR(92),CHAR(96))),CHAR(34),CHAR(39))))</f>
        <v/>
      </c>
      <c r="P33" s="5" t="str">
        <f>IF(OR(TRIM($B33)="",$F33=""),"",IF(OR(ISNUMBER(SEARCH(_xlfn.CONCAT(CHAR(96),CHAR(34)),$F33)),ISNUMBER(SEARCH(_xlfn.CONCAT(CHAR(34),CHAR(39)),$F33))),_xlfn.CONCAT("* REVIEW REQUIRED: compound-quote delimiter in Units on Sheet 1 row ",33,"; edit the input before running."),_xlfn.CONCAT("char ",TRIM($B33),"[doc_units] ",CHAR(96),CHAR(34),SUBSTITUTE(SUBSTITUTE(SUBSTITUTE(SUBSTITUTE(SUBSTITUTE(SUBSTITUTE($F33,CHAR(13)," "),CHAR(10)," "),CHAR(9)," "),CHAR(92),_xlfn.CONCAT(CHAR(92),CHAR(92))),"$",_xlfn.CONCAT(CHAR(92),"$")),CHAR(96),_xlfn.CONCAT(CHAR(92),CHAR(96))),CHAR(34),CHAR(39))))</f>
        <v/>
      </c>
      <c r="Q33" s="5" t="str">
        <f>IF(OR(TRIM($B33)="",$G33=""),"",IF(OR(ISNUMBER(SEARCH(_xlfn.CONCAT(CHAR(96),CHAR(34)),$G33)),ISNUMBER(SEARCH(_xlfn.CONCAT(CHAR(34),CHAR(39)),$G33))),_xlfn.CONCAT("* REVIEW REQUIRED: compound-quote delimiter in Universe on Sheet 1 row ",33,"; edit the input before running."),_xlfn.CONCAT("char ",TRIM($B33),"[doc_universe] ",CHAR(96),CHAR(34),SUBSTITUTE(SUBSTITUTE(SUBSTITUTE(SUBSTITUTE(SUBSTITUTE(SUBSTITUTE($G33,CHAR(13)," "),CHAR(10)," "),CHAR(9)," "),CHAR(92),_xlfn.CONCAT(CHAR(92),CHAR(92))),"$",_xlfn.CONCAT(CHAR(92),"$")),CHAR(96),_xlfn.CONCAT(CHAR(92),CHAR(96))),CHAR(34),CHAR(39))))</f>
        <v/>
      </c>
      <c r="R33" s="5" t="str">
        <f>IF(OR(TRIM($B33)="",$H33=""),"",IF(OR(ISNUMBER(SEARCH(_xlfn.CONCAT(CHAR(96),CHAR(34)),$H33)),ISNUMBER(SEARCH(_xlfn.CONCAT(CHAR(34),CHAR(39)),$H33))),_xlfn.CONCAT("* REVIEW REQUIRED: compound-quote delimiter in Source on Sheet 1 row ",33,"; edit the input before running."),_xlfn.CONCAT("char ",TRIM($B33),"[doc_source] ",CHAR(96),CHAR(34),SUBSTITUTE(SUBSTITUTE(SUBSTITUTE(SUBSTITUTE(SUBSTITUTE(SUBSTITUTE($H33,CHAR(13)," "),CHAR(10)," "),CHAR(9)," "),CHAR(92),_xlfn.CONCAT(CHAR(92),CHAR(92))),"$",_xlfn.CONCAT(CHAR(92),"$")),CHAR(96),_xlfn.CONCAT(CHAR(92),CHAR(96))),CHAR(34),CHAR(39))))</f>
        <v/>
      </c>
      <c r="S33" s="5" t="str">
        <f>IF(OR(TRIM($B33)="",$I33=""),"",IF(OR(ISNUMBER(SEARCH(_xlfn.CONCAT(CHAR(96),CHAR(34)),$I33)),ISNUMBER(SEARCH(_xlfn.CONCAT(CHAR(34),CHAR(39)),$I33))),_xlfn.CONCAT("* REVIEW REQUIRED: compound-quote delimiter in Derivation on Sheet 1 row ",33,"; edit the input before running."),_xlfn.CONCAT("char ",TRIM($B33),"[doc_derivation] ",CHAR(96),CHAR(34),SUBSTITUTE(SUBSTITUTE(SUBSTITUTE(SUBSTITUTE(SUBSTITUTE(SUBSTITUTE($I33,CHAR(13)," "),CHAR(10)," "),CHAR(9)," "),CHAR(92),_xlfn.CONCAT(CHAR(92),CHAR(92))),"$",_xlfn.CONCAT(CHAR(92),"$")),CHAR(96),_xlfn.CONCAT(CHAR(92),CHAR(96))),CHAR(34),CHAR(39))))</f>
        <v/>
      </c>
      <c r="T33" s="5" t="str">
        <f>IF(OR(TRIM($B33)="",$J33=""),"",IF(OR(ISNUMBER(SEARCH(_xlfn.CONCAT(CHAR(96),CHAR(34)),$J33)),ISNUMBER(SEARCH(_xlfn.CONCAT(CHAR(34),CHAR(39)),$J33))),_xlfn.CONCAT("* REVIEW REQUIRED: compound-quote delimiter in Notes on Sheet 1 row ",33,"; edit the input before running."),_xlfn.CONCAT("char ",TRIM($B33),"[doc_notes] ",CHAR(96),CHAR(34),SUBSTITUTE(SUBSTITUTE(SUBSTITUTE(SUBSTITUTE(SUBSTITUTE(SUBSTITUTE($J33,CHAR(13)," "),CHAR(10)," "),CHAR(9)," "),CHAR(92),_xlfn.CONCAT(CHAR(92),CHAR(92))),"$",_xlfn.CONCAT(CHAR(92),"$")),CHAR(96),_xlfn.CONCAT(CHAR(92),CHAR(96))),CHAR(34),CHAR(39))))</f>
        <v/>
      </c>
      <c r="U33" s="5">
        <f t="shared" si="1"/>
        <v>0</v>
      </c>
    </row>
    <row r="34" spans="3:21" ht="30" customHeight="1" x14ac:dyDescent="0.2">
      <c r="C34" s="4"/>
      <c r="K34" s="5">
        <f t="shared" si="0"/>
        <v>0</v>
      </c>
      <c r="L34" s="5" t="str">
        <f>IF(OR(TRIM($B34)="",$A34=""),"",IF(OR(ISNUMBER(SEARCH(_xlfn.CONCAT(CHAR(96),CHAR(34)),$A34)),ISNUMBER(SEARCH(_xlfn.CONCAT(CHAR(34),CHAR(39)),$A34))),_xlfn.CONCAT("* REVIEW REQUIRED: compound-quote delimiter in Codebook Section on Sheet 1 row ",34,"; edit the input before running."),_xlfn.CONCAT("char ",TRIM($B34),"[doc_section] ",CHAR(96),CHAR(34),SUBSTITUTE(SUBSTITUTE(SUBSTITUTE(SUBSTITUTE(SUBSTITUTE(SUBSTITUTE($A34,CHAR(13)," "),CHAR(10)," "),CHAR(9)," "),CHAR(92),_xlfn.CONCAT(CHAR(92),CHAR(92))),"$",_xlfn.CONCAT(CHAR(92),"$")),CHAR(96),_xlfn.CONCAT(CHAR(92),CHAR(96))),CHAR(34),CHAR(39))))</f>
        <v/>
      </c>
      <c r="M34" s="5" t="str">
        <f>IF(OR(TRIM($B34)="",$C34=""),"",IF(IFERROR(MATCH(TRIM($C34),{"Quantitative","Continuous","Discrete","Categorical","Nominal","Ordinal","Identifier"},0),0)=0,_xlfn.CONCAT("* REVIEW REQUIRED: invalid Variable Type on Sheet 1 row ",34,"."),_xlfn.CONCAT("char ",TRIM($B34),"[doc_vartype] ",CHAR(96),CHAR(34),SUBSTITUTE(SUBSTITUTE(SUBSTITUTE(SUBSTITUTE(SUBSTITUTE(SUBSTITUTE(LOWER(TRIM($C34)),CHAR(13)," "),CHAR(10)," "),CHAR(9)," "),CHAR(92),_xlfn.CONCAT(CHAR(92),CHAR(92))),"$",_xlfn.CONCAT(CHAR(92),"$")),CHAR(96),_xlfn.CONCAT(CHAR(92),CHAR(96))),CHAR(34),CHAR(39))))</f>
        <v/>
      </c>
      <c r="N34" s="5" t="str">
        <f>IF(OR(TRIM($B34)="",$D34=""),"",IF(OR(ISNUMBER(SEARCH(_xlfn.CONCAT(CHAR(96),CHAR(34)),$D34)),ISNUMBER(SEARCH(_xlfn.CONCAT(CHAR(34),CHAR(39)),$D34))),_xlfn.CONCAT("* REVIEW REQUIRED: compound-quote delimiter in Item Number on Sheet 1 row ",34,"; edit the input before running."),_xlfn.CONCAT("char ",TRIM($B34),"[doc_itemnum] ",CHAR(96),CHAR(34),SUBSTITUTE(SUBSTITUTE(SUBSTITUTE(SUBSTITUTE(SUBSTITUTE(SUBSTITUTE($D34,CHAR(13)," "),CHAR(10)," "),CHAR(9)," "),CHAR(92),_xlfn.CONCAT(CHAR(92),CHAR(92))),"$",_xlfn.CONCAT(CHAR(92),"$")),CHAR(96),_xlfn.CONCAT(CHAR(92),CHAR(96))),CHAR(34),CHAR(39))))</f>
        <v/>
      </c>
      <c r="O34" s="5" t="str">
        <f>IF(OR(TRIM($B34)="",$E34=""),"",IF(OR(ISNUMBER(SEARCH(_xlfn.CONCAT(CHAR(96),CHAR(34)),$E34)),ISNUMBER(SEARCH(_xlfn.CONCAT(CHAR(34),CHAR(39)),$E34))),_xlfn.CONCAT("* REVIEW REQUIRED: compound-quote delimiter in Question Wording on Sheet 1 row ",34,"; edit the input before running."),_xlfn.CONCAT("char ",TRIM($B34),"[doc_question] ",CHAR(96),CHAR(34),SUBSTITUTE(SUBSTITUTE(SUBSTITUTE(SUBSTITUTE(SUBSTITUTE(SUBSTITUTE($E34,CHAR(13)," "),CHAR(10)," "),CHAR(9)," "),CHAR(92),_xlfn.CONCAT(CHAR(92),CHAR(92))),"$",_xlfn.CONCAT(CHAR(92),"$")),CHAR(96),_xlfn.CONCAT(CHAR(92),CHAR(96))),CHAR(34),CHAR(39))))</f>
        <v/>
      </c>
      <c r="P34" s="5" t="str">
        <f>IF(OR(TRIM($B34)="",$F34=""),"",IF(OR(ISNUMBER(SEARCH(_xlfn.CONCAT(CHAR(96),CHAR(34)),$F34)),ISNUMBER(SEARCH(_xlfn.CONCAT(CHAR(34),CHAR(39)),$F34))),_xlfn.CONCAT("* REVIEW REQUIRED: compound-quote delimiter in Units on Sheet 1 row ",34,"; edit the input before running."),_xlfn.CONCAT("char ",TRIM($B34),"[doc_units] ",CHAR(96),CHAR(34),SUBSTITUTE(SUBSTITUTE(SUBSTITUTE(SUBSTITUTE(SUBSTITUTE(SUBSTITUTE($F34,CHAR(13)," "),CHAR(10)," "),CHAR(9)," "),CHAR(92),_xlfn.CONCAT(CHAR(92),CHAR(92))),"$",_xlfn.CONCAT(CHAR(92),"$")),CHAR(96),_xlfn.CONCAT(CHAR(92),CHAR(96))),CHAR(34),CHAR(39))))</f>
        <v/>
      </c>
      <c r="Q34" s="5" t="str">
        <f>IF(OR(TRIM($B34)="",$G34=""),"",IF(OR(ISNUMBER(SEARCH(_xlfn.CONCAT(CHAR(96),CHAR(34)),$G34)),ISNUMBER(SEARCH(_xlfn.CONCAT(CHAR(34),CHAR(39)),$G34))),_xlfn.CONCAT("* REVIEW REQUIRED: compound-quote delimiter in Universe on Sheet 1 row ",34,"; edit the input before running."),_xlfn.CONCAT("char ",TRIM($B34),"[doc_universe] ",CHAR(96),CHAR(34),SUBSTITUTE(SUBSTITUTE(SUBSTITUTE(SUBSTITUTE(SUBSTITUTE(SUBSTITUTE($G34,CHAR(13)," "),CHAR(10)," "),CHAR(9)," "),CHAR(92),_xlfn.CONCAT(CHAR(92),CHAR(92))),"$",_xlfn.CONCAT(CHAR(92),"$")),CHAR(96),_xlfn.CONCAT(CHAR(92),CHAR(96))),CHAR(34),CHAR(39))))</f>
        <v/>
      </c>
      <c r="R34" s="5" t="str">
        <f>IF(OR(TRIM($B34)="",$H34=""),"",IF(OR(ISNUMBER(SEARCH(_xlfn.CONCAT(CHAR(96),CHAR(34)),$H34)),ISNUMBER(SEARCH(_xlfn.CONCAT(CHAR(34),CHAR(39)),$H34))),_xlfn.CONCAT("* REVIEW REQUIRED: compound-quote delimiter in Source on Sheet 1 row ",34,"; edit the input before running."),_xlfn.CONCAT("char ",TRIM($B34),"[doc_source] ",CHAR(96),CHAR(34),SUBSTITUTE(SUBSTITUTE(SUBSTITUTE(SUBSTITUTE(SUBSTITUTE(SUBSTITUTE($H34,CHAR(13)," "),CHAR(10)," "),CHAR(9)," "),CHAR(92),_xlfn.CONCAT(CHAR(92),CHAR(92))),"$",_xlfn.CONCAT(CHAR(92),"$")),CHAR(96),_xlfn.CONCAT(CHAR(92),CHAR(96))),CHAR(34),CHAR(39))))</f>
        <v/>
      </c>
      <c r="S34" s="5" t="str">
        <f>IF(OR(TRIM($B34)="",$I34=""),"",IF(OR(ISNUMBER(SEARCH(_xlfn.CONCAT(CHAR(96),CHAR(34)),$I34)),ISNUMBER(SEARCH(_xlfn.CONCAT(CHAR(34),CHAR(39)),$I34))),_xlfn.CONCAT("* REVIEW REQUIRED: compound-quote delimiter in Derivation on Sheet 1 row ",34,"; edit the input before running."),_xlfn.CONCAT("char ",TRIM($B34),"[doc_derivation] ",CHAR(96),CHAR(34),SUBSTITUTE(SUBSTITUTE(SUBSTITUTE(SUBSTITUTE(SUBSTITUTE(SUBSTITUTE($I34,CHAR(13)," "),CHAR(10)," "),CHAR(9)," "),CHAR(92),_xlfn.CONCAT(CHAR(92),CHAR(92))),"$",_xlfn.CONCAT(CHAR(92),"$")),CHAR(96),_xlfn.CONCAT(CHAR(92),CHAR(96))),CHAR(34),CHAR(39))))</f>
        <v/>
      </c>
      <c r="T34" s="5" t="str">
        <f>IF(OR(TRIM($B34)="",$J34=""),"",IF(OR(ISNUMBER(SEARCH(_xlfn.CONCAT(CHAR(96),CHAR(34)),$J34)),ISNUMBER(SEARCH(_xlfn.CONCAT(CHAR(34),CHAR(39)),$J34))),_xlfn.CONCAT("* REVIEW REQUIRED: compound-quote delimiter in Notes on Sheet 1 row ",34,"; edit the input before running."),_xlfn.CONCAT("char ",TRIM($B34),"[doc_notes] ",CHAR(96),CHAR(34),SUBSTITUTE(SUBSTITUTE(SUBSTITUTE(SUBSTITUTE(SUBSTITUTE(SUBSTITUTE($J34,CHAR(13)," "),CHAR(10)," "),CHAR(9)," "),CHAR(92),_xlfn.CONCAT(CHAR(92),CHAR(92))),"$",_xlfn.CONCAT(CHAR(92),"$")),CHAR(96),_xlfn.CONCAT(CHAR(92),CHAR(96))),CHAR(34),CHAR(39))))</f>
        <v/>
      </c>
      <c r="U34" s="5">
        <f t="shared" si="1"/>
        <v>0</v>
      </c>
    </row>
    <row r="35" spans="3:21" ht="30" customHeight="1" x14ac:dyDescent="0.2">
      <c r="C35" s="4"/>
      <c r="K35" s="5">
        <f t="shared" si="0"/>
        <v>0</v>
      </c>
      <c r="L35" s="5" t="str">
        <f>IF(OR(TRIM($B35)="",$A35=""),"",IF(OR(ISNUMBER(SEARCH(_xlfn.CONCAT(CHAR(96),CHAR(34)),$A35)),ISNUMBER(SEARCH(_xlfn.CONCAT(CHAR(34),CHAR(39)),$A35))),_xlfn.CONCAT("* REVIEW REQUIRED: compound-quote delimiter in Codebook Section on Sheet 1 row ",35,"; edit the input before running."),_xlfn.CONCAT("char ",TRIM($B35),"[doc_section] ",CHAR(96),CHAR(34),SUBSTITUTE(SUBSTITUTE(SUBSTITUTE(SUBSTITUTE(SUBSTITUTE(SUBSTITUTE($A35,CHAR(13)," "),CHAR(10)," "),CHAR(9)," "),CHAR(92),_xlfn.CONCAT(CHAR(92),CHAR(92))),"$",_xlfn.CONCAT(CHAR(92),"$")),CHAR(96),_xlfn.CONCAT(CHAR(92),CHAR(96))),CHAR(34),CHAR(39))))</f>
        <v/>
      </c>
      <c r="M35" s="5" t="str">
        <f>IF(OR(TRIM($B35)="",$C35=""),"",IF(IFERROR(MATCH(TRIM($C35),{"Quantitative","Continuous","Discrete","Categorical","Nominal","Ordinal","Identifier"},0),0)=0,_xlfn.CONCAT("* REVIEW REQUIRED: invalid Variable Type on Sheet 1 row ",35,"."),_xlfn.CONCAT("char ",TRIM($B35),"[doc_vartype] ",CHAR(96),CHAR(34),SUBSTITUTE(SUBSTITUTE(SUBSTITUTE(SUBSTITUTE(SUBSTITUTE(SUBSTITUTE(LOWER(TRIM($C35)),CHAR(13)," "),CHAR(10)," "),CHAR(9)," "),CHAR(92),_xlfn.CONCAT(CHAR(92),CHAR(92))),"$",_xlfn.CONCAT(CHAR(92),"$")),CHAR(96),_xlfn.CONCAT(CHAR(92),CHAR(96))),CHAR(34),CHAR(39))))</f>
        <v/>
      </c>
      <c r="N35" s="5" t="str">
        <f>IF(OR(TRIM($B35)="",$D35=""),"",IF(OR(ISNUMBER(SEARCH(_xlfn.CONCAT(CHAR(96),CHAR(34)),$D35)),ISNUMBER(SEARCH(_xlfn.CONCAT(CHAR(34),CHAR(39)),$D35))),_xlfn.CONCAT("* REVIEW REQUIRED: compound-quote delimiter in Item Number on Sheet 1 row ",35,"; edit the input before running."),_xlfn.CONCAT("char ",TRIM($B35),"[doc_itemnum] ",CHAR(96),CHAR(34),SUBSTITUTE(SUBSTITUTE(SUBSTITUTE(SUBSTITUTE(SUBSTITUTE(SUBSTITUTE($D35,CHAR(13)," "),CHAR(10)," "),CHAR(9)," "),CHAR(92),_xlfn.CONCAT(CHAR(92),CHAR(92))),"$",_xlfn.CONCAT(CHAR(92),"$")),CHAR(96),_xlfn.CONCAT(CHAR(92),CHAR(96))),CHAR(34),CHAR(39))))</f>
        <v/>
      </c>
      <c r="O35" s="5" t="str">
        <f>IF(OR(TRIM($B35)="",$E35=""),"",IF(OR(ISNUMBER(SEARCH(_xlfn.CONCAT(CHAR(96),CHAR(34)),$E35)),ISNUMBER(SEARCH(_xlfn.CONCAT(CHAR(34),CHAR(39)),$E35))),_xlfn.CONCAT("* REVIEW REQUIRED: compound-quote delimiter in Question Wording on Sheet 1 row ",35,"; edit the input before running."),_xlfn.CONCAT("char ",TRIM($B35),"[doc_question] ",CHAR(96),CHAR(34),SUBSTITUTE(SUBSTITUTE(SUBSTITUTE(SUBSTITUTE(SUBSTITUTE(SUBSTITUTE($E35,CHAR(13)," "),CHAR(10)," "),CHAR(9)," "),CHAR(92),_xlfn.CONCAT(CHAR(92),CHAR(92))),"$",_xlfn.CONCAT(CHAR(92),"$")),CHAR(96),_xlfn.CONCAT(CHAR(92),CHAR(96))),CHAR(34),CHAR(39))))</f>
        <v/>
      </c>
      <c r="P35" s="5" t="str">
        <f>IF(OR(TRIM($B35)="",$F35=""),"",IF(OR(ISNUMBER(SEARCH(_xlfn.CONCAT(CHAR(96),CHAR(34)),$F35)),ISNUMBER(SEARCH(_xlfn.CONCAT(CHAR(34),CHAR(39)),$F35))),_xlfn.CONCAT("* REVIEW REQUIRED: compound-quote delimiter in Units on Sheet 1 row ",35,"; edit the input before running."),_xlfn.CONCAT("char ",TRIM($B35),"[doc_units] ",CHAR(96),CHAR(34),SUBSTITUTE(SUBSTITUTE(SUBSTITUTE(SUBSTITUTE(SUBSTITUTE(SUBSTITUTE($F35,CHAR(13)," "),CHAR(10)," "),CHAR(9)," "),CHAR(92),_xlfn.CONCAT(CHAR(92),CHAR(92))),"$",_xlfn.CONCAT(CHAR(92),"$")),CHAR(96),_xlfn.CONCAT(CHAR(92),CHAR(96))),CHAR(34),CHAR(39))))</f>
        <v/>
      </c>
      <c r="Q35" s="5" t="str">
        <f>IF(OR(TRIM($B35)="",$G35=""),"",IF(OR(ISNUMBER(SEARCH(_xlfn.CONCAT(CHAR(96),CHAR(34)),$G35)),ISNUMBER(SEARCH(_xlfn.CONCAT(CHAR(34),CHAR(39)),$G35))),_xlfn.CONCAT("* REVIEW REQUIRED: compound-quote delimiter in Universe on Sheet 1 row ",35,"; edit the input before running."),_xlfn.CONCAT("char ",TRIM($B35),"[doc_universe] ",CHAR(96),CHAR(34),SUBSTITUTE(SUBSTITUTE(SUBSTITUTE(SUBSTITUTE(SUBSTITUTE(SUBSTITUTE($G35,CHAR(13)," "),CHAR(10)," "),CHAR(9)," "),CHAR(92),_xlfn.CONCAT(CHAR(92),CHAR(92))),"$",_xlfn.CONCAT(CHAR(92),"$")),CHAR(96),_xlfn.CONCAT(CHAR(92),CHAR(96))),CHAR(34),CHAR(39))))</f>
        <v/>
      </c>
      <c r="R35" s="5" t="str">
        <f>IF(OR(TRIM($B35)="",$H35=""),"",IF(OR(ISNUMBER(SEARCH(_xlfn.CONCAT(CHAR(96),CHAR(34)),$H35)),ISNUMBER(SEARCH(_xlfn.CONCAT(CHAR(34),CHAR(39)),$H35))),_xlfn.CONCAT("* REVIEW REQUIRED: compound-quote delimiter in Source on Sheet 1 row ",35,"; edit the input before running."),_xlfn.CONCAT("char ",TRIM($B35),"[doc_source] ",CHAR(96),CHAR(34),SUBSTITUTE(SUBSTITUTE(SUBSTITUTE(SUBSTITUTE(SUBSTITUTE(SUBSTITUTE($H35,CHAR(13)," "),CHAR(10)," "),CHAR(9)," "),CHAR(92),_xlfn.CONCAT(CHAR(92),CHAR(92))),"$",_xlfn.CONCAT(CHAR(92),"$")),CHAR(96),_xlfn.CONCAT(CHAR(92),CHAR(96))),CHAR(34),CHAR(39))))</f>
        <v/>
      </c>
      <c r="S35" s="5" t="str">
        <f>IF(OR(TRIM($B35)="",$I35=""),"",IF(OR(ISNUMBER(SEARCH(_xlfn.CONCAT(CHAR(96),CHAR(34)),$I35)),ISNUMBER(SEARCH(_xlfn.CONCAT(CHAR(34),CHAR(39)),$I35))),_xlfn.CONCAT("* REVIEW REQUIRED: compound-quote delimiter in Derivation on Sheet 1 row ",35,"; edit the input before running."),_xlfn.CONCAT("char ",TRIM($B35),"[doc_derivation] ",CHAR(96),CHAR(34),SUBSTITUTE(SUBSTITUTE(SUBSTITUTE(SUBSTITUTE(SUBSTITUTE(SUBSTITUTE($I35,CHAR(13)," "),CHAR(10)," "),CHAR(9)," "),CHAR(92),_xlfn.CONCAT(CHAR(92),CHAR(92))),"$",_xlfn.CONCAT(CHAR(92),"$")),CHAR(96),_xlfn.CONCAT(CHAR(92),CHAR(96))),CHAR(34),CHAR(39))))</f>
        <v/>
      </c>
      <c r="T35" s="5" t="str">
        <f>IF(OR(TRIM($B35)="",$J35=""),"",IF(OR(ISNUMBER(SEARCH(_xlfn.CONCAT(CHAR(96),CHAR(34)),$J35)),ISNUMBER(SEARCH(_xlfn.CONCAT(CHAR(34),CHAR(39)),$J35))),_xlfn.CONCAT("* REVIEW REQUIRED: compound-quote delimiter in Notes on Sheet 1 row ",35,"; edit the input before running."),_xlfn.CONCAT("char ",TRIM($B35),"[doc_notes] ",CHAR(96),CHAR(34),SUBSTITUTE(SUBSTITUTE(SUBSTITUTE(SUBSTITUTE(SUBSTITUTE(SUBSTITUTE($J35,CHAR(13)," "),CHAR(10)," "),CHAR(9)," "),CHAR(92),_xlfn.CONCAT(CHAR(92),CHAR(92))),"$",_xlfn.CONCAT(CHAR(92),"$")),CHAR(96),_xlfn.CONCAT(CHAR(92),CHAR(96))),CHAR(34),CHAR(39))))</f>
        <v/>
      </c>
      <c r="U35" s="5">
        <f t="shared" si="1"/>
        <v>0</v>
      </c>
    </row>
    <row r="36" spans="3:21" ht="30" customHeight="1" x14ac:dyDescent="0.2">
      <c r="C36" s="4"/>
      <c r="K36" s="5">
        <f t="shared" si="0"/>
        <v>0</v>
      </c>
      <c r="L36" s="5" t="str">
        <f>IF(OR(TRIM($B36)="",$A36=""),"",IF(OR(ISNUMBER(SEARCH(_xlfn.CONCAT(CHAR(96),CHAR(34)),$A36)),ISNUMBER(SEARCH(_xlfn.CONCAT(CHAR(34),CHAR(39)),$A36))),_xlfn.CONCAT("* REVIEW REQUIRED: compound-quote delimiter in Codebook Section on Sheet 1 row ",36,"; edit the input before running."),_xlfn.CONCAT("char ",TRIM($B36),"[doc_section] ",CHAR(96),CHAR(34),SUBSTITUTE(SUBSTITUTE(SUBSTITUTE(SUBSTITUTE(SUBSTITUTE(SUBSTITUTE($A36,CHAR(13)," "),CHAR(10)," "),CHAR(9)," "),CHAR(92),_xlfn.CONCAT(CHAR(92),CHAR(92))),"$",_xlfn.CONCAT(CHAR(92),"$")),CHAR(96),_xlfn.CONCAT(CHAR(92),CHAR(96))),CHAR(34),CHAR(39))))</f>
        <v/>
      </c>
      <c r="M36" s="5" t="str">
        <f>IF(OR(TRIM($B36)="",$C36=""),"",IF(IFERROR(MATCH(TRIM($C36),{"Quantitative","Continuous","Discrete","Categorical","Nominal","Ordinal","Identifier"},0),0)=0,_xlfn.CONCAT("* REVIEW REQUIRED: invalid Variable Type on Sheet 1 row ",36,"."),_xlfn.CONCAT("char ",TRIM($B36),"[doc_vartype] ",CHAR(96),CHAR(34),SUBSTITUTE(SUBSTITUTE(SUBSTITUTE(SUBSTITUTE(SUBSTITUTE(SUBSTITUTE(LOWER(TRIM($C36)),CHAR(13)," "),CHAR(10)," "),CHAR(9)," "),CHAR(92),_xlfn.CONCAT(CHAR(92),CHAR(92))),"$",_xlfn.CONCAT(CHAR(92),"$")),CHAR(96),_xlfn.CONCAT(CHAR(92),CHAR(96))),CHAR(34),CHAR(39))))</f>
        <v/>
      </c>
      <c r="N36" s="5" t="str">
        <f>IF(OR(TRIM($B36)="",$D36=""),"",IF(OR(ISNUMBER(SEARCH(_xlfn.CONCAT(CHAR(96),CHAR(34)),$D36)),ISNUMBER(SEARCH(_xlfn.CONCAT(CHAR(34),CHAR(39)),$D36))),_xlfn.CONCAT("* REVIEW REQUIRED: compound-quote delimiter in Item Number on Sheet 1 row ",36,"; edit the input before running."),_xlfn.CONCAT("char ",TRIM($B36),"[doc_itemnum] ",CHAR(96),CHAR(34),SUBSTITUTE(SUBSTITUTE(SUBSTITUTE(SUBSTITUTE(SUBSTITUTE(SUBSTITUTE($D36,CHAR(13)," "),CHAR(10)," "),CHAR(9)," "),CHAR(92),_xlfn.CONCAT(CHAR(92),CHAR(92))),"$",_xlfn.CONCAT(CHAR(92),"$")),CHAR(96),_xlfn.CONCAT(CHAR(92),CHAR(96))),CHAR(34),CHAR(39))))</f>
        <v/>
      </c>
      <c r="O36" s="5" t="str">
        <f>IF(OR(TRIM($B36)="",$E36=""),"",IF(OR(ISNUMBER(SEARCH(_xlfn.CONCAT(CHAR(96),CHAR(34)),$E36)),ISNUMBER(SEARCH(_xlfn.CONCAT(CHAR(34),CHAR(39)),$E36))),_xlfn.CONCAT("* REVIEW REQUIRED: compound-quote delimiter in Question Wording on Sheet 1 row ",36,"; edit the input before running."),_xlfn.CONCAT("char ",TRIM($B36),"[doc_question] ",CHAR(96),CHAR(34),SUBSTITUTE(SUBSTITUTE(SUBSTITUTE(SUBSTITUTE(SUBSTITUTE(SUBSTITUTE($E36,CHAR(13)," "),CHAR(10)," "),CHAR(9)," "),CHAR(92),_xlfn.CONCAT(CHAR(92),CHAR(92))),"$",_xlfn.CONCAT(CHAR(92),"$")),CHAR(96),_xlfn.CONCAT(CHAR(92),CHAR(96))),CHAR(34),CHAR(39))))</f>
        <v/>
      </c>
      <c r="P36" s="5" t="str">
        <f>IF(OR(TRIM($B36)="",$F36=""),"",IF(OR(ISNUMBER(SEARCH(_xlfn.CONCAT(CHAR(96),CHAR(34)),$F36)),ISNUMBER(SEARCH(_xlfn.CONCAT(CHAR(34),CHAR(39)),$F36))),_xlfn.CONCAT("* REVIEW REQUIRED: compound-quote delimiter in Units on Sheet 1 row ",36,"; edit the input before running."),_xlfn.CONCAT("char ",TRIM($B36),"[doc_units] ",CHAR(96),CHAR(34),SUBSTITUTE(SUBSTITUTE(SUBSTITUTE(SUBSTITUTE(SUBSTITUTE(SUBSTITUTE($F36,CHAR(13)," "),CHAR(10)," "),CHAR(9)," "),CHAR(92),_xlfn.CONCAT(CHAR(92),CHAR(92))),"$",_xlfn.CONCAT(CHAR(92),"$")),CHAR(96),_xlfn.CONCAT(CHAR(92),CHAR(96))),CHAR(34),CHAR(39))))</f>
        <v/>
      </c>
      <c r="Q36" s="5" t="str">
        <f>IF(OR(TRIM($B36)="",$G36=""),"",IF(OR(ISNUMBER(SEARCH(_xlfn.CONCAT(CHAR(96),CHAR(34)),$G36)),ISNUMBER(SEARCH(_xlfn.CONCAT(CHAR(34),CHAR(39)),$G36))),_xlfn.CONCAT("* REVIEW REQUIRED: compound-quote delimiter in Universe on Sheet 1 row ",36,"; edit the input before running."),_xlfn.CONCAT("char ",TRIM($B36),"[doc_universe] ",CHAR(96),CHAR(34),SUBSTITUTE(SUBSTITUTE(SUBSTITUTE(SUBSTITUTE(SUBSTITUTE(SUBSTITUTE($G36,CHAR(13)," "),CHAR(10)," "),CHAR(9)," "),CHAR(92),_xlfn.CONCAT(CHAR(92),CHAR(92))),"$",_xlfn.CONCAT(CHAR(92),"$")),CHAR(96),_xlfn.CONCAT(CHAR(92),CHAR(96))),CHAR(34),CHAR(39))))</f>
        <v/>
      </c>
      <c r="R36" s="5" t="str">
        <f>IF(OR(TRIM($B36)="",$H36=""),"",IF(OR(ISNUMBER(SEARCH(_xlfn.CONCAT(CHAR(96),CHAR(34)),$H36)),ISNUMBER(SEARCH(_xlfn.CONCAT(CHAR(34),CHAR(39)),$H36))),_xlfn.CONCAT("* REVIEW REQUIRED: compound-quote delimiter in Source on Sheet 1 row ",36,"; edit the input before running."),_xlfn.CONCAT("char ",TRIM($B36),"[doc_source] ",CHAR(96),CHAR(34),SUBSTITUTE(SUBSTITUTE(SUBSTITUTE(SUBSTITUTE(SUBSTITUTE(SUBSTITUTE($H36,CHAR(13)," "),CHAR(10)," "),CHAR(9)," "),CHAR(92),_xlfn.CONCAT(CHAR(92),CHAR(92))),"$",_xlfn.CONCAT(CHAR(92),"$")),CHAR(96),_xlfn.CONCAT(CHAR(92),CHAR(96))),CHAR(34),CHAR(39))))</f>
        <v/>
      </c>
      <c r="S36" s="5" t="str">
        <f>IF(OR(TRIM($B36)="",$I36=""),"",IF(OR(ISNUMBER(SEARCH(_xlfn.CONCAT(CHAR(96),CHAR(34)),$I36)),ISNUMBER(SEARCH(_xlfn.CONCAT(CHAR(34),CHAR(39)),$I36))),_xlfn.CONCAT("* REVIEW REQUIRED: compound-quote delimiter in Derivation on Sheet 1 row ",36,"; edit the input before running."),_xlfn.CONCAT("char ",TRIM($B36),"[doc_derivation] ",CHAR(96),CHAR(34),SUBSTITUTE(SUBSTITUTE(SUBSTITUTE(SUBSTITUTE(SUBSTITUTE(SUBSTITUTE($I36,CHAR(13)," "),CHAR(10)," "),CHAR(9)," "),CHAR(92),_xlfn.CONCAT(CHAR(92),CHAR(92))),"$",_xlfn.CONCAT(CHAR(92),"$")),CHAR(96),_xlfn.CONCAT(CHAR(92),CHAR(96))),CHAR(34),CHAR(39))))</f>
        <v/>
      </c>
      <c r="T36" s="5" t="str">
        <f>IF(OR(TRIM($B36)="",$J36=""),"",IF(OR(ISNUMBER(SEARCH(_xlfn.CONCAT(CHAR(96),CHAR(34)),$J36)),ISNUMBER(SEARCH(_xlfn.CONCAT(CHAR(34),CHAR(39)),$J36))),_xlfn.CONCAT("* REVIEW REQUIRED: compound-quote delimiter in Notes on Sheet 1 row ",36,"; edit the input before running."),_xlfn.CONCAT("char ",TRIM($B36),"[doc_notes] ",CHAR(96),CHAR(34),SUBSTITUTE(SUBSTITUTE(SUBSTITUTE(SUBSTITUTE(SUBSTITUTE(SUBSTITUTE($J36,CHAR(13)," "),CHAR(10)," "),CHAR(9)," "),CHAR(92),_xlfn.CONCAT(CHAR(92),CHAR(92))),"$",_xlfn.CONCAT(CHAR(92),"$")),CHAR(96),_xlfn.CONCAT(CHAR(92),CHAR(96))),CHAR(34),CHAR(39))))</f>
        <v/>
      </c>
      <c r="U36" s="5">
        <f t="shared" si="1"/>
        <v>0</v>
      </c>
    </row>
    <row r="37" spans="3:21" ht="30" customHeight="1" x14ac:dyDescent="0.2">
      <c r="C37" s="4"/>
      <c r="K37" s="5">
        <f t="shared" si="0"/>
        <v>0</v>
      </c>
      <c r="L37" s="5" t="str">
        <f>IF(OR(TRIM($B37)="",$A37=""),"",IF(OR(ISNUMBER(SEARCH(_xlfn.CONCAT(CHAR(96),CHAR(34)),$A37)),ISNUMBER(SEARCH(_xlfn.CONCAT(CHAR(34),CHAR(39)),$A37))),_xlfn.CONCAT("* REVIEW REQUIRED: compound-quote delimiter in Codebook Section on Sheet 1 row ",37,"; edit the input before running."),_xlfn.CONCAT("char ",TRIM($B37),"[doc_section] ",CHAR(96),CHAR(34),SUBSTITUTE(SUBSTITUTE(SUBSTITUTE(SUBSTITUTE(SUBSTITUTE(SUBSTITUTE($A37,CHAR(13)," "),CHAR(10)," "),CHAR(9)," "),CHAR(92),_xlfn.CONCAT(CHAR(92),CHAR(92))),"$",_xlfn.CONCAT(CHAR(92),"$")),CHAR(96),_xlfn.CONCAT(CHAR(92),CHAR(96))),CHAR(34),CHAR(39))))</f>
        <v/>
      </c>
      <c r="M37" s="5" t="str">
        <f>IF(OR(TRIM($B37)="",$C37=""),"",IF(IFERROR(MATCH(TRIM($C37),{"Quantitative","Continuous","Discrete","Categorical","Nominal","Ordinal","Identifier"},0),0)=0,_xlfn.CONCAT("* REVIEW REQUIRED: invalid Variable Type on Sheet 1 row ",37,"."),_xlfn.CONCAT("char ",TRIM($B37),"[doc_vartype] ",CHAR(96),CHAR(34),SUBSTITUTE(SUBSTITUTE(SUBSTITUTE(SUBSTITUTE(SUBSTITUTE(SUBSTITUTE(LOWER(TRIM($C37)),CHAR(13)," "),CHAR(10)," "),CHAR(9)," "),CHAR(92),_xlfn.CONCAT(CHAR(92),CHAR(92))),"$",_xlfn.CONCAT(CHAR(92),"$")),CHAR(96),_xlfn.CONCAT(CHAR(92),CHAR(96))),CHAR(34),CHAR(39))))</f>
        <v/>
      </c>
      <c r="N37" s="5" t="str">
        <f>IF(OR(TRIM($B37)="",$D37=""),"",IF(OR(ISNUMBER(SEARCH(_xlfn.CONCAT(CHAR(96),CHAR(34)),$D37)),ISNUMBER(SEARCH(_xlfn.CONCAT(CHAR(34),CHAR(39)),$D37))),_xlfn.CONCAT("* REVIEW REQUIRED: compound-quote delimiter in Item Number on Sheet 1 row ",37,"; edit the input before running."),_xlfn.CONCAT("char ",TRIM($B37),"[doc_itemnum] ",CHAR(96),CHAR(34),SUBSTITUTE(SUBSTITUTE(SUBSTITUTE(SUBSTITUTE(SUBSTITUTE(SUBSTITUTE($D37,CHAR(13)," "),CHAR(10)," "),CHAR(9)," "),CHAR(92),_xlfn.CONCAT(CHAR(92),CHAR(92))),"$",_xlfn.CONCAT(CHAR(92),"$")),CHAR(96),_xlfn.CONCAT(CHAR(92),CHAR(96))),CHAR(34),CHAR(39))))</f>
        <v/>
      </c>
      <c r="O37" s="5" t="str">
        <f>IF(OR(TRIM($B37)="",$E37=""),"",IF(OR(ISNUMBER(SEARCH(_xlfn.CONCAT(CHAR(96),CHAR(34)),$E37)),ISNUMBER(SEARCH(_xlfn.CONCAT(CHAR(34),CHAR(39)),$E37))),_xlfn.CONCAT("* REVIEW REQUIRED: compound-quote delimiter in Question Wording on Sheet 1 row ",37,"; edit the input before running."),_xlfn.CONCAT("char ",TRIM($B37),"[doc_question] ",CHAR(96),CHAR(34),SUBSTITUTE(SUBSTITUTE(SUBSTITUTE(SUBSTITUTE(SUBSTITUTE(SUBSTITUTE($E37,CHAR(13)," "),CHAR(10)," "),CHAR(9)," "),CHAR(92),_xlfn.CONCAT(CHAR(92),CHAR(92))),"$",_xlfn.CONCAT(CHAR(92),"$")),CHAR(96),_xlfn.CONCAT(CHAR(92),CHAR(96))),CHAR(34),CHAR(39))))</f>
        <v/>
      </c>
      <c r="P37" s="5" t="str">
        <f>IF(OR(TRIM($B37)="",$F37=""),"",IF(OR(ISNUMBER(SEARCH(_xlfn.CONCAT(CHAR(96),CHAR(34)),$F37)),ISNUMBER(SEARCH(_xlfn.CONCAT(CHAR(34),CHAR(39)),$F37))),_xlfn.CONCAT("* REVIEW REQUIRED: compound-quote delimiter in Units on Sheet 1 row ",37,"; edit the input before running."),_xlfn.CONCAT("char ",TRIM($B37),"[doc_units] ",CHAR(96),CHAR(34),SUBSTITUTE(SUBSTITUTE(SUBSTITUTE(SUBSTITUTE(SUBSTITUTE(SUBSTITUTE($F37,CHAR(13)," "),CHAR(10)," "),CHAR(9)," "),CHAR(92),_xlfn.CONCAT(CHAR(92),CHAR(92))),"$",_xlfn.CONCAT(CHAR(92),"$")),CHAR(96),_xlfn.CONCAT(CHAR(92),CHAR(96))),CHAR(34),CHAR(39))))</f>
        <v/>
      </c>
      <c r="Q37" s="5" t="str">
        <f>IF(OR(TRIM($B37)="",$G37=""),"",IF(OR(ISNUMBER(SEARCH(_xlfn.CONCAT(CHAR(96),CHAR(34)),$G37)),ISNUMBER(SEARCH(_xlfn.CONCAT(CHAR(34),CHAR(39)),$G37))),_xlfn.CONCAT("* REVIEW REQUIRED: compound-quote delimiter in Universe on Sheet 1 row ",37,"; edit the input before running."),_xlfn.CONCAT("char ",TRIM($B37),"[doc_universe] ",CHAR(96),CHAR(34),SUBSTITUTE(SUBSTITUTE(SUBSTITUTE(SUBSTITUTE(SUBSTITUTE(SUBSTITUTE($G37,CHAR(13)," "),CHAR(10)," "),CHAR(9)," "),CHAR(92),_xlfn.CONCAT(CHAR(92),CHAR(92))),"$",_xlfn.CONCAT(CHAR(92),"$")),CHAR(96),_xlfn.CONCAT(CHAR(92),CHAR(96))),CHAR(34),CHAR(39))))</f>
        <v/>
      </c>
      <c r="R37" s="5" t="str">
        <f>IF(OR(TRIM($B37)="",$H37=""),"",IF(OR(ISNUMBER(SEARCH(_xlfn.CONCAT(CHAR(96),CHAR(34)),$H37)),ISNUMBER(SEARCH(_xlfn.CONCAT(CHAR(34),CHAR(39)),$H37))),_xlfn.CONCAT("* REVIEW REQUIRED: compound-quote delimiter in Source on Sheet 1 row ",37,"; edit the input before running."),_xlfn.CONCAT("char ",TRIM($B37),"[doc_source] ",CHAR(96),CHAR(34),SUBSTITUTE(SUBSTITUTE(SUBSTITUTE(SUBSTITUTE(SUBSTITUTE(SUBSTITUTE($H37,CHAR(13)," "),CHAR(10)," "),CHAR(9)," "),CHAR(92),_xlfn.CONCAT(CHAR(92),CHAR(92))),"$",_xlfn.CONCAT(CHAR(92),"$")),CHAR(96),_xlfn.CONCAT(CHAR(92),CHAR(96))),CHAR(34),CHAR(39))))</f>
        <v/>
      </c>
      <c r="S37" s="5" t="str">
        <f>IF(OR(TRIM($B37)="",$I37=""),"",IF(OR(ISNUMBER(SEARCH(_xlfn.CONCAT(CHAR(96),CHAR(34)),$I37)),ISNUMBER(SEARCH(_xlfn.CONCAT(CHAR(34),CHAR(39)),$I37))),_xlfn.CONCAT("* REVIEW REQUIRED: compound-quote delimiter in Derivation on Sheet 1 row ",37,"; edit the input before running."),_xlfn.CONCAT("char ",TRIM($B37),"[doc_derivation] ",CHAR(96),CHAR(34),SUBSTITUTE(SUBSTITUTE(SUBSTITUTE(SUBSTITUTE(SUBSTITUTE(SUBSTITUTE($I37,CHAR(13)," "),CHAR(10)," "),CHAR(9)," "),CHAR(92),_xlfn.CONCAT(CHAR(92),CHAR(92))),"$",_xlfn.CONCAT(CHAR(92),"$")),CHAR(96),_xlfn.CONCAT(CHAR(92),CHAR(96))),CHAR(34),CHAR(39))))</f>
        <v/>
      </c>
      <c r="T37" s="5" t="str">
        <f>IF(OR(TRIM($B37)="",$J37=""),"",IF(OR(ISNUMBER(SEARCH(_xlfn.CONCAT(CHAR(96),CHAR(34)),$J37)),ISNUMBER(SEARCH(_xlfn.CONCAT(CHAR(34),CHAR(39)),$J37))),_xlfn.CONCAT("* REVIEW REQUIRED: compound-quote delimiter in Notes on Sheet 1 row ",37,"; edit the input before running."),_xlfn.CONCAT("char ",TRIM($B37),"[doc_notes] ",CHAR(96),CHAR(34),SUBSTITUTE(SUBSTITUTE(SUBSTITUTE(SUBSTITUTE(SUBSTITUTE(SUBSTITUTE($J37,CHAR(13)," "),CHAR(10)," "),CHAR(9)," "),CHAR(92),_xlfn.CONCAT(CHAR(92),CHAR(92))),"$",_xlfn.CONCAT(CHAR(92),"$")),CHAR(96),_xlfn.CONCAT(CHAR(92),CHAR(96))),CHAR(34),CHAR(39))))</f>
        <v/>
      </c>
      <c r="U37" s="5">
        <f t="shared" si="1"/>
        <v>0</v>
      </c>
    </row>
    <row r="38" spans="3:21" ht="30" customHeight="1" x14ac:dyDescent="0.2">
      <c r="C38" s="4"/>
      <c r="K38" s="5">
        <f t="shared" si="0"/>
        <v>0</v>
      </c>
      <c r="L38" s="5" t="str">
        <f>IF(OR(TRIM($B38)="",$A38=""),"",IF(OR(ISNUMBER(SEARCH(_xlfn.CONCAT(CHAR(96),CHAR(34)),$A38)),ISNUMBER(SEARCH(_xlfn.CONCAT(CHAR(34),CHAR(39)),$A38))),_xlfn.CONCAT("* REVIEW REQUIRED: compound-quote delimiter in Codebook Section on Sheet 1 row ",38,"; edit the input before running."),_xlfn.CONCAT("char ",TRIM($B38),"[doc_section] ",CHAR(96),CHAR(34),SUBSTITUTE(SUBSTITUTE(SUBSTITUTE(SUBSTITUTE(SUBSTITUTE(SUBSTITUTE($A38,CHAR(13)," "),CHAR(10)," "),CHAR(9)," "),CHAR(92),_xlfn.CONCAT(CHAR(92),CHAR(92))),"$",_xlfn.CONCAT(CHAR(92),"$")),CHAR(96),_xlfn.CONCAT(CHAR(92),CHAR(96))),CHAR(34),CHAR(39))))</f>
        <v/>
      </c>
      <c r="M38" s="5" t="str">
        <f>IF(OR(TRIM($B38)="",$C38=""),"",IF(IFERROR(MATCH(TRIM($C38),{"Quantitative","Continuous","Discrete","Categorical","Nominal","Ordinal","Identifier"},0),0)=0,_xlfn.CONCAT("* REVIEW REQUIRED: invalid Variable Type on Sheet 1 row ",38,"."),_xlfn.CONCAT("char ",TRIM($B38),"[doc_vartype] ",CHAR(96),CHAR(34),SUBSTITUTE(SUBSTITUTE(SUBSTITUTE(SUBSTITUTE(SUBSTITUTE(SUBSTITUTE(LOWER(TRIM($C38)),CHAR(13)," "),CHAR(10)," "),CHAR(9)," "),CHAR(92),_xlfn.CONCAT(CHAR(92),CHAR(92))),"$",_xlfn.CONCAT(CHAR(92),"$")),CHAR(96),_xlfn.CONCAT(CHAR(92),CHAR(96))),CHAR(34),CHAR(39))))</f>
        <v/>
      </c>
      <c r="N38" s="5" t="str">
        <f>IF(OR(TRIM($B38)="",$D38=""),"",IF(OR(ISNUMBER(SEARCH(_xlfn.CONCAT(CHAR(96),CHAR(34)),$D38)),ISNUMBER(SEARCH(_xlfn.CONCAT(CHAR(34),CHAR(39)),$D38))),_xlfn.CONCAT("* REVIEW REQUIRED: compound-quote delimiter in Item Number on Sheet 1 row ",38,"; edit the input before running."),_xlfn.CONCAT("char ",TRIM($B38),"[doc_itemnum] ",CHAR(96),CHAR(34),SUBSTITUTE(SUBSTITUTE(SUBSTITUTE(SUBSTITUTE(SUBSTITUTE(SUBSTITUTE($D38,CHAR(13)," "),CHAR(10)," "),CHAR(9)," "),CHAR(92),_xlfn.CONCAT(CHAR(92),CHAR(92))),"$",_xlfn.CONCAT(CHAR(92),"$")),CHAR(96),_xlfn.CONCAT(CHAR(92),CHAR(96))),CHAR(34),CHAR(39))))</f>
        <v/>
      </c>
      <c r="O38" s="5" t="str">
        <f>IF(OR(TRIM($B38)="",$E38=""),"",IF(OR(ISNUMBER(SEARCH(_xlfn.CONCAT(CHAR(96),CHAR(34)),$E38)),ISNUMBER(SEARCH(_xlfn.CONCAT(CHAR(34),CHAR(39)),$E38))),_xlfn.CONCAT("* REVIEW REQUIRED: compound-quote delimiter in Question Wording on Sheet 1 row ",38,"; edit the input before running."),_xlfn.CONCAT("char ",TRIM($B38),"[doc_question] ",CHAR(96),CHAR(34),SUBSTITUTE(SUBSTITUTE(SUBSTITUTE(SUBSTITUTE(SUBSTITUTE(SUBSTITUTE($E38,CHAR(13)," "),CHAR(10)," "),CHAR(9)," "),CHAR(92),_xlfn.CONCAT(CHAR(92),CHAR(92))),"$",_xlfn.CONCAT(CHAR(92),"$")),CHAR(96),_xlfn.CONCAT(CHAR(92),CHAR(96))),CHAR(34),CHAR(39))))</f>
        <v/>
      </c>
      <c r="P38" s="5" t="str">
        <f>IF(OR(TRIM($B38)="",$F38=""),"",IF(OR(ISNUMBER(SEARCH(_xlfn.CONCAT(CHAR(96),CHAR(34)),$F38)),ISNUMBER(SEARCH(_xlfn.CONCAT(CHAR(34),CHAR(39)),$F38))),_xlfn.CONCAT("* REVIEW REQUIRED: compound-quote delimiter in Units on Sheet 1 row ",38,"; edit the input before running."),_xlfn.CONCAT("char ",TRIM($B38),"[doc_units] ",CHAR(96),CHAR(34),SUBSTITUTE(SUBSTITUTE(SUBSTITUTE(SUBSTITUTE(SUBSTITUTE(SUBSTITUTE($F38,CHAR(13)," "),CHAR(10)," "),CHAR(9)," "),CHAR(92),_xlfn.CONCAT(CHAR(92),CHAR(92))),"$",_xlfn.CONCAT(CHAR(92),"$")),CHAR(96),_xlfn.CONCAT(CHAR(92),CHAR(96))),CHAR(34),CHAR(39))))</f>
        <v/>
      </c>
      <c r="Q38" s="5" t="str">
        <f>IF(OR(TRIM($B38)="",$G38=""),"",IF(OR(ISNUMBER(SEARCH(_xlfn.CONCAT(CHAR(96),CHAR(34)),$G38)),ISNUMBER(SEARCH(_xlfn.CONCAT(CHAR(34),CHAR(39)),$G38))),_xlfn.CONCAT("* REVIEW REQUIRED: compound-quote delimiter in Universe on Sheet 1 row ",38,"; edit the input before running."),_xlfn.CONCAT("char ",TRIM($B38),"[doc_universe] ",CHAR(96),CHAR(34),SUBSTITUTE(SUBSTITUTE(SUBSTITUTE(SUBSTITUTE(SUBSTITUTE(SUBSTITUTE($G38,CHAR(13)," "),CHAR(10)," "),CHAR(9)," "),CHAR(92),_xlfn.CONCAT(CHAR(92),CHAR(92))),"$",_xlfn.CONCAT(CHAR(92),"$")),CHAR(96),_xlfn.CONCAT(CHAR(92),CHAR(96))),CHAR(34),CHAR(39))))</f>
        <v/>
      </c>
      <c r="R38" s="5" t="str">
        <f>IF(OR(TRIM($B38)="",$H38=""),"",IF(OR(ISNUMBER(SEARCH(_xlfn.CONCAT(CHAR(96),CHAR(34)),$H38)),ISNUMBER(SEARCH(_xlfn.CONCAT(CHAR(34),CHAR(39)),$H38))),_xlfn.CONCAT("* REVIEW REQUIRED: compound-quote delimiter in Source on Sheet 1 row ",38,"; edit the input before running."),_xlfn.CONCAT("char ",TRIM($B38),"[doc_source] ",CHAR(96),CHAR(34),SUBSTITUTE(SUBSTITUTE(SUBSTITUTE(SUBSTITUTE(SUBSTITUTE(SUBSTITUTE($H38,CHAR(13)," "),CHAR(10)," "),CHAR(9)," "),CHAR(92),_xlfn.CONCAT(CHAR(92),CHAR(92))),"$",_xlfn.CONCAT(CHAR(92),"$")),CHAR(96),_xlfn.CONCAT(CHAR(92),CHAR(96))),CHAR(34),CHAR(39))))</f>
        <v/>
      </c>
      <c r="S38" s="5" t="str">
        <f>IF(OR(TRIM($B38)="",$I38=""),"",IF(OR(ISNUMBER(SEARCH(_xlfn.CONCAT(CHAR(96),CHAR(34)),$I38)),ISNUMBER(SEARCH(_xlfn.CONCAT(CHAR(34),CHAR(39)),$I38))),_xlfn.CONCAT("* REVIEW REQUIRED: compound-quote delimiter in Derivation on Sheet 1 row ",38,"; edit the input before running."),_xlfn.CONCAT("char ",TRIM($B38),"[doc_derivation] ",CHAR(96),CHAR(34),SUBSTITUTE(SUBSTITUTE(SUBSTITUTE(SUBSTITUTE(SUBSTITUTE(SUBSTITUTE($I38,CHAR(13)," "),CHAR(10)," "),CHAR(9)," "),CHAR(92),_xlfn.CONCAT(CHAR(92),CHAR(92))),"$",_xlfn.CONCAT(CHAR(92),"$")),CHAR(96),_xlfn.CONCAT(CHAR(92),CHAR(96))),CHAR(34),CHAR(39))))</f>
        <v/>
      </c>
      <c r="T38" s="5" t="str">
        <f>IF(OR(TRIM($B38)="",$J38=""),"",IF(OR(ISNUMBER(SEARCH(_xlfn.CONCAT(CHAR(96),CHAR(34)),$J38)),ISNUMBER(SEARCH(_xlfn.CONCAT(CHAR(34),CHAR(39)),$J38))),_xlfn.CONCAT("* REVIEW REQUIRED: compound-quote delimiter in Notes on Sheet 1 row ",38,"; edit the input before running."),_xlfn.CONCAT("char ",TRIM($B38),"[doc_notes] ",CHAR(96),CHAR(34),SUBSTITUTE(SUBSTITUTE(SUBSTITUTE(SUBSTITUTE(SUBSTITUTE(SUBSTITUTE($J38,CHAR(13)," "),CHAR(10)," "),CHAR(9)," "),CHAR(92),_xlfn.CONCAT(CHAR(92),CHAR(92))),"$",_xlfn.CONCAT(CHAR(92),"$")),CHAR(96),_xlfn.CONCAT(CHAR(92),CHAR(96))),CHAR(34),CHAR(39))))</f>
        <v/>
      </c>
      <c r="U38" s="5">
        <f t="shared" si="1"/>
        <v>0</v>
      </c>
    </row>
    <row r="39" spans="3:21" ht="30" customHeight="1" x14ac:dyDescent="0.2">
      <c r="C39" s="4"/>
      <c r="K39" s="5">
        <f t="shared" si="0"/>
        <v>0</v>
      </c>
      <c r="L39" s="5" t="str">
        <f>IF(OR(TRIM($B39)="",$A39=""),"",IF(OR(ISNUMBER(SEARCH(_xlfn.CONCAT(CHAR(96),CHAR(34)),$A39)),ISNUMBER(SEARCH(_xlfn.CONCAT(CHAR(34),CHAR(39)),$A39))),_xlfn.CONCAT("* REVIEW REQUIRED: compound-quote delimiter in Codebook Section on Sheet 1 row ",39,"; edit the input before running."),_xlfn.CONCAT("char ",TRIM($B39),"[doc_section] ",CHAR(96),CHAR(34),SUBSTITUTE(SUBSTITUTE(SUBSTITUTE(SUBSTITUTE(SUBSTITUTE(SUBSTITUTE($A39,CHAR(13)," "),CHAR(10)," "),CHAR(9)," "),CHAR(92),_xlfn.CONCAT(CHAR(92),CHAR(92))),"$",_xlfn.CONCAT(CHAR(92),"$")),CHAR(96),_xlfn.CONCAT(CHAR(92),CHAR(96))),CHAR(34),CHAR(39))))</f>
        <v/>
      </c>
      <c r="M39" s="5" t="str">
        <f>IF(OR(TRIM($B39)="",$C39=""),"",IF(IFERROR(MATCH(TRIM($C39),{"Quantitative","Continuous","Discrete","Categorical","Nominal","Ordinal","Identifier"},0),0)=0,_xlfn.CONCAT("* REVIEW REQUIRED: invalid Variable Type on Sheet 1 row ",39,"."),_xlfn.CONCAT("char ",TRIM($B39),"[doc_vartype] ",CHAR(96),CHAR(34),SUBSTITUTE(SUBSTITUTE(SUBSTITUTE(SUBSTITUTE(SUBSTITUTE(SUBSTITUTE(LOWER(TRIM($C39)),CHAR(13)," "),CHAR(10)," "),CHAR(9)," "),CHAR(92),_xlfn.CONCAT(CHAR(92),CHAR(92))),"$",_xlfn.CONCAT(CHAR(92),"$")),CHAR(96),_xlfn.CONCAT(CHAR(92),CHAR(96))),CHAR(34),CHAR(39))))</f>
        <v/>
      </c>
      <c r="N39" s="5" t="str">
        <f>IF(OR(TRIM($B39)="",$D39=""),"",IF(OR(ISNUMBER(SEARCH(_xlfn.CONCAT(CHAR(96),CHAR(34)),$D39)),ISNUMBER(SEARCH(_xlfn.CONCAT(CHAR(34),CHAR(39)),$D39))),_xlfn.CONCAT("* REVIEW REQUIRED: compound-quote delimiter in Item Number on Sheet 1 row ",39,"; edit the input before running."),_xlfn.CONCAT("char ",TRIM($B39),"[doc_itemnum] ",CHAR(96),CHAR(34),SUBSTITUTE(SUBSTITUTE(SUBSTITUTE(SUBSTITUTE(SUBSTITUTE(SUBSTITUTE($D39,CHAR(13)," "),CHAR(10)," "),CHAR(9)," "),CHAR(92),_xlfn.CONCAT(CHAR(92),CHAR(92))),"$",_xlfn.CONCAT(CHAR(92),"$")),CHAR(96),_xlfn.CONCAT(CHAR(92),CHAR(96))),CHAR(34),CHAR(39))))</f>
        <v/>
      </c>
      <c r="O39" s="5" t="str">
        <f>IF(OR(TRIM($B39)="",$E39=""),"",IF(OR(ISNUMBER(SEARCH(_xlfn.CONCAT(CHAR(96),CHAR(34)),$E39)),ISNUMBER(SEARCH(_xlfn.CONCAT(CHAR(34),CHAR(39)),$E39))),_xlfn.CONCAT("* REVIEW REQUIRED: compound-quote delimiter in Question Wording on Sheet 1 row ",39,"; edit the input before running."),_xlfn.CONCAT("char ",TRIM($B39),"[doc_question] ",CHAR(96),CHAR(34),SUBSTITUTE(SUBSTITUTE(SUBSTITUTE(SUBSTITUTE(SUBSTITUTE(SUBSTITUTE($E39,CHAR(13)," "),CHAR(10)," "),CHAR(9)," "),CHAR(92),_xlfn.CONCAT(CHAR(92),CHAR(92))),"$",_xlfn.CONCAT(CHAR(92),"$")),CHAR(96),_xlfn.CONCAT(CHAR(92),CHAR(96))),CHAR(34),CHAR(39))))</f>
        <v/>
      </c>
      <c r="P39" s="5" t="str">
        <f>IF(OR(TRIM($B39)="",$F39=""),"",IF(OR(ISNUMBER(SEARCH(_xlfn.CONCAT(CHAR(96),CHAR(34)),$F39)),ISNUMBER(SEARCH(_xlfn.CONCAT(CHAR(34),CHAR(39)),$F39))),_xlfn.CONCAT("* REVIEW REQUIRED: compound-quote delimiter in Units on Sheet 1 row ",39,"; edit the input before running."),_xlfn.CONCAT("char ",TRIM($B39),"[doc_units] ",CHAR(96),CHAR(34),SUBSTITUTE(SUBSTITUTE(SUBSTITUTE(SUBSTITUTE(SUBSTITUTE(SUBSTITUTE($F39,CHAR(13)," "),CHAR(10)," "),CHAR(9)," "),CHAR(92),_xlfn.CONCAT(CHAR(92),CHAR(92))),"$",_xlfn.CONCAT(CHAR(92),"$")),CHAR(96),_xlfn.CONCAT(CHAR(92),CHAR(96))),CHAR(34),CHAR(39))))</f>
        <v/>
      </c>
      <c r="Q39" s="5" t="str">
        <f>IF(OR(TRIM($B39)="",$G39=""),"",IF(OR(ISNUMBER(SEARCH(_xlfn.CONCAT(CHAR(96),CHAR(34)),$G39)),ISNUMBER(SEARCH(_xlfn.CONCAT(CHAR(34),CHAR(39)),$G39))),_xlfn.CONCAT("* REVIEW REQUIRED: compound-quote delimiter in Universe on Sheet 1 row ",39,"; edit the input before running."),_xlfn.CONCAT("char ",TRIM($B39),"[doc_universe] ",CHAR(96),CHAR(34),SUBSTITUTE(SUBSTITUTE(SUBSTITUTE(SUBSTITUTE(SUBSTITUTE(SUBSTITUTE($G39,CHAR(13)," "),CHAR(10)," "),CHAR(9)," "),CHAR(92),_xlfn.CONCAT(CHAR(92),CHAR(92))),"$",_xlfn.CONCAT(CHAR(92),"$")),CHAR(96),_xlfn.CONCAT(CHAR(92),CHAR(96))),CHAR(34),CHAR(39))))</f>
        <v/>
      </c>
      <c r="R39" s="5" t="str">
        <f>IF(OR(TRIM($B39)="",$H39=""),"",IF(OR(ISNUMBER(SEARCH(_xlfn.CONCAT(CHAR(96),CHAR(34)),$H39)),ISNUMBER(SEARCH(_xlfn.CONCAT(CHAR(34),CHAR(39)),$H39))),_xlfn.CONCAT("* REVIEW REQUIRED: compound-quote delimiter in Source on Sheet 1 row ",39,"; edit the input before running."),_xlfn.CONCAT("char ",TRIM($B39),"[doc_source] ",CHAR(96),CHAR(34),SUBSTITUTE(SUBSTITUTE(SUBSTITUTE(SUBSTITUTE(SUBSTITUTE(SUBSTITUTE($H39,CHAR(13)," "),CHAR(10)," "),CHAR(9)," "),CHAR(92),_xlfn.CONCAT(CHAR(92),CHAR(92))),"$",_xlfn.CONCAT(CHAR(92),"$")),CHAR(96),_xlfn.CONCAT(CHAR(92),CHAR(96))),CHAR(34),CHAR(39))))</f>
        <v/>
      </c>
      <c r="S39" s="5" t="str">
        <f>IF(OR(TRIM($B39)="",$I39=""),"",IF(OR(ISNUMBER(SEARCH(_xlfn.CONCAT(CHAR(96),CHAR(34)),$I39)),ISNUMBER(SEARCH(_xlfn.CONCAT(CHAR(34),CHAR(39)),$I39))),_xlfn.CONCAT("* REVIEW REQUIRED: compound-quote delimiter in Derivation on Sheet 1 row ",39,"; edit the input before running."),_xlfn.CONCAT("char ",TRIM($B39),"[doc_derivation] ",CHAR(96),CHAR(34),SUBSTITUTE(SUBSTITUTE(SUBSTITUTE(SUBSTITUTE(SUBSTITUTE(SUBSTITUTE($I39,CHAR(13)," "),CHAR(10)," "),CHAR(9)," "),CHAR(92),_xlfn.CONCAT(CHAR(92),CHAR(92))),"$",_xlfn.CONCAT(CHAR(92),"$")),CHAR(96),_xlfn.CONCAT(CHAR(92),CHAR(96))),CHAR(34),CHAR(39))))</f>
        <v/>
      </c>
      <c r="T39" s="5" t="str">
        <f>IF(OR(TRIM($B39)="",$J39=""),"",IF(OR(ISNUMBER(SEARCH(_xlfn.CONCAT(CHAR(96),CHAR(34)),$J39)),ISNUMBER(SEARCH(_xlfn.CONCAT(CHAR(34),CHAR(39)),$J39))),_xlfn.CONCAT("* REVIEW REQUIRED: compound-quote delimiter in Notes on Sheet 1 row ",39,"; edit the input before running."),_xlfn.CONCAT("char ",TRIM($B39),"[doc_notes] ",CHAR(96),CHAR(34),SUBSTITUTE(SUBSTITUTE(SUBSTITUTE(SUBSTITUTE(SUBSTITUTE(SUBSTITUTE($J39,CHAR(13)," "),CHAR(10)," "),CHAR(9)," "),CHAR(92),_xlfn.CONCAT(CHAR(92),CHAR(92))),"$",_xlfn.CONCAT(CHAR(92),"$")),CHAR(96),_xlfn.CONCAT(CHAR(92),CHAR(96))),CHAR(34),CHAR(39))))</f>
        <v/>
      </c>
      <c r="U39" s="5">
        <f t="shared" si="1"/>
        <v>0</v>
      </c>
    </row>
    <row r="40" spans="3:21" ht="30" customHeight="1" x14ac:dyDescent="0.2">
      <c r="C40" s="4"/>
      <c r="K40" s="5">
        <f t="shared" si="0"/>
        <v>0</v>
      </c>
      <c r="L40" s="5" t="str">
        <f>IF(OR(TRIM($B40)="",$A40=""),"",IF(OR(ISNUMBER(SEARCH(_xlfn.CONCAT(CHAR(96),CHAR(34)),$A40)),ISNUMBER(SEARCH(_xlfn.CONCAT(CHAR(34),CHAR(39)),$A40))),_xlfn.CONCAT("* REVIEW REQUIRED: compound-quote delimiter in Codebook Section on Sheet 1 row ",40,"; edit the input before running."),_xlfn.CONCAT("char ",TRIM($B40),"[doc_section] ",CHAR(96),CHAR(34),SUBSTITUTE(SUBSTITUTE(SUBSTITUTE(SUBSTITUTE(SUBSTITUTE(SUBSTITUTE($A40,CHAR(13)," "),CHAR(10)," "),CHAR(9)," "),CHAR(92),_xlfn.CONCAT(CHAR(92),CHAR(92))),"$",_xlfn.CONCAT(CHAR(92),"$")),CHAR(96),_xlfn.CONCAT(CHAR(92),CHAR(96))),CHAR(34),CHAR(39))))</f>
        <v/>
      </c>
      <c r="M40" s="5" t="str">
        <f>IF(OR(TRIM($B40)="",$C40=""),"",IF(IFERROR(MATCH(TRIM($C40),{"Quantitative","Continuous","Discrete","Categorical","Nominal","Ordinal","Identifier"},0),0)=0,_xlfn.CONCAT("* REVIEW REQUIRED: invalid Variable Type on Sheet 1 row ",40,"."),_xlfn.CONCAT("char ",TRIM($B40),"[doc_vartype] ",CHAR(96),CHAR(34),SUBSTITUTE(SUBSTITUTE(SUBSTITUTE(SUBSTITUTE(SUBSTITUTE(SUBSTITUTE(LOWER(TRIM($C40)),CHAR(13)," "),CHAR(10)," "),CHAR(9)," "),CHAR(92),_xlfn.CONCAT(CHAR(92),CHAR(92))),"$",_xlfn.CONCAT(CHAR(92),"$")),CHAR(96),_xlfn.CONCAT(CHAR(92),CHAR(96))),CHAR(34),CHAR(39))))</f>
        <v/>
      </c>
      <c r="N40" s="5" t="str">
        <f>IF(OR(TRIM($B40)="",$D40=""),"",IF(OR(ISNUMBER(SEARCH(_xlfn.CONCAT(CHAR(96),CHAR(34)),$D40)),ISNUMBER(SEARCH(_xlfn.CONCAT(CHAR(34),CHAR(39)),$D40))),_xlfn.CONCAT("* REVIEW REQUIRED: compound-quote delimiter in Item Number on Sheet 1 row ",40,"; edit the input before running."),_xlfn.CONCAT("char ",TRIM($B40),"[doc_itemnum] ",CHAR(96),CHAR(34),SUBSTITUTE(SUBSTITUTE(SUBSTITUTE(SUBSTITUTE(SUBSTITUTE(SUBSTITUTE($D40,CHAR(13)," "),CHAR(10)," "),CHAR(9)," "),CHAR(92),_xlfn.CONCAT(CHAR(92),CHAR(92))),"$",_xlfn.CONCAT(CHAR(92),"$")),CHAR(96),_xlfn.CONCAT(CHAR(92),CHAR(96))),CHAR(34),CHAR(39))))</f>
        <v/>
      </c>
      <c r="O40" s="5" t="str">
        <f>IF(OR(TRIM($B40)="",$E40=""),"",IF(OR(ISNUMBER(SEARCH(_xlfn.CONCAT(CHAR(96),CHAR(34)),$E40)),ISNUMBER(SEARCH(_xlfn.CONCAT(CHAR(34),CHAR(39)),$E40))),_xlfn.CONCAT("* REVIEW REQUIRED: compound-quote delimiter in Question Wording on Sheet 1 row ",40,"; edit the input before running."),_xlfn.CONCAT("char ",TRIM($B40),"[doc_question] ",CHAR(96),CHAR(34),SUBSTITUTE(SUBSTITUTE(SUBSTITUTE(SUBSTITUTE(SUBSTITUTE(SUBSTITUTE($E40,CHAR(13)," "),CHAR(10)," "),CHAR(9)," "),CHAR(92),_xlfn.CONCAT(CHAR(92),CHAR(92))),"$",_xlfn.CONCAT(CHAR(92),"$")),CHAR(96),_xlfn.CONCAT(CHAR(92),CHAR(96))),CHAR(34),CHAR(39))))</f>
        <v/>
      </c>
      <c r="P40" s="5" t="str">
        <f>IF(OR(TRIM($B40)="",$F40=""),"",IF(OR(ISNUMBER(SEARCH(_xlfn.CONCAT(CHAR(96),CHAR(34)),$F40)),ISNUMBER(SEARCH(_xlfn.CONCAT(CHAR(34),CHAR(39)),$F40))),_xlfn.CONCAT("* REVIEW REQUIRED: compound-quote delimiter in Units on Sheet 1 row ",40,"; edit the input before running."),_xlfn.CONCAT("char ",TRIM($B40),"[doc_units] ",CHAR(96),CHAR(34),SUBSTITUTE(SUBSTITUTE(SUBSTITUTE(SUBSTITUTE(SUBSTITUTE(SUBSTITUTE($F40,CHAR(13)," "),CHAR(10)," "),CHAR(9)," "),CHAR(92),_xlfn.CONCAT(CHAR(92),CHAR(92))),"$",_xlfn.CONCAT(CHAR(92),"$")),CHAR(96),_xlfn.CONCAT(CHAR(92),CHAR(96))),CHAR(34),CHAR(39))))</f>
        <v/>
      </c>
      <c r="Q40" s="5" t="str">
        <f>IF(OR(TRIM($B40)="",$G40=""),"",IF(OR(ISNUMBER(SEARCH(_xlfn.CONCAT(CHAR(96),CHAR(34)),$G40)),ISNUMBER(SEARCH(_xlfn.CONCAT(CHAR(34),CHAR(39)),$G40))),_xlfn.CONCAT("* REVIEW REQUIRED: compound-quote delimiter in Universe on Sheet 1 row ",40,"; edit the input before running."),_xlfn.CONCAT("char ",TRIM($B40),"[doc_universe] ",CHAR(96),CHAR(34),SUBSTITUTE(SUBSTITUTE(SUBSTITUTE(SUBSTITUTE(SUBSTITUTE(SUBSTITUTE($G40,CHAR(13)," "),CHAR(10)," "),CHAR(9)," "),CHAR(92),_xlfn.CONCAT(CHAR(92),CHAR(92))),"$",_xlfn.CONCAT(CHAR(92),"$")),CHAR(96),_xlfn.CONCAT(CHAR(92),CHAR(96))),CHAR(34),CHAR(39))))</f>
        <v/>
      </c>
      <c r="R40" s="5" t="str">
        <f>IF(OR(TRIM($B40)="",$H40=""),"",IF(OR(ISNUMBER(SEARCH(_xlfn.CONCAT(CHAR(96),CHAR(34)),$H40)),ISNUMBER(SEARCH(_xlfn.CONCAT(CHAR(34),CHAR(39)),$H40))),_xlfn.CONCAT("* REVIEW REQUIRED: compound-quote delimiter in Source on Sheet 1 row ",40,"; edit the input before running."),_xlfn.CONCAT("char ",TRIM($B40),"[doc_source] ",CHAR(96),CHAR(34),SUBSTITUTE(SUBSTITUTE(SUBSTITUTE(SUBSTITUTE(SUBSTITUTE(SUBSTITUTE($H40,CHAR(13)," "),CHAR(10)," "),CHAR(9)," "),CHAR(92),_xlfn.CONCAT(CHAR(92),CHAR(92))),"$",_xlfn.CONCAT(CHAR(92),"$")),CHAR(96),_xlfn.CONCAT(CHAR(92),CHAR(96))),CHAR(34),CHAR(39))))</f>
        <v/>
      </c>
      <c r="S40" s="5" t="str">
        <f>IF(OR(TRIM($B40)="",$I40=""),"",IF(OR(ISNUMBER(SEARCH(_xlfn.CONCAT(CHAR(96),CHAR(34)),$I40)),ISNUMBER(SEARCH(_xlfn.CONCAT(CHAR(34),CHAR(39)),$I40))),_xlfn.CONCAT("* REVIEW REQUIRED: compound-quote delimiter in Derivation on Sheet 1 row ",40,"; edit the input before running."),_xlfn.CONCAT("char ",TRIM($B40),"[doc_derivation] ",CHAR(96),CHAR(34),SUBSTITUTE(SUBSTITUTE(SUBSTITUTE(SUBSTITUTE(SUBSTITUTE(SUBSTITUTE($I40,CHAR(13)," "),CHAR(10)," "),CHAR(9)," "),CHAR(92),_xlfn.CONCAT(CHAR(92),CHAR(92))),"$",_xlfn.CONCAT(CHAR(92),"$")),CHAR(96),_xlfn.CONCAT(CHAR(92),CHAR(96))),CHAR(34),CHAR(39))))</f>
        <v/>
      </c>
      <c r="T40" s="5" t="str">
        <f>IF(OR(TRIM($B40)="",$J40=""),"",IF(OR(ISNUMBER(SEARCH(_xlfn.CONCAT(CHAR(96),CHAR(34)),$J40)),ISNUMBER(SEARCH(_xlfn.CONCAT(CHAR(34),CHAR(39)),$J40))),_xlfn.CONCAT("* REVIEW REQUIRED: compound-quote delimiter in Notes on Sheet 1 row ",40,"; edit the input before running."),_xlfn.CONCAT("char ",TRIM($B40),"[doc_notes] ",CHAR(96),CHAR(34),SUBSTITUTE(SUBSTITUTE(SUBSTITUTE(SUBSTITUTE(SUBSTITUTE(SUBSTITUTE($J40,CHAR(13)," "),CHAR(10)," "),CHAR(9)," "),CHAR(92),_xlfn.CONCAT(CHAR(92),CHAR(92))),"$",_xlfn.CONCAT(CHAR(92),"$")),CHAR(96),_xlfn.CONCAT(CHAR(92),CHAR(96))),CHAR(34),CHAR(39))))</f>
        <v/>
      </c>
      <c r="U40" s="5">
        <f t="shared" si="1"/>
        <v>0</v>
      </c>
    </row>
    <row r="41" spans="3:21" ht="30" customHeight="1" x14ac:dyDescent="0.2">
      <c r="C41" s="4"/>
      <c r="K41" s="5">
        <f t="shared" si="0"/>
        <v>0</v>
      </c>
      <c r="L41" s="5" t="str">
        <f>IF(OR(TRIM($B41)="",$A41=""),"",IF(OR(ISNUMBER(SEARCH(_xlfn.CONCAT(CHAR(96),CHAR(34)),$A41)),ISNUMBER(SEARCH(_xlfn.CONCAT(CHAR(34),CHAR(39)),$A41))),_xlfn.CONCAT("* REVIEW REQUIRED: compound-quote delimiter in Codebook Section on Sheet 1 row ",41,"; edit the input before running."),_xlfn.CONCAT("char ",TRIM($B41),"[doc_section] ",CHAR(96),CHAR(34),SUBSTITUTE(SUBSTITUTE(SUBSTITUTE(SUBSTITUTE(SUBSTITUTE(SUBSTITUTE($A41,CHAR(13)," "),CHAR(10)," "),CHAR(9)," "),CHAR(92),_xlfn.CONCAT(CHAR(92),CHAR(92))),"$",_xlfn.CONCAT(CHAR(92),"$")),CHAR(96),_xlfn.CONCAT(CHAR(92),CHAR(96))),CHAR(34),CHAR(39))))</f>
        <v/>
      </c>
      <c r="M41" s="5" t="str">
        <f>IF(OR(TRIM($B41)="",$C41=""),"",IF(IFERROR(MATCH(TRIM($C41),{"Quantitative","Continuous","Discrete","Categorical","Nominal","Ordinal","Identifier"},0),0)=0,_xlfn.CONCAT("* REVIEW REQUIRED: invalid Variable Type on Sheet 1 row ",41,"."),_xlfn.CONCAT("char ",TRIM($B41),"[doc_vartype] ",CHAR(96),CHAR(34),SUBSTITUTE(SUBSTITUTE(SUBSTITUTE(SUBSTITUTE(SUBSTITUTE(SUBSTITUTE(LOWER(TRIM($C41)),CHAR(13)," "),CHAR(10)," "),CHAR(9)," "),CHAR(92),_xlfn.CONCAT(CHAR(92),CHAR(92))),"$",_xlfn.CONCAT(CHAR(92),"$")),CHAR(96),_xlfn.CONCAT(CHAR(92),CHAR(96))),CHAR(34),CHAR(39))))</f>
        <v/>
      </c>
      <c r="N41" s="5" t="str">
        <f>IF(OR(TRIM($B41)="",$D41=""),"",IF(OR(ISNUMBER(SEARCH(_xlfn.CONCAT(CHAR(96),CHAR(34)),$D41)),ISNUMBER(SEARCH(_xlfn.CONCAT(CHAR(34),CHAR(39)),$D41))),_xlfn.CONCAT("* REVIEW REQUIRED: compound-quote delimiter in Item Number on Sheet 1 row ",41,"; edit the input before running."),_xlfn.CONCAT("char ",TRIM($B41),"[doc_itemnum] ",CHAR(96),CHAR(34),SUBSTITUTE(SUBSTITUTE(SUBSTITUTE(SUBSTITUTE(SUBSTITUTE(SUBSTITUTE($D41,CHAR(13)," "),CHAR(10)," "),CHAR(9)," "),CHAR(92),_xlfn.CONCAT(CHAR(92),CHAR(92))),"$",_xlfn.CONCAT(CHAR(92),"$")),CHAR(96),_xlfn.CONCAT(CHAR(92),CHAR(96))),CHAR(34),CHAR(39))))</f>
        <v/>
      </c>
      <c r="O41" s="5" t="str">
        <f>IF(OR(TRIM($B41)="",$E41=""),"",IF(OR(ISNUMBER(SEARCH(_xlfn.CONCAT(CHAR(96),CHAR(34)),$E41)),ISNUMBER(SEARCH(_xlfn.CONCAT(CHAR(34),CHAR(39)),$E41))),_xlfn.CONCAT("* REVIEW REQUIRED: compound-quote delimiter in Question Wording on Sheet 1 row ",41,"; edit the input before running."),_xlfn.CONCAT("char ",TRIM($B41),"[doc_question] ",CHAR(96),CHAR(34),SUBSTITUTE(SUBSTITUTE(SUBSTITUTE(SUBSTITUTE(SUBSTITUTE(SUBSTITUTE($E41,CHAR(13)," "),CHAR(10)," "),CHAR(9)," "),CHAR(92),_xlfn.CONCAT(CHAR(92),CHAR(92))),"$",_xlfn.CONCAT(CHAR(92),"$")),CHAR(96),_xlfn.CONCAT(CHAR(92),CHAR(96))),CHAR(34),CHAR(39))))</f>
        <v/>
      </c>
      <c r="P41" s="5" t="str">
        <f>IF(OR(TRIM($B41)="",$F41=""),"",IF(OR(ISNUMBER(SEARCH(_xlfn.CONCAT(CHAR(96),CHAR(34)),$F41)),ISNUMBER(SEARCH(_xlfn.CONCAT(CHAR(34),CHAR(39)),$F41))),_xlfn.CONCAT("* REVIEW REQUIRED: compound-quote delimiter in Units on Sheet 1 row ",41,"; edit the input before running."),_xlfn.CONCAT("char ",TRIM($B41),"[doc_units] ",CHAR(96),CHAR(34),SUBSTITUTE(SUBSTITUTE(SUBSTITUTE(SUBSTITUTE(SUBSTITUTE(SUBSTITUTE($F41,CHAR(13)," "),CHAR(10)," "),CHAR(9)," "),CHAR(92),_xlfn.CONCAT(CHAR(92),CHAR(92))),"$",_xlfn.CONCAT(CHAR(92),"$")),CHAR(96),_xlfn.CONCAT(CHAR(92),CHAR(96))),CHAR(34),CHAR(39))))</f>
        <v/>
      </c>
      <c r="Q41" s="5" t="str">
        <f>IF(OR(TRIM($B41)="",$G41=""),"",IF(OR(ISNUMBER(SEARCH(_xlfn.CONCAT(CHAR(96),CHAR(34)),$G41)),ISNUMBER(SEARCH(_xlfn.CONCAT(CHAR(34),CHAR(39)),$G41))),_xlfn.CONCAT("* REVIEW REQUIRED: compound-quote delimiter in Universe on Sheet 1 row ",41,"; edit the input before running."),_xlfn.CONCAT("char ",TRIM($B41),"[doc_universe] ",CHAR(96),CHAR(34),SUBSTITUTE(SUBSTITUTE(SUBSTITUTE(SUBSTITUTE(SUBSTITUTE(SUBSTITUTE($G41,CHAR(13)," "),CHAR(10)," "),CHAR(9)," "),CHAR(92),_xlfn.CONCAT(CHAR(92),CHAR(92))),"$",_xlfn.CONCAT(CHAR(92),"$")),CHAR(96),_xlfn.CONCAT(CHAR(92),CHAR(96))),CHAR(34),CHAR(39))))</f>
        <v/>
      </c>
      <c r="R41" s="5" t="str">
        <f>IF(OR(TRIM($B41)="",$H41=""),"",IF(OR(ISNUMBER(SEARCH(_xlfn.CONCAT(CHAR(96),CHAR(34)),$H41)),ISNUMBER(SEARCH(_xlfn.CONCAT(CHAR(34),CHAR(39)),$H41))),_xlfn.CONCAT("* REVIEW REQUIRED: compound-quote delimiter in Source on Sheet 1 row ",41,"; edit the input before running."),_xlfn.CONCAT("char ",TRIM($B41),"[doc_source] ",CHAR(96),CHAR(34),SUBSTITUTE(SUBSTITUTE(SUBSTITUTE(SUBSTITUTE(SUBSTITUTE(SUBSTITUTE($H41,CHAR(13)," "),CHAR(10)," "),CHAR(9)," "),CHAR(92),_xlfn.CONCAT(CHAR(92),CHAR(92))),"$",_xlfn.CONCAT(CHAR(92),"$")),CHAR(96),_xlfn.CONCAT(CHAR(92),CHAR(96))),CHAR(34),CHAR(39))))</f>
        <v/>
      </c>
      <c r="S41" s="5" t="str">
        <f>IF(OR(TRIM($B41)="",$I41=""),"",IF(OR(ISNUMBER(SEARCH(_xlfn.CONCAT(CHAR(96),CHAR(34)),$I41)),ISNUMBER(SEARCH(_xlfn.CONCAT(CHAR(34),CHAR(39)),$I41))),_xlfn.CONCAT("* REVIEW REQUIRED: compound-quote delimiter in Derivation on Sheet 1 row ",41,"; edit the input before running."),_xlfn.CONCAT("char ",TRIM($B41),"[doc_derivation] ",CHAR(96),CHAR(34),SUBSTITUTE(SUBSTITUTE(SUBSTITUTE(SUBSTITUTE(SUBSTITUTE(SUBSTITUTE($I41,CHAR(13)," "),CHAR(10)," "),CHAR(9)," "),CHAR(92),_xlfn.CONCAT(CHAR(92),CHAR(92))),"$",_xlfn.CONCAT(CHAR(92),"$")),CHAR(96),_xlfn.CONCAT(CHAR(92),CHAR(96))),CHAR(34),CHAR(39))))</f>
        <v/>
      </c>
      <c r="T41" s="5" t="str">
        <f>IF(OR(TRIM($B41)="",$J41=""),"",IF(OR(ISNUMBER(SEARCH(_xlfn.CONCAT(CHAR(96),CHAR(34)),$J41)),ISNUMBER(SEARCH(_xlfn.CONCAT(CHAR(34),CHAR(39)),$J41))),_xlfn.CONCAT("* REVIEW REQUIRED: compound-quote delimiter in Notes on Sheet 1 row ",41,"; edit the input before running."),_xlfn.CONCAT("char ",TRIM($B41),"[doc_notes] ",CHAR(96),CHAR(34),SUBSTITUTE(SUBSTITUTE(SUBSTITUTE(SUBSTITUTE(SUBSTITUTE(SUBSTITUTE($J41,CHAR(13)," "),CHAR(10)," "),CHAR(9)," "),CHAR(92),_xlfn.CONCAT(CHAR(92),CHAR(92))),"$",_xlfn.CONCAT(CHAR(92),"$")),CHAR(96),_xlfn.CONCAT(CHAR(92),CHAR(96))),CHAR(34),CHAR(39))))</f>
        <v/>
      </c>
      <c r="U41" s="5">
        <f t="shared" si="1"/>
        <v>0</v>
      </c>
    </row>
    <row r="42" spans="3:21" ht="30" customHeight="1" x14ac:dyDescent="0.2">
      <c r="C42" s="4"/>
      <c r="K42" s="5">
        <f t="shared" si="0"/>
        <v>0</v>
      </c>
      <c r="L42" s="5" t="str">
        <f>IF(OR(TRIM($B42)="",$A42=""),"",IF(OR(ISNUMBER(SEARCH(_xlfn.CONCAT(CHAR(96),CHAR(34)),$A42)),ISNUMBER(SEARCH(_xlfn.CONCAT(CHAR(34),CHAR(39)),$A42))),_xlfn.CONCAT("* REVIEW REQUIRED: compound-quote delimiter in Codebook Section on Sheet 1 row ",42,"; edit the input before running."),_xlfn.CONCAT("char ",TRIM($B42),"[doc_section] ",CHAR(96),CHAR(34),SUBSTITUTE(SUBSTITUTE(SUBSTITUTE(SUBSTITUTE(SUBSTITUTE(SUBSTITUTE($A42,CHAR(13)," "),CHAR(10)," "),CHAR(9)," "),CHAR(92),_xlfn.CONCAT(CHAR(92),CHAR(92))),"$",_xlfn.CONCAT(CHAR(92),"$")),CHAR(96),_xlfn.CONCAT(CHAR(92),CHAR(96))),CHAR(34),CHAR(39))))</f>
        <v/>
      </c>
      <c r="M42" s="5" t="str">
        <f>IF(OR(TRIM($B42)="",$C42=""),"",IF(IFERROR(MATCH(TRIM($C42),{"Quantitative","Continuous","Discrete","Categorical","Nominal","Ordinal","Identifier"},0),0)=0,_xlfn.CONCAT("* REVIEW REQUIRED: invalid Variable Type on Sheet 1 row ",42,"."),_xlfn.CONCAT("char ",TRIM($B42),"[doc_vartype] ",CHAR(96),CHAR(34),SUBSTITUTE(SUBSTITUTE(SUBSTITUTE(SUBSTITUTE(SUBSTITUTE(SUBSTITUTE(LOWER(TRIM($C42)),CHAR(13)," "),CHAR(10)," "),CHAR(9)," "),CHAR(92),_xlfn.CONCAT(CHAR(92),CHAR(92))),"$",_xlfn.CONCAT(CHAR(92),"$")),CHAR(96),_xlfn.CONCAT(CHAR(92),CHAR(96))),CHAR(34),CHAR(39))))</f>
        <v/>
      </c>
      <c r="N42" s="5" t="str">
        <f>IF(OR(TRIM($B42)="",$D42=""),"",IF(OR(ISNUMBER(SEARCH(_xlfn.CONCAT(CHAR(96),CHAR(34)),$D42)),ISNUMBER(SEARCH(_xlfn.CONCAT(CHAR(34),CHAR(39)),$D42))),_xlfn.CONCAT("* REVIEW REQUIRED: compound-quote delimiter in Item Number on Sheet 1 row ",42,"; edit the input before running."),_xlfn.CONCAT("char ",TRIM($B42),"[doc_itemnum] ",CHAR(96),CHAR(34),SUBSTITUTE(SUBSTITUTE(SUBSTITUTE(SUBSTITUTE(SUBSTITUTE(SUBSTITUTE($D42,CHAR(13)," "),CHAR(10)," "),CHAR(9)," "),CHAR(92),_xlfn.CONCAT(CHAR(92),CHAR(92))),"$",_xlfn.CONCAT(CHAR(92),"$")),CHAR(96),_xlfn.CONCAT(CHAR(92),CHAR(96))),CHAR(34),CHAR(39))))</f>
        <v/>
      </c>
      <c r="O42" s="5" t="str">
        <f>IF(OR(TRIM($B42)="",$E42=""),"",IF(OR(ISNUMBER(SEARCH(_xlfn.CONCAT(CHAR(96),CHAR(34)),$E42)),ISNUMBER(SEARCH(_xlfn.CONCAT(CHAR(34),CHAR(39)),$E42))),_xlfn.CONCAT("* REVIEW REQUIRED: compound-quote delimiter in Question Wording on Sheet 1 row ",42,"; edit the input before running."),_xlfn.CONCAT("char ",TRIM($B42),"[doc_question] ",CHAR(96),CHAR(34),SUBSTITUTE(SUBSTITUTE(SUBSTITUTE(SUBSTITUTE(SUBSTITUTE(SUBSTITUTE($E42,CHAR(13)," "),CHAR(10)," "),CHAR(9)," "),CHAR(92),_xlfn.CONCAT(CHAR(92),CHAR(92))),"$",_xlfn.CONCAT(CHAR(92),"$")),CHAR(96),_xlfn.CONCAT(CHAR(92),CHAR(96))),CHAR(34),CHAR(39))))</f>
        <v/>
      </c>
      <c r="P42" s="5" t="str">
        <f>IF(OR(TRIM($B42)="",$F42=""),"",IF(OR(ISNUMBER(SEARCH(_xlfn.CONCAT(CHAR(96),CHAR(34)),$F42)),ISNUMBER(SEARCH(_xlfn.CONCAT(CHAR(34),CHAR(39)),$F42))),_xlfn.CONCAT("* REVIEW REQUIRED: compound-quote delimiter in Units on Sheet 1 row ",42,"; edit the input before running."),_xlfn.CONCAT("char ",TRIM($B42),"[doc_units] ",CHAR(96),CHAR(34),SUBSTITUTE(SUBSTITUTE(SUBSTITUTE(SUBSTITUTE(SUBSTITUTE(SUBSTITUTE($F42,CHAR(13)," "),CHAR(10)," "),CHAR(9)," "),CHAR(92),_xlfn.CONCAT(CHAR(92),CHAR(92))),"$",_xlfn.CONCAT(CHAR(92),"$")),CHAR(96),_xlfn.CONCAT(CHAR(92),CHAR(96))),CHAR(34),CHAR(39))))</f>
        <v/>
      </c>
      <c r="Q42" s="5" t="str">
        <f>IF(OR(TRIM($B42)="",$G42=""),"",IF(OR(ISNUMBER(SEARCH(_xlfn.CONCAT(CHAR(96),CHAR(34)),$G42)),ISNUMBER(SEARCH(_xlfn.CONCAT(CHAR(34),CHAR(39)),$G42))),_xlfn.CONCAT("* REVIEW REQUIRED: compound-quote delimiter in Universe on Sheet 1 row ",42,"; edit the input before running."),_xlfn.CONCAT("char ",TRIM($B42),"[doc_universe] ",CHAR(96),CHAR(34),SUBSTITUTE(SUBSTITUTE(SUBSTITUTE(SUBSTITUTE(SUBSTITUTE(SUBSTITUTE($G42,CHAR(13)," "),CHAR(10)," "),CHAR(9)," "),CHAR(92),_xlfn.CONCAT(CHAR(92),CHAR(92))),"$",_xlfn.CONCAT(CHAR(92),"$")),CHAR(96),_xlfn.CONCAT(CHAR(92),CHAR(96))),CHAR(34),CHAR(39))))</f>
        <v/>
      </c>
      <c r="R42" s="5" t="str">
        <f>IF(OR(TRIM($B42)="",$H42=""),"",IF(OR(ISNUMBER(SEARCH(_xlfn.CONCAT(CHAR(96),CHAR(34)),$H42)),ISNUMBER(SEARCH(_xlfn.CONCAT(CHAR(34),CHAR(39)),$H42))),_xlfn.CONCAT("* REVIEW REQUIRED: compound-quote delimiter in Source on Sheet 1 row ",42,"; edit the input before running."),_xlfn.CONCAT("char ",TRIM($B42),"[doc_source] ",CHAR(96),CHAR(34),SUBSTITUTE(SUBSTITUTE(SUBSTITUTE(SUBSTITUTE(SUBSTITUTE(SUBSTITUTE($H42,CHAR(13)," "),CHAR(10)," "),CHAR(9)," "),CHAR(92),_xlfn.CONCAT(CHAR(92),CHAR(92))),"$",_xlfn.CONCAT(CHAR(92),"$")),CHAR(96),_xlfn.CONCAT(CHAR(92),CHAR(96))),CHAR(34),CHAR(39))))</f>
        <v/>
      </c>
      <c r="S42" s="5" t="str">
        <f>IF(OR(TRIM($B42)="",$I42=""),"",IF(OR(ISNUMBER(SEARCH(_xlfn.CONCAT(CHAR(96),CHAR(34)),$I42)),ISNUMBER(SEARCH(_xlfn.CONCAT(CHAR(34),CHAR(39)),$I42))),_xlfn.CONCAT("* REVIEW REQUIRED: compound-quote delimiter in Derivation on Sheet 1 row ",42,"; edit the input before running."),_xlfn.CONCAT("char ",TRIM($B42),"[doc_derivation] ",CHAR(96),CHAR(34),SUBSTITUTE(SUBSTITUTE(SUBSTITUTE(SUBSTITUTE(SUBSTITUTE(SUBSTITUTE($I42,CHAR(13)," "),CHAR(10)," "),CHAR(9)," "),CHAR(92),_xlfn.CONCAT(CHAR(92),CHAR(92))),"$",_xlfn.CONCAT(CHAR(92),"$")),CHAR(96),_xlfn.CONCAT(CHAR(92),CHAR(96))),CHAR(34),CHAR(39))))</f>
        <v/>
      </c>
      <c r="T42" s="5" t="str">
        <f>IF(OR(TRIM($B42)="",$J42=""),"",IF(OR(ISNUMBER(SEARCH(_xlfn.CONCAT(CHAR(96),CHAR(34)),$J42)),ISNUMBER(SEARCH(_xlfn.CONCAT(CHAR(34),CHAR(39)),$J42))),_xlfn.CONCAT("* REVIEW REQUIRED: compound-quote delimiter in Notes on Sheet 1 row ",42,"; edit the input before running."),_xlfn.CONCAT("char ",TRIM($B42),"[doc_notes] ",CHAR(96),CHAR(34),SUBSTITUTE(SUBSTITUTE(SUBSTITUTE(SUBSTITUTE(SUBSTITUTE(SUBSTITUTE($J42,CHAR(13)," "),CHAR(10)," "),CHAR(9)," "),CHAR(92),_xlfn.CONCAT(CHAR(92),CHAR(92))),"$",_xlfn.CONCAT(CHAR(92),"$")),CHAR(96),_xlfn.CONCAT(CHAR(92),CHAR(96))),CHAR(34),CHAR(39))))</f>
        <v/>
      </c>
      <c r="U42" s="5">
        <f t="shared" si="1"/>
        <v>0</v>
      </c>
    </row>
    <row r="43" spans="3:21" ht="30" customHeight="1" x14ac:dyDescent="0.2">
      <c r="C43" s="4"/>
      <c r="K43" s="5">
        <f t="shared" si="0"/>
        <v>0</v>
      </c>
      <c r="L43" s="5" t="str">
        <f>IF(OR(TRIM($B43)="",$A43=""),"",IF(OR(ISNUMBER(SEARCH(_xlfn.CONCAT(CHAR(96),CHAR(34)),$A43)),ISNUMBER(SEARCH(_xlfn.CONCAT(CHAR(34),CHAR(39)),$A43))),_xlfn.CONCAT("* REVIEW REQUIRED: compound-quote delimiter in Codebook Section on Sheet 1 row ",43,"; edit the input before running."),_xlfn.CONCAT("char ",TRIM($B43),"[doc_section] ",CHAR(96),CHAR(34),SUBSTITUTE(SUBSTITUTE(SUBSTITUTE(SUBSTITUTE(SUBSTITUTE(SUBSTITUTE($A43,CHAR(13)," "),CHAR(10)," "),CHAR(9)," "),CHAR(92),_xlfn.CONCAT(CHAR(92),CHAR(92))),"$",_xlfn.CONCAT(CHAR(92),"$")),CHAR(96),_xlfn.CONCAT(CHAR(92),CHAR(96))),CHAR(34),CHAR(39))))</f>
        <v/>
      </c>
      <c r="M43" s="5" t="str">
        <f>IF(OR(TRIM($B43)="",$C43=""),"",IF(IFERROR(MATCH(TRIM($C43),{"Quantitative","Continuous","Discrete","Categorical","Nominal","Ordinal","Identifier"},0),0)=0,_xlfn.CONCAT("* REVIEW REQUIRED: invalid Variable Type on Sheet 1 row ",43,"."),_xlfn.CONCAT("char ",TRIM($B43),"[doc_vartype] ",CHAR(96),CHAR(34),SUBSTITUTE(SUBSTITUTE(SUBSTITUTE(SUBSTITUTE(SUBSTITUTE(SUBSTITUTE(LOWER(TRIM($C43)),CHAR(13)," "),CHAR(10)," "),CHAR(9)," "),CHAR(92),_xlfn.CONCAT(CHAR(92),CHAR(92))),"$",_xlfn.CONCAT(CHAR(92),"$")),CHAR(96),_xlfn.CONCAT(CHAR(92),CHAR(96))),CHAR(34),CHAR(39))))</f>
        <v/>
      </c>
      <c r="N43" s="5" t="str">
        <f>IF(OR(TRIM($B43)="",$D43=""),"",IF(OR(ISNUMBER(SEARCH(_xlfn.CONCAT(CHAR(96),CHAR(34)),$D43)),ISNUMBER(SEARCH(_xlfn.CONCAT(CHAR(34),CHAR(39)),$D43))),_xlfn.CONCAT("* REVIEW REQUIRED: compound-quote delimiter in Item Number on Sheet 1 row ",43,"; edit the input before running."),_xlfn.CONCAT("char ",TRIM($B43),"[doc_itemnum] ",CHAR(96),CHAR(34),SUBSTITUTE(SUBSTITUTE(SUBSTITUTE(SUBSTITUTE(SUBSTITUTE(SUBSTITUTE($D43,CHAR(13)," "),CHAR(10)," "),CHAR(9)," "),CHAR(92),_xlfn.CONCAT(CHAR(92),CHAR(92))),"$",_xlfn.CONCAT(CHAR(92),"$")),CHAR(96),_xlfn.CONCAT(CHAR(92),CHAR(96))),CHAR(34),CHAR(39))))</f>
        <v/>
      </c>
      <c r="O43" s="5" t="str">
        <f>IF(OR(TRIM($B43)="",$E43=""),"",IF(OR(ISNUMBER(SEARCH(_xlfn.CONCAT(CHAR(96),CHAR(34)),$E43)),ISNUMBER(SEARCH(_xlfn.CONCAT(CHAR(34),CHAR(39)),$E43))),_xlfn.CONCAT("* REVIEW REQUIRED: compound-quote delimiter in Question Wording on Sheet 1 row ",43,"; edit the input before running."),_xlfn.CONCAT("char ",TRIM($B43),"[doc_question] ",CHAR(96),CHAR(34),SUBSTITUTE(SUBSTITUTE(SUBSTITUTE(SUBSTITUTE(SUBSTITUTE(SUBSTITUTE($E43,CHAR(13)," "),CHAR(10)," "),CHAR(9)," "),CHAR(92),_xlfn.CONCAT(CHAR(92),CHAR(92))),"$",_xlfn.CONCAT(CHAR(92),"$")),CHAR(96),_xlfn.CONCAT(CHAR(92),CHAR(96))),CHAR(34),CHAR(39))))</f>
        <v/>
      </c>
      <c r="P43" s="5" t="str">
        <f>IF(OR(TRIM($B43)="",$F43=""),"",IF(OR(ISNUMBER(SEARCH(_xlfn.CONCAT(CHAR(96),CHAR(34)),$F43)),ISNUMBER(SEARCH(_xlfn.CONCAT(CHAR(34),CHAR(39)),$F43))),_xlfn.CONCAT("* REVIEW REQUIRED: compound-quote delimiter in Units on Sheet 1 row ",43,"; edit the input before running."),_xlfn.CONCAT("char ",TRIM($B43),"[doc_units] ",CHAR(96),CHAR(34),SUBSTITUTE(SUBSTITUTE(SUBSTITUTE(SUBSTITUTE(SUBSTITUTE(SUBSTITUTE($F43,CHAR(13)," "),CHAR(10)," "),CHAR(9)," "),CHAR(92),_xlfn.CONCAT(CHAR(92),CHAR(92))),"$",_xlfn.CONCAT(CHAR(92),"$")),CHAR(96),_xlfn.CONCAT(CHAR(92),CHAR(96))),CHAR(34),CHAR(39))))</f>
        <v/>
      </c>
      <c r="Q43" s="5" t="str">
        <f>IF(OR(TRIM($B43)="",$G43=""),"",IF(OR(ISNUMBER(SEARCH(_xlfn.CONCAT(CHAR(96),CHAR(34)),$G43)),ISNUMBER(SEARCH(_xlfn.CONCAT(CHAR(34),CHAR(39)),$G43))),_xlfn.CONCAT("* REVIEW REQUIRED: compound-quote delimiter in Universe on Sheet 1 row ",43,"; edit the input before running."),_xlfn.CONCAT("char ",TRIM($B43),"[doc_universe] ",CHAR(96),CHAR(34),SUBSTITUTE(SUBSTITUTE(SUBSTITUTE(SUBSTITUTE(SUBSTITUTE(SUBSTITUTE($G43,CHAR(13)," "),CHAR(10)," "),CHAR(9)," "),CHAR(92),_xlfn.CONCAT(CHAR(92),CHAR(92))),"$",_xlfn.CONCAT(CHAR(92),"$")),CHAR(96),_xlfn.CONCAT(CHAR(92),CHAR(96))),CHAR(34),CHAR(39))))</f>
        <v/>
      </c>
      <c r="R43" s="5" t="str">
        <f>IF(OR(TRIM($B43)="",$H43=""),"",IF(OR(ISNUMBER(SEARCH(_xlfn.CONCAT(CHAR(96),CHAR(34)),$H43)),ISNUMBER(SEARCH(_xlfn.CONCAT(CHAR(34),CHAR(39)),$H43))),_xlfn.CONCAT("* REVIEW REQUIRED: compound-quote delimiter in Source on Sheet 1 row ",43,"; edit the input before running."),_xlfn.CONCAT("char ",TRIM($B43),"[doc_source] ",CHAR(96),CHAR(34),SUBSTITUTE(SUBSTITUTE(SUBSTITUTE(SUBSTITUTE(SUBSTITUTE(SUBSTITUTE($H43,CHAR(13)," "),CHAR(10)," "),CHAR(9)," "),CHAR(92),_xlfn.CONCAT(CHAR(92),CHAR(92))),"$",_xlfn.CONCAT(CHAR(92),"$")),CHAR(96),_xlfn.CONCAT(CHAR(92),CHAR(96))),CHAR(34),CHAR(39))))</f>
        <v/>
      </c>
      <c r="S43" s="5" t="str">
        <f>IF(OR(TRIM($B43)="",$I43=""),"",IF(OR(ISNUMBER(SEARCH(_xlfn.CONCAT(CHAR(96),CHAR(34)),$I43)),ISNUMBER(SEARCH(_xlfn.CONCAT(CHAR(34),CHAR(39)),$I43))),_xlfn.CONCAT("* REVIEW REQUIRED: compound-quote delimiter in Derivation on Sheet 1 row ",43,"; edit the input before running."),_xlfn.CONCAT("char ",TRIM($B43),"[doc_derivation] ",CHAR(96),CHAR(34),SUBSTITUTE(SUBSTITUTE(SUBSTITUTE(SUBSTITUTE(SUBSTITUTE(SUBSTITUTE($I43,CHAR(13)," "),CHAR(10)," "),CHAR(9)," "),CHAR(92),_xlfn.CONCAT(CHAR(92),CHAR(92))),"$",_xlfn.CONCAT(CHAR(92),"$")),CHAR(96),_xlfn.CONCAT(CHAR(92),CHAR(96))),CHAR(34),CHAR(39))))</f>
        <v/>
      </c>
      <c r="T43" s="5" t="str">
        <f>IF(OR(TRIM($B43)="",$J43=""),"",IF(OR(ISNUMBER(SEARCH(_xlfn.CONCAT(CHAR(96),CHAR(34)),$J43)),ISNUMBER(SEARCH(_xlfn.CONCAT(CHAR(34),CHAR(39)),$J43))),_xlfn.CONCAT("* REVIEW REQUIRED: compound-quote delimiter in Notes on Sheet 1 row ",43,"; edit the input before running."),_xlfn.CONCAT("char ",TRIM($B43),"[doc_notes] ",CHAR(96),CHAR(34),SUBSTITUTE(SUBSTITUTE(SUBSTITUTE(SUBSTITUTE(SUBSTITUTE(SUBSTITUTE($J43,CHAR(13)," "),CHAR(10)," "),CHAR(9)," "),CHAR(92),_xlfn.CONCAT(CHAR(92),CHAR(92))),"$",_xlfn.CONCAT(CHAR(92),"$")),CHAR(96),_xlfn.CONCAT(CHAR(92),CHAR(96))),CHAR(34),CHAR(39))))</f>
        <v/>
      </c>
      <c r="U43" s="5">
        <f t="shared" si="1"/>
        <v>0</v>
      </c>
    </row>
    <row r="44" spans="3:21" ht="30" customHeight="1" x14ac:dyDescent="0.2">
      <c r="C44" s="4"/>
      <c r="K44" s="5">
        <f t="shared" si="0"/>
        <v>0</v>
      </c>
      <c r="L44" s="5" t="str">
        <f>IF(OR(TRIM($B44)="",$A44=""),"",IF(OR(ISNUMBER(SEARCH(_xlfn.CONCAT(CHAR(96),CHAR(34)),$A44)),ISNUMBER(SEARCH(_xlfn.CONCAT(CHAR(34),CHAR(39)),$A44))),_xlfn.CONCAT("* REVIEW REQUIRED: compound-quote delimiter in Codebook Section on Sheet 1 row ",44,"; edit the input before running."),_xlfn.CONCAT("char ",TRIM($B44),"[doc_section] ",CHAR(96),CHAR(34),SUBSTITUTE(SUBSTITUTE(SUBSTITUTE(SUBSTITUTE(SUBSTITUTE(SUBSTITUTE($A44,CHAR(13)," "),CHAR(10)," "),CHAR(9)," "),CHAR(92),_xlfn.CONCAT(CHAR(92),CHAR(92))),"$",_xlfn.CONCAT(CHAR(92),"$")),CHAR(96),_xlfn.CONCAT(CHAR(92),CHAR(96))),CHAR(34),CHAR(39))))</f>
        <v/>
      </c>
      <c r="M44" s="5" t="str">
        <f>IF(OR(TRIM($B44)="",$C44=""),"",IF(IFERROR(MATCH(TRIM($C44),{"Quantitative","Continuous","Discrete","Categorical","Nominal","Ordinal","Identifier"},0),0)=0,_xlfn.CONCAT("* REVIEW REQUIRED: invalid Variable Type on Sheet 1 row ",44,"."),_xlfn.CONCAT("char ",TRIM($B44),"[doc_vartype] ",CHAR(96),CHAR(34),SUBSTITUTE(SUBSTITUTE(SUBSTITUTE(SUBSTITUTE(SUBSTITUTE(SUBSTITUTE(LOWER(TRIM($C44)),CHAR(13)," "),CHAR(10)," "),CHAR(9)," "),CHAR(92),_xlfn.CONCAT(CHAR(92),CHAR(92))),"$",_xlfn.CONCAT(CHAR(92),"$")),CHAR(96),_xlfn.CONCAT(CHAR(92),CHAR(96))),CHAR(34),CHAR(39))))</f>
        <v/>
      </c>
      <c r="N44" s="5" t="str">
        <f>IF(OR(TRIM($B44)="",$D44=""),"",IF(OR(ISNUMBER(SEARCH(_xlfn.CONCAT(CHAR(96),CHAR(34)),$D44)),ISNUMBER(SEARCH(_xlfn.CONCAT(CHAR(34),CHAR(39)),$D44))),_xlfn.CONCAT("* REVIEW REQUIRED: compound-quote delimiter in Item Number on Sheet 1 row ",44,"; edit the input before running."),_xlfn.CONCAT("char ",TRIM($B44),"[doc_itemnum] ",CHAR(96),CHAR(34),SUBSTITUTE(SUBSTITUTE(SUBSTITUTE(SUBSTITUTE(SUBSTITUTE(SUBSTITUTE($D44,CHAR(13)," "),CHAR(10)," "),CHAR(9)," "),CHAR(92),_xlfn.CONCAT(CHAR(92),CHAR(92))),"$",_xlfn.CONCAT(CHAR(92),"$")),CHAR(96),_xlfn.CONCAT(CHAR(92),CHAR(96))),CHAR(34),CHAR(39))))</f>
        <v/>
      </c>
      <c r="O44" s="5" t="str">
        <f>IF(OR(TRIM($B44)="",$E44=""),"",IF(OR(ISNUMBER(SEARCH(_xlfn.CONCAT(CHAR(96),CHAR(34)),$E44)),ISNUMBER(SEARCH(_xlfn.CONCAT(CHAR(34),CHAR(39)),$E44))),_xlfn.CONCAT("* REVIEW REQUIRED: compound-quote delimiter in Question Wording on Sheet 1 row ",44,"; edit the input before running."),_xlfn.CONCAT("char ",TRIM($B44),"[doc_question] ",CHAR(96),CHAR(34),SUBSTITUTE(SUBSTITUTE(SUBSTITUTE(SUBSTITUTE(SUBSTITUTE(SUBSTITUTE($E44,CHAR(13)," "),CHAR(10)," "),CHAR(9)," "),CHAR(92),_xlfn.CONCAT(CHAR(92),CHAR(92))),"$",_xlfn.CONCAT(CHAR(92),"$")),CHAR(96),_xlfn.CONCAT(CHAR(92),CHAR(96))),CHAR(34),CHAR(39))))</f>
        <v/>
      </c>
      <c r="P44" s="5" t="str">
        <f>IF(OR(TRIM($B44)="",$F44=""),"",IF(OR(ISNUMBER(SEARCH(_xlfn.CONCAT(CHAR(96),CHAR(34)),$F44)),ISNUMBER(SEARCH(_xlfn.CONCAT(CHAR(34),CHAR(39)),$F44))),_xlfn.CONCAT("* REVIEW REQUIRED: compound-quote delimiter in Units on Sheet 1 row ",44,"; edit the input before running."),_xlfn.CONCAT("char ",TRIM($B44),"[doc_units] ",CHAR(96),CHAR(34),SUBSTITUTE(SUBSTITUTE(SUBSTITUTE(SUBSTITUTE(SUBSTITUTE(SUBSTITUTE($F44,CHAR(13)," "),CHAR(10)," "),CHAR(9)," "),CHAR(92),_xlfn.CONCAT(CHAR(92),CHAR(92))),"$",_xlfn.CONCAT(CHAR(92),"$")),CHAR(96),_xlfn.CONCAT(CHAR(92),CHAR(96))),CHAR(34),CHAR(39))))</f>
        <v/>
      </c>
      <c r="Q44" s="5" t="str">
        <f>IF(OR(TRIM($B44)="",$G44=""),"",IF(OR(ISNUMBER(SEARCH(_xlfn.CONCAT(CHAR(96),CHAR(34)),$G44)),ISNUMBER(SEARCH(_xlfn.CONCAT(CHAR(34),CHAR(39)),$G44))),_xlfn.CONCAT("* REVIEW REQUIRED: compound-quote delimiter in Universe on Sheet 1 row ",44,"; edit the input before running."),_xlfn.CONCAT("char ",TRIM($B44),"[doc_universe] ",CHAR(96),CHAR(34),SUBSTITUTE(SUBSTITUTE(SUBSTITUTE(SUBSTITUTE(SUBSTITUTE(SUBSTITUTE($G44,CHAR(13)," "),CHAR(10)," "),CHAR(9)," "),CHAR(92),_xlfn.CONCAT(CHAR(92),CHAR(92))),"$",_xlfn.CONCAT(CHAR(92),"$")),CHAR(96),_xlfn.CONCAT(CHAR(92),CHAR(96))),CHAR(34),CHAR(39))))</f>
        <v/>
      </c>
      <c r="R44" s="5" t="str">
        <f>IF(OR(TRIM($B44)="",$H44=""),"",IF(OR(ISNUMBER(SEARCH(_xlfn.CONCAT(CHAR(96),CHAR(34)),$H44)),ISNUMBER(SEARCH(_xlfn.CONCAT(CHAR(34),CHAR(39)),$H44))),_xlfn.CONCAT("* REVIEW REQUIRED: compound-quote delimiter in Source on Sheet 1 row ",44,"; edit the input before running."),_xlfn.CONCAT("char ",TRIM($B44),"[doc_source] ",CHAR(96),CHAR(34),SUBSTITUTE(SUBSTITUTE(SUBSTITUTE(SUBSTITUTE(SUBSTITUTE(SUBSTITUTE($H44,CHAR(13)," "),CHAR(10)," "),CHAR(9)," "),CHAR(92),_xlfn.CONCAT(CHAR(92),CHAR(92))),"$",_xlfn.CONCAT(CHAR(92),"$")),CHAR(96),_xlfn.CONCAT(CHAR(92),CHAR(96))),CHAR(34),CHAR(39))))</f>
        <v/>
      </c>
      <c r="S44" s="5" t="str">
        <f>IF(OR(TRIM($B44)="",$I44=""),"",IF(OR(ISNUMBER(SEARCH(_xlfn.CONCAT(CHAR(96),CHAR(34)),$I44)),ISNUMBER(SEARCH(_xlfn.CONCAT(CHAR(34),CHAR(39)),$I44))),_xlfn.CONCAT("* REVIEW REQUIRED: compound-quote delimiter in Derivation on Sheet 1 row ",44,"; edit the input before running."),_xlfn.CONCAT("char ",TRIM($B44),"[doc_derivation] ",CHAR(96),CHAR(34),SUBSTITUTE(SUBSTITUTE(SUBSTITUTE(SUBSTITUTE(SUBSTITUTE(SUBSTITUTE($I44,CHAR(13)," "),CHAR(10)," "),CHAR(9)," "),CHAR(92),_xlfn.CONCAT(CHAR(92),CHAR(92))),"$",_xlfn.CONCAT(CHAR(92),"$")),CHAR(96),_xlfn.CONCAT(CHAR(92),CHAR(96))),CHAR(34),CHAR(39))))</f>
        <v/>
      </c>
      <c r="T44" s="5" t="str">
        <f>IF(OR(TRIM($B44)="",$J44=""),"",IF(OR(ISNUMBER(SEARCH(_xlfn.CONCAT(CHAR(96),CHAR(34)),$J44)),ISNUMBER(SEARCH(_xlfn.CONCAT(CHAR(34),CHAR(39)),$J44))),_xlfn.CONCAT("* REVIEW REQUIRED: compound-quote delimiter in Notes on Sheet 1 row ",44,"; edit the input before running."),_xlfn.CONCAT("char ",TRIM($B44),"[doc_notes] ",CHAR(96),CHAR(34),SUBSTITUTE(SUBSTITUTE(SUBSTITUTE(SUBSTITUTE(SUBSTITUTE(SUBSTITUTE($J44,CHAR(13)," "),CHAR(10)," "),CHAR(9)," "),CHAR(92),_xlfn.CONCAT(CHAR(92),CHAR(92))),"$",_xlfn.CONCAT(CHAR(92),"$")),CHAR(96),_xlfn.CONCAT(CHAR(92),CHAR(96))),CHAR(34),CHAR(39))))</f>
        <v/>
      </c>
      <c r="U44" s="5">
        <f t="shared" si="1"/>
        <v>0</v>
      </c>
    </row>
    <row r="45" spans="3:21" ht="30" customHeight="1" x14ac:dyDescent="0.2">
      <c r="C45" s="4"/>
      <c r="K45" s="5">
        <f t="shared" si="0"/>
        <v>0</v>
      </c>
      <c r="L45" s="5" t="str">
        <f>IF(OR(TRIM($B45)="",$A45=""),"",IF(OR(ISNUMBER(SEARCH(_xlfn.CONCAT(CHAR(96),CHAR(34)),$A45)),ISNUMBER(SEARCH(_xlfn.CONCAT(CHAR(34),CHAR(39)),$A45))),_xlfn.CONCAT("* REVIEW REQUIRED: compound-quote delimiter in Codebook Section on Sheet 1 row ",45,"; edit the input before running."),_xlfn.CONCAT("char ",TRIM($B45),"[doc_section] ",CHAR(96),CHAR(34),SUBSTITUTE(SUBSTITUTE(SUBSTITUTE(SUBSTITUTE(SUBSTITUTE(SUBSTITUTE($A45,CHAR(13)," "),CHAR(10)," "),CHAR(9)," "),CHAR(92),_xlfn.CONCAT(CHAR(92),CHAR(92))),"$",_xlfn.CONCAT(CHAR(92),"$")),CHAR(96),_xlfn.CONCAT(CHAR(92),CHAR(96))),CHAR(34),CHAR(39))))</f>
        <v/>
      </c>
      <c r="M45" s="5" t="str">
        <f>IF(OR(TRIM($B45)="",$C45=""),"",IF(IFERROR(MATCH(TRIM($C45),{"Quantitative","Continuous","Discrete","Categorical","Nominal","Ordinal","Identifier"},0),0)=0,_xlfn.CONCAT("* REVIEW REQUIRED: invalid Variable Type on Sheet 1 row ",45,"."),_xlfn.CONCAT("char ",TRIM($B45),"[doc_vartype] ",CHAR(96),CHAR(34),SUBSTITUTE(SUBSTITUTE(SUBSTITUTE(SUBSTITUTE(SUBSTITUTE(SUBSTITUTE(LOWER(TRIM($C45)),CHAR(13)," "),CHAR(10)," "),CHAR(9)," "),CHAR(92),_xlfn.CONCAT(CHAR(92),CHAR(92))),"$",_xlfn.CONCAT(CHAR(92),"$")),CHAR(96),_xlfn.CONCAT(CHAR(92),CHAR(96))),CHAR(34),CHAR(39))))</f>
        <v/>
      </c>
      <c r="N45" s="5" t="str">
        <f>IF(OR(TRIM($B45)="",$D45=""),"",IF(OR(ISNUMBER(SEARCH(_xlfn.CONCAT(CHAR(96),CHAR(34)),$D45)),ISNUMBER(SEARCH(_xlfn.CONCAT(CHAR(34),CHAR(39)),$D45))),_xlfn.CONCAT("* REVIEW REQUIRED: compound-quote delimiter in Item Number on Sheet 1 row ",45,"; edit the input before running."),_xlfn.CONCAT("char ",TRIM($B45),"[doc_itemnum] ",CHAR(96),CHAR(34),SUBSTITUTE(SUBSTITUTE(SUBSTITUTE(SUBSTITUTE(SUBSTITUTE(SUBSTITUTE($D45,CHAR(13)," "),CHAR(10)," "),CHAR(9)," "),CHAR(92),_xlfn.CONCAT(CHAR(92),CHAR(92))),"$",_xlfn.CONCAT(CHAR(92),"$")),CHAR(96),_xlfn.CONCAT(CHAR(92),CHAR(96))),CHAR(34),CHAR(39))))</f>
        <v/>
      </c>
      <c r="O45" s="5" t="str">
        <f>IF(OR(TRIM($B45)="",$E45=""),"",IF(OR(ISNUMBER(SEARCH(_xlfn.CONCAT(CHAR(96),CHAR(34)),$E45)),ISNUMBER(SEARCH(_xlfn.CONCAT(CHAR(34),CHAR(39)),$E45))),_xlfn.CONCAT("* REVIEW REQUIRED: compound-quote delimiter in Question Wording on Sheet 1 row ",45,"; edit the input before running."),_xlfn.CONCAT("char ",TRIM($B45),"[doc_question] ",CHAR(96),CHAR(34),SUBSTITUTE(SUBSTITUTE(SUBSTITUTE(SUBSTITUTE(SUBSTITUTE(SUBSTITUTE($E45,CHAR(13)," "),CHAR(10)," "),CHAR(9)," "),CHAR(92),_xlfn.CONCAT(CHAR(92),CHAR(92))),"$",_xlfn.CONCAT(CHAR(92),"$")),CHAR(96),_xlfn.CONCAT(CHAR(92),CHAR(96))),CHAR(34),CHAR(39))))</f>
        <v/>
      </c>
      <c r="P45" s="5" t="str">
        <f>IF(OR(TRIM($B45)="",$F45=""),"",IF(OR(ISNUMBER(SEARCH(_xlfn.CONCAT(CHAR(96),CHAR(34)),$F45)),ISNUMBER(SEARCH(_xlfn.CONCAT(CHAR(34),CHAR(39)),$F45))),_xlfn.CONCAT("* REVIEW REQUIRED: compound-quote delimiter in Units on Sheet 1 row ",45,"; edit the input before running."),_xlfn.CONCAT("char ",TRIM($B45),"[doc_units] ",CHAR(96),CHAR(34),SUBSTITUTE(SUBSTITUTE(SUBSTITUTE(SUBSTITUTE(SUBSTITUTE(SUBSTITUTE($F45,CHAR(13)," "),CHAR(10)," "),CHAR(9)," "),CHAR(92),_xlfn.CONCAT(CHAR(92),CHAR(92))),"$",_xlfn.CONCAT(CHAR(92),"$")),CHAR(96),_xlfn.CONCAT(CHAR(92),CHAR(96))),CHAR(34),CHAR(39))))</f>
        <v/>
      </c>
      <c r="Q45" s="5" t="str">
        <f>IF(OR(TRIM($B45)="",$G45=""),"",IF(OR(ISNUMBER(SEARCH(_xlfn.CONCAT(CHAR(96),CHAR(34)),$G45)),ISNUMBER(SEARCH(_xlfn.CONCAT(CHAR(34),CHAR(39)),$G45))),_xlfn.CONCAT("* REVIEW REQUIRED: compound-quote delimiter in Universe on Sheet 1 row ",45,"; edit the input before running."),_xlfn.CONCAT("char ",TRIM($B45),"[doc_universe] ",CHAR(96),CHAR(34),SUBSTITUTE(SUBSTITUTE(SUBSTITUTE(SUBSTITUTE(SUBSTITUTE(SUBSTITUTE($G45,CHAR(13)," "),CHAR(10)," "),CHAR(9)," "),CHAR(92),_xlfn.CONCAT(CHAR(92),CHAR(92))),"$",_xlfn.CONCAT(CHAR(92),"$")),CHAR(96),_xlfn.CONCAT(CHAR(92),CHAR(96))),CHAR(34),CHAR(39))))</f>
        <v/>
      </c>
      <c r="R45" s="5" t="str">
        <f>IF(OR(TRIM($B45)="",$H45=""),"",IF(OR(ISNUMBER(SEARCH(_xlfn.CONCAT(CHAR(96),CHAR(34)),$H45)),ISNUMBER(SEARCH(_xlfn.CONCAT(CHAR(34),CHAR(39)),$H45))),_xlfn.CONCAT("* REVIEW REQUIRED: compound-quote delimiter in Source on Sheet 1 row ",45,"; edit the input before running."),_xlfn.CONCAT("char ",TRIM($B45),"[doc_source] ",CHAR(96),CHAR(34),SUBSTITUTE(SUBSTITUTE(SUBSTITUTE(SUBSTITUTE(SUBSTITUTE(SUBSTITUTE($H45,CHAR(13)," "),CHAR(10)," "),CHAR(9)," "),CHAR(92),_xlfn.CONCAT(CHAR(92),CHAR(92))),"$",_xlfn.CONCAT(CHAR(92),"$")),CHAR(96),_xlfn.CONCAT(CHAR(92),CHAR(96))),CHAR(34),CHAR(39))))</f>
        <v/>
      </c>
      <c r="S45" s="5" t="str">
        <f>IF(OR(TRIM($B45)="",$I45=""),"",IF(OR(ISNUMBER(SEARCH(_xlfn.CONCAT(CHAR(96),CHAR(34)),$I45)),ISNUMBER(SEARCH(_xlfn.CONCAT(CHAR(34),CHAR(39)),$I45))),_xlfn.CONCAT("* REVIEW REQUIRED: compound-quote delimiter in Derivation on Sheet 1 row ",45,"; edit the input before running."),_xlfn.CONCAT("char ",TRIM($B45),"[doc_derivation] ",CHAR(96),CHAR(34),SUBSTITUTE(SUBSTITUTE(SUBSTITUTE(SUBSTITUTE(SUBSTITUTE(SUBSTITUTE($I45,CHAR(13)," "),CHAR(10)," "),CHAR(9)," "),CHAR(92),_xlfn.CONCAT(CHAR(92),CHAR(92))),"$",_xlfn.CONCAT(CHAR(92),"$")),CHAR(96),_xlfn.CONCAT(CHAR(92),CHAR(96))),CHAR(34),CHAR(39))))</f>
        <v/>
      </c>
      <c r="T45" s="5" t="str">
        <f>IF(OR(TRIM($B45)="",$J45=""),"",IF(OR(ISNUMBER(SEARCH(_xlfn.CONCAT(CHAR(96),CHAR(34)),$J45)),ISNUMBER(SEARCH(_xlfn.CONCAT(CHAR(34),CHAR(39)),$J45))),_xlfn.CONCAT("* REVIEW REQUIRED: compound-quote delimiter in Notes on Sheet 1 row ",45,"; edit the input before running."),_xlfn.CONCAT("char ",TRIM($B45),"[doc_notes] ",CHAR(96),CHAR(34),SUBSTITUTE(SUBSTITUTE(SUBSTITUTE(SUBSTITUTE(SUBSTITUTE(SUBSTITUTE($J45,CHAR(13)," "),CHAR(10)," "),CHAR(9)," "),CHAR(92),_xlfn.CONCAT(CHAR(92),CHAR(92))),"$",_xlfn.CONCAT(CHAR(92),"$")),CHAR(96),_xlfn.CONCAT(CHAR(92),CHAR(96))),CHAR(34),CHAR(39))))</f>
        <v/>
      </c>
      <c r="U45" s="5">
        <f t="shared" si="1"/>
        <v>0</v>
      </c>
    </row>
    <row r="46" spans="3:21" ht="30" customHeight="1" x14ac:dyDescent="0.2">
      <c r="C46" s="4"/>
      <c r="K46" s="5">
        <f t="shared" si="0"/>
        <v>0</v>
      </c>
      <c r="L46" s="5" t="str">
        <f>IF(OR(TRIM($B46)="",$A46=""),"",IF(OR(ISNUMBER(SEARCH(_xlfn.CONCAT(CHAR(96),CHAR(34)),$A46)),ISNUMBER(SEARCH(_xlfn.CONCAT(CHAR(34),CHAR(39)),$A46))),_xlfn.CONCAT("* REVIEW REQUIRED: compound-quote delimiter in Codebook Section on Sheet 1 row ",46,"; edit the input before running."),_xlfn.CONCAT("char ",TRIM($B46),"[doc_section] ",CHAR(96),CHAR(34),SUBSTITUTE(SUBSTITUTE(SUBSTITUTE(SUBSTITUTE(SUBSTITUTE(SUBSTITUTE($A46,CHAR(13)," "),CHAR(10)," "),CHAR(9)," "),CHAR(92),_xlfn.CONCAT(CHAR(92),CHAR(92))),"$",_xlfn.CONCAT(CHAR(92),"$")),CHAR(96),_xlfn.CONCAT(CHAR(92),CHAR(96))),CHAR(34),CHAR(39))))</f>
        <v/>
      </c>
      <c r="M46" s="5" t="str">
        <f>IF(OR(TRIM($B46)="",$C46=""),"",IF(IFERROR(MATCH(TRIM($C46),{"Quantitative","Continuous","Discrete","Categorical","Nominal","Ordinal","Identifier"},0),0)=0,_xlfn.CONCAT("* REVIEW REQUIRED: invalid Variable Type on Sheet 1 row ",46,"."),_xlfn.CONCAT("char ",TRIM($B46),"[doc_vartype] ",CHAR(96),CHAR(34),SUBSTITUTE(SUBSTITUTE(SUBSTITUTE(SUBSTITUTE(SUBSTITUTE(SUBSTITUTE(LOWER(TRIM($C46)),CHAR(13)," "),CHAR(10)," "),CHAR(9)," "),CHAR(92),_xlfn.CONCAT(CHAR(92),CHAR(92))),"$",_xlfn.CONCAT(CHAR(92),"$")),CHAR(96),_xlfn.CONCAT(CHAR(92),CHAR(96))),CHAR(34),CHAR(39))))</f>
        <v/>
      </c>
      <c r="N46" s="5" t="str">
        <f>IF(OR(TRIM($B46)="",$D46=""),"",IF(OR(ISNUMBER(SEARCH(_xlfn.CONCAT(CHAR(96),CHAR(34)),$D46)),ISNUMBER(SEARCH(_xlfn.CONCAT(CHAR(34),CHAR(39)),$D46))),_xlfn.CONCAT("* REVIEW REQUIRED: compound-quote delimiter in Item Number on Sheet 1 row ",46,"; edit the input before running."),_xlfn.CONCAT("char ",TRIM($B46),"[doc_itemnum] ",CHAR(96),CHAR(34),SUBSTITUTE(SUBSTITUTE(SUBSTITUTE(SUBSTITUTE(SUBSTITUTE(SUBSTITUTE($D46,CHAR(13)," "),CHAR(10)," "),CHAR(9)," "),CHAR(92),_xlfn.CONCAT(CHAR(92),CHAR(92))),"$",_xlfn.CONCAT(CHAR(92),"$")),CHAR(96),_xlfn.CONCAT(CHAR(92),CHAR(96))),CHAR(34),CHAR(39))))</f>
        <v/>
      </c>
      <c r="O46" s="5" t="str">
        <f>IF(OR(TRIM($B46)="",$E46=""),"",IF(OR(ISNUMBER(SEARCH(_xlfn.CONCAT(CHAR(96),CHAR(34)),$E46)),ISNUMBER(SEARCH(_xlfn.CONCAT(CHAR(34),CHAR(39)),$E46))),_xlfn.CONCAT("* REVIEW REQUIRED: compound-quote delimiter in Question Wording on Sheet 1 row ",46,"; edit the input before running."),_xlfn.CONCAT("char ",TRIM($B46),"[doc_question] ",CHAR(96),CHAR(34),SUBSTITUTE(SUBSTITUTE(SUBSTITUTE(SUBSTITUTE(SUBSTITUTE(SUBSTITUTE($E46,CHAR(13)," "),CHAR(10)," "),CHAR(9)," "),CHAR(92),_xlfn.CONCAT(CHAR(92),CHAR(92))),"$",_xlfn.CONCAT(CHAR(92),"$")),CHAR(96),_xlfn.CONCAT(CHAR(92),CHAR(96))),CHAR(34),CHAR(39))))</f>
        <v/>
      </c>
      <c r="P46" s="5" t="str">
        <f>IF(OR(TRIM($B46)="",$F46=""),"",IF(OR(ISNUMBER(SEARCH(_xlfn.CONCAT(CHAR(96),CHAR(34)),$F46)),ISNUMBER(SEARCH(_xlfn.CONCAT(CHAR(34),CHAR(39)),$F46))),_xlfn.CONCAT("* REVIEW REQUIRED: compound-quote delimiter in Units on Sheet 1 row ",46,"; edit the input before running."),_xlfn.CONCAT("char ",TRIM($B46),"[doc_units] ",CHAR(96),CHAR(34),SUBSTITUTE(SUBSTITUTE(SUBSTITUTE(SUBSTITUTE(SUBSTITUTE(SUBSTITUTE($F46,CHAR(13)," "),CHAR(10)," "),CHAR(9)," "),CHAR(92),_xlfn.CONCAT(CHAR(92),CHAR(92))),"$",_xlfn.CONCAT(CHAR(92),"$")),CHAR(96),_xlfn.CONCAT(CHAR(92),CHAR(96))),CHAR(34),CHAR(39))))</f>
        <v/>
      </c>
      <c r="Q46" s="5" t="str">
        <f>IF(OR(TRIM($B46)="",$G46=""),"",IF(OR(ISNUMBER(SEARCH(_xlfn.CONCAT(CHAR(96),CHAR(34)),$G46)),ISNUMBER(SEARCH(_xlfn.CONCAT(CHAR(34),CHAR(39)),$G46))),_xlfn.CONCAT("* REVIEW REQUIRED: compound-quote delimiter in Universe on Sheet 1 row ",46,"; edit the input before running."),_xlfn.CONCAT("char ",TRIM($B46),"[doc_universe] ",CHAR(96),CHAR(34),SUBSTITUTE(SUBSTITUTE(SUBSTITUTE(SUBSTITUTE(SUBSTITUTE(SUBSTITUTE($G46,CHAR(13)," "),CHAR(10)," "),CHAR(9)," "),CHAR(92),_xlfn.CONCAT(CHAR(92),CHAR(92))),"$",_xlfn.CONCAT(CHAR(92),"$")),CHAR(96),_xlfn.CONCAT(CHAR(92),CHAR(96))),CHAR(34),CHAR(39))))</f>
        <v/>
      </c>
      <c r="R46" s="5" t="str">
        <f>IF(OR(TRIM($B46)="",$H46=""),"",IF(OR(ISNUMBER(SEARCH(_xlfn.CONCAT(CHAR(96),CHAR(34)),$H46)),ISNUMBER(SEARCH(_xlfn.CONCAT(CHAR(34),CHAR(39)),$H46))),_xlfn.CONCAT("* REVIEW REQUIRED: compound-quote delimiter in Source on Sheet 1 row ",46,"; edit the input before running."),_xlfn.CONCAT("char ",TRIM($B46),"[doc_source] ",CHAR(96),CHAR(34),SUBSTITUTE(SUBSTITUTE(SUBSTITUTE(SUBSTITUTE(SUBSTITUTE(SUBSTITUTE($H46,CHAR(13)," "),CHAR(10)," "),CHAR(9)," "),CHAR(92),_xlfn.CONCAT(CHAR(92),CHAR(92))),"$",_xlfn.CONCAT(CHAR(92),"$")),CHAR(96),_xlfn.CONCAT(CHAR(92),CHAR(96))),CHAR(34),CHAR(39))))</f>
        <v/>
      </c>
      <c r="S46" s="5" t="str">
        <f>IF(OR(TRIM($B46)="",$I46=""),"",IF(OR(ISNUMBER(SEARCH(_xlfn.CONCAT(CHAR(96),CHAR(34)),$I46)),ISNUMBER(SEARCH(_xlfn.CONCAT(CHAR(34),CHAR(39)),$I46))),_xlfn.CONCAT("* REVIEW REQUIRED: compound-quote delimiter in Derivation on Sheet 1 row ",46,"; edit the input before running."),_xlfn.CONCAT("char ",TRIM($B46),"[doc_derivation] ",CHAR(96),CHAR(34),SUBSTITUTE(SUBSTITUTE(SUBSTITUTE(SUBSTITUTE(SUBSTITUTE(SUBSTITUTE($I46,CHAR(13)," "),CHAR(10)," "),CHAR(9)," "),CHAR(92),_xlfn.CONCAT(CHAR(92),CHAR(92))),"$",_xlfn.CONCAT(CHAR(92),"$")),CHAR(96),_xlfn.CONCAT(CHAR(92),CHAR(96))),CHAR(34),CHAR(39))))</f>
        <v/>
      </c>
      <c r="T46" s="5" t="str">
        <f>IF(OR(TRIM($B46)="",$J46=""),"",IF(OR(ISNUMBER(SEARCH(_xlfn.CONCAT(CHAR(96),CHAR(34)),$J46)),ISNUMBER(SEARCH(_xlfn.CONCAT(CHAR(34),CHAR(39)),$J46))),_xlfn.CONCAT("* REVIEW REQUIRED: compound-quote delimiter in Notes on Sheet 1 row ",46,"; edit the input before running."),_xlfn.CONCAT("char ",TRIM($B46),"[doc_notes] ",CHAR(96),CHAR(34),SUBSTITUTE(SUBSTITUTE(SUBSTITUTE(SUBSTITUTE(SUBSTITUTE(SUBSTITUTE($J46,CHAR(13)," "),CHAR(10)," "),CHAR(9)," "),CHAR(92),_xlfn.CONCAT(CHAR(92),CHAR(92))),"$",_xlfn.CONCAT(CHAR(92),"$")),CHAR(96),_xlfn.CONCAT(CHAR(92),CHAR(96))),CHAR(34),CHAR(39))))</f>
        <v/>
      </c>
      <c r="U46" s="5">
        <f t="shared" si="1"/>
        <v>0</v>
      </c>
    </row>
    <row r="47" spans="3:21" ht="30" customHeight="1" x14ac:dyDescent="0.2">
      <c r="C47" s="4"/>
      <c r="K47" s="5">
        <f t="shared" si="0"/>
        <v>0</v>
      </c>
      <c r="L47" s="5" t="str">
        <f>IF(OR(TRIM($B47)="",$A47=""),"",IF(OR(ISNUMBER(SEARCH(_xlfn.CONCAT(CHAR(96),CHAR(34)),$A47)),ISNUMBER(SEARCH(_xlfn.CONCAT(CHAR(34),CHAR(39)),$A47))),_xlfn.CONCAT("* REVIEW REQUIRED: compound-quote delimiter in Codebook Section on Sheet 1 row ",47,"; edit the input before running."),_xlfn.CONCAT("char ",TRIM($B47),"[doc_section] ",CHAR(96),CHAR(34),SUBSTITUTE(SUBSTITUTE(SUBSTITUTE(SUBSTITUTE(SUBSTITUTE(SUBSTITUTE($A47,CHAR(13)," "),CHAR(10)," "),CHAR(9)," "),CHAR(92),_xlfn.CONCAT(CHAR(92),CHAR(92))),"$",_xlfn.CONCAT(CHAR(92),"$")),CHAR(96),_xlfn.CONCAT(CHAR(92),CHAR(96))),CHAR(34),CHAR(39))))</f>
        <v/>
      </c>
      <c r="M47" s="5" t="str">
        <f>IF(OR(TRIM($B47)="",$C47=""),"",IF(IFERROR(MATCH(TRIM($C47),{"Quantitative","Continuous","Discrete","Categorical","Nominal","Ordinal","Identifier"},0),0)=0,_xlfn.CONCAT("* REVIEW REQUIRED: invalid Variable Type on Sheet 1 row ",47,"."),_xlfn.CONCAT("char ",TRIM($B47),"[doc_vartype] ",CHAR(96),CHAR(34),SUBSTITUTE(SUBSTITUTE(SUBSTITUTE(SUBSTITUTE(SUBSTITUTE(SUBSTITUTE(LOWER(TRIM($C47)),CHAR(13)," "),CHAR(10)," "),CHAR(9)," "),CHAR(92),_xlfn.CONCAT(CHAR(92),CHAR(92))),"$",_xlfn.CONCAT(CHAR(92),"$")),CHAR(96),_xlfn.CONCAT(CHAR(92),CHAR(96))),CHAR(34),CHAR(39))))</f>
        <v/>
      </c>
      <c r="N47" s="5" t="str">
        <f>IF(OR(TRIM($B47)="",$D47=""),"",IF(OR(ISNUMBER(SEARCH(_xlfn.CONCAT(CHAR(96),CHAR(34)),$D47)),ISNUMBER(SEARCH(_xlfn.CONCAT(CHAR(34),CHAR(39)),$D47))),_xlfn.CONCAT("* REVIEW REQUIRED: compound-quote delimiter in Item Number on Sheet 1 row ",47,"; edit the input before running."),_xlfn.CONCAT("char ",TRIM($B47),"[doc_itemnum] ",CHAR(96),CHAR(34),SUBSTITUTE(SUBSTITUTE(SUBSTITUTE(SUBSTITUTE(SUBSTITUTE(SUBSTITUTE($D47,CHAR(13)," "),CHAR(10)," "),CHAR(9)," "),CHAR(92),_xlfn.CONCAT(CHAR(92),CHAR(92))),"$",_xlfn.CONCAT(CHAR(92),"$")),CHAR(96),_xlfn.CONCAT(CHAR(92),CHAR(96))),CHAR(34),CHAR(39))))</f>
        <v/>
      </c>
      <c r="O47" s="5" t="str">
        <f>IF(OR(TRIM($B47)="",$E47=""),"",IF(OR(ISNUMBER(SEARCH(_xlfn.CONCAT(CHAR(96),CHAR(34)),$E47)),ISNUMBER(SEARCH(_xlfn.CONCAT(CHAR(34),CHAR(39)),$E47))),_xlfn.CONCAT("* REVIEW REQUIRED: compound-quote delimiter in Question Wording on Sheet 1 row ",47,"; edit the input before running."),_xlfn.CONCAT("char ",TRIM($B47),"[doc_question] ",CHAR(96),CHAR(34),SUBSTITUTE(SUBSTITUTE(SUBSTITUTE(SUBSTITUTE(SUBSTITUTE(SUBSTITUTE($E47,CHAR(13)," "),CHAR(10)," "),CHAR(9)," "),CHAR(92),_xlfn.CONCAT(CHAR(92),CHAR(92))),"$",_xlfn.CONCAT(CHAR(92),"$")),CHAR(96),_xlfn.CONCAT(CHAR(92),CHAR(96))),CHAR(34),CHAR(39))))</f>
        <v/>
      </c>
      <c r="P47" s="5" t="str">
        <f>IF(OR(TRIM($B47)="",$F47=""),"",IF(OR(ISNUMBER(SEARCH(_xlfn.CONCAT(CHAR(96),CHAR(34)),$F47)),ISNUMBER(SEARCH(_xlfn.CONCAT(CHAR(34),CHAR(39)),$F47))),_xlfn.CONCAT("* REVIEW REQUIRED: compound-quote delimiter in Units on Sheet 1 row ",47,"; edit the input before running."),_xlfn.CONCAT("char ",TRIM($B47),"[doc_units] ",CHAR(96),CHAR(34),SUBSTITUTE(SUBSTITUTE(SUBSTITUTE(SUBSTITUTE(SUBSTITUTE(SUBSTITUTE($F47,CHAR(13)," "),CHAR(10)," "),CHAR(9)," "),CHAR(92),_xlfn.CONCAT(CHAR(92),CHAR(92))),"$",_xlfn.CONCAT(CHAR(92),"$")),CHAR(96),_xlfn.CONCAT(CHAR(92),CHAR(96))),CHAR(34),CHAR(39))))</f>
        <v/>
      </c>
      <c r="Q47" s="5" t="str">
        <f>IF(OR(TRIM($B47)="",$G47=""),"",IF(OR(ISNUMBER(SEARCH(_xlfn.CONCAT(CHAR(96),CHAR(34)),$G47)),ISNUMBER(SEARCH(_xlfn.CONCAT(CHAR(34),CHAR(39)),$G47))),_xlfn.CONCAT("* REVIEW REQUIRED: compound-quote delimiter in Universe on Sheet 1 row ",47,"; edit the input before running."),_xlfn.CONCAT("char ",TRIM($B47),"[doc_universe] ",CHAR(96),CHAR(34),SUBSTITUTE(SUBSTITUTE(SUBSTITUTE(SUBSTITUTE(SUBSTITUTE(SUBSTITUTE($G47,CHAR(13)," "),CHAR(10)," "),CHAR(9)," "),CHAR(92),_xlfn.CONCAT(CHAR(92),CHAR(92))),"$",_xlfn.CONCAT(CHAR(92),"$")),CHAR(96),_xlfn.CONCAT(CHAR(92),CHAR(96))),CHAR(34),CHAR(39))))</f>
        <v/>
      </c>
      <c r="R47" s="5" t="str">
        <f>IF(OR(TRIM($B47)="",$H47=""),"",IF(OR(ISNUMBER(SEARCH(_xlfn.CONCAT(CHAR(96),CHAR(34)),$H47)),ISNUMBER(SEARCH(_xlfn.CONCAT(CHAR(34),CHAR(39)),$H47))),_xlfn.CONCAT("* REVIEW REQUIRED: compound-quote delimiter in Source on Sheet 1 row ",47,"; edit the input before running."),_xlfn.CONCAT("char ",TRIM($B47),"[doc_source] ",CHAR(96),CHAR(34),SUBSTITUTE(SUBSTITUTE(SUBSTITUTE(SUBSTITUTE(SUBSTITUTE(SUBSTITUTE($H47,CHAR(13)," "),CHAR(10)," "),CHAR(9)," "),CHAR(92),_xlfn.CONCAT(CHAR(92),CHAR(92))),"$",_xlfn.CONCAT(CHAR(92),"$")),CHAR(96),_xlfn.CONCAT(CHAR(92),CHAR(96))),CHAR(34),CHAR(39))))</f>
        <v/>
      </c>
      <c r="S47" s="5" t="str">
        <f>IF(OR(TRIM($B47)="",$I47=""),"",IF(OR(ISNUMBER(SEARCH(_xlfn.CONCAT(CHAR(96),CHAR(34)),$I47)),ISNUMBER(SEARCH(_xlfn.CONCAT(CHAR(34),CHAR(39)),$I47))),_xlfn.CONCAT("* REVIEW REQUIRED: compound-quote delimiter in Derivation on Sheet 1 row ",47,"; edit the input before running."),_xlfn.CONCAT("char ",TRIM($B47),"[doc_derivation] ",CHAR(96),CHAR(34),SUBSTITUTE(SUBSTITUTE(SUBSTITUTE(SUBSTITUTE(SUBSTITUTE(SUBSTITUTE($I47,CHAR(13)," "),CHAR(10)," "),CHAR(9)," "),CHAR(92),_xlfn.CONCAT(CHAR(92),CHAR(92))),"$",_xlfn.CONCAT(CHAR(92),"$")),CHAR(96),_xlfn.CONCAT(CHAR(92),CHAR(96))),CHAR(34),CHAR(39))))</f>
        <v/>
      </c>
      <c r="T47" s="5" t="str">
        <f>IF(OR(TRIM($B47)="",$J47=""),"",IF(OR(ISNUMBER(SEARCH(_xlfn.CONCAT(CHAR(96),CHAR(34)),$J47)),ISNUMBER(SEARCH(_xlfn.CONCAT(CHAR(34),CHAR(39)),$J47))),_xlfn.CONCAT("* REVIEW REQUIRED: compound-quote delimiter in Notes on Sheet 1 row ",47,"; edit the input before running."),_xlfn.CONCAT("char ",TRIM($B47),"[doc_notes] ",CHAR(96),CHAR(34),SUBSTITUTE(SUBSTITUTE(SUBSTITUTE(SUBSTITUTE(SUBSTITUTE(SUBSTITUTE($J47,CHAR(13)," "),CHAR(10)," "),CHAR(9)," "),CHAR(92),_xlfn.CONCAT(CHAR(92),CHAR(92))),"$",_xlfn.CONCAT(CHAR(92),"$")),CHAR(96),_xlfn.CONCAT(CHAR(92),CHAR(96))),CHAR(34),CHAR(39))))</f>
        <v/>
      </c>
      <c r="U47" s="5">
        <f t="shared" si="1"/>
        <v>0</v>
      </c>
    </row>
    <row r="48" spans="3:21" ht="30" customHeight="1" x14ac:dyDescent="0.2">
      <c r="C48" s="4"/>
      <c r="K48" s="5">
        <f t="shared" si="0"/>
        <v>0</v>
      </c>
      <c r="L48" s="5" t="str">
        <f>IF(OR(TRIM($B48)="",$A48=""),"",IF(OR(ISNUMBER(SEARCH(_xlfn.CONCAT(CHAR(96),CHAR(34)),$A48)),ISNUMBER(SEARCH(_xlfn.CONCAT(CHAR(34),CHAR(39)),$A48))),_xlfn.CONCAT("* REVIEW REQUIRED: compound-quote delimiter in Codebook Section on Sheet 1 row ",48,"; edit the input before running."),_xlfn.CONCAT("char ",TRIM($B48),"[doc_section] ",CHAR(96),CHAR(34),SUBSTITUTE(SUBSTITUTE(SUBSTITUTE(SUBSTITUTE(SUBSTITUTE(SUBSTITUTE($A48,CHAR(13)," "),CHAR(10)," "),CHAR(9)," "),CHAR(92),_xlfn.CONCAT(CHAR(92),CHAR(92))),"$",_xlfn.CONCAT(CHAR(92),"$")),CHAR(96),_xlfn.CONCAT(CHAR(92),CHAR(96))),CHAR(34),CHAR(39))))</f>
        <v/>
      </c>
      <c r="M48" s="5" t="str">
        <f>IF(OR(TRIM($B48)="",$C48=""),"",IF(IFERROR(MATCH(TRIM($C48),{"Quantitative","Continuous","Discrete","Categorical","Nominal","Ordinal","Identifier"},0),0)=0,_xlfn.CONCAT("* REVIEW REQUIRED: invalid Variable Type on Sheet 1 row ",48,"."),_xlfn.CONCAT("char ",TRIM($B48),"[doc_vartype] ",CHAR(96),CHAR(34),SUBSTITUTE(SUBSTITUTE(SUBSTITUTE(SUBSTITUTE(SUBSTITUTE(SUBSTITUTE(LOWER(TRIM($C48)),CHAR(13)," "),CHAR(10)," "),CHAR(9)," "),CHAR(92),_xlfn.CONCAT(CHAR(92),CHAR(92))),"$",_xlfn.CONCAT(CHAR(92),"$")),CHAR(96),_xlfn.CONCAT(CHAR(92),CHAR(96))),CHAR(34),CHAR(39))))</f>
        <v/>
      </c>
      <c r="N48" s="5" t="str">
        <f>IF(OR(TRIM($B48)="",$D48=""),"",IF(OR(ISNUMBER(SEARCH(_xlfn.CONCAT(CHAR(96),CHAR(34)),$D48)),ISNUMBER(SEARCH(_xlfn.CONCAT(CHAR(34),CHAR(39)),$D48))),_xlfn.CONCAT("* REVIEW REQUIRED: compound-quote delimiter in Item Number on Sheet 1 row ",48,"; edit the input before running."),_xlfn.CONCAT("char ",TRIM($B48),"[doc_itemnum] ",CHAR(96),CHAR(34),SUBSTITUTE(SUBSTITUTE(SUBSTITUTE(SUBSTITUTE(SUBSTITUTE(SUBSTITUTE($D48,CHAR(13)," "),CHAR(10)," "),CHAR(9)," "),CHAR(92),_xlfn.CONCAT(CHAR(92),CHAR(92))),"$",_xlfn.CONCAT(CHAR(92),"$")),CHAR(96),_xlfn.CONCAT(CHAR(92),CHAR(96))),CHAR(34),CHAR(39))))</f>
        <v/>
      </c>
      <c r="O48" s="5" t="str">
        <f>IF(OR(TRIM($B48)="",$E48=""),"",IF(OR(ISNUMBER(SEARCH(_xlfn.CONCAT(CHAR(96),CHAR(34)),$E48)),ISNUMBER(SEARCH(_xlfn.CONCAT(CHAR(34),CHAR(39)),$E48))),_xlfn.CONCAT("* REVIEW REQUIRED: compound-quote delimiter in Question Wording on Sheet 1 row ",48,"; edit the input before running."),_xlfn.CONCAT("char ",TRIM($B48),"[doc_question] ",CHAR(96),CHAR(34),SUBSTITUTE(SUBSTITUTE(SUBSTITUTE(SUBSTITUTE(SUBSTITUTE(SUBSTITUTE($E48,CHAR(13)," "),CHAR(10)," "),CHAR(9)," "),CHAR(92),_xlfn.CONCAT(CHAR(92),CHAR(92))),"$",_xlfn.CONCAT(CHAR(92),"$")),CHAR(96),_xlfn.CONCAT(CHAR(92),CHAR(96))),CHAR(34),CHAR(39))))</f>
        <v/>
      </c>
      <c r="P48" s="5" t="str">
        <f>IF(OR(TRIM($B48)="",$F48=""),"",IF(OR(ISNUMBER(SEARCH(_xlfn.CONCAT(CHAR(96),CHAR(34)),$F48)),ISNUMBER(SEARCH(_xlfn.CONCAT(CHAR(34),CHAR(39)),$F48))),_xlfn.CONCAT("* REVIEW REQUIRED: compound-quote delimiter in Units on Sheet 1 row ",48,"; edit the input before running."),_xlfn.CONCAT("char ",TRIM($B48),"[doc_units] ",CHAR(96),CHAR(34),SUBSTITUTE(SUBSTITUTE(SUBSTITUTE(SUBSTITUTE(SUBSTITUTE(SUBSTITUTE($F48,CHAR(13)," "),CHAR(10)," "),CHAR(9)," "),CHAR(92),_xlfn.CONCAT(CHAR(92),CHAR(92))),"$",_xlfn.CONCAT(CHAR(92),"$")),CHAR(96),_xlfn.CONCAT(CHAR(92),CHAR(96))),CHAR(34),CHAR(39))))</f>
        <v/>
      </c>
      <c r="Q48" s="5" t="str">
        <f>IF(OR(TRIM($B48)="",$G48=""),"",IF(OR(ISNUMBER(SEARCH(_xlfn.CONCAT(CHAR(96),CHAR(34)),$G48)),ISNUMBER(SEARCH(_xlfn.CONCAT(CHAR(34),CHAR(39)),$G48))),_xlfn.CONCAT("* REVIEW REQUIRED: compound-quote delimiter in Universe on Sheet 1 row ",48,"; edit the input before running."),_xlfn.CONCAT("char ",TRIM($B48),"[doc_universe] ",CHAR(96),CHAR(34),SUBSTITUTE(SUBSTITUTE(SUBSTITUTE(SUBSTITUTE(SUBSTITUTE(SUBSTITUTE($G48,CHAR(13)," "),CHAR(10)," "),CHAR(9)," "),CHAR(92),_xlfn.CONCAT(CHAR(92),CHAR(92))),"$",_xlfn.CONCAT(CHAR(92),"$")),CHAR(96),_xlfn.CONCAT(CHAR(92),CHAR(96))),CHAR(34),CHAR(39))))</f>
        <v/>
      </c>
      <c r="R48" s="5" t="str">
        <f>IF(OR(TRIM($B48)="",$H48=""),"",IF(OR(ISNUMBER(SEARCH(_xlfn.CONCAT(CHAR(96),CHAR(34)),$H48)),ISNUMBER(SEARCH(_xlfn.CONCAT(CHAR(34),CHAR(39)),$H48))),_xlfn.CONCAT("* REVIEW REQUIRED: compound-quote delimiter in Source on Sheet 1 row ",48,"; edit the input before running."),_xlfn.CONCAT("char ",TRIM($B48),"[doc_source] ",CHAR(96),CHAR(34),SUBSTITUTE(SUBSTITUTE(SUBSTITUTE(SUBSTITUTE(SUBSTITUTE(SUBSTITUTE($H48,CHAR(13)," "),CHAR(10)," "),CHAR(9)," "),CHAR(92),_xlfn.CONCAT(CHAR(92),CHAR(92))),"$",_xlfn.CONCAT(CHAR(92),"$")),CHAR(96),_xlfn.CONCAT(CHAR(92),CHAR(96))),CHAR(34),CHAR(39))))</f>
        <v/>
      </c>
      <c r="S48" s="5" t="str">
        <f>IF(OR(TRIM($B48)="",$I48=""),"",IF(OR(ISNUMBER(SEARCH(_xlfn.CONCAT(CHAR(96),CHAR(34)),$I48)),ISNUMBER(SEARCH(_xlfn.CONCAT(CHAR(34),CHAR(39)),$I48))),_xlfn.CONCAT("* REVIEW REQUIRED: compound-quote delimiter in Derivation on Sheet 1 row ",48,"; edit the input before running."),_xlfn.CONCAT("char ",TRIM($B48),"[doc_derivation] ",CHAR(96),CHAR(34),SUBSTITUTE(SUBSTITUTE(SUBSTITUTE(SUBSTITUTE(SUBSTITUTE(SUBSTITUTE($I48,CHAR(13)," "),CHAR(10)," "),CHAR(9)," "),CHAR(92),_xlfn.CONCAT(CHAR(92),CHAR(92))),"$",_xlfn.CONCAT(CHAR(92),"$")),CHAR(96),_xlfn.CONCAT(CHAR(92),CHAR(96))),CHAR(34),CHAR(39))))</f>
        <v/>
      </c>
      <c r="T48" s="5" t="str">
        <f>IF(OR(TRIM($B48)="",$J48=""),"",IF(OR(ISNUMBER(SEARCH(_xlfn.CONCAT(CHAR(96),CHAR(34)),$J48)),ISNUMBER(SEARCH(_xlfn.CONCAT(CHAR(34),CHAR(39)),$J48))),_xlfn.CONCAT("* REVIEW REQUIRED: compound-quote delimiter in Notes on Sheet 1 row ",48,"; edit the input before running."),_xlfn.CONCAT("char ",TRIM($B48),"[doc_notes] ",CHAR(96),CHAR(34),SUBSTITUTE(SUBSTITUTE(SUBSTITUTE(SUBSTITUTE(SUBSTITUTE(SUBSTITUTE($J48,CHAR(13)," "),CHAR(10)," "),CHAR(9)," "),CHAR(92),_xlfn.CONCAT(CHAR(92),CHAR(92))),"$",_xlfn.CONCAT(CHAR(92),"$")),CHAR(96),_xlfn.CONCAT(CHAR(92),CHAR(96))),CHAR(34),CHAR(39))))</f>
        <v/>
      </c>
      <c r="U48" s="5">
        <f t="shared" si="1"/>
        <v>0</v>
      </c>
    </row>
    <row r="49" spans="3:21" ht="30" customHeight="1" x14ac:dyDescent="0.2">
      <c r="C49" s="4"/>
      <c r="K49" s="5">
        <f t="shared" si="0"/>
        <v>0</v>
      </c>
      <c r="L49" s="5" t="str">
        <f>IF(OR(TRIM($B49)="",$A49=""),"",IF(OR(ISNUMBER(SEARCH(_xlfn.CONCAT(CHAR(96),CHAR(34)),$A49)),ISNUMBER(SEARCH(_xlfn.CONCAT(CHAR(34),CHAR(39)),$A49))),_xlfn.CONCAT("* REVIEW REQUIRED: compound-quote delimiter in Codebook Section on Sheet 1 row ",49,"; edit the input before running."),_xlfn.CONCAT("char ",TRIM($B49),"[doc_section] ",CHAR(96),CHAR(34),SUBSTITUTE(SUBSTITUTE(SUBSTITUTE(SUBSTITUTE(SUBSTITUTE(SUBSTITUTE($A49,CHAR(13)," "),CHAR(10)," "),CHAR(9)," "),CHAR(92),_xlfn.CONCAT(CHAR(92),CHAR(92))),"$",_xlfn.CONCAT(CHAR(92),"$")),CHAR(96),_xlfn.CONCAT(CHAR(92),CHAR(96))),CHAR(34),CHAR(39))))</f>
        <v/>
      </c>
      <c r="M49" s="5" t="str">
        <f>IF(OR(TRIM($B49)="",$C49=""),"",IF(IFERROR(MATCH(TRIM($C49),{"Quantitative","Continuous","Discrete","Categorical","Nominal","Ordinal","Identifier"},0),0)=0,_xlfn.CONCAT("* REVIEW REQUIRED: invalid Variable Type on Sheet 1 row ",49,"."),_xlfn.CONCAT("char ",TRIM($B49),"[doc_vartype] ",CHAR(96),CHAR(34),SUBSTITUTE(SUBSTITUTE(SUBSTITUTE(SUBSTITUTE(SUBSTITUTE(SUBSTITUTE(LOWER(TRIM($C49)),CHAR(13)," "),CHAR(10)," "),CHAR(9)," "),CHAR(92),_xlfn.CONCAT(CHAR(92),CHAR(92))),"$",_xlfn.CONCAT(CHAR(92),"$")),CHAR(96),_xlfn.CONCAT(CHAR(92),CHAR(96))),CHAR(34),CHAR(39))))</f>
        <v/>
      </c>
      <c r="N49" s="5" t="str">
        <f>IF(OR(TRIM($B49)="",$D49=""),"",IF(OR(ISNUMBER(SEARCH(_xlfn.CONCAT(CHAR(96),CHAR(34)),$D49)),ISNUMBER(SEARCH(_xlfn.CONCAT(CHAR(34),CHAR(39)),$D49))),_xlfn.CONCAT("* REVIEW REQUIRED: compound-quote delimiter in Item Number on Sheet 1 row ",49,"; edit the input before running."),_xlfn.CONCAT("char ",TRIM($B49),"[doc_itemnum] ",CHAR(96),CHAR(34),SUBSTITUTE(SUBSTITUTE(SUBSTITUTE(SUBSTITUTE(SUBSTITUTE(SUBSTITUTE($D49,CHAR(13)," "),CHAR(10)," "),CHAR(9)," "),CHAR(92),_xlfn.CONCAT(CHAR(92),CHAR(92))),"$",_xlfn.CONCAT(CHAR(92),"$")),CHAR(96),_xlfn.CONCAT(CHAR(92),CHAR(96))),CHAR(34),CHAR(39))))</f>
        <v/>
      </c>
      <c r="O49" s="5" t="str">
        <f>IF(OR(TRIM($B49)="",$E49=""),"",IF(OR(ISNUMBER(SEARCH(_xlfn.CONCAT(CHAR(96),CHAR(34)),$E49)),ISNUMBER(SEARCH(_xlfn.CONCAT(CHAR(34),CHAR(39)),$E49))),_xlfn.CONCAT("* REVIEW REQUIRED: compound-quote delimiter in Question Wording on Sheet 1 row ",49,"; edit the input before running."),_xlfn.CONCAT("char ",TRIM($B49),"[doc_question] ",CHAR(96),CHAR(34),SUBSTITUTE(SUBSTITUTE(SUBSTITUTE(SUBSTITUTE(SUBSTITUTE(SUBSTITUTE($E49,CHAR(13)," "),CHAR(10)," "),CHAR(9)," "),CHAR(92),_xlfn.CONCAT(CHAR(92),CHAR(92))),"$",_xlfn.CONCAT(CHAR(92),"$")),CHAR(96),_xlfn.CONCAT(CHAR(92),CHAR(96))),CHAR(34),CHAR(39))))</f>
        <v/>
      </c>
      <c r="P49" s="5" t="str">
        <f>IF(OR(TRIM($B49)="",$F49=""),"",IF(OR(ISNUMBER(SEARCH(_xlfn.CONCAT(CHAR(96),CHAR(34)),$F49)),ISNUMBER(SEARCH(_xlfn.CONCAT(CHAR(34),CHAR(39)),$F49))),_xlfn.CONCAT("* REVIEW REQUIRED: compound-quote delimiter in Units on Sheet 1 row ",49,"; edit the input before running."),_xlfn.CONCAT("char ",TRIM($B49),"[doc_units] ",CHAR(96),CHAR(34),SUBSTITUTE(SUBSTITUTE(SUBSTITUTE(SUBSTITUTE(SUBSTITUTE(SUBSTITUTE($F49,CHAR(13)," "),CHAR(10)," "),CHAR(9)," "),CHAR(92),_xlfn.CONCAT(CHAR(92),CHAR(92))),"$",_xlfn.CONCAT(CHAR(92),"$")),CHAR(96),_xlfn.CONCAT(CHAR(92),CHAR(96))),CHAR(34),CHAR(39))))</f>
        <v/>
      </c>
      <c r="Q49" s="5" t="str">
        <f>IF(OR(TRIM($B49)="",$G49=""),"",IF(OR(ISNUMBER(SEARCH(_xlfn.CONCAT(CHAR(96),CHAR(34)),$G49)),ISNUMBER(SEARCH(_xlfn.CONCAT(CHAR(34),CHAR(39)),$G49))),_xlfn.CONCAT("* REVIEW REQUIRED: compound-quote delimiter in Universe on Sheet 1 row ",49,"; edit the input before running."),_xlfn.CONCAT("char ",TRIM($B49),"[doc_universe] ",CHAR(96),CHAR(34),SUBSTITUTE(SUBSTITUTE(SUBSTITUTE(SUBSTITUTE(SUBSTITUTE(SUBSTITUTE($G49,CHAR(13)," "),CHAR(10)," "),CHAR(9)," "),CHAR(92),_xlfn.CONCAT(CHAR(92),CHAR(92))),"$",_xlfn.CONCAT(CHAR(92),"$")),CHAR(96),_xlfn.CONCAT(CHAR(92),CHAR(96))),CHAR(34),CHAR(39))))</f>
        <v/>
      </c>
      <c r="R49" s="5" t="str">
        <f>IF(OR(TRIM($B49)="",$H49=""),"",IF(OR(ISNUMBER(SEARCH(_xlfn.CONCAT(CHAR(96),CHAR(34)),$H49)),ISNUMBER(SEARCH(_xlfn.CONCAT(CHAR(34),CHAR(39)),$H49))),_xlfn.CONCAT("* REVIEW REQUIRED: compound-quote delimiter in Source on Sheet 1 row ",49,"; edit the input before running."),_xlfn.CONCAT("char ",TRIM($B49),"[doc_source] ",CHAR(96),CHAR(34),SUBSTITUTE(SUBSTITUTE(SUBSTITUTE(SUBSTITUTE(SUBSTITUTE(SUBSTITUTE($H49,CHAR(13)," "),CHAR(10)," "),CHAR(9)," "),CHAR(92),_xlfn.CONCAT(CHAR(92),CHAR(92))),"$",_xlfn.CONCAT(CHAR(92),"$")),CHAR(96),_xlfn.CONCAT(CHAR(92),CHAR(96))),CHAR(34),CHAR(39))))</f>
        <v/>
      </c>
      <c r="S49" s="5" t="str">
        <f>IF(OR(TRIM($B49)="",$I49=""),"",IF(OR(ISNUMBER(SEARCH(_xlfn.CONCAT(CHAR(96),CHAR(34)),$I49)),ISNUMBER(SEARCH(_xlfn.CONCAT(CHAR(34),CHAR(39)),$I49))),_xlfn.CONCAT("* REVIEW REQUIRED: compound-quote delimiter in Derivation on Sheet 1 row ",49,"; edit the input before running."),_xlfn.CONCAT("char ",TRIM($B49),"[doc_derivation] ",CHAR(96),CHAR(34),SUBSTITUTE(SUBSTITUTE(SUBSTITUTE(SUBSTITUTE(SUBSTITUTE(SUBSTITUTE($I49,CHAR(13)," "),CHAR(10)," "),CHAR(9)," "),CHAR(92),_xlfn.CONCAT(CHAR(92),CHAR(92))),"$",_xlfn.CONCAT(CHAR(92),"$")),CHAR(96),_xlfn.CONCAT(CHAR(92),CHAR(96))),CHAR(34),CHAR(39))))</f>
        <v/>
      </c>
      <c r="T49" s="5" t="str">
        <f>IF(OR(TRIM($B49)="",$J49=""),"",IF(OR(ISNUMBER(SEARCH(_xlfn.CONCAT(CHAR(96),CHAR(34)),$J49)),ISNUMBER(SEARCH(_xlfn.CONCAT(CHAR(34),CHAR(39)),$J49))),_xlfn.CONCAT("* REVIEW REQUIRED: compound-quote delimiter in Notes on Sheet 1 row ",49,"; edit the input before running."),_xlfn.CONCAT("char ",TRIM($B49),"[doc_notes] ",CHAR(96),CHAR(34),SUBSTITUTE(SUBSTITUTE(SUBSTITUTE(SUBSTITUTE(SUBSTITUTE(SUBSTITUTE($J49,CHAR(13)," "),CHAR(10)," "),CHAR(9)," "),CHAR(92),_xlfn.CONCAT(CHAR(92),CHAR(92))),"$",_xlfn.CONCAT(CHAR(92),"$")),CHAR(96),_xlfn.CONCAT(CHAR(92),CHAR(96))),CHAR(34),CHAR(39))))</f>
        <v/>
      </c>
      <c r="U49" s="5">
        <f t="shared" si="1"/>
        <v>0</v>
      </c>
    </row>
    <row r="50" spans="3:21" ht="30" customHeight="1" x14ac:dyDescent="0.2">
      <c r="C50" s="4"/>
      <c r="K50" s="5">
        <f t="shared" si="0"/>
        <v>0</v>
      </c>
      <c r="L50" s="5" t="str">
        <f>IF(OR(TRIM($B50)="",$A50=""),"",IF(OR(ISNUMBER(SEARCH(_xlfn.CONCAT(CHAR(96),CHAR(34)),$A50)),ISNUMBER(SEARCH(_xlfn.CONCAT(CHAR(34),CHAR(39)),$A50))),_xlfn.CONCAT("* REVIEW REQUIRED: compound-quote delimiter in Codebook Section on Sheet 1 row ",50,"; edit the input before running."),_xlfn.CONCAT("char ",TRIM($B50),"[doc_section] ",CHAR(96),CHAR(34),SUBSTITUTE(SUBSTITUTE(SUBSTITUTE(SUBSTITUTE(SUBSTITUTE(SUBSTITUTE($A50,CHAR(13)," "),CHAR(10)," "),CHAR(9)," "),CHAR(92),_xlfn.CONCAT(CHAR(92),CHAR(92))),"$",_xlfn.CONCAT(CHAR(92),"$")),CHAR(96),_xlfn.CONCAT(CHAR(92),CHAR(96))),CHAR(34),CHAR(39))))</f>
        <v/>
      </c>
      <c r="M50" s="5" t="str">
        <f>IF(OR(TRIM($B50)="",$C50=""),"",IF(IFERROR(MATCH(TRIM($C50),{"Quantitative","Continuous","Discrete","Categorical","Nominal","Ordinal","Identifier"},0),0)=0,_xlfn.CONCAT("* REVIEW REQUIRED: invalid Variable Type on Sheet 1 row ",50,"."),_xlfn.CONCAT("char ",TRIM($B50),"[doc_vartype] ",CHAR(96),CHAR(34),SUBSTITUTE(SUBSTITUTE(SUBSTITUTE(SUBSTITUTE(SUBSTITUTE(SUBSTITUTE(LOWER(TRIM($C50)),CHAR(13)," "),CHAR(10)," "),CHAR(9)," "),CHAR(92),_xlfn.CONCAT(CHAR(92),CHAR(92))),"$",_xlfn.CONCAT(CHAR(92),"$")),CHAR(96),_xlfn.CONCAT(CHAR(92),CHAR(96))),CHAR(34),CHAR(39))))</f>
        <v/>
      </c>
      <c r="N50" s="5" t="str">
        <f>IF(OR(TRIM($B50)="",$D50=""),"",IF(OR(ISNUMBER(SEARCH(_xlfn.CONCAT(CHAR(96),CHAR(34)),$D50)),ISNUMBER(SEARCH(_xlfn.CONCAT(CHAR(34),CHAR(39)),$D50))),_xlfn.CONCAT("* REVIEW REQUIRED: compound-quote delimiter in Item Number on Sheet 1 row ",50,"; edit the input before running."),_xlfn.CONCAT("char ",TRIM($B50),"[doc_itemnum] ",CHAR(96),CHAR(34),SUBSTITUTE(SUBSTITUTE(SUBSTITUTE(SUBSTITUTE(SUBSTITUTE(SUBSTITUTE($D50,CHAR(13)," "),CHAR(10)," "),CHAR(9)," "),CHAR(92),_xlfn.CONCAT(CHAR(92),CHAR(92))),"$",_xlfn.CONCAT(CHAR(92),"$")),CHAR(96),_xlfn.CONCAT(CHAR(92),CHAR(96))),CHAR(34),CHAR(39))))</f>
        <v/>
      </c>
      <c r="O50" s="5" t="str">
        <f>IF(OR(TRIM($B50)="",$E50=""),"",IF(OR(ISNUMBER(SEARCH(_xlfn.CONCAT(CHAR(96),CHAR(34)),$E50)),ISNUMBER(SEARCH(_xlfn.CONCAT(CHAR(34),CHAR(39)),$E50))),_xlfn.CONCAT("* REVIEW REQUIRED: compound-quote delimiter in Question Wording on Sheet 1 row ",50,"; edit the input before running."),_xlfn.CONCAT("char ",TRIM($B50),"[doc_question] ",CHAR(96),CHAR(34),SUBSTITUTE(SUBSTITUTE(SUBSTITUTE(SUBSTITUTE(SUBSTITUTE(SUBSTITUTE($E50,CHAR(13)," "),CHAR(10)," "),CHAR(9)," "),CHAR(92),_xlfn.CONCAT(CHAR(92),CHAR(92))),"$",_xlfn.CONCAT(CHAR(92),"$")),CHAR(96),_xlfn.CONCAT(CHAR(92),CHAR(96))),CHAR(34),CHAR(39))))</f>
        <v/>
      </c>
      <c r="P50" s="5" t="str">
        <f>IF(OR(TRIM($B50)="",$F50=""),"",IF(OR(ISNUMBER(SEARCH(_xlfn.CONCAT(CHAR(96),CHAR(34)),$F50)),ISNUMBER(SEARCH(_xlfn.CONCAT(CHAR(34),CHAR(39)),$F50))),_xlfn.CONCAT("* REVIEW REQUIRED: compound-quote delimiter in Units on Sheet 1 row ",50,"; edit the input before running."),_xlfn.CONCAT("char ",TRIM($B50),"[doc_units] ",CHAR(96),CHAR(34),SUBSTITUTE(SUBSTITUTE(SUBSTITUTE(SUBSTITUTE(SUBSTITUTE(SUBSTITUTE($F50,CHAR(13)," "),CHAR(10)," "),CHAR(9)," "),CHAR(92),_xlfn.CONCAT(CHAR(92),CHAR(92))),"$",_xlfn.CONCAT(CHAR(92),"$")),CHAR(96),_xlfn.CONCAT(CHAR(92),CHAR(96))),CHAR(34),CHAR(39))))</f>
        <v/>
      </c>
      <c r="Q50" s="5" t="str">
        <f>IF(OR(TRIM($B50)="",$G50=""),"",IF(OR(ISNUMBER(SEARCH(_xlfn.CONCAT(CHAR(96),CHAR(34)),$G50)),ISNUMBER(SEARCH(_xlfn.CONCAT(CHAR(34),CHAR(39)),$G50))),_xlfn.CONCAT("* REVIEW REQUIRED: compound-quote delimiter in Universe on Sheet 1 row ",50,"; edit the input before running."),_xlfn.CONCAT("char ",TRIM($B50),"[doc_universe] ",CHAR(96),CHAR(34),SUBSTITUTE(SUBSTITUTE(SUBSTITUTE(SUBSTITUTE(SUBSTITUTE(SUBSTITUTE($G50,CHAR(13)," "),CHAR(10)," "),CHAR(9)," "),CHAR(92),_xlfn.CONCAT(CHAR(92),CHAR(92))),"$",_xlfn.CONCAT(CHAR(92),"$")),CHAR(96),_xlfn.CONCAT(CHAR(92),CHAR(96))),CHAR(34),CHAR(39))))</f>
        <v/>
      </c>
      <c r="R50" s="5" t="str">
        <f>IF(OR(TRIM($B50)="",$H50=""),"",IF(OR(ISNUMBER(SEARCH(_xlfn.CONCAT(CHAR(96),CHAR(34)),$H50)),ISNUMBER(SEARCH(_xlfn.CONCAT(CHAR(34),CHAR(39)),$H50))),_xlfn.CONCAT("* REVIEW REQUIRED: compound-quote delimiter in Source on Sheet 1 row ",50,"; edit the input before running."),_xlfn.CONCAT("char ",TRIM($B50),"[doc_source] ",CHAR(96),CHAR(34),SUBSTITUTE(SUBSTITUTE(SUBSTITUTE(SUBSTITUTE(SUBSTITUTE(SUBSTITUTE($H50,CHAR(13)," "),CHAR(10)," "),CHAR(9)," "),CHAR(92),_xlfn.CONCAT(CHAR(92),CHAR(92))),"$",_xlfn.CONCAT(CHAR(92),"$")),CHAR(96),_xlfn.CONCAT(CHAR(92),CHAR(96))),CHAR(34),CHAR(39))))</f>
        <v/>
      </c>
      <c r="S50" s="5" t="str">
        <f>IF(OR(TRIM($B50)="",$I50=""),"",IF(OR(ISNUMBER(SEARCH(_xlfn.CONCAT(CHAR(96),CHAR(34)),$I50)),ISNUMBER(SEARCH(_xlfn.CONCAT(CHAR(34),CHAR(39)),$I50))),_xlfn.CONCAT("* REVIEW REQUIRED: compound-quote delimiter in Derivation on Sheet 1 row ",50,"; edit the input before running."),_xlfn.CONCAT("char ",TRIM($B50),"[doc_derivation] ",CHAR(96),CHAR(34),SUBSTITUTE(SUBSTITUTE(SUBSTITUTE(SUBSTITUTE(SUBSTITUTE(SUBSTITUTE($I50,CHAR(13)," "),CHAR(10)," "),CHAR(9)," "),CHAR(92),_xlfn.CONCAT(CHAR(92),CHAR(92))),"$",_xlfn.CONCAT(CHAR(92),"$")),CHAR(96),_xlfn.CONCAT(CHAR(92),CHAR(96))),CHAR(34),CHAR(39))))</f>
        <v/>
      </c>
      <c r="T50" s="5" t="str">
        <f>IF(OR(TRIM($B50)="",$J50=""),"",IF(OR(ISNUMBER(SEARCH(_xlfn.CONCAT(CHAR(96),CHAR(34)),$J50)),ISNUMBER(SEARCH(_xlfn.CONCAT(CHAR(34),CHAR(39)),$J50))),_xlfn.CONCAT("* REVIEW REQUIRED: compound-quote delimiter in Notes on Sheet 1 row ",50,"; edit the input before running."),_xlfn.CONCAT("char ",TRIM($B50),"[doc_notes] ",CHAR(96),CHAR(34),SUBSTITUTE(SUBSTITUTE(SUBSTITUTE(SUBSTITUTE(SUBSTITUTE(SUBSTITUTE($J50,CHAR(13)," "),CHAR(10)," "),CHAR(9)," "),CHAR(92),_xlfn.CONCAT(CHAR(92),CHAR(92))),"$",_xlfn.CONCAT(CHAR(92),"$")),CHAR(96),_xlfn.CONCAT(CHAR(92),CHAR(96))),CHAR(34),CHAR(39))))</f>
        <v/>
      </c>
      <c r="U50" s="5">
        <f t="shared" si="1"/>
        <v>0</v>
      </c>
    </row>
    <row r="51" spans="3:21" ht="30" customHeight="1" x14ac:dyDescent="0.2">
      <c r="C51" s="4"/>
      <c r="K51" s="5">
        <f t="shared" si="0"/>
        <v>0</v>
      </c>
      <c r="L51" s="5" t="str">
        <f>IF(OR(TRIM($B51)="",$A51=""),"",IF(OR(ISNUMBER(SEARCH(_xlfn.CONCAT(CHAR(96),CHAR(34)),$A51)),ISNUMBER(SEARCH(_xlfn.CONCAT(CHAR(34),CHAR(39)),$A51))),_xlfn.CONCAT("* REVIEW REQUIRED: compound-quote delimiter in Codebook Section on Sheet 1 row ",51,"; edit the input before running."),_xlfn.CONCAT("char ",TRIM($B51),"[doc_section] ",CHAR(96),CHAR(34),SUBSTITUTE(SUBSTITUTE(SUBSTITUTE(SUBSTITUTE(SUBSTITUTE(SUBSTITUTE($A51,CHAR(13)," "),CHAR(10)," "),CHAR(9)," "),CHAR(92),_xlfn.CONCAT(CHAR(92),CHAR(92))),"$",_xlfn.CONCAT(CHAR(92),"$")),CHAR(96),_xlfn.CONCAT(CHAR(92),CHAR(96))),CHAR(34),CHAR(39))))</f>
        <v/>
      </c>
      <c r="M51" s="5" t="str">
        <f>IF(OR(TRIM($B51)="",$C51=""),"",IF(IFERROR(MATCH(TRIM($C51),{"Quantitative","Continuous","Discrete","Categorical","Nominal","Ordinal","Identifier"},0),0)=0,_xlfn.CONCAT("* REVIEW REQUIRED: invalid Variable Type on Sheet 1 row ",51,"."),_xlfn.CONCAT("char ",TRIM($B51),"[doc_vartype] ",CHAR(96),CHAR(34),SUBSTITUTE(SUBSTITUTE(SUBSTITUTE(SUBSTITUTE(SUBSTITUTE(SUBSTITUTE(LOWER(TRIM($C51)),CHAR(13)," "),CHAR(10)," "),CHAR(9)," "),CHAR(92),_xlfn.CONCAT(CHAR(92),CHAR(92))),"$",_xlfn.CONCAT(CHAR(92),"$")),CHAR(96),_xlfn.CONCAT(CHAR(92),CHAR(96))),CHAR(34),CHAR(39))))</f>
        <v/>
      </c>
      <c r="N51" s="5" t="str">
        <f>IF(OR(TRIM($B51)="",$D51=""),"",IF(OR(ISNUMBER(SEARCH(_xlfn.CONCAT(CHAR(96),CHAR(34)),$D51)),ISNUMBER(SEARCH(_xlfn.CONCAT(CHAR(34),CHAR(39)),$D51))),_xlfn.CONCAT("* REVIEW REQUIRED: compound-quote delimiter in Item Number on Sheet 1 row ",51,"; edit the input before running."),_xlfn.CONCAT("char ",TRIM($B51),"[doc_itemnum] ",CHAR(96),CHAR(34),SUBSTITUTE(SUBSTITUTE(SUBSTITUTE(SUBSTITUTE(SUBSTITUTE(SUBSTITUTE($D51,CHAR(13)," "),CHAR(10)," "),CHAR(9)," "),CHAR(92),_xlfn.CONCAT(CHAR(92),CHAR(92))),"$",_xlfn.CONCAT(CHAR(92),"$")),CHAR(96),_xlfn.CONCAT(CHAR(92),CHAR(96))),CHAR(34),CHAR(39))))</f>
        <v/>
      </c>
      <c r="O51" s="5" t="str">
        <f>IF(OR(TRIM($B51)="",$E51=""),"",IF(OR(ISNUMBER(SEARCH(_xlfn.CONCAT(CHAR(96),CHAR(34)),$E51)),ISNUMBER(SEARCH(_xlfn.CONCAT(CHAR(34),CHAR(39)),$E51))),_xlfn.CONCAT("* REVIEW REQUIRED: compound-quote delimiter in Question Wording on Sheet 1 row ",51,"; edit the input before running."),_xlfn.CONCAT("char ",TRIM($B51),"[doc_question] ",CHAR(96),CHAR(34),SUBSTITUTE(SUBSTITUTE(SUBSTITUTE(SUBSTITUTE(SUBSTITUTE(SUBSTITUTE($E51,CHAR(13)," "),CHAR(10)," "),CHAR(9)," "),CHAR(92),_xlfn.CONCAT(CHAR(92),CHAR(92))),"$",_xlfn.CONCAT(CHAR(92),"$")),CHAR(96),_xlfn.CONCAT(CHAR(92),CHAR(96))),CHAR(34),CHAR(39))))</f>
        <v/>
      </c>
      <c r="P51" s="5" t="str">
        <f>IF(OR(TRIM($B51)="",$F51=""),"",IF(OR(ISNUMBER(SEARCH(_xlfn.CONCAT(CHAR(96),CHAR(34)),$F51)),ISNUMBER(SEARCH(_xlfn.CONCAT(CHAR(34),CHAR(39)),$F51))),_xlfn.CONCAT("* REVIEW REQUIRED: compound-quote delimiter in Units on Sheet 1 row ",51,"; edit the input before running."),_xlfn.CONCAT("char ",TRIM($B51),"[doc_units] ",CHAR(96),CHAR(34),SUBSTITUTE(SUBSTITUTE(SUBSTITUTE(SUBSTITUTE(SUBSTITUTE(SUBSTITUTE($F51,CHAR(13)," "),CHAR(10)," "),CHAR(9)," "),CHAR(92),_xlfn.CONCAT(CHAR(92),CHAR(92))),"$",_xlfn.CONCAT(CHAR(92),"$")),CHAR(96),_xlfn.CONCAT(CHAR(92),CHAR(96))),CHAR(34),CHAR(39))))</f>
        <v/>
      </c>
      <c r="Q51" s="5" t="str">
        <f>IF(OR(TRIM($B51)="",$G51=""),"",IF(OR(ISNUMBER(SEARCH(_xlfn.CONCAT(CHAR(96),CHAR(34)),$G51)),ISNUMBER(SEARCH(_xlfn.CONCAT(CHAR(34),CHAR(39)),$G51))),_xlfn.CONCAT("* REVIEW REQUIRED: compound-quote delimiter in Universe on Sheet 1 row ",51,"; edit the input before running."),_xlfn.CONCAT("char ",TRIM($B51),"[doc_universe] ",CHAR(96),CHAR(34),SUBSTITUTE(SUBSTITUTE(SUBSTITUTE(SUBSTITUTE(SUBSTITUTE(SUBSTITUTE($G51,CHAR(13)," "),CHAR(10)," "),CHAR(9)," "),CHAR(92),_xlfn.CONCAT(CHAR(92),CHAR(92))),"$",_xlfn.CONCAT(CHAR(92),"$")),CHAR(96),_xlfn.CONCAT(CHAR(92),CHAR(96))),CHAR(34),CHAR(39))))</f>
        <v/>
      </c>
      <c r="R51" s="5" t="str">
        <f>IF(OR(TRIM($B51)="",$H51=""),"",IF(OR(ISNUMBER(SEARCH(_xlfn.CONCAT(CHAR(96),CHAR(34)),$H51)),ISNUMBER(SEARCH(_xlfn.CONCAT(CHAR(34),CHAR(39)),$H51))),_xlfn.CONCAT("* REVIEW REQUIRED: compound-quote delimiter in Source on Sheet 1 row ",51,"; edit the input before running."),_xlfn.CONCAT("char ",TRIM($B51),"[doc_source] ",CHAR(96),CHAR(34),SUBSTITUTE(SUBSTITUTE(SUBSTITUTE(SUBSTITUTE(SUBSTITUTE(SUBSTITUTE($H51,CHAR(13)," "),CHAR(10)," "),CHAR(9)," "),CHAR(92),_xlfn.CONCAT(CHAR(92),CHAR(92))),"$",_xlfn.CONCAT(CHAR(92),"$")),CHAR(96),_xlfn.CONCAT(CHAR(92),CHAR(96))),CHAR(34),CHAR(39))))</f>
        <v/>
      </c>
      <c r="S51" s="5" t="str">
        <f>IF(OR(TRIM($B51)="",$I51=""),"",IF(OR(ISNUMBER(SEARCH(_xlfn.CONCAT(CHAR(96),CHAR(34)),$I51)),ISNUMBER(SEARCH(_xlfn.CONCAT(CHAR(34),CHAR(39)),$I51))),_xlfn.CONCAT("* REVIEW REQUIRED: compound-quote delimiter in Derivation on Sheet 1 row ",51,"; edit the input before running."),_xlfn.CONCAT("char ",TRIM($B51),"[doc_derivation] ",CHAR(96),CHAR(34),SUBSTITUTE(SUBSTITUTE(SUBSTITUTE(SUBSTITUTE(SUBSTITUTE(SUBSTITUTE($I51,CHAR(13)," "),CHAR(10)," "),CHAR(9)," "),CHAR(92),_xlfn.CONCAT(CHAR(92),CHAR(92))),"$",_xlfn.CONCAT(CHAR(92),"$")),CHAR(96),_xlfn.CONCAT(CHAR(92),CHAR(96))),CHAR(34),CHAR(39))))</f>
        <v/>
      </c>
      <c r="T51" s="5" t="str">
        <f>IF(OR(TRIM($B51)="",$J51=""),"",IF(OR(ISNUMBER(SEARCH(_xlfn.CONCAT(CHAR(96),CHAR(34)),$J51)),ISNUMBER(SEARCH(_xlfn.CONCAT(CHAR(34),CHAR(39)),$J51))),_xlfn.CONCAT("* REVIEW REQUIRED: compound-quote delimiter in Notes on Sheet 1 row ",51,"; edit the input before running."),_xlfn.CONCAT("char ",TRIM($B51),"[doc_notes] ",CHAR(96),CHAR(34),SUBSTITUTE(SUBSTITUTE(SUBSTITUTE(SUBSTITUTE(SUBSTITUTE(SUBSTITUTE($J51,CHAR(13)," "),CHAR(10)," "),CHAR(9)," "),CHAR(92),_xlfn.CONCAT(CHAR(92),CHAR(92))),"$",_xlfn.CONCAT(CHAR(92),"$")),CHAR(96),_xlfn.CONCAT(CHAR(92),CHAR(96))),CHAR(34),CHAR(39))))</f>
        <v/>
      </c>
      <c r="U51" s="5">
        <f t="shared" si="1"/>
        <v>0</v>
      </c>
    </row>
    <row r="52" spans="3:21" ht="30" customHeight="1" x14ac:dyDescent="0.2">
      <c r="C52" s="4"/>
      <c r="K52" s="5">
        <f t="shared" si="0"/>
        <v>0</v>
      </c>
      <c r="L52" s="5" t="str">
        <f>IF(OR(TRIM($B52)="",$A52=""),"",IF(OR(ISNUMBER(SEARCH(_xlfn.CONCAT(CHAR(96),CHAR(34)),$A52)),ISNUMBER(SEARCH(_xlfn.CONCAT(CHAR(34),CHAR(39)),$A52))),_xlfn.CONCAT("* REVIEW REQUIRED: compound-quote delimiter in Codebook Section on Sheet 1 row ",52,"; edit the input before running."),_xlfn.CONCAT("char ",TRIM($B52),"[doc_section] ",CHAR(96),CHAR(34),SUBSTITUTE(SUBSTITUTE(SUBSTITUTE(SUBSTITUTE(SUBSTITUTE(SUBSTITUTE($A52,CHAR(13)," "),CHAR(10)," "),CHAR(9)," "),CHAR(92),_xlfn.CONCAT(CHAR(92),CHAR(92))),"$",_xlfn.CONCAT(CHAR(92),"$")),CHAR(96),_xlfn.CONCAT(CHAR(92),CHAR(96))),CHAR(34),CHAR(39))))</f>
        <v/>
      </c>
      <c r="M52" s="5" t="str">
        <f>IF(OR(TRIM($B52)="",$C52=""),"",IF(IFERROR(MATCH(TRIM($C52),{"Quantitative","Continuous","Discrete","Categorical","Nominal","Ordinal","Identifier"},0),0)=0,_xlfn.CONCAT("* REVIEW REQUIRED: invalid Variable Type on Sheet 1 row ",52,"."),_xlfn.CONCAT("char ",TRIM($B52),"[doc_vartype] ",CHAR(96),CHAR(34),SUBSTITUTE(SUBSTITUTE(SUBSTITUTE(SUBSTITUTE(SUBSTITUTE(SUBSTITUTE(LOWER(TRIM($C52)),CHAR(13)," "),CHAR(10)," "),CHAR(9)," "),CHAR(92),_xlfn.CONCAT(CHAR(92),CHAR(92))),"$",_xlfn.CONCAT(CHAR(92),"$")),CHAR(96),_xlfn.CONCAT(CHAR(92),CHAR(96))),CHAR(34),CHAR(39))))</f>
        <v/>
      </c>
      <c r="N52" s="5" t="str">
        <f>IF(OR(TRIM($B52)="",$D52=""),"",IF(OR(ISNUMBER(SEARCH(_xlfn.CONCAT(CHAR(96),CHAR(34)),$D52)),ISNUMBER(SEARCH(_xlfn.CONCAT(CHAR(34),CHAR(39)),$D52))),_xlfn.CONCAT("* REVIEW REQUIRED: compound-quote delimiter in Item Number on Sheet 1 row ",52,"; edit the input before running."),_xlfn.CONCAT("char ",TRIM($B52),"[doc_itemnum] ",CHAR(96),CHAR(34),SUBSTITUTE(SUBSTITUTE(SUBSTITUTE(SUBSTITUTE(SUBSTITUTE(SUBSTITUTE($D52,CHAR(13)," "),CHAR(10)," "),CHAR(9)," "),CHAR(92),_xlfn.CONCAT(CHAR(92),CHAR(92))),"$",_xlfn.CONCAT(CHAR(92),"$")),CHAR(96),_xlfn.CONCAT(CHAR(92),CHAR(96))),CHAR(34),CHAR(39))))</f>
        <v/>
      </c>
      <c r="O52" s="5" t="str">
        <f>IF(OR(TRIM($B52)="",$E52=""),"",IF(OR(ISNUMBER(SEARCH(_xlfn.CONCAT(CHAR(96),CHAR(34)),$E52)),ISNUMBER(SEARCH(_xlfn.CONCAT(CHAR(34),CHAR(39)),$E52))),_xlfn.CONCAT("* REVIEW REQUIRED: compound-quote delimiter in Question Wording on Sheet 1 row ",52,"; edit the input before running."),_xlfn.CONCAT("char ",TRIM($B52),"[doc_question] ",CHAR(96),CHAR(34),SUBSTITUTE(SUBSTITUTE(SUBSTITUTE(SUBSTITUTE(SUBSTITUTE(SUBSTITUTE($E52,CHAR(13)," "),CHAR(10)," "),CHAR(9)," "),CHAR(92),_xlfn.CONCAT(CHAR(92),CHAR(92))),"$",_xlfn.CONCAT(CHAR(92),"$")),CHAR(96),_xlfn.CONCAT(CHAR(92),CHAR(96))),CHAR(34),CHAR(39))))</f>
        <v/>
      </c>
      <c r="P52" s="5" t="str">
        <f>IF(OR(TRIM($B52)="",$F52=""),"",IF(OR(ISNUMBER(SEARCH(_xlfn.CONCAT(CHAR(96),CHAR(34)),$F52)),ISNUMBER(SEARCH(_xlfn.CONCAT(CHAR(34),CHAR(39)),$F52))),_xlfn.CONCAT("* REVIEW REQUIRED: compound-quote delimiter in Units on Sheet 1 row ",52,"; edit the input before running."),_xlfn.CONCAT("char ",TRIM($B52),"[doc_units] ",CHAR(96),CHAR(34),SUBSTITUTE(SUBSTITUTE(SUBSTITUTE(SUBSTITUTE(SUBSTITUTE(SUBSTITUTE($F52,CHAR(13)," "),CHAR(10)," "),CHAR(9)," "),CHAR(92),_xlfn.CONCAT(CHAR(92),CHAR(92))),"$",_xlfn.CONCAT(CHAR(92),"$")),CHAR(96),_xlfn.CONCAT(CHAR(92),CHAR(96))),CHAR(34),CHAR(39))))</f>
        <v/>
      </c>
      <c r="Q52" s="5" t="str">
        <f>IF(OR(TRIM($B52)="",$G52=""),"",IF(OR(ISNUMBER(SEARCH(_xlfn.CONCAT(CHAR(96),CHAR(34)),$G52)),ISNUMBER(SEARCH(_xlfn.CONCAT(CHAR(34),CHAR(39)),$G52))),_xlfn.CONCAT("* REVIEW REQUIRED: compound-quote delimiter in Universe on Sheet 1 row ",52,"; edit the input before running."),_xlfn.CONCAT("char ",TRIM($B52),"[doc_universe] ",CHAR(96),CHAR(34),SUBSTITUTE(SUBSTITUTE(SUBSTITUTE(SUBSTITUTE(SUBSTITUTE(SUBSTITUTE($G52,CHAR(13)," "),CHAR(10)," "),CHAR(9)," "),CHAR(92),_xlfn.CONCAT(CHAR(92),CHAR(92))),"$",_xlfn.CONCAT(CHAR(92),"$")),CHAR(96),_xlfn.CONCAT(CHAR(92),CHAR(96))),CHAR(34),CHAR(39))))</f>
        <v/>
      </c>
      <c r="R52" s="5" t="str">
        <f>IF(OR(TRIM($B52)="",$H52=""),"",IF(OR(ISNUMBER(SEARCH(_xlfn.CONCAT(CHAR(96),CHAR(34)),$H52)),ISNUMBER(SEARCH(_xlfn.CONCAT(CHAR(34),CHAR(39)),$H52))),_xlfn.CONCAT("* REVIEW REQUIRED: compound-quote delimiter in Source on Sheet 1 row ",52,"; edit the input before running."),_xlfn.CONCAT("char ",TRIM($B52),"[doc_source] ",CHAR(96),CHAR(34),SUBSTITUTE(SUBSTITUTE(SUBSTITUTE(SUBSTITUTE(SUBSTITUTE(SUBSTITUTE($H52,CHAR(13)," "),CHAR(10)," "),CHAR(9)," "),CHAR(92),_xlfn.CONCAT(CHAR(92),CHAR(92))),"$",_xlfn.CONCAT(CHAR(92),"$")),CHAR(96),_xlfn.CONCAT(CHAR(92),CHAR(96))),CHAR(34),CHAR(39))))</f>
        <v/>
      </c>
      <c r="S52" s="5" t="str">
        <f>IF(OR(TRIM($B52)="",$I52=""),"",IF(OR(ISNUMBER(SEARCH(_xlfn.CONCAT(CHAR(96),CHAR(34)),$I52)),ISNUMBER(SEARCH(_xlfn.CONCAT(CHAR(34),CHAR(39)),$I52))),_xlfn.CONCAT("* REVIEW REQUIRED: compound-quote delimiter in Derivation on Sheet 1 row ",52,"; edit the input before running."),_xlfn.CONCAT("char ",TRIM($B52),"[doc_derivation] ",CHAR(96),CHAR(34),SUBSTITUTE(SUBSTITUTE(SUBSTITUTE(SUBSTITUTE(SUBSTITUTE(SUBSTITUTE($I52,CHAR(13)," "),CHAR(10)," "),CHAR(9)," "),CHAR(92),_xlfn.CONCAT(CHAR(92),CHAR(92))),"$",_xlfn.CONCAT(CHAR(92),"$")),CHAR(96),_xlfn.CONCAT(CHAR(92),CHAR(96))),CHAR(34),CHAR(39))))</f>
        <v/>
      </c>
      <c r="T52" s="5" t="str">
        <f>IF(OR(TRIM($B52)="",$J52=""),"",IF(OR(ISNUMBER(SEARCH(_xlfn.CONCAT(CHAR(96),CHAR(34)),$J52)),ISNUMBER(SEARCH(_xlfn.CONCAT(CHAR(34),CHAR(39)),$J52))),_xlfn.CONCAT("* REVIEW REQUIRED: compound-quote delimiter in Notes on Sheet 1 row ",52,"; edit the input before running."),_xlfn.CONCAT("char ",TRIM($B52),"[doc_notes] ",CHAR(96),CHAR(34),SUBSTITUTE(SUBSTITUTE(SUBSTITUTE(SUBSTITUTE(SUBSTITUTE(SUBSTITUTE($J52,CHAR(13)," "),CHAR(10)," "),CHAR(9)," "),CHAR(92),_xlfn.CONCAT(CHAR(92),CHAR(92))),"$",_xlfn.CONCAT(CHAR(92),"$")),CHAR(96),_xlfn.CONCAT(CHAR(92),CHAR(96))),CHAR(34),CHAR(39))))</f>
        <v/>
      </c>
      <c r="U52" s="5">
        <f t="shared" si="1"/>
        <v>0</v>
      </c>
    </row>
    <row r="53" spans="3:21" ht="30" customHeight="1" x14ac:dyDescent="0.2">
      <c r="C53" s="4"/>
      <c r="K53" s="5">
        <f t="shared" si="0"/>
        <v>0</v>
      </c>
      <c r="L53" s="5" t="str">
        <f>IF(OR(TRIM($B53)="",$A53=""),"",IF(OR(ISNUMBER(SEARCH(_xlfn.CONCAT(CHAR(96),CHAR(34)),$A53)),ISNUMBER(SEARCH(_xlfn.CONCAT(CHAR(34),CHAR(39)),$A53))),_xlfn.CONCAT("* REVIEW REQUIRED: compound-quote delimiter in Codebook Section on Sheet 1 row ",53,"; edit the input before running."),_xlfn.CONCAT("char ",TRIM($B53),"[doc_section] ",CHAR(96),CHAR(34),SUBSTITUTE(SUBSTITUTE(SUBSTITUTE(SUBSTITUTE(SUBSTITUTE(SUBSTITUTE($A53,CHAR(13)," "),CHAR(10)," "),CHAR(9)," "),CHAR(92),_xlfn.CONCAT(CHAR(92),CHAR(92))),"$",_xlfn.CONCAT(CHAR(92),"$")),CHAR(96),_xlfn.CONCAT(CHAR(92),CHAR(96))),CHAR(34),CHAR(39))))</f>
        <v/>
      </c>
      <c r="M53" s="5" t="str">
        <f>IF(OR(TRIM($B53)="",$C53=""),"",IF(IFERROR(MATCH(TRIM($C53),{"Quantitative","Continuous","Discrete","Categorical","Nominal","Ordinal","Identifier"},0),0)=0,_xlfn.CONCAT("* REVIEW REQUIRED: invalid Variable Type on Sheet 1 row ",53,"."),_xlfn.CONCAT("char ",TRIM($B53),"[doc_vartype] ",CHAR(96),CHAR(34),SUBSTITUTE(SUBSTITUTE(SUBSTITUTE(SUBSTITUTE(SUBSTITUTE(SUBSTITUTE(LOWER(TRIM($C53)),CHAR(13)," "),CHAR(10)," "),CHAR(9)," "),CHAR(92),_xlfn.CONCAT(CHAR(92),CHAR(92))),"$",_xlfn.CONCAT(CHAR(92),"$")),CHAR(96),_xlfn.CONCAT(CHAR(92),CHAR(96))),CHAR(34),CHAR(39))))</f>
        <v/>
      </c>
      <c r="N53" s="5" t="str">
        <f>IF(OR(TRIM($B53)="",$D53=""),"",IF(OR(ISNUMBER(SEARCH(_xlfn.CONCAT(CHAR(96),CHAR(34)),$D53)),ISNUMBER(SEARCH(_xlfn.CONCAT(CHAR(34),CHAR(39)),$D53))),_xlfn.CONCAT("* REVIEW REQUIRED: compound-quote delimiter in Item Number on Sheet 1 row ",53,"; edit the input before running."),_xlfn.CONCAT("char ",TRIM($B53),"[doc_itemnum] ",CHAR(96),CHAR(34),SUBSTITUTE(SUBSTITUTE(SUBSTITUTE(SUBSTITUTE(SUBSTITUTE(SUBSTITUTE($D53,CHAR(13)," "),CHAR(10)," "),CHAR(9)," "),CHAR(92),_xlfn.CONCAT(CHAR(92),CHAR(92))),"$",_xlfn.CONCAT(CHAR(92),"$")),CHAR(96),_xlfn.CONCAT(CHAR(92),CHAR(96))),CHAR(34),CHAR(39))))</f>
        <v/>
      </c>
      <c r="O53" s="5" t="str">
        <f>IF(OR(TRIM($B53)="",$E53=""),"",IF(OR(ISNUMBER(SEARCH(_xlfn.CONCAT(CHAR(96),CHAR(34)),$E53)),ISNUMBER(SEARCH(_xlfn.CONCAT(CHAR(34),CHAR(39)),$E53))),_xlfn.CONCAT("* REVIEW REQUIRED: compound-quote delimiter in Question Wording on Sheet 1 row ",53,"; edit the input before running."),_xlfn.CONCAT("char ",TRIM($B53),"[doc_question] ",CHAR(96),CHAR(34),SUBSTITUTE(SUBSTITUTE(SUBSTITUTE(SUBSTITUTE(SUBSTITUTE(SUBSTITUTE($E53,CHAR(13)," "),CHAR(10)," "),CHAR(9)," "),CHAR(92),_xlfn.CONCAT(CHAR(92),CHAR(92))),"$",_xlfn.CONCAT(CHAR(92),"$")),CHAR(96),_xlfn.CONCAT(CHAR(92),CHAR(96))),CHAR(34),CHAR(39))))</f>
        <v/>
      </c>
      <c r="P53" s="5" t="str">
        <f>IF(OR(TRIM($B53)="",$F53=""),"",IF(OR(ISNUMBER(SEARCH(_xlfn.CONCAT(CHAR(96),CHAR(34)),$F53)),ISNUMBER(SEARCH(_xlfn.CONCAT(CHAR(34),CHAR(39)),$F53))),_xlfn.CONCAT("* REVIEW REQUIRED: compound-quote delimiter in Units on Sheet 1 row ",53,"; edit the input before running."),_xlfn.CONCAT("char ",TRIM($B53),"[doc_units] ",CHAR(96),CHAR(34),SUBSTITUTE(SUBSTITUTE(SUBSTITUTE(SUBSTITUTE(SUBSTITUTE(SUBSTITUTE($F53,CHAR(13)," "),CHAR(10)," "),CHAR(9)," "),CHAR(92),_xlfn.CONCAT(CHAR(92),CHAR(92))),"$",_xlfn.CONCAT(CHAR(92),"$")),CHAR(96),_xlfn.CONCAT(CHAR(92),CHAR(96))),CHAR(34),CHAR(39))))</f>
        <v/>
      </c>
      <c r="Q53" s="5" t="str">
        <f>IF(OR(TRIM($B53)="",$G53=""),"",IF(OR(ISNUMBER(SEARCH(_xlfn.CONCAT(CHAR(96),CHAR(34)),$G53)),ISNUMBER(SEARCH(_xlfn.CONCAT(CHAR(34),CHAR(39)),$G53))),_xlfn.CONCAT("* REVIEW REQUIRED: compound-quote delimiter in Universe on Sheet 1 row ",53,"; edit the input before running."),_xlfn.CONCAT("char ",TRIM($B53),"[doc_universe] ",CHAR(96),CHAR(34),SUBSTITUTE(SUBSTITUTE(SUBSTITUTE(SUBSTITUTE(SUBSTITUTE(SUBSTITUTE($G53,CHAR(13)," "),CHAR(10)," "),CHAR(9)," "),CHAR(92),_xlfn.CONCAT(CHAR(92),CHAR(92))),"$",_xlfn.CONCAT(CHAR(92),"$")),CHAR(96),_xlfn.CONCAT(CHAR(92),CHAR(96))),CHAR(34),CHAR(39))))</f>
        <v/>
      </c>
      <c r="R53" s="5" t="str">
        <f>IF(OR(TRIM($B53)="",$H53=""),"",IF(OR(ISNUMBER(SEARCH(_xlfn.CONCAT(CHAR(96),CHAR(34)),$H53)),ISNUMBER(SEARCH(_xlfn.CONCAT(CHAR(34),CHAR(39)),$H53))),_xlfn.CONCAT("* REVIEW REQUIRED: compound-quote delimiter in Source on Sheet 1 row ",53,"; edit the input before running."),_xlfn.CONCAT("char ",TRIM($B53),"[doc_source] ",CHAR(96),CHAR(34),SUBSTITUTE(SUBSTITUTE(SUBSTITUTE(SUBSTITUTE(SUBSTITUTE(SUBSTITUTE($H53,CHAR(13)," "),CHAR(10)," "),CHAR(9)," "),CHAR(92),_xlfn.CONCAT(CHAR(92),CHAR(92))),"$",_xlfn.CONCAT(CHAR(92),"$")),CHAR(96),_xlfn.CONCAT(CHAR(92),CHAR(96))),CHAR(34),CHAR(39))))</f>
        <v/>
      </c>
      <c r="S53" s="5" t="str">
        <f>IF(OR(TRIM($B53)="",$I53=""),"",IF(OR(ISNUMBER(SEARCH(_xlfn.CONCAT(CHAR(96),CHAR(34)),$I53)),ISNUMBER(SEARCH(_xlfn.CONCAT(CHAR(34),CHAR(39)),$I53))),_xlfn.CONCAT("* REVIEW REQUIRED: compound-quote delimiter in Derivation on Sheet 1 row ",53,"; edit the input before running."),_xlfn.CONCAT("char ",TRIM($B53),"[doc_derivation] ",CHAR(96),CHAR(34),SUBSTITUTE(SUBSTITUTE(SUBSTITUTE(SUBSTITUTE(SUBSTITUTE(SUBSTITUTE($I53,CHAR(13)," "),CHAR(10)," "),CHAR(9)," "),CHAR(92),_xlfn.CONCAT(CHAR(92),CHAR(92))),"$",_xlfn.CONCAT(CHAR(92),"$")),CHAR(96),_xlfn.CONCAT(CHAR(92),CHAR(96))),CHAR(34),CHAR(39))))</f>
        <v/>
      </c>
      <c r="T53" s="5" t="str">
        <f>IF(OR(TRIM($B53)="",$J53=""),"",IF(OR(ISNUMBER(SEARCH(_xlfn.CONCAT(CHAR(96),CHAR(34)),$J53)),ISNUMBER(SEARCH(_xlfn.CONCAT(CHAR(34),CHAR(39)),$J53))),_xlfn.CONCAT("* REVIEW REQUIRED: compound-quote delimiter in Notes on Sheet 1 row ",53,"; edit the input before running."),_xlfn.CONCAT("char ",TRIM($B53),"[doc_notes] ",CHAR(96),CHAR(34),SUBSTITUTE(SUBSTITUTE(SUBSTITUTE(SUBSTITUTE(SUBSTITUTE(SUBSTITUTE($J53,CHAR(13)," "),CHAR(10)," "),CHAR(9)," "),CHAR(92),_xlfn.CONCAT(CHAR(92),CHAR(92))),"$",_xlfn.CONCAT(CHAR(92),"$")),CHAR(96),_xlfn.CONCAT(CHAR(92),CHAR(96))),CHAR(34),CHAR(39))))</f>
        <v/>
      </c>
      <c r="U53" s="5">
        <f t="shared" si="1"/>
        <v>0</v>
      </c>
    </row>
    <row r="54" spans="3:21" ht="30" customHeight="1" x14ac:dyDescent="0.2">
      <c r="C54" s="4"/>
      <c r="K54" s="5">
        <f t="shared" si="0"/>
        <v>0</v>
      </c>
      <c r="L54" s="5" t="str">
        <f>IF(OR(TRIM($B54)="",$A54=""),"",IF(OR(ISNUMBER(SEARCH(_xlfn.CONCAT(CHAR(96),CHAR(34)),$A54)),ISNUMBER(SEARCH(_xlfn.CONCAT(CHAR(34),CHAR(39)),$A54))),_xlfn.CONCAT("* REVIEW REQUIRED: compound-quote delimiter in Codebook Section on Sheet 1 row ",54,"; edit the input before running."),_xlfn.CONCAT("char ",TRIM($B54),"[doc_section] ",CHAR(96),CHAR(34),SUBSTITUTE(SUBSTITUTE(SUBSTITUTE(SUBSTITUTE(SUBSTITUTE(SUBSTITUTE($A54,CHAR(13)," "),CHAR(10)," "),CHAR(9)," "),CHAR(92),_xlfn.CONCAT(CHAR(92),CHAR(92))),"$",_xlfn.CONCAT(CHAR(92),"$")),CHAR(96),_xlfn.CONCAT(CHAR(92),CHAR(96))),CHAR(34),CHAR(39))))</f>
        <v/>
      </c>
      <c r="M54" s="5" t="str">
        <f>IF(OR(TRIM($B54)="",$C54=""),"",IF(IFERROR(MATCH(TRIM($C54),{"Quantitative","Continuous","Discrete","Categorical","Nominal","Ordinal","Identifier"},0),0)=0,_xlfn.CONCAT("* REVIEW REQUIRED: invalid Variable Type on Sheet 1 row ",54,"."),_xlfn.CONCAT("char ",TRIM($B54),"[doc_vartype] ",CHAR(96),CHAR(34),SUBSTITUTE(SUBSTITUTE(SUBSTITUTE(SUBSTITUTE(SUBSTITUTE(SUBSTITUTE(LOWER(TRIM($C54)),CHAR(13)," "),CHAR(10)," "),CHAR(9)," "),CHAR(92),_xlfn.CONCAT(CHAR(92),CHAR(92))),"$",_xlfn.CONCAT(CHAR(92),"$")),CHAR(96),_xlfn.CONCAT(CHAR(92),CHAR(96))),CHAR(34),CHAR(39))))</f>
        <v/>
      </c>
      <c r="N54" s="5" t="str">
        <f>IF(OR(TRIM($B54)="",$D54=""),"",IF(OR(ISNUMBER(SEARCH(_xlfn.CONCAT(CHAR(96),CHAR(34)),$D54)),ISNUMBER(SEARCH(_xlfn.CONCAT(CHAR(34),CHAR(39)),$D54))),_xlfn.CONCAT("* REVIEW REQUIRED: compound-quote delimiter in Item Number on Sheet 1 row ",54,"; edit the input before running."),_xlfn.CONCAT("char ",TRIM($B54),"[doc_itemnum] ",CHAR(96),CHAR(34),SUBSTITUTE(SUBSTITUTE(SUBSTITUTE(SUBSTITUTE(SUBSTITUTE(SUBSTITUTE($D54,CHAR(13)," "),CHAR(10)," "),CHAR(9)," "),CHAR(92),_xlfn.CONCAT(CHAR(92),CHAR(92))),"$",_xlfn.CONCAT(CHAR(92),"$")),CHAR(96),_xlfn.CONCAT(CHAR(92),CHAR(96))),CHAR(34),CHAR(39))))</f>
        <v/>
      </c>
      <c r="O54" s="5" t="str">
        <f>IF(OR(TRIM($B54)="",$E54=""),"",IF(OR(ISNUMBER(SEARCH(_xlfn.CONCAT(CHAR(96),CHAR(34)),$E54)),ISNUMBER(SEARCH(_xlfn.CONCAT(CHAR(34),CHAR(39)),$E54))),_xlfn.CONCAT("* REVIEW REQUIRED: compound-quote delimiter in Question Wording on Sheet 1 row ",54,"; edit the input before running."),_xlfn.CONCAT("char ",TRIM($B54),"[doc_question] ",CHAR(96),CHAR(34),SUBSTITUTE(SUBSTITUTE(SUBSTITUTE(SUBSTITUTE(SUBSTITUTE(SUBSTITUTE($E54,CHAR(13)," "),CHAR(10)," "),CHAR(9)," "),CHAR(92),_xlfn.CONCAT(CHAR(92),CHAR(92))),"$",_xlfn.CONCAT(CHAR(92),"$")),CHAR(96),_xlfn.CONCAT(CHAR(92),CHAR(96))),CHAR(34),CHAR(39))))</f>
        <v/>
      </c>
      <c r="P54" s="5" t="str">
        <f>IF(OR(TRIM($B54)="",$F54=""),"",IF(OR(ISNUMBER(SEARCH(_xlfn.CONCAT(CHAR(96),CHAR(34)),$F54)),ISNUMBER(SEARCH(_xlfn.CONCAT(CHAR(34),CHAR(39)),$F54))),_xlfn.CONCAT("* REVIEW REQUIRED: compound-quote delimiter in Units on Sheet 1 row ",54,"; edit the input before running."),_xlfn.CONCAT("char ",TRIM($B54),"[doc_units] ",CHAR(96),CHAR(34),SUBSTITUTE(SUBSTITUTE(SUBSTITUTE(SUBSTITUTE(SUBSTITUTE(SUBSTITUTE($F54,CHAR(13)," "),CHAR(10)," "),CHAR(9)," "),CHAR(92),_xlfn.CONCAT(CHAR(92),CHAR(92))),"$",_xlfn.CONCAT(CHAR(92),"$")),CHAR(96),_xlfn.CONCAT(CHAR(92),CHAR(96))),CHAR(34),CHAR(39))))</f>
        <v/>
      </c>
      <c r="Q54" s="5" t="str">
        <f>IF(OR(TRIM($B54)="",$G54=""),"",IF(OR(ISNUMBER(SEARCH(_xlfn.CONCAT(CHAR(96),CHAR(34)),$G54)),ISNUMBER(SEARCH(_xlfn.CONCAT(CHAR(34),CHAR(39)),$G54))),_xlfn.CONCAT("* REVIEW REQUIRED: compound-quote delimiter in Universe on Sheet 1 row ",54,"; edit the input before running."),_xlfn.CONCAT("char ",TRIM($B54),"[doc_universe] ",CHAR(96),CHAR(34),SUBSTITUTE(SUBSTITUTE(SUBSTITUTE(SUBSTITUTE(SUBSTITUTE(SUBSTITUTE($G54,CHAR(13)," "),CHAR(10)," "),CHAR(9)," "),CHAR(92),_xlfn.CONCAT(CHAR(92),CHAR(92))),"$",_xlfn.CONCAT(CHAR(92),"$")),CHAR(96),_xlfn.CONCAT(CHAR(92),CHAR(96))),CHAR(34),CHAR(39))))</f>
        <v/>
      </c>
      <c r="R54" s="5" t="str">
        <f>IF(OR(TRIM($B54)="",$H54=""),"",IF(OR(ISNUMBER(SEARCH(_xlfn.CONCAT(CHAR(96),CHAR(34)),$H54)),ISNUMBER(SEARCH(_xlfn.CONCAT(CHAR(34),CHAR(39)),$H54))),_xlfn.CONCAT("* REVIEW REQUIRED: compound-quote delimiter in Source on Sheet 1 row ",54,"; edit the input before running."),_xlfn.CONCAT("char ",TRIM($B54),"[doc_source] ",CHAR(96),CHAR(34),SUBSTITUTE(SUBSTITUTE(SUBSTITUTE(SUBSTITUTE(SUBSTITUTE(SUBSTITUTE($H54,CHAR(13)," "),CHAR(10)," "),CHAR(9)," "),CHAR(92),_xlfn.CONCAT(CHAR(92),CHAR(92))),"$",_xlfn.CONCAT(CHAR(92),"$")),CHAR(96),_xlfn.CONCAT(CHAR(92),CHAR(96))),CHAR(34),CHAR(39))))</f>
        <v/>
      </c>
      <c r="S54" s="5" t="str">
        <f>IF(OR(TRIM($B54)="",$I54=""),"",IF(OR(ISNUMBER(SEARCH(_xlfn.CONCAT(CHAR(96),CHAR(34)),$I54)),ISNUMBER(SEARCH(_xlfn.CONCAT(CHAR(34),CHAR(39)),$I54))),_xlfn.CONCAT("* REVIEW REQUIRED: compound-quote delimiter in Derivation on Sheet 1 row ",54,"; edit the input before running."),_xlfn.CONCAT("char ",TRIM($B54),"[doc_derivation] ",CHAR(96),CHAR(34),SUBSTITUTE(SUBSTITUTE(SUBSTITUTE(SUBSTITUTE(SUBSTITUTE(SUBSTITUTE($I54,CHAR(13)," "),CHAR(10)," "),CHAR(9)," "),CHAR(92),_xlfn.CONCAT(CHAR(92),CHAR(92))),"$",_xlfn.CONCAT(CHAR(92),"$")),CHAR(96),_xlfn.CONCAT(CHAR(92),CHAR(96))),CHAR(34),CHAR(39))))</f>
        <v/>
      </c>
      <c r="T54" s="5" t="str">
        <f>IF(OR(TRIM($B54)="",$J54=""),"",IF(OR(ISNUMBER(SEARCH(_xlfn.CONCAT(CHAR(96),CHAR(34)),$J54)),ISNUMBER(SEARCH(_xlfn.CONCAT(CHAR(34),CHAR(39)),$J54))),_xlfn.CONCAT("* REVIEW REQUIRED: compound-quote delimiter in Notes on Sheet 1 row ",54,"; edit the input before running."),_xlfn.CONCAT("char ",TRIM($B54),"[doc_notes] ",CHAR(96),CHAR(34),SUBSTITUTE(SUBSTITUTE(SUBSTITUTE(SUBSTITUTE(SUBSTITUTE(SUBSTITUTE($J54,CHAR(13)," "),CHAR(10)," "),CHAR(9)," "),CHAR(92),_xlfn.CONCAT(CHAR(92),CHAR(92))),"$",_xlfn.CONCAT(CHAR(92),"$")),CHAR(96),_xlfn.CONCAT(CHAR(92),CHAR(96))),CHAR(34),CHAR(39))))</f>
        <v/>
      </c>
      <c r="U54" s="5">
        <f t="shared" si="1"/>
        <v>0</v>
      </c>
    </row>
    <row r="55" spans="3:21" ht="30" customHeight="1" x14ac:dyDescent="0.2">
      <c r="C55" s="4"/>
      <c r="K55" s="5">
        <f t="shared" si="0"/>
        <v>0</v>
      </c>
      <c r="L55" s="5" t="str">
        <f>IF(OR(TRIM($B55)="",$A55=""),"",IF(OR(ISNUMBER(SEARCH(_xlfn.CONCAT(CHAR(96),CHAR(34)),$A55)),ISNUMBER(SEARCH(_xlfn.CONCAT(CHAR(34),CHAR(39)),$A55))),_xlfn.CONCAT("* REVIEW REQUIRED: compound-quote delimiter in Codebook Section on Sheet 1 row ",55,"; edit the input before running."),_xlfn.CONCAT("char ",TRIM($B55),"[doc_section] ",CHAR(96),CHAR(34),SUBSTITUTE(SUBSTITUTE(SUBSTITUTE(SUBSTITUTE(SUBSTITUTE(SUBSTITUTE($A55,CHAR(13)," "),CHAR(10)," "),CHAR(9)," "),CHAR(92),_xlfn.CONCAT(CHAR(92),CHAR(92))),"$",_xlfn.CONCAT(CHAR(92),"$")),CHAR(96),_xlfn.CONCAT(CHAR(92),CHAR(96))),CHAR(34),CHAR(39))))</f>
        <v/>
      </c>
      <c r="M55" s="5" t="str">
        <f>IF(OR(TRIM($B55)="",$C55=""),"",IF(IFERROR(MATCH(TRIM($C55),{"Quantitative","Continuous","Discrete","Categorical","Nominal","Ordinal","Identifier"},0),0)=0,_xlfn.CONCAT("* REVIEW REQUIRED: invalid Variable Type on Sheet 1 row ",55,"."),_xlfn.CONCAT("char ",TRIM($B55),"[doc_vartype] ",CHAR(96),CHAR(34),SUBSTITUTE(SUBSTITUTE(SUBSTITUTE(SUBSTITUTE(SUBSTITUTE(SUBSTITUTE(LOWER(TRIM($C55)),CHAR(13)," "),CHAR(10)," "),CHAR(9)," "),CHAR(92),_xlfn.CONCAT(CHAR(92),CHAR(92))),"$",_xlfn.CONCAT(CHAR(92),"$")),CHAR(96),_xlfn.CONCAT(CHAR(92),CHAR(96))),CHAR(34),CHAR(39))))</f>
        <v/>
      </c>
      <c r="N55" s="5" t="str">
        <f>IF(OR(TRIM($B55)="",$D55=""),"",IF(OR(ISNUMBER(SEARCH(_xlfn.CONCAT(CHAR(96),CHAR(34)),$D55)),ISNUMBER(SEARCH(_xlfn.CONCAT(CHAR(34),CHAR(39)),$D55))),_xlfn.CONCAT("* REVIEW REQUIRED: compound-quote delimiter in Item Number on Sheet 1 row ",55,"; edit the input before running."),_xlfn.CONCAT("char ",TRIM($B55),"[doc_itemnum] ",CHAR(96),CHAR(34),SUBSTITUTE(SUBSTITUTE(SUBSTITUTE(SUBSTITUTE(SUBSTITUTE(SUBSTITUTE($D55,CHAR(13)," "),CHAR(10)," "),CHAR(9)," "),CHAR(92),_xlfn.CONCAT(CHAR(92),CHAR(92))),"$",_xlfn.CONCAT(CHAR(92),"$")),CHAR(96),_xlfn.CONCAT(CHAR(92),CHAR(96))),CHAR(34),CHAR(39))))</f>
        <v/>
      </c>
      <c r="O55" s="5" t="str">
        <f>IF(OR(TRIM($B55)="",$E55=""),"",IF(OR(ISNUMBER(SEARCH(_xlfn.CONCAT(CHAR(96),CHAR(34)),$E55)),ISNUMBER(SEARCH(_xlfn.CONCAT(CHAR(34),CHAR(39)),$E55))),_xlfn.CONCAT("* REVIEW REQUIRED: compound-quote delimiter in Question Wording on Sheet 1 row ",55,"; edit the input before running."),_xlfn.CONCAT("char ",TRIM($B55),"[doc_question] ",CHAR(96),CHAR(34),SUBSTITUTE(SUBSTITUTE(SUBSTITUTE(SUBSTITUTE(SUBSTITUTE(SUBSTITUTE($E55,CHAR(13)," "),CHAR(10)," "),CHAR(9)," "),CHAR(92),_xlfn.CONCAT(CHAR(92),CHAR(92))),"$",_xlfn.CONCAT(CHAR(92),"$")),CHAR(96),_xlfn.CONCAT(CHAR(92),CHAR(96))),CHAR(34),CHAR(39))))</f>
        <v/>
      </c>
      <c r="P55" s="5" t="str">
        <f>IF(OR(TRIM($B55)="",$F55=""),"",IF(OR(ISNUMBER(SEARCH(_xlfn.CONCAT(CHAR(96),CHAR(34)),$F55)),ISNUMBER(SEARCH(_xlfn.CONCAT(CHAR(34),CHAR(39)),$F55))),_xlfn.CONCAT("* REVIEW REQUIRED: compound-quote delimiter in Units on Sheet 1 row ",55,"; edit the input before running."),_xlfn.CONCAT("char ",TRIM($B55),"[doc_units] ",CHAR(96),CHAR(34),SUBSTITUTE(SUBSTITUTE(SUBSTITUTE(SUBSTITUTE(SUBSTITUTE(SUBSTITUTE($F55,CHAR(13)," "),CHAR(10)," "),CHAR(9)," "),CHAR(92),_xlfn.CONCAT(CHAR(92),CHAR(92))),"$",_xlfn.CONCAT(CHAR(92),"$")),CHAR(96),_xlfn.CONCAT(CHAR(92),CHAR(96))),CHAR(34),CHAR(39))))</f>
        <v/>
      </c>
      <c r="Q55" s="5" t="str">
        <f>IF(OR(TRIM($B55)="",$G55=""),"",IF(OR(ISNUMBER(SEARCH(_xlfn.CONCAT(CHAR(96),CHAR(34)),$G55)),ISNUMBER(SEARCH(_xlfn.CONCAT(CHAR(34),CHAR(39)),$G55))),_xlfn.CONCAT("* REVIEW REQUIRED: compound-quote delimiter in Universe on Sheet 1 row ",55,"; edit the input before running."),_xlfn.CONCAT("char ",TRIM($B55),"[doc_universe] ",CHAR(96),CHAR(34),SUBSTITUTE(SUBSTITUTE(SUBSTITUTE(SUBSTITUTE(SUBSTITUTE(SUBSTITUTE($G55,CHAR(13)," "),CHAR(10)," "),CHAR(9)," "),CHAR(92),_xlfn.CONCAT(CHAR(92),CHAR(92))),"$",_xlfn.CONCAT(CHAR(92),"$")),CHAR(96),_xlfn.CONCAT(CHAR(92),CHAR(96))),CHAR(34),CHAR(39))))</f>
        <v/>
      </c>
      <c r="R55" s="5" t="str">
        <f>IF(OR(TRIM($B55)="",$H55=""),"",IF(OR(ISNUMBER(SEARCH(_xlfn.CONCAT(CHAR(96),CHAR(34)),$H55)),ISNUMBER(SEARCH(_xlfn.CONCAT(CHAR(34),CHAR(39)),$H55))),_xlfn.CONCAT("* REVIEW REQUIRED: compound-quote delimiter in Source on Sheet 1 row ",55,"; edit the input before running."),_xlfn.CONCAT("char ",TRIM($B55),"[doc_source] ",CHAR(96),CHAR(34),SUBSTITUTE(SUBSTITUTE(SUBSTITUTE(SUBSTITUTE(SUBSTITUTE(SUBSTITUTE($H55,CHAR(13)," "),CHAR(10)," "),CHAR(9)," "),CHAR(92),_xlfn.CONCAT(CHAR(92),CHAR(92))),"$",_xlfn.CONCAT(CHAR(92),"$")),CHAR(96),_xlfn.CONCAT(CHAR(92),CHAR(96))),CHAR(34),CHAR(39))))</f>
        <v/>
      </c>
      <c r="S55" s="5" t="str">
        <f>IF(OR(TRIM($B55)="",$I55=""),"",IF(OR(ISNUMBER(SEARCH(_xlfn.CONCAT(CHAR(96),CHAR(34)),$I55)),ISNUMBER(SEARCH(_xlfn.CONCAT(CHAR(34),CHAR(39)),$I55))),_xlfn.CONCAT("* REVIEW REQUIRED: compound-quote delimiter in Derivation on Sheet 1 row ",55,"; edit the input before running."),_xlfn.CONCAT("char ",TRIM($B55),"[doc_derivation] ",CHAR(96),CHAR(34),SUBSTITUTE(SUBSTITUTE(SUBSTITUTE(SUBSTITUTE(SUBSTITUTE(SUBSTITUTE($I55,CHAR(13)," "),CHAR(10)," "),CHAR(9)," "),CHAR(92),_xlfn.CONCAT(CHAR(92),CHAR(92))),"$",_xlfn.CONCAT(CHAR(92),"$")),CHAR(96),_xlfn.CONCAT(CHAR(92),CHAR(96))),CHAR(34),CHAR(39))))</f>
        <v/>
      </c>
      <c r="T55" s="5" t="str">
        <f>IF(OR(TRIM($B55)="",$J55=""),"",IF(OR(ISNUMBER(SEARCH(_xlfn.CONCAT(CHAR(96),CHAR(34)),$J55)),ISNUMBER(SEARCH(_xlfn.CONCAT(CHAR(34),CHAR(39)),$J55))),_xlfn.CONCAT("* REVIEW REQUIRED: compound-quote delimiter in Notes on Sheet 1 row ",55,"; edit the input before running."),_xlfn.CONCAT("char ",TRIM($B55),"[doc_notes] ",CHAR(96),CHAR(34),SUBSTITUTE(SUBSTITUTE(SUBSTITUTE(SUBSTITUTE(SUBSTITUTE(SUBSTITUTE($J55,CHAR(13)," "),CHAR(10)," "),CHAR(9)," "),CHAR(92),_xlfn.CONCAT(CHAR(92),CHAR(92))),"$",_xlfn.CONCAT(CHAR(92),"$")),CHAR(96),_xlfn.CONCAT(CHAR(92),CHAR(96))),CHAR(34),CHAR(39))))</f>
        <v/>
      </c>
      <c r="U55" s="5">
        <f t="shared" si="1"/>
        <v>0</v>
      </c>
    </row>
    <row r="56" spans="3:21" ht="30" customHeight="1" x14ac:dyDescent="0.2">
      <c r="C56" s="4"/>
      <c r="K56" s="5">
        <f t="shared" si="0"/>
        <v>0</v>
      </c>
      <c r="L56" s="5" t="str">
        <f>IF(OR(TRIM($B56)="",$A56=""),"",IF(OR(ISNUMBER(SEARCH(_xlfn.CONCAT(CHAR(96),CHAR(34)),$A56)),ISNUMBER(SEARCH(_xlfn.CONCAT(CHAR(34),CHAR(39)),$A56))),_xlfn.CONCAT("* REVIEW REQUIRED: compound-quote delimiter in Codebook Section on Sheet 1 row ",56,"; edit the input before running."),_xlfn.CONCAT("char ",TRIM($B56),"[doc_section] ",CHAR(96),CHAR(34),SUBSTITUTE(SUBSTITUTE(SUBSTITUTE(SUBSTITUTE(SUBSTITUTE(SUBSTITUTE($A56,CHAR(13)," "),CHAR(10)," "),CHAR(9)," "),CHAR(92),_xlfn.CONCAT(CHAR(92),CHAR(92))),"$",_xlfn.CONCAT(CHAR(92),"$")),CHAR(96),_xlfn.CONCAT(CHAR(92),CHAR(96))),CHAR(34),CHAR(39))))</f>
        <v/>
      </c>
      <c r="M56" s="5" t="str">
        <f>IF(OR(TRIM($B56)="",$C56=""),"",IF(IFERROR(MATCH(TRIM($C56),{"Quantitative","Continuous","Discrete","Categorical","Nominal","Ordinal","Identifier"},0),0)=0,_xlfn.CONCAT("* REVIEW REQUIRED: invalid Variable Type on Sheet 1 row ",56,"."),_xlfn.CONCAT("char ",TRIM($B56),"[doc_vartype] ",CHAR(96),CHAR(34),SUBSTITUTE(SUBSTITUTE(SUBSTITUTE(SUBSTITUTE(SUBSTITUTE(SUBSTITUTE(LOWER(TRIM($C56)),CHAR(13)," "),CHAR(10)," "),CHAR(9)," "),CHAR(92),_xlfn.CONCAT(CHAR(92),CHAR(92))),"$",_xlfn.CONCAT(CHAR(92),"$")),CHAR(96),_xlfn.CONCAT(CHAR(92),CHAR(96))),CHAR(34),CHAR(39))))</f>
        <v/>
      </c>
      <c r="N56" s="5" t="str">
        <f>IF(OR(TRIM($B56)="",$D56=""),"",IF(OR(ISNUMBER(SEARCH(_xlfn.CONCAT(CHAR(96),CHAR(34)),$D56)),ISNUMBER(SEARCH(_xlfn.CONCAT(CHAR(34),CHAR(39)),$D56))),_xlfn.CONCAT("* REVIEW REQUIRED: compound-quote delimiter in Item Number on Sheet 1 row ",56,"; edit the input before running."),_xlfn.CONCAT("char ",TRIM($B56),"[doc_itemnum] ",CHAR(96),CHAR(34),SUBSTITUTE(SUBSTITUTE(SUBSTITUTE(SUBSTITUTE(SUBSTITUTE(SUBSTITUTE($D56,CHAR(13)," "),CHAR(10)," "),CHAR(9)," "),CHAR(92),_xlfn.CONCAT(CHAR(92),CHAR(92))),"$",_xlfn.CONCAT(CHAR(92),"$")),CHAR(96),_xlfn.CONCAT(CHAR(92),CHAR(96))),CHAR(34),CHAR(39))))</f>
        <v/>
      </c>
      <c r="O56" s="5" t="str">
        <f>IF(OR(TRIM($B56)="",$E56=""),"",IF(OR(ISNUMBER(SEARCH(_xlfn.CONCAT(CHAR(96),CHAR(34)),$E56)),ISNUMBER(SEARCH(_xlfn.CONCAT(CHAR(34),CHAR(39)),$E56))),_xlfn.CONCAT("* REVIEW REQUIRED: compound-quote delimiter in Question Wording on Sheet 1 row ",56,"; edit the input before running."),_xlfn.CONCAT("char ",TRIM($B56),"[doc_question] ",CHAR(96),CHAR(34),SUBSTITUTE(SUBSTITUTE(SUBSTITUTE(SUBSTITUTE(SUBSTITUTE(SUBSTITUTE($E56,CHAR(13)," "),CHAR(10)," "),CHAR(9)," "),CHAR(92),_xlfn.CONCAT(CHAR(92),CHAR(92))),"$",_xlfn.CONCAT(CHAR(92),"$")),CHAR(96),_xlfn.CONCAT(CHAR(92),CHAR(96))),CHAR(34),CHAR(39))))</f>
        <v/>
      </c>
      <c r="P56" s="5" t="str">
        <f>IF(OR(TRIM($B56)="",$F56=""),"",IF(OR(ISNUMBER(SEARCH(_xlfn.CONCAT(CHAR(96),CHAR(34)),$F56)),ISNUMBER(SEARCH(_xlfn.CONCAT(CHAR(34),CHAR(39)),$F56))),_xlfn.CONCAT("* REVIEW REQUIRED: compound-quote delimiter in Units on Sheet 1 row ",56,"; edit the input before running."),_xlfn.CONCAT("char ",TRIM($B56),"[doc_units] ",CHAR(96),CHAR(34),SUBSTITUTE(SUBSTITUTE(SUBSTITUTE(SUBSTITUTE(SUBSTITUTE(SUBSTITUTE($F56,CHAR(13)," "),CHAR(10)," "),CHAR(9)," "),CHAR(92),_xlfn.CONCAT(CHAR(92),CHAR(92))),"$",_xlfn.CONCAT(CHAR(92),"$")),CHAR(96),_xlfn.CONCAT(CHAR(92),CHAR(96))),CHAR(34),CHAR(39))))</f>
        <v/>
      </c>
      <c r="Q56" s="5" t="str">
        <f>IF(OR(TRIM($B56)="",$G56=""),"",IF(OR(ISNUMBER(SEARCH(_xlfn.CONCAT(CHAR(96),CHAR(34)),$G56)),ISNUMBER(SEARCH(_xlfn.CONCAT(CHAR(34),CHAR(39)),$G56))),_xlfn.CONCAT("* REVIEW REQUIRED: compound-quote delimiter in Universe on Sheet 1 row ",56,"; edit the input before running."),_xlfn.CONCAT("char ",TRIM($B56),"[doc_universe] ",CHAR(96),CHAR(34),SUBSTITUTE(SUBSTITUTE(SUBSTITUTE(SUBSTITUTE(SUBSTITUTE(SUBSTITUTE($G56,CHAR(13)," "),CHAR(10)," "),CHAR(9)," "),CHAR(92),_xlfn.CONCAT(CHAR(92),CHAR(92))),"$",_xlfn.CONCAT(CHAR(92),"$")),CHAR(96),_xlfn.CONCAT(CHAR(92),CHAR(96))),CHAR(34),CHAR(39))))</f>
        <v/>
      </c>
      <c r="R56" s="5" t="str">
        <f>IF(OR(TRIM($B56)="",$H56=""),"",IF(OR(ISNUMBER(SEARCH(_xlfn.CONCAT(CHAR(96),CHAR(34)),$H56)),ISNUMBER(SEARCH(_xlfn.CONCAT(CHAR(34),CHAR(39)),$H56))),_xlfn.CONCAT("* REVIEW REQUIRED: compound-quote delimiter in Source on Sheet 1 row ",56,"; edit the input before running."),_xlfn.CONCAT("char ",TRIM($B56),"[doc_source] ",CHAR(96),CHAR(34),SUBSTITUTE(SUBSTITUTE(SUBSTITUTE(SUBSTITUTE(SUBSTITUTE(SUBSTITUTE($H56,CHAR(13)," "),CHAR(10)," "),CHAR(9)," "),CHAR(92),_xlfn.CONCAT(CHAR(92),CHAR(92))),"$",_xlfn.CONCAT(CHAR(92),"$")),CHAR(96),_xlfn.CONCAT(CHAR(92),CHAR(96))),CHAR(34),CHAR(39))))</f>
        <v/>
      </c>
      <c r="S56" s="5" t="str">
        <f>IF(OR(TRIM($B56)="",$I56=""),"",IF(OR(ISNUMBER(SEARCH(_xlfn.CONCAT(CHAR(96),CHAR(34)),$I56)),ISNUMBER(SEARCH(_xlfn.CONCAT(CHAR(34),CHAR(39)),$I56))),_xlfn.CONCAT("* REVIEW REQUIRED: compound-quote delimiter in Derivation on Sheet 1 row ",56,"; edit the input before running."),_xlfn.CONCAT("char ",TRIM($B56),"[doc_derivation] ",CHAR(96),CHAR(34),SUBSTITUTE(SUBSTITUTE(SUBSTITUTE(SUBSTITUTE(SUBSTITUTE(SUBSTITUTE($I56,CHAR(13)," "),CHAR(10)," "),CHAR(9)," "),CHAR(92),_xlfn.CONCAT(CHAR(92),CHAR(92))),"$",_xlfn.CONCAT(CHAR(92),"$")),CHAR(96),_xlfn.CONCAT(CHAR(92),CHAR(96))),CHAR(34),CHAR(39))))</f>
        <v/>
      </c>
      <c r="T56" s="5" t="str">
        <f>IF(OR(TRIM($B56)="",$J56=""),"",IF(OR(ISNUMBER(SEARCH(_xlfn.CONCAT(CHAR(96),CHAR(34)),$J56)),ISNUMBER(SEARCH(_xlfn.CONCAT(CHAR(34),CHAR(39)),$J56))),_xlfn.CONCAT("* REVIEW REQUIRED: compound-quote delimiter in Notes on Sheet 1 row ",56,"; edit the input before running."),_xlfn.CONCAT("char ",TRIM($B56),"[doc_notes] ",CHAR(96),CHAR(34),SUBSTITUTE(SUBSTITUTE(SUBSTITUTE(SUBSTITUTE(SUBSTITUTE(SUBSTITUTE($J56,CHAR(13)," "),CHAR(10)," "),CHAR(9)," "),CHAR(92),_xlfn.CONCAT(CHAR(92),CHAR(92))),"$",_xlfn.CONCAT(CHAR(92),"$")),CHAR(96),_xlfn.CONCAT(CHAR(92),CHAR(96))),CHAR(34),CHAR(39))))</f>
        <v/>
      </c>
      <c r="U56" s="5">
        <f t="shared" si="1"/>
        <v>0</v>
      </c>
    </row>
    <row r="57" spans="3:21" ht="30" customHeight="1" x14ac:dyDescent="0.2">
      <c r="C57" s="4"/>
      <c r="K57" s="5">
        <f t="shared" si="0"/>
        <v>0</v>
      </c>
      <c r="L57" s="5" t="str">
        <f>IF(OR(TRIM($B57)="",$A57=""),"",IF(OR(ISNUMBER(SEARCH(_xlfn.CONCAT(CHAR(96),CHAR(34)),$A57)),ISNUMBER(SEARCH(_xlfn.CONCAT(CHAR(34),CHAR(39)),$A57))),_xlfn.CONCAT("* REVIEW REQUIRED: compound-quote delimiter in Codebook Section on Sheet 1 row ",57,"; edit the input before running."),_xlfn.CONCAT("char ",TRIM($B57),"[doc_section] ",CHAR(96),CHAR(34),SUBSTITUTE(SUBSTITUTE(SUBSTITUTE(SUBSTITUTE(SUBSTITUTE(SUBSTITUTE($A57,CHAR(13)," "),CHAR(10)," "),CHAR(9)," "),CHAR(92),_xlfn.CONCAT(CHAR(92),CHAR(92))),"$",_xlfn.CONCAT(CHAR(92),"$")),CHAR(96),_xlfn.CONCAT(CHAR(92),CHAR(96))),CHAR(34),CHAR(39))))</f>
        <v/>
      </c>
      <c r="M57" s="5" t="str">
        <f>IF(OR(TRIM($B57)="",$C57=""),"",IF(IFERROR(MATCH(TRIM($C57),{"Quantitative","Continuous","Discrete","Categorical","Nominal","Ordinal","Identifier"},0),0)=0,_xlfn.CONCAT("* REVIEW REQUIRED: invalid Variable Type on Sheet 1 row ",57,"."),_xlfn.CONCAT("char ",TRIM($B57),"[doc_vartype] ",CHAR(96),CHAR(34),SUBSTITUTE(SUBSTITUTE(SUBSTITUTE(SUBSTITUTE(SUBSTITUTE(SUBSTITUTE(LOWER(TRIM($C57)),CHAR(13)," "),CHAR(10)," "),CHAR(9)," "),CHAR(92),_xlfn.CONCAT(CHAR(92),CHAR(92))),"$",_xlfn.CONCAT(CHAR(92),"$")),CHAR(96),_xlfn.CONCAT(CHAR(92),CHAR(96))),CHAR(34),CHAR(39))))</f>
        <v/>
      </c>
      <c r="N57" s="5" t="str">
        <f>IF(OR(TRIM($B57)="",$D57=""),"",IF(OR(ISNUMBER(SEARCH(_xlfn.CONCAT(CHAR(96),CHAR(34)),$D57)),ISNUMBER(SEARCH(_xlfn.CONCAT(CHAR(34),CHAR(39)),$D57))),_xlfn.CONCAT("* REVIEW REQUIRED: compound-quote delimiter in Item Number on Sheet 1 row ",57,"; edit the input before running."),_xlfn.CONCAT("char ",TRIM($B57),"[doc_itemnum] ",CHAR(96),CHAR(34),SUBSTITUTE(SUBSTITUTE(SUBSTITUTE(SUBSTITUTE(SUBSTITUTE(SUBSTITUTE($D57,CHAR(13)," "),CHAR(10)," "),CHAR(9)," "),CHAR(92),_xlfn.CONCAT(CHAR(92),CHAR(92))),"$",_xlfn.CONCAT(CHAR(92),"$")),CHAR(96),_xlfn.CONCAT(CHAR(92),CHAR(96))),CHAR(34),CHAR(39))))</f>
        <v/>
      </c>
      <c r="O57" s="5" t="str">
        <f>IF(OR(TRIM($B57)="",$E57=""),"",IF(OR(ISNUMBER(SEARCH(_xlfn.CONCAT(CHAR(96),CHAR(34)),$E57)),ISNUMBER(SEARCH(_xlfn.CONCAT(CHAR(34),CHAR(39)),$E57))),_xlfn.CONCAT("* REVIEW REQUIRED: compound-quote delimiter in Question Wording on Sheet 1 row ",57,"; edit the input before running."),_xlfn.CONCAT("char ",TRIM($B57),"[doc_question] ",CHAR(96),CHAR(34),SUBSTITUTE(SUBSTITUTE(SUBSTITUTE(SUBSTITUTE(SUBSTITUTE(SUBSTITUTE($E57,CHAR(13)," "),CHAR(10)," "),CHAR(9)," "),CHAR(92),_xlfn.CONCAT(CHAR(92),CHAR(92))),"$",_xlfn.CONCAT(CHAR(92),"$")),CHAR(96),_xlfn.CONCAT(CHAR(92),CHAR(96))),CHAR(34),CHAR(39))))</f>
        <v/>
      </c>
      <c r="P57" s="5" t="str">
        <f>IF(OR(TRIM($B57)="",$F57=""),"",IF(OR(ISNUMBER(SEARCH(_xlfn.CONCAT(CHAR(96),CHAR(34)),$F57)),ISNUMBER(SEARCH(_xlfn.CONCAT(CHAR(34),CHAR(39)),$F57))),_xlfn.CONCAT("* REVIEW REQUIRED: compound-quote delimiter in Units on Sheet 1 row ",57,"; edit the input before running."),_xlfn.CONCAT("char ",TRIM($B57),"[doc_units] ",CHAR(96),CHAR(34),SUBSTITUTE(SUBSTITUTE(SUBSTITUTE(SUBSTITUTE(SUBSTITUTE(SUBSTITUTE($F57,CHAR(13)," "),CHAR(10)," "),CHAR(9)," "),CHAR(92),_xlfn.CONCAT(CHAR(92),CHAR(92))),"$",_xlfn.CONCAT(CHAR(92),"$")),CHAR(96),_xlfn.CONCAT(CHAR(92),CHAR(96))),CHAR(34),CHAR(39))))</f>
        <v/>
      </c>
      <c r="Q57" s="5" t="str">
        <f>IF(OR(TRIM($B57)="",$G57=""),"",IF(OR(ISNUMBER(SEARCH(_xlfn.CONCAT(CHAR(96),CHAR(34)),$G57)),ISNUMBER(SEARCH(_xlfn.CONCAT(CHAR(34),CHAR(39)),$G57))),_xlfn.CONCAT("* REVIEW REQUIRED: compound-quote delimiter in Universe on Sheet 1 row ",57,"; edit the input before running."),_xlfn.CONCAT("char ",TRIM($B57),"[doc_universe] ",CHAR(96),CHAR(34),SUBSTITUTE(SUBSTITUTE(SUBSTITUTE(SUBSTITUTE(SUBSTITUTE(SUBSTITUTE($G57,CHAR(13)," "),CHAR(10)," "),CHAR(9)," "),CHAR(92),_xlfn.CONCAT(CHAR(92),CHAR(92))),"$",_xlfn.CONCAT(CHAR(92),"$")),CHAR(96),_xlfn.CONCAT(CHAR(92),CHAR(96))),CHAR(34),CHAR(39))))</f>
        <v/>
      </c>
      <c r="R57" s="5" t="str">
        <f>IF(OR(TRIM($B57)="",$H57=""),"",IF(OR(ISNUMBER(SEARCH(_xlfn.CONCAT(CHAR(96),CHAR(34)),$H57)),ISNUMBER(SEARCH(_xlfn.CONCAT(CHAR(34),CHAR(39)),$H57))),_xlfn.CONCAT("* REVIEW REQUIRED: compound-quote delimiter in Source on Sheet 1 row ",57,"; edit the input before running."),_xlfn.CONCAT("char ",TRIM($B57),"[doc_source] ",CHAR(96),CHAR(34),SUBSTITUTE(SUBSTITUTE(SUBSTITUTE(SUBSTITUTE(SUBSTITUTE(SUBSTITUTE($H57,CHAR(13)," "),CHAR(10)," "),CHAR(9)," "),CHAR(92),_xlfn.CONCAT(CHAR(92),CHAR(92))),"$",_xlfn.CONCAT(CHAR(92),"$")),CHAR(96),_xlfn.CONCAT(CHAR(92),CHAR(96))),CHAR(34),CHAR(39))))</f>
        <v/>
      </c>
      <c r="S57" s="5" t="str">
        <f>IF(OR(TRIM($B57)="",$I57=""),"",IF(OR(ISNUMBER(SEARCH(_xlfn.CONCAT(CHAR(96),CHAR(34)),$I57)),ISNUMBER(SEARCH(_xlfn.CONCAT(CHAR(34),CHAR(39)),$I57))),_xlfn.CONCAT("* REVIEW REQUIRED: compound-quote delimiter in Derivation on Sheet 1 row ",57,"; edit the input before running."),_xlfn.CONCAT("char ",TRIM($B57),"[doc_derivation] ",CHAR(96),CHAR(34),SUBSTITUTE(SUBSTITUTE(SUBSTITUTE(SUBSTITUTE(SUBSTITUTE(SUBSTITUTE($I57,CHAR(13)," "),CHAR(10)," "),CHAR(9)," "),CHAR(92),_xlfn.CONCAT(CHAR(92),CHAR(92))),"$",_xlfn.CONCAT(CHAR(92),"$")),CHAR(96),_xlfn.CONCAT(CHAR(92),CHAR(96))),CHAR(34),CHAR(39))))</f>
        <v/>
      </c>
      <c r="T57" s="5" t="str">
        <f>IF(OR(TRIM($B57)="",$J57=""),"",IF(OR(ISNUMBER(SEARCH(_xlfn.CONCAT(CHAR(96),CHAR(34)),$J57)),ISNUMBER(SEARCH(_xlfn.CONCAT(CHAR(34),CHAR(39)),$J57))),_xlfn.CONCAT("* REVIEW REQUIRED: compound-quote delimiter in Notes on Sheet 1 row ",57,"; edit the input before running."),_xlfn.CONCAT("char ",TRIM($B57),"[doc_notes] ",CHAR(96),CHAR(34),SUBSTITUTE(SUBSTITUTE(SUBSTITUTE(SUBSTITUTE(SUBSTITUTE(SUBSTITUTE($J57,CHAR(13)," "),CHAR(10)," "),CHAR(9)," "),CHAR(92),_xlfn.CONCAT(CHAR(92),CHAR(92))),"$",_xlfn.CONCAT(CHAR(92),"$")),CHAR(96),_xlfn.CONCAT(CHAR(92),CHAR(96))),CHAR(34),CHAR(39))))</f>
        <v/>
      </c>
      <c r="U57" s="5">
        <f t="shared" si="1"/>
        <v>0</v>
      </c>
    </row>
    <row r="58" spans="3:21" ht="30" customHeight="1" x14ac:dyDescent="0.2">
      <c r="C58" s="4"/>
      <c r="K58" s="5">
        <f t="shared" si="0"/>
        <v>0</v>
      </c>
      <c r="L58" s="5" t="str">
        <f>IF(OR(TRIM($B58)="",$A58=""),"",IF(OR(ISNUMBER(SEARCH(_xlfn.CONCAT(CHAR(96),CHAR(34)),$A58)),ISNUMBER(SEARCH(_xlfn.CONCAT(CHAR(34),CHAR(39)),$A58))),_xlfn.CONCAT("* REVIEW REQUIRED: compound-quote delimiter in Codebook Section on Sheet 1 row ",58,"; edit the input before running."),_xlfn.CONCAT("char ",TRIM($B58),"[doc_section] ",CHAR(96),CHAR(34),SUBSTITUTE(SUBSTITUTE(SUBSTITUTE(SUBSTITUTE(SUBSTITUTE(SUBSTITUTE($A58,CHAR(13)," "),CHAR(10)," "),CHAR(9)," "),CHAR(92),_xlfn.CONCAT(CHAR(92),CHAR(92))),"$",_xlfn.CONCAT(CHAR(92),"$")),CHAR(96),_xlfn.CONCAT(CHAR(92),CHAR(96))),CHAR(34),CHAR(39))))</f>
        <v/>
      </c>
      <c r="M58" s="5" t="str">
        <f>IF(OR(TRIM($B58)="",$C58=""),"",IF(IFERROR(MATCH(TRIM($C58),{"Quantitative","Continuous","Discrete","Categorical","Nominal","Ordinal","Identifier"},0),0)=0,_xlfn.CONCAT("* REVIEW REQUIRED: invalid Variable Type on Sheet 1 row ",58,"."),_xlfn.CONCAT("char ",TRIM($B58),"[doc_vartype] ",CHAR(96),CHAR(34),SUBSTITUTE(SUBSTITUTE(SUBSTITUTE(SUBSTITUTE(SUBSTITUTE(SUBSTITUTE(LOWER(TRIM($C58)),CHAR(13)," "),CHAR(10)," "),CHAR(9)," "),CHAR(92),_xlfn.CONCAT(CHAR(92),CHAR(92))),"$",_xlfn.CONCAT(CHAR(92),"$")),CHAR(96),_xlfn.CONCAT(CHAR(92),CHAR(96))),CHAR(34),CHAR(39))))</f>
        <v/>
      </c>
      <c r="N58" s="5" t="str">
        <f>IF(OR(TRIM($B58)="",$D58=""),"",IF(OR(ISNUMBER(SEARCH(_xlfn.CONCAT(CHAR(96),CHAR(34)),$D58)),ISNUMBER(SEARCH(_xlfn.CONCAT(CHAR(34),CHAR(39)),$D58))),_xlfn.CONCAT("* REVIEW REQUIRED: compound-quote delimiter in Item Number on Sheet 1 row ",58,"; edit the input before running."),_xlfn.CONCAT("char ",TRIM($B58),"[doc_itemnum] ",CHAR(96),CHAR(34),SUBSTITUTE(SUBSTITUTE(SUBSTITUTE(SUBSTITUTE(SUBSTITUTE(SUBSTITUTE($D58,CHAR(13)," "),CHAR(10)," "),CHAR(9)," "),CHAR(92),_xlfn.CONCAT(CHAR(92),CHAR(92))),"$",_xlfn.CONCAT(CHAR(92),"$")),CHAR(96),_xlfn.CONCAT(CHAR(92),CHAR(96))),CHAR(34),CHAR(39))))</f>
        <v/>
      </c>
      <c r="O58" s="5" t="str">
        <f>IF(OR(TRIM($B58)="",$E58=""),"",IF(OR(ISNUMBER(SEARCH(_xlfn.CONCAT(CHAR(96),CHAR(34)),$E58)),ISNUMBER(SEARCH(_xlfn.CONCAT(CHAR(34),CHAR(39)),$E58))),_xlfn.CONCAT("* REVIEW REQUIRED: compound-quote delimiter in Question Wording on Sheet 1 row ",58,"; edit the input before running."),_xlfn.CONCAT("char ",TRIM($B58),"[doc_question] ",CHAR(96),CHAR(34),SUBSTITUTE(SUBSTITUTE(SUBSTITUTE(SUBSTITUTE(SUBSTITUTE(SUBSTITUTE($E58,CHAR(13)," "),CHAR(10)," "),CHAR(9)," "),CHAR(92),_xlfn.CONCAT(CHAR(92),CHAR(92))),"$",_xlfn.CONCAT(CHAR(92),"$")),CHAR(96),_xlfn.CONCAT(CHAR(92),CHAR(96))),CHAR(34),CHAR(39))))</f>
        <v/>
      </c>
      <c r="P58" s="5" t="str">
        <f>IF(OR(TRIM($B58)="",$F58=""),"",IF(OR(ISNUMBER(SEARCH(_xlfn.CONCAT(CHAR(96),CHAR(34)),$F58)),ISNUMBER(SEARCH(_xlfn.CONCAT(CHAR(34),CHAR(39)),$F58))),_xlfn.CONCAT("* REVIEW REQUIRED: compound-quote delimiter in Units on Sheet 1 row ",58,"; edit the input before running."),_xlfn.CONCAT("char ",TRIM($B58),"[doc_units] ",CHAR(96),CHAR(34),SUBSTITUTE(SUBSTITUTE(SUBSTITUTE(SUBSTITUTE(SUBSTITUTE(SUBSTITUTE($F58,CHAR(13)," "),CHAR(10)," "),CHAR(9)," "),CHAR(92),_xlfn.CONCAT(CHAR(92),CHAR(92))),"$",_xlfn.CONCAT(CHAR(92),"$")),CHAR(96),_xlfn.CONCAT(CHAR(92),CHAR(96))),CHAR(34),CHAR(39))))</f>
        <v/>
      </c>
      <c r="Q58" s="5" t="str">
        <f>IF(OR(TRIM($B58)="",$G58=""),"",IF(OR(ISNUMBER(SEARCH(_xlfn.CONCAT(CHAR(96),CHAR(34)),$G58)),ISNUMBER(SEARCH(_xlfn.CONCAT(CHAR(34),CHAR(39)),$G58))),_xlfn.CONCAT("* REVIEW REQUIRED: compound-quote delimiter in Universe on Sheet 1 row ",58,"; edit the input before running."),_xlfn.CONCAT("char ",TRIM($B58),"[doc_universe] ",CHAR(96),CHAR(34),SUBSTITUTE(SUBSTITUTE(SUBSTITUTE(SUBSTITUTE(SUBSTITUTE(SUBSTITUTE($G58,CHAR(13)," "),CHAR(10)," "),CHAR(9)," "),CHAR(92),_xlfn.CONCAT(CHAR(92),CHAR(92))),"$",_xlfn.CONCAT(CHAR(92),"$")),CHAR(96),_xlfn.CONCAT(CHAR(92),CHAR(96))),CHAR(34),CHAR(39))))</f>
        <v/>
      </c>
      <c r="R58" s="5" t="str">
        <f>IF(OR(TRIM($B58)="",$H58=""),"",IF(OR(ISNUMBER(SEARCH(_xlfn.CONCAT(CHAR(96),CHAR(34)),$H58)),ISNUMBER(SEARCH(_xlfn.CONCAT(CHAR(34),CHAR(39)),$H58))),_xlfn.CONCAT("* REVIEW REQUIRED: compound-quote delimiter in Source on Sheet 1 row ",58,"; edit the input before running."),_xlfn.CONCAT("char ",TRIM($B58),"[doc_source] ",CHAR(96),CHAR(34),SUBSTITUTE(SUBSTITUTE(SUBSTITUTE(SUBSTITUTE(SUBSTITUTE(SUBSTITUTE($H58,CHAR(13)," "),CHAR(10)," "),CHAR(9)," "),CHAR(92),_xlfn.CONCAT(CHAR(92),CHAR(92))),"$",_xlfn.CONCAT(CHAR(92),"$")),CHAR(96),_xlfn.CONCAT(CHAR(92),CHAR(96))),CHAR(34),CHAR(39))))</f>
        <v/>
      </c>
      <c r="S58" s="5" t="str">
        <f>IF(OR(TRIM($B58)="",$I58=""),"",IF(OR(ISNUMBER(SEARCH(_xlfn.CONCAT(CHAR(96),CHAR(34)),$I58)),ISNUMBER(SEARCH(_xlfn.CONCAT(CHAR(34),CHAR(39)),$I58))),_xlfn.CONCAT("* REVIEW REQUIRED: compound-quote delimiter in Derivation on Sheet 1 row ",58,"; edit the input before running."),_xlfn.CONCAT("char ",TRIM($B58),"[doc_derivation] ",CHAR(96),CHAR(34),SUBSTITUTE(SUBSTITUTE(SUBSTITUTE(SUBSTITUTE(SUBSTITUTE(SUBSTITUTE($I58,CHAR(13)," "),CHAR(10)," "),CHAR(9)," "),CHAR(92),_xlfn.CONCAT(CHAR(92),CHAR(92))),"$",_xlfn.CONCAT(CHAR(92),"$")),CHAR(96),_xlfn.CONCAT(CHAR(92),CHAR(96))),CHAR(34),CHAR(39))))</f>
        <v/>
      </c>
      <c r="T58" s="5" t="str">
        <f>IF(OR(TRIM($B58)="",$J58=""),"",IF(OR(ISNUMBER(SEARCH(_xlfn.CONCAT(CHAR(96),CHAR(34)),$J58)),ISNUMBER(SEARCH(_xlfn.CONCAT(CHAR(34),CHAR(39)),$J58))),_xlfn.CONCAT("* REVIEW REQUIRED: compound-quote delimiter in Notes on Sheet 1 row ",58,"; edit the input before running."),_xlfn.CONCAT("char ",TRIM($B58),"[doc_notes] ",CHAR(96),CHAR(34),SUBSTITUTE(SUBSTITUTE(SUBSTITUTE(SUBSTITUTE(SUBSTITUTE(SUBSTITUTE($J58,CHAR(13)," "),CHAR(10)," "),CHAR(9)," "),CHAR(92),_xlfn.CONCAT(CHAR(92),CHAR(92))),"$",_xlfn.CONCAT(CHAR(92),"$")),CHAR(96),_xlfn.CONCAT(CHAR(92),CHAR(96))),CHAR(34),CHAR(39))))</f>
        <v/>
      </c>
      <c r="U58" s="5">
        <f t="shared" si="1"/>
        <v>0</v>
      </c>
    </row>
    <row r="59" spans="3:21" ht="30" customHeight="1" x14ac:dyDescent="0.2">
      <c r="C59" s="4"/>
      <c r="K59" s="5">
        <f t="shared" si="0"/>
        <v>0</v>
      </c>
      <c r="L59" s="5" t="str">
        <f>IF(OR(TRIM($B59)="",$A59=""),"",IF(OR(ISNUMBER(SEARCH(_xlfn.CONCAT(CHAR(96),CHAR(34)),$A59)),ISNUMBER(SEARCH(_xlfn.CONCAT(CHAR(34),CHAR(39)),$A59))),_xlfn.CONCAT("* REVIEW REQUIRED: compound-quote delimiter in Codebook Section on Sheet 1 row ",59,"; edit the input before running."),_xlfn.CONCAT("char ",TRIM($B59),"[doc_section] ",CHAR(96),CHAR(34),SUBSTITUTE(SUBSTITUTE(SUBSTITUTE(SUBSTITUTE(SUBSTITUTE(SUBSTITUTE($A59,CHAR(13)," "),CHAR(10)," "),CHAR(9)," "),CHAR(92),_xlfn.CONCAT(CHAR(92),CHAR(92))),"$",_xlfn.CONCAT(CHAR(92),"$")),CHAR(96),_xlfn.CONCAT(CHAR(92),CHAR(96))),CHAR(34),CHAR(39))))</f>
        <v/>
      </c>
      <c r="M59" s="5" t="str">
        <f>IF(OR(TRIM($B59)="",$C59=""),"",IF(IFERROR(MATCH(TRIM($C59),{"Quantitative","Continuous","Discrete","Categorical","Nominal","Ordinal","Identifier"},0),0)=0,_xlfn.CONCAT("* REVIEW REQUIRED: invalid Variable Type on Sheet 1 row ",59,"."),_xlfn.CONCAT("char ",TRIM($B59),"[doc_vartype] ",CHAR(96),CHAR(34),SUBSTITUTE(SUBSTITUTE(SUBSTITUTE(SUBSTITUTE(SUBSTITUTE(SUBSTITUTE(LOWER(TRIM($C59)),CHAR(13)," "),CHAR(10)," "),CHAR(9)," "),CHAR(92),_xlfn.CONCAT(CHAR(92),CHAR(92))),"$",_xlfn.CONCAT(CHAR(92),"$")),CHAR(96),_xlfn.CONCAT(CHAR(92),CHAR(96))),CHAR(34),CHAR(39))))</f>
        <v/>
      </c>
      <c r="N59" s="5" t="str">
        <f>IF(OR(TRIM($B59)="",$D59=""),"",IF(OR(ISNUMBER(SEARCH(_xlfn.CONCAT(CHAR(96),CHAR(34)),$D59)),ISNUMBER(SEARCH(_xlfn.CONCAT(CHAR(34),CHAR(39)),$D59))),_xlfn.CONCAT("* REVIEW REQUIRED: compound-quote delimiter in Item Number on Sheet 1 row ",59,"; edit the input before running."),_xlfn.CONCAT("char ",TRIM($B59),"[doc_itemnum] ",CHAR(96),CHAR(34),SUBSTITUTE(SUBSTITUTE(SUBSTITUTE(SUBSTITUTE(SUBSTITUTE(SUBSTITUTE($D59,CHAR(13)," "),CHAR(10)," "),CHAR(9)," "),CHAR(92),_xlfn.CONCAT(CHAR(92),CHAR(92))),"$",_xlfn.CONCAT(CHAR(92),"$")),CHAR(96),_xlfn.CONCAT(CHAR(92),CHAR(96))),CHAR(34),CHAR(39))))</f>
        <v/>
      </c>
      <c r="O59" s="5" t="str">
        <f>IF(OR(TRIM($B59)="",$E59=""),"",IF(OR(ISNUMBER(SEARCH(_xlfn.CONCAT(CHAR(96),CHAR(34)),$E59)),ISNUMBER(SEARCH(_xlfn.CONCAT(CHAR(34),CHAR(39)),$E59))),_xlfn.CONCAT("* REVIEW REQUIRED: compound-quote delimiter in Question Wording on Sheet 1 row ",59,"; edit the input before running."),_xlfn.CONCAT("char ",TRIM($B59),"[doc_question] ",CHAR(96),CHAR(34),SUBSTITUTE(SUBSTITUTE(SUBSTITUTE(SUBSTITUTE(SUBSTITUTE(SUBSTITUTE($E59,CHAR(13)," "),CHAR(10)," "),CHAR(9)," "),CHAR(92),_xlfn.CONCAT(CHAR(92),CHAR(92))),"$",_xlfn.CONCAT(CHAR(92),"$")),CHAR(96),_xlfn.CONCAT(CHAR(92),CHAR(96))),CHAR(34),CHAR(39))))</f>
        <v/>
      </c>
      <c r="P59" s="5" t="str">
        <f>IF(OR(TRIM($B59)="",$F59=""),"",IF(OR(ISNUMBER(SEARCH(_xlfn.CONCAT(CHAR(96),CHAR(34)),$F59)),ISNUMBER(SEARCH(_xlfn.CONCAT(CHAR(34),CHAR(39)),$F59))),_xlfn.CONCAT("* REVIEW REQUIRED: compound-quote delimiter in Units on Sheet 1 row ",59,"; edit the input before running."),_xlfn.CONCAT("char ",TRIM($B59),"[doc_units] ",CHAR(96),CHAR(34),SUBSTITUTE(SUBSTITUTE(SUBSTITUTE(SUBSTITUTE(SUBSTITUTE(SUBSTITUTE($F59,CHAR(13)," "),CHAR(10)," "),CHAR(9)," "),CHAR(92),_xlfn.CONCAT(CHAR(92),CHAR(92))),"$",_xlfn.CONCAT(CHAR(92),"$")),CHAR(96),_xlfn.CONCAT(CHAR(92),CHAR(96))),CHAR(34),CHAR(39))))</f>
        <v/>
      </c>
      <c r="Q59" s="5" t="str">
        <f>IF(OR(TRIM($B59)="",$G59=""),"",IF(OR(ISNUMBER(SEARCH(_xlfn.CONCAT(CHAR(96),CHAR(34)),$G59)),ISNUMBER(SEARCH(_xlfn.CONCAT(CHAR(34),CHAR(39)),$G59))),_xlfn.CONCAT("* REVIEW REQUIRED: compound-quote delimiter in Universe on Sheet 1 row ",59,"; edit the input before running."),_xlfn.CONCAT("char ",TRIM($B59),"[doc_universe] ",CHAR(96),CHAR(34),SUBSTITUTE(SUBSTITUTE(SUBSTITUTE(SUBSTITUTE(SUBSTITUTE(SUBSTITUTE($G59,CHAR(13)," "),CHAR(10)," "),CHAR(9)," "),CHAR(92),_xlfn.CONCAT(CHAR(92),CHAR(92))),"$",_xlfn.CONCAT(CHAR(92),"$")),CHAR(96),_xlfn.CONCAT(CHAR(92),CHAR(96))),CHAR(34),CHAR(39))))</f>
        <v/>
      </c>
      <c r="R59" s="5" t="str">
        <f>IF(OR(TRIM($B59)="",$H59=""),"",IF(OR(ISNUMBER(SEARCH(_xlfn.CONCAT(CHAR(96),CHAR(34)),$H59)),ISNUMBER(SEARCH(_xlfn.CONCAT(CHAR(34),CHAR(39)),$H59))),_xlfn.CONCAT("* REVIEW REQUIRED: compound-quote delimiter in Source on Sheet 1 row ",59,"; edit the input before running."),_xlfn.CONCAT("char ",TRIM($B59),"[doc_source] ",CHAR(96),CHAR(34),SUBSTITUTE(SUBSTITUTE(SUBSTITUTE(SUBSTITUTE(SUBSTITUTE(SUBSTITUTE($H59,CHAR(13)," "),CHAR(10)," "),CHAR(9)," "),CHAR(92),_xlfn.CONCAT(CHAR(92),CHAR(92))),"$",_xlfn.CONCAT(CHAR(92),"$")),CHAR(96),_xlfn.CONCAT(CHAR(92),CHAR(96))),CHAR(34),CHAR(39))))</f>
        <v/>
      </c>
      <c r="S59" s="5" t="str">
        <f>IF(OR(TRIM($B59)="",$I59=""),"",IF(OR(ISNUMBER(SEARCH(_xlfn.CONCAT(CHAR(96),CHAR(34)),$I59)),ISNUMBER(SEARCH(_xlfn.CONCAT(CHAR(34),CHAR(39)),$I59))),_xlfn.CONCAT("* REVIEW REQUIRED: compound-quote delimiter in Derivation on Sheet 1 row ",59,"; edit the input before running."),_xlfn.CONCAT("char ",TRIM($B59),"[doc_derivation] ",CHAR(96),CHAR(34),SUBSTITUTE(SUBSTITUTE(SUBSTITUTE(SUBSTITUTE(SUBSTITUTE(SUBSTITUTE($I59,CHAR(13)," "),CHAR(10)," "),CHAR(9)," "),CHAR(92),_xlfn.CONCAT(CHAR(92),CHAR(92))),"$",_xlfn.CONCAT(CHAR(92),"$")),CHAR(96),_xlfn.CONCAT(CHAR(92),CHAR(96))),CHAR(34),CHAR(39))))</f>
        <v/>
      </c>
      <c r="T59" s="5" t="str">
        <f>IF(OR(TRIM($B59)="",$J59=""),"",IF(OR(ISNUMBER(SEARCH(_xlfn.CONCAT(CHAR(96),CHAR(34)),$J59)),ISNUMBER(SEARCH(_xlfn.CONCAT(CHAR(34),CHAR(39)),$J59))),_xlfn.CONCAT("* REVIEW REQUIRED: compound-quote delimiter in Notes on Sheet 1 row ",59,"; edit the input before running."),_xlfn.CONCAT("char ",TRIM($B59),"[doc_notes] ",CHAR(96),CHAR(34),SUBSTITUTE(SUBSTITUTE(SUBSTITUTE(SUBSTITUTE(SUBSTITUTE(SUBSTITUTE($J59,CHAR(13)," "),CHAR(10)," "),CHAR(9)," "),CHAR(92),_xlfn.CONCAT(CHAR(92),CHAR(92))),"$",_xlfn.CONCAT(CHAR(92),"$")),CHAR(96),_xlfn.CONCAT(CHAR(92),CHAR(96))),CHAR(34),CHAR(39))))</f>
        <v/>
      </c>
      <c r="U59" s="5">
        <f t="shared" si="1"/>
        <v>0</v>
      </c>
    </row>
    <row r="60" spans="3:21" ht="30" customHeight="1" x14ac:dyDescent="0.2">
      <c r="C60" s="4"/>
      <c r="K60" s="5">
        <f t="shared" si="0"/>
        <v>0</v>
      </c>
      <c r="L60" s="5" t="str">
        <f>IF(OR(TRIM($B60)="",$A60=""),"",IF(OR(ISNUMBER(SEARCH(_xlfn.CONCAT(CHAR(96),CHAR(34)),$A60)),ISNUMBER(SEARCH(_xlfn.CONCAT(CHAR(34),CHAR(39)),$A60))),_xlfn.CONCAT("* REVIEW REQUIRED: compound-quote delimiter in Codebook Section on Sheet 1 row ",60,"; edit the input before running."),_xlfn.CONCAT("char ",TRIM($B60),"[doc_section] ",CHAR(96),CHAR(34),SUBSTITUTE(SUBSTITUTE(SUBSTITUTE(SUBSTITUTE(SUBSTITUTE(SUBSTITUTE($A60,CHAR(13)," "),CHAR(10)," "),CHAR(9)," "),CHAR(92),_xlfn.CONCAT(CHAR(92),CHAR(92))),"$",_xlfn.CONCAT(CHAR(92),"$")),CHAR(96),_xlfn.CONCAT(CHAR(92),CHAR(96))),CHAR(34),CHAR(39))))</f>
        <v/>
      </c>
      <c r="M60" s="5" t="str">
        <f>IF(OR(TRIM($B60)="",$C60=""),"",IF(IFERROR(MATCH(TRIM($C60),{"Quantitative","Continuous","Discrete","Categorical","Nominal","Ordinal","Identifier"},0),0)=0,_xlfn.CONCAT("* REVIEW REQUIRED: invalid Variable Type on Sheet 1 row ",60,"."),_xlfn.CONCAT("char ",TRIM($B60),"[doc_vartype] ",CHAR(96),CHAR(34),SUBSTITUTE(SUBSTITUTE(SUBSTITUTE(SUBSTITUTE(SUBSTITUTE(SUBSTITUTE(LOWER(TRIM($C60)),CHAR(13)," "),CHAR(10)," "),CHAR(9)," "),CHAR(92),_xlfn.CONCAT(CHAR(92),CHAR(92))),"$",_xlfn.CONCAT(CHAR(92),"$")),CHAR(96),_xlfn.CONCAT(CHAR(92),CHAR(96))),CHAR(34),CHAR(39))))</f>
        <v/>
      </c>
      <c r="N60" s="5" t="str">
        <f>IF(OR(TRIM($B60)="",$D60=""),"",IF(OR(ISNUMBER(SEARCH(_xlfn.CONCAT(CHAR(96),CHAR(34)),$D60)),ISNUMBER(SEARCH(_xlfn.CONCAT(CHAR(34),CHAR(39)),$D60))),_xlfn.CONCAT("* REVIEW REQUIRED: compound-quote delimiter in Item Number on Sheet 1 row ",60,"; edit the input before running."),_xlfn.CONCAT("char ",TRIM($B60),"[doc_itemnum] ",CHAR(96),CHAR(34),SUBSTITUTE(SUBSTITUTE(SUBSTITUTE(SUBSTITUTE(SUBSTITUTE(SUBSTITUTE($D60,CHAR(13)," "),CHAR(10)," "),CHAR(9)," "),CHAR(92),_xlfn.CONCAT(CHAR(92),CHAR(92))),"$",_xlfn.CONCAT(CHAR(92),"$")),CHAR(96),_xlfn.CONCAT(CHAR(92),CHAR(96))),CHAR(34),CHAR(39))))</f>
        <v/>
      </c>
      <c r="O60" s="5" t="str">
        <f>IF(OR(TRIM($B60)="",$E60=""),"",IF(OR(ISNUMBER(SEARCH(_xlfn.CONCAT(CHAR(96),CHAR(34)),$E60)),ISNUMBER(SEARCH(_xlfn.CONCAT(CHAR(34),CHAR(39)),$E60))),_xlfn.CONCAT("* REVIEW REQUIRED: compound-quote delimiter in Question Wording on Sheet 1 row ",60,"; edit the input before running."),_xlfn.CONCAT("char ",TRIM($B60),"[doc_question] ",CHAR(96),CHAR(34),SUBSTITUTE(SUBSTITUTE(SUBSTITUTE(SUBSTITUTE(SUBSTITUTE(SUBSTITUTE($E60,CHAR(13)," "),CHAR(10)," "),CHAR(9)," "),CHAR(92),_xlfn.CONCAT(CHAR(92),CHAR(92))),"$",_xlfn.CONCAT(CHAR(92),"$")),CHAR(96),_xlfn.CONCAT(CHAR(92),CHAR(96))),CHAR(34),CHAR(39))))</f>
        <v/>
      </c>
      <c r="P60" s="5" t="str">
        <f>IF(OR(TRIM($B60)="",$F60=""),"",IF(OR(ISNUMBER(SEARCH(_xlfn.CONCAT(CHAR(96),CHAR(34)),$F60)),ISNUMBER(SEARCH(_xlfn.CONCAT(CHAR(34),CHAR(39)),$F60))),_xlfn.CONCAT("* REVIEW REQUIRED: compound-quote delimiter in Units on Sheet 1 row ",60,"; edit the input before running."),_xlfn.CONCAT("char ",TRIM($B60),"[doc_units] ",CHAR(96),CHAR(34),SUBSTITUTE(SUBSTITUTE(SUBSTITUTE(SUBSTITUTE(SUBSTITUTE(SUBSTITUTE($F60,CHAR(13)," "),CHAR(10)," "),CHAR(9)," "),CHAR(92),_xlfn.CONCAT(CHAR(92),CHAR(92))),"$",_xlfn.CONCAT(CHAR(92),"$")),CHAR(96),_xlfn.CONCAT(CHAR(92),CHAR(96))),CHAR(34),CHAR(39))))</f>
        <v/>
      </c>
      <c r="Q60" s="5" t="str">
        <f>IF(OR(TRIM($B60)="",$G60=""),"",IF(OR(ISNUMBER(SEARCH(_xlfn.CONCAT(CHAR(96),CHAR(34)),$G60)),ISNUMBER(SEARCH(_xlfn.CONCAT(CHAR(34),CHAR(39)),$G60))),_xlfn.CONCAT("* REVIEW REQUIRED: compound-quote delimiter in Universe on Sheet 1 row ",60,"; edit the input before running."),_xlfn.CONCAT("char ",TRIM($B60),"[doc_universe] ",CHAR(96),CHAR(34),SUBSTITUTE(SUBSTITUTE(SUBSTITUTE(SUBSTITUTE(SUBSTITUTE(SUBSTITUTE($G60,CHAR(13)," "),CHAR(10)," "),CHAR(9)," "),CHAR(92),_xlfn.CONCAT(CHAR(92),CHAR(92))),"$",_xlfn.CONCAT(CHAR(92),"$")),CHAR(96),_xlfn.CONCAT(CHAR(92),CHAR(96))),CHAR(34),CHAR(39))))</f>
        <v/>
      </c>
      <c r="R60" s="5" t="str">
        <f>IF(OR(TRIM($B60)="",$H60=""),"",IF(OR(ISNUMBER(SEARCH(_xlfn.CONCAT(CHAR(96),CHAR(34)),$H60)),ISNUMBER(SEARCH(_xlfn.CONCAT(CHAR(34),CHAR(39)),$H60))),_xlfn.CONCAT("* REVIEW REQUIRED: compound-quote delimiter in Source on Sheet 1 row ",60,"; edit the input before running."),_xlfn.CONCAT("char ",TRIM($B60),"[doc_source] ",CHAR(96),CHAR(34),SUBSTITUTE(SUBSTITUTE(SUBSTITUTE(SUBSTITUTE(SUBSTITUTE(SUBSTITUTE($H60,CHAR(13)," "),CHAR(10)," "),CHAR(9)," "),CHAR(92),_xlfn.CONCAT(CHAR(92),CHAR(92))),"$",_xlfn.CONCAT(CHAR(92),"$")),CHAR(96),_xlfn.CONCAT(CHAR(92),CHAR(96))),CHAR(34),CHAR(39))))</f>
        <v/>
      </c>
      <c r="S60" s="5" t="str">
        <f>IF(OR(TRIM($B60)="",$I60=""),"",IF(OR(ISNUMBER(SEARCH(_xlfn.CONCAT(CHAR(96),CHAR(34)),$I60)),ISNUMBER(SEARCH(_xlfn.CONCAT(CHAR(34),CHAR(39)),$I60))),_xlfn.CONCAT("* REVIEW REQUIRED: compound-quote delimiter in Derivation on Sheet 1 row ",60,"; edit the input before running."),_xlfn.CONCAT("char ",TRIM($B60),"[doc_derivation] ",CHAR(96),CHAR(34),SUBSTITUTE(SUBSTITUTE(SUBSTITUTE(SUBSTITUTE(SUBSTITUTE(SUBSTITUTE($I60,CHAR(13)," "),CHAR(10)," "),CHAR(9)," "),CHAR(92),_xlfn.CONCAT(CHAR(92),CHAR(92))),"$",_xlfn.CONCAT(CHAR(92),"$")),CHAR(96),_xlfn.CONCAT(CHAR(92),CHAR(96))),CHAR(34),CHAR(39))))</f>
        <v/>
      </c>
      <c r="T60" s="5" t="str">
        <f>IF(OR(TRIM($B60)="",$J60=""),"",IF(OR(ISNUMBER(SEARCH(_xlfn.CONCAT(CHAR(96),CHAR(34)),$J60)),ISNUMBER(SEARCH(_xlfn.CONCAT(CHAR(34),CHAR(39)),$J60))),_xlfn.CONCAT("* REVIEW REQUIRED: compound-quote delimiter in Notes on Sheet 1 row ",60,"; edit the input before running."),_xlfn.CONCAT("char ",TRIM($B60),"[doc_notes] ",CHAR(96),CHAR(34),SUBSTITUTE(SUBSTITUTE(SUBSTITUTE(SUBSTITUTE(SUBSTITUTE(SUBSTITUTE($J60,CHAR(13)," "),CHAR(10)," "),CHAR(9)," "),CHAR(92),_xlfn.CONCAT(CHAR(92),CHAR(92))),"$",_xlfn.CONCAT(CHAR(92),"$")),CHAR(96),_xlfn.CONCAT(CHAR(92),CHAR(96))),CHAR(34),CHAR(39))))</f>
        <v/>
      </c>
      <c r="U60" s="5">
        <f t="shared" si="1"/>
        <v>0</v>
      </c>
    </row>
    <row r="61" spans="3:21" ht="30" customHeight="1" x14ac:dyDescent="0.2">
      <c r="C61" s="4"/>
      <c r="K61" s="5">
        <f t="shared" si="0"/>
        <v>0</v>
      </c>
      <c r="L61" s="5" t="str">
        <f>IF(OR(TRIM($B61)="",$A61=""),"",IF(OR(ISNUMBER(SEARCH(_xlfn.CONCAT(CHAR(96),CHAR(34)),$A61)),ISNUMBER(SEARCH(_xlfn.CONCAT(CHAR(34),CHAR(39)),$A61))),_xlfn.CONCAT("* REVIEW REQUIRED: compound-quote delimiter in Codebook Section on Sheet 1 row ",61,"; edit the input before running."),_xlfn.CONCAT("char ",TRIM($B61),"[doc_section] ",CHAR(96),CHAR(34),SUBSTITUTE(SUBSTITUTE(SUBSTITUTE(SUBSTITUTE(SUBSTITUTE(SUBSTITUTE($A61,CHAR(13)," "),CHAR(10)," "),CHAR(9)," "),CHAR(92),_xlfn.CONCAT(CHAR(92),CHAR(92))),"$",_xlfn.CONCAT(CHAR(92),"$")),CHAR(96),_xlfn.CONCAT(CHAR(92),CHAR(96))),CHAR(34),CHAR(39))))</f>
        <v/>
      </c>
      <c r="M61" s="5" t="str">
        <f>IF(OR(TRIM($B61)="",$C61=""),"",IF(IFERROR(MATCH(TRIM($C61),{"Quantitative","Continuous","Discrete","Categorical","Nominal","Ordinal","Identifier"},0),0)=0,_xlfn.CONCAT("* REVIEW REQUIRED: invalid Variable Type on Sheet 1 row ",61,"."),_xlfn.CONCAT("char ",TRIM($B61),"[doc_vartype] ",CHAR(96),CHAR(34),SUBSTITUTE(SUBSTITUTE(SUBSTITUTE(SUBSTITUTE(SUBSTITUTE(SUBSTITUTE(LOWER(TRIM($C61)),CHAR(13)," "),CHAR(10)," "),CHAR(9)," "),CHAR(92),_xlfn.CONCAT(CHAR(92),CHAR(92))),"$",_xlfn.CONCAT(CHAR(92),"$")),CHAR(96),_xlfn.CONCAT(CHAR(92),CHAR(96))),CHAR(34),CHAR(39))))</f>
        <v/>
      </c>
      <c r="N61" s="5" t="str">
        <f>IF(OR(TRIM($B61)="",$D61=""),"",IF(OR(ISNUMBER(SEARCH(_xlfn.CONCAT(CHAR(96),CHAR(34)),$D61)),ISNUMBER(SEARCH(_xlfn.CONCAT(CHAR(34),CHAR(39)),$D61))),_xlfn.CONCAT("* REVIEW REQUIRED: compound-quote delimiter in Item Number on Sheet 1 row ",61,"; edit the input before running."),_xlfn.CONCAT("char ",TRIM($B61),"[doc_itemnum] ",CHAR(96),CHAR(34),SUBSTITUTE(SUBSTITUTE(SUBSTITUTE(SUBSTITUTE(SUBSTITUTE(SUBSTITUTE($D61,CHAR(13)," "),CHAR(10)," "),CHAR(9)," "),CHAR(92),_xlfn.CONCAT(CHAR(92),CHAR(92))),"$",_xlfn.CONCAT(CHAR(92),"$")),CHAR(96),_xlfn.CONCAT(CHAR(92),CHAR(96))),CHAR(34),CHAR(39))))</f>
        <v/>
      </c>
      <c r="O61" s="5" t="str">
        <f>IF(OR(TRIM($B61)="",$E61=""),"",IF(OR(ISNUMBER(SEARCH(_xlfn.CONCAT(CHAR(96),CHAR(34)),$E61)),ISNUMBER(SEARCH(_xlfn.CONCAT(CHAR(34),CHAR(39)),$E61))),_xlfn.CONCAT("* REVIEW REQUIRED: compound-quote delimiter in Question Wording on Sheet 1 row ",61,"; edit the input before running."),_xlfn.CONCAT("char ",TRIM($B61),"[doc_question] ",CHAR(96),CHAR(34),SUBSTITUTE(SUBSTITUTE(SUBSTITUTE(SUBSTITUTE(SUBSTITUTE(SUBSTITUTE($E61,CHAR(13)," "),CHAR(10)," "),CHAR(9)," "),CHAR(92),_xlfn.CONCAT(CHAR(92),CHAR(92))),"$",_xlfn.CONCAT(CHAR(92),"$")),CHAR(96),_xlfn.CONCAT(CHAR(92),CHAR(96))),CHAR(34),CHAR(39))))</f>
        <v/>
      </c>
      <c r="P61" s="5" t="str">
        <f>IF(OR(TRIM($B61)="",$F61=""),"",IF(OR(ISNUMBER(SEARCH(_xlfn.CONCAT(CHAR(96),CHAR(34)),$F61)),ISNUMBER(SEARCH(_xlfn.CONCAT(CHAR(34),CHAR(39)),$F61))),_xlfn.CONCAT("* REVIEW REQUIRED: compound-quote delimiter in Units on Sheet 1 row ",61,"; edit the input before running."),_xlfn.CONCAT("char ",TRIM($B61),"[doc_units] ",CHAR(96),CHAR(34),SUBSTITUTE(SUBSTITUTE(SUBSTITUTE(SUBSTITUTE(SUBSTITUTE(SUBSTITUTE($F61,CHAR(13)," "),CHAR(10)," "),CHAR(9)," "),CHAR(92),_xlfn.CONCAT(CHAR(92),CHAR(92))),"$",_xlfn.CONCAT(CHAR(92),"$")),CHAR(96),_xlfn.CONCAT(CHAR(92),CHAR(96))),CHAR(34),CHAR(39))))</f>
        <v/>
      </c>
      <c r="Q61" s="5" t="str">
        <f>IF(OR(TRIM($B61)="",$G61=""),"",IF(OR(ISNUMBER(SEARCH(_xlfn.CONCAT(CHAR(96),CHAR(34)),$G61)),ISNUMBER(SEARCH(_xlfn.CONCAT(CHAR(34),CHAR(39)),$G61))),_xlfn.CONCAT("* REVIEW REQUIRED: compound-quote delimiter in Universe on Sheet 1 row ",61,"; edit the input before running."),_xlfn.CONCAT("char ",TRIM($B61),"[doc_universe] ",CHAR(96),CHAR(34),SUBSTITUTE(SUBSTITUTE(SUBSTITUTE(SUBSTITUTE(SUBSTITUTE(SUBSTITUTE($G61,CHAR(13)," "),CHAR(10)," "),CHAR(9)," "),CHAR(92),_xlfn.CONCAT(CHAR(92),CHAR(92))),"$",_xlfn.CONCAT(CHAR(92),"$")),CHAR(96),_xlfn.CONCAT(CHAR(92),CHAR(96))),CHAR(34),CHAR(39))))</f>
        <v/>
      </c>
      <c r="R61" s="5" t="str">
        <f>IF(OR(TRIM($B61)="",$H61=""),"",IF(OR(ISNUMBER(SEARCH(_xlfn.CONCAT(CHAR(96),CHAR(34)),$H61)),ISNUMBER(SEARCH(_xlfn.CONCAT(CHAR(34),CHAR(39)),$H61))),_xlfn.CONCAT("* REVIEW REQUIRED: compound-quote delimiter in Source on Sheet 1 row ",61,"; edit the input before running."),_xlfn.CONCAT("char ",TRIM($B61),"[doc_source] ",CHAR(96),CHAR(34),SUBSTITUTE(SUBSTITUTE(SUBSTITUTE(SUBSTITUTE(SUBSTITUTE(SUBSTITUTE($H61,CHAR(13)," "),CHAR(10)," "),CHAR(9)," "),CHAR(92),_xlfn.CONCAT(CHAR(92),CHAR(92))),"$",_xlfn.CONCAT(CHAR(92),"$")),CHAR(96),_xlfn.CONCAT(CHAR(92),CHAR(96))),CHAR(34),CHAR(39))))</f>
        <v/>
      </c>
      <c r="S61" s="5" t="str">
        <f>IF(OR(TRIM($B61)="",$I61=""),"",IF(OR(ISNUMBER(SEARCH(_xlfn.CONCAT(CHAR(96),CHAR(34)),$I61)),ISNUMBER(SEARCH(_xlfn.CONCAT(CHAR(34),CHAR(39)),$I61))),_xlfn.CONCAT("* REVIEW REQUIRED: compound-quote delimiter in Derivation on Sheet 1 row ",61,"; edit the input before running."),_xlfn.CONCAT("char ",TRIM($B61),"[doc_derivation] ",CHAR(96),CHAR(34),SUBSTITUTE(SUBSTITUTE(SUBSTITUTE(SUBSTITUTE(SUBSTITUTE(SUBSTITUTE($I61,CHAR(13)," "),CHAR(10)," "),CHAR(9)," "),CHAR(92),_xlfn.CONCAT(CHAR(92),CHAR(92))),"$",_xlfn.CONCAT(CHAR(92),"$")),CHAR(96),_xlfn.CONCAT(CHAR(92),CHAR(96))),CHAR(34),CHAR(39))))</f>
        <v/>
      </c>
      <c r="T61" s="5" t="str">
        <f>IF(OR(TRIM($B61)="",$J61=""),"",IF(OR(ISNUMBER(SEARCH(_xlfn.CONCAT(CHAR(96),CHAR(34)),$J61)),ISNUMBER(SEARCH(_xlfn.CONCAT(CHAR(34),CHAR(39)),$J61))),_xlfn.CONCAT("* REVIEW REQUIRED: compound-quote delimiter in Notes on Sheet 1 row ",61,"; edit the input before running."),_xlfn.CONCAT("char ",TRIM($B61),"[doc_notes] ",CHAR(96),CHAR(34),SUBSTITUTE(SUBSTITUTE(SUBSTITUTE(SUBSTITUTE(SUBSTITUTE(SUBSTITUTE($J61,CHAR(13)," "),CHAR(10)," "),CHAR(9)," "),CHAR(92),_xlfn.CONCAT(CHAR(92),CHAR(92))),"$",_xlfn.CONCAT(CHAR(92),"$")),CHAR(96),_xlfn.CONCAT(CHAR(92),CHAR(96))),CHAR(34),CHAR(39))))</f>
        <v/>
      </c>
      <c r="U61" s="5">
        <f t="shared" si="1"/>
        <v>0</v>
      </c>
    </row>
    <row r="62" spans="3:21" ht="30" customHeight="1" x14ac:dyDescent="0.2">
      <c r="C62" s="4"/>
      <c r="K62" s="5">
        <f t="shared" si="0"/>
        <v>0</v>
      </c>
      <c r="L62" s="5" t="str">
        <f>IF(OR(TRIM($B62)="",$A62=""),"",IF(OR(ISNUMBER(SEARCH(_xlfn.CONCAT(CHAR(96),CHAR(34)),$A62)),ISNUMBER(SEARCH(_xlfn.CONCAT(CHAR(34),CHAR(39)),$A62))),_xlfn.CONCAT("* REVIEW REQUIRED: compound-quote delimiter in Codebook Section on Sheet 1 row ",62,"; edit the input before running."),_xlfn.CONCAT("char ",TRIM($B62),"[doc_section] ",CHAR(96),CHAR(34),SUBSTITUTE(SUBSTITUTE(SUBSTITUTE(SUBSTITUTE(SUBSTITUTE(SUBSTITUTE($A62,CHAR(13)," "),CHAR(10)," "),CHAR(9)," "),CHAR(92),_xlfn.CONCAT(CHAR(92),CHAR(92))),"$",_xlfn.CONCAT(CHAR(92),"$")),CHAR(96),_xlfn.CONCAT(CHAR(92),CHAR(96))),CHAR(34),CHAR(39))))</f>
        <v/>
      </c>
      <c r="M62" s="5" t="str">
        <f>IF(OR(TRIM($B62)="",$C62=""),"",IF(IFERROR(MATCH(TRIM($C62),{"Quantitative","Continuous","Discrete","Categorical","Nominal","Ordinal","Identifier"},0),0)=0,_xlfn.CONCAT("* REVIEW REQUIRED: invalid Variable Type on Sheet 1 row ",62,"."),_xlfn.CONCAT("char ",TRIM($B62),"[doc_vartype] ",CHAR(96),CHAR(34),SUBSTITUTE(SUBSTITUTE(SUBSTITUTE(SUBSTITUTE(SUBSTITUTE(SUBSTITUTE(LOWER(TRIM($C62)),CHAR(13)," "),CHAR(10)," "),CHAR(9)," "),CHAR(92),_xlfn.CONCAT(CHAR(92),CHAR(92))),"$",_xlfn.CONCAT(CHAR(92),"$")),CHAR(96),_xlfn.CONCAT(CHAR(92),CHAR(96))),CHAR(34),CHAR(39))))</f>
        <v/>
      </c>
      <c r="N62" s="5" t="str">
        <f>IF(OR(TRIM($B62)="",$D62=""),"",IF(OR(ISNUMBER(SEARCH(_xlfn.CONCAT(CHAR(96),CHAR(34)),$D62)),ISNUMBER(SEARCH(_xlfn.CONCAT(CHAR(34),CHAR(39)),$D62))),_xlfn.CONCAT("* REVIEW REQUIRED: compound-quote delimiter in Item Number on Sheet 1 row ",62,"; edit the input before running."),_xlfn.CONCAT("char ",TRIM($B62),"[doc_itemnum] ",CHAR(96),CHAR(34),SUBSTITUTE(SUBSTITUTE(SUBSTITUTE(SUBSTITUTE(SUBSTITUTE(SUBSTITUTE($D62,CHAR(13)," "),CHAR(10)," "),CHAR(9)," "),CHAR(92),_xlfn.CONCAT(CHAR(92),CHAR(92))),"$",_xlfn.CONCAT(CHAR(92),"$")),CHAR(96),_xlfn.CONCAT(CHAR(92),CHAR(96))),CHAR(34),CHAR(39))))</f>
        <v/>
      </c>
      <c r="O62" s="5" t="str">
        <f>IF(OR(TRIM($B62)="",$E62=""),"",IF(OR(ISNUMBER(SEARCH(_xlfn.CONCAT(CHAR(96),CHAR(34)),$E62)),ISNUMBER(SEARCH(_xlfn.CONCAT(CHAR(34),CHAR(39)),$E62))),_xlfn.CONCAT("* REVIEW REQUIRED: compound-quote delimiter in Question Wording on Sheet 1 row ",62,"; edit the input before running."),_xlfn.CONCAT("char ",TRIM($B62),"[doc_question] ",CHAR(96),CHAR(34),SUBSTITUTE(SUBSTITUTE(SUBSTITUTE(SUBSTITUTE(SUBSTITUTE(SUBSTITUTE($E62,CHAR(13)," "),CHAR(10)," "),CHAR(9)," "),CHAR(92),_xlfn.CONCAT(CHAR(92),CHAR(92))),"$",_xlfn.CONCAT(CHAR(92),"$")),CHAR(96),_xlfn.CONCAT(CHAR(92),CHAR(96))),CHAR(34),CHAR(39))))</f>
        <v/>
      </c>
      <c r="P62" s="5" t="str">
        <f>IF(OR(TRIM($B62)="",$F62=""),"",IF(OR(ISNUMBER(SEARCH(_xlfn.CONCAT(CHAR(96),CHAR(34)),$F62)),ISNUMBER(SEARCH(_xlfn.CONCAT(CHAR(34),CHAR(39)),$F62))),_xlfn.CONCAT("* REVIEW REQUIRED: compound-quote delimiter in Units on Sheet 1 row ",62,"; edit the input before running."),_xlfn.CONCAT("char ",TRIM($B62),"[doc_units] ",CHAR(96),CHAR(34),SUBSTITUTE(SUBSTITUTE(SUBSTITUTE(SUBSTITUTE(SUBSTITUTE(SUBSTITUTE($F62,CHAR(13)," "),CHAR(10)," "),CHAR(9)," "),CHAR(92),_xlfn.CONCAT(CHAR(92),CHAR(92))),"$",_xlfn.CONCAT(CHAR(92),"$")),CHAR(96),_xlfn.CONCAT(CHAR(92),CHAR(96))),CHAR(34),CHAR(39))))</f>
        <v/>
      </c>
      <c r="Q62" s="5" t="str">
        <f>IF(OR(TRIM($B62)="",$G62=""),"",IF(OR(ISNUMBER(SEARCH(_xlfn.CONCAT(CHAR(96),CHAR(34)),$G62)),ISNUMBER(SEARCH(_xlfn.CONCAT(CHAR(34),CHAR(39)),$G62))),_xlfn.CONCAT("* REVIEW REQUIRED: compound-quote delimiter in Universe on Sheet 1 row ",62,"; edit the input before running."),_xlfn.CONCAT("char ",TRIM($B62),"[doc_universe] ",CHAR(96),CHAR(34),SUBSTITUTE(SUBSTITUTE(SUBSTITUTE(SUBSTITUTE(SUBSTITUTE(SUBSTITUTE($G62,CHAR(13)," "),CHAR(10)," "),CHAR(9)," "),CHAR(92),_xlfn.CONCAT(CHAR(92),CHAR(92))),"$",_xlfn.CONCAT(CHAR(92),"$")),CHAR(96),_xlfn.CONCAT(CHAR(92),CHAR(96))),CHAR(34),CHAR(39))))</f>
        <v/>
      </c>
      <c r="R62" s="5" t="str">
        <f>IF(OR(TRIM($B62)="",$H62=""),"",IF(OR(ISNUMBER(SEARCH(_xlfn.CONCAT(CHAR(96),CHAR(34)),$H62)),ISNUMBER(SEARCH(_xlfn.CONCAT(CHAR(34),CHAR(39)),$H62))),_xlfn.CONCAT("* REVIEW REQUIRED: compound-quote delimiter in Source on Sheet 1 row ",62,"; edit the input before running."),_xlfn.CONCAT("char ",TRIM($B62),"[doc_source] ",CHAR(96),CHAR(34),SUBSTITUTE(SUBSTITUTE(SUBSTITUTE(SUBSTITUTE(SUBSTITUTE(SUBSTITUTE($H62,CHAR(13)," "),CHAR(10)," "),CHAR(9)," "),CHAR(92),_xlfn.CONCAT(CHAR(92),CHAR(92))),"$",_xlfn.CONCAT(CHAR(92),"$")),CHAR(96),_xlfn.CONCAT(CHAR(92),CHAR(96))),CHAR(34),CHAR(39))))</f>
        <v/>
      </c>
      <c r="S62" s="5" t="str">
        <f>IF(OR(TRIM($B62)="",$I62=""),"",IF(OR(ISNUMBER(SEARCH(_xlfn.CONCAT(CHAR(96),CHAR(34)),$I62)),ISNUMBER(SEARCH(_xlfn.CONCAT(CHAR(34),CHAR(39)),$I62))),_xlfn.CONCAT("* REVIEW REQUIRED: compound-quote delimiter in Derivation on Sheet 1 row ",62,"; edit the input before running."),_xlfn.CONCAT("char ",TRIM($B62),"[doc_derivation] ",CHAR(96),CHAR(34),SUBSTITUTE(SUBSTITUTE(SUBSTITUTE(SUBSTITUTE(SUBSTITUTE(SUBSTITUTE($I62,CHAR(13)," "),CHAR(10)," "),CHAR(9)," "),CHAR(92),_xlfn.CONCAT(CHAR(92),CHAR(92))),"$",_xlfn.CONCAT(CHAR(92),"$")),CHAR(96),_xlfn.CONCAT(CHAR(92),CHAR(96))),CHAR(34),CHAR(39))))</f>
        <v/>
      </c>
      <c r="T62" s="5" t="str">
        <f>IF(OR(TRIM($B62)="",$J62=""),"",IF(OR(ISNUMBER(SEARCH(_xlfn.CONCAT(CHAR(96),CHAR(34)),$J62)),ISNUMBER(SEARCH(_xlfn.CONCAT(CHAR(34),CHAR(39)),$J62))),_xlfn.CONCAT("* REVIEW REQUIRED: compound-quote delimiter in Notes on Sheet 1 row ",62,"; edit the input before running."),_xlfn.CONCAT("char ",TRIM($B62),"[doc_notes] ",CHAR(96),CHAR(34),SUBSTITUTE(SUBSTITUTE(SUBSTITUTE(SUBSTITUTE(SUBSTITUTE(SUBSTITUTE($J62,CHAR(13)," "),CHAR(10)," "),CHAR(9)," "),CHAR(92),_xlfn.CONCAT(CHAR(92),CHAR(92))),"$",_xlfn.CONCAT(CHAR(92),"$")),CHAR(96),_xlfn.CONCAT(CHAR(92),CHAR(96))),CHAR(34),CHAR(39))))</f>
        <v/>
      </c>
      <c r="U62" s="5">
        <f t="shared" si="1"/>
        <v>0</v>
      </c>
    </row>
    <row r="63" spans="3:21" ht="30" customHeight="1" x14ac:dyDescent="0.2">
      <c r="C63" s="4"/>
      <c r="K63" s="5">
        <f t="shared" si="0"/>
        <v>0</v>
      </c>
      <c r="L63" s="5" t="str">
        <f>IF(OR(TRIM($B63)="",$A63=""),"",IF(OR(ISNUMBER(SEARCH(_xlfn.CONCAT(CHAR(96),CHAR(34)),$A63)),ISNUMBER(SEARCH(_xlfn.CONCAT(CHAR(34),CHAR(39)),$A63))),_xlfn.CONCAT("* REVIEW REQUIRED: compound-quote delimiter in Codebook Section on Sheet 1 row ",63,"; edit the input before running."),_xlfn.CONCAT("char ",TRIM($B63),"[doc_section] ",CHAR(96),CHAR(34),SUBSTITUTE(SUBSTITUTE(SUBSTITUTE(SUBSTITUTE(SUBSTITUTE(SUBSTITUTE($A63,CHAR(13)," "),CHAR(10)," "),CHAR(9)," "),CHAR(92),_xlfn.CONCAT(CHAR(92),CHAR(92))),"$",_xlfn.CONCAT(CHAR(92),"$")),CHAR(96),_xlfn.CONCAT(CHAR(92),CHAR(96))),CHAR(34),CHAR(39))))</f>
        <v/>
      </c>
      <c r="M63" s="5" t="str">
        <f>IF(OR(TRIM($B63)="",$C63=""),"",IF(IFERROR(MATCH(TRIM($C63),{"Quantitative","Continuous","Discrete","Categorical","Nominal","Ordinal","Identifier"},0),0)=0,_xlfn.CONCAT("* REVIEW REQUIRED: invalid Variable Type on Sheet 1 row ",63,"."),_xlfn.CONCAT("char ",TRIM($B63),"[doc_vartype] ",CHAR(96),CHAR(34),SUBSTITUTE(SUBSTITUTE(SUBSTITUTE(SUBSTITUTE(SUBSTITUTE(SUBSTITUTE(LOWER(TRIM($C63)),CHAR(13)," "),CHAR(10)," "),CHAR(9)," "),CHAR(92),_xlfn.CONCAT(CHAR(92),CHAR(92))),"$",_xlfn.CONCAT(CHAR(92),"$")),CHAR(96),_xlfn.CONCAT(CHAR(92),CHAR(96))),CHAR(34),CHAR(39))))</f>
        <v/>
      </c>
      <c r="N63" s="5" t="str">
        <f>IF(OR(TRIM($B63)="",$D63=""),"",IF(OR(ISNUMBER(SEARCH(_xlfn.CONCAT(CHAR(96),CHAR(34)),$D63)),ISNUMBER(SEARCH(_xlfn.CONCAT(CHAR(34),CHAR(39)),$D63))),_xlfn.CONCAT("* REVIEW REQUIRED: compound-quote delimiter in Item Number on Sheet 1 row ",63,"; edit the input before running."),_xlfn.CONCAT("char ",TRIM($B63),"[doc_itemnum] ",CHAR(96),CHAR(34),SUBSTITUTE(SUBSTITUTE(SUBSTITUTE(SUBSTITUTE(SUBSTITUTE(SUBSTITUTE($D63,CHAR(13)," "),CHAR(10)," "),CHAR(9)," "),CHAR(92),_xlfn.CONCAT(CHAR(92),CHAR(92))),"$",_xlfn.CONCAT(CHAR(92),"$")),CHAR(96),_xlfn.CONCAT(CHAR(92),CHAR(96))),CHAR(34),CHAR(39))))</f>
        <v/>
      </c>
      <c r="O63" s="5" t="str">
        <f>IF(OR(TRIM($B63)="",$E63=""),"",IF(OR(ISNUMBER(SEARCH(_xlfn.CONCAT(CHAR(96),CHAR(34)),$E63)),ISNUMBER(SEARCH(_xlfn.CONCAT(CHAR(34),CHAR(39)),$E63))),_xlfn.CONCAT("* REVIEW REQUIRED: compound-quote delimiter in Question Wording on Sheet 1 row ",63,"; edit the input before running."),_xlfn.CONCAT("char ",TRIM($B63),"[doc_question] ",CHAR(96),CHAR(34),SUBSTITUTE(SUBSTITUTE(SUBSTITUTE(SUBSTITUTE(SUBSTITUTE(SUBSTITUTE($E63,CHAR(13)," "),CHAR(10)," "),CHAR(9)," "),CHAR(92),_xlfn.CONCAT(CHAR(92),CHAR(92))),"$",_xlfn.CONCAT(CHAR(92),"$")),CHAR(96),_xlfn.CONCAT(CHAR(92),CHAR(96))),CHAR(34),CHAR(39))))</f>
        <v/>
      </c>
      <c r="P63" s="5" t="str">
        <f>IF(OR(TRIM($B63)="",$F63=""),"",IF(OR(ISNUMBER(SEARCH(_xlfn.CONCAT(CHAR(96),CHAR(34)),$F63)),ISNUMBER(SEARCH(_xlfn.CONCAT(CHAR(34),CHAR(39)),$F63))),_xlfn.CONCAT("* REVIEW REQUIRED: compound-quote delimiter in Units on Sheet 1 row ",63,"; edit the input before running."),_xlfn.CONCAT("char ",TRIM($B63),"[doc_units] ",CHAR(96),CHAR(34),SUBSTITUTE(SUBSTITUTE(SUBSTITUTE(SUBSTITUTE(SUBSTITUTE(SUBSTITUTE($F63,CHAR(13)," "),CHAR(10)," "),CHAR(9)," "),CHAR(92),_xlfn.CONCAT(CHAR(92),CHAR(92))),"$",_xlfn.CONCAT(CHAR(92),"$")),CHAR(96),_xlfn.CONCAT(CHAR(92),CHAR(96))),CHAR(34),CHAR(39))))</f>
        <v/>
      </c>
      <c r="Q63" s="5" t="str">
        <f>IF(OR(TRIM($B63)="",$G63=""),"",IF(OR(ISNUMBER(SEARCH(_xlfn.CONCAT(CHAR(96),CHAR(34)),$G63)),ISNUMBER(SEARCH(_xlfn.CONCAT(CHAR(34),CHAR(39)),$G63))),_xlfn.CONCAT("* REVIEW REQUIRED: compound-quote delimiter in Universe on Sheet 1 row ",63,"; edit the input before running."),_xlfn.CONCAT("char ",TRIM($B63),"[doc_universe] ",CHAR(96),CHAR(34),SUBSTITUTE(SUBSTITUTE(SUBSTITUTE(SUBSTITUTE(SUBSTITUTE(SUBSTITUTE($G63,CHAR(13)," "),CHAR(10)," "),CHAR(9)," "),CHAR(92),_xlfn.CONCAT(CHAR(92),CHAR(92))),"$",_xlfn.CONCAT(CHAR(92),"$")),CHAR(96),_xlfn.CONCAT(CHAR(92),CHAR(96))),CHAR(34),CHAR(39))))</f>
        <v/>
      </c>
      <c r="R63" s="5" t="str">
        <f>IF(OR(TRIM($B63)="",$H63=""),"",IF(OR(ISNUMBER(SEARCH(_xlfn.CONCAT(CHAR(96),CHAR(34)),$H63)),ISNUMBER(SEARCH(_xlfn.CONCAT(CHAR(34),CHAR(39)),$H63))),_xlfn.CONCAT("* REVIEW REQUIRED: compound-quote delimiter in Source on Sheet 1 row ",63,"; edit the input before running."),_xlfn.CONCAT("char ",TRIM($B63),"[doc_source] ",CHAR(96),CHAR(34),SUBSTITUTE(SUBSTITUTE(SUBSTITUTE(SUBSTITUTE(SUBSTITUTE(SUBSTITUTE($H63,CHAR(13)," "),CHAR(10)," "),CHAR(9)," "),CHAR(92),_xlfn.CONCAT(CHAR(92),CHAR(92))),"$",_xlfn.CONCAT(CHAR(92),"$")),CHAR(96),_xlfn.CONCAT(CHAR(92),CHAR(96))),CHAR(34),CHAR(39))))</f>
        <v/>
      </c>
      <c r="S63" s="5" t="str">
        <f>IF(OR(TRIM($B63)="",$I63=""),"",IF(OR(ISNUMBER(SEARCH(_xlfn.CONCAT(CHAR(96),CHAR(34)),$I63)),ISNUMBER(SEARCH(_xlfn.CONCAT(CHAR(34),CHAR(39)),$I63))),_xlfn.CONCAT("* REVIEW REQUIRED: compound-quote delimiter in Derivation on Sheet 1 row ",63,"; edit the input before running."),_xlfn.CONCAT("char ",TRIM($B63),"[doc_derivation] ",CHAR(96),CHAR(34),SUBSTITUTE(SUBSTITUTE(SUBSTITUTE(SUBSTITUTE(SUBSTITUTE(SUBSTITUTE($I63,CHAR(13)," "),CHAR(10)," "),CHAR(9)," "),CHAR(92),_xlfn.CONCAT(CHAR(92),CHAR(92))),"$",_xlfn.CONCAT(CHAR(92),"$")),CHAR(96),_xlfn.CONCAT(CHAR(92),CHAR(96))),CHAR(34),CHAR(39))))</f>
        <v/>
      </c>
      <c r="T63" s="5" t="str">
        <f>IF(OR(TRIM($B63)="",$J63=""),"",IF(OR(ISNUMBER(SEARCH(_xlfn.CONCAT(CHAR(96),CHAR(34)),$J63)),ISNUMBER(SEARCH(_xlfn.CONCAT(CHAR(34),CHAR(39)),$J63))),_xlfn.CONCAT("* REVIEW REQUIRED: compound-quote delimiter in Notes on Sheet 1 row ",63,"; edit the input before running."),_xlfn.CONCAT("char ",TRIM($B63),"[doc_notes] ",CHAR(96),CHAR(34),SUBSTITUTE(SUBSTITUTE(SUBSTITUTE(SUBSTITUTE(SUBSTITUTE(SUBSTITUTE($J63,CHAR(13)," "),CHAR(10)," "),CHAR(9)," "),CHAR(92),_xlfn.CONCAT(CHAR(92),CHAR(92))),"$",_xlfn.CONCAT(CHAR(92),"$")),CHAR(96),_xlfn.CONCAT(CHAR(92),CHAR(96))),CHAR(34),CHAR(39))))</f>
        <v/>
      </c>
      <c r="U63" s="5">
        <f t="shared" si="1"/>
        <v>0</v>
      </c>
    </row>
    <row r="64" spans="3:21" ht="30" customHeight="1" x14ac:dyDescent="0.2">
      <c r="C64" s="4"/>
      <c r="K64" s="5">
        <f t="shared" si="0"/>
        <v>0</v>
      </c>
      <c r="L64" s="5" t="str">
        <f>IF(OR(TRIM($B64)="",$A64=""),"",IF(OR(ISNUMBER(SEARCH(_xlfn.CONCAT(CHAR(96),CHAR(34)),$A64)),ISNUMBER(SEARCH(_xlfn.CONCAT(CHAR(34),CHAR(39)),$A64))),_xlfn.CONCAT("* REVIEW REQUIRED: compound-quote delimiter in Codebook Section on Sheet 1 row ",64,"; edit the input before running."),_xlfn.CONCAT("char ",TRIM($B64),"[doc_section] ",CHAR(96),CHAR(34),SUBSTITUTE(SUBSTITUTE(SUBSTITUTE(SUBSTITUTE(SUBSTITUTE(SUBSTITUTE($A64,CHAR(13)," "),CHAR(10)," "),CHAR(9)," "),CHAR(92),_xlfn.CONCAT(CHAR(92),CHAR(92))),"$",_xlfn.CONCAT(CHAR(92),"$")),CHAR(96),_xlfn.CONCAT(CHAR(92),CHAR(96))),CHAR(34),CHAR(39))))</f>
        <v/>
      </c>
      <c r="M64" s="5" t="str">
        <f>IF(OR(TRIM($B64)="",$C64=""),"",IF(IFERROR(MATCH(TRIM($C64),{"Quantitative","Continuous","Discrete","Categorical","Nominal","Ordinal","Identifier"},0),0)=0,_xlfn.CONCAT("* REVIEW REQUIRED: invalid Variable Type on Sheet 1 row ",64,"."),_xlfn.CONCAT("char ",TRIM($B64),"[doc_vartype] ",CHAR(96),CHAR(34),SUBSTITUTE(SUBSTITUTE(SUBSTITUTE(SUBSTITUTE(SUBSTITUTE(SUBSTITUTE(LOWER(TRIM($C64)),CHAR(13)," "),CHAR(10)," "),CHAR(9)," "),CHAR(92),_xlfn.CONCAT(CHAR(92),CHAR(92))),"$",_xlfn.CONCAT(CHAR(92),"$")),CHAR(96),_xlfn.CONCAT(CHAR(92),CHAR(96))),CHAR(34),CHAR(39))))</f>
        <v/>
      </c>
      <c r="N64" s="5" t="str">
        <f>IF(OR(TRIM($B64)="",$D64=""),"",IF(OR(ISNUMBER(SEARCH(_xlfn.CONCAT(CHAR(96),CHAR(34)),$D64)),ISNUMBER(SEARCH(_xlfn.CONCAT(CHAR(34),CHAR(39)),$D64))),_xlfn.CONCAT("* REVIEW REQUIRED: compound-quote delimiter in Item Number on Sheet 1 row ",64,"; edit the input before running."),_xlfn.CONCAT("char ",TRIM($B64),"[doc_itemnum] ",CHAR(96),CHAR(34),SUBSTITUTE(SUBSTITUTE(SUBSTITUTE(SUBSTITUTE(SUBSTITUTE(SUBSTITUTE($D64,CHAR(13)," "),CHAR(10)," "),CHAR(9)," "),CHAR(92),_xlfn.CONCAT(CHAR(92),CHAR(92))),"$",_xlfn.CONCAT(CHAR(92),"$")),CHAR(96),_xlfn.CONCAT(CHAR(92),CHAR(96))),CHAR(34),CHAR(39))))</f>
        <v/>
      </c>
      <c r="O64" s="5" t="str">
        <f>IF(OR(TRIM($B64)="",$E64=""),"",IF(OR(ISNUMBER(SEARCH(_xlfn.CONCAT(CHAR(96),CHAR(34)),$E64)),ISNUMBER(SEARCH(_xlfn.CONCAT(CHAR(34),CHAR(39)),$E64))),_xlfn.CONCAT("* REVIEW REQUIRED: compound-quote delimiter in Question Wording on Sheet 1 row ",64,"; edit the input before running."),_xlfn.CONCAT("char ",TRIM($B64),"[doc_question] ",CHAR(96),CHAR(34),SUBSTITUTE(SUBSTITUTE(SUBSTITUTE(SUBSTITUTE(SUBSTITUTE(SUBSTITUTE($E64,CHAR(13)," "),CHAR(10)," "),CHAR(9)," "),CHAR(92),_xlfn.CONCAT(CHAR(92),CHAR(92))),"$",_xlfn.CONCAT(CHAR(92),"$")),CHAR(96),_xlfn.CONCAT(CHAR(92),CHAR(96))),CHAR(34),CHAR(39))))</f>
        <v/>
      </c>
      <c r="P64" s="5" t="str">
        <f>IF(OR(TRIM($B64)="",$F64=""),"",IF(OR(ISNUMBER(SEARCH(_xlfn.CONCAT(CHAR(96),CHAR(34)),$F64)),ISNUMBER(SEARCH(_xlfn.CONCAT(CHAR(34),CHAR(39)),$F64))),_xlfn.CONCAT("* REVIEW REQUIRED: compound-quote delimiter in Units on Sheet 1 row ",64,"; edit the input before running."),_xlfn.CONCAT("char ",TRIM($B64),"[doc_units] ",CHAR(96),CHAR(34),SUBSTITUTE(SUBSTITUTE(SUBSTITUTE(SUBSTITUTE(SUBSTITUTE(SUBSTITUTE($F64,CHAR(13)," "),CHAR(10)," "),CHAR(9)," "),CHAR(92),_xlfn.CONCAT(CHAR(92),CHAR(92))),"$",_xlfn.CONCAT(CHAR(92),"$")),CHAR(96),_xlfn.CONCAT(CHAR(92),CHAR(96))),CHAR(34),CHAR(39))))</f>
        <v/>
      </c>
      <c r="Q64" s="5" t="str">
        <f>IF(OR(TRIM($B64)="",$G64=""),"",IF(OR(ISNUMBER(SEARCH(_xlfn.CONCAT(CHAR(96),CHAR(34)),$G64)),ISNUMBER(SEARCH(_xlfn.CONCAT(CHAR(34),CHAR(39)),$G64))),_xlfn.CONCAT("* REVIEW REQUIRED: compound-quote delimiter in Universe on Sheet 1 row ",64,"; edit the input before running."),_xlfn.CONCAT("char ",TRIM($B64),"[doc_universe] ",CHAR(96),CHAR(34),SUBSTITUTE(SUBSTITUTE(SUBSTITUTE(SUBSTITUTE(SUBSTITUTE(SUBSTITUTE($G64,CHAR(13)," "),CHAR(10)," "),CHAR(9)," "),CHAR(92),_xlfn.CONCAT(CHAR(92),CHAR(92))),"$",_xlfn.CONCAT(CHAR(92),"$")),CHAR(96),_xlfn.CONCAT(CHAR(92),CHAR(96))),CHAR(34),CHAR(39))))</f>
        <v/>
      </c>
      <c r="R64" s="5" t="str">
        <f>IF(OR(TRIM($B64)="",$H64=""),"",IF(OR(ISNUMBER(SEARCH(_xlfn.CONCAT(CHAR(96),CHAR(34)),$H64)),ISNUMBER(SEARCH(_xlfn.CONCAT(CHAR(34),CHAR(39)),$H64))),_xlfn.CONCAT("* REVIEW REQUIRED: compound-quote delimiter in Source on Sheet 1 row ",64,"; edit the input before running."),_xlfn.CONCAT("char ",TRIM($B64),"[doc_source] ",CHAR(96),CHAR(34),SUBSTITUTE(SUBSTITUTE(SUBSTITUTE(SUBSTITUTE(SUBSTITUTE(SUBSTITUTE($H64,CHAR(13)," "),CHAR(10)," "),CHAR(9)," "),CHAR(92),_xlfn.CONCAT(CHAR(92),CHAR(92))),"$",_xlfn.CONCAT(CHAR(92),"$")),CHAR(96),_xlfn.CONCAT(CHAR(92),CHAR(96))),CHAR(34),CHAR(39))))</f>
        <v/>
      </c>
      <c r="S64" s="5" t="str">
        <f>IF(OR(TRIM($B64)="",$I64=""),"",IF(OR(ISNUMBER(SEARCH(_xlfn.CONCAT(CHAR(96),CHAR(34)),$I64)),ISNUMBER(SEARCH(_xlfn.CONCAT(CHAR(34),CHAR(39)),$I64))),_xlfn.CONCAT("* REVIEW REQUIRED: compound-quote delimiter in Derivation on Sheet 1 row ",64,"; edit the input before running."),_xlfn.CONCAT("char ",TRIM($B64),"[doc_derivation] ",CHAR(96),CHAR(34),SUBSTITUTE(SUBSTITUTE(SUBSTITUTE(SUBSTITUTE(SUBSTITUTE(SUBSTITUTE($I64,CHAR(13)," "),CHAR(10)," "),CHAR(9)," "),CHAR(92),_xlfn.CONCAT(CHAR(92),CHAR(92))),"$",_xlfn.CONCAT(CHAR(92),"$")),CHAR(96),_xlfn.CONCAT(CHAR(92),CHAR(96))),CHAR(34),CHAR(39))))</f>
        <v/>
      </c>
      <c r="T64" s="5" t="str">
        <f>IF(OR(TRIM($B64)="",$J64=""),"",IF(OR(ISNUMBER(SEARCH(_xlfn.CONCAT(CHAR(96),CHAR(34)),$J64)),ISNUMBER(SEARCH(_xlfn.CONCAT(CHAR(34),CHAR(39)),$J64))),_xlfn.CONCAT("* REVIEW REQUIRED: compound-quote delimiter in Notes on Sheet 1 row ",64,"; edit the input before running."),_xlfn.CONCAT("char ",TRIM($B64),"[doc_notes] ",CHAR(96),CHAR(34),SUBSTITUTE(SUBSTITUTE(SUBSTITUTE(SUBSTITUTE(SUBSTITUTE(SUBSTITUTE($J64,CHAR(13)," "),CHAR(10)," "),CHAR(9)," "),CHAR(92),_xlfn.CONCAT(CHAR(92),CHAR(92))),"$",_xlfn.CONCAT(CHAR(92),"$")),CHAR(96),_xlfn.CONCAT(CHAR(92),CHAR(96))),CHAR(34),CHAR(39))))</f>
        <v/>
      </c>
      <c r="U64" s="5">
        <f t="shared" si="1"/>
        <v>0</v>
      </c>
    </row>
    <row r="65" spans="3:21" ht="30" customHeight="1" x14ac:dyDescent="0.2">
      <c r="C65" s="4"/>
      <c r="K65" s="5">
        <f t="shared" si="0"/>
        <v>0</v>
      </c>
      <c r="L65" s="5" t="str">
        <f>IF(OR(TRIM($B65)="",$A65=""),"",IF(OR(ISNUMBER(SEARCH(_xlfn.CONCAT(CHAR(96),CHAR(34)),$A65)),ISNUMBER(SEARCH(_xlfn.CONCAT(CHAR(34),CHAR(39)),$A65))),_xlfn.CONCAT("* REVIEW REQUIRED: compound-quote delimiter in Codebook Section on Sheet 1 row ",65,"; edit the input before running."),_xlfn.CONCAT("char ",TRIM($B65),"[doc_section] ",CHAR(96),CHAR(34),SUBSTITUTE(SUBSTITUTE(SUBSTITUTE(SUBSTITUTE(SUBSTITUTE(SUBSTITUTE($A65,CHAR(13)," "),CHAR(10)," "),CHAR(9)," "),CHAR(92),_xlfn.CONCAT(CHAR(92),CHAR(92))),"$",_xlfn.CONCAT(CHAR(92),"$")),CHAR(96),_xlfn.CONCAT(CHAR(92),CHAR(96))),CHAR(34),CHAR(39))))</f>
        <v/>
      </c>
      <c r="M65" s="5" t="str">
        <f>IF(OR(TRIM($B65)="",$C65=""),"",IF(IFERROR(MATCH(TRIM($C65),{"Quantitative","Continuous","Discrete","Categorical","Nominal","Ordinal","Identifier"},0),0)=0,_xlfn.CONCAT("* REVIEW REQUIRED: invalid Variable Type on Sheet 1 row ",65,"."),_xlfn.CONCAT("char ",TRIM($B65),"[doc_vartype] ",CHAR(96),CHAR(34),SUBSTITUTE(SUBSTITUTE(SUBSTITUTE(SUBSTITUTE(SUBSTITUTE(SUBSTITUTE(LOWER(TRIM($C65)),CHAR(13)," "),CHAR(10)," "),CHAR(9)," "),CHAR(92),_xlfn.CONCAT(CHAR(92),CHAR(92))),"$",_xlfn.CONCAT(CHAR(92),"$")),CHAR(96),_xlfn.CONCAT(CHAR(92),CHAR(96))),CHAR(34),CHAR(39))))</f>
        <v/>
      </c>
      <c r="N65" s="5" t="str">
        <f>IF(OR(TRIM($B65)="",$D65=""),"",IF(OR(ISNUMBER(SEARCH(_xlfn.CONCAT(CHAR(96),CHAR(34)),$D65)),ISNUMBER(SEARCH(_xlfn.CONCAT(CHAR(34),CHAR(39)),$D65))),_xlfn.CONCAT("* REVIEW REQUIRED: compound-quote delimiter in Item Number on Sheet 1 row ",65,"; edit the input before running."),_xlfn.CONCAT("char ",TRIM($B65),"[doc_itemnum] ",CHAR(96),CHAR(34),SUBSTITUTE(SUBSTITUTE(SUBSTITUTE(SUBSTITUTE(SUBSTITUTE(SUBSTITUTE($D65,CHAR(13)," "),CHAR(10)," "),CHAR(9)," "),CHAR(92),_xlfn.CONCAT(CHAR(92),CHAR(92))),"$",_xlfn.CONCAT(CHAR(92),"$")),CHAR(96),_xlfn.CONCAT(CHAR(92),CHAR(96))),CHAR(34),CHAR(39))))</f>
        <v/>
      </c>
      <c r="O65" s="5" t="str">
        <f>IF(OR(TRIM($B65)="",$E65=""),"",IF(OR(ISNUMBER(SEARCH(_xlfn.CONCAT(CHAR(96),CHAR(34)),$E65)),ISNUMBER(SEARCH(_xlfn.CONCAT(CHAR(34),CHAR(39)),$E65))),_xlfn.CONCAT("* REVIEW REQUIRED: compound-quote delimiter in Question Wording on Sheet 1 row ",65,"; edit the input before running."),_xlfn.CONCAT("char ",TRIM($B65),"[doc_question] ",CHAR(96),CHAR(34),SUBSTITUTE(SUBSTITUTE(SUBSTITUTE(SUBSTITUTE(SUBSTITUTE(SUBSTITUTE($E65,CHAR(13)," "),CHAR(10)," "),CHAR(9)," "),CHAR(92),_xlfn.CONCAT(CHAR(92),CHAR(92))),"$",_xlfn.CONCAT(CHAR(92),"$")),CHAR(96),_xlfn.CONCAT(CHAR(92),CHAR(96))),CHAR(34),CHAR(39))))</f>
        <v/>
      </c>
      <c r="P65" s="5" t="str">
        <f>IF(OR(TRIM($B65)="",$F65=""),"",IF(OR(ISNUMBER(SEARCH(_xlfn.CONCAT(CHAR(96),CHAR(34)),$F65)),ISNUMBER(SEARCH(_xlfn.CONCAT(CHAR(34),CHAR(39)),$F65))),_xlfn.CONCAT("* REVIEW REQUIRED: compound-quote delimiter in Units on Sheet 1 row ",65,"; edit the input before running."),_xlfn.CONCAT("char ",TRIM($B65),"[doc_units] ",CHAR(96),CHAR(34),SUBSTITUTE(SUBSTITUTE(SUBSTITUTE(SUBSTITUTE(SUBSTITUTE(SUBSTITUTE($F65,CHAR(13)," "),CHAR(10)," "),CHAR(9)," "),CHAR(92),_xlfn.CONCAT(CHAR(92),CHAR(92))),"$",_xlfn.CONCAT(CHAR(92),"$")),CHAR(96),_xlfn.CONCAT(CHAR(92),CHAR(96))),CHAR(34),CHAR(39))))</f>
        <v/>
      </c>
      <c r="Q65" s="5" t="str">
        <f>IF(OR(TRIM($B65)="",$G65=""),"",IF(OR(ISNUMBER(SEARCH(_xlfn.CONCAT(CHAR(96),CHAR(34)),$G65)),ISNUMBER(SEARCH(_xlfn.CONCAT(CHAR(34),CHAR(39)),$G65))),_xlfn.CONCAT("* REVIEW REQUIRED: compound-quote delimiter in Universe on Sheet 1 row ",65,"; edit the input before running."),_xlfn.CONCAT("char ",TRIM($B65),"[doc_universe] ",CHAR(96),CHAR(34),SUBSTITUTE(SUBSTITUTE(SUBSTITUTE(SUBSTITUTE(SUBSTITUTE(SUBSTITUTE($G65,CHAR(13)," "),CHAR(10)," "),CHAR(9)," "),CHAR(92),_xlfn.CONCAT(CHAR(92),CHAR(92))),"$",_xlfn.CONCAT(CHAR(92),"$")),CHAR(96),_xlfn.CONCAT(CHAR(92),CHAR(96))),CHAR(34),CHAR(39))))</f>
        <v/>
      </c>
      <c r="R65" s="5" t="str">
        <f>IF(OR(TRIM($B65)="",$H65=""),"",IF(OR(ISNUMBER(SEARCH(_xlfn.CONCAT(CHAR(96),CHAR(34)),$H65)),ISNUMBER(SEARCH(_xlfn.CONCAT(CHAR(34),CHAR(39)),$H65))),_xlfn.CONCAT("* REVIEW REQUIRED: compound-quote delimiter in Source on Sheet 1 row ",65,"; edit the input before running."),_xlfn.CONCAT("char ",TRIM($B65),"[doc_source] ",CHAR(96),CHAR(34),SUBSTITUTE(SUBSTITUTE(SUBSTITUTE(SUBSTITUTE(SUBSTITUTE(SUBSTITUTE($H65,CHAR(13)," "),CHAR(10)," "),CHAR(9)," "),CHAR(92),_xlfn.CONCAT(CHAR(92),CHAR(92))),"$",_xlfn.CONCAT(CHAR(92),"$")),CHAR(96),_xlfn.CONCAT(CHAR(92),CHAR(96))),CHAR(34),CHAR(39))))</f>
        <v/>
      </c>
      <c r="S65" s="5" t="str">
        <f>IF(OR(TRIM($B65)="",$I65=""),"",IF(OR(ISNUMBER(SEARCH(_xlfn.CONCAT(CHAR(96),CHAR(34)),$I65)),ISNUMBER(SEARCH(_xlfn.CONCAT(CHAR(34),CHAR(39)),$I65))),_xlfn.CONCAT("* REVIEW REQUIRED: compound-quote delimiter in Derivation on Sheet 1 row ",65,"; edit the input before running."),_xlfn.CONCAT("char ",TRIM($B65),"[doc_derivation] ",CHAR(96),CHAR(34),SUBSTITUTE(SUBSTITUTE(SUBSTITUTE(SUBSTITUTE(SUBSTITUTE(SUBSTITUTE($I65,CHAR(13)," "),CHAR(10)," "),CHAR(9)," "),CHAR(92),_xlfn.CONCAT(CHAR(92),CHAR(92))),"$",_xlfn.CONCAT(CHAR(92),"$")),CHAR(96),_xlfn.CONCAT(CHAR(92),CHAR(96))),CHAR(34),CHAR(39))))</f>
        <v/>
      </c>
      <c r="T65" s="5" t="str">
        <f>IF(OR(TRIM($B65)="",$J65=""),"",IF(OR(ISNUMBER(SEARCH(_xlfn.CONCAT(CHAR(96),CHAR(34)),$J65)),ISNUMBER(SEARCH(_xlfn.CONCAT(CHAR(34),CHAR(39)),$J65))),_xlfn.CONCAT("* REVIEW REQUIRED: compound-quote delimiter in Notes on Sheet 1 row ",65,"; edit the input before running."),_xlfn.CONCAT("char ",TRIM($B65),"[doc_notes] ",CHAR(96),CHAR(34),SUBSTITUTE(SUBSTITUTE(SUBSTITUTE(SUBSTITUTE(SUBSTITUTE(SUBSTITUTE($J65,CHAR(13)," "),CHAR(10)," "),CHAR(9)," "),CHAR(92),_xlfn.CONCAT(CHAR(92),CHAR(92))),"$",_xlfn.CONCAT(CHAR(92),"$")),CHAR(96),_xlfn.CONCAT(CHAR(92),CHAR(96))),CHAR(34),CHAR(39))))</f>
        <v/>
      </c>
      <c r="U65" s="5">
        <f t="shared" si="1"/>
        <v>0</v>
      </c>
    </row>
    <row r="66" spans="3:21" ht="30" customHeight="1" x14ac:dyDescent="0.2">
      <c r="C66" s="4"/>
      <c r="K66" s="5">
        <f t="shared" si="0"/>
        <v>0</v>
      </c>
      <c r="L66" s="5" t="str">
        <f>IF(OR(TRIM($B66)="",$A66=""),"",IF(OR(ISNUMBER(SEARCH(_xlfn.CONCAT(CHAR(96),CHAR(34)),$A66)),ISNUMBER(SEARCH(_xlfn.CONCAT(CHAR(34),CHAR(39)),$A66))),_xlfn.CONCAT("* REVIEW REQUIRED: compound-quote delimiter in Codebook Section on Sheet 1 row ",66,"; edit the input before running."),_xlfn.CONCAT("char ",TRIM($B66),"[doc_section] ",CHAR(96),CHAR(34),SUBSTITUTE(SUBSTITUTE(SUBSTITUTE(SUBSTITUTE(SUBSTITUTE(SUBSTITUTE($A66,CHAR(13)," "),CHAR(10)," "),CHAR(9)," "),CHAR(92),_xlfn.CONCAT(CHAR(92),CHAR(92))),"$",_xlfn.CONCAT(CHAR(92),"$")),CHAR(96),_xlfn.CONCAT(CHAR(92),CHAR(96))),CHAR(34),CHAR(39))))</f>
        <v/>
      </c>
      <c r="M66" s="5" t="str">
        <f>IF(OR(TRIM($B66)="",$C66=""),"",IF(IFERROR(MATCH(TRIM($C66),{"Quantitative","Continuous","Discrete","Categorical","Nominal","Ordinal","Identifier"},0),0)=0,_xlfn.CONCAT("* REVIEW REQUIRED: invalid Variable Type on Sheet 1 row ",66,"."),_xlfn.CONCAT("char ",TRIM($B66),"[doc_vartype] ",CHAR(96),CHAR(34),SUBSTITUTE(SUBSTITUTE(SUBSTITUTE(SUBSTITUTE(SUBSTITUTE(SUBSTITUTE(LOWER(TRIM($C66)),CHAR(13)," "),CHAR(10)," "),CHAR(9)," "),CHAR(92),_xlfn.CONCAT(CHAR(92),CHAR(92))),"$",_xlfn.CONCAT(CHAR(92),"$")),CHAR(96),_xlfn.CONCAT(CHAR(92),CHAR(96))),CHAR(34),CHAR(39))))</f>
        <v/>
      </c>
      <c r="N66" s="5" t="str">
        <f>IF(OR(TRIM($B66)="",$D66=""),"",IF(OR(ISNUMBER(SEARCH(_xlfn.CONCAT(CHAR(96),CHAR(34)),$D66)),ISNUMBER(SEARCH(_xlfn.CONCAT(CHAR(34),CHAR(39)),$D66))),_xlfn.CONCAT("* REVIEW REQUIRED: compound-quote delimiter in Item Number on Sheet 1 row ",66,"; edit the input before running."),_xlfn.CONCAT("char ",TRIM($B66),"[doc_itemnum] ",CHAR(96),CHAR(34),SUBSTITUTE(SUBSTITUTE(SUBSTITUTE(SUBSTITUTE(SUBSTITUTE(SUBSTITUTE($D66,CHAR(13)," "),CHAR(10)," "),CHAR(9)," "),CHAR(92),_xlfn.CONCAT(CHAR(92),CHAR(92))),"$",_xlfn.CONCAT(CHAR(92),"$")),CHAR(96),_xlfn.CONCAT(CHAR(92),CHAR(96))),CHAR(34),CHAR(39))))</f>
        <v/>
      </c>
      <c r="O66" s="5" t="str">
        <f>IF(OR(TRIM($B66)="",$E66=""),"",IF(OR(ISNUMBER(SEARCH(_xlfn.CONCAT(CHAR(96),CHAR(34)),$E66)),ISNUMBER(SEARCH(_xlfn.CONCAT(CHAR(34),CHAR(39)),$E66))),_xlfn.CONCAT("* REVIEW REQUIRED: compound-quote delimiter in Question Wording on Sheet 1 row ",66,"; edit the input before running."),_xlfn.CONCAT("char ",TRIM($B66),"[doc_question] ",CHAR(96),CHAR(34),SUBSTITUTE(SUBSTITUTE(SUBSTITUTE(SUBSTITUTE(SUBSTITUTE(SUBSTITUTE($E66,CHAR(13)," "),CHAR(10)," "),CHAR(9)," "),CHAR(92),_xlfn.CONCAT(CHAR(92),CHAR(92))),"$",_xlfn.CONCAT(CHAR(92),"$")),CHAR(96),_xlfn.CONCAT(CHAR(92),CHAR(96))),CHAR(34),CHAR(39))))</f>
        <v/>
      </c>
      <c r="P66" s="5" t="str">
        <f>IF(OR(TRIM($B66)="",$F66=""),"",IF(OR(ISNUMBER(SEARCH(_xlfn.CONCAT(CHAR(96),CHAR(34)),$F66)),ISNUMBER(SEARCH(_xlfn.CONCAT(CHAR(34),CHAR(39)),$F66))),_xlfn.CONCAT("* REVIEW REQUIRED: compound-quote delimiter in Units on Sheet 1 row ",66,"; edit the input before running."),_xlfn.CONCAT("char ",TRIM($B66),"[doc_units] ",CHAR(96),CHAR(34),SUBSTITUTE(SUBSTITUTE(SUBSTITUTE(SUBSTITUTE(SUBSTITUTE(SUBSTITUTE($F66,CHAR(13)," "),CHAR(10)," "),CHAR(9)," "),CHAR(92),_xlfn.CONCAT(CHAR(92),CHAR(92))),"$",_xlfn.CONCAT(CHAR(92),"$")),CHAR(96),_xlfn.CONCAT(CHAR(92),CHAR(96))),CHAR(34),CHAR(39))))</f>
        <v/>
      </c>
      <c r="Q66" s="5" t="str">
        <f>IF(OR(TRIM($B66)="",$G66=""),"",IF(OR(ISNUMBER(SEARCH(_xlfn.CONCAT(CHAR(96),CHAR(34)),$G66)),ISNUMBER(SEARCH(_xlfn.CONCAT(CHAR(34),CHAR(39)),$G66))),_xlfn.CONCAT("* REVIEW REQUIRED: compound-quote delimiter in Universe on Sheet 1 row ",66,"; edit the input before running."),_xlfn.CONCAT("char ",TRIM($B66),"[doc_universe] ",CHAR(96),CHAR(34),SUBSTITUTE(SUBSTITUTE(SUBSTITUTE(SUBSTITUTE(SUBSTITUTE(SUBSTITUTE($G66,CHAR(13)," "),CHAR(10)," "),CHAR(9)," "),CHAR(92),_xlfn.CONCAT(CHAR(92),CHAR(92))),"$",_xlfn.CONCAT(CHAR(92),"$")),CHAR(96),_xlfn.CONCAT(CHAR(92),CHAR(96))),CHAR(34),CHAR(39))))</f>
        <v/>
      </c>
      <c r="R66" s="5" t="str">
        <f>IF(OR(TRIM($B66)="",$H66=""),"",IF(OR(ISNUMBER(SEARCH(_xlfn.CONCAT(CHAR(96),CHAR(34)),$H66)),ISNUMBER(SEARCH(_xlfn.CONCAT(CHAR(34),CHAR(39)),$H66))),_xlfn.CONCAT("* REVIEW REQUIRED: compound-quote delimiter in Source on Sheet 1 row ",66,"; edit the input before running."),_xlfn.CONCAT("char ",TRIM($B66),"[doc_source] ",CHAR(96),CHAR(34),SUBSTITUTE(SUBSTITUTE(SUBSTITUTE(SUBSTITUTE(SUBSTITUTE(SUBSTITUTE($H66,CHAR(13)," "),CHAR(10)," "),CHAR(9)," "),CHAR(92),_xlfn.CONCAT(CHAR(92),CHAR(92))),"$",_xlfn.CONCAT(CHAR(92),"$")),CHAR(96),_xlfn.CONCAT(CHAR(92),CHAR(96))),CHAR(34),CHAR(39))))</f>
        <v/>
      </c>
      <c r="S66" s="5" t="str">
        <f>IF(OR(TRIM($B66)="",$I66=""),"",IF(OR(ISNUMBER(SEARCH(_xlfn.CONCAT(CHAR(96),CHAR(34)),$I66)),ISNUMBER(SEARCH(_xlfn.CONCAT(CHAR(34),CHAR(39)),$I66))),_xlfn.CONCAT("* REVIEW REQUIRED: compound-quote delimiter in Derivation on Sheet 1 row ",66,"; edit the input before running."),_xlfn.CONCAT("char ",TRIM($B66),"[doc_derivation] ",CHAR(96),CHAR(34),SUBSTITUTE(SUBSTITUTE(SUBSTITUTE(SUBSTITUTE(SUBSTITUTE(SUBSTITUTE($I66,CHAR(13)," "),CHAR(10)," "),CHAR(9)," "),CHAR(92),_xlfn.CONCAT(CHAR(92),CHAR(92))),"$",_xlfn.CONCAT(CHAR(92),"$")),CHAR(96),_xlfn.CONCAT(CHAR(92),CHAR(96))),CHAR(34),CHAR(39))))</f>
        <v/>
      </c>
      <c r="T66" s="5" t="str">
        <f>IF(OR(TRIM($B66)="",$J66=""),"",IF(OR(ISNUMBER(SEARCH(_xlfn.CONCAT(CHAR(96),CHAR(34)),$J66)),ISNUMBER(SEARCH(_xlfn.CONCAT(CHAR(34),CHAR(39)),$J66))),_xlfn.CONCAT("* REVIEW REQUIRED: compound-quote delimiter in Notes on Sheet 1 row ",66,"; edit the input before running."),_xlfn.CONCAT("char ",TRIM($B66),"[doc_notes] ",CHAR(96),CHAR(34),SUBSTITUTE(SUBSTITUTE(SUBSTITUTE(SUBSTITUTE(SUBSTITUTE(SUBSTITUTE($J66,CHAR(13)," "),CHAR(10)," "),CHAR(9)," "),CHAR(92),_xlfn.CONCAT(CHAR(92),CHAR(92))),"$",_xlfn.CONCAT(CHAR(92),"$")),CHAR(96),_xlfn.CONCAT(CHAR(92),CHAR(96))),CHAR(34),CHAR(39))))</f>
        <v/>
      </c>
      <c r="U66" s="5">
        <f t="shared" si="1"/>
        <v>0</v>
      </c>
    </row>
    <row r="67" spans="3:21" ht="30" customHeight="1" x14ac:dyDescent="0.2">
      <c r="C67" s="4"/>
      <c r="K67" s="5">
        <f t="shared" si="0"/>
        <v>0</v>
      </c>
      <c r="L67" s="5" t="str">
        <f>IF(OR(TRIM($B67)="",$A67=""),"",IF(OR(ISNUMBER(SEARCH(_xlfn.CONCAT(CHAR(96),CHAR(34)),$A67)),ISNUMBER(SEARCH(_xlfn.CONCAT(CHAR(34),CHAR(39)),$A67))),_xlfn.CONCAT("* REVIEW REQUIRED: compound-quote delimiter in Codebook Section on Sheet 1 row ",67,"; edit the input before running."),_xlfn.CONCAT("char ",TRIM($B67),"[doc_section] ",CHAR(96),CHAR(34),SUBSTITUTE(SUBSTITUTE(SUBSTITUTE(SUBSTITUTE(SUBSTITUTE(SUBSTITUTE($A67,CHAR(13)," "),CHAR(10)," "),CHAR(9)," "),CHAR(92),_xlfn.CONCAT(CHAR(92),CHAR(92))),"$",_xlfn.CONCAT(CHAR(92),"$")),CHAR(96),_xlfn.CONCAT(CHAR(92),CHAR(96))),CHAR(34),CHAR(39))))</f>
        <v/>
      </c>
      <c r="M67" s="5" t="str">
        <f>IF(OR(TRIM($B67)="",$C67=""),"",IF(IFERROR(MATCH(TRIM($C67),{"Quantitative","Continuous","Discrete","Categorical","Nominal","Ordinal","Identifier"},0),0)=0,_xlfn.CONCAT("* REVIEW REQUIRED: invalid Variable Type on Sheet 1 row ",67,"."),_xlfn.CONCAT("char ",TRIM($B67),"[doc_vartype] ",CHAR(96),CHAR(34),SUBSTITUTE(SUBSTITUTE(SUBSTITUTE(SUBSTITUTE(SUBSTITUTE(SUBSTITUTE(LOWER(TRIM($C67)),CHAR(13)," "),CHAR(10)," "),CHAR(9)," "),CHAR(92),_xlfn.CONCAT(CHAR(92),CHAR(92))),"$",_xlfn.CONCAT(CHAR(92),"$")),CHAR(96),_xlfn.CONCAT(CHAR(92),CHAR(96))),CHAR(34),CHAR(39))))</f>
        <v/>
      </c>
      <c r="N67" s="5" t="str">
        <f>IF(OR(TRIM($B67)="",$D67=""),"",IF(OR(ISNUMBER(SEARCH(_xlfn.CONCAT(CHAR(96),CHAR(34)),$D67)),ISNUMBER(SEARCH(_xlfn.CONCAT(CHAR(34),CHAR(39)),$D67))),_xlfn.CONCAT("* REVIEW REQUIRED: compound-quote delimiter in Item Number on Sheet 1 row ",67,"; edit the input before running."),_xlfn.CONCAT("char ",TRIM($B67),"[doc_itemnum] ",CHAR(96),CHAR(34),SUBSTITUTE(SUBSTITUTE(SUBSTITUTE(SUBSTITUTE(SUBSTITUTE(SUBSTITUTE($D67,CHAR(13)," "),CHAR(10)," "),CHAR(9)," "),CHAR(92),_xlfn.CONCAT(CHAR(92),CHAR(92))),"$",_xlfn.CONCAT(CHAR(92),"$")),CHAR(96),_xlfn.CONCAT(CHAR(92),CHAR(96))),CHAR(34),CHAR(39))))</f>
        <v/>
      </c>
      <c r="O67" s="5" t="str">
        <f>IF(OR(TRIM($B67)="",$E67=""),"",IF(OR(ISNUMBER(SEARCH(_xlfn.CONCAT(CHAR(96),CHAR(34)),$E67)),ISNUMBER(SEARCH(_xlfn.CONCAT(CHAR(34),CHAR(39)),$E67))),_xlfn.CONCAT("* REVIEW REQUIRED: compound-quote delimiter in Question Wording on Sheet 1 row ",67,"; edit the input before running."),_xlfn.CONCAT("char ",TRIM($B67),"[doc_question] ",CHAR(96),CHAR(34),SUBSTITUTE(SUBSTITUTE(SUBSTITUTE(SUBSTITUTE(SUBSTITUTE(SUBSTITUTE($E67,CHAR(13)," "),CHAR(10)," "),CHAR(9)," "),CHAR(92),_xlfn.CONCAT(CHAR(92),CHAR(92))),"$",_xlfn.CONCAT(CHAR(92),"$")),CHAR(96),_xlfn.CONCAT(CHAR(92),CHAR(96))),CHAR(34),CHAR(39))))</f>
        <v/>
      </c>
      <c r="P67" s="5" t="str">
        <f>IF(OR(TRIM($B67)="",$F67=""),"",IF(OR(ISNUMBER(SEARCH(_xlfn.CONCAT(CHAR(96),CHAR(34)),$F67)),ISNUMBER(SEARCH(_xlfn.CONCAT(CHAR(34),CHAR(39)),$F67))),_xlfn.CONCAT("* REVIEW REQUIRED: compound-quote delimiter in Units on Sheet 1 row ",67,"; edit the input before running."),_xlfn.CONCAT("char ",TRIM($B67),"[doc_units] ",CHAR(96),CHAR(34),SUBSTITUTE(SUBSTITUTE(SUBSTITUTE(SUBSTITUTE(SUBSTITUTE(SUBSTITUTE($F67,CHAR(13)," "),CHAR(10)," "),CHAR(9)," "),CHAR(92),_xlfn.CONCAT(CHAR(92),CHAR(92))),"$",_xlfn.CONCAT(CHAR(92),"$")),CHAR(96),_xlfn.CONCAT(CHAR(92),CHAR(96))),CHAR(34),CHAR(39))))</f>
        <v/>
      </c>
      <c r="Q67" s="5" t="str">
        <f>IF(OR(TRIM($B67)="",$G67=""),"",IF(OR(ISNUMBER(SEARCH(_xlfn.CONCAT(CHAR(96),CHAR(34)),$G67)),ISNUMBER(SEARCH(_xlfn.CONCAT(CHAR(34),CHAR(39)),$G67))),_xlfn.CONCAT("* REVIEW REQUIRED: compound-quote delimiter in Universe on Sheet 1 row ",67,"; edit the input before running."),_xlfn.CONCAT("char ",TRIM($B67),"[doc_universe] ",CHAR(96),CHAR(34),SUBSTITUTE(SUBSTITUTE(SUBSTITUTE(SUBSTITUTE(SUBSTITUTE(SUBSTITUTE($G67,CHAR(13)," "),CHAR(10)," "),CHAR(9)," "),CHAR(92),_xlfn.CONCAT(CHAR(92),CHAR(92))),"$",_xlfn.CONCAT(CHAR(92),"$")),CHAR(96),_xlfn.CONCAT(CHAR(92),CHAR(96))),CHAR(34),CHAR(39))))</f>
        <v/>
      </c>
      <c r="R67" s="5" t="str">
        <f>IF(OR(TRIM($B67)="",$H67=""),"",IF(OR(ISNUMBER(SEARCH(_xlfn.CONCAT(CHAR(96),CHAR(34)),$H67)),ISNUMBER(SEARCH(_xlfn.CONCAT(CHAR(34),CHAR(39)),$H67))),_xlfn.CONCAT("* REVIEW REQUIRED: compound-quote delimiter in Source on Sheet 1 row ",67,"; edit the input before running."),_xlfn.CONCAT("char ",TRIM($B67),"[doc_source] ",CHAR(96),CHAR(34),SUBSTITUTE(SUBSTITUTE(SUBSTITUTE(SUBSTITUTE(SUBSTITUTE(SUBSTITUTE($H67,CHAR(13)," "),CHAR(10)," "),CHAR(9)," "),CHAR(92),_xlfn.CONCAT(CHAR(92),CHAR(92))),"$",_xlfn.CONCAT(CHAR(92),"$")),CHAR(96),_xlfn.CONCAT(CHAR(92),CHAR(96))),CHAR(34),CHAR(39))))</f>
        <v/>
      </c>
      <c r="S67" s="5" t="str">
        <f>IF(OR(TRIM($B67)="",$I67=""),"",IF(OR(ISNUMBER(SEARCH(_xlfn.CONCAT(CHAR(96),CHAR(34)),$I67)),ISNUMBER(SEARCH(_xlfn.CONCAT(CHAR(34),CHAR(39)),$I67))),_xlfn.CONCAT("* REVIEW REQUIRED: compound-quote delimiter in Derivation on Sheet 1 row ",67,"; edit the input before running."),_xlfn.CONCAT("char ",TRIM($B67),"[doc_derivation] ",CHAR(96),CHAR(34),SUBSTITUTE(SUBSTITUTE(SUBSTITUTE(SUBSTITUTE(SUBSTITUTE(SUBSTITUTE($I67,CHAR(13)," "),CHAR(10)," "),CHAR(9)," "),CHAR(92),_xlfn.CONCAT(CHAR(92),CHAR(92))),"$",_xlfn.CONCAT(CHAR(92),"$")),CHAR(96),_xlfn.CONCAT(CHAR(92),CHAR(96))),CHAR(34),CHAR(39))))</f>
        <v/>
      </c>
      <c r="T67" s="5" t="str">
        <f>IF(OR(TRIM($B67)="",$J67=""),"",IF(OR(ISNUMBER(SEARCH(_xlfn.CONCAT(CHAR(96),CHAR(34)),$J67)),ISNUMBER(SEARCH(_xlfn.CONCAT(CHAR(34),CHAR(39)),$J67))),_xlfn.CONCAT("* REVIEW REQUIRED: compound-quote delimiter in Notes on Sheet 1 row ",67,"; edit the input before running."),_xlfn.CONCAT("char ",TRIM($B67),"[doc_notes] ",CHAR(96),CHAR(34),SUBSTITUTE(SUBSTITUTE(SUBSTITUTE(SUBSTITUTE(SUBSTITUTE(SUBSTITUTE($J67,CHAR(13)," "),CHAR(10)," "),CHAR(9)," "),CHAR(92),_xlfn.CONCAT(CHAR(92),CHAR(92))),"$",_xlfn.CONCAT(CHAR(92),"$")),CHAR(96),_xlfn.CONCAT(CHAR(92),CHAR(96))),CHAR(34),CHAR(39))))</f>
        <v/>
      </c>
      <c r="U67" s="5">
        <f t="shared" si="1"/>
        <v>0</v>
      </c>
    </row>
    <row r="68" spans="3:21" ht="30" customHeight="1" x14ac:dyDescent="0.2">
      <c r="C68" s="4"/>
      <c r="K68" s="5">
        <f t="shared" si="0"/>
        <v>0</v>
      </c>
      <c r="L68" s="5" t="str">
        <f>IF(OR(TRIM($B68)="",$A68=""),"",IF(OR(ISNUMBER(SEARCH(_xlfn.CONCAT(CHAR(96),CHAR(34)),$A68)),ISNUMBER(SEARCH(_xlfn.CONCAT(CHAR(34),CHAR(39)),$A68))),_xlfn.CONCAT("* REVIEW REQUIRED: compound-quote delimiter in Codebook Section on Sheet 1 row ",68,"; edit the input before running."),_xlfn.CONCAT("char ",TRIM($B68),"[doc_section] ",CHAR(96),CHAR(34),SUBSTITUTE(SUBSTITUTE(SUBSTITUTE(SUBSTITUTE(SUBSTITUTE(SUBSTITUTE($A68,CHAR(13)," "),CHAR(10)," "),CHAR(9)," "),CHAR(92),_xlfn.CONCAT(CHAR(92),CHAR(92))),"$",_xlfn.CONCAT(CHAR(92),"$")),CHAR(96),_xlfn.CONCAT(CHAR(92),CHAR(96))),CHAR(34),CHAR(39))))</f>
        <v/>
      </c>
      <c r="M68" s="5" t="str">
        <f>IF(OR(TRIM($B68)="",$C68=""),"",IF(IFERROR(MATCH(TRIM($C68),{"Quantitative","Continuous","Discrete","Categorical","Nominal","Ordinal","Identifier"},0),0)=0,_xlfn.CONCAT("* REVIEW REQUIRED: invalid Variable Type on Sheet 1 row ",68,"."),_xlfn.CONCAT("char ",TRIM($B68),"[doc_vartype] ",CHAR(96),CHAR(34),SUBSTITUTE(SUBSTITUTE(SUBSTITUTE(SUBSTITUTE(SUBSTITUTE(SUBSTITUTE(LOWER(TRIM($C68)),CHAR(13)," "),CHAR(10)," "),CHAR(9)," "),CHAR(92),_xlfn.CONCAT(CHAR(92),CHAR(92))),"$",_xlfn.CONCAT(CHAR(92),"$")),CHAR(96),_xlfn.CONCAT(CHAR(92),CHAR(96))),CHAR(34),CHAR(39))))</f>
        <v/>
      </c>
      <c r="N68" s="5" t="str">
        <f>IF(OR(TRIM($B68)="",$D68=""),"",IF(OR(ISNUMBER(SEARCH(_xlfn.CONCAT(CHAR(96),CHAR(34)),$D68)),ISNUMBER(SEARCH(_xlfn.CONCAT(CHAR(34),CHAR(39)),$D68))),_xlfn.CONCAT("* REVIEW REQUIRED: compound-quote delimiter in Item Number on Sheet 1 row ",68,"; edit the input before running."),_xlfn.CONCAT("char ",TRIM($B68),"[doc_itemnum] ",CHAR(96),CHAR(34),SUBSTITUTE(SUBSTITUTE(SUBSTITUTE(SUBSTITUTE(SUBSTITUTE(SUBSTITUTE($D68,CHAR(13)," "),CHAR(10)," "),CHAR(9)," "),CHAR(92),_xlfn.CONCAT(CHAR(92),CHAR(92))),"$",_xlfn.CONCAT(CHAR(92),"$")),CHAR(96),_xlfn.CONCAT(CHAR(92),CHAR(96))),CHAR(34),CHAR(39))))</f>
        <v/>
      </c>
      <c r="O68" s="5" t="str">
        <f>IF(OR(TRIM($B68)="",$E68=""),"",IF(OR(ISNUMBER(SEARCH(_xlfn.CONCAT(CHAR(96),CHAR(34)),$E68)),ISNUMBER(SEARCH(_xlfn.CONCAT(CHAR(34),CHAR(39)),$E68))),_xlfn.CONCAT("* REVIEW REQUIRED: compound-quote delimiter in Question Wording on Sheet 1 row ",68,"; edit the input before running."),_xlfn.CONCAT("char ",TRIM($B68),"[doc_question] ",CHAR(96),CHAR(34),SUBSTITUTE(SUBSTITUTE(SUBSTITUTE(SUBSTITUTE(SUBSTITUTE(SUBSTITUTE($E68,CHAR(13)," "),CHAR(10)," "),CHAR(9)," "),CHAR(92),_xlfn.CONCAT(CHAR(92),CHAR(92))),"$",_xlfn.CONCAT(CHAR(92),"$")),CHAR(96),_xlfn.CONCAT(CHAR(92),CHAR(96))),CHAR(34),CHAR(39))))</f>
        <v/>
      </c>
      <c r="P68" s="5" t="str">
        <f>IF(OR(TRIM($B68)="",$F68=""),"",IF(OR(ISNUMBER(SEARCH(_xlfn.CONCAT(CHAR(96),CHAR(34)),$F68)),ISNUMBER(SEARCH(_xlfn.CONCAT(CHAR(34),CHAR(39)),$F68))),_xlfn.CONCAT("* REVIEW REQUIRED: compound-quote delimiter in Units on Sheet 1 row ",68,"; edit the input before running."),_xlfn.CONCAT("char ",TRIM($B68),"[doc_units] ",CHAR(96),CHAR(34),SUBSTITUTE(SUBSTITUTE(SUBSTITUTE(SUBSTITUTE(SUBSTITUTE(SUBSTITUTE($F68,CHAR(13)," "),CHAR(10)," "),CHAR(9)," "),CHAR(92),_xlfn.CONCAT(CHAR(92),CHAR(92))),"$",_xlfn.CONCAT(CHAR(92),"$")),CHAR(96),_xlfn.CONCAT(CHAR(92),CHAR(96))),CHAR(34),CHAR(39))))</f>
        <v/>
      </c>
      <c r="Q68" s="5" t="str">
        <f>IF(OR(TRIM($B68)="",$G68=""),"",IF(OR(ISNUMBER(SEARCH(_xlfn.CONCAT(CHAR(96),CHAR(34)),$G68)),ISNUMBER(SEARCH(_xlfn.CONCAT(CHAR(34),CHAR(39)),$G68))),_xlfn.CONCAT("* REVIEW REQUIRED: compound-quote delimiter in Universe on Sheet 1 row ",68,"; edit the input before running."),_xlfn.CONCAT("char ",TRIM($B68),"[doc_universe] ",CHAR(96),CHAR(34),SUBSTITUTE(SUBSTITUTE(SUBSTITUTE(SUBSTITUTE(SUBSTITUTE(SUBSTITUTE($G68,CHAR(13)," "),CHAR(10)," "),CHAR(9)," "),CHAR(92),_xlfn.CONCAT(CHAR(92),CHAR(92))),"$",_xlfn.CONCAT(CHAR(92),"$")),CHAR(96),_xlfn.CONCAT(CHAR(92),CHAR(96))),CHAR(34),CHAR(39))))</f>
        <v/>
      </c>
      <c r="R68" s="5" t="str">
        <f>IF(OR(TRIM($B68)="",$H68=""),"",IF(OR(ISNUMBER(SEARCH(_xlfn.CONCAT(CHAR(96),CHAR(34)),$H68)),ISNUMBER(SEARCH(_xlfn.CONCAT(CHAR(34),CHAR(39)),$H68))),_xlfn.CONCAT("* REVIEW REQUIRED: compound-quote delimiter in Source on Sheet 1 row ",68,"; edit the input before running."),_xlfn.CONCAT("char ",TRIM($B68),"[doc_source] ",CHAR(96),CHAR(34),SUBSTITUTE(SUBSTITUTE(SUBSTITUTE(SUBSTITUTE(SUBSTITUTE(SUBSTITUTE($H68,CHAR(13)," "),CHAR(10)," "),CHAR(9)," "),CHAR(92),_xlfn.CONCAT(CHAR(92),CHAR(92))),"$",_xlfn.CONCAT(CHAR(92),"$")),CHAR(96),_xlfn.CONCAT(CHAR(92),CHAR(96))),CHAR(34),CHAR(39))))</f>
        <v/>
      </c>
      <c r="S68" s="5" t="str">
        <f>IF(OR(TRIM($B68)="",$I68=""),"",IF(OR(ISNUMBER(SEARCH(_xlfn.CONCAT(CHAR(96),CHAR(34)),$I68)),ISNUMBER(SEARCH(_xlfn.CONCAT(CHAR(34),CHAR(39)),$I68))),_xlfn.CONCAT("* REVIEW REQUIRED: compound-quote delimiter in Derivation on Sheet 1 row ",68,"; edit the input before running."),_xlfn.CONCAT("char ",TRIM($B68),"[doc_derivation] ",CHAR(96),CHAR(34),SUBSTITUTE(SUBSTITUTE(SUBSTITUTE(SUBSTITUTE(SUBSTITUTE(SUBSTITUTE($I68,CHAR(13)," "),CHAR(10)," "),CHAR(9)," "),CHAR(92),_xlfn.CONCAT(CHAR(92),CHAR(92))),"$",_xlfn.CONCAT(CHAR(92),"$")),CHAR(96),_xlfn.CONCAT(CHAR(92),CHAR(96))),CHAR(34),CHAR(39))))</f>
        <v/>
      </c>
      <c r="T68" s="5" t="str">
        <f>IF(OR(TRIM($B68)="",$J68=""),"",IF(OR(ISNUMBER(SEARCH(_xlfn.CONCAT(CHAR(96),CHAR(34)),$J68)),ISNUMBER(SEARCH(_xlfn.CONCAT(CHAR(34),CHAR(39)),$J68))),_xlfn.CONCAT("* REVIEW REQUIRED: compound-quote delimiter in Notes on Sheet 1 row ",68,"; edit the input before running."),_xlfn.CONCAT("char ",TRIM($B68),"[doc_notes] ",CHAR(96),CHAR(34),SUBSTITUTE(SUBSTITUTE(SUBSTITUTE(SUBSTITUTE(SUBSTITUTE(SUBSTITUTE($J68,CHAR(13)," "),CHAR(10)," "),CHAR(9)," "),CHAR(92),_xlfn.CONCAT(CHAR(92),CHAR(92))),"$",_xlfn.CONCAT(CHAR(92),"$")),CHAR(96),_xlfn.CONCAT(CHAR(92),CHAR(96))),CHAR(34),CHAR(39))))</f>
        <v/>
      </c>
      <c r="U68" s="5">
        <f t="shared" si="1"/>
        <v>0</v>
      </c>
    </row>
    <row r="69" spans="3:21" ht="30" customHeight="1" x14ac:dyDescent="0.2">
      <c r="C69" s="4"/>
      <c r="K69" s="5">
        <f t="shared" si="0"/>
        <v>0</v>
      </c>
      <c r="L69" s="5" t="str">
        <f>IF(OR(TRIM($B69)="",$A69=""),"",IF(OR(ISNUMBER(SEARCH(_xlfn.CONCAT(CHAR(96),CHAR(34)),$A69)),ISNUMBER(SEARCH(_xlfn.CONCAT(CHAR(34),CHAR(39)),$A69))),_xlfn.CONCAT("* REVIEW REQUIRED: compound-quote delimiter in Codebook Section on Sheet 1 row ",69,"; edit the input before running."),_xlfn.CONCAT("char ",TRIM($B69),"[doc_section] ",CHAR(96),CHAR(34),SUBSTITUTE(SUBSTITUTE(SUBSTITUTE(SUBSTITUTE(SUBSTITUTE(SUBSTITUTE($A69,CHAR(13)," "),CHAR(10)," "),CHAR(9)," "),CHAR(92),_xlfn.CONCAT(CHAR(92),CHAR(92))),"$",_xlfn.CONCAT(CHAR(92),"$")),CHAR(96),_xlfn.CONCAT(CHAR(92),CHAR(96))),CHAR(34),CHAR(39))))</f>
        <v/>
      </c>
      <c r="M69" s="5" t="str">
        <f>IF(OR(TRIM($B69)="",$C69=""),"",IF(IFERROR(MATCH(TRIM($C69),{"Quantitative","Continuous","Discrete","Categorical","Nominal","Ordinal","Identifier"},0),0)=0,_xlfn.CONCAT("* REVIEW REQUIRED: invalid Variable Type on Sheet 1 row ",69,"."),_xlfn.CONCAT("char ",TRIM($B69),"[doc_vartype] ",CHAR(96),CHAR(34),SUBSTITUTE(SUBSTITUTE(SUBSTITUTE(SUBSTITUTE(SUBSTITUTE(SUBSTITUTE(LOWER(TRIM($C69)),CHAR(13)," "),CHAR(10)," "),CHAR(9)," "),CHAR(92),_xlfn.CONCAT(CHAR(92),CHAR(92))),"$",_xlfn.CONCAT(CHAR(92),"$")),CHAR(96),_xlfn.CONCAT(CHAR(92),CHAR(96))),CHAR(34),CHAR(39))))</f>
        <v/>
      </c>
      <c r="N69" s="5" t="str">
        <f>IF(OR(TRIM($B69)="",$D69=""),"",IF(OR(ISNUMBER(SEARCH(_xlfn.CONCAT(CHAR(96),CHAR(34)),$D69)),ISNUMBER(SEARCH(_xlfn.CONCAT(CHAR(34),CHAR(39)),$D69))),_xlfn.CONCAT("* REVIEW REQUIRED: compound-quote delimiter in Item Number on Sheet 1 row ",69,"; edit the input before running."),_xlfn.CONCAT("char ",TRIM($B69),"[doc_itemnum] ",CHAR(96),CHAR(34),SUBSTITUTE(SUBSTITUTE(SUBSTITUTE(SUBSTITUTE(SUBSTITUTE(SUBSTITUTE($D69,CHAR(13)," "),CHAR(10)," "),CHAR(9)," "),CHAR(92),_xlfn.CONCAT(CHAR(92),CHAR(92))),"$",_xlfn.CONCAT(CHAR(92),"$")),CHAR(96),_xlfn.CONCAT(CHAR(92),CHAR(96))),CHAR(34),CHAR(39))))</f>
        <v/>
      </c>
      <c r="O69" s="5" t="str">
        <f>IF(OR(TRIM($B69)="",$E69=""),"",IF(OR(ISNUMBER(SEARCH(_xlfn.CONCAT(CHAR(96),CHAR(34)),$E69)),ISNUMBER(SEARCH(_xlfn.CONCAT(CHAR(34),CHAR(39)),$E69))),_xlfn.CONCAT("* REVIEW REQUIRED: compound-quote delimiter in Question Wording on Sheet 1 row ",69,"; edit the input before running."),_xlfn.CONCAT("char ",TRIM($B69),"[doc_question] ",CHAR(96),CHAR(34),SUBSTITUTE(SUBSTITUTE(SUBSTITUTE(SUBSTITUTE(SUBSTITUTE(SUBSTITUTE($E69,CHAR(13)," "),CHAR(10)," "),CHAR(9)," "),CHAR(92),_xlfn.CONCAT(CHAR(92),CHAR(92))),"$",_xlfn.CONCAT(CHAR(92),"$")),CHAR(96),_xlfn.CONCAT(CHAR(92),CHAR(96))),CHAR(34),CHAR(39))))</f>
        <v/>
      </c>
      <c r="P69" s="5" t="str">
        <f>IF(OR(TRIM($B69)="",$F69=""),"",IF(OR(ISNUMBER(SEARCH(_xlfn.CONCAT(CHAR(96),CHAR(34)),$F69)),ISNUMBER(SEARCH(_xlfn.CONCAT(CHAR(34),CHAR(39)),$F69))),_xlfn.CONCAT("* REVIEW REQUIRED: compound-quote delimiter in Units on Sheet 1 row ",69,"; edit the input before running."),_xlfn.CONCAT("char ",TRIM($B69),"[doc_units] ",CHAR(96),CHAR(34),SUBSTITUTE(SUBSTITUTE(SUBSTITUTE(SUBSTITUTE(SUBSTITUTE(SUBSTITUTE($F69,CHAR(13)," "),CHAR(10)," "),CHAR(9)," "),CHAR(92),_xlfn.CONCAT(CHAR(92),CHAR(92))),"$",_xlfn.CONCAT(CHAR(92),"$")),CHAR(96),_xlfn.CONCAT(CHAR(92),CHAR(96))),CHAR(34),CHAR(39))))</f>
        <v/>
      </c>
      <c r="Q69" s="5" t="str">
        <f>IF(OR(TRIM($B69)="",$G69=""),"",IF(OR(ISNUMBER(SEARCH(_xlfn.CONCAT(CHAR(96),CHAR(34)),$G69)),ISNUMBER(SEARCH(_xlfn.CONCAT(CHAR(34),CHAR(39)),$G69))),_xlfn.CONCAT("* REVIEW REQUIRED: compound-quote delimiter in Universe on Sheet 1 row ",69,"; edit the input before running."),_xlfn.CONCAT("char ",TRIM($B69),"[doc_universe] ",CHAR(96),CHAR(34),SUBSTITUTE(SUBSTITUTE(SUBSTITUTE(SUBSTITUTE(SUBSTITUTE(SUBSTITUTE($G69,CHAR(13)," "),CHAR(10)," "),CHAR(9)," "),CHAR(92),_xlfn.CONCAT(CHAR(92),CHAR(92))),"$",_xlfn.CONCAT(CHAR(92),"$")),CHAR(96),_xlfn.CONCAT(CHAR(92),CHAR(96))),CHAR(34),CHAR(39))))</f>
        <v/>
      </c>
      <c r="R69" s="5" t="str">
        <f>IF(OR(TRIM($B69)="",$H69=""),"",IF(OR(ISNUMBER(SEARCH(_xlfn.CONCAT(CHAR(96),CHAR(34)),$H69)),ISNUMBER(SEARCH(_xlfn.CONCAT(CHAR(34),CHAR(39)),$H69))),_xlfn.CONCAT("* REVIEW REQUIRED: compound-quote delimiter in Source on Sheet 1 row ",69,"; edit the input before running."),_xlfn.CONCAT("char ",TRIM($B69),"[doc_source] ",CHAR(96),CHAR(34),SUBSTITUTE(SUBSTITUTE(SUBSTITUTE(SUBSTITUTE(SUBSTITUTE(SUBSTITUTE($H69,CHAR(13)," "),CHAR(10)," "),CHAR(9)," "),CHAR(92),_xlfn.CONCAT(CHAR(92),CHAR(92))),"$",_xlfn.CONCAT(CHAR(92),"$")),CHAR(96),_xlfn.CONCAT(CHAR(92),CHAR(96))),CHAR(34),CHAR(39))))</f>
        <v/>
      </c>
      <c r="S69" s="5" t="str">
        <f>IF(OR(TRIM($B69)="",$I69=""),"",IF(OR(ISNUMBER(SEARCH(_xlfn.CONCAT(CHAR(96),CHAR(34)),$I69)),ISNUMBER(SEARCH(_xlfn.CONCAT(CHAR(34),CHAR(39)),$I69))),_xlfn.CONCAT("* REVIEW REQUIRED: compound-quote delimiter in Derivation on Sheet 1 row ",69,"; edit the input before running."),_xlfn.CONCAT("char ",TRIM($B69),"[doc_derivation] ",CHAR(96),CHAR(34),SUBSTITUTE(SUBSTITUTE(SUBSTITUTE(SUBSTITUTE(SUBSTITUTE(SUBSTITUTE($I69,CHAR(13)," "),CHAR(10)," "),CHAR(9)," "),CHAR(92),_xlfn.CONCAT(CHAR(92),CHAR(92))),"$",_xlfn.CONCAT(CHAR(92),"$")),CHAR(96),_xlfn.CONCAT(CHAR(92),CHAR(96))),CHAR(34),CHAR(39))))</f>
        <v/>
      </c>
      <c r="T69" s="5" t="str">
        <f>IF(OR(TRIM($B69)="",$J69=""),"",IF(OR(ISNUMBER(SEARCH(_xlfn.CONCAT(CHAR(96),CHAR(34)),$J69)),ISNUMBER(SEARCH(_xlfn.CONCAT(CHAR(34),CHAR(39)),$J69))),_xlfn.CONCAT("* REVIEW REQUIRED: compound-quote delimiter in Notes on Sheet 1 row ",69,"; edit the input before running."),_xlfn.CONCAT("char ",TRIM($B69),"[doc_notes] ",CHAR(96),CHAR(34),SUBSTITUTE(SUBSTITUTE(SUBSTITUTE(SUBSTITUTE(SUBSTITUTE(SUBSTITUTE($J69,CHAR(13)," "),CHAR(10)," "),CHAR(9)," "),CHAR(92),_xlfn.CONCAT(CHAR(92),CHAR(92))),"$",_xlfn.CONCAT(CHAR(92),"$")),CHAR(96),_xlfn.CONCAT(CHAR(92),CHAR(96))),CHAR(34),CHAR(39))))</f>
        <v/>
      </c>
      <c r="U69" s="5">
        <f t="shared" si="1"/>
        <v>0</v>
      </c>
    </row>
    <row r="70" spans="3:21" ht="30" customHeight="1" x14ac:dyDescent="0.2">
      <c r="C70" s="4"/>
      <c r="K70" s="5">
        <f t="shared" si="0"/>
        <v>0</v>
      </c>
      <c r="L70" s="5" t="str">
        <f>IF(OR(TRIM($B70)="",$A70=""),"",IF(OR(ISNUMBER(SEARCH(_xlfn.CONCAT(CHAR(96),CHAR(34)),$A70)),ISNUMBER(SEARCH(_xlfn.CONCAT(CHAR(34),CHAR(39)),$A70))),_xlfn.CONCAT("* REVIEW REQUIRED: compound-quote delimiter in Codebook Section on Sheet 1 row ",70,"; edit the input before running."),_xlfn.CONCAT("char ",TRIM($B70),"[doc_section] ",CHAR(96),CHAR(34),SUBSTITUTE(SUBSTITUTE(SUBSTITUTE(SUBSTITUTE(SUBSTITUTE(SUBSTITUTE($A70,CHAR(13)," "),CHAR(10)," "),CHAR(9)," "),CHAR(92),_xlfn.CONCAT(CHAR(92),CHAR(92))),"$",_xlfn.CONCAT(CHAR(92),"$")),CHAR(96),_xlfn.CONCAT(CHAR(92),CHAR(96))),CHAR(34),CHAR(39))))</f>
        <v/>
      </c>
      <c r="M70" s="5" t="str">
        <f>IF(OR(TRIM($B70)="",$C70=""),"",IF(IFERROR(MATCH(TRIM($C70),{"Quantitative","Continuous","Discrete","Categorical","Nominal","Ordinal","Identifier"},0),0)=0,_xlfn.CONCAT("* REVIEW REQUIRED: invalid Variable Type on Sheet 1 row ",70,"."),_xlfn.CONCAT("char ",TRIM($B70),"[doc_vartype] ",CHAR(96),CHAR(34),SUBSTITUTE(SUBSTITUTE(SUBSTITUTE(SUBSTITUTE(SUBSTITUTE(SUBSTITUTE(LOWER(TRIM($C70)),CHAR(13)," "),CHAR(10)," "),CHAR(9)," "),CHAR(92),_xlfn.CONCAT(CHAR(92),CHAR(92))),"$",_xlfn.CONCAT(CHAR(92),"$")),CHAR(96),_xlfn.CONCAT(CHAR(92),CHAR(96))),CHAR(34),CHAR(39))))</f>
        <v/>
      </c>
      <c r="N70" s="5" t="str">
        <f>IF(OR(TRIM($B70)="",$D70=""),"",IF(OR(ISNUMBER(SEARCH(_xlfn.CONCAT(CHAR(96),CHAR(34)),$D70)),ISNUMBER(SEARCH(_xlfn.CONCAT(CHAR(34),CHAR(39)),$D70))),_xlfn.CONCAT("* REVIEW REQUIRED: compound-quote delimiter in Item Number on Sheet 1 row ",70,"; edit the input before running."),_xlfn.CONCAT("char ",TRIM($B70),"[doc_itemnum] ",CHAR(96),CHAR(34),SUBSTITUTE(SUBSTITUTE(SUBSTITUTE(SUBSTITUTE(SUBSTITUTE(SUBSTITUTE($D70,CHAR(13)," "),CHAR(10)," "),CHAR(9)," "),CHAR(92),_xlfn.CONCAT(CHAR(92),CHAR(92))),"$",_xlfn.CONCAT(CHAR(92),"$")),CHAR(96),_xlfn.CONCAT(CHAR(92),CHAR(96))),CHAR(34),CHAR(39))))</f>
        <v/>
      </c>
      <c r="O70" s="5" t="str">
        <f>IF(OR(TRIM($B70)="",$E70=""),"",IF(OR(ISNUMBER(SEARCH(_xlfn.CONCAT(CHAR(96),CHAR(34)),$E70)),ISNUMBER(SEARCH(_xlfn.CONCAT(CHAR(34),CHAR(39)),$E70))),_xlfn.CONCAT("* REVIEW REQUIRED: compound-quote delimiter in Question Wording on Sheet 1 row ",70,"; edit the input before running."),_xlfn.CONCAT("char ",TRIM($B70),"[doc_question] ",CHAR(96),CHAR(34),SUBSTITUTE(SUBSTITUTE(SUBSTITUTE(SUBSTITUTE(SUBSTITUTE(SUBSTITUTE($E70,CHAR(13)," "),CHAR(10)," "),CHAR(9)," "),CHAR(92),_xlfn.CONCAT(CHAR(92),CHAR(92))),"$",_xlfn.CONCAT(CHAR(92),"$")),CHAR(96),_xlfn.CONCAT(CHAR(92),CHAR(96))),CHAR(34),CHAR(39))))</f>
        <v/>
      </c>
      <c r="P70" s="5" t="str">
        <f>IF(OR(TRIM($B70)="",$F70=""),"",IF(OR(ISNUMBER(SEARCH(_xlfn.CONCAT(CHAR(96),CHAR(34)),$F70)),ISNUMBER(SEARCH(_xlfn.CONCAT(CHAR(34),CHAR(39)),$F70))),_xlfn.CONCAT("* REVIEW REQUIRED: compound-quote delimiter in Units on Sheet 1 row ",70,"; edit the input before running."),_xlfn.CONCAT("char ",TRIM($B70),"[doc_units] ",CHAR(96),CHAR(34),SUBSTITUTE(SUBSTITUTE(SUBSTITUTE(SUBSTITUTE(SUBSTITUTE(SUBSTITUTE($F70,CHAR(13)," "),CHAR(10)," "),CHAR(9)," "),CHAR(92),_xlfn.CONCAT(CHAR(92),CHAR(92))),"$",_xlfn.CONCAT(CHAR(92),"$")),CHAR(96),_xlfn.CONCAT(CHAR(92),CHAR(96))),CHAR(34),CHAR(39))))</f>
        <v/>
      </c>
      <c r="Q70" s="5" t="str">
        <f>IF(OR(TRIM($B70)="",$G70=""),"",IF(OR(ISNUMBER(SEARCH(_xlfn.CONCAT(CHAR(96),CHAR(34)),$G70)),ISNUMBER(SEARCH(_xlfn.CONCAT(CHAR(34),CHAR(39)),$G70))),_xlfn.CONCAT("* REVIEW REQUIRED: compound-quote delimiter in Universe on Sheet 1 row ",70,"; edit the input before running."),_xlfn.CONCAT("char ",TRIM($B70),"[doc_universe] ",CHAR(96),CHAR(34),SUBSTITUTE(SUBSTITUTE(SUBSTITUTE(SUBSTITUTE(SUBSTITUTE(SUBSTITUTE($G70,CHAR(13)," "),CHAR(10)," "),CHAR(9)," "),CHAR(92),_xlfn.CONCAT(CHAR(92),CHAR(92))),"$",_xlfn.CONCAT(CHAR(92),"$")),CHAR(96),_xlfn.CONCAT(CHAR(92),CHAR(96))),CHAR(34),CHAR(39))))</f>
        <v/>
      </c>
      <c r="R70" s="5" t="str">
        <f>IF(OR(TRIM($B70)="",$H70=""),"",IF(OR(ISNUMBER(SEARCH(_xlfn.CONCAT(CHAR(96),CHAR(34)),$H70)),ISNUMBER(SEARCH(_xlfn.CONCAT(CHAR(34),CHAR(39)),$H70))),_xlfn.CONCAT("* REVIEW REQUIRED: compound-quote delimiter in Source on Sheet 1 row ",70,"; edit the input before running."),_xlfn.CONCAT("char ",TRIM($B70),"[doc_source] ",CHAR(96),CHAR(34),SUBSTITUTE(SUBSTITUTE(SUBSTITUTE(SUBSTITUTE(SUBSTITUTE(SUBSTITUTE($H70,CHAR(13)," "),CHAR(10)," "),CHAR(9)," "),CHAR(92),_xlfn.CONCAT(CHAR(92),CHAR(92))),"$",_xlfn.CONCAT(CHAR(92),"$")),CHAR(96),_xlfn.CONCAT(CHAR(92),CHAR(96))),CHAR(34),CHAR(39))))</f>
        <v/>
      </c>
      <c r="S70" s="5" t="str">
        <f>IF(OR(TRIM($B70)="",$I70=""),"",IF(OR(ISNUMBER(SEARCH(_xlfn.CONCAT(CHAR(96),CHAR(34)),$I70)),ISNUMBER(SEARCH(_xlfn.CONCAT(CHAR(34),CHAR(39)),$I70))),_xlfn.CONCAT("* REVIEW REQUIRED: compound-quote delimiter in Derivation on Sheet 1 row ",70,"; edit the input before running."),_xlfn.CONCAT("char ",TRIM($B70),"[doc_derivation] ",CHAR(96),CHAR(34),SUBSTITUTE(SUBSTITUTE(SUBSTITUTE(SUBSTITUTE(SUBSTITUTE(SUBSTITUTE($I70,CHAR(13)," "),CHAR(10)," "),CHAR(9)," "),CHAR(92),_xlfn.CONCAT(CHAR(92),CHAR(92))),"$",_xlfn.CONCAT(CHAR(92),"$")),CHAR(96),_xlfn.CONCAT(CHAR(92),CHAR(96))),CHAR(34),CHAR(39))))</f>
        <v/>
      </c>
      <c r="T70" s="5" t="str">
        <f>IF(OR(TRIM($B70)="",$J70=""),"",IF(OR(ISNUMBER(SEARCH(_xlfn.CONCAT(CHAR(96),CHAR(34)),$J70)),ISNUMBER(SEARCH(_xlfn.CONCAT(CHAR(34),CHAR(39)),$J70))),_xlfn.CONCAT("* REVIEW REQUIRED: compound-quote delimiter in Notes on Sheet 1 row ",70,"; edit the input before running."),_xlfn.CONCAT("char ",TRIM($B70),"[doc_notes] ",CHAR(96),CHAR(34),SUBSTITUTE(SUBSTITUTE(SUBSTITUTE(SUBSTITUTE(SUBSTITUTE(SUBSTITUTE($J70,CHAR(13)," "),CHAR(10)," "),CHAR(9)," "),CHAR(92),_xlfn.CONCAT(CHAR(92),CHAR(92))),"$",_xlfn.CONCAT(CHAR(92),"$")),CHAR(96),_xlfn.CONCAT(CHAR(92),CHAR(96))),CHAR(34),CHAR(39))))</f>
        <v/>
      </c>
      <c r="U70" s="5">
        <f t="shared" si="1"/>
        <v>0</v>
      </c>
    </row>
    <row r="71" spans="3:21" ht="30" customHeight="1" x14ac:dyDescent="0.2">
      <c r="C71" s="4"/>
      <c r="K71" s="5">
        <f t="shared" si="0"/>
        <v>0</v>
      </c>
      <c r="L71" s="5" t="str">
        <f>IF(OR(TRIM($B71)="",$A71=""),"",IF(OR(ISNUMBER(SEARCH(_xlfn.CONCAT(CHAR(96),CHAR(34)),$A71)),ISNUMBER(SEARCH(_xlfn.CONCAT(CHAR(34),CHAR(39)),$A71))),_xlfn.CONCAT("* REVIEW REQUIRED: compound-quote delimiter in Codebook Section on Sheet 1 row ",71,"; edit the input before running."),_xlfn.CONCAT("char ",TRIM($B71),"[doc_section] ",CHAR(96),CHAR(34),SUBSTITUTE(SUBSTITUTE(SUBSTITUTE(SUBSTITUTE(SUBSTITUTE(SUBSTITUTE($A71,CHAR(13)," "),CHAR(10)," "),CHAR(9)," "),CHAR(92),_xlfn.CONCAT(CHAR(92),CHAR(92))),"$",_xlfn.CONCAT(CHAR(92),"$")),CHAR(96),_xlfn.CONCAT(CHAR(92),CHAR(96))),CHAR(34),CHAR(39))))</f>
        <v/>
      </c>
      <c r="M71" s="5" t="str">
        <f>IF(OR(TRIM($B71)="",$C71=""),"",IF(IFERROR(MATCH(TRIM($C71),{"Quantitative","Continuous","Discrete","Categorical","Nominal","Ordinal","Identifier"},0),0)=0,_xlfn.CONCAT("* REVIEW REQUIRED: invalid Variable Type on Sheet 1 row ",71,"."),_xlfn.CONCAT("char ",TRIM($B71),"[doc_vartype] ",CHAR(96),CHAR(34),SUBSTITUTE(SUBSTITUTE(SUBSTITUTE(SUBSTITUTE(SUBSTITUTE(SUBSTITUTE(LOWER(TRIM($C71)),CHAR(13)," "),CHAR(10)," "),CHAR(9)," "),CHAR(92),_xlfn.CONCAT(CHAR(92),CHAR(92))),"$",_xlfn.CONCAT(CHAR(92),"$")),CHAR(96),_xlfn.CONCAT(CHAR(92),CHAR(96))),CHAR(34),CHAR(39))))</f>
        <v/>
      </c>
      <c r="N71" s="5" t="str">
        <f>IF(OR(TRIM($B71)="",$D71=""),"",IF(OR(ISNUMBER(SEARCH(_xlfn.CONCAT(CHAR(96),CHAR(34)),$D71)),ISNUMBER(SEARCH(_xlfn.CONCAT(CHAR(34),CHAR(39)),$D71))),_xlfn.CONCAT("* REVIEW REQUIRED: compound-quote delimiter in Item Number on Sheet 1 row ",71,"; edit the input before running."),_xlfn.CONCAT("char ",TRIM($B71),"[doc_itemnum] ",CHAR(96),CHAR(34),SUBSTITUTE(SUBSTITUTE(SUBSTITUTE(SUBSTITUTE(SUBSTITUTE(SUBSTITUTE($D71,CHAR(13)," "),CHAR(10)," "),CHAR(9)," "),CHAR(92),_xlfn.CONCAT(CHAR(92),CHAR(92))),"$",_xlfn.CONCAT(CHAR(92),"$")),CHAR(96),_xlfn.CONCAT(CHAR(92),CHAR(96))),CHAR(34),CHAR(39))))</f>
        <v/>
      </c>
      <c r="O71" s="5" t="str">
        <f>IF(OR(TRIM($B71)="",$E71=""),"",IF(OR(ISNUMBER(SEARCH(_xlfn.CONCAT(CHAR(96),CHAR(34)),$E71)),ISNUMBER(SEARCH(_xlfn.CONCAT(CHAR(34),CHAR(39)),$E71))),_xlfn.CONCAT("* REVIEW REQUIRED: compound-quote delimiter in Question Wording on Sheet 1 row ",71,"; edit the input before running."),_xlfn.CONCAT("char ",TRIM($B71),"[doc_question] ",CHAR(96),CHAR(34),SUBSTITUTE(SUBSTITUTE(SUBSTITUTE(SUBSTITUTE(SUBSTITUTE(SUBSTITUTE($E71,CHAR(13)," "),CHAR(10)," "),CHAR(9)," "),CHAR(92),_xlfn.CONCAT(CHAR(92),CHAR(92))),"$",_xlfn.CONCAT(CHAR(92),"$")),CHAR(96),_xlfn.CONCAT(CHAR(92),CHAR(96))),CHAR(34),CHAR(39))))</f>
        <v/>
      </c>
      <c r="P71" s="5" t="str">
        <f>IF(OR(TRIM($B71)="",$F71=""),"",IF(OR(ISNUMBER(SEARCH(_xlfn.CONCAT(CHAR(96),CHAR(34)),$F71)),ISNUMBER(SEARCH(_xlfn.CONCAT(CHAR(34),CHAR(39)),$F71))),_xlfn.CONCAT("* REVIEW REQUIRED: compound-quote delimiter in Units on Sheet 1 row ",71,"; edit the input before running."),_xlfn.CONCAT("char ",TRIM($B71),"[doc_units] ",CHAR(96),CHAR(34),SUBSTITUTE(SUBSTITUTE(SUBSTITUTE(SUBSTITUTE(SUBSTITUTE(SUBSTITUTE($F71,CHAR(13)," "),CHAR(10)," "),CHAR(9)," "),CHAR(92),_xlfn.CONCAT(CHAR(92),CHAR(92))),"$",_xlfn.CONCAT(CHAR(92),"$")),CHAR(96),_xlfn.CONCAT(CHAR(92),CHAR(96))),CHAR(34),CHAR(39))))</f>
        <v/>
      </c>
      <c r="Q71" s="5" t="str">
        <f>IF(OR(TRIM($B71)="",$G71=""),"",IF(OR(ISNUMBER(SEARCH(_xlfn.CONCAT(CHAR(96),CHAR(34)),$G71)),ISNUMBER(SEARCH(_xlfn.CONCAT(CHAR(34),CHAR(39)),$G71))),_xlfn.CONCAT("* REVIEW REQUIRED: compound-quote delimiter in Universe on Sheet 1 row ",71,"; edit the input before running."),_xlfn.CONCAT("char ",TRIM($B71),"[doc_universe] ",CHAR(96),CHAR(34),SUBSTITUTE(SUBSTITUTE(SUBSTITUTE(SUBSTITUTE(SUBSTITUTE(SUBSTITUTE($G71,CHAR(13)," "),CHAR(10)," "),CHAR(9)," "),CHAR(92),_xlfn.CONCAT(CHAR(92),CHAR(92))),"$",_xlfn.CONCAT(CHAR(92),"$")),CHAR(96),_xlfn.CONCAT(CHAR(92),CHAR(96))),CHAR(34),CHAR(39))))</f>
        <v/>
      </c>
      <c r="R71" s="5" t="str">
        <f>IF(OR(TRIM($B71)="",$H71=""),"",IF(OR(ISNUMBER(SEARCH(_xlfn.CONCAT(CHAR(96),CHAR(34)),$H71)),ISNUMBER(SEARCH(_xlfn.CONCAT(CHAR(34),CHAR(39)),$H71))),_xlfn.CONCAT("* REVIEW REQUIRED: compound-quote delimiter in Source on Sheet 1 row ",71,"; edit the input before running."),_xlfn.CONCAT("char ",TRIM($B71),"[doc_source] ",CHAR(96),CHAR(34),SUBSTITUTE(SUBSTITUTE(SUBSTITUTE(SUBSTITUTE(SUBSTITUTE(SUBSTITUTE($H71,CHAR(13)," "),CHAR(10)," "),CHAR(9)," "),CHAR(92),_xlfn.CONCAT(CHAR(92),CHAR(92))),"$",_xlfn.CONCAT(CHAR(92),"$")),CHAR(96),_xlfn.CONCAT(CHAR(92),CHAR(96))),CHAR(34),CHAR(39))))</f>
        <v/>
      </c>
      <c r="S71" s="5" t="str">
        <f>IF(OR(TRIM($B71)="",$I71=""),"",IF(OR(ISNUMBER(SEARCH(_xlfn.CONCAT(CHAR(96),CHAR(34)),$I71)),ISNUMBER(SEARCH(_xlfn.CONCAT(CHAR(34),CHAR(39)),$I71))),_xlfn.CONCAT("* REVIEW REQUIRED: compound-quote delimiter in Derivation on Sheet 1 row ",71,"; edit the input before running."),_xlfn.CONCAT("char ",TRIM($B71),"[doc_derivation] ",CHAR(96),CHAR(34),SUBSTITUTE(SUBSTITUTE(SUBSTITUTE(SUBSTITUTE(SUBSTITUTE(SUBSTITUTE($I71,CHAR(13)," "),CHAR(10)," "),CHAR(9)," "),CHAR(92),_xlfn.CONCAT(CHAR(92),CHAR(92))),"$",_xlfn.CONCAT(CHAR(92),"$")),CHAR(96),_xlfn.CONCAT(CHAR(92),CHAR(96))),CHAR(34),CHAR(39))))</f>
        <v/>
      </c>
      <c r="T71" s="5" t="str">
        <f>IF(OR(TRIM($B71)="",$J71=""),"",IF(OR(ISNUMBER(SEARCH(_xlfn.CONCAT(CHAR(96),CHAR(34)),$J71)),ISNUMBER(SEARCH(_xlfn.CONCAT(CHAR(34),CHAR(39)),$J71))),_xlfn.CONCAT("* REVIEW REQUIRED: compound-quote delimiter in Notes on Sheet 1 row ",71,"; edit the input before running."),_xlfn.CONCAT("char ",TRIM($B71),"[doc_notes] ",CHAR(96),CHAR(34),SUBSTITUTE(SUBSTITUTE(SUBSTITUTE(SUBSTITUTE(SUBSTITUTE(SUBSTITUTE($J71,CHAR(13)," "),CHAR(10)," "),CHAR(9)," "),CHAR(92),_xlfn.CONCAT(CHAR(92),CHAR(92))),"$",_xlfn.CONCAT(CHAR(92),"$")),CHAR(96),_xlfn.CONCAT(CHAR(92),CHAR(96))),CHAR(34),CHAR(39))))</f>
        <v/>
      </c>
      <c r="U71" s="5">
        <f t="shared" si="1"/>
        <v>0</v>
      </c>
    </row>
    <row r="72" spans="3:21" ht="30" customHeight="1" x14ac:dyDescent="0.2">
      <c r="C72" s="4"/>
      <c r="K72" s="5">
        <f t="shared" si="0"/>
        <v>0</v>
      </c>
      <c r="L72" s="5" t="str">
        <f>IF(OR(TRIM($B72)="",$A72=""),"",IF(OR(ISNUMBER(SEARCH(_xlfn.CONCAT(CHAR(96),CHAR(34)),$A72)),ISNUMBER(SEARCH(_xlfn.CONCAT(CHAR(34),CHAR(39)),$A72))),_xlfn.CONCAT("* REVIEW REQUIRED: compound-quote delimiter in Codebook Section on Sheet 1 row ",72,"; edit the input before running."),_xlfn.CONCAT("char ",TRIM($B72),"[doc_section] ",CHAR(96),CHAR(34),SUBSTITUTE(SUBSTITUTE(SUBSTITUTE(SUBSTITUTE(SUBSTITUTE(SUBSTITUTE($A72,CHAR(13)," "),CHAR(10)," "),CHAR(9)," "),CHAR(92),_xlfn.CONCAT(CHAR(92),CHAR(92))),"$",_xlfn.CONCAT(CHAR(92),"$")),CHAR(96),_xlfn.CONCAT(CHAR(92),CHAR(96))),CHAR(34),CHAR(39))))</f>
        <v/>
      </c>
      <c r="M72" s="5" t="str">
        <f>IF(OR(TRIM($B72)="",$C72=""),"",IF(IFERROR(MATCH(TRIM($C72),{"Quantitative","Continuous","Discrete","Categorical","Nominal","Ordinal","Identifier"},0),0)=0,_xlfn.CONCAT("* REVIEW REQUIRED: invalid Variable Type on Sheet 1 row ",72,"."),_xlfn.CONCAT("char ",TRIM($B72),"[doc_vartype] ",CHAR(96),CHAR(34),SUBSTITUTE(SUBSTITUTE(SUBSTITUTE(SUBSTITUTE(SUBSTITUTE(SUBSTITUTE(LOWER(TRIM($C72)),CHAR(13)," "),CHAR(10)," "),CHAR(9)," "),CHAR(92),_xlfn.CONCAT(CHAR(92),CHAR(92))),"$",_xlfn.CONCAT(CHAR(92),"$")),CHAR(96),_xlfn.CONCAT(CHAR(92),CHAR(96))),CHAR(34),CHAR(39))))</f>
        <v/>
      </c>
      <c r="N72" s="5" t="str">
        <f>IF(OR(TRIM($B72)="",$D72=""),"",IF(OR(ISNUMBER(SEARCH(_xlfn.CONCAT(CHAR(96),CHAR(34)),$D72)),ISNUMBER(SEARCH(_xlfn.CONCAT(CHAR(34),CHAR(39)),$D72))),_xlfn.CONCAT("* REVIEW REQUIRED: compound-quote delimiter in Item Number on Sheet 1 row ",72,"; edit the input before running."),_xlfn.CONCAT("char ",TRIM($B72),"[doc_itemnum] ",CHAR(96),CHAR(34),SUBSTITUTE(SUBSTITUTE(SUBSTITUTE(SUBSTITUTE(SUBSTITUTE(SUBSTITUTE($D72,CHAR(13)," "),CHAR(10)," "),CHAR(9)," "),CHAR(92),_xlfn.CONCAT(CHAR(92),CHAR(92))),"$",_xlfn.CONCAT(CHAR(92),"$")),CHAR(96),_xlfn.CONCAT(CHAR(92),CHAR(96))),CHAR(34),CHAR(39))))</f>
        <v/>
      </c>
      <c r="O72" s="5" t="str">
        <f>IF(OR(TRIM($B72)="",$E72=""),"",IF(OR(ISNUMBER(SEARCH(_xlfn.CONCAT(CHAR(96),CHAR(34)),$E72)),ISNUMBER(SEARCH(_xlfn.CONCAT(CHAR(34),CHAR(39)),$E72))),_xlfn.CONCAT("* REVIEW REQUIRED: compound-quote delimiter in Question Wording on Sheet 1 row ",72,"; edit the input before running."),_xlfn.CONCAT("char ",TRIM($B72),"[doc_question] ",CHAR(96),CHAR(34),SUBSTITUTE(SUBSTITUTE(SUBSTITUTE(SUBSTITUTE(SUBSTITUTE(SUBSTITUTE($E72,CHAR(13)," "),CHAR(10)," "),CHAR(9)," "),CHAR(92),_xlfn.CONCAT(CHAR(92),CHAR(92))),"$",_xlfn.CONCAT(CHAR(92),"$")),CHAR(96),_xlfn.CONCAT(CHAR(92),CHAR(96))),CHAR(34),CHAR(39))))</f>
        <v/>
      </c>
      <c r="P72" s="5" t="str">
        <f>IF(OR(TRIM($B72)="",$F72=""),"",IF(OR(ISNUMBER(SEARCH(_xlfn.CONCAT(CHAR(96),CHAR(34)),$F72)),ISNUMBER(SEARCH(_xlfn.CONCAT(CHAR(34),CHAR(39)),$F72))),_xlfn.CONCAT("* REVIEW REQUIRED: compound-quote delimiter in Units on Sheet 1 row ",72,"; edit the input before running."),_xlfn.CONCAT("char ",TRIM($B72),"[doc_units] ",CHAR(96),CHAR(34),SUBSTITUTE(SUBSTITUTE(SUBSTITUTE(SUBSTITUTE(SUBSTITUTE(SUBSTITUTE($F72,CHAR(13)," "),CHAR(10)," "),CHAR(9)," "),CHAR(92),_xlfn.CONCAT(CHAR(92),CHAR(92))),"$",_xlfn.CONCAT(CHAR(92),"$")),CHAR(96),_xlfn.CONCAT(CHAR(92),CHAR(96))),CHAR(34),CHAR(39))))</f>
        <v/>
      </c>
      <c r="Q72" s="5" t="str">
        <f>IF(OR(TRIM($B72)="",$G72=""),"",IF(OR(ISNUMBER(SEARCH(_xlfn.CONCAT(CHAR(96),CHAR(34)),$G72)),ISNUMBER(SEARCH(_xlfn.CONCAT(CHAR(34),CHAR(39)),$G72))),_xlfn.CONCAT("* REVIEW REQUIRED: compound-quote delimiter in Universe on Sheet 1 row ",72,"; edit the input before running."),_xlfn.CONCAT("char ",TRIM($B72),"[doc_universe] ",CHAR(96),CHAR(34),SUBSTITUTE(SUBSTITUTE(SUBSTITUTE(SUBSTITUTE(SUBSTITUTE(SUBSTITUTE($G72,CHAR(13)," "),CHAR(10)," "),CHAR(9)," "),CHAR(92),_xlfn.CONCAT(CHAR(92),CHAR(92))),"$",_xlfn.CONCAT(CHAR(92),"$")),CHAR(96),_xlfn.CONCAT(CHAR(92),CHAR(96))),CHAR(34),CHAR(39))))</f>
        <v/>
      </c>
      <c r="R72" s="5" t="str">
        <f>IF(OR(TRIM($B72)="",$H72=""),"",IF(OR(ISNUMBER(SEARCH(_xlfn.CONCAT(CHAR(96),CHAR(34)),$H72)),ISNUMBER(SEARCH(_xlfn.CONCAT(CHAR(34),CHAR(39)),$H72))),_xlfn.CONCAT("* REVIEW REQUIRED: compound-quote delimiter in Source on Sheet 1 row ",72,"; edit the input before running."),_xlfn.CONCAT("char ",TRIM($B72),"[doc_source] ",CHAR(96),CHAR(34),SUBSTITUTE(SUBSTITUTE(SUBSTITUTE(SUBSTITUTE(SUBSTITUTE(SUBSTITUTE($H72,CHAR(13)," "),CHAR(10)," "),CHAR(9)," "),CHAR(92),_xlfn.CONCAT(CHAR(92),CHAR(92))),"$",_xlfn.CONCAT(CHAR(92),"$")),CHAR(96),_xlfn.CONCAT(CHAR(92),CHAR(96))),CHAR(34),CHAR(39))))</f>
        <v/>
      </c>
      <c r="S72" s="5" t="str">
        <f>IF(OR(TRIM($B72)="",$I72=""),"",IF(OR(ISNUMBER(SEARCH(_xlfn.CONCAT(CHAR(96),CHAR(34)),$I72)),ISNUMBER(SEARCH(_xlfn.CONCAT(CHAR(34),CHAR(39)),$I72))),_xlfn.CONCAT("* REVIEW REQUIRED: compound-quote delimiter in Derivation on Sheet 1 row ",72,"; edit the input before running."),_xlfn.CONCAT("char ",TRIM($B72),"[doc_derivation] ",CHAR(96),CHAR(34),SUBSTITUTE(SUBSTITUTE(SUBSTITUTE(SUBSTITUTE(SUBSTITUTE(SUBSTITUTE($I72,CHAR(13)," "),CHAR(10)," "),CHAR(9)," "),CHAR(92),_xlfn.CONCAT(CHAR(92),CHAR(92))),"$",_xlfn.CONCAT(CHAR(92),"$")),CHAR(96),_xlfn.CONCAT(CHAR(92),CHAR(96))),CHAR(34),CHAR(39))))</f>
        <v/>
      </c>
      <c r="T72" s="5" t="str">
        <f>IF(OR(TRIM($B72)="",$J72=""),"",IF(OR(ISNUMBER(SEARCH(_xlfn.CONCAT(CHAR(96),CHAR(34)),$J72)),ISNUMBER(SEARCH(_xlfn.CONCAT(CHAR(34),CHAR(39)),$J72))),_xlfn.CONCAT("* REVIEW REQUIRED: compound-quote delimiter in Notes on Sheet 1 row ",72,"; edit the input before running."),_xlfn.CONCAT("char ",TRIM($B72),"[doc_notes] ",CHAR(96),CHAR(34),SUBSTITUTE(SUBSTITUTE(SUBSTITUTE(SUBSTITUTE(SUBSTITUTE(SUBSTITUTE($J72,CHAR(13)," "),CHAR(10)," "),CHAR(9)," "),CHAR(92),_xlfn.CONCAT(CHAR(92),CHAR(92))),"$",_xlfn.CONCAT(CHAR(92),"$")),CHAR(96),_xlfn.CONCAT(CHAR(92),CHAR(96))),CHAR(34),CHAR(39))))</f>
        <v/>
      </c>
      <c r="U72" s="5">
        <f t="shared" si="1"/>
        <v>0</v>
      </c>
    </row>
    <row r="73" spans="3:21" ht="30" customHeight="1" x14ac:dyDescent="0.2">
      <c r="C73" s="4"/>
      <c r="K73" s="5">
        <f t="shared" si="0"/>
        <v>0</v>
      </c>
      <c r="L73" s="5" t="str">
        <f>IF(OR(TRIM($B73)="",$A73=""),"",IF(OR(ISNUMBER(SEARCH(_xlfn.CONCAT(CHAR(96),CHAR(34)),$A73)),ISNUMBER(SEARCH(_xlfn.CONCAT(CHAR(34),CHAR(39)),$A73))),_xlfn.CONCAT("* REVIEW REQUIRED: compound-quote delimiter in Codebook Section on Sheet 1 row ",73,"; edit the input before running."),_xlfn.CONCAT("char ",TRIM($B73),"[doc_section] ",CHAR(96),CHAR(34),SUBSTITUTE(SUBSTITUTE(SUBSTITUTE(SUBSTITUTE(SUBSTITUTE(SUBSTITUTE($A73,CHAR(13)," "),CHAR(10)," "),CHAR(9)," "),CHAR(92),_xlfn.CONCAT(CHAR(92),CHAR(92))),"$",_xlfn.CONCAT(CHAR(92),"$")),CHAR(96),_xlfn.CONCAT(CHAR(92),CHAR(96))),CHAR(34),CHAR(39))))</f>
        <v/>
      </c>
      <c r="M73" s="5" t="str">
        <f>IF(OR(TRIM($B73)="",$C73=""),"",IF(IFERROR(MATCH(TRIM($C73),{"Quantitative","Continuous","Discrete","Categorical","Nominal","Ordinal","Identifier"},0),0)=0,_xlfn.CONCAT("* REVIEW REQUIRED: invalid Variable Type on Sheet 1 row ",73,"."),_xlfn.CONCAT("char ",TRIM($B73),"[doc_vartype] ",CHAR(96),CHAR(34),SUBSTITUTE(SUBSTITUTE(SUBSTITUTE(SUBSTITUTE(SUBSTITUTE(SUBSTITUTE(LOWER(TRIM($C73)),CHAR(13)," "),CHAR(10)," "),CHAR(9)," "),CHAR(92),_xlfn.CONCAT(CHAR(92),CHAR(92))),"$",_xlfn.CONCAT(CHAR(92),"$")),CHAR(96),_xlfn.CONCAT(CHAR(92),CHAR(96))),CHAR(34),CHAR(39))))</f>
        <v/>
      </c>
      <c r="N73" s="5" t="str">
        <f>IF(OR(TRIM($B73)="",$D73=""),"",IF(OR(ISNUMBER(SEARCH(_xlfn.CONCAT(CHAR(96),CHAR(34)),$D73)),ISNUMBER(SEARCH(_xlfn.CONCAT(CHAR(34),CHAR(39)),$D73))),_xlfn.CONCAT("* REVIEW REQUIRED: compound-quote delimiter in Item Number on Sheet 1 row ",73,"; edit the input before running."),_xlfn.CONCAT("char ",TRIM($B73),"[doc_itemnum] ",CHAR(96),CHAR(34),SUBSTITUTE(SUBSTITUTE(SUBSTITUTE(SUBSTITUTE(SUBSTITUTE(SUBSTITUTE($D73,CHAR(13)," "),CHAR(10)," "),CHAR(9)," "),CHAR(92),_xlfn.CONCAT(CHAR(92),CHAR(92))),"$",_xlfn.CONCAT(CHAR(92),"$")),CHAR(96),_xlfn.CONCAT(CHAR(92),CHAR(96))),CHAR(34),CHAR(39))))</f>
        <v/>
      </c>
      <c r="O73" s="5" t="str">
        <f>IF(OR(TRIM($B73)="",$E73=""),"",IF(OR(ISNUMBER(SEARCH(_xlfn.CONCAT(CHAR(96),CHAR(34)),$E73)),ISNUMBER(SEARCH(_xlfn.CONCAT(CHAR(34),CHAR(39)),$E73))),_xlfn.CONCAT("* REVIEW REQUIRED: compound-quote delimiter in Question Wording on Sheet 1 row ",73,"; edit the input before running."),_xlfn.CONCAT("char ",TRIM($B73),"[doc_question] ",CHAR(96),CHAR(34),SUBSTITUTE(SUBSTITUTE(SUBSTITUTE(SUBSTITUTE(SUBSTITUTE(SUBSTITUTE($E73,CHAR(13)," "),CHAR(10)," "),CHAR(9)," "),CHAR(92),_xlfn.CONCAT(CHAR(92),CHAR(92))),"$",_xlfn.CONCAT(CHAR(92),"$")),CHAR(96),_xlfn.CONCAT(CHAR(92),CHAR(96))),CHAR(34),CHAR(39))))</f>
        <v/>
      </c>
      <c r="P73" s="5" t="str">
        <f>IF(OR(TRIM($B73)="",$F73=""),"",IF(OR(ISNUMBER(SEARCH(_xlfn.CONCAT(CHAR(96),CHAR(34)),$F73)),ISNUMBER(SEARCH(_xlfn.CONCAT(CHAR(34),CHAR(39)),$F73))),_xlfn.CONCAT("* REVIEW REQUIRED: compound-quote delimiter in Units on Sheet 1 row ",73,"; edit the input before running."),_xlfn.CONCAT("char ",TRIM($B73),"[doc_units] ",CHAR(96),CHAR(34),SUBSTITUTE(SUBSTITUTE(SUBSTITUTE(SUBSTITUTE(SUBSTITUTE(SUBSTITUTE($F73,CHAR(13)," "),CHAR(10)," "),CHAR(9)," "),CHAR(92),_xlfn.CONCAT(CHAR(92),CHAR(92))),"$",_xlfn.CONCAT(CHAR(92),"$")),CHAR(96),_xlfn.CONCAT(CHAR(92),CHAR(96))),CHAR(34),CHAR(39))))</f>
        <v/>
      </c>
      <c r="Q73" s="5" t="str">
        <f>IF(OR(TRIM($B73)="",$G73=""),"",IF(OR(ISNUMBER(SEARCH(_xlfn.CONCAT(CHAR(96),CHAR(34)),$G73)),ISNUMBER(SEARCH(_xlfn.CONCAT(CHAR(34),CHAR(39)),$G73))),_xlfn.CONCAT("* REVIEW REQUIRED: compound-quote delimiter in Universe on Sheet 1 row ",73,"; edit the input before running."),_xlfn.CONCAT("char ",TRIM($B73),"[doc_universe] ",CHAR(96),CHAR(34),SUBSTITUTE(SUBSTITUTE(SUBSTITUTE(SUBSTITUTE(SUBSTITUTE(SUBSTITUTE($G73,CHAR(13)," "),CHAR(10)," "),CHAR(9)," "),CHAR(92),_xlfn.CONCAT(CHAR(92),CHAR(92))),"$",_xlfn.CONCAT(CHAR(92),"$")),CHAR(96),_xlfn.CONCAT(CHAR(92),CHAR(96))),CHAR(34),CHAR(39))))</f>
        <v/>
      </c>
      <c r="R73" s="5" t="str">
        <f>IF(OR(TRIM($B73)="",$H73=""),"",IF(OR(ISNUMBER(SEARCH(_xlfn.CONCAT(CHAR(96),CHAR(34)),$H73)),ISNUMBER(SEARCH(_xlfn.CONCAT(CHAR(34),CHAR(39)),$H73))),_xlfn.CONCAT("* REVIEW REQUIRED: compound-quote delimiter in Source on Sheet 1 row ",73,"; edit the input before running."),_xlfn.CONCAT("char ",TRIM($B73),"[doc_source] ",CHAR(96),CHAR(34),SUBSTITUTE(SUBSTITUTE(SUBSTITUTE(SUBSTITUTE(SUBSTITUTE(SUBSTITUTE($H73,CHAR(13)," "),CHAR(10)," "),CHAR(9)," "),CHAR(92),_xlfn.CONCAT(CHAR(92),CHAR(92))),"$",_xlfn.CONCAT(CHAR(92),"$")),CHAR(96),_xlfn.CONCAT(CHAR(92),CHAR(96))),CHAR(34),CHAR(39))))</f>
        <v/>
      </c>
      <c r="S73" s="5" t="str">
        <f>IF(OR(TRIM($B73)="",$I73=""),"",IF(OR(ISNUMBER(SEARCH(_xlfn.CONCAT(CHAR(96),CHAR(34)),$I73)),ISNUMBER(SEARCH(_xlfn.CONCAT(CHAR(34),CHAR(39)),$I73))),_xlfn.CONCAT("* REVIEW REQUIRED: compound-quote delimiter in Derivation on Sheet 1 row ",73,"; edit the input before running."),_xlfn.CONCAT("char ",TRIM($B73),"[doc_derivation] ",CHAR(96),CHAR(34),SUBSTITUTE(SUBSTITUTE(SUBSTITUTE(SUBSTITUTE(SUBSTITUTE(SUBSTITUTE($I73,CHAR(13)," "),CHAR(10)," "),CHAR(9)," "),CHAR(92),_xlfn.CONCAT(CHAR(92),CHAR(92))),"$",_xlfn.CONCAT(CHAR(92),"$")),CHAR(96),_xlfn.CONCAT(CHAR(92),CHAR(96))),CHAR(34),CHAR(39))))</f>
        <v/>
      </c>
      <c r="T73" s="5" t="str">
        <f>IF(OR(TRIM($B73)="",$J73=""),"",IF(OR(ISNUMBER(SEARCH(_xlfn.CONCAT(CHAR(96),CHAR(34)),$J73)),ISNUMBER(SEARCH(_xlfn.CONCAT(CHAR(34),CHAR(39)),$J73))),_xlfn.CONCAT("* REVIEW REQUIRED: compound-quote delimiter in Notes on Sheet 1 row ",73,"; edit the input before running."),_xlfn.CONCAT("char ",TRIM($B73),"[doc_notes] ",CHAR(96),CHAR(34),SUBSTITUTE(SUBSTITUTE(SUBSTITUTE(SUBSTITUTE(SUBSTITUTE(SUBSTITUTE($J73,CHAR(13)," "),CHAR(10)," "),CHAR(9)," "),CHAR(92),_xlfn.CONCAT(CHAR(92),CHAR(92))),"$",_xlfn.CONCAT(CHAR(92),"$")),CHAR(96),_xlfn.CONCAT(CHAR(92),CHAR(96))),CHAR(34),CHAR(39))))</f>
        <v/>
      </c>
      <c r="U73" s="5">
        <f t="shared" si="1"/>
        <v>0</v>
      </c>
    </row>
    <row r="74" spans="3:21" ht="30" customHeight="1" x14ac:dyDescent="0.2">
      <c r="C74" s="4"/>
      <c r="K74" s="5">
        <f t="shared" si="0"/>
        <v>0</v>
      </c>
      <c r="L74" s="5" t="str">
        <f>IF(OR(TRIM($B74)="",$A74=""),"",IF(OR(ISNUMBER(SEARCH(_xlfn.CONCAT(CHAR(96),CHAR(34)),$A74)),ISNUMBER(SEARCH(_xlfn.CONCAT(CHAR(34),CHAR(39)),$A74))),_xlfn.CONCAT("* REVIEW REQUIRED: compound-quote delimiter in Codebook Section on Sheet 1 row ",74,"; edit the input before running."),_xlfn.CONCAT("char ",TRIM($B74),"[doc_section] ",CHAR(96),CHAR(34),SUBSTITUTE(SUBSTITUTE(SUBSTITUTE(SUBSTITUTE(SUBSTITUTE(SUBSTITUTE($A74,CHAR(13)," "),CHAR(10)," "),CHAR(9)," "),CHAR(92),_xlfn.CONCAT(CHAR(92),CHAR(92))),"$",_xlfn.CONCAT(CHAR(92),"$")),CHAR(96),_xlfn.CONCAT(CHAR(92),CHAR(96))),CHAR(34),CHAR(39))))</f>
        <v/>
      </c>
      <c r="M74" s="5" t="str">
        <f>IF(OR(TRIM($B74)="",$C74=""),"",IF(IFERROR(MATCH(TRIM($C74),{"Quantitative","Continuous","Discrete","Categorical","Nominal","Ordinal","Identifier"},0),0)=0,_xlfn.CONCAT("* REVIEW REQUIRED: invalid Variable Type on Sheet 1 row ",74,"."),_xlfn.CONCAT("char ",TRIM($B74),"[doc_vartype] ",CHAR(96),CHAR(34),SUBSTITUTE(SUBSTITUTE(SUBSTITUTE(SUBSTITUTE(SUBSTITUTE(SUBSTITUTE(LOWER(TRIM($C74)),CHAR(13)," "),CHAR(10)," "),CHAR(9)," "),CHAR(92),_xlfn.CONCAT(CHAR(92),CHAR(92))),"$",_xlfn.CONCAT(CHAR(92),"$")),CHAR(96),_xlfn.CONCAT(CHAR(92),CHAR(96))),CHAR(34),CHAR(39))))</f>
        <v/>
      </c>
      <c r="N74" s="5" t="str">
        <f>IF(OR(TRIM($B74)="",$D74=""),"",IF(OR(ISNUMBER(SEARCH(_xlfn.CONCAT(CHAR(96),CHAR(34)),$D74)),ISNUMBER(SEARCH(_xlfn.CONCAT(CHAR(34),CHAR(39)),$D74))),_xlfn.CONCAT("* REVIEW REQUIRED: compound-quote delimiter in Item Number on Sheet 1 row ",74,"; edit the input before running."),_xlfn.CONCAT("char ",TRIM($B74),"[doc_itemnum] ",CHAR(96),CHAR(34),SUBSTITUTE(SUBSTITUTE(SUBSTITUTE(SUBSTITUTE(SUBSTITUTE(SUBSTITUTE($D74,CHAR(13)," "),CHAR(10)," "),CHAR(9)," "),CHAR(92),_xlfn.CONCAT(CHAR(92),CHAR(92))),"$",_xlfn.CONCAT(CHAR(92),"$")),CHAR(96),_xlfn.CONCAT(CHAR(92),CHAR(96))),CHAR(34),CHAR(39))))</f>
        <v/>
      </c>
      <c r="O74" s="5" t="str">
        <f>IF(OR(TRIM($B74)="",$E74=""),"",IF(OR(ISNUMBER(SEARCH(_xlfn.CONCAT(CHAR(96),CHAR(34)),$E74)),ISNUMBER(SEARCH(_xlfn.CONCAT(CHAR(34),CHAR(39)),$E74))),_xlfn.CONCAT("* REVIEW REQUIRED: compound-quote delimiter in Question Wording on Sheet 1 row ",74,"; edit the input before running."),_xlfn.CONCAT("char ",TRIM($B74),"[doc_question] ",CHAR(96),CHAR(34),SUBSTITUTE(SUBSTITUTE(SUBSTITUTE(SUBSTITUTE(SUBSTITUTE(SUBSTITUTE($E74,CHAR(13)," "),CHAR(10)," "),CHAR(9)," "),CHAR(92),_xlfn.CONCAT(CHAR(92),CHAR(92))),"$",_xlfn.CONCAT(CHAR(92),"$")),CHAR(96),_xlfn.CONCAT(CHAR(92),CHAR(96))),CHAR(34),CHAR(39))))</f>
        <v/>
      </c>
      <c r="P74" s="5" t="str">
        <f>IF(OR(TRIM($B74)="",$F74=""),"",IF(OR(ISNUMBER(SEARCH(_xlfn.CONCAT(CHAR(96),CHAR(34)),$F74)),ISNUMBER(SEARCH(_xlfn.CONCAT(CHAR(34),CHAR(39)),$F74))),_xlfn.CONCAT("* REVIEW REQUIRED: compound-quote delimiter in Units on Sheet 1 row ",74,"; edit the input before running."),_xlfn.CONCAT("char ",TRIM($B74),"[doc_units] ",CHAR(96),CHAR(34),SUBSTITUTE(SUBSTITUTE(SUBSTITUTE(SUBSTITUTE(SUBSTITUTE(SUBSTITUTE($F74,CHAR(13)," "),CHAR(10)," "),CHAR(9)," "),CHAR(92),_xlfn.CONCAT(CHAR(92),CHAR(92))),"$",_xlfn.CONCAT(CHAR(92),"$")),CHAR(96),_xlfn.CONCAT(CHAR(92),CHAR(96))),CHAR(34),CHAR(39))))</f>
        <v/>
      </c>
      <c r="Q74" s="5" t="str">
        <f>IF(OR(TRIM($B74)="",$G74=""),"",IF(OR(ISNUMBER(SEARCH(_xlfn.CONCAT(CHAR(96),CHAR(34)),$G74)),ISNUMBER(SEARCH(_xlfn.CONCAT(CHAR(34),CHAR(39)),$G74))),_xlfn.CONCAT("* REVIEW REQUIRED: compound-quote delimiter in Universe on Sheet 1 row ",74,"; edit the input before running."),_xlfn.CONCAT("char ",TRIM($B74),"[doc_universe] ",CHAR(96),CHAR(34),SUBSTITUTE(SUBSTITUTE(SUBSTITUTE(SUBSTITUTE(SUBSTITUTE(SUBSTITUTE($G74,CHAR(13)," "),CHAR(10)," "),CHAR(9)," "),CHAR(92),_xlfn.CONCAT(CHAR(92),CHAR(92))),"$",_xlfn.CONCAT(CHAR(92),"$")),CHAR(96),_xlfn.CONCAT(CHAR(92),CHAR(96))),CHAR(34),CHAR(39))))</f>
        <v/>
      </c>
      <c r="R74" s="5" t="str">
        <f>IF(OR(TRIM($B74)="",$H74=""),"",IF(OR(ISNUMBER(SEARCH(_xlfn.CONCAT(CHAR(96),CHAR(34)),$H74)),ISNUMBER(SEARCH(_xlfn.CONCAT(CHAR(34),CHAR(39)),$H74))),_xlfn.CONCAT("* REVIEW REQUIRED: compound-quote delimiter in Source on Sheet 1 row ",74,"; edit the input before running."),_xlfn.CONCAT("char ",TRIM($B74),"[doc_source] ",CHAR(96),CHAR(34),SUBSTITUTE(SUBSTITUTE(SUBSTITUTE(SUBSTITUTE(SUBSTITUTE(SUBSTITUTE($H74,CHAR(13)," "),CHAR(10)," "),CHAR(9)," "),CHAR(92),_xlfn.CONCAT(CHAR(92),CHAR(92))),"$",_xlfn.CONCAT(CHAR(92),"$")),CHAR(96),_xlfn.CONCAT(CHAR(92),CHAR(96))),CHAR(34),CHAR(39))))</f>
        <v/>
      </c>
      <c r="S74" s="5" t="str">
        <f>IF(OR(TRIM($B74)="",$I74=""),"",IF(OR(ISNUMBER(SEARCH(_xlfn.CONCAT(CHAR(96),CHAR(34)),$I74)),ISNUMBER(SEARCH(_xlfn.CONCAT(CHAR(34),CHAR(39)),$I74))),_xlfn.CONCAT("* REVIEW REQUIRED: compound-quote delimiter in Derivation on Sheet 1 row ",74,"; edit the input before running."),_xlfn.CONCAT("char ",TRIM($B74),"[doc_derivation] ",CHAR(96),CHAR(34),SUBSTITUTE(SUBSTITUTE(SUBSTITUTE(SUBSTITUTE(SUBSTITUTE(SUBSTITUTE($I74,CHAR(13)," "),CHAR(10)," "),CHAR(9)," "),CHAR(92),_xlfn.CONCAT(CHAR(92),CHAR(92))),"$",_xlfn.CONCAT(CHAR(92),"$")),CHAR(96),_xlfn.CONCAT(CHAR(92),CHAR(96))),CHAR(34),CHAR(39))))</f>
        <v/>
      </c>
      <c r="T74" s="5" t="str">
        <f>IF(OR(TRIM($B74)="",$J74=""),"",IF(OR(ISNUMBER(SEARCH(_xlfn.CONCAT(CHAR(96),CHAR(34)),$J74)),ISNUMBER(SEARCH(_xlfn.CONCAT(CHAR(34),CHAR(39)),$J74))),_xlfn.CONCAT("* REVIEW REQUIRED: compound-quote delimiter in Notes on Sheet 1 row ",74,"; edit the input before running."),_xlfn.CONCAT("char ",TRIM($B74),"[doc_notes] ",CHAR(96),CHAR(34),SUBSTITUTE(SUBSTITUTE(SUBSTITUTE(SUBSTITUTE(SUBSTITUTE(SUBSTITUTE($J74,CHAR(13)," "),CHAR(10)," "),CHAR(9)," "),CHAR(92),_xlfn.CONCAT(CHAR(92),CHAR(92))),"$",_xlfn.CONCAT(CHAR(92),"$")),CHAR(96),_xlfn.CONCAT(CHAR(92),CHAR(96))),CHAR(34),CHAR(39))))</f>
        <v/>
      </c>
      <c r="U74" s="5">
        <f t="shared" si="1"/>
        <v>0</v>
      </c>
    </row>
    <row r="75" spans="3:21" ht="30" customHeight="1" x14ac:dyDescent="0.2">
      <c r="C75" s="4"/>
      <c r="K75" s="5">
        <f t="shared" si="0"/>
        <v>0</v>
      </c>
      <c r="L75" s="5" t="str">
        <f>IF(OR(TRIM($B75)="",$A75=""),"",IF(OR(ISNUMBER(SEARCH(_xlfn.CONCAT(CHAR(96),CHAR(34)),$A75)),ISNUMBER(SEARCH(_xlfn.CONCAT(CHAR(34),CHAR(39)),$A75))),_xlfn.CONCAT("* REVIEW REQUIRED: compound-quote delimiter in Codebook Section on Sheet 1 row ",75,"; edit the input before running."),_xlfn.CONCAT("char ",TRIM($B75),"[doc_section] ",CHAR(96),CHAR(34),SUBSTITUTE(SUBSTITUTE(SUBSTITUTE(SUBSTITUTE(SUBSTITUTE(SUBSTITUTE($A75,CHAR(13)," "),CHAR(10)," "),CHAR(9)," "),CHAR(92),_xlfn.CONCAT(CHAR(92),CHAR(92))),"$",_xlfn.CONCAT(CHAR(92),"$")),CHAR(96),_xlfn.CONCAT(CHAR(92),CHAR(96))),CHAR(34),CHAR(39))))</f>
        <v/>
      </c>
      <c r="M75" s="5" t="str">
        <f>IF(OR(TRIM($B75)="",$C75=""),"",IF(IFERROR(MATCH(TRIM($C75),{"Quantitative","Continuous","Discrete","Categorical","Nominal","Ordinal","Identifier"},0),0)=0,_xlfn.CONCAT("* REVIEW REQUIRED: invalid Variable Type on Sheet 1 row ",75,"."),_xlfn.CONCAT("char ",TRIM($B75),"[doc_vartype] ",CHAR(96),CHAR(34),SUBSTITUTE(SUBSTITUTE(SUBSTITUTE(SUBSTITUTE(SUBSTITUTE(SUBSTITUTE(LOWER(TRIM($C75)),CHAR(13)," "),CHAR(10)," "),CHAR(9)," "),CHAR(92),_xlfn.CONCAT(CHAR(92),CHAR(92))),"$",_xlfn.CONCAT(CHAR(92),"$")),CHAR(96),_xlfn.CONCAT(CHAR(92),CHAR(96))),CHAR(34),CHAR(39))))</f>
        <v/>
      </c>
      <c r="N75" s="5" t="str">
        <f>IF(OR(TRIM($B75)="",$D75=""),"",IF(OR(ISNUMBER(SEARCH(_xlfn.CONCAT(CHAR(96),CHAR(34)),$D75)),ISNUMBER(SEARCH(_xlfn.CONCAT(CHAR(34),CHAR(39)),$D75))),_xlfn.CONCAT("* REVIEW REQUIRED: compound-quote delimiter in Item Number on Sheet 1 row ",75,"; edit the input before running."),_xlfn.CONCAT("char ",TRIM($B75),"[doc_itemnum] ",CHAR(96),CHAR(34),SUBSTITUTE(SUBSTITUTE(SUBSTITUTE(SUBSTITUTE(SUBSTITUTE(SUBSTITUTE($D75,CHAR(13)," "),CHAR(10)," "),CHAR(9)," "),CHAR(92),_xlfn.CONCAT(CHAR(92),CHAR(92))),"$",_xlfn.CONCAT(CHAR(92),"$")),CHAR(96),_xlfn.CONCAT(CHAR(92),CHAR(96))),CHAR(34),CHAR(39))))</f>
        <v/>
      </c>
      <c r="O75" s="5" t="str">
        <f>IF(OR(TRIM($B75)="",$E75=""),"",IF(OR(ISNUMBER(SEARCH(_xlfn.CONCAT(CHAR(96),CHAR(34)),$E75)),ISNUMBER(SEARCH(_xlfn.CONCAT(CHAR(34),CHAR(39)),$E75))),_xlfn.CONCAT("* REVIEW REQUIRED: compound-quote delimiter in Question Wording on Sheet 1 row ",75,"; edit the input before running."),_xlfn.CONCAT("char ",TRIM($B75),"[doc_question] ",CHAR(96),CHAR(34),SUBSTITUTE(SUBSTITUTE(SUBSTITUTE(SUBSTITUTE(SUBSTITUTE(SUBSTITUTE($E75,CHAR(13)," "),CHAR(10)," "),CHAR(9)," "),CHAR(92),_xlfn.CONCAT(CHAR(92),CHAR(92))),"$",_xlfn.CONCAT(CHAR(92),"$")),CHAR(96),_xlfn.CONCAT(CHAR(92),CHAR(96))),CHAR(34),CHAR(39))))</f>
        <v/>
      </c>
      <c r="P75" s="5" t="str">
        <f>IF(OR(TRIM($B75)="",$F75=""),"",IF(OR(ISNUMBER(SEARCH(_xlfn.CONCAT(CHAR(96),CHAR(34)),$F75)),ISNUMBER(SEARCH(_xlfn.CONCAT(CHAR(34),CHAR(39)),$F75))),_xlfn.CONCAT("* REVIEW REQUIRED: compound-quote delimiter in Units on Sheet 1 row ",75,"; edit the input before running."),_xlfn.CONCAT("char ",TRIM($B75),"[doc_units] ",CHAR(96),CHAR(34),SUBSTITUTE(SUBSTITUTE(SUBSTITUTE(SUBSTITUTE(SUBSTITUTE(SUBSTITUTE($F75,CHAR(13)," "),CHAR(10)," "),CHAR(9)," "),CHAR(92),_xlfn.CONCAT(CHAR(92),CHAR(92))),"$",_xlfn.CONCAT(CHAR(92),"$")),CHAR(96),_xlfn.CONCAT(CHAR(92),CHAR(96))),CHAR(34),CHAR(39))))</f>
        <v/>
      </c>
      <c r="Q75" s="5" t="str">
        <f>IF(OR(TRIM($B75)="",$G75=""),"",IF(OR(ISNUMBER(SEARCH(_xlfn.CONCAT(CHAR(96),CHAR(34)),$G75)),ISNUMBER(SEARCH(_xlfn.CONCAT(CHAR(34),CHAR(39)),$G75))),_xlfn.CONCAT("* REVIEW REQUIRED: compound-quote delimiter in Universe on Sheet 1 row ",75,"; edit the input before running."),_xlfn.CONCAT("char ",TRIM($B75),"[doc_universe] ",CHAR(96),CHAR(34),SUBSTITUTE(SUBSTITUTE(SUBSTITUTE(SUBSTITUTE(SUBSTITUTE(SUBSTITUTE($G75,CHAR(13)," "),CHAR(10)," "),CHAR(9)," "),CHAR(92),_xlfn.CONCAT(CHAR(92),CHAR(92))),"$",_xlfn.CONCAT(CHAR(92),"$")),CHAR(96),_xlfn.CONCAT(CHAR(92),CHAR(96))),CHAR(34),CHAR(39))))</f>
        <v/>
      </c>
      <c r="R75" s="5" t="str">
        <f>IF(OR(TRIM($B75)="",$H75=""),"",IF(OR(ISNUMBER(SEARCH(_xlfn.CONCAT(CHAR(96),CHAR(34)),$H75)),ISNUMBER(SEARCH(_xlfn.CONCAT(CHAR(34),CHAR(39)),$H75))),_xlfn.CONCAT("* REVIEW REQUIRED: compound-quote delimiter in Source on Sheet 1 row ",75,"; edit the input before running."),_xlfn.CONCAT("char ",TRIM($B75),"[doc_source] ",CHAR(96),CHAR(34),SUBSTITUTE(SUBSTITUTE(SUBSTITUTE(SUBSTITUTE(SUBSTITUTE(SUBSTITUTE($H75,CHAR(13)," "),CHAR(10)," "),CHAR(9)," "),CHAR(92),_xlfn.CONCAT(CHAR(92),CHAR(92))),"$",_xlfn.CONCAT(CHAR(92),"$")),CHAR(96),_xlfn.CONCAT(CHAR(92),CHAR(96))),CHAR(34),CHAR(39))))</f>
        <v/>
      </c>
      <c r="S75" s="5" t="str">
        <f>IF(OR(TRIM($B75)="",$I75=""),"",IF(OR(ISNUMBER(SEARCH(_xlfn.CONCAT(CHAR(96),CHAR(34)),$I75)),ISNUMBER(SEARCH(_xlfn.CONCAT(CHAR(34),CHAR(39)),$I75))),_xlfn.CONCAT("* REVIEW REQUIRED: compound-quote delimiter in Derivation on Sheet 1 row ",75,"; edit the input before running."),_xlfn.CONCAT("char ",TRIM($B75),"[doc_derivation] ",CHAR(96),CHAR(34),SUBSTITUTE(SUBSTITUTE(SUBSTITUTE(SUBSTITUTE(SUBSTITUTE(SUBSTITUTE($I75,CHAR(13)," "),CHAR(10)," "),CHAR(9)," "),CHAR(92),_xlfn.CONCAT(CHAR(92),CHAR(92))),"$",_xlfn.CONCAT(CHAR(92),"$")),CHAR(96),_xlfn.CONCAT(CHAR(92),CHAR(96))),CHAR(34),CHAR(39))))</f>
        <v/>
      </c>
      <c r="T75" s="5" t="str">
        <f>IF(OR(TRIM($B75)="",$J75=""),"",IF(OR(ISNUMBER(SEARCH(_xlfn.CONCAT(CHAR(96),CHAR(34)),$J75)),ISNUMBER(SEARCH(_xlfn.CONCAT(CHAR(34),CHAR(39)),$J75))),_xlfn.CONCAT("* REVIEW REQUIRED: compound-quote delimiter in Notes on Sheet 1 row ",75,"; edit the input before running."),_xlfn.CONCAT("char ",TRIM($B75),"[doc_notes] ",CHAR(96),CHAR(34),SUBSTITUTE(SUBSTITUTE(SUBSTITUTE(SUBSTITUTE(SUBSTITUTE(SUBSTITUTE($J75,CHAR(13)," "),CHAR(10)," "),CHAR(9)," "),CHAR(92),_xlfn.CONCAT(CHAR(92),CHAR(92))),"$",_xlfn.CONCAT(CHAR(92),"$")),CHAR(96),_xlfn.CONCAT(CHAR(92),CHAR(96))),CHAR(34),CHAR(39))))</f>
        <v/>
      </c>
      <c r="U75" s="5">
        <f t="shared" si="1"/>
        <v>0</v>
      </c>
    </row>
    <row r="76" spans="3:21" ht="30" customHeight="1" x14ac:dyDescent="0.2">
      <c r="C76" s="4"/>
      <c r="K76" s="5">
        <f t="shared" si="0"/>
        <v>0</v>
      </c>
      <c r="L76" s="5" t="str">
        <f>IF(OR(TRIM($B76)="",$A76=""),"",IF(OR(ISNUMBER(SEARCH(_xlfn.CONCAT(CHAR(96),CHAR(34)),$A76)),ISNUMBER(SEARCH(_xlfn.CONCAT(CHAR(34),CHAR(39)),$A76))),_xlfn.CONCAT("* REVIEW REQUIRED: compound-quote delimiter in Codebook Section on Sheet 1 row ",76,"; edit the input before running."),_xlfn.CONCAT("char ",TRIM($B76),"[doc_section] ",CHAR(96),CHAR(34),SUBSTITUTE(SUBSTITUTE(SUBSTITUTE(SUBSTITUTE(SUBSTITUTE(SUBSTITUTE($A76,CHAR(13)," "),CHAR(10)," "),CHAR(9)," "),CHAR(92),_xlfn.CONCAT(CHAR(92),CHAR(92))),"$",_xlfn.CONCAT(CHAR(92),"$")),CHAR(96),_xlfn.CONCAT(CHAR(92),CHAR(96))),CHAR(34),CHAR(39))))</f>
        <v/>
      </c>
      <c r="M76" s="5" t="str">
        <f>IF(OR(TRIM($B76)="",$C76=""),"",IF(IFERROR(MATCH(TRIM($C76),{"Quantitative","Continuous","Discrete","Categorical","Nominal","Ordinal","Identifier"},0),0)=0,_xlfn.CONCAT("* REVIEW REQUIRED: invalid Variable Type on Sheet 1 row ",76,"."),_xlfn.CONCAT("char ",TRIM($B76),"[doc_vartype] ",CHAR(96),CHAR(34),SUBSTITUTE(SUBSTITUTE(SUBSTITUTE(SUBSTITUTE(SUBSTITUTE(SUBSTITUTE(LOWER(TRIM($C76)),CHAR(13)," "),CHAR(10)," "),CHAR(9)," "),CHAR(92),_xlfn.CONCAT(CHAR(92),CHAR(92))),"$",_xlfn.CONCAT(CHAR(92),"$")),CHAR(96),_xlfn.CONCAT(CHAR(92),CHAR(96))),CHAR(34),CHAR(39))))</f>
        <v/>
      </c>
      <c r="N76" s="5" t="str">
        <f>IF(OR(TRIM($B76)="",$D76=""),"",IF(OR(ISNUMBER(SEARCH(_xlfn.CONCAT(CHAR(96),CHAR(34)),$D76)),ISNUMBER(SEARCH(_xlfn.CONCAT(CHAR(34),CHAR(39)),$D76))),_xlfn.CONCAT("* REVIEW REQUIRED: compound-quote delimiter in Item Number on Sheet 1 row ",76,"; edit the input before running."),_xlfn.CONCAT("char ",TRIM($B76),"[doc_itemnum] ",CHAR(96),CHAR(34),SUBSTITUTE(SUBSTITUTE(SUBSTITUTE(SUBSTITUTE(SUBSTITUTE(SUBSTITUTE($D76,CHAR(13)," "),CHAR(10)," "),CHAR(9)," "),CHAR(92),_xlfn.CONCAT(CHAR(92),CHAR(92))),"$",_xlfn.CONCAT(CHAR(92),"$")),CHAR(96),_xlfn.CONCAT(CHAR(92),CHAR(96))),CHAR(34),CHAR(39))))</f>
        <v/>
      </c>
      <c r="O76" s="5" t="str">
        <f>IF(OR(TRIM($B76)="",$E76=""),"",IF(OR(ISNUMBER(SEARCH(_xlfn.CONCAT(CHAR(96),CHAR(34)),$E76)),ISNUMBER(SEARCH(_xlfn.CONCAT(CHAR(34),CHAR(39)),$E76))),_xlfn.CONCAT("* REVIEW REQUIRED: compound-quote delimiter in Question Wording on Sheet 1 row ",76,"; edit the input before running."),_xlfn.CONCAT("char ",TRIM($B76),"[doc_question] ",CHAR(96),CHAR(34),SUBSTITUTE(SUBSTITUTE(SUBSTITUTE(SUBSTITUTE(SUBSTITUTE(SUBSTITUTE($E76,CHAR(13)," "),CHAR(10)," "),CHAR(9)," "),CHAR(92),_xlfn.CONCAT(CHAR(92),CHAR(92))),"$",_xlfn.CONCAT(CHAR(92),"$")),CHAR(96),_xlfn.CONCAT(CHAR(92),CHAR(96))),CHAR(34),CHAR(39))))</f>
        <v/>
      </c>
      <c r="P76" s="5" t="str">
        <f>IF(OR(TRIM($B76)="",$F76=""),"",IF(OR(ISNUMBER(SEARCH(_xlfn.CONCAT(CHAR(96),CHAR(34)),$F76)),ISNUMBER(SEARCH(_xlfn.CONCAT(CHAR(34),CHAR(39)),$F76))),_xlfn.CONCAT("* REVIEW REQUIRED: compound-quote delimiter in Units on Sheet 1 row ",76,"; edit the input before running."),_xlfn.CONCAT("char ",TRIM($B76),"[doc_units] ",CHAR(96),CHAR(34),SUBSTITUTE(SUBSTITUTE(SUBSTITUTE(SUBSTITUTE(SUBSTITUTE(SUBSTITUTE($F76,CHAR(13)," "),CHAR(10)," "),CHAR(9)," "),CHAR(92),_xlfn.CONCAT(CHAR(92),CHAR(92))),"$",_xlfn.CONCAT(CHAR(92),"$")),CHAR(96),_xlfn.CONCAT(CHAR(92),CHAR(96))),CHAR(34),CHAR(39))))</f>
        <v/>
      </c>
      <c r="Q76" s="5" t="str">
        <f>IF(OR(TRIM($B76)="",$G76=""),"",IF(OR(ISNUMBER(SEARCH(_xlfn.CONCAT(CHAR(96),CHAR(34)),$G76)),ISNUMBER(SEARCH(_xlfn.CONCAT(CHAR(34),CHAR(39)),$G76))),_xlfn.CONCAT("* REVIEW REQUIRED: compound-quote delimiter in Universe on Sheet 1 row ",76,"; edit the input before running."),_xlfn.CONCAT("char ",TRIM($B76),"[doc_universe] ",CHAR(96),CHAR(34),SUBSTITUTE(SUBSTITUTE(SUBSTITUTE(SUBSTITUTE(SUBSTITUTE(SUBSTITUTE($G76,CHAR(13)," "),CHAR(10)," "),CHAR(9)," "),CHAR(92),_xlfn.CONCAT(CHAR(92),CHAR(92))),"$",_xlfn.CONCAT(CHAR(92),"$")),CHAR(96),_xlfn.CONCAT(CHAR(92),CHAR(96))),CHAR(34),CHAR(39))))</f>
        <v/>
      </c>
      <c r="R76" s="5" t="str">
        <f>IF(OR(TRIM($B76)="",$H76=""),"",IF(OR(ISNUMBER(SEARCH(_xlfn.CONCAT(CHAR(96),CHAR(34)),$H76)),ISNUMBER(SEARCH(_xlfn.CONCAT(CHAR(34),CHAR(39)),$H76))),_xlfn.CONCAT("* REVIEW REQUIRED: compound-quote delimiter in Source on Sheet 1 row ",76,"; edit the input before running."),_xlfn.CONCAT("char ",TRIM($B76),"[doc_source] ",CHAR(96),CHAR(34),SUBSTITUTE(SUBSTITUTE(SUBSTITUTE(SUBSTITUTE(SUBSTITUTE(SUBSTITUTE($H76,CHAR(13)," "),CHAR(10)," "),CHAR(9)," "),CHAR(92),_xlfn.CONCAT(CHAR(92),CHAR(92))),"$",_xlfn.CONCAT(CHAR(92),"$")),CHAR(96),_xlfn.CONCAT(CHAR(92),CHAR(96))),CHAR(34),CHAR(39))))</f>
        <v/>
      </c>
      <c r="S76" s="5" t="str">
        <f>IF(OR(TRIM($B76)="",$I76=""),"",IF(OR(ISNUMBER(SEARCH(_xlfn.CONCAT(CHAR(96),CHAR(34)),$I76)),ISNUMBER(SEARCH(_xlfn.CONCAT(CHAR(34),CHAR(39)),$I76))),_xlfn.CONCAT("* REVIEW REQUIRED: compound-quote delimiter in Derivation on Sheet 1 row ",76,"; edit the input before running."),_xlfn.CONCAT("char ",TRIM($B76),"[doc_derivation] ",CHAR(96),CHAR(34),SUBSTITUTE(SUBSTITUTE(SUBSTITUTE(SUBSTITUTE(SUBSTITUTE(SUBSTITUTE($I76,CHAR(13)," "),CHAR(10)," "),CHAR(9)," "),CHAR(92),_xlfn.CONCAT(CHAR(92),CHAR(92))),"$",_xlfn.CONCAT(CHAR(92),"$")),CHAR(96),_xlfn.CONCAT(CHAR(92),CHAR(96))),CHAR(34),CHAR(39))))</f>
        <v/>
      </c>
      <c r="T76" s="5" t="str">
        <f>IF(OR(TRIM($B76)="",$J76=""),"",IF(OR(ISNUMBER(SEARCH(_xlfn.CONCAT(CHAR(96),CHAR(34)),$J76)),ISNUMBER(SEARCH(_xlfn.CONCAT(CHAR(34),CHAR(39)),$J76))),_xlfn.CONCAT("* REVIEW REQUIRED: compound-quote delimiter in Notes on Sheet 1 row ",76,"; edit the input before running."),_xlfn.CONCAT("char ",TRIM($B76),"[doc_notes] ",CHAR(96),CHAR(34),SUBSTITUTE(SUBSTITUTE(SUBSTITUTE(SUBSTITUTE(SUBSTITUTE(SUBSTITUTE($J76,CHAR(13)," "),CHAR(10)," "),CHAR(9)," "),CHAR(92),_xlfn.CONCAT(CHAR(92),CHAR(92))),"$",_xlfn.CONCAT(CHAR(92),"$")),CHAR(96),_xlfn.CONCAT(CHAR(92),CHAR(96))),CHAR(34),CHAR(39))))</f>
        <v/>
      </c>
      <c r="U76" s="5">
        <f t="shared" si="1"/>
        <v>0</v>
      </c>
    </row>
    <row r="77" spans="3:21" ht="30" customHeight="1" x14ac:dyDescent="0.2">
      <c r="C77" s="4"/>
      <c r="K77" s="5">
        <f t="shared" si="0"/>
        <v>0</v>
      </c>
      <c r="L77" s="5" t="str">
        <f>IF(OR(TRIM($B77)="",$A77=""),"",IF(OR(ISNUMBER(SEARCH(_xlfn.CONCAT(CHAR(96),CHAR(34)),$A77)),ISNUMBER(SEARCH(_xlfn.CONCAT(CHAR(34),CHAR(39)),$A77))),_xlfn.CONCAT("* REVIEW REQUIRED: compound-quote delimiter in Codebook Section on Sheet 1 row ",77,"; edit the input before running."),_xlfn.CONCAT("char ",TRIM($B77),"[doc_section] ",CHAR(96),CHAR(34),SUBSTITUTE(SUBSTITUTE(SUBSTITUTE(SUBSTITUTE(SUBSTITUTE(SUBSTITUTE($A77,CHAR(13)," "),CHAR(10)," "),CHAR(9)," "),CHAR(92),_xlfn.CONCAT(CHAR(92),CHAR(92))),"$",_xlfn.CONCAT(CHAR(92),"$")),CHAR(96),_xlfn.CONCAT(CHAR(92),CHAR(96))),CHAR(34),CHAR(39))))</f>
        <v/>
      </c>
      <c r="M77" s="5" t="str">
        <f>IF(OR(TRIM($B77)="",$C77=""),"",IF(IFERROR(MATCH(TRIM($C77),{"Quantitative","Continuous","Discrete","Categorical","Nominal","Ordinal","Identifier"},0),0)=0,_xlfn.CONCAT("* REVIEW REQUIRED: invalid Variable Type on Sheet 1 row ",77,"."),_xlfn.CONCAT("char ",TRIM($B77),"[doc_vartype] ",CHAR(96),CHAR(34),SUBSTITUTE(SUBSTITUTE(SUBSTITUTE(SUBSTITUTE(SUBSTITUTE(SUBSTITUTE(LOWER(TRIM($C77)),CHAR(13)," "),CHAR(10)," "),CHAR(9)," "),CHAR(92),_xlfn.CONCAT(CHAR(92),CHAR(92))),"$",_xlfn.CONCAT(CHAR(92),"$")),CHAR(96),_xlfn.CONCAT(CHAR(92),CHAR(96))),CHAR(34),CHAR(39))))</f>
        <v/>
      </c>
      <c r="N77" s="5" t="str">
        <f>IF(OR(TRIM($B77)="",$D77=""),"",IF(OR(ISNUMBER(SEARCH(_xlfn.CONCAT(CHAR(96),CHAR(34)),$D77)),ISNUMBER(SEARCH(_xlfn.CONCAT(CHAR(34),CHAR(39)),$D77))),_xlfn.CONCAT("* REVIEW REQUIRED: compound-quote delimiter in Item Number on Sheet 1 row ",77,"; edit the input before running."),_xlfn.CONCAT("char ",TRIM($B77),"[doc_itemnum] ",CHAR(96),CHAR(34),SUBSTITUTE(SUBSTITUTE(SUBSTITUTE(SUBSTITUTE(SUBSTITUTE(SUBSTITUTE($D77,CHAR(13)," "),CHAR(10)," "),CHAR(9)," "),CHAR(92),_xlfn.CONCAT(CHAR(92),CHAR(92))),"$",_xlfn.CONCAT(CHAR(92),"$")),CHAR(96),_xlfn.CONCAT(CHAR(92),CHAR(96))),CHAR(34),CHAR(39))))</f>
        <v/>
      </c>
      <c r="O77" s="5" t="str">
        <f>IF(OR(TRIM($B77)="",$E77=""),"",IF(OR(ISNUMBER(SEARCH(_xlfn.CONCAT(CHAR(96),CHAR(34)),$E77)),ISNUMBER(SEARCH(_xlfn.CONCAT(CHAR(34),CHAR(39)),$E77))),_xlfn.CONCAT("* REVIEW REQUIRED: compound-quote delimiter in Question Wording on Sheet 1 row ",77,"; edit the input before running."),_xlfn.CONCAT("char ",TRIM($B77),"[doc_question] ",CHAR(96),CHAR(34),SUBSTITUTE(SUBSTITUTE(SUBSTITUTE(SUBSTITUTE(SUBSTITUTE(SUBSTITUTE($E77,CHAR(13)," "),CHAR(10)," "),CHAR(9)," "),CHAR(92),_xlfn.CONCAT(CHAR(92),CHAR(92))),"$",_xlfn.CONCAT(CHAR(92),"$")),CHAR(96),_xlfn.CONCAT(CHAR(92),CHAR(96))),CHAR(34),CHAR(39))))</f>
        <v/>
      </c>
      <c r="P77" s="5" t="str">
        <f>IF(OR(TRIM($B77)="",$F77=""),"",IF(OR(ISNUMBER(SEARCH(_xlfn.CONCAT(CHAR(96),CHAR(34)),$F77)),ISNUMBER(SEARCH(_xlfn.CONCAT(CHAR(34),CHAR(39)),$F77))),_xlfn.CONCAT("* REVIEW REQUIRED: compound-quote delimiter in Units on Sheet 1 row ",77,"; edit the input before running."),_xlfn.CONCAT("char ",TRIM($B77),"[doc_units] ",CHAR(96),CHAR(34),SUBSTITUTE(SUBSTITUTE(SUBSTITUTE(SUBSTITUTE(SUBSTITUTE(SUBSTITUTE($F77,CHAR(13)," "),CHAR(10)," "),CHAR(9)," "),CHAR(92),_xlfn.CONCAT(CHAR(92),CHAR(92))),"$",_xlfn.CONCAT(CHAR(92),"$")),CHAR(96),_xlfn.CONCAT(CHAR(92),CHAR(96))),CHAR(34),CHAR(39))))</f>
        <v/>
      </c>
      <c r="Q77" s="5" t="str">
        <f>IF(OR(TRIM($B77)="",$G77=""),"",IF(OR(ISNUMBER(SEARCH(_xlfn.CONCAT(CHAR(96),CHAR(34)),$G77)),ISNUMBER(SEARCH(_xlfn.CONCAT(CHAR(34),CHAR(39)),$G77))),_xlfn.CONCAT("* REVIEW REQUIRED: compound-quote delimiter in Universe on Sheet 1 row ",77,"; edit the input before running."),_xlfn.CONCAT("char ",TRIM($B77),"[doc_universe] ",CHAR(96),CHAR(34),SUBSTITUTE(SUBSTITUTE(SUBSTITUTE(SUBSTITUTE(SUBSTITUTE(SUBSTITUTE($G77,CHAR(13)," "),CHAR(10)," "),CHAR(9)," "),CHAR(92),_xlfn.CONCAT(CHAR(92),CHAR(92))),"$",_xlfn.CONCAT(CHAR(92),"$")),CHAR(96),_xlfn.CONCAT(CHAR(92),CHAR(96))),CHAR(34),CHAR(39))))</f>
        <v/>
      </c>
      <c r="R77" s="5" t="str">
        <f>IF(OR(TRIM($B77)="",$H77=""),"",IF(OR(ISNUMBER(SEARCH(_xlfn.CONCAT(CHAR(96),CHAR(34)),$H77)),ISNUMBER(SEARCH(_xlfn.CONCAT(CHAR(34),CHAR(39)),$H77))),_xlfn.CONCAT("* REVIEW REQUIRED: compound-quote delimiter in Source on Sheet 1 row ",77,"; edit the input before running."),_xlfn.CONCAT("char ",TRIM($B77),"[doc_source] ",CHAR(96),CHAR(34),SUBSTITUTE(SUBSTITUTE(SUBSTITUTE(SUBSTITUTE(SUBSTITUTE(SUBSTITUTE($H77,CHAR(13)," "),CHAR(10)," "),CHAR(9)," "),CHAR(92),_xlfn.CONCAT(CHAR(92),CHAR(92))),"$",_xlfn.CONCAT(CHAR(92),"$")),CHAR(96),_xlfn.CONCAT(CHAR(92),CHAR(96))),CHAR(34),CHAR(39))))</f>
        <v/>
      </c>
      <c r="S77" s="5" t="str">
        <f>IF(OR(TRIM($B77)="",$I77=""),"",IF(OR(ISNUMBER(SEARCH(_xlfn.CONCAT(CHAR(96),CHAR(34)),$I77)),ISNUMBER(SEARCH(_xlfn.CONCAT(CHAR(34),CHAR(39)),$I77))),_xlfn.CONCAT("* REVIEW REQUIRED: compound-quote delimiter in Derivation on Sheet 1 row ",77,"; edit the input before running."),_xlfn.CONCAT("char ",TRIM($B77),"[doc_derivation] ",CHAR(96),CHAR(34),SUBSTITUTE(SUBSTITUTE(SUBSTITUTE(SUBSTITUTE(SUBSTITUTE(SUBSTITUTE($I77,CHAR(13)," "),CHAR(10)," "),CHAR(9)," "),CHAR(92),_xlfn.CONCAT(CHAR(92),CHAR(92))),"$",_xlfn.CONCAT(CHAR(92),"$")),CHAR(96),_xlfn.CONCAT(CHAR(92),CHAR(96))),CHAR(34),CHAR(39))))</f>
        <v/>
      </c>
      <c r="T77" s="5" t="str">
        <f>IF(OR(TRIM($B77)="",$J77=""),"",IF(OR(ISNUMBER(SEARCH(_xlfn.CONCAT(CHAR(96),CHAR(34)),$J77)),ISNUMBER(SEARCH(_xlfn.CONCAT(CHAR(34),CHAR(39)),$J77))),_xlfn.CONCAT("* REVIEW REQUIRED: compound-quote delimiter in Notes on Sheet 1 row ",77,"; edit the input before running."),_xlfn.CONCAT("char ",TRIM($B77),"[doc_notes] ",CHAR(96),CHAR(34),SUBSTITUTE(SUBSTITUTE(SUBSTITUTE(SUBSTITUTE(SUBSTITUTE(SUBSTITUTE($J77,CHAR(13)," "),CHAR(10)," "),CHAR(9)," "),CHAR(92),_xlfn.CONCAT(CHAR(92),CHAR(92))),"$",_xlfn.CONCAT(CHAR(92),"$")),CHAR(96),_xlfn.CONCAT(CHAR(92),CHAR(96))),CHAR(34),CHAR(39))))</f>
        <v/>
      </c>
      <c r="U77" s="5">
        <f t="shared" si="1"/>
        <v>0</v>
      </c>
    </row>
    <row r="78" spans="3:21" ht="30" customHeight="1" x14ac:dyDescent="0.2">
      <c r="C78" s="4"/>
      <c r="K78" s="5">
        <f t="shared" si="0"/>
        <v>0</v>
      </c>
      <c r="L78" s="5" t="str">
        <f>IF(OR(TRIM($B78)="",$A78=""),"",IF(OR(ISNUMBER(SEARCH(_xlfn.CONCAT(CHAR(96),CHAR(34)),$A78)),ISNUMBER(SEARCH(_xlfn.CONCAT(CHAR(34),CHAR(39)),$A78))),_xlfn.CONCAT("* REVIEW REQUIRED: compound-quote delimiter in Codebook Section on Sheet 1 row ",78,"; edit the input before running."),_xlfn.CONCAT("char ",TRIM($B78),"[doc_section] ",CHAR(96),CHAR(34),SUBSTITUTE(SUBSTITUTE(SUBSTITUTE(SUBSTITUTE(SUBSTITUTE(SUBSTITUTE($A78,CHAR(13)," "),CHAR(10)," "),CHAR(9)," "),CHAR(92),_xlfn.CONCAT(CHAR(92),CHAR(92))),"$",_xlfn.CONCAT(CHAR(92),"$")),CHAR(96),_xlfn.CONCAT(CHAR(92),CHAR(96))),CHAR(34),CHAR(39))))</f>
        <v/>
      </c>
      <c r="M78" s="5" t="str">
        <f>IF(OR(TRIM($B78)="",$C78=""),"",IF(IFERROR(MATCH(TRIM($C78),{"Quantitative","Continuous","Discrete","Categorical","Nominal","Ordinal","Identifier"},0),0)=0,_xlfn.CONCAT("* REVIEW REQUIRED: invalid Variable Type on Sheet 1 row ",78,"."),_xlfn.CONCAT("char ",TRIM($B78),"[doc_vartype] ",CHAR(96),CHAR(34),SUBSTITUTE(SUBSTITUTE(SUBSTITUTE(SUBSTITUTE(SUBSTITUTE(SUBSTITUTE(LOWER(TRIM($C78)),CHAR(13)," "),CHAR(10)," "),CHAR(9)," "),CHAR(92),_xlfn.CONCAT(CHAR(92),CHAR(92))),"$",_xlfn.CONCAT(CHAR(92),"$")),CHAR(96),_xlfn.CONCAT(CHAR(92),CHAR(96))),CHAR(34),CHAR(39))))</f>
        <v/>
      </c>
      <c r="N78" s="5" t="str">
        <f>IF(OR(TRIM($B78)="",$D78=""),"",IF(OR(ISNUMBER(SEARCH(_xlfn.CONCAT(CHAR(96),CHAR(34)),$D78)),ISNUMBER(SEARCH(_xlfn.CONCAT(CHAR(34),CHAR(39)),$D78))),_xlfn.CONCAT("* REVIEW REQUIRED: compound-quote delimiter in Item Number on Sheet 1 row ",78,"; edit the input before running."),_xlfn.CONCAT("char ",TRIM($B78),"[doc_itemnum] ",CHAR(96),CHAR(34),SUBSTITUTE(SUBSTITUTE(SUBSTITUTE(SUBSTITUTE(SUBSTITUTE(SUBSTITUTE($D78,CHAR(13)," "),CHAR(10)," "),CHAR(9)," "),CHAR(92),_xlfn.CONCAT(CHAR(92),CHAR(92))),"$",_xlfn.CONCAT(CHAR(92),"$")),CHAR(96),_xlfn.CONCAT(CHAR(92),CHAR(96))),CHAR(34),CHAR(39))))</f>
        <v/>
      </c>
      <c r="O78" s="5" t="str">
        <f>IF(OR(TRIM($B78)="",$E78=""),"",IF(OR(ISNUMBER(SEARCH(_xlfn.CONCAT(CHAR(96),CHAR(34)),$E78)),ISNUMBER(SEARCH(_xlfn.CONCAT(CHAR(34),CHAR(39)),$E78))),_xlfn.CONCAT("* REVIEW REQUIRED: compound-quote delimiter in Question Wording on Sheet 1 row ",78,"; edit the input before running."),_xlfn.CONCAT("char ",TRIM($B78),"[doc_question] ",CHAR(96),CHAR(34),SUBSTITUTE(SUBSTITUTE(SUBSTITUTE(SUBSTITUTE(SUBSTITUTE(SUBSTITUTE($E78,CHAR(13)," "),CHAR(10)," "),CHAR(9)," "),CHAR(92),_xlfn.CONCAT(CHAR(92),CHAR(92))),"$",_xlfn.CONCAT(CHAR(92),"$")),CHAR(96),_xlfn.CONCAT(CHAR(92),CHAR(96))),CHAR(34),CHAR(39))))</f>
        <v/>
      </c>
      <c r="P78" s="5" t="str">
        <f>IF(OR(TRIM($B78)="",$F78=""),"",IF(OR(ISNUMBER(SEARCH(_xlfn.CONCAT(CHAR(96),CHAR(34)),$F78)),ISNUMBER(SEARCH(_xlfn.CONCAT(CHAR(34),CHAR(39)),$F78))),_xlfn.CONCAT("* REVIEW REQUIRED: compound-quote delimiter in Units on Sheet 1 row ",78,"; edit the input before running."),_xlfn.CONCAT("char ",TRIM($B78),"[doc_units] ",CHAR(96),CHAR(34),SUBSTITUTE(SUBSTITUTE(SUBSTITUTE(SUBSTITUTE(SUBSTITUTE(SUBSTITUTE($F78,CHAR(13)," "),CHAR(10)," "),CHAR(9)," "),CHAR(92),_xlfn.CONCAT(CHAR(92),CHAR(92))),"$",_xlfn.CONCAT(CHAR(92),"$")),CHAR(96),_xlfn.CONCAT(CHAR(92),CHAR(96))),CHAR(34),CHAR(39))))</f>
        <v/>
      </c>
      <c r="Q78" s="5" t="str">
        <f>IF(OR(TRIM($B78)="",$G78=""),"",IF(OR(ISNUMBER(SEARCH(_xlfn.CONCAT(CHAR(96),CHAR(34)),$G78)),ISNUMBER(SEARCH(_xlfn.CONCAT(CHAR(34),CHAR(39)),$G78))),_xlfn.CONCAT("* REVIEW REQUIRED: compound-quote delimiter in Universe on Sheet 1 row ",78,"; edit the input before running."),_xlfn.CONCAT("char ",TRIM($B78),"[doc_universe] ",CHAR(96),CHAR(34),SUBSTITUTE(SUBSTITUTE(SUBSTITUTE(SUBSTITUTE(SUBSTITUTE(SUBSTITUTE($G78,CHAR(13)," "),CHAR(10)," "),CHAR(9)," "),CHAR(92),_xlfn.CONCAT(CHAR(92),CHAR(92))),"$",_xlfn.CONCAT(CHAR(92),"$")),CHAR(96),_xlfn.CONCAT(CHAR(92),CHAR(96))),CHAR(34),CHAR(39))))</f>
        <v/>
      </c>
      <c r="R78" s="5" t="str">
        <f>IF(OR(TRIM($B78)="",$H78=""),"",IF(OR(ISNUMBER(SEARCH(_xlfn.CONCAT(CHAR(96),CHAR(34)),$H78)),ISNUMBER(SEARCH(_xlfn.CONCAT(CHAR(34),CHAR(39)),$H78))),_xlfn.CONCAT("* REVIEW REQUIRED: compound-quote delimiter in Source on Sheet 1 row ",78,"; edit the input before running."),_xlfn.CONCAT("char ",TRIM($B78),"[doc_source] ",CHAR(96),CHAR(34),SUBSTITUTE(SUBSTITUTE(SUBSTITUTE(SUBSTITUTE(SUBSTITUTE(SUBSTITUTE($H78,CHAR(13)," "),CHAR(10)," "),CHAR(9)," "),CHAR(92),_xlfn.CONCAT(CHAR(92),CHAR(92))),"$",_xlfn.CONCAT(CHAR(92),"$")),CHAR(96),_xlfn.CONCAT(CHAR(92),CHAR(96))),CHAR(34),CHAR(39))))</f>
        <v/>
      </c>
      <c r="S78" s="5" t="str">
        <f>IF(OR(TRIM($B78)="",$I78=""),"",IF(OR(ISNUMBER(SEARCH(_xlfn.CONCAT(CHAR(96),CHAR(34)),$I78)),ISNUMBER(SEARCH(_xlfn.CONCAT(CHAR(34),CHAR(39)),$I78))),_xlfn.CONCAT("* REVIEW REQUIRED: compound-quote delimiter in Derivation on Sheet 1 row ",78,"; edit the input before running."),_xlfn.CONCAT("char ",TRIM($B78),"[doc_derivation] ",CHAR(96),CHAR(34),SUBSTITUTE(SUBSTITUTE(SUBSTITUTE(SUBSTITUTE(SUBSTITUTE(SUBSTITUTE($I78,CHAR(13)," "),CHAR(10)," "),CHAR(9)," "),CHAR(92),_xlfn.CONCAT(CHAR(92),CHAR(92))),"$",_xlfn.CONCAT(CHAR(92),"$")),CHAR(96),_xlfn.CONCAT(CHAR(92),CHAR(96))),CHAR(34),CHAR(39))))</f>
        <v/>
      </c>
      <c r="T78" s="5" t="str">
        <f>IF(OR(TRIM($B78)="",$J78=""),"",IF(OR(ISNUMBER(SEARCH(_xlfn.CONCAT(CHAR(96),CHAR(34)),$J78)),ISNUMBER(SEARCH(_xlfn.CONCAT(CHAR(34),CHAR(39)),$J78))),_xlfn.CONCAT("* REVIEW REQUIRED: compound-quote delimiter in Notes on Sheet 1 row ",78,"; edit the input before running."),_xlfn.CONCAT("char ",TRIM($B78),"[doc_notes] ",CHAR(96),CHAR(34),SUBSTITUTE(SUBSTITUTE(SUBSTITUTE(SUBSTITUTE(SUBSTITUTE(SUBSTITUTE($J78,CHAR(13)," "),CHAR(10)," "),CHAR(9)," "),CHAR(92),_xlfn.CONCAT(CHAR(92),CHAR(92))),"$",_xlfn.CONCAT(CHAR(92),"$")),CHAR(96),_xlfn.CONCAT(CHAR(92),CHAR(96))),CHAR(34),CHAR(39))))</f>
        <v/>
      </c>
      <c r="U78" s="5">
        <f t="shared" si="1"/>
        <v>0</v>
      </c>
    </row>
    <row r="79" spans="3:21" ht="30" customHeight="1" x14ac:dyDescent="0.2">
      <c r="C79" s="4"/>
      <c r="K79" s="5">
        <f t="shared" si="0"/>
        <v>0</v>
      </c>
      <c r="L79" s="5" t="str">
        <f>IF(OR(TRIM($B79)="",$A79=""),"",IF(OR(ISNUMBER(SEARCH(_xlfn.CONCAT(CHAR(96),CHAR(34)),$A79)),ISNUMBER(SEARCH(_xlfn.CONCAT(CHAR(34),CHAR(39)),$A79))),_xlfn.CONCAT("* REVIEW REQUIRED: compound-quote delimiter in Codebook Section on Sheet 1 row ",79,"; edit the input before running."),_xlfn.CONCAT("char ",TRIM($B79),"[doc_section] ",CHAR(96),CHAR(34),SUBSTITUTE(SUBSTITUTE(SUBSTITUTE(SUBSTITUTE(SUBSTITUTE(SUBSTITUTE($A79,CHAR(13)," "),CHAR(10)," "),CHAR(9)," "),CHAR(92),_xlfn.CONCAT(CHAR(92),CHAR(92))),"$",_xlfn.CONCAT(CHAR(92),"$")),CHAR(96),_xlfn.CONCAT(CHAR(92),CHAR(96))),CHAR(34),CHAR(39))))</f>
        <v/>
      </c>
      <c r="M79" s="5" t="str">
        <f>IF(OR(TRIM($B79)="",$C79=""),"",IF(IFERROR(MATCH(TRIM($C79),{"Quantitative","Continuous","Discrete","Categorical","Nominal","Ordinal","Identifier"},0),0)=0,_xlfn.CONCAT("* REVIEW REQUIRED: invalid Variable Type on Sheet 1 row ",79,"."),_xlfn.CONCAT("char ",TRIM($B79),"[doc_vartype] ",CHAR(96),CHAR(34),SUBSTITUTE(SUBSTITUTE(SUBSTITUTE(SUBSTITUTE(SUBSTITUTE(SUBSTITUTE(LOWER(TRIM($C79)),CHAR(13)," "),CHAR(10)," "),CHAR(9)," "),CHAR(92),_xlfn.CONCAT(CHAR(92),CHAR(92))),"$",_xlfn.CONCAT(CHAR(92),"$")),CHAR(96),_xlfn.CONCAT(CHAR(92),CHAR(96))),CHAR(34),CHAR(39))))</f>
        <v/>
      </c>
      <c r="N79" s="5" t="str">
        <f>IF(OR(TRIM($B79)="",$D79=""),"",IF(OR(ISNUMBER(SEARCH(_xlfn.CONCAT(CHAR(96),CHAR(34)),$D79)),ISNUMBER(SEARCH(_xlfn.CONCAT(CHAR(34),CHAR(39)),$D79))),_xlfn.CONCAT("* REVIEW REQUIRED: compound-quote delimiter in Item Number on Sheet 1 row ",79,"; edit the input before running."),_xlfn.CONCAT("char ",TRIM($B79),"[doc_itemnum] ",CHAR(96),CHAR(34),SUBSTITUTE(SUBSTITUTE(SUBSTITUTE(SUBSTITUTE(SUBSTITUTE(SUBSTITUTE($D79,CHAR(13)," "),CHAR(10)," "),CHAR(9)," "),CHAR(92),_xlfn.CONCAT(CHAR(92),CHAR(92))),"$",_xlfn.CONCAT(CHAR(92),"$")),CHAR(96),_xlfn.CONCAT(CHAR(92),CHAR(96))),CHAR(34),CHAR(39))))</f>
        <v/>
      </c>
      <c r="O79" s="5" t="str">
        <f>IF(OR(TRIM($B79)="",$E79=""),"",IF(OR(ISNUMBER(SEARCH(_xlfn.CONCAT(CHAR(96),CHAR(34)),$E79)),ISNUMBER(SEARCH(_xlfn.CONCAT(CHAR(34),CHAR(39)),$E79))),_xlfn.CONCAT("* REVIEW REQUIRED: compound-quote delimiter in Question Wording on Sheet 1 row ",79,"; edit the input before running."),_xlfn.CONCAT("char ",TRIM($B79),"[doc_question] ",CHAR(96),CHAR(34),SUBSTITUTE(SUBSTITUTE(SUBSTITUTE(SUBSTITUTE(SUBSTITUTE(SUBSTITUTE($E79,CHAR(13)," "),CHAR(10)," "),CHAR(9)," "),CHAR(92),_xlfn.CONCAT(CHAR(92),CHAR(92))),"$",_xlfn.CONCAT(CHAR(92),"$")),CHAR(96),_xlfn.CONCAT(CHAR(92),CHAR(96))),CHAR(34),CHAR(39))))</f>
        <v/>
      </c>
      <c r="P79" s="5" t="str">
        <f>IF(OR(TRIM($B79)="",$F79=""),"",IF(OR(ISNUMBER(SEARCH(_xlfn.CONCAT(CHAR(96),CHAR(34)),$F79)),ISNUMBER(SEARCH(_xlfn.CONCAT(CHAR(34),CHAR(39)),$F79))),_xlfn.CONCAT("* REVIEW REQUIRED: compound-quote delimiter in Units on Sheet 1 row ",79,"; edit the input before running."),_xlfn.CONCAT("char ",TRIM($B79),"[doc_units] ",CHAR(96),CHAR(34),SUBSTITUTE(SUBSTITUTE(SUBSTITUTE(SUBSTITUTE(SUBSTITUTE(SUBSTITUTE($F79,CHAR(13)," "),CHAR(10)," "),CHAR(9)," "),CHAR(92),_xlfn.CONCAT(CHAR(92),CHAR(92))),"$",_xlfn.CONCAT(CHAR(92),"$")),CHAR(96),_xlfn.CONCAT(CHAR(92),CHAR(96))),CHAR(34),CHAR(39))))</f>
        <v/>
      </c>
      <c r="Q79" s="5" t="str">
        <f>IF(OR(TRIM($B79)="",$G79=""),"",IF(OR(ISNUMBER(SEARCH(_xlfn.CONCAT(CHAR(96),CHAR(34)),$G79)),ISNUMBER(SEARCH(_xlfn.CONCAT(CHAR(34),CHAR(39)),$G79))),_xlfn.CONCAT("* REVIEW REQUIRED: compound-quote delimiter in Universe on Sheet 1 row ",79,"; edit the input before running."),_xlfn.CONCAT("char ",TRIM($B79),"[doc_universe] ",CHAR(96),CHAR(34),SUBSTITUTE(SUBSTITUTE(SUBSTITUTE(SUBSTITUTE(SUBSTITUTE(SUBSTITUTE($G79,CHAR(13)," "),CHAR(10)," "),CHAR(9)," "),CHAR(92),_xlfn.CONCAT(CHAR(92),CHAR(92))),"$",_xlfn.CONCAT(CHAR(92),"$")),CHAR(96),_xlfn.CONCAT(CHAR(92),CHAR(96))),CHAR(34),CHAR(39))))</f>
        <v/>
      </c>
      <c r="R79" s="5" t="str">
        <f>IF(OR(TRIM($B79)="",$H79=""),"",IF(OR(ISNUMBER(SEARCH(_xlfn.CONCAT(CHAR(96),CHAR(34)),$H79)),ISNUMBER(SEARCH(_xlfn.CONCAT(CHAR(34),CHAR(39)),$H79))),_xlfn.CONCAT("* REVIEW REQUIRED: compound-quote delimiter in Source on Sheet 1 row ",79,"; edit the input before running."),_xlfn.CONCAT("char ",TRIM($B79),"[doc_source] ",CHAR(96),CHAR(34),SUBSTITUTE(SUBSTITUTE(SUBSTITUTE(SUBSTITUTE(SUBSTITUTE(SUBSTITUTE($H79,CHAR(13)," "),CHAR(10)," "),CHAR(9)," "),CHAR(92),_xlfn.CONCAT(CHAR(92),CHAR(92))),"$",_xlfn.CONCAT(CHAR(92),"$")),CHAR(96),_xlfn.CONCAT(CHAR(92),CHAR(96))),CHAR(34),CHAR(39))))</f>
        <v/>
      </c>
      <c r="S79" s="5" t="str">
        <f>IF(OR(TRIM($B79)="",$I79=""),"",IF(OR(ISNUMBER(SEARCH(_xlfn.CONCAT(CHAR(96),CHAR(34)),$I79)),ISNUMBER(SEARCH(_xlfn.CONCAT(CHAR(34),CHAR(39)),$I79))),_xlfn.CONCAT("* REVIEW REQUIRED: compound-quote delimiter in Derivation on Sheet 1 row ",79,"; edit the input before running."),_xlfn.CONCAT("char ",TRIM($B79),"[doc_derivation] ",CHAR(96),CHAR(34),SUBSTITUTE(SUBSTITUTE(SUBSTITUTE(SUBSTITUTE(SUBSTITUTE(SUBSTITUTE($I79,CHAR(13)," "),CHAR(10)," "),CHAR(9)," "),CHAR(92),_xlfn.CONCAT(CHAR(92),CHAR(92))),"$",_xlfn.CONCAT(CHAR(92),"$")),CHAR(96),_xlfn.CONCAT(CHAR(92),CHAR(96))),CHAR(34),CHAR(39))))</f>
        <v/>
      </c>
      <c r="T79" s="5" t="str">
        <f>IF(OR(TRIM($B79)="",$J79=""),"",IF(OR(ISNUMBER(SEARCH(_xlfn.CONCAT(CHAR(96),CHAR(34)),$J79)),ISNUMBER(SEARCH(_xlfn.CONCAT(CHAR(34),CHAR(39)),$J79))),_xlfn.CONCAT("* REVIEW REQUIRED: compound-quote delimiter in Notes on Sheet 1 row ",79,"; edit the input before running."),_xlfn.CONCAT("char ",TRIM($B79),"[doc_notes] ",CHAR(96),CHAR(34),SUBSTITUTE(SUBSTITUTE(SUBSTITUTE(SUBSTITUTE(SUBSTITUTE(SUBSTITUTE($J79,CHAR(13)," "),CHAR(10)," "),CHAR(9)," "),CHAR(92),_xlfn.CONCAT(CHAR(92),CHAR(92))),"$",_xlfn.CONCAT(CHAR(92),"$")),CHAR(96),_xlfn.CONCAT(CHAR(92),CHAR(96))),CHAR(34),CHAR(39))))</f>
        <v/>
      </c>
      <c r="U79" s="5">
        <f t="shared" si="1"/>
        <v>0</v>
      </c>
    </row>
    <row r="80" spans="3:21" ht="30" customHeight="1" x14ac:dyDescent="0.2">
      <c r="C80" s="4"/>
      <c r="K80" s="5">
        <f t="shared" si="0"/>
        <v>0</v>
      </c>
      <c r="L80" s="5" t="str">
        <f>IF(OR(TRIM($B80)="",$A80=""),"",IF(OR(ISNUMBER(SEARCH(_xlfn.CONCAT(CHAR(96),CHAR(34)),$A80)),ISNUMBER(SEARCH(_xlfn.CONCAT(CHAR(34),CHAR(39)),$A80))),_xlfn.CONCAT("* REVIEW REQUIRED: compound-quote delimiter in Codebook Section on Sheet 1 row ",80,"; edit the input before running."),_xlfn.CONCAT("char ",TRIM($B80),"[doc_section] ",CHAR(96),CHAR(34),SUBSTITUTE(SUBSTITUTE(SUBSTITUTE(SUBSTITUTE(SUBSTITUTE(SUBSTITUTE($A80,CHAR(13)," "),CHAR(10)," "),CHAR(9)," "),CHAR(92),_xlfn.CONCAT(CHAR(92),CHAR(92))),"$",_xlfn.CONCAT(CHAR(92),"$")),CHAR(96),_xlfn.CONCAT(CHAR(92),CHAR(96))),CHAR(34),CHAR(39))))</f>
        <v/>
      </c>
      <c r="M80" s="5" t="str">
        <f>IF(OR(TRIM($B80)="",$C80=""),"",IF(IFERROR(MATCH(TRIM($C80),{"Quantitative","Continuous","Discrete","Categorical","Nominal","Ordinal","Identifier"},0),0)=0,_xlfn.CONCAT("* REVIEW REQUIRED: invalid Variable Type on Sheet 1 row ",80,"."),_xlfn.CONCAT("char ",TRIM($B80),"[doc_vartype] ",CHAR(96),CHAR(34),SUBSTITUTE(SUBSTITUTE(SUBSTITUTE(SUBSTITUTE(SUBSTITUTE(SUBSTITUTE(LOWER(TRIM($C80)),CHAR(13)," "),CHAR(10)," "),CHAR(9)," "),CHAR(92),_xlfn.CONCAT(CHAR(92),CHAR(92))),"$",_xlfn.CONCAT(CHAR(92),"$")),CHAR(96),_xlfn.CONCAT(CHAR(92),CHAR(96))),CHAR(34),CHAR(39))))</f>
        <v/>
      </c>
      <c r="N80" s="5" t="str">
        <f>IF(OR(TRIM($B80)="",$D80=""),"",IF(OR(ISNUMBER(SEARCH(_xlfn.CONCAT(CHAR(96),CHAR(34)),$D80)),ISNUMBER(SEARCH(_xlfn.CONCAT(CHAR(34),CHAR(39)),$D80))),_xlfn.CONCAT("* REVIEW REQUIRED: compound-quote delimiter in Item Number on Sheet 1 row ",80,"; edit the input before running."),_xlfn.CONCAT("char ",TRIM($B80),"[doc_itemnum] ",CHAR(96),CHAR(34),SUBSTITUTE(SUBSTITUTE(SUBSTITUTE(SUBSTITUTE(SUBSTITUTE(SUBSTITUTE($D80,CHAR(13)," "),CHAR(10)," "),CHAR(9)," "),CHAR(92),_xlfn.CONCAT(CHAR(92),CHAR(92))),"$",_xlfn.CONCAT(CHAR(92),"$")),CHAR(96),_xlfn.CONCAT(CHAR(92),CHAR(96))),CHAR(34),CHAR(39))))</f>
        <v/>
      </c>
      <c r="O80" s="5" t="str">
        <f>IF(OR(TRIM($B80)="",$E80=""),"",IF(OR(ISNUMBER(SEARCH(_xlfn.CONCAT(CHAR(96),CHAR(34)),$E80)),ISNUMBER(SEARCH(_xlfn.CONCAT(CHAR(34),CHAR(39)),$E80))),_xlfn.CONCAT("* REVIEW REQUIRED: compound-quote delimiter in Question Wording on Sheet 1 row ",80,"; edit the input before running."),_xlfn.CONCAT("char ",TRIM($B80),"[doc_question] ",CHAR(96),CHAR(34),SUBSTITUTE(SUBSTITUTE(SUBSTITUTE(SUBSTITUTE(SUBSTITUTE(SUBSTITUTE($E80,CHAR(13)," "),CHAR(10)," "),CHAR(9)," "),CHAR(92),_xlfn.CONCAT(CHAR(92),CHAR(92))),"$",_xlfn.CONCAT(CHAR(92),"$")),CHAR(96),_xlfn.CONCAT(CHAR(92),CHAR(96))),CHAR(34),CHAR(39))))</f>
        <v/>
      </c>
      <c r="P80" s="5" t="str">
        <f>IF(OR(TRIM($B80)="",$F80=""),"",IF(OR(ISNUMBER(SEARCH(_xlfn.CONCAT(CHAR(96),CHAR(34)),$F80)),ISNUMBER(SEARCH(_xlfn.CONCAT(CHAR(34),CHAR(39)),$F80))),_xlfn.CONCAT("* REVIEW REQUIRED: compound-quote delimiter in Units on Sheet 1 row ",80,"; edit the input before running."),_xlfn.CONCAT("char ",TRIM($B80),"[doc_units] ",CHAR(96),CHAR(34),SUBSTITUTE(SUBSTITUTE(SUBSTITUTE(SUBSTITUTE(SUBSTITUTE(SUBSTITUTE($F80,CHAR(13)," "),CHAR(10)," "),CHAR(9)," "),CHAR(92),_xlfn.CONCAT(CHAR(92),CHAR(92))),"$",_xlfn.CONCAT(CHAR(92),"$")),CHAR(96),_xlfn.CONCAT(CHAR(92),CHAR(96))),CHAR(34),CHAR(39))))</f>
        <v/>
      </c>
      <c r="Q80" s="5" t="str">
        <f>IF(OR(TRIM($B80)="",$G80=""),"",IF(OR(ISNUMBER(SEARCH(_xlfn.CONCAT(CHAR(96),CHAR(34)),$G80)),ISNUMBER(SEARCH(_xlfn.CONCAT(CHAR(34),CHAR(39)),$G80))),_xlfn.CONCAT("* REVIEW REQUIRED: compound-quote delimiter in Universe on Sheet 1 row ",80,"; edit the input before running."),_xlfn.CONCAT("char ",TRIM($B80),"[doc_universe] ",CHAR(96),CHAR(34),SUBSTITUTE(SUBSTITUTE(SUBSTITUTE(SUBSTITUTE(SUBSTITUTE(SUBSTITUTE($G80,CHAR(13)," "),CHAR(10)," "),CHAR(9)," "),CHAR(92),_xlfn.CONCAT(CHAR(92),CHAR(92))),"$",_xlfn.CONCAT(CHAR(92),"$")),CHAR(96),_xlfn.CONCAT(CHAR(92),CHAR(96))),CHAR(34),CHAR(39))))</f>
        <v/>
      </c>
      <c r="R80" s="5" t="str">
        <f>IF(OR(TRIM($B80)="",$H80=""),"",IF(OR(ISNUMBER(SEARCH(_xlfn.CONCAT(CHAR(96),CHAR(34)),$H80)),ISNUMBER(SEARCH(_xlfn.CONCAT(CHAR(34),CHAR(39)),$H80))),_xlfn.CONCAT("* REVIEW REQUIRED: compound-quote delimiter in Source on Sheet 1 row ",80,"; edit the input before running."),_xlfn.CONCAT("char ",TRIM($B80),"[doc_source] ",CHAR(96),CHAR(34),SUBSTITUTE(SUBSTITUTE(SUBSTITUTE(SUBSTITUTE(SUBSTITUTE(SUBSTITUTE($H80,CHAR(13)," "),CHAR(10)," "),CHAR(9)," "),CHAR(92),_xlfn.CONCAT(CHAR(92),CHAR(92))),"$",_xlfn.CONCAT(CHAR(92),"$")),CHAR(96),_xlfn.CONCAT(CHAR(92),CHAR(96))),CHAR(34),CHAR(39))))</f>
        <v/>
      </c>
      <c r="S80" s="5" t="str">
        <f>IF(OR(TRIM($B80)="",$I80=""),"",IF(OR(ISNUMBER(SEARCH(_xlfn.CONCAT(CHAR(96),CHAR(34)),$I80)),ISNUMBER(SEARCH(_xlfn.CONCAT(CHAR(34),CHAR(39)),$I80))),_xlfn.CONCAT("* REVIEW REQUIRED: compound-quote delimiter in Derivation on Sheet 1 row ",80,"; edit the input before running."),_xlfn.CONCAT("char ",TRIM($B80),"[doc_derivation] ",CHAR(96),CHAR(34),SUBSTITUTE(SUBSTITUTE(SUBSTITUTE(SUBSTITUTE(SUBSTITUTE(SUBSTITUTE($I80,CHAR(13)," "),CHAR(10)," "),CHAR(9)," "),CHAR(92),_xlfn.CONCAT(CHAR(92),CHAR(92))),"$",_xlfn.CONCAT(CHAR(92),"$")),CHAR(96),_xlfn.CONCAT(CHAR(92),CHAR(96))),CHAR(34),CHAR(39))))</f>
        <v/>
      </c>
      <c r="T80" s="5" t="str">
        <f>IF(OR(TRIM($B80)="",$J80=""),"",IF(OR(ISNUMBER(SEARCH(_xlfn.CONCAT(CHAR(96),CHAR(34)),$J80)),ISNUMBER(SEARCH(_xlfn.CONCAT(CHAR(34),CHAR(39)),$J80))),_xlfn.CONCAT("* REVIEW REQUIRED: compound-quote delimiter in Notes on Sheet 1 row ",80,"; edit the input before running."),_xlfn.CONCAT("char ",TRIM($B80),"[doc_notes] ",CHAR(96),CHAR(34),SUBSTITUTE(SUBSTITUTE(SUBSTITUTE(SUBSTITUTE(SUBSTITUTE(SUBSTITUTE($J80,CHAR(13)," "),CHAR(10)," "),CHAR(9)," "),CHAR(92),_xlfn.CONCAT(CHAR(92),CHAR(92))),"$",_xlfn.CONCAT(CHAR(92),"$")),CHAR(96),_xlfn.CONCAT(CHAR(92),CHAR(96))),CHAR(34),CHAR(39))))</f>
        <v/>
      </c>
      <c r="U80" s="5">
        <f t="shared" si="1"/>
        <v>0</v>
      </c>
    </row>
    <row r="81" spans="3:21" ht="30" customHeight="1" x14ac:dyDescent="0.2">
      <c r="C81" s="4"/>
      <c r="K81" s="5">
        <f t="shared" si="0"/>
        <v>0</v>
      </c>
      <c r="L81" s="5" t="str">
        <f>IF(OR(TRIM($B81)="",$A81=""),"",IF(OR(ISNUMBER(SEARCH(_xlfn.CONCAT(CHAR(96),CHAR(34)),$A81)),ISNUMBER(SEARCH(_xlfn.CONCAT(CHAR(34),CHAR(39)),$A81))),_xlfn.CONCAT("* REVIEW REQUIRED: compound-quote delimiter in Codebook Section on Sheet 1 row ",81,"; edit the input before running."),_xlfn.CONCAT("char ",TRIM($B81),"[doc_section] ",CHAR(96),CHAR(34),SUBSTITUTE(SUBSTITUTE(SUBSTITUTE(SUBSTITUTE(SUBSTITUTE(SUBSTITUTE($A81,CHAR(13)," "),CHAR(10)," "),CHAR(9)," "),CHAR(92),_xlfn.CONCAT(CHAR(92),CHAR(92))),"$",_xlfn.CONCAT(CHAR(92),"$")),CHAR(96),_xlfn.CONCAT(CHAR(92),CHAR(96))),CHAR(34),CHAR(39))))</f>
        <v/>
      </c>
      <c r="M81" s="5" t="str">
        <f>IF(OR(TRIM($B81)="",$C81=""),"",IF(IFERROR(MATCH(TRIM($C81),{"Quantitative","Continuous","Discrete","Categorical","Nominal","Ordinal","Identifier"},0),0)=0,_xlfn.CONCAT("* REVIEW REQUIRED: invalid Variable Type on Sheet 1 row ",81,"."),_xlfn.CONCAT("char ",TRIM($B81),"[doc_vartype] ",CHAR(96),CHAR(34),SUBSTITUTE(SUBSTITUTE(SUBSTITUTE(SUBSTITUTE(SUBSTITUTE(SUBSTITUTE(LOWER(TRIM($C81)),CHAR(13)," "),CHAR(10)," "),CHAR(9)," "),CHAR(92),_xlfn.CONCAT(CHAR(92),CHAR(92))),"$",_xlfn.CONCAT(CHAR(92),"$")),CHAR(96),_xlfn.CONCAT(CHAR(92),CHAR(96))),CHAR(34),CHAR(39))))</f>
        <v/>
      </c>
      <c r="N81" s="5" t="str">
        <f>IF(OR(TRIM($B81)="",$D81=""),"",IF(OR(ISNUMBER(SEARCH(_xlfn.CONCAT(CHAR(96),CHAR(34)),$D81)),ISNUMBER(SEARCH(_xlfn.CONCAT(CHAR(34),CHAR(39)),$D81))),_xlfn.CONCAT("* REVIEW REQUIRED: compound-quote delimiter in Item Number on Sheet 1 row ",81,"; edit the input before running."),_xlfn.CONCAT("char ",TRIM($B81),"[doc_itemnum] ",CHAR(96),CHAR(34),SUBSTITUTE(SUBSTITUTE(SUBSTITUTE(SUBSTITUTE(SUBSTITUTE(SUBSTITUTE($D81,CHAR(13)," "),CHAR(10)," "),CHAR(9)," "),CHAR(92),_xlfn.CONCAT(CHAR(92),CHAR(92))),"$",_xlfn.CONCAT(CHAR(92),"$")),CHAR(96),_xlfn.CONCAT(CHAR(92),CHAR(96))),CHAR(34),CHAR(39))))</f>
        <v/>
      </c>
      <c r="O81" s="5" t="str">
        <f>IF(OR(TRIM($B81)="",$E81=""),"",IF(OR(ISNUMBER(SEARCH(_xlfn.CONCAT(CHAR(96),CHAR(34)),$E81)),ISNUMBER(SEARCH(_xlfn.CONCAT(CHAR(34),CHAR(39)),$E81))),_xlfn.CONCAT("* REVIEW REQUIRED: compound-quote delimiter in Question Wording on Sheet 1 row ",81,"; edit the input before running."),_xlfn.CONCAT("char ",TRIM($B81),"[doc_question] ",CHAR(96),CHAR(34),SUBSTITUTE(SUBSTITUTE(SUBSTITUTE(SUBSTITUTE(SUBSTITUTE(SUBSTITUTE($E81,CHAR(13)," "),CHAR(10)," "),CHAR(9)," "),CHAR(92),_xlfn.CONCAT(CHAR(92),CHAR(92))),"$",_xlfn.CONCAT(CHAR(92),"$")),CHAR(96),_xlfn.CONCAT(CHAR(92),CHAR(96))),CHAR(34),CHAR(39))))</f>
        <v/>
      </c>
      <c r="P81" s="5" t="str">
        <f>IF(OR(TRIM($B81)="",$F81=""),"",IF(OR(ISNUMBER(SEARCH(_xlfn.CONCAT(CHAR(96),CHAR(34)),$F81)),ISNUMBER(SEARCH(_xlfn.CONCAT(CHAR(34),CHAR(39)),$F81))),_xlfn.CONCAT("* REVIEW REQUIRED: compound-quote delimiter in Units on Sheet 1 row ",81,"; edit the input before running."),_xlfn.CONCAT("char ",TRIM($B81),"[doc_units] ",CHAR(96),CHAR(34),SUBSTITUTE(SUBSTITUTE(SUBSTITUTE(SUBSTITUTE(SUBSTITUTE(SUBSTITUTE($F81,CHAR(13)," "),CHAR(10)," "),CHAR(9)," "),CHAR(92),_xlfn.CONCAT(CHAR(92),CHAR(92))),"$",_xlfn.CONCAT(CHAR(92),"$")),CHAR(96),_xlfn.CONCAT(CHAR(92),CHAR(96))),CHAR(34),CHAR(39))))</f>
        <v/>
      </c>
      <c r="Q81" s="5" t="str">
        <f>IF(OR(TRIM($B81)="",$G81=""),"",IF(OR(ISNUMBER(SEARCH(_xlfn.CONCAT(CHAR(96),CHAR(34)),$G81)),ISNUMBER(SEARCH(_xlfn.CONCAT(CHAR(34),CHAR(39)),$G81))),_xlfn.CONCAT("* REVIEW REQUIRED: compound-quote delimiter in Universe on Sheet 1 row ",81,"; edit the input before running."),_xlfn.CONCAT("char ",TRIM($B81),"[doc_universe] ",CHAR(96),CHAR(34),SUBSTITUTE(SUBSTITUTE(SUBSTITUTE(SUBSTITUTE(SUBSTITUTE(SUBSTITUTE($G81,CHAR(13)," "),CHAR(10)," "),CHAR(9)," "),CHAR(92),_xlfn.CONCAT(CHAR(92),CHAR(92))),"$",_xlfn.CONCAT(CHAR(92),"$")),CHAR(96),_xlfn.CONCAT(CHAR(92),CHAR(96))),CHAR(34),CHAR(39))))</f>
        <v/>
      </c>
      <c r="R81" s="5" t="str">
        <f>IF(OR(TRIM($B81)="",$H81=""),"",IF(OR(ISNUMBER(SEARCH(_xlfn.CONCAT(CHAR(96),CHAR(34)),$H81)),ISNUMBER(SEARCH(_xlfn.CONCAT(CHAR(34),CHAR(39)),$H81))),_xlfn.CONCAT("* REVIEW REQUIRED: compound-quote delimiter in Source on Sheet 1 row ",81,"; edit the input before running."),_xlfn.CONCAT("char ",TRIM($B81),"[doc_source] ",CHAR(96),CHAR(34),SUBSTITUTE(SUBSTITUTE(SUBSTITUTE(SUBSTITUTE(SUBSTITUTE(SUBSTITUTE($H81,CHAR(13)," "),CHAR(10)," "),CHAR(9)," "),CHAR(92),_xlfn.CONCAT(CHAR(92),CHAR(92))),"$",_xlfn.CONCAT(CHAR(92),"$")),CHAR(96),_xlfn.CONCAT(CHAR(92),CHAR(96))),CHAR(34),CHAR(39))))</f>
        <v/>
      </c>
      <c r="S81" s="5" t="str">
        <f>IF(OR(TRIM($B81)="",$I81=""),"",IF(OR(ISNUMBER(SEARCH(_xlfn.CONCAT(CHAR(96),CHAR(34)),$I81)),ISNUMBER(SEARCH(_xlfn.CONCAT(CHAR(34),CHAR(39)),$I81))),_xlfn.CONCAT("* REVIEW REQUIRED: compound-quote delimiter in Derivation on Sheet 1 row ",81,"; edit the input before running."),_xlfn.CONCAT("char ",TRIM($B81),"[doc_derivation] ",CHAR(96),CHAR(34),SUBSTITUTE(SUBSTITUTE(SUBSTITUTE(SUBSTITUTE(SUBSTITUTE(SUBSTITUTE($I81,CHAR(13)," "),CHAR(10)," "),CHAR(9)," "),CHAR(92),_xlfn.CONCAT(CHAR(92),CHAR(92))),"$",_xlfn.CONCAT(CHAR(92),"$")),CHAR(96),_xlfn.CONCAT(CHAR(92),CHAR(96))),CHAR(34),CHAR(39))))</f>
        <v/>
      </c>
      <c r="T81" s="5" t="str">
        <f>IF(OR(TRIM($B81)="",$J81=""),"",IF(OR(ISNUMBER(SEARCH(_xlfn.CONCAT(CHAR(96),CHAR(34)),$J81)),ISNUMBER(SEARCH(_xlfn.CONCAT(CHAR(34),CHAR(39)),$J81))),_xlfn.CONCAT("* REVIEW REQUIRED: compound-quote delimiter in Notes on Sheet 1 row ",81,"; edit the input before running."),_xlfn.CONCAT("char ",TRIM($B81),"[doc_notes] ",CHAR(96),CHAR(34),SUBSTITUTE(SUBSTITUTE(SUBSTITUTE(SUBSTITUTE(SUBSTITUTE(SUBSTITUTE($J81,CHAR(13)," "),CHAR(10)," "),CHAR(9)," "),CHAR(92),_xlfn.CONCAT(CHAR(92),CHAR(92))),"$",_xlfn.CONCAT(CHAR(92),"$")),CHAR(96),_xlfn.CONCAT(CHAR(92),CHAR(96))),CHAR(34),CHAR(39))))</f>
        <v/>
      </c>
      <c r="U81" s="5">
        <f t="shared" si="1"/>
        <v>0</v>
      </c>
    </row>
    <row r="82" spans="3:21" ht="30" customHeight="1" x14ac:dyDescent="0.2">
      <c r="C82" s="4"/>
      <c r="K82" s="5">
        <f t="shared" si="0"/>
        <v>0</v>
      </c>
      <c r="L82" s="5" t="str">
        <f>IF(OR(TRIM($B82)="",$A82=""),"",IF(OR(ISNUMBER(SEARCH(_xlfn.CONCAT(CHAR(96),CHAR(34)),$A82)),ISNUMBER(SEARCH(_xlfn.CONCAT(CHAR(34),CHAR(39)),$A82))),_xlfn.CONCAT("* REVIEW REQUIRED: compound-quote delimiter in Codebook Section on Sheet 1 row ",82,"; edit the input before running."),_xlfn.CONCAT("char ",TRIM($B82),"[doc_section] ",CHAR(96),CHAR(34),SUBSTITUTE(SUBSTITUTE(SUBSTITUTE(SUBSTITUTE(SUBSTITUTE(SUBSTITUTE($A82,CHAR(13)," "),CHAR(10)," "),CHAR(9)," "),CHAR(92),_xlfn.CONCAT(CHAR(92),CHAR(92))),"$",_xlfn.CONCAT(CHAR(92),"$")),CHAR(96),_xlfn.CONCAT(CHAR(92),CHAR(96))),CHAR(34),CHAR(39))))</f>
        <v/>
      </c>
      <c r="M82" s="5" t="str">
        <f>IF(OR(TRIM($B82)="",$C82=""),"",IF(IFERROR(MATCH(TRIM($C82),{"Quantitative","Continuous","Discrete","Categorical","Nominal","Ordinal","Identifier"},0),0)=0,_xlfn.CONCAT("* REVIEW REQUIRED: invalid Variable Type on Sheet 1 row ",82,"."),_xlfn.CONCAT("char ",TRIM($B82),"[doc_vartype] ",CHAR(96),CHAR(34),SUBSTITUTE(SUBSTITUTE(SUBSTITUTE(SUBSTITUTE(SUBSTITUTE(SUBSTITUTE(LOWER(TRIM($C82)),CHAR(13)," "),CHAR(10)," "),CHAR(9)," "),CHAR(92),_xlfn.CONCAT(CHAR(92),CHAR(92))),"$",_xlfn.CONCAT(CHAR(92),"$")),CHAR(96),_xlfn.CONCAT(CHAR(92),CHAR(96))),CHAR(34),CHAR(39))))</f>
        <v/>
      </c>
      <c r="N82" s="5" t="str">
        <f>IF(OR(TRIM($B82)="",$D82=""),"",IF(OR(ISNUMBER(SEARCH(_xlfn.CONCAT(CHAR(96),CHAR(34)),$D82)),ISNUMBER(SEARCH(_xlfn.CONCAT(CHAR(34),CHAR(39)),$D82))),_xlfn.CONCAT("* REVIEW REQUIRED: compound-quote delimiter in Item Number on Sheet 1 row ",82,"; edit the input before running."),_xlfn.CONCAT("char ",TRIM($B82),"[doc_itemnum] ",CHAR(96),CHAR(34),SUBSTITUTE(SUBSTITUTE(SUBSTITUTE(SUBSTITUTE(SUBSTITUTE(SUBSTITUTE($D82,CHAR(13)," "),CHAR(10)," "),CHAR(9)," "),CHAR(92),_xlfn.CONCAT(CHAR(92),CHAR(92))),"$",_xlfn.CONCAT(CHAR(92),"$")),CHAR(96),_xlfn.CONCAT(CHAR(92),CHAR(96))),CHAR(34),CHAR(39))))</f>
        <v/>
      </c>
      <c r="O82" s="5" t="str">
        <f>IF(OR(TRIM($B82)="",$E82=""),"",IF(OR(ISNUMBER(SEARCH(_xlfn.CONCAT(CHAR(96),CHAR(34)),$E82)),ISNUMBER(SEARCH(_xlfn.CONCAT(CHAR(34),CHAR(39)),$E82))),_xlfn.CONCAT("* REVIEW REQUIRED: compound-quote delimiter in Question Wording on Sheet 1 row ",82,"; edit the input before running."),_xlfn.CONCAT("char ",TRIM($B82),"[doc_question] ",CHAR(96),CHAR(34),SUBSTITUTE(SUBSTITUTE(SUBSTITUTE(SUBSTITUTE(SUBSTITUTE(SUBSTITUTE($E82,CHAR(13)," "),CHAR(10)," "),CHAR(9)," "),CHAR(92),_xlfn.CONCAT(CHAR(92),CHAR(92))),"$",_xlfn.CONCAT(CHAR(92),"$")),CHAR(96),_xlfn.CONCAT(CHAR(92),CHAR(96))),CHAR(34),CHAR(39))))</f>
        <v/>
      </c>
      <c r="P82" s="5" t="str">
        <f>IF(OR(TRIM($B82)="",$F82=""),"",IF(OR(ISNUMBER(SEARCH(_xlfn.CONCAT(CHAR(96),CHAR(34)),$F82)),ISNUMBER(SEARCH(_xlfn.CONCAT(CHAR(34),CHAR(39)),$F82))),_xlfn.CONCAT("* REVIEW REQUIRED: compound-quote delimiter in Units on Sheet 1 row ",82,"; edit the input before running."),_xlfn.CONCAT("char ",TRIM($B82),"[doc_units] ",CHAR(96),CHAR(34),SUBSTITUTE(SUBSTITUTE(SUBSTITUTE(SUBSTITUTE(SUBSTITUTE(SUBSTITUTE($F82,CHAR(13)," "),CHAR(10)," "),CHAR(9)," "),CHAR(92),_xlfn.CONCAT(CHAR(92),CHAR(92))),"$",_xlfn.CONCAT(CHAR(92),"$")),CHAR(96),_xlfn.CONCAT(CHAR(92),CHAR(96))),CHAR(34),CHAR(39))))</f>
        <v/>
      </c>
      <c r="Q82" s="5" t="str">
        <f>IF(OR(TRIM($B82)="",$G82=""),"",IF(OR(ISNUMBER(SEARCH(_xlfn.CONCAT(CHAR(96),CHAR(34)),$G82)),ISNUMBER(SEARCH(_xlfn.CONCAT(CHAR(34),CHAR(39)),$G82))),_xlfn.CONCAT("* REVIEW REQUIRED: compound-quote delimiter in Universe on Sheet 1 row ",82,"; edit the input before running."),_xlfn.CONCAT("char ",TRIM($B82),"[doc_universe] ",CHAR(96),CHAR(34),SUBSTITUTE(SUBSTITUTE(SUBSTITUTE(SUBSTITUTE(SUBSTITUTE(SUBSTITUTE($G82,CHAR(13)," "),CHAR(10)," "),CHAR(9)," "),CHAR(92),_xlfn.CONCAT(CHAR(92),CHAR(92))),"$",_xlfn.CONCAT(CHAR(92),"$")),CHAR(96),_xlfn.CONCAT(CHAR(92),CHAR(96))),CHAR(34),CHAR(39))))</f>
        <v/>
      </c>
      <c r="R82" s="5" t="str">
        <f>IF(OR(TRIM($B82)="",$H82=""),"",IF(OR(ISNUMBER(SEARCH(_xlfn.CONCAT(CHAR(96),CHAR(34)),$H82)),ISNUMBER(SEARCH(_xlfn.CONCAT(CHAR(34),CHAR(39)),$H82))),_xlfn.CONCAT("* REVIEW REQUIRED: compound-quote delimiter in Source on Sheet 1 row ",82,"; edit the input before running."),_xlfn.CONCAT("char ",TRIM($B82),"[doc_source] ",CHAR(96),CHAR(34),SUBSTITUTE(SUBSTITUTE(SUBSTITUTE(SUBSTITUTE(SUBSTITUTE(SUBSTITUTE($H82,CHAR(13)," "),CHAR(10)," "),CHAR(9)," "),CHAR(92),_xlfn.CONCAT(CHAR(92),CHAR(92))),"$",_xlfn.CONCAT(CHAR(92),"$")),CHAR(96),_xlfn.CONCAT(CHAR(92),CHAR(96))),CHAR(34),CHAR(39))))</f>
        <v/>
      </c>
      <c r="S82" s="5" t="str">
        <f>IF(OR(TRIM($B82)="",$I82=""),"",IF(OR(ISNUMBER(SEARCH(_xlfn.CONCAT(CHAR(96),CHAR(34)),$I82)),ISNUMBER(SEARCH(_xlfn.CONCAT(CHAR(34),CHAR(39)),$I82))),_xlfn.CONCAT("* REVIEW REQUIRED: compound-quote delimiter in Derivation on Sheet 1 row ",82,"; edit the input before running."),_xlfn.CONCAT("char ",TRIM($B82),"[doc_derivation] ",CHAR(96),CHAR(34),SUBSTITUTE(SUBSTITUTE(SUBSTITUTE(SUBSTITUTE(SUBSTITUTE(SUBSTITUTE($I82,CHAR(13)," "),CHAR(10)," "),CHAR(9)," "),CHAR(92),_xlfn.CONCAT(CHAR(92),CHAR(92))),"$",_xlfn.CONCAT(CHAR(92),"$")),CHAR(96),_xlfn.CONCAT(CHAR(92),CHAR(96))),CHAR(34),CHAR(39))))</f>
        <v/>
      </c>
      <c r="T82" s="5" t="str">
        <f>IF(OR(TRIM($B82)="",$J82=""),"",IF(OR(ISNUMBER(SEARCH(_xlfn.CONCAT(CHAR(96),CHAR(34)),$J82)),ISNUMBER(SEARCH(_xlfn.CONCAT(CHAR(34),CHAR(39)),$J82))),_xlfn.CONCAT("* REVIEW REQUIRED: compound-quote delimiter in Notes on Sheet 1 row ",82,"; edit the input before running."),_xlfn.CONCAT("char ",TRIM($B82),"[doc_notes] ",CHAR(96),CHAR(34),SUBSTITUTE(SUBSTITUTE(SUBSTITUTE(SUBSTITUTE(SUBSTITUTE(SUBSTITUTE($J82,CHAR(13)," "),CHAR(10)," "),CHAR(9)," "),CHAR(92),_xlfn.CONCAT(CHAR(92),CHAR(92))),"$",_xlfn.CONCAT(CHAR(92),"$")),CHAR(96),_xlfn.CONCAT(CHAR(92),CHAR(96))),CHAR(34),CHAR(39))))</f>
        <v/>
      </c>
      <c r="U82" s="5">
        <f t="shared" si="1"/>
        <v>0</v>
      </c>
    </row>
    <row r="83" spans="3:21" ht="30" customHeight="1" x14ac:dyDescent="0.2">
      <c r="C83" s="4"/>
      <c r="K83" s="5">
        <f t="shared" si="0"/>
        <v>0</v>
      </c>
      <c r="L83" s="5" t="str">
        <f>IF(OR(TRIM($B83)="",$A83=""),"",IF(OR(ISNUMBER(SEARCH(_xlfn.CONCAT(CHAR(96),CHAR(34)),$A83)),ISNUMBER(SEARCH(_xlfn.CONCAT(CHAR(34),CHAR(39)),$A83))),_xlfn.CONCAT("* REVIEW REQUIRED: compound-quote delimiter in Codebook Section on Sheet 1 row ",83,"; edit the input before running."),_xlfn.CONCAT("char ",TRIM($B83),"[doc_section] ",CHAR(96),CHAR(34),SUBSTITUTE(SUBSTITUTE(SUBSTITUTE(SUBSTITUTE(SUBSTITUTE(SUBSTITUTE($A83,CHAR(13)," "),CHAR(10)," "),CHAR(9)," "),CHAR(92),_xlfn.CONCAT(CHAR(92),CHAR(92))),"$",_xlfn.CONCAT(CHAR(92),"$")),CHAR(96),_xlfn.CONCAT(CHAR(92),CHAR(96))),CHAR(34),CHAR(39))))</f>
        <v/>
      </c>
      <c r="M83" s="5" t="str">
        <f>IF(OR(TRIM($B83)="",$C83=""),"",IF(IFERROR(MATCH(TRIM($C83),{"Quantitative","Continuous","Discrete","Categorical","Nominal","Ordinal","Identifier"},0),0)=0,_xlfn.CONCAT("* REVIEW REQUIRED: invalid Variable Type on Sheet 1 row ",83,"."),_xlfn.CONCAT("char ",TRIM($B83),"[doc_vartype] ",CHAR(96),CHAR(34),SUBSTITUTE(SUBSTITUTE(SUBSTITUTE(SUBSTITUTE(SUBSTITUTE(SUBSTITUTE(LOWER(TRIM($C83)),CHAR(13)," "),CHAR(10)," "),CHAR(9)," "),CHAR(92),_xlfn.CONCAT(CHAR(92),CHAR(92))),"$",_xlfn.CONCAT(CHAR(92),"$")),CHAR(96),_xlfn.CONCAT(CHAR(92),CHAR(96))),CHAR(34),CHAR(39))))</f>
        <v/>
      </c>
      <c r="N83" s="5" t="str">
        <f>IF(OR(TRIM($B83)="",$D83=""),"",IF(OR(ISNUMBER(SEARCH(_xlfn.CONCAT(CHAR(96),CHAR(34)),$D83)),ISNUMBER(SEARCH(_xlfn.CONCAT(CHAR(34),CHAR(39)),$D83))),_xlfn.CONCAT("* REVIEW REQUIRED: compound-quote delimiter in Item Number on Sheet 1 row ",83,"; edit the input before running."),_xlfn.CONCAT("char ",TRIM($B83),"[doc_itemnum] ",CHAR(96),CHAR(34),SUBSTITUTE(SUBSTITUTE(SUBSTITUTE(SUBSTITUTE(SUBSTITUTE(SUBSTITUTE($D83,CHAR(13)," "),CHAR(10)," "),CHAR(9)," "),CHAR(92),_xlfn.CONCAT(CHAR(92),CHAR(92))),"$",_xlfn.CONCAT(CHAR(92),"$")),CHAR(96),_xlfn.CONCAT(CHAR(92),CHAR(96))),CHAR(34),CHAR(39))))</f>
        <v/>
      </c>
      <c r="O83" s="5" t="str">
        <f>IF(OR(TRIM($B83)="",$E83=""),"",IF(OR(ISNUMBER(SEARCH(_xlfn.CONCAT(CHAR(96),CHAR(34)),$E83)),ISNUMBER(SEARCH(_xlfn.CONCAT(CHAR(34),CHAR(39)),$E83))),_xlfn.CONCAT("* REVIEW REQUIRED: compound-quote delimiter in Question Wording on Sheet 1 row ",83,"; edit the input before running."),_xlfn.CONCAT("char ",TRIM($B83),"[doc_question] ",CHAR(96),CHAR(34),SUBSTITUTE(SUBSTITUTE(SUBSTITUTE(SUBSTITUTE(SUBSTITUTE(SUBSTITUTE($E83,CHAR(13)," "),CHAR(10)," "),CHAR(9)," "),CHAR(92),_xlfn.CONCAT(CHAR(92),CHAR(92))),"$",_xlfn.CONCAT(CHAR(92),"$")),CHAR(96),_xlfn.CONCAT(CHAR(92),CHAR(96))),CHAR(34),CHAR(39))))</f>
        <v/>
      </c>
      <c r="P83" s="5" t="str">
        <f>IF(OR(TRIM($B83)="",$F83=""),"",IF(OR(ISNUMBER(SEARCH(_xlfn.CONCAT(CHAR(96),CHAR(34)),$F83)),ISNUMBER(SEARCH(_xlfn.CONCAT(CHAR(34),CHAR(39)),$F83))),_xlfn.CONCAT("* REVIEW REQUIRED: compound-quote delimiter in Units on Sheet 1 row ",83,"; edit the input before running."),_xlfn.CONCAT("char ",TRIM($B83),"[doc_units] ",CHAR(96),CHAR(34),SUBSTITUTE(SUBSTITUTE(SUBSTITUTE(SUBSTITUTE(SUBSTITUTE(SUBSTITUTE($F83,CHAR(13)," "),CHAR(10)," "),CHAR(9)," "),CHAR(92),_xlfn.CONCAT(CHAR(92),CHAR(92))),"$",_xlfn.CONCAT(CHAR(92),"$")),CHAR(96),_xlfn.CONCAT(CHAR(92),CHAR(96))),CHAR(34),CHAR(39))))</f>
        <v/>
      </c>
      <c r="Q83" s="5" t="str">
        <f>IF(OR(TRIM($B83)="",$G83=""),"",IF(OR(ISNUMBER(SEARCH(_xlfn.CONCAT(CHAR(96),CHAR(34)),$G83)),ISNUMBER(SEARCH(_xlfn.CONCAT(CHAR(34),CHAR(39)),$G83))),_xlfn.CONCAT("* REVIEW REQUIRED: compound-quote delimiter in Universe on Sheet 1 row ",83,"; edit the input before running."),_xlfn.CONCAT("char ",TRIM($B83),"[doc_universe] ",CHAR(96),CHAR(34),SUBSTITUTE(SUBSTITUTE(SUBSTITUTE(SUBSTITUTE(SUBSTITUTE(SUBSTITUTE($G83,CHAR(13)," "),CHAR(10)," "),CHAR(9)," "),CHAR(92),_xlfn.CONCAT(CHAR(92),CHAR(92))),"$",_xlfn.CONCAT(CHAR(92),"$")),CHAR(96),_xlfn.CONCAT(CHAR(92),CHAR(96))),CHAR(34),CHAR(39))))</f>
        <v/>
      </c>
      <c r="R83" s="5" t="str">
        <f>IF(OR(TRIM($B83)="",$H83=""),"",IF(OR(ISNUMBER(SEARCH(_xlfn.CONCAT(CHAR(96),CHAR(34)),$H83)),ISNUMBER(SEARCH(_xlfn.CONCAT(CHAR(34),CHAR(39)),$H83))),_xlfn.CONCAT("* REVIEW REQUIRED: compound-quote delimiter in Source on Sheet 1 row ",83,"; edit the input before running."),_xlfn.CONCAT("char ",TRIM($B83),"[doc_source] ",CHAR(96),CHAR(34),SUBSTITUTE(SUBSTITUTE(SUBSTITUTE(SUBSTITUTE(SUBSTITUTE(SUBSTITUTE($H83,CHAR(13)," "),CHAR(10)," "),CHAR(9)," "),CHAR(92),_xlfn.CONCAT(CHAR(92),CHAR(92))),"$",_xlfn.CONCAT(CHAR(92),"$")),CHAR(96),_xlfn.CONCAT(CHAR(92),CHAR(96))),CHAR(34),CHAR(39))))</f>
        <v/>
      </c>
      <c r="S83" s="5" t="str">
        <f>IF(OR(TRIM($B83)="",$I83=""),"",IF(OR(ISNUMBER(SEARCH(_xlfn.CONCAT(CHAR(96),CHAR(34)),$I83)),ISNUMBER(SEARCH(_xlfn.CONCAT(CHAR(34),CHAR(39)),$I83))),_xlfn.CONCAT("* REVIEW REQUIRED: compound-quote delimiter in Derivation on Sheet 1 row ",83,"; edit the input before running."),_xlfn.CONCAT("char ",TRIM($B83),"[doc_derivation] ",CHAR(96),CHAR(34),SUBSTITUTE(SUBSTITUTE(SUBSTITUTE(SUBSTITUTE(SUBSTITUTE(SUBSTITUTE($I83,CHAR(13)," "),CHAR(10)," "),CHAR(9)," "),CHAR(92),_xlfn.CONCAT(CHAR(92),CHAR(92))),"$",_xlfn.CONCAT(CHAR(92),"$")),CHAR(96),_xlfn.CONCAT(CHAR(92),CHAR(96))),CHAR(34),CHAR(39))))</f>
        <v/>
      </c>
      <c r="T83" s="5" t="str">
        <f>IF(OR(TRIM($B83)="",$J83=""),"",IF(OR(ISNUMBER(SEARCH(_xlfn.CONCAT(CHAR(96),CHAR(34)),$J83)),ISNUMBER(SEARCH(_xlfn.CONCAT(CHAR(34),CHAR(39)),$J83))),_xlfn.CONCAT("* REVIEW REQUIRED: compound-quote delimiter in Notes on Sheet 1 row ",83,"; edit the input before running."),_xlfn.CONCAT("char ",TRIM($B83),"[doc_notes] ",CHAR(96),CHAR(34),SUBSTITUTE(SUBSTITUTE(SUBSTITUTE(SUBSTITUTE(SUBSTITUTE(SUBSTITUTE($J83,CHAR(13)," "),CHAR(10)," "),CHAR(9)," "),CHAR(92),_xlfn.CONCAT(CHAR(92),CHAR(92))),"$",_xlfn.CONCAT(CHAR(92),"$")),CHAR(96),_xlfn.CONCAT(CHAR(92),CHAR(96))),CHAR(34),CHAR(39))))</f>
        <v/>
      </c>
      <c r="U83" s="5">
        <f t="shared" si="1"/>
        <v>0</v>
      </c>
    </row>
    <row r="84" spans="3:21" ht="30" customHeight="1" x14ac:dyDescent="0.2">
      <c r="C84" s="4"/>
      <c r="K84" s="5">
        <f t="shared" ref="K84:K147" si="2">COUNTIF(L84:T84,"?*")</f>
        <v>0</v>
      </c>
      <c r="L84" s="5" t="str">
        <f>IF(OR(TRIM($B84)="",$A84=""),"",IF(OR(ISNUMBER(SEARCH(_xlfn.CONCAT(CHAR(96),CHAR(34)),$A84)),ISNUMBER(SEARCH(_xlfn.CONCAT(CHAR(34),CHAR(39)),$A84))),_xlfn.CONCAT("* REVIEW REQUIRED: compound-quote delimiter in Codebook Section on Sheet 1 row ",84,"; edit the input before running."),_xlfn.CONCAT("char ",TRIM($B84),"[doc_section] ",CHAR(96),CHAR(34),SUBSTITUTE(SUBSTITUTE(SUBSTITUTE(SUBSTITUTE(SUBSTITUTE(SUBSTITUTE($A84,CHAR(13)," "),CHAR(10)," "),CHAR(9)," "),CHAR(92),_xlfn.CONCAT(CHAR(92),CHAR(92))),"$",_xlfn.CONCAT(CHAR(92),"$")),CHAR(96),_xlfn.CONCAT(CHAR(92),CHAR(96))),CHAR(34),CHAR(39))))</f>
        <v/>
      </c>
      <c r="M84" s="5" t="str">
        <f>IF(OR(TRIM($B84)="",$C84=""),"",IF(IFERROR(MATCH(TRIM($C84),{"Quantitative","Continuous","Discrete","Categorical","Nominal","Ordinal","Identifier"},0),0)=0,_xlfn.CONCAT("* REVIEW REQUIRED: invalid Variable Type on Sheet 1 row ",84,"."),_xlfn.CONCAT("char ",TRIM($B84),"[doc_vartype] ",CHAR(96),CHAR(34),SUBSTITUTE(SUBSTITUTE(SUBSTITUTE(SUBSTITUTE(SUBSTITUTE(SUBSTITUTE(LOWER(TRIM($C84)),CHAR(13)," "),CHAR(10)," "),CHAR(9)," "),CHAR(92),_xlfn.CONCAT(CHAR(92),CHAR(92))),"$",_xlfn.CONCAT(CHAR(92),"$")),CHAR(96),_xlfn.CONCAT(CHAR(92),CHAR(96))),CHAR(34),CHAR(39))))</f>
        <v/>
      </c>
      <c r="N84" s="5" t="str">
        <f>IF(OR(TRIM($B84)="",$D84=""),"",IF(OR(ISNUMBER(SEARCH(_xlfn.CONCAT(CHAR(96),CHAR(34)),$D84)),ISNUMBER(SEARCH(_xlfn.CONCAT(CHAR(34),CHAR(39)),$D84))),_xlfn.CONCAT("* REVIEW REQUIRED: compound-quote delimiter in Item Number on Sheet 1 row ",84,"; edit the input before running."),_xlfn.CONCAT("char ",TRIM($B84),"[doc_itemnum] ",CHAR(96),CHAR(34),SUBSTITUTE(SUBSTITUTE(SUBSTITUTE(SUBSTITUTE(SUBSTITUTE(SUBSTITUTE($D84,CHAR(13)," "),CHAR(10)," "),CHAR(9)," "),CHAR(92),_xlfn.CONCAT(CHAR(92),CHAR(92))),"$",_xlfn.CONCAT(CHAR(92),"$")),CHAR(96),_xlfn.CONCAT(CHAR(92),CHAR(96))),CHAR(34),CHAR(39))))</f>
        <v/>
      </c>
      <c r="O84" s="5" t="str">
        <f>IF(OR(TRIM($B84)="",$E84=""),"",IF(OR(ISNUMBER(SEARCH(_xlfn.CONCAT(CHAR(96),CHAR(34)),$E84)),ISNUMBER(SEARCH(_xlfn.CONCAT(CHAR(34),CHAR(39)),$E84))),_xlfn.CONCAT("* REVIEW REQUIRED: compound-quote delimiter in Question Wording on Sheet 1 row ",84,"; edit the input before running."),_xlfn.CONCAT("char ",TRIM($B84),"[doc_question] ",CHAR(96),CHAR(34),SUBSTITUTE(SUBSTITUTE(SUBSTITUTE(SUBSTITUTE(SUBSTITUTE(SUBSTITUTE($E84,CHAR(13)," "),CHAR(10)," "),CHAR(9)," "),CHAR(92),_xlfn.CONCAT(CHAR(92),CHAR(92))),"$",_xlfn.CONCAT(CHAR(92),"$")),CHAR(96),_xlfn.CONCAT(CHAR(92),CHAR(96))),CHAR(34),CHAR(39))))</f>
        <v/>
      </c>
      <c r="P84" s="5" t="str">
        <f>IF(OR(TRIM($B84)="",$F84=""),"",IF(OR(ISNUMBER(SEARCH(_xlfn.CONCAT(CHAR(96),CHAR(34)),$F84)),ISNUMBER(SEARCH(_xlfn.CONCAT(CHAR(34),CHAR(39)),$F84))),_xlfn.CONCAT("* REVIEW REQUIRED: compound-quote delimiter in Units on Sheet 1 row ",84,"; edit the input before running."),_xlfn.CONCAT("char ",TRIM($B84),"[doc_units] ",CHAR(96),CHAR(34),SUBSTITUTE(SUBSTITUTE(SUBSTITUTE(SUBSTITUTE(SUBSTITUTE(SUBSTITUTE($F84,CHAR(13)," "),CHAR(10)," "),CHAR(9)," "),CHAR(92),_xlfn.CONCAT(CHAR(92),CHAR(92))),"$",_xlfn.CONCAT(CHAR(92),"$")),CHAR(96),_xlfn.CONCAT(CHAR(92),CHAR(96))),CHAR(34),CHAR(39))))</f>
        <v/>
      </c>
      <c r="Q84" s="5" t="str">
        <f>IF(OR(TRIM($B84)="",$G84=""),"",IF(OR(ISNUMBER(SEARCH(_xlfn.CONCAT(CHAR(96),CHAR(34)),$G84)),ISNUMBER(SEARCH(_xlfn.CONCAT(CHAR(34),CHAR(39)),$G84))),_xlfn.CONCAT("* REVIEW REQUIRED: compound-quote delimiter in Universe on Sheet 1 row ",84,"; edit the input before running."),_xlfn.CONCAT("char ",TRIM($B84),"[doc_universe] ",CHAR(96),CHAR(34),SUBSTITUTE(SUBSTITUTE(SUBSTITUTE(SUBSTITUTE(SUBSTITUTE(SUBSTITUTE($G84,CHAR(13)," "),CHAR(10)," "),CHAR(9)," "),CHAR(92),_xlfn.CONCAT(CHAR(92),CHAR(92))),"$",_xlfn.CONCAT(CHAR(92),"$")),CHAR(96),_xlfn.CONCAT(CHAR(92),CHAR(96))),CHAR(34),CHAR(39))))</f>
        <v/>
      </c>
      <c r="R84" s="5" t="str">
        <f>IF(OR(TRIM($B84)="",$H84=""),"",IF(OR(ISNUMBER(SEARCH(_xlfn.CONCAT(CHAR(96),CHAR(34)),$H84)),ISNUMBER(SEARCH(_xlfn.CONCAT(CHAR(34),CHAR(39)),$H84))),_xlfn.CONCAT("* REVIEW REQUIRED: compound-quote delimiter in Source on Sheet 1 row ",84,"; edit the input before running."),_xlfn.CONCAT("char ",TRIM($B84),"[doc_source] ",CHAR(96),CHAR(34),SUBSTITUTE(SUBSTITUTE(SUBSTITUTE(SUBSTITUTE(SUBSTITUTE(SUBSTITUTE($H84,CHAR(13)," "),CHAR(10)," "),CHAR(9)," "),CHAR(92),_xlfn.CONCAT(CHAR(92),CHAR(92))),"$",_xlfn.CONCAT(CHAR(92),"$")),CHAR(96),_xlfn.CONCAT(CHAR(92),CHAR(96))),CHAR(34),CHAR(39))))</f>
        <v/>
      </c>
      <c r="S84" s="5" t="str">
        <f>IF(OR(TRIM($B84)="",$I84=""),"",IF(OR(ISNUMBER(SEARCH(_xlfn.CONCAT(CHAR(96),CHAR(34)),$I84)),ISNUMBER(SEARCH(_xlfn.CONCAT(CHAR(34),CHAR(39)),$I84))),_xlfn.CONCAT("* REVIEW REQUIRED: compound-quote delimiter in Derivation on Sheet 1 row ",84,"; edit the input before running."),_xlfn.CONCAT("char ",TRIM($B84),"[doc_derivation] ",CHAR(96),CHAR(34),SUBSTITUTE(SUBSTITUTE(SUBSTITUTE(SUBSTITUTE(SUBSTITUTE(SUBSTITUTE($I84,CHAR(13)," "),CHAR(10)," "),CHAR(9)," "),CHAR(92),_xlfn.CONCAT(CHAR(92),CHAR(92))),"$",_xlfn.CONCAT(CHAR(92),"$")),CHAR(96),_xlfn.CONCAT(CHAR(92),CHAR(96))),CHAR(34),CHAR(39))))</f>
        <v/>
      </c>
      <c r="T84" s="5" t="str">
        <f>IF(OR(TRIM($B84)="",$J84=""),"",IF(OR(ISNUMBER(SEARCH(_xlfn.CONCAT(CHAR(96),CHAR(34)),$J84)),ISNUMBER(SEARCH(_xlfn.CONCAT(CHAR(34),CHAR(39)),$J84))),_xlfn.CONCAT("* REVIEW REQUIRED: compound-quote delimiter in Notes on Sheet 1 row ",84,"; edit the input before running."),_xlfn.CONCAT("char ",TRIM($B84),"[doc_notes] ",CHAR(96),CHAR(34),SUBSTITUTE(SUBSTITUTE(SUBSTITUTE(SUBSTITUTE(SUBSTITUTE(SUBSTITUTE($J84,CHAR(13)," "),CHAR(10)," "),CHAR(9)," "),CHAR(92),_xlfn.CONCAT(CHAR(92),CHAR(92))),"$",_xlfn.CONCAT(CHAR(92),"$")),CHAR(96),_xlfn.CONCAT(CHAR(92),CHAR(96))),CHAR(34),CHAR(39))))</f>
        <v/>
      </c>
      <c r="U84" s="5">
        <f t="shared" ref="U84:U147" si="3">COUNTIF(L84:T84,"*REVIEW REQUIRED*")</f>
        <v>0</v>
      </c>
    </row>
    <row r="85" spans="3:21" ht="30" customHeight="1" x14ac:dyDescent="0.2">
      <c r="C85" s="4"/>
      <c r="K85" s="5">
        <f t="shared" si="2"/>
        <v>0</v>
      </c>
      <c r="L85" s="5" t="str">
        <f>IF(OR(TRIM($B85)="",$A85=""),"",IF(OR(ISNUMBER(SEARCH(_xlfn.CONCAT(CHAR(96),CHAR(34)),$A85)),ISNUMBER(SEARCH(_xlfn.CONCAT(CHAR(34),CHAR(39)),$A85))),_xlfn.CONCAT("* REVIEW REQUIRED: compound-quote delimiter in Codebook Section on Sheet 1 row ",85,"; edit the input before running."),_xlfn.CONCAT("char ",TRIM($B85),"[doc_section] ",CHAR(96),CHAR(34),SUBSTITUTE(SUBSTITUTE(SUBSTITUTE(SUBSTITUTE(SUBSTITUTE(SUBSTITUTE($A85,CHAR(13)," "),CHAR(10)," "),CHAR(9)," "),CHAR(92),_xlfn.CONCAT(CHAR(92),CHAR(92))),"$",_xlfn.CONCAT(CHAR(92),"$")),CHAR(96),_xlfn.CONCAT(CHAR(92),CHAR(96))),CHAR(34),CHAR(39))))</f>
        <v/>
      </c>
      <c r="M85" s="5" t="str">
        <f>IF(OR(TRIM($B85)="",$C85=""),"",IF(IFERROR(MATCH(TRIM($C85),{"Quantitative","Continuous","Discrete","Categorical","Nominal","Ordinal","Identifier"},0),0)=0,_xlfn.CONCAT("* REVIEW REQUIRED: invalid Variable Type on Sheet 1 row ",85,"."),_xlfn.CONCAT("char ",TRIM($B85),"[doc_vartype] ",CHAR(96),CHAR(34),SUBSTITUTE(SUBSTITUTE(SUBSTITUTE(SUBSTITUTE(SUBSTITUTE(SUBSTITUTE(LOWER(TRIM($C85)),CHAR(13)," "),CHAR(10)," "),CHAR(9)," "),CHAR(92),_xlfn.CONCAT(CHAR(92),CHAR(92))),"$",_xlfn.CONCAT(CHAR(92),"$")),CHAR(96),_xlfn.CONCAT(CHAR(92),CHAR(96))),CHAR(34),CHAR(39))))</f>
        <v/>
      </c>
      <c r="N85" s="5" t="str">
        <f>IF(OR(TRIM($B85)="",$D85=""),"",IF(OR(ISNUMBER(SEARCH(_xlfn.CONCAT(CHAR(96),CHAR(34)),$D85)),ISNUMBER(SEARCH(_xlfn.CONCAT(CHAR(34),CHAR(39)),$D85))),_xlfn.CONCAT("* REVIEW REQUIRED: compound-quote delimiter in Item Number on Sheet 1 row ",85,"; edit the input before running."),_xlfn.CONCAT("char ",TRIM($B85),"[doc_itemnum] ",CHAR(96),CHAR(34),SUBSTITUTE(SUBSTITUTE(SUBSTITUTE(SUBSTITUTE(SUBSTITUTE(SUBSTITUTE($D85,CHAR(13)," "),CHAR(10)," "),CHAR(9)," "),CHAR(92),_xlfn.CONCAT(CHAR(92),CHAR(92))),"$",_xlfn.CONCAT(CHAR(92),"$")),CHAR(96),_xlfn.CONCAT(CHAR(92),CHAR(96))),CHAR(34),CHAR(39))))</f>
        <v/>
      </c>
      <c r="O85" s="5" t="str">
        <f>IF(OR(TRIM($B85)="",$E85=""),"",IF(OR(ISNUMBER(SEARCH(_xlfn.CONCAT(CHAR(96),CHAR(34)),$E85)),ISNUMBER(SEARCH(_xlfn.CONCAT(CHAR(34),CHAR(39)),$E85))),_xlfn.CONCAT("* REVIEW REQUIRED: compound-quote delimiter in Question Wording on Sheet 1 row ",85,"; edit the input before running."),_xlfn.CONCAT("char ",TRIM($B85),"[doc_question] ",CHAR(96),CHAR(34),SUBSTITUTE(SUBSTITUTE(SUBSTITUTE(SUBSTITUTE(SUBSTITUTE(SUBSTITUTE($E85,CHAR(13)," "),CHAR(10)," "),CHAR(9)," "),CHAR(92),_xlfn.CONCAT(CHAR(92),CHAR(92))),"$",_xlfn.CONCAT(CHAR(92),"$")),CHAR(96),_xlfn.CONCAT(CHAR(92),CHAR(96))),CHAR(34),CHAR(39))))</f>
        <v/>
      </c>
      <c r="P85" s="5" t="str">
        <f>IF(OR(TRIM($B85)="",$F85=""),"",IF(OR(ISNUMBER(SEARCH(_xlfn.CONCAT(CHAR(96),CHAR(34)),$F85)),ISNUMBER(SEARCH(_xlfn.CONCAT(CHAR(34),CHAR(39)),$F85))),_xlfn.CONCAT("* REVIEW REQUIRED: compound-quote delimiter in Units on Sheet 1 row ",85,"; edit the input before running."),_xlfn.CONCAT("char ",TRIM($B85),"[doc_units] ",CHAR(96),CHAR(34),SUBSTITUTE(SUBSTITUTE(SUBSTITUTE(SUBSTITUTE(SUBSTITUTE(SUBSTITUTE($F85,CHAR(13)," "),CHAR(10)," "),CHAR(9)," "),CHAR(92),_xlfn.CONCAT(CHAR(92),CHAR(92))),"$",_xlfn.CONCAT(CHAR(92),"$")),CHAR(96),_xlfn.CONCAT(CHAR(92),CHAR(96))),CHAR(34),CHAR(39))))</f>
        <v/>
      </c>
      <c r="Q85" s="5" t="str">
        <f>IF(OR(TRIM($B85)="",$G85=""),"",IF(OR(ISNUMBER(SEARCH(_xlfn.CONCAT(CHAR(96),CHAR(34)),$G85)),ISNUMBER(SEARCH(_xlfn.CONCAT(CHAR(34),CHAR(39)),$G85))),_xlfn.CONCAT("* REVIEW REQUIRED: compound-quote delimiter in Universe on Sheet 1 row ",85,"; edit the input before running."),_xlfn.CONCAT("char ",TRIM($B85),"[doc_universe] ",CHAR(96),CHAR(34),SUBSTITUTE(SUBSTITUTE(SUBSTITUTE(SUBSTITUTE(SUBSTITUTE(SUBSTITUTE($G85,CHAR(13)," "),CHAR(10)," "),CHAR(9)," "),CHAR(92),_xlfn.CONCAT(CHAR(92),CHAR(92))),"$",_xlfn.CONCAT(CHAR(92),"$")),CHAR(96),_xlfn.CONCAT(CHAR(92),CHAR(96))),CHAR(34),CHAR(39))))</f>
        <v/>
      </c>
      <c r="R85" s="5" t="str">
        <f>IF(OR(TRIM($B85)="",$H85=""),"",IF(OR(ISNUMBER(SEARCH(_xlfn.CONCAT(CHAR(96),CHAR(34)),$H85)),ISNUMBER(SEARCH(_xlfn.CONCAT(CHAR(34),CHAR(39)),$H85))),_xlfn.CONCAT("* REVIEW REQUIRED: compound-quote delimiter in Source on Sheet 1 row ",85,"; edit the input before running."),_xlfn.CONCAT("char ",TRIM($B85),"[doc_source] ",CHAR(96),CHAR(34),SUBSTITUTE(SUBSTITUTE(SUBSTITUTE(SUBSTITUTE(SUBSTITUTE(SUBSTITUTE($H85,CHAR(13)," "),CHAR(10)," "),CHAR(9)," "),CHAR(92),_xlfn.CONCAT(CHAR(92),CHAR(92))),"$",_xlfn.CONCAT(CHAR(92),"$")),CHAR(96),_xlfn.CONCAT(CHAR(92),CHAR(96))),CHAR(34),CHAR(39))))</f>
        <v/>
      </c>
      <c r="S85" s="5" t="str">
        <f>IF(OR(TRIM($B85)="",$I85=""),"",IF(OR(ISNUMBER(SEARCH(_xlfn.CONCAT(CHAR(96),CHAR(34)),$I85)),ISNUMBER(SEARCH(_xlfn.CONCAT(CHAR(34),CHAR(39)),$I85))),_xlfn.CONCAT("* REVIEW REQUIRED: compound-quote delimiter in Derivation on Sheet 1 row ",85,"; edit the input before running."),_xlfn.CONCAT("char ",TRIM($B85),"[doc_derivation] ",CHAR(96),CHAR(34),SUBSTITUTE(SUBSTITUTE(SUBSTITUTE(SUBSTITUTE(SUBSTITUTE(SUBSTITUTE($I85,CHAR(13)," "),CHAR(10)," "),CHAR(9)," "),CHAR(92),_xlfn.CONCAT(CHAR(92),CHAR(92))),"$",_xlfn.CONCAT(CHAR(92),"$")),CHAR(96),_xlfn.CONCAT(CHAR(92),CHAR(96))),CHAR(34),CHAR(39))))</f>
        <v/>
      </c>
      <c r="T85" s="5" t="str">
        <f>IF(OR(TRIM($B85)="",$J85=""),"",IF(OR(ISNUMBER(SEARCH(_xlfn.CONCAT(CHAR(96),CHAR(34)),$J85)),ISNUMBER(SEARCH(_xlfn.CONCAT(CHAR(34),CHAR(39)),$J85))),_xlfn.CONCAT("* REVIEW REQUIRED: compound-quote delimiter in Notes on Sheet 1 row ",85,"; edit the input before running."),_xlfn.CONCAT("char ",TRIM($B85),"[doc_notes] ",CHAR(96),CHAR(34),SUBSTITUTE(SUBSTITUTE(SUBSTITUTE(SUBSTITUTE(SUBSTITUTE(SUBSTITUTE($J85,CHAR(13)," "),CHAR(10)," "),CHAR(9)," "),CHAR(92),_xlfn.CONCAT(CHAR(92),CHAR(92))),"$",_xlfn.CONCAT(CHAR(92),"$")),CHAR(96),_xlfn.CONCAT(CHAR(92),CHAR(96))),CHAR(34),CHAR(39))))</f>
        <v/>
      </c>
      <c r="U85" s="5">
        <f t="shared" si="3"/>
        <v>0</v>
      </c>
    </row>
    <row r="86" spans="3:21" ht="30" customHeight="1" x14ac:dyDescent="0.2">
      <c r="C86" s="4"/>
      <c r="K86" s="5">
        <f t="shared" si="2"/>
        <v>0</v>
      </c>
      <c r="L86" s="5" t="str">
        <f>IF(OR(TRIM($B86)="",$A86=""),"",IF(OR(ISNUMBER(SEARCH(_xlfn.CONCAT(CHAR(96),CHAR(34)),$A86)),ISNUMBER(SEARCH(_xlfn.CONCAT(CHAR(34),CHAR(39)),$A86))),_xlfn.CONCAT("* REVIEW REQUIRED: compound-quote delimiter in Codebook Section on Sheet 1 row ",86,"; edit the input before running."),_xlfn.CONCAT("char ",TRIM($B86),"[doc_section] ",CHAR(96),CHAR(34),SUBSTITUTE(SUBSTITUTE(SUBSTITUTE(SUBSTITUTE(SUBSTITUTE(SUBSTITUTE($A86,CHAR(13)," "),CHAR(10)," "),CHAR(9)," "),CHAR(92),_xlfn.CONCAT(CHAR(92),CHAR(92))),"$",_xlfn.CONCAT(CHAR(92),"$")),CHAR(96),_xlfn.CONCAT(CHAR(92),CHAR(96))),CHAR(34),CHAR(39))))</f>
        <v/>
      </c>
      <c r="M86" s="5" t="str">
        <f>IF(OR(TRIM($B86)="",$C86=""),"",IF(IFERROR(MATCH(TRIM($C86),{"Quantitative","Continuous","Discrete","Categorical","Nominal","Ordinal","Identifier"},0),0)=0,_xlfn.CONCAT("* REVIEW REQUIRED: invalid Variable Type on Sheet 1 row ",86,"."),_xlfn.CONCAT("char ",TRIM($B86),"[doc_vartype] ",CHAR(96),CHAR(34),SUBSTITUTE(SUBSTITUTE(SUBSTITUTE(SUBSTITUTE(SUBSTITUTE(SUBSTITUTE(LOWER(TRIM($C86)),CHAR(13)," "),CHAR(10)," "),CHAR(9)," "),CHAR(92),_xlfn.CONCAT(CHAR(92),CHAR(92))),"$",_xlfn.CONCAT(CHAR(92),"$")),CHAR(96),_xlfn.CONCAT(CHAR(92),CHAR(96))),CHAR(34),CHAR(39))))</f>
        <v/>
      </c>
      <c r="N86" s="5" t="str">
        <f>IF(OR(TRIM($B86)="",$D86=""),"",IF(OR(ISNUMBER(SEARCH(_xlfn.CONCAT(CHAR(96),CHAR(34)),$D86)),ISNUMBER(SEARCH(_xlfn.CONCAT(CHAR(34),CHAR(39)),$D86))),_xlfn.CONCAT("* REVIEW REQUIRED: compound-quote delimiter in Item Number on Sheet 1 row ",86,"; edit the input before running."),_xlfn.CONCAT("char ",TRIM($B86),"[doc_itemnum] ",CHAR(96),CHAR(34),SUBSTITUTE(SUBSTITUTE(SUBSTITUTE(SUBSTITUTE(SUBSTITUTE(SUBSTITUTE($D86,CHAR(13)," "),CHAR(10)," "),CHAR(9)," "),CHAR(92),_xlfn.CONCAT(CHAR(92),CHAR(92))),"$",_xlfn.CONCAT(CHAR(92),"$")),CHAR(96),_xlfn.CONCAT(CHAR(92),CHAR(96))),CHAR(34),CHAR(39))))</f>
        <v/>
      </c>
      <c r="O86" s="5" t="str">
        <f>IF(OR(TRIM($B86)="",$E86=""),"",IF(OR(ISNUMBER(SEARCH(_xlfn.CONCAT(CHAR(96),CHAR(34)),$E86)),ISNUMBER(SEARCH(_xlfn.CONCAT(CHAR(34),CHAR(39)),$E86))),_xlfn.CONCAT("* REVIEW REQUIRED: compound-quote delimiter in Question Wording on Sheet 1 row ",86,"; edit the input before running."),_xlfn.CONCAT("char ",TRIM($B86),"[doc_question] ",CHAR(96),CHAR(34),SUBSTITUTE(SUBSTITUTE(SUBSTITUTE(SUBSTITUTE(SUBSTITUTE(SUBSTITUTE($E86,CHAR(13)," "),CHAR(10)," "),CHAR(9)," "),CHAR(92),_xlfn.CONCAT(CHAR(92),CHAR(92))),"$",_xlfn.CONCAT(CHAR(92),"$")),CHAR(96),_xlfn.CONCAT(CHAR(92),CHAR(96))),CHAR(34),CHAR(39))))</f>
        <v/>
      </c>
      <c r="P86" s="5" t="str">
        <f>IF(OR(TRIM($B86)="",$F86=""),"",IF(OR(ISNUMBER(SEARCH(_xlfn.CONCAT(CHAR(96),CHAR(34)),$F86)),ISNUMBER(SEARCH(_xlfn.CONCAT(CHAR(34),CHAR(39)),$F86))),_xlfn.CONCAT("* REVIEW REQUIRED: compound-quote delimiter in Units on Sheet 1 row ",86,"; edit the input before running."),_xlfn.CONCAT("char ",TRIM($B86),"[doc_units] ",CHAR(96),CHAR(34),SUBSTITUTE(SUBSTITUTE(SUBSTITUTE(SUBSTITUTE(SUBSTITUTE(SUBSTITUTE($F86,CHAR(13)," "),CHAR(10)," "),CHAR(9)," "),CHAR(92),_xlfn.CONCAT(CHAR(92),CHAR(92))),"$",_xlfn.CONCAT(CHAR(92),"$")),CHAR(96),_xlfn.CONCAT(CHAR(92),CHAR(96))),CHAR(34),CHAR(39))))</f>
        <v/>
      </c>
      <c r="Q86" s="5" t="str">
        <f>IF(OR(TRIM($B86)="",$G86=""),"",IF(OR(ISNUMBER(SEARCH(_xlfn.CONCAT(CHAR(96),CHAR(34)),$G86)),ISNUMBER(SEARCH(_xlfn.CONCAT(CHAR(34),CHAR(39)),$G86))),_xlfn.CONCAT("* REVIEW REQUIRED: compound-quote delimiter in Universe on Sheet 1 row ",86,"; edit the input before running."),_xlfn.CONCAT("char ",TRIM($B86),"[doc_universe] ",CHAR(96),CHAR(34),SUBSTITUTE(SUBSTITUTE(SUBSTITUTE(SUBSTITUTE(SUBSTITUTE(SUBSTITUTE($G86,CHAR(13)," "),CHAR(10)," "),CHAR(9)," "),CHAR(92),_xlfn.CONCAT(CHAR(92),CHAR(92))),"$",_xlfn.CONCAT(CHAR(92),"$")),CHAR(96),_xlfn.CONCAT(CHAR(92),CHAR(96))),CHAR(34),CHAR(39))))</f>
        <v/>
      </c>
      <c r="R86" s="5" t="str">
        <f>IF(OR(TRIM($B86)="",$H86=""),"",IF(OR(ISNUMBER(SEARCH(_xlfn.CONCAT(CHAR(96),CHAR(34)),$H86)),ISNUMBER(SEARCH(_xlfn.CONCAT(CHAR(34),CHAR(39)),$H86))),_xlfn.CONCAT("* REVIEW REQUIRED: compound-quote delimiter in Source on Sheet 1 row ",86,"; edit the input before running."),_xlfn.CONCAT("char ",TRIM($B86),"[doc_source] ",CHAR(96),CHAR(34),SUBSTITUTE(SUBSTITUTE(SUBSTITUTE(SUBSTITUTE(SUBSTITUTE(SUBSTITUTE($H86,CHAR(13)," "),CHAR(10)," "),CHAR(9)," "),CHAR(92),_xlfn.CONCAT(CHAR(92),CHAR(92))),"$",_xlfn.CONCAT(CHAR(92),"$")),CHAR(96),_xlfn.CONCAT(CHAR(92),CHAR(96))),CHAR(34),CHAR(39))))</f>
        <v/>
      </c>
      <c r="S86" s="5" t="str">
        <f>IF(OR(TRIM($B86)="",$I86=""),"",IF(OR(ISNUMBER(SEARCH(_xlfn.CONCAT(CHAR(96),CHAR(34)),$I86)),ISNUMBER(SEARCH(_xlfn.CONCAT(CHAR(34),CHAR(39)),$I86))),_xlfn.CONCAT("* REVIEW REQUIRED: compound-quote delimiter in Derivation on Sheet 1 row ",86,"; edit the input before running."),_xlfn.CONCAT("char ",TRIM($B86),"[doc_derivation] ",CHAR(96),CHAR(34),SUBSTITUTE(SUBSTITUTE(SUBSTITUTE(SUBSTITUTE(SUBSTITUTE(SUBSTITUTE($I86,CHAR(13)," "),CHAR(10)," "),CHAR(9)," "),CHAR(92),_xlfn.CONCAT(CHAR(92),CHAR(92))),"$",_xlfn.CONCAT(CHAR(92),"$")),CHAR(96),_xlfn.CONCAT(CHAR(92),CHAR(96))),CHAR(34),CHAR(39))))</f>
        <v/>
      </c>
      <c r="T86" s="5" t="str">
        <f>IF(OR(TRIM($B86)="",$J86=""),"",IF(OR(ISNUMBER(SEARCH(_xlfn.CONCAT(CHAR(96),CHAR(34)),$J86)),ISNUMBER(SEARCH(_xlfn.CONCAT(CHAR(34),CHAR(39)),$J86))),_xlfn.CONCAT("* REVIEW REQUIRED: compound-quote delimiter in Notes on Sheet 1 row ",86,"; edit the input before running."),_xlfn.CONCAT("char ",TRIM($B86),"[doc_notes] ",CHAR(96),CHAR(34),SUBSTITUTE(SUBSTITUTE(SUBSTITUTE(SUBSTITUTE(SUBSTITUTE(SUBSTITUTE($J86,CHAR(13)," "),CHAR(10)," "),CHAR(9)," "),CHAR(92),_xlfn.CONCAT(CHAR(92),CHAR(92))),"$",_xlfn.CONCAT(CHAR(92),"$")),CHAR(96),_xlfn.CONCAT(CHAR(92),CHAR(96))),CHAR(34),CHAR(39))))</f>
        <v/>
      </c>
      <c r="U86" s="5">
        <f t="shared" si="3"/>
        <v>0</v>
      </c>
    </row>
    <row r="87" spans="3:21" ht="30" customHeight="1" x14ac:dyDescent="0.2">
      <c r="C87" s="4"/>
      <c r="K87" s="5">
        <f t="shared" si="2"/>
        <v>0</v>
      </c>
      <c r="L87" s="5" t="str">
        <f>IF(OR(TRIM($B87)="",$A87=""),"",IF(OR(ISNUMBER(SEARCH(_xlfn.CONCAT(CHAR(96),CHAR(34)),$A87)),ISNUMBER(SEARCH(_xlfn.CONCAT(CHAR(34),CHAR(39)),$A87))),_xlfn.CONCAT("* REVIEW REQUIRED: compound-quote delimiter in Codebook Section on Sheet 1 row ",87,"; edit the input before running."),_xlfn.CONCAT("char ",TRIM($B87),"[doc_section] ",CHAR(96),CHAR(34),SUBSTITUTE(SUBSTITUTE(SUBSTITUTE(SUBSTITUTE(SUBSTITUTE(SUBSTITUTE($A87,CHAR(13)," "),CHAR(10)," "),CHAR(9)," "),CHAR(92),_xlfn.CONCAT(CHAR(92),CHAR(92))),"$",_xlfn.CONCAT(CHAR(92),"$")),CHAR(96),_xlfn.CONCAT(CHAR(92),CHAR(96))),CHAR(34),CHAR(39))))</f>
        <v/>
      </c>
      <c r="M87" s="5" t="str">
        <f>IF(OR(TRIM($B87)="",$C87=""),"",IF(IFERROR(MATCH(TRIM($C87),{"Quantitative","Continuous","Discrete","Categorical","Nominal","Ordinal","Identifier"},0),0)=0,_xlfn.CONCAT("* REVIEW REQUIRED: invalid Variable Type on Sheet 1 row ",87,"."),_xlfn.CONCAT("char ",TRIM($B87),"[doc_vartype] ",CHAR(96),CHAR(34),SUBSTITUTE(SUBSTITUTE(SUBSTITUTE(SUBSTITUTE(SUBSTITUTE(SUBSTITUTE(LOWER(TRIM($C87)),CHAR(13)," "),CHAR(10)," "),CHAR(9)," "),CHAR(92),_xlfn.CONCAT(CHAR(92),CHAR(92))),"$",_xlfn.CONCAT(CHAR(92),"$")),CHAR(96),_xlfn.CONCAT(CHAR(92),CHAR(96))),CHAR(34),CHAR(39))))</f>
        <v/>
      </c>
      <c r="N87" s="5" t="str">
        <f>IF(OR(TRIM($B87)="",$D87=""),"",IF(OR(ISNUMBER(SEARCH(_xlfn.CONCAT(CHAR(96),CHAR(34)),$D87)),ISNUMBER(SEARCH(_xlfn.CONCAT(CHAR(34),CHAR(39)),$D87))),_xlfn.CONCAT("* REVIEW REQUIRED: compound-quote delimiter in Item Number on Sheet 1 row ",87,"; edit the input before running."),_xlfn.CONCAT("char ",TRIM($B87),"[doc_itemnum] ",CHAR(96),CHAR(34),SUBSTITUTE(SUBSTITUTE(SUBSTITUTE(SUBSTITUTE(SUBSTITUTE(SUBSTITUTE($D87,CHAR(13)," "),CHAR(10)," "),CHAR(9)," "),CHAR(92),_xlfn.CONCAT(CHAR(92),CHAR(92))),"$",_xlfn.CONCAT(CHAR(92),"$")),CHAR(96),_xlfn.CONCAT(CHAR(92),CHAR(96))),CHAR(34),CHAR(39))))</f>
        <v/>
      </c>
      <c r="O87" s="5" t="str">
        <f>IF(OR(TRIM($B87)="",$E87=""),"",IF(OR(ISNUMBER(SEARCH(_xlfn.CONCAT(CHAR(96),CHAR(34)),$E87)),ISNUMBER(SEARCH(_xlfn.CONCAT(CHAR(34),CHAR(39)),$E87))),_xlfn.CONCAT("* REVIEW REQUIRED: compound-quote delimiter in Question Wording on Sheet 1 row ",87,"; edit the input before running."),_xlfn.CONCAT("char ",TRIM($B87),"[doc_question] ",CHAR(96),CHAR(34),SUBSTITUTE(SUBSTITUTE(SUBSTITUTE(SUBSTITUTE(SUBSTITUTE(SUBSTITUTE($E87,CHAR(13)," "),CHAR(10)," "),CHAR(9)," "),CHAR(92),_xlfn.CONCAT(CHAR(92),CHAR(92))),"$",_xlfn.CONCAT(CHAR(92),"$")),CHAR(96),_xlfn.CONCAT(CHAR(92),CHAR(96))),CHAR(34),CHAR(39))))</f>
        <v/>
      </c>
      <c r="P87" s="5" t="str">
        <f>IF(OR(TRIM($B87)="",$F87=""),"",IF(OR(ISNUMBER(SEARCH(_xlfn.CONCAT(CHAR(96),CHAR(34)),$F87)),ISNUMBER(SEARCH(_xlfn.CONCAT(CHAR(34),CHAR(39)),$F87))),_xlfn.CONCAT("* REVIEW REQUIRED: compound-quote delimiter in Units on Sheet 1 row ",87,"; edit the input before running."),_xlfn.CONCAT("char ",TRIM($B87),"[doc_units] ",CHAR(96),CHAR(34),SUBSTITUTE(SUBSTITUTE(SUBSTITUTE(SUBSTITUTE(SUBSTITUTE(SUBSTITUTE($F87,CHAR(13)," "),CHAR(10)," "),CHAR(9)," "),CHAR(92),_xlfn.CONCAT(CHAR(92),CHAR(92))),"$",_xlfn.CONCAT(CHAR(92),"$")),CHAR(96),_xlfn.CONCAT(CHAR(92),CHAR(96))),CHAR(34),CHAR(39))))</f>
        <v/>
      </c>
      <c r="Q87" s="5" t="str">
        <f>IF(OR(TRIM($B87)="",$G87=""),"",IF(OR(ISNUMBER(SEARCH(_xlfn.CONCAT(CHAR(96),CHAR(34)),$G87)),ISNUMBER(SEARCH(_xlfn.CONCAT(CHAR(34),CHAR(39)),$G87))),_xlfn.CONCAT("* REVIEW REQUIRED: compound-quote delimiter in Universe on Sheet 1 row ",87,"; edit the input before running."),_xlfn.CONCAT("char ",TRIM($B87),"[doc_universe] ",CHAR(96),CHAR(34),SUBSTITUTE(SUBSTITUTE(SUBSTITUTE(SUBSTITUTE(SUBSTITUTE(SUBSTITUTE($G87,CHAR(13)," "),CHAR(10)," "),CHAR(9)," "),CHAR(92),_xlfn.CONCAT(CHAR(92),CHAR(92))),"$",_xlfn.CONCAT(CHAR(92),"$")),CHAR(96),_xlfn.CONCAT(CHAR(92),CHAR(96))),CHAR(34),CHAR(39))))</f>
        <v/>
      </c>
      <c r="R87" s="5" t="str">
        <f>IF(OR(TRIM($B87)="",$H87=""),"",IF(OR(ISNUMBER(SEARCH(_xlfn.CONCAT(CHAR(96),CHAR(34)),$H87)),ISNUMBER(SEARCH(_xlfn.CONCAT(CHAR(34),CHAR(39)),$H87))),_xlfn.CONCAT("* REVIEW REQUIRED: compound-quote delimiter in Source on Sheet 1 row ",87,"; edit the input before running."),_xlfn.CONCAT("char ",TRIM($B87),"[doc_source] ",CHAR(96),CHAR(34),SUBSTITUTE(SUBSTITUTE(SUBSTITUTE(SUBSTITUTE(SUBSTITUTE(SUBSTITUTE($H87,CHAR(13)," "),CHAR(10)," "),CHAR(9)," "),CHAR(92),_xlfn.CONCAT(CHAR(92),CHAR(92))),"$",_xlfn.CONCAT(CHAR(92),"$")),CHAR(96),_xlfn.CONCAT(CHAR(92),CHAR(96))),CHAR(34),CHAR(39))))</f>
        <v/>
      </c>
      <c r="S87" s="5" t="str">
        <f>IF(OR(TRIM($B87)="",$I87=""),"",IF(OR(ISNUMBER(SEARCH(_xlfn.CONCAT(CHAR(96),CHAR(34)),$I87)),ISNUMBER(SEARCH(_xlfn.CONCAT(CHAR(34),CHAR(39)),$I87))),_xlfn.CONCAT("* REVIEW REQUIRED: compound-quote delimiter in Derivation on Sheet 1 row ",87,"; edit the input before running."),_xlfn.CONCAT("char ",TRIM($B87),"[doc_derivation] ",CHAR(96),CHAR(34),SUBSTITUTE(SUBSTITUTE(SUBSTITUTE(SUBSTITUTE(SUBSTITUTE(SUBSTITUTE($I87,CHAR(13)," "),CHAR(10)," "),CHAR(9)," "),CHAR(92),_xlfn.CONCAT(CHAR(92),CHAR(92))),"$",_xlfn.CONCAT(CHAR(92),"$")),CHAR(96),_xlfn.CONCAT(CHAR(92),CHAR(96))),CHAR(34),CHAR(39))))</f>
        <v/>
      </c>
      <c r="T87" s="5" t="str">
        <f>IF(OR(TRIM($B87)="",$J87=""),"",IF(OR(ISNUMBER(SEARCH(_xlfn.CONCAT(CHAR(96),CHAR(34)),$J87)),ISNUMBER(SEARCH(_xlfn.CONCAT(CHAR(34),CHAR(39)),$J87))),_xlfn.CONCAT("* REVIEW REQUIRED: compound-quote delimiter in Notes on Sheet 1 row ",87,"; edit the input before running."),_xlfn.CONCAT("char ",TRIM($B87),"[doc_notes] ",CHAR(96),CHAR(34),SUBSTITUTE(SUBSTITUTE(SUBSTITUTE(SUBSTITUTE(SUBSTITUTE(SUBSTITUTE($J87,CHAR(13)," "),CHAR(10)," "),CHAR(9)," "),CHAR(92),_xlfn.CONCAT(CHAR(92),CHAR(92))),"$",_xlfn.CONCAT(CHAR(92),"$")),CHAR(96),_xlfn.CONCAT(CHAR(92),CHAR(96))),CHAR(34),CHAR(39))))</f>
        <v/>
      </c>
      <c r="U87" s="5">
        <f t="shared" si="3"/>
        <v>0</v>
      </c>
    </row>
    <row r="88" spans="3:21" ht="30" customHeight="1" x14ac:dyDescent="0.2">
      <c r="C88" s="4"/>
      <c r="K88" s="5">
        <f t="shared" si="2"/>
        <v>0</v>
      </c>
      <c r="L88" s="5" t="str">
        <f>IF(OR(TRIM($B88)="",$A88=""),"",IF(OR(ISNUMBER(SEARCH(_xlfn.CONCAT(CHAR(96),CHAR(34)),$A88)),ISNUMBER(SEARCH(_xlfn.CONCAT(CHAR(34),CHAR(39)),$A88))),_xlfn.CONCAT("* REVIEW REQUIRED: compound-quote delimiter in Codebook Section on Sheet 1 row ",88,"; edit the input before running."),_xlfn.CONCAT("char ",TRIM($B88),"[doc_section] ",CHAR(96),CHAR(34),SUBSTITUTE(SUBSTITUTE(SUBSTITUTE(SUBSTITUTE(SUBSTITUTE(SUBSTITUTE($A88,CHAR(13)," "),CHAR(10)," "),CHAR(9)," "),CHAR(92),_xlfn.CONCAT(CHAR(92),CHAR(92))),"$",_xlfn.CONCAT(CHAR(92),"$")),CHAR(96),_xlfn.CONCAT(CHAR(92),CHAR(96))),CHAR(34),CHAR(39))))</f>
        <v/>
      </c>
      <c r="M88" s="5" t="str">
        <f>IF(OR(TRIM($B88)="",$C88=""),"",IF(IFERROR(MATCH(TRIM($C88),{"Quantitative","Continuous","Discrete","Categorical","Nominal","Ordinal","Identifier"},0),0)=0,_xlfn.CONCAT("* REVIEW REQUIRED: invalid Variable Type on Sheet 1 row ",88,"."),_xlfn.CONCAT("char ",TRIM($B88),"[doc_vartype] ",CHAR(96),CHAR(34),SUBSTITUTE(SUBSTITUTE(SUBSTITUTE(SUBSTITUTE(SUBSTITUTE(SUBSTITUTE(LOWER(TRIM($C88)),CHAR(13)," "),CHAR(10)," "),CHAR(9)," "),CHAR(92),_xlfn.CONCAT(CHAR(92),CHAR(92))),"$",_xlfn.CONCAT(CHAR(92),"$")),CHAR(96),_xlfn.CONCAT(CHAR(92),CHAR(96))),CHAR(34),CHAR(39))))</f>
        <v/>
      </c>
      <c r="N88" s="5" t="str">
        <f>IF(OR(TRIM($B88)="",$D88=""),"",IF(OR(ISNUMBER(SEARCH(_xlfn.CONCAT(CHAR(96),CHAR(34)),$D88)),ISNUMBER(SEARCH(_xlfn.CONCAT(CHAR(34),CHAR(39)),$D88))),_xlfn.CONCAT("* REVIEW REQUIRED: compound-quote delimiter in Item Number on Sheet 1 row ",88,"; edit the input before running."),_xlfn.CONCAT("char ",TRIM($B88),"[doc_itemnum] ",CHAR(96),CHAR(34),SUBSTITUTE(SUBSTITUTE(SUBSTITUTE(SUBSTITUTE(SUBSTITUTE(SUBSTITUTE($D88,CHAR(13)," "),CHAR(10)," "),CHAR(9)," "),CHAR(92),_xlfn.CONCAT(CHAR(92),CHAR(92))),"$",_xlfn.CONCAT(CHAR(92),"$")),CHAR(96),_xlfn.CONCAT(CHAR(92),CHAR(96))),CHAR(34),CHAR(39))))</f>
        <v/>
      </c>
      <c r="O88" s="5" t="str">
        <f>IF(OR(TRIM($B88)="",$E88=""),"",IF(OR(ISNUMBER(SEARCH(_xlfn.CONCAT(CHAR(96),CHAR(34)),$E88)),ISNUMBER(SEARCH(_xlfn.CONCAT(CHAR(34),CHAR(39)),$E88))),_xlfn.CONCAT("* REVIEW REQUIRED: compound-quote delimiter in Question Wording on Sheet 1 row ",88,"; edit the input before running."),_xlfn.CONCAT("char ",TRIM($B88),"[doc_question] ",CHAR(96),CHAR(34),SUBSTITUTE(SUBSTITUTE(SUBSTITUTE(SUBSTITUTE(SUBSTITUTE(SUBSTITUTE($E88,CHAR(13)," "),CHAR(10)," "),CHAR(9)," "),CHAR(92),_xlfn.CONCAT(CHAR(92),CHAR(92))),"$",_xlfn.CONCAT(CHAR(92),"$")),CHAR(96),_xlfn.CONCAT(CHAR(92),CHAR(96))),CHAR(34),CHAR(39))))</f>
        <v/>
      </c>
      <c r="P88" s="5" t="str">
        <f>IF(OR(TRIM($B88)="",$F88=""),"",IF(OR(ISNUMBER(SEARCH(_xlfn.CONCAT(CHAR(96),CHAR(34)),$F88)),ISNUMBER(SEARCH(_xlfn.CONCAT(CHAR(34),CHAR(39)),$F88))),_xlfn.CONCAT("* REVIEW REQUIRED: compound-quote delimiter in Units on Sheet 1 row ",88,"; edit the input before running."),_xlfn.CONCAT("char ",TRIM($B88),"[doc_units] ",CHAR(96),CHAR(34),SUBSTITUTE(SUBSTITUTE(SUBSTITUTE(SUBSTITUTE(SUBSTITUTE(SUBSTITUTE($F88,CHAR(13)," "),CHAR(10)," "),CHAR(9)," "),CHAR(92),_xlfn.CONCAT(CHAR(92),CHAR(92))),"$",_xlfn.CONCAT(CHAR(92),"$")),CHAR(96),_xlfn.CONCAT(CHAR(92),CHAR(96))),CHAR(34),CHAR(39))))</f>
        <v/>
      </c>
      <c r="Q88" s="5" t="str">
        <f>IF(OR(TRIM($B88)="",$G88=""),"",IF(OR(ISNUMBER(SEARCH(_xlfn.CONCAT(CHAR(96),CHAR(34)),$G88)),ISNUMBER(SEARCH(_xlfn.CONCAT(CHAR(34),CHAR(39)),$G88))),_xlfn.CONCAT("* REVIEW REQUIRED: compound-quote delimiter in Universe on Sheet 1 row ",88,"; edit the input before running."),_xlfn.CONCAT("char ",TRIM($B88),"[doc_universe] ",CHAR(96),CHAR(34),SUBSTITUTE(SUBSTITUTE(SUBSTITUTE(SUBSTITUTE(SUBSTITUTE(SUBSTITUTE($G88,CHAR(13)," "),CHAR(10)," "),CHAR(9)," "),CHAR(92),_xlfn.CONCAT(CHAR(92),CHAR(92))),"$",_xlfn.CONCAT(CHAR(92),"$")),CHAR(96),_xlfn.CONCAT(CHAR(92),CHAR(96))),CHAR(34),CHAR(39))))</f>
        <v/>
      </c>
      <c r="R88" s="5" t="str">
        <f>IF(OR(TRIM($B88)="",$H88=""),"",IF(OR(ISNUMBER(SEARCH(_xlfn.CONCAT(CHAR(96),CHAR(34)),$H88)),ISNUMBER(SEARCH(_xlfn.CONCAT(CHAR(34),CHAR(39)),$H88))),_xlfn.CONCAT("* REVIEW REQUIRED: compound-quote delimiter in Source on Sheet 1 row ",88,"; edit the input before running."),_xlfn.CONCAT("char ",TRIM($B88),"[doc_source] ",CHAR(96),CHAR(34),SUBSTITUTE(SUBSTITUTE(SUBSTITUTE(SUBSTITUTE(SUBSTITUTE(SUBSTITUTE($H88,CHAR(13)," "),CHAR(10)," "),CHAR(9)," "),CHAR(92),_xlfn.CONCAT(CHAR(92),CHAR(92))),"$",_xlfn.CONCAT(CHAR(92),"$")),CHAR(96),_xlfn.CONCAT(CHAR(92),CHAR(96))),CHAR(34),CHAR(39))))</f>
        <v/>
      </c>
      <c r="S88" s="5" t="str">
        <f>IF(OR(TRIM($B88)="",$I88=""),"",IF(OR(ISNUMBER(SEARCH(_xlfn.CONCAT(CHAR(96),CHAR(34)),$I88)),ISNUMBER(SEARCH(_xlfn.CONCAT(CHAR(34),CHAR(39)),$I88))),_xlfn.CONCAT("* REVIEW REQUIRED: compound-quote delimiter in Derivation on Sheet 1 row ",88,"; edit the input before running."),_xlfn.CONCAT("char ",TRIM($B88),"[doc_derivation] ",CHAR(96),CHAR(34),SUBSTITUTE(SUBSTITUTE(SUBSTITUTE(SUBSTITUTE(SUBSTITUTE(SUBSTITUTE($I88,CHAR(13)," "),CHAR(10)," "),CHAR(9)," "),CHAR(92),_xlfn.CONCAT(CHAR(92),CHAR(92))),"$",_xlfn.CONCAT(CHAR(92),"$")),CHAR(96),_xlfn.CONCAT(CHAR(92),CHAR(96))),CHAR(34),CHAR(39))))</f>
        <v/>
      </c>
      <c r="T88" s="5" t="str">
        <f>IF(OR(TRIM($B88)="",$J88=""),"",IF(OR(ISNUMBER(SEARCH(_xlfn.CONCAT(CHAR(96),CHAR(34)),$J88)),ISNUMBER(SEARCH(_xlfn.CONCAT(CHAR(34),CHAR(39)),$J88))),_xlfn.CONCAT("* REVIEW REQUIRED: compound-quote delimiter in Notes on Sheet 1 row ",88,"; edit the input before running."),_xlfn.CONCAT("char ",TRIM($B88),"[doc_notes] ",CHAR(96),CHAR(34),SUBSTITUTE(SUBSTITUTE(SUBSTITUTE(SUBSTITUTE(SUBSTITUTE(SUBSTITUTE($J88,CHAR(13)," "),CHAR(10)," "),CHAR(9)," "),CHAR(92),_xlfn.CONCAT(CHAR(92),CHAR(92))),"$",_xlfn.CONCAT(CHAR(92),"$")),CHAR(96),_xlfn.CONCAT(CHAR(92),CHAR(96))),CHAR(34),CHAR(39))))</f>
        <v/>
      </c>
      <c r="U88" s="5">
        <f t="shared" si="3"/>
        <v>0</v>
      </c>
    </row>
    <row r="89" spans="3:21" ht="30" customHeight="1" x14ac:dyDescent="0.2">
      <c r="C89" s="4"/>
      <c r="K89" s="5">
        <f t="shared" si="2"/>
        <v>0</v>
      </c>
      <c r="L89" s="5" t="str">
        <f>IF(OR(TRIM($B89)="",$A89=""),"",IF(OR(ISNUMBER(SEARCH(_xlfn.CONCAT(CHAR(96),CHAR(34)),$A89)),ISNUMBER(SEARCH(_xlfn.CONCAT(CHAR(34),CHAR(39)),$A89))),_xlfn.CONCAT("* REVIEW REQUIRED: compound-quote delimiter in Codebook Section on Sheet 1 row ",89,"; edit the input before running."),_xlfn.CONCAT("char ",TRIM($B89),"[doc_section] ",CHAR(96),CHAR(34),SUBSTITUTE(SUBSTITUTE(SUBSTITUTE(SUBSTITUTE(SUBSTITUTE(SUBSTITUTE($A89,CHAR(13)," "),CHAR(10)," "),CHAR(9)," "),CHAR(92),_xlfn.CONCAT(CHAR(92),CHAR(92))),"$",_xlfn.CONCAT(CHAR(92),"$")),CHAR(96),_xlfn.CONCAT(CHAR(92),CHAR(96))),CHAR(34),CHAR(39))))</f>
        <v/>
      </c>
      <c r="M89" s="5" t="str">
        <f>IF(OR(TRIM($B89)="",$C89=""),"",IF(IFERROR(MATCH(TRIM($C89),{"Quantitative","Continuous","Discrete","Categorical","Nominal","Ordinal","Identifier"},0),0)=0,_xlfn.CONCAT("* REVIEW REQUIRED: invalid Variable Type on Sheet 1 row ",89,"."),_xlfn.CONCAT("char ",TRIM($B89),"[doc_vartype] ",CHAR(96),CHAR(34),SUBSTITUTE(SUBSTITUTE(SUBSTITUTE(SUBSTITUTE(SUBSTITUTE(SUBSTITUTE(LOWER(TRIM($C89)),CHAR(13)," "),CHAR(10)," "),CHAR(9)," "),CHAR(92),_xlfn.CONCAT(CHAR(92),CHAR(92))),"$",_xlfn.CONCAT(CHAR(92),"$")),CHAR(96),_xlfn.CONCAT(CHAR(92),CHAR(96))),CHAR(34),CHAR(39))))</f>
        <v/>
      </c>
      <c r="N89" s="5" t="str">
        <f>IF(OR(TRIM($B89)="",$D89=""),"",IF(OR(ISNUMBER(SEARCH(_xlfn.CONCAT(CHAR(96),CHAR(34)),$D89)),ISNUMBER(SEARCH(_xlfn.CONCAT(CHAR(34),CHAR(39)),$D89))),_xlfn.CONCAT("* REVIEW REQUIRED: compound-quote delimiter in Item Number on Sheet 1 row ",89,"; edit the input before running."),_xlfn.CONCAT("char ",TRIM($B89),"[doc_itemnum] ",CHAR(96),CHAR(34),SUBSTITUTE(SUBSTITUTE(SUBSTITUTE(SUBSTITUTE(SUBSTITUTE(SUBSTITUTE($D89,CHAR(13)," "),CHAR(10)," "),CHAR(9)," "),CHAR(92),_xlfn.CONCAT(CHAR(92),CHAR(92))),"$",_xlfn.CONCAT(CHAR(92),"$")),CHAR(96),_xlfn.CONCAT(CHAR(92),CHAR(96))),CHAR(34),CHAR(39))))</f>
        <v/>
      </c>
      <c r="O89" s="5" t="str">
        <f>IF(OR(TRIM($B89)="",$E89=""),"",IF(OR(ISNUMBER(SEARCH(_xlfn.CONCAT(CHAR(96),CHAR(34)),$E89)),ISNUMBER(SEARCH(_xlfn.CONCAT(CHAR(34),CHAR(39)),$E89))),_xlfn.CONCAT("* REVIEW REQUIRED: compound-quote delimiter in Question Wording on Sheet 1 row ",89,"; edit the input before running."),_xlfn.CONCAT("char ",TRIM($B89),"[doc_question] ",CHAR(96),CHAR(34),SUBSTITUTE(SUBSTITUTE(SUBSTITUTE(SUBSTITUTE(SUBSTITUTE(SUBSTITUTE($E89,CHAR(13)," "),CHAR(10)," "),CHAR(9)," "),CHAR(92),_xlfn.CONCAT(CHAR(92),CHAR(92))),"$",_xlfn.CONCAT(CHAR(92),"$")),CHAR(96),_xlfn.CONCAT(CHAR(92),CHAR(96))),CHAR(34),CHAR(39))))</f>
        <v/>
      </c>
      <c r="P89" s="5" t="str">
        <f>IF(OR(TRIM($B89)="",$F89=""),"",IF(OR(ISNUMBER(SEARCH(_xlfn.CONCAT(CHAR(96),CHAR(34)),$F89)),ISNUMBER(SEARCH(_xlfn.CONCAT(CHAR(34),CHAR(39)),$F89))),_xlfn.CONCAT("* REVIEW REQUIRED: compound-quote delimiter in Units on Sheet 1 row ",89,"; edit the input before running."),_xlfn.CONCAT("char ",TRIM($B89),"[doc_units] ",CHAR(96),CHAR(34),SUBSTITUTE(SUBSTITUTE(SUBSTITUTE(SUBSTITUTE(SUBSTITUTE(SUBSTITUTE($F89,CHAR(13)," "),CHAR(10)," "),CHAR(9)," "),CHAR(92),_xlfn.CONCAT(CHAR(92),CHAR(92))),"$",_xlfn.CONCAT(CHAR(92),"$")),CHAR(96),_xlfn.CONCAT(CHAR(92),CHAR(96))),CHAR(34),CHAR(39))))</f>
        <v/>
      </c>
      <c r="Q89" s="5" t="str">
        <f>IF(OR(TRIM($B89)="",$G89=""),"",IF(OR(ISNUMBER(SEARCH(_xlfn.CONCAT(CHAR(96),CHAR(34)),$G89)),ISNUMBER(SEARCH(_xlfn.CONCAT(CHAR(34),CHAR(39)),$G89))),_xlfn.CONCAT("* REVIEW REQUIRED: compound-quote delimiter in Universe on Sheet 1 row ",89,"; edit the input before running."),_xlfn.CONCAT("char ",TRIM($B89),"[doc_universe] ",CHAR(96),CHAR(34),SUBSTITUTE(SUBSTITUTE(SUBSTITUTE(SUBSTITUTE(SUBSTITUTE(SUBSTITUTE($G89,CHAR(13)," "),CHAR(10)," "),CHAR(9)," "),CHAR(92),_xlfn.CONCAT(CHAR(92),CHAR(92))),"$",_xlfn.CONCAT(CHAR(92),"$")),CHAR(96),_xlfn.CONCAT(CHAR(92),CHAR(96))),CHAR(34),CHAR(39))))</f>
        <v/>
      </c>
      <c r="R89" s="5" t="str">
        <f>IF(OR(TRIM($B89)="",$H89=""),"",IF(OR(ISNUMBER(SEARCH(_xlfn.CONCAT(CHAR(96),CHAR(34)),$H89)),ISNUMBER(SEARCH(_xlfn.CONCAT(CHAR(34),CHAR(39)),$H89))),_xlfn.CONCAT("* REVIEW REQUIRED: compound-quote delimiter in Source on Sheet 1 row ",89,"; edit the input before running."),_xlfn.CONCAT("char ",TRIM($B89),"[doc_source] ",CHAR(96),CHAR(34),SUBSTITUTE(SUBSTITUTE(SUBSTITUTE(SUBSTITUTE(SUBSTITUTE(SUBSTITUTE($H89,CHAR(13)," "),CHAR(10)," "),CHAR(9)," "),CHAR(92),_xlfn.CONCAT(CHAR(92),CHAR(92))),"$",_xlfn.CONCAT(CHAR(92),"$")),CHAR(96),_xlfn.CONCAT(CHAR(92),CHAR(96))),CHAR(34),CHAR(39))))</f>
        <v/>
      </c>
      <c r="S89" s="5" t="str">
        <f>IF(OR(TRIM($B89)="",$I89=""),"",IF(OR(ISNUMBER(SEARCH(_xlfn.CONCAT(CHAR(96),CHAR(34)),$I89)),ISNUMBER(SEARCH(_xlfn.CONCAT(CHAR(34),CHAR(39)),$I89))),_xlfn.CONCAT("* REVIEW REQUIRED: compound-quote delimiter in Derivation on Sheet 1 row ",89,"; edit the input before running."),_xlfn.CONCAT("char ",TRIM($B89),"[doc_derivation] ",CHAR(96),CHAR(34),SUBSTITUTE(SUBSTITUTE(SUBSTITUTE(SUBSTITUTE(SUBSTITUTE(SUBSTITUTE($I89,CHAR(13)," "),CHAR(10)," "),CHAR(9)," "),CHAR(92),_xlfn.CONCAT(CHAR(92),CHAR(92))),"$",_xlfn.CONCAT(CHAR(92),"$")),CHAR(96),_xlfn.CONCAT(CHAR(92),CHAR(96))),CHAR(34),CHAR(39))))</f>
        <v/>
      </c>
      <c r="T89" s="5" t="str">
        <f>IF(OR(TRIM($B89)="",$J89=""),"",IF(OR(ISNUMBER(SEARCH(_xlfn.CONCAT(CHAR(96),CHAR(34)),$J89)),ISNUMBER(SEARCH(_xlfn.CONCAT(CHAR(34),CHAR(39)),$J89))),_xlfn.CONCAT("* REVIEW REQUIRED: compound-quote delimiter in Notes on Sheet 1 row ",89,"; edit the input before running."),_xlfn.CONCAT("char ",TRIM($B89),"[doc_notes] ",CHAR(96),CHAR(34),SUBSTITUTE(SUBSTITUTE(SUBSTITUTE(SUBSTITUTE(SUBSTITUTE(SUBSTITUTE($J89,CHAR(13)," "),CHAR(10)," "),CHAR(9)," "),CHAR(92),_xlfn.CONCAT(CHAR(92),CHAR(92))),"$",_xlfn.CONCAT(CHAR(92),"$")),CHAR(96),_xlfn.CONCAT(CHAR(92),CHAR(96))),CHAR(34),CHAR(39))))</f>
        <v/>
      </c>
      <c r="U89" s="5">
        <f t="shared" si="3"/>
        <v>0</v>
      </c>
    </row>
    <row r="90" spans="3:21" ht="30" customHeight="1" x14ac:dyDescent="0.2">
      <c r="C90" s="4"/>
      <c r="K90" s="5">
        <f t="shared" si="2"/>
        <v>0</v>
      </c>
      <c r="L90" s="5" t="str">
        <f>IF(OR(TRIM($B90)="",$A90=""),"",IF(OR(ISNUMBER(SEARCH(_xlfn.CONCAT(CHAR(96),CHAR(34)),$A90)),ISNUMBER(SEARCH(_xlfn.CONCAT(CHAR(34),CHAR(39)),$A90))),_xlfn.CONCAT("* REVIEW REQUIRED: compound-quote delimiter in Codebook Section on Sheet 1 row ",90,"; edit the input before running."),_xlfn.CONCAT("char ",TRIM($B90),"[doc_section] ",CHAR(96),CHAR(34),SUBSTITUTE(SUBSTITUTE(SUBSTITUTE(SUBSTITUTE(SUBSTITUTE(SUBSTITUTE($A90,CHAR(13)," "),CHAR(10)," "),CHAR(9)," "),CHAR(92),_xlfn.CONCAT(CHAR(92),CHAR(92))),"$",_xlfn.CONCAT(CHAR(92),"$")),CHAR(96),_xlfn.CONCAT(CHAR(92),CHAR(96))),CHAR(34),CHAR(39))))</f>
        <v/>
      </c>
      <c r="M90" s="5" t="str">
        <f>IF(OR(TRIM($B90)="",$C90=""),"",IF(IFERROR(MATCH(TRIM($C90),{"Quantitative","Continuous","Discrete","Categorical","Nominal","Ordinal","Identifier"},0),0)=0,_xlfn.CONCAT("* REVIEW REQUIRED: invalid Variable Type on Sheet 1 row ",90,"."),_xlfn.CONCAT("char ",TRIM($B90),"[doc_vartype] ",CHAR(96),CHAR(34),SUBSTITUTE(SUBSTITUTE(SUBSTITUTE(SUBSTITUTE(SUBSTITUTE(SUBSTITUTE(LOWER(TRIM($C90)),CHAR(13)," "),CHAR(10)," "),CHAR(9)," "),CHAR(92),_xlfn.CONCAT(CHAR(92),CHAR(92))),"$",_xlfn.CONCAT(CHAR(92),"$")),CHAR(96),_xlfn.CONCAT(CHAR(92),CHAR(96))),CHAR(34),CHAR(39))))</f>
        <v/>
      </c>
      <c r="N90" s="5" t="str">
        <f>IF(OR(TRIM($B90)="",$D90=""),"",IF(OR(ISNUMBER(SEARCH(_xlfn.CONCAT(CHAR(96),CHAR(34)),$D90)),ISNUMBER(SEARCH(_xlfn.CONCAT(CHAR(34),CHAR(39)),$D90))),_xlfn.CONCAT("* REVIEW REQUIRED: compound-quote delimiter in Item Number on Sheet 1 row ",90,"; edit the input before running."),_xlfn.CONCAT("char ",TRIM($B90),"[doc_itemnum] ",CHAR(96),CHAR(34),SUBSTITUTE(SUBSTITUTE(SUBSTITUTE(SUBSTITUTE(SUBSTITUTE(SUBSTITUTE($D90,CHAR(13)," "),CHAR(10)," "),CHAR(9)," "),CHAR(92),_xlfn.CONCAT(CHAR(92),CHAR(92))),"$",_xlfn.CONCAT(CHAR(92),"$")),CHAR(96),_xlfn.CONCAT(CHAR(92),CHAR(96))),CHAR(34),CHAR(39))))</f>
        <v/>
      </c>
      <c r="O90" s="5" t="str">
        <f>IF(OR(TRIM($B90)="",$E90=""),"",IF(OR(ISNUMBER(SEARCH(_xlfn.CONCAT(CHAR(96),CHAR(34)),$E90)),ISNUMBER(SEARCH(_xlfn.CONCAT(CHAR(34),CHAR(39)),$E90))),_xlfn.CONCAT("* REVIEW REQUIRED: compound-quote delimiter in Question Wording on Sheet 1 row ",90,"; edit the input before running."),_xlfn.CONCAT("char ",TRIM($B90),"[doc_question] ",CHAR(96),CHAR(34),SUBSTITUTE(SUBSTITUTE(SUBSTITUTE(SUBSTITUTE(SUBSTITUTE(SUBSTITUTE($E90,CHAR(13)," "),CHAR(10)," "),CHAR(9)," "),CHAR(92),_xlfn.CONCAT(CHAR(92),CHAR(92))),"$",_xlfn.CONCAT(CHAR(92),"$")),CHAR(96),_xlfn.CONCAT(CHAR(92),CHAR(96))),CHAR(34),CHAR(39))))</f>
        <v/>
      </c>
      <c r="P90" s="5" t="str">
        <f>IF(OR(TRIM($B90)="",$F90=""),"",IF(OR(ISNUMBER(SEARCH(_xlfn.CONCAT(CHAR(96),CHAR(34)),$F90)),ISNUMBER(SEARCH(_xlfn.CONCAT(CHAR(34),CHAR(39)),$F90))),_xlfn.CONCAT("* REVIEW REQUIRED: compound-quote delimiter in Units on Sheet 1 row ",90,"; edit the input before running."),_xlfn.CONCAT("char ",TRIM($B90),"[doc_units] ",CHAR(96),CHAR(34),SUBSTITUTE(SUBSTITUTE(SUBSTITUTE(SUBSTITUTE(SUBSTITUTE(SUBSTITUTE($F90,CHAR(13)," "),CHAR(10)," "),CHAR(9)," "),CHAR(92),_xlfn.CONCAT(CHAR(92),CHAR(92))),"$",_xlfn.CONCAT(CHAR(92),"$")),CHAR(96),_xlfn.CONCAT(CHAR(92),CHAR(96))),CHAR(34),CHAR(39))))</f>
        <v/>
      </c>
      <c r="Q90" s="5" t="str">
        <f>IF(OR(TRIM($B90)="",$G90=""),"",IF(OR(ISNUMBER(SEARCH(_xlfn.CONCAT(CHAR(96),CHAR(34)),$G90)),ISNUMBER(SEARCH(_xlfn.CONCAT(CHAR(34),CHAR(39)),$G90))),_xlfn.CONCAT("* REVIEW REQUIRED: compound-quote delimiter in Universe on Sheet 1 row ",90,"; edit the input before running."),_xlfn.CONCAT("char ",TRIM($B90),"[doc_universe] ",CHAR(96),CHAR(34),SUBSTITUTE(SUBSTITUTE(SUBSTITUTE(SUBSTITUTE(SUBSTITUTE(SUBSTITUTE($G90,CHAR(13)," "),CHAR(10)," "),CHAR(9)," "),CHAR(92),_xlfn.CONCAT(CHAR(92),CHAR(92))),"$",_xlfn.CONCAT(CHAR(92),"$")),CHAR(96),_xlfn.CONCAT(CHAR(92),CHAR(96))),CHAR(34),CHAR(39))))</f>
        <v/>
      </c>
      <c r="R90" s="5" t="str">
        <f>IF(OR(TRIM($B90)="",$H90=""),"",IF(OR(ISNUMBER(SEARCH(_xlfn.CONCAT(CHAR(96),CHAR(34)),$H90)),ISNUMBER(SEARCH(_xlfn.CONCAT(CHAR(34),CHAR(39)),$H90))),_xlfn.CONCAT("* REVIEW REQUIRED: compound-quote delimiter in Source on Sheet 1 row ",90,"; edit the input before running."),_xlfn.CONCAT("char ",TRIM($B90),"[doc_source] ",CHAR(96),CHAR(34),SUBSTITUTE(SUBSTITUTE(SUBSTITUTE(SUBSTITUTE(SUBSTITUTE(SUBSTITUTE($H90,CHAR(13)," "),CHAR(10)," "),CHAR(9)," "),CHAR(92),_xlfn.CONCAT(CHAR(92),CHAR(92))),"$",_xlfn.CONCAT(CHAR(92),"$")),CHAR(96),_xlfn.CONCAT(CHAR(92),CHAR(96))),CHAR(34),CHAR(39))))</f>
        <v/>
      </c>
      <c r="S90" s="5" t="str">
        <f>IF(OR(TRIM($B90)="",$I90=""),"",IF(OR(ISNUMBER(SEARCH(_xlfn.CONCAT(CHAR(96),CHAR(34)),$I90)),ISNUMBER(SEARCH(_xlfn.CONCAT(CHAR(34),CHAR(39)),$I90))),_xlfn.CONCAT("* REVIEW REQUIRED: compound-quote delimiter in Derivation on Sheet 1 row ",90,"; edit the input before running."),_xlfn.CONCAT("char ",TRIM($B90),"[doc_derivation] ",CHAR(96),CHAR(34),SUBSTITUTE(SUBSTITUTE(SUBSTITUTE(SUBSTITUTE(SUBSTITUTE(SUBSTITUTE($I90,CHAR(13)," "),CHAR(10)," "),CHAR(9)," "),CHAR(92),_xlfn.CONCAT(CHAR(92),CHAR(92))),"$",_xlfn.CONCAT(CHAR(92),"$")),CHAR(96),_xlfn.CONCAT(CHAR(92),CHAR(96))),CHAR(34),CHAR(39))))</f>
        <v/>
      </c>
      <c r="T90" s="5" t="str">
        <f>IF(OR(TRIM($B90)="",$J90=""),"",IF(OR(ISNUMBER(SEARCH(_xlfn.CONCAT(CHAR(96),CHAR(34)),$J90)),ISNUMBER(SEARCH(_xlfn.CONCAT(CHAR(34),CHAR(39)),$J90))),_xlfn.CONCAT("* REVIEW REQUIRED: compound-quote delimiter in Notes on Sheet 1 row ",90,"; edit the input before running."),_xlfn.CONCAT("char ",TRIM($B90),"[doc_notes] ",CHAR(96),CHAR(34),SUBSTITUTE(SUBSTITUTE(SUBSTITUTE(SUBSTITUTE(SUBSTITUTE(SUBSTITUTE($J90,CHAR(13)," "),CHAR(10)," "),CHAR(9)," "),CHAR(92),_xlfn.CONCAT(CHAR(92),CHAR(92))),"$",_xlfn.CONCAT(CHAR(92),"$")),CHAR(96),_xlfn.CONCAT(CHAR(92),CHAR(96))),CHAR(34),CHAR(39))))</f>
        <v/>
      </c>
      <c r="U90" s="5">
        <f t="shared" si="3"/>
        <v>0</v>
      </c>
    </row>
    <row r="91" spans="3:21" ht="30" customHeight="1" x14ac:dyDescent="0.2">
      <c r="C91" s="4"/>
      <c r="K91" s="5">
        <f t="shared" si="2"/>
        <v>0</v>
      </c>
      <c r="L91" s="5" t="str">
        <f>IF(OR(TRIM($B91)="",$A91=""),"",IF(OR(ISNUMBER(SEARCH(_xlfn.CONCAT(CHAR(96),CHAR(34)),$A91)),ISNUMBER(SEARCH(_xlfn.CONCAT(CHAR(34),CHAR(39)),$A91))),_xlfn.CONCAT("* REVIEW REQUIRED: compound-quote delimiter in Codebook Section on Sheet 1 row ",91,"; edit the input before running."),_xlfn.CONCAT("char ",TRIM($B91),"[doc_section] ",CHAR(96),CHAR(34),SUBSTITUTE(SUBSTITUTE(SUBSTITUTE(SUBSTITUTE(SUBSTITUTE(SUBSTITUTE($A91,CHAR(13)," "),CHAR(10)," "),CHAR(9)," "),CHAR(92),_xlfn.CONCAT(CHAR(92),CHAR(92))),"$",_xlfn.CONCAT(CHAR(92),"$")),CHAR(96),_xlfn.CONCAT(CHAR(92),CHAR(96))),CHAR(34),CHAR(39))))</f>
        <v/>
      </c>
      <c r="M91" s="5" t="str">
        <f>IF(OR(TRIM($B91)="",$C91=""),"",IF(IFERROR(MATCH(TRIM($C91),{"Quantitative","Continuous","Discrete","Categorical","Nominal","Ordinal","Identifier"},0),0)=0,_xlfn.CONCAT("* REVIEW REQUIRED: invalid Variable Type on Sheet 1 row ",91,"."),_xlfn.CONCAT("char ",TRIM($B91),"[doc_vartype] ",CHAR(96),CHAR(34),SUBSTITUTE(SUBSTITUTE(SUBSTITUTE(SUBSTITUTE(SUBSTITUTE(SUBSTITUTE(LOWER(TRIM($C91)),CHAR(13)," "),CHAR(10)," "),CHAR(9)," "),CHAR(92),_xlfn.CONCAT(CHAR(92),CHAR(92))),"$",_xlfn.CONCAT(CHAR(92),"$")),CHAR(96),_xlfn.CONCAT(CHAR(92),CHAR(96))),CHAR(34),CHAR(39))))</f>
        <v/>
      </c>
      <c r="N91" s="5" t="str">
        <f>IF(OR(TRIM($B91)="",$D91=""),"",IF(OR(ISNUMBER(SEARCH(_xlfn.CONCAT(CHAR(96),CHAR(34)),$D91)),ISNUMBER(SEARCH(_xlfn.CONCAT(CHAR(34),CHAR(39)),$D91))),_xlfn.CONCAT("* REVIEW REQUIRED: compound-quote delimiter in Item Number on Sheet 1 row ",91,"; edit the input before running."),_xlfn.CONCAT("char ",TRIM($B91),"[doc_itemnum] ",CHAR(96),CHAR(34),SUBSTITUTE(SUBSTITUTE(SUBSTITUTE(SUBSTITUTE(SUBSTITUTE(SUBSTITUTE($D91,CHAR(13)," "),CHAR(10)," "),CHAR(9)," "),CHAR(92),_xlfn.CONCAT(CHAR(92),CHAR(92))),"$",_xlfn.CONCAT(CHAR(92),"$")),CHAR(96),_xlfn.CONCAT(CHAR(92),CHAR(96))),CHAR(34),CHAR(39))))</f>
        <v/>
      </c>
      <c r="O91" s="5" t="str">
        <f>IF(OR(TRIM($B91)="",$E91=""),"",IF(OR(ISNUMBER(SEARCH(_xlfn.CONCAT(CHAR(96),CHAR(34)),$E91)),ISNUMBER(SEARCH(_xlfn.CONCAT(CHAR(34),CHAR(39)),$E91))),_xlfn.CONCAT("* REVIEW REQUIRED: compound-quote delimiter in Question Wording on Sheet 1 row ",91,"; edit the input before running."),_xlfn.CONCAT("char ",TRIM($B91),"[doc_question] ",CHAR(96),CHAR(34),SUBSTITUTE(SUBSTITUTE(SUBSTITUTE(SUBSTITUTE(SUBSTITUTE(SUBSTITUTE($E91,CHAR(13)," "),CHAR(10)," "),CHAR(9)," "),CHAR(92),_xlfn.CONCAT(CHAR(92),CHAR(92))),"$",_xlfn.CONCAT(CHAR(92),"$")),CHAR(96),_xlfn.CONCAT(CHAR(92),CHAR(96))),CHAR(34),CHAR(39))))</f>
        <v/>
      </c>
      <c r="P91" s="5" t="str">
        <f>IF(OR(TRIM($B91)="",$F91=""),"",IF(OR(ISNUMBER(SEARCH(_xlfn.CONCAT(CHAR(96),CHAR(34)),$F91)),ISNUMBER(SEARCH(_xlfn.CONCAT(CHAR(34),CHAR(39)),$F91))),_xlfn.CONCAT("* REVIEW REQUIRED: compound-quote delimiter in Units on Sheet 1 row ",91,"; edit the input before running."),_xlfn.CONCAT("char ",TRIM($B91),"[doc_units] ",CHAR(96),CHAR(34),SUBSTITUTE(SUBSTITUTE(SUBSTITUTE(SUBSTITUTE(SUBSTITUTE(SUBSTITUTE($F91,CHAR(13)," "),CHAR(10)," "),CHAR(9)," "),CHAR(92),_xlfn.CONCAT(CHAR(92),CHAR(92))),"$",_xlfn.CONCAT(CHAR(92),"$")),CHAR(96),_xlfn.CONCAT(CHAR(92),CHAR(96))),CHAR(34),CHAR(39))))</f>
        <v/>
      </c>
      <c r="Q91" s="5" t="str">
        <f>IF(OR(TRIM($B91)="",$G91=""),"",IF(OR(ISNUMBER(SEARCH(_xlfn.CONCAT(CHAR(96),CHAR(34)),$G91)),ISNUMBER(SEARCH(_xlfn.CONCAT(CHAR(34),CHAR(39)),$G91))),_xlfn.CONCAT("* REVIEW REQUIRED: compound-quote delimiter in Universe on Sheet 1 row ",91,"; edit the input before running."),_xlfn.CONCAT("char ",TRIM($B91),"[doc_universe] ",CHAR(96),CHAR(34),SUBSTITUTE(SUBSTITUTE(SUBSTITUTE(SUBSTITUTE(SUBSTITUTE(SUBSTITUTE($G91,CHAR(13)," "),CHAR(10)," "),CHAR(9)," "),CHAR(92),_xlfn.CONCAT(CHAR(92),CHAR(92))),"$",_xlfn.CONCAT(CHAR(92),"$")),CHAR(96),_xlfn.CONCAT(CHAR(92),CHAR(96))),CHAR(34),CHAR(39))))</f>
        <v/>
      </c>
      <c r="R91" s="5" t="str">
        <f>IF(OR(TRIM($B91)="",$H91=""),"",IF(OR(ISNUMBER(SEARCH(_xlfn.CONCAT(CHAR(96),CHAR(34)),$H91)),ISNUMBER(SEARCH(_xlfn.CONCAT(CHAR(34),CHAR(39)),$H91))),_xlfn.CONCAT("* REVIEW REQUIRED: compound-quote delimiter in Source on Sheet 1 row ",91,"; edit the input before running."),_xlfn.CONCAT("char ",TRIM($B91),"[doc_source] ",CHAR(96),CHAR(34),SUBSTITUTE(SUBSTITUTE(SUBSTITUTE(SUBSTITUTE(SUBSTITUTE(SUBSTITUTE($H91,CHAR(13)," "),CHAR(10)," "),CHAR(9)," "),CHAR(92),_xlfn.CONCAT(CHAR(92),CHAR(92))),"$",_xlfn.CONCAT(CHAR(92),"$")),CHAR(96),_xlfn.CONCAT(CHAR(92),CHAR(96))),CHAR(34),CHAR(39))))</f>
        <v/>
      </c>
      <c r="S91" s="5" t="str">
        <f>IF(OR(TRIM($B91)="",$I91=""),"",IF(OR(ISNUMBER(SEARCH(_xlfn.CONCAT(CHAR(96),CHAR(34)),$I91)),ISNUMBER(SEARCH(_xlfn.CONCAT(CHAR(34),CHAR(39)),$I91))),_xlfn.CONCAT("* REVIEW REQUIRED: compound-quote delimiter in Derivation on Sheet 1 row ",91,"; edit the input before running."),_xlfn.CONCAT("char ",TRIM($B91),"[doc_derivation] ",CHAR(96),CHAR(34),SUBSTITUTE(SUBSTITUTE(SUBSTITUTE(SUBSTITUTE(SUBSTITUTE(SUBSTITUTE($I91,CHAR(13)," "),CHAR(10)," "),CHAR(9)," "),CHAR(92),_xlfn.CONCAT(CHAR(92),CHAR(92))),"$",_xlfn.CONCAT(CHAR(92),"$")),CHAR(96),_xlfn.CONCAT(CHAR(92),CHAR(96))),CHAR(34),CHAR(39))))</f>
        <v/>
      </c>
      <c r="T91" s="5" t="str">
        <f>IF(OR(TRIM($B91)="",$J91=""),"",IF(OR(ISNUMBER(SEARCH(_xlfn.CONCAT(CHAR(96),CHAR(34)),$J91)),ISNUMBER(SEARCH(_xlfn.CONCAT(CHAR(34),CHAR(39)),$J91))),_xlfn.CONCAT("* REVIEW REQUIRED: compound-quote delimiter in Notes on Sheet 1 row ",91,"; edit the input before running."),_xlfn.CONCAT("char ",TRIM($B91),"[doc_notes] ",CHAR(96),CHAR(34),SUBSTITUTE(SUBSTITUTE(SUBSTITUTE(SUBSTITUTE(SUBSTITUTE(SUBSTITUTE($J91,CHAR(13)," "),CHAR(10)," "),CHAR(9)," "),CHAR(92),_xlfn.CONCAT(CHAR(92),CHAR(92))),"$",_xlfn.CONCAT(CHAR(92),"$")),CHAR(96),_xlfn.CONCAT(CHAR(92),CHAR(96))),CHAR(34),CHAR(39))))</f>
        <v/>
      </c>
      <c r="U91" s="5">
        <f t="shared" si="3"/>
        <v>0</v>
      </c>
    </row>
    <row r="92" spans="3:21" ht="30" customHeight="1" x14ac:dyDescent="0.2">
      <c r="C92" s="4"/>
      <c r="K92" s="5">
        <f t="shared" si="2"/>
        <v>0</v>
      </c>
      <c r="L92" s="5" t="str">
        <f>IF(OR(TRIM($B92)="",$A92=""),"",IF(OR(ISNUMBER(SEARCH(_xlfn.CONCAT(CHAR(96),CHAR(34)),$A92)),ISNUMBER(SEARCH(_xlfn.CONCAT(CHAR(34),CHAR(39)),$A92))),_xlfn.CONCAT("* REVIEW REQUIRED: compound-quote delimiter in Codebook Section on Sheet 1 row ",92,"; edit the input before running."),_xlfn.CONCAT("char ",TRIM($B92),"[doc_section] ",CHAR(96),CHAR(34),SUBSTITUTE(SUBSTITUTE(SUBSTITUTE(SUBSTITUTE(SUBSTITUTE(SUBSTITUTE($A92,CHAR(13)," "),CHAR(10)," "),CHAR(9)," "),CHAR(92),_xlfn.CONCAT(CHAR(92),CHAR(92))),"$",_xlfn.CONCAT(CHAR(92),"$")),CHAR(96),_xlfn.CONCAT(CHAR(92),CHAR(96))),CHAR(34),CHAR(39))))</f>
        <v/>
      </c>
      <c r="M92" s="5" t="str">
        <f>IF(OR(TRIM($B92)="",$C92=""),"",IF(IFERROR(MATCH(TRIM($C92),{"Quantitative","Continuous","Discrete","Categorical","Nominal","Ordinal","Identifier"},0),0)=0,_xlfn.CONCAT("* REVIEW REQUIRED: invalid Variable Type on Sheet 1 row ",92,"."),_xlfn.CONCAT("char ",TRIM($B92),"[doc_vartype] ",CHAR(96),CHAR(34),SUBSTITUTE(SUBSTITUTE(SUBSTITUTE(SUBSTITUTE(SUBSTITUTE(SUBSTITUTE(LOWER(TRIM($C92)),CHAR(13)," "),CHAR(10)," "),CHAR(9)," "),CHAR(92),_xlfn.CONCAT(CHAR(92),CHAR(92))),"$",_xlfn.CONCAT(CHAR(92),"$")),CHAR(96),_xlfn.CONCAT(CHAR(92),CHAR(96))),CHAR(34),CHAR(39))))</f>
        <v/>
      </c>
      <c r="N92" s="5" t="str">
        <f>IF(OR(TRIM($B92)="",$D92=""),"",IF(OR(ISNUMBER(SEARCH(_xlfn.CONCAT(CHAR(96),CHAR(34)),$D92)),ISNUMBER(SEARCH(_xlfn.CONCAT(CHAR(34),CHAR(39)),$D92))),_xlfn.CONCAT("* REVIEW REQUIRED: compound-quote delimiter in Item Number on Sheet 1 row ",92,"; edit the input before running."),_xlfn.CONCAT("char ",TRIM($B92),"[doc_itemnum] ",CHAR(96),CHAR(34),SUBSTITUTE(SUBSTITUTE(SUBSTITUTE(SUBSTITUTE(SUBSTITUTE(SUBSTITUTE($D92,CHAR(13)," "),CHAR(10)," "),CHAR(9)," "),CHAR(92),_xlfn.CONCAT(CHAR(92),CHAR(92))),"$",_xlfn.CONCAT(CHAR(92),"$")),CHAR(96),_xlfn.CONCAT(CHAR(92),CHAR(96))),CHAR(34),CHAR(39))))</f>
        <v/>
      </c>
      <c r="O92" s="5" t="str">
        <f>IF(OR(TRIM($B92)="",$E92=""),"",IF(OR(ISNUMBER(SEARCH(_xlfn.CONCAT(CHAR(96),CHAR(34)),$E92)),ISNUMBER(SEARCH(_xlfn.CONCAT(CHAR(34),CHAR(39)),$E92))),_xlfn.CONCAT("* REVIEW REQUIRED: compound-quote delimiter in Question Wording on Sheet 1 row ",92,"; edit the input before running."),_xlfn.CONCAT("char ",TRIM($B92),"[doc_question] ",CHAR(96),CHAR(34),SUBSTITUTE(SUBSTITUTE(SUBSTITUTE(SUBSTITUTE(SUBSTITUTE(SUBSTITUTE($E92,CHAR(13)," "),CHAR(10)," "),CHAR(9)," "),CHAR(92),_xlfn.CONCAT(CHAR(92),CHAR(92))),"$",_xlfn.CONCAT(CHAR(92),"$")),CHAR(96),_xlfn.CONCAT(CHAR(92),CHAR(96))),CHAR(34),CHAR(39))))</f>
        <v/>
      </c>
      <c r="P92" s="5" t="str">
        <f>IF(OR(TRIM($B92)="",$F92=""),"",IF(OR(ISNUMBER(SEARCH(_xlfn.CONCAT(CHAR(96),CHAR(34)),$F92)),ISNUMBER(SEARCH(_xlfn.CONCAT(CHAR(34),CHAR(39)),$F92))),_xlfn.CONCAT("* REVIEW REQUIRED: compound-quote delimiter in Units on Sheet 1 row ",92,"; edit the input before running."),_xlfn.CONCAT("char ",TRIM($B92),"[doc_units] ",CHAR(96),CHAR(34),SUBSTITUTE(SUBSTITUTE(SUBSTITUTE(SUBSTITUTE(SUBSTITUTE(SUBSTITUTE($F92,CHAR(13)," "),CHAR(10)," "),CHAR(9)," "),CHAR(92),_xlfn.CONCAT(CHAR(92),CHAR(92))),"$",_xlfn.CONCAT(CHAR(92),"$")),CHAR(96),_xlfn.CONCAT(CHAR(92),CHAR(96))),CHAR(34),CHAR(39))))</f>
        <v/>
      </c>
      <c r="Q92" s="5" t="str">
        <f>IF(OR(TRIM($B92)="",$G92=""),"",IF(OR(ISNUMBER(SEARCH(_xlfn.CONCAT(CHAR(96),CHAR(34)),$G92)),ISNUMBER(SEARCH(_xlfn.CONCAT(CHAR(34),CHAR(39)),$G92))),_xlfn.CONCAT("* REVIEW REQUIRED: compound-quote delimiter in Universe on Sheet 1 row ",92,"; edit the input before running."),_xlfn.CONCAT("char ",TRIM($B92),"[doc_universe] ",CHAR(96),CHAR(34),SUBSTITUTE(SUBSTITUTE(SUBSTITUTE(SUBSTITUTE(SUBSTITUTE(SUBSTITUTE($G92,CHAR(13)," "),CHAR(10)," "),CHAR(9)," "),CHAR(92),_xlfn.CONCAT(CHAR(92),CHAR(92))),"$",_xlfn.CONCAT(CHAR(92),"$")),CHAR(96),_xlfn.CONCAT(CHAR(92),CHAR(96))),CHAR(34),CHAR(39))))</f>
        <v/>
      </c>
      <c r="R92" s="5" t="str">
        <f>IF(OR(TRIM($B92)="",$H92=""),"",IF(OR(ISNUMBER(SEARCH(_xlfn.CONCAT(CHAR(96),CHAR(34)),$H92)),ISNUMBER(SEARCH(_xlfn.CONCAT(CHAR(34),CHAR(39)),$H92))),_xlfn.CONCAT("* REVIEW REQUIRED: compound-quote delimiter in Source on Sheet 1 row ",92,"; edit the input before running."),_xlfn.CONCAT("char ",TRIM($B92),"[doc_source] ",CHAR(96),CHAR(34),SUBSTITUTE(SUBSTITUTE(SUBSTITUTE(SUBSTITUTE(SUBSTITUTE(SUBSTITUTE($H92,CHAR(13)," "),CHAR(10)," "),CHAR(9)," "),CHAR(92),_xlfn.CONCAT(CHAR(92),CHAR(92))),"$",_xlfn.CONCAT(CHAR(92),"$")),CHAR(96),_xlfn.CONCAT(CHAR(92),CHAR(96))),CHAR(34),CHAR(39))))</f>
        <v/>
      </c>
      <c r="S92" s="5" t="str">
        <f>IF(OR(TRIM($B92)="",$I92=""),"",IF(OR(ISNUMBER(SEARCH(_xlfn.CONCAT(CHAR(96),CHAR(34)),$I92)),ISNUMBER(SEARCH(_xlfn.CONCAT(CHAR(34),CHAR(39)),$I92))),_xlfn.CONCAT("* REVIEW REQUIRED: compound-quote delimiter in Derivation on Sheet 1 row ",92,"; edit the input before running."),_xlfn.CONCAT("char ",TRIM($B92),"[doc_derivation] ",CHAR(96),CHAR(34),SUBSTITUTE(SUBSTITUTE(SUBSTITUTE(SUBSTITUTE(SUBSTITUTE(SUBSTITUTE($I92,CHAR(13)," "),CHAR(10)," "),CHAR(9)," "),CHAR(92),_xlfn.CONCAT(CHAR(92),CHAR(92))),"$",_xlfn.CONCAT(CHAR(92),"$")),CHAR(96),_xlfn.CONCAT(CHAR(92),CHAR(96))),CHAR(34),CHAR(39))))</f>
        <v/>
      </c>
      <c r="T92" s="5" t="str">
        <f>IF(OR(TRIM($B92)="",$J92=""),"",IF(OR(ISNUMBER(SEARCH(_xlfn.CONCAT(CHAR(96),CHAR(34)),$J92)),ISNUMBER(SEARCH(_xlfn.CONCAT(CHAR(34),CHAR(39)),$J92))),_xlfn.CONCAT("* REVIEW REQUIRED: compound-quote delimiter in Notes on Sheet 1 row ",92,"; edit the input before running."),_xlfn.CONCAT("char ",TRIM($B92),"[doc_notes] ",CHAR(96),CHAR(34),SUBSTITUTE(SUBSTITUTE(SUBSTITUTE(SUBSTITUTE(SUBSTITUTE(SUBSTITUTE($J92,CHAR(13)," "),CHAR(10)," "),CHAR(9)," "),CHAR(92),_xlfn.CONCAT(CHAR(92),CHAR(92))),"$",_xlfn.CONCAT(CHAR(92),"$")),CHAR(96),_xlfn.CONCAT(CHAR(92),CHAR(96))),CHAR(34),CHAR(39))))</f>
        <v/>
      </c>
      <c r="U92" s="5">
        <f t="shared" si="3"/>
        <v>0</v>
      </c>
    </row>
    <row r="93" spans="3:21" ht="30" customHeight="1" x14ac:dyDescent="0.2">
      <c r="C93" s="4"/>
      <c r="K93" s="5">
        <f t="shared" si="2"/>
        <v>0</v>
      </c>
      <c r="L93" s="5" t="str">
        <f>IF(OR(TRIM($B93)="",$A93=""),"",IF(OR(ISNUMBER(SEARCH(_xlfn.CONCAT(CHAR(96),CHAR(34)),$A93)),ISNUMBER(SEARCH(_xlfn.CONCAT(CHAR(34),CHAR(39)),$A93))),_xlfn.CONCAT("* REVIEW REQUIRED: compound-quote delimiter in Codebook Section on Sheet 1 row ",93,"; edit the input before running."),_xlfn.CONCAT("char ",TRIM($B93),"[doc_section] ",CHAR(96),CHAR(34),SUBSTITUTE(SUBSTITUTE(SUBSTITUTE(SUBSTITUTE(SUBSTITUTE(SUBSTITUTE($A93,CHAR(13)," "),CHAR(10)," "),CHAR(9)," "),CHAR(92),_xlfn.CONCAT(CHAR(92),CHAR(92))),"$",_xlfn.CONCAT(CHAR(92),"$")),CHAR(96),_xlfn.CONCAT(CHAR(92),CHAR(96))),CHAR(34),CHAR(39))))</f>
        <v/>
      </c>
      <c r="M93" s="5" t="str">
        <f>IF(OR(TRIM($B93)="",$C93=""),"",IF(IFERROR(MATCH(TRIM($C93),{"Quantitative","Continuous","Discrete","Categorical","Nominal","Ordinal","Identifier"},0),0)=0,_xlfn.CONCAT("* REVIEW REQUIRED: invalid Variable Type on Sheet 1 row ",93,"."),_xlfn.CONCAT("char ",TRIM($B93),"[doc_vartype] ",CHAR(96),CHAR(34),SUBSTITUTE(SUBSTITUTE(SUBSTITUTE(SUBSTITUTE(SUBSTITUTE(SUBSTITUTE(LOWER(TRIM($C93)),CHAR(13)," "),CHAR(10)," "),CHAR(9)," "),CHAR(92),_xlfn.CONCAT(CHAR(92),CHAR(92))),"$",_xlfn.CONCAT(CHAR(92),"$")),CHAR(96),_xlfn.CONCAT(CHAR(92),CHAR(96))),CHAR(34),CHAR(39))))</f>
        <v/>
      </c>
      <c r="N93" s="5" t="str">
        <f>IF(OR(TRIM($B93)="",$D93=""),"",IF(OR(ISNUMBER(SEARCH(_xlfn.CONCAT(CHAR(96),CHAR(34)),$D93)),ISNUMBER(SEARCH(_xlfn.CONCAT(CHAR(34),CHAR(39)),$D93))),_xlfn.CONCAT("* REVIEW REQUIRED: compound-quote delimiter in Item Number on Sheet 1 row ",93,"; edit the input before running."),_xlfn.CONCAT("char ",TRIM($B93),"[doc_itemnum] ",CHAR(96),CHAR(34),SUBSTITUTE(SUBSTITUTE(SUBSTITUTE(SUBSTITUTE(SUBSTITUTE(SUBSTITUTE($D93,CHAR(13)," "),CHAR(10)," "),CHAR(9)," "),CHAR(92),_xlfn.CONCAT(CHAR(92),CHAR(92))),"$",_xlfn.CONCAT(CHAR(92),"$")),CHAR(96),_xlfn.CONCAT(CHAR(92),CHAR(96))),CHAR(34),CHAR(39))))</f>
        <v/>
      </c>
      <c r="O93" s="5" t="str">
        <f>IF(OR(TRIM($B93)="",$E93=""),"",IF(OR(ISNUMBER(SEARCH(_xlfn.CONCAT(CHAR(96),CHAR(34)),$E93)),ISNUMBER(SEARCH(_xlfn.CONCAT(CHAR(34),CHAR(39)),$E93))),_xlfn.CONCAT("* REVIEW REQUIRED: compound-quote delimiter in Question Wording on Sheet 1 row ",93,"; edit the input before running."),_xlfn.CONCAT("char ",TRIM($B93),"[doc_question] ",CHAR(96),CHAR(34),SUBSTITUTE(SUBSTITUTE(SUBSTITUTE(SUBSTITUTE(SUBSTITUTE(SUBSTITUTE($E93,CHAR(13)," "),CHAR(10)," "),CHAR(9)," "),CHAR(92),_xlfn.CONCAT(CHAR(92),CHAR(92))),"$",_xlfn.CONCAT(CHAR(92),"$")),CHAR(96),_xlfn.CONCAT(CHAR(92),CHAR(96))),CHAR(34),CHAR(39))))</f>
        <v/>
      </c>
      <c r="P93" s="5" t="str">
        <f>IF(OR(TRIM($B93)="",$F93=""),"",IF(OR(ISNUMBER(SEARCH(_xlfn.CONCAT(CHAR(96),CHAR(34)),$F93)),ISNUMBER(SEARCH(_xlfn.CONCAT(CHAR(34),CHAR(39)),$F93))),_xlfn.CONCAT("* REVIEW REQUIRED: compound-quote delimiter in Units on Sheet 1 row ",93,"; edit the input before running."),_xlfn.CONCAT("char ",TRIM($B93),"[doc_units] ",CHAR(96),CHAR(34),SUBSTITUTE(SUBSTITUTE(SUBSTITUTE(SUBSTITUTE(SUBSTITUTE(SUBSTITUTE($F93,CHAR(13)," "),CHAR(10)," "),CHAR(9)," "),CHAR(92),_xlfn.CONCAT(CHAR(92),CHAR(92))),"$",_xlfn.CONCAT(CHAR(92),"$")),CHAR(96),_xlfn.CONCAT(CHAR(92),CHAR(96))),CHAR(34),CHAR(39))))</f>
        <v/>
      </c>
      <c r="Q93" s="5" t="str">
        <f>IF(OR(TRIM($B93)="",$G93=""),"",IF(OR(ISNUMBER(SEARCH(_xlfn.CONCAT(CHAR(96),CHAR(34)),$G93)),ISNUMBER(SEARCH(_xlfn.CONCAT(CHAR(34),CHAR(39)),$G93))),_xlfn.CONCAT("* REVIEW REQUIRED: compound-quote delimiter in Universe on Sheet 1 row ",93,"; edit the input before running."),_xlfn.CONCAT("char ",TRIM($B93),"[doc_universe] ",CHAR(96),CHAR(34),SUBSTITUTE(SUBSTITUTE(SUBSTITUTE(SUBSTITUTE(SUBSTITUTE(SUBSTITUTE($G93,CHAR(13)," "),CHAR(10)," "),CHAR(9)," "),CHAR(92),_xlfn.CONCAT(CHAR(92),CHAR(92))),"$",_xlfn.CONCAT(CHAR(92),"$")),CHAR(96),_xlfn.CONCAT(CHAR(92),CHAR(96))),CHAR(34),CHAR(39))))</f>
        <v/>
      </c>
      <c r="R93" s="5" t="str">
        <f>IF(OR(TRIM($B93)="",$H93=""),"",IF(OR(ISNUMBER(SEARCH(_xlfn.CONCAT(CHAR(96),CHAR(34)),$H93)),ISNUMBER(SEARCH(_xlfn.CONCAT(CHAR(34),CHAR(39)),$H93))),_xlfn.CONCAT("* REVIEW REQUIRED: compound-quote delimiter in Source on Sheet 1 row ",93,"; edit the input before running."),_xlfn.CONCAT("char ",TRIM($B93),"[doc_source] ",CHAR(96),CHAR(34),SUBSTITUTE(SUBSTITUTE(SUBSTITUTE(SUBSTITUTE(SUBSTITUTE(SUBSTITUTE($H93,CHAR(13)," "),CHAR(10)," "),CHAR(9)," "),CHAR(92),_xlfn.CONCAT(CHAR(92),CHAR(92))),"$",_xlfn.CONCAT(CHAR(92),"$")),CHAR(96),_xlfn.CONCAT(CHAR(92),CHAR(96))),CHAR(34),CHAR(39))))</f>
        <v/>
      </c>
      <c r="S93" s="5" t="str">
        <f>IF(OR(TRIM($B93)="",$I93=""),"",IF(OR(ISNUMBER(SEARCH(_xlfn.CONCAT(CHAR(96),CHAR(34)),$I93)),ISNUMBER(SEARCH(_xlfn.CONCAT(CHAR(34),CHAR(39)),$I93))),_xlfn.CONCAT("* REVIEW REQUIRED: compound-quote delimiter in Derivation on Sheet 1 row ",93,"; edit the input before running."),_xlfn.CONCAT("char ",TRIM($B93),"[doc_derivation] ",CHAR(96),CHAR(34),SUBSTITUTE(SUBSTITUTE(SUBSTITUTE(SUBSTITUTE(SUBSTITUTE(SUBSTITUTE($I93,CHAR(13)," "),CHAR(10)," "),CHAR(9)," "),CHAR(92),_xlfn.CONCAT(CHAR(92),CHAR(92))),"$",_xlfn.CONCAT(CHAR(92),"$")),CHAR(96),_xlfn.CONCAT(CHAR(92),CHAR(96))),CHAR(34),CHAR(39))))</f>
        <v/>
      </c>
      <c r="T93" s="5" t="str">
        <f>IF(OR(TRIM($B93)="",$J93=""),"",IF(OR(ISNUMBER(SEARCH(_xlfn.CONCAT(CHAR(96),CHAR(34)),$J93)),ISNUMBER(SEARCH(_xlfn.CONCAT(CHAR(34),CHAR(39)),$J93))),_xlfn.CONCAT("* REVIEW REQUIRED: compound-quote delimiter in Notes on Sheet 1 row ",93,"; edit the input before running."),_xlfn.CONCAT("char ",TRIM($B93),"[doc_notes] ",CHAR(96),CHAR(34),SUBSTITUTE(SUBSTITUTE(SUBSTITUTE(SUBSTITUTE(SUBSTITUTE(SUBSTITUTE($J93,CHAR(13)," "),CHAR(10)," "),CHAR(9)," "),CHAR(92),_xlfn.CONCAT(CHAR(92),CHAR(92))),"$",_xlfn.CONCAT(CHAR(92),"$")),CHAR(96),_xlfn.CONCAT(CHAR(92),CHAR(96))),CHAR(34),CHAR(39))))</f>
        <v/>
      </c>
      <c r="U93" s="5">
        <f t="shared" si="3"/>
        <v>0</v>
      </c>
    </row>
    <row r="94" spans="3:21" ht="30" customHeight="1" x14ac:dyDescent="0.2">
      <c r="C94" s="4"/>
      <c r="K94" s="5">
        <f t="shared" si="2"/>
        <v>0</v>
      </c>
      <c r="L94" s="5" t="str">
        <f>IF(OR(TRIM($B94)="",$A94=""),"",IF(OR(ISNUMBER(SEARCH(_xlfn.CONCAT(CHAR(96),CHAR(34)),$A94)),ISNUMBER(SEARCH(_xlfn.CONCAT(CHAR(34),CHAR(39)),$A94))),_xlfn.CONCAT("* REVIEW REQUIRED: compound-quote delimiter in Codebook Section on Sheet 1 row ",94,"; edit the input before running."),_xlfn.CONCAT("char ",TRIM($B94),"[doc_section] ",CHAR(96),CHAR(34),SUBSTITUTE(SUBSTITUTE(SUBSTITUTE(SUBSTITUTE(SUBSTITUTE(SUBSTITUTE($A94,CHAR(13)," "),CHAR(10)," "),CHAR(9)," "),CHAR(92),_xlfn.CONCAT(CHAR(92),CHAR(92))),"$",_xlfn.CONCAT(CHAR(92),"$")),CHAR(96),_xlfn.CONCAT(CHAR(92),CHAR(96))),CHAR(34),CHAR(39))))</f>
        <v/>
      </c>
      <c r="M94" s="5" t="str">
        <f>IF(OR(TRIM($B94)="",$C94=""),"",IF(IFERROR(MATCH(TRIM($C94),{"Quantitative","Continuous","Discrete","Categorical","Nominal","Ordinal","Identifier"},0),0)=0,_xlfn.CONCAT("* REVIEW REQUIRED: invalid Variable Type on Sheet 1 row ",94,"."),_xlfn.CONCAT("char ",TRIM($B94),"[doc_vartype] ",CHAR(96),CHAR(34),SUBSTITUTE(SUBSTITUTE(SUBSTITUTE(SUBSTITUTE(SUBSTITUTE(SUBSTITUTE(LOWER(TRIM($C94)),CHAR(13)," "),CHAR(10)," "),CHAR(9)," "),CHAR(92),_xlfn.CONCAT(CHAR(92),CHAR(92))),"$",_xlfn.CONCAT(CHAR(92),"$")),CHAR(96),_xlfn.CONCAT(CHAR(92),CHAR(96))),CHAR(34),CHAR(39))))</f>
        <v/>
      </c>
      <c r="N94" s="5" t="str">
        <f>IF(OR(TRIM($B94)="",$D94=""),"",IF(OR(ISNUMBER(SEARCH(_xlfn.CONCAT(CHAR(96),CHAR(34)),$D94)),ISNUMBER(SEARCH(_xlfn.CONCAT(CHAR(34),CHAR(39)),$D94))),_xlfn.CONCAT("* REVIEW REQUIRED: compound-quote delimiter in Item Number on Sheet 1 row ",94,"; edit the input before running."),_xlfn.CONCAT("char ",TRIM($B94),"[doc_itemnum] ",CHAR(96),CHAR(34),SUBSTITUTE(SUBSTITUTE(SUBSTITUTE(SUBSTITUTE(SUBSTITUTE(SUBSTITUTE($D94,CHAR(13)," "),CHAR(10)," "),CHAR(9)," "),CHAR(92),_xlfn.CONCAT(CHAR(92),CHAR(92))),"$",_xlfn.CONCAT(CHAR(92),"$")),CHAR(96),_xlfn.CONCAT(CHAR(92),CHAR(96))),CHAR(34),CHAR(39))))</f>
        <v/>
      </c>
      <c r="O94" s="5" t="str">
        <f>IF(OR(TRIM($B94)="",$E94=""),"",IF(OR(ISNUMBER(SEARCH(_xlfn.CONCAT(CHAR(96),CHAR(34)),$E94)),ISNUMBER(SEARCH(_xlfn.CONCAT(CHAR(34),CHAR(39)),$E94))),_xlfn.CONCAT("* REVIEW REQUIRED: compound-quote delimiter in Question Wording on Sheet 1 row ",94,"; edit the input before running."),_xlfn.CONCAT("char ",TRIM($B94),"[doc_question] ",CHAR(96),CHAR(34),SUBSTITUTE(SUBSTITUTE(SUBSTITUTE(SUBSTITUTE(SUBSTITUTE(SUBSTITUTE($E94,CHAR(13)," "),CHAR(10)," "),CHAR(9)," "),CHAR(92),_xlfn.CONCAT(CHAR(92),CHAR(92))),"$",_xlfn.CONCAT(CHAR(92),"$")),CHAR(96),_xlfn.CONCAT(CHAR(92),CHAR(96))),CHAR(34),CHAR(39))))</f>
        <v/>
      </c>
      <c r="P94" s="5" t="str">
        <f>IF(OR(TRIM($B94)="",$F94=""),"",IF(OR(ISNUMBER(SEARCH(_xlfn.CONCAT(CHAR(96),CHAR(34)),$F94)),ISNUMBER(SEARCH(_xlfn.CONCAT(CHAR(34),CHAR(39)),$F94))),_xlfn.CONCAT("* REVIEW REQUIRED: compound-quote delimiter in Units on Sheet 1 row ",94,"; edit the input before running."),_xlfn.CONCAT("char ",TRIM($B94),"[doc_units] ",CHAR(96),CHAR(34),SUBSTITUTE(SUBSTITUTE(SUBSTITUTE(SUBSTITUTE(SUBSTITUTE(SUBSTITUTE($F94,CHAR(13)," "),CHAR(10)," "),CHAR(9)," "),CHAR(92),_xlfn.CONCAT(CHAR(92),CHAR(92))),"$",_xlfn.CONCAT(CHAR(92),"$")),CHAR(96),_xlfn.CONCAT(CHAR(92),CHAR(96))),CHAR(34),CHAR(39))))</f>
        <v/>
      </c>
      <c r="Q94" s="5" t="str">
        <f>IF(OR(TRIM($B94)="",$G94=""),"",IF(OR(ISNUMBER(SEARCH(_xlfn.CONCAT(CHAR(96),CHAR(34)),$G94)),ISNUMBER(SEARCH(_xlfn.CONCAT(CHAR(34),CHAR(39)),$G94))),_xlfn.CONCAT("* REVIEW REQUIRED: compound-quote delimiter in Universe on Sheet 1 row ",94,"; edit the input before running."),_xlfn.CONCAT("char ",TRIM($B94),"[doc_universe] ",CHAR(96),CHAR(34),SUBSTITUTE(SUBSTITUTE(SUBSTITUTE(SUBSTITUTE(SUBSTITUTE(SUBSTITUTE($G94,CHAR(13)," "),CHAR(10)," "),CHAR(9)," "),CHAR(92),_xlfn.CONCAT(CHAR(92),CHAR(92))),"$",_xlfn.CONCAT(CHAR(92),"$")),CHAR(96),_xlfn.CONCAT(CHAR(92),CHAR(96))),CHAR(34),CHAR(39))))</f>
        <v/>
      </c>
      <c r="R94" s="5" t="str">
        <f>IF(OR(TRIM($B94)="",$H94=""),"",IF(OR(ISNUMBER(SEARCH(_xlfn.CONCAT(CHAR(96),CHAR(34)),$H94)),ISNUMBER(SEARCH(_xlfn.CONCAT(CHAR(34),CHAR(39)),$H94))),_xlfn.CONCAT("* REVIEW REQUIRED: compound-quote delimiter in Source on Sheet 1 row ",94,"; edit the input before running."),_xlfn.CONCAT("char ",TRIM($B94),"[doc_source] ",CHAR(96),CHAR(34),SUBSTITUTE(SUBSTITUTE(SUBSTITUTE(SUBSTITUTE(SUBSTITUTE(SUBSTITUTE($H94,CHAR(13)," "),CHAR(10)," "),CHAR(9)," "),CHAR(92),_xlfn.CONCAT(CHAR(92),CHAR(92))),"$",_xlfn.CONCAT(CHAR(92),"$")),CHAR(96),_xlfn.CONCAT(CHAR(92),CHAR(96))),CHAR(34),CHAR(39))))</f>
        <v/>
      </c>
      <c r="S94" s="5" t="str">
        <f>IF(OR(TRIM($B94)="",$I94=""),"",IF(OR(ISNUMBER(SEARCH(_xlfn.CONCAT(CHAR(96),CHAR(34)),$I94)),ISNUMBER(SEARCH(_xlfn.CONCAT(CHAR(34),CHAR(39)),$I94))),_xlfn.CONCAT("* REVIEW REQUIRED: compound-quote delimiter in Derivation on Sheet 1 row ",94,"; edit the input before running."),_xlfn.CONCAT("char ",TRIM($B94),"[doc_derivation] ",CHAR(96),CHAR(34),SUBSTITUTE(SUBSTITUTE(SUBSTITUTE(SUBSTITUTE(SUBSTITUTE(SUBSTITUTE($I94,CHAR(13)," "),CHAR(10)," "),CHAR(9)," "),CHAR(92),_xlfn.CONCAT(CHAR(92),CHAR(92))),"$",_xlfn.CONCAT(CHAR(92),"$")),CHAR(96),_xlfn.CONCAT(CHAR(92),CHAR(96))),CHAR(34),CHAR(39))))</f>
        <v/>
      </c>
      <c r="T94" s="5" t="str">
        <f>IF(OR(TRIM($B94)="",$J94=""),"",IF(OR(ISNUMBER(SEARCH(_xlfn.CONCAT(CHAR(96),CHAR(34)),$J94)),ISNUMBER(SEARCH(_xlfn.CONCAT(CHAR(34),CHAR(39)),$J94))),_xlfn.CONCAT("* REVIEW REQUIRED: compound-quote delimiter in Notes on Sheet 1 row ",94,"; edit the input before running."),_xlfn.CONCAT("char ",TRIM($B94),"[doc_notes] ",CHAR(96),CHAR(34),SUBSTITUTE(SUBSTITUTE(SUBSTITUTE(SUBSTITUTE(SUBSTITUTE(SUBSTITUTE($J94,CHAR(13)," "),CHAR(10)," "),CHAR(9)," "),CHAR(92),_xlfn.CONCAT(CHAR(92),CHAR(92))),"$",_xlfn.CONCAT(CHAR(92),"$")),CHAR(96),_xlfn.CONCAT(CHAR(92),CHAR(96))),CHAR(34),CHAR(39))))</f>
        <v/>
      </c>
      <c r="U94" s="5">
        <f t="shared" si="3"/>
        <v>0</v>
      </c>
    </row>
    <row r="95" spans="3:21" ht="30" customHeight="1" x14ac:dyDescent="0.2">
      <c r="C95" s="4"/>
      <c r="K95" s="5">
        <f t="shared" si="2"/>
        <v>0</v>
      </c>
      <c r="L95" s="5" t="str">
        <f>IF(OR(TRIM($B95)="",$A95=""),"",IF(OR(ISNUMBER(SEARCH(_xlfn.CONCAT(CHAR(96),CHAR(34)),$A95)),ISNUMBER(SEARCH(_xlfn.CONCAT(CHAR(34),CHAR(39)),$A95))),_xlfn.CONCAT("* REVIEW REQUIRED: compound-quote delimiter in Codebook Section on Sheet 1 row ",95,"; edit the input before running."),_xlfn.CONCAT("char ",TRIM($B95),"[doc_section] ",CHAR(96),CHAR(34),SUBSTITUTE(SUBSTITUTE(SUBSTITUTE(SUBSTITUTE(SUBSTITUTE(SUBSTITUTE($A95,CHAR(13)," "),CHAR(10)," "),CHAR(9)," "),CHAR(92),_xlfn.CONCAT(CHAR(92),CHAR(92))),"$",_xlfn.CONCAT(CHAR(92),"$")),CHAR(96),_xlfn.CONCAT(CHAR(92),CHAR(96))),CHAR(34),CHAR(39))))</f>
        <v/>
      </c>
      <c r="M95" s="5" t="str">
        <f>IF(OR(TRIM($B95)="",$C95=""),"",IF(IFERROR(MATCH(TRIM($C95),{"Quantitative","Continuous","Discrete","Categorical","Nominal","Ordinal","Identifier"},0),0)=0,_xlfn.CONCAT("* REVIEW REQUIRED: invalid Variable Type on Sheet 1 row ",95,"."),_xlfn.CONCAT("char ",TRIM($B95),"[doc_vartype] ",CHAR(96),CHAR(34),SUBSTITUTE(SUBSTITUTE(SUBSTITUTE(SUBSTITUTE(SUBSTITUTE(SUBSTITUTE(LOWER(TRIM($C95)),CHAR(13)," "),CHAR(10)," "),CHAR(9)," "),CHAR(92),_xlfn.CONCAT(CHAR(92),CHAR(92))),"$",_xlfn.CONCAT(CHAR(92),"$")),CHAR(96),_xlfn.CONCAT(CHAR(92),CHAR(96))),CHAR(34),CHAR(39))))</f>
        <v/>
      </c>
      <c r="N95" s="5" t="str">
        <f>IF(OR(TRIM($B95)="",$D95=""),"",IF(OR(ISNUMBER(SEARCH(_xlfn.CONCAT(CHAR(96),CHAR(34)),$D95)),ISNUMBER(SEARCH(_xlfn.CONCAT(CHAR(34),CHAR(39)),$D95))),_xlfn.CONCAT("* REVIEW REQUIRED: compound-quote delimiter in Item Number on Sheet 1 row ",95,"; edit the input before running."),_xlfn.CONCAT("char ",TRIM($B95),"[doc_itemnum] ",CHAR(96),CHAR(34),SUBSTITUTE(SUBSTITUTE(SUBSTITUTE(SUBSTITUTE(SUBSTITUTE(SUBSTITUTE($D95,CHAR(13)," "),CHAR(10)," "),CHAR(9)," "),CHAR(92),_xlfn.CONCAT(CHAR(92),CHAR(92))),"$",_xlfn.CONCAT(CHAR(92),"$")),CHAR(96),_xlfn.CONCAT(CHAR(92),CHAR(96))),CHAR(34),CHAR(39))))</f>
        <v/>
      </c>
      <c r="O95" s="5" t="str">
        <f>IF(OR(TRIM($B95)="",$E95=""),"",IF(OR(ISNUMBER(SEARCH(_xlfn.CONCAT(CHAR(96),CHAR(34)),$E95)),ISNUMBER(SEARCH(_xlfn.CONCAT(CHAR(34),CHAR(39)),$E95))),_xlfn.CONCAT("* REVIEW REQUIRED: compound-quote delimiter in Question Wording on Sheet 1 row ",95,"; edit the input before running."),_xlfn.CONCAT("char ",TRIM($B95),"[doc_question] ",CHAR(96),CHAR(34),SUBSTITUTE(SUBSTITUTE(SUBSTITUTE(SUBSTITUTE(SUBSTITUTE(SUBSTITUTE($E95,CHAR(13)," "),CHAR(10)," "),CHAR(9)," "),CHAR(92),_xlfn.CONCAT(CHAR(92),CHAR(92))),"$",_xlfn.CONCAT(CHAR(92),"$")),CHAR(96),_xlfn.CONCAT(CHAR(92),CHAR(96))),CHAR(34),CHAR(39))))</f>
        <v/>
      </c>
      <c r="P95" s="5" t="str">
        <f>IF(OR(TRIM($B95)="",$F95=""),"",IF(OR(ISNUMBER(SEARCH(_xlfn.CONCAT(CHAR(96),CHAR(34)),$F95)),ISNUMBER(SEARCH(_xlfn.CONCAT(CHAR(34),CHAR(39)),$F95))),_xlfn.CONCAT("* REVIEW REQUIRED: compound-quote delimiter in Units on Sheet 1 row ",95,"; edit the input before running."),_xlfn.CONCAT("char ",TRIM($B95),"[doc_units] ",CHAR(96),CHAR(34),SUBSTITUTE(SUBSTITUTE(SUBSTITUTE(SUBSTITUTE(SUBSTITUTE(SUBSTITUTE($F95,CHAR(13)," "),CHAR(10)," "),CHAR(9)," "),CHAR(92),_xlfn.CONCAT(CHAR(92),CHAR(92))),"$",_xlfn.CONCAT(CHAR(92),"$")),CHAR(96),_xlfn.CONCAT(CHAR(92),CHAR(96))),CHAR(34),CHAR(39))))</f>
        <v/>
      </c>
      <c r="Q95" s="5" t="str">
        <f>IF(OR(TRIM($B95)="",$G95=""),"",IF(OR(ISNUMBER(SEARCH(_xlfn.CONCAT(CHAR(96),CHAR(34)),$G95)),ISNUMBER(SEARCH(_xlfn.CONCAT(CHAR(34),CHAR(39)),$G95))),_xlfn.CONCAT("* REVIEW REQUIRED: compound-quote delimiter in Universe on Sheet 1 row ",95,"; edit the input before running."),_xlfn.CONCAT("char ",TRIM($B95),"[doc_universe] ",CHAR(96),CHAR(34),SUBSTITUTE(SUBSTITUTE(SUBSTITUTE(SUBSTITUTE(SUBSTITUTE(SUBSTITUTE($G95,CHAR(13)," "),CHAR(10)," "),CHAR(9)," "),CHAR(92),_xlfn.CONCAT(CHAR(92),CHAR(92))),"$",_xlfn.CONCAT(CHAR(92),"$")),CHAR(96),_xlfn.CONCAT(CHAR(92),CHAR(96))),CHAR(34),CHAR(39))))</f>
        <v/>
      </c>
      <c r="R95" s="5" t="str">
        <f>IF(OR(TRIM($B95)="",$H95=""),"",IF(OR(ISNUMBER(SEARCH(_xlfn.CONCAT(CHAR(96),CHAR(34)),$H95)),ISNUMBER(SEARCH(_xlfn.CONCAT(CHAR(34),CHAR(39)),$H95))),_xlfn.CONCAT("* REVIEW REQUIRED: compound-quote delimiter in Source on Sheet 1 row ",95,"; edit the input before running."),_xlfn.CONCAT("char ",TRIM($B95),"[doc_source] ",CHAR(96),CHAR(34),SUBSTITUTE(SUBSTITUTE(SUBSTITUTE(SUBSTITUTE(SUBSTITUTE(SUBSTITUTE($H95,CHAR(13)," "),CHAR(10)," "),CHAR(9)," "),CHAR(92),_xlfn.CONCAT(CHAR(92),CHAR(92))),"$",_xlfn.CONCAT(CHAR(92),"$")),CHAR(96),_xlfn.CONCAT(CHAR(92),CHAR(96))),CHAR(34),CHAR(39))))</f>
        <v/>
      </c>
      <c r="S95" s="5" t="str">
        <f>IF(OR(TRIM($B95)="",$I95=""),"",IF(OR(ISNUMBER(SEARCH(_xlfn.CONCAT(CHAR(96),CHAR(34)),$I95)),ISNUMBER(SEARCH(_xlfn.CONCAT(CHAR(34),CHAR(39)),$I95))),_xlfn.CONCAT("* REVIEW REQUIRED: compound-quote delimiter in Derivation on Sheet 1 row ",95,"; edit the input before running."),_xlfn.CONCAT("char ",TRIM($B95),"[doc_derivation] ",CHAR(96),CHAR(34),SUBSTITUTE(SUBSTITUTE(SUBSTITUTE(SUBSTITUTE(SUBSTITUTE(SUBSTITUTE($I95,CHAR(13)," "),CHAR(10)," "),CHAR(9)," "),CHAR(92),_xlfn.CONCAT(CHAR(92),CHAR(92))),"$",_xlfn.CONCAT(CHAR(92),"$")),CHAR(96),_xlfn.CONCAT(CHAR(92),CHAR(96))),CHAR(34),CHAR(39))))</f>
        <v/>
      </c>
      <c r="T95" s="5" t="str">
        <f>IF(OR(TRIM($B95)="",$J95=""),"",IF(OR(ISNUMBER(SEARCH(_xlfn.CONCAT(CHAR(96),CHAR(34)),$J95)),ISNUMBER(SEARCH(_xlfn.CONCAT(CHAR(34),CHAR(39)),$J95))),_xlfn.CONCAT("* REVIEW REQUIRED: compound-quote delimiter in Notes on Sheet 1 row ",95,"; edit the input before running."),_xlfn.CONCAT("char ",TRIM($B95),"[doc_notes] ",CHAR(96),CHAR(34),SUBSTITUTE(SUBSTITUTE(SUBSTITUTE(SUBSTITUTE(SUBSTITUTE(SUBSTITUTE($J95,CHAR(13)," "),CHAR(10)," "),CHAR(9)," "),CHAR(92),_xlfn.CONCAT(CHAR(92),CHAR(92))),"$",_xlfn.CONCAT(CHAR(92),"$")),CHAR(96),_xlfn.CONCAT(CHAR(92),CHAR(96))),CHAR(34),CHAR(39))))</f>
        <v/>
      </c>
      <c r="U95" s="5">
        <f t="shared" si="3"/>
        <v>0</v>
      </c>
    </row>
    <row r="96" spans="3:21" ht="30" customHeight="1" x14ac:dyDescent="0.2">
      <c r="C96" s="4"/>
      <c r="K96" s="5">
        <f t="shared" si="2"/>
        <v>0</v>
      </c>
      <c r="L96" s="5" t="str">
        <f>IF(OR(TRIM($B96)="",$A96=""),"",IF(OR(ISNUMBER(SEARCH(_xlfn.CONCAT(CHAR(96),CHAR(34)),$A96)),ISNUMBER(SEARCH(_xlfn.CONCAT(CHAR(34),CHAR(39)),$A96))),_xlfn.CONCAT("* REVIEW REQUIRED: compound-quote delimiter in Codebook Section on Sheet 1 row ",96,"; edit the input before running."),_xlfn.CONCAT("char ",TRIM($B96),"[doc_section] ",CHAR(96),CHAR(34),SUBSTITUTE(SUBSTITUTE(SUBSTITUTE(SUBSTITUTE(SUBSTITUTE(SUBSTITUTE($A96,CHAR(13)," "),CHAR(10)," "),CHAR(9)," "),CHAR(92),_xlfn.CONCAT(CHAR(92),CHAR(92))),"$",_xlfn.CONCAT(CHAR(92),"$")),CHAR(96),_xlfn.CONCAT(CHAR(92),CHAR(96))),CHAR(34),CHAR(39))))</f>
        <v/>
      </c>
      <c r="M96" s="5" t="str">
        <f>IF(OR(TRIM($B96)="",$C96=""),"",IF(IFERROR(MATCH(TRIM($C96),{"Quantitative","Continuous","Discrete","Categorical","Nominal","Ordinal","Identifier"},0),0)=0,_xlfn.CONCAT("* REVIEW REQUIRED: invalid Variable Type on Sheet 1 row ",96,"."),_xlfn.CONCAT("char ",TRIM($B96),"[doc_vartype] ",CHAR(96),CHAR(34),SUBSTITUTE(SUBSTITUTE(SUBSTITUTE(SUBSTITUTE(SUBSTITUTE(SUBSTITUTE(LOWER(TRIM($C96)),CHAR(13)," "),CHAR(10)," "),CHAR(9)," "),CHAR(92),_xlfn.CONCAT(CHAR(92),CHAR(92))),"$",_xlfn.CONCAT(CHAR(92),"$")),CHAR(96),_xlfn.CONCAT(CHAR(92),CHAR(96))),CHAR(34),CHAR(39))))</f>
        <v/>
      </c>
      <c r="N96" s="5" t="str">
        <f>IF(OR(TRIM($B96)="",$D96=""),"",IF(OR(ISNUMBER(SEARCH(_xlfn.CONCAT(CHAR(96),CHAR(34)),$D96)),ISNUMBER(SEARCH(_xlfn.CONCAT(CHAR(34),CHAR(39)),$D96))),_xlfn.CONCAT("* REVIEW REQUIRED: compound-quote delimiter in Item Number on Sheet 1 row ",96,"; edit the input before running."),_xlfn.CONCAT("char ",TRIM($B96),"[doc_itemnum] ",CHAR(96),CHAR(34),SUBSTITUTE(SUBSTITUTE(SUBSTITUTE(SUBSTITUTE(SUBSTITUTE(SUBSTITUTE($D96,CHAR(13)," "),CHAR(10)," "),CHAR(9)," "),CHAR(92),_xlfn.CONCAT(CHAR(92),CHAR(92))),"$",_xlfn.CONCAT(CHAR(92),"$")),CHAR(96),_xlfn.CONCAT(CHAR(92),CHAR(96))),CHAR(34),CHAR(39))))</f>
        <v/>
      </c>
      <c r="O96" s="5" t="str">
        <f>IF(OR(TRIM($B96)="",$E96=""),"",IF(OR(ISNUMBER(SEARCH(_xlfn.CONCAT(CHAR(96),CHAR(34)),$E96)),ISNUMBER(SEARCH(_xlfn.CONCAT(CHAR(34),CHAR(39)),$E96))),_xlfn.CONCAT("* REVIEW REQUIRED: compound-quote delimiter in Question Wording on Sheet 1 row ",96,"; edit the input before running."),_xlfn.CONCAT("char ",TRIM($B96),"[doc_question] ",CHAR(96),CHAR(34),SUBSTITUTE(SUBSTITUTE(SUBSTITUTE(SUBSTITUTE(SUBSTITUTE(SUBSTITUTE($E96,CHAR(13)," "),CHAR(10)," "),CHAR(9)," "),CHAR(92),_xlfn.CONCAT(CHAR(92),CHAR(92))),"$",_xlfn.CONCAT(CHAR(92),"$")),CHAR(96),_xlfn.CONCAT(CHAR(92),CHAR(96))),CHAR(34),CHAR(39))))</f>
        <v/>
      </c>
      <c r="P96" s="5" t="str">
        <f>IF(OR(TRIM($B96)="",$F96=""),"",IF(OR(ISNUMBER(SEARCH(_xlfn.CONCAT(CHAR(96),CHAR(34)),$F96)),ISNUMBER(SEARCH(_xlfn.CONCAT(CHAR(34),CHAR(39)),$F96))),_xlfn.CONCAT("* REVIEW REQUIRED: compound-quote delimiter in Units on Sheet 1 row ",96,"; edit the input before running."),_xlfn.CONCAT("char ",TRIM($B96),"[doc_units] ",CHAR(96),CHAR(34),SUBSTITUTE(SUBSTITUTE(SUBSTITUTE(SUBSTITUTE(SUBSTITUTE(SUBSTITUTE($F96,CHAR(13)," "),CHAR(10)," "),CHAR(9)," "),CHAR(92),_xlfn.CONCAT(CHAR(92),CHAR(92))),"$",_xlfn.CONCAT(CHAR(92),"$")),CHAR(96),_xlfn.CONCAT(CHAR(92),CHAR(96))),CHAR(34),CHAR(39))))</f>
        <v/>
      </c>
      <c r="Q96" s="5" t="str">
        <f>IF(OR(TRIM($B96)="",$G96=""),"",IF(OR(ISNUMBER(SEARCH(_xlfn.CONCAT(CHAR(96),CHAR(34)),$G96)),ISNUMBER(SEARCH(_xlfn.CONCAT(CHAR(34),CHAR(39)),$G96))),_xlfn.CONCAT("* REVIEW REQUIRED: compound-quote delimiter in Universe on Sheet 1 row ",96,"; edit the input before running."),_xlfn.CONCAT("char ",TRIM($B96),"[doc_universe] ",CHAR(96),CHAR(34),SUBSTITUTE(SUBSTITUTE(SUBSTITUTE(SUBSTITUTE(SUBSTITUTE(SUBSTITUTE($G96,CHAR(13)," "),CHAR(10)," "),CHAR(9)," "),CHAR(92),_xlfn.CONCAT(CHAR(92),CHAR(92))),"$",_xlfn.CONCAT(CHAR(92),"$")),CHAR(96),_xlfn.CONCAT(CHAR(92),CHAR(96))),CHAR(34),CHAR(39))))</f>
        <v/>
      </c>
      <c r="R96" s="5" t="str">
        <f>IF(OR(TRIM($B96)="",$H96=""),"",IF(OR(ISNUMBER(SEARCH(_xlfn.CONCAT(CHAR(96),CHAR(34)),$H96)),ISNUMBER(SEARCH(_xlfn.CONCAT(CHAR(34),CHAR(39)),$H96))),_xlfn.CONCAT("* REVIEW REQUIRED: compound-quote delimiter in Source on Sheet 1 row ",96,"; edit the input before running."),_xlfn.CONCAT("char ",TRIM($B96),"[doc_source] ",CHAR(96),CHAR(34),SUBSTITUTE(SUBSTITUTE(SUBSTITUTE(SUBSTITUTE(SUBSTITUTE(SUBSTITUTE($H96,CHAR(13)," "),CHAR(10)," "),CHAR(9)," "),CHAR(92),_xlfn.CONCAT(CHAR(92),CHAR(92))),"$",_xlfn.CONCAT(CHAR(92),"$")),CHAR(96),_xlfn.CONCAT(CHAR(92),CHAR(96))),CHAR(34),CHAR(39))))</f>
        <v/>
      </c>
      <c r="S96" s="5" t="str">
        <f>IF(OR(TRIM($B96)="",$I96=""),"",IF(OR(ISNUMBER(SEARCH(_xlfn.CONCAT(CHAR(96),CHAR(34)),$I96)),ISNUMBER(SEARCH(_xlfn.CONCAT(CHAR(34),CHAR(39)),$I96))),_xlfn.CONCAT("* REVIEW REQUIRED: compound-quote delimiter in Derivation on Sheet 1 row ",96,"; edit the input before running."),_xlfn.CONCAT("char ",TRIM($B96),"[doc_derivation] ",CHAR(96),CHAR(34),SUBSTITUTE(SUBSTITUTE(SUBSTITUTE(SUBSTITUTE(SUBSTITUTE(SUBSTITUTE($I96,CHAR(13)," "),CHAR(10)," "),CHAR(9)," "),CHAR(92),_xlfn.CONCAT(CHAR(92),CHAR(92))),"$",_xlfn.CONCAT(CHAR(92),"$")),CHAR(96),_xlfn.CONCAT(CHAR(92),CHAR(96))),CHAR(34),CHAR(39))))</f>
        <v/>
      </c>
      <c r="T96" s="5" t="str">
        <f>IF(OR(TRIM($B96)="",$J96=""),"",IF(OR(ISNUMBER(SEARCH(_xlfn.CONCAT(CHAR(96),CHAR(34)),$J96)),ISNUMBER(SEARCH(_xlfn.CONCAT(CHAR(34),CHAR(39)),$J96))),_xlfn.CONCAT("* REVIEW REQUIRED: compound-quote delimiter in Notes on Sheet 1 row ",96,"; edit the input before running."),_xlfn.CONCAT("char ",TRIM($B96),"[doc_notes] ",CHAR(96),CHAR(34),SUBSTITUTE(SUBSTITUTE(SUBSTITUTE(SUBSTITUTE(SUBSTITUTE(SUBSTITUTE($J96,CHAR(13)," "),CHAR(10)," "),CHAR(9)," "),CHAR(92),_xlfn.CONCAT(CHAR(92),CHAR(92))),"$",_xlfn.CONCAT(CHAR(92),"$")),CHAR(96),_xlfn.CONCAT(CHAR(92),CHAR(96))),CHAR(34),CHAR(39))))</f>
        <v/>
      </c>
      <c r="U96" s="5">
        <f t="shared" si="3"/>
        <v>0</v>
      </c>
    </row>
    <row r="97" spans="3:21" ht="30" customHeight="1" x14ac:dyDescent="0.2">
      <c r="C97" s="4"/>
      <c r="K97" s="5">
        <f t="shared" si="2"/>
        <v>0</v>
      </c>
      <c r="L97" s="5" t="str">
        <f>IF(OR(TRIM($B97)="",$A97=""),"",IF(OR(ISNUMBER(SEARCH(_xlfn.CONCAT(CHAR(96),CHAR(34)),$A97)),ISNUMBER(SEARCH(_xlfn.CONCAT(CHAR(34),CHAR(39)),$A97))),_xlfn.CONCAT("* REVIEW REQUIRED: compound-quote delimiter in Codebook Section on Sheet 1 row ",97,"; edit the input before running."),_xlfn.CONCAT("char ",TRIM($B97),"[doc_section] ",CHAR(96),CHAR(34),SUBSTITUTE(SUBSTITUTE(SUBSTITUTE(SUBSTITUTE(SUBSTITUTE(SUBSTITUTE($A97,CHAR(13)," "),CHAR(10)," "),CHAR(9)," "),CHAR(92),_xlfn.CONCAT(CHAR(92),CHAR(92))),"$",_xlfn.CONCAT(CHAR(92),"$")),CHAR(96),_xlfn.CONCAT(CHAR(92),CHAR(96))),CHAR(34),CHAR(39))))</f>
        <v/>
      </c>
      <c r="M97" s="5" t="str">
        <f>IF(OR(TRIM($B97)="",$C97=""),"",IF(IFERROR(MATCH(TRIM($C97),{"Quantitative","Continuous","Discrete","Categorical","Nominal","Ordinal","Identifier"},0),0)=0,_xlfn.CONCAT("* REVIEW REQUIRED: invalid Variable Type on Sheet 1 row ",97,"."),_xlfn.CONCAT("char ",TRIM($B97),"[doc_vartype] ",CHAR(96),CHAR(34),SUBSTITUTE(SUBSTITUTE(SUBSTITUTE(SUBSTITUTE(SUBSTITUTE(SUBSTITUTE(LOWER(TRIM($C97)),CHAR(13)," "),CHAR(10)," "),CHAR(9)," "),CHAR(92),_xlfn.CONCAT(CHAR(92),CHAR(92))),"$",_xlfn.CONCAT(CHAR(92),"$")),CHAR(96),_xlfn.CONCAT(CHAR(92),CHAR(96))),CHAR(34),CHAR(39))))</f>
        <v/>
      </c>
      <c r="N97" s="5" t="str">
        <f>IF(OR(TRIM($B97)="",$D97=""),"",IF(OR(ISNUMBER(SEARCH(_xlfn.CONCAT(CHAR(96),CHAR(34)),$D97)),ISNUMBER(SEARCH(_xlfn.CONCAT(CHAR(34),CHAR(39)),$D97))),_xlfn.CONCAT("* REVIEW REQUIRED: compound-quote delimiter in Item Number on Sheet 1 row ",97,"; edit the input before running."),_xlfn.CONCAT("char ",TRIM($B97),"[doc_itemnum] ",CHAR(96),CHAR(34),SUBSTITUTE(SUBSTITUTE(SUBSTITUTE(SUBSTITUTE(SUBSTITUTE(SUBSTITUTE($D97,CHAR(13)," "),CHAR(10)," "),CHAR(9)," "),CHAR(92),_xlfn.CONCAT(CHAR(92),CHAR(92))),"$",_xlfn.CONCAT(CHAR(92),"$")),CHAR(96),_xlfn.CONCAT(CHAR(92),CHAR(96))),CHAR(34),CHAR(39))))</f>
        <v/>
      </c>
      <c r="O97" s="5" t="str">
        <f>IF(OR(TRIM($B97)="",$E97=""),"",IF(OR(ISNUMBER(SEARCH(_xlfn.CONCAT(CHAR(96),CHAR(34)),$E97)),ISNUMBER(SEARCH(_xlfn.CONCAT(CHAR(34),CHAR(39)),$E97))),_xlfn.CONCAT("* REVIEW REQUIRED: compound-quote delimiter in Question Wording on Sheet 1 row ",97,"; edit the input before running."),_xlfn.CONCAT("char ",TRIM($B97),"[doc_question] ",CHAR(96),CHAR(34),SUBSTITUTE(SUBSTITUTE(SUBSTITUTE(SUBSTITUTE(SUBSTITUTE(SUBSTITUTE($E97,CHAR(13)," "),CHAR(10)," "),CHAR(9)," "),CHAR(92),_xlfn.CONCAT(CHAR(92),CHAR(92))),"$",_xlfn.CONCAT(CHAR(92),"$")),CHAR(96),_xlfn.CONCAT(CHAR(92),CHAR(96))),CHAR(34),CHAR(39))))</f>
        <v/>
      </c>
      <c r="P97" s="5" t="str">
        <f>IF(OR(TRIM($B97)="",$F97=""),"",IF(OR(ISNUMBER(SEARCH(_xlfn.CONCAT(CHAR(96),CHAR(34)),$F97)),ISNUMBER(SEARCH(_xlfn.CONCAT(CHAR(34),CHAR(39)),$F97))),_xlfn.CONCAT("* REVIEW REQUIRED: compound-quote delimiter in Units on Sheet 1 row ",97,"; edit the input before running."),_xlfn.CONCAT("char ",TRIM($B97),"[doc_units] ",CHAR(96),CHAR(34),SUBSTITUTE(SUBSTITUTE(SUBSTITUTE(SUBSTITUTE(SUBSTITUTE(SUBSTITUTE($F97,CHAR(13)," "),CHAR(10)," "),CHAR(9)," "),CHAR(92),_xlfn.CONCAT(CHAR(92),CHAR(92))),"$",_xlfn.CONCAT(CHAR(92),"$")),CHAR(96),_xlfn.CONCAT(CHAR(92),CHAR(96))),CHAR(34),CHAR(39))))</f>
        <v/>
      </c>
      <c r="Q97" s="5" t="str">
        <f>IF(OR(TRIM($B97)="",$G97=""),"",IF(OR(ISNUMBER(SEARCH(_xlfn.CONCAT(CHAR(96),CHAR(34)),$G97)),ISNUMBER(SEARCH(_xlfn.CONCAT(CHAR(34),CHAR(39)),$G97))),_xlfn.CONCAT("* REVIEW REQUIRED: compound-quote delimiter in Universe on Sheet 1 row ",97,"; edit the input before running."),_xlfn.CONCAT("char ",TRIM($B97),"[doc_universe] ",CHAR(96),CHAR(34),SUBSTITUTE(SUBSTITUTE(SUBSTITUTE(SUBSTITUTE(SUBSTITUTE(SUBSTITUTE($G97,CHAR(13)," "),CHAR(10)," "),CHAR(9)," "),CHAR(92),_xlfn.CONCAT(CHAR(92),CHAR(92))),"$",_xlfn.CONCAT(CHAR(92),"$")),CHAR(96),_xlfn.CONCAT(CHAR(92),CHAR(96))),CHAR(34),CHAR(39))))</f>
        <v/>
      </c>
      <c r="R97" s="5" t="str">
        <f>IF(OR(TRIM($B97)="",$H97=""),"",IF(OR(ISNUMBER(SEARCH(_xlfn.CONCAT(CHAR(96),CHAR(34)),$H97)),ISNUMBER(SEARCH(_xlfn.CONCAT(CHAR(34),CHAR(39)),$H97))),_xlfn.CONCAT("* REVIEW REQUIRED: compound-quote delimiter in Source on Sheet 1 row ",97,"; edit the input before running."),_xlfn.CONCAT("char ",TRIM($B97),"[doc_source] ",CHAR(96),CHAR(34),SUBSTITUTE(SUBSTITUTE(SUBSTITUTE(SUBSTITUTE(SUBSTITUTE(SUBSTITUTE($H97,CHAR(13)," "),CHAR(10)," "),CHAR(9)," "),CHAR(92),_xlfn.CONCAT(CHAR(92),CHAR(92))),"$",_xlfn.CONCAT(CHAR(92),"$")),CHAR(96),_xlfn.CONCAT(CHAR(92),CHAR(96))),CHAR(34),CHAR(39))))</f>
        <v/>
      </c>
      <c r="S97" s="5" t="str">
        <f>IF(OR(TRIM($B97)="",$I97=""),"",IF(OR(ISNUMBER(SEARCH(_xlfn.CONCAT(CHAR(96),CHAR(34)),$I97)),ISNUMBER(SEARCH(_xlfn.CONCAT(CHAR(34),CHAR(39)),$I97))),_xlfn.CONCAT("* REVIEW REQUIRED: compound-quote delimiter in Derivation on Sheet 1 row ",97,"; edit the input before running."),_xlfn.CONCAT("char ",TRIM($B97),"[doc_derivation] ",CHAR(96),CHAR(34),SUBSTITUTE(SUBSTITUTE(SUBSTITUTE(SUBSTITUTE(SUBSTITUTE(SUBSTITUTE($I97,CHAR(13)," "),CHAR(10)," "),CHAR(9)," "),CHAR(92),_xlfn.CONCAT(CHAR(92),CHAR(92))),"$",_xlfn.CONCAT(CHAR(92),"$")),CHAR(96),_xlfn.CONCAT(CHAR(92),CHAR(96))),CHAR(34),CHAR(39))))</f>
        <v/>
      </c>
      <c r="T97" s="5" t="str">
        <f>IF(OR(TRIM($B97)="",$J97=""),"",IF(OR(ISNUMBER(SEARCH(_xlfn.CONCAT(CHAR(96),CHAR(34)),$J97)),ISNUMBER(SEARCH(_xlfn.CONCAT(CHAR(34),CHAR(39)),$J97))),_xlfn.CONCAT("* REVIEW REQUIRED: compound-quote delimiter in Notes on Sheet 1 row ",97,"; edit the input before running."),_xlfn.CONCAT("char ",TRIM($B97),"[doc_notes] ",CHAR(96),CHAR(34),SUBSTITUTE(SUBSTITUTE(SUBSTITUTE(SUBSTITUTE(SUBSTITUTE(SUBSTITUTE($J97,CHAR(13)," "),CHAR(10)," "),CHAR(9)," "),CHAR(92),_xlfn.CONCAT(CHAR(92),CHAR(92))),"$",_xlfn.CONCAT(CHAR(92),"$")),CHAR(96),_xlfn.CONCAT(CHAR(92),CHAR(96))),CHAR(34),CHAR(39))))</f>
        <v/>
      </c>
      <c r="U97" s="5">
        <f t="shared" si="3"/>
        <v>0</v>
      </c>
    </row>
    <row r="98" spans="3:21" ht="30" customHeight="1" x14ac:dyDescent="0.2">
      <c r="C98" s="4"/>
      <c r="K98" s="5">
        <f t="shared" si="2"/>
        <v>0</v>
      </c>
      <c r="L98" s="5" t="str">
        <f>IF(OR(TRIM($B98)="",$A98=""),"",IF(OR(ISNUMBER(SEARCH(_xlfn.CONCAT(CHAR(96),CHAR(34)),$A98)),ISNUMBER(SEARCH(_xlfn.CONCAT(CHAR(34),CHAR(39)),$A98))),_xlfn.CONCAT("* REVIEW REQUIRED: compound-quote delimiter in Codebook Section on Sheet 1 row ",98,"; edit the input before running."),_xlfn.CONCAT("char ",TRIM($B98),"[doc_section] ",CHAR(96),CHAR(34),SUBSTITUTE(SUBSTITUTE(SUBSTITUTE(SUBSTITUTE(SUBSTITUTE(SUBSTITUTE($A98,CHAR(13)," "),CHAR(10)," "),CHAR(9)," "),CHAR(92),_xlfn.CONCAT(CHAR(92),CHAR(92))),"$",_xlfn.CONCAT(CHAR(92),"$")),CHAR(96),_xlfn.CONCAT(CHAR(92),CHAR(96))),CHAR(34),CHAR(39))))</f>
        <v/>
      </c>
      <c r="M98" s="5" t="str">
        <f>IF(OR(TRIM($B98)="",$C98=""),"",IF(IFERROR(MATCH(TRIM($C98),{"Quantitative","Continuous","Discrete","Categorical","Nominal","Ordinal","Identifier"},0),0)=0,_xlfn.CONCAT("* REVIEW REQUIRED: invalid Variable Type on Sheet 1 row ",98,"."),_xlfn.CONCAT("char ",TRIM($B98),"[doc_vartype] ",CHAR(96),CHAR(34),SUBSTITUTE(SUBSTITUTE(SUBSTITUTE(SUBSTITUTE(SUBSTITUTE(SUBSTITUTE(LOWER(TRIM($C98)),CHAR(13)," "),CHAR(10)," "),CHAR(9)," "),CHAR(92),_xlfn.CONCAT(CHAR(92),CHAR(92))),"$",_xlfn.CONCAT(CHAR(92),"$")),CHAR(96),_xlfn.CONCAT(CHAR(92),CHAR(96))),CHAR(34),CHAR(39))))</f>
        <v/>
      </c>
      <c r="N98" s="5" t="str">
        <f>IF(OR(TRIM($B98)="",$D98=""),"",IF(OR(ISNUMBER(SEARCH(_xlfn.CONCAT(CHAR(96),CHAR(34)),$D98)),ISNUMBER(SEARCH(_xlfn.CONCAT(CHAR(34),CHAR(39)),$D98))),_xlfn.CONCAT("* REVIEW REQUIRED: compound-quote delimiter in Item Number on Sheet 1 row ",98,"; edit the input before running."),_xlfn.CONCAT("char ",TRIM($B98),"[doc_itemnum] ",CHAR(96),CHAR(34),SUBSTITUTE(SUBSTITUTE(SUBSTITUTE(SUBSTITUTE(SUBSTITUTE(SUBSTITUTE($D98,CHAR(13)," "),CHAR(10)," "),CHAR(9)," "),CHAR(92),_xlfn.CONCAT(CHAR(92),CHAR(92))),"$",_xlfn.CONCAT(CHAR(92),"$")),CHAR(96),_xlfn.CONCAT(CHAR(92),CHAR(96))),CHAR(34),CHAR(39))))</f>
        <v/>
      </c>
      <c r="O98" s="5" t="str">
        <f>IF(OR(TRIM($B98)="",$E98=""),"",IF(OR(ISNUMBER(SEARCH(_xlfn.CONCAT(CHAR(96),CHAR(34)),$E98)),ISNUMBER(SEARCH(_xlfn.CONCAT(CHAR(34),CHAR(39)),$E98))),_xlfn.CONCAT("* REVIEW REQUIRED: compound-quote delimiter in Question Wording on Sheet 1 row ",98,"; edit the input before running."),_xlfn.CONCAT("char ",TRIM($B98),"[doc_question] ",CHAR(96),CHAR(34),SUBSTITUTE(SUBSTITUTE(SUBSTITUTE(SUBSTITUTE(SUBSTITUTE(SUBSTITUTE($E98,CHAR(13)," "),CHAR(10)," "),CHAR(9)," "),CHAR(92),_xlfn.CONCAT(CHAR(92),CHAR(92))),"$",_xlfn.CONCAT(CHAR(92),"$")),CHAR(96),_xlfn.CONCAT(CHAR(92),CHAR(96))),CHAR(34),CHAR(39))))</f>
        <v/>
      </c>
      <c r="P98" s="5" t="str">
        <f>IF(OR(TRIM($B98)="",$F98=""),"",IF(OR(ISNUMBER(SEARCH(_xlfn.CONCAT(CHAR(96),CHAR(34)),$F98)),ISNUMBER(SEARCH(_xlfn.CONCAT(CHAR(34),CHAR(39)),$F98))),_xlfn.CONCAT("* REVIEW REQUIRED: compound-quote delimiter in Units on Sheet 1 row ",98,"; edit the input before running."),_xlfn.CONCAT("char ",TRIM($B98),"[doc_units] ",CHAR(96),CHAR(34),SUBSTITUTE(SUBSTITUTE(SUBSTITUTE(SUBSTITUTE(SUBSTITUTE(SUBSTITUTE($F98,CHAR(13)," "),CHAR(10)," "),CHAR(9)," "),CHAR(92),_xlfn.CONCAT(CHAR(92),CHAR(92))),"$",_xlfn.CONCAT(CHAR(92),"$")),CHAR(96),_xlfn.CONCAT(CHAR(92),CHAR(96))),CHAR(34),CHAR(39))))</f>
        <v/>
      </c>
      <c r="Q98" s="5" t="str">
        <f>IF(OR(TRIM($B98)="",$G98=""),"",IF(OR(ISNUMBER(SEARCH(_xlfn.CONCAT(CHAR(96),CHAR(34)),$G98)),ISNUMBER(SEARCH(_xlfn.CONCAT(CHAR(34),CHAR(39)),$G98))),_xlfn.CONCAT("* REVIEW REQUIRED: compound-quote delimiter in Universe on Sheet 1 row ",98,"; edit the input before running."),_xlfn.CONCAT("char ",TRIM($B98),"[doc_universe] ",CHAR(96),CHAR(34),SUBSTITUTE(SUBSTITUTE(SUBSTITUTE(SUBSTITUTE(SUBSTITUTE(SUBSTITUTE($G98,CHAR(13)," "),CHAR(10)," "),CHAR(9)," "),CHAR(92),_xlfn.CONCAT(CHAR(92),CHAR(92))),"$",_xlfn.CONCAT(CHAR(92),"$")),CHAR(96),_xlfn.CONCAT(CHAR(92),CHAR(96))),CHAR(34),CHAR(39))))</f>
        <v/>
      </c>
      <c r="R98" s="5" t="str">
        <f>IF(OR(TRIM($B98)="",$H98=""),"",IF(OR(ISNUMBER(SEARCH(_xlfn.CONCAT(CHAR(96),CHAR(34)),$H98)),ISNUMBER(SEARCH(_xlfn.CONCAT(CHAR(34),CHAR(39)),$H98))),_xlfn.CONCAT("* REVIEW REQUIRED: compound-quote delimiter in Source on Sheet 1 row ",98,"; edit the input before running."),_xlfn.CONCAT("char ",TRIM($B98),"[doc_source] ",CHAR(96),CHAR(34),SUBSTITUTE(SUBSTITUTE(SUBSTITUTE(SUBSTITUTE(SUBSTITUTE(SUBSTITUTE($H98,CHAR(13)," "),CHAR(10)," "),CHAR(9)," "),CHAR(92),_xlfn.CONCAT(CHAR(92),CHAR(92))),"$",_xlfn.CONCAT(CHAR(92),"$")),CHAR(96),_xlfn.CONCAT(CHAR(92),CHAR(96))),CHAR(34),CHAR(39))))</f>
        <v/>
      </c>
      <c r="S98" s="5" t="str">
        <f>IF(OR(TRIM($B98)="",$I98=""),"",IF(OR(ISNUMBER(SEARCH(_xlfn.CONCAT(CHAR(96),CHAR(34)),$I98)),ISNUMBER(SEARCH(_xlfn.CONCAT(CHAR(34),CHAR(39)),$I98))),_xlfn.CONCAT("* REVIEW REQUIRED: compound-quote delimiter in Derivation on Sheet 1 row ",98,"; edit the input before running."),_xlfn.CONCAT("char ",TRIM($B98),"[doc_derivation] ",CHAR(96),CHAR(34),SUBSTITUTE(SUBSTITUTE(SUBSTITUTE(SUBSTITUTE(SUBSTITUTE(SUBSTITUTE($I98,CHAR(13)," "),CHAR(10)," "),CHAR(9)," "),CHAR(92),_xlfn.CONCAT(CHAR(92),CHAR(92))),"$",_xlfn.CONCAT(CHAR(92),"$")),CHAR(96),_xlfn.CONCAT(CHAR(92),CHAR(96))),CHAR(34),CHAR(39))))</f>
        <v/>
      </c>
      <c r="T98" s="5" t="str">
        <f>IF(OR(TRIM($B98)="",$J98=""),"",IF(OR(ISNUMBER(SEARCH(_xlfn.CONCAT(CHAR(96),CHAR(34)),$J98)),ISNUMBER(SEARCH(_xlfn.CONCAT(CHAR(34),CHAR(39)),$J98))),_xlfn.CONCAT("* REVIEW REQUIRED: compound-quote delimiter in Notes on Sheet 1 row ",98,"; edit the input before running."),_xlfn.CONCAT("char ",TRIM($B98),"[doc_notes] ",CHAR(96),CHAR(34),SUBSTITUTE(SUBSTITUTE(SUBSTITUTE(SUBSTITUTE(SUBSTITUTE(SUBSTITUTE($J98,CHAR(13)," "),CHAR(10)," "),CHAR(9)," "),CHAR(92),_xlfn.CONCAT(CHAR(92),CHAR(92))),"$",_xlfn.CONCAT(CHAR(92),"$")),CHAR(96),_xlfn.CONCAT(CHAR(92),CHAR(96))),CHAR(34),CHAR(39))))</f>
        <v/>
      </c>
      <c r="U98" s="5">
        <f t="shared" si="3"/>
        <v>0</v>
      </c>
    </row>
    <row r="99" spans="3:21" ht="30" customHeight="1" x14ac:dyDescent="0.2">
      <c r="C99" s="4"/>
      <c r="K99" s="5">
        <f t="shared" si="2"/>
        <v>0</v>
      </c>
      <c r="L99" s="5" t="str">
        <f>IF(OR(TRIM($B99)="",$A99=""),"",IF(OR(ISNUMBER(SEARCH(_xlfn.CONCAT(CHAR(96),CHAR(34)),$A99)),ISNUMBER(SEARCH(_xlfn.CONCAT(CHAR(34),CHAR(39)),$A99))),_xlfn.CONCAT("* REVIEW REQUIRED: compound-quote delimiter in Codebook Section on Sheet 1 row ",99,"; edit the input before running."),_xlfn.CONCAT("char ",TRIM($B99),"[doc_section] ",CHAR(96),CHAR(34),SUBSTITUTE(SUBSTITUTE(SUBSTITUTE(SUBSTITUTE(SUBSTITUTE(SUBSTITUTE($A99,CHAR(13)," "),CHAR(10)," "),CHAR(9)," "),CHAR(92),_xlfn.CONCAT(CHAR(92),CHAR(92))),"$",_xlfn.CONCAT(CHAR(92),"$")),CHAR(96),_xlfn.CONCAT(CHAR(92),CHAR(96))),CHAR(34),CHAR(39))))</f>
        <v/>
      </c>
      <c r="M99" s="5" t="str">
        <f>IF(OR(TRIM($B99)="",$C99=""),"",IF(IFERROR(MATCH(TRIM($C99),{"Quantitative","Continuous","Discrete","Categorical","Nominal","Ordinal","Identifier"},0),0)=0,_xlfn.CONCAT("* REVIEW REQUIRED: invalid Variable Type on Sheet 1 row ",99,"."),_xlfn.CONCAT("char ",TRIM($B99),"[doc_vartype] ",CHAR(96),CHAR(34),SUBSTITUTE(SUBSTITUTE(SUBSTITUTE(SUBSTITUTE(SUBSTITUTE(SUBSTITUTE(LOWER(TRIM($C99)),CHAR(13)," "),CHAR(10)," "),CHAR(9)," "),CHAR(92),_xlfn.CONCAT(CHAR(92),CHAR(92))),"$",_xlfn.CONCAT(CHAR(92),"$")),CHAR(96),_xlfn.CONCAT(CHAR(92),CHAR(96))),CHAR(34),CHAR(39))))</f>
        <v/>
      </c>
      <c r="N99" s="5" t="str">
        <f>IF(OR(TRIM($B99)="",$D99=""),"",IF(OR(ISNUMBER(SEARCH(_xlfn.CONCAT(CHAR(96),CHAR(34)),$D99)),ISNUMBER(SEARCH(_xlfn.CONCAT(CHAR(34),CHAR(39)),$D99))),_xlfn.CONCAT("* REVIEW REQUIRED: compound-quote delimiter in Item Number on Sheet 1 row ",99,"; edit the input before running."),_xlfn.CONCAT("char ",TRIM($B99),"[doc_itemnum] ",CHAR(96),CHAR(34),SUBSTITUTE(SUBSTITUTE(SUBSTITUTE(SUBSTITUTE(SUBSTITUTE(SUBSTITUTE($D99,CHAR(13)," "),CHAR(10)," "),CHAR(9)," "),CHAR(92),_xlfn.CONCAT(CHAR(92),CHAR(92))),"$",_xlfn.CONCAT(CHAR(92),"$")),CHAR(96),_xlfn.CONCAT(CHAR(92),CHAR(96))),CHAR(34),CHAR(39))))</f>
        <v/>
      </c>
      <c r="O99" s="5" t="str">
        <f>IF(OR(TRIM($B99)="",$E99=""),"",IF(OR(ISNUMBER(SEARCH(_xlfn.CONCAT(CHAR(96),CHAR(34)),$E99)),ISNUMBER(SEARCH(_xlfn.CONCAT(CHAR(34),CHAR(39)),$E99))),_xlfn.CONCAT("* REVIEW REQUIRED: compound-quote delimiter in Question Wording on Sheet 1 row ",99,"; edit the input before running."),_xlfn.CONCAT("char ",TRIM($B99),"[doc_question] ",CHAR(96),CHAR(34),SUBSTITUTE(SUBSTITUTE(SUBSTITUTE(SUBSTITUTE(SUBSTITUTE(SUBSTITUTE($E99,CHAR(13)," "),CHAR(10)," "),CHAR(9)," "),CHAR(92),_xlfn.CONCAT(CHAR(92),CHAR(92))),"$",_xlfn.CONCAT(CHAR(92),"$")),CHAR(96),_xlfn.CONCAT(CHAR(92),CHAR(96))),CHAR(34),CHAR(39))))</f>
        <v/>
      </c>
      <c r="P99" s="5" t="str">
        <f>IF(OR(TRIM($B99)="",$F99=""),"",IF(OR(ISNUMBER(SEARCH(_xlfn.CONCAT(CHAR(96),CHAR(34)),$F99)),ISNUMBER(SEARCH(_xlfn.CONCAT(CHAR(34),CHAR(39)),$F99))),_xlfn.CONCAT("* REVIEW REQUIRED: compound-quote delimiter in Units on Sheet 1 row ",99,"; edit the input before running."),_xlfn.CONCAT("char ",TRIM($B99),"[doc_units] ",CHAR(96),CHAR(34),SUBSTITUTE(SUBSTITUTE(SUBSTITUTE(SUBSTITUTE(SUBSTITUTE(SUBSTITUTE($F99,CHAR(13)," "),CHAR(10)," "),CHAR(9)," "),CHAR(92),_xlfn.CONCAT(CHAR(92),CHAR(92))),"$",_xlfn.CONCAT(CHAR(92),"$")),CHAR(96),_xlfn.CONCAT(CHAR(92),CHAR(96))),CHAR(34),CHAR(39))))</f>
        <v/>
      </c>
      <c r="Q99" s="5" t="str">
        <f>IF(OR(TRIM($B99)="",$G99=""),"",IF(OR(ISNUMBER(SEARCH(_xlfn.CONCAT(CHAR(96),CHAR(34)),$G99)),ISNUMBER(SEARCH(_xlfn.CONCAT(CHAR(34),CHAR(39)),$G99))),_xlfn.CONCAT("* REVIEW REQUIRED: compound-quote delimiter in Universe on Sheet 1 row ",99,"; edit the input before running."),_xlfn.CONCAT("char ",TRIM($B99),"[doc_universe] ",CHAR(96),CHAR(34),SUBSTITUTE(SUBSTITUTE(SUBSTITUTE(SUBSTITUTE(SUBSTITUTE(SUBSTITUTE($G99,CHAR(13)," "),CHAR(10)," "),CHAR(9)," "),CHAR(92),_xlfn.CONCAT(CHAR(92),CHAR(92))),"$",_xlfn.CONCAT(CHAR(92),"$")),CHAR(96),_xlfn.CONCAT(CHAR(92),CHAR(96))),CHAR(34),CHAR(39))))</f>
        <v/>
      </c>
      <c r="R99" s="5" t="str">
        <f>IF(OR(TRIM($B99)="",$H99=""),"",IF(OR(ISNUMBER(SEARCH(_xlfn.CONCAT(CHAR(96),CHAR(34)),$H99)),ISNUMBER(SEARCH(_xlfn.CONCAT(CHAR(34),CHAR(39)),$H99))),_xlfn.CONCAT("* REVIEW REQUIRED: compound-quote delimiter in Source on Sheet 1 row ",99,"; edit the input before running."),_xlfn.CONCAT("char ",TRIM($B99),"[doc_source] ",CHAR(96),CHAR(34),SUBSTITUTE(SUBSTITUTE(SUBSTITUTE(SUBSTITUTE(SUBSTITUTE(SUBSTITUTE($H99,CHAR(13)," "),CHAR(10)," "),CHAR(9)," "),CHAR(92),_xlfn.CONCAT(CHAR(92),CHAR(92))),"$",_xlfn.CONCAT(CHAR(92),"$")),CHAR(96),_xlfn.CONCAT(CHAR(92),CHAR(96))),CHAR(34),CHAR(39))))</f>
        <v/>
      </c>
      <c r="S99" s="5" t="str">
        <f>IF(OR(TRIM($B99)="",$I99=""),"",IF(OR(ISNUMBER(SEARCH(_xlfn.CONCAT(CHAR(96),CHAR(34)),$I99)),ISNUMBER(SEARCH(_xlfn.CONCAT(CHAR(34),CHAR(39)),$I99))),_xlfn.CONCAT("* REVIEW REQUIRED: compound-quote delimiter in Derivation on Sheet 1 row ",99,"; edit the input before running."),_xlfn.CONCAT("char ",TRIM($B99),"[doc_derivation] ",CHAR(96),CHAR(34),SUBSTITUTE(SUBSTITUTE(SUBSTITUTE(SUBSTITUTE(SUBSTITUTE(SUBSTITUTE($I99,CHAR(13)," "),CHAR(10)," "),CHAR(9)," "),CHAR(92),_xlfn.CONCAT(CHAR(92),CHAR(92))),"$",_xlfn.CONCAT(CHAR(92),"$")),CHAR(96),_xlfn.CONCAT(CHAR(92),CHAR(96))),CHAR(34),CHAR(39))))</f>
        <v/>
      </c>
      <c r="T99" s="5" t="str">
        <f>IF(OR(TRIM($B99)="",$J99=""),"",IF(OR(ISNUMBER(SEARCH(_xlfn.CONCAT(CHAR(96),CHAR(34)),$J99)),ISNUMBER(SEARCH(_xlfn.CONCAT(CHAR(34),CHAR(39)),$J99))),_xlfn.CONCAT("* REVIEW REQUIRED: compound-quote delimiter in Notes on Sheet 1 row ",99,"; edit the input before running."),_xlfn.CONCAT("char ",TRIM($B99),"[doc_notes] ",CHAR(96),CHAR(34),SUBSTITUTE(SUBSTITUTE(SUBSTITUTE(SUBSTITUTE(SUBSTITUTE(SUBSTITUTE($J99,CHAR(13)," "),CHAR(10)," "),CHAR(9)," "),CHAR(92),_xlfn.CONCAT(CHAR(92),CHAR(92))),"$",_xlfn.CONCAT(CHAR(92),"$")),CHAR(96),_xlfn.CONCAT(CHAR(92),CHAR(96))),CHAR(34),CHAR(39))))</f>
        <v/>
      </c>
      <c r="U99" s="5">
        <f t="shared" si="3"/>
        <v>0</v>
      </c>
    </row>
    <row r="100" spans="3:21" ht="30" customHeight="1" x14ac:dyDescent="0.2">
      <c r="C100" s="4"/>
      <c r="K100" s="5">
        <f t="shared" si="2"/>
        <v>0</v>
      </c>
      <c r="L100" s="5" t="str">
        <f>IF(OR(TRIM($B100)="",$A100=""),"",IF(OR(ISNUMBER(SEARCH(_xlfn.CONCAT(CHAR(96),CHAR(34)),$A100)),ISNUMBER(SEARCH(_xlfn.CONCAT(CHAR(34),CHAR(39)),$A100))),_xlfn.CONCAT("* REVIEW REQUIRED: compound-quote delimiter in Codebook Section on Sheet 1 row ",100,"; edit the input before running."),_xlfn.CONCAT("char ",TRIM($B100),"[doc_section] ",CHAR(96),CHAR(34),SUBSTITUTE(SUBSTITUTE(SUBSTITUTE(SUBSTITUTE(SUBSTITUTE(SUBSTITUTE($A100,CHAR(13)," "),CHAR(10)," "),CHAR(9)," "),CHAR(92),_xlfn.CONCAT(CHAR(92),CHAR(92))),"$",_xlfn.CONCAT(CHAR(92),"$")),CHAR(96),_xlfn.CONCAT(CHAR(92),CHAR(96))),CHAR(34),CHAR(39))))</f>
        <v/>
      </c>
      <c r="M100" s="5" t="str">
        <f>IF(OR(TRIM($B100)="",$C100=""),"",IF(IFERROR(MATCH(TRIM($C100),{"Quantitative","Continuous","Discrete","Categorical","Nominal","Ordinal","Identifier"},0),0)=0,_xlfn.CONCAT("* REVIEW REQUIRED: invalid Variable Type on Sheet 1 row ",100,"."),_xlfn.CONCAT("char ",TRIM($B100),"[doc_vartype] ",CHAR(96),CHAR(34),SUBSTITUTE(SUBSTITUTE(SUBSTITUTE(SUBSTITUTE(SUBSTITUTE(SUBSTITUTE(LOWER(TRIM($C100)),CHAR(13)," "),CHAR(10)," "),CHAR(9)," "),CHAR(92),_xlfn.CONCAT(CHAR(92),CHAR(92))),"$",_xlfn.CONCAT(CHAR(92),"$")),CHAR(96),_xlfn.CONCAT(CHAR(92),CHAR(96))),CHAR(34),CHAR(39))))</f>
        <v/>
      </c>
      <c r="N100" s="5" t="str">
        <f>IF(OR(TRIM($B100)="",$D100=""),"",IF(OR(ISNUMBER(SEARCH(_xlfn.CONCAT(CHAR(96),CHAR(34)),$D100)),ISNUMBER(SEARCH(_xlfn.CONCAT(CHAR(34),CHAR(39)),$D100))),_xlfn.CONCAT("* REVIEW REQUIRED: compound-quote delimiter in Item Number on Sheet 1 row ",100,"; edit the input before running."),_xlfn.CONCAT("char ",TRIM($B100),"[doc_itemnum] ",CHAR(96),CHAR(34),SUBSTITUTE(SUBSTITUTE(SUBSTITUTE(SUBSTITUTE(SUBSTITUTE(SUBSTITUTE($D100,CHAR(13)," "),CHAR(10)," "),CHAR(9)," "),CHAR(92),_xlfn.CONCAT(CHAR(92),CHAR(92))),"$",_xlfn.CONCAT(CHAR(92),"$")),CHAR(96),_xlfn.CONCAT(CHAR(92),CHAR(96))),CHAR(34),CHAR(39))))</f>
        <v/>
      </c>
      <c r="O100" s="5" t="str">
        <f>IF(OR(TRIM($B100)="",$E100=""),"",IF(OR(ISNUMBER(SEARCH(_xlfn.CONCAT(CHAR(96),CHAR(34)),$E100)),ISNUMBER(SEARCH(_xlfn.CONCAT(CHAR(34),CHAR(39)),$E100))),_xlfn.CONCAT("* REVIEW REQUIRED: compound-quote delimiter in Question Wording on Sheet 1 row ",100,"; edit the input before running."),_xlfn.CONCAT("char ",TRIM($B100),"[doc_question] ",CHAR(96),CHAR(34),SUBSTITUTE(SUBSTITUTE(SUBSTITUTE(SUBSTITUTE(SUBSTITUTE(SUBSTITUTE($E100,CHAR(13)," "),CHAR(10)," "),CHAR(9)," "),CHAR(92),_xlfn.CONCAT(CHAR(92),CHAR(92))),"$",_xlfn.CONCAT(CHAR(92),"$")),CHAR(96),_xlfn.CONCAT(CHAR(92),CHAR(96))),CHAR(34),CHAR(39))))</f>
        <v/>
      </c>
      <c r="P100" s="5" t="str">
        <f>IF(OR(TRIM($B100)="",$F100=""),"",IF(OR(ISNUMBER(SEARCH(_xlfn.CONCAT(CHAR(96),CHAR(34)),$F100)),ISNUMBER(SEARCH(_xlfn.CONCAT(CHAR(34),CHAR(39)),$F100))),_xlfn.CONCAT("* REVIEW REQUIRED: compound-quote delimiter in Units on Sheet 1 row ",100,"; edit the input before running."),_xlfn.CONCAT("char ",TRIM($B100),"[doc_units] ",CHAR(96),CHAR(34),SUBSTITUTE(SUBSTITUTE(SUBSTITUTE(SUBSTITUTE(SUBSTITUTE(SUBSTITUTE($F100,CHAR(13)," "),CHAR(10)," "),CHAR(9)," "),CHAR(92),_xlfn.CONCAT(CHAR(92),CHAR(92))),"$",_xlfn.CONCAT(CHAR(92),"$")),CHAR(96),_xlfn.CONCAT(CHAR(92),CHAR(96))),CHAR(34),CHAR(39))))</f>
        <v/>
      </c>
      <c r="Q100" s="5" t="str">
        <f>IF(OR(TRIM($B100)="",$G100=""),"",IF(OR(ISNUMBER(SEARCH(_xlfn.CONCAT(CHAR(96),CHAR(34)),$G100)),ISNUMBER(SEARCH(_xlfn.CONCAT(CHAR(34),CHAR(39)),$G100))),_xlfn.CONCAT("* REVIEW REQUIRED: compound-quote delimiter in Universe on Sheet 1 row ",100,"; edit the input before running."),_xlfn.CONCAT("char ",TRIM($B100),"[doc_universe] ",CHAR(96),CHAR(34),SUBSTITUTE(SUBSTITUTE(SUBSTITUTE(SUBSTITUTE(SUBSTITUTE(SUBSTITUTE($G100,CHAR(13)," "),CHAR(10)," "),CHAR(9)," "),CHAR(92),_xlfn.CONCAT(CHAR(92),CHAR(92))),"$",_xlfn.CONCAT(CHAR(92),"$")),CHAR(96),_xlfn.CONCAT(CHAR(92),CHAR(96))),CHAR(34),CHAR(39))))</f>
        <v/>
      </c>
      <c r="R100" s="5" t="str">
        <f>IF(OR(TRIM($B100)="",$H100=""),"",IF(OR(ISNUMBER(SEARCH(_xlfn.CONCAT(CHAR(96),CHAR(34)),$H100)),ISNUMBER(SEARCH(_xlfn.CONCAT(CHAR(34),CHAR(39)),$H100))),_xlfn.CONCAT("* REVIEW REQUIRED: compound-quote delimiter in Source on Sheet 1 row ",100,"; edit the input before running."),_xlfn.CONCAT("char ",TRIM($B100),"[doc_source] ",CHAR(96),CHAR(34),SUBSTITUTE(SUBSTITUTE(SUBSTITUTE(SUBSTITUTE(SUBSTITUTE(SUBSTITUTE($H100,CHAR(13)," "),CHAR(10)," "),CHAR(9)," "),CHAR(92),_xlfn.CONCAT(CHAR(92),CHAR(92))),"$",_xlfn.CONCAT(CHAR(92),"$")),CHAR(96),_xlfn.CONCAT(CHAR(92),CHAR(96))),CHAR(34),CHAR(39))))</f>
        <v/>
      </c>
      <c r="S100" s="5" t="str">
        <f>IF(OR(TRIM($B100)="",$I100=""),"",IF(OR(ISNUMBER(SEARCH(_xlfn.CONCAT(CHAR(96),CHAR(34)),$I100)),ISNUMBER(SEARCH(_xlfn.CONCAT(CHAR(34),CHAR(39)),$I100))),_xlfn.CONCAT("* REVIEW REQUIRED: compound-quote delimiter in Derivation on Sheet 1 row ",100,"; edit the input before running."),_xlfn.CONCAT("char ",TRIM($B100),"[doc_derivation] ",CHAR(96),CHAR(34),SUBSTITUTE(SUBSTITUTE(SUBSTITUTE(SUBSTITUTE(SUBSTITUTE(SUBSTITUTE($I100,CHAR(13)," "),CHAR(10)," "),CHAR(9)," "),CHAR(92),_xlfn.CONCAT(CHAR(92),CHAR(92))),"$",_xlfn.CONCAT(CHAR(92),"$")),CHAR(96),_xlfn.CONCAT(CHAR(92),CHAR(96))),CHAR(34),CHAR(39))))</f>
        <v/>
      </c>
      <c r="T100" s="5" t="str">
        <f>IF(OR(TRIM($B100)="",$J100=""),"",IF(OR(ISNUMBER(SEARCH(_xlfn.CONCAT(CHAR(96),CHAR(34)),$J100)),ISNUMBER(SEARCH(_xlfn.CONCAT(CHAR(34),CHAR(39)),$J100))),_xlfn.CONCAT("* REVIEW REQUIRED: compound-quote delimiter in Notes on Sheet 1 row ",100,"; edit the input before running."),_xlfn.CONCAT("char ",TRIM($B100),"[doc_notes] ",CHAR(96),CHAR(34),SUBSTITUTE(SUBSTITUTE(SUBSTITUTE(SUBSTITUTE(SUBSTITUTE(SUBSTITUTE($J100,CHAR(13)," "),CHAR(10)," "),CHAR(9)," "),CHAR(92),_xlfn.CONCAT(CHAR(92),CHAR(92))),"$",_xlfn.CONCAT(CHAR(92),"$")),CHAR(96),_xlfn.CONCAT(CHAR(92),CHAR(96))),CHAR(34),CHAR(39))))</f>
        <v/>
      </c>
      <c r="U100" s="5">
        <f t="shared" si="3"/>
        <v>0</v>
      </c>
    </row>
    <row r="101" spans="3:21" ht="30" customHeight="1" x14ac:dyDescent="0.2">
      <c r="C101" s="4"/>
      <c r="K101" s="5">
        <f t="shared" si="2"/>
        <v>0</v>
      </c>
      <c r="L101" s="5" t="str">
        <f>IF(OR(TRIM($B101)="",$A101=""),"",IF(OR(ISNUMBER(SEARCH(_xlfn.CONCAT(CHAR(96),CHAR(34)),$A101)),ISNUMBER(SEARCH(_xlfn.CONCAT(CHAR(34),CHAR(39)),$A101))),_xlfn.CONCAT("* REVIEW REQUIRED: compound-quote delimiter in Codebook Section on Sheet 1 row ",101,"; edit the input before running."),_xlfn.CONCAT("char ",TRIM($B101),"[doc_section] ",CHAR(96),CHAR(34),SUBSTITUTE(SUBSTITUTE(SUBSTITUTE(SUBSTITUTE(SUBSTITUTE(SUBSTITUTE($A101,CHAR(13)," "),CHAR(10)," "),CHAR(9)," "),CHAR(92),_xlfn.CONCAT(CHAR(92),CHAR(92))),"$",_xlfn.CONCAT(CHAR(92),"$")),CHAR(96),_xlfn.CONCAT(CHAR(92),CHAR(96))),CHAR(34),CHAR(39))))</f>
        <v/>
      </c>
      <c r="M101" s="5" t="str">
        <f>IF(OR(TRIM($B101)="",$C101=""),"",IF(IFERROR(MATCH(TRIM($C101),{"Quantitative","Continuous","Discrete","Categorical","Nominal","Ordinal","Identifier"},0),0)=0,_xlfn.CONCAT("* REVIEW REQUIRED: invalid Variable Type on Sheet 1 row ",101,"."),_xlfn.CONCAT("char ",TRIM($B101),"[doc_vartype] ",CHAR(96),CHAR(34),SUBSTITUTE(SUBSTITUTE(SUBSTITUTE(SUBSTITUTE(SUBSTITUTE(SUBSTITUTE(LOWER(TRIM($C101)),CHAR(13)," "),CHAR(10)," "),CHAR(9)," "),CHAR(92),_xlfn.CONCAT(CHAR(92),CHAR(92))),"$",_xlfn.CONCAT(CHAR(92),"$")),CHAR(96),_xlfn.CONCAT(CHAR(92),CHAR(96))),CHAR(34),CHAR(39))))</f>
        <v/>
      </c>
      <c r="N101" s="5" t="str">
        <f>IF(OR(TRIM($B101)="",$D101=""),"",IF(OR(ISNUMBER(SEARCH(_xlfn.CONCAT(CHAR(96),CHAR(34)),$D101)),ISNUMBER(SEARCH(_xlfn.CONCAT(CHAR(34),CHAR(39)),$D101))),_xlfn.CONCAT("* REVIEW REQUIRED: compound-quote delimiter in Item Number on Sheet 1 row ",101,"; edit the input before running."),_xlfn.CONCAT("char ",TRIM($B101),"[doc_itemnum] ",CHAR(96),CHAR(34),SUBSTITUTE(SUBSTITUTE(SUBSTITUTE(SUBSTITUTE(SUBSTITUTE(SUBSTITUTE($D101,CHAR(13)," "),CHAR(10)," "),CHAR(9)," "),CHAR(92),_xlfn.CONCAT(CHAR(92),CHAR(92))),"$",_xlfn.CONCAT(CHAR(92),"$")),CHAR(96),_xlfn.CONCAT(CHAR(92),CHAR(96))),CHAR(34),CHAR(39))))</f>
        <v/>
      </c>
      <c r="O101" s="5" t="str">
        <f>IF(OR(TRIM($B101)="",$E101=""),"",IF(OR(ISNUMBER(SEARCH(_xlfn.CONCAT(CHAR(96),CHAR(34)),$E101)),ISNUMBER(SEARCH(_xlfn.CONCAT(CHAR(34),CHAR(39)),$E101))),_xlfn.CONCAT("* REVIEW REQUIRED: compound-quote delimiter in Question Wording on Sheet 1 row ",101,"; edit the input before running."),_xlfn.CONCAT("char ",TRIM($B101),"[doc_question] ",CHAR(96),CHAR(34),SUBSTITUTE(SUBSTITUTE(SUBSTITUTE(SUBSTITUTE(SUBSTITUTE(SUBSTITUTE($E101,CHAR(13)," "),CHAR(10)," "),CHAR(9)," "),CHAR(92),_xlfn.CONCAT(CHAR(92),CHAR(92))),"$",_xlfn.CONCAT(CHAR(92),"$")),CHAR(96),_xlfn.CONCAT(CHAR(92),CHAR(96))),CHAR(34),CHAR(39))))</f>
        <v/>
      </c>
      <c r="P101" s="5" t="str">
        <f>IF(OR(TRIM($B101)="",$F101=""),"",IF(OR(ISNUMBER(SEARCH(_xlfn.CONCAT(CHAR(96),CHAR(34)),$F101)),ISNUMBER(SEARCH(_xlfn.CONCAT(CHAR(34),CHAR(39)),$F101))),_xlfn.CONCAT("* REVIEW REQUIRED: compound-quote delimiter in Units on Sheet 1 row ",101,"; edit the input before running."),_xlfn.CONCAT("char ",TRIM($B101),"[doc_units] ",CHAR(96),CHAR(34),SUBSTITUTE(SUBSTITUTE(SUBSTITUTE(SUBSTITUTE(SUBSTITUTE(SUBSTITUTE($F101,CHAR(13)," "),CHAR(10)," "),CHAR(9)," "),CHAR(92),_xlfn.CONCAT(CHAR(92),CHAR(92))),"$",_xlfn.CONCAT(CHAR(92),"$")),CHAR(96),_xlfn.CONCAT(CHAR(92),CHAR(96))),CHAR(34),CHAR(39))))</f>
        <v/>
      </c>
      <c r="Q101" s="5" t="str">
        <f>IF(OR(TRIM($B101)="",$G101=""),"",IF(OR(ISNUMBER(SEARCH(_xlfn.CONCAT(CHAR(96),CHAR(34)),$G101)),ISNUMBER(SEARCH(_xlfn.CONCAT(CHAR(34),CHAR(39)),$G101))),_xlfn.CONCAT("* REVIEW REQUIRED: compound-quote delimiter in Universe on Sheet 1 row ",101,"; edit the input before running."),_xlfn.CONCAT("char ",TRIM($B101),"[doc_universe] ",CHAR(96),CHAR(34),SUBSTITUTE(SUBSTITUTE(SUBSTITUTE(SUBSTITUTE(SUBSTITUTE(SUBSTITUTE($G101,CHAR(13)," "),CHAR(10)," "),CHAR(9)," "),CHAR(92),_xlfn.CONCAT(CHAR(92),CHAR(92))),"$",_xlfn.CONCAT(CHAR(92),"$")),CHAR(96),_xlfn.CONCAT(CHAR(92),CHAR(96))),CHAR(34),CHAR(39))))</f>
        <v/>
      </c>
      <c r="R101" s="5" t="str">
        <f>IF(OR(TRIM($B101)="",$H101=""),"",IF(OR(ISNUMBER(SEARCH(_xlfn.CONCAT(CHAR(96),CHAR(34)),$H101)),ISNUMBER(SEARCH(_xlfn.CONCAT(CHAR(34),CHAR(39)),$H101))),_xlfn.CONCAT("* REVIEW REQUIRED: compound-quote delimiter in Source on Sheet 1 row ",101,"; edit the input before running."),_xlfn.CONCAT("char ",TRIM($B101),"[doc_source] ",CHAR(96),CHAR(34),SUBSTITUTE(SUBSTITUTE(SUBSTITUTE(SUBSTITUTE(SUBSTITUTE(SUBSTITUTE($H101,CHAR(13)," "),CHAR(10)," "),CHAR(9)," "),CHAR(92),_xlfn.CONCAT(CHAR(92),CHAR(92))),"$",_xlfn.CONCAT(CHAR(92),"$")),CHAR(96),_xlfn.CONCAT(CHAR(92),CHAR(96))),CHAR(34),CHAR(39))))</f>
        <v/>
      </c>
      <c r="S101" s="5" t="str">
        <f>IF(OR(TRIM($B101)="",$I101=""),"",IF(OR(ISNUMBER(SEARCH(_xlfn.CONCAT(CHAR(96),CHAR(34)),$I101)),ISNUMBER(SEARCH(_xlfn.CONCAT(CHAR(34),CHAR(39)),$I101))),_xlfn.CONCAT("* REVIEW REQUIRED: compound-quote delimiter in Derivation on Sheet 1 row ",101,"; edit the input before running."),_xlfn.CONCAT("char ",TRIM($B101),"[doc_derivation] ",CHAR(96),CHAR(34),SUBSTITUTE(SUBSTITUTE(SUBSTITUTE(SUBSTITUTE(SUBSTITUTE(SUBSTITUTE($I101,CHAR(13)," "),CHAR(10)," "),CHAR(9)," "),CHAR(92),_xlfn.CONCAT(CHAR(92),CHAR(92))),"$",_xlfn.CONCAT(CHAR(92),"$")),CHAR(96),_xlfn.CONCAT(CHAR(92),CHAR(96))),CHAR(34),CHAR(39))))</f>
        <v/>
      </c>
      <c r="T101" s="5" t="str">
        <f>IF(OR(TRIM($B101)="",$J101=""),"",IF(OR(ISNUMBER(SEARCH(_xlfn.CONCAT(CHAR(96),CHAR(34)),$J101)),ISNUMBER(SEARCH(_xlfn.CONCAT(CHAR(34),CHAR(39)),$J101))),_xlfn.CONCAT("* REVIEW REQUIRED: compound-quote delimiter in Notes on Sheet 1 row ",101,"; edit the input before running."),_xlfn.CONCAT("char ",TRIM($B101),"[doc_notes] ",CHAR(96),CHAR(34),SUBSTITUTE(SUBSTITUTE(SUBSTITUTE(SUBSTITUTE(SUBSTITUTE(SUBSTITUTE($J101,CHAR(13)," "),CHAR(10)," "),CHAR(9)," "),CHAR(92),_xlfn.CONCAT(CHAR(92),CHAR(92))),"$",_xlfn.CONCAT(CHAR(92),"$")),CHAR(96),_xlfn.CONCAT(CHAR(92),CHAR(96))),CHAR(34),CHAR(39))))</f>
        <v/>
      </c>
      <c r="U101" s="5">
        <f t="shared" si="3"/>
        <v>0</v>
      </c>
    </row>
    <row r="102" spans="3:21" ht="30" customHeight="1" x14ac:dyDescent="0.2">
      <c r="C102" s="4"/>
      <c r="K102" s="5">
        <f t="shared" si="2"/>
        <v>0</v>
      </c>
      <c r="L102" s="5" t="str">
        <f>IF(OR(TRIM($B102)="",$A102=""),"",IF(OR(ISNUMBER(SEARCH(_xlfn.CONCAT(CHAR(96),CHAR(34)),$A102)),ISNUMBER(SEARCH(_xlfn.CONCAT(CHAR(34),CHAR(39)),$A102))),_xlfn.CONCAT("* REVIEW REQUIRED: compound-quote delimiter in Codebook Section on Sheet 1 row ",102,"; edit the input before running."),_xlfn.CONCAT("char ",TRIM($B102),"[doc_section] ",CHAR(96),CHAR(34),SUBSTITUTE(SUBSTITUTE(SUBSTITUTE(SUBSTITUTE(SUBSTITUTE(SUBSTITUTE($A102,CHAR(13)," "),CHAR(10)," "),CHAR(9)," "),CHAR(92),_xlfn.CONCAT(CHAR(92),CHAR(92))),"$",_xlfn.CONCAT(CHAR(92),"$")),CHAR(96),_xlfn.CONCAT(CHAR(92),CHAR(96))),CHAR(34),CHAR(39))))</f>
        <v/>
      </c>
      <c r="M102" s="5" t="str">
        <f>IF(OR(TRIM($B102)="",$C102=""),"",IF(IFERROR(MATCH(TRIM($C102),{"Quantitative","Continuous","Discrete","Categorical","Nominal","Ordinal","Identifier"},0),0)=0,_xlfn.CONCAT("* REVIEW REQUIRED: invalid Variable Type on Sheet 1 row ",102,"."),_xlfn.CONCAT("char ",TRIM($B102),"[doc_vartype] ",CHAR(96),CHAR(34),SUBSTITUTE(SUBSTITUTE(SUBSTITUTE(SUBSTITUTE(SUBSTITUTE(SUBSTITUTE(LOWER(TRIM($C102)),CHAR(13)," "),CHAR(10)," "),CHAR(9)," "),CHAR(92),_xlfn.CONCAT(CHAR(92),CHAR(92))),"$",_xlfn.CONCAT(CHAR(92),"$")),CHAR(96),_xlfn.CONCAT(CHAR(92),CHAR(96))),CHAR(34),CHAR(39))))</f>
        <v/>
      </c>
      <c r="N102" s="5" t="str">
        <f>IF(OR(TRIM($B102)="",$D102=""),"",IF(OR(ISNUMBER(SEARCH(_xlfn.CONCAT(CHAR(96),CHAR(34)),$D102)),ISNUMBER(SEARCH(_xlfn.CONCAT(CHAR(34),CHAR(39)),$D102))),_xlfn.CONCAT("* REVIEW REQUIRED: compound-quote delimiter in Item Number on Sheet 1 row ",102,"; edit the input before running."),_xlfn.CONCAT("char ",TRIM($B102),"[doc_itemnum] ",CHAR(96),CHAR(34),SUBSTITUTE(SUBSTITUTE(SUBSTITUTE(SUBSTITUTE(SUBSTITUTE(SUBSTITUTE($D102,CHAR(13)," "),CHAR(10)," "),CHAR(9)," "),CHAR(92),_xlfn.CONCAT(CHAR(92),CHAR(92))),"$",_xlfn.CONCAT(CHAR(92),"$")),CHAR(96),_xlfn.CONCAT(CHAR(92),CHAR(96))),CHAR(34),CHAR(39))))</f>
        <v/>
      </c>
      <c r="O102" s="5" t="str">
        <f>IF(OR(TRIM($B102)="",$E102=""),"",IF(OR(ISNUMBER(SEARCH(_xlfn.CONCAT(CHAR(96),CHAR(34)),$E102)),ISNUMBER(SEARCH(_xlfn.CONCAT(CHAR(34),CHAR(39)),$E102))),_xlfn.CONCAT("* REVIEW REQUIRED: compound-quote delimiter in Question Wording on Sheet 1 row ",102,"; edit the input before running."),_xlfn.CONCAT("char ",TRIM($B102),"[doc_question] ",CHAR(96),CHAR(34),SUBSTITUTE(SUBSTITUTE(SUBSTITUTE(SUBSTITUTE(SUBSTITUTE(SUBSTITUTE($E102,CHAR(13)," "),CHAR(10)," "),CHAR(9)," "),CHAR(92),_xlfn.CONCAT(CHAR(92),CHAR(92))),"$",_xlfn.CONCAT(CHAR(92),"$")),CHAR(96),_xlfn.CONCAT(CHAR(92),CHAR(96))),CHAR(34),CHAR(39))))</f>
        <v/>
      </c>
      <c r="P102" s="5" t="str">
        <f>IF(OR(TRIM($B102)="",$F102=""),"",IF(OR(ISNUMBER(SEARCH(_xlfn.CONCAT(CHAR(96),CHAR(34)),$F102)),ISNUMBER(SEARCH(_xlfn.CONCAT(CHAR(34),CHAR(39)),$F102))),_xlfn.CONCAT("* REVIEW REQUIRED: compound-quote delimiter in Units on Sheet 1 row ",102,"; edit the input before running."),_xlfn.CONCAT("char ",TRIM($B102),"[doc_units] ",CHAR(96),CHAR(34),SUBSTITUTE(SUBSTITUTE(SUBSTITUTE(SUBSTITUTE(SUBSTITUTE(SUBSTITUTE($F102,CHAR(13)," "),CHAR(10)," "),CHAR(9)," "),CHAR(92),_xlfn.CONCAT(CHAR(92),CHAR(92))),"$",_xlfn.CONCAT(CHAR(92),"$")),CHAR(96),_xlfn.CONCAT(CHAR(92),CHAR(96))),CHAR(34),CHAR(39))))</f>
        <v/>
      </c>
      <c r="Q102" s="5" t="str">
        <f>IF(OR(TRIM($B102)="",$G102=""),"",IF(OR(ISNUMBER(SEARCH(_xlfn.CONCAT(CHAR(96),CHAR(34)),$G102)),ISNUMBER(SEARCH(_xlfn.CONCAT(CHAR(34),CHAR(39)),$G102))),_xlfn.CONCAT("* REVIEW REQUIRED: compound-quote delimiter in Universe on Sheet 1 row ",102,"; edit the input before running."),_xlfn.CONCAT("char ",TRIM($B102),"[doc_universe] ",CHAR(96),CHAR(34),SUBSTITUTE(SUBSTITUTE(SUBSTITUTE(SUBSTITUTE(SUBSTITUTE(SUBSTITUTE($G102,CHAR(13)," "),CHAR(10)," "),CHAR(9)," "),CHAR(92),_xlfn.CONCAT(CHAR(92),CHAR(92))),"$",_xlfn.CONCAT(CHAR(92),"$")),CHAR(96),_xlfn.CONCAT(CHAR(92),CHAR(96))),CHAR(34),CHAR(39))))</f>
        <v/>
      </c>
      <c r="R102" s="5" t="str">
        <f>IF(OR(TRIM($B102)="",$H102=""),"",IF(OR(ISNUMBER(SEARCH(_xlfn.CONCAT(CHAR(96),CHAR(34)),$H102)),ISNUMBER(SEARCH(_xlfn.CONCAT(CHAR(34),CHAR(39)),$H102))),_xlfn.CONCAT("* REVIEW REQUIRED: compound-quote delimiter in Source on Sheet 1 row ",102,"; edit the input before running."),_xlfn.CONCAT("char ",TRIM($B102),"[doc_source] ",CHAR(96),CHAR(34),SUBSTITUTE(SUBSTITUTE(SUBSTITUTE(SUBSTITUTE(SUBSTITUTE(SUBSTITUTE($H102,CHAR(13)," "),CHAR(10)," "),CHAR(9)," "),CHAR(92),_xlfn.CONCAT(CHAR(92),CHAR(92))),"$",_xlfn.CONCAT(CHAR(92),"$")),CHAR(96),_xlfn.CONCAT(CHAR(92),CHAR(96))),CHAR(34),CHAR(39))))</f>
        <v/>
      </c>
      <c r="S102" s="5" t="str">
        <f>IF(OR(TRIM($B102)="",$I102=""),"",IF(OR(ISNUMBER(SEARCH(_xlfn.CONCAT(CHAR(96),CHAR(34)),$I102)),ISNUMBER(SEARCH(_xlfn.CONCAT(CHAR(34),CHAR(39)),$I102))),_xlfn.CONCAT("* REVIEW REQUIRED: compound-quote delimiter in Derivation on Sheet 1 row ",102,"; edit the input before running."),_xlfn.CONCAT("char ",TRIM($B102),"[doc_derivation] ",CHAR(96),CHAR(34),SUBSTITUTE(SUBSTITUTE(SUBSTITUTE(SUBSTITUTE(SUBSTITUTE(SUBSTITUTE($I102,CHAR(13)," "),CHAR(10)," "),CHAR(9)," "),CHAR(92),_xlfn.CONCAT(CHAR(92),CHAR(92))),"$",_xlfn.CONCAT(CHAR(92),"$")),CHAR(96),_xlfn.CONCAT(CHAR(92),CHAR(96))),CHAR(34),CHAR(39))))</f>
        <v/>
      </c>
      <c r="T102" s="5" t="str">
        <f>IF(OR(TRIM($B102)="",$J102=""),"",IF(OR(ISNUMBER(SEARCH(_xlfn.CONCAT(CHAR(96),CHAR(34)),$J102)),ISNUMBER(SEARCH(_xlfn.CONCAT(CHAR(34),CHAR(39)),$J102))),_xlfn.CONCAT("* REVIEW REQUIRED: compound-quote delimiter in Notes on Sheet 1 row ",102,"; edit the input before running."),_xlfn.CONCAT("char ",TRIM($B102),"[doc_notes] ",CHAR(96),CHAR(34),SUBSTITUTE(SUBSTITUTE(SUBSTITUTE(SUBSTITUTE(SUBSTITUTE(SUBSTITUTE($J102,CHAR(13)," "),CHAR(10)," "),CHAR(9)," "),CHAR(92),_xlfn.CONCAT(CHAR(92),CHAR(92))),"$",_xlfn.CONCAT(CHAR(92),"$")),CHAR(96),_xlfn.CONCAT(CHAR(92),CHAR(96))),CHAR(34),CHAR(39))))</f>
        <v/>
      </c>
      <c r="U102" s="5">
        <f t="shared" si="3"/>
        <v>0</v>
      </c>
    </row>
    <row r="103" spans="3:21" ht="30" customHeight="1" x14ac:dyDescent="0.2">
      <c r="C103" s="4"/>
      <c r="K103" s="5">
        <f t="shared" si="2"/>
        <v>0</v>
      </c>
      <c r="L103" s="5" t="str">
        <f>IF(OR(TRIM($B103)="",$A103=""),"",IF(OR(ISNUMBER(SEARCH(_xlfn.CONCAT(CHAR(96),CHAR(34)),$A103)),ISNUMBER(SEARCH(_xlfn.CONCAT(CHAR(34),CHAR(39)),$A103))),_xlfn.CONCAT("* REVIEW REQUIRED: compound-quote delimiter in Codebook Section on Sheet 1 row ",103,"; edit the input before running."),_xlfn.CONCAT("char ",TRIM($B103),"[doc_section] ",CHAR(96),CHAR(34),SUBSTITUTE(SUBSTITUTE(SUBSTITUTE(SUBSTITUTE(SUBSTITUTE(SUBSTITUTE($A103,CHAR(13)," "),CHAR(10)," "),CHAR(9)," "),CHAR(92),_xlfn.CONCAT(CHAR(92),CHAR(92))),"$",_xlfn.CONCAT(CHAR(92),"$")),CHAR(96),_xlfn.CONCAT(CHAR(92),CHAR(96))),CHAR(34),CHAR(39))))</f>
        <v/>
      </c>
      <c r="M103" s="5" t="str">
        <f>IF(OR(TRIM($B103)="",$C103=""),"",IF(IFERROR(MATCH(TRIM($C103),{"Quantitative","Continuous","Discrete","Categorical","Nominal","Ordinal","Identifier"},0),0)=0,_xlfn.CONCAT("* REVIEW REQUIRED: invalid Variable Type on Sheet 1 row ",103,"."),_xlfn.CONCAT("char ",TRIM($B103),"[doc_vartype] ",CHAR(96),CHAR(34),SUBSTITUTE(SUBSTITUTE(SUBSTITUTE(SUBSTITUTE(SUBSTITUTE(SUBSTITUTE(LOWER(TRIM($C103)),CHAR(13)," "),CHAR(10)," "),CHAR(9)," "),CHAR(92),_xlfn.CONCAT(CHAR(92),CHAR(92))),"$",_xlfn.CONCAT(CHAR(92),"$")),CHAR(96),_xlfn.CONCAT(CHAR(92),CHAR(96))),CHAR(34),CHAR(39))))</f>
        <v/>
      </c>
      <c r="N103" s="5" t="str">
        <f>IF(OR(TRIM($B103)="",$D103=""),"",IF(OR(ISNUMBER(SEARCH(_xlfn.CONCAT(CHAR(96),CHAR(34)),$D103)),ISNUMBER(SEARCH(_xlfn.CONCAT(CHAR(34),CHAR(39)),$D103))),_xlfn.CONCAT("* REVIEW REQUIRED: compound-quote delimiter in Item Number on Sheet 1 row ",103,"; edit the input before running."),_xlfn.CONCAT("char ",TRIM($B103),"[doc_itemnum] ",CHAR(96),CHAR(34),SUBSTITUTE(SUBSTITUTE(SUBSTITUTE(SUBSTITUTE(SUBSTITUTE(SUBSTITUTE($D103,CHAR(13)," "),CHAR(10)," "),CHAR(9)," "),CHAR(92),_xlfn.CONCAT(CHAR(92),CHAR(92))),"$",_xlfn.CONCAT(CHAR(92),"$")),CHAR(96),_xlfn.CONCAT(CHAR(92),CHAR(96))),CHAR(34),CHAR(39))))</f>
        <v/>
      </c>
      <c r="O103" s="5" t="str">
        <f>IF(OR(TRIM($B103)="",$E103=""),"",IF(OR(ISNUMBER(SEARCH(_xlfn.CONCAT(CHAR(96),CHAR(34)),$E103)),ISNUMBER(SEARCH(_xlfn.CONCAT(CHAR(34),CHAR(39)),$E103))),_xlfn.CONCAT("* REVIEW REQUIRED: compound-quote delimiter in Question Wording on Sheet 1 row ",103,"; edit the input before running."),_xlfn.CONCAT("char ",TRIM($B103),"[doc_question] ",CHAR(96),CHAR(34),SUBSTITUTE(SUBSTITUTE(SUBSTITUTE(SUBSTITUTE(SUBSTITUTE(SUBSTITUTE($E103,CHAR(13)," "),CHAR(10)," "),CHAR(9)," "),CHAR(92),_xlfn.CONCAT(CHAR(92),CHAR(92))),"$",_xlfn.CONCAT(CHAR(92),"$")),CHAR(96),_xlfn.CONCAT(CHAR(92),CHAR(96))),CHAR(34),CHAR(39))))</f>
        <v/>
      </c>
      <c r="P103" s="5" t="str">
        <f>IF(OR(TRIM($B103)="",$F103=""),"",IF(OR(ISNUMBER(SEARCH(_xlfn.CONCAT(CHAR(96),CHAR(34)),$F103)),ISNUMBER(SEARCH(_xlfn.CONCAT(CHAR(34),CHAR(39)),$F103))),_xlfn.CONCAT("* REVIEW REQUIRED: compound-quote delimiter in Units on Sheet 1 row ",103,"; edit the input before running."),_xlfn.CONCAT("char ",TRIM($B103),"[doc_units] ",CHAR(96),CHAR(34),SUBSTITUTE(SUBSTITUTE(SUBSTITUTE(SUBSTITUTE(SUBSTITUTE(SUBSTITUTE($F103,CHAR(13)," "),CHAR(10)," "),CHAR(9)," "),CHAR(92),_xlfn.CONCAT(CHAR(92),CHAR(92))),"$",_xlfn.CONCAT(CHAR(92),"$")),CHAR(96),_xlfn.CONCAT(CHAR(92),CHAR(96))),CHAR(34),CHAR(39))))</f>
        <v/>
      </c>
      <c r="Q103" s="5" t="str">
        <f>IF(OR(TRIM($B103)="",$G103=""),"",IF(OR(ISNUMBER(SEARCH(_xlfn.CONCAT(CHAR(96),CHAR(34)),$G103)),ISNUMBER(SEARCH(_xlfn.CONCAT(CHAR(34),CHAR(39)),$G103))),_xlfn.CONCAT("* REVIEW REQUIRED: compound-quote delimiter in Universe on Sheet 1 row ",103,"; edit the input before running."),_xlfn.CONCAT("char ",TRIM($B103),"[doc_universe] ",CHAR(96),CHAR(34),SUBSTITUTE(SUBSTITUTE(SUBSTITUTE(SUBSTITUTE(SUBSTITUTE(SUBSTITUTE($G103,CHAR(13)," "),CHAR(10)," "),CHAR(9)," "),CHAR(92),_xlfn.CONCAT(CHAR(92),CHAR(92))),"$",_xlfn.CONCAT(CHAR(92),"$")),CHAR(96),_xlfn.CONCAT(CHAR(92),CHAR(96))),CHAR(34),CHAR(39))))</f>
        <v/>
      </c>
      <c r="R103" s="5" t="str">
        <f>IF(OR(TRIM($B103)="",$H103=""),"",IF(OR(ISNUMBER(SEARCH(_xlfn.CONCAT(CHAR(96),CHAR(34)),$H103)),ISNUMBER(SEARCH(_xlfn.CONCAT(CHAR(34),CHAR(39)),$H103))),_xlfn.CONCAT("* REVIEW REQUIRED: compound-quote delimiter in Source on Sheet 1 row ",103,"; edit the input before running."),_xlfn.CONCAT("char ",TRIM($B103),"[doc_source] ",CHAR(96),CHAR(34),SUBSTITUTE(SUBSTITUTE(SUBSTITUTE(SUBSTITUTE(SUBSTITUTE(SUBSTITUTE($H103,CHAR(13)," "),CHAR(10)," "),CHAR(9)," "),CHAR(92),_xlfn.CONCAT(CHAR(92),CHAR(92))),"$",_xlfn.CONCAT(CHAR(92),"$")),CHAR(96),_xlfn.CONCAT(CHAR(92),CHAR(96))),CHAR(34),CHAR(39))))</f>
        <v/>
      </c>
      <c r="S103" s="5" t="str">
        <f>IF(OR(TRIM($B103)="",$I103=""),"",IF(OR(ISNUMBER(SEARCH(_xlfn.CONCAT(CHAR(96),CHAR(34)),$I103)),ISNUMBER(SEARCH(_xlfn.CONCAT(CHAR(34),CHAR(39)),$I103))),_xlfn.CONCAT("* REVIEW REQUIRED: compound-quote delimiter in Derivation on Sheet 1 row ",103,"; edit the input before running."),_xlfn.CONCAT("char ",TRIM($B103),"[doc_derivation] ",CHAR(96),CHAR(34),SUBSTITUTE(SUBSTITUTE(SUBSTITUTE(SUBSTITUTE(SUBSTITUTE(SUBSTITUTE($I103,CHAR(13)," "),CHAR(10)," "),CHAR(9)," "),CHAR(92),_xlfn.CONCAT(CHAR(92),CHAR(92))),"$",_xlfn.CONCAT(CHAR(92),"$")),CHAR(96),_xlfn.CONCAT(CHAR(92),CHAR(96))),CHAR(34),CHAR(39))))</f>
        <v/>
      </c>
      <c r="T103" s="5" t="str">
        <f>IF(OR(TRIM($B103)="",$J103=""),"",IF(OR(ISNUMBER(SEARCH(_xlfn.CONCAT(CHAR(96),CHAR(34)),$J103)),ISNUMBER(SEARCH(_xlfn.CONCAT(CHAR(34),CHAR(39)),$J103))),_xlfn.CONCAT("* REVIEW REQUIRED: compound-quote delimiter in Notes on Sheet 1 row ",103,"; edit the input before running."),_xlfn.CONCAT("char ",TRIM($B103),"[doc_notes] ",CHAR(96),CHAR(34),SUBSTITUTE(SUBSTITUTE(SUBSTITUTE(SUBSTITUTE(SUBSTITUTE(SUBSTITUTE($J103,CHAR(13)," "),CHAR(10)," "),CHAR(9)," "),CHAR(92),_xlfn.CONCAT(CHAR(92),CHAR(92))),"$",_xlfn.CONCAT(CHAR(92),"$")),CHAR(96),_xlfn.CONCAT(CHAR(92),CHAR(96))),CHAR(34),CHAR(39))))</f>
        <v/>
      </c>
      <c r="U103" s="5">
        <f t="shared" si="3"/>
        <v>0</v>
      </c>
    </row>
    <row r="104" spans="3:21" ht="30" customHeight="1" x14ac:dyDescent="0.2">
      <c r="C104" s="4"/>
      <c r="K104" s="5">
        <f t="shared" si="2"/>
        <v>0</v>
      </c>
      <c r="L104" s="5" t="str">
        <f>IF(OR(TRIM($B104)="",$A104=""),"",IF(OR(ISNUMBER(SEARCH(_xlfn.CONCAT(CHAR(96),CHAR(34)),$A104)),ISNUMBER(SEARCH(_xlfn.CONCAT(CHAR(34),CHAR(39)),$A104))),_xlfn.CONCAT("* REVIEW REQUIRED: compound-quote delimiter in Codebook Section on Sheet 1 row ",104,"; edit the input before running."),_xlfn.CONCAT("char ",TRIM($B104),"[doc_section] ",CHAR(96),CHAR(34),SUBSTITUTE(SUBSTITUTE(SUBSTITUTE(SUBSTITUTE(SUBSTITUTE(SUBSTITUTE($A104,CHAR(13)," "),CHAR(10)," "),CHAR(9)," "),CHAR(92),_xlfn.CONCAT(CHAR(92),CHAR(92))),"$",_xlfn.CONCAT(CHAR(92),"$")),CHAR(96),_xlfn.CONCAT(CHAR(92),CHAR(96))),CHAR(34),CHAR(39))))</f>
        <v/>
      </c>
      <c r="M104" s="5" t="str">
        <f>IF(OR(TRIM($B104)="",$C104=""),"",IF(IFERROR(MATCH(TRIM($C104),{"Quantitative","Continuous","Discrete","Categorical","Nominal","Ordinal","Identifier"},0),0)=0,_xlfn.CONCAT("* REVIEW REQUIRED: invalid Variable Type on Sheet 1 row ",104,"."),_xlfn.CONCAT("char ",TRIM($B104),"[doc_vartype] ",CHAR(96),CHAR(34),SUBSTITUTE(SUBSTITUTE(SUBSTITUTE(SUBSTITUTE(SUBSTITUTE(SUBSTITUTE(LOWER(TRIM($C104)),CHAR(13)," "),CHAR(10)," "),CHAR(9)," "),CHAR(92),_xlfn.CONCAT(CHAR(92),CHAR(92))),"$",_xlfn.CONCAT(CHAR(92),"$")),CHAR(96),_xlfn.CONCAT(CHAR(92),CHAR(96))),CHAR(34),CHAR(39))))</f>
        <v/>
      </c>
      <c r="N104" s="5" t="str">
        <f>IF(OR(TRIM($B104)="",$D104=""),"",IF(OR(ISNUMBER(SEARCH(_xlfn.CONCAT(CHAR(96),CHAR(34)),$D104)),ISNUMBER(SEARCH(_xlfn.CONCAT(CHAR(34),CHAR(39)),$D104))),_xlfn.CONCAT("* REVIEW REQUIRED: compound-quote delimiter in Item Number on Sheet 1 row ",104,"; edit the input before running."),_xlfn.CONCAT("char ",TRIM($B104),"[doc_itemnum] ",CHAR(96),CHAR(34),SUBSTITUTE(SUBSTITUTE(SUBSTITUTE(SUBSTITUTE(SUBSTITUTE(SUBSTITUTE($D104,CHAR(13)," "),CHAR(10)," "),CHAR(9)," "),CHAR(92),_xlfn.CONCAT(CHAR(92),CHAR(92))),"$",_xlfn.CONCAT(CHAR(92),"$")),CHAR(96),_xlfn.CONCAT(CHAR(92),CHAR(96))),CHAR(34),CHAR(39))))</f>
        <v/>
      </c>
      <c r="O104" s="5" t="str">
        <f>IF(OR(TRIM($B104)="",$E104=""),"",IF(OR(ISNUMBER(SEARCH(_xlfn.CONCAT(CHAR(96),CHAR(34)),$E104)),ISNUMBER(SEARCH(_xlfn.CONCAT(CHAR(34),CHAR(39)),$E104))),_xlfn.CONCAT("* REVIEW REQUIRED: compound-quote delimiter in Question Wording on Sheet 1 row ",104,"; edit the input before running."),_xlfn.CONCAT("char ",TRIM($B104),"[doc_question] ",CHAR(96),CHAR(34),SUBSTITUTE(SUBSTITUTE(SUBSTITUTE(SUBSTITUTE(SUBSTITUTE(SUBSTITUTE($E104,CHAR(13)," "),CHAR(10)," "),CHAR(9)," "),CHAR(92),_xlfn.CONCAT(CHAR(92),CHAR(92))),"$",_xlfn.CONCAT(CHAR(92),"$")),CHAR(96),_xlfn.CONCAT(CHAR(92),CHAR(96))),CHAR(34),CHAR(39))))</f>
        <v/>
      </c>
      <c r="P104" s="5" t="str">
        <f>IF(OR(TRIM($B104)="",$F104=""),"",IF(OR(ISNUMBER(SEARCH(_xlfn.CONCAT(CHAR(96),CHAR(34)),$F104)),ISNUMBER(SEARCH(_xlfn.CONCAT(CHAR(34),CHAR(39)),$F104))),_xlfn.CONCAT("* REVIEW REQUIRED: compound-quote delimiter in Units on Sheet 1 row ",104,"; edit the input before running."),_xlfn.CONCAT("char ",TRIM($B104),"[doc_units] ",CHAR(96),CHAR(34),SUBSTITUTE(SUBSTITUTE(SUBSTITUTE(SUBSTITUTE(SUBSTITUTE(SUBSTITUTE($F104,CHAR(13)," "),CHAR(10)," "),CHAR(9)," "),CHAR(92),_xlfn.CONCAT(CHAR(92),CHAR(92))),"$",_xlfn.CONCAT(CHAR(92),"$")),CHAR(96),_xlfn.CONCAT(CHAR(92),CHAR(96))),CHAR(34),CHAR(39))))</f>
        <v/>
      </c>
      <c r="Q104" s="5" t="str">
        <f>IF(OR(TRIM($B104)="",$G104=""),"",IF(OR(ISNUMBER(SEARCH(_xlfn.CONCAT(CHAR(96),CHAR(34)),$G104)),ISNUMBER(SEARCH(_xlfn.CONCAT(CHAR(34),CHAR(39)),$G104))),_xlfn.CONCAT("* REVIEW REQUIRED: compound-quote delimiter in Universe on Sheet 1 row ",104,"; edit the input before running."),_xlfn.CONCAT("char ",TRIM($B104),"[doc_universe] ",CHAR(96),CHAR(34),SUBSTITUTE(SUBSTITUTE(SUBSTITUTE(SUBSTITUTE(SUBSTITUTE(SUBSTITUTE($G104,CHAR(13)," "),CHAR(10)," "),CHAR(9)," "),CHAR(92),_xlfn.CONCAT(CHAR(92),CHAR(92))),"$",_xlfn.CONCAT(CHAR(92),"$")),CHAR(96),_xlfn.CONCAT(CHAR(92),CHAR(96))),CHAR(34),CHAR(39))))</f>
        <v/>
      </c>
      <c r="R104" s="5" t="str">
        <f>IF(OR(TRIM($B104)="",$H104=""),"",IF(OR(ISNUMBER(SEARCH(_xlfn.CONCAT(CHAR(96),CHAR(34)),$H104)),ISNUMBER(SEARCH(_xlfn.CONCAT(CHAR(34),CHAR(39)),$H104))),_xlfn.CONCAT("* REVIEW REQUIRED: compound-quote delimiter in Source on Sheet 1 row ",104,"; edit the input before running."),_xlfn.CONCAT("char ",TRIM($B104),"[doc_source] ",CHAR(96),CHAR(34),SUBSTITUTE(SUBSTITUTE(SUBSTITUTE(SUBSTITUTE(SUBSTITUTE(SUBSTITUTE($H104,CHAR(13)," "),CHAR(10)," "),CHAR(9)," "),CHAR(92),_xlfn.CONCAT(CHAR(92),CHAR(92))),"$",_xlfn.CONCAT(CHAR(92),"$")),CHAR(96),_xlfn.CONCAT(CHAR(92),CHAR(96))),CHAR(34),CHAR(39))))</f>
        <v/>
      </c>
      <c r="S104" s="5" t="str">
        <f>IF(OR(TRIM($B104)="",$I104=""),"",IF(OR(ISNUMBER(SEARCH(_xlfn.CONCAT(CHAR(96),CHAR(34)),$I104)),ISNUMBER(SEARCH(_xlfn.CONCAT(CHAR(34),CHAR(39)),$I104))),_xlfn.CONCAT("* REVIEW REQUIRED: compound-quote delimiter in Derivation on Sheet 1 row ",104,"; edit the input before running."),_xlfn.CONCAT("char ",TRIM($B104),"[doc_derivation] ",CHAR(96),CHAR(34),SUBSTITUTE(SUBSTITUTE(SUBSTITUTE(SUBSTITUTE(SUBSTITUTE(SUBSTITUTE($I104,CHAR(13)," "),CHAR(10)," "),CHAR(9)," "),CHAR(92),_xlfn.CONCAT(CHAR(92),CHAR(92))),"$",_xlfn.CONCAT(CHAR(92),"$")),CHAR(96),_xlfn.CONCAT(CHAR(92),CHAR(96))),CHAR(34),CHAR(39))))</f>
        <v/>
      </c>
      <c r="T104" s="5" t="str">
        <f>IF(OR(TRIM($B104)="",$J104=""),"",IF(OR(ISNUMBER(SEARCH(_xlfn.CONCAT(CHAR(96),CHAR(34)),$J104)),ISNUMBER(SEARCH(_xlfn.CONCAT(CHAR(34),CHAR(39)),$J104))),_xlfn.CONCAT("* REVIEW REQUIRED: compound-quote delimiter in Notes on Sheet 1 row ",104,"; edit the input before running."),_xlfn.CONCAT("char ",TRIM($B104),"[doc_notes] ",CHAR(96),CHAR(34),SUBSTITUTE(SUBSTITUTE(SUBSTITUTE(SUBSTITUTE(SUBSTITUTE(SUBSTITUTE($J104,CHAR(13)," "),CHAR(10)," "),CHAR(9)," "),CHAR(92),_xlfn.CONCAT(CHAR(92),CHAR(92))),"$",_xlfn.CONCAT(CHAR(92),"$")),CHAR(96),_xlfn.CONCAT(CHAR(92),CHAR(96))),CHAR(34),CHAR(39))))</f>
        <v/>
      </c>
      <c r="U104" s="5">
        <f t="shared" si="3"/>
        <v>0</v>
      </c>
    </row>
    <row r="105" spans="3:21" ht="30" customHeight="1" x14ac:dyDescent="0.2">
      <c r="C105" s="4"/>
      <c r="K105" s="5">
        <f t="shared" si="2"/>
        <v>0</v>
      </c>
      <c r="L105" s="5" t="str">
        <f>IF(OR(TRIM($B105)="",$A105=""),"",IF(OR(ISNUMBER(SEARCH(_xlfn.CONCAT(CHAR(96),CHAR(34)),$A105)),ISNUMBER(SEARCH(_xlfn.CONCAT(CHAR(34),CHAR(39)),$A105))),_xlfn.CONCAT("* REVIEW REQUIRED: compound-quote delimiter in Codebook Section on Sheet 1 row ",105,"; edit the input before running."),_xlfn.CONCAT("char ",TRIM($B105),"[doc_section] ",CHAR(96),CHAR(34),SUBSTITUTE(SUBSTITUTE(SUBSTITUTE(SUBSTITUTE(SUBSTITUTE(SUBSTITUTE($A105,CHAR(13)," "),CHAR(10)," "),CHAR(9)," "),CHAR(92),_xlfn.CONCAT(CHAR(92),CHAR(92))),"$",_xlfn.CONCAT(CHAR(92),"$")),CHAR(96),_xlfn.CONCAT(CHAR(92),CHAR(96))),CHAR(34),CHAR(39))))</f>
        <v/>
      </c>
      <c r="M105" s="5" t="str">
        <f>IF(OR(TRIM($B105)="",$C105=""),"",IF(IFERROR(MATCH(TRIM($C105),{"Quantitative","Continuous","Discrete","Categorical","Nominal","Ordinal","Identifier"},0),0)=0,_xlfn.CONCAT("* REVIEW REQUIRED: invalid Variable Type on Sheet 1 row ",105,"."),_xlfn.CONCAT("char ",TRIM($B105),"[doc_vartype] ",CHAR(96),CHAR(34),SUBSTITUTE(SUBSTITUTE(SUBSTITUTE(SUBSTITUTE(SUBSTITUTE(SUBSTITUTE(LOWER(TRIM($C105)),CHAR(13)," "),CHAR(10)," "),CHAR(9)," "),CHAR(92),_xlfn.CONCAT(CHAR(92),CHAR(92))),"$",_xlfn.CONCAT(CHAR(92),"$")),CHAR(96),_xlfn.CONCAT(CHAR(92),CHAR(96))),CHAR(34),CHAR(39))))</f>
        <v/>
      </c>
      <c r="N105" s="5" t="str">
        <f>IF(OR(TRIM($B105)="",$D105=""),"",IF(OR(ISNUMBER(SEARCH(_xlfn.CONCAT(CHAR(96),CHAR(34)),$D105)),ISNUMBER(SEARCH(_xlfn.CONCAT(CHAR(34),CHAR(39)),$D105))),_xlfn.CONCAT("* REVIEW REQUIRED: compound-quote delimiter in Item Number on Sheet 1 row ",105,"; edit the input before running."),_xlfn.CONCAT("char ",TRIM($B105),"[doc_itemnum] ",CHAR(96),CHAR(34),SUBSTITUTE(SUBSTITUTE(SUBSTITUTE(SUBSTITUTE(SUBSTITUTE(SUBSTITUTE($D105,CHAR(13)," "),CHAR(10)," "),CHAR(9)," "),CHAR(92),_xlfn.CONCAT(CHAR(92),CHAR(92))),"$",_xlfn.CONCAT(CHAR(92),"$")),CHAR(96),_xlfn.CONCAT(CHAR(92),CHAR(96))),CHAR(34),CHAR(39))))</f>
        <v/>
      </c>
      <c r="O105" s="5" t="str">
        <f>IF(OR(TRIM($B105)="",$E105=""),"",IF(OR(ISNUMBER(SEARCH(_xlfn.CONCAT(CHAR(96),CHAR(34)),$E105)),ISNUMBER(SEARCH(_xlfn.CONCAT(CHAR(34),CHAR(39)),$E105))),_xlfn.CONCAT("* REVIEW REQUIRED: compound-quote delimiter in Question Wording on Sheet 1 row ",105,"; edit the input before running."),_xlfn.CONCAT("char ",TRIM($B105),"[doc_question] ",CHAR(96),CHAR(34),SUBSTITUTE(SUBSTITUTE(SUBSTITUTE(SUBSTITUTE(SUBSTITUTE(SUBSTITUTE($E105,CHAR(13)," "),CHAR(10)," "),CHAR(9)," "),CHAR(92),_xlfn.CONCAT(CHAR(92),CHAR(92))),"$",_xlfn.CONCAT(CHAR(92),"$")),CHAR(96),_xlfn.CONCAT(CHAR(92),CHAR(96))),CHAR(34),CHAR(39))))</f>
        <v/>
      </c>
      <c r="P105" s="5" t="str">
        <f>IF(OR(TRIM($B105)="",$F105=""),"",IF(OR(ISNUMBER(SEARCH(_xlfn.CONCAT(CHAR(96),CHAR(34)),$F105)),ISNUMBER(SEARCH(_xlfn.CONCAT(CHAR(34),CHAR(39)),$F105))),_xlfn.CONCAT("* REVIEW REQUIRED: compound-quote delimiter in Units on Sheet 1 row ",105,"; edit the input before running."),_xlfn.CONCAT("char ",TRIM($B105),"[doc_units] ",CHAR(96),CHAR(34),SUBSTITUTE(SUBSTITUTE(SUBSTITUTE(SUBSTITUTE(SUBSTITUTE(SUBSTITUTE($F105,CHAR(13)," "),CHAR(10)," "),CHAR(9)," "),CHAR(92),_xlfn.CONCAT(CHAR(92),CHAR(92))),"$",_xlfn.CONCAT(CHAR(92),"$")),CHAR(96),_xlfn.CONCAT(CHAR(92),CHAR(96))),CHAR(34),CHAR(39))))</f>
        <v/>
      </c>
      <c r="Q105" s="5" t="str">
        <f>IF(OR(TRIM($B105)="",$G105=""),"",IF(OR(ISNUMBER(SEARCH(_xlfn.CONCAT(CHAR(96),CHAR(34)),$G105)),ISNUMBER(SEARCH(_xlfn.CONCAT(CHAR(34),CHAR(39)),$G105))),_xlfn.CONCAT("* REVIEW REQUIRED: compound-quote delimiter in Universe on Sheet 1 row ",105,"; edit the input before running."),_xlfn.CONCAT("char ",TRIM($B105),"[doc_universe] ",CHAR(96),CHAR(34),SUBSTITUTE(SUBSTITUTE(SUBSTITUTE(SUBSTITUTE(SUBSTITUTE(SUBSTITUTE($G105,CHAR(13)," "),CHAR(10)," "),CHAR(9)," "),CHAR(92),_xlfn.CONCAT(CHAR(92),CHAR(92))),"$",_xlfn.CONCAT(CHAR(92),"$")),CHAR(96),_xlfn.CONCAT(CHAR(92),CHAR(96))),CHAR(34),CHAR(39))))</f>
        <v/>
      </c>
      <c r="R105" s="5" t="str">
        <f>IF(OR(TRIM($B105)="",$H105=""),"",IF(OR(ISNUMBER(SEARCH(_xlfn.CONCAT(CHAR(96),CHAR(34)),$H105)),ISNUMBER(SEARCH(_xlfn.CONCAT(CHAR(34),CHAR(39)),$H105))),_xlfn.CONCAT("* REVIEW REQUIRED: compound-quote delimiter in Source on Sheet 1 row ",105,"; edit the input before running."),_xlfn.CONCAT("char ",TRIM($B105),"[doc_source] ",CHAR(96),CHAR(34),SUBSTITUTE(SUBSTITUTE(SUBSTITUTE(SUBSTITUTE(SUBSTITUTE(SUBSTITUTE($H105,CHAR(13)," "),CHAR(10)," "),CHAR(9)," "),CHAR(92),_xlfn.CONCAT(CHAR(92),CHAR(92))),"$",_xlfn.CONCAT(CHAR(92),"$")),CHAR(96),_xlfn.CONCAT(CHAR(92),CHAR(96))),CHAR(34),CHAR(39))))</f>
        <v/>
      </c>
      <c r="S105" s="5" t="str">
        <f>IF(OR(TRIM($B105)="",$I105=""),"",IF(OR(ISNUMBER(SEARCH(_xlfn.CONCAT(CHAR(96),CHAR(34)),$I105)),ISNUMBER(SEARCH(_xlfn.CONCAT(CHAR(34),CHAR(39)),$I105))),_xlfn.CONCAT("* REVIEW REQUIRED: compound-quote delimiter in Derivation on Sheet 1 row ",105,"; edit the input before running."),_xlfn.CONCAT("char ",TRIM($B105),"[doc_derivation] ",CHAR(96),CHAR(34),SUBSTITUTE(SUBSTITUTE(SUBSTITUTE(SUBSTITUTE(SUBSTITUTE(SUBSTITUTE($I105,CHAR(13)," "),CHAR(10)," "),CHAR(9)," "),CHAR(92),_xlfn.CONCAT(CHAR(92),CHAR(92))),"$",_xlfn.CONCAT(CHAR(92),"$")),CHAR(96),_xlfn.CONCAT(CHAR(92),CHAR(96))),CHAR(34),CHAR(39))))</f>
        <v/>
      </c>
      <c r="T105" s="5" t="str">
        <f>IF(OR(TRIM($B105)="",$J105=""),"",IF(OR(ISNUMBER(SEARCH(_xlfn.CONCAT(CHAR(96),CHAR(34)),$J105)),ISNUMBER(SEARCH(_xlfn.CONCAT(CHAR(34),CHAR(39)),$J105))),_xlfn.CONCAT("* REVIEW REQUIRED: compound-quote delimiter in Notes on Sheet 1 row ",105,"; edit the input before running."),_xlfn.CONCAT("char ",TRIM($B105),"[doc_notes] ",CHAR(96),CHAR(34),SUBSTITUTE(SUBSTITUTE(SUBSTITUTE(SUBSTITUTE(SUBSTITUTE(SUBSTITUTE($J105,CHAR(13)," "),CHAR(10)," "),CHAR(9)," "),CHAR(92),_xlfn.CONCAT(CHAR(92),CHAR(92))),"$",_xlfn.CONCAT(CHAR(92),"$")),CHAR(96),_xlfn.CONCAT(CHAR(92),CHAR(96))),CHAR(34),CHAR(39))))</f>
        <v/>
      </c>
      <c r="U105" s="5">
        <f t="shared" si="3"/>
        <v>0</v>
      </c>
    </row>
    <row r="106" spans="3:21" ht="30" customHeight="1" x14ac:dyDescent="0.2">
      <c r="C106" s="4"/>
      <c r="K106" s="5">
        <f t="shared" si="2"/>
        <v>0</v>
      </c>
      <c r="L106" s="5" t="str">
        <f>IF(OR(TRIM($B106)="",$A106=""),"",IF(OR(ISNUMBER(SEARCH(_xlfn.CONCAT(CHAR(96),CHAR(34)),$A106)),ISNUMBER(SEARCH(_xlfn.CONCAT(CHAR(34),CHAR(39)),$A106))),_xlfn.CONCAT("* REVIEW REQUIRED: compound-quote delimiter in Codebook Section on Sheet 1 row ",106,"; edit the input before running."),_xlfn.CONCAT("char ",TRIM($B106),"[doc_section] ",CHAR(96),CHAR(34),SUBSTITUTE(SUBSTITUTE(SUBSTITUTE(SUBSTITUTE(SUBSTITUTE(SUBSTITUTE($A106,CHAR(13)," "),CHAR(10)," "),CHAR(9)," "),CHAR(92),_xlfn.CONCAT(CHAR(92),CHAR(92))),"$",_xlfn.CONCAT(CHAR(92),"$")),CHAR(96),_xlfn.CONCAT(CHAR(92),CHAR(96))),CHAR(34),CHAR(39))))</f>
        <v/>
      </c>
      <c r="M106" s="5" t="str">
        <f>IF(OR(TRIM($B106)="",$C106=""),"",IF(IFERROR(MATCH(TRIM($C106),{"Quantitative","Continuous","Discrete","Categorical","Nominal","Ordinal","Identifier"},0),0)=0,_xlfn.CONCAT("* REVIEW REQUIRED: invalid Variable Type on Sheet 1 row ",106,"."),_xlfn.CONCAT("char ",TRIM($B106),"[doc_vartype] ",CHAR(96),CHAR(34),SUBSTITUTE(SUBSTITUTE(SUBSTITUTE(SUBSTITUTE(SUBSTITUTE(SUBSTITUTE(LOWER(TRIM($C106)),CHAR(13)," "),CHAR(10)," "),CHAR(9)," "),CHAR(92),_xlfn.CONCAT(CHAR(92),CHAR(92))),"$",_xlfn.CONCAT(CHAR(92),"$")),CHAR(96),_xlfn.CONCAT(CHAR(92),CHAR(96))),CHAR(34),CHAR(39))))</f>
        <v/>
      </c>
      <c r="N106" s="5" t="str">
        <f>IF(OR(TRIM($B106)="",$D106=""),"",IF(OR(ISNUMBER(SEARCH(_xlfn.CONCAT(CHAR(96),CHAR(34)),$D106)),ISNUMBER(SEARCH(_xlfn.CONCAT(CHAR(34),CHAR(39)),$D106))),_xlfn.CONCAT("* REVIEW REQUIRED: compound-quote delimiter in Item Number on Sheet 1 row ",106,"; edit the input before running."),_xlfn.CONCAT("char ",TRIM($B106),"[doc_itemnum] ",CHAR(96),CHAR(34),SUBSTITUTE(SUBSTITUTE(SUBSTITUTE(SUBSTITUTE(SUBSTITUTE(SUBSTITUTE($D106,CHAR(13)," "),CHAR(10)," "),CHAR(9)," "),CHAR(92),_xlfn.CONCAT(CHAR(92),CHAR(92))),"$",_xlfn.CONCAT(CHAR(92),"$")),CHAR(96),_xlfn.CONCAT(CHAR(92),CHAR(96))),CHAR(34),CHAR(39))))</f>
        <v/>
      </c>
      <c r="O106" s="5" t="str">
        <f>IF(OR(TRIM($B106)="",$E106=""),"",IF(OR(ISNUMBER(SEARCH(_xlfn.CONCAT(CHAR(96),CHAR(34)),$E106)),ISNUMBER(SEARCH(_xlfn.CONCAT(CHAR(34),CHAR(39)),$E106))),_xlfn.CONCAT("* REVIEW REQUIRED: compound-quote delimiter in Question Wording on Sheet 1 row ",106,"; edit the input before running."),_xlfn.CONCAT("char ",TRIM($B106),"[doc_question] ",CHAR(96),CHAR(34),SUBSTITUTE(SUBSTITUTE(SUBSTITUTE(SUBSTITUTE(SUBSTITUTE(SUBSTITUTE($E106,CHAR(13)," "),CHAR(10)," "),CHAR(9)," "),CHAR(92),_xlfn.CONCAT(CHAR(92),CHAR(92))),"$",_xlfn.CONCAT(CHAR(92),"$")),CHAR(96),_xlfn.CONCAT(CHAR(92),CHAR(96))),CHAR(34),CHAR(39))))</f>
        <v/>
      </c>
      <c r="P106" s="5" t="str">
        <f>IF(OR(TRIM($B106)="",$F106=""),"",IF(OR(ISNUMBER(SEARCH(_xlfn.CONCAT(CHAR(96),CHAR(34)),$F106)),ISNUMBER(SEARCH(_xlfn.CONCAT(CHAR(34),CHAR(39)),$F106))),_xlfn.CONCAT("* REVIEW REQUIRED: compound-quote delimiter in Units on Sheet 1 row ",106,"; edit the input before running."),_xlfn.CONCAT("char ",TRIM($B106),"[doc_units] ",CHAR(96),CHAR(34),SUBSTITUTE(SUBSTITUTE(SUBSTITUTE(SUBSTITUTE(SUBSTITUTE(SUBSTITUTE($F106,CHAR(13)," "),CHAR(10)," "),CHAR(9)," "),CHAR(92),_xlfn.CONCAT(CHAR(92),CHAR(92))),"$",_xlfn.CONCAT(CHAR(92),"$")),CHAR(96),_xlfn.CONCAT(CHAR(92),CHAR(96))),CHAR(34),CHAR(39))))</f>
        <v/>
      </c>
      <c r="Q106" s="5" t="str">
        <f>IF(OR(TRIM($B106)="",$G106=""),"",IF(OR(ISNUMBER(SEARCH(_xlfn.CONCAT(CHAR(96),CHAR(34)),$G106)),ISNUMBER(SEARCH(_xlfn.CONCAT(CHAR(34),CHAR(39)),$G106))),_xlfn.CONCAT("* REVIEW REQUIRED: compound-quote delimiter in Universe on Sheet 1 row ",106,"; edit the input before running."),_xlfn.CONCAT("char ",TRIM($B106),"[doc_universe] ",CHAR(96),CHAR(34),SUBSTITUTE(SUBSTITUTE(SUBSTITUTE(SUBSTITUTE(SUBSTITUTE(SUBSTITUTE($G106,CHAR(13)," "),CHAR(10)," "),CHAR(9)," "),CHAR(92),_xlfn.CONCAT(CHAR(92),CHAR(92))),"$",_xlfn.CONCAT(CHAR(92),"$")),CHAR(96),_xlfn.CONCAT(CHAR(92),CHAR(96))),CHAR(34),CHAR(39))))</f>
        <v/>
      </c>
      <c r="R106" s="5" t="str">
        <f>IF(OR(TRIM($B106)="",$H106=""),"",IF(OR(ISNUMBER(SEARCH(_xlfn.CONCAT(CHAR(96),CHAR(34)),$H106)),ISNUMBER(SEARCH(_xlfn.CONCAT(CHAR(34),CHAR(39)),$H106))),_xlfn.CONCAT("* REVIEW REQUIRED: compound-quote delimiter in Source on Sheet 1 row ",106,"; edit the input before running."),_xlfn.CONCAT("char ",TRIM($B106),"[doc_source] ",CHAR(96),CHAR(34),SUBSTITUTE(SUBSTITUTE(SUBSTITUTE(SUBSTITUTE(SUBSTITUTE(SUBSTITUTE($H106,CHAR(13)," "),CHAR(10)," "),CHAR(9)," "),CHAR(92),_xlfn.CONCAT(CHAR(92),CHAR(92))),"$",_xlfn.CONCAT(CHAR(92),"$")),CHAR(96),_xlfn.CONCAT(CHAR(92),CHAR(96))),CHAR(34),CHAR(39))))</f>
        <v/>
      </c>
      <c r="S106" s="5" t="str">
        <f>IF(OR(TRIM($B106)="",$I106=""),"",IF(OR(ISNUMBER(SEARCH(_xlfn.CONCAT(CHAR(96),CHAR(34)),$I106)),ISNUMBER(SEARCH(_xlfn.CONCAT(CHAR(34),CHAR(39)),$I106))),_xlfn.CONCAT("* REVIEW REQUIRED: compound-quote delimiter in Derivation on Sheet 1 row ",106,"; edit the input before running."),_xlfn.CONCAT("char ",TRIM($B106),"[doc_derivation] ",CHAR(96),CHAR(34),SUBSTITUTE(SUBSTITUTE(SUBSTITUTE(SUBSTITUTE(SUBSTITUTE(SUBSTITUTE($I106,CHAR(13)," "),CHAR(10)," "),CHAR(9)," "),CHAR(92),_xlfn.CONCAT(CHAR(92),CHAR(92))),"$",_xlfn.CONCAT(CHAR(92),"$")),CHAR(96),_xlfn.CONCAT(CHAR(92),CHAR(96))),CHAR(34),CHAR(39))))</f>
        <v/>
      </c>
      <c r="T106" s="5" t="str">
        <f>IF(OR(TRIM($B106)="",$J106=""),"",IF(OR(ISNUMBER(SEARCH(_xlfn.CONCAT(CHAR(96),CHAR(34)),$J106)),ISNUMBER(SEARCH(_xlfn.CONCAT(CHAR(34),CHAR(39)),$J106))),_xlfn.CONCAT("* REVIEW REQUIRED: compound-quote delimiter in Notes on Sheet 1 row ",106,"; edit the input before running."),_xlfn.CONCAT("char ",TRIM($B106),"[doc_notes] ",CHAR(96),CHAR(34),SUBSTITUTE(SUBSTITUTE(SUBSTITUTE(SUBSTITUTE(SUBSTITUTE(SUBSTITUTE($J106,CHAR(13)," "),CHAR(10)," "),CHAR(9)," "),CHAR(92),_xlfn.CONCAT(CHAR(92),CHAR(92))),"$",_xlfn.CONCAT(CHAR(92),"$")),CHAR(96),_xlfn.CONCAT(CHAR(92),CHAR(96))),CHAR(34),CHAR(39))))</f>
        <v/>
      </c>
      <c r="U106" s="5">
        <f t="shared" si="3"/>
        <v>0</v>
      </c>
    </row>
    <row r="107" spans="3:21" ht="30" customHeight="1" x14ac:dyDescent="0.2">
      <c r="C107" s="4"/>
      <c r="K107" s="5">
        <f t="shared" si="2"/>
        <v>0</v>
      </c>
      <c r="L107" s="5" t="str">
        <f>IF(OR(TRIM($B107)="",$A107=""),"",IF(OR(ISNUMBER(SEARCH(_xlfn.CONCAT(CHAR(96),CHAR(34)),$A107)),ISNUMBER(SEARCH(_xlfn.CONCAT(CHAR(34),CHAR(39)),$A107))),_xlfn.CONCAT("* REVIEW REQUIRED: compound-quote delimiter in Codebook Section on Sheet 1 row ",107,"; edit the input before running."),_xlfn.CONCAT("char ",TRIM($B107),"[doc_section] ",CHAR(96),CHAR(34),SUBSTITUTE(SUBSTITUTE(SUBSTITUTE(SUBSTITUTE(SUBSTITUTE(SUBSTITUTE($A107,CHAR(13)," "),CHAR(10)," "),CHAR(9)," "),CHAR(92),_xlfn.CONCAT(CHAR(92),CHAR(92))),"$",_xlfn.CONCAT(CHAR(92),"$")),CHAR(96),_xlfn.CONCAT(CHAR(92),CHAR(96))),CHAR(34),CHAR(39))))</f>
        <v/>
      </c>
      <c r="M107" s="5" t="str">
        <f>IF(OR(TRIM($B107)="",$C107=""),"",IF(IFERROR(MATCH(TRIM($C107),{"Quantitative","Continuous","Discrete","Categorical","Nominal","Ordinal","Identifier"},0),0)=0,_xlfn.CONCAT("* REVIEW REQUIRED: invalid Variable Type on Sheet 1 row ",107,"."),_xlfn.CONCAT("char ",TRIM($B107),"[doc_vartype] ",CHAR(96),CHAR(34),SUBSTITUTE(SUBSTITUTE(SUBSTITUTE(SUBSTITUTE(SUBSTITUTE(SUBSTITUTE(LOWER(TRIM($C107)),CHAR(13)," "),CHAR(10)," "),CHAR(9)," "),CHAR(92),_xlfn.CONCAT(CHAR(92),CHAR(92))),"$",_xlfn.CONCAT(CHAR(92),"$")),CHAR(96),_xlfn.CONCAT(CHAR(92),CHAR(96))),CHAR(34),CHAR(39))))</f>
        <v/>
      </c>
      <c r="N107" s="5" t="str">
        <f>IF(OR(TRIM($B107)="",$D107=""),"",IF(OR(ISNUMBER(SEARCH(_xlfn.CONCAT(CHAR(96),CHAR(34)),$D107)),ISNUMBER(SEARCH(_xlfn.CONCAT(CHAR(34),CHAR(39)),$D107))),_xlfn.CONCAT("* REVIEW REQUIRED: compound-quote delimiter in Item Number on Sheet 1 row ",107,"; edit the input before running."),_xlfn.CONCAT("char ",TRIM($B107),"[doc_itemnum] ",CHAR(96),CHAR(34),SUBSTITUTE(SUBSTITUTE(SUBSTITUTE(SUBSTITUTE(SUBSTITUTE(SUBSTITUTE($D107,CHAR(13)," "),CHAR(10)," "),CHAR(9)," "),CHAR(92),_xlfn.CONCAT(CHAR(92),CHAR(92))),"$",_xlfn.CONCAT(CHAR(92),"$")),CHAR(96),_xlfn.CONCAT(CHAR(92),CHAR(96))),CHAR(34),CHAR(39))))</f>
        <v/>
      </c>
      <c r="O107" s="5" t="str">
        <f>IF(OR(TRIM($B107)="",$E107=""),"",IF(OR(ISNUMBER(SEARCH(_xlfn.CONCAT(CHAR(96),CHAR(34)),$E107)),ISNUMBER(SEARCH(_xlfn.CONCAT(CHAR(34),CHAR(39)),$E107))),_xlfn.CONCAT("* REVIEW REQUIRED: compound-quote delimiter in Question Wording on Sheet 1 row ",107,"; edit the input before running."),_xlfn.CONCAT("char ",TRIM($B107),"[doc_question] ",CHAR(96),CHAR(34),SUBSTITUTE(SUBSTITUTE(SUBSTITUTE(SUBSTITUTE(SUBSTITUTE(SUBSTITUTE($E107,CHAR(13)," "),CHAR(10)," "),CHAR(9)," "),CHAR(92),_xlfn.CONCAT(CHAR(92),CHAR(92))),"$",_xlfn.CONCAT(CHAR(92),"$")),CHAR(96),_xlfn.CONCAT(CHAR(92),CHAR(96))),CHAR(34),CHAR(39))))</f>
        <v/>
      </c>
      <c r="P107" s="5" t="str">
        <f>IF(OR(TRIM($B107)="",$F107=""),"",IF(OR(ISNUMBER(SEARCH(_xlfn.CONCAT(CHAR(96),CHAR(34)),$F107)),ISNUMBER(SEARCH(_xlfn.CONCAT(CHAR(34),CHAR(39)),$F107))),_xlfn.CONCAT("* REVIEW REQUIRED: compound-quote delimiter in Units on Sheet 1 row ",107,"; edit the input before running."),_xlfn.CONCAT("char ",TRIM($B107),"[doc_units] ",CHAR(96),CHAR(34),SUBSTITUTE(SUBSTITUTE(SUBSTITUTE(SUBSTITUTE(SUBSTITUTE(SUBSTITUTE($F107,CHAR(13)," "),CHAR(10)," "),CHAR(9)," "),CHAR(92),_xlfn.CONCAT(CHAR(92),CHAR(92))),"$",_xlfn.CONCAT(CHAR(92),"$")),CHAR(96),_xlfn.CONCAT(CHAR(92),CHAR(96))),CHAR(34),CHAR(39))))</f>
        <v/>
      </c>
      <c r="Q107" s="5" t="str">
        <f>IF(OR(TRIM($B107)="",$G107=""),"",IF(OR(ISNUMBER(SEARCH(_xlfn.CONCAT(CHAR(96),CHAR(34)),$G107)),ISNUMBER(SEARCH(_xlfn.CONCAT(CHAR(34),CHAR(39)),$G107))),_xlfn.CONCAT("* REVIEW REQUIRED: compound-quote delimiter in Universe on Sheet 1 row ",107,"; edit the input before running."),_xlfn.CONCAT("char ",TRIM($B107),"[doc_universe] ",CHAR(96),CHAR(34),SUBSTITUTE(SUBSTITUTE(SUBSTITUTE(SUBSTITUTE(SUBSTITUTE(SUBSTITUTE($G107,CHAR(13)," "),CHAR(10)," "),CHAR(9)," "),CHAR(92),_xlfn.CONCAT(CHAR(92),CHAR(92))),"$",_xlfn.CONCAT(CHAR(92),"$")),CHAR(96),_xlfn.CONCAT(CHAR(92),CHAR(96))),CHAR(34),CHAR(39))))</f>
        <v/>
      </c>
      <c r="R107" s="5" t="str">
        <f>IF(OR(TRIM($B107)="",$H107=""),"",IF(OR(ISNUMBER(SEARCH(_xlfn.CONCAT(CHAR(96),CHAR(34)),$H107)),ISNUMBER(SEARCH(_xlfn.CONCAT(CHAR(34),CHAR(39)),$H107))),_xlfn.CONCAT("* REVIEW REQUIRED: compound-quote delimiter in Source on Sheet 1 row ",107,"; edit the input before running."),_xlfn.CONCAT("char ",TRIM($B107),"[doc_source] ",CHAR(96),CHAR(34),SUBSTITUTE(SUBSTITUTE(SUBSTITUTE(SUBSTITUTE(SUBSTITUTE(SUBSTITUTE($H107,CHAR(13)," "),CHAR(10)," "),CHAR(9)," "),CHAR(92),_xlfn.CONCAT(CHAR(92),CHAR(92))),"$",_xlfn.CONCAT(CHAR(92),"$")),CHAR(96),_xlfn.CONCAT(CHAR(92),CHAR(96))),CHAR(34),CHAR(39))))</f>
        <v/>
      </c>
      <c r="S107" s="5" t="str">
        <f>IF(OR(TRIM($B107)="",$I107=""),"",IF(OR(ISNUMBER(SEARCH(_xlfn.CONCAT(CHAR(96),CHAR(34)),$I107)),ISNUMBER(SEARCH(_xlfn.CONCAT(CHAR(34),CHAR(39)),$I107))),_xlfn.CONCAT("* REVIEW REQUIRED: compound-quote delimiter in Derivation on Sheet 1 row ",107,"; edit the input before running."),_xlfn.CONCAT("char ",TRIM($B107),"[doc_derivation] ",CHAR(96),CHAR(34),SUBSTITUTE(SUBSTITUTE(SUBSTITUTE(SUBSTITUTE(SUBSTITUTE(SUBSTITUTE($I107,CHAR(13)," "),CHAR(10)," "),CHAR(9)," "),CHAR(92),_xlfn.CONCAT(CHAR(92),CHAR(92))),"$",_xlfn.CONCAT(CHAR(92),"$")),CHAR(96),_xlfn.CONCAT(CHAR(92),CHAR(96))),CHAR(34),CHAR(39))))</f>
        <v/>
      </c>
      <c r="T107" s="5" t="str">
        <f>IF(OR(TRIM($B107)="",$J107=""),"",IF(OR(ISNUMBER(SEARCH(_xlfn.CONCAT(CHAR(96),CHAR(34)),$J107)),ISNUMBER(SEARCH(_xlfn.CONCAT(CHAR(34),CHAR(39)),$J107))),_xlfn.CONCAT("* REVIEW REQUIRED: compound-quote delimiter in Notes on Sheet 1 row ",107,"; edit the input before running."),_xlfn.CONCAT("char ",TRIM($B107),"[doc_notes] ",CHAR(96),CHAR(34),SUBSTITUTE(SUBSTITUTE(SUBSTITUTE(SUBSTITUTE(SUBSTITUTE(SUBSTITUTE($J107,CHAR(13)," "),CHAR(10)," "),CHAR(9)," "),CHAR(92),_xlfn.CONCAT(CHAR(92),CHAR(92))),"$",_xlfn.CONCAT(CHAR(92),"$")),CHAR(96),_xlfn.CONCAT(CHAR(92),CHAR(96))),CHAR(34),CHAR(39))))</f>
        <v/>
      </c>
      <c r="U107" s="5">
        <f t="shared" si="3"/>
        <v>0</v>
      </c>
    </row>
    <row r="108" spans="3:21" ht="30" customHeight="1" x14ac:dyDescent="0.2">
      <c r="C108" s="4"/>
      <c r="K108" s="5">
        <f t="shared" si="2"/>
        <v>0</v>
      </c>
      <c r="L108" s="5" t="str">
        <f>IF(OR(TRIM($B108)="",$A108=""),"",IF(OR(ISNUMBER(SEARCH(_xlfn.CONCAT(CHAR(96),CHAR(34)),$A108)),ISNUMBER(SEARCH(_xlfn.CONCAT(CHAR(34),CHAR(39)),$A108))),_xlfn.CONCAT("* REVIEW REQUIRED: compound-quote delimiter in Codebook Section on Sheet 1 row ",108,"; edit the input before running."),_xlfn.CONCAT("char ",TRIM($B108),"[doc_section] ",CHAR(96),CHAR(34),SUBSTITUTE(SUBSTITUTE(SUBSTITUTE(SUBSTITUTE(SUBSTITUTE(SUBSTITUTE($A108,CHAR(13)," "),CHAR(10)," "),CHAR(9)," "),CHAR(92),_xlfn.CONCAT(CHAR(92),CHAR(92))),"$",_xlfn.CONCAT(CHAR(92),"$")),CHAR(96),_xlfn.CONCAT(CHAR(92),CHAR(96))),CHAR(34),CHAR(39))))</f>
        <v/>
      </c>
      <c r="M108" s="5" t="str">
        <f>IF(OR(TRIM($B108)="",$C108=""),"",IF(IFERROR(MATCH(TRIM($C108),{"Quantitative","Continuous","Discrete","Categorical","Nominal","Ordinal","Identifier"},0),0)=0,_xlfn.CONCAT("* REVIEW REQUIRED: invalid Variable Type on Sheet 1 row ",108,"."),_xlfn.CONCAT("char ",TRIM($B108),"[doc_vartype] ",CHAR(96),CHAR(34),SUBSTITUTE(SUBSTITUTE(SUBSTITUTE(SUBSTITUTE(SUBSTITUTE(SUBSTITUTE(LOWER(TRIM($C108)),CHAR(13)," "),CHAR(10)," "),CHAR(9)," "),CHAR(92),_xlfn.CONCAT(CHAR(92),CHAR(92))),"$",_xlfn.CONCAT(CHAR(92),"$")),CHAR(96),_xlfn.CONCAT(CHAR(92),CHAR(96))),CHAR(34),CHAR(39))))</f>
        <v/>
      </c>
      <c r="N108" s="5" t="str">
        <f>IF(OR(TRIM($B108)="",$D108=""),"",IF(OR(ISNUMBER(SEARCH(_xlfn.CONCAT(CHAR(96),CHAR(34)),$D108)),ISNUMBER(SEARCH(_xlfn.CONCAT(CHAR(34),CHAR(39)),$D108))),_xlfn.CONCAT("* REVIEW REQUIRED: compound-quote delimiter in Item Number on Sheet 1 row ",108,"; edit the input before running."),_xlfn.CONCAT("char ",TRIM($B108),"[doc_itemnum] ",CHAR(96),CHAR(34),SUBSTITUTE(SUBSTITUTE(SUBSTITUTE(SUBSTITUTE(SUBSTITUTE(SUBSTITUTE($D108,CHAR(13)," "),CHAR(10)," "),CHAR(9)," "),CHAR(92),_xlfn.CONCAT(CHAR(92),CHAR(92))),"$",_xlfn.CONCAT(CHAR(92),"$")),CHAR(96),_xlfn.CONCAT(CHAR(92),CHAR(96))),CHAR(34),CHAR(39))))</f>
        <v/>
      </c>
      <c r="O108" s="5" t="str">
        <f>IF(OR(TRIM($B108)="",$E108=""),"",IF(OR(ISNUMBER(SEARCH(_xlfn.CONCAT(CHAR(96),CHAR(34)),$E108)),ISNUMBER(SEARCH(_xlfn.CONCAT(CHAR(34),CHAR(39)),$E108))),_xlfn.CONCAT("* REVIEW REQUIRED: compound-quote delimiter in Question Wording on Sheet 1 row ",108,"; edit the input before running."),_xlfn.CONCAT("char ",TRIM($B108),"[doc_question] ",CHAR(96),CHAR(34),SUBSTITUTE(SUBSTITUTE(SUBSTITUTE(SUBSTITUTE(SUBSTITUTE(SUBSTITUTE($E108,CHAR(13)," "),CHAR(10)," "),CHAR(9)," "),CHAR(92),_xlfn.CONCAT(CHAR(92),CHAR(92))),"$",_xlfn.CONCAT(CHAR(92),"$")),CHAR(96),_xlfn.CONCAT(CHAR(92),CHAR(96))),CHAR(34),CHAR(39))))</f>
        <v/>
      </c>
      <c r="P108" s="5" t="str">
        <f>IF(OR(TRIM($B108)="",$F108=""),"",IF(OR(ISNUMBER(SEARCH(_xlfn.CONCAT(CHAR(96),CHAR(34)),$F108)),ISNUMBER(SEARCH(_xlfn.CONCAT(CHAR(34),CHAR(39)),$F108))),_xlfn.CONCAT("* REVIEW REQUIRED: compound-quote delimiter in Units on Sheet 1 row ",108,"; edit the input before running."),_xlfn.CONCAT("char ",TRIM($B108),"[doc_units] ",CHAR(96),CHAR(34),SUBSTITUTE(SUBSTITUTE(SUBSTITUTE(SUBSTITUTE(SUBSTITUTE(SUBSTITUTE($F108,CHAR(13)," "),CHAR(10)," "),CHAR(9)," "),CHAR(92),_xlfn.CONCAT(CHAR(92),CHAR(92))),"$",_xlfn.CONCAT(CHAR(92),"$")),CHAR(96),_xlfn.CONCAT(CHAR(92),CHAR(96))),CHAR(34),CHAR(39))))</f>
        <v/>
      </c>
      <c r="Q108" s="5" t="str">
        <f>IF(OR(TRIM($B108)="",$G108=""),"",IF(OR(ISNUMBER(SEARCH(_xlfn.CONCAT(CHAR(96),CHAR(34)),$G108)),ISNUMBER(SEARCH(_xlfn.CONCAT(CHAR(34),CHAR(39)),$G108))),_xlfn.CONCAT("* REVIEW REQUIRED: compound-quote delimiter in Universe on Sheet 1 row ",108,"; edit the input before running."),_xlfn.CONCAT("char ",TRIM($B108),"[doc_universe] ",CHAR(96),CHAR(34),SUBSTITUTE(SUBSTITUTE(SUBSTITUTE(SUBSTITUTE(SUBSTITUTE(SUBSTITUTE($G108,CHAR(13)," "),CHAR(10)," "),CHAR(9)," "),CHAR(92),_xlfn.CONCAT(CHAR(92),CHAR(92))),"$",_xlfn.CONCAT(CHAR(92),"$")),CHAR(96),_xlfn.CONCAT(CHAR(92),CHAR(96))),CHAR(34),CHAR(39))))</f>
        <v/>
      </c>
      <c r="R108" s="5" t="str">
        <f>IF(OR(TRIM($B108)="",$H108=""),"",IF(OR(ISNUMBER(SEARCH(_xlfn.CONCAT(CHAR(96),CHAR(34)),$H108)),ISNUMBER(SEARCH(_xlfn.CONCAT(CHAR(34),CHAR(39)),$H108))),_xlfn.CONCAT("* REVIEW REQUIRED: compound-quote delimiter in Source on Sheet 1 row ",108,"; edit the input before running."),_xlfn.CONCAT("char ",TRIM($B108),"[doc_source] ",CHAR(96),CHAR(34),SUBSTITUTE(SUBSTITUTE(SUBSTITUTE(SUBSTITUTE(SUBSTITUTE(SUBSTITUTE($H108,CHAR(13)," "),CHAR(10)," "),CHAR(9)," "),CHAR(92),_xlfn.CONCAT(CHAR(92),CHAR(92))),"$",_xlfn.CONCAT(CHAR(92),"$")),CHAR(96),_xlfn.CONCAT(CHAR(92),CHAR(96))),CHAR(34),CHAR(39))))</f>
        <v/>
      </c>
      <c r="S108" s="5" t="str">
        <f>IF(OR(TRIM($B108)="",$I108=""),"",IF(OR(ISNUMBER(SEARCH(_xlfn.CONCAT(CHAR(96),CHAR(34)),$I108)),ISNUMBER(SEARCH(_xlfn.CONCAT(CHAR(34),CHAR(39)),$I108))),_xlfn.CONCAT("* REVIEW REQUIRED: compound-quote delimiter in Derivation on Sheet 1 row ",108,"; edit the input before running."),_xlfn.CONCAT("char ",TRIM($B108),"[doc_derivation] ",CHAR(96),CHAR(34),SUBSTITUTE(SUBSTITUTE(SUBSTITUTE(SUBSTITUTE(SUBSTITUTE(SUBSTITUTE($I108,CHAR(13)," "),CHAR(10)," "),CHAR(9)," "),CHAR(92),_xlfn.CONCAT(CHAR(92),CHAR(92))),"$",_xlfn.CONCAT(CHAR(92),"$")),CHAR(96),_xlfn.CONCAT(CHAR(92),CHAR(96))),CHAR(34),CHAR(39))))</f>
        <v/>
      </c>
      <c r="T108" s="5" t="str">
        <f>IF(OR(TRIM($B108)="",$J108=""),"",IF(OR(ISNUMBER(SEARCH(_xlfn.CONCAT(CHAR(96),CHAR(34)),$J108)),ISNUMBER(SEARCH(_xlfn.CONCAT(CHAR(34),CHAR(39)),$J108))),_xlfn.CONCAT("* REVIEW REQUIRED: compound-quote delimiter in Notes on Sheet 1 row ",108,"; edit the input before running."),_xlfn.CONCAT("char ",TRIM($B108),"[doc_notes] ",CHAR(96),CHAR(34),SUBSTITUTE(SUBSTITUTE(SUBSTITUTE(SUBSTITUTE(SUBSTITUTE(SUBSTITUTE($J108,CHAR(13)," "),CHAR(10)," "),CHAR(9)," "),CHAR(92),_xlfn.CONCAT(CHAR(92),CHAR(92))),"$",_xlfn.CONCAT(CHAR(92),"$")),CHAR(96),_xlfn.CONCAT(CHAR(92),CHAR(96))),CHAR(34),CHAR(39))))</f>
        <v/>
      </c>
      <c r="U108" s="5">
        <f t="shared" si="3"/>
        <v>0</v>
      </c>
    </row>
    <row r="109" spans="3:21" ht="30" customHeight="1" x14ac:dyDescent="0.2">
      <c r="C109" s="4"/>
      <c r="K109" s="5">
        <f t="shared" si="2"/>
        <v>0</v>
      </c>
      <c r="L109" s="5" t="str">
        <f>IF(OR(TRIM($B109)="",$A109=""),"",IF(OR(ISNUMBER(SEARCH(_xlfn.CONCAT(CHAR(96),CHAR(34)),$A109)),ISNUMBER(SEARCH(_xlfn.CONCAT(CHAR(34),CHAR(39)),$A109))),_xlfn.CONCAT("* REVIEW REQUIRED: compound-quote delimiter in Codebook Section on Sheet 1 row ",109,"; edit the input before running."),_xlfn.CONCAT("char ",TRIM($B109),"[doc_section] ",CHAR(96),CHAR(34),SUBSTITUTE(SUBSTITUTE(SUBSTITUTE(SUBSTITUTE(SUBSTITUTE(SUBSTITUTE($A109,CHAR(13)," "),CHAR(10)," "),CHAR(9)," "),CHAR(92),_xlfn.CONCAT(CHAR(92),CHAR(92))),"$",_xlfn.CONCAT(CHAR(92),"$")),CHAR(96),_xlfn.CONCAT(CHAR(92),CHAR(96))),CHAR(34),CHAR(39))))</f>
        <v/>
      </c>
      <c r="M109" s="5" t="str">
        <f>IF(OR(TRIM($B109)="",$C109=""),"",IF(IFERROR(MATCH(TRIM($C109),{"Quantitative","Continuous","Discrete","Categorical","Nominal","Ordinal","Identifier"},0),0)=0,_xlfn.CONCAT("* REVIEW REQUIRED: invalid Variable Type on Sheet 1 row ",109,"."),_xlfn.CONCAT("char ",TRIM($B109),"[doc_vartype] ",CHAR(96),CHAR(34),SUBSTITUTE(SUBSTITUTE(SUBSTITUTE(SUBSTITUTE(SUBSTITUTE(SUBSTITUTE(LOWER(TRIM($C109)),CHAR(13)," "),CHAR(10)," "),CHAR(9)," "),CHAR(92),_xlfn.CONCAT(CHAR(92),CHAR(92))),"$",_xlfn.CONCAT(CHAR(92),"$")),CHAR(96),_xlfn.CONCAT(CHAR(92),CHAR(96))),CHAR(34),CHAR(39))))</f>
        <v/>
      </c>
      <c r="N109" s="5" t="str">
        <f>IF(OR(TRIM($B109)="",$D109=""),"",IF(OR(ISNUMBER(SEARCH(_xlfn.CONCAT(CHAR(96),CHAR(34)),$D109)),ISNUMBER(SEARCH(_xlfn.CONCAT(CHAR(34),CHAR(39)),$D109))),_xlfn.CONCAT("* REVIEW REQUIRED: compound-quote delimiter in Item Number on Sheet 1 row ",109,"; edit the input before running."),_xlfn.CONCAT("char ",TRIM($B109),"[doc_itemnum] ",CHAR(96),CHAR(34),SUBSTITUTE(SUBSTITUTE(SUBSTITUTE(SUBSTITUTE(SUBSTITUTE(SUBSTITUTE($D109,CHAR(13)," "),CHAR(10)," "),CHAR(9)," "),CHAR(92),_xlfn.CONCAT(CHAR(92),CHAR(92))),"$",_xlfn.CONCAT(CHAR(92),"$")),CHAR(96),_xlfn.CONCAT(CHAR(92),CHAR(96))),CHAR(34),CHAR(39))))</f>
        <v/>
      </c>
      <c r="O109" s="5" t="str">
        <f>IF(OR(TRIM($B109)="",$E109=""),"",IF(OR(ISNUMBER(SEARCH(_xlfn.CONCAT(CHAR(96),CHAR(34)),$E109)),ISNUMBER(SEARCH(_xlfn.CONCAT(CHAR(34),CHAR(39)),$E109))),_xlfn.CONCAT("* REVIEW REQUIRED: compound-quote delimiter in Question Wording on Sheet 1 row ",109,"; edit the input before running."),_xlfn.CONCAT("char ",TRIM($B109),"[doc_question] ",CHAR(96),CHAR(34),SUBSTITUTE(SUBSTITUTE(SUBSTITUTE(SUBSTITUTE(SUBSTITUTE(SUBSTITUTE($E109,CHAR(13)," "),CHAR(10)," "),CHAR(9)," "),CHAR(92),_xlfn.CONCAT(CHAR(92),CHAR(92))),"$",_xlfn.CONCAT(CHAR(92),"$")),CHAR(96),_xlfn.CONCAT(CHAR(92),CHAR(96))),CHAR(34),CHAR(39))))</f>
        <v/>
      </c>
      <c r="P109" s="5" t="str">
        <f>IF(OR(TRIM($B109)="",$F109=""),"",IF(OR(ISNUMBER(SEARCH(_xlfn.CONCAT(CHAR(96),CHAR(34)),$F109)),ISNUMBER(SEARCH(_xlfn.CONCAT(CHAR(34),CHAR(39)),$F109))),_xlfn.CONCAT("* REVIEW REQUIRED: compound-quote delimiter in Units on Sheet 1 row ",109,"; edit the input before running."),_xlfn.CONCAT("char ",TRIM($B109),"[doc_units] ",CHAR(96),CHAR(34),SUBSTITUTE(SUBSTITUTE(SUBSTITUTE(SUBSTITUTE(SUBSTITUTE(SUBSTITUTE($F109,CHAR(13)," "),CHAR(10)," "),CHAR(9)," "),CHAR(92),_xlfn.CONCAT(CHAR(92),CHAR(92))),"$",_xlfn.CONCAT(CHAR(92),"$")),CHAR(96),_xlfn.CONCAT(CHAR(92),CHAR(96))),CHAR(34),CHAR(39))))</f>
        <v/>
      </c>
      <c r="Q109" s="5" t="str">
        <f>IF(OR(TRIM($B109)="",$G109=""),"",IF(OR(ISNUMBER(SEARCH(_xlfn.CONCAT(CHAR(96),CHAR(34)),$G109)),ISNUMBER(SEARCH(_xlfn.CONCAT(CHAR(34),CHAR(39)),$G109))),_xlfn.CONCAT("* REVIEW REQUIRED: compound-quote delimiter in Universe on Sheet 1 row ",109,"; edit the input before running."),_xlfn.CONCAT("char ",TRIM($B109),"[doc_universe] ",CHAR(96),CHAR(34),SUBSTITUTE(SUBSTITUTE(SUBSTITUTE(SUBSTITUTE(SUBSTITUTE(SUBSTITUTE($G109,CHAR(13)," "),CHAR(10)," "),CHAR(9)," "),CHAR(92),_xlfn.CONCAT(CHAR(92),CHAR(92))),"$",_xlfn.CONCAT(CHAR(92),"$")),CHAR(96),_xlfn.CONCAT(CHAR(92),CHAR(96))),CHAR(34),CHAR(39))))</f>
        <v/>
      </c>
      <c r="R109" s="5" t="str">
        <f>IF(OR(TRIM($B109)="",$H109=""),"",IF(OR(ISNUMBER(SEARCH(_xlfn.CONCAT(CHAR(96),CHAR(34)),$H109)),ISNUMBER(SEARCH(_xlfn.CONCAT(CHAR(34),CHAR(39)),$H109))),_xlfn.CONCAT("* REVIEW REQUIRED: compound-quote delimiter in Source on Sheet 1 row ",109,"; edit the input before running."),_xlfn.CONCAT("char ",TRIM($B109),"[doc_source] ",CHAR(96),CHAR(34),SUBSTITUTE(SUBSTITUTE(SUBSTITUTE(SUBSTITUTE(SUBSTITUTE(SUBSTITUTE($H109,CHAR(13)," "),CHAR(10)," "),CHAR(9)," "),CHAR(92),_xlfn.CONCAT(CHAR(92),CHAR(92))),"$",_xlfn.CONCAT(CHAR(92),"$")),CHAR(96),_xlfn.CONCAT(CHAR(92),CHAR(96))),CHAR(34),CHAR(39))))</f>
        <v/>
      </c>
      <c r="S109" s="5" t="str">
        <f>IF(OR(TRIM($B109)="",$I109=""),"",IF(OR(ISNUMBER(SEARCH(_xlfn.CONCAT(CHAR(96),CHAR(34)),$I109)),ISNUMBER(SEARCH(_xlfn.CONCAT(CHAR(34),CHAR(39)),$I109))),_xlfn.CONCAT("* REVIEW REQUIRED: compound-quote delimiter in Derivation on Sheet 1 row ",109,"; edit the input before running."),_xlfn.CONCAT("char ",TRIM($B109),"[doc_derivation] ",CHAR(96),CHAR(34),SUBSTITUTE(SUBSTITUTE(SUBSTITUTE(SUBSTITUTE(SUBSTITUTE(SUBSTITUTE($I109,CHAR(13)," "),CHAR(10)," "),CHAR(9)," "),CHAR(92),_xlfn.CONCAT(CHAR(92),CHAR(92))),"$",_xlfn.CONCAT(CHAR(92),"$")),CHAR(96),_xlfn.CONCAT(CHAR(92),CHAR(96))),CHAR(34),CHAR(39))))</f>
        <v/>
      </c>
      <c r="T109" s="5" t="str">
        <f>IF(OR(TRIM($B109)="",$J109=""),"",IF(OR(ISNUMBER(SEARCH(_xlfn.CONCAT(CHAR(96),CHAR(34)),$J109)),ISNUMBER(SEARCH(_xlfn.CONCAT(CHAR(34),CHAR(39)),$J109))),_xlfn.CONCAT("* REVIEW REQUIRED: compound-quote delimiter in Notes on Sheet 1 row ",109,"; edit the input before running."),_xlfn.CONCAT("char ",TRIM($B109),"[doc_notes] ",CHAR(96),CHAR(34),SUBSTITUTE(SUBSTITUTE(SUBSTITUTE(SUBSTITUTE(SUBSTITUTE(SUBSTITUTE($J109,CHAR(13)," "),CHAR(10)," "),CHAR(9)," "),CHAR(92),_xlfn.CONCAT(CHAR(92),CHAR(92))),"$",_xlfn.CONCAT(CHAR(92),"$")),CHAR(96),_xlfn.CONCAT(CHAR(92),CHAR(96))),CHAR(34),CHAR(39))))</f>
        <v/>
      </c>
      <c r="U109" s="5">
        <f t="shared" si="3"/>
        <v>0</v>
      </c>
    </row>
    <row r="110" spans="3:21" ht="30" customHeight="1" x14ac:dyDescent="0.2">
      <c r="C110" s="4"/>
      <c r="K110" s="5">
        <f t="shared" si="2"/>
        <v>0</v>
      </c>
      <c r="L110" s="5" t="str">
        <f>IF(OR(TRIM($B110)="",$A110=""),"",IF(OR(ISNUMBER(SEARCH(_xlfn.CONCAT(CHAR(96),CHAR(34)),$A110)),ISNUMBER(SEARCH(_xlfn.CONCAT(CHAR(34),CHAR(39)),$A110))),_xlfn.CONCAT("* REVIEW REQUIRED: compound-quote delimiter in Codebook Section on Sheet 1 row ",110,"; edit the input before running."),_xlfn.CONCAT("char ",TRIM($B110),"[doc_section] ",CHAR(96),CHAR(34),SUBSTITUTE(SUBSTITUTE(SUBSTITUTE(SUBSTITUTE(SUBSTITUTE(SUBSTITUTE($A110,CHAR(13)," "),CHAR(10)," "),CHAR(9)," "),CHAR(92),_xlfn.CONCAT(CHAR(92),CHAR(92))),"$",_xlfn.CONCAT(CHAR(92),"$")),CHAR(96),_xlfn.CONCAT(CHAR(92),CHAR(96))),CHAR(34),CHAR(39))))</f>
        <v/>
      </c>
      <c r="M110" s="5" t="str">
        <f>IF(OR(TRIM($B110)="",$C110=""),"",IF(IFERROR(MATCH(TRIM($C110),{"Quantitative","Continuous","Discrete","Categorical","Nominal","Ordinal","Identifier"},0),0)=0,_xlfn.CONCAT("* REVIEW REQUIRED: invalid Variable Type on Sheet 1 row ",110,"."),_xlfn.CONCAT("char ",TRIM($B110),"[doc_vartype] ",CHAR(96),CHAR(34),SUBSTITUTE(SUBSTITUTE(SUBSTITUTE(SUBSTITUTE(SUBSTITUTE(SUBSTITUTE(LOWER(TRIM($C110)),CHAR(13)," "),CHAR(10)," "),CHAR(9)," "),CHAR(92),_xlfn.CONCAT(CHAR(92),CHAR(92))),"$",_xlfn.CONCAT(CHAR(92),"$")),CHAR(96),_xlfn.CONCAT(CHAR(92),CHAR(96))),CHAR(34),CHAR(39))))</f>
        <v/>
      </c>
      <c r="N110" s="5" t="str">
        <f>IF(OR(TRIM($B110)="",$D110=""),"",IF(OR(ISNUMBER(SEARCH(_xlfn.CONCAT(CHAR(96),CHAR(34)),$D110)),ISNUMBER(SEARCH(_xlfn.CONCAT(CHAR(34),CHAR(39)),$D110))),_xlfn.CONCAT("* REVIEW REQUIRED: compound-quote delimiter in Item Number on Sheet 1 row ",110,"; edit the input before running."),_xlfn.CONCAT("char ",TRIM($B110),"[doc_itemnum] ",CHAR(96),CHAR(34),SUBSTITUTE(SUBSTITUTE(SUBSTITUTE(SUBSTITUTE(SUBSTITUTE(SUBSTITUTE($D110,CHAR(13)," "),CHAR(10)," "),CHAR(9)," "),CHAR(92),_xlfn.CONCAT(CHAR(92),CHAR(92))),"$",_xlfn.CONCAT(CHAR(92),"$")),CHAR(96),_xlfn.CONCAT(CHAR(92),CHAR(96))),CHAR(34),CHAR(39))))</f>
        <v/>
      </c>
      <c r="O110" s="5" t="str">
        <f>IF(OR(TRIM($B110)="",$E110=""),"",IF(OR(ISNUMBER(SEARCH(_xlfn.CONCAT(CHAR(96),CHAR(34)),$E110)),ISNUMBER(SEARCH(_xlfn.CONCAT(CHAR(34),CHAR(39)),$E110))),_xlfn.CONCAT("* REVIEW REQUIRED: compound-quote delimiter in Question Wording on Sheet 1 row ",110,"; edit the input before running."),_xlfn.CONCAT("char ",TRIM($B110),"[doc_question] ",CHAR(96),CHAR(34),SUBSTITUTE(SUBSTITUTE(SUBSTITUTE(SUBSTITUTE(SUBSTITUTE(SUBSTITUTE($E110,CHAR(13)," "),CHAR(10)," "),CHAR(9)," "),CHAR(92),_xlfn.CONCAT(CHAR(92),CHAR(92))),"$",_xlfn.CONCAT(CHAR(92),"$")),CHAR(96),_xlfn.CONCAT(CHAR(92),CHAR(96))),CHAR(34),CHAR(39))))</f>
        <v/>
      </c>
      <c r="P110" s="5" t="str">
        <f>IF(OR(TRIM($B110)="",$F110=""),"",IF(OR(ISNUMBER(SEARCH(_xlfn.CONCAT(CHAR(96),CHAR(34)),$F110)),ISNUMBER(SEARCH(_xlfn.CONCAT(CHAR(34),CHAR(39)),$F110))),_xlfn.CONCAT("* REVIEW REQUIRED: compound-quote delimiter in Units on Sheet 1 row ",110,"; edit the input before running."),_xlfn.CONCAT("char ",TRIM($B110),"[doc_units] ",CHAR(96),CHAR(34),SUBSTITUTE(SUBSTITUTE(SUBSTITUTE(SUBSTITUTE(SUBSTITUTE(SUBSTITUTE($F110,CHAR(13)," "),CHAR(10)," "),CHAR(9)," "),CHAR(92),_xlfn.CONCAT(CHAR(92),CHAR(92))),"$",_xlfn.CONCAT(CHAR(92),"$")),CHAR(96),_xlfn.CONCAT(CHAR(92),CHAR(96))),CHAR(34),CHAR(39))))</f>
        <v/>
      </c>
      <c r="Q110" s="5" t="str">
        <f>IF(OR(TRIM($B110)="",$G110=""),"",IF(OR(ISNUMBER(SEARCH(_xlfn.CONCAT(CHAR(96),CHAR(34)),$G110)),ISNUMBER(SEARCH(_xlfn.CONCAT(CHAR(34),CHAR(39)),$G110))),_xlfn.CONCAT("* REVIEW REQUIRED: compound-quote delimiter in Universe on Sheet 1 row ",110,"; edit the input before running."),_xlfn.CONCAT("char ",TRIM($B110),"[doc_universe] ",CHAR(96),CHAR(34),SUBSTITUTE(SUBSTITUTE(SUBSTITUTE(SUBSTITUTE(SUBSTITUTE(SUBSTITUTE($G110,CHAR(13)," "),CHAR(10)," "),CHAR(9)," "),CHAR(92),_xlfn.CONCAT(CHAR(92),CHAR(92))),"$",_xlfn.CONCAT(CHAR(92),"$")),CHAR(96),_xlfn.CONCAT(CHAR(92),CHAR(96))),CHAR(34),CHAR(39))))</f>
        <v/>
      </c>
      <c r="R110" s="5" t="str">
        <f>IF(OR(TRIM($B110)="",$H110=""),"",IF(OR(ISNUMBER(SEARCH(_xlfn.CONCAT(CHAR(96),CHAR(34)),$H110)),ISNUMBER(SEARCH(_xlfn.CONCAT(CHAR(34),CHAR(39)),$H110))),_xlfn.CONCAT("* REVIEW REQUIRED: compound-quote delimiter in Source on Sheet 1 row ",110,"; edit the input before running."),_xlfn.CONCAT("char ",TRIM($B110),"[doc_source] ",CHAR(96),CHAR(34),SUBSTITUTE(SUBSTITUTE(SUBSTITUTE(SUBSTITUTE(SUBSTITUTE(SUBSTITUTE($H110,CHAR(13)," "),CHAR(10)," "),CHAR(9)," "),CHAR(92),_xlfn.CONCAT(CHAR(92),CHAR(92))),"$",_xlfn.CONCAT(CHAR(92),"$")),CHAR(96),_xlfn.CONCAT(CHAR(92),CHAR(96))),CHAR(34),CHAR(39))))</f>
        <v/>
      </c>
      <c r="S110" s="5" t="str">
        <f>IF(OR(TRIM($B110)="",$I110=""),"",IF(OR(ISNUMBER(SEARCH(_xlfn.CONCAT(CHAR(96),CHAR(34)),$I110)),ISNUMBER(SEARCH(_xlfn.CONCAT(CHAR(34),CHAR(39)),$I110))),_xlfn.CONCAT("* REVIEW REQUIRED: compound-quote delimiter in Derivation on Sheet 1 row ",110,"; edit the input before running."),_xlfn.CONCAT("char ",TRIM($B110),"[doc_derivation] ",CHAR(96),CHAR(34),SUBSTITUTE(SUBSTITUTE(SUBSTITUTE(SUBSTITUTE(SUBSTITUTE(SUBSTITUTE($I110,CHAR(13)," "),CHAR(10)," "),CHAR(9)," "),CHAR(92),_xlfn.CONCAT(CHAR(92),CHAR(92))),"$",_xlfn.CONCAT(CHAR(92),"$")),CHAR(96),_xlfn.CONCAT(CHAR(92),CHAR(96))),CHAR(34),CHAR(39))))</f>
        <v/>
      </c>
      <c r="T110" s="5" t="str">
        <f>IF(OR(TRIM($B110)="",$J110=""),"",IF(OR(ISNUMBER(SEARCH(_xlfn.CONCAT(CHAR(96),CHAR(34)),$J110)),ISNUMBER(SEARCH(_xlfn.CONCAT(CHAR(34),CHAR(39)),$J110))),_xlfn.CONCAT("* REVIEW REQUIRED: compound-quote delimiter in Notes on Sheet 1 row ",110,"; edit the input before running."),_xlfn.CONCAT("char ",TRIM($B110),"[doc_notes] ",CHAR(96),CHAR(34),SUBSTITUTE(SUBSTITUTE(SUBSTITUTE(SUBSTITUTE(SUBSTITUTE(SUBSTITUTE($J110,CHAR(13)," "),CHAR(10)," "),CHAR(9)," "),CHAR(92),_xlfn.CONCAT(CHAR(92),CHAR(92))),"$",_xlfn.CONCAT(CHAR(92),"$")),CHAR(96),_xlfn.CONCAT(CHAR(92),CHAR(96))),CHAR(34),CHAR(39))))</f>
        <v/>
      </c>
      <c r="U110" s="5">
        <f t="shared" si="3"/>
        <v>0</v>
      </c>
    </row>
    <row r="111" spans="3:21" ht="30" customHeight="1" x14ac:dyDescent="0.2">
      <c r="C111" s="4"/>
      <c r="K111" s="5">
        <f t="shared" si="2"/>
        <v>0</v>
      </c>
      <c r="L111" s="5" t="str">
        <f>IF(OR(TRIM($B111)="",$A111=""),"",IF(OR(ISNUMBER(SEARCH(_xlfn.CONCAT(CHAR(96),CHAR(34)),$A111)),ISNUMBER(SEARCH(_xlfn.CONCAT(CHAR(34),CHAR(39)),$A111))),_xlfn.CONCAT("* REVIEW REQUIRED: compound-quote delimiter in Codebook Section on Sheet 1 row ",111,"; edit the input before running."),_xlfn.CONCAT("char ",TRIM($B111),"[doc_section] ",CHAR(96),CHAR(34),SUBSTITUTE(SUBSTITUTE(SUBSTITUTE(SUBSTITUTE(SUBSTITUTE(SUBSTITUTE($A111,CHAR(13)," "),CHAR(10)," "),CHAR(9)," "),CHAR(92),_xlfn.CONCAT(CHAR(92),CHAR(92))),"$",_xlfn.CONCAT(CHAR(92),"$")),CHAR(96),_xlfn.CONCAT(CHAR(92),CHAR(96))),CHAR(34),CHAR(39))))</f>
        <v/>
      </c>
      <c r="M111" s="5" t="str">
        <f>IF(OR(TRIM($B111)="",$C111=""),"",IF(IFERROR(MATCH(TRIM($C111),{"Quantitative","Continuous","Discrete","Categorical","Nominal","Ordinal","Identifier"},0),0)=0,_xlfn.CONCAT("* REVIEW REQUIRED: invalid Variable Type on Sheet 1 row ",111,"."),_xlfn.CONCAT("char ",TRIM($B111),"[doc_vartype] ",CHAR(96),CHAR(34),SUBSTITUTE(SUBSTITUTE(SUBSTITUTE(SUBSTITUTE(SUBSTITUTE(SUBSTITUTE(LOWER(TRIM($C111)),CHAR(13)," "),CHAR(10)," "),CHAR(9)," "),CHAR(92),_xlfn.CONCAT(CHAR(92),CHAR(92))),"$",_xlfn.CONCAT(CHAR(92),"$")),CHAR(96),_xlfn.CONCAT(CHAR(92),CHAR(96))),CHAR(34),CHAR(39))))</f>
        <v/>
      </c>
      <c r="N111" s="5" t="str">
        <f>IF(OR(TRIM($B111)="",$D111=""),"",IF(OR(ISNUMBER(SEARCH(_xlfn.CONCAT(CHAR(96),CHAR(34)),$D111)),ISNUMBER(SEARCH(_xlfn.CONCAT(CHAR(34),CHAR(39)),$D111))),_xlfn.CONCAT("* REVIEW REQUIRED: compound-quote delimiter in Item Number on Sheet 1 row ",111,"; edit the input before running."),_xlfn.CONCAT("char ",TRIM($B111),"[doc_itemnum] ",CHAR(96),CHAR(34),SUBSTITUTE(SUBSTITUTE(SUBSTITUTE(SUBSTITUTE(SUBSTITUTE(SUBSTITUTE($D111,CHAR(13)," "),CHAR(10)," "),CHAR(9)," "),CHAR(92),_xlfn.CONCAT(CHAR(92),CHAR(92))),"$",_xlfn.CONCAT(CHAR(92),"$")),CHAR(96),_xlfn.CONCAT(CHAR(92),CHAR(96))),CHAR(34),CHAR(39))))</f>
        <v/>
      </c>
      <c r="O111" s="5" t="str">
        <f>IF(OR(TRIM($B111)="",$E111=""),"",IF(OR(ISNUMBER(SEARCH(_xlfn.CONCAT(CHAR(96),CHAR(34)),$E111)),ISNUMBER(SEARCH(_xlfn.CONCAT(CHAR(34),CHAR(39)),$E111))),_xlfn.CONCAT("* REVIEW REQUIRED: compound-quote delimiter in Question Wording on Sheet 1 row ",111,"; edit the input before running."),_xlfn.CONCAT("char ",TRIM($B111),"[doc_question] ",CHAR(96),CHAR(34),SUBSTITUTE(SUBSTITUTE(SUBSTITUTE(SUBSTITUTE(SUBSTITUTE(SUBSTITUTE($E111,CHAR(13)," "),CHAR(10)," "),CHAR(9)," "),CHAR(92),_xlfn.CONCAT(CHAR(92),CHAR(92))),"$",_xlfn.CONCAT(CHAR(92),"$")),CHAR(96),_xlfn.CONCAT(CHAR(92),CHAR(96))),CHAR(34),CHAR(39))))</f>
        <v/>
      </c>
      <c r="P111" s="5" t="str">
        <f>IF(OR(TRIM($B111)="",$F111=""),"",IF(OR(ISNUMBER(SEARCH(_xlfn.CONCAT(CHAR(96),CHAR(34)),$F111)),ISNUMBER(SEARCH(_xlfn.CONCAT(CHAR(34),CHAR(39)),$F111))),_xlfn.CONCAT("* REVIEW REQUIRED: compound-quote delimiter in Units on Sheet 1 row ",111,"; edit the input before running."),_xlfn.CONCAT("char ",TRIM($B111),"[doc_units] ",CHAR(96),CHAR(34),SUBSTITUTE(SUBSTITUTE(SUBSTITUTE(SUBSTITUTE(SUBSTITUTE(SUBSTITUTE($F111,CHAR(13)," "),CHAR(10)," "),CHAR(9)," "),CHAR(92),_xlfn.CONCAT(CHAR(92),CHAR(92))),"$",_xlfn.CONCAT(CHAR(92),"$")),CHAR(96),_xlfn.CONCAT(CHAR(92),CHAR(96))),CHAR(34),CHAR(39))))</f>
        <v/>
      </c>
      <c r="Q111" s="5" t="str">
        <f>IF(OR(TRIM($B111)="",$G111=""),"",IF(OR(ISNUMBER(SEARCH(_xlfn.CONCAT(CHAR(96),CHAR(34)),$G111)),ISNUMBER(SEARCH(_xlfn.CONCAT(CHAR(34),CHAR(39)),$G111))),_xlfn.CONCAT("* REVIEW REQUIRED: compound-quote delimiter in Universe on Sheet 1 row ",111,"; edit the input before running."),_xlfn.CONCAT("char ",TRIM($B111),"[doc_universe] ",CHAR(96),CHAR(34),SUBSTITUTE(SUBSTITUTE(SUBSTITUTE(SUBSTITUTE(SUBSTITUTE(SUBSTITUTE($G111,CHAR(13)," "),CHAR(10)," "),CHAR(9)," "),CHAR(92),_xlfn.CONCAT(CHAR(92),CHAR(92))),"$",_xlfn.CONCAT(CHAR(92),"$")),CHAR(96),_xlfn.CONCAT(CHAR(92),CHAR(96))),CHAR(34),CHAR(39))))</f>
        <v/>
      </c>
      <c r="R111" s="5" t="str">
        <f>IF(OR(TRIM($B111)="",$H111=""),"",IF(OR(ISNUMBER(SEARCH(_xlfn.CONCAT(CHAR(96),CHAR(34)),$H111)),ISNUMBER(SEARCH(_xlfn.CONCAT(CHAR(34),CHAR(39)),$H111))),_xlfn.CONCAT("* REVIEW REQUIRED: compound-quote delimiter in Source on Sheet 1 row ",111,"; edit the input before running."),_xlfn.CONCAT("char ",TRIM($B111),"[doc_source] ",CHAR(96),CHAR(34),SUBSTITUTE(SUBSTITUTE(SUBSTITUTE(SUBSTITUTE(SUBSTITUTE(SUBSTITUTE($H111,CHAR(13)," "),CHAR(10)," "),CHAR(9)," "),CHAR(92),_xlfn.CONCAT(CHAR(92),CHAR(92))),"$",_xlfn.CONCAT(CHAR(92),"$")),CHAR(96),_xlfn.CONCAT(CHAR(92),CHAR(96))),CHAR(34),CHAR(39))))</f>
        <v/>
      </c>
      <c r="S111" s="5" t="str">
        <f>IF(OR(TRIM($B111)="",$I111=""),"",IF(OR(ISNUMBER(SEARCH(_xlfn.CONCAT(CHAR(96),CHAR(34)),$I111)),ISNUMBER(SEARCH(_xlfn.CONCAT(CHAR(34),CHAR(39)),$I111))),_xlfn.CONCAT("* REVIEW REQUIRED: compound-quote delimiter in Derivation on Sheet 1 row ",111,"; edit the input before running."),_xlfn.CONCAT("char ",TRIM($B111),"[doc_derivation] ",CHAR(96),CHAR(34),SUBSTITUTE(SUBSTITUTE(SUBSTITUTE(SUBSTITUTE(SUBSTITUTE(SUBSTITUTE($I111,CHAR(13)," "),CHAR(10)," "),CHAR(9)," "),CHAR(92),_xlfn.CONCAT(CHAR(92),CHAR(92))),"$",_xlfn.CONCAT(CHAR(92),"$")),CHAR(96),_xlfn.CONCAT(CHAR(92),CHAR(96))),CHAR(34),CHAR(39))))</f>
        <v/>
      </c>
      <c r="T111" s="5" t="str">
        <f>IF(OR(TRIM($B111)="",$J111=""),"",IF(OR(ISNUMBER(SEARCH(_xlfn.CONCAT(CHAR(96),CHAR(34)),$J111)),ISNUMBER(SEARCH(_xlfn.CONCAT(CHAR(34),CHAR(39)),$J111))),_xlfn.CONCAT("* REVIEW REQUIRED: compound-quote delimiter in Notes on Sheet 1 row ",111,"; edit the input before running."),_xlfn.CONCAT("char ",TRIM($B111),"[doc_notes] ",CHAR(96),CHAR(34),SUBSTITUTE(SUBSTITUTE(SUBSTITUTE(SUBSTITUTE(SUBSTITUTE(SUBSTITUTE($J111,CHAR(13)," "),CHAR(10)," "),CHAR(9)," "),CHAR(92),_xlfn.CONCAT(CHAR(92),CHAR(92))),"$",_xlfn.CONCAT(CHAR(92),"$")),CHAR(96),_xlfn.CONCAT(CHAR(92),CHAR(96))),CHAR(34),CHAR(39))))</f>
        <v/>
      </c>
      <c r="U111" s="5">
        <f t="shared" si="3"/>
        <v>0</v>
      </c>
    </row>
    <row r="112" spans="3:21" ht="30" customHeight="1" x14ac:dyDescent="0.2">
      <c r="C112" s="4"/>
      <c r="K112" s="5">
        <f t="shared" si="2"/>
        <v>0</v>
      </c>
      <c r="L112" s="5" t="str">
        <f>IF(OR(TRIM($B112)="",$A112=""),"",IF(OR(ISNUMBER(SEARCH(_xlfn.CONCAT(CHAR(96),CHAR(34)),$A112)),ISNUMBER(SEARCH(_xlfn.CONCAT(CHAR(34),CHAR(39)),$A112))),_xlfn.CONCAT("* REVIEW REQUIRED: compound-quote delimiter in Codebook Section on Sheet 1 row ",112,"; edit the input before running."),_xlfn.CONCAT("char ",TRIM($B112),"[doc_section] ",CHAR(96),CHAR(34),SUBSTITUTE(SUBSTITUTE(SUBSTITUTE(SUBSTITUTE(SUBSTITUTE(SUBSTITUTE($A112,CHAR(13)," "),CHAR(10)," "),CHAR(9)," "),CHAR(92),_xlfn.CONCAT(CHAR(92),CHAR(92))),"$",_xlfn.CONCAT(CHAR(92),"$")),CHAR(96),_xlfn.CONCAT(CHAR(92),CHAR(96))),CHAR(34),CHAR(39))))</f>
        <v/>
      </c>
      <c r="M112" s="5" t="str">
        <f>IF(OR(TRIM($B112)="",$C112=""),"",IF(IFERROR(MATCH(TRIM($C112),{"Quantitative","Continuous","Discrete","Categorical","Nominal","Ordinal","Identifier"},0),0)=0,_xlfn.CONCAT("* REVIEW REQUIRED: invalid Variable Type on Sheet 1 row ",112,"."),_xlfn.CONCAT("char ",TRIM($B112),"[doc_vartype] ",CHAR(96),CHAR(34),SUBSTITUTE(SUBSTITUTE(SUBSTITUTE(SUBSTITUTE(SUBSTITUTE(SUBSTITUTE(LOWER(TRIM($C112)),CHAR(13)," "),CHAR(10)," "),CHAR(9)," "),CHAR(92),_xlfn.CONCAT(CHAR(92),CHAR(92))),"$",_xlfn.CONCAT(CHAR(92),"$")),CHAR(96),_xlfn.CONCAT(CHAR(92),CHAR(96))),CHAR(34),CHAR(39))))</f>
        <v/>
      </c>
      <c r="N112" s="5" t="str">
        <f>IF(OR(TRIM($B112)="",$D112=""),"",IF(OR(ISNUMBER(SEARCH(_xlfn.CONCAT(CHAR(96),CHAR(34)),$D112)),ISNUMBER(SEARCH(_xlfn.CONCAT(CHAR(34),CHAR(39)),$D112))),_xlfn.CONCAT("* REVIEW REQUIRED: compound-quote delimiter in Item Number on Sheet 1 row ",112,"; edit the input before running."),_xlfn.CONCAT("char ",TRIM($B112),"[doc_itemnum] ",CHAR(96),CHAR(34),SUBSTITUTE(SUBSTITUTE(SUBSTITUTE(SUBSTITUTE(SUBSTITUTE(SUBSTITUTE($D112,CHAR(13)," "),CHAR(10)," "),CHAR(9)," "),CHAR(92),_xlfn.CONCAT(CHAR(92),CHAR(92))),"$",_xlfn.CONCAT(CHAR(92),"$")),CHAR(96),_xlfn.CONCAT(CHAR(92),CHAR(96))),CHAR(34),CHAR(39))))</f>
        <v/>
      </c>
      <c r="O112" s="5" t="str">
        <f>IF(OR(TRIM($B112)="",$E112=""),"",IF(OR(ISNUMBER(SEARCH(_xlfn.CONCAT(CHAR(96),CHAR(34)),$E112)),ISNUMBER(SEARCH(_xlfn.CONCAT(CHAR(34),CHAR(39)),$E112))),_xlfn.CONCAT("* REVIEW REQUIRED: compound-quote delimiter in Question Wording on Sheet 1 row ",112,"; edit the input before running."),_xlfn.CONCAT("char ",TRIM($B112),"[doc_question] ",CHAR(96),CHAR(34),SUBSTITUTE(SUBSTITUTE(SUBSTITUTE(SUBSTITUTE(SUBSTITUTE(SUBSTITUTE($E112,CHAR(13)," "),CHAR(10)," "),CHAR(9)," "),CHAR(92),_xlfn.CONCAT(CHAR(92),CHAR(92))),"$",_xlfn.CONCAT(CHAR(92),"$")),CHAR(96),_xlfn.CONCAT(CHAR(92),CHAR(96))),CHAR(34),CHAR(39))))</f>
        <v/>
      </c>
      <c r="P112" s="5" t="str">
        <f>IF(OR(TRIM($B112)="",$F112=""),"",IF(OR(ISNUMBER(SEARCH(_xlfn.CONCAT(CHAR(96),CHAR(34)),$F112)),ISNUMBER(SEARCH(_xlfn.CONCAT(CHAR(34),CHAR(39)),$F112))),_xlfn.CONCAT("* REVIEW REQUIRED: compound-quote delimiter in Units on Sheet 1 row ",112,"; edit the input before running."),_xlfn.CONCAT("char ",TRIM($B112),"[doc_units] ",CHAR(96),CHAR(34),SUBSTITUTE(SUBSTITUTE(SUBSTITUTE(SUBSTITUTE(SUBSTITUTE(SUBSTITUTE($F112,CHAR(13)," "),CHAR(10)," "),CHAR(9)," "),CHAR(92),_xlfn.CONCAT(CHAR(92),CHAR(92))),"$",_xlfn.CONCAT(CHAR(92),"$")),CHAR(96),_xlfn.CONCAT(CHAR(92),CHAR(96))),CHAR(34),CHAR(39))))</f>
        <v/>
      </c>
      <c r="Q112" s="5" t="str">
        <f>IF(OR(TRIM($B112)="",$G112=""),"",IF(OR(ISNUMBER(SEARCH(_xlfn.CONCAT(CHAR(96),CHAR(34)),$G112)),ISNUMBER(SEARCH(_xlfn.CONCAT(CHAR(34),CHAR(39)),$G112))),_xlfn.CONCAT("* REVIEW REQUIRED: compound-quote delimiter in Universe on Sheet 1 row ",112,"; edit the input before running."),_xlfn.CONCAT("char ",TRIM($B112),"[doc_universe] ",CHAR(96),CHAR(34),SUBSTITUTE(SUBSTITUTE(SUBSTITUTE(SUBSTITUTE(SUBSTITUTE(SUBSTITUTE($G112,CHAR(13)," "),CHAR(10)," "),CHAR(9)," "),CHAR(92),_xlfn.CONCAT(CHAR(92),CHAR(92))),"$",_xlfn.CONCAT(CHAR(92),"$")),CHAR(96),_xlfn.CONCAT(CHAR(92),CHAR(96))),CHAR(34),CHAR(39))))</f>
        <v/>
      </c>
      <c r="R112" s="5" t="str">
        <f>IF(OR(TRIM($B112)="",$H112=""),"",IF(OR(ISNUMBER(SEARCH(_xlfn.CONCAT(CHAR(96),CHAR(34)),$H112)),ISNUMBER(SEARCH(_xlfn.CONCAT(CHAR(34),CHAR(39)),$H112))),_xlfn.CONCAT("* REVIEW REQUIRED: compound-quote delimiter in Source on Sheet 1 row ",112,"; edit the input before running."),_xlfn.CONCAT("char ",TRIM($B112),"[doc_source] ",CHAR(96),CHAR(34),SUBSTITUTE(SUBSTITUTE(SUBSTITUTE(SUBSTITUTE(SUBSTITUTE(SUBSTITUTE($H112,CHAR(13)," "),CHAR(10)," "),CHAR(9)," "),CHAR(92),_xlfn.CONCAT(CHAR(92),CHAR(92))),"$",_xlfn.CONCAT(CHAR(92),"$")),CHAR(96),_xlfn.CONCAT(CHAR(92),CHAR(96))),CHAR(34),CHAR(39))))</f>
        <v/>
      </c>
      <c r="S112" s="5" t="str">
        <f>IF(OR(TRIM($B112)="",$I112=""),"",IF(OR(ISNUMBER(SEARCH(_xlfn.CONCAT(CHAR(96),CHAR(34)),$I112)),ISNUMBER(SEARCH(_xlfn.CONCAT(CHAR(34),CHAR(39)),$I112))),_xlfn.CONCAT("* REVIEW REQUIRED: compound-quote delimiter in Derivation on Sheet 1 row ",112,"; edit the input before running."),_xlfn.CONCAT("char ",TRIM($B112),"[doc_derivation] ",CHAR(96),CHAR(34),SUBSTITUTE(SUBSTITUTE(SUBSTITUTE(SUBSTITUTE(SUBSTITUTE(SUBSTITUTE($I112,CHAR(13)," "),CHAR(10)," "),CHAR(9)," "),CHAR(92),_xlfn.CONCAT(CHAR(92),CHAR(92))),"$",_xlfn.CONCAT(CHAR(92),"$")),CHAR(96),_xlfn.CONCAT(CHAR(92),CHAR(96))),CHAR(34),CHAR(39))))</f>
        <v/>
      </c>
      <c r="T112" s="5" t="str">
        <f>IF(OR(TRIM($B112)="",$J112=""),"",IF(OR(ISNUMBER(SEARCH(_xlfn.CONCAT(CHAR(96),CHAR(34)),$J112)),ISNUMBER(SEARCH(_xlfn.CONCAT(CHAR(34),CHAR(39)),$J112))),_xlfn.CONCAT("* REVIEW REQUIRED: compound-quote delimiter in Notes on Sheet 1 row ",112,"; edit the input before running."),_xlfn.CONCAT("char ",TRIM($B112),"[doc_notes] ",CHAR(96),CHAR(34),SUBSTITUTE(SUBSTITUTE(SUBSTITUTE(SUBSTITUTE(SUBSTITUTE(SUBSTITUTE($J112,CHAR(13)," "),CHAR(10)," "),CHAR(9)," "),CHAR(92),_xlfn.CONCAT(CHAR(92),CHAR(92))),"$",_xlfn.CONCAT(CHAR(92),"$")),CHAR(96),_xlfn.CONCAT(CHAR(92),CHAR(96))),CHAR(34),CHAR(39))))</f>
        <v/>
      </c>
      <c r="U112" s="5">
        <f t="shared" si="3"/>
        <v>0</v>
      </c>
    </row>
    <row r="113" spans="3:21" ht="30" customHeight="1" x14ac:dyDescent="0.2">
      <c r="C113" s="4"/>
      <c r="K113" s="5">
        <f t="shared" si="2"/>
        <v>0</v>
      </c>
      <c r="L113" s="5" t="str">
        <f>IF(OR(TRIM($B113)="",$A113=""),"",IF(OR(ISNUMBER(SEARCH(_xlfn.CONCAT(CHAR(96),CHAR(34)),$A113)),ISNUMBER(SEARCH(_xlfn.CONCAT(CHAR(34),CHAR(39)),$A113))),_xlfn.CONCAT("* REVIEW REQUIRED: compound-quote delimiter in Codebook Section on Sheet 1 row ",113,"; edit the input before running."),_xlfn.CONCAT("char ",TRIM($B113),"[doc_section] ",CHAR(96),CHAR(34),SUBSTITUTE(SUBSTITUTE(SUBSTITUTE(SUBSTITUTE(SUBSTITUTE(SUBSTITUTE($A113,CHAR(13)," "),CHAR(10)," "),CHAR(9)," "),CHAR(92),_xlfn.CONCAT(CHAR(92),CHAR(92))),"$",_xlfn.CONCAT(CHAR(92),"$")),CHAR(96),_xlfn.CONCAT(CHAR(92),CHAR(96))),CHAR(34),CHAR(39))))</f>
        <v/>
      </c>
      <c r="M113" s="5" t="str">
        <f>IF(OR(TRIM($B113)="",$C113=""),"",IF(IFERROR(MATCH(TRIM($C113),{"Quantitative","Continuous","Discrete","Categorical","Nominal","Ordinal","Identifier"},0),0)=0,_xlfn.CONCAT("* REVIEW REQUIRED: invalid Variable Type on Sheet 1 row ",113,"."),_xlfn.CONCAT("char ",TRIM($B113),"[doc_vartype] ",CHAR(96),CHAR(34),SUBSTITUTE(SUBSTITUTE(SUBSTITUTE(SUBSTITUTE(SUBSTITUTE(SUBSTITUTE(LOWER(TRIM($C113)),CHAR(13)," "),CHAR(10)," "),CHAR(9)," "),CHAR(92),_xlfn.CONCAT(CHAR(92),CHAR(92))),"$",_xlfn.CONCAT(CHAR(92),"$")),CHAR(96),_xlfn.CONCAT(CHAR(92),CHAR(96))),CHAR(34),CHAR(39))))</f>
        <v/>
      </c>
      <c r="N113" s="5" t="str">
        <f>IF(OR(TRIM($B113)="",$D113=""),"",IF(OR(ISNUMBER(SEARCH(_xlfn.CONCAT(CHAR(96),CHAR(34)),$D113)),ISNUMBER(SEARCH(_xlfn.CONCAT(CHAR(34),CHAR(39)),$D113))),_xlfn.CONCAT("* REVIEW REQUIRED: compound-quote delimiter in Item Number on Sheet 1 row ",113,"; edit the input before running."),_xlfn.CONCAT("char ",TRIM($B113),"[doc_itemnum] ",CHAR(96),CHAR(34),SUBSTITUTE(SUBSTITUTE(SUBSTITUTE(SUBSTITUTE(SUBSTITUTE(SUBSTITUTE($D113,CHAR(13)," "),CHAR(10)," "),CHAR(9)," "),CHAR(92),_xlfn.CONCAT(CHAR(92),CHAR(92))),"$",_xlfn.CONCAT(CHAR(92),"$")),CHAR(96),_xlfn.CONCAT(CHAR(92),CHAR(96))),CHAR(34),CHAR(39))))</f>
        <v/>
      </c>
      <c r="O113" s="5" t="str">
        <f>IF(OR(TRIM($B113)="",$E113=""),"",IF(OR(ISNUMBER(SEARCH(_xlfn.CONCAT(CHAR(96),CHAR(34)),$E113)),ISNUMBER(SEARCH(_xlfn.CONCAT(CHAR(34),CHAR(39)),$E113))),_xlfn.CONCAT("* REVIEW REQUIRED: compound-quote delimiter in Question Wording on Sheet 1 row ",113,"; edit the input before running."),_xlfn.CONCAT("char ",TRIM($B113),"[doc_question] ",CHAR(96),CHAR(34),SUBSTITUTE(SUBSTITUTE(SUBSTITUTE(SUBSTITUTE(SUBSTITUTE(SUBSTITUTE($E113,CHAR(13)," "),CHAR(10)," "),CHAR(9)," "),CHAR(92),_xlfn.CONCAT(CHAR(92),CHAR(92))),"$",_xlfn.CONCAT(CHAR(92),"$")),CHAR(96),_xlfn.CONCAT(CHAR(92),CHAR(96))),CHAR(34),CHAR(39))))</f>
        <v/>
      </c>
      <c r="P113" s="5" t="str">
        <f>IF(OR(TRIM($B113)="",$F113=""),"",IF(OR(ISNUMBER(SEARCH(_xlfn.CONCAT(CHAR(96),CHAR(34)),$F113)),ISNUMBER(SEARCH(_xlfn.CONCAT(CHAR(34),CHAR(39)),$F113))),_xlfn.CONCAT("* REVIEW REQUIRED: compound-quote delimiter in Units on Sheet 1 row ",113,"; edit the input before running."),_xlfn.CONCAT("char ",TRIM($B113),"[doc_units] ",CHAR(96),CHAR(34),SUBSTITUTE(SUBSTITUTE(SUBSTITUTE(SUBSTITUTE(SUBSTITUTE(SUBSTITUTE($F113,CHAR(13)," "),CHAR(10)," "),CHAR(9)," "),CHAR(92),_xlfn.CONCAT(CHAR(92),CHAR(92))),"$",_xlfn.CONCAT(CHAR(92),"$")),CHAR(96),_xlfn.CONCAT(CHAR(92),CHAR(96))),CHAR(34),CHAR(39))))</f>
        <v/>
      </c>
      <c r="Q113" s="5" t="str">
        <f>IF(OR(TRIM($B113)="",$G113=""),"",IF(OR(ISNUMBER(SEARCH(_xlfn.CONCAT(CHAR(96),CHAR(34)),$G113)),ISNUMBER(SEARCH(_xlfn.CONCAT(CHAR(34),CHAR(39)),$G113))),_xlfn.CONCAT("* REVIEW REQUIRED: compound-quote delimiter in Universe on Sheet 1 row ",113,"; edit the input before running."),_xlfn.CONCAT("char ",TRIM($B113),"[doc_universe] ",CHAR(96),CHAR(34),SUBSTITUTE(SUBSTITUTE(SUBSTITUTE(SUBSTITUTE(SUBSTITUTE(SUBSTITUTE($G113,CHAR(13)," "),CHAR(10)," "),CHAR(9)," "),CHAR(92),_xlfn.CONCAT(CHAR(92),CHAR(92))),"$",_xlfn.CONCAT(CHAR(92),"$")),CHAR(96),_xlfn.CONCAT(CHAR(92),CHAR(96))),CHAR(34),CHAR(39))))</f>
        <v/>
      </c>
      <c r="R113" s="5" t="str">
        <f>IF(OR(TRIM($B113)="",$H113=""),"",IF(OR(ISNUMBER(SEARCH(_xlfn.CONCAT(CHAR(96),CHAR(34)),$H113)),ISNUMBER(SEARCH(_xlfn.CONCAT(CHAR(34),CHAR(39)),$H113))),_xlfn.CONCAT("* REVIEW REQUIRED: compound-quote delimiter in Source on Sheet 1 row ",113,"; edit the input before running."),_xlfn.CONCAT("char ",TRIM($B113),"[doc_source] ",CHAR(96),CHAR(34),SUBSTITUTE(SUBSTITUTE(SUBSTITUTE(SUBSTITUTE(SUBSTITUTE(SUBSTITUTE($H113,CHAR(13)," "),CHAR(10)," "),CHAR(9)," "),CHAR(92),_xlfn.CONCAT(CHAR(92),CHAR(92))),"$",_xlfn.CONCAT(CHAR(92),"$")),CHAR(96),_xlfn.CONCAT(CHAR(92),CHAR(96))),CHAR(34),CHAR(39))))</f>
        <v/>
      </c>
      <c r="S113" s="5" t="str">
        <f>IF(OR(TRIM($B113)="",$I113=""),"",IF(OR(ISNUMBER(SEARCH(_xlfn.CONCAT(CHAR(96),CHAR(34)),$I113)),ISNUMBER(SEARCH(_xlfn.CONCAT(CHAR(34),CHAR(39)),$I113))),_xlfn.CONCAT("* REVIEW REQUIRED: compound-quote delimiter in Derivation on Sheet 1 row ",113,"; edit the input before running."),_xlfn.CONCAT("char ",TRIM($B113),"[doc_derivation] ",CHAR(96),CHAR(34),SUBSTITUTE(SUBSTITUTE(SUBSTITUTE(SUBSTITUTE(SUBSTITUTE(SUBSTITUTE($I113,CHAR(13)," "),CHAR(10)," "),CHAR(9)," "),CHAR(92),_xlfn.CONCAT(CHAR(92),CHAR(92))),"$",_xlfn.CONCAT(CHAR(92),"$")),CHAR(96),_xlfn.CONCAT(CHAR(92),CHAR(96))),CHAR(34),CHAR(39))))</f>
        <v/>
      </c>
      <c r="T113" s="5" t="str">
        <f>IF(OR(TRIM($B113)="",$J113=""),"",IF(OR(ISNUMBER(SEARCH(_xlfn.CONCAT(CHAR(96),CHAR(34)),$J113)),ISNUMBER(SEARCH(_xlfn.CONCAT(CHAR(34),CHAR(39)),$J113))),_xlfn.CONCAT("* REVIEW REQUIRED: compound-quote delimiter in Notes on Sheet 1 row ",113,"; edit the input before running."),_xlfn.CONCAT("char ",TRIM($B113),"[doc_notes] ",CHAR(96),CHAR(34),SUBSTITUTE(SUBSTITUTE(SUBSTITUTE(SUBSTITUTE(SUBSTITUTE(SUBSTITUTE($J113,CHAR(13)," "),CHAR(10)," "),CHAR(9)," "),CHAR(92),_xlfn.CONCAT(CHAR(92),CHAR(92))),"$",_xlfn.CONCAT(CHAR(92),"$")),CHAR(96),_xlfn.CONCAT(CHAR(92),CHAR(96))),CHAR(34),CHAR(39))))</f>
        <v/>
      </c>
      <c r="U113" s="5">
        <f t="shared" si="3"/>
        <v>0</v>
      </c>
    </row>
    <row r="114" spans="3:21" ht="30" customHeight="1" x14ac:dyDescent="0.2">
      <c r="C114" s="4"/>
      <c r="K114" s="5">
        <f t="shared" si="2"/>
        <v>0</v>
      </c>
      <c r="L114" s="5" t="str">
        <f>IF(OR(TRIM($B114)="",$A114=""),"",IF(OR(ISNUMBER(SEARCH(_xlfn.CONCAT(CHAR(96),CHAR(34)),$A114)),ISNUMBER(SEARCH(_xlfn.CONCAT(CHAR(34),CHAR(39)),$A114))),_xlfn.CONCAT("* REVIEW REQUIRED: compound-quote delimiter in Codebook Section on Sheet 1 row ",114,"; edit the input before running."),_xlfn.CONCAT("char ",TRIM($B114),"[doc_section] ",CHAR(96),CHAR(34),SUBSTITUTE(SUBSTITUTE(SUBSTITUTE(SUBSTITUTE(SUBSTITUTE(SUBSTITUTE($A114,CHAR(13)," "),CHAR(10)," "),CHAR(9)," "),CHAR(92),_xlfn.CONCAT(CHAR(92),CHAR(92))),"$",_xlfn.CONCAT(CHAR(92),"$")),CHAR(96),_xlfn.CONCAT(CHAR(92),CHAR(96))),CHAR(34),CHAR(39))))</f>
        <v/>
      </c>
      <c r="M114" s="5" t="str">
        <f>IF(OR(TRIM($B114)="",$C114=""),"",IF(IFERROR(MATCH(TRIM($C114),{"Quantitative","Continuous","Discrete","Categorical","Nominal","Ordinal","Identifier"},0),0)=0,_xlfn.CONCAT("* REVIEW REQUIRED: invalid Variable Type on Sheet 1 row ",114,"."),_xlfn.CONCAT("char ",TRIM($B114),"[doc_vartype] ",CHAR(96),CHAR(34),SUBSTITUTE(SUBSTITUTE(SUBSTITUTE(SUBSTITUTE(SUBSTITUTE(SUBSTITUTE(LOWER(TRIM($C114)),CHAR(13)," "),CHAR(10)," "),CHAR(9)," "),CHAR(92),_xlfn.CONCAT(CHAR(92),CHAR(92))),"$",_xlfn.CONCAT(CHAR(92),"$")),CHAR(96),_xlfn.CONCAT(CHAR(92),CHAR(96))),CHAR(34),CHAR(39))))</f>
        <v/>
      </c>
      <c r="N114" s="5" t="str">
        <f>IF(OR(TRIM($B114)="",$D114=""),"",IF(OR(ISNUMBER(SEARCH(_xlfn.CONCAT(CHAR(96),CHAR(34)),$D114)),ISNUMBER(SEARCH(_xlfn.CONCAT(CHAR(34),CHAR(39)),$D114))),_xlfn.CONCAT("* REVIEW REQUIRED: compound-quote delimiter in Item Number on Sheet 1 row ",114,"; edit the input before running."),_xlfn.CONCAT("char ",TRIM($B114),"[doc_itemnum] ",CHAR(96),CHAR(34),SUBSTITUTE(SUBSTITUTE(SUBSTITUTE(SUBSTITUTE(SUBSTITUTE(SUBSTITUTE($D114,CHAR(13)," "),CHAR(10)," "),CHAR(9)," "),CHAR(92),_xlfn.CONCAT(CHAR(92),CHAR(92))),"$",_xlfn.CONCAT(CHAR(92),"$")),CHAR(96),_xlfn.CONCAT(CHAR(92),CHAR(96))),CHAR(34),CHAR(39))))</f>
        <v/>
      </c>
      <c r="O114" s="5" t="str">
        <f>IF(OR(TRIM($B114)="",$E114=""),"",IF(OR(ISNUMBER(SEARCH(_xlfn.CONCAT(CHAR(96),CHAR(34)),$E114)),ISNUMBER(SEARCH(_xlfn.CONCAT(CHAR(34),CHAR(39)),$E114))),_xlfn.CONCAT("* REVIEW REQUIRED: compound-quote delimiter in Question Wording on Sheet 1 row ",114,"; edit the input before running."),_xlfn.CONCAT("char ",TRIM($B114),"[doc_question] ",CHAR(96),CHAR(34),SUBSTITUTE(SUBSTITUTE(SUBSTITUTE(SUBSTITUTE(SUBSTITUTE(SUBSTITUTE($E114,CHAR(13)," "),CHAR(10)," "),CHAR(9)," "),CHAR(92),_xlfn.CONCAT(CHAR(92),CHAR(92))),"$",_xlfn.CONCAT(CHAR(92),"$")),CHAR(96),_xlfn.CONCAT(CHAR(92),CHAR(96))),CHAR(34),CHAR(39))))</f>
        <v/>
      </c>
      <c r="P114" s="5" t="str">
        <f>IF(OR(TRIM($B114)="",$F114=""),"",IF(OR(ISNUMBER(SEARCH(_xlfn.CONCAT(CHAR(96),CHAR(34)),$F114)),ISNUMBER(SEARCH(_xlfn.CONCAT(CHAR(34),CHAR(39)),$F114))),_xlfn.CONCAT("* REVIEW REQUIRED: compound-quote delimiter in Units on Sheet 1 row ",114,"; edit the input before running."),_xlfn.CONCAT("char ",TRIM($B114),"[doc_units] ",CHAR(96),CHAR(34),SUBSTITUTE(SUBSTITUTE(SUBSTITUTE(SUBSTITUTE(SUBSTITUTE(SUBSTITUTE($F114,CHAR(13)," "),CHAR(10)," "),CHAR(9)," "),CHAR(92),_xlfn.CONCAT(CHAR(92),CHAR(92))),"$",_xlfn.CONCAT(CHAR(92),"$")),CHAR(96),_xlfn.CONCAT(CHAR(92),CHAR(96))),CHAR(34),CHAR(39))))</f>
        <v/>
      </c>
      <c r="Q114" s="5" t="str">
        <f>IF(OR(TRIM($B114)="",$G114=""),"",IF(OR(ISNUMBER(SEARCH(_xlfn.CONCAT(CHAR(96),CHAR(34)),$G114)),ISNUMBER(SEARCH(_xlfn.CONCAT(CHAR(34),CHAR(39)),$G114))),_xlfn.CONCAT("* REVIEW REQUIRED: compound-quote delimiter in Universe on Sheet 1 row ",114,"; edit the input before running."),_xlfn.CONCAT("char ",TRIM($B114),"[doc_universe] ",CHAR(96),CHAR(34),SUBSTITUTE(SUBSTITUTE(SUBSTITUTE(SUBSTITUTE(SUBSTITUTE(SUBSTITUTE($G114,CHAR(13)," "),CHAR(10)," "),CHAR(9)," "),CHAR(92),_xlfn.CONCAT(CHAR(92),CHAR(92))),"$",_xlfn.CONCAT(CHAR(92),"$")),CHAR(96),_xlfn.CONCAT(CHAR(92),CHAR(96))),CHAR(34),CHAR(39))))</f>
        <v/>
      </c>
      <c r="R114" s="5" t="str">
        <f>IF(OR(TRIM($B114)="",$H114=""),"",IF(OR(ISNUMBER(SEARCH(_xlfn.CONCAT(CHAR(96),CHAR(34)),$H114)),ISNUMBER(SEARCH(_xlfn.CONCAT(CHAR(34),CHAR(39)),$H114))),_xlfn.CONCAT("* REVIEW REQUIRED: compound-quote delimiter in Source on Sheet 1 row ",114,"; edit the input before running."),_xlfn.CONCAT("char ",TRIM($B114),"[doc_source] ",CHAR(96),CHAR(34),SUBSTITUTE(SUBSTITUTE(SUBSTITUTE(SUBSTITUTE(SUBSTITUTE(SUBSTITUTE($H114,CHAR(13)," "),CHAR(10)," "),CHAR(9)," "),CHAR(92),_xlfn.CONCAT(CHAR(92),CHAR(92))),"$",_xlfn.CONCAT(CHAR(92),"$")),CHAR(96),_xlfn.CONCAT(CHAR(92),CHAR(96))),CHAR(34),CHAR(39))))</f>
        <v/>
      </c>
      <c r="S114" s="5" t="str">
        <f>IF(OR(TRIM($B114)="",$I114=""),"",IF(OR(ISNUMBER(SEARCH(_xlfn.CONCAT(CHAR(96),CHAR(34)),$I114)),ISNUMBER(SEARCH(_xlfn.CONCAT(CHAR(34),CHAR(39)),$I114))),_xlfn.CONCAT("* REVIEW REQUIRED: compound-quote delimiter in Derivation on Sheet 1 row ",114,"; edit the input before running."),_xlfn.CONCAT("char ",TRIM($B114),"[doc_derivation] ",CHAR(96),CHAR(34),SUBSTITUTE(SUBSTITUTE(SUBSTITUTE(SUBSTITUTE(SUBSTITUTE(SUBSTITUTE($I114,CHAR(13)," "),CHAR(10)," "),CHAR(9)," "),CHAR(92),_xlfn.CONCAT(CHAR(92),CHAR(92))),"$",_xlfn.CONCAT(CHAR(92),"$")),CHAR(96),_xlfn.CONCAT(CHAR(92),CHAR(96))),CHAR(34),CHAR(39))))</f>
        <v/>
      </c>
      <c r="T114" s="5" t="str">
        <f>IF(OR(TRIM($B114)="",$J114=""),"",IF(OR(ISNUMBER(SEARCH(_xlfn.CONCAT(CHAR(96),CHAR(34)),$J114)),ISNUMBER(SEARCH(_xlfn.CONCAT(CHAR(34),CHAR(39)),$J114))),_xlfn.CONCAT("* REVIEW REQUIRED: compound-quote delimiter in Notes on Sheet 1 row ",114,"; edit the input before running."),_xlfn.CONCAT("char ",TRIM($B114),"[doc_notes] ",CHAR(96),CHAR(34),SUBSTITUTE(SUBSTITUTE(SUBSTITUTE(SUBSTITUTE(SUBSTITUTE(SUBSTITUTE($J114,CHAR(13)," "),CHAR(10)," "),CHAR(9)," "),CHAR(92),_xlfn.CONCAT(CHAR(92),CHAR(92))),"$",_xlfn.CONCAT(CHAR(92),"$")),CHAR(96),_xlfn.CONCAT(CHAR(92),CHAR(96))),CHAR(34),CHAR(39))))</f>
        <v/>
      </c>
      <c r="U114" s="5">
        <f t="shared" si="3"/>
        <v>0</v>
      </c>
    </row>
    <row r="115" spans="3:21" ht="30" customHeight="1" x14ac:dyDescent="0.2">
      <c r="C115" s="4"/>
      <c r="K115" s="5">
        <f t="shared" si="2"/>
        <v>0</v>
      </c>
      <c r="L115" s="5" t="str">
        <f>IF(OR(TRIM($B115)="",$A115=""),"",IF(OR(ISNUMBER(SEARCH(_xlfn.CONCAT(CHAR(96),CHAR(34)),$A115)),ISNUMBER(SEARCH(_xlfn.CONCAT(CHAR(34),CHAR(39)),$A115))),_xlfn.CONCAT("* REVIEW REQUIRED: compound-quote delimiter in Codebook Section on Sheet 1 row ",115,"; edit the input before running."),_xlfn.CONCAT("char ",TRIM($B115),"[doc_section] ",CHAR(96),CHAR(34),SUBSTITUTE(SUBSTITUTE(SUBSTITUTE(SUBSTITUTE(SUBSTITUTE(SUBSTITUTE($A115,CHAR(13)," "),CHAR(10)," "),CHAR(9)," "),CHAR(92),_xlfn.CONCAT(CHAR(92),CHAR(92))),"$",_xlfn.CONCAT(CHAR(92),"$")),CHAR(96),_xlfn.CONCAT(CHAR(92),CHAR(96))),CHAR(34),CHAR(39))))</f>
        <v/>
      </c>
      <c r="M115" s="5" t="str">
        <f>IF(OR(TRIM($B115)="",$C115=""),"",IF(IFERROR(MATCH(TRIM($C115),{"Quantitative","Continuous","Discrete","Categorical","Nominal","Ordinal","Identifier"},0),0)=0,_xlfn.CONCAT("* REVIEW REQUIRED: invalid Variable Type on Sheet 1 row ",115,"."),_xlfn.CONCAT("char ",TRIM($B115),"[doc_vartype] ",CHAR(96),CHAR(34),SUBSTITUTE(SUBSTITUTE(SUBSTITUTE(SUBSTITUTE(SUBSTITUTE(SUBSTITUTE(LOWER(TRIM($C115)),CHAR(13)," "),CHAR(10)," "),CHAR(9)," "),CHAR(92),_xlfn.CONCAT(CHAR(92),CHAR(92))),"$",_xlfn.CONCAT(CHAR(92),"$")),CHAR(96),_xlfn.CONCAT(CHAR(92),CHAR(96))),CHAR(34),CHAR(39))))</f>
        <v/>
      </c>
      <c r="N115" s="5" t="str">
        <f>IF(OR(TRIM($B115)="",$D115=""),"",IF(OR(ISNUMBER(SEARCH(_xlfn.CONCAT(CHAR(96),CHAR(34)),$D115)),ISNUMBER(SEARCH(_xlfn.CONCAT(CHAR(34),CHAR(39)),$D115))),_xlfn.CONCAT("* REVIEW REQUIRED: compound-quote delimiter in Item Number on Sheet 1 row ",115,"; edit the input before running."),_xlfn.CONCAT("char ",TRIM($B115),"[doc_itemnum] ",CHAR(96),CHAR(34),SUBSTITUTE(SUBSTITUTE(SUBSTITUTE(SUBSTITUTE(SUBSTITUTE(SUBSTITUTE($D115,CHAR(13)," "),CHAR(10)," "),CHAR(9)," "),CHAR(92),_xlfn.CONCAT(CHAR(92),CHAR(92))),"$",_xlfn.CONCAT(CHAR(92),"$")),CHAR(96),_xlfn.CONCAT(CHAR(92),CHAR(96))),CHAR(34),CHAR(39))))</f>
        <v/>
      </c>
      <c r="O115" s="5" t="str">
        <f>IF(OR(TRIM($B115)="",$E115=""),"",IF(OR(ISNUMBER(SEARCH(_xlfn.CONCAT(CHAR(96),CHAR(34)),$E115)),ISNUMBER(SEARCH(_xlfn.CONCAT(CHAR(34),CHAR(39)),$E115))),_xlfn.CONCAT("* REVIEW REQUIRED: compound-quote delimiter in Question Wording on Sheet 1 row ",115,"; edit the input before running."),_xlfn.CONCAT("char ",TRIM($B115),"[doc_question] ",CHAR(96),CHAR(34),SUBSTITUTE(SUBSTITUTE(SUBSTITUTE(SUBSTITUTE(SUBSTITUTE(SUBSTITUTE($E115,CHAR(13)," "),CHAR(10)," "),CHAR(9)," "),CHAR(92),_xlfn.CONCAT(CHAR(92),CHAR(92))),"$",_xlfn.CONCAT(CHAR(92),"$")),CHAR(96),_xlfn.CONCAT(CHAR(92),CHAR(96))),CHAR(34),CHAR(39))))</f>
        <v/>
      </c>
      <c r="P115" s="5" t="str">
        <f>IF(OR(TRIM($B115)="",$F115=""),"",IF(OR(ISNUMBER(SEARCH(_xlfn.CONCAT(CHAR(96),CHAR(34)),$F115)),ISNUMBER(SEARCH(_xlfn.CONCAT(CHAR(34),CHAR(39)),$F115))),_xlfn.CONCAT("* REVIEW REQUIRED: compound-quote delimiter in Units on Sheet 1 row ",115,"; edit the input before running."),_xlfn.CONCAT("char ",TRIM($B115),"[doc_units] ",CHAR(96),CHAR(34),SUBSTITUTE(SUBSTITUTE(SUBSTITUTE(SUBSTITUTE(SUBSTITUTE(SUBSTITUTE($F115,CHAR(13)," "),CHAR(10)," "),CHAR(9)," "),CHAR(92),_xlfn.CONCAT(CHAR(92),CHAR(92))),"$",_xlfn.CONCAT(CHAR(92),"$")),CHAR(96),_xlfn.CONCAT(CHAR(92),CHAR(96))),CHAR(34),CHAR(39))))</f>
        <v/>
      </c>
      <c r="Q115" s="5" t="str">
        <f>IF(OR(TRIM($B115)="",$G115=""),"",IF(OR(ISNUMBER(SEARCH(_xlfn.CONCAT(CHAR(96),CHAR(34)),$G115)),ISNUMBER(SEARCH(_xlfn.CONCAT(CHAR(34),CHAR(39)),$G115))),_xlfn.CONCAT("* REVIEW REQUIRED: compound-quote delimiter in Universe on Sheet 1 row ",115,"; edit the input before running."),_xlfn.CONCAT("char ",TRIM($B115),"[doc_universe] ",CHAR(96),CHAR(34),SUBSTITUTE(SUBSTITUTE(SUBSTITUTE(SUBSTITUTE(SUBSTITUTE(SUBSTITUTE($G115,CHAR(13)," "),CHAR(10)," "),CHAR(9)," "),CHAR(92),_xlfn.CONCAT(CHAR(92),CHAR(92))),"$",_xlfn.CONCAT(CHAR(92),"$")),CHAR(96),_xlfn.CONCAT(CHAR(92),CHAR(96))),CHAR(34),CHAR(39))))</f>
        <v/>
      </c>
      <c r="R115" s="5" t="str">
        <f>IF(OR(TRIM($B115)="",$H115=""),"",IF(OR(ISNUMBER(SEARCH(_xlfn.CONCAT(CHAR(96),CHAR(34)),$H115)),ISNUMBER(SEARCH(_xlfn.CONCAT(CHAR(34),CHAR(39)),$H115))),_xlfn.CONCAT("* REVIEW REQUIRED: compound-quote delimiter in Source on Sheet 1 row ",115,"; edit the input before running."),_xlfn.CONCAT("char ",TRIM($B115),"[doc_source] ",CHAR(96),CHAR(34),SUBSTITUTE(SUBSTITUTE(SUBSTITUTE(SUBSTITUTE(SUBSTITUTE(SUBSTITUTE($H115,CHAR(13)," "),CHAR(10)," "),CHAR(9)," "),CHAR(92),_xlfn.CONCAT(CHAR(92),CHAR(92))),"$",_xlfn.CONCAT(CHAR(92),"$")),CHAR(96),_xlfn.CONCAT(CHAR(92),CHAR(96))),CHAR(34),CHAR(39))))</f>
        <v/>
      </c>
      <c r="S115" s="5" t="str">
        <f>IF(OR(TRIM($B115)="",$I115=""),"",IF(OR(ISNUMBER(SEARCH(_xlfn.CONCAT(CHAR(96),CHAR(34)),$I115)),ISNUMBER(SEARCH(_xlfn.CONCAT(CHAR(34),CHAR(39)),$I115))),_xlfn.CONCAT("* REVIEW REQUIRED: compound-quote delimiter in Derivation on Sheet 1 row ",115,"; edit the input before running."),_xlfn.CONCAT("char ",TRIM($B115),"[doc_derivation] ",CHAR(96),CHAR(34),SUBSTITUTE(SUBSTITUTE(SUBSTITUTE(SUBSTITUTE(SUBSTITUTE(SUBSTITUTE($I115,CHAR(13)," "),CHAR(10)," "),CHAR(9)," "),CHAR(92),_xlfn.CONCAT(CHAR(92),CHAR(92))),"$",_xlfn.CONCAT(CHAR(92),"$")),CHAR(96),_xlfn.CONCAT(CHAR(92),CHAR(96))),CHAR(34),CHAR(39))))</f>
        <v/>
      </c>
      <c r="T115" s="5" t="str">
        <f>IF(OR(TRIM($B115)="",$J115=""),"",IF(OR(ISNUMBER(SEARCH(_xlfn.CONCAT(CHAR(96),CHAR(34)),$J115)),ISNUMBER(SEARCH(_xlfn.CONCAT(CHAR(34),CHAR(39)),$J115))),_xlfn.CONCAT("* REVIEW REQUIRED: compound-quote delimiter in Notes on Sheet 1 row ",115,"; edit the input before running."),_xlfn.CONCAT("char ",TRIM($B115),"[doc_notes] ",CHAR(96),CHAR(34),SUBSTITUTE(SUBSTITUTE(SUBSTITUTE(SUBSTITUTE(SUBSTITUTE(SUBSTITUTE($J115,CHAR(13)," "),CHAR(10)," "),CHAR(9)," "),CHAR(92),_xlfn.CONCAT(CHAR(92),CHAR(92))),"$",_xlfn.CONCAT(CHAR(92),"$")),CHAR(96),_xlfn.CONCAT(CHAR(92),CHAR(96))),CHAR(34),CHAR(39))))</f>
        <v/>
      </c>
      <c r="U115" s="5">
        <f t="shared" si="3"/>
        <v>0</v>
      </c>
    </row>
    <row r="116" spans="3:21" ht="30" customHeight="1" x14ac:dyDescent="0.2">
      <c r="C116" s="4"/>
      <c r="K116" s="5">
        <f t="shared" si="2"/>
        <v>0</v>
      </c>
      <c r="L116" s="5" t="str">
        <f>IF(OR(TRIM($B116)="",$A116=""),"",IF(OR(ISNUMBER(SEARCH(_xlfn.CONCAT(CHAR(96),CHAR(34)),$A116)),ISNUMBER(SEARCH(_xlfn.CONCAT(CHAR(34),CHAR(39)),$A116))),_xlfn.CONCAT("* REVIEW REQUIRED: compound-quote delimiter in Codebook Section on Sheet 1 row ",116,"; edit the input before running."),_xlfn.CONCAT("char ",TRIM($B116),"[doc_section] ",CHAR(96),CHAR(34),SUBSTITUTE(SUBSTITUTE(SUBSTITUTE(SUBSTITUTE(SUBSTITUTE(SUBSTITUTE($A116,CHAR(13)," "),CHAR(10)," "),CHAR(9)," "),CHAR(92),_xlfn.CONCAT(CHAR(92),CHAR(92))),"$",_xlfn.CONCAT(CHAR(92),"$")),CHAR(96),_xlfn.CONCAT(CHAR(92),CHAR(96))),CHAR(34),CHAR(39))))</f>
        <v/>
      </c>
      <c r="M116" s="5" t="str">
        <f>IF(OR(TRIM($B116)="",$C116=""),"",IF(IFERROR(MATCH(TRIM($C116),{"Quantitative","Continuous","Discrete","Categorical","Nominal","Ordinal","Identifier"},0),0)=0,_xlfn.CONCAT("* REVIEW REQUIRED: invalid Variable Type on Sheet 1 row ",116,"."),_xlfn.CONCAT("char ",TRIM($B116),"[doc_vartype] ",CHAR(96),CHAR(34),SUBSTITUTE(SUBSTITUTE(SUBSTITUTE(SUBSTITUTE(SUBSTITUTE(SUBSTITUTE(LOWER(TRIM($C116)),CHAR(13)," "),CHAR(10)," "),CHAR(9)," "),CHAR(92),_xlfn.CONCAT(CHAR(92),CHAR(92))),"$",_xlfn.CONCAT(CHAR(92),"$")),CHAR(96),_xlfn.CONCAT(CHAR(92),CHAR(96))),CHAR(34),CHAR(39))))</f>
        <v/>
      </c>
      <c r="N116" s="5" t="str">
        <f>IF(OR(TRIM($B116)="",$D116=""),"",IF(OR(ISNUMBER(SEARCH(_xlfn.CONCAT(CHAR(96),CHAR(34)),$D116)),ISNUMBER(SEARCH(_xlfn.CONCAT(CHAR(34),CHAR(39)),$D116))),_xlfn.CONCAT("* REVIEW REQUIRED: compound-quote delimiter in Item Number on Sheet 1 row ",116,"; edit the input before running."),_xlfn.CONCAT("char ",TRIM($B116),"[doc_itemnum] ",CHAR(96),CHAR(34),SUBSTITUTE(SUBSTITUTE(SUBSTITUTE(SUBSTITUTE(SUBSTITUTE(SUBSTITUTE($D116,CHAR(13)," "),CHAR(10)," "),CHAR(9)," "),CHAR(92),_xlfn.CONCAT(CHAR(92),CHAR(92))),"$",_xlfn.CONCAT(CHAR(92),"$")),CHAR(96),_xlfn.CONCAT(CHAR(92),CHAR(96))),CHAR(34),CHAR(39))))</f>
        <v/>
      </c>
      <c r="O116" s="5" t="str">
        <f>IF(OR(TRIM($B116)="",$E116=""),"",IF(OR(ISNUMBER(SEARCH(_xlfn.CONCAT(CHAR(96),CHAR(34)),$E116)),ISNUMBER(SEARCH(_xlfn.CONCAT(CHAR(34),CHAR(39)),$E116))),_xlfn.CONCAT("* REVIEW REQUIRED: compound-quote delimiter in Question Wording on Sheet 1 row ",116,"; edit the input before running."),_xlfn.CONCAT("char ",TRIM($B116),"[doc_question] ",CHAR(96),CHAR(34),SUBSTITUTE(SUBSTITUTE(SUBSTITUTE(SUBSTITUTE(SUBSTITUTE(SUBSTITUTE($E116,CHAR(13)," "),CHAR(10)," "),CHAR(9)," "),CHAR(92),_xlfn.CONCAT(CHAR(92),CHAR(92))),"$",_xlfn.CONCAT(CHAR(92),"$")),CHAR(96),_xlfn.CONCAT(CHAR(92),CHAR(96))),CHAR(34),CHAR(39))))</f>
        <v/>
      </c>
      <c r="P116" s="5" t="str">
        <f>IF(OR(TRIM($B116)="",$F116=""),"",IF(OR(ISNUMBER(SEARCH(_xlfn.CONCAT(CHAR(96),CHAR(34)),$F116)),ISNUMBER(SEARCH(_xlfn.CONCAT(CHAR(34),CHAR(39)),$F116))),_xlfn.CONCAT("* REVIEW REQUIRED: compound-quote delimiter in Units on Sheet 1 row ",116,"; edit the input before running."),_xlfn.CONCAT("char ",TRIM($B116),"[doc_units] ",CHAR(96),CHAR(34),SUBSTITUTE(SUBSTITUTE(SUBSTITUTE(SUBSTITUTE(SUBSTITUTE(SUBSTITUTE($F116,CHAR(13)," "),CHAR(10)," "),CHAR(9)," "),CHAR(92),_xlfn.CONCAT(CHAR(92),CHAR(92))),"$",_xlfn.CONCAT(CHAR(92),"$")),CHAR(96),_xlfn.CONCAT(CHAR(92),CHAR(96))),CHAR(34),CHAR(39))))</f>
        <v/>
      </c>
      <c r="Q116" s="5" t="str">
        <f>IF(OR(TRIM($B116)="",$G116=""),"",IF(OR(ISNUMBER(SEARCH(_xlfn.CONCAT(CHAR(96),CHAR(34)),$G116)),ISNUMBER(SEARCH(_xlfn.CONCAT(CHAR(34),CHAR(39)),$G116))),_xlfn.CONCAT("* REVIEW REQUIRED: compound-quote delimiter in Universe on Sheet 1 row ",116,"; edit the input before running."),_xlfn.CONCAT("char ",TRIM($B116),"[doc_universe] ",CHAR(96),CHAR(34),SUBSTITUTE(SUBSTITUTE(SUBSTITUTE(SUBSTITUTE(SUBSTITUTE(SUBSTITUTE($G116,CHAR(13)," "),CHAR(10)," "),CHAR(9)," "),CHAR(92),_xlfn.CONCAT(CHAR(92),CHAR(92))),"$",_xlfn.CONCAT(CHAR(92),"$")),CHAR(96),_xlfn.CONCAT(CHAR(92),CHAR(96))),CHAR(34),CHAR(39))))</f>
        <v/>
      </c>
      <c r="R116" s="5" t="str">
        <f>IF(OR(TRIM($B116)="",$H116=""),"",IF(OR(ISNUMBER(SEARCH(_xlfn.CONCAT(CHAR(96),CHAR(34)),$H116)),ISNUMBER(SEARCH(_xlfn.CONCAT(CHAR(34),CHAR(39)),$H116))),_xlfn.CONCAT("* REVIEW REQUIRED: compound-quote delimiter in Source on Sheet 1 row ",116,"; edit the input before running."),_xlfn.CONCAT("char ",TRIM($B116),"[doc_source] ",CHAR(96),CHAR(34),SUBSTITUTE(SUBSTITUTE(SUBSTITUTE(SUBSTITUTE(SUBSTITUTE(SUBSTITUTE($H116,CHAR(13)," "),CHAR(10)," "),CHAR(9)," "),CHAR(92),_xlfn.CONCAT(CHAR(92),CHAR(92))),"$",_xlfn.CONCAT(CHAR(92),"$")),CHAR(96),_xlfn.CONCAT(CHAR(92),CHAR(96))),CHAR(34),CHAR(39))))</f>
        <v/>
      </c>
      <c r="S116" s="5" t="str">
        <f>IF(OR(TRIM($B116)="",$I116=""),"",IF(OR(ISNUMBER(SEARCH(_xlfn.CONCAT(CHAR(96),CHAR(34)),$I116)),ISNUMBER(SEARCH(_xlfn.CONCAT(CHAR(34),CHAR(39)),$I116))),_xlfn.CONCAT("* REVIEW REQUIRED: compound-quote delimiter in Derivation on Sheet 1 row ",116,"; edit the input before running."),_xlfn.CONCAT("char ",TRIM($B116),"[doc_derivation] ",CHAR(96),CHAR(34),SUBSTITUTE(SUBSTITUTE(SUBSTITUTE(SUBSTITUTE(SUBSTITUTE(SUBSTITUTE($I116,CHAR(13)," "),CHAR(10)," "),CHAR(9)," "),CHAR(92),_xlfn.CONCAT(CHAR(92),CHAR(92))),"$",_xlfn.CONCAT(CHAR(92),"$")),CHAR(96),_xlfn.CONCAT(CHAR(92),CHAR(96))),CHAR(34),CHAR(39))))</f>
        <v/>
      </c>
      <c r="T116" s="5" t="str">
        <f>IF(OR(TRIM($B116)="",$J116=""),"",IF(OR(ISNUMBER(SEARCH(_xlfn.CONCAT(CHAR(96),CHAR(34)),$J116)),ISNUMBER(SEARCH(_xlfn.CONCAT(CHAR(34),CHAR(39)),$J116))),_xlfn.CONCAT("* REVIEW REQUIRED: compound-quote delimiter in Notes on Sheet 1 row ",116,"; edit the input before running."),_xlfn.CONCAT("char ",TRIM($B116),"[doc_notes] ",CHAR(96),CHAR(34),SUBSTITUTE(SUBSTITUTE(SUBSTITUTE(SUBSTITUTE(SUBSTITUTE(SUBSTITUTE($J116,CHAR(13)," "),CHAR(10)," "),CHAR(9)," "),CHAR(92),_xlfn.CONCAT(CHAR(92),CHAR(92))),"$",_xlfn.CONCAT(CHAR(92),"$")),CHAR(96),_xlfn.CONCAT(CHAR(92),CHAR(96))),CHAR(34),CHAR(39))))</f>
        <v/>
      </c>
      <c r="U116" s="5">
        <f t="shared" si="3"/>
        <v>0</v>
      </c>
    </row>
    <row r="117" spans="3:21" ht="30" customHeight="1" x14ac:dyDescent="0.2">
      <c r="C117" s="4"/>
      <c r="K117" s="5">
        <f t="shared" si="2"/>
        <v>0</v>
      </c>
      <c r="L117" s="5" t="str">
        <f>IF(OR(TRIM($B117)="",$A117=""),"",IF(OR(ISNUMBER(SEARCH(_xlfn.CONCAT(CHAR(96),CHAR(34)),$A117)),ISNUMBER(SEARCH(_xlfn.CONCAT(CHAR(34),CHAR(39)),$A117))),_xlfn.CONCAT("* REVIEW REQUIRED: compound-quote delimiter in Codebook Section on Sheet 1 row ",117,"; edit the input before running."),_xlfn.CONCAT("char ",TRIM($B117),"[doc_section] ",CHAR(96),CHAR(34),SUBSTITUTE(SUBSTITUTE(SUBSTITUTE(SUBSTITUTE(SUBSTITUTE(SUBSTITUTE($A117,CHAR(13)," "),CHAR(10)," "),CHAR(9)," "),CHAR(92),_xlfn.CONCAT(CHAR(92),CHAR(92))),"$",_xlfn.CONCAT(CHAR(92),"$")),CHAR(96),_xlfn.CONCAT(CHAR(92),CHAR(96))),CHAR(34),CHAR(39))))</f>
        <v/>
      </c>
      <c r="M117" s="5" t="str">
        <f>IF(OR(TRIM($B117)="",$C117=""),"",IF(IFERROR(MATCH(TRIM($C117),{"Quantitative","Continuous","Discrete","Categorical","Nominal","Ordinal","Identifier"},0),0)=0,_xlfn.CONCAT("* REVIEW REQUIRED: invalid Variable Type on Sheet 1 row ",117,"."),_xlfn.CONCAT("char ",TRIM($B117),"[doc_vartype] ",CHAR(96),CHAR(34),SUBSTITUTE(SUBSTITUTE(SUBSTITUTE(SUBSTITUTE(SUBSTITUTE(SUBSTITUTE(LOWER(TRIM($C117)),CHAR(13)," "),CHAR(10)," "),CHAR(9)," "),CHAR(92),_xlfn.CONCAT(CHAR(92),CHAR(92))),"$",_xlfn.CONCAT(CHAR(92),"$")),CHAR(96),_xlfn.CONCAT(CHAR(92),CHAR(96))),CHAR(34),CHAR(39))))</f>
        <v/>
      </c>
      <c r="N117" s="5" t="str">
        <f>IF(OR(TRIM($B117)="",$D117=""),"",IF(OR(ISNUMBER(SEARCH(_xlfn.CONCAT(CHAR(96),CHAR(34)),$D117)),ISNUMBER(SEARCH(_xlfn.CONCAT(CHAR(34),CHAR(39)),$D117))),_xlfn.CONCAT("* REVIEW REQUIRED: compound-quote delimiter in Item Number on Sheet 1 row ",117,"; edit the input before running."),_xlfn.CONCAT("char ",TRIM($B117),"[doc_itemnum] ",CHAR(96),CHAR(34),SUBSTITUTE(SUBSTITUTE(SUBSTITUTE(SUBSTITUTE(SUBSTITUTE(SUBSTITUTE($D117,CHAR(13)," "),CHAR(10)," "),CHAR(9)," "),CHAR(92),_xlfn.CONCAT(CHAR(92),CHAR(92))),"$",_xlfn.CONCAT(CHAR(92),"$")),CHAR(96),_xlfn.CONCAT(CHAR(92),CHAR(96))),CHAR(34),CHAR(39))))</f>
        <v/>
      </c>
      <c r="O117" s="5" t="str">
        <f>IF(OR(TRIM($B117)="",$E117=""),"",IF(OR(ISNUMBER(SEARCH(_xlfn.CONCAT(CHAR(96),CHAR(34)),$E117)),ISNUMBER(SEARCH(_xlfn.CONCAT(CHAR(34),CHAR(39)),$E117))),_xlfn.CONCAT("* REVIEW REQUIRED: compound-quote delimiter in Question Wording on Sheet 1 row ",117,"; edit the input before running."),_xlfn.CONCAT("char ",TRIM($B117),"[doc_question] ",CHAR(96),CHAR(34),SUBSTITUTE(SUBSTITUTE(SUBSTITUTE(SUBSTITUTE(SUBSTITUTE(SUBSTITUTE($E117,CHAR(13)," "),CHAR(10)," "),CHAR(9)," "),CHAR(92),_xlfn.CONCAT(CHAR(92),CHAR(92))),"$",_xlfn.CONCAT(CHAR(92),"$")),CHAR(96),_xlfn.CONCAT(CHAR(92),CHAR(96))),CHAR(34),CHAR(39))))</f>
        <v/>
      </c>
      <c r="P117" s="5" t="str">
        <f>IF(OR(TRIM($B117)="",$F117=""),"",IF(OR(ISNUMBER(SEARCH(_xlfn.CONCAT(CHAR(96),CHAR(34)),$F117)),ISNUMBER(SEARCH(_xlfn.CONCAT(CHAR(34),CHAR(39)),$F117))),_xlfn.CONCAT("* REVIEW REQUIRED: compound-quote delimiter in Units on Sheet 1 row ",117,"; edit the input before running."),_xlfn.CONCAT("char ",TRIM($B117),"[doc_units] ",CHAR(96),CHAR(34),SUBSTITUTE(SUBSTITUTE(SUBSTITUTE(SUBSTITUTE(SUBSTITUTE(SUBSTITUTE($F117,CHAR(13)," "),CHAR(10)," "),CHAR(9)," "),CHAR(92),_xlfn.CONCAT(CHAR(92),CHAR(92))),"$",_xlfn.CONCAT(CHAR(92),"$")),CHAR(96),_xlfn.CONCAT(CHAR(92),CHAR(96))),CHAR(34),CHAR(39))))</f>
        <v/>
      </c>
      <c r="Q117" s="5" t="str">
        <f>IF(OR(TRIM($B117)="",$G117=""),"",IF(OR(ISNUMBER(SEARCH(_xlfn.CONCAT(CHAR(96),CHAR(34)),$G117)),ISNUMBER(SEARCH(_xlfn.CONCAT(CHAR(34),CHAR(39)),$G117))),_xlfn.CONCAT("* REVIEW REQUIRED: compound-quote delimiter in Universe on Sheet 1 row ",117,"; edit the input before running."),_xlfn.CONCAT("char ",TRIM($B117),"[doc_universe] ",CHAR(96),CHAR(34),SUBSTITUTE(SUBSTITUTE(SUBSTITUTE(SUBSTITUTE(SUBSTITUTE(SUBSTITUTE($G117,CHAR(13)," "),CHAR(10)," "),CHAR(9)," "),CHAR(92),_xlfn.CONCAT(CHAR(92),CHAR(92))),"$",_xlfn.CONCAT(CHAR(92),"$")),CHAR(96),_xlfn.CONCAT(CHAR(92),CHAR(96))),CHAR(34),CHAR(39))))</f>
        <v/>
      </c>
      <c r="R117" s="5" t="str">
        <f>IF(OR(TRIM($B117)="",$H117=""),"",IF(OR(ISNUMBER(SEARCH(_xlfn.CONCAT(CHAR(96),CHAR(34)),$H117)),ISNUMBER(SEARCH(_xlfn.CONCAT(CHAR(34),CHAR(39)),$H117))),_xlfn.CONCAT("* REVIEW REQUIRED: compound-quote delimiter in Source on Sheet 1 row ",117,"; edit the input before running."),_xlfn.CONCAT("char ",TRIM($B117),"[doc_source] ",CHAR(96),CHAR(34),SUBSTITUTE(SUBSTITUTE(SUBSTITUTE(SUBSTITUTE(SUBSTITUTE(SUBSTITUTE($H117,CHAR(13)," "),CHAR(10)," "),CHAR(9)," "),CHAR(92),_xlfn.CONCAT(CHAR(92),CHAR(92))),"$",_xlfn.CONCAT(CHAR(92),"$")),CHAR(96),_xlfn.CONCAT(CHAR(92),CHAR(96))),CHAR(34),CHAR(39))))</f>
        <v/>
      </c>
      <c r="S117" s="5" t="str">
        <f>IF(OR(TRIM($B117)="",$I117=""),"",IF(OR(ISNUMBER(SEARCH(_xlfn.CONCAT(CHAR(96),CHAR(34)),$I117)),ISNUMBER(SEARCH(_xlfn.CONCAT(CHAR(34),CHAR(39)),$I117))),_xlfn.CONCAT("* REVIEW REQUIRED: compound-quote delimiter in Derivation on Sheet 1 row ",117,"; edit the input before running."),_xlfn.CONCAT("char ",TRIM($B117),"[doc_derivation] ",CHAR(96),CHAR(34),SUBSTITUTE(SUBSTITUTE(SUBSTITUTE(SUBSTITUTE(SUBSTITUTE(SUBSTITUTE($I117,CHAR(13)," "),CHAR(10)," "),CHAR(9)," "),CHAR(92),_xlfn.CONCAT(CHAR(92),CHAR(92))),"$",_xlfn.CONCAT(CHAR(92),"$")),CHAR(96),_xlfn.CONCAT(CHAR(92),CHAR(96))),CHAR(34),CHAR(39))))</f>
        <v/>
      </c>
      <c r="T117" s="5" t="str">
        <f>IF(OR(TRIM($B117)="",$J117=""),"",IF(OR(ISNUMBER(SEARCH(_xlfn.CONCAT(CHAR(96),CHAR(34)),$J117)),ISNUMBER(SEARCH(_xlfn.CONCAT(CHAR(34),CHAR(39)),$J117))),_xlfn.CONCAT("* REVIEW REQUIRED: compound-quote delimiter in Notes on Sheet 1 row ",117,"; edit the input before running."),_xlfn.CONCAT("char ",TRIM($B117),"[doc_notes] ",CHAR(96),CHAR(34),SUBSTITUTE(SUBSTITUTE(SUBSTITUTE(SUBSTITUTE(SUBSTITUTE(SUBSTITUTE($J117,CHAR(13)," "),CHAR(10)," "),CHAR(9)," "),CHAR(92),_xlfn.CONCAT(CHAR(92),CHAR(92))),"$",_xlfn.CONCAT(CHAR(92),"$")),CHAR(96),_xlfn.CONCAT(CHAR(92),CHAR(96))),CHAR(34),CHAR(39))))</f>
        <v/>
      </c>
      <c r="U117" s="5">
        <f t="shared" si="3"/>
        <v>0</v>
      </c>
    </row>
    <row r="118" spans="3:21" ht="30" customHeight="1" x14ac:dyDescent="0.2">
      <c r="C118" s="4"/>
      <c r="K118" s="5">
        <f t="shared" si="2"/>
        <v>0</v>
      </c>
      <c r="L118" s="5" t="str">
        <f>IF(OR(TRIM($B118)="",$A118=""),"",IF(OR(ISNUMBER(SEARCH(_xlfn.CONCAT(CHAR(96),CHAR(34)),$A118)),ISNUMBER(SEARCH(_xlfn.CONCAT(CHAR(34),CHAR(39)),$A118))),_xlfn.CONCAT("* REVIEW REQUIRED: compound-quote delimiter in Codebook Section on Sheet 1 row ",118,"; edit the input before running."),_xlfn.CONCAT("char ",TRIM($B118),"[doc_section] ",CHAR(96),CHAR(34),SUBSTITUTE(SUBSTITUTE(SUBSTITUTE(SUBSTITUTE(SUBSTITUTE(SUBSTITUTE($A118,CHAR(13)," "),CHAR(10)," "),CHAR(9)," "),CHAR(92),_xlfn.CONCAT(CHAR(92),CHAR(92))),"$",_xlfn.CONCAT(CHAR(92),"$")),CHAR(96),_xlfn.CONCAT(CHAR(92),CHAR(96))),CHAR(34),CHAR(39))))</f>
        <v/>
      </c>
      <c r="M118" s="5" t="str">
        <f>IF(OR(TRIM($B118)="",$C118=""),"",IF(IFERROR(MATCH(TRIM($C118),{"Quantitative","Continuous","Discrete","Categorical","Nominal","Ordinal","Identifier"},0),0)=0,_xlfn.CONCAT("* REVIEW REQUIRED: invalid Variable Type on Sheet 1 row ",118,"."),_xlfn.CONCAT("char ",TRIM($B118),"[doc_vartype] ",CHAR(96),CHAR(34),SUBSTITUTE(SUBSTITUTE(SUBSTITUTE(SUBSTITUTE(SUBSTITUTE(SUBSTITUTE(LOWER(TRIM($C118)),CHAR(13)," "),CHAR(10)," "),CHAR(9)," "),CHAR(92),_xlfn.CONCAT(CHAR(92),CHAR(92))),"$",_xlfn.CONCAT(CHAR(92),"$")),CHAR(96),_xlfn.CONCAT(CHAR(92),CHAR(96))),CHAR(34),CHAR(39))))</f>
        <v/>
      </c>
      <c r="N118" s="5" t="str">
        <f>IF(OR(TRIM($B118)="",$D118=""),"",IF(OR(ISNUMBER(SEARCH(_xlfn.CONCAT(CHAR(96),CHAR(34)),$D118)),ISNUMBER(SEARCH(_xlfn.CONCAT(CHAR(34),CHAR(39)),$D118))),_xlfn.CONCAT("* REVIEW REQUIRED: compound-quote delimiter in Item Number on Sheet 1 row ",118,"; edit the input before running."),_xlfn.CONCAT("char ",TRIM($B118),"[doc_itemnum] ",CHAR(96),CHAR(34),SUBSTITUTE(SUBSTITUTE(SUBSTITUTE(SUBSTITUTE(SUBSTITUTE(SUBSTITUTE($D118,CHAR(13)," "),CHAR(10)," "),CHAR(9)," "),CHAR(92),_xlfn.CONCAT(CHAR(92),CHAR(92))),"$",_xlfn.CONCAT(CHAR(92),"$")),CHAR(96),_xlfn.CONCAT(CHAR(92),CHAR(96))),CHAR(34),CHAR(39))))</f>
        <v/>
      </c>
      <c r="O118" s="5" t="str">
        <f>IF(OR(TRIM($B118)="",$E118=""),"",IF(OR(ISNUMBER(SEARCH(_xlfn.CONCAT(CHAR(96),CHAR(34)),$E118)),ISNUMBER(SEARCH(_xlfn.CONCAT(CHAR(34),CHAR(39)),$E118))),_xlfn.CONCAT("* REVIEW REQUIRED: compound-quote delimiter in Question Wording on Sheet 1 row ",118,"; edit the input before running."),_xlfn.CONCAT("char ",TRIM($B118),"[doc_question] ",CHAR(96),CHAR(34),SUBSTITUTE(SUBSTITUTE(SUBSTITUTE(SUBSTITUTE(SUBSTITUTE(SUBSTITUTE($E118,CHAR(13)," "),CHAR(10)," "),CHAR(9)," "),CHAR(92),_xlfn.CONCAT(CHAR(92),CHAR(92))),"$",_xlfn.CONCAT(CHAR(92),"$")),CHAR(96),_xlfn.CONCAT(CHAR(92),CHAR(96))),CHAR(34),CHAR(39))))</f>
        <v/>
      </c>
      <c r="P118" s="5" t="str">
        <f>IF(OR(TRIM($B118)="",$F118=""),"",IF(OR(ISNUMBER(SEARCH(_xlfn.CONCAT(CHAR(96),CHAR(34)),$F118)),ISNUMBER(SEARCH(_xlfn.CONCAT(CHAR(34),CHAR(39)),$F118))),_xlfn.CONCAT("* REVIEW REQUIRED: compound-quote delimiter in Units on Sheet 1 row ",118,"; edit the input before running."),_xlfn.CONCAT("char ",TRIM($B118),"[doc_units] ",CHAR(96),CHAR(34),SUBSTITUTE(SUBSTITUTE(SUBSTITUTE(SUBSTITUTE(SUBSTITUTE(SUBSTITUTE($F118,CHAR(13)," "),CHAR(10)," "),CHAR(9)," "),CHAR(92),_xlfn.CONCAT(CHAR(92),CHAR(92))),"$",_xlfn.CONCAT(CHAR(92),"$")),CHAR(96),_xlfn.CONCAT(CHAR(92),CHAR(96))),CHAR(34),CHAR(39))))</f>
        <v/>
      </c>
      <c r="Q118" s="5" t="str">
        <f>IF(OR(TRIM($B118)="",$G118=""),"",IF(OR(ISNUMBER(SEARCH(_xlfn.CONCAT(CHAR(96),CHAR(34)),$G118)),ISNUMBER(SEARCH(_xlfn.CONCAT(CHAR(34),CHAR(39)),$G118))),_xlfn.CONCAT("* REVIEW REQUIRED: compound-quote delimiter in Universe on Sheet 1 row ",118,"; edit the input before running."),_xlfn.CONCAT("char ",TRIM($B118),"[doc_universe] ",CHAR(96),CHAR(34),SUBSTITUTE(SUBSTITUTE(SUBSTITUTE(SUBSTITUTE(SUBSTITUTE(SUBSTITUTE($G118,CHAR(13)," "),CHAR(10)," "),CHAR(9)," "),CHAR(92),_xlfn.CONCAT(CHAR(92),CHAR(92))),"$",_xlfn.CONCAT(CHAR(92),"$")),CHAR(96),_xlfn.CONCAT(CHAR(92),CHAR(96))),CHAR(34),CHAR(39))))</f>
        <v/>
      </c>
      <c r="R118" s="5" t="str">
        <f>IF(OR(TRIM($B118)="",$H118=""),"",IF(OR(ISNUMBER(SEARCH(_xlfn.CONCAT(CHAR(96),CHAR(34)),$H118)),ISNUMBER(SEARCH(_xlfn.CONCAT(CHAR(34),CHAR(39)),$H118))),_xlfn.CONCAT("* REVIEW REQUIRED: compound-quote delimiter in Source on Sheet 1 row ",118,"; edit the input before running."),_xlfn.CONCAT("char ",TRIM($B118),"[doc_source] ",CHAR(96),CHAR(34),SUBSTITUTE(SUBSTITUTE(SUBSTITUTE(SUBSTITUTE(SUBSTITUTE(SUBSTITUTE($H118,CHAR(13)," "),CHAR(10)," "),CHAR(9)," "),CHAR(92),_xlfn.CONCAT(CHAR(92),CHAR(92))),"$",_xlfn.CONCAT(CHAR(92),"$")),CHAR(96),_xlfn.CONCAT(CHAR(92),CHAR(96))),CHAR(34),CHAR(39))))</f>
        <v/>
      </c>
      <c r="S118" s="5" t="str">
        <f>IF(OR(TRIM($B118)="",$I118=""),"",IF(OR(ISNUMBER(SEARCH(_xlfn.CONCAT(CHAR(96),CHAR(34)),$I118)),ISNUMBER(SEARCH(_xlfn.CONCAT(CHAR(34),CHAR(39)),$I118))),_xlfn.CONCAT("* REVIEW REQUIRED: compound-quote delimiter in Derivation on Sheet 1 row ",118,"; edit the input before running."),_xlfn.CONCAT("char ",TRIM($B118),"[doc_derivation] ",CHAR(96),CHAR(34),SUBSTITUTE(SUBSTITUTE(SUBSTITUTE(SUBSTITUTE(SUBSTITUTE(SUBSTITUTE($I118,CHAR(13)," "),CHAR(10)," "),CHAR(9)," "),CHAR(92),_xlfn.CONCAT(CHAR(92),CHAR(92))),"$",_xlfn.CONCAT(CHAR(92),"$")),CHAR(96),_xlfn.CONCAT(CHAR(92),CHAR(96))),CHAR(34),CHAR(39))))</f>
        <v/>
      </c>
      <c r="T118" s="5" t="str">
        <f>IF(OR(TRIM($B118)="",$J118=""),"",IF(OR(ISNUMBER(SEARCH(_xlfn.CONCAT(CHAR(96),CHAR(34)),$J118)),ISNUMBER(SEARCH(_xlfn.CONCAT(CHAR(34),CHAR(39)),$J118))),_xlfn.CONCAT("* REVIEW REQUIRED: compound-quote delimiter in Notes on Sheet 1 row ",118,"; edit the input before running."),_xlfn.CONCAT("char ",TRIM($B118),"[doc_notes] ",CHAR(96),CHAR(34),SUBSTITUTE(SUBSTITUTE(SUBSTITUTE(SUBSTITUTE(SUBSTITUTE(SUBSTITUTE($J118,CHAR(13)," "),CHAR(10)," "),CHAR(9)," "),CHAR(92),_xlfn.CONCAT(CHAR(92),CHAR(92))),"$",_xlfn.CONCAT(CHAR(92),"$")),CHAR(96),_xlfn.CONCAT(CHAR(92),CHAR(96))),CHAR(34),CHAR(39))))</f>
        <v/>
      </c>
      <c r="U118" s="5">
        <f t="shared" si="3"/>
        <v>0</v>
      </c>
    </row>
    <row r="119" spans="3:21" ht="30" customHeight="1" x14ac:dyDescent="0.2">
      <c r="C119" s="4"/>
      <c r="K119" s="5">
        <f t="shared" si="2"/>
        <v>0</v>
      </c>
      <c r="L119" s="5" t="str">
        <f>IF(OR(TRIM($B119)="",$A119=""),"",IF(OR(ISNUMBER(SEARCH(_xlfn.CONCAT(CHAR(96),CHAR(34)),$A119)),ISNUMBER(SEARCH(_xlfn.CONCAT(CHAR(34),CHAR(39)),$A119))),_xlfn.CONCAT("* REVIEW REQUIRED: compound-quote delimiter in Codebook Section on Sheet 1 row ",119,"; edit the input before running."),_xlfn.CONCAT("char ",TRIM($B119),"[doc_section] ",CHAR(96),CHAR(34),SUBSTITUTE(SUBSTITUTE(SUBSTITUTE(SUBSTITUTE(SUBSTITUTE(SUBSTITUTE($A119,CHAR(13)," "),CHAR(10)," "),CHAR(9)," "),CHAR(92),_xlfn.CONCAT(CHAR(92),CHAR(92))),"$",_xlfn.CONCAT(CHAR(92),"$")),CHAR(96),_xlfn.CONCAT(CHAR(92),CHAR(96))),CHAR(34),CHAR(39))))</f>
        <v/>
      </c>
      <c r="M119" s="5" t="str">
        <f>IF(OR(TRIM($B119)="",$C119=""),"",IF(IFERROR(MATCH(TRIM($C119),{"Quantitative","Continuous","Discrete","Categorical","Nominal","Ordinal","Identifier"},0),0)=0,_xlfn.CONCAT("* REVIEW REQUIRED: invalid Variable Type on Sheet 1 row ",119,"."),_xlfn.CONCAT("char ",TRIM($B119),"[doc_vartype] ",CHAR(96),CHAR(34),SUBSTITUTE(SUBSTITUTE(SUBSTITUTE(SUBSTITUTE(SUBSTITUTE(SUBSTITUTE(LOWER(TRIM($C119)),CHAR(13)," "),CHAR(10)," "),CHAR(9)," "),CHAR(92),_xlfn.CONCAT(CHAR(92),CHAR(92))),"$",_xlfn.CONCAT(CHAR(92),"$")),CHAR(96),_xlfn.CONCAT(CHAR(92),CHAR(96))),CHAR(34),CHAR(39))))</f>
        <v/>
      </c>
      <c r="N119" s="5" t="str">
        <f>IF(OR(TRIM($B119)="",$D119=""),"",IF(OR(ISNUMBER(SEARCH(_xlfn.CONCAT(CHAR(96),CHAR(34)),$D119)),ISNUMBER(SEARCH(_xlfn.CONCAT(CHAR(34),CHAR(39)),$D119))),_xlfn.CONCAT("* REVIEW REQUIRED: compound-quote delimiter in Item Number on Sheet 1 row ",119,"; edit the input before running."),_xlfn.CONCAT("char ",TRIM($B119),"[doc_itemnum] ",CHAR(96),CHAR(34),SUBSTITUTE(SUBSTITUTE(SUBSTITUTE(SUBSTITUTE(SUBSTITUTE(SUBSTITUTE($D119,CHAR(13)," "),CHAR(10)," "),CHAR(9)," "),CHAR(92),_xlfn.CONCAT(CHAR(92),CHAR(92))),"$",_xlfn.CONCAT(CHAR(92),"$")),CHAR(96),_xlfn.CONCAT(CHAR(92),CHAR(96))),CHAR(34),CHAR(39))))</f>
        <v/>
      </c>
      <c r="O119" s="5" t="str">
        <f>IF(OR(TRIM($B119)="",$E119=""),"",IF(OR(ISNUMBER(SEARCH(_xlfn.CONCAT(CHAR(96),CHAR(34)),$E119)),ISNUMBER(SEARCH(_xlfn.CONCAT(CHAR(34),CHAR(39)),$E119))),_xlfn.CONCAT("* REVIEW REQUIRED: compound-quote delimiter in Question Wording on Sheet 1 row ",119,"; edit the input before running."),_xlfn.CONCAT("char ",TRIM($B119),"[doc_question] ",CHAR(96),CHAR(34),SUBSTITUTE(SUBSTITUTE(SUBSTITUTE(SUBSTITUTE(SUBSTITUTE(SUBSTITUTE($E119,CHAR(13)," "),CHAR(10)," "),CHAR(9)," "),CHAR(92),_xlfn.CONCAT(CHAR(92),CHAR(92))),"$",_xlfn.CONCAT(CHAR(92),"$")),CHAR(96),_xlfn.CONCAT(CHAR(92),CHAR(96))),CHAR(34),CHAR(39))))</f>
        <v/>
      </c>
      <c r="P119" s="5" t="str">
        <f>IF(OR(TRIM($B119)="",$F119=""),"",IF(OR(ISNUMBER(SEARCH(_xlfn.CONCAT(CHAR(96),CHAR(34)),$F119)),ISNUMBER(SEARCH(_xlfn.CONCAT(CHAR(34),CHAR(39)),$F119))),_xlfn.CONCAT("* REVIEW REQUIRED: compound-quote delimiter in Units on Sheet 1 row ",119,"; edit the input before running."),_xlfn.CONCAT("char ",TRIM($B119),"[doc_units] ",CHAR(96),CHAR(34),SUBSTITUTE(SUBSTITUTE(SUBSTITUTE(SUBSTITUTE(SUBSTITUTE(SUBSTITUTE($F119,CHAR(13)," "),CHAR(10)," "),CHAR(9)," "),CHAR(92),_xlfn.CONCAT(CHAR(92),CHAR(92))),"$",_xlfn.CONCAT(CHAR(92),"$")),CHAR(96),_xlfn.CONCAT(CHAR(92),CHAR(96))),CHAR(34),CHAR(39))))</f>
        <v/>
      </c>
      <c r="Q119" s="5" t="str">
        <f>IF(OR(TRIM($B119)="",$G119=""),"",IF(OR(ISNUMBER(SEARCH(_xlfn.CONCAT(CHAR(96),CHAR(34)),$G119)),ISNUMBER(SEARCH(_xlfn.CONCAT(CHAR(34),CHAR(39)),$G119))),_xlfn.CONCAT("* REVIEW REQUIRED: compound-quote delimiter in Universe on Sheet 1 row ",119,"; edit the input before running."),_xlfn.CONCAT("char ",TRIM($B119),"[doc_universe] ",CHAR(96),CHAR(34),SUBSTITUTE(SUBSTITUTE(SUBSTITUTE(SUBSTITUTE(SUBSTITUTE(SUBSTITUTE($G119,CHAR(13)," "),CHAR(10)," "),CHAR(9)," "),CHAR(92),_xlfn.CONCAT(CHAR(92),CHAR(92))),"$",_xlfn.CONCAT(CHAR(92),"$")),CHAR(96),_xlfn.CONCAT(CHAR(92),CHAR(96))),CHAR(34),CHAR(39))))</f>
        <v/>
      </c>
      <c r="R119" s="5" t="str">
        <f>IF(OR(TRIM($B119)="",$H119=""),"",IF(OR(ISNUMBER(SEARCH(_xlfn.CONCAT(CHAR(96),CHAR(34)),$H119)),ISNUMBER(SEARCH(_xlfn.CONCAT(CHAR(34),CHAR(39)),$H119))),_xlfn.CONCAT("* REVIEW REQUIRED: compound-quote delimiter in Source on Sheet 1 row ",119,"; edit the input before running."),_xlfn.CONCAT("char ",TRIM($B119),"[doc_source] ",CHAR(96),CHAR(34),SUBSTITUTE(SUBSTITUTE(SUBSTITUTE(SUBSTITUTE(SUBSTITUTE(SUBSTITUTE($H119,CHAR(13)," "),CHAR(10)," "),CHAR(9)," "),CHAR(92),_xlfn.CONCAT(CHAR(92),CHAR(92))),"$",_xlfn.CONCAT(CHAR(92),"$")),CHAR(96),_xlfn.CONCAT(CHAR(92),CHAR(96))),CHAR(34),CHAR(39))))</f>
        <v/>
      </c>
      <c r="S119" s="5" t="str">
        <f>IF(OR(TRIM($B119)="",$I119=""),"",IF(OR(ISNUMBER(SEARCH(_xlfn.CONCAT(CHAR(96),CHAR(34)),$I119)),ISNUMBER(SEARCH(_xlfn.CONCAT(CHAR(34),CHAR(39)),$I119))),_xlfn.CONCAT("* REVIEW REQUIRED: compound-quote delimiter in Derivation on Sheet 1 row ",119,"; edit the input before running."),_xlfn.CONCAT("char ",TRIM($B119),"[doc_derivation] ",CHAR(96),CHAR(34),SUBSTITUTE(SUBSTITUTE(SUBSTITUTE(SUBSTITUTE(SUBSTITUTE(SUBSTITUTE($I119,CHAR(13)," "),CHAR(10)," "),CHAR(9)," "),CHAR(92),_xlfn.CONCAT(CHAR(92),CHAR(92))),"$",_xlfn.CONCAT(CHAR(92),"$")),CHAR(96),_xlfn.CONCAT(CHAR(92),CHAR(96))),CHAR(34),CHAR(39))))</f>
        <v/>
      </c>
      <c r="T119" s="5" t="str">
        <f>IF(OR(TRIM($B119)="",$J119=""),"",IF(OR(ISNUMBER(SEARCH(_xlfn.CONCAT(CHAR(96),CHAR(34)),$J119)),ISNUMBER(SEARCH(_xlfn.CONCAT(CHAR(34),CHAR(39)),$J119))),_xlfn.CONCAT("* REVIEW REQUIRED: compound-quote delimiter in Notes on Sheet 1 row ",119,"; edit the input before running."),_xlfn.CONCAT("char ",TRIM($B119),"[doc_notes] ",CHAR(96),CHAR(34),SUBSTITUTE(SUBSTITUTE(SUBSTITUTE(SUBSTITUTE(SUBSTITUTE(SUBSTITUTE($J119,CHAR(13)," "),CHAR(10)," "),CHAR(9)," "),CHAR(92),_xlfn.CONCAT(CHAR(92),CHAR(92))),"$",_xlfn.CONCAT(CHAR(92),"$")),CHAR(96),_xlfn.CONCAT(CHAR(92),CHAR(96))),CHAR(34),CHAR(39))))</f>
        <v/>
      </c>
      <c r="U119" s="5">
        <f t="shared" si="3"/>
        <v>0</v>
      </c>
    </row>
    <row r="120" spans="3:21" ht="30" customHeight="1" x14ac:dyDescent="0.2">
      <c r="C120" s="4"/>
      <c r="K120" s="5">
        <f t="shared" si="2"/>
        <v>0</v>
      </c>
      <c r="L120" s="5" t="str">
        <f>IF(OR(TRIM($B120)="",$A120=""),"",IF(OR(ISNUMBER(SEARCH(_xlfn.CONCAT(CHAR(96),CHAR(34)),$A120)),ISNUMBER(SEARCH(_xlfn.CONCAT(CHAR(34),CHAR(39)),$A120))),_xlfn.CONCAT("* REVIEW REQUIRED: compound-quote delimiter in Codebook Section on Sheet 1 row ",120,"; edit the input before running."),_xlfn.CONCAT("char ",TRIM($B120),"[doc_section] ",CHAR(96),CHAR(34),SUBSTITUTE(SUBSTITUTE(SUBSTITUTE(SUBSTITUTE(SUBSTITUTE(SUBSTITUTE($A120,CHAR(13)," "),CHAR(10)," "),CHAR(9)," "),CHAR(92),_xlfn.CONCAT(CHAR(92),CHAR(92))),"$",_xlfn.CONCAT(CHAR(92),"$")),CHAR(96),_xlfn.CONCAT(CHAR(92),CHAR(96))),CHAR(34),CHAR(39))))</f>
        <v/>
      </c>
      <c r="M120" s="5" t="str">
        <f>IF(OR(TRIM($B120)="",$C120=""),"",IF(IFERROR(MATCH(TRIM($C120),{"Quantitative","Continuous","Discrete","Categorical","Nominal","Ordinal","Identifier"},0),0)=0,_xlfn.CONCAT("* REVIEW REQUIRED: invalid Variable Type on Sheet 1 row ",120,"."),_xlfn.CONCAT("char ",TRIM($B120),"[doc_vartype] ",CHAR(96),CHAR(34),SUBSTITUTE(SUBSTITUTE(SUBSTITUTE(SUBSTITUTE(SUBSTITUTE(SUBSTITUTE(LOWER(TRIM($C120)),CHAR(13)," "),CHAR(10)," "),CHAR(9)," "),CHAR(92),_xlfn.CONCAT(CHAR(92),CHAR(92))),"$",_xlfn.CONCAT(CHAR(92),"$")),CHAR(96),_xlfn.CONCAT(CHAR(92),CHAR(96))),CHAR(34),CHAR(39))))</f>
        <v/>
      </c>
      <c r="N120" s="5" t="str">
        <f>IF(OR(TRIM($B120)="",$D120=""),"",IF(OR(ISNUMBER(SEARCH(_xlfn.CONCAT(CHAR(96),CHAR(34)),$D120)),ISNUMBER(SEARCH(_xlfn.CONCAT(CHAR(34),CHAR(39)),$D120))),_xlfn.CONCAT("* REVIEW REQUIRED: compound-quote delimiter in Item Number on Sheet 1 row ",120,"; edit the input before running."),_xlfn.CONCAT("char ",TRIM($B120),"[doc_itemnum] ",CHAR(96),CHAR(34),SUBSTITUTE(SUBSTITUTE(SUBSTITUTE(SUBSTITUTE(SUBSTITUTE(SUBSTITUTE($D120,CHAR(13)," "),CHAR(10)," "),CHAR(9)," "),CHAR(92),_xlfn.CONCAT(CHAR(92),CHAR(92))),"$",_xlfn.CONCAT(CHAR(92),"$")),CHAR(96),_xlfn.CONCAT(CHAR(92),CHAR(96))),CHAR(34),CHAR(39))))</f>
        <v/>
      </c>
      <c r="O120" s="5" t="str">
        <f>IF(OR(TRIM($B120)="",$E120=""),"",IF(OR(ISNUMBER(SEARCH(_xlfn.CONCAT(CHAR(96),CHAR(34)),$E120)),ISNUMBER(SEARCH(_xlfn.CONCAT(CHAR(34),CHAR(39)),$E120))),_xlfn.CONCAT("* REVIEW REQUIRED: compound-quote delimiter in Question Wording on Sheet 1 row ",120,"; edit the input before running."),_xlfn.CONCAT("char ",TRIM($B120),"[doc_question] ",CHAR(96),CHAR(34),SUBSTITUTE(SUBSTITUTE(SUBSTITUTE(SUBSTITUTE(SUBSTITUTE(SUBSTITUTE($E120,CHAR(13)," "),CHAR(10)," "),CHAR(9)," "),CHAR(92),_xlfn.CONCAT(CHAR(92),CHAR(92))),"$",_xlfn.CONCAT(CHAR(92),"$")),CHAR(96),_xlfn.CONCAT(CHAR(92),CHAR(96))),CHAR(34),CHAR(39))))</f>
        <v/>
      </c>
      <c r="P120" s="5" t="str">
        <f>IF(OR(TRIM($B120)="",$F120=""),"",IF(OR(ISNUMBER(SEARCH(_xlfn.CONCAT(CHAR(96),CHAR(34)),$F120)),ISNUMBER(SEARCH(_xlfn.CONCAT(CHAR(34),CHAR(39)),$F120))),_xlfn.CONCAT("* REVIEW REQUIRED: compound-quote delimiter in Units on Sheet 1 row ",120,"; edit the input before running."),_xlfn.CONCAT("char ",TRIM($B120),"[doc_units] ",CHAR(96),CHAR(34),SUBSTITUTE(SUBSTITUTE(SUBSTITUTE(SUBSTITUTE(SUBSTITUTE(SUBSTITUTE($F120,CHAR(13)," "),CHAR(10)," "),CHAR(9)," "),CHAR(92),_xlfn.CONCAT(CHAR(92),CHAR(92))),"$",_xlfn.CONCAT(CHAR(92),"$")),CHAR(96),_xlfn.CONCAT(CHAR(92),CHAR(96))),CHAR(34),CHAR(39))))</f>
        <v/>
      </c>
      <c r="Q120" s="5" t="str">
        <f>IF(OR(TRIM($B120)="",$G120=""),"",IF(OR(ISNUMBER(SEARCH(_xlfn.CONCAT(CHAR(96),CHAR(34)),$G120)),ISNUMBER(SEARCH(_xlfn.CONCAT(CHAR(34),CHAR(39)),$G120))),_xlfn.CONCAT("* REVIEW REQUIRED: compound-quote delimiter in Universe on Sheet 1 row ",120,"; edit the input before running."),_xlfn.CONCAT("char ",TRIM($B120),"[doc_universe] ",CHAR(96),CHAR(34),SUBSTITUTE(SUBSTITUTE(SUBSTITUTE(SUBSTITUTE(SUBSTITUTE(SUBSTITUTE($G120,CHAR(13)," "),CHAR(10)," "),CHAR(9)," "),CHAR(92),_xlfn.CONCAT(CHAR(92),CHAR(92))),"$",_xlfn.CONCAT(CHAR(92),"$")),CHAR(96),_xlfn.CONCAT(CHAR(92),CHAR(96))),CHAR(34),CHAR(39))))</f>
        <v/>
      </c>
      <c r="R120" s="5" t="str">
        <f>IF(OR(TRIM($B120)="",$H120=""),"",IF(OR(ISNUMBER(SEARCH(_xlfn.CONCAT(CHAR(96),CHAR(34)),$H120)),ISNUMBER(SEARCH(_xlfn.CONCAT(CHAR(34),CHAR(39)),$H120))),_xlfn.CONCAT("* REVIEW REQUIRED: compound-quote delimiter in Source on Sheet 1 row ",120,"; edit the input before running."),_xlfn.CONCAT("char ",TRIM($B120),"[doc_source] ",CHAR(96),CHAR(34),SUBSTITUTE(SUBSTITUTE(SUBSTITUTE(SUBSTITUTE(SUBSTITUTE(SUBSTITUTE($H120,CHAR(13)," "),CHAR(10)," "),CHAR(9)," "),CHAR(92),_xlfn.CONCAT(CHAR(92),CHAR(92))),"$",_xlfn.CONCAT(CHAR(92),"$")),CHAR(96),_xlfn.CONCAT(CHAR(92),CHAR(96))),CHAR(34),CHAR(39))))</f>
        <v/>
      </c>
      <c r="S120" s="5" t="str">
        <f>IF(OR(TRIM($B120)="",$I120=""),"",IF(OR(ISNUMBER(SEARCH(_xlfn.CONCAT(CHAR(96),CHAR(34)),$I120)),ISNUMBER(SEARCH(_xlfn.CONCAT(CHAR(34),CHAR(39)),$I120))),_xlfn.CONCAT("* REVIEW REQUIRED: compound-quote delimiter in Derivation on Sheet 1 row ",120,"; edit the input before running."),_xlfn.CONCAT("char ",TRIM($B120),"[doc_derivation] ",CHAR(96),CHAR(34),SUBSTITUTE(SUBSTITUTE(SUBSTITUTE(SUBSTITUTE(SUBSTITUTE(SUBSTITUTE($I120,CHAR(13)," "),CHAR(10)," "),CHAR(9)," "),CHAR(92),_xlfn.CONCAT(CHAR(92),CHAR(92))),"$",_xlfn.CONCAT(CHAR(92),"$")),CHAR(96),_xlfn.CONCAT(CHAR(92),CHAR(96))),CHAR(34),CHAR(39))))</f>
        <v/>
      </c>
      <c r="T120" s="5" t="str">
        <f>IF(OR(TRIM($B120)="",$J120=""),"",IF(OR(ISNUMBER(SEARCH(_xlfn.CONCAT(CHAR(96),CHAR(34)),$J120)),ISNUMBER(SEARCH(_xlfn.CONCAT(CHAR(34),CHAR(39)),$J120))),_xlfn.CONCAT("* REVIEW REQUIRED: compound-quote delimiter in Notes on Sheet 1 row ",120,"; edit the input before running."),_xlfn.CONCAT("char ",TRIM($B120),"[doc_notes] ",CHAR(96),CHAR(34),SUBSTITUTE(SUBSTITUTE(SUBSTITUTE(SUBSTITUTE(SUBSTITUTE(SUBSTITUTE($J120,CHAR(13)," "),CHAR(10)," "),CHAR(9)," "),CHAR(92),_xlfn.CONCAT(CHAR(92),CHAR(92))),"$",_xlfn.CONCAT(CHAR(92),"$")),CHAR(96),_xlfn.CONCAT(CHAR(92),CHAR(96))),CHAR(34),CHAR(39))))</f>
        <v/>
      </c>
      <c r="U120" s="5">
        <f t="shared" si="3"/>
        <v>0</v>
      </c>
    </row>
    <row r="121" spans="3:21" ht="30" customHeight="1" x14ac:dyDescent="0.2">
      <c r="C121" s="4"/>
      <c r="K121" s="5">
        <f t="shared" si="2"/>
        <v>0</v>
      </c>
      <c r="L121" s="5" t="str">
        <f>IF(OR(TRIM($B121)="",$A121=""),"",IF(OR(ISNUMBER(SEARCH(_xlfn.CONCAT(CHAR(96),CHAR(34)),$A121)),ISNUMBER(SEARCH(_xlfn.CONCAT(CHAR(34),CHAR(39)),$A121))),_xlfn.CONCAT("* REVIEW REQUIRED: compound-quote delimiter in Codebook Section on Sheet 1 row ",121,"; edit the input before running."),_xlfn.CONCAT("char ",TRIM($B121),"[doc_section] ",CHAR(96),CHAR(34),SUBSTITUTE(SUBSTITUTE(SUBSTITUTE(SUBSTITUTE(SUBSTITUTE(SUBSTITUTE($A121,CHAR(13)," "),CHAR(10)," "),CHAR(9)," "),CHAR(92),_xlfn.CONCAT(CHAR(92),CHAR(92))),"$",_xlfn.CONCAT(CHAR(92),"$")),CHAR(96),_xlfn.CONCAT(CHAR(92),CHAR(96))),CHAR(34),CHAR(39))))</f>
        <v/>
      </c>
      <c r="M121" s="5" t="str">
        <f>IF(OR(TRIM($B121)="",$C121=""),"",IF(IFERROR(MATCH(TRIM($C121),{"Quantitative","Continuous","Discrete","Categorical","Nominal","Ordinal","Identifier"},0),0)=0,_xlfn.CONCAT("* REVIEW REQUIRED: invalid Variable Type on Sheet 1 row ",121,"."),_xlfn.CONCAT("char ",TRIM($B121),"[doc_vartype] ",CHAR(96),CHAR(34),SUBSTITUTE(SUBSTITUTE(SUBSTITUTE(SUBSTITUTE(SUBSTITUTE(SUBSTITUTE(LOWER(TRIM($C121)),CHAR(13)," "),CHAR(10)," "),CHAR(9)," "),CHAR(92),_xlfn.CONCAT(CHAR(92),CHAR(92))),"$",_xlfn.CONCAT(CHAR(92),"$")),CHAR(96),_xlfn.CONCAT(CHAR(92),CHAR(96))),CHAR(34),CHAR(39))))</f>
        <v/>
      </c>
      <c r="N121" s="5" t="str">
        <f>IF(OR(TRIM($B121)="",$D121=""),"",IF(OR(ISNUMBER(SEARCH(_xlfn.CONCAT(CHAR(96),CHAR(34)),$D121)),ISNUMBER(SEARCH(_xlfn.CONCAT(CHAR(34),CHAR(39)),$D121))),_xlfn.CONCAT("* REVIEW REQUIRED: compound-quote delimiter in Item Number on Sheet 1 row ",121,"; edit the input before running."),_xlfn.CONCAT("char ",TRIM($B121),"[doc_itemnum] ",CHAR(96),CHAR(34),SUBSTITUTE(SUBSTITUTE(SUBSTITUTE(SUBSTITUTE(SUBSTITUTE(SUBSTITUTE($D121,CHAR(13)," "),CHAR(10)," "),CHAR(9)," "),CHAR(92),_xlfn.CONCAT(CHAR(92),CHAR(92))),"$",_xlfn.CONCAT(CHAR(92),"$")),CHAR(96),_xlfn.CONCAT(CHAR(92),CHAR(96))),CHAR(34),CHAR(39))))</f>
        <v/>
      </c>
      <c r="O121" s="5" t="str">
        <f>IF(OR(TRIM($B121)="",$E121=""),"",IF(OR(ISNUMBER(SEARCH(_xlfn.CONCAT(CHAR(96),CHAR(34)),$E121)),ISNUMBER(SEARCH(_xlfn.CONCAT(CHAR(34),CHAR(39)),$E121))),_xlfn.CONCAT("* REVIEW REQUIRED: compound-quote delimiter in Question Wording on Sheet 1 row ",121,"; edit the input before running."),_xlfn.CONCAT("char ",TRIM($B121),"[doc_question] ",CHAR(96),CHAR(34),SUBSTITUTE(SUBSTITUTE(SUBSTITUTE(SUBSTITUTE(SUBSTITUTE(SUBSTITUTE($E121,CHAR(13)," "),CHAR(10)," "),CHAR(9)," "),CHAR(92),_xlfn.CONCAT(CHAR(92),CHAR(92))),"$",_xlfn.CONCAT(CHAR(92),"$")),CHAR(96),_xlfn.CONCAT(CHAR(92),CHAR(96))),CHAR(34),CHAR(39))))</f>
        <v/>
      </c>
      <c r="P121" s="5" t="str">
        <f>IF(OR(TRIM($B121)="",$F121=""),"",IF(OR(ISNUMBER(SEARCH(_xlfn.CONCAT(CHAR(96),CHAR(34)),$F121)),ISNUMBER(SEARCH(_xlfn.CONCAT(CHAR(34),CHAR(39)),$F121))),_xlfn.CONCAT("* REVIEW REQUIRED: compound-quote delimiter in Units on Sheet 1 row ",121,"; edit the input before running."),_xlfn.CONCAT("char ",TRIM($B121),"[doc_units] ",CHAR(96),CHAR(34),SUBSTITUTE(SUBSTITUTE(SUBSTITUTE(SUBSTITUTE(SUBSTITUTE(SUBSTITUTE($F121,CHAR(13)," "),CHAR(10)," "),CHAR(9)," "),CHAR(92),_xlfn.CONCAT(CHAR(92),CHAR(92))),"$",_xlfn.CONCAT(CHAR(92),"$")),CHAR(96),_xlfn.CONCAT(CHAR(92),CHAR(96))),CHAR(34),CHAR(39))))</f>
        <v/>
      </c>
      <c r="Q121" s="5" t="str">
        <f>IF(OR(TRIM($B121)="",$G121=""),"",IF(OR(ISNUMBER(SEARCH(_xlfn.CONCAT(CHAR(96),CHAR(34)),$G121)),ISNUMBER(SEARCH(_xlfn.CONCAT(CHAR(34),CHAR(39)),$G121))),_xlfn.CONCAT("* REVIEW REQUIRED: compound-quote delimiter in Universe on Sheet 1 row ",121,"; edit the input before running."),_xlfn.CONCAT("char ",TRIM($B121),"[doc_universe] ",CHAR(96),CHAR(34),SUBSTITUTE(SUBSTITUTE(SUBSTITUTE(SUBSTITUTE(SUBSTITUTE(SUBSTITUTE($G121,CHAR(13)," "),CHAR(10)," "),CHAR(9)," "),CHAR(92),_xlfn.CONCAT(CHAR(92),CHAR(92))),"$",_xlfn.CONCAT(CHAR(92),"$")),CHAR(96),_xlfn.CONCAT(CHAR(92),CHAR(96))),CHAR(34),CHAR(39))))</f>
        <v/>
      </c>
      <c r="R121" s="5" t="str">
        <f>IF(OR(TRIM($B121)="",$H121=""),"",IF(OR(ISNUMBER(SEARCH(_xlfn.CONCAT(CHAR(96),CHAR(34)),$H121)),ISNUMBER(SEARCH(_xlfn.CONCAT(CHAR(34),CHAR(39)),$H121))),_xlfn.CONCAT("* REVIEW REQUIRED: compound-quote delimiter in Source on Sheet 1 row ",121,"; edit the input before running."),_xlfn.CONCAT("char ",TRIM($B121),"[doc_source] ",CHAR(96),CHAR(34),SUBSTITUTE(SUBSTITUTE(SUBSTITUTE(SUBSTITUTE(SUBSTITUTE(SUBSTITUTE($H121,CHAR(13)," "),CHAR(10)," "),CHAR(9)," "),CHAR(92),_xlfn.CONCAT(CHAR(92),CHAR(92))),"$",_xlfn.CONCAT(CHAR(92),"$")),CHAR(96),_xlfn.CONCAT(CHAR(92),CHAR(96))),CHAR(34),CHAR(39))))</f>
        <v/>
      </c>
      <c r="S121" s="5" t="str">
        <f>IF(OR(TRIM($B121)="",$I121=""),"",IF(OR(ISNUMBER(SEARCH(_xlfn.CONCAT(CHAR(96),CHAR(34)),$I121)),ISNUMBER(SEARCH(_xlfn.CONCAT(CHAR(34),CHAR(39)),$I121))),_xlfn.CONCAT("* REVIEW REQUIRED: compound-quote delimiter in Derivation on Sheet 1 row ",121,"; edit the input before running."),_xlfn.CONCAT("char ",TRIM($B121),"[doc_derivation] ",CHAR(96),CHAR(34),SUBSTITUTE(SUBSTITUTE(SUBSTITUTE(SUBSTITUTE(SUBSTITUTE(SUBSTITUTE($I121,CHAR(13)," "),CHAR(10)," "),CHAR(9)," "),CHAR(92),_xlfn.CONCAT(CHAR(92),CHAR(92))),"$",_xlfn.CONCAT(CHAR(92),"$")),CHAR(96),_xlfn.CONCAT(CHAR(92),CHAR(96))),CHAR(34),CHAR(39))))</f>
        <v/>
      </c>
      <c r="T121" s="5" t="str">
        <f>IF(OR(TRIM($B121)="",$J121=""),"",IF(OR(ISNUMBER(SEARCH(_xlfn.CONCAT(CHAR(96),CHAR(34)),$J121)),ISNUMBER(SEARCH(_xlfn.CONCAT(CHAR(34),CHAR(39)),$J121))),_xlfn.CONCAT("* REVIEW REQUIRED: compound-quote delimiter in Notes on Sheet 1 row ",121,"; edit the input before running."),_xlfn.CONCAT("char ",TRIM($B121),"[doc_notes] ",CHAR(96),CHAR(34),SUBSTITUTE(SUBSTITUTE(SUBSTITUTE(SUBSTITUTE(SUBSTITUTE(SUBSTITUTE($J121,CHAR(13)," "),CHAR(10)," "),CHAR(9)," "),CHAR(92),_xlfn.CONCAT(CHAR(92),CHAR(92))),"$",_xlfn.CONCAT(CHAR(92),"$")),CHAR(96),_xlfn.CONCAT(CHAR(92),CHAR(96))),CHAR(34),CHAR(39))))</f>
        <v/>
      </c>
      <c r="U121" s="5">
        <f t="shared" si="3"/>
        <v>0</v>
      </c>
    </row>
    <row r="122" spans="3:21" ht="30" customHeight="1" x14ac:dyDescent="0.2">
      <c r="C122" s="4"/>
      <c r="K122" s="5">
        <f t="shared" si="2"/>
        <v>0</v>
      </c>
      <c r="L122" s="5" t="str">
        <f>IF(OR(TRIM($B122)="",$A122=""),"",IF(OR(ISNUMBER(SEARCH(_xlfn.CONCAT(CHAR(96),CHAR(34)),$A122)),ISNUMBER(SEARCH(_xlfn.CONCAT(CHAR(34),CHAR(39)),$A122))),_xlfn.CONCAT("* REVIEW REQUIRED: compound-quote delimiter in Codebook Section on Sheet 1 row ",122,"; edit the input before running."),_xlfn.CONCAT("char ",TRIM($B122),"[doc_section] ",CHAR(96),CHAR(34),SUBSTITUTE(SUBSTITUTE(SUBSTITUTE(SUBSTITUTE(SUBSTITUTE(SUBSTITUTE($A122,CHAR(13)," "),CHAR(10)," "),CHAR(9)," "),CHAR(92),_xlfn.CONCAT(CHAR(92),CHAR(92))),"$",_xlfn.CONCAT(CHAR(92),"$")),CHAR(96),_xlfn.CONCAT(CHAR(92),CHAR(96))),CHAR(34),CHAR(39))))</f>
        <v/>
      </c>
      <c r="M122" s="5" t="str">
        <f>IF(OR(TRIM($B122)="",$C122=""),"",IF(IFERROR(MATCH(TRIM($C122),{"Quantitative","Continuous","Discrete","Categorical","Nominal","Ordinal","Identifier"},0),0)=0,_xlfn.CONCAT("* REVIEW REQUIRED: invalid Variable Type on Sheet 1 row ",122,"."),_xlfn.CONCAT("char ",TRIM($B122),"[doc_vartype] ",CHAR(96),CHAR(34),SUBSTITUTE(SUBSTITUTE(SUBSTITUTE(SUBSTITUTE(SUBSTITUTE(SUBSTITUTE(LOWER(TRIM($C122)),CHAR(13)," "),CHAR(10)," "),CHAR(9)," "),CHAR(92),_xlfn.CONCAT(CHAR(92),CHAR(92))),"$",_xlfn.CONCAT(CHAR(92),"$")),CHAR(96),_xlfn.CONCAT(CHAR(92),CHAR(96))),CHAR(34),CHAR(39))))</f>
        <v/>
      </c>
      <c r="N122" s="5" t="str">
        <f>IF(OR(TRIM($B122)="",$D122=""),"",IF(OR(ISNUMBER(SEARCH(_xlfn.CONCAT(CHAR(96),CHAR(34)),$D122)),ISNUMBER(SEARCH(_xlfn.CONCAT(CHAR(34),CHAR(39)),$D122))),_xlfn.CONCAT("* REVIEW REQUIRED: compound-quote delimiter in Item Number on Sheet 1 row ",122,"; edit the input before running."),_xlfn.CONCAT("char ",TRIM($B122),"[doc_itemnum] ",CHAR(96),CHAR(34),SUBSTITUTE(SUBSTITUTE(SUBSTITUTE(SUBSTITUTE(SUBSTITUTE(SUBSTITUTE($D122,CHAR(13)," "),CHAR(10)," "),CHAR(9)," "),CHAR(92),_xlfn.CONCAT(CHAR(92),CHAR(92))),"$",_xlfn.CONCAT(CHAR(92),"$")),CHAR(96),_xlfn.CONCAT(CHAR(92),CHAR(96))),CHAR(34),CHAR(39))))</f>
        <v/>
      </c>
      <c r="O122" s="5" t="str">
        <f>IF(OR(TRIM($B122)="",$E122=""),"",IF(OR(ISNUMBER(SEARCH(_xlfn.CONCAT(CHAR(96),CHAR(34)),$E122)),ISNUMBER(SEARCH(_xlfn.CONCAT(CHAR(34),CHAR(39)),$E122))),_xlfn.CONCAT("* REVIEW REQUIRED: compound-quote delimiter in Question Wording on Sheet 1 row ",122,"; edit the input before running."),_xlfn.CONCAT("char ",TRIM($B122),"[doc_question] ",CHAR(96),CHAR(34),SUBSTITUTE(SUBSTITUTE(SUBSTITUTE(SUBSTITUTE(SUBSTITUTE(SUBSTITUTE($E122,CHAR(13)," "),CHAR(10)," "),CHAR(9)," "),CHAR(92),_xlfn.CONCAT(CHAR(92),CHAR(92))),"$",_xlfn.CONCAT(CHAR(92),"$")),CHAR(96),_xlfn.CONCAT(CHAR(92),CHAR(96))),CHAR(34),CHAR(39))))</f>
        <v/>
      </c>
      <c r="P122" s="5" t="str">
        <f>IF(OR(TRIM($B122)="",$F122=""),"",IF(OR(ISNUMBER(SEARCH(_xlfn.CONCAT(CHAR(96),CHAR(34)),$F122)),ISNUMBER(SEARCH(_xlfn.CONCAT(CHAR(34),CHAR(39)),$F122))),_xlfn.CONCAT("* REVIEW REQUIRED: compound-quote delimiter in Units on Sheet 1 row ",122,"; edit the input before running."),_xlfn.CONCAT("char ",TRIM($B122),"[doc_units] ",CHAR(96),CHAR(34),SUBSTITUTE(SUBSTITUTE(SUBSTITUTE(SUBSTITUTE(SUBSTITUTE(SUBSTITUTE($F122,CHAR(13)," "),CHAR(10)," "),CHAR(9)," "),CHAR(92),_xlfn.CONCAT(CHAR(92),CHAR(92))),"$",_xlfn.CONCAT(CHAR(92),"$")),CHAR(96),_xlfn.CONCAT(CHAR(92),CHAR(96))),CHAR(34),CHAR(39))))</f>
        <v/>
      </c>
      <c r="Q122" s="5" t="str">
        <f>IF(OR(TRIM($B122)="",$G122=""),"",IF(OR(ISNUMBER(SEARCH(_xlfn.CONCAT(CHAR(96),CHAR(34)),$G122)),ISNUMBER(SEARCH(_xlfn.CONCAT(CHAR(34),CHAR(39)),$G122))),_xlfn.CONCAT("* REVIEW REQUIRED: compound-quote delimiter in Universe on Sheet 1 row ",122,"; edit the input before running."),_xlfn.CONCAT("char ",TRIM($B122),"[doc_universe] ",CHAR(96),CHAR(34),SUBSTITUTE(SUBSTITUTE(SUBSTITUTE(SUBSTITUTE(SUBSTITUTE(SUBSTITUTE($G122,CHAR(13)," "),CHAR(10)," "),CHAR(9)," "),CHAR(92),_xlfn.CONCAT(CHAR(92),CHAR(92))),"$",_xlfn.CONCAT(CHAR(92),"$")),CHAR(96),_xlfn.CONCAT(CHAR(92),CHAR(96))),CHAR(34),CHAR(39))))</f>
        <v/>
      </c>
      <c r="R122" s="5" t="str">
        <f>IF(OR(TRIM($B122)="",$H122=""),"",IF(OR(ISNUMBER(SEARCH(_xlfn.CONCAT(CHAR(96),CHAR(34)),$H122)),ISNUMBER(SEARCH(_xlfn.CONCAT(CHAR(34),CHAR(39)),$H122))),_xlfn.CONCAT("* REVIEW REQUIRED: compound-quote delimiter in Source on Sheet 1 row ",122,"; edit the input before running."),_xlfn.CONCAT("char ",TRIM($B122),"[doc_source] ",CHAR(96),CHAR(34),SUBSTITUTE(SUBSTITUTE(SUBSTITUTE(SUBSTITUTE(SUBSTITUTE(SUBSTITUTE($H122,CHAR(13)," "),CHAR(10)," "),CHAR(9)," "),CHAR(92),_xlfn.CONCAT(CHAR(92),CHAR(92))),"$",_xlfn.CONCAT(CHAR(92),"$")),CHAR(96),_xlfn.CONCAT(CHAR(92),CHAR(96))),CHAR(34),CHAR(39))))</f>
        <v/>
      </c>
      <c r="S122" s="5" t="str">
        <f>IF(OR(TRIM($B122)="",$I122=""),"",IF(OR(ISNUMBER(SEARCH(_xlfn.CONCAT(CHAR(96),CHAR(34)),$I122)),ISNUMBER(SEARCH(_xlfn.CONCAT(CHAR(34),CHAR(39)),$I122))),_xlfn.CONCAT("* REVIEW REQUIRED: compound-quote delimiter in Derivation on Sheet 1 row ",122,"; edit the input before running."),_xlfn.CONCAT("char ",TRIM($B122),"[doc_derivation] ",CHAR(96),CHAR(34),SUBSTITUTE(SUBSTITUTE(SUBSTITUTE(SUBSTITUTE(SUBSTITUTE(SUBSTITUTE($I122,CHAR(13)," "),CHAR(10)," "),CHAR(9)," "),CHAR(92),_xlfn.CONCAT(CHAR(92),CHAR(92))),"$",_xlfn.CONCAT(CHAR(92),"$")),CHAR(96),_xlfn.CONCAT(CHAR(92),CHAR(96))),CHAR(34),CHAR(39))))</f>
        <v/>
      </c>
      <c r="T122" s="5" t="str">
        <f>IF(OR(TRIM($B122)="",$J122=""),"",IF(OR(ISNUMBER(SEARCH(_xlfn.CONCAT(CHAR(96),CHAR(34)),$J122)),ISNUMBER(SEARCH(_xlfn.CONCAT(CHAR(34),CHAR(39)),$J122))),_xlfn.CONCAT("* REVIEW REQUIRED: compound-quote delimiter in Notes on Sheet 1 row ",122,"; edit the input before running."),_xlfn.CONCAT("char ",TRIM($B122),"[doc_notes] ",CHAR(96),CHAR(34),SUBSTITUTE(SUBSTITUTE(SUBSTITUTE(SUBSTITUTE(SUBSTITUTE(SUBSTITUTE($J122,CHAR(13)," "),CHAR(10)," "),CHAR(9)," "),CHAR(92),_xlfn.CONCAT(CHAR(92),CHAR(92))),"$",_xlfn.CONCAT(CHAR(92),"$")),CHAR(96),_xlfn.CONCAT(CHAR(92),CHAR(96))),CHAR(34),CHAR(39))))</f>
        <v/>
      </c>
      <c r="U122" s="5">
        <f t="shared" si="3"/>
        <v>0</v>
      </c>
    </row>
    <row r="123" spans="3:21" ht="30" customHeight="1" x14ac:dyDescent="0.2">
      <c r="C123" s="4"/>
      <c r="K123" s="5">
        <f t="shared" si="2"/>
        <v>0</v>
      </c>
      <c r="L123" s="5" t="str">
        <f>IF(OR(TRIM($B123)="",$A123=""),"",IF(OR(ISNUMBER(SEARCH(_xlfn.CONCAT(CHAR(96),CHAR(34)),$A123)),ISNUMBER(SEARCH(_xlfn.CONCAT(CHAR(34),CHAR(39)),$A123))),_xlfn.CONCAT("* REVIEW REQUIRED: compound-quote delimiter in Codebook Section on Sheet 1 row ",123,"; edit the input before running."),_xlfn.CONCAT("char ",TRIM($B123),"[doc_section] ",CHAR(96),CHAR(34),SUBSTITUTE(SUBSTITUTE(SUBSTITUTE(SUBSTITUTE(SUBSTITUTE(SUBSTITUTE($A123,CHAR(13)," "),CHAR(10)," "),CHAR(9)," "),CHAR(92),_xlfn.CONCAT(CHAR(92),CHAR(92))),"$",_xlfn.CONCAT(CHAR(92),"$")),CHAR(96),_xlfn.CONCAT(CHAR(92),CHAR(96))),CHAR(34),CHAR(39))))</f>
        <v/>
      </c>
      <c r="M123" s="5" t="str">
        <f>IF(OR(TRIM($B123)="",$C123=""),"",IF(IFERROR(MATCH(TRIM($C123),{"Quantitative","Continuous","Discrete","Categorical","Nominal","Ordinal","Identifier"},0),0)=0,_xlfn.CONCAT("* REVIEW REQUIRED: invalid Variable Type on Sheet 1 row ",123,"."),_xlfn.CONCAT("char ",TRIM($B123),"[doc_vartype] ",CHAR(96),CHAR(34),SUBSTITUTE(SUBSTITUTE(SUBSTITUTE(SUBSTITUTE(SUBSTITUTE(SUBSTITUTE(LOWER(TRIM($C123)),CHAR(13)," "),CHAR(10)," "),CHAR(9)," "),CHAR(92),_xlfn.CONCAT(CHAR(92),CHAR(92))),"$",_xlfn.CONCAT(CHAR(92),"$")),CHAR(96),_xlfn.CONCAT(CHAR(92),CHAR(96))),CHAR(34),CHAR(39))))</f>
        <v/>
      </c>
      <c r="N123" s="5" t="str">
        <f>IF(OR(TRIM($B123)="",$D123=""),"",IF(OR(ISNUMBER(SEARCH(_xlfn.CONCAT(CHAR(96),CHAR(34)),$D123)),ISNUMBER(SEARCH(_xlfn.CONCAT(CHAR(34),CHAR(39)),$D123))),_xlfn.CONCAT("* REVIEW REQUIRED: compound-quote delimiter in Item Number on Sheet 1 row ",123,"; edit the input before running."),_xlfn.CONCAT("char ",TRIM($B123),"[doc_itemnum] ",CHAR(96),CHAR(34),SUBSTITUTE(SUBSTITUTE(SUBSTITUTE(SUBSTITUTE(SUBSTITUTE(SUBSTITUTE($D123,CHAR(13)," "),CHAR(10)," "),CHAR(9)," "),CHAR(92),_xlfn.CONCAT(CHAR(92),CHAR(92))),"$",_xlfn.CONCAT(CHAR(92),"$")),CHAR(96),_xlfn.CONCAT(CHAR(92),CHAR(96))),CHAR(34),CHAR(39))))</f>
        <v/>
      </c>
      <c r="O123" s="5" t="str">
        <f>IF(OR(TRIM($B123)="",$E123=""),"",IF(OR(ISNUMBER(SEARCH(_xlfn.CONCAT(CHAR(96),CHAR(34)),$E123)),ISNUMBER(SEARCH(_xlfn.CONCAT(CHAR(34),CHAR(39)),$E123))),_xlfn.CONCAT("* REVIEW REQUIRED: compound-quote delimiter in Question Wording on Sheet 1 row ",123,"; edit the input before running."),_xlfn.CONCAT("char ",TRIM($B123),"[doc_question] ",CHAR(96),CHAR(34),SUBSTITUTE(SUBSTITUTE(SUBSTITUTE(SUBSTITUTE(SUBSTITUTE(SUBSTITUTE($E123,CHAR(13)," "),CHAR(10)," "),CHAR(9)," "),CHAR(92),_xlfn.CONCAT(CHAR(92),CHAR(92))),"$",_xlfn.CONCAT(CHAR(92),"$")),CHAR(96),_xlfn.CONCAT(CHAR(92),CHAR(96))),CHAR(34),CHAR(39))))</f>
        <v/>
      </c>
      <c r="P123" s="5" t="str">
        <f>IF(OR(TRIM($B123)="",$F123=""),"",IF(OR(ISNUMBER(SEARCH(_xlfn.CONCAT(CHAR(96),CHAR(34)),$F123)),ISNUMBER(SEARCH(_xlfn.CONCAT(CHAR(34),CHAR(39)),$F123))),_xlfn.CONCAT("* REVIEW REQUIRED: compound-quote delimiter in Units on Sheet 1 row ",123,"; edit the input before running."),_xlfn.CONCAT("char ",TRIM($B123),"[doc_units] ",CHAR(96),CHAR(34),SUBSTITUTE(SUBSTITUTE(SUBSTITUTE(SUBSTITUTE(SUBSTITUTE(SUBSTITUTE($F123,CHAR(13)," "),CHAR(10)," "),CHAR(9)," "),CHAR(92),_xlfn.CONCAT(CHAR(92),CHAR(92))),"$",_xlfn.CONCAT(CHAR(92),"$")),CHAR(96),_xlfn.CONCAT(CHAR(92),CHAR(96))),CHAR(34),CHAR(39))))</f>
        <v/>
      </c>
      <c r="Q123" s="5" t="str">
        <f>IF(OR(TRIM($B123)="",$G123=""),"",IF(OR(ISNUMBER(SEARCH(_xlfn.CONCAT(CHAR(96),CHAR(34)),$G123)),ISNUMBER(SEARCH(_xlfn.CONCAT(CHAR(34),CHAR(39)),$G123))),_xlfn.CONCAT("* REVIEW REQUIRED: compound-quote delimiter in Universe on Sheet 1 row ",123,"; edit the input before running."),_xlfn.CONCAT("char ",TRIM($B123),"[doc_universe] ",CHAR(96),CHAR(34),SUBSTITUTE(SUBSTITUTE(SUBSTITUTE(SUBSTITUTE(SUBSTITUTE(SUBSTITUTE($G123,CHAR(13)," "),CHAR(10)," "),CHAR(9)," "),CHAR(92),_xlfn.CONCAT(CHAR(92),CHAR(92))),"$",_xlfn.CONCAT(CHAR(92),"$")),CHAR(96),_xlfn.CONCAT(CHAR(92),CHAR(96))),CHAR(34),CHAR(39))))</f>
        <v/>
      </c>
      <c r="R123" s="5" t="str">
        <f>IF(OR(TRIM($B123)="",$H123=""),"",IF(OR(ISNUMBER(SEARCH(_xlfn.CONCAT(CHAR(96),CHAR(34)),$H123)),ISNUMBER(SEARCH(_xlfn.CONCAT(CHAR(34),CHAR(39)),$H123))),_xlfn.CONCAT("* REVIEW REQUIRED: compound-quote delimiter in Source on Sheet 1 row ",123,"; edit the input before running."),_xlfn.CONCAT("char ",TRIM($B123),"[doc_source] ",CHAR(96),CHAR(34),SUBSTITUTE(SUBSTITUTE(SUBSTITUTE(SUBSTITUTE(SUBSTITUTE(SUBSTITUTE($H123,CHAR(13)," "),CHAR(10)," "),CHAR(9)," "),CHAR(92),_xlfn.CONCAT(CHAR(92),CHAR(92))),"$",_xlfn.CONCAT(CHAR(92),"$")),CHAR(96),_xlfn.CONCAT(CHAR(92),CHAR(96))),CHAR(34),CHAR(39))))</f>
        <v/>
      </c>
      <c r="S123" s="5" t="str">
        <f>IF(OR(TRIM($B123)="",$I123=""),"",IF(OR(ISNUMBER(SEARCH(_xlfn.CONCAT(CHAR(96),CHAR(34)),$I123)),ISNUMBER(SEARCH(_xlfn.CONCAT(CHAR(34),CHAR(39)),$I123))),_xlfn.CONCAT("* REVIEW REQUIRED: compound-quote delimiter in Derivation on Sheet 1 row ",123,"; edit the input before running."),_xlfn.CONCAT("char ",TRIM($B123),"[doc_derivation] ",CHAR(96),CHAR(34),SUBSTITUTE(SUBSTITUTE(SUBSTITUTE(SUBSTITUTE(SUBSTITUTE(SUBSTITUTE($I123,CHAR(13)," "),CHAR(10)," "),CHAR(9)," "),CHAR(92),_xlfn.CONCAT(CHAR(92),CHAR(92))),"$",_xlfn.CONCAT(CHAR(92),"$")),CHAR(96),_xlfn.CONCAT(CHAR(92),CHAR(96))),CHAR(34),CHAR(39))))</f>
        <v/>
      </c>
      <c r="T123" s="5" t="str">
        <f>IF(OR(TRIM($B123)="",$J123=""),"",IF(OR(ISNUMBER(SEARCH(_xlfn.CONCAT(CHAR(96),CHAR(34)),$J123)),ISNUMBER(SEARCH(_xlfn.CONCAT(CHAR(34),CHAR(39)),$J123))),_xlfn.CONCAT("* REVIEW REQUIRED: compound-quote delimiter in Notes on Sheet 1 row ",123,"; edit the input before running."),_xlfn.CONCAT("char ",TRIM($B123),"[doc_notes] ",CHAR(96),CHAR(34),SUBSTITUTE(SUBSTITUTE(SUBSTITUTE(SUBSTITUTE(SUBSTITUTE(SUBSTITUTE($J123,CHAR(13)," "),CHAR(10)," "),CHAR(9)," "),CHAR(92),_xlfn.CONCAT(CHAR(92),CHAR(92))),"$",_xlfn.CONCAT(CHAR(92),"$")),CHAR(96),_xlfn.CONCAT(CHAR(92),CHAR(96))),CHAR(34),CHAR(39))))</f>
        <v/>
      </c>
      <c r="U123" s="5">
        <f t="shared" si="3"/>
        <v>0</v>
      </c>
    </row>
    <row r="124" spans="3:21" ht="30" customHeight="1" x14ac:dyDescent="0.2">
      <c r="C124" s="4"/>
      <c r="K124" s="5">
        <f t="shared" si="2"/>
        <v>0</v>
      </c>
      <c r="L124" s="5" t="str">
        <f>IF(OR(TRIM($B124)="",$A124=""),"",IF(OR(ISNUMBER(SEARCH(_xlfn.CONCAT(CHAR(96),CHAR(34)),$A124)),ISNUMBER(SEARCH(_xlfn.CONCAT(CHAR(34),CHAR(39)),$A124))),_xlfn.CONCAT("* REVIEW REQUIRED: compound-quote delimiter in Codebook Section on Sheet 1 row ",124,"; edit the input before running."),_xlfn.CONCAT("char ",TRIM($B124),"[doc_section] ",CHAR(96),CHAR(34),SUBSTITUTE(SUBSTITUTE(SUBSTITUTE(SUBSTITUTE(SUBSTITUTE(SUBSTITUTE($A124,CHAR(13)," "),CHAR(10)," "),CHAR(9)," "),CHAR(92),_xlfn.CONCAT(CHAR(92),CHAR(92))),"$",_xlfn.CONCAT(CHAR(92),"$")),CHAR(96),_xlfn.CONCAT(CHAR(92),CHAR(96))),CHAR(34),CHAR(39))))</f>
        <v/>
      </c>
      <c r="M124" s="5" t="str">
        <f>IF(OR(TRIM($B124)="",$C124=""),"",IF(IFERROR(MATCH(TRIM($C124),{"Quantitative","Continuous","Discrete","Categorical","Nominal","Ordinal","Identifier"},0),0)=0,_xlfn.CONCAT("* REVIEW REQUIRED: invalid Variable Type on Sheet 1 row ",124,"."),_xlfn.CONCAT("char ",TRIM($B124),"[doc_vartype] ",CHAR(96),CHAR(34),SUBSTITUTE(SUBSTITUTE(SUBSTITUTE(SUBSTITUTE(SUBSTITUTE(SUBSTITUTE(LOWER(TRIM($C124)),CHAR(13)," "),CHAR(10)," "),CHAR(9)," "),CHAR(92),_xlfn.CONCAT(CHAR(92),CHAR(92))),"$",_xlfn.CONCAT(CHAR(92),"$")),CHAR(96),_xlfn.CONCAT(CHAR(92),CHAR(96))),CHAR(34),CHAR(39))))</f>
        <v/>
      </c>
      <c r="N124" s="5" t="str">
        <f>IF(OR(TRIM($B124)="",$D124=""),"",IF(OR(ISNUMBER(SEARCH(_xlfn.CONCAT(CHAR(96),CHAR(34)),$D124)),ISNUMBER(SEARCH(_xlfn.CONCAT(CHAR(34),CHAR(39)),$D124))),_xlfn.CONCAT("* REVIEW REQUIRED: compound-quote delimiter in Item Number on Sheet 1 row ",124,"; edit the input before running."),_xlfn.CONCAT("char ",TRIM($B124),"[doc_itemnum] ",CHAR(96),CHAR(34),SUBSTITUTE(SUBSTITUTE(SUBSTITUTE(SUBSTITUTE(SUBSTITUTE(SUBSTITUTE($D124,CHAR(13)," "),CHAR(10)," "),CHAR(9)," "),CHAR(92),_xlfn.CONCAT(CHAR(92),CHAR(92))),"$",_xlfn.CONCAT(CHAR(92),"$")),CHAR(96),_xlfn.CONCAT(CHAR(92),CHAR(96))),CHAR(34),CHAR(39))))</f>
        <v/>
      </c>
      <c r="O124" s="5" t="str">
        <f>IF(OR(TRIM($B124)="",$E124=""),"",IF(OR(ISNUMBER(SEARCH(_xlfn.CONCAT(CHAR(96),CHAR(34)),$E124)),ISNUMBER(SEARCH(_xlfn.CONCAT(CHAR(34),CHAR(39)),$E124))),_xlfn.CONCAT("* REVIEW REQUIRED: compound-quote delimiter in Question Wording on Sheet 1 row ",124,"; edit the input before running."),_xlfn.CONCAT("char ",TRIM($B124),"[doc_question] ",CHAR(96),CHAR(34),SUBSTITUTE(SUBSTITUTE(SUBSTITUTE(SUBSTITUTE(SUBSTITUTE(SUBSTITUTE($E124,CHAR(13)," "),CHAR(10)," "),CHAR(9)," "),CHAR(92),_xlfn.CONCAT(CHAR(92),CHAR(92))),"$",_xlfn.CONCAT(CHAR(92),"$")),CHAR(96),_xlfn.CONCAT(CHAR(92),CHAR(96))),CHAR(34),CHAR(39))))</f>
        <v/>
      </c>
      <c r="P124" s="5" t="str">
        <f>IF(OR(TRIM($B124)="",$F124=""),"",IF(OR(ISNUMBER(SEARCH(_xlfn.CONCAT(CHAR(96),CHAR(34)),$F124)),ISNUMBER(SEARCH(_xlfn.CONCAT(CHAR(34),CHAR(39)),$F124))),_xlfn.CONCAT("* REVIEW REQUIRED: compound-quote delimiter in Units on Sheet 1 row ",124,"; edit the input before running."),_xlfn.CONCAT("char ",TRIM($B124),"[doc_units] ",CHAR(96),CHAR(34),SUBSTITUTE(SUBSTITUTE(SUBSTITUTE(SUBSTITUTE(SUBSTITUTE(SUBSTITUTE($F124,CHAR(13)," "),CHAR(10)," "),CHAR(9)," "),CHAR(92),_xlfn.CONCAT(CHAR(92),CHAR(92))),"$",_xlfn.CONCAT(CHAR(92),"$")),CHAR(96),_xlfn.CONCAT(CHAR(92),CHAR(96))),CHAR(34),CHAR(39))))</f>
        <v/>
      </c>
      <c r="Q124" s="5" t="str">
        <f>IF(OR(TRIM($B124)="",$G124=""),"",IF(OR(ISNUMBER(SEARCH(_xlfn.CONCAT(CHAR(96),CHAR(34)),$G124)),ISNUMBER(SEARCH(_xlfn.CONCAT(CHAR(34),CHAR(39)),$G124))),_xlfn.CONCAT("* REVIEW REQUIRED: compound-quote delimiter in Universe on Sheet 1 row ",124,"; edit the input before running."),_xlfn.CONCAT("char ",TRIM($B124),"[doc_universe] ",CHAR(96),CHAR(34),SUBSTITUTE(SUBSTITUTE(SUBSTITUTE(SUBSTITUTE(SUBSTITUTE(SUBSTITUTE($G124,CHAR(13)," "),CHAR(10)," "),CHAR(9)," "),CHAR(92),_xlfn.CONCAT(CHAR(92),CHAR(92))),"$",_xlfn.CONCAT(CHAR(92),"$")),CHAR(96),_xlfn.CONCAT(CHAR(92),CHAR(96))),CHAR(34),CHAR(39))))</f>
        <v/>
      </c>
      <c r="R124" s="5" t="str">
        <f>IF(OR(TRIM($B124)="",$H124=""),"",IF(OR(ISNUMBER(SEARCH(_xlfn.CONCAT(CHAR(96),CHAR(34)),$H124)),ISNUMBER(SEARCH(_xlfn.CONCAT(CHAR(34),CHAR(39)),$H124))),_xlfn.CONCAT("* REVIEW REQUIRED: compound-quote delimiter in Source on Sheet 1 row ",124,"; edit the input before running."),_xlfn.CONCAT("char ",TRIM($B124),"[doc_source] ",CHAR(96),CHAR(34),SUBSTITUTE(SUBSTITUTE(SUBSTITUTE(SUBSTITUTE(SUBSTITUTE(SUBSTITUTE($H124,CHAR(13)," "),CHAR(10)," "),CHAR(9)," "),CHAR(92),_xlfn.CONCAT(CHAR(92),CHAR(92))),"$",_xlfn.CONCAT(CHAR(92),"$")),CHAR(96),_xlfn.CONCAT(CHAR(92),CHAR(96))),CHAR(34),CHAR(39))))</f>
        <v/>
      </c>
      <c r="S124" s="5" t="str">
        <f>IF(OR(TRIM($B124)="",$I124=""),"",IF(OR(ISNUMBER(SEARCH(_xlfn.CONCAT(CHAR(96),CHAR(34)),$I124)),ISNUMBER(SEARCH(_xlfn.CONCAT(CHAR(34),CHAR(39)),$I124))),_xlfn.CONCAT("* REVIEW REQUIRED: compound-quote delimiter in Derivation on Sheet 1 row ",124,"; edit the input before running."),_xlfn.CONCAT("char ",TRIM($B124),"[doc_derivation] ",CHAR(96),CHAR(34),SUBSTITUTE(SUBSTITUTE(SUBSTITUTE(SUBSTITUTE(SUBSTITUTE(SUBSTITUTE($I124,CHAR(13)," "),CHAR(10)," "),CHAR(9)," "),CHAR(92),_xlfn.CONCAT(CHAR(92),CHAR(92))),"$",_xlfn.CONCAT(CHAR(92),"$")),CHAR(96),_xlfn.CONCAT(CHAR(92),CHAR(96))),CHAR(34),CHAR(39))))</f>
        <v/>
      </c>
      <c r="T124" s="5" t="str">
        <f>IF(OR(TRIM($B124)="",$J124=""),"",IF(OR(ISNUMBER(SEARCH(_xlfn.CONCAT(CHAR(96),CHAR(34)),$J124)),ISNUMBER(SEARCH(_xlfn.CONCAT(CHAR(34),CHAR(39)),$J124))),_xlfn.CONCAT("* REVIEW REQUIRED: compound-quote delimiter in Notes on Sheet 1 row ",124,"; edit the input before running."),_xlfn.CONCAT("char ",TRIM($B124),"[doc_notes] ",CHAR(96),CHAR(34),SUBSTITUTE(SUBSTITUTE(SUBSTITUTE(SUBSTITUTE(SUBSTITUTE(SUBSTITUTE($J124,CHAR(13)," "),CHAR(10)," "),CHAR(9)," "),CHAR(92),_xlfn.CONCAT(CHAR(92),CHAR(92))),"$",_xlfn.CONCAT(CHAR(92),"$")),CHAR(96),_xlfn.CONCAT(CHAR(92),CHAR(96))),CHAR(34),CHAR(39))))</f>
        <v/>
      </c>
      <c r="U124" s="5">
        <f t="shared" si="3"/>
        <v>0</v>
      </c>
    </row>
    <row r="125" spans="3:21" ht="30" customHeight="1" x14ac:dyDescent="0.2">
      <c r="C125" s="4"/>
      <c r="K125" s="5">
        <f t="shared" si="2"/>
        <v>0</v>
      </c>
      <c r="L125" s="5" t="str">
        <f>IF(OR(TRIM($B125)="",$A125=""),"",IF(OR(ISNUMBER(SEARCH(_xlfn.CONCAT(CHAR(96),CHAR(34)),$A125)),ISNUMBER(SEARCH(_xlfn.CONCAT(CHAR(34),CHAR(39)),$A125))),_xlfn.CONCAT("* REVIEW REQUIRED: compound-quote delimiter in Codebook Section on Sheet 1 row ",125,"; edit the input before running."),_xlfn.CONCAT("char ",TRIM($B125),"[doc_section] ",CHAR(96),CHAR(34),SUBSTITUTE(SUBSTITUTE(SUBSTITUTE(SUBSTITUTE(SUBSTITUTE(SUBSTITUTE($A125,CHAR(13)," "),CHAR(10)," "),CHAR(9)," "),CHAR(92),_xlfn.CONCAT(CHAR(92),CHAR(92))),"$",_xlfn.CONCAT(CHAR(92),"$")),CHAR(96),_xlfn.CONCAT(CHAR(92),CHAR(96))),CHAR(34),CHAR(39))))</f>
        <v/>
      </c>
      <c r="M125" s="5" t="str">
        <f>IF(OR(TRIM($B125)="",$C125=""),"",IF(IFERROR(MATCH(TRIM($C125),{"Quantitative","Continuous","Discrete","Categorical","Nominal","Ordinal","Identifier"},0),0)=0,_xlfn.CONCAT("* REVIEW REQUIRED: invalid Variable Type on Sheet 1 row ",125,"."),_xlfn.CONCAT("char ",TRIM($B125),"[doc_vartype] ",CHAR(96),CHAR(34),SUBSTITUTE(SUBSTITUTE(SUBSTITUTE(SUBSTITUTE(SUBSTITUTE(SUBSTITUTE(LOWER(TRIM($C125)),CHAR(13)," "),CHAR(10)," "),CHAR(9)," "),CHAR(92),_xlfn.CONCAT(CHAR(92),CHAR(92))),"$",_xlfn.CONCAT(CHAR(92),"$")),CHAR(96),_xlfn.CONCAT(CHAR(92),CHAR(96))),CHAR(34),CHAR(39))))</f>
        <v/>
      </c>
      <c r="N125" s="5" t="str">
        <f>IF(OR(TRIM($B125)="",$D125=""),"",IF(OR(ISNUMBER(SEARCH(_xlfn.CONCAT(CHAR(96),CHAR(34)),$D125)),ISNUMBER(SEARCH(_xlfn.CONCAT(CHAR(34),CHAR(39)),$D125))),_xlfn.CONCAT("* REVIEW REQUIRED: compound-quote delimiter in Item Number on Sheet 1 row ",125,"; edit the input before running."),_xlfn.CONCAT("char ",TRIM($B125),"[doc_itemnum] ",CHAR(96),CHAR(34),SUBSTITUTE(SUBSTITUTE(SUBSTITUTE(SUBSTITUTE(SUBSTITUTE(SUBSTITUTE($D125,CHAR(13)," "),CHAR(10)," "),CHAR(9)," "),CHAR(92),_xlfn.CONCAT(CHAR(92),CHAR(92))),"$",_xlfn.CONCAT(CHAR(92),"$")),CHAR(96),_xlfn.CONCAT(CHAR(92),CHAR(96))),CHAR(34),CHAR(39))))</f>
        <v/>
      </c>
      <c r="O125" s="5" t="str">
        <f>IF(OR(TRIM($B125)="",$E125=""),"",IF(OR(ISNUMBER(SEARCH(_xlfn.CONCAT(CHAR(96),CHAR(34)),$E125)),ISNUMBER(SEARCH(_xlfn.CONCAT(CHAR(34),CHAR(39)),$E125))),_xlfn.CONCAT("* REVIEW REQUIRED: compound-quote delimiter in Question Wording on Sheet 1 row ",125,"; edit the input before running."),_xlfn.CONCAT("char ",TRIM($B125),"[doc_question] ",CHAR(96),CHAR(34),SUBSTITUTE(SUBSTITUTE(SUBSTITUTE(SUBSTITUTE(SUBSTITUTE(SUBSTITUTE($E125,CHAR(13)," "),CHAR(10)," "),CHAR(9)," "),CHAR(92),_xlfn.CONCAT(CHAR(92),CHAR(92))),"$",_xlfn.CONCAT(CHAR(92),"$")),CHAR(96),_xlfn.CONCAT(CHAR(92),CHAR(96))),CHAR(34),CHAR(39))))</f>
        <v/>
      </c>
      <c r="P125" s="5" t="str">
        <f>IF(OR(TRIM($B125)="",$F125=""),"",IF(OR(ISNUMBER(SEARCH(_xlfn.CONCAT(CHAR(96),CHAR(34)),$F125)),ISNUMBER(SEARCH(_xlfn.CONCAT(CHAR(34),CHAR(39)),$F125))),_xlfn.CONCAT("* REVIEW REQUIRED: compound-quote delimiter in Units on Sheet 1 row ",125,"; edit the input before running."),_xlfn.CONCAT("char ",TRIM($B125),"[doc_units] ",CHAR(96),CHAR(34),SUBSTITUTE(SUBSTITUTE(SUBSTITUTE(SUBSTITUTE(SUBSTITUTE(SUBSTITUTE($F125,CHAR(13)," "),CHAR(10)," "),CHAR(9)," "),CHAR(92),_xlfn.CONCAT(CHAR(92),CHAR(92))),"$",_xlfn.CONCAT(CHAR(92),"$")),CHAR(96),_xlfn.CONCAT(CHAR(92),CHAR(96))),CHAR(34),CHAR(39))))</f>
        <v/>
      </c>
      <c r="Q125" s="5" t="str">
        <f>IF(OR(TRIM($B125)="",$G125=""),"",IF(OR(ISNUMBER(SEARCH(_xlfn.CONCAT(CHAR(96),CHAR(34)),$G125)),ISNUMBER(SEARCH(_xlfn.CONCAT(CHAR(34),CHAR(39)),$G125))),_xlfn.CONCAT("* REVIEW REQUIRED: compound-quote delimiter in Universe on Sheet 1 row ",125,"; edit the input before running."),_xlfn.CONCAT("char ",TRIM($B125),"[doc_universe] ",CHAR(96),CHAR(34),SUBSTITUTE(SUBSTITUTE(SUBSTITUTE(SUBSTITUTE(SUBSTITUTE(SUBSTITUTE($G125,CHAR(13)," "),CHAR(10)," "),CHAR(9)," "),CHAR(92),_xlfn.CONCAT(CHAR(92),CHAR(92))),"$",_xlfn.CONCAT(CHAR(92),"$")),CHAR(96),_xlfn.CONCAT(CHAR(92),CHAR(96))),CHAR(34),CHAR(39))))</f>
        <v/>
      </c>
      <c r="R125" s="5" t="str">
        <f>IF(OR(TRIM($B125)="",$H125=""),"",IF(OR(ISNUMBER(SEARCH(_xlfn.CONCAT(CHAR(96),CHAR(34)),$H125)),ISNUMBER(SEARCH(_xlfn.CONCAT(CHAR(34),CHAR(39)),$H125))),_xlfn.CONCAT("* REVIEW REQUIRED: compound-quote delimiter in Source on Sheet 1 row ",125,"; edit the input before running."),_xlfn.CONCAT("char ",TRIM($B125),"[doc_source] ",CHAR(96),CHAR(34),SUBSTITUTE(SUBSTITUTE(SUBSTITUTE(SUBSTITUTE(SUBSTITUTE(SUBSTITUTE($H125,CHAR(13)," "),CHAR(10)," "),CHAR(9)," "),CHAR(92),_xlfn.CONCAT(CHAR(92),CHAR(92))),"$",_xlfn.CONCAT(CHAR(92),"$")),CHAR(96),_xlfn.CONCAT(CHAR(92),CHAR(96))),CHAR(34),CHAR(39))))</f>
        <v/>
      </c>
      <c r="S125" s="5" t="str">
        <f>IF(OR(TRIM($B125)="",$I125=""),"",IF(OR(ISNUMBER(SEARCH(_xlfn.CONCAT(CHAR(96),CHAR(34)),$I125)),ISNUMBER(SEARCH(_xlfn.CONCAT(CHAR(34),CHAR(39)),$I125))),_xlfn.CONCAT("* REVIEW REQUIRED: compound-quote delimiter in Derivation on Sheet 1 row ",125,"; edit the input before running."),_xlfn.CONCAT("char ",TRIM($B125),"[doc_derivation] ",CHAR(96),CHAR(34),SUBSTITUTE(SUBSTITUTE(SUBSTITUTE(SUBSTITUTE(SUBSTITUTE(SUBSTITUTE($I125,CHAR(13)," "),CHAR(10)," "),CHAR(9)," "),CHAR(92),_xlfn.CONCAT(CHAR(92),CHAR(92))),"$",_xlfn.CONCAT(CHAR(92),"$")),CHAR(96),_xlfn.CONCAT(CHAR(92),CHAR(96))),CHAR(34),CHAR(39))))</f>
        <v/>
      </c>
      <c r="T125" s="5" t="str">
        <f>IF(OR(TRIM($B125)="",$J125=""),"",IF(OR(ISNUMBER(SEARCH(_xlfn.CONCAT(CHAR(96),CHAR(34)),$J125)),ISNUMBER(SEARCH(_xlfn.CONCAT(CHAR(34),CHAR(39)),$J125))),_xlfn.CONCAT("* REVIEW REQUIRED: compound-quote delimiter in Notes on Sheet 1 row ",125,"; edit the input before running."),_xlfn.CONCAT("char ",TRIM($B125),"[doc_notes] ",CHAR(96),CHAR(34),SUBSTITUTE(SUBSTITUTE(SUBSTITUTE(SUBSTITUTE(SUBSTITUTE(SUBSTITUTE($J125,CHAR(13)," "),CHAR(10)," "),CHAR(9)," "),CHAR(92),_xlfn.CONCAT(CHAR(92),CHAR(92))),"$",_xlfn.CONCAT(CHAR(92),"$")),CHAR(96),_xlfn.CONCAT(CHAR(92),CHAR(96))),CHAR(34),CHAR(39))))</f>
        <v/>
      </c>
      <c r="U125" s="5">
        <f t="shared" si="3"/>
        <v>0</v>
      </c>
    </row>
    <row r="126" spans="3:21" ht="30" customHeight="1" x14ac:dyDescent="0.2">
      <c r="C126" s="4"/>
      <c r="K126" s="5">
        <f t="shared" si="2"/>
        <v>0</v>
      </c>
      <c r="L126" s="5" t="str">
        <f>IF(OR(TRIM($B126)="",$A126=""),"",IF(OR(ISNUMBER(SEARCH(_xlfn.CONCAT(CHAR(96),CHAR(34)),$A126)),ISNUMBER(SEARCH(_xlfn.CONCAT(CHAR(34),CHAR(39)),$A126))),_xlfn.CONCAT("* REVIEW REQUIRED: compound-quote delimiter in Codebook Section on Sheet 1 row ",126,"; edit the input before running."),_xlfn.CONCAT("char ",TRIM($B126),"[doc_section] ",CHAR(96),CHAR(34),SUBSTITUTE(SUBSTITUTE(SUBSTITUTE(SUBSTITUTE(SUBSTITUTE(SUBSTITUTE($A126,CHAR(13)," "),CHAR(10)," "),CHAR(9)," "),CHAR(92),_xlfn.CONCAT(CHAR(92),CHAR(92))),"$",_xlfn.CONCAT(CHAR(92),"$")),CHAR(96),_xlfn.CONCAT(CHAR(92),CHAR(96))),CHAR(34),CHAR(39))))</f>
        <v/>
      </c>
      <c r="M126" s="5" t="str">
        <f>IF(OR(TRIM($B126)="",$C126=""),"",IF(IFERROR(MATCH(TRIM($C126),{"Quantitative","Continuous","Discrete","Categorical","Nominal","Ordinal","Identifier"},0),0)=0,_xlfn.CONCAT("* REVIEW REQUIRED: invalid Variable Type on Sheet 1 row ",126,"."),_xlfn.CONCAT("char ",TRIM($B126),"[doc_vartype] ",CHAR(96),CHAR(34),SUBSTITUTE(SUBSTITUTE(SUBSTITUTE(SUBSTITUTE(SUBSTITUTE(SUBSTITUTE(LOWER(TRIM($C126)),CHAR(13)," "),CHAR(10)," "),CHAR(9)," "),CHAR(92),_xlfn.CONCAT(CHAR(92),CHAR(92))),"$",_xlfn.CONCAT(CHAR(92),"$")),CHAR(96),_xlfn.CONCAT(CHAR(92),CHAR(96))),CHAR(34),CHAR(39))))</f>
        <v/>
      </c>
      <c r="N126" s="5" t="str">
        <f>IF(OR(TRIM($B126)="",$D126=""),"",IF(OR(ISNUMBER(SEARCH(_xlfn.CONCAT(CHAR(96),CHAR(34)),$D126)),ISNUMBER(SEARCH(_xlfn.CONCAT(CHAR(34),CHAR(39)),$D126))),_xlfn.CONCAT("* REVIEW REQUIRED: compound-quote delimiter in Item Number on Sheet 1 row ",126,"; edit the input before running."),_xlfn.CONCAT("char ",TRIM($B126),"[doc_itemnum] ",CHAR(96),CHAR(34),SUBSTITUTE(SUBSTITUTE(SUBSTITUTE(SUBSTITUTE(SUBSTITUTE(SUBSTITUTE($D126,CHAR(13)," "),CHAR(10)," "),CHAR(9)," "),CHAR(92),_xlfn.CONCAT(CHAR(92),CHAR(92))),"$",_xlfn.CONCAT(CHAR(92),"$")),CHAR(96),_xlfn.CONCAT(CHAR(92),CHAR(96))),CHAR(34),CHAR(39))))</f>
        <v/>
      </c>
      <c r="O126" s="5" t="str">
        <f>IF(OR(TRIM($B126)="",$E126=""),"",IF(OR(ISNUMBER(SEARCH(_xlfn.CONCAT(CHAR(96),CHAR(34)),$E126)),ISNUMBER(SEARCH(_xlfn.CONCAT(CHAR(34),CHAR(39)),$E126))),_xlfn.CONCAT("* REVIEW REQUIRED: compound-quote delimiter in Question Wording on Sheet 1 row ",126,"; edit the input before running."),_xlfn.CONCAT("char ",TRIM($B126),"[doc_question] ",CHAR(96),CHAR(34),SUBSTITUTE(SUBSTITUTE(SUBSTITUTE(SUBSTITUTE(SUBSTITUTE(SUBSTITUTE($E126,CHAR(13)," "),CHAR(10)," "),CHAR(9)," "),CHAR(92),_xlfn.CONCAT(CHAR(92),CHAR(92))),"$",_xlfn.CONCAT(CHAR(92),"$")),CHAR(96),_xlfn.CONCAT(CHAR(92),CHAR(96))),CHAR(34),CHAR(39))))</f>
        <v/>
      </c>
      <c r="P126" s="5" t="str">
        <f>IF(OR(TRIM($B126)="",$F126=""),"",IF(OR(ISNUMBER(SEARCH(_xlfn.CONCAT(CHAR(96),CHAR(34)),$F126)),ISNUMBER(SEARCH(_xlfn.CONCAT(CHAR(34),CHAR(39)),$F126))),_xlfn.CONCAT("* REVIEW REQUIRED: compound-quote delimiter in Units on Sheet 1 row ",126,"; edit the input before running."),_xlfn.CONCAT("char ",TRIM($B126),"[doc_units] ",CHAR(96),CHAR(34),SUBSTITUTE(SUBSTITUTE(SUBSTITUTE(SUBSTITUTE(SUBSTITUTE(SUBSTITUTE($F126,CHAR(13)," "),CHAR(10)," "),CHAR(9)," "),CHAR(92),_xlfn.CONCAT(CHAR(92),CHAR(92))),"$",_xlfn.CONCAT(CHAR(92),"$")),CHAR(96),_xlfn.CONCAT(CHAR(92),CHAR(96))),CHAR(34),CHAR(39))))</f>
        <v/>
      </c>
      <c r="Q126" s="5" t="str">
        <f>IF(OR(TRIM($B126)="",$G126=""),"",IF(OR(ISNUMBER(SEARCH(_xlfn.CONCAT(CHAR(96),CHAR(34)),$G126)),ISNUMBER(SEARCH(_xlfn.CONCAT(CHAR(34),CHAR(39)),$G126))),_xlfn.CONCAT("* REVIEW REQUIRED: compound-quote delimiter in Universe on Sheet 1 row ",126,"; edit the input before running."),_xlfn.CONCAT("char ",TRIM($B126),"[doc_universe] ",CHAR(96),CHAR(34),SUBSTITUTE(SUBSTITUTE(SUBSTITUTE(SUBSTITUTE(SUBSTITUTE(SUBSTITUTE($G126,CHAR(13)," "),CHAR(10)," "),CHAR(9)," "),CHAR(92),_xlfn.CONCAT(CHAR(92),CHAR(92))),"$",_xlfn.CONCAT(CHAR(92),"$")),CHAR(96),_xlfn.CONCAT(CHAR(92),CHAR(96))),CHAR(34),CHAR(39))))</f>
        <v/>
      </c>
      <c r="R126" s="5" t="str">
        <f>IF(OR(TRIM($B126)="",$H126=""),"",IF(OR(ISNUMBER(SEARCH(_xlfn.CONCAT(CHAR(96),CHAR(34)),$H126)),ISNUMBER(SEARCH(_xlfn.CONCAT(CHAR(34),CHAR(39)),$H126))),_xlfn.CONCAT("* REVIEW REQUIRED: compound-quote delimiter in Source on Sheet 1 row ",126,"; edit the input before running."),_xlfn.CONCAT("char ",TRIM($B126),"[doc_source] ",CHAR(96),CHAR(34),SUBSTITUTE(SUBSTITUTE(SUBSTITUTE(SUBSTITUTE(SUBSTITUTE(SUBSTITUTE($H126,CHAR(13)," "),CHAR(10)," "),CHAR(9)," "),CHAR(92),_xlfn.CONCAT(CHAR(92),CHAR(92))),"$",_xlfn.CONCAT(CHAR(92),"$")),CHAR(96),_xlfn.CONCAT(CHAR(92),CHAR(96))),CHAR(34),CHAR(39))))</f>
        <v/>
      </c>
      <c r="S126" s="5" t="str">
        <f>IF(OR(TRIM($B126)="",$I126=""),"",IF(OR(ISNUMBER(SEARCH(_xlfn.CONCAT(CHAR(96),CHAR(34)),$I126)),ISNUMBER(SEARCH(_xlfn.CONCAT(CHAR(34),CHAR(39)),$I126))),_xlfn.CONCAT("* REVIEW REQUIRED: compound-quote delimiter in Derivation on Sheet 1 row ",126,"; edit the input before running."),_xlfn.CONCAT("char ",TRIM($B126),"[doc_derivation] ",CHAR(96),CHAR(34),SUBSTITUTE(SUBSTITUTE(SUBSTITUTE(SUBSTITUTE(SUBSTITUTE(SUBSTITUTE($I126,CHAR(13)," "),CHAR(10)," "),CHAR(9)," "),CHAR(92),_xlfn.CONCAT(CHAR(92),CHAR(92))),"$",_xlfn.CONCAT(CHAR(92),"$")),CHAR(96),_xlfn.CONCAT(CHAR(92),CHAR(96))),CHAR(34),CHAR(39))))</f>
        <v/>
      </c>
      <c r="T126" s="5" t="str">
        <f>IF(OR(TRIM($B126)="",$J126=""),"",IF(OR(ISNUMBER(SEARCH(_xlfn.CONCAT(CHAR(96),CHAR(34)),$J126)),ISNUMBER(SEARCH(_xlfn.CONCAT(CHAR(34),CHAR(39)),$J126))),_xlfn.CONCAT("* REVIEW REQUIRED: compound-quote delimiter in Notes on Sheet 1 row ",126,"; edit the input before running."),_xlfn.CONCAT("char ",TRIM($B126),"[doc_notes] ",CHAR(96),CHAR(34),SUBSTITUTE(SUBSTITUTE(SUBSTITUTE(SUBSTITUTE(SUBSTITUTE(SUBSTITUTE($J126,CHAR(13)," "),CHAR(10)," "),CHAR(9)," "),CHAR(92),_xlfn.CONCAT(CHAR(92),CHAR(92))),"$",_xlfn.CONCAT(CHAR(92),"$")),CHAR(96),_xlfn.CONCAT(CHAR(92),CHAR(96))),CHAR(34),CHAR(39))))</f>
        <v/>
      </c>
      <c r="U126" s="5">
        <f t="shared" si="3"/>
        <v>0</v>
      </c>
    </row>
    <row r="127" spans="3:21" ht="30" customHeight="1" x14ac:dyDescent="0.2">
      <c r="C127" s="4"/>
      <c r="K127" s="5">
        <f t="shared" si="2"/>
        <v>0</v>
      </c>
      <c r="L127" s="5" t="str">
        <f>IF(OR(TRIM($B127)="",$A127=""),"",IF(OR(ISNUMBER(SEARCH(_xlfn.CONCAT(CHAR(96),CHAR(34)),$A127)),ISNUMBER(SEARCH(_xlfn.CONCAT(CHAR(34),CHAR(39)),$A127))),_xlfn.CONCAT("* REVIEW REQUIRED: compound-quote delimiter in Codebook Section on Sheet 1 row ",127,"; edit the input before running."),_xlfn.CONCAT("char ",TRIM($B127),"[doc_section] ",CHAR(96),CHAR(34),SUBSTITUTE(SUBSTITUTE(SUBSTITUTE(SUBSTITUTE(SUBSTITUTE(SUBSTITUTE($A127,CHAR(13)," "),CHAR(10)," "),CHAR(9)," "),CHAR(92),_xlfn.CONCAT(CHAR(92),CHAR(92))),"$",_xlfn.CONCAT(CHAR(92),"$")),CHAR(96),_xlfn.CONCAT(CHAR(92),CHAR(96))),CHAR(34),CHAR(39))))</f>
        <v/>
      </c>
      <c r="M127" s="5" t="str">
        <f>IF(OR(TRIM($B127)="",$C127=""),"",IF(IFERROR(MATCH(TRIM($C127),{"Quantitative","Continuous","Discrete","Categorical","Nominal","Ordinal","Identifier"},0),0)=0,_xlfn.CONCAT("* REVIEW REQUIRED: invalid Variable Type on Sheet 1 row ",127,"."),_xlfn.CONCAT("char ",TRIM($B127),"[doc_vartype] ",CHAR(96),CHAR(34),SUBSTITUTE(SUBSTITUTE(SUBSTITUTE(SUBSTITUTE(SUBSTITUTE(SUBSTITUTE(LOWER(TRIM($C127)),CHAR(13)," "),CHAR(10)," "),CHAR(9)," "),CHAR(92),_xlfn.CONCAT(CHAR(92),CHAR(92))),"$",_xlfn.CONCAT(CHAR(92),"$")),CHAR(96),_xlfn.CONCAT(CHAR(92),CHAR(96))),CHAR(34),CHAR(39))))</f>
        <v/>
      </c>
      <c r="N127" s="5" t="str">
        <f>IF(OR(TRIM($B127)="",$D127=""),"",IF(OR(ISNUMBER(SEARCH(_xlfn.CONCAT(CHAR(96),CHAR(34)),$D127)),ISNUMBER(SEARCH(_xlfn.CONCAT(CHAR(34),CHAR(39)),$D127))),_xlfn.CONCAT("* REVIEW REQUIRED: compound-quote delimiter in Item Number on Sheet 1 row ",127,"; edit the input before running."),_xlfn.CONCAT("char ",TRIM($B127),"[doc_itemnum] ",CHAR(96),CHAR(34),SUBSTITUTE(SUBSTITUTE(SUBSTITUTE(SUBSTITUTE(SUBSTITUTE(SUBSTITUTE($D127,CHAR(13)," "),CHAR(10)," "),CHAR(9)," "),CHAR(92),_xlfn.CONCAT(CHAR(92),CHAR(92))),"$",_xlfn.CONCAT(CHAR(92),"$")),CHAR(96),_xlfn.CONCAT(CHAR(92),CHAR(96))),CHAR(34),CHAR(39))))</f>
        <v/>
      </c>
      <c r="O127" s="5" t="str">
        <f>IF(OR(TRIM($B127)="",$E127=""),"",IF(OR(ISNUMBER(SEARCH(_xlfn.CONCAT(CHAR(96),CHAR(34)),$E127)),ISNUMBER(SEARCH(_xlfn.CONCAT(CHAR(34),CHAR(39)),$E127))),_xlfn.CONCAT("* REVIEW REQUIRED: compound-quote delimiter in Question Wording on Sheet 1 row ",127,"; edit the input before running."),_xlfn.CONCAT("char ",TRIM($B127),"[doc_question] ",CHAR(96),CHAR(34),SUBSTITUTE(SUBSTITUTE(SUBSTITUTE(SUBSTITUTE(SUBSTITUTE(SUBSTITUTE($E127,CHAR(13)," "),CHAR(10)," "),CHAR(9)," "),CHAR(92),_xlfn.CONCAT(CHAR(92),CHAR(92))),"$",_xlfn.CONCAT(CHAR(92),"$")),CHAR(96),_xlfn.CONCAT(CHAR(92),CHAR(96))),CHAR(34),CHAR(39))))</f>
        <v/>
      </c>
      <c r="P127" s="5" t="str">
        <f>IF(OR(TRIM($B127)="",$F127=""),"",IF(OR(ISNUMBER(SEARCH(_xlfn.CONCAT(CHAR(96),CHAR(34)),$F127)),ISNUMBER(SEARCH(_xlfn.CONCAT(CHAR(34),CHAR(39)),$F127))),_xlfn.CONCAT("* REVIEW REQUIRED: compound-quote delimiter in Units on Sheet 1 row ",127,"; edit the input before running."),_xlfn.CONCAT("char ",TRIM($B127),"[doc_units] ",CHAR(96),CHAR(34),SUBSTITUTE(SUBSTITUTE(SUBSTITUTE(SUBSTITUTE(SUBSTITUTE(SUBSTITUTE($F127,CHAR(13)," "),CHAR(10)," "),CHAR(9)," "),CHAR(92),_xlfn.CONCAT(CHAR(92),CHAR(92))),"$",_xlfn.CONCAT(CHAR(92),"$")),CHAR(96),_xlfn.CONCAT(CHAR(92),CHAR(96))),CHAR(34),CHAR(39))))</f>
        <v/>
      </c>
      <c r="Q127" s="5" t="str">
        <f>IF(OR(TRIM($B127)="",$G127=""),"",IF(OR(ISNUMBER(SEARCH(_xlfn.CONCAT(CHAR(96),CHAR(34)),$G127)),ISNUMBER(SEARCH(_xlfn.CONCAT(CHAR(34),CHAR(39)),$G127))),_xlfn.CONCAT("* REVIEW REQUIRED: compound-quote delimiter in Universe on Sheet 1 row ",127,"; edit the input before running."),_xlfn.CONCAT("char ",TRIM($B127),"[doc_universe] ",CHAR(96),CHAR(34),SUBSTITUTE(SUBSTITUTE(SUBSTITUTE(SUBSTITUTE(SUBSTITUTE(SUBSTITUTE($G127,CHAR(13)," "),CHAR(10)," "),CHAR(9)," "),CHAR(92),_xlfn.CONCAT(CHAR(92),CHAR(92))),"$",_xlfn.CONCAT(CHAR(92),"$")),CHAR(96),_xlfn.CONCAT(CHAR(92),CHAR(96))),CHAR(34),CHAR(39))))</f>
        <v/>
      </c>
      <c r="R127" s="5" t="str">
        <f>IF(OR(TRIM($B127)="",$H127=""),"",IF(OR(ISNUMBER(SEARCH(_xlfn.CONCAT(CHAR(96),CHAR(34)),$H127)),ISNUMBER(SEARCH(_xlfn.CONCAT(CHAR(34),CHAR(39)),$H127))),_xlfn.CONCAT("* REVIEW REQUIRED: compound-quote delimiter in Source on Sheet 1 row ",127,"; edit the input before running."),_xlfn.CONCAT("char ",TRIM($B127),"[doc_source] ",CHAR(96),CHAR(34),SUBSTITUTE(SUBSTITUTE(SUBSTITUTE(SUBSTITUTE(SUBSTITUTE(SUBSTITUTE($H127,CHAR(13)," "),CHAR(10)," "),CHAR(9)," "),CHAR(92),_xlfn.CONCAT(CHAR(92),CHAR(92))),"$",_xlfn.CONCAT(CHAR(92),"$")),CHAR(96),_xlfn.CONCAT(CHAR(92),CHAR(96))),CHAR(34),CHAR(39))))</f>
        <v/>
      </c>
      <c r="S127" s="5" t="str">
        <f>IF(OR(TRIM($B127)="",$I127=""),"",IF(OR(ISNUMBER(SEARCH(_xlfn.CONCAT(CHAR(96),CHAR(34)),$I127)),ISNUMBER(SEARCH(_xlfn.CONCAT(CHAR(34),CHAR(39)),$I127))),_xlfn.CONCAT("* REVIEW REQUIRED: compound-quote delimiter in Derivation on Sheet 1 row ",127,"; edit the input before running."),_xlfn.CONCAT("char ",TRIM($B127),"[doc_derivation] ",CHAR(96),CHAR(34),SUBSTITUTE(SUBSTITUTE(SUBSTITUTE(SUBSTITUTE(SUBSTITUTE(SUBSTITUTE($I127,CHAR(13)," "),CHAR(10)," "),CHAR(9)," "),CHAR(92),_xlfn.CONCAT(CHAR(92),CHAR(92))),"$",_xlfn.CONCAT(CHAR(92),"$")),CHAR(96),_xlfn.CONCAT(CHAR(92),CHAR(96))),CHAR(34),CHAR(39))))</f>
        <v/>
      </c>
      <c r="T127" s="5" t="str">
        <f>IF(OR(TRIM($B127)="",$J127=""),"",IF(OR(ISNUMBER(SEARCH(_xlfn.CONCAT(CHAR(96),CHAR(34)),$J127)),ISNUMBER(SEARCH(_xlfn.CONCAT(CHAR(34),CHAR(39)),$J127))),_xlfn.CONCAT("* REVIEW REQUIRED: compound-quote delimiter in Notes on Sheet 1 row ",127,"; edit the input before running."),_xlfn.CONCAT("char ",TRIM($B127),"[doc_notes] ",CHAR(96),CHAR(34),SUBSTITUTE(SUBSTITUTE(SUBSTITUTE(SUBSTITUTE(SUBSTITUTE(SUBSTITUTE($J127,CHAR(13)," "),CHAR(10)," "),CHAR(9)," "),CHAR(92),_xlfn.CONCAT(CHAR(92),CHAR(92))),"$",_xlfn.CONCAT(CHAR(92),"$")),CHAR(96),_xlfn.CONCAT(CHAR(92),CHAR(96))),CHAR(34),CHAR(39))))</f>
        <v/>
      </c>
      <c r="U127" s="5">
        <f t="shared" si="3"/>
        <v>0</v>
      </c>
    </row>
    <row r="128" spans="3:21" ht="30" customHeight="1" x14ac:dyDescent="0.2">
      <c r="C128" s="4"/>
      <c r="K128" s="5">
        <f t="shared" si="2"/>
        <v>0</v>
      </c>
      <c r="L128" s="5" t="str">
        <f>IF(OR(TRIM($B128)="",$A128=""),"",IF(OR(ISNUMBER(SEARCH(_xlfn.CONCAT(CHAR(96),CHAR(34)),$A128)),ISNUMBER(SEARCH(_xlfn.CONCAT(CHAR(34),CHAR(39)),$A128))),_xlfn.CONCAT("* REVIEW REQUIRED: compound-quote delimiter in Codebook Section on Sheet 1 row ",128,"; edit the input before running."),_xlfn.CONCAT("char ",TRIM($B128),"[doc_section] ",CHAR(96),CHAR(34),SUBSTITUTE(SUBSTITUTE(SUBSTITUTE(SUBSTITUTE(SUBSTITUTE(SUBSTITUTE($A128,CHAR(13)," "),CHAR(10)," "),CHAR(9)," "),CHAR(92),_xlfn.CONCAT(CHAR(92),CHAR(92))),"$",_xlfn.CONCAT(CHAR(92),"$")),CHAR(96),_xlfn.CONCAT(CHAR(92),CHAR(96))),CHAR(34),CHAR(39))))</f>
        <v/>
      </c>
      <c r="M128" s="5" t="str">
        <f>IF(OR(TRIM($B128)="",$C128=""),"",IF(IFERROR(MATCH(TRIM($C128),{"Quantitative","Continuous","Discrete","Categorical","Nominal","Ordinal","Identifier"},0),0)=0,_xlfn.CONCAT("* REVIEW REQUIRED: invalid Variable Type on Sheet 1 row ",128,"."),_xlfn.CONCAT("char ",TRIM($B128),"[doc_vartype] ",CHAR(96),CHAR(34),SUBSTITUTE(SUBSTITUTE(SUBSTITUTE(SUBSTITUTE(SUBSTITUTE(SUBSTITUTE(LOWER(TRIM($C128)),CHAR(13)," "),CHAR(10)," "),CHAR(9)," "),CHAR(92),_xlfn.CONCAT(CHAR(92),CHAR(92))),"$",_xlfn.CONCAT(CHAR(92),"$")),CHAR(96),_xlfn.CONCAT(CHAR(92),CHAR(96))),CHAR(34),CHAR(39))))</f>
        <v/>
      </c>
      <c r="N128" s="5" t="str">
        <f>IF(OR(TRIM($B128)="",$D128=""),"",IF(OR(ISNUMBER(SEARCH(_xlfn.CONCAT(CHAR(96),CHAR(34)),$D128)),ISNUMBER(SEARCH(_xlfn.CONCAT(CHAR(34),CHAR(39)),$D128))),_xlfn.CONCAT("* REVIEW REQUIRED: compound-quote delimiter in Item Number on Sheet 1 row ",128,"; edit the input before running."),_xlfn.CONCAT("char ",TRIM($B128),"[doc_itemnum] ",CHAR(96),CHAR(34),SUBSTITUTE(SUBSTITUTE(SUBSTITUTE(SUBSTITUTE(SUBSTITUTE(SUBSTITUTE($D128,CHAR(13)," "),CHAR(10)," "),CHAR(9)," "),CHAR(92),_xlfn.CONCAT(CHAR(92),CHAR(92))),"$",_xlfn.CONCAT(CHAR(92),"$")),CHAR(96),_xlfn.CONCAT(CHAR(92),CHAR(96))),CHAR(34),CHAR(39))))</f>
        <v/>
      </c>
      <c r="O128" s="5" t="str">
        <f>IF(OR(TRIM($B128)="",$E128=""),"",IF(OR(ISNUMBER(SEARCH(_xlfn.CONCAT(CHAR(96),CHAR(34)),$E128)),ISNUMBER(SEARCH(_xlfn.CONCAT(CHAR(34),CHAR(39)),$E128))),_xlfn.CONCAT("* REVIEW REQUIRED: compound-quote delimiter in Question Wording on Sheet 1 row ",128,"; edit the input before running."),_xlfn.CONCAT("char ",TRIM($B128),"[doc_question] ",CHAR(96),CHAR(34),SUBSTITUTE(SUBSTITUTE(SUBSTITUTE(SUBSTITUTE(SUBSTITUTE(SUBSTITUTE($E128,CHAR(13)," "),CHAR(10)," "),CHAR(9)," "),CHAR(92),_xlfn.CONCAT(CHAR(92),CHAR(92))),"$",_xlfn.CONCAT(CHAR(92),"$")),CHAR(96),_xlfn.CONCAT(CHAR(92),CHAR(96))),CHAR(34),CHAR(39))))</f>
        <v/>
      </c>
      <c r="P128" s="5" t="str">
        <f>IF(OR(TRIM($B128)="",$F128=""),"",IF(OR(ISNUMBER(SEARCH(_xlfn.CONCAT(CHAR(96),CHAR(34)),$F128)),ISNUMBER(SEARCH(_xlfn.CONCAT(CHAR(34),CHAR(39)),$F128))),_xlfn.CONCAT("* REVIEW REQUIRED: compound-quote delimiter in Units on Sheet 1 row ",128,"; edit the input before running."),_xlfn.CONCAT("char ",TRIM($B128),"[doc_units] ",CHAR(96),CHAR(34),SUBSTITUTE(SUBSTITUTE(SUBSTITUTE(SUBSTITUTE(SUBSTITUTE(SUBSTITUTE($F128,CHAR(13)," "),CHAR(10)," "),CHAR(9)," "),CHAR(92),_xlfn.CONCAT(CHAR(92),CHAR(92))),"$",_xlfn.CONCAT(CHAR(92),"$")),CHAR(96),_xlfn.CONCAT(CHAR(92),CHAR(96))),CHAR(34),CHAR(39))))</f>
        <v/>
      </c>
      <c r="Q128" s="5" t="str">
        <f>IF(OR(TRIM($B128)="",$G128=""),"",IF(OR(ISNUMBER(SEARCH(_xlfn.CONCAT(CHAR(96),CHAR(34)),$G128)),ISNUMBER(SEARCH(_xlfn.CONCAT(CHAR(34),CHAR(39)),$G128))),_xlfn.CONCAT("* REVIEW REQUIRED: compound-quote delimiter in Universe on Sheet 1 row ",128,"; edit the input before running."),_xlfn.CONCAT("char ",TRIM($B128),"[doc_universe] ",CHAR(96),CHAR(34),SUBSTITUTE(SUBSTITUTE(SUBSTITUTE(SUBSTITUTE(SUBSTITUTE(SUBSTITUTE($G128,CHAR(13)," "),CHAR(10)," "),CHAR(9)," "),CHAR(92),_xlfn.CONCAT(CHAR(92),CHAR(92))),"$",_xlfn.CONCAT(CHAR(92),"$")),CHAR(96),_xlfn.CONCAT(CHAR(92),CHAR(96))),CHAR(34),CHAR(39))))</f>
        <v/>
      </c>
      <c r="R128" s="5" t="str">
        <f>IF(OR(TRIM($B128)="",$H128=""),"",IF(OR(ISNUMBER(SEARCH(_xlfn.CONCAT(CHAR(96),CHAR(34)),$H128)),ISNUMBER(SEARCH(_xlfn.CONCAT(CHAR(34),CHAR(39)),$H128))),_xlfn.CONCAT("* REVIEW REQUIRED: compound-quote delimiter in Source on Sheet 1 row ",128,"; edit the input before running."),_xlfn.CONCAT("char ",TRIM($B128),"[doc_source] ",CHAR(96),CHAR(34),SUBSTITUTE(SUBSTITUTE(SUBSTITUTE(SUBSTITUTE(SUBSTITUTE(SUBSTITUTE($H128,CHAR(13)," "),CHAR(10)," "),CHAR(9)," "),CHAR(92),_xlfn.CONCAT(CHAR(92),CHAR(92))),"$",_xlfn.CONCAT(CHAR(92),"$")),CHAR(96),_xlfn.CONCAT(CHAR(92),CHAR(96))),CHAR(34),CHAR(39))))</f>
        <v/>
      </c>
      <c r="S128" s="5" t="str">
        <f>IF(OR(TRIM($B128)="",$I128=""),"",IF(OR(ISNUMBER(SEARCH(_xlfn.CONCAT(CHAR(96),CHAR(34)),$I128)),ISNUMBER(SEARCH(_xlfn.CONCAT(CHAR(34),CHAR(39)),$I128))),_xlfn.CONCAT("* REVIEW REQUIRED: compound-quote delimiter in Derivation on Sheet 1 row ",128,"; edit the input before running."),_xlfn.CONCAT("char ",TRIM($B128),"[doc_derivation] ",CHAR(96),CHAR(34),SUBSTITUTE(SUBSTITUTE(SUBSTITUTE(SUBSTITUTE(SUBSTITUTE(SUBSTITUTE($I128,CHAR(13)," "),CHAR(10)," "),CHAR(9)," "),CHAR(92),_xlfn.CONCAT(CHAR(92),CHAR(92))),"$",_xlfn.CONCAT(CHAR(92),"$")),CHAR(96),_xlfn.CONCAT(CHAR(92),CHAR(96))),CHAR(34),CHAR(39))))</f>
        <v/>
      </c>
      <c r="T128" s="5" t="str">
        <f>IF(OR(TRIM($B128)="",$J128=""),"",IF(OR(ISNUMBER(SEARCH(_xlfn.CONCAT(CHAR(96),CHAR(34)),$J128)),ISNUMBER(SEARCH(_xlfn.CONCAT(CHAR(34),CHAR(39)),$J128))),_xlfn.CONCAT("* REVIEW REQUIRED: compound-quote delimiter in Notes on Sheet 1 row ",128,"; edit the input before running."),_xlfn.CONCAT("char ",TRIM($B128),"[doc_notes] ",CHAR(96),CHAR(34),SUBSTITUTE(SUBSTITUTE(SUBSTITUTE(SUBSTITUTE(SUBSTITUTE(SUBSTITUTE($J128,CHAR(13)," "),CHAR(10)," "),CHAR(9)," "),CHAR(92),_xlfn.CONCAT(CHAR(92),CHAR(92))),"$",_xlfn.CONCAT(CHAR(92),"$")),CHAR(96),_xlfn.CONCAT(CHAR(92),CHAR(96))),CHAR(34),CHAR(39))))</f>
        <v/>
      </c>
      <c r="U128" s="5">
        <f t="shared" si="3"/>
        <v>0</v>
      </c>
    </row>
    <row r="129" spans="3:21" ht="30" customHeight="1" x14ac:dyDescent="0.2">
      <c r="C129" s="4"/>
      <c r="K129" s="5">
        <f t="shared" si="2"/>
        <v>0</v>
      </c>
      <c r="L129" s="5" t="str">
        <f>IF(OR(TRIM($B129)="",$A129=""),"",IF(OR(ISNUMBER(SEARCH(_xlfn.CONCAT(CHAR(96),CHAR(34)),$A129)),ISNUMBER(SEARCH(_xlfn.CONCAT(CHAR(34),CHAR(39)),$A129))),_xlfn.CONCAT("* REVIEW REQUIRED: compound-quote delimiter in Codebook Section on Sheet 1 row ",129,"; edit the input before running."),_xlfn.CONCAT("char ",TRIM($B129),"[doc_section] ",CHAR(96),CHAR(34),SUBSTITUTE(SUBSTITUTE(SUBSTITUTE(SUBSTITUTE(SUBSTITUTE(SUBSTITUTE($A129,CHAR(13)," "),CHAR(10)," "),CHAR(9)," "),CHAR(92),_xlfn.CONCAT(CHAR(92),CHAR(92))),"$",_xlfn.CONCAT(CHAR(92),"$")),CHAR(96),_xlfn.CONCAT(CHAR(92),CHAR(96))),CHAR(34),CHAR(39))))</f>
        <v/>
      </c>
      <c r="M129" s="5" t="str">
        <f>IF(OR(TRIM($B129)="",$C129=""),"",IF(IFERROR(MATCH(TRIM($C129),{"Quantitative","Continuous","Discrete","Categorical","Nominal","Ordinal","Identifier"},0),0)=0,_xlfn.CONCAT("* REVIEW REQUIRED: invalid Variable Type on Sheet 1 row ",129,"."),_xlfn.CONCAT("char ",TRIM($B129),"[doc_vartype] ",CHAR(96),CHAR(34),SUBSTITUTE(SUBSTITUTE(SUBSTITUTE(SUBSTITUTE(SUBSTITUTE(SUBSTITUTE(LOWER(TRIM($C129)),CHAR(13)," "),CHAR(10)," "),CHAR(9)," "),CHAR(92),_xlfn.CONCAT(CHAR(92),CHAR(92))),"$",_xlfn.CONCAT(CHAR(92),"$")),CHAR(96),_xlfn.CONCAT(CHAR(92),CHAR(96))),CHAR(34),CHAR(39))))</f>
        <v/>
      </c>
      <c r="N129" s="5" t="str">
        <f>IF(OR(TRIM($B129)="",$D129=""),"",IF(OR(ISNUMBER(SEARCH(_xlfn.CONCAT(CHAR(96),CHAR(34)),$D129)),ISNUMBER(SEARCH(_xlfn.CONCAT(CHAR(34),CHAR(39)),$D129))),_xlfn.CONCAT("* REVIEW REQUIRED: compound-quote delimiter in Item Number on Sheet 1 row ",129,"; edit the input before running."),_xlfn.CONCAT("char ",TRIM($B129),"[doc_itemnum] ",CHAR(96),CHAR(34),SUBSTITUTE(SUBSTITUTE(SUBSTITUTE(SUBSTITUTE(SUBSTITUTE(SUBSTITUTE($D129,CHAR(13)," "),CHAR(10)," "),CHAR(9)," "),CHAR(92),_xlfn.CONCAT(CHAR(92),CHAR(92))),"$",_xlfn.CONCAT(CHAR(92),"$")),CHAR(96),_xlfn.CONCAT(CHAR(92),CHAR(96))),CHAR(34),CHAR(39))))</f>
        <v/>
      </c>
      <c r="O129" s="5" t="str">
        <f>IF(OR(TRIM($B129)="",$E129=""),"",IF(OR(ISNUMBER(SEARCH(_xlfn.CONCAT(CHAR(96),CHAR(34)),$E129)),ISNUMBER(SEARCH(_xlfn.CONCAT(CHAR(34),CHAR(39)),$E129))),_xlfn.CONCAT("* REVIEW REQUIRED: compound-quote delimiter in Question Wording on Sheet 1 row ",129,"; edit the input before running."),_xlfn.CONCAT("char ",TRIM($B129),"[doc_question] ",CHAR(96),CHAR(34),SUBSTITUTE(SUBSTITUTE(SUBSTITUTE(SUBSTITUTE(SUBSTITUTE(SUBSTITUTE($E129,CHAR(13)," "),CHAR(10)," "),CHAR(9)," "),CHAR(92),_xlfn.CONCAT(CHAR(92),CHAR(92))),"$",_xlfn.CONCAT(CHAR(92),"$")),CHAR(96),_xlfn.CONCAT(CHAR(92),CHAR(96))),CHAR(34),CHAR(39))))</f>
        <v/>
      </c>
      <c r="P129" s="5" t="str">
        <f>IF(OR(TRIM($B129)="",$F129=""),"",IF(OR(ISNUMBER(SEARCH(_xlfn.CONCAT(CHAR(96),CHAR(34)),$F129)),ISNUMBER(SEARCH(_xlfn.CONCAT(CHAR(34),CHAR(39)),$F129))),_xlfn.CONCAT("* REVIEW REQUIRED: compound-quote delimiter in Units on Sheet 1 row ",129,"; edit the input before running."),_xlfn.CONCAT("char ",TRIM($B129),"[doc_units] ",CHAR(96),CHAR(34),SUBSTITUTE(SUBSTITUTE(SUBSTITUTE(SUBSTITUTE(SUBSTITUTE(SUBSTITUTE($F129,CHAR(13)," "),CHAR(10)," "),CHAR(9)," "),CHAR(92),_xlfn.CONCAT(CHAR(92),CHAR(92))),"$",_xlfn.CONCAT(CHAR(92),"$")),CHAR(96),_xlfn.CONCAT(CHAR(92),CHAR(96))),CHAR(34),CHAR(39))))</f>
        <v/>
      </c>
      <c r="Q129" s="5" t="str">
        <f>IF(OR(TRIM($B129)="",$G129=""),"",IF(OR(ISNUMBER(SEARCH(_xlfn.CONCAT(CHAR(96),CHAR(34)),$G129)),ISNUMBER(SEARCH(_xlfn.CONCAT(CHAR(34),CHAR(39)),$G129))),_xlfn.CONCAT("* REVIEW REQUIRED: compound-quote delimiter in Universe on Sheet 1 row ",129,"; edit the input before running."),_xlfn.CONCAT("char ",TRIM($B129),"[doc_universe] ",CHAR(96),CHAR(34),SUBSTITUTE(SUBSTITUTE(SUBSTITUTE(SUBSTITUTE(SUBSTITUTE(SUBSTITUTE($G129,CHAR(13)," "),CHAR(10)," "),CHAR(9)," "),CHAR(92),_xlfn.CONCAT(CHAR(92),CHAR(92))),"$",_xlfn.CONCAT(CHAR(92),"$")),CHAR(96),_xlfn.CONCAT(CHAR(92),CHAR(96))),CHAR(34),CHAR(39))))</f>
        <v/>
      </c>
      <c r="R129" s="5" t="str">
        <f>IF(OR(TRIM($B129)="",$H129=""),"",IF(OR(ISNUMBER(SEARCH(_xlfn.CONCAT(CHAR(96),CHAR(34)),$H129)),ISNUMBER(SEARCH(_xlfn.CONCAT(CHAR(34),CHAR(39)),$H129))),_xlfn.CONCAT("* REVIEW REQUIRED: compound-quote delimiter in Source on Sheet 1 row ",129,"; edit the input before running."),_xlfn.CONCAT("char ",TRIM($B129),"[doc_source] ",CHAR(96),CHAR(34),SUBSTITUTE(SUBSTITUTE(SUBSTITUTE(SUBSTITUTE(SUBSTITUTE(SUBSTITUTE($H129,CHAR(13)," "),CHAR(10)," "),CHAR(9)," "),CHAR(92),_xlfn.CONCAT(CHAR(92),CHAR(92))),"$",_xlfn.CONCAT(CHAR(92),"$")),CHAR(96),_xlfn.CONCAT(CHAR(92),CHAR(96))),CHAR(34),CHAR(39))))</f>
        <v/>
      </c>
      <c r="S129" s="5" t="str">
        <f>IF(OR(TRIM($B129)="",$I129=""),"",IF(OR(ISNUMBER(SEARCH(_xlfn.CONCAT(CHAR(96),CHAR(34)),$I129)),ISNUMBER(SEARCH(_xlfn.CONCAT(CHAR(34),CHAR(39)),$I129))),_xlfn.CONCAT("* REVIEW REQUIRED: compound-quote delimiter in Derivation on Sheet 1 row ",129,"; edit the input before running."),_xlfn.CONCAT("char ",TRIM($B129),"[doc_derivation] ",CHAR(96),CHAR(34),SUBSTITUTE(SUBSTITUTE(SUBSTITUTE(SUBSTITUTE(SUBSTITUTE(SUBSTITUTE($I129,CHAR(13)," "),CHAR(10)," "),CHAR(9)," "),CHAR(92),_xlfn.CONCAT(CHAR(92),CHAR(92))),"$",_xlfn.CONCAT(CHAR(92),"$")),CHAR(96),_xlfn.CONCAT(CHAR(92),CHAR(96))),CHAR(34),CHAR(39))))</f>
        <v/>
      </c>
      <c r="T129" s="5" t="str">
        <f>IF(OR(TRIM($B129)="",$J129=""),"",IF(OR(ISNUMBER(SEARCH(_xlfn.CONCAT(CHAR(96),CHAR(34)),$J129)),ISNUMBER(SEARCH(_xlfn.CONCAT(CHAR(34),CHAR(39)),$J129))),_xlfn.CONCAT("* REVIEW REQUIRED: compound-quote delimiter in Notes on Sheet 1 row ",129,"; edit the input before running."),_xlfn.CONCAT("char ",TRIM($B129),"[doc_notes] ",CHAR(96),CHAR(34),SUBSTITUTE(SUBSTITUTE(SUBSTITUTE(SUBSTITUTE(SUBSTITUTE(SUBSTITUTE($J129,CHAR(13)," "),CHAR(10)," "),CHAR(9)," "),CHAR(92),_xlfn.CONCAT(CHAR(92),CHAR(92))),"$",_xlfn.CONCAT(CHAR(92),"$")),CHAR(96),_xlfn.CONCAT(CHAR(92),CHAR(96))),CHAR(34),CHAR(39))))</f>
        <v/>
      </c>
      <c r="U129" s="5">
        <f t="shared" si="3"/>
        <v>0</v>
      </c>
    </row>
    <row r="130" spans="3:21" ht="30" customHeight="1" x14ac:dyDescent="0.2">
      <c r="C130" s="4"/>
      <c r="K130" s="5">
        <f t="shared" si="2"/>
        <v>0</v>
      </c>
      <c r="L130" s="5" t="str">
        <f>IF(OR(TRIM($B130)="",$A130=""),"",IF(OR(ISNUMBER(SEARCH(_xlfn.CONCAT(CHAR(96),CHAR(34)),$A130)),ISNUMBER(SEARCH(_xlfn.CONCAT(CHAR(34),CHAR(39)),$A130))),_xlfn.CONCAT("* REVIEW REQUIRED: compound-quote delimiter in Codebook Section on Sheet 1 row ",130,"; edit the input before running."),_xlfn.CONCAT("char ",TRIM($B130),"[doc_section] ",CHAR(96),CHAR(34),SUBSTITUTE(SUBSTITUTE(SUBSTITUTE(SUBSTITUTE(SUBSTITUTE(SUBSTITUTE($A130,CHAR(13)," "),CHAR(10)," "),CHAR(9)," "),CHAR(92),_xlfn.CONCAT(CHAR(92),CHAR(92))),"$",_xlfn.CONCAT(CHAR(92),"$")),CHAR(96),_xlfn.CONCAT(CHAR(92),CHAR(96))),CHAR(34),CHAR(39))))</f>
        <v/>
      </c>
      <c r="M130" s="5" t="str">
        <f>IF(OR(TRIM($B130)="",$C130=""),"",IF(IFERROR(MATCH(TRIM($C130),{"Quantitative","Continuous","Discrete","Categorical","Nominal","Ordinal","Identifier"},0),0)=0,_xlfn.CONCAT("* REVIEW REQUIRED: invalid Variable Type on Sheet 1 row ",130,"."),_xlfn.CONCAT("char ",TRIM($B130),"[doc_vartype] ",CHAR(96),CHAR(34),SUBSTITUTE(SUBSTITUTE(SUBSTITUTE(SUBSTITUTE(SUBSTITUTE(SUBSTITUTE(LOWER(TRIM($C130)),CHAR(13)," "),CHAR(10)," "),CHAR(9)," "),CHAR(92),_xlfn.CONCAT(CHAR(92),CHAR(92))),"$",_xlfn.CONCAT(CHAR(92),"$")),CHAR(96),_xlfn.CONCAT(CHAR(92),CHAR(96))),CHAR(34),CHAR(39))))</f>
        <v/>
      </c>
      <c r="N130" s="5" t="str">
        <f>IF(OR(TRIM($B130)="",$D130=""),"",IF(OR(ISNUMBER(SEARCH(_xlfn.CONCAT(CHAR(96),CHAR(34)),$D130)),ISNUMBER(SEARCH(_xlfn.CONCAT(CHAR(34),CHAR(39)),$D130))),_xlfn.CONCAT("* REVIEW REQUIRED: compound-quote delimiter in Item Number on Sheet 1 row ",130,"; edit the input before running."),_xlfn.CONCAT("char ",TRIM($B130),"[doc_itemnum] ",CHAR(96),CHAR(34),SUBSTITUTE(SUBSTITUTE(SUBSTITUTE(SUBSTITUTE(SUBSTITUTE(SUBSTITUTE($D130,CHAR(13)," "),CHAR(10)," "),CHAR(9)," "),CHAR(92),_xlfn.CONCAT(CHAR(92),CHAR(92))),"$",_xlfn.CONCAT(CHAR(92),"$")),CHAR(96),_xlfn.CONCAT(CHAR(92),CHAR(96))),CHAR(34),CHAR(39))))</f>
        <v/>
      </c>
      <c r="O130" s="5" t="str">
        <f>IF(OR(TRIM($B130)="",$E130=""),"",IF(OR(ISNUMBER(SEARCH(_xlfn.CONCAT(CHAR(96),CHAR(34)),$E130)),ISNUMBER(SEARCH(_xlfn.CONCAT(CHAR(34),CHAR(39)),$E130))),_xlfn.CONCAT("* REVIEW REQUIRED: compound-quote delimiter in Question Wording on Sheet 1 row ",130,"; edit the input before running."),_xlfn.CONCAT("char ",TRIM($B130),"[doc_question] ",CHAR(96),CHAR(34),SUBSTITUTE(SUBSTITUTE(SUBSTITUTE(SUBSTITUTE(SUBSTITUTE(SUBSTITUTE($E130,CHAR(13)," "),CHAR(10)," "),CHAR(9)," "),CHAR(92),_xlfn.CONCAT(CHAR(92),CHAR(92))),"$",_xlfn.CONCAT(CHAR(92),"$")),CHAR(96),_xlfn.CONCAT(CHAR(92),CHAR(96))),CHAR(34),CHAR(39))))</f>
        <v/>
      </c>
      <c r="P130" s="5" t="str">
        <f>IF(OR(TRIM($B130)="",$F130=""),"",IF(OR(ISNUMBER(SEARCH(_xlfn.CONCAT(CHAR(96),CHAR(34)),$F130)),ISNUMBER(SEARCH(_xlfn.CONCAT(CHAR(34),CHAR(39)),$F130))),_xlfn.CONCAT("* REVIEW REQUIRED: compound-quote delimiter in Units on Sheet 1 row ",130,"; edit the input before running."),_xlfn.CONCAT("char ",TRIM($B130),"[doc_units] ",CHAR(96),CHAR(34),SUBSTITUTE(SUBSTITUTE(SUBSTITUTE(SUBSTITUTE(SUBSTITUTE(SUBSTITUTE($F130,CHAR(13)," "),CHAR(10)," "),CHAR(9)," "),CHAR(92),_xlfn.CONCAT(CHAR(92),CHAR(92))),"$",_xlfn.CONCAT(CHAR(92),"$")),CHAR(96),_xlfn.CONCAT(CHAR(92),CHAR(96))),CHAR(34),CHAR(39))))</f>
        <v/>
      </c>
      <c r="Q130" s="5" t="str">
        <f>IF(OR(TRIM($B130)="",$G130=""),"",IF(OR(ISNUMBER(SEARCH(_xlfn.CONCAT(CHAR(96),CHAR(34)),$G130)),ISNUMBER(SEARCH(_xlfn.CONCAT(CHAR(34),CHAR(39)),$G130))),_xlfn.CONCAT("* REVIEW REQUIRED: compound-quote delimiter in Universe on Sheet 1 row ",130,"; edit the input before running."),_xlfn.CONCAT("char ",TRIM($B130),"[doc_universe] ",CHAR(96),CHAR(34),SUBSTITUTE(SUBSTITUTE(SUBSTITUTE(SUBSTITUTE(SUBSTITUTE(SUBSTITUTE($G130,CHAR(13)," "),CHAR(10)," "),CHAR(9)," "),CHAR(92),_xlfn.CONCAT(CHAR(92),CHAR(92))),"$",_xlfn.CONCAT(CHAR(92),"$")),CHAR(96),_xlfn.CONCAT(CHAR(92),CHAR(96))),CHAR(34),CHAR(39))))</f>
        <v/>
      </c>
      <c r="R130" s="5" t="str">
        <f>IF(OR(TRIM($B130)="",$H130=""),"",IF(OR(ISNUMBER(SEARCH(_xlfn.CONCAT(CHAR(96),CHAR(34)),$H130)),ISNUMBER(SEARCH(_xlfn.CONCAT(CHAR(34),CHAR(39)),$H130))),_xlfn.CONCAT("* REVIEW REQUIRED: compound-quote delimiter in Source on Sheet 1 row ",130,"; edit the input before running."),_xlfn.CONCAT("char ",TRIM($B130),"[doc_source] ",CHAR(96),CHAR(34),SUBSTITUTE(SUBSTITUTE(SUBSTITUTE(SUBSTITUTE(SUBSTITUTE(SUBSTITUTE($H130,CHAR(13)," "),CHAR(10)," "),CHAR(9)," "),CHAR(92),_xlfn.CONCAT(CHAR(92),CHAR(92))),"$",_xlfn.CONCAT(CHAR(92),"$")),CHAR(96),_xlfn.CONCAT(CHAR(92),CHAR(96))),CHAR(34),CHAR(39))))</f>
        <v/>
      </c>
      <c r="S130" s="5" t="str">
        <f>IF(OR(TRIM($B130)="",$I130=""),"",IF(OR(ISNUMBER(SEARCH(_xlfn.CONCAT(CHAR(96),CHAR(34)),$I130)),ISNUMBER(SEARCH(_xlfn.CONCAT(CHAR(34),CHAR(39)),$I130))),_xlfn.CONCAT("* REVIEW REQUIRED: compound-quote delimiter in Derivation on Sheet 1 row ",130,"; edit the input before running."),_xlfn.CONCAT("char ",TRIM($B130),"[doc_derivation] ",CHAR(96),CHAR(34),SUBSTITUTE(SUBSTITUTE(SUBSTITUTE(SUBSTITUTE(SUBSTITUTE(SUBSTITUTE($I130,CHAR(13)," "),CHAR(10)," "),CHAR(9)," "),CHAR(92),_xlfn.CONCAT(CHAR(92),CHAR(92))),"$",_xlfn.CONCAT(CHAR(92),"$")),CHAR(96),_xlfn.CONCAT(CHAR(92),CHAR(96))),CHAR(34),CHAR(39))))</f>
        <v/>
      </c>
      <c r="T130" s="5" t="str">
        <f>IF(OR(TRIM($B130)="",$J130=""),"",IF(OR(ISNUMBER(SEARCH(_xlfn.CONCAT(CHAR(96),CHAR(34)),$J130)),ISNUMBER(SEARCH(_xlfn.CONCAT(CHAR(34),CHAR(39)),$J130))),_xlfn.CONCAT("* REVIEW REQUIRED: compound-quote delimiter in Notes on Sheet 1 row ",130,"; edit the input before running."),_xlfn.CONCAT("char ",TRIM($B130),"[doc_notes] ",CHAR(96),CHAR(34),SUBSTITUTE(SUBSTITUTE(SUBSTITUTE(SUBSTITUTE(SUBSTITUTE(SUBSTITUTE($J130,CHAR(13)," "),CHAR(10)," "),CHAR(9)," "),CHAR(92),_xlfn.CONCAT(CHAR(92),CHAR(92))),"$",_xlfn.CONCAT(CHAR(92),"$")),CHAR(96),_xlfn.CONCAT(CHAR(92),CHAR(96))),CHAR(34),CHAR(39))))</f>
        <v/>
      </c>
      <c r="U130" s="5">
        <f t="shared" si="3"/>
        <v>0</v>
      </c>
    </row>
    <row r="131" spans="3:21" ht="30" customHeight="1" x14ac:dyDescent="0.2">
      <c r="C131" s="4"/>
      <c r="K131" s="5">
        <f t="shared" si="2"/>
        <v>0</v>
      </c>
      <c r="L131" s="5" t="str">
        <f>IF(OR(TRIM($B131)="",$A131=""),"",IF(OR(ISNUMBER(SEARCH(_xlfn.CONCAT(CHAR(96),CHAR(34)),$A131)),ISNUMBER(SEARCH(_xlfn.CONCAT(CHAR(34),CHAR(39)),$A131))),_xlfn.CONCAT("* REVIEW REQUIRED: compound-quote delimiter in Codebook Section on Sheet 1 row ",131,"; edit the input before running."),_xlfn.CONCAT("char ",TRIM($B131),"[doc_section] ",CHAR(96),CHAR(34),SUBSTITUTE(SUBSTITUTE(SUBSTITUTE(SUBSTITUTE(SUBSTITUTE(SUBSTITUTE($A131,CHAR(13)," "),CHAR(10)," "),CHAR(9)," "),CHAR(92),_xlfn.CONCAT(CHAR(92),CHAR(92))),"$",_xlfn.CONCAT(CHAR(92),"$")),CHAR(96),_xlfn.CONCAT(CHAR(92),CHAR(96))),CHAR(34),CHAR(39))))</f>
        <v/>
      </c>
      <c r="M131" s="5" t="str">
        <f>IF(OR(TRIM($B131)="",$C131=""),"",IF(IFERROR(MATCH(TRIM($C131),{"Quantitative","Continuous","Discrete","Categorical","Nominal","Ordinal","Identifier"},0),0)=0,_xlfn.CONCAT("* REVIEW REQUIRED: invalid Variable Type on Sheet 1 row ",131,"."),_xlfn.CONCAT("char ",TRIM($B131),"[doc_vartype] ",CHAR(96),CHAR(34),SUBSTITUTE(SUBSTITUTE(SUBSTITUTE(SUBSTITUTE(SUBSTITUTE(SUBSTITUTE(LOWER(TRIM($C131)),CHAR(13)," "),CHAR(10)," "),CHAR(9)," "),CHAR(92),_xlfn.CONCAT(CHAR(92),CHAR(92))),"$",_xlfn.CONCAT(CHAR(92),"$")),CHAR(96),_xlfn.CONCAT(CHAR(92),CHAR(96))),CHAR(34),CHAR(39))))</f>
        <v/>
      </c>
      <c r="N131" s="5" t="str">
        <f>IF(OR(TRIM($B131)="",$D131=""),"",IF(OR(ISNUMBER(SEARCH(_xlfn.CONCAT(CHAR(96),CHAR(34)),$D131)),ISNUMBER(SEARCH(_xlfn.CONCAT(CHAR(34),CHAR(39)),$D131))),_xlfn.CONCAT("* REVIEW REQUIRED: compound-quote delimiter in Item Number on Sheet 1 row ",131,"; edit the input before running."),_xlfn.CONCAT("char ",TRIM($B131),"[doc_itemnum] ",CHAR(96),CHAR(34),SUBSTITUTE(SUBSTITUTE(SUBSTITUTE(SUBSTITUTE(SUBSTITUTE(SUBSTITUTE($D131,CHAR(13)," "),CHAR(10)," "),CHAR(9)," "),CHAR(92),_xlfn.CONCAT(CHAR(92),CHAR(92))),"$",_xlfn.CONCAT(CHAR(92),"$")),CHAR(96),_xlfn.CONCAT(CHAR(92),CHAR(96))),CHAR(34),CHAR(39))))</f>
        <v/>
      </c>
      <c r="O131" s="5" t="str">
        <f>IF(OR(TRIM($B131)="",$E131=""),"",IF(OR(ISNUMBER(SEARCH(_xlfn.CONCAT(CHAR(96),CHAR(34)),$E131)),ISNUMBER(SEARCH(_xlfn.CONCAT(CHAR(34),CHAR(39)),$E131))),_xlfn.CONCAT("* REVIEW REQUIRED: compound-quote delimiter in Question Wording on Sheet 1 row ",131,"; edit the input before running."),_xlfn.CONCAT("char ",TRIM($B131),"[doc_question] ",CHAR(96),CHAR(34),SUBSTITUTE(SUBSTITUTE(SUBSTITUTE(SUBSTITUTE(SUBSTITUTE(SUBSTITUTE($E131,CHAR(13)," "),CHAR(10)," "),CHAR(9)," "),CHAR(92),_xlfn.CONCAT(CHAR(92),CHAR(92))),"$",_xlfn.CONCAT(CHAR(92),"$")),CHAR(96),_xlfn.CONCAT(CHAR(92),CHAR(96))),CHAR(34),CHAR(39))))</f>
        <v/>
      </c>
      <c r="P131" s="5" t="str">
        <f>IF(OR(TRIM($B131)="",$F131=""),"",IF(OR(ISNUMBER(SEARCH(_xlfn.CONCAT(CHAR(96),CHAR(34)),$F131)),ISNUMBER(SEARCH(_xlfn.CONCAT(CHAR(34),CHAR(39)),$F131))),_xlfn.CONCAT("* REVIEW REQUIRED: compound-quote delimiter in Units on Sheet 1 row ",131,"; edit the input before running."),_xlfn.CONCAT("char ",TRIM($B131),"[doc_units] ",CHAR(96),CHAR(34),SUBSTITUTE(SUBSTITUTE(SUBSTITUTE(SUBSTITUTE(SUBSTITUTE(SUBSTITUTE($F131,CHAR(13)," "),CHAR(10)," "),CHAR(9)," "),CHAR(92),_xlfn.CONCAT(CHAR(92),CHAR(92))),"$",_xlfn.CONCAT(CHAR(92),"$")),CHAR(96),_xlfn.CONCAT(CHAR(92),CHAR(96))),CHAR(34),CHAR(39))))</f>
        <v/>
      </c>
      <c r="Q131" s="5" t="str">
        <f>IF(OR(TRIM($B131)="",$G131=""),"",IF(OR(ISNUMBER(SEARCH(_xlfn.CONCAT(CHAR(96),CHAR(34)),$G131)),ISNUMBER(SEARCH(_xlfn.CONCAT(CHAR(34),CHAR(39)),$G131))),_xlfn.CONCAT("* REVIEW REQUIRED: compound-quote delimiter in Universe on Sheet 1 row ",131,"; edit the input before running."),_xlfn.CONCAT("char ",TRIM($B131),"[doc_universe] ",CHAR(96),CHAR(34),SUBSTITUTE(SUBSTITUTE(SUBSTITUTE(SUBSTITUTE(SUBSTITUTE(SUBSTITUTE($G131,CHAR(13)," "),CHAR(10)," "),CHAR(9)," "),CHAR(92),_xlfn.CONCAT(CHAR(92),CHAR(92))),"$",_xlfn.CONCAT(CHAR(92),"$")),CHAR(96),_xlfn.CONCAT(CHAR(92),CHAR(96))),CHAR(34),CHAR(39))))</f>
        <v/>
      </c>
      <c r="R131" s="5" t="str">
        <f>IF(OR(TRIM($B131)="",$H131=""),"",IF(OR(ISNUMBER(SEARCH(_xlfn.CONCAT(CHAR(96),CHAR(34)),$H131)),ISNUMBER(SEARCH(_xlfn.CONCAT(CHAR(34),CHAR(39)),$H131))),_xlfn.CONCAT("* REVIEW REQUIRED: compound-quote delimiter in Source on Sheet 1 row ",131,"; edit the input before running."),_xlfn.CONCAT("char ",TRIM($B131),"[doc_source] ",CHAR(96),CHAR(34),SUBSTITUTE(SUBSTITUTE(SUBSTITUTE(SUBSTITUTE(SUBSTITUTE(SUBSTITUTE($H131,CHAR(13)," "),CHAR(10)," "),CHAR(9)," "),CHAR(92),_xlfn.CONCAT(CHAR(92),CHAR(92))),"$",_xlfn.CONCAT(CHAR(92),"$")),CHAR(96),_xlfn.CONCAT(CHAR(92),CHAR(96))),CHAR(34),CHAR(39))))</f>
        <v/>
      </c>
      <c r="S131" s="5" t="str">
        <f>IF(OR(TRIM($B131)="",$I131=""),"",IF(OR(ISNUMBER(SEARCH(_xlfn.CONCAT(CHAR(96),CHAR(34)),$I131)),ISNUMBER(SEARCH(_xlfn.CONCAT(CHAR(34),CHAR(39)),$I131))),_xlfn.CONCAT("* REVIEW REQUIRED: compound-quote delimiter in Derivation on Sheet 1 row ",131,"; edit the input before running."),_xlfn.CONCAT("char ",TRIM($B131),"[doc_derivation] ",CHAR(96),CHAR(34),SUBSTITUTE(SUBSTITUTE(SUBSTITUTE(SUBSTITUTE(SUBSTITUTE(SUBSTITUTE($I131,CHAR(13)," "),CHAR(10)," "),CHAR(9)," "),CHAR(92),_xlfn.CONCAT(CHAR(92),CHAR(92))),"$",_xlfn.CONCAT(CHAR(92),"$")),CHAR(96),_xlfn.CONCAT(CHAR(92),CHAR(96))),CHAR(34),CHAR(39))))</f>
        <v/>
      </c>
      <c r="T131" s="5" t="str">
        <f>IF(OR(TRIM($B131)="",$J131=""),"",IF(OR(ISNUMBER(SEARCH(_xlfn.CONCAT(CHAR(96),CHAR(34)),$J131)),ISNUMBER(SEARCH(_xlfn.CONCAT(CHAR(34),CHAR(39)),$J131))),_xlfn.CONCAT("* REVIEW REQUIRED: compound-quote delimiter in Notes on Sheet 1 row ",131,"; edit the input before running."),_xlfn.CONCAT("char ",TRIM($B131),"[doc_notes] ",CHAR(96),CHAR(34),SUBSTITUTE(SUBSTITUTE(SUBSTITUTE(SUBSTITUTE(SUBSTITUTE(SUBSTITUTE($J131,CHAR(13)," "),CHAR(10)," "),CHAR(9)," "),CHAR(92),_xlfn.CONCAT(CHAR(92),CHAR(92))),"$",_xlfn.CONCAT(CHAR(92),"$")),CHAR(96),_xlfn.CONCAT(CHAR(92),CHAR(96))),CHAR(34),CHAR(39))))</f>
        <v/>
      </c>
      <c r="U131" s="5">
        <f t="shared" si="3"/>
        <v>0</v>
      </c>
    </row>
    <row r="132" spans="3:21" ht="30" customHeight="1" x14ac:dyDescent="0.2">
      <c r="C132" s="4"/>
      <c r="K132" s="5">
        <f t="shared" si="2"/>
        <v>0</v>
      </c>
      <c r="L132" s="5" t="str">
        <f>IF(OR(TRIM($B132)="",$A132=""),"",IF(OR(ISNUMBER(SEARCH(_xlfn.CONCAT(CHAR(96),CHAR(34)),$A132)),ISNUMBER(SEARCH(_xlfn.CONCAT(CHAR(34),CHAR(39)),$A132))),_xlfn.CONCAT("* REVIEW REQUIRED: compound-quote delimiter in Codebook Section on Sheet 1 row ",132,"; edit the input before running."),_xlfn.CONCAT("char ",TRIM($B132),"[doc_section] ",CHAR(96),CHAR(34),SUBSTITUTE(SUBSTITUTE(SUBSTITUTE(SUBSTITUTE(SUBSTITUTE(SUBSTITUTE($A132,CHAR(13)," "),CHAR(10)," "),CHAR(9)," "),CHAR(92),_xlfn.CONCAT(CHAR(92),CHAR(92))),"$",_xlfn.CONCAT(CHAR(92),"$")),CHAR(96),_xlfn.CONCAT(CHAR(92),CHAR(96))),CHAR(34),CHAR(39))))</f>
        <v/>
      </c>
      <c r="M132" s="5" t="str">
        <f>IF(OR(TRIM($B132)="",$C132=""),"",IF(IFERROR(MATCH(TRIM($C132),{"Quantitative","Continuous","Discrete","Categorical","Nominal","Ordinal","Identifier"},0),0)=0,_xlfn.CONCAT("* REVIEW REQUIRED: invalid Variable Type on Sheet 1 row ",132,"."),_xlfn.CONCAT("char ",TRIM($B132),"[doc_vartype] ",CHAR(96),CHAR(34),SUBSTITUTE(SUBSTITUTE(SUBSTITUTE(SUBSTITUTE(SUBSTITUTE(SUBSTITUTE(LOWER(TRIM($C132)),CHAR(13)," "),CHAR(10)," "),CHAR(9)," "),CHAR(92),_xlfn.CONCAT(CHAR(92),CHAR(92))),"$",_xlfn.CONCAT(CHAR(92),"$")),CHAR(96),_xlfn.CONCAT(CHAR(92),CHAR(96))),CHAR(34),CHAR(39))))</f>
        <v/>
      </c>
      <c r="N132" s="5" t="str">
        <f>IF(OR(TRIM($B132)="",$D132=""),"",IF(OR(ISNUMBER(SEARCH(_xlfn.CONCAT(CHAR(96),CHAR(34)),$D132)),ISNUMBER(SEARCH(_xlfn.CONCAT(CHAR(34),CHAR(39)),$D132))),_xlfn.CONCAT("* REVIEW REQUIRED: compound-quote delimiter in Item Number on Sheet 1 row ",132,"; edit the input before running."),_xlfn.CONCAT("char ",TRIM($B132),"[doc_itemnum] ",CHAR(96),CHAR(34),SUBSTITUTE(SUBSTITUTE(SUBSTITUTE(SUBSTITUTE(SUBSTITUTE(SUBSTITUTE($D132,CHAR(13)," "),CHAR(10)," "),CHAR(9)," "),CHAR(92),_xlfn.CONCAT(CHAR(92),CHAR(92))),"$",_xlfn.CONCAT(CHAR(92),"$")),CHAR(96),_xlfn.CONCAT(CHAR(92),CHAR(96))),CHAR(34),CHAR(39))))</f>
        <v/>
      </c>
      <c r="O132" s="5" t="str">
        <f>IF(OR(TRIM($B132)="",$E132=""),"",IF(OR(ISNUMBER(SEARCH(_xlfn.CONCAT(CHAR(96),CHAR(34)),$E132)),ISNUMBER(SEARCH(_xlfn.CONCAT(CHAR(34),CHAR(39)),$E132))),_xlfn.CONCAT("* REVIEW REQUIRED: compound-quote delimiter in Question Wording on Sheet 1 row ",132,"; edit the input before running."),_xlfn.CONCAT("char ",TRIM($B132),"[doc_question] ",CHAR(96),CHAR(34),SUBSTITUTE(SUBSTITUTE(SUBSTITUTE(SUBSTITUTE(SUBSTITUTE(SUBSTITUTE($E132,CHAR(13)," "),CHAR(10)," "),CHAR(9)," "),CHAR(92),_xlfn.CONCAT(CHAR(92),CHAR(92))),"$",_xlfn.CONCAT(CHAR(92),"$")),CHAR(96),_xlfn.CONCAT(CHAR(92),CHAR(96))),CHAR(34),CHAR(39))))</f>
        <v/>
      </c>
      <c r="P132" s="5" t="str">
        <f>IF(OR(TRIM($B132)="",$F132=""),"",IF(OR(ISNUMBER(SEARCH(_xlfn.CONCAT(CHAR(96),CHAR(34)),$F132)),ISNUMBER(SEARCH(_xlfn.CONCAT(CHAR(34),CHAR(39)),$F132))),_xlfn.CONCAT("* REVIEW REQUIRED: compound-quote delimiter in Units on Sheet 1 row ",132,"; edit the input before running."),_xlfn.CONCAT("char ",TRIM($B132),"[doc_units] ",CHAR(96),CHAR(34),SUBSTITUTE(SUBSTITUTE(SUBSTITUTE(SUBSTITUTE(SUBSTITUTE(SUBSTITUTE($F132,CHAR(13)," "),CHAR(10)," "),CHAR(9)," "),CHAR(92),_xlfn.CONCAT(CHAR(92),CHAR(92))),"$",_xlfn.CONCAT(CHAR(92),"$")),CHAR(96),_xlfn.CONCAT(CHAR(92),CHAR(96))),CHAR(34),CHAR(39))))</f>
        <v/>
      </c>
      <c r="Q132" s="5" t="str">
        <f>IF(OR(TRIM($B132)="",$G132=""),"",IF(OR(ISNUMBER(SEARCH(_xlfn.CONCAT(CHAR(96),CHAR(34)),$G132)),ISNUMBER(SEARCH(_xlfn.CONCAT(CHAR(34),CHAR(39)),$G132))),_xlfn.CONCAT("* REVIEW REQUIRED: compound-quote delimiter in Universe on Sheet 1 row ",132,"; edit the input before running."),_xlfn.CONCAT("char ",TRIM($B132),"[doc_universe] ",CHAR(96),CHAR(34),SUBSTITUTE(SUBSTITUTE(SUBSTITUTE(SUBSTITUTE(SUBSTITUTE(SUBSTITUTE($G132,CHAR(13)," "),CHAR(10)," "),CHAR(9)," "),CHAR(92),_xlfn.CONCAT(CHAR(92),CHAR(92))),"$",_xlfn.CONCAT(CHAR(92),"$")),CHAR(96),_xlfn.CONCAT(CHAR(92),CHAR(96))),CHAR(34),CHAR(39))))</f>
        <v/>
      </c>
      <c r="R132" s="5" t="str">
        <f>IF(OR(TRIM($B132)="",$H132=""),"",IF(OR(ISNUMBER(SEARCH(_xlfn.CONCAT(CHAR(96),CHAR(34)),$H132)),ISNUMBER(SEARCH(_xlfn.CONCAT(CHAR(34),CHAR(39)),$H132))),_xlfn.CONCAT("* REVIEW REQUIRED: compound-quote delimiter in Source on Sheet 1 row ",132,"; edit the input before running."),_xlfn.CONCAT("char ",TRIM($B132),"[doc_source] ",CHAR(96),CHAR(34),SUBSTITUTE(SUBSTITUTE(SUBSTITUTE(SUBSTITUTE(SUBSTITUTE(SUBSTITUTE($H132,CHAR(13)," "),CHAR(10)," "),CHAR(9)," "),CHAR(92),_xlfn.CONCAT(CHAR(92),CHAR(92))),"$",_xlfn.CONCAT(CHAR(92),"$")),CHAR(96),_xlfn.CONCAT(CHAR(92),CHAR(96))),CHAR(34),CHAR(39))))</f>
        <v/>
      </c>
      <c r="S132" s="5" t="str">
        <f>IF(OR(TRIM($B132)="",$I132=""),"",IF(OR(ISNUMBER(SEARCH(_xlfn.CONCAT(CHAR(96),CHAR(34)),$I132)),ISNUMBER(SEARCH(_xlfn.CONCAT(CHAR(34),CHAR(39)),$I132))),_xlfn.CONCAT("* REVIEW REQUIRED: compound-quote delimiter in Derivation on Sheet 1 row ",132,"; edit the input before running."),_xlfn.CONCAT("char ",TRIM($B132),"[doc_derivation] ",CHAR(96),CHAR(34),SUBSTITUTE(SUBSTITUTE(SUBSTITUTE(SUBSTITUTE(SUBSTITUTE(SUBSTITUTE($I132,CHAR(13)," "),CHAR(10)," "),CHAR(9)," "),CHAR(92),_xlfn.CONCAT(CHAR(92),CHAR(92))),"$",_xlfn.CONCAT(CHAR(92),"$")),CHAR(96),_xlfn.CONCAT(CHAR(92),CHAR(96))),CHAR(34),CHAR(39))))</f>
        <v/>
      </c>
      <c r="T132" s="5" t="str">
        <f>IF(OR(TRIM($B132)="",$J132=""),"",IF(OR(ISNUMBER(SEARCH(_xlfn.CONCAT(CHAR(96),CHAR(34)),$J132)),ISNUMBER(SEARCH(_xlfn.CONCAT(CHAR(34),CHAR(39)),$J132))),_xlfn.CONCAT("* REVIEW REQUIRED: compound-quote delimiter in Notes on Sheet 1 row ",132,"; edit the input before running."),_xlfn.CONCAT("char ",TRIM($B132),"[doc_notes] ",CHAR(96),CHAR(34),SUBSTITUTE(SUBSTITUTE(SUBSTITUTE(SUBSTITUTE(SUBSTITUTE(SUBSTITUTE($J132,CHAR(13)," "),CHAR(10)," "),CHAR(9)," "),CHAR(92),_xlfn.CONCAT(CHAR(92),CHAR(92))),"$",_xlfn.CONCAT(CHAR(92),"$")),CHAR(96),_xlfn.CONCAT(CHAR(92),CHAR(96))),CHAR(34),CHAR(39))))</f>
        <v/>
      </c>
      <c r="U132" s="5">
        <f t="shared" si="3"/>
        <v>0</v>
      </c>
    </row>
    <row r="133" spans="3:21" ht="30" customHeight="1" x14ac:dyDescent="0.2">
      <c r="C133" s="4"/>
      <c r="K133" s="5">
        <f t="shared" si="2"/>
        <v>0</v>
      </c>
      <c r="L133" s="5" t="str">
        <f>IF(OR(TRIM($B133)="",$A133=""),"",IF(OR(ISNUMBER(SEARCH(_xlfn.CONCAT(CHAR(96),CHAR(34)),$A133)),ISNUMBER(SEARCH(_xlfn.CONCAT(CHAR(34),CHAR(39)),$A133))),_xlfn.CONCAT("* REVIEW REQUIRED: compound-quote delimiter in Codebook Section on Sheet 1 row ",133,"; edit the input before running."),_xlfn.CONCAT("char ",TRIM($B133),"[doc_section] ",CHAR(96),CHAR(34),SUBSTITUTE(SUBSTITUTE(SUBSTITUTE(SUBSTITUTE(SUBSTITUTE(SUBSTITUTE($A133,CHAR(13)," "),CHAR(10)," "),CHAR(9)," "),CHAR(92),_xlfn.CONCAT(CHAR(92),CHAR(92))),"$",_xlfn.CONCAT(CHAR(92),"$")),CHAR(96),_xlfn.CONCAT(CHAR(92),CHAR(96))),CHAR(34),CHAR(39))))</f>
        <v/>
      </c>
      <c r="M133" s="5" t="str">
        <f>IF(OR(TRIM($B133)="",$C133=""),"",IF(IFERROR(MATCH(TRIM($C133),{"Quantitative","Continuous","Discrete","Categorical","Nominal","Ordinal","Identifier"},0),0)=0,_xlfn.CONCAT("* REVIEW REQUIRED: invalid Variable Type on Sheet 1 row ",133,"."),_xlfn.CONCAT("char ",TRIM($B133),"[doc_vartype] ",CHAR(96),CHAR(34),SUBSTITUTE(SUBSTITUTE(SUBSTITUTE(SUBSTITUTE(SUBSTITUTE(SUBSTITUTE(LOWER(TRIM($C133)),CHAR(13)," "),CHAR(10)," "),CHAR(9)," "),CHAR(92),_xlfn.CONCAT(CHAR(92),CHAR(92))),"$",_xlfn.CONCAT(CHAR(92),"$")),CHAR(96),_xlfn.CONCAT(CHAR(92),CHAR(96))),CHAR(34),CHAR(39))))</f>
        <v/>
      </c>
      <c r="N133" s="5" t="str">
        <f>IF(OR(TRIM($B133)="",$D133=""),"",IF(OR(ISNUMBER(SEARCH(_xlfn.CONCAT(CHAR(96),CHAR(34)),$D133)),ISNUMBER(SEARCH(_xlfn.CONCAT(CHAR(34),CHAR(39)),$D133))),_xlfn.CONCAT("* REVIEW REQUIRED: compound-quote delimiter in Item Number on Sheet 1 row ",133,"; edit the input before running."),_xlfn.CONCAT("char ",TRIM($B133),"[doc_itemnum] ",CHAR(96),CHAR(34),SUBSTITUTE(SUBSTITUTE(SUBSTITUTE(SUBSTITUTE(SUBSTITUTE(SUBSTITUTE($D133,CHAR(13)," "),CHAR(10)," "),CHAR(9)," "),CHAR(92),_xlfn.CONCAT(CHAR(92),CHAR(92))),"$",_xlfn.CONCAT(CHAR(92),"$")),CHAR(96),_xlfn.CONCAT(CHAR(92),CHAR(96))),CHAR(34),CHAR(39))))</f>
        <v/>
      </c>
      <c r="O133" s="5" t="str">
        <f>IF(OR(TRIM($B133)="",$E133=""),"",IF(OR(ISNUMBER(SEARCH(_xlfn.CONCAT(CHAR(96),CHAR(34)),$E133)),ISNUMBER(SEARCH(_xlfn.CONCAT(CHAR(34),CHAR(39)),$E133))),_xlfn.CONCAT("* REVIEW REQUIRED: compound-quote delimiter in Question Wording on Sheet 1 row ",133,"; edit the input before running."),_xlfn.CONCAT("char ",TRIM($B133),"[doc_question] ",CHAR(96),CHAR(34),SUBSTITUTE(SUBSTITUTE(SUBSTITUTE(SUBSTITUTE(SUBSTITUTE(SUBSTITUTE($E133,CHAR(13)," "),CHAR(10)," "),CHAR(9)," "),CHAR(92),_xlfn.CONCAT(CHAR(92),CHAR(92))),"$",_xlfn.CONCAT(CHAR(92),"$")),CHAR(96),_xlfn.CONCAT(CHAR(92),CHAR(96))),CHAR(34),CHAR(39))))</f>
        <v/>
      </c>
      <c r="P133" s="5" t="str">
        <f>IF(OR(TRIM($B133)="",$F133=""),"",IF(OR(ISNUMBER(SEARCH(_xlfn.CONCAT(CHAR(96),CHAR(34)),$F133)),ISNUMBER(SEARCH(_xlfn.CONCAT(CHAR(34),CHAR(39)),$F133))),_xlfn.CONCAT("* REVIEW REQUIRED: compound-quote delimiter in Units on Sheet 1 row ",133,"; edit the input before running."),_xlfn.CONCAT("char ",TRIM($B133),"[doc_units] ",CHAR(96),CHAR(34),SUBSTITUTE(SUBSTITUTE(SUBSTITUTE(SUBSTITUTE(SUBSTITUTE(SUBSTITUTE($F133,CHAR(13)," "),CHAR(10)," "),CHAR(9)," "),CHAR(92),_xlfn.CONCAT(CHAR(92),CHAR(92))),"$",_xlfn.CONCAT(CHAR(92),"$")),CHAR(96),_xlfn.CONCAT(CHAR(92),CHAR(96))),CHAR(34),CHAR(39))))</f>
        <v/>
      </c>
      <c r="Q133" s="5" t="str">
        <f>IF(OR(TRIM($B133)="",$G133=""),"",IF(OR(ISNUMBER(SEARCH(_xlfn.CONCAT(CHAR(96),CHAR(34)),$G133)),ISNUMBER(SEARCH(_xlfn.CONCAT(CHAR(34),CHAR(39)),$G133))),_xlfn.CONCAT("* REVIEW REQUIRED: compound-quote delimiter in Universe on Sheet 1 row ",133,"; edit the input before running."),_xlfn.CONCAT("char ",TRIM($B133),"[doc_universe] ",CHAR(96),CHAR(34),SUBSTITUTE(SUBSTITUTE(SUBSTITUTE(SUBSTITUTE(SUBSTITUTE(SUBSTITUTE($G133,CHAR(13)," "),CHAR(10)," "),CHAR(9)," "),CHAR(92),_xlfn.CONCAT(CHAR(92),CHAR(92))),"$",_xlfn.CONCAT(CHAR(92),"$")),CHAR(96),_xlfn.CONCAT(CHAR(92),CHAR(96))),CHAR(34),CHAR(39))))</f>
        <v/>
      </c>
      <c r="R133" s="5" t="str">
        <f>IF(OR(TRIM($B133)="",$H133=""),"",IF(OR(ISNUMBER(SEARCH(_xlfn.CONCAT(CHAR(96),CHAR(34)),$H133)),ISNUMBER(SEARCH(_xlfn.CONCAT(CHAR(34),CHAR(39)),$H133))),_xlfn.CONCAT("* REVIEW REQUIRED: compound-quote delimiter in Source on Sheet 1 row ",133,"; edit the input before running."),_xlfn.CONCAT("char ",TRIM($B133),"[doc_source] ",CHAR(96),CHAR(34),SUBSTITUTE(SUBSTITUTE(SUBSTITUTE(SUBSTITUTE(SUBSTITUTE(SUBSTITUTE($H133,CHAR(13)," "),CHAR(10)," "),CHAR(9)," "),CHAR(92),_xlfn.CONCAT(CHAR(92),CHAR(92))),"$",_xlfn.CONCAT(CHAR(92),"$")),CHAR(96),_xlfn.CONCAT(CHAR(92),CHAR(96))),CHAR(34),CHAR(39))))</f>
        <v/>
      </c>
      <c r="S133" s="5" t="str">
        <f>IF(OR(TRIM($B133)="",$I133=""),"",IF(OR(ISNUMBER(SEARCH(_xlfn.CONCAT(CHAR(96),CHAR(34)),$I133)),ISNUMBER(SEARCH(_xlfn.CONCAT(CHAR(34),CHAR(39)),$I133))),_xlfn.CONCAT("* REVIEW REQUIRED: compound-quote delimiter in Derivation on Sheet 1 row ",133,"; edit the input before running."),_xlfn.CONCAT("char ",TRIM($B133),"[doc_derivation] ",CHAR(96),CHAR(34),SUBSTITUTE(SUBSTITUTE(SUBSTITUTE(SUBSTITUTE(SUBSTITUTE(SUBSTITUTE($I133,CHAR(13)," "),CHAR(10)," "),CHAR(9)," "),CHAR(92),_xlfn.CONCAT(CHAR(92),CHAR(92))),"$",_xlfn.CONCAT(CHAR(92),"$")),CHAR(96),_xlfn.CONCAT(CHAR(92),CHAR(96))),CHAR(34),CHAR(39))))</f>
        <v/>
      </c>
      <c r="T133" s="5" t="str">
        <f>IF(OR(TRIM($B133)="",$J133=""),"",IF(OR(ISNUMBER(SEARCH(_xlfn.CONCAT(CHAR(96),CHAR(34)),$J133)),ISNUMBER(SEARCH(_xlfn.CONCAT(CHAR(34),CHAR(39)),$J133))),_xlfn.CONCAT("* REVIEW REQUIRED: compound-quote delimiter in Notes on Sheet 1 row ",133,"; edit the input before running."),_xlfn.CONCAT("char ",TRIM($B133),"[doc_notes] ",CHAR(96),CHAR(34),SUBSTITUTE(SUBSTITUTE(SUBSTITUTE(SUBSTITUTE(SUBSTITUTE(SUBSTITUTE($J133,CHAR(13)," "),CHAR(10)," "),CHAR(9)," "),CHAR(92),_xlfn.CONCAT(CHAR(92),CHAR(92))),"$",_xlfn.CONCAT(CHAR(92),"$")),CHAR(96),_xlfn.CONCAT(CHAR(92),CHAR(96))),CHAR(34),CHAR(39))))</f>
        <v/>
      </c>
      <c r="U133" s="5">
        <f t="shared" si="3"/>
        <v>0</v>
      </c>
    </row>
    <row r="134" spans="3:21" ht="30" customHeight="1" x14ac:dyDescent="0.2">
      <c r="C134" s="4"/>
      <c r="K134" s="5">
        <f t="shared" si="2"/>
        <v>0</v>
      </c>
      <c r="L134" s="5" t="str">
        <f>IF(OR(TRIM($B134)="",$A134=""),"",IF(OR(ISNUMBER(SEARCH(_xlfn.CONCAT(CHAR(96),CHAR(34)),$A134)),ISNUMBER(SEARCH(_xlfn.CONCAT(CHAR(34),CHAR(39)),$A134))),_xlfn.CONCAT("* REVIEW REQUIRED: compound-quote delimiter in Codebook Section on Sheet 1 row ",134,"; edit the input before running."),_xlfn.CONCAT("char ",TRIM($B134),"[doc_section] ",CHAR(96),CHAR(34),SUBSTITUTE(SUBSTITUTE(SUBSTITUTE(SUBSTITUTE(SUBSTITUTE(SUBSTITUTE($A134,CHAR(13)," "),CHAR(10)," "),CHAR(9)," "),CHAR(92),_xlfn.CONCAT(CHAR(92),CHAR(92))),"$",_xlfn.CONCAT(CHAR(92),"$")),CHAR(96),_xlfn.CONCAT(CHAR(92),CHAR(96))),CHAR(34),CHAR(39))))</f>
        <v/>
      </c>
      <c r="M134" s="5" t="str">
        <f>IF(OR(TRIM($B134)="",$C134=""),"",IF(IFERROR(MATCH(TRIM($C134),{"Quantitative","Continuous","Discrete","Categorical","Nominal","Ordinal","Identifier"},0),0)=0,_xlfn.CONCAT("* REVIEW REQUIRED: invalid Variable Type on Sheet 1 row ",134,"."),_xlfn.CONCAT("char ",TRIM($B134),"[doc_vartype] ",CHAR(96),CHAR(34),SUBSTITUTE(SUBSTITUTE(SUBSTITUTE(SUBSTITUTE(SUBSTITUTE(SUBSTITUTE(LOWER(TRIM($C134)),CHAR(13)," "),CHAR(10)," "),CHAR(9)," "),CHAR(92),_xlfn.CONCAT(CHAR(92),CHAR(92))),"$",_xlfn.CONCAT(CHAR(92),"$")),CHAR(96),_xlfn.CONCAT(CHAR(92),CHAR(96))),CHAR(34),CHAR(39))))</f>
        <v/>
      </c>
      <c r="N134" s="5" t="str">
        <f>IF(OR(TRIM($B134)="",$D134=""),"",IF(OR(ISNUMBER(SEARCH(_xlfn.CONCAT(CHAR(96),CHAR(34)),$D134)),ISNUMBER(SEARCH(_xlfn.CONCAT(CHAR(34),CHAR(39)),$D134))),_xlfn.CONCAT("* REVIEW REQUIRED: compound-quote delimiter in Item Number on Sheet 1 row ",134,"; edit the input before running."),_xlfn.CONCAT("char ",TRIM($B134),"[doc_itemnum] ",CHAR(96),CHAR(34),SUBSTITUTE(SUBSTITUTE(SUBSTITUTE(SUBSTITUTE(SUBSTITUTE(SUBSTITUTE($D134,CHAR(13)," "),CHAR(10)," "),CHAR(9)," "),CHAR(92),_xlfn.CONCAT(CHAR(92),CHAR(92))),"$",_xlfn.CONCAT(CHAR(92),"$")),CHAR(96),_xlfn.CONCAT(CHAR(92),CHAR(96))),CHAR(34),CHAR(39))))</f>
        <v/>
      </c>
      <c r="O134" s="5" t="str">
        <f>IF(OR(TRIM($B134)="",$E134=""),"",IF(OR(ISNUMBER(SEARCH(_xlfn.CONCAT(CHAR(96),CHAR(34)),$E134)),ISNUMBER(SEARCH(_xlfn.CONCAT(CHAR(34),CHAR(39)),$E134))),_xlfn.CONCAT("* REVIEW REQUIRED: compound-quote delimiter in Question Wording on Sheet 1 row ",134,"; edit the input before running."),_xlfn.CONCAT("char ",TRIM($B134),"[doc_question] ",CHAR(96),CHAR(34),SUBSTITUTE(SUBSTITUTE(SUBSTITUTE(SUBSTITUTE(SUBSTITUTE(SUBSTITUTE($E134,CHAR(13)," "),CHAR(10)," "),CHAR(9)," "),CHAR(92),_xlfn.CONCAT(CHAR(92),CHAR(92))),"$",_xlfn.CONCAT(CHAR(92),"$")),CHAR(96),_xlfn.CONCAT(CHAR(92),CHAR(96))),CHAR(34),CHAR(39))))</f>
        <v/>
      </c>
      <c r="P134" s="5" t="str">
        <f>IF(OR(TRIM($B134)="",$F134=""),"",IF(OR(ISNUMBER(SEARCH(_xlfn.CONCAT(CHAR(96),CHAR(34)),$F134)),ISNUMBER(SEARCH(_xlfn.CONCAT(CHAR(34),CHAR(39)),$F134))),_xlfn.CONCAT("* REVIEW REQUIRED: compound-quote delimiter in Units on Sheet 1 row ",134,"; edit the input before running."),_xlfn.CONCAT("char ",TRIM($B134),"[doc_units] ",CHAR(96),CHAR(34),SUBSTITUTE(SUBSTITUTE(SUBSTITUTE(SUBSTITUTE(SUBSTITUTE(SUBSTITUTE($F134,CHAR(13)," "),CHAR(10)," "),CHAR(9)," "),CHAR(92),_xlfn.CONCAT(CHAR(92),CHAR(92))),"$",_xlfn.CONCAT(CHAR(92),"$")),CHAR(96),_xlfn.CONCAT(CHAR(92),CHAR(96))),CHAR(34),CHAR(39))))</f>
        <v/>
      </c>
      <c r="Q134" s="5" t="str">
        <f>IF(OR(TRIM($B134)="",$G134=""),"",IF(OR(ISNUMBER(SEARCH(_xlfn.CONCAT(CHAR(96),CHAR(34)),$G134)),ISNUMBER(SEARCH(_xlfn.CONCAT(CHAR(34),CHAR(39)),$G134))),_xlfn.CONCAT("* REVIEW REQUIRED: compound-quote delimiter in Universe on Sheet 1 row ",134,"; edit the input before running."),_xlfn.CONCAT("char ",TRIM($B134),"[doc_universe] ",CHAR(96),CHAR(34),SUBSTITUTE(SUBSTITUTE(SUBSTITUTE(SUBSTITUTE(SUBSTITUTE(SUBSTITUTE($G134,CHAR(13)," "),CHAR(10)," "),CHAR(9)," "),CHAR(92),_xlfn.CONCAT(CHAR(92),CHAR(92))),"$",_xlfn.CONCAT(CHAR(92),"$")),CHAR(96),_xlfn.CONCAT(CHAR(92),CHAR(96))),CHAR(34),CHAR(39))))</f>
        <v/>
      </c>
      <c r="R134" s="5" t="str">
        <f>IF(OR(TRIM($B134)="",$H134=""),"",IF(OR(ISNUMBER(SEARCH(_xlfn.CONCAT(CHAR(96),CHAR(34)),$H134)),ISNUMBER(SEARCH(_xlfn.CONCAT(CHAR(34),CHAR(39)),$H134))),_xlfn.CONCAT("* REVIEW REQUIRED: compound-quote delimiter in Source on Sheet 1 row ",134,"; edit the input before running."),_xlfn.CONCAT("char ",TRIM($B134),"[doc_source] ",CHAR(96),CHAR(34),SUBSTITUTE(SUBSTITUTE(SUBSTITUTE(SUBSTITUTE(SUBSTITUTE(SUBSTITUTE($H134,CHAR(13)," "),CHAR(10)," "),CHAR(9)," "),CHAR(92),_xlfn.CONCAT(CHAR(92),CHAR(92))),"$",_xlfn.CONCAT(CHAR(92),"$")),CHAR(96),_xlfn.CONCAT(CHAR(92),CHAR(96))),CHAR(34),CHAR(39))))</f>
        <v/>
      </c>
      <c r="S134" s="5" t="str">
        <f>IF(OR(TRIM($B134)="",$I134=""),"",IF(OR(ISNUMBER(SEARCH(_xlfn.CONCAT(CHAR(96),CHAR(34)),$I134)),ISNUMBER(SEARCH(_xlfn.CONCAT(CHAR(34),CHAR(39)),$I134))),_xlfn.CONCAT("* REVIEW REQUIRED: compound-quote delimiter in Derivation on Sheet 1 row ",134,"; edit the input before running."),_xlfn.CONCAT("char ",TRIM($B134),"[doc_derivation] ",CHAR(96),CHAR(34),SUBSTITUTE(SUBSTITUTE(SUBSTITUTE(SUBSTITUTE(SUBSTITUTE(SUBSTITUTE($I134,CHAR(13)," "),CHAR(10)," "),CHAR(9)," "),CHAR(92),_xlfn.CONCAT(CHAR(92),CHAR(92))),"$",_xlfn.CONCAT(CHAR(92),"$")),CHAR(96),_xlfn.CONCAT(CHAR(92),CHAR(96))),CHAR(34),CHAR(39))))</f>
        <v/>
      </c>
      <c r="T134" s="5" t="str">
        <f>IF(OR(TRIM($B134)="",$J134=""),"",IF(OR(ISNUMBER(SEARCH(_xlfn.CONCAT(CHAR(96),CHAR(34)),$J134)),ISNUMBER(SEARCH(_xlfn.CONCAT(CHAR(34),CHAR(39)),$J134))),_xlfn.CONCAT("* REVIEW REQUIRED: compound-quote delimiter in Notes on Sheet 1 row ",134,"; edit the input before running."),_xlfn.CONCAT("char ",TRIM($B134),"[doc_notes] ",CHAR(96),CHAR(34),SUBSTITUTE(SUBSTITUTE(SUBSTITUTE(SUBSTITUTE(SUBSTITUTE(SUBSTITUTE($J134,CHAR(13)," "),CHAR(10)," "),CHAR(9)," "),CHAR(92),_xlfn.CONCAT(CHAR(92),CHAR(92))),"$",_xlfn.CONCAT(CHAR(92),"$")),CHAR(96),_xlfn.CONCAT(CHAR(92),CHAR(96))),CHAR(34),CHAR(39))))</f>
        <v/>
      </c>
      <c r="U134" s="5">
        <f t="shared" si="3"/>
        <v>0</v>
      </c>
    </row>
    <row r="135" spans="3:21" ht="30" customHeight="1" x14ac:dyDescent="0.2">
      <c r="C135" s="4"/>
      <c r="K135" s="5">
        <f t="shared" si="2"/>
        <v>0</v>
      </c>
      <c r="L135" s="5" t="str">
        <f>IF(OR(TRIM($B135)="",$A135=""),"",IF(OR(ISNUMBER(SEARCH(_xlfn.CONCAT(CHAR(96),CHAR(34)),$A135)),ISNUMBER(SEARCH(_xlfn.CONCAT(CHAR(34),CHAR(39)),$A135))),_xlfn.CONCAT("* REVIEW REQUIRED: compound-quote delimiter in Codebook Section on Sheet 1 row ",135,"; edit the input before running."),_xlfn.CONCAT("char ",TRIM($B135),"[doc_section] ",CHAR(96),CHAR(34),SUBSTITUTE(SUBSTITUTE(SUBSTITUTE(SUBSTITUTE(SUBSTITUTE(SUBSTITUTE($A135,CHAR(13)," "),CHAR(10)," "),CHAR(9)," "),CHAR(92),_xlfn.CONCAT(CHAR(92),CHAR(92))),"$",_xlfn.CONCAT(CHAR(92),"$")),CHAR(96),_xlfn.CONCAT(CHAR(92),CHAR(96))),CHAR(34),CHAR(39))))</f>
        <v/>
      </c>
      <c r="M135" s="5" t="str">
        <f>IF(OR(TRIM($B135)="",$C135=""),"",IF(IFERROR(MATCH(TRIM($C135),{"Quantitative","Continuous","Discrete","Categorical","Nominal","Ordinal","Identifier"},0),0)=0,_xlfn.CONCAT("* REVIEW REQUIRED: invalid Variable Type on Sheet 1 row ",135,"."),_xlfn.CONCAT("char ",TRIM($B135),"[doc_vartype] ",CHAR(96),CHAR(34),SUBSTITUTE(SUBSTITUTE(SUBSTITUTE(SUBSTITUTE(SUBSTITUTE(SUBSTITUTE(LOWER(TRIM($C135)),CHAR(13)," "),CHAR(10)," "),CHAR(9)," "),CHAR(92),_xlfn.CONCAT(CHAR(92),CHAR(92))),"$",_xlfn.CONCAT(CHAR(92),"$")),CHAR(96),_xlfn.CONCAT(CHAR(92),CHAR(96))),CHAR(34),CHAR(39))))</f>
        <v/>
      </c>
      <c r="N135" s="5" t="str">
        <f>IF(OR(TRIM($B135)="",$D135=""),"",IF(OR(ISNUMBER(SEARCH(_xlfn.CONCAT(CHAR(96),CHAR(34)),$D135)),ISNUMBER(SEARCH(_xlfn.CONCAT(CHAR(34),CHAR(39)),$D135))),_xlfn.CONCAT("* REVIEW REQUIRED: compound-quote delimiter in Item Number on Sheet 1 row ",135,"; edit the input before running."),_xlfn.CONCAT("char ",TRIM($B135),"[doc_itemnum] ",CHAR(96),CHAR(34),SUBSTITUTE(SUBSTITUTE(SUBSTITUTE(SUBSTITUTE(SUBSTITUTE(SUBSTITUTE($D135,CHAR(13)," "),CHAR(10)," "),CHAR(9)," "),CHAR(92),_xlfn.CONCAT(CHAR(92),CHAR(92))),"$",_xlfn.CONCAT(CHAR(92),"$")),CHAR(96),_xlfn.CONCAT(CHAR(92),CHAR(96))),CHAR(34),CHAR(39))))</f>
        <v/>
      </c>
      <c r="O135" s="5" t="str">
        <f>IF(OR(TRIM($B135)="",$E135=""),"",IF(OR(ISNUMBER(SEARCH(_xlfn.CONCAT(CHAR(96),CHAR(34)),$E135)),ISNUMBER(SEARCH(_xlfn.CONCAT(CHAR(34),CHAR(39)),$E135))),_xlfn.CONCAT("* REVIEW REQUIRED: compound-quote delimiter in Question Wording on Sheet 1 row ",135,"; edit the input before running."),_xlfn.CONCAT("char ",TRIM($B135),"[doc_question] ",CHAR(96),CHAR(34),SUBSTITUTE(SUBSTITUTE(SUBSTITUTE(SUBSTITUTE(SUBSTITUTE(SUBSTITUTE($E135,CHAR(13)," "),CHAR(10)," "),CHAR(9)," "),CHAR(92),_xlfn.CONCAT(CHAR(92),CHAR(92))),"$",_xlfn.CONCAT(CHAR(92),"$")),CHAR(96),_xlfn.CONCAT(CHAR(92),CHAR(96))),CHAR(34),CHAR(39))))</f>
        <v/>
      </c>
      <c r="P135" s="5" t="str">
        <f>IF(OR(TRIM($B135)="",$F135=""),"",IF(OR(ISNUMBER(SEARCH(_xlfn.CONCAT(CHAR(96),CHAR(34)),$F135)),ISNUMBER(SEARCH(_xlfn.CONCAT(CHAR(34),CHAR(39)),$F135))),_xlfn.CONCAT("* REVIEW REQUIRED: compound-quote delimiter in Units on Sheet 1 row ",135,"; edit the input before running."),_xlfn.CONCAT("char ",TRIM($B135),"[doc_units] ",CHAR(96),CHAR(34),SUBSTITUTE(SUBSTITUTE(SUBSTITUTE(SUBSTITUTE(SUBSTITUTE(SUBSTITUTE($F135,CHAR(13)," "),CHAR(10)," "),CHAR(9)," "),CHAR(92),_xlfn.CONCAT(CHAR(92),CHAR(92))),"$",_xlfn.CONCAT(CHAR(92),"$")),CHAR(96),_xlfn.CONCAT(CHAR(92),CHAR(96))),CHAR(34),CHAR(39))))</f>
        <v/>
      </c>
      <c r="Q135" s="5" t="str">
        <f>IF(OR(TRIM($B135)="",$G135=""),"",IF(OR(ISNUMBER(SEARCH(_xlfn.CONCAT(CHAR(96),CHAR(34)),$G135)),ISNUMBER(SEARCH(_xlfn.CONCAT(CHAR(34),CHAR(39)),$G135))),_xlfn.CONCAT("* REVIEW REQUIRED: compound-quote delimiter in Universe on Sheet 1 row ",135,"; edit the input before running."),_xlfn.CONCAT("char ",TRIM($B135),"[doc_universe] ",CHAR(96),CHAR(34),SUBSTITUTE(SUBSTITUTE(SUBSTITUTE(SUBSTITUTE(SUBSTITUTE(SUBSTITUTE($G135,CHAR(13)," "),CHAR(10)," "),CHAR(9)," "),CHAR(92),_xlfn.CONCAT(CHAR(92),CHAR(92))),"$",_xlfn.CONCAT(CHAR(92),"$")),CHAR(96),_xlfn.CONCAT(CHAR(92),CHAR(96))),CHAR(34),CHAR(39))))</f>
        <v/>
      </c>
      <c r="R135" s="5" t="str">
        <f>IF(OR(TRIM($B135)="",$H135=""),"",IF(OR(ISNUMBER(SEARCH(_xlfn.CONCAT(CHAR(96),CHAR(34)),$H135)),ISNUMBER(SEARCH(_xlfn.CONCAT(CHAR(34),CHAR(39)),$H135))),_xlfn.CONCAT("* REVIEW REQUIRED: compound-quote delimiter in Source on Sheet 1 row ",135,"; edit the input before running."),_xlfn.CONCAT("char ",TRIM($B135),"[doc_source] ",CHAR(96),CHAR(34),SUBSTITUTE(SUBSTITUTE(SUBSTITUTE(SUBSTITUTE(SUBSTITUTE(SUBSTITUTE($H135,CHAR(13)," "),CHAR(10)," "),CHAR(9)," "),CHAR(92),_xlfn.CONCAT(CHAR(92),CHAR(92))),"$",_xlfn.CONCAT(CHAR(92),"$")),CHAR(96),_xlfn.CONCAT(CHAR(92),CHAR(96))),CHAR(34),CHAR(39))))</f>
        <v/>
      </c>
      <c r="S135" s="5" t="str">
        <f>IF(OR(TRIM($B135)="",$I135=""),"",IF(OR(ISNUMBER(SEARCH(_xlfn.CONCAT(CHAR(96),CHAR(34)),$I135)),ISNUMBER(SEARCH(_xlfn.CONCAT(CHAR(34),CHAR(39)),$I135))),_xlfn.CONCAT("* REVIEW REQUIRED: compound-quote delimiter in Derivation on Sheet 1 row ",135,"; edit the input before running."),_xlfn.CONCAT("char ",TRIM($B135),"[doc_derivation] ",CHAR(96),CHAR(34),SUBSTITUTE(SUBSTITUTE(SUBSTITUTE(SUBSTITUTE(SUBSTITUTE(SUBSTITUTE($I135,CHAR(13)," "),CHAR(10)," "),CHAR(9)," "),CHAR(92),_xlfn.CONCAT(CHAR(92),CHAR(92))),"$",_xlfn.CONCAT(CHAR(92),"$")),CHAR(96),_xlfn.CONCAT(CHAR(92),CHAR(96))),CHAR(34),CHAR(39))))</f>
        <v/>
      </c>
      <c r="T135" s="5" t="str">
        <f>IF(OR(TRIM($B135)="",$J135=""),"",IF(OR(ISNUMBER(SEARCH(_xlfn.CONCAT(CHAR(96),CHAR(34)),$J135)),ISNUMBER(SEARCH(_xlfn.CONCAT(CHAR(34),CHAR(39)),$J135))),_xlfn.CONCAT("* REVIEW REQUIRED: compound-quote delimiter in Notes on Sheet 1 row ",135,"; edit the input before running."),_xlfn.CONCAT("char ",TRIM($B135),"[doc_notes] ",CHAR(96),CHAR(34),SUBSTITUTE(SUBSTITUTE(SUBSTITUTE(SUBSTITUTE(SUBSTITUTE(SUBSTITUTE($J135,CHAR(13)," "),CHAR(10)," "),CHAR(9)," "),CHAR(92),_xlfn.CONCAT(CHAR(92),CHAR(92))),"$",_xlfn.CONCAT(CHAR(92),"$")),CHAR(96),_xlfn.CONCAT(CHAR(92),CHAR(96))),CHAR(34),CHAR(39))))</f>
        <v/>
      </c>
      <c r="U135" s="5">
        <f t="shared" si="3"/>
        <v>0</v>
      </c>
    </row>
    <row r="136" spans="3:21" ht="30" customHeight="1" x14ac:dyDescent="0.2">
      <c r="C136" s="4"/>
      <c r="K136" s="5">
        <f t="shared" si="2"/>
        <v>0</v>
      </c>
      <c r="L136" s="5" t="str">
        <f>IF(OR(TRIM($B136)="",$A136=""),"",IF(OR(ISNUMBER(SEARCH(_xlfn.CONCAT(CHAR(96),CHAR(34)),$A136)),ISNUMBER(SEARCH(_xlfn.CONCAT(CHAR(34),CHAR(39)),$A136))),_xlfn.CONCAT("* REVIEW REQUIRED: compound-quote delimiter in Codebook Section on Sheet 1 row ",136,"; edit the input before running."),_xlfn.CONCAT("char ",TRIM($B136),"[doc_section] ",CHAR(96),CHAR(34),SUBSTITUTE(SUBSTITUTE(SUBSTITUTE(SUBSTITUTE(SUBSTITUTE(SUBSTITUTE($A136,CHAR(13)," "),CHAR(10)," "),CHAR(9)," "),CHAR(92),_xlfn.CONCAT(CHAR(92),CHAR(92))),"$",_xlfn.CONCAT(CHAR(92),"$")),CHAR(96),_xlfn.CONCAT(CHAR(92),CHAR(96))),CHAR(34),CHAR(39))))</f>
        <v/>
      </c>
      <c r="M136" s="5" t="str">
        <f>IF(OR(TRIM($B136)="",$C136=""),"",IF(IFERROR(MATCH(TRIM($C136),{"Quantitative","Continuous","Discrete","Categorical","Nominal","Ordinal","Identifier"},0),0)=0,_xlfn.CONCAT("* REVIEW REQUIRED: invalid Variable Type on Sheet 1 row ",136,"."),_xlfn.CONCAT("char ",TRIM($B136),"[doc_vartype] ",CHAR(96),CHAR(34),SUBSTITUTE(SUBSTITUTE(SUBSTITUTE(SUBSTITUTE(SUBSTITUTE(SUBSTITUTE(LOWER(TRIM($C136)),CHAR(13)," "),CHAR(10)," "),CHAR(9)," "),CHAR(92),_xlfn.CONCAT(CHAR(92),CHAR(92))),"$",_xlfn.CONCAT(CHAR(92),"$")),CHAR(96),_xlfn.CONCAT(CHAR(92),CHAR(96))),CHAR(34),CHAR(39))))</f>
        <v/>
      </c>
      <c r="N136" s="5" t="str">
        <f>IF(OR(TRIM($B136)="",$D136=""),"",IF(OR(ISNUMBER(SEARCH(_xlfn.CONCAT(CHAR(96),CHAR(34)),$D136)),ISNUMBER(SEARCH(_xlfn.CONCAT(CHAR(34),CHAR(39)),$D136))),_xlfn.CONCAT("* REVIEW REQUIRED: compound-quote delimiter in Item Number on Sheet 1 row ",136,"; edit the input before running."),_xlfn.CONCAT("char ",TRIM($B136),"[doc_itemnum] ",CHAR(96),CHAR(34),SUBSTITUTE(SUBSTITUTE(SUBSTITUTE(SUBSTITUTE(SUBSTITUTE(SUBSTITUTE($D136,CHAR(13)," "),CHAR(10)," "),CHAR(9)," "),CHAR(92),_xlfn.CONCAT(CHAR(92),CHAR(92))),"$",_xlfn.CONCAT(CHAR(92),"$")),CHAR(96),_xlfn.CONCAT(CHAR(92),CHAR(96))),CHAR(34),CHAR(39))))</f>
        <v/>
      </c>
      <c r="O136" s="5" t="str">
        <f>IF(OR(TRIM($B136)="",$E136=""),"",IF(OR(ISNUMBER(SEARCH(_xlfn.CONCAT(CHAR(96),CHAR(34)),$E136)),ISNUMBER(SEARCH(_xlfn.CONCAT(CHAR(34),CHAR(39)),$E136))),_xlfn.CONCAT("* REVIEW REQUIRED: compound-quote delimiter in Question Wording on Sheet 1 row ",136,"; edit the input before running."),_xlfn.CONCAT("char ",TRIM($B136),"[doc_question] ",CHAR(96),CHAR(34),SUBSTITUTE(SUBSTITUTE(SUBSTITUTE(SUBSTITUTE(SUBSTITUTE(SUBSTITUTE($E136,CHAR(13)," "),CHAR(10)," "),CHAR(9)," "),CHAR(92),_xlfn.CONCAT(CHAR(92),CHAR(92))),"$",_xlfn.CONCAT(CHAR(92),"$")),CHAR(96),_xlfn.CONCAT(CHAR(92),CHAR(96))),CHAR(34),CHAR(39))))</f>
        <v/>
      </c>
      <c r="P136" s="5" t="str">
        <f>IF(OR(TRIM($B136)="",$F136=""),"",IF(OR(ISNUMBER(SEARCH(_xlfn.CONCAT(CHAR(96),CHAR(34)),$F136)),ISNUMBER(SEARCH(_xlfn.CONCAT(CHAR(34),CHAR(39)),$F136))),_xlfn.CONCAT("* REVIEW REQUIRED: compound-quote delimiter in Units on Sheet 1 row ",136,"; edit the input before running."),_xlfn.CONCAT("char ",TRIM($B136),"[doc_units] ",CHAR(96),CHAR(34),SUBSTITUTE(SUBSTITUTE(SUBSTITUTE(SUBSTITUTE(SUBSTITUTE(SUBSTITUTE($F136,CHAR(13)," "),CHAR(10)," "),CHAR(9)," "),CHAR(92),_xlfn.CONCAT(CHAR(92),CHAR(92))),"$",_xlfn.CONCAT(CHAR(92),"$")),CHAR(96),_xlfn.CONCAT(CHAR(92),CHAR(96))),CHAR(34),CHAR(39))))</f>
        <v/>
      </c>
      <c r="Q136" s="5" t="str">
        <f>IF(OR(TRIM($B136)="",$G136=""),"",IF(OR(ISNUMBER(SEARCH(_xlfn.CONCAT(CHAR(96),CHAR(34)),$G136)),ISNUMBER(SEARCH(_xlfn.CONCAT(CHAR(34),CHAR(39)),$G136))),_xlfn.CONCAT("* REVIEW REQUIRED: compound-quote delimiter in Universe on Sheet 1 row ",136,"; edit the input before running."),_xlfn.CONCAT("char ",TRIM($B136),"[doc_universe] ",CHAR(96),CHAR(34),SUBSTITUTE(SUBSTITUTE(SUBSTITUTE(SUBSTITUTE(SUBSTITUTE(SUBSTITUTE($G136,CHAR(13)," "),CHAR(10)," "),CHAR(9)," "),CHAR(92),_xlfn.CONCAT(CHAR(92),CHAR(92))),"$",_xlfn.CONCAT(CHAR(92),"$")),CHAR(96),_xlfn.CONCAT(CHAR(92),CHAR(96))),CHAR(34),CHAR(39))))</f>
        <v/>
      </c>
      <c r="R136" s="5" t="str">
        <f>IF(OR(TRIM($B136)="",$H136=""),"",IF(OR(ISNUMBER(SEARCH(_xlfn.CONCAT(CHAR(96),CHAR(34)),$H136)),ISNUMBER(SEARCH(_xlfn.CONCAT(CHAR(34),CHAR(39)),$H136))),_xlfn.CONCAT("* REVIEW REQUIRED: compound-quote delimiter in Source on Sheet 1 row ",136,"; edit the input before running."),_xlfn.CONCAT("char ",TRIM($B136),"[doc_source] ",CHAR(96),CHAR(34),SUBSTITUTE(SUBSTITUTE(SUBSTITUTE(SUBSTITUTE(SUBSTITUTE(SUBSTITUTE($H136,CHAR(13)," "),CHAR(10)," "),CHAR(9)," "),CHAR(92),_xlfn.CONCAT(CHAR(92),CHAR(92))),"$",_xlfn.CONCAT(CHAR(92),"$")),CHAR(96),_xlfn.CONCAT(CHAR(92),CHAR(96))),CHAR(34),CHAR(39))))</f>
        <v/>
      </c>
      <c r="S136" s="5" t="str">
        <f>IF(OR(TRIM($B136)="",$I136=""),"",IF(OR(ISNUMBER(SEARCH(_xlfn.CONCAT(CHAR(96),CHAR(34)),$I136)),ISNUMBER(SEARCH(_xlfn.CONCAT(CHAR(34),CHAR(39)),$I136))),_xlfn.CONCAT("* REVIEW REQUIRED: compound-quote delimiter in Derivation on Sheet 1 row ",136,"; edit the input before running."),_xlfn.CONCAT("char ",TRIM($B136),"[doc_derivation] ",CHAR(96),CHAR(34),SUBSTITUTE(SUBSTITUTE(SUBSTITUTE(SUBSTITUTE(SUBSTITUTE(SUBSTITUTE($I136,CHAR(13)," "),CHAR(10)," "),CHAR(9)," "),CHAR(92),_xlfn.CONCAT(CHAR(92),CHAR(92))),"$",_xlfn.CONCAT(CHAR(92),"$")),CHAR(96),_xlfn.CONCAT(CHAR(92),CHAR(96))),CHAR(34),CHAR(39))))</f>
        <v/>
      </c>
      <c r="T136" s="5" t="str">
        <f>IF(OR(TRIM($B136)="",$J136=""),"",IF(OR(ISNUMBER(SEARCH(_xlfn.CONCAT(CHAR(96),CHAR(34)),$J136)),ISNUMBER(SEARCH(_xlfn.CONCAT(CHAR(34),CHAR(39)),$J136))),_xlfn.CONCAT("* REVIEW REQUIRED: compound-quote delimiter in Notes on Sheet 1 row ",136,"; edit the input before running."),_xlfn.CONCAT("char ",TRIM($B136),"[doc_notes] ",CHAR(96),CHAR(34),SUBSTITUTE(SUBSTITUTE(SUBSTITUTE(SUBSTITUTE(SUBSTITUTE(SUBSTITUTE($J136,CHAR(13)," "),CHAR(10)," "),CHAR(9)," "),CHAR(92),_xlfn.CONCAT(CHAR(92),CHAR(92))),"$",_xlfn.CONCAT(CHAR(92),"$")),CHAR(96),_xlfn.CONCAT(CHAR(92),CHAR(96))),CHAR(34),CHAR(39))))</f>
        <v/>
      </c>
      <c r="U136" s="5">
        <f t="shared" si="3"/>
        <v>0</v>
      </c>
    </row>
    <row r="137" spans="3:21" ht="30" customHeight="1" x14ac:dyDescent="0.2">
      <c r="C137" s="4"/>
      <c r="K137" s="5">
        <f t="shared" si="2"/>
        <v>0</v>
      </c>
      <c r="L137" s="5" t="str">
        <f>IF(OR(TRIM($B137)="",$A137=""),"",IF(OR(ISNUMBER(SEARCH(_xlfn.CONCAT(CHAR(96),CHAR(34)),$A137)),ISNUMBER(SEARCH(_xlfn.CONCAT(CHAR(34),CHAR(39)),$A137))),_xlfn.CONCAT("* REVIEW REQUIRED: compound-quote delimiter in Codebook Section on Sheet 1 row ",137,"; edit the input before running."),_xlfn.CONCAT("char ",TRIM($B137),"[doc_section] ",CHAR(96),CHAR(34),SUBSTITUTE(SUBSTITUTE(SUBSTITUTE(SUBSTITUTE(SUBSTITUTE(SUBSTITUTE($A137,CHAR(13)," "),CHAR(10)," "),CHAR(9)," "),CHAR(92),_xlfn.CONCAT(CHAR(92),CHAR(92))),"$",_xlfn.CONCAT(CHAR(92),"$")),CHAR(96),_xlfn.CONCAT(CHAR(92),CHAR(96))),CHAR(34),CHAR(39))))</f>
        <v/>
      </c>
      <c r="M137" s="5" t="str">
        <f>IF(OR(TRIM($B137)="",$C137=""),"",IF(IFERROR(MATCH(TRIM($C137),{"Quantitative","Continuous","Discrete","Categorical","Nominal","Ordinal","Identifier"},0),0)=0,_xlfn.CONCAT("* REVIEW REQUIRED: invalid Variable Type on Sheet 1 row ",137,"."),_xlfn.CONCAT("char ",TRIM($B137),"[doc_vartype] ",CHAR(96),CHAR(34),SUBSTITUTE(SUBSTITUTE(SUBSTITUTE(SUBSTITUTE(SUBSTITUTE(SUBSTITUTE(LOWER(TRIM($C137)),CHAR(13)," "),CHAR(10)," "),CHAR(9)," "),CHAR(92),_xlfn.CONCAT(CHAR(92),CHAR(92))),"$",_xlfn.CONCAT(CHAR(92),"$")),CHAR(96),_xlfn.CONCAT(CHAR(92),CHAR(96))),CHAR(34),CHAR(39))))</f>
        <v/>
      </c>
      <c r="N137" s="5" t="str">
        <f>IF(OR(TRIM($B137)="",$D137=""),"",IF(OR(ISNUMBER(SEARCH(_xlfn.CONCAT(CHAR(96),CHAR(34)),$D137)),ISNUMBER(SEARCH(_xlfn.CONCAT(CHAR(34),CHAR(39)),$D137))),_xlfn.CONCAT("* REVIEW REQUIRED: compound-quote delimiter in Item Number on Sheet 1 row ",137,"; edit the input before running."),_xlfn.CONCAT("char ",TRIM($B137),"[doc_itemnum] ",CHAR(96),CHAR(34),SUBSTITUTE(SUBSTITUTE(SUBSTITUTE(SUBSTITUTE(SUBSTITUTE(SUBSTITUTE($D137,CHAR(13)," "),CHAR(10)," "),CHAR(9)," "),CHAR(92),_xlfn.CONCAT(CHAR(92),CHAR(92))),"$",_xlfn.CONCAT(CHAR(92),"$")),CHAR(96),_xlfn.CONCAT(CHAR(92),CHAR(96))),CHAR(34),CHAR(39))))</f>
        <v/>
      </c>
      <c r="O137" s="5" t="str">
        <f>IF(OR(TRIM($B137)="",$E137=""),"",IF(OR(ISNUMBER(SEARCH(_xlfn.CONCAT(CHAR(96),CHAR(34)),$E137)),ISNUMBER(SEARCH(_xlfn.CONCAT(CHAR(34),CHAR(39)),$E137))),_xlfn.CONCAT("* REVIEW REQUIRED: compound-quote delimiter in Question Wording on Sheet 1 row ",137,"; edit the input before running."),_xlfn.CONCAT("char ",TRIM($B137),"[doc_question] ",CHAR(96),CHAR(34),SUBSTITUTE(SUBSTITUTE(SUBSTITUTE(SUBSTITUTE(SUBSTITUTE(SUBSTITUTE($E137,CHAR(13)," "),CHAR(10)," "),CHAR(9)," "),CHAR(92),_xlfn.CONCAT(CHAR(92),CHAR(92))),"$",_xlfn.CONCAT(CHAR(92),"$")),CHAR(96),_xlfn.CONCAT(CHAR(92),CHAR(96))),CHAR(34),CHAR(39))))</f>
        <v/>
      </c>
      <c r="P137" s="5" t="str">
        <f>IF(OR(TRIM($B137)="",$F137=""),"",IF(OR(ISNUMBER(SEARCH(_xlfn.CONCAT(CHAR(96),CHAR(34)),$F137)),ISNUMBER(SEARCH(_xlfn.CONCAT(CHAR(34),CHAR(39)),$F137))),_xlfn.CONCAT("* REVIEW REQUIRED: compound-quote delimiter in Units on Sheet 1 row ",137,"; edit the input before running."),_xlfn.CONCAT("char ",TRIM($B137),"[doc_units] ",CHAR(96),CHAR(34),SUBSTITUTE(SUBSTITUTE(SUBSTITUTE(SUBSTITUTE(SUBSTITUTE(SUBSTITUTE($F137,CHAR(13)," "),CHAR(10)," "),CHAR(9)," "),CHAR(92),_xlfn.CONCAT(CHAR(92),CHAR(92))),"$",_xlfn.CONCAT(CHAR(92),"$")),CHAR(96),_xlfn.CONCAT(CHAR(92),CHAR(96))),CHAR(34),CHAR(39))))</f>
        <v/>
      </c>
      <c r="Q137" s="5" t="str">
        <f>IF(OR(TRIM($B137)="",$G137=""),"",IF(OR(ISNUMBER(SEARCH(_xlfn.CONCAT(CHAR(96),CHAR(34)),$G137)),ISNUMBER(SEARCH(_xlfn.CONCAT(CHAR(34),CHAR(39)),$G137))),_xlfn.CONCAT("* REVIEW REQUIRED: compound-quote delimiter in Universe on Sheet 1 row ",137,"; edit the input before running."),_xlfn.CONCAT("char ",TRIM($B137),"[doc_universe] ",CHAR(96),CHAR(34),SUBSTITUTE(SUBSTITUTE(SUBSTITUTE(SUBSTITUTE(SUBSTITUTE(SUBSTITUTE($G137,CHAR(13)," "),CHAR(10)," "),CHAR(9)," "),CHAR(92),_xlfn.CONCAT(CHAR(92),CHAR(92))),"$",_xlfn.CONCAT(CHAR(92),"$")),CHAR(96),_xlfn.CONCAT(CHAR(92),CHAR(96))),CHAR(34),CHAR(39))))</f>
        <v/>
      </c>
      <c r="R137" s="5" t="str">
        <f>IF(OR(TRIM($B137)="",$H137=""),"",IF(OR(ISNUMBER(SEARCH(_xlfn.CONCAT(CHAR(96),CHAR(34)),$H137)),ISNUMBER(SEARCH(_xlfn.CONCAT(CHAR(34),CHAR(39)),$H137))),_xlfn.CONCAT("* REVIEW REQUIRED: compound-quote delimiter in Source on Sheet 1 row ",137,"; edit the input before running."),_xlfn.CONCAT("char ",TRIM($B137),"[doc_source] ",CHAR(96),CHAR(34),SUBSTITUTE(SUBSTITUTE(SUBSTITUTE(SUBSTITUTE(SUBSTITUTE(SUBSTITUTE($H137,CHAR(13)," "),CHAR(10)," "),CHAR(9)," "),CHAR(92),_xlfn.CONCAT(CHAR(92),CHAR(92))),"$",_xlfn.CONCAT(CHAR(92),"$")),CHAR(96),_xlfn.CONCAT(CHAR(92),CHAR(96))),CHAR(34),CHAR(39))))</f>
        <v/>
      </c>
      <c r="S137" s="5" t="str">
        <f>IF(OR(TRIM($B137)="",$I137=""),"",IF(OR(ISNUMBER(SEARCH(_xlfn.CONCAT(CHAR(96),CHAR(34)),$I137)),ISNUMBER(SEARCH(_xlfn.CONCAT(CHAR(34),CHAR(39)),$I137))),_xlfn.CONCAT("* REVIEW REQUIRED: compound-quote delimiter in Derivation on Sheet 1 row ",137,"; edit the input before running."),_xlfn.CONCAT("char ",TRIM($B137),"[doc_derivation] ",CHAR(96),CHAR(34),SUBSTITUTE(SUBSTITUTE(SUBSTITUTE(SUBSTITUTE(SUBSTITUTE(SUBSTITUTE($I137,CHAR(13)," "),CHAR(10)," "),CHAR(9)," "),CHAR(92),_xlfn.CONCAT(CHAR(92),CHAR(92))),"$",_xlfn.CONCAT(CHAR(92),"$")),CHAR(96),_xlfn.CONCAT(CHAR(92),CHAR(96))),CHAR(34),CHAR(39))))</f>
        <v/>
      </c>
      <c r="T137" s="5" t="str">
        <f>IF(OR(TRIM($B137)="",$J137=""),"",IF(OR(ISNUMBER(SEARCH(_xlfn.CONCAT(CHAR(96),CHAR(34)),$J137)),ISNUMBER(SEARCH(_xlfn.CONCAT(CHAR(34),CHAR(39)),$J137))),_xlfn.CONCAT("* REVIEW REQUIRED: compound-quote delimiter in Notes on Sheet 1 row ",137,"; edit the input before running."),_xlfn.CONCAT("char ",TRIM($B137),"[doc_notes] ",CHAR(96),CHAR(34),SUBSTITUTE(SUBSTITUTE(SUBSTITUTE(SUBSTITUTE(SUBSTITUTE(SUBSTITUTE($J137,CHAR(13)," "),CHAR(10)," "),CHAR(9)," "),CHAR(92),_xlfn.CONCAT(CHAR(92),CHAR(92))),"$",_xlfn.CONCAT(CHAR(92),"$")),CHAR(96),_xlfn.CONCAT(CHAR(92),CHAR(96))),CHAR(34),CHAR(39))))</f>
        <v/>
      </c>
      <c r="U137" s="5">
        <f t="shared" si="3"/>
        <v>0</v>
      </c>
    </row>
    <row r="138" spans="3:21" ht="30" customHeight="1" x14ac:dyDescent="0.2">
      <c r="C138" s="4"/>
      <c r="K138" s="5">
        <f t="shared" si="2"/>
        <v>0</v>
      </c>
      <c r="L138" s="5" t="str">
        <f>IF(OR(TRIM($B138)="",$A138=""),"",IF(OR(ISNUMBER(SEARCH(_xlfn.CONCAT(CHAR(96),CHAR(34)),$A138)),ISNUMBER(SEARCH(_xlfn.CONCAT(CHAR(34),CHAR(39)),$A138))),_xlfn.CONCAT("* REVIEW REQUIRED: compound-quote delimiter in Codebook Section on Sheet 1 row ",138,"; edit the input before running."),_xlfn.CONCAT("char ",TRIM($B138),"[doc_section] ",CHAR(96),CHAR(34),SUBSTITUTE(SUBSTITUTE(SUBSTITUTE(SUBSTITUTE(SUBSTITUTE(SUBSTITUTE($A138,CHAR(13)," "),CHAR(10)," "),CHAR(9)," "),CHAR(92),_xlfn.CONCAT(CHAR(92),CHAR(92))),"$",_xlfn.CONCAT(CHAR(92),"$")),CHAR(96),_xlfn.CONCAT(CHAR(92),CHAR(96))),CHAR(34),CHAR(39))))</f>
        <v/>
      </c>
      <c r="M138" s="5" t="str">
        <f>IF(OR(TRIM($B138)="",$C138=""),"",IF(IFERROR(MATCH(TRIM($C138),{"Quantitative","Continuous","Discrete","Categorical","Nominal","Ordinal","Identifier"},0),0)=0,_xlfn.CONCAT("* REVIEW REQUIRED: invalid Variable Type on Sheet 1 row ",138,"."),_xlfn.CONCAT("char ",TRIM($B138),"[doc_vartype] ",CHAR(96),CHAR(34),SUBSTITUTE(SUBSTITUTE(SUBSTITUTE(SUBSTITUTE(SUBSTITUTE(SUBSTITUTE(LOWER(TRIM($C138)),CHAR(13)," "),CHAR(10)," "),CHAR(9)," "),CHAR(92),_xlfn.CONCAT(CHAR(92),CHAR(92))),"$",_xlfn.CONCAT(CHAR(92),"$")),CHAR(96),_xlfn.CONCAT(CHAR(92),CHAR(96))),CHAR(34),CHAR(39))))</f>
        <v/>
      </c>
      <c r="N138" s="5" t="str">
        <f>IF(OR(TRIM($B138)="",$D138=""),"",IF(OR(ISNUMBER(SEARCH(_xlfn.CONCAT(CHAR(96),CHAR(34)),$D138)),ISNUMBER(SEARCH(_xlfn.CONCAT(CHAR(34),CHAR(39)),$D138))),_xlfn.CONCAT("* REVIEW REQUIRED: compound-quote delimiter in Item Number on Sheet 1 row ",138,"; edit the input before running."),_xlfn.CONCAT("char ",TRIM($B138),"[doc_itemnum] ",CHAR(96),CHAR(34),SUBSTITUTE(SUBSTITUTE(SUBSTITUTE(SUBSTITUTE(SUBSTITUTE(SUBSTITUTE($D138,CHAR(13)," "),CHAR(10)," "),CHAR(9)," "),CHAR(92),_xlfn.CONCAT(CHAR(92),CHAR(92))),"$",_xlfn.CONCAT(CHAR(92),"$")),CHAR(96),_xlfn.CONCAT(CHAR(92),CHAR(96))),CHAR(34),CHAR(39))))</f>
        <v/>
      </c>
      <c r="O138" s="5" t="str">
        <f>IF(OR(TRIM($B138)="",$E138=""),"",IF(OR(ISNUMBER(SEARCH(_xlfn.CONCAT(CHAR(96),CHAR(34)),$E138)),ISNUMBER(SEARCH(_xlfn.CONCAT(CHAR(34),CHAR(39)),$E138))),_xlfn.CONCAT("* REVIEW REQUIRED: compound-quote delimiter in Question Wording on Sheet 1 row ",138,"; edit the input before running."),_xlfn.CONCAT("char ",TRIM($B138),"[doc_question] ",CHAR(96),CHAR(34),SUBSTITUTE(SUBSTITUTE(SUBSTITUTE(SUBSTITUTE(SUBSTITUTE(SUBSTITUTE($E138,CHAR(13)," "),CHAR(10)," "),CHAR(9)," "),CHAR(92),_xlfn.CONCAT(CHAR(92),CHAR(92))),"$",_xlfn.CONCAT(CHAR(92),"$")),CHAR(96),_xlfn.CONCAT(CHAR(92),CHAR(96))),CHAR(34),CHAR(39))))</f>
        <v/>
      </c>
      <c r="P138" s="5" t="str">
        <f>IF(OR(TRIM($B138)="",$F138=""),"",IF(OR(ISNUMBER(SEARCH(_xlfn.CONCAT(CHAR(96),CHAR(34)),$F138)),ISNUMBER(SEARCH(_xlfn.CONCAT(CHAR(34),CHAR(39)),$F138))),_xlfn.CONCAT("* REVIEW REQUIRED: compound-quote delimiter in Units on Sheet 1 row ",138,"; edit the input before running."),_xlfn.CONCAT("char ",TRIM($B138),"[doc_units] ",CHAR(96),CHAR(34),SUBSTITUTE(SUBSTITUTE(SUBSTITUTE(SUBSTITUTE(SUBSTITUTE(SUBSTITUTE($F138,CHAR(13)," "),CHAR(10)," "),CHAR(9)," "),CHAR(92),_xlfn.CONCAT(CHAR(92),CHAR(92))),"$",_xlfn.CONCAT(CHAR(92),"$")),CHAR(96),_xlfn.CONCAT(CHAR(92),CHAR(96))),CHAR(34),CHAR(39))))</f>
        <v/>
      </c>
      <c r="Q138" s="5" t="str">
        <f>IF(OR(TRIM($B138)="",$G138=""),"",IF(OR(ISNUMBER(SEARCH(_xlfn.CONCAT(CHAR(96),CHAR(34)),$G138)),ISNUMBER(SEARCH(_xlfn.CONCAT(CHAR(34),CHAR(39)),$G138))),_xlfn.CONCAT("* REVIEW REQUIRED: compound-quote delimiter in Universe on Sheet 1 row ",138,"; edit the input before running."),_xlfn.CONCAT("char ",TRIM($B138),"[doc_universe] ",CHAR(96),CHAR(34),SUBSTITUTE(SUBSTITUTE(SUBSTITUTE(SUBSTITUTE(SUBSTITUTE(SUBSTITUTE($G138,CHAR(13)," "),CHAR(10)," "),CHAR(9)," "),CHAR(92),_xlfn.CONCAT(CHAR(92),CHAR(92))),"$",_xlfn.CONCAT(CHAR(92),"$")),CHAR(96),_xlfn.CONCAT(CHAR(92),CHAR(96))),CHAR(34),CHAR(39))))</f>
        <v/>
      </c>
      <c r="R138" s="5" t="str">
        <f>IF(OR(TRIM($B138)="",$H138=""),"",IF(OR(ISNUMBER(SEARCH(_xlfn.CONCAT(CHAR(96),CHAR(34)),$H138)),ISNUMBER(SEARCH(_xlfn.CONCAT(CHAR(34),CHAR(39)),$H138))),_xlfn.CONCAT("* REVIEW REQUIRED: compound-quote delimiter in Source on Sheet 1 row ",138,"; edit the input before running."),_xlfn.CONCAT("char ",TRIM($B138),"[doc_source] ",CHAR(96),CHAR(34),SUBSTITUTE(SUBSTITUTE(SUBSTITUTE(SUBSTITUTE(SUBSTITUTE(SUBSTITUTE($H138,CHAR(13)," "),CHAR(10)," "),CHAR(9)," "),CHAR(92),_xlfn.CONCAT(CHAR(92),CHAR(92))),"$",_xlfn.CONCAT(CHAR(92),"$")),CHAR(96),_xlfn.CONCAT(CHAR(92),CHAR(96))),CHAR(34),CHAR(39))))</f>
        <v/>
      </c>
      <c r="S138" s="5" t="str">
        <f>IF(OR(TRIM($B138)="",$I138=""),"",IF(OR(ISNUMBER(SEARCH(_xlfn.CONCAT(CHAR(96),CHAR(34)),$I138)),ISNUMBER(SEARCH(_xlfn.CONCAT(CHAR(34),CHAR(39)),$I138))),_xlfn.CONCAT("* REVIEW REQUIRED: compound-quote delimiter in Derivation on Sheet 1 row ",138,"; edit the input before running."),_xlfn.CONCAT("char ",TRIM($B138),"[doc_derivation] ",CHAR(96),CHAR(34),SUBSTITUTE(SUBSTITUTE(SUBSTITUTE(SUBSTITUTE(SUBSTITUTE(SUBSTITUTE($I138,CHAR(13)," "),CHAR(10)," "),CHAR(9)," "),CHAR(92),_xlfn.CONCAT(CHAR(92),CHAR(92))),"$",_xlfn.CONCAT(CHAR(92),"$")),CHAR(96),_xlfn.CONCAT(CHAR(92),CHAR(96))),CHAR(34),CHAR(39))))</f>
        <v/>
      </c>
      <c r="T138" s="5" t="str">
        <f>IF(OR(TRIM($B138)="",$J138=""),"",IF(OR(ISNUMBER(SEARCH(_xlfn.CONCAT(CHAR(96),CHAR(34)),$J138)),ISNUMBER(SEARCH(_xlfn.CONCAT(CHAR(34),CHAR(39)),$J138))),_xlfn.CONCAT("* REVIEW REQUIRED: compound-quote delimiter in Notes on Sheet 1 row ",138,"; edit the input before running."),_xlfn.CONCAT("char ",TRIM($B138),"[doc_notes] ",CHAR(96),CHAR(34),SUBSTITUTE(SUBSTITUTE(SUBSTITUTE(SUBSTITUTE(SUBSTITUTE(SUBSTITUTE($J138,CHAR(13)," "),CHAR(10)," "),CHAR(9)," "),CHAR(92),_xlfn.CONCAT(CHAR(92),CHAR(92))),"$",_xlfn.CONCAT(CHAR(92),"$")),CHAR(96),_xlfn.CONCAT(CHAR(92),CHAR(96))),CHAR(34),CHAR(39))))</f>
        <v/>
      </c>
      <c r="U138" s="5">
        <f t="shared" si="3"/>
        <v>0</v>
      </c>
    </row>
    <row r="139" spans="3:21" ht="30" customHeight="1" x14ac:dyDescent="0.2">
      <c r="C139" s="4"/>
      <c r="K139" s="5">
        <f t="shared" si="2"/>
        <v>0</v>
      </c>
      <c r="L139" s="5" t="str">
        <f>IF(OR(TRIM($B139)="",$A139=""),"",IF(OR(ISNUMBER(SEARCH(_xlfn.CONCAT(CHAR(96),CHAR(34)),$A139)),ISNUMBER(SEARCH(_xlfn.CONCAT(CHAR(34),CHAR(39)),$A139))),_xlfn.CONCAT("* REVIEW REQUIRED: compound-quote delimiter in Codebook Section on Sheet 1 row ",139,"; edit the input before running."),_xlfn.CONCAT("char ",TRIM($B139),"[doc_section] ",CHAR(96),CHAR(34),SUBSTITUTE(SUBSTITUTE(SUBSTITUTE(SUBSTITUTE(SUBSTITUTE(SUBSTITUTE($A139,CHAR(13)," "),CHAR(10)," "),CHAR(9)," "),CHAR(92),_xlfn.CONCAT(CHAR(92),CHAR(92))),"$",_xlfn.CONCAT(CHAR(92),"$")),CHAR(96),_xlfn.CONCAT(CHAR(92),CHAR(96))),CHAR(34),CHAR(39))))</f>
        <v/>
      </c>
      <c r="M139" s="5" t="str">
        <f>IF(OR(TRIM($B139)="",$C139=""),"",IF(IFERROR(MATCH(TRIM($C139),{"Quantitative","Continuous","Discrete","Categorical","Nominal","Ordinal","Identifier"},0),0)=0,_xlfn.CONCAT("* REVIEW REQUIRED: invalid Variable Type on Sheet 1 row ",139,"."),_xlfn.CONCAT("char ",TRIM($B139),"[doc_vartype] ",CHAR(96),CHAR(34),SUBSTITUTE(SUBSTITUTE(SUBSTITUTE(SUBSTITUTE(SUBSTITUTE(SUBSTITUTE(LOWER(TRIM($C139)),CHAR(13)," "),CHAR(10)," "),CHAR(9)," "),CHAR(92),_xlfn.CONCAT(CHAR(92),CHAR(92))),"$",_xlfn.CONCAT(CHAR(92),"$")),CHAR(96),_xlfn.CONCAT(CHAR(92),CHAR(96))),CHAR(34),CHAR(39))))</f>
        <v/>
      </c>
      <c r="N139" s="5" t="str">
        <f>IF(OR(TRIM($B139)="",$D139=""),"",IF(OR(ISNUMBER(SEARCH(_xlfn.CONCAT(CHAR(96),CHAR(34)),$D139)),ISNUMBER(SEARCH(_xlfn.CONCAT(CHAR(34),CHAR(39)),$D139))),_xlfn.CONCAT("* REVIEW REQUIRED: compound-quote delimiter in Item Number on Sheet 1 row ",139,"; edit the input before running."),_xlfn.CONCAT("char ",TRIM($B139),"[doc_itemnum] ",CHAR(96),CHAR(34),SUBSTITUTE(SUBSTITUTE(SUBSTITUTE(SUBSTITUTE(SUBSTITUTE(SUBSTITUTE($D139,CHAR(13)," "),CHAR(10)," "),CHAR(9)," "),CHAR(92),_xlfn.CONCAT(CHAR(92),CHAR(92))),"$",_xlfn.CONCAT(CHAR(92),"$")),CHAR(96),_xlfn.CONCAT(CHAR(92),CHAR(96))),CHAR(34),CHAR(39))))</f>
        <v/>
      </c>
      <c r="O139" s="5" t="str">
        <f>IF(OR(TRIM($B139)="",$E139=""),"",IF(OR(ISNUMBER(SEARCH(_xlfn.CONCAT(CHAR(96),CHAR(34)),$E139)),ISNUMBER(SEARCH(_xlfn.CONCAT(CHAR(34),CHAR(39)),$E139))),_xlfn.CONCAT("* REVIEW REQUIRED: compound-quote delimiter in Question Wording on Sheet 1 row ",139,"; edit the input before running."),_xlfn.CONCAT("char ",TRIM($B139),"[doc_question] ",CHAR(96),CHAR(34),SUBSTITUTE(SUBSTITUTE(SUBSTITUTE(SUBSTITUTE(SUBSTITUTE(SUBSTITUTE($E139,CHAR(13)," "),CHAR(10)," "),CHAR(9)," "),CHAR(92),_xlfn.CONCAT(CHAR(92),CHAR(92))),"$",_xlfn.CONCAT(CHAR(92),"$")),CHAR(96),_xlfn.CONCAT(CHAR(92),CHAR(96))),CHAR(34),CHAR(39))))</f>
        <v/>
      </c>
      <c r="P139" s="5" t="str">
        <f>IF(OR(TRIM($B139)="",$F139=""),"",IF(OR(ISNUMBER(SEARCH(_xlfn.CONCAT(CHAR(96),CHAR(34)),$F139)),ISNUMBER(SEARCH(_xlfn.CONCAT(CHAR(34),CHAR(39)),$F139))),_xlfn.CONCAT("* REVIEW REQUIRED: compound-quote delimiter in Units on Sheet 1 row ",139,"; edit the input before running."),_xlfn.CONCAT("char ",TRIM($B139),"[doc_units] ",CHAR(96),CHAR(34),SUBSTITUTE(SUBSTITUTE(SUBSTITUTE(SUBSTITUTE(SUBSTITUTE(SUBSTITUTE($F139,CHAR(13)," "),CHAR(10)," "),CHAR(9)," "),CHAR(92),_xlfn.CONCAT(CHAR(92),CHAR(92))),"$",_xlfn.CONCAT(CHAR(92),"$")),CHAR(96),_xlfn.CONCAT(CHAR(92),CHAR(96))),CHAR(34),CHAR(39))))</f>
        <v/>
      </c>
      <c r="Q139" s="5" t="str">
        <f>IF(OR(TRIM($B139)="",$G139=""),"",IF(OR(ISNUMBER(SEARCH(_xlfn.CONCAT(CHAR(96),CHAR(34)),$G139)),ISNUMBER(SEARCH(_xlfn.CONCAT(CHAR(34),CHAR(39)),$G139))),_xlfn.CONCAT("* REVIEW REQUIRED: compound-quote delimiter in Universe on Sheet 1 row ",139,"; edit the input before running."),_xlfn.CONCAT("char ",TRIM($B139),"[doc_universe] ",CHAR(96),CHAR(34),SUBSTITUTE(SUBSTITUTE(SUBSTITUTE(SUBSTITUTE(SUBSTITUTE(SUBSTITUTE($G139,CHAR(13)," "),CHAR(10)," "),CHAR(9)," "),CHAR(92),_xlfn.CONCAT(CHAR(92),CHAR(92))),"$",_xlfn.CONCAT(CHAR(92),"$")),CHAR(96),_xlfn.CONCAT(CHAR(92),CHAR(96))),CHAR(34),CHAR(39))))</f>
        <v/>
      </c>
      <c r="R139" s="5" t="str">
        <f>IF(OR(TRIM($B139)="",$H139=""),"",IF(OR(ISNUMBER(SEARCH(_xlfn.CONCAT(CHAR(96),CHAR(34)),$H139)),ISNUMBER(SEARCH(_xlfn.CONCAT(CHAR(34),CHAR(39)),$H139))),_xlfn.CONCAT("* REVIEW REQUIRED: compound-quote delimiter in Source on Sheet 1 row ",139,"; edit the input before running."),_xlfn.CONCAT("char ",TRIM($B139),"[doc_source] ",CHAR(96),CHAR(34),SUBSTITUTE(SUBSTITUTE(SUBSTITUTE(SUBSTITUTE(SUBSTITUTE(SUBSTITUTE($H139,CHAR(13)," "),CHAR(10)," "),CHAR(9)," "),CHAR(92),_xlfn.CONCAT(CHAR(92),CHAR(92))),"$",_xlfn.CONCAT(CHAR(92),"$")),CHAR(96),_xlfn.CONCAT(CHAR(92),CHAR(96))),CHAR(34),CHAR(39))))</f>
        <v/>
      </c>
      <c r="S139" s="5" t="str">
        <f>IF(OR(TRIM($B139)="",$I139=""),"",IF(OR(ISNUMBER(SEARCH(_xlfn.CONCAT(CHAR(96),CHAR(34)),$I139)),ISNUMBER(SEARCH(_xlfn.CONCAT(CHAR(34),CHAR(39)),$I139))),_xlfn.CONCAT("* REVIEW REQUIRED: compound-quote delimiter in Derivation on Sheet 1 row ",139,"; edit the input before running."),_xlfn.CONCAT("char ",TRIM($B139),"[doc_derivation] ",CHAR(96),CHAR(34),SUBSTITUTE(SUBSTITUTE(SUBSTITUTE(SUBSTITUTE(SUBSTITUTE(SUBSTITUTE($I139,CHAR(13)," "),CHAR(10)," "),CHAR(9)," "),CHAR(92),_xlfn.CONCAT(CHAR(92),CHAR(92))),"$",_xlfn.CONCAT(CHAR(92),"$")),CHAR(96),_xlfn.CONCAT(CHAR(92),CHAR(96))),CHAR(34),CHAR(39))))</f>
        <v/>
      </c>
      <c r="T139" s="5" t="str">
        <f>IF(OR(TRIM($B139)="",$J139=""),"",IF(OR(ISNUMBER(SEARCH(_xlfn.CONCAT(CHAR(96),CHAR(34)),$J139)),ISNUMBER(SEARCH(_xlfn.CONCAT(CHAR(34),CHAR(39)),$J139))),_xlfn.CONCAT("* REVIEW REQUIRED: compound-quote delimiter in Notes on Sheet 1 row ",139,"; edit the input before running."),_xlfn.CONCAT("char ",TRIM($B139),"[doc_notes] ",CHAR(96),CHAR(34),SUBSTITUTE(SUBSTITUTE(SUBSTITUTE(SUBSTITUTE(SUBSTITUTE(SUBSTITUTE($J139,CHAR(13)," "),CHAR(10)," "),CHAR(9)," "),CHAR(92),_xlfn.CONCAT(CHAR(92),CHAR(92))),"$",_xlfn.CONCAT(CHAR(92),"$")),CHAR(96),_xlfn.CONCAT(CHAR(92),CHAR(96))),CHAR(34),CHAR(39))))</f>
        <v/>
      </c>
      <c r="U139" s="5">
        <f t="shared" si="3"/>
        <v>0</v>
      </c>
    </row>
    <row r="140" spans="3:21" ht="30" customHeight="1" x14ac:dyDescent="0.2">
      <c r="C140" s="4"/>
      <c r="K140" s="5">
        <f t="shared" si="2"/>
        <v>0</v>
      </c>
      <c r="L140" s="5" t="str">
        <f>IF(OR(TRIM($B140)="",$A140=""),"",IF(OR(ISNUMBER(SEARCH(_xlfn.CONCAT(CHAR(96),CHAR(34)),$A140)),ISNUMBER(SEARCH(_xlfn.CONCAT(CHAR(34),CHAR(39)),$A140))),_xlfn.CONCAT("* REVIEW REQUIRED: compound-quote delimiter in Codebook Section on Sheet 1 row ",140,"; edit the input before running."),_xlfn.CONCAT("char ",TRIM($B140),"[doc_section] ",CHAR(96),CHAR(34),SUBSTITUTE(SUBSTITUTE(SUBSTITUTE(SUBSTITUTE(SUBSTITUTE(SUBSTITUTE($A140,CHAR(13)," "),CHAR(10)," "),CHAR(9)," "),CHAR(92),_xlfn.CONCAT(CHAR(92),CHAR(92))),"$",_xlfn.CONCAT(CHAR(92),"$")),CHAR(96),_xlfn.CONCAT(CHAR(92),CHAR(96))),CHAR(34),CHAR(39))))</f>
        <v/>
      </c>
      <c r="M140" s="5" t="str">
        <f>IF(OR(TRIM($B140)="",$C140=""),"",IF(IFERROR(MATCH(TRIM($C140),{"Quantitative","Continuous","Discrete","Categorical","Nominal","Ordinal","Identifier"},0),0)=0,_xlfn.CONCAT("* REVIEW REQUIRED: invalid Variable Type on Sheet 1 row ",140,"."),_xlfn.CONCAT("char ",TRIM($B140),"[doc_vartype] ",CHAR(96),CHAR(34),SUBSTITUTE(SUBSTITUTE(SUBSTITUTE(SUBSTITUTE(SUBSTITUTE(SUBSTITUTE(LOWER(TRIM($C140)),CHAR(13)," "),CHAR(10)," "),CHAR(9)," "),CHAR(92),_xlfn.CONCAT(CHAR(92),CHAR(92))),"$",_xlfn.CONCAT(CHAR(92),"$")),CHAR(96),_xlfn.CONCAT(CHAR(92),CHAR(96))),CHAR(34),CHAR(39))))</f>
        <v/>
      </c>
      <c r="N140" s="5" t="str">
        <f>IF(OR(TRIM($B140)="",$D140=""),"",IF(OR(ISNUMBER(SEARCH(_xlfn.CONCAT(CHAR(96),CHAR(34)),$D140)),ISNUMBER(SEARCH(_xlfn.CONCAT(CHAR(34),CHAR(39)),$D140))),_xlfn.CONCAT("* REVIEW REQUIRED: compound-quote delimiter in Item Number on Sheet 1 row ",140,"; edit the input before running."),_xlfn.CONCAT("char ",TRIM($B140),"[doc_itemnum] ",CHAR(96),CHAR(34),SUBSTITUTE(SUBSTITUTE(SUBSTITUTE(SUBSTITUTE(SUBSTITUTE(SUBSTITUTE($D140,CHAR(13)," "),CHAR(10)," "),CHAR(9)," "),CHAR(92),_xlfn.CONCAT(CHAR(92),CHAR(92))),"$",_xlfn.CONCAT(CHAR(92),"$")),CHAR(96),_xlfn.CONCAT(CHAR(92),CHAR(96))),CHAR(34),CHAR(39))))</f>
        <v/>
      </c>
      <c r="O140" s="5" t="str">
        <f>IF(OR(TRIM($B140)="",$E140=""),"",IF(OR(ISNUMBER(SEARCH(_xlfn.CONCAT(CHAR(96),CHAR(34)),$E140)),ISNUMBER(SEARCH(_xlfn.CONCAT(CHAR(34),CHAR(39)),$E140))),_xlfn.CONCAT("* REVIEW REQUIRED: compound-quote delimiter in Question Wording on Sheet 1 row ",140,"; edit the input before running."),_xlfn.CONCAT("char ",TRIM($B140),"[doc_question] ",CHAR(96),CHAR(34),SUBSTITUTE(SUBSTITUTE(SUBSTITUTE(SUBSTITUTE(SUBSTITUTE(SUBSTITUTE($E140,CHAR(13)," "),CHAR(10)," "),CHAR(9)," "),CHAR(92),_xlfn.CONCAT(CHAR(92),CHAR(92))),"$",_xlfn.CONCAT(CHAR(92),"$")),CHAR(96),_xlfn.CONCAT(CHAR(92),CHAR(96))),CHAR(34),CHAR(39))))</f>
        <v/>
      </c>
      <c r="P140" s="5" t="str">
        <f>IF(OR(TRIM($B140)="",$F140=""),"",IF(OR(ISNUMBER(SEARCH(_xlfn.CONCAT(CHAR(96),CHAR(34)),$F140)),ISNUMBER(SEARCH(_xlfn.CONCAT(CHAR(34),CHAR(39)),$F140))),_xlfn.CONCAT("* REVIEW REQUIRED: compound-quote delimiter in Units on Sheet 1 row ",140,"; edit the input before running."),_xlfn.CONCAT("char ",TRIM($B140),"[doc_units] ",CHAR(96),CHAR(34),SUBSTITUTE(SUBSTITUTE(SUBSTITUTE(SUBSTITUTE(SUBSTITUTE(SUBSTITUTE($F140,CHAR(13)," "),CHAR(10)," "),CHAR(9)," "),CHAR(92),_xlfn.CONCAT(CHAR(92),CHAR(92))),"$",_xlfn.CONCAT(CHAR(92),"$")),CHAR(96),_xlfn.CONCAT(CHAR(92),CHAR(96))),CHAR(34),CHAR(39))))</f>
        <v/>
      </c>
      <c r="Q140" s="5" t="str">
        <f>IF(OR(TRIM($B140)="",$G140=""),"",IF(OR(ISNUMBER(SEARCH(_xlfn.CONCAT(CHAR(96),CHAR(34)),$G140)),ISNUMBER(SEARCH(_xlfn.CONCAT(CHAR(34),CHAR(39)),$G140))),_xlfn.CONCAT("* REVIEW REQUIRED: compound-quote delimiter in Universe on Sheet 1 row ",140,"; edit the input before running."),_xlfn.CONCAT("char ",TRIM($B140),"[doc_universe] ",CHAR(96),CHAR(34),SUBSTITUTE(SUBSTITUTE(SUBSTITUTE(SUBSTITUTE(SUBSTITUTE(SUBSTITUTE($G140,CHAR(13)," "),CHAR(10)," "),CHAR(9)," "),CHAR(92),_xlfn.CONCAT(CHAR(92),CHAR(92))),"$",_xlfn.CONCAT(CHAR(92),"$")),CHAR(96),_xlfn.CONCAT(CHAR(92),CHAR(96))),CHAR(34),CHAR(39))))</f>
        <v/>
      </c>
      <c r="R140" s="5" t="str">
        <f>IF(OR(TRIM($B140)="",$H140=""),"",IF(OR(ISNUMBER(SEARCH(_xlfn.CONCAT(CHAR(96),CHAR(34)),$H140)),ISNUMBER(SEARCH(_xlfn.CONCAT(CHAR(34),CHAR(39)),$H140))),_xlfn.CONCAT("* REVIEW REQUIRED: compound-quote delimiter in Source on Sheet 1 row ",140,"; edit the input before running."),_xlfn.CONCAT("char ",TRIM($B140),"[doc_source] ",CHAR(96),CHAR(34),SUBSTITUTE(SUBSTITUTE(SUBSTITUTE(SUBSTITUTE(SUBSTITUTE(SUBSTITUTE($H140,CHAR(13)," "),CHAR(10)," "),CHAR(9)," "),CHAR(92),_xlfn.CONCAT(CHAR(92),CHAR(92))),"$",_xlfn.CONCAT(CHAR(92),"$")),CHAR(96),_xlfn.CONCAT(CHAR(92),CHAR(96))),CHAR(34),CHAR(39))))</f>
        <v/>
      </c>
      <c r="S140" s="5" t="str">
        <f>IF(OR(TRIM($B140)="",$I140=""),"",IF(OR(ISNUMBER(SEARCH(_xlfn.CONCAT(CHAR(96),CHAR(34)),$I140)),ISNUMBER(SEARCH(_xlfn.CONCAT(CHAR(34),CHAR(39)),$I140))),_xlfn.CONCAT("* REVIEW REQUIRED: compound-quote delimiter in Derivation on Sheet 1 row ",140,"; edit the input before running."),_xlfn.CONCAT("char ",TRIM($B140),"[doc_derivation] ",CHAR(96),CHAR(34),SUBSTITUTE(SUBSTITUTE(SUBSTITUTE(SUBSTITUTE(SUBSTITUTE(SUBSTITUTE($I140,CHAR(13)," "),CHAR(10)," "),CHAR(9)," "),CHAR(92),_xlfn.CONCAT(CHAR(92),CHAR(92))),"$",_xlfn.CONCAT(CHAR(92),"$")),CHAR(96),_xlfn.CONCAT(CHAR(92),CHAR(96))),CHAR(34),CHAR(39))))</f>
        <v/>
      </c>
      <c r="T140" s="5" t="str">
        <f>IF(OR(TRIM($B140)="",$J140=""),"",IF(OR(ISNUMBER(SEARCH(_xlfn.CONCAT(CHAR(96),CHAR(34)),$J140)),ISNUMBER(SEARCH(_xlfn.CONCAT(CHAR(34),CHAR(39)),$J140))),_xlfn.CONCAT("* REVIEW REQUIRED: compound-quote delimiter in Notes on Sheet 1 row ",140,"; edit the input before running."),_xlfn.CONCAT("char ",TRIM($B140),"[doc_notes] ",CHAR(96),CHAR(34),SUBSTITUTE(SUBSTITUTE(SUBSTITUTE(SUBSTITUTE(SUBSTITUTE(SUBSTITUTE($J140,CHAR(13)," "),CHAR(10)," "),CHAR(9)," "),CHAR(92),_xlfn.CONCAT(CHAR(92),CHAR(92))),"$",_xlfn.CONCAT(CHAR(92),"$")),CHAR(96),_xlfn.CONCAT(CHAR(92),CHAR(96))),CHAR(34),CHAR(39))))</f>
        <v/>
      </c>
      <c r="U140" s="5">
        <f t="shared" si="3"/>
        <v>0</v>
      </c>
    </row>
    <row r="141" spans="3:21" ht="30" customHeight="1" x14ac:dyDescent="0.2">
      <c r="C141" s="4"/>
      <c r="K141" s="5">
        <f t="shared" si="2"/>
        <v>0</v>
      </c>
      <c r="L141" s="5" t="str">
        <f>IF(OR(TRIM($B141)="",$A141=""),"",IF(OR(ISNUMBER(SEARCH(_xlfn.CONCAT(CHAR(96),CHAR(34)),$A141)),ISNUMBER(SEARCH(_xlfn.CONCAT(CHAR(34),CHAR(39)),$A141))),_xlfn.CONCAT("* REVIEW REQUIRED: compound-quote delimiter in Codebook Section on Sheet 1 row ",141,"; edit the input before running."),_xlfn.CONCAT("char ",TRIM($B141),"[doc_section] ",CHAR(96),CHAR(34),SUBSTITUTE(SUBSTITUTE(SUBSTITUTE(SUBSTITUTE(SUBSTITUTE(SUBSTITUTE($A141,CHAR(13)," "),CHAR(10)," "),CHAR(9)," "),CHAR(92),_xlfn.CONCAT(CHAR(92),CHAR(92))),"$",_xlfn.CONCAT(CHAR(92),"$")),CHAR(96),_xlfn.CONCAT(CHAR(92),CHAR(96))),CHAR(34),CHAR(39))))</f>
        <v/>
      </c>
      <c r="M141" s="5" t="str">
        <f>IF(OR(TRIM($B141)="",$C141=""),"",IF(IFERROR(MATCH(TRIM($C141),{"Quantitative","Continuous","Discrete","Categorical","Nominal","Ordinal","Identifier"},0),0)=0,_xlfn.CONCAT("* REVIEW REQUIRED: invalid Variable Type on Sheet 1 row ",141,"."),_xlfn.CONCAT("char ",TRIM($B141),"[doc_vartype] ",CHAR(96),CHAR(34),SUBSTITUTE(SUBSTITUTE(SUBSTITUTE(SUBSTITUTE(SUBSTITUTE(SUBSTITUTE(LOWER(TRIM($C141)),CHAR(13)," "),CHAR(10)," "),CHAR(9)," "),CHAR(92),_xlfn.CONCAT(CHAR(92),CHAR(92))),"$",_xlfn.CONCAT(CHAR(92),"$")),CHAR(96),_xlfn.CONCAT(CHAR(92),CHAR(96))),CHAR(34),CHAR(39))))</f>
        <v/>
      </c>
      <c r="N141" s="5" t="str">
        <f>IF(OR(TRIM($B141)="",$D141=""),"",IF(OR(ISNUMBER(SEARCH(_xlfn.CONCAT(CHAR(96),CHAR(34)),$D141)),ISNUMBER(SEARCH(_xlfn.CONCAT(CHAR(34),CHAR(39)),$D141))),_xlfn.CONCAT("* REVIEW REQUIRED: compound-quote delimiter in Item Number on Sheet 1 row ",141,"; edit the input before running."),_xlfn.CONCAT("char ",TRIM($B141),"[doc_itemnum] ",CHAR(96),CHAR(34),SUBSTITUTE(SUBSTITUTE(SUBSTITUTE(SUBSTITUTE(SUBSTITUTE(SUBSTITUTE($D141,CHAR(13)," "),CHAR(10)," "),CHAR(9)," "),CHAR(92),_xlfn.CONCAT(CHAR(92),CHAR(92))),"$",_xlfn.CONCAT(CHAR(92),"$")),CHAR(96),_xlfn.CONCAT(CHAR(92),CHAR(96))),CHAR(34),CHAR(39))))</f>
        <v/>
      </c>
      <c r="O141" s="5" t="str">
        <f>IF(OR(TRIM($B141)="",$E141=""),"",IF(OR(ISNUMBER(SEARCH(_xlfn.CONCAT(CHAR(96),CHAR(34)),$E141)),ISNUMBER(SEARCH(_xlfn.CONCAT(CHAR(34),CHAR(39)),$E141))),_xlfn.CONCAT("* REVIEW REQUIRED: compound-quote delimiter in Question Wording on Sheet 1 row ",141,"; edit the input before running."),_xlfn.CONCAT("char ",TRIM($B141),"[doc_question] ",CHAR(96),CHAR(34),SUBSTITUTE(SUBSTITUTE(SUBSTITUTE(SUBSTITUTE(SUBSTITUTE(SUBSTITUTE($E141,CHAR(13)," "),CHAR(10)," "),CHAR(9)," "),CHAR(92),_xlfn.CONCAT(CHAR(92),CHAR(92))),"$",_xlfn.CONCAT(CHAR(92),"$")),CHAR(96),_xlfn.CONCAT(CHAR(92),CHAR(96))),CHAR(34),CHAR(39))))</f>
        <v/>
      </c>
      <c r="P141" s="5" t="str">
        <f>IF(OR(TRIM($B141)="",$F141=""),"",IF(OR(ISNUMBER(SEARCH(_xlfn.CONCAT(CHAR(96),CHAR(34)),$F141)),ISNUMBER(SEARCH(_xlfn.CONCAT(CHAR(34),CHAR(39)),$F141))),_xlfn.CONCAT("* REVIEW REQUIRED: compound-quote delimiter in Units on Sheet 1 row ",141,"; edit the input before running."),_xlfn.CONCAT("char ",TRIM($B141),"[doc_units] ",CHAR(96),CHAR(34),SUBSTITUTE(SUBSTITUTE(SUBSTITUTE(SUBSTITUTE(SUBSTITUTE(SUBSTITUTE($F141,CHAR(13)," "),CHAR(10)," "),CHAR(9)," "),CHAR(92),_xlfn.CONCAT(CHAR(92),CHAR(92))),"$",_xlfn.CONCAT(CHAR(92),"$")),CHAR(96),_xlfn.CONCAT(CHAR(92),CHAR(96))),CHAR(34),CHAR(39))))</f>
        <v/>
      </c>
      <c r="Q141" s="5" t="str">
        <f>IF(OR(TRIM($B141)="",$G141=""),"",IF(OR(ISNUMBER(SEARCH(_xlfn.CONCAT(CHAR(96),CHAR(34)),$G141)),ISNUMBER(SEARCH(_xlfn.CONCAT(CHAR(34),CHAR(39)),$G141))),_xlfn.CONCAT("* REVIEW REQUIRED: compound-quote delimiter in Universe on Sheet 1 row ",141,"; edit the input before running."),_xlfn.CONCAT("char ",TRIM($B141),"[doc_universe] ",CHAR(96),CHAR(34),SUBSTITUTE(SUBSTITUTE(SUBSTITUTE(SUBSTITUTE(SUBSTITUTE(SUBSTITUTE($G141,CHAR(13)," "),CHAR(10)," "),CHAR(9)," "),CHAR(92),_xlfn.CONCAT(CHAR(92),CHAR(92))),"$",_xlfn.CONCAT(CHAR(92),"$")),CHAR(96),_xlfn.CONCAT(CHAR(92),CHAR(96))),CHAR(34),CHAR(39))))</f>
        <v/>
      </c>
      <c r="R141" s="5" t="str">
        <f>IF(OR(TRIM($B141)="",$H141=""),"",IF(OR(ISNUMBER(SEARCH(_xlfn.CONCAT(CHAR(96),CHAR(34)),$H141)),ISNUMBER(SEARCH(_xlfn.CONCAT(CHAR(34),CHAR(39)),$H141))),_xlfn.CONCAT("* REVIEW REQUIRED: compound-quote delimiter in Source on Sheet 1 row ",141,"; edit the input before running."),_xlfn.CONCAT("char ",TRIM($B141),"[doc_source] ",CHAR(96),CHAR(34),SUBSTITUTE(SUBSTITUTE(SUBSTITUTE(SUBSTITUTE(SUBSTITUTE(SUBSTITUTE($H141,CHAR(13)," "),CHAR(10)," "),CHAR(9)," "),CHAR(92),_xlfn.CONCAT(CHAR(92),CHAR(92))),"$",_xlfn.CONCAT(CHAR(92),"$")),CHAR(96),_xlfn.CONCAT(CHAR(92),CHAR(96))),CHAR(34),CHAR(39))))</f>
        <v/>
      </c>
      <c r="S141" s="5" t="str">
        <f>IF(OR(TRIM($B141)="",$I141=""),"",IF(OR(ISNUMBER(SEARCH(_xlfn.CONCAT(CHAR(96),CHAR(34)),$I141)),ISNUMBER(SEARCH(_xlfn.CONCAT(CHAR(34),CHAR(39)),$I141))),_xlfn.CONCAT("* REVIEW REQUIRED: compound-quote delimiter in Derivation on Sheet 1 row ",141,"; edit the input before running."),_xlfn.CONCAT("char ",TRIM($B141),"[doc_derivation] ",CHAR(96),CHAR(34),SUBSTITUTE(SUBSTITUTE(SUBSTITUTE(SUBSTITUTE(SUBSTITUTE(SUBSTITUTE($I141,CHAR(13)," "),CHAR(10)," "),CHAR(9)," "),CHAR(92),_xlfn.CONCAT(CHAR(92),CHAR(92))),"$",_xlfn.CONCAT(CHAR(92),"$")),CHAR(96),_xlfn.CONCAT(CHAR(92),CHAR(96))),CHAR(34),CHAR(39))))</f>
        <v/>
      </c>
      <c r="T141" s="5" t="str">
        <f>IF(OR(TRIM($B141)="",$J141=""),"",IF(OR(ISNUMBER(SEARCH(_xlfn.CONCAT(CHAR(96),CHAR(34)),$J141)),ISNUMBER(SEARCH(_xlfn.CONCAT(CHAR(34),CHAR(39)),$J141))),_xlfn.CONCAT("* REVIEW REQUIRED: compound-quote delimiter in Notes on Sheet 1 row ",141,"; edit the input before running."),_xlfn.CONCAT("char ",TRIM($B141),"[doc_notes] ",CHAR(96),CHAR(34),SUBSTITUTE(SUBSTITUTE(SUBSTITUTE(SUBSTITUTE(SUBSTITUTE(SUBSTITUTE($J141,CHAR(13)," "),CHAR(10)," "),CHAR(9)," "),CHAR(92),_xlfn.CONCAT(CHAR(92),CHAR(92))),"$",_xlfn.CONCAT(CHAR(92),"$")),CHAR(96),_xlfn.CONCAT(CHAR(92),CHAR(96))),CHAR(34),CHAR(39))))</f>
        <v/>
      </c>
      <c r="U141" s="5">
        <f t="shared" si="3"/>
        <v>0</v>
      </c>
    </row>
    <row r="142" spans="3:21" ht="30" customHeight="1" x14ac:dyDescent="0.2">
      <c r="C142" s="4"/>
      <c r="K142" s="5">
        <f t="shared" si="2"/>
        <v>0</v>
      </c>
      <c r="L142" s="5" t="str">
        <f>IF(OR(TRIM($B142)="",$A142=""),"",IF(OR(ISNUMBER(SEARCH(_xlfn.CONCAT(CHAR(96),CHAR(34)),$A142)),ISNUMBER(SEARCH(_xlfn.CONCAT(CHAR(34),CHAR(39)),$A142))),_xlfn.CONCAT("* REVIEW REQUIRED: compound-quote delimiter in Codebook Section on Sheet 1 row ",142,"; edit the input before running."),_xlfn.CONCAT("char ",TRIM($B142),"[doc_section] ",CHAR(96),CHAR(34),SUBSTITUTE(SUBSTITUTE(SUBSTITUTE(SUBSTITUTE(SUBSTITUTE(SUBSTITUTE($A142,CHAR(13)," "),CHAR(10)," "),CHAR(9)," "),CHAR(92),_xlfn.CONCAT(CHAR(92),CHAR(92))),"$",_xlfn.CONCAT(CHAR(92),"$")),CHAR(96),_xlfn.CONCAT(CHAR(92),CHAR(96))),CHAR(34),CHAR(39))))</f>
        <v/>
      </c>
      <c r="M142" s="5" t="str">
        <f>IF(OR(TRIM($B142)="",$C142=""),"",IF(IFERROR(MATCH(TRIM($C142),{"Quantitative","Continuous","Discrete","Categorical","Nominal","Ordinal","Identifier"},0),0)=0,_xlfn.CONCAT("* REVIEW REQUIRED: invalid Variable Type on Sheet 1 row ",142,"."),_xlfn.CONCAT("char ",TRIM($B142),"[doc_vartype] ",CHAR(96),CHAR(34),SUBSTITUTE(SUBSTITUTE(SUBSTITUTE(SUBSTITUTE(SUBSTITUTE(SUBSTITUTE(LOWER(TRIM($C142)),CHAR(13)," "),CHAR(10)," "),CHAR(9)," "),CHAR(92),_xlfn.CONCAT(CHAR(92),CHAR(92))),"$",_xlfn.CONCAT(CHAR(92),"$")),CHAR(96),_xlfn.CONCAT(CHAR(92),CHAR(96))),CHAR(34),CHAR(39))))</f>
        <v/>
      </c>
      <c r="N142" s="5" t="str">
        <f>IF(OR(TRIM($B142)="",$D142=""),"",IF(OR(ISNUMBER(SEARCH(_xlfn.CONCAT(CHAR(96),CHAR(34)),$D142)),ISNUMBER(SEARCH(_xlfn.CONCAT(CHAR(34),CHAR(39)),$D142))),_xlfn.CONCAT("* REVIEW REQUIRED: compound-quote delimiter in Item Number on Sheet 1 row ",142,"; edit the input before running."),_xlfn.CONCAT("char ",TRIM($B142),"[doc_itemnum] ",CHAR(96),CHAR(34),SUBSTITUTE(SUBSTITUTE(SUBSTITUTE(SUBSTITUTE(SUBSTITUTE(SUBSTITUTE($D142,CHAR(13)," "),CHAR(10)," "),CHAR(9)," "),CHAR(92),_xlfn.CONCAT(CHAR(92),CHAR(92))),"$",_xlfn.CONCAT(CHAR(92),"$")),CHAR(96),_xlfn.CONCAT(CHAR(92),CHAR(96))),CHAR(34),CHAR(39))))</f>
        <v/>
      </c>
      <c r="O142" s="5" t="str">
        <f>IF(OR(TRIM($B142)="",$E142=""),"",IF(OR(ISNUMBER(SEARCH(_xlfn.CONCAT(CHAR(96),CHAR(34)),$E142)),ISNUMBER(SEARCH(_xlfn.CONCAT(CHAR(34),CHAR(39)),$E142))),_xlfn.CONCAT("* REVIEW REQUIRED: compound-quote delimiter in Question Wording on Sheet 1 row ",142,"; edit the input before running."),_xlfn.CONCAT("char ",TRIM($B142),"[doc_question] ",CHAR(96),CHAR(34),SUBSTITUTE(SUBSTITUTE(SUBSTITUTE(SUBSTITUTE(SUBSTITUTE(SUBSTITUTE($E142,CHAR(13)," "),CHAR(10)," "),CHAR(9)," "),CHAR(92),_xlfn.CONCAT(CHAR(92),CHAR(92))),"$",_xlfn.CONCAT(CHAR(92),"$")),CHAR(96),_xlfn.CONCAT(CHAR(92),CHAR(96))),CHAR(34),CHAR(39))))</f>
        <v/>
      </c>
      <c r="P142" s="5" t="str">
        <f>IF(OR(TRIM($B142)="",$F142=""),"",IF(OR(ISNUMBER(SEARCH(_xlfn.CONCAT(CHAR(96),CHAR(34)),$F142)),ISNUMBER(SEARCH(_xlfn.CONCAT(CHAR(34),CHAR(39)),$F142))),_xlfn.CONCAT("* REVIEW REQUIRED: compound-quote delimiter in Units on Sheet 1 row ",142,"; edit the input before running."),_xlfn.CONCAT("char ",TRIM($B142),"[doc_units] ",CHAR(96),CHAR(34),SUBSTITUTE(SUBSTITUTE(SUBSTITUTE(SUBSTITUTE(SUBSTITUTE(SUBSTITUTE($F142,CHAR(13)," "),CHAR(10)," "),CHAR(9)," "),CHAR(92),_xlfn.CONCAT(CHAR(92),CHAR(92))),"$",_xlfn.CONCAT(CHAR(92),"$")),CHAR(96),_xlfn.CONCAT(CHAR(92),CHAR(96))),CHAR(34),CHAR(39))))</f>
        <v/>
      </c>
      <c r="Q142" s="5" t="str">
        <f>IF(OR(TRIM($B142)="",$G142=""),"",IF(OR(ISNUMBER(SEARCH(_xlfn.CONCAT(CHAR(96),CHAR(34)),$G142)),ISNUMBER(SEARCH(_xlfn.CONCAT(CHAR(34),CHAR(39)),$G142))),_xlfn.CONCAT("* REVIEW REQUIRED: compound-quote delimiter in Universe on Sheet 1 row ",142,"; edit the input before running."),_xlfn.CONCAT("char ",TRIM($B142),"[doc_universe] ",CHAR(96),CHAR(34),SUBSTITUTE(SUBSTITUTE(SUBSTITUTE(SUBSTITUTE(SUBSTITUTE(SUBSTITUTE($G142,CHAR(13)," "),CHAR(10)," "),CHAR(9)," "),CHAR(92),_xlfn.CONCAT(CHAR(92),CHAR(92))),"$",_xlfn.CONCAT(CHAR(92),"$")),CHAR(96),_xlfn.CONCAT(CHAR(92),CHAR(96))),CHAR(34),CHAR(39))))</f>
        <v/>
      </c>
      <c r="R142" s="5" t="str">
        <f>IF(OR(TRIM($B142)="",$H142=""),"",IF(OR(ISNUMBER(SEARCH(_xlfn.CONCAT(CHAR(96),CHAR(34)),$H142)),ISNUMBER(SEARCH(_xlfn.CONCAT(CHAR(34),CHAR(39)),$H142))),_xlfn.CONCAT("* REVIEW REQUIRED: compound-quote delimiter in Source on Sheet 1 row ",142,"; edit the input before running."),_xlfn.CONCAT("char ",TRIM($B142),"[doc_source] ",CHAR(96),CHAR(34),SUBSTITUTE(SUBSTITUTE(SUBSTITUTE(SUBSTITUTE(SUBSTITUTE(SUBSTITUTE($H142,CHAR(13)," "),CHAR(10)," "),CHAR(9)," "),CHAR(92),_xlfn.CONCAT(CHAR(92),CHAR(92))),"$",_xlfn.CONCAT(CHAR(92),"$")),CHAR(96),_xlfn.CONCAT(CHAR(92),CHAR(96))),CHAR(34),CHAR(39))))</f>
        <v/>
      </c>
      <c r="S142" s="5" t="str">
        <f>IF(OR(TRIM($B142)="",$I142=""),"",IF(OR(ISNUMBER(SEARCH(_xlfn.CONCAT(CHAR(96),CHAR(34)),$I142)),ISNUMBER(SEARCH(_xlfn.CONCAT(CHAR(34),CHAR(39)),$I142))),_xlfn.CONCAT("* REVIEW REQUIRED: compound-quote delimiter in Derivation on Sheet 1 row ",142,"; edit the input before running."),_xlfn.CONCAT("char ",TRIM($B142),"[doc_derivation] ",CHAR(96),CHAR(34),SUBSTITUTE(SUBSTITUTE(SUBSTITUTE(SUBSTITUTE(SUBSTITUTE(SUBSTITUTE($I142,CHAR(13)," "),CHAR(10)," "),CHAR(9)," "),CHAR(92),_xlfn.CONCAT(CHAR(92),CHAR(92))),"$",_xlfn.CONCAT(CHAR(92),"$")),CHAR(96),_xlfn.CONCAT(CHAR(92),CHAR(96))),CHAR(34),CHAR(39))))</f>
        <v/>
      </c>
      <c r="T142" s="5" t="str">
        <f>IF(OR(TRIM($B142)="",$J142=""),"",IF(OR(ISNUMBER(SEARCH(_xlfn.CONCAT(CHAR(96),CHAR(34)),$J142)),ISNUMBER(SEARCH(_xlfn.CONCAT(CHAR(34),CHAR(39)),$J142))),_xlfn.CONCAT("* REVIEW REQUIRED: compound-quote delimiter in Notes on Sheet 1 row ",142,"; edit the input before running."),_xlfn.CONCAT("char ",TRIM($B142),"[doc_notes] ",CHAR(96),CHAR(34),SUBSTITUTE(SUBSTITUTE(SUBSTITUTE(SUBSTITUTE(SUBSTITUTE(SUBSTITUTE($J142,CHAR(13)," "),CHAR(10)," "),CHAR(9)," "),CHAR(92),_xlfn.CONCAT(CHAR(92),CHAR(92))),"$",_xlfn.CONCAT(CHAR(92),"$")),CHAR(96),_xlfn.CONCAT(CHAR(92),CHAR(96))),CHAR(34),CHAR(39))))</f>
        <v/>
      </c>
      <c r="U142" s="5">
        <f t="shared" si="3"/>
        <v>0</v>
      </c>
    </row>
    <row r="143" spans="3:21" ht="30" customHeight="1" x14ac:dyDescent="0.2">
      <c r="C143" s="4"/>
      <c r="K143" s="5">
        <f t="shared" si="2"/>
        <v>0</v>
      </c>
      <c r="L143" s="5" t="str">
        <f>IF(OR(TRIM($B143)="",$A143=""),"",IF(OR(ISNUMBER(SEARCH(_xlfn.CONCAT(CHAR(96),CHAR(34)),$A143)),ISNUMBER(SEARCH(_xlfn.CONCAT(CHAR(34),CHAR(39)),$A143))),_xlfn.CONCAT("* REVIEW REQUIRED: compound-quote delimiter in Codebook Section on Sheet 1 row ",143,"; edit the input before running."),_xlfn.CONCAT("char ",TRIM($B143),"[doc_section] ",CHAR(96),CHAR(34),SUBSTITUTE(SUBSTITUTE(SUBSTITUTE(SUBSTITUTE(SUBSTITUTE(SUBSTITUTE($A143,CHAR(13)," "),CHAR(10)," "),CHAR(9)," "),CHAR(92),_xlfn.CONCAT(CHAR(92),CHAR(92))),"$",_xlfn.CONCAT(CHAR(92),"$")),CHAR(96),_xlfn.CONCAT(CHAR(92),CHAR(96))),CHAR(34),CHAR(39))))</f>
        <v/>
      </c>
      <c r="M143" s="5" t="str">
        <f>IF(OR(TRIM($B143)="",$C143=""),"",IF(IFERROR(MATCH(TRIM($C143),{"Quantitative","Continuous","Discrete","Categorical","Nominal","Ordinal","Identifier"},0),0)=0,_xlfn.CONCAT("* REVIEW REQUIRED: invalid Variable Type on Sheet 1 row ",143,"."),_xlfn.CONCAT("char ",TRIM($B143),"[doc_vartype] ",CHAR(96),CHAR(34),SUBSTITUTE(SUBSTITUTE(SUBSTITUTE(SUBSTITUTE(SUBSTITUTE(SUBSTITUTE(LOWER(TRIM($C143)),CHAR(13)," "),CHAR(10)," "),CHAR(9)," "),CHAR(92),_xlfn.CONCAT(CHAR(92),CHAR(92))),"$",_xlfn.CONCAT(CHAR(92),"$")),CHAR(96),_xlfn.CONCAT(CHAR(92),CHAR(96))),CHAR(34),CHAR(39))))</f>
        <v/>
      </c>
      <c r="N143" s="5" t="str">
        <f>IF(OR(TRIM($B143)="",$D143=""),"",IF(OR(ISNUMBER(SEARCH(_xlfn.CONCAT(CHAR(96),CHAR(34)),$D143)),ISNUMBER(SEARCH(_xlfn.CONCAT(CHAR(34),CHAR(39)),$D143))),_xlfn.CONCAT("* REVIEW REQUIRED: compound-quote delimiter in Item Number on Sheet 1 row ",143,"; edit the input before running."),_xlfn.CONCAT("char ",TRIM($B143),"[doc_itemnum] ",CHAR(96),CHAR(34),SUBSTITUTE(SUBSTITUTE(SUBSTITUTE(SUBSTITUTE(SUBSTITUTE(SUBSTITUTE($D143,CHAR(13)," "),CHAR(10)," "),CHAR(9)," "),CHAR(92),_xlfn.CONCAT(CHAR(92),CHAR(92))),"$",_xlfn.CONCAT(CHAR(92),"$")),CHAR(96),_xlfn.CONCAT(CHAR(92),CHAR(96))),CHAR(34),CHAR(39))))</f>
        <v/>
      </c>
      <c r="O143" s="5" t="str">
        <f>IF(OR(TRIM($B143)="",$E143=""),"",IF(OR(ISNUMBER(SEARCH(_xlfn.CONCAT(CHAR(96),CHAR(34)),$E143)),ISNUMBER(SEARCH(_xlfn.CONCAT(CHAR(34),CHAR(39)),$E143))),_xlfn.CONCAT("* REVIEW REQUIRED: compound-quote delimiter in Question Wording on Sheet 1 row ",143,"; edit the input before running."),_xlfn.CONCAT("char ",TRIM($B143),"[doc_question] ",CHAR(96),CHAR(34),SUBSTITUTE(SUBSTITUTE(SUBSTITUTE(SUBSTITUTE(SUBSTITUTE(SUBSTITUTE($E143,CHAR(13)," "),CHAR(10)," "),CHAR(9)," "),CHAR(92),_xlfn.CONCAT(CHAR(92),CHAR(92))),"$",_xlfn.CONCAT(CHAR(92),"$")),CHAR(96),_xlfn.CONCAT(CHAR(92),CHAR(96))),CHAR(34),CHAR(39))))</f>
        <v/>
      </c>
      <c r="P143" s="5" t="str">
        <f>IF(OR(TRIM($B143)="",$F143=""),"",IF(OR(ISNUMBER(SEARCH(_xlfn.CONCAT(CHAR(96),CHAR(34)),$F143)),ISNUMBER(SEARCH(_xlfn.CONCAT(CHAR(34),CHAR(39)),$F143))),_xlfn.CONCAT("* REVIEW REQUIRED: compound-quote delimiter in Units on Sheet 1 row ",143,"; edit the input before running."),_xlfn.CONCAT("char ",TRIM($B143),"[doc_units] ",CHAR(96),CHAR(34),SUBSTITUTE(SUBSTITUTE(SUBSTITUTE(SUBSTITUTE(SUBSTITUTE(SUBSTITUTE($F143,CHAR(13)," "),CHAR(10)," "),CHAR(9)," "),CHAR(92),_xlfn.CONCAT(CHAR(92),CHAR(92))),"$",_xlfn.CONCAT(CHAR(92),"$")),CHAR(96),_xlfn.CONCAT(CHAR(92),CHAR(96))),CHAR(34),CHAR(39))))</f>
        <v/>
      </c>
      <c r="Q143" s="5" t="str">
        <f>IF(OR(TRIM($B143)="",$G143=""),"",IF(OR(ISNUMBER(SEARCH(_xlfn.CONCAT(CHAR(96),CHAR(34)),$G143)),ISNUMBER(SEARCH(_xlfn.CONCAT(CHAR(34),CHAR(39)),$G143))),_xlfn.CONCAT("* REVIEW REQUIRED: compound-quote delimiter in Universe on Sheet 1 row ",143,"; edit the input before running."),_xlfn.CONCAT("char ",TRIM($B143),"[doc_universe] ",CHAR(96),CHAR(34),SUBSTITUTE(SUBSTITUTE(SUBSTITUTE(SUBSTITUTE(SUBSTITUTE(SUBSTITUTE($G143,CHAR(13)," "),CHAR(10)," "),CHAR(9)," "),CHAR(92),_xlfn.CONCAT(CHAR(92),CHAR(92))),"$",_xlfn.CONCAT(CHAR(92),"$")),CHAR(96),_xlfn.CONCAT(CHAR(92),CHAR(96))),CHAR(34),CHAR(39))))</f>
        <v/>
      </c>
      <c r="R143" s="5" t="str">
        <f>IF(OR(TRIM($B143)="",$H143=""),"",IF(OR(ISNUMBER(SEARCH(_xlfn.CONCAT(CHAR(96),CHAR(34)),$H143)),ISNUMBER(SEARCH(_xlfn.CONCAT(CHAR(34),CHAR(39)),$H143))),_xlfn.CONCAT("* REVIEW REQUIRED: compound-quote delimiter in Source on Sheet 1 row ",143,"; edit the input before running."),_xlfn.CONCAT("char ",TRIM($B143),"[doc_source] ",CHAR(96),CHAR(34),SUBSTITUTE(SUBSTITUTE(SUBSTITUTE(SUBSTITUTE(SUBSTITUTE(SUBSTITUTE($H143,CHAR(13)," "),CHAR(10)," "),CHAR(9)," "),CHAR(92),_xlfn.CONCAT(CHAR(92),CHAR(92))),"$",_xlfn.CONCAT(CHAR(92),"$")),CHAR(96),_xlfn.CONCAT(CHAR(92),CHAR(96))),CHAR(34),CHAR(39))))</f>
        <v/>
      </c>
      <c r="S143" s="5" t="str">
        <f>IF(OR(TRIM($B143)="",$I143=""),"",IF(OR(ISNUMBER(SEARCH(_xlfn.CONCAT(CHAR(96),CHAR(34)),$I143)),ISNUMBER(SEARCH(_xlfn.CONCAT(CHAR(34),CHAR(39)),$I143))),_xlfn.CONCAT("* REVIEW REQUIRED: compound-quote delimiter in Derivation on Sheet 1 row ",143,"; edit the input before running."),_xlfn.CONCAT("char ",TRIM($B143),"[doc_derivation] ",CHAR(96),CHAR(34),SUBSTITUTE(SUBSTITUTE(SUBSTITUTE(SUBSTITUTE(SUBSTITUTE(SUBSTITUTE($I143,CHAR(13)," "),CHAR(10)," "),CHAR(9)," "),CHAR(92),_xlfn.CONCAT(CHAR(92),CHAR(92))),"$",_xlfn.CONCAT(CHAR(92),"$")),CHAR(96),_xlfn.CONCAT(CHAR(92),CHAR(96))),CHAR(34),CHAR(39))))</f>
        <v/>
      </c>
      <c r="T143" s="5" t="str">
        <f>IF(OR(TRIM($B143)="",$J143=""),"",IF(OR(ISNUMBER(SEARCH(_xlfn.CONCAT(CHAR(96),CHAR(34)),$J143)),ISNUMBER(SEARCH(_xlfn.CONCAT(CHAR(34),CHAR(39)),$J143))),_xlfn.CONCAT("* REVIEW REQUIRED: compound-quote delimiter in Notes on Sheet 1 row ",143,"; edit the input before running."),_xlfn.CONCAT("char ",TRIM($B143),"[doc_notes] ",CHAR(96),CHAR(34),SUBSTITUTE(SUBSTITUTE(SUBSTITUTE(SUBSTITUTE(SUBSTITUTE(SUBSTITUTE($J143,CHAR(13)," "),CHAR(10)," "),CHAR(9)," "),CHAR(92),_xlfn.CONCAT(CHAR(92),CHAR(92))),"$",_xlfn.CONCAT(CHAR(92),"$")),CHAR(96),_xlfn.CONCAT(CHAR(92),CHAR(96))),CHAR(34),CHAR(39))))</f>
        <v/>
      </c>
      <c r="U143" s="5">
        <f t="shared" si="3"/>
        <v>0</v>
      </c>
    </row>
    <row r="144" spans="3:21" ht="30" customHeight="1" x14ac:dyDescent="0.2">
      <c r="C144" s="4"/>
      <c r="K144" s="5">
        <f t="shared" si="2"/>
        <v>0</v>
      </c>
      <c r="L144" s="5" t="str">
        <f>IF(OR(TRIM($B144)="",$A144=""),"",IF(OR(ISNUMBER(SEARCH(_xlfn.CONCAT(CHAR(96),CHAR(34)),$A144)),ISNUMBER(SEARCH(_xlfn.CONCAT(CHAR(34),CHAR(39)),$A144))),_xlfn.CONCAT("* REVIEW REQUIRED: compound-quote delimiter in Codebook Section on Sheet 1 row ",144,"; edit the input before running."),_xlfn.CONCAT("char ",TRIM($B144),"[doc_section] ",CHAR(96),CHAR(34),SUBSTITUTE(SUBSTITUTE(SUBSTITUTE(SUBSTITUTE(SUBSTITUTE(SUBSTITUTE($A144,CHAR(13)," "),CHAR(10)," "),CHAR(9)," "),CHAR(92),_xlfn.CONCAT(CHAR(92),CHAR(92))),"$",_xlfn.CONCAT(CHAR(92),"$")),CHAR(96),_xlfn.CONCAT(CHAR(92),CHAR(96))),CHAR(34),CHAR(39))))</f>
        <v/>
      </c>
      <c r="M144" s="5" t="str">
        <f>IF(OR(TRIM($B144)="",$C144=""),"",IF(IFERROR(MATCH(TRIM($C144),{"Quantitative","Continuous","Discrete","Categorical","Nominal","Ordinal","Identifier"},0),0)=0,_xlfn.CONCAT("* REVIEW REQUIRED: invalid Variable Type on Sheet 1 row ",144,"."),_xlfn.CONCAT("char ",TRIM($B144),"[doc_vartype] ",CHAR(96),CHAR(34),SUBSTITUTE(SUBSTITUTE(SUBSTITUTE(SUBSTITUTE(SUBSTITUTE(SUBSTITUTE(LOWER(TRIM($C144)),CHAR(13)," "),CHAR(10)," "),CHAR(9)," "),CHAR(92),_xlfn.CONCAT(CHAR(92),CHAR(92))),"$",_xlfn.CONCAT(CHAR(92),"$")),CHAR(96),_xlfn.CONCAT(CHAR(92),CHAR(96))),CHAR(34),CHAR(39))))</f>
        <v/>
      </c>
      <c r="N144" s="5" t="str">
        <f>IF(OR(TRIM($B144)="",$D144=""),"",IF(OR(ISNUMBER(SEARCH(_xlfn.CONCAT(CHAR(96),CHAR(34)),$D144)),ISNUMBER(SEARCH(_xlfn.CONCAT(CHAR(34),CHAR(39)),$D144))),_xlfn.CONCAT("* REVIEW REQUIRED: compound-quote delimiter in Item Number on Sheet 1 row ",144,"; edit the input before running."),_xlfn.CONCAT("char ",TRIM($B144),"[doc_itemnum] ",CHAR(96),CHAR(34),SUBSTITUTE(SUBSTITUTE(SUBSTITUTE(SUBSTITUTE(SUBSTITUTE(SUBSTITUTE($D144,CHAR(13)," "),CHAR(10)," "),CHAR(9)," "),CHAR(92),_xlfn.CONCAT(CHAR(92),CHAR(92))),"$",_xlfn.CONCAT(CHAR(92),"$")),CHAR(96),_xlfn.CONCAT(CHAR(92),CHAR(96))),CHAR(34),CHAR(39))))</f>
        <v/>
      </c>
      <c r="O144" s="5" t="str">
        <f>IF(OR(TRIM($B144)="",$E144=""),"",IF(OR(ISNUMBER(SEARCH(_xlfn.CONCAT(CHAR(96),CHAR(34)),$E144)),ISNUMBER(SEARCH(_xlfn.CONCAT(CHAR(34),CHAR(39)),$E144))),_xlfn.CONCAT("* REVIEW REQUIRED: compound-quote delimiter in Question Wording on Sheet 1 row ",144,"; edit the input before running."),_xlfn.CONCAT("char ",TRIM($B144),"[doc_question] ",CHAR(96),CHAR(34),SUBSTITUTE(SUBSTITUTE(SUBSTITUTE(SUBSTITUTE(SUBSTITUTE(SUBSTITUTE($E144,CHAR(13)," "),CHAR(10)," "),CHAR(9)," "),CHAR(92),_xlfn.CONCAT(CHAR(92),CHAR(92))),"$",_xlfn.CONCAT(CHAR(92),"$")),CHAR(96),_xlfn.CONCAT(CHAR(92),CHAR(96))),CHAR(34),CHAR(39))))</f>
        <v/>
      </c>
      <c r="P144" s="5" t="str">
        <f>IF(OR(TRIM($B144)="",$F144=""),"",IF(OR(ISNUMBER(SEARCH(_xlfn.CONCAT(CHAR(96),CHAR(34)),$F144)),ISNUMBER(SEARCH(_xlfn.CONCAT(CHAR(34),CHAR(39)),$F144))),_xlfn.CONCAT("* REVIEW REQUIRED: compound-quote delimiter in Units on Sheet 1 row ",144,"; edit the input before running."),_xlfn.CONCAT("char ",TRIM($B144),"[doc_units] ",CHAR(96),CHAR(34),SUBSTITUTE(SUBSTITUTE(SUBSTITUTE(SUBSTITUTE(SUBSTITUTE(SUBSTITUTE($F144,CHAR(13)," "),CHAR(10)," "),CHAR(9)," "),CHAR(92),_xlfn.CONCAT(CHAR(92),CHAR(92))),"$",_xlfn.CONCAT(CHAR(92),"$")),CHAR(96),_xlfn.CONCAT(CHAR(92),CHAR(96))),CHAR(34),CHAR(39))))</f>
        <v/>
      </c>
      <c r="Q144" s="5" t="str">
        <f>IF(OR(TRIM($B144)="",$G144=""),"",IF(OR(ISNUMBER(SEARCH(_xlfn.CONCAT(CHAR(96),CHAR(34)),$G144)),ISNUMBER(SEARCH(_xlfn.CONCAT(CHAR(34),CHAR(39)),$G144))),_xlfn.CONCAT("* REVIEW REQUIRED: compound-quote delimiter in Universe on Sheet 1 row ",144,"; edit the input before running."),_xlfn.CONCAT("char ",TRIM($B144),"[doc_universe] ",CHAR(96),CHAR(34),SUBSTITUTE(SUBSTITUTE(SUBSTITUTE(SUBSTITUTE(SUBSTITUTE(SUBSTITUTE($G144,CHAR(13)," "),CHAR(10)," "),CHAR(9)," "),CHAR(92),_xlfn.CONCAT(CHAR(92),CHAR(92))),"$",_xlfn.CONCAT(CHAR(92),"$")),CHAR(96),_xlfn.CONCAT(CHAR(92),CHAR(96))),CHAR(34),CHAR(39))))</f>
        <v/>
      </c>
      <c r="R144" s="5" t="str">
        <f>IF(OR(TRIM($B144)="",$H144=""),"",IF(OR(ISNUMBER(SEARCH(_xlfn.CONCAT(CHAR(96),CHAR(34)),$H144)),ISNUMBER(SEARCH(_xlfn.CONCAT(CHAR(34),CHAR(39)),$H144))),_xlfn.CONCAT("* REVIEW REQUIRED: compound-quote delimiter in Source on Sheet 1 row ",144,"; edit the input before running."),_xlfn.CONCAT("char ",TRIM($B144),"[doc_source] ",CHAR(96),CHAR(34),SUBSTITUTE(SUBSTITUTE(SUBSTITUTE(SUBSTITUTE(SUBSTITUTE(SUBSTITUTE($H144,CHAR(13)," "),CHAR(10)," "),CHAR(9)," "),CHAR(92),_xlfn.CONCAT(CHAR(92),CHAR(92))),"$",_xlfn.CONCAT(CHAR(92),"$")),CHAR(96),_xlfn.CONCAT(CHAR(92),CHAR(96))),CHAR(34),CHAR(39))))</f>
        <v/>
      </c>
      <c r="S144" s="5" t="str">
        <f>IF(OR(TRIM($B144)="",$I144=""),"",IF(OR(ISNUMBER(SEARCH(_xlfn.CONCAT(CHAR(96),CHAR(34)),$I144)),ISNUMBER(SEARCH(_xlfn.CONCAT(CHAR(34),CHAR(39)),$I144))),_xlfn.CONCAT("* REVIEW REQUIRED: compound-quote delimiter in Derivation on Sheet 1 row ",144,"; edit the input before running."),_xlfn.CONCAT("char ",TRIM($B144),"[doc_derivation] ",CHAR(96),CHAR(34),SUBSTITUTE(SUBSTITUTE(SUBSTITUTE(SUBSTITUTE(SUBSTITUTE(SUBSTITUTE($I144,CHAR(13)," "),CHAR(10)," "),CHAR(9)," "),CHAR(92),_xlfn.CONCAT(CHAR(92),CHAR(92))),"$",_xlfn.CONCAT(CHAR(92),"$")),CHAR(96),_xlfn.CONCAT(CHAR(92),CHAR(96))),CHAR(34),CHAR(39))))</f>
        <v/>
      </c>
      <c r="T144" s="5" t="str">
        <f>IF(OR(TRIM($B144)="",$J144=""),"",IF(OR(ISNUMBER(SEARCH(_xlfn.CONCAT(CHAR(96),CHAR(34)),$J144)),ISNUMBER(SEARCH(_xlfn.CONCAT(CHAR(34),CHAR(39)),$J144))),_xlfn.CONCAT("* REVIEW REQUIRED: compound-quote delimiter in Notes on Sheet 1 row ",144,"; edit the input before running."),_xlfn.CONCAT("char ",TRIM($B144),"[doc_notes] ",CHAR(96),CHAR(34),SUBSTITUTE(SUBSTITUTE(SUBSTITUTE(SUBSTITUTE(SUBSTITUTE(SUBSTITUTE($J144,CHAR(13)," "),CHAR(10)," "),CHAR(9)," "),CHAR(92),_xlfn.CONCAT(CHAR(92),CHAR(92))),"$",_xlfn.CONCAT(CHAR(92),"$")),CHAR(96),_xlfn.CONCAT(CHAR(92),CHAR(96))),CHAR(34),CHAR(39))))</f>
        <v/>
      </c>
      <c r="U144" s="5">
        <f t="shared" si="3"/>
        <v>0</v>
      </c>
    </row>
    <row r="145" spans="3:21" ht="30" customHeight="1" x14ac:dyDescent="0.2">
      <c r="C145" s="4"/>
      <c r="K145" s="5">
        <f t="shared" si="2"/>
        <v>0</v>
      </c>
      <c r="L145" s="5" t="str">
        <f>IF(OR(TRIM($B145)="",$A145=""),"",IF(OR(ISNUMBER(SEARCH(_xlfn.CONCAT(CHAR(96),CHAR(34)),$A145)),ISNUMBER(SEARCH(_xlfn.CONCAT(CHAR(34),CHAR(39)),$A145))),_xlfn.CONCAT("* REVIEW REQUIRED: compound-quote delimiter in Codebook Section on Sheet 1 row ",145,"; edit the input before running."),_xlfn.CONCAT("char ",TRIM($B145),"[doc_section] ",CHAR(96),CHAR(34),SUBSTITUTE(SUBSTITUTE(SUBSTITUTE(SUBSTITUTE(SUBSTITUTE(SUBSTITUTE($A145,CHAR(13)," "),CHAR(10)," "),CHAR(9)," "),CHAR(92),_xlfn.CONCAT(CHAR(92),CHAR(92))),"$",_xlfn.CONCAT(CHAR(92),"$")),CHAR(96),_xlfn.CONCAT(CHAR(92),CHAR(96))),CHAR(34),CHAR(39))))</f>
        <v/>
      </c>
      <c r="M145" s="5" t="str">
        <f>IF(OR(TRIM($B145)="",$C145=""),"",IF(IFERROR(MATCH(TRIM($C145),{"Quantitative","Continuous","Discrete","Categorical","Nominal","Ordinal","Identifier"},0),0)=0,_xlfn.CONCAT("* REVIEW REQUIRED: invalid Variable Type on Sheet 1 row ",145,"."),_xlfn.CONCAT("char ",TRIM($B145),"[doc_vartype] ",CHAR(96),CHAR(34),SUBSTITUTE(SUBSTITUTE(SUBSTITUTE(SUBSTITUTE(SUBSTITUTE(SUBSTITUTE(LOWER(TRIM($C145)),CHAR(13)," "),CHAR(10)," "),CHAR(9)," "),CHAR(92),_xlfn.CONCAT(CHAR(92),CHAR(92))),"$",_xlfn.CONCAT(CHAR(92),"$")),CHAR(96),_xlfn.CONCAT(CHAR(92),CHAR(96))),CHAR(34),CHAR(39))))</f>
        <v/>
      </c>
      <c r="N145" s="5" t="str">
        <f>IF(OR(TRIM($B145)="",$D145=""),"",IF(OR(ISNUMBER(SEARCH(_xlfn.CONCAT(CHAR(96),CHAR(34)),$D145)),ISNUMBER(SEARCH(_xlfn.CONCAT(CHAR(34),CHAR(39)),$D145))),_xlfn.CONCAT("* REVIEW REQUIRED: compound-quote delimiter in Item Number on Sheet 1 row ",145,"; edit the input before running."),_xlfn.CONCAT("char ",TRIM($B145),"[doc_itemnum] ",CHAR(96),CHAR(34),SUBSTITUTE(SUBSTITUTE(SUBSTITUTE(SUBSTITUTE(SUBSTITUTE(SUBSTITUTE($D145,CHAR(13)," "),CHAR(10)," "),CHAR(9)," "),CHAR(92),_xlfn.CONCAT(CHAR(92),CHAR(92))),"$",_xlfn.CONCAT(CHAR(92),"$")),CHAR(96),_xlfn.CONCAT(CHAR(92),CHAR(96))),CHAR(34),CHAR(39))))</f>
        <v/>
      </c>
      <c r="O145" s="5" t="str">
        <f>IF(OR(TRIM($B145)="",$E145=""),"",IF(OR(ISNUMBER(SEARCH(_xlfn.CONCAT(CHAR(96),CHAR(34)),$E145)),ISNUMBER(SEARCH(_xlfn.CONCAT(CHAR(34),CHAR(39)),$E145))),_xlfn.CONCAT("* REVIEW REQUIRED: compound-quote delimiter in Question Wording on Sheet 1 row ",145,"; edit the input before running."),_xlfn.CONCAT("char ",TRIM($B145),"[doc_question] ",CHAR(96),CHAR(34),SUBSTITUTE(SUBSTITUTE(SUBSTITUTE(SUBSTITUTE(SUBSTITUTE(SUBSTITUTE($E145,CHAR(13)," "),CHAR(10)," "),CHAR(9)," "),CHAR(92),_xlfn.CONCAT(CHAR(92),CHAR(92))),"$",_xlfn.CONCAT(CHAR(92),"$")),CHAR(96),_xlfn.CONCAT(CHAR(92),CHAR(96))),CHAR(34),CHAR(39))))</f>
        <v/>
      </c>
      <c r="P145" s="5" t="str">
        <f>IF(OR(TRIM($B145)="",$F145=""),"",IF(OR(ISNUMBER(SEARCH(_xlfn.CONCAT(CHAR(96),CHAR(34)),$F145)),ISNUMBER(SEARCH(_xlfn.CONCAT(CHAR(34),CHAR(39)),$F145))),_xlfn.CONCAT("* REVIEW REQUIRED: compound-quote delimiter in Units on Sheet 1 row ",145,"; edit the input before running."),_xlfn.CONCAT("char ",TRIM($B145),"[doc_units] ",CHAR(96),CHAR(34),SUBSTITUTE(SUBSTITUTE(SUBSTITUTE(SUBSTITUTE(SUBSTITUTE(SUBSTITUTE($F145,CHAR(13)," "),CHAR(10)," "),CHAR(9)," "),CHAR(92),_xlfn.CONCAT(CHAR(92),CHAR(92))),"$",_xlfn.CONCAT(CHAR(92),"$")),CHAR(96),_xlfn.CONCAT(CHAR(92),CHAR(96))),CHAR(34),CHAR(39))))</f>
        <v/>
      </c>
      <c r="Q145" s="5" t="str">
        <f>IF(OR(TRIM($B145)="",$G145=""),"",IF(OR(ISNUMBER(SEARCH(_xlfn.CONCAT(CHAR(96),CHAR(34)),$G145)),ISNUMBER(SEARCH(_xlfn.CONCAT(CHAR(34),CHAR(39)),$G145))),_xlfn.CONCAT("* REVIEW REQUIRED: compound-quote delimiter in Universe on Sheet 1 row ",145,"; edit the input before running."),_xlfn.CONCAT("char ",TRIM($B145),"[doc_universe] ",CHAR(96),CHAR(34),SUBSTITUTE(SUBSTITUTE(SUBSTITUTE(SUBSTITUTE(SUBSTITUTE(SUBSTITUTE($G145,CHAR(13)," "),CHAR(10)," "),CHAR(9)," "),CHAR(92),_xlfn.CONCAT(CHAR(92),CHAR(92))),"$",_xlfn.CONCAT(CHAR(92),"$")),CHAR(96),_xlfn.CONCAT(CHAR(92),CHAR(96))),CHAR(34),CHAR(39))))</f>
        <v/>
      </c>
      <c r="R145" s="5" t="str">
        <f>IF(OR(TRIM($B145)="",$H145=""),"",IF(OR(ISNUMBER(SEARCH(_xlfn.CONCAT(CHAR(96),CHAR(34)),$H145)),ISNUMBER(SEARCH(_xlfn.CONCAT(CHAR(34),CHAR(39)),$H145))),_xlfn.CONCAT("* REVIEW REQUIRED: compound-quote delimiter in Source on Sheet 1 row ",145,"; edit the input before running."),_xlfn.CONCAT("char ",TRIM($B145),"[doc_source] ",CHAR(96),CHAR(34),SUBSTITUTE(SUBSTITUTE(SUBSTITUTE(SUBSTITUTE(SUBSTITUTE(SUBSTITUTE($H145,CHAR(13)," "),CHAR(10)," "),CHAR(9)," "),CHAR(92),_xlfn.CONCAT(CHAR(92),CHAR(92))),"$",_xlfn.CONCAT(CHAR(92),"$")),CHAR(96),_xlfn.CONCAT(CHAR(92),CHAR(96))),CHAR(34),CHAR(39))))</f>
        <v/>
      </c>
      <c r="S145" s="5" t="str">
        <f>IF(OR(TRIM($B145)="",$I145=""),"",IF(OR(ISNUMBER(SEARCH(_xlfn.CONCAT(CHAR(96),CHAR(34)),$I145)),ISNUMBER(SEARCH(_xlfn.CONCAT(CHAR(34),CHAR(39)),$I145))),_xlfn.CONCAT("* REVIEW REQUIRED: compound-quote delimiter in Derivation on Sheet 1 row ",145,"; edit the input before running."),_xlfn.CONCAT("char ",TRIM($B145),"[doc_derivation] ",CHAR(96),CHAR(34),SUBSTITUTE(SUBSTITUTE(SUBSTITUTE(SUBSTITUTE(SUBSTITUTE(SUBSTITUTE($I145,CHAR(13)," "),CHAR(10)," "),CHAR(9)," "),CHAR(92),_xlfn.CONCAT(CHAR(92),CHAR(92))),"$",_xlfn.CONCAT(CHAR(92),"$")),CHAR(96),_xlfn.CONCAT(CHAR(92),CHAR(96))),CHAR(34),CHAR(39))))</f>
        <v/>
      </c>
      <c r="T145" s="5" t="str">
        <f>IF(OR(TRIM($B145)="",$J145=""),"",IF(OR(ISNUMBER(SEARCH(_xlfn.CONCAT(CHAR(96),CHAR(34)),$J145)),ISNUMBER(SEARCH(_xlfn.CONCAT(CHAR(34),CHAR(39)),$J145))),_xlfn.CONCAT("* REVIEW REQUIRED: compound-quote delimiter in Notes on Sheet 1 row ",145,"; edit the input before running."),_xlfn.CONCAT("char ",TRIM($B145),"[doc_notes] ",CHAR(96),CHAR(34),SUBSTITUTE(SUBSTITUTE(SUBSTITUTE(SUBSTITUTE(SUBSTITUTE(SUBSTITUTE($J145,CHAR(13)," "),CHAR(10)," "),CHAR(9)," "),CHAR(92),_xlfn.CONCAT(CHAR(92),CHAR(92))),"$",_xlfn.CONCAT(CHAR(92),"$")),CHAR(96),_xlfn.CONCAT(CHAR(92),CHAR(96))),CHAR(34),CHAR(39))))</f>
        <v/>
      </c>
      <c r="U145" s="5">
        <f t="shared" si="3"/>
        <v>0</v>
      </c>
    </row>
    <row r="146" spans="3:21" ht="30" customHeight="1" x14ac:dyDescent="0.2">
      <c r="C146" s="4"/>
      <c r="K146" s="5">
        <f t="shared" si="2"/>
        <v>0</v>
      </c>
      <c r="L146" s="5" t="str">
        <f>IF(OR(TRIM($B146)="",$A146=""),"",IF(OR(ISNUMBER(SEARCH(_xlfn.CONCAT(CHAR(96),CHAR(34)),$A146)),ISNUMBER(SEARCH(_xlfn.CONCAT(CHAR(34),CHAR(39)),$A146))),_xlfn.CONCAT("* REVIEW REQUIRED: compound-quote delimiter in Codebook Section on Sheet 1 row ",146,"; edit the input before running."),_xlfn.CONCAT("char ",TRIM($B146),"[doc_section] ",CHAR(96),CHAR(34),SUBSTITUTE(SUBSTITUTE(SUBSTITUTE(SUBSTITUTE(SUBSTITUTE(SUBSTITUTE($A146,CHAR(13)," "),CHAR(10)," "),CHAR(9)," "),CHAR(92),_xlfn.CONCAT(CHAR(92),CHAR(92))),"$",_xlfn.CONCAT(CHAR(92),"$")),CHAR(96),_xlfn.CONCAT(CHAR(92),CHAR(96))),CHAR(34),CHAR(39))))</f>
        <v/>
      </c>
      <c r="M146" s="5" t="str">
        <f>IF(OR(TRIM($B146)="",$C146=""),"",IF(IFERROR(MATCH(TRIM($C146),{"Quantitative","Continuous","Discrete","Categorical","Nominal","Ordinal","Identifier"},0),0)=0,_xlfn.CONCAT("* REVIEW REQUIRED: invalid Variable Type on Sheet 1 row ",146,"."),_xlfn.CONCAT("char ",TRIM($B146),"[doc_vartype] ",CHAR(96),CHAR(34),SUBSTITUTE(SUBSTITUTE(SUBSTITUTE(SUBSTITUTE(SUBSTITUTE(SUBSTITUTE(LOWER(TRIM($C146)),CHAR(13)," "),CHAR(10)," "),CHAR(9)," "),CHAR(92),_xlfn.CONCAT(CHAR(92),CHAR(92))),"$",_xlfn.CONCAT(CHAR(92),"$")),CHAR(96),_xlfn.CONCAT(CHAR(92),CHAR(96))),CHAR(34),CHAR(39))))</f>
        <v/>
      </c>
      <c r="N146" s="5" t="str">
        <f>IF(OR(TRIM($B146)="",$D146=""),"",IF(OR(ISNUMBER(SEARCH(_xlfn.CONCAT(CHAR(96),CHAR(34)),$D146)),ISNUMBER(SEARCH(_xlfn.CONCAT(CHAR(34),CHAR(39)),$D146))),_xlfn.CONCAT("* REVIEW REQUIRED: compound-quote delimiter in Item Number on Sheet 1 row ",146,"; edit the input before running."),_xlfn.CONCAT("char ",TRIM($B146),"[doc_itemnum] ",CHAR(96),CHAR(34),SUBSTITUTE(SUBSTITUTE(SUBSTITUTE(SUBSTITUTE(SUBSTITUTE(SUBSTITUTE($D146,CHAR(13)," "),CHAR(10)," "),CHAR(9)," "),CHAR(92),_xlfn.CONCAT(CHAR(92),CHAR(92))),"$",_xlfn.CONCAT(CHAR(92),"$")),CHAR(96),_xlfn.CONCAT(CHAR(92),CHAR(96))),CHAR(34),CHAR(39))))</f>
        <v/>
      </c>
      <c r="O146" s="5" t="str">
        <f>IF(OR(TRIM($B146)="",$E146=""),"",IF(OR(ISNUMBER(SEARCH(_xlfn.CONCAT(CHAR(96),CHAR(34)),$E146)),ISNUMBER(SEARCH(_xlfn.CONCAT(CHAR(34),CHAR(39)),$E146))),_xlfn.CONCAT("* REVIEW REQUIRED: compound-quote delimiter in Question Wording on Sheet 1 row ",146,"; edit the input before running."),_xlfn.CONCAT("char ",TRIM($B146),"[doc_question] ",CHAR(96),CHAR(34),SUBSTITUTE(SUBSTITUTE(SUBSTITUTE(SUBSTITUTE(SUBSTITUTE(SUBSTITUTE($E146,CHAR(13)," "),CHAR(10)," "),CHAR(9)," "),CHAR(92),_xlfn.CONCAT(CHAR(92),CHAR(92))),"$",_xlfn.CONCAT(CHAR(92),"$")),CHAR(96),_xlfn.CONCAT(CHAR(92),CHAR(96))),CHAR(34),CHAR(39))))</f>
        <v/>
      </c>
      <c r="P146" s="5" t="str">
        <f>IF(OR(TRIM($B146)="",$F146=""),"",IF(OR(ISNUMBER(SEARCH(_xlfn.CONCAT(CHAR(96),CHAR(34)),$F146)),ISNUMBER(SEARCH(_xlfn.CONCAT(CHAR(34),CHAR(39)),$F146))),_xlfn.CONCAT("* REVIEW REQUIRED: compound-quote delimiter in Units on Sheet 1 row ",146,"; edit the input before running."),_xlfn.CONCAT("char ",TRIM($B146),"[doc_units] ",CHAR(96),CHAR(34),SUBSTITUTE(SUBSTITUTE(SUBSTITUTE(SUBSTITUTE(SUBSTITUTE(SUBSTITUTE($F146,CHAR(13)," "),CHAR(10)," "),CHAR(9)," "),CHAR(92),_xlfn.CONCAT(CHAR(92),CHAR(92))),"$",_xlfn.CONCAT(CHAR(92),"$")),CHAR(96),_xlfn.CONCAT(CHAR(92),CHAR(96))),CHAR(34),CHAR(39))))</f>
        <v/>
      </c>
      <c r="Q146" s="5" t="str">
        <f>IF(OR(TRIM($B146)="",$G146=""),"",IF(OR(ISNUMBER(SEARCH(_xlfn.CONCAT(CHAR(96),CHAR(34)),$G146)),ISNUMBER(SEARCH(_xlfn.CONCAT(CHAR(34),CHAR(39)),$G146))),_xlfn.CONCAT("* REVIEW REQUIRED: compound-quote delimiter in Universe on Sheet 1 row ",146,"; edit the input before running."),_xlfn.CONCAT("char ",TRIM($B146),"[doc_universe] ",CHAR(96),CHAR(34),SUBSTITUTE(SUBSTITUTE(SUBSTITUTE(SUBSTITUTE(SUBSTITUTE(SUBSTITUTE($G146,CHAR(13)," "),CHAR(10)," "),CHAR(9)," "),CHAR(92),_xlfn.CONCAT(CHAR(92),CHAR(92))),"$",_xlfn.CONCAT(CHAR(92),"$")),CHAR(96),_xlfn.CONCAT(CHAR(92),CHAR(96))),CHAR(34),CHAR(39))))</f>
        <v/>
      </c>
      <c r="R146" s="5" t="str">
        <f>IF(OR(TRIM($B146)="",$H146=""),"",IF(OR(ISNUMBER(SEARCH(_xlfn.CONCAT(CHAR(96),CHAR(34)),$H146)),ISNUMBER(SEARCH(_xlfn.CONCAT(CHAR(34),CHAR(39)),$H146))),_xlfn.CONCAT("* REVIEW REQUIRED: compound-quote delimiter in Source on Sheet 1 row ",146,"; edit the input before running."),_xlfn.CONCAT("char ",TRIM($B146),"[doc_source] ",CHAR(96),CHAR(34),SUBSTITUTE(SUBSTITUTE(SUBSTITUTE(SUBSTITUTE(SUBSTITUTE(SUBSTITUTE($H146,CHAR(13)," "),CHAR(10)," "),CHAR(9)," "),CHAR(92),_xlfn.CONCAT(CHAR(92),CHAR(92))),"$",_xlfn.CONCAT(CHAR(92),"$")),CHAR(96),_xlfn.CONCAT(CHAR(92),CHAR(96))),CHAR(34),CHAR(39))))</f>
        <v/>
      </c>
      <c r="S146" s="5" t="str">
        <f>IF(OR(TRIM($B146)="",$I146=""),"",IF(OR(ISNUMBER(SEARCH(_xlfn.CONCAT(CHAR(96),CHAR(34)),$I146)),ISNUMBER(SEARCH(_xlfn.CONCAT(CHAR(34),CHAR(39)),$I146))),_xlfn.CONCAT("* REVIEW REQUIRED: compound-quote delimiter in Derivation on Sheet 1 row ",146,"; edit the input before running."),_xlfn.CONCAT("char ",TRIM($B146),"[doc_derivation] ",CHAR(96),CHAR(34),SUBSTITUTE(SUBSTITUTE(SUBSTITUTE(SUBSTITUTE(SUBSTITUTE(SUBSTITUTE($I146,CHAR(13)," "),CHAR(10)," "),CHAR(9)," "),CHAR(92),_xlfn.CONCAT(CHAR(92),CHAR(92))),"$",_xlfn.CONCAT(CHAR(92),"$")),CHAR(96),_xlfn.CONCAT(CHAR(92),CHAR(96))),CHAR(34),CHAR(39))))</f>
        <v/>
      </c>
      <c r="T146" s="5" t="str">
        <f>IF(OR(TRIM($B146)="",$J146=""),"",IF(OR(ISNUMBER(SEARCH(_xlfn.CONCAT(CHAR(96),CHAR(34)),$J146)),ISNUMBER(SEARCH(_xlfn.CONCAT(CHAR(34),CHAR(39)),$J146))),_xlfn.CONCAT("* REVIEW REQUIRED: compound-quote delimiter in Notes on Sheet 1 row ",146,"; edit the input before running."),_xlfn.CONCAT("char ",TRIM($B146),"[doc_notes] ",CHAR(96),CHAR(34),SUBSTITUTE(SUBSTITUTE(SUBSTITUTE(SUBSTITUTE(SUBSTITUTE(SUBSTITUTE($J146,CHAR(13)," "),CHAR(10)," "),CHAR(9)," "),CHAR(92),_xlfn.CONCAT(CHAR(92),CHAR(92))),"$",_xlfn.CONCAT(CHAR(92),"$")),CHAR(96),_xlfn.CONCAT(CHAR(92),CHAR(96))),CHAR(34),CHAR(39))))</f>
        <v/>
      </c>
      <c r="U146" s="5">
        <f t="shared" si="3"/>
        <v>0</v>
      </c>
    </row>
    <row r="147" spans="3:21" ht="30" customHeight="1" x14ac:dyDescent="0.2">
      <c r="C147" s="4"/>
      <c r="K147" s="5">
        <f t="shared" si="2"/>
        <v>0</v>
      </c>
      <c r="L147" s="5" t="str">
        <f>IF(OR(TRIM($B147)="",$A147=""),"",IF(OR(ISNUMBER(SEARCH(_xlfn.CONCAT(CHAR(96),CHAR(34)),$A147)),ISNUMBER(SEARCH(_xlfn.CONCAT(CHAR(34),CHAR(39)),$A147))),_xlfn.CONCAT("* REVIEW REQUIRED: compound-quote delimiter in Codebook Section on Sheet 1 row ",147,"; edit the input before running."),_xlfn.CONCAT("char ",TRIM($B147),"[doc_section] ",CHAR(96),CHAR(34),SUBSTITUTE(SUBSTITUTE(SUBSTITUTE(SUBSTITUTE(SUBSTITUTE(SUBSTITUTE($A147,CHAR(13)," "),CHAR(10)," "),CHAR(9)," "),CHAR(92),_xlfn.CONCAT(CHAR(92),CHAR(92))),"$",_xlfn.CONCAT(CHAR(92),"$")),CHAR(96),_xlfn.CONCAT(CHAR(92),CHAR(96))),CHAR(34),CHAR(39))))</f>
        <v/>
      </c>
      <c r="M147" s="5" t="str">
        <f>IF(OR(TRIM($B147)="",$C147=""),"",IF(IFERROR(MATCH(TRIM($C147),{"Quantitative","Continuous","Discrete","Categorical","Nominal","Ordinal","Identifier"},0),0)=0,_xlfn.CONCAT("* REVIEW REQUIRED: invalid Variable Type on Sheet 1 row ",147,"."),_xlfn.CONCAT("char ",TRIM($B147),"[doc_vartype] ",CHAR(96),CHAR(34),SUBSTITUTE(SUBSTITUTE(SUBSTITUTE(SUBSTITUTE(SUBSTITUTE(SUBSTITUTE(LOWER(TRIM($C147)),CHAR(13)," "),CHAR(10)," "),CHAR(9)," "),CHAR(92),_xlfn.CONCAT(CHAR(92),CHAR(92))),"$",_xlfn.CONCAT(CHAR(92),"$")),CHAR(96),_xlfn.CONCAT(CHAR(92),CHAR(96))),CHAR(34),CHAR(39))))</f>
        <v/>
      </c>
      <c r="N147" s="5" t="str">
        <f>IF(OR(TRIM($B147)="",$D147=""),"",IF(OR(ISNUMBER(SEARCH(_xlfn.CONCAT(CHAR(96),CHAR(34)),$D147)),ISNUMBER(SEARCH(_xlfn.CONCAT(CHAR(34),CHAR(39)),$D147))),_xlfn.CONCAT("* REVIEW REQUIRED: compound-quote delimiter in Item Number on Sheet 1 row ",147,"; edit the input before running."),_xlfn.CONCAT("char ",TRIM($B147),"[doc_itemnum] ",CHAR(96),CHAR(34),SUBSTITUTE(SUBSTITUTE(SUBSTITUTE(SUBSTITUTE(SUBSTITUTE(SUBSTITUTE($D147,CHAR(13)," "),CHAR(10)," "),CHAR(9)," "),CHAR(92),_xlfn.CONCAT(CHAR(92),CHAR(92))),"$",_xlfn.CONCAT(CHAR(92),"$")),CHAR(96),_xlfn.CONCAT(CHAR(92),CHAR(96))),CHAR(34),CHAR(39))))</f>
        <v/>
      </c>
      <c r="O147" s="5" t="str">
        <f>IF(OR(TRIM($B147)="",$E147=""),"",IF(OR(ISNUMBER(SEARCH(_xlfn.CONCAT(CHAR(96),CHAR(34)),$E147)),ISNUMBER(SEARCH(_xlfn.CONCAT(CHAR(34),CHAR(39)),$E147))),_xlfn.CONCAT("* REVIEW REQUIRED: compound-quote delimiter in Question Wording on Sheet 1 row ",147,"; edit the input before running."),_xlfn.CONCAT("char ",TRIM($B147),"[doc_question] ",CHAR(96),CHAR(34),SUBSTITUTE(SUBSTITUTE(SUBSTITUTE(SUBSTITUTE(SUBSTITUTE(SUBSTITUTE($E147,CHAR(13)," "),CHAR(10)," "),CHAR(9)," "),CHAR(92),_xlfn.CONCAT(CHAR(92),CHAR(92))),"$",_xlfn.CONCAT(CHAR(92),"$")),CHAR(96),_xlfn.CONCAT(CHAR(92),CHAR(96))),CHAR(34),CHAR(39))))</f>
        <v/>
      </c>
      <c r="P147" s="5" t="str">
        <f>IF(OR(TRIM($B147)="",$F147=""),"",IF(OR(ISNUMBER(SEARCH(_xlfn.CONCAT(CHAR(96),CHAR(34)),$F147)),ISNUMBER(SEARCH(_xlfn.CONCAT(CHAR(34),CHAR(39)),$F147))),_xlfn.CONCAT("* REVIEW REQUIRED: compound-quote delimiter in Units on Sheet 1 row ",147,"; edit the input before running."),_xlfn.CONCAT("char ",TRIM($B147),"[doc_units] ",CHAR(96),CHAR(34),SUBSTITUTE(SUBSTITUTE(SUBSTITUTE(SUBSTITUTE(SUBSTITUTE(SUBSTITUTE($F147,CHAR(13)," "),CHAR(10)," "),CHAR(9)," "),CHAR(92),_xlfn.CONCAT(CHAR(92),CHAR(92))),"$",_xlfn.CONCAT(CHAR(92),"$")),CHAR(96),_xlfn.CONCAT(CHAR(92),CHAR(96))),CHAR(34),CHAR(39))))</f>
        <v/>
      </c>
      <c r="Q147" s="5" t="str">
        <f>IF(OR(TRIM($B147)="",$G147=""),"",IF(OR(ISNUMBER(SEARCH(_xlfn.CONCAT(CHAR(96),CHAR(34)),$G147)),ISNUMBER(SEARCH(_xlfn.CONCAT(CHAR(34),CHAR(39)),$G147))),_xlfn.CONCAT("* REVIEW REQUIRED: compound-quote delimiter in Universe on Sheet 1 row ",147,"; edit the input before running."),_xlfn.CONCAT("char ",TRIM($B147),"[doc_universe] ",CHAR(96),CHAR(34),SUBSTITUTE(SUBSTITUTE(SUBSTITUTE(SUBSTITUTE(SUBSTITUTE(SUBSTITUTE($G147,CHAR(13)," "),CHAR(10)," "),CHAR(9)," "),CHAR(92),_xlfn.CONCAT(CHAR(92),CHAR(92))),"$",_xlfn.CONCAT(CHAR(92),"$")),CHAR(96),_xlfn.CONCAT(CHAR(92),CHAR(96))),CHAR(34),CHAR(39))))</f>
        <v/>
      </c>
      <c r="R147" s="5" t="str">
        <f>IF(OR(TRIM($B147)="",$H147=""),"",IF(OR(ISNUMBER(SEARCH(_xlfn.CONCAT(CHAR(96),CHAR(34)),$H147)),ISNUMBER(SEARCH(_xlfn.CONCAT(CHAR(34),CHAR(39)),$H147))),_xlfn.CONCAT("* REVIEW REQUIRED: compound-quote delimiter in Source on Sheet 1 row ",147,"; edit the input before running."),_xlfn.CONCAT("char ",TRIM($B147),"[doc_source] ",CHAR(96),CHAR(34),SUBSTITUTE(SUBSTITUTE(SUBSTITUTE(SUBSTITUTE(SUBSTITUTE(SUBSTITUTE($H147,CHAR(13)," "),CHAR(10)," "),CHAR(9)," "),CHAR(92),_xlfn.CONCAT(CHAR(92),CHAR(92))),"$",_xlfn.CONCAT(CHAR(92),"$")),CHAR(96),_xlfn.CONCAT(CHAR(92),CHAR(96))),CHAR(34),CHAR(39))))</f>
        <v/>
      </c>
      <c r="S147" s="5" t="str">
        <f>IF(OR(TRIM($B147)="",$I147=""),"",IF(OR(ISNUMBER(SEARCH(_xlfn.CONCAT(CHAR(96),CHAR(34)),$I147)),ISNUMBER(SEARCH(_xlfn.CONCAT(CHAR(34),CHAR(39)),$I147))),_xlfn.CONCAT("* REVIEW REQUIRED: compound-quote delimiter in Derivation on Sheet 1 row ",147,"; edit the input before running."),_xlfn.CONCAT("char ",TRIM($B147),"[doc_derivation] ",CHAR(96),CHAR(34),SUBSTITUTE(SUBSTITUTE(SUBSTITUTE(SUBSTITUTE(SUBSTITUTE(SUBSTITUTE($I147,CHAR(13)," "),CHAR(10)," "),CHAR(9)," "),CHAR(92),_xlfn.CONCAT(CHAR(92),CHAR(92))),"$",_xlfn.CONCAT(CHAR(92),"$")),CHAR(96),_xlfn.CONCAT(CHAR(92),CHAR(96))),CHAR(34),CHAR(39))))</f>
        <v/>
      </c>
      <c r="T147" s="5" t="str">
        <f>IF(OR(TRIM($B147)="",$J147=""),"",IF(OR(ISNUMBER(SEARCH(_xlfn.CONCAT(CHAR(96),CHAR(34)),$J147)),ISNUMBER(SEARCH(_xlfn.CONCAT(CHAR(34),CHAR(39)),$J147))),_xlfn.CONCAT("* REVIEW REQUIRED: compound-quote delimiter in Notes on Sheet 1 row ",147,"; edit the input before running."),_xlfn.CONCAT("char ",TRIM($B147),"[doc_notes] ",CHAR(96),CHAR(34),SUBSTITUTE(SUBSTITUTE(SUBSTITUTE(SUBSTITUTE(SUBSTITUTE(SUBSTITUTE($J147,CHAR(13)," "),CHAR(10)," "),CHAR(9)," "),CHAR(92),_xlfn.CONCAT(CHAR(92),CHAR(92))),"$",_xlfn.CONCAT(CHAR(92),"$")),CHAR(96),_xlfn.CONCAT(CHAR(92),CHAR(96))),CHAR(34),CHAR(39))))</f>
        <v/>
      </c>
      <c r="U147" s="5">
        <f t="shared" si="3"/>
        <v>0</v>
      </c>
    </row>
    <row r="148" spans="3:21" ht="30" customHeight="1" x14ac:dyDescent="0.2">
      <c r="C148" s="4"/>
      <c r="K148" s="5">
        <f t="shared" ref="K148:K211" si="4">COUNTIF(L148:T148,"?*")</f>
        <v>0</v>
      </c>
      <c r="L148" s="5" t="str">
        <f>IF(OR(TRIM($B148)="",$A148=""),"",IF(OR(ISNUMBER(SEARCH(_xlfn.CONCAT(CHAR(96),CHAR(34)),$A148)),ISNUMBER(SEARCH(_xlfn.CONCAT(CHAR(34),CHAR(39)),$A148))),_xlfn.CONCAT("* REVIEW REQUIRED: compound-quote delimiter in Codebook Section on Sheet 1 row ",148,"; edit the input before running."),_xlfn.CONCAT("char ",TRIM($B148),"[doc_section] ",CHAR(96),CHAR(34),SUBSTITUTE(SUBSTITUTE(SUBSTITUTE(SUBSTITUTE(SUBSTITUTE(SUBSTITUTE($A148,CHAR(13)," "),CHAR(10)," "),CHAR(9)," "),CHAR(92),_xlfn.CONCAT(CHAR(92),CHAR(92))),"$",_xlfn.CONCAT(CHAR(92),"$")),CHAR(96),_xlfn.CONCAT(CHAR(92),CHAR(96))),CHAR(34),CHAR(39))))</f>
        <v/>
      </c>
      <c r="M148" s="5" t="str">
        <f>IF(OR(TRIM($B148)="",$C148=""),"",IF(IFERROR(MATCH(TRIM($C148),{"Quantitative","Continuous","Discrete","Categorical","Nominal","Ordinal","Identifier"},0),0)=0,_xlfn.CONCAT("* REVIEW REQUIRED: invalid Variable Type on Sheet 1 row ",148,"."),_xlfn.CONCAT("char ",TRIM($B148),"[doc_vartype] ",CHAR(96),CHAR(34),SUBSTITUTE(SUBSTITUTE(SUBSTITUTE(SUBSTITUTE(SUBSTITUTE(SUBSTITUTE(LOWER(TRIM($C148)),CHAR(13)," "),CHAR(10)," "),CHAR(9)," "),CHAR(92),_xlfn.CONCAT(CHAR(92),CHAR(92))),"$",_xlfn.CONCAT(CHAR(92),"$")),CHAR(96),_xlfn.CONCAT(CHAR(92),CHAR(96))),CHAR(34),CHAR(39))))</f>
        <v/>
      </c>
      <c r="N148" s="5" t="str">
        <f>IF(OR(TRIM($B148)="",$D148=""),"",IF(OR(ISNUMBER(SEARCH(_xlfn.CONCAT(CHAR(96),CHAR(34)),$D148)),ISNUMBER(SEARCH(_xlfn.CONCAT(CHAR(34),CHAR(39)),$D148))),_xlfn.CONCAT("* REVIEW REQUIRED: compound-quote delimiter in Item Number on Sheet 1 row ",148,"; edit the input before running."),_xlfn.CONCAT("char ",TRIM($B148),"[doc_itemnum] ",CHAR(96),CHAR(34),SUBSTITUTE(SUBSTITUTE(SUBSTITUTE(SUBSTITUTE(SUBSTITUTE(SUBSTITUTE($D148,CHAR(13)," "),CHAR(10)," "),CHAR(9)," "),CHAR(92),_xlfn.CONCAT(CHAR(92),CHAR(92))),"$",_xlfn.CONCAT(CHAR(92),"$")),CHAR(96),_xlfn.CONCAT(CHAR(92),CHAR(96))),CHAR(34),CHAR(39))))</f>
        <v/>
      </c>
      <c r="O148" s="5" t="str">
        <f>IF(OR(TRIM($B148)="",$E148=""),"",IF(OR(ISNUMBER(SEARCH(_xlfn.CONCAT(CHAR(96),CHAR(34)),$E148)),ISNUMBER(SEARCH(_xlfn.CONCAT(CHAR(34),CHAR(39)),$E148))),_xlfn.CONCAT("* REVIEW REQUIRED: compound-quote delimiter in Question Wording on Sheet 1 row ",148,"; edit the input before running."),_xlfn.CONCAT("char ",TRIM($B148),"[doc_question] ",CHAR(96),CHAR(34),SUBSTITUTE(SUBSTITUTE(SUBSTITUTE(SUBSTITUTE(SUBSTITUTE(SUBSTITUTE($E148,CHAR(13)," "),CHAR(10)," "),CHAR(9)," "),CHAR(92),_xlfn.CONCAT(CHAR(92),CHAR(92))),"$",_xlfn.CONCAT(CHAR(92),"$")),CHAR(96),_xlfn.CONCAT(CHAR(92),CHAR(96))),CHAR(34),CHAR(39))))</f>
        <v/>
      </c>
      <c r="P148" s="5" t="str">
        <f>IF(OR(TRIM($B148)="",$F148=""),"",IF(OR(ISNUMBER(SEARCH(_xlfn.CONCAT(CHAR(96),CHAR(34)),$F148)),ISNUMBER(SEARCH(_xlfn.CONCAT(CHAR(34),CHAR(39)),$F148))),_xlfn.CONCAT("* REVIEW REQUIRED: compound-quote delimiter in Units on Sheet 1 row ",148,"; edit the input before running."),_xlfn.CONCAT("char ",TRIM($B148),"[doc_units] ",CHAR(96),CHAR(34),SUBSTITUTE(SUBSTITUTE(SUBSTITUTE(SUBSTITUTE(SUBSTITUTE(SUBSTITUTE($F148,CHAR(13)," "),CHAR(10)," "),CHAR(9)," "),CHAR(92),_xlfn.CONCAT(CHAR(92),CHAR(92))),"$",_xlfn.CONCAT(CHAR(92),"$")),CHAR(96),_xlfn.CONCAT(CHAR(92),CHAR(96))),CHAR(34),CHAR(39))))</f>
        <v/>
      </c>
      <c r="Q148" s="5" t="str">
        <f>IF(OR(TRIM($B148)="",$G148=""),"",IF(OR(ISNUMBER(SEARCH(_xlfn.CONCAT(CHAR(96),CHAR(34)),$G148)),ISNUMBER(SEARCH(_xlfn.CONCAT(CHAR(34),CHAR(39)),$G148))),_xlfn.CONCAT("* REVIEW REQUIRED: compound-quote delimiter in Universe on Sheet 1 row ",148,"; edit the input before running."),_xlfn.CONCAT("char ",TRIM($B148),"[doc_universe] ",CHAR(96),CHAR(34),SUBSTITUTE(SUBSTITUTE(SUBSTITUTE(SUBSTITUTE(SUBSTITUTE(SUBSTITUTE($G148,CHAR(13)," "),CHAR(10)," "),CHAR(9)," "),CHAR(92),_xlfn.CONCAT(CHAR(92),CHAR(92))),"$",_xlfn.CONCAT(CHAR(92),"$")),CHAR(96),_xlfn.CONCAT(CHAR(92),CHAR(96))),CHAR(34),CHAR(39))))</f>
        <v/>
      </c>
      <c r="R148" s="5" t="str">
        <f>IF(OR(TRIM($B148)="",$H148=""),"",IF(OR(ISNUMBER(SEARCH(_xlfn.CONCAT(CHAR(96),CHAR(34)),$H148)),ISNUMBER(SEARCH(_xlfn.CONCAT(CHAR(34),CHAR(39)),$H148))),_xlfn.CONCAT("* REVIEW REQUIRED: compound-quote delimiter in Source on Sheet 1 row ",148,"; edit the input before running."),_xlfn.CONCAT("char ",TRIM($B148),"[doc_source] ",CHAR(96),CHAR(34),SUBSTITUTE(SUBSTITUTE(SUBSTITUTE(SUBSTITUTE(SUBSTITUTE(SUBSTITUTE($H148,CHAR(13)," "),CHAR(10)," "),CHAR(9)," "),CHAR(92),_xlfn.CONCAT(CHAR(92),CHAR(92))),"$",_xlfn.CONCAT(CHAR(92),"$")),CHAR(96),_xlfn.CONCAT(CHAR(92),CHAR(96))),CHAR(34),CHAR(39))))</f>
        <v/>
      </c>
      <c r="S148" s="5" t="str">
        <f>IF(OR(TRIM($B148)="",$I148=""),"",IF(OR(ISNUMBER(SEARCH(_xlfn.CONCAT(CHAR(96),CHAR(34)),$I148)),ISNUMBER(SEARCH(_xlfn.CONCAT(CHAR(34),CHAR(39)),$I148))),_xlfn.CONCAT("* REVIEW REQUIRED: compound-quote delimiter in Derivation on Sheet 1 row ",148,"; edit the input before running."),_xlfn.CONCAT("char ",TRIM($B148),"[doc_derivation] ",CHAR(96),CHAR(34),SUBSTITUTE(SUBSTITUTE(SUBSTITUTE(SUBSTITUTE(SUBSTITUTE(SUBSTITUTE($I148,CHAR(13)," "),CHAR(10)," "),CHAR(9)," "),CHAR(92),_xlfn.CONCAT(CHAR(92),CHAR(92))),"$",_xlfn.CONCAT(CHAR(92),"$")),CHAR(96),_xlfn.CONCAT(CHAR(92),CHAR(96))),CHAR(34),CHAR(39))))</f>
        <v/>
      </c>
      <c r="T148" s="5" t="str">
        <f>IF(OR(TRIM($B148)="",$J148=""),"",IF(OR(ISNUMBER(SEARCH(_xlfn.CONCAT(CHAR(96),CHAR(34)),$J148)),ISNUMBER(SEARCH(_xlfn.CONCAT(CHAR(34),CHAR(39)),$J148))),_xlfn.CONCAT("* REVIEW REQUIRED: compound-quote delimiter in Notes on Sheet 1 row ",148,"; edit the input before running."),_xlfn.CONCAT("char ",TRIM($B148),"[doc_notes] ",CHAR(96),CHAR(34),SUBSTITUTE(SUBSTITUTE(SUBSTITUTE(SUBSTITUTE(SUBSTITUTE(SUBSTITUTE($J148,CHAR(13)," "),CHAR(10)," "),CHAR(9)," "),CHAR(92),_xlfn.CONCAT(CHAR(92),CHAR(92))),"$",_xlfn.CONCAT(CHAR(92),"$")),CHAR(96),_xlfn.CONCAT(CHAR(92),CHAR(96))),CHAR(34),CHAR(39))))</f>
        <v/>
      </c>
      <c r="U148" s="5">
        <f t="shared" ref="U148:U211" si="5">COUNTIF(L148:T148,"*REVIEW REQUIRED*")</f>
        <v>0</v>
      </c>
    </row>
    <row r="149" spans="3:21" ht="30" customHeight="1" x14ac:dyDescent="0.2">
      <c r="C149" s="4"/>
      <c r="K149" s="5">
        <f t="shared" si="4"/>
        <v>0</v>
      </c>
      <c r="L149" s="5" t="str">
        <f>IF(OR(TRIM($B149)="",$A149=""),"",IF(OR(ISNUMBER(SEARCH(_xlfn.CONCAT(CHAR(96),CHAR(34)),$A149)),ISNUMBER(SEARCH(_xlfn.CONCAT(CHAR(34),CHAR(39)),$A149))),_xlfn.CONCAT("* REVIEW REQUIRED: compound-quote delimiter in Codebook Section on Sheet 1 row ",149,"; edit the input before running."),_xlfn.CONCAT("char ",TRIM($B149),"[doc_section] ",CHAR(96),CHAR(34),SUBSTITUTE(SUBSTITUTE(SUBSTITUTE(SUBSTITUTE(SUBSTITUTE(SUBSTITUTE($A149,CHAR(13)," "),CHAR(10)," "),CHAR(9)," "),CHAR(92),_xlfn.CONCAT(CHAR(92),CHAR(92))),"$",_xlfn.CONCAT(CHAR(92),"$")),CHAR(96),_xlfn.CONCAT(CHAR(92),CHAR(96))),CHAR(34),CHAR(39))))</f>
        <v/>
      </c>
      <c r="M149" s="5" t="str">
        <f>IF(OR(TRIM($B149)="",$C149=""),"",IF(IFERROR(MATCH(TRIM($C149),{"Quantitative","Continuous","Discrete","Categorical","Nominal","Ordinal","Identifier"},0),0)=0,_xlfn.CONCAT("* REVIEW REQUIRED: invalid Variable Type on Sheet 1 row ",149,"."),_xlfn.CONCAT("char ",TRIM($B149),"[doc_vartype] ",CHAR(96),CHAR(34),SUBSTITUTE(SUBSTITUTE(SUBSTITUTE(SUBSTITUTE(SUBSTITUTE(SUBSTITUTE(LOWER(TRIM($C149)),CHAR(13)," "),CHAR(10)," "),CHAR(9)," "),CHAR(92),_xlfn.CONCAT(CHAR(92),CHAR(92))),"$",_xlfn.CONCAT(CHAR(92),"$")),CHAR(96),_xlfn.CONCAT(CHAR(92),CHAR(96))),CHAR(34),CHAR(39))))</f>
        <v/>
      </c>
      <c r="N149" s="5" t="str">
        <f>IF(OR(TRIM($B149)="",$D149=""),"",IF(OR(ISNUMBER(SEARCH(_xlfn.CONCAT(CHAR(96),CHAR(34)),$D149)),ISNUMBER(SEARCH(_xlfn.CONCAT(CHAR(34),CHAR(39)),$D149))),_xlfn.CONCAT("* REVIEW REQUIRED: compound-quote delimiter in Item Number on Sheet 1 row ",149,"; edit the input before running."),_xlfn.CONCAT("char ",TRIM($B149),"[doc_itemnum] ",CHAR(96),CHAR(34),SUBSTITUTE(SUBSTITUTE(SUBSTITUTE(SUBSTITUTE(SUBSTITUTE(SUBSTITUTE($D149,CHAR(13)," "),CHAR(10)," "),CHAR(9)," "),CHAR(92),_xlfn.CONCAT(CHAR(92),CHAR(92))),"$",_xlfn.CONCAT(CHAR(92),"$")),CHAR(96),_xlfn.CONCAT(CHAR(92),CHAR(96))),CHAR(34),CHAR(39))))</f>
        <v/>
      </c>
      <c r="O149" s="5" t="str">
        <f>IF(OR(TRIM($B149)="",$E149=""),"",IF(OR(ISNUMBER(SEARCH(_xlfn.CONCAT(CHAR(96),CHAR(34)),$E149)),ISNUMBER(SEARCH(_xlfn.CONCAT(CHAR(34),CHAR(39)),$E149))),_xlfn.CONCAT("* REVIEW REQUIRED: compound-quote delimiter in Question Wording on Sheet 1 row ",149,"; edit the input before running."),_xlfn.CONCAT("char ",TRIM($B149),"[doc_question] ",CHAR(96),CHAR(34),SUBSTITUTE(SUBSTITUTE(SUBSTITUTE(SUBSTITUTE(SUBSTITUTE(SUBSTITUTE($E149,CHAR(13)," "),CHAR(10)," "),CHAR(9)," "),CHAR(92),_xlfn.CONCAT(CHAR(92),CHAR(92))),"$",_xlfn.CONCAT(CHAR(92),"$")),CHAR(96),_xlfn.CONCAT(CHAR(92),CHAR(96))),CHAR(34),CHAR(39))))</f>
        <v/>
      </c>
      <c r="P149" s="5" t="str">
        <f>IF(OR(TRIM($B149)="",$F149=""),"",IF(OR(ISNUMBER(SEARCH(_xlfn.CONCAT(CHAR(96),CHAR(34)),$F149)),ISNUMBER(SEARCH(_xlfn.CONCAT(CHAR(34),CHAR(39)),$F149))),_xlfn.CONCAT("* REVIEW REQUIRED: compound-quote delimiter in Units on Sheet 1 row ",149,"; edit the input before running."),_xlfn.CONCAT("char ",TRIM($B149),"[doc_units] ",CHAR(96),CHAR(34),SUBSTITUTE(SUBSTITUTE(SUBSTITUTE(SUBSTITUTE(SUBSTITUTE(SUBSTITUTE($F149,CHAR(13)," "),CHAR(10)," "),CHAR(9)," "),CHAR(92),_xlfn.CONCAT(CHAR(92),CHAR(92))),"$",_xlfn.CONCAT(CHAR(92),"$")),CHAR(96),_xlfn.CONCAT(CHAR(92),CHAR(96))),CHAR(34),CHAR(39))))</f>
        <v/>
      </c>
      <c r="Q149" s="5" t="str">
        <f>IF(OR(TRIM($B149)="",$G149=""),"",IF(OR(ISNUMBER(SEARCH(_xlfn.CONCAT(CHAR(96),CHAR(34)),$G149)),ISNUMBER(SEARCH(_xlfn.CONCAT(CHAR(34),CHAR(39)),$G149))),_xlfn.CONCAT("* REVIEW REQUIRED: compound-quote delimiter in Universe on Sheet 1 row ",149,"; edit the input before running."),_xlfn.CONCAT("char ",TRIM($B149),"[doc_universe] ",CHAR(96),CHAR(34),SUBSTITUTE(SUBSTITUTE(SUBSTITUTE(SUBSTITUTE(SUBSTITUTE(SUBSTITUTE($G149,CHAR(13)," "),CHAR(10)," "),CHAR(9)," "),CHAR(92),_xlfn.CONCAT(CHAR(92),CHAR(92))),"$",_xlfn.CONCAT(CHAR(92),"$")),CHAR(96),_xlfn.CONCAT(CHAR(92),CHAR(96))),CHAR(34),CHAR(39))))</f>
        <v/>
      </c>
      <c r="R149" s="5" t="str">
        <f>IF(OR(TRIM($B149)="",$H149=""),"",IF(OR(ISNUMBER(SEARCH(_xlfn.CONCAT(CHAR(96),CHAR(34)),$H149)),ISNUMBER(SEARCH(_xlfn.CONCAT(CHAR(34),CHAR(39)),$H149))),_xlfn.CONCAT("* REVIEW REQUIRED: compound-quote delimiter in Source on Sheet 1 row ",149,"; edit the input before running."),_xlfn.CONCAT("char ",TRIM($B149),"[doc_source] ",CHAR(96),CHAR(34),SUBSTITUTE(SUBSTITUTE(SUBSTITUTE(SUBSTITUTE(SUBSTITUTE(SUBSTITUTE($H149,CHAR(13)," "),CHAR(10)," "),CHAR(9)," "),CHAR(92),_xlfn.CONCAT(CHAR(92),CHAR(92))),"$",_xlfn.CONCAT(CHAR(92),"$")),CHAR(96),_xlfn.CONCAT(CHAR(92),CHAR(96))),CHAR(34),CHAR(39))))</f>
        <v/>
      </c>
      <c r="S149" s="5" t="str">
        <f>IF(OR(TRIM($B149)="",$I149=""),"",IF(OR(ISNUMBER(SEARCH(_xlfn.CONCAT(CHAR(96),CHAR(34)),$I149)),ISNUMBER(SEARCH(_xlfn.CONCAT(CHAR(34),CHAR(39)),$I149))),_xlfn.CONCAT("* REVIEW REQUIRED: compound-quote delimiter in Derivation on Sheet 1 row ",149,"; edit the input before running."),_xlfn.CONCAT("char ",TRIM($B149),"[doc_derivation] ",CHAR(96),CHAR(34),SUBSTITUTE(SUBSTITUTE(SUBSTITUTE(SUBSTITUTE(SUBSTITUTE(SUBSTITUTE($I149,CHAR(13)," "),CHAR(10)," "),CHAR(9)," "),CHAR(92),_xlfn.CONCAT(CHAR(92),CHAR(92))),"$",_xlfn.CONCAT(CHAR(92),"$")),CHAR(96),_xlfn.CONCAT(CHAR(92),CHAR(96))),CHAR(34),CHAR(39))))</f>
        <v/>
      </c>
      <c r="T149" s="5" t="str">
        <f>IF(OR(TRIM($B149)="",$J149=""),"",IF(OR(ISNUMBER(SEARCH(_xlfn.CONCAT(CHAR(96),CHAR(34)),$J149)),ISNUMBER(SEARCH(_xlfn.CONCAT(CHAR(34),CHAR(39)),$J149))),_xlfn.CONCAT("* REVIEW REQUIRED: compound-quote delimiter in Notes on Sheet 1 row ",149,"; edit the input before running."),_xlfn.CONCAT("char ",TRIM($B149),"[doc_notes] ",CHAR(96),CHAR(34),SUBSTITUTE(SUBSTITUTE(SUBSTITUTE(SUBSTITUTE(SUBSTITUTE(SUBSTITUTE($J149,CHAR(13)," "),CHAR(10)," "),CHAR(9)," "),CHAR(92),_xlfn.CONCAT(CHAR(92),CHAR(92))),"$",_xlfn.CONCAT(CHAR(92),"$")),CHAR(96),_xlfn.CONCAT(CHAR(92),CHAR(96))),CHAR(34),CHAR(39))))</f>
        <v/>
      </c>
      <c r="U149" s="5">
        <f t="shared" si="5"/>
        <v>0</v>
      </c>
    </row>
    <row r="150" spans="3:21" ht="30" customHeight="1" x14ac:dyDescent="0.2">
      <c r="C150" s="4"/>
      <c r="K150" s="5">
        <f t="shared" si="4"/>
        <v>0</v>
      </c>
      <c r="L150" s="5" t="str">
        <f>IF(OR(TRIM($B150)="",$A150=""),"",IF(OR(ISNUMBER(SEARCH(_xlfn.CONCAT(CHAR(96),CHAR(34)),$A150)),ISNUMBER(SEARCH(_xlfn.CONCAT(CHAR(34),CHAR(39)),$A150))),_xlfn.CONCAT("* REVIEW REQUIRED: compound-quote delimiter in Codebook Section on Sheet 1 row ",150,"; edit the input before running."),_xlfn.CONCAT("char ",TRIM($B150),"[doc_section] ",CHAR(96),CHAR(34),SUBSTITUTE(SUBSTITUTE(SUBSTITUTE(SUBSTITUTE(SUBSTITUTE(SUBSTITUTE($A150,CHAR(13)," "),CHAR(10)," "),CHAR(9)," "),CHAR(92),_xlfn.CONCAT(CHAR(92),CHAR(92))),"$",_xlfn.CONCAT(CHAR(92),"$")),CHAR(96),_xlfn.CONCAT(CHAR(92),CHAR(96))),CHAR(34),CHAR(39))))</f>
        <v/>
      </c>
      <c r="M150" s="5" t="str">
        <f>IF(OR(TRIM($B150)="",$C150=""),"",IF(IFERROR(MATCH(TRIM($C150),{"Quantitative","Continuous","Discrete","Categorical","Nominal","Ordinal","Identifier"},0),0)=0,_xlfn.CONCAT("* REVIEW REQUIRED: invalid Variable Type on Sheet 1 row ",150,"."),_xlfn.CONCAT("char ",TRIM($B150),"[doc_vartype] ",CHAR(96),CHAR(34),SUBSTITUTE(SUBSTITUTE(SUBSTITUTE(SUBSTITUTE(SUBSTITUTE(SUBSTITUTE(LOWER(TRIM($C150)),CHAR(13)," "),CHAR(10)," "),CHAR(9)," "),CHAR(92),_xlfn.CONCAT(CHAR(92),CHAR(92))),"$",_xlfn.CONCAT(CHAR(92),"$")),CHAR(96),_xlfn.CONCAT(CHAR(92),CHAR(96))),CHAR(34),CHAR(39))))</f>
        <v/>
      </c>
      <c r="N150" s="5" t="str">
        <f>IF(OR(TRIM($B150)="",$D150=""),"",IF(OR(ISNUMBER(SEARCH(_xlfn.CONCAT(CHAR(96),CHAR(34)),$D150)),ISNUMBER(SEARCH(_xlfn.CONCAT(CHAR(34),CHAR(39)),$D150))),_xlfn.CONCAT("* REVIEW REQUIRED: compound-quote delimiter in Item Number on Sheet 1 row ",150,"; edit the input before running."),_xlfn.CONCAT("char ",TRIM($B150),"[doc_itemnum] ",CHAR(96),CHAR(34),SUBSTITUTE(SUBSTITUTE(SUBSTITUTE(SUBSTITUTE(SUBSTITUTE(SUBSTITUTE($D150,CHAR(13)," "),CHAR(10)," "),CHAR(9)," "),CHAR(92),_xlfn.CONCAT(CHAR(92),CHAR(92))),"$",_xlfn.CONCAT(CHAR(92),"$")),CHAR(96),_xlfn.CONCAT(CHAR(92),CHAR(96))),CHAR(34),CHAR(39))))</f>
        <v/>
      </c>
      <c r="O150" s="5" t="str">
        <f>IF(OR(TRIM($B150)="",$E150=""),"",IF(OR(ISNUMBER(SEARCH(_xlfn.CONCAT(CHAR(96),CHAR(34)),$E150)),ISNUMBER(SEARCH(_xlfn.CONCAT(CHAR(34),CHAR(39)),$E150))),_xlfn.CONCAT("* REVIEW REQUIRED: compound-quote delimiter in Question Wording on Sheet 1 row ",150,"; edit the input before running."),_xlfn.CONCAT("char ",TRIM($B150),"[doc_question] ",CHAR(96),CHAR(34),SUBSTITUTE(SUBSTITUTE(SUBSTITUTE(SUBSTITUTE(SUBSTITUTE(SUBSTITUTE($E150,CHAR(13)," "),CHAR(10)," "),CHAR(9)," "),CHAR(92),_xlfn.CONCAT(CHAR(92),CHAR(92))),"$",_xlfn.CONCAT(CHAR(92),"$")),CHAR(96),_xlfn.CONCAT(CHAR(92),CHAR(96))),CHAR(34),CHAR(39))))</f>
        <v/>
      </c>
      <c r="P150" s="5" t="str">
        <f>IF(OR(TRIM($B150)="",$F150=""),"",IF(OR(ISNUMBER(SEARCH(_xlfn.CONCAT(CHAR(96),CHAR(34)),$F150)),ISNUMBER(SEARCH(_xlfn.CONCAT(CHAR(34),CHAR(39)),$F150))),_xlfn.CONCAT("* REVIEW REQUIRED: compound-quote delimiter in Units on Sheet 1 row ",150,"; edit the input before running."),_xlfn.CONCAT("char ",TRIM($B150),"[doc_units] ",CHAR(96),CHAR(34),SUBSTITUTE(SUBSTITUTE(SUBSTITUTE(SUBSTITUTE(SUBSTITUTE(SUBSTITUTE($F150,CHAR(13)," "),CHAR(10)," "),CHAR(9)," "),CHAR(92),_xlfn.CONCAT(CHAR(92),CHAR(92))),"$",_xlfn.CONCAT(CHAR(92),"$")),CHAR(96),_xlfn.CONCAT(CHAR(92),CHAR(96))),CHAR(34),CHAR(39))))</f>
        <v/>
      </c>
      <c r="Q150" s="5" t="str">
        <f>IF(OR(TRIM($B150)="",$G150=""),"",IF(OR(ISNUMBER(SEARCH(_xlfn.CONCAT(CHAR(96),CHAR(34)),$G150)),ISNUMBER(SEARCH(_xlfn.CONCAT(CHAR(34),CHAR(39)),$G150))),_xlfn.CONCAT("* REVIEW REQUIRED: compound-quote delimiter in Universe on Sheet 1 row ",150,"; edit the input before running."),_xlfn.CONCAT("char ",TRIM($B150),"[doc_universe] ",CHAR(96),CHAR(34),SUBSTITUTE(SUBSTITUTE(SUBSTITUTE(SUBSTITUTE(SUBSTITUTE(SUBSTITUTE($G150,CHAR(13)," "),CHAR(10)," "),CHAR(9)," "),CHAR(92),_xlfn.CONCAT(CHAR(92),CHAR(92))),"$",_xlfn.CONCAT(CHAR(92),"$")),CHAR(96),_xlfn.CONCAT(CHAR(92),CHAR(96))),CHAR(34),CHAR(39))))</f>
        <v/>
      </c>
      <c r="R150" s="5" t="str">
        <f>IF(OR(TRIM($B150)="",$H150=""),"",IF(OR(ISNUMBER(SEARCH(_xlfn.CONCAT(CHAR(96),CHAR(34)),$H150)),ISNUMBER(SEARCH(_xlfn.CONCAT(CHAR(34),CHAR(39)),$H150))),_xlfn.CONCAT("* REVIEW REQUIRED: compound-quote delimiter in Source on Sheet 1 row ",150,"; edit the input before running."),_xlfn.CONCAT("char ",TRIM($B150),"[doc_source] ",CHAR(96),CHAR(34),SUBSTITUTE(SUBSTITUTE(SUBSTITUTE(SUBSTITUTE(SUBSTITUTE(SUBSTITUTE($H150,CHAR(13)," "),CHAR(10)," "),CHAR(9)," "),CHAR(92),_xlfn.CONCAT(CHAR(92),CHAR(92))),"$",_xlfn.CONCAT(CHAR(92),"$")),CHAR(96),_xlfn.CONCAT(CHAR(92),CHAR(96))),CHAR(34),CHAR(39))))</f>
        <v/>
      </c>
      <c r="S150" s="5" t="str">
        <f>IF(OR(TRIM($B150)="",$I150=""),"",IF(OR(ISNUMBER(SEARCH(_xlfn.CONCAT(CHAR(96),CHAR(34)),$I150)),ISNUMBER(SEARCH(_xlfn.CONCAT(CHAR(34),CHAR(39)),$I150))),_xlfn.CONCAT("* REVIEW REQUIRED: compound-quote delimiter in Derivation on Sheet 1 row ",150,"; edit the input before running."),_xlfn.CONCAT("char ",TRIM($B150),"[doc_derivation] ",CHAR(96),CHAR(34),SUBSTITUTE(SUBSTITUTE(SUBSTITUTE(SUBSTITUTE(SUBSTITUTE(SUBSTITUTE($I150,CHAR(13)," "),CHAR(10)," "),CHAR(9)," "),CHAR(92),_xlfn.CONCAT(CHAR(92),CHAR(92))),"$",_xlfn.CONCAT(CHAR(92),"$")),CHAR(96),_xlfn.CONCAT(CHAR(92),CHAR(96))),CHAR(34),CHAR(39))))</f>
        <v/>
      </c>
      <c r="T150" s="5" t="str">
        <f>IF(OR(TRIM($B150)="",$J150=""),"",IF(OR(ISNUMBER(SEARCH(_xlfn.CONCAT(CHAR(96),CHAR(34)),$J150)),ISNUMBER(SEARCH(_xlfn.CONCAT(CHAR(34),CHAR(39)),$J150))),_xlfn.CONCAT("* REVIEW REQUIRED: compound-quote delimiter in Notes on Sheet 1 row ",150,"; edit the input before running."),_xlfn.CONCAT("char ",TRIM($B150),"[doc_notes] ",CHAR(96),CHAR(34),SUBSTITUTE(SUBSTITUTE(SUBSTITUTE(SUBSTITUTE(SUBSTITUTE(SUBSTITUTE($J150,CHAR(13)," "),CHAR(10)," "),CHAR(9)," "),CHAR(92),_xlfn.CONCAT(CHAR(92),CHAR(92))),"$",_xlfn.CONCAT(CHAR(92),"$")),CHAR(96),_xlfn.CONCAT(CHAR(92),CHAR(96))),CHAR(34),CHAR(39))))</f>
        <v/>
      </c>
      <c r="U150" s="5">
        <f t="shared" si="5"/>
        <v>0</v>
      </c>
    </row>
    <row r="151" spans="3:21" ht="30" customHeight="1" x14ac:dyDescent="0.2">
      <c r="C151" s="4"/>
      <c r="K151" s="5">
        <f t="shared" si="4"/>
        <v>0</v>
      </c>
      <c r="L151" s="5" t="str">
        <f>IF(OR(TRIM($B151)="",$A151=""),"",IF(OR(ISNUMBER(SEARCH(_xlfn.CONCAT(CHAR(96),CHAR(34)),$A151)),ISNUMBER(SEARCH(_xlfn.CONCAT(CHAR(34),CHAR(39)),$A151))),_xlfn.CONCAT("* REVIEW REQUIRED: compound-quote delimiter in Codebook Section on Sheet 1 row ",151,"; edit the input before running."),_xlfn.CONCAT("char ",TRIM($B151),"[doc_section] ",CHAR(96),CHAR(34),SUBSTITUTE(SUBSTITUTE(SUBSTITUTE(SUBSTITUTE(SUBSTITUTE(SUBSTITUTE($A151,CHAR(13)," "),CHAR(10)," "),CHAR(9)," "),CHAR(92),_xlfn.CONCAT(CHAR(92),CHAR(92))),"$",_xlfn.CONCAT(CHAR(92),"$")),CHAR(96),_xlfn.CONCAT(CHAR(92),CHAR(96))),CHAR(34),CHAR(39))))</f>
        <v/>
      </c>
      <c r="M151" s="5" t="str">
        <f>IF(OR(TRIM($B151)="",$C151=""),"",IF(IFERROR(MATCH(TRIM($C151),{"Quantitative","Continuous","Discrete","Categorical","Nominal","Ordinal","Identifier"},0),0)=0,_xlfn.CONCAT("* REVIEW REQUIRED: invalid Variable Type on Sheet 1 row ",151,"."),_xlfn.CONCAT("char ",TRIM($B151),"[doc_vartype] ",CHAR(96),CHAR(34),SUBSTITUTE(SUBSTITUTE(SUBSTITUTE(SUBSTITUTE(SUBSTITUTE(SUBSTITUTE(LOWER(TRIM($C151)),CHAR(13)," "),CHAR(10)," "),CHAR(9)," "),CHAR(92),_xlfn.CONCAT(CHAR(92),CHAR(92))),"$",_xlfn.CONCAT(CHAR(92),"$")),CHAR(96),_xlfn.CONCAT(CHAR(92),CHAR(96))),CHAR(34),CHAR(39))))</f>
        <v/>
      </c>
      <c r="N151" s="5" t="str">
        <f>IF(OR(TRIM($B151)="",$D151=""),"",IF(OR(ISNUMBER(SEARCH(_xlfn.CONCAT(CHAR(96),CHAR(34)),$D151)),ISNUMBER(SEARCH(_xlfn.CONCAT(CHAR(34),CHAR(39)),$D151))),_xlfn.CONCAT("* REVIEW REQUIRED: compound-quote delimiter in Item Number on Sheet 1 row ",151,"; edit the input before running."),_xlfn.CONCAT("char ",TRIM($B151),"[doc_itemnum] ",CHAR(96),CHAR(34),SUBSTITUTE(SUBSTITUTE(SUBSTITUTE(SUBSTITUTE(SUBSTITUTE(SUBSTITUTE($D151,CHAR(13)," "),CHAR(10)," "),CHAR(9)," "),CHAR(92),_xlfn.CONCAT(CHAR(92),CHAR(92))),"$",_xlfn.CONCAT(CHAR(92),"$")),CHAR(96),_xlfn.CONCAT(CHAR(92),CHAR(96))),CHAR(34),CHAR(39))))</f>
        <v/>
      </c>
      <c r="O151" s="5" t="str">
        <f>IF(OR(TRIM($B151)="",$E151=""),"",IF(OR(ISNUMBER(SEARCH(_xlfn.CONCAT(CHAR(96),CHAR(34)),$E151)),ISNUMBER(SEARCH(_xlfn.CONCAT(CHAR(34),CHAR(39)),$E151))),_xlfn.CONCAT("* REVIEW REQUIRED: compound-quote delimiter in Question Wording on Sheet 1 row ",151,"; edit the input before running."),_xlfn.CONCAT("char ",TRIM($B151),"[doc_question] ",CHAR(96),CHAR(34),SUBSTITUTE(SUBSTITUTE(SUBSTITUTE(SUBSTITUTE(SUBSTITUTE(SUBSTITUTE($E151,CHAR(13)," "),CHAR(10)," "),CHAR(9)," "),CHAR(92),_xlfn.CONCAT(CHAR(92),CHAR(92))),"$",_xlfn.CONCAT(CHAR(92),"$")),CHAR(96),_xlfn.CONCAT(CHAR(92),CHAR(96))),CHAR(34),CHAR(39))))</f>
        <v/>
      </c>
      <c r="P151" s="5" t="str">
        <f>IF(OR(TRIM($B151)="",$F151=""),"",IF(OR(ISNUMBER(SEARCH(_xlfn.CONCAT(CHAR(96),CHAR(34)),$F151)),ISNUMBER(SEARCH(_xlfn.CONCAT(CHAR(34),CHAR(39)),$F151))),_xlfn.CONCAT("* REVIEW REQUIRED: compound-quote delimiter in Units on Sheet 1 row ",151,"; edit the input before running."),_xlfn.CONCAT("char ",TRIM($B151),"[doc_units] ",CHAR(96),CHAR(34),SUBSTITUTE(SUBSTITUTE(SUBSTITUTE(SUBSTITUTE(SUBSTITUTE(SUBSTITUTE($F151,CHAR(13)," "),CHAR(10)," "),CHAR(9)," "),CHAR(92),_xlfn.CONCAT(CHAR(92),CHAR(92))),"$",_xlfn.CONCAT(CHAR(92),"$")),CHAR(96),_xlfn.CONCAT(CHAR(92),CHAR(96))),CHAR(34),CHAR(39))))</f>
        <v/>
      </c>
      <c r="Q151" s="5" t="str">
        <f>IF(OR(TRIM($B151)="",$G151=""),"",IF(OR(ISNUMBER(SEARCH(_xlfn.CONCAT(CHAR(96),CHAR(34)),$G151)),ISNUMBER(SEARCH(_xlfn.CONCAT(CHAR(34),CHAR(39)),$G151))),_xlfn.CONCAT("* REVIEW REQUIRED: compound-quote delimiter in Universe on Sheet 1 row ",151,"; edit the input before running."),_xlfn.CONCAT("char ",TRIM($B151),"[doc_universe] ",CHAR(96),CHAR(34),SUBSTITUTE(SUBSTITUTE(SUBSTITUTE(SUBSTITUTE(SUBSTITUTE(SUBSTITUTE($G151,CHAR(13)," "),CHAR(10)," "),CHAR(9)," "),CHAR(92),_xlfn.CONCAT(CHAR(92),CHAR(92))),"$",_xlfn.CONCAT(CHAR(92),"$")),CHAR(96),_xlfn.CONCAT(CHAR(92),CHAR(96))),CHAR(34),CHAR(39))))</f>
        <v/>
      </c>
      <c r="R151" s="5" t="str">
        <f>IF(OR(TRIM($B151)="",$H151=""),"",IF(OR(ISNUMBER(SEARCH(_xlfn.CONCAT(CHAR(96),CHAR(34)),$H151)),ISNUMBER(SEARCH(_xlfn.CONCAT(CHAR(34),CHAR(39)),$H151))),_xlfn.CONCAT("* REVIEW REQUIRED: compound-quote delimiter in Source on Sheet 1 row ",151,"; edit the input before running."),_xlfn.CONCAT("char ",TRIM($B151),"[doc_source] ",CHAR(96),CHAR(34),SUBSTITUTE(SUBSTITUTE(SUBSTITUTE(SUBSTITUTE(SUBSTITUTE(SUBSTITUTE($H151,CHAR(13)," "),CHAR(10)," "),CHAR(9)," "),CHAR(92),_xlfn.CONCAT(CHAR(92),CHAR(92))),"$",_xlfn.CONCAT(CHAR(92),"$")),CHAR(96),_xlfn.CONCAT(CHAR(92),CHAR(96))),CHAR(34),CHAR(39))))</f>
        <v/>
      </c>
      <c r="S151" s="5" t="str">
        <f>IF(OR(TRIM($B151)="",$I151=""),"",IF(OR(ISNUMBER(SEARCH(_xlfn.CONCAT(CHAR(96),CHAR(34)),$I151)),ISNUMBER(SEARCH(_xlfn.CONCAT(CHAR(34),CHAR(39)),$I151))),_xlfn.CONCAT("* REVIEW REQUIRED: compound-quote delimiter in Derivation on Sheet 1 row ",151,"; edit the input before running."),_xlfn.CONCAT("char ",TRIM($B151),"[doc_derivation] ",CHAR(96),CHAR(34),SUBSTITUTE(SUBSTITUTE(SUBSTITUTE(SUBSTITUTE(SUBSTITUTE(SUBSTITUTE($I151,CHAR(13)," "),CHAR(10)," "),CHAR(9)," "),CHAR(92),_xlfn.CONCAT(CHAR(92),CHAR(92))),"$",_xlfn.CONCAT(CHAR(92),"$")),CHAR(96),_xlfn.CONCAT(CHAR(92),CHAR(96))),CHAR(34),CHAR(39))))</f>
        <v/>
      </c>
      <c r="T151" s="5" t="str">
        <f>IF(OR(TRIM($B151)="",$J151=""),"",IF(OR(ISNUMBER(SEARCH(_xlfn.CONCAT(CHAR(96),CHAR(34)),$J151)),ISNUMBER(SEARCH(_xlfn.CONCAT(CHAR(34),CHAR(39)),$J151))),_xlfn.CONCAT("* REVIEW REQUIRED: compound-quote delimiter in Notes on Sheet 1 row ",151,"; edit the input before running."),_xlfn.CONCAT("char ",TRIM($B151),"[doc_notes] ",CHAR(96),CHAR(34),SUBSTITUTE(SUBSTITUTE(SUBSTITUTE(SUBSTITUTE(SUBSTITUTE(SUBSTITUTE($J151,CHAR(13)," "),CHAR(10)," "),CHAR(9)," "),CHAR(92),_xlfn.CONCAT(CHAR(92),CHAR(92))),"$",_xlfn.CONCAT(CHAR(92),"$")),CHAR(96),_xlfn.CONCAT(CHAR(92),CHAR(96))),CHAR(34),CHAR(39))))</f>
        <v/>
      </c>
      <c r="U151" s="5">
        <f t="shared" si="5"/>
        <v>0</v>
      </c>
    </row>
    <row r="152" spans="3:21" ht="30" customHeight="1" x14ac:dyDescent="0.2">
      <c r="C152" s="4"/>
      <c r="K152" s="5">
        <f t="shared" si="4"/>
        <v>0</v>
      </c>
      <c r="L152" s="5" t="str">
        <f>IF(OR(TRIM($B152)="",$A152=""),"",IF(OR(ISNUMBER(SEARCH(_xlfn.CONCAT(CHAR(96),CHAR(34)),$A152)),ISNUMBER(SEARCH(_xlfn.CONCAT(CHAR(34),CHAR(39)),$A152))),_xlfn.CONCAT("* REVIEW REQUIRED: compound-quote delimiter in Codebook Section on Sheet 1 row ",152,"; edit the input before running."),_xlfn.CONCAT("char ",TRIM($B152),"[doc_section] ",CHAR(96),CHAR(34),SUBSTITUTE(SUBSTITUTE(SUBSTITUTE(SUBSTITUTE(SUBSTITUTE(SUBSTITUTE($A152,CHAR(13)," "),CHAR(10)," "),CHAR(9)," "),CHAR(92),_xlfn.CONCAT(CHAR(92),CHAR(92))),"$",_xlfn.CONCAT(CHAR(92),"$")),CHAR(96),_xlfn.CONCAT(CHAR(92),CHAR(96))),CHAR(34),CHAR(39))))</f>
        <v/>
      </c>
      <c r="M152" s="5" t="str">
        <f>IF(OR(TRIM($B152)="",$C152=""),"",IF(IFERROR(MATCH(TRIM($C152),{"Quantitative","Continuous","Discrete","Categorical","Nominal","Ordinal","Identifier"},0),0)=0,_xlfn.CONCAT("* REVIEW REQUIRED: invalid Variable Type on Sheet 1 row ",152,"."),_xlfn.CONCAT("char ",TRIM($B152),"[doc_vartype] ",CHAR(96),CHAR(34),SUBSTITUTE(SUBSTITUTE(SUBSTITUTE(SUBSTITUTE(SUBSTITUTE(SUBSTITUTE(LOWER(TRIM($C152)),CHAR(13)," "),CHAR(10)," "),CHAR(9)," "),CHAR(92),_xlfn.CONCAT(CHAR(92),CHAR(92))),"$",_xlfn.CONCAT(CHAR(92),"$")),CHAR(96),_xlfn.CONCAT(CHAR(92),CHAR(96))),CHAR(34),CHAR(39))))</f>
        <v/>
      </c>
      <c r="N152" s="5" t="str">
        <f>IF(OR(TRIM($B152)="",$D152=""),"",IF(OR(ISNUMBER(SEARCH(_xlfn.CONCAT(CHAR(96),CHAR(34)),$D152)),ISNUMBER(SEARCH(_xlfn.CONCAT(CHAR(34),CHAR(39)),$D152))),_xlfn.CONCAT("* REVIEW REQUIRED: compound-quote delimiter in Item Number on Sheet 1 row ",152,"; edit the input before running."),_xlfn.CONCAT("char ",TRIM($B152),"[doc_itemnum] ",CHAR(96),CHAR(34),SUBSTITUTE(SUBSTITUTE(SUBSTITUTE(SUBSTITUTE(SUBSTITUTE(SUBSTITUTE($D152,CHAR(13)," "),CHAR(10)," "),CHAR(9)," "),CHAR(92),_xlfn.CONCAT(CHAR(92),CHAR(92))),"$",_xlfn.CONCAT(CHAR(92),"$")),CHAR(96),_xlfn.CONCAT(CHAR(92),CHAR(96))),CHAR(34),CHAR(39))))</f>
        <v/>
      </c>
      <c r="O152" s="5" t="str">
        <f>IF(OR(TRIM($B152)="",$E152=""),"",IF(OR(ISNUMBER(SEARCH(_xlfn.CONCAT(CHAR(96),CHAR(34)),$E152)),ISNUMBER(SEARCH(_xlfn.CONCAT(CHAR(34),CHAR(39)),$E152))),_xlfn.CONCAT("* REVIEW REQUIRED: compound-quote delimiter in Question Wording on Sheet 1 row ",152,"; edit the input before running."),_xlfn.CONCAT("char ",TRIM($B152),"[doc_question] ",CHAR(96),CHAR(34),SUBSTITUTE(SUBSTITUTE(SUBSTITUTE(SUBSTITUTE(SUBSTITUTE(SUBSTITUTE($E152,CHAR(13)," "),CHAR(10)," "),CHAR(9)," "),CHAR(92),_xlfn.CONCAT(CHAR(92),CHAR(92))),"$",_xlfn.CONCAT(CHAR(92),"$")),CHAR(96),_xlfn.CONCAT(CHAR(92),CHAR(96))),CHAR(34),CHAR(39))))</f>
        <v/>
      </c>
      <c r="P152" s="5" t="str">
        <f>IF(OR(TRIM($B152)="",$F152=""),"",IF(OR(ISNUMBER(SEARCH(_xlfn.CONCAT(CHAR(96),CHAR(34)),$F152)),ISNUMBER(SEARCH(_xlfn.CONCAT(CHAR(34),CHAR(39)),$F152))),_xlfn.CONCAT("* REVIEW REQUIRED: compound-quote delimiter in Units on Sheet 1 row ",152,"; edit the input before running."),_xlfn.CONCAT("char ",TRIM($B152),"[doc_units] ",CHAR(96),CHAR(34),SUBSTITUTE(SUBSTITUTE(SUBSTITUTE(SUBSTITUTE(SUBSTITUTE(SUBSTITUTE($F152,CHAR(13)," "),CHAR(10)," "),CHAR(9)," "),CHAR(92),_xlfn.CONCAT(CHAR(92),CHAR(92))),"$",_xlfn.CONCAT(CHAR(92),"$")),CHAR(96),_xlfn.CONCAT(CHAR(92),CHAR(96))),CHAR(34),CHAR(39))))</f>
        <v/>
      </c>
      <c r="Q152" s="5" t="str">
        <f>IF(OR(TRIM($B152)="",$G152=""),"",IF(OR(ISNUMBER(SEARCH(_xlfn.CONCAT(CHAR(96),CHAR(34)),$G152)),ISNUMBER(SEARCH(_xlfn.CONCAT(CHAR(34),CHAR(39)),$G152))),_xlfn.CONCAT("* REVIEW REQUIRED: compound-quote delimiter in Universe on Sheet 1 row ",152,"; edit the input before running."),_xlfn.CONCAT("char ",TRIM($B152),"[doc_universe] ",CHAR(96),CHAR(34),SUBSTITUTE(SUBSTITUTE(SUBSTITUTE(SUBSTITUTE(SUBSTITUTE(SUBSTITUTE($G152,CHAR(13)," "),CHAR(10)," "),CHAR(9)," "),CHAR(92),_xlfn.CONCAT(CHAR(92),CHAR(92))),"$",_xlfn.CONCAT(CHAR(92),"$")),CHAR(96),_xlfn.CONCAT(CHAR(92),CHAR(96))),CHAR(34),CHAR(39))))</f>
        <v/>
      </c>
      <c r="R152" s="5" t="str">
        <f>IF(OR(TRIM($B152)="",$H152=""),"",IF(OR(ISNUMBER(SEARCH(_xlfn.CONCAT(CHAR(96),CHAR(34)),$H152)),ISNUMBER(SEARCH(_xlfn.CONCAT(CHAR(34),CHAR(39)),$H152))),_xlfn.CONCAT("* REVIEW REQUIRED: compound-quote delimiter in Source on Sheet 1 row ",152,"; edit the input before running."),_xlfn.CONCAT("char ",TRIM($B152),"[doc_source] ",CHAR(96),CHAR(34),SUBSTITUTE(SUBSTITUTE(SUBSTITUTE(SUBSTITUTE(SUBSTITUTE(SUBSTITUTE($H152,CHAR(13)," "),CHAR(10)," "),CHAR(9)," "),CHAR(92),_xlfn.CONCAT(CHAR(92),CHAR(92))),"$",_xlfn.CONCAT(CHAR(92),"$")),CHAR(96),_xlfn.CONCAT(CHAR(92),CHAR(96))),CHAR(34),CHAR(39))))</f>
        <v/>
      </c>
      <c r="S152" s="5" t="str">
        <f>IF(OR(TRIM($B152)="",$I152=""),"",IF(OR(ISNUMBER(SEARCH(_xlfn.CONCAT(CHAR(96),CHAR(34)),$I152)),ISNUMBER(SEARCH(_xlfn.CONCAT(CHAR(34),CHAR(39)),$I152))),_xlfn.CONCAT("* REVIEW REQUIRED: compound-quote delimiter in Derivation on Sheet 1 row ",152,"; edit the input before running."),_xlfn.CONCAT("char ",TRIM($B152),"[doc_derivation] ",CHAR(96),CHAR(34),SUBSTITUTE(SUBSTITUTE(SUBSTITUTE(SUBSTITUTE(SUBSTITUTE(SUBSTITUTE($I152,CHAR(13)," "),CHAR(10)," "),CHAR(9)," "),CHAR(92),_xlfn.CONCAT(CHAR(92),CHAR(92))),"$",_xlfn.CONCAT(CHAR(92),"$")),CHAR(96),_xlfn.CONCAT(CHAR(92),CHAR(96))),CHAR(34),CHAR(39))))</f>
        <v/>
      </c>
      <c r="T152" s="5" t="str">
        <f>IF(OR(TRIM($B152)="",$J152=""),"",IF(OR(ISNUMBER(SEARCH(_xlfn.CONCAT(CHAR(96),CHAR(34)),$J152)),ISNUMBER(SEARCH(_xlfn.CONCAT(CHAR(34),CHAR(39)),$J152))),_xlfn.CONCAT("* REVIEW REQUIRED: compound-quote delimiter in Notes on Sheet 1 row ",152,"; edit the input before running."),_xlfn.CONCAT("char ",TRIM($B152),"[doc_notes] ",CHAR(96),CHAR(34),SUBSTITUTE(SUBSTITUTE(SUBSTITUTE(SUBSTITUTE(SUBSTITUTE(SUBSTITUTE($J152,CHAR(13)," "),CHAR(10)," "),CHAR(9)," "),CHAR(92),_xlfn.CONCAT(CHAR(92),CHAR(92))),"$",_xlfn.CONCAT(CHAR(92),"$")),CHAR(96),_xlfn.CONCAT(CHAR(92),CHAR(96))),CHAR(34),CHAR(39))))</f>
        <v/>
      </c>
      <c r="U152" s="5">
        <f t="shared" si="5"/>
        <v>0</v>
      </c>
    </row>
    <row r="153" spans="3:21" ht="30" customHeight="1" x14ac:dyDescent="0.2">
      <c r="C153" s="4"/>
      <c r="K153" s="5">
        <f t="shared" si="4"/>
        <v>0</v>
      </c>
      <c r="L153" s="5" t="str">
        <f>IF(OR(TRIM($B153)="",$A153=""),"",IF(OR(ISNUMBER(SEARCH(_xlfn.CONCAT(CHAR(96),CHAR(34)),$A153)),ISNUMBER(SEARCH(_xlfn.CONCAT(CHAR(34),CHAR(39)),$A153))),_xlfn.CONCAT("* REVIEW REQUIRED: compound-quote delimiter in Codebook Section on Sheet 1 row ",153,"; edit the input before running."),_xlfn.CONCAT("char ",TRIM($B153),"[doc_section] ",CHAR(96),CHAR(34),SUBSTITUTE(SUBSTITUTE(SUBSTITUTE(SUBSTITUTE(SUBSTITUTE(SUBSTITUTE($A153,CHAR(13)," "),CHAR(10)," "),CHAR(9)," "),CHAR(92),_xlfn.CONCAT(CHAR(92),CHAR(92))),"$",_xlfn.CONCAT(CHAR(92),"$")),CHAR(96),_xlfn.CONCAT(CHAR(92),CHAR(96))),CHAR(34),CHAR(39))))</f>
        <v/>
      </c>
      <c r="M153" s="5" t="str">
        <f>IF(OR(TRIM($B153)="",$C153=""),"",IF(IFERROR(MATCH(TRIM($C153),{"Quantitative","Continuous","Discrete","Categorical","Nominal","Ordinal","Identifier"},0),0)=0,_xlfn.CONCAT("* REVIEW REQUIRED: invalid Variable Type on Sheet 1 row ",153,"."),_xlfn.CONCAT("char ",TRIM($B153),"[doc_vartype] ",CHAR(96),CHAR(34),SUBSTITUTE(SUBSTITUTE(SUBSTITUTE(SUBSTITUTE(SUBSTITUTE(SUBSTITUTE(LOWER(TRIM($C153)),CHAR(13)," "),CHAR(10)," "),CHAR(9)," "),CHAR(92),_xlfn.CONCAT(CHAR(92),CHAR(92))),"$",_xlfn.CONCAT(CHAR(92),"$")),CHAR(96),_xlfn.CONCAT(CHAR(92),CHAR(96))),CHAR(34),CHAR(39))))</f>
        <v/>
      </c>
      <c r="N153" s="5" t="str">
        <f>IF(OR(TRIM($B153)="",$D153=""),"",IF(OR(ISNUMBER(SEARCH(_xlfn.CONCAT(CHAR(96),CHAR(34)),$D153)),ISNUMBER(SEARCH(_xlfn.CONCAT(CHAR(34),CHAR(39)),$D153))),_xlfn.CONCAT("* REVIEW REQUIRED: compound-quote delimiter in Item Number on Sheet 1 row ",153,"; edit the input before running."),_xlfn.CONCAT("char ",TRIM($B153),"[doc_itemnum] ",CHAR(96),CHAR(34),SUBSTITUTE(SUBSTITUTE(SUBSTITUTE(SUBSTITUTE(SUBSTITUTE(SUBSTITUTE($D153,CHAR(13)," "),CHAR(10)," "),CHAR(9)," "),CHAR(92),_xlfn.CONCAT(CHAR(92),CHAR(92))),"$",_xlfn.CONCAT(CHAR(92),"$")),CHAR(96),_xlfn.CONCAT(CHAR(92),CHAR(96))),CHAR(34),CHAR(39))))</f>
        <v/>
      </c>
      <c r="O153" s="5" t="str">
        <f>IF(OR(TRIM($B153)="",$E153=""),"",IF(OR(ISNUMBER(SEARCH(_xlfn.CONCAT(CHAR(96),CHAR(34)),$E153)),ISNUMBER(SEARCH(_xlfn.CONCAT(CHAR(34),CHAR(39)),$E153))),_xlfn.CONCAT("* REVIEW REQUIRED: compound-quote delimiter in Question Wording on Sheet 1 row ",153,"; edit the input before running."),_xlfn.CONCAT("char ",TRIM($B153),"[doc_question] ",CHAR(96),CHAR(34),SUBSTITUTE(SUBSTITUTE(SUBSTITUTE(SUBSTITUTE(SUBSTITUTE(SUBSTITUTE($E153,CHAR(13)," "),CHAR(10)," "),CHAR(9)," "),CHAR(92),_xlfn.CONCAT(CHAR(92),CHAR(92))),"$",_xlfn.CONCAT(CHAR(92),"$")),CHAR(96),_xlfn.CONCAT(CHAR(92),CHAR(96))),CHAR(34),CHAR(39))))</f>
        <v/>
      </c>
      <c r="P153" s="5" t="str">
        <f>IF(OR(TRIM($B153)="",$F153=""),"",IF(OR(ISNUMBER(SEARCH(_xlfn.CONCAT(CHAR(96),CHAR(34)),$F153)),ISNUMBER(SEARCH(_xlfn.CONCAT(CHAR(34),CHAR(39)),$F153))),_xlfn.CONCAT("* REVIEW REQUIRED: compound-quote delimiter in Units on Sheet 1 row ",153,"; edit the input before running."),_xlfn.CONCAT("char ",TRIM($B153),"[doc_units] ",CHAR(96),CHAR(34),SUBSTITUTE(SUBSTITUTE(SUBSTITUTE(SUBSTITUTE(SUBSTITUTE(SUBSTITUTE($F153,CHAR(13)," "),CHAR(10)," "),CHAR(9)," "),CHAR(92),_xlfn.CONCAT(CHAR(92),CHAR(92))),"$",_xlfn.CONCAT(CHAR(92),"$")),CHAR(96),_xlfn.CONCAT(CHAR(92),CHAR(96))),CHAR(34),CHAR(39))))</f>
        <v/>
      </c>
      <c r="Q153" s="5" t="str">
        <f>IF(OR(TRIM($B153)="",$G153=""),"",IF(OR(ISNUMBER(SEARCH(_xlfn.CONCAT(CHAR(96),CHAR(34)),$G153)),ISNUMBER(SEARCH(_xlfn.CONCAT(CHAR(34),CHAR(39)),$G153))),_xlfn.CONCAT("* REVIEW REQUIRED: compound-quote delimiter in Universe on Sheet 1 row ",153,"; edit the input before running."),_xlfn.CONCAT("char ",TRIM($B153),"[doc_universe] ",CHAR(96),CHAR(34),SUBSTITUTE(SUBSTITUTE(SUBSTITUTE(SUBSTITUTE(SUBSTITUTE(SUBSTITUTE($G153,CHAR(13)," "),CHAR(10)," "),CHAR(9)," "),CHAR(92),_xlfn.CONCAT(CHAR(92),CHAR(92))),"$",_xlfn.CONCAT(CHAR(92),"$")),CHAR(96),_xlfn.CONCAT(CHAR(92),CHAR(96))),CHAR(34),CHAR(39))))</f>
        <v/>
      </c>
      <c r="R153" s="5" t="str">
        <f>IF(OR(TRIM($B153)="",$H153=""),"",IF(OR(ISNUMBER(SEARCH(_xlfn.CONCAT(CHAR(96),CHAR(34)),$H153)),ISNUMBER(SEARCH(_xlfn.CONCAT(CHAR(34),CHAR(39)),$H153))),_xlfn.CONCAT("* REVIEW REQUIRED: compound-quote delimiter in Source on Sheet 1 row ",153,"; edit the input before running."),_xlfn.CONCAT("char ",TRIM($B153),"[doc_source] ",CHAR(96),CHAR(34),SUBSTITUTE(SUBSTITUTE(SUBSTITUTE(SUBSTITUTE(SUBSTITUTE(SUBSTITUTE($H153,CHAR(13)," "),CHAR(10)," "),CHAR(9)," "),CHAR(92),_xlfn.CONCAT(CHAR(92),CHAR(92))),"$",_xlfn.CONCAT(CHAR(92),"$")),CHAR(96),_xlfn.CONCAT(CHAR(92),CHAR(96))),CHAR(34),CHAR(39))))</f>
        <v/>
      </c>
      <c r="S153" s="5" t="str">
        <f>IF(OR(TRIM($B153)="",$I153=""),"",IF(OR(ISNUMBER(SEARCH(_xlfn.CONCAT(CHAR(96),CHAR(34)),$I153)),ISNUMBER(SEARCH(_xlfn.CONCAT(CHAR(34),CHAR(39)),$I153))),_xlfn.CONCAT("* REVIEW REQUIRED: compound-quote delimiter in Derivation on Sheet 1 row ",153,"; edit the input before running."),_xlfn.CONCAT("char ",TRIM($B153),"[doc_derivation] ",CHAR(96),CHAR(34),SUBSTITUTE(SUBSTITUTE(SUBSTITUTE(SUBSTITUTE(SUBSTITUTE(SUBSTITUTE($I153,CHAR(13)," "),CHAR(10)," "),CHAR(9)," "),CHAR(92),_xlfn.CONCAT(CHAR(92),CHAR(92))),"$",_xlfn.CONCAT(CHAR(92),"$")),CHAR(96),_xlfn.CONCAT(CHAR(92),CHAR(96))),CHAR(34),CHAR(39))))</f>
        <v/>
      </c>
      <c r="T153" s="5" t="str">
        <f>IF(OR(TRIM($B153)="",$J153=""),"",IF(OR(ISNUMBER(SEARCH(_xlfn.CONCAT(CHAR(96),CHAR(34)),$J153)),ISNUMBER(SEARCH(_xlfn.CONCAT(CHAR(34),CHAR(39)),$J153))),_xlfn.CONCAT("* REVIEW REQUIRED: compound-quote delimiter in Notes on Sheet 1 row ",153,"; edit the input before running."),_xlfn.CONCAT("char ",TRIM($B153),"[doc_notes] ",CHAR(96),CHAR(34),SUBSTITUTE(SUBSTITUTE(SUBSTITUTE(SUBSTITUTE(SUBSTITUTE(SUBSTITUTE($J153,CHAR(13)," "),CHAR(10)," "),CHAR(9)," "),CHAR(92),_xlfn.CONCAT(CHAR(92),CHAR(92))),"$",_xlfn.CONCAT(CHAR(92),"$")),CHAR(96),_xlfn.CONCAT(CHAR(92),CHAR(96))),CHAR(34),CHAR(39))))</f>
        <v/>
      </c>
      <c r="U153" s="5">
        <f t="shared" si="5"/>
        <v>0</v>
      </c>
    </row>
    <row r="154" spans="3:21" ht="30" customHeight="1" x14ac:dyDescent="0.2">
      <c r="C154" s="4"/>
      <c r="K154" s="5">
        <f t="shared" si="4"/>
        <v>0</v>
      </c>
      <c r="L154" s="5" t="str">
        <f>IF(OR(TRIM($B154)="",$A154=""),"",IF(OR(ISNUMBER(SEARCH(_xlfn.CONCAT(CHAR(96),CHAR(34)),$A154)),ISNUMBER(SEARCH(_xlfn.CONCAT(CHAR(34),CHAR(39)),$A154))),_xlfn.CONCAT("* REVIEW REQUIRED: compound-quote delimiter in Codebook Section on Sheet 1 row ",154,"; edit the input before running."),_xlfn.CONCAT("char ",TRIM($B154),"[doc_section] ",CHAR(96),CHAR(34),SUBSTITUTE(SUBSTITUTE(SUBSTITUTE(SUBSTITUTE(SUBSTITUTE(SUBSTITUTE($A154,CHAR(13)," "),CHAR(10)," "),CHAR(9)," "),CHAR(92),_xlfn.CONCAT(CHAR(92),CHAR(92))),"$",_xlfn.CONCAT(CHAR(92),"$")),CHAR(96),_xlfn.CONCAT(CHAR(92),CHAR(96))),CHAR(34),CHAR(39))))</f>
        <v/>
      </c>
      <c r="M154" s="5" t="str">
        <f>IF(OR(TRIM($B154)="",$C154=""),"",IF(IFERROR(MATCH(TRIM($C154),{"Quantitative","Continuous","Discrete","Categorical","Nominal","Ordinal","Identifier"},0),0)=0,_xlfn.CONCAT("* REVIEW REQUIRED: invalid Variable Type on Sheet 1 row ",154,"."),_xlfn.CONCAT("char ",TRIM($B154),"[doc_vartype] ",CHAR(96),CHAR(34),SUBSTITUTE(SUBSTITUTE(SUBSTITUTE(SUBSTITUTE(SUBSTITUTE(SUBSTITUTE(LOWER(TRIM($C154)),CHAR(13)," "),CHAR(10)," "),CHAR(9)," "),CHAR(92),_xlfn.CONCAT(CHAR(92),CHAR(92))),"$",_xlfn.CONCAT(CHAR(92),"$")),CHAR(96),_xlfn.CONCAT(CHAR(92),CHAR(96))),CHAR(34),CHAR(39))))</f>
        <v/>
      </c>
      <c r="N154" s="5" t="str">
        <f>IF(OR(TRIM($B154)="",$D154=""),"",IF(OR(ISNUMBER(SEARCH(_xlfn.CONCAT(CHAR(96),CHAR(34)),$D154)),ISNUMBER(SEARCH(_xlfn.CONCAT(CHAR(34),CHAR(39)),$D154))),_xlfn.CONCAT("* REVIEW REQUIRED: compound-quote delimiter in Item Number on Sheet 1 row ",154,"; edit the input before running."),_xlfn.CONCAT("char ",TRIM($B154),"[doc_itemnum] ",CHAR(96),CHAR(34),SUBSTITUTE(SUBSTITUTE(SUBSTITUTE(SUBSTITUTE(SUBSTITUTE(SUBSTITUTE($D154,CHAR(13)," "),CHAR(10)," "),CHAR(9)," "),CHAR(92),_xlfn.CONCAT(CHAR(92),CHAR(92))),"$",_xlfn.CONCAT(CHAR(92),"$")),CHAR(96),_xlfn.CONCAT(CHAR(92),CHAR(96))),CHAR(34),CHAR(39))))</f>
        <v/>
      </c>
      <c r="O154" s="5" t="str">
        <f>IF(OR(TRIM($B154)="",$E154=""),"",IF(OR(ISNUMBER(SEARCH(_xlfn.CONCAT(CHAR(96),CHAR(34)),$E154)),ISNUMBER(SEARCH(_xlfn.CONCAT(CHAR(34),CHAR(39)),$E154))),_xlfn.CONCAT("* REVIEW REQUIRED: compound-quote delimiter in Question Wording on Sheet 1 row ",154,"; edit the input before running."),_xlfn.CONCAT("char ",TRIM($B154),"[doc_question] ",CHAR(96),CHAR(34),SUBSTITUTE(SUBSTITUTE(SUBSTITUTE(SUBSTITUTE(SUBSTITUTE(SUBSTITUTE($E154,CHAR(13)," "),CHAR(10)," "),CHAR(9)," "),CHAR(92),_xlfn.CONCAT(CHAR(92),CHAR(92))),"$",_xlfn.CONCAT(CHAR(92),"$")),CHAR(96),_xlfn.CONCAT(CHAR(92),CHAR(96))),CHAR(34),CHAR(39))))</f>
        <v/>
      </c>
      <c r="P154" s="5" t="str">
        <f>IF(OR(TRIM($B154)="",$F154=""),"",IF(OR(ISNUMBER(SEARCH(_xlfn.CONCAT(CHAR(96),CHAR(34)),$F154)),ISNUMBER(SEARCH(_xlfn.CONCAT(CHAR(34),CHAR(39)),$F154))),_xlfn.CONCAT("* REVIEW REQUIRED: compound-quote delimiter in Units on Sheet 1 row ",154,"; edit the input before running."),_xlfn.CONCAT("char ",TRIM($B154),"[doc_units] ",CHAR(96),CHAR(34),SUBSTITUTE(SUBSTITUTE(SUBSTITUTE(SUBSTITUTE(SUBSTITUTE(SUBSTITUTE($F154,CHAR(13)," "),CHAR(10)," "),CHAR(9)," "),CHAR(92),_xlfn.CONCAT(CHAR(92),CHAR(92))),"$",_xlfn.CONCAT(CHAR(92),"$")),CHAR(96),_xlfn.CONCAT(CHAR(92),CHAR(96))),CHAR(34),CHAR(39))))</f>
        <v/>
      </c>
      <c r="Q154" s="5" t="str">
        <f>IF(OR(TRIM($B154)="",$G154=""),"",IF(OR(ISNUMBER(SEARCH(_xlfn.CONCAT(CHAR(96),CHAR(34)),$G154)),ISNUMBER(SEARCH(_xlfn.CONCAT(CHAR(34),CHAR(39)),$G154))),_xlfn.CONCAT("* REVIEW REQUIRED: compound-quote delimiter in Universe on Sheet 1 row ",154,"; edit the input before running."),_xlfn.CONCAT("char ",TRIM($B154),"[doc_universe] ",CHAR(96),CHAR(34),SUBSTITUTE(SUBSTITUTE(SUBSTITUTE(SUBSTITUTE(SUBSTITUTE(SUBSTITUTE($G154,CHAR(13)," "),CHAR(10)," "),CHAR(9)," "),CHAR(92),_xlfn.CONCAT(CHAR(92),CHAR(92))),"$",_xlfn.CONCAT(CHAR(92),"$")),CHAR(96),_xlfn.CONCAT(CHAR(92),CHAR(96))),CHAR(34),CHAR(39))))</f>
        <v/>
      </c>
      <c r="R154" s="5" t="str">
        <f>IF(OR(TRIM($B154)="",$H154=""),"",IF(OR(ISNUMBER(SEARCH(_xlfn.CONCAT(CHAR(96),CHAR(34)),$H154)),ISNUMBER(SEARCH(_xlfn.CONCAT(CHAR(34),CHAR(39)),$H154))),_xlfn.CONCAT("* REVIEW REQUIRED: compound-quote delimiter in Source on Sheet 1 row ",154,"; edit the input before running."),_xlfn.CONCAT("char ",TRIM($B154),"[doc_source] ",CHAR(96),CHAR(34),SUBSTITUTE(SUBSTITUTE(SUBSTITUTE(SUBSTITUTE(SUBSTITUTE(SUBSTITUTE($H154,CHAR(13)," "),CHAR(10)," "),CHAR(9)," "),CHAR(92),_xlfn.CONCAT(CHAR(92),CHAR(92))),"$",_xlfn.CONCAT(CHAR(92),"$")),CHAR(96),_xlfn.CONCAT(CHAR(92),CHAR(96))),CHAR(34),CHAR(39))))</f>
        <v/>
      </c>
      <c r="S154" s="5" t="str">
        <f>IF(OR(TRIM($B154)="",$I154=""),"",IF(OR(ISNUMBER(SEARCH(_xlfn.CONCAT(CHAR(96),CHAR(34)),$I154)),ISNUMBER(SEARCH(_xlfn.CONCAT(CHAR(34),CHAR(39)),$I154))),_xlfn.CONCAT("* REVIEW REQUIRED: compound-quote delimiter in Derivation on Sheet 1 row ",154,"; edit the input before running."),_xlfn.CONCAT("char ",TRIM($B154),"[doc_derivation] ",CHAR(96),CHAR(34),SUBSTITUTE(SUBSTITUTE(SUBSTITUTE(SUBSTITUTE(SUBSTITUTE(SUBSTITUTE($I154,CHAR(13)," "),CHAR(10)," "),CHAR(9)," "),CHAR(92),_xlfn.CONCAT(CHAR(92),CHAR(92))),"$",_xlfn.CONCAT(CHAR(92),"$")),CHAR(96),_xlfn.CONCAT(CHAR(92),CHAR(96))),CHAR(34),CHAR(39))))</f>
        <v/>
      </c>
      <c r="T154" s="5" t="str">
        <f>IF(OR(TRIM($B154)="",$J154=""),"",IF(OR(ISNUMBER(SEARCH(_xlfn.CONCAT(CHAR(96),CHAR(34)),$J154)),ISNUMBER(SEARCH(_xlfn.CONCAT(CHAR(34),CHAR(39)),$J154))),_xlfn.CONCAT("* REVIEW REQUIRED: compound-quote delimiter in Notes on Sheet 1 row ",154,"; edit the input before running."),_xlfn.CONCAT("char ",TRIM($B154),"[doc_notes] ",CHAR(96),CHAR(34),SUBSTITUTE(SUBSTITUTE(SUBSTITUTE(SUBSTITUTE(SUBSTITUTE(SUBSTITUTE($J154,CHAR(13)," "),CHAR(10)," "),CHAR(9)," "),CHAR(92),_xlfn.CONCAT(CHAR(92),CHAR(92))),"$",_xlfn.CONCAT(CHAR(92),"$")),CHAR(96),_xlfn.CONCAT(CHAR(92),CHAR(96))),CHAR(34),CHAR(39))))</f>
        <v/>
      </c>
      <c r="U154" s="5">
        <f t="shared" si="5"/>
        <v>0</v>
      </c>
    </row>
    <row r="155" spans="3:21" ht="30" customHeight="1" x14ac:dyDescent="0.2">
      <c r="C155" s="4"/>
      <c r="K155" s="5">
        <f t="shared" si="4"/>
        <v>0</v>
      </c>
      <c r="L155" s="5" t="str">
        <f>IF(OR(TRIM($B155)="",$A155=""),"",IF(OR(ISNUMBER(SEARCH(_xlfn.CONCAT(CHAR(96),CHAR(34)),$A155)),ISNUMBER(SEARCH(_xlfn.CONCAT(CHAR(34),CHAR(39)),$A155))),_xlfn.CONCAT("* REVIEW REQUIRED: compound-quote delimiter in Codebook Section on Sheet 1 row ",155,"; edit the input before running."),_xlfn.CONCAT("char ",TRIM($B155),"[doc_section] ",CHAR(96),CHAR(34),SUBSTITUTE(SUBSTITUTE(SUBSTITUTE(SUBSTITUTE(SUBSTITUTE(SUBSTITUTE($A155,CHAR(13)," "),CHAR(10)," "),CHAR(9)," "),CHAR(92),_xlfn.CONCAT(CHAR(92),CHAR(92))),"$",_xlfn.CONCAT(CHAR(92),"$")),CHAR(96),_xlfn.CONCAT(CHAR(92),CHAR(96))),CHAR(34),CHAR(39))))</f>
        <v/>
      </c>
      <c r="M155" s="5" t="str">
        <f>IF(OR(TRIM($B155)="",$C155=""),"",IF(IFERROR(MATCH(TRIM($C155),{"Quantitative","Continuous","Discrete","Categorical","Nominal","Ordinal","Identifier"},0),0)=0,_xlfn.CONCAT("* REVIEW REQUIRED: invalid Variable Type on Sheet 1 row ",155,"."),_xlfn.CONCAT("char ",TRIM($B155),"[doc_vartype] ",CHAR(96),CHAR(34),SUBSTITUTE(SUBSTITUTE(SUBSTITUTE(SUBSTITUTE(SUBSTITUTE(SUBSTITUTE(LOWER(TRIM($C155)),CHAR(13)," "),CHAR(10)," "),CHAR(9)," "),CHAR(92),_xlfn.CONCAT(CHAR(92),CHAR(92))),"$",_xlfn.CONCAT(CHAR(92),"$")),CHAR(96),_xlfn.CONCAT(CHAR(92),CHAR(96))),CHAR(34),CHAR(39))))</f>
        <v/>
      </c>
      <c r="N155" s="5" t="str">
        <f>IF(OR(TRIM($B155)="",$D155=""),"",IF(OR(ISNUMBER(SEARCH(_xlfn.CONCAT(CHAR(96),CHAR(34)),$D155)),ISNUMBER(SEARCH(_xlfn.CONCAT(CHAR(34),CHAR(39)),$D155))),_xlfn.CONCAT("* REVIEW REQUIRED: compound-quote delimiter in Item Number on Sheet 1 row ",155,"; edit the input before running."),_xlfn.CONCAT("char ",TRIM($B155),"[doc_itemnum] ",CHAR(96),CHAR(34),SUBSTITUTE(SUBSTITUTE(SUBSTITUTE(SUBSTITUTE(SUBSTITUTE(SUBSTITUTE($D155,CHAR(13)," "),CHAR(10)," "),CHAR(9)," "),CHAR(92),_xlfn.CONCAT(CHAR(92),CHAR(92))),"$",_xlfn.CONCAT(CHAR(92),"$")),CHAR(96),_xlfn.CONCAT(CHAR(92),CHAR(96))),CHAR(34),CHAR(39))))</f>
        <v/>
      </c>
      <c r="O155" s="5" t="str">
        <f>IF(OR(TRIM($B155)="",$E155=""),"",IF(OR(ISNUMBER(SEARCH(_xlfn.CONCAT(CHAR(96),CHAR(34)),$E155)),ISNUMBER(SEARCH(_xlfn.CONCAT(CHAR(34),CHAR(39)),$E155))),_xlfn.CONCAT("* REVIEW REQUIRED: compound-quote delimiter in Question Wording on Sheet 1 row ",155,"; edit the input before running."),_xlfn.CONCAT("char ",TRIM($B155),"[doc_question] ",CHAR(96),CHAR(34),SUBSTITUTE(SUBSTITUTE(SUBSTITUTE(SUBSTITUTE(SUBSTITUTE(SUBSTITUTE($E155,CHAR(13)," "),CHAR(10)," "),CHAR(9)," "),CHAR(92),_xlfn.CONCAT(CHAR(92),CHAR(92))),"$",_xlfn.CONCAT(CHAR(92),"$")),CHAR(96),_xlfn.CONCAT(CHAR(92),CHAR(96))),CHAR(34),CHAR(39))))</f>
        <v/>
      </c>
      <c r="P155" s="5" t="str">
        <f>IF(OR(TRIM($B155)="",$F155=""),"",IF(OR(ISNUMBER(SEARCH(_xlfn.CONCAT(CHAR(96),CHAR(34)),$F155)),ISNUMBER(SEARCH(_xlfn.CONCAT(CHAR(34),CHAR(39)),$F155))),_xlfn.CONCAT("* REVIEW REQUIRED: compound-quote delimiter in Units on Sheet 1 row ",155,"; edit the input before running."),_xlfn.CONCAT("char ",TRIM($B155),"[doc_units] ",CHAR(96),CHAR(34),SUBSTITUTE(SUBSTITUTE(SUBSTITUTE(SUBSTITUTE(SUBSTITUTE(SUBSTITUTE($F155,CHAR(13)," "),CHAR(10)," "),CHAR(9)," "),CHAR(92),_xlfn.CONCAT(CHAR(92),CHAR(92))),"$",_xlfn.CONCAT(CHAR(92),"$")),CHAR(96),_xlfn.CONCAT(CHAR(92),CHAR(96))),CHAR(34),CHAR(39))))</f>
        <v/>
      </c>
      <c r="Q155" s="5" t="str">
        <f>IF(OR(TRIM($B155)="",$G155=""),"",IF(OR(ISNUMBER(SEARCH(_xlfn.CONCAT(CHAR(96),CHAR(34)),$G155)),ISNUMBER(SEARCH(_xlfn.CONCAT(CHAR(34),CHAR(39)),$G155))),_xlfn.CONCAT("* REVIEW REQUIRED: compound-quote delimiter in Universe on Sheet 1 row ",155,"; edit the input before running."),_xlfn.CONCAT("char ",TRIM($B155),"[doc_universe] ",CHAR(96),CHAR(34),SUBSTITUTE(SUBSTITUTE(SUBSTITUTE(SUBSTITUTE(SUBSTITUTE(SUBSTITUTE($G155,CHAR(13)," "),CHAR(10)," "),CHAR(9)," "),CHAR(92),_xlfn.CONCAT(CHAR(92),CHAR(92))),"$",_xlfn.CONCAT(CHAR(92),"$")),CHAR(96),_xlfn.CONCAT(CHAR(92),CHAR(96))),CHAR(34),CHAR(39))))</f>
        <v/>
      </c>
      <c r="R155" s="5" t="str">
        <f>IF(OR(TRIM($B155)="",$H155=""),"",IF(OR(ISNUMBER(SEARCH(_xlfn.CONCAT(CHAR(96),CHAR(34)),$H155)),ISNUMBER(SEARCH(_xlfn.CONCAT(CHAR(34),CHAR(39)),$H155))),_xlfn.CONCAT("* REVIEW REQUIRED: compound-quote delimiter in Source on Sheet 1 row ",155,"; edit the input before running."),_xlfn.CONCAT("char ",TRIM($B155),"[doc_source] ",CHAR(96),CHAR(34),SUBSTITUTE(SUBSTITUTE(SUBSTITUTE(SUBSTITUTE(SUBSTITUTE(SUBSTITUTE($H155,CHAR(13)," "),CHAR(10)," "),CHAR(9)," "),CHAR(92),_xlfn.CONCAT(CHAR(92),CHAR(92))),"$",_xlfn.CONCAT(CHAR(92),"$")),CHAR(96),_xlfn.CONCAT(CHAR(92),CHAR(96))),CHAR(34),CHAR(39))))</f>
        <v/>
      </c>
      <c r="S155" s="5" t="str">
        <f>IF(OR(TRIM($B155)="",$I155=""),"",IF(OR(ISNUMBER(SEARCH(_xlfn.CONCAT(CHAR(96),CHAR(34)),$I155)),ISNUMBER(SEARCH(_xlfn.CONCAT(CHAR(34),CHAR(39)),$I155))),_xlfn.CONCAT("* REVIEW REQUIRED: compound-quote delimiter in Derivation on Sheet 1 row ",155,"; edit the input before running."),_xlfn.CONCAT("char ",TRIM($B155),"[doc_derivation] ",CHAR(96),CHAR(34),SUBSTITUTE(SUBSTITUTE(SUBSTITUTE(SUBSTITUTE(SUBSTITUTE(SUBSTITUTE($I155,CHAR(13)," "),CHAR(10)," "),CHAR(9)," "),CHAR(92),_xlfn.CONCAT(CHAR(92),CHAR(92))),"$",_xlfn.CONCAT(CHAR(92),"$")),CHAR(96),_xlfn.CONCAT(CHAR(92),CHAR(96))),CHAR(34),CHAR(39))))</f>
        <v/>
      </c>
      <c r="T155" s="5" t="str">
        <f>IF(OR(TRIM($B155)="",$J155=""),"",IF(OR(ISNUMBER(SEARCH(_xlfn.CONCAT(CHAR(96),CHAR(34)),$J155)),ISNUMBER(SEARCH(_xlfn.CONCAT(CHAR(34),CHAR(39)),$J155))),_xlfn.CONCAT("* REVIEW REQUIRED: compound-quote delimiter in Notes on Sheet 1 row ",155,"; edit the input before running."),_xlfn.CONCAT("char ",TRIM($B155),"[doc_notes] ",CHAR(96),CHAR(34),SUBSTITUTE(SUBSTITUTE(SUBSTITUTE(SUBSTITUTE(SUBSTITUTE(SUBSTITUTE($J155,CHAR(13)," "),CHAR(10)," "),CHAR(9)," "),CHAR(92),_xlfn.CONCAT(CHAR(92),CHAR(92))),"$",_xlfn.CONCAT(CHAR(92),"$")),CHAR(96),_xlfn.CONCAT(CHAR(92),CHAR(96))),CHAR(34),CHAR(39))))</f>
        <v/>
      </c>
      <c r="U155" s="5">
        <f t="shared" si="5"/>
        <v>0</v>
      </c>
    </row>
    <row r="156" spans="3:21" ht="30" customHeight="1" x14ac:dyDescent="0.2">
      <c r="C156" s="4"/>
      <c r="K156" s="5">
        <f t="shared" si="4"/>
        <v>0</v>
      </c>
      <c r="L156" s="5" t="str">
        <f>IF(OR(TRIM($B156)="",$A156=""),"",IF(OR(ISNUMBER(SEARCH(_xlfn.CONCAT(CHAR(96),CHAR(34)),$A156)),ISNUMBER(SEARCH(_xlfn.CONCAT(CHAR(34),CHAR(39)),$A156))),_xlfn.CONCAT("* REVIEW REQUIRED: compound-quote delimiter in Codebook Section on Sheet 1 row ",156,"; edit the input before running."),_xlfn.CONCAT("char ",TRIM($B156),"[doc_section] ",CHAR(96),CHAR(34),SUBSTITUTE(SUBSTITUTE(SUBSTITUTE(SUBSTITUTE(SUBSTITUTE(SUBSTITUTE($A156,CHAR(13)," "),CHAR(10)," "),CHAR(9)," "),CHAR(92),_xlfn.CONCAT(CHAR(92),CHAR(92))),"$",_xlfn.CONCAT(CHAR(92),"$")),CHAR(96),_xlfn.CONCAT(CHAR(92),CHAR(96))),CHAR(34),CHAR(39))))</f>
        <v/>
      </c>
      <c r="M156" s="5" t="str">
        <f>IF(OR(TRIM($B156)="",$C156=""),"",IF(IFERROR(MATCH(TRIM($C156),{"Quantitative","Continuous","Discrete","Categorical","Nominal","Ordinal","Identifier"},0),0)=0,_xlfn.CONCAT("* REVIEW REQUIRED: invalid Variable Type on Sheet 1 row ",156,"."),_xlfn.CONCAT("char ",TRIM($B156),"[doc_vartype] ",CHAR(96),CHAR(34),SUBSTITUTE(SUBSTITUTE(SUBSTITUTE(SUBSTITUTE(SUBSTITUTE(SUBSTITUTE(LOWER(TRIM($C156)),CHAR(13)," "),CHAR(10)," "),CHAR(9)," "),CHAR(92),_xlfn.CONCAT(CHAR(92),CHAR(92))),"$",_xlfn.CONCAT(CHAR(92),"$")),CHAR(96),_xlfn.CONCAT(CHAR(92),CHAR(96))),CHAR(34),CHAR(39))))</f>
        <v/>
      </c>
      <c r="N156" s="5" t="str">
        <f>IF(OR(TRIM($B156)="",$D156=""),"",IF(OR(ISNUMBER(SEARCH(_xlfn.CONCAT(CHAR(96),CHAR(34)),$D156)),ISNUMBER(SEARCH(_xlfn.CONCAT(CHAR(34),CHAR(39)),$D156))),_xlfn.CONCAT("* REVIEW REQUIRED: compound-quote delimiter in Item Number on Sheet 1 row ",156,"; edit the input before running."),_xlfn.CONCAT("char ",TRIM($B156),"[doc_itemnum] ",CHAR(96),CHAR(34),SUBSTITUTE(SUBSTITUTE(SUBSTITUTE(SUBSTITUTE(SUBSTITUTE(SUBSTITUTE($D156,CHAR(13)," "),CHAR(10)," "),CHAR(9)," "),CHAR(92),_xlfn.CONCAT(CHAR(92),CHAR(92))),"$",_xlfn.CONCAT(CHAR(92),"$")),CHAR(96),_xlfn.CONCAT(CHAR(92),CHAR(96))),CHAR(34),CHAR(39))))</f>
        <v/>
      </c>
      <c r="O156" s="5" t="str">
        <f>IF(OR(TRIM($B156)="",$E156=""),"",IF(OR(ISNUMBER(SEARCH(_xlfn.CONCAT(CHAR(96),CHAR(34)),$E156)),ISNUMBER(SEARCH(_xlfn.CONCAT(CHAR(34),CHAR(39)),$E156))),_xlfn.CONCAT("* REVIEW REQUIRED: compound-quote delimiter in Question Wording on Sheet 1 row ",156,"; edit the input before running."),_xlfn.CONCAT("char ",TRIM($B156),"[doc_question] ",CHAR(96),CHAR(34),SUBSTITUTE(SUBSTITUTE(SUBSTITUTE(SUBSTITUTE(SUBSTITUTE(SUBSTITUTE($E156,CHAR(13)," "),CHAR(10)," "),CHAR(9)," "),CHAR(92),_xlfn.CONCAT(CHAR(92),CHAR(92))),"$",_xlfn.CONCAT(CHAR(92),"$")),CHAR(96),_xlfn.CONCAT(CHAR(92),CHAR(96))),CHAR(34),CHAR(39))))</f>
        <v/>
      </c>
      <c r="P156" s="5" t="str">
        <f>IF(OR(TRIM($B156)="",$F156=""),"",IF(OR(ISNUMBER(SEARCH(_xlfn.CONCAT(CHAR(96),CHAR(34)),$F156)),ISNUMBER(SEARCH(_xlfn.CONCAT(CHAR(34),CHAR(39)),$F156))),_xlfn.CONCAT("* REVIEW REQUIRED: compound-quote delimiter in Units on Sheet 1 row ",156,"; edit the input before running."),_xlfn.CONCAT("char ",TRIM($B156),"[doc_units] ",CHAR(96),CHAR(34),SUBSTITUTE(SUBSTITUTE(SUBSTITUTE(SUBSTITUTE(SUBSTITUTE(SUBSTITUTE($F156,CHAR(13)," "),CHAR(10)," "),CHAR(9)," "),CHAR(92),_xlfn.CONCAT(CHAR(92),CHAR(92))),"$",_xlfn.CONCAT(CHAR(92),"$")),CHAR(96),_xlfn.CONCAT(CHAR(92),CHAR(96))),CHAR(34),CHAR(39))))</f>
        <v/>
      </c>
      <c r="Q156" s="5" t="str">
        <f>IF(OR(TRIM($B156)="",$G156=""),"",IF(OR(ISNUMBER(SEARCH(_xlfn.CONCAT(CHAR(96),CHAR(34)),$G156)),ISNUMBER(SEARCH(_xlfn.CONCAT(CHAR(34),CHAR(39)),$G156))),_xlfn.CONCAT("* REVIEW REQUIRED: compound-quote delimiter in Universe on Sheet 1 row ",156,"; edit the input before running."),_xlfn.CONCAT("char ",TRIM($B156),"[doc_universe] ",CHAR(96),CHAR(34),SUBSTITUTE(SUBSTITUTE(SUBSTITUTE(SUBSTITUTE(SUBSTITUTE(SUBSTITUTE($G156,CHAR(13)," "),CHAR(10)," "),CHAR(9)," "),CHAR(92),_xlfn.CONCAT(CHAR(92),CHAR(92))),"$",_xlfn.CONCAT(CHAR(92),"$")),CHAR(96),_xlfn.CONCAT(CHAR(92),CHAR(96))),CHAR(34),CHAR(39))))</f>
        <v/>
      </c>
      <c r="R156" s="5" t="str">
        <f>IF(OR(TRIM($B156)="",$H156=""),"",IF(OR(ISNUMBER(SEARCH(_xlfn.CONCAT(CHAR(96),CHAR(34)),$H156)),ISNUMBER(SEARCH(_xlfn.CONCAT(CHAR(34),CHAR(39)),$H156))),_xlfn.CONCAT("* REVIEW REQUIRED: compound-quote delimiter in Source on Sheet 1 row ",156,"; edit the input before running."),_xlfn.CONCAT("char ",TRIM($B156),"[doc_source] ",CHAR(96),CHAR(34),SUBSTITUTE(SUBSTITUTE(SUBSTITUTE(SUBSTITUTE(SUBSTITUTE(SUBSTITUTE($H156,CHAR(13)," "),CHAR(10)," "),CHAR(9)," "),CHAR(92),_xlfn.CONCAT(CHAR(92),CHAR(92))),"$",_xlfn.CONCAT(CHAR(92),"$")),CHAR(96),_xlfn.CONCAT(CHAR(92),CHAR(96))),CHAR(34),CHAR(39))))</f>
        <v/>
      </c>
      <c r="S156" s="5" t="str">
        <f>IF(OR(TRIM($B156)="",$I156=""),"",IF(OR(ISNUMBER(SEARCH(_xlfn.CONCAT(CHAR(96),CHAR(34)),$I156)),ISNUMBER(SEARCH(_xlfn.CONCAT(CHAR(34),CHAR(39)),$I156))),_xlfn.CONCAT("* REVIEW REQUIRED: compound-quote delimiter in Derivation on Sheet 1 row ",156,"; edit the input before running."),_xlfn.CONCAT("char ",TRIM($B156),"[doc_derivation] ",CHAR(96),CHAR(34),SUBSTITUTE(SUBSTITUTE(SUBSTITUTE(SUBSTITUTE(SUBSTITUTE(SUBSTITUTE($I156,CHAR(13)," "),CHAR(10)," "),CHAR(9)," "),CHAR(92),_xlfn.CONCAT(CHAR(92),CHAR(92))),"$",_xlfn.CONCAT(CHAR(92),"$")),CHAR(96),_xlfn.CONCAT(CHAR(92),CHAR(96))),CHAR(34),CHAR(39))))</f>
        <v/>
      </c>
      <c r="T156" s="5" t="str">
        <f>IF(OR(TRIM($B156)="",$J156=""),"",IF(OR(ISNUMBER(SEARCH(_xlfn.CONCAT(CHAR(96),CHAR(34)),$J156)),ISNUMBER(SEARCH(_xlfn.CONCAT(CHAR(34),CHAR(39)),$J156))),_xlfn.CONCAT("* REVIEW REQUIRED: compound-quote delimiter in Notes on Sheet 1 row ",156,"; edit the input before running."),_xlfn.CONCAT("char ",TRIM($B156),"[doc_notes] ",CHAR(96),CHAR(34),SUBSTITUTE(SUBSTITUTE(SUBSTITUTE(SUBSTITUTE(SUBSTITUTE(SUBSTITUTE($J156,CHAR(13)," "),CHAR(10)," "),CHAR(9)," "),CHAR(92),_xlfn.CONCAT(CHAR(92),CHAR(92))),"$",_xlfn.CONCAT(CHAR(92),"$")),CHAR(96),_xlfn.CONCAT(CHAR(92),CHAR(96))),CHAR(34),CHAR(39))))</f>
        <v/>
      </c>
      <c r="U156" s="5">
        <f t="shared" si="5"/>
        <v>0</v>
      </c>
    </row>
    <row r="157" spans="3:21" ht="30" customHeight="1" x14ac:dyDescent="0.2">
      <c r="C157" s="4"/>
      <c r="K157" s="5">
        <f t="shared" si="4"/>
        <v>0</v>
      </c>
      <c r="L157" s="5" t="str">
        <f>IF(OR(TRIM($B157)="",$A157=""),"",IF(OR(ISNUMBER(SEARCH(_xlfn.CONCAT(CHAR(96),CHAR(34)),$A157)),ISNUMBER(SEARCH(_xlfn.CONCAT(CHAR(34),CHAR(39)),$A157))),_xlfn.CONCAT("* REVIEW REQUIRED: compound-quote delimiter in Codebook Section on Sheet 1 row ",157,"; edit the input before running."),_xlfn.CONCAT("char ",TRIM($B157),"[doc_section] ",CHAR(96),CHAR(34),SUBSTITUTE(SUBSTITUTE(SUBSTITUTE(SUBSTITUTE(SUBSTITUTE(SUBSTITUTE($A157,CHAR(13)," "),CHAR(10)," "),CHAR(9)," "),CHAR(92),_xlfn.CONCAT(CHAR(92),CHAR(92))),"$",_xlfn.CONCAT(CHAR(92),"$")),CHAR(96),_xlfn.CONCAT(CHAR(92),CHAR(96))),CHAR(34),CHAR(39))))</f>
        <v/>
      </c>
      <c r="M157" s="5" t="str">
        <f>IF(OR(TRIM($B157)="",$C157=""),"",IF(IFERROR(MATCH(TRIM($C157),{"Quantitative","Continuous","Discrete","Categorical","Nominal","Ordinal","Identifier"},0),0)=0,_xlfn.CONCAT("* REVIEW REQUIRED: invalid Variable Type on Sheet 1 row ",157,"."),_xlfn.CONCAT("char ",TRIM($B157),"[doc_vartype] ",CHAR(96),CHAR(34),SUBSTITUTE(SUBSTITUTE(SUBSTITUTE(SUBSTITUTE(SUBSTITUTE(SUBSTITUTE(LOWER(TRIM($C157)),CHAR(13)," "),CHAR(10)," "),CHAR(9)," "),CHAR(92),_xlfn.CONCAT(CHAR(92),CHAR(92))),"$",_xlfn.CONCAT(CHAR(92),"$")),CHAR(96),_xlfn.CONCAT(CHAR(92),CHAR(96))),CHAR(34),CHAR(39))))</f>
        <v/>
      </c>
      <c r="N157" s="5" t="str">
        <f>IF(OR(TRIM($B157)="",$D157=""),"",IF(OR(ISNUMBER(SEARCH(_xlfn.CONCAT(CHAR(96),CHAR(34)),$D157)),ISNUMBER(SEARCH(_xlfn.CONCAT(CHAR(34),CHAR(39)),$D157))),_xlfn.CONCAT("* REVIEW REQUIRED: compound-quote delimiter in Item Number on Sheet 1 row ",157,"; edit the input before running."),_xlfn.CONCAT("char ",TRIM($B157),"[doc_itemnum] ",CHAR(96),CHAR(34),SUBSTITUTE(SUBSTITUTE(SUBSTITUTE(SUBSTITUTE(SUBSTITUTE(SUBSTITUTE($D157,CHAR(13)," "),CHAR(10)," "),CHAR(9)," "),CHAR(92),_xlfn.CONCAT(CHAR(92),CHAR(92))),"$",_xlfn.CONCAT(CHAR(92),"$")),CHAR(96),_xlfn.CONCAT(CHAR(92),CHAR(96))),CHAR(34),CHAR(39))))</f>
        <v/>
      </c>
      <c r="O157" s="5" t="str">
        <f>IF(OR(TRIM($B157)="",$E157=""),"",IF(OR(ISNUMBER(SEARCH(_xlfn.CONCAT(CHAR(96),CHAR(34)),$E157)),ISNUMBER(SEARCH(_xlfn.CONCAT(CHAR(34),CHAR(39)),$E157))),_xlfn.CONCAT("* REVIEW REQUIRED: compound-quote delimiter in Question Wording on Sheet 1 row ",157,"; edit the input before running."),_xlfn.CONCAT("char ",TRIM($B157),"[doc_question] ",CHAR(96),CHAR(34),SUBSTITUTE(SUBSTITUTE(SUBSTITUTE(SUBSTITUTE(SUBSTITUTE(SUBSTITUTE($E157,CHAR(13)," "),CHAR(10)," "),CHAR(9)," "),CHAR(92),_xlfn.CONCAT(CHAR(92),CHAR(92))),"$",_xlfn.CONCAT(CHAR(92),"$")),CHAR(96),_xlfn.CONCAT(CHAR(92),CHAR(96))),CHAR(34),CHAR(39))))</f>
        <v/>
      </c>
      <c r="P157" s="5" t="str">
        <f>IF(OR(TRIM($B157)="",$F157=""),"",IF(OR(ISNUMBER(SEARCH(_xlfn.CONCAT(CHAR(96),CHAR(34)),$F157)),ISNUMBER(SEARCH(_xlfn.CONCAT(CHAR(34),CHAR(39)),$F157))),_xlfn.CONCAT("* REVIEW REQUIRED: compound-quote delimiter in Units on Sheet 1 row ",157,"; edit the input before running."),_xlfn.CONCAT("char ",TRIM($B157),"[doc_units] ",CHAR(96),CHAR(34),SUBSTITUTE(SUBSTITUTE(SUBSTITUTE(SUBSTITUTE(SUBSTITUTE(SUBSTITUTE($F157,CHAR(13)," "),CHAR(10)," "),CHAR(9)," "),CHAR(92),_xlfn.CONCAT(CHAR(92),CHAR(92))),"$",_xlfn.CONCAT(CHAR(92),"$")),CHAR(96),_xlfn.CONCAT(CHAR(92),CHAR(96))),CHAR(34),CHAR(39))))</f>
        <v/>
      </c>
      <c r="Q157" s="5" t="str">
        <f>IF(OR(TRIM($B157)="",$G157=""),"",IF(OR(ISNUMBER(SEARCH(_xlfn.CONCAT(CHAR(96),CHAR(34)),$G157)),ISNUMBER(SEARCH(_xlfn.CONCAT(CHAR(34),CHAR(39)),$G157))),_xlfn.CONCAT("* REVIEW REQUIRED: compound-quote delimiter in Universe on Sheet 1 row ",157,"; edit the input before running."),_xlfn.CONCAT("char ",TRIM($B157),"[doc_universe] ",CHAR(96),CHAR(34),SUBSTITUTE(SUBSTITUTE(SUBSTITUTE(SUBSTITUTE(SUBSTITUTE(SUBSTITUTE($G157,CHAR(13)," "),CHAR(10)," "),CHAR(9)," "),CHAR(92),_xlfn.CONCAT(CHAR(92),CHAR(92))),"$",_xlfn.CONCAT(CHAR(92),"$")),CHAR(96),_xlfn.CONCAT(CHAR(92),CHAR(96))),CHAR(34),CHAR(39))))</f>
        <v/>
      </c>
      <c r="R157" s="5" t="str">
        <f>IF(OR(TRIM($B157)="",$H157=""),"",IF(OR(ISNUMBER(SEARCH(_xlfn.CONCAT(CHAR(96),CHAR(34)),$H157)),ISNUMBER(SEARCH(_xlfn.CONCAT(CHAR(34),CHAR(39)),$H157))),_xlfn.CONCAT("* REVIEW REQUIRED: compound-quote delimiter in Source on Sheet 1 row ",157,"; edit the input before running."),_xlfn.CONCAT("char ",TRIM($B157),"[doc_source] ",CHAR(96),CHAR(34),SUBSTITUTE(SUBSTITUTE(SUBSTITUTE(SUBSTITUTE(SUBSTITUTE(SUBSTITUTE($H157,CHAR(13)," "),CHAR(10)," "),CHAR(9)," "),CHAR(92),_xlfn.CONCAT(CHAR(92),CHAR(92))),"$",_xlfn.CONCAT(CHAR(92),"$")),CHAR(96),_xlfn.CONCAT(CHAR(92),CHAR(96))),CHAR(34),CHAR(39))))</f>
        <v/>
      </c>
      <c r="S157" s="5" t="str">
        <f>IF(OR(TRIM($B157)="",$I157=""),"",IF(OR(ISNUMBER(SEARCH(_xlfn.CONCAT(CHAR(96),CHAR(34)),$I157)),ISNUMBER(SEARCH(_xlfn.CONCAT(CHAR(34),CHAR(39)),$I157))),_xlfn.CONCAT("* REVIEW REQUIRED: compound-quote delimiter in Derivation on Sheet 1 row ",157,"; edit the input before running."),_xlfn.CONCAT("char ",TRIM($B157),"[doc_derivation] ",CHAR(96),CHAR(34),SUBSTITUTE(SUBSTITUTE(SUBSTITUTE(SUBSTITUTE(SUBSTITUTE(SUBSTITUTE($I157,CHAR(13)," "),CHAR(10)," "),CHAR(9)," "),CHAR(92),_xlfn.CONCAT(CHAR(92),CHAR(92))),"$",_xlfn.CONCAT(CHAR(92),"$")),CHAR(96),_xlfn.CONCAT(CHAR(92),CHAR(96))),CHAR(34),CHAR(39))))</f>
        <v/>
      </c>
      <c r="T157" s="5" t="str">
        <f>IF(OR(TRIM($B157)="",$J157=""),"",IF(OR(ISNUMBER(SEARCH(_xlfn.CONCAT(CHAR(96),CHAR(34)),$J157)),ISNUMBER(SEARCH(_xlfn.CONCAT(CHAR(34),CHAR(39)),$J157))),_xlfn.CONCAT("* REVIEW REQUIRED: compound-quote delimiter in Notes on Sheet 1 row ",157,"; edit the input before running."),_xlfn.CONCAT("char ",TRIM($B157),"[doc_notes] ",CHAR(96),CHAR(34),SUBSTITUTE(SUBSTITUTE(SUBSTITUTE(SUBSTITUTE(SUBSTITUTE(SUBSTITUTE($J157,CHAR(13)," "),CHAR(10)," "),CHAR(9)," "),CHAR(92),_xlfn.CONCAT(CHAR(92),CHAR(92))),"$",_xlfn.CONCAT(CHAR(92),"$")),CHAR(96),_xlfn.CONCAT(CHAR(92),CHAR(96))),CHAR(34),CHAR(39))))</f>
        <v/>
      </c>
      <c r="U157" s="5">
        <f t="shared" si="5"/>
        <v>0</v>
      </c>
    </row>
    <row r="158" spans="3:21" ht="30" customHeight="1" x14ac:dyDescent="0.2">
      <c r="C158" s="4"/>
      <c r="K158" s="5">
        <f t="shared" si="4"/>
        <v>0</v>
      </c>
      <c r="L158" s="5" t="str">
        <f>IF(OR(TRIM($B158)="",$A158=""),"",IF(OR(ISNUMBER(SEARCH(_xlfn.CONCAT(CHAR(96),CHAR(34)),$A158)),ISNUMBER(SEARCH(_xlfn.CONCAT(CHAR(34),CHAR(39)),$A158))),_xlfn.CONCAT("* REVIEW REQUIRED: compound-quote delimiter in Codebook Section on Sheet 1 row ",158,"; edit the input before running."),_xlfn.CONCAT("char ",TRIM($B158),"[doc_section] ",CHAR(96),CHAR(34),SUBSTITUTE(SUBSTITUTE(SUBSTITUTE(SUBSTITUTE(SUBSTITUTE(SUBSTITUTE($A158,CHAR(13)," "),CHAR(10)," "),CHAR(9)," "),CHAR(92),_xlfn.CONCAT(CHAR(92),CHAR(92))),"$",_xlfn.CONCAT(CHAR(92),"$")),CHAR(96),_xlfn.CONCAT(CHAR(92),CHAR(96))),CHAR(34),CHAR(39))))</f>
        <v/>
      </c>
      <c r="M158" s="5" t="str">
        <f>IF(OR(TRIM($B158)="",$C158=""),"",IF(IFERROR(MATCH(TRIM($C158),{"Quantitative","Continuous","Discrete","Categorical","Nominal","Ordinal","Identifier"},0),0)=0,_xlfn.CONCAT("* REVIEW REQUIRED: invalid Variable Type on Sheet 1 row ",158,"."),_xlfn.CONCAT("char ",TRIM($B158),"[doc_vartype] ",CHAR(96),CHAR(34),SUBSTITUTE(SUBSTITUTE(SUBSTITUTE(SUBSTITUTE(SUBSTITUTE(SUBSTITUTE(LOWER(TRIM($C158)),CHAR(13)," "),CHAR(10)," "),CHAR(9)," "),CHAR(92),_xlfn.CONCAT(CHAR(92),CHAR(92))),"$",_xlfn.CONCAT(CHAR(92),"$")),CHAR(96),_xlfn.CONCAT(CHAR(92),CHAR(96))),CHAR(34),CHAR(39))))</f>
        <v/>
      </c>
      <c r="N158" s="5" t="str">
        <f>IF(OR(TRIM($B158)="",$D158=""),"",IF(OR(ISNUMBER(SEARCH(_xlfn.CONCAT(CHAR(96),CHAR(34)),$D158)),ISNUMBER(SEARCH(_xlfn.CONCAT(CHAR(34),CHAR(39)),$D158))),_xlfn.CONCAT("* REVIEW REQUIRED: compound-quote delimiter in Item Number on Sheet 1 row ",158,"; edit the input before running."),_xlfn.CONCAT("char ",TRIM($B158),"[doc_itemnum] ",CHAR(96),CHAR(34),SUBSTITUTE(SUBSTITUTE(SUBSTITUTE(SUBSTITUTE(SUBSTITUTE(SUBSTITUTE($D158,CHAR(13)," "),CHAR(10)," "),CHAR(9)," "),CHAR(92),_xlfn.CONCAT(CHAR(92),CHAR(92))),"$",_xlfn.CONCAT(CHAR(92),"$")),CHAR(96),_xlfn.CONCAT(CHAR(92),CHAR(96))),CHAR(34),CHAR(39))))</f>
        <v/>
      </c>
      <c r="O158" s="5" t="str">
        <f>IF(OR(TRIM($B158)="",$E158=""),"",IF(OR(ISNUMBER(SEARCH(_xlfn.CONCAT(CHAR(96),CHAR(34)),$E158)),ISNUMBER(SEARCH(_xlfn.CONCAT(CHAR(34),CHAR(39)),$E158))),_xlfn.CONCAT("* REVIEW REQUIRED: compound-quote delimiter in Question Wording on Sheet 1 row ",158,"; edit the input before running."),_xlfn.CONCAT("char ",TRIM($B158),"[doc_question] ",CHAR(96),CHAR(34),SUBSTITUTE(SUBSTITUTE(SUBSTITUTE(SUBSTITUTE(SUBSTITUTE(SUBSTITUTE($E158,CHAR(13)," "),CHAR(10)," "),CHAR(9)," "),CHAR(92),_xlfn.CONCAT(CHAR(92),CHAR(92))),"$",_xlfn.CONCAT(CHAR(92),"$")),CHAR(96),_xlfn.CONCAT(CHAR(92),CHAR(96))),CHAR(34),CHAR(39))))</f>
        <v/>
      </c>
      <c r="P158" s="5" t="str">
        <f>IF(OR(TRIM($B158)="",$F158=""),"",IF(OR(ISNUMBER(SEARCH(_xlfn.CONCAT(CHAR(96),CHAR(34)),$F158)),ISNUMBER(SEARCH(_xlfn.CONCAT(CHAR(34),CHAR(39)),$F158))),_xlfn.CONCAT("* REVIEW REQUIRED: compound-quote delimiter in Units on Sheet 1 row ",158,"; edit the input before running."),_xlfn.CONCAT("char ",TRIM($B158),"[doc_units] ",CHAR(96),CHAR(34),SUBSTITUTE(SUBSTITUTE(SUBSTITUTE(SUBSTITUTE(SUBSTITUTE(SUBSTITUTE($F158,CHAR(13)," "),CHAR(10)," "),CHAR(9)," "),CHAR(92),_xlfn.CONCAT(CHAR(92),CHAR(92))),"$",_xlfn.CONCAT(CHAR(92),"$")),CHAR(96),_xlfn.CONCAT(CHAR(92),CHAR(96))),CHAR(34),CHAR(39))))</f>
        <v/>
      </c>
      <c r="Q158" s="5" t="str">
        <f>IF(OR(TRIM($B158)="",$G158=""),"",IF(OR(ISNUMBER(SEARCH(_xlfn.CONCAT(CHAR(96),CHAR(34)),$G158)),ISNUMBER(SEARCH(_xlfn.CONCAT(CHAR(34),CHAR(39)),$G158))),_xlfn.CONCAT("* REVIEW REQUIRED: compound-quote delimiter in Universe on Sheet 1 row ",158,"; edit the input before running."),_xlfn.CONCAT("char ",TRIM($B158),"[doc_universe] ",CHAR(96),CHAR(34),SUBSTITUTE(SUBSTITUTE(SUBSTITUTE(SUBSTITUTE(SUBSTITUTE(SUBSTITUTE($G158,CHAR(13)," "),CHAR(10)," "),CHAR(9)," "),CHAR(92),_xlfn.CONCAT(CHAR(92),CHAR(92))),"$",_xlfn.CONCAT(CHAR(92),"$")),CHAR(96),_xlfn.CONCAT(CHAR(92),CHAR(96))),CHAR(34),CHAR(39))))</f>
        <v/>
      </c>
      <c r="R158" s="5" t="str">
        <f>IF(OR(TRIM($B158)="",$H158=""),"",IF(OR(ISNUMBER(SEARCH(_xlfn.CONCAT(CHAR(96),CHAR(34)),$H158)),ISNUMBER(SEARCH(_xlfn.CONCAT(CHAR(34),CHAR(39)),$H158))),_xlfn.CONCAT("* REVIEW REQUIRED: compound-quote delimiter in Source on Sheet 1 row ",158,"; edit the input before running."),_xlfn.CONCAT("char ",TRIM($B158),"[doc_source] ",CHAR(96),CHAR(34),SUBSTITUTE(SUBSTITUTE(SUBSTITUTE(SUBSTITUTE(SUBSTITUTE(SUBSTITUTE($H158,CHAR(13)," "),CHAR(10)," "),CHAR(9)," "),CHAR(92),_xlfn.CONCAT(CHAR(92),CHAR(92))),"$",_xlfn.CONCAT(CHAR(92),"$")),CHAR(96),_xlfn.CONCAT(CHAR(92),CHAR(96))),CHAR(34),CHAR(39))))</f>
        <v/>
      </c>
      <c r="S158" s="5" t="str">
        <f>IF(OR(TRIM($B158)="",$I158=""),"",IF(OR(ISNUMBER(SEARCH(_xlfn.CONCAT(CHAR(96),CHAR(34)),$I158)),ISNUMBER(SEARCH(_xlfn.CONCAT(CHAR(34),CHAR(39)),$I158))),_xlfn.CONCAT("* REVIEW REQUIRED: compound-quote delimiter in Derivation on Sheet 1 row ",158,"; edit the input before running."),_xlfn.CONCAT("char ",TRIM($B158),"[doc_derivation] ",CHAR(96),CHAR(34),SUBSTITUTE(SUBSTITUTE(SUBSTITUTE(SUBSTITUTE(SUBSTITUTE(SUBSTITUTE($I158,CHAR(13)," "),CHAR(10)," "),CHAR(9)," "),CHAR(92),_xlfn.CONCAT(CHAR(92),CHAR(92))),"$",_xlfn.CONCAT(CHAR(92),"$")),CHAR(96),_xlfn.CONCAT(CHAR(92),CHAR(96))),CHAR(34),CHAR(39))))</f>
        <v/>
      </c>
      <c r="T158" s="5" t="str">
        <f>IF(OR(TRIM($B158)="",$J158=""),"",IF(OR(ISNUMBER(SEARCH(_xlfn.CONCAT(CHAR(96),CHAR(34)),$J158)),ISNUMBER(SEARCH(_xlfn.CONCAT(CHAR(34),CHAR(39)),$J158))),_xlfn.CONCAT("* REVIEW REQUIRED: compound-quote delimiter in Notes on Sheet 1 row ",158,"; edit the input before running."),_xlfn.CONCAT("char ",TRIM($B158),"[doc_notes] ",CHAR(96),CHAR(34),SUBSTITUTE(SUBSTITUTE(SUBSTITUTE(SUBSTITUTE(SUBSTITUTE(SUBSTITUTE($J158,CHAR(13)," "),CHAR(10)," "),CHAR(9)," "),CHAR(92),_xlfn.CONCAT(CHAR(92),CHAR(92))),"$",_xlfn.CONCAT(CHAR(92),"$")),CHAR(96),_xlfn.CONCAT(CHAR(92),CHAR(96))),CHAR(34),CHAR(39))))</f>
        <v/>
      </c>
      <c r="U158" s="5">
        <f t="shared" si="5"/>
        <v>0</v>
      </c>
    </row>
    <row r="159" spans="3:21" ht="30" customHeight="1" x14ac:dyDescent="0.2">
      <c r="C159" s="4"/>
      <c r="K159" s="5">
        <f t="shared" si="4"/>
        <v>0</v>
      </c>
      <c r="L159" s="5" t="str">
        <f>IF(OR(TRIM($B159)="",$A159=""),"",IF(OR(ISNUMBER(SEARCH(_xlfn.CONCAT(CHAR(96),CHAR(34)),$A159)),ISNUMBER(SEARCH(_xlfn.CONCAT(CHAR(34),CHAR(39)),$A159))),_xlfn.CONCAT("* REVIEW REQUIRED: compound-quote delimiter in Codebook Section on Sheet 1 row ",159,"; edit the input before running."),_xlfn.CONCAT("char ",TRIM($B159),"[doc_section] ",CHAR(96),CHAR(34),SUBSTITUTE(SUBSTITUTE(SUBSTITUTE(SUBSTITUTE(SUBSTITUTE(SUBSTITUTE($A159,CHAR(13)," "),CHAR(10)," "),CHAR(9)," "),CHAR(92),_xlfn.CONCAT(CHAR(92),CHAR(92))),"$",_xlfn.CONCAT(CHAR(92),"$")),CHAR(96),_xlfn.CONCAT(CHAR(92),CHAR(96))),CHAR(34),CHAR(39))))</f>
        <v/>
      </c>
      <c r="M159" s="5" t="str">
        <f>IF(OR(TRIM($B159)="",$C159=""),"",IF(IFERROR(MATCH(TRIM($C159),{"Quantitative","Continuous","Discrete","Categorical","Nominal","Ordinal","Identifier"},0),0)=0,_xlfn.CONCAT("* REVIEW REQUIRED: invalid Variable Type on Sheet 1 row ",159,"."),_xlfn.CONCAT("char ",TRIM($B159),"[doc_vartype] ",CHAR(96),CHAR(34),SUBSTITUTE(SUBSTITUTE(SUBSTITUTE(SUBSTITUTE(SUBSTITUTE(SUBSTITUTE(LOWER(TRIM($C159)),CHAR(13)," "),CHAR(10)," "),CHAR(9)," "),CHAR(92),_xlfn.CONCAT(CHAR(92),CHAR(92))),"$",_xlfn.CONCAT(CHAR(92),"$")),CHAR(96),_xlfn.CONCAT(CHAR(92),CHAR(96))),CHAR(34),CHAR(39))))</f>
        <v/>
      </c>
      <c r="N159" s="5" t="str">
        <f>IF(OR(TRIM($B159)="",$D159=""),"",IF(OR(ISNUMBER(SEARCH(_xlfn.CONCAT(CHAR(96),CHAR(34)),$D159)),ISNUMBER(SEARCH(_xlfn.CONCAT(CHAR(34),CHAR(39)),$D159))),_xlfn.CONCAT("* REVIEW REQUIRED: compound-quote delimiter in Item Number on Sheet 1 row ",159,"; edit the input before running."),_xlfn.CONCAT("char ",TRIM($B159),"[doc_itemnum] ",CHAR(96),CHAR(34),SUBSTITUTE(SUBSTITUTE(SUBSTITUTE(SUBSTITUTE(SUBSTITUTE(SUBSTITUTE($D159,CHAR(13)," "),CHAR(10)," "),CHAR(9)," "),CHAR(92),_xlfn.CONCAT(CHAR(92),CHAR(92))),"$",_xlfn.CONCAT(CHAR(92),"$")),CHAR(96),_xlfn.CONCAT(CHAR(92),CHAR(96))),CHAR(34),CHAR(39))))</f>
        <v/>
      </c>
      <c r="O159" s="5" t="str">
        <f>IF(OR(TRIM($B159)="",$E159=""),"",IF(OR(ISNUMBER(SEARCH(_xlfn.CONCAT(CHAR(96),CHAR(34)),$E159)),ISNUMBER(SEARCH(_xlfn.CONCAT(CHAR(34),CHAR(39)),$E159))),_xlfn.CONCAT("* REVIEW REQUIRED: compound-quote delimiter in Question Wording on Sheet 1 row ",159,"; edit the input before running."),_xlfn.CONCAT("char ",TRIM($B159),"[doc_question] ",CHAR(96),CHAR(34),SUBSTITUTE(SUBSTITUTE(SUBSTITUTE(SUBSTITUTE(SUBSTITUTE(SUBSTITUTE($E159,CHAR(13)," "),CHAR(10)," "),CHAR(9)," "),CHAR(92),_xlfn.CONCAT(CHAR(92),CHAR(92))),"$",_xlfn.CONCAT(CHAR(92),"$")),CHAR(96),_xlfn.CONCAT(CHAR(92),CHAR(96))),CHAR(34),CHAR(39))))</f>
        <v/>
      </c>
      <c r="P159" s="5" t="str">
        <f>IF(OR(TRIM($B159)="",$F159=""),"",IF(OR(ISNUMBER(SEARCH(_xlfn.CONCAT(CHAR(96),CHAR(34)),$F159)),ISNUMBER(SEARCH(_xlfn.CONCAT(CHAR(34),CHAR(39)),$F159))),_xlfn.CONCAT("* REVIEW REQUIRED: compound-quote delimiter in Units on Sheet 1 row ",159,"; edit the input before running."),_xlfn.CONCAT("char ",TRIM($B159),"[doc_units] ",CHAR(96),CHAR(34),SUBSTITUTE(SUBSTITUTE(SUBSTITUTE(SUBSTITUTE(SUBSTITUTE(SUBSTITUTE($F159,CHAR(13)," "),CHAR(10)," "),CHAR(9)," "),CHAR(92),_xlfn.CONCAT(CHAR(92),CHAR(92))),"$",_xlfn.CONCAT(CHAR(92),"$")),CHAR(96),_xlfn.CONCAT(CHAR(92),CHAR(96))),CHAR(34),CHAR(39))))</f>
        <v/>
      </c>
      <c r="Q159" s="5" t="str">
        <f>IF(OR(TRIM($B159)="",$G159=""),"",IF(OR(ISNUMBER(SEARCH(_xlfn.CONCAT(CHAR(96),CHAR(34)),$G159)),ISNUMBER(SEARCH(_xlfn.CONCAT(CHAR(34),CHAR(39)),$G159))),_xlfn.CONCAT("* REVIEW REQUIRED: compound-quote delimiter in Universe on Sheet 1 row ",159,"; edit the input before running."),_xlfn.CONCAT("char ",TRIM($B159),"[doc_universe] ",CHAR(96),CHAR(34),SUBSTITUTE(SUBSTITUTE(SUBSTITUTE(SUBSTITUTE(SUBSTITUTE(SUBSTITUTE($G159,CHAR(13)," "),CHAR(10)," "),CHAR(9)," "),CHAR(92),_xlfn.CONCAT(CHAR(92),CHAR(92))),"$",_xlfn.CONCAT(CHAR(92),"$")),CHAR(96),_xlfn.CONCAT(CHAR(92),CHAR(96))),CHAR(34),CHAR(39))))</f>
        <v/>
      </c>
      <c r="R159" s="5" t="str">
        <f>IF(OR(TRIM($B159)="",$H159=""),"",IF(OR(ISNUMBER(SEARCH(_xlfn.CONCAT(CHAR(96),CHAR(34)),$H159)),ISNUMBER(SEARCH(_xlfn.CONCAT(CHAR(34),CHAR(39)),$H159))),_xlfn.CONCAT("* REVIEW REQUIRED: compound-quote delimiter in Source on Sheet 1 row ",159,"; edit the input before running."),_xlfn.CONCAT("char ",TRIM($B159),"[doc_source] ",CHAR(96),CHAR(34),SUBSTITUTE(SUBSTITUTE(SUBSTITUTE(SUBSTITUTE(SUBSTITUTE(SUBSTITUTE($H159,CHAR(13)," "),CHAR(10)," "),CHAR(9)," "),CHAR(92),_xlfn.CONCAT(CHAR(92),CHAR(92))),"$",_xlfn.CONCAT(CHAR(92),"$")),CHAR(96),_xlfn.CONCAT(CHAR(92),CHAR(96))),CHAR(34),CHAR(39))))</f>
        <v/>
      </c>
      <c r="S159" s="5" t="str">
        <f>IF(OR(TRIM($B159)="",$I159=""),"",IF(OR(ISNUMBER(SEARCH(_xlfn.CONCAT(CHAR(96),CHAR(34)),$I159)),ISNUMBER(SEARCH(_xlfn.CONCAT(CHAR(34),CHAR(39)),$I159))),_xlfn.CONCAT("* REVIEW REQUIRED: compound-quote delimiter in Derivation on Sheet 1 row ",159,"; edit the input before running."),_xlfn.CONCAT("char ",TRIM($B159),"[doc_derivation] ",CHAR(96),CHAR(34),SUBSTITUTE(SUBSTITUTE(SUBSTITUTE(SUBSTITUTE(SUBSTITUTE(SUBSTITUTE($I159,CHAR(13)," "),CHAR(10)," "),CHAR(9)," "),CHAR(92),_xlfn.CONCAT(CHAR(92),CHAR(92))),"$",_xlfn.CONCAT(CHAR(92),"$")),CHAR(96),_xlfn.CONCAT(CHAR(92),CHAR(96))),CHAR(34),CHAR(39))))</f>
        <v/>
      </c>
      <c r="T159" s="5" t="str">
        <f>IF(OR(TRIM($B159)="",$J159=""),"",IF(OR(ISNUMBER(SEARCH(_xlfn.CONCAT(CHAR(96),CHAR(34)),$J159)),ISNUMBER(SEARCH(_xlfn.CONCAT(CHAR(34),CHAR(39)),$J159))),_xlfn.CONCAT("* REVIEW REQUIRED: compound-quote delimiter in Notes on Sheet 1 row ",159,"; edit the input before running."),_xlfn.CONCAT("char ",TRIM($B159),"[doc_notes] ",CHAR(96),CHAR(34),SUBSTITUTE(SUBSTITUTE(SUBSTITUTE(SUBSTITUTE(SUBSTITUTE(SUBSTITUTE($J159,CHAR(13)," "),CHAR(10)," "),CHAR(9)," "),CHAR(92),_xlfn.CONCAT(CHAR(92),CHAR(92))),"$",_xlfn.CONCAT(CHAR(92),"$")),CHAR(96),_xlfn.CONCAT(CHAR(92),CHAR(96))),CHAR(34),CHAR(39))))</f>
        <v/>
      </c>
      <c r="U159" s="5">
        <f t="shared" si="5"/>
        <v>0</v>
      </c>
    </row>
    <row r="160" spans="3:21" ht="30" customHeight="1" x14ac:dyDescent="0.2">
      <c r="C160" s="4"/>
      <c r="K160" s="5">
        <f t="shared" si="4"/>
        <v>0</v>
      </c>
      <c r="L160" s="5" t="str">
        <f>IF(OR(TRIM($B160)="",$A160=""),"",IF(OR(ISNUMBER(SEARCH(_xlfn.CONCAT(CHAR(96),CHAR(34)),$A160)),ISNUMBER(SEARCH(_xlfn.CONCAT(CHAR(34),CHAR(39)),$A160))),_xlfn.CONCAT("* REVIEW REQUIRED: compound-quote delimiter in Codebook Section on Sheet 1 row ",160,"; edit the input before running."),_xlfn.CONCAT("char ",TRIM($B160),"[doc_section] ",CHAR(96),CHAR(34),SUBSTITUTE(SUBSTITUTE(SUBSTITUTE(SUBSTITUTE(SUBSTITUTE(SUBSTITUTE($A160,CHAR(13)," "),CHAR(10)," "),CHAR(9)," "),CHAR(92),_xlfn.CONCAT(CHAR(92),CHAR(92))),"$",_xlfn.CONCAT(CHAR(92),"$")),CHAR(96),_xlfn.CONCAT(CHAR(92),CHAR(96))),CHAR(34),CHAR(39))))</f>
        <v/>
      </c>
      <c r="M160" s="5" t="str">
        <f>IF(OR(TRIM($B160)="",$C160=""),"",IF(IFERROR(MATCH(TRIM($C160),{"Quantitative","Continuous","Discrete","Categorical","Nominal","Ordinal","Identifier"},0),0)=0,_xlfn.CONCAT("* REVIEW REQUIRED: invalid Variable Type on Sheet 1 row ",160,"."),_xlfn.CONCAT("char ",TRIM($B160),"[doc_vartype] ",CHAR(96),CHAR(34),SUBSTITUTE(SUBSTITUTE(SUBSTITUTE(SUBSTITUTE(SUBSTITUTE(SUBSTITUTE(LOWER(TRIM($C160)),CHAR(13)," "),CHAR(10)," "),CHAR(9)," "),CHAR(92),_xlfn.CONCAT(CHAR(92),CHAR(92))),"$",_xlfn.CONCAT(CHAR(92),"$")),CHAR(96),_xlfn.CONCAT(CHAR(92),CHAR(96))),CHAR(34),CHAR(39))))</f>
        <v/>
      </c>
      <c r="N160" s="5" t="str">
        <f>IF(OR(TRIM($B160)="",$D160=""),"",IF(OR(ISNUMBER(SEARCH(_xlfn.CONCAT(CHAR(96),CHAR(34)),$D160)),ISNUMBER(SEARCH(_xlfn.CONCAT(CHAR(34),CHAR(39)),$D160))),_xlfn.CONCAT("* REVIEW REQUIRED: compound-quote delimiter in Item Number on Sheet 1 row ",160,"; edit the input before running."),_xlfn.CONCAT("char ",TRIM($B160),"[doc_itemnum] ",CHAR(96),CHAR(34),SUBSTITUTE(SUBSTITUTE(SUBSTITUTE(SUBSTITUTE(SUBSTITUTE(SUBSTITUTE($D160,CHAR(13)," "),CHAR(10)," "),CHAR(9)," "),CHAR(92),_xlfn.CONCAT(CHAR(92),CHAR(92))),"$",_xlfn.CONCAT(CHAR(92),"$")),CHAR(96),_xlfn.CONCAT(CHAR(92),CHAR(96))),CHAR(34),CHAR(39))))</f>
        <v/>
      </c>
      <c r="O160" s="5" t="str">
        <f>IF(OR(TRIM($B160)="",$E160=""),"",IF(OR(ISNUMBER(SEARCH(_xlfn.CONCAT(CHAR(96),CHAR(34)),$E160)),ISNUMBER(SEARCH(_xlfn.CONCAT(CHAR(34),CHAR(39)),$E160))),_xlfn.CONCAT("* REVIEW REQUIRED: compound-quote delimiter in Question Wording on Sheet 1 row ",160,"; edit the input before running."),_xlfn.CONCAT("char ",TRIM($B160),"[doc_question] ",CHAR(96),CHAR(34),SUBSTITUTE(SUBSTITUTE(SUBSTITUTE(SUBSTITUTE(SUBSTITUTE(SUBSTITUTE($E160,CHAR(13)," "),CHAR(10)," "),CHAR(9)," "),CHAR(92),_xlfn.CONCAT(CHAR(92),CHAR(92))),"$",_xlfn.CONCAT(CHAR(92),"$")),CHAR(96),_xlfn.CONCAT(CHAR(92),CHAR(96))),CHAR(34),CHAR(39))))</f>
        <v/>
      </c>
      <c r="P160" s="5" t="str">
        <f>IF(OR(TRIM($B160)="",$F160=""),"",IF(OR(ISNUMBER(SEARCH(_xlfn.CONCAT(CHAR(96),CHAR(34)),$F160)),ISNUMBER(SEARCH(_xlfn.CONCAT(CHAR(34),CHAR(39)),$F160))),_xlfn.CONCAT("* REVIEW REQUIRED: compound-quote delimiter in Units on Sheet 1 row ",160,"; edit the input before running."),_xlfn.CONCAT("char ",TRIM($B160),"[doc_units] ",CHAR(96),CHAR(34),SUBSTITUTE(SUBSTITUTE(SUBSTITUTE(SUBSTITUTE(SUBSTITUTE(SUBSTITUTE($F160,CHAR(13)," "),CHAR(10)," "),CHAR(9)," "),CHAR(92),_xlfn.CONCAT(CHAR(92),CHAR(92))),"$",_xlfn.CONCAT(CHAR(92),"$")),CHAR(96),_xlfn.CONCAT(CHAR(92),CHAR(96))),CHAR(34),CHAR(39))))</f>
        <v/>
      </c>
      <c r="Q160" s="5" t="str">
        <f>IF(OR(TRIM($B160)="",$G160=""),"",IF(OR(ISNUMBER(SEARCH(_xlfn.CONCAT(CHAR(96),CHAR(34)),$G160)),ISNUMBER(SEARCH(_xlfn.CONCAT(CHAR(34),CHAR(39)),$G160))),_xlfn.CONCAT("* REVIEW REQUIRED: compound-quote delimiter in Universe on Sheet 1 row ",160,"; edit the input before running."),_xlfn.CONCAT("char ",TRIM($B160),"[doc_universe] ",CHAR(96),CHAR(34),SUBSTITUTE(SUBSTITUTE(SUBSTITUTE(SUBSTITUTE(SUBSTITUTE(SUBSTITUTE($G160,CHAR(13)," "),CHAR(10)," "),CHAR(9)," "),CHAR(92),_xlfn.CONCAT(CHAR(92),CHAR(92))),"$",_xlfn.CONCAT(CHAR(92),"$")),CHAR(96),_xlfn.CONCAT(CHAR(92),CHAR(96))),CHAR(34),CHAR(39))))</f>
        <v/>
      </c>
      <c r="R160" s="5" t="str">
        <f>IF(OR(TRIM($B160)="",$H160=""),"",IF(OR(ISNUMBER(SEARCH(_xlfn.CONCAT(CHAR(96),CHAR(34)),$H160)),ISNUMBER(SEARCH(_xlfn.CONCAT(CHAR(34),CHAR(39)),$H160))),_xlfn.CONCAT("* REVIEW REQUIRED: compound-quote delimiter in Source on Sheet 1 row ",160,"; edit the input before running."),_xlfn.CONCAT("char ",TRIM($B160),"[doc_source] ",CHAR(96),CHAR(34),SUBSTITUTE(SUBSTITUTE(SUBSTITUTE(SUBSTITUTE(SUBSTITUTE(SUBSTITUTE($H160,CHAR(13)," "),CHAR(10)," "),CHAR(9)," "),CHAR(92),_xlfn.CONCAT(CHAR(92),CHAR(92))),"$",_xlfn.CONCAT(CHAR(92),"$")),CHAR(96),_xlfn.CONCAT(CHAR(92),CHAR(96))),CHAR(34),CHAR(39))))</f>
        <v/>
      </c>
      <c r="S160" s="5" t="str">
        <f>IF(OR(TRIM($B160)="",$I160=""),"",IF(OR(ISNUMBER(SEARCH(_xlfn.CONCAT(CHAR(96),CHAR(34)),$I160)),ISNUMBER(SEARCH(_xlfn.CONCAT(CHAR(34),CHAR(39)),$I160))),_xlfn.CONCAT("* REVIEW REQUIRED: compound-quote delimiter in Derivation on Sheet 1 row ",160,"; edit the input before running."),_xlfn.CONCAT("char ",TRIM($B160),"[doc_derivation] ",CHAR(96),CHAR(34),SUBSTITUTE(SUBSTITUTE(SUBSTITUTE(SUBSTITUTE(SUBSTITUTE(SUBSTITUTE($I160,CHAR(13)," "),CHAR(10)," "),CHAR(9)," "),CHAR(92),_xlfn.CONCAT(CHAR(92),CHAR(92))),"$",_xlfn.CONCAT(CHAR(92),"$")),CHAR(96),_xlfn.CONCAT(CHAR(92),CHAR(96))),CHAR(34),CHAR(39))))</f>
        <v/>
      </c>
      <c r="T160" s="5" t="str">
        <f>IF(OR(TRIM($B160)="",$J160=""),"",IF(OR(ISNUMBER(SEARCH(_xlfn.CONCAT(CHAR(96),CHAR(34)),$J160)),ISNUMBER(SEARCH(_xlfn.CONCAT(CHAR(34),CHAR(39)),$J160))),_xlfn.CONCAT("* REVIEW REQUIRED: compound-quote delimiter in Notes on Sheet 1 row ",160,"; edit the input before running."),_xlfn.CONCAT("char ",TRIM($B160),"[doc_notes] ",CHAR(96),CHAR(34),SUBSTITUTE(SUBSTITUTE(SUBSTITUTE(SUBSTITUTE(SUBSTITUTE(SUBSTITUTE($J160,CHAR(13)," "),CHAR(10)," "),CHAR(9)," "),CHAR(92),_xlfn.CONCAT(CHAR(92),CHAR(92))),"$",_xlfn.CONCAT(CHAR(92),"$")),CHAR(96),_xlfn.CONCAT(CHAR(92),CHAR(96))),CHAR(34),CHAR(39))))</f>
        <v/>
      </c>
      <c r="U160" s="5">
        <f t="shared" si="5"/>
        <v>0</v>
      </c>
    </row>
    <row r="161" spans="3:21" ht="30" customHeight="1" x14ac:dyDescent="0.2">
      <c r="C161" s="4"/>
      <c r="K161" s="5">
        <f t="shared" si="4"/>
        <v>0</v>
      </c>
      <c r="L161" s="5" t="str">
        <f>IF(OR(TRIM($B161)="",$A161=""),"",IF(OR(ISNUMBER(SEARCH(_xlfn.CONCAT(CHAR(96),CHAR(34)),$A161)),ISNUMBER(SEARCH(_xlfn.CONCAT(CHAR(34),CHAR(39)),$A161))),_xlfn.CONCAT("* REVIEW REQUIRED: compound-quote delimiter in Codebook Section on Sheet 1 row ",161,"; edit the input before running."),_xlfn.CONCAT("char ",TRIM($B161),"[doc_section] ",CHAR(96),CHAR(34),SUBSTITUTE(SUBSTITUTE(SUBSTITUTE(SUBSTITUTE(SUBSTITUTE(SUBSTITUTE($A161,CHAR(13)," "),CHAR(10)," "),CHAR(9)," "),CHAR(92),_xlfn.CONCAT(CHAR(92),CHAR(92))),"$",_xlfn.CONCAT(CHAR(92),"$")),CHAR(96),_xlfn.CONCAT(CHAR(92),CHAR(96))),CHAR(34),CHAR(39))))</f>
        <v/>
      </c>
      <c r="M161" s="5" t="str">
        <f>IF(OR(TRIM($B161)="",$C161=""),"",IF(IFERROR(MATCH(TRIM($C161),{"Quantitative","Continuous","Discrete","Categorical","Nominal","Ordinal","Identifier"},0),0)=0,_xlfn.CONCAT("* REVIEW REQUIRED: invalid Variable Type on Sheet 1 row ",161,"."),_xlfn.CONCAT("char ",TRIM($B161),"[doc_vartype] ",CHAR(96),CHAR(34),SUBSTITUTE(SUBSTITUTE(SUBSTITUTE(SUBSTITUTE(SUBSTITUTE(SUBSTITUTE(LOWER(TRIM($C161)),CHAR(13)," "),CHAR(10)," "),CHAR(9)," "),CHAR(92),_xlfn.CONCAT(CHAR(92),CHAR(92))),"$",_xlfn.CONCAT(CHAR(92),"$")),CHAR(96),_xlfn.CONCAT(CHAR(92),CHAR(96))),CHAR(34),CHAR(39))))</f>
        <v/>
      </c>
      <c r="N161" s="5" t="str">
        <f>IF(OR(TRIM($B161)="",$D161=""),"",IF(OR(ISNUMBER(SEARCH(_xlfn.CONCAT(CHAR(96),CHAR(34)),$D161)),ISNUMBER(SEARCH(_xlfn.CONCAT(CHAR(34),CHAR(39)),$D161))),_xlfn.CONCAT("* REVIEW REQUIRED: compound-quote delimiter in Item Number on Sheet 1 row ",161,"; edit the input before running."),_xlfn.CONCAT("char ",TRIM($B161),"[doc_itemnum] ",CHAR(96),CHAR(34),SUBSTITUTE(SUBSTITUTE(SUBSTITUTE(SUBSTITUTE(SUBSTITUTE(SUBSTITUTE($D161,CHAR(13)," "),CHAR(10)," "),CHAR(9)," "),CHAR(92),_xlfn.CONCAT(CHAR(92),CHAR(92))),"$",_xlfn.CONCAT(CHAR(92),"$")),CHAR(96),_xlfn.CONCAT(CHAR(92),CHAR(96))),CHAR(34),CHAR(39))))</f>
        <v/>
      </c>
      <c r="O161" s="5" t="str">
        <f>IF(OR(TRIM($B161)="",$E161=""),"",IF(OR(ISNUMBER(SEARCH(_xlfn.CONCAT(CHAR(96),CHAR(34)),$E161)),ISNUMBER(SEARCH(_xlfn.CONCAT(CHAR(34),CHAR(39)),$E161))),_xlfn.CONCAT("* REVIEW REQUIRED: compound-quote delimiter in Question Wording on Sheet 1 row ",161,"; edit the input before running."),_xlfn.CONCAT("char ",TRIM($B161),"[doc_question] ",CHAR(96),CHAR(34),SUBSTITUTE(SUBSTITUTE(SUBSTITUTE(SUBSTITUTE(SUBSTITUTE(SUBSTITUTE($E161,CHAR(13)," "),CHAR(10)," "),CHAR(9)," "),CHAR(92),_xlfn.CONCAT(CHAR(92),CHAR(92))),"$",_xlfn.CONCAT(CHAR(92),"$")),CHAR(96),_xlfn.CONCAT(CHAR(92),CHAR(96))),CHAR(34),CHAR(39))))</f>
        <v/>
      </c>
      <c r="P161" s="5" t="str">
        <f>IF(OR(TRIM($B161)="",$F161=""),"",IF(OR(ISNUMBER(SEARCH(_xlfn.CONCAT(CHAR(96),CHAR(34)),$F161)),ISNUMBER(SEARCH(_xlfn.CONCAT(CHAR(34),CHAR(39)),$F161))),_xlfn.CONCAT("* REVIEW REQUIRED: compound-quote delimiter in Units on Sheet 1 row ",161,"; edit the input before running."),_xlfn.CONCAT("char ",TRIM($B161),"[doc_units] ",CHAR(96),CHAR(34),SUBSTITUTE(SUBSTITUTE(SUBSTITUTE(SUBSTITUTE(SUBSTITUTE(SUBSTITUTE($F161,CHAR(13)," "),CHAR(10)," "),CHAR(9)," "),CHAR(92),_xlfn.CONCAT(CHAR(92),CHAR(92))),"$",_xlfn.CONCAT(CHAR(92),"$")),CHAR(96),_xlfn.CONCAT(CHAR(92),CHAR(96))),CHAR(34),CHAR(39))))</f>
        <v/>
      </c>
      <c r="Q161" s="5" t="str">
        <f>IF(OR(TRIM($B161)="",$G161=""),"",IF(OR(ISNUMBER(SEARCH(_xlfn.CONCAT(CHAR(96),CHAR(34)),$G161)),ISNUMBER(SEARCH(_xlfn.CONCAT(CHAR(34),CHAR(39)),$G161))),_xlfn.CONCAT("* REVIEW REQUIRED: compound-quote delimiter in Universe on Sheet 1 row ",161,"; edit the input before running."),_xlfn.CONCAT("char ",TRIM($B161),"[doc_universe] ",CHAR(96),CHAR(34),SUBSTITUTE(SUBSTITUTE(SUBSTITUTE(SUBSTITUTE(SUBSTITUTE(SUBSTITUTE($G161,CHAR(13)," "),CHAR(10)," "),CHAR(9)," "),CHAR(92),_xlfn.CONCAT(CHAR(92),CHAR(92))),"$",_xlfn.CONCAT(CHAR(92),"$")),CHAR(96),_xlfn.CONCAT(CHAR(92),CHAR(96))),CHAR(34),CHAR(39))))</f>
        <v/>
      </c>
      <c r="R161" s="5" t="str">
        <f>IF(OR(TRIM($B161)="",$H161=""),"",IF(OR(ISNUMBER(SEARCH(_xlfn.CONCAT(CHAR(96),CHAR(34)),$H161)),ISNUMBER(SEARCH(_xlfn.CONCAT(CHAR(34),CHAR(39)),$H161))),_xlfn.CONCAT("* REVIEW REQUIRED: compound-quote delimiter in Source on Sheet 1 row ",161,"; edit the input before running."),_xlfn.CONCAT("char ",TRIM($B161),"[doc_source] ",CHAR(96),CHAR(34),SUBSTITUTE(SUBSTITUTE(SUBSTITUTE(SUBSTITUTE(SUBSTITUTE(SUBSTITUTE($H161,CHAR(13)," "),CHAR(10)," "),CHAR(9)," "),CHAR(92),_xlfn.CONCAT(CHAR(92),CHAR(92))),"$",_xlfn.CONCAT(CHAR(92),"$")),CHAR(96),_xlfn.CONCAT(CHAR(92),CHAR(96))),CHAR(34),CHAR(39))))</f>
        <v/>
      </c>
      <c r="S161" s="5" t="str">
        <f>IF(OR(TRIM($B161)="",$I161=""),"",IF(OR(ISNUMBER(SEARCH(_xlfn.CONCAT(CHAR(96),CHAR(34)),$I161)),ISNUMBER(SEARCH(_xlfn.CONCAT(CHAR(34),CHAR(39)),$I161))),_xlfn.CONCAT("* REVIEW REQUIRED: compound-quote delimiter in Derivation on Sheet 1 row ",161,"; edit the input before running."),_xlfn.CONCAT("char ",TRIM($B161),"[doc_derivation] ",CHAR(96),CHAR(34),SUBSTITUTE(SUBSTITUTE(SUBSTITUTE(SUBSTITUTE(SUBSTITUTE(SUBSTITUTE($I161,CHAR(13)," "),CHAR(10)," "),CHAR(9)," "),CHAR(92),_xlfn.CONCAT(CHAR(92),CHAR(92))),"$",_xlfn.CONCAT(CHAR(92),"$")),CHAR(96),_xlfn.CONCAT(CHAR(92),CHAR(96))),CHAR(34),CHAR(39))))</f>
        <v/>
      </c>
      <c r="T161" s="5" t="str">
        <f>IF(OR(TRIM($B161)="",$J161=""),"",IF(OR(ISNUMBER(SEARCH(_xlfn.CONCAT(CHAR(96),CHAR(34)),$J161)),ISNUMBER(SEARCH(_xlfn.CONCAT(CHAR(34),CHAR(39)),$J161))),_xlfn.CONCAT("* REVIEW REQUIRED: compound-quote delimiter in Notes on Sheet 1 row ",161,"; edit the input before running."),_xlfn.CONCAT("char ",TRIM($B161),"[doc_notes] ",CHAR(96),CHAR(34),SUBSTITUTE(SUBSTITUTE(SUBSTITUTE(SUBSTITUTE(SUBSTITUTE(SUBSTITUTE($J161,CHAR(13)," "),CHAR(10)," "),CHAR(9)," "),CHAR(92),_xlfn.CONCAT(CHAR(92),CHAR(92))),"$",_xlfn.CONCAT(CHAR(92),"$")),CHAR(96),_xlfn.CONCAT(CHAR(92),CHAR(96))),CHAR(34),CHAR(39))))</f>
        <v/>
      </c>
      <c r="U161" s="5">
        <f t="shared" si="5"/>
        <v>0</v>
      </c>
    </row>
    <row r="162" spans="3:21" ht="30" customHeight="1" x14ac:dyDescent="0.2">
      <c r="C162" s="4"/>
      <c r="K162" s="5">
        <f t="shared" si="4"/>
        <v>0</v>
      </c>
      <c r="L162" s="5" t="str">
        <f>IF(OR(TRIM($B162)="",$A162=""),"",IF(OR(ISNUMBER(SEARCH(_xlfn.CONCAT(CHAR(96),CHAR(34)),$A162)),ISNUMBER(SEARCH(_xlfn.CONCAT(CHAR(34),CHAR(39)),$A162))),_xlfn.CONCAT("* REVIEW REQUIRED: compound-quote delimiter in Codebook Section on Sheet 1 row ",162,"; edit the input before running."),_xlfn.CONCAT("char ",TRIM($B162),"[doc_section] ",CHAR(96),CHAR(34),SUBSTITUTE(SUBSTITUTE(SUBSTITUTE(SUBSTITUTE(SUBSTITUTE(SUBSTITUTE($A162,CHAR(13)," "),CHAR(10)," "),CHAR(9)," "),CHAR(92),_xlfn.CONCAT(CHAR(92),CHAR(92))),"$",_xlfn.CONCAT(CHAR(92),"$")),CHAR(96),_xlfn.CONCAT(CHAR(92),CHAR(96))),CHAR(34),CHAR(39))))</f>
        <v/>
      </c>
      <c r="M162" s="5" t="str">
        <f>IF(OR(TRIM($B162)="",$C162=""),"",IF(IFERROR(MATCH(TRIM($C162),{"Quantitative","Continuous","Discrete","Categorical","Nominal","Ordinal","Identifier"},0),0)=0,_xlfn.CONCAT("* REVIEW REQUIRED: invalid Variable Type on Sheet 1 row ",162,"."),_xlfn.CONCAT("char ",TRIM($B162),"[doc_vartype] ",CHAR(96),CHAR(34),SUBSTITUTE(SUBSTITUTE(SUBSTITUTE(SUBSTITUTE(SUBSTITUTE(SUBSTITUTE(LOWER(TRIM($C162)),CHAR(13)," "),CHAR(10)," "),CHAR(9)," "),CHAR(92),_xlfn.CONCAT(CHAR(92),CHAR(92))),"$",_xlfn.CONCAT(CHAR(92),"$")),CHAR(96),_xlfn.CONCAT(CHAR(92),CHAR(96))),CHAR(34),CHAR(39))))</f>
        <v/>
      </c>
      <c r="N162" s="5" t="str">
        <f>IF(OR(TRIM($B162)="",$D162=""),"",IF(OR(ISNUMBER(SEARCH(_xlfn.CONCAT(CHAR(96),CHAR(34)),$D162)),ISNUMBER(SEARCH(_xlfn.CONCAT(CHAR(34),CHAR(39)),$D162))),_xlfn.CONCAT("* REVIEW REQUIRED: compound-quote delimiter in Item Number on Sheet 1 row ",162,"; edit the input before running."),_xlfn.CONCAT("char ",TRIM($B162),"[doc_itemnum] ",CHAR(96),CHAR(34),SUBSTITUTE(SUBSTITUTE(SUBSTITUTE(SUBSTITUTE(SUBSTITUTE(SUBSTITUTE($D162,CHAR(13)," "),CHAR(10)," "),CHAR(9)," "),CHAR(92),_xlfn.CONCAT(CHAR(92),CHAR(92))),"$",_xlfn.CONCAT(CHAR(92),"$")),CHAR(96),_xlfn.CONCAT(CHAR(92),CHAR(96))),CHAR(34),CHAR(39))))</f>
        <v/>
      </c>
      <c r="O162" s="5" t="str">
        <f>IF(OR(TRIM($B162)="",$E162=""),"",IF(OR(ISNUMBER(SEARCH(_xlfn.CONCAT(CHAR(96),CHAR(34)),$E162)),ISNUMBER(SEARCH(_xlfn.CONCAT(CHAR(34),CHAR(39)),$E162))),_xlfn.CONCAT("* REVIEW REQUIRED: compound-quote delimiter in Question Wording on Sheet 1 row ",162,"; edit the input before running."),_xlfn.CONCAT("char ",TRIM($B162),"[doc_question] ",CHAR(96),CHAR(34),SUBSTITUTE(SUBSTITUTE(SUBSTITUTE(SUBSTITUTE(SUBSTITUTE(SUBSTITUTE($E162,CHAR(13)," "),CHAR(10)," "),CHAR(9)," "),CHAR(92),_xlfn.CONCAT(CHAR(92),CHAR(92))),"$",_xlfn.CONCAT(CHAR(92),"$")),CHAR(96),_xlfn.CONCAT(CHAR(92),CHAR(96))),CHAR(34),CHAR(39))))</f>
        <v/>
      </c>
      <c r="P162" s="5" t="str">
        <f>IF(OR(TRIM($B162)="",$F162=""),"",IF(OR(ISNUMBER(SEARCH(_xlfn.CONCAT(CHAR(96),CHAR(34)),$F162)),ISNUMBER(SEARCH(_xlfn.CONCAT(CHAR(34),CHAR(39)),$F162))),_xlfn.CONCAT("* REVIEW REQUIRED: compound-quote delimiter in Units on Sheet 1 row ",162,"; edit the input before running."),_xlfn.CONCAT("char ",TRIM($B162),"[doc_units] ",CHAR(96),CHAR(34),SUBSTITUTE(SUBSTITUTE(SUBSTITUTE(SUBSTITUTE(SUBSTITUTE(SUBSTITUTE($F162,CHAR(13)," "),CHAR(10)," "),CHAR(9)," "),CHAR(92),_xlfn.CONCAT(CHAR(92),CHAR(92))),"$",_xlfn.CONCAT(CHAR(92),"$")),CHAR(96),_xlfn.CONCAT(CHAR(92),CHAR(96))),CHAR(34),CHAR(39))))</f>
        <v/>
      </c>
      <c r="Q162" s="5" t="str">
        <f>IF(OR(TRIM($B162)="",$G162=""),"",IF(OR(ISNUMBER(SEARCH(_xlfn.CONCAT(CHAR(96),CHAR(34)),$G162)),ISNUMBER(SEARCH(_xlfn.CONCAT(CHAR(34),CHAR(39)),$G162))),_xlfn.CONCAT("* REVIEW REQUIRED: compound-quote delimiter in Universe on Sheet 1 row ",162,"; edit the input before running."),_xlfn.CONCAT("char ",TRIM($B162),"[doc_universe] ",CHAR(96),CHAR(34),SUBSTITUTE(SUBSTITUTE(SUBSTITUTE(SUBSTITUTE(SUBSTITUTE(SUBSTITUTE($G162,CHAR(13)," "),CHAR(10)," "),CHAR(9)," "),CHAR(92),_xlfn.CONCAT(CHAR(92),CHAR(92))),"$",_xlfn.CONCAT(CHAR(92),"$")),CHAR(96),_xlfn.CONCAT(CHAR(92),CHAR(96))),CHAR(34),CHAR(39))))</f>
        <v/>
      </c>
      <c r="R162" s="5" t="str">
        <f>IF(OR(TRIM($B162)="",$H162=""),"",IF(OR(ISNUMBER(SEARCH(_xlfn.CONCAT(CHAR(96),CHAR(34)),$H162)),ISNUMBER(SEARCH(_xlfn.CONCAT(CHAR(34),CHAR(39)),$H162))),_xlfn.CONCAT("* REVIEW REQUIRED: compound-quote delimiter in Source on Sheet 1 row ",162,"; edit the input before running."),_xlfn.CONCAT("char ",TRIM($B162),"[doc_source] ",CHAR(96),CHAR(34),SUBSTITUTE(SUBSTITUTE(SUBSTITUTE(SUBSTITUTE(SUBSTITUTE(SUBSTITUTE($H162,CHAR(13)," "),CHAR(10)," "),CHAR(9)," "),CHAR(92),_xlfn.CONCAT(CHAR(92),CHAR(92))),"$",_xlfn.CONCAT(CHAR(92),"$")),CHAR(96),_xlfn.CONCAT(CHAR(92),CHAR(96))),CHAR(34),CHAR(39))))</f>
        <v/>
      </c>
      <c r="S162" s="5" t="str">
        <f>IF(OR(TRIM($B162)="",$I162=""),"",IF(OR(ISNUMBER(SEARCH(_xlfn.CONCAT(CHAR(96),CHAR(34)),$I162)),ISNUMBER(SEARCH(_xlfn.CONCAT(CHAR(34),CHAR(39)),$I162))),_xlfn.CONCAT("* REVIEW REQUIRED: compound-quote delimiter in Derivation on Sheet 1 row ",162,"; edit the input before running."),_xlfn.CONCAT("char ",TRIM($B162),"[doc_derivation] ",CHAR(96),CHAR(34),SUBSTITUTE(SUBSTITUTE(SUBSTITUTE(SUBSTITUTE(SUBSTITUTE(SUBSTITUTE($I162,CHAR(13)," "),CHAR(10)," "),CHAR(9)," "),CHAR(92),_xlfn.CONCAT(CHAR(92),CHAR(92))),"$",_xlfn.CONCAT(CHAR(92),"$")),CHAR(96),_xlfn.CONCAT(CHAR(92),CHAR(96))),CHAR(34),CHAR(39))))</f>
        <v/>
      </c>
      <c r="T162" s="5" t="str">
        <f>IF(OR(TRIM($B162)="",$J162=""),"",IF(OR(ISNUMBER(SEARCH(_xlfn.CONCAT(CHAR(96),CHAR(34)),$J162)),ISNUMBER(SEARCH(_xlfn.CONCAT(CHAR(34),CHAR(39)),$J162))),_xlfn.CONCAT("* REVIEW REQUIRED: compound-quote delimiter in Notes on Sheet 1 row ",162,"; edit the input before running."),_xlfn.CONCAT("char ",TRIM($B162),"[doc_notes] ",CHAR(96),CHAR(34),SUBSTITUTE(SUBSTITUTE(SUBSTITUTE(SUBSTITUTE(SUBSTITUTE(SUBSTITUTE($J162,CHAR(13)," "),CHAR(10)," "),CHAR(9)," "),CHAR(92),_xlfn.CONCAT(CHAR(92),CHAR(92))),"$",_xlfn.CONCAT(CHAR(92),"$")),CHAR(96),_xlfn.CONCAT(CHAR(92),CHAR(96))),CHAR(34),CHAR(39))))</f>
        <v/>
      </c>
      <c r="U162" s="5">
        <f t="shared" si="5"/>
        <v>0</v>
      </c>
    </row>
    <row r="163" spans="3:21" ht="30" customHeight="1" x14ac:dyDescent="0.2">
      <c r="C163" s="4"/>
      <c r="K163" s="5">
        <f t="shared" si="4"/>
        <v>0</v>
      </c>
      <c r="L163" s="5" t="str">
        <f>IF(OR(TRIM($B163)="",$A163=""),"",IF(OR(ISNUMBER(SEARCH(_xlfn.CONCAT(CHAR(96),CHAR(34)),$A163)),ISNUMBER(SEARCH(_xlfn.CONCAT(CHAR(34),CHAR(39)),$A163))),_xlfn.CONCAT("* REVIEW REQUIRED: compound-quote delimiter in Codebook Section on Sheet 1 row ",163,"; edit the input before running."),_xlfn.CONCAT("char ",TRIM($B163),"[doc_section] ",CHAR(96),CHAR(34),SUBSTITUTE(SUBSTITUTE(SUBSTITUTE(SUBSTITUTE(SUBSTITUTE(SUBSTITUTE($A163,CHAR(13)," "),CHAR(10)," "),CHAR(9)," "),CHAR(92),_xlfn.CONCAT(CHAR(92),CHAR(92))),"$",_xlfn.CONCAT(CHAR(92),"$")),CHAR(96),_xlfn.CONCAT(CHAR(92),CHAR(96))),CHAR(34),CHAR(39))))</f>
        <v/>
      </c>
      <c r="M163" s="5" t="str">
        <f>IF(OR(TRIM($B163)="",$C163=""),"",IF(IFERROR(MATCH(TRIM($C163),{"Quantitative","Continuous","Discrete","Categorical","Nominal","Ordinal","Identifier"},0),0)=0,_xlfn.CONCAT("* REVIEW REQUIRED: invalid Variable Type on Sheet 1 row ",163,"."),_xlfn.CONCAT("char ",TRIM($B163),"[doc_vartype] ",CHAR(96),CHAR(34),SUBSTITUTE(SUBSTITUTE(SUBSTITUTE(SUBSTITUTE(SUBSTITUTE(SUBSTITUTE(LOWER(TRIM($C163)),CHAR(13)," "),CHAR(10)," "),CHAR(9)," "),CHAR(92),_xlfn.CONCAT(CHAR(92),CHAR(92))),"$",_xlfn.CONCAT(CHAR(92),"$")),CHAR(96),_xlfn.CONCAT(CHAR(92),CHAR(96))),CHAR(34),CHAR(39))))</f>
        <v/>
      </c>
      <c r="N163" s="5" t="str">
        <f>IF(OR(TRIM($B163)="",$D163=""),"",IF(OR(ISNUMBER(SEARCH(_xlfn.CONCAT(CHAR(96),CHAR(34)),$D163)),ISNUMBER(SEARCH(_xlfn.CONCAT(CHAR(34),CHAR(39)),$D163))),_xlfn.CONCAT("* REVIEW REQUIRED: compound-quote delimiter in Item Number on Sheet 1 row ",163,"; edit the input before running."),_xlfn.CONCAT("char ",TRIM($B163),"[doc_itemnum] ",CHAR(96),CHAR(34),SUBSTITUTE(SUBSTITUTE(SUBSTITUTE(SUBSTITUTE(SUBSTITUTE(SUBSTITUTE($D163,CHAR(13)," "),CHAR(10)," "),CHAR(9)," "),CHAR(92),_xlfn.CONCAT(CHAR(92),CHAR(92))),"$",_xlfn.CONCAT(CHAR(92),"$")),CHAR(96),_xlfn.CONCAT(CHAR(92),CHAR(96))),CHAR(34),CHAR(39))))</f>
        <v/>
      </c>
      <c r="O163" s="5" t="str">
        <f>IF(OR(TRIM($B163)="",$E163=""),"",IF(OR(ISNUMBER(SEARCH(_xlfn.CONCAT(CHAR(96),CHAR(34)),$E163)),ISNUMBER(SEARCH(_xlfn.CONCAT(CHAR(34),CHAR(39)),$E163))),_xlfn.CONCAT("* REVIEW REQUIRED: compound-quote delimiter in Question Wording on Sheet 1 row ",163,"; edit the input before running."),_xlfn.CONCAT("char ",TRIM($B163),"[doc_question] ",CHAR(96),CHAR(34),SUBSTITUTE(SUBSTITUTE(SUBSTITUTE(SUBSTITUTE(SUBSTITUTE(SUBSTITUTE($E163,CHAR(13)," "),CHAR(10)," "),CHAR(9)," "),CHAR(92),_xlfn.CONCAT(CHAR(92),CHAR(92))),"$",_xlfn.CONCAT(CHAR(92),"$")),CHAR(96),_xlfn.CONCAT(CHAR(92),CHAR(96))),CHAR(34),CHAR(39))))</f>
        <v/>
      </c>
      <c r="P163" s="5" t="str">
        <f>IF(OR(TRIM($B163)="",$F163=""),"",IF(OR(ISNUMBER(SEARCH(_xlfn.CONCAT(CHAR(96),CHAR(34)),$F163)),ISNUMBER(SEARCH(_xlfn.CONCAT(CHAR(34),CHAR(39)),$F163))),_xlfn.CONCAT("* REVIEW REQUIRED: compound-quote delimiter in Units on Sheet 1 row ",163,"; edit the input before running."),_xlfn.CONCAT("char ",TRIM($B163),"[doc_units] ",CHAR(96),CHAR(34),SUBSTITUTE(SUBSTITUTE(SUBSTITUTE(SUBSTITUTE(SUBSTITUTE(SUBSTITUTE($F163,CHAR(13)," "),CHAR(10)," "),CHAR(9)," "),CHAR(92),_xlfn.CONCAT(CHAR(92),CHAR(92))),"$",_xlfn.CONCAT(CHAR(92),"$")),CHAR(96),_xlfn.CONCAT(CHAR(92),CHAR(96))),CHAR(34),CHAR(39))))</f>
        <v/>
      </c>
      <c r="Q163" s="5" t="str">
        <f>IF(OR(TRIM($B163)="",$G163=""),"",IF(OR(ISNUMBER(SEARCH(_xlfn.CONCAT(CHAR(96),CHAR(34)),$G163)),ISNUMBER(SEARCH(_xlfn.CONCAT(CHAR(34),CHAR(39)),$G163))),_xlfn.CONCAT("* REVIEW REQUIRED: compound-quote delimiter in Universe on Sheet 1 row ",163,"; edit the input before running."),_xlfn.CONCAT("char ",TRIM($B163),"[doc_universe] ",CHAR(96),CHAR(34),SUBSTITUTE(SUBSTITUTE(SUBSTITUTE(SUBSTITUTE(SUBSTITUTE(SUBSTITUTE($G163,CHAR(13)," "),CHAR(10)," "),CHAR(9)," "),CHAR(92),_xlfn.CONCAT(CHAR(92),CHAR(92))),"$",_xlfn.CONCAT(CHAR(92),"$")),CHAR(96),_xlfn.CONCAT(CHAR(92),CHAR(96))),CHAR(34),CHAR(39))))</f>
        <v/>
      </c>
      <c r="R163" s="5" t="str">
        <f>IF(OR(TRIM($B163)="",$H163=""),"",IF(OR(ISNUMBER(SEARCH(_xlfn.CONCAT(CHAR(96),CHAR(34)),$H163)),ISNUMBER(SEARCH(_xlfn.CONCAT(CHAR(34),CHAR(39)),$H163))),_xlfn.CONCAT("* REVIEW REQUIRED: compound-quote delimiter in Source on Sheet 1 row ",163,"; edit the input before running."),_xlfn.CONCAT("char ",TRIM($B163),"[doc_source] ",CHAR(96),CHAR(34),SUBSTITUTE(SUBSTITUTE(SUBSTITUTE(SUBSTITUTE(SUBSTITUTE(SUBSTITUTE($H163,CHAR(13)," "),CHAR(10)," "),CHAR(9)," "),CHAR(92),_xlfn.CONCAT(CHAR(92),CHAR(92))),"$",_xlfn.CONCAT(CHAR(92),"$")),CHAR(96),_xlfn.CONCAT(CHAR(92),CHAR(96))),CHAR(34),CHAR(39))))</f>
        <v/>
      </c>
      <c r="S163" s="5" t="str">
        <f>IF(OR(TRIM($B163)="",$I163=""),"",IF(OR(ISNUMBER(SEARCH(_xlfn.CONCAT(CHAR(96),CHAR(34)),$I163)),ISNUMBER(SEARCH(_xlfn.CONCAT(CHAR(34),CHAR(39)),$I163))),_xlfn.CONCAT("* REVIEW REQUIRED: compound-quote delimiter in Derivation on Sheet 1 row ",163,"; edit the input before running."),_xlfn.CONCAT("char ",TRIM($B163),"[doc_derivation] ",CHAR(96),CHAR(34),SUBSTITUTE(SUBSTITUTE(SUBSTITUTE(SUBSTITUTE(SUBSTITUTE(SUBSTITUTE($I163,CHAR(13)," "),CHAR(10)," "),CHAR(9)," "),CHAR(92),_xlfn.CONCAT(CHAR(92),CHAR(92))),"$",_xlfn.CONCAT(CHAR(92),"$")),CHAR(96),_xlfn.CONCAT(CHAR(92),CHAR(96))),CHAR(34),CHAR(39))))</f>
        <v/>
      </c>
      <c r="T163" s="5" t="str">
        <f>IF(OR(TRIM($B163)="",$J163=""),"",IF(OR(ISNUMBER(SEARCH(_xlfn.CONCAT(CHAR(96),CHAR(34)),$J163)),ISNUMBER(SEARCH(_xlfn.CONCAT(CHAR(34),CHAR(39)),$J163))),_xlfn.CONCAT("* REVIEW REQUIRED: compound-quote delimiter in Notes on Sheet 1 row ",163,"; edit the input before running."),_xlfn.CONCAT("char ",TRIM($B163),"[doc_notes] ",CHAR(96),CHAR(34),SUBSTITUTE(SUBSTITUTE(SUBSTITUTE(SUBSTITUTE(SUBSTITUTE(SUBSTITUTE($J163,CHAR(13)," "),CHAR(10)," "),CHAR(9)," "),CHAR(92),_xlfn.CONCAT(CHAR(92),CHAR(92))),"$",_xlfn.CONCAT(CHAR(92),"$")),CHAR(96),_xlfn.CONCAT(CHAR(92),CHAR(96))),CHAR(34),CHAR(39))))</f>
        <v/>
      </c>
      <c r="U163" s="5">
        <f t="shared" si="5"/>
        <v>0</v>
      </c>
    </row>
    <row r="164" spans="3:21" ht="30" customHeight="1" x14ac:dyDescent="0.2">
      <c r="C164" s="4"/>
      <c r="K164" s="5">
        <f t="shared" si="4"/>
        <v>0</v>
      </c>
      <c r="L164" s="5" t="str">
        <f>IF(OR(TRIM($B164)="",$A164=""),"",IF(OR(ISNUMBER(SEARCH(_xlfn.CONCAT(CHAR(96),CHAR(34)),$A164)),ISNUMBER(SEARCH(_xlfn.CONCAT(CHAR(34),CHAR(39)),$A164))),_xlfn.CONCAT("* REVIEW REQUIRED: compound-quote delimiter in Codebook Section on Sheet 1 row ",164,"; edit the input before running."),_xlfn.CONCAT("char ",TRIM($B164),"[doc_section] ",CHAR(96),CHAR(34),SUBSTITUTE(SUBSTITUTE(SUBSTITUTE(SUBSTITUTE(SUBSTITUTE(SUBSTITUTE($A164,CHAR(13)," "),CHAR(10)," "),CHAR(9)," "),CHAR(92),_xlfn.CONCAT(CHAR(92),CHAR(92))),"$",_xlfn.CONCAT(CHAR(92),"$")),CHAR(96),_xlfn.CONCAT(CHAR(92),CHAR(96))),CHAR(34),CHAR(39))))</f>
        <v/>
      </c>
      <c r="M164" s="5" t="str">
        <f>IF(OR(TRIM($B164)="",$C164=""),"",IF(IFERROR(MATCH(TRIM($C164),{"Quantitative","Continuous","Discrete","Categorical","Nominal","Ordinal","Identifier"},0),0)=0,_xlfn.CONCAT("* REVIEW REQUIRED: invalid Variable Type on Sheet 1 row ",164,"."),_xlfn.CONCAT("char ",TRIM($B164),"[doc_vartype] ",CHAR(96),CHAR(34),SUBSTITUTE(SUBSTITUTE(SUBSTITUTE(SUBSTITUTE(SUBSTITUTE(SUBSTITUTE(LOWER(TRIM($C164)),CHAR(13)," "),CHAR(10)," "),CHAR(9)," "),CHAR(92),_xlfn.CONCAT(CHAR(92),CHAR(92))),"$",_xlfn.CONCAT(CHAR(92),"$")),CHAR(96),_xlfn.CONCAT(CHAR(92),CHAR(96))),CHAR(34),CHAR(39))))</f>
        <v/>
      </c>
      <c r="N164" s="5" t="str">
        <f>IF(OR(TRIM($B164)="",$D164=""),"",IF(OR(ISNUMBER(SEARCH(_xlfn.CONCAT(CHAR(96),CHAR(34)),$D164)),ISNUMBER(SEARCH(_xlfn.CONCAT(CHAR(34),CHAR(39)),$D164))),_xlfn.CONCAT("* REVIEW REQUIRED: compound-quote delimiter in Item Number on Sheet 1 row ",164,"; edit the input before running."),_xlfn.CONCAT("char ",TRIM($B164),"[doc_itemnum] ",CHAR(96),CHAR(34),SUBSTITUTE(SUBSTITUTE(SUBSTITUTE(SUBSTITUTE(SUBSTITUTE(SUBSTITUTE($D164,CHAR(13)," "),CHAR(10)," "),CHAR(9)," "),CHAR(92),_xlfn.CONCAT(CHAR(92),CHAR(92))),"$",_xlfn.CONCAT(CHAR(92),"$")),CHAR(96),_xlfn.CONCAT(CHAR(92),CHAR(96))),CHAR(34),CHAR(39))))</f>
        <v/>
      </c>
      <c r="O164" s="5" t="str">
        <f>IF(OR(TRIM($B164)="",$E164=""),"",IF(OR(ISNUMBER(SEARCH(_xlfn.CONCAT(CHAR(96),CHAR(34)),$E164)),ISNUMBER(SEARCH(_xlfn.CONCAT(CHAR(34),CHAR(39)),$E164))),_xlfn.CONCAT("* REVIEW REQUIRED: compound-quote delimiter in Question Wording on Sheet 1 row ",164,"; edit the input before running."),_xlfn.CONCAT("char ",TRIM($B164),"[doc_question] ",CHAR(96),CHAR(34),SUBSTITUTE(SUBSTITUTE(SUBSTITUTE(SUBSTITUTE(SUBSTITUTE(SUBSTITUTE($E164,CHAR(13)," "),CHAR(10)," "),CHAR(9)," "),CHAR(92),_xlfn.CONCAT(CHAR(92),CHAR(92))),"$",_xlfn.CONCAT(CHAR(92),"$")),CHAR(96),_xlfn.CONCAT(CHAR(92),CHAR(96))),CHAR(34),CHAR(39))))</f>
        <v/>
      </c>
      <c r="P164" s="5" t="str">
        <f>IF(OR(TRIM($B164)="",$F164=""),"",IF(OR(ISNUMBER(SEARCH(_xlfn.CONCAT(CHAR(96),CHAR(34)),$F164)),ISNUMBER(SEARCH(_xlfn.CONCAT(CHAR(34),CHAR(39)),$F164))),_xlfn.CONCAT("* REVIEW REQUIRED: compound-quote delimiter in Units on Sheet 1 row ",164,"; edit the input before running."),_xlfn.CONCAT("char ",TRIM($B164),"[doc_units] ",CHAR(96),CHAR(34),SUBSTITUTE(SUBSTITUTE(SUBSTITUTE(SUBSTITUTE(SUBSTITUTE(SUBSTITUTE($F164,CHAR(13)," "),CHAR(10)," "),CHAR(9)," "),CHAR(92),_xlfn.CONCAT(CHAR(92),CHAR(92))),"$",_xlfn.CONCAT(CHAR(92),"$")),CHAR(96),_xlfn.CONCAT(CHAR(92),CHAR(96))),CHAR(34),CHAR(39))))</f>
        <v/>
      </c>
      <c r="Q164" s="5" t="str">
        <f>IF(OR(TRIM($B164)="",$G164=""),"",IF(OR(ISNUMBER(SEARCH(_xlfn.CONCAT(CHAR(96),CHAR(34)),$G164)),ISNUMBER(SEARCH(_xlfn.CONCAT(CHAR(34),CHAR(39)),$G164))),_xlfn.CONCAT("* REVIEW REQUIRED: compound-quote delimiter in Universe on Sheet 1 row ",164,"; edit the input before running."),_xlfn.CONCAT("char ",TRIM($B164),"[doc_universe] ",CHAR(96),CHAR(34),SUBSTITUTE(SUBSTITUTE(SUBSTITUTE(SUBSTITUTE(SUBSTITUTE(SUBSTITUTE($G164,CHAR(13)," "),CHAR(10)," "),CHAR(9)," "),CHAR(92),_xlfn.CONCAT(CHAR(92),CHAR(92))),"$",_xlfn.CONCAT(CHAR(92),"$")),CHAR(96),_xlfn.CONCAT(CHAR(92),CHAR(96))),CHAR(34),CHAR(39))))</f>
        <v/>
      </c>
      <c r="R164" s="5" t="str">
        <f>IF(OR(TRIM($B164)="",$H164=""),"",IF(OR(ISNUMBER(SEARCH(_xlfn.CONCAT(CHAR(96),CHAR(34)),$H164)),ISNUMBER(SEARCH(_xlfn.CONCAT(CHAR(34),CHAR(39)),$H164))),_xlfn.CONCAT("* REVIEW REQUIRED: compound-quote delimiter in Source on Sheet 1 row ",164,"; edit the input before running."),_xlfn.CONCAT("char ",TRIM($B164),"[doc_source] ",CHAR(96),CHAR(34),SUBSTITUTE(SUBSTITUTE(SUBSTITUTE(SUBSTITUTE(SUBSTITUTE(SUBSTITUTE($H164,CHAR(13)," "),CHAR(10)," "),CHAR(9)," "),CHAR(92),_xlfn.CONCAT(CHAR(92),CHAR(92))),"$",_xlfn.CONCAT(CHAR(92),"$")),CHAR(96),_xlfn.CONCAT(CHAR(92),CHAR(96))),CHAR(34),CHAR(39))))</f>
        <v/>
      </c>
      <c r="S164" s="5" t="str">
        <f>IF(OR(TRIM($B164)="",$I164=""),"",IF(OR(ISNUMBER(SEARCH(_xlfn.CONCAT(CHAR(96),CHAR(34)),$I164)),ISNUMBER(SEARCH(_xlfn.CONCAT(CHAR(34),CHAR(39)),$I164))),_xlfn.CONCAT("* REVIEW REQUIRED: compound-quote delimiter in Derivation on Sheet 1 row ",164,"; edit the input before running."),_xlfn.CONCAT("char ",TRIM($B164),"[doc_derivation] ",CHAR(96),CHAR(34),SUBSTITUTE(SUBSTITUTE(SUBSTITUTE(SUBSTITUTE(SUBSTITUTE(SUBSTITUTE($I164,CHAR(13)," "),CHAR(10)," "),CHAR(9)," "),CHAR(92),_xlfn.CONCAT(CHAR(92),CHAR(92))),"$",_xlfn.CONCAT(CHAR(92),"$")),CHAR(96),_xlfn.CONCAT(CHAR(92),CHAR(96))),CHAR(34),CHAR(39))))</f>
        <v/>
      </c>
      <c r="T164" s="5" t="str">
        <f>IF(OR(TRIM($B164)="",$J164=""),"",IF(OR(ISNUMBER(SEARCH(_xlfn.CONCAT(CHAR(96),CHAR(34)),$J164)),ISNUMBER(SEARCH(_xlfn.CONCAT(CHAR(34),CHAR(39)),$J164))),_xlfn.CONCAT("* REVIEW REQUIRED: compound-quote delimiter in Notes on Sheet 1 row ",164,"; edit the input before running."),_xlfn.CONCAT("char ",TRIM($B164),"[doc_notes] ",CHAR(96),CHAR(34),SUBSTITUTE(SUBSTITUTE(SUBSTITUTE(SUBSTITUTE(SUBSTITUTE(SUBSTITUTE($J164,CHAR(13)," "),CHAR(10)," "),CHAR(9)," "),CHAR(92),_xlfn.CONCAT(CHAR(92),CHAR(92))),"$",_xlfn.CONCAT(CHAR(92),"$")),CHAR(96),_xlfn.CONCAT(CHAR(92),CHAR(96))),CHAR(34),CHAR(39))))</f>
        <v/>
      </c>
      <c r="U164" s="5">
        <f t="shared" si="5"/>
        <v>0</v>
      </c>
    </row>
    <row r="165" spans="3:21" ht="30" customHeight="1" x14ac:dyDescent="0.2">
      <c r="C165" s="4"/>
      <c r="K165" s="5">
        <f t="shared" si="4"/>
        <v>0</v>
      </c>
      <c r="L165" s="5" t="str">
        <f>IF(OR(TRIM($B165)="",$A165=""),"",IF(OR(ISNUMBER(SEARCH(_xlfn.CONCAT(CHAR(96),CHAR(34)),$A165)),ISNUMBER(SEARCH(_xlfn.CONCAT(CHAR(34),CHAR(39)),$A165))),_xlfn.CONCAT("* REVIEW REQUIRED: compound-quote delimiter in Codebook Section on Sheet 1 row ",165,"; edit the input before running."),_xlfn.CONCAT("char ",TRIM($B165),"[doc_section] ",CHAR(96),CHAR(34),SUBSTITUTE(SUBSTITUTE(SUBSTITUTE(SUBSTITUTE(SUBSTITUTE(SUBSTITUTE($A165,CHAR(13)," "),CHAR(10)," "),CHAR(9)," "),CHAR(92),_xlfn.CONCAT(CHAR(92),CHAR(92))),"$",_xlfn.CONCAT(CHAR(92),"$")),CHAR(96),_xlfn.CONCAT(CHAR(92),CHAR(96))),CHAR(34),CHAR(39))))</f>
        <v/>
      </c>
      <c r="M165" s="5" t="str">
        <f>IF(OR(TRIM($B165)="",$C165=""),"",IF(IFERROR(MATCH(TRIM($C165),{"Quantitative","Continuous","Discrete","Categorical","Nominal","Ordinal","Identifier"},0),0)=0,_xlfn.CONCAT("* REVIEW REQUIRED: invalid Variable Type on Sheet 1 row ",165,"."),_xlfn.CONCAT("char ",TRIM($B165),"[doc_vartype] ",CHAR(96),CHAR(34),SUBSTITUTE(SUBSTITUTE(SUBSTITUTE(SUBSTITUTE(SUBSTITUTE(SUBSTITUTE(LOWER(TRIM($C165)),CHAR(13)," "),CHAR(10)," "),CHAR(9)," "),CHAR(92),_xlfn.CONCAT(CHAR(92),CHAR(92))),"$",_xlfn.CONCAT(CHAR(92),"$")),CHAR(96),_xlfn.CONCAT(CHAR(92),CHAR(96))),CHAR(34),CHAR(39))))</f>
        <v/>
      </c>
      <c r="N165" s="5" t="str">
        <f>IF(OR(TRIM($B165)="",$D165=""),"",IF(OR(ISNUMBER(SEARCH(_xlfn.CONCAT(CHAR(96),CHAR(34)),$D165)),ISNUMBER(SEARCH(_xlfn.CONCAT(CHAR(34),CHAR(39)),$D165))),_xlfn.CONCAT("* REVIEW REQUIRED: compound-quote delimiter in Item Number on Sheet 1 row ",165,"; edit the input before running."),_xlfn.CONCAT("char ",TRIM($B165),"[doc_itemnum] ",CHAR(96),CHAR(34),SUBSTITUTE(SUBSTITUTE(SUBSTITUTE(SUBSTITUTE(SUBSTITUTE(SUBSTITUTE($D165,CHAR(13)," "),CHAR(10)," "),CHAR(9)," "),CHAR(92),_xlfn.CONCAT(CHAR(92),CHAR(92))),"$",_xlfn.CONCAT(CHAR(92),"$")),CHAR(96),_xlfn.CONCAT(CHAR(92),CHAR(96))),CHAR(34),CHAR(39))))</f>
        <v/>
      </c>
      <c r="O165" s="5" t="str">
        <f>IF(OR(TRIM($B165)="",$E165=""),"",IF(OR(ISNUMBER(SEARCH(_xlfn.CONCAT(CHAR(96),CHAR(34)),$E165)),ISNUMBER(SEARCH(_xlfn.CONCAT(CHAR(34),CHAR(39)),$E165))),_xlfn.CONCAT("* REVIEW REQUIRED: compound-quote delimiter in Question Wording on Sheet 1 row ",165,"; edit the input before running."),_xlfn.CONCAT("char ",TRIM($B165),"[doc_question] ",CHAR(96),CHAR(34),SUBSTITUTE(SUBSTITUTE(SUBSTITUTE(SUBSTITUTE(SUBSTITUTE(SUBSTITUTE($E165,CHAR(13)," "),CHAR(10)," "),CHAR(9)," "),CHAR(92),_xlfn.CONCAT(CHAR(92),CHAR(92))),"$",_xlfn.CONCAT(CHAR(92),"$")),CHAR(96),_xlfn.CONCAT(CHAR(92),CHAR(96))),CHAR(34),CHAR(39))))</f>
        <v/>
      </c>
      <c r="P165" s="5" t="str">
        <f>IF(OR(TRIM($B165)="",$F165=""),"",IF(OR(ISNUMBER(SEARCH(_xlfn.CONCAT(CHAR(96),CHAR(34)),$F165)),ISNUMBER(SEARCH(_xlfn.CONCAT(CHAR(34),CHAR(39)),$F165))),_xlfn.CONCAT("* REVIEW REQUIRED: compound-quote delimiter in Units on Sheet 1 row ",165,"; edit the input before running."),_xlfn.CONCAT("char ",TRIM($B165),"[doc_units] ",CHAR(96),CHAR(34),SUBSTITUTE(SUBSTITUTE(SUBSTITUTE(SUBSTITUTE(SUBSTITUTE(SUBSTITUTE($F165,CHAR(13)," "),CHAR(10)," "),CHAR(9)," "),CHAR(92),_xlfn.CONCAT(CHAR(92),CHAR(92))),"$",_xlfn.CONCAT(CHAR(92),"$")),CHAR(96),_xlfn.CONCAT(CHAR(92),CHAR(96))),CHAR(34),CHAR(39))))</f>
        <v/>
      </c>
      <c r="Q165" s="5" t="str">
        <f>IF(OR(TRIM($B165)="",$G165=""),"",IF(OR(ISNUMBER(SEARCH(_xlfn.CONCAT(CHAR(96),CHAR(34)),$G165)),ISNUMBER(SEARCH(_xlfn.CONCAT(CHAR(34),CHAR(39)),$G165))),_xlfn.CONCAT("* REVIEW REQUIRED: compound-quote delimiter in Universe on Sheet 1 row ",165,"; edit the input before running."),_xlfn.CONCAT("char ",TRIM($B165),"[doc_universe] ",CHAR(96),CHAR(34),SUBSTITUTE(SUBSTITUTE(SUBSTITUTE(SUBSTITUTE(SUBSTITUTE(SUBSTITUTE($G165,CHAR(13)," "),CHAR(10)," "),CHAR(9)," "),CHAR(92),_xlfn.CONCAT(CHAR(92),CHAR(92))),"$",_xlfn.CONCAT(CHAR(92),"$")),CHAR(96),_xlfn.CONCAT(CHAR(92),CHAR(96))),CHAR(34),CHAR(39))))</f>
        <v/>
      </c>
      <c r="R165" s="5" t="str">
        <f>IF(OR(TRIM($B165)="",$H165=""),"",IF(OR(ISNUMBER(SEARCH(_xlfn.CONCAT(CHAR(96),CHAR(34)),$H165)),ISNUMBER(SEARCH(_xlfn.CONCAT(CHAR(34),CHAR(39)),$H165))),_xlfn.CONCAT("* REVIEW REQUIRED: compound-quote delimiter in Source on Sheet 1 row ",165,"; edit the input before running."),_xlfn.CONCAT("char ",TRIM($B165),"[doc_source] ",CHAR(96),CHAR(34),SUBSTITUTE(SUBSTITUTE(SUBSTITUTE(SUBSTITUTE(SUBSTITUTE(SUBSTITUTE($H165,CHAR(13)," "),CHAR(10)," "),CHAR(9)," "),CHAR(92),_xlfn.CONCAT(CHAR(92),CHAR(92))),"$",_xlfn.CONCAT(CHAR(92),"$")),CHAR(96),_xlfn.CONCAT(CHAR(92),CHAR(96))),CHAR(34),CHAR(39))))</f>
        <v/>
      </c>
      <c r="S165" s="5" t="str">
        <f>IF(OR(TRIM($B165)="",$I165=""),"",IF(OR(ISNUMBER(SEARCH(_xlfn.CONCAT(CHAR(96),CHAR(34)),$I165)),ISNUMBER(SEARCH(_xlfn.CONCAT(CHAR(34),CHAR(39)),$I165))),_xlfn.CONCAT("* REVIEW REQUIRED: compound-quote delimiter in Derivation on Sheet 1 row ",165,"; edit the input before running."),_xlfn.CONCAT("char ",TRIM($B165),"[doc_derivation] ",CHAR(96),CHAR(34),SUBSTITUTE(SUBSTITUTE(SUBSTITUTE(SUBSTITUTE(SUBSTITUTE(SUBSTITUTE($I165,CHAR(13)," "),CHAR(10)," "),CHAR(9)," "),CHAR(92),_xlfn.CONCAT(CHAR(92),CHAR(92))),"$",_xlfn.CONCAT(CHAR(92),"$")),CHAR(96),_xlfn.CONCAT(CHAR(92),CHAR(96))),CHAR(34),CHAR(39))))</f>
        <v/>
      </c>
      <c r="T165" s="5" t="str">
        <f>IF(OR(TRIM($B165)="",$J165=""),"",IF(OR(ISNUMBER(SEARCH(_xlfn.CONCAT(CHAR(96),CHAR(34)),$J165)),ISNUMBER(SEARCH(_xlfn.CONCAT(CHAR(34),CHAR(39)),$J165))),_xlfn.CONCAT("* REVIEW REQUIRED: compound-quote delimiter in Notes on Sheet 1 row ",165,"; edit the input before running."),_xlfn.CONCAT("char ",TRIM($B165),"[doc_notes] ",CHAR(96),CHAR(34),SUBSTITUTE(SUBSTITUTE(SUBSTITUTE(SUBSTITUTE(SUBSTITUTE(SUBSTITUTE($J165,CHAR(13)," "),CHAR(10)," "),CHAR(9)," "),CHAR(92),_xlfn.CONCAT(CHAR(92),CHAR(92))),"$",_xlfn.CONCAT(CHAR(92),"$")),CHAR(96),_xlfn.CONCAT(CHAR(92),CHAR(96))),CHAR(34),CHAR(39))))</f>
        <v/>
      </c>
      <c r="U165" s="5">
        <f t="shared" si="5"/>
        <v>0</v>
      </c>
    </row>
    <row r="166" spans="3:21" ht="30" customHeight="1" x14ac:dyDescent="0.2">
      <c r="C166" s="4"/>
      <c r="K166" s="5">
        <f t="shared" si="4"/>
        <v>0</v>
      </c>
      <c r="L166" s="5" t="str">
        <f>IF(OR(TRIM($B166)="",$A166=""),"",IF(OR(ISNUMBER(SEARCH(_xlfn.CONCAT(CHAR(96),CHAR(34)),$A166)),ISNUMBER(SEARCH(_xlfn.CONCAT(CHAR(34),CHAR(39)),$A166))),_xlfn.CONCAT("* REVIEW REQUIRED: compound-quote delimiter in Codebook Section on Sheet 1 row ",166,"; edit the input before running."),_xlfn.CONCAT("char ",TRIM($B166),"[doc_section] ",CHAR(96),CHAR(34),SUBSTITUTE(SUBSTITUTE(SUBSTITUTE(SUBSTITUTE(SUBSTITUTE(SUBSTITUTE($A166,CHAR(13)," "),CHAR(10)," "),CHAR(9)," "),CHAR(92),_xlfn.CONCAT(CHAR(92),CHAR(92))),"$",_xlfn.CONCAT(CHAR(92),"$")),CHAR(96),_xlfn.CONCAT(CHAR(92),CHAR(96))),CHAR(34),CHAR(39))))</f>
        <v/>
      </c>
      <c r="M166" s="5" t="str">
        <f>IF(OR(TRIM($B166)="",$C166=""),"",IF(IFERROR(MATCH(TRIM($C166),{"Quantitative","Continuous","Discrete","Categorical","Nominal","Ordinal","Identifier"},0),0)=0,_xlfn.CONCAT("* REVIEW REQUIRED: invalid Variable Type on Sheet 1 row ",166,"."),_xlfn.CONCAT("char ",TRIM($B166),"[doc_vartype] ",CHAR(96),CHAR(34),SUBSTITUTE(SUBSTITUTE(SUBSTITUTE(SUBSTITUTE(SUBSTITUTE(SUBSTITUTE(LOWER(TRIM($C166)),CHAR(13)," "),CHAR(10)," "),CHAR(9)," "),CHAR(92),_xlfn.CONCAT(CHAR(92),CHAR(92))),"$",_xlfn.CONCAT(CHAR(92),"$")),CHAR(96),_xlfn.CONCAT(CHAR(92),CHAR(96))),CHAR(34),CHAR(39))))</f>
        <v/>
      </c>
      <c r="N166" s="5" t="str">
        <f>IF(OR(TRIM($B166)="",$D166=""),"",IF(OR(ISNUMBER(SEARCH(_xlfn.CONCAT(CHAR(96),CHAR(34)),$D166)),ISNUMBER(SEARCH(_xlfn.CONCAT(CHAR(34),CHAR(39)),$D166))),_xlfn.CONCAT("* REVIEW REQUIRED: compound-quote delimiter in Item Number on Sheet 1 row ",166,"; edit the input before running."),_xlfn.CONCAT("char ",TRIM($B166),"[doc_itemnum] ",CHAR(96),CHAR(34),SUBSTITUTE(SUBSTITUTE(SUBSTITUTE(SUBSTITUTE(SUBSTITUTE(SUBSTITUTE($D166,CHAR(13)," "),CHAR(10)," "),CHAR(9)," "),CHAR(92),_xlfn.CONCAT(CHAR(92),CHAR(92))),"$",_xlfn.CONCAT(CHAR(92),"$")),CHAR(96),_xlfn.CONCAT(CHAR(92),CHAR(96))),CHAR(34),CHAR(39))))</f>
        <v/>
      </c>
      <c r="O166" s="5" t="str">
        <f>IF(OR(TRIM($B166)="",$E166=""),"",IF(OR(ISNUMBER(SEARCH(_xlfn.CONCAT(CHAR(96),CHAR(34)),$E166)),ISNUMBER(SEARCH(_xlfn.CONCAT(CHAR(34),CHAR(39)),$E166))),_xlfn.CONCAT("* REVIEW REQUIRED: compound-quote delimiter in Question Wording on Sheet 1 row ",166,"; edit the input before running."),_xlfn.CONCAT("char ",TRIM($B166),"[doc_question] ",CHAR(96),CHAR(34),SUBSTITUTE(SUBSTITUTE(SUBSTITUTE(SUBSTITUTE(SUBSTITUTE(SUBSTITUTE($E166,CHAR(13)," "),CHAR(10)," "),CHAR(9)," "),CHAR(92),_xlfn.CONCAT(CHAR(92),CHAR(92))),"$",_xlfn.CONCAT(CHAR(92),"$")),CHAR(96),_xlfn.CONCAT(CHAR(92),CHAR(96))),CHAR(34),CHAR(39))))</f>
        <v/>
      </c>
      <c r="P166" s="5" t="str">
        <f>IF(OR(TRIM($B166)="",$F166=""),"",IF(OR(ISNUMBER(SEARCH(_xlfn.CONCAT(CHAR(96),CHAR(34)),$F166)),ISNUMBER(SEARCH(_xlfn.CONCAT(CHAR(34),CHAR(39)),$F166))),_xlfn.CONCAT("* REVIEW REQUIRED: compound-quote delimiter in Units on Sheet 1 row ",166,"; edit the input before running."),_xlfn.CONCAT("char ",TRIM($B166),"[doc_units] ",CHAR(96),CHAR(34),SUBSTITUTE(SUBSTITUTE(SUBSTITUTE(SUBSTITUTE(SUBSTITUTE(SUBSTITUTE($F166,CHAR(13)," "),CHAR(10)," "),CHAR(9)," "),CHAR(92),_xlfn.CONCAT(CHAR(92),CHAR(92))),"$",_xlfn.CONCAT(CHAR(92),"$")),CHAR(96),_xlfn.CONCAT(CHAR(92),CHAR(96))),CHAR(34),CHAR(39))))</f>
        <v/>
      </c>
      <c r="Q166" s="5" t="str">
        <f>IF(OR(TRIM($B166)="",$G166=""),"",IF(OR(ISNUMBER(SEARCH(_xlfn.CONCAT(CHAR(96),CHAR(34)),$G166)),ISNUMBER(SEARCH(_xlfn.CONCAT(CHAR(34),CHAR(39)),$G166))),_xlfn.CONCAT("* REVIEW REQUIRED: compound-quote delimiter in Universe on Sheet 1 row ",166,"; edit the input before running."),_xlfn.CONCAT("char ",TRIM($B166),"[doc_universe] ",CHAR(96),CHAR(34),SUBSTITUTE(SUBSTITUTE(SUBSTITUTE(SUBSTITUTE(SUBSTITUTE(SUBSTITUTE($G166,CHAR(13)," "),CHAR(10)," "),CHAR(9)," "),CHAR(92),_xlfn.CONCAT(CHAR(92),CHAR(92))),"$",_xlfn.CONCAT(CHAR(92),"$")),CHAR(96),_xlfn.CONCAT(CHAR(92),CHAR(96))),CHAR(34),CHAR(39))))</f>
        <v/>
      </c>
      <c r="R166" s="5" t="str">
        <f>IF(OR(TRIM($B166)="",$H166=""),"",IF(OR(ISNUMBER(SEARCH(_xlfn.CONCAT(CHAR(96),CHAR(34)),$H166)),ISNUMBER(SEARCH(_xlfn.CONCAT(CHAR(34),CHAR(39)),$H166))),_xlfn.CONCAT("* REVIEW REQUIRED: compound-quote delimiter in Source on Sheet 1 row ",166,"; edit the input before running."),_xlfn.CONCAT("char ",TRIM($B166),"[doc_source] ",CHAR(96),CHAR(34),SUBSTITUTE(SUBSTITUTE(SUBSTITUTE(SUBSTITUTE(SUBSTITUTE(SUBSTITUTE($H166,CHAR(13)," "),CHAR(10)," "),CHAR(9)," "),CHAR(92),_xlfn.CONCAT(CHAR(92),CHAR(92))),"$",_xlfn.CONCAT(CHAR(92),"$")),CHAR(96),_xlfn.CONCAT(CHAR(92),CHAR(96))),CHAR(34),CHAR(39))))</f>
        <v/>
      </c>
      <c r="S166" s="5" t="str">
        <f>IF(OR(TRIM($B166)="",$I166=""),"",IF(OR(ISNUMBER(SEARCH(_xlfn.CONCAT(CHAR(96),CHAR(34)),$I166)),ISNUMBER(SEARCH(_xlfn.CONCAT(CHAR(34),CHAR(39)),$I166))),_xlfn.CONCAT("* REVIEW REQUIRED: compound-quote delimiter in Derivation on Sheet 1 row ",166,"; edit the input before running."),_xlfn.CONCAT("char ",TRIM($B166),"[doc_derivation] ",CHAR(96),CHAR(34),SUBSTITUTE(SUBSTITUTE(SUBSTITUTE(SUBSTITUTE(SUBSTITUTE(SUBSTITUTE($I166,CHAR(13)," "),CHAR(10)," "),CHAR(9)," "),CHAR(92),_xlfn.CONCAT(CHAR(92),CHAR(92))),"$",_xlfn.CONCAT(CHAR(92),"$")),CHAR(96),_xlfn.CONCAT(CHAR(92),CHAR(96))),CHAR(34),CHAR(39))))</f>
        <v/>
      </c>
      <c r="T166" s="5" t="str">
        <f>IF(OR(TRIM($B166)="",$J166=""),"",IF(OR(ISNUMBER(SEARCH(_xlfn.CONCAT(CHAR(96),CHAR(34)),$J166)),ISNUMBER(SEARCH(_xlfn.CONCAT(CHAR(34),CHAR(39)),$J166))),_xlfn.CONCAT("* REVIEW REQUIRED: compound-quote delimiter in Notes on Sheet 1 row ",166,"; edit the input before running."),_xlfn.CONCAT("char ",TRIM($B166),"[doc_notes] ",CHAR(96),CHAR(34),SUBSTITUTE(SUBSTITUTE(SUBSTITUTE(SUBSTITUTE(SUBSTITUTE(SUBSTITUTE($J166,CHAR(13)," "),CHAR(10)," "),CHAR(9)," "),CHAR(92),_xlfn.CONCAT(CHAR(92),CHAR(92))),"$",_xlfn.CONCAT(CHAR(92),"$")),CHAR(96),_xlfn.CONCAT(CHAR(92),CHAR(96))),CHAR(34),CHAR(39))))</f>
        <v/>
      </c>
      <c r="U166" s="5">
        <f t="shared" si="5"/>
        <v>0</v>
      </c>
    </row>
    <row r="167" spans="3:21" ht="30" customHeight="1" x14ac:dyDescent="0.2">
      <c r="C167" s="4"/>
      <c r="K167" s="5">
        <f t="shared" si="4"/>
        <v>0</v>
      </c>
      <c r="L167" s="5" t="str">
        <f>IF(OR(TRIM($B167)="",$A167=""),"",IF(OR(ISNUMBER(SEARCH(_xlfn.CONCAT(CHAR(96),CHAR(34)),$A167)),ISNUMBER(SEARCH(_xlfn.CONCAT(CHAR(34),CHAR(39)),$A167))),_xlfn.CONCAT("* REVIEW REQUIRED: compound-quote delimiter in Codebook Section on Sheet 1 row ",167,"; edit the input before running."),_xlfn.CONCAT("char ",TRIM($B167),"[doc_section] ",CHAR(96),CHAR(34),SUBSTITUTE(SUBSTITUTE(SUBSTITUTE(SUBSTITUTE(SUBSTITUTE(SUBSTITUTE($A167,CHAR(13)," "),CHAR(10)," "),CHAR(9)," "),CHAR(92),_xlfn.CONCAT(CHAR(92),CHAR(92))),"$",_xlfn.CONCAT(CHAR(92),"$")),CHAR(96),_xlfn.CONCAT(CHAR(92),CHAR(96))),CHAR(34),CHAR(39))))</f>
        <v/>
      </c>
      <c r="M167" s="5" t="str">
        <f>IF(OR(TRIM($B167)="",$C167=""),"",IF(IFERROR(MATCH(TRIM($C167),{"Quantitative","Continuous","Discrete","Categorical","Nominal","Ordinal","Identifier"},0),0)=0,_xlfn.CONCAT("* REVIEW REQUIRED: invalid Variable Type on Sheet 1 row ",167,"."),_xlfn.CONCAT("char ",TRIM($B167),"[doc_vartype] ",CHAR(96),CHAR(34),SUBSTITUTE(SUBSTITUTE(SUBSTITUTE(SUBSTITUTE(SUBSTITUTE(SUBSTITUTE(LOWER(TRIM($C167)),CHAR(13)," "),CHAR(10)," "),CHAR(9)," "),CHAR(92),_xlfn.CONCAT(CHAR(92),CHAR(92))),"$",_xlfn.CONCAT(CHAR(92),"$")),CHAR(96),_xlfn.CONCAT(CHAR(92),CHAR(96))),CHAR(34),CHAR(39))))</f>
        <v/>
      </c>
      <c r="N167" s="5" t="str">
        <f>IF(OR(TRIM($B167)="",$D167=""),"",IF(OR(ISNUMBER(SEARCH(_xlfn.CONCAT(CHAR(96),CHAR(34)),$D167)),ISNUMBER(SEARCH(_xlfn.CONCAT(CHAR(34),CHAR(39)),$D167))),_xlfn.CONCAT("* REVIEW REQUIRED: compound-quote delimiter in Item Number on Sheet 1 row ",167,"; edit the input before running."),_xlfn.CONCAT("char ",TRIM($B167),"[doc_itemnum] ",CHAR(96),CHAR(34),SUBSTITUTE(SUBSTITUTE(SUBSTITUTE(SUBSTITUTE(SUBSTITUTE(SUBSTITUTE($D167,CHAR(13)," "),CHAR(10)," "),CHAR(9)," "),CHAR(92),_xlfn.CONCAT(CHAR(92),CHAR(92))),"$",_xlfn.CONCAT(CHAR(92),"$")),CHAR(96),_xlfn.CONCAT(CHAR(92),CHAR(96))),CHAR(34),CHAR(39))))</f>
        <v/>
      </c>
      <c r="O167" s="5" t="str">
        <f>IF(OR(TRIM($B167)="",$E167=""),"",IF(OR(ISNUMBER(SEARCH(_xlfn.CONCAT(CHAR(96),CHAR(34)),$E167)),ISNUMBER(SEARCH(_xlfn.CONCAT(CHAR(34),CHAR(39)),$E167))),_xlfn.CONCAT("* REVIEW REQUIRED: compound-quote delimiter in Question Wording on Sheet 1 row ",167,"; edit the input before running."),_xlfn.CONCAT("char ",TRIM($B167),"[doc_question] ",CHAR(96),CHAR(34),SUBSTITUTE(SUBSTITUTE(SUBSTITUTE(SUBSTITUTE(SUBSTITUTE(SUBSTITUTE($E167,CHAR(13)," "),CHAR(10)," "),CHAR(9)," "),CHAR(92),_xlfn.CONCAT(CHAR(92),CHAR(92))),"$",_xlfn.CONCAT(CHAR(92),"$")),CHAR(96),_xlfn.CONCAT(CHAR(92),CHAR(96))),CHAR(34),CHAR(39))))</f>
        <v/>
      </c>
      <c r="P167" s="5" t="str">
        <f>IF(OR(TRIM($B167)="",$F167=""),"",IF(OR(ISNUMBER(SEARCH(_xlfn.CONCAT(CHAR(96),CHAR(34)),$F167)),ISNUMBER(SEARCH(_xlfn.CONCAT(CHAR(34),CHAR(39)),$F167))),_xlfn.CONCAT("* REVIEW REQUIRED: compound-quote delimiter in Units on Sheet 1 row ",167,"; edit the input before running."),_xlfn.CONCAT("char ",TRIM($B167),"[doc_units] ",CHAR(96),CHAR(34),SUBSTITUTE(SUBSTITUTE(SUBSTITUTE(SUBSTITUTE(SUBSTITUTE(SUBSTITUTE($F167,CHAR(13)," "),CHAR(10)," "),CHAR(9)," "),CHAR(92),_xlfn.CONCAT(CHAR(92),CHAR(92))),"$",_xlfn.CONCAT(CHAR(92),"$")),CHAR(96),_xlfn.CONCAT(CHAR(92),CHAR(96))),CHAR(34),CHAR(39))))</f>
        <v/>
      </c>
      <c r="Q167" s="5" t="str">
        <f>IF(OR(TRIM($B167)="",$G167=""),"",IF(OR(ISNUMBER(SEARCH(_xlfn.CONCAT(CHAR(96),CHAR(34)),$G167)),ISNUMBER(SEARCH(_xlfn.CONCAT(CHAR(34),CHAR(39)),$G167))),_xlfn.CONCAT("* REVIEW REQUIRED: compound-quote delimiter in Universe on Sheet 1 row ",167,"; edit the input before running."),_xlfn.CONCAT("char ",TRIM($B167),"[doc_universe] ",CHAR(96),CHAR(34),SUBSTITUTE(SUBSTITUTE(SUBSTITUTE(SUBSTITUTE(SUBSTITUTE(SUBSTITUTE($G167,CHAR(13)," "),CHAR(10)," "),CHAR(9)," "),CHAR(92),_xlfn.CONCAT(CHAR(92),CHAR(92))),"$",_xlfn.CONCAT(CHAR(92),"$")),CHAR(96),_xlfn.CONCAT(CHAR(92),CHAR(96))),CHAR(34),CHAR(39))))</f>
        <v/>
      </c>
      <c r="R167" s="5" t="str">
        <f>IF(OR(TRIM($B167)="",$H167=""),"",IF(OR(ISNUMBER(SEARCH(_xlfn.CONCAT(CHAR(96),CHAR(34)),$H167)),ISNUMBER(SEARCH(_xlfn.CONCAT(CHAR(34),CHAR(39)),$H167))),_xlfn.CONCAT("* REVIEW REQUIRED: compound-quote delimiter in Source on Sheet 1 row ",167,"; edit the input before running."),_xlfn.CONCAT("char ",TRIM($B167),"[doc_source] ",CHAR(96),CHAR(34),SUBSTITUTE(SUBSTITUTE(SUBSTITUTE(SUBSTITUTE(SUBSTITUTE(SUBSTITUTE($H167,CHAR(13)," "),CHAR(10)," "),CHAR(9)," "),CHAR(92),_xlfn.CONCAT(CHAR(92),CHAR(92))),"$",_xlfn.CONCAT(CHAR(92),"$")),CHAR(96),_xlfn.CONCAT(CHAR(92),CHAR(96))),CHAR(34),CHAR(39))))</f>
        <v/>
      </c>
      <c r="S167" s="5" t="str">
        <f>IF(OR(TRIM($B167)="",$I167=""),"",IF(OR(ISNUMBER(SEARCH(_xlfn.CONCAT(CHAR(96),CHAR(34)),$I167)),ISNUMBER(SEARCH(_xlfn.CONCAT(CHAR(34),CHAR(39)),$I167))),_xlfn.CONCAT("* REVIEW REQUIRED: compound-quote delimiter in Derivation on Sheet 1 row ",167,"; edit the input before running."),_xlfn.CONCAT("char ",TRIM($B167),"[doc_derivation] ",CHAR(96),CHAR(34),SUBSTITUTE(SUBSTITUTE(SUBSTITUTE(SUBSTITUTE(SUBSTITUTE(SUBSTITUTE($I167,CHAR(13)," "),CHAR(10)," "),CHAR(9)," "),CHAR(92),_xlfn.CONCAT(CHAR(92),CHAR(92))),"$",_xlfn.CONCAT(CHAR(92),"$")),CHAR(96),_xlfn.CONCAT(CHAR(92),CHAR(96))),CHAR(34),CHAR(39))))</f>
        <v/>
      </c>
      <c r="T167" s="5" t="str">
        <f>IF(OR(TRIM($B167)="",$J167=""),"",IF(OR(ISNUMBER(SEARCH(_xlfn.CONCAT(CHAR(96),CHAR(34)),$J167)),ISNUMBER(SEARCH(_xlfn.CONCAT(CHAR(34),CHAR(39)),$J167))),_xlfn.CONCAT("* REVIEW REQUIRED: compound-quote delimiter in Notes on Sheet 1 row ",167,"; edit the input before running."),_xlfn.CONCAT("char ",TRIM($B167),"[doc_notes] ",CHAR(96),CHAR(34),SUBSTITUTE(SUBSTITUTE(SUBSTITUTE(SUBSTITUTE(SUBSTITUTE(SUBSTITUTE($J167,CHAR(13)," "),CHAR(10)," "),CHAR(9)," "),CHAR(92),_xlfn.CONCAT(CHAR(92),CHAR(92))),"$",_xlfn.CONCAT(CHAR(92),"$")),CHAR(96),_xlfn.CONCAT(CHAR(92),CHAR(96))),CHAR(34),CHAR(39))))</f>
        <v/>
      </c>
      <c r="U167" s="5">
        <f t="shared" si="5"/>
        <v>0</v>
      </c>
    </row>
    <row r="168" spans="3:21" ht="30" customHeight="1" x14ac:dyDescent="0.2">
      <c r="C168" s="4"/>
      <c r="K168" s="5">
        <f t="shared" si="4"/>
        <v>0</v>
      </c>
      <c r="L168" s="5" t="str">
        <f>IF(OR(TRIM($B168)="",$A168=""),"",IF(OR(ISNUMBER(SEARCH(_xlfn.CONCAT(CHAR(96),CHAR(34)),$A168)),ISNUMBER(SEARCH(_xlfn.CONCAT(CHAR(34),CHAR(39)),$A168))),_xlfn.CONCAT("* REVIEW REQUIRED: compound-quote delimiter in Codebook Section on Sheet 1 row ",168,"; edit the input before running."),_xlfn.CONCAT("char ",TRIM($B168),"[doc_section] ",CHAR(96),CHAR(34),SUBSTITUTE(SUBSTITUTE(SUBSTITUTE(SUBSTITUTE(SUBSTITUTE(SUBSTITUTE($A168,CHAR(13)," "),CHAR(10)," "),CHAR(9)," "),CHAR(92),_xlfn.CONCAT(CHAR(92),CHAR(92))),"$",_xlfn.CONCAT(CHAR(92),"$")),CHAR(96),_xlfn.CONCAT(CHAR(92),CHAR(96))),CHAR(34),CHAR(39))))</f>
        <v/>
      </c>
      <c r="M168" s="5" t="str">
        <f>IF(OR(TRIM($B168)="",$C168=""),"",IF(IFERROR(MATCH(TRIM($C168),{"Quantitative","Continuous","Discrete","Categorical","Nominal","Ordinal","Identifier"},0),0)=0,_xlfn.CONCAT("* REVIEW REQUIRED: invalid Variable Type on Sheet 1 row ",168,"."),_xlfn.CONCAT("char ",TRIM($B168),"[doc_vartype] ",CHAR(96),CHAR(34),SUBSTITUTE(SUBSTITUTE(SUBSTITUTE(SUBSTITUTE(SUBSTITUTE(SUBSTITUTE(LOWER(TRIM($C168)),CHAR(13)," "),CHAR(10)," "),CHAR(9)," "),CHAR(92),_xlfn.CONCAT(CHAR(92),CHAR(92))),"$",_xlfn.CONCAT(CHAR(92),"$")),CHAR(96),_xlfn.CONCAT(CHAR(92),CHAR(96))),CHAR(34),CHAR(39))))</f>
        <v/>
      </c>
      <c r="N168" s="5" t="str">
        <f>IF(OR(TRIM($B168)="",$D168=""),"",IF(OR(ISNUMBER(SEARCH(_xlfn.CONCAT(CHAR(96),CHAR(34)),$D168)),ISNUMBER(SEARCH(_xlfn.CONCAT(CHAR(34),CHAR(39)),$D168))),_xlfn.CONCAT("* REVIEW REQUIRED: compound-quote delimiter in Item Number on Sheet 1 row ",168,"; edit the input before running."),_xlfn.CONCAT("char ",TRIM($B168),"[doc_itemnum] ",CHAR(96),CHAR(34),SUBSTITUTE(SUBSTITUTE(SUBSTITUTE(SUBSTITUTE(SUBSTITUTE(SUBSTITUTE($D168,CHAR(13)," "),CHAR(10)," "),CHAR(9)," "),CHAR(92),_xlfn.CONCAT(CHAR(92),CHAR(92))),"$",_xlfn.CONCAT(CHAR(92),"$")),CHAR(96),_xlfn.CONCAT(CHAR(92),CHAR(96))),CHAR(34),CHAR(39))))</f>
        <v/>
      </c>
      <c r="O168" s="5" t="str">
        <f>IF(OR(TRIM($B168)="",$E168=""),"",IF(OR(ISNUMBER(SEARCH(_xlfn.CONCAT(CHAR(96),CHAR(34)),$E168)),ISNUMBER(SEARCH(_xlfn.CONCAT(CHAR(34),CHAR(39)),$E168))),_xlfn.CONCAT("* REVIEW REQUIRED: compound-quote delimiter in Question Wording on Sheet 1 row ",168,"; edit the input before running."),_xlfn.CONCAT("char ",TRIM($B168),"[doc_question] ",CHAR(96),CHAR(34),SUBSTITUTE(SUBSTITUTE(SUBSTITUTE(SUBSTITUTE(SUBSTITUTE(SUBSTITUTE($E168,CHAR(13)," "),CHAR(10)," "),CHAR(9)," "),CHAR(92),_xlfn.CONCAT(CHAR(92),CHAR(92))),"$",_xlfn.CONCAT(CHAR(92),"$")),CHAR(96),_xlfn.CONCAT(CHAR(92),CHAR(96))),CHAR(34),CHAR(39))))</f>
        <v/>
      </c>
      <c r="P168" s="5" t="str">
        <f>IF(OR(TRIM($B168)="",$F168=""),"",IF(OR(ISNUMBER(SEARCH(_xlfn.CONCAT(CHAR(96),CHAR(34)),$F168)),ISNUMBER(SEARCH(_xlfn.CONCAT(CHAR(34),CHAR(39)),$F168))),_xlfn.CONCAT("* REVIEW REQUIRED: compound-quote delimiter in Units on Sheet 1 row ",168,"; edit the input before running."),_xlfn.CONCAT("char ",TRIM($B168),"[doc_units] ",CHAR(96),CHAR(34),SUBSTITUTE(SUBSTITUTE(SUBSTITUTE(SUBSTITUTE(SUBSTITUTE(SUBSTITUTE($F168,CHAR(13)," "),CHAR(10)," "),CHAR(9)," "),CHAR(92),_xlfn.CONCAT(CHAR(92),CHAR(92))),"$",_xlfn.CONCAT(CHAR(92),"$")),CHAR(96),_xlfn.CONCAT(CHAR(92),CHAR(96))),CHAR(34),CHAR(39))))</f>
        <v/>
      </c>
      <c r="Q168" s="5" t="str">
        <f>IF(OR(TRIM($B168)="",$G168=""),"",IF(OR(ISNUMBER(SEARCH(_xlfn.CONCAT(CHAR(96),CHAR(34)),$G168)),ISNUMBER(SEARCH(_xlfn.CONCAT(CHAR(34),CHAR(39)),$G168))),_xlfn.CONCAT("* REVIEW REQUIRED: compound-quote delimiter in Universe on Sheet 1 row ",168,"; edit the input before running."),_xlfn.CONCAT("char ",TRIM($B168),"[doc_universe] ",CHAR(96),CHAR(34),SUBSTITUTE(SUBSTITUTE(SUBSTITUTE(SUBSTITUTE(SUBSTITUTE(SUBSTITUTE($G168,CHAR(13)," "),CHAR(10)," "),CHAR(9)," "),CHAR(92),_xlfn.CONCAT(CHAR(92),CHAR(92))),"$",_xlfn.CONCAT(CHAR(92),"$")),CHAR(96),_xlfn.CONCAT(CHAR(92),CHAR(96))),CHAR(34),CHAR(39))))</f>
        <v/>
      </c>
      <c r="R168" s="5" t="str">
        <f>IF(OR(TRIM($B168)="",$H168=""),"",IF(OR(ISNUMBER(SEARCH(_xlfn.CONCAT(CHAR(96),CHAR(34)),$H168)),ISNUMBER(SEARCH(_xlfn.CONCAT(CHAR(34),CHAR(39)),$H168))),_xlfn.CONCAT("* REVIEW REQUIRED: compound-quote delimiter in Source on Sheet 1 row ",168,"; edit the input before running."),_xlfn.CONCAT("char ",TRIM($B168),"[doc_source] ",CHAR(96),CHAR(34),SUBSTITUTE(SUBSTITUTE(SUBSTITUTE(SUBSTITUTE(SUBSTITUTE(SUBSTITUTE($H168,CHAR(13)," "),CHAR(10)," "),CHAR(9)," "),CHAR(92),_xlfn.CONCAT(CHAR(92),CHAR(92))),"$",_xlfn.CONCAT(CHAR(92),"$")),CHAR(96),_xlfn.CONCAT(CHAR(92),CHAR(96))),CHAR(34),CHAR(39))))</f>
        <v/>
      </c>
      <c r="S168" s="5" t="str">
        <f>IF(OR(TRIM($B168)="",$I168=""),"",IF(OR(ISNUMBER(SEARCH(_xlfn.CONCAT(CHAR(96),CHAR(34)),$I168)),ISNUMBER(SEARCH(_xlfn.CONCAT(CHAR(34),CHAR(39)),$I168))),_xlfn.CONCAT("* REVIEW REQUIRED: compound-quote delimiter in Derivation on Sheet 1 row ",168,"; edit the input before running."),_xlfn.CONCAT("char ",TRIM($B168),"[doc_derivation] ",CHAR(96),CHAR(34),SUBSTITUTE(SUBSTITUTE(SUBSTITUTE(SUBSTITUTE(SUBSTITUTE(SUBSTITUTE($I168,CHAR(13)," "),CHAR(10)," "),CHAR(9)," "),CHAR(92),_xlfn.CONCAT(CHAR(92),CHAR(92))),"$",_xlfn.CONCAT(CHAR(92),"$")),CHAR(96),_xlfn.CONCAT(CHAR(92),CHAR(96))),CHAR(34),CHAR(39))))</f>
        <v/>
      </c>
      <c r="T168" s="5" t="str">
        <f>IF(OR(TRIM($B168)="",$J168=""),"",IF(OR(ISNUMBER(SEARCH(_xlfn.CONCAT(CHAR(96),CHAR(34)),$J168)),ISNUMBER(SEARCH(_xlfn.CONCAT(CHAR(34),CHAR(39)),$J168))),_xlfn.CONCAT("* REVIEW REQUIRED: compound-quote delimiter in Notes on Sheet 1 row ",168,"; edit the input before running."),_xlfn.CONCAT("char ",TRIM($B168),"[doc_notes] ",CHAR(96),CHAR(34),SUBSTITUTE(SUBSTITUTE(SUBSTITUTE(SUBSTITUTE(SUBSTITUTE(SUBSTITUTE($J168,CHAR(13)," "),CHAR(10)," "),CHAR(9)," "),CHAR(92),_xlfn.CONCAT(CHAR(92),CHAR(92))),"$",_xlfn.CONCAT(CHAR(92),"$")),CHAR(96),_xlfn.CONCAT(CHAR(92),CHAR(96))),CHAR(34),CHAR(39))))</f>
        <v/>
      </c>
      <c r="U168" s="5">
        <f t="shared" si="5"/>
        <v>0</v>
      </c>
    </row>
    <row r="169" spans="3:21" ht="30" customHeight="1" x14ac:dyDescent="0.2">
      <c r="C169" s="4"/>
      <c r="K169" s="5">
        <f t="shared" si="4"/>
        <v>0</v>
      </c>
      <c r="L169" s="5" t="str">
        <f>IF(OR(TRIM($B169)="",$A169=""),"",IF(OR(ISNUMBER(SEARCH(_xlfn.CONCAT(CHAR(96),CHAR(34)),$A169)),ISNUMBER(SEARCH(_xlfn.CONCAT(CHAR(34),CHAR(39)),$A169))),_xlfn.CONCAT("* REVIEW REQUIRED: compound-quote delimiter in Codebook Section on Sheet 1 row ",169,"; edit the input before running."),_xlfn.CONCAT("char ",TRIM($B169),"[doc_section] ",CHAR(96),CHAR(34),SUBSTITUTE(SUBSTITUTE(SUBSTITUTE(SUBSTITUTE(SUBSTITUTE(SUBSTITUTE($A169,CHAR(13)," "),CHAR(10)," "),CHAR(9)," "),CHAR(92),_xlfn.CONCAT(CHAR(92),CHAR(92))),"$",_xlfn.CONCAT(CHAR(92),"$")),CHAR(96),_xlfn.CONCAT(CHAR(92),CHAR(96))),CHAR(34),CHAR(39))))</f>
        <v/>
      </c>
      <c r="M169" s="5" t="str">
        <f>IF(OR(TRIM($B169)="",$C169=""),"",IF(IFERROR(MATCH(TRIM($C169),{"Quantitative","Continuous","Discrete","Categorical","Nominal","Ordinal","Identifier"},0),0)=0,_xlfn.CONCAT("* REVIEW REQUIRED: invalid Variable Type on Sheet 1 row ",169,"."),_xlfn.CONCAT("char ",TRIM($B169),"[doc_vartype] ",CHAR(96),CHAR(34),SUBSTITUTE(SUBSTITUTE(SUBSTITUTE(SUBSTITUTE(SUBSTITUTE(SUBSTITUTE(LOWER(TRIM($C169)),CHAR(13)," "),CHAR(10)," "),CHAR(9)," "),CHAR(92),_xlfn.CONCAT(CHAR(92),CHAR(92))),"$",_xlfn.CONCAT(CHAR(92),"$")),CHAR(96),_xlfn.CONCAT(CHAR(92),CHAR(96))),CHAR(34),CHAR(39))))</f>
        <v/>
      </c>
      <c r="N169" s="5" t="str">
        <f>IF(OR(TRIM($B169)="",$D169=""),"",IF(OR(ISNUMBER(SEARCH(_xlfn.CONCAT(CHAR(96),CHAR(34)),$D169)),ISNUMBER(SEARCH(_xlfn.CONCAT(CHAR(34),CHAR(39)),$D169))),_xlfn.CONCAT("* REVIEW REQUIRED: compound-quote delimiter in Item Number on Sheet 1 row ",169,"; edit the input before running."),_xlfn.CONCAT("char ",TRIM($B169),"[doc_itemnum] ",CHAR(96),CHAR(34),SUBSTITUTE(SUBSTITUTE(SUBSTITUTE(SUBSTITUTE(SUBSTITUTE(SUBSTITUTE($D169,CHAR(13)," "),CHAR(10)," "),CHAR(9)," "),CHAR(92),_xlfn.CONCAT(CHAR(92),CHAR(92))),"$",_xlfn.CONCAT(CHAR(92),"$")),CHAR(96),_xlfn.CONCAT(CHAR(92),CHAR(96))),CHAR(34),CHAR(39))))</f>
        <v/>
      </c>
      <c r="O169" s="5" t="str">
        <f>IF(OR(TRIM($B169)="",$E169=""),"",IF(OR(ISNUMBER(SEARCH(_xlfn.CONCAT(CHAR(96),CHAR(34)),$E169)),ISNUMBER(SEARCH(_xlfn.CONCAT(CHAR(34),CHAR(39)),$E169))),_xlfn.CONCAT("* REVIEW REQUIRED: compound-quote delimiter in Question Wording on Sheet 1 row ",169,"; edit the input before running."),_xlfn.CONCAT("char ",TRIM($B169),"[doc_question] ",CHAR(96),CHAR(34),SUBSTITUTE(SUBSTITUTE(SUBSTITUTE(SUBSTITUTE(SUBSTITUTE(SUBSTITUTE($E169,CHAR(13)," "),CHAR(10)," "),CHAR(9)," "),CHAR(92),_xlfn.CONCAT(CHAR(92),CHAR(92))),"$",_xlfn.CONCAT(CHAR(92),"$")),CHAR(96),_xlfn.CONCAT(CHAR(92),CHAR(96))),CHAR(34),CHAR(39))))</f>
        <v/>
      </c>
      <c r="P169" s="5" t="str">
        <f>IF(OR(TRIM($B169)="",$F169=""),"",IF(OR(ISNUMBER(SEARCH(_xlfn.CONCAT(CHAR(96),CHAR(34)),$F169)),ISNUMBER(SEARCH(_xlfn.CONCAT(CHAR(34),CHAR(39)),$F169))),_xlfn.CONCAT("* REVIEW REQUIRED: compound-quote delimiter in Units on Sheet 1 row ",169,"; edit the input before running."),_xlfn.CONCAT("char ",TRIM($B169),"[doc_units] ",CHAR(96),CHAR(34),SUBSTITUTE(SUBSTITUTE(SUBSTITUTE(SUBSTITUTE(SUBSTITUTE(SUBSTITUTE($F169,CHAR(13)," "),CHAR(10)," "),CHAR(9)," "),CHAR(92),_xlfn.CONCAT(CHAR(92),CHAR(92))),"$",_xlfn.CONCAT(CHAR(92),"$")),CHAR(96),_xlfn.CONCAT(CHAR(92),CHAR(96))),CHAR(34),CHAR(39))))</f>
        <v/>
      </c>
      <c r="Q169" s="5" t="str">
        <f>IF(OR(TRIM($B169)="",$G169=""),"",IF(OR(ISNUMBER(SEARCH(_xlfn.CONCAT(CHAR(96),CHAR(34)),$G169)),ISNUMBER(SEARCH(_xlfn.CONCAT(CHAR(34),CHAR(39)),$G169))),_xlfn.CONCAT("* REVIEW REQUIRED: compound-quote delimiter in Universe on Sheet 1 row ",169,"; edit the input before running."),_xlfn.CONCAT("char ",TRIM($B169),"[doc_universe] ",CHAR(96),CHAR(34),SUBSTITUTE(SUBSTITUTE(SUBSTITUTE(SUBSTITUTE(SUBSTITUTE(SUBSTITUTE($G169,CHAR(13)," "),CHAR(10)," "),CHAR(9)," "),CHAR(92),_xlfn.CONCAT(CHAR(92),CHAR(92))),"$",_xlfn.CONCAT(CHAR(92),"$")),CHAR(96),_xlfn.CONCAT(CHAR(92),CHAR(96))),CHAR(34),CHAR(39))))</f>
        <v/>
      </c>
      <c r="R169" s="5" t="str">
        <f>IF(OR(TRIM($B169)="",$H169=""),"",IF(OR(ISNUMBER(SEARCH(_xlfn.CONCAT(CHAR(96),CHAR(34)),$H169)),ISNUMBER(SEARCH(_xlfn.CONCAT(CHAR(34),CHAR(39)),$H169))),_xlfn.CONCAT("* REVIEW REQUIRED: compound-quote delimiter in Source on Sheet 1 row ",169,"; edit the input before running."),_xlfn.CONCAT("char ",TRIM($B169),"[doc_source] ",CHAR(96),CHAR(34),SUBSTITUTE(SUBSTITUTE(SUBSTITUTE(SUBSTITUTE(SUBSTITUTE(SUBSTITUTE($H169,CHAR(13)," "),CHAR(10)," "),CHAR(9)," "),CHAR(92),_xlfn.CONCAT(CHAR(92),CHAR(92))),"$",_xlfn.CONCAT(CHAR(92),"$")),CHAR(96),_xlfn.CONCAT(CHAR(92),CHAR(96))),CHAR(34),CHAR(39))))</f>
        <v/>
      </c>
      <c r="S169" s="5" t="str">
        <f>IF(OR(TRIM($B169)="",$I169=""),"",IF(OR(ISNUMBER(SEARCH(_xlfn.CONCAT(CHAR(96),CHAR(34)),$I169)),ISNUMBER(SEARCH(_xlfn.CONCAT(CHAR(34),CHAR(39)),$I169))),_xlfn.CONCAT("* REVIEW REQUIRED: compound-quote delimiter in Derivation on Sheet 1 row ",169,"; edit the input before running."),_xlfn.CONCAT("char ",TRIM($B169),"[doc_derivation] ",CHAR(96),CHAR(34),SUBSTITUTE(SUBSTITUTE(SUBSTITUTE(SUBSTITUTE(SUBSTITUTE(SUBSTITUTE($I169,CHAR(13)," "),CHAR(10)," "),CHAR(9)," "),CHAR(92),_xlfn.CONCAT(CHAR(92),CHAR(92))),"$",_xlfn.CONCAT(CHAR(92),"$")),CHAR(96),_xlfn.CONCAT(CHAR(92),CHAR(96))),CHAR(34),CHAR(39))))</f>
        <v/>
      </c>
      <c r="T169" s="5" t="str">
        <f>IF(OR(TRIM($B169)="",$J169=""),"",IF(OR(ISNUMBER(SEARCH(_xlfn.CONCAT(CHAR(96),CHAR(34)),$J169)),ISNUMBER(SEARCH(_xlfn.CONCAT(CHAR(34),CHAR(39)),$J169))),_xlfn.CONCAT("* REVIEW REQUIRED: compound-quote delimiter in Notes on Sheet 1 row ",169,"; edit the input before running."),_xlfn.CONCAT("char ",TRIM($B169),"[doc_notes] ",CHAR(96),CHAR(34),SUBSTITUTE(SUBSTITUTE(SUBSTITUTE(SUBSTITUTE(SUBSTITUTE(SUBSTITUTE($J169,CHAR(13)," "),CHAR(10)," "),CHAR(9)," "),CHAR(92),_xlfn.CONCAT(CHAR(92),CHAR(92))),"$",_xlfn.CONCAT(CHAR(92),"$")),CHAR(96),_xlfn.CONCAT(CHAR(92),CHAR(96))),CHAR(34),CHAR(39))))</f>
        <v/>
      </c>
      <c r="U169" s="5">
        <f t="shared" si="5"/>
        <v>0</v>
      </c>
    </row>
    <row r="170" spans="3:21" ht="30" customHeight="1" x14ac:dyDescent="0.2">
      <c r="C170" s="4"/>
      <c r="K170" s="5">
        <f t="shared" si="4"/>
        <v>0</v>
      </c>
      <c r="L170" s="5" t="str">
        <f>IF(OR(TRIM($B170)="",$A170=""),"",IF(OR(ISNUMBER(SEARCH(_xlfn.CONCAT(CHAR(96),CHAR(34)),$A170)),ISNUMBER(SEARCH(_xlfn.CONCAT(CHAR(34),CHAR(39)),$A170))),_xlfn.CONCAT("* REVIEW REQUIRED: compound-quote delimiter in Codebook Section on Sheet 1 row ",170,"; edit the input before running."),_xlfn.CONCAT("char ",TRIM($B170),"[doc_section] ",CHAR(96),CHAR(34),SUBSTITUTE(SUBSTITUTE(SUBSTITUTE(SUBSTITUTE(SUBSTITUTE(SUBSTITUTE($A170,CHAR(13)," "),CHAR(10)," "),CHAR(9)," "),CHAR(92),_xlfn.CONCAT(CHAR(92),CHAR(92))),"$",_xlfn.CONCAT(CHAR(92),"$")),CHAR(96),_xlfn.CONCAT(CHAR(92),CHAR(96))),CHAR(34),CHAR(39))))</f>
        <v/>
      </c>
      <c r="M170" s="5" t="str">
        <f>IF(OR(TRIM($B170)="",$C170=""),"",IF(IFERROR(MATCH(TRIM($C170),{"Quantitative","Continuous","Discrete","Categorical","Nominal","Ordinal","Identifier"},0),0)=0,_xlfn.CONCAT("* REVIEW REQUIRED: invalid Variable Type on Sheet 1 row ",170,"."),_xlfn.CONCAT("char ",TRIM($B170),"[doc_vartype] ",CHAR(96),CHAR(34),SUBSTITUTE(SUBSTITUTE(SUBSTITUTE(SUBSTITUTE(SUBSTITUTE(SUBSTITUTE(LOWER(TRIM($C170)),CHAR(13)," "),CHAR(10)," "),CHAR(9)," "),CHAR(92),_xlfn.CONCAT(CHAR(92),CHAR(92))),"$",_xlfn.CONCAT(CHAR(92),"$")),CHAR(96),_xlfn.CONCAT(CHAR(92),CHAR(96))),CHAR(34),CHAR(39))))</f>
        <v/>
      </c>
      <c r="N170" s="5" t="str">
        <f>IF(OR(TRIM($B170)="",$D170=""),"",IF(OR(ISNUMBER(SEARCH(_xlfn.CONCAT(CHAR(96),CHAR(34)),$D170)),ISNUMBER(SEARCH(_xlfn.CONCAT(CHAR(34),CHAR(39)),$D170))),_xlfn.CONCAT("* REVIEW REQUIRED: compound-quote delimiter in Item Number on Sheet 1 row ",170,"; edit the input before running."),_xlfn.CONCAT("char ",TRIM($B170),"[doc_itemnum] ",CHAR(96),CHAR(34),SUBSTITUTE(SUBSTITUTE(SUBSTITUTE(SUBSTITUTE(SUBSTITUTE(SUBSTITUTE($D170,CHAR(13)," "),CHAR(10)," "),CHAR(9)," "),CHAR(92),_xlfn.CONCAT(CHAR(92),CHAR(92))),"$",_xlfn.CONCAT(CHAR(92),"$")),CHAR(96),_xlfn.CONCAT(CHAR(92),CHAR(96))),CHAR(34),CHAR(39))))</f>
        <v/>
      </c>
      <c r="O170" s="5" t="str">
        <f>IF(OR(TRIM($B170)="",$E170=""),"",IF(OR(ISNUMBER(SEARCH(_xlfn.CONCAT(CHAR(96),CHAR(34)),$E170)),ISNUMBER(SEARCH(_xlfn.CONCAT(CHAR(34),CHAR(39)),$E170))),_xlfn.CONCAT("* REVIEW REQUIRED: compound-quote delimiter in Question Wording on Sheet 1 row ",170,"; edit the input before running."),_xlfn.CONCAT("char ",TRIM($B170),"[doc_question] ",CHAR(96),CHAR(34),SUBSTITUTE(SUBSTITUTE(SUBSTITUTE(SUBSTITUTE(SUBSTITUTE(SUBSTITUTE($E170,CHAR(13)," "),CHAR(10)," "),CHAR(9)," "),CHAR(92),_xlfn.CONCAT(CHAR(92),CHAR(92))),"$",_xlfn.CONCAT(CHAR(92),"$")),CHAR(96),_xlfn.CONCAT(CHAR(92),CHAR(96))),CHAR(34),CHAR(39))))</f>
        <v/>
      </c>
      <c r="P170" s="5" t="str">
        <f>IF(OR(TRIM($B170)="",$F170=""),"",IF(OR(ISNUMBER(SEARCH(_xlfn.CONCAT(CHAR(96),CHAR(34)),$F170)),ISNUMBER(SEARCH(_xlfn.CONCAT(CHAR(34),CHAR(39)),$F170))),_xlfn.CONCAT("* REVIEW REQUIRED: compound-quote delimiter in Units on Sheet 1 row ",170,"; edit the input before running."),_xlfn.CONCAT("char ",TRIM($B170),"[doc_units] ",CHAR(96),CHAR(34),SUBSTITUTE(SUBSTITUTE(SUBSTITUTE(SUBSTITUTE(SUBSTITUTE(SUBSTITUTE($F170,CHAR(13)," "),CHAR(10)," "),CHAR(9)," "),CHAR(92),_xlfn.CONCAT(CHAR(92),CHAR(92))),"$",_xlfn.CONCAT(CHAR(92),"$")),CHAR(96),_xlfn.CONCAT(CHAR(92),CHAR(96))),CHAR(34),CHAR(39))))</f>
        <v/>
      </c>
      <c r="Q170" s="5" t="str">
        <f>IF(OR(TRIM($B170)="",$G170=""),"",IF(OR(ISNUMBER(SEARCH(_xlfn.CONCAT(CHAR(96),CHAR(34)),$G170)),ISNUMBER(SEARCH(_xlfn.CONCAT(CHAR(34),CHAR(39)),$G170))),_xlfn.CONCAT("* REVIEW REQUIRED: compound-quote delimiter in Universe on Sheet 1 row ",170,"; edit the input before running."),_xlfn.CONCAT("char ",TRIM($B170),"[doc_universe] ",CHAR(96),CHAR(34),SUBSTITUTE(SUBSTITUTE(SUBSTITUTE(SUBSTITUTE(SUBSTITUTE(SUBSTITUTE($G170,CHAR(13)," "),CHAR(10)," "),CHAR(9)," "),CHAR(92),_xlfn.CONCAT(CHAR(92),CHAR(92))),"$",_xlfn.CONCAT(CHAR(92),"$")),CHAR(96),_xlfn.CONCAT(CHAR(92),CHAR(96))),CHAR(34),CHAR(39))))</f>
        <v/>
      </c>
      <c r="R170" s="5" t="str">
        <f>IF(OR(TRIM($B170)="",$H170=""),"",IF(OR(ISNUMBER(SEARCH(_xlfn.CONCAT(CHAR(96),CHAR(34)),$H170)),ISNUMBER(SEARCH(_xlfn.CONCAT(CHAR(34),CHAR(39)),$H170))),_xlfn.CONCAT("* REVIEW REQUIRED: compound-quote delimiter in Source on Sheet 1 row ",170,"; edit the input before running."),_xlfn.CONCAT("char ",TRIM($B170),"[doc_source] ",CHAR(96),CHAR(34),SUBSTITUTE(SUBSTITUTE(SUBSTITUTE(SUBSTITUTE(SUBSTITUTE(SUBSTITUTE($H170,CHAR(13)," "),CHAR(10)," "),CHAR(9)," "),CHAR(92),_xlfn.CONCAT(CHAR(92),CHAR(92))),"$",_xlfn.CONCAT(CHAR(92),"$")),CHAR(96),_xlfn.CONCAT(CHAR(92),CHAR(96))),CHAR(34),CHAR(39))))</f>
        <v/>
      </c>
      <c r="S170" s="5" t="str">
        <f>IF(OR(TRIM($B170)="",$I170=""),"",IF(OR(ISNUMBER(SEARCH(_xlfn.CONCAT(CHAR(96),CHAR(34)),$I170)),ISNUMBER(SEARCH(_xlfn.CONCAT(CHAR(34),CHAR(39)),$I170))),_xlfn.CONCAT("* REVIEW REQUIRED: compound-quote delimiter in Derivation on Sheet 1 row ",170,"; edit the input before running."),_xlfn.CONCAT("char ",TRIM($B170),"[doc_derivation] ",CHAR(96),CHAR(34),SUBSTITUTE(SUBSTITUTE(SUBSTITUTE(SUBSTITUTE(SUBSTITUTE(SUBSTITUTE($I170,CHAR(13)," "),CHAR(10)," "),CHAR(9)," "),CHAR(92),_xlfn.CONCAT(CHAR(92),CHAR(92))),"$",_xlfn.CONCAT(CHAR(92),"$")),CHAR(96),_xlfn.CONCAT(CHAR(92),CHAR(96))),CHAR(34),CHAR(39))))</f>
        <v/>
      </c>
      <c r="T170" s="5" t="str">
        <f>IF(OR(TRIM($B170)="",$J170=""),"",IF(OR(ISNUMBER(SEARCH(_xlfn.CONCAT(CHAR(96),CHAR(34)),$J170)),ISNUMBER(SEARCH(_xlfn.CONCAT(CHAR(34),CHAR(39)),$J170))),_xlfn.CONCAT("* REVIEW REQUIRED: compound-quote delimiter in Notes on Sheet 1 row ",170,"; edit the input before running."),_xlfn.CONCAT("char ",TRIM($B170),"[doc_notes] ",CHAR(96),CHAR(34),SUBSTITUTE(SUBSTITUTE(SUBSTITUTE(SUBSTITUTE(SUBSTITUTE(SUBSTITUTE($J170,CHAR(13)," "),CHAR(10)," "),CHAR(9)," "),CHAR(92),_xlfn.CONCAT(CHAR(92),CHAR(92))),"$",_xlfn.CONCAT(CHAR(92),"$")),CHAR(96),_xlfn.CONCAT(CHAR(92),CHAR(96))),CHAR(34),CHAR(39))))</f>
        <v/>
      </c>
      <c r="U170" s="5">
        <f t="shared" si="5"/>
        <v>0</v>
      </c>
    </row>
    <row r="171" spans="3:21" ht="30" customHeight="1" x14ac:dyDescent="0.2">
      <c r="C171" s="4"/>
      <c r="K171" s="5">
        <f t="shared" si="4"/>
        <v>0</v>
      </c>
      <c r="L171" s="5" t="str">
        <f>IF(OR(TRIM($B171)="",$A171=""),"",IF(OR(ISNUMBER(SEARCH(_xlfn.CONCAT(CHAR(96),CHAR(34)),$A171)),ISNUMBER(SEARCH(_xlfn.CONCAT(CHAR(34),CHAR(39)),$A171))),_xlfn.CONCAT("* REVIEW REQUIRED: compound-quote delimiter in Codebook Section on Sheet 1 row ",171,"; edit the input before running."),_xlfn.CONCAT("char ",TRIM($B171),"[doc_section] ",CHAR(96),CHAR(34),SUBSTITUTE(SUBSTITUTE(SUBSTITUTE(SUBSTITUTE(SUBSTITUTE(SUBSTITUTE($A171,CHAR(13)," "),CHAR(10)," "),CHAR(9)," "),CHAR(92),_xlfn.CONCAT(CHAR(92),CHAR(92))),"$",_xlfn.CONCAT(CHAR(92),"$")),CHAR(96),_xlfn.CONCAT(CHAR(92),CHAR(96))),CHAR(34),CHAR(39))))</f>
        <v/>
      </c>
      <c r="M171" s="5" t="str">
        <f>IF(OR(TRIM($B171)="",$C171=""),"",IF(IFERROR(MATCH(TRIM($C171),{"Quantitative","Continuous","Discrete","Categorical","Nominal","Ordinal","Identifier"},0),0)=0,_xlfn.CONCAT("* REVIEW REQUIRED: invalid Variable Type on Sheet 1 row ",171,"."),_xlfn.CONCAT("char ",TRIM($B171),"[doc_vartype] ",CHAR(96),CHAR(34),SUBSTITUTE(SUBSTITUTE(SUBSTITUTE(SUBSTITUTE(SUBSTITUTE(SUBSTITUTE(LOWER(TRIM($C171)),CHAR(13)," "),CHAR(10)," "),CHAR(9)," "),CHAR(92),_xlfn.CONCAT(CHAR(92),CHAR(92))),"$",_xlfn.CONCAT(CHAR(92),"$")),CHAR(96),_xlfn.CONCAT(CHAR(92),CHAR(96))),CHAR(34),CHAR(39))))</f>
        <v/>
      </c>
      <c r="N171" s="5" t="str">
        <f>IF(OR(TRIM($B171)="",$D171=""),"",IF(OR(ISNUMBER(SEARCH(_xlfn.CONCAT(CHAR(96),CHAR(34)),$D171)),ISNUMBER(SEARCH(_xlfn.CONCAT(CHAR(34),CHAR(39)),$D171))),_xlfn.CONCAT("* REVIEW REQUIRED: compound-quote delimiter in Item Number on Sheet 1 row ",171,"; edit the input before running."),_xlfn.CONCAT("char ",TRIM($B171),"[doc_itemnum] ",CHAR(96),CHAR(34),SUBSTITUTE(SUBSTITUTE(SUBSTITUTE(SUBSTITUTE(SUBSTITUTE(SUBSTITUTE($D171,CHAR(13)," "),CHAR(10)," "),CHAR(9)," "),CHAR(92),_xlfn.CONCAT(CHAR(92),CHAR(92))),"$",_xlfn.CONCAT(CHAR(92),"$")),CHAR(96),_xlfn.CONCAT(CHAR(92),CHAR(96))),CHAR(34),CHAR(39))))</f>
        <v/>
      </c>
      <c r="O171" s="5" t="str">
        <f>IF(OR(TRIM($B171)="",$E171=""),"",IF(OR(ISNUMBER(SEARCH(_xlfn.CONCAT(CHAR(96),CHAR(34)),$E171)),ISNUMBER(SEARCH(_xlfn.CONCAT(CHAR(34),CHAR(39)),$E171))),_xlfn.CONCAT("* REVIEW REQUIRED: compound-quote delimiter in Question Wording on Sheet 1 row ",171,"; edit the input before running."),_xlfn.CONCAT("char ",TRIM($B171),"[doc_question] ",CHAR(96),CHAR(34),SUBSTITUTE(SUBSTITUTE(SUBSTITUTE(SUBSTITUTE(SUBSTITUTE(SUBSTITUTE($E171,CHAR(13)," "),CHAR(10)," "),CHAR(9)," "),CHAR(92),_xlfn.CONCAT(CHAR(92),CHAR(92))),"$",_xlfn.CONCAT(CHAR(92),"$")),CHAR(96),_xlfn.CONCAT(CHAR(92),CHAR(96))),CHAR(34),CHAR(39))))</f>
        <v/>
      </c>
      <c r="P171" s="5" t="str">
        <f>IF(OR(TRIM($B171)="",$F171=""),"",IF(OR(ISNUMBER(SEARCH(_xlfn.CONCAT(CHAR(96),CHAR(34)),$F171)),ISNUMBER(SEARCH(_xlfn.CONCAT(CHAR(34),CHAR(39)),$F171))),_xlfn.CONCAT("* REVIEW REQUIRED: compound-quote delimiter in Units on Sheet 1 row ",171,"; edit the input before running."),_xlfn.CONCAT("char ",TRIM($B171),"[doc_units] ",CHAR(96),CHAR(34),SUBSTITUTE(SUBSTITUTE(SUBSTITUTE(SUBSTITUTE(SUBSTITUTE(SUBSTITUTE($F171,CHAR(13)," "),CHAR(10)," "),CHAR(9)," "),CHAR(92),_xlfn.CONCAT(CHAR(92),CHAR(92))),"$",_xlfn.CONCAT(CHAR(92),"$")),CHAR(96),_xlfn.CONCAT(CHAR(92),CHAR(96))),CHAR(34),CHAR(39))))</f>
        <v/>
      </c>
      <c r="Q171" s="5" t="str">
        <f>IF(OR(TRIM($B171)="",$G171=""),"",IF(OR(ISNUMBER(SEARCH(_xlfn.CONCAT(CHAR(96),CHAR(34)),$G171)),ISNUMBER(SEARCH(_xlfn.CONCAT(CHAR(34),CHAR(39)),$G171))),_xlfn.CONCAT("* REVIEW REQUIRED: compound-quote delimiter in Universe on Sheet 1 row ",171,"; edit the input before running."),_xlfn.CONCAT("char ",TRIM($B171),"[doc_universe] ",CHAR(96),CHAR(34),SUBSTITUTE(SUBSTITUTE(SUBSTITUTE(SUBSTITUTE(SUBSTITUTE(SUBSTITUTE($G171,CHAR(13)," "),CHAR(10)," "),CHAR(9)," "),CHAR(92),_xlfn.CONCAT(CHAR(92),CHAR(92))),"$",_xlfn.CONCAT(CHAR(92),"$")),CHAR(96),_xlfn.CONCAT(CHAR(92),CHAR(96))),CHAR(34),CHAR(39))))</f>
        <v/>
      </c>
      <c r="R171" s="5" t="str">
        <f>IF(OR(TRIM($B171)="",$H171=""),"",IF(OR(ISNUMBER(SEARCH(_xlfn.CONCAT(CHAR(96),CHAR(34)),$H171)),ISNUMBER(SEARCH(_xlfn.CONCAT(CHAR(34),CHAR(39)),$H171))),_xlfn.CONCAT("* REVIEW REQUIRED: compound-quote delimiter in Source on Sheet 1 row ",171,"; edit the input before running."),_xlfn.CONCAT("char ",TRIM($B171),"[doc_source] ",CHAR(96),CHAR(34),SUBSTITUTE(SUBSTITUTE(SUBSTITUTE(SUBSTITUTE(SUBSTITUTE(SUBSTITUTE($H171,CHAR(13)," "),CHAR(10)," "),CHAR(9)," "),CHAR(92),_xlfn.CONCAT(CHAR(92),CHAR(92))),"$",_xlfn.CONCAT(CHAR(92),"$")),CHAR(96),_xlfn.CONCAT(CHAR(92),CHAR(96))),CHAR(34),CHAR(39))))</f>
        <v/>
      </c>
      <c r="S171" s="5" t="str">
        <f>IF(OR(TRIM($B171)="",$I171=""),"",IF(OR(ISNUMBER(SEARCH(_xlfn.CONCAT(CHAR(96),CHAR(34)),$I171)),ISNUMBER(SEARCH(_xlfn.CONCAT(CHAR(34),CHAR(39)),$I171))),_xlfn.CONCAT("* REVIEW REQUIRED: compound-quote delimiter in Derivation on Sheet 1 row ",171,"; edit the input before running."),_xlfn.CONCAT("char ",TRIM($B171),"[doc_derivation] ",CHAR(96),CHAR(34),SUBSTITUTE(SUBSTITUTE(SUBSTITUTE(SUBSTITUTE(SUBSTITUTE(SUBSTITUTE($I171,CHAR(13)," "),CHAR(10)," "),CHAR(9)," "),CHAR(92),_xlfn.CONCAT(CHAR(92),CHAR(92))),"$",_xlfn.CONCAT(CHAR(92),"$")),CHAR(96),_xlfn.CONCAT(CHAR(92),CHAR(96))),CHAR(34),CHAR(39))))</f>
        <v/>
      </c>
      <c r="T171" s="5" t="str">
        <f>IF(OR(TRIM($B171)="",$J171=""),"",IF(OR(ISNUMBER(SEARCH(_xlfn.CONCAT(CHAR(96),CHAR(34)),$J171)),ISNUMBER(SEARCH(_xlfn.CONCAT(CHAR(34),CHAR(39)),$J171))),_xlfn.CONCAT("* REVIEW REQUIRED: compound-quote delimiter in Notes on Sheet 1 row ",171,"; edit the input before running."),_xlfn.CONCAT("char ",TRIM($B171),"[doc_notes] ",CHAR(96),CHAR(34),SUBSTITUTE(SUBSTITUTE(SUBSTITUTE(SUBSTITUTE(SUBSTITUTE(SUBSTITUTE($J171,CHAR(13)," "),CHAR(10)," "),CHAR(9)," "),CHAR(92),_xlfn.CONCAT(CHAR(92),CHAR(92))),"$",_xlfn.CONCAT(CHAR(92),"$")),CHAR(96),_xlfn.CONCAT(CHAR(92),CHAR(96))),CHAR(34),CHAR(39))))</f>
        <v/>
      </c>
      <c r="U171" s="5">
        <f t="shared" si="5"/>
        <v>0</v>
      </c>
    </row>
    <row r="172" spans="3:21" ht="30" customHeight="1" x14ac:dyDescent="0.2">
      <c r="C172" s="4"/>
      <c r="K172" s="5">
        <f t="shared" si="4"/>
        <v>0</v>
      </c>
      <c r="L172" s="5" t="str">
        <f>IF(OR(TRIM($B172)="",$A172=""),"",IF(OR(ISNUMBER(SEARCH(_xlfn.CONCAT(CHAR(96),CHAR(34)),$A172)),ISNUMBER(SEARCH(_xlfn.CONCAT(CHAR(34),CHAR(39)),$A172))),_xlfn.CONCAT("* REVIEW REQUIRED: compound-quote delimiter in Codebook Section on Sheet 1 row ",172,"; edit the input before running."),_xlfn.CONCAT("char ",TRIM($B172),"[doc_section] ",CHAR(96),CHAR(34),SUBSTITUTE(SUBSTITUTE(SUBSTITUTE(SUBSTITUTE(SUBSTITUTE(SUBSTITUTE($A172,CHAR(13)," "),CHAR(10)," "),CHAR(9)," "),CHAR(92),_xlfn.CONCAT(CHAR(92),CHAR(92))),"$",_xlfn.CONCAT(CHAR(92),"$")),CHAR(96),_xlfn.CONCAT(CHAR(92),CHAR(96))),CHAR(34),CHAR(39))))</f>
        <v/>
      </c>
      <c r="M172" s="5" t="str">
        <f>IF(OR(TRIM($B172)="",$C172=""),"",IF(IFERROR(MATCH(TRIM($C172),{"Quantitative","Continuous","Discrete","Categorical","Nominal","Ordinal","Identifier"},0),0)=0,_xlfn.CONCAT("* REVIEW REQUIRED: invalid Variable Type on Sheet 1 row ",172,"."),_xlfn.CONCAT("char ",TRIM($B172),"[doc_vartype] ",CHAR(96),CHAR(34),SUBSTITUTE(SUBSTITUTE(SUBSTITUTE(SUBSTITUTE(SUBSTITUTE(SUBSTITUTE(LOWER(TRIM($C172)),CHAR(13)," "),CHAR(10)," "),CHAR(9)," "),CHAR(92),_xlfn.CONCAT(CHAR(92),CHAR(92))),"$",_xlfn.CONCAT(CHAR(92),"$")),CHAR(96),_xlfn.CONCAT(CHAR(92),CHAR(96))),CHAR(34),CHAR(39))))</f>
        <v/>
      </c>
      <c r="N172" s="5" t="str">
        <f>IF(OR(TRIM($B172)="",$D172=""),"",IF(OR(ISNUMBER(SEARCH(_xlfn.CONCAT(CHAR(96),CHAR(34)),$D172)),ISNUMBER(SEARCH(_xlfn.CONCAT(CHAR(34),CHAR(39)),$D172))),_xlfn.CONCAT("* REVIEW REQUIRED: compound-quote delimiter in Item Number on Sheet 1 row ",172,"; edit the input before running."),_xlfn.CONCAT("char ",TRIM($B172),"[doc_itemnum] ",CHAR(96),CHAR(34),SUBSTITUTE(SUBSTITUTE(SUBSTITUTE(SUBSTITUTE(SUBSTITUTE(SUBSTITUTE($D172,CHAR(13)," "),CHAR(10)," "),CHAR(9)," "),CHAR(92),_xlfn.CONCAT(CHAR(92),CHAR(92))),"$",_xlfn.CONCAT(CHAR(92),"$")),CHAR(96),_xlfn.CONCAT(CHAR(92),CHAR(96))),CHAR(34),CHAR(39))))</f>
        <v/>
      </c>
      <c r="O172" s="5" t="str">
        <f>IF(OR(TRIM($B172)="",$E172=""),"",IF(OR(ISNUMBER(SEARCH(_xlfn.CONCAT(CHAR(96),CHAR(34)),$E172)),ISNUMBER(SEARCH(_xlfn.CONCAT(CHAR(34),CHAR(39)),$E172))),_xlfn.CONCAT("* REVIEW REQUIRED: compound-quote delimiter in Question Wording on Sheet 1 row ",172,"; edit the input before running."),_xlfn.CONCAT("char ",TRIM($B172),"[doc_question] ",CHAR(96),CHAR(34),SUBSTITUTE(SUBSTITUTE(SUBSTITUTE(SUBSTITUTE(SUBSTITUTE(SUBSTITUTE($E172,CHAR(13)," "),CHAR(10)," "),CHAR(9)," "),CHAR(92),_xlfn.CONCAT(CHAR(92),CHAR(92))),"$",_xlfn.CONCAT(CHAR(92),"$")),CHAR(96),_xlfn.CONCAT(CHAR(92),CHAR(96))),CHAR(34),CHAR(39))))</f>
        <v/>
      </c>
      <c r="P172" s="5" t="str">
        <f>IF(OR(TRIM($B172)="",$F172=""),"",IF(OR(ISNUMBER(SEARCH(_xlfn.CONCAT(CHAR(96),CHAR(34)),$F172)),ISNUMBER(SEARCH(_xlfn.CONCAT(CHAR(34),CHAR(39)),$F172))),_xlfn.CONCAT("* REVIEW REQUIRED: compound-quote delimiter in Units on Sheet 1 row ",172,"; edit the input before running."),_xlfn.CONCAT("char ",TRIM($B172),"[doc_units] ",CHAR(96),CHAR(34),SUBSTITUTE(SUBSTITUTE(SUBSTITUTE(SUBSTITUTE(SUBSTITUTE(SUBSTITUTE($F172,CHAR(13)," "),CHAR(10)," "),CHAR(9)," "),CHAR(92),_xlfn.CONCAT(CHAR(92),CHAR(92))),"$",_xlfn.CONCAT(CHAR(92),"$")),CHAR(96),_xlfn.CONCAT(CHAR(92),CHAR(96))),CHAR(34),CHAR(39))))</f>
        <v/>
      </c>
      <c r="Q172" s="5" t="str">
        <f>IF(OR(TRIM($B172)="",$G172=""),"",IF(OR(ISNUMBER(SEARCH(_xlfn.CONCAT(CHAR(96),CHAR(34)),$G172)),ISNUMBER(SEARCH(_xlfn.CONCAT(CHAR(34),CHAR(39)),$G172))),_xlfn.CONCAT("* REVIEW REQUIRED: compound-quote delimiter in Universe on Sheet 1 row ",172,"; edit the input before running."),_xlfn.CONCAT("char ",TRIM($B172),"[doc_universe] ",CHAR(96),CHAR(34),SUBSTITUTE(SUBSTITUTE(SUBSTITUTE(SUBSTITUTE(SUBSTITUTE(SUBSTITUTE($G172,CHAR(13)," "),CHAR(10)," "),CHAR(9)," "),CHAR(92),_xlfn.CONCAT(CHAR(92),CHAR(92))),"$",_xlfn.CONCAT(CHAR(92),"$")),CHAR(96),_xlfn.CONCAT(CHAR(92),CHAR(96))),CHAR(34),CHAR(39))))</f>
        <v/>
      </c>
      <c r="R172" s="5" t="str">
        <f>IF(OR(TRIM($B172)="",$H172=""),"",IF(OR(ISNUMBER(SEARCH(_xlfn.CONCAT(CHAR(96),CHAR(34)),$H172)),ISNUMBER(SEARCH(_xlfn.CONCAT(CHAR(34),CHAR(39)),$H172))),_xlfn.CONCAT("* REVIEW REQUIRED: compound-quote delimiter in Source on Sheet 1 row ",172,"; edit the input before running."),_xlfn.CONCAT("char ",TRIM($B172),"[doc_source] ",CHAR(96),CHAR(34),SUBSTITUTE(SUBSTITUTE(SUBSTITUTE(SUBSTITUTE(SUBSTITUTE(SUBSTITUTE($H172,CHAR(13)," "),CHAR(10)," "),CHAR(9)," "),CHAR(92),_xlfn.CONCAT(CHAR(92),CHAR(92))),"$",_xlfn.CONCAT(CHAR(92),"$")),CHAR(96),_xlfn.CONCAT(CHAR(92),CHAR(96))),CHAR(34),CHAR(39))))</f>
        <v/>
      </c>
      <c r="S172" s="5" t="str">
        <f>IF(OR(TRIM($B172)="",$I172=""),"",IF(OR(ISNUMBER(SEARCH(_xlfn.CONCAT(CHAR(96),CHAR(34)),$I172)),ISNUMBER(SEARCH(_xlfn.CONCAT(CHAR(34),CHAR(39)),$I172))),_xlfn.CONCAT("* REVIEW REQUIRED: compound-quote delimiter in Derivation on Sheet 1 row ",172,"; edit the input before running."),_xlfn.CONCAT("char ",TRIM($B172),"[doc_derivation] ",CHAR(96),CHAR(34),SUBSTITUTE(SUBSTITUTE(SUBSTITUTE(SUBSTITUTE(SUBSTITUTE(SUBSTITUTE($I172,CHAR(13)," "),CHAR(10)," "),CHAR(9)," "),CHAR(92),_xlfn.CONCAT(CHAR(92),CHAR(92))),"$",_xlfn.CONCAT(CHAR(92),"$")),CHAR(96),_xlfn.CONCAT(CHAR(92),CHAR(96))),CHAR(34),CHAR(39))))</f>
        <v/>
      </c>
      <c r="T172" s="5" t="str">
        <f>IF(OR(TRIM($B172)="",$J172=""),"",IF(OR(ISNUMBER(SEARCH(_xlfn.CONCAT(CHAR(96),CHAR(34)),$J172)),ISNUMBER(SEARCH(_xlfn.CONCAT(CHAR(34),CHAR(39)),$J172))),_xlfn.CONCAT("* REVIEW REQUIRED: compound-quote delimiter in Notes on Sheet 1 row ",172,"; edit the input before running."),_xlfn.CONCAT("char ",TRIM($B172),"[doc_notes] ",CHAR(96),CHAR(34),SUBSTITUTE(SUBSTITUTE(SUBSTITUTE(SUBSTITUTE(SUBSTITUTE(SUBSTITUTE($J172,CHAR(13)," "),CHAR(10)," "),CHAR(9)," "),CHAR(92),_xlfn.CONCAT(CHAR(92),CHAR(92))),"$",_xlfn.CONCAT(CHAR(92),"$")),CHAR(96),_xlfn.CONCAT(CHAR(92),CHAR(96))),CHAR(34),CHAR(39))))</f>
        <v/>
      </c>
      <c r="U172" s="5">
        <f t="shared" si="5"/>
        <v>0</v>
      </c>
    </row>
    <row r="173" spans="3:21" ht="30" customHeight="1" x14ac:dyDescent="0.2">
      <c r="C173" s="4"/>
      <c r="K173" s="5">
        <f t="shared" si="4"/>
        <v>0</v>
      </c>
      <c r="L173" s="5" t="str">
        <f>IF(OR(TRIM($B173)="",$A173=""),"",IF(OR(ISNUMBER(SEARCH(_xlfn.CONCAT(CHAR(96),CHAR(34)),$A173)),ISNUMBER(SEARCH(_xlfn.CONCAT(CHAR(34),CHAR(39)),$A173))),_xlfn.CONCAT("* REVIEW REQUIRED: compound-quote delimiter in Codebook Section on Sheet 1 row ",173,"; edit the input before running."),_xlfn.CONCAT("char ",TRIM($B173),"[doc_section] ",CHAR(96),CHAR(34),SUBSTITUTE(SUBSTITUTE(SUBSTITUTE(SUBSTITUTE(SUBSTITUTE(SUBSTITUTE($A173,CHAR(13)," "),CHAR(10)," "),CHAR(9)," "),CHAR(92),_xlfn.CONCAT(CHAR(92),CHAR(92))),"$",_xlfn.CONCAT(CHAR(92),"$")),CHAR(96),_xlfn.CONCAT(CHAR(92),CHAR(96))),CHAR(34),CHAR(39))))</f>
        <v/>
      </c>
      <c r="M173" s="5" t="str">
        <f>IF(OR(TRIM($B173)="",$C173=""),"",IF(IFERROR(MATCH(TRIM($C173),{"Quantitative","Continuous","Discrete","Categorical","Nominal","Ordinal","Identifier"},0),0)=0,_xlfn.CONCAT("* REVIEW REQUIRED: invalid Variable Type on Sheet 1 row ",173,"."),_xlfn.CONCAT("char ",TRIM($B173),"[doc_vartype] ",CHAR(96),CHAR(34),SUBSTITUTE(SUBSTITUTE(SUBSTITUTE(SUBSTITUTE(SUBSTITUTE(SUBSTITUTE(LOWER(TRIM($C173)),CHAR(13)," "),CHAR(10)," "),CHAR(9)," "),CHAR(92),_xlfn.CONCAT(CHAR(92),CHAR(92))),"$",_xlfn.CONCAT(CHAR(92),"$")),CHAR(96),_xlfn.CONCAT(CHAR(92),CHAR(96))),CHAR(34),CHAR(39))))</f>
        <v/>
      </c>
      <c r="N173" s="5" t="str">
        <f>IF(OR(TRIM($B173)="",$D173=""),"",IF(OR(ISNUMBER(SEARCH(_xlfn.CONCAT(CHAR(96),CHAR(34)),$D173)),ISNUMBER(SEARCH(_xlfn.CONCAT(CHAR(34),CHAR(39)),$D173))),_xlfn.CONCAT("* REVIEW REQUIRED: compound-quote delimiter in Item Number on Sheet 1 row ",173,"; edit the input before running."),_xlfn.CONCAT("char ",TRIM($B173),"[doc_itemnum] ",CHAR(96),CHAR(34),SUBSTITUTE(SUBSTITUTE(SUBSTITUTE(SUBSTITUTE(SUBSTITUTE(SUBSTITUTE($D173,CHAR(13)," "),CHAR(10)," "),CHAR(9)," "),CHAR(92),_xlfn.CONCAT(CHAR(92),CHAR(92))),"$",_xlfn.CONCAT(CHAR(92),"$")),CHAR(96),_xlfn.CONCAT(CHAR(92),CHAR(96))),CHAR(34),CHAR(39))))</f>
        <v/>
      </c>
      <c r="O173" s="5" t="str">
        <f>IF(OR(TRIM($B173)="",$E173=""),"",IF(OR(ISNUMBER(SEARCH(_xlfn.CONCAT(CHAR(96),CHAR(34)),$E173)),ISNUMBER(SEARCH(_xlfn.CONCAT(CHAR(34),CHAR(39)),$E173))),_xlfn.CONCAT("* REVIEW REQUIRED: compound-quote delimiter in Question Wording on Sheet 1 row ",173,"; edit the input before running."),_xlfn.CONCAT("char ",TRIM($B173),"[doc_question] ",CHAR(96),CHAR(34),SUBSTITUTE(SUBSTITUTE(SUBSTITUTE(SUBSTITUTE(SUBSTITUTE(SUBSTITUTE($E173,CHAR(13)," "),CHAR(10)," "),CHAR(9)," "),CHAR(92),_xlfn.CONCAT(CHAR(92),CHAR(92))),"$",_xlfn.CONCAT(CHAR(92),"$")),CHAR(96),_xlfn.CONCAT(CHAR(92),CHAR(96))),CHAR(34),CHAR(39))))</f>
        <v/>
      </c>
      <c r="P173" s="5" t="str">
        <f>IF(OR(TRIM($B173)="",$F173=""),"",IF(OR(ISNUMBER(SEARCH(_xlfn.CONCAT(CHAR(96),CHAR(34)),$F173)),ISNUMBER(SEARCH(_xlfn.CONCAT(CHAR(34),CHAR(39)),$F173))),_xlfn.CONCAT("* REVIEW REQUIRED: compound-quote delimiter in Units on Sheet 1 row ",173,"; edit the input before running."),_xlfn.CONCAT("char ",TRIM($B173),"[doc_units] ",CHAR(96),CHAR(34),SUBSTITUTE(SUBSTITUTE(SUBSTITUTE(SUBSTITUTE(SUBSTITUTE(SUBSTITUTE($F173,CHAR(13)," "),CHAR(10)," "),CHAR(9)," "),CHAR(92),_xlfn.CONCAT(CHAR(92),CHAR(92))),"$",_xlfn.CONCAT(CHAR(92),"$")),CHAR(96),_xlfn.CONCAT(CHAR(92),CHAR(96))),CHAR(34),CHAR(39))))</f>
        <v/>
      </c>
      <c r="Q173" s="5" t="str">
        <f>IF(OR(TRIM($B173)="",$G173=""),"",IF(OR(ISNUMBER(SEARCH(_xlfn.CONCAT(CHAR(96),CHAR(34)),$G173)),ISNUMBER(SEARCH(_xlfn.CONCAT(CHAR(34),CHAR(39)),$G173))),_xlfn.CONCAT("* REVIEW REQUIRED: compound-quote delimiter in Universe on Sheet 1 row ",173,"; edit the input before running."),_xlfn.CONCAT("char ",TRIM($B173),"[doc_universe] ",CHAR(96),CHAR(34),SUBSTITUTE(SUBSTITUTE(SUBSTITUTE(SUBSTITUTE(SUBSTITUTE(SUBSTITUTE($G173,CHAR(13)," "),CHAR(10)," "),CHAR(9)," "),CHAR(92),_xlfn.CONCAT(CHAR(92),CHAR(92))),"$",_xlfn.CONCAT(CHAR(92),"$")),CHAR(96),_xlfn.CONCAT(CHAR(92),CHAR(96))),CHAR(34),CHAR(39))))</f>
        <v/>
      </c>
      <c r="R173" s="5" t="str">
        <f>IF(OR(TRIM($B173)="",$H173=""),"",IF(OR(ISNUMBER(SEARCH(_xlfn.CONCAT(CHAR(96),CHAR(34)),$H173)),ISNUMBER(SEARCH(_xlfn.CONCAT(CHAR(34),CHAR(39)),$H173))),_xlfn.CONCAT("* REVIEW REQUIRED: compound-quote delimiter in Source on Sheet 1 row ",173,"; edit the input before running."),_xlfn.CONCAT("char ",TRIM($B173),"[doc_source] ",CHAR(96),CHAR(34),SUBSTITUTE(SUBSTITUTE(SUBSTITUTE(SUBSTITUTE(SUBSTITUTE(SUBSTITUTE($H173,CHAR(13)," "),CHAR(10)," "),CHAR(9)," "),CHAR(92),_xlfn.CONCAT(CHAR(92),CHAR(92))),"$",_xlfn.CONCAT(CHAR(92),"$")),CHAR(96),_xlfn.CONCAT(CHAR(92),CHAR(96))),CHAR(34),CHAR(39))))</f>
        <v/>
      </c>
      <c r="S173" s="5" t="str">
        <f>IF(OR(TRIM($B173)="",$I173=""),"",IF(OR(ISNUMBER(SEARCH(_xlfn.CONCAT(CHAR(96),CHAR(34)),$I173)),ISNUMBER(SEARCH(_xlfn.CONCAT(CHAR(34),CHAR(39)),$I173))),_xlfn.CONCAT("* REVIEW REQUIRED: compound-quote delimiter in Derivation on Sheet 1 row ",173,"; edit the input before running."),_xlfn.CONCAT("char ",TRIM($B173),"[doc_derivation] ",CHAR(96),CHAR(34),SUBSTITUTE(SUBSTITUTE(SUBSTITUTE(SUBSTITUTE(SUBSTITUTE(SUBSTITUTE($I173,CHAR(13)," "),CHAR(10)," "),CHAR(9)," "),CHAR(92),_xlfn.CONCAT(CHAR(92),CHAR(92))),"$",_xlfn.CONCAT(CHAR(92),"$")),CHAR(96),_xlfn.CONCAT(CHAR(92),CHAR(96))),CHAR(34),CHAR(39))))</f>
        <v/>
      </c>
      <c r="T173" s="5" t="str">
        <f>IF(OR(TRIM($B173)="",$J173=""),"",IF(OR(ISNUMBER(SEARCH(_xlfn.CONCAT(CHAR(96),CHAR(34)),$J173)),ISNUMBER(SEARCH(_xlfn.CONCAT(CHAR(34),CHAR(39)),$J173))),_xlfn.CONCAT("* REVIEW REQUIRED: compound-quote delimiter in Notes on Sheet 1 row ",173,"; edit the input before running."),_xlfn.CONCAT("char ",TRIM($B173),"[doc_notes] ",CHAR(96),CHAR(34),SUBSTITUTE(SUBSTITUTE(SUBSTITUTE(SUBSTITUTE(SUBSTITUTE(SUBSTITUTE($J173,CHAR(13)," "),CHAR(10)," "),CHAR(9)," "),CHAR(92),_xlfn.CONCAT(CHAR(92),CHAR(92))),"$",_xlfn.CONCAT(CHAR(92),"$")),CHAR(96),_xlfn.CONCAT(CHAR(92),CHAR(96))),CHAR(34),CHAR(39))))</f>
        <v/>
      </c>
      <c r="U173" s="5">
        <f t="shared" si="5"/>
        <v>0</v>
      </c>
    </row>
    <row r="174" spans="3:21" ht="30" customHeight="1" x14ac:dyDescent="0.2">
      <c r="C174" s="4"/>
      <c r="K174" s="5">
        <f t="shared" si="4"/>
        <v>0</v>
      </c>
      <c r="L174" s="5" t="str">
        <f>IF(OR(TRIM($B174)="",$A174=""),"",IF(OR(ISNUMBER(SEARCH(_xlfn.CONCAT(CHAR(96),CHAR(34)),$A174)),ISNUMBER(SEARCH(_xlfn.CONCAT(CHAR(34),CHAR(39)),$A174))),_xlfn.CONCAT("* REVIEW REQUIRED: compound-quote delimiter in Codebook Section on Sheet 1 row ",174,"; edit the input before running."),_xlfn.CONCAT("char ",TRIM($B174),"[doc_section] ",CHAR(96),CHAR(34),SUBSTITUTE(SUBSTITUTE(SUBSTITUTE(SUBSTITUTE(SUBSTITUTE(SUBSTITUTE($A174,CHAR(13)," "),CHAR(10)," "),CHAR(9)," "),CHAR(92),_xlfn.CONCAT(CHAR(92),CHAR(92))),"$",_xlfn.CONCAT(CHAR(92),"$")),CHAR(96),_xlfn.CONCAT(CHAR(92),CHAR(96))),CHAR(34),CHAR(39))))</f>
        <v/>
      </c>
      <c r="M174" s="5" t="str">
        <f>IF(OR(TRIM($B174)="",$C174=""),"",IF(IFERROR(MATCH(TRIM($C174),{"Quantitative","Continuous","Discrete","Categorical","Nominal","Ordinal","Identifier"},0),0)=0,_xlfn.CONCAT("* REVIEW REQUIRED: invalid Variable Type on Sheet 1 row ",174,"."),_xlfn.CONCAT("char ",TRIM($B174),"[doc_vartype] ",CHAR(96),CHAR(34),SUBSTITUTE(SUBSTITUTE(SUBSTITUTE(SUBSTITUTE(SUBSTITUTE(SUBSTITUTE(LOWER(TRIM($C174)),CHAR(13)," "),CHAR(10)," "),CHAR(9)," "),CHAR(92),_xlfn.CONCAT(CHAR(92),CHAR(92))),"$",_xlfn.CONCAT(CHAR(92),"$")),CHAR(96),_xlfn.CONCAT(CHAR(92),CHAR(96))),CHAR(34),CHAR(39))))</f>
        <v/>
      </c>
      <c r="N174" s="5" t="str">
        <f>IF(OR(TRIM($B174)="",$D174=""),"",IF(OR(ISNUMBER(SEARCH(_xlfn.CONCAT(CHAR(96),CHAR(34)),$D174)),ISNUMBER(SEARCH(_xlfn.CONCAT(CHAR(34),CHAR(39)),$D174))),_xlfn.CONCAT("* REVIEW REQUIRED: compound-quote delimiter in Item Number on Sheet 1 row ",174,"; edit the input before running."),_xlfn.CONCAT("char ",TRIM($B174),"[doc_itemnum] ",CHAR(96),CHAR(34),SUBSTITUTE(SUBSTITUTE(SUBSTITUTE(SUBSTITUTE(SUBSTITUTE(SUBSTITUTE($D174,CHAR(13)," "),CHAR(10)," "),CHAR(9)," "),CHAR(92),_xlfn.CONCAT(CHAR(92),CHAR(92))),"$",_xlfn.CONCAT(CHAR(92),"$")),CHAR(96),_xlfn.CONCAT(CHAR(92),CHAR(96))),CHAR(34),CHAR(39))))</f>
        <v/>
      </c>
      <c r="O174" s="5" t="str">
        <f>IF(OR(TRIM($B174)="",$E174=""),"",IF(OR(ISNUMBER(SEARCH(_xlfn.CONCAT(CHAR(96),CHAR(34)),$E174)),ISNUMBER(SEARCH(_xlfn.CONCAT(CHAR(34),CHAR(39)),$E174))),_xlfn.CONCAT("* REVIEW REQUIRED: compound-quote delimiter in Question Wording on Sheet 1 row ",174,"; edit the input before running."),_xlfn.CONCAT("char ",TRIM($B174),"[doc_question] ",CHAR(96),CHAR(34),SUBSTITUTE(SUBSTITUTE(SUBSTITUTE(SUBSTITUTE(SUBSTITUTE(SUBSTITUTE($E174,CHAR(13)," "),CHAR(10)," "),CHAR(9)," "),CHAR(92),_xlfn.CONCAT(CHAR(92),CHAR(92))),"$",_xlfn.CONCAT(CHAR(92),"$")),CHAR(96),_xlfn.CONCAT(CHAR(92),CHAR(96))),CHAR(34),CHAR(39))))</f>
        <v/>
      </c>
      <c r="P174" s="5" t="str">
        <f>IF(OR(TRIM($B174)="",$F174=""),"",IF(OR(ISNUMBER(SEARCH(_xlfn.CONCAT(CHAR(96),CHAR(34)),$F174)),ISNUMBER(SEARCH(_xlfn.CONCAT(CHAR(34),CHAR(39)),$F174))),_xlfn.CONCAT("* REVIEW REQUIRED: compound-quote delimiter in Units on Sheet 1 row ",174,"; edit the input before running."),_xlfn.CONCAT("char ",TRIM($B174),"[doc_units] ",CHAR(96),CHAR(34),SUBSTITUTE(SUBSTITUTE(SUBSTITUTE(SUBSTITUTE(SUBSTITUTE(SUBSTITUTE($F174,CHAR(13)," "),CHAR(10)," "),CHAR(9)," "),CHAR(92),_xlfn.CONCAT(CHAR(92),CHAR(92))),"$",_xlfn.CONCAT(CHAR(92),"$")),CHAR(96),_xlfn.CONCAT(CHAR(92),CHAR(96))),CHAR(34),CHAR(39))))</f>
        <v/>
      </c>
      <c r="Q174" s="5" t="str">
        <f>IF(OR(TRIM($B174)="",$G174=""),"",IF(OR(ISNUMBER(SEARCH(_xlfn.CONCAT(CHAR(96),CHAR(34)),$G174)),ISNUMBER(SEARCH(_xlfn.CONCAT(CHAR(34),CHAR(39)),$G174))),_xlfn.CONCAT("* REVIEW REQUIRED: compound-quote delimiter in Universe on Sheet 1 row ",174,"; edit the input before running."),_xlfn.CONCAT("char ",TRIM($B174),"[doc_universe] ",CHAR(96),CHAR(34),SUBSTITUTE(SUBSTITUTE(SUBSTITUTE(SUBSTITUTE(SUBSTITUTE(SUBSTITUTE($G174,CHAR(13)," "),CHAR(10)," "),CHAR(9)," "),CHAR(92),_xlfn.CONCAT(CHAR(92),CHAR(92))),"$",_xlfn.CONCAT(CHAR(92),"$")),CHAR(96),_xlfn.CONCAT(CHAR(92),CHAR(96))),CHAR(34),CHAR(39))))</f>
        <v/>
      </c>
      <c r="R174" s="5" t="str">
        <f>IF(OR(TRIM($B174)="",$H174=""),"",IF(OR(ISNUMBER(SEARCH(_xlfn.CONCAT(CHAR(96),CHAR(34)),$H174)),ISNUMBER(SEARCH(_xlfn.CONCAT(CHAR(34),CHAR(39)),$H174))),_xlfn.CONCAT("* REVIEW REQUIRED: compound-quote delimiter in Source on Sheet 1 row ",174,"; edit the input before running."),_xlfn.CONCAT("char ",TRIM($B174),"[doc_source] ",CHAR(96),CHAR(34),SUBSTITUTE(SUBSTITUTE(SUBSTITUTE(SUBSTITUTE(SUBSTITUTE(SUBSTITUTE($H174,CHAR(13)," "),CHAR(10)," "),CHAR(9)," "),CHAR(92),_xlfn.CONCAT(CHAR(92),CHAR(92))),"$",_xlfn.CONCAT(CHAR(92),"$")),CHAR(96),_xlfn.CONCAT(CHAR(92),CHAR(96))),CHAR(34),CHAR(39))))</f>
        <v/>
      </c>
      <c r="S174" s="5" t="str">
        <f>IF(OR(TRIM($B174)="",$I174=""),"",IF(OR(ISNUMBER(SEARCH(_xlfn.CONCAT(CHAR(96),CHAR(34)),$I174)),ISNUMBER(SEARCH(_xlfn.CONCAT(CHAR(34),CHAR(39)),$I174))),_xlfn.CONCAT("* REVIEW REQUIRED: compound-quote delimiter in Derivation on Sheet 1 row ",174,"; edit the input before running."),_xlfn.CONCAT("char ",TRIM($B174),"[doc_derivation] ",CHAR(96),CHAR(34),SUBSTITUTE(SUBSTITUTE(SUBSTITUTE(SUBSTITUTE(SUBSTITUTE(SUBSTITUTE($I174,CHAR(13)," "),CHAR(10)," "),CHAR(9)," "),CHAR(92),_xlfn.CONCAT(CHAR(92),CHAR(92))),"$",_xlfn.CONCAT(CHAR(92),"$")),CHAR(96),_xlfn.CONCAT(CHAR(92),CHAR(96))),CHAR(34),CHAR(39))))</f>
        <v/>
      </c>
      <c r="T174" s="5" t="str">
        <f>IF(OR(TRIM($B174)="",$J174=""),"",IF(OR(ISNUMBER(SEARCH(_xlfn.CONCAT(CHAR(96),CHAR(34)),$J174)),ISNUMBER(SEARCH(_xlfn.CONCAT(CHAR(34),CHAR(39)),$J174))),_xlfn.CONCAT("* REVIEW REQUIRED: compound-quote delimiter in Notes on Sheet 1 row ",174,"; edit the input before running."),_xlfn.CONCAT("char ",TRIM($B174),"[doc_notes] ",CHAR(96),CHAR(34),SUBSTITUTE(SUBSTITUTE(SUBSTITUTE(SUBSTITUTE(SUBSTITUTE(SUBSTITUTE($J174,CHAR(13)," "),CHAR(10)," "),CHAR(9)," "),CHAR(92),_xlfn.CONCAT(CHAR(92),CHAR(92))),"$",_xlfn.CONCAT(CHAR(92),"$")),CHAR(96),_xlfn.CONCAT(CHAR(92),CHAR(96))),CHAR(34),CHAR(39))))</f>
        <v/>
      </c>
      <c r="U174" s="5">
        <f t="shared" si="5"/>
        <v>0</v>
      </c>
    </row>
    <row r="175" spans="3:21" ht="30" customHeight="1" x14ac:dyDescent="0.2">
      <c r="C175" s="4"/>
      <c r="K175" s="5">
        <f t="shared" si="4"/>
        <v>0</v>
      </c>
      <c r="L175" s="5" t="str">
        <f>IF(OR(TRIM($B175)="",$A175=""),"",IF(OR(ISNUMBER(SEARCH(_xlfn.CONCAT(CHAR(96),CHAR(34)),$A175)),ISNUMBER(SEARCH(_xlfn.CONCAT(CHAR(34),CHAR(39)),$A175))),_xlfn.CONCAT("* REVIEW REQUIRED: compound-quote delimiter in Codebook Section on Sheet 1 row ",175,"; edit the input before running."),_xlfn.CONCAT("char ",TRIM($B175),"[doc_section] ",CHAR(96),CHAR(34),SUBSTITUTE(SUBSTITUTE(SUBSTITUTE(SUBSTITUTE(SUBSTITUTE(SUBSTITUTE($A175,CHAR(13)," "),CHAR(10)," "),CHAR(9)," "),CHAR(92),_xlfn.CONCAT(CHAR(92),CHAR(92))),"$",_xlfn.CONCAT(CHAR(92),"$")),CHAR(96),_xlfn.CONCAT(CHAR(92),CHAR(96))),CHAR(34),CHAR(39))))</f>
        <v/>
      </c>
      <c r="M175" s="5" t="str">
        <f>IF(OR(TRIM($B175)="",$C175=""),"",IF(IFERROR(MATCH(TRIM($C175),{"Quantitative","Continuous","Discrete","Categorical","Nominal","Ordinal","Identifier"},0),0)=0,_xlfn.CONCAT("* REVIEW REQUIRED: invalid Variable Type on Sheet 1 row ",175,"."),_xlfn.CONCAT("char ",TRIM($B175),"[doc_vartype] ",CHAR(96),CHAR(34),SUBSTITUTE(SUBSTITUTE(SUBSTITUTE(SUBSTITUTE(SUBSTITUTE(SUBSTITUTE(LOWER(TRIM($C175)),CHAR(13)," "),CHAR(10)," "),CHAR(9)," "),CHAR(92),_xlfn.CONCAT(CHAR(92),CHAR(92))),"$",_xlfn.CONCAT(CHAR(92),"$")),CHAR(96),_xlfn.CONCAT(CHAR(92),CHAR(96))),CHAR(34),CHAR(39))))</f>
        <v/>
      </c>
      <c r="N175" s="5" t="str">
        <f>IF(OR(TRIM($B175)="",$D175=""),"",IF(OR(ISNUMBER(SEARCH(_xlfn.CONCAT(CHAR(96),CHAR(34)),$D175)),ISNUMBER(SEARCH(_xlfn.CONCAT(CHAR(34),CHAR(39)),$D175))),_xlfn.CONCAT("* REVIEW REQUIRED: compound-quote delimiter in Item Number on Sheet 1 row ",175,"; edit the input before running."),_xlfn.CONCAT("char ",TRIM($B175),"[doc_itemnum] ",CHAR(96),CHAR(34),SUBSTITUTE(SUBSTITUTE(SUBSTITUTE(SUBSTITUTE(SUBSTITUTE(SUBSTITUTE($D175,CHAR(13)," "),CHAR(10)," "),CHAR(9)," "),CHAR(92),_xlfn.CONCAT(CHAR(92),CHAR(92))),"$",_xlfn.CONCAT(CHAR(92),"$")),CHAR(96),_xlfn.CONCAT(CHAR(92),CHAR(96))),CHAR(34),CHAR(39))))</f>
        <v/>
      </c>
      <c r="O175" s="5" t="str">
        <f>IF(OR(TRIM($B175)="",$E175=""),"",IF(OR(ISNUMBER(SEARCH(_xlfn.CONCAT(CHAR(96),CHAR(34)),$E175)),ISNUMBER(SEARCH(_xlfn.CONCAT(CHAR(34),CHAR(39)),$E175))),_xlfn.CONCAT("* REVIEW REQUIRED: compound-quote delimiter in Question Wording on Sheet 1 row ",175,"; edit the input before running."),_xlfn.CONCAT("char ",TRIM($B175),"[doc_question] ",CHAR(96),CHAR(34),SUBSTITUTE(SUBSTITUTE(SUBSTITUTE(SUBSTITUTE(SUBSTITUTE(SUBSTITUTE($E175,CHAR(13)," "),CHAR(10)," "),CHAR(9)," "),CHAR(92),_xlfn.CONCAT(CHAR(92),CHAR(92))),"$",_xlfn.CONCAT(CHAR(92),"$")),CHAR(96),_xlfn.CONCAT(CHAR(92),CHAR(96))),CHAR(34),CHAR(39))))</f>
        <v/>
      </c>
      <c r="P175" s="5" t="str">
        <f>IF(OR(TRIM($B175)="",$F175=""),"",IF(OR(ISNUMBER(SEARCH(_xlfn.CONCAT(CHAR(96),CHAR(34)),$F175)),ISNUMBER(SEARCH(_xlfn.CONCAT(CHAR(34),CHAR(39)),$F175))),_xlfn.CONCAT("* REVIEW REQUIRED: compound-quote delimiter in Units on Sheet 1 row ",175,"; edit the input before running."),_xlfn.CONCAT("char ",TRIM($B175),"[doc_units] ",CHAR(96),CHAR(34),SUBSTITUTE(SUBSTITUTE(SUBSTITUTE(SUBSTITUTE(SUBSTITUTE(SUBSTITUTE($F175,CHAR(13)," "),CHAR(10)," "),CHAR(9)," "),CHAR(92),_xlfn.CONCAT(CHAR(92),CHAR(92))),"$",_xlfn.CONCAT(CHAR(92),"$")),CHAR(96),_xlfn.CONCAT(CHAR(92),CHAR(96))),CHAR(34),CHAR(39))))</f>
        <v/>
      </c>
      <c r="Q175" s="5" t="str">
        <f>IF(OR(TRIM($B175)="",$G175=""),"",IF(OR(ISNUMBER(SEARCH(_xlfn.CONCAT(CHAR(96),CHAR(34)),$G175)),ISNUMBER(SEARCH(_xlfn.CONCAT(CHAR(34),CHAR(39)),$G175))),_xlfn.CONCAT("* REVIEW REQUIRED: compound-quote delimiter in Universe on Sheet 1 row ",175,"; edit the input before running."),_xlfn.CONCAT("char ",TRIM($B175),"[doc_universe] ",CHAR(96),CHAR(34),SUBSTITUTE(SUBSTITUTE(SUBSTITUTE(SUBSTITUTE(SUBSTITUTE(SUBSTITUTE($G175,CHAR(13)," "),CHAR(10)," "),CHAR(9)," "),CHAR(92),_xlfn.CONCAT(CHAR(92),CHAR(92))),"$",_xlfn.CONCAT(CHAR(92),"$")),CHAR(96),_xlfn.CONCAT(CHAR(92),CHAR(96))),CHAR(34),CHAR(39))))</f>
        <v/>
      </c>
      <c r="R175" s="5" t="str">
        <f>IF(OR(TRIM($B175)="",$H175=""),"",IF(OR(ISNUMBER(SEARCH(_xlfn.CONCAT(CHAR(96),CHAR(34)),$H175)),ISNUMBER(SEARCH(_xlfn.CONCAT(CHAR(34),CHAR(39)),$H175))),_xlfn.CONCAT("* REVIEW REQUIRED: compound-quote delimiter in Source on Sheet 1 row ",175,"; edit the input before running."),_xlfn.CONCAT("char ",TRIM($B175),"[doc_source] ",CHAR(96),CHAR(34),SUBSTITUTE(SUBSTITUTE(SUBSTITUTE(SUBSTITUTE(SUBSTITUTE(SUBSTITUTE($H175,CHAR(13)," "),CHAR(10)," "),CHAR(9)," "),CHAR(92),_xlfn.CONCAT(CHAR(92),CHAR(92))),"$",_xlfn.CONCAT(CHAR(92),"$")),CHAR(96),_xlfn.CONCAT(CHAR(92),CHAR(96))),CHAR(34),CHAR(39))))</f>
        <v/>
      </c>
      <c r="S175" s="5" t="str">
        <f>IF(OR(TRIM($B175)="",$I175=""),"",IF(OR(ISNUMBER(SEARCH(_xlfn.CONCAT(CHAR(96),CHAR(34)),$I175)),ISNUMBER(SEARCH(_xlfn.CONCAT(CHAR(34),CHAR(39)),$I175))),_xlfn.CONCAT("* REVIEW REQUIRED: compound-quote delimiter in Derivation on Sheet 1 row ",175,"; edit the input before running."),_xlfn.CONCAT("char ",TRIM($B175),"[doc_derivation] ",CHAR(96),CHAR(34),SUBSTITUTE(SUBSTITUTE(SUBSTITUTE(SUBSTITUTE(SUBSTITUTE(SUBSTITUTE($I175,CHAR(13)," "),CHAR(10)," "),CHAR(9)," "),CHAR(92),_xlfn.CONCAT(CHAR(92),CHAR(92))),"$",_xlfn.CONCAT(CHAR(92),"$")),CHAR(96),_xlfn.CONCAT(CHAR(92),CHAR(96))),CHAR(34),CHAR(39))))</f>
        <v/>
      </c>
      <c r="T175" s="5" t="str">
        <f>IF(OR(TRIM($B175)="",$J175=""),"",IF(OR(ISNUMBER(SEARCH(_xlfn.CONCAT(CHAR(96),CHAR(34)),$J175)),ISNUMBER(SEARCH(_xlfn.CONCAT(CHAR(34),CHAR(39)),$J175))),_xlfn.CONCAT("* REVIEW REQUIRED: compound-quote delimiter in Notes on Sheet 1 row ",175,"; edit the input before running."),_xlfn.CONCAT("char ",TRIM($B175),"[doc_notes] ",CHAR(96),CHAR(34),SUBSTITUTE(SUBSTITUTE(SUBSTITUTE(SUBSTITUTE(SUBSTITUTE(SUBSTITUTE($J175,CHAR(13)," "),CHAR(10)," "),CHAR(9)," "),CHAR(92),_xlfn.CONCAT(CHAR(92),CHAR(92))),"$",_xlfn.CONCAT(CHAR(92),"$")),CHAR(96),_xlfn.CONCAT(CHAR(92),CHAR(96))),CHAR(34),CHAR(39))))</f>
        <v/>
      </c>
      <c r="U175" s="5">
        <f t="shared" si="5"/>
        <v>0</v>
      </c>
    </row>
    <row r="176" spans="3:21" ht="30" customHeight="1" x14ac:dyDescent="0.2">
      <c r="C176" s="4"/>
      <c r="K176" s="5">
        <f t="shared" si="4"/>
        <v>0</v>
      </c>
      <c r="L176" s="5" t="str">
        <f>IF(OR(TRIM($B176)="",$A176=""),"",IF(OR(ISNUMBER(SEARCH(_xlfn.CONCAT(CHAR(96),CHAR(34)),$A176)),ISNUMBER(SEARCH(_xlfn.CONCAT(CHAR(34),CHAR(39)),$A176))),_xlfn.CONCAT("* REVIEW REQUIRED: compound-quote delimiter in Codebook Section on Sheet 1 row ",176,"; edit the input before running."),_xlfn.CONCAT("char ",TRIM($B176),"[doc_section] ",CHAR(96),CHAR(34),SUBSTITUTE(SUBSTITUTE(SUBSTITUTE(SUBSTITUTE(SUBSTITUTE(SUBSTITUTE($A176,CHAR(13)," "),CHAR(10)," "),CHAR(9)," "),CHAR(92),_xlfn.CONCAT(CHAR(92),CHAR(92))),"$",_xlfn.CONCAT(CHAR(92),"$")),CHAR(96),_xlfn.CONCAT(CHAR(92),CHAR(96))),CHAR(34),CHAR(39))))</f>
        <v/>
      </c>
      <c r="M176" s="5" t="str">
        <f>IF(OR(TRIM($B176)="",$C176=""),"",IF(IFERROR(MATCH(TRIM($C176),{"Quantitative","Continuous","Discrete","Categorical","Nominal","Ordinal","Identifier"},0),0)=0,_xlfn.CONCAT("* REVIEW REQUIRED: invalid Variable Type on Sheet 1 row ",176,"."),_xlfn.CONCAT("char ",TRIM($B176),"[doc_vartype] ",CHAR(96),CHAR(34),SUBSTITUTE(SUBSTITUTE(SUBSTITUTE(SUBSTITUTE(SUBSTITUTE(SUBSTITUTE(LOWER(TRIM($C176)),CHAR(13)," "),CHAR(10)," "),CHAR(9)," "),CHAR(92),_xlfn.CONCAT(CHAR(92),CHAR(92))),"$",_xlfn.CONCAT(CHAR(92),"$")),CHAR(96),_xlfn.CONCAT(CHAR(92),CHAR(96))),CHAR(34),CHAR(39))))</f>
        <v/>
      </c>
      <c r="N176" s="5" t="str">
        <f>IF(OR(TRIM($B176)="",$D176=""),"",IF(OR(ISNUMBER(SEARCH(_xlfn.CONCAT(CHAR(96),CHAR(34)),$D176)),ISNUMBER(SEARCH(_xlfn.CONCAT(CHAR(34),CHAR(39)),$D176))),_xlfn.CONCAT("* REVIEW REQUIRED: compound-quote delimiter in Item Number on Sheet 1 row ",176,"; edit the input before running."),_xlfn.CONCAT("char ",TRIM($B176),"[doc_itemnum] ",CHAR(96),CHAR(34),SUBSTITUTE(SUBSTITUTE(SUBSTITUTE(SUBSTITUTE(SUBSTITUTE(SUBSTITUTE($D176,CHAR(13)," "),CHAR(10)," "),CHAR(9)," "),CHAR(92),_xlfn.CONCAT(CHAR(92),CHAR(92))),"$",_xlfn.CONCAT(CHAR(92),"$")),CHAR(96),_xlfn.CONCAT(CHAR(92),CHAR(96))),CHAR(34),CHAR(39))))</f>
        <v/>
      </c>
      <c r="O176" s="5" t="str">
        <f>IF(OR(TRIM($B176)="",$E176=""),"",IF(OR(ISNUMBER(SEARCH(_xlfn.CONCAT(CHAR(96),CHAR(34)),$E176)),ISNUMBER(SEARCH(_xlfn.CONCAT(CHAR(34),CHAR(39)),$E176))),_xlfn.CONCAT("* REVIEW REQUIRED: compound-quote delimiter in Question Wording on Sheet 1 row ",176,"; edit the input before running."),_xlfn.CONCAT("char ",TRIM($B176),"[doc_question] ",CHAR(96),CHAR(34),SUBSTITUTE(SUBSTITUTE(SUBSTITUTE(SUBSTITUTE(SUBSTITUTE(SUBSTITUTE($E176,CHAR(13)," "),CHAR(10)," "),CHAR(9)," "),CHAR(92),_xlfn.CONCAT(CHAR(92),CHAR(92))),"$",_xlfn.CONCAT(CHAR(92),"$")),CHAR(96),_xlfn.CONCAT(CHAR(92),CHAR(96))),CHAR(34),CHAR(39))))</f>
        <v/>
      </c>
      <c r="P176" s="5" t="str">
        <f>IF(OR(TRIM($B176)="",$F176=""),"",IF(OR(ISNUMBER(SEARCH(_xlfn.CONCAT(CHAR(96),CHAR(34)),$F176)),ISNUMBER(SEARCH(_xlfn.CONCAT(CHAR(34),CHAR(39)),$F176))),_xlfn.CONCAT("* REVIEW REQUIRED: compound-quote delimiter in Units on Sheet 1 row ",176,"; edit the input before running."),_xlfn.CONCAT("char ",TRIM($B176),"[doc_units] ",CHAR(96),CHAR(34),SUBSTITUTE(SUBSTITUTE(SUBSTITUTE(SUBSTITUTE(SUBSTITUTE(SUBSTITUTE($F176,CHAR(13)," "),CHAR(10)," "),CHAR(9)," "),CHAR(92),_xlfn.CONCAT(CHAR(92),CHAR(92))),"$",_xlfn.CONCAT(CHAR(92),"$")),CHAR(96),_xlfn.CONCAT(CHAR(92),CHAR(96))),CHAR(34),CHAR(39))))</f>
        <v/>
      </c>
      <c r="Q176" s="5" t="str">
        <f>IF(OR(TRIM($B176)="",$G176=""),"",IF(OR(ISNUMBER(SEARCH(_xlfn.CONCAT(CHAR(96),CHAR(34)),$G176)),ISNUMBER(SEARCH(_xlfn.CONCAT(CHAR(34),CHAR(39)),$G176))),_xlfn.CONCAT("* REVIEW REQUIRED: compound-quote delimiter in Universe on Sheet 1 row ",176,"; edit the input before running."),_xlfn.CONCAT("char ",TRIM($B176),"[doc_universe] ",CHAR(96),CHAR(34),SUBSTITUTE(SUBSTITUTE(SUBSTITUTE(SUBSTITUTE(SUBSTITUTE(SUBSTITUTE($G176,CHAR(13)," "),CHAR(10)," "),CHAR(9)," "),CHAR(92),_xlfn.CONCAT(CHAR(92),CHAR(92))),"$",_xlfn.CONCAT(CHAR(92),"$")),CHAR(96),_xlfn.CONCAT(CHAR(92),CHAR(96))),CHAR(34),CHAR(39))))</f>
        <v/>
      </c>
      <c r="R176" s="5" t="str">
        <f>IF(OR(TRIM($B176)="",$H176=""),"",IF(OR(ISNUMBER(SEARCH(_xlfn.CONCAT(CHAR(96),CHAR(34)),$H176)),ISNUMBER(SEARCH(_xlfn.CONCAT(CHAR(34),CHAR(39)),$H176))),_xlfn.CONCAT("* REVIEW REQUIRED: compound-quote delimiter in Source on Sheet 1 row ",176,"; edit the input before running."),_xlfn.CONCAT("char ",TRIM($B176),"[doc_source] ",CHAR(96),CHAR(34),SUBSTITUTE(SUBSTITUTE(SUBSTITUTE(SUBSTITUTE(SUBSTITUTE(SUBSTITUTE($H176,CHAR(13)," "),CHAR(10)," "),CHAR(9)," "),CHAR(92),_xlfn.CONCAT(CHAR(92),CHAR(92))),"$",_xlfn.CONCAT(CHAR(92),"$")),CHAR(96),_xlfn.CONCAT(CHAR(92),CHAR(96))),CHAR(34),CHAR(39))))</f>
        <v/>
      </c>
      <c r="S176" s="5" t="str">
        <f>IF(OR(TRIM($B176)="",$I176=""),"",IF(OR(ISNUMBER(SEARCH(_xlfn.CONCAT(CHAR(96),CHAR(34)),$I176)),ISNUMBER(SEARCH(_xlfn.CONCAT(CHAR(34),CHAR(39)),$I176))),_xlfn.CONCAT("* REVIEW REQUIRED: compound-quote delimiter in Derivation on Sheet 1 row ",176,"; edit the input before running."),_xlfn.CONCAT("char ",TRIM($B176),"[doc_derivation] ",CHAR(96),CHAR(34),SUBSTITUTE(SUBSTITUTE(SUBSTITUTE(SUBSTITUTE(SUBSTITUTE(SUBSTITUTE($I176,CHAR(13)," "),CHAR(10)," "),CHAR(9)," "),CHAR(92),_xlfn.CONCAT(CHAR(92),CHAR(92))),"$",_xlfn.CONCAT(CHAR(92),"$")),CHAR(96),_xlfn.CONCAT(CHAR(92),CHAR(96))),CHAR(34),CHAR(39))))</f>
        <v/>
      </c>
      <c r="T176" s="5" t="str">
        <f>IF(OR(TRIM($B176)="",$J176=""),"",IF(OR(ISNUMBER(SEARCH(_xlfn.CONCAT(CHAR(96),CHAR(34)),$J176)),ISNUMBER(SEARCH(_xlfn.CONCAT(CHAR(34),CHAR(39)),$J176))),_xlfn.CONCAT("* REVIEW REQUIRED: compound-quote delimiter in Notes on Sheet 1 row ",176,"; edit the input before running."),_xlfn.CONCAT("char ",TRIM($B176),"[doc_notes] ",CHAR(96),CHAR(34),SUBSTITUTE(SUBSTITUTE(SUBSTITUTE(SUBSTITUTE(SUBSTITUTE(SUBSTITUTE($J176,CHAR(13)," "),CHAR(10)," "),CHAR(9)," "),CHAR(92),_xlfn.CONCAT(CHAR(92),CHAR(92))),"$",_xlfn.CONCAT(CHAR(92),"$")),CHAR(96),_xlfn.CONCAT(CHAR(92),CHAR(96))),CHAR(34),CHAR(39))))</f>
        <v/>
      </c>
      <c r="U176" s="5">
        <f t="shared" si="5"/>
        <v>0</v>
      </c>
    </row>
    <row r="177" spans="3:21" ht="30" customHeight="1" x14ac:dyDescent="0.2">
      <c r="C177" s="4"/>
      <c r="K177" s="5">
        <f t="shared" si="4"/>
        <v>0</v>
      </c>
      <c r="L177" s="5" t="str">
        <f>IF(OR(TRIM($B177)="",$A177=""),"",IF(OR(ISNUMBER(SEARCH(_xlfn.CONCAT(CHAR(96),CHAR(34)),$A177)),ISNUMBER(SEARCH(_xlfn.CONCAT(CHAR(34),CHAR(39)),$A177))),_xlfn.CONCAT("* REVIEW REQUIRED: compound-quote delimiter in Codebook Section on Sheet 1 row ",177,"; edit the input before running."),_xlfn.CONCAT("char ",TRIM($B177),"[doc_section] ",CHAR(96),CHAR(34),SUBSTITUTE(SUBSTITUTE(SUBSTITUTE(SUBSTITUTE(SUBSTITUTE(SUBSTITUTE($A177,CHAR(13)," "),CHAR(10)," "),CHAR(9)," "),CHAR(92),_xlfn.CONCAT(CHAR(92),CHAR(92))),"$",_xlfn.CONCAT(CHAR(92),"$")),CHAR(96),_xlfn.CONCAT(CHAR(92),CHAR(96))),CHAR(34),CHAR(39))))</f>
        <v/>
      </c>
      <c r="M177" s="5" t="str">
        <f>IF(OR(TRIM($B177)="",$C177=""),"",IF(IFERROR(MATCH(TRIM($C177),{"Quantitative","Continuous","Discrete","Categorical","Nominal","Ordinal","Identifier"},0),0)=0,_xlfn.CONCAT("* REVIEW REQUIRED: invalid Variable Type on Sheet 1 row ",177,"."),_xlfn.CONCAT("char ",TRIM($B177),"[doc_vartype] ",CHAR(96),CHAR(34),SUBSTITUTE(SUBSTITUTE(SUBSTITUTE(SUBSTITUTE(SUBSTITUTE(SUBSTITUTE(LOWER(TRIM($C177)),CHAR(13)," "),CHAR(10)," "),CHAR(9)," "),CHAR(92),_xlfn.CONCAT(CHAR(92),CHAR(92))),"$",_xlfn.CONCAT(CHAR(92),"$")),CHAR(96),_xlfn.CONCAT(CHAR(92),CHAR(96))),CHAR(34),CHAR(39))))</f>
        <v/>
      </c>
      <c r="N177" s="5" t="str">
        <f>IF(OR(TRIM($B177)="",$D177=""),"",IF(OR(ISNUMBER(SEARCH(_xlfn.CONCAT(CHAR(96),CHAR(34)),$D177)),ISNUMBER(SEARCH(_xlfn.CONCAT(CHAR(34),CHAR(39)),$D177))),_xlfn.CONCAT("* REVIEW REQUIRED: compound-quote delimiter in Item Number on Sheet 1 row ",177,"; edit the input before running."),_xlfn.CONCAT("char ",TRIM($B177),"[doc_itemnum] ",CHAR(96),CHAR(34),SUBSTITUTE(SUBSTITUTE(SUBSTITUTE(SUBSTITUTE(SUBSTITUTE(SUBSTITUTE($D177,CHAR(13)," "),CHAR(10)," "),CHAR(9)," "),CHAR(92),_xlfn.CONCAT(CHAR(92),CHAR(92))),"$",_xlfn.CONCAT(CHAR(92),"$")),CHAR(96),_xlfn.CONCAT(CHAR(92),CHAR(96))),CHAR(34),CHAR(39))))</f>
        <v/>
      </c>
      <c r="O177" s="5" t="str">
        <f>IF(OR(TRIM($B177)="",$E177=""),"",IF(OR(ISNUMBER(SEARCH(_xlfn.CONCAT(CHAR(96),CHAR(34)),$E177)),ISNUMBER(SEARCH(_xlfn.CONCAT(CHAR(34),CHAR(39)),$E177))),_xlfn.CONCAT("* REVIEW REQUIRED: compound-quote delimiter in Question Wording on Sheet 1 row ",177,"; edit the input before running."),_xlfn.CONCAT("char ",TRIM($B177),"[doc_question] ",CHAR(96),CHAR(34),SUBSTITUTE(SUBSTITUTE(SUBSTITUTE(SUBSTITUTE(SUBSTITUTE(SUBSTITUTE($E177,CHAR(13)," "),CHAR(10)," "),CHAR(9)," "),CHAR(92),_xlfn.CONCAT(CHAR(92),CHAR(92))),"$",_xlfn.CONCAT(CHAR(92),"$")),CHAR(96),_xlfn.CONCAT(CHAR(92),CHAR(96))),CHAR(34),CHAR(39))))</f>
        <v/>
      </c>
      <c r="P177" s="5" t="str">
        <f>IF(OR(TRIM($B177)="",$F177=""),"",IF(OR(ISNUMBER(SEARCH(_xlfn.CONCAT(CHAR(96),CHAR(34)),$F177)),ISNUMBER(SEARCH(_xlfn.CONCAT(CHAR(34),CHAR(39)),$F177))),_xlfn.CONCAT("* REVIEW REQUIRED: compound-quote delimiter in Units on Sheet 1 row ",177,"; edit the input before running."),_xlfn.CONCAT("char ",TRIM($B177),"[doc_units] ",CHAR(96),CHAR(34),SUBSTITUTE(SUBSTITUTE(SUBSTITUTE(SUBSTITUTE(SUBSTITUTE(SUBSTITUTE($F177,CHAR(13)," "),CHAR(10)," "),CHAR(9)," "),CHAR(92),_xlfn.CONCAT(CHAR(92),CHAR(92))),"$",_xlfn.CONCAT(CHAR(92),"$")),CHAR(96),_xlfn.CONCAT(CHAR(92),CHAR(96))),CHAR(34),CHAR(39))))</f>
        <v/>
      </c>
      <c r="Q177" s="5" t="str">
        <f>IF(OR(TRIM($B177)="",$G177=""),"",IF(OR(ISNUMBER(SEARCH(_xlfn.CONCAT(CHAR(96),CHAR(34)),$G177)),ISNUMBER(SEARCH(_xlfn.CONCAT(CHAR(34),CHAR(39)),$G177))),_xlfn.CONCAT("* REVIEW REQUIRED: compound-quote delimiter in Universe on Sheet 1 row ",177,"; edit the input before running."),_xlfn.CONCAT("char ",TRIM($B177),"[doc_universe] ",CHAR(96),CHAR(34),SUBSTITUTE(SUBSTITUTE(SUBSTITUTE(SUBSTITUTE(SUBSTITUTE(SUBSTITUTE($G177,CHAR(13)," "),CHAR(10)," "),CHAR(9)," "),CHAR(92),_xlfn.CONCAT(CHAR(92),CHAR(92))),"$",_xlfn.CONCAT(CHAR(92),"$")),CHAR(96),_xlfn.CONCAT(CHAR(92),CHAR(96))),CHAR(34),CHAR(39))))</f>
        <v/>
      </c>
      <c r="R177" s="5" t="str">
        <f>IF(OR(TRIM($B177)="",$H177=""),"",IF(OR(ISNUMBER(SEARCH(_xlfn.CONCAT(CHAR(96),CHAR(34)),$H177)),ISNUMBER(SEARCH(_xlfn.CONCAT(CHAR(34),CHAR(39)),$H177))),_xlfn.CONCAT("* REVIEW REQUIRED: compound-quote delimiter in Source on Sheet 1 row ",177,"; edit the input before running."),_xlfn.CONCAT("char ",TRIM($B177),"[doc_source] ",CHAR(96),CHAR(34),SUBSTITUTE(SUBSTITUTE(SUBSTITUTE(SUBSTITUTE(SUBSTITUTE(SUBSTITUTE($H177,CHAR(13)," "),CHAR(10)," "),CHAR(9)," "),CHAR(92),_xlfn.CONCAT(CHAR(92),CHAR(92))),"$",_xlfn.CONCAT(CHAR(92),"$")),CHAR(96),_xlfn.CONCAT(CHAR(92),CHAR(96))),CHAR(34),CHAR(39))))</f>
        <v/>
      </c>
      <c r="S177" s="5" t="str">
        <f>IF(OR(TRIM($B177)="",$I177=""),"",IF(OR(ISNUMBER(SEARCH(_xlfn.CONCAT(CHAR(96),CHAR(34)),$I177)),ISNUMBER(SEARCH(_xlfn.CONCAT(CHAR(34),CHAR(39)),$I177))),_xlfn.CONCAT("* REVIEW REQUIRED: compound-quote delimiter in Derivation on Sheet 1 row ",177,"; edit the input before running."),_xlfn.CONCAT("char ",TRIM($B177),"[doc_derivation] ",CHAR(96),CHAR(34),SUBSTITUTE(SUBSTITUTE(SUBSTITUTE(SUBSTITUTE(SUBSTITUTE(SUBSTITUTE($I177,CHAR(13)," "),CHAR(10)," "),CHAR(9)," "),CHAR(92),_xlfn.CONCAT(CHAR(92),CHAR(92))),"$",_xlfn.CONCAT(CHAR(92),"$")),CHAR(96),_xlfn.CONCAT(CHAR(92),CHAR(96))),CHAR(34),CHAR(39))))</f>
        <v/>
      </c>
      <c r="T177" s="5" t="str">
        <f>IF(OR(TRIM($B177)="",$J177=""),"",IF(OR(ISNUMBER(SEARCH(_xlfn.CONCAT(CHAR(96),CHAR(34)),$J177)),ISNUMBER(SEARCH(_xlfn.CONCAT(CHAR(34),CHAR(39)),$J177))),_xlfn.CONCAT("* REVIEW REQUIRED: compound-quote delimiter in Notes on Sheet 1 row ",177,"; edit the input before running."),_xlfn.CONCAT("char ",TRIM($B177),"[doc_notes] ",CHAR(96),CHAR(34),SUBSTITUTE(SUBSTITUTE(SUBSTITUTE(SUBSTITUTE(SUBSTITUTE(SUBSTITUTE($J177,CHAR(13)," "),CHAR(10)," "),CHAR(9)," "),CHAR(92),_xlfn.CONCAT(CHAR(92),CHAR(92))),"$",_xlfn.CONCAT(CHAR(92),"$")),CHAR(96),_xlfn.CONCAT(CHAR(92),CHAR(96))),CHAR(34),CHAR(39))))</f>
        <v/>
      </c>
      <c r="U177" s="5">
        <f t="shared" si="5"/>
        <v>0</v>
      </c>
    </row>
    <row r="178" spans="3:21" ht="30" customHeight="1" x14ac:dyDescent="0.2">
      <c r="C178" s="4"/>
      <c r="K178" s="5">
        <f t="shared" si="4"/>
        <v>0</v>
      </c>
      <c r="L178" s="5" t="str">
        <f>IF(OR(TRIM($B178)="",$A178=""),"",IF(OR(ISNUMBER(SEARCH(_xlfn.CONCAT(CHAR(96),CHAR(34)),$A178)),ISNUMBER(SEARCH(_xlfn.CONCAT(CHAR(34),CHAR(39)),$A178))),_xlfn.CONCAT("* REVIEW REQUIRED: compound-quote delimiter in Codebook Section on Sheet 1 row ",178,"; edit the input before running."),_xlfn.CONCAT("char ",TRIM($B178),"[doc_section] ",CHAR(96),CHAR(34),SUBSTITUTE(SUBSTITUTE(SUBSTITUTE(SUBSTITUTE(SUBSTITUTE(SUBSTITUTE($A178,CHAR(13)," "),CHAR(10)," "),CHAR(9)," "),CHAR(92),_xlfn.CONCAT(CHAR(92),CHAR(92))),"$",_xlfn.CONCAT(CHAR(92),"$")),CHAR(96),_xlfn.CONCAT(CHAR(92),CHAR(96))),CHAR(34),CHAR(39))))</f>
        <v/>
      </c>
      <c r="M178" s="5" t="str">
        <f>IF(OR(TRIM($B178)="",$C178=""),"",IF(IFERROR(MATCH(TRIM($C178),{"Quantitative","Continuous","Discrete","Categorical","Nominal","Ordinal","Identifier"},0),0)=0,_xlfn.CONCAT("* REVIEW REQUIRED: invalid Variable Type on Sheet 1 row ",178,"."),_xlfn.CONCAT("char ",TRIM($B178),"[doc_vartype] ",CHAR(96),CHAR(34),SUBSTITUTE(SUBSTITUTE(SUBSTITUTE(SUBSTITUTE(SUBSTITUTE(SUBSTITUTE(LOWER(TRIM($C178)),CHAR(13)," "),CHAR(10)," "),CHAR(9)," "),CHAR(92),_xlfn.CONCAT(CHAR(92),CHAR(92))),"$",_xlfn.CONCAT(CHAR(92),"$")),CHAR(96),_xlfn.CONCAT(CHAR(92),CHAR(96))),CHAR(34),CHAR(39))))</f>
        <v/>
      </c>
      <c r="N178" s="5" t="str">
        <f>IF(OR(TRIM($B178)="",$D178=""),"",IF(OR(ISNUMBER(SEARCH(_xlfn.CONCAT(CHAR(96),CHAR(34)),$D178)),ISNUMBER(SEARCH(_xlfn.CONCAT(CHAR(34),CHAR(39)),$D178))),_xlfn.CONCAT("* REVIEW REQUIRED: compound-quote delimiter in Item Number on Sheet 1 row ",178,"; edit the input before running."),_xlfn.CONCAT("char ",TRIM($B178),"[doc_itemnum] ",CHAR(96),CHAR(34),SUBSTITUTE(SUBSTITUTE(SUBSTITUTE(SUBSTITUTE(SUBSTITUTE(SUBSTITUTE($D178,CHAR(13)," "),CHAR(10)," "),CHAR(9)," "),CHAR(92),_xlfn.CONCAT(CHAR(92),CHAR(92))),"$",_xlfn.CONCAT(CHAR(92),"$")),CHAR(96),_xlfn.CONCAT(CHAR(92),CHAR(96))),CHAR(34),CHAR(39))))</f>
        <v/>
      </c>
      <c r="O178" s="5" t="str">
        <f>IF(OR(TRIM($B178)="",$E178=""),"",IF(OR(ISNUMBER(SEARCH(_xlfn.CONCAT(CHAR(96),CHAR(34)),$E178)),ISNUMBER(SEARCH(_xlfn.CONCAT(CHAR(34),CHAR(39)),$E178))),_xlfn.CONCAT("* REVIEW REQUIRED: compound-quote delimiter in Question Wording on Sheet 1 row ",178,"; edit the input before running."),_xlfn.CONCAT("char ",TRIM($B178),"[doc_question] ",CHAR(96),CHAR(34),SUBSTITUTE(SUBSTITUTE(SUBSTITUTE(SUBSTITUTE(SUBSTITUTE(SUBSTITUTE($E178,CHAR(13)," "),CHAR(10)," "),CHAR(9)," "),CHAR(92),_xlfn.CONCAT(CHAR(92),CHAR(92))),"$",_xlfn.CONCAT(CHAR(92),"$")),CHAR(96),_xlfn.CONCAT(CHAR(92),CHAR(96))),CHAR(34),CHAR(39))))</f>
        <v/>
      </c>
      <c r="P178" s="5" t="str">
        <f>IF(OR(TRIM($B178)="",$F178=""),"",IF(OR(ISNUMBER(SEARCH(_xlfn.CONCAT(CHAR(96),CHAR(34)),$F178)),ISNUMBER(SEARCH(_xlfn.CONCAT(CHAR(34),CHAR(39)),$F178))),_xlfn.CONCAT("* REVIEW REQUIRED: compound-quote delimiter in Units on Sheet 1 row ",178,"; edit the input before running."),_xlfn.CONCAT("char ",TRIM($B178),"[doc_units] ",CHAR(96),CHAR(34),SUBSTITUTE(SUBSTITUTE(SUBSTITUTE(SUBSTITUTE(SUBSTITUTE(SUBSTITUTE($F178,CHAR(13)," "),CHAR(10)," "),CHAR(9)," "),CHAR(92),_xlfn.CONCAT(CHAR(92),CHAR(92))),"$",_xlfn.CONCAT(CHAR(92),"$")),CHAR(96),_xlfn.CONCAT(CHAR(92),CHAR(96))),CHAR(34),CHAR(39))))</f>
        <v/>
      </c>
      <c r="Q178" s="5" t="str">
        <f>IF(OR(TRIM($B178)="",$G178=""),"",IF(OR(ISNUMBER(SEARCH(_xlfn.CONCAT(CHAR(96),CHAR(34)),$G178)),ISNUMBER(SEARCH(_xlfn.CONCAT(CHAR(34),CHAR(39)),$G178))),_xlfn.CONCAT("* REVIEW REQUIRED: compound-quote delimiter in Universe on Sheet 1 row ",178,"; edit the input before running."),_xlfn.CONCAT("char ",TRIM($B178),"[doc_universe] ",CHAR(96),CHAR(34),SUBSTITUTE(SUBSTITUTE(SUBSTITUTE(SUBSTITUTE(SUBSTITUTE(SUBSTITUTE($G178,CHAR(13)," "),CHAR(10)," "),CHAR(9)," "),CHAR(92),_xlfn.CONCAT(CHAR(92),CHAR(92))),"$",_xlfn.CONCAT(CHAR(92),"$")),CHAR(96),_xlfn.CONCAT(CHAR(92),CHAR(96))),CHAR(34),CHAR(39))))</f>
        <v/>
      </c>
      <c r="R178" s="5" t="str">
        <f>IF(OR(TRIM($B178)="",$H178=""),"",IF(OR(ISNUMBER(SEARCH(_xlfn.CONCAT(CHAR(96),CHAR(34)),$H178)),ISNUMBER(SEARCH(_xlfn.CONCAT(CHAR(34),CHAR(39)),$H178))),_xlfn.CONCAT("* REVIEW REQUIRED: compound-quote delimiter in Source on Sheet 1 row ",178,"; edit the input before running."),_xlfn.CONCAT("char ",TRIM($B178),"[doc_source] ",CHAR(96),CHAR(34),SUBSTITUTE(SUBSTITUTE(SUBSTITUTE(SUBSTITUTE(SUBSTITUTE(SUBSTITUTE($H178,CHAR(13)," "),CHAR(10)," "),CHAR(9)," "),CHAR(92),_xlfn.CONCAT(CHAR(92),CHAR(92))),"$",_xlfn.CONCAT(CHAR(92),"$")),CHAR(96),_xlfn.CONCAT(CHAR(92),CHAR(96))),CHAR(34),CHAR(39))))</f>
        <v/>
      </c>
      <c r="S178" s="5" t="str">
        <f>IF(OR(TRIM($B178)="",$I178=""),"",IF(OR(ISNUMBER(SEARCH(_xlfn.CONCAT(CHAR(96),CHAR(34)),$I178)),ISNUMBER(SEARCH(_xlfn.CONCAT(CHAR(34),CHAR(39)),$I178))),_xlfn.CONCAT("* REVIEW REQUIRED: compound-quote delimiter in Derivation on Sheet 1 row ",178,"; edit the input before running."),_xlfn.CONCAT("char ",TRIM($B178),"[doc_derivation] ",CHAR(96),CHAR(34),SUBSTITUTE(SUBSTITUTE(SUBSTITUTE(SUBSTITUTE(SUBSTITUTE(SUBSTITUTE($I178,CHAR(13)," "),CHAR(10)," "),CHAR(9)," "),CHAR(92),_xlfn.CONCAT(CHAR(92),CHAR(92))),"$",_xlfn.CONCAT(CHAR(92),"$")),CHAR(96),_xlfn.CONCAT(CHAR(92),CHAR(96))),CHAR(34),CHAR(39))))</f>
        <v/>
      </c>
      <c r="T178" s="5" t="str">
        <f>IF(OR(TRIM($B178)="",$J178=""),"",IF(OR(ISNUMBER(SEARCH(_xlfn.CONCAT(CHAR(96),CHAR(34)),$J178)),ISNUMBER(SEARCH(_xlfn.CONCAT(CHAR(34),CHAR(39)),$J178))),_xlfn.CONCAT("* REVIEW REQUIRED: compound-quote delimiter in Notes on Sheet 1 row ",178,"; edit the input before running."),_xlfn.CONCAT("char ",TRIM($B178),"[doc_notes] ",CHAR(96),CHAR(34),SUBSTITUTE(SUBSTITUTE(SUBSTITUTE(SUBSTITUTE(SUBSTITUTE(SUBSTITUTE($J178,CHAR(13)," "),CHAR(10)," "),CHAR(9)," "),CHAR(92),_xlfn.CONCAT(CHAR(92),CHAR(92))),"$",_xlfn.CONCAT(CHAR(92),"$")),CHAR(96),_xlfn.CONCAT(CHAR(92),CHAR(96))),CHAR(34),CHAR(39))))</f>
        <v/>
      </c>
      <c r="U178" s="5">
        <f t="shared" si="5"/>
        <v>0</v>
      </c>
    </row>
    <row r="179" spans="3:21" ht="30" customHeight="1" x14ac:dyDescent="0.2">
      <c r="C179" s="4"/>
      <c r="K179" s="5">
        <f t="shared" si="4"/>
        <v>0</v>
      </c>
      <c r="L179" s="5" t="str">
        <f>IF(OR(TRIM($B179)="",$A179=""),"",IF(OR(ISNUMBER(SEARCH(_xlfn.CONCAT(CHAR(96),CHAR(34)),$A179)),ISNUMBER(SEARCH(_xlfn.CONCAT(CHAR(34),CHAR(39)),$A179))),_xlfn.CONCAT("* REVIEW REQUIRED: compound-quote delimiter in Codebook Section on Sheet 1 row ",179,"; edit the input before running."),_xlfn.CONCAT("char ",TRIM($B179),"[doc_section] ",CHAR(96),CHAR(34),SUBSTITUTE(SUBSTITUTE(SUBSTITUTE(SUBSTITUTE(SUBSTITUTE(SUBSTITUTE($A179,CHAR(13)," "),CHAR(10)," "),CHAR(9)," "),CHAR(92),_xlfn.CONCAT(CHAR(92),CHAR(92))),"$",_xlfn.CONCAT(CHAR(92),"$")),CHAR(96),_xlfn.CONCAT(CHAR(92),CHAR(96))),CHAR(34),CHAR(39))))</f>
        <v/>
      </c>
      <c r="M179" s="5" t="str">
        <f>IF(OR(TRIM($B179)="",$C179=""),"",IF(IFERROR(MATCH(TRIM($C179),{"Quantitative","Continuous","Discrete","Categorical","Nominal","Ordinal","Identifier"},0),0)=0,_xlfn.CONCAT("* REVIEW REQUIRED: invalid Variable Type on Sheet 1 row ",179,"."),_xlfn.CONCAT("char ",TRIM($B179),"[doc_vartype] ",CHAR(96),CHAR(34),SUBSTITUTE(SUBSTITUTE(SUBSTITUTE(SUBSTITUTE(SUBSTITUTE(SUBSTITUTE(LOWER(TRIM($C179)),CHAR(13)," "),CHAR(10)," "),CHAR(9)," "),CHAR(92),_xlfn.CONCAT(CHAR(92),CHAR(92))),"$",_xlfn.CONCAT(CHAR(92),"$")),CHAR(96),_xlfn.CONCAT(CHAR(92),CHAR(96))),CHAR(34),CHAR(39))))</f>
        <v/>
      </c>
      <c r="N179" s="5" t="str">
        <f>IF(OR(TRIM($B179)="",$D179=""),"",IF(OR(ISNUMBER(SEARCH(_xlfn.CONCAT(CHAR(96),CHAR(34)),$D179)),ISNUMBER(SEARCH(_xlfn.CONCAT(CHAR(34),CHAR(39)),$D179))),_xlfn.CONCAT("* REVIEW REQUIRED: compound-quote delimiter in Item Number on Sheet 1 row ",179,"; edit the input before running."),_xlfn.CONCAT("char ",TRIM($B179),"[doc_itemnum] ",CHAR(96),CHAR(34),SUBSTITUTE(SUBSTITUTE(SUBSTITUTE(SUBSTITUTE(SUBSTITUTE(SUBSTITUTE($D179,CHAR(13)," "),CHAR(10)," "),CHAR(9)," "),CHAR(92),_xlfn.CONCAT(CHAR(92),CHAR(92))),"$",_xlfn.CONCAT(CHAR(92),"$")),CHAR(96),_xlfn.CONCAT(CHAR(92),CHAR(96))),CHAR(34),CHAR(39))))</f>
        <v/>
      </c>
      <c r="O179" s="5" t="str">
        <f>IF(OR(TRIM($B179)="",$E179=""),"",IF(OR(ISNUMBER(SEARCH(_xlfn.CONCAT(CHAR(96),CHAR(34)),$E179)),ISNUMBER(SEARCH(_xlfn.CONCAT(CHAR(34),CHAR(39)),$E179))),_xlfn.CONCAT("* REVIEW REQUIRED: compound-quote delimiter in Question Wording on Sheet 1 row ",179,"; edit the input before running."),_xlfn.CONCAT("char ",TRIM($B179),"[doc_question] ",CHAR(96),CHAR(34),SUBSTITUTE(SUBSTITUTE(SUBSTITUTE(SUBSTITUTE(SUBSTITUTE(SUBSTITUTE($E179,CHAR(13)," "),CHAR(10)," "),CHAR(9)," "),CHAR(92),_xlfn.CONCAT(CHAR(92),CHAR(92))),"$",_xlfn.CONCAT(CHAR(92),"$")),CHAR(96),_xlfn.CONCAT(CHAR(92),CHAR(96))),CHAR(34),CHAR(39))))</f>
        <v/>
      </c>
      <c r="P179" s="5" t="str">
        <f>IF(OR(TRIM($B179)="",$F179=""),"",IF(OR(ISNUMBER(SEARCH(_xlfn.CONCAT(CHAR(96),CHAR(34)),$F179)),ISNUMBER(SEARCH(_xlfn.CONCAT(CHAR(34),CHAR(39)),$F179))),_xlfn.CONCAT("* REVIEW REQUIRED: compound-quote delimiter in Units on Sheet 1 row ",179,"; edit the input before running."),_xlfn.CONCAT("char ",TRIM($B179),"[doc_units] ",CHAR(96),CHAR(34),SUBSTITUTE(SUBSTITUTE(SUBSTITUTE(SUBSTITUTE(SUBSTITUTE(SUBSTITUTE($F179,CHAR(13)," "),CHAR(10)," "),CHAR(9)," "),CHAR(92),_xlfn.CONCAT(CHAR(92),CHAR(92))),"$",_xlfn.CONCAT(CHAR(92),"$")),CHAR(96),_xlfn.CONCAT(CHAR(92),CHAR(96))),CHAR(34),CHAR(39))))</f>
        <v/>
      </c>
      <c r="Q179" s="5" t="str">
        <f>IF(OR(TRIM($B179)="",$G179=""),"",IF(OR(ISNUMBER(SEARCH(_xlfn.CONCAT(CHAR(96),CHAR(34)),$G179)),ISNUMBER(SEARCH(_xlfn.CONCAT(CHAR(34),CHAR(39)),$G179))),_xlfn.CONCAT("* REVIEW REQUIRED: compound-quote delimiter in Universe on Sheet 1 row ",179,"; edit the input before running."),_xlfn.CONCAT("char ",TRIM($B179),"[doc_universe] ",CHAR(96),CHAR(34),SUBSTITUTE(SUBSTITUTE(SUBSTITUTE(SUBSTITUTE(SUBSTITUTE(SUBSTITUTE($G179,CHAR(13)," "),CHAR(10)," "),CHAR(9)," "),CHAR(92),_xlfn.CONCAT(CHAR(92),CHAR(92))),"$",_xlfn.CONCAT(CHAR(92),"$")),CHAR(96),_xlfn.CONCAT(CHAR(92),CHAR(96))),CHAR(34),CHAR(39))))</f>
        <v/>
      </c>
      <c r="R179" s="5" t="str">
        <f>IF(OR(TRIM($B179)="",$H179=""),"",IF(OR(ISNUMBER(SEARCH(_xlfn.CONCAT(CHAR(96),CHAR(34)),$H179)),ISNUMBER(SEARCH(_xlfn.CONCAT(CHAR(34),CHAR(39)),$H179))),_xlfn.CONCAT("* REVIEW REQUIRED: compound-quote delimiter in Source on Sheet 1 row ",179,"; edit the input before running."),_xlfn.CONCAT("char ",TRIM($B179),"[doc_source] ",CHAR(96),CHAR(34),SUBSTITUTE(SUBSTITUTE(SUBSTITUTE(SUBSTITUTE(SUBSTITUTE(SUBSTITUTE($H179,CHAR(13)," "),CHAR(10)," "),CHAR(9)," "),CHAR(92),_xlfn.CONCAT(CHAR(92),CHAR(92))),"$",_xlfn.CONCAT(CHAR(92),"$")),CHAR(96),_xlfn.CONCAT(CHAR(92),CHAR(96))),CHAR(34),CHAR(39))))</f>
        <v/>
      </c>
      <c r="S179" s="5" t="str">
        <f>IF(OR(TRIM($B179)="",$I179=""),"",IF(OR(ISNUMBER(SEARCH(_xlfn.CONCAT(CHAR(96),CHAR(34)),$I179)),ISNUMBER(SEARCH(_xlfn.CONCAT(CHAR(34),CHAR(39)),$I179))),_xlfn.CONCAT("* REVIEW REQUIRED: compound-quote delimiter in Derivation on Sheet 1 row ",179,"; edit the input before running."),_xlfn.CONCAT("char ",TRIM($B179),"[doc_derivation] ",CHAR(96),CHAR(34),SUBSTITUTE(SUBSTITUTE(SUBSTITUTE(SUBSTITUTE(SUBSTITUTE(SUBSTITUTE($I179,CHAR(13)," "),CHAR(10)," "),CHAR(9)," "),CHAR(92),_xlfn.CONCAT(CHAR(92),CHAR(92))),"$",_xlfn.CONCAT(CHAR(92),"$")),CHAR(96),_xlfn.CONCAT(CHAR(92),CHAR(96))),CHAR(34),CHAR(39))))</f>
        <v/>
      </c>
      <c r="T179" s="5" t="str">
        <f>IF(OR(TRIM($B179)="",$J179=""),"",IF(OR(ISNUMBER(SEARCH(_xlfn.CONCAT(CHAR(96),CHAR(34)),$J179)),ISNUMBER(SEARCH(_xlfn.CONCAT(CHAR(34),CHAR(39)),$J179))),_xlfn.CONCAT("* REVIEW REQUIRED: compound-quote delimiter in Notes on Sheet 1 row ",179,"; edit the input before running."),_xlfn.CONCAT("char ",TRIM($B179),"[doc_notes] ",CHAR(96),CHAR(34),SUBSTITUTE(SUBSTITUTE(SUBSTITUTE(SUBSTITUTE(SUBSTITUTE(SUBSTITUTE($J179,CHAR(13)," "),CHAR(10)," "),CHAR(9)," "),CHAR(92),_xlfn.CONCAT(CHAR(92),CHAR(92))),"$",_xlfn.CONCAT(CHAR(92),"$")),CHAR(96),_xlfn.CONCAT(CHAR(92),CHAR(96))),CHAR(34),CHAR(39))))</f>
        <v/>
      </c>
      <c r="U179" s="5">
        <f t="shared" si="5"/>
        <v>0</v>
      </c>
    </row>
    <row r="180" spans="3:21" ht="30" customHeight="1" x14ac:dyDescent="0.2">
      <c r="C180" s="4"/>
      <c r="K180" s="5">
        <f t="shared" si="4"/>
        <v>0</v>
      </c>
      <c r="L180" s="5" t="str">
        <f>IF(OR(TRIM($B180)="",$A180=""),"",IF(OR(ISNUMBER(SEARCH(_xlfn.CONCAT(CHAR(96),CHAR(34)),$A180)),ISNUMBER(SEARCH(_xlfn.CONCAT(CHAR(34),CHAR(39)),$A180))),_xlfn.CONCAT("* REVIEW REQUIRED: compound-quote delimiter in Codebook Section on Sheet 1 row ",180,"; edit the input before running."),_xlfn.CONCAT("char ",TRIM($B180),"[doc_section] ",CHAR(96),CHAR(34),SUBSTITUTE(SUBSTITUTE(SUBSTITUTE(SUBSTITUTE(SUBSTITUTE(SUBSTITUTE($A180,CHAR(13)," "),CHAR(10)," "),CHAR(9)," "),CHAR(92),_xlfn.CONCAT(CHAR(92),CHAR(92))),"$",_xlfn.CONCAT(CHAR(92),"$")),CHAR(96),_xlfn.CONCAT(CHAR(92),CHAR(96))),CHAR(34),CHAR(39))))</f>
        <v/>
      </c>
      <c r="M180" s="5" t="str">
        <f>IF(OR(TRIM($B180)="",$C180=""),"",IF(IFERROR(MATCH(TRIM($C180),{"Quantitative","Continuous","Discrete","Categorical","Nominal","Ordinal","Identifier"},0),0)=0,_xlfn.CONCAT("* REVIEW REQUIRED: invalid Variable Type on Sheet 1 row ",180,"."),_xlfn.CONCAT("char ",TRIM($B180),"[doc_vartype] ",CHAR(96),CHAR(34),SUBSTITUTE(SUBSTITUTE(SUBSTITUTE(SUBSTITUTE(SUBSTITUTE(SUBSTITUTE(LOWER(TRIM($C180)),CHAR(13)," "),CHAR(10)," "),CHAR(9)," "),CHAR(92),_xlfn.CONCAT(CHAR(92),CHAR(92))),"$",_xlfn.CONCAT(CHAR(92),"$")),CHAR(96),_xlfn.CONCAT(CHAR(92),CHAR(96))),CHAR(34),CHAR(39))))</f>
        <v/>
      </c>
      <c r="N180" s="5" t="str">
        <f>IF(OR(TRIM($B180)="",$D180=""),"",IF(OR(ISNUMBER(SEARCH(_xlfn.CONCAT(CHAR(96),CHAR(34)),$D180)),ISNUMBER(SEARCH(_xlfn.CONCAT(CHAR(34),CHAR(39)),$D180))),_xlfn.CONCAT("* REVIEW REQUIRED: compound-quote delimiter in Item Number on Sheet 1 row ",180,"; edit the input before running."),_xlfn.CONCAT("char ",TRIM($B180),"[doc_itemnum] ",CHAR(96),CHAR(34),SUBSTITUTE(SUBSTITUTE(SUBSTITUTE(SUBSTITUTE(SUBSTITUTE(SUBSTITUTE($D180,CHAR(13)," "),CHAR(10)," "),CHAR(9)," "),CHAR(92),_xlfn.CONCAT(CHAR(92),CHAR(92))),"$",_xlfn.CONCAT(CHAR(92),"$")),CHAR(96),_xlfn.CONCAT(CHAR(92),CHAR(96))),CHAR(34),CHAR(39))))</f>
        <v/>
      </c>
      <c r="O180" s="5" t="str">
        <f>IF(OR(TRIM($B180)="",$E180=""),"",IF(OR(ISNUMBER(SEARCH(_xlfn.CONCAT(CHAR(96),CHAR(34)),$E180)),ISNUMBER(SEARCH(_xlfn.CONCAT(CHAR(34),CHAR(39)),$E180))),_xlfn.CONCAT("* REVIEW REQUIRED: compound-quote delimiter in Question Wording on Sheet 1 row ",180,"; edit the input before running."),_xlfn.CONCAT("char ",TRIM($B180),"[doc_question] ",CHAR(96),CHAR(34),SUBSTITUTE(SUBSTITUTE(SUBSTITUTE(SUBSTITUTE(SUBSTITUTE(SUBSTITUTE($E180,CHAR(13)," "),CHAR(10)," "),CHAR(9)," "),CHAR(92),_xlfn.CONCAT(CHAR(92),CHAR(92))),"$",_xlfn.CONCAT(CHAR(92),"$")),CHAR(96),_xlfn.CONCAT(CHAR(92),CHAR(96))),CHAR(34),CHAR(39))))</f>
        <v/>
      </c>
      <c r="P180" s="5" t="str">
        <f>IF(OR(TRIM($B180)="",$F180=""),"",IF(OR(ISNUMBER(SEARCH(_xlfn.CONCAT(CHAR(96),CHAR(34)),$F180)),ISNUMBER(SEARCH(_xlfn.CONCAT(CHAR(34),CHAR(39)),$F180))),_xlfn.CONCAT("* REVIEW REQUIRED: compound-quote delimiter in Units on Sheet 1 row ",180,"; edit the input before running."),_xlfn.CONCAT("char ",TRIM($B180),"[doc_units] ",CHAR(96),CHAR(34),SUBSTITUTE(SUBSTITUTE(SUBSTITUTE(SUBSTITUTE(SUBSTITUTE(SUBSTITUTE($F180,CHAR(13)," "),CHAR(10)," "),CHAR(9)," "),CHAR(92),_xlfn.CONCAT(CHAR(92),CHAR(92))),"$",_xlfn.CONCAT(CHAR(92),"$")),CHAR(96),_xlfn.CONCAT(CHAR(92),CHAR(96))),CHAR(34),CHAR(39))))</f>
        <v/>
      </c>
      <c r="Q180" s="5" t="str">
        <f>IF(OR(TRIM($B180)="",$G180=""),"",IF(OR(ISNUMBER(SEARCH(_xlfn.CONCAT(CHAR(96),CHAR(34)),$G180)),ISNUMBER(SEARCH(_xlfn.CONCAT(CHAR(34),CHAR(39)),$G180))),_xlfn.CONCAT("* REVIEW REQUIRED: compound-quote delimiter in Universe on Sheet 1 row ",180,"; edit the input before running."),_xlfn.CONCAT("char ",TRIM($B180),"[doc_universe] ",CHAR(96),CHAR(34),SUBSTITUTE(SUBSTITUTE(SUBSTITUTE(SUBSTITUTE(SUBSTITUTE(SUBSTITUTE($G180,CHAR(13)," "),CHAR(10)," "),CHAR(9)," "),CHAR(92),_xlfn.CONCAT(CHAR(92),CHAR(92))),"$",_xlfn.CONCAT(CHAR(92),"$")),CHAR(96),_xlfn.CONCAT(CHAR(92),CHAR(96))),CHAR(34),CHAR(39))))</f>
        <v/>
      </c>
      <c r="R180" s="5" t="str">
        <f>IF(OR(TRIM($B180)="",$H180=""),"",IF(OR(ISNUMBER(SEARCH(_xlfn.CONCAT(CHAR(96),CHAR(34)),$H180)),ISNUMBER(SEARCH(_xlfn.CONCAT(CHAR(34),CHAR(39)),$H180))),_xlfn.CONCAT("* REVIEW REQUIRED: compound-quote delimiter in Source on Sheet 1 row ",180,"; edit the input before running."),_xlfn.CONCAT("char ",TRIM($B180),"[doc_source] ",CHAR(96),CHAR(34),SUBSTITUTE(SUBSTITUTE(SUBSTITUTE(SUBSTITUTE(SUBSTITUTE(SUBSTITUTE($H180,CHAR(13)," "),CHAR(10)," "),CHAR(9)," "),CHAR(92),_xlfn.CONCAT(CHAR(92),CHAR(92))),"$",_xlfn.CONCAT(CHAR(92),"$")),CHAR(96),_xlfn.CONCAT(CHAR(92),CHAR(96))),CHAR(34),CHAR(39))))</f>
        <v/>
      </c>
      <c r="S180" s="5" t="str">
        <f>IF(OR(TRIM($B180)="",$I180=""),"",IF(OR(ISNUMBER(SEARCH(_xlfn.CONCAT(CHAR(96),CHAR(34)),$I180)),ISNUMBER(SEARCH(_xlfn.CONCAT(CHAR(34),CHAR(39)),$I180))),_xlfn.CONCAT("* REVIEW REQUIRED: compound-quote delimiter in Derivation on Sheet 1 row ",180,"; edit the input before running."),_xlfn.CONCAT("char ",TRIM($B180),"[doc_derivation] ",CHAR(96),CHAR(34),SUBSTITUTE(SUBSTITUTE(SUBSTITUTE(SUBSTITUTE(SUBSTITUTE(SUBSTITUTE($I180,CHAR(13)," "),CHAR(10)," "),CHAR(9)," "),CHAR(92),_xlfn.CONCAT(CHAR(92),CHAR(92))),"$",_xlfn.CONCAT(CHAR(92),"$")),CHAR(96),_xlfn.CONCAT(CHAR(92),CHAR(96))),CHAR(34),CHAR(39))))</f>
        <v/>
      </c>
      <c r="T180" s="5" t="str">
        <f>IF(OR(TRIM($B180)="",$J180=""),"",IF(OR(ISNUMBER(SEARCH(_xlfn.CONCAT(CHAR(96),CHAR(34)),$J180)),ISNUMBER(SEARCH(_xlfn.CONCAT(CHAR(34),CHAR(39)),$J180))),_xlfn.CONCAT("* REVIEW REQUIRED: compound-quote delimiter in Notes on Sheet 1 row ",180,"; edit the input before running."),_xlfn.CONCAT("char ",TRIM($B180),"[doc_notes] ",CHAR(96),CHAR(34),SUBSTITUTE(SUBSTITUTE(SUBSTITUTE(SUBSTITUTE(SUBSTITUTE(SUBSTITUTE($J180,CHAR(13)," "),CHAR(10)," "),CHAR(9)," "),CHAR(92),_xlfn.CONCAT(CHAR(92),CHAR(92))),"$",_xlfn.CONCAT(CHAR(92),"$")),CHAR(96),_xlfn.CONCAT(CHAR(92),CHAR(96))),CHAR(34),CHAR(39))))</f>
        <v/>
      </c>
      <c r="U180" s="5">
        <f t="shared" si="5"/>
        <v>0</v>
      </c>
    </row>
    <row r="181" spans="3:21" ht="30" customHeight="1" x14ac:dyDescent="0.2">
      <c r="C181" s="4"/>
      <c r="K181" s="5">
        <f t="shared" si="4"/>
        <v>0</v>
      </c>
      <c r="L181" s="5" t="str">
        <f>IF(OR(TRIM($B181)="",$A181=""),"",IF(OR(ISNUMBER(SEARCH(_xlfn.CONCAT(CHAR(96),CHAR(34)),$A181)),ISNUMBER(SEARCH(_xlfn.CONCAT(CHAR(34),CHAR(39)),$A181))),_xlfn.CONCAT("* REVIEW REQUIRED: compound-quote delimiter in Codebook Section on Sheet 1 row ",181,"; edit the input before running."),_xlfn.CONCAT("char ",TRIM($B181),"[doc_section] ",CHAR(96),CHAR(34),SUBSTITUTE(SUBSTITUTE(SUBSTITUTE(SUBSTITUTE(SUBSTITUTE(SUBSTITUTE($A181,CHAR(13)," "),CHAR(10)," "),CHAR(9)," "),CHAR(92),_xlfn.CONCAT(CHAR(92),CHAR(92))),"$",_xlfn.CONCAT(CHAR(92),"$")),CHAR(96),_xlfn.CONCAT(CHAR(92),CHAR(96))),CHAR(34),CHAR(39))))</f>
        <v/>
      </c>
      <c r="M181" s="5" t="str">
        <f>IF(OR(TRIM($B181)="",$C181=""),"",IF(IFERROR(MATCH(TRIM($C181),{"Quantitative","Continuous","Discrete","Categorical","Nominal","Ordinal","Identifier"},0),0)=0,_xlfn.CONCAT("* REVIEW REQUIRED: invalid Variable Type on Sheet 1 row ",181,"."),_xlfn.CONCAT("char ",TRIM($B181),"[doc_vartype] ",CHAR(96),CHAR(34),SUBSTITUTE(SUBSTITUTE(SUBSTITUTE(SUBSTITUTE(SUBSTITUTE(SUBSTITUTE(LOWER(TRIM($C181)),CHAR(13)," "),CHAR(10)," "),CHAR(9)," "),CHAR(92),_xlfn.CONCAT(CHAR(92),CHAR(92))),"$",_xlfn.CONCAT(CHAR(92),"$")),CHAR(96),_xlfn.CONCAT(CHAR(92),CHAR(96))),CHAR(34),CHAR(39))))</f>
        <v/>
      </c>
      <c r="N181" s="5" t="str">
        <f>IF(OR(TRIM($B181)="",$D181=""),"",IF(OR(ISNUMBER(SEARCH(_xlfn.CONCAT(CHAR(96),CHAR(34)),$D181)),ISNUMBER(SEARCH(_xlfn.CONCAT(CHAR(34),CHAR(39)),$D181))),_xlfn.CONCAT("* REVIEW REQUIRED: compound-quote delimiter in Item Number on Sheet 1 row ",181,"; edit the input before running."),_xlfn.CONCAT("char ",TRIM($B181),"[doc_itemnum] ",CHAR(96),CHAR(34),SUBSTITUTE(SUBSTITUTE(SUBSTITUTE(SUBSTITUTE(SUBSTITUTE(SUBSTITUTE($D181,CHAR(13)," "),CHAR(10)," "),CHAR(9)," "),CHAR(92),_xlfn.CONCAT(CHAR(92),CHAR(92))),"$",_xlfn.CONCAT(CHAR(92),"$")),CHAR(96),_xlfn.CONCAT(CHAR(92),CHAR(96))),CHAR(34),CHAR(39))))</f>
        <v/>
      </c>
      <c r="O181" s="5" t="str">
        <f>IF(OR(TRIM($B181)="",$E181=""),"",IF(OR(ISNUMBER(SEARCH(_xlfn.CONCAT(CHAR(96),CHAR(34)),$E181)),ISNUMBER(SEARCH(_xlfn.CONCAT(CHAR(34),CHAR(39)),$E181))),_xlfn.CONCAT("* REVIEW REQUIRED: compound-quote delimiter in Question Wording on Sheet 1 row ",181,"; edit the input before running."),_xlfn.CONCAT("char ",TRIM($B181),"[doc_question] ",CHAR(96),CHAR(34),SUBSTITUTE(SUBSTITUTE(SUBSTITUTE(SUBSTITUTE(SUBSTITUTE(SUBSTITUTE($E181,CHAR(13)," "),CHAR(10)," "),CHAR(9)," "),CHAR(92),_xlfn.CONCAT(CHAR(92),CHAR(92))),"$",_xlfn.CONCAT(CHAR(92),"$")),CHAR(96),_xlfn.CONCAT(CHAR(92),CHAR(96))),CHAR(34),CHAR(39))))</f>
        <v/>
      </c>
      <c r="P181" s="5" t="str">
        <f>IF(OR(TRIM($B181)="",$F181=""),"",IF(OR(ISNUMBER(SEARCH(_xlfn.CONCAT(CHAR(96),CHAR(34)),$F181)),ISNUMBER(SEARCH(_xlfn.CONCAT(CHAR(34),CHAR(39)),$F181))),_xlfn.CONCAT("* REVIEW REQUIRED: compound-quote delimiter in Units on Sheet 1 row ",181,"; edit the input before running."),_xlfn.CONCAT("char ",TRIM($B181),"[doc_units] ",CHAR(96),CHAR(34),SUBSTITUTE(SUBSTITUTE(SUBSTITUTE(SUBSTITUTE(SUBSTITUTE(SUBSTITUTE($F181,CHAR(13)," "),CHAR(10)," "),CHAR(9)," "),CHAR(92),_xlfn.CONCAT(CHAR(92),CHAR(92))),"$",_xlfn.CONCAT(CHAR(92),"$")),CHAR(96),_xlfn.CONCAT(CHAR(92),CHAR(96))),CHAR(34),CHAR(39))))</f>
        <v/>
      </c>
      <c r="Q181" s="5" t="str">
        <f>IF(OR(TRIM($B181)="",$G181=""),"",IF(OR(ISNUMBER(SEARCH(_xlfn.CONCAT(CHAR(96),CHAR(34)),$G181)),ISNUMBER(SEARCH(_xlfn.CONCAT(CHAR(34),CHAR(39)),$G181))),_xlfn.CONCAT("* REVIEW REQUIRED: compound-quote delimiter in Universe on Sheet 1 row ",181,"; edit the input before running."),_xlfn.CONCAT("char ",TRIM($B181),"[doc_universe] ",CHAR(96),CHAR(34),SUBSTITUTE(SUBSTITUTE(SUBSTITUTE(SUBSTITUTE(SUBSTITUTE(SUBSTITUTE($G181,CHAR(13)," "),CHAR(10)," "),CHAR(9)," "),CHAR(92),_xlfn.CONCAT(CHAR(92),CHAR(92))),"$",_xlfn.CONCAT(CHAR(92),"$")),CHAR(96),_xlfn.CONCAT(CHAR(92),CHAR(96))),CHAR(34),CHAR(39))))</f>
        <v/>
      </c>
      <c r="R181" s="5" t="str">
        <f>IF(OR(TRIM($B181)="",$H181=""),"",IF(OR(ISNUMBER(SEARCH(_xlfn.CONCAT(CHAR(96),CHAR(34)),$H181)),ISNUMBER(SEARCH(_xlfn.CONCAT(CHAR(34),CHAR(39)),$H181))),_xlfn.CONCAT("* REVIEW REQUIRED: compound-quote delimiter in Source on Sheet 1 row ",181,"; edit the input before running."),_xlfn.CONCAT("char ",TRIM($B181),"[doc_source] ",CHAR(96),CHAR(34),SUBSTITUTE(SUBSTITUTE(SUBSTITUTE(SUBSTITUTE(SUBSTITUTE(SUBSTITUTE($H181,CHAR(13)," "),CHAR(10)," "),CHAR(9)," "),CHAR(92),_xlfn.CONCAT(CHAR(92),CHAR(92))),"$",_xlfn.CONCAT(CHAR(92),"$")),CHAR(96),_xlfn.CONCAT(CHAR(92),CHAR(96))),CHAR(34),CHAR(39))))</f>
        <v/>
      </c>
      <c r="S181" s="5" t="str">
        <f>IF(OR(TRIM($B181)="",$I181=""),"",IF(OR(ISNUMBER(SEARCH(_xlfn.CONCAT(CHAR(96),CHAR(34)),$I181)),ISNUMBER(SEARCH(_xlfn.CONCAT(CHAR(34),CHAR(39)),$I181))),_xlfn.CONCAT("* REVIEW REQUIRED: compound-quote delimiter in Derivation on Sheet 1 row ",181,"; edit the input before running."),_xlfn.CONCAT("char ",TRIM($B181),"[doc_derivation] ",CHAR(96),CHAR(34),SUBSTITUTE(SUBSTITUTE(SUBSTITUTE(SUBSTITUTE(SUBSTITUTE(SUBSTITUTE($I181,CHAR(13)," "),CHAR(10)," "),CHAR(9)," "),CHAR(92),_xlfn.CONCAT(CHAR(92),CHAR(92))),"$",_xlfn.CONCAT(CHAR(92),"$")),CHAR(96),_xlfn.CONCAT(CHAR(92),CHAR(96))),CHAR(34),CHAR(39))))</f>
        <v/>
      </c>
      <c r="T181" s="5" t="str">
        <f>IF(OR(TRIM($B181)="",$J181=""),"",IF(OR(ISNUMBER(SEARCH(_xlfn.CONCAT(CHAR(96),CHAR(34)),$J181)),ISNUMBER(SEARCH(_xlfn.CONCAT(CHAR(34),CHAR(39)),$J181))),_xlfn.CONCAT("* REVIEW REQUIRED: compound-quote delimiter in Notes on Sheet 1 row ",181,"; edit the input before running."),_xlfn.CONCAT("char ",TRIM($B181),"[doc_notes] ",CHAR(96),CHAR(34),SUBSTITUTE(SUBSTITUTE(SUBSTITUTE(SUBSTITUTE(SUBSTITUTE(SUBSTITUTE($J181,CHAR(13)," "),CHAR(10)," "),CHAR(9)," "),CHAR(92),_xlfn.CONCAT(CHAR(92),CHAR(92))),"$",_xlfn.CONCAT(CHAR(92),"$")),CHAR(96),_xlfn.CONCAT(CHAR(92),CHAR(96))),CHAR(34),CHAR(39))))</f>
        <v/>
      </c>
      <c r="U181" s="5">
        <f t="shared" si="5"/>
        <v>0</v>
      </c>
    </row>
    <row r="182" spans="3:21" ht="30" customHeight="1" x14ac:dyDescent="0.2">
      <c r="C182" s="4"/>
      <c r="K182" s="5">
        <f t="shared" si="4"/>
        <v>0</v>
      </c>
      <c r="L182" s="5" t="str">
        <f>IF(OR(TRIM($B182)="",$A182=""),"",IF(OR(ISNUMBER(SEARCH(_xlfn.CONCAT(CHAR(96),CHAR(34)),$A182)),ISNUMBER(SEARCH(_xlfn.CONCAT(CHAR(34),CHAR(39)),$A182))),_xlfn.CONCAT("* REVIEW REQUIRED: compound-quote delimiter in Codebook Section on Sheet 1 row ",182,"; edit the input before running."),_xlfn.CONCAT("char ",TRIM($B182),"[doc_section] ",CHAR(96),CHAR(34),SUBSTITUTE(SUBSTITUTE(SUBSTITUTE(SUBSTITUTE(SUBSTITUTE(SUBSTITUTE($A182,CHAR(13)," "),CHAR(10)," "),CHAR(9)," "),CHAR(92),_xlfn.CONCAT(CHAR(92),CHAR(92))),"$",_xlfn.CONCAT(CHAR(92),"$")),CHAR(96),_xlfn.CONCAT(CHAR(92),CHAR(96))),CHAR(34),CHAR(39))))</f>
        <v/>
      </c>
      <c r="M182" s="5" t="str">
        <f>IF(OR(TRIM($B182)="",$C182=""),"",IF(IFERROR(MATCH(TRIM($C182),{"Quantitative","Continuous","Discrete","Categorical","Nominal","Ordinal","Identifier"},0),0)=0,_xlfn.CONCAT("* REVIEW REQUIRED: invalid Variable Type on Sheet 1 row ",182,"."),_xlfn.CONCAT("char ",TRIM($B182),"[doc_vartype] ",CHAR(96),CHAR(34),SUBSTITUTE(SUBSTITUTE(SUBSTITUTE(SUBSTITUTE(SUBSTITUTE(SUBSTITUTE(LOWER(TRIM($C182)),CHAR(13)," "),CHAR(10)," "),CHAR(9)," "),CHAR(92),_xlfn.CONCAT(CHAR(92),CHAR(92))),"$",_xlfn.CONCAT(CHAR(92),"$")),CHAR(96),_xlfn.CONCAT(CHAR(92),CHAR(96))),CHAR(34),CHAR(39))))</f>
        <v/>
      </c>
      <c r="N182" s="5" t="str">
        <f>IF(OR(TRIM($B182)="",$D182=""),"",IF(OR(ISNUMBER(SEARCH(_xlfn.CONCAT(CHAR(96),CHAR(34)),$D182)),ISNUMBER(SEARCH(_xlfn.CONCAT(CHAR(34),CHAR(39)),$D182))),_xlfn.CONCAT("* REVIEW REQUIRED: compound-quote delimiter in Item Number on Sheet 1 row ",182,"; edit the input before running."),_xlfn.CONCAT("char ",TRIM($B182),"[doc_itemnum] ",CHAR(96),CHAR(34),SUBSTITUTE(SUBSTITUTE(SUBSTITUTE(SUBSTITUTE(SUBSTITUTE(SUBSTITUTE($D182,CHAR(13)," "),CHAR(10)," "),CHAR(9)," "),CHAR(92),_xlfn.CONCAT(CHAR(92),CHAR(92))),"$",_xlfn.CONCAT(CHAR(92),"$")),CHAR(96),_xlfn.CONCAT(CHAR(92),CHAR(96))),CHAR(34),CHAR(39))))</f>
        <v/>
      </c>
      <c r="O182" s="5" t="str">
        <f>IF(OR(TRIM($B182)="",$E182=""),"",IF(OR(ISNUMBER(SEARCH(_xlfn.CONCAT(CHAR(96),CHAR(34)),$E182)),ISNUMBER(SEARCH(_xlfn.CONCAT(CHAR(34),CHAR(39)),$E182))),_xlfn.CONCAT("* REVIEW REQUIRED: compound-quote delimiter in Question Wording on Sheet 1 row ",182,"; edit the input before running."),_xlfn.CONCAT("char ",TRIM($B182),"[doc_question] ",CHAR(96),CHAR(34),SUBSTITUTE(SUBSTITUTE(SUBSTITUTE(SUBSTITUTE(SUBSTITUTE(SUBSTITUTE($E182,CHAR(13)," "),CHAR(10)," "),CHAR(9)," "),CHAR(92),_xlfn.CONCAT(CHAR(92),CHAR(92))),"$",_xlfn.CONCAT(CHAR(92),"$")),CHAR(96),_xlfn.CONCAT(CHAR(92),CHAR(96))),CHAR(34),CHAR(39))))</f>
        <v/>
      </c>
      <c r="P182" s="5" t="str">
        <f>IF(OR(TRIM($B182)="",$F182=""),"",IF(OR(ISNUMBER(SEARCH(_xlfn.CONCAT(CHAR(96),CHAR(34)),$F182)),ISNUMBER(SEARCH(_xlfn.CONCAT(CHAR(34),CHAR(39)),$F182))),_xlfn.CONCAT("* REVIEW REQUIRED: compound-quote delimiter in Units on Sheet 1 row ",182,"; edit the input before running."),_xlfn.CONCAT("char ",TRIM($B182),"[doc_units] ",CHAR(96),CHAR(34),SUBSTITUTE(SUBSTITUTE(SUBSTITUTE(SUBSTITUTE(SUBSTITUTE(SUBSTITUTE($F182,CHAR(13)," "),CHAR(10)," "),CHAR(9)," "),CHAR(92),_xlfn.CONCAT(CHAR(92),CHAR(92))),"$",_xlfn.CONCAT(CHAR(92),"$")),CHAR(96),_xlfn.CONCAT(CHAR(92),CHAR(96))),CHAR(34),CHAR(39))))</f>
        <v/>
      </c>
      <c r="Q182" s="5" t="str">
        <f>IF(OR(TRIM($B182)="",$G182=""),"",IF(OR(ISNUMBER(SEARCH(_xlfn.CONCAT(CHAR(96),CHAR(34)),$G182)),ISNUMBER(SEARCH(_xlfn.CONCAT(CHAR(34),CHAR(39)),$G182))),_xlfn.CONCAT("* REVIEW REQUIRED: compound-quote delimiter in Universe on Sheet 1 row ",182,"; edit the input before running."),_xlfn.CONCAT("char ",TRIM($B182),"[doc_universe] ",CHAR(96),CHAR(34),SUBSTITUTE(SUBSTITUTE(SUBSTITUTE(SUBSTITUTE(SUBSTITUTE(SUBSTITUTE($G182,CHAR(13)," "),CHAR(10)," "),CHAR(9)," "),CHAR(92),_xlfn.CONCAT(CHAR(92),CHAR(92))),"$",_xlfn.CONCAT(CHAR(92),"$")),CHAR(96),_xlfn.CONCAT(CHAR(92),CHAR(96))),CHAR(34),CHAR(39))))</f>
        <v/>
      </c>
      <c r="R182" s="5" t="str">
        <f>IF(OR(TRIM($B182)="",$H182=""),"",IF(OR(ISNUMBER(SEARCH(_xlfn.CONCAT(CHAR(96),CHAR(34)),$H182)),ISNUMBER(SEARCH(_xlfn.CONCAT(CHAR(34),CHAR(39)),$H182))),_xlfn.CONCAT("* REVIEW REQUIRED: compound-quote delimiter in Source on Sheet 1 row ",182,"; edit the input before running."),_xlfn.CONCAT("char ",TRIM($B182),"[doc_source] ",CHAR(96),CHAR(34),SUBSTITUTE(SUBSTITUTE(SUBSTITUTE(SUBSTITUTE(SUBSTITUTE(SUBSTITUTE($H182,CHAR(13)," "),CHAR(10)," "),CHAR(9)," "),CHAR(92),_xlfn.CONCAT(CHAR(92),CHAR(92))),"$",_xlfn.CONCAT(CHAR(92),"$")),CHAR(96),_xlfn.CONCAT(CHAR(92),CHAR(96))),CHAR(34),CHAR(39))))</f>
        <v/>
      </c>
      <c r="S182" s="5" t="str">
        <f>IF(OR(TRIM($B182)="",$I182=""),"",IF(OR(ISNUMBER(SEARCH(_xlfn.CONCAT(CHAR(96),CHAR(34)),$I182)),ISNUMBER(SEARCH(_xlfn.CONCAT(CHAR(34),CHAR(39)),$I182))),_xlfn.CONCAT("* REVIEW REQUIRED: compound-quote delimiter in Derivation on Sheet 1 row ",182,"; edit the input before running."),_xlfn.CONCAT("char ",TRIM($B182),"[doc_derivation] ",CHAR(96),CHAR(34),SUBSTITUTE(SUBSTITUTE(SUBSTITUTE(SUBSTITUTE(SUBSTITUTE(SUBSTITUTE($I182,CHAR(13)," "),CHAR(10)," "),CHAR(9)," "),CHAR(92),_xlfn.CONCAT(CHAR(92),CHAR(92))),"$",_xlfn.CONCAT(CHAR(92),"$")),CHAR(96),_xlfn.CONCAT(CHAR(92),CHAR(96))),CHAR(34),CHAR(39))))</f>
        <v/>
      </c>
      <c r="T182" s="5" t="str">
        <f>IF(OR(TRIM($B182)="",$J182=""),"",IF(OR(ISNUMBER(SEARCH(_xlfn.CONCAT(CHAR(96),CHAR(34)),$J182)),ISNUMBER(SEARCH(_xlfn.CONCAT(CHAR(34),CHAR(39)),$J182))),_xlfn.CONCAT("* REVIEW REQUIRED: compound-quote delimiter in Notes on Sheet 1 row ",182,"; edit the input before running."),_xlfn.CONCAT("char ",TRIM($B182),"[doc_notes] ",CHAR(96),CHAR(34),SUBSTITUTE(SUBSTITUTE(SUBSTITUTE(SUBSTITUTE(SUBSTITUTE(SUBSTITUTE($J182,CHAR(13)," "),CHAR(10)," "),CHAR(9)," "),CHAR(92),_xlfn.CONCAT(CHAR(92),CHAR(92))),"$",_xlfn.CONCAT(CHAR(92),"$")),CHAR(96),_xlfn.CONCAT(CHAR(92),CHAR(96))),CHAR(34),CHAR(39))))</f>
        <v/>
      </c>
      <c r="U182" s="5">
        <f t="shared" si="5"/>
        <v>0</v>
      </c>
    </row>
    <row r="183" spans="3:21" ht="30" customHeight="1" x14ac:dyDescent="0.2">
      <c r="C183" s="4"/>
      <c r="K183" s="5">
        <f t="shared" si="4"/>
        <v>0</v>
      </c>
      <c r="L183" s="5" t="str">
        <f>IF(OR(TRIM($B183)="",$A183=""),"",IF(OR(ISNUMBER(SEARCH(_xlfn.CONCAT(CHAR(96),CHAR(34)),$A183)),ISNUMBER(SEARCH(_xlfn.CONCAT(CHAR(34),CHAR(39)),$A183))),_xlfn.CONCAT("* REVIEW REQUIRED: compound-quote delimiter in Codebook Section on Sheet 1 row ",183,"; edit the input before running."),_xlfn.CONCAT("char ",TRIM($B183),"[doc_section] ",CHAR(96),CHAR(34),SUBSTITUTE(SUBSTITUTE(SUBSTITUTE(SUBSTITUTE(SUBSTITUTE(SUBSTITUTE($A183,CHAR(13)," "),CHAR(10)," "),CHAR(9)," "),CHAR(92),_xlfn.CONCAT(CHAR(92),CHAR(92))),"$",_xlfn.CONCAT(CHAR(92),"$")),CHAR(96),_xlfn.CONCAT(CHAR(92),CHAR(96))),CHAR(34),CHAR(39))))</f>
        <v/>
      </c>
      <c r="M183" s="5" t="str">
        <f>IF(OR(TRIM($B183)="",$C183=""),"",IF(IFERROR(MATCH(TRIM($C183),{"Quantitative","Continuous","Discrete","Categorical","Nominal","Ordinal","Identifier"},0),0)=0,_xlfn.CONCAT("* REVIEW REQUIRED: invalid Variable Type on Sheet 1 row ",183,"."),_xlfn.CONCAT("char ",TRIM($B183),"[doc_vartype] ",CHAR(96),CHAR(34),SUBSTITUTE(SUBSTITUTE(SUBSTITUTE(SUBSTITUTE(SUBSTITUTE(SUBSTITUTE(LOWER(TRIM($C183)),CHAR(13)," "),CHAR(10)," "),CHAR(9)," "),CHAR(92),_xlfn.CONCAT(CHAR(92),CHAR(92))),"$",_xlfn.CONCAT(CHAR(92),"$")),CHAR(96),_xlfn.CONCAT(CHAR(92),CHAR(96))),CHAR(34),CHAR(39))))</f>
        <v/>
      </c>
      <c r="N183" s="5" t="str">
        <f>IF(OR(TRIM($B183)="",$D183=""),"",IF(OR(ISNUMBER(SEARCH(_xlfn.CONCAT(CHAR(96),CHAR(34)),$D183)),ISNUMBER(SEARCH(_xlfn.CONCAT(CHAR(34),CHAR(39)),$D183))),_xlfn.CONCAT("* REVIEW REQUIRED: compound-quote delimiter in Item Number on Sheet 1 row ",183,"; edit the input before running."),_xlfn.CONCAT("char ",TRIM($B183),"[doc_itemnum] ",CHAR(96),CHAR(34),SUBSTITUTE(SUBSTITUTE(SUBSTITUTE(SUBSTITUTE(SUBSTITUTE(SUBSTITUTE($D183,CHAR(13)," "),CHAR(10)," "),CHAR(9)," "),CHAR(92),_xlfn.CONCAT(CHAR(92),CHAR(92))),"$",_xlfn.CONCAT(CHAR(92),"$")),CHAR(96),_xlfn.CONCAT(CHAR(92),CHAR(96))),CHAR(34),CHAR(39))))</f>
        <v/>
      </c>
      <c r="O183" s="5" t="str">
        <f>IF(OR(TRIM($B183)="",$E183=""),"",IF(OR(ISNUMBER(SEARCH(_xlfn.CONCAT(CHAR(96),CHAR(34)),$E183)),ISNUMBER(SEARCH(_xlfn.CONCAT(CHAR(34),CHAR(39)),$E183))),_xlfn.CONCAT("* REVIEW REQUIRED: compound-quote delimiter in Question Wording on Sheet 1 row ",183,"; edit the input before running."),_xlfn.CONCAT("char ",TRIM($B183),"[doc_question] ",CHAR(96),CHAR(34),SUBSTITUTE(SUBSTITUTE(SUBSTITUTE(SUBSTITUTE(SUBSTITUTE(SUBSTITUTE($E183,CHAR(13)," "),CHAR(10)," "),CHAR(9)," "),CHAR(92),_xlfn.CONCAT(CHAR(92),CHAR(92))),"$",_xlfn.CONCAT(CHAR(92),"$")),CHAR(96),_xlfn.CONCAT(CHAR(92),CHAR(96))),CHAR(34),CHAR(39))))</f>
        <v/>
      </c>
      <c r="P183" s="5" t="str">
        <f>IF(OR(TRIM($B183)="",$F183=""),"",IF(OR(ISNUMBER(SEARCH(_xlfn.CONCAT(CHAR(96),CHAR(34)),$F183)),ISNUMBER(SEARCH(_xlfn.CONCAT(CHAR(34),CHAR(39)),$F183))),_xlfn.CONCAT("* REVIEW REQUIRED: compound-quote delimiter in Units on Sheet 1 row ",183,"; edit the input before running."),_xlfn.CONCAT("char ",TRIM($B183),"[doc_units] ",CHAR(96),CHAR(34),SUBSTITUTE(SUBSTITUTE(SUBSTITUTE(SUBSTITUTE(SUBSTITUTE(SUBSTITUTE($F183,CHAR(13)," "),CHAR(10)," "),CHAR(9)," "),CHAR(92),_xlfn.CONCAT(CHAR(92),CHAR(92))),"$",_xlfn.CONCAT(CHAR(92),"$")),CHAR(96),_xlfn.CONCAT(CHAR(92),CHAR(96))),CHAR(34),CHAR(39))))</f>
        <v/>
      </c>
      <c r="Q183" s="5" t="str">
        <f>IF(OR(TRIM($B183)="",$G183=""),"",IF(OR(ISNUMBER(SEARCH(_xlfn.CONCAT(CHAR(96),CHAR(34)),$G183)),ISNUMBER(SEARCH(_xlfn.CONCAT(CHAR(34),CHAR(39)),$G183))),_xlfn.CONCAT("* REVIEW REQUIRED: compound-quote delimiter in Universe on Sheet 1 row ",183,"; edit the input before running."),_xlfn.CONCAT("char ",TRIM($B183),"[doc_universe] ",CHAR(96),CHAR(34),SUBSTITUTE(SUBSTITUTE(SUBSTITUTE(SUBSTITUTE(SUBSTITUTE(SUBSTITUTE($G183,CHAR(13)," "),CHAR(10)," "),CHAR(9)," "),CHAR(92),_xlfn.CONCAT(CHAR(92),CHAR(92))),"$",_xlfn.CONCAT(CHAR(92),"$")),CHAR(96),_xlfn.CONCAT(CHAR(92),CHAR(96))),CHAR(34),CHAR(39))))</f>
        <v/>
      </c>
      <c r="R183" s="5" t="str">
        <f>IF(OR(TRIM($B183)="",$H183=""),"",IF(OR(ISNUMBER(SEARCH(_xlfn.CONCAT(CHAR(96),CHAR(34)),$H183)),ISNUMBER(SEARCH(_xlfn.CONCAT(CHAR(34),CHAR(39)),$H183))),_xlfn.CONCAT("* REVIEW REQUIRED: compound-quote delimiter in Source on Sheet 1 row ",183,"; edit the input before running."),_xlfn.CONCAT("char ",TRIM($B183),"[doc_source] ",CHAR(96),CHAR(34),SUBSTITUTE(SUBSTITUTE(SUBSTITUTE(SUBSTITUTE(SUBSTITUTE(SUBSTITUTE($H183,CHAR(13)," "),CHAR(10)," "),CHAR(9)," "),CHAR(92),_xlfn.CONCAT(CHAR(92),CHAR(92))),"$",_xlfn.CONCAT(CHAR(92),"$")),CHAR(96),_xlfn.CONCAT(CHAR(92),CHAR(96))),CHAR(34),CHAR(39))))</f>
        <v/>
      </c>
      <c r="S183" s="5" t="str">
        <f>IF(OR(TRIM($B183)="",$I183=""),"",IF(OR(ISNUMBER(SEARCH(_xlfn.CONCAT(CHAR(96),CHAR(34)),$I183)),ISNUMBER(SEARCH(_xlfn.CONCAT(CHAR(34),CHAR(39)),$I183))),_xlfn.CONCAT("* REVIEW REQUIRED: compound-quote delimiter in Derivation on Sheet 1 row ",183,"; edit the input before running."),_xlfn.CONCAT("char ",TRIM($B183),"[doc_derivation] ",CHAR(96),CHAR(34),SUBSTITUTE(SUBSTITUTE(SUBSTITUTE(SUBSTITUTE(SUBSTITUTE(SUBSTITUTE($I183,CHAR(13)," "),CHAR(10)," "),CHAR(9)," "),CHAR(92),_xlfn.CONCAT(CHAR(92),CHAR(92))),"$",_xlfn.CONCAT(CHAR(92),"$")),CHAR(96),_xlfn.CONCAT(CHAR(92),CHAR(96))),CHAR(34),CHAR(39))))</f>
        <v/>
      </c>
      <c r="T183" s="5" t="str">
        <f>IF(OR(TRIM($B183)="",$J183=""),"",IF(OR(ISNUMBER(SEARCH(_xlfn.CONCAT(CHAR(96),CHAR(34)),$J183)),ISNUMBER(SEARCH(_xlfn.CONCAT(CHAR(34),CHAR(39)),$J183))),_xlfn.CONCAT("* REVIEW REQUIRED: compound-quote delimiter in Notes on Sheet 1 row ",183,"; edit the input before running."),_xlfn.CONCAT("char ",TRIM($B183),"[doc_notes] ",CHAR(96),CHAR(34),SUBSTITUTE(SUBSTITUTE(SUBSTITUTE(SUBSTITUTE(SUBSTITUTE(SUBSTITUTE($J183,CHAR(13)," "),CHAR(10)," "),CHAR(9)," "),CHAR(92),_xlfn.CONCAT(CHAR(92),CHAR(92))),"$",_xlfn.CONCAT(CHAR(92),"$")),CHAR(96),_xlfn.CONCAT(CHAR(92),CHAR(96))),CHAR(34),CHAR(39))))</f>
        <v/>
      </c>
      <c r="U183" s="5">
        <f t="shared" si="5"/>
        <v>0</v>
      </c>
    </row>
    <row r="184" spans="3:21" ht="30" customHeight="1" x14ac:dyDescent="0.2">
      <c r="C184" s="4"/>
      <c r="K184" s="5">
        <f t="shared" si="4"/>
        <v>0</v>
      </c>
      <c r="L184" s="5" t="str">
        <f>IF(OR(TRIM($B184)="",$A184=""),"",IF(OR(ISNUMBER(SEARCH(_xlfn.CONCAT(CHAR(96),CHAR(34)),$A184)),ISNUMBER(SEARCH(_xlfn.CONCAT(CHAR(34),CHAR(39)),$A184))),_xlfn.CONCAT("* REVIEW REQUIRED: compound-quote delimiter in Codebook Section on Sheet 1 row ",184,"; edit the input before running."),_xlfn.CONCAT("char ",TRIM($B184),"[doc_section] ",CHAR(96),CHAR(34),SUBSTITUTE(SUBSTITUTE(SUBSTITUTE(SUBSTITUTE(SUBSTITUTE(SUBSTITUTE($A184,CHAR(13)," "),CHAR(10)," "),CHAR(9)," "),CHAR(92),_xlfn.CONCAT(CHAR(92),CHAR(92))),"$",_xlfn.CONCAT(CHAR(92),"$")),CHAR(96),_xlfn.CONCAT(CHAR(92),CHAR(96))),CHAR(34),CHAR(39))))</f>
        <v/>
      </c>
      <c r="M184" s="5" t="str">
        <f>IF(OR(TRIM($B184)="",$C184=""),"",IF(IFERROR(MATCH(TRIM($C184),{"Quantitative","Continuous","Discrete","Categorical","Nominal","Ordinal","Identifier"},0),0)=0,_xlfn.CONCAT("* REVIEW REQUIRED: invalid Variable Type on Sheet 1 row ",184,"."),_xlfn.CONCAT("char ",TRIM($B184),"[doc_vartype] ",CHAR(96),CHAR(34),SUBSTITUTE(SUBSTITUTE(SUBSTITUTE(SUBSTITUTE(SUBSTITUTE(SUBSTITUTE(LOWER(TRIM($C184)),CHAR(13)," "),CHAR(10)," "),CHAR(9)," "),CHAR(92),_xlfn.CONCAT(CHAR(92),CHAR(92))),"$",_xlfn.CONCAT(CHAR(92),"$")),CHAR(96),_xlfn.CONCAT(CHAR(92),CHAR(96))),CHAR(34),CHAR(39))))</f>
        <v/>
      </c>
      <c r="N184" s="5" t="str">
        <f>IF(OR(TRIM($B184)="",$D184=""),"",IF(OR(ISNUMBER(SEARCH(_xlfn.CONCAT(CHAR(96),CHAR(34)),$D184)),ISNUMBER(SEARCH(_xlfn.CONCAT(CHAR(34),CHAR(39)),$D184))),_xlfn.CONCAT("* REVIEW REQUIRED: compound-quote delimiter in Item Number on Sheet 1 row ",184,"; edit the input before running."),_xlfn.CONCAT("char ",TRIM($B184),"[doc_itemnum] ",CHAR(96),CHAR(34),SUBSTITUTE(SUBSTITUTE(SUBSTITUTE(SUBSTITUTE(SUBSTITUTE(SUBSTITUTE($D184,CHAR(13)," "),CHAR(10)," "),CHAR(9)," "),CHAR(92),_xlfn.CONCAT(CHAR(92),CHAR(92))),"$",_xlfn.CONCAT(CHAR(92),"$")),CHAR(96),_xlfn.CONCAT(CHAR(92),CHAR(96))),CHAR(34),CHAR(39))))</f>
        <v/>
      </c>
      <c r="O184" s="5" t="str">
        <f>IF(OR(TRIM($B184)="",$E184=""),"",IF(OR(ISNUMBER(SEARCH(_xlfn.CONCAT(CHAR(96),CHAR(34)),$E184)),ISNUMBER(SEARCH(_xlfn.CONCAT(CHAR(34),CHAR(39)),$E184))),_xlfn.CONCAT("* REVIEW REQUIRED: compound-quote delimiter in Question Wording on Sheet 1 row ",184,"; edit the input before running."),_xlfn.CONCAT("char ",TRIM($B184),"[doc_question] ",CHAR(96),CHAR(34),SUBSTITUTE(SUBSTITUTE(SUBSTITUTE(SUBSTITUTE(SUBSTITUTE(SUBSTITUTE($E184,CHAR(13)," "),CHAR(10)," "),CHAR(9)," "),CHAR(92),_xlfn.CONCAT(CHAR(92),CHAR(92))),"$",_xlfn.CONCAT(CHAR(92),"$")),CHAR(96),_xlfn.CONCAT(CHAR(92),CHAR(96))),CHAR(34),CHAR(39))))</f>
        <v/>
      </c>
      <c r="P184" s="5" t="str">
        <f>IF(OR(TRIM($B184)="",$F184=""),"",IF(OR(ISNUMBER(SEARCH(_xlfn.CONCAT(CHAR(96),CHAR(34)),$F184)),ISNUMBER(SEARCH(_xlfn.CONCAT(CHAR(34),CHAR(39)),$F184))),_xlfn.CONCAT("* REVIEW REQUIRED: compound-quote delimiter in Units on Sheet 1 row ",184,"; edit the input before running."),_xlfn.CONCAT("char ",TRIM($B184),"[doc_units] ",CHAR(96),CHAR(34),SUBSTITUTE(SUBSTITUTE(SUBSTITUTE(SUBSTITUTE(SUBSTITUTE(SUBSTITUTE($F184,CHAR(13)," "),CHAR(10)," "),CHAR(9)," "),CHAR(92),_xlfn.CONCAT(CHAR(92),CHAR(92))),"$",_xlfn.CONCAT(CHAR(92),"$")),CHAR(96),_xlfn.CONCAT(CHAR(92),CHAR(96))),CHAR(34),CHAR(39))))</f>
        <v/>
      </c>
      <c r="Q184" s="5" t="str">
        <f>IF(OR(TRIM($B184)="",$G184=""),"",IF(OR(ISNUMBER(SEARCH(_xlfn.CONCAT(CHAR(96),CHAR(34)),$G184)),ISNUMBER(SEARCH(_xlfn.CONCAT(CHAR(34),CHAR(39)),$G184))),_xlfn.CONCAT("* REVIEW REQUIRED: compound-quote delimiter in Universe on Sheet 1 row ",184,"; edit the input before running."),_xlfn.CONCAT("char ",TRIM($B184),"[doc_universe] ",CHAR(96),CHAR(34),SUBSTITUTE(SUBSTITUTE(SUBSTITUTE(SUBSTITUTE(SUBSTITUTE(SUBSTITUTE($G184,CHAR(13)," "),CHAR(10)," "),CHAR(9)," "),CHAR(92),_xlfn.CONCAT(CHAR(92),CHAR(92))),"$",_xlfn.CONCAT(CHAR(92),"$")),CHAR(96),_xlfn.CONCAT(CHAR(92),CHAR(96))),CHAR(34),CHAR(39))))</f>
        <v/>
      </c>
      <c r="R184" s="5" t="str">
        <f>IF(OR(TRIM($B184)="",$H184=""),"",IF(OR(ISNUMBER(SEARCH(_xlfn.CONCAT(CHAR(96),CHAR(34)),$H184)),ISNUMBER(SEARCH(_xlfn.CONCAT(CHAR(34),CHAR(39)),$H184))),_xlfn.CONCAT("* REVIEW REQUIRED: compound-quote delimiter in Source on Sheet 1 row ",184,"; edit the input before running."),_xlfn.CONCAT("char ",TRIM($B184),"[doc_source] ",CHAR(96),CHAR(34),SUBSTITUTE(SUBSTITUTE(SUBSTITUTE(SUBSTITUTE(SUBSTITUTE(SUBSTITUTE($H184,CHAR(13)," "),CHAR(10)," "),CHAR(9)," "),CHAR(92),_xlfn.CONCAT(CHAR(92),CHAR(92))),"$",_xlfn.CONCAT(CHAR(92),"$")),CHAR(96),_xlfn.CONCAT(CHAR(92),CHAR(96))),CHAR(34),CHAR(39))))</f>
        <v/>
      </c>
      <c r="S184" s="5" t="str">
        <f>IF(OR(TRIM($B184)="",$I184=""),"",IF(OR(ISNUMBER(SEARCH(_xlfn.CONCAT(CHAR(96),CHAR(34)),$I184)),ISNUMBER(SEARCH(_xlfn.CONCAT(CHAR(34),CHAR(39)),$I184))),_xlfn.CONCAT("* REVIEW REQUIRED: compound-quote delimiter in Derivation on Sheet 1 row ",184,"; edit the input before running."),_xlfn.CONCAT("char ",TRIM($B184),"[doc_derivation] ",CHAR(96),CHAR(34),SUBSTITUTE(SUBSTITUTE(SUBSTITUTE(SUBSTITUTE(SUBSTITUTE(SUBSTITUTE($I184,CHAR(13)," "),CHAR(10)," "),CHAR(9)," "),CHAR(92),_xlfn.CONCAT(CHAR(92),CHAR(92))),"$",_xlfn.CONCAT(CHAR(92),"$")),CHAR(96),_xlfn.CONCAT(CHAR(92),CHAR(96))),CHAR(34),CHAR(39))))</f>
        <v/>
      </c>
      <c r="T184" s="5" t="str">
        <f>IF(OR(TRIM($B184)="",$J184=""),"",IF(OR(ISNUMBER(SEARCH(_xlfn.CONCAT(CHAR(96),CHAR(34)),$J184)),ISNUMBER(SEARCH(_xlfn.CONCAT(CHAR(34),CHAR(39)),$J184))),_xlfn.CONCAT("* REVIEW REQUIRED: compound-quote delimiter in Notes on Sheet 1 row ",184,"; edit the input before running."),_xlfn.CONCAT("char ",TRIM($B184),"[doc_notes] ",CHAR(96),CHAR(34),SUBSTITUTE(SUBSTITUTE(SUBSTITUTE(SUBSTITUTE(SUBSTITUTE(SUBSTITUTE($J184,CHAR(13)," "),CHAR(10)," "),CHAR(9)," "),CHAR(92),_xlfn.CONCAT(CHAR(92),CHAR(92))),"$",_xlfn.CONCAT(CHAR(92),"$")),CHAR(96),_xlfn.CONCAT(CHAR(92),CHAR(96))),CHAR(34),CHAR(39))))</f>
        <v/>
      </c>
      <c r="U184" s="5">
        <f t="shared" si="5"/>
        <v>0</v>
      </c>
    </row>
    <row r="185" spans="3:21" ht="30" customHeight="1" x14ac:dyDescent="0.2">
      <c r="C185" s="4"/>
      <c r="K185" s="5">
        <f t="shared" si="4"/>
        <v>0</v>
      </c>
      <c r="L185" s="5" t="str">
        <f>IF(OR(TRIM($B185)="",$A185=""),"",IF(OR(ISNUMBER(SEARCH(_xlfn.CONCAT(CHAR(96),CHAR(34)),$A185)),ISNUMBER(SEARCH(_xlfn.CONCAT(CHAR(34),CHAR(39)),$A185))),_xlfn.CONCAT("* REVIEW REQUIRED: compound-quote delimiter in Codebook Section on Sheet 1 row ",185,"; edit the input before running."),_xlfn.CONCAT("char ",TRIM($B185),"[doc_section] ",CHAR(96),CHAR(34),SUBSTITUTE(SUBSTITUTE(SUBSTITUTE(SUBSTITUTE(SUBSTITUTE(SUBSTITUTE($A185,CHAR(13)," "),CHAR(10)," "),CHAR(9)," "),CHAR(92),_xlfn.CONCAT(CHAR(92),CHAR(92))),"$",_xlfn.CONCAT(CHAR(92),"$")),CHAR(96),_xlfn.CONCAT(CHAR(92),CHAR(96))),CHAR(34),CHAR(39))))</f>
        <v/>
      </c>
      <c r="M185" s="5" t="str">
        <f>IF(OR(TRIM($B185)="",$C185=""),"",IF(IFERROR(MATCH(TRIM($C185),{"Quantitative","Continuous","Discrete","Categorical","Nominal","Ordinal","Identifier"},0),0)=0,_xlfn.CONCAT("* REVIEW REQUIRED: invalid Variable Type on Sheet 1 row ",185,"."),_xlfn.CONCAT("char ",TRIM($B185),"[doc_vartype] ",CHAR(96),CHAR(34),SUBSTITUTE(SUBSTITUTE(SUBSTITUTE(SUBSTITUTE(SUBSTITUTE(SUBSTITUTE(LOWER(TRIM($C185)),CHAR(13)," "),CHAR(10)," "),CHAR(9)," "),CHAR(92),_xlfn.CONCAT(CHAR(92),CHAR(92))),"$",_xlfn.CONCAT(CHAR(92),"$")),CHAR(96),_xlfn.CONCAT(CHAR(92),CHAR(96))),CHAR(34),CHAR(39))))</f>
        <v/>
      </c>
      <c r="N185" s="5" t="str">
        <f>IF(OR(TRIM($B185)="",$D185=""),"",IF(OR(ISNUMBER(SEARCH(_xlfn.CONCAT(CHAR(96),CHAR(34)),$D185)),ISNUMBER(SEARCH(_xlfn.CONCAT(CHAR(34),CHAR(39)),$D185))),_xlfn.CONCAT("* REVIEW REQUIRED: compound-quote delimiter in Item Number on Sheet 1 row ",185,"; edit the input before running."),_xlfn.CONCAT("char ",TRIM($B185),"[doc_itemnum] ",CHAR(96),CHAR(34),SUBSTITUTE(SUBSTITUTE(SUBSTITUTE(SUBSTITUTE(SUBSTITUTE(SUBSTITUTE($D185,CHAR(13)," "),CHAR(10)," "),CHAR(9)," "),CHAR(92),_xlfn.CONCAT(CHAR(92),CHAR(92))),"$",_xlfn.CONCAT(CHAR(92),"$")),CHAR(96),_xlfn.CONCAT(CHAR(92),CHAR(96))),CHAR(34),CHAR(39))))</f>
        <v/>
      </c>
      <c r="O185" s="5" t="str">
        <f>IF(OR(TRIM($B185)="",$E185=""),"",IF(OR(ISNUMBER(SEARCH(_xlfn.CONCAT(CHAR(96),CHAR(34)),$E185)),ISNUMBER(SEARCH(_xlfn.CONCAT(CHAR(34),CHAR(39)),$E185))),_xlfn.CONCAT("* REVIEW REQUIRED: compound-quote delimiter in Question Wording on Sheet 1 row ",185,"; edit the input before running."),_xlfn.CONCAT("char ",TRIM($B185),"[doc_question] ",CHAR(96),CHAR(34),SUBSTITUTE(SUBSTITUTE(SUBSTITUTE(SUBSTITUTE(SUBSTITUTE(SUBSTITUTE($E185,CHAR(13)," "),CHAR(10)," "),CHAR(9)," "),CHAR(92),_xlfn.CONCAT(CHAR(92),CHAR(92))),"$",_xlfn.CONCAT(CHAR(92),"$")),CHAR(96),_xlfn.CONCAT(CHAR(92),CHAR(96))),CHAR(34),CHAR(39))))</f>
        <v/>
      </c>
      <c r="P185" s="5" t="str">
        <f>IF(OR(TRIM($B185)="",$F185=""),"",IF(OR(ISNUMBER(SEARCH(_xlfn.CONCAT(CHAR(96),CHAR(34)),$F185)),ISNUMBER(SEARCH(_xlfn.CONCAT(CHAR(34),CHAR(39)),$F185))),_xlfn.CONCAT("* REVIEW REQUIRED: compound-quote delimiter in Units on Sheet 1 row ",185,"; edit the input before running."),_xlfn.CONCAT("char ",TRIM($B185),"[doc_units] ",CHAR(96),CHAR(34),SUBSTITUTE(SUBSTITUTE(SUBSTITUTE(SUBSTITUTE(SUBSTITUTE(SUBSTITUTE($F185,CHAR(13)," "),CHAR(10)," "),CHAR(9)," "),CHAR(92),_xlfn.CONCAT(CHAR(92),CHAR(92))),"$",_xlfn.CONCAT(CHAR(92),"$")),CHAR(96),_xlfn.CONCAT(CHAR(92),CHAR(96))),CHAR(34),CHAR(39))))</f>
        <v/>
      </c>
      <c r="Q185" s="5" t="str">
        <f>IF(OR(TRIM($B185)="",$G185=""),"",IF(OR(ISNUMBER(SEARCH(_xlfn.CONCAT(CHAR(96),CHAR(34)),$G185)),ISNUMBER(SEARCH(_xlfn.CONCAT(CHAR(34),CHAR(39)),$G185))),_xlfn.CONCAT("* REVIEW REQUIRED: compound-quote delimiter in Universe on Sheet 1 row ",185,"; edit the input before running."),_xlfn.CONCAT("char ",TRIM($B185),"[doc_universe] ",CHAR(96),CHAR(34),SUBSTITUTE(SUBSTITUTE(SUBSTITUTE(SUBSTITUTE(SUBSTITUTE(SUBSTITUTE($G185,CHAR(13)," "),CHAR(10)," "),CHAR(9)," "),CHAR(92),_xlfn.CONCAT(CHAR(92),CHAR(92))),"$",_xlfn.CONCAT(CHAR(92),"$")),CHAR(96),_xlfn.CONCAT(CHAR(92),CHAR(96))),CHAR(34),CHAR(39))))</f>
        <v/>
      </c>
      <c r="R185" s="5" t="str">
        <f>IF(OR(TRIM($B185)="",$H185=""),"",IF(OR(ISNUMBER(SEARCH(_xlfn.CONCAT(CHAR(96),CHAR(34)),$H185)),ISNUMBER(SEARCH(_xlfn.CONCAT(CHAR(34),CHAR(39)),$H185))),_xlfn.CONCAT("* REVIEW REQUIRED: compound-quote delimiter in Source on Sheet 1 row ",185,"; edit the input before running."),_xlfn.CONCAT("char ",TRIM($B185),"[doc_source] ",CHAR(96),CHAR(34),SUBSTITUTE(SUBSTITUTE(SUBSTITUTE(SUBSTITUTE(SUBSTITUTE(SUBSTITUTE($H185,CHAR(13)," "),CHAR(10)," "),CHAR(9)," "),CHAR(92),_xlfn.CONCAT(CHAR(92),CHAR(92))),"$",_xlfn.CONCAT(CHAR(92),"$")),CHAR(96),_xlfn.CONCAT(CHAR(92),CHAR(96))),CHAR(34),CHAR(39))))</f>
        <v/>
      </c>
      <c r="S185" s="5" t="str">
        <f>IF(OR(TRIM($B185)="",$I185=""),"",IF(OR(ISNUMBER(SEARCH(_xlfn.CONCAT(CHAR(96),CHAR(34)),$I185)),ISNUMBER(SEARCH(_xlfn.CONCAT(CHAR(34),CHAR(39)),$I185))),_xlfn.CONCAT("* REVIEW REQUIRED: compound-quote delimiter in Derivation on Sheet 1 row ",185,"; edit the input before running."),_xlfn.CONCAT("char ",TRIM($B185),"[doc_derivation] ",CHAR(96),CHAR(34),SUBSTITUTE(SUBSTITUTE(SUBSTITUTE(SUBSTITUTE(SUBSTITUTE(SUBSTITUTE($I185,CHAR(13)," "),CHAR(10)," "),CHAR(9)," "),CHAR(92),_xlfn.CONCAT(CHAR(92),CHAR(92))),"$",_xlfn.CONCAT(CHAR(92),"$")),CHAR(96),_xlfn.CONCAT(CHAR(92),CHAR(96))),CHAR(34),CHAR(39))))</f>
        <v/>
      </c>
      <c r="T185" s="5" t="str">
        <f>IF(OR(TRIM($B185)="",$J185=""),"",IF(OR(ISNUMBER(SEARCH(_xlfn.CONCAT(CHAR(96),CHAR(34)),$J185)),ISNUMBER(SEARCH(_xlfn.CONCAT(CHAR(34),CHAR(39)),$J185))),_xlfn.CONCAT("* REVIEW REQUIRED: compound-quote delimiter in Notes on Sheet 1 row ",185,"; edit the input before running."),_xlfn.CONCAT("char ",TRIM($B185),"[doc_notes] ",CHAR(96),CHAR(34),SUBSTITUTE(SUBSTITUTE(SUBSTITUTE(SUBSTITUTE(SUBSTITUTE(SUBSTITUTE($J185,CHAR(13)," "),CHAR(10)," "),CHAR(9)," "),CHAR(92),_xlfn.CONCAT(CHAR(92),CHAR(92))),"$",_xlfn.CONCAT(CHAR(92),"$")),CHAR(96),_xlfn.CONCAT(CHAR(92),CHAR(96))),CHAR(34),CHAR(39))))</f>
        <v/>
      </c>
      <c r="U185" s="5">
        <f t="shared" si="5"/>
        <v>0</v>
      </c>
    </row>
    <row r="186" spans="3:21" ht="30" customHeight="1" x14ac:dyDescent="0.2">
      <c r="C186" s="4"/>
      <c r="K186" s="5">
        <f t="shared" si="4"/>
        <v>0</v>
      </c>
      <c r="L186" s="5" t="str">
        <f>IF(OR(TRIM($B186)="",$A186=""),"",IF(OR(ISNUMBER(SEARCH(_xlfn.CONCAT(CHAR(96),CHAR(34)),$A186)),ISNUMBER(SEARCH(_xlfn.CONCAT(CHAR(34),CHAR(39)),$A186))),_xlfn.CONCAT("* REVIEW REQUIRED: compound-quote delimiter in Codebook Section on Sheet 1 row ",186,"; edit the input before running."),_xlfn.CONCAT("char ",TRIM($B186),"[doc_section] ",CHAR(96),CHAR(34),SUBSTITUTE(SUBSTITUTE(SUBSTITUTE(SUBSTITUTE(SUBSTITUTE(SUBSTITUTE($A186,CHAR(13)," "),CHAR(10)," "),CHAR(9)," "),CHAR(92),_xlfn.CONCAT(CHAR(92),CHAR(92))),"$",_xlfn.CONCAT(CHAR(92),"$")),CHAR(96),_xlfn.CONCAT(CHAR(92),CHAR(96))),CHAR(34),CHAR(39))))</f>
        <v/>
      </c>
      <c r="M186" s="5" t="str">
        <f>IF(OR(TRIM($B186)="",$C186=""),"",IF(IFERROR(MATCH(TRIM($C186),{"Quantitative","Continuous","Discrete","Categorical","Nominal","Ordinal","Identifier"},0),0)=0,_xlfn.CONCAT("* REVIEW REQUIRED: invalid Variable Type on Sheet 1 row ",186,"."),_xlfn.CONCAT("char ",TRIM($B186),"[doc_vartype] ",CHAR(96),CHAR(34),SUBSTITUTE(SUBSTITUTE(SUBSTITUTE(SUBSTITUTE(SUBSTITUTE(SUBSTITUTE(LOWER(TRIM($C186)),CHAR(13)," "),CHAR(10)," "),CHAR(9)," "),CHAR(92),_xlfn.CONCAT(CHAR(92),CHAR(92))),"$",_xlfn.CONCAT(CHAR(92),"$")),CHAR(96),_xlfn.CONCAT(CHAR(92),CHAR(96))),CHAR(34),CHAR(39))))</f>
        <v/>
      </c>
      <c r="N186" s="5" t="str">
        <f>IF(OR(TRIM($B186)="",$D186=""),"",IF(OR(ISNUMBER(SEARCH(_xlfn.CONCAT(CHAR(96),CHAR(34)),$D186)),ISNUMBER(SEARCH(_xlfn.CONCAT(CHAR(34),CHAR(39)),$D186))),_xlfn.CONCAT("* REVIEW REQUIRED: compound-quote delimiter in Item Number on Sheet 1 row ",186,"; edit the input before running."),_xlfn.CONCAT("char ",TRIM($B186),"[doc_itemnum] ",CHAR(96),CHAR(34),SUBSTITUTE(SUBSTITUTE(SUBSTITUTE(SUBSTITUTE(SUBSTITUTE(SUBSTITUTE($D186,CHAR(13)," "),CHAR(10)," "),CHAR(9)," "),CHAR(92),_xlfn.CONCAT(CHAR(92),CHAR(92))),"$",_xlfn.CONCAT(CHAR(92),"$")),CHAR(96),_xlfn.CONCAT(CHAR(92),CHAR(96))),CHAR(34),CHAR(39))))</f>
        <v/>
      </c>
      <c r="O186" s="5" t="str">
        <f>IF(OR(TRIM($B186)="",$E186=""),"",IF(OR(ISNUMBER(SEARCH(_xlfn.CONCAT(CHAR(96),CHAR(34)),$E186)),ISNUMBER(SEARCH(_xlfn.CONCAT(CHAR(34),CHAR(39)),$E186))),_xlfn.CONCAT("* REVIEW REQUIRED: compound-quote delimiter in Question Wording on Sheet 1 row ",186,"; edit the input before running."),_xlfn.CONCAT("char ",TRIM($B186),"[doc_question] ",CHAR(96),CHAR(34),SUBSTITUTE(SUBSTITUTE(SUBSTITUTE(SUBSTITUTE(SUBSTITUTE(SUBSTITUTE($E186,CHAR(13)," "),CHAR(10)," "),CHAR(9)," "),CHAR(92),_xlfn.CONCAT(CHAR(92),CHAR(92))),"$",_xlfn.CONCAT(CHAR(92),"$")),CHAR(96),_xlfn.CONCAT(CHAR(92),CHAR(96))),CHAR(34),CHAR(39))))</f>
        <v/>
      </c>
      <c r="P186" s="5" t="str">
        <f>IF(OR(TRIM($B186)="",$F186=""),"",IF(OR(ISNUMBER(SEARCH(_xlfn.CONCAT(CHAR(96),CHAR(34)),$F186)),ISNUMBER(SEARCH(_xlfn.CONCAT(CHAR(34),CHAR(39)),$F186))),_xlfn.CONCAT("* REVIEW REQUIRED: compound-quote delimiter in Units on Sheet 1 row ",186,"; edit the input before running."),_xlfn.CONCAT("char ",TRIM($B186),"[doc_units] ",CHAR(96),CHAR(34),SUBSTITUTE(SUBSTITUTE(SUBSTITUTE(SUBSTITUTE(SUBSTITUTE(SUBSTITUTE($F186,CHAR(13)," "),CHAR(10)," "),CHAR(9)," "),CHAR(92),_xlfn.CONCAT(CHAR(92),CHAR(92))),"$",_xlfn.CONCAT(CHAR(92),"$")),CHAR(96),_xlfn.CONCAT(CHAR(92),CHAR(96))),CHAR(34),CHAR(39))))</f>
        <v/>
      </c>
      <c r="Q186" s="5" t="str">
        <f>IF(OR(TRIM($B186)="",$G186=""),"",IF(OR(ISNUMBER(SEARCH(_xlfn.CONCAT(CHAR(96),CHAR(34)),$G186)),ISNUMBER(SEARCH(_xlfn.CONCAT(CHAR(34),CHAR(39)),$G186))),_xlfn.CONCAT("* REVIEW REQUIRED: compound-quote delimiter in Universe on Sheet 1 row ",186,"; edit the input before running."),_xlfn.CONCAT("char ",TRIM($B186),"[doc_universe] ",CHAR(96),CHAR(34),SUBSTITUTE(SUBSTITUTE(SUBSTITUTE(SUBSTITUTE(SUBSTITUTE(SUBSTITUTE($G186,CHAR(13)," "),CHAR(10)," "),CHAR(9)," "),CHAR(92),_xlfn.CONCAT(CHAR(92),CHAR(92))),"$",_xlfn.CONCAT(CHAR(92),"$")),CHAR(96),_xlfn.CONCAT(CHAR(92),CHAR(96))),CHAR(34),CHAR(39))))</f>
        <v/>
      </c>
      <c r="R186" s="5" t="str">
        <f>IF(OR(TRIM($B186)="",$H186=""),"",IF(OR(ISNUMBER(SEARCH(_xlfn.CONCAT(CHAR(96),CHAR(34)),$H186)),ISNUMBER(SEARCH(_xlfn.CONCAT(CHAR(34),CHAR(39)),$H186))),_xlfn.CONCAT("* REVIEW REQUIRED: compound-quote delimiter in Source on Sheet 1 row ",186,"; edit the input before running."),_xlfn.CONCAT("char ",TRIM($B186),"[doc_source] ",CHAR(96),CHAR(34),SUBSTITUTE(SUBSTITUTE(SUBSTITUTE(SUBSTITUTE(SUBSTITUTE(SUBSTITUTE($H186,CHAR(13)," "),CHAR(10)," "),CHAR(9)," "),CHAR(92),_xlfn.CONCAT(CHAR(92),CHAR(92))),"$",_xlfn.CONCAT(CHAR(92),"$")),CHAR(96),_xlfn.CONCAT(CHAR(92),CHAR(96))),CHAR(34),CHAR(39))))</f>
        <v/>
      </c>
      <c r="S186" s="5" t="str">
        <f>IF(OR(TRIM($B186)="",$I186=""),"",IF(OR(ISNUMBER(SEARCH(_xlfn.CONCAT(CHAR(96),CHAR(34)),$I186)),ISNUMBER(SEARCH(_xlfn.CONCAT(CHAR(34),CHAR(39)),$I186))),_xlfn.CONCAT("* REVIEW REQUIRED: compound-quote delimiter in Derivation on Sheet 1 row ",186,"; edit the input before running."),_xlfn.CONCAT("char ",TRIM($B186),"[doc_derivation] ",CHAR(96),CHAR(34),SUBSTITUTE(SUBSTITUTE(SUBSTITUTE(SUBSTITUTE(SUBSTITUTE(SUBSTITUTE($I186,CHAR(13)," "),CHAR(10)," "),CHAR(9)," "),CHAR(92),_xlfn.CONCAT(CHAR(92),CHAR(92))),"$",_xlfn.CONCAT(CHAR(92),"$")),CHAR(96),_xlfn.CONCAT(CHAR(92),CHAR(96))),CHAR(34),CHAR(39))))</f>
        <v/>
      </c>
      <c r="T186" s="5" t="str">
        <f>IF(OR(TRIM($B186)="",$J186=""),"",IF(OR(ISNUMBER(SEARCH(_xlfn.CONCAT(CHAR(96),CHAR(34)),$J186)),ISNUMBER(SEARCH(_xlfn.CONCAT(CHAR(34),CHAR(39)),$J186))),_xlfn.CONCAT("* REVIEW REQUIRED: compound-quote delimiter in Notes on Sheet 1 row ",186,"; edit the input before running."),_xlfn.CONCAT("char ",TRIM($B186),"[doc_notes] ",CHAR(96),CHAR(34),SUBSTITUTE(SUBSTITUTE(SUBSTITUTE(SUBSTITUTE(SUBSTITUTE(SUBSTITUTE($J186,CHAR(13)," "),CHAR(10)," "),CHAR(9)," "),CHAR(92),_xlfn.CONCAT(CHAR(92),CHAR(92))),"$",_xlfn.CONCAT(CHAR(92),"$")),CHAR(96),_xlfn.CONCAT(CHAR(92),CHAR(96))),CHAR(34),CHAR(39))))</f>
        <v/>
      </c>
      <c r="U186" s="5">
        <f t="shared" si="5"/>
        <v>0</v>
      </c>
    </row>
    <row r="187" spans="3:21" ht="30" customHeight="1" x14ac:dyDescent="0.2">
      <c r="C187" s="4"/>
      <c r="K187" s="5">
        <f t="shared" si="4"/>
        <v>0</v>
      </c>
      <c r="L187" s="5" t="str">
        <f>IF(OR(TRIM($B187)="",$A187=""),"",IF(OR(ISNUMBER(SEARCH(_xlfn.CONCAT(CHAR(96),CHAR(34)),$A187)),ISNUMBER(SEARCH(_xlfn.CONCAT(CHAR(34),CHAR(39)),$A187))),_xlfn.CONCAT("* REVIEW REQUIRED: compound-quote delimiter in Codebook Section on Sheet 1 row ",187,"; edit the input before running."),_xlfn.CONCAT("char ",TRIM($B187),"[doc_section] ",CHAR(96),CHAR(34),SUBSTITUTE(SUBSTITUTE(SUBSTITUTE(SUBSTITUTE(SUBSTITUTE(SUBSTITUTE($A187,CHAR(13)," "),CHAR(10)," "),CHAR(9)," "),CHAR(92),_xlfn.CONCAT(CHAR(92),CHAR(92))),"$",_xlfn.CONCAT(CHAR(92),"$")),CHAR(96),_xlfn.CONCAT(CHAR(92),CHAR(96))),CHAR(34),CHAR(39))))</f>
        <v/>
      </c>
      <c r="M187" s="5" t="str">
        <f>IF(OR(TRIM($B187)="",$C187=""),"",IF(IFERROR(MATCH(TRIM($C187),{"Quantitative","Continuous","Discrete","Categorical","Nominal","Ordinal","Identifier"},0),0)=0,_xlfn.CONCAT("* REVIEW REQUIRED: invalid Variable Type on Sheet 1 row ",187,"."),_xlfn.CONCAT("char ",TRIM($B187),"[doc_vartype] ",CHAR(96),CHAR(34),SUBSTITUTE(SUBSTITUTE(SUBSTITUTE(SUBSTITUTE(SUBSTITUTE(SUBSTITUTE(LOWER(TRIM($C187)),CHAR(13)," "),CHAR(10)," "),CHAR(9)," "),CHAR(92),_xlfn.CONCAT(CHAR(92),CHAR(92))),"$",_xlfn.CONCAT(CHAR(92),"$")),CHAR(96),_xlfn.CONCAT(CHAR(92),CHAR(96))),CHAR(34),CHAR(39))))</f>
        <v/>
      </c>
      <c r="N187" s="5" t="str">
        <f>IF(OR(TRIM($B187)="",$D187=""),"",IF(OR(ISNUMBER(SEARCH(_xlfn.CONCAT(CHAR(96),CHAR(34)),$D187)),ISNUMBER(SEARCH(_xlfn.CONCAT(CHAR(34),CHAR(39)),$D187))),_xlfn.CONCAT("* REVIEW REQUIRED: compound-quote delimiter in Item Number on Sheet 1 row ",187,"; edit the input before running."),_xlfn.CONCAT("char ",TRIM($B187),"[doc_itemnum] ",CHAR(96),CHAR(34),SUBSTITUTE(SUBSTITUTE(SUBSTITUTE(SUBSTITUTE(SUBSTITUTE(SUBSTITUTE($D187,CHAR(13)," "),CHAR(10)," "),CHAR(9)," "),CHAR(92),_xlfn.CONCAT(CHAR(92),CHAR(92))),"$",_xlfn.CONCAT(CHAR(92),"$")),CHAR(96),_xlfn.CONCAT(CHAR(92),CHAR(96))),CHAR(34),CHAR(39))))</f>
        <v/>
      </c>
      <c r="O187" s="5" t="str">
        <f>IF(OR(TRIM($B187)="",$E187=""),"",IF(OR(ISNUMBER(SEARCH(_xlfn.CONCAT(CHAR(96),CHAR(34)),$E187)),ISNUMBER(SEARCH(_xlfn.CONCAT(CHAR(34),CHAR(39)),$E187))),_xlfn.CONCAT("* REVIEW REQUIRED: compound-quote delimiter in Question Wording on Sheet 1 row ",187,"; edit the input before running."),_xlfn.CONCAT("char ",TRIM($B187),"[doc_question] ",CHAR(96),CHAR(34),SUBSTITUTE(SUBSTITUTE(SUBSTITUTE(SUBSTITUTE(SUBSTITUTE(SUBSTITUTE($E187,CHAR(13)," "),CHAR(10)," "),CHAR(9)," "),CHAR(92),_xlfn.CONCAT(CHAR(92),CHAR(92))),"$",_xlfn.CONCAT(CHAR(92),"$")),CHAR(96),_xlfn.CONCAT(CHAR(92),CHAR(96))),CHAR(34),CHAR(39))))</f>
        <v/>
      </c>
      <c r="P187" s="5" t="str">
        <f>IF(OR(TRIM($B187)="",$F187=""),"",IF(OR(ISNUMBER(SEARCH(_xlfn.CONCAT(CHAR(96),CHAR(34)),$F187)),ISNUMBER(SEARCH(_xlfn.CONCAT(CHAR(34),CHAR(39)),$F187))),_xlfn.CONCAT("* REVIEW REQUIRED: compound-quote delimiter in Units on Sheet 1 row ",187,"; edit the input before running."),_xlfn.CONCAT("char ",TRIM($B187),"[doc_units] ",CHAR(96),CHAR(34),SUBSTITUTE(SUBSTITUTE(SUBSTITUTE(SUBSTITUTE(SUBSTITUTE(SUBSTITUTE($F187,CHAR(13)," "),CHAR(10)," "),CHAR(9)," "),CHAR(92),_xlfn.CONCAT(CHAR(92),CHAR(92))),"$",_xlfn.CONCAT(CHAR(92),"$")),CHAR(96),_xlfn.CONCAT(CHAR(92),CHAR(96))),CHAR(34),CHAR(39))))</f>
        <v/>
      </c>
      <c r="Q187" s="5" t="str">
        <f>IF(OR(TRIM($B187)="",$G187=""),"",IF(OR(ISNUMBER(SEARCH(_xlfn.CONCAT(CHAR(96),CHAR(34)),$G187)),ISNUMBER(SEARCH(_xlfn.CONCAT(CHAR(34),CHAR(39)),$G187))),_xlfn.CONCAT("* REVIEW REQUIRED: compound-quote delimiter in Universe on Sheet 1 row ",187,"; edit the input before running."),_xlfn.CONCAT("char ",TRIM($B187),"[doc_universe] ",CHAR(96),CHAR(34),SUBSTITUTE(SUBSTITUTE(SUBSTITUTE(SUBSTITUTE(SUBSTITUTE(SUBSTITUTE($G187,CHAR(13)," "),CHAR(10)," "),CHAR(9)," "),CHAR(92),_xlfn.CONCAT(CHAR(92),CHAR(92))),"$",_xlfn.CONCAT(CHAR(92),"$")),CHAR(96),_xlfn.CONCAT(CHAR(92),CHAR(96))),CHAR(34),CHAR(39))))</f>
        <v/>
      </c>
      <c r="R187" s="5" t="str">
        <f>IF(OR(TRIM($B187)="",$H187=""),"",IF(OR(ISNUMBER(SEARCH(_xlfn.CONCAT(CHAR(96),CHAR(34)),$H187)),ISNUMBER(SEARCH(_xlfn.CONCAT(CHAR(34),CHAR(39)),$H187))),_xlfn.CONCAT("* REVIEW REQUIRED: compound-quote delimiter in Source on Sheet 1 row ",187,"; edit the input before running."),_xlfn.CONCAT("char ",TRIM($B187),"[doc_source] ",CHAR(96),CHAR(34),SUBSTITUTE(SUBSTITUTE(SUBSTITUTE(SUBSTITUTE(SUBSTITUTE(SUBSTITUTE($H187,CHAR(13)," "),CHAR(10)," "),CHAR(9)," "),CHAR(92),_xlfn.CONCAT(CHAR(92),CHAR(92))),"$",_xlfn.CONCAT(CHAR(92),"$")),CHAR(96),_xlfn.CONCAT(CHAR(92),CHAR(96))),CHAR(34),CHAR(39))))</f>
        <v/>
      </c>
      <c r="S187" s="5" t="str">
        <f>IF(OR(TRIM($B187)="",$I187=""),"",IF(OR(ISNUMBER(SEARCH(_xlfn.CONCAT(CHAR(96),CHAR(34)),$I187)),ISNUMBER(SEARCH(_xlfn.CONCAT(CHAR(34),CHAR(39)),$I187))),_xlfn.CONCAT("* REVIEW REQUIRED: compound-quote delimiter in Derivation on Sheet 1 row ",187,"; edit the input before running."),_xlfn.CONCAT("char ",TRIM($B187),"[doc_derivation] ",CHAR(96),CHAR(34),SUBSTITUTE(SUBSTITUTE(SUBSTITUTE(SUBSTITUTE(SUBSTITUTE(SUBSTITUTE($I187,CHAR(13)," "),CHAR(10)," "),CHAR(9)," "),CHAR(92),_xlfn.CONCAT(CHAR(92),CHAR(92))),"$",_xlfn.CONCAT(CHAR(92),"$")),CHAR(96),_xlfn.CONCAT(CHAR(92),CHAR(96))),CHAR(34),CHAR(39))))</f>
        <v/>
      </c>
      <c r="T187" s="5" t="str">
        <f>IF(OR(TRIM($B187)="",$J187=""),"",IF(OR(ISNUMBER(SEARCH(_xlfn.CONCAT(CHAR(96),CHAR(34)),$J187)),ISNUMBER(SEARCH(_xlfn.CONCAT(CHAR(34),CHAR(39)),$J187))),_xlfn.CONCAT("* REVIEW REQUIRED: compound-quote delimiter in Notes on Sheet 1 row ",187,"; edit the input before running."),_xlfn.CONCAT("char ",TRIM($B187),"[doc_notes] ",CHAR(96),CHAR(34),SUBSTITUTE(SUBSTITUTE(SUBSTITUTE(SUBSTITUTE(SUBSTITUTE(SUBSTITUTE($J187,CHAR(13)," "),CHAR(10)," "),CHAR(9)," "),CHAR(92),_xlfn.CONCAT(CHAR(92),CHAR(92))),"$",_xlfn.CONCAT(CHAR(92),"$")),CHAR(96),_xlfn.CONCAT(CHAR(92),CHAR(96))),CHAR(34),CHAR(39))))</f>
        <v/>
      </c>
      <c r="U187" s="5">
        <f t="shared" si="5"/>
        <v>0</v>
      </c>
    </row>
    <row r="188" spans="3:21" ht="30" customHeight="1" x14ac:dyDescent="0.2">
      <c r="C188" s="4"/>
      <c r="K188" s="5">
        <f t="shared" si="4"/>
        <v>0</v>
      </c>
      <c r="L188" s="5" t="str">
        <f>IF(OR(TRIM($B188)="",$A188=""),"",IF(OR(ISNUMBER(SEARCH(_xlfn.CONCAT(CHAR(96),CHAR(34)),$A188)),ISNUMBER(SEARCH(_xlfn.CONCAT(CHAR(34),CHAR(39)),$A188))),_xlfn.CONCAT("* REVIEW REQUIRED: compound-quote delimiter in Codebook Section on Sheet 1 row ",188,"; edit the input before running."),_xlfn.CONCAT("char ",TRIM($B188),"[doc_section] ",CHAR(96),CHAR(34),SUBSTITUTE(SUBSTITUTE(SUBSTITUTE(SUBSTITUTE(SUBSTITUTE(SUBSTITUTE($A188,CHAR(13)," "),CHAR(10)," "),CHAR(9)," "),CHAR(92),_xlfn.CONCAT(CHAR(92),CHAR(92))),"$",_xlfn.CONCAT(CHAR(92),"$")),CHAR(96),_xlfn.CONCAT(CHAR(92),CHAR(96))),CHAR(34),CHAR(39))))</f>
        <v/>
      </c>
      <c r="M188" s="5" t="str">
        <f>IF(OR(TRIM($B188)="",$C188=""),"",IF(IFERROR(MATCH(TRIM($C188),{"Quantitative","Continuous","Discrete","Categorical","Nominal","Ordinal","Identifier"},0),0)=0,_xlfn.CONCAT("* REVIEW REQUIRED: invalid Variable Type on Sheet 1 row ",188,"."),_xlfn.CONCAT("char ",TRIM($B188),"[doc_vartype] ",CHAR(96),CHAR(34),SUBSTITUTE(SUBSTITUTE(SUBSTITUTE(SUBSTITUTE(SUBSTITUTE(SUBSTITUTE(LOWER(TRIM($C188)),CHAR(13)," "),CHAR(10)," "),CHAR(9)," "),CHAR(92),_xlfn.CONCAT(CHAR(92),CHAR(92))),"$",_xlfn.CONCAT(CHAR(92),"$")),CHAR(96),_xlfn.CONCAT(CHAR(92),CHAR(96))),CHAR(34),CHAR(39))))</f>
        <v/>
      </c>
      <c r="N188" s="5" t="str">
        <f>IF(OR(TRIM($B188)="",$D188=""),"",IF(OR(ISNUMBER(SEARCH(_xlfn.CONCAT(CHAR(96),CHAR(34)),$D188)),ISNUMBER(SEARCH(_xlfn.CONCAT(CHAR(34),CHAR(39)),$D188))),_xlfn.CONCAT("* REVIEW REQUIRED: compound-quote delimiter in Item Number on Sheet 1 row ",188,"; edit the input before running."),_xlfn.CONCAT("char ",TRIM($B188),"[doc_itemnum] ",CHAR(96),CHAR(34),SUBSTITUTE(SUBSTITUTE(SUBSTITUTE(SUBSTITUTE(SUBSTITUTE(SUBSTITUTE($D188,CHAR(13)," "),CHAR(10)," "),CHAR(9)," "),CHAR(92),_xlfn.CONCAT(CHAR(92),CHAR(92))),"$",_xlfn.CONCAT(CHAR(92),"$")),CHAR(96),_xlfn.CONCAT(CHAR(92),CHAR(96))),CHAR(34),CHAR(39))))</f>
        <v/>
      </c>
      <c r="O188" s="5" t="str">
        <f>IF(OR(TRIM($B188)="",$E188=""),"",IF(OR(ISNUMBER(SEARCH(_xlfn.CONCAT(CHAR(96),CHAR(34)),$E188)),ISNUMBER(SEARCH(_xlfn.CONCAT(CHAR(34),CHAR(39)),$E188))),_xlfn.CONCAT("* REVIEW REQUIRED: compound-quote delimiter in Question Wording on Sheet 1 row ",188,"; edit the input before running."),_xlfn.CONCAT("char ",TRIM($B188),"[doc_question] ",CHAR(96),CHAR(34),SUBSTITUTE(SUBSTITUTE(SUBSTITUTE(SUBSTITUTE(SUBSTITUTE(SUBSTITUTE($E188,CHAR(13)," "),CHAR(10)," "),CHAR(9)," "),CHAR(92),_xlfn.CONCAT(CHAR(92),CHAR(92))),"$",_xlfn.CONCAT(CHAR(92),"$")),CHAR(96),_xlfn.CONCAT(CHAR(92),CHAR(96))),CHAR(34),CHAR(39))))</f>
        <v/>
      </c>
      <c r="P188" s="5" t="str">
        <f>IF(OR(TRIM($B188)="",$F188=""),"",IF(OR(ISNUMBER(SEARCH(_xlfn.CONCAT(CHAR(96),CHAR(34)),$F188)),ISNUMBER(SEARCH(_xlfn.CONCAT(CHAR(34),CHAR(39)),$F188))),_xlfn.CONCAT("* REVIEW REQUIRED: compound-quote delimiter in Units on Sheet 1 row ",188,"; edit the input before running."),_xlfn.CONCAT("char ",TRIM($B188),"[doc_units] ",CHAR(96),CHAR(34),SUBSTITUTE(SUBSTITUTE(SUBSTITUTE(SUBSTITUTE(SUBSTITUTE(SUBSTITUTE($F188,CHAR(13)," "),CHAR(10)," "),CHAR(9)," "),CHAR(92),_xlfn.CONCAT(CHAR(92),CHAR(92))),"$",_xlfn.CONCAT(CHAR(92),"$")),CHAR(96),_xlfn.CONCAT(CHAR(92),CHAR(96))),CHAR(34),CHAR(39))))</f>
        <v/>
      </c>
      <c r="Q188" s="5" t="str">
        <f>IF(OR(TRIM($B188)="",$G188=""),"",IF(OR(ISNUMBER(SEARCH(_xlfn.CONCAT(CHAR(96),CHAR(34)),$G188)),ISNUMBER(SEARCH(_xlfn.CONCAT(CHAR(34),CHAR(39)),$G188))),_xlfn.CONCAT("* REVIEW REQUIRED: compound-quote delimiter in Universe on Sheet 1 row ",188,"; edit the input before running."),_xlfn.CONCAT("char ",TRIM($B188),"[doc_universe] ",CHAR(96),CHAR(34),SUBSTITUTE(SUBSTITUTE(SUBSTITUTE(SUBSTITUTE(SUBSTITUTE(SUBSTITUTE($G188,CHAR(13)," "),CHAR(10)," "),CHAR(9)," "),CHAR(92),_xlfn.CONCAT(CHAR(92),CHAR(92))),"$",_xlfn.CONCAT(CHAR(92),"$")),CHAR(96),_xlfn.CONCAT(CHAR(92),CHAR(96))),CHAR(34),CHAR(39))))</f>
        <v/>
      </c>
      <c r="R188" s="5" t="str">
        <f>IF(OR(TRIM($B188)="",$H188=""),"",IF(OR(ISNUMBER(SEARCH(_xlfn.CONCAT(CHAR(96),CHAR(34)),$H188)),ISNUMBER(SEARCH(_xlfn.CONCAT(CHAR(34),CHAR(39)),$H188))),_xlfn.CONCAT("* REVIEW REQUIRED: compound-quote delimiter in Source on Sheet 1 row ",188,"; edit the input before running."),_xlfn.CONCAT("char ",TRIM($B188),"[doc_source] ",CHAR(96),CHAR(34),SUBSTITUTE(SUBSTITUTE(SUBSTITUTE(SUBSTITUTE(SUBSTITUTE(SUBSTITUTE($H188,CHAR(13)," "),CHAR(10)," "),CHAR(9)," "),CHAR(92),_xlfn.CONCAT(CHAR(92),CHAR(92))),"$",_xlfn.CONCAT(CHAR(92),"$")),CHAR(96),_xlfn.CONCAT(CHAR(92),CHAR(96))),CHAR(34),CHAR(39))))</f>
        <v/>
      </c>
      <c r="S188" s="5" t="str">
        <f>IF(OR(TRIM($B188)="",$I188=""),"",IF(OR(ISNUMBER(SEARCH(_xlfn.CONCAT(CHAR(96),CHAR(34)),$I188)),ISNUMBER(SEARCH(_xlfn.CONCAT(CHAR(34),CHAR(39)),$I188))),_xlfn.CONCAT("* REVIEW REQUIRED: compound-quote delimiter in Derivation on Sheet 1 row ",188,"; edit the input before running."),_xlfn.CONCAT("char ",TRIM($B188),"[doc_derivation] ",CHAR(96),CHAR(34),SUBSTITUTE(SUBSTITUTE(SUBSTITUTE(SUBSTITUTE(SUBSTITUTE(SUBSTITUTE($I188,CHAR(13)," "),CHAR(10)," "),CHAR(9)," "),CHAR(92),_xlfn.CONCAT(CHAR(92),CHAR(92))),"$",_xlfn.CONCAT(CHAR(92),"$")),CHAR(96),_xlfn.CONCAT(CHAR(92),CHAR(96))),CHAR(34),CHAR(39))))</f>
        <v/>
      </c>
      <c r="T188" s="5" t="str">
        <f>IF(OR(TRIM($B188)="",$J188=""),"",IF(OR(ISNUMBER(SEARCH(_xlfn.CONCAT(CHAR(96),CHAR(34)),$J188)),ISNUMBER(SEARCH(_xlfn.CONCAT(CHAR(34),CHAR(39)),$J188))),_xlfn.CONCAT("* REVIEW REQUIRED: compound-quote delimiter in Notes on Sheet 1 row ",188,"; edit the input before running."),_xlfn.CONCAT("char ",TRIM($B188),"[doc_notes] ",CHAR(96),CHAR(34),SUBSTITUTE(SUBSTITUTE(SUBSTITUTE(SUBSTITUTE(SUBSTITUTE(SUBSTITUTE($J188,CHAR(13)," "),CHAR(10)," "),CHAR(9)," "),CHAR(92),_xlfn.CONCAT(CHAR(92),CHAR(92))),"$",_xlfn.CONCAT(CHAR(92),"$")),CHAR(96),_xlfn.CONCAT(CHAR(92),CHAR(96))),CHAR(34),CHAR(39))))</f>
        <v/>
      </c>
      <c r="U188" s="5">
        <f t="shared" si="5"/>
        <v>0</v>
      </c>
    </row>
    <row r="189" spans="3:21" ht="30" customHeight="1" x14ac:dyDescent="0.2">
      <c r="C189" s="4"/>
      <c r="K189" s="5">
        <f t="shared" si="4"/>
        <v>0</v>
      </c>
      <c r="L189" s="5" t="str">
        <f>IF(OR(TRIM($B189)="",$A189=""),"",IF(OR(ISNUMBER(SEARCH(_xlfn.CONCAT(CHAR(96),CHAR(34)),$A189)),ISNUMBER(SEARCH(_xlfn.CONCAT(CHAR(34),CHAR(39)),$A189))),_xlfn.CONCAT("* REVIEW REQUIRED: compound-quote delimiter in Codebook Section on Sheet 1 row ",189,"; edit the input before running."),_xlfn.CONCAT("char ",TRIM($B189),"[doc_section] ",CHAR(96),CHAR(34),SUBSTITUTE(SUBSTITUTE(SUBSTITUTE(SUBSTITUTE(SUBSTITUTE(SUBSTITUTE($A189,CHAR(13)," "),CHAR(10)," "),CHAR(9)," "),CHAR(92),_xlfn.CONCAT(CHAR(92),CHAR(92))),"$",_xlfn.CONCAT(CHAR(92),"$")),CHAR(96),_xlfn.CONCAT(CHAR(92),CHAR(96))),CHAR(34),CHAR(39))))</f>
        <v/>
      </c>
      <c r="M189" s="5" t="str">
        <f>IF(OR(TRIM($B189)="",$C189=""),"",IF(IFERROR(MATCH(TRIM($C189),{"Quantitative","Continuous","Discrete","Categorical","Nominal","Ordinal","Identifier"},0),0)=0,_xlfn.CONCAT("* REVIEW REQUIRED: invalid Variable Type on Sheet 1 row ",189,"."),_xlfn.CONCAT("char ",TRIM($B189),"[doc_vartype] ",CHAR(96),CHAR(34),SUBSTITUTE(SUBSTITUTE(SUBSTITUTE(SUBSTITUTE(SUBSTITUTE(SUBSTITUTE(LOWER(TRIM($C189)),CHAR(13)," "),CHAR(10)," "),CHAR(9)," "),CHAR(92),_xlfn.CONCAT(CHAR(92),CHAR(92))),"$",_xlfn.CONCAT(CHAR(92),"$")),CHAR(96),_xlfn.CONCAT(CHAR(92),CHAR(96))),CHAR(34),CHAR(39))))</f>
        <v/>
      </c>
      <c r="N189" s="5" t="str">
        <f>IF(OR(TRIM($B189)="",$D189=""),"",IF(OR(ISNUMBER(SEARCH(_xlfn.CONCAT(CHAR(96),CHAR(34)),$D189)),ISNUMBER(SEARCH(_xlfn.CONCAT(CHAR(34),CHAR(39)),$D189))),_xlfn.CONCAT("* REVIEW REQUIRED: compound-quote delimiter in Item Number on Sheet 1 row ",189,"; edit the input before running."),_xlfn.CONCAT("char ",TRIM($B189),"[doc_itemnum] ",CHAR(96),CHAR(34),SUBSTITUTE(SUBSTITUTE(SUBSTITUTE(SUBSTITUTE(SUBSTITUTE(SUBSTITUTE($D189,CHAR(13)," "),CHAR(10)," "),CHAR(9)," "),CHAR(92),_xlfn.CONCAT(CHAR(92),CHAR(92))),"$",_xlfn.CONCAT(CHAR(92),"$")),CHAR(96),_xlfn.CONCAT(CHAR(92),CHAR(96))),CHAR(34),CHAR(39))))</f>
        <v/>
      </c>
      <c r="O189" s="5" t="str">
        <f>IF(OR(TRIM($B189)="",$E189=""),"",IF(OR(ISNUMBER(SEARCH(_xlfn.CONCAT(CHAR(96),CHAR(34)),$E189)),ISNUMBER(SEARCH(_xlfn.CONCAT(CHAR(34),CHAR(39)),$E189))),_xlfn.CONCAT("* REVIEW REQUIRED: compound-quote delimiter in Question Wording on Sheet 1 row ",189,"; edit the input before running."),_xlfn.CONCAT("char ",TRIM($B189),"[doc_question] ",CHAR(96),CHAR(34),SUBSTITUTE(SUBSTITUTE(SUBSTITUTE(SUBSTITUTE(SUBSTITUTE(SUBSTITUTE($E189,CHAR(13)," "),CHAR(10)," "),CHAR(9)," "),CHAR(92),_xlfn.CONCAT(CHAR(92),CHAR(92))),"$",_xlfn.CONCAT(CHAR(92),"$")),CHAR(96),_xlfn.CONCAT(CHAR(92),CHAR(96))),CHAR(34),CHAR(39))))</f>
        <v/>
      </c>
      <c r="P189" s="5" t="str">
        <f>IF(OR(TRIM($B189)="",$F189=""),"",IF(OR(ISNUMBER(SEARCH(_xlfn.CONCAT(CHAR(96),CHAR(34)),$F189)),ISNUMBER(SEARCH(_xlfn.CONCAT(CHAR(34),CHAR(39)),$F189))),_xlfn.CONCAT("* REVIEW REQUIRED: compound-quote delimiter in Units on Sheet 1 row ",189,"; edit the input before running."),_xlfn.CONCAT("char ",TRIM($B189),"[doc_units] ",CHAR(96),CHAR(34),SUBSTITUTE(SUBSTITUTE(SUBSTITUTE(SUBSTITUTE(SUBSTITUTE(SUBSTITUTE($F189,CHAR(13)," "),CHAR(10)," "),CHAR(9)," "),CHAR(92),_xlfn.CONCAT(CHAR(92),CHAR(92))),"$",_xlfn.CONCAT(CHAR(92),"$")),CHAR(96),_xlfn.CONCAT(CHAR(92),CHAR(96))),CHAR(34),CHAR(39))))</f>
        <v/>
      </c>
      <c r="Q189" s="5" t="str">
        <f>IF(OR(TRIM($B189)="",$G189=""),"",IF(OR(ISNUMBER(SEARCH(_xlfn.CONCAT(CHAR(96),CHAR(34)),$G189)),ISNUMBER(SEARCH(_xlfn.CONCAT(CHAR(34),CHAR(39)),$G189))),_xlfn.CONCAT("* REVIEW REQUIRED: compound-quote delimiter in Universe on Sheet 1 row ",189,"; edit the input before running."),_xlfn.CONCAT("char ",TRIM($B189),"[doc_universe] ",CHAR(96),CHAR(34),SUBSTITUTE(SUBSTITUTE(SUBSTITUTE(SUBSTITUTE(SUBSTITUTE(SUBSTITUTE($G189,CHAR(13)," "),CHAR(10)," "),CHAR(9)," "),CHAR(92),_xlfn.CONCAT(CHAR(92),CHAR(92))),"$",_xlfn.CONCAT(CHAR(92),"$")),CHAR(96),_xlfn.CONCAT(CHAR(92),CHAR(96))),CHAR(34),CHAR(39))))</f>
        <v/>
      </c>
      <c r="R189" s="5" t="str">
        <f>IF(OR(TRIM($B189)="",$H189=""),"",IF(OR(ISNUMBER(SEARCH(_xlfn.CONCAT(CHAR(96),CHAR(34)),$H189)),ISNUMBER(SEARCH(_xlfn.CONCAT(CHAR(34),CHAR(39)),$H189))),_xlfn.CONCAT("* REVIEW REQUIRED: compound-quote delimiter in Source on Sheet 1 row ",189,"; edit the input before running."),_xlfn.CONCAT("char ",TRIM($B189),"[doc_source] ",CHAR(96),CHAR(34),SUBSTITUTE(SUBSTITUTE(SUBSTITUTE(SUBSTITUTE(SUBSTITUTE(SUBSTITUTE($H189,CHAR(13)," "),CHAR(10)," "),CHAR(9)," "),CHAR(92),_xlfn.CONCAT(CHAR(92),CHAR(92))),"$",_xlfn.CONCAT(CHAR(92),"$")),CHAR(96),_xlfn.CONCAT(CHAR(92),CHAR(96))),CHAR(34),CHAR(39))))</f>
        <v/>
      </c>
      <c r="S189" s="5" t="str">
        <f>IF(OR(TRIM($B189)="",$I189=""),"",IF(OR(ISNUMBER(SEARCH(_xlfn.CONCAT(CHAR(96),CHAR(34)),$I189)),ISNUMBER(SEARCH(_xlfn.CONCAT(CHAR(34),CHAR(39)),$I189))),_xlfn.CONCAT("* REVIEW REQUIRED: compound-quote delimiter in Derivation on Sheet 1 row ",189,"; edit the input before running."),_xlfn.CONCAT("char ",TRIM($B189),"[doc_derivation] ",CHAR(96),CHAR(34),SUBSTITUTE(SUBSTITUTE(SUBSTITUTE(SUBSTITUTE(SUBSTITUTE(SUBSTITUTE($I189,CHAR(13)," "),CHAR(10)," "),CHAR(9)," "),CHAR(92),_xlfn.CONCAT(CHAR(92),CHAR(92))),"$",_xlfn.CONCAT(CHAR(92),"$")),CHAR(96),_xlfn.CONCAT(CHAR(92),CHAR(96))),CHAR(34),CHAR(39))))</f>
        <v/>
      </c>
      <c r="T189" s="5" t="str">
        <f>IF(OR(TRIM($B189)="",$J189=""),"",IF(OR(ISNUMBER(SEARCH(_xlfn.CONCAT(CHAR(96),CHAR(34)),$J189)),ISNUMBER(SEARCH(_xlfn.CONCAT(CHAR(34),CHAR(39)),$J189))),_xlfn.CONCAT("* REVIEW REQUIRED: compound-quote delimiter in Notes on Sheet 1 row ",189,"; edit the input before running."),_xlfn.CONCAT("char ",TRIM($B189),"[doc_notes] ",CHAR(96),CHAR(34),SUBSTITUTE(SUBSTITUTE(SUBSTITUTE(SUBSTITUTE(SUBSTITUTE(SUBSTITUTE($J189,CHAR(13)," "),CHAR(10)," "),CHAR(9)," "),CHAR(92),_xlfn.CONCAT(CHAR(92),CHAR(92))),"$",_xlfn.CONCAT(CHAR(92),"$")),CHAR(96),_xlfn.CONCAT(CHAR(92),CHAR(96))),CHAR(34),CHAR(39))))</f>
        <v/>
      </c>
      <c r="U189" s="5">
        <f t="shared" si="5"/>
        <v>0</v>
      </c>
    </row>
    <row r="190" spans="3:21" ht="30" customHeight="1" x14ac:dyDescent="0.2">
      <c r="C190" s="4"/>
      <c r="K190" s="5">
        <f t="shared" si="4"/>
        <v>0</v>
      </c>
      <c r="L190" s="5" t="str">
        <f>IF(OR(TRIM($B190)="",$A190=""),"",IF(OR(ISNUMBER(SEARCH(_xlfn.CONCAT(CHAR(96),CHAR(34)),$A190)),ISNUMBER(SEARCH(_xlfn.CONCAT(CHAR(34),CHAR(39)),$A190))),_xlfn.CONCAT("* REVIEW REQUIRED: compound-quote delimiter in Codebook Section on Sheet 1 row ",190,"; edit the input before running."),_xlfn.CONCAT("char ",TRIM($B190),"[doc_section] ",CHAR(96),CHAR(34),SUBSTITUTE(SUBSTITUTE(SUBSTITUTE(SUBSTITUTE(SUBSTITUTE(SUBSTITUTE($A190,CHAR(13)," "),CHAR(10)," "),CHAR(9)," "),CHAR(92),_xlfn.CONCAT(CHAR(92),CHAR(92))),"$",_xlfn.CONCAT(CHAR(92),"$")),CHAR(96),_xlfn.CONCAT(CHAR(92),CHAR(96))),CHAR(34),CHAR(39))))</f>
        <v/>
      </c>
      <c r="M190" s="5" t="str">
        <f>IF(OR(TRIM($B190)="",$C190=""),"",IF(IFERROR(MATCH(TRIM($C190),{"Quantitative","Continuous","Discrete","Categorical","Nominal","Ordinal","Identifier"},0),0)=0,_xlfn.CONCAT("* REVIEW REQUIRED: invalid Variable Type on Sheet 1 row ",190,"."),_xlfn.CONCAT("char ",TRIM($B190),"[doc_vartype] ",CHAR(96),CHAR(34),SUBSTITUTE(SUBSTITUTE(SUBSTITUTE(SUBSTITUTE(SUBSTITUTE(SUBSTITUTE(LOWER(TRIM($C190)),CHAR(13)," "),CHAR(10)," "),CHAR(9)," "),CHAR(92),_xlfn.CONCAT(CHAR(92),CHAR(92))),"$",_xlfn.CONCAT(CHAR(92),"$")),CHAR(96),_xlfn.CONCAT(CHAR(92),CHAR(96))),CHAR(34),CHAR(39))))</f>
        <v/>
      </c>
      <c r="N190" s="5" t="str">
        <f>IF(OR(TRIM($B190)="",$D190=""),"",IF(OR(ISNUMBER(SEARCH(_xlfn.CONCAT(CHAR(96),CHAR(34)),$D190)),ISNUMBER(SEARCH(_xlfn.CONCAT(CHAR(34),CHAR(39)),$D190))),_xlfn.CONCAT("* REVIEW REQUIRED: compound-quote delimiter in Item Number on Sheet 1 row ",190,"; edit the input before running."),_xlfn.CONCAT("char ",TRIM($B190),"[doc_itemnum] ",CHAR(96),CHAR(34),SUBSTITUTE(SUBSTITUTE(SUBSTITUTE(SUBSTITUTE(SUBSTITUTE(SUBSTITUTE($D190,CHAR(13)," "),CHAR(10)," "),CHAR(9)," "),CHAR(92),_xlfn.CONCAT(CHAR(92),CHAR(92))),"$",_xlfn.CONCAT(CHAR(92),"$")),CHAR(96),_xlfn.CONCAT(CHAR(92),CHAR(96))),CHAR(34),CHAR(39))))</f>
        <v/>
      </c>
      <c r="O190" s="5" t="str">
        <f>IF(OR(TRIM($B190)="",$E190=""),"",IF(OR(ISNUMBER(SEARCH(_xlfn.CONCAT(CHAR(96),CHAR(34)),$E190)),ISNUMBER(SEARCH(_xlfn.CONCAT(CHAR(34),CHAR(39)),$E190))),_xlfn.CONCAT("* REVIEW REQUIRED: compound-quote delimiter in Question Wording on Sheet 1 row ",190,"; edit the input before running."),_xlfn.CONCAT("char ",TRIM($B190),"[doc_question] ",CHAR(96),CHAR(34),SUBSTITUTE(SUBSTITUTE(SUBSTITUTE(SUBSTITUTE(SUBSTITUTE(SUBSTITUTE($E190,CHAR(13)," "),CHAR(10)," "),CHAR(9)," "),CHAR(92),_xlfn.CONCAT(CHAR(92),CHAR(92))),"$",_xlfn.CONCAT(CHAR(92),"$")),CHAR(96),_xlfn.CONCAT(CHAR(92),CHAR(96))),CHAR(34),CHAR(39))))</f>
        <v/>
      </c>
      <c r="P190" s="5" t="str">
        <f>IF(OR(TRIM($B190)="",$F190=""),"",IF(OR(ISNUMBER(SEARCH(_xlfn.CONCAT(CHAR(96),CHAR(34)),$F190)),ISNUMBER(SEARCH(_xlfn.CONCAT(CHAR(34),CHAR(39)),$F190))),_xlfn.CONCAT("* REVIEW REQUIRED: compound-quote delimiter in Units on Sheet 1 row ",190,"; edit the input before running."),_xlfn.CONCAT("char ",TRIM($B190),"[doc_units] ",CHAR(96),CHAR(34),SUBSTITUTE(SUBSTITUTE(SUBSTITUTE(SUBSTITUTE(SUBSTITUTE(SUBSTITUTE($F190,CHAR(13)," "),CHAR(10)," "),CHAR(9)," "),CHAR(92),_xlfn.CONCAT(CHAR(92),CHAR(92))),"$",_xlfn.CONCAT(CHAR(92),"$")),CHAR(96),_xlfn.CONCAT(CHAR(92),CHAR(96))),CHAR(34),CHAR(39))))</f>
        <v/>
      </c>
      <c r="Q190" s="5" t="str">
        <f>IF(OR(TRIM($B190)="",$G190=""),"",IF(OR(ISNUMBER(SEARCH(_xlfn.CONCAT(CHAR(96),CHAR(34)),$G190)),ISNUMBER(SEARCH(_xlfn.CONCAT(CHAR(34),CHAR(39)),$G190))),_xlfn.CONCAT("* REVIEW REQUIRED: compound-quote delimiter in Universe on Sheet 1 row ",190,"; edit the input before running."),_xlfn.CONCAT("char ",TRIM($B190),"[doc_universe] ",CHAR(96),CHAR(34),SUBSTITUTE(SUBSTITUTE(SUBSTITUTE(SUBSTITUTE(SUBSTITUTE(SUBSTITUTE($G190,CHAR(13)," "),CHAR(10)," "),CHAR(9)," "),CHAR(92),_xlfn.CONCAT(CHAR(92),CHAR(92))),"$",_xlfn.CONCAT(CHAR(92),"$")),CHAR(96),_xlfn.CONCAT(CHAR(92),CHAR(96))),CHAR(34),CHAR(39))))</f>
        <v/>
      </c>
      <c r="R190" s="5" t="str">
        <f>IF(OR(TRIM($B190)="",$H190=""),"",IF(OR(ISNUMBER(SEARCH(_xlfn.CONCAT(CHAR(96),CHAR(34)),$H190)),ISNUMBER(SEARCH(_xlfn.CONCAT(CHAR(34),CHAR(39)),$H190))),_xlfn.CONCAT("* REVIEW REQUIRED: compound-quote delimiter in Source on Sheet 1 row ",190,"; edit the input before running."),_xlfn.CONCAT("char ",TRIM($B190),"[doc_source] ",CHAR(96),CHAR(34),SUBSTITUTE(SUBSTITUTE(SUBSTITUTE(SUBSTITUTE(SUBSTITUTE(SUBSTITUTE($H190,CHAR(13)," "),CHAR(10)," "),CHAR(9)," "),CHAR(92),_xlfn.CONCAT(CHAR(92),CHAR(92))),"$",_xlfn.CONCAT(CHAR(92),"$")),CHAR(96),_xlfn.CONCAT(CHAR(92),CHAR(96))),CHAR(34),CHAR(39))))</f>
        <v/>
      </c>
      <c r="S190" s="5" t="str">
        <f>IF(OR(TRIM($B190)="",$I190=""),"",IF(OR(ISNUMBER(SEARCH(_xlfn.CONCAT(CHAR(96),CHAR(34)),$I190)),ISNUMBER(SEARCH(_xlfn.CONCAT(CHAR(34),CHAR(39)),$I190))),_xlfn.CONCAT("* REVIEW REQUIRED: compound-quote delimiter in Derivation on Sheet 1 row ",190,"; edit the input before running."),_xlfn.CONCAT("char ",TRIM($B190),"[doc_derivation] ",CHAR(96),CHAR(34),SUBSTITUTE(SUBSTITUTE(SUBSTITUTE(SUBSTITUTE(SUBSTITUTE(SUBSTITUTE($I190,CHAR(13)," "),CHAR(10)," "),CHAR(9)," "),CHAR(92),_xlfn.CONCAT(CHAR(92),CHAR(92))),"$",_xlfn.CONCAT(CHAR(92),"$")),CHAR(96),_xlfn.CONCAT(CHAR(92),CHAR(96))),CHAR(34),CHAR(39))))</f>
        <v/>
      </c>
      <c r="T190" s="5" t="str">
        <f>IF(OR(TRIM($B190)="",$J190=""),"",IF(OR(ISNUMBER(SEARCH(_xlfn.CONCAT(CHAR(96),CHAR(34)),$J190)),ISNUMBER(SEARCH(_xlfn.CONCAT(CHAR(34),CHAR(39)),$J190))),_xlfn.CONCAT("* REVIEW REQUIRED: compound-quote delimiter in Notes on Sheet 1 row ",190,"; edit the input before running."),_xlfn.CONCAT("char ",TRIM($B190),"[doc_notes] ",CHAR(96),CHAR(34),SUBSTITUTE(SUBSTITUTE(SUBSTITUTE(SUBSTITUTE(SUBSTITUTE(SUBSTITUTE($J190,CHAR(13)," "),CHAR(10)," "),CHAR(9)," "),CHAR(92),_xlfn.CONCAT(CHAR(92),CHAR(92))),"$",_xlfn.CONCAT(CHAR(92),"$")),CHAR(96),_xlfn.CONCAT(CHAR(92),CHAR(96))),CHAR(34),CHAR(39))))</f>
        <v/>
      </c>
      <c r="U190" s="5">
        <f t="shared" si="5"/>
        <v>0</v>
      </c>
    </row>
    <row r="191" spans="3:21" ht="30" customHeight="1" x14ac:dyDescent="0.2">
      <c r="C191" s="4"/>
      <c r="K191" s="5">
        <f t="shared" si="4"/>
        <v>0</v>
      </c>
      <c r="L191" s="5" t="str">
        <f>IF(OR(TRIM($B191)="",$A191=""),"",IF(OR(ISNUMBER(SEARCH(_xlfn.CONCAT(CHAR(96),CHAR(34)),$A191)),ISNUMBER(SEARCH(_xlfn.CONCAT(CHAR(34),CHAR(39)),$A191))),_xlfn.CONCAT("* REVIEW REQUIRED: compound-quote delimiter in Codebook Section on Sheet 1 row ",191,"; edit the input before running."),_xlfn.CONCAT("char ",TRIM($B191),"[doc_section] ",CHAR(96),CHAR(34),SUBSTITUTE(SUBSTITUTE(SUBSTITUTE(SUBSTITUTE(SUBSTITUTE(SUBSTITUTE($A191,CHAR(13)," "),CHAR(10)," "),CHAR(9)," "),CHAR(92),_xlfn.CONCAT(CHAR(92),CHAR(92))),"$",_xlfn.CONCAT(CHAR(92),"$")),CHAR(96),_xlfn.CONCAT(CHAR(92),CHAR(96))),CHAR(34),CHAR(39))))</f>
        <v/>
      </c>
      <c r="M191" s="5" t="str">
        <f>IF(OR(TRIM($B191)="",$C191=""),"",IF(IFERROR(MATCH(TRIM($C191),{"Quantitative","Continuous","Discrete","Categorical","Nominal","Ordinal","Identifier"},0),0)=0,_xlfn.CONCAT("* REVIEW REQUIRED: invalid Variable Type on Sheet 1 row ",191,"."),_xlfn.CONCAT("char ",TRIM($B191),"[doc_vartype] ",CHAR(96),CHAR(34),SUBSTITUTE(SUBSTITUTE(SUBSTITUTE(SUBSTITUTE(SUBSTITUTE(SUBSTITUTE(LOWER(TRIM($C191)),CHAR(13)," "),CHAR(10)," "),CHAR(9)," "),CHAR(92),_xlfn.CONCAT(CHAR(92),CHAR(92))),"$",_xlfn.CONCAT(CHAR(92),"$")),CHAR(96),_xlfn.CONCAT(CHAR(92),CHAR(96))),CHAR(34),CHAR(39))))</f>
        <v/>
      </c>
      <c r="N191" s="5" t="str">
        <f>IF(OR(TRIM($B191)="",$D191=""),"",IF(OR(ISNUMBER(SEARCH(_xlfn.CONCAT(CHAR(96),CHAR(34)),$D191)),ISNUMBER(SEARCH(_xlfn.CONCAT(CHAR(34),CHAR(39)),$D191))),_xlfn.CONCAT("* REVIEW REQUIRED: compound-quote delimiter in Item Number on Sheet 1 row ",191,"; edit the input before running."),_xlfn.CONCAT("char ",TRIM($B191),"[doc_itemnum] ",CHAR(96),CHAR(34),SUBSTITUTE(SUBSTITUTE(SUBSTITUTE(SUBSTITUTE(SUBSTITUTE(SUBSTITUTE($D191,CHAR(13)," "),CHAR(10)," "),CHAR(9)," "),CHAR(92),_xlfn.CONCAT(CHAR(92),CHAR(92))),"$",_xlfn.CONCAT(CHAR(92),"$")),CHAR(96),_xlfn.CONCAT(CHAR(92),CHAR(96))),CHAR(34),CHAR(39))))</f>
        <v/>
      </c>
      <c r="O191" s="5" t="str">
        <f>IF(OR(TRIM($B191)="",$E191=""),"",IF(OR(ISNUMBER(SEARCH(_xlfn.CONCAT(CHAR(96),CHAR(34)),$E191)),ISNUMBER(SEARCH(_xlfn.CONCAT(CHAR(34),CHAR(39)),$E191))),_xlfn.CONCAT("* REVIEW REQUIRED: compound-quote delimiter in Question Wording on Sheet 1 row ",191,"; edit the input before running."),_xlfn.CONCAT("char ",TRIM($B191),"[doc_question] ",CHAR(96),CHAR(34),SUBSTITUTE(SUBSTITUTE(SUBSTITUTE(SUBSTITUTE(SUBSTITUTE(SUBSTITUTE($E191,CHAR(13)," "),CHAR(10)," "),CHAR(9)," "),CHAR(92),_xlfn.CONCAT(CHAR(92),CHAR(92))),"$",_xlfn.CONCAT(CHAR(92),"$")),CHAR(96),_xlfn.CONCAT(CHAR(92),CHAR(96))),CHAR(34),CHAR(39))))</f>
        <v/>
      </c>
      <c r="P191" s="5" t="str">
        <f>IF(OR(TRIM($B191)="",$F191=""),"",IF(OR(ISNUMBER(SEARCH(_xlfn.CONCAT(CHAR(96),CHAR(34)),$F191)),ISNUMBER(SEARCH(_xlfn.CONCAT(CHAR(34),CHAR(39)),$F191))),_xlfn.CONCAT("* REVIEW REQUIRED: compound-quote delimiter in Units on Sheet 1 row ",191,"; edit the input before running."),_xlfn.CONCAT("char ",TRIM($B191),"[doc_units] ",CHAR(96),CHAR(34),SUBSTITUTE(SUBSTITUTE(SUBSTITUTE(SUBSTITUTE(SUBSTITUTE(SUBSTITUTE($F191,CHAR(13)," "),CHAR(10)," "),CHAR(9)," "),CHAR(92),_xlfn.CONCAT(CHAR(92),CHAR(92))),"$",_xlfn.CONCAT(CHAR(92),"$")),CHAR(96),_xlfn.CONCAT(CHAR(92),CHAR(96))),CHAR(34),CHAR(39))))</f>
        <v/>
      </c>
      <c r="Q191" s="5" t="str">
        <f>IF(OR(TRIM($B191)="",$G191=""),"",IF(OR(ISNUMBER(SEARCH(_xlfn.CONCAT(CHAR(96),CHAR(34)),$G191)),ISNUMBER(SEARCH(_xlfn.CONCAT(CHAR(34),CHAR(39)),$G191))),_xlfn.CONCAT("* REVIEW REQUIRED: compound-quote delimiter in Universe on Sheet 1 row ",191,"; edit the input before running."),_xlfn.CONCAT("char ",TRIM($B191),"[doc_universe] ",CHAR(96),CHAR(34),SUBSTITUTE(SUBSTITUTE(SUBSTITUTE(SUBSTITUTE(SUBSTITUTE(SUBSTITUTE($G191,CHAR(13)," "),CHAR(10)," "),CHAR(9)," "),CHAR(92),_xlfn.CONCAT(CHAR(92),CHAR(92))),"$",_xlfn.CONCAT(CHAR(92),"$")),CHAR(96),_xlfn.CONCAT(CHAR(92),CHAR(96))),CHAR(34),CHAR(39))))</f>
        <v/>
      </c>
      <c r="R191" s="5" t="str">
        <f>IF(OR(TRIM($B191)="",$H191=""),"",IF(OR(ISNUMBER(SEARCH(_xlfn.CONCAT(CHAR(96),CHAR(34)),$H191)),ISNUMBER(SEARCH(_xlfn.CONCAT(CHAR(34),CHAR(39)),$H191))),_xlfn.CONCAT("* REVIEW REQUIRED: compound-quote delimiter in Source on Sheet 1 row ",191,"; edit the input before running."),_xlfn.CONCAT("char ",TRIM($B191),"[doc_source] ",CHAR(96),CHAR(34),SUBSTITUTE(SUBSTITUTE(SUBSTITUTE(SUBSTITUTE(SUBSTITUTE(SUBSTITUTE($H191,CHAR(13)," "),CHAR(10)," "),CHAR(9)," "),CHAR(92),_xlfn.CONCAT(CHAR(92),CHAR(92))),"$",_xlfn.CONCAT(CHAR(92),"$")),CHAR(96),_xlfn.CONCAT(CHAR(92),CHAR(96))),CHAR(34),CHAR(39))))</f>
        <v/>
      </c>
      <c r="S191" s="5" t="str">
        <f>IF(OR(TRIM($B191)="",$I191=""),"",IF(OR(ISNUMBER(SEARCH(_xlfn.CONCAT(CHAR(96),CHAR(34)),$I191)),ISNUMBER(SEARCH(_xlfn.CONCAT(CHAR(34),CHAR(39)),$I191))),_xlfn.CONCAT("* REVIEW REQUIRED: compound-quote delimiter in Derivation on Sheet 1 row ",191,"; edit the input before running."),_xlfn.CONCAT("char ",TRIM($B191),"[doc_derivation] ",CHAR(96),CHAR(34),SUBSTITUTE(SUBSTITUTE(SUBSTITUTE(SUBSTITUTE(SUBSTITUTE(SUBSTITUTE($I191,CHAR(13)," "),CHAR(10)," "),CHAR(9)," "),CHAR(92),_xlfn.CONCAT(CHAR(92),CHAR(92))),"$",_xlfn.CONCAT(CHAR(92),"$")),CHAR(96),_xlfn.CONCAT(CHAR(92),CHAR(96))),CHAR(34),CHAR(39))))</f>
        <v/>
      </c>
      <c r="T191" s="5" t="str">
        <f>IF(OR(TRIM($B191)="",$J191=""),"",IF(OR(ISNUMBER(SEARCH(_xlfn.CONCAT(CHAR(96),CHAR(34)),$J191)),ISNUMBER(SEARCH(_xlfn.CONCAT(CHAR(34),CHAR(39)),$J191))),_xlfn.CONCAT("* REVIEW REQUIRED: compound-quote delimiter in Notes on Sheet 1 row ",191,"; edit the input before running."),_xlfn.CONCAT("char ",TRIM($B191),"[doc_notes] ",CHAR(96),CHAR(34),SUBSTITUTE(SUBSTITUTE(SUBSTITUTE(SUBSTITUTE(SUBSTITUTE(SUBSTITUTE($J191,CHAR(13)," "),CHAR(10)," "),CHAR(9)," "),CHAR(92),_xlfn.CONCAT(CHAR(92),CHAR(92))),"$",_xlfn.CONCAT(CHAR(92),"$")),CHAR(96),_xlfn.CONCAT(CHAR(92),CHAR(96))),CHAR(34),CHAR(39))))</f>
        <v/>
      </c>
      <c r="U191" s="5">
        <f t="shared" si="5"/>
        <v>0</v>
      </c>
    </row>
    <row r="192" spans="3:21" ht="30" customHeight="1" x14ac:dyDescent="0.2">
      <c r="C192" s="4"/>
      <c r="K192" s="5">
        <f t="shared" si="4"/>
        <v>0</v>
      </c>
      <c r="L192" s="5" t="str">
        <f>IF(OR(TRIM($B192)="",$A192=""),"",IF(OR(ISNUMBER(SEARCH(_xlfn.CONCAT(CHAR(96),CHAR(34)),$A192)),ISNUMBER(SEARCH(_xlfn.CONCAT(CHAR(34),CHAR(39)),$A192))),_xlfn.CONCAT("* REVIEW REQUIRED: compound-quote delimiter in Codebook Section on Sheet 1 row ",192,"; edit the input before running."),_xlfn.CONCAT("char ",TRIM($B192),"[doc_section] ",CHAR(96),CHAR(34),SUBSTITUTE(SUBSTITUTE(SUBSTITUTE(SUBSTITUTE(SUBSTITUTE(SUBSTITUTE($A192,CHAR(13)," "),CHAR(10)," "),CHAR(9)," "),CHAR(92),_xlfn.CONCAT(CHAR(92),CHAR(92))),"$",_xlfn.CONCAT(CHAR(92),"$")),CHAR(96),_xlfn.CONCAT(CHAR(92),CHAR(96))),CHAR(34),CHAR(39))))</f>
        <v/>
      </c>
      <c r="M192" s="5" t="str">
        <f>IF(OR(TRIM($B192)="",$C192=""),"",IF(IFERROR(MATCH(TRIM($C192),{"Quantitative","Continuous","Discrete","Categorical","Nominal","Ordinal","Identifier"},0),0)=0,_xlfn.CONCAT("* REVIEW REQUIRED: invalid Variable Type on Sheet 1 row ",192,"."),_xlfn.CONCAT("char ",TRIM($B192),"[doc_vartype] ",CHAR(96),CHAR(34),SUBSTITUTE(SUBSTITUTE(SUBSTITUTE(SUBSTITUTE(SUBSTITUTE(SUBSTITUTE(LOWER(TRIM($C192)),CHAR(13)," "),CHAR(10)," "),CHAR(9)," "),CHAR(92),_xlfn.CONCAT(CHAR(92),CHAR(92))),"$",_xlfn.CONCAT(CHAR(92),"$")),CHAR(96),_xlfn.CONCAT(CHAR(92),CHAR(96))),CHAR(34),CHAR(39))))</f>
        <v/>
      </c>
      <c r="N192" s="5" t="str">
        <f>IF(OR(TRIM($B192)="",$D192=""),"",IF(OR(ISNUMBER(SEARCH(_xlfn.CONCAT(CHAR(96),CHAR(34)),$D192)),ISNUMBER(SEARCH(_xlfn.CONCAT(CHAR(34),CHAR(39)),$D192))),_xlfn.CONCAT("* REVIEW REQUIRED: compound-quote delimiter in Item Number on Sheet 1 row ",192,"; edit the input before running."),_xlfn.CONCAT("char ",TRIM($B192),"[doc_itemnum] ",CHAR(96),CHAR(34),SUBSTITUTE(SUBSTITUTE(SUBSTITUTE(SUBSTITUTE(SUBSTITUTE(SUBSTITUTE($D192,CHAR(13)," "),CHAR(10)," "),CHAR(9)," "),CHAR(92),_xlfn.CONCAT(CHAR(92),CHAR(92))),"$",_xlfn.CONCAT(CHAR(92),"$")),CHAR(96),_xlfn.CONCAT(CHAR(92),CHAR(96))),CHAR(34),CHAR(39))))</f>
        <v/>
      </c>
      <c r="O192" s="5" t="str">
        <f>IF(OR(TRIM($B192)="",$E192=""),"",IF(OR(ISNUMBER(SEARCH(_xlfn.CONCAT(CHAR(96),CHAR(34)),$E192)),ISNUMBER(SEARCH(_xlfn.CONCAT(CHAR(34),CHAR(39)),$E192))),_xlfn.CONCAT("* REVIEW REQUIRED: compound-quote delimiter in Question Wording on Sheet 1 row ",192,"; edit the input before running."),_xlfn.CONCAT("char ",TRIM($B192),"[doc_question] ",CHAR(96),CHAR(34),SUBSTITUTE(SUBSTITUTE(SUBSTITUTE(SUBSTITUTE(SUBSTITUTE(SUBSTITUTE($E192,CHAR(13)," "),CHAR(10)," "),CHAR(9)," "),CHAR(92),_xlfn.CONCAT(CHAR(92),CHAR(92))),"$",_xlfn.CONCAT(CHAR(92),"$")),CHAR(96),_xlfn.CONCAT(CHAR(92),CHAR(96))),CHAR(34),CHAR(39))))</f>
        <v/>
      </c>
      <c r="P192" s="5" t="str">
        <f>IF(OR(TRIM($B192)="",$F192=""),"",IF(OR(ISNUMBER(SEARCH(_xlfn.CONCAT(CHAR(96),CHAR(34)),$F192)),ISNUMBER(SEARCH(_xlfn.CONCAT(CHAR(34),CHAR(39)),$F192))),_xlfn.CONCAT("* REVIEW REQUIRED: compound-quote delimiter in Units on Sheet 1 row ",192,"; edit the input before running."),_xlfn.CONCAT("char ",TRIM($B192),"[doc_units] ",CHAR(96),CHAR(34),SUBSTITUTE(SUBSTITUTE(SUBSTITUTE(SUBSTITUTE(SUBSTITUTE(SUBSTITUTE($F192,CHAR(13)," "),CHAR(10)," "),CHAR(9)," "),CHAR(92),_xlfn.CONCAT(CHAR(92),CHAR(92))),"$",_xlfn.CONCAT(CHAR(92),"$")),CHAR(96),_xlfn.CONCAT(CHAR(92),CHAR(96))),CHAR(34),CHAR(39))))</f>
        <v/>
      </c>
      <c r="Q192" s="5" t="str">
        <f>IF(OR(TRIM($B192)="",$G192=""),"",IF(OR(ISNUMBER(SEARCH(_xlfn.CONCAT(CHAR(96),CHAR(34)),$G192)),ISNUMBER(SEARCH(_xlfn.CONCAT(CHAR(34),CHAR(39)),$G192))),_xlfn.CONCAT("* REVIEW REQUIRED: compound-quote delimiter in Universe on Sheet 1 row ",192,"; edit the input before running."),_xlfn.CONCAT("char ",TRIM($B192),"[doc_universe] ",CHAR(96),CHAR(34),SUBSTITUTE(SUBSTITUTE(SUBSTITUTE(SUBSTITUTE(SUBSTITUTE(SUBSTITUTE($G192,CHAR(13)," "),CHAR(10)," "),CHAR(9)," "),CHAR(92),_xlfn.CONCAT(CHAR(92),CHAR(92))),"$",_xlfn.CONCAT(CHAR(92),"$")),CHAR(96),_xlfn.CONCAT(CHAR(92),CHAR(96))),CHAR(34),CHAR(39))))</f>
        <v/>
      </c>
      <c r="R192" s="5" t="str">
        <f>IF(OR(TRIM($B192)="",$H192=""),"",IF(OR(ISNUMBER(SEARCH(_xlfn.CONCAT(CHAR(96),CHAR(34)),$H192)),ISNUMBER(SEARCH(_xlfn.CONCAT(CHAR(34),CHAR(39)),$H192))),_xlfn.CONCAT("* REVIEW REQUIRED: compound-quote delimiter in Source on Sheet 1 row ",192,"; edit the input before running."),_xlfn.CONCAT("char ",TRIM($B192),"[doc_source] ",CHAR(96),CHAR(34),SUBSTITUTE(SUBSTITUTE(SUBSTITUTE(SUBSTITUTE(SUBSTITUTE(SUBSTITUTE($H192,CHAR(13)," "),CHAR(10)," "),CHAR(9)," "),CHAR(92),_xlfn.CONCAT(CHAR(92),CHAR(92))),"$",_xlfn.CONCAT(CHAR(92),"$")),CHAR(96),_xlfn.CONCAT(CHAR(92),CHAR(96))),CHAR(34),CHAR(39))))</f>
        <v/>
      </c>
      <c r="S192" s="5" t="str">
        <f>IF(OR(TRIM($B192)="",$I192=""),"",IF(OR(ISNUMBER(SEARCH(_xlfn.CONCAT(CHAR(96),CHAR(34)),$I192)),ISNUMBER(SEARCH(_xlfn.CONCAT(CHAR(34),CHAR(39)),$I192))),_xlfn.CONCAT("* REVIEW REQUIRED: compound-quote delimiter in Derivation on Sheet 1 row ",192,"; edit the input before running."),_xlfn.CONCAT("char ",TRIM($B192),"[doc_derivation] ",CHAR(96),CHAR(34),SUBSTITUTE(SUBSTITUTE(SUBSTITUTE(SUBSTITUTE(SUBSTITUTE(SUBSTITUTE($I192,CHAR(13)," "),CHAR(10)," "),CHAR(9)," "),CHAR(92),_xlfn.CONCAT(CHAR(92),CHAR(92))),"$",_xlfn.CONCAT(CHAR(92),"$")),CHAR(96),_xlfn.CONCAT(CHAR(92),CHAR(96))),CHAR(34),CHAR(39))))</f>
        <v/>
      </c>
      <c r="T192" s="5" t="str">
        <f>IF(OR(TRIM($B192)="",$J192=""),"",IF(OR(ISNUMBER(SEARCH(_xlfn.CONCAT(CHAR(96),CHAR(34)),$J192)),ISNUMBER(SEARCH(_xlfn.CONCAT(CHAR(34),CHAR(39)),$J192))),_xlfn.CONCAT("* REVIEW REQUIRED: compound-quote delimiter in Notes on Sheet 1 row ",192,"; edit the input before running."),_xlfn.CONCAT("char ",TRIM($B192),"[doc_notes] ",CHAR(96),CHAR(34),SUBSTITUTE(SUBSTITUTE(SUBSTITUTE(SUBSTITUTE(SUBSTITUTE(SUBSTITUTE($J192,CHAR(13)," "),CHAR(10)," "),CHAR(9)," "),CHAR(92),_xlfn.CONCAT(CHAR(92),CHAR(92))),"$",_xlfn.CONCAT(CHAR(92),"$")),CHAR(96),_xlfn.CONCAT(CHAR(92),CHAR(96))),CHAR(34),CHAR(39))))</f>
        <v/>
      </c>
      <c r="U192" s="5">
        <f t="shared" si="5"/>
        <v>0</v>
      </c>
    </row>
    <row r="193" spans="3:21" ht="30" customHeight="1" x14ac:dyDescent="0.2">
      <c r="C193" s="4"/>
      <c r="K193" s="5">
        <f t="shared" si="4"/>
        <v>0</v>
      </c>
      <c r="L193" s="5" t="str">
        <f>IF(OR(TRIM($B193)="",$A193=""),"",IF(OR(ISNUMBER(SEARCH(_xlfn.CONCAT(CHAR(96),CHAR(34)),$A193)),ISNUMBER(SEARCH(_xlfn.CONCAT(CHAR(34),CHAR(39)),$A193))),_xlfn.CONCAT("* REVIEW REQUIRED: compound-quote delimiter in Codebook Section on Sheet 1 row ",193,"; edit the input before running."),_xlfn.CONCAT("char ",TRIM($B193),"[doc_section] ",CHAR(96),CHAR(34),SUBSTITUTE(SUBSTITUTE(SUBSTITUTE(SUBSTITUTE(SUBSTITUTE(SUBSTITUTE($A193,CHAR(13)," "),CHAR(10)," "),CHAR(9)," "),CHAR(92),_xlfn.CONCAT(CHAR(92),CHAR(92))),"$",_xlfn.CONCAT(CHAR(92),"$")),CHAR(96),_xlfn.CONCAT(CHAR(92),CHAR(96))),CHAR(34),CHAR(39))))</f>
        <v/>
      </c>
      <c r="M193" s="5" t="str">
        <f>IF(OR(TRIM($B193)="",$C193=""),"",IF(IFERROR(MATCH(TRIM($C193),{"Quantitative","Continuous","Discrete","Categorical","Nominal","Ordinal","Identifier"},0),0)=0,_xlfn.CONCAT("* REVIEW REQUIRED: invalid Variable Type on Sheet 1 row ",193,"."),_xlfn.CONCAT("char ",TRIM($B193),"[doc_vartype] ",CHAR(96),CHAR(34),SUBSTITUTE(SUBSTITUTE(SUBSTITUTE(SUBSTITUTE(SUBSTITUTE(SUBSTITUTE(LOWER(TRIM($C193)),CHAR(13)," "),CHAR(10)," "),CHAR(9)," "),CHAR(92),_xlfn.CONCAT(CHAR(92),CHAR(92))),"$",_xlfn.CONCAT(CHAR(92),"$")),CHAR(96),_xlfn.CONCAT(CHAR(92),CHAR(96))),CHAR(34),CHAR(39))))</f>
        <v/>
      </c>
      <c r="N193" s="5" t="str">
        <f>IF(OR(TRIM($B193)="",$D193=""),"",IF(OR(ISNUMBER(SEARCH(_xlfn.CONCAT(CHAR(96),CHAR(34)),$D193)),ISNUMBER(SEARCH(_xlfn.CONCAT(CHAR(34),CHAR(39)),$D193))),_xlfn.CONCAT("* REVIEW REQUIRED: compound-quote delimiter in Item Number on Sheet 1 row ",193,"; edit the input before running."),_xlfn.CONCAT("char ",TRIM($B193),"[doc_itemnum] ",CHAR(96),CHAR(34),SUBSTITUTE(SUBSTITUTE(SUBSTITUTE(SUBSTITUTE(SUBSTITUTE(SUBSTITUTE($D193,CHAR(13)," "),CHAR(10)," "),CHAR(9)," "),CHAR(92),_xlfn.CONCAT(CHAR(92),CHAR(92))),"$",_xlfn.CONCAT(CHAR(92),"$")),CHAR(96),_xlfn.CONCAT(CHAR(92),CHAR(96))),CHAR(34),CHAR(39))))</f>
        <v/>
      </c>
      <c r="O193" s="5" t="str">
        <f>IF(OR(TRIM($B193)="",$E193=""),"",IF(OR(ISNUMBER(SEARCH(_xlfn.CONCAT(CHAR(96),CHAR(34)),$E193)),ISNUMBER(SEARCH(_xlfn.CONCAT(CHAR(34),CHAR(39)),$E193))),_xlfn.CONCAT("* REVIEW REQUIRED: compound-quote delimiter in Question Wording on Sheet 1 row ",193,"; edit the input before running."),_xlfn.CONCAT("char ",TRIM($B193),"[doc_question] ",CHAR(96),CHAR(34),SUBSTITUTE(SUBSTITUTE(SUBSTITUTE(SUBSTITUTE(SUBSTITUTE(SUBSTITUTE($E193,CHAR(13)," "),CHAR(10)," "),CHAR(9)," "),CHAR(92),_xlfn.CONCAT(CHAR(92),CHAR(92))),"$",_xlfn.CONCAT(CHAR(92),"$")),CHAR(96),_xlfn.CONCAT(CHAR(92),CHAR(96))),CHAR(34),CHAR(39))))</f>
        <v/>
      </c>
      <c r="P193" s="5" t="str">
        <f>IF(OR(TRIM($B193)="",$F193=""),"",IF(OR(ISNUMBER(SEARCH(_xlfn.CONCAT(CHAR(96),CHAR(34)),$F193)),ISNUMBER(SEARCH(_xlfn.CONCAT(CHAR(34),CHAR(39)),$F193))),_xlfn.CONCAT("* REVIEW REQUIRED: compound-quote delimiter in Units on Sheet 1 row ",193,"; edit the input before running."),_xlfn.CONCAT("char ",TRIM($B193),"[doc_units] ",CHAR(96),CHAR(34),SUBSTITUTE(SUBSTITUTE(SUBSTITUTE(SUBSTITUTE(SUBSTITUTE(SUBSTITUTE($F193,CHAR(13)," "),CHAR(10)," "),CHAR(9)," "),CHAR(92),_xlfn.CONCAT(CHAR(92),CHAR(92))),"$",_xlfn.CONCAT(CHAR(92),"$")),CHAR(96),_xlfn.CONCAT(CHAR(92),CHAR(96))),CHAR(34),CHAR(39))))</f>
        <v/>
      </c>
      <c r="Q193" s="5" t="str">
        <f>IF(OR(TRIM($B193)="",$G193=""),"",IF(OR(ISNUMBER(SEARCH(_xlfn.CONCAT(CHAR(96),CHAR(34)),$G193)),ISNUMBER(SEARCH(_xlfn.CONCAT(CHAR(34),CHAR(39)),$G193))),_xlfn.CONCAT("* REVIEW REQUIRED: compound-quote delimiter in Universe on Sheet 1 row ",193,"; edit the input before running."),_xlfn.CONCAT("char ",TRIM($B193),"[doc_universe] ",CHAR(96),CHAR(34),SUBSTITUTE(SUBSTITUTE(SUBSTITUTE(SUBSTITUTE(SUBSTITUTE(SUBSTITUTE($G193,CHAR(13)," "),CHAR(10)," "),CHAR(9)," "),CHAR(92),_xlfn.CONCAT(CHAR(92),CHAR(92))),"$",_xlfn.CONCAT(CHAR(92),"$")),CHAR(96),_xlfn.CONCAT(CHAR(92),CHAR(96))),CHAR(34),CHAR(39))))</f>
        <v/>
      </c>
      <c r="R193" s="5" t="str">
        <f>IF(OR(TRIM($B193)="",$H193=""),"",IF(OR(ISNUMBER(SEARCH(_xlfn.CONCAT(CHAR(96),CHAR(34)),$H193)),ISNUMBER(SEARCH(_xlfn.CONCAT(CHAR(34),CHAR(39)),$H193))),_xlfn.CONCAT("* REVIEW REQUIRED: compound-quote delimiter in Source on Sheet 1 row ",193,"; edit the input before running."),_xlfn.CONCAT("char ",TRIM($B193),"[doc_source] ",CHAR(96),CHAR(34),SUBSTITUTE(SUBSTITUTE(SUBSTITUTE(SUBSTITUTE(SUBSTITUTE(SUBSTITUTE($H193,CHAR(13)," "),CHAR(10)," "),CHAR(9)," "),CHAR(92),_xlfn.CONCAT(CHAR(92),CHAR(92))),"$",_xlfn.CONCAT(CHAR(92),"$")),CHAR(96),_xlfn.CONCAT(CHAR(92),CHAR(96))),CHAR(34),CHAR(39))))</f>
        <v/>
      </c>
      <c r="S193" s="5" t="str">
        <f>IF(OR(TRIM($B193)="",$I193=""),"",IF(OR(ISNUMBER(SEARCH(_xlfn.CONCAT(CHAR(96),CHAR(34)),$I193)),ISNUMBER(SEARCH(_xlfn.CONCAT(CHAR(34),CHAR(39)),$I193))),_xlfn.CONCAT("* REVIEW REQUIRED: compound-quote delimiter in Derivation on Sheet 1 row ",193,"; edit the input before running."),_xlfn.CONCAT("char ",TRIM($B193),"[doc_derivation] ",CHAR(96),CHAR(34),SUBSTITUTE(SUBSTITUTE(SUBSTITUTE(SUBSTITUTE(SUBSTITUTE(SUBSTITUTE($I193,CHAR(13)," "),CHAR(10)," "),CHAR(9)," "),CHAR(92),_xlfn.CONCAT(CHAR(92),CHAR(92))),"$",_xlfn.CONCAT(CHAR(92),"$")),CHAR(96),_xlfn.CONCAT(CHAR(92),CHAR(96))),CHAR(34),CHAR(39))))</f>
        <v/>
      </c>
      <c r="T193" s="5" t="str">
        <f>IF(OR(TRIM($B193)="",$J193=""),"",IF(OR(ISNUMBER(SEARCH(_xlfn.CONCAT(CHAR(96),CHAR(34)),$J193)),ISNUMBER(SEARCH(_xlfn.CONCAT(CHAR(34),CHAR(39)),$J193))),_xlfn.CONCAT("* REVIEW REQUIRED: compound-quote delimiter in Notes on Sheet 1 row ",193,"; edit the input before running."),_xlfn.CONCAT("char ",TRIM($B193),"[doc_notes] ",CHAR(96),CHAR(34),SUBSTITUTE(SUBSTITUTE(SUBSTITUTE(SUBSTITUTE(SUBSTITUTE(SUBSTITUTE($J193,CHAR(13)," "),CHAR(10)," "),CHAR(9)," "),CHAR(92),_xlfn.CONCAT(CHAR(92),CHAR(92))),"$",_xlfn.CONCAT(CHAR(92),"$")),CHAR(96),_xlfn.CONCAT(CHAR(92),CHAR(96))),CHAR(34),CHAR(39))))</f>
        <v/>
      </c>
      <c r="U193" s="5">
        <f t="shared" si="5"/>
        <v>0</v>
      </c>
    </row>
    <row r="194" spans="3:21" ht="30" customHeight="1" x14ac:dyDescent="0.2">
      <c r="C194" s="4"/>
      <c r="K194" s="5">
        <f t="shared" si="4"/>
        <v>0</v>
      </c>
      <c r="L194" s="5" t="str">
        <f>IF(OR(TRIM($B194)="",$A194=""),"",IF(OR(ISNUMBER(SEARCH(_xlfn.CONCAT(CHAR(96),CHAR(34)),$A194)),ISNUMBER(SEARCH(_xlfn.CONCAT(CHAR(34),CHAR(39)),$A194))),_xlfn.CONCAT("* REVIEW REQUIRED: compound-quote delimiter in Codebook Section on Sheet 1 row ",194,"; edit the input before running."),_xlfn.CONCAT("char ",TRIM($B194),"[doc_section] ",CHAR(96),CHAR(34),SUBSTITUTE(SUBSTITUTE(SUBSTITUTE(SUBSTITUTE(SUBSTITUTE(SUBSTITUTE($A194,CHAR(13)," "),CHAR(10)," "),CHAR(9)," "),CHAR(92),_xlfn.CONCAT(CHAR(92),CHAR(92))),"$",_xlfn.CONCAT(CHAR(92),"$")),CHAR(96),_xlfn.CONCAT(CHAR(92),CHAR(96))),CHAR(34),CHAR(39))))</f>
        <v/>
      </c>
      <c r="M194" s="5" t="str">
        <f>IF(OR(TRIM($B194)="",$C194=""),"",IF(IFERROR(MATCH(TRIM($C194),{"Quantitative","Continuous","Discrete","Categorical","Nominal","Ordinal","Identifier"},0),0)=0,_xlfn.CONCAT("* REVIEW REQUIRED: invalid Variable Type on Sheet 1 row ",194,"."),_xlfn.CONCAT("char ",TRIM($B194),"[doc_vartype] ",CHAR(96),CHAR(34),SUBSTITUTE(SUBSTITUTE(SUBSTITUTE(SUBSTITUTE(SUBSTITUTE(SUBSTITUTE(LOWER(TRIM($C194)),CHAR(13)," "),CHAR(10)," "),CHAR(9)," "),CHAR(92),_xlfn.CONCAT(CHAR(92),CHAR(92))),"$",_xlfn.CONCAT(CHAR(92),"$")),CHAR(96),_xlfn.CONCAT(CHAR(92),CHAR(96))),CHAR(34),CHAR(39))))</f>
        <v/>
      </c>
      <c r="N194" s="5" t="str">
        <f>IF(OR(TRIM($B194)="",$D194=""),"",IF(OR(ISNUMBER(SEARCH(_xlfn.CONCAT(CHAR(96),CHAR(34)),$D194)),ISNUMBER(SEARCH(_xlfn.CONCAT(CHAR(34),CHAR(39)),$D194))),_xlfn.CONCAT("* REVIEW REQUIRED: compound-quote delimiter in Item Number on Sheet 1 row ",194,"; edit the input before running."),_xlfn.CONCAT("char ",TRIM($B194),"[doc_itemnum] ",CHAR(96),CHAR(34),SUBSTITUTE(SUBSTITUTE(SUBSTITUTE(SUBSTITUTE(SUBSTITUTE(SUBSTITUTE($D194,CHAR(13)," "),CHAR(10)," "),CHAR(9)," "),CHAR(92),_xlfn.CONCAT(CHAR(92),CHAR(92))),"$",_xlfn.CONCAT(CHAR(92),"$")),CHAR(96),_xlfn.CONCAT(CHAR(92),CHAR(96))),CHAR(34),CHAR(39))))</f>
        <v/>
      </c>
      <c r="O194" s="5" t="str">
        <f>IF(OR(TRIM($B194)="",$E194=""),"",IF(OR(ISNUMBER(SEARCH(_xlfn.CONCAT(CHAR(96),CHAR(34)),$E194)),ISNUMBER(SEARCH(_xlfn.CONCAT(CHAR(34),CHAR(39)),$E194))),_xlfn.CONCAT("* REVIEW REQUIRED: compound-quote delimiter in Question Wording on Sheet 1 row ",194,"; edit the input before running."),_xlfn.CONCAT("char ",TRIM($B194),"[doc_question] ",CHAR(96),CHAR(34),SUBSTITUTE(SUBSTITUTE(SUBSTITUTE(SUBSTITUTE(SUBSTITUTE(SUBSTITUTE($E194,CHAR(13)," "),CHAR(10)," "),CHAR(9)," "),CHAR(92),_xlfn.CONCAT(CHAR(92),CHAR(92))),"$",_xlfn.CONCAT(CHAR(92),"$")),CHAR(96),_xlfn.CONCAT(CHAR(92),CHAR(96))),CHAR(34),CHAR(39))))</f>
        <v/>
      </c>
      <c r="P194" s="5" t="str">
        <f>IF(OR(TRIM($B194)="",$F194=""),"",IF(OR(ISNUMBER(SEARCH(_xlfn.CONCAT(CHAR(96),CHAR(34)),$F194)),ISNUMBER(SEARCH(_xlfn.CONCAT(CHAR(34),CHAR(39)),$F194))),_xlfn.CONCAT("* REVIEW REQUIRED: compound-quote delimiter in Units on Sheet 1 row ",194,"; edit the input before running."),_xlfn.CONCAT("char ",TRIM($B194),"[doc_units] ",CHAR(96),CHAR(34),SUBSTITUTE(SUBSTITUTE(SUBSTITUTE(SUBSTITUTE(SUBSTITUTE(SUBSTITUTE($F194,CHAR(13)," "),CHAR(10)," "),CHAR(9)," "),CHAR(92),_xlfn.CONCAT(CHAR(92),CHAR(92))),"$",_xlfn.CONCAT(CHAR(92),"$")),CHAR(96),_xlfn.CONCAT(CHAR(92),CHAR(96))),CHAR(34),CHAR(39))))</f>
        <v/>
      </c>
      <c r="Q194" s="5" t="str">
        <f>IF(OR(TRIM($B194)="",$G194=""),"",IF(OR(ISNUMBER(SEARCH(_xlfn.CONCAT(CHAR(96),CHAR(34)),$G194)),ISNUMBER(SEARCH(_xlfn.CONCAT(CHAR(34),CHAR(39)),$G194))),_xlfn.CONCAT("* REVIEW REQUIRED: compound-quote delimiter in Universe on Sheet 1 row ",194,"; edit the input before running."),_xlfn.CONCAT("char ",TRIM($B194),"[doc_universe] ",CHAR(96),CHAR(34),SUBSTITUTE(SUBSTITUTE(SUBSTITUTE(SUBSTITUTE(SUBSTITUTE(SUBSTITUTE($G194,CHAR(13)," "),CHAR(10)," "),CHAR(9)," "),CHAR(92),_xlfn.CONCAT(CHAR(92),CHAR(92))),"$",_xlfn.CONCAT(CHAR(92),"$")),CHAR(96),_xlfn.CONCAT(CHAR(92),CHAR(96))),CHAR(34),CHAR(39))))</f>
        <v/>
      </c>
      <c r="R194" s="5" t="str">
        <f>IF(OR(TRIM($B194)="",$H194=""),"",IF(OR(ISNUMBER(SEARCH(_xlfn.CONCAT(CHAR(96),CHAR(34)),$H194)),ISNUMBER(SEARCH(_xlfn.CONCAT(CHAR(34),CHAR(39)),$H194))),_xlfn.CONCAT("* REVIEW REQUIRED: compound-quote delimiter in Source on Sheet 1 row ",194,"; edit the input before running."),_xlfn.CONCAT("char ",TRIM($B194),"[doc_source] ",CHAR(96),CHAR(34),SUBSTITUTE(SUBSTITUTE(SUBSTITUTE(SUBSTITUTE(SUBSTITUTE(SUBSTITUTE($H194,CHAR(13)," "),CHAR(10)," "),CHAR(9)," "),CHAR(92),_xlfn.CONCAT(CHAR(92),CHAR(92))),"$",_xlfn.CONCAT(CHAR(92),"$")),CHAR(96),_xlfn.CONCAT(CHAR(92),CHAR(96))),CHAR(34),CHAR(39))))</f>
        <v/>
      </c>
      <c r="S194" s="5" t="str">
        <f>IF(OR(TRIM($B194)="",$I194=""),"",IF(OR(ISNUMBER(SEARCH(_xlfn.CONCAT(CHAR(96),CHAR(34)),$I194)),ISNUMBER(SEARCH(_xlfn.CONCAT(CHAR(34),CHAR(39)),$I194))),_xlfn.CONCAT("* REVIEW REQUIRED: compound-quote delimiter in Derivation on Sheet 1 row ",194,"; edit the input before running."),_xlfn.CONCAT("char ",TRIM($B194),"[doc_derivation] ",CHAR(96),CHAR(34),SUBSTITUTE(SUBSTITUTE(SUBSTITUTE(SUBSTITUTE(SUBSTITUTE(SUBSTITUTE($I194,CHAR(13)," "),CHAR(10)," "),CHAR(9)," "),CHAR(92),_xlfn.CONCAT(CHAR(92),CHAR(92))),"$",_xlfn.CONCAT(CHAR(92),"$")),CHAR(96),_xlfn.CONCAT(CHAR(92),CHAR(96))),CHAR(34),CHAR(39))))</f>
        <v/>
      </c>
      <c r="T194" s="5" t="str">
        <f>IF(OR(TRIM($B194)="",$J194=""),"",IF(OR(ISNUMBER(SEARCH(_xlfn.CONCAT(CHAR(96),CHAR(34)),$J194)),ISNUMBER(SEARCH(_xlfn.CONCAT(CHAR(34),CHAR(39)),$J194))),_xlfn.CONCAT("* REVIEW REQUIRED: compound-quote delimiter in Notes on Sheet 1 row ",194,"; edit the input before running."),_xlfn.CONCAT("char ",TRIM($B194),"[doc_notes] ",CHAR(96),CHAR(34),SUBSTITUTE(SUBSTITUTE(SUBSTITUTE(SUBSTITUTE(SUBSTITUTE(SUBSTITUTE($J194,CHAR(13)," "),CHAR(10)," "),CHAR(9)," "),CHAR(92),_xlfn.CONCAT(CHAR(92),CHAR(92))),"$",_xlfn.CONCAT(CHAR(92),"$")),CHAR(96),_xlfn.CONCAT(CHAR(92),CHAR(96))),CHAR(34),CHAR(39))))</f>
        <v/>
      </c>
      <c r="U194" s="5">
        <f t="shared" si="5"/>
        <v>0</v>
      </c>
    </row>
    <row r="195" spans="3:21" ht="30" customHeight="1" x14ac:dyDescent="0.2">
      <c r="C195" s="4"/>
      <c r="K195" s="5">
        <f t="shared" si="4"/>
        <v>0</v>
      </c>
      <c r="L195" s="5" t="str">
        <f>IF(OR(TRIM($B195)="",$A195=""),"",IF(OR(ISNUMBER(SEARCH(_xlfn.CONCAT(CHAR(96),CHAR(34)),$A195)),ISNUMBER(SEARCH(_xlfn.CONCAT(CHAR(34),CHAR(39)),$A195))),_xlfn.CONCAT("* REVIEW REQUIRED: compound-quote delimiter in Codebook Section on Sheet 1 row ",195,"; edit the input before running."),_xlfn.CONCAT("char ",TRIM($B195),"[doc_section] ",CHAR(96),CHAR(34),SUBSTITUTE(SUBSTITUTE(SUBSTITUTE(SUBSTITUTE(SUBSTITUTE(SUBSTITUTE($A195,CHAR(13)," "),CHAR(10)," "),CHAR(9)," "),CHAR(92),_xlfn.CONCAT(CHAR(92),CHAR(92))),"$",_xlfn.CONCAT(CHAR(92),"$")),CHAR(96),_xlfn.CONCAT(CHAR(92),CHAR(96))),CHAR(34),CHAR(39))))</f>
        <v/>
      </c>
      <c r="M195" s="5" t="str">
        <f>IF(OR(TRIM($B195)="",$C195=""),"",IF(IFERROR(MATCH(TRIM($C195),{"Quantitative","Continuous","Discrete","Categorical","Nominal","Ordinal","Identifier"},0),0)=0,_xlfn.CONCAT("* REVIEW REQUIRED: invalid Variable Type on Sheet 1 row ",195,"."),_xlfn.CONCAT("char ",TRIM($B195),"[doc_vartype] ",CHAR(96),CHAR(34),SUBSTITUTE(SUBSTITUTE(SUBSTITUTE(SUBSTITUTE(SUBSTITUTE(SUBSTITUTE(LOWER(TRIM($C195)),CHAR(13)," "),CHAR(10)," "),CHAR(9)," "),CHAR(92),_xlfn.CONCAT(CHAR(92),CHAR(92))),"$",_xlfn.CONCAT(CHAR(92),"$")),CHAR(96),_xlfn.CONCAT(CHAR(92),CHAR(96))),CHAR(34),CHAR(39))))</f>
        <v/>
      </c>
      <c r="N195" s="5" t="str">
        <f>IF(OR(TRIM($B195)="",$D195=""),"",IF(OR(ISNUMBER(SEARCH(_xlfn.CONCAT(CHAR(96),CHAR(34)),$D195)),ISNUMBER(SEARCH(_xlfn.CONCAT(CHAR(34),CHAR(39)),$D195))),_xlfn.CONCAT("* REVIEW REQUIRED: compound-quote delimiter in Item Number on Sheet 1 row ",195,"; edit the input before running."),_xlfn.CONCAT("char ",TRIM($B195),"[doc_itemnum] ",CHAR(96),CHAR(34),SUBSTITUTE(SUBSTITUTE(SUBSTITUTE(SUBSTITUTE(SUBSTITUTE(SUBSTITUTE($D195,CHAR(13)," "),CHAR(10)," "),CHAR(9)," "),CHAR(92),_xlfn.CONCAT(CHAR(92),CHAR(92))),"$",_xlfn.CONCAT(CHAR(92),"$")),CHAR(96),_xlfn.CONCAT(CHAR(92),CHAR(96))),CHAR(34),CHAR(39))))</f>
        <v/>
      </c>
      <c r="O195" s="5" t="str">
        <f>IF(OR(TRIM($B195)="",$E195=""),"",IF(OR(ISNUMBER(SEARCH(_xlfn.CONCAT(CHAR(96),CHAR(34)),$E195)),ISNUMBER(SEARCH(_xlfn.CONCAT(CHAR(34),CHAR(39)),$E195))),_xlfn.CONCAT("* REVIEW REQUIRED: compound-quote delimiter in Question Wording on Sheet 1 row ",195,"; edit the input before running."),_xlfn.CONCAT("char ",TRIM($B195),"[doc_question] ",CHAR(96),CHAR(34),SUBSTITUTE(SUBSTITUTE(SUBSTITUTE(SUBSTITUTE(SUBSTITUTE(SUBSTITUTE($E195,CHAR(13)," "),CHAR(10)," "),CHAR(9)," "),CHAR(92),_xlfn.CONCAT(CHAR(92),CHAR(92))),"$",_xlfn.CONCAT(CHAR(92),"$")),CHAR(96),_xlfn.CONCAT(CHAR(92),CHAR(96))),CHAR(34),CHAR(39))))</f>
        <v/>
      </c>
      <c r="P195" s="5" t="str">
        <f>IF(OR(TRIM($B195)="",$F195=""),"",IF(OR(ISNUMBER(SEARCH(_xlfn.CONCAT(CHAR(96),CHAR(34)),$F195)),ISNUMBER(SEARCH(_xlfn.CONCAT(CHAR(34),CHAR(39)),$F195))),_xlfn.CONCAT("* REVIEW REQUIRED: compound-quote delimiter in Units on Sheet 1 row ",195,"; edit the input before running."),_xlfn.CONCAT("char ",TRIM($B195),"[doc_units] ",CHAR(96),CHAR(34),SUBSTITUTE(SUBSTITUTE(SUBSTITUTE(SUBSTITUTE(SUBSTITUTE(SUBSTITUTE($F195,CHAR(13)," "),CHAR(10)," "),CHAR(9)," "),CHAR(92),_xlfn.CONCAT(CHAR(92),CHAR(92))),"$",_xlfn.CONCAT(CHAR(92),"$")),CHAR(96),_xlfn.CONCAT(CHAR(92),CHAR(96))),CHAR(34),CHAR(39))))</f>
        <v/>
      </c>
      <c r="Q195" s="5" t="str">
        <f>IF(OR(TRIM($B195)="",$G195=""),"",IF(OR(ISNUMBER(SEARCH(_xlfn.CONCAT(CHAR(96),CHAR(34)),$G195)),ISNUMBER(SEARCH(_xlfn.CONCAT(CHAR(34),CHAR(39)),$G195))),_xlfn.CONCAT("* REVIEW REQUIRED: compound-quote delimiter in Universe on Sheet 1 row ",195,"; edit the input before running."),_xlfn.CONCAT("char ",TRIM($B195),"[doc_universe] ",CHAR(96),CHAR(34),SUBSTITUTE(SUBSTITUTE(SUBSTITUTE(SUBSTITUTE(SUBSTITUTE(SUBSTITUTE($G195,CHAR(13)," "),CHAR(10)," "),CHAR(9)," "),CHAR(92),_xlfn.CONCAT(CHAR(92),CHAR(92))),"$",_xlfn.CONCAT(CHAR(92),"$")),CHAR(96),_xlfn.CONCAT(CHAR(92),CHAR(96))),CHAR(34),CHAR(39))))</f>
        <v/>
      </c>
      <c r="R195" s="5" t="str">
        <f>IF(OR(TRIM($B195)="",$H195=""),"",IF(OR(ISNUMBER(SEARCH(_xlfn.CONCAT(CHAR(96),CHAR(34)),$H195)),ISNUMBER(SEARCH(_xlfn.CONCAT(CHAR(34),CHAR(39)),$H195))),_xlfn.CONCAT("* REVIEW REQUIRED: compound-quote delimiter in Source on Sheet 1 row ",195,"; edit the input before running."),_xlfn.CONCAT("char ",TRIM($B195),"[doc_source] ",CHAR(96),CHAR(34),SUBSTITUTE(SUBSTITUTE(SUBSTITUTE(SUBSTITUTE(SUBSTITUTE(SUBSTITUTE($H195,CHAR(13)," "),CHAR(10)," "),CHAR(9)," "),CHAR(92),_xlfn.CONCAT(CHAR(92),CHAR(92))),"$",_xlfn.CONCAT(CHAR(92),"$")),CHAR(96),_xlfn.CONCAT(CHAR(92),CHAR(96))),CHAR(34),CHAR(39))))</f>
        <v/>
      </c>
      <c r="S195" s="5" t="str">
        <f>IF(OR(TRIM($B195)="",$I195=""),"",IF(OR(ISNUMBER(SEARCH(_xlfn.CONCAT(CHAR(96),CHAR(34)),$I195)),ISNUMBER(SEARCH(_xlfn.CONCAT(CHAR(34),CHAR(39)),$I195))),_xlfn.CONCAT("* REVIEW REQUIRED: compound-quote delimiter in Derivation on Sheet 1 row ",195,"; edit the input before running."),_xlfn.CONCAT("char ",TRIM($B195),"[doc_derivation] ",CHAR(96),CHAR(34),SUBSTITUTE(SUBSTITUTE(SUBSTITUTE(SUBSTITUTE(SUBSTITUTE(SUBSTITUTE($I195,CHAR(13)," "),CHAR(10)," "),CHAR(9)," "),CHAR(92),_xlfn.CONCAT(CHAR(92),CHAR(92))),"$",_xlfn.CONCAT(CHAR(92),"$")),CHAR(96),_xlfn.CONCAT(CHAR(92),CHAR(96))),CHAR(34),CHAR(39))))</f>
        <v/>
      </c>
      <c r="T195" s="5" t="str">
        <f>IF(OR(TRIM($B195)="",$J195=""),"",IF(OR(ISNUMBER(SEARCH(_xlfn.CONCAT(CHAR(96),CHAR(34)),$J195)),ISNUMBER(SEARCH(_xlfn.CONCAT(CHAR(34),CHAR(39)),$J195))),_xlfn.CONCAT("* REVIEW REQUIRED: compound-quote delimiter in Notes on Sheet 1 row ",195,"; edit the input before running."),_xlfn.CONCAT("char ",TRIM($B195),"[doc_notes] ",CHAR(96),CHAR(34),SUBSTITUTE(SUBSTITUTE(SUBSTITUTE(SUBSTITUTE(SUBSTITUTE(SUBSTITUTE($J195,CHAR(13)," "),CHAR(10)," "),CHAR(9)," "),CHAR(92),_xlfn.CONCAT(CHAR(92),CHAR(92))),"$",_xlfn.CONCAT(CHAR(92),"$")),CHAR(96),_xlfn.CONCAT(CHAR(92),CHAR(96))),CHAR(34),CHAR(39))))</f>
        <v/>
      </c>
      <c r="U195" s="5">
        <f t="shared" si="5"/>
        <v>0</v>
      </c>
    </row>
    <row r="196" spans="3:21" ht="30" customHeight="1" x14ac:dyDescent="0.2">
      <c r="C196" s="4"/>
      <c r="K196" s="5">
        <f t="shared" si="4"/>
        <v>0</v>
      </c>
      <c r="L196" s="5" t="str">
        <f>IF(OR(TRIM($B196)="",$A196=""),"",IF(OR(ISNUMBER(SEARCH(_xlfn.CONCAT(CHAR(96),CHAR(34)),$A196)),ISNUMBER(SEARCH(_xlfn.CONCAT(CHAR(34),CHAR(39)),$A196))),_xlfn.CONCAT("* REVIEW REQUIRED: compound-quote delimiter in Codebook Section on Sheet 1 row ",196,"; edit the input before running."),_xlfn.CONCAT("char ",TRIM($B196),"[doc_section] ",CHAR(96),CHAR(34),SUBSTITUTE(SUBSTITUTE(SUBSTITUTE(SUBSTITUTE(SUBSTITUTE(SUBSTITUTE($A196,CHAR(13)," "),CHAR(10)," "),CHAR(9)," "),CHAR(92),_xlfn.CONCAT(CHAR(92),CHAR(92))),"$",_xlfn.CONCAT(CHAR(92),"$")),CHAR(96),_xlfn.CONCAT(CHAR(92),CHAR(96))),CHAR(34),CHAR(39))))</f>
        <v/>
      </c>
      <c r="M196" s="5" t="str">
        <f>IF(OR(TRIM($B196)="",$C196=""),"",IF(IFERROR(MATCH(TRIM($C196),{"Quantitative","Continuous","Discrete","Categorical","Nominal","Ordinal","Identifier"},0),0)=0,_xlfn.CONCAT("* REVIEW REQUIRED: invalid Variable Type on Sheet 1 row ",196,"."),_xlfn.CONCAT("char ",TRIM($B196),"[doc_vartype] ",CHAR(96),CHAR(34),SUBSTITUTE(SUBSTITUTE(SUBSTITUTE(SUBSTITUTE(SUBSTITUTE(SUBSTITUTE(LOWER(TRIM($C196)),CHAR(13)," "),CHAR(10)," "),CHAR(9)," "),CHAR(92),_xlfn.CONCAT(CHAR(92),CHAR(92))),"$",_xlfn.CONCAT(CHAR(92),"$")),CHAR(96),_xlfn.CONCAT(CHAR(92),CHAR(96))),CHAR(34),CHAR(39))))</f>
        <v/>
      </c>
      <c r="N196" s="5" t="str">
        <f>IF(OR(TRIM($B196)="",$D196=""),"",IF(OR(ISNUMBER(SEARCH(_xlfn.CONCAT(CHAR(96),CHAR(34)),$D196)),ISNUMBER(SEARCH(_xlfn.CONCAT(CHAR(34),CHAR(39)),$D196))),_xlfn.CONCAT("* REVIEW REQUIRED: compound-quote delimiter in Item Number on Sheet 1 row ",196,"; edit the input before running."),_xlfn.CONCAT("char ",TRIM($B196),"[doc_itemnum] ",CHAR(96),CHAR(34),SUBSTITUTE(SUBSTITUTE(SUBSTITUTE(SUBSTITUTE(SUBSTITUTE(SUBSTITUTE($D196,CHAR(13)," "),CHAR(10)," "),CHAR(9)," "),CHAR(92),_xlfn.CONCAT(CHAR(92),CHAR(92))),"$",_xlfn.CONCAT(CHAR(92),"$")),CHAR(96),_xlfn.CONCAT(CHAR(92),CHAR(96))),CHAR(34),CHAR(39))))</f>
        <v/>
      </c>
      <c r="O196" s="5" t="str">
        <f>IF(OR(TRIM($B196)="",$E196=""),"",IF(OR(ISNUMBER(SEARCH(_xlfn.CONCAT(CHAR(96),CHAR(34)),$E196)),ISNUMBER(SEARCH(_xlfn.CONCAT(CHAR(34),CHAR(39)),$E196))),_xlfn.CONCAT("* REVIEW REQUIRED: compound-quote delimiter in Question Wording on Sheet 1 row ",196,"; edit the input before running."),_xlfn.CONCAT("char ",TRIM($B196),"[doc_question] ",CHAR(96),CHAR(34),SUBSTITUTE(SUBSTITUTE(SUBSTITUTE(SUBSTITUTE(SUBSTITUTE(SUBSTITUTE($E196,CHAR(13)," "),CHAR(10)," "),CHAR(9)," "),CHAR(92),_xlfn.CONCAT(CHAR(92),CHAR(92))),"$",_xlfn.CONCAT(CHAR(92),"$")),CHAR(96),_xlfn.CONCAT(CHAR(92),CHAR(96))),CHAR(34),CHAR(39))))</f>
        <v/>
      </c>
      <c r="P196" s="5" t="str">
        <f>IF(OR(TRIM($B196)="",$F196=""),"",IF(OR(ISNUMBER(SEARCH(_xlfn.CONCAT(CHAR(96),CHAR(34)),$F196)),ISNUMBER(SEARCH(_xlfn.CONCAT(CHAR(34),CHAR(39)),$F196))),_xlfn.CONCAT("* REVIEW REQUIRED: compound-quote delimiter in Units on Sheet 1 row ",196,"; edit the input before running."),_xlfn.CONCAT("char ",TRIM($B196),"[doc_units] ",CHAR(96),CHAR(34),SUBSTITUTE(SUBSTITUTE(SUBSTITUTE(SUBSTITUTE(SUBSTITUTE(SUBSTITUTE($F196,CHAR(13)," "),CHAR(10)," "),CHAR(9)," "),CHAR(92),_xlfn.CONCAT(CHAR(92),CHAR(92))),"$",_xlfn.CONCAT(CHAR(92),"$")),CHAR(96),_xlfn.CONCAT(CHAR(92),CHAR(96))),CHAR(34),CHAR(39))))</f>
        <v/>
      </c>
      <c r="Q196" s="5" t="str">
        <f>IF(OR(TRIM($B196)="",$G196=""),"",IF(OR(ISNUMBER(SEARCH(_xlfn.CONCAT(CHAR(96),CHAR(34)),$G196)),ISNUMBER(SEARCH(_xlfn.CONCAT(CHAR(34),CHAR(39)),$G196))),_xlfn.CONCAT("* REVIEW REQUIRED: compound-quote delimiter in Universe on Sheet 1 row ",196,"; edit the input before running."),_xlfn.CONCAT("char ",TRIM($B196),"[doc_universe] ",CHAR(96),CHAR(34),SUBSTITUTE(SUBSTITUTE(SUBSTITUTE(SUBSTITUTE(SUBSTITUTE(SUBSTITUTE($G196,CHAR(13)," "),CHAR(10)," "),CHAR(9)," "),CHAR(92),_xlfn.CONCAT(CHAR(92),CHAR(92))),"$",_xlfn.CONCAT(CHAR(92),"$")),CHAR(96),_xlfn.CONCAT(CHAR(92),CHAR(96))),CHAR(34),CHAR(39))))</f>
        <v/>
      </c>
      <c r="R196" s="5" t="str">
        <f>IF(OR(TRIM($B196)="",$H196=""),"",IF(OR(ISNUMBER(SEARCH(_xlfn.CONCAT(CHAR(96),CHAR(34)),$H196)),ISNUMBER(SEARCH(_xlfn.CONCAT(CHAR(34),CHAR(39)),$H196))),_xlfn.CONCAT("* REVIEW REQUIRED: compound-quote delimiter in Source on Sheet 1 row ",196,"; edit the input before running."),_xlfn.CONCAT("char ",TRIM($B196),"[doc_source] ",CHAR(96),CHAR(34),SUBSTITUTE(SUBSTITUTE(SUBSTITUTE(SUBSTITUTE(SUBSTITUTE(SUBSTITUTE($H196,CHAR(13)," "),CHAR(10)," "),CHAR(9)," "),CHAR(92),_xlfn.CONCAT(CHAR(92),CHAR(92))),"$",_xlfn.CONCAT(CHAR(92),"$")),CHAR(96),_xlfn.CONCAT(CHAR(92),CHAR(96))),CHAR(34),CHAR(39))))</f>
        <v/>
      </c>
      <c r="S196" s="5" t="str">
        <f>IF(OR(TRIM($B196)="",$I196=""),"",IF(OR(ISNUMBER(SEARCH(_xlfn.CONCAT(CHAR(96),CHAR(34)),$I196)),ISNUMBER(SEARCH(_xlfn.CONCAT(CHAR(34),CHAR(39)),$I196))),_xlfn.CONCAT("* REVIEW REQUIRED: compound-quote delimiter in Derivation on Sheet 1 row ",196,"; edit the input before running."),_xlfn.CONCAT("char ",TRIM($B196),"[doc_derivation] ",CHAR(96),CHAR(34),SUBSTITUTE(SUBSTITUTE(SUBSTITUTE(SUBSTITUTE(SUBSTITUTE(SUBSTITUTE($I196,CHAR(13)," "),CHAR(10)," "),CHAR(9)," "),CHAR(92),_xlfn.CONCAT(CHAR(92),CHAR(92))),"$",_xlfn.CONCAT(CHAR(92),"$")),CHAR(96),_xlfn.CONCAT(CHAR(92),CHAR(96))),CHAR(34),CHAR(39))))</f>
        <v/>
      </c>
      <c r="T196" s="5" t="str">
        <f>IF(OR(TRIM($B196)="",$J196=""),"",IF(OR(ISNUMBER(SEARCH(_xlfn.CONCAT(CHAR(96),CHAR(34)),$J196)),ISNUMBER(SEARCH(_xlfn.CONCAT(CHAR(34),CHAR(39)),$J196))),_xlfn.CONCAT("* REVIEW REQUIRED: compound-quote delimiter in Notes on Sheet 1 row ",196,"; edit the input before running."),_xlfn.CONCAT("char ",TRIM($B196),"[doc_notes] ",CHAR(96),CHAR(34),SUBSTITUTE(SUBSTITUTE(SUBSTITUTE(SUBSTITUTE(SUBSTITUTE(SUBSTITUTE($J196,CHAR(13)," "),CHAR(10)," "),CHAR(9)," "),CHAR(92),_xlfn.CONCAT(CHAR(92),CHAR(92))),"$",_xlfn.CONCAT(CHAR(92),"$")),CHAR(96),_xlfn.CONCAT(CHAR(92),CHAR(96))),CHAR(34),CHAR(39))))</f>
        <v/>
      </c>
      <c r="U196" s="5">
        <f t="shared" si="5"/>
        <v>0</v>
      </c>
    </row>
    <row r="197" spans="3:21" ht="30" customHeight="1" x14ac:dyDescent="0.2">
      <c r="C197" s="4"/>
      <c r="K197" s="5">
        <f t="shared" si="4"/>
        <v>0</v>
      </c>
      <c r="L197" s="5" t="str">
        <f>IF(OR(TRIM($B197)="",$A197=""),"",IF(OR(ISNUMBER(SEARCH(_xlfn.CONCAT(CHAR(96),CHAR(34)),$A197)),ISNUMBER(SEARCH(_xlfn.CONCAT(CHAR(34),CHAR(39)),$A197))),_xlfn.CONCAT("* REVIEW REQUIRED: compound-quote delimiter in Codebook Section on Sheet 1 row ",197,"; edit the input before running."),_xlfn.CONCAT("char ",TRIM($B197),"[doc_section] ",CHAR(96),CHAR(34),SUBSTITUTE(SUBSTITUTE(SUBSTITUTE(SUBSTITUTE(SUBSTITUTE(SUBSTITUTE($A197,CHAR(13)," "),CHAR(10)," "),CHAR(9)," "),CHAR(92),_xlfn.CONCAT(CHAR(92),CHAR(92))),"$",_xlfn.CONCAT(CHAR(92),"$")),CHAR(96),_xlfn.CONCAT(CHAR(92),CHAR(96))),CHAR(34),CHAR(39))))</f>
        <v/>
      </c>
      <c r="M197" s="5" t="str">
        <f>IF(OR(TRIM($B197)="",$C197=""),"",IF(IFERROR(MATCH(TRIM($C197),{"Quantitative","Continuous","Discrete","Categorical","Nominal","Ordinal","Identifier"},0),0)=0,_xlfn.CONCAT("* REVIEW REQUIRED: invalid Variable Type on Sheet 1 row ",197,"."),_xlfn.CONCAT("char ",TRIM($B197),"[doc_vartype] ",CHAR(96),CHAR(34),SUBSTITUTE(SUBSTITUTE(SUBSTITUTE(SUBSTITUTE(SUBSTITUTE(SUBSTITUTE(LOWER(TRIM($C197)),CHAR(13)," "),CHAR(10)," "),CHAR(9)," "),CHAR(92),_xlfn.CONCAT(CHAR(92),CHAR(92))),"$",_xlfn.CONCAT(CHAR(92),"$")),CHAR(96),_xlfn.CONCAT(CHAR(92),CHAR(96))),CHAR(34),CHAR(39))))</f>
        <v/>
      </c>
      <c r="N197" s="5" t="str">
        <f>IF(OR(TRIM($B197)="",$D197=""),"",IF(OR(ISNUMBER(SEARCH(_xlfn.CONCAT(CHAR(96),CHAR(34)),$D197)),ISNUMBER(SEARCH(_xlfn.CONCAT(CHAR(34),CHAR(39)),$D197))),_xlfn.CONCAT("* REVIEW REQUIRED: compound-quote delimiter in Item Number on Sheet 1 row ",197,"; edit the input before running."),_xlfn.CONCAT("char ",TRIM($B197),"[doc_itemnum] ",CHAR(96),CHAR(34),SUBSTITUTE(SUBSTITUTE(SUBSTITUTE(SUBSTITUTE(SUBSTITUTE(SUBSTITUTE($D197,CHAR(13)," "),CHAR(10)," "),CHAR(9)," "),CHAR(92),_xlfn.CONCAT(CHAR(92),CHAR(92))),"$",_xlfn.CONCAT(CHAR(92),"$")),CHAR(96),_xlfn.CONCAT(CHAR(92),CHAR(96))),CHAR(34),CHAR(39))))</f>
        <v/>
      </c>
      <c r="O197" s="5" t="str">
        <f>IF(OR(TRIM($B197)="",$E197=""),"",IF(OR(ISNUMBER(SEARCH(_xlfn.CONCAT(CHAR(96),CHAR(34)),$E197)),ISNUMBER(SEARCH(_xlfn.CONCAT(CHAR(34),CHAR(39)),$E197))),_xlfn.CONCAT("* REVIEW REQUIRED: compound-quote delimiter in Question Wording on Sheet 1 row ",197,"; edit the input before running."),_xlfn.CONCAT("char ",TRIM($B197),"[doc_question] ",CHAR(96),CHAR(34),SUBSTITUTE(SUBSTITUTE(SUBSTITUTE(SUBSTITUTE(SUBSTITUTE(SUBSTITUTE($E197,CHAR(13)," "),CHAR(10)," "),CHAR(9)," "),CHAR(92),_xlfn.CONCAT(CHAR(92),CHAR(92))),"$",_xlfn.CONCAT(CHAR(92),"$")),CHAR(96),_xlfn.CONCAT(CHAR(92),CHAR(96))),CHAR(34),CHAR(39))))</f>
        <v/>
      </c>
      <c r="P197" s="5" t="str">
        <f>IF(OR(TRIM($B197)="",$F197=""),"",IF(OR(ISNUMBER(SEARCH(_xlfn.CONCAT(CHAR(96),CHAR(34)),$F197)),ISNUMBER(SEARCH(_xlfn.CONCAT(CHAR(34),CHAR(39)),$F197))),_xlfn.CONCAT("* REVIEW REQUIRED: compound-quote delimiter in Units on Sheet 1 row ",197,"; edit the input before running."),_xlfn.CONCAT("char ",TRIM($B197),"[doc_units] ",CHAR(96),CHAR(34),SUBSTITUTE(SUBSTITUTE(SUBSTITUTE(SUBSTITUTE(SUBSTITUTE(SUBSTITUTE($F197,CHAR(13)," "),CHAR(10)," "),CHAR(9)," "),CHAR(92),_xlfn.CONCAT(CHAR(92),CHAR(92))),"$",_xlfn.CONCAT(CHAR(92),"$")),CHAR(96),_xlfn.CONCAT(CHAR(92),CHAR(96))),CHAR(34),CHAR(39))))</f>
        <v/>
      </c>
      <c r="Q197" s="5" t="str">
        <f>IF(OR(TRIM($B197)="",$G197=""),"",IF(OR(ISNUMBER(SEARCH(_xlfn.CONCAT(CHAR(96),CHAR(34)),$G197)),ISNUMBER(SEARCH(_xlfn.CONCAT(CHAR(34),CHAR(39)),$G197))),_xlfn.CONCAT("* REVIEW REQUIRED: compound-quote delimiter in Universe on Sheet 1 row ",197,"; edit the input before running."),_xlfn.CONCAT("char ",TRIM($B197),"[doc_universe] ",CHAR(96),CHAR(34),SUBSTITUTE(SUBSTITUTE(SUBSTITUTE(SUBSTITUTE(SUBSTITUTE(SUBSTITUTE($G197,CHAR(13)," "),CHAR(10)," "),CHAR(9)," "),CHAR(92),_xlfn.CONCAT(CHAR(92),CHAR(92))),"$",_xlfn.CONCAT(CHAR(92),"$")),CHAR(96),_xlfn.CONCAT(CHAR(92),CHAR(96))),CHAR(34),CHAR(39))))</f>
        <v/>
      </c>
      <c r="R197" s="5" t="str">
        <f>IF(OR(TRIM($B197)="",$H197=""),"",IF(OR(ISNUMBER(SEARCH(_xlfn.CONCAT(CHAR(96),CHAR(34)),$H197)),ISNUMBER(SEARCH(_xlfn.CONCAT(CHAR(34),CHAR(39)),$H197))),_xlfn.CONCAT("* REVIEW REQUIRED: compound-quote delimiter in Source on Sheet 1 row ",197,"; edit the input before running."),_xlfn.CONCAT("char ",TRIM($B197),"[doc_source] ",CHAR(96),CHAR(34),SUBSTITUTE(SUBSTITUTE(SUBSTITUTE(SUBSTITUTE(SUBSTITUTE(SUBSTITUTE($H197,CHAR(13)," "),CHAR(10)," "),CHAR(9)," "),CHAR(92),_xlfn.CONCAT(CHAR(92),CHAR(92))),"$",_xlfn.CONCAT(CHAR(92),"$")),CHAR(96),_xlfn.CONCAT(CHAR(92),CHAR(96))),CHAR(34),CHAR(39))))</f>
        <v/>
      </c>
      <c r="S197" s="5" t="str">
        <f>IF(OR(TRIM($B197)="",$I197=""),"",IF(OR(ISNUMBER(SEARCH(_xlfn.CONCAT(CHAR(96),CHAR(34)),$I197)),ISNUMBER(SEARCH(_xlfn.CONCAT(CHAR(34),CHAR(39)),$I197))),_xlfn.CONCAT("* REVIEW REQUIRED: compound-quote delimiter in Derivation on Sheet 1 row ",197,"; edit the input before running."),_xlfn.CONCAT("char ",TRIM($B197),"[doc_derivation] ",CHAR(96),CHAR(34),SUBSTITUTE(SUBSTITUTE(SUBSTITUTE(SUBSTITUTE(SUBSTITUTE(SUBSTITUTE($I197,CHAR(13)," "),CHAR(10)," "),CHAR(9)," "),CHAR(92),_xlfn.CONCAT(CHAR(92),CHAR(92))),"$",_xlfn.CONCAT(CHAR(92),"$")),CHAR(96),_xlfn.CONCAT(CHAR(92),CHAR(96))),CHAR(34),CHAR(39))))</f>
        <v/>
      </c>
      <c r="T197" s="5" t="str">
        <f>IF(OR(TRIM($B197)="",$J197=""),"",IF(OR(ISNUMBER(SEARCH(_xlfn.CONCAT(CHAR(96),CHAR(34)),$J197)),ISNUMBER(SEARCH(_xlfn.CONCAT(CHAR(34),CHAR(39)),$J197))),_xlfn.CONCAT("* REVIEW REQUIRED: compound-quote delimiter in Notes on Sheet 1 row ",197,"; edit the input before running."),_xlfn.CONCAT("char ",TRIM($B197),"[doc_notes] ",CHAR(96),CHAR(34),SUBSTITUTE(SUBSTITUTE(SUBSTITUTE(SUBSTITUTE(SUBSTITUTE(SUBSTITUTE($J197,CHAR(13)," "),CHAR(10)," "),CHAR(9)," "),CHAR(92),_xlfn.CONCAT(CHAR(92),CHAR(92))),"$",_xlfn.CONCAT(CHAR(92),"$")),CHAR(96),_xlfn.CONCAT(CHAR(92),CHAR(96))),CHAR(34),CHAR(39))))</f>
        <v/>
      </c>
      <c r="U197" s="5">
        <f t="shared" si="5"/>
        <v>0</v>
      </c>
    </row>
    <row r="198" spans="3:21" ht="30" customHeight="1" x14ac:dyDescent="0.2">
      <c r="C198" s="4"/>
      <c r="K198" s="5">
        <f t="shared" si="4"/>
        <v>0</v>
      </c>
      <c r="L198" s="5" t="str">
        <f>IF(OR(TRIM($B198)="",$A198=""),"",IF(OR(ISNUMBER(SEARCH(_xlfn.CONCAT(CHAR(96),CHAR(34)),$A198)),ISNUMBER(SEARCH(_xlfn.CONCAT(CHAR(34),CHAR(39)),$A198))),_xlfn.CONCAT("* REVIEW REQUIRED: compound-quote delimiter in Codebook Section on Sheet 1 row ",198,"; edit the input before running."),_xlfn.CONCAT("char ",TRIM($B198),"[doc_section] ",CHAR(96),CHAR(34),SUBSTITUTE(SUBSTITUTE(SUBSTITUTE(SUBSTITUTE(SUBSTITUTE(SUBSTITUTE($A198,CHAR(13)," "),CHAR(10)," "),CHAR(9)," "),CHAR(92),_xlfn.CONCAT(CHAR(92),CHAR(92))),"$",_xlfn.CONCAT(CHAR(92),"$")),CHAR(96),_xlfn.CONCAT(CHAR(92),CHAR(96))),CHAR(34),CHAR(39))))</f>
        <v/>
      </c>
      <c r="M198" s="5" t="str">
        <f>IF(OR(TRIM($B198)="",$C198=""),"",IF(IFERROR(MATCH(TRIM($C198),{"Quantitative","Continuous","Discrete","Categorical","Nominal","Ordinal","Identifier"},0),0)=0,_xlfn.CONCAT("* REVIEW REQUIRED: invalid Variable Type on Sheet 1 row ",198,"."),_xlfn.CONCAT("char ",TRIM($B198),"[doc_vartype] ",CHAR(96),CHAR(34),SUBSTITUTE(SUBSTITUTE(SUBSTITUTE(SUBSTITUTE(SUBSTITUTE(SUBSTITUTE(LOWER(TRIM($C198)),CHAR(13)," "),CHAR(10)," "),CHAR(9)," "),CHAR(92),_xlfn.CONCAT(CHAR(92),CHAR(92))),"$",_xlfn.CONCAT(CHAR(92),"$")),CHAR(96),_xlfn.CONCAT(CHAR(92),CHAR(96))),CHAR(34),CHAR(39))))</f>
        <v/>
      </c>
      <c r="N198" s="5" t="str">
        <f>IF(OR(TRIM($B198)="",$D198=""),"",IF(OR(ISNUMBER(SEARCH(_xlfn.CONCAT(CHAR(96),CHAR(34)),$D198)),ISNUMBER(SEARCH(_xlfn.CONCAT(CHAR(34),CHAR(39)),$D198))),_xlfn.CONCAT("* REVIEW REQUIRED: compound-quote delimiter in Item Number on Sheet 1 row ",198,"; edit the input before running."),_xlfn.CONCAT("char ",TRIM($B198),"[doc_itemnum] ",CHAR(96),CHAR(34),SUBSTITUTE(SUBSTITUTE(SUBSTITUTE(SUBSTITUTE(SUBSTITUTE(SUBSTITUTE($D198,CHAR(13)," "),CHAR(10)," "),CHAR(9)," "),CHAR(92),_xlfn.CONCAT(CHAR(92),CHAR(92))),"$",_xlfn.CONCAT(CHAR(92),"$")),CHAR(96),_xlfn.CONCAT(CHAR(92),CHAR(96))),CHAR(34),CHAR(39))))</f>
        <v/>
      </c>
      <c r="O198" s="5" t="str">
        <f>IF(OR(TRIM($B198)="",$E198=""),"",IF(OR(ISNUMBER(SEARCH(_xlfn.CONCAT(CHAR(96),CHAR(34)),$E198)),ISNUMBER(SEARCH(_xlfn.CONCAT(CHAR(34),CHAR(39)),$E198))),_xlfn.CONCAT("* REVIEW REQUIRED: compound-quote delimiter in Question Wording on Sheet 1 row ",198,"; edit the input before running."),_xlfn.CONCAT("char ",TRIM($B198),"[doc_question] ",CHAR(96),CHAR(34),SUBSTITUTE(SUBSTITUTE(SUBSTITUTE(SUBSTITUTE(SUBSTITUTE(SUBSTITUTE($E198,CHAR(13)," "),CHAR(10)," "),CHAR(9)," "),CHAR(92),_xlfn.CONCAT(CHAR(92),CHAR(92))),"$",_xlfn.CONCAT(CHAR(92),"$")),CHAR(96),_xlfn.CONCAT(CHAR(92),CHAR(96))),CHAR(34),CHAR(39))))</f>
        <v/>
      </c>
      <c r="P198" s="5" t="str">
        <f>IF(OR(TRIM($B198)="",$F198=""),"",IF(OR(ISNUMBER(SEARCH(_xlfn.CONCAT(CHAR(96),CHAR(34)),$F198)),ISNUMBER(SEARCH(_xlfn.CONCAT(CHAR(34),CHAR(39)),$F198))),_xlfn.CONCAT("* REVIEW REQUIRED: compound-quote delimiter in Units on Sheet 1 row ",198,"; edit the input before running."),_xlfn.CONCAT("char ",TRIM($B198),"[doc_units] ",CHAR(96),CHAR(34),SUBSTITUTE(SUBSTITUTE(SUBSTITUTE(SUBSTITUTE(SUBSTITUTE(SUBSTITUTE($F198,CHAR(13)," "),CHAR(10)," "),CHAR(9)," "),CHAR(92),_xlfn.CONCAT(CHAR(92),CHAR(92))),"$",_xlfn.CONCAT(CHAR(92),"$")),CHAR(96),_xlfn.CONCAT(CHAR(92),CHAR(96))),CHAR(34),CHAR(39))))</f>
        <v/>
      </c>
      <c r="Q198" s="5" t="str">
        <f>IF(OR(TRIM($B198)="",$G198=""),"",IF(OR(ISNUMBER(SEARCH(_xlfn.CONCAT(CHAR(96),CHAR(34)),$G198)),ISNUMBER(SEARCH(_xlfn.CONCAT(CHAR(34),CHAR(39)),$G198))),_xlfn.CONCAT("* REVIEW REQUIRED: compound-quote delimiter in Universe on Sheet 1 row ",198,"; edit the input before running."),_xlfn.CONCAT("char ",TRIM($B198),"[doc_universe] ",CHAR(96),CHAR(34),SUBSTITUTE(SUBSTITUTE(SUBSTITUTE(SUBSTITUTE(SUBSTITUTE(SUBSTITUTE($G198,CHAR(13)," "),CHAR(10)," "),CHAR(9)," "),CHAR(92),_xlfn.CONCAT(CHAR(92),CHAR(92))),"$",_xlfn.CONCAT(CHAR(92),"$")),CHAR(96),_xlfn.CONCAT(CHAR(92),CHAR(96))),CHAR(34),CHAR(39))))</f>
        <v/>
      </c>
      <c r="R198" s="5" t="str">
        <f>IF(OR(TRIM($B198)="",$H198=""),"",IF(OR(ISNUMBER(SEARCH(_xlfn.CONCAT(CHAR(96),CHAR(34)),$H198)),ISNUMBER(SEARCH(_xlfn.CONCAT(CHAR(34),CHAR(39)),$H198))),_xlfn.CONCAT("* REVIEW REQUIRED: compound-quote delimiter in Source on Sheet 1 row ",198,"; edit the input before running."),_xlfn.CONCAT("char ",TRIM($B198),"[doc_source] ",CHAR(96),CHAR(34),SUBSTITUTE(SUBSTITUTE(SUBSTITUTE(SUBSTITUTE(SUBSTITUTE(SUBSTITUTE($H198,CHAR(13)," "),CHAR(10)," "),CHAR(9)," "),CHAR(92),_xlfn.CONCAT(CHAR(92),CHAR(92))),"$",_xlfn.CONCAT(CHAR(92),"$")),CHAR(96),_xlfn.CONCAT(CHAR(92),CHAR(96))),CHAR(34),CHAR(39))))</f>
        <v/>
      </c>
      <c r="S198" s="5" t="str">
        <f>IF(OR(TRIM($B198)="",$I198=""),"",IF(OR(ISNUMBER(SEARCH(_xlfn.CONCAT(CHAR(96),CHAR(34)),$I198)),ISNUMBER(SEARCH(_xlfn.CONCAT(CHAR(34),CHAR(39)),$I198))),_xlfn.CONCAT("* REVIEW REQUIRED: compound-quote delimiter in Derivation on Sheet 1 row ",198,"; edit the input before running."),_xlfn.CONCAT("char ",TRIM($B198),"[doc_derivation] ",CHAR(96),CHAR(34),SUBSTITUTE(SUBSTITUTE(SUBSTITUTE(SUBSTITUTE(SUBSTITUTE(SUBSTITUTE($I198,CHAR(13)," "),CHAR(10)," "),CHAR(9)," "),CHAR(92),_xlfn.CONCAT(CHAR(92),CHAR(92))),"$",_xlfn.CONCAT(CHAR(92),"$")),CHAR(96),_xlfn.CONCAT(CHAR(92),CHAR(96))),CHAR(34),CHAR(39))))</f>
        <v/>
      </c>
      <c r="T198" s="5" t="str">
        <f>IF(OR(TRIM($B198)="",$J198=""),"",IF(OR(ISNUMBER(SEARCH(_xlfn.CONCAT(CHAR(96),CHAR(34)),$J198)),ISNUMBER(SEARCH(_xlfn.CONCAT(CHAR(34),CHAR(39)),$J198))),_xlfn.CONCAT("* REVIEW REQUIRED: compound-quote delimiter in Notes on Sheet 1 row ",198,"; edit the input before running."),_xlfn.CONCAT("char ",TRIM($B198),"[doc_notes] ",CHAR(96),CHAR(34),SUBSTITUTE(SUBSTITUTE(SUBSTITUTE(SUBSTITUTE(SUBSTITUTE(SUBSTITUTE($J198,CHAR(13)," "),CHAR(10)," "),CHAR(9)," "),CHAR(92),_xlfn.CONCAT(CHAR(92),CHAR(92))),"$",_xlfn.CONCAT(CHAR(92),"$")),CHAR(96),_xlfn.CONCAT(CHAR(92),CHAR(96))),CHAR(34),CHAR(39))))</f>
        <v/>
      </c>
      <c r="U198" s="5">
        <f t="shared" si="5"/>
        <v>0</v>
      </c>
    </row>
    <row r="199" spans="3:21" ht="30" customHeight="1" x14ac:dyDescent="0.2">
      <c r="C199" s="4"/>
      <c r="K199" s="5">
        <f t="shared" si="4"/>
        <v>0</v>
      </c>
      <c r="L199" s="5" t="str">
        <f>IF(OR(TRIM($B199)="",$A199=""),"",IF(OR(ISNUMBER(SEARCH(_xlfn.CONCAT(CHAR(96),CHAR(34)),$A199)),ISNUMBER(SEARCH(_xlfn.CONCAT(CHAR(34),CHAR(39)),$A199))),_xlfn.CONCAT("* REVIEW REQUIRED: compound-quote delimiter in Codebook Section on Sheet 1 row ",199,"; edit the input before running."),_xlfn.CONCAT("char ",TRIM($B199),"[doc_section] ",CHAR(96),CHAR(34),SUBSTITUTE(SUBSTITUTE(SUBSTITUTE(SUBSTITUTE(SUBSTITUTE(SUBSTITUTE($A199,CHAR(13)," "),CHAR(10)," "),CHAR(9)," "),CHAR(92),_xlfn.CONCAT(CHAR(92),CHAR(92))),"$",_xlfn.CONCAT(CHAR(92),"$")),CHAR(96),_xlfn.CONCAT(CHAR(92),CHAR(96))),CHAR(34),CHAR(39))))</f>
        <v/>
      </c>
      <c r="M199" s="5" t="str">
        <f>IF(OR(TRIM($B199)="",$C199=""),"",IF(IFERROR(MATCH(TRIM($C199),{"Quantitative","Continuous","Discrete","Categorical","Nominal","Ordinal","Identifier"},0),0)=0,_xlfn.CONCAT("* REVIEW REQUIRED: invalid Variable Type on Sheet 1 row ",199,"."),_xlfn.CONCAT("char ",TRIM($B199),"[doc_vartype] ",CHAR(96),CHAR(34),SUBSTITUTE(SUBSTITUTE(SUBSTITUTE(SUBSTITUTE(SUBSTITUTE(SUBSTITUTE(LOWER(TRIM($C199)),CHAR(13)," "),CHAR(10)," "),CHAR(9)," "),CHAR(92),_xlfn.CONCAT(CHAR(92),CHAR(92))),"$",_xlfn.CONCAT(CHAR(92),"$")),CHAR(96),_xlfn.CONCAT(CHAR(92),CHAR(96))),CHAR(34),CHAR(39))))</f>
        <v/>
      </c>
      <c r="N199" s="5" t="str">
        <f>IF(OR(TRIM($B199)="",$D199=""),"",IF(OR(ISNUMBER(SEARCH(_xlfn.CONCAT(CHAR(96),CHAR(34)),$D199)),ISNUMBER(SEARCH(_xlfn.CONCAT(CHAR(34),CHAR(39)),$D199))),_xlfn.CONCAT("* REVIEW REQUIRED: compound-quote delimiter in Item Number on Sheet 1 row ",199,"; edit the input before running."),_xlfn.CONCAT("char ",TRIM($B199),"[doc_itemnum] ",CHAR(96),CHAR(34),SUBSTITUTE(SUBSTITUTE(SUBSTITUTE(SUBSTITUTE(SUBSTITUTE(SUBSTITUTE($D199,CHAR(13)," "),CHAR(10)," "),CHAR(9)," "),CHAR(92),_xlfn.CONCAT(CHAR(92),CHAR(92))),"$",_xlfn.CONCAT(CHAR(92),"$")),CHAR(96),_xlfn.CONCAT(CHAR(92),CHAR(96))),CHAR(34),CHAR(39))))</f>
        <v/>
      </c>
      <c r="O199" s="5" t="str">
        <f>IF(OR(TRIM($B199)="",$E199=""),"",IF(OR(ISNUMBER(SEARCH(_xlfn.CONCAT(CHAR(96),CHAR(34)),$E199)),ISNUMBER(SEARCH(_xlfn.CONCAT(CHAR(34),CHAR(39)),$E199))),_xlfn.CONCAT("* REVIEW REQUIRED: compound-quote delimiter in Question Wording on Sheet 1 row ",199,"; edit the input before running."),_xlfn.CONCAT("char ",TRIM($B199),"[doc_question] ",CHAR(96),CHAR(34),SUBSTITUTE(SUBSTITUTE(SUBSTITUTE(SUBSTITUTE(SUBSTITUTE(SUBSTITUTE($E199,CHAR(13)," "),CHAR(10)," "),CHAR(9)," "),CHAR(92),_xlfn.CONCAT(CHAR(92),CHAR(92))),"$",_xlfn.CONCAT(CHAR(92),"$")),CHAR(96),_xlfn.CONCAT(CHAR(92),CHAR(96))),CHAR(34),CHAR(39))))</f>
        <v/>
      </c>
      <c r="P199" s="5" t="str">
        <f>IF(OR(TRIM($B199)="",$F199=""),"",IF(OR(ISNUMBER(SEARCH(_xlfn.CONCAT(CHAR(96),CHAR(34)),$F199)),ISNUMBER(SEARCH(_xlfn.CONCAT(CHAR(34),CHAR(39)),$F199))),_xlfn.CONCAT("* REVIEW REQUIRED: compound-quote delimiter in Units on Sheet 1 row ",199,"; edit the input before running."),_xlfn.CONCAT("char ",TRIM($B199),"[doc_units] ",CHAR(96),CHAR(34),SUBSTITUTE(SUBSTITUTE(SUBSTITUTE(SUBSTITUTE(SUBSTITUTE(SUBSTITUTE($F199,CHAR(13)," "),CHAR(10)," "),CHAR(9)," "),CHAR(92),_xlfn.CONCAT(CHAR(92),CHAR(92))),"$",_xlfn.CONCAT(CHAR(92),"$")),CHAR(96),_xlfn.CONCAT(CHAR(92),CHAR(96))),CHAR(34),CHAR(39))))</f>
        <v/>
      </c>
      <c r="Q199" s="5" t="str">
        <f>IF(OR(TRIM($B199)="",$G199=""),"",IF(OR(ISNUMBER(SEARCH(_xlfn.CONCAT(CHAR(96),CHAR(34)),$G199)),ISNUMBER(SEARCH(_xlfn.CONCAT(CHAR(34),CHAR(39)),$G199))),_xlfn.CONCAT("* REVIEW REQUIRED: compound-quote delimiter in Universe on Sheet 1 row ",199,"; edit the input before running."),_xlfn.CONCAT("char ",TRIM($B199),"[doc_universe] ",CHAR(96),CHAR(34),SUBSTITUTE(SUBSTITUTE(SUBSTITUTE(SUBSTITUTE(SUBSTITUTE(SUBSTITUTE($G199,CHAR(13)," "),CHAR(10)," "),CHAR(9)," "),CHAR(92),_xlfn.CONCAT(CHAR(92),CHAR(92))),"$",_xlfn.CONCAT(CHAR(92),"$")),CHAR(96),_xlfn.CONCAT(CHAR(92),CHAR(96))),CHAR(34),CHAR(39))))</f>
        <v/>
      </c>
      <c r="R199" s="5" t="str">
        <f>IF(OR(TRIM($B199)="",$H199=""),"",IF(OR(ISNUMBER(SEARCH(_xlfn.CONCAT(CHAR(96),CHAR(34)),$H199)),ISNUMBER(SEARCH(_xlfn.CONCAT(CHAR(34),CHAR(39)),$H199))),_xlfn.CONCAT("* REVIEW REQUIRED: compound-quote delimiter in Source on Sheet 1 row ",199,"; edit the input before running."),_xlfn.CONCAT("char ",TRIM($B199),"[doc_source] ",CHAR(96),CHAR(34),SUBSTITUTE(SUBSTITUTE(SUBSTITUTE(SUBSTITUTE(SUBSTITUTE(SUBSTITUTE($H199,CHAR(13)," "),CHAR(10)," "),CHAR(9)," "),CHAR(92),_xlfn.CONCAT(CHAR(92),CHAR(92))),"$",_xlfn.CONCAT(CHAR(92),"$")),CHAR(96),_xlfn.CONCAT(CHAR(92),CHAR(96))),CHAR(34),CHAR(39))))</f>
        <v/>
      </c>
      <c r="S199" s="5" t="str">
        <f>IF(OR(TRIM($B199)="",$I199=""),"",IF(OR(ISNUMBER(SEARCH(_xlfn.CONCAT(CHAR(96),CHAR(34)),$I199)),ISNUMBER(SEARCH(_xlfn.CONCAT(CHAR(34),CHAR(39)),$I199))),_xlfn.CONCAT("* REVIEW REQUIRED: compound-quote delimiter in Derivation on Sheet 1 row ",199,"; edit the input before running."),_xlfn.CONCAT("char ",TRIM($B199),"[doc_derivation] ",CHAR(96),CHAR(34),SUBSTITUTE(SUBSTITUTE(SUBSTITUTE(SUBSTITUTE(SUBSTITUTE(SUBSTITUTE($I199,CHAR(13)," "),CHAR(10)," "),CHAR(9)," "),CHAR(92),_xlfn.CONCAT(CHAR(92),CHAR(92))),"$",_xlfn.CONCAT(CHAR(92),"$")),CHAR(96),_xlfn.CONCAT(CHAR(92),CHAR(96))),CHAR(34),CHAR(39))))</f>
        <v/>
      </c>
      <c r="T199" s="5" t="str">
        <f>IF(OR(TRIM($B199)="",$J199=""),"",IF(OR(ISNUMBER(SEARCH(_xlfn.CONCAT(CHAR(96),CHAR(34)),$J199)),ISNUMBER(SEARCH(_xlfn.CONCAT(CHAR(34),CHAR(39)),$J199))),_xlfn.CONCAT("* REVIEW REQUIRED: compound-quote delimiter in Notes on Sheet 1 row ",199,"; edit the input before running."),_xlfn.CONCAT("char ",TRIM($B199),"[doc_notes] ",CHAR(96),CHAR(34),SUBSTITUTE(SUBSTITUTE(SUBSTITUTE(SUBSTITUTE(SUBSTITUTE(SUBSTITUTE($J199,CHAR(13)," "),CHAR(10)," "),CHAR(9)," "),CHAR(92),_xlfn.CONCAT(CHAR(92),CHAR(92))),"$",_xlfn.CONCAT(CHAR(92),"$")),CHAR(96),_xlfn.CONCAT(CHAR(92),CHAR(96))),CHAR(34),CHAR(39))))</f>
        <v/>
      </c>
      <c r="U199" s="5">
        <f t="shared" si="5"/>
        <v>0</v>
      </c>
    </row>
    <row r="200" spans="3:21" ht="30" customHeight="1" x14ac:dyDescent="0.2">
      <c r="C200" s="4"/>
      <c r="K200" s="5">
        <f t="shared" si="4"/>
        <v>0</v>
      </c>
      <c r="L200" s="5" t="str">
        <f>IF(OR(TRIM($B200)="",$A200=""),"",IF(OR(ISNUMBER(SEARCH(_xlfn.CONCAT(CHAR(96),CHAR(34)),$A200)),ISNUMBER(SEARCH(_xlfn.CONCAT(CHAR(34),CHAR(39)),$A200))),_xlfn.CONCAT("* REVIEW REQUIRED: compound-quote delimiter in Codebook Section on Sheet 1 row ",200,"; edit the input before running."),_xlfn.CONCAT("char ",TRIM($B200),"[doc_section] ",CHAR(96),CHAR(34),SUBSTITUTE(SUBSTITUTE(SUBSTITUTE(SUBSTITUTE(SUBSTITUTE(SUBSTITUTE($A200,CHAR(13)," "),CHAR(10)," "),CHAR(9)," "),CHAR(92),_xlfn.CONCAT(CHAR(92),CHAR(92))),"$",_xlfn.CONCAT(CHAR(92),"$")),CHAR(96),_xlfn.CONCAT(CHAR(92),CHAR(96))),CHAR(34),CHAR(39))))</f>
        <v/>
      </c>
      <c r="M200" s="5" t="str">
        <f>IF(OR(TRIM($B200)="",$C200=""),"",IF(IFERROR(MATCH(TRIM($C200),{"Quantitative","Continuous","Discrete","Categorical","Nominal","Ordinal","Identifier"},0),0)=0,_xlfn.CONCAT("* REVIEW REQUIRED: invalid Variable Type on Sheet 1 row ",200,"."),_xlfn.CONCAT("char ",TRIM($B200),"[doc_vartype] ",CHAR(96),CHAR(34),SUBSTITUTE(SUBSTITUTE(SUBSTITUTE(SUBSTITUTE(SUBSTITUTE(SUBSTITUTE(LOWER(TRIM($C200)),CHAR(13)," "),CHAR(10)," "),CHAR(9)," "),CHAR(92),_xlfn.CONCAT(CHAR(92),CHAR(92))),"$",_xlfn.CONCAT(CHAR(92),"$")),CHAR(96),_xlfn.CONCAT(CHAR(92),CHAR(96))),CHAR(34),CHAR(39))))</f>
        <v/>
      </c>
      <c r="N200" s="5" t="str">
        <f>IF(OR(TRIM($B200)="",$D200=""),"",IF(OR(ISNUMBER(SEARCH(_xlfn.CONCAT(CHAR(96),CHAR(34)),$D200)),ISNUMBER(SEARCH(_xlfn.CONCAT(CHAR(34),CHAR(39)),$D200))),_xlfn.CONCAT("* REVIEW REQUIRED: compound-quote delimiter in Item Number on Sheet 1 row ",200,"; edit the input before running."),_xlfn.CONCAT("char ",TRIM($B200),"[doc_itemnum] ",CHAR(96),CHAR(34),SUBSTITUTE(SUBSTITUTE(SUBSTITUTE(SUBSTITUTE(SUBSTITUTE(SUBSTITUTE($D200,CHAR(13)," "),CHAR(10)," "),CHAR(9)," "),CHAR(92),_xlfn.CONCAT(CHAR(92),CHAR(92))),"$",_xlfn.CONCAT(CHAR(92),"$")),CHAR(96),_xlfn.CONCAT(CHAR(92),CHAR(96))),CHAR(34),CHAR(39))))</f>
        <v/>
      </c>
      <c r="O200" s="5" t="str">
        <f>IF(OR(TRIM($B200)="",$E200=""),"",IF(OR(ISNUMBER(SEARCH(_xlfn.CONCAT(CHAR(96),CHAR(34)),$E200)),ISNUMBER(SEARCH(_xlfn.CONCAT(CHAR(34),CHAR(39)),$E200))),_xlfn.CONCAT("* REVIEW REQUIRED: compound-quote delimiter in Question Wording on Sheet 1 row ",200,"; edit the input before running."),_xlfn.CONCAT("char ",TRIM($B200),"[doc_question] ",CHAR(96),CHAR(34),SUBSTITUTE(SUBSTITUTE(SUBSTITUTE(SUBSTITUTE(SUBSTITUTE(SUBSTITUTE($E200,CHAR(13)," "),CHAR(10)," "),CHAR(9)," "),CHAR(92),_xlfn.CONCAT(CHAR(92),CHAR(92))),"$",_xlfn.CONCAT(CHAR(92),"$")),CHAR(96),_xlfn.CONCAT(CHAR(92),CHAR(96))),CHAR(34),CHAR(39))))</f>
        <v/>
      </c>
      <c r="P200" s="5" t="str">
        <f>IF(OR(TRIM($B200)="",$F200=""),"",IF(OR(ISNUMBER(SEARCH(_xlfn.CONCAT(CHAR(96),CHAR(34)),$F200)),ISNUMBER(SEARCH(_xlfn.CONCAT(CHAR(34),CHAR(39)),$F200))),_xlfn.CONCAT("* REVIEW REQUIRED: compound-quote delimiter in Units on Sheet 1 row ",200,"; edit the input before running."),_xlfn.CONCAT("char ",TRIM($B200),"[doc_units] ",CHAR(96),CHAR(34),SUBSTITUTE(SUBSTITUTE(SUBSTITUTE(SUBSTITUTE(SUBSTITUTE(SUBSTITUTE($F200,CHAR(13)," "),CHAR(10)," "),CHAR(9)," "),CHAR(92),_xlfn.CONCAT(CHAR(92),CHAR(92))),"$",_xlfn.CONCAT(CHAR(92),"$")),CHAR(96),_xlfn.CONCAT(CHAR(92),CHAR(96))),CHAR(34),CHAR(39))))</f>
        <v/>
      </c>
      <c r="Q200" s="5" t="str">
        <f>IF(OR(TRIM($B200)="",$G200=""),"",IF(OR(ISNUMBER(SEARCH(_xlfn.CONCAT(CHAR(96),CHAR(34)),$G200)),ISNUMBER(SEARCH(_xlfn.CONCAT(CHAR(34),CHAR(39)),$G200))),_xlfn.CONCAT("* REVIEW REQUIRED: compound-quote delimiter in Universe on Sheet 1 row ",200,"; edit the input before running."),_xlfn.CONCAT("char ",TRIM($B200),"[doc_universe] ",CHAR(96),CHAR(34),SUBSTITUTE(SUBSTITUTE(SUBSTITUTE(SUBSTITUTE(SUBSTITUTE(SUBSTITUTE($G200,CHAR(13)," "),CHAR(10)," "),CHAR(9)," "),CHAR(92),_xlfn.CONCAT(CHAR(92),CHAR(92))),"$",_xlfn.CONCAT(CHAR(92),"$")),CHAR(96),_xlfn.CONCAT(CHAR(92),CHAR(96))),CHAR(34),CHAR(39))))</f>
        <v/>
      </c>
      <c r="R200" s="5" t="str">
        <f>IF(OR(TRIM($B200)="",$H200=""),"",IF(OR(ISNUMBER(SEARCH(_xlfn.CONCAT(CHAR(96),CHAR(34)),$H200)),ISNUMBER(SEARCH(_xlfn.CONCAT(CHAR(34),CHAR(39)),$H200))),_xlfn.CONCAT("* REVIEW REQUIRED: compound-quote delimiter in Source on Sheet 1 row ",200,"; edit the input before running."),_xlfn.CONCAT("char ",TRIM($B200),"[doc_source] ",CHAR(96),CHAR(34),SUBSTITUTE(SUBSTITUTE(SUBSTITUTE(SUBSTITUTE(SUBSTITUTE(SUBSTITUTE($H200,CHAR(13)," "),CHAR(10)," "),CHAR(9)," "),CHAR(92),_xlfn.CONCAT(CHAR(92),CHAR(92))),"$",_xlfn.CONCAT(CHAR(92),"$")),CHAR(96),_xlfn.CONCAT(CHAR(92),CHAR(96))),CHAR(34),CHAR(39))))</f>
        <v/>
      </c>
      <c r="S200" s="5" t="str">
        <f>IF(OR(TRIM($B200)="",$I200=""),"",IF(OR(ISNUMBER(SEARCH(_xlfn.CONCAT(CHAR(96),CHAR(34)),$I200)),ISNUMBER(SEARCH(_xlfn.CONCAT(CHAR(34),CHAR(39)),$I200))),_xlfn.CONCAT("* REVIEW REQUIRED: compound-quote delimiter in Derivation on Sheet 1 row ",200,"; edit the input before running."),_xlfn.CONCAT("char ",TRIM($B200),"[doc_derivation] ",CHAR(96),CHAR(34),SUBSTITUTE(SUBSTITUTE(SUBSTITUTE(SUBSTITUTE(SUBSTITUTE(SUBSTITUTE($I200,CHAR(13)," "),CHAR(10)," "),CHAR(9)," "),CHAR(92),_xlfn.CONCAT(CHAR(92),CHAR(92))),"$",_xlfn.CONCAT(CHAR(92),"$")),CHAR(96),_xlfn.CONCAT(CHAR(92),CHAR(96))),CHAR(34),CHAR(39))))</f>
        <v/>
      </c>
      <c r="T200" s="5" t="str">
        <f>IF(OR(TRIM($B200)="",$J200=""),"",IF(OR(ISNUMBER(SEARCH(_xlfn.CONCAT(CHAR(96),CHAR(34)),$J200)),ISNUMBER(SEARCH(_xlfn.CONCAT(CHAR(34),CHAR(39)),$J200))),_xlfn.CONCAT("* REVIEW REQUIRED: compound-quote delimiter in Notes on Sheet 1 row ",200,"; edit the input before running."),_xlfn.CONCAT("char ",TRIM($B200),"[doc_notes] ",CHAR(96),CHAR(34),SUBSTITUTE(SUBSTITUTE(SUBSTITUTE(SUBSTITUTE(SUBSTITUTE(SUBSTITUTE($J200,CHAR(13)," "),CHAR(10)," "),CHAR(9)," "),CHAR(92),_xlfn.CONCAT(CHAR(92),CHAR(92))),"$",_xlfn.CONCAT(CHAR(92),"$")),CHAR(96),_xlfn.CONCAT(CHAR(92),CHAR(96))),CHAR(34),CHAR(39))))</f>
        <v/>
      </c>
      <c r="U200" s="5">
        <f t="shared" si="5"/>
        <v>0</v>
      </c>
    </row>
    <row r="201" spans="3:21" ht="30" customHeight="1" x14ac:dyDescent="0.2">
      <c r="C201" s="4"/>
      <c r="K201" s="5">
        <f t="shared" si="4"/>
        <v>0</v>
      </c>
      <c r="L201" s="5" t="str">
        <f>IF(OR(TRIM($B201)="",$A201=""),"",IF(OR(ISNUMBER(SEARCH(_xlfn.CONCAT(CHAR(96),CHAR(34)),$A201)),ISNUMBER(SEARCH(_xlfn.CONCAT(CHAR(34),CHAR(39)),$A201))),_xlfn.CONCAT("* REVIEW REQUIRED: compound-quote delimiter in Codebook Section on Sheet 1 row ",201,"; edit the input before running."),_xlfn.CONCAT("char ",TRIM($B201),"[doc_section] ",CHAR(96),CHAR(34),SUBSTITUTE(SUBSTITUTE(SUBSTITUTE(SUBSTITUTE(SUBSTITUTE(SUBSTITUTE($A201,CHAR(13)," "),CHAR(10)," "),CHAR(9)," "),CHAR(92),_xlfn.CONCAT(CHAR(92),CHAR(92))),"$",_xlfn.CONCAT(CHAR(92),"$")),CHAR(96),_xlfn.CONCAT(CHAR(92),CHAR(96))),CHAR(34),CHAR(39))))</f>
        <v/>
      </c>
      <c r="M201" s="5" t="str">
        <f>IF(OR(TRIM($B201)="",$C201=""),"",IF(IFERROR(MATCH(TRIM($C201),{"Quantitative","Continuous","Discrete","Categorical","Nominal","Ordinal","Identifier"},0),0)=0,_xlfn.CONCAT("* REVIEW REQUIRED: invalid Variable Type on Sheet 1 row ",201,"."),_xlfn.CONCAT("char ",TRIM($B201),"[doc_vartype] ",CHAR(96),CHAR(34),SUBSTITUTE(SUBSTITUTE(SUBSTITUTE(SUBSTITUTE(SUBSTITUTE(SUBSTITUTE(LOWER(TRIM($C201)),CHAR(13)," "),CHAR(10)," "),CHAR(9)," "),CHAR(92),_xlfn.CONCAT(CHAR(92),CHAR(92))),"$",_xlfn.CONCAT(CHAR(92),"$")),CHAR(96),_xlfn.CONCAT(CHAR(92),CHAR(96))),CHAR(34),CHAR(39))))</f>
        <v/>
      </c>
      <c r="N201" s="5" t="str">
        <f>IF(OR(TRIM($B201)="",$D201=""),"",IF(OR(ISNUMBER(SEARCH(_xlfn.CONCAT(CHAR(96),CHAR(34)),$D201)),ISNUMBER(SEARCH(_xlfn.CONCAT(CHAR(34),CHAR(39)),$D201))),_xlfn.CONCAT("* REVIEW REQUIRED: compound-quote delimiter in Item Number on Sheet 1 row ",201,"; edit the input before running."),_xlfn.CONCAT("char ",TRIM($B201),"[doc_itemnum] ",CHAR(96),CHAR(34),SUBSTITUTE(SUBSTITUTE(SUBSTITUTE(SUBSTITUTE(SUBSTITUTE(SUBSTITUTE($D201,CHAR(13)," "),CHAR(10)," "),CHAR(9)," "),CHAR(92),_xlfn.CONCAT(CHAR(92),CHAR(92))),"$",_xlfn.CONCAT(CHAR(92),"$")),CHAR(96),_xlfn.CONCAT(CHAR(92),CHAR(96))),CHAR(34),CHAR(39))))</f>
        <v/>
      </c>
      <c r="O201" s="5" t="str">
        <f>IF(OR(TRIM($B201)="",$E201=""),"",IF(OR(ISNUMBER(SEARCH(_xlfn.CONCAT(CHAR(96),CHAR(34)),$E201)),ISNUMBER(SEARCH(_xlfn.CONCAT(CHAR(34),CHAR(39)),$E201))),_xlfn.CONCAT("* REVIEW REQUIRED: compound-quote delimiter in Question Wording on Sheet 1 row ",201,"; edit the input before running."),_xlfn.CONCAT("char ",TRIM($B201),"[doc_question] ",CHAR(96),CHAR(34),SUBSTITUTE(SUBSTITUTE(SUBSTITUTE(SUBSTITUTE(SUBSTITUTE(SUBSTITUTE($E201,CHAR(13)," "),CHAR(10)," "),CHAR(9)," "),CHAR(92),_xlfn.CONCAT(CHAR(92),CHAR(92))),"$",_xlfn.CONCAT(CHAR(92),"$")),CHAR(96),_xlfn.CONCAT(CHAR(92),CHAR(96))),CHAR(34),CHAR(39))))</f>
        <v/>
      </c>
      <c r="P201" s="5" t="str">
        <f>IF(OR(TRIM($B201)="",$F201=""),"",IF(OR(ISNUMBER(SEARCH(_xlfn.CONCAT(CHAR(96),CHAR(34)),$F201)),ISNUMBER(SEARCH(_xlfn.CONCAT(CHAR(34),CHAR(39)),$F201))),_xlfn.CONCAT("* REVIEW REQUIRED: compound-quote delimiter in Units on Sheet 1 row ",201,"; edit the input before running."),_xlfn.CONCAT("char ",TRIM($B201),"[doc_units] ",CHAR(96),CHAR(34),SUBSTITUTE(SUBSTITUTE(SUBSTITUTE(SUBSTITUTE(SUBSTITUTE(SUBSTITUTE($F201,CHAR(13)," "),CHAR(10)," "),CHAR(9)," "),CHAR(92),_xlfn.CONCAT(CHAR(92),CHAR(92))),"$",_xlfn.CONCAT(CHAR(92),"$")),CHAR(96),_xlfn.CONCAT(CHAR(92),CHAR(96))),CHAR(34),CHAR(39))))</f>
        <v/>
      </c>
      <c r="Q201" s="5" t="str">
        <f>IF(OR(TRIM($B201)="",$G201=""),"",IF(OR(ISNUMBER(SEARCH(_xlfn.CONCAT(CHAR(96),CHAR(34)),$G201)),ISNUMBER(SEARCH(_xlfn.CONCAT(CHAR(34),CHAR(39)),$G201))),_xlfn.CONCAT("* REVIEW REQUIRED: compound-quote delimiter in Universe on Sheet 1 row ",201,"; edit the input before running."),_xlfn.CONCAT("char ",TRIM($B201),"[doc_universe] ",CHAR(96),CHAR(34),SUBSTITUTE(SUBSTITUTE(SUBSTITUTE(SUBSTITUTE(SUBSTITUTE(SUBSTITUTE($G201,CHAR(13)," "),CHAR(10)," "),CHAR(9)," "),CHAR(92),_xlfn.CONCAT(CHAR(92),CHAR(92))),"$",_xlfn.CONCAT(CHAR(92),"$")),CHAR(96),_xlfn.CONCAT(CHAR(92),CHAR(96))),CHAR(34),CHAR(39))))</f>
        <v/>
      </c>
      <c r="R201" s="5" t="str">
        <f>IF(OR(TRIM($B201)="",$H201=""),"",IF(OR(ISNUMBER(SEARCH(_xlfn.CONCAT(CHAR(96),CHAR(34)),$H201)),ISNUMBER(SEARCH(_xlfn.CONCAT(CHAR(34),CHAR(39)),$H201))),_xlfn.CONCAT("* REVIEW REQUIRED: compound-quote delimiter in Source on Sheet 1 row ",201,"; edit the input before running."),_xlfn.CONCAT("char ",TRIM($B201),"[doc_source] ",CHAR(96),CHAR(34),SUBSTITUTE(SUBSTITUTE(SUBSTITUTE(SUBSTITUTE(SUBSTITUTE(SUBSTITUTE($H201,CHAR(13)," "),CHAR(10)," "),CHAR(9)," "),CHAR(92),_xlfn.CONCAT(CHAR(92),CHAR(92))),"$",_xlfn.CONCAT(CHAR(92),"$")),CHAR(96),_xlfn.CONCAT(CHAR(92),CHAR(96))),CHAR(34),CHAR(39))))</f>
        <v/>
      </c>
      <c r="S201" s="5" t="str">
        <f>IF(OR(TRIM($B201)="",$I201=""),"",IF(OR(ISNUMBER(SEARCH(_xlfn.CONCAT(CHAR(96),CHAR(34)),$I201)),ISNUMBER(SEARCH(_xlfn.CONCAT(CHAR(34),CHAR(39)),$I201))),_xlfn.CONCAT("* REVIEW REQUIRED: compound-quote delimiter in Derivation on Sheet 1 row ",201,"; edit the input before running."),_xlfn.CONCAT("char ",TRIM($B201),"[doc_derivation] ",CHAR(96),CHAR(34),SUBSTITUTE(SUBSTITUTE(SUBSTITUTE(SUBSTITUTE(SUBSTITUTE(SUBSTITUTE($I201,CHAR(13)," "),CHAR(10)," "),CHAR(9)," "),CHAR(92),_xlfn.CONCAT(CHAR(92),CHAR(92))),"$",_xlfn.CONCAT(CHAR(92),"$")),CHAR(96),_xlfn.CONCAT(CHAR(92),CHAR(96))),CHAR(34),CHAR(39))))</f>
        <v/>
      </c>
      <c r="T201" s="5" t="str">
        <f>IF(OR(TRIM($B201)="",$J201=""),"",IF(OR(ISNUMBER(SEARCH(_xlfn.CONCAT(CHAR(96),CHAR(34)),$J201)),ISNUMBER(SEARCH(_xlfn.CONCAT(CHAR(34),CHAR(39)),$J201))),_xlfn.CONCAT("* REVIEW REQUIRED: compound-quote delimiter in Notes on Sheet 1 row ",201,"; edit the input before running."),_xlfn.CONCAT("char ",TRIM($B201),"[doc_notes] ",CHAR(96),CHAR(34),SUBSTITUTE(SUBSTITUTE(SUBSTITUTE(SUBSTITUTE(SUBSTITUTE(SUBSTITUTE($J201,CHAR(13)," "),CHAR(10)," "),CHAR(9)," "),CHAR(92),_xlfn.CONCAT(CHAR(92),CHAR(92))),"$",_xlfn.CONCAT(CHAR(92),"$")),CHAR(96),_xlfn.CONCAT(CHAR(92),CHAR(96))),CHAR(34),CHAR(39))))</f>
        <v/>
      </c>
      <c r="U201" s="5">
        <f t="shared" si="5"/>
        <v>0</v>
      </c>
    </row>
    <row r="202" spans="3:21" ht="30" customHeight="1" x14ac:dyDescent="0.2">
      <c r="C202" s="4"/>
      <c r="K202" s="5">
        <f t="shared" si="4"/>
        <v>0</v>
      </c>
      <c r="L202" s="5" t="str">
        <f>IF(OR(TRIM($B202)="",$A202=""),"",IF(OR(ISNUMBER(SEARCH(_xlfn.CONCAT(CHAR(96),CHAR(34)),$A202)),ISNUMBER(SEARCH(_xlfn.CONCAT(CHAR(34),CHAR(39)),$A202))),_xlfn.CONCAT("* REVIEW REQUIRED: compound-quote delimiter in Codebook Section on Sheet 1 row ",202,"; edit the input before running."),_xlfn.CONCAT("char ",TRIM($B202),"[doc_section] ",CHAR(96),CHAR(34),SUBSTITUTE(SUBSTITUTE(SUBSTITUTE(SUBSTITUTE(SUBSTITUTE(SUBSTITUTE($A202,CHAR(13)," "),CHAR(10)," "),CHAR(9)," "),CHAR(92),_xlfn.CONCAT(CHAR(92),CHAR(92))),"$",_xlfn.CONCAT(CHAR(92),"$")),CHAR(96),_xlfn.CONCAT(CHAR(92),CHAR(96))),CHAR(34),CHAR(39))))</f>
        <v/>
      </c>
      <c r="M202" s="5" t="str">
        <f>IF(OR(TRIM($B202)="",$C202=""),"",IF(IFERROR(MATCH(TRIM($C202),{"Quantitative","Continuous","Discrete","Categorical","Nominal","Ordinal","Identifier"},0),0)=0,_xlfn.CONCAT("* REVIEW REQUIRED: invalid Variable Type on Sheet 1 row ",202,"."),_xlfn.CONCAT("char ",TRIM($B202),"[doc_vartype] ",CHAR(96),CHAR(34),SUBSTITUTE(SUBSTITUTE(SUBSTITUTE(SUBSTITUTE(SUBSTITUTE(SUBSTITUTE(LOWER(TRIM($C202)),CHAR(13)," "),CHAR(10)," "),CHAR(9)," "),CHAR(92),_xlfn.CONCAT(CHAR(92),CHAR(92))),"$",_xlfn.CONCAT(CHAR(92),"$")),CHAR(96),_xlfn.CONCAT(CHAR(92),CHAR(96))),CHAR(34),CHAR(39))))</f>
        <v/>
      </c>
      <c r="N202" s="5" t="str">
        <f>IF(OR(TRIM($B202)="",$D202=""),"",IF(OR(ISNUMBER(SEARCH(_xlfn.CONCAT(CHAR(96),CHAR(34)),$D202)),ISNUMBER(SEARCH(_xlfn.CONCAT(CHAR(34),CHAR(39)),$D202))),_xlfn.CONCAT("* REVIEW REQUIRED: compound-quote delimiter in Item Number on Sheet 1 row ",202,"; edit the input before running."),_xlfn.CONCAT("char ",TRIM($B202),"[doc_itemnum] ",CHAR(96),CHAR(34),SUBSTITUTE(SUBSTITUTE(SUBSTITUTE(SUBSTITUTE(SUBSTITUTE(SUBSTITUTE($D202,CHAR(13)," "),CHAR(10)," "),CHAR(9)," "),CHAR(92),_xlfn.CONCAT(CHAR(92),CHAR(92))),"$",_xlfn.CONCAT(CHAR(92),"$")),CHAR(96),_xlfn.CONCAT(CHAR(92),CHAR(96))),CHAR(34),CHAR(39))))</f>
        <v/>
      </c>
      <c r="O202" s="5" t="str">
        <f>IF(OR(TRIM($B202)="",$E202=""),"",IF(OR(ISNUMBER(SEARCH(_xlfn.CONCAT(CHAR(96),CHAR(34)),$E202)),ISNUMBER(SEARCH(_xlfn.CONCAT(CHAR(34),CHAR(39)),$E202))),_xlfn.CONCAT("* REVIEW REQUIRED: compound-quote delimiter in Question Wording on Sheet 1 row ",202,"; edit the input before running."),_xlfn.CONCAT("char ",TRIM($B202),"[doc_question] ",CHAR(96),CHAR(34),SUBSTITUTE(SUBSTITUTE(SUBSTITUTE(SUBSTITUTE(SUBSTITUTE(SUBSTITUTE($E202,CHAR(13)," "),CHAR(10)," "),CHAR(9)," "),CHAR(92),_xlfn.CONCAT(CHAR(92),CHAR(92))),"$",_xlfn.CONCAT(CHAR(92),"$")),CHAR(96),_xlfn.CONCAT(CHAR(92),CHAR(96))),CHAR(34),CHAR(39))))</f>
        <v/>
      </c>
      <c r="P202" s="5" t="str">
        <f>IF(OR(TRIM($B202)="",$F202=""),"",IF(OR(ISNUMBER(SEARCH(_xlfn.CONCAT(CHAR(96),CHAR(34)),$F202)),ISNUMBER(SEARCH(_xlfn.CONCAT(CHAR(34),CHAR(39)),$F202))),_xlfn.CONCAT("* REVIEW REQUIRED: compound-quote delimiter in Units on Sheet 1 row ",202,"; edit the input before running."),_xlfn.CONCAT("char ",TRIM($B202),"[doc_units] ",CHAR(96),CHAR(34),SUBSTITUTE(SUBSTITUTE(SUBSTITUTE(SUBSTITUTE(SUBSTITUTE(SUBSTITUTE($F202,CHAR(13)," "),CHAR(10)," "),CHAR(9)," "),CHAR(92),_xlfn.CONCAT(CHAR(92),CHAR(92))),"$",_xlfn.CONCAT(CHAR(92),"$")),CHAR(96),_xlfn.CONCAT(CHAR(92),CHAR(96))),CHAR(34),CHAR(39))))</f>
        <v/>
      </c>
      <c r="Q202" s="5" t="str">
        <f>IF(OR(TRIM($B202)="",$G202=""),"",IF(OR(ISNUMBER(SEARCH(_xlfn.CONCAT(CHAR(96),CHAR(34)),$G202)),ISNUMBER(SEARCH(_xlfn.CONCAT(CHAR(34),CHAR(39)),$G202))),_xlfn.CONCAT("* REVIEW REQUIRED: compound-quote delimiter in Universe on Sheet 1 row ",202,"; edit the input before running."),_xlfn.CONCAT("char ",TRIM($B202),"[doc_universe] ",CHAR(96),CHAR(34),SUBSTITUTE(SUBSTITUTE(SUBSTITUTE(SUBSTITUTE(SUBSTITUTE(SUBSTITUTE($G202,CHAR(13)," "),CHAR(10)," "),CHAR(9)," "),CHAR(92),_xlfn.CONCAT(CHAR(92),CHAR(92))),"$",_xlfn.CONCAT(CHAR(92),"$")),CHAR(96),_xlfn.CONCAT(CHAR(92),CHAR(96))),CHAR(34),CHAR(39))))</f>
        <v/>
      </c>
      <c r="R202" s="5" t="str">
        <f>IF(OR(TRIM($B202)="",$H202=""),"",IF(OR(ISNUMBER(SEARCH(_xlfn.CONCAT(CHAR(96),CHAR(34)),$H202)),ISNUMBER(SEARCH(_xlfn.CONCAT(CHAR(34),CHAR(39)),$H202))),_xlfn.CONCAT("* REVIEW REQUIRED: compound-quote delimiter in Source on Sheet 1 row ",202,"; edit the input before running."),_xlfn.CONCAT("char ",TRIM($B202),"[doc_source] ",CHAR(96),CHAR(34),SUBSTITUTE(SUBSTITUTE(SUBSTITUTE(SUBSTITUTE(SUBSTITUTE(SUBSTITUTE($H202,CHAR(13)," "),CHAR(10)," "),CHAR(9)," "),CHAR(92),_xlfn.CONCAT(CHAR(92),CHAR(92))),"$",_xlfn.CONCAT(CHAR(92),"$")),CHAR(96),_xlfn.CONCAT(CHAR(92),CHAR(96))),CHAR(34),CHAR(39))))</f>
        <v/>
      </c>
      <c r="S202" s="5" t="str">
        <f>IF(OR(TRIM($B202)="",$I202=""),"",IF(OR(ISNUMBER(SEARCH(_xlfn.CONCAT(CHAR(96),CHAR(34)),$I202)),ISNUMBER(SEARCH(_xlfn.CONCAT(CHAR(34),CHAR(39)),$I202))),_xlfn.CONCAT("* REVIEW REQUIRED: compound-quote delimiter in Derivation on Sheet 1 row ",202,"; edit the input before running."),_xlfn.CONCAT("char ",TRIM($B202),"[doc_derivation] ",CHAR(96),CHAR(34),SUBSTITUTE(SUBSTITUTE(SUBSTITUTE(SUBSTITUTE(SUBSTITUTE(SUBSTITUTE($I202,CHAR(13)," "),CHAR(10)," "),CHAR(9)," "),CHAR(92),_xlfn.CONCAT(CHAR(92),CHAR(92))),"$",_xlfn.CONCAT(CHAR(92),"$")),CHAR(96),_xlfn.CONCAT(CHAR(92),CHAR(96))),CHAR(34),CHAR(39))))</f>
        <v/>
      </c>
      <c r="T202" s="5" t="str">
        <f>IF(OR(TRIM($B202)="",$J202=""),"",IF(OR(ISNUMBER(SEARCH(_xlfn.CONCAT(CHAR(96),CHAR(34)),$J202)),ISNUMBER(SEARCH(_xlfn.CONCAT(CHAR(34),CHAR(39)),$J202))),_xlfn.CONCAT("* REVIEW REQUIRED: compound-quote delimiter in Notes on Sheet 1 row ",202,"; edit the input before running."),_xlfn.CONCAT("char ",TRIM($B202),"[doc_notes] ",CHAR(96),CHAR(34),SUBSTITUTE(SUBSTITUTE(SUBSTITUTE(SUBSTITUTE(SUBSTITUTE(SUBSTITUTE($J202,CHAR(13)," "),CHAR(10)," "),CHAR(9)," "),CHAR(92),_xlfn.CONCAT(CHAR(92),CHAR(92))),"$",_xlfn.CONCAT(CHAR(92),"$")),CHAR(96),_xlfn.CONCAT(CHAR(92),CHAR(96))),CHAR(34),CHAR(39))))</f>
        <v/>
      </c>
      <c r="U202" s="5">
        <f t="shared" si="5"/>
        <v>0</v>
      </c>
    </row>
    <row r="203" spans="3:21" ht="30" customHeight="1" x14ac:dyDescent="0.2">
      <c r="C203" s="4"/>
      <c r="K203" s="5">
        <f t="shared" si="4"/>
        <v>0</v>
      </c>
      <c r="L203" s="5" t="str">
        <f>IF(OR(TRIM($B203)="",$A203=""),"",IF(OR(ISNUMBER(SEARCH(_xlfn.CONCAT(CHAR(96),CHAR(34)),$A203)),ISNUMBER(SEARCH(_xlfn.CONCAT(CHAR(34),CHAR(39)),$A203))),_xlfn.CONCAT("* REVIEW REQUIRED: compound-quote delimiter in Codebook Section on Sheet 1 row ",203,"; edit the input before running."),_xlfn.CONCAT("char ",TRIM($B203),"[doc_section] ",CHAR(96),CHAR(34),SUBSTITUTE(SUBSTITUTE(SUBSTITUTE(SUBSTITUTE(SUBSTITUTE(SUBSTITUTE($A203,CHAR(13)," "),CHAR(10)," "),CHAR(9)," "),CHAR(92),_xlfn.CONCAT(CHAR(92),CHAR(92))),"$",_xlfn.CONCAT(CHAR(92),"$")),CHAR(96),_xlfn.CONCAT(CHAR(92),CHAR(96))),CHAR(34),CHAR(39))))</f>
        <v/>
      </c>
      <c r="M203" s="5" t="str">
        <f>IF(OR(TRIM($B203)="",$C203=""),"",IF(IFERROR(MATCH(TRIM($C203),{"Quantitative","Continuous","Discrete","Categorical","Nominal","Ordinal","Identifier"},0),0)=0,_xlfn.CONCAT("* REVIEW REQUIRED: invalid Variable Type on Sheet 1 row ",203,"."),_xlfn.CONCAT("char ",TRIM($B203),"[doc_vartype] ",CHAR(96),CHAR(34),SUBSTITUTE(SUBSTITUTE(SUBSTITUTE(SUBSTITUTE(SUBSTITUTE(SUBSTITUTE(LOWER(TRIM($C203)),CHAR(13)," "),CHAR(10)," "),CHAR(9)," "),CHAR(92),_xlfn.CONCAT(CHAR(92),CHAR(92))),"$",_xlfn.CONCAT(CHAR(92),"$")),CHAR(96),_xlfn.CONCAT(CHAR(92),CHAR(96))),CHAR(34),CHAR(39))))</f>
        <v/>
      </c>
      <c r="N203" s="5" t="str">
        <f>IF(OR(TRIM($B203)="",$D203=""),"",IF(OR(ISNUMBER(SEARCH(_xlfn.CONCAT(CHAR(96),CHAR(34)),$D203)),ISNUMBER(SEARCH(_xlfn.CONCAT(CHAR(34),CHAR(39)),$D203))),_xlfn.CONCAT("* REVIEW REQUIRED: compound-quote delimiter in Item Number on Sheet 1 row ",203,"; edit the input before running."),_xlfn.CONCAT("char ",TRIM($B203),"[doc_itemnum] ",CHAR(96),CHAR(34),SUBSTITUTE(SUBSTITUTE(SUBSTITUTE(SUBSTITUTE(SUBSTITUTE(SUBSTITUTE($D203,CHAR(13)," "),CHAR(10)," "),CHAR(9)," "),CHAR(92),_xlfn.CONCAT(CHAR(92),CHAR(92))),"$",_xlfn.CONCAT(CHAR(92),"$")),CHAR(96),_xlfn.CONCAT(CHAR(92),CHAR(96))),CHAR(34),CHAR(39))))</f>
        <v/>
      </c>
      <c r="O203" s="5" t="str">
        <f>IF(OR(TRIM($B203)="",$E203=""),"",IF(OR(ISNUMBER(SEARCH(_xlfn.CONCAT(CHAR(96),CHAR(34)),$E203)),ISNUMBER(SEARCH(_xlfn.CONCAT(CHAR(34),CHAR(39)),$E203))),_xlfn.CONCAT("* REVIEW REQUIRED: compound-quote delimiter in Question Wording on Sheet 1 row ",203,"; edit the input before running."),_xlfn.CONCAT("char ",TRIM($B203),"[doc_question] ",CHAR(96),CHAR(34),SUBSTITUTE(SUBSTITUTE(SUBSTITUTE(SUBSTITUTE(SUBSTITUTE(SUBSTITUTE($E203,CHAR(13)," "),CHAR(10)," "),CHAR(9)," "),CHAR(92),_xlfn.CONCAT(CHAR(92),CHAR(92))),"$",_xlfn.CONCAT(CHAR(92),"$")),CHAR(96),_xlfn.CONCAT(CHAR(92),CHAR(96))),CHAR(34),CHAR(39))))</f>
        <v/>
      </c>
      <c r="P203" s="5" t="str">
        <f>IF(OR(TRIM($B203)="",$F203=""),"",IF(OR(ISNUMBER(SEARCH(_xlfn.CONCAT(CHAR(96),CHAR(34)),$F203)),ISNUMBER(SEARCH(_xlfn.CONCAT(CHAR(34),CHAR(39)),$F203))),_xlfn.CONCAT("* REVIEW REQUIRED: compound-quote delimiter in Units on Sheet 1 row ",203,"; edit the input before running."),_xlfn.CONCAT("char ",TRIM($B203),"[doc_units] ",CHAR(96),CHAR(34),SUBSTITUTE(SUBSTITUTE(SUBSTITUTE(SUBSTITUTE(SUBSTITUTE(SUBSTITUTE($F203,CHAR(13)," "),CHAR(10)," "),CHAR(9)," "),CHAR(92),_xlfn.CONCAT(CHAR(92),CHAR(92))),"$",_xlfn.CONCAT(CHAR(92),"$")),CHAR(96),_xlfn.CONCAT(CHAR(92),CHAR(96))),CHAR(34),CHAR(39))))</f>
        <v/>
      </c>
      <c r="Q203" s="5" t="str">
        <f>IF(OR(TRIM($B203)="",$G203=""),"",IF(OR(ISNUMBER(SEARCH(_xlfn.CONCAT(CHAR(96),CHAR(34)),$G203)),ISNUMBER(SEARCH(_xlfn.CONCAT(CHAR(34),CHAR(39)),$G203))),_xlfn.CONCAT("* REVIEW REQUIRED: compound-quote delimiter in Universe on Sheet 1 row ",203,"; edit the input before running."),_xlfn.CONCAT("char ",TRIM($B203),"[doc_universe] ",CHAR(96),CHAR(34),SUBSTITUTE(SUBSTITUTE(SUBSTITUTE(SUBSTITUTE(SUBSTITUTE(SUBSTITUTE($G203,CHAR(13)," "),CHAR(10)," "),CHAR(9)," "),CHAR(92),_xlfn.CONCAT(CHAR(92),CHAR(92))),"$",_xlfn.CONCAT(CHAR(92),"$")),CHAR(96),_xlfn.CONCAT(CHAR(92),CHAR(96))),CHAR(34),CHAR(39))))</f>
        <v/>
      </c>
      <c r="R203" s="5" t="str">
        <f>IF(OR(TRIM($B203)="",$H203=""),"",IF(OR(ISNUMBER(SEARCH(_xlfn.CONCAT(CHAR(96),CHAR(34)),$H203)),ISNUMBER(SEARCH(_xlfn.CONCAT(CHAR(34),CHAR(39)),$H203))),_xlfn.CONCAT("* REVIEW REQUIRED: compound-quote delimiter in Source on Sheet 1 row ",203,"; edit the input before running."),_xlfn.CONCAT("char ",TRIM($B203),"[doc_source] ",CHAR(96),CHAR(34),SUBSTITUTE(SUBSTITUTE(SUBSTITUTE(SUBSTITUTE(SUBSTITUTE(SUBSTITUTE($H203,CHAR(13)," "),CHAR(10)," "),CHAR(9)," "),CHAR(92),_xlfn.CONCAT(CHAR(92),CHAR(92))),"$",_xlfn.CONCAT(CHAR(92),"$")),CHAR(96),_xlfn.CONCAT(CHAR(92),CHAR(96))),CHAR(34),CHAR(39))))</f>
        <v/>
      </c>
      <c r="S203" s="5" t="str">
        <f>IF(OR(TRIM($B203)="",$I203=""),"",IF(OR(ISNUMBER(SEARCH(_xlfn.CONCAT(CHAR(96),CHAR(34)),$I203)),ISNUMBER(SEARCH(_xlfn.CONCAT(CHAR(34),CHAR(39)),$I203))),_xlfn.CONCAT("* REVIEW REQUIRED: compound-quote delimiter in Derivation on Sheet 1 row ",203,"; edit the input before running."),_xlfn.CONCAT("char ",TRIM($B203),"[doc_derivation] ",CHAR(96),CHAR(34),SUBSTITUTE(SUBSTITUTE(SUBSTITUTE(SUBSTITUTE(SUBSTITUTE(SUBSTITUTE($I203,CHAR(13)," "),CHAR(10)," "),CHAR(9)," "),CHAR(92),_xlfn.CONCAT(CHAR(92),CHAR(92))),"$",_xlfn.CONCAT(CHAR(92),"$")),CHAR(96),_xlfn.CONCAT(CHAR(92),CHAR(96))),CHAR(34),CHAR(39))))</f>
        <v/>
      </c>
      <c r="T203" s="5" t="str">
        <f>IF(OR(TRIM($B203)="",$J203=""),"",IF(OR(ISNUMBER(SEARCH(_xlfn.CONCAT(CHAR(96),CHAR(34)),$J203)),ISNUMBER(SEARCH(_xlfn.CONCAT(CHAR(34),CHAR(39)),$J203))),_xlfn.CONCAT("* REVIEW REQUIRED: compound-quote delimiter in Notes on Sheet 1 row ",203,"; edit the input before running."),_xlfn.CONCAT("char ",TRIM($B203),"[doc_notes] ",CHAR(96),CHAR(34),SUBSTITUTE(SUBSTITUTE(SUBSTITUTE(SUBSTITUTE(SUBSTITUTE(SUBSTITUTE($J203,CHAR(13)," "),CHAR(10)," "),CHAR(9)," "),CHAR(92),_xlfn.CONCAT(CHAR(92),CHAR(92))),"$",_xlfn.CONCAT(CHAR(92),"$")),CHAR(96),_xlfn.CONCAT(CHAR(92),CHAR(96))),CHAR(34),CHAR(39))))</f>
        <v/>
      </c>
      <c r="U203" s="5">
        <f t="shared" si="5"/>
        <v>0</v>
      </c>
    </row>
    <row r="204" spans="3:21" ht="30" customHeight="1" x14ac:dyDescent="0.2">
      <c r="C204" s="4"/>
      <c r="K204" s="5">
        <f t="shared" si="4"/>
        <v>0</v>
      </c>
      <c r="L204" s="5" t="str">
        <f>IF(OR(TRIM($B204)="",$A204=""),"",IF(OR(ISNUMBER(SEARCH(_xlfn.CONCAT(CHAR(96),CHAR(34)),$A204)),ISNUMBER(SEARCH(_xlfn.CONCAT(CHAR(34),CHAR(39)),$A204))),_xlfn.CONCAT("* REVIEW REQUIRED: compound-quote delimiter in Codebook Section on Sheet 1 row ",204,"; edit the input before running."),_xlfn.CONCAT("char ",TRIM($B204),"[doc_section] ",CHAR(96),CHAR(34),SUBSTITUTE(SUBSTITUTE(SUBSTITUTE(SUBSTITUTE(SUBSTITUTE(SUBSTITUTE($A204,CHAR(13)," "),CHAR(10)," "),CHAR(9)," "),CHAR(92),_xlfn.CONCAT(CHAR(92),CHAR(92))),"$",_xlfn.CONCAT(CHAR(92),"$")),CHAR(96),_xlfn.CONCAT(CHAR(92),CHAR(96))),CHAR(34),CHAR(39))))</f>
        <v/>
      </c>
      <c r="M204" s="5" t="str">
        <f>IF(OR(TRIM($B204)="",$C204=""),"",IF(IFERROR(MATCH(TRIM($C204),{"Quantitative","Continuous","Discrete","Categorical","Nominal","Ordinal","Identifier"},0),0)=0,_xlfn.CONCAT("* REVIEW REQUIRED: invalid Variable Type on Sheet 1 row ",204,"."),_xlfn.CONCAT("char ",TRIM($B204),"[doc_vartype] ",CHAR(96),CHAR(34),SUBSTITUTE(SUBSTITUTE(SUBSTITUTE(SUBSTITUTE(SUBSTITUTE(SUBSTITUTE(LOWER(TRIM($C204)),CHAR(13)," "),CHAR(10)," "),CHAR(9)," "),CHAR(92),_xlfn.CONCAT(CHAR(92),CHAR(92))),"$",_xlfn.CONCAT(CHAR(92),"$")),CHAR(96),_xlfn.CONCAT(CHAR(92),CHAR(96))),CHAR(34),CHAR(39))))</f>
        <v/>
      </c>
      <c r="N204" s="5" t="str">
        <f>IF(OR(TRIM($B204)="",$D204=""),"",IF(OR(ISNUMBER(SEARCH(_xlfn.CONCAT(CHAR(96),CHAR(34)),$D204)),ISNUMBER(SEARCH(_xlfn.CONCAT(CHAR(34),CHAR(39)),$D204))),_xlfn.CONCAT("* REVIEW REQUIRED: compound-quote delimiter in Item Number on Sheet 1 row ",204,"; edit the input before running."),_xlfn.CONCAT("char ",TRIM($B204),"[doc_itemnum] ",CHAR(96),CHAR(34),SUBSTITUTE(SUBSTITUTE(SUBSTITUTE(SUBSTITUTE(SUBSTITUTE(SUBSTITUTE($D204,CHAR(13)," "),CHAR(10)," "),CHAR(9)," "),CHAR(92),_xlfn.CONCAT(CHAR(92),CHAR(92))),"$",_xlfn.CONCAT(CHAR(92),"$")),CHAR(96),_xlfn.CONCAT(CHAR(92),CHAR(96))),CHAR(34),CHAR(39))))</f>
        <v/>
      </c>
      <c r="O204" s="5" t="str">
        <f>IF(OR(TRIM($B204)="",$E204=""),"",IF(OR(ISNUMBER(SEARCH(_xlfn.CONCAT(CHAR(96),CHAR(34)),$E204)),ISNUMBER(SEARCH(_xlfn.CONCAT(CHAR(34),CHAR(39)),$E204))),_xlfn.CONCAT("* REVIEW REQUIRED: compound-quote delimiter in Question Wording on Sheet 1 row ",204,"; edit the input before running."),_xlfn.CONCAT("char ",TRIM($B204),"[doc_question] ",CHAR(96),CHAR(34),SUBSTITUTE(SUBSTITUTE(SUBSTITUTE(SUBSTITUTE(SUBSTITUTE(SUBSTITUTE($E204,CHAR(13)," "),CHAR(10)," "),CHAR(9)," "),CHAR(92),_xlfn.CONCAT(CHAR(92),CHAR(92))),"$",_xlfn.CONCAT(CHAR(92),"$")),CHAR(96),_xlfn.CONCAT(CHAR(92),CHAR(96))),CHAR(34),CHAR(39))))</f>
        <v/>
      </c>
      <c r="P204" s="5" t="str">
        <f>IF(OR(TRIM($B204)="",$F204=""),"",IF(OR(ISNUMBER(SEARCH(_xlfn.CONCAT(CHAR(96),CHAR(34)),$F204)),ISNUMBER(SEARCH(_xlfn.CONCAT(CHAR(34),CHAR(39)),$F204))),_xlfn.CONCAT("* REVIEW REQUIRED: compound-quote delimiter in Units on Sheet 1 row ",204,"; edit the input before running."),_xlfn.CONCAT("char ",TRIM($B204),"[doc_units] ",CHAR(96),CHAR(34),SUBSTITUTE(SUBSTITUTE(SUBSTITUTE(SUBSTITUTE(SUBSTITUTE(SUBSTITUTE($F204,CHAR(13)," "),CHAR(10)," "),CHAR(9)," "),CHAR(92),_xlfn.CONCAT(CHAR(92),CHAR(92))),"$",_xlfn.CONCAT(CHAR(92),"$")),CHAR(96),_xlfn.CONCAT(CHAR(92),CHAR(96))),CHAR(34),CHAR(39))))</f>
        <v/>
      </c>
      <c r="Q204" s="5" t="str">
        <f>IF(OR(TRIM($B204)="",$G204=""),"",IF(OR(ISNUMBER(SEARCH(_xlfn.CONCAT(CHAR(96),CHAR(34)),$G204)),ISNUMBER(SEARCH(_xlfn.CONCAT(CHAR(34),CHAR(39)),$G204))),_xlfn.CONCAT("* REVIEW REQUIRED: compound-quote delimiter in Universe on Sheet 1 row ",204,"; edit the input before running."),_xlfn.CONCAT("char ",TRIM($B204),"[doc_universe] ",CHAR(96),CHAR(34),SUBSTITUTE(SUBSTITUTE(SUBSTITUTE(SUBSTITUTE(SUBSTITUTE(SUBSTITUTE($G204,CHAR(13)," "),CHAR(10)," "),CHAR(9)," "),CHAR(92),_xlfn.CONCAT(CHAR(92),CHAR(92))),"$",_xlfn.CONCAT(CHAR(92),"$")),CHAR(96),_xlfn.CONCAT(CHAR(92),CHAR(96))),CHAR(34),CHAR(39))))</f>
        <v/>
      </c>
      <c r="R204" s="5" t="str">
        <f>IF(OR(TRIM($B204)="",$H204=""),"",IF(OR(ISNUMBER(SEARCH(_xlfn.CONCAT(CHAR(96),CHAR(34)),$H204)),ISNUMBER(SEARCH(_xlfn.CONCAT(CHAR(34),CHAR(39)),$H204))),_xlfn.CONCAT("* REVIEW REQUIRED: compound-quote delimiter in Source on Sheet 1 row ",204,"; edit the input before running."),_xlfn.CONCAT("char ",TRIM($B204),"[doc_source] ",CHAR(96),CHAR(34),SUBSTITUTE(SUBSTITUTE(SUBSTITUTE(SUBSTITUTE(SUBSTITUTE(SUBSTITUTE($H204,CHAR(13)," "),CHAR(10)," "),CHAR(9)," "),CHAR(92),_xlfn.CONCAT(CHAR(92),CHAR(92))),"$",_xlfn.CONCAT(CHAR(92),"$")),CHAR(96),_xlfn.CONCAT(CHAR(92),CHAR(96))),CHAR(34),CHAR(39))))</f>
        <v/>
      </c>
      <c r="S204" s="5" t="str">
        <f>IF(OR(TRIM($B204)="",$I204=""),"",IF(OR(ISNUMBER(SEARCH(_xlfn.CONCAT(CHAR(96),CHAR(34)),$I204)),ISNUMBER(SEARCH(_xlfn.CONCAT(CHAR(34),CHAR(39)),$I204))),_xlfn.CONCAT("* REVIEW REQUIRED: compound-quote delimiter in Derivation on Sheet 1 row ",204,"; edit the input before running."),_xlfn.CONCAT("char ",TRIM($B204),"[doc_derivation] ",CHAR(96),CHAR(34),SUBSTITUTE(SUBSTITUTE(SUBSTITUTE(SUBSTITUTE(SUBSTITUTE(SUBSTITUTE($I204,CHAR(13)," "),CHAR(10)," "),CHAR(9)," "),CHAR(92),_xlfn.CONCAT(CHAR(92),CHAR(92))),"$",_xlfn.CONCAT(CHAR(92),"$")),CHAR(96),_xlfn.CONCAT(CHAR(92),CHAR(96))),CHAR(34),CHAR(39))))</f>
        <v/>
      </c>
      <c r="T204" s="5" t="str">
        <f>IF(OR(TRIM($B204)="",$J204=""),"",IF(OR(ISNUMBER(SEARCH(_xlfn.CONCAT(CHAR(96),CHAR(34)),$J204)),ISNUMBER(SEARCH(_xlfn.CONCAT(CHAR(34),CHAR(39)),$J204))),_xlfn.CONCAT("* REVIEW REQUIRED: compound-quote delimiter in Notes on Sheet 1 row ",204,"; edit the input before running."),_xlfn.CONCAT("char ",TRIM($B204),"[doc_notes] ",CHAR(96),CHAR(34),SUBSTITUTE(SUBSTITUTE(SUBSTITUTE(SUBSTITUTE(SUBSTITUTE(SUBSTITUTE($J204,CHAR(13)," "),CHAR(10)," "),CHAR(9)," "),CHAR(92),_xlfn.CONCAT(CHAR(92),CHAR(92))),"$",_xlfn.CONCAT(CHAR(92),"$")),CHAR(96),_xlfn.CONCAT(CHAR(92),CHAR(96))),CHAR(34),CHAR(39))))</f>
        <v/>
      </c>
      <c r="U204" s="5">
        <f t="shared" si="5"/>
        <v>0</v>
      </c>
    </row>
    <row r="205" spans="3:21" ht="30" customHeight="1" x14ac:dyDescent="0.2">
      <c r="C205" s="4"/>
      <c r="K205" s="5">
        <f t="shared" si="4"/>
        <v>0</v>
      </c>
      <c r="L205" s="5" t="str">
        <f>IF(OR(TRIM($B205)="",$A205=""),"",IF(OR(ISNUMBER(SEARCH(_xlfn.CONCAT(CHAR(96),CHAR(34)),$A205)),ISNUMBER(SEARCH(_xlfn.CONCAT(CHAR(34),CHAR(39)),$A205))),_xlfn.CONCAT("* REVIEW REQUIRED: compound-quote delimiter in Codebook Section on Sheet 1 row ",205,"; edit the input before running."),_xlfn.CONCAT("char ",TRIM($B205),"[doc_section] ",CHAR(96),CHAR(34),SUBSTITUTE(SUBSTITUTE(SUBSTITUTE(SUBSTITUTE(SUBSTITUTE(SUBSTITUTE($A205,CHAR(13)," "),CHAR(10)," "),CHAR(9)," "),CHAR(92),_xlfn.CONCAT(CHAR(92),CHAR(92))),"$",_xlfn.CONCAT(CHAR(92),"$")),CHAR(96),_xlfn.CONCAT(CHAR(92),CHAR(96))),CHAR(34),CHAR(39))))</f>
        <v/>
      </c>
      <c r="M205" s="5" t="str">
        <f>IF(OR(TRIM($B205)="",$C205=""),"",IF(IFERROR(MATCH(TRIM($C205),{"Quantitative","Continuous","Discrete","Categorical","Nominal","Ordinal","Identifier"},0),0)=0,_xlfn.CONCAT("* REVIEW REQUIRED: invalid Variable Type on Sheet 1 row ",205,"."),_xlfn.CONCAT("char ",TRIM($B205),"[doc_vartype] ",CHAR(96),CHAR(34),SUBSTITUTE(SUBSTITUTE(SUBSTITUTE(SUBSTITUTE(SUBSTITUTE(SUBSTITUTE(LOWER(TRIM($C205)),CHAR(13)," "),CHAR(10)," "),CHAR(9)," "),CHAR(92),_xlfn.CONCAT(CHAR(92),CHAR(92))),"$",_xlfn.CONCAT(CHAR(92),"$")),CHAR(96),_xlfn.CONCAT(CHAR(92),CHAR(96))),CHAR(34),CHAR(39))))</f>
        <v/>
      </c>
      <c r="N205" s="5" t="str">
        <f>IF(OR(TRIM($B205)="",$D205=""),"",IF(OR(ISNUMBER(SEARCH(_xlfn.CONCAT(CHAR(96),CHAR(34)),$D205)),ISNUMBER(SEARCH(_xlfn.CONCAT(CHAR(34),CHAR(39)),$D205))),_xlfn.CONCAT("* REVIEW REQUIRED: compound-quote delimiter in Item Number on Sheet 1 row ",205,"; edit the input before running."),_xlfn.CONCAT("char ",TRIM($B205),"[doc_itemnum] ",CHAR(96),CHAR(34),SUBSTITUTE(SUBSTITUTE(SUBSTITUTE(SUBSTITUTE(SUBSTITUTE(SUBSTITUTE($D205,CHAR(13)," "),CHAR(10)," "),CHAR(9)," "),CHAR(92),_xlfn.CONCAT(CHAR(92),CHAR(92))),"$",_xlfn.CONCAT(CHAR(92),"$")),CHAR(96),_xlfn.CONCAT(CHAR(92),CHAR(96))),CHAR(34),CHAR(39))))</f>
        <v/>
      </c>
      <c r="O205" s="5" t="str">
        <f>IF(OR(TRIM($B205)="",$E205=""),"",IF(OR(ISNUMBER(SEARCH(_xlfn.CONCAT(CHAR(96),CHAR(34)),$E205)),ISNUMBER(SEARCH(_xlfn.CONCAT(CHAR(34),CHAR(39)),$E205))),_xlfn.CONCAT("* REVIEW REQUIRED: compound-quote delimiter in Question Wording on Sheet 1 row ",205,"; edit the input before running."),_xlfn.CONCAT("char ",TRIM($B205),"[doc_question] ",CHAR(96),CHAR(34),SUBSTITUTE(SUBSTITUTE(SUBSTITUTE(SUBSTITUTE(SUBSTITUTE(SUBSTITUTE($E205,CHAR(13)," "),CHAR(10)," "),CHAR(9)," "),CHAR(92),_xlfn.CONCAT(CHAR(92),CHAR(92))),"$",_xlfn.CONCAT(CHAR(92),"$")),CHAR(96),_xlfn.CONCAT(CHAR(92),CHAR(96))),CHAR(34),CHAR(39))))</f>
        <v/>
      </c>
      <c r="P205" s="5" t="str">
        <f>IF(OR(TRIM($B205)="",$F205=""),"",IF(OR(ISNUMBER(SEARCH(_xlfn.CONCAT(CHAR(96),CHAR(34)),$F205)),ISNUMBER(SEARCH(_xlfn.CONCAT(CHAR(34),CHAR(39)),$F205))),_xlfn.CONCAT("* REVIEW REQUIRED: compound-quote delimiter in Units on Sheet 1 row ",205,"; edit the input before running."),_xlfn.CONCAT("char ",TRIM($B205),"[doc_units] ",CHAR(96),CHAR(34),SUBSTITUTE(SUBSTITUTE(SUBSTITUTE(SUBSTITUTE(SUBSTITUTE(SUBSTITUTE($F205,CHAR(13)," "),CHAR(10)," "),CHAR(9)," "),CHAR(92),_xlfn.CONCAT(CHAR(92),CHAR(92))),"$",_xlfn.CONCAT(CHAR(92),"$")),CHAR(96),_xlfn.CONCAT(CHAR(92),CHAR(96))),CHAR(34),CHAR(39))))</f>
        <v/>
      </c>
      <c r="Q205" s="5" t="str">
        <f>IF(OR(TRIM($B205)="",$G205=""),"",IF(OR(ISNUMBER(SEARCH(_xlfn.CONCAT(CHAR(96),CHAR(34)),$G205)),ISNUMBER(SEARCH(_xlfn.CONCAT(CHAR(34),CHAR(39)),$G205))),_xlfn.CONCAT("* REVIEW REQUIRED: compound-quote delimiter in Universe on Sheet 1 row ",205,"; edit the input before running."),_xlfn.CONCAT("char ",TRIM($B205),"[doc_universe] ",CHAR(96),CHAR(34),SUBSTITUTE(SUBSTITUTE(SUBSTITUTE(SUBSTITUTE(SUBSTITUTE(SUBSTITUTE($G205,CHAR(13)," "),CHAR(10)," "),CHAR(9)," "),CHAR(92),_xlfn.CONCAT(CHAR(92),CHAR(92))),"$",_xlfn.CONCAT(CHAR(92),"$")),CHAR(96),_xlfn.CONCAT(CHAR(92),CHAR(96))),CHAR(34),CHAR(39))))</f>
        <v/>
      </c>
      <c r="R205" s="5" t="str">
        <f>IF(OR(TRIM($B205)="",$H205=""),"",IF(OR(ISNUMBER(SEARCH(_xlfn.CONCAT(CHAR(96),CHAR(34)),$H205)),ISNUMBER(SEARCH(_xlfn.CONCAT(CHAR(34),CHAR(39)),$H205))),_xlfn.CONCAT("* REVIEW REQUIRED: compound-quote delimiter in Source on Sheet 1 row ",205,"; edit the input before running."),_xlfn.CONCAT("char ",TRIM($B205),"[doc_source] ",CHAR(96),CHAR(34),SUBSTITUTE(SUBSTITUTE(SUBSTITUTE(SUBSTITUTE(SUBSTITUTE(SUBSTITUTE($H205,CHAR(13)," "),CHAR(10)," "),CHAR(9)," "),CHAR(92),_xlfn.CONCAT(CHAR(92),CHAR(92))),"$",_xlfn.CONCAT(CHAR(92),"$")),CHAR(96),_xlfn.CONCAT(CHAR(92),CHAR(96))),CHAR(34),CHAR(39))))</f>
        <v/>
      </c>
      <c r="S205" s="5" t="str">
        <f>IF(OR(TRIM($B205)="",$I205=""),"",IF(OR(ISNUMBER(SEARCH(_xlfn.CONCAT(CHAR(96),CHAR(34)),$I205)),ISNUMBER(SEARCH(_xlfn.CONCAT(CHAR(34),CHAR(39)),$I205))),_xlfn.CONCAT("* REVIEW REQUIRED: compound-quote delimiter in Derivation on Sheet 1 row ",205,"; edit the input before running."),_xlfn.CONCAT("char ",TRIM($B205),"[doc_derivation] ",CHAR(96),CHAR(34),SUBSTITUTE(SUBSTITUTE(SUBSTITUTE(SUBSTITUTE(SUBSTITUTE(SUBSTITUTE($I205,CHAR(13)," "),CHAR(10)," "),CHAR(9)," "),CHAR(92),_xlfn.CONCAT(CHAR(92),CHAR(92))),"$",_xlfn.CONCAT(CHAR(92),"$")),CHAR(96),_xlfn.CONCAT(CHAR(92),CHAR(96))),CHAR(34),CHAR(39))))</f>
        <v/>
      </c>
      <c r="T205" s="5" t="str">
        <f>IF(OR(TRIM($B205)="",$J205=""),"",IF(OR(ISNUMBER(SEARCH(_xlfn.CONCAT(CHAR(96),CHAR(34)),$J205)),ISNUMBER(SEARCH(_xlfn.CONCAT(CHAR(34),CHAR(39)),$J205))),_xlfn.CONCAT("* REVIEW REQUIRED: compound-quote delimiter in Notes on Sheet 1 row ",205,"; edit the input before running."),_xlfn.CONCAT("char ",TRIM($B205),"[doc_notes] ",CHAR(96),CHAR(34),SUBSTITUTE(SUBSTITUTE(SUBSTITUTE(SUBSTITUTE(SUBSTITUTE(SUBSTITUTE($J205,CHAR(13)," "),CHAR(10)," "),CHAR(9)," "),CHAR(92),_xlfn.CONCAT(CHAR(92),CHAR(92))),"$",_xlfn.CONCAT(CHAR(92),"$")),CHAR(96),_xlfn.CONCAT(CHAR(92),CHAR(96))),CHAR(34),CHAR(39))))</f>
        <v/>
      </c>
      <c r="U205" s="5">
        <f t="shared" si="5"/>
        <v>0</v>
      </c>
    </row>
    <row r="206" spans="3:21" ht="30" customHeight="1" x14ac:dyDescent="0.2">
      <c r="C206" s="4"/>
      <c r="K206" s="5">
        <f t="shared" si="4"/>
        <v>0</v>
      </c>
      <c r="L206" s="5" t="str">
        <f>IF(OR(TRIM($B206)="",$A206=""),"",IF(OR(ISNUMBER(SEARCH(_xlfn.CONCAT(CHAR(96),CHAR(34)),$A206)),ISNUMBER(SEARCH(_xlfn.CONCAT(CHAR(34),CHAR(39)),$A206))),_xlfn.CONCAT("* REVIEW REQUIRED: compound-quote delimiter in Codebook Section on Sheet 1 row ",206,"; edit the input before running."),_xlfn.CONCAT("char ",TRIM($B206),"[doc_section] ",CHAR(96),CHAR(34),SUBSTITUTE(SUBSTITUTE(SUBSTITUTE(SUBSTITUTE(SUBSTITUTE(SUBSTITUTE($A206,CHAR(13)," "),CHAR(10)," "),CHAR(9)," "),CHAR(92),_xlfn.CONCAT(CHAR(92),CHAR(92))),"$",_xlfn.CONCAT(CHAR(92),"$")),CHAR(96),_xlfn.CONCAT(CHAR(92),CHAR(96))),CHAR(34),CHAR(39))))</f>
        <v/>
      </c>
      <c r="M206" s="5" t="str">
        <f>IF(OR(TRIM($B206)="",$C206=""),"",IF(IFERROR(MATCH(TRIM($C206),{"Quantitative","Continuous","Discrete","Categorical","Nominal","Ordinal","Identifier"},0),0)=0,_xlfn.CONCAT("* REVIEW REQUIRED: invalid Variable Type on Sheet 1 row ",206,"."),_xlfn.CONCAT("char ",TRIM($B206),"[doc_vartype] ",CHAR(96),CHAR(34),SUBSTITUTE(SUBSTITUTE(SUBSTITUTE(SUBSTITUTE(SUBSTITUTE(SUBSTITUTE(LOWER(TRIM($C206)),CHAR(13)," "),CHAR(10)," "),CHAR(9)," "),CHAR(92),_xlfn.CONCAT(CHAR(92),CHAR(92))),"$",_xlfn.CONCAT(CHAR(92),"$")),CHAR(96),_xlfn.CONCAT(CHAR(92),CHAR(96))),CHAR(34),CHAR(39))))</f>
        <v/>
      </c>
      <c r="N206" s="5" t="str">
        <f>IF(OR(TRIM($B206)="",$D206=""),"",IF(OR(ISNUMBER(SEARCH(_xlfn.CONCAT(CHAR(96),CHAR(34)),$D206)),ISNUMBER(SEARCH(_xlfn.CONCAT(CHAR(34),CHAR(39)),$D206))),_xlfn.CONCAT("* REVIEW REQUIRED: compound-quote delimiter in Item Number on Sheet 1 row ",206,"; edit the input before running."),_xlfn.CONCAT("char ",TRIM($B206),"[doc_itemnum] ",CHAR(96),CHAR(34),SUBSTITUTE(SUBSTITUTE(SUBSTITUTE(SUBSTITUTE(SUBSTITUTE(SUBSTITUTE($D206,CHAR(13)," "),CHAR(10)," "),CHAR(9)," "),CHAR(92),_xlfn.CONCAT(CHAR(92),CHAR(92))),"$",_xlfn.CONCAT(CHAR(92),"$")),CHAR(96),_xlfn.CONCAT(CHAR(92),CHAR(96))),CHAR(34),CHAR(39))))</f>
        <v/>
      </c>
      <c r="O206" s="5" t="str">
        <f>IF(OR(TRIM($B206)="",$E206=""),"",IF(OR(ISNUMBER(SEARCH(_xlfn.CONCAT(CHAR(96),CHAR(34)),$E206)),ISNUMBER(SEARCH(_xlfn.CONCAT(CHAR(34),CHAR(39)),$E206))),_xlfn.CONCAT("* REVIEW REQUIRED: compound-quote delimiter in Question Wording on Sheet 1 row ",206,"; edit the input before running."),_xlfn.CONCAT("char ",TRIM($B206),"[doc_question] ",CHAR(96),CHAR(34),SUBSTITUTE(SUBSTITUTE(SUBSTITUTE(SUBSTITUTE(SUBSTITUTE(SUBSTITUTE($E206,CHAR(13)," "),CHAR(10)," "),CHAR(9)," "),CHAR(92),_xlfn.CONCAT(CHAR(92),CHAR(92))),"$",_xlfn.CONCAT(CHAR(92),"$")),CHAR(96),_xlfn.CONCAT(CHAR(92),CHAR(96))),CHAR(34),CHAR(39))))</f>
        <v/>
      </c>
      <c r="P206" s="5" t="str">
        <f>IF(OR(TRIM($B206)="",$F206=""),"",IF(OR(ISNUMBER(SEARCH(_xlfn.CONCAT(CHAR(96),CHAR(34)),$F206)),ISNUMBER(SEARCH(_xlfn.CONCAT(CHAR(34),CHAR(39)),$F206))),_xlfn.CONCAT("* REVIEW REQUIRED: compound-quote delimiter in Units on Sheet 1 row ",206,"; edit the input before running."),_xlfn.CONCAT("char ",TRIM($B206),"[doc_units] ",CHAR(96),CHAR(34),SUBSTITUTE(SUBSTITUTE(SUBSTITUTE(SUBSTITUTE(SUBSTITUTE(SUBSTITUTE($F206,CHAR(13)," "),CHAR(10)," "),CHAR(9)," "),CHAR(92),_xlfn.CONCAT(CHAR(92),CHAR(92))),"$",_xlfn.CONCAT(CHAR(92),"$")),CHAR(96),_xlfn.CONCAT(CHAR(92),CHAR(96))),CHAR(34),CHAR(39))))</f>
        <v/>
      </c>
      <c r="Q206" s="5" t="str">
        <f>IF(OR(TRIM($B206)="",$G206=""),"",IF(OR(ISNUMBER(SEARCH(_xlfn.CONCAT(CHAR(96),CHAR(34)),$G206)),ISNUMBER(SEARCH(_xlfn.CONCAT(CHAR(34),CHAR(39)),$G206))),_xlfn.CONCAT("* REVIEW REQUIRED: compound-quote delimiter in Universe on Sheet 1 row ",206,"; edit the input before running."),_xlfn.CONCAT("char ",TRIM($B206),"[doc_universe] ",CHAR(96),CHAR(34),SUBSTITUTE(SUBSTITUTE(SUBSTITUTE(SUBSTITUTE(SUBSTITUTE(SUBSTITUTE($G206,CHAR(13)," "),CHAR(10)," "),CHAR(9)," "),CHAR(92),_xlfn.CONCAT(CHAR(92),CHAR(92))),"$",_xlfn.CONCAT(CHAR(92),"$")),CHAR(96),_xlfn.CONCAT(CHAR(92),CHAR(96))),CHAR(34),CHAR(39))))</f>
        <v/>
      </c>
      <c r="R206" s="5" t="str">
        <f>IF(OR(TRIM($B206)="",$H206=""),"",IF(OR(ISNUMBER(SEARCH(_xlfn.CONCAT(CHAR(96),CHAR(34)),$H206)),ISNUMBER(SEARCH(_xlfn.CONCAT(CHAR(34),CHAR(39)),$H206))),_xlfn.CONCAT("* REVIEW REQUIRED: compound-quote delimiter in Source on Sheet 1 row ",206,"; edit the input before running."),_xlfn.CONCAT("char ",TRIM($B206),"[doc_source] ",CHAR(96),CHAR(34),SUBSTITUTE(SUBSTITUTE(SUBSTITUTE(SUBSTITUTE(SUBSTITUTE(SUBSTITUTE($H206,CHAR(13)," "),CHAR(10)," "),CHAR(9)," "),CHAR(92),_xlfn.CONCAT(CHAR(92),CHAR(92))),"$",_xlfn.CONCAT(CHAR(92),"$")),CHAR(96),_xlfn.CONCAT(CHAR(92),CHAR(96))),CHAR(34),CHAR(39))))</f>
        <v/>
      </c>
      <c r="S206" s="5" t="str">
        <f>IF(OR(TRIM($B206)="",$I206=""),"",IF(OR(ISNUMBER(SEARCH(_xlfn.CONCAT(CHAR(96),CHAR(34)),$I206)),ISNUMBER(SEARCH(_xlfn.CONCAT(CHAR(34),CHAR(39)),$I206))),_xlfn.CONCAT("* REVIEW REQUIRED: compound-quote delimiter in Derivation on Sheet 1 row ",206,"; edit the input before running."),_xlfn.CONCAT("char ",TRIM($B206),"[doc_derivation] ",CHAR(96),CHAR(34),SUBSTITUTE(SUBSTITUTE(SUBSTITUTE(SUBSTITUTE(SUBSTITUTE(SUBSTITUTE($I206,CHAR(13)," "),CHAR(10)," "),CHAR(9)," "),CHAR(92),_xlfn.CONCAT(CHAR(92),CHAR(92))),"$",_xlfn.CONCAT(CHAR(92),"$")),CHAR(96),_xlfn.CONCAT(CHAR(92),CHAR(96))),CHAR(34),CHAR(39))))</f>
        <v/>
      </c>
      <c r="T206" s="5" t="str">
        <f>IF(OR(TRIM($B206)="",$J206=""),"",IF(OR(ISNUMBER(SEARCH(_xlfn.CONCAT(CHAR(96),CHAR(34)),$J206)),ISNUMBER(SEARCH(_xlfn.CONCAT(CHAR(34),CHAR(39)),$J206))),_xlfn.CONCAT("* REVIEW REQUIRED: compound-quote delimiter in Notes on Sheet 1 row ",206,"; edit the input before running."),_xlfn.CONCAT("char ",TRIM($B206),"[doc_notes] ",CHAR(96),CHAR(34),SUBSTITUTE(SUBSTITUTE(SUBSTITUTE(SUBSTITUTE(SUBSTITUTE(SUBSTITUTE($J206,CHAR(13)," "),CHAR(10)," "),CHAR(9)," "),CHAR(92),_xlfn.CONCAT(CHAR(92),CHAR(92))),"$",_xlfn.CONCAT(CHAR(92),"$")),CHAR(96),_xlfn.CONCAT(CHAR(92),CHAR(96))),CHAR(34),CHAR(39))))</f>
        <v/>
      </c>
      <c r="U206" s="5">
        <f t="shared" si="5"/>
        <v>0</v>
      </c>
    </row>
    <row r="207" spans="3:21" ht="30" customHeight="1" x14ac:dyDescent="0.2">
      <c r="C207" s="4"/>
      <c r="K207" s="5">
        <f t="shared" si="4"/>
        <v>0</v>
      </c>
      <c r="L207" s="5" t="str">
        <f>IF(OR(TRIM($B207)="",$A207=""),"",IF(OR(ISNUMBER(SEARCH(_xlfn.CONCAT(CHAR(96),CHAR(34)),$A207)),ISNUMBER(SEARCH(_xlfn.CONCAT(CHAR(34),CHAR(39)),$A207))),_xlfn.CONCAT("* REVIEW REQUIRED: compound-quote delimiter in Codebook Section on Sheet 1 row ",207,"; edit the input before running."),_xlfn.CONCAT("char ",TRIM($B207),"[doc_section] ",CHAR(96),CHAR(34),SUBSTITUTE(SUBSTITUTE(SUBSTITUTE(SUBSTITUTE(SUBSTITUTE(SUBSTITUTE($A207,CHAR(13)," "),CHAR(10)," "),CHAR(9)," "),CHAR(92),_xlfn.CONCAT(CHAR(92),CHAR(92))),"$",_xlfn.CONCAT(CHAR(92),"$")),CHAR(96),_xlfn.CONCAT(CHAR(92),CHAR(96))),CHAR(34),CHAR(39))))</f>
        <v/>
      </c>
      <c r="M207" s="5" t="str">
        <f>IF(OR(TRIM($B207)="",$C207=""),"",IF(IFERROR(MATCH(TRIM($C207),{"Quantitative","Continuous","Discrete","Categorical","Nominal","Ordinal","Identifier"},0),0)=0,_xlfn.CONCAT("* REVIEW REQUIRED: invalid Variable Type on Sheet 1 row ",207,"."),_xlfn.CONCAT("char ",TRIM($B207),"[doc_vartype] ",CHAR(96),CHAR(34),SUBSTITUTE(SUBSTITUTE(SUBSTITUTE(SUBSTITUTE(SUBSTITUTE(SUBSTITUTE(LOWER(TRIM($C207)),CHAR(13)," "),CHAR(10)," "),CHAR(9)," "),CHAR(92),_xlfn.CONCAT(CHAR(92),CHAR(92))),"$",_xlfn.CONCAT(CHAR(92),"$")),CHAR(96),_xlfn.CONCAT(CHAR(92),CHAR(96))),CHAR(34),CHAR(39))))</f>
        <v/>
      </c>
      <c r="N207" s="5" t="str">
        <f>IF(OR(TRIM($B207)="",$D207=""),"",IF(OR(ISNUMBER(SEARCH(_xlfn.CONCAT(CHAR(96),CHAR(34)),$D207)),ISNUMBER(SEARCH(_xlfn.CONCAT(CHAR(34),CHAR(39)),$D207))),_xlfn.CONCAT("* REVIEW REQUIRED: compound-quote delimiter in Item Number on Sheet 1 row ",207,"; edit the input before running."),_xlfn.CONCAT("char ",TRIM($B207),"[doc_itemnum] ",CHAR(96),CHAR(34),SUBSTITUTE(SUBSTITUTE(SUBSTITUTE(SUBSTITUTE(SUBSTITUTE(SUBSTITUTE($D207,CHAR(13)," "),CHAR(10)," "),CHAR(9)," "),CHAR(92),_xlfn.CONCAT(CHAR(92),CHAR(92))),"$",_xlfn.CONCAT(CHAR(92),"$")),CHAR(96),_xlfn.CONCAT(CHAR(92),CHAR(96))),CHAR(34),CHAR(39))))</f>
        <v/>
      </c>
      <c r="O207" s="5" t="str">
        <f>IF(OR(TRIM($B207)="",$E207=""),"",IF(OR(ISNUMBER(SEARCH(_xlfn.CONCAT(CHAR(96),CHAR(34)),$E207)),ISNUMBER(SEARCH(_xlfn.CONCAT(CHAR(34),CHAR(39)),$E207))),_xlfn.CONCAT("* REVIEW REQUIRED: compound-quote delimiter in Question Wording on Sheet 1 row ",207,"; edit the input before running."),_xlfn.CONCAT("char ",TRIM($B207),"[doc_question] ",CHAR(96),CHAR(34),SUBSTITUTE(SUBSTITUTE(SUBSTITUTE(SUBSTITUTE(SUBSTITUTE(SUBSTITUTE($E207,CHAR(13)," "),CHAR(10)," "),CHAR(9)," "),CHAR(92),_xlfn.CONCAT(CHAR(92),CHAR(92))),"$",_xlfn.CONCAT(CHAR(92),"$")),CHAR(96),_xlfn.CONCAT(CHAR(92),CHAR(96))),CHAR(34),CHAR(39))))</f>
        <v/>
      </c>
      <c r="P207" s="5" t="str">
        <f>IF(OR(TRIM($B207)="",$F207=""),"",IF(OR(ISNUMBER(SEARCH(_xlfn.CONCAT(CHAR(96),CHAR(34)),$F207)),ISNUMBER(SEARCH(_xlfn.CONCAT(CHAR(34),CHAR(39)),$F207))),_xlfn.CONCAT("* REVIEW REQUIRED: compound-quote delimiter in Units on Sheet 1 row ",207,"; edit the input before running."),_xlfn.CONCAT("char ",TRIM($B207),"[doc_units] ",CHAR(96),CHAR(34),SUBSTITUTE(SUBSTITUTE(SUBSTITUTE(SUBSTITUTE(SUBSTITUTE(SUBSTITUTE($F207,CHAR(13)," "),CHAR(10)," "),CHAR(9)," "),CHAR(92),_xlfn.CONCAT(CHAR(92),CHAR(92))),"$",_xlfn.CONCAT(CHAR(92),"$")),CHAR(96),_xlfn.CONCAT(CHAR(92),CHAR(96))),CHAR(34),CHAR(39))))</f>
        <v/>
      </c>
      <c r="Q207" s="5" t="str">
        <f>IF(OR(TRIM($B207)="",$G207=""),"",IF(OR(ISNUMBER(SEARCH(_xlfn.CONCAT(CHAR(96),CHAR(34)),$G207)),ISNUMBER(SEARCH(_xlfn.CONCAT(CHAR(34),CHAR(39)),$G207))),_xlfn.CONCAT("* REVIEW REQUIRED: compound-quote delimiter in Universe on Sheet 1 row ",207,"; edit the input before running."),_xlfn.CONCAT("char ",TRIM($B207),"[doc_universe] ",CHAR(96),CHAR(34),SUBSTITUTE(SUBSTITUTE(SUBSTITUTE(SUBSTITUTE(SUBSTITUTE(SUBSTITUTE($G207,CHAR(13)," "),CHAR(10)," "),CHAR(9)," "),CHAR(92),_xlfn.CONCAT(CHAR(92),CHAR(92))),"$",_xlfn.CONCAT(CHAR(92),"$")),CHAR(96),_xlfn.CONCAT(CHAR(92),CHAR(96))),CHAR(34),CHAR(39))))</f>
        <v/>
      </c>
      <c r="R207" s="5" t="str">
        <f>IF(OR(TRIM($B207)="",$H207=""),"",IF(OR(ISNUMBER(SEARCH(_xlfn.CONCAT(CHAR(96),CHAR(34)),$H207)),ISNUMBER(SEARCH(_xlfn.CONCAT(CHAR(34),CHAR(39)),$H207))),_xlfn.CONCAT("* REVIEW REQUIRED: compound-quote delimiter in Source on Sheet 1 row ",207,"; edit the input before running."),_xlfn.CONCAT("char ",TRIM($B207),"[doc_source] ",CHAR(96),CHAR(34),SUBSTITUTE(SUBSTITUTE(SUBSTITUTE(SUBSTITUTE(SUBSTITUTE(SUBSTITUTE($H207,CHAR(13)," "),CHAR(10)," "),CHAR(9)," "),CHAR(92),_xlfn.CONCAT(CHAR(92),CHAR(92))),"$",_xlfn.CONCAT(CHAR(92),"$")),CHAR(96),_xlfn.CONCAT(CHAR(92),CHAR(96))),CHAR(34),CHAR(39))))</f>
        <v/>
      </c>
      <c r="S207" s="5" t="str">
        <f>IF(OR(TRIM($B207)="",$I207=""),"",IF(OR(ISNUMBER(SEARCH(_xlfn.CONCAT(CHAR(96),CHAR(34)),$I207)),ISNUMBER(SEARCH(_xlfn.CONCAT(CHAR(34),CHAR(39)),$I207))),_xlfn.CONCAT("* REVIEW REQUIRED: compound-quote delimiter in Derivation on Sheet 1 row ",207,"; edit the input before running."),_xlfn.CONCAT("char ",TRIM($B207),"[doc_derivation] ",CHAR(96),CHAR(34),SUBSTITUTE(SUBSTITUTE(SUBSTITUTE(SUBSTITUTE(SUBSTITUTE(SUBSTITUTE($I207,CHAR(13)," "),CHAR(10)," "),CHAR(9)," "),CHAR(92),_xlfn.CONCAT(CHAR(92),CHAR(92))),"$",_xlfn.CONCAT(CHAR(92),"$")),CHAR(96),_xlfn.CONCAT(CHAR(92),CHAR(96))),CHAR(34),CHAR(39))))</f>
        <v/>
      </c>
      <c r="T207" s="5" t="str">
        <f>IF(OR(TRIM($B207)="",$J207=""),"",IF(OR(ISNUMBER(SEARCH(_xlfn.CONCAT(CHAR(96),CHAR(34)),$J207)),ISNUMBER(SEARCH(_xlfn.CONCAT(CHAR(34),CHAR(39)),$J207))),_xlfn.CONCAT("* REVIEW REQUIRED: compound-quote delimiter in Notes on Sheet 1 row ",207,"; edit the input before running."),_xlfn.CONCAT("char ",TRIM($B207),"[doc_notes] ",CHAR(96),CHAR(34),SUBSTITUTE(SUBSTITUTE(SUBSTITUTE(SUBSTITUTE(SUBSTITUTE(SUBSTITUTE($J207,CHAR(13)," "),CHAR(10)," "),CHAR(9)," "),CHAR(92),_xlfn.CONCAT(CHAR(92),CHAR(92))),"$",_xlfn.CONCAT(CHAR(92),"$")),CHAR(96),_xlfn.CONCAT(CHAR(92),CHAR(96))),CHAR(34),CHAR(39))))</f>
        <v/>
      </c>
      <c r="U207" s="5">
        <f t="shared" si="5"/>
        <v>0</v>
      </c>
    </row>
    <row r="208" spans="3:21" ht="30" customHeight="1" x14ac:dyDescent="0.2">
      <c r="C208" s="4"/>
      <c r="K208" s="5">
        <f t="shared" si="4"/>
        <v>0</v>
      </c>
      <c r="L208" s="5" t="str">
        <f>IF(OR(TRIM($B208)="",$A208=""),"",IF(OR(ISNUMBER(SEARCH(_xlfn.CONCAT(CHAR(96),CHAR(34)),$A208)),ISNUMBER(SEARCH(_xlfn.CONCAT(CHAR(34),CHAR(39)),$A208))),_xlfn.CONCAT("* REVIEW REQUIRED: compound-quote delimiter in Codebook Section on Sheet 1 row ",208,"; edit the input before running."),_xlfn.CONCAT("char ",TRIM($B208),"[doc_section] ",CHAR(96),CHAR(34),SUBSTITUTE(SUBSTITUTE(SUBSTITUTE(SUBSTITUTE(SUBSTITUTE(SUBSTITUTE($A208,CHAR(13)," "),CHAR(10)," "),CHAR(9)," "),CHAR(92),_xlfn.CONCAT(CHAR(92),CHAR(92))),"$",_xlfn.CONCAT(CHAR(92),"$")),CHAR(96),_xlfn.CONCAT(CHAR(92),CHAR(96))),CHAR(34),CHAR(39))))</f>
        <v/>
      </c>
      <c r="M208" s="5" t="str">
        <f>IF(OR(TRIM($B208)="",$C208=""),"",IF(IFERROR(MATCH(TRIM($C208),{"Quantitative","Continuous","Discrete","Categorical","Nominal","Ordinal","Identifier"},0),0)=0,_xlfn.CONCAT("* REVIEW REQUIRED: invalid Variable Type on Sheet 1 row ",208,"."),_xlfn.CONCAT("char ",TRIM($B208),"[doc_vartype] ",CHAR(96),CHAR(34),SUBSTITUTE(SUBSTITUTE(SUBSTITUTE(SUBSTITUTE(SUBSTITUTE(SUBSTITUTE(LOWER(TRIM($C208)),CHAR(13)," "),CHAR(10)," "),CHAR(9)," "),CHAR(92),_xlfn.CONCAT(CHAR(92),CHAR(92))),"$",_xlfn.CONCAT(CHAR(92),"$")),CHAR(96),_xlfn.CONCAT(CHAR(92),CHAR(96))),CHAR(34),CHAR(39))))</f>
        <v/>
      </c>
      <c r="N208" s="5" t="str">
        <f>IF(OR(TRIM($B208)="",$D208=""),"",IF(OR(ISNUMBER(SEARCH(_xlfn.CONCAT(CHAR(96),CHAR(34)),$D208)),ISNUMBER(SEARCH(_xlfn.CONCAT(CHAR(34),CHAR(39)),$D208))),_xlfn.CONCAT("* REVIEW REQUIRED: compound-quote delimiter in Item Number on Sheet 1 row ",208,"; edit the input before running."),_xlfn.CONCAT("char ",TRIM($B208),"[doc_itemnum] ",CHAR(96),CHAR(34),SUBSTITUTE(SUBSTITUTE(SUBSTITUTE(SUBSTITUTE(SUBSTITUTE(SUBSTITUTE($D208,CHAR(13)," "),CHAR(10)," "),CHAR(9)," "),CHAR(92),_xlfn.CONCAT(CHAR(92),CHAR(92))),"$",_xlfn.CONCAT(CHAR(92),"$")),CHAR(96),_xlfn.CONCAT(CHAR(92),CHAR(96))),CHAR(34),CHAR(39))))</f>
        <v/>
      </c>
      <c r="O208" s="5" t="str">
        <f>IF(OR(TRIM($B208)="",$E208=""),"",IF(OR(ISNUMBER(SEARCH(_xlfn.CONCAT(CHAR(96),CHAR(34)),$E208)),ISNUMBER(SEARCH(_xlfn.CONCAT(CHAR(34),CHAR(39)),$E208))),_xlfn.CONCAT("* REVIEW REQUIRED: compound-quote delimiter in Question Wording on Sheet 1 row ",208,"; edit the input before running."),_xlfn.CONCAT("char ",TRIM($B208),"[doc_question] ",CHAR(96),CHAR(34),SUBSTITUTE(SUBSTITUTE(SUBSTITUTE(SUBSTITUTE(SUBSTITUTE(SUBSTITUTE($E208,CHAR(13)," "),CHAR(10)," "),CHAR(9)," "),CHAR(92),_xlfn.CONCAT(CHAR(92),CHAR(92))),"$",_xlfn.CONCAT(CHAR(92),"$")),CHAR(96),_xlfn.CONCAT(CHAR(92),CHAR(96))),CHAR(34),CHAR(39))))</f>
        <v/>
      </c>
      <c r="P208" s="5" t="str">
        <f>IF(OR(TRIM($B208)="",$F208=""),"",IF(OR(ISNUMBER(SEARCH(_xlfn.CONCAT(CHAR(96),CHAR(34)),$F208)),ISNUMBER(SEARCH(_xlfn.CONCAT(CHAR(34),CHAR(39)),$F208))),_xlfn.CONCAT("* REVIEW REQUIRED: compound-quote delimiter in Units on Sheet 1 row ",208,"; edit the input before running."),_xlfn.CONCAT("char ",TRIM($B208),"[doc_units] ",CHAR(96),CHAR(34),SUBSTITUTE(SUBSTITUTE(SUBSTITUTE(SUBSTITUTE(SUBSTITUTE(SUBSTITUTE($F208,CHAR(13)," "),CHAR(10)," "),CHAR(9)," "),CHAR(92),_xlfn.CONCAT(CHAR(92),CHAR(92))),"$",_xlfn.CONCAT(CHAR(92),"$")),CHAR(96),_xlfn.CONCAT(CHAR(92),CHAR(96))),CHAR(34),CHAR(39))))</f>
        <v/>
      </c>
      <c r="Q208" s="5" t="str">
        <f>IF(OR(TRIM($B208)="",$G208=""),"",IF(OR(ISNUMBER(SEARCH(_xlfn.CONCAT(CHAR(96),CHAR(34)),$G208)),ISNUMBER(SEARCH(_xlfn.CONCAT(CHAR(34),CHAR(39)),$G208))),_xlfn.CONCAT("* REVIEW REQUIRED: compound-quote delimiter in Universe on Sheet 1 row ",208,"; edit the input before running."),_xlfn.CONCAT("char ",TRIM($B208),"[doc_universe] ",CHAR(96),CHAR(34),SUBSTITUTE(SUBSTITUTE(SUBSTITUTE(SUBSTITUTE(SUBSTITUTE(SUBSTITUTE($G208,CHAR(13)," "),CHAR(10)," "),CHAR(9)," "),CHAR(92),_xlfn.CONCAT(CHAR(92),CHAR(92))),"$",_xlfn.CONCAT(CHAR(92),"$")),CHAR(96),_xlfn.CONCAT(CHAR(92),CHAR(96))),CHAR(34),CHAR(39))))</f>
        <v/>
      </c>
      <c r="R208" s="5" t="str">
        <f>IF(OR(TRIM($B208)="",$H208=""),"",IF(OR(ISNUMBER(SEARCH(_xlfn.CONCAT(CHAR(96),CHAR(34)),$H208)),ISNUMBER(SEARCH(_xlfn.CONCAT(CHAR(34),CHAR(39)),$H208))),_xlfn.CONCAT("* REVIEW REQUIRED: compound-quote delimiter in Source on Sheet 1 row ",208,"; edit the input before running."),_xlfn.CONCAT("char ",TRIM($B208),"[doc_source] ",CHAR(96),CHAR(34),SUBSTITUTE(SUBSTITUTE(SUBSTITUTE(SUBSTITUTE(SUBSTITUTE(SUBSTITUTE($H208,CHAR(13)," "),CHAR(10)," "),CHAR(9)," "),CHAR(92),_xlfn.CONCAT(CHAR(92),CHAR(92))),"$",_xlfn.CONCAT(CHAR(92),"$")),CHAR(96),_xlfn.CONCAT(CHAR(92),CHAR(96))),CHAR(34),CHAR(39))))</f>
        <v/>
      </c>
      <c r="S208" s="5" t="str">
        <f>IF(OR(TRIM($B208)="",$I208=""),"",IF(OR(ISNUMBER(SEARCH(_xlfn.CONCAT(CHAR(96),CHAR(34)),$I208)),ISNUMBER(SEARCH(_xlfn.CONCAT(CHAR(34),CHAR(39)),$I208))),_xlfn.CONCAT("* REVIEW REQUIRED: compound-quote delimiter in Derivation on Sheet 1 row ",208,"; edit the input before running."),_xlfn.CONCAT("char ",TRIM($B208),"[doc_derivation] ",CHAR(96),CHAR(34),SUBSTITUTE(SUBSTITUTE(SUBSTITUTE(SUBSTITUTE(SUBSTITUTE(SUBSTITUTE($I208,CHAR(13)," "),CHAR(10)," "),CHAR(9)," "),CHAR(92),_xlfn.CONCAT(CHAR(92),CHAR(92))),"$",_xlfn.CONCAT(CHAR(92),"$")),CHAR(96),_xlfn.CONCAT(CHAR(92),CHAR(96))),CHAR(34),CHAR(39))))</f>
        <v/>
      </c>
      <c r="T208" s="5" t="str">
        <f>IF(OR(TRIM($B208)="",$J208=""),"",IF(OR(ISNUMBER(SEARCH(_xlfn.CONCAT(CHAR(96),CHAR(34)),$J208)),ISNUMBER(SEARCH(_xlfn.CONCAT(CHAR(34),CHAR(39)),$J208))),_xlfn.CONCAT("* REVIEW REQUIRED: compound-quote delimiter in Notes on Sheet 1 row ",208,"; edit the input before running."),_xlfn.CONCAT("char ",TRIM($B208),"[doc_notes] ",CHAR(96),CHAR(34),SUBSTITUTE(SUBSTITUTE(SUBSTITUTE(SUBSTITUTE(SUBSTITUTE(SUBSTITUTE($J208,CHAR(13)," "),CHAR(10)," "),CHAR(9)," "),CHAR(92),_xlfn.CONCAT(CHAR(92),CHAR(92))),"$",_xlfn.CONCAT(CHAR(92),"$")),CHAR(96),_xlfn.CONCAT(CHAR(92),CHAR(96))),CHAR(34),CHAR(39))))</f>
        <v/>
      </c>
      <c r="U208" s="5">
        <f t="shared" si="5"/>
        <v>0</v>
      </c>
    </row>
    <row r="209" spans="3:21" ht="30" customHeight="1" x14ac:dyDescent="0.2">
      <c r="C209" s="4"/>
      <c r="K209" s="5">
        <f t="shared" si="4"/>
        <v>0</v>
      </c>
      <c r="L209" s="5" t="str">
        <f>IF(OR(TRIM($B209)="",$A209=""),"",IF(OR(ISNUMBER(SEARCH(_xlfn.CONCAT(CHAR(96),CHAR(34)),$A209)),ISNUMBER(SEARCH(_xlfn.CONCAT(CHAR(34),CHAR(39)),$A209))),_xlfn.CONCAT("* REVIEW REQUIRED: compound-quote delimiter in Codebook Section on Sheet 1 row ",209,"; edit the input before running."),_xlfn.CONCAT("char ",TRIM($B209),"[doc_section] ",CHAR(96),CHAR(34),SUBSTITUTE(SUBSTITUTE(SUBSTITUTE(SUBSTITUTE(SUBSTITUTE(SUBSTITUTE($A209,CHAR(13)," "),CHAR(10)," "),CHAR(9)," "),CHAR(92),_xlfn.CONCAT(CHAR(92),CHAR(92))),"$",_xlfn.CONCAT(CHAR(92),"$")),CHAR(96),_xlfn.CONCAT(CHAR(92),CHAR(96))),CHAR(34),CHAR(39))))</f>
        <v/>
      </c>
      <c r="M209" s="5" t="str">
        <f>IF(OR(TRIM($B209)="",$C209=""),"",IF(IFERROR(MATCH(TRIM($C209),{"Quantitative","Continuous","Discrete","Categorical","Nominal","Ordinal","Identifier"},0),0)=0,_xlfn.CONCAT("* REVIEW REQUIRED: invalid Variable Type on Sheet 1 row ",209,"."),_xlfn.CONCAT("char ",TRIM($B209),"[doc_vartype] ",CHAR(96),CHAR(34),SUBSTITUTE(SUBSTITUTE(SUBSTITUTE(SUBSTITUTE(SUBSTITUTE(SUBSTITUTE(LOWER(TRIM($C209)),CHAR(13)," "),CHAR(10)," "),CHAR(9)," "),CHAR(92),_xlfn.CONCAT(CHAR(92),CHAR(92))),"$",_xlfn.CONCAT(CHAR(92),"$")),CHAR(96),_xlfn.CONCAT(CHAR(92),CHAR(96))),CHAR(34),CHAR(39))))</f>
        <v/>
      </c>
      <c r="N209" s="5" t="str">
        <f>IF(OR(TRIM($B209)="",$D209=""),"",IF(OR(ISNUMBER(SEARCH(_xlfn.CONCAT(CHAR(96),CHAR(34)),$D209)),ISNUMBER(SEARCH(_xlfn.CONCAT(CHAR(34),CHAR(39)),$D209))),_xlfn.CONCAT("* REVIEW REQUIRED: compound-quote delimiter in Item Number on Sheet 1 row ",209,"; edit the input before running."),_xlfn.CONCAT("char ",TRIM($B209),"[doc_itemnum] ",CHAR(96),CHAR(34),SUBSTITUTE(SUBSTITUTE(SUBSTITUTE(SUBSTITUTE(SUBSTITUTE(SUBSTITUTE($D209,CHAR(13)," "),CHAR(10)," "),CHAR(9)," "),CHAR(92),_xlfn.CONCAT(CHAR(92),CHAR(92))),"$",_xlfn.CONCAT(CHAR(92),"$")),CHAR(96),_xlfn.CONCAT(CHAR(92),CHAR(96))),CHAR(34),CHAR(39))))</f>
        <v/>
      </c>
      <c r="O209" s="5" t="str">
        <f>IF(OR(TRIM($B209)="",$E209=""),"",IF(OR(ISNUMBER(SEARCH(_xlfn.CONCAT(CHAR(96),CHAR(34)),$E209)),ISNUMBER(SEARCH(_xlfn.CONCAT(CHAR(34),CHAR(39)),$E209))),_xlfn.CONCAT("* REVIEW REQUIRED: compound-quote delimiter in Question Wording on Sheet 1 row ",209,"; edit the input before running."),_xlfn.CONCAT("char ",TRIM($B209),"[doc_question] ",CHAR(96),CHAR(34),SUBSTITUTE(SUBSTITUTE(SUBSTITUTE(SUBSTITUTE(SUBSTITUTE(SUBSTITUTE($E209,CHAR(13)," "),CHAR(10)," "),CHAR(9)," "),CHAR(92),_xlfn.CONCAT(CHAR(92),CHAR(92))),"$",_xlfn.CONCAT(CHAR(92),"$")),CHAR(96),_xlfn.CONCAT(CHAR(92),CHAR(96))),CHAR(34),CHAR(39))))</f>
        <v/>
      </c>
      <c r="P209" s="5" t="str">
        <f>IF(OR(TRIM($B209)="",$F209=""),"",IF(OR(ISNUMBER(SEARCH(_xlfn.CONCAT(CHAR(96),CHAR(34)),$F209)),ISNUMBER(SEARCH(_xlfn.CONCAT(CHAR(34),CHAR(39)),$F209))),_xlfn.CONCAT("* REVIEW REQUIRED: compound-quote delimiter in Units on Sheet 1 row ",209,"; edit the input before running."),_xlfn.CONCAT("char ",TRIM($B209),"[doc_units] ",CHAR(96),CHAR(34),SUBSTITUTE(SUBSTITUTE(SUBSTITUTE(SUBSTITUTE(SUBSTITUTE(SUBSTITUTE($F209,CHAR(13)," "),CHAR(10)," "),CHAR(9)," "),CHAR(92),_xlfn.CONCAT(CHAR(92),CHAR(92))),"$",_xlfn.CONCAT(CHAR(92),"$")),CHAR(96),_xlfn.CONCAT(CHAR(92),CHAR(96))),CHAR(34),CHAR(39))))</f>
        <v/>
      </c>
      <c r="Q209" s="5" t="str">
        <f>IF(OR(TRIM($B209)="",$G209=""),"",IF(OR(ISNUMBER(SEARCH(_xlfn.CONCAT(CHAR(96),CHAR(34)),$G209)),ISNUMBER(SEARCH(_xlfn.CONCAT(CHAR(34),CHAR(39)),$G209))),_xlfn.CONCAT("* REVIEW REQUIRED: compound-quote delimiter in Universe on Sheet 1 row ",209,"; edit the input before running."),_xlfn.CONCAT("char ",TRIM($B209),"[doc_universe] ",CHAR(96),CHAR(34),SUBSTITUTE(SUBSTITUTE(SUBSTITUTE(SUBSTITUTE(SUBSTITUTE(SUBSTITUTE($G209,CHAR(13)," "),CHAR(10)," "),CHAR(9)," "),CHAR(92),_xlfn.CONCAT(CHAR(92),CHAR(92))),"$",_xlfn.CONCAT(CHAR(92),"$")),CHAR(96),_xlfn.CONCAT(CHAR(92),CHAR(96))),CHAR(34),CHAR(39))))</f>
        <v/>
      </c>
      <c r="R209" s="5" t="str">
        <f>IF(OR(TRIM($B209)="",$H209=""),"",IF(OR(ISNUMBER(SEARCH(_xlfn.CONCAT(CHAR(96),CHAR(34)),$H209)),ISNUMBER(SEARCH(_xlfn.CONCAT(CHAR(34),CHAR(39)),$H209))),_xlfn.CONCAT("* REVIEW REQUIRED: compound-quote delimiter in Source on Sheet 1 row ",209,"; edit the input before running."),_xlfn.CONCAT("char ",TRIM($B209),"[doc_source] ",CHAR(96),CHAR(34),SUBSTITUTE(SUBSTITUTE(SUBSTITUTE(SUBSTITUTE(SUBSTITUTE(SUBSTITUTE($H209,CHAR(13)," "),CHAR(10)," "),CHAR(9)," "),CHAR(92),_xlfn.CONCAT(CHAR(92),CHAR(92))),"$",_xlfn.CONCAT(CHAR(92),"$")),CHAR(96),_xlfn.CONCAT(CHAR(92),CHAR(96))),CHAR(34),CHAR(39))))</f>
        <v/>
      </c>
      <c r="S209" s="5" t="str">
        <f>IF(OR(TRIM($B209)="",$I209=""),"",IF(OR(ISNUMBER(SEARCH(_xlfn.CONCAT(CHAR(96),CHAR(34)),$I209)),ISNUMBER(SEARCH(_xlfn.CONCAT(CHAR(34),CHAR(39)),$I209))),_xlfn.CONCAT("* REVIEW REQUIRED: compound-quote delimiter in Derivation on Sheet 1 row ",209,"; edit the input before running."),_xlfn.CONCAT("char ",TRIM($B209),"[doc_derivation] ",CHAR(96),CHAR(34),SUBSTITUTE(SUBSTITUTE(SUBSTITUTE(SUBSTITUTE(SUBSTITUTE(SUBSTITUTE($I209,CHAR(13)," "),CHAR(10)," "),CHAR(9)," "),CHAR(92),_xlfn.CONCAT(CHAR(92),CHAR(92))),"$",_xlfn.CONCAT(CHAR(92),"$")),CHAR(96),_xlfn.CONCAT(CHAR(92),CHAR(96))),CHAR(34),CHAR(39))))</f>
        <v/>
      </c>
      <c r="T209" s="5" t="str">
        <f>IF(OR(TRIM($B209)="",$J209=""),"",IF(OR(ISNUMBER(SEARCH(_xlfn.CONCAT(CHAR(96),CHAR(34)),$J209)),ISNUMBER(SEARCH(_xlfn.CONCAT(CHAR(34),CHAR(39)),$J209))),_xlfn.CONCAT("* REVIEW REQUIRED: compound-quote delimiter in Notes on Sheet 1 row ",209,"; edit the input before running."),_xlfn.CONCAT("char ",TRIM($B209),"[doc_notes] ",CHAR(96),CHAR(34),SUBSTITUTE(SUBSTITUTE(SUBSTITUTE(SUBSTITUTE(SUBSTITUTE(SUBSTITUTE($J209,CHAR(13)," "),CHAR(10)," "),CHAR(9)," "),CHAR(92),_xlfn.CONCAT(CHAR(92),CHAR(92))),"$",_xlfn.CONCAT(CHAR(92),"$")),CHAR(96),_xlfn.CONCAT(CHAR(92),CHAR(96))),CHAR(34),CHAR(39))))</f>
        <v/>
      </c>
      <c r="U209" s="5">
        <f t="shared" si="5"/>
        <v>0</v>
      </c>
    </row>
    <row r="210" spans="3:21" ht="30" customHeight="1" x14ac:dyDescent="0.2">
      <c r="C210" s="4"/>
      <c r="K210" s="5">
        <f t="shared" si="4"/>
        <v>0</v>
      </c>
      <c r="L210" s="5" t="str">
        <f>IF(OR(TRIM($B210)="",$A210=""),"",IF(OR(ISNUMBER(SEARCH(_xlfn.CONCAT(CHAR(96),CHAR(34)),$A210)),ISNUMBER(SEARCH(_xlfn.CONCAT(CHAR(34),CHAR(39)),$A210))),_xlfn.CONCAT("* REVIEW REQUIRED: compound-quote delimiter in Codebook Section on Sheet 1 row ",210,"; edit the input before running."),_xlfn.CONCAT("char ",TRIM($B210),"[doc_section] ",CHAR(96),CHAR(34),SUBSTITUTE(SUBSTITUTE(SUBSTITUTE(SUBSTITUTE(SUBSTITUTE(SUBSTITUTE($A210,CHAR(13)," "),CHAR(10)," "),CHAR(9)," "),CHAR(92),_xlfn.CONCAT(CHAR(92),CHAR(92))),"$",_xlfn.CONCAT(CHAR(92),"$")),CHAR(96),_xlfn.CONCAT(CHAR(92),CHAR(96))),CHAR(34),CHAR(39))))</f>
        <v/>
      </c>
      <c r="M210" s="5" t="str">
        <f>IF(OR(TRIM($B210)="",$C210=""),"",IF(IFERROR(MATCH(TRIM($C210),{"Quantitative","Continuous","Discrete","Categorical","Nominal","Ordinal","Identifier"},0),0)=0,_xlfn.CONCAT("* REVIEW REQUIRED: invalid Variable Type on Sheet 1 row ",210,"."),_xlfn.CONCAT("char ",TRIM($B210),"[doc_vartype] ",CHAR(96),CHAR(34),SUBSTITUTE(SUBSTITUTE(SUBSTITUTE(SUBSTITUTE(SUBSTITUTE(SUBSTITUTE(LOWER(TRIM($C210)),CHAR(13)," "),CHAR(10)," "),CHAR(9)," "),CHAR(92),_xlfn.CONCAT(CHAR(92),CHAR(92))),"$",_xlfn.CONCAT(CHAR(92),"$")),CHAR(96),_xlfn.CONCAT(CHAR(92),CHAR(96))),CHAR(34),CHAR(39))))</f>
        <v/>
      </c>
      <c r="N210" s="5" t="str">
        <f>IF(OR(TRIM($B210)="",$D210=""),"",IF(OR(ISNUMBER(SEARCH(_xlfn.CONCAT(CHAR(96),CHAR(34)),$D210)),ISNUMBER(SEARCH(_xlfn.CONCAT(CHAR(34),CHAR(39)),$D210))),_xlfn.CONCAT("* REVIEW REQUIRED: compound-quote delimiter in Item Number on Sheet 1 row ",210,"; edit the input before running."),_xlfn.CONCAT("char ",TRIM($B210),"[doc_itemnum] ",CHAR(96),CHAR(34),SUBSTITUTE(SUBSTITUTE(SUBSTITUTE(SUBSTITUTE(SUBSTITUTE(SUBSTITUTE($D210,CHAR(13)," "),CHAR(10)," "),CHAR(9)," "),CHAR(92),_xlfn.CONCAT(CHAR(92),CHAR(92))),"$",_xlfn.CONCAT(CHAR(92),"$")),CHAR(96),_xlfn.CONCAT(CHAR(92),CHAR(96))),CHAR(34),CHAR(39))))</f>
        <v/>
      </c>
      <c r="O210" s="5" t="str">
        <f>IF(OR(TRIM($B210)="",$E210=""),"",IF(OR(ISNUMBER(SEARCH(_xlfn.CONCAT(CHAR(96),CHAR(34)),$E210)),ISNUMBER(SEARCH(_xlfn.CONCAT(CHAR(34),CHAR(39)),$E210))),_xlfn.CONCAT("* REVIEW REQUIRED: compound-quote delimiter in Question Wording on Sheet 1 row ",210,"; edit the input before running."),_xlfn.CONCAT("char ",TRIM($B210),"[doc_question] ",CHAR(96),CHAR(34),SUBSTITUTE(SUBSTITUTE(SUBSTITUTE(SUBSTITUTE(SUBSTITUTE(SUBSTITUTE($E210,CHAR(13)," "),CHAR(10)," "),CHAR(9)," "),CHAR(92),_xlfn.CONCAT(CHAR(92),CHAR(92))),"$",_xlfn.CONCAT(CHAR(92),"$")),CHAR(96),_xlfn.CONCAT(CHAR(92),CHAR(96))),CHAR(34),CHAR(39))))</f>
        <v/>
      </c>
      <c r="P210" s="5" t="str">
        <f>IF(OR(TRIM($B210)="",$F210=""),"",IF(OR(ISNUMBER(SEARCH(_xlfn.CONCAT(CHAR(96),CHAR(34)),$F210)),ISNUMBER(SEARCH(_xlfn.CONCAT(CHAR(34),CHAR(39)),$F210))),_xlfn.CONCAT("* REVIEW REQUIRED: compound-quote delimiter in Units on Sheet 1 row ",210,"; edit the input before running."),_xlfn.CONCAT("char ",TRIM($B210),"[doc_units] ",CHAR(96),CHAR(34),SUBSTITUTE(SUBSTITUTE(SUBSTITUTE(SUBSTITUTE(SUBSTITUTE(SUBSTITUTE($F210,CHAR(13)," "),CHAR(10)," "),CHAR(9)," "),CHAR(92),_xlfn.CONCAT(CHAR(92),CHAR(92))),"$",_xlfn.CONCAT(CHAR(92),"$")),CHAR(96),_xlfn.CONCAT(CHAR(92),CHAR(96))),CHAR(34),CHAR(39))))</f>
        <v/>
      </c>
      <c r="Q210" s="5" t="str">
        <f>IF(OR(TRIM($B210)="",$G210=""),"",IF(OR(ISNUMBER(SEARCH(_xlfn.CONCAT(CHAR(96),CHAR(34)),$G210)),ISNUMBER(SEARCH(_xlfn.CONCAT(CHAR(34),CHAR(39)),$G210))),_xlfn.CONCAT("* REVIEW REQUIRED: compound-quote delimiter in Universe on Sheet 1 row ",210,"; edit the input before running."),_xlfn.CONCAT("char ",TRIM($B210),"[doc_universe] ",CHAR(96),CHAR(34),SUBSTITUTE(SUBSTITUTE(SUBSTITUTE(SUBSTITUTE(SUBSTITUTE(SUBSTITUTE($G210,CHAR(13)," "),CHAR(10)," "),CHAR(9)," "),CHAR(92),_xlfn.CONCAT(CHAR(92),CHAR(92))),"$",_xlfn.CONCAT(CHAR(92),"$")),CHAR(96),_xlfn.CONCAT(CHAR(92),CHAR(96))),CHAR(34),CHAR(39))))</f>
        <v/>
      </c>
      <c r="R210" s="5" t="str">
        <f>IF(OR(TRIM($B210)="",$H210=""),"",IF(OR(ISNUMBER(SEARCH(_xlfn.CONCAT(CHAR(96),CHAR(34)),$H210)),ISNUMBER(SEARCH(_xlfn.CONCAT(CHAR(34),CHAR(39)),$H210))),_xlfn.CONCAT("* REVIEW REQUIRED: compound-quote delimiter in Source on Sheet 1 row ",210,"; edit the input before running."),_xlfn.CONCAT("char ",TRIM($B210),"[doc_source] ",CHAR(96),CHAR(34),SUBSTITUTE(SUBSTITUTE(SUBSTITUTE(SUBSTITUTE(SUBSTITUTE(SUBSTITUTE($H210,CHAR(13)," "),CHAR(10)," "),CHAR(9)," "),CHAR(92),_xlfn.CONCAT(CHAR(92),CHAR(92))),"$",_xlfn.CONCAT(CHAR(92),"$")),CHAR(96),_xlfn.CONCAT(CHAR(92),CHAR(96))),CHAR(34),CHAR(39))))</f>
        <v/>
      </c>
      <c r="S210" s="5" t="str">
        <f>IF(OR(TRIM($B210)="",$I210=""),"",IF(OR(ISNUMBER(SEARCH(_xlfn.CONCAT(CHAR(96),CHAR(34)),$I210)),ISNUMBER(SEARCH(_xlfn.CONCAT(CHAR(34),CHAR(39)),$I210))),_xlfn.CONCAT("* REVIEW REQUIRED: compound-quote delimiter in Derivation on Sheet 1 row ",210,"; edit the input before running."),_xlfn.CONCAT("char ",TRIM($B210),"[doc_derivation] ",CHAR(96),CHAR(34),SUBSTITUTE(SUBSTITUTE(SUBSTITUTE(SUBSTITUTE(SUBSTITUTE(SUBSTITUTE($I210,CHAR(13)," "),CHAR(10)," "),CHAR(9)," "),CHAR(92),_xlfn.CONCAT(CHAR(92),CHAR(92))),"$",_xlfn.CONCAT(CHAR(92),"$")),CHAR(96),_xlfn.CONCAT(CHAR(92),CHAR(96))),CHAR(34),CHAR(39))))</f>
        <v/>
      </c>
      <c r="T210" s="5" t="str">
        <f>IF(OR(TRIM($B210)="",$J210=""),"",IF(OR(ISNUMBER(SEARCH(_xlfn.CONCAT(CHAR(96),CHAR(34)),$J210)),ISNUMBER(SEARCH(_xlfn.CONCAT(CHAR(34),CHAR(39)),$J210))),_xlfn.CONCAT("* REVIEW REQUIRED: compound-quote delimiter in Notes on Sheet 1 row ",210,"; edit the input before running."),_xlfn.CONCAT("char ",TRIM($B210),"[doc_notes] ",CHAR(96),CHAR(34),SUBSTITUTE(SUBSTITUTE(SUBSTITUTE(SUBSTITUTE(SUBSTITUTE(SUBSTITUTE($J210,CHAR(13)," "),CHAR(10)," "),CHAR(9)," "),CHAR(92),_xlfn.CONCAT(CHAR(92),CHAR(92))),"$",_xlfn.CONCAT(CHAR(92),"$")),CHAR(96),_xlfn.CONCAT(CHAR(92),CHAR(96))),CHAR(34),CHAR(39))))</f>
        <v/>
      </c>
      <c r="U210" s="5">
        <f t="shared" si="5"/>
        <v>0</v>
      </c>
    </row>
    <row r="211" spans="3:21" ht="30" customHeight="1" x14ac:dyDescent="0.2">
      <c r="C211" s="4"/>
      <c r="K211" s="5">
        <f t="shared" si="4"/>
        <v>0</v>
      </c>
      <c r="L211" s="5" t="str">
        <f>IF(OR(TRIM($B211)="",$A211=""),"",IF(OR(ISNUMBER(SEARCH(_xlfn.CONCAT(CHAR(96),CHAR(34)),$A211)),ISNUMBER(SEARCH(_xlfn.CONCAT(CHAR(34),CHAR(39)),$A211))),_xlfn.CONCAT("* REVIEW REQUIRED: compound-quote delimiter in Codebook Section on Sheet 1 row ",211,"; edit the input before running."),_xlfn.CONCAT("char ",TRIM($B211),"[doc_section] ",CHAR(96),CHAR(34),SUBSTITUTE(SUBSTITUTE(SUBSTITUTE(SUBSTITUTE(SUBSTITUTE(SUBSTITUTE($A211,CHAR(13)," "),CHAR(10)," "),CHAR(9)," "),CHAR(92),_xlfn.CONCAT(CHAR(92),CHAR(92))),"$",_xlfn.CONCAT(CHAR(92),"$")),CHAR(96),_xlfn.CONCAT(CHAR(92),CHAR(96))),CHAR(34),CHAR(39))))</f>
        <v/>
      </c>
      <c r="M211" s="5" t="str">
        <f>IF(OR(TRIM($B211)="",$C211=""),"",IF(IFERROR(MATCH(TRIM($C211),{"Quantitative","Continuous","Discrete","Categorical","Nominal","Ordinal","Identifier"},0),0)=0,_xlfn.CONCAT("* REVIEW REQUIRED: invalid Variable Type on Sheet 1 row ",211,"."),_xlfn.CONCAT("char ",TRIM($B211),"[doc_vartype] ",CHAR(96),CHAR(34),SUBSTITUTE(SUBSTITUTE(SUBSTITUTE(SUBSTITUTE(SUBSTITUTE(SUBSTITUTE(LOWER(TRIM($C211)),CHAR(13)," "),CHAR(10)," "),CHAR(9)," "),CHAR(92),_xlfn.CONCAT(CHAR(92),CHAR(92))),"$",_xlfn.CONCAT(CHAR(92),"$")),CHAR(96),_xlfn.CONCAT(CHAR(92),CHAR(96))),CHAR(34),CHAR(39))))</f>
        <v/>
      </c>
      <c r="N211" s="5" t="str">
        <f>IF(OR(TRIM($B211)="",$D211=""),"",IF(OR(ISNUMBER(SEARCH(_xlfn.CONCAT(CHAR(96),CHAR(34)),$D211)),ISNUMBER(SEARCH(_xlfn.CONCAT(CHAR(34),CHAR(39)),$D211))),_xlfn.CONCAT("* REVIEW REQUIRED: compound-quote delimiter in Item Number on Sheet 1 row ",211,"; edit the input before running."),_xlfn.CONCAT("char ",TRIM($B211),"[doc_itemnum] ",CHAR(96),CHAR(34),SUBSTITUTE(SUBSTITUTE(SUBSTITUTE(SUBSTITUTE(SUBSTITUTE(SUBSTITUTE($D211,CHAR(13)," "),CHAR(10)," "),CHAR(9)," "),CHAR(92),_xlfn.CONCAT(CHAR(92),CHAR(92))),"$",_xlfn.CONCAT(CHAR(92),"$")),CHAR(96),_xlfn.CONCAT(CHAR(92),CHAR(96))),CHAR(34),CHAR(39))))</f>
        <v/>
      </c>
      <c r="O211" s="5" t="str">
        <f>IF(OR(TRIM($B211)="",$E211=""),"",IF(OR(ISNUMBER(SEARCH(_xlfn.CONCAT(CHAR(96),CHAR(34)),$E211)),ISNUMBER(SEARCH(_xlfn.CONCAT(CHAR(34),CHAR(39)),$E211))),_xlfn.CONCAT("* REVIEW REQUIRED: compound-quote delimiter in Question Wording on Sheet 1 row ",211,"; edit the input before running."),_xlfn.CONCAT("char ",TRIM($B211),"[doc_question] ",CHAR(96),CHAR(34),SUBSTITUTE(SUBSTITUTE(SUBSTITUTE(SUBSTITUTE(SUBSTITUTE(SUBSTITUTE($E211,CHAR(13)," "),CHAR(10)," "),CHAR(9)," "),CHAR(92),_xlfn.CONCAT(CHAR(92),CHAR(92))),"$",_xlfn.CONCAT(CHAR(92),"$")),CHAR(96),_xlfn.CONCAT(CHAR(92),CHAR(96))),CHAR(34),CHAR(39))))</f>
        <v/>
      </c>
      <c r="P211" s="5" t="str">
        <f>IF(OR(TRIM($B211)="",$F211=""),"",IF(OR(ISNUMBER(SEARCH(_xlfn.CONCAT(CHAR(96),CHAR(34)),$F211)),ISNUMBER(SEARCH(_xlfn.CONCAT(CHAR(34),CHAR(39)),$F211))),_xlfn.CONCAT("* REVIEW REQUIRED: compound-quote delimiter in Units on Sheet 1 row ",211,"; edit the input before running."),_xlfn.CONCAT("char ",TRIM($B211),"[doc_units] ",CHAR(96),CHAR(34),SUBSTITUTE(SUBSTITUTE(SUBSTITUTE(SUBSTITUTE(SUBSTITUTE(SUBSTITUTE($F211,CHAR(13)," "),CHAR(10)," "),CHAR(9)," "),CHAR(92),_xlfn.CONCAT(CHAR(92),CHAR(92))),"$",_xlfn.CONCAT(CHAR(92),"$")),CHAR(96),_xlfn.CONCAT(CHAR(92),CHAR(96))),CHAR(34),CHAR(39))))</f>
        <v/>
      </c>
      <c r="Q211" s="5" t="str">
        <f>IF(OR(TRIM($B211)="",$G211=""),"",IF(OR(ISNUMBER(SEARCH(_xlfn.CONCAT(CHAR(96),CHAR(34)),$G211)),ISNUMBER(SEARCH(_xlfn.CONCAT(CHAR(34),CHAR(39)),$G211))),_xlfn.CONCAT("* REVIEW REQUIRED: compound-quote delimiter in Universe on Sheet 1 row ",211,"; edit the input before running."),_xlfn.CONCAT("char ",TRIM($B211),"[doc_universe] ",CHAR(96),CHAR(34),SUBSTITUTE(SUBSTITUTE(SUBSTITUTE(SUBSTITUTE(SUBSTITUTE(SUBSTITUTE($G211,CHAR(13)," "),CHAR(10)," "),CHAR(9)," "),CHAR(92),_xlfn.CONCAT(CHAR(92),CHAR(92))),"$",_xlfn.CONCAT(CHAR(92),"$")),CHAR(96),_xlfn.CONCAT(CHAR(92),CHAR(96))),CHAR(34),CHAR(39))))</f>
        <v/>
      </c>
      <c r="R211" s="5" t="str">
        <f>IF(OR(TRIM($B211)="",$H211=""),"",IF(OR(ISNUMBER(SEARCH(_xlfn.CONCAT(CHAR(96),CHAR(34)),$H211)),ISNUMBER(SEARCH(_xlfn.CONCAT(CHAR(34),CHAR(39)),$H211))),_xlfn.CONCAT("* REVIEW REQUIRED: compound-quote delimiter in Source on Sheet 1 row ",211,"; edit the input before running."),_xlfn.CONCAT("char ",TRIM($B211),"[doc_source] ",CHAR(96),CHAR(34),SUBSTITUTE(SUBSTITUTE(SUBSTITUTE(SUBSTITUTE(SUBSTITUTE(SUBSTITUTE($H211,CHAR(13)," "),CHAR(10)," "),CHAR(9)," "),CHAR(92),_xlfn.CONCAT(CHAR(92),CHAR(92))),"$",_xlfn.CONCAT(CHAR(92),"$")),CHAR(96),_xlfn.CONCAT(CHAR(92),CHAR(96))),CHAR(34),CHAR(39))))</f>
        <v/>
      </c>
      <c r="S211" s="5" t="str">
        <f>IF(OR(TRIM($B211)="",$I211=""),"",IF(OR(ISNUMBER(SEARCH(_xlfn.CONCAT(CHAR(96),CHAR(34)),$I211)),ISNUMBER(SEARCH(_xlfn.CONCAT(CHAR(34),CHAR(39)),$I211))),_xlfn.CONCAT("* REVIEW REQUIRED: compound-quote delimiter in Derivation on Sheet 1 row ",211,"; edit the input before running."),_xlfn.CONCAT("char ",TRIM($B211),"[doc_derivation] ",CHAR(96),CHAR(34),SUBSTITUTE(SUBSTITUTE(SUBSTITUTE(SUBSTITUTE(SUBSTITUTE(SUBSTITUTE($I211,CHAR(13)," "),CHAR(10)," "),CHAR(9)," "),CHAR(92),_xlfn.CONCAT(CHAR(92),CHAR(92))),"$",_xlfn.CONCAT(CHAR(92),"$")),CHAR(96),_xlfn.CONCAT(CHAR(92),CHAR(96))),CHAR(34),CHAR(39))))</f>
        <v/>
      </c>
      <c r="T211" s="5" t="str">
        <f>IF(OR(TRIM($B211)="",$J211=""),"",IF(OR(ISNUMBER(SEARCH(_xlfn.CONCAT(CHAR(96),CHAR(34)),$J211)),ISNUMBER(SEARCH(_xlfn.CONCAT(CHAR(34),CHAR(39)),$J211))),_xlfn.CONCAT("* REVIEW REQUIRED: compound-quote delimiter in Notes on Sheet 1 row ",211,"; edit the input before running."),_xlfn.CONCAT("char ",TRIM($B211),"[doc_notes] ",CHAR(96),CHAR(34),SUBSTITUTE(SUBSTITUTE(SUBSTITUTE(SUBSTITUTE(SUBSTITUTE(SUBSTITUTE($J211,CHAR(13)," "),CHAR(10)," "),CHAR(9)," "),CHAR(92),_xlfn.CONCAT(CHAR(92),CHAR(92))),"$",_xlfn.CONCAT(CHAR(92),"$")),CHAR(96),_xlfn.CONCAT(CHAR(92),CHAR(96))),CHAR(34),CHAR(39))))</f>
        <v/>
      </c>
      <c r="U211" s="5">
        <f t="shared" si="5"/>
        <v>0</v>
      </c>
    </row>
    <row r="212" spans="3:21" ht="30" customHeight="1" x14ac:dyDescent="0.2">
      <c r="C212" s="4"/>
      <c r="K212" s="5">
        <f t="shared" ref="K212:K275" si="6">COUNTIF(L212:T212,"?*")</f>
        <v>0</v>
      </c>
      <c r="L212" s="5" t="str">
        <f>IF(OR(TRIM($B212)="",$A212=""),"",IF(OR(ISNUMBER(SEARCH(_xlfn.CONCAT(CHAR(96),CHAR(34)),$A212)),ISNUMBER(SEARCH(_xlfn.CONCAT(CHAR(34),CHAR(39)),$A212))),_xlfn.CONCAT("* REVIEW REQUIRED: compound-quote delimiter in Codebook Section on Sheet 1 row ",212,"; edit the input before running."),_xlfn.CONCAT("char ",TRIM($B212),"[doc_section] ",CHAR(96),CHAR(34),SUBSTITUTE(SUBSTITUTE(SUBSTITUTE(SUBSTITUTE(SUBSTITUTE(SUBSTITUTE($A212,CHAR(13)," "),CHAR(10)," "),CHAR(9)," "),CHAR(92),_xlfn.CONCAT(CHAR(92),CHAR(92))),"$",_xlfn.CONCAT(CHAR(92),"$")),CHAR(96),_xlfn.CONCAT(CHAR(92),CHAR(96))),CHAR(34),CHAR(39))))</f>
        <v/>
      </c>
      <c r="M212" s="5" t="str">
        <f>IF(OR(TRIM($B212)="",$C212=""),"",IF(IFERROR(MATCH(TRIM($C212),{"Quantitative","Continuous","Discrete","Categorical","Nominal","Ordinal","Identifier"},0),0)=0,_xlfn.CONCAT("* REVIEW REQUIRED: invalid Variable Type on Sheet 1 row ",212,"."),_xlfn.CONCAT("char ",TRIM($B212),"[doc_vartype] ",CHAR(96),CHAR(34),SUBSTITUTE(SUBSTITUTE(SUBSTITUTE(SUBSTITUTE(SUBSTITUTE(SUBSTITUTE(LOWER(TRIM($C212)),CHAR(13)," "),CHAR(10)," "),CHAR(9)," "),CHAR(92),_xlfn.CONCAT(CHAR(92),CHAR(92))),"$",_xlfn.CONCAT(CHAR(92),"$")),CHAR(96),_xlfn.CONCAT(CHAR(92),CHAR(96))),CHAR(34),CHAR(39))))</f>
        <v/>
      </c>
      <c r="N212" s="5" t="str">
        <f>IF(OR(TRIM($B212)="",$D212=""),"",IF(OR(ISNUMBER(SEARCH(_xlfn.CONCAT(CHAR(96),CHAR(34)),$D212)),ISNUMBER(SEARCH(_xlfn.CONCAT(CHAR(34),CHAR(39)),$D212))),_xlfn.CONCAT("* REVIEW REQUIRED: compound-quote delimiter in Item Number on Sheet 1 row ",212,"; edit the input before running."),_xlfn.CONCAT("char ",TRIM($B212),"[doc_itemnum] ",CHAR(96),CHAR(34),SUBSTITUTE(SUBSTITUTE(SUBSTITUTE(SUBSTITUTE(SUBSTITUTE(SUBSTITUTE($D212,CHAR(13)," "),CHAR(10)," "),CHAR(9)," "),CHAR(92),_xlfn.CONCAT(CHAR(92),CHAR(92))),"$",_xlfn.CONCAT(CHAR(92),"$")),CHAR(96),_xlfn.CONCAT(CHAR(92),CHAR(96))),CHAR(34),CHAR(39))))</f>
        <v/>
      </c>
      <c r="O212" s="5" t="str">
        <f>IF(OR(TRIM($B212)="",$E212=""),"",IF(OR(ISNUMBER(SEARCH(_xlfn.CONCAT(CHAR(96),CHAR(34)),$E212)),ISNUMBER(SEARCH(_xlfn.CONCAT(CHAR(34),CHAR(39)),$E212))),_xlfn.CONCAT("* REVIEW REQUIRED: compound-quote delimiter in Question Wording on Sheet 1 row ",212,"; edit the input before running."),_xlfn.CONCAT("char ",TRIM($B212),"[doc_question] ",CHAR(96),CHAR(34),SUBSTITUTE(SUBSTITUTE(SUBSTITUTE(SUBSTITUTE(SUBSTITUTE(SUBSTITUTE($E212,CHAR(13)," "),CHAR(10)," "),CHAR(9)," "),CHAR(92),_xlfn.CONCAT(CHAR(92),CHAR(92))),"$",_xlfn.CONCAT(CHAR(92),"$")),CHAR(96),_xlfn.CONCAT(CHAR(92),CHAR(96))),CHAR(34),CHAR(39))))</f>
        <v/>
      </c>
      <c r="P212" s="5" t="str">
        <f>IF(OR(TRIM($B212)="",$F212=""),"",IF(OR(ISNUMBER(SEARCH(_xlfn.CONCAT(CHAR(96),CHAR(34)),$F212)),ISNUMBER(SEARCH(_xlfn.CONCAT(CHAR(34),CHAR(39)),$F212))),_xlfn.CONCAT("* REVIEW REQUIRED: compound-quote delimiter in Units on Sheet 1 row ",212,"; edit the input before running."),_xlfn.CONCAT("char ",TRIM($B212),"[doc_units] ",CHAR(96),CHAR(34),SUBSTITUTE(SUBSTITUTE(SUBSTITUTE(SUBSTITUTE(SUBSTITUTE(SUBSTITUTE($F212,CHAR(13)," "),CHAR(10)," "),CHAR(9)," "),CHAR(92),_xlfn.CONCAT(CHAR(92),CHAR(92))),"$",_xlfn.CONCAT(CHAR(92),"$")),CHAR(96),_xlfn.CONCAT(CHAR(92),CHAR(96))),CHAR(34),CHAR(39))))</f>
        <v/>
      </c>
      <c r="Q212" s="5" t="str">
        <f>IF(OR(TRIM($B212)="",$G212=""),"",IF(OR(ISNUMBER(SEARCH(_xlfn.CONCAT(CHAR(96),CHAR(34)),$G212)),ISNUMBER(SEARCH(_xlfn.CONCAT(CHAR(34),CHAR(39)),$G212))),_xlfn.CONCAT("* REVIEW REQUIRED: compound-quote delimiter in Universe on Sheet 1 row ",212,"; edit the input before running."),_xlfn.CONCAT("char ",TRIM($B212),"[doc_universe] ",CHAR(96),CHAR(34),SUBSTITUTE(SUBSTITUTE(SUBSTITUTE(SUBSTITUTE(SUBSTITUTE(SUBSTITUTE($G212,CHAR(13)," "),CHAR(10)," "),CHAR(9)," "),CHAR(92),_xlfn.CONCAT(CHAR(92),CHAR(92))),"$",_xlfn.CONCAT(CHAR(92),"$")),CHAR(96),_xlfn.CONCAT(CHAR(92),CHAR(96))),CHAR(34),CHAR(39))))</f>
        <v/>
      </c>
      <c r="R212" s="5" t="str">
        <f>IF(OR(TRIM($B212)="",$H212=""),"",IF(OR(ISNUMBER(SEARCH(_xlfn.CONCAT(CHAR(96),CHAR(34)),$H212)),ISNUMBER(SEARCH(_xlfn.CONCAT(CHAR(34),CHAR(39)),$H212))),_xlfn.CONCAT("* REVIEW REQUIRED: compound-quote delimiter in Source on Sheet 1 row ",212,"; edit the input before running."),_xlfn.CONCAT("char ",TRIM($B212),"[doc_source] ",CHAR(96),CHAR(34),SUBSTITUTE(SUBSTITUTE(SUBSTITUTE(SUBSTITUTE(SUBSTITUTE(SUBSTITUTE($H212,CHAR(13)," "),CHAR(10)," "),CHAR(9)," "),CHAR(92),_xlfn.CONCAT(CHAR(92),CHAR(92))),"$",_xlfn.CONCAT(CHAR(92),"$")),CHAR(96),_xlfn.CONCAT(CHAR(92),CHAR(96))),CHAR(34),CHAR(39))))</f>
        <v/>
      </c>
      <c r="S212" s="5" t="str">
        <f>IF(OR(TRIM($B212)="",$I212=""),"",IF(OR(ISNUMBER(SEARCH(_xlfn.CONCAT(CHAR(96),CHAR(34)),$I212)),ISNUMBER(SEARCH(_xlfn.CONCAT(CHAR(34),CHAR(39)),$I212))),_xlfn.CONCAT("* REVIEW REQUIRED: compound-quote delimiter in Derivation on Sheet 1 row ",212,"; edit the input before running."),_xlfn.CONCAT("char ",TRIM($B212),"[doc_derivation] ",CHAR(96),CHAR(34),SUBSTITUTE(SUBSTITUTE(SUBSTITUTE(SUBSTITUTE(SUBSTITUTE(SUBSTITUTE($I212,CHAR(13)," "),CHAR(10)," "),CHAR(9)," "),CHAR(92),_xlfn.CONCAT(CHAR(92),CHAR(92))),"$",_xlfn.CONCAT(CHAR(92),"$")),CHAR(96),_xlfn.CONCAT(CHAR(92),CHAR(96))),CHAR(34),CHAR(39))))</f>
        <v/>
      </c>
      <c r="T212" s="5" t="str">
        <f>IF(OR(TRIM($B212)="",$J212=""),"",IF(OR(ISNUMBER(SEARCH(_xlfn.CONCAT(CHAR(96),CHAR(34)),$J212)),ISNUMBER(SEARCH(_xlfn.CONCAT(CHAR(34),CHAR(39)),$J212))),_xlfn.CONCAT("* REVIEW REQUIRED: compound-quote delimiter in Notes on Sheet 1 row ",212,"; edit the input before running."),_xlfn.CONCAT("char ",TRIM($B212),"[doc_notes] ",CHAR(96),CHAR(34),SUBSTITUTE(SUBSTITUTE(SUBSTITUTE(SUBSTITUTE(SUBSTITUTE(SUBSTITUTE($J212,CHAR(13)," "),CHAR(10)," "),CHAR(9)," "),CHAR(92),_xlfn.CONCAT(CHAR(92),CHAR(92))),"$",_xlfn.CONCAT(CHAR(92),"$")),CHAR(96),_xlfn.CONCAT(CHAR(92),CHAR(96))),CHAR(34),CHAR(39))))</f>
        <v/>
      </c>
      <c r="U212" s="5">
        <f t="shared" ref="U212:U275" si="7">COUNTIF(L212:T212,"*REVIEW REQUIRED*")</f>
        <v>0</v>
      </c>
    </row>
    <row r="213" spans="3:21" ht="30" customHeight="1" x14ac:dyDescent="0.2">
      <c r="C213" s="4"/>
      <c r="K213" s="5">
        <f t="shared" si="6"/>
        <v>0</v>
      </c>
      <c r="L213" s="5" t="str">
        <f>IF(OR(TRIM($B213)="",$A213=""),"",IF(OR(ISNUMBER(SEARCH(_xlfn.CONCAT(CHAR(96),CHAR(34)),$A213)),ISNUMBER(SEARCH(_xlfn.CONCAT(CHAR(34),CHAR(39)),$A213))),_xlfn.CONCAT("* REVIEW REQUIRED: compound-quote delimiter in Codebook Section on Sheet 1 row ",213,"; edit the input before running."),_xlfn.CONCAT("char ",TRIM($B213),"[doc_section] ",CHAR(96),CHAR(34),SUBSTITUTE(SUBSTITUTE(SUBSTITUTE(SUBSTITUTE(SUBSTITUTE(SUBSTITUTE($A213,CHAR(13)," "),CHAR(10)," "),CHAR(9)," "),CHAR(92),_xlfn.CONCAT(CHAR(92),CHAR(92))),"$",_xlfn.CONCAT(CHAR(92),"$")),CHAR(96),_xlfn.CONCAT(CHAR(92),CHAR(96))),CHAR(34),CHAR(39))))</f>
        <v/>
      </c>
      <c r="M213" s="5" t="str">
        <f>IF(OR(TRIM($B213)="",$C213=""),"",IF(IFERROR(MATCH(TRIM($C213),{"Quantitative","Continuous","Discrete","Categorical","Nominal","Ordinal","Identifier"},0),0)=0,_xlfn.CONCAT("* REVIEW REQUIRED: invalid Variable Type on Sheet 1 row ",213,"."),_xlfn.CONCAT("char ",TRIM($B213),"[doc_vartype] ",CHAR(96),CHAR(34),SUBSTITUTE(SUBSTITUTE(SUBSTITUTE(SUBSTITUTE(SUBSTITUTE(SUBSTITUTE(LOWER(TRIM($C213)),CHAR(13)," "),CHAR(10)," "),CHAR(9)," "),CHAR(92),_xlfn.CONCAT(CHAR(92),CHAR(92))),"$",_xlfn.CONCAT(CHAR(92),"$")),CHAR(96),_xlfn.CONCAT(CHAR(92),CHAR(96))),CHAR(34),CHAR(39))))</f>
        <v/>
      </c>
      <c r="N213" s="5" t="str">
        <f>IF(OR(TRIM($B213)="",$D213=""),"",IF(OR(ISNUMBER(SEARCH(_xlfn.CONCAT(CHAR(96),CHAR(34)),$D213)),ISNUMBER(SEARCH(_xlfn.CONCAT(CHAR(34),CHAR(39)),$D213))),_xlfn.CONCAT("* REVIEW REQUIRED: compound-quote delimiter in Item Number on Sheet 1 row ",213,"; edit the input before running."),_xlfn.CONCAT("char ",TRIM($B213),"[doc_itemnum] ",CHAR(96),CHAR(34),SUBSTITUTE(SUBSTITUTE(SUBSTITUTE(SUBSTITUTE(SUBSTITUTE(SUBSTITUTE($D213,CHAR(13)," "),CHAR(10)," "),CHAR(9)," "),CHAR(92),_xlfn.CONCAT(CHAR(92),CHAR(92))),"$",_xlfn.CONCAT(CHAR(92),"$")),CHAR(96),_xlfn.CONCAT(CHAR(92),CHAR(96))),CHAR(34),CHAR(39))))</f>
        <v/>
      </c>
      <c r="O213" s="5" t="str">
        <f>IF(OR(TRIM($B213)="",$E213=""),"",IF(OR(ISNUMBER(SEARCH(_xlfn.CONCAT(CHAR(96),CHAR(34)),$E213)),ISNUMBER(SEARCH(_xlfn.CONCAT(CHAR(34),CHAR(39)),$E213))),_xlfn.CONCAT("* REVIEW REQUIRED: compound-quote delimiter in Question Wording on Sheet 1 row ",213,"; edit the input before running."),_xlfn.CONCAT("char ",TRIM($B213),"[doc_question] ",CHAR(96),CHAR(34),SUBSTITUTE(SUBSTITUTE(SUBSTITUTE(SUBSTITUTE(SUBSTITUTE(SUBSTITUTE($E213,CHAR(13)," "),CHAR(10)," "),CHAR(9)," "),CHAR(92),_xlfn.CONCAT(CHAR(92),CHAR(92))),"$",_xlfn.CONCAT(CHAR(92),"$")),CHAR(96),_xlfn.CONCAT(CHAR(92),CHAR(96))),CHAR(34),CHAR(39))))</f>
        <v/>
      </c>
      <c r="P213" s="5" t="str">
        <f>IF(OR(TRIM($B213)="",$F213=""),"",IF(OR(ISNUMBER(SEARCH(_xlfn.CONCAT(CHAR(96),CHAR(34)),$F213)),ISNUMBER(SEARCH(_xlfn.CONCAT(CHAR(34),CHAR(39)),$F213))),_xlfn.CONCAT("* REVIEW REQUIRED: compound-quote delimiter in Units on Sheet 1 row ",213,"; edit the input before running."),_xlfn.CONCAT("char ",TRIM($B213),"[doc_units] ",CHAR(96),CHAR(34),SUBSTITUTE(SUBSTITUTE(SUBSTITUTE(SUBSTITUTE(SUBSTITUTE(SUBSTITUTE($F213,CHAR(13)," "),CHAR(10)," "),CHAR(9)," "),CHAR(92),_xlfn.CONCAT(CHAR(92),CHAR(92))),"$",_xlfn.CONCAT(CHAR(92),"$")),CHAR(96),_xlfn.CONCAT(CHAR(92),CHAR(96))),CHAR(34),CHAR(39))))</f>
        <v/>
      </c>
      <c r="Q213" s="5" t="str">
        <f>IF(OR(TRIM($B213)="",$G213=""),"",IF(OR(ISNUMBER(SEARCH(_xlfn.CONCAT(CHAR(96),CHAR(34)),$G213)),ISNUMBER(SEARCH(_xlfn.CONCAT(CHAR(34),CHAR(39)),$G213))),_xlfn.CONCAT("* REVIEW REQUIRED: compound-quote delimiter in Universe on Sheet 1 row ",213,"; edit the input before running."),_xlfn.CONCAT("char ",TRIM($B213),"[doc_universe] ",CHAR(96),CHAR(34),SUBSTITUTE(SUBSTITUTE(SUBSTITUTE(SUBSTITUTE(SUBSTITUTE(SUBSTITUTE($G213,CHAR(13)," "),CHAR(10)," "),CHAR(9)," "),CHAR(92),_xlfn.CONCAT(CHAR(92),CHAR(92))),"$",_xlfn.CONCAT(CHAR(92),"$")),CHAR(96),_xlfn.CONCAT(CHAR(92),CHAR(96))),CHAR(34),CHAR(39))))</f>
        <v/>
      </c>
      <c r="R213" s="5" t="str">
        <f>IF(OR(TRIM($B213)="",$H213=""),"",IF(OR(ISNUMBER(SEARCH(_xlfn.CONCAT(CHAR(96),CHAR(34)),$H213)),ISNUMBER(SEARCH(_xlfn.CONCAT(CHAR(34),CHAR(39)),$H213))),_xlfn.CONCAT("* REVIEW REQUIRED: compound-quote delimiter in Source on Sheet 1 row ",213,"; edit the input before running."),_xlfn.CONCAT("char ",TRIM($B213),"[doc_source] ",CHAR(96),CHAR(34),SUBSTITUTE(SUBSTITUTE(SUBSTITUTE(SUBSTITUTE(SUBSTITUTE(SUBSTITUTE($H213,CHAR(13)," "),CHAR(10)," "),CHAR(9)," "),CHAR(92),_xlfn.CONCAT(CHAR(92),CHAR(92))),"$",_xlfn.CONCAT(CHAR(92),"$")),CHAR(96),_xlfn.CONCAT(CHAR(92),CHAR(96))),CHAR(34),CHAR(39))))</f>
        <v/>
      </c>
      <c r="S213" s="5" t="str">
        <f>IF(OR(TRIM($B213)="",$I213=""),"",IF(OR(ISNUMBER(SEARCH(_xlfn.CONCAT(CHAR(96),CHAR(34)),$I213)),ISNUMBER(SEARCH(_xlfn.CONCAT(CHAR(34),CHAR(39)),$I213))),_xlfn.CONCAT("* REVIEW REQUIRED: compound-quote delimiter in Derivation on Sheet 1 row ",213,"; edit the input before running."),_xlfn.CONCAT("char ",TRIM($B213),"[doc_derivation] ",CHAR(96),CHAR(34),SUBSTITUTE(SUBSTITUTE(SUBSTITUTE(SUBSTITUTE(SUBSTITUTE(SUBSTITUTE($I213,CHAR(13)," "),CHAR(10)," "),CHAR(9)," "),CHAR(92),_xlfn.CONCAT(CHAR(92),CHAR(92))),"$",_xlfn.CONCAT(CHAR(92),"$")),CHAR(96),_xlfn.CONCAT(CHAR(92),CHAR(96))),CHAR(34),CHAR(39))))</f>
        <v/>
      </c>
      <c r="T213" s="5" t="str">
        <f>IF(OR(TRIM($B213)="",$J213=""),"",IF(OR(ISNUMBER(SEARCH(_xlfn.CONCAT(CHAR(96),CHAR(34)),$J213)),ISNUMBER(SEARCH(_xlfn.CONCAT(CHAR(34),CHAR(39)),$J213))),_xlfn.CONCAT("* REVIEW REQUIRED: compound-quote delimiter in Notes on Sheet 1 row ",213,"; edit the input before running."),_xlfn.CONCAT("char ",TRIM($B213),"[doc_notes] ",CHAR(96),CHAR(34),SUBSTITUTE(SUBSTITUTE(SUBSTITUTE(SUBSTITUTE(SUBSTITUTE(SUBSTITUTE($J213,CHAR(13)," "),CHAR(10)," "),CHAR(9)," "),CHAR(92),_xlfn.CONCAT(CHAR(92),CHAR(92))),"$",_xlfn.CONCAT(CHAR(92),"$")),CHAR(96),_xlfn.CONCAT(CHAR(92),CHAR(96))),CHAR(34),CHAR(39))))</f>
        <v/>
      </c>
      <c r="U213" s="5">
        <f t="shared" si="7"/>
        <v>0</v>
      </c>
    </row>
    <row r="214" spans="3:21" ht="30" customHeight="1" x14ac:dyDescent="0.2">
      <c r="C214" s="4"/>
      <c r="K214" s="5">
        <f t="shared" si="6"/>
        <v>0</v>
      </c>
      <c r="L214" s="5" t="str">
        <f>IF(OR(TRIM($B214)="",$A214=""),"",IF(OR(ISNUMBER(SEARCH(_xlfn.CONCAT(CHAR(96),CHAR(34)),$A214)),ISNUMBER(SEARCH(_xlfn.CONCAT(CHAR(34),CHAR(39)),$A214))),_xlfn.CONCAT("* REVIEW REQUIRED: compound-quote delimiter in Codebook Section on Sheet 1 row ",214,"; edit the input before running."),_xlfn.CONCAT("char ",TRIM($B214),"[doc_section] ",CHAR(96),CHAR(34),SUBSTITUTE(SUBSTITUTE(SUBSTITUTE(SUBSTITUTE(SUBSTITUTE(SUBSTITUTE($A214,CHAR(13)," "),CHAR(10)," "),CHAR(9)," "),CHAR(92),_xlfn.CONCAT(CHAR(92),CHAR(92))),"$",_xlfn.CONCAT(CHAR(92),"$")),CHAR(96),_xlfn.CONCAT(CHAR(92),CHAR(96))),CHAR(34),CHAR(39))))</f>
        <v/>
      </c>
      <c r="M214" s="5" t="str">
        <f>IF(OR(TRIM($B214)="",$C214=""),"",IF(IFERROR(MATCH(TRIM($C214),{"Quantitative","Continuous","Discrete","Categorical","Nominal","Ordinal","Identifier"},0),0)=0,_xlfn.CONCAT("* REVIEW REQUIRED: invalid Variable Type on Sheet 1 row ",214,"."),_xlfn.CONCAT("char ",TRIM($B214),"[doc_vartype] ",CHAR(96),CHAR(34),SUBSTITUTE(SUBSTITUTE(SUBSTITUTE(SUBSTITUTE(SUBSTITUTE(SUBSTITUTE(LOWER(TRIM($C214)),CHAR(13)," "),CHAR(10)," "),CHAR(9)," "),CHAR(92),_xlfn.CONCAT(CHAR(92),CHAR(92))),"$",_xlfn.CONCAT(CHAR(92),"$")),CHAR(96),_xlfn.CONCAT(CHAR(92),CHAR(96))),CHAR(34),CHAR(39))))</f>
        <v/>
      </c>
      <c r="N214" s="5" t="str">
        <f>IF(OR(TRIM($B214)="",$D214=""),"",IF(OR(ISNUMBER(SEARCH(_xlfn.CONCAT(CHAR(96),CHAR(34)),$D214)),ISNUMBER(SEARCH(_xlfn.CONCAT(CHAR(34),CHAR(39)),$D214))),_xlfn.CONCAT("* REVIEW REQUIRED: compound-quote delimiter in Item Number on Sheet 1 row ",214,"; edit the input before running."),_xlfn.CONCAT("char ",TRIM($B214),"[doc_itemnum] ",CHAR(96),CHAR(34),SUBSTITUTE(SUBSTITUTE(SUBSTITUTE(SUBSTITUTE(SUBSTITUTE(SUBSTITUTE($D214,CHAR(13)," "),CHAR(10)," "),CHAR(9)," "),CHAR(92),_xlfn.CONCAT(CHAR(92),CHAR(92))),"$",_xlfn.CONCAT(CHAR(92),"$")),CHAR(96),_xlfn.CONCAT(CHAR(92),CHAR(96))),CHAR(34),CHAR(39))))</f>
        <v/>
      </c>
      <c r="O214" s="5" t="str">
        <f>IF(OR(TRIM($B214)="",$E214=""),"",IF(OR(ISNUMBER(SEARCH(_xlfn.CONCAT(CHAR(96),CHAR(34)),$E214)),ISNUMBER(SEARCH(_xlfn.CONCAT(CHAR(34),CHAR(39)),$E214))),_xlfn.CONCAT("* REVIEW REQUIRED: compound-quote delimiter in Question Wording on Sheet 1 row ",214,"; edit the input before running."),_xlfn.CONCAT("char ",TRIM($B214),"[doc_question] ",CHAR(96),CHAR(34),SUBSTITUTE(SUBSTITUTE(SUBSTITUTE(SUBSTITUTE(SUBSTITUTE(SUBSTITUTE($E214,CHAR(13)," "),CHAR(10)," "),CHAR(9)," "),CHAR(92),_xlfn.CONCAT(CHAR(92),CHAR(92))),"$",_xlfn.CONCAT(CHAR(92),"$")),CHAR(96),_xlfn.CONCAT(CHAR(92),CHAR(96))),CHAR(34),CHAR(39))))</f>
        <v/>
      </c>
      <c r="P214" s="5" t="str">
        <f>IF(OR(TRIM($B214)="",$F214=""),"",IF(OR(ISNUMBER(SEARCH(_xlfn.CONCAT(CHAR(96),CHAR(34)),$F214)),ISNUMBER(SEARCH(_xlfn.CONCAT(CHAR(34),CHAR(39)),$F214))),_xlfn.CONCAT("* REVIEW REQUIRED: compound-quote delimiter in Units on Sheet 1 row ",214,"; edit the input before running."),_xlfn.CONCAT("char ",TRIM($B214),"[doc_units] ",CHAR(96),CHAR(34),SUBSTITUTE(SUBSTITUTE(SUBSTITUTE(SUBSTITUTE(SUBSTITUTE(SUBSTITUTE($F214,CHAR(13)," "),CHAR(10)," "),CHAR(9)," "),CHAR(92),_xlfn.CONCAT(CHAR(92),CHAR(92))),"$",_xlfn.CONCAT(CHAR(92),"$")),CHAR(96),_xlfn.CONCAT(CHAR(92),CHAR(96))),CHAR(34),CHAR(39))))</f>
        <v/>
      </c>
      <c r="Q214" s="5" t="str">
        <f>IF(OR(TRIM($B214)="",$G214=""),"",IF(OR(ISNUMBER(SEARCH(_xlfn.CONCAT(CHAR(96),CHAR(34)),$G214)),ISNUMBER(SEARCH(_xlfn.CONCAT(CHAR(34),CHAR(39)),$G214))),_xlfn.CONCAT("* REVIEW REQUIRED: compound-quote delimiter in Universe on Sheet 1 row ",214,"; edit the input before running."),_xlfn.CONCAT("char ",TRIM($B214),"[doc_universe] ",CHAR(96),CHAR(34),SUBSTITUTE(SUBSTITUTE(SUBSTITUTE(SUBSTITUTE(SUBSTITUTE(SUBSTITUTE($G214,CHAR(13)," "),CHAR(10)," "),CHAR(9)," "),CHAR(92),_xlfn.CONCAT(CHAR(92),CHAR(92))),"$",_xlfn.CONCAT(CHAR(92),"$")),CHAR(96),_xlfn.CONCAT(CHAR(92),CHAR(96))),CHAR(34),CHAR(39))))</f>
        <v/>
      </c>
      <c r="R214" s="5" t="str">
        <f>IF(OR(TRIM($B214)="",$H214=""),"",IF(OR(ISNUMBER(SEARCH(_xlfn.CONCAT(CHAR(96),CHAR(34)),$H214)),ISNUMBER(SEARCH(_xlfn.CONCAT(CHAR(34),CHAR(39)),$H214))),_xlfn.CONCAT("* REVIEW REQUIRED: compound-quote delimiter in Source on Sheet 1 row ",214,"; edit the input before running."),_xlfn.CONCAT("char ",TRIM($B214),"[doc_source] ",CHAR(96),CHAR(34),SUBSTITUTE(SUBSTITUTE(SUBSTITUTE(SUBSTITUTE(SUBSTITUTE(SUBSTITUTE($H214,CHAR(13)," "),CHAR(10)," "),CHAR(9)," "),CHAR(92),_xlfn.CONCAT(CHAR(92),CHAR(92))),"$",_xlfn.CONCAT(CHAR(92),"$")),CHAR(96),_xlfn.CONCAT(CHAR(92),CHAR(96))),CHAR(34),CHAR(39))))</f>
        <v/>
      </c>
      <c r="S214" s="5" t="str">
        <f>IF(OR(TRIM($B214)="",$I214=""),"",IF(OR(ISNUMBER(SEARCH(_xlfn.CONCAT(CHAR(96),CHAR(34)),$I214)),ISNUMBER(SEARCH(_xlfn.CONCAT(CHAR(34),CHAR(39)),$I214))),_xlfn.CONCAT("* REVIEW REQUIRED: compound-quote delimiter in Derivation on Sheet 1 row ",214,"; edit the input before running."),_xlfn.CONCAT("char ",TRIM($B214),"[doc_derivation] ",CHAR(96),CHAR(34),SUBSTITUTE(SUBSTITUTE(SUBSTITUTE(SUBSTITUTE(SUBSTITUTE(SUBSTITUTE($I214,CHAR(13)," "),CHAR(10)," "),CHAR(9)," "),CHAR(92),_xlfn.CONCAT(CHAR(92),CHAR(92))),"$",_xlfn.CONCAT(CHAR(92),"$")),CHAR(96),_xlfn.CONCAT(CHAR(92),CHAR(96))),CHAR(34),CHAR(39))))</f>
        <v/>
      </c>
      <c r="T214" s="5" t="str">
        <f>IF(OR(TRIM($B214)="",$J214=""),"",IF(OR(ISNUMBER(SEARCH(_xlfn.CONCAT(CHAR(96),CHAR(34)),$J214)),ISNUMBER(SEARCH(_xlfn.CONCAT(CHAR(34),CHAR(39)),$J214))),_xlfn.CONCAT("* REVIEW REQUIRED: compound-quote delimiter in Notes on Sheet 1 row ",214,"; edit the input before running."),_xlfn.CONCAT("char ",TRIM($B214),"[doc_notes] ",CHAR(96),CHAR(34),SUBSTITUTE(SUBSTITUTE(SUBSTITUTE(SUBSTITUTE(SUBSTITUTE(SUBSTITUTE($J214,CHAR(13)," "),CHAR(10)," "),CHAR(9)," "),CHAR(92),_xlfn.CONCAT(CHAR(92),CHAR(92))),"$",_xlfn.CONCAT(CHAR(92),"$")),CHAR(96),_xlfn.CONCAT(CHAR(92),CHAR(96))),CHAR(34),CHAR(39))))</f>
        <v/>
      </c>
      <c r="U214" s="5">
        <f t="shared" si="7"/>
        <v>0</v>
      </c>
    </row>
    <row r="215" spans="3:21" ht="30" customHeight="1" x14ac:dyDescent="0.2">
      <c r="C215" s="4"/>
      <c r="K215" s="5">
        <f t="shared" si="6"/>
        <v>0</v>
      </c>
      <c r="L215" s="5" t="str">
        <f>IF(OR(TRIM($B215)="",$A215=""),"",IF(OR(ISNUMBER(SEARCH(_xlfn.CONCAT(CHAR(96),CHAR(34)),$A215)),ISNUMBER(SEARCH(_xlfn.CONCAT(CHAR(34),CHAR(39)),$A215))),_xlfn.CONCAT("* REVIEW REQUIRED: compound-quote delimiter in Codebook Section on Sheet 1 row ",215,"; edit the input before running."),_xlfn.CONCAT("char ",TRIM($B215),"[doc_section] ",CHAR(96),CHAR(34),SUBSTITUTE(SUBSTITUTE(SUBSTITUTE(SUBSTITUTE(SUBSTITUTE(SUBSTITUTE($A215,CHAR(13)," "),CHAR(10)," "),CHAR(9)," "),CHAR(92),_xlfn.CONCAT(CHAR(92),CHAR(92))),"$",_xlfn.CONCAT(CHAR(92),"$")),CHAR(96),_xlfn.CONCAT(CHAR(92),CHAR(96))),CHAR(34),CHAR(39))))</f>
        <v/>
      </c>
      <c r="M215" s="5" t="str">
        <f>IF(OR(TRIM($B215)="",$C215=""),"",IF(IFERROR(MATCH(TRIM($C215),{"Quantitative","Continuous","Discrete","Categorical","Nominal","Ordinal","Identifier"},0),0)=0,_xlfn.CONCAT("* REVIEW REQUIRED: invalid Variable Type on Sheet 1 row ",215,"."),_xlfn.CONCAT("char ",TRIM($B215),"[doc_vartype] ",CHAR(96),CHAR(34),SUBSTITUTE(SUBSTITUTE(SUBSTITUTE(SUBSTITUTE(SUBSTITUTE(SUBSTITUTE(LOWER(TRIM($C215)),CHAR(13)," "),CHAR(10)," "),CHAR(9)," "),CHAR(92),_xlfn.CONCAT(CHAR(92),CHAR(92))),"$",_xlfn.CONCAT(CHAR(92),"$")),CHAR(96),_xlfn.CONCAT(CHAR(92),CHAR(96))),CHAR(34),CHAR(39))))</f>
        <v/>
      </c>
      <c r="N215" s="5" t="str">
        <f>IF(OR(TRIM($B215)="",$D215=""),"",IF(OR(ISNUMBER(SEARCH(_xlfn.CONCAT(CHAR(96),CHAR(34)),$D215)),ISNUMBER(SEARCH(_xlfn.CONCAT(CHAR(34),CHAR(39)),$D215))),_xlfn.CONCAT("* REVIEW REQUIRED: compound-quote delimiter in Item Number on Sheet 1 row ",215,"; edit the input before running."),_xlfn.CONCAT("char ",TRIM($B215),"[doc_itemnum] ",CHAR(96),CHAR(34),SUBSTITUTE(SUBSTITUTE(SUBSTITUTE(SUBSTITUTE(SUBSTITUTE(SUBSTITUTE($D215,CHAR(13)," "),CHAR(10)," "),CHAR(9)," "),CHAR(92),_xlfn.CONCAT(CHAR(92),CHAR(92))),"$",_xlfn.CONCAT(CHAR(92),"$")),CHAR(96),_xlfn.CONCAT(CHAR(92),CHAR(96))),CHAR(34),CHAR(39))))</f>
        <v/>
      </c>
      <c r="O215" s="5" t="str">
        <f>IF(OR(TRIM($B215)="",$E215=""),"",IF(OR(ISNUMBER(SEARCH(_xlfn.CONCAT(CHAR(96),CHAR(34)),$E215)),ISNUMBER(SEARCH(_xlfn.CONCAT(CHAR(34),CHAR(39)),$E215))),_xlfn.CONCAT("* REVIEW REQUIRED: compound-quote delimiter in Question Wording on Sheet 1 row ",215,"; edit the input before running."),_xlfn.CONCAT("char ",TRIM($B215),"[doc_question] ",CHAR(96),CHAR(34),SUBSTITUTE(SUBSTITUTE(SUBSTITUTE(SUBSTITUTE(SUBSTITUTE(SUBSTITUTE($E215,CHAR(13)," "),CHAR(10)," "),CHAR(9)," "),CHAR(92),_xlfn.CONCAT(CHAR(92),CHAR(92))),"$",_xlfn.CONCAT(CHAR(92),"$")),CHAR(96),_xlfn.CONCAT(CHAR(92),CHAR(96))),CHAR(34),CHAR(39))))</f>
        <v/>
      </c>
      <c r="P215" s="5" t="str">
        <f>IF(OR(TRIM($B215)="",$F215=""),"",IF(OR(ISNUMBER(SEARCH(_xlfn.CONCAT(CHAR(96),CHAR(34)),$F215)),ISNUMBER(SEARCH(_xlfn.CONCAT(CHAR(34),CHAR(39)),$F215))),_xlfn.CONCAT("* REVIEW REQUIRED: compound-quote delimiter in Units on Sheet 1 row ",215,"; edit the input before running."),_xlfn.CONCAT("char ",TRIM($B215),"[doc_units] ",CHAR(96),CHAR(34),SUBSTITUTE(SUBSTITUTE(SUBSTITUTE(SUBSTITUTE(SUBSTITUTE(SUBSTITUTE($F215,CHAR(13)," "),CHAR(10)," "),CHAR(9)," "),CHAR(92),_xlfn.CONCAT(CHAR(92),CHAR(92))),"$",_xlfn.CONCAT(CHAR(92),"$")),CHAR(96),_xlfn.CONCAT(CHAR(92),CHAR(96))),CHAR(34),CHAR(39))))</f>
        <v/>
      </c>
      <c r="Q215" s="5" t="str">
        <f>IF(OR(TRIM($B215)="",$G215=""),"",IF(OR(ISNUMBER(SEARCH(_xlfn.CONCAT(CHAR(96),CHAR(34)),$G215)),ISNUMBER(SEARCH(_xlfn.CONCAT(CHAR(34),CHAR(39)),$G215))),_xlfn.CONCAT("* REVIEW REQUIRED: compound-quote delimiter in Universe on Sheet 1 row ",215,"; edit the input before running."),_xlfn.CONCAT("char ",TRIM($B215),"[doc_universe] ",CHAR(96),CHAR(34),SUBSTITUTE(SUBSTITUTE(SUBSTITUTE(SUBSTITUTE(SUBSTITUTE(SUBSTITUTE($G215,CHAR(13)," "),CHAR(10)," "),CHAR(9)," "),CHAR(92),_xlfn.CONCAT(CHAR(92),CHAR(92))),"$",_xlfn.CONCAT(CHAR(92),"$")),CHAR(96),_xlfn.CONCAT(CHAR(92),CHAR(96))),CHAR(34),CHAR(39))))</f>
        <v/>
      </c>
      <c r="R215" s="5" t="str">
        <f>IF(OR(TRIM($B215)="",$H215=""),"",IF(OR(ISNUMBER(SEARCH(_xlfn.CONCAT(CHAR(96),CHAR(34)),$H215)),ISNUMBER(SEARCH(_xlfn.CONCAT(CHAR(34),CHAR(39)),$H215))),_xlfn.CONCAT("* REVIEW REQUIRED: compound-quote delimiter in Source on Sheet 1 row ",215,"; edit the input before running."),_xlfn.CONCAT("char ",TRIM($B215),"[doc_source] ",CHAR(96),CHAR(34),SUBSTITUTE(SUBSTITUTE(SUBSTITUTE(SUBSTITUTE(SUBSTITUTE(SUBSTITUTE($H215,CHAR(13)," "),CHAR(10)," "),CHAR(9)," "),CHAR(92),_xlfn.CONCAT(CHAR(92),CHAR(92))),"$",_xlfn.CONCAT(CHAR(92),"$")),CHAR(96),_xlfn.CONCAT(CHAR(92),CHAR(96))),CHAR(34),CHAR(39))))</f>
        <v/>
      </c>
      <c r="S215" s="5" t="str">
        <f>IF(OR(TRIM($B215)="",$I215=""),"",IF(OR(ISNUMBER(SEARCH(_xlfn.CONCAT(CHAR(96),CHAR(34)),$I215)),ISNUMBER(SEARCH(_xlfn.CONCAT(CHAR(34),CHAR(39)),$I215))),_xlfn.CONCAT("* REVIEW REQUIRED: compound-quote delimiter in Derivation on Sheet 1 row ",215,"; edit the input before running."),_xlfn.CONCAT("char ",TRIM($B215),"[doc_derivation] ",CHAR(96),CHAR(34),SUBSTITUTE(SUBSTITUTE(SUBSTITUTE(SUBSTITUTE(SUBSTITUTE(SUBSTITUTE($I215,CHAR(13)," "),CHAR(10)," "),CHAR(9)," "),CHAR(92),_xlfn.CONCAT(CHAR(92),CHAR(92))),"$",_xlfn.CONCAT(CHAR(92),"$")),CHAR(96),_xlfn.CONCAT(CHAR(92),CHAR(96))),CHAR(34),CHAR(39))))</f>
        <v/>
      </c>
      <c r="T215" s="5" t="str">
        <f>IF(OR(TRIM($B215)="",$J215=""),"",IF(OR(ISNUMBER(SEARCH(_xlfn.CONCAT(CHAR(96),CHAR(34)),$J215)),ISNUMBER(SEARCH(_xlfn.CONCAT(CHAR(34),CHAR(39)),$J215))),_xlfn.CONCAT("* REVIEW REQUIRED: compound-quote delimiter in Notes on Sheet 1 row ",215,"; edit the input before running."),_xlfn.CONCAT("char ",TRIM($B215),"[doc_notes] ",CHAR(96),CHAR(34),SUBSTITUTE(SUBSTITUTE(SUBSTITUTE(SUBSTITUTE(SUBSTITUTE(SUBSTITUTE($J215,CHAR(13)," "),CHAR(10)," "),CHAR(9)," "),CHAR(92),_xlfn.CONCAT(CHAR(92),CHAR(92))),"$",_xlfn.CONCAT(CHAR(92),"$")),CHAR(96),_xlfn.CONCAT(CHAR(92),CHAR(96))),CHAR(34),CHAR(39))))</f>
        <v/>
      </c>
      <c r="U215" s="5">
        <f t="shared" si="7"/>
        <v>0</v>
      </c>
    </row>
    <row r="216" spans="3:21" ht="30" customHeight="1" x14ac:dyDescent="0.2">
      <c r="C216" s="4"/>
      <c r="K216" s="5">
        <f t="shared" si="6"/>
        <v>0</v>
      </c>
      <c r="L216" s="5" t="str">
        <f>IF(OR(TRIM($B216)="",$A216=""),"",IF(OR(ISNUMBER(SEARCH(_xlfn.CONCAT(CHAR(96),CHAR(34)),$A216)),ISNUMBER(SEARCH(_xlfn.CONCAT(CHAR(34),CHAR(39)),$A216))),_xlfn.CONCAT("* REVIEW REQUIRED: compound-quote delimiter in Codebook Section on Sheet 1 row ",216,"; edit the input before running."),_xlfn.CONCAT("char ",TRIM($B216),"[doc_section] ",CHAR(96),CHAR(34),SUBSTITUTE(SUBSTITUTE(SUBSTITUTE(SUBSTITUTE(SUBSTITUTE(SUBSTITUTE($A216,CHAR(13)," "),CHAR(10)," "),CHAR(9)," "),CHAR(92),_xlfn.CONCAT(CHAR(92),CHAR(92))),"$",_xlfn.CONCAT(CHAR(92),"$")),CHAR(96),_xlfn.CONCAT(CHAR(92),CHAR(96))),CHAR(34),CHAR(39))))</f>
        <v/>
      </c>
      <c r="M216" s="5" t="str">
        <f>IF(OR(TRIM($B216)="",$C216=""),"",IF(IFERROR(MATCH(TRIM($C216),{"Quantitative","Continuous","Discrete","Categorical","Nominal","Ordinal","Identifier"},0),0)=0,_xlfn.CONCAT("* REVIEW REQUIRED: invalid Variable Type on Sheet 1 row ",216,"."),_xlfn.CONCAT("char ",TRIM($B216),"[doc_vartype] ",CHAR(96),CHAR(34),SUBSTITUTE(SUBSTITUTE(SUBSTITUTE(SUBSTITUTE(SUBSTITUTE(SUBSTITUTE(LOWER(TRIM($C216)),CHAR(13)," "),CHAR(10)," "),CHAR(9)," "),CHAR(92),_xlfn.CONCAT(CHAR(92),CHAR(92))),"$",_xlfn.CONCAT(CHAR(92),"$")),CHAR(96),_xlfn.CONCAT(CHAR(92),CHAR(96))),CHAR(34),CHAR(39))))</f>
        <v/>
      </c>
      <c r="N216" s="5" t="str">
        <f>IF(OR(TRIM($B216)="",$D216=""),"",IF(OR(ISNUMBER(SEARCH(_xlfn.CONCAT(CHAR(96),CHAR(34)),$D216)),ISNUMBER(SEARCH(_xlfn.CONCAT(CHAR(34),CHAR(39)),$D216))),_xlfn.CONCAT("* REVIEW REQUIRED: compound-quote delimiter in Item Number on Sheet 1 row ",216,"; edit the input before running."),_xlfn.CONCAT("char ",TRIM($B216),"[doc_itemnum] ",CHAR(96),CHAR(34),SUBSTITUTE(SUBSTITUTE(SUBSTITUTE(SUBSTITUTE(SUBSTITUTE(SUBSTITUTE($D216,CHAR(13)," "),CHAR(10)," "),CHAR(9)," "),CHAR(92),_xlfn.CONCAT(CHAR(92),CHAR(92))),"$",_xlfn.CONCAT(CHAR(92),"$")),CHAR(96),_xlfn.CONCAT(CHAR(92),CHAR(96))),CHAR(34),CHAR(39))))</f>
        <v/>
      </c>
      <c r="O216" s="5" t="str">
        <f>IF(OR(TRIM($B216)="",$E216=""),"",IF(OR(ISNUMBER(SEARCH(_xlfn.CONCAT(CHAR(96),CHAR(34)),$E216)),ISNUMBER(SEARCH(_xlfn.CONCAT(CHAR(34),CHAR(39)),$E216))),_xlfn.CONCAT("* REVIEW REQUIRED: compound-quote delimiter in Question Wording on Sheet 1 row ",216,"; edit the input before running."),_xlfn.CONCAT("char ",TRIM($B216),"[doc_question] ",CHAR(96),CHAR(34),SUBSTITUTE(SUBSTITUTE(SUBSTITUTE(SUBSTITUTE(SUBSTITUTE(SUBSTITUTE($E216,CHAR(13)," "),CHAR(10)," "),CHAR(9)," "),CHAR(92),_xlfn.CONCAT(CHAR(92),CHAR(92))),"$",_xlfn.CONCAT(CHAR(92),"$")),CHAR(96),_xlfn.CONCAT(CHAR(92),CHAR(96))),CHAR(34),CHAR(39))))</f>
        <v/>
      </c>
      <c r="P216" s="5" t="str">
        <f>IF(OR(TRIM($B216)="",$F216=""),"",IF(OR(ISNUMBER(SEARCH(_xlfn.CONCAT(CHAR(96),CHAR(34)),$F216)),ISNUMBER(SEARCH(_xlfn.CONCAT(CHAR(34),CHAR(39)),$F216))),_xlfn.CONCAT("* REVIEW REQUIRED: compound-quote delimiter in Units on Sheet 1 row ",216,"; edit the input before running."),_xlfn.CONCAT("char ",TRIM($B216),"[doc_units] ",CHAR(96),CHAR(34),SUBSTITUTE(SUBSTITUTE(SUBSTITUTE(SUBSTITUTE(SUBSTITUTE(SUBSTITUTE($F216,CHAR(13)," "),CHAR(10)," "),CHAR(9)," "),CHAR(92),_xlfn.CONCAT(CHAR(92),CHAR(92))),"$",_xlfn.CONCAT(CHAR(92),"$")),CHAR(96),_xlfn.CONCAT(CHAR(92),CHAR(96))),CHAR(34),CHAR(39))))</f>
        <v/>
      </c>
      <c r="Q216" s="5" t="str">
        <f>IF(OR(TRIM($B216)="",$G216=""),"",IF(OR(ISNUMBER(SEARCH(_xlfn.CONCAT(CHAR(96),CHAR(34)),$G216)),ISNUMBER(SEARCH(_xlfn.CONCAT(CHAR(34),CHAR(39)),$G216))),_xlfn.CONCAT("* REVIEW REQUIRED: compound-quote delimiter in Universe on Sheet 1 row ",216,"; edit the input before running."),_xlfn.CONCAT("char ",TRIM($B216),"[doc_universe] ",CHAR(96),CHAR(34),SUBSTITUTE(SUBSTITUTE(SUBSTITUTE(SUBSTITUTE(SUBSTITUTE(SUBSTITUTE($G216,CHAR(13)," "),CHAR(10)," "),CHAR(9)," "),CHAR(92),_xlfn.CONCAT(CHAR(92),CHAR(92))),"$",_xlfn.CONCAT(CHAR(92),"$")),CHAR(96),_xlfn.CONCAT(CHAR(92),CHAR(96))),CHAR(34),CHAR(39))))</f>
        <v/>
      </c>
      <c r="R216" s="5" t="str">
        <f>IF(OR(TRIM($B216)="",$H216=""),"",IF(OR(ISNUMBER(SEARCH(_xlfn.CONCAT(CHAR(96),CHAR(34)),$H216)),ISNUMBER(SEARCH(_xlfn.CONCAT(CHAR(34),CHAR(39)),$H216))),_xlfn.CONCAT("* REVIEW REQUIRED: compound-quote delimiter in Source on Sheet 1 row ",216,"; edit the input before running."),_xlfn.CONCAT("char ",TRIM($B216),"[doc_source] ",CHAR(96),CHAR(34),SUBSTITUTE(SUBSTITUTE(SUBSTITUTE(SUBSTITUTE(SUBSTITUTE(SUBSTITUTE($H216,CHAR(13)," "),CHAR(10)," "),CHAR(9)," "),CHAR(92),_xlfn.CONCAT(CHAR(92),CHAR(92))),"$",_xlfn.CONCAT(CHAR(92),"$")),CHAR(96),_xlfn.CONCAT(CHAR(92),CHAR(96))),CHAR(34),CHAR(39))))</f>
        <v/>
      </c>
      <c r="S216" s="5" t="str">
        <f>IF(OR(TRIM($B216)="",$I216=""),"",IF(OR(ISNUMBER(SEARCH(_xlfn.CONCAT(CHAR(96),CHAR(34)),$I216)),ISNUMBER(SEARCH(_xlfn.CONCAT(CHAR(34),CHAR(39)),$I216))),_xlfn.CONCAT("* REVIEW REQUIRED: compound-quote delimiter in Derivation on Sheet 1 row ",216,"; edit the input before running."),_xlfn.CONCAT("char ",TRIM($B216),"[doc_derivation] ",CHAR(96),CHAR(34),SUBSTITUTE(SUBSTITUTE(SUBSTITUTE(SUBSTITUTE(SUBSTITUTE(SUBSTITUTE($I216,CHAR(13)," "),CHAR(10)," "),CHAR(9)," "),CHAR(92),_xlfn.CONCAT(CHAR(92),CHAR(92))),"$",_xlfn.CONCAT(CHAR(92),"$")),CHAR(96),_xlfn.CONCAT(CHAR(92),CHAR(96))),CHAR(34),CHAR(39))))</f>
        <v/>
      </c>
      <c r="T216" s="5" t="str">
        <f>IF(OR(TRIM($B216)="",$J216=""),"",IF(OR(ISNUMBER(SEARCH(_xlfn.CONCAT(CHAR(96),CHAR(34)),$J216)),ISNUMBER(SEARCH(_xlfn.CONCAT(CHAR(34),CHAR(39)),$J216))),_xlfn.CONCAT("* REVIEW REQUIRED: compound-quote delimiter in Notes on Sheet 1 row ",216,"; edit the input before running."),_xlfn.CONCAT("char ",TRIM($B216),"[doc_notes] ",CHAR(96),CHAR(34),SUBSTITUTE(SUBSTITUTE(SUBSTITUTE(SUBSTITUTE(SUBSTITUTE(SUBSTITUTE($J216,CHAR(13)," "),CHAR(10)," "),CHAR(9)," "),CHAR(92),_xlfn.CONCAT(CHAR(92),CHAR(92))),"$",_xlfn.CONCAT(CHAR(92),"$")),CHAR(96),_xlfn.CONCAT(CHAR(92),CHAR(96))),CHAR(34),CHAR(39))))</f>
        <v/>
      </c>
      <c r="U216" s="5">
        <f t="shared" si="7"/>
        <v>0</v>
      </c>
    </row>
    <row r="217" spans="3:21" ht="30" customHeight="1" x14ac:dyDescent="0.2">
      <c r="C217" s="4"/>
      <c r="K217" s="5">
        <f t="shared" si="6"/>
        <v>0</v>
      </c>
      <c r="L217" s="5" t="str">
        <f>IF(OR(TRIM($B217)="",$A217=""),"",IF(OR(ISNUMBER(SEARCH(_xlfn.CONCAT(CHAR(96),CHAR(34)),$A217)),ISNUMBER(SEARCH(_xlfn.CONCAT(CHAR(34),CHAR(39)),$A217))),_xlfn.CONCAT("* REVIEW REQUIRED: compound-quote delimiter in Codebook Section on Sheet 1 row ",217,"; edit the input before running."),_xlfn.CONCAT("char ",TRIM($B217),"[doc_section] ",CHAR(96),CHAR(34),SUBSTITUTE(SUBSTITUTE(SUBSTITUTE(SUBSTITUTE(SUBSTITUTE(SUBSTITUTE($A217,CHAR(13)," "),CHAR(10)," "),CHAR(9)," "),CHAR(92),_xlfn.CONCAT(CHAR(92),CHAR(92))),"$",_xlfn.CONCAT(CHAR(92),"$")),CHAR(96),_xlfn.CONCAT(CHAR(92),CHAR(96))),CHAR(34),CHAR(39))))</f>
        <v/>
      </c>
      <c r="M217" s="5" t="str">
        <f>IF(OR(TRIM($B217)="",$C217=""),"",IF(IFERROR(MATCH(TRIM($C217),{"Quantitative","Continuous","Discrete","Categorical","Nominal","Ordinal","Identifier"},0),0)=0,_xlfn.CONCAT("* REVIEW REQUIRED: invalid Variable Type on Sheet 1 row ",217,"."),_xlfn.CONCAT("char ",TRIM($B217),"[doc_vartype] ",CHAR(96),CHAR(34),SUBSTITUTE(SUBSTITUTE(SUBSTITUTE(SUBSTITUTE(SUBSTITUTE(SUBSTITUTE(LOWER(TRIM($C217)),CHAR(13)," "),CHAR(10)," "),CHAR(9)," "),CHAR(92),_xlfn.CONCAT(CHAR(92),CHAR(92))),"$",_xlfn.CONCAT(CHAR(92),"$")),CHAR(96),_xlfn.CONCAT(CHAR(92),CHAR(96))),CHAR(34),CHAR(39))))</f>
        <v/>
      </c>
      <c r="N217" s="5" t="str">
        <f>IF(OR(TRIM($B217)="",$D217=""),"",IF(OR(ISNUMBER(SEARCH(_xlfn.CONCAT(CHAR(96),CHAR(34)),$D217)),ISNUMBER(SEARCH(_xlfn.CONCAT(CHAR(34),CHAR(39)),$D217))),_xlfn.CONCAT("* REVIEW REQUIRED: compound-quote delimiter in Item Number on Sheet 1 row ",217,"; edit the input before running."),_xlfn.CONCAT("char ",TRIM($B217),"[doc_itemnum] ",CHAR(96),CHAR(34),SUBSTITUTE(SUBSTITUTE(SUBSTITUTE(SUBSTITUTE(SUBSTITUTE(SUBSTITUTE($D217,CHAR(13)," "),CHAR(10)," "),CHAR(9)," "),CHAR(92),_xlfn.CONCAT(CHAR(92),CHAR(92))),"$",_xlfn.CONCAT(CHAR(92),"$")),CHAR(96),_xlfn.CONCAT(CHAR(92),CHAR(96))),CHAR(34),CHAR(39))))</f>
        <v/>
      </c>
      <c r="O217" s="5" t="str">
        <f>IF(OR(TRIM($B217)="",$E217=""),"",IF(OR(ISNUMBER(SEARCH(_xlfn.CONCAT(CHAR(96),CHAR(34)),$E217)),ISNUMBER(SEARCH(_xlfn.CONCAT(CHAR(34),CHAR(39)),$E217))),_xlfn.CONCAT("* REVIEW REQUIRED: compound-quote delimiter in Question Wording on Sheet 1 row ",217,"; edit the input before running."),_xlfn.CONCAT("char ",TRIM($B217),"[doc_question] ",CHAR(96),CHAR(34),SUBSTITUTE(SUBSTITUTE(SUBSTITUTE(SUBSTITUTE(SUBSTITUTE(SUBSTITUTE($E217,CHAR(13)," "),CHAR(10)," "),CHAR(9)," "),CHAR(92),_xlfn.CONCAT(CHAR(92),CHAR(92))),"$",_xlfn.CONCAT(CHAR(92),"$")),CHAR(96),_xlfn.CONCAT(CHAR(92),CHAR(96))),CHAR(34),CHAR(39))))</f>
        <v/>
      </c>
      <c r="P217" s="5" t="str">
        <f>IF(OR(TRIM($B217)="",$F217=""),"",IF(OR(ISNUMBER(SEARCH(_xlfn.CONCAT(CHAR(96),CHAR(34)),$F217)),ISNUMBER(SEARCH(_xlfn.CONCAT(CHAR(34),CHAR(39)),$F217))),_xlfn.CONCAT("* REVIEW REQUIRED: compound-quote delimiter in Units on Sheet 1 row ",217,"; edit the input before running."),_xlfn.CONCAT("char ",TRIM($B217),"[doc_units] ",CHAR(96),CHAR(34),SUBSTITUTE(SUBSTITUTE(SUBSTITUTE(SUBSTITUTE(SUBSTITUTE(SUBSTITUTE($F217,CHAR(13)," "),CHAR(10)," "),CHAR(9)," "),CHAR(92),_xlfn.CONCAT(CHAR(92),CHAR(92))),"$",_xlfn.CONCAT(CHAR(92),"$")),CHAR(96),_xlfn.CONCAT(CHAR(92),CHAR(96))),CHAR(34),CHAR(39))))</f>
        <v/>
      </c>
      <c r="Q217" s="5" t="str">
        <f>IF(OR(TRIM($B217)="",$G217=""),"",IF(OR(ISNUMBER(SEARCH(_xlfn.CONCAT(CHAR(96),CHAR(34)),$G217)),ISNUMBER(SEARCH(_xlfn.CONCAT(CHAR(34),CHAR(39)),$G217))),_xlfn.CONCAT("* REVIEW REQUIRED: compound-quote delimiter in Universe on Sheet 1 row ",217,"; edit the input before running."),_xlfn.CONCAT("char ",TRIM($B217),"[doc_universe] ",CHAR(96),CHAR(34),SUBSTITUTE(SUBSTITUTE(SUBSTITUTE(SUBSTITUTE(SUBSTITUTE(SUBSTITUTE($G217,CHAR(13)," "),CHAR(10)," "),CHAR(9)," "),CHAR(92),_xlfn.CONCAT(CHAR(92),CHAR(92))),"$",_xlfn.CONCAT(CHAR(92),"$")),CHAR(96),_xlfn.CONCAT(CHAR(92),CHAR(96))),CHAR(34),CHAR(39))))</f>
        <v/>
      </c>
      <c r="R217" s="5" t="str">
        <f>IF(OR(TRIM($B217)="",$H217=""),"",IF(OR(ISNUMBER(SEARCH(_xlfn.CONCAT(CHAR(96),CHAR(34)),$H217)),ISNUMBER(SEARCH(_xlfn.CONCAT(CHAR(34),CHAR(39)),$H217))),_xlfn.CONCAT("* REVIEW REQUIRED: compound-quote delimiter in Source on Sheet 1 row ",217,"; edit the input before running."),_xlfn.CONCAT("char ",TRIM($B217),"[doc_source] ",CHAR(96),CHAR(34),SUBSTITUTE(SUBSTITUTE(SUBSTITUTE(SUBSTITUTE(SUBSTITUTE(SUBSTITUTE($H217,CHAR(13)," "),CHAR(10)," "),CHAR(9)," "),CHAR(92),_xlfn.CONCAT(CHAR(92),CHAR(92))),"$",_xlfn.CONCAT(CHAR(92),"$")),CHAR(96),_xlfn.CONCAT(CHAR(92),CHAR(96))),CHAR(34),CHAR(39))))</f>
        <v/>
      </c>
      <c r="S217" s="5" t="str">
        <f>IF(OR(TRIM($B217)="",$I217=""),"",IF(OR(ISNUMBER(SEARCH(_xlfn.CONCAT(CHAR(96),CHAR(34)),$I217)),ISNUMBER(SEARCH(_xlfn.CONCAT(CHAR(34),CHAR(39)),$I217))),_xlfn.CONCAT("* REVIEW REQUIRED: compound-quote delimiter in Derivation on Sheet 1 row ",217,"; edit the input before running."),_xlfn.CONCAT("char ",TRIM($B217),"[doc_derivation] ",CHAR(96),CHAR(34),SUBSTITUTE(SUBSTITUTE(SUBSTITUTE(SUBSTITUTE(SUBSTITUTE(SUBSTITUTE($I217,CHAR(13)," "),CHAR(10)," "),CHAR(9)," "),CHAR(92),_xlfn.CONCAT(CHAR(92),CHAR(92))),"$",_xlfn.CONCAT(CHAR(92),"$")),CHAR(96),_xlfn.CONCAT(CHAR(92),CHAR(96))),CHAR(34),CHAR(39))))</f>
        <v/>
      </c>
      <c r="T217" s="5" t="str">
        <f>IF(OR(TRIM($B217)="",$J217=""),"",IF(OR(ISNUMBER(SEARCH(_xlfn.CONCAT(CHAR(96),CHAR(34)),$J217)),ISNUMBER(SEARCH(_xlfn.CONCAT(CHAR(34),CHAR(39)),$J217))),_xlfn.CONCAT("* REVIEW REQUIRED: compound-quote delimiter in Notes on Sheet 1 row ",217,"; edit the input before running."),_xlfn.CONCAT("char ",TRIM($B217),"[doc_notes] ",CHAR(96),CHAR(34),SUBSTITUTE(SUBSTITUTE(SUBSTITUTE(SUBSTITUTE(SUBSTITUTE(SUBSTITUTE($J217,CHAR(13)," "),CHAR(10)," "),CHAR(9)," "),CHAR(92),_xlfn.CONCAT(CHAR(92),CHAR(92))),"$",_xlfn.CONCAT(CHAR(92),"$")),CHAR(96),_xlfn.CONCAT(CHAR(92),CHAR(96))),CHAR(34),CHAR(39))))</f>
        <v/>
      </c>
      <c r="U217" s="5">
        <f t="shared" si="7"/>
        <v>0</v>
      </c>
    </row>
    <row r="218" spans="3:21" ht="30" customHeight="1" x14ac:dyDescent="0.2">
      <c r="C218" s="4"/>
      <c r="K218" s="5">
        <f t="shared" si="6"/>
        <v>0</v>
      </c>
      <c r="L218" s="5" t="str">
        <f>IF(OR(TRIM($B218)="",$A218=""),"",IF(OR(ISNUMBER(SEARCH(_xlfn.CONCAT(CHAR(96),CHAR(34)),$A218)),ISNUMBER(SEARCH(_xlfn.CONCAT(CHAR(34),CHAR(39)),$A218))),_xlfn.CONCAT("* REVIEW REQUIRED: compound-quote delimiter in Codebook Section on Sheet 1 row ",218,"; edit the input before running."),_xlfn.CONCAT("char ",TRIM($B218),"[doc_section] ",CHAR(96),CHAR(34),SUBSTITUTE(SUBSTITUTE(SUBSTITUTE(SUBSTITUTE(SUBSTITUTE(SUBSTITUTE($A218,CHAR(13)," "),CHAR(10)," "),CHAR(9)," "),CHAR(92),_xlfn.CONCAT(CHAR(92),CHAR(92))),"$",_xlfn.CONCAT(CHAR(92),"$")),CHAR(96),_xlfn.CONCAT(CHAR(92),CHAR(96))),CHAR(34),CHAR(39))))</f>
        <v/>
      </c>
      <c r="M218" s="5" t="str">
        <f>IF(OR(TRIM($B218)="",$C218=""),"",IF(IFERROR(MATCH(TRIM($C218),{"Quantitative","Continuous","Discrete","Categorical","Nominal","Ordinal","Identifier"},0),0)=0,_xlfn.CONCAT("* REVIEW REQUIRED: invalid Variable Type on Sheet 1 row ",218,"."),_xlfn.CONCAT("char ",TRIM($B218),"[doc_vartype] ",CHAR(96),CHAR(34),SUBSTITUTE(SUBSTITUTE(SUBSTITUTE(SUBSTITUTE(SUBSTITUTE(SUBSTITUTE(LOWER(TRIM($C218)),CHAR(13)," "),CHAR(10)," "),CHAR(9)," "),CHAR(92),_xlfn.CONCAT(CHAR(92),CHAR(92))),"$",_xlfn.CONCAT(CHAR(92),"$")),CHAR(96),_xlfn.CONCAT(CHAR(92),CHAR(96))),CHAR(34),CHAR(39))))</f>
        <v/>
      </c>
      <c r="N218" s="5" t="str">
        <f>IF(OR(TRIM($B218)="",$D218=""),"",IF(OR(ISNUMBER(SEARCH(_xlfn.CONCAT(CHAR(96),CHAR(34)),$D218)),ISNUMBER(SEARCH(_xlfn.CONCAT(CHAR(34),CHAR(39)),$D218))),_xlfn.CONCAT("* REVIEW REQUIRED: compound-quote delimiter in Item Number on Sheet 1 row ",218,"; edit the input before running."),_xlfn.CONCAT("char ",TRIM($B218),"[doc_itemnum] ",CHAR(96),CHAR(34),SUBSTITUTE(SUBSTITUTE(SUBSTITUTE(SUBSTITUTE(SUBSTITUTE(SUBSTITUTE($D218,CHAR(13)," "),CHAR(10)," "),CHAR(9)," "),CHAR(92),_xlfn.CONCAT(CHAR(92),CHAR(92))),"$",_xlfn.CONCAT(CHAR(92),"$")),CHAR(96),_xlfn.CONCAT(CHAR(92),CHAR(96))),CHAR(34),CHAR(39))))</f>
        <v/>
      </c>
      <c r="O218" s="5" t="str">
        <f>IF(OR(TRIM($B218)="",$E218=""),"",IF(OR(ISNUMBER(SEARCH(_xlfn.CONCAT(CHAR(96),CHAR(34)),$E218)),ISNUMBER(SEARCH(_xlfn.CONCAT(CHAR(34),CHAR(39)),$E218))),_xlfn.CONCAT("* REVIEW REQUIRED: compound-quote delimiter in Question Wording on Sheet 1 row ",218,"; edit the input before running."),_xlfn.CONCAT("char ",TRIM($B218),"[doc_question] ",CHAR(96),CHAR(34),SUBSTITUTE(SUBSTITUTE(SUBSTITUTE(SUBSTITUTE(SUBSTITUTE(SUBSTITUTE($E218,CHAR(13)," "),CHAR(10)," "),CHAR(9)," "),CHAR(92),_xlfn.CONCAT(CHAR(92),CHAR(92))),"$",_xlfn.CONCAT(CHAR(92),"$")),CHAR(96),_xlfn.CONCAT(CHAR(92),CHAR(96))),CHAR(34),CHAR(39))))</f>
        <v/>
      </c>
      <c r="P218" s="5" t="str">
        <f>IF(OR(TRIM($B218)="",$F218=""),"",IF(OR(ISNUMBER(SEARCH(_xlfn.CONCAT(CHAR(96),CHAR(34)),$F218)),ISNUMBER(SEARCH(_xlfn.CONCAT(CHAR(34),CHAR(39)),$F218))),_xlfn.CONCAT("* REVIEW REQUIRED: compound-quote delimiter in Units on Sheet 1 row ",218,"; edit the input before running."),_xlfn.CONCAT("char ",TRIM($B218),"[doc_units] ",CHAR(96),CHAR(34),SUBSTITUTE(SUBSTITUTE(SUBSTITUTE(SUBSTITUTE(SUBSTITUTE(SUBSTITUTE($F218,CHAR(13)," "),CHAR(10)," "),CHAR(9)," "),CHAR(92),_xlfn.CONCAT(CHAR(92),CHAR(92))),"$",_xlfn.CONCAT(CHAR(92),"$")),CHAR(96),_xlfn.CONCAT(CHAR(92),CHAR(96))),CHAR(34),CHAR(39))))</f>
        <v/>
      </c>
      <c r="Q218" s="5" t="str">
        <f>IF(OR(TRIM($B218)="",$G218=""),"",IF(OR(ISNUMBER(SEARCH(_xlfn.CONCAT(CHAR(96),CHAR(34)),$G218)),ISNUMBER(SEARCH(_xlfn.CONCAT(CHAR(34),CHAR(39)),$G218))),_xlfn.CONCAT("* REVIEW REQUIRED: compound-quote delimiter in Universe on Sheet 1 row ",218,"; edit the input before running."),_xlfn.CONCAT("char ",TRIM($B218),"[doc_universe] ",CHAR(96),CHAR(34),SUBSTITUTE(SUBSTITUTE(SUBSTITUTE(SUBSTITUTE(SUBSTITUTE(SUBSTITUTE($G218,CHAR(13)," "),CHAR(10)," "),CHAR(9)," "),CHAR(92),_xlfn.CONCAT(CHAR(92),CHAR(92))),"$",_xlfn.CONCAT(CHAR(92),"$")),CHAR(96),_xlfn.CONCAT(CHAR(92),CHAR(96))),CHAR(34),CHAR(39))))</f>
        <v/>
      </c>
      <c r="R218" s="5" t="str">
        <f>IF(OR(TRIM($B218)="",$H218=""),"",IF(OR(ISNUMBER(SEARCH(_xlfn.CONCAT(CHAR(96),CHAR(34)),$H218)),ISNUMBER(SEARCH(_xlfn.CONCAT(CHAR(34),CHAR(39)),$H218))),_xlfn.CONCAT("* REVIEW REQUIRED: compound-quote delimiter in Source on Sheet 1 row ",218,"; edit the input before running."),_xlfn.CONCAT("char ",TRIM($B218),"[doc_source] ",CHAR(96),CHAR(34),SUBSTITUTE(SUBSTITUTE(SUBSTITUTE(SUBSTITUTE(SUBSTITUTE(SUBSTITUTE($H218,CHAR(13)," "),CHAR(10)," "),CHAR(9)," "),CHAR(92),_xlfn.CONCAT(CHAR(92),CHAR(92))),"$",_xlfn.CONCAT(CHAR(92),"$")),CHAR(96),_xlfn.CONCAT(CHAR(92),CHAR(96))),CHAR(34),CHAR(39))))</f>
        <v/>
      </c>
      <c r="S218" s="5" t="str">
        <f>IF(OR(TRIM($B218)="",$I218=""),"",IF(OR(ISNUMBER(SEARCH(_xlfn.CONCAT(CHAR(96),CHAR(34)),$I218)),ISNUMBER(SEARCH(_xlfn.CONCAT(CHAR(34),CHAR(39)),$I218))),_xlfn.CONCAT("* REVIEW REQUIRED: compound-quote delimiter in Derivation on Sheet 1 row ",218,"; edit the input before running."),_xlfn.CONCAT("char ",TRIM($B218),"[doc_derivation] ",CHAR(96),CHAR(34),SUBSTITUTE(SUBSTITUTE(SUBSTITUTE(SUBSTITUTE(SUBSTITUTE(SUBSTITUTE($I218,CHAR(13)," "),CHAR(10)," "),CHAR(9)," "),CHAR(92),_xlfn.CONCAT(CHAR(92),CHAR(92))),"$",_xlfn.CONCAT(CHAR(92),"$")),CHAR(96),_xlfn.CONCAT(CHAR(92),CHAR(96))),CHAR(34),CHAR(39))))</f>
        <v/>
      </c>
      <c r="T218" s="5" t="str">
        <f>IF(OR(TRIM($B218)="",$J218=""),"",IF(OR(ISNUMBER(SEARCH(_xlfn.CONCAT(CHAR(96),CHAR(34)),$J218)),ISNUMBER(SEARCH(_xlfn.CONCAT(CHAR(34),CHAR(39)),$J218))),_xlfn.CONCAT("* REVIEW REQUIRED: compound-quote delimiter in Notes on Sheet 1 row ",218,"; edit the input before running."),_xlfn.CONCAT("char ",TRIM($B218),"[doc_notes] ",CHAR(96),CHAR(34),SUBSTITUTE(SUBSTITUTE(SUBSTITUTE(SUBSTITUTE(SUBSTITUTE(SUBSTITUTE($J218,CHAR(13)," "),CHAR(10)," "),CHAR(9)," "),CHAR(92),_xlfn.CONCAT(CHAR(92),CHAR(92))),"$",_xlfn.CONCAT(CHAR(92),"$")),CHAR(96),_xlfn.CONCAT(CHAR(92),CHAR(96))),CHAR(34),CHAR(39))))</f>
        <v/>
      </c>
      <c r="U218" s="5">
        <f t="shared" si="7"/>
        <v>0</v>
      </c>
    </row>
    <row r="219" spans="3:21" ht="30" customHeight="1" x14ac:dyDescent="0.2">
      <c r="C219" s="4"/>
      <c r="K219" s="5">
        <f t="shared" si="6"/>
        <v>0</v>
      </c>
      <c r="L219" s="5" t="str">
        <f>IF(OR(TRIM($B219)="",$A219=""),"",IF(OR(ISNUMBER(SEARCH(_xlfn.CONCAT(CHAR(96),CHAR(34)),$A219)),ISNUMBER(SEARCH(_xlfn.CONCAT(CHAR(34),CHAR(39)),$A219))),_xlfn.CONCAT("* REVIEW REQUIRED: compound-quote delimiter in Codebook Section on Sheet 1 row ",219,"; edit the input before running."),_xlfn.CONCAT("char ",TRIM($B219),"[doc_section] ",CHAR(96),CHAR(34),SUBSTITUTE(SUBSTITUTE(SUBSTITUTE(SUBSTITUTE(SUBSTITUTE(SUBSTITUTE($A219,CHAR(13)," "),CHAR(10)," "),CHAR(9)," "),CHAR(92),_xlfn.CONCAT(CHAR(92),CHAR(92))),"$",_xlfn.CONCAT(CHAR(92),"$")),CHAR(96),_xlfn.CONCAT(CHAR(92),CHAR(96))),CHAR(34),CHAR(39))))</f>
        <v/>
      </c>
      <c r="M219" s="5" t="str">
        <f>IF(OR(TRIM($B219)="",$C219=""),"",IF(IFERROR(MATCH(TRIM($C219),{"Quantitative","Continuous","Discrete","Categorical","Nominal","Ordinal","Identifier"},0),0)=0,_xlfn.CONCAT("* REVIEW REQUIRED: invalid Variable Type on Sheet 1 row ",219,"."),_xlfn.CONCAT("char ",TRIM($B219),"[doc_vartype] ",CHAR(96),CHAR(34),SUBSTITUTE(SUBSTITUTE(SUBSTITUTE(SUBSTITUTE(SUBSTITUTE(SUBSTITUTE(LOWER(TRIM($C219)),CHAR(13)," "),CHAR(10)," "),CHAR(9)," "),CHAR(92),_xlfn.CONCAT(CHAR(92),CHAR(92))),"$",_xlfn.CONCAT(CHAR(92),"$")),CHAR(96),_xlfn.CONCAT(CHAR(92),CHAR(96))),CHAR(34),CHAR(39))))</f>
        <v/>
      </c>
      <c r="N219" s="5" t="str">
        <f>IF(OR(TRIM($B219)="",$D219=""),"",IF(OR(ISNUMBER(SEARCH(_xlfn.CONCAT(CHAR(96),CHAR(34)),$D219)),ISNUMBER(SEARCH(_xlfn.CONCAT(CHAR(34),CHAR(39)),$D219))),_xlfn.CONCAT("* REVIEW REQUIRED: compound-quote delimiter in Item Number on Sheet 1 row ",219,"; edit the input before running."),_xlfn.CONCAT("char ",TRIM($B219),"[doc_itemnum] ",CHAR(96),CHAR(34),SUBSTITUTE(SUBSTITUTE(SUBSTITUTE(SUBSTITUTE(SUBSTITUTE(SUBSTITUTE($D219,CHAR(13)," "),CHAR(10)," "),CHAR(9)," "),CHAR(92),_xlfn.CONCAT(CHAR(92),CHAR(92))),"$",_xlfn.CONCAT(CHAR(92),"$")),CHAR(96),_xlfn.CONCAT(CHAR(92),CHAR(96))),CHAR(34),CHAR(39))))</f>
        <v/>
      </c>
      <c r="O219" s="5" t="str">
        <f>IF(OR(TRIM($B219)="",$E219=""),"",IF(OR(ISNUMBER(SEARCH(_xlfn.CONCAT(CHAR(96),CHAR(34)),$E219)),ISNUMBER(SEARCH(_xlfn.CONCAT(CHAR(34),CHAR(39)),$E219))),_xlfn.CONCAT("* REVIEW REQUIRED: compound-quote delimiter in Question Wording on Sheet 1 row ",219,"; edit the input before running."),_xlfn.CONCAT("char ",TRIM($B219),"[doc_question] ",CHAR(96),CHAR(34),SUBSTITUTE(SUBSTITUTE(SUBSTITUTE(SUBSTITUTE(SUBSTITUTE(SUBSTITUTE($E219,CHAR(13)," "),CHAR(10)," "),CHAR(9)," "),CHAR(92),_xlfn.CONCAT(CHAR(92),CHAR(92))),"$",_xlfn.CONCAT(CHAR(92),"$")),CHAR(96),_xlfn.CONCAT(CHAR(92),CHAR(96))),CHAR(34),CHAR(39))))</f>
        <v/>
      </c>
      <c r="P219" s="5" t="str">
        <f>IF(OR(TRIM($B219)="",$F219=""),"",IF(OR(ISNUMBER(SEARCH(_xlfn.CONCAT(CHAR(96),CHAR(34)),$F219)),ISNUMBER(SEARCH(_xlfn.CONCAT(CHAR(34),CHAR(39)),$F219))),_xlfn.CONCAT("* REVIEW REQUIRED: compound-quote delimiter in Units on Sheet 1 row ",219,"; edit the input before running."),_xlfn.CONCAT("char ",TRIM($B219),"[doc_units] ",CHAR(96),CHAR(34),SUBSTITUTE(SUBSTITUTE(SUBSTITUTE(SUBSTITUTE(SUBSTITUTE(SUBSTITUTE($F219,CHAR(13)," "),CHAR(10)," "),CHAR(9)," "),CHAR(92),_xlfn.CONCAT(CHAR(92),CHAR(92))),"$",_xlfn.CONCAT(CHAR(92),"$")),CHAR(96),_xlfn.CONCAT(CHAR(92),CHAR(96))),CHAR(34),CHAR(39))))</f>
        <v/>
      </c>
      <c r="Q219" s="5" t="str">
        <f>IF(OR(TRIM($B219)="",$G219=""),"",IF(OR(ISNUMBER(SEARCH(_xlfn.CONCAT(CHAR(96),CHAR(34)),$G219)),ISNUMBER(SEARCH(_xlfn.CONCAT(CHAR(34),CHAR(39)),$G219))),_xlfn.CONCAT("* REVIEW REQUIRED: compound-quote delimiter in Universe on Sheet 1 row ",219,"; edit the input before running."),_xlfn.CONCAT("char ",TRIM($B219),"[doc_universe] ",CHAR(96),CHAR(34),SUBSTITUTE(SUBSTITUTE(SUBSTITUTE(SUBSTITUTE(SUBSTITUTE(SUBSTITUTE($G219,CHAR(13)," "),CHAR(10)," "),CHAR(9)," "),CHAR(92),_xlfn.CONCAT(CHAR(92),CHAR(92))),"$",_xlfn.CONCAT(CHAR(92),"$")),CHAR(96),_xlfn.CONCAT(CHAR(92),CHAR(96))),CHAR(34),CHAR(39))))</f>
        <v/>
      </c>
      <c r="R219" s="5" t="str">
        <f>IF(OR(TRIM($B219)="",$H219=""),"",IF(OR(ISNUMBER(SEARCH(_xlfn.CONCAT(CHAR(96),CHAR(34)),$H219)),ISNUMBER(SEARCH(_xlfn.CONCAT(CHAR(34),CHAR(39)),$H219))),_xlfn.CONCAT("* REVIEW REQUIRED: compound-quote delimiter in Source on Sheet 1 row ",219,"; edit the input before running."),_xlfn.CONCAT("char ",TRIM($B219),"[doc_source] ",CHAR(96),CHAR(34),SUBSTITUTE(SUBSTITUTE(SUBSTITUTE(SUBSTITUTE(SUBSTITUTE(SUBSTITUTE($H219,CHAR(13)," "),CHAR(10)," "),CHAR(9)," "),CHAR(92),_xlfn.CONCAT(CHAR(92),CHAR(92))),"$",_xlfn.CONCAT(CHAR(92),"$")),CHAR(96),_xlfn.CONCAT(CHAR(92),CHAR(96))),CHAR(34),CHAR(39))))</f>
        <v/>
      </c>
      <c r="S219" s="5" t="str">
        <f>IF(OR(TRIM($B219)="",$I219=""),"",IF(OR(ISNUMBER(SEARCH(_xlfn.CONCAT(CHAR(96),CHAR(34)),$I219)),ISNUMBER(SEARCH(_xlfn.CONCAT(CHAR(34),CHAR(39)),$I219))),_xlfn.CONCAT("* REVIEW REQUIRED: compound-quote delimiter in Derivation on Sheet 1 row ",219,"; edit the input before running."),_xlfn.CONCAT("char ",TRIM($B219),"[doc_derivation] ",CHAR(96),CHAR(34),SUBSTITUTE(SUBSTITUTE(SUBSTITUTE(SUBSTITUTE(SUBSTITUTE(SUBSTITUTE($I219,CHAR(13)," "),CHAR(10)," "),CHAR(9)," "),CHAR(92),_xlfn.CONCAT(CHAR(92),CHAR(92))),"$",_xlfn.CONCAT(CHAR(92),"$")),CHAR(96),_xlfn.CONCAT(CHAR(92),CHAR(96))),CHAR(34),CHAR(39))))</f>
        <v/>
      </c>
      <c r="T219" s="5" t="str">
        <f>IF(OR(TRIM($B219)="",$J219=""),"",IF(OR(ISNUMBER(SEARCH(_xlfn.CONCAT(CHAR(96),CHAR(34)),$J219)),ISNUMBER(SEARCH(_xlfn.CONCAT(CHAR(34),CHAR(39)),$J219))),_xlfn.CONCAT("* REVIEW REQUIRED: compound-quote delimiter in Notes on Sheet 1 row ",219,"; edit the input before running."),_xlfn.CONCAT("char ",TRIM($B219),"[doc_notes] ",CHAR(96),CHAR(34),SUBSTITUTE(SUBSTITUTE(SUBSTITUTE(SUBSTITUTE(SUBSTITUTE(SUBSTITUTE($J219,CHAR(13)," "),CHAR(10)," "),CHAR(9)," "),CHAR(92),_xlfn.CONCAT(CHAR(92),CHAR(92))),"$",_xlfn.CONCAT(CHAR(92),"$")),CHAR(96),_xlfn.CONCAT(CHAR(92),CHAR(96))),CHAR(34),CHAR(39))))</f>
        <v/>
      </c>
      <c r="U219" s="5">
        <f t="shared" si="7"/>
        <v>0</v>
      </c>
    </row>
    <row r="220" spans="3:21" ht="30" customHeight="1" x14ac:dyDescent="0.2">
      <c r="C220" s="4"/>
      <c r="K220" s="5">
        <f t="shared" si="6"/>
        <v>0</v>
      </c>
      <c r="L220" s="5" t="str">
        <f>IF(OR(TRIM($B220)="",$A220=""),"",IF(OR(ISNUMBER(SEARCH(_xlfn.CONCAT(CHAR(96),CHAR(34)),$A220)),ISNUMBER(SEARCH(_xlfn.CONCAT(CHAR(34),CHAR(39)),$A220))),_xlfn.CONCAT("* REVIEW REQUIRED: compound-quote delimiter in Codebook Section on Sheet 1 row ",220,"; edit the input before running."),_xlfn.CONCAT("char ",TRIM($B220),"[doc_section] ",CHAR(96),CHAR(34),SUBSTITUTE(SUBSTITUTE(SUBSTITUTE(SUBSTITUTE(SUBSTITUTE(SUBSTITUTE($A220,CHAR(13)," "),CHAR(10)," "),CHAR(9)," "),CHAR(92),_xlfn.CONCAT(CHAR(92),CHAR(92))),"$",_xlfn.CONCAT(CHAR(92),"$")),CHAR(96),_xlfn.CONCAT(CHAR(92),CHAR(96))),CHAR(34),CHAR(39))))</f>
        <v/>
      </c>
      <c r="M220" s="5" t="str">
        <f>IF(OR(TRIM($B220)="",$C220=""),"",IF(IFERROR(MATCH(TRIM($C220),{"Quantitative","Continuous","Discrete","Categorical","Nominal","Ordinal","Identifier"},0),0)=0,_xlfn.CONCAT("* REVIEW REQUIRED: invalid Variable Type on Sheet 1 row ",220,"."),_xlfn.CONCAT("char ",TRIM($B220),"[doc_vartype] ",CHAR(96),CHAR(34),SUBSTITUTE(SUBSTITUTE(SUBSTITUTE(SUBSTITUTE(SUBSTITUTE(SUBSTITUTE(LOWER(TRIM($C220)),CHAR(13)," "),CHAR(10)," "),CHAR(9)," "),CHAR(92),_xlfn.CONCAT(CHAR(92),CHAR(92))),"$",_xlfn.CONCAT(CHAR(92),"$")),CHAR(96),_xlfn.CONCAT(CHAR(92),CHAR(96))),CHAR(34),CHAR(39))))</f>
        <v/>
      </c>
      <c r="N220" s="5" t="str">
        <f>IF(OR(TRIM($B220)="",$D220=""),"",IF(OR(ISNUMBER(SEARCH(_xlfn.CONCAT(CHAR(96),CHAR(34)),$D220)),ISNUMBER(SEARCH(_xlfn.CONCAT(CHAR(34),CHAR(39)),$D220))),_xlfn.CONCAT("* REVIEW REQUIRED: compound-quote delimiter in Item Number on Sheet 1 row ",220,"; edit the input before running."),_xlfn.CONCAT("char ",TRIM($B220),"[doc_itemnum] ",CHAR(96),CHAR(34),SUBSTITUTE(SUBSTITUTE(SUBSTITUTE(SUBSTITUTE(SUBSTITUTE(SUBSTITUTE($D220,CHAR(13)," "),CHAR(10)," "),CHAR(9)," "),CHAR(92),_xlfn.CONCAT(CHAR(92),CHAR(92))),"$",_xlfn.CONCAT(CHAR(92),"$")),CHAR(96),_xlfn.CONCAT(CHAR(92),CHAR(96))),CHAR(34),CHAR(39))))</f>
        <v/>
      </c>
      <c r="O220" s="5" t="str">
        <f>IF(OR(TRIM($B220)="",$E220=""),"",IF(OR(ISNUMBER(SEARCH(_xlfn.CONCAT(CHAR(96),CHAR(34)),$E220)),ISNUMBER(SEARCH(_xlfn.CONCAT(CHAR(34),CHAR(39)),$E220))),_xlfn.CONCAT("* REVIEW REQUIRED: compound-quote delimiter in Question Wording on Sheet 1 row ",220,"; edit the input before running."),_xlfn.CONCAT("char ",TRIM($B220),"[doc_question] ",CHAR(96),CHAR(34),SUBSTITUTE(SUBSTITUTE(SUBSTITUTE(SUBSTITUTE(SUBSTITUTE(SUBSTITUTE($E220,CHAR(13)," "),CHAR(10)," "),CHAR(9)," "),CHAR(92),_xlfn.CONCAT(CHAR(92),CHAR(92))),"$",_xlfn.CONCAT(CHAR(92),"$")),CHAR(96),_xlfn.CONCAT(CHAR(92),CHAR(96))),CHAR(34),CHAR(39))))</f>
        <v/>
      </c>
      <c r="P220" s="5" t="str">
        <f>IF(OR(TRIM($B220)="",$F220=""),"",IF(OR(ISNUMBER(SEARCH(_xlfn.CONCAT(CHAR(96),CHAR(34)),$F220)),ISNUMBER(SEARCH(_xlfn.CONCAT(CHAR(34),CHAR(39)),$F220))),_xlfn.CONCAT("* REVIEW REQUIRED: compound-quote delimiter in Units on Sheet 1 row ",220,"; edit the input before running."),_xlfn.CONCAT("char ",TRIM($B220),"[doc_units] ",CHAR(96),CHAR(34),SUBSTITUTE(SUBSTITUTE(SUBSTITUTE(SUBSTITUTE(SUBSTITUTE(SUBSTITUTE($F220,CHAR(13)," "),CHAR(10)," "),CHAR(9)," "),CHAR(92),_xlfn.CONCAT(CHAR(92),CHAR(92))),"$",_xlfn.CONCAT(CHAR(92),"$")),CHAR(96),_xlfn.CONCAT(CHAR(92),CHAR(96))),CHAR(34),CHAR(39))))</f>
        <v/>
      </c>
      <c r="Q220" s="5" t="str">
        <f>IF(OR(TRIM($B220)="",$G220=""),"",IF(OR(ISNUMBER(SEARCH(_xlfn.CONCAT(CHAR(96),CHAR(34)),$G220)),ISNUMBER(SEARCH(_xlfn.CONCAT(CHAR(34),CHAR(39)),$G220))),_xlfn.CONCAT("* REVIEW REQUIRED: compound-quote delimiter in Universe on Sheet 1 row ",220,"; edit the input before running."),_xlfn.CONCAT("char ",TRIM($B220),"[doc_universe] ",CHAR(96),CHAR(34),SUBSTITUTE(SUBSTITUTE(SUBSTITUTE(SUBSTITUTE(SUBSTITUTE(SUBSTITUTE($G220,CHAR(13)," "),CHAR(10)," "),CHAR(9)," "),CHAR(92),_xlfn.CONCAT(CHAR(92),CHAR(92))),"$",_xlfn.CONCAT(CHAR(92),"$")),CHAR(96),_xlfn.CONCAT(CHAR(92),CHAR(96))),CHAR(34),CHAR(39))))</f>
        <v/>
      </c>
      <c r="R220" s="5" t="str">
        <f>IF(OR(TRIM($B220)="",$H220=""),"",IF(OR(ISNUMBER(SEARCH(_xlfn.CONCAT(CHAR(96),CHAR(34)),$H220)),ISNUMBER(SEARCH(_xlfn.CONCAT(CHAR(34),CHAR(39)),$H220))),_xlfn.CONCAT("* REVIEW REQUIRED: compound-quote delimiter in Source on Sheet 1 row ",220,"; edit the input before running."),_xlfn.CONCAT("char ",TRIM($B220),"[doc_source] ",CHAR(96),CHAR(34),SUBSTITUTE(SUBSTITUTE(SUBSTITUTE(SUBSTITUTE(SUBSTITUTE(SUBSTITUTE($H220,CHAR(13)," "),CHAR(10)," "),CHAR(9)," "),CHAR(92),_xlfn.CONCAT(CHAR(92),CHAR(92))),"$",_xlfn.CONCAT(CHAR(92),"$")),CHAR(96),_xlfn.CONCAT(CHAR(92),CHAR(96))),CHAR(34),CHAR(39))))</f>
        <v/>
      </c>
      <c r="S220" s="5" t="str">
        <f>IF(OR(TRIM($B220)="",$I220=""),"",IF(OR(ISNUMBER(SEARCH(_xlfn.CONCAT(CHAR(96),CHAR(34)),$I220)),ISNUMBER(SEARCH(_xlfn.CONCAT(CHAR(34),CHAR(39)),$I220))),_xlfn.CONCAT("* REVIEW REQUIRED: compound-quote delimiter in Derivation on Sheet 1 row ",220,"; edit the input before running."),_xlfn.CONCAT("char ",TRIM($B220),"[doc_derivation] ",CHAR(96),CHAR(34),SUBSTITUTE(SUBSTITUTE(SUBSTITUTE(SUBSTITUTE(SUBSTITUTE(SUBSTITUTE($I220,CHAR(13)," "),CHAR(10)," "),CHAR(9)," "),CHAR(92),_xlfn.CONCAT(CHAR(92),CHAR(92))),"$",_xlfn.CONCAT(CHAR(92),"$")),CHAR(96),_xlfn.CONCAT(CHAR(92),CHAR(96))),CHAR(34),CHAR(39))))</f>
        <v/>
      </c>
      <c r="T220" s="5" t="str">
        <f>IF(OR(TRIM($B220)="",$J220=""),"",IF(OR(ISNUMBER(SEARCH(_xlfn.CONCAT(CHAR(96),CHAR(34)),$J220)),ISNUMBER(SEARCH(_xlfn.CONCAT(CHAR(34),CHAR(39)),$J220))),_xlfn.CONCAT("* REVIEW REQUIRED: compound-quote delimiter in Notes on Sheet 1 row ",220,"; edit the input before running."),_xlfn.CONCAT("char ",TRIM($B220),"[doc_notes] ",CHAR(96),CHAR(34),SUBSTITUTE(SUBSTITUTE(SUBSTITUTE(SUBSTITUTE(SUBSTITUTE(SUBSTITUTE($J220,CHAR(13)," "),CHAR(10)," "),CHAR(9)," "),CHAR(92),_xlfn.CONCAT(CHAR(92),CHAR(92))),"$",_xlfn.CONCAT(CHAR(92),"$")),CHAR(96),_xlfn.CONCAT(CHAR(92),CHAR(96))),CHAR(34),CHAR(39))))</f>
        <v/>
      </c>
      <c r="U220" s="5">
        <f t="shared" si="7"/>
        <v>0</v>
      </c>
    </row>
    <row r="221" spans="3:21" ht="30" customHeight="1" x14ac:dyDescent="0.2">
      <c r="C221" s="4"/>
      <c r="K221" s="5">
        <f t="shared" si="6"/>
        <v>0</v>
      </c>
      <c r="L221" s="5" t="str">
        <f>IF(OR(TRIM($B221)="",$A221=""),"",IF(OR(ISNUMBER(SEARCH(_xlfn.CONCAT(CHAR(96),CHAR(34)),$A221)),ISNUMBER(SEARCH(_xlfn.CONCAT(CHAR(34),CHAR(39)),$A221))),_xlfn.CONCAT("* REVIEW REQUIRED: compound-quote delimiter in Codebook Section on Sheet 1 row ",221,"; edit the input before running."),_xlfn.CONCAT("char ",TRIM($B221),"[doc_section] ",CHAR(96),CHAR(34),SUBSTITUTE(SUBSTITUTE(SUBSTITUTE(SUBSTITUTE(SUBSTITUTE(SUBSTITUTE($A221,CHAR(13)," "),CHAR(10)," "),CHAR(9)," "),CHAR(92),_xlfn.CONCAT(CHAR(92),CHAR(92))),"$",_xlfn.CONCAT(CHAR(92),"$")),CHAR(96),_xlfn.CONCAT(CHAR(92),CHAR(96))),CHAR(34),CHAR(39))))</f>
        <v/>
      </c>
      <c r="M221" s="5" t="str">
        <f>IF(OR(TRIM($B221)="",$C221=""),"",IF(IFERROR(MATCH(TRIM($C221),{"Quantitative","Continuous","Discrete","Categorical","Nominal","Ordinal","Identifier"},0),0)=0,_xlfn.CONCAT("* REVIEW REQUIRED: invalid Variable Type on Sheet 1 row ",221,"."),_xlfn.CONCAT("char ",TRIM($B221),"[doc_vartype] ",CHAR(96),CHAR(34),SUBSTITUTE(SUBSTITUTE(SUBSTITUTE(SUBSTITUTE(SUBSTITUTE(SUBSTITUTE(LOWER(TRIM($C221)),CHAR(13)," "),CHAR(10)," "),CHAR(9)," "),CHAR(92),_xlfn.CONCAT(CHAR(92),CHAR(92))),"$",_xlfn.CONCAT(CHAR(92),"$")),CHAR(96),_xlfn.CONCAT(CHAR(92),CHAR(96))),CHAR(34),CHAR(39))))</f>
        <v/>
      </c>
      <c r="N221" s="5" t="str">
        <f>IF(OR(TRIM($B221)="",$D221=""),"",IF(OR(ISNUMBER(SEARCH(_xlfn.CONCAT(CHAR(96),CHAR(34)),$D221)),ISNUMBER(SEARCH(_xlfn.CONCAT(CHAR(34),CHAR(39)),$D221))),_xlfn.CONCAT("* REVIEW REQUIRED: compound-quote delimiter in Item Number on Sheet 1 row ",221,"; edit the input before running."),_xlfn.CONCAT("char ",TRIM($B221),"[doc_itemnum] ",CHAR(96),CHAR(34),SUBSTITUTE(SUBSTITUTE(SUBSTITUTE(SUBSTITUTE(SUBSTITUTE(SUBSTITUTE($D221,CHAR(13)," "),CHAR(10)," "),CHAR(9)," "),CHAR(92),_xlfn.CONCAT(CHAR(92),CHAR(92))),"$",_xlfn.CONCAT(CHAR(92),"$")),CHAR(96),_xlfn.CONCAT(CHAR(92),CHAR(96))),CHAR(34),CHAR(39))))</f>
        <v/>
      </c>
      <c r="O221" s="5" t="str">
        <f>IF(OR(TRIM($B221)="",$E221=""),"",IF(OR(ISNUMBER(SEARCH(_xlfn.CONCAT(CHAR(96),CHAR(34)),$E221)),ISNUMBER(SEARCH(_xlfn.CONCAT(CHAR(34),CHAR(39)),$E221))),_xlfn.CONCAT("* REVIEW REQUIRED: compound-quote delimiter in Question Wording on Sheet 1 row ",221,"; edit the input before running."),_xlfn.CONCAT("char ",TRIM($B221),"[doc_question] ",CHAR(96),CHAR(34),SUBSTITUTE(SUBSTITUTE(SUBSTITUTE(SUBSTITUTE(SUBSTITUTE(SUBSTITUTE($E221,CHAR(13)," "),CHAR(10)," "),CHAR(9)," "),CHAR(92),_xlfn.CONCAT(CHAR(92),CHAR(92))),"$",_xlfn.CONCAT(CHAR(92),"$")),CHAR(96),_xlfn.CONCAT(CHAR(92),CHAR(96))),CHAR(34),CHAR(39))))</f>
        <v/>
      </c>
      <c r="P221" s="5" t="str">
        <f>IF(OR(TRIM($B221)="",$F221=""),"",IF(OR(ISNUMBER(SEARCH(_xlfn.CONCAT(CHAR(96),CHAR(34)),$F221)),ISNUMBER(SEARCH(_xlfn.CONCAT(CHAR(34),CHAR(39)),$F221))),_xlfn.CONCAT("* REVIEW REQUIRED: compound-quote delimiter in Units on Sheet 1 row ",221,"; edit the input before running."),_xlfn.CONCAT("char ",TRIM($B221),"[doc_units] ",CHAR(96),CHAR(34),SUBSTITUTE(SUBSTITUTE(SUBSTITUTE(SUBSTITUTE(SUBSTITUTE(SUBSTITUTE($F221,CHAR(13)," "),CHAR(10)," "),CHAR(9)," "),CHAR(92),_xlfn.CONCAT(CHAR(92),CHAR(92))),"$",_xlfn.CONCAT(CHAR(92),"$")),CHAR(96),_xlfn.CONCAT(CHAR(92),CHAR(96))),CHAR(34),CHAR(39))))</f>
        <v/>
      </c>
      <c r="Q221" s="5" t="str">
        <f>IF(OR(TRIM($B221)="",$G221=""),"",IF(OR(ISNUMBER(SEARCH(_xlfn.CONCAT(CHAR(96),CHAR(34)),$G221)),ISNUMBER(SEARCH(_xlfn.CONCAT(CHAR(34),CHAR(39)),$G221))),_xlfn.CONCAT("* REVIEW REQUIRED: compound-quote delimiter in Universe on Sheet 1 row ",221,"; edit the input before running."),_xlfn.CONCAT("char ",TRIM($B221),"[doc_universe] ",CHAR(96),CHAR(34),SUBSTITUTE(SUBSTITUTE(SUBSTITUTE(SUBSTITUTE(SUBSTITUTE(SUBSTITUTE($G221,CHAR(13)," "),CHAR(10)," "),CHAR(9)," "),CHAR(92),_xlfn.CONCAT(CHAR(92),CHAR(92))),"$",_xlfn.CONCAT(CHAR(92),"$")),CHAR(96),_xlfn.CONCAT(CHAR(92),CHAR(96))),CHAR(34),CHAR(39))))</f>
        <v/>
      </c>
      <c r="R221" s="5" t="str">
        <f>IF(OR(TRIM($B221)="",$H221=""),"",IF(OR(ISNUMBER(SEARCH(_xlfn.CONCAT(CHAR(96),CHAR(34)),$H221)),ISNUMBER(SEARCH(_xlfn.CONCAT(CHAR(34),CHAR(39)),$H221))),_xlfn.CONCAT("* REVIEW REQUIRED: compound-quote delimiter in Source on Sheet 1 row ",221,"; edit the input before running."),_xlfn.CONCAT("char ",TRIM($B221),"[doc_source] ",CHAR(96),CHAR(34),SUBSTITUTE(SUBSTITUTE(SUBSTITUTE(SUBSTITUTE(SUBSTITUTE(SUBSTITUTE($H221,CHAR(13)," "),CHAR(10)," "),CHAR(9)," "),CHAR(92),_xlfn.CONCAT(CHAR(92),CHAR(92))),"$",_xlfn.CONCAT(CHAR(92),"$")),CHAR(96),_xlfn.CONCAT(CHAR(92),CHAR(96))),CHAR(34),CHAR(39))))</f>
        <v/>
      </c>
      <c r="S221" s="5" t="str">
        <f>IF(OR(TRIM($B221)="",$I221=""),"",IF(OR(ISNUMBER(SEARCH(_xlfn.CONCAT(CHAR(96),CHAR(34)),$I221)),ISNUMBER(SEARCH(_xlfn.CONCAT(CHAR(34),CHAR(39)),$I221))),_xlfn.CONCAT("* REVIEW REQUIRED: compound-quote delimiter in Derivation on Sheet 1 row ",221,"; edit the input before running."),_xlfn.CONCAT("char ",TRIM($B221),"[doc_derivation] ",CHAR(96),CHAR(34),SUBSTITUTE(SUBSTITUTE(SUBSTITUTE(SUBSTITUTE(SUBSTITUTE(SUBSTITUTE($I221,CHAR(13)," "),CHAR(10)," "),CHAR(9)," "),CHAR(92),_xlfn.CONCAT(CHAR(92),CHAR(92))),"$",_xlfn.CONCAT(CHAR(92),"$")),CHAR(96),_xlfn.CONCAT(CHAR(92),CHAR(96))),CHAR(34),CHAR(39))))</f>
        <v/>
      </c>
      <c r="T221" s="5" t="str">
        <f>IF(OR(TRIM($B221)="",$J221=""),"",IF(OR(ISNUMBER(SEARCH(_xlfn.CONCAT(CHAR(96),CHAR(34)),$J221)),ISNUMBER(SEARCH(_xlfn.CONCAT(CHAR(34),CHAR(39)),$J221))),_xlfn.CONCAT("* REVIEW REQUIRED: compound-quote delimiter in Notes on Sheet 1 row ",221,"; edit the input before running."),_xlfn.CONCAT("char ",TRIM($B221),"[doc_notes] ",CHAR(96),CHAR(34),SUBSTITUTE(SUBSTITUTE(SUBSTITUTE(SUBSTITUTE(SUBSTITUTE(SUBSTITUTE($J221,CHAR(13)," "),CHAR(10)," "),CHAR(9)," "),CHAR(92),_xlfn.CONCAT(CHAR(92),CHAR(92))),"$",_xlfn.CONCAT(CHAR(92),"$")),CHAR(96),_xlfn.CONCAT(CHAR(92),CHAR(96))),CHAR(34),CHAR(39))))</f>
        <v/>
      </c>
      <c r="U221" s="5">
        <f t="shared" si="7"/>
        <v>0</v>
      </c>
    </row>
    <row r="222" spans="3:21" ht="30" customHeight="1" x14ac:dyDescent="0.2">
      <c r="C222" s="4"/>
      <c r="K222" s="5">
        <f t="shared" si="6"/>
        <v>0</v>
      </c>
      <c r="L222" s="5" t="str">
        <f>IF(OR(TRIM($B222)="",$A222=""),"",IF(OR(ISNUMBER(SEARCH(_xlfn.CONCAT(CHAR(96),CHAR(34)),$A222)),ISNUMBER(SEARCH(_xlfn.CONCAT(CHAR(34),CHAR(39)),$A222))),_xlfn.CONCAT("* REVIEW REQUIRED: compound-quote delimiter in Codebook Section on Sheet 1 row ",222,"; edit the input before running."),_xlfn.CONCAT("char ",TRIM($B222),"[doc_section] ",CHAR(96),CHAR(34),SUBSTITUTE(SUBSTITUTE(SUBSTITUTE(SUBSTITUTE(SUBSTITUTE(SUBSTITUTE($A222,CHAR(13)," "),CHAR(10)," "),CHAR(9)," "),CHAR(92),_xlfn.CONCAT(CHAR(92),CHAR(92))),"$",_xlfn.CONCAT(CHAR(92),"$")),CHAR(96),_xlfn.CONCAT(CHAR(92),CHAR(96))),CHAR(34),CHAR(39))))</f>
        <v/>
      </c>
      <c r="M222" s="5" t="str">
        <f>IF(OR(TRIM($B222)="",$C222=""),"",IF(IFERROR(MATCH(TRIM($C222),{"Quantitative","Continuous","Discrete","Categorical","Nominal","Ordinal","Identifier"},0),0)=0,_xlfn.CONCAT("* REVIEW REQUIRED: invalid Variable Type on Sheet 1 row ",222,"."),_xlfn.CONCAT("char ",TRIM($B222),"[doc_vartype] ",CHAR(96),CHAR(34),SUBSTITUTE(SUBSTITUTE(SUBSTITUTE(SUBSTITUTE(SUBSTITUTE(SUBSTITUTE(LOWER(TRIM($C222)),CHAR(13)," "),CHAR(10)," "),CHAR(9)," "),CHAR(92),_xlfn.CONCAT(CHAR(92),CHAR(92))),"$",_xlfn.CONCAT(CHAR(92),"$")),CHAR(96),_xlfn.CONCAT(CHAR(92),CHAR(96))),CHAR(34),CHAR(39))))</f>
        <v/>
      </c>
      <c r="N222" s="5" t="str">
        <f>IF(OR(TRIM($B222)="",$D222=""),"",IF(OR(ISNUMBER(SEARCH(_xlfn.CONCAT(CHAR(96),CHAR(34)),$D222)),ISNUMBER(SEARCH(_xlfn.CONCAT(CHAR(34),CHAR(39)),$D222))),_xlfn.CONCAT("* REVIEW REQUIRED: compound-quote delimiter in Item Number on Sheet 1 row ",222,"; edit the input before running."),_xlfn.CONCAT("char ",TRIM($B222),"[doc_itemnum] ",CHAR(96),CHAR(34),SUBSTITUTE(SUBSTITUTE(SUBSTITUTE(SUBSTITUTE(SUBSTITUTE(SUBSTITUTE($D222,CHAR(13)," "),CHAR(10)," "),CHAR(9)," "),CHAR(92),_xlfn.CONCAT(CHAR(92),CHAR(92))),"$",_xlfn.CONCAT(CHAR(92),"$")),CHAR(96),_xlfn.CONCAT(CHAR(92),CHAR(96))),CHAR(34),CHAR(39))))</f>
        <v/>
      </c>
      <c r="O222" s="5" t="str">
        <f>IF(OR(TRIM($B222)="",$E222=""),"",IF(OR(ISNUMBER(SEARCH(_xlfn.CONCAT(CHAR(96),CHAR(34)),$E222)),ISNUMBER(SEARCH(_xlfn.CONCAT(CHAR(34),CHAR(39)),$E222))),_xlfn.CONCAT("* REVIEW REQUIRED: compound-quote delimiter in Question Wording on Sheet 1 row ",222,"; edit the input before running."),_xlfn.CONCAT("char ",TRIM($B222),"[doc_question] ",CHAR(96),CHAR(34),SUBSTITUTE(SUBSTITUTE(SUBSTITUTE(SUBSTITUTE(SUBSTITUTE(SUBSTITUTE($E222,CHAR(13)," "),CHAR(10)," "),CHAR(9)," "),CHAR(92),_xlfn.CONCAT(CHAR(92),CHAR(92))),"$",_xlfn.CONCAT(CHAR(92),"$")),CHAR(96),_xlfn.CONCAT(CHAR(92),CHAR(96))),CHAR(34),CHAR(39))))</f>
        <v/>
      </c>
      <c r="P222" s="5" t="str">
        <f>IF(OR(TRIM($B222)="",$F222=""),"",IF(OR(ISNUMBER(SEARCH(_xlfn.CONCAT(CHAR(96),CHAR(34)),$F222)),ISNUMBER(SEARCH(_xlfn.CONCAT(CHAR(34),CHAR(39)),$F222))),_xlfn.CONCAT("* REVIEW REQUIRED: compound-quote delimiter in Units on Sheet 1 row ",222,"; edit the input before running."),_xlfn.CONCAT("char ",TRIM($B222),"[doc_units] ",CHAR(96),CHAR(34),SUBSTITUTE(SUBSTITUTE(SUBSTITUTE(SUBSTITUTE(SUBSTITUTE(SUBSTITUTE($F222,CHAR(13)," "),CHAR(10)," "),CHAR(9)," "),CHAR(92),_xlfn.CONCAT(CHAR(92),CHAR(92))),"$",_xlfn.CONCAT(CHAR(92),"$")),CHAR(96),_xlfn.CONCAT(CHAR(92),CHAR(96))),CHAR(34),CHAR(39))))</f>
        <v/>
      </c>
      <c r="Q222" s="5" t="str">
        <f>IF(OR(TRIM($B222)="",$G222=""),"",IF(OR(ISNUMBER(SEARCH(_xlfn.CONCAT(CHAR(96),CHAR(34)),$G222)),ISNUMBER(SEARCH(_xlfn.CONCAT(CHAR(34),CHAR(39)),$G222))),_xlfn.CONCAT("* REVIEW REQUIRED: compound-quote delimiter in Universe on Sheet 1 row ",222,"; edit the input before running."),_xlfn.CONCAT("char ",TRIM($B222),"[doc_universe] ",CHAR(96),CHAR(34),SUBSTITUTE(SUBSTITUTE(SUBSTITUTE(SUBSTITUTE(SUBSTITUTE(SUBSTITUTE($G222,CHAR(13)," "),CHAR(10)," "),CHAR(9)," "),CHAR(92),_xlfn.CONCAT(CHAR(92),CHAR(92))),"$",_xlfn.CONCAT(CHAR(92),"$")),CHAR(96),_xlfn.CONCAT(CHAR(92),CHAR(96))),CHAR(34),CHAR(39))))</f>
        <v/>
      </c>
      <c r="R222" s="5" t="str">
        <f>IF(OR(TRIM($B222)="",$H222=""),"",IF(OR(ISNUMBER(SEARCH(_xlfn.CONCAT(CHAR(96),CHAR(34)),$H222)),ISNUMBER(SEARCH(_xlfn.CONCAT(CHAR(34),CHAR(39)),$H222))),_xlfn.CONCAT("* REVIEW REQUIRED: compound-quote delimiter in Source on Sheet 1 row ",222,"; edit the input before running."),_xlfn.CONCAT("char ",TRIM($B222),"[doc_source] ",CHAR(96),CHAR(34),SUBSTITUTE(SUBSTITUTE(SUBSTITUTE(SUBSTITUTE(SUBSTITUTE(SUBSTITUTE($H222,CHAR(13)," "),CHAR(10)," "),CHAR(9)," "),CHAR(92),_xlfn.CONCAT(CHAR(92),CHAR(92))),"$",_xlfn.CONCAT(CHAR(92),"$")),CHAR(96),_xlfn.CONCAT(CHAR(92),CHAR(96))),CHAR(34),CHAR(39))))</f>
        <v/>
      </c>
      <c r="S222" s="5" t="str">
        <f>IF(OR(TRIM($B222)="",$I222=""),"",IF(OR(ISNUMBER(SEARCH(_xlfn.CONCAT(CHAR(96),CHAR(34)),$I222)),ISNUMBER(SEARCH(_xlfn.CONCAT(CHAR(34),CHAR(39)),$I222))),_xlfn.CONCAT("* REVIEW REQUIRED: compound-quote delimiter in Derivation on Sheet 1 row ",222,"; edit the input before running."),_xlfn.CONCAT("char ",TRIM($B222),"[doc_derivation] ",CHAR(96),CHAR(34),SUBSTITUTE(SUBSTITUTE(SUBSTITUTE(SUBSTITUTE(SUBSTITUTE(SUBSTITUTE($I222,CHAR(13)," "),CHAR(10)," "),CHAR(9)," "),CHAR(92),_xlfn.CONCAT(CHAR(92),CHAR(92))),"$",_xlfn.CONCAT(CHAR(92),"$")),CHAR(96),_xlfn.CONCAT(CHAR(92),CHAR(96))),CHAR(34),CHAR(39))))</f>
        <v/>
      </c>
      <c r="T222" s="5" t="str">
        <f>IF(OR(TRIM($B222)="",$J222=""),"",IF(OR(ISNUMBER(SEARCH(_xlfn.CONCAT(CHAR(96),CHAR(34)),$J222)),ISNUMBER(SEARCH(_xlfn.CONCAT(CHAR(34),CHAR(39)),$J222))),_xlfn.CONCAT("* REVIEW REQUIRED: compound-quote delimiter in Notes on Sheet 1 row ",222,"; edit the input before running."),_xlfn.CONCAT("char ",TRIM($B222),"[doc_notes] ",CHAR(96),CHAR(34),SUBSTITUTE(SUBSTITUTE(SUBSTITUTE(SUBSTITUTE(SUBSTITUTE(SUBSTITUTE($J222,CHAR(13)," "),CHAR(10)," "),CHAR(9)," "),CHAR(92),_xlfn.CONCAT(CHAR(92),CHAR(92))),"$",_xlfn.CONCAT(CHAR(92),"$")),CHAR(96),_xlfn.CONCAT(CHAR(92),CHAR(96))),CHAR(34),CHAR(39))))</f>
        <v/>
      </c>
      <c r="U222" s="5">
        <f t="shared" si="7"/>
        <v>0</v>
      </c>
    </row>
    <row r="223" spans="3:21" ht="30" customHeight="1" x14ac:dyDescent="0.2">
      <c r="C223" s="4"/>
      <c r="K223" s="5">
        <f t="shared" si="6"/>
        <v>0</v>
      </c>
      <c r="L223" s="5" t="str">
        <f>IF(OR(TRIM($B223)="",$A223=""),"",IF(OR(ISNUMBER(SEARCH(_xlfn.CONCAT(CHAR(96),CHAR(34)),$A223)),ISNUMBER(SEARCH(_xlfn.CONCAT(CHAR(34),CHAR(39)),$A223))),_xlfn.CONCAT("* REVIEW REQUIRED: compound-quote delimiter in Codebook Section on Sheet 1 row ",223,"; edit the input before running."),_xlfn.CONCAT("char ",TRIM($B223),"[doc_section] ",CHAR(96),CHAR(34),SUBSTITUTE(SUBSTITUTE(SUBSTITUTE(SUBSTITUTE(SUBSTITUTE(SUBSTITUTE($A223,CHAR(13)," "),CHAR(10)," "),CHAR(9)," "),CHAR(92),_xlfn.CONCAT(CHAR(92),CHAR(92))),"$",_xlfn.CONCAT(CHAR(92),"$")),CHAR(96),_xlfn.CONCAT(CHAR(92),CHAR(96))),CHAR(34),CHAR(39))))</f>
        <v/>
      </c>
      <c r="M223" s="5" t="str">
        <f>IF(OR(TRIM($B223)="",$C223=""),"",IF(IFERROR(MATCH(TRIM($C223),{"Quantitative","Continuous","Discrete","Categorical","Nominal","Ordinal","Identifier"},0),0)=0,_xlfn.CONCAT("* REVIEW REQUIRED: invalid Variable Type on Sheet 1 row ",223,"."),_xlfn.CONCAT("char ",TRIM($B223),"[doc_vartype] ",CHAR(96),CHAR(34),SUBSTITUTE(SUBSTITUTE(SUBSTITUTE(SUBSTITUTE(SUBSTITUTE(SUBSTITUTE(LOWER(TRIM($C223)),CHAR(13)," "),CHAR(10)," "),CHAR(9)," "),CHAR(92),_xlfn.CONCAT(CHAR(92),CHAR(92))),"$",_xlfn.CONCAT(CHAR(92),"$")),CHAR(96),_xlfn.CONCAT(CHAR(92),CHAR(96))),CHAR(34),CHAR(39))))</f>
        <v/>
      </c>
      <c r="N223" s="5" t="str">
        <f>IF(OR(TRIM($B223)="",$D223=""),"",IF(OR(ISNUMBER(SEARCH(_xlfn.CONCAT(CHAR(96),CHAR(34)),$D223)),ISNUMBER(SEARCH(_xlfn.CONCAT(CHAR(34),CHAR(39)),$D223))),_xlfn.CONCAT("* REVIEW REQUIRED: compound-quote delimiter in Item Number on Sheet 1 row ",223,"; edit the input before running."),_xlfn.CONCAT("char ",TRIM($B223),"[doc_itemnum] ",CHAR(96),CHAR(34),SUBSTITUTE(SUBSTITUTE(SUBSTITUTE(SUBSTITUTE(SUBSTITUTE(SUBSTITUTE($D223,CHAR(13)," "),CHAR(10)," "),CHAR(9)," "),CHAR(92),_xlfn.CONCAT(CHAR(92),CHAR(92))),"$",_xlfn.CONCAT(CHAR(92),"$")),CHAR(96),_xlfn.CONCAT(CHAR(92),CHAR(96))),CHAR(34),CHAR(39))))</f>
        <v/>
      </c>
      <c r="O223" s="5" t="str">
        <f>IF(OR(TRIM($B223)="",$E223=""),"",IF(OR(ISNUMBER(SEARCH(_xlfn.CONCAT(CHAR(96),CHAR(34)),$E223)),ISNUMBER(SEARCH(_xlfn.CONCAT(CHAR(34),CHAR(39)),$E223))),_xlfn.CONCAT("* REVIEW REQUIRED: compound-quote delimiter in Question Wording on Sheet 1 row ",223,"; edit the input before running."),_xlfn.CONCAT("char ",TRIM($B223),"[doc_question] ",CHAR(96),CHAR(34),SUBSTITUTE(SUBSTITUTE(SUBSTITUTE(SUBSTITUTE(SUBSTITUTE(SUBSTITUTE($E223,CHAR(13)," "),CHAR(10)," "),CHAR(9)," "),CHAR(92),_xlfn.CONCAT(CHAR(92),CHAR(92))),"$",_xlfn.CONCAT(CHAR(92),"$")),CHAR(96),_xlfn.CONCAT(CHAR(92),CHAR(96))),CHAR(34),CHAR(39))))</f>
        <v/>
      </c>
      <c r="P223" s="5" t="str">
        <f>IF(OR(TRIM($B223)="",$F223=""),"",IF(OR(ISNUMBER(SEARCH(_xlfn.CONCAT(CHAR(96),CHAR(34)),$F223)),ISNUMBER(SEARCH(_xlfn.CONCAT(CHAR(34),CHAR(39)),$F223))),_xlfn.CONCAT("* REVIEW REQUIRED: compound-quote delimiter in Units on Sheet 1 row ",223,"; edit the input before running."),_xlfn.CONCAT("char ",TRIM($B223),"[doc_units] ",CHAR(96),CHAR(34),SUBSTITUTE(SUBSTITUTE(SUBSTITUTE(SUBSTITUTE(SUBSTITUTE(SUBSTITUTE($F223,CHAR(13)," "),CHAR(10)," "),CHAR(9)," "),CHAR(92),_xlfn.CONCAT(CHAR(92),CHAR(92))),"$",_xlfn.CONCAT(CHAR(92),"$")),CHAR(96),_xlfn.CONCAT(CHAR(92),CHAR(96))),CHAR(34),CHAR(39))))</f>
        <v/>
      </c>
      <c r="Q223" s="5" t="str">
        <f>IF(OR(TRIM($B223)="",$G223=""),"",IF(OR(ISNUMBER(SEARCH(_xlfn.CONCAT(CHAR(96),CHAR(34)),$G223)),ISNUMBER(SEARCH(_xlfn.CONCAT(CHAR(34),CHAR(39)),$G223))),_xlfn.CONCAT("* REVIEW REQUIRED: compound-quote delimiter in Universe on Sheet 1 row ",223,"; edit the input before running."),_xlfn.CONCAT("char ",TRIM($B223),"[doc_universe] ",CHAR(96),CHAR(34),SUBSTITUTE(SUBSTITUTE(SUBSTITUTE(SUBSTITUTE(SUBSTITUTE(SUBSTITUTE($G223,CHAR(13)," "),CHAR(10)," "),CHAR(9)," "),CHAR(92),_xlfn.CONCAT(CHAR(92),CHAR(92))),"$",_xlfn.CONCAT(CHAR(92),"$")),CHAR(96),_xlfn.CONCAT(CHAR(92),CHAR(96))),CHAR(34),CHAR(39))))</f>
        <v/>
      </c>
      <c r="R223" s="5" t="str">
        <f>IF(OR(TRIM($B223)="",$H223=""),"",IF(OR(ISNUMBER(SEARCH(_xlfn.CONCAT(CHAR(96),CHAR(34)),$H223)),ISNUMBER(SEARCH(_xlfn.CONCAT(CHAR(34),CHAR(39)),$H223))),_xlfn.CONCAT("* REVIEW REQUIRED: compound-quote delimiter in Source on Sheet 1 row ",223,"; edit the input before running."),_xlfn.CONCAT("char ",TRIM($B223),"[doc_source] ",CHAR(96),CHAR(34),SUBSTITUTE(SUBSTITUTE(SUBSTITUTE(SUBSTITUTE(SUBSTITUTE(SUBSTITUTE($H223,CHAR(13)," "),CHAR(10)," "),CHAR(9)," "),CHAR(92),_xlfn.CONCAT(CHAR(92),CHAR(92))),"$",_xlfn.CONCAT(CHAR(92),"$")),CHAR(96),_xlfn.CONCAT(CHAR(92),CHAR(96))),CHAR(34),CHAR(39))))</f>
        <v/>
      </c>
      <c r="S223" s="5" t="str">
        <f>IF(OR(TRIM($B223)="",$I223=""),"",IF(OR(ISNUMBER(SEARCH(_xlfn.CONCAT(CHAR(96),CHAR(34)),$I223)),ISNUMBER(SEARCH(_xlfn.CONCAT(CHAR(34),CHAR(39)),$I223))),_xlfn.CONCAT("* REVIEW REQUIRED: compound-quote delimiter in Derivation on Sheet 1 row ",223,"; edit the input before running."),_xlfn.CONCAT("char ",TRIM($B223),"[doc_derivation] ",CHAR(96),CHAR(34),SUBSTITUTE(SUBSTITUTE(SUBSTITUTE(SUBSTITUTE(SUBSTITUTE(SUBSTITUTE($I223,CHAR(13)," "),CHAR(10)," "),CHAR(9)," "),CHAR(92),_xlfn.CONCAT(CHAR(92),CHAR(92))),"$",_xlfn.CONCAT(CHAR(92),"$")),CHAR(96),_xlfn.CONCAT(CHAR(92),CHAR(96))),CHAR(34),CHAR(39))))</f>
        <v/>
      </c>
      <c r="T223" s="5" t="str">
        <f>IF(OR(TRIM($B223)="",$J223=""),"",IF(OR(ISNUMBER(SEARCH(_xlfn.CONCAT(CHAR(96),CHAR(34)),$J223)),ISNUMBER(SEARCH(_xlfn.CONCAT(CHAR(34),CHAR(39)),$J223))),_xlfn.CONCAT("* REVIEW REQUIRED: compound-quote delimiter in Notes on Sheet 1 row ",223,"; edit the input before running."),_xlfn.CONCAT("char ",TRIM($B223),"[doc_notes] ",CHAR(96),CHAR(34),SUBSTITUTE(SUBSTITUTE(SUBSTITUTE(SUBSTITUTE(SUBSTITUTE(SUBSTITUTE($J223,CHAR(13)," "),CHAR(10)," "),CHAR(9)," "),CHAR(92),_xlfn.CONCAT(CHAR(92),CHAR(92))),"$",_xlfn.CONCAT(CHAR(92),"$")),CHAR(96),_xlfn.CONCAT(CHAR(92),CHAR(96))),CHAR(34),CHAR(39))))</f>
        <v/>
      </c>
      <c r="U223" s="5">
        <f t="shared" si="7"/>
        <v>0</v>
      </c>
    </row>
    <row r="224" spans="3:21" ht="30" customHeight="1" x14ac:dyDescent="0.2">
      <c r="C224" s="4"/>
      <c r="K224" s="5">
        <f t="shared" si="6"/>
        <v>0</v>
      </c>
      <c r="L224" s="5" t="str">
        <f>IF(OR(TRIM($B224)="",$A224=""),"",IF(OR(ISNUMBER(SEARCH(_xlfn.CONCAT(CHAR(96),CHAR(34)),$A224)),ISNUMBER(SEARCH(_xlfn.CONCAT(CHAR(34),CHAR(39)),$A224))),_xlfn.CONCAT("* REVIEW REQUIRED: compound-quote delimiter in Codebook Section on Sheet 1 row ",224,"; edit the input before running."),_xlfn.CONCAT("char ",TRIM($B224),"[doc_section] ",CHAR(96),CHAR(34),SUBSTITUTE(SUBSTITUTE(SUBSTITUTE(SUBSTITUTE(SUBSTITUTE(SUBSTITUTE($A224,CHAR(13)," "),CHAR(10)," "),CHAR(9)," "),CHAR(92),_xlfn.CONCAT(CHAR(92),CHAR(92))),"$",_xlfn.CONCAT(CHAR(92),"$")),CHAR(96),_xlfn.CONCAT(CHAR(92),CHAR(96))),CHAR(34),CHAR(39))))</f>
        <v/>
      </c>
      <c r="M224" s="5" t="str">
        <f>IF(OR(TRIM($B224)="",$C224=""),"",IF(IFERROR(MATCH(TRIM($C224),{"Quantitative","Continuous","Discrete","Categorical","Nominal","Ordinal","Identifier"},0),0)=0,_xlfn.CONCAT("* REVIEW REQUIRED: invalid Variable Type on Sheet 1 row ",224,"."),_xlfn.CONCAT("char ",TRIM($B224),"[doc_vartype] ",CHAR(96),CHAR(34),SUBSTITUTE(SUBSTITUTE(SUBSTITUTE(SUBSTITUTE(SUBSTITUTE(SUBSTITUTE(LOWER(TRIM($C224)),CHAR(13)," "),CHAR(10)," "),CHAR(9)," "),CHAR(92),_xlfn.CONCAT(CHAR(92),CHAR(92))),"$",_xlfn.CONCAT(CHAR(92),"$")),CHAR(96),_xlfn.CONCAT(CHAR(92),CHAR(96))),CHAR(34),CHAR(39))))</f>
        <v/>
      </c>
      <c r="N224" s="5" t="str">
        <f>IF(OR(TRIM($B224)="",$D224=""),"",IF(OR(ISNUMBER(SEARCH(_xlfn.CONCAT(CHAR(96),CHAR(34)),$D224)),ISNUMBER(SEARCH(_xlfn.CONCAT(CHAR(34),CHAR(39)),$D224))),_xlfn.CONCAT("* REVIEW REQUIRED: compound-quote delimiter in Item Number on Sheet 1 row ",224,"; edit the input before running."),_xlfn.CONCAT("char ",TRIM($B224),"[doc_itemnum] ",CHAR(96),CHAR(34),SUBSTITUTE(SUBSTITUTE(SUBSTITUTE(SUBSTITUTE(SUBSTITUTE(SUBSTITUTE($D224,CHAR(13)," "),CHAR(10)," "),CHAR(9)," "),CHAR(92),_xlfn.CONCAT(CHAR(92),CHAR(92))),"$",_xlfn.CONCAT(CHAR(92),"$")),CHAR(96),_xlfn.CONCAT(CHAR(92),CHAR(96))),CHAR(34),CHAR(39))))</f>
        <v/>
      </c>
      <c r="O224" s="5" t="str">
        <f>IF(OR(TRIM($B224)="",$E224=""),"",IF(OR(ISNUMBER(SEARCH(_xlfn.CONCAT(CHAR(96),CHAR(34)),$E224)),ISNUMBER(SEARCH(_xlfn.CONCAT(CHAR(34),CHAR(39)),$E224))),_xlfn.CONCAT("* REVIEW REQUIRED: compound-quote delimiter in Question Wording on Sheet 1 row ",224,"; edit the input before running."),_xlfn.CONCAT("char ",TRIM($B224),"[doc_question] ",CHAR(96),CHAR(34),SUBSTITUTE(SUBSTITUTE(SUBSTITUTE(SUBSTITUTE(SUBSTITUTE(SUBSTITUTE($E224,CHAR(13)," "),CHAR(10)," "),CHAR(9)," "),CHAR(92),_xlfn.CONCAT(CHAR(92),CHAR(92))),"$",_xlfn.CONCAT(CHAR(92),"$")),CHAR(96),_xlfn.CONCAT(CHAR(92),CHAR(96))),CHAR(34),CHAR(39))))</f>
        <v/>
      </c>
      <c r="P224" s="5" t="str">
        <f>IF(OR(TRIM($B224)="",$F224=""),"",IF(OR(ISNUMBER(SEARCH(_xlfn.CONCAT(CHAR(96),CHAR(34)),$F224)),ISNUMBER(SEARCH(_xlfn.CONCAT(CHAR(34),CHAR(39)),$F224))),_xlfn.CONCAT("* REVIEW REQUIRED: compound-quote delimiter in Units on Sheet 1 row ",224,"; edit the input before running."),_xlfn.CONCAT("char ",TRIM($B224),"[doc_units] ",CHAR(96),CHAR(34),SUBSTITUTE(SUBSTITUTE(SUBSTITUTE(SUBSTITUTE(SUBSTITUTE(SUBSTITUTE($F224,CHAR(13)," "),CHAR(10)," "),CHAR(9)," "),CHAR(92),_xlfn.CONCAT(CHAR(92),CHAR(92))),"$",_xlfn.CONCAT(CHAR(92),"$")),CHAR(96),_xlfn.CONCAT(CHAR(92),CHAR(96))),CHAR(34),CHAR(39))))</f>
        <v/>
      </c>
      <c r="Q224" s="5" t="str">
        <f>IF(OR(TRIM($B224)="",$G224=""),"",IF(OR(ISNUMBER(SEARCH(_xlfn.CONCAT(CHAR(96),CHAR(34)),$G224)),ISNUMBER(SEARCH(_xlfn.CONCAT(CHAR(34),CHAR(39)),$G224))),_xlfn.CONCAT("* REVIEW REQUIRED: compound-quote delimiter in Universe on Sheet 1 row ",224,"; edit the input before running."),_xlfn.CONCAT("char ",TRIM($B224),"[doc_universe] ",CHAR(96),CHAR(34),SUBSTITUTE(SUBSTITUTE(SUBSTITUTE(SUBSTITUTE(SUBSTITUTE(SUBSTITUTE($G224,CHAR(13)," "),CHAR(10)," "),CHAR(9)," "),CHAR(92),_xlfn.CONCAT(CHAR(92),CHAR(92))),"$",_xlfn.CONCAT(CHAR(92),"$")),CHAR(96),_xlfn.CONCAT(CHAR(92),CHAR(96))),CHAR(34),CHAR(39))))</f>
        <v/>
      </c>
      <c r="R224" s="5" t="str">
        <f>IF(OR(TRIM($B224)="",$H224=""),"",IF(OR(ISNUMBER(SEARCH(_xlfn.CONCAT(CHAR(96),CHAR(34)),$H224)),ISNUMBER(SEARCH(_xlfn.CONCAT(CHAR(34),CHAR(39)),$H224))),_xlfn.CONCAT("* REVIEW REQUIRED: compound-quote delimiter in Source on Sheet 1 row ",224,"; edit the input before running."),_xlfn.CONCAT("char ",TRIM($B224),"[doc_source] ",CHAR(96),CHAR(34),SUBSTITUTE(SUBSTITUTE(SUBSTITUTE(SUBSTITUTE(SUBSTITUTE(SUBSTITUTE($H224,CHAR(13)," "),CHAR(10)," "),CHAR(9)," "),CHAR(92),_xlfn.CONCAT(CHAR(92),CHAR(92))),"$",_xlfn.CONCAT(CHAR(92),"$")),CHAR(96),_xlfn.CONCAT(CHAR(92),CHAR(96))),CHAR(34),CHAR(39))))</f>
        <v/>
      </c>
      <c r="S224" s="5" t="str">
        <f>IF(OR(TRIM($B224)="",$I224=""),"",IF(OR(ISNUMBER(SEARCH(_xlfn.CONCAT(CHAR(96),CHAR(34)),$I224)),ISNUMBER(SEARCH(_xlfn.CONCAT(CHAR(34),CHAR(39)),$I224))),_xlfn.CONCAT("* REVIEW REQUIRED: compound-quote delimiter in Derivation on Sheet 1 row ",224,"; edit the input before running."),_xlfn.CONCAT("char ",TRIM($B224),"[doc_derivation] ",CHAR(96),CHAR(34),SUBSTITUTE(SUBSTITUTE(SUBSTITUTE(SUBSTITUTE(SUBSTITUTE(SUBSTITUTE($I224,CHAR(13)," "),CHAR(10)," "),CHAR(9)," "),CHAR(92),_xlfn.CONCAT(CHAR(92),CHAR(92))),"$",_xlfn.CONCAT(CHAR(92),"$")),CHAR(96),_xlfn.CONCAT(CHAR(92),CHAR(96))),CHAR(34),CHAR(39))))</f>
        <v/>
      </c>
      <c r="T224" s="5" t="str">
        <f>IF(OR(TRIM($B224)="",$J224=""),"",IF(OR(ISNUMBER(SEARCH(_xlfn.CONCAT(CHAR(96),CHAR(34)),$J224)),ISNUMBER(SEARCH(_xlfn.CONCAT(CHAR(34),CHAR(39)),$J224))),_xlfn.CONCAT("* REVIEW REQUIRED: compound-quote delimiter in Notes on Sheet 1 row ",224,"; edit the input before running."),_xlfn.CONCAT("char ",TRIM($B224),"[doc_notes] ",CHAR(96),CHAR(34),SUBSTITUTE(SUBSTITUTE(SUBSTITUTE(SUBSTITUTE(SUBSTITUTE(SUBSTITUTE($J224,CHAR(13)," "),CHAR(10)," "),CHAR(9)," "),CHAR(92),_xlfn.CONCAT(CHAR(92),CHAR(92))),"$",_xlfn.CONCAT(CHAR(92),"$")),CHAR(96),_xlfn.CONCAT(CHAR(92),CHAR(96))),CHAR(34),CHAR(39))))</f>
        <v/>
      </c>
      <c r="U224" s="5">
        <f t="shared" si="7"/>
        <v>0</v>
      </c>
    </row>
    <row r="225" spans="3:21" ht="30" customHeight="1" x14ac:dyDescent="0.2">
      <c r="C225" s="4"/>
      <c r="K225" s="5">
        <f t="shared" si="6"/>
        <v>0</v>
      </c>
      <c r="L225" s="5" t="str">
        <f>IF(OR(TRIM($B225)="",$A225=""),"",IF(OR(ISNUMBER(SEARCH(_xlfn.CONCAT(CHAR(96),CHAR(34)),$A225)),ISNUMBER(SEARCH(_xlfn.CONCAT(CHAR(34),CHAR(39)),$A225))),_xlfn.CONCAT("* REVIEW REQUIRED: compound-quote delimiter in Codebook Section on Sheet 1 row ",225,"; edit the input before running."),_xlfn.CONCAT("char ",TRIM($B225),"[doc_section] ",CHAR(96),CHAR(34),SUBSTITUTE(SUBSTITUTE(SUBSTITUTE(SUBSTITUTE(SUBSTITUTE(SUBSTITUTE($A225,CHAR(13)," "),CHAR(10)," "),CHAR(9)," "),CHAR(92),_xlfn.CONCAT(CHAR(92),CHAR(92))),"$",_xlfn.CONCAT(CHAR(92),"$")),CHAR(96),_xlfn.CONCAT(CHAR(92),CHAR(96))),CHAR(34),CHAR(39))))</f>
        <v/>
      </c>
      <c r="M225" s="5" t="str">
        <f>IF(OR(TRIM($B225)="",$C225=""),"",IF(IFERROR(MATCH(TRIM($C225),{"Quantitative","Continuous","Discrete","Categorical","Nominal","Ordinal","Identifier"},0),0)=0,_xlfn.CONCAT("* REVIEW REQUIRED: invalid Variable Type on Sheet 1 row ",225,"."),_xlfn.CONCAT("char ",TRIM($B225),"[doc_vartype] ",CHAR(96),CHAR(34),SUBSTITUTE(SUBSTITUTE(SUBSTITUTE(SUBSTITUTE(SUBSTITUTE(SUBSTITUTE(LOWER(TRIM($C225)),CHAR(13)," "),CHAR(10)," "),CHAR(9)," "),CHAR(92),_xlfn.CONCAT(CHAR(92),CHAR(92))),"$",_xlfn.CONCAT(CHAR(92),"$")),CHAR(96),_xlfn.CONCAT(CHAR(92),CHAR(96))),CHAR(34),CHAR(39))))</f>
        <v/>
      </c>
      <c r="N225" s="5" t="str">
        <f>IF(OR(TRIM($B225)="",$D225=""),"",IF(OR(ISNUMBER(SEARCH(_xlfn.CONCAT(CHAR(96),CHAR(34)),$D225)),ISNUMBER(SEARCH(_xlfn.CONCAT(CHAR(34),CHAR(39)),$D225))),_xlfn.CONCAT("* REVIEW REQUIRED: compound-quote delimiter in Item Number on Sheet 1 row ",225,"; edit the input before running."),_xlfn.CONCAT("char ",TRIM($B225),"[doc_itemnum] ",CHAR(96),CHAR(34),SUBSTITUTE(SUBSTITUTE(SUBSTITUTE(SUBSTITUTE(SUBSTITUTE(SUBSTITUTE($D225,CHAR(13)," "),CHAR(10)," "),CHAR(9)," "),CHAR(92),_xlfn.CONCAT(CHAR(92),CHAR(92))),"$",_xlfn.CONCAT(CHAR(92),"$")),CHAR(96),_xlfn.CONCAT(CHAR(92),CHAR(96))),CHAR(34),CHAR(39))))</f>
        <v/>
      </c>
      <c r="O225" s="5" t="str">
        <f>IF(OR(TRIM($B225)="",$E225=""),"",IF(OR(ISNUMBER(SEARCH(_xlfn.CONCAT(CHAR(96),CHAR(34)),$E225)),ISNUMBER(SEARCH(_xlfn.CONCAT(CHAR(34),CHAR(39)),$E225))),_xlfn.CONCAT("* REVIEW REQUIRED: compound-quote delimiter in Question Wording on Sheet 1 row ",225,"; edit the input before running."),_xlfn.CONCAT("char ",TRIM($B225),"[doc_question] ",CHAR(96),CHAR(34),SUBSTITUTE(SUBSTITUTE(SUBSTITUTE(SUBSTITUTE(SUBSTITUTE(SUBSTITUTE($E225,CHAR(13)," "),CHAR(10)," "),CHAR(9)," "),CHAR(92),_xlfn.CONCAT(CHAR(92),CHAR(92))),"$",_xlfn.CONCAT(CHAR(92),"$")),CHAR(96),_xlfn.CONCAT(CHAR(92),CHAR(96))),CHAR(34),CHAR(39))))</f>
        <v/>
      </c>
      <c r="P225" s="5" t="str">
        <f>IF(OR(TRIM($B225)="",$F225=""),"",IF(OR(ISNUMBER(SEARCH(_xlfn.CONCAT(CHAR(96),CHAR(34)),$F225)),ISNUMBER(SEARCH(_xlfn.CONCAT(CHAR(34),CHAR(39)),$F225))),_xlfn.CONCAT("* REVIEW REQUIRED: compound-quote delimiter in Units on Sheet 1 row ",225,"; edit the input before running."),_xlfn.CONCAT("char ",TRIM($B225),"[doc_units] ",CHAR(96),CHAR(34),SUBSTITUTE(SUBSTITUTE(SUBSTITUTE(SUBSTITUTE(SUBSTITUTE(SUBSTITUTE($F225,CHAR(13)," "),CHAR(10)," "),CHAR(9)," "),CHAR(92),_xlfn.CONCAT(CHAR(92),CHAR(92))),"$",_xlfn.CONCAT(CHAR(92),"$")),CHAR(96),_xlfn.CONCAT(CHAR(92),CHAR(96))),CHAR(34),CHAR(39))))</f>
        <v/>
      </c>
      <c r="Q225" s="5" t="str">
        <f>IF(OR(TRIM($B225)="",$G225=""),"",IF(OR(ISNUMBER(SEARCH(_xlfn.CONCAT(CHAR(96),CHAR(34)),$G225)),ISNUMBER(SEARCH(_xlfn.CONCAT(CHAR(34),CHAR(39)),$G225))),_xlfn.CONCAT("* REVIEW REQUIRED: compound-quote delimiter in Universe on Sheet 1 row ",225,"; edit the input before running."),_xlfn.CONCAT("char ",TRIM($B225),"[doc_universe] ",CHAR(96),CHAR(34),SUBSTITUTE(SUBSTITUTE(SUBSTITUTE(SUBSTITUTE(SUBSTITUTE(SUBSTITUTE($G225,CHAR(13)," "),CHAR(10)," "),CHAR(9)," "),CHAR(92),_xlfn.CONCAT(CHAR(92),CHAR(92))),"$",_xlfn.CONCAT(CHAR(92),"$")),CHAR(96),_xlfn.CONCAT(CHAR(92),CHAR(96))),CHAR(34),CHAR(39))))</f>
        <v/>
      </c>
      <c r="R225" s="5" t="str">
        <f>IF(OR(TRIM($B225)="",$H225=""),"",IF(OR(ISNUMBER(SEARCH(_xlfn.CONCAT(CHAR(96),CHAR(34)),$H225)),ISNUMBER(SEARCH(_xlfn.CONCAT(CHAR(34),CHAR(39)),$H225))),_xlfn.CONCAT("* REVIEW REQUIRED: compound-quote delimiter in Source on Sheet 1 row ",225,"; edit the input before running."),_xlfn.CONCAT("char ",TRIM($B225),"[doc_source] ",CHAR(96),CHAR(34),SUBSTITUTE(SUBSTITUTE(SUBSTITUTE(SUBSTITUTE(SUBSTITUTE(SUBSTITUTE($H225,CHAR(13)," "),CHAR(10)," "),CHAR(9)," "),CHAR(92),_xlfn.CONCAT(CHAR(92),CHAR(92))),"$",_xlfn.CONCAT(CHAR(92),"$")),CHAR(96),_xlfn.CONCAT(CHAR(92),CHAR(96))),CHAR(34),CHAR(39))))</f>
        <v/>
      </c>
      <c r="S225" s="5" t="str">
        <f>IF(OR(TRIM($B225)="",$I225=""),"",IF(OR(ISNUMBER(SEARCH(_xlfn.CONCAT(CHAR(96),CHAR(34)),$I225)),ISNUMBER(SEARCH(_xlfn.CONCAT(CHAR(34),CHAR(39)),$I225))),_xlfn.CONCAT("* REVIEW REQUIRED: compound-quote delimiter in Derivation on Sheet 1 row ",225,"; edit the input before running."),_xlfn.CONCAT("char ",TRIM($B225),"[doc_derivation] ",CHAR(96),CHAR(34),SUBSTITUTE(SUBSTITUTE(SUBSTITUTE(SUBSTITUTE(SUBSTITUTE(SUBSTITUTE($I225,CHAR(13)," "),CHAR(10)," "),CHAR(9)," "),CHAR(92),_xlfn.CONCAT(CHAR(92),CHAR(92))),"$",_xlfn.CONCAT(CHAR(92),"$")),CHAR(96),_xlfn.CONCAT(CHAR(92),CHAR(96))),CHAR(34),CHAR(39))))</f>
        <v/>
      </c>
      <c r="T225" s="5" t="str">
        <f>IF(OR(TRIM($B225)="",$J225=""),"",IF(OR(ISNUMBER(SEARCH(_xlfn.CONCAT(CHAR(96),CHAR(34)),$J225)),ISNUMBER(SEARCH(_xlfn.CONCAT(CHAR(34),CHAR(39)),$J225))),_xlfn.CONCAT("* REVIEW REQUIRED: compound-quote delimiter in Notes on Sheet 1 row ",225,"; edit the input before running."),_xlfn.CONCAT("char ",TRIM($B225),"[doc_notes] ",CHAR(96),CHAR(34),SUBSTITUTE(SUBSTITUTE(SUBSTITUTE(SUBSTITUTE(SUBSTITUTE(SUBSTITUTE($J225,CHAR(13)," "),CHAR(10)," "),CHAR(9)," "),CHAR(92),_xlfn.CONCAT(CHAR(92),CHAR(92))),"$",_xlfn.CONCAT(CHAR(92),"$")),CHAR(96),_xlfn.CONCAT(CHAR(92),CHAR(96))),CHAR(34),CHAR(39))))</f>
        <v/>
      </c>
      <c r="U225" s="5">
        <f t="shared" si="7"/>
        <v>0</v>
      </c>
    </row>
    <row r="226" spans="3:21" ht="30" customHeight="1" x14ac:dyDescent="0.2">
      <c r="C226" s="4"/>
      <c r="K226" s="5">
        <f t="shared" si="6"/>
        <v>0</v>
      </c>
      <c r="L226" s="5" t="str">
        <f>IF(OR(TRIM($B226)="",$A226=""),"",IF(OR(ISNUMBER(SEARCH(_xlfn.CONCAT(CHAR(96),CHAR(34)),$A226)),ISNUMBER(SEARCH(_xlfn.CONCAT(CHAR(34),CHAR(39)),$A226))),_xlfn.CONCAT("* REVIEW REQUIRED: compound-quote delimiter in Codebook Section on Sheet 1 row ",226,"; edit the input before running."),_xlfn.CONCAT("char ",TRIM($B226),"[doc_section] ",CHAR(96),CHAR(34),SUBSTITUTE(SUBSTITUTE(SUBSTITUTE(SUBSTITUTE(SUBSTITUTE(SUBSTITUTE($A226,CHAR(13)," "),CHAR(10)," "),CHAR(9)," "),CHAR(92),_xlfn.CONCAT(CHAR(92),CHAR(92))),"$",_xlfn.CONCAT(CHAR(92),"$")),CHAR(96),_xlfn.CONCAT(CHAR(92),CHAR(96))),CHAR(34),CHAR(39))))</f>
        <v/>
      </c>
      <c r="M226" s="5" t="str">
        <f>IF(OR(TRIM($B226)="",$C226=""),"",IF(IFERROR(MATCH(TRIM($C226),{"Quantitative","Continuous","Discrete","Categorical","Nominal","Ordinal","Identifier"},0),0)=0,_xlfn.CONCAT("* REVIEW REQUIRED: invalid Variable Type on Sheet 1 row ",226,"."),_xlfn.CONCAT("char ",TRIM($B226),"[doc_vartype] ",CHAR(96),CHAR(34),SUBSTITUTE(SUBSTITUTE(SUBSTITUTE(SUBSTITUTE(SUBSTITUTE(SUBSTITUTE(LOWER(TRIM($C226)),CHAR(13)," "),CHAR(10)," "),CHAR(9)," "),CHAR(92),_xlfn.CONCAT(CHAR(92),CHAR(92))),"$",_xlfn.CONCAT(CHAR(92),"$")),CHAR(96),_xlfn.CONCAT(CHAR(92),CHAR(96))),CHAR(34),CHAR(39))))</f>
        <v/>
      </c>
      <c r="N226" s="5" t="str">
        <f>IF(OR(TRIM($B226)="",$D226=""),"",IF(OR(ISNUMBER(SEARCH(_xlfn.CONCAT(CHAR(96),CHAR(34)),$D226)),ISNUMBER(SEARCH(_xlfn.CONCAT(CHAR(34),CHAR(39)),$D226))),_xlfn.CONCAT("* REVIEW REQUIRED: compound-quote delimiter in Item Number on Sheet 1 row ",226,"; edit the input before running."),_xlfn.CONCAT("char ",TRIM($B226),"[doc_itemnum] ",CHAR(96),CHAR(34),SUBSTITUTE(SUBSTITUTE(SUBSTITUTE(SUBSTITUTE(SUBSTITUTE(SUBSTITUTE($D226,CHAR(13)," "),CHAR(10)," "),CHAR(9)," "),CHAR(92),_xlfn.CONCAT(CHAR(92),CHAR(92))),"$",_xlfn.CONCAT(CHAR(92),"$")),CHAR(96),_xlfn.CONCAT(CHAR(92),CHAR(96))),CHAR(34),CHAR(39))))</f>
        <v/>
      </c>
      <c r="O226" s="5" t="str">
        <f>IF(OR(TRIM($B226)="",$E226=""),"",IF(OR(ISNUMBER(SEARCH(_xlfn.CONCAT(CHAR(96),CHAR(34)),$E226)),ISNUMBER(SEARCH(_xlfn.CONCAT(CHAR(34),CHAR(39)),$E226))),_xlfn.CONCAT("* REVIEW REQUIRED: compound-quote delimiter in Question Wording on Sheet 1 row ",226,"; edit the input before running."),_xlfn.CONCAT("char ",TRIM($B226),"[doc_question] ",CHAR(96),CHAR(34),SUBSTITUTE(SUBSTITUTE(SUBSTITUTE(SUBSTITUTE(SUBSTITUTE(SUBSTITUTE($E226,CHAR(13)," "),CHAR(10)," "),CHAR(9)," "),CHAR(92),_xlfn.CONCAT(CHAR(92),CHAR(92))),"$",_xlfn.CONCAT(CHAR(92),"$")),CHAR(96),_xlfn.CONCAT(CHAR(92),CHAR(96))),CHAR(34),CHAR(39))))</f>
        <v/>
      </c>
      <c r="P226" s="5" t="str">
        <f>IF(OR(TRIM($B226)="",$F226=""),"",IF(OR(ISNUMBER(SEARCH(_xlfn.CONCAT(CHAR(96),CHAR(34)),$F226)),ISNUMBER(SEARCH(_xlfn.CONCAT(CHAR(34),CHAR(39)),$F226))),_xlfn.CONCAT("* REVIEW REQUIRED: compound-quote delimiter in Units on Sheet 1 row ",226,"; edit the input before running."),_xlfn.CONCAT("char ",TRIM($B226),"[doc_units] ",CHAR(96),CHAR(34),SUBSTITUTE(SUBSTITUTE(SUBSTITUTE(SUBSTITUTE(SUBSTITUTE(SUBSTITUTE($F226,CHAR(13)," "),CHAR(10)," "),CHAR(9)," "),CHAR(92),_xlfn.CONCAT(CHAR(92),CHAR(92))),"$",_xlfn.CONCAT(CHAR(92),"$")),CHAR(96),_xlfn.CONCAT(CHAR(92),CHAR(96))),CHAR(34),CHAR(39))))</f>
        <v/>
      </c>
      <c r="Q226" s="5" t="str">
        <f>IF(OR(TRIM($B226)="",$G226=""),"",IF(OR(ISNUMBER(SEARCH(_xlfn.CONCAT(CHAR(96),CHAR(34)),$G226)),ISNUMBER(SEARCH(_xlfn.CONCAT(CHAR(34),CHAR(39)),$G226))),_xlfn.CONCAT("* REVIEW REQUIRED: compound-quote delimiter in Universe on Sheet 1 row ",226,"; edit the input before running."),_xlfn.CONCAT("char ",TRIM($B226),"[doc_universe] ",CHAR(96),CHAR(34),SUBSTITUTE(SUBSTITUTE(SUBSTITUTE(SUBSTITUTE(SUBSTITUTE(SUBSTITUTE($G226,CHAR(13)," "),CHAR(10)," "),CHAR(9)," "),CHAR(92),_xlfn.CONCAT(CHAR(92),CHAR(92))),"$",_xlfn.CONCAT(CHAR(92),"$")),CHAR(96),_xlfn.CONCAT(CHAR(92),CHAR(96))),CHAR(34),CHAR(39))))</f>
        <v/>
      </c>
      <c r="R226" s="5" t="str">
        <f>IF(OR(TRIM($B226)="",$H226=""),"",IF(OR(ISNUMBER(SEARCH(_xlfn.CONCAT(CHAR(96),CHAR(34)),$H226)),ISNUMBER(SEARCH(_xlfn.CONCAT(CHAR(34),CHAR(39)),$H226))),_xlfn.CONCAT("* REVIEW REQUIRED: compound-quote delimiter in Source on Sheet 1 row ",226,"; edit the input before running."),_xlfn.CONCAT("char ",TRIM($B226),"[doc_source] ",CHAR(96),CHAR(34),SUBSTITUTE(SUBSTITUTE(SUBSTITUTE(SUBSTITUTE(SUBSTITUTE(SUBSTITUTE($H226,CHAR(13)," "),CHAR(10)," "),CHAR(9)," "),CHAR(92),_xlfn.CONCAT(CHAR(92),CHAR(92))),"$",_xlfn.CONCAT(CHAR(92),"$")),CHAR(96),_xlfn.CONCAT(CHAR(92),CHAR(96))),CHAR(34),CHAR(39))))</f>
        <v/>
      </c>
      <c r="S226" s="5" t="str">
        <f>IF(OR(TRIM($B226)="",$I226=""),"",IF(OR(ISNUMBER(SEARCH(_xlfn.CONCAT(CHAR(96),CHAR(34)),$I226)),ISNUMBER(SEARCH(_xlfn.CONCAT(CHAR(34),CHAR(39)),$I226))),_xlfn.CONCAT("* REVIEW REQUIRED: compound-quote delimiter in Derivation on Sheet 1 row ",226,"; edit the input before running."),_xlfn.CONCAT("char ",TRIM($B226),"[doc_derivation] ",CHAR(96),CHAR(34),SUBSTITUTE(SUBSTITUTE(SUBSTITUTE(SUBSTITUTE(SUBSTITUTE(SUBSTITUTE($I226,CHAR(13)," "),CHAR(10)," "),CHAR(9)," "),CHAR(92),_xlfn.CONCAT(CHAR(92),CHAR(92))),"$",_xlfn.CONCAT(CHAR(92),"$")),CHAR(96),_xlfn.CONCAT(CHAR(92),CHAR(96))),CHAR(34),CHAR(39))))</f>
        <v/>
      </c>
      <c r="T226" s="5" t="str">
        <f>IF(OR(TRIM($B226)="",$J226=""),"",IF(OR(ISNUMBER(SEARCH(_xlfn.CONCAT(CHAR(96),CHAR(34)),$J226)),ISNUMBER(SEARCH(_xlfn.CONCAT(CHAR(34),CHAR(39)),$J226))),_xlfn.CONCAT("* REVIEW REQUIRED: compound-quote delimiter in Notes on Sheet 1 row ",226,"; edit the input before running."),_xlfn.CONCAT("char ",TRIM($B226),"[doc_notes] ",CHAR(96),CHAR(34),SUBSTITUTE(SUBSTITUTE(SUBSTITUTE(SUBSTITUTE(SUBSTITUTE(SUBSTITUTE($J226,CHAR(13)," "),CHAR(10)," "),CHAR(9)," "),CHAR(92),_xlfn.CONCAT(CHAR(92),CHAR(92))),"$",_xlfn.CONCAT(CHAR(92),"$")),CHAR(96),_xlfn.CONCAT(CHAR(92),CHAR(96))),CHAR(34),CHAR(39))))</f>
        <v/>
      </c>
      <c r="U226" s="5">
        <f t="shared" si="7"/>
        <v>0</v>
      </c>
    </row>
    <row r="227" spans="3:21" ht="30" customHeight="1" x14ac:dyDescent="0.2">
      <c r="C227" s="4"/>
      <c r="K227" s="5">
        <f t="shared" si="6"/>
        <v>0</v>
      </c>
      <c r="L227" s="5" t="str">
        <f>IF(OR(TRIM($B227)="",$A227=""),"",IF(OR(ISNUMBER(SEARCH(_xlfn.CONCAT(CHAR(96),CHAR(34)),$A227)),ISNUMBER(SEARCH(_xlfn.CONCAT(CHAR(34),CHAR(39)),$A227))),_xlfn.CONCAT("* REVIEW REQUIRED: compound-quote delimiter in Codebook Section on Sheet 1 row ",227,"; edit the input before running."),_xlfn.CONCAT("char ",TRIM($B227),"[doc_section] ",CHAR(96),CHAR(34),SUBSTITUTE(SUBSTITUTE(SUBSTITUTE(SUBSTITUTE(SUBSTITUTE(SUBSTITUTE($A227,CHAR(13)," "),CHAR(10)," "),CHAR(9)," "),CHAR(92),_xlfn.CONCAT(CHAR(92),CHAR(92))),"$",_xlfn.CONCAT(CHAR(92),"$")),CHAR(96),_xlfn.CONCAT(CHAR(92),CHAR(96))),CHAR(34),CHAR(39))))</f>
        <v/>
      </c>
      <c r="M227" s="5" t="str">
        <f>IF(OR(TRIM($B227)="",$C227=""),"",IF(IFERROR(MATCH(TRIM($C227),{"Quantitative","Continuous","Discrete","Categorical","Nominal","Ordinal","Identifier"},0),0)=0,_xlfn.CONCAT("* REVIEW REQUIRED: invalid Variable Type on Sheet 1 row ",227,"."),_xlfn.CONCAT("char ",TRIM($B227),"[doc_vartype] ",CHAR(96),CHAR(34),SUBSTITUTE(SUBSTITUTE(SUBSTITUTE(SUBSTITUTE(SUBSTITUTE(SUBSTITUTE(LOWER(TRIM($C227)),CHAR(13)," "),CHAR(10)," "),CHAR(9)," "),CHAR(92),_xlfn.CONCAT(CHAR(92),CHAR(92))),"$",_xlfn.CONCAT(CHAR(92),"$")),CHAR(96),_xlfn.CONCAT(CHAR(92),CHAR(96))),CHAR(34),CHAR(39))))</f>
        <v/>
      </c>
      <c r="N227" s="5" t="str">
        <f>IF(OR(TRIM($B227)="",$D227=""),"",IF(OR(ISNUMBER(SEARCH(_xlfn.CONCAT(CHAR(96),CHAR(34)),$D227)),ISNUMBER(SEARCH(_xlfn.CONCAT(CHAR(34),CHAR(39)),$D227))),_xlfn.CONCAT("* REVIEW REQUIRED: compound-quote delimiter in Item Number on Sheet 1 row ",227,"; edit the input before running."),_xlfn.CONCAT("char ",TRIM($B227),"[doc_itemnum] ",CHAR(96),CHAR(34),SUBSTITUTE(SUBSTITUTE(SUBSTITUTE(SUBSTITUTE(SUBSTITUTE(SUBSTITUTE($D227,CHAR(13)," "),CHAR(10)," "),CHAR(9)," "),CHAR(92),_xlfn.CONCAT(CHAR(92),CHAR(92))),"$",_xlfn.CONCAT(CHAR(92),"$")),CHAR(96),_xlfn.CONCAT(CHAR(92),CHAR(96))),CHAR(34),CHAR(39))))</f>
        <v/>
      </c>
      <c r="O227" s="5" t="str">
        <f>IF(OR(TRIM($B227)="",$E227=""),"",IF(OR(ISNUMBER(SEARCH(_xlfn.CONCAT(CHAR(96),CHAR(34)),$E227)),ISNUMBER(SEARCH(_xlfn.CONCAT(CHAR(34),CHAR(39)),$E227))),_xlfn.CONCAT("* REVIEW REQUIRED: compound-quote delimiter in Question Wording on Sheet 1 row ",227,"; edit the input before running."),_xlfn.CONCAT("char ",TRIM($B227),"[doc_question] ",CHAR(96),CHAR(34),SUBSTITUTE(SUBSTITUTE(SUBSTITUTE(SUBSTITUTE(SUBSTITUTE(SUBSTITUTE($E227,CHAR(13)," "),CHAR(10)," "),CHAR(9)," "),CHAR(92),_xlfn.CONCAT(CHAR(92),CHAR(92))),"$",_xlfn.CONCAT(CHAR(92),"$")),CHAR(96),_xlfn.CONCAT(CHAR(92),CHAR(96))),CHAR(34),CHAR(39))))</f>
        <v/>
      </c>
      <c r="P227" s="5" t="str">
        <f>IF(OR(TRIM($B227)="",$F227=""),"",IF(OR(ISNUMBER(SEARCH(_xlfn.CONCAT(CHAR(96),CHAR(34)),$F227)),ISNUMBER(SEARCH(_xlfn.CONCAT(CHAR(34),CHAR(39)),$F227))),_xlfn.CONCAT("* REVIEW REQUIRED: compound-quote delimiter in Units on Sheet 1 row ",227,"; edit the input before running."),_xlfn.CONCAT("char ",TRIM($B227),"[doc_units] ",CHAR(96),CHAR(34),SUBSTITUTE(SUBSTITUTE(SUBSTITUTE(SUBSTITUTE(SUBSTITUTE(SUBSTITUTE($F227,CHAR(13)," "),CHAR(10)," "),CHAR(9)," "),CHAR(92),_xlfn.CONCAT(CHAR(92),CHAR(92))),"$",_xlfn.CONCAT(CHAR(92),"$")),CHAR(96),_xlfn.CONCAT(CHAR(92),CHAR(96))),CHAR(34),CHAR(39))))</f>
        <v/>
      </c>
      <c r="Q227" s="5" t="str">
        <f>IF(OR(TRIM($B227)="",$G227=""),"",IF(OR(ISNUMBER(SEARCH(_xlfn.CONCAT(CHAR(96),CHAR(34)),$G227)),ISNUMBER(SEARCH(_xlfn.CONCAT(CHAR(34),CHAR(39)),$G227))),_xlfn.CONCAT("* REVIEW REQUIRED: compound-quote delimiter in Universe on Sheet 1 row ",227,"; edit the input before running."),_xlfn.CONCAT("char ",TRIM($B227),"[doc_universe] ",CHAR(96),CHAR(34),SUBSTITUTE(SUBSTITUTE(SUBSTITUTE(SUBSTITUTE(SUBSTITUTE(SUBSTITUTE($G227,CHAR(13)," "),CHAR(10)," "),CHAR(9)," "),CHAR(92),_xlfn.CONCAT(CHAR(92),CHAR(92))),"$",_xlfn.CONCAT(CHAR(92),"$")),CHAR(96),_xlfn.CONCAT(CHAR(92),CHAR(96))),CHAR(34),CHAR(39))))</f>
        <v/>
      </c>
      <c r="R227" s="5" t="str">
        <f>IF(OR(TRIM($B227)="",$H227=""),"",IF(OR(ISNUMBER(SEARCH(_xlfn.CONCAT(CHAR(96),CHAR(34)),$H227)),ISNUMBER(SEARCH(_xlfn.CONCAT(CHAR(34),CHAR(39)),$H227))),_xlfn.CONCAT("* REVIEW REQUIRED: compound-quote delimiter in Source on Sheet 1 row ",227,"; edit the input before running."),_xlfn.CONCAT("char ",TRIM($B227),"[doc_source] ",CHAR(96),CHAR(34),SUBSTITUTE(SUBSTITUTE(SUBSTITUTE(SUBSTITUTE(SUBSTITUTE(SUBSTITUTE($H227,CHAR(13)," "),CHAR(10)," "),CHAR(9)," "),CHAR(92),_xlfn.CONCAT(CHAR(92),CHAR(92))),"$",_xlfn.CONCAT(CHAR(92),"$")),CHAR(96),_xlfn.CONCAT(CHAR(92),CHAR(96))),CHAR(34),CHAR(39))))</f>
        <v/>
      </c>
      <c r="S227" s="5" t="str">
        <f>IF(OR(TRIM($B227)="",$I227=""),"",IF(OR(ISNUMBER(SEARCH(_xlfn.CONCAT(CHAR(96),CHAR(34)),$I227)),ISNUMBER(SEARCH(_xlfn.CONCAT(CHAR(34),CHAR(39)),$I227))),_xlfn.CONCAT("* REVIEW REQUIRED: compound-quote delimiter in Derivation on Sheet 1 row ",227,"; edit the input before running."),_xlfn.CONCAT("char ",TRIM($B227),"[doc_derivation] ",CHAR(96),CHAR(34),SUBSTITUTE(SUBSTITUTE(SUBSTITUTE(SUBSTITUTE(SUBSTITUTE(SUBSTITUTE($I227,CHAR(13)," "),CHAR(10)," "),CHAR(9)," "),CHAR(92),_xlfn.CONCAT(CHAR(92),CHAR(92))),"$",_xlfn.CONCAT(CHAR(92),"$")),CHAR(96),_xlfn.CONCAT(CHAR(92),CHAR(96))),CHAR(34),CHAR(39))))</f>
        <v/>
      </c>
      <c r="T227" s="5" t="str">
        <f>IF(OR(TRIM($B227)="",$J227=""),"",IF(OR(ISNUMBER(SEARCH(_xlfn.CONCAT(CHAR(96),CHAR(34)),$J227)),ISNUMBER(SEARCH(_xlfn.CONCAT(CHAR(34),CHAR(39)),$J227))),_xlfn.CONCAT("* REVIEW REQUIRED: compound-quote delimiter in Notes on Sheet 1 row ",227,"; edit the input before running."),_xlfn.CONCAT("char ",TRIM($B227),"[doc_notes] ",CHAR(96),CHAR(34),SUBSTITUTE(SUBSTITUTE(SUBSTITUTE(SUBSTITUTE(SUBSTITUTE(SUBSTITUTE($J227,CHAR(13)," "),CHAR(10)," "),CHAR(9)," "),CHAR(92),_xlfn.CONCAT(CHAR(92),CHAR(92))),"$",_xlfn.CONCAT(CHAR(92),"$")),CHAR(96),_xlfn.CONCAT(CHAR(92),CHAR(96))),CHAR(34),CHAR(39))))</f>
        <v/>
      </c>
      <c r="U227" s="5">
        <f t="shared" si="7"/>
        <v>0</v>
      </c>
    </row>
    <row r="228" spans="3:21" ht="30" customHeight="1" x14ac:dyDescent="0.2">
      <c r="C228" s="4"/>
      <c r="K228" s="5">
        <f t="shared" si="6"/>
        <v>0</v>
      </c>
      <c r="L228" s="5" t="str">
        <f>IF(OR(TRIM($B228)="",$A228=""),"",IF(OR(ISNUMBER(SEARCH(_xlfn.CONCAT(CHAR(96),CHAR(34)),$A228)),ISNUMBER(SEARCH(_xlfn.CONCAT(CHAR(34),CHAR(39)),$A228))),_xlfn.CONCAT("* REVIEW REQUIRED: compound-quote delimiter in Codebook Section on Sheet 1 row ",228,"; edit the input before running."),_xlfn.CONCAT("char ",TRIM($B228),"[doc_section] ",CHAR(96),CHAR(34),SUBSTITUTE(SUBSTITUTE(SUBSTITUTE(SUBSTITUTE(SUBSTITUTE(SUBSTITUTE($A228,CHAR(13)," "),CHAR(10)," "),CHAR(9)," "),CHAR(92),_xlfn.CONCAT(CHAR(92),CHAR(92))),"$",_xlfn.CONCAT(CHAR(92),"$")),CHAR(96),_xlfn.CONCAT(CHAR(92),CHAR(96))),CHAR(34),CHAR(39))))</f>
        <v/>
      </c>
      <c r="M228" s="5" t="str">
        <f>IF(OR(TRIM($B228)="",$C228=""),"",IF(IFERROR(MATCH(TRIM($C228),{"Quantitative","Continuous","Discrete","Categorical","Nominal","Ordinal","Identifier"},0),0)=0,_xlfn.CONCAT("* REVIEW REQUIRED: invalid Variable Type on Sheet 1 row ",228,"."),_xlfn.CONCAT("char ",TRIM($B228),"[doc_vartype] ",CHAR(96),CHAR(34),SUBSTITUTE(SUBSTITUTE(SUBSTITUTE(SUBSTITUTE(SUBSTITUTE(SUBSTITUTE(LOWER(TRIM($C228)),CHAR(13)," "),CHAR(10)," "),CHAR(9)," "),CHAR(92),_xlfn.CONCAT(CHAR(92),CHAR(92))),"$",_xlfn.CONCAT(CHAR(92),"$")),CHAR(96),_xlfn.CONCAT(CHAR(92),CHAR(96))),CHAR(34),CHAR(39))))</f>
        <v/>
      </c>
      <c r="N228" s="5" t="str">
        <f>IF(OR(TRIM($B228)="",$D228=""),"",IF(OR(ISNUMBER(SEARCH(_xlfn.CONCAT(CHAR(96),CHAR(34)),$D228)),ISNUMBER(SEARCH(_xlfn.CONCAT(CHAR(34),CHAR(39)),$D228))),_xlfn.CONCAT("* REVIEW REQUIRED: compound-quote delimiter in Item Number on Sheet 1 row ",228,"; edit the input before running."),_xlfn.CONCAT("char ",TRIM($B228),"[doc_itemnum] ",CHAR(96),CHAR(34),SUBSTITUTE(SUBSTITUTE(SUBSTITUTE(SUBSTITUTE(SUBSTITUTE(SUBSTITUTE($D228,CHAR(13)," "),CHAR(10)," "),CHAR(9)," "),CHAR(92),_xlfn.CONCAT(CHAR(92),CHAR(92))),"$",_xlfn.CONCAT(CHAR(92),"$")),CHAR(96),_xlfn.CONCAT(CHAR(92),CHAR(96))),CHAR(34),CHAR(39))))</f>
        <v/>
      </c>
      <c r="O228" s="5" t="str">
        <f>IF(OR(TRIM($B228)="",$E228=""),"",IF(OR(ISNUMBER(SEARCH(_xlfn.CONCAT(CHAR(96),CHAR(34)),$E228)),ISNUMBER(SEARCH(_xlfn.CONCAT(CHAR(34),CHAR(39)),$E228))),_xlfn.CONCAT("* REVIEW REQUIRED: compound-quote delimiter in Question Wording on Sheet 1 row ",228,"; edit the input before running."),_xlfn.CONCAT("char ",TRIM($B228),"[doc_question] ",CHAR(96),CHAR(34),SUBSTITUTE(SUBSTITUTE(SUBSTITUTE(SUBSTITUTE(SUBSTITUTE(SUBSTITUTE($E228,CHAR(13)," "),CHAR(10)," "),CHAR(9)," "),CHAR(92),_xlfn.CONCAT(CHAR(92),CHAR(92))),"$",_xlfn.CONCAT(CHAR(92),"$")),CHAR(96),_xlfn.CONCAT(CHAR(92),CHAR(96))),CHAR(34),CHAR(39))))</f>
        <v/>
      </c>
      <c r="P228" s="5" t="str">
        <f>IF(OR(TRIM($B228)="",$F228=""),"",IF(OR(ISNUMBER(SEARCH(_xlfn.CONCAT(CHAR(96),CHAR(34)),$F228)),ISNUMBER(SEARCH(_xlfn.CONCAT(CHAR(34),CHAR(39)),$F228))),_xlfn.CONCAT("* REVIEW REQUIRED: compound-quote delimiter in Units on Sheet 1 row ",228,"; edit the input before running."),_xlfn.CONCAT("char ",TRIM($B228),"[doc_units] ",CHAR(96),CHAR(34),SUBSTITUTE(SUBSTITUTE(SUBSTITUTE(SUBSTITUTE(SUBSTITUTE(SUBSTITUTE($F228,CHAR(13)," "),CHAR(10)," "),CHAR(9)," "),CHAR(92),_xlfn.CONCAT(CHAR(92),CHAR(92))),"$",_xlfn.CONCAT(CHAR(92),"$")),CHAR(96),_xlfn.CONCAT(CHAR(92),CHAR(96))),CHAR(34),CHAR(39))))</f>
        <v/>
      </c>
      <c r="Q228" s="5" t="str">
        <f>IF(OR(TRIM($B228)="",$G228=""),"",IF(OR(ISNUMBER(SEARCH(_xlfn.CONCAT(CHAR(96),CHAR(34)),$G228)),ISNUMBER(SEARCH(_xlfn.CONCAT(CHAR(34),CHAR(39)),$G228))),_xlfn.CONCAT("* REVIEW REQUIRED: compound-quote delimiter in Universe on Sheet 1 row ",228,"; edit the input before running."),_xlfn.CONCAT("char ",TRIM($B228),"[doc_universe] ",CHAR(96),CHAR(34),SUBSTITUTE(SUBSTITUTE(SUBSTITUTE(SUBSTITUTE(SUBSTITUTE(SUBSTITUTE($G228,CHAR(13)," "),CHAR(10)," "),CHAR(9)," "),CHAR(92),_xlfn.CONCAT(CHAR(92),CHAR(92))),"$",_xlfn.CONCAT(CHAR(92),"$")),CHAR(96),_xlfn.CONCAT(CHAR(92),CHAR(96))),CHAR(34),CHAR(39))))</f>
        <v/>
      </c>
      <c r="R228" s="5" t="str">
        <f>IF(OR(TRIM($B228)="",$H228=""),"",IF(OR(ISNUMBER(SEARCH(_xlfn.CONCAT(CHAR(96),CHAR(34)),$H228)),ISNUMBER(SEARCH(_xlfn.CONCAT(CHAR(34),CHAR(39)),$H228))),_xlfn.CONCAT("* REVIEW REQUIRED: compound-quote delimiter in Source on Sheet 1 row ",228,"; edit the input before running."),_xlfn.CONCAT("char ",TRIM($B228),"[doc_source] ",CHAR(96),CHAR(34),SUBSTITUTE(SUBSTITUTE(SUBSTITUTE(SUBSTITUTE(SUBSTITUTE(SUBSTITUTE($H228,CHAR(13)," "),CHAR(10)," "),CHAR(9)," "),CHAR(92),_xlfn.CONCAT(CHAR(92),CHAR(92))),"$",_xlfn.CONCAT(CHAR(92),"$")),CHAR(96),_xlfn.CONCAT(CHAR(92),CHAR(96))),CHAR(34),CHAR(39))))</f>
        <v/>
      </c>
      <c r="S228" s="5" t="str">
        <f>IF(OR(TRIM($B228)="",$I228=""),"",IF(OR(ISNUMBER(SEARCH(_xlfn.CONCAT(CHAR(96),CHAR(34)),$I228)),ISNUMBER(SEARCH(_xlfn.CONCAT(CHAR(34),CHAR(39)),$I228))),_xlfn.CONCAT("* REVIEW REQUIRED: compound-quote delimiter in Derivation on Sheet 1 row ",228,"; edit the input before running."),_xlfn.CONCAT("char ",TRIM($B228),"[doc_derivation] ",CHAR(96),CHAR(34),SUBSTITUTE(SUBSTITUTE(SUBSTITUTE(SUBSTITUTE(SUBSTITUTE(SUBSTITUTE($I228,CHAR(13)," "),CHAR(10)," "),CHAR(9)," "),CHAR(92),_xlfn.CONCAT(CHAR(92),CHAR(92))),"$",_xlfn.CONCAT(CHAR(92),"$")),CHAR(96),_xlfn.CONCAT(CHAR(92),CHAR(96))),CHAR(34),CHAR(39))))</f>
        <v/>
      </c>
      <c r="T228" s="5" t="str">
        <f>IF(OR(TRIM($B228)="",$J228=""),"",IF(OR(ISNUMBER(SEARCH(_xlfn.CONCAT(CHAR(96),CHAR(34)),$J228)),ISNUMBER(SEARCH(_xlfn.CONCAT(CHAR(34),CHAR(39)),$J228))),_xlfn.CONCAT("* REVIEW REQUIRED: compound-quote delimiter in Notes on Sheet 1 row ",228,"; edit the input before running."),_xlfn.CONCAT("char ",TRIM($B228),"[doc_notes] ",CHAR(96),CHAR(34),SUBSTITUTE(SUBSTITUTE(SUBSTITUTE(SUBSTITUTE(SUBSTITUTE(SUBSTITUTE($J228,CHAR(13)," "),CHAR(10)," "),CHAR(9)," "),CHAR(92),_xlfn.CONCAT(CHAR(92),CHAR(92))),"$",_xlfn.CONCAT(CHAR(92),"$")),CHAR(96),_xlfn.CONCAT(CHAR(92),CHAR(96))),CHAR(34),CHAR(39))))</f>
        <v/>
      </c>
      <c r="U228" s="5">
        <f t="shared" si="7"/>
        <v>0</v>
      </c>
    </row>
    <row r="229" spans="3:21" ht="30" customHeight="1" x14ac:dyDescent="0.2">
      <c r="C229" s="4"/>
      <c r="K229" s="5">
        <f t="shared" si="6"/>
        <v>0</v>
      </c>
      <c r="L229" s="5" t="str">
        <f>IF(OR(TRIM($B229)="",$A229=""),"",IF(OR(ISNUMBER(SEARCH(_xlfn.CONCAT(CHAR(96),CHAR(34)),$A229)),ISNUMBER(SEARCH(_xlfn.CONCAT(CHAR(34),CHAR(39)),$A229))),_xlfn.CONCAT("* REVIEW REQUIRED: compound-quote delimiter in Codebook Section on Sheet 1 row ",229,"; edit the input before running."),_xlfn.CONCAT("char ",TRIM($B229),"[doc_section] ",CHAR(96),CHAR(34),SUBSTITUTE(SUBSTITUTE(SUBSTITUTE(SUBSTITUTE(SUBSTITUTE(SUBSTITUTE($A229,CHAR(13)," "),CHAR(10)," "),CHAR(9)," "),CHAR(92),_xlfn.CONCAT(CHAR(92),CHAR(92))),"$",_xlfn.CONCAT(CHAR(92),"$")),CHAR(96),_xlfn.CONCAT(CHAR(92),CHAR(96))),CHAR(34),CHAR(39))))</f>
        <v/>
      </c>
      <c r="M229" s="5" t="str">
        <f>IF(OR(TRIM($B229)="",$C229=""),"",IF(IFERROR(MATCH(TRIM($C229),{"Quantitative","Continuous","Discrete","Categorical","Nominal","Ordinal","Identifier"},0),0)=0,_xlfn.CONCAT("* REVIEW REQUIRED: invalid Variable Type on Sheet 1 row ",229,"."),_xlfn.CONCAT("char ",TRIM($B229),"[doc_vartype] ",CHAR(96),CHAR(34),SUBSTITUTE(SUBSTITUTE(SUBSTITUTE(SUBSTITUTE(SUBSTITUTE(SUBSTITUTE(LOWER(TRIM($C229)),CHAR(13)," "),CHAR(10)," "),CHAR(9)," "),CHAR(92),_xlfn.CONCAT(CHAR(92),CHAR(92))),"$",_xlfn.CONCAT(CHAR(92),"$")),CHAR(96),_xlfn.CONCAT(CHAR(92),CHAR(96))),CHAR(34),CHAR(39))))</f>
        <v/>
      </c>
      <c r="N229" s="5" t="str">
        <f>IF(OR(TRIM($B229)="",$D229=""),"",IF(OR(ISNUMBER(SEARCH(_xlfn.CONCAT(CHAR(96),CHAR(34)),$D229)),ISNUMBER(SEARCH(_xlfn.CONCAT(CHAR(34),CHAR(39)),$D229))),_xlfn.CONCAT("* REVIEW REQUIRED: compound-quote delimiter in Item Number on Sheet 1 row ",229,"; edit the input before running."),_xlfn.CONCAT("char ",TRIM($B229),"[doc_itemnum] ",CHAR(96),CHAR(34),SUBSTITUTE(SUBSTITUTE(SUBSTITUTE(SUBSTITUTE(SUBSTITUTE(SUBSTITUTE($D229,CHAR(13)," "),CHAR(10)," "),CHAR(9)," "),CHAR(92),_xlfn.CONCAT(CHAR(92),CHAR(92))),"$",_xlfn.CONCAT(CHAR(92),"$")),CHAR(96),_xlfn.CONCAT(CHAR(92),CHAR(96))),CHAR(34),CHAR(39))))</f>
        <v/>
      </c>
      <c r="O229" s="5" t="str">
        <f>IF(OR(TRIM($B229)="",$E229=""),"",IF(OR(ISNUMBER(SEARCH(_xlfn.CONCAT(CHAR(96),CHAR(34)),$E229)),ISNUMBER(SEARCH(_xlfn.CONCAT(CHAR(34),CHAR(39)),$E229))),_xlfn.CONCAT("* REVIEW REQUIRED: compound-quote delimiter in Question Wording on Sheet 1 row ",229,"; edit the input before running."),_xlfn.CONCAT("char ",TRIM($B229),"[doc_question] ",CHAR(96),CHAR(34),SUBSTITUTE(SUBSTITUTE(SUBSTITUTE(SUBSTITUTE(SUBSTITUTE(SUBSTITUTE($E229,CHAR(13)," "),CHAR(10)," "),CHAR(9)," "),CHAR(92),_xlfn.CONCAT(CHAR(92),CHAR(92))),"$",_xlfn.CONCAT(CHAR(92),"$")),CHAR(96),_xlfn.CONCAT(CHAR(92),CHAR(96))),CHAR(34),CHAR(39))))</f>
        <v/>
      </c>
      <c r="P229" s="5" t="str">
        <f>IF(OR(TRIM($B229)="",$F229=""),"",IF(OR(ISNUMBER(SEARCH(_xlfn.CONCAT(CHAR(96),CHAR(34)),$F229)),ISNUMBER(SEARCH(_xlfn.CONCAT(CHAR(34),CHAR(39)),$F229))),_xlfn.CONCAT("* REVIEW REQUIRED: compound-quote delimiter in Units on Sheet 1 row ",229,"; edit the input before running."),_xlfn.CONCAT("char ",TRIM($B229),"[doc_units] ",CHAR(96),CHAR(34),SUBSTITUTE(SUBSTITUTE(SUBSTITUTE(SUBSTITUTE(SUBSTITUTE(SUBSTITUTE($F229,CHAR(13)," "),CHAR(10)," "),CHAR(9)," "),CHAR(92),_xlfn.CONCAT(CHAR(92),CHAR(92))),"$",_xlfn.CONCAT(CHAR(92),"$")),CHAR(96),_xlfn.CONCAT(CHAR(92),CHAR(96))),CHAR(34),CHAR(39))))</f>
        <v/>
      </c>
      <c r="Q229" s="5" t="str">
        <f>IF(OR(TRIM($B229)="",$G229=""),"",IF(OR(ISNUMBER(SEARCH(_xlfn.CONCAT(CHAR(96),CHAR(34)),$G229)),ISNUMBER(SEARCH(_xlfn.CONCAT(CHAR(34),CHAR(39)),$G229))),_xlfn.CONCAT("* REVIEW REQUIRED: compound-quote delimiter in Universe on Sheet 1 row ",229,"; edit the input before running."),_xlfn.CONCAT("char ",TRIM($B229),"[doc_universe] ",CHAR(96),CHAR(34),SUBSTITUTE(SUBSTITUTE(SUBSTITUTE(SUBSTITUTE(SUBSTITUTE(SUBSTITUTE($G229,CHAR(13)," "),CHAR(10)," "),CHAR(9)," "),CHAR(92),_xlfn.CONCAT(CHAR(92),CHAR(92))),"$",_xlfn.CONCAT(CHAR(92),"$")),CHAR(96),_xlfn.CONCAT(CHAR(92),CHAR(96))),CHAR(34),CHAR(39))))</f>
        <v/>
      </c>
      <c r="R229" s="5" t="str">
        <f>IF(OR(TRIM($B229)="",$H229=""),"",IF(OR(ISNUMBER(SEARCH(_xlfn.CONCAT(CHAR(96),CHAR(34)),$H229)),ISNUMBER(SEARCH(_xlfn.CONCAT(CHAR(34),CHAR(39)),$H229))),_xlfn.CONCAT("* REVIEW REQUIRED: compound-quote delimiter in Source on Sheet 1 row ",229,"; edit the input before running."),_xlfn.CONCAT("char ",TRIM($B229),"[doc_source] ",CHAR(96),CHAR(34),SUBSTITUTE(SUBSTITUTE(SUBSTITUTE(SUBSTITUTE(SUBSTITUTE(SUBSTITUTE($H229,CHAR(13)," "),CHAR(10)," "),CHAR(9)," "),CHAR(92),_xlfn.CONCAT(CHAR(92),CHAR(92))),"$",_xlfn.CONCAT(CHAR(92),"$")),CHAR(96),_xlfn.CONCAT(CHAR(92),CHAR(96))),CHAR(34),CHAR(39))))</f>
        <v/>
      </c>
      <c r="S229" s="5" t="str">
        <f>IF(OR(TRIM($B229)="",$I229=""),"",IF(OR(ISNUMBER(SEARCH(_xlfn.CONCAT(CHAR(96),CHAR(34)),$I229)),ISNUMBER(SEARCH(_xlfn.CONCAT(CHAR(34),CHAR(39)),$I229))),_xlfn.CONCAT("* REVIEW REQUIRED: compound-quote delimiter in Derivation on Sheet 1 row ",229,"; edit the input before running."),_xlfn.CONCAT("char ",TRIM($B229),"[doc_derivation] ",CHAR(96),CHAR(34),SUBSTITUTE(SUBSTITUTE(SUBSTITUTE(SUBSTITUTE(SUBSTITUTE(SUBSTITUTE($I229,CHAR(13)," "),CHAR(10)," "),CHAR(9)," "),CHAR(92),_xlfn.CONCAT(CHAR(92),CHAR(92))),"$",_xlfn.CONCAT(CHAR(92),"$")),CHAR(96),_xlfn.CONCAT(CHAR(92),CHAR(96))),CHAR(34),CHAR(39))))</f>
        <v/>
      </c>
      <c r="T229" s="5" t="str">
        <f>IF(OR(TRIM($B229)="",$J229=""),"",IF(OR(ISNUMBER(SEARCH(_xlfn.CONCAT(CHAR(96),CHAR(34)),$J229)),ISNUMBER(SEARCH(_xlfn.CONCAT(CHAR(34),CHAR(39)),$J229))),_xlfn.CONCAT("* REVIEW REQUIRED: compound-quote delimiter in Notes on Sheet 1 row ",229,"; edit the input before running."),_xlfn.CONCAT("char ",TRIM($B229),"[doc_notes] ",CHAR(96),CHAR(34),SUBSTITUTE(SUBSTITUTE(SUBSTITUTE(SUBSTITUTE(SUBSTITUTE(SUBSTITUTE($J229,CHAR(13)," "),CHAR(10)," "),CHAR(9)," "),CHAR(92),_xlfn.CONCAT(CHAR(92),CHAR(92))),"$",_xlfn.CONCAT(CHAR(92),"$")),CHAR(96),_xlfn.CONCAT(CHAR(92),CHAR(96))),CHAR(34),CHAR(39))))</f>
        <v/>
      </c>
      <c r="U229" s="5">
        <f t="shared" si="7"/>
        <v>0</v>
      </c>
    </row>
    <row r="230" spans="3:21" ht="30" customHeight="1" x14ac:dyDescent="0.2">
      <c r="C230" s="4"/>
      <c r="K230" s="5">
        <f t="shared" si="6"/>
        <v>0</v>
      </c>
      <c r="L230" s="5" t="str">
        <f>IF(OR(TRIM($B230)="",$A230=""),"",IF(OR(ISNUMBER(SEARCH(_xlfn.CONCAT(CHAR(96),CHAR(34)),$A230)),ISNUMBER(SEARCH(_xlfn.CONCAT(CHAR(34),CHAR(39)),$A230))),_xlfn.CONCAT("* REVIEW REQUIRED: compound-quote delimiter in Codebook Section on Sheet 1 row ",230,"; edit the input before running."),_xlfn.CONCAT("char ",TRIM($B230),"[doc_section] ",CHAR(96),CHAR(34),SUBSTITUTE(SUBSTITUTE(SUBSTITUTE(SUBSTITUTE(SUBSTITUTE(SUBSTITUTE($A230,CHAR(13)," "),CHAR(10)," "),CHAR(9)," "),CHAR(92),_xlfn.CONCAT(CHAR(92),CHAR(92))),"$",_xlfn.CONCAT(CHAR(92),"$")),CHAR(96),_xlfn.CONCAT(CHAR(92),CHAR(96))),CHAR(34),CHAR(39))))</f>
        <v/>
      </c>
      <c r="M230" s="5" t="str">
        <f>IF(OR(TRIM($B230)="",$C230=""),"",IF(IFERROR(MATCH(TRIM($C230),{"Quantitative","Continuous","Discrete","Categorical","Nominal","Ordinal","Identifier"},0),0)=0,_xlfn.CONCAT("* REVIEW REQUIRED: invalid Variable Type on Sheet 1 row ",230,"."),_xlfn.CONCAT("char ",TRIM($B230),"[doc_vartype] ",CHAR(96),CHAR(34),SUBSTITUTE(SUBSTITUTE(SUBSTITUTE(SUBSTITUTE(SUBSTITUTE(SUBSTITUTE(LOWER(TRIM($C230)),CHAR(13)," "),CHAR(10)," "),CHAR(9)," "),CHAR(92),_xlfn.CONCAT(CHAR(92),CHAR(92))),"$",_xlfn.CONCAT(CHAR(92),"$")),CHAR(96),_xlfn.CONCAT(CHAR(92),CHAR(96))),CHAR(34),CHAR(39))))</f>
        <v/>
      </c>
      <c r="N230" s="5" t="str">
        <f>IF(OR(TRIM($B230)="",$D230=""),"",IF(OR(ISNUMBER(SEARCH(_xlfn.CONCAT(CHAR(96),CHAR(34)),$D230)),ISNUMBER(SEARCH(_xlfn.CONCAT(CHAR(34),CHAR(39)),$D230))),_xlfn.CONCAT("* REVIEW REQUIRED: compound-quote delimiter in Item Number on Sheet 1 row ",230,"; edit the input before running."),_xlfn.CONCAT("char ",TRIM($B230),"[doc_itemnum] ",CHAR(96),CHAR(34),SUBSTITUTE(SUBSTITUTE(SUBSTITUTE(SUBSTITUTE(SUBSTITUTE(SUBSTITUTE($D230,CHAR(13)," "),CHAR(10)," "),CHAR(9)," "),CHAR(92),_xlfn.CONCAT(CHAR(92),CHAR(92))),"$",_xlfn.CONCAT(CHAR(92),"$")),CHAR(96),_xlfn.CONCAT(CHAR(92),CHAR(96))),CHAR(34),CHAR(39))))</f>
        <v/>
      </c>
      <c r="O230" s="5" t="str">
        <f>IF(OR(TRIM($B230)="",$E230=""),"",IF(OR(ISNUMBER(SEARCH(_xlfn.CONCAT(CHAR(96),CHAR(34)),$E230)),ISNUMBER(SEARCH(_xlfn.CONCAT(CHAR(34),CHAR(39)),$E230))),_xlfn.CONCAT("* REVIEW REQUIRED: compound-quote delimiter in Question Wording on Sheet 1 row ",230,"; edit the input before running."),_xlfn.CONCAT("char ",TRIM($B230),"[doc_question] ",CHAR(96),CHAR(34),SUBSTITUTE(SUBSTITUTE(SUBSTITUTE(SUBSTITUTE(SUBSTITUTE(SUBSTITUTE($E230,CHAR(13)," "),CHAR(10)," "),CHAR(9)," "),CHAR(92),_xlfn.CONCAT(CHAR(92),CHAR(92))),"$",_xlfn.CONCAT(CHAR(92),"$")),CHAR(96),_xlfn.CONCAT(CHAR(92),CHAR(96))),CHAR(34),CHAR(39))))</f>
        <v/>
      </c>
      <c r="P230" s="5" t="str">
        <f>IF(OR(TRIM($B230)="",$F230=""),"",IF(OR(ISNUMBER(SEARCH(_xlfn.CONCAT(CHAR(96),CHAR(34)),$F230)),ISNUMBER(SEARCH(_xlfn.CONCAT(CHAR(34),CHAR(39)),$F230))),_xlfn.CONCAT("* REVIEW REQUIRED: compound-quote delimiter in Units on Sheet 1 row ",230,"; edit the input before running."),_xlfn.CONCAT("char ",TRIM($B230),"[doc_units] ",CHAR(96),CHAR(34),SUBSTITUTE(SUBSTITUTE(SUBSTITUTE(SUBSTITUTE(SUBSTITUTE(SUBSTITUTE($F230,CHAR(13)," "),CHAR(10)," "),CHAR(9)," "),CHAR(92),_xlfn.CONCAT(CHAR(92),CHAR(92))),"$",_xlfn.CONCAT(CHAR(92),"$")),CHAR(96),_xlfn.CONCAT(CHAR(92),CHAR(96))),CHAR(34),CHAR(39))))</f>
        <v/>
      </c>
      <c r="Q230" s="5" t="str">
        <f>IF(OR(TRIM($B230)="",$G230=""),"",IF(OR(ISNUMBER(SEARCH(_xlfn.CONCAT(CHAR(96),CHAR(34)),$G230)),ISNUMBER(SEARCH(_xlfn.CONCAT(CHAR(34),CHAR(39)),$G230))),_xlfn.CONCAT("* REVIEW REQUIRED: compound-quote delimiter in Universe on Sheet 1 row ",230,"; edit the input before running."),_xlfn.CONCAT("char ",TRIM($B230),"[doc_universe] ",CHAR(96),CHAR(34),SUBSTITUTE(SUBSTITUTE(SUBSTITUTE(SUBSTITUTE(SUBSTITUTE(SUBSTITUTE($G230,CHAR(13)," "),CHAR(10)," "),CHAR(9)," "),CHAR(92),_xlfn.CONCAT(CHAR(92),CHAR(92))),"$",_xlfn.CONCAT(CHAR(92),"$")),CHAR(96),_xlfn.CONCAT(CHAR(92),CHAR(96))),CHAR(34),CHAR(39))))</f>
        <v/>
      </c>
      <c r="R230" s="5" t="str">
        <f>IF(OR(TRIM($B230)="",$H230=""),"",IF(OR(ISNUMBER(SEARCH(_xlfn.CONCAT(CHAR(96),CHAR(34)),$H230)),ISNUMBER(SEARCH(_xlfn.CONCAT(CHAR(34),CHAR(39)),$H230))),_xlfn.CONCAT("* REVIEW REQUIRED: compound-quote delimiter in Source on Sheet 1 row ",230,"; edit the input before running."),_xlfn.CONCAT("char ",TRIM($B230),"[doc_source] ",CHAR(96),CHAR(34),SUBSTITUTE(SUBSTITUTE(SUBSTITUTE(SUBSTITUTE(SUBSTITUTE(SUBSTITUTE($H230,CHAR(13)," "),CHAR(10)," "),CHAR(9)," "),CHAR(92),_xlfn.CONCAT(CHAR(92),CHAR(92))),"$",_xlfn.CONCAT(CHAR(92),"$")),CHAR(96),_xlfn.CONCAT(CHAR(92),CHAR(96))),CHAR(34),CHAR(39))))</f>
        <v/>
      </c>
      <c r="S230" s="5" t="str">
        <f>IF(OR(TRIM($B230)="",$I230=""),"",IF(OR(ISNUMBER(SEARCH(_xlfn.CONCAT(CHAR(96),CHAR(34)),$I230)),ISNUMBER(SEARCH(_xlfn.CONCAT(CHAR(34),CHAR(39)),$I230))),_xlfn.CONCAT("* REVIEW REQUIRED: compound-quote delimiter in Derivation on Sheet 1 row ",230,"; edit the input before running."),_xlfn.CONCAT("char ",TRIM($B230),"[doc_derivation] ",CHAR(96),CHAR(34),SUBSTITUTE(SUBSTITUTE(SUBSTITUTE(SUBSTITUTE(SUBSTITUTE(SUBSTITUTE($I230,CHAR(13)," "),CHAR(10)," "),CHAR(9)," "),CHAR(92),_xlfn.CONCAT(CHAR(92),CHAR(92))),"$",_xlfn.CONCAT(CHAR(92),"$")),CHAR(96),_xlfn.CONCAT(CHAR(92),CHAR(96))),CHAR(34),CHAR(39))))</f>
        <v/>
      </c>
      <c r="T230" s="5" t="str">
        <f>IF(OR(TRIM($B230)="",$J230=""),"",IF(OR(ISNUMBER(SEARCH(_xlfn.CONCAT(CHAR(96),CHAR(34)),$J230)),ISNUMBER(SEARCH(_xlfn.CONCAT(CHAR(34),CHAR(39)),$J230))),_xlfn.CONCAT("* REVIEW REQUIRED: compound-quote delimiter in Notes on Sheet 1 row ",230,"; edit the input before running."),_xlfn.CONCAT("char ",TRIM($B230),"[doc_notes] ",CHAR(96),CHAR(34),SUBSTITUTE(SUBSTITUTE(SUBSTITUTE(SUBSTITUTE(SUBSTITUTE(SUBSTITUTE($J230,CHAR(13)," "),CHAR(10)," "),CHAR(9)," "),CHAR(92),_xlfn.CONCAT(CHAR(92),CHAR(92))),"$",_xlfn.CONCAT(CHAR(92),"$")),CHAR(96),_xlfn.CONCAT(CHAR(92),CHAR(96))),CHAR(34),CHAR(39))))</f>
        <v/>
      </c>
      <c r="U230" s="5">
        <f t="shared" si="7"/>
        <v>0</v>
      </c>
    </row>
    <row r="231" spans="3:21" ht="30" customHeight="1" x14ac:dyDescent="0.2">
      <c r="C231" s="4"/>
      <c r="K231" s="5">
        <f t="shared" si="6"/>
        <v>0</v>
      </c>
      <c r="L231" s="5" t="str">
        <f>IF(OR(TRIM($B231)="",$A231=""),"",IF(OR(ISNUMBER(SEARCH(_xlfn.CONCAT(CHAR(96),CHAR(34)),$A231)),ISNUMBER(SEARCH(_xlfn.CONCAT(CHAR(34),CHAR(39)),$A231))),_xlfn.CONCAT("* REVIEW REQUIRED: compound-quote delimiter in Codebook Section on Sheet 1 row ",231,"; edit the input before running."),_xlfn.CONCAT("char ",TRIM($B231),"[doc_section] ",CHAR(96),CHAR(34),SUBSTITUTE(SUBSTITUTE(SUBSTITUTE(SUBSTITUTE(SUBSTITUTE(SUBSTITUTE($A231,CHAR(13)," "),CHAR(10)," "),CHAR(9)," "),CHAR(92),_xlfn.CONCAT(CHAR(92),CHAR(92))),"$",_xlfn.CONCAT(CHAR(92),"$")),CHAR(96),_xlfn.CONCAT(CHAR(92),CHAR(96))),CHAR(34),CHAR(39))))</f>
        <v/>
      </c>
      <c r="M231" s="5" t="str">
        <f>IF(OR(TRIM($B231)="",$C231=""),"",IF(IFERROR(MATCH(TRIM($C231),{"Quantitative","Continuous","Discrete","Categorical","Nominal","Ordinal","Identifier"},0),0)=0,_xlfn.CONCAT("* REVIEW REQUIRED: invalid Variable Type on Sheet 1 row ",231,"."),_xlfn.CONCAT("char ",TRIM($B231),"[doc_vartype] ",CHAR(96),CHAR(34),SUBSTITUTE(SUBSTITUTE(SUBSTITUTE(SUBSTITUTE(SUBSTITUTE(SUBSTITUTE(LOWER(TRIM($C231)),CHAR(13)," "),CHAR(10)," "),CHAR(9)," "),CHAR(92),_xlfn.CONCAT(CHAR(92),CHAR(92))),"$",_xlfn.CONCAT(CHAR(92),"$")),CHAR(96),_xlfn.CONCAT(CHAR(92),CHAR(96))),CHAR(34),CHAR(39))))</f>
        <v/>
      </c>
      <c r="N231" s="5" t="str">
        <f>IF(OR(TRIM($B231)="",$D231=""),"",IF(OR(ISNUMBER(SEARCH(_xlfn.CONCAT(CHAR(96),CHAR(34)),$D231)),ISNUMBER(SEARCH(_xlfn.CONCAT(CHAR(34),CHAR(39)),$D231))),_xlfn.CONCAT("* REVIEW REQUIRED: compound-quote delimiter in Item Number on Sheet 1 row ",231,"; edit the input before running."),_xlfn.CONCAT("char ",TRIM($B231),"[doc_itemnum] ",CHAR(96),CHAR(34),SUBSTITUTE(SUBSTITUTE(SUBSTITUTE(SUBSTITUTE(SUBSTITUTE(SUBSTITUTE($D231,CHAR(13)," "),CHAR(10)," "),CHAR(9)," "),CHAR(92),_xlfn.CONCAT(CHAR(92),CHAR(92))),"$",_xlfn.CONCAT(CHAR(92),"$")),CHAR(96),_xlfn.CONCAT(CHAR(92),CHAR(96))),CHAR(34),CHAR(39))))</f>
        <v/>
      </c>
      <c r="O231" s="5" t="str">
        <f>IF(OR(TRIM($B231)="",$E231=""),"",IF(OR(ISNUMBER(SEARCH(_xlfn.CONCAT(CHAR(96),CHAR(34)),$E231)),ISNUMBER(SEARCH(_xlfn.CONCAT(CHAR(34),CHAR(39)),$E231))),_xlfn.CONCAT("* REVIEW REQUIRED: compound-quote delimiter in Question Wording on Sheet 1 row ",231,"; edit the input before running."),_xlfn.CONCAT("char ",TRIM($B231),"[doc_question] ",CHAR(96),CHAR(34),SUBSTITUTE(SUBSTITUTE(SUBSTITUTE(SUBSTITUTE(SUBSTITUTE(SUBSTITUTE($E231,CHAR(13)," "),CHAR(10)," "),CHAR(9)," "),CHAR(92),_xlfn.CONCAT(CHAR(92),CHAR(92))),"$",_xlfn.CONCAT(CHAR(92),"$")),CHAR(96),_xlfn.CONCAT(CHAR(92),CHAR(96))),CHAR(34),CHAR(39))))</f>
        <v/>
      </c>
      <c r="P231" s="5" t="str">
        <f>IF(OR(TRIM($B231)="",$F231=""),"",IF(OR(ISNUMBER(SEARCH(_xlfn.CONCAT(CHAR(96),CHAR(34)),$F231)),ISNUMBER(SEARCH(_xlfn.CONCAT(CHAR(34),CHAR(39)),$F231))),_xlfn.CONCAT("* REVIEW REQUIRED: compound-quote delimiter in Units on Sheet 1 row ",231,"; edit the input before running."),_xlfn.CONCAT("char ",TRIM($B231),"[doc_units] ",CHAR(96),CHAR(34),SUBSTITUTE(SUBSTITUTE(SUBSTITUTE(SUBSTITUTE(SUBSTITUTE(SUBSTITUTE($F231,CHAR(13)," "),CHAR(10)," "),CHAR(9)," "),CHAR(92),_xlfn.CONCAT(CHAR(92),CHAR(92))),"$",_xlfn.CONCAT(CHAR(92),"$")),CHAR(96),_xlfn.CONCAT(CHAR(92),CHAR(96))),CHAR(34),CHAR(39))))</f>
        <v/>
      </c>
      <c r="Q231" s="5" t="str">
        <f>IF(OR(TRIM($B231)="",$G231=""),"",IF(OR(ISNUMBER(SEARCH(_xlfn.CONCAT(CHAR(96),CHAR(34)),$G231)),ISNUMBER(SEARCH(_xlfn.CONCAT(CHAR(34),CHAR(39)),$G231))),_xlfn.CONCAT("* REVIEW REQUIRED: compound-quote delimiter in Universe on Sheet 1 row ",231,"; edit the input before running."),_xlfn.CONCAT("char ",TRIM($B231),"[doc_universe] ",CHAR(96),CHAR(34),SUBSTITUTE(SUBSTITUTE(SUBSTITUTE(SUBSTITUTE(SUBSTITUTE(SUBSTITUTE($G231,CHAR(13)," "),CHAR(10)," "),CHAR(9)," "),CHAR(92),_xlfn.CONCAT(CHAR(92),CHAR(92))),"$",_xlfn.CONCAT(CHAR(92),"$")),CHAR(96),_xlfn.CONCAT(CHAR(92),CHAR(96))),CHAR(34),CHAR(39))))</f>
        <v/>
      </c>
      <c r="R231" s="5" t="str">
        <f>IF(OR(TRIM($B231)="",$H231=""),"",IF(OR(ISNUMBER(SEARCH(_xlfn.CONCAT(CHAR(96),CHAR(34)),$H231)),ISNUMBER(SEARCH(_xlfn.CONCAT(CHAR(34),CHAR(39)),$H231))),_xlfn.CONCAT("* REVIEW REQUIRED: compound-quote delimiter in Source on Sheet 1 row ",231,"; edit the input before running."),_xlfn.CONCAT("char ",TRIM($B231),"[doc_source] ",CHAR(96),CHAR(34),SUBSTITUTE(SUBSTITUTE(SUBSTITUTE(SUBSTITUTE(SUBSTITUTE(SUBSTITUTE($H231,CHAR(13)," "),CHAR(10)," "),CHAR(9)," "),CHAR(92),_xlfn.CONCAT(CHAR(92),CHAR(92))),"$",_xlfn.CONCAT(CHAR(92),"$")),CHAR(96),_xlfn.CONCAT(CHAR(92),CHAR(96))),CHAR(34),CHAR(39))))</f>
        <v/>
      </c>
      <c r="S231" s="5" t="str">
        <f>IF(OR(TRIM($B231)="",$I231=""),"",IF(OR(ISNUMBER(SEARCH(_xlfn.CONCAT(CHAR(96),CHAR(34)),$I231)),ISNUMBER(SEARCH(_xlfn.CONCAT(CHAR(34),CHAR(39)),$I231))),_xlfn.CONCAT("* REVIEW REQUIRED: compound-quote delimiter in Derivation on Sheet 1 row ",231,"; edit the input before running."),_xlfn.CONCAT("char ",TRIM($B231),"[doc_derivation] ",CHAR(96),CHAR(34),SUBSTITUTE(SUBSTITUTE(SUBSTITUTE(SUBSTITUTE(SUBSTITUTE(SUBSTITUTE($I231,CHAR(13)," "),CHAR(10)," "),CHAR(9)," "),CHAR(92),_xlfn.CONCAT(CHAR(92),CHAR(92))),"$",_xlfn.CONCAT(CHAR(92),"$")),CHAR(96),_xlfn.CONCAT(CHAR(92),CHAR(96))),CHAR(34),CHAR(39))))</f>
        <v/>
      </c>
      <c r="T231" s="5" t="str">
        <f>IF(OR(TRIM($B231)="",$J231=""),"",IF(OR(ISNUMBER(SEARCH(_xlfn.CONCAT(CHAR(96),CHAR(34)),$J231)),ISNUMBER(SEARCH(_xlfn.CONCAT(CHAR(34),CHAR(39)),$J231))),_xlfn.CONCAT("* REVIEW REQUIRED: compound-quote delimiter in Notes on Sheet 1 row ",231,"; edit the input before running."),_xlfn.CONCAT("char ",TRIM($B231),"[doc_notes] ",CHAR(96),CHAR(34),SUBSTITUTE(SUBSTITUTE(SUBSTITUTE(SUBSTITUTE(SUBSTITUTE(SUBSTITUTE($J231,CHAR(13)," "),CHAR(10)," "),CHAR(9)," "),CHAR(92),_xlfn.CONCAT(CHAR(92),CHAR(92))),"$",_xlfn.CONCAT(CHAR(92),"$")),CHAR(96),_xlfn.CONCAT(CHAR(92),CHAR(96))),CHAR(34),CHAR(39))))</f>
        <v/>
      </c>
      <c r="U231" s="5">
        <f t="shared" si="7"/>
        <v>0</v>
      </c>
    </row>
    <row r="232" spans="3:21" ht="30" customHeight="1" x14ac:dyDescent="0.2">
      <c r="C232" s="4"/>
      <c r="K232" s="5">
        <f t="shared" si="6"/>
        <v>0</v>
      </c>
      <c r="L232" s="5" t="str">
        <f>IF(OR(TRIM($B232)="",$A232=""),"",IF(OR(ISNUMBER(SEARCH(_xlfn.CONCAT(CHAR(96),CHAR(34)),$A232)),ISNUMBER(SEARCH(_xlfn.CONCAT(CHAR(34),CHAR(39)),$A232))),_xlfn.CONCAT("* REVIEW REQUIRED: compound-quote delimiter in Codebook Section on Sheet 1 row ",232,"; edit the input before running."),_xlfn.CONCAT("char ",TRIM($B232),"[doc_section] ",CHAR(96),CHAR(34),SUBSTITUTE(SUBSTITUTE(SUBSTITUTE(SUBSTITUTE(SUBSTITUTE(SUBSTITUTE($A232,CHAR(13)," "),CHAR(10)," "),CHAR(9)," "),CHAR(92),_xlfn.CONCAT(CHAR(92),CHAR(92))),"$",_xlfn.CONCAT(CHAR(92),"$")),CHAR(96),_xlfn.CONCAT(CHAR(92),CHAR(96))),CHAR(34),CHAR(39))))</f>
        <v/>
      </c>
      <c r="M232" s="5" t="str">
        <f>IF(OR(TRIM($B232)="",$C232=""),"",IF(IFERROR(MATCH(TRIM($C232),{"Quantitative","Continuous","Discrete","Categorical","Nominal","Ordinal","Identifier"},0),0)=0,_xlfn.CONCAT("* REVIEW REQUIRED: invalid Variable Type on Sheet 1 row ",232,"."),_xlfn.CONCAT("char ",TRIM($B232),"[doc_vartype] ",CHAR(96),CHAR(34),SUBSTITUTE(SUBSTITUTE(SUBSTITUTE(SUBSTITUTE(SUBSTITUTE(SUBSTITUTE(LOWER(TRIM($C232)),CHAR(13)," "),CHAR(10)," "),CHAR(9)," "),CHAR(92),_xlfn.CONCAT(CHAR(92),CHAR(92))),"$",_xlfn.CONCAT(CHAR(92),"$")),CHAR(96),_xlfn.CONCAT(CHAR(92),CHAR(96))),CHAR(34),CHAR(39))))</f>
        <v/>
      </c>
      <c r="N232" s="5" t="str">
        <f>IF(OR(TRIM($B232)="",$D232=""),"",IF(OR(ISNUMBER(SEARCH(_xlfn.CONCAT(CHAR(96),CHAR(34)),$D232)),ISNUMBER(SEARCH(_xlfn.CONCAT(CHAR(34),CHAR(39)),$D232))),_xlfn.CONCAT("* REVIEW REQUIRED: compound-quote delimiter in Item Number on Sheet 1 row ",232,"; edit the input before running."),_xlfn.CONCAT("char ",TRIM($B232),"[doc_itemnum] ",CHAR(96),CHAR(34),SUBSTITUTE(SUBSTITUTE(SUBSTITUTE(SUBSTITUTE(SUBSTITUTE(SUBSTITUTE($D232,CHAR(13)," "),CHAR(10)," "),CHAR(9)," "),CHAR(92),_xlfn.CONCAT(CHAR(92),CHAR(92))),"$",_xlfn.CONCAT(CHAR(92),"$")),CHAR(96),_xlfn.CONCAT(CHAR(92),CHAR(96))),CHAR(34),CHAR(39))))</f>
        <v/>
      </c>
      <c r="O232" s="5" t="str">
        <f>IF(OR(TRIM($B232)="",$E232=""),"",IF(OR(ISNUMBER(SEARCH(_xlfn.CONCAT(CHAR(96),CHAR(34)),$E232)),ISNUMBER(SEARCH(_xlfn.CONCAT(CHAR(34),CHAR(39)),$E232))),_xlfn.CONCAT("* REVIEW REQUIRED: compound-quote delimiter in Question Wording on Sheet 1 row ",232,"; edit the input before running."),_xlfn.CONCAT("char ",TRIM($B232),"[doc_question] ",CHAR(96),CHAR(34),SUBSTITUTE(SUBSTITUTE(SUBSTITUTE(SUBSTITUTE(SUBSTITUTE(SUBSTITUTE($E232,CHAR(13)," "),CHAR(10)," "),CHAR(9)," "),CHAR(92),_xlfn.CONCAT(CHAR(92),CHAR(92))),"$",_xlfn.CONCAT(CHAR(92),"$")),CHAR(96),_xlfn.CONCAT(CHAR(92),CHAR(96))),CHAR(34),CHAR(39))))</f>
        <v/>
      </c>
      <c r="P232" s="5" t="str">
        <f>IF(OR(TRIM($B232)="",$F232=""),"",IF(OR(ISNUMBER(SEARCH(_xlfn.CONCAT(CHAR(96),CHAR(34)),$F232)),ISNUMBER(SEARCH(_xlfn.CONCAT(CHAR(34),CHAR(39)),$F232))),_xlfn.CONCAT("* REVIEW REQUIRED: compound-quote delimiter in Units on Sheet 1 row ",232,"; edit the input before running."),_xlfn.CONCAT("char ",TRIM($B232),"[doc_units] ",CHAR(96),CHAR(34),SUBSTITUTE(SUBSTITUTE(SUBSTITUTE(SUBSTITUTE(SUBSTITUTE(SUBSTITUTE($F232,CHAR(13)," "),CHAR(10)," "),CHAR(9)," "),CHAR(92),_xlfn.CONCAT(CHAR(92),CHAR(92))),"$",_xlfn.CONCAT(CHAR(92),"$")),CHAR(96),_xlfn.CONCAT(CHAR(92),CHAR(96))),CHAR(34),CHAR(39))))</f>
        <v/>
      </c>
      <c r="Q232" s="5" t="str">
        <f>IF(OR(TRIM($B232)="",$G232=""),"",IF(OR(ISNUMBER(SEARCH(_xlfn.CONCAT(CHAR(96),CHAR(34)),$G232)),ISNUMBER(SEARCH(_xlfn.CONCAT(CHAR(34),CHAR(39)),$G232))),_xlfn.CONCAT("* REVIEW REQUIRED: compound-quote delimiter in Universe on Sheet 1 row ",232,"; edit the input before running."),_xlfn.CONCAT("char ",TRIM($B232),"[doc_universe] ",CHAR(96),CHAR(34),SUBSTITUTE(SUBSTITUTE(SUBSTITUTE(SUBSTITUTE(SUBSTITUTE(SUBSTITUTE($G232,CHAR(13)," "),CHAR(10)," "),CHAR(9)," "),CHAR(92),_xlfn.CONCAT(CHAR(92),CHAR(92))),"$",_xlfn.CONCAT(CHAR(92),"$")),CHAR(96),_xlfn.CONCAT(CHAR(92),CHAR(96))),CHAR(34),CHAR(39))))</f>
        <v/>
      </c>
      <c r="R232" s="5" t="str">
        <f>IF(OR(TRIM($B232)="",$H232=""),"",IF(OR(ISNUMBER(SEARCH(_xlfn.CONCAT(CHAR(96),CHAR(34)),$H232)),ISNUMBER(SEARCH(_xlfn.CONCAT(CHAR(34),CHAR(39)),$H232))),_xlfn.CONCAT("* REVIEW REQUIRED: compound-quote delimiter in Source on Sheet 1 row ",232,"; edit the input before running."),_xlfn.CONCAT("char ",TRIM($B232),"[doc_source] ",CHAR(96),CHAR(34),SUBSTITUTE(SUBSTITUTE(SUBSTITUTE(SUBSTITUTE(SUBSTITUTE(SUBSTITUTE($H232,CHAR(13)," "),CHAR(10)," "),CHAR(9)," "),CHAR(92),_xlfn.CONCAT(CHAR(92),CHAR(92))),"$",_xlfn.CONCAT(CHAR(92),"$")),CHAR(96),_xlfn.CONCAT(CHAR(92),CHAR(96))),CHAR(34),CHAR(39))))</f>
        <v/>
      </c>
      <c r="S232" s="5" t="str">
        <f>IF(OR(TRIM($B232)="",$I232=""),"",IF(OR(ISNUMBER(SEARCH(_xlfn.CONCAT(CHAR(96),CHAR(34)),$I232)),ISNUMBER(SEARCH(_xlfn.CONCAT(CHAR(34),CHAR(39)),$I232))),_xlfn.CONCAT("* REVIEW REQUIRED: compound-quote delimiter in Derivation on Sheet 1 row ",232,"; edit the input before running."),_xlfn.CONCAT("char ",TRIM($B232),"[doc_derivation] ",CHAR(96),CHAR(34),SUBSTITUTE(SUBSTITUTE(SUBSTITUTE(SUBSTITUTE(SUBSTITUTE(SUBSTITUTE($I232,CHAR(13)," "),CHAR(10)," "),CHAR(9)," "),CHAR(92),_xlfn.CONCAT(CHAR(92),CHAR(92))),"$",_xlfn.CONCAT(CHAR(92),"$")),CHAR(96),_xlfn.CONCAT(CHAR(92),CHAR(96))),CHAR(34),CHAR(39))))</f>
        <v/>
      </c>
      <c r="T232" s="5" t="str">
        <f>IF(OR(TRIM($B232)="",$J232=""),"",IF(OR(ISNUMBER(SEARCH(_xlfn.CONCAT(CHAR(96),CHAR(34)),$J232)),ISNUMBER(SEARCH(_xlfn.CONCAT(CHAR(34),CHAR(39)),$J232))),_xlfn.CONCAT("* REVIEW REQUIRED: compound-quote delimiter in Notes on Sheet 1 row ",232,"; edit the input before running."),_xlfn.CONCAT("char ",TRIM($B232),"[doc_notes] ",CHAR(96),CHAR(34),SUBSTITUTE(SUBSTITUTE(SUBSTITUTE(SUBSTITUTE(SUBSTITUTE(SUBSTITUTE($J232,CHAR(13)," "),CHAR(10)," "),CHAR(9)," "),CHAR(92),_xlfn.CONCAT(CHAR(92),CHAR(92))),"$",_xlfn.CONCAT(CHAR(92),"$")),CHAR(96),_xlfn.CONCAT(CHAR(92),CHAR(96))),CHAR(34),CHAR(39))))</f>
        <v/>
      </c>
      <c r="U232" s="5">
        <f t="shared" si="7"/>
        <v>0</v>
      </c>
    </row>
    <row r="233" spans="3:21" ht="30" customHeight="1" x14ac:dyDescent="0.2">
      <c r="C233" s="4"/>
      <c r="K233" s="5">
        <f t="shared" si="6"/>
        <v>0</v>
      </c>
      <c r="L233" s="5" t="str">
        <f>IF(OR(TRIM($B233)="",$A233=""),"",IF(OR(ISNUMBER(SEARCH(_xlfn.CONCAT(CHAR(96),CHAR(34)),$A233)),ISNUMBER(SEARCH(_xlfn.CONCAT(CHAR(34),CHAR(39)),$A233))),_xlfn.CONCAT("* REVIEW REQUIRED: compound-quote delimiter in Codebook Section on Sheet 1 row ",233,"; edit the input before running."),_xlfn.CONCAT("char ",TRIM($B233),"[doc_section] ",CHAR(96),CHAR(34),SUBSTITUTE(SUBSTITUTE(SUBSTITUTE(SUBSTITUTE(SUBSTITUTE(SUBSTITUTE($A233,CHAR(13)," "),CHAR(10)," "),CHAR(9)," "),CHAR(92),_xlfn.CONCAT(CHAR(92),CHAR(92))),"$",_xlfn.CONCAT(CHAR(92),"$")),CHAR(96),_xlfn.CONCAT(CHAR(92),CHAR(96))),CHAR(34),CHAR(39))))</f>
        <v/>
      </c>
      <c r="M233" s="5" t="str">
        <f>IF(OR(TRIM($B233)="",$C233=""),"",IF(IFERROR(MATCH(TRIM($C233),{"Quantitative","Continuous","Discrete","Categorical","Nominal","Ordinal","Identifier"},0),0)=0,_xlfn.CONCAT("* REVIEW REQUIRED: invalid Variable Type on Sheet 1 row ",233,"."),_xlfn.CONCAT("char ",TRIM($B233),"[doc_vartype] ",CHAR(96),CHAR(34),SUBSTITUTE(SUBSTITUTE(SUBSTITUTE(SUBSTITUTE(SUBSTITUTE(SUBSTITUTE(LOWER(TRIM($C233)),CHAR(13)," "),CHAR(10)," "),CHAR(9)," "),CHAR(92),_xlfn.CONCAT(CHAR(92),CHAR(92))),"$",_xlfn.CONCAT(CHAR(92),"$")),CHAR(96),_xlfn.CONCAT(CHAR(92),CHAR(96))),CHAR(34),CHAR(39))))</f>
        <v/>
      </c>
      <c r="N233" s="5" t="str">
        <f>IF(OR(TRIM($B233)="",$D233=""),"",IF(OR(ISNUMBER(SEARCH(_xlfn.CONCAT(CHAR(96),CHAR(34)),$D233)),ISNUMBER(SEARCH(_xlfn.CONCAT(CHAR(34),CHAR(39)),$D233))),_xlfn.CONCAT("* REVIEW REQUIRED: compound-quote delimiter in Item Number on Sheet 1 row ",233,"; edit the input before running."),_xlfn.CONCAT("char ",TRIM($B233),"[doc_itemnum] ",CHAR(96),CHAR(34),SUBSTITUTE(SUBSTITUTE(SUBSTITUTE(SUBSTITUTE(SUBSTITUTE(SUBSTITUTE($D233,CHAR(13)," "),CHAR(10)," "),CHAR(9)," "),CHAR(92),_xlfn.CONCAT(CHAR(92),CHAR(92))),"$",_xlfn.CONCAT(CHAR(92),"$")),CHAR(96),_xlfn.CONCAT(CHAR(92),CHAR(96))),CHAR(34),CHAR(39))))</f>
        <v/>
      </c>
      <c r="O233" s="5" t="str">
        <f>IF(OR(TRIM($B233)="",$E233=""),"",IF(OR(ISNUMBER(SEARCH(_xlfn.CONCAT(CHAR(96),CHAR(34)),$E233)),ISNUMBER(SEARCH(_xlfn.CONCAT(CHAR(34),CHAR(39)),$E233))),_xlfn.CONCAT("* REVIEW REQUIRED: compound-quote delimiter in Question Wording on Sheet 1 row ",233,"; edit the input before running."),_xlfn.CONCAT("char ",TRIM($B233),"[doc_question] ",CHAR(96),CHAR(34),SUBSTITUTE(SUBSTITUTE(SUBSTITUTE(SUBSTITUTE(SUBSTITUTE(SUBSTITUTE($E233,CHAR(13)," "),CHAR(10)," "),CHAR(9)," "),CHAR(92),_xlfn.CONCAT(CHAR(92),CHAR(92))),"$",_xlfn.CONCAT(CHAR(92),"$")),CHAR(96),_xlfn.CONCAT(CHAR(92),CHAR(96))),CHAR(34),CHAR(39))))</f>
        <v/>
      </c>
      <c r="P233" s="5" t="str">
        <f>IF(OR(TRIM($B233)="",$F233=""),"",IF(OR(ISNUMBER(SEARCH(_xlfn.CONCAT(CHAR(96),CHAR(34)),$F233)),ISNUMBER(SEARCH(_xlfn.CONCAT(CHAR(34),CHAR(39)),$F233))),_xlfn.CONCAT("* REVIEW REQUIRED: compound-quote delimiter in Units on Sheet 1 row ",233,"; edit the input before running."),_xlfn.CONCAT("char ",TRIM($B233),"[doc_units] ",CHAR(96),CHAR(34),SUBSTITUTE(SUBSTITUTE(SUBSTITUTE(SUBSTITUTE(SUBSTITUTE(SUBSTITUTE($F233,CHAR(13)," "),CHAR(10)," "),CHAR(9)," "),CHAR(92),_xlfn.CONCAT(CHAR(92),CHAR(92))),"$",_xlfn.CONCAT(CHAR(92),"$")),CHAR(96),_xlfn.CONCAT(CHAR(92),CHAR(96))),CHAR(34),CHAR(39))))</f>
        <v/>
      </c>
      <c r="Q233" s="5" t="str">
        <f>IF(OR(TRIM($B233)="",$G233=""),"",IF(OR(ISNUMBER(SEARCH(_xlfn.CONCAT(CHAR(96),CHAR(34)),$G233)),ISNUMBER(SEARCH(_xlfn.CONCAT(CHAR(34),CHAR(39)),$G233))),_xlfn.CONCAT("* REVIEW REQUIRED: compound-quote delimiter in Universe on Sheet 1 row ",233,"; edit the input before running."),_xlfn.CONCAT("char ",TRIM($B233),"[doc_universe] ",CHAR(96),CHAR(34),SUBSTITUTE(SUBSTITUTE(SUBSTITUTE(SUBSTITUTE(SUBSTITUTE(SUBSTITUTE($G233,CHAR(13)," "),CHAR(10)," "),CHAR(9)," "),CHAR(92),_xlfn.CONCAT(CHAR(92),CHAR(92))),"$",_xlfn.CONCAT(CHAR(92),"$")),CHAR(96),_xlfn.CONCAT(CHAR(92),CHAR(96))),CHAR(34),CHAR(39))))</f>
        <v/>
      </c>
      <c r="R233" s="5" t="str">
        <f>IF(OR(TRIM($B233)="",$H233=""),"",IF(OR(ISNUMBER(SEARCH(_xlfn.CONCAT(CHAR(96),CHAR(34)),$H233)),ISNUMBER(SEARCH(_xlfn.CONCAT(CHAR(34),CHAR(39)),$H233))),_xlfn.CONCAT("* REVIEW REQUIRED: compound-quote delimiter in Source on Sheet 1 row ",233,"; edit the input before running."),_xlfn.CONCAT("char ",TRIM($B233),"[doc_source] ",CHAR(96),CHAR(34),SUBSTITUTE(SUBSTITUTE(SUBSTITUTE(SUBSTITUTE(SUBSTITUTE(SUBSTITUTE($H233,CHAR(13)," "),CHAR(10)," "),CHAR(9)," "),CHAR(92),_xlfn.CONCAT(CHAR(92),CHAR(92))),"$",_xlfn.CONCAT(CHAR(92),"$")),CHAR(96),_xlfn.CONCAT(CHAR(92),CHAR(96))),CHAR(34),CHAR(39))))</f>
        <v/>
      </c>
      <c r="S233" s="5" t="str">
        <f>IF(OR(TRIM($B233)="",$I233=""),"",IF(OR(ISNUMBER(SEARCH(_xlfn.CONCAT(CHAR(96),CHAR(34)),$I233)),ISNUMBER(SEARCH(_xlfn.CONCAT(CHAR(34),CHAR(39)),$I233))),_xlfn.CONCAT("* REVIEW REQUIRED: compound-quote delimiter in Derivation on Sheet 1 row ",233,"; edit the input before running."),_xlfn.CONCAT("char ",TRIM($B233),"[doc_derivation] ",CHAR(96),CHAR(34),SUBSTITUTE(SUBSTITUTE(SUBSTITUTE(SUBSTITUTE(SUBSTITUTE(SUBSTITUTE($I233,CHAR(13)," "),CHAR(10)," "),CHAR(9)," "),CHAR(92),_xlfn.CONCAT(CHAR(92),CHAR(92))),"$",_xlfn.CONCAT(CHAR(92),"$")),CHAR(96),_xlfn.CONCAT(CHAR(92),CHAR(96))),CHAR(34),CHAR(39))))</f>
        <v/>
      </c>
      <c r="T233" s="5" t="str">
        <f>IF(OR(TRIM($B233)="",$J233=""),"",IF(OR(ISNUMBER(SEARCH(_xlfn.CONCAT(CHAR(96),CHAR(34)),$J233)),ISNUMBER(SEARCH(_xlfn.CONCAT(CHAR(34),CHAR(39)),$J233))),_xlfn.CONCAT("* REVIEW REQUIRED: compound-quote delimiter in Notes on Sheet 1 row ",233,"; edit the input before running."),_xlfn.CONCAT("char ",TRIM($B233),"[doc_notes] ",CHAR(96),CHAR(34),SUBSTITUTE(SUBSTITUTE(SUBSTITUTE(SUBSTITUTE(SUBSTITUTE(SUBSTITUTE($J233,CHAR(13)," "),CHAR(10)," "),CHAR(9)," "),CHAR(92),_xlfn.CONCAT(CHAR(92),CHAR(92))),"$",_xlfn.CONCAT(CHAR(92),"$")),CHAR(96),_xlfn.CONCAT(CHAR(92),CHAR(96))),CHAR(34),CHAR(39))))</f>
        <v/>
      </c>
      <c r="U233" s="5">
        <f t="shared" si="7"/>
        <v>0</v>
      </c>
    </row>
    <row r="234" spans="3:21" ht="30" customHeight="1" x14ac:dyDescent="0.2">
      <c r="C234" s="4"/>
      <c r="K234" s="5">
        <f t="shared" si="6"/>
        <v>0</v>
      </c>
      <c r="L234" s="5" t="str">
        <f>IF(OR(TRIM($B234)="",$A234=""),"",IF(OR(ISNUMBER(SEARCH(_xlfn.CONCAT(CHAR(96),CHAR(34)),$A234)),ISNUMBER(SEARCH(_xlfn.CONCAT(CHAR(34),CHAR(39)),$A234))),_xlfn.CONCAT("* REVIEW REQUIRED: compound-quote delimiter in Codebook Section on Sheet 1 row ",234,"; edit the input before running."),_xlfn.CONCAT("char ",TRIM($B234),"[doc_section] ",CHAR(96),CHAR(34),SUBSTITUTE(SUBSTITUTE(SUBSTITUTE(SUBSTITUTE(SUBSTITUTE(SUBSTITUTE($A234,CHAR(13)," "),CHAR(10)," "),CHAR(9)," "),CHAR(92),_xlfn.CONCAT(CHAR(92),CHAR(92))),"$",_xlfn.CONCAT(CHAR(92),"$")),CHAR(96),_xlfn.CONCAT(CHAR(92),CHAR(96))),CHAR(34),CHAR(39))))</f>
        <v/>
      </c>
      <c r="M234" s="5" t="str">
        <f>IF(OR(TRIM($B234)="",$C234=""),"",IF(IFERROR(MATCH(TRIM($C234),{"Quantitative","Continuous","Discrete","Categorical","Nominal","Ordinal","Identifier"},0),0)=0,_xlfn.CONCAT("* REVIEW REQUIRED: invalid Variable Type on Sheet 1 row ",234,"."),_xlfn.CONCAT("char ",TRIM($B234),"[doc_vartype] ",CHAR(96),CHAR(34),SUBSTITUTE(SUBSTITUTE(SUBSTITUTE(SUBSTITUTE(SUBSTITUTE(SUBSTITUTE(LOWER(TRIM($C234)),CHAR(13)," "),CHAR(10)," "),CHAR(9)," "),CHAR(92),_xlfn.CONCAT(CHAR(92),CHAR(92))),"$",_xlfn.CONCAT(CHAR(92),"$")),CHAR(96),_xlfn.CONCAT(CHAR(92),CHAR(96))),CHAR(34),CHAR(39))))</f>
        <v/>
      </c>
      <c r="N234" s="5" t="str">
        <f>IF(OR(TRIM($B234)="",$D234=""),"",IF(OR(ISNUMBER(SEARCH(_xlfn.CONCAT(CHAR(96),CHAR(34)),$D234)),ISNUMBER(SEARCH(_xlfn.CONCAT(CHAR(34),CHAR(39)),$D234))),_xlfn.CONCAT("* REVIEW REQUIRED: compound-quote delimiter in Item Number on Sheet 1 row ",234,"; edit the input before running."),_xlfn.CONCAT("char ",TRIM($B234),"[doc_itemnum] ",CHAR(96),CHAR(34),SUBSTITUTE(SUBSTITUTE(SUBSTITUTE(SUBSTITUTE(SUBSTITUTE(SUBSTITUTE($D234,CHAR(13)," "),CHAR(10)," "),CHAR(9)," "),CHAR(92),_xlfn.CONCAT(CHAR(92),CHAR(92))),"$",_xlfn.CONCAT(CHAR(92),"$")),CHAR(96),_xlfn.CONCAT(CHAR(92),CHAR(96))),CHAR(34),CHAR(39))))</f>
        <v/>
      </c>
      <c r="O234" s="5" t="str">
        <f>IF(OR(TRIM($B234)="",$E234=""),"",IF(OR(ISNUMBER(SEARCH(_xlfn.CONCAT(CHAR(96),CHAR(34)),$E234)),ISNUMBER(SEARCH(_xlfn.CONCAT(CHAR(34),CHAR(39)),$E234))),_xlfn.CONCAT("* REVIEW REQUIRED: compound-quote delimiter in Question Wording on Sheet 1 row ",234,"; edit the input before running."),_xlfn.CONCAT("char ",TRIM($B234),"[doc_question] ",CHAR(96),CHAR(34),SUBSTITUTE(SUBSTITUTE(SUBSTITUTE(SUBSTITUTE(SUBSTITUTE(SUBSTITUTE($E234,CHAR(13)," "),CHAR(10)," "),CHAR(9)," "),CHAR(92),_xlfn.CONCAT(CHAR(92),CHAR(92))),"$",_xlfn.CONCAT(CHAR(92),"$")),CHAR(96),_xlfn.CONCAT(CHAR(92),CHAR(96))),CHAR(34),CHAR(39))))</f>
        <v/>
      </c>
      <c r="P234" s="5" t="str">
        <f>IF(OR(TRIM($B234)="",$F234=""),"",IF(OR(ISNUMBER(SEARCH(_xlfn.CONCAT(CHAR(96),CHAR(34)),$F234)),ISNUMBER(SEARCH(_xlfn.CONCAT(CHAR(34),CHAR(39)),$F234))),_xlfn.CONCAT("* REVIEW REQUIRED: compound-quote delimiter in Units on Sheet 1 row ",234,"; edit the input before running."),_xlfn.CONCAT("char ",TRIM($B234),"[doc_units] ",CHAR(96),CHAR(34),SUBSTITUTE(SUBSTITUTE(SUBSTITUTE(SUBSTITUTE(SUBSTITUTE(SUBSTITUTE($F234,CHAR(13)," "),CHAR(10)," "),CHAR(9)," "),CHAR(92),_xlfn.CONCAT(CHAR(92),CHAR(92))),"$",_xlfn.CONCAT(CHAR(92),"$")),CHAR(96),_xlfn.CONCAT(CHAR(92),CHAR(96))),CHAR(34),CHAR(39))))</f>
        <v/>
      </c>
      <c r="Q234" s="5" t="str">
        <f>IF(OR(TRIM($B234)="",$G234=""),"",IF(OR(ISNUMBER(SEARCH(_xlfn.CONCAT(CHAR(96),CHAR(34)),$G234)),ISNUMBER(SEARCH(_xlfn.CONCAT(CHAR(34),CHAR(39)),$G234))),_xlfn.CONCAT("* REVIEW REQUIRED: compound-quote delimiter in Universe on Sheet 1 row ",234,"; edit the input before running."),_xlfn.CONCAT("char ",TRIM($B234),"[doc_universe] ",CHAR(96),CHAR(34),SUBSTITUTE(SUBSTITUTE(SUBSTITUTE(SUBSTITUTE(SUBSTITUTE(SUBSTITUTE($G234,CHAR(13)," "),CHAR(10)," "),CHAR(9)," "),CHAR(92),_xlfn.CONCAT(CHAR(92),CHAR(92))),"$",_xlfn.CONCAT(CHAR(92),"$")),CHAR(96),_xlfn.CONCAT(CHAR(92),CHAR(96))),CHAR(34),CHAR(39))))</f>
        <v/>
      </c>
      <c r="R234" s="5" t="str">
        <f>IF(OR(TRIM($B234)="",$H234=""),"",IF(OR(ISNUMBER(SEARCH(_xlfn.CONCAT(CHAR(96),CHAR(34)),$H234)),ISNUMBER(SEARCH(_xlfn.CONCAT(CHAR(34),CHAR(39)),$H234))),_xlfn.CONCAT("* REVIEW REQUIRED: compound-quote delimiter in Source on Sheet 1 row ",234,"; edit the input before running."),_xlfn.CONCAT("char ",TRIM($B234),"[doc_source] ",CHAR(96),CHAR(34),SUBSTITUTE(SUBSTITUTE(SUBSTITUTE(SUBSTITUTE(SUBSTITUTE(SUBSTITUTE($H234,CHAR(13)," "),CHAR(10)," "),CHAR(9)," "),CHAR(92),_xlfn.CONCAT(CHAR(92),CHAR(92))),"$",_xlfn.CONCAT(CHAR(92),"$")),CHAR(96),_xlfn.CONCAT(CHAR(92),CHAR(96))),CHAR(34),CHAR(39))))</f>
        <v/>
      </c>
      <c r="S234" s="5" t="str">
        <f>IF(OR(TRIM($B234)="",$I234=""),"",IF(OR(ISNUMBER(SEARCH(_xlfn.CONCAT(CHAR(96),CHAR(34)),$I234)),ISNUMBER(SEARCH(_xlfn.CONCAT(CHAR(34),CHAR(39)),$I234))),_xlfn.CONCAT("* REVIEW REQUIRED: compound-quote delimiter in Derivation on Sheet 1 row ",234,"; edit the input before running."),_xlfn.CONCAT("char ",TRIM($B234),"[doc_derivation] ",CHAR(96),CHAR(34),SUBSTITUTE(SUBSTITUTE(SUBSTITUTE(SUBSTITUTE(SUBSTITUTE(SUBSTITUTE($I234,CHAR(13)," "),CHAR(10)," "),CHAR(9)," "),CHAR(92),_xlfn.CONCAT(CHAR(92),CHAR(92))),"$",_xlfn.CONCAT(CHAR(92),"$")),CHAR(96),_xlfn.CONCAT(CHAR(92),CHAR(96))),CHAR(34),CHAR(39))))</f>
        <v/>
      </c>
      <c r="T234" s="5" t="str">
        <f>IF(OR(TRIM($B234)="",$J234=""),"",IF(OR(ISNUMBER(SEARCH(_xlfn.CONCAT(CHAR(96),CHAR(34)),$J234)),ISNUMBER(SEARCH(_xlfn.CONCAT(CHAR(34),CHAR(39)),$J234))),_xlfn.CONCAT("* REVIEW REQUIRED: compound-quote delimiter in Notes on Sheet 1 row ",234,"; edit the input before running."),_xlfn.CONCAT("char ",TRIM($B234),"[doc_notes] ",CHAR(96),CHAR(34),SUBSTITUTE(SUBSTITUTE(SUBSTITUTE(SUBSTITUTE(SUBSTITUTE(SUBSTITUTE($J234,CHAR(13)," "),CHAR(10)," "),CHAR(9)," "),CHAR(92),_xlfn.CONCAT(CHAR(92),CHAR(92))),"$",_xlfn.CONCAT(CHAR(92),"$")),CHAR(96),_xlfn.CONCAT(CHAR(92),CHAR(96))),CHAR(34),CHAR(39))))</f>
        <v/>
      </c>
      <c r="U234" s="5">
        <f t="shared" si="7"/>
        <v>0</v>
      </c>
    </row>
    <row r="235" spans="3:21" ht="30" customHeight="1" x14ac:dyDescent="0.2">
      <c r="C235" s="4"/>
      <c r="K235" s="5">
        <f t="shared" si="6"/>
        <v>0</v>
      </c>
      <c r="L235" s="5" t="str">
        <f>IF(OR(TRIM($B235)="",$A235=""),"",IF(OR(ISNUMBER(SEARCH(_xlfn.CONCAT(CHAR(96),CHAR(34)),$A235)),ISNUMBER(SEARCH(_xlfn.CONCAT(CHAR(34),CHAR(39)),$A235))),_xlfn.CONCAT("* REVIEW REQUIRED: compound-quote delimiter in Codebook Section on Sheet 1 row ",235,"; edit the input before running."),_xlfn.CONCAT("char ",TRIM($B235),"[doc_section] ",CHAR(96),CHAR(34),SUBSTITUTE(SUBSTITUTE(SUBSTITUTE(SUBSTITUTE(SUBSTITUTE(SUBSTITUTE($A235,CHAR(13)," "),CHAR(10)," "),CHAR(9)," "),CHAR(92),_xlfn.CONCAT(CHAR(92),CHAR(92))),"$",_xlfn.CONCAT(CHAR(92),"$")),CHAR(96),_xlfn.CONCAT(CHAR(92),CHAR(96))),CHAR(34),CHAR(39))))</f>
        <v/>
      </c>
      <c r="M235" s="5" t="str">
        <f>IF(OR(TRIM($B235)="",$C235=""),"",IF(IFERROR(MATCH(TRIM($C235),{"Quantitative","Continuous","Discrete","Categorical","Nominal","Ordinal","Identifier"},0),0)=0,_xlfn.CONCAT("* REVIEW REQUIRED: invalid Variable Type on Sheet 1 row ",235,"."),_xlfn.CONCAT("char ",TRIM($B235),"[doc_vartype] ",CHAR(96),CHAR(34),SUBSTITUTE(SUBSTITUTE(SUBSTITUTE(SUBSTITUTE(SUBSTITUTE(SUBSTITUTE(LOWER(TRIM($C235)),CHAR(13)," "),CHAR(10)," "),CHAR(9)," "),CHAR(92),_xlfn.CONCAT(CHAR(92),CHAR(92))),"$",_xlfn.CONCAT(CHAR(92),"$")),CHAR(96),_xlfn.CONCAT(CHAR(92),CHAR(96))),CHAR(34),CHAR(39))))</f>
        <v/>
      </c>
      <c r="N235" s="5" t="str">
        <f>IF(OR(TRIM($B235)="",$D235=""),"",IF(OR(ISNUMBER(SEARCH(_xlfn.CONCAT(CHAR(96),CHAR(34)),$D235)),ISNUMBER(SEARCH(_xlfn.CONCAT(CHAR(34),CHAR(39)),$D235))),_xlfn.CONCAT("* REVIEW REQUIRED: compound-quote delimiter in Item Number on Sheet 1 row ",235,"; edit the input before running."),_xlfn.CONCAT("char ",TRIM($B235),"[doc_itemnum] ",CHAR(96),CHAR(34),SUBSTITUTE(SUBSTITUTE(SUBSTITUTE(SUBSTITUTE(SUBSTITUTE(SUBSTITUTE($D235,CHAR(13)," "),CHAR(10)," "),CHAR(9)," "),CHAR(92),_xlfn.CONCAT(CHAR(92),CHAR(92))),"$",_xlfn.CONCAT(CHAR(92),"$")),CHAR(96),_xlfn.CONCAT(CHAR(92),CHAR(96))),CHAR(34),CHAR(39))))</f>
        <v/>
      </c>
      <c r="O235" s="5" t="str">
        <f>IF(OR(TRIM($B235)="",$E235=""),"",IF(OR(ISNUMBER(SEARCH(_xlfn.CONCAT(CHAR(96),CHAR(34)),$E235)),ISNUMBER(SEARCH(_xlfn.CONCAT(CHAR(34),CHAR(39)),$E235))),_xlfn.CONCAT("* REVIEW REQUIRED: compound-quote delimiter in Question Wording on Sheet 1 row ",235,"; edit the input before running."),_xlfn.CONCAT("char ",TRIM($B235),"[doc_question] ",CHAR(96),CHAR(34),SUBSTITUTE(SUBSTITUTE(SUBSTITUTE(SUBSTITUTE(SUBSTITUTE(SUBSTITUTE($E235,CHAR(13)," "),CHAR(10)," "),CHAR(9)," "),CHAR(92),_xlfn.CONCAT(CHAR(92),CHAR(92))),"$",_xlfn.CONCAT(CHAR(92),"$")),CHAR(96),_xlfn.CONCAT(CHAR(92),CHAR(96))),CHAR(34),CHAR(39))))</f>
        <v/>
      </c>
      <c r="P235" s="5" t="str">
        <f>IF(OR(TRIM($B235)="",$F235=""),"",IF(OR(ISNUMBER(SEARCH(_xlfn.CONCAT(CHAR(96),CHAR(34)),$F235)),ISNUMBER(SEARCH(_xlfn.CONCAT(CHAR(34),CHAR(39)),$F235))),_xlfn.CONCAT("* REVIEW REQUIRED: compound-quote delimiter in Units on Sheet 1 row ",235,"; edit the input before running."),_xlfn.CONCAT("char ",TRIM($B235),"[doc_units] ",CHAR(96),CHAR(34),SUBSTITUTE(SUBSTITUTE(SUBSTITUTE(SUBSTITUTE(SUBSTITUTE(SUBSTITUTE($F235,CHAR(13)," "),CHAR(10)," "),CHAR(9)," "),CHAR(92),_xlfn.CONCAT(CHAR(92),CHAR(92))),"$",_xlfn.CONCAT(CHAR(92),"$")),CHAR(96),_xlfn.CONCAT(CHAR(92),CHAR(96))),CHAR(34),CHAR(39))))</f>
        <v/>
      </c>
      <c r="Q235" s="5" t="str">
        <f>IF(OR(TRIM($B235)="",$G235=""),"",IF(OR(ISNUMBER(SEARCH(_xlfn.CONCAT(CHAR(96),CHAR(34)),$G235)),ISNUMBER(SEARCH(_xlfn.CONCAT(CHAR(34),CHAR(39)),$G235))),_xlfn.CONCAT("* REVIEW REQUIRED: compound-quote delimiter in Universe on Sheet 1 row ",235,"; edit the input before running."),_xlfn.CONCAT("char ",TRIM($B235),"[doc_universe] ",CHAR(96),CHAR(34),SUBSTITUTE(SUBSTITUTE(SUBSTITUTE(SUBSTITUTE(SUBSTITUTE(SUBSTITUTE($G235,CHAR(13)," "),CHAR(10)," "),CHAR(9)," "),CHAR(92),_xlfn.CONCAT(CHAR(92),CHAR(92))),"$",_xlfn.CONCAT(CHAR(92),"$")),CHAR(96),_xlfn.CONCAT(CHAR(92),CHAR(96))),CHAR(34),CHAR(39))))</f>
        <v/>
      </c>
      <c r="R235" s="5" t="str">
        <f>IF(OR(TRIM($B235)="",$H235=""),"",IF(OR(ISNUMBER(SEARCH(_xlfn.CONCAT(CHAR(96),CHAR(34)),$H235)),ISNUMBER(SEARCH(_xlfn.CONCAT(CHAR(34),CHAR(39)),$H235))),_xlfn.CONCAT("* REVIEW REQUIRED: compound-quote delimiter in Source on Sheet 1 row ",235,"; edit the input before running."),_xlfn.CONCAT("char ",TRIM($B235),"[doc_source] ",CHAR(96),CHAR(34),SUBSTITUTE(SUBSTITUTE(SUBSTITUTE(SUBSTITUTE(SUBSTITUTE(SUBSTITUTE($H235,CHAR(13)," "),CHAR(10)," "),CHAR(9)," "),CHAR(92),_xlfn.CONCAT(CHAR(92),CHAR(92))),"$",_xlfn.CONCAT(CHAR(92),"$")),CHAR(96),_xlfn.CONCAT(CHAR(92),CHAR(96))),CHAR(34),CHAR(39))))</f>
        <v/>
      </c>
      <c r="S235" s="5" t="str">
        <f>IF(OR(TRIM($B235)="",$I235=""),"",IF(OR(ISNUMBER(SEARCH(_xlfn.CONCAT(CHAR(96),CHAR(34)),$I235)),ISNUMBER(SEARCH(_xlfn.CONCAT(CHAR(34),CHAR(39)),$I235))),_xlfn.CONCAT("* REVIEW REQUIRED: compound-quote delimiter in Derivation on Sheet 1 row ",235,"; edit the input before running."),_xlfn.CONCAT("char ",TRIM($B235),"[doc_derivation] ",CHAR(96),CHAR(34),SUBSTITUTE(SUBSTITUTE(SUBSTITUTE(SUBSTITUTE(SUBSTITUTE(SUBSTITUTE($I235,CHAR(13)," "),CHAR(10)," "),CHAR(9)," "),CHAR(92),_xlfn.CONCAT(CHAR(92),CHAR(92))),"$",_xlfn.CONCAT(CHAR(92),"$")),CHAR(96),_xlfn.CONCAT(CHAR(92),CHAR(96))),CHAR(34),CHAR(39))))</f>
        <v/>
      </c>
      <c r="T235" s="5" t="str">
        <f>IF(OR(TRIM($B235)="",$J235=""),"",IF(OR(ISNUMBER(SEARCH(_xlfn.CONCAT(CHAR(96),CHAR(34)),$J235)),ISNUMBER(SEARCH(_xlfn.CONCAT(CHAR(34),CHAR(39)),$J235))),_xlfn.CONCAT("* REVIEW REQUIRED: compound-quote delimiter in Notes on Sheet 1 row ",235,"; edit the input before running."),_xlfn.CONCAT("char ",TRIM($B235),"[doc_notes] ",CHAR(96),CHAR(34),SUBSTITUTE(SUBSTITUTE(SUBSTITUTE(SUBSTITUTE(SUBSTITUTE(SUBSTITUTE($J235,CHAR(13)," "),CHAR(10)," "),CHAR(9)," "),CHAR(92),_xlfn.CONCAT(CHAR(92),CHAR(92))),"$",_xlfn.CONCAT(CHAR(92),"$")),CHAR(96),_xlfn.CONCAT(CHAR(92),CHAR(96))),CHAR(34),CHAR(39))))</f>
        <v/>
      </c>
      <c r="U235" s="5">
        <f t="shared" si="7"/>
        <v>0</v>
      </c>
    </row>
    <row r="236" spans="3:21" ht="30" customHeight="1" x14ac:dyDescent="0.2">
      <c r="C236" s="4"/>
      <c r="K236" s="5">
        <f t="shared" si="6"/>
        <v>0</v>
      </c>
      <c r="L236" s="5" t="str">
        <f>IF(OR(TRIM($B236)="",$A236=""),"",IF(OR(ISNUMBER(SEARCH(_xlfn.CONCAT(CHAR(96),CHAR(34)),$A236)),ISNUMBER(SEARCH(_xlfn.CONCAT(CHAR(34),CHAR(39)),$A236))),_xlfn.CONCAT("* REVIEW REQUIRED: compound-quote delimiter in Codebook Section on Sheet 1 row ",236,"; edit the input before running."),_xlfn.CONCAT("char ",TRIM($B236),"[doc_section] ",CHAR(96),CHAR(34),SUBSTITUTE(SUBSTITUTE(SUBSTITUTE(SUBSTITUTE(SUBSTITUTE(SUBSTITUTE($A236,CHAR(13)," "),CHAR(10)," "),CHAR(9)," "),CHAR(92),_xlfn.CONCAT(CHAR(92),CHAR(92))),"$",_xlfn.CONCAT(CHAR(92),"$")),CHAR(96),_xlfn.CONCAT(CHAR(92),CHAR(96))),CHAR(34),CHAR(39))))</f>
        <v/>
      </c>
      <c r="M236" s="5" t="str">
        <f>IF(OR(TRIM($B236)="",$C236=""),"",IF(IFERROR(MATCH(TRIM($C236),{"Quantitative","Continuous","Discrete","Categorical","Nominal","Ordinal","Identifier"},0),0)=0,_xlfn.CONCAT("* REVIEW REQUIRED: invalid Variable Type on Sheet 1 row ",236,"."),_xlfn.CONCAT("char ",TRIM($B236),"[doc_vartype] ",CHAR(96),CHAR(34),SUBSTITUTE(SUBSTITUTE(SUBSTITUTE(SUBSTITUTE(SUBSTITUTE(SUBSTITUTE(LOWER(TRIM($C236)),CHAR(13)," "),CHAR(10)," "),CHAR(9)," "),CHAR(92),_xlfn.CONCAT(CHAR(92),CHAR(92))),"$",_xlfn.CONCAT(CHAR(92),"$")),CHAR(96),_xlfn.CONCAT(CHAR(92),CHAR(96))),CHAR(34),CHAR(39))))</f>
        <v/>
      </c>
      <c r="N236" s="5" t="str">
        <f>IF(OR(TRIM($B236)="",$D236=""),"",IF(OR(ISNUMBER(SEARCH(_xlfn.CONCAT(CHAR(96),CHAR(34)),$D236)),ISNUMBER(SEARCH(_xlfn.CONCAT(CHAR(34),CHAR(39)),$D236))),_xlfn.CONCAT("* REVIEW REQUIRED: compound-quote delimiter in Item Number on Sheet 1 row ",236,"; edit the input before running."),_xlfn.CONCAT("char ",TRIM($B236),"[doc_itemnum] ",CHAR(96),CHAR(34),SUBSTITUTE(SUBSTITUTE(SUBSTITUTE(SUBSTITUTE(SUBSTITUTE(SUBSTITUTE($D236,CHAR(13)," "),CHAR(10)," "),CHAR(9)," "),CHAR(92),_xlfn.CONCAT(CHAR(92),CHAR(92))),"$",_xlfn.CONCAT(CHAR(92),"$")),CHAR(96),_xlfn.CONCAT(CHAR(92),CHAR(96))),CHAR(34),CHAR(39))))</f>
        <v/>
      </c>
      <c r="O236" s="5" t="str">
        <f>IF(OR(TRIM($B236)="",$E236=""),"",IF(OR(ISNUMBER(SEARCH(_xlfn.CONCAT(CHAR(96),CHAR(34)),$E236)),ISNUMBER(SEARCH(_xlfn.CONCAT(CHAR(34),CHAR(39)),$E236))),_xlfn.CONCAT("* REVIEW REQUIRED: compound-quote delimiter in Question Wording on Sheet 1 row ",236,"; edit the input before running."),_xlfn.CONCAT("char ",TRIM($B236),"[doc_question] ",CHAR(96),CHAR(34),SUBSTITUTE(SUBSTITUTE(SUBSTITUTE(SUBSTITUTE(SUBSTITUTE(SUBSTITUTE($E236,CHAR(13)," "),CHAR(10)," "),CHAR(9)," "),CHAR(92),_xlfn.CONCAT(CHAR(92),CHAR(92))),"$",_xlfn.CONCAT(CHAR(92),"$")),CHAR(96),_xlfn.CONCAT(CHAR(92),CHAR(96))),CHAR(34),CHAR(39))))</f>
        <v/>
      </c>
      <c r="P236" s="5" t="str">
        <f>IF(OR(TRIM($B236)="",$F236=""),"",IF(OR(ISNUMBER(SEARCH(_xlfn.CONCAT(CHAR(96),CHAR(34)),$F236)),ISNUMBER(SEARCH(_xlfn.CONCAT(CHAR(34),CHAR(39)),$F236))),_xlfn.CONCAT("* REVIEW REQUIRED: compound-quote delimiter in Units on Sheet 1 row ",236,"; edit the input before running."),_xlfn.CONCAT("char ",TRIM($B236),"[doc_units] ",CHAR(96),CHAR(34),SUBSTITUTE(SUBSTITUTE(SUBSTITUTE(SUBSTITUTE(SUBSTITUTE(SUBSTITUTE($F236,CHAR(13)," "),CHAR(10)," "),CHAR(9)," "),CHAR(92),_xlfn.CONCAT(CHAR(92),CHAR(92))),"$",_xlfn.CONCAT(CHAR(92),"$")),CHAR(96),_xlfn.CONCAT(CHAR(92),CHAR(96))),CHAR(34),CHAR(39))))</f>
        <v/>
      </c>
      <c r="Q236" s="5" t="str">
        <f>IF(OR(TRIM($B236)="",$G236=""),"",IF(OR(ISNUMBER(SEARCH(_xlfn.CONCAT(CHAR(96),CHAR(34)),$G236)),ISNUMBER(SEARCH(_xlfn.CONCAT(CHAR(34),CHAR(39)),$G236))),_xlfn.CONCAT("* REVIEW REQUIRED: compound-quote delimiter in Universe on Sheet 1 row ",236,"; edit the input before running."),_xlfn.CONCAT("char ",TRIM($B236),"[doc_universe] ",CHAR(96),CHAR(34),SUBSTITUTE(SUBSTITUTE(SUBSTITUTE(SUBSTITUTE(SUBSTITUTE(SUBSTITUTE($G236,CHAR(13)," "),CHAR(10)," "),CHAR(9)," "),CHAR(92),_xlfn.CONCAT(CHAR(92),CHAR(92))),"$",_xlfn.CONCAT(CHAR(92),"$")),CHAR(96),_xlfn.CONCAT(CHAR(92),CHAR(96))),CHAR(34),CHAR(39))))</f>
        <v/>
      </c>
      <c r="R236" s="5" t="str">
        <f>IF(OR(TRIM($B236)="",$H236=""),"",IF(OR(ISNUMBER(SEARCH(_xlfn.CONCAT(CHAR(96),CHAR(34)),$H236)),ISNUMBER(SEARCH(_xlfn.CONCAT(CHAR(34),CHAR(39)),$H236))),_xlfn.CONCAT("* REVIEW REQUIRED: compound-quote delimiter in Source on Sheet 1 row ",236,"; edit the input before running."),_xlfn.CONCAT("char ",TRIM($B236),"[doc_source] ",CHAR(96),CHAR(34),SUBSTITUTE(SUBSTITUTE(SUBSTITUTE(SUBSTITUTE(SUBSTITUTE(SUBSTITUTE($H236,CHAR(13)," "),CHAR(10)," "),CHAR(9)," "),CHAR(92),_xlfn.CONCAT(CHAR(92),CHAR(92))),"$",_xlfn.CONCAT(CHAR(92),"$")),CHAR(96),_xlfn.CONCAT(CHAR(92),CHAR(96))),CHAR(34),CHAR(39))))</f>
        <v/>
      </c>
      <c r="S236" s="5" t="str">
        <f>IF(OR(TRIM($B236)="",$I236=""),"",IF(OR(ISNUMBER(SEARCH(_xlfn.CONCAT(CHAR(96),CHAR(34)),$I236)),ISNUMBER(SEARCH(_xlfn.CONCAT(CHAR(34),CHAR(39)),$I236))),_xlfn.CONCAT("* REVIEW REQUIRED: compound-quote delimiter in Derivation on Sheet 1 row ",236,"; edit the input before running."),_xlfn.CONCAT("char ",TRIM($B236),"[doc_derivation] ",CHAR(96),CHAR(34),SUBSTITUTE(SUBSTITUTE(SUBSTITUTE(SUBSTITUTE(SUBSTITUTE(SUBSTITUTE($I236,CHAR(13)," "),CHAR(10)," "),CHAR(9)," "),CHAR(92),_xlfn.CONCAT(CHAR(92),CHAR(92))),"$",_xlfn.CONCAT(CHAR(92),"$")),CHAR(96),_xlfn.CONCAT(CHAR(92),CHAR(96))),CHAR(34),CHAR(39))))</f>
        <v/>
      </c>
      <c r="T236" s="5" t="str">
        <f>IF(OR(TRIM($B236)="",$J236=""),"",IF(OR(ISNUMBER(SEARCH(_xlfn.CONCAT(CHAR(96),CHAR(34)),$J236)),ISNUMBER(SEARCH(_xlfn.CONCAT(CHAR(34),CHAR(39)),$J236))),_xlfn.CONCAT("* REVIEW REQUIRED: compound-quote delimiter in Notes on Sheet 1 row ",236,"; edit the input before running."),_xlfn.CONCAT("char ",TRIM($B236),"[doc_notes] ",CHAR(96),CHAR(34),SUBSTITUTE(SUBSTITUTE(SUBSTITUTE(SUBSTITUTE(SUBSTITUTE(SUBSTITUTE($J236,CHAR(13)," "),CHAR(10)," "),CHAR(9)," "),CHAR(92),_xlfn.CONCAT(CHAR(92),CHAR(92))),"$",_xlfn.CONCAT(CHAR(92),"$")),CHAR(96),_xlfn.CONCAT(CHAR(92),CHAR(96))),CHAR(34),CHAR(39))))</f>
        <v/>
      </c>
      <c r="U236" s="5">
        <f t="shared" si="7"/>
        <v>0</v>
      </c>
    </row>
    <row r="237" spans="3:21" ht="30" customHeight="1" x14ac:dyDescent="0.2">
      <c r="C237" s="4"/>
      <c r="K237" s="5">
        <f t="shared" si="6"/>
        <v>0</v>
      </c>
      <c r="L237" s="5" t="str">
        <f>IF(OR(TRIM($B237)="",$A237=""),"",IF(OR(ISNUMBER(SEARCH(_xlfn.CONCAT(CHAR(96),CHAR(34)),$A237)),ISNUMBER(SEARCH(_xlfn.CONCAT(CHAR(34),CHAR(39)),$A237))),_xlfn.CONCAT("* REVIEW REQUIRED: compound-quote delimiter in Codebook Section on Sheet 1 row ",237,"; edit the input before running."),_xlfn.CONCAT("char ",TRIM($B237),"[doc_section] ",CHAR(96),CHAR(34),SUBSTITUTE(SUBSTITUTE(SUBSTITUTE(SUBSTITUTE(SUBSTITUTE(SUBSTITUTE($A237,CHAR(13)," "),CHAR(10)," "),CHAR(9)," "),CHAR(92),_xlfn.CONCAT(CHAR(92),CHAR(92))),"$",_xlfn.CONCAT(CHAR(92),"$")),CHAR(96),_xlfn.CONCAT(CHAR(92),CHAR(96))),CHAR(34),CHAR(39))))</f>
        <v/>
      </c>
      <c r="M237" s="5" t="str">
        <f>IF(OR(TRIM($B237)="",$C237=""),"",IF(IFERROR(MATCH(TRIM($C237),{"Quantitative","Continuous","Discrete","Categorical","Nominal","Ordinal","Identifier"},0),0)=0,_xlfn.CONCAT("* REVIEW REQUIRED: invalid Variable Type on Sheet 1 row ",237,"."),_xlfn.CONCAT("char ",TRIM($B237),"[doc_vartype] ",CHAR(96),CHAR(34),SUBSTITUTE(SUBSTITUTE(SUBSTITUTE(SUBSTITUTE(SUBSTITUTE(SUBSTITUTE(LOWER(TRIM($C237)),CHAR(13)," "),CHAR(10)," "),CHAR(9)," "),CHAR(92),_xlfn.CONCAT(CHAR(92),CHAR(92))),"$",_xlfn.CONCAT(CHAR(92),"$")),CHAR(96),_xlfn.CONCAT(CHAR(92),CHAR(96))),CHAR(34),CHAR(39))))</f>
        <v/>
      </c>
      <c r="N237" s="5" t="str">
        <f>IF(OR(TRIM($B237)="",$D237=""),"",IF(OR(ISNUMBER(SEARCH(_xlfn.CONCAT(CHAR(96),CHAR(34)),$D237)),ISNUMBER(SEARCH(_xlfn.CONCAT(CHAR(34),CHAR(39)),$D237))),_xlfn.CONCAT("* REVIEW REQUIRED: compound-quote delimiter in Item Number on Sheet 1 row ",237,"; edit the input before running."),_xlfn.CONCAT("char ",TRIM($B237),"[doc_itemnum] ",CHAR(96),CHAR(34),SUBSTITUTE(SUBSTITUTE(SUBSTITUTE(SUBSTITUTE(SUBSTITUTE(SUBSTITUTE($D237,CHAR(13)," "),CHAR(10)," "),CHAR(9)," "),CHAR(92),_xlfn.CONCAT(CHAR(92),CHAR(92))),"$",_xlfn.CONCAT(CHAR(92),"$")),CHAR(96),_xlfn.CONCAT(CHAR(92),CHAR(96))),CHAR(34),CHAR(39))))</f>
        <v/>
      </c>
      <c r="O237" s="5" t="str">
        <f>IF(OR(TRIM($B237)="",$E237=""),"",IF(OR(ISNUMBER(SEARCH(_xlfn.CONCAT(CHAR(96),CHAR(34)),$E237)),ISNUMBER(SEARCH(_xlfn.CONCAT(CHAR(34),CHAR(39)),$E237))),_xlfn.CONCAT("* REVIEW REQUIRED: compound-quote delimiter in Question Wording on Sheet 1 row ",237,"; edit the input before running."),_xlfn.CONCAT("char ",TRIM($B237),"[doc_question] ",CHAR(96),CHAR(34),SUBSTITUTE(SUBSTITUTE(SUBSTITUTE(SUBSTITUTE(SUBSTITUTE(SUBSTITUTE($E237,CHAR(13)," "),CHAR(10)," "),CHAR(9)," "),CHAR(92),_xlfn.CONCAT(CHAR(92),CHAR(92))),"$",_xlfn.CONCAT(CHAR(92),"$")),CHAR(96),_xlfn.CONCAT(CHAR(92),CHAR(96))),CHAR(34),CHAR(39))))</f>
        <v/>
      </c>
      <c r="P237" s="5" t="str">
        <f>IF(OR(TRIM($B237)="",$F237=""),"",IF(OR(ISNUMBER(SEARCH(_xlfn.CONCAT(CHAR(96),CHAR(34)),$F237)),ISNUMBER(SEARCH(_xlfn.CONCAT(CHAR(34),CHAR(39)),$F237))),_xlfn.CONCAT("* REVIEW REQUIRED: compound-quote delimiter in Units on Sheet 1 row ",237,"; edit the input before running."),_xlfn.CONCAT("char ",TRIM($B237),"[doc_units] ",CHAR(96),CHAR(34),SUBSTITUTE(SUBSTITUTE(SUBSTITUTE(SUBSTITUTE(SUBSTITUTE(SUBSTITUTE($F237,CHAR(13)," "),CHAR(10)," "),CHAR(9)," "),CHAR(92),_xlfn.CONCAT(CHAR(92),CHAR(92))),"$",_xlfn.CONCAT(CHAR(92),"$")),CHAR(96),_xlfn.CONCAT(CHAR(92),CHAR(96))),CHAR(34),CHAR(39))))</f>
        <v/>
      </c>
      <c r="Q237" s="5" t="str">
        <f>IF(OR(TRIM($B237)="",$G237=""),"",IF(OR(ISNUMBER(SEARCH(_xlfn.CONCAT(CHAR(96),CHAR(34)),$G237)),ISNUMBER(SEARCH(_xlfn.CONCAT(CHAR(34),CHAR(39)),$G237))),_xlfn.CONCAT("* REVIEW REQUIRED: compound-quote delimiter in Universe on Sheet 1 row ",237,"; edit the input before running."),_xlfn.CONCAT("char ",TRIM($B237),"[doc_universe] ",CHAR(96),CHAR(34),SUBSTITUTE(SUBSTITUTE(SUBSTITUTE(SUBSTITUTE(SUBSTITUTE(SUBSTITUTE($G237,CHAR(13)," "),CHAR(10)," "),CHAR(9)," "),CHAR(92),_xlfn.CONCAT(CHAR(92),CHAR(92))),"$",_xlfn.CONCAT(CHAR(92),"$")),CHAR(96),_xlfn.CONCAT(CHAR(92),CHAR(96))),CHAR(34),CHAR(39))))</f>
        <v/>
      </c>
      <c r="R237" s="5" t="str">
        <f>IF(OR(TRIM($B237)="",$H237=""),"",IF(OR(ISNUMBER(SEARCH(_xlfn.CONCAT(CHAR(96),CHAR(34)),$H237)),ISNUMBER(SEARCH(_xlfn.CONCAT(CHAR(34),CHAR(39)),$H237))),_xlfn.CONCAT("* REVIEW REQUIRED: compound-quote delimiter in Source on Sheet 1 row ",237,"; edit the input before running."),_xlfn.CONCAT("char ",TRIM($B237),"[doc_source] ",CHAR(96),CHAR(34),SUBSTITUTE(SUBSTITUTE(SUBSTITUTE(SUBSTITUTE(SUBSTITUTE(SUBSTITUTE($H237,CHAR(13)," "),CHAR(10)," "),CHAR(9)," "),CHAR(92),_xlfn.CONCAT(CHAR(92),CHAR(92))),"$",_xlfn.CONCAT(CHAR(92),"$")),CHAR(96),_xlfn.CONCAT(CHAR(92),CHAR(96))),CHAR(34),CHAR(39))))</f>
        <v/>
      </c>
      <c r="S237" s="5" t="str">
        <f>IF(OR(TRIM($B237)="",$I237=""),"",IF(OR(ISNUMBER(SEARCH(_xlfn.CONCAT(CHAR(96),CHAR(34)),$I237)),ISNUMBER(SEARCH(_xlfn.CONCAT(CHAR(34),CHAR(39)),$I237))),_xlfn.CONCAT("* REVIEW REQUIRED: compound-quote delimiter in Derivation on Sheet 1 row ",237,"; edit the input before running."),_xlfn.CONCAT("char ",TRIM($B237),"[doc_derivation] ",CHAR(96),CHAR(34),SUBSTITUTE(SUBSTITUTE(SUBSTITUTE(SUBSTITUTE(SUBSTITUTE(SUBSTITUTE($I237,CHAR(13)," "),CHAR(10)," "),CHAR(9)," "),CHAR(92),_xlfn.CONCAT(CHAR(92),CHAR(92))),"$",_xlfn.CONCAT(CHAR(92),"$")),CHAR(96),_xlfn.CONCAT(CHAR(92),CHAR(96))),CHAR(34),CHAR(39))))</f>
        <v/>
      </c>
      <c r="T237" s="5" t="str">
        <f>IF(OR(TRIM($B237)="",$J237=""),"",IF(OR(ISNUMBER(SEARCH(_xlfn.CONCAT(CHAR(96),CHAR(34)),$J237)),ISNUMBER(SEARCH(_xlfn.CONCAT(CHAR(34),CHAR(39)),$J237))),_xlfn.CONCAT("* REVIEW REQUIRED: compound-quote delimiter in Notes on Sheet 1 row ",237,"; edit the input before running."),_xlfn.CONCAT("char ",TRIM($B237),"[doc_notes] ",CHAR(96),CHAR(34),SUBSTITUTE(SUBSTITUTE(SUBSTITUTE(SUBSTITUTE(SUBSTITUTE(SUBSTITUTE($J237,CHAR(13)," "),CHAR(10)," "),CHAR(9)," "),CHAR(92),_xlfn.CONCAT(CHAR(92),CHAR(92))),"$",_xlfn.CONCAT(CHAR(92),"$")),CHAR(96),_xlfn.CONCAT(CHAR(92),CHAR(96))),CHAR(34),CHAR(39))))</f>
        <v/>
      </c>
      <c r="U237" s="5">
        <f t="shared" si="7"/>
        <v>0</v>
      </c>
    </row>
    <row r="238" spans="3:21" ht="30" customHeight="1" x14ac:dyDescent="0.2">
      <c r="C238" s="4"/>
      <c r="K238" s="5">
        <f t="shared" si="6"/>
        <v>0</v>
      </c>
      <c r="L238" s="5" t="str">
        <f>IF(OR(TRIM($B238)="",$A238=""),"",IF(OR(ISNUMBER(SEARCH(_xlfn.CONCAT(CHAR(96),CHAR(34)),$A238)),ISNUMBER(SEARCH(_xlfn.CONCAT(CHAR(34),CHAR(39)),$A238))),_xlfn.CONCAT("* REVIEW REQUIRED: compound-quote delimiter in Codebook Section on Sheet 1 row ",238,"; edit the input before running."),_xlfn.CONCAT("char ",TRIM($B238),"[doc_section] ",CHAR(96),CHAR(34),SUBSTITUTE(SUBSTITUTE(SUBSTITUTE(SUBSTITUTE(SUBSTITUTE(SUBSTITUTE($A238,CHAR(13)," "),CHAR(10)," "),CHAR(9)," "),CHAR(92),_xlfn.CONCAT(CHAR(92),CHAR(92))),"$",_xlfn.CONCAT(CHAR(92),"$")),CHAR(96),_xlfn.CONCAT(CHAR(92),CHAR(96))),CHAR(34),CHAR(39))))</f>
        <v/>
      </c>
      <c r="M238" s="5" t="str">
        <f>IF(OR(TRIM($B238)="",$C238=""),"",IF(IFERROR(MATCH(TRIM($C238),{"Quantitative","Continuous","Discrete","Categorical","Nominal","Ordinal","Identifier"},0),0)=0,_xlfn.CONCAT("* REVIEW REQUIRED: invalid Variable Type on Sheet 1 row ",238,"."),_xlfn.CONCAT("char ",TRIM($B238),"[doc_vartype] ",CHAR(96),CHAR(34),SUBSTITUTE(SUBSTITUTE(SUBSTITUTE(SUBSTITUTE(SUBSTITUTE(SUBSTITUTE(LOWER(TRIM($C238)),CHAR(13)," "),CHAR(10)," "),CHAR(9)," "),CHAR(92),_xlfn.CONCAT(CHAR(92),CHAR(92))),"$",_xlfn.CONCAT(CHAR(92),"$")),CHAR(96),_xlfn.CONCAT(CHAR(92),CHAR(96))),CHAR(34),CHAR(39))))</f>
        <v/>
      </c>
      <c r="N238" s="5" t="str">
        <f>IF(OR(TRIM($B238)="",$D238=""),"",IF(OR(ISNUMBER(SEARCH(_xlfn.CONCAT(CHAR(96),CHAR(34)),$D238)),ISNUMBER(SEARCH(_xlfn.CONCAT(CHAR(34),CHAR(39)),$D238))),_xlfn.CONCAT("* REVIEW REQUIRED: compound-quote delimiter in Item Number on Sheet 1 row ",238,"; edit the input before running."),_xlfn.CONCAT("char ",TRIM($B238),"[doc_itemnum] ",CHAR(96),CHAR(34),SUBSTITUTE(SUBSTITUTE(SUBSTITUTE(SUBSTITUTE(SUBSTITUTE(SUBSTITUTE($D238,CHAR(13)," "),CHAR(10)," "),CHAR(9)," "),CHAR(92),_xlfn.CONCAT(CHAR(92),CHAR(92))),"$",_xlfn.CONCAT(CHAR(92),"$")),CHAR(96),_xlfn.CONCAT(CHAR(92),CHAR(96))),CHAR(34),CHAR(39))))</f>
        <v/>
      </c>
      <c r="O238" s="5" t="str">
        <f>IF(OR(TRIM($B238)="",$E238=""),"",IF(OR(ISNUMBER(SEARCH(_xlfn.CONCAT(CHAR(96),CHAR(34)),$E238)),ISNUMBER(SEARCH(_xlfn.CONCAT(CHAR(34),CHAR(39)),$E238))),_xlfn.CONCAT("* REVIEW REQUIRED: compound-quote delimiter in Question Wording on Sheet 1 row ",238,"; edit the input before running."),_xlfn.CONCAT("char ",TRIM($B238),"[doc_question] ",CHAR(96),CHAR(34),SUBSTITUTE(SUBSTITUTE(SUBSTITUTE(SUBSTITUTE(SUBSTITUTE(SUBSTITUTE($E238,CHAR(13)," "),CHAR(10)," "),CHAR(9)," "),CHAR(92),_xlfn.CONCAT(CHAR(92),CHAR(92))),"$",_xlfn.CONCAT(CHAR(92),"$")),CHAR(96),_xlfn.CONCAT(CHAR(92),CHAR(96))),CHAR(34),CHAR(39))))</f>
        <v/>
      </c>
      <c r="P238" s="5" t="str">
        <f>IF(OR(TRIM($B238)="",$F238=""),"",IF(OR(ISNUMBER(SEARCH(_xlfn.CONCAT(CHAR(96),CHAR(34)),$F238)),ISNUMBER(SEARCH(_xlfn.CONCAT(CHAR(34),CHAR(39)),$F238))),_xlfn.CONCAT("* REVIEW REQUIRED: compound-quote delimiter in Units on Sheet 1 row ",238,"; edit the input before running."),_xlfn.CONCAT("char ",TRIM($B238),"[doc_units] ",CHAR(96),CHAR(34),SUBSTITUTE(SUBSTITUTE(SUBSTITUTE(SUBSTITUTE(SUBSTITUTE(SUBSTITUTE($F238,CHAR(13)," "),CHAR(10)," "),CHAR(9)," "),CHAR(92),_xlfn.CONCAT(CHAR(92),CHAR(92))),"$",_xlfn.CONCAT(CHAR(92),"$")),CHAR(96),_xlfn.CONCAT(CHAR(92),CHAR(96))),CHAR(34),CHAR(39))))</f>
        <v/>
      </c>
      <c r="Q238" s="5" t="str">
        <f>IF(OR(TRIM($B238)="",$G238=""),"",IF(OR(ISNUMBER(SEARCH(_xlfn.CONCAT(CHAR(96),CHAR(34)),$G238)),ISNUMBER(SEARCH(_xlfn.CONCAT(CHAR(34),CHAR(39)),$G238))),_xlfn.CONCAT("* REVIEW REQUIRED: compound-quote delimiter in Universe on Sheet 1 row ",238,"; edit the input before running."),_xlfn.CONCAT("char ",TRIM($B238),"[doc_universe] ",CHAR(96),CHAR(34),SUBSTITUTE(SUBSTITUTE(SUBSTITUTE(SUBSTITUTE(SUBSTITUTE(SUBSTITUTE($G238,CHAR(13)," "),CHAR(10)," "),CHAR(9)," "),CHAR(92),_xlfn.CONCAT(CHAR(92),CHAR(92))),"$",_xlfn.CONCAT(CHAR(92),"$")),CHAR(96),_xlfn.CONCAT(CHAR(92),CHAR(96))),CHAR(34),CHAR(39))))</f>
        <v/>
      </c>
      <c r="R238" s="5" t="str">
        <f>IF(OR(TRIM($B238)="",$H238=""),"",IF(OR(ISNUMBER(SEARCH(_xlfn.CONCAT(CHAR(96),CHAR(34)),$H238)),ISNUMBER(SEARCH(_xlfn.CONCAT(CHAR(34),CHAR(39)),$H238))),_xlfn.CONCAT("* REVIEW REQUIRED: compound-quote delimiter in Source on Sheet 1 row ",238,"; edit the input before running."),_xlfn.CONCAT("char ",TRIM($B238),"[doc_source] ",CHAR(96),CHAR(34),SUBSTITUTE(SUBSTITUTE(SUBSTITUTE(SUBSTITUTE(SUBSTITUTE(SUBSTITUTE($H238,CHAR(13)," "),CHAR(10)," "),CHAR(9)," "),CHAR(92),_xlfn.CONCAT(CHAR(92),CHAR(92))),"$",_xlfn.CONCAT(CHAR(92),"$")),CHAR(96),_xlfn.CONCAT(CHAR(92),CHAR(96))),CHAR(34),CHAR(39))))</f>
        <v/>
      </c>
      <c r="S238" s="5" t="str">
        <f>IF(OR(TRIM($B238)="",$I238=""),"",IF(OR(ISNUMBER(SEARCH(_xlfn.CONCAT(CHAR(96),CHAR(34)),$I238)),ISNUMBER(SEARCH(_xlfn.CONCAT(CHAR(34),CHAR(39)),$I238))),_xlfn.CONCAT("* REVIEW REQUIRED: compound-quote delimiter in Derivation on Sheet 1 row ",238,"; edit the input before running."),_xlfn.CONCAT("char ",TRIM($B238),"[doc_derivation] ",CHAR(96),CHAR(34),SUBSTITUTE(SUBSTITUTE(SUBSTITUTE(SUBSTITUTE(SUBSTITUTE(SUBSTITUTE($I238,CHAR(13)," "),CHAR(10)," "),CHAR(9)," "),CHAR(92),_xlfn.CONCAT(CHAR(92),CHAR(92))),"$",_xlfn.CONCAT(CHAR(92),"$")),CHAR(96),_xlfn.CONCAT(CHAR(92),CHAR(96))),CHAR(34),CHAR(39))))</f>
        <v/>
      </c>
      <c r="T238" s="5" t="str">
        <f>IF(OR(TRIM($B238)="",$J238=""),"",IF(OR(ISNUMBER(SEARCH(_xlfn.CONCAT(CHAR(96),CHAR(34)),$J238)),ISNUMBER(SEARCH(_xlfn.CONCAT(CHAR(34),CHAR(39)),$J238))),_xlfn.CONCAT("* REVIEW REQUIRED: compound-quote delimiter in Notes on Sheet 1 row ",238,"; edit the input before running."),_xlfn.CONCAT("char ",TRIM($B238),"[doc_notes] ",CHAR(96),CHAR(34),SUBSTITUTE(SUBSTITUTE(SUBSTITUTE(SUBSTITUTE(SUBSTITUTE(SUBSTITUTE($J238,CHAR(13)," "),CHAR(10)," "),CHAR(9)," "),CHAR(92),_xlfn.CONCAT(CHAR(92),CHAR(92))),"$",_xlfn.CONCAT(CHAR(92),"$")),CHAR(96),_xlfn.CONCAT(CHAR(92),CHAR(96))),CHAR(34),CHAR(39))))</f>
        <v/>
      </c>
      <c r="U238" s="5">
        <f t="shared" si="7"/>
        <v>0</v>
      </c>
    </row>
    <row r="239" spans="3:21" ht="30" customHeight="1" x14ac:dyDescent="0.2">
      <c r="C239" s="4"/>
      <c r="K239" s="5">
        <f t="shared" si="6"/>
        <v>0</v>
      </c>
      <c r="L239" s="5" t="str">
        <f>IF(OR(TRIM($B239)="",$A239=""),"",IF(OR(ISNUMBER(SEARCH(_xlfn.CONCAT(CHAR(96),CHAR(34)),$A239)),ISNUMBER(SEARCH(_xlfn.CONCAT(CHAR(34),CHAR(39)),$A239))),_xlfn.CONCAT("* REVIEW REQUIRED: compound-quote delimiter in Codebook Section on Sheet 1 row ",239,"; edit the input before running."),_xlfn.CONCAT("char ",TRIM($B239),"[doc_section] ",CHAR(96),CHAR(34),SUBSTITUTE(SUBSTITUTE(SUBSTITUTE(SUBSTITUTE(SUBSTITUTE(SUBSTITUTE($A239,CHAR(13)," "),CHAR(10)," "),CHAR(9)," "),CHAR(92),_xlfn.CONCAT(CHAR(92),CHAR(92))),"$",_xlfn.CONCAT(CHAR(92),"$")),CHAR(96),_xlfn.CONCAT(CHAR(92),CHAR(96))),CHAR(34),CHAR(39))))</f>
        <v/>
      </c>
      <c r="M239" s="5" t="str">
        <f>IF(OR(TRIM($B239)="",$C239=""),"",IF(IFERROR(MATCH(TRIM($C239),{"Quantitative","Continuous","Discrete","Categorical","Nominal","Ordinal","Identifier"},0),0)=0,_xlfn.CONCAT("* REVIEW REQUIRED: invalid Variable Type on Sheet 1 row ",239,"."),_xlfn.CONCAT("char ",TRIM($B239),"[doc_vartype] ",CHAR(96),CHAR(34),SUBSTITUTE(SUBSTITUTE(SUBSTITUTE(SUBSTITUTE(SUBSTITUTE(SUBSTITUTE(LOWER(TRIM($C239)),CHAR(13)," "),CHAR(10)," "),CHAR(9)," "),CHAR(92),_xlfn.CONCAT(CHAR(92),CHAR(92))),"$",_xlfn.CONCAT(CHAR(92),"$")),CHAR(96),_xlfn.CONCAT(CHAR(92),CHAR(96))),CHAR(34),CHAR(39))))</f>
        <v/>
      </c>
      <c r="N239" s="5" t="str">
        <f>IF(OR(TRIM($B239)="",$D239=""),"",IF(OR(ISNUMBER(SEARCH(_xlfn.CONCAT(CHAR(96),CHAR(34)),$D239)),ISNUMBER(SEARCH(_xlfn.CONCAT(CHAR(34),CHAR(39)),$D239))),_xlfn.CONCAT("* REVIEW REQUIRED: compound-quote delimiter in Item Number on Sheet 1 row ",239,"; edit the input before running."),_xlfn.CONCAT("char ",TRIM($B239),"[doc_itemnum] ",CHAR(96),CHAR(34),SUBSTITUTE(SUBSTITUTE(SUBSTITUTE(SUBSTITUTE(SUBSTITUTE(SUBSTITUTE($D239,CHAR(13)," "),CHAR(10)," "),CHAR(9)," "),CHAR(92),_xlfn.CONCAT(CHAR(92),CHAR(92))),"$",_xlfn.CONCAT(CHAR(92),"$")),CHAR(96),_xlfn.CONCAT(CHAR(92),CHAR(96))),CHAR(34),CHAR(39))))</f>
        <v/>
      </c>
      <c r="O239" s="5" t="str">
        <f>IF(OR(TRIM($B239)="",$E239=""),"",IF(OR(ISNUMBER(SEARCH(_xlfn.CONCAT(CHAR(96),CHAR(34)),$E239)),ISNUMBER(SEARCH(_xlfn.CONCAT(CHAR(34),CHAR(39)),$E239))),_xlfn.CONCAT("* REVIEW REQUIRED: compound-quote delimiter in Question Wording on Sheet 1 row ",239,"; edit the input before running."),_xlfn.CONCAT("char ",TRIM($B239),"[doc_question] ",CHAR(96),CHAR(34),SUBSTITUTE(SUBSTITUTE(SUBSTITUTE(SUBSTITUTE(SUBSTITUTE(SUBSTITUTE($E239,CHAR(13)," "),CHAR(10)," "),CHAR(9)," "),CHAR(92),_xlfn.CONCAT(CHAR(92),CHAR(92))),"$",_xlfn.CONCAT(CHAR(92),"$")),CHAR(96),_xlfn.CONCAT(CHAR(92),CHAR(96))),CHAR(34),CHAR(39))))</f>
        <v/>
      </c>
      <c r="P239" s="5" t="str">
        <f>IF(OR(TRIM($B239)="",$F239=""),"",IF(OR(ISNUMBER(SEARCH(_xlfn.CONCAT(CHAR(96),CHAR(34)),$F239)),ISNUMBER(SEARCH(_xlfn.CONCAT(CHAR(34),CHAR(39)),$F239))),_xlfn.CONCAT("* REVIEW REQUIRED: compound-quote delimiter in Units on Sheet 1 row ",239,"; edit the input before running."),_xlfn.CONCAT("char ",TRIM($B239),"[doc_units] ",CHAR(96),CHAR(34),SUBSTITUTE(SUBSTITUTE(SUBSTITUTE(SUBSTITUTE(SUBSTITUTE(SUBSTITUTE($F239,CHAR(13)," "),CHAR(10)," "),CHAR(9)," "),CHAR(92),_xlfn.CONCAT(CHAR(92),CHAR(92))),"$",_xlfn.CONCAT(CHAR(92),"$")),CHAR(96),_xlfn.CONCAT(CHAR(92),CHAR(96))),CHAR(34),CHAR(39))))</f>
        <v/>
      </c>
      <c r="Q239" s="5" t="str">
        <f>IF(OR(TRIM($B239)="",$G239=""),"",IF(OR(ISNUMBER(SEARCH(_xlfn.CONCAT(CHAR(96),CHAR(34)),$G239)),ISNUMBER(SEARCH(_xlfn.CONCAT(CHAR(34),CHAR(39)),$G239))),_xlfn.CONCAT("* REVIEW REQUIRED: compound-quote delimiter in Universe on Sheet 1 row ",239,"; edit the input before running."),_xlfn.CONCAT("char ",TRIM($B239),"[doc_universe] ",CHAR(96),CHAR(34),SUBSTITUTE(SUBSTITUTE(SUBSTITUTE(SUBSTITUTE(SUBSTITUTE(SUBSTITUTE($G239,CHAR(13)," "),CHAR(10)," "),CHAR(9)," "),CHAR(92),_xlfn.CONCAT(CHAR(92),CHAR(92))),"$",_xlfn.CONCAT(CHAR(92),"$")),CHAR(96),_xlfn.CONCAT(CHAR(92),CHAR(96))),CHAR(34),CHAR(39))))</f>
        <v/>
      </c>
      <c r="R239" s="5" t="str">
        <f>IF(OR(TRIM($B239)="",$H239=""),"",IF(OR(ISNUMBER(SEARCH(_xlfn.CONCAT(CHAR(96),CHAR(34)),$H239)),ISNUMBER(SEARCH(_xlfn.CONCAT(CHAR(34),CHAR(39)),$H239))),_xlfn.CONCAT("* REVIEW REQUIRED: compound-quote delimiter in Source on Sheet 1 row ",239,"; edit the input before running."),_xlfn.CONCAT("char ",TRIM($B239),"[doc_source] ",CHAR(96),CHAR(34),SUBSTITUTE(SUBSTITUTE(SUBSTITUTE(SUBSTITUTE(SUBSTITUTE(SUBSTITUTE($H239,CHAR(13)," "),CHAR(10)," "),CHAR(9)," "),CHAR(92),_xlfn.CONCAT(CHAR(92),CHAR(92))),"$",_xlfn.CONCAT(CHAR(92),"$")),CHAR(96),_xlfn.CONCAT(CHAR(92),CHAR(96))),CHAR(34),CHAR(39))))</f>
        <v/>
      </c>
      <c r="S239" s="5" t="str">
        <f>IF(OR(TRIM($B239)="",$I239=""),"",IF(OR(ISNUMBER(SEARCH(_xlfn.CONCAT(CHAR(96),CHAR(34)),$I239)),ISNUMBER(SEARCH(_xlfn.CONCAT(CHAR(34),CHAR(39)),$I239))),_xlfn.CONCAT("* REVIEW REQUIRED: compound-quote delimiter in Derivation on Sheet 1 row ",239,"; edit the input before running."),_xlfn.CONCAT("char ",TRIM($B239),"[doc_derivation] ",CHAR(96),CHAR(34),SUBSTITUTE(SUBSTITUTE(SUBSTITUTE(SUBSTITUTE(SUBSTITUTE(SUBSTITUTE($I239,CHAR(13)," "),CHAR(10)," "),CHAR(9)," "),CHAR(92),_xlfn.CONCAT(CHAR(92),CHAR(92))),"$",_xlfn.CONCAT(CHAR(92),"$")),CHAR(96),_xlfn.CONCAT(CHAR(92),CHAR(96))),CHAR(34),CHAR(39))))</f>
        <v/>
      </c>
      <c r="T239" s="5" t="str">
        <f>IF(OR(TRIM($B239)="",$J239=""),"",IF(OR(ISNUMBER(SEARCH(_xlfn.CONCAT(CHAR(96),CHAR(34)),$J239)),ISNUMBER(SEARCH(_xlfn.CONCAT(CHAR(34),CHAR(39)),$J239))),_xlfn.CONCAT("* REVIEW REQUIRED: compound-quote delimiter in Notes on Sheet 1 row ",239,"; edit the input before running."),_xlfn.CONCAT("char ",TRIM($B239),"[doc_notes] ",CHAR(96),CHAR(34),SUBSTITUTE(SUBSTITUTE(SUBSTITUTE(SUBSTITUTE(SUBSTITUTE(SUBSTITUTE($J239,CHAR(13)," "),CHAR(10)," "),CHAR(9)," "),CHAR(92),_xlfn.CONCAT(CHAR(92),CHAR(92))),"$",_xlfn.CONCAT(CHAR(92),"$")),CHAR(96),_xlfn.CONCAT(CHAR(92),CHAR(96))),CHAR(34),CHAR(39))))</f>
        <v/>
      </c>
      <c r="U239" s="5">
        <f t="shared" si="7"/>
        <v>0</v>
      </c>
    </row>
    <row r="240" spans="3:21" ht="30" customHeight="1" x14ac:dyDescent="0.2">
      <c r="C240" s="4"/>
      <c r="K240" s="5">
        <f t="shared" si="6"/>
        <v>0</v>
      </c>
      <c r="L240" s="5" t="str">
        <f>IF(OR(TRIM($B240)="",$A240=""),"",IF(OR(ISNUMBER(SEARCH(_xlfn.CONCAT(CHAR(96),CHAR(34)),$A240)),ISNUMBER(SEARCH(_xlfn.CONCAT(CHAR(34),CHAR(39)),$A240))),_xlfn.CONCAT("* REVIEW REQUIRED: compound-quote delimiter in Codebook Section on Sheet 1 row ",240,"; edit the input before running."),_xlfn.CONCAT("char ",TRIM($B240),"[doc_section] ",CHAR(96),CHAR(34),SUBSTITUTE(SUBSTITUTE(SUBSTITUTE(SUBSTITUTE(SUBSTITUTE(SUBSTITUTE($A240,CHAR(13)," "),CHAR(10)," "),CHAR(9)," "),CHAR(92),_xlfn.CONCAT(CHAR(92),CHAR(92))),"$",_xlfn.CONCAT(CHAR(92),"$")),CHAR(96),_xlfn.CONCAT(CHAR(92),CHAR(96))),CHAR(34),CHAR(39))))</f>
        <v/>
      </c>
      <c r="M240" s="5" t="str">
        <f>IF(OR(TRIM($B240)="",$C240=""),"",IF(IFERROR(MATCH(TRIM($C240),{"Quantitative","Continuous","Discrete","Categorical","Nominal","Ordinal","Identifier"},0),0)=0,_xlfn.CONCAT("* REVIEW REQUIRED: invalid Variable Type on Sheet 1 row ",240,"."),_xlfn.CONCAT("char ",TRIM($B240),"[doc_vartype] ",CHAR(96),CHAR(34),SUBSTITUTE(SUBSTITUTE(SUBSTITUTE(SUBSTITUTE(SUBSTITUTE(SUBSTITUTE(LOWER(TRIM($C240)),CHAR(13)," "),CHAR(10)," "),CHAR(9)," "),CHAR(92),_xlfn.CONCAT(CHAR(92),CHAR(92))),"$",_xlfn.CONCAT(CHAR(92),"$")),CHAR(96),_xlfn.CONCAT(CHAR(92),CHAR(96))),CHAR(34),CHAR(39))))</f>
        <v/>
      </c>
      <c r="N240" s="5" t="str">
        <f>IF(OR(TRIM($B240)="",$D240=""),"",IF(OR(ISNUMBER(SEARCH(_xlfn.CONCAT(CHAR(96),CHAR(34)),$D240)),ISNUMBER(SEARCH(_xlfn.CONCAT(CHAR(34),CHAR(39)),$D240))),_xlfn.CONCAT("* REVIEW REQUIRED: compound-quote delimiter in Item Number on Sheet 1 row ",240,"; edit the input before running."),_xlfn.CONCAT("char ",TRIM($B240),"[doc_itemnum] ",CHAR(96),CHAR(34),SUBSTITUTE(SUBSTITUTE(SUBSTITUTE(SUBSTITUTE(SUBSTITUTE(SUBSTITUTE($D240,CHAR(13)," "),CHAR(10)," "),CHAR(9)," "),CHAR(92),_xlfn.CONCAT(CHAR(92),CHAR(92))),"$",_xlfn.CONCAT(CHAR(92),"$")),CHAR(96),_xlfn.CONCAT(CHAR(92),CHAR(96))),CHAR(34),CHAR(39))))</f>
        <v/>
      </c>
      <c r="O240" s="5" t="str">
        <f>IF(OR(TRIM($B240)="",$E240=""),"",IF(OR(ISNUMBER(SEARCH(_xlfn.CONCAT(CHAR(96),CHAR(34)),$E240)),ISNUMBER(SEARCH(_xlfn.CONCAT(CHAR(34),CHAR(39)),$E240))),_xlfn.CONCAT("* REVIEW REQUIRED: compound-quote delimiter in Question Wording on Sheet 1 row ",240,"; edit the input before running."),_xlfn.CONCAT("char ",TRIM($B240),"[doc_question] ",CHAR(96),CHAR(34),SUBSTITUTE(SUBSTITUTE(SUBSTITUTE(SUBSTITUTE(SUBSTITUTE(SUBSTITUTE($E240,CHAR(13)," "),CHAR(10)," "),CHAR(9)," "),CHAR(92),_xlfn.CONCAT(CHAR(92),CHAR(92))),"$",_xlfn.CONCAT(CHAR(92),"$")),CHAR(96),_xlfn.CONCAT(CHAR(92),CHAR(96))),CHAR(34),CHAR(39))))</f>
        <v/>
      </c>
      <c r="P240" s="5" t="str">
        <f>IF(OR(TRIM($B240)="",$F240=""),"",IF(OR(ISNUMBER(SEARCH(_xlfn.CONCAT(CHAR(96),CHAR(34)),$F240)),ISNUMBER(SEARCH(_xlfn.CONCAT(CHAR(34),CHAR(39)),$F240))),_xlfn.CONCAT("* REVIEW REQUIRED: compound-quote delimiter in Units on Sheet 1 row ",240,"; edit the input before running."),_xlfn.CONCAT("char ",TRIM($B240),"[doc_units] ",CHAR(96),CHAR(34),SUBSTITUTE(SUBSTITUTE(SUBSTITUTE(SUBSTITUTE(SUBSTITUTE(SUBSTITUTE($F240,CHAR(13)," "),CHAR(10)," "),CHAR(9)," "),CHAR(92),_xlfn.CONCAT(CHAR(92),CHAR(92))),"$",_xlfn.CONCAT(CHAR(92),"$")),CHAR(96),_xlfn.CONCAT(CHAR(92),CHAR(96))),CHAR(34),CHAR(39))))</f>
        <v/>
      </c>
      <c r="Q240" s="5" t="str">
        <f>IF(OR(TRIM($B240)="",$G240=""),"",IF(OR(ISNUMBER(SEARCH(_xlfn.CONCAT(CHAR(96),CHAR(34)),$G240)),ISNUMBER(SEARCH(_xlfn.CONCAT(CHAR(34),CHAR(39)),$G240))),_xlfn.CONCAT("* REVIEW REQUIRED: compound-quote delimiter in Universe on Sheet 1 row ",240,"; edit the input before running."),_xlfn.CONCAT("char ",TRIM($B240),"[doc_universe] ",CHAR(96),CHAR(34),SUBSTITUTE(SUBSTITUTE(SUBSTITUTE(SUBSTITUTE(SUBSTITUTE(SUBSTITUTE($G240,CHAR(13)," "),CHAR(10)," "),CHAR(9)," "),CHAR(92),_xlfn.CONCAT(CHAR(92),CHAR(92))),"$",_xlfn.CONCAT(CHAR(92),"$")),CHAR(96),_xlfn.CONCAT(CHAR(92),CHAR(96))),CHAR(34),CHAR(39))))</f>
        <v/>
      </c>
      <c r="R240" s="5" t="str">
        <f>IF(OR(TRIM($B240)="",$H240=""),"",IF(OR(ISNUMBER(SEARCH(_xlfn.CONCAT(CHAR(96),CHAR(34)),$H240)),ISNUMBER(SEARCH(_xlfn.CONCAT(CHAR(34),CHAR(39)),$H240))),_xlfn.CONCAT("* REVIEW REQUIRED: compound-quote delimiter in Source on Sheet 1 row ",240,"; edit the input before running."),_xlfn.CONCAT("char ",TRIM($B240),"[doc_source] ",CHAR(96),CHAR(34),SUBSTITUTE(SUBSTITUTE(SUBSTITUTE(SUBSTITUTE(SUBSTITUTE(SUBSTITUTE($H240,CHAR(13)," "),CHAR(10)," "),CHAR(9)," "),CHAR(92),_xlfn.CONCAT(CHAR(92),CHAR(92))),"$",_xlfn.CONCAT(CHAR(92),"$")),CHAR(96),_xlfn.CONCAT(CHAR(92),CHAR(96))),CHAR(34),CHAR(39))))</f>
        <v/>
      </c>
      <c r="S240" s="5" t="str">
        <f>IF(OR(TRIM($B240)="",$I240=""),"",IF(OR(ISNUMBER(SEARCH(_xlfn.CONCAT(CHAR(96),CHAR(34)),$I240)),ISNUMBER(SEARCH(_xlfn.CONCAT(CHAR(34),CHAR(39)),$I240))),_xlfn.CONCAT("* REVIEW REQUIRED: compound-quote delimiter in Derivation on Sheet 1 row ",240,"; edit the input before running."),_xlfn.CONCAT("char ",TRIM($B240),"[doc_derivation] ",CHAR(96),CHAR(34),SUBSTITUTE(SUBSTITUTE(SUBSTITUTE(SUBSTITUTE(SUBSTITUTE(SUBSTITUTE($I240,CHAR(13)," "),CHAR(10)," "),CHAR(9)," "),CHAR(92),_xlfn.CONCAT(CHAR(92),CHAR(92))),"$",_xlfn.CONCAT(CHAR(92),"$")),CHAR(96),_xlfn.CONCAT(CHAR(92),CHAR(96))),CHAR(34),CHAR(39))))</f>
        <v/>
      </c>
      <c r="T240" s="5" t="str">
        <f>IF(OR(TRIM($B240)="",$J240=""),"",IF(OR(ISNUMBER(SEARCH(_xlfn.CONCAT(CHAR(96),CHAR(34)),$J240)),ISNUMBER(SEARCH(_xlfn.CONCAT(CHAR(34),CHAR(39)),$J240))),_xlfn.CONCAT("* REVIEW REQUIRED: compound-quote delimiter in Notes on Sheet 1 row ",240,"; edit the input before running."),_xlfn.CONCAT("char ",TRIM($B240),"[doc_notes] ",CHAR(96),CHAR(34),SUBSTITUTE(SUBSTITUTE(SUBSTITUTE(SUBSTITUTE(SUBSTITUTE(SUBSTITUTE($J240,CHAR(13)," "),CHAR(10)," "),CHAR(9)," "),CHAR(92),_xlfn.CONCAT(CHAR(92),CHAR(92))),"$",_xlfn.CONCAT(CHAR(92),"$")),CHAR(96),_xlfn.CONCAT(CHAR(92),CHAR(96))),CHAR(34),CHAR(39))))</f>
        <v/>
      </c>
      <c r="U240" s="5">
        <f t="shared" si="7"/>
        <v>0</v>
      </c>
    </row>
    <row r="241" spans="3:21" ht="30" customHeight="1" x14ac:dyDescent="0.2">
      <c r="C241" s="4"/>
      <c r="K241" s="5">
        <f t="shared" si="6"/>
        <v>0</v>
      </c>
      <c r="L241" s="5" t="str">
        <f>IF(OR(TRIM($B241)="",$A241=""),"",IF(OR(ISNUMBER(SEARCH(_xlfn.CONCAT(CHAR(96),CHAR(34)),$A241)),ISNUMBER(SEARCH(_xlfn.CONCAT(CHAR(34),CHAR(39)),$A241))),_xlfn.CONCAT("* REVIEW REQUIRED: compound-quote delimiter in Codebook Section on Sheet 1 row ",241,"; edit the input before running."),_xlfn.CONCAT("char ",TRIM($B241),"[doc_section] ",CHAR(96),CHAR(34),SUBSTITUTE(SUBSTITUTE(SUBSTITUTE(SUBSTITUTE(SUBSTITUTE(SUBSTITUTE($A241,CHAR(13)," "),CHAR(10)," "),CHAR(9)," "),CHAR(92),_xlfn.CONCAT(CHAR(92),CHAR(92))),"$",_xlfn.CONCAT(CHAR(92),"$")),CHAR(96),_xlfn.CONCAT(CHAR(92),CHAR(96))),CHAR(34),CHAR(39))))</f>
        <v/>
      </c>
      <c r="M241" s="5" t="str">
        <f>IF(OR(TRIM($B241)="",$C241=""),"",IF(IFERROR(MATCH(TRIM($C241),{"Quantitative","Continuous","Discrete","Categorical","Nominal","Ordinal","Identifier"},0),0)=0,_xlfn.CONCAT("* REVIEW REQUIRED: invalid Variable Type on Sheet 1 row ",241,"."),_xlfn.CONCAT("char ",TRIM($B241),"[doc_vartype] ",CHAR(96),CHAR(34),SUBSTITUTE(SUBSTITUTE(SUBSTITUTE(SUBSTITUTE(SUBSTITUTE(SUBSTITUTE(LOWER(TRIM($C241)),CHAR(13)," "),CHAR(10)," "),CHAR(9)," "),CHAR(92),_xlfn.CONCAT(CHAR(92),CHAR(92))),"$",_xlfn.CONCAT(CHAR(92),"$")),CHAR(96),_xlfn.CONCAT(CHAR(92),CHAR(96))),CHAR(34),CHAR(39))))</f>
        <v/>
      </c>
      <c r="N241" s="5" t="str">
        <f>IF(OR(TRIM($B241)="",$D241=""),"",IF(OR(ISNUMBER(SEARCH(_xlfn.CONCAT(CHAR(96),CHAR(34)),$D241)),ISNUMBER(SEARCH(_xlfn.CONCAT(CHAR(34),CHAR(39)),$D241))),_xlfn.CONCAT("* REVIEW REQUIRED: compound-quote delimiter in Item Number on Sheet 1 row ",241,"; edit the input before running."),_xlfn.CONCAT("char ",TRIM($B241),"[doc_itemnum] ",CHAR(96),CHAR(34),SUBSTITUTE(SUBSTITUTE(SUBSTITUTE(SUBSTITUTE(SUBSTITUTE(SUBSTITUTE($D241,CHAR(13)," "),CHAR(10)," "),CHAR(9)," "),CHAR(92),_xlfn.CONCAT(CHAR(92),CHAR(92))),"$",_xlfn.CONCAT(CHAR(92),"$")),CHAR(96),_xlfn.CONCAT(CHAR(92),CHAR(96))),CHAR(34),CHAR(39))))</f>
        <v/>
      </c>
      <c r="O241" s="5" t="str">
        <f>IF(OR(TRIM($B241)="",$E241=""),"",IF(OR(ISNUMBER(SEARCH(_xlfn.CONCAT(CHAR(96),CHAR(34)),$E241)),ISNUMBER(SEARCH(_xlfn.CONCAT(CHAR(34),CHAR(39)),$E241))),_xlfn.CONCAT("* REVIEW REQUIRED: compound-quote delimiter in Question Wording on Sheet 1 row ",241,"; edit the input before running."),_xlfn.CONCAT("char ",TRIM($B241),"[doc_question] ",CHAR(96),CHAR(34),SUBSTITUTE(SUBSTITUTE(SUBSTITUTE(SUBSTITUTE(SUBSTITUTE(SUBSTITUTE($E241,CHAR(13)," "),CHAR(10)," "),CHAR(9)," "),CHAR(92),_xlfn.CONCAT(CHAR(92),CHAR(92))),"$",_xlfn.CONCAT(CHAR(92),"$")),CHAR(96),_xlfn.CONCAT(CHAR(92),CHAR(96))),CHAR(34),CHAR(39))))</f>
        <v/>
      </c>
      <c r="P241" s="5" t="str">
        <f>IF(OR(TRIM($B241)="",$F241=""),"",IF(OR(ISNUMBER(SEARCH(_xlfn.CONCAT(CHAR(96),CHAR(34)),$F241)),ISNUMBER(SEARCH(_xlfn.CONCAT(CHAR(34),CHAR(39)),$F241))),_xlfn.CONCAT("* REVIEW REQUIRED: compound-quote delimiter in Units on Sheet 1 row ",241,"; edit the input before running."),_xlfn.CONCAT("char ",TRIM($B241),"[doc_units] ",CHAR(96),CHAR(34),SUBSTITUTE(SUBSTITUTE(SUBSTITUTE(SUBSTITUTE(SUBSTITUTE(SUBSTITUTE($F241,CHAR(13)," "),CHAR(10)," "),CHAR(9)," "),CHAR(92),_xlfn.CONCAT(CHAR(92),CHAR(92))),"$",_xlfn.CONCAT(CHAR(92),"$")),CHAR(96),_xlfn.CONCAT(CHAR(92),CHAR(96))),CHAR(34),CHAR(39))))</f>
        <v/>
      </c>
      <c r="Q241" s="5" t="str">
        <f>IF(OR(TRIM($B241)="",$G241=""),"",IF(OR(ISNUMBER(SEARCH(_xlfn.CONCAT(CHAR(96),CHAR(34)),$G241)),ISNUMBER(SEARCH(_xlfn.CONCAT(CHAR(34),CHAR(39)),$G241))),_xlfn.CONCAT("* REVIEW REQUIRED: compound-quote delimiter in Universe on Sheet 1 row ",241,"; edit the input before running."),_xlfn.CONCAT("char ",TRIM($B241),"[doc_universe] ",CHAR(96),CHAR(34),SUBSTITUTE(SUBSTITUTE(SUBSTITUTE(SUBSTITUTE(SUBSTITUTE(SUBSTITUTE($G241,CHAR(13)," "),CHAR(10)," "),CHAR(9)," "),CHAR(92),_xlfn.CONCAT(CHAR(92),CHAR(92))),"$",_xlfn.CONCAT(CHAR(92),"$")),CHAR(96),_xlfn.CONCAT(CHAR(92),CHAR(96))),CHAR(34),CHAR(39))))</f>
        <v/>
      </c>
      <c r="R241" s="5" t="str">
        <f>IF(OR(TRIM($B241)="",$H241=""),"",IF(OR(ISNUMBER(SEARCH(_xlfn.CONCAT(CHAR(96),CHAR(34)),$H241)),ISNUMBER(SEARCH(_xlfn.CONCAT(CHAR(34),CHAR(39)),$H241))),_xlfn.CONCAT("* REVIEW REQUIRED: compound-quote delimiter in Source on Sheet 1 row ",241,"; edit the input before running."),_xlfn.CONCAT("char ",TRIM($B241),"[doc_source] ",CHAR(96),CHAR(34),SUBSTITUTE(SUBSTITUTE(SUBSTITUTE(SUBSTITUTE(SUBSTITUTE(SUBSTITUTE($H241,CHAR(13)," "),CHAR(10)," "),CHAR(9)," "),CHAR(92),_xlfn.CONCAT(CHAR(92),CHAR(92))),"$",_xlfn.CONCAT(CHAR(92),"$")),CHAR(96),_xlfn.CONCAT(CHAR(92),CHAR(96))),CHAR(34),CHAR(39))))</f>
        <v/>
      </c>
      <c r="S241" s="5" t="str">
        <f>IF(OR(TRIM($B241)="",$I241=""),"",IF(OR(ISNUMBER(SEARCH(_xlfn.CONCAT(CHAR(96),CHAR(34)),$I241)),ISNUMBER(SEARCH(_xlfn.CONCAT(CHAR(34),CHAR(39)),$I241))),_xlfn.CONCAT("* REVIEW REQUIRED: compound-quote delimiter in Derivation on Sheet 1 row ",241,"; edit the input before running."),_xlfn.CONCAT("char ",TRIM($B241),"[doc_derivation] ",CHAR(96),CHAR(34),SUBSTITUTE(SUBSTITUTE(SUBSTITUTE(SUBSTITUTE(SUBSTITUTE(SUBSTITUTE($I241,CHAR(13)," "),CHAR(10)," "),CHAR(9)," "),CHAR(92),_xlfn.CONCAT(CHAR(92),CHAR(92))),"$",_xlfn.CONCAT(CHAR(92),"$")),CHAR(96),_xlfn.CONCAT(CHAR(92),CHAR(96))),CHAR(34),CHAR(39))))</f>
        <v/>
      </c>
      <c r="T241" s="5" t="str">
        <f>IF(OR(TRIM($B241)="",$J241=""),"",IF(OR(ISNUMBER(SEARCH(_xlfn.CONCAT(CHAR(96),CHAR(34)),$J241)),ISNUMBER(SEARCH(_xlfn.CONCAT(CHAR(34),CHAR(39)),$J241))),_xlfn.CONCAT("* REVIEW REQUIRED: compound-quote delimiter in Notes on Sheet 1 row ",241,"; edit the input before running."),_xlfn.CONCAT("char ",TRIM($B241),"[doc_notes] ",CHAR(96),CHAR(34),SUBSTITUTE(SUBSTITUTE(SUBSTITUTE(SUBSTITUTE(SUBSTITUTE(SUBSTITUTE($J241,CHAR(13)," "),CHAR(10)," "),CHAR(9)," "),CHAR(92),_xlfn.CONCAT(CHAR(92),CHAR(92))),"$",_xlfn.CONCAT(CHAR(92),"$")),CHAR(96),_xlfn.CONCAT(CHAR(92),CHAR(96))),CHAR(34),CHAR(39))))</f>
        <v/>
      </c>
      <c r="U241" s="5">
        <f t="shared" si="7"/>
        <v>0</v>
      </c>
    </row>
    <row r="242" spans="3:21" ht="30" customHeight="1" x14ac:dyDescent="0.2">
      <c r="C242" s="4"/>
      <c r="K242" s="5">
        <f t="shared" si="6"/>
        <v>0</v>
      </c>
      <c r="L242" s="5" t="str">
        <f>IF(OR(TRIM($B242)="",$A242=""),"",IF(OR(ISNUMBER(SEARCH(_xlfn.CONCAT(CHAR(96),CHAR(34)),$A242)),ISNUMBER(SEARCH(_xlfn.CONCAT(CHAR(34),CHAR(39)),$A242))),_xlfn.CONCAT("* REVIEW REQUIRED: compound-quote delimiter in Codebook Section on Sheet 1 row ",242,"; edit the input before running."),_xlfn.CONCAT("char ",TRIM($B242),"[doc_section] ",CHAR(96),CHAR(34),SUBSTITUTE(SUBSTITUTE(SUBSTITUTE(SUBSTITUTE(SUBSTITUTE(SUBSTITUTE($A242,CHAR(13)," "),CHAR(10)," "),CHAR(9)," "),CHAR(92),_xlfn.CONCAT(CHAR(92),CHAR(92))),"$",_xlfn.CONCAT(CHAR(92),"$")),CHAR(96),_xlfn.CONCAT(CHAR(92),CHAR(96))),CHAR(34),CHAR(39))))</f>
        <v/>
      </c>
      <c r="M242" s="5" t="str">
        <f>IF(OR(TRIM($B242)="",$C242=""),"",IF(IFERROR(MATCH(TRIM($C242),{"Quantitative","Continuous","Discrete","Categorical","Nominal","Ordinal","Identifier"},0),0)=0,_xlfn.CONCAT("* REVIEW REQUIRED: invalid Variable Type on Sheet 1 row ",242,"."),_xlfn.CONCAT("char ",TRIM($B242),"[doc_vartype] ",CHAR(96),CHAR(34),SUBSTITUTE(SUBSTITUTE(SUBSTITUTE(SUBSTITUTE(SUBSTITUTE(SUBSTITUTE(LOWER(TRIM($C242)),CHAR(13)," "),CHAR(10)," "),CHAR(9)," "),CHAR(92),_xlfn.CONCAT(CHAR(92),CHAR(92))),"$",_xlfn.CONCAT(CHAR(92),"$")),CHAR(96),_xlfn.CONCAT(CHAR(92),CHAR(96))),CHAR(34),CHAR(39))))</f>
        <v/>
      </c>
      <c r="N242" s="5" t="str">
        <f>IF(OR(TRIM($B242)="",$D242=""),"",IF(OR(ISNUMBER(SEARCH(_xlfn.CONCAT(CHAR(96),CHAR(34)),$D242)),ISNUMBER(SEARCH(_xlfn.CONCAT(CHAR(34),CHAR(39)),$D242))),_xlfn.CONCAT("* REVIEW REQUIRED: compound-quote delimiter in Item Number on Sheet 1 row ",242,"; edit the input before running."),_xlfn.CONCAT("char ",TRIM($B242),"[doc_itemnum] ",CHAR(96),CHAR(34),SUBSTITUTE(SUBSTITUTE(SUBSTITUTE(SUBSTITUTE(SUBSTITUTE(SUBSTITUTE($D242,CHAR(13)," "),CHAR(10)," "),CHAR(9)," "),CHAR(92),_xlfn.CONCAT(CHAR(92),CHAR(92))),"$",_xlfn.CONCAT(CHAR(92),"$")),CHAR(96),_xlfn.CONCAT(CHAR(92),CHAR(96))),CHAR(34),CHAR(39))))</f>
        <v/>
      </c>
      <c r="O242" s="5" t="str">
        <f>IF(OR(TRIM($B242)="",$E242=""),"",IF(OR(ISNUMBER(SEARCH(_xlfn.CONCAT(CHAR(96),CHAR(34)),$E242)),ISNUMBER(SEARCH(_xlfn.CONCAT(CHAR(34),CHAR(39)),$E242))),_xlfn.CONCAT("* REVIEW REQUIRED: compound-quote delimiter in Question Wording on Sheet 1 row ",242,"; edit the input before running."),_xlfn.CONCAT("char ",TRIM($B242),"[doc_question] ",CHAR(96),CHAR(34),SUBSTITUTE(SUBSTITUTE(SUBSTITUTE(SUBSTITUTE(SUBSTITUTE(SUBSTITUTE($E242,CHAR(13)," "),CHAR(10)," "),CHAR(9)," "),CHAR(92),_xlfn.CONCAT(CHAR(92),CHAR(92))),"$",_xlfn.CONCAT(CHAR(92),"$")),CHAR(96),_xlfn.CONCAT(CHAR(92),CHAR(96))),CHAR(34),CHAR(39))))</f>
        <v/>
      </c>
      <c r="P242" s="5" t="str">
        <f>IF(OR(TRIM($B242)="",$F242=""),"",IF(OR(ISNUMBER(SEARCH(_xlfn.CONCAT(CHAR(96),CHAR(34)),$F242)),ISNUMBER(SEARCH(_xlfn.CONCAT(CHAR(34),CHAR(39)),$F242))),_xlfn.CONCAT("* REVIEW REQUIRED: compound-quote delimiter in Units on Sheet 1 row ",242,"; edit the input before running."),_xlfn.CONCAT("char ",TRIM($B242),"[doc_units] ",CHAR(96),CHAR(34),SUBSTITUTE(SUBSTITUTE(SUBSTITUTE(SUBSTITUTE(SUBSTITUTE(SUBSTITUTE($F242,CHAR(13)," "),CHAR(10)," "),CHAR(9)," "),CHAR(92),_xlfn.CONCAT(CHAR(92),CHAR(92))),"$",_xlfn.CONCAT(CHAR(92),"$")),CHAR(96),_xlfn.CONCAT(CHAR(92),CHAR(96))),CHAR(34),CHAR(39))))</f>
        <v/>
      </c>
      <c r="Q242" s="5" t="str">
        <f>IF(OR(TRIM($B242)="",$G242=""),"",IF(OR(ISNUMBER(SEARCH(_xlfn.CONCAT(CHAR(96),CHAR(34)),$G242)),ISNUMBER(SEARCH(_xlfn.CONCAT(CHAR(34),CHAR(39)),$G242))),_xlfn.CONCAT("* REVIEW REQUIRED: compound-quote delimiter in Universe on Sheet 1 row ",242,"; edit the input before running."),_xlfn.CONCAT("char ",TRIM($B242),"[doc_universe] ",CHAR(96),CHAR(34),SUBSTITUTE(SUBSTITUTE(SUBSTITUTE(SUBSTITUTE(SUBSTITUTE(SUBSTITUTE($G242,CHAR(13)," "),CHAR(10)," "),CHAR(9)," "),CHAR(92),_xlfn.CONCAT(CHAR(92),CHAR(92))),"$",_xlfn.CONCAT(CHAR(92),"$")),CHAR(96),_xlfn.CONCAT(CHAR(92),CHAR(96))),CHAR(34),CHAR(39))))</f>
        <v/>
      </c>
      <c r="R242" s="5" t="str">
        <f>IF(OR(TRIM($B242)="",$H242=""),"",IF(OR(ISNUMBER(SEARCH(_xlfn.CONCAT(CHAR(96),CHAR(34)),$H242)),ISNUMBER(SEARCH(_xlfn.CONCAT(CHAR(34),CHAR(39)),$H242))),_xlfn.CONCAT("* REVIEW REQUIRED: compound-quote delimiter in Source on Sheet 1 row ",242,"; edit the input before running."),_xlfn.CONCAT("char ",TRIM($B242),"[doc_source] ",CHAR(96),CHAR(34),SUBSTITUTE(SUBSTITUTE(SUBSTITUTE(SUBSTITUTE(SUBSTITUTE(SUBSTITUTE($H242,CHAR(13)," "),CHAR(10)," "),CHAR(9)," "),CHAR(92),_xlfn.CONCAT(CHAR(92),CHAR(92))),"$",_xlfn.CONCAT(CHAR(92),"$")),CHAR(96),_xlfn.CONCAT(CHAR(92),CHAR(96))),CHAR(34),CHAR(39))))</f>
        <v/>
      </c>
      <c r="S242" s="5" t="str">
        <f>IF(OR(TRIM($B242)="",$I242=""),"",IF(OR(ISNUMBER(SEARCH(_xlfn.CONCAT(CHAR(96),CHAR(34)),$I242)),ISNUMBER(SEARCH(_xlfn.CONCAT(CHAR(34),CHAR(39)),$I242))),_xlfn.CONCAT("* REVIEW REQUIRED: compound-quote delimiter in Derivation on Sheet 1 row ",242,"; edit the input before running."),_xlfn.CONCAT("char ",TRIM($B242),"[doc_derivation] ",CHAR(96),CHAR(34),SUBSTITUTE(SUBSTITUTE(SUBSTITUTE(SUBSTITUTE(SUBSTITUTE(SUBSTITUTE($I242,CHAR(13)," "),CHAR(10)," "),CHAR(9)," "),CHAR(92),_xlfn.CONCAT(CHAR(92),CHAR(92))),"$",_xlfn.CONCAT(CHAR(92),"$")),CHAR(96),_xlfn.CONCAT(CHAR(92),CHAR(96))),CHAR(34),CHAR(39))))</f>
        <v/>
      </c>
      <c r="T242" s="5" t="str">
        <f>IF(OR(TRIM($B242)="",$J242=""),"",IF(OR(ISNUMBER(SEARCH(_xlfn.CONCAT(CHAR(96),CHAR(34)),$J242)),ISNUMBER(SEARCH(_xlfn.CONCAT(CHAR(34),CHAR(39)),$J242))),_xlfn.CONCAT("* REVIEW REQUIRED: compound-quote delimiter in Notes on Sheet 1 row ",242,"; edit the input before running."),_xlfn.CONCAT("char ",TRIM($B242),"[doc_notes] ",CHAR(96),CHAR(34),SUBSTITUTE(SUBSTITUTE(SUBSTITUTE(SUBSTITUTE(SUBSTITUTE(SUBSTITUTE($J242,CHAR(13)," "),CHAR(10)," "),CHAR(9)," "),CHAR(92),_xlfn.CONCAT(CHAR(92),CHAR(92))),"$",_xlfn.CONCAT(CHAR(92),"$")),CHAR(96),_xlfn.CONCAT(CHAR(92),CHAR(96))),CHAR(34),CHAR(39))))</f>
        <v/>
      </c>
      <c r="U242" s="5">
        <f t="shared" si="7"/>
        <v>0</v>
      </c>
    </row>
    <row r="243" spans="3:21" ht="30" customHeight="1" x14ac:dyDescent="0.2">
      <c r="C243" s="4"/>
      <c r="K243" s="5">
        <f t="shared" si="6"/>
        <v>0</v>
      </c>
      <c r="L243" s="5" t="str">
        <f>IF(OR(TRIM($B243)="",$A243=""),"",IF(OR(ISNUMBER(SEARCH(_xlfn.CONCAT(CHAR(96),CHAR(34)),$A243)),ISNUMBER(SEARCH(_xlfn.CONCAT(CHAR(34),CHAR(39)),$A243))),_xlfn.CONCAT("* REVIEW REQUIRED: compound-quote delimiter in Codebook Section on Sheet 1 row ",243,"; edit the input before running."),_xlfn.CONCAT("char ",TRIM($B243),"[doc_section] ",CHAR(96),CHAR(34),SUBSTITUTE(SUBSTITUTE(SUBSTITUTE(SUBSTITUTE(SUBSTITUTE(SUBSTITUTE($A243,CHAR(13)," "),CHAR(10)," "),CHAR(9)," "),CHAR(92),_xlfn.CONCAT(CHAR(92),CHAR(92))),"$",_xlfn.CONCAT(CHAR(92),"$")),CHAR(96),_xlfn.CONCAT(CHAR(92),CHAR(96))),CHAR(34),CHAR(39))))</f>
        <v/>
      </c>
      <c r="M243" s="5" t="str">
        <f>IF(OR(TRIM($B243)="",$C243=""),"",IF(IFERROR(MATCH(TRIM($C243),{"Quantitative","Continuous","Discrete","Categorical","Nominal","Ordinal","Identifier"},0),0)=0,_xlfn.CONCAT("* REVIEW REQUIRED: invalid Variable Type on Sheet 1 row ",243,"."),_xlfn.CONCAT("char ",TRIM($B243),"[doc_vartype] ",CHAR(96),CHAR(34),SUBSTITUTE(SUBSTITUTE(SUBSTITUTE(SUBSTITUTE(SUBSTITUTE(SUBSTITUTE(LOWER(TRIM($C243)),CHAR(13)," "),CHAR(10)," "),CHAR(9)," "),CHAR(92),_xlfn.CONCAT(CHAR(92),CHAR(92))),"$",_xlfn.CONCAT(CHAR(92),"$")),CHAR(96),_xlfn.CONCAT(CHAR(92),CHAR(96))),CHAR(34),CHAR(39))))</f>
        <v/>
      </c>
      <c r="N243" s="5" t="str">
        <f>IF(OR(TRIM($B243)="",$D243=""),"",IF(OR(ISNUMBER(SEARCH(_xlfn.CONCAT(CHAR(96),CHAR(34)),$D243)),ISNUMBER(SEARCH(_xlfn.CONCAT(CHAR(34),CHAR(39)),$D243))),_xlfn.CONCAT("* REVIEW REQUIRED: compound-quote delimiter in Item Number on Sheet 1 row ",243,"; edit the input before running."),_xlfn.CONCAT("char ",TRIM($B243),"[doc_itemnum] ",CHAR(96),CHAR(34),SUBSTITUTE(SUBSTITUTE(SUBSTITUTE(SUBSTITUTE(SUBSTITUTE(SUBSTITUTE($D243,CHAR(13)," "),CHAR(10)," "),CHAR(9)," "),CHAR(92),_xlfn.CONCAT(CHAR(92),CHAR(92))),"$",_xlfn.CONCAT(CHAR(92),"$")),CHAR(96),_xlfn.CONCAT(CHAR(92),CHAR(96))),CHAR(34),CHAR(39))))</f>
        <v/>
      </c>
      <c r="O243" s="5" t="str">
        <f>IF(OR(TRIM($B243)="",$E243=""),"",IF(OR(ISNUMBER(SEARCH(_xlfn.CONCAT(CHAR(96),CHAR(34)),$E243)),ISNUMBER(SEARCH(_xlfn.CONCAT(CHAR(34),CHAR(39)),$E243))),_xlfn.CONCAT("* REVIEW REQUIRED: compound-quote delimiter in Question Wording on Sheet 1 row ",243,"; edit the input before running."),_xlfn.CONCAT("char ",TRIM($B243),"[doc_question] ",CHAR(96),CHAR(34),SUBSTITUTE(SUBSTITUTE(SUBSTITUTE(SUBSTITUTE(SUBSTITUTE(SUBSTITUTE($E243,CHAR(13)," "),CHAR(10)," "),CHAR(9)," "),CHAR(92),_xlfn.CONCAT(CHAR(92),CHAR(92))),"$",_xlfn.CONCAT(CHAR(92),"$")),CHAR(96),_xlfn.CONCAT(CHAR(92),CHAR(96))),CHAR(34),CHAR(39))))</f>
        <v/>
      </c>
      <c r="P243" s="5" t="str">
        <f>IF(OR(TRIM($B243)="",$F243=""),"",IF(OR(ISNUMBER(SEARCH(_xlfn.CONCAT(CHAR(96),CHAR(34)),$F243)),ISNUMBER(SEARCH(_xlfn.CONCAT(CHAR(34),CHAR(39)),$F243))),_xlfn.CONCAT("* REVIEW REQUIRED: compound-quote delimiter in Units on Sheet 1 row ",243,"; edit the input before running."),_xlfn.CONCAT("char ",TRIM($B243),"[doc_units] ",CHAR(96),CHAR(34),SUBSTITUTE(SUBSTITUTE(SUBSTITUTE(SUBSTITUTE(SUBSTITUTE(SUBSTITUTE($F243,CHAR(13)," "),CHAR(10)," "),CHAR(9)," "),CHAR(92),_xlfn.CONCAT(CHAR(92),CHAR(92))),"$",_xlfn.CONCAT(CHAR(92),"$")),CHAR(96),_xlfn.CONCAT(CHAR(92),CHAR(96))),CHAR(34),CHAR(39))))</f>
        <v/>
      </c>
      <c r="Q243" s="5" t="str">
        <f>IF(OR(TRIM($B243)="",$G243=""),"",IF(OR(ISNUMBER(SEARCH(_xlfn.CONCAT(CHAR(96),CHAR(34)),$G243)),ISNUMBER(SEARCH(_xlfn.CONCAT(CHAR(34),CHAR(39)),$G243))),_xlfn.CONCAT("* REVIEW REQUIRED: compound-quote delimiter in Universe on Sheet 1 row ",243,"; edit the input before running."),_xlfn.CONCAT("char ",TRIM($B243),"[doc_universe] ",CHAR(96),CHAR(34),SUBSTITUTE(SUBSTITUTE(SUBSTITUTE(SUBSTITUTE(SUBSTITUTE(SUBSTITUTE($G243,CHAR(13)," "),CHAR(10)," "),CHAR(9)," "),CHAR(92),_xlfn.CONCAT(CHAR(92),CHAR(92))),"$",_xlfn.CONCAT(CHAR(92),"$")),CHAR(96),_xlfn.CONCAT(CHAR(92),CHAR(96))),CHAR(34),CHAR(39))))</f>
        <v/>
      </c>
      <c r="R243" s="5" t="str">
        <f>IF(OR(TRIM($B243)="",$H243=""),"",IF(OR(ISNUMBER(SEARCH(_xlfn.CONCAT(CHAR(96),CHAR(34)),$H243)),ISNUMBER(SEARCH(_xlfn.CONCAT(CHAR(34),CHAR(39)),$H243))),_xlfn.CONCAT("* REVIEW REQUIRED: compound-quote delimiter in Source on Sheet 1 row ",243,"; edit the input before running."),_xlfn.CONCAT("char ",TRIM($B243),"[doc_source] ",CHAR(96),CHAR(34),SUBSTITUTE(SUBSTITUTE(SUBSTITUTE(SUBSTITUTE(SUBSTITUTE(SUBSTITUTE($H243,CHAR(13)," "),CHAR(10)," "),CHAR(9)," "),CHAR(92),_xlfn.CONCAT(CHAR(92),CHAR(92))),"$",_xlfn.CONCAT(CHAR(92),"$")),CHAR(96),_xlfn.CONCAT(CHAR(92),CHAR(96))),CHAR(34),CHAR(39))))</f>
        <v/>
      </c>
      <c r="S243" s="5" t="str">
        <f>IF(OR(TRIM($B243)="",$I243=""),"",IF(OR(ISNUMBER(SEARCH(_xlfn.CONCAT(CHAR(96),CHAR(34)),$I243)),ISNUMBER(SEARCH(_xlfn.CONCAT(CHAR(34),CHAR(39)),$I243))),_xlfn.CONCAT("* REVIEW REQUIRED: compound-quote delimiter in Derivation on Sheet 1 row ",243,"; edit the input before running."),_xlfn.CONCAT("char ",TRIM($B243),"[doc_derivation] ",CHAR(96),CHAR(34),SUBSTITUTE(SUBSTITUTE(SUBSTITUTE(SUBSTITUTE(SUBSTITUTE(SUBSTITUTE($I243,CHAR(13)," "),CHAR(10)," "),CHAR(9)," "),CHAR(92),_xlfn.CONCAT(CHAR(92),CHAR(92))),"$",_xlfn.CONCAT(CHAR(92),"$")),CHAR(96),_xlfn.CONCAT(CHAR(92),CHAR(96))),CHAR(34),CHAR(39))))</f>
        <v/>
      </c>
      <c r="T243" s="5" t="str">
        <f>IF(OR(TRIM($B243)="",$J243=""),"",IF(OR(ISNUMBER(SEARCH(_xlfn.CONCAT(CHAR(96),CHAR(34)),$J243)),ISNUMBER(SEARCH(_xlfn.CONCAT(CHAR(34),CHAR(39)),$J243))),_xlfn.CONCAT("* REVIEW REQUIRED: compound-quote delimiter in Notes on Sheet 1 row ",243,"; edit the input before running."),_xlfn.CONCAT("char ",TRIM($B243),"[doc_notes] ",CHAR(96),CHAR(34),SUBSTITUTE(SUBSTITUTE(SUBSTITUTE(SUBSTITUTE(SUBSTITUTE(SUBSTITUTE($J243,CHAR(13)," "),CHAR(10)," "),CHAR(9)," "),CHAR(92),_xlfn.CONCAT(CHAR(92),CHAR(92))),"$",_xlfn.CONCAT(CHAR(92),"$")),CHAR(96),_xlfn.CONCAT(CHAR(92),CHAR(96))),CHAR(34),CHAR(39))))</f>
        <v/>
      </c>
      <c r="U243" s="5">
        <f t="shared" si="7"/>
        <v>0</v>
      </c>
    </row>
    <row r="244" spans="3:21" ht="30" customHeight="1" x14ac:dyDescent="0.2">
      <c r="C244" s="4"/>
      <c r="K244" s="5">
        <f t="shared" si="6"/>
        <v>0</v>
      </c>
      <c r="L244" s="5" t="str">
        <f>IF(OR(TRIM($B244)="",$A244=""),"",IF(OR(ISNUMBER(SEARCH(_xlfn.CONCAT(CHAR(96),CHAR(34)),$A244)),ISNUMBER(SEARCH(_xlfn.CONCAT(CHAR(34),CHAR(39)),$A244))),_xlfn.CONCAT("* REVIEW REQUIRED: compound-quote delimiter in Codebook Section on Sheet 1 row ",244,"; edit the input before running."),_xlfn.CONCAT("char ",TRIM($B244),"[doc_section] ",CHAR(96),CHAR(34),SUBSTITUTE(SUBSTITUTE(SUBSTITUTE(SUBSTITUTE(SUBSTITUTE(SUBSTITUTE($A244,CHAR(13)," "),CHAR(10)," "),CHAR(9)," "),CHAR(92),_xlfn.CONCAT(CHAR(92),CHAR(92))),"$",_xlfn.CONCAT(CHAR(92),"$")),CHAR(96),_xlfn.CONCAT(CHAR(92),CHAR(96))),CHAR(34),CHAR(39))))</f>
        <v/>
      </c>
      <c r="M244" s="5" t="str">
        <f>IF(OR(TRIM($B244)="",$C244=""),"",IF(IFERROR(MATCH(TRIM($C244),{"Quantitative","Continuous","Discrete","Categorical","Nominal","Ordinal","Identifier"},0),0)=0,_xlfn.CONCAT("* REVIEW REQUIRED: invalid Variable Type on Sheet 1 row ",244,"."),_xlfn.CONCAT("char ",TRIM($B244),"[doc_vartype] ",CHAR(96),CHAR(34),SUBSTITUTE(SUBSTITUTE(SUBSTITUTE(SUBSTITUTE(SUBSTITUTE(SUBSTITUTE(LOWER(TRIM($C244)),CHAR(13)," "),CHAR(10)," "),CHAR(9)," "),CHAR(92),_xlfn.CONCAT(CHAR(92),CHAR(92))),"$",_xlfn.CONCAT(CHAR(92),"$")),CHAR(96),_xlfn.CONCAT(CHAR(92),CHAR(96))),CHAR(34),CHAR(39))))</f>
        <v/>
      </c>
      <c r="N244" s="5" t="str">
        <f>IF(OR(TRIM($B244)="",$D244=""),"",IF(OR(ISNUMBER(SEARCH(_xlfn.CONCAT(CHAR(96),CHAR(34)),$D244)),ISNUMBER(SEARCH(_xlfn.CONCAT(CHAR(34),CHAR(39)),$D244))),_xlfn.CONCAT("* REVIEW REQUIRED: compound-quote delimiter in Item Number on Sheet 1 row ",244,"; edit the input before running."),_xlfn.CONCAT("char ",TRIM($B244),"[doc_itemnum] ",CHAR(96),CHAR(34),SUBSTITUTE(SUBSTITUTE(SUBSTITUTE(SUBSTITUTE(SUBSTITUTE(SUBSTITUTE($D244,CHAR(13)," "),CHAR(10)," "),CHAR(9)," "),CHAR(92),_xlfn.CONCAT(CHAR(92),CHAR(92))),"$",_xlfn.CONCAT(CHAR(92),"$")),CHAR(96),_xlfn.CONCAT(CHAR(92),CHAR(96))),CHAR(34),CHAR(39))))</f>
        <v/>
      </c>
      <c r="O244" s="5" t="str">
        <f>IF(OR(TRIM($B244)="",$E244=""),"",IF(OR(ISNUMBER(SEARCH(_xlfn.CONCAT(CHAR(96),CHAR(34)),$E244)),ISNUMBER(SEARCH(_xlfn.CONCAT(CHAR(34),CHAR(39)),$E244))),_xlfn.CONCAT("* REVIEW REQUIRED: compound-quote delimiter in Question Wording on Sheet 1 row ",244,"; edit the input before running."),_xlfn.CONCAT("char ",TRIM($B244),"[doc_question] ",CHAR(96),CHAR(34),SUBSTITUTE(SUBSTITUTE(SUBSTITUTE(SUBSTITUTE(SUBSTITUTE(SUBSTITUTE($E244,CHAR(13)," "),CHAR(10)," "),CHAR(9)," "),CHAR(92),_xlfn.CONCAT(CHAR(92),CHAR(92))),"$",_xlfn.CONCAT(CHAR(92),"$")),CHAR(96),_xlfn.CONCAT(CHAR(92),CHAR(96))),CHAR(34),CHAR(39))))</f>
        <v/>
      </c>
      <c r="P244" s="5" t="str">
        <f>IF(OR(TRIM($B244)="",$F244=""),"",IF(OR(ISNUMBER(SEARCH(_xlfn.CONCAT(CHAR(96),CHAR(34)),$F244)),ISNUMBER(SEARCH(_xlfn.CONCAT(CHAR(34),CHAR(39)),$F244))),_xlfn.CONCAT("* REVIEW REQUIRED: compound-quote delimiter in Units on Sheet 1 row ",244,"; edit the input before running."),_xlfn.CONCAT("char ",TRIM($B244),"[doc_units] ",CHAR(96),CHAR(34),SUBSTITUTE(SUBSTITUTE(SUBSTITUTE(SUBSTITUTE(SUBSTITUTE(SUBSTITUTE($F244,CHAR(13)," "),CHAR(10)," "),CHAR(9)," "),CHAR(92),_xlfn.CONCAT(CHAR(92),CHAR(92))),"$",_xlfn.CONCAT(CHAR(92),"$")),CHAR(96),_xlfn.CONCAT(CHAR(92),CHAR(96))),CHAR(34),CHAR(39))))</f>
        <v/>
      </c>
      <c r="Q244" s="5" t="str">
        <f>IF(OR(TRIM($B244)="",$G244=""),"",IF(OR(ISNUMBER(SEARCH(_xlfn.CONCAT(CHAR(96),CHAR(34)),$G244)),ISNUMBER(SEARCH(_xlfn.CONCAT(CHAR(34),CHAR(39)),$G244))),_xlfn.CONCAT("* REVIEW REQUIRED: compound-quote delimiter in Universe on Sheet 1 row ",244,"; edit the input before running."),_xlfn.CONCAT("char ",TRIM($B244),"[doc_universe] ",CHAR(96),CHAR(34),SUBSTITUTE(SUBSTITUTE(SUBSTITUTE(SUBSTITUTE(SUBSTITUTE(SUBSTITUTE($G244,CHAR(13)," "),CHAR(10)," "),CHAR(9)," "),CHAR(92),_xlfn.CONCAT(CHAR(92),CHAR(92))),"$",_xlfn.CONCAT(CHAR(92),"$")),CHAR(96),_xlfn.CONCAT(CHAR(92),CHAR(96))),CHAR(34),CHAR(39))))</f>
        <v/>
      </c>
      <c r="R244" s="5" t="str">
        <f>IF(OR(TRIM($B244)="",$H244=""),"",IF(OR(ISNUMBER(SEARCH(_xlfn.CONCAT(CHAR(96),CHAR(34)),$H244)),ISNUMBER(SEARCH(_xlfn.CONCAT(CHAR(34),CHAR(39)),$H244))),_xlfn.CONCAT("* REVIEW REQUIRED: compound-quote delimiter in Source on Sheet 1 row ",244,"; edit the input before running."),_xlfn.CONCAT("char ",TRIM($B244),"[doc_source] ",CHAR(96),CHAR(34),SUBSTITUTE(SUBSTITUTE(SUBSTITUTE(SUBSTITUTE(SUBSTITUTE(SUBSTITUTE($H244,CHAR(13)," "),CHAR(10)," "),CHAR(9)," "),CHAR(92),_xlfn.CONCAT(CHAR(92),CHAR(92))),"$",_xlfn.CONCAT(CHAR(92),"$")),CHAR(96),_xlfn.CONCAT(CHAR(92),CHAR(96))),CHAR(34),CHAR(39))))</f>
        <v/>
      </c>
      <c r="S244" s="5" t="str">
        <f>IF(OR(TRIM($B244)="",$I244=""),"",IF(OR(ISNUMBER(SEARCH(_xlfn.CONCAT(CHAR(96),CHAR(34)),$I244)),ISNUMBER(SEARCH(_xlfn.CONCAT(CHAR(34),CHAR(39)),$I244))),_xlfn.CONCAT("* REVIEW REQUIRED: compound-quote delimiter in Derivation on Sheet 1 row ",244,"; edit the input before running."),_xlfn.CONCAT("char ",TRIM($B244),"[doc_derivation] ",CHAR(96),CHAR(34),SUBSTITUTE(SUBSTITUTE(SUBSTITUTE(SUBSTITUTE(SUBSTITUTE(SUBSTITUTE($I244,CHAR(13)," "),CHAR(10)," "),CHAR(9)," "),CHAR(92),_xlfn.CONCAT(CHAR(92),CHAR(92))),"$",_xlfn.CONCAT(CHAR(92),"$")),CHAR(96),_xlfn.CONCAT(CHAR(92),CHAR(96))),CHAR(34),CHAR(39))))</f>
        <v/>
      </c>
      <c r="T244" s="5" t="str">
        <f>IF(OR(TRIM($B244)="",$J244=""),"",IF(OR(ISNUMBER(SEARCH(_xlfn.CONCAT(CHAR(96),CHAR(34)),$J244)),ISNUMBER(SEARCH(_xlfn.CONCAT(CHAR(34),CHAR(39)),$J244))),_xlfn.CONCAT("* REVIEW REQUIRED: compound-quote delimiter in Notes on Sheet 1 row ",244,"; edit the input before running."),_xlfn.CONCAT("char ",TRIM($B244),"[doc_notes] ",CHAR(96),CHAR(34),SUBSTITUTE(SUBSTITUTE(SUBSTITUTE(SUBSTITUTE(SUBSTITUTE(SUBSTITUTE($J244,CHAR(13)," "),CHAR(10)," "),CHAR(9)," "),CHAR(92),_xlfn.CONCAT(CHAR(92),CHAR(92))),"$",_xlfn.CONCAT(CHAR(92),"$")),CHAR(96),_xlfn.CONCAT(CHAR(92),CHAR(96))),CHAR(34),CHAR(39))))</f>
        <v/>
      </c>
      <c r="U244" s="5">
        <f t="shared" si="7"/>
        <v>0</v>
      </c>
    </row>
    <row r="245" spans="3:21" ht="30" customHeight="1" x14ac:dyDescent="0.2">
      <c r="C245" s="4"/>
      <c r="K245" s="5">
        <f t="shared" si="6"/>
        <v>0</v>
      </c>
      <c r="L245" s="5" t="str">
        <f>IF(OR(TRIM($B245)="",$A245=""),"",IF(OR(ISNUMBER(SEARCH(_xlfn.CONCAT(CHAR(96),CHAR(34)),$A245)),ISNUMBER(SEARCH(_xlfn.CONCAT(CHAR(34),CHAR(39)),$A245))),_xlfn.CONCAT("* REVIEW REQUIRED: compound-quote delimiter in Codebook Section on Sheet 1 row ",245,"; edit the input before running."),_xlfn.CONCAT("char ",TRIM($B245),"[doc_section] ",CHAR(96),CHAR(34),SUBSTITUTE(SUBSTITUTE(SUBSTITUTE(SUBSTITUTE(SUBSTITUTE(SUBSTITUTE($A245,CHAR(13)," "),CHAR(10)," "),CHAR(9)," "),CHAR(92),_xlfn.CONCAT(CHAR(92),CHAR(92))),"$",_xlfn.CONCAT(CHAR(92),"$")),CHAR(96),_xlfn.CONCAT(CHAR(92),CHAR(96))),CHAR(34),CHAR(39))))</f>
        <v/>
      </c>
      <c r="M245" s="5" t="str">
        <f>IF(OR(TRIM($B245)="",$C245=""),"",IF(IFERROR(MATCH(TRIM($C245),{"Quantitative","Continuous","Discrete","Categorical","Nominal","Ordinal","Identifier"},0),0)=0,_xlfn.CONCAT("* REVIEW REQUIRED: invalid Variable Type on Sheet 1 row ",245,"."),_xlfn.CONCAT("char ",TRIM($B245),"[doc_vartype] ",CHAR(96),CHAR(34),SUBSTITUTE(SUBSTITUTE(SUBSTITUTE(SUBSTITUTE(SUBSTITUTE(SUBSTITUTE(LOWER(TRIM($C245)),CHAR(13)," "),CHAR(10)," "),CHAR(9)," "),CHAR(92),_xlfn.CONCAT(CHAR(92),CHAR(92))),"$",_xlfn.CONCAT(CHAR(92),"$")),CHAR(96),_xlfn.CONCAT(CHAR(92),CHAR(96))),CHAR(34),CHAR(39))))</f>
        <v/>
      </c>
      <c r="N245" s="5" t="str">
        <f>IF(OR(TRIM($B245)="",$D245=""),"",IF(OR(ISNUMBER(SEARCH(_xlfn.CONCAT(CHAR(96),CHAR(34)),$D245)),ISNUMBER(SEARCH(_xlfn.CONCAT(CHAR(34),CHAR(39)),$D245))),_xlfn.CONCAT("* REVIEW REQUIRED: compound-quote delimiter in Item Number on Sheet 1 row ",245,"; edit the input before running."),_xlfn.CONCAT("char ",TRIM($B245),"[doc_itemnum] ",CHAR(96),CHAR(34),SUBSTITUTE(SUBSTITUTE(SUBSTITUTE(SUBSTITUTE(SUBSTITUTE(SUBSTITUTE($D245,CHAR(13)," "),CHAR(10)," "),CHAR(9)," "),CHAR(92),_xlfn.CONCAT(CHAR(92),CHAR(92))),"$",_xlfn.CONCAT(CHAR(92),"$")),CHAR(96),_xlfn.CONCAT(CHAR(92),CHAR(96))),CHAR(34),CHAR(39))))</f>
        <v/>
      </c>
      <c r="O245" s="5" t="str">
        <f>IF(OR(TRIM($B245)="",$E245=""),"",IF(OR(ISNUMBER(SEARCH(_xlfn.CONCAT(CHAR(96),CHAR(34)),$E245)),ISNUMBER(SEARCH(_xlfn.CONCAT(CHAR(34),CHAR(39)),$E245))),_xlfn.CONCAT("* REVIEW REQUIRED: compound-quote delimiter in Question Wording on Sheet 1 row ",245,"; edit the input before running."),_xlfn.CONCAT("char ",TRIM($B245),"[doc_question] ",CHAR(96),CHAR(34),SUBSTITUTE(SUBSTITUTE(SUBSTITUTE(SUBSTITUTE(SUBSTITUTE(SUBSTITUTE($E245,CHAR(13)," "),CHAR(10)," "),CHAR(9)," "),CHAR(92),_xlfn.CONCAT(CHAR(92),CHAR(92))),"$",_xlfn.CONCAT(CHAR(92),"$")),CHAR(96),_xlfn.CONCAT(CHAR(92),CHAR(96))),CHAR(34),CHAR(39))))</f>
        <v/>
      </c>
      <c r="P245" s="5" t="str">
        <f>IF(OR(TRIM($B245)="",$F245=""),"",IF(OR(ISNUMBER(SEARCH(_xlfn.CONCAT(CHAR(96),CHAR(34)),$F245)),ISNUMBER(SEARCH(_xlfn.CONCAT(CHAR(34),CHAR(39)),$F245))),_xlfn.CONCAT("* REVIEW REQUIRED: compound-quote delimiter in Units on Sheet 1 row ",245,"; edit the input before running."),_xlfn.CONCAT("char ",TRIM($B245),"[doc_units] ",CHAR(96),CHAR(34),SUBSTITUTE(SUBSTITUTE(SUBSTITUTE(SUBSTITUTE(SUBSTITUTE(SUBSTITUTE($F245,CHAR(13)," "),CHAR(10)," "),CHAR(9)," "),CHAR(92),_xlfn.CONCAT(CHAR(92),CHAR(92))),"$",_xlfn.CONCAT(CHAR(92),"$")),CHAR(96),_xlfn.CONCAT(CHAR(92),CHAR(96))),CHAR(34),CHAR(39))))</f>
        <v/>
      </c>
      <c r="Q245" s="5" t="str">
        <f>IF(OR(TRIM($B245)="",$G245=""),"",IF(OR(ISNUMBER(SEARCH(_xlfn.CONCAT(CHAR(96),CHAR(34)),$G245)),ISNUMBER(SEARCH(_xlfn.CONCAT(CHAR(34),CHAR(39)),$G245))),_xlfn.CONCAT("* REVIEW REQUIRED: compound-quote delimiter in Universe on Sheet 1 row ",245,"; edit the input before running."),_xlfn.CONCAT("char ",TRIM($B245),"[doc_universe] ",CHAR(96),CHAR(34),SUBSTITUTE(SUBSTITUTE(SUBSTITUTE(SUBSTITUTE(SUBSTITUTE(SUBSTITUTE($G245,CHAR(13)," "),CHAR(10)," "),CHAR(9)," "),CHAR(92),_xlfn.CONCAT(CHAR(92),CHAR(92))),"$",_xlfn.CONCAT(CHAR(92),"$")),CHAR(96),_xlfn.CONCAT(CHAR(92),CHAR(96))),CHAR(34),CHAR(39))))</f>
        <v/>
      </c>
      <c r="R245" s="5" t="str">
        <f>IF(OR(TRIM($B245)="",$H245=""),"",IF(OR(ISNUMBER(SEARCH(_xlfn.CONCAT(CHAR(96),CHAR(34)),$H245)),ISNUMBER(SEARCH(_xlfn.CONCAT(CHAR(34),CHAR(39)),$H245))),_xlfn.CONCAT("* REVIEW REQUIRED: compound-quote delimiter in Source on Sheet 1 row ",245,"; edit the input before running."),_xlfn.CONCAT("char ",TRIM($B245),"[doc_source] ",CHAR(96),CHAR(34),SUBSTITUTE(SUBSTITUTE(SUBSTITUTE(SUBSTITUTE(SUBSTITUTE(SUBSTITUTE($H245,CHAR(13)," "),CHAR(10)," "),CHAR(9)," "),CHAR(92),_xlfn.CONCAT(CHAR(92),CHAR(92))),"$",_xlfn.CONCAT(CHAR(92),"$")),CHAR(96),_xlfn.CONCAT(CHAR(92),CHAR(96))),CHAR(34),CHAR(39))))</f>
        <v/>
      </c>
      <c r="S245" s="5" t="str">
        <f>IF(OR(TRIM($B245)="",$I245=""),"",IF(OR(ISNUMBER(SEARCH(_xlfn.CONCAT(CHAR(96),CHAR(34)),$I245)),ISNUMBER(SEARCH(_xlfn.CONCAT(CHAR(34),CHAR(39)),$I245))),_xlfn.CONCAT("* REVIEW REQUIRED: compound-quote delimiter in Derivation on Sheet 1 row ",245,"; edit the input before running."),_xlfn.CONCAT("char ",TRIM($B245),"[doc_derivation] ",CHAR(96),CHAR(34),SUBSTITUTE(SUBSTITUTE(SUBSTITUTE(SUBSTITUTE(SUBSTITUTE(SUBSTITUTE($I245,CHAR(13)," "),CHAR(10)," "),CHAR(9)," "),CHAR(92),_xlfn.CONCAT(CHAR(92),CHAR(92))),"$",_xlfn.CONCAT(CHAR(92),"$")),CHAR(96),_xlfn.CONCAT(CHAR(92),CHAR(96))),CHAR(34),CHAR(39))))</f>
        <v/>
      </c>
      <c r="T245" s="5" t="str">
        <f>IF(OR(TRIM($B245)="",$J245=""),"",IF(OR(ISNUMBER(SEARCH(_xlfn.CONCAT(CHAR(96),CHAR(34)),$J245)),ISNUMBER(SEARCH(_xlfn.CONCAT(CHAR(34),CHAR(39)),$J245))),_xlfn.CONCAT("* REVIEW REQUIRED: compound-quote delimiter in Notes on Sheet 1 row ",245,"; edit the input before running."),_xlfn.CONCAT("char ",TRIM($B245),"[doc_notes] ",CHAR(96),CHAR(34),SUBSTITUTE(SUBSTITUTE(SUBSTITUTE(SUBSTITUTE(SUBSTITUTE(SUBSTITUTE($J245,CHAR(13)," "),CHAR(10)," "),CHAR(9)," "),CHAR(92),_xlfn.CONCAT(CHAR(92),CHAR(92))),"$",_xlfn.CONCAT(CHAR(92),"$")),CHAR(96),_xlfn.CONCAT(CHAR(92),CHAR(96))),CHAR(34),CHAR(39))))</f>
        <v/>
      </c>
      <c r="U245" s="5">
        <f t="shared" si="7"/>
        <v>0</v>
      </c>
    </row>
    <row r="246" spans="3:21" ht="30" customHeight="1" x14ac:dyDescent="0.2">
      <c r="C246" s="4"/>
      <c r="K246" s="5">
        <f t="shared" si="6"/>
        <v>0</v>
      </c>
      <c r="L246" s="5" t="str">
        <f>IF(OR(TRIM($B246)="",$A246=""),"",IF(OR(ISNUMBER(SEARCH(_xlfn.CONCAT(CHAR(96),CHAR(34)),$A246)),ISNUMBER(SEARCH(_xlfn.CONCAT(CHAR(34),CHAR(39)),$A246))),_xlfn.CONCAT("* REVIEW REQUIRED: compound-quote delimiter in Codebook Section on Sheet 1 row ",246,"; edit the input before running."),_xlfn.CONCAT("char ",TRIM($B246),"[doc_section] ",CHAR(96),CHAR(34),SUBSTITUTE(SUBSTITUTE(SUBSTITUTE(SUBSTITUTE(SUBSTITUTE(SUBSTITUTE($A246,CHAR(13)," "),CHAR(10)," "),CHAR(9)," "),CHAR(92),_xlfn.CONCAT(CHAR(92),CHAR(92))),"$",_xlfn.CONCAT(CHAR(92),"$")),CHAR(96),_xlfn.CONCAT(CHAR(92),CHAR(96))),CHAR(34),CHAR(39))))</f>
        <v/>
      </c>
      <c r="M246" s="5" t="str">
        <f>IF(OR(TRIM($B246)="",$C246=""),"",IF(IFERROR(MATCH(TRIM($C246),{"Quantitative","Continuous","Discrete","Categorical","Nominal","Ordinal","Identifier"},0),0)=0,_xlfn.CONCAT("* REVIEW REQUIRED: invalid Variable Type on Sheet 1 row ",246,"."),_xlfn.CONCAT("char ",TRIM($B246),"[doc_vartype] ",CHAR(96),CHAR(34),SUBSTITUTE(SUBSTITUTE(SUBSTITUTE(SUBSTITUTE(SUBSTITUTE(SUBSTITUTE(LOWER(TRIM($C246)),CHAR(13)," "),CHAR(10)," "),CHAR(9)," "),CHAR(92),_xlfn.CONCAT(CHAR(92),CHAR(92))),"$",_xlfn.CONCAT(CHAR(92),"$")),CHAR(96),_xlfn.CONCAT(CHAR(92),CHAR(96))),CHAR(34),CHAR(39))))</f>
        <v/>
      </c>
      <c r="N246" s="5" t="str">
        <f>IF(OR(TRIM($B246)="",$D246=""),"",IF(OR(ISNUMBER(SEARCH(_xlfn.CONCAT(CHAR(96),CHAR(34)),$D246)),ISNUMBER(SEARCH(_xlfn.CONCAT(CHAR(34),CHAR(39)),$D246))),_xlfn.CONCAT("* REVIEW REQUIRED: compound-quote delimiter in Item Number on Sheet 1 row ",246,"; edit the input before running."),_xlfn.CONCAT("char ",TRIM($B246),"[doc_itemnum] ",CHAR(96),CHAR(34),SUBSTITUTE(SUBSTITUTE(SUBSTITUTE(SUBSTITUTE(SUBSTITUTE(SUBSTITUTE($D246,CHAR(13)," "),CHAR(10)," "),CHAR(9)," "),CHAR(92),_xlfn.CONCAT(CHAR(92),CHAR(92))),"$",_xlfn.CONCAT(CHAR(92),"$")),CHAR(96),_xlfn.CONCAT(CHAR(92),CHAR(96))),CHAR(34),CHAR(39))))</f>
        <v/>
      </c>
      <c r="O246" s="5" t="str">
        <f>IF(OR(TRIM($B246)="",$E246=""),"",IF(OR(ISNUMBER(SEARCH(_xlfn.CONCAT(CHAR(96),CHAR(34)),$E246)),ISNUMBER(SEARCH(_xlfn.CONCAT(CHAR(34),CHAR(39)),$E246))),_xlfn.CONCAT("* REVIEW REQUIRED: compound-quote delimiter in Question Wording on Sheet 1 row ",246,"; edit the input before running."),_xlfn.CONCAT("char ",TRIM($B246),"[doc_question] ",CHAR(96),CHAR(34),SUBSTITUTE(SUBSTITUTE(SUBSTITUTE(SUBSTITUTE(SUBSTITUTE(SUBSTITUTE($E246,CHAR(13)," "),CHAR(10)," "),CHAR(9)," "),CHAR(92),_xlfn.CONCAT(CHAR(92),CHAR(92))),"$",_xlfn.CONCAT(CHAR(92),"$")),CHAR(96),_xlfn.CONCAT(CHAR(92),CHAR(96))),CHAR(34),CHAR(39))))</f>
        <v/>
      </c>
      <c r="P246" s="5" t="str">
        <f>IF(OR(TRIM($B246)="",$F246=""),"",IF(OR(ISNUMBER(SEARCH(_xlfn.CONCAT(CHAR(96),CHAR(34)),$F246)),ISNUMBER(SEARCH(_xlfn.CONCAT(CHAR(34),CHAR(39)),$F246))),_xlfn.CONCAT("* REVIEW REQUIRED: compound-quote delimiter in Units on Sheet 1 row ",246,"; edit the input before running."),_xlfn.CONCAT("char ",TRIM($B246),"[doc_units] ",CHAR(96),CHAR(34),SUBSTITUTE(SUBSTITUTE(SUBSTITUTE(SUBSTITUTE(SUBSTITUTE(SUBSTITUTE($F246,CHAR(13)," "),CHAR(10)," "),CHAR(9)," "),CHAR(92),_xlfn.CONCAT(CHAR(92),CHAR(92))),"$",_xlfn.CONCAT(CHAR(92),"$")),CHAR(96),_xlfn.CONCAT(CHAR(92),CHAR(96))),CHAR(34),CHAR(39))))</f>
        <v/>
      </c>
      <c r="Q246" s="5" t="str">
        <f>IF(OR(TRIM($B246)="",$G246=""),"",IF(OR(ISNUMBER(SEARCH(_xlfn.CONCAT(CHAR(96),CHAR(34)),$G246)),ISNUMBER(SEARCH(_xlfn.CONCAT(CHAR(34),CHAR(39)),$G246))),_xlfn.CONCAT("* REVIEW REQUIRED: compound-quote delimiter in Universe on Sheet 1 row ",246,"; edit the input before running."),_xlfn.CONCAT("char ",TRIM($B246),"[doc_universe] ",CHAR(96),CHAR(34),SUBSTITUTE(SUBSTITUTE(SUBSTITUTE(SUBSTITUTE(SUBSTITUTE(SUBSTITUTE($G246,CHAR(13)," "),CHAR(10)," "),CHAR(9)," "),CHAR(92),_xlfn.CONCAT(CHAR(92),CHAR(92))),"$",_xlfn.CONCAT(CHAR(92),"$")),CHAR(96),_xlfn.CONCAT(CHAR(92),CHAR(96))),CHAR(34),CHAR(39))))</f>
        <v/>
      </c>
      <c r="R246" s="5" t="str">
        <f>IF(OR(TRIM($B246)="",$H246=""),"",IF(OR(ISNUMBER(SEARCH(_xlfn.CONCAT(CHAR(96),CHAR(34)),$H246)),ISNUMBER(SEARCH(_xlfn.CONCAT(CHAR(34),CHAR(39)),$H246))),_xlfn.CONCAT("* REVIEW REQUIRED: compound-quote delimiter in Source on Sheet 1 row ",246,"; edit the input before running."),_xlfn.CONCAT("char ",TRIM($B246),"[doc_source] ",CHAR(96),CHAR(34),SUBSTITUTE(SUBSTITUTE(SUBSTITUTE(SUBSTITUTE(SUBSTITUTE(SUBSTITUTE($H246,CHAR(13)," "),CHAR(10)," "),CHAR(9)," "),CHAR(92),_xlfn.CONCAT(CHAR(92),CHAR(92))),"$",_xlfn.CONCAT(CHAR(92),"$")),CHAR(96),_xlfn.CONCAT(CHAR(92),CHAR(96))),CHAR(34),CHAR(39))))</f>
        <v/>
      </c>
      <c r="S246" s="5" t="str">
        <f>IF(OR(TRIM($B246)="",$I246=""),"",IF(OR(ISNUMBER(SEARCH(_xlfn.CONCAT(CHAR(96),CHAR(34)),$I246)),ISNUMBER(SEARCH(_xlfn.CONCAT(CHAR(34),CHAR(39)),$I246))),_xlfn.CONCAT("* REVIEW REQUIRED: compound-quote delimiter in Derivation on Sheet 1 row ",246,"; edit the input before running."),_xlfn.CONCAT("char ",TRIM($B246),"[doc_derivation] ",CHAR(96),CHAR(34),SUBSTITUTE(SUBSTITUTE(SUBSTITUTE(SUBSTITUTE(SUBSTITUTE(SUBSTITUTE($I246,CHAR(13)," "),CHAR(10)," "),CHAR(9)," "),CHAR(92),_xlfn.CONCAT(CHAR(92),CHAR(92))),"$",_xlfn.CONCAT(CHAR(92),"$")),CHAR(96),_xlfn.CONCAT(CHAR(92),CHAR(96))),CHAR(34),CHAR(39))))</f>
        <v/>
      </c>
      <c r="T246" s="5" t="str">
        <f>IF(OR(TRIM($B246)="",$J246=""),"",IF(OR(ISNUMBER(SEARCH(_xlfn.CONCAT(CHAR(96),CHAR(34)),$J246)),ISNUMBER(SEARCH(_xlfn.CONCAT(CHAR(34),CHAR(39)),$J246))),_xlfn.CONCAT("* REVIEW REQUIRED: compound-quote delimiter in Notes on Sheet 1 row ",246,"; edit the input before running."),_xlfn.CONCAT("char ",TRIM($B246),"[doc_notes] ",CHAR(96),CHAR(34),SUBSTITUTE(SUBSTITUTE(SUBSTITUTE(SUBSTITUTE(SUBSTITUTE(SUBSTITUTE($J246,CHAR(13)," "),CHAR(10)," "),CHAR(9)," "),CHAR(92),_xlfn.CONCAT(CHAR(92),CHAR(92))),"$",_xlfn.CONCAT(CHAR(92),"$")),CHAR(96),_xlfn.CONCAT(CHAR(92),CHAR(96))),CHAR(34),CHAR(39))))</f>
        <v/>
      </c>
      <c r="U246" s="5">
        <f t="shared" si="7"/>
        <v>0</v>
      </c>
    </row>
    <row r="247" spans="3:21" ht="30" customHeight="1" x14ac:dyDescent="0.2">
      <c r="C247" s="4"/>
      <c r="K247" s="5">
        <f t="shared" si="6"/>
        <v>0</v>
      </c>
      <c r="L247" s="5" t="str">
        <f>IF(OR(TRIM($B247)="",$A247=""),"",IF(OR(ISNUMBER(SEARCH(_xlfn.CONCAT(CHAR(96),CHAR(34)),$A247)),ISNUMBER(SEARCH(_xlfn.CONCAT(CHAR(34),CHAR(39)),$A247))),_xlfn.CONCAT("* REVIEW REQUIRED: compound-quote delimiter in Codebook Section on Sheet 1 row ",247,"; edit the input before running."),_xlfn.CONCAT("char ",TRIM($B247),"[doc_section] ",CHAR(96),CHAR(34),SUBSTITUTE(SUBSTITUTE(SUBSTITUTE(SUBSTITUTE(SUBSTITUTE(SUBSTITUTE($A247,CHAR(13)," "),CHAR(10)," "),CHAR(9)," "),CHAR(92),_xlfn.CONCAT(CHAR(92),CHAR(92))),"$",_xlfn.CONCAT(CHAR(92),"$")),CHAR(96),_xlfn.CONCAT(CHAR(92),CHAR(96))),CHAR(34),CHAR(39))))</f>
        <v/>
      </c>
      <c r="M247" s="5" t="str">
        <f>IF(OR(TRIM($B247)="",$C247=""),"",IF(IFERROR(MATCH(TRIM($C247),{"Quantitative","Continuous","Discrete","Categorical","Nominal","Ordinal","Identifier"},0),0)=0,_xlfn.CONCAT("* REVIEW REQUIRED: invalid Variable Type on Sheet 1 row ",247,"."),_xlfn.CONCAT("char ",TRIM($B247),"[doc_vartype] ",CHAR(96),CHAR(34),SUBSTITUTE(SUBSTITUTE(SUBSTITUTE(SUBSTITUTE(SUBSTITUTE(SUBSTITUTE(LOWER(TRIM($C247)),CHAR(13)," "),CHAR(10)," "),CHAR(9)," "),CHAR(92),_xlfn.CONCAT(CHAR(92),CHAR(92))),"$",_xlfn.CONCAT(CHAR(92),"$")),CHAR(96),_xlfn.CONCAT(CHAR(92),CHAR(96))),CHAR(34),CHAR(39))))</f>
        <v/>
      </c>
      <c r="N247" s="5" t="str">
        <f>IF(OR(TRIM($B247)="",$D247=""),"",IF(OR(ISNUMBER(SEARCH(_xlfn.CONCAT(CHAR(96),CHAR(34)),$D247)),ISNUMBER(SEARCH(_xlfn.CONCAT(CHAR(34),CHAR(39)),$D247))),_xlfn.CONCAT("* REVIEW REQUIRED: compound-quote delimiter in Item Number on Sheet 1 row ",247,"; edit the input before running."),_xlfn.CONCAT("char ",TRIM($B247),"[doc_itemnum] ",CHAR(96),CHAR(34),SUBSTITUTE(SUBSTITUTE(SUBSTITUTE(SUBSTITUTE(SUBSTITUTE(SUBSTITUTE($D247,CHAR(13)," "),CHAR(10)," "),CHAR(9)," "),CHAR(92),_xlfn.CONCAT(CHAR(92),CHAR(92))),"$",_xlfn.CONCAT(CHAR(92),"$")),CHAR(96),_xlfn.CONCAT(CHAR(92),CHAR(96))),CHAR(34),CHAR(39))))</f>
        <v/>
      </c>
      <c r="O247" s="5" t="str">
        <f>IF(OR(TRIM($B247)="",$E247=""),"",IF(OR(ISNUMBER(SEARCH(_xlfn.CONCAT(CHAR(96),CHAR(34)),$E247)),ISNUMBER(SEARCH(_xlfn.CONCAT(CHAR(34),CHAR(39)),$E247))),_xlfn.CONCAT("* REVIEW REQUIRED: compound-quote delimiter in Question Wording on Sheet 1 row ",247,"; edit the input before running."),_xlfn.CONCAT("char ",TRIM($B247),"[doc_question] ",CHAR(96),CHAR(34),SUBSTITUTE(SUBSTITUTE(SUBSTITUTE(SUBSTITUTE(SUBSTITUTE(SUBSTITUTE($E247,CHAR(13)," "),CHAR(10)," "),CHAR(9)," "),CHAR(92),_xlfn.CONCAT(CHAR(92),CHAR(92))),"$",_xlfn.CONCAT(CHAR(92),"$")),CHAR(96),_xlfn.CONCAT(CHAR(92),CHAR(96))),CHAR(34),CHAR(39))))</f>
        <v/>
      </c>
      <c r="P247" s="5" t="str">
        <f>IF(OR(TRIM($B247)="",$F247=""),"",IF(OR(ISNUMBER(SEARCH(_xlfn.CONCAT(CHAR(96),CHAR(34)),$F247)),ISNUMBER(SEARCH(_xlfn.CONCAT(CHAR(34),CHAR(39)),$F247))),_xlfn.CONCAT("* REVIEW REQUIRED: compound-quote delimiter in Units on Sheet 1 row ",247,"; edit the input before running."),_xlfn.CONCAT("char ",TRIM($B247),"[doc_units] ",CHAR(96),CHAR(34),SUBSTITUTE(SUBSTITUTE(SUBSTITUTE(SUBSTITUTE(SUBSTITUTE(SUBSTITUTE($F247,CHAR(13)," "),CHAR(10)," "),CHAR(9)," "),CHAR(92),_xlfn.CONCAT(CHAR(92),CHAR(92))),"$",_xlfn.CONCAT(CHAR(92),"$")),CHAR(96),_xlfn.CONCAT(CHAR(92),CHAR(96))),CHAR(34),CHAR(39))))</f>
        <v/>
      </c>
      <c r="Q247" s="5" t="str">
        <f>IF(OR(TRIM($B247)="",$G247=""),"",IF(OR(ISNUMBER(SEARCH(_xlfn.CONCAT(CHAR(96),CHAR(34)),$G247)),ISNUMBER(SEARCH(_xlfn.CONCAT(CHAR(34),CHAR(39)),$G247))),_xlfn.CONCAT("* REVIEW REQUIRED: compound-quote delimiter in Universe on Sheet 1 row ",247,"; edit the input before running."),_xlfn.CONCAT("char ",TRIM($B247),"[doc_universe] ",CHAR(96),CHAR(34),SUBSTITUTE(SUBSTITUTE(SUBSTITUTE(SUBSTITUTE(SUBSTITUTE(SUBSTITUTE($G247,CHAR(13)," "),CHAR(10)," "),CHAR(9)," "),CHAR(92),_xlfn.CONCAT(CHAR(92),CHAR(92))),"$",_xlfn.CONCAT(CHAR(92),"$")),CHAR(96),_xlfn.CONCAT(CHAR(92),CHAR(96))),CHAR(34),CHAR(39))))</f>
        <v/>
      </c>
      <c r="R247" s="5" t="str">
        <f>IF(OR(TRIM($B247)="",$H247=""),"",IF(OR(ISNUMBER(SEARCH(_xlfn.CONCAT(CHAR(96),CHAR(34)),$H247)),ISNUMBER(SEARCH(_xlfn.CONCAT(CHAR(34),CHAR(39)),$H247))),_xlfn.CONCAT("* REVIEW REQUIRED: compound-quote delimiter in Source on Sheet 1 row ",247,"; edit the input before running."),_xlfn.CONCAT("char ",TRIM($B247),"[doc_source] ",CHAR(96),CHAR(34),SUBSTITUTE(SUBSTITUTE(SUBSTITUTE(SUBSTITUTE(SUBSTITUTE(SUBSTITUTE($H247,CHAR(13)," "),CHAR(10)," "),CHAR(9)," "),CHAR(92),_xlfn.CONCAT(CHAR(92),CHAR(92))),"$",_xlfn.CONCAT(CHAR(92),"$")),CHAR(96),_xlfn.CONCAT(CHAR(92),CHAR(96))),CHAR(34),CHAR(39))))</f>
        <v/>
      </c>
      <c r="S247" s="5" t="str">
        <f>IF(OR(TRIM($B247)="",$I247=""),"",IF(OR(ISNUMBER(SEARCH(_xlfn.CONCAT(CHAR(96),CHAR(34)),$I247)),ISNUMBER(SEARCH(_xlfn.CONCAT(CHAR(34),CHAR(39)),$I247))),_xlfn.CONCAT("* REVIEW REQUIRED: compound-quote delimiter in Derivation on Sheet 1 row ",247,"; edit the input before running."),_xlfn.CONCAT("char ",TRIM($B247),"[doc_derivation] ",CHAR(96),CHAR(34),SUBSTITUTE(SUBSTITUTE(SUBSTITUTE(SUBSTITUTE(SUBSTITUTE(SUBSTITUTE($I247,CHAR(13)," "),CHAR(10)," "),CHAR(9)," "),CHAR(92),_xlfn.CONCAT(CHAR(92),CHAR(92))),"$",_xlfn.CONCAT(CHAR(92),"$")),CHAR(96),_xlfn.CONCAT(CHAR(92),CHAR(96))),CHAR(34),CHAR(39))))</f>
        <v/>
      </c>
      <c r="T247" s="5" t="str">
        <f>IF(OR(TRIM($B247)="",$J247=""),"",IF(OR(ISNUMBER(SEARCH(_xlfn.CONCAT(CHAR(96),CHAR(34)),$J247)),ISNUMBER(SEARCH(_xlfn.CONCAT(CHAR(34),CHAR(39)),$J247))),_xlfn.CONCAT("* REVIEW REQUIRED: compound-quote delimiter in Notes on Sheet 1 row ",247,"; edit the input before running."),_xlfn.CONCAT("char ",TRIM($B247),"[doc_notes] ",CHAR(96),CHAR(34),SUBSTITUTE(SUBSTITUTE(SUBSTITUTE(SUBSTITUTE(SUBSTITUTE(SUBSTITUTE($J247,CHAR(13)," "),CHAR(10)," "),CHAR(9)," "),CHAR(92),_xlfn.CONCAT(CHAR(92),CHAR(92))),"$",_xlfn.CONCAT(CHAR(92),"$")),CHAR(96),_xlfn.CONCAT(CHAR(92),CHAR(96))),CHAR(34),CHAR(39))))</f>
        <v/>
      </c>
      <c r="U247" s="5">
        <f t="shared" si="7"/>
        <v>0</v>
      </c>
    </row>
    <row r="248" spans="3:21" ht="30" customHeight="1" x14ac:dyDescent="0.2">
      <c r="C248" s="4"/>
      <c r="K248" s="5">
        <f t="shared" si="6"/>
        <v>0</v>
      </c>
      <c r="L248" s="5" t="str">
        <f>IF(OR(TRIM($B248)="",$A248=""),"",IF(OR(ISNUMBER(SEARCH(_xlfn.CONCAT(CHAR(96),CHAR(34)),$A248)),ISNUMBER(SEARCH(_xlfn.CONCAT(CHAR(34),CHAR(39)),$A248))),_xlfn.CONCAT("* REVIEW REQUIRED: compound-quote delimiter in Codebook Section on Sheet 1 row ",248,"; edit the input before running."),_xlfn.CONCAT("char ",TRIM($B248),"[doc_section] ",CHAR(96),CHAR(34),SUBSTITUTE(SUBSTITUTE(SUBSTITUTE(SUBSTITUTE(SUBSTITUTE(SUBSTITUTE($A248,CHAR(13)," "),CHAR(10)," "),CHAR(9)," "),CHAR(92),_xlfn.CONCAT(CHAR(92),CHAR(92))),"$",_xlfn.CONCAT(CHAR(92),"$")),CHAR(96),_xlfn.CONCAT(CHAR(92),CHAR(96))),CHAR(34),CHAR(39))))</f>
        <v/>
      </c>
      <c r="M248" s="5" t="str">
        <f>IF(OR(TRIM($B248)="",$C248=""),"",IF(IFERROR(MATCH(TRIM($C248),{"Quantitative","Continuous","Discrete","Categorical","Nominal","Ordinal","Identifier"},0),0)=0,_xlfn.CONCAT("* REVIEW REQUIRED: invalid Variable Type on Sheet 1 row ",248,"."),_xlfn.CONCAT("char ",TRIM($B248),"[doc_vartype] ",CHAR(96),CHAR(34),SUBSTITUTE(SUBSTITUTE(SUBSTITUTE(SUBSTITUTE(SUBSTITUTE(SUBSTITUTE(LOWER(TRIM($C248)),CHAR(13)," "),CHAR(10)," "),CHAR(9)," "),CHAR(92),_xlfn.CONCAT(CHAR(92),CHAR(92))),"$",_xlfn.CONCAT(CHAR(92),"$")),CHAR(96),_xlfn.CONCAT(CHAR(92),CHAR(96))),CHAR(34),CHAR(39))))</f>
        <v/>
      </c>
      <c r="N248" s="5" t="str">
        <f>IF(OR(TRIM($B248)="",$D248=""),"",IF(OR(ISNUMBER(SEARCH(_xlfn.CONCAT(CHAR(96),CHAR(34)),$D248)),ISNUMBER(SEARCH(_xlfn.CONCAT(CHAR(34),CHAR(39)),$D248))),_xlfn.CONCAT("* REVIEW REQUIRED: compound-quote delimiter in Item Number on Sheet 1 row ",248,"; edit the input before running."),_xlfn.CONCAT("char ",TRIM($B248),"[doc_itemnum] ",CHAR(96),CHAR(34),SUBSTITUTE(SUBSTITUTE(SUBSTITUTE(SUBSTITUTE(SUBSTITUTE(SUBSTITUTE($D248,CHAR(13)," "),CHAR(10)," "),CHAR(9)," "),CHAR(92),_xlfn.CONCAT(CHAR(92),CHAR(92))),"$",_xlfn.CONCAT(CHAR(92),"$")),CHAR(96),_xlfn.CONCAT(CHAR(92),CHAR(96))),CHAR(34),CHAR(39))))</f>
        <v/>
      </c>
      <c r="O248" s="5" t="str">
        <f>IF(OR(TRIM($B248)="",$E248=""),"",IF(OR(ISNUMBER(SEARCH(_xlfn.CONCAT(CHAR(96),CHAR(34)),$E248)),ISNUMBER(SEARCH(_xlfn.CONCAT(CHAR(34),CHAR(39)),$E248))),_xlfn.CONCAT("* REVIEW REQUIRED: compound-quote delimiter in Question Wording on Sheet 1 row ",248,"; edit the input before running."),_xlfn.CONCAT("char ",TRIM($B248),"[doc_question] ",CHAR(96),CHAR(34),SUBSTITUTE(SUBSTITUTE(SUBSTITUTE(SUBSTITUTE(SUBSTITUTE(SUBSTITUTE($E248,CHAR(13)," "),CHAR(10)," "),CHAR(9)," "),CHAR(92),_xlfn.CONCAT(CHAR(92),CHAR(92))),"$",_xlfn.CONCAT(CHAR(92),"$")),CHAR(96),_xlfn.CONCAT(CHAR(92),CHAR(96))),CHAR(34),CHAR(39))))</f>
        <v/>
      </c>
      <c r="P248" s="5" t="str">
        <f>IF(OR(TRIM($B248)="",$F248=""),"",IF(OR(ISNUMBER(SEARCH(_xlfn.CONCAT(CHAR(96),CHAR(34)),$F248)),ISNUMBER(SEARCH(_xlfn.CONCAT(CHAR(34),CHAR(39)),$F248))),_xlfn.CONCAT("* REVIEW REQUIRED: compound-quote delimiter in Units on Sheet 1 row ",248,"; edit the input before running."),_xlfn.CONCAT("char ",TRIM($B248),"[doc_units] ",CHAR(96),CHAR(34),SUBSTITUTE(SUBSTITUTE(SUBSTITUTE(SUBSTITUTE(SUBSTITUTE(SUBSTITUTE($F248,CHAR(13)," "),CHAR(10)," "),CHAR(9)," "),CHAR(92),_xlfn.CONCAT(CHAR(92),CHAR(92))),"$",_xlfn.CONCAT(CHAR(92),"$")),CHAR(96),_xlfn.CONCAT(CHAR(92),CHAR(96))),CHAR(34),CHAR(39))))</f>
        <v/>
      </c>
      <c r="Q248" s="5" t="str">
        <f>IF(OR(TRIM($B248)="",$G248=""),"",IF(OR(ISNUMBER(SEARCH(_xlfn.CONCAT(CHAR(96),CHAR(34)),$G248)),ISNUMBER(SEARCH(_xlfn.CONCAT(CHAR(34),CHAR(39)),$G248))),_xlfn.CONCAT("* REVIEW REQUIRED: compound-quote delimiter in Universe on Sheet 1 row ",248,"; edit the input before running."),_xlfn.CONCAT("char ",TRIM($B248),"[doc_universe] ",CHAR(96),CHAR(34),SUBSTITUTE(SUBSTITUTE(SUBSTITUTE(SUBSTITUTE(SUBSTITUTE(SUBSTITUTE($G248,CHAR(13)," "),CHAR(10)," "),CHAR(9)," "),CHAR(92),_xlfn.CONCAT(CHAR(92),CHAR(92))),"$",_xlfn.CONCAT(CHAR(92),"$")),CHAR(96),_xlfn.CONCAT(CHAR(92),CHAR(96))),CHAR(34),CHAR(39))))</f>
        <v/>
      </c>
      <c r="R248" s="5" t="str">
        <f>IF(OR(TRIM($B248)="",$H248=""),"",IF(OR(ISNUMBER(SEARCH(_xlfn.CONCAT(CHAR(96),CHAR(34)),$H248)),ISNUMBER(SEARCH(_xlfn.CONCAT(CHAR(34),CHAR(39)),$H248))),_xlfn.CONCAT("* REVIEW REQUIRED: compound-quote delimiter in Source on Sheet 1 row ",248,"; edit the input before running."),_xlfn.CONCAT("char ",TRIM($B248),"[doc_source] ",CHAR(96),CHAR(34),SUBSTITUTE(SUBSTITUTE(SUBSTITUTE(SUBSTITUTE(SUBSTITUTE(SUBSTITUTE($H248,CHAR(13)," "),CHAR(10)," "),CHAR(9)," "),CHAR(92),_xlfn.CONCAT(CHAR(92),CHAR(92))),"$",_xlfn.CONCAT(CHAR(92),"$")),CHAR(96),_xlfn.CONCAT(CHAR(92),CHAR(96))),CHAR(34),CHAR(39))))</f>
        <v/>
      </c>
      <c r="S248" s="5" t="str">
        <f>IF(OR(TRIM($B248)="",$I248=""),"",IF(OR(ISNUMBER(SEARCH(_xlfn.CONCAT(CHAR(96),CHAR(34)),$I248)),ISNUMBER(SEARCH(_xlfn.CONCAT(CHAR(34),CHAR(39)),$I248))),_xlfn.CONCAT("* REVIEW REQUIRED: compound-quote delimiter in Derivation on Sheet 1 row ",248,"; edit the input before running."),_xlfn.CONCAT("char ",TRIM($B248),"[doc_derivation] ",CHAR(96),CHAR(34),SUBSTITUTE(SUBSTITUTE(SUBSTITUTE(SUBSTITUTE(SUBSTITUTE(SUBSTITUTE($I248,CHAR(13)," "),CHAR(10)," "),CHAR(9)," "),CHAR(92),_xlfn.CONCAT(CHAR(92),CHAR(92))),"$",_xlfn.CONCAT(CHAR(92),"$")),CHAR(96),_xlfn.CONCAT(CHAR(92),CHAR(96))),CHAR(34),CHAR(39))))</f>
        <v/>
      </c>
      <c r="T248" s="5" t="str">
        <f>IF(OR(TRIM($B248)="",$J248=""),"",IF(OR(ISNUMBER(SEARCH(_xlfn.CONCAT(CHAR(96),CHAR(34)),$J248)),ISNUMBER(SEARCH(_xlfn.CONCAT(CHAR(34),CHAR(39)),$J248))),_xlfn.CONCAT("* REVIEW REQUIRED: compound-quote delimiter in Notes on Sheet 1 row ",248,"; edit the input before running."),_xlfn.CONCAT("char ",TRIM($B248),"[doc_notes] ",CHAR(96),CHAR(34),SUBSTITUTE(SUBSTITUTE(SUBSTITUTE(SUBSTITUTE(SUBSTITUTE(SUBSTITUTE($J248,CHAR(13)," "),CHAR(10)," "),CHAR(9)," "),CHAR(92),_xlfn.CONCAT(CHAR(92),CHAR(92))),"$",_xlfn.CONCAT(CHAR(92),"$")),CHAR(96),_xlfn.CONCAT(CHAR(92),CHAR(96))),CHAR(34),CHAR(39))))</f>
        <v/>
      </c>
      <c r="U248" s="5">
        <f t="shared" si="7"/>
        <v>0</v>
      </c>
    </row>
    <row r="249" spans="3:21" ht="30" customHeight="1" x14ac:dyDescent="0.2">
      <c r="C249" s="4"/>
      <c r="K249" s="5">
        <f t="shared" si="6"/>
        <v>0</v>
      </c>
      <c r="L249" s="5" t="str">
        <f>IF(OR(TRIM($B249)="",$A249=""),"",IF(OR(ISNUMBER(SEARCH(_xlfn.CONCAT(CHAR(96),CHAR(34)),$A249)),ISNUMBER(SEARCH(_xlfn.CONCAT(CHAR(34),CHAR(39)),$A249))),_xlfn.CONCAT("* REVIEW REQUIRED: compound-quote delimiter in Codebook Section on Sheet 1 row ",249,"; edit the input before running."),_xlfn.CONCAT("char ",TRIM($B249),"[doc_section] ",CHAR(96),CHAR(34),SUBSTITUTE(SUBSTITUTE(SUBSTITUTE(SUBSTITUTE(SUBSTITUTE(SUBSTITUTE($A249,CHAR(13)," "),CHAR(10)," "),CHAR(9)," "),CHAR(92),_xlfn.CONCAT(CHAR(92),CHAR(92))),"$",_xlfn.CONCAT(CHAR(92),"$")),CHAR(96),_xlfn.CONCAT(CHAR(92),CHAR(96))),CHAR(34),CHAR(39))))</f>
        <v/>
      </c>
      <c r="M249" s="5" t="str">
        <f>IF(OR(TRIM($B249)="",$C249=""),"",IF(IFERROR(MATCH(TRIM($C249),{"Quantitative","Continuous","Discrete","Categorical","Nominal","Ordinal","Identifier"},0),0)=0,_xlfn.CONCAT("* REVIEW REQUIRED: invalid Variable Type on Sheet 1 row ",249,"."),_xlfn.CONCAT("char ",TRIM($B249),"[doc_vartype] ",CHAR(96),CHAR(34),SUBSTITUTE(SUBSTITUTE(SUBSTITUTE(SUBSTITUTE(SUBSTITUTE(SUBSTITUTE(LOWER(TRIM($C249)),CHAR(13)," "),CHAR(10)," "),CHAR(9)," "),CHAR(92),_xlfn.CONCAT(CHAR(92),CHAR(92))),"$",_xlfn.CONCAT(CHAR(92),"$")),CHAR(96),_xlfn.CONCAT(CHAR(92),CHAR(96))),CHAR(34),CHAR(39))))</f>
        <v/>
      </c>
      <c r="N249" s="5" t="str">
        <f>IF(OR(TRIM($B249)="",$D249=""),"",IF(OR(ISNUMBER(SEARCH(_xlfn.CONCAT(CHAR(96),CHAR(34)),$D249)),ISNUMBER(SEARCH(_xlfn.CONCAT(CHAR(34),CHAR(39)),$D249))),_xlfn.CONCAT("* REVIEW REQUIRED: compound-quote delimiter in Item Number on Sheet 1 row ",249,"; edit the input before running."),_xlfn.CONCAT("char ",TRIM($B249),"[doc_itemnum] ",CHAR(96),CHAR(34),SUBSTITUTE(SUBSTITUTE(SUBSTITUTE(SUBSTITUTE(SUBSTITUTE(SUBSTITUTE($D249,CHAR(13)," "),CHAR(10)," "),CHAR(9)," "),CHAR(92),_xlfn.CONCAT(CHAR(92),CHAR(92))),"$",_xlfn.CONCAT(CHAR(92),"$")),CHAR(96),_xlfn.CONCAT(CHAR(92),CHAR(96))),CHAR(34),CHAR(39))))</f>
        <v/>
      </c>
      <c r="O249" s="5" t="str">
        <f>IF(OR(TRIM($B249)="",$E249=""),"",IF(OR(ISNUMBER(SEARCH(_xlfn.CONCAT(CHAR(96),CHAR(34)),$E249)),ISNUMBER(SEARCH(_xlfn.CONCAT(CHAR(34),CHAR(39)),$E249))),_xlfn.CONCAT("* REVIEW REQUIRED: compound-quote delimiter in Question Wording on Sheet 1 row ",249,"; edit the input before running."),_xlfn.CONCAT("char ",TRIM($B249),"[doc_question] ",CHAR(96),CHAR(34),SUBSTITUTE(SUBSTITUTE(SUBSTITUTE(SUBSTITUTE(SUBSTITUTE(SUBSTITUTE($E249,CHAR(13)," "),CHAR(10)," "),CHAR(9)," "),CHAR(92),_xlfn.CONCAT(CHAR(92),CHAR(92))),"$",_xlfn.CONCAT(CHAR(92),"$")),CHAR(96),_xlfn.CONCAT(CHAR(92),CHAR(96))),CHAR(34),CHAR(39))))</f>
        <v/>
      </c>
      <c r="P249" s="5" t="str">
        <f>IF(OR(TRIM($B249)="",$F249=""),"",IF(OR(ISNUMBER(SEARCH(_xlfn.CONCAT(CHAR(96),CHAR(34)),$F249)),ISNUMBER(SEARCH(_xlfn.CONCAT(CHAR(34),CHAR(39)),$F249))),_xlfn.CONCAT("* REVIEW REQUIRED: compound-quote delimiter in Units on Sheet 1 row ",249,"; edit the input before running."),_xlfn.CONCAT("char ",TRIM($B249),"[doc_units] ",CHAR(96),CHAR(34),SUBSTITUTE(SUBSTITUTE(SUBSTITUTE(SUBSTITUTE(SUBSTITUTE(SUBSTITUTE($F249,CHAR(13)," "),CHAR(10)," "),CHAR(9)," "),CHAR(92),_xlfn.CONCAT(CHAR(92),CHAR(92))),"$",_xlfn.CONCAT(CHAR(92),"$")),CHAR(96),_xlfn.CONCAT(CHAR(92),CHAR(96))),CHAR(34),CHAR(39))))</f>
        <v/>
      </c>
      <c r="Q249" s="5" t="str">
        <f>IF(OR(TRIM($B249)="",$G249=""),"",IF(OR(ISNUMBER(SEARCH(_xlfn.CONCAT(CHAR(96),CHAR(34)),$G249)),ISNUMBER(SEARCH(_xlfn.CONCAT(CHAR(34),CHAR(39)),$G249))),_xlfn.CONCAT("* REVIEW REQUIRED: compound-quote delimiter in Universe on Sheet 1 row ",249,"; edit the input before running."),_xlfn.CONCAT("char ",TRIM($B249),"[doc_universe] ",CHAR(96),CHAR(34),SUBSTITUTE(SUBSTITUTE(SUBSTITUTE(SUBSTITUTE(SUBSTITUTE(SUBSTITUTE($G249,CHAR(13)," "),CHAR(10)," "),CHAR(9)," "),CHAR(92),_xlfn.CONCAT(CHAR(92),CHAR(92))),"$",_xlfn.CONCAT(CHAR(92),"$")),CHAR(96),_xlfn.CONCAT(CHAR(92),CHAR(96))),CHAR(34),CHAR(39))))</f>
        <v/>
      </c>
      <c r="R249" s="5" t="str">
        <f>IF(OR(TRIM($B249)="",$H249=""),"",IF(OR(ISNUMBER(SEARCH(_xlfn.CONCAT(CHAR(96),CHAR(34)),$H249)),ISNUMBER(SEARCH(_xlfn.CONCAT(CHAR(34),CHAR(39)),$H249))),_xlfn.CONCAT("* REVIEW REQUIRED: compound-quote delimiter in Source on Sheet 1 row ",249,"; edit the input before running."),_xlfn.CONCAT("char ",TRIM($B249),"[doc_source] ",CHAR(96),CHAR(34),SUBSTITUTE(SUBSTITUTE(SUBSTITUTE(SUBSTITUTE(SUBSTITUTE(SUBSTITUTE($H249,CHAR(13)," "),CHAR(10)," "),CHAR(9)," "),CHAR(92),_xlfn.CONCAT(CHAR(92),CHAR(92))),"$",_xlfn.CONCAT(CHAR(92),"$")),CHAR(96),_xlfn.CONCAT(CHAR(92),CHAR(96))),CHAR(34),CHAR(39))))</f>
        <v/>
      </c>
      <c r="S249" s="5" t="str">
        <f>IF(OR(TRIM($B249)="",$I249=""),"",IF(OR(ISNUMBER(SEARCH(_xlfn.CONCAT(CHAR(96),CHAR(34)),$I249)),ISNUMBER(SEARCH(_xlfn.CONCAT(CHAR(34),CHAR(39)),$I249))),_xlfn.CONCAT("* REVIEW REQUIRED: compound-quote delimiter in Derivation on Sheet 1 row ",249,"; edit the input before running."),_xlfn.CONCAT("char ",TRIM($B249),"[doc_derivation] ",CHAR(96),CHAR(34),SUBSTITUTE(SUBSTITUTE(SUBSTITUTE(SUBSTITUTE(SUBSTITUTE(SUBSTITUTE($I249,CHAR(13)," "),CHAR(10)," "),CHAR(9)," "),CHAR(92),_xlfn.CONCAT(CHAR(92),CHAR(92))),"$",_xlfn.CONCAT(CHAR(92),"$")),CHAR(96),_xlfn.CONCAT(CHAR(92),CHAR(96))),CHAR(34),CHAR(39))))</f>
        <v/>
      </c>
      <c r="T249" s="5" t="str">
        <f>IF(OR(TRIM($B249)="",$J249=""),"",IF(OR(ISNUMBER(SEARCH(_xlfn.CONCAT(CHAR(96),CHAR(34)),$J249)),ISNUMBER(SEARCH(_xlfn.CONCAT(CHAR(34),CHAR(39)),$J249))),_xlfn.CONCAT("* REVIEW REQUIRED: compound-quote delimiter in Notes on Sheet 1 row ",249,"; edit the input before running."),_xlfn.CONCAT("char ",TRIM($B249),"[doc_notes] ",CHAR(96),CHAR(34),SUBSTITUTE(SUBSTITUTE(SUBSTITUTE(SUBSTITUTE(SUBSTITUTE(SUBSTITUTE($J249,CHAR(13)," "),CHAR(10)," "),CHAR(9)," "),CHAR(92),_xlfn.CONCAT(CHAR(92),CHAR(92))),"$",_xlfn.CONCAT(CHAR(92),"$")),CHAR(96),_xlfn.CONCAT(CHAR(92),CHAR(96))),CHAR(34),CHAR(39))))</f>
        <v/>
      </c>
      <c r="U249" s="5">
        <f t="shared" si="7"/>
        <v>0</v>
      </c>
    </row>
    <row r="250" spans="3:21" ht="30" customHeight="1" x14ac:dyDescent="0.2">
      <c r="C250" s="4"/>
      <c r="K250" s="5">
        <f t="shared" si="6"/>
        <v>0</v>
      </c>
      <c r="L250" s="5" t="str">
        <f>IF(OR(TRIM($B250)="",$A250=""),"",IF(OR(ISNUMBER(SEARCH(_xlfn.CONCAT(CHAR(96),CHAR(34)),$A250)),ISNUMBER(SEARCH(_xlfn.CONCAT(CHAR(34),CHAR(39)),$A250))),_xlfn.CONCAT("* REVIEW REQUIRED: compound-quote delimiter in Codebook Section on Sheet 1 row ",250,"; edit the input before running."),_xlfn.CONCAT("char ",TRIM($B250),"[doc_section] ",CHAR(96),CHAR(34),SUBSTITUTE(SUBSTITUTE(SUBSTITUTE(SUBSTITUTE(SUBSTITUTE(SUBSTITUTE($A250,CHAR(13)," "),CHAR(10)," "),CHAR(9)," "),CHAR(92),_xlfn.CONCAT(CHAR(92),CHAR(92))),"$",_xlfn.CONCAT(CHAR(92),"$")),CHAR(96),_xlfn.CONCAT(CHAR(92),CHAR(96))),CHAR(34),CHAR(39))))</f>
        <v/>
      </c>
      <c r="M250" s="5" t="str">
        <f>IF(OR(TRIM($B250)="",$C250=""),"",IF(IFERROR(MATCH(TRIM($C250),{"Quantitative","Continuous","Discrete","Categorical","Nominal","Ordinal","Identifier"},0),0)=0,_xlfn.CONCAT("* REVIEW REQUIRED: invalid Variable Type on Sheet 1 row ",250,"."),_xlfn.CONCAT("char ",TRIM($B250),"[doc_vartype] ",CHAR(96),CHAR(34),SUBSTITUTE(SUBSTITUTE(SUBSTITUTE(SUBSTITUTE(SUBSTITUTE(SUBSTITUTE(LOWER(TRIM($C250)),CHAR(13)," "),CHAR(10)," "),CHAR(9)," "),CHAR(92),_xlfn.CONCAT(CHAR(92),CHAR(92))),"$",_xlfn.CONCAT(CHAR(92),"$")),CHAR(96),_xlfn.CONCAT(CHAR(92),CHAR(96))),CHAR(34),CHAR(39))))</f>
        <v/>
      </c>
      <c r="N250" s="5" t="str">
        <f>IF(OR(TRIM($B250)="",$D250=""),"",IF(OR(ISNUMBER(SEARCH(_xlfn.CONCAT(CHAR(96),CHAR(34)),$D250)),ISNUMBER(SEARCH(_xlfn.CONCAT(CHAR(34),CHAR(39)),$D250))),_xlfn.CONCAT("* REVIEW REQUIRED: compound-quote delimiter in Item Number on Sheet 1 row ",250,"; edit the input before running."),_xlfn.CONCAT("char ",TRIM($B250),"[doc_itemnum] ",CHAR(96),CHAR(34),SUBSTITUTE(SUBSTITUTE(SUBSTITUTE(SUBSTITUTE(SUBSTITUTE(SUBSTITUTE($D250,CHAR(13)," "),CHAR(10)," "),CHAR(9)," "),CHAR(92),_xlfn.CONCAT(CHAR(92),CHAR(92))),"$",_xlfn.CONCAT(CHAR(92),"$")),CHAR(96),_xlfn.CONCAT(CHAR(92),CHAR(96))),CHAR(34),CHAR(39))))</f>
        <v/>
      </c>
      <c r="O250" s="5" t="str">
        <f>IF(OR(TRIM($B250)="",$E250=""),"",IF(OR(ISNUMBER(SEARCH(_xlfn.CONCAT(CHAR(96),CHAR(34)),$E250)),ISNUMBER(SEARCH(_xlfn.CONCAT(CHAR(34),CHAR(39)),$E250))),_xlfn.CONCAT("* REVIEW REQUIRED: compound-quote delimiter in Question Wording on Sheet 1 row ",250,"; edit the input before running."),_xlfn.CONCAT("char ",TRIM($B250),"[doc_question] ",CHAR(96),CHAR(34),SUBSTITUTE(SUBSTITUTE(SUBSTITUTE(SUBSTITUTE(SUBSTITUTE(SUBSTITUTE($E250,CHAR(13)," "),CHAR(10)," "),CHAR(9)," "),CHAR(92),_xlfn.CONCAT(CHAR(92),CHAR(92))),"$",_xlfn.CONCAT(CHAR(92),"$")),CHAR(96),_xlfn.CONCAT(CHAR(92),CHAR(96))),CHAR(34),CHAR(39))))</f>
        <v/>
      </c>
      <c r="P250" s="5" t="str">
        <f>IF(OR(TRIM($B250)="",$F250=""),"",IF(OR(ISNUMBER(SEARCH(_xlfn.CONCAT(CHAR(96),CHAR(34)),$F250)),ISNUMBER(SEARCH(_xlfn.CONCAT(CHAR(34),CHAR(39)),$F250))),_xlfn.CONCAT("* REVIEW REQUIRED: compound-quote delimiter in Units on Sheet 1 row ",250,"; edit the input before running."),_xlfn.CONCAT("char ",TRIM($B250),"[doc_units] ",CHAR(96),CHAR(34),SUBSTITUTE(SUBSTITUTE(SUBSTITUTE(SUBSTITUTE(SUBSTITUTE(SUBSTITUTE($F250,CHAR(13)," "),CHAR(10)," "),CHAR(9)," "),CHAR(92),_xlfn.CONCAT(CHAR(92),CHAR(92))),"$",_xlfn.CONCAT(CHAR(92),"$")),CHAR(96),_xlfn.CONCAT(CHAR(92),CHAR(96))),CHAR(34),CHAR(39))))</f>
        <v/>
      </c>
      <c r="Q250" s="5" t="str">
        <f>IF(OR(TRIM($B250)="",$G250=""),"",IF(OR(ISNUMBER(SEARCH(_xlfn.CONCAT(CHAR(96),CHAR(34)),$G250)),ISNUMBER(SEARCH(_xlfn.CONCAT(CHAR(34),CHAR(39)),$G250))),_xlfn.CONCAT("* REVIEW REQUIRED: compound-quote delimiter in Universe on Sheet 1 row ",250,"; edit the input before running."),_xlfn.CONCAT("char ",TRIM($B250),"[doc_universe] ",CHAR(96),CHAR(34),SUBSTITUTE(SUBSTITUTE(SUBSTITUTE(SUBSTITUTE(SUBSTITUTE(SUBSTITUTE($G250,CHAR(13)," "),CHAR(10)," "),CHAR(9)," "),CHAR(92),_xlfn.CONCAT(CHAR(92),CHAR(92))),"$",_xlfn.CONCAT(CHAR(92),"$")),CHAR(96),_xlfn.CONCAT(CHAR(92),CHAR(96))),CHAR(34),CHAR(39))))</f>
        <v/>
      </c>
      <c r="R250" s="5" t="str">
        <f>IF(OR(TRIM($B250)="",$H250=""),"",IF(OR(ISNUMBER(SEARCH(_xlfn.CONCAT(CHAR(96),CHAR(34)),$H250)),ISNUMBER(SEARCH(_xlfn.CONCAT(CHAR(34),CHAR(39)),$H250))),_xlfn.CONCAT("* REVIEW REQUIRED: compound-quote delimiter in Source on Sheet 1 row ",250,"; edit the input before running."),_xlfn.CONCAT("char ",TRIM($B250),"[doc_source] ",CHAR(96),CHAR(34),SUBSTITUTE(SUBSTITUTE(SUBSTITUTE(SUBSTITUTE(SUBSTITUTE(SUBSTITUTE($H250,CHAR(13)," "),CHAR(10)," "),CHAR(9)," "),CHAR(92),_xlfn.CONCAT(CHAR(92),CHAR(92))),"$",_xlfn.CONCAT(CHAR(92),"$")),CHAR(96),_xlfn.CONCAT(CHAR(92),CHAR(96))),CHAR(34),CHAR(39))))</f>
        <v/>
      </c>
      <c r="S250" s="5" t="str">
        <f>IF(OR(TRIM($B250)="",$I250=""),"",IF(OR(ISNUMBER(SEARCH(_xlfn.CONCAT(CHAR(96),CHAR(34)),$I250)),ISNUMBER(SEARCH(_xlfn.CONCAT(CHAR(34),CHAR(39)),$I250))),_xlfn.CONCAT("* REVIEW REQUIRED: compound-quote delimiter in Derivation on Sheet 1 row ",250,"; edit the input before running."),_xlfn.CONCAT("char ",TRIM($B250),"[doc_derivation] ",CHAR(96),CHAR(34),SUBSTITUTE(SUBSTITUTE(SUBSTITUTE(SUBSTITUTE(SUBSTITUTE(SUBSTITUTE($I250,CHAR(13)," "),CHAR(10)," "),CHAR(9)," "),CHAR(92),_xlfn.CONCAT(CHAR(92),CHAR(92))),"$",_xlfn.CONCAT(CHAR(92),"$")),CHAR(96),_xlfn.CONCAT(CHAR(92),CHAR(96))),CHAR(34),CHAR(39))))</f>
        <v/>
      </c>
      <c r="T250" s="5" t="str">
        <f>IF(OR(TRIM($B250)="",$J250=""),"",IF(OR(ISNUMBER(SEARCH(_xlfn.CONCAT(CHAR(96),CHAR(34)),$J250)),ISNUMBER(SEARCH(_xlfn.CONCAT(CHAR(34),CHAR(39)),$J250))),_xlfn.CONCAT("* REVIEW REQUIRED: compound-quote delimiter in Notes on Sheet 1 row ",250,"; edit the input before running."),_xlfn.CONCAT("char ",TRIM($B250),"[doc_notes] ",CHAR(96),CHAR(34),SUBSTITUTE(SUBSTITUTE(SUBSTITUTE(SUBSTITUTE(SUBSTITUTE(SUBSTITUTE($J250,CHAR(13)," "),CHAR(10)," "),CHAR(9)," "),CHAR(92),_xlfn.CONCAT(CHAR(92),CHAR(92))),"$",_xlfn.CONCAT(CHAR(92),"$")),CHAR(96),_xlfn.CONCAT(CHAR(92),CHAR(96))),CHAR(34),CHAR(39))))</f>
        <v/>
      </c>
      <c r="U250" s="5">
        <f t="shared" si="7"/>
        <v>0</v>
      </c>
    </row>
    <row r="251" spans="3:21" ht="30" customHeight="1" x14ac:dyDescent="0.2">
      <c r="C251" s="4"/>
      <c r="K251" s="5">
        <f t="shared" si="6"/>
        <v>0</v>
      </c>
      <c r="L251" s="5" t="str">
        <f>IF(OR(TRIM($B251)="",$A251=""),"",IF(OR(ISNUMBER(SEARCH(_xlfn.CONCAT(CHAR(96),CHAR(34)),$A251)),ISNUMBER(SEARCH(_xlfn.CONCAT(CHAR(34),CHAR(39)),$A251))),_xlfn.CONCAT("* REVIEW REQUIRED: compound-quote delimiter in Codebook Section on Sheet 1 row ",251,"; edit the input before running."),_xlfn.CONCAT("char ",TRIM($B251),"[doc_section] ",CHAR(96),CHAR(34),SUBSTITUTE(SUBSTITUTE(SUBSTITUTE(SUBSTITUTE(SUBSTITUTE(SUBSTITUTE($A251,CHAR(13)," "),CHAR(10)," "),CHAR(9)," "),CHAR(92),_xlfn.CONCAT(CHAR(92),CHAR(92))),"$",_xlfn.CONCAT(CHAR(92),"$")),CHAR(96),_xlfn.CONCAT(CHAR(92),CHAR(96))),CHAR(34),CHAR(39))))</f>
        <v/>
      </c>
      <c r="M251" s="5" t="str">
        <f>IF(OR(TRIM($B251)="",$C251=""),"",IF(IFERROR(MATCH(TRIM($C251),{"Quantitative","Continuous","Discrete","Categorical","Nominal","Ordinal","Identifier"},0),0)=0,_xlfn.CONCAT("* REVIEW REQUIRED: invalid Variable Type on Sheet 1 row ",251,"."),_xlfn.CONCAT("char ",TRIM($B251),"[doc_vartype] ",CHAR(96),CHAR(34),SUBSTITUTE(SUBSTITUTE(SUBSTITUTE(SUBSTITUTE(SUBSTITUTE(SUBSTITUTE(LOWER(TRIM($C251)),CHAR(13)," "),CHAR(10)," "),CHAR(9)," "),CHAR(92),_xlfn.CONCAT(CHAR(92),CHAR(92))),"$",_xlfn.CONCAT(CHAR(92),"$")),CHAR(96),_xlfn.CONCAT(CHAR(92),CHAR(96))),CHAR(34),CHAR(39))))</f>
        <v/>
      </c>
      <c r="N251" s="5" t="str">
        <f>IF(OR(TRIM($B251)="",$D251=""),"",IF(OR(ISNUMBER(SEARCH(_xlfn.CONCAT(CHAR(96),CHAR(34)),$D251)),ISNUMBER(SEARCH(_xlfn.CONCAT(CHAR(34),CHAR(39)),$D251))),_xlfn.CONCAT("* REVIEW REQUIRED: compound-quote delimiter in Item Number on Sheet 1 row ",251,"; edit the input before running."),_xlfn.CONCAT("char ",TRIM($B251),"[doc_itemnum] ",CHAR(96),CHAR(34),SUBSTITUTE(SUBSTITUTE(SUBSTITUTE(SUBSTITUTE(SUBSTITUTE(SUBSTITUTE($D251,CHAR(13)," "),CHAR(10)," "),CHAR(9)," "),CHAR(92),_xlfn.CONCAT(CHAR(92),CHAR(92))),"$",_xlfn.CONCAT(CHAR(92),"$")),CHAR(96),_xlfn.CONCAT(CHAR(92),CHAR(96))),CHAR(34),CHAR(39))))</f>
        <v/>
      </c>
      <c r="O251" s="5" t="str">
        <f>IF(OR(TRIM($B251)="",$E251=""),"",IF(OR(ISNUMBER(SEARCH(_xlfn.CONCAT(CHAR(96),CHAR(34)),$E251)),ISNUMBER(SEARCH(_xlfn.CONCAT(CHAR(34),CHAR(39)),$E251))),_xlfn.CONCAT("* REVIEW REQUIRED: compound-quote delimiter in Question Wording on Sheet 1 row ",251,"; edit the input before running."),_xlfn.CONCAT("char ",TRIM($B251),"[doc_question] ",CHAR(96),CHAR(34),SUBSTITUTE(SUBSTITUTE(SUBSTITUTE(SUBSTITUTE(SUBSTITUTE(SUBSTITUTE($E251,CHAR(13)," "),CHAR(10)," "),CHAR(9)," "),CHAR(92),_xlfn.CONCAT(CHAR(92),CHAR(92))),"$",_xlfn.CONCAT(CHAR(92),"$")),CHAR(96),_xlfn.CONCAT(CHAR(92),CHAR(96))),CHAR(34),CHAR(39))))</f>
        <v/>
      </c>
      <c r="P251" s="5" t="str">
        <f>IF(OR(TRIM($B251)="",$F251=""),"",IF(OR(ISNUMBER(SEARCH(_xlfn.CONCAT(CHAR(96),CHAR(34)),$F251)),ISNUMBER(SEARCH(_xlfn.CONCAT(CHAR(34),CHAR(39)),$F251))),_xlfn.CONCAT("* REVIEW REQUIRED: compound-quote delimiter in Units on Sheet 1 row ",251,"; edit the input before running."),_xlfn.CONCAT("char ",TRIM($B251),"[doc_units] ",CHAR(96),CHAR(34),SUBSTITUTE(SUBSTITUTE(SUBSTITUTE(SUBSTITUTE(SUBSTITUTE(SUBSTITUTE($F251,CHAR(13)," "),CHAR(10)," "),CHAR(9)," "),CHAR(92),_xlfn.CONCAT(CHAR(92),CHAR(92))),"$",_xlfn.CONCAT(CHAR(92),"$")),CHAR(96),_xlfn.CONCAT(CHAR(92),CHAR(96))),CHAR(34),CHAR(39))))</f>
        <v/>
      </c>
      <c r="Q251" s="5" t="str">
        <f>IF(OR(TRIM($B251)="",$G251=""),"",IF(OR(ISNUMBER(SEARCH(_xlfn.CONCAT(CHAR(96),CHAR(34)),$G251)),ISNUMBER(SEARCH(_xlfn.CONCAT(CHAR(34),CHAR(39)),$G251))),_xlfn.CONCAT("* REVIEW REQUIRED: compound-quote delimiter in Universe on Sheet 1 row ",251,"; edit the input before running."),_xlfn.CONCAT("char ",TRIM($B251),"[doc_universe] ",CHAR(96),CHAR(34),SUBSTITUTE(SUBSTITUTE(SUBSTITUTE(SUBSTITUTE(SUBSTITUTE(SUBSTITUTE($G251,CHAR(13)," "),CHAR(10)," "),CHAR(9)," "),CHAR(92),_xlfn.CONCAT(CHAR(92),CHAR(92))),"$",_xlfn.CONCAT(CHAR(92),"$")),CHAR(96),_xlfn.CONCAT(CHAR(92),CHAR(96))),CHAR(34),CHAR(39))))</f>
        <v/>
      </c>
      <c r="R251" s="5" t="str">
        <f>IF(OR(TRIM($B251)="",$H251=""),"",IF(OR(ISNUMBER(SEARCH(_xlfn.CONCAT(CHAR(96),CHAR(34)),$H251)),ISNUMBER(SEARCH(_xlfn.CONCAT(CHAR(34),CHAR(39)),$H251))),_xlfn.CONCAT("* REVIEW REQUIRED: compound-quote delimiter in Source on Sheet 1 row ",251,"; edit the input before running."),_xlfn.CONCAT("char ",TRIM($B251),"[doc_source] ",CHAR(96),CHAR(34),SUBSTITUTE(SUBSTITUTE(SUBSTITUTE(SUBSTITUTE(SUBSTITUTE(SUBSTITUTE($H251,CHAR(13)," "),CHAR(10)," "),CHAR(9)," "),CHAR(92),_xlfn.CONCAT(CHAR(92),CHAR(92))),"$",_xlfn.CONCAT(CHAR(92),"$")),CHAR(96),_xlfn.CONCAT(CHAR(92),CHAR(96))),CHAR(34),CHAR(39))))</f>
        <v/>
      </c>
      <c r="S251" s="5" t="str">
        <f>IF(OR(TRIM($B251)="",$I251=""),"",IF(OR(ISNUMBER(SEARCH(_xlfn.CONCAT(CHAR(96),CHAR(34)),$I251)),ISNUMBER(SEARCH(_xlfn.CONCAT(CHAR(34),CHAR(39)),$I251))),_xlfn.CONCAT("* REVIEW REQUIRED: compound-quote delimiter in Derivation on Sheet 1 row ",251,"; edit the input before running."),_xlfn.CONCAT("char ",TRIM($B251),"[doc_derivation] ",CHAR(96),CHAR(34),SUBSTITUTE(SUBSTITUTE(SUBSTITUTE(SUBSTITUTE(SUBSTITUTE(SUBSTITUTE($I251,CHAR(13)," "),CHAR(10)," "),CHAR(9)," "),CHAR(92),_xlfn.CONCAT(CHAR(92),CHAR(92))),"$",_xlfn.CONCAT(CHAR(92),"$")),CHAR(96),_xlfn.CONCAT(CHAR(92),CHAR(96))),CHAR(34),CHAR(39))))</f>
        <v/>
      </c>
      <c r="T251" s="5" t="str">
        <f>IF(OR(TRIM($B251)="",$J251=""),"",IF(OR(ISNUMBER(SEARCH(_xlfn.CONCAT(CHAR(96),CHAR(34)),$J251)),ISNUMBER(SEARCH(_xlfn.CONCAT(CHAR(34),CHAR(39)),$J251))),_xlfn.CONCAT("* REVIEW REQUIRED: compound-quote delimiter in Notes on Sheet 1 row ",251,"; edit the input before running."),_xlfn.CONCAT("char ",TRIM($B251),"[doc_notes] ",CHAR(96),CHAR(34),SUBSTITUTE(SUBSTITUTE(SUBSTITUTE(SUBSTITUTE(SUBSTITUTE(SUBSTITUTE($J251,CHAR(13)," "),CHAR(10)," "),CHAR(9)," "),CHAR(92),_xlfn.CONCAT(CHAR(92),CHAR(92))),"$",_xlfn.CONCAT(CHAR(92),"$")),CHAR(96),_xlfn.CONCAT(CHAR(92),CHAR(96))),CHAR(34),CHAR(39))))</f>
        <v/>
      </c>
      <c r="U251" s="5">
        <f t="shared" si="7"/>
        <v>0</v>
      </c>
    </row>
    <row r="252" spans="3:21" ht="30" customHeight="1" x14ac:dyDescent="0.2">
      <c r="C252" s="4"/>
      <c r="K252" s="5">
        <f t="shared" si="6"/>
        <v>0</v>
      </c>
      <c r="L252" s="5" t="str">
        <f>IF(OR(TRIM($B252)="",$A252=""),"",IF(OR(ISNUMBER(SEARCH(_xlfn.CONCAT(CHAR(96),CHAR(34)),$A252)),ISNUMBER(SEARCH(_xlfn.CONCAT(CHAR(34),CHAR(39)),$A252))),_xlfn.CONCAT("* REVIEW REQUIRED: compound-quote delimiter in Codebook Section on Sheet 1 row ",252,"; edit the input before running."),_xlfn.CONCAT("char ",TRIM($B252),"[doc_section] ",CHAR(96),CHAR(34),SUBSTITUTE(SUBSTITUTE(SUBSTITUTE(SUBSTITUTE(SUBSTITUTE(SUBSTITUTE($A252,CHAR(13)," "),CHAR(10)," "),CHAR(9)," "),CHAR(92),_xlfn.CONCAT(CHAR(92),CHAR(92))),"$",_xlfn.CONCAT(CHAR(92),"$")),CHAR(96),_xlfn.CONCAT(CHAR(92),CHAR(96))),CHAR(34),CHAR(39))))</f>
        <v/>
      </c>
      <c r="M252" s="5" t="str">
        <f>IF(OR(TRIM($B252)="",$C252=""),"",IF(IFERROR(MATCH(TRIM($C252),{"Quantitative","Continuous","Discrete","Categorical","Nominal","Ordinal","Identifier"},0),0)=0,_xlfn.CONCAT("* REVIEW REQUIRED: invalid Variable Type on Sheet 1 row ",252,"."),_xlfn.CONCAT("char ",TRIM($B252),"[doc_vartype] ",CHAR(96),CHAR(34),SUBSTITUTE(SUBSTITUTE(SUBSTITUTE(SUBSTITUTE(SUBSTITUTE(SUBSTITUTE(LOWER(TRIM($C252)),CHAR(13)," "),CHAR(10)," "),CHAR(9)," "),CHAR(92),_xlfn.CONCAT(CHAR(92),CHAR(92))),"$",_xlfn.CONCAT(CHAR(92),"$")),CHAR(96),_xlfn.CONCAT(CHAR(92),CHAR(96))),CHAR(34),CHAR(39))))</f>
        <v/>
      </c>
      <c r="N252" s="5" t="str">
        <f>IF(OR(TRIM($B252)="",$D252=""),"",IF(OR(ISNUMBER(SEARCH(_xlfn.CONCAT(CHAR(96),CHAR(34)),$D252)),ISNUMBER(SEARCH(_xlfn.CONCAT(CHAR(34),CHAR(39)),$D252))),_xlfn.CONCAT("* REVIEW REQUIRED: compound-quote delimiter in Item Number on Sheet 1 row ",252,"; edit the input before running."),_xlfn.CONCAT("char ",TRIM($B252),"[doc_itemnum] ",CHAR(96),CHAR(34),SUBSTITUTE(SUBSTITUTE(SUBSTITUTE(SUBSTITUTE(SUBSTITUTE(SUBSTITUTE($D252,CHAR(13)," "),CHAR(10)," "),CHAR(9)," "),CHAR(92),_xlfn.CONCAT(CHAR(92),CHAR(92))),"$",_xlfn.CONCAT(CHAR(92),"$")),CHAR(96),_xlfn.CONCAT(CHAR(92),CHAR(96))),CHAR(34),CHAR(39))))</f>
        <v/>
      </c>
      <c r="O252" s="5" t="str">
        <f>IF(OR(TRIM($B252)="",$E252=""),"",IF(OR(ISNUMBER(SEARCH(_xlfn.CONCAT(CHAR(96),CHAR(34)),$E252)),ISNUMBER(SEARCH(_xlfn.CONCAT(CHAR(34),CHAR(39)),$E252))),_xlfn.CONCAT("* REVIEW REQUIRED: compound-quote delimiter in Question Wording on Sheet 1 row ",252,"; edit the input before running."),_xlfn.CONCAT("char ",TRIM($B252),"[doc_question] ",CHAR(96),CHAR(34),SUBSTITUTE(SUBSTITUTE(SUBSTITUTE(SUBSTITUTE(SUBSTITUTE(SUBSTITUTE($E252,CHAR(13)," "),CHAR(10)," "),CHAR(9)," "),CHAR(92),_xlfn.CONCAT(CHAR(92),CHAR(92))),"$",_xlfn.CONCAT(CHAR(92),"$")),CHAR(96),_xlfn.CONCAT(CHAR(92),CHAR(96))),CHAR(34),CHAR(39))))</f>
        <v/>
      </c>
      <c r="P252" s="5" t="str">
        <f>IF(OR(TRIM($B252)="",$F252=""),"",IF(OR(ISNUMBER(SEARCH(_xlfn.CONCAT(CHAR(96),CHAR(34)),$F252)),ISNUMBER(SEARCH(_xlfn.CONCAT(CHAR(34),CHAR(39)),$F252))),_xlfn.CONCAT("* REVIEW REQUIRED: compound-quote delimiter in Units on Sheet 1 row ",252,"; edit the input before running."),_xlfn.CONCAT("char ",TRIM($B252),"[doc_units] ",CHAR(96),CHAR(34),SUBSTITUTE(SUBSTITUTE(SUBSTITUTE(SUBSTITUTE(SUBSTITUTE(SUBSTITUTE($F252,CHAR(13)," "),CHAR(10)," "),CHAR(9)," "),CHAR(92),_xlfn.CONCAT(CHAR(92),CHAR(92))),"$",_xlfn.CONCAT(CHAR(92),"$")),CHAR(96),_xlfn.CONCAT(CHAR(92),CHAR(96))),CHAR(34),CHAR(39))))</f>
        <v/>
      </c>
      <c r="Q252" s="5" t="str">
        <f>IF(OR(TRIM($B252)="",$G252=""),"",IF(OR(ISNUMBER(SEARCH(_xlfn.CONCAT(CHAR(96),CHAR(34)),$G252)),ISNUMBER(SEARCH(_xlfn.CONCAT(CHAR(34),CHAR(39)),$G252))),_xlfn.CONCAT("* REVIEW REQUIRED: compound-quote delimiter in Universe on Sheet 1 row ",252,"; edit the input before running."),_xlfn.CONCAT("char ",TRIM($B252),"[doc_universe] ",CHAR(96),CHAR(34),SUBSTITUTE(SUBSTITUTE(SUBSTITUTE(SUBSTITUTE(SUBSTITUTE(SUBSTITUTE($G252,CHAR(13)," "),CHAR(10)," "),CHAR(9)," "),CHAR(92),_xlfn.CONCAT(CHAR(92),CHAR(92))),"$",_xlfn.CONCAT(CHAR(92),"$")),CHAR(96),_xlfn.CONCAT(CHAR(92),CHAR(96))),CHAR(34),CHAR(39))))</f>
        <v/>
      </c>
      <c r="R252" s="5" t="str">
        <f>IF(OR(TRIM($B252)="",$H252=""),"",IF(OR(ISNUMBER(SEARCH(_xlfn.CONCAT(CHAR(96),CHAR(34)),$H252)),ISNUMBER(SEARCH(_xlfn.CONCAT(CHAR(34),CHAR(39)),$H252))),_xlfn.CONCAT("* REVIEW REQUIRED: compound-quote delimiter in Source on Sheet 1 row ",252,"; edit the input before running."),_xlfn.CONCAT("char ",TRIM($B252),"[doc_source] ",CHAR(96),CHAR(34),SUBSTITUTE(SUBSTITUTE(SUBSTITUTE(SUBSTITUTE(SUBSTITUTE(SUBSTITUTE($H252,CHAR(13)," "),CHAR(10)," "),CHAR(9)," "),CHAR(92),_xlfn.CONCAT(CHAR(92),CHAR(92))),"$",_xlfn.CONCAT(CHAR(92),"$")),CHAR(96),_xlfn.CONCAT(CHAR(92),CHAR(96))),CHAR(34),CHAR(39))))</f>
        <v/>
      </c>
      <c r="S252" s="5" t="str">
        <f>IF(OR(TRIM($B252)="",$I252=""),"",IF(OR(ISNUMBER(SEARCH(_xlfn.CONCAT(CHAR(96),CHAR(34)),$I252)),ISNUMBER(SEARCH(_xlfn.CONCAT(CHAR(34),CHAR(39)),$I252))),_xlfn.CONCAT("* REVIEW REQUIRED: compound-quote delimiter in Derivation on Sheet 1 row ",252,"; edit the input before running."),_xlfn.CONCAT("char ",TRIM($B252),"[doc_derivation] ",CHAR(96),CHAR(34),SUBSTITUTE(SUBSTITUTE(SUBSTITUTE(SUBSTITUTE(SUBSTITUTE(SUBSTITUTE($I252,CHAR(13)," "),CHAR(10)," "),CHAR(9)," "),CHAR(92),_xlfn.CONCAT(CHAR(92),CHAR(92))),"$",_xlfn.CONCAT(CHAR(92),"$")),CHAR(96),_xlfn.CONCAT(CHAR(92),CHAR(96))),CHAR(34),CHAR(39))))</f>
        <v/>
      </c>
      <c r="T252" s="5" t="str">
        <f>IF(OR(TRIM($B252)="",$J252=""),"",IF(OR(ISNUMBER(SEARCH(_xlfn.CONCAT(CHAR(96),CHAR(34)),$J252)),ISNUMBER(SEARCH(_xlfn.CONCAT(CHAR(34),CHAR(39)),$J252))),_xlfn.CONCAT("* REVIEW REQUIRED: compound-quote delimiter in Notes on Sheet 1 row ",252,"; edit the input before running."),_xlfn.CONCAT("char ",TRIM($B252),"[doc_notes] ",CHAR(96),CHAR(34),SUBSTITUTE(SUBSTITUTE(SUBSTITUTE(SUBSTITUTE(SUBSTITUTE(SUBSTITUTE($J252,CHAR(13)," "),CHAR(10)," "),CHAR(9)," "),CHAR(92),_xlfn.CONCAT(CHAR(92),CHAR(92))),"$",_xlfn.CONCAT(CHAR(92),"$")),CHAR(96),_xlfn.CONCAT(CHAR(92),CHAR(96))),CHAR(34),CHAR(39))))</f>
        <v/>
      </c>
      <c r="U252" s="5">
        <f t="shared" si="7"/>
        <v>0</v>
      </c>
    </row>
    <row r="253" spans="3:21" ht="30" customHeight="1" x14ac:dyDescent="0.2">
      <c r="C253" s="4"/>
      <c r="K253" s="5">
        <f t="shared" si="6"/>
        <v>0</v>
      </c>
      <c r="L253" s="5" t="str">
        <f>IF(OR(TRIM($B253)="",$A253=""),"",IF(OR(ISNUMBER(SEARCH(_xlfn.CONCAT(CHAR(96),CHAR(34)),$A253)),ISNUMBER(SEARCH(_xlfn.CONCAT(CHAR(34),CHAR(39)),$A253))),_xlfn.CONCAT("* REVIEW REQUIRED: compound-quote delimiter in Codebook Section on Sheet 1 row ",253,"; edit the input before running."),_xlfn.CONCAT("char ",TRIM($B253),"[doc_section] ",CHAR(96),CHAR(34),SUBSTITUTE(SUBSTITUTE(SUBSTITUTE(SUBSTITUTE(SUBSTITUTE(SUBSTITUTE($A253,CHAR(13)," "),CHAR(10)," "),CHAR(9)," "),CHAR(92),_xlfn.CONCAT(CHAR(92),CHAR(92))),"$",_xlfn.CONCAT(CHAR(92),"$")),CHAR(96),_xlfn.CONCAT(CHAR(92),CHAR(96))),CHAR(34),CHAR(39))))</f>
        <v/>
      </c>
      <c r="M253" s="5" t="str">
        <f>IF(OR(TRIM($B253)="",$C253=""),"",IF(IFERROR(MATCH(TRIM($C253),{"Quantitative","Continuous","Discrete","Categorical","Nominal","Ordinal","Identifier"},0),0)=0,_xlfn.CONCAT("* REVIEW REQUIRED: invalid Variable Type on Sheet 1 row ",253,"."),_xlfn.CONCAT("char ",TRIM($B253),"[doc_vartype] ",CHAR(96),CHAR(34),SUBSTITUTE(SUBSTITUTE(SUBSTITUTE(SUBSTITUTE(SUBSTITUTE(SUBSTITUTE(LOWER(TRIM($C253)),CHAR(13)," "),CHAR(10)," "),CHAR(9)," "),CHAR(92),_xlfn.CONCAT(CHAR(92),CHAR(92))),"$",_xlfn.CONCAT(CHAR(92),"$")),CHAR(96),_xlfn.CONCAT(CHAR(92),CHAR(96))),CHAR(34),CHAR(39))))</f>
        <v/>
      </c>
      <c r="N253" s="5" t="str">
        <f>IF(OR(TRIM($B253)="",$D253=""),"",IF(OR(ISNUMBER(SEARCH(_xlfn.CONCAT(CHAR(96),CHAR(34)),$D253)),ISNUMBER(SEARCH(_xlfn.CONCAT(CHAR(34),CHAR(39)),$D253))),_xlfn.CONCAT("* REVIEW REQUIRED: compound-quote delimiter in Item Number on Sheet 1 row ",253,"; edit the input before running."),_xlfn.CONCAT("char ",TRIM($B253),"[doc_itemnum] ",CHAR(96),CHAR(34),SUBSTITUTE(SUBSTITUTE(SUBSTITUTE(SUBSTITUTE(SUBSTITUTE(SUBSTITUTE($D253,CHAR(13)," "),CHAR(10)," "),CHAR(9)," "),CHAR(92),_xlfn.CONCAT(CHAR(92),CHAR(92))),"$",_xlfn.CONCAT(CHAR(92),"$")),CHAR(96),_xlfn.CONCAT(CHAR(92),CHAR(96))),CHAR(34),CHAR(39))))</f>
        <v/>
      </c>
      <c r="O253" s="5" t="str">
        <f>IF(OR(TRIM($B253)="",$E253=""),"",IF(OR(ISNUMBER(SEARCH(_xlfn.CONCAT(CHAR(96),CHAR(34)),$E253)),ISNUMBER(SEARCH(_xlfn.CONCAT(CHAR(34),CHAR(39)),$E253))),_xlfn.CONCAT("* REVIEW REQUIRED: compound-quote delimiter in Question Wording on Sheet 1 row ",253,"; edit the input before running."),_xlfn.CONCAT("char ",TRIM($B253),"[doc_question] ",CHAR(96),CHAR(34),SUBSTITUTE(SUBSTITUTE(SUBSTITUTE(SUBSTITUTE(SUBSTITUTE(SUBSTITUTE($E253,CHAR(13)," "),CHAR(10)," "),CHAR(9)," "),CHAR(92),_xlfn.CONCAT(CHAR(92),CHAR(92))),"$",_xlfn.CONCAT(CHAR(92),"$")),CHAR(96),_xlfn.CONCAT(CHAR(92),CHAR(96))),CHAR(34),CHAR(39))))</f>
        <v/>
      </c>
      <c r="P253" s="5" t="str">
        <f>IF(OR(TRIM($B253)="",$F253=""),"",IF(OR(ISNUMBER(SEARCH(_xlfn.CONCAT(CHAR(96),CHAR(34)),$F253)),ISNUMBER(SEARCH(_xlfn.CONCAT(CHAR(34),CHAR(39)),$F253))),_xlfn.CONCAT("* REVIEW REQUIRED: compound-quote delimiter in Units on Sheet 1 row ",253,"; edit the input before running."),_xlfn.CONCAT("char ",TRIM($B253),"[doc_units] ",CHAR(96),CHAR(34),SUBSTITUTE(SUBSTITUTE(SUBSTITUTE(SUBSTITUTE(SUBSTITUTE(SUBSTITUTE($F253,CHAR(13)," "),CHAR(10)," "),CHAR(9)," "),CHAR(92),_xlfn.CONCAT(CHAR(92),CHAR(92))),"$",_xlfn.CONCAT(CHAR(92),"$")),CHAR(96),_xlfn.CONCAT(CHAR(92),CHAR(96))),CHAR(34),CHAR(39))))</f>
        <v/>
      </c>
      <c r="Q253" s="5" t="str">
        <f>IF(OR(TRIM($B253)="",$G253=""),"",IF(OR(ISNUMBER(SEARCH(_xlfn.CONCAT(CHAR(96),CHAR(34)),$G253)),ISNUMBER(SEARCH(_xlfn.CONCAT(CHAR(34),CHAR(39)),$G253))),_xlfn.CONCAT("* REVIEW REQUIRED: compound-quote delimiter in Universe on Sheet 1 row ",253,"; edit the input before running."),_xlfn.CONCAT("char ",TRIM($B253),"[doc_universe] ",CHAR(96),CHAR(34),SUBSTITUTE(SUBSTITUTE(SUBSTITUTE(SUBSTITUTE(SUBSTITUTE(SUBSTITUTE($G253,CHAR(13)," "),CHAR(10)," "),CHAR(9)," "),CHAR(92),_xlfn.CONCAT(CHAR(92),CHAR(92))),"$",_xlfn.CONCAT(CHAR(92),"$")),CHAR(96),_xlfn.CONCAT(CHAR(92),CHAR(96))),CHAR(34),CHAR(39))))</f>
        <v/>
      </c>
      <c r="R253" s="5" t="str">
        <f>IF(OR(TRIM($B253)="",$H253=""),"",IF(OR(ISNUMBER(SEARCH(_xlfn.CONCAT(CHAR(96),CHAR(34)),$H253)),ISNUMBER(SEARCH(_xlfn.CONCAT(CHAR(34),CHAR(39)),$H253))),_xlfn.CONCAT("* REVIEW REQUIRED: compound-quote delimiter in Source on Sheet 1 row ",253,"; edit the input before running."),_xlfn.CONCAT("char ",TRIM($B253),"[doc_source] ",CHAR(96),CHAR(34),SUBSTITUTE(SUBSTITUTE(SUBSTITUTE(SUBSTITUTE(SUBSTITUTE(SUBSTITUTE($H253,CHAR(13)," "),CHAR(10)," "),CHAR(9)," "),CHAR(92),_xlfn.CONCAT(CHAR(92),CHAR(92))),"$",_xlfn.CONCAT(CHAR(92),"$")),CHAR(96),_xlfn.CONCAT(CHAR(92),CHAR(96))),CHAR(34),CHAR(39))))</f>
        <v/>
      </c>
      <c r="S253" s="5" t="str">
        <f>IF(OR(TRIM($B253)="",$I253=""),"",IF(OR(ISNUMBER(SEARCH(_xlfn.CONCAT(CHAR(96),CHAR(34)),$I253)),ISNUMBER(SEARCH(_xlfn.CONCAT(CHAR(34),CHAR(39)),$I253))),_xlfn.CONCAT("* REVIEW REQUIRED: compound-quote delimiter in Derivation on Sheet 1 row ",253,"; edit the input before running."),_xlfn.CONCAT("char ",TRIM($B253),"[doc_derivation] ",CHAR(96),CHAR(34),SUBSTITUTE(SUBSTITUTE(SUBSTITUTE(SUBSTITUTE(SUBSTITUTE(SUBSTITUTE($I253,CHAR(13)," "),CHAR(10)," "),CHAR(9)," "),CHAR(92),_xlfn.CONCAT(CHAR(92),CHAR(92))),"$",_xlfn.CONCAT(CHAR(92),"$")),CHAR(96),_xlfn.CONCAT(CHAR(92),CHAR(96))),CHAR(34),CHAR(39))))</f>
        <v/>
      </c>
      <c r="T253" s="5" t="str">
        <f>IF(OR(TRIM($B253)="",$J253=""),"",IF(OR(ISNUMBER(SEARCH(_xlfn.CONCAT(CHAR(96),CHAR(34)),$J253)),ISNUMBER(SEARCH(_xlfn.CONCAT(CHAR(34),CHAR(39)),$J253))),_xlfn.CONCAT("* REVIEW REQUIRED: compound-quote delimiter in Notes on Sheet 1 row ",253,"; edit the input before running."),_xlfn.CONCAT("char ",TRIM($B253),"[doc_notes] ",CHAR(96),CHAR(34),SUBSTITUTE(SUBSTITUTE(SUBSTITUTE(SUBSTITUTE(SUBSTITUTE(SUBSTITUTE($J253,CHAR(13)," "),CHAR(10)," "),CHAR(9)," "),CHAR(92),_xlfn.CONCAT(CHAR(92),CHAR(92))),"$",_xlfn.CONCAT(CHAR(92),"$")),CHAR(96),_xlfn.CONCAT(CHAR(92),CHAR(96))),CHAR(34),CHAR(39))))</f>
        <v/>
      </c>
      <c r="U253" s="5">
        <f t="shared" si="7"/>
        <v>0</v>
      </c>
    </row>
    <row r="254" spans="3:21" ht="30" customHeight="1" x14ac:dyDescent="0.2">
      <c r="C254" s="4"/>
      <c r="K254" s="5">
        <f t="shared" si="6"/>
        <v>0</v>
      </c>
      <c r="L254" s="5" t="str">
        <f>IF(OR(TRIM($B254)="",$A254=""),"",IF(OR(ISNUMBER(SEARCH(_xlfn.CONCAT(CHAR(96),CHAR(34)),$A254)),ISNUMBER(SEARCH(_xlfn.CONCAT(CHAR(34),CHAR(39)),$A254))),_xlfn.CONCAT("* REVIEW REQUIRED: compound-quote delimiter in Codebook Section on Sheet 1 row ",254,"; edit the input before running."),_xlfn.CONCAT("char ",TRIM($B254),"[doc_section] ",CHAR(96),CHAR(34),SUBSTITUTE(SUBSTITUTE(SUBSTITUTE(SUBSTITUTE(SUBSTITUTE(SUBSTITUTE($A254,CHAR(13)," "),CHAR(10)," "),CHAR(9)," "),CHAR(92),_xlfn.CONCAT(CHAR(92),CHAR(92))),"$",_xlfn.CONCAT(CHAR(92),"$")),CHAR(96),_xlfn.CONCAT(CHAR(92),CHAR(96))),CHAR(34),CHAR(39))))</f>
        <v/>
      </c>
      <c r="M254" s="5" t="str">
        <f>IF(OR(TRIM($B254)="",$C254=""),"",IF(IFERROR(MATCH(TRIM($C254),{"Quantitative","Continuous","Discrete","Categorical","Nominal","Ordinal","Identifier"},0),0)=0,_xlfn.CONCAT("* REVIEW REQUIRED: invalid Variable Type on Sheet 1 row ",254,"."),_xlfn.CONCAT("char ",TRIM($B254),"[doc_vartype] ",CHAR(96),CHAR(34),SUBSTITUTE(SUBSTITUTE(SUBSTITUTE(SUBSTITUTE(SUBSTITUTE(SUBSTITUTE(LOWER(TRIM($C254)),CHAR(13)," "),CHAR(10)," "),CHAR(9)," "),CHAR(92),_xlfn.CONCAT(CHAR(92),CHAR(92))),"$",_xlfn.CONCAT(CHAR(92),"$")),CHAR(96),_xlfn.CONCAT(CHAR(92),CHAR(96))),CHAR(34),CHAR(39))))</f>
        <v/>
      </c>
      <c r="N254" s="5" t="str">
        <f>IF(OR(TRIM($B254)="",$D254=""),"",IF(OR(ISNUMBER(SEARCH(_xlfn.CONCAT(CHAR(96),CHAR(34)),$D254)),ISNUMBER(SEARCH(_xlfn.CONCAT(CHAR(34),CHAR(39)),$D254))),_xlfn.CONCAT("* REVIEW REQUIRED: compound-quote delimiter in Item Number on Sheet 1 row ",254,"; edit the input before running."),_xlfn.CONCAT("char ",TRIM($B254),"[doc_itemnum] ",CHAR(96),CHAR(34),SUBSTITUTE(SUBSTITUTE(SUBSTITUTE(SUBSTITUTE(SUBSTITUTE(SUBSTITUTE($D254,CHAR(13)," "),CHAR(10)," "),CHAR(9)," "),CHAR(92),_xlfn.CONCAT(CHAR(92),CHAR(92))),"$",_xlfn.CONCAT(CHAR(92),"$")),CHAR(96),_xlfn.CONCAT(CHAR(92),CHAR(96))),CHAR(34),CHAR(39))))</f>
        <v/>
      </c>
      <c r="O254" s="5" t="str">
        <f>IF(OR(TRIM($B254)="",$E254=""),"",IF(OR(ISNUMBER(SEARCH(_xlfn.CONCAT(CHAR(96),CHAR(34)),$E254)),ISNUMBER(SEARCH(_xlfn.CONCAT(CHAR(34),CHAR(39)),$E254))),_xlfn.CONCAT("* REVIEW REQUIRED: compound-quote delimiter in Question Wording on Sheet 1 row ",254,"; edit the input before running."),_xlfn.CONCAT("char ",TRIM($B254),"[doc_question] ",CHAR(96),CHAR(34),SUBSTITUTE(SUBSTITUTE(SUBSTITUTE(SUBSTITUTE(SUBSTITUTE(SUBSTITUTE($E254,CHAR(13)," "),CHAR(10)," "),CHAR(9)," "),CHAR(92),_xlfn.CONCAT(CHAR(92),CHAR(92))),"$",_xlfn.CONCAT(CHAR(92),"$")),CHAR(96),_xlfn.CONCAT(CHAR(92),CHAR(96))),CHAR(34),CHAR(39))))</f>
        <v/>
      </c>
      <c r="P254" s="5" t="str">
        <f>IF(OR(TRIM($B254)="",$F254=""),"",IF(OR(ISNUMBER(SEARCH(_xlfn.CONCAT(CHAR(96),CHAR(34)),$F254)),ISNUMBER(SEARCH(_xlfn.CONCAT(CHAR(34),CHAR(39)),$F254))),_xlfn.CONCAT("* REVIEW REQUIRED: compound-quote delimiter in Units on Sheet 1 row ",254,"; edit the input before running."),_xlfn.CONCAT("char ",TRIM($B254),"[doc_units] ",CHAR(96),CHAR(34),SUBSTITUTE(SUBSTITUTE(SUBSTITUTE(SUBSTITUTE(SUBSTITUTE(SUBSTITUTE($F254,CHAR(13)," "),CHAR(10)," "),CHAR(9)," "),CHAR(92),_xlfn.CONCAT(CHAR(92),CHAR(92))),"$",_xlfn.CONCAT(CHAR(92),"$")),CHAR(96),_xlfn.CONCAT(CHAR(92),CHAR(96))),CHAR(34),CHAR(39))))</f>
        <v/>
      </c>
      <c r="Q254" s="5" t="str">
        <f>IF(OR(TRIM($B254)="",$G254=""),"",IF(OR(ISNUMBER(SEARCH(_xlfn.CONCAT(CHAR(96),CHAR(34)),$G254)),ISNUMBER(SEARCH(_xlfn.CONCAT(CHAR(34),CHAR(39)),$G254))),_xlfn.CONCAT("* REVIEW REQUIRED: compound-quote delimiter in Universe on Sheet 1 row ",254,"; edit the input before running."),_xlfn.CONCAT("char ",TRIM($B254),"[doc_universe] ",CHAR(96),CHAR(34),SUBSTITUTE(SUBSTITUTE(SUBSTITUTE(SUBSTITUTE(SUBSTITUTE(SUBSTITUTE($G254,CHAR(13)," "),CHAR(10)," "),CHAR(9)," "),CHAR(92),_xlfn.CONCAT(CHAR(92),CHAR(92))),"$",_xlfn.CONCAT(CHAR(92),"$")),CHAR(96),_xlfn.CONCAT(CHAR(92),CHAR(96))),CHAR(34),CHAR(39))))</f>
        <v/>
      </c>
      <c r="R254" s="5" t="str">
        <f>IF(OR(TRIM($B254)="",$H254=""),"",IF(OR(ISNUMBER(SEARCH(_xlfn.CONCAT(CHAR(96),CHAR(34)),$H254)),ISNUMBER(SEARCH(_xlfn.CONCAT(CHAR(34),CHAR(39)),$H254))),_xlfn.CONCAT("* REVIEW REQUIRED: compound-quote delimiter in Source on Sheet 1 row ",254,"; edit the input before running."),_xlfn.CONCAT("char ",TRIM($B254),"[doc_source] ",CHAR(96),CHAR(34),SUBSTITUTE(SUBSTITUTE(SUBSTITUTE(SUBSTITUTE(SUBSTITUTE(SUBSTITUTE($H254,CHAR(13)," "),CHAR(10)," "),CHAR(9)," "),CHAR(92),_xlfn.CONCAT(CHAR(92),CHAR(92))),"$",_xlfn.CONCAT(CHAR(92),"$")),CHAR(96),_xlfn.CONCAT(CHAR(92),CHAR(96))),CHAR(34),CHAR(39))))</f>
        <v/>
      </c>
      <c r="S254" s="5" t="str">
        <f>IF(OR(TRIM($B254)="",$I254=""),"",IF(OR(ISNUMBER(SEARCH(_xlfn.CONCAT(CHAR(96),CHAR(34)),$I254)),ISNUMBER(SEARCH(_xlfn.CONCAT(CHAR(34),CHAR(39)),$I254))),_xlfn.CONCAT("* REVIEW REQUIRED: compound-quote delimiter in Derivation on Sheet 1 row ",254,"; edit the input before running."),_xlfn.CONCAT("char ",TRIM($B254),"[doc_derivation] ",CHAR(96),CHAR(34),SUBSTITUTE(SUBSTITUTE(SUBSTITUTE(SUBSTITUTE(SUBSTITUTE(SUBSTITUTE($I254,CHAR(13)," "),CHAR(10)," "),CHAR(9)," "),CHAR(92),_xlfn.CONCAT(CHAR(92),CHAR(92))),"$",_xlfn.CONCAT(CHAR(92),"$")),CHAR(96),_xlfn.CONCAT(CHAR(92),CHAR(96))),CHAR(34),CHAR(39))))</f>
        <v/>
      </c>
      <c r="T254" s="5" t="str">
        <f>IF(OR(TRIM($B254)="",$J254=""),"",IF(OR(ISNUMBER(SEARCH(_xlfn.CONCAT(CHAR(96),CHAR(34)),$J254)),ISNUMBER(SEARCH(_xlfn.CONCAT(CHAR(34),CHAR(39)),$J254))),_xlfn.CONCAT("* REVIEW REQUIRED: compound-quote delimiter in Notes on Sheet 1 row ",254,"; edit the input before running."),_xlfn.CONCAT("char ",TRIM($B254),"[doc_notes] ",CHAR(96),CHAR(34),SUBSTITUTE(SUBSTITUTE(SUBSTITUTE(SUBSTITUTE(SUBSTITUTE(SUBSTITUTE($J254,CHAR(13)," "),CHAR(10)," "),CHAR(9)," "),CHAR(92),_xlfn.CONCAT(CHAR(92),CHAR(92))),"$",_xlfn.CONCAT(CHAR(92),"$")),CHAR(96),_xlfn.CONCAT(CHAR(92),CHAR(96))),CHAR(34),CHAR(39))))</f>
        <v/>
      </c>
      <c r="U254" s="5">
        <f t="shared" si="7"/>
        <v>0</v>
      </c>
    </row>
    <row r="255" spans="3:21" ht="30" customHeight="1" x14ac:dyDescent="0.2">
      <c r="C255" s="4"/>
      <c r="K255" s="5">
        <f t="shared" si="6"/>
        <v>0</v>
      </c>
      <c r="L255" s="5" t="str">
        <f>IF(OR(TRIM($B255)="",$A255=""),"",IF(OR(ISNUMBER(SEARCH(_xlfn.CONCAT(CHAR(96),CHAR(34)),$A255)),ISNUMBER(SEARCH(_xlfn.CONCAT(CHAR(34),CHAR(39)),$A255))),_xlfn.CONCAT("* REVIEW REQUIRED: compound-quote delimiter in Codebook Section on Sheet 1 row ",255,"; edit the input before running."),_xlfn.CONCAT("char ",TRIM($B255),"[doc_section] ",CHAR(96),CHAR(34),SUBSTITUTE(SUBSTITUTE(SUBSTITUTE(SUBSTITUTE(SUBSTITUTE(SUBSTITUTE($A255,CHAR(13)," "),CHAR(10)," "),CHAR(9)," "),CHAR(92),_xlfn.CONCAT(CHAR(92),CHAR(92))),"$",_xlfn.CONCAT(CHAR(92),"$")),CHAR(96),_xlfn.CONCAT(CHAR(92),CHAR(96))),CHAR(34),CHAR(39))))</f>
        <v/>
      </c>
      <c r="M255" s="5" t="str">
        <f>IF(OR(TRIM($B255)="",$C255=""),"",IF(IFERROR(MATCH(TRIM($C255),{"Quantitative","Continuous","Discrete","Categorical","Nominal","Ordinal","Identifier"},0),0)=0,_xlfn.CONCAT("* REVIEW REQUIRED: invalid Variable Type on Sheet 1 row ",255,"."),_xlfn.CONCAT("char ",TRIM($B255),"[doc_vartype] ",CHAR(96),CHAR(34),SUBSTITUTE(SUBSTITUTE(SUBSTITUTE(SUBSTITUTE(SUBSTITUTE(SUBSTITUTE(LOWER(TRIM($C255)),CHAR(13)," "),CHAR(10)," "),CHAR(9)," "),CHAR(92),_xlfn.CONCAT(CHAR(92),CHAR(92))),"$",_xlfn.CONCAT(CHAR(92),"$")),CHAR(96),_xlfn.CONCAT(CHAR(92),CHAR(96))),CHAR(34),CHAR(39))))</f>
        <v/>
      </c>
      <c r="N255" s="5" t="str">
        <f>IF(OR(TRIM($B255)="",$D255=""),"",IF(OR(ISNUMBER(SEARCH(_xlfn.CONCAT(CHAR(96),CHAR(34)),$D255)),ISNUMBER(SEARCH(_xlfn.CONCAT(CHAR(34),CHAR(39)),$D255))),_xlfn.CONCAT("* REVIEW REQUIRED: compound-quote delimiter in Item Number on Sheet 1 row ",255,"; edit the input before running."),_xlfn.CONCAT("char ",TRIM($B255),"[doc_itemnum] ",CHAR(96),CHAR(34),SUBSTITUTE(SUBSTITUTE(SUBSTITUTE(SUBSTITUTE(SUBSTITUTE(SUBSTITUTE($D255,CHAR(13)," "),CHAR(10)," "),CHAR(9)," "),CHAR(92),_xlfn.CONCAT(CHAR(92),CHAR(92))),"$",_xlfn.CONCAT(CHAR(92),"$")),CHAR(96),_xlfn.CONCAT(CHAR(92),CHAR(96))),CHAR(34),CHAR(39))))</f>
        <v/>
      </c>
      <c r="O255" s="5" t="str">
        <f>IF(OR(TRIM($B255)="",$E255=""),"",IF(OR(ISNUMBER(SEARCH(_xlfn.CONCAT(CHAR(96),CHAR(34)),$E255)),ISNUMBER(SEARCH(_xlfn.CONCAT(CHAR(34),CHAR(39)),$E255))),_xlfn.CONCAT("* REVIEW REQUIRED: compound-quote delimiter in Question Wording on Sheet 1 row ",255,"; edit the input before running."),_xlfn.CONCAT("char ",TRIM($B255),"[doc_question] ",CHAR(96),CHAR(34),SUBSTITUTE(SUBSTITUTE(SUBSTITUTE(SUBSTITUTE(SUBSTITUTE(SUBSTITUTE($E255,CHAR(13)," "),CHAR(10)," "),CHAR(9)," "),CHAR(92),_xlfn.CONCAT(CHAR(92),CHAR(92))),"$",_xlfn.CONCAT(CHAR(92),"$")),CHAR(96),_xlfn.CONCAT(CHAR(92),CHAR(96))),CHAR(34),CHAR(39))))</f>
        <v/>
      </c>
      <c r="P255" s="5" t="str">
        <f>IF(OR(TRIM($B255)="",$F255=""),"",IF(OR(ISNUMBER(SEARCH(_xlfn.CONCAT(CHAR(96),CHAR(34)),$F255)),ISNUMBER(SEARCH(_xlfn.CONCAT(CHAR(34),CHAR(39)),$F255))),_xlfn.CONCAT("* REVIEW REQUIRED: compound-quote delimiter in Units on Sheet 1 row ",255,"; edit the input before running."),_xlfn.CONCAT("char ",TRIM($B255),"[doc_units] ",CHAR(96),CHAR(34),SUBSTITUTE(SUBSTITUTE(SUBSTITUTE(SUBSTITUTE(SUBSTITUTE(SUBSTITUTE($F255,CHAR(13)," "),CHAR(10)," "),CHAR(9)," "),CHAR(92),_xlfn.CONCAT(CHAR(92),CHAR(92))),"$",_xlfn.CONCAT(CHAR(92),"$")),CHAR(96),_xlfn.CONCAT(CHAR(92),CHAR(96))),CHAR(34),CHAR(39))))</f>
        <v/>
      </c>
      <c r="Q255" s="5" t="str">
        <f>IF(OR(TRIM($B255)="",$G255=""),"",IF(OR(ISNUMBER(SEARCH(_xlfn.CONCAT(CHAR(96),CHAR(34)),$G255)),ISNUMBER(SEARCH(_xlfn.CONCAT(CHAR(34),CHAR(39)),$G255))),_xlfn.CONCAT("* REVIEW REQUIRED: compound-quote delimiter in Universe on Sheet 1 row ",255,"; edit the input before running."),_xlfn.CONCAT("char ",TRIM($B255),"[doc_universe] ",CHAR(96),CHAR(34),SUBSTITUTE(SUBSTITUTE(SUBSTITUTE(SUBSTITUTE(SUBSTITUTE(SUBSTITUTE($G255,CHAR(13)," "),CHAR(10)," "),CHAR(9)," "),CHAR(92),_xlfn.CONCAT(CHAR(92),CHAR(92))),"$",_xlfn.CONCAT(CHAR(92),"$")),CHAR(96),_xlfn.CONCAT(CHAR(92),CHAR(96))),CHAR(34),CHAR(39))))</f>
        <v/>
      </c>
      <c r="R255" s="5" t="str">
        <f>IF(OR(TRIM($B255)="",$H255=""),"",IF(OR(ISNUMBER(SEARCH(_xlfn.CONCAT(CHAR(96),CHAR(34)),$H255)),ISNUMBER(SEARCH(_xlfn.CONCAT(CHAR(34),CHAR(39)),$H255))),_xlfn.CONCAT("* REVIEW REQUIRED: compound-quote delimiter in Source on Sheet 1 row ",255,"; edit the input before running."),_xlfn.CONCAT("char ",TRIM($B255),"[doc_source] ",CHAR(96),CHAR(34),SUBSTITUTE(SUBSTITUTE(SUBSTITUTE(SUBSTITUTE(SUBSTITUTE(SUBSTITUTE($H255,CHAR(13)," "),CHAR(10)," "),CHAR(9)," "),CHAR(92),_xlfn.CONCAT(CHAR(92),CHAR(92))),"$",_xlfn.CONCAT(CHAR(92),"$")),CHAR(96),_xlfn.CONCAT(CHAR(92),CHAR(96))),CHAR(34),CHAR(39))))</f>
        <v/>
      </c>
      <c r="S255" s="5" t="str">
        <f>IF(OR(TRIM($B255)="",$I255=""),"",IF(OR(ISNUMBER(SEARCH(_xlfn.CONCAT(CHAR(96),CHAR(34)),$I255)),ISNUMBER(SEARCH(_xlfn.CONCAT(CHAR(34),CHAR(39)),$I255))),_xlfn.CONCAT("* REVIEW REQUIRED: compound-quote delimiter in Derivation on Sheet 1 row ",255,"; edit the input before running."),_xlfn.CONCAT("char ",TRIM($B255),"[doc_derivation] ",CHAR(96),CHAR(34),SUBSTITUTE(SUBSTITUTE(SUBSTITUTE(SUBSTITUTE(SUBSTITUTE(SUBSTITUTE($I255,CHAR(13)," "),CHAR(10)," "),CHAR(9)," "),CHAR(92),_xlfn.CONCAT(CHAR(92),CHAR(92))),"$",_xlfn.CONCAT(CHAR(92),"$")),CHAR(96),_xlfn.CONCAT(CHAR(92),CHAR(96))),CHAR(34),CHAR(39))))</f>
        <v/>
      </c>
      <c r="T255" s="5" t="str">
        <f>IF(OR(TRIM($B255)="",$J255=""),"",IF(OR(ISNUMBER(SEARCH(_xlfn.CONCAT(CHAR(96),CHAR(34)),$J255)),ISNUMBER(SEARCH(_xlfn.CONCAT(CHAR(34),CHAR(39)),$J255))),_xlfn.CONCAT("* REVIEW REQUIRED: compound-quote delimiter in Notes on Sheet 1 row ",255,"; edit the input before running."),_xlfn.CONCAT("char ",TRIM($B255),"[doc_notes] ",CHAR(96),CHAR(34),SUBSTITUTE(SUBSTITUTE(SUBSTITUTE(SUBSTITUTE(SUBSTITUTE(SUBSTITUTE($J255,CHAR(13)," "),CHAR(10)," "),CHAR(9)," "),CHAR(92),_xlfn.CONCAT(CHAR(92),CHAR(92))),"$",_xlfn.CONCAT(CHAR(92),"$")),CHAR(96),_xlfn.CONCAT(CHAR(92),CHAR(96))),CHAR(34),CHAR(39))))</f>
        <v/>
      </c>
      <c r="U255" s="5">
        <f t="shared" si="7"/>
        <v>0</v>
      </c>
    </row>
    <row r="256" spans="3:21" ht="30" customHeight="1" x14ac:dyDescent="0.2">
      <c r="C256" s="4"/>
      <c r="K256" s="5">
        <f t="shared" si="6"/>
        <v>0</v>
      </c>
      <c r="L256" s="5" t="str">
        <f>IF(OR(TRIM($B256)="",$A256=""),"",IF(OR(ISNUMBER(SEARCH(_xlfn.CONCAT(CHAR(96),CHAR(34)),$A256)),ISNUMBER(SEARCH(_xlfn.CONCAT(CHAR(34),CHAR(39)),$A256))),_xlfn.CONCAT("* REVIEW REQUIRED: compound-quote delimiter in Codebook Section on Sheet 1 row ",256,"; edit the input before running."),_xlfn.CONCAT("char ",TRIM($B256),"[doc_section] ",CHAR(96),CHAR(34),SUBSTITUTE(SUBSTITUTE(SUBSTITUTE(SUBSTITUTE(SUBSTITUTE(SUBSTITUTE($A256,CHAR(13)," "),CHAR(10)," "),CHAR(9)," "),CHAR(92),_xlfn.CONCAT(CHAR(92),CHAR(92))),"$",_xlfn.CONCAT(CHAR(92),"$")),CHAR(96),_xlfn.CONCAT(CHAR(92),CHAR(96))),CHAR(34),CHAR(39))))</f>
        <v/>
      </c>
      <c r="M256" s="5" t="str">
        <f>IF(OR(TRIM($B256)="",$C256=""),"",IF(IFERROR(MATCH(TRIM($C256),{"Quantitative","Continuous","Discrete","Categorical","Nominal","Ordinal","Identifier"},0),0)=0,_xlfn.CONCAT("* REVIEW REQUIRED: invalid Variable Type on Sheet 1 row ",256,"."),_xlfn.CONCAT("char ",TRIM($B256),"[doc_vartype] ",CHAR(96),CHAR(34),SUBSTITUTE(SUBSTITUTE(SUBSTITUTE(SUBSTITUTE(SUBSTITUTE(SUBSTITUTE(LOWER(TRIM($C256)),CHAR(13)," "),CHAR(10)," "),CHAR(9)," "),CHAR(92),_xlfn.CONCAT(CHAR(92),CHAR(92))),"$",_xlfn.CONCAT(CHAR(92),"$")),CHAR(96),_xlfn.CONCAT(CHAR(92),CHAR(96))),CHAR(34),CHAR(39))))</f>
        <v/>
      </c>
      <c r="N256" s="5" t="str">
        <f>IF(OR(TRIM($B256)="",$D256=""),"",IF(OR(ISNUMBER(SEARCH(_xlfn.CONCAT(CHAR(96),CHAR(34)),$D256)),ISNUMBER(SEARCH(_xlfn.CONCAT(CHAR(34),CHAR(39)),$D256))),_xlfn.CONCAT("* REVIEW REQUIRED: compound-quote delimiter in Item Number on Sheet 1 row ",256,"; edit the input before running."),_xlfn.CONCAT("char ",TRIM($B256),"[doc_itemnum] ",CHAR(96),CHAR(34),SUBSTITUTE(SUBSTITUTE(SUBSTITUTE(SUBSTITUTE(SUBSTITUTE(SUBSTITUTE($D256,CHAR(13)," "),CHAR(10)," "),CHAR(9)," "),CHAR(92),_xlfn.CONCAT(CHAR(92),CHAR(92))),"$",_xlfn.CONCAT(CHAR(92),"$")),CHAR(96),_xlfn.CONCAT(CHAR(92),CHAR(96))),CHAR(34),CHAR(39))))</f>
        <v/>
      </c>
      <c r="O256" s="5" t="str">
        <f>IF(OR(TRIM($B256)="",$E256=""),"",IF(OR(ISNUMBER(SEARCH(_xlfn.CONCAT(CHAR(96),CHAR(34)),$E256)),ISNUMBER(SEARCH(_xlfn.CONCAT(CHAR(34),CHAR(39)),$E256))),_xlfn.CONCAT("* REVIEW REQUIRED: compound-quote delimiter in Question Wording on Sheet 1 row ",256,"; edit the input before running."),_xlfn.CONCAT("char ",TRIM($B256),"[doc_question] ",CHAR(96),CHAR(34),SUBSTITUTE(SUBSTITUTE(SUBSTITUTE(SUBSTITUTE(SUBSTITUTE(SUBSTITUTE($E256,CHAR(13)," "),CHAR(10)," "),CHAR(9)," "),CHAR(92),_xlfn.CONCAT(CHAR(92),CHAR(92))),"$",_xlfn.CONCAT(CHAR(92),"$")),CHAR(96),_xlfn.CONCAT(CHAR(92),CHAR(96))),CHAR(34),CHAR(39))))</f>
        <v/>
      </c>
      <c r="P256" s="5" t="str">
        <f>IF(OR(TRIM($B256)="",$F256=""),"",IF(OR(ISNUMBER(SEARCH(_xlfn.CONCAT(CHAR(96),CHAR(34)),$F256)),ISNUMBER(SEARCH(_xlfn.CONCAT(CHAR(34),CHAR(39)),$F256))),_xlfn.CONCAT("* REVIEW REQUIRED: compound-quote delimiter in Units on Sheet 1 row ",256,"; edit the input before running."),_xlfn.CONCAT("char ",TRIM($B256),"[doc_units] ",CHAR(96),CHAR(34),SUBSTITUTE(SUBSTITUTE(SUBSTITUTE(SUBSTITUTE(SUBSTITUTE(SUBSTITUTE($F256,CHAR(13)," "),CHAR(10)," "),CHAR(9)," "),CHAR(92),_xlfn.CONCAT(CHAR(92),CHAR(92))),"$",_xlfn.CONCAT(CHAR(92),"$")),CHAR(96),_xlfn.CONCAT(CHAR(92),CHAR(96))),CHAR(34),CHAR(39))))</f>
        <v/>
      </c>
      <c r="Q256" s="5" t="str">
        <f>IF(OR(TRIM($B256)="",$G256=""),"",IF(OR(ISNUMBER(SEARCH(_xlfn.CONCAT(CHAR(96),CHAR(34)),$G256)),ISNUMBER(SEARCH(_xlfn.CONCAT(CHAR(34),CHAR(39)),$G256))),_xlfn.CONCAT("* REVIEW REQUIRED: compound-quote delimiter in Universe on Sheet 1 row ",256,"; edit the input before running."),_xlfn.CONCAT("char ",TRIM($B256),"[doc_universe] ",CHAR(96),CHAR(34),SUBSTITUTE(SUBSTITUTE(SUBSTITUTE(SUBSTITUTE(SUBSTITUTE(SUBSTITUTE($G256,CHAR(13)," "),CHAR(10)," "),CHAR(9)," "),CHAR(92),_xlfn.CONCAT(CHAR(92),CHAR(92))),"$",_xlfn.CONCAT(CHAR(92),"$")),CHAR(96),_xlfn.CONCAT(CHAR(92),CHAR(96))),CHAR(34),CHAR(39))))</f>
        <v/>
      </c>
      <c r="R256" s="5" t="str">
        <f>IF(OR(TRIM($B256)="",$H256=""),"",IF(OR(ISNUMBER(SEARCH(_xlfn.CONCAT(CHAR(96),CHAR(34)),$H256)),ISNUMBER(SEARCH(_xlfn.CONCAT(CHAR(34),CHAR(39)),$H256))),_xlfn.CONCAT("* REVIEW REQUIRED: compound-quote delimiter in Source on Sheet 1 row ",256,"; edit the input before running."),_xlfn.CONCAT("char ",TRIM($B256),"[doc_source] ",CHAR(96),CHAR(34),SUBSTITUTE(SUBSTITUTE(SUBSTITUTE(SUBSTITUTE(SUBSTITUTE(SUBSTITUTE($H256,CHAR(13)," "),CHAR(10)," "),CHAR(9)," "),CHAR(92),_xlfn.CONCAT(CHAR(92),CHAR(92))),"$",_xlfn.CONCAT(CHAR(92),"$")),CHAR(96),_xlfn.CONCAT(CHAR(92),CHAR(96))),CHAR(34),CHAR(39))))</f>
        <v/>
      </c>
      <c r="S256" s="5" t="str">
        <f>IF(OR(TRIM($B256)="",$I256=""),"",IF(OR(ISNUMBER(SEARCH(_xlfn.CONCAT(CHAR(96),CHAR(34)),$I256)),ISNUMBER(SEARCH(_xlfn.CONCAT(CHAR(34),CHAR(39)),$I256))),_xlfn.CONCAT("* REVIEW REQUIRED: compound-quote delimiter in Derivation on Sheet 1 row ",256,"; edit the input before running."),_xlfn.CONCAT("char ",TRIM($B256),"[doc_derivation] ",CHAR(96),CHAR(34),SUBSTITUTE(SUBSTITUTE(SUBSTITUTE(SUBSTITUTE(SUBSTITUTE(SUBSTITUTE($I256,CHAR(13)," "),CHAR(10)," "),CHAR(9)," "),CHAR(92),_xlfn.CONCAT(CHAR(92),CHAR(92))),"$",_xlfn.CONCAT(CHAR(92),"$")),CHAR(96),_xlfn.CONCAT(CHAR(92),CHAR(96))),CHAR(34),CHAR(39))))</f>
        <v/>
      </c>
      <c r="T256" s="5" t="str">
        <f>IF(OR(TRIM($B256)="",$J256=""),"",IF(OR(ISNUMBER(SEARCH(_xlfn.CONCAT(CHAR(96),CHAR(34)),$J256)),ISNUMBER(SEARCH(_xlfn.CONCAT(CHAR(34),CHAR(39)),$J256))),_xlfn.CONCAT("* REVIEW REQUIRED: compound-quote delimiter in Notes on Sheet 1 row ",256,"; edit the input before running."),_xlfn.CONCAT("char ",TRIM($B256),"[doc_notes] ",CHAR(96),CHAR(34),SUBSTITUTE(SUBSTITUTE(SUBSTITUTE(SUBSTITUTE(SUBSTITUTE(SUBSTITUTE($J256,CHAR(13)," "),CHAR(10)," "),CHAR(9)," "),CHAR(92),_xlfn.CONCAT(CHAR(92),CHAR(92))),"$",_xlfn.CONCAT(CHAR(92),"$")),CHAR(96),_xlfn.CONCAT(CHAR(92),CHAR(96))),CHAR(34),CHAR(39))))</f>
        <v/>
      </c>
      <c r="U256" s="5">
        <f t="shared" si="7"/>
        <v>0</v>
      </c>
    </row>
    <row r="257" spans="3:21" ht="30" customHeight="1" x14ac:dyDescent="0.2">
      <c r="C257" s="4"/>
      <c r="K257" s="5">
        <f t="shared" si="6"/>
        <v>0</v>
      </c>
      <c r="L257" s="5" t="str">
        <f>IF(OR(TRIM($B257)="",$A257=""),"",IF(OR(ISNUMBER(SEARCH(_xlfn.CONCAT(CHAR(96),CHAR(34)),$A257)),ISNUMBER(SEARCH(_xlfn.CONCAT(CHAR(34),CHAR(39)),$A257))),_xlfn.CONCAT("* REVIEW REQUIRED: compound-quote delimiter in Codebook Section on Sheet 1 row ",257,"; edit the input before running."),_xlfn.CONCAT("char ",TRIM($B257),"[doc_section] ",CHAR(96),CHAR(34),SUBSTITUTE(SUBSTITUTE(SUBSTITUTE(SUBSTITUTE(SUBSTITUTE(SUBSTITUTE($A257,CHAR(13)," "),CHAR(10)," "),CHAR(9)," "),CHAR(92),_xlfn.CONCAT(CHAR(92),CHAR(92))),"$",_xlfn.CONCAT(CHAR(92),"$")),CHAR(96),_xlfn.CONCAT(CHAR(92),CHAR(96))),CHAR(34),CHAR(39))))</f>
        <v/>
      </c>
      <c r="M257" s="5" t="str">
        <f>IF(OR(TRIM($B257)="",$C257=""),"",IF(IFERROR(MATCH(TRIM($C257),{"Quantitative","Continuous","Discrete","Categorical","Nominal","Ordinal","Identifier"},0),0)=0,_xlfn.CONCAT("* REVIEW REQUIRED: invalid Variable Type on Sheet 1 row ",257,"."),_xlfn.CONCAT("char ",TRIM($B257),"[doc_vartype] ",CHAR(96),CHAR(34),SUBSTITUTE(SUBSTITUTE(SUBSTITUTE(SUBSTITUTE(SUBSTITUTE(SUBSTITUTE(LOWER(TRIM($C257)),CHAR(13)," "),CHAR(10)," "),CHAR(9)," "),CHAR(92),_xlfn.CONCAT(CHAR(92),CHAR(92))),"$",_xlfn.CONCAT(CHAR(92),"$")),CHAR(96),_xlfn.CONCAT(CHAR(92),CHAR(96))),CHAR(34),CHAR(39))))</f>
        <v/>
      </c>
      <c r="N257" s="5" t="str">
        <f>IF(OR(TRIM($B257)="",$D257=""),"",IF(OR(ISNUMBER(SEARCH(_xlfn.CONCAT(CHAR(96),CHAR(34)),$D257)),ISNUMBER(SEARCH(_xlfn.CONCAT(CHAR(34),CHAR(39)),$D257))),_xlfn.CONCAT("* REVIEW REQUIRED: compound-quote delimiter in Item Number on Sheet 1 row ",257,"; edit the input before running."),_xlfn.CONCAT("char ",TRIM($B257),"[doc_itemnum] ",CHAR(96),CHAR(34),SUBSTITUTE(SUBSTITUTE(SUBSTITUTE(SUBSTITUTE(SUBSTITUTE(SUBSTITUTE($D257,CHAR(13)," "),CHAR(10)," "),CHAR(9)," "),CHAR(92),_xlfn.CONCAT(CHAR(92),CHAR(92))),"$",_xlfn.CONCAT(CHAR(92),"$")),CHAR(96),_xlfn.CONCAT(CHAR(92),CHAR(96))),CHAR(34),CHAR(39))))</f>
        <v/>
      </c>
      <c r="O257" s="5" t="str">
        <f>IF(OR(TRIM($B257)="",$E257=""),"",IF(OR(ISNUMBER(SEARCH(_xlfn.CONCAT(CHAR(96),CHAR(34)),$E257)),ISNUMBER(SEARCH(_xlfn.CONCAT(CHAR(34),CHAR(39)),$E257))),_xlfn.CONCAT("* REVIEW REQUIRED: compound-quote delimiter in Question Wording on Sheet 1 row ",257,"; edit the input before running."),_xlfn.CONCAT("char ",TRIM($B257),"[doc_question] ",CHAR(96),CHAR(34),SUBSTITUTE(SUBSTITUTE(SUBSTITUTE(SUBSTITUTE(SUBSTITUTE(SUBSTITUTE($E257,CHAR(13)," "),CHAR(10)," "),CHAR(9)," "),CHAR(92),_xlfn.CONCAT(CHAR(92),CHAR(92))),"$",_xlfn.CONCAT(CHAR(92),"$")),CHAR(96),_xlfn.CONCAT(CHAR(92),CHAR(96))),CHAR(34),CHAR(39))))</f>
        <v/>
      </c>
      <c r="P257" s="5" t="str">
        <f>IF(OR(TRIM($B257)="",$F257=""),"",IF(OR(ISNUMBER(SEARCH(_xlfn.CONCAT(CHAR(96),CHAR(34)),$F257)),ISNUMBER(SEARCH(_xlfn.CONCAT(CHAR(34),CHAR(39)),$F257))),_xlfn.CONCAT("* REVIEW REQUIRED: compound-quote delimiter in Units on Sheet 1 row ",257,"; edit the input before running."),_xlfn.CONCAT("char ",TRIM($B257),"[doc_units] ",CHAR(96),CHAR(34),SUBSTITUTE(SUBSTITUTE(SUBSTITUTE(SUBSTITUTE(SUBSTITUTE(SUBSTITUTE($F257,CHAR(13)," "),CHAR(10)," "),CHAR(9)," "),CHAR(92),_xlfn.CONCAT(CHAR(92),CHAR(92))),"$",_xlfn.CONCAT(CHAR(92),"$")),CHAR(96),_xlfn.CONCAT(CHAR(92),CHAR(96))),CHAR(34),CHAR(39))))</f>
        <v/>
      </c>
      <c r="Q257" s="5" t="str">
        <f>IF(OR(TRIM($B257)="",$G257=""),"",IF(OR(ISNUMBER(SEARCH(_xlfn.CONCAT(CHAR(96),CHAR(34)),$G257)),ISNUMBER(SEARCH(_xlfn.CONCAT(CHAR(34),CHAR(39)),$G257))),_xlfn.CONCAT("* REVIEW REQUIRED: compound-quote delimiter in Universe on Sheet 1 row ",257,"; edit the input before running."),_xlfn.CONCAT("char ",TRIM($B257),"[doc_universe] ",CHAR(96),CHAR(34),SUBSTITUTE(SUBSTITUTE(SUBSTITUTE(SUBSTITUTE(SUBSTITUTE(SUBSTITUTE($G257,CHAR(13)," "),CHAR(10)," "),CHAR(9)," "),CHAR(92),_xlfn.CONCAT(CHAR(92),CHAR(92))),"$",_xlfn.CONCAT(CHAR(92),"$")),CHAR(96),_xlfn.CONCAT(CHAR(92),CHAR(96))),CHAR(34),CHAR(39))))</f>
        <v/>
      </c>
      <c r="R257" s="5" t="str">
        <f>IF(OR(TRIM($B257)="",$H257=""),"",IF(OR(ISNUMBER(SEARCH(_xlfn.CONCAT(CHAR(96),CHAR(34)),$H257)),ISNUMBER(SEARCH(_xlfn.CONCAT(CHAR(34),CHAR(39)),$H257))),_xlfn.CONCAT("* REVIEW REQUIRED: compound-quote delimiter in Source on Sheet 1 row ",257,"; edit the input before running."),_xlfn.CONCAT("char ",TRIM($B257),"[doc_source] ",CHAR(96),CHAR(34),SUBSTITUTE(SUBSTITUTE(SUBSTITUTE(SUBSTITUTE(SUBSTITUTE(SUBSTITUTE($H257,CHAR(13)," "),CHAR(10)," "),CHAR(9)," "),CHAR(92),_xlfn.CONCAT(CHAR(92),CHAR(92))),"$",_xlfn.CONCAT(CHAR(92),"$")),CHAR(96),_xlfn.CONCAT(CHAR(92),CHAR(96))),CHAR(34),CHAR(39))))</f>
        <v/>
      </c>
      <c r="S257" s="5" t="str">
        <f>IF(OR(TRIM($B257)="",$I257=""),"",IF(OR(ISNUMBER(SEARCH(_xlfn.CONCAT(CHAR(96),CHAR(34)),$I257)),ISNUMBER(SEARCH(_xlfn.CONCAT(CHAR(34),CHAR(39)),$I257))),_xlfn.CONCAT("* REVIEW REQUIRED: compound-quote delimiter in Derivation on Sheet 1 row ",257,"; edit the input before running."),_xlfn.CONCAT("char ",TRIM($B257),"[doc_derivation] ",CHAR(96),CHAR(34),SUBSTITUTE(SUBSTITUTE(SUBSTITUTE(SUBSTITUTE(SUBSTITUTE(SUBSTITUTE($I257,CHAR(13)," "),CHAR(10)," "),CHAR(9)," "),CHAR(92),_xlfn.CONCAT(CHAR(92),CHAR(92))),"$",_xlfn.CONCAT(CHAR(92),"$")),CHAR(96),_xlfn.CONCAT(CHAR(92),CHAR(96))),CHAR(34),CHAR(39))))</f>
        <v/>
      </c>
      <c r="T257" s="5" t="str">
        <f>IF(OR(TRIM($B257)="",$J257=""),"",IF(OR(ISNUMBER(SEARCH(_xlfn.CONCAT(CHAR(96),CHAR(34)),$J257)),ISNUMBER(SEARCH(_xlfn.CONCAT(CHAR(34),CHAR(39)),$J257))),_xlfn.CONCAT("* REVIEW REQUIRED: compound-quote delimiter in Notes on Sheet 1 row ",257,"; edit the input before running."),_xlfn.CONCAT("char ",TRIM($B257),"[doc_notes] ",CHAR(96),CHAR(34),SUBSTITUTE(SUBSTITUTE(SUBSTITUTE(SUBSTITUTE(SUBSTITUTE(SUBSTITUTE($J257,CHAR(13)," "),CHAR(10)," "),CHAR(9)," "),CHAR(92),_xlfn.CONCAT(CHAR(92),CHAR(92))),"$",_xlfn.CONCAT(CHAR(92),"$")),CHAR(96),_xlfn.CONCAT(CHAR(92),CHAR(96))),CHAR(34),CHAR(39))))</f>
        <v/>
      </c>
      <c r="U257" s="5">
        <f t="shared" si="7"/>
        <v>0</v>
      </c>
    </row>
    <row r="258" spans="3:21" ht="30" customHeight="1" x14ac:dyDescent="0.2">
      <c r="C258" s="4"/>
      <c r="K258" s="5">
        <f t="shared" si="6"/>
        <v>0</v>
      </c>
      <c r="L258" s="5" t="str">
        <f>IF(OR(TRIM($B258)="",$A258=""),"",IF(OR(ISNUMBER(SEARCH(_xlfn.CONCAT(CHAR(96),CHAR(34)),$A258)),ISNUMBER(SEARCH(_xlfn.CONCAT(CHAR(34),CHAR(39)),$A258))),_xlfn.CONCAT("* REVIEW REQUIRED: compound-quote delimiter in Codebook Section on Sheet 1 row ",258,"; edit the input before running."),_xlfn.CONCAT("char ",TRIM($B258),"[doc_section] ",CHAR(96),CHAR(34),SUBSTITUTE(SUBSTITUTE(SUBSTITUTE(SUBSTITUTE(SUBSTITUTE(SUBSTITUTE($A258,CHAR(13)," "),CHAR(10)," "),CHAR(9)," "),CHAR(92),_xlfn.CONCAT(CHAR(92),CHAR(92))),"$",_xlfn.CONCAT(CHAR(92),"$")),CHAR(96),_xlfn.CONCAT(CHAR(92),CHAR(96))),CHAR(34),CHAR(39))))</f>
        <v/>
      </c>
      <c r="M258" s="5" t="str">
        <f>IF(OR(TRIM($B258)="",$C258=""),"",IF(IFERROR(MATCH(TRIM($C258),{"Quantitative","Continuous","Discrete","Categorical","Nominal","Ordinal","Identifier"},0),0)=0,_xlfn.CONCAT("* REVIEW REQUIRED: invalid Variable Type on Sheet 1 row ",258,"."),_xlfn.CONCAT("char ",TRIM($B258),"[doc_vartype] ",CHAR(96),CHAR(34),SUBSTITUTE(SUBSTITUTE(SUBSTITUTE(SUBSTITUTE(SUBSTITUTE(SUBSTITUTE(LOWER(TRIM($C258)),CHAR(13)," "),CHAR(10)," "),CHAR(9)," "),CHAR(92),_xlfn.CONCAT(CHAR(92),CHAR(92))),"$",_xlfn.CONCAT(CHAR(92),"$")),CHAR(96),_xlfn.CONCAT(CHAR(92),CHAR(96))),CHAR(34),CHAR(39))))</f>
        <v/>
      </c>
      <c r="N258" s="5" t="str">
        <f>IF(OR(TRIM($B258)="",$D258=""),"",IF(OR(ISNUMBER(SEARCH(_xlfn.CONCAT(CHAR(96),CHAR(34)),$D258)),ISNUMBER(SEARCH(_xlfn.CONCAT(CHAR(34),CHAR(39)),$D258))),_xlfn.CONCAT("* REVIEW REQUIRED: compound-quote delimiter in Item Number on Sheet 1 row ",258,"; edit the input before running."),_xlfn.CONCAT("char ",TRIM($B258),"[doc_itemnum] ",CHAR(96),CHAR(34),SUBSTITUTE(SUBSTITUTE(SUBSTITUTE(SUBSTITUTE(SUBSTITUTE(SUBSTITUTE($D258,CHAR(13)," "),CHAR(10)," "),CHAR(9)," "),CHAR(92),_xlfn.CONCAT(CHAR(92),CHAR(92))),"$",_xlfn.CONCAT(CHAR(92),"$")),CHAR(96),_xlfn.CONCAT(CHAR(92),CHAR(96))),CHAR(34),CHAR(39))))</f>
        <v/>
      </c>
      <c r="O258" s="5" t="str">
        <f>IF(OR(TRIM($B258)="",$E258=""),"",IF(OR(ISNUMBER(SEARCH(_xlfn.CONCAT(CHAR(96),CHAR(34)),$E258)),ISNUMBER(SEARCH(_xlfn.CONCAT(CHAR(34),CHAR(39)),$E258))),_xlfn.CONCAT("* REVIEW REQUIRED: compound-quote delimiter in Question Wording on Sheet 1 row ",258,"; edit the input before running."),_xlfn.CONCAT("char ",TRIM($B258),"[doc_question] ",CHAR(96),CHAR(34),SUBSTITUTE(SUBSTITUTE(SUBSTITUTE(SUBSTITUTE(SUBSTITUTE(SUBSTITUTE($E258,CHAR(13)," "),CHAR(10)," "),CHAR(9)," "),CHAR(92),_xlfn.CONCAT(CHAR(92),CHAR(92))),"$",_xlfn.CONCAT(CHAR(92),"$")),CHAR(96),_xlfn.CONCAT(CHAR(92),CHAR(96))),CHAR(34),CHAR(39))))</f>
        <v/>
      </c>
      <c r="P258" s="5" t="str">
        <f>IF(OR(TRIM($B258)="",$F258=""),"",IF(OR(ISNUMBER(SEARCH(_xlfn.CONCAT(CHAR(96),CHAR(34)),$F258)),ISNUMBER(SEARCH(_xlfn.CONCAT(CHAR(34),CHAR(39)),$F258))),_xlfn.CONCAT("* REVIEW REQUIRED: compound-quote delimiter in Units on Sheet 1 row ",258,"; edit the input before running."),_xlfn.CONCAT("char ",TRIM($B258),"[doc_units] ",CHAR(96),CHAR(34),SUBSTITUTE(SUBSTITUTE(SUBSTITUTE(SUBSTITUTE(SUBSTITUTE(SUBSTITUTE($F258,CHAR(13)," "),CHAR(10)," "),CHAR(9)," "),CHAR(92),_xlfn.CONCAT(CHAR(92),CHAR(92))),"$",_xlfn.CONCAT(CHAR(92),"$")),CHAR(96),_xlfn.CONCAT(CHAR(92),CHAR(96))),CHAR(34),CHAR(39))))</f>
        <v/>
      </c>
      <c r="Q258" s="5" t="str">
        <f>IF(OR(TRIM($B258)="",$G258=""),"",IF(OR(ISNUMBER(SEARCH(_xlfn.CONCAT(CHAR(96),CHAR(34)),$G258)),ISNUMBER(SEARCH(_xlfn.CONCAT(CHAR(34),CHAR(39)),$G258))),_xlfn.CONCAT("* REVIEW REQUIRED: compound-quote delimiter in Universe on Sheet 1 row ",258,"; edit the input before running."),_xlfn.CONCAT("char ",TRIM($B258),"[doc_universe] ",CHAR(96),CHAR(34),SUBSTITUTE(SUBSTITUTE(SUBSTITUTE(SUBSTITUTE(SUBSTITUTE(SUBSTITUTE($G258,CHAR(13)," "),CHAR(10)," "),CHAR(9)," "),CHAR(92),_xlfn.CONCAT(CHAR(92),CHAR(92))),"$",_xlfn.CONCAT(CHAR(92),"$")),CHAR(96),_xlfn.CONCAT(CHAR(92),CHAR(96))),CHAR(34),CHAR(39))))</f>
        <v/>
      </c>
      <c r="R258" s="5" t="str">
        <f>IF(OR(TRIM($B258)="",$H258=""),"",IF(OR(ISNUMBER(SEARCH(_xlfn.CONCAT(CHAR(96),CHAR(34)),$H258)),ISNUMBER(SEARCH(_xlfn.CONCAT(CHAR(34),CHAR(39)),$H258))),_xlfn.CONCAT("* REVIEW REQUIRED: compound-quote delimiter in Source on Sheet 1 row ",258,"; edit the input before running."),_xlfn.CONCAT("char ",TRIM($B258),"[doc_source] ",CHAR(96),CHAR(34),SUBSTITUTE(SUBSTITUTE(SUBSTITUTE(SUBSTITUTE(SUBSTITUTE(SUBSTITUTE($H258,CHAR(13)," "),CHAR(10)," "),CHAR(9)," "),CHAR(92),_xlfn.CONCAT(CHAR(92),CHAR(92))),"$",_xlfn.CONCAT(CHAR(92),"$")),CHAR(96),_xlfn.CONCAT(CHAR(92),CHAR(96))),CHAR(34),CHAR(39))))</f>
        <v/>
      </c>
      <c r="S258" s="5" t="str">
        <f>IF(OR(TRIM($B258)="",$I258=""),"",IF(OR(ISNUMBER(SEARCH(_xlfn.CONCAT(CHAR(96),CHAR(34)),$I258)),ISNUMBER(SEARCH(_xlfn.CONCAT(CHAR(34),CHAR(39)),$I258))),_xlfn.CONCAT("* REVIEW REQUIRED: compound-quote delimiter in Derivation on Sheet 1 row ",258,"; edit the input before running."),_xlfn.CONCAT("char ",TRIM($B258),"[doc_derivation] ",CHAR(96),CHAR(34),SUBSTITUTE(SUBSTITUTE(SUBSTITUTE(SUBSTITUTE(SUBSTITUTE(SUBSTITUTE($I258,CHAR(13)," "),CHAR(10)," "),CHAR(9)," "),CHAR(92),_xlfn.CONCAT(CHAR(92),CHAR(92))),"$",_xlfn.CONCAT(CHAR(92),"$")),CHAR(96),_xlfn.CONCAT(CHAR(92),CHAR(96))),CHAR(34),CHAR(39))))</f>
        <v/>
      </c>
      <c r="T258" s="5" t="str">
        <f>IF(OR(TRIM($B258)="",$J258=""),"",IF(OR(ISNUMBER(SEARCH(_xlfn.CONCAT(CHAR(96),CHAR(34)),$J258)),ISNUMBER(SEARCH(_xlfn.CONCAT(CHAR(34),CHAR(39)),$J258))),_xlfn.CONCAT("* REVIEW REQUIRED: compound-quote delimiter in Notes on Sheet 1 row ",258,"; edit the input before running."),_xlfn.CONCAT("char ",TRIM($B258),"[doc_notes] ",CHAR(96),CHAR(34),SUBSTITUTE(SUBSTITUTE(SUBSTITUTE(SUBSTITUTE(SUBSTITUTE(SUBSTITUTE($J258,CHAR(13)," "),CHAR(10)," "),CHAR(9)," "),CHAR(92),_xlfn.CONCAT(CHAR(92),CHAR(92))),"$",_xlfn.CONCAT(CHAR(92),"$")),CHAR(96),_xlfn.CONCAT(CHAR(92),CHAR(96))),CHAR(34),CHAR(39))))</f>
        <v/>
      </c>
      <c r="U258" s="5">
        <f t="shared" si="7"/>
        <v>0</v>
      </c>
    </row>
    <row r="259" spans="3:21" ht="30" customHeight="1" x14ac:dyDescent="0.2">
      <c r="C259" s="4"/>
      <c r="K259" s="5">
        <f t="shared" si="6"/>
        <v>0</v>
      </c>
      <c r="L259" s="5" t="str">
        <f>IF(OR(TRIM($B259)="",$A259=""),"",IF(OR(ISNUMBER(SEARCH(_xlfn.CONCAT(CHAR(96),CHAR(34)),$A259)),ISNUMBER(SEARCH(_xlfn.CONCAT(CHAR(34),CHAR(39)),$A259))),_xlfn.CONCAT("* REVIEW REQUIRED: compound-quote delimiter in Codebook Section on Sheet 1 row ",259,"; edit the input before running."),_xlfn.CONCAT("char ",TRIM($B259),"[doc_section] ",CHAR(96),CHAR(34),SUBSTITUTE(SUBSTITUTE(SUBSTITUTE(SUBSTITUTE(SUBSTITUTE(SUBSTITUTE($A259,CHAR(13)," "),CHAR(10)," "),CHAR(9)," "),CHAR(92),_xlfn.CONCAT(CHAR(92),CHAR(92))),"$",_xlfn.CONCAT(CHAR(92),"$")),CHAR(96),_xlfn.CONCAT(CHAR(92),CHAR(96))),CHAR(34),CHAR(39))))</f>
        <v/>
      </c>
      <c r="M259" s="5" t="str">
        <f>IF(OR(TRIM($B259)="",$C259=""),"",IF(IFERROR(MATCH(TRIM($C259),{"Quantitative","Continuous","Discrete","Categorical","Nominal","Ordinal","Identifier"},0),0)=0,_xlfn.CONCAT("* REVIEW REQUIRED: invalid Variable Type on Sheet 1 row ",259,"."),_xlfn.CONCAT("char ",TRIM($B259),"[doc_vartype] ",CHAR(96),CHAR(34),SUBSTITUTE(SUBSTITUTE(SUBSTITUTE(SUBSTITUTE(SUBSTITUTE(SUBSTITUTE(LOWER(TRIM($C259)),CHAR(13)," "),CHAR(10)," "),CHAR(9)," "),CHAR(92),_xlfn.CONCAT(CHAR(92),CHAR(92))),"$",_xlfn.CONCAT(CHAR(92),"$")),CHAR(96),_xlfn.CONCAT(CHAR(92),CHAR(96))),CHAR(34),CHAR(39))))</f>
        <v/>
      </c>
      <c r="N259" s="5" t="str">
        <f>IF(OR(TRIM($B259)="",$D259=""),"",IF(OR(ISNUMBER(SEARCH(_xlfn.CONCAT(CHAR(96),CHAR(34)),$D259)),ISNUMBER(SEARCH(_xlfn.CONCAT(CHAR(34),CHAR(39)),$D259))),_xlfn.CONCAT("* REVIEW REQUIRED: compound-quote delimiter in Item Number on Sheet 1 row ",259,"; edit the input before running."),_xlfn.CONCAT("char ",TRIM($B259),"[doc_itemnum] ",CHAR(96),CHAR(34),SUBSTITUTE(SUBSTITUTE(SUBSTITUTE(SUBSTITUTE(SUBSTITUTE(SUBSTITUTE($D259,CHAR(13)," "),CHAR(10)," "),CHAR(9)," "),CHAR(92),_xlfn.CONCAT(CHAR(92),CHAR(92))),"$",_xlfn.CONCAT(CHAR(92),"$")),CHAR(96),_xlfn.CONCAT(CHAR(92),CHAR(96))),CHAR(34),CHAR(39))))</f>
        <v/>
      </c>
      <c r="O259" s="5" t="str">
        <f>IF(OR(TRIM($B259)="",$E259=""),"",IF(OR(ISNUMBER(SEARCH(_xlfn.CONCAT(CHAR(96),CHAR(34)),$E259)),ISNUMBER(SEARCH(_xlfn.CONCAT(CHAR(34),CHAR(39)),$E259))),_xlfn.CONCAT("* REVIEW REQUIRED: compound-quote delimiter in Question Wording on Sheet 1 row ",259,"; edit the input before running."),_xlfn.CONCAT("char ",TRIM($B259),"[doc_question] ",CHAR(96),CHAR(34),SUBSTITUTE(SUBSTITUTE(SUBSTITUTE(SUBSTITUTE(SUBSTITUTE(SUBSTITUTE($E259,CHAR(13)," "),CHAR(10)," "),CHAR(9)," "),CHAR(92),_xlfn.CONCAT(CHAR(92),CHAR(92))),"$",_xlfn.CONCAT(CHAR(92),"$")),CHAR(96),_xlfn.CONCAT(CHAR(92),CHAR(96))),CHAR(34),CHAR(39))))</f>
        <v/>
      </c>
      <c r="P259" s="5" t="str">
        <f>IF(OR(TRIM($B259)="",$F259=""),"",IF(OR(ISNUMBER(SEARCH(_xlfn.CONCAT(CHAR(96),CHAR(34)),$F259)),ISNUMBER(SEARCH(_xlfn.CONCAT(CHAR(34),CHAR(39)),$F259))),_xlfn.CONCAT("* REVIEW REQUIRED: compound-quote delimiter in Units on Sheet 1 row ",259,"; edit the input before running."),_xlfn.CONCAT("char ",TRIM($B259),"[doc_units] ",CHAR(96),CHAR(34),SUBSTITUTE(SUBSTITUTE(SUBSTITUTE(SUBSTITUTE(SUBSTITUTE(SUBSTITUTE($F259,CHAR(13)," "),CHAR(10)," "),CHAR(9)," "),CHAR(92),_xlfn.CONCAT(CHAR(92),CHAR(92))),"$",_xlfn.CONCAT(CHAR(92),"$")),CHAR(96),_xlfn.CONCAT(CHAR(92),CHAR(96))),CHAR(34),CHAR(39))))</f>
        <v/>
      </c>
      <c r="Q259" s="5" t="str">
        <f>IF(OR(TRIM($B259)="",$G259=""),"",IF(OR(ISNUMBER(SEARCH(_xlfn.CONCAT(CHAR(96),CHAR(34)),$G259)),ISNUMBER(SEARCH(_xlfn.CONCAT(CHAR(34),CHAR(39)),$G259))),_xlfn.CONCAT("* REVIEW REQUIRED: compound-quote delimiter in Universe on Sheet 1 row ",259,"; edit the input before running."),_xlfn.CONCAT("char ",TRIM($B259),"[doc_universe] ",CHAR(96),CHAR(34),SUBSTITUTE(SUBSTITUTE(SUBSTITUTE(SUBSTITUTE(SUBSTITUTE(SUBSTITUTE($G259,CHAR(13)," "),CHAR(10)," "),CHAR(9)," "),CHAR(92),_xlfn.CONCAT(CHAR(92),CHAR(92))),"$",_xlfn.CONCAT(CHAR(92),"$")),CHAR(96),_xlfn.CONCAT(CHAR(92),CHAR(96))),CHAR(34),CHAR(39))))</f>
        <v/>
      </c>
      <c r="R259" s="5" t="str">
        <f>IF(OR(TRIM($B259)="",$H259=""),"",IF(OR(ISNUMBER(SEARCH(_xlfn.CONCAT(CHAR(96),CHAR(34)),$H259)),ISNUMBER(SEARCH(_xlfn.CONCAT(CHAR(34),CHAR(39)),$H259))),_xlfn.CONCAT("* REVIEW REQUIRED: compound-quote delimiter in Source on Sheet 1 row ",259,"; edit the input before running."),_xlfn.CONCAT("char ",TRIM($B259),"[doc_source] ",CHAR(96),CHAR(34),SUBSTITUTE(SUBSTITUTE(SUBSTITUTE(SUBSTITUTE(SUBSTITUTE(SUBSTITUTE($H259,CHAR(13)," "),CHAR(10)," "),CHAR(9)," "),CHAR(92),_xlfn.CONCAT(CHAR(92),CHAR(92))),"$",_xlfn.CONCAT(CHAR(92),"$")),CHAR(96),_xlfn.CONCAT(CHAR(92),CHAR(96))),CHAR(34),CHAR(39))))</f>
        <v/>
      </c>
      <c r="S259" s="5" t="str">
        <f>IF(OR(TRIM($B259)="",$I259=""),"",IF(OR(ISNUMBER(SEARCH(_xlfn.CONCAT(CHAR(96),CHAR(34)),$I259)),ISNUMBER(SEARCH(_xlfn.CONCAT(CHAR(34),CHAR(39)),$I259))),_xlfn.CONCAT("* REVIEW REQUIRED: compound-quote delimiter in Derivation on Sheet 1 row ",259,"; edit the input before running."),_xlfn.CONCAT("char ",TRIM($B259),"[doc_derivation] ",CHAR(96),CHAR(34),SUBSTITUTE(SUBSTITUTE(SUBSTITUTE(SUBSTITUTE(SUBSTITUTE(SUBSTITUTE($I259,CHAR(13)," "),CHAR(10)," "),CHAR(9)," "),CHAR(92),_xlfn.CONCAT(CHAR(92),CHAR(92))),"$",_xlfn.CONCAT(CHAR(92),"$")),CHAR(96),_xlfn.CONCAT(CHAR(92),CHAR(96))),CHAR(34),CHAR(39))))</f>
        <v/>
      </c>
      <c r="T259" s="5" t="str">
        <f>IF(OR(TRIM($B259)="",$J259=""),"",IF(OR(ISNUMBER(SEARCH(_xlfn.CONCAT(CHAR(96),CHAR(34)),$J259)),ISNUMBER(SEARCH(_xlfn.CONCAT(CHAR(34),CHAR(39)),$J259))),_xlfn.CONCAT("* REVIEW REQUIRED: compound-quote delimiter in Notes on Sheet 1 row ",259,"; edit the input before running."),_xlfn.CONCAT("char ",TRIM($B259),"[doc_notes] ",CHAR(96),CHAR(34),SUBSTITUTE(SUBSTITUTE(SUBSTITUTE(SUBSTITUTE(SUBSTITUTE(SUBSTITUTE($J259,CHAR(13)," "),CHAR(10)," "),CHAR(9)," "),CHAR(92),_xlfn.CONCAT(CHAR(92),CHAR(92))),"$",_xlfn.CONCAT(CHAR(92),"$")),CHAR(96),_xlfn.CONCAT(CHAR(92),CHAR(96))),CHAR(34),CHAR(39))))</f>
        <v/>
      </c>
      <c r="U259" s="5">
        <f t="shared" si="7"/>
        <v>0</v>
      </c>
    </row>
    <row r="260" spans="3:21" ht="30" customHeight="1" x14ac:dyDescent="0.2">
      <c r="C260" s="4"/>
      <c r="K260" s="5">
        <f t="shared" si="6"/>
        <v>0</v>
      </c>
      <c r="L260" s="5" t="str">
        <f>IF(OR(TRIM($B260)="",$A260=""),"",IF(OR(ISNUMBER(SEARCH(_xlfn.CONCAT(CHAR(96),CHAR(34)),$A260)),ISNUMBER(SEARCH(_xlfn.CONCAT(CHAR(34),CHAR(39)),$A260))),_xlfn.CONCAT("* REVIEW REQUIRED: compound-quote delimiter in Codebook Section on Sheet 1 row ",260,"; edit the input before running."),_xlfn.CONCAT("char ",TRIM($B260),"[doc_section] ",CHAR(96),CHAR(34),SUBSTITUTE(SUBSTITUTE(SUBSTITUTE(SUBSTITUTE(SUBSTITUTE(SUBSTITUTE($A260,CHAR(13)," "),CHAR(10)," "),CHAR(9)," "),CHAR(92),_xlfn.CONCAT(CHAR(92),CHAR(92))),"$",_xlfn.CONCAT(CHAR(92),"$")),CHAR(96),_xlfn.CONCAT(CHAR(92),CHAR(96))),CHAR(34),CHAR(39))))</f>
        <v/>
      </c>
      <c r="M260" s="5" t="str">
        <f>IF(OR(TRIM($B260)="",$C260=""),"",IF(IFERROR(MATCH(TRIM($C260),{"Quantitative","Continuous","Discrete","Categorical","Nominal","Ordinal","Identifier"},0),0)=0,_xlfn.CONCAT("* REVIEW REQUIRED: invalid Variable Type on Sheet 1 row ",260,"."),_xlfn.CONCAT("char ",TRIM($B260),"[doc_vartype] ",CHAR(96),CHAR(34),SUBSTITUTE(SUBSTITUTE(SUBSTITUTE(SUBSTITUTE(SUBSTITUTE(SUBSTITUTE(LOWER(TRIM($C260)),CHAR(13)," "),CHAR(10)," "),CHAR(9)," "),CHAR(92),_xlfn.CONCAT(CHAR(92),CHAR(92))),"$",_xlfn.CONCAT(CHAR(92),"$")),CHAR(96),_xlfn.CONCAT(CHAR(92),CHAR(96))),CHAR(34),CHAR(39))))</f>
        <v/>
      </c>
      <c r="N260" s="5" t="str">
        <f>IF(OR(TRIM($B260)="",$D260=""),"",IF(OR(ISNUMBER(SEARCH(_xlfn.CONCAT(CHAR(96),CHAR(34)),$D260)),ISNUMBER(SEARCH(_xlfn.CONCAT(CHAR(34),CHAR(39)),$D260))),_xlfn.CONCAT("* REVIEW REQUIRED: compound-quote delimiter in Item Number on Sheet 1 row ",260,"; edit the input before running."),_xlfn.CONCAT("char ",TRIM($B260),"[doc_itemnum] ",CHAR(96),CHAR(34),SUBSTITUTE(SUBSTITUTE(SUBSTITUTE(SUBSTITUTE(SUBSTITUTE(SUBSTITUTE($D260,CHAR(13)," "),CHAR(10)," "),CHAR(9)," "),CHAR(92),_xlfn.CONCAT(CHAR(92),CHAR(92))),"$",_xlfn.CONCAT(CHAR(92),"$")),CHAR(96),_xlfn.CONCAT(CHAR(92),CHAR(96))),CHAR(34),CHAR(39))))</f>
        <v/>
      </c>
      <c r="O260" s="5" t="str">
        <f>IF(OR(TRIM($B260)="",$E260=""),"",IF(OR(ISNUMBER(SEARCH(_xlfn.CONCAT(CHAR(96),CHAR(34)),$E260)),ISNUMBER(SEARCH(_xlfn.CONCAT(CHAR(34),CHAR(39)),$E260))),_xlfn.CONCAT("* REVIEW REQUIRED: compound-quote delimiter in Question Wording on Sheet 1 row ",260,"; edit the input before running."),_xlfn.CONCAT("char ",TRIM($B260),"[doc_question] ",CHAR(96),CHAR(34),SUBSTITUTE(SUBSTITUTE(SUBSTITUTE(SUBSTITUTE(SUBSTITUTE(SUBSTITUTE($E260,CHAR(13)," "),CHAR(10)," "),CHAR(9)," "),CHAR(92),_xlfn.CONCAT(CHAR(92),CHAR(92))),"$",_xlfn.CONCAT(CHAR(92),"$")),CHAR(96),_xlfn.CONCAT(CHAR(92),CHAR(96))),CHAR(34),CHAR(39))))</f>
        <v/>
      </c>
      <c r="P260" s="5" t="str">
        <f>IF(OR(TRIM($B260)="",$F260=""),"",IF(OR(ISNUMBER(SEARCH(_xlfn.CONCAT(CHAR(96),CHAR(34)),$F260)),ISNUMBER(SEARCH(_xlfn.CONCAT(CHAR(34),CHAR(39)),$F260))),_xlfn.CONCAT("* REVIEW REQUIRED: compound-quote delimiter in Units on Sheet 1 row ",260,"; edit the input before running."),_xlfn.CONCAT("char ",TRIM($B260),"[doc_units] ",CHAR(96),CHAR(34),SUBSTITUTE(SUBSTITUTE(SUBSTITUTE(SUBSTITUTE(SUBSTITUTE(SUBSTITUTE($F260,CHAR(13)," "),CHAR(10)," "),CHAR(9)," "),CHAR(92),_xlfn.CONCAT(CHAR(92),CHAR(92))),"$",_xlfn.CONCAT(CHAR(92),"$")),CHAR(96),_xlfn.CONCAT(CHAR(92),CHAR(96))),CHAR(34),CHAR(39))))</f>
        <v/>
      </c>
      <c r="Q260" s="5" t="str">
        <f>IF(OR(TRIM($B260)="",$G260=""),"",IF(OR(ISNUMBER(SEARCH(_xlfn.CONCAT(CHAR(96),CHAR(34)),$G260)),ISNUMBER(SEARCH(_xlfn.CONCAT(CHAR(34),CHAR(39)),$G260))),_xlfn.CONCAT("* REVIEW REQUIRED: compound-quote delimiter in Universe on Sheet 1 row ",260,"; edit the input before running."),_xlfn.CONCAT("char ",TRIM($B260),"[doc_universe] ",CHAR(96),CHAR(34),SUBSTITUTE(SUBSTITUTE(SUBSTITUTE(SUBSTITUTE(SUBSTITUTE(SUBSTITUTE($G260,CHAR(13)," "),CHAR(10)," "),CHAR(9)," "),CHAR(92),_xlfn.CONCAT(CHAR(92),CHAR(92))),"$",_xlfn.CONCAT(CHAR(92),"$")),CHAR(96),_xlfn.CONCAT(CHAR(92),CHAR(96))),CHAR(34),CHAR(39))))</f>
        <v/>
      </c>
      <c r="R260" s="5" t="str">
        <f>IF(OR(TRIM($B260)="",$H260=""),"",IF(OR(ISNUMBER(SEARCH(_xlfn.CONCAT(CHAR(96),CHAR(34)),$H260)),ISNUMBER(SEARCH(_xlfn.CONCAT(CHAR(34),CHAR(39)),$H260))),_xlfn.CONCAT("* REVIEW REQUIRED: compound-quote delimiter in Source on Sheet 1 row ",260,"; edit the input before running."),_xlfn.CONCAT("char ",TRIM($B260),"[doc_source] ",CHAR(96),CHAR(34),SUBSTITUTE(SUBSTITUTE(SUBSTITUTE(SUBSTITUTE(SUBSTITUTE(SUBSTITUTE($H260,CHAR(13)," "),CHAR(10)," "),CHAR(9)," "),CHAR(92),_xlfn.CONCAT(CHAR(92),CHAR(92))),"$",_xlfn.CONCAT(CHAR(92),"$")),CHAR(96),_xlfn.CONCAT(CHAR(92),CHAR(96))),CHAR(34),CHAR(39))))</f>
        <v/>
      </c>
      <c r="S260" s="5" t="str">
        <f>IF(OR(TRIM($B260)="",$I260=""),"",IF(OR(ISNUMBER(SEARCH(_xlfn.CONCAT(CHAR(96),CHAR(34)),$I260)),ISNUMBER(SEARCH(_xlfn.CONCAT(CHAR(34),CHAR(39)),$I260))),_xlfn.CONCAT("* REVIEW REQUIRED: compound-quote delimiter in Derivation on Sheet 1 row ",260,"; edit the input before running."),_xlfn.CONCAT("char ",TRIM($B260),"[doc_derivation] ",CHAR(96),CHAR(34),SUBSTITUTE(SUBSTITUTE(SUBSTITUTE(SUBSTITUTE(SUBSTITUTE(SUBSTITUTE($I260,CHAR(13)," "),CHAR(10)," "),CHAR(9)," "),CHAR(92),_xlfn.CONCAT(CHAR(92),CHAR(92))),"$",_xlfn.CONCAT(CHAR(92),"$")),CHAR(96),_xlfn.CONCAT(CHAR(92),CHAR(96))),CHAR(34),CHAR(39))))</f>
        <v/>
      </c>
      <c r="T260" s="5" t="str">
        <f>IF(OR(TRIM($B260)="",$J260=""),"",IF(OR(ISNUMBER(SEARCH(_xlfn.CONCAT(CHAR(96),CHAR(34)),$J260)),ISNUMBER(SEARCH(_xlfn.CONCAT(CHAR(34),CHAR(39)),$J260))),_xlfn.CONCAT("* REVIEW REQUIRED: compound-quote delimiter in Notes on Sheet 1 row ",260,"; edit the input before running."),_xlfn.CONCAT("char ",TRIM($B260),"[doc_notes] ",CHAR(96),CHAR(34),SUBSTITUTE(SUBSTITUTE(SUBSTITUTE(SUBSTITUTE(SUBSTITUTE(SUBSTITUTE($J260,CHAR(13)," "),CHAR(10)," "),CHAR(9)," "),CHAR(92),_xlfn.CONCAT(CHAR(92),CHAR(92))),"$",_xlfn.CONCAT(CHAR(92),"$")),CHAR(96),_xlfn.CONCAT(CHAR(92),CHAR(96))),CHAR(34),CHAR(39))))</f>
        <v/>
      </c>
      <c r="U260" s="5">
        <f t="shared" si="7"/>
        <v>0</v>
      </c>
    </row>
    <row r="261" spans="3:21" ht="30" customHeight="1" x14ac:dyDescent="0.2">
      <c r="C261" s="4"/>
      <c r="K261" s="5">
        <f t="shared" si="6"/>
        <v>0</v>
      </c>
      <c r="L261" s="5" t="str">
        <f>IF(OR(TRIM($B261)="",$A261=""),"",IF(OR(ISNUMBER(SEARCH(_xlfn.CONCAT(CHAR(96),CHAR(34)),$A261)),ISNUMBER(SEARCH(_xlfn.CONCAT(CHAR(34),CHAR(39)),$A261))),_xlfn.CONCAT("* REVIEW REQUIRED: compound-quote delimiter in Codebook Section on Sheet 1 row ",261,"; edit the input before running."),_xlfn.CONCAT("char ",TRIM($B261),"[doc_section] ",CHAR(96),CHAR(34),SUBSTITUTE(SUBSTITUTE(SUBSTITUTE(SUBSTITUTE(SUBSTITUTE(SUBSTITUTE($A261,CHAR(13)," "),CHAR(10)," "),CHAR(9)," "),CHAR(92),_xlfn.CONCAT(CHAR(92),CHAR(92))),"$",_xlfn.CONCAT(CHAR(92),"$")),CHAR(96),_xlfn.CONCAT(CHAR(92),CHAR(96))),CHAR(34),CHAR(39))))</f>
        <v/>
      </c>
      <c r="M261" s="5" t="str">
        <f>IF(OR(TRIM($B261)="",$C261=""),"",IF(IFERROR(MATCH(TRIM($C261),{"Quantitative","Continuous","Discrete","Categorical","Nominal","Ordinal","Identifier"},0),0)=0,_xlfn.CONCAT("* REVIEW REQUIRED: invalid Variable Type on Sheet 1 row ",261,"."),_xlfn.CONCAT("char ",TRIM($B261),"[doc_vartype] ",CHAR(96),CHAR(34),SUBSTITUTE(SUBSTITUTE(SUBSTITUTE(SUBSTITUTE(SUBSTITUTE(SUBSTITUTE(LOWER(TRIM($C261)),CHAR(13)," "),CHAR(10)," "),CHAR(9)," "),CHAR(92),_xlfn.CONCAT(CHAR(92),CHAR(92))),"$",_xlfn.CONCAT(CHAR(92),"$")),CHAR(96),_xlfn.CONCAT(CHAR(92),CHAR(96))),CHAR(34),CHAR(39))))</f>
        <v/>
      </c>
      <c r="N261" s="5" t="str">
        <f>IF(OR(TRIM($B261)="",$D261=""),"",IF(OR(ISNUMBER(SEARCH(_xlfn.CONCAT(CHAR(96),CHAR(34)),$D261)),ISNUMBER(SEARCH(_xlfn.CONCAT(CHAR(34),CHAR(39)),$D261))),_xlfn.CONCAT("* REVIEW REQUIRED: compound-quote delimiter in Item Number on Sheet 1 row ",261,"; edit the input before running."),_xlfn.CONCAT("char ",TRIM($B261),"[doc_itemnum] ",CHAR(96),CHAR(34),SUBSTITUTE(SUBSTITUTE(SUBSTITUTE(SUBSTITUTE(SUBSTITUTE(SUBSTITUTE($D261,CHAR(13)," "),CHAR(10)," "),CHAR(9)," "),CHAR(92),_xlfn.CONCAT(CHAR(92),CHAR(92))),"$",_xlfn.CONCAT(CHAR(92),"$")),CHAR(96),_xlfn.CONCAT(CHAR(92),CHAR(96))),CHAR(34),CHAR(39))))</f>
        <v/>
      </c>
      <c r="O261" s="5" t="str">
        <f>IF(OR(TRIM($B261)="",$E261=""),"",IF(OR(ISNUMBER(SEARCH(_xlfn.CONCAT(CHAR(96),CHAR(34)),$E261)),ISNUMBER(SEARCH(_xlfn.CONCAT(CHAR(34),CHAR(39)),$E261))),_xlfn.CONCAT("* REVIEW REQUIRED: compound-quote delimiter in Question Wording on Sheet 1 row ",261,"; edit the input before running."),_xlfn.CONCAT("char ",TRIM($B261),"[doc_question] ",CHAR(96),CHAR(34),SUBSTITUTE(SUBSTITUTE(SUBSTITUTE(SUBSTITUTE(SUBSTITUTE(SUBSTITUTE($E261,CHAR(13)," "),CHAR(10)," "),CHAR(9)," "),CHAR(92),_xlfn.CONCAT(CHAR(92),CHAR(92))),"$",_xlfn.CONCAT(CHAR(92),"$")),CHAR(96),_xlfn.CONCAT(CHAR(92),CHAR(96))),CHAR(34),CHAR(39))))</f>
        <v/>
      </c>
      <c r="P261" s="5" t="str">
        <f>IF(OR(TRIM($B261)="",$F261=""),"",IF(OR(ISNUMBER(SEARCH(_xlfn.CONCAT(CHAR(96),CHAR(34)),$F261)),ISNUMBER(SEARCH(_xlfn.CONCAT(CHAR(34),CHAR(39)),$F261))),_xlfn.CONCAT("* REVIEW REQUIRED: compound-quote delimiter in Units on Sheet 1 row ",261,"; edit the input before running."),_xlfn.CONCAT("char ",TRIM($B261),"[doc_units] ",CHAR(96),CHAR(34),SUBSTITUTE(SUBSTITUTE(SUBSTITUTE(SUBSTITUTE(SUBSTITUTE(SUBSTITUTE($F261,CHAR(13)," "),CHAR(10)," "),CHAR(9)," "),CHAR(92),_xlfn.CONCAT(CHAR(92),CHAR(92))),"$",_xlfn.CONCAT(CHAR(92),"$")),CHAR(96),_xlfn.CONCAT(CHAR(92),CHAR(96))),CHAR(34),CHAR(39))))</f>
        <v/>
      </c>
      <c r="Q261" s="5" t="str">
        <f>IF(OR(TRIM($B261)="",$G261=""),"",IF(OR(ISNUMBER(SEARCH(_xlfn.CONCAT(CHAR(96),CHAR(34)),$G261)),ISNUMBER(SEARCH(_xlfn.CONCAT(CHAR(34),CHAR(39)),$G261))),_xlfn.CONCAT("* REVIEW REQUIRED: compound-quote delimiter in Universe on Sheet 1 row ",261,"; edit the input before running."),_xlfn.CONCAT("char ",TRIM($B261),"[doc_universe] ",CHAR(96),CHAR(34),SUBSTITUTE(SUBSTITUTE(SUBSTITUTE(SUBSTITUTE(SUBSTITUTE(SUBSTITUTE($G261,CHAR(13)," "),CHAR(10)," "),CHAR(9)," "),CHAR(92),_xlfn.CONCAT(CHAR(92),CHAR(92))),"$",_xlfn.CONCAT(CHAR(92),"$")),CHAR(96),_xlfn.CONCAT(CHAR(92),CHAR(96))),CHAR(34),CHAR(39))))</f>
        <v/>
      </c>
      <c r="R261" s="5" t="str">
        <f>IF(OR(TRIM($B261)="",$H261=""),"",IF(OR(ISNUMBER(SEARCH(_xlfn.CONCAT(CHAR(96),CHAR(34)),$H261)),ISNUMBER(SEARCH(_xlfn.CONCAT(CHAR(34),CHAR(39)),$H261))),_xlfn.CONCAT("* REVIEW REQUIRED: compound-quote delimiter in Source on Sheet 1 row ",261,"; edit the input before running."),_xlfn.CONCAT("char ",TRIM($B261),"[doc_source] ",CHAR(96),CHAR(34),SUBSTITUTE(SUBSTITUTE(SUBSTITUTE(SUBSTITUTE(SUBSTITUTE(SUBSTITUTE($H261,CHAR(13)," "),CHAR(10)," "),CHAR(9)," "),CHAR(92),_xlfn.CONCAT(CHAR(92),CHAR(92))),"$",_xlfn.CONCAT(CHAR(92),"$")),CHAR(96),_xlfn.CONCAT(CHAR(92),CHAR(96))),CHAR(34),CHAR(39))))</f>
        <v/>
      </c>
      <c r="S261" s="5" t="str">
        <f>IF(OR(TRIM($B261)="",$I261=""),"",IF(OR(ISNUMBER(SEARCH(_xlfn.CONCAT(CHAR(96),CHAR(34)),$I261)),ISNUMBER(SEARCH(_xlfn.CONCAT(CHAR(34),CHAR(39)),$I261))),_xlfn.CONCAT("* REVIEW REQUIRED: compound-quote delimiter in Derivation on Sheet 1 row ",261,"; edit the input before running."),_xlfn.CONCAT("char ",TRIM($B261),"[doc_derivation] ",CHAR(96),CHAR(34),SUBSTITUTE(SUBSTITUTE(SUBSTITUTE(SUBSTITUTE(SUBSTITUTE(SUBSTITUTE($I261,CHAR(13)," "),CHAR(10)," "),CHAR(9)," "),CHAR(92),_xlfn.CONCAT(CHAR(92),CHAR(92))),"$",_xlfn.CONCAT(CHAR(92),"$")),CHAR(96),_xlfn.CONCAT(CHAR(92),CHAR(96))),CHAR(34),CHAR(39))))</f>
        <v/>
      </c>
      <c r="T261" s="5" t="str">
        <f>IF(OR(TRIM($B261)="",$J261=""),"",IF(OR(ISNUMBER(SEARCH(_xlfn.CONCAT(CHAR(96),CHAR(34)),$J261)),ISNUMBER(SEARCH(_xlfn.CONCAT(CHAR(34),CHAR(39)),$J261))),_xlfn.CONCAT("* REVIEW REQUIRED: compound-quote delimiter in Notes on Sheet 1 row ",261,"; edit the input before running."),_xlfn.CONCAT("char ",TRIM($B261),"[doc_notes] ",CHAR(96),CHAR(34),SUBSTITUTE(SUBSTITUTE(SUBSTITUTE(SUBSTITUTE(SUBSTITUTE(SUBSTITUTE($J261,CHAR(13)," "),CHAR(10)," "),CHAR(9)," "),CHAR(92),_xlfn.CONCAT(CHAR(92),CHAR(92))),"$",_xlfn.CONCAT(CHAR(92),"$")),CHAR(96),_xlfn.CONCAT(CHAR(92),CHAR(96))),CHAR(34),CHAR(39))))</f>
        <v/>
      </c>
      <c r="U261" s="5">
        <f t="shared" si="7"/>
        <v>0</v>
      </c>
    </row>
    <row r="262" spans="3:21" ht="30" customHeight="1" x14ac:dyDescent="0.2">
      <c r="C262" s="4"/>
      <c r="K262" s="5">
        <f t="shared" si="6"/>
        <v>0</v>
      </c>
      <c r="L262" s="5" t="str">
        <f>IF(OR(TRIM($B262)="",$A262=""),"",IF(OR(ISNUMBER(SEARCH(_xlfn.CONCAT(CHAR(96),CHAR(34)),$A262)),ISNUMBER(SEARCH(_xlfn.CONCAT(CHAR(34),CHAR(39)),$A262))),_xlfn.CONCAT("* REVIEW REQUIRED: compound-quote delimiter in Codebook Section on Sheet 1 row ",262,"; edit the input before running."),_xlfn.CONCAT("char ",TRIM($B262),"[doc_section] ",CHAR(96),CHAR(34),SUBSTITUTE(SUBSTITUTE(SUBSTITUTE(SUBSTITUTE(SUBSTITUTE(SUBSTITUTE($A262,CHAR(13)," "),CHAR(10)," "),CHAR(9)," "),CHAR(92),_xlfn.CONCAT(CHAR(92),CHAR(92))),"$",_xlfn.CONCAT(CHAR(92),"$")),CHAR(96),_xlfn.CONCAT(CHAR(92),CHAR(96))),CHAR(34),CHAR(39))))</f>
        <v/>
      </c>
      <c r="M262" s="5" t="str">
        <f>IF(OR(TRIM($B262)="",$C262=""),"",IF(IFERROR(MATCH(TRIM($C262),{"Quantitative","Continuous","Discrete","Categorical","Nominal","Ordinal","Identifier"},0),0)=0,_xlfn.CONCAT("* REVIEW REQUIRED: invalid Variable Type on Sheet 1 row ",262,"."),_xlfn.CONCAT("char ",TRIM($B262),"[doc_vartype] ",CHAR(96),CHAR(34),SUBSTITUTE(SUBSTITUTE(SUBSTITUTE(SUBSTITUTE(SUBSTITUTE(SUBSTITUTE(LOWER(TRIM($C262)),CHAR(13)," "),CHAR(10)," "),CHAR(9)," "),CHAR(92),_xlfn.CONCAT(CHAR(92),CHAR(92))),"$",_xlfn.CONCAT(CHAR(92),"$")),CHAR(96),_xlfn.CONCAT(CHAR(92),CHAR(96))),CHAR(34),CHAR(39))))</f>
        <v/>
      </c>
      <c r="N262" s="5" t="str">
        <f>IF(OR(TRIM($B262)="",$D262=""),"",IF(OR(ISNUMBER(SEARCH(_xlfn.CONCAT(CHAR(96),CHAR(34)),$D262)),ISNUMBER(SEARCH(_xlfn.CONCAT(CHAR(34),CHAR(39)),$D262))),_xlfn.CONCAT("* REVIEW REQUIRED: compound-quote delimiter in Item Number on Sheet 1 row ",262,"; edit the input before running."),_xlfn.CONCAT("char ",TRIM($B262),"[doc_itemnum] ",CHAR(96),CHAR(34),SUBSTITUTE(SUBSTITUTE(SUBSTITUTE(SUBSTITUTE(SUBSTITUTE(SUBSTITUTE($D262,CHAR(13)," "),CHAR(10)," "),CHAR(9)," "),CHAR(92),_xlfn.CONCAT(CHAR(92),CHAR(92))),"$",_xlfn.CONCAT(CHAR(92),"$")),CHAR(96),_xlfn.CONCAT(CHAR(92),CHAR(96))),CHAR(34),CHAR(39))))</f>
        <v/>
      </c>
      <c r="O262" s="5" t="str">
        <f>IF(OR(TRIM($B262)="",$E262=""),"",IF(OR(ISNUMBER(SEARCH(_xlfn.CONCAT(CHAR(96),CHAR(34)),$E262)),ISNUMBER(SEARCH(_xlfn.CONCAT(CHAR(34),CHAR(39)),$E262))),_xlfn.CONCAT("* REVIEW REQUIRED: compound-quote delimiter in Question Wording on Sheet 1 row ",262,"; edit the input before running."),_xlfn.CONCAT("char ",TRIM($B262),"[doc_question] ",CHAR(96),CHAR(34),SUBSTITUTE(SUBSTITUTE(SUBSTITUTE(SUBSTITUTE(SUBSTITUTE(SUBSTITUTE($E262,CHAR(13)," "),CHAR(10)," "),CHAR(9)," "),CHAR(92),_xlfn.CONCAT(CHAR(92),CHAR(92))),"$",_xlfn.CONCAT(CHAR(92),"$")),CHAR(96),_xlfn.CONCAT(CHAR(92),CHAR(96))),CHAR(34),CHAR(39))))</f>
        <v/>
      </c>
      <c r="P262" s="5" t="str">
        <f>IF(OR(TRIM($B262)="",$F262=""),"",IF(OR(ISNUMBER(SEARCH(_xlfn.CONCAT(CHAR(96),CHAR(34)),$F262)),ISNUMBER(SEARCH(_xlfn.CONCAT(CHAR(34),CHAR(39)),$F262))),_xlfn.CONCAT("* REVIEW REQUIRED: compound-quote delimiter in Units on Sheet 1 row ",262,"; edit the input before running."),_xlfn.CONCAT("char ",TRIM($B262),"[doc_units] ",CHAR(96),CHAR(34),SUBSTITUTE(SUBSTITUTE(SUBSTITUTE(SUBSTITUTE(SUBSTITUTE(SUBSTITUTE($F262,CHAR(13)," "),CHAR(10)," "),CHAR(9)," "),CHAR(92),_xlfn.CONCAT(CHAR(92),CHAR(92))),"$",_xlfn.CONCAT(CHAR(92),"$")),CHAR(96),_xlfn.CONCAT(CHAR(92),CHAR(96))),CHAR(34),CHAR(39))))</f>
        <v/>
      </c>
      <c r="Q262" s="5" t="str">
        <f>IF(OR(TRIM($B262)="",$G262=""),"",IF(OR(ISNUMBER(SEARCH(_xlfn.CONCAT(CHAR(96),CHAR(34)),$G262)),ISNUMBER(SEARCH(_xlfn.CONCAT(CHAR(34),CHAR(39)),$G262))),_xlfn.CONCAT("* REVIEW REQUIRED: compound-quote delimiter in Universe on Sheet 1 row ",262,"; edit the input before running."),_xlfn.CONCAT("char ",TRIM($B262),"[doc_universe] ",CHAR(96),CHAR(34),SUBSTITUTE(SUBSTITUTE(SUBSTITUTE(SUBSTITUTE(SUBSTITUTE(SUBSTITUTE($G262,CHAR(13)," "),CHAR(10)," "),CHAR(9)," "),CHAR(92),_xlfn.CONCAT(CHAR(92),CHAR(92))),"$",_xlfn.CONCAT(CHAR(92),"$")),CHAR(96),_xlfn.CONCAT(CHAR(92),CHAR(96))),CHAR(34),CHAR(39))))</f>
        <v/>
      </c>
      <c r="R262" s="5" t="str">
        <f>IF(OR(TRIM($B262)="",$H262=""),"",IF(OR(ISNUMBER(SEARCH(_xlfn.CONCAT(CHAR(96),CHAR(34)),$H262)),ISNUMBER(SEARCH(_xlfn.CONCAT(CHAR(34),CHAR(39)),$H262))),_xlfn.CONCAT("* REVIEW REQUIRED: compound-quote delimiter in Source on Sheet 1 row ",262,"; edit the input before running."),_xlfn.CONCAT("char ",TRIM($B262),"[doc_source] ",CHAR(96),CHAR(34),SUBSTITUTE(SUBSTITUTE(SUBSTITUTE(SUBSTITUTE(SUBSTITUTE(SUBSTITUTE($H262,CHAR(13)," "),CHAR(10)," "),CHAR(9)," "),CHAR(92),_xlfn.CONCAT(CHAR(92),CHAR(92))),"$",_xlfn.CONCAT(CHAR(92),"$")),CHAR(96),_xlfn.CONCAT(CHAR(92),CHAR(96))),CHAR(34),CHAR(39))))</f>
        <v/>
      </c>
      <c r="S262" s="5" t="str">
        <f>IF(OR(TRIM($B262)="",$I262=""),"",IF(OR(ISNUMBER(SEARCH(_xlfn.CONCAT(CHAR(96),CHAR(34)),$I262)),ISNUMBER(SEARCH(_xlfn.CONCAT(CHAR(34),CHAR(39)),$I262))),_xlfn.CONCAT("* REVIEW REQUIRED: compound-quote delimiter in Derivation on Sheet 1 row ",262,"; edit the input before running."),_xlfn.CONCAT("char ",TRIM($B262),"[doc_derivation] ",CHAR(96),CHAR(34),SUBSTITUTE(SUBSTITUTE(SUBSTITUTE(SUBSTITUTE(SUBSTITUTE(SUBSTITUTE($I262,CHAR(13)," "),CHAR(10)," "),CHAR(9)," "),CHAR(92),_xlfn.CONCAT(CHAR(92),CHAR(92))),"$",_xlfn.CONCAT(CHAR(92),"$")),CHAR(96),_xlfn.CONCAT(CHAR(92),CHAR(96))),CHAR(34),CHAR(39))))</f>
        <v/>
      </c>
      <c r="T262" s="5" t="str">
        <f>IF(OR(TRIM($B262)="",$J262=""),"",IF(OR(ISNUMBER(SEARCH(_xlfn.CONCAT(CHAR(96),CHAR(34)),$J262)),ISNUMBER(SEARCH(_xlfn.CONCAT(CHAR(34),CHAR(39)),$J262))),_xlfn.CONCAT("* REVIEW REQUIRED: compound-quote delimiter in Notes on Sheet 1 row ",262,"; edit the input before running."),_xlfn.CONCAT("char ",TRIM($B262),"[doc_notes] ",CHAR(96),CHAR(34),SUBSTITUTE(SUBSTITUTE(SUBSTITUTE(SUBSTITUTE(SUBSTITUTE(SUBSTITUTE($J262,CHAR(13)," "),CHAR(10)," "),CHAR(9)," "),CHAR(92),_xlfn.CONCAT(CHAR(92),CHAR(92))),"$",_xlfn.CONCAT(CHAR(92),"$")),CHAR(96),_xlfn.CONCAT(CHAR(92),CHAR(96))),CHAR(34),CHAR(39))))</f>
        <v/>
      </c>
      <c r="U262" s="5">
        <f t="shared" si="7"/>
        <v>0</v>
      </c>
    </row>
    <row r="263" spans="3:21" ht="30" customHeight="1" x14ac:dyDescent="0.2">
      <c r="C263" s="4"/>
      <c r="K263" s="5">
        <f t="shared" si="6"/>
        <v>0</v>
      </c>
      <c r="L263" s="5" t="str">
        <f>IF(OR(TRIM($B263)="",$A263=""),"",IF(OR(ISNUMBER(SEARCH(_xlfn.CONCAT(CHAR(96),CHAR(34)),$A263)),ISNUMBER(SEARCH(_xlfn.CONCAT(CHAR(34),CHAR(39)),$A263))),_xlfn.CONCAT("* REVIEW REQUIRED: compound-quote delimiter in Codebook Section on Sheet 1 row ",263,"; edit the input before running."),_xlfn.CONCAT("char ",TRIM($B263),"[doc_section] ",CHAR(96),CHAR(34),SUBSTITUTE(SUBSTITUTE(SUBSTITUTE(SUBSTITUTE(SUBSTITUTE(SUBSTITUTE($A263,CHAR(13)," "),CHAR(10)," "),CHAR(9)," "),CHAR(92),_xlfn.CONCAT(CHAR(92),CHAR(92))),"$",_xlfn.CONCAT(CHAR(92),"$")),CHAR(96),_xlfn.CONCAT(CHAR(92),CHAR(96))),CHAR(34),CHAR(39))))</f>
        <v/>
      </c>
      <c r="M263" s="5" t="str">
        <f>IF(OR(TRIM($B263)="",$C263=""),"",IF(IFERROR(MATCH(TRIM($C263),{"Quantitative","Continuous","Discrete","Categorical","Nominal","Ordinal","Identifier"},0),0)=0,_xlfn.CONCAT("* REVIEW REQUIRED: invalid Variable Type on Sheet 1 row ",263,"."),_xlfn.CONCAT("char ",TRIM($B263),"[doc_vartype] ",CHAR(96),CHAR(34),SUBSTITUTE(SUBSTITUTE(SUBSTITUTE(SUBSTITUTE(SUBSTITUTE(SUBSTITUTE(LOWER(TRIM($C263)),CHAR(13)," "),CHAR(10)," "),CHAR(9)," "),CHAR(92),_xlfn.CONCAT(CHAR(92),CHAR(92))),"$",_xlfn.CONCAT(CHAR(92),"$")),CHAR(96),_xlfn.CONCAT(CHAR(92),CHAR(96))),CHAR(34),CHAR(39))))</f>
        <v/>
      </c>
      <c r="N263" s="5" t="str">
        <f>IF(OR(TRIM($B263)="",$D263=""),"",IF(OR(ISNUMBER(SEARCH(_xlfn.CONCAT(CHAR(96),CHAR(34)),$D263)),ISNUMBER(SEARCH(_xlfn.CONCAT(CHAR(34),CHAR(39)),$D263))),_xlfn.CONCAT("* REVIEW REQUIRED: compound-quote delimiter in Item Number on Sheet 1 row ",263,"; edit the input before running."),_xlfn.CONCAT("char ",TRIM($B263),"[doc_itemnum] ",CHAR(96),CHAR(34),SUBSTITUTE(SUBSTITUTE(SUBSTITUTE(SUBSTITUTE(SUBSTITUTE(SUBSTITUTE($D263,CHAR(13)," "),CHAR(10)," "),CHAR(9)," "),CHAR(92),_xlfn.CONCAT(CHAR(92),CHAR(92))),"$",_xlfn.CONCAT(CHAR(92),"$")),CHAR(96),_xlfn.CONCAT(CHAR(92),CHAR(96))),CHAR(34),CHAR(39))))</f>
        <v/>
      </c>
      <c r="O263" s="5" t="str">
        <f>IF(OR(TRIM($B263)="",$E263=""),"",IF(OR(ISNUMBER(SEARCH(_xlfn.CONCAT(CHAR(96),CHAR(34)),$E263)),ISNUMBER(SEARCH(_xlfn.CONCAT(CHAR(34),CHAR(39)),$E263))),_xlfn.CONCAT("* REVIEW REQUIRED: compound-quote delimiter in Question Wording on Sheet 1 row ",263,"; edit the input before running."),_xlfn.CONCAT("char ",TRIM($B263),"[doc_question] ",CHAR(96),CHAR(34),SUBSTITUTE(SUBSTITUTE(SUBSTITUTE(SUBSTITUTE(SUBSTITUTE(SUBSTITUTE($E263,CHAR(13)," "),CHAR(10)," "),CHAR(9)," "),CHAR(92),_xlfn.CONCAT(CHAR(92),CHAR(92))),"$",_xlfn.CONCAT(CHAR(92),"$")),CHAR(96),_xlfn.CONCAT(CHAR(92),CHAR(96))),CHAR(34),CHAR(39))))</f>
        <v/>
      </c>
      <c r="P263" s="5" t="str">
        <f>IF(OR(TRIM($B263)="",$F263=""),"",IF(OR(ISNUMBER(SEARCH(_xlfn.CONCAT(CHAR(96),CHAR(34)),$F263)),ISNUMBER(SEARCH(_xlfn.CONCAT(CHAR(34),CHAR(39)),$F263))),_xlfn.CONCAT("* REVIEW REQUIRED: compound-quote delimiter in Units on Sheet 1 row ",263,"; edit the input before running."),_xlfn.CONCAT("char ",TRIM($B263),"[doc_units] ",CHAR(96),CHAR(34),SUBSTITUTE(SUBSTITUTE(SUBSTITUTE(SUBSTITUTE(SUBSTITUTE(SUBSTITUTE($F263,CHAR(13)," "),CHAR(10)," "),CHAR(9)," "),CHAR(92),_xlfn.CONCAT(CHAR(92),CHAR(92))),"$",_xlfn.CONCAT(CHAR(92),"$")),CHAR(96),_xlfn.CONCAT(CHAR(92),CHAR(96))),CHAR(34),CHAR(39))))</f>
        <v/>
      </c>
      <c r="Q263" s="5" t="str">
        <f>IF(OR(TRIM($B263)="",$G263=""),"",IF(OR(ISNUMBER(SEARCH(_xlfn.CONCAT(CHAR(96),CHAR(34)),$G263)),ISNUMBER(SEARCH(_xlfn.CONCAT(CHAR(34),CHAR(39)),$G263))),_xlfn.CONCAT("* REVIEW REQUIRED: compound-quote delimiter in Universe on Sheet 1 row ",263,"; edit the input before running."),_xlfn.CONCAT("char ",TRIM($B263),"[doc_universe] ",CHAR(96),CHAR(34),SUBSTITUTE(SUBSTITUTE(SUBSTITUTE(SUBSTITUTE(SUBSTITUTE(SUBSTITUTE($G263,CHAR(13)," "),CHAR(10)," "),CHAR(9)," "),CHAR(92),_xlfn.CONCAT(CHAR(92),CHAR(92))),"$",_xlfn.CONCAT(CHAR(92),"$")),CHAR(96),_xlfn.CONCAT(CHAR(92),CHAR(96))),CHAR(34),CHAR(39))))</f>
        <v/>
      </c>
      <c r="R263" s="5" t="str">
        <f>IF(OR(TRIM($B263)="",$H263=""),"",IF(OR(ISNUMBER(SEARCH(_xlfn.CONCAT(CHAR(96),CHAR(34)),$H263)),ISNUMBER(SEARCH(_xlfn.CONCAT(CHAR(34),CHAR(39)),$H263))),_xlfn.CONCAT("* REVIEW REQUIRED: compound-quote delimiter in Source on Sheet 1 row ",263,"; edit the input before running."),_xlfn.CONCAT("char ",TRIM($B263),"[doc_source] ",CHAR(96),CHAR(34),SUBSTITUTE(SUBSTITUTE(SUBSTITUTE(SUBSTITUTE(SUBSTITUTE(SUBSTITUTE($H263,CHAR(13)," "),CHAR(10)," "),CHAR(9)," "),CHAR(92),_xlfn.CONCAT(CHAR(92),CHAR(92))),"$",_xlfn.CONCAT(CHAR(92),"$")),CHAR(96),_xlfn.CONCAT(CHAR(92),CHAR(96))),CHAR(34),CHAR(39))))</f>
        <v/>
      </c>
      <c r="S263" s="5" t="str">
        <f>IF(OR(TRIM($B263)="",$I263=""),"",IF(OR(ISNUMBER(SEARCH(_xlfn.CONCAT(CHAR(96),CHAR(34)),$I263)),ISNUMBER(SEARCH(_xlfn.CONCAT(CHAR(34),CHAR(39)),$I263))),_xlfn.CONCAT("* REVIEW REQUIRED: compound-quote delimiter in Derivation on Sheet 1 row ",263,"; edit the input before running."),_xlfn.CONCAT("char ",TRIM($B263),"[doc_derivation] ",CHAR(96),CHAR(34),SUBSTITUTE(SUBSTITUTE(SUBSTITUTE(SUBSTITUTE(SUBSTITUTE(SUBSTITUTE($I263,CHAR(13)," "),CHAR(10)," "),CHAR(9)," "),CHAR(92),_xlfn.CONCAT(CHAR(92),CHAR(92))),"$",_xlfn.CONCAT(CHAR(92),"$")),CHAR(96),_xlfn.CONCAT(CHAR(92),CHAR(96))),CHAR(34),CHAR(39))))</f>
        <v/>
      </c>
      <c r="T263" s="5" t="str">
        <f>IF(OR(TRIM($B263)="",$J263=""),"",IF(OR(ISNUMBER(SEARCH(_xlfn.CONCAT(CHAR(96),CHAR(34)),$J263)),ISNUMBER(SEARCH(_xlfn.CONCAT(CHAR(34),CHAR(39)),$J263))),_xlfn.CONCAT("* REVIEW REQUIRED: compound-quote delimiter in Notes on Sheet 1 row ",263,"; edit the input before running."),_xlfn.CONCAT("char ",TRIM($B263),"[doc_notes] ",CHAR(96),CHAR(34),SUBSTITUTE(SUBSTITUTE(SUBSTITUTE(SUBSTITUTE(SUBSTITUTE(SUBSTITUTE($J263,CHAR(13)," "),CHAR(10)," "),CHAR(9)," "),CHAR(92),_xlfn.CONCAT(CHAR(92),CHAR(92))),"$",_xlfn.CONCAT(CHAR(92),"$")),CHAR(96),_xlfn.CONCAT(CHAR(92),CHAR(96))),CHAR(34),CHAR(39))))</f>
        <v/>
      </c>
      <c r="U263" s="5">
        <f t="shared" si="7"/>
        <v>0</v>
      </c>
    </row>
    <row r="264" spans="3:21" ht="30" customHeight="1" x14ac:dyDescent="0.2">
      <c r="C264" s="4"/>
      <c r="K264" s="5">
        <f t="shared" si="6"/>
        <v>0</v>
      </c>
      <c r="L264" s="5" t="str">
        <f>IF(OR(TRIM($B264)="",$A264=""),"",IF(OR(ISNUMBER(SEARCH(_xlfn.CONCAT(CHAR(96),CHAR(34)),$A264)),ISNUMBER(SEARCH(_xlfn.CONCAT(CHAR(34),CHAR(39)),$A264))),_xlfn.CONCAT("* REVIEW REQUIRED: compound-quote delimiter in Codebook Section on Sheet 1 row ",264,"; edit the input before running."),_xlfn.CONCAT("char ",TRIM($B264),"[doc_section] ",CHAR(96),CHAR(34),SUBSTITUTE(SUBSTITUTE(SUBSTITUTE(SUBSTITUTE(SUBSTITUTE(SUBSTITUTE($A264,CHAR(13)," "),CHAR(10)," "),CHAR(9)," "),CHAR(92),_xlfn.CONCAT(CHAR(92),CHAR(92))),"$",_xlfn.CONCAT(CHAR(92),"$")),CHAR(96),_xlfn.CONCAT(CHAR(92),CHAR(96))),CHAR(34),CHAR(39))))</f>
        <v/>
      </c>
      <c r="M264" s="5" t="str">
        <f>IF(OR(TRIM($B264)="",$C264=""),"",IF(IFERROR(MATCH(TRIM($C264),{"Quantitative","Continuous","Discrete","Categorical","Nominal","Ordinal","Identifier"},0),0)=0,_xlfn.CONCAT("* REVIEW REQUIRED: invalid Variable Type on Sheet 1 row ",264,"."),_xlfn.CONCAT("char ",TRIM($B264),"[doc_vartype] ",CHAR(96),CHAR(34),SUBSTITUTE(SUBSTITUTE(SUBSTITUTE(SUBSTITUTE(SUBSTITUTE(SUBSTITUTE(LOWER(TRIM($C264)),CHAR(13)," "),CHAR(10)," "),CHAR(9)," "),CHAR(92),_xlfn.CONCAT(CHAR(92),CHAR(92))),"$",_xlfn.CONCAT(CHAR(92),"$")),CHAR(96),_xlfn.CONCAT(CHAR(92),CHAR(96))),CHAR(34),CHAR(39))))</f>
        <v/>
      </c>
      <c r="N264" s="5" t="str">
        <f>IF(OR(TRIM($B264)="",$D264=""),"",IF(OR(ISNUMBER(SEARCH(_xlfn.CONCAT(CHAR(96),CHAR(34)),$D264)),ISNUMBER(SEARCH(_xlfn.CONCAT(CHAR(34),CHAR(39)),$D264))),_xlfn.CONCAT("* REVIEW REQUIRED: compound-quote delimiter in Item Number on Sheet 1 row ",264,"; edit the input before running."),_xlfn.CONCAT("char ",TRIM($B264),"[doc_itemnum] ",CHAR(96),CHAR(34),SUBSTITUTE(SUBSTITUTE(SUBSTITUTE(SUBSTITUTE(SUBSTITUTE(SUBSTITUTE($D264,CHAR(13)," "),CHAR(10)," "),CHAR(9)," "),CHAR(92),_xlfn.CONCAT(CHAR(92),CHAR(92))),"$",_xlfn.CONCAT(CHAR(92),"$")),CHAR(96),_xlfn.CONCAT(CHAR(92),CHAR(96))),CHAR(34),CHAR(39))))</f>
        <v/>
      </c>
      <c r="O264" s="5" t="str">
        <f>IF(OR(TRIM($B264)="",$E264=""),"",IF(OR(ISNUMBER(SEARCH(_xlfn.CONCAT(CHAR(96),CHAR(34)),$E264)),ISNUMBER(SEARCH(_xlfn.CONCAT(CHAR(34),CHAR(39)),$E264))),_xlfn.CONCAT("* REVIEW REQUIRED: compound-quote delimiter in Question Wording on Sheet 1 row ",264,"; edit the input before running."),_xlfn.CONCAT("char ",TRIM($B264),"[doc_question] ",CHAR(96),CHAR(34),SUBSTITUTE(SUBSTITUTE(SUBSTITUTE(SUBSTITUTE(SUBSTITUTE(SUBSTITUTE($E264,CHAR(13)," "),CHAR(10)," "),CHAR(9)," "),CHAR(92),_xlfn.CONCAT(CHAR(92),CHAR(92))),"$",_xlfn.CONCAT(CHAR(92),"$")),CHAR(96),_xlfn.CONCAT(CHAR(92),CHAR(96))),CHAR(34),CHAR(39))))</f>
        <v/>
      </c>
      <c r="P264" s="5" t="str">
        <f>IF(OR(TRIM($B264)="",$F264=""),"",IF(OR(ISNUMBER(SEARCH(_xlfn.CONCAT(CHAR(96),CHAR(34)),$F264)),ISNUMBER(SEARCH(_xlfn.CONCAT(CHAR(34),CHAR(39)),$F264))),_xlfn.CONCAT("* REVIEW REQUIRED: compound-quote delimiter in Units on Sheet 1 row ",264,"; edit the input before running."),_xlfn.CONCAT("char ",TRIM($B264),"[doc_units] ",CHAR(96),CHAR(34),SUBSTITUTE(SUBSTITUTE(SUBSTITUTE(SUBSTITUTE(SUBSTITUTE(SUBSTITUTE($F264,CHAR(13)," "),CHAR(10)," "),CHAR(9)," "),CHAR(92),_xlfn.CONCAT(CHAR(92),CHAR(92))),"$",_xlfn.CONCAT(CHAR(92),"$")),CHAR(96),_xlfn.CONCAT(CHAR(92),CHAR(96))),CHAR(34),CHAR(39))))</f>
        <v/>
      </c>
      <c r="Q264" s="5" t="str">
        <f>IF(OR(TRIM($B264)="",$G264=""),"",IF(OR(ISNUMBER(SEARCH(_xlfn.CONCAT(CHAR(96),CHAR(34)),$G264)),ISNUMBER(SEARCH(_xlfn.CONCAT(CHAR(34),CHAR(39)),$G264))),_xlfn.CONCAT("* REVIEW REQUIRED: compound-quote delimiter in Universe on Sheet 1 row ",264,"; edit the input before running."),_xlfn.CONCAT("char ",TRIM($B264),"[doc_universe] ",CHAR(96),CHAR(34),SUBSTITUTE(SUBSTITUTE(SUBSTITUTE(SUBSTITUTE(SUBSTITUTE(SUBSTITUTE($G264,CHAR(13)," "),CHAR(10)," "),CHAR(9)," "),CHAR(92),_xlfn.CONCAT(CHAR(92),CHAR(92))),"$",_xlfn.CONCAT(CHAR(92),"$")),CHAR(96),_xlfn.CONCAT(CHAR(92),CHAR(96))),CHAR(34),CHAR(39))))</f>
        <v/>
      </c>
      <c r="R264" s="5" t="str">
        <f>IF(OR(TRIM($B264)="",$H264=""),"",IF(OR(ISNUMBER(SEARCH(_xlfn.CONCAT(CHAR(96),CHAR(34)),$H264)),ISNUMBER(SEARCH(_xlfn.CONCAT(CHAR(34),CHAR(39)),$H264))),_xlfn.CONCAT("* REVIEW REQUIRED: compound-quote delimiter in Source on Sheet 1 row ",264,"; edit the input before running."),_xlfn.CONCAT("char ",TRIM($B264),"[doc_source] ",CHAR(96),CHAR(34),SUBSTITUTE(SUBSTITUTE(SUBSTITUTE(SUBSTITUTE(SUBSTITUTE(SUBSTITUTE($H264,CHAR(13)," "),CHAR(10)," "),CHAR(9)," "),CHAR(92),_xlfn.CONCAT(CHAR(92),CHAR(92))),"$",_xlfn.CONCAT(CHAR(92),"$")),CHAR(96),_xlfn.CONCAT(CHAR(92),CHAR(96))),CHAR(34),CHAR(39))))</f>
        <v/>
      </c>
      <c r="S264" s="5" t="str">
        <f>IF(OR(TRIM($B264)="",$I264=""),"",IF(OR(ISNUMBER(SEARCH(_xlfn.CONCAT(CHAR(96),CHAR(34)),$I264)),ISNUMBER(SEARCH(_xlfn.CONCAT(CHAR(34),CHAR(39)),$I264))),_xlfn.CONCAT("* REVIEW REQUIRED: compound-quote delimiter in Derivation on Sheet 1 row ",264,"; edit the input before running."),_xlfn.CONCAT("char ",TRIM($B264),"[doc_derivation] ",CHAR(96),CHAR(34),SUBSTITUTE(SUBSTITUTE(SUBSTITUTE(SUBSTITUTE(SUBSTITUTE(SUBSTITUTE($I264,CHAR(13)," "),CHAR(10)," "),CHAR(9)," "),CHAR(92),_xlfn.CONCAT(CHAR(92),CHAR(92))),"$",_xlfn.CONCAT(CHAR(92),"$")),CHAR(96),_xlfn.CONCAT(CHAR(92),CHAR(96))),CHAR(34),CHAR(39))))</f>
        <v/>
      </c>
      <c r="T264" s="5" t="str">
        <f>IF(OR(TRIM($B264)="",$J264=""),"",IF(OR(ISNUMBER(SEARCH(_xlfn.CONCAT(CHAR(96),CHAR(34)),$J264)),ISNUMBER(SEARCH(_xlfn.CONCAT(CHAR(34),CHAR(39)),$J264))),_xlfn.CONCAT("* REVIEW REQUIRED: compound-quote delimiter in Notes on Sheet 1 row ",264,"; edit the input before running."),_xlfn.CONCAT("char ",TRIM($B264),"[doc_notes] ",CHAR(96),CHAR(34),SUBSTITUTE(SUBSTITUTE(SUBSTITUTE(SUBSTITUTE(SUBSTITUTE(SUBSTITUTE($J264,CHAR(13)," "),CHAR(10)," "),CHAR(9)," "),CHAR(92),_xlfn.CONCAT(CHAR(92),CHAR(92))),"$",_xlfn.CONCAT(CHAR(92),"$")),CHAR(96),_xlfn.CONCAT(CHAR(92),CHAR(96))),CHAR(34),CHAR(39))))</f>
        <v/>
      </c>
      <c r="U264" s="5">
        <f t="shared" si="7"/>
        <v>0</v>
      </c>
    </row>
    <row r="265" spans="3:21" ht="30" customHeight="1" x14ac:dyDescent="0.2">
      <c r="C265" s="4"/>
      <c r="K265" s="5">
        <f t="shared" si="6"/>
        <v>0</v>
      </c>
      <c r="L265" s="5" t="str">
        <f>IF(OR(TRIM($B265)="",$A265=""),"",IF(OR(ISNUMBER(SEARCH(_xlfn.CONCAT(CHAR(96),CHAR(34)),$A265)),ISNUMBER(SEARCH(_xlfn.CONCAT(CHAR(34),CHAR(39)),$A265))),_xlfn.CONCAT("* REVIEW REQUIRED: compound-quote delimiter in Codebook Section on Sheet 1 row ",265,"; edit the input before running."),_xlfn.CONCAT("char ",TRIM($B265),"[doc_section] ",CHAR(96),CHAR(34),SUBSTITUTE(SUBSTITUTE(SUBSTITUTE(SUBSTITUTE(SUBSTITUTE(SUBSTITUTE($A265,CHAR(13)," "),CHAR(10)," "),CHAR(9)," "),CHAR(92),_xlfn.CONCAT(CHAR(92),CHAR(92))),"$",_xlfn.CONCAT(CHAR(92),"$")),CHAR(96),_xlfn.CONCAT(CHAR(92),CHAR(96))),CHAR(34),CHAR(39))))</f>
        <v/>
      </c>
      <c r="M265" s="5" t="str">
        <f>IF(OR(TRIM($B265)="",$C265=""),"",IF(IFERROR(MATCH(TRIM($C265),{"Quantitative","Continuous","Discrete","Categorical","Nominal","Ordinal","Identifier"},0),0)=0,_xlfn.CONCAT("* REVIEW REQUIRED: invalid Variable Type on Sheet 1 row ",265,"."),_xlfn.CONCAT("char ",TRIM($B265),"[doc_vartype] ",CHAR(96),CHAR(34),SUBSTITUTE(SUBSTITUTE(SUBSTITUTE(SUBSTITUTE(SUBSTITUTE(SUBSTITUTE(LOWER(TRIM($C265)),CHAR(13)," "),CHAR(10)," "),CHAR(9)," "),CHAR(92),_xlfn.CONCAT(CHAR(92),CHAR(92))),"$",_xlfn.CONCAT(CHAR(92),"$")),CHAR(96),_xlfn.CONCAT(CHAR(92),CHAR(96))),CHAR(34),CHAR(39))))</f>
        <v/>
      </c>
      <c r="N265" s="5" t="str">
        <f>IF(OR(TRIM($B265)="",$D265=""),"",IF(OR(ISNUMBER(SEARCH(_xlfn.CONCAT(CHAR(96),CHAR(34)),$D265)),ISNUMBER(SEARCH(_xlfn.CONCAT(CHAR(34),CHAR(39)),$D265))),_xlfn.CONCAT("* REVIEW REQUIRED: compound-quote delimiter in Item Number on Sheet 1 row ",265,"; edit the input before running."),_xlfn.CONCAT("char ",TRIM($B265),"[doc_itemnum] ",CHAR(96),CHAR(34),SUBSTITUTE(SUBSTITUTE(SUBSTITUTE(SUBSTITUTE(SUBSTITUTE(SUBSTITUTE($D265,CHAR(13)," "),CHAR(10)," "),CHAR(9)," "),CHAR(92),_xlfn.CONCAT(CHAR(92),CHAR(92))),"$",_xlfn.CONCAT(CHAR(92),"$")),CHAR(96),_xlfn.CONCAT(CHAR(92),CHAR(96))),CHAR(34),CHAR(39))))</f>
        <v/>
      </c>
      <c r="O265" s="5" t="str">
        <f>IF(OR(TRIM($B265)="",$E265=""),"",IF(OR(ISNUMBER(SEARCH(_xlfn.CONCAT(CHAR(96),CHAR(34)),$E265)),ISNUMBER(SEARCH(_xlfn.CONCAT(CHAR(34),CHAR(39)),$E265))),_xlfn.CONCAT("* REVIEW REQUIRED: compound-quote delimiter in Question Wording on Sheet 1 row ",265,"; edit the input before running."),_xlfn.CONCAT("char ",TRIM($B265),"[doc_question] ",CHAR(96),CHAR(34),SUBSTITUTE(SUBSTITUTE(SUBSTITUTE(SUBSTITUTE(SUBSTITUTE(SUBSTITUTE($E265,CHAR(13)," "),CHAR(10)," "),CHAR(9)," "),CHAR(92),_xlfn.CONCAT(CHAR(92),CHAR(92))),"$",_xlfn.CONCAT(CHAR(92),"$")),CHAR(96),_xlfn.CONCAT(CHAR(92),CHAR(96))),CHAR(34),CHAR(39))))</f>
        <v/>
      </c>
      <c r="P265" s="5" t="str">
        <f>IF(OR(TRIM($B265)="",$F265=""),"",IF(OR(ISNUMBER(SEARCH(_xlfn.CONCAT(CHAR(96),CHAR(34)),$F265)),ISNUMBER(SEARCH(_xlfn.CONCAT(CHAR(34),CHAR(39)),$F265))),_xlfn.CONCAT("* REVIEW REQUIRED: compound-quote delimiter in Units on Sheet 1 row ",265,"; edit the input before running."),_xlfn.CONCAT("char ",TRIM($B265),"[doc_units] ",CHAR(96),CHAR(34),SUBSTITUTE(SUBSTITUTE(SUBSTITUTE(SUBSTITUTE(SUBSTITUTE(SUBSTITUTE($F265,CHAR(13)," "),CHAR(10)," "),CHAR(9)," "),CHAR(92),_xlfn.CONCAT(CHAR(92),CHAR(92))),"$",_xlfn.CONCAT(CHAR(92),"$")),CHAR(96),_xlfn.CONCAT(CHAR(92),CHAR(96))),CHAR(34),CHAR(39))))</f>
        <v/>
      </c>
      <c r="Q265" s="5" t="str">
        <f>IF(OR(TRIM($B265)="",$G265=""),"",IF(OR(ISNUMBER(SEARCH(_xlfn.CONCAT(CHAR(96),CHAR(34)),$G265)),ISNUMBER(SEARCH(_xlfn.CONCAT(CHAR(34),CHAR(39)),$G265))),_xlfn.CONCAT("* REVIEW REQUIRED: compound-quote delimiter in Universe on Sheet 1 row ",265,"; edit the input before running."),_xlfn.CONCAT("char ",TRIM($B265),"[doc_universe] ",CHAR(96),CHAR(34),SUBSTITUTE(SUBSTITUTE(SUBSTITUTE(SUBSTITUTE(SUBSTITUTE(SUBSTITUTE($G265,CHAR(13)," "),CHAR(10)," "),CHAR(9)," "),CHAR(92),_xlfn.CONCAT(CHAR(92),CHAR(92))),"$",_xlfn.CONCAT(CHAR(92),"$")),CHAR(96),_xlfn.CONCAT(CHAR(92),CHAR(96))),CHAR(34),CHAR(39))))</f>
        <v/>
      </c>
      <c r="R265" s="5" t="str">
        <f>IF(OR(TRIM($B265)="",$H265=""),"",IF(OR(ISNUMBER(SEARCH(_xlfn.CONCAT(CHAR(96),CHAR(34)),$H265)),ISNUMBER(SEARCH(_xlfn.CONCAT(CHAR(34),CHAR(39)),$H265))),_xlfn.CONCAT("* REVIEW REQUIRED: compound-quote delimiter in Source on Sheet 1 row ",265,"; edit the input before running."),_xlfn.CONCAT("char ",TRIM($B265),"[doc_source] ",CHAR(96),CHAR(34),SUBSTITUTE(SUBSTITUTE(SUBSTITUTE(SUBSTITUTE(SUBSTITUTE(SUBSTITUTE($H265,CHAR(13)," "),CHAR(10)," "),CHAR(9)," "),CHAR(92),_xlfn.CONCAT(CHAR(92),CHAR(92))),"$",_xlfn.CONCAT(CHAR(92),"$")),CHAR(96),_xlfn.CONCAT(CHAR(92),CHAR(96))),CHAR(34),CHAR(39))))</f>
        <v/>
      </c>
      <c r="S265" s="5" t="str">
        <f>IF(OR(TRIM($B265)="",$I265=""),"",IF(OR(ISNUMBER(SEARCH(_xlfn.CONCAT(CHAR(96),CHAR(34)),$I265)),ISNUMBER(SEARCH(_xlfn.CONCAT(CHAR(34),CHAR(39)),$I265))),_xlfn.CONCAT("* REVIEW REQUIRED: compound-quote delimiter in Derivation on Sheet 1 row ",265,"; edit the input before running."),_xlfn.CONCAT("char ",TRIM($B265),"[doc_derivation] ",CHAR(96),CHAR(34),SUBSTITUTE(SUBSTITUTE(SUBSTITUTE(SUBSTITUTE(SUBSTITUTE(SUBSTITUTE($I265,CHAR(13)," "),CHAR(10)," "),CHAR(9)," "),CHAR(92),_xlfn.CONCAT(CHAR(92),CHAR(92))),"$",_xlfn.CONCAT(CHAR(92),"$")),CHAR(96),_xlfn.CONCAT(CHAR(92),CHAR(96))),CHAR(34),CHAR(39))))</f>
        <v/>
      </c>
      <c r="T265" s="5" t="str">
        <f>IF(OR(TRIM($B265)="",$J265=""),"",IF(OR(ISNUMBER(SEARCH(_xlfn.CONCAT(CHAR(96),CHAR(34)),$J265)),ISNUMBER(SEARCH(_xlfn.CONCAT(CHAR(34),CHAR(39)),$J265))),_xlfn.CONCAT("* REVIEW REQUIRED: compound-quote delimiter in Notes on Sheet 1 row ",265,"; edit the input before running."),_xlfn.CONCAT("char ",TRIM($B265),"[doc_notes] ",CHAR(96),CHAR(34),SUBSTITUTE(SUBSTITUTE(SUBSTITUTE(SUBSTITUTE(SUBSTITUTE(SUBSTITUTE($J265,CHAR(13)," "),CHAR(10)," "),CHAR(9)," "),CHAR(92),_xlfn.CONCAT(CHAR(92),CHAR(92))),"$",_xlfn.CONCAT(CHAR(92),"$")),CHAR(96),_xlfn.CONCAT(CHAR(92),CHAR(96))),CHAR(34),CHAR(39))))</f>
        <v/>
      </c>
      <c r="U265" s="5">
        <f t="shared" si="7"/>
        <v>0</v>
      </c>
    </row>
    <row r="266" spans="3:21" ht="30" customHeight="1" x14ac:dyDescent="0.2">
      <c r="C266" s="4"/>
      <c r="K266" s="5">
        <f t="shared" si="6"/>
        <v>0</v>
      </c>
      <c r="L266" s="5" t="str">
        <f>IF(OR(TRIM($B266)="",$A266=""),"",IF(OR(ISNUMBER(SEARCH(_xlfn.CONCAT(CHAR(96),CHAR(34)),$A266)),ISNUMBER(SEARCH(_xlfn.CONCAT(CHAR(34),CHAR(39)),$A266))),_xlfn.CONCAT("* REVIEW REQUIRED: compound-quote delimiter in Codebook Section on Sheet 1 row ",266,"; edit the input before running."),_xlfn.CONCAT("char ",TRIM($B266),"[doc_section] ",CHAR(96),CHAR(34),SUBSTITUTE(SUBSTITUTE(SUBSTITUTE(SUBSTITUTE(SUBSTITUTE(SUBSTITUTE($A266,CHAR(13)," "),CHAR(10)," "),CHAR(9)," "),CHAR(92),_xlfn.CONCAT(CHAR(92),CHAR(92))),"$",_xlfn.CONCAT(CHAR(92),"$")),CHAR(96),_xlfn.CONCAT(CHAR(92),CHAR(96))),CHAR(34),CHAR(39))))</f>
        <v/>
      </c>
      <c r="M266" s="5" t="str">
        <f>IF(OR(TRIM($B266)="",$C266=""),"",IF(IFERROR(MATCH(TRIM($C266),{"Quantitative","Continuous","Discrete","Categorical","Nominal","Ordinal","Identifier"},0),0)=0,_xlfn.CONCAT("* REVIEW REQUIRED: invalid Variable Type on Sheet 1 row ",266,"."),_xlfn.CONCAT("char ",TRIM($B266),"[doc_vartype] ",CHAR(96),CHAR(34),SUBSTITUTE(SUBSTITUTE(SUBSTITUTE(SUBSTITUTE(SUBSTITUTE(SUBSTITUTE(LOWER(TRIM($C266)),CHAR(13)," "),CHAR(10)," "),CHAR(9)," "),CHAR(92),_xlfn.CONCAT(CHAR(92),CHAR(92))),"$",_xlfn.CONCAT(CHAR(92),"$")),CHAR(96),_xlfn.CONCAT(CHAR(92),CHAR(96))),CHAR(34),CHAR(39))))</f>
        <v/>
      </c>
      <c r="N266" s="5" t="str">
        <f>IF(OR(TRIM($B266)="",$D266=""),"",IF(OR(ISNUMBER(SEARCH(_xlfn.CONCAT(CHAR(96),CHAR(34)),$D266)),ISNUMBER(SEARCH(_xlfn.CONCAT(CHAR(34),CHAR(39)),$D266))),_xlfn.CONCAT("* REVIEW REQUIRED: compound-quote delimiter in Item Number on Sheet 1 row ",266,"; edit the input before running."),_xlfn.CONCAT("char ",TRIM($B266),"[doc_itemnum] ",CHAR(96),CHAR(34),SUBSTITUTE(SUBSTITUTE(SUBSTITUTE(SUBSTITUTE(SUBSTITUTE(SUBSTITUTE($D266,CHAR(13)," "),CHAR(10)," "),CHAR(9)," "),CHAR(92),_xlfn.CONCAT(CHAR(92),CHAR(92))),"$",_xlfn.CONCAT(CHAR(92),"$")),CHAR(96),_xlfn.CONCAT(CHAR(92),CHAR(96))),CHAR(34),CHAR(39))))</f>
        <v/>
      </c>
      <c r="O266" s="5" t="str">
        <f>IF(OR(TRIM($B266)="",$E266=""),"",IF(OR(ISNUMBER(SEARCH(_xlfn.CONCAT(CHAR(96),CHAR(34)),$E266)),ISNUMBER(SEARCH(_xlfn.CONCAT(CHAR(34),CHAR(39)),$E266))),_xlfn.CONCAT("* REVIEW REQUIRED: compound-quote delimiter in Question Wording on Sheet 1 row ",266,"; edit the input before running."),_xlfn.CONCAT("char ",TRIM($B266),"[doc_question] ",CHAR(96),CHAR(34),SUBSTITUTE(SUBSTITUTE(SUBSTITUTE(SUBSTITUTE(SUBSTITUTE(SUBSTITUTE($E266,CHAR(13)," "),CHAR(10)," "),CHAR(9)," "),CHAR(92),_xlfn.CONCAT(CHAR(92),CHAR(92))),"$",_xlfn.CONCAT(CHAR(92),"$")),CHAR(96),_xlfn.CONCAT(CHAR(92),CHAR(96))),CHAR(34),CHAR(39))))</f>
        <v/>
      </c>
      <c r="P266" s="5" t="str">
        <f>IF(OR(TRIM($B266)="",$F266=""),"",IF(OR(ISNUMBER(SEARCH(_xlfn.CONCAT(CHAR(96),CHAR(34)),$F266)),ISNUMBER(SEARCH(_xlfn.CONCAT(CHAR(34),CHAR(39)),$F266))),_xlfn.CONCAT("* REVIEW REQUIRED: compound-quote delimiter in Units on Sheet 1 row ",266,"; edit the input before running."),_xlfn.CONCAT("char ",TRIM($B266),"[doc_units] ",CHAR(96),CHAR(34),SUBSTITUTE(SUBSTITUTE(SUBSTITUTE(SUBSTITUTE(SUBSTITUTE(SUBSTITUTE($F266,CHAR(13)," "),CHAR(10)," "),CHAR(9)," "),CHAR(92),_xlfn.CONCAT(CHAR(92),CHAR(92))),"$",_xlfn.CONCAT(CHAR(92),"$")),CHAR(96),_xlfn.CONCAT(CHAR(92),CHAR(96))),CHAR(34),CHAR(39))))</f>
        <v/>
      </c>
      <c r="Q266" s="5" t="str">
        <f>IF(OR(TRIM($B266)="",$G266=""),"",IF(OR(ISNUMBER(SEARCH(_xlfn.CONCAT(CHAR(96),CHAR(34)),$G266)),ISNUMBER(SEARCH(_xlfn.CONCAT(CHAR(34),CHAR(39)),$G266))),_xlfn.CONCAT("* REVIEW REQUIRED: compound-quote delimiter in Universe on Sheet 1 row ",266,"; edit the input before running."),_xlfn.CONCAT("char ",TRIM($B266),"[doc_universe] ",CHAR(96),CHAR(34),SUBSTITUTE(SUBSTITUTE(SUBSTITUTE(SUBSTITUTE(SUBSTITUTE(SUBSTITUTE($G266,CHAR(13)," "),CHAR(10)," "),CHAR(9)," "),CHAR(92),_xlfn.CONCAT(CHAR(92),CHAR(92))),"$",_xlfn.CONCAT(CHAR(92),"$")),CHAR(96),_xlfn.CONCAT(CHAR(92),CHAR(96))),CHAR(34),CHAR(39))))</f>
        <v/>
      </c>
      <c r="R266" s="5" t="str">
        <f>IF(OR(TRIM($B266)="",$H266=""),"",IF(OR(ISNUMBER(SEARCH(_xlfn.CONCAT(CHAR(96),CHAR(34)),$H266)),ISNUMBER(SEARCH(_xlfn.CONCAT(CHAR(34),CHAR(39)),$H266))),_xlfn.CONCAT("* REVIEW REQUIRED: compound-quote delimiter in Source on Sheet 1 row ",266,"; edit the input before running."),_xlfn.CONCAT("char ",TRIM($B266),"[doc_source] ",CHAR(96),CHAR(34),SUBSTITUTE(SUBSTITUTE(SUBSTITUTE(SUBSTITUTE(SUBSTITUTE(SUBSTITUTE($H266,CHAR(13)," "),CHAR(10)," "),CHAR(9)," "),CHAR(92),_xlfn.CONCAT(CHAR(92),CHAR(92))),"$",_xlfn.CONCAT(CHAR(92),"$")),CHAR(96),_xlfn.CONCAT(CHAR(92),CHAR(96))),CHAR(34),CHAR(39))))</f>
        <v/>
      </c>
      <c r="S266" s="5" t="str">
        <f>IF(OR(TRIM($B266)="",$I266=""),"",IF(OR(ISNUMBER(SEARCH(_xlfn.CONCAT(CHAR(96),CHAR(34)),$I266)),ISNUMBER(SEARCH(_xlfn.CONCAT(CHAR(34),CHAR(39)),$I266))),_xlfn.CONCAT("* REVIEW REQUIRED: compound-quote delimiter in Derivation on Sheet 1 row ",266,"; edit the input before running."),_xlfn.CONCAT("char ",TRIM($B266),"[doc_derivation] ",CHAR(96),CHAR(34),SUBSTITUTE(SUBSTITUTE(SUBSTITUTE(SUBSTITUTE(SUBSTITUTE(SUBSTITUTE($I266,CHAR(13)," "),CHAR(10)," "),CHAR(9)," "),CHAR(92),_xlfn.CONCAT(CHAR(92),CHAR(92))),"$",_xlfn.CONCAT(CHAR(92),"$")),CHAR(96),_xlfn.CONCAT(CHAR(92),CHAR(96))),CHAR(34),CHAR(39))))</f>
        <v/>
      </c>
      <c r="T266" s="5" t="str">
        <f>IF(OR(TRIM($B266)="",$J266=""),"",IF(OR(ISNUMBER(SEARCH(_xlfn.CONCAT(CHAR(96),CHAR(34)),$J266)),ISNUMBER(SEARCH(_xlfn.CONCAT(CHAR(34),CHAR(39)),$J266))),_xlfn.CONCAT("* REVIEW REQUIRED: compound-quote delimiter in Notes on Sheet 1 row ",266,"; edit the input before running."),_xlfn.CONCAT("char ",TRIM($B266),"[doc_notes] ",CHAR(96),CHAR(34),SUBSTITUTE(SUBSTITUTE(SUBSTITUTE(SUBSTITUTE(SUBSTITUTE(SUBSTITUTE($J266,CHAR(13)," "),CHAR(10)," "),CHAR(9)," "),CHAR(92),_xlfn.CONCAT(CHAR(92),CHAR(92))),"$",_xlfn.CONCAT(CHAR(92),"$")),CHAR(96),_xlfn.CONCAT(CHAR(92),CHAR(96))),CHAR(34),CHAR(39))))</f>
        <v/>
      </c>
      <c r="U266" s="5">
        <f t="shared" si="7"/>
        <v>0</v>
      </c>
    </row>
    <row r="267" spans="3:21" ht="30" customHeight="1" x14ac:dyDescent="0.2">
      <c r="C267" s="4"/>
      <c r="K267" s="5">
        <f t="shared" si="6"/>
        <v>0</v>
      </c>
      <c r="L267" s="5" t="str">
        <f>IF(OR(TRIM($B267)="",$A267=""),"",IF(OR(ISNUMBER(SEARCH(_xlfn.CONCAT(CHAR(96),CHAR(34)),$A267)),ISNUMBER(SEARCH(_xlfn.CONCAT(CHAR(34),CHAR(39)),$A267))),_xlfn.CONCAT("* REVIEW REQUIRED: compound-quote delimiter in Codebook Section on Sheet 1 row ",267,"; edit the input before running."),_xlfn.CONCAT("char ",TRIM($B267),"[doc_section] ",CHAR(96),CHAR(34),SUBSTITUTE(SUBSTITUTE(SUBSTITUTE(SUBSTITUTE(SUBSTITUTE(SUBSTITUTE($A267,CHAR(13)," "),CHAR(10)," "),CHAR(9)," "),CHAR(92),_xlfn.CONCAT(CHAR(92),CHAR(92))),"$",_xlfn.CONCAT(CHAR(92),"$")),CHAR(96),_xlfn.CONCAT(CHAR(92),CHAR(96))),CHAR(34),CHAR(39))))</f>
        <v/>
      </c>
      <c r="M267" s="5" t="str">
        <f>IF(OR(TRIM($B267)="",$C267=""),"",IF(IFERROR(MATCH(TRIM($C267),{"Quantitative","Continuous","Discrete","Categorical","Nominal","Ordinal","Identifier"},0),0)=0,_xlfn.CONCAT("* REVIEW REQUIRED: invalid Variable Type on Sheet 1 row ",267,"."),_xlfn.CONCAT("char ",TRIM($B267),"[doc_vartype] ",CHAR(96),CHAR(34),SUBSTITUTE(SUBSTITUTE(SUBSTITUTE(SUBSTITUTE(SUBSTITUTE(SUBSTITUTE(LOWER(TRIM($C267)),CHAR(13)," "),CHAR(10)," "),CHAR(9)," "),CHAR(92),_xlfn.CONCAT(CHAR(92),CHAR(92))),"$",_xlfn.CONCAT(CHAR(92),"$")),CHAR(96),_xlfn.CONCAT(CHAR(92),CHAR(96))),CHAR(34),CHAR(39))))</f>
        <v/>
      </c>
      <c r="N267" s="5" t="str">
        <f>IF(OR(TRIM($B267)="",$D267=""),"",IF(OR(ISNUMBER(SEARCH(_xlfn.CONCAT(CHAR(96),CHAR(34)),$D267)),ISNUMBER(SEARCH(_xlfn.CONCAT(CHAR(34),CHAR(39)),$D267))),_xlfn.CONCAT("* REVIEW REQUIRED: compound-quote delimiter in Item Number on Sheet 1 row ",267,"; edit the input before running."),_xlfn.CONCAT("char ",TRIM($B267),"[doc_itemnum] ",CHAR(96),CHAR(34),SUBSTITUTE(SUBSTITUTE(SUBSTITUTE(SUBSTITUTE(SUBSTITUTE(SUBSTITUTE($D267,CHAR(13)," "),CHAR(10)," "),CHAR(9)," "),CHAR(92),_xlfn.CONCAT(CHAR(92),CHAR(92))),"$",_xlfn.CONCAT(CHAR(92),"$")),CHAR(96),_xlfn.CONCAT(CHAR(92),CHAR(96))),CHAR(34),CHAR(39))))</f>
        <v/>
      </c>
      <c r="O267" s="5" t="str">
        <f>IF(OR(TRIM($B267)="",$E267=""),"",IF(OR(ISNUMBER(SEARCH(_xlfn.CONCAT(CHAR(96),CHAR(34)),$E267)),ISNUMBER(SEARCH(_xlfn.CONCAT(CHAR(34),CHAR(39)),$E267))),_xlfn.CONCAT("* REVIEW REQUIRED: compound-quote delimiter in Question Wording on Sheet 1 row ",267,"; edit the input before running."),_xlfn.CONCAT("char ",TRIM($B267),"[doc_question] ",CHAR(96),CHAR(34),SUBSTITUTE(SUBSTITUTE(SUBSTITUTE(SUBSTITUTE(SUBSTITUTE(SUBSTITUTE($E267,CHAR(13)," "),CHAR(10)," "),CHAR(9)," "),CHAR(92),_xlfn.CONCAT(CHAR(92),CHAR(92))),"$",_xlfn.CONCAT(CHAR(92),"$")),CHAR(96),_xlfn.CONCAT(CHAR(92),CHAR(96))),CHAR(34),CHAR(39))))</f>
        <v/>
      </c>
      <c r="P267" s="5" t="str">
        <f>IF(OR(TRIM($B267)="",$F267=""),"",IF(OR(ISNUMBER(SEARCH(_xlfn.CONCAT(CHAR(96),CHAR(34)),$F267)),ISNUMBER(SEARCH(_xlfn.CONCAT(CHAR(34),CHAR(39)),$F267))),_xlfn.CONCAT("* REVIEW REQUIRED: compound-quote delimiter in Units on Sheet 1 row ",267,"; edit the input before running."),_xlfn.CONCAT("char ",TRIM($B267),"[doc_units] ",CHAR(96),CHAR(34),SUBSTITUTE(SUBSTITUTE(SUBSTITUTE(SUBSTITUTE(SUBSTITUTE(SUBSTITUTE($F267,CHAR(13)," "),CHAR(10)," "),CHAR(9)," "),CHAR(92),_xlfn.CONCAT(CHAR(92),CHAR(92))),"$",_xlfn.CONCAT(CHAR(92),"$")),CHAR(96),_xlfn.CONCAT(CHAR(92),CHAR(96))),CHAR(34),CHAR(39))))</f>
        <v/>
      </c>
      <c r="Q267" s="5" t="str">
        <f>IF(OR(TRIM($B267)="",$G267=""),"",IF(OR(ISNUMBER(SEARCH(_xlfn.CONCAT(CHAR(96),CHAR(34)),$G267)),ISNUMBER(SEARCH(_xlfn.CONCAT(CHAR(34),CHAR(39)),$G267))),_xlfn.CONCAT("* REVIEW REQUIRED: compound-quote delimiter in Universe on Sheet 1 row ",267,"; edit the input before running."),_xlfn.CONCAT("char ",TRIM($B267),"[doc_universe] ",CHAR(96),CHAR(34),SUBSTITUTE(SUBSTITUTE(SUBSTITUTE(SUBSTITUTE(SUBSTITUTE(SUBSTITUTE($G267,CHAR(13)," "),CHAR(10)," "),CHAR(9)," "),CHAR(92),_xlfn.CONCAT(CHAR(92),CHAR(92))),"$",_xlfn.CONCAT(CHAR(92),"$")),CHAR(96),_xlfn.CONCAT(CHAR(92),CHAR(96))),CHAR(34),CHAR(39))))</f>
        <v/>
      </c>
      <c r="R267" s="5" t="str">
        <f>IF(OR(TRIM($B267)="",$H267=""),"",IF(OR(ISNUMBER(SEARCH(_xlfn.CONCAT(CHAR(96),CHAR(34)),$H267)),ISNUMBER(SEARCH(_xlfn.CONCAT(CHAR(34),CHAR(39)),$H267))),_xlfn.CONCAT("* REVIEW REQUIRED: compound-quote delimiter in Source on Sheet 1 row ",267,"; edit the input before running."),_xlfn.CONCAT("char ",TRIM($B267),"[doc_source] ",CHAR(96),CHAR(34),SUBSTITUTE(SUBSTITUTE(SUBSTITUTE(SUBSTITUTE(SUBSTITUTE(SUBSTITUTE($H267,CHAR(13)," "),CHAR(10)," "),CHAR(9)," "),CHAR(92),_xlfn.CONCAT(CHAR(92),CHAR(92))),"$",_xlfn.CONCAT(CHAR(92),"$")),CHAR(96),_xlfn.CONCAT(CHAR(92),CHAR(96))),CHAR(34),CHAR(39))))</f>
        <v/>
      </c>
      <c r="S267" s="5" t="str">
        <f>IF(OR(TRIM($B267)="",$I267=""),"",IF(OR(ISNUMBER(SEARCH(_xlfn.CONCAT(CHAR(96),CHAR(34)),$I267)),ISNUMBER(SEARCH(_xlfn.CONCAT(CHAR(34),CHAR(39)),$I267))),_xlfn.CONCAT("* REVIEW REQUIRED: compound-quote delimiter in Derivation on Sheet 1 row ",267,"; edit the input before running."),_xlfn.CONCAT("char ",TRIM($B267),"[doc_derivation] ",CHAR(96),CHAR(34),SUBSTITUTE(SUBSTITUTE(SUBSTITUTE(SUBSTITUTE(SUBSTITUTE(SUBSTITUTE($I267,CHAR(13)," "),CHAR(10)," "),CHAR(9)," "),CHAR(92),_xlfn.CONCAT(CHAR(92),CHAR(92))),"$",_xlfn.CONCAT(CHAR(92),"$")),CHAR(96),_xlfn.CONCAT(CHAR(92),CHAR(96))),CHAR(34),CHAR(39))))</f>
        <v/>
      </c>
      <c r="T267" s="5" t="str">
        <f>IF(OR(TRIM($B267)="",$J267=""),"",IF(OR(ISNUMBER(SEARCH(_xlfn.CONCAT(CHAR(96),CHAR(34)),$J267)),ISNUMBER(SEARCH(_xlfn.CONCAT(CHAR(34),CHAR(39)),$J267))),_xlfn.CONCAT("* REVIEW REQUIRED: compound-quote delimiter in Notes on Sheet 1 row ",267,"; edit the input before running."),_xlfn.CONCAT("char ",TRIM($B267),"[doc_notes] ",CHAR(96),CHAR(34),SUBSTITUTE(SUBSTITUTE(SUBSTITUTE(SUBSTITUTE(SUBSTITUTE(SUBSTITUTE($J267,CHAR(13)," "),CHAR(10)," "),CHAR(9)," "),CHAR(92),_xlfn.CONCAT(CHAR(92),CHAR(92))),"$",_xlfn.CONCAT(CHAR(92),"$")),CHAR(96),_xlfn.CONCAT(CHAR(92),CHAR(96))),CHAR(34),CHAR(39))))</f>
        <v/>
      </c>
      <c r="U267" s="5">
        <f t="shared" si="7"/>
        <v>0</v>
      </c>
    </row>
    <row r="268" spans="3:21" ht="30" customHeight="1" x14ac:dyDescent="0.2">
      <c r="C268" s="4"/>
      <c r="K268" s="5">
        <f t="shared" si="6"/>
        <v>0</v>
      </c>
      <c r="L268" s="5" t="str">
        <f>IF(OR(TRIM($B268)="",$A268=""),"",IF(OR(ISNUMBER(SEARCH(_xlfn.CONCAT(CHAR(96),CHAR(34)),$A268)),ISNUMBER(SEARCH(_xlfn.CONCAT(CHAR(34),CHAR(39)),$A268))),_xlfn.CONCAT("* REVIEW REQUIRED: compound-quote delimiter in Codebook Section on Sheet 1 row ",268,"; edit the input before running."),_xlfn.CONCAT("char ",TRIM($B268),"[doc_section] ",CHAR(96),CHAR(34),SUBSTITUTE(SUBSTITUTE(SUBSTITUTE(SUBSTITUTE(SUBSTITUTE(SUBSTITUTE($A268,CHAR(13)," "),CHAR(10)," "),CHAR(9)," "),CHAR(92),_xlfn.CONCAT(CHAR(92),CHAR(92))),"$",_xlfn.CONCAT(CHAR(92),"$")),CHAR(96),_xlfn.CONCAT(CHAR(92),CHAR(96))),CHAR(34),CHAR(39))))</f>
        <v/>
      </c>
      <c r="M268" s="5" t="str">
        <f>IF(OR(TRIM($B268)="",$C268=""),"",IF(IFERROR(MATCH(TRIM($C268),{"Quantitative","Continuous","Discrete","Categorical","Nominal","Ordinal","Identifier"},0),0)=0,_xlfn.CONCAT("* REVIEW REQUIRED: invalid Variable Type on Sheet 1 row ",268,"."),_xlfn.CONCAT("char ",TRIM($B268),"[doc_vartype] ",CHAR(96),CHAR(34),SUBSTITUTE(SUBSTITUTE(SUBSTITUTE(SUBSTITUTE(SUBSTITUTE(SUBSTITUTE(LOWER(TRIM($C268)),CHAR(13)," "),CHAR(10)," "),CHAR(9)," "),CHAR(92),_xlfn.CONCAT(CHAR(92),CHAR(92))),"$",_xlfn.CONCAT(CHAR(92),"$")),CHAR(96),_xlfn.CONCAT(CHAR(92),CHAR(96))),CHAR(34),CHAR(39))))</f>
        <v/>
      </c>
      <c r="N268" s="5" t="str">
        <f>IF(OR(TRIM($B268)="",$D268=""),"",IF(OR(ISNUMBER(SEARCH(_xlfn.CONCAT(CHAR(96),CHAR(34)),$D268)),ISNUMBER(SEARCH(_xlfn.CONCAT(CHAR(34),CHAR(39)),$D268))),_xlfn.CONCAT("* REVIEW REQUIRED: compound-quote delimiter in Item Number on Sheet 1 row ",268,"; edit the input before running."),_xlfn.CONCAT("char ",TRIM($B268),"[doc_itemnum] ",CHAR(96),CHAR(34),SUBSTITUTE(SUBSTITUTE(SUBSTITUTE(SUBSTITUTE(SUBSTITUTE(SUBSTITUTE($D268,CHAR(13)," "),CHAR(10)," "),CHAR(9)," "),CHAR(92),_xlfn.CONCAT(CHAR(92),CHAR(92))),"$",_xlfn.CONCAT(CHAR(92),"$")),CHAR(96),_xlfn.CONCAT(CHAR(92),CHAR(96))),CHAR(34),CHAR(39))))</f>
        <v/>
      </c>
      <c r="O268" s="5" t="str">
        <f>IF(OR(TRIM($B268)="",$E268=""),"",IF(OR(ISNUMBER(SEARCH(_xlfn.CONCAT(CHAR(96),CHAR(34)),$E268)),ISNUMBER(SEARCH(_xlfn.CONCAT(CHAR(34),CHAR(39)),$E268))),_xlfn.CONCAT("* REVIEW REQUIRED: compound-quote delimiter in Question Wording on Sheet 1 row ",268,"; edit the input before running."),_xlfn.CONCAT("char ",TRIM($B268),"[doc_question] ",CHAR(96),CHAR(34),SUBSTITUTE(SUBSTITUTE(SUBSTITUTE(SUBSTITUTE(SUBSTITUTE(SUBSTITUTE($E268,CHAR(13)," "),CHAR(10)," "),CHAR(9)," "),CHAR(92),_xlfn.CONCAT(CHAR(92),CHAR(92))),"$",_xlfn.CONCAT(CHAR(92),"$")),CHAR(96),_xlfn.CONCAT(CHAR(92),CHAR(96))),CHAR(34),CHAR(39))))</f>
        <v/>
      </c>
      <c r="P268" s="5" t="str">
        <f>IF(OR(TRIM($B268)="",$F268=""),"",IF(OR(ISNUMBER(SEARCH(_xlfn.CONCAT(CHAR(96),CHAR(34)),$F268)),ISNUMBER(SEARCH(_xlfn.CONCAT(CHAR(34),CHAR(39)),$F268))),_xlfn.CONCAT("* REVIEW REQUIRED: compound-quote delimiter in Units on Sheet 1 row ",268,"; edit the input before running."),_xlfn.CONCAT("char ",TRIM($B268),"[doc_units] ",CHAR(96),CHAR(34),SUBSTITUTE(SUBSTITUTE(SUBSTITUTE(SUBSTITUTE(SUBSTITUTE(SUBSTITUTE($F268,CHAR(13)," "),CHAR(10)," "),CHAR(9)," "),CHAR(92),_xlfn.CONCAT(CHAR(92),CHAR(92))),"$",_xlfn.CONCAT(CHAR(92),"$")),CHAR(96),_xlfn.CONCAT(CHAR(92),CHAR(96))),CHAR(34),CHAR(39))))</f>
        <v/>
      </c>
      <c r="Q268" s="5" t="str">
        <f>IF(OR(TRIM($B268)="",$G268=""),"",IF(OR(ISNUMBER(SEARCH(_xlfn.CONCAT(CHAR(96),CHAR(34)),$G268)),ISNUMBER(SEARCH(_xlfn.CONCAT(CHAR(34),CHAR(39)),$G268))),_xlfn.CONCAT("* REVIEW REQUIRED: compound-quote delimiter in Universe on Sheet 1 row ",268,"; edit the input before running."),_xlfn.CONCAT("char ",TRIM($B268),"[doc_universe] ",CHAR(96),CHAR(34),SUBSTITUTE(SUBSTITUTE(SUBSTITUTE(SUBSTITUTE(SUBSTITUTE(SUBSTITUTE($G268,CHAR(13)," "),CHAR(10)," "),CHAR(9)," "),CHAR(92),_xlfn.CONCAT(CHAR(92),CHAR(92))),"$",_xlfn.CONCAT(CHAR(92),"$")),CHAR(96),_xlfn.CONCAT(CHAR(92),CHAR(96))),CHAR(34),CHAR(39))))</f>
        <v/>
      </c>
      <c r="R268" s="5" t="str">
        <f>IF(OR(TRIM($B268)="",$H268=""),"",IF(OR(ISNUMBER(SEARCH(_xlfn.CONCAT(CHAR(96),CHAR(34)),$H268)),ISNUMBER(SEARCH(_xlfn.CONCAT(CHAR(34),CHAR(39)),$H268))),_xlfn.CONCAT("* REVIEW REQUIRED: compound-quote delimiter in Source on Sheet 1 row ",268,"; edit the input before running."),_xlfn.CONCAT("char ",TRIM($B268),"[doc_source] ",CHAR(96),CHAR(34),SUBSTITUTE(SUBSTITUTE(SUBSTITUTE(SUBSTITUTE(SUBSTITUTE(SUBSTITUTE($H268,CHAR(13)," "),CHAR(10)," "),CHAR(9)," "),CHAR(92),_xlfn.CONCAT(CHAR(92),CHAR(92))),"$",_xlfn.CONCAT(CHAR(92),"$")),CHAR(96),_xlfn.CONCAT(CHAR(92),CHAR(96))),CHAR(34),CHAR(39))))</f>
        <v/>
      </c>
      <c r="S268" s="5" t="str">
        <f>IF(OR(TRIM($B268)="",$I268=""),"",IF(OR(ISNUMBER(SEARCH(_xlfn.CONCAT(CHAR(96),CHAR(34)),$I268)),ISNUMBER(SEARCH(_xlfn.CONCAT(CHAR(34),CHAR(39)),$I268))),_xlfn.CONCAT("* REVIEW REQUIRED: compound-quote delimiter in Derivation on Sheet 1 row ",268,"; edit the input before running."),_xlfn.CONCAT("char ",TRIM($B268),"[doc_derivation] ",CHAR(96),CHAR(34),SUBSTITUTE(SUBSTITUTE(SUBSTITUTE(SUBSTITUTE(SUBSTITUTE(SUBSTITUTE($I268,CHAR(13)," "),CHAR(10)," "),CHAR(9)," "),CHAR(92),_xlfn.CONCAT(CHAR(92),CHAR(92))),"$",_xlfn.CONCAT(CHAR(92),"$")),CHAR(96),_xlfn.CONCAT(CHAR(92),CHAR(96))),CHAR(34),CHAR(39))))</f>
        <v/>
      </c>
      <c r="T268" s="5" t="str">
        <f>IF(OR(TRIM($B268)="",$J268=""),"",IF(OR(ISNUMBER(SEARCH(_xlfn.CONCAT(CHAR(96),CHAR(34)),$J268)),ISNUMBER(SEARCH(_xlfn.CONCAT(CHAR(34),CHAR(39)),$J268))),_xlfn.CONCAT("* REVIEW REQUIRED: compound-quote delimiter in Notes on Sheet 1 row ",268,"; edit the input before running."),_xlfn.CONCAT("char ",TRIM($B268),"[doc_notes] ",CHAR(96),CHAR(34),SUBSTITUTE(SUBSTITUTE(SUBSTITUTE(SUBSTITUTE(SUBSTITUTE(SUBSTITUTE($J268,CHAR(13)," "),CHAR(10)," "),CHAR(9)," "),CHAR(92),_xlfn.CONCAT(CHAR(92),CHAR(92))),"$",_xlfn.CONCAT(CHAR(92),"$")),CHAR(96),_xlfn.CONCAT(CHAR(92),CHAR(96))),CHAR(34),CHAR(39))))</f>
        <v/>
      </c>
      <c r="U268" s="5">
        <f t="shared" si="7"/>
        <v>0</v>
      </c>
    </row>
    <row r="269" spans="3:21" ht="30" customHeight="1" x14ac:dyDescent="0.2">
      <c r="C269" s="4"/>
      <c r="K269" s="5">
        <f t="shared" si="6"/>
        <v>0</v>
      </c>
      <c r="L269" s="5" t="str">
        <f>IF(OR(TRIM($B269)="",$A269=""),"",IF(OR(ISNUMBER(SEARCH(_xlfn.CONCAT(CHAR(96),CHAR(34)),$A269)),ISNUMBER(SEARCH(_xlfn.CONCAT(CHAR(34),CHAR(39)),$A269))),_xlfn.CONCAT("* REVIEW REQUIRED: compound-quote delimiter in Codebook Section on Sheet 1 row ",269,"; edit the input before running."),_xlfn.CONCAT("char ",TRIM($B269),"[doc_section] ",CHAR(96),CHAR(34),SUBSTITUTE(SUBSTITUTE(SUBSTITUTE(SUBSTITUTE(SUBSTITUTE(SUBSTITUTE($A269,CHAR(13)," "),CHAR(10)," "),CHAR(9)," "),CHAR(92),_xlfn.CONCAT(CHAR(92),CHAR(92))),"$",_xlfn.CONCAT(CHAR(92),"$")),CHAR(96),_xlfn.CONCAT(CHAR(92),CHAR(96))),CHAR(34),CHAR(39))))</f>
        <v/>
      </c>
      <c r="M269" s="5" t="str">
        <f>IF(OR(TRIM($B269)="",$C269=""),"",IF(IFERROR(MATCH(TRIM($C269),{"Quantitative","Continuous","Discrete","Categorical","Nominal","Ordinal","Identifier"},0),0)=0,_xlfn.CONCAT("* REVIEW REQUIRED: invalid Variable Type on Sheet 1 row ",269,"."),_xlfn.CONCAT("char ",TRIM($B269),"[doc_vartype] ",CHAR(96),CHAR(34),SUBSTITUTE(SUBSTITUTE(SUBSTITUTE(SUBSTITUTE(SUBSTITUTE(SUBSTITUTE(LOWER(TRIM($C269)),CHAR(13)," "),CHAR(10)," "),CHAR(9)," "),CHAR(92),_xlfn.CONCAT(CHAR(92),CHAR(92))),"$",_xlfn.CONCAT(CHAR(92),"$")),CHAR(96),_xlfn.CONCAT(CHAR(92),CHAR(96))),CHAR(34),CHAR(39))))</f>
        <v/>
      </c>
      <c r="N269" s="5" t="str">
        <f>IF(OR(TRIM($B269)="",$D269=""),"",IF(OR(ISNUMBER(SEARCH(_xlfn.CONCAT(CHAR(96),CHAR(34)),$D269)),ISNUMBER(SEARCH(_xlfn.CONCAT(CHAR(34),CHAR(39)),$D269))),_xlfn.CONCAT("* REVIEW REQUIRED: compound-quote delimiter in Item Number on Sheet 1 row ",269,"; edit the input before running."),_xlfn.CONCAT("char ",TRIM($B269),"[doc_itemnum] ",CHAR(96),CHAR(34),SUBSTITUTE(SUBSTITUTE(SUBSTITUTE(SUBSTITUTE(SUBSTITUTE(SUBSTITUTE($D269,CHAR(13)," "),CHAR(10)," "),CHAR(9)," "),CHAR(92),_xlfn.CONCAT(CHAR(92),CHAR(92))),"$",_xlfn.CONCAT(CHAR(92),"$")),CHAR(96),_xlfn.CONCAT(CHAR(92),CHAR(96))),CHAR(34),CHAR(39))))</f>
        <v/>
      </c>
      <c r="O269" s="5" t="str">
        <f>IF(OR(TRIM($B269)="",$E269=""),"",IF(OR(ISNUMBER(SEARCH(_xlfn.CONCAT(CHAR(96),CHAR(34)),$E269)),ISNUMBER(SEARCH(_xlfn.CONCAT(CHAR(34),CHAR(39)),$E269))),_xlfn.CONCAT("* REVIEW REQUIRED: compound-quote delimiter in Question Wording on Sheet 1 row ",269,"; edit the input before running."),_xlfn.CONCAT("char ",TRIM($B269),"[doc_question] ",CHAR(96),CHAR(34),SUBSTITUTE(SUBSTITUTE(SUBSTITUTE(SUBSTITUTE(SUBSTITUTE(SUBSTITUTE($E269,CHAR(13)," "),CHAR(10)," "),CHAR(9)," "),CHAR(92),_xlfn.CONCAT(CHAR(92),CHAR(92))),"$",_xlfn.CONCAT(CHAR(92),"$")),CHAR(96),_xlfn.CONCAT(CHAR(92),CHAR(96))),CHAR(34),CHAR(39))))</f>
        <v/>
      </c>
      <c r="P269" s="5" t="str">
        <f>IF(OR(TRIM($B269)="",$F269=""),"",IF(OR(ISNUMBER(SEARCH(_xlfn.CONCAT(CHAR(96),CHAR(34)),$F269)),ISNUMBER(SEARCH(_xlfn.CONCAT(CHAR(34),CHAR(39)),$F269))),_xlfn.CONCAT("* REVIEW REQUIRED: compound-quote delimiter in Units on Sheet 1 row ",269,"; edit the input before running."),_xlfn.CONCAT("char ",TRIM($B269),"[doc_units] ",CHAR(96),CHAR(34),SUBSTITUTE(SUBSTITUTE(SUBSTITUTE(SUBSTITUTE(SUBSTITUTE(SUBSTITUTE($F269,CHAR(13)," "),CHAR(10)," "),CHAR(9)," "),CHAR(92),_xlfn.CONCAT(CHAR(92),CHAR(92))),"$",_xlfn.CONCAT(CHAR(92),"$")),CHAR(96),_xlfn.CONCAT(CHAR(92),CHAR(96))),CHAR(34),CHAR(39))))</f>
        <v/>
      </c>
      <c r="Q269" s="5" t="str">
        <f>IF(OR(TRIM($B269)="",$G269=""),"",IF(OR(ISNUMBER(SEARCH(_xlfn.CONCAT(CHAR(96),CHAR(34)),$G269)),ISNUMBER(SEARCH(_xlfn.CONCAT(CHAR(34),CHAR(39)),$G269))),_xlfn.CONCAT("* REVIEW REQUIRED: compound-quote delimiter in Universe on Sheet 1 row ",269,"; edit the input before running."),_xlfn.CONCAT("char ",TRIM($B269),"[doc_universe] ",CHAR(96),CHAR(34),SUBSTITUTE(SUBSTITUTE(SUBSTITUTE(SUBSTITUTE(SUBSTITUTE(SUBSTITUTE($G269,CHAR(13)," "),CHAR(10)," "),CHAR(9)," "),CHAR(92),_xlfn.CONCAT(CHAR(92),CHAR(92))),"$",_xlfn.CONCAT(CHAR(92),"$")),CHAR(96),_xlfn.CONCAT(CHAR(92),CHAR(96))),CHAR(34),CHAR(39))))</f>
        <v/>
      </c>
      <c r="R269" s="5" t="str">
        <f>IF(OR(TRIM($B269)="",$H269=""),"",IF(OR(ISNUMBER(SEARCH(_xlfn.CONCAT(CHAR(96),CHAR(34)),$H269)),ISNUMBER(SEARCH(_xlfn.CONCAT(CHAR(34),CHAR(39)),$H269))),_xlfn.CONCAT("* REVIEW REQUIRED: compound-quote delimiter in Source on Sheet 1 row ",269,"; edit the input before running."),_xlfn.CONCAT("char ",TRIM($B269),"[doc_source] ",CHAR(96),CHAR(34),SUBSTITUTE(SUBSTITUTE(SUBSTITUTE(SUBSTITUTE(SUBSTITUTE(SUBSTITUTE($H269,CHAR(13)," "),CHAR(10)," "),CHAR(9)," "),CHAR(92),_xlfn.CONCAT(CHAR(92),CHAR(92))),"$",_xlfn.CONCAT(CHAR(92),"$")),CHAR(96),_xlfn.CONCAT(CHAR(92),CHAR(96))),CHAR(34),CHAR(39))))</f>
        <v/>
      </c>
      <c r="S269" s="5" t="str">
        <f>IF(OR(TRIM($B269)="",$I269=""),"",IF(OR(ISNUMBER(SEARCH(_xlfn.CONCAT(CHAR(96),CHAR(34)),$I269)),ISNUMBER(SEARCH(_xlfn.CONCAT(CHAR(34),CHAR(39)),$I269))),_xlfn.CONCAT("* REVIEW REQUIRED: compound-quote delimiter in Derivation on Sheet 1 row ",269,"; edit the input before running."),_xlfn.CONCAT("char ",TRIM($B269),"[doc_derivation] ",CHAR(96),CHAR(34),SUBSTITUTE(SUBSTITUTE(SUBSTITUTE(SUBSTITUTE(SUBSTITUTE(SUBSTITUTE($I269,CHAR(13)," "),CHAR(10)," "),CHAR(9)," "),CHAR(92),_xlfn.CONCAT(CHAR(92),CHAR(92))),"$",_xlfn.CONCAT(CHAR(92),"$")),CHAR(96),_xlfn.CONCAT(CHAR(92),CHAR(96))),CHAR(34),CHAR(39))))</f>
        <v/>
      </c>
      <c r="T269" s="5" t="str">
        <f>IF(OR(TRIM($B269)="",$J269=""),"",IF(OR(ISNUMBER(SEARCH(_xlfn.CONCAT(CHAR(96),CHAR(34)),$J269)),ISNUMBER(SEARCH(_xlfn.CONCAT(CHAR(34),CHAR(39)),$J269))),_xlfn.CONCAT("* REVIEW REQUIRED: compound-quote delimiter in Notes on Sheet 1 row ",269,"; edit the input before running."),_xlfn.CONCAT("char ",TRIM($B269),"[doc_notes] ",CHAR(96),CHAR(34),SUBSTITUTE(SUBSTITUTE(SUBSTITUTE(SUBSTITUTE(SUBSTITUTE(SUBSTITUTE($J269,CHAR(13)," "),CHAR(10)," "),CHAR(9)," "),CHAR(92),_xlfn.CONCAT(CHAR(92),CHAR(92))),"$",_xlfn.CONCAT(CHAR(92),"$")),CHAR(96),_xlfn.CONCAT(CHAR(92),CHAR(96))),CHAR(34),CHAR(39))))</f>
        <v/>
      </c>
      <c r="U269" s="5">
        <f t="shared" si="7"/>
        <v>0</v>
      </c>
    </row>
    <row r="270" spans="3:21" ht="30" customHeight="1" x14ac:dyDescent="0.2">
      <c r="C270" s="4"/>
      <c r="K270" s="5">
        <f t="shared" si="6"/>
        <v>0</v>
      </c>
      <c r="L270" s="5" t="str">
        <f>IF(OR(TRIM($B270)="",$A270=""),"",IF(OR(ISNUMBER(SEARCH(_xlfn.CONCAT(CHAR(96),CHAR(34)),$A270)),ISNUMBER(SEARCH(_xlfn.CONCAT(CHAR(34),CHAR(39)),$A270))),_xlfn.CONCAT("* REVIEW REQUIRED: compound-quote delimiter in Codebook Section on Sheet 1 row ",270,"; edit the input before running."),_xlfn.CONCAT("char ",TRIM($B270),"[doc_section] ",CHAR(96),CHAR(34),SUBSTITUTE(SUBSTITUTE(SUBSTITUTE(SUBSTITUTE(SUBSTITUTE(SUBSTITUTE($A270,CHAR(13)," "),CHAR(10)," "),CHAR(9)," "),CHAR(92),_xlfn.CONCAT(CHAR(92),CHAR(92))),"$",_xlfn.CONCAT(CHAR(92),"$")),CHAR(96),_xlfn.CONCAT(CHAR(92),CHAR(96))),CHAR(34),CHAR(39))))</f>
        <v/>
      </c>
      <c r="M270" s="5" t="str">
        <f>IF(OR(TRIM($B270)="",$C270=""),"",IF(IFERROR(MATCH(TRIM($C270),{"Quantitative","Continuous","Discrete","Categorical","Nominal","Ordinal","Identifier"},0),0)=0,_xlfn.CONCAT("* REVIEW REQUIRED: invalid Variable Type on Sheet 1 row ",270,"."),_xlfn.CONCAT("char ",TRIM($B270),"[doc_vartype] ",CHAR(96),CHAR(34),SUBSTITUTE(SUBSTITUTE(SUBSTITUTE(SUBSTITUTE(SUBSTITUTE(SUBSTITUTE(LOWER(TRIM($C270)),CHAR(13)," "),CHAR(10)," "),CHAR(9)," "),CHAR(92),_xlfn.CONCAT(CHAR(92),CHAR(92))),"$",_xlfn.CONCAT(CHAR(92),"$")),CHAR(96),_xlfn.CONCAT(CHAR(92),CHAR(96))),CHAR(34),CHAR(39))))</f>
        <v/>
      </c>
      <c r="N270" s="5" t="str">
        <f>IF(OR(TRIM($B270)="",$D270=""),"",IF(OR(ISNUMBER(SEARCH(_xlfn.CONCAT(CHAR(96),CHAR(34)),$D270)),ISNUMBER(SEARCH(_xlfn.CONCAT(CHAR(34),CHAR(39)),$D270))),_xlfn.CONCAT("* REVIEW REQUIRED: compound-quote delimiter in Item Number on Sheet 1 row ",270,"; edit the input before running."),_xlfn.CONCAT("char ",TRIM($B270),"[doc_itemnum] ",CHAR(96),CHAR(34),SUBSTITUTE(SUBSTITUTE(SUBSTITUTE(SUBSTITUTE(SUBSTITUTE(SUBSTITUTE($D270,CHAR(13)," "),CHAR(10)," "),CHAR(9)," "),CHAR(92),_xlfn.CONCAT(CHAR(92),CHAR(92))),"$",_xlfn.CONCAT(CHAR(92),"$")),CHAR(96),_xlfn.CONCAT(CHAR(92),CHAR(96))),CHAR(34),CHAR(39))))</f>
        <v/>
      </c>
      <c r="O270" s="5" t="str">
        <f>IF(OR(TRIM($B270)="",$E270=""),"",IF(OR(ISNUMBER(SEARCH(_xlfn.CONCAT(CHAR(96),CHAR(34)),$E270)),ISNUMBER(SEARCH(_xlfn.CONCAT(CHAR(34),CHAR(39)),$E270))),_xlfn.CONCAT("* REVIEW REQUIRED: compound-quote delimiter in Question Wording on Sheet 1 row ",270,"; edit the input before running."),_xlfn.CONCAT("char ",TRIM($B270),"[doc_question] ",CHAR(96),CHAR(34),SUBSTITUTE(SUBSTITUTE(SUBSTITUTE(SUBSTITUTE(SUBSTITUTE(SUBSTITUTE($E270,CHAR(13)," "),CHAR(10)," "),CHAR(9)," "),CHAR(92),_xlfn.CONCAT(CHAR(92),CHAR(92))),"$",_xlfn.CONCAT(CHAR(92),"$")),CHAR(96),_xlfn.CONCAT(CHAR(92),CHAR(96))),CHAR(34),CHAR(39))))</f>
        <v/>
      </c>
      <c r="P270" s="5" t="str">
        <f>IF(OR(TRIM($B270)="",$F270=""),"",IF(OR(ISNUMBER(SEARCH(_xlfn.CONCAT(CHAR(96),CHAR(34)),$F270)),ISNUMBER(SEARCH(_xlfn.CONCAT(CHAR(34),CHAR(39)),$F270))),_xlfn.CONCAT("* REVIEW REQUIRED: compound-quote delimiter in Units on Sheet 1 row ",270,"; edit the input before running."),_xlfn.CONCAT("char ",TRIM($B270),"[doc_units] ",CHAR(96),CHAR(34),SUBSTITUTE(SUBSTITUTE(SUBSTITUTE(SUBSTITUTE(SUBSTITUTE(SUBSTITUTE($F270,CHAR(13)," "),CHAR(10)," "),CHAR(9)," "),CHAR(92),_xlfn.CONCAT(CHAR(92),CHAR(92))),"$",_xlfn.CONCAT(CHAR(92),"$")),CHAR(96),_xlfn.CONCAT(CHAR(92),CHAR(96))),CHAR(34),CHAR(39))))</f>
        <v/>
      </c>
      <c r="Q270" s="5" t="str">
        <f>IF(OR(TRIM($B270)="",$G270=""),"",IF(OR(ISNUMBER(SEARCH(_xlfn.CONCAT(CHAR(96),CHAR(34)),$G270)),ISNUMBER(SEARCH(_xlfn.CONCAT(CHAR(34),CHAR(39)),$G270))),_xlfn.CONCAT("* REVIEW REQUIRED: compound-quote delimiter in Universe on Sheet 1 row ",270,"; edit the input before running."),_xlfn.CONCAT("char ",TRIM($B270),"[doc_universe] ",CHAR(96),CHAR(34),SUBSTITUTE(SUBSTITUTE(SUBSTITUTE(SUBSTITUTE(SUBSTITUTE(SUBSTITUTE($G270,CHAR(13)," "),CHAR(10)," "),CHAR(9)," "),CHAR(92),_xlfn.CONCAT(CHAR(92),CHAR(92))),"$",_xlfn.CONCAT(CHAR(92),"$")),CHAR(96),_xlfn.CONCAT(CHAR(92),CHAR(96))),CHAR(34),CHAR(39))))</f>
        <v/>
      </c>
      <c r="R270" s="5" t="str">
        <f>IF(OR(TRIM($B270)="",$H270=""),"",IF(OR(ISNUMBER(SEARCH(_xlfn.CONCAT(CHAR(96),CHAR(34)),$H270)),ISNUMBER(SEARCH(_xlfn.CONCAT(CHAR(34),CHAR(39)),$H270))),_xlfn.CONCAT("* REVIEW REQUIRED: compound-quote delimiter in Source on Sheet 1 row ",270,"; edit the input before running."),_xlfn.CONCAT("char ",TRIM($B270),"[doc_source] ",CHAR(96),CHAR(34),SUBSTITUTE(SUBSTITUTE(SUBSTITUTE(SUBSTITUTE(SUBSTITUTE(SUBSTITUTE($H270,CHAR(13)," "),CHAR(10)," "),CHAR(9)," "),CHAR(92),_xlfn.CONCAT(CHAR(92),CHAR(92))),"$",_xlfn.CONCAT(CHAR(92),"$")),CHAR(96),_xlfn.CONCAT(CHAR(92),CHAR(96))),CHAR(34),CHAR(39))))</f>
        <v/>
      </c>
      <c r="S270" s="5" t="str">
        <f>IF(OR(TRIM($B270)="",$I270=""),"",IF(OR(ISNUMBER(SEARCH(_xlfn.CONCAT(CHAR(96),CHAR(34)),$I270)),ISNUMBER(SEARCH(_xlfn.CONCAT(CHAR(34),CHAR(39)),$I270))),_xlfn.CONCAT("* REVIEW REQUIRED: compound-quote delimiter in Derivation on Sheet 1 row ",270,"; edit the input before running."),_xlfn.CONCAT("char ",TRIM($B270),"[doc_derivation] ",CHAR(96),CHAR(34),SUBSTITUTE(SUBSTITUTE(SUBSTITUTE(SUBSTITUTE(SUBSTITUTE(SUBSTITUTE($I270,CHAR(13)," "),CHAR(10)," "),CHAR(9)," "),CHAR(92),_xlfn.CONCAT(CHAR(92),CHAR(92))),"$",_xlfn.CONCAT(CHAR(92),"$")),CHAR(96),_xlfn.CONCAT(CHAR(92),CHAR(96))),CHAR(34),CHAR(39))))</f>
        <v/>
      </c>
      <c r="T270" s="5" t="str">
        <f>IF(OR(TRIM($B270)="",$J270=""),"",IF(OR(ISNUMBER(SEARCH(_xlfn.CONCAT(CHAR(96),CHAR(34)),$J270)),ISNUMBER(SEARCH(_xlfn.CONCAT(CHAR(34),CHAR(39)),$J270))),_xlfn.CONCAT("* REVIEW REQUIRED: compound-quote delimiter in Notes on Sheet 1 row ",270,"; edit the input before running."),_xlfn.CONCAT("char ",TRIM($B270),"[doc_notes] ",CHAR(96),CHAR(34),SUBSTITUTE(SUBSTITUTE(SUBSTITUTE(SUBSTITUTE(SUBSTITUTE(SUBSTITUTE($J270,CHAR(13)," "),CHAR(10)," "),CHAR(9)," "),CHAR(92),_xlfn.CONCAT(CHAR(92),CHAR(92))),"$",_xlfn.CONCAT(CHAR(92),"$")),CHAR(96),_xlfn.CONCAT(CHAR(92),CHAR(96))),CHAR(34),CHAR(39))))</f>
        <v/>
      </c>
      <c r="U270" s="5">
        <f t="shared" si="7"/>
        <v>0</v>
      </c>
    </row>
    <row r="271" spans="3:21" ht="30" customHeight="1" x14ac:dyDescent="0.2">
      <c r="C271" s="4"/>
      <c r="K271" s="5">
        <f t="shared" si="6"/>
        <v>0</v>
      </c>
      <c r="L271" s="5" t="str">
        <f>IF(OR(TRIM($B271)="",$A271=""),"",IF(OR(ISNUMBER(SEARCH(_xlfn.CONCAT(CHAR(96),CHAR(34)),$A271)),ISNUMBER(SEARCH(_xlfn.CONCAT(CHAR(34),CHAR(39)),$A271))),_xlfn.CONCAT("* REVIEW REQUIRED: compound-quote delimiter in Codebook Section on Sheet 1 row ",271,"; edit the input before running."),_xlfn.CONCAT("char ",TRIM($B271),"[doc_section] ",CHAR(96),CHAR(34),SUBSTITUTE(SUBSTITUTE(SUBSTITUTE(SUBSTITUTE(SUBSTITUTE(SUBSTITUTE($A271,CHAR(13)," "),CHAR(10)," "),CHAR(9)," "),CHAR(92),_xlfn.CONCAT(CHAR(92),CHAR(92))),"$",_xlfn.CONCAT(CHAR(92),"$")),CHAR(96),_xlfn.CONCAT(CHAR(92),CHAR(96))),CHAR(34),CHAR(39))))</f>
        <v/>
      </c>
      <c r="M271" s="5" t="str">
        <f>IF(OR(TRIM($B271)="",$C271=""),"",IF(IFERROR(MATCH(TRIM($C271),{"Quantitative","Continuous","Discrete","Categorical","Nominal","Ordinal","Identifier"},0),0)=0,_xlfn.CONCAT("* REVIEW REQUIRED: invalid Variable Type on Sheet 1 row ",271,"."),_xlfn.CONCAT("char ",TRIM($B271),"[doc_vartype] ",CHAR(96),CHAR(34),SUBSTITUTE(SUBSTITUTE(SUBSTITUTE(SUBSTITUTE(SUBSTITUTE(SUBSTITUTE(LOWER(TRIM($C271)),CHAR(13)," "),CHAR(10)," "),CHAR(9)," "),CHAR(92),_xlfn.CONCAT(CHAR(92),CHAR(92))),"$",_xlfn.CONCAT(CHAR(92),"$")),CHAR(96),_xlfn.CONCAT(CHAR(92),CHAR(96))),CHAR(34),CHAR(39))))</f>
        <v/>
      </c>
      <c r="N271" s="5" t="str">
        <f>IF(OR(TRIM($B271)="",$D271=""),"",IF(OR(ISNUMBER(SEARCH(_xlfn.CONCAT(CHAR(96),CHAR(34)),$D271)),ISNUMBER(SEARCH(_xlfn.CONCAT(CHAR(34),CHAR(39)),$D271))),_xlfn.CONCAT("* REVIEW REQUIRED: compound-quote delimiter in Item Number on Sheet 1 row ",271,"; edit the input before running."),_xlfn.CONCAT("char ",TRIM($B271),"[doc_itemnum] ",CHAR(96),CHAR(34),SUBSTITUTE(SUBSTITUTE(SUBSTITUTE(SUBSTITUTE(SUBSTITUTE(SUBSTITUTE($D271,CHAR(13)," "),CHAR(10)," "),CHAR(9)," "),CHAR(92),_xlfn.CONCAT(CHAR(92),CHAR(92))),"$",_xlfn.CONCAT(CHAR(92),"$")),CHAR(96),_xlfn.CONCAT(CHAR(92),CHAR(96))),CHAR(34),CHAR(39))))</f>
        <v/>
      </c>
      <c r="O271" s="5" t="str">
        <f>IF(OR(TRIM($B271)="",$E271=""),"",IF(OR(ISNUMBER(SEARCH(_xlfn.CONCAT(CHAR(96),CHAR(34)),$E271)),ISNUMBER(SEARCH(_xlfn.CONCAT(CHAR(34),CHAR(39)),$E271))),_xlfn.CONCAT("* REVIEW REQUIRED: compound-quote delimiter in Question Wording on Sheet 1 row ",271,"; edit the input before running."),_xlfn.CONCAT("char ",TRIM($B271),"[doc_question] ",CHAR(96),CHAR(34),SUBSTITUTE(SUBSTITUTE(SUBSTITUTE(SUBSTITUTE(SUBSTITUTE(SUBSTITUTE($E271,CHAR(13)," "),CHAR(10)," "),CHAR(9)," "),CHAR(92),_xlfn.CONCAT(CHAR(92),CHAR(92))),"$",_xlfn.CONCAT(CHAR(92),"$")),CHAR(96),_xlfn.CONCAT(CHAR(92),CHAR(96))),CHAR(34),CHAR(39))))</f>
        <v/>
      </c>
      <c r="P271" s="5" t="str">
        <f>IF(OR(TRIM($B271)="",$F271=""),"",IF(OR(ISNUMBER(SEARCH(_xlfn.CONCAT(CHAR(96),CHAR(34)),$F271)),ISNUMBER(SEARCH(_xlfn.CONCAT(CHAR(34),CHAR(39)),$F271))),_xlfn.CONCAT("* REVIEW REQUIRED: compound-quote delimiter in Units on Sheet 1 row ",271,"; edit the input before running."),_xlfn.CONCAT("char ",TRIM($B271),"[doc_units] ",CHAR(96),CHAR(34),SUBSTITUTE(SUBSTITUTE(SUBSTITUTE(SUBSTITUTE(SUBSTITUTE(SUBSTITUTE($F271,CHAR(13)," "),CHAR(10)," "),CHAR(9)," "),CHAR(92),_xlfn.CONCAT(CHAR(92),CHAR(92))),"$",_xlfn.CONCAT(CHAR(92),"$")),CHAR(96),_xlfn.CONCAT(CHAR(92),CHAR(96))),CHAR(34),CHAR(39))))</f>
        <v/>
      </c>
      <c r="Q271" s="5" t="str">
        <f>IF(OR(TRIM($B271)="",$G271=""),"",IF(OR(ISNUMBER(SEARCH(_xlfn.CONCAT(CHAR(96),CHAR(34)),$G271)),ISNUMBER(SEARCH(_xlfn.CONCAT(CHAR(34),CHAR(39)),$G271))),_xlfn.CONCAT("* REVIEW REQUIRED: compound-quote delimiter in Universe on Sheet 1 row ",271,"; edit the input before running."),_xlfn.CONCAT("char ",TRIM($B271),"[doc_universe] ",CHAR(96),CHAR(34),SUBSTITUTE(SUBSTITUTE(SUBSTITUTE(SUBSTITUTE(SUBSTITUTE(SUBSTITUTE($G271,CHAR(13)," "),CHAR(10)," "),CHAR(9)," "),CHAR(92),_xlfn.CONCAT(CHAR(92),CHAR(92))),"$",_xlfn.CONCAT(CHAR(92),"$")),CHAR(96),_xlfn.CONCAT(CHAR(92),CHAR(96))),CHAR(34),CHAR(39))))</f>
        <v/>
      </c>
      <c r="R271" s="5" t="str">
        <f>IF(OR(TRIM($B271)="",$H271=""),"",IF(OR(ISNUMBER(SEARCH(_xlfn.CONCAT(CHAR(96),CHAR(34)),$H271)),ISNUMBER(SEARCH(_xlfn.CONCAT(CHAR(34),CHAR(39)),$H271))),_xlfn.CONCAT("* REVIEW REQUIRED: compound-quote delimiter in Source on Sheet 1 row ",271,"; edit the input before running."),_xlfn.CONCAT("char ",TRIM($B271),"[doc_source] ",CHAR(96),CHAR(34),SUBSTITUTE(SUBSTITUTE(SUBSTITUTE(SUBSTITUTE(SUBSTITUTE(SUBSTITUTE($H271,CHAR(13)," "),CHAR(10)," "),CHAR(9)," "),CHAR(92),_xlfn.CONCAT(CHAR(92),CHAR(92))),"$",_xlfn.CONCAT(CHAR(92),"$")),CHAR(96),_xlfn.CONCAT(CHAR(92),CHAR(96))),CHAR(34),CHAR(39))))</f>
        <v/>
      </c>
      <c r="S271" s="5" t="str">
        <f>IF(OR(TRIM($B271)="",$I271=""),"",IF(OR(ISNUMBER(SEARCH(_xlfn.CONCAT(CHAR(96),CHAR(34)),$I271)),ISNUMBER(SEARCH(_xlfn.CONCAT(CHAR(34),CHAR(39)),$I271))),_xlfn.CONCAT("* REVIEW REQUIRED: compound-quote delimiter in Derivation on Sheet 1 row ",271,"; edit the input before running."),_xlfn.CONCAT("char ",TRIM($B271),"[doc_derivation] ",CHAR(96),CHAR(34),SUBSTITUTE(SUBSTITUTE(SUBSTITUTE(SUBSTITUTE(SUBSTITUTE(SUBSTITUTE($I271,CHAR(13)," "),CHAR(10)," "),CHAR(9)," "),CHAR(92),_xlfn.CONCAT(CHAR(92),CHAR(92))),"$",_xlfn.CONCAT(CHAR(92),"$")),CHAR(96),_xlfn.CONCAT(CHAR(92),CHAR(96))),CHAR(34),CHAR(39))))</f>
        <v/>
      </c>
      <c r="T271" s="5" t="str">
        <f>IF(OR(TRIM($B271)="",$J271=""),"",IF(OR(ISNUMBER(SEARCH(_xlfn.CONCAT(CHAR(96),CHAR(34)),$J271)),ISNUMBER(SEARCH(_xlfn.CONCAT(CHAR(34),CHAR(39)),$J271))),_xlfn.CONCAT("* REVIEW REQUIRED: compound-quote delimiter in Notes on Sheet 1 row ",271,"; edit the input before running."),_xlfn.CONCAT("char ",TRIM($B271),"[doc_notes] ",CHAR(96),CHAR(34),SUBSTITUTE(SUBSTITUTE(SUBSTITUTE(SUBSTITUTE(SUBSTITUTE(SUBSTITUTE($J271,CHAR(13)," "),CHAR(10)," "),CHAR(9)," "),CHAR(92),_xlfn.CONCAT(CHAR(92),CHAR(92))),"$",_xlfn.CONCAT(CHAR(92),"$")),CHAR(96),_xlfn.CONCAT(CHAR(92),CHAR(96))),CHAR(34),CHAR(39))))</f>
        <v/>
      </c>
      <c r="U271" s="5">
        <f t="shared" si="7"/>
        <v>0</v>
      </c>
    </row>
    <row r="272" spans="3:21" ht="30" customHeight="1" x14ac:dyDescent="0.2">
      <c r="C272" s="4"/>
      <c r="K272" s="5">
        <f t="shared" si="6"/>
        <v>0</v>
      </c>
      <c r="L272" s="5" t="str">
        <f>IF(OR(TRIM($B272)="",$A272=""),"",IF(OR(ISNUMBER(SEARCH(_xlfn.CONCAT(CHAR(96),CHAR(34)),$A272)),ISNUMBER(SEARCH(_xlfn.CONCAT(CHAR(34),CHAR(39)),$A272))),_xlfn.CONCAT("* REVIEW REQUIRED: compound-quote delimiter in Codebook Section on Sheet 1 row ",272,"; edit the input before running."),_xlfn.CONCAT("char ",TRIM($B272),"[doc_section] ",CHAR(96),CHAR(34),SUBSTITUTE(SUBSTITUTE(SUBSTITUTE(SUBSTITUTE(SUBSTITUTE(SUBSTITUTE($A272,CHAR(13)," "),CHAR(10)," "),CHAR(9)," "),CHAR(92),_xlfn.CONCAT(CHAR(92),CHAR(92))),"$",_xlfn.CONCAT(CHAR(92),"$")),CHAR(96),_xlfn.CONCAT(CHAR(92),CHAR(96))),CHAR(34),CHAR(39))))</f>
        <v/>
      </c>
      <c r="M272" s="5" t="str">
        <f>IF(OR(TRIM($B272)="",$C272=""),"",IF(IFERROR(MATCH(TRIM($C272),{"Quantitative","Continuous","Discrete","Categorical","Nominal","Ordinal","Identifier"},0),0)=0,_xlfn.CONCAT("* REVIEW REQUIRED: invalid Variable Type on Sheet 1 row ",272,"."),_xlfn.CONCAT("char ",TRIM($B272),"[doc_vartype] ",CHAR(96),CHAR(34),SUBSTITUTE(SUBSTITUTE(SUBSTITUTE(SUBSTITUTE(SUBSTITUTE(SUBSTITUTE(LOWER(TRIM($C272)),CHAR(13)," "),CHAR(10)," "),CHAR(9)," "),CHAR(92),_xlfn.CONCAT(CHAR(92),CHAR(92))),"$",_xlfn.CONCAT(CHAR(92),"$")),CHAR(96),_xlfn.CONCAT(CHAR(92),CHAR(96))),CHAR(34),CHAR(39))))</f>
        <v/>
      </c>
      <c r="N272" s="5" t="str">
        <f>IF(OR(TRIM($B272)="",$D272=""),"",IF(OR(ISNUMBER(SEARCH(_xlfn.CONCAT(CHAR(96),CHAR(34)),$D272)),ISNUMBER(SEARCH(_xlfn.CONCAT(CHAR(34),CHAR(39)),$D272))),_xlfn.CONCAT("* REVIEW REQUIRED: compound-quote delimiter in Item Number on Sheet 1 row ",272,"; edit the input before running."),_xlfn.CONCAT("char ",TRIM($B272),"[doc_itemnum] ",CHAR(96),CHAR(34),SUBSTITUTE(SUBSTITUTE(SUBSTITUTE(SUBSTITUTE(SUBSTITUTE(SUBSTITUTE($D272,CHAR(13)," "),CHAR(10)," "),CHAR(9)," "),CHAR(92),_xlfn.CONCAT(CHAR(92),CHAR(92))),"$",_xlfn.CONCAT(CHAR(92),"$")),CHAR(96),_xlfn.CONCAT(CHAR(92),CHAR(96))),CHAR(34),CHAR(39))))</f>
        <v/>
      </c>
      <c r="O272" s="5" t="str">
        <f>IF(OR(TRIM($B272)="",$E272=""),"",IF(OR(ISNUMBER(SEARCH(_xlfn.CONCAT(CHAR(96),CHAR(34)),$E272)),ISNUMBER(SEARCH(_xlfn.CONCAT(CHAR(34),CHAR(39)),$E272))),_xlfn.CONCAT("* REVIEW REQUIRED: compound-quote delimiter in Question Wording on Sheet 1 row ",272,"; edit the input before running."),_xlfn.CONCAT("char ",TRIM($B272),"[doc_question] ",CHAR(96),CHAR(34),SUBSTITUTE(SUBSTITUTE(SUBSTITUTE(SUBSTITUTE(SUBSTITUTE(SUBSTITUTE($E272,CHAR(13)," "),CHAR(10)," "),CHAR(9)," "),CHAR(92),_xlfn.CONCAT(CHAR(92),CHAR(92))),"$",_xlfn.CONCAT(CHAR(92),"$")),CHAR(96),_xlfn.CONCAT(CHAR(92),CHAR(96))),CHAR(34),CHAR(39))))</f>
        <v/>
      </c>
      <c r="P272" s="5" t="str">
        <f>IF(OR(TRIM($B272)="",$F272=""),"",IF(OR(ISNUMBER(SEARCH(_xlfn.CONCAT(CHAR(96),CHAR(34)),$F272)),ISNUMBER(SEARCH(_xlfn.CONCAT(CHAR(34),CHAR(39)),$F272))),_xlfn.CONCAT("* REVIEW REQUIRED: compound-quote delimiter in Units on Sheet 1 row ",272,"; edit the input before running."),_xlfn.CONCAT("char ",TRIM($B272),"[doc_units] ",CHAR(96),CHAR(34),SUBSTITUTE(SUBSTITUTE(SUBSTITUTE(SUBSTITUTE(SUBSTITUTE(SUBSTITUTE($F272,CHAR(13)," "),CHAR(10)," "),CHAR(9)," "),CHAR(92),_xlfn.CONCAT(CHAR(92),CHAR(92))),"$",_xlfn.CONCAT(CHAR(92),"$")),CHAR(96),_xlfn.CONCAT(CHAR(92),CHAR(96))),CHAR(34),CHAR(39))))</f>
        <v/>
      </c>
      <c r="Q272" s="5" t="str">
        <f>IF(OR(TRIM($B272)="",$G272=""),"",IF(OR(ISNUMBER(SEARCH(_xlfn.CONCAT(CHAR(96),CHAR(34)),$G272)),ISNUMBER(SEARCH(_xlfn.CONCAT(CHAR(34),CHAR(39)),$G272))),_xlfn.CONCAT("* REVIEW REQUIRED: compound-quote delimiter in Universe on Sheet 1 row ",272,"; edit the input before running."),_xlfn.CONCAT("char ",TRIM($B272),"[doc_universe] ",CHAR(96),CHAR(34),SUBSTITUTE(SUBSTITUTE(SUBSTITUTE(SUBSTITUTE(SUBSTITUTE(SUBSTITUTE($G272,CHAR(13)," "),CHAR(10)," "),CHAR(9)," "),CHAR(92),_xlfn.CONCAT(CHAR(92),CHAR(92))),"$",_xlfn.CONCAT(CHAR(92),"$")),CHAR(96),_xlfn.CONCAT(CHAR(92),CHAR(96))),CHAR(34),CHAR(39))))</f>
        <v/>
      </c>
      <c r="R272" s="5" t="str">
        <f>IF(OR(TRIM($B272)="",$H272=""),"",IF(OR(ISNUMBER(SEARCH(_xlfn.CONCAT(CHAR(96),CHAR(34)),$H272)),ISNUMBER(SEARCH(_xlfn.CONCAT(CHAR(34),CHAR(39)),$H272))),_xlfn.CONCAT("* REVIEW REQUIRED: compound-quote delimiter in Source on Sheet 1 row ",272,"; edit the input before running."),_xlfn.CONCAT("char ",TRIM($B272),"[doc_source] ",CHAR(96),CHAR(34),SUBSTITUTE(SUBSTITUTE(SUBSTITUTE(SUBSTITUTE(SUBSTITUTE(SUBSTITUTE($H272,CHAR(13)," "),CHAR(10)," "),CHAR(9)," "),CHAR(92),_xlfn.CONCAT(CHAR(92),CHAR(92))),"$",_xlfn.CONCAT(CHAR(92),"$")),CHAR(96),_xlfn.CONCAT(CHAR(92),CHAR(96))),CHAR(34),CHAR(39))))</f>
        <v/>
      </c>
      <c r="S272" s="5" t="str">
        <f>IF(OR(TRIM($B272)="",$I272=""),"",IF(OR(ISNUMBER(SEARCH(_xlfn.CONCAT(CHAR(96),CHAR(34)),$I272)),ISNUMBER(SEARCH(_xlfn.CONCAT(CHAR(34),CHAR(39)),$I272))),_xlfn.CONCAT("* REVIEW REQUIRED: compound-quote delimiter in Derivation on Sheet 1 row ",272,"; edit the input before running."),_xlfn.CONCAT("char ",TRIM($B272),"[doc_derivation] ",CHAR(96),CHAR(34),SUBSTITUTE(SUBSTITUTE(SUBSTITUTE(SUBSTITUTE(SUBSTITUTE(SUBSTITUTE($I272,CHAR(13)," "),CHAR(10)," "),CHAR(9)," "),CHAR(92),_xlfn.CONCAT(CHAR(92),CHAR(92))),"$",_xlfn.CONCAT(CHAR(92),"$")),CHAR(96),_xlfn.CONCAT(CHAR(92),CHAR(96))),CHAR(34),CHAR(39))))</f>
        <v/>
      </c>
      <c r="T272" s="5" t="str">
        <f>IF(OR(TRIM($B272)="",$J272=""),"",IF(OR(ISNUMBER(SEARCH(_xlfn.CONCAT(CHAR(96),CHAR(34)),$J272)),ISNUMBER(SEARCH(_xlfn.CONCAT(CHAR(34),CHAR(39)),$J272))),_xlfn.CONCAT("* REVIEW REQUIRED: compound-quote delimiter in Notes on Sheet 1 row ",272,"; edit the input before running."),_xlfn.CONCAT("char ",TRIM($B272),"[doc_notes] ",CHAR(96),CHAR(34),SUBSTITUTE(SUBSTITUTE(SUBSTITUTE(SUBSTITUTE(SUBSTITUTE(SUBSTITUTE($J272,CHAR(13)," "),CHAR(10)," "),CHAR(9)," "),CHAR(92),_xlfn.CONCAT(CHAR(92),CHAR(92))),"$",_xlfn.CONCAT(CHAR(92),"$")),CHAR(96),_xlfn.CONCAT(CHAR(92),CHAR(96))),CHAR(34),CHAR(39))))</f>
        <v/>
      </c>
      <c r="U272" s="5">
        <f t="shared" si="7"/>
        <v>0</v>
      </c>
    </row>
    <row r="273" spans="3:21" ht="30" customHeight="1" x14ac:dyDescent="0.2">
      <c r="C273" s="4"/>
      <c r="K273" s="5">
        <f t="shared" si="6"/>
        <v>0</v>
      </c>
      <c r="L273" s="5" t="str">
        <f>IF(OR(TRIM($B273)="",$A273=""),"",IF(OR(ISNUMBER(SEARCH(_xlfn.CONCAT(CHAR(96),CHAR(34)),$A273)),ISNUMBER(SEARCH(_xlfn.CONCAT(CHAR(34),CHAR(39)),$A273))),_xlfn.CONCAT("* REVIEW REQUIRED: compound-quote delimiter in Codebook Section on Sheet 1 row ",273,"; edit the input before running."),_xlfn.CONCAT("char ",TRIM($B273),"[doc_section] ",CHAR(96),CHAR(34),SUBSTITUTE(SUBSTITUTE(SUBSTITUTE(SUBSTITUTE(SUBSTITUTE(SUBSTITUTE($A273,CHAR(13)," "),CHAR(10)," "),CHAR(9)," "),CHAR(92),_xlfn.CONCAT(CHAR(92),CHAR(92))),"$",_xlfn.CONCAT(CHAR(92),"$")),CHAR(96),_xlfn.CONCAT(CHAR(92),CHAR(96))),CHAR(34),CHAR(39))))</f>
        <v/>
      </c>
      <c r="M273" s="5" t="str">
        <f>IF(OR(TRIM($B273)="",$C273=""),"",IF(IFERROR(MATCH(TRIM($C273),{"Quantitative","Continuous","Discrete","Categorical","Nominal","Ordinal","Identifier"},0),0)=0,_xlfn.CONCAT("* REVIEW REQUIRED: invalid Variable Type on Sheet 1 row ",273,"."),_xlfn.CONCAT("char ",TRIM($B273),"[doc_vartype] ",CHAR(96),CHAR(34),SUBSTITUTE(SUBSTITUTE(SUBSTITUTE(SUBSTITUTE(SUBSTITUTE(SUBSTITUTE(LOWER(TRIM($C273)),CHAR(13)," "),CHAR(10)," "),CHAR(9)," "),CHAR(92),_xlfn.CONCAT(CHAR(92),CHAR(92))),"$",_xlfn.CONCAT(CHAR(92),"$")),CHAR(96),_xlfn.CONCAT(CHAR(92),CHAR(96))),CHAR(34),CHAR(39))))</f>
        <v/>
      </c>
      <c r="N273" s="5" t="str">
        <f>IF(OR(TRIM($B273)="",$D273=""),"",IF(OR(ISNUMBER(SEARCH(_xlfn.CONCAT(CHAR(96),CHAR(34)),$D273)),ISNUMBER(SEARCH(_xlfn.CONCAT(CHAR(34),CHAR(39)),$D273))),_xlfn.CONCAT("* REVIEW REQUIRED: compound-quote delimiter in Item Number on Sheet 1 row ",273,"; edit the input before running."),_xlfn.CONCAT("char ",TRIM($B273),"[doc_itemnum] ",CHAR(96),CHAR(34),SUBSTITUTE(SUBSTITUTE(SUBSTITUTE(SUBSTITUTE(SUBSTITUTE(SUBSTITUTE($D273,CHAR(13)," "),CHAR(10)," "),CHAR(9)," "),CHAR(92),_xlfn.CONCAT(CHAR(92),CHAR(92))),"$",_xlfn.CONCAT(CHAR(92),"$")),CHAR(96),_xlfn.CONCAT(CHAR(92),CHAR(96))),CHAR(34),CHAR(39))))</f>
        <v/>
      </c>
      <c r="O273" s="5" t="str">
        <f>IF(OR(TRIM($B273)="",$E273=""),"",IF(OR(ISNUMBER(SEARCH(_xlfn.CONCAT(CHAR(96),CHAR(34)),$E273)),ISNUMBER(SEARCH(_xlfn.CONCAT(CHAR(34),CHAR(39)),$E273))),_xlfn.CONCAT("* REVIEW REQUIRED: compound-quote delimiter in Question Wording on Sheet 1 row ",273,"; edit the input before running."),_xlfn.CONCAT("char ",TRIM($B273),"[doc_question] ",CHAR(96),CHAR(34),SUBSTITUTE(SUBSTITUTE(SUBSTITUTE(SUBSTITUTE(SUBSTITUTE(SUBSTITUTE($E273,CHAR(13)," "),CHAR(10)," "),CHAR(9)," "),CHAR(92),_xlfn.CONCAT(CHAR(92),CHAR(92))),"$",_xlfn.CONCAT(CHAR(92),"$")),CHAR(96),_xlfn.CONCAT(CHAR(92),CHAR(96))),CHAR(34),CHAR(39))))</f>
        <v/>
      </c>
      <c r="P273" s="5" t="str">
        <f>IF(OR(TRIM($B273)="",$F273=""),"",IF(OR(ISNUMBER(SEARCH(_xlfn.CONCAT(CHAR(96),CHAR(34)),$F273)),ISNUMBER(SEARCH(_xlfn.CONCAT(CHAR(34),CHAR(39)),$F273))),_xlfn.CONCAT("* REVIEW REQUIRED: compound-quote delimiter in Units on Sheet 1 row ",273,"; edit the input before running."),_xlfn.CONCAT("char ",TRIM($B273),"[doc_units] ",CHAR(96),CHAR(34),SUBSTITUTE(SUBSTITUTE(SUBSTITUTE(SUBSTITUTE(SUBSTITUTE(SUBSTITUTE($F273,CHAR(13)," "),CHAR(10)," "),CHAR(9)," "),CHAR(92),_xlfn.CONCAT(CHAR(92),CHAR(92))),"$",_xlfn.CONCAT(CHAR(92),"$")),CHAR(96),_xlfn.CONCAT(CHAR(92),CHAR(96))),CHAR(34),CHAR(39))))</f>
        <v/>
      </c>
      <c r="Q273" s="5" t="str">
        <f>IF(OR(TRIM($B273)="",$G273=""),"",IF(OR(ISNUMBER(SEARCH(_xlfn.CONCAT(CHAR(96),CHAR(34)),$G273)),ISNUMBER(SEARCH(_xlfn.CONCAT(CHAR(34),CHAR(39)),$G273))),_xlfn.CONCAT("* REVIEW REQUIRED: compound-quote delimiter in Universe on Sheet 1 row ",273,"; edit the input before running."),_xlfn.CONCAT("char ",TRIM($B273),"[doc_universe] ",CHAR(96),CHAR(34),SUBSTITUTE(SUBSTITUTE(SUBSTITUTE(SUBSTITUTE(SUBSTITUTE(SUBSTITUTE($G273,CHAR(13)," "),CHAR(10)," "),CHAR(9)," "),CHAR(92),_xlfn.CONCAT(CHAR(92),CHAR(92))),"$",_xlfn.CONCAT(CHAR(92),"$")),CHAR(96),_xlfn.CONCAT(CHAR(92),CHAR(96))),CHAR(34),CHAR(39))))</f>
        <v/>
      </c>
      <c r="R273" s="5" t="str">
        <f>IF(OR(TRIM($B273)="",$H273=""),"",IF(OR(ISNUMBER(SEARCH(_xlfn.CONCAT(CHAR(96),CHAR(34)),$H273)),ISNUMBER(SEARCH(_xlfn.CONCAT(CHAR(34),CHAR(39)),$H273))),_xlfn.CONCAT("* REVIEW REQUIRED: compound-quote delimiter in Source on Sheet 1 row ",273,"; edit the input before running."),_xlfn.CONCAT("char ",TRIM($B273),"[doc_source] ",CHAR(96),CHAR(34),SUBSTITUTE(SUBSTITUTE(SUBSTITUTE(SUBSTITUTE(SUBSTITUTE(SUBSTITUTE($H273,CHAR(13)," "),CHAR(10)," "),CHAR(9)," "),CHAR(92),_xlfn.CONCAT(CHAR(92),CHAR(92))),"$",_xlfn.CONCAT(CHAR(92),"$")),CHAR(96),_xlfn.CONCAT(CHAR(92),CHAR(96))),CHAR(34),CHAR(39))))</f>
        <v/>
      </c>
      <c r="S273" s="5" t="str">
        <f>IF(OR(TRIM($B273)="",$I273=""),"",IF(OR(ISNUMBER(SEARCH(_xlfn.CONCAT(CHAR(96),CHAR(34)),$I273)),ISNUMBER(SEARCH(_xlfn.CONCAT(CHAR(34),CHAR(39)),$I273))),_xlfn.CONCAT("* REVIEW REQUIRED: compound-quote delimiter in Derivation on Sheet 1 row ",273,"; edit the input before running."),_xlfn.CONCAT("char ",TRIM($B273),"[doc_derivation] ",CHAR(96),CHAR(34),SUBSTITUTE(SUBSTITUTE(SUBSTITUTE(SUBSTITUTE(SUBSTITUTE(SUBSTITUTE($I273,CHAR(13)," "),CHAR(10)," "),CHAR(9)," "),CHAR(92),_xlfn.CONCAT(CHAR(92),CHAR(92))),"$",_xlfn.CONCAT(CHAR(92),"$")),CHAR(96),_xlfn.CONCAT(CHAR(92),CHAR(96))),CHAR(34),CHAR(39))))</f>
        <v/>
      </c>
      <c r="T273" s="5" t="str">
        <f>IF(OR(TRIM($B273)="",$J273=""),"",IF(OR(ISNUMBER(SEARCH(_xlfn.CONCAT(CHAR(96),CHAR(34)),$J273)),ISNUMBER(SEARCH(_xlfn.CONCAT(CHAR(34),CHAR(39)),$J273))),_xlfn.CONCAT("* REVIEW REQUIRED: compound-quote delimiter in Notes on Sheet 1 row ",273,"; edit the input before running."),_xlfn.CONCAT("char ",TRIM($B273),"[doc_notes] ",CHAR(96),CHAR(34),SUBSTITUTE(SUBSTITUTE(SUBSTITUTE(SUBSTITUTE(SUBSTITUTE(SUBSTITUTE($J273,CHAR(13)," "),CHAR(10)," "),CHAR(9)," "),CHAR(92),_xlfn.CONCAT(CHAR(92),CHAR(92))),"$",_xlfn.CONCAT(CHAR(92),"$")),CHAR(96),_xlfn.CONCAT(CHAR(92),CHAR(96))),CHAR(34),CHAR(39))))</f>
        <v/>
      </c>
      <c r="U273" s="5">
        <f t="shared" si="7"/>
        <v>0</v>
      </c>
    </row>
    <row r="274" spans="3:21" ht="30" customHeight="1" x14ac:dyDescent="0.2">
      <c r="C274" s="4"/>
      <c r="K274" s="5">
        <f t="shared" si="6"/>
        <v>0</v>
      </c>
      <c r="L274" s="5" t="str">
        <f>IF(OR(TRIM($B274)="",$A274=""),"",IF(OR(ISNUMBER(SEARCH(_xlfn.CONCAT(CHAR(96),CHAR(34)),$A274)),ISNUMBER(SEARCH(_xlfn.CONCAT(CHAR(34),CHAR(39)),$A274))),_xlfn.CONCAT("* REVIEW REQUIRED: compound-quote delimiter in Codebook Section on Sheet 1 row ",274,"; edit the input before running."),_xlfn.CONCAT("char ",TRIM($B274),"[doc_section] ",CHAR(96),CHAR(34),SUBSTITUTE(SUBSTITUTE(SUBSTITUTE(SUBSTITUTE(SUBSTITUTE(SUBSTITUTE($A274,CHAR(13)," "),CHAR(10)," "),CHAR(9)," "),CHAR(92),_xlfn.CONCAT(CHAR(92),CHAR(92))),"$",_xlfn.CONCAT(CHAR(92),"$")),CHAR(96),_xlfn.CONCAT(CHAR(92),CHAR(96))),CHAR(34),CHAR(39))))</f>
        <v/>
      </c>
      <c r="M274" s="5" t="str">
        <f>IF(OR(TRIM($B274)="",$C274=""),"",IF(IFERROR(MATCH(TRIM($C274),{"Quantitative","Continuous","Discrete","Categorical","Nominal","Ordinal","Identifier"},0),0)=0,_xlfn.CONCAT("* REVIEW REQUIRED: invalid Variable Type on Sheet 1 row ",274,"."),_xlfn.CONCAT("char ",TRIM($B274),"[doc_vartype] ",CHAR(96),CHAR(34),SUBSTITUTE(SUBSTITUTE(SUBSTITUTE(SUBSTITUTE(SUBSTITUTE(SUBSTITUTE(LOWER(TRIM($C274)),CHAR(13)," "),CHAR(10)," "),CHAR(9)," "),CHAR(92),_xlfn.CONCAT(CHAR(92),CHAR(92))),"$",_xlfn.CONCAT(CHAR(92),"$")),CHAR(96),_xlfn.CONCAT(CHAR(92),CHAR(96))),CHAR(34),CHAR(39))))</f>
        <v/>
      </c>
      <c r="N274" s="5" t="str">
        <f>IF(OR(TRIM($B274)="",$D274=""),"",IF(OR(ISNUMBER(SEARCH(_xlfn.CONCAT(CHAR(96),CHAR(34)),$D274)),ISNUMBER(SEARCH(_xlfn.CONCAT(CHAR(34),CHAR(39)),$D274))),_xlfn.CONCAT("* REVIEW REQUIRED: compound-quote delimiter in Item Number on Sheet 1 row ",274,"; edit the input before running."),_xlfn.CONCAT("char ",TRIM($B274),"[doc_itemnum] ",CHAR(96),CHAR(34),SUBSTITUTE(SUBSTITUTE(SUBSTITUTE(SUBSTITUTE(SUBSTITUTE(SUBSTITUTE($D274,CHAR(13)," "),CHAR(10)," "),CHAR(9)," "),CHAR(92),_xlfn.CONCAT(CHAR(92),CHAR(92))),"$",_xlfn.CONCAT(CHAR(92),"$")),CHAR(96),_xlfn.CONCAT(CHAR(92),CHAR(96))),CHAR(34),CHAR(39))))</f>
        <v/>
      </c>
      <c r="O274" s="5" t="str">
        <f>IF(OR(TRIM($B274)="",$E274=""),"",IF(OR(ISNUMBER(SEARCH(_xlfn.CONCAT(CHAR(96),CHAR(34)),$E274)),ISNUMBER(SEARCH(_xlfn.CONCAT(CHAR(34),CHAR(39)),$E274))),_xlfn.CONCAT("* REVIEW REQUIRED: compound-quote delimiter in Question Wording on Sheet 1 row ",274,"; edit the input before running."),_xlfn.CONCAT("char ",TRIM($B274),"[doc_question] ",CHAR(96),CHAR(34),SUBSTITUTE(SUBSTITUTE(SUBSTITUTE(SUBSTITUTE(SUBSTITUTE(SUBSTITUTE($E274,CHAR(13)," "),CHAR(10)," "),CHAR(9)," "),CHAR(92),_xlfn.CONCAT(CHAR(92),CHAR(92))),"$",_xlfn.CONCAT(CHAR(92),"$")),CHAR(96),_xlfn.CONCAT(CHAR(92),CHAR(96))),CHAR(34),CHAR(39))))</f>
        <v/>
      </c>
      <c r="P274" s="5" t="str">
        <f>IF(OR(TRIM($B274)="",$F274=""),"",IF(OR(ISNUMBER(SEARCH(_xlfn.CONCAT(CHAR(96),CHAR(34)),$F274)),ISNUMBER(SEARCH(_xlfn.CONCAT(CHAR(34),CHAR(39)),$F274))),_xlfn.CONCAT("* REVIEW REQUIRED: compound-quote delimiter in Units on Sheet 1 row ",274,"; edit the input before running."),_xlfn.CONCAT("char ",TRIM($B274),"[doc_units] ",CHAR(96),CHAR(34),SUBSTITUTE(SUBSTITUTE(SUBSTITUTE(SUBSTITUTE(SUBSTITUTE(SUBSTITUTE($F274,CHAR(13)," "),CHAR(10)," "),CHAR(9)," "),CHAR(92),_xlfn.CONCAT(CHAR(92),CHAR(92))),"$",_xlfn.CONCAT(CHAR(92),"$")),CHAR(96),_xlfn.CONCAT(CHAR(92),CHAR(96))),CHAR(34),CHAR(39))))</f>
        <v/>
      </c>
      <c r="Q274" s="5" t="str">
        <f>IF(OR(TRIM($B274)="",$G274=""),"",IF(OR(ISNUMBER(SEARCH(_xlfn.CONCAT(CHAR(96),CHAR(34)),$G274)),ISNUMBER(SEARCH(_xlfn.CONCAT(CHAR(34),CHAR(39)),$G274))),_xlfn.CONCAT("* REVIEW REQUIRED: compound-quote delimiter in Universe on Sheet 1 row ",274,"; edit the input before running."),_xlfn.CONCAT("char ",TRIM($B274),"[doc_universe] ",CHAR(96),CHAR(34),SUBSTITUTE(SUBSTITUTE(SUBSTITUTE(SUBSTITUTE(SUBSTITUTE(SUBSTITUTE($G274,CHAR(13)," "),CHAR(10)," "),CHAR(9)," "),CHAR(92),_xlfn.CONCAT(CHAR(92),CHAR(92))),"$",_xlfn.CONCAT(CHAR(92),"$")),CHAR(96),_xlfn.CONCAT(CHAR(92),CHAR(96))),CHAR(34),CHAR(39))))</f>
        <v/>
      </c>
      <c r="R274" s="5" t="str">
        <f>IF(OR(TRIM($B274)="",$H274=""),"",IF(OR(ISNUMBER(SEARCH(_xlfn.CONCAT(CHAR(96),CHAR(34)),$H274)),ISNUMBER(SEARCH(_xlfn.CONCAT(CHAR(34),CHAR(39)),$H274))),_xlfn.CONCAT("* REVIEW REQUIRED: compound-quote delimiter in Source on Sheet 1 row ",274,"; edit the input before running."),_xlfn.CONCAT("char ",TRIM($B274),"[doc_source] ",CHAR(96),CHAR(34),SUBSTITUTE(SUBSTITUTE(SUBSTITUTE(SUBSTITUTE(SUBSTITUTE(SUBSTITUTE($H274,CHAR(13)," "),CHAR(10)," "),CHAR(9)," "),CHAR(92),_xlfn.CONCAT(CHAR(92),CHAR(92))),"$",_xlfn.CONCAT(CHAR(92),"$")),CHAR(96),_xlfn.CONCAT(CHAR(92),CHAR(96))),CHAR(34),CHAR(39))))</f>
        <v/>
      </c>
      <c r="S274" s="5" t="str">
        <f>IF(OR(TRIM($B274)="",$I274=""),"",IF(OR(ISNUMBER(SEARCH(_xlfn.CONCAT(CHAR(96),CHAR(34)),$I274)),ISNUMBER(SEARCH(_xlfn.CONCAT(CHAR(34),CHAR(39)),$I274))),_xlfn.CONCAT("* REVIEW REQUIRED: compound-quote delimiter in Derivation on Sheet 1 row ",274,"; edit the input before running."),_xlfn.CONCAT("char ",TRIM($B274),"[doc_derivation] ",CHAR(96),CHAR(34),SUBSTITUTE(SUBSTITUTE(SUBSTITUTE(SUBSTITUTE(SUBSTITUTE(SUBSTITUTE($I274,CHAR(13)," "),CHAR(10)," "),CHAR(9)," "),CHAR(92),_xlfn.CONCAT(CHAR(92),CHAR(92))),"$",_xlfn.CONCAT(CHAR(92),"$")),CHAR(96),_xlfn.CONCAT(CHAR(92),CHAR(96))),CHAR(34),CHAR(39))))</f>
        <v/>
      </c>
      <c r="T274" s="5" t="str">
        <f>IF(OR(TRIM($B274)="",$J274=""),"",IF(OR(ISNUMBER(SEARCH(_xlfn.CONCAT(CHAR(96),CHAR(34)),$J274)),ISNUMBER(SEARCH(_xlfn.CONCAT(CHAR(34),CHAR(39)),$J274))),_xlfn.CONCAT("* REVIEW REQUIRED: compound-quote delimiter in Notes on Sheet 1 row ",274,"; edit the input before running."),_xlfn.CONCAT("char ",TRIM($B274),"[doc_notes] ",CHAR(96),CHAR(34),SUBSTITUTE(SUBSTITUTE(SUBSTITUTE(SUBSTITUTE(SUBSTITUTE(SUBSTITUTE($J274,CHAR(13)," "),CHAR(10)," "),CHAR(9)," "),CHAR(92),_xlfn.CONCAT(CHAR(92),CHAR(92))),"$",_xlfn.CONCAT(CHAR(92),"$")),CHAR(96),_xlfn.CONCAT(CHAR(92),CHAR(96))),CHAR(34),CHAR(39))))</f>
        <v/>
      </c>
      <c r="U274" s="5">
        <f t="shared" si="7"/>
        <v>0</v>
      </c>
    </row>
    <row r="275" spans="3:21" ht="30" customHeight="1" x14ac:dyDescent="0.2">
      <c r="C275" s="4"/>
      <c r="K275" s="5">
        <f t="shared" si="6"/>
        <v>0</v>
      </c>
      <c r="L275" s="5" t="str">
        <f>IF(OR(TRIM($B275)="",$A275=""),"",IF(OR(ISNUMBER(SEARCH(_xlfn.CONCAT(CHAR(96),CHAR(34)),$A275)),ISNUMBER(SEARCH(_xlfn.CONCAT(CHAR(34),CHAR(39)),$A275))),_xlfn.CONCAT("* REVIEW REQUIRED: compound-quote delimiter in Codebook Section on Sheet 1 row ",275,"; edit the input before running."),_xlfn.CONCAT("char ",TRIM($B275),"[doc_section] ",CHAR(96),CHAR(34),SUBSTITUTE(SUBSTITUTE(SUBSTITUTE(SUBSTITUTE(SUBSTITUTE(SUBSTITUTE($A275,CHAR(13)," "),CHAR(10)," "),CHAR(9)," "),CHAR(92),_xlfn.CONCAT(CHAR(92),CHAR(92))),"$",_xlfn.CONCAT(CHAR(92),"$")),CHAR(96),_xlfn.CONCAT(CHAR(92),CHAR(96))),CHAR(34),CHAR(39))))</f>
        <v/>
      </c>
      <c r="M275" s="5" t="str">
        <f>IF(OR(TRIM($B275)="",$C275=""),"",IF(IFERROR(MATCH(TRIM($C275),{"Quantitative","Continuous","Discrete","Categorical","Nominal","Ordinal","Identifier"},0),0)=0,_xlfn.CONCAT("* REVIEW REQUIRED: invalid Variable Type on Sheet 1 row ",275,"."),_xlfn.CONCAT("char ",TRIM($B275),"[doc_vartype] ",CHAR(96),CHAR(34),SUBSTITUTE(SUBSTITUTE(SUBSTITUTE(SUBSTITUTE(SUBSTITUTE(SUBSTITUTE(LOWER(TRIM($C275)),CHAR(13)," "),CHAR(10)," "),CHAR(9)," "),CHAR(92),_xlfn.CONCAT(CHAR(92),CHAR(92))),"$",_xlfn.CONCAT(CHAR(92),"$")),CHAR(96),_xlfn.CONCAT(CHAR(92),CHAR(96))),CHAR(34),CHAR(39))))</f>
        <v/>
      </c>
      <c r="N275" s="5" t="str">
        <f>IF(OR(TRIM($B275)="",$D275=""),"",IF(OR(ISNUMBER(SEARCH(_xlfn.CONCAT(CHAR(96),CHAR(34)),$D275)),ISNUMBER(SEARCH(_xlfn.CONCAT(CHAR(34),CHAR(39)),$D275))),_xlfn.CONCAT("* REVIEW REQUIRED: compound-quote delimiter in Item Number on Sheet 1 row ",275,"; edit the input before running."),_xlfn.CONCAT("char ",TRIM($B275),"[doc_itemnum] ",CHAR(96),CHAR(34),SUBSTITUTE(SUBSTITUTE(SUBSTITUTE(SUBSTITUTE(SUBSTITUTE(SUBSTITUTE($D275,CHAR(13)," "),CHAR(10)," "),CHAR(9)," "),CHAR(92),_xlfn.CONCAT(CHAR(92),CHAR(92))),"$",_xlfn.CONCAT(CHAR(92),"$")),CHAR(96),_xlfn.CONCAT(CHAR(92),CHAR(96))),CHAR(34),CHAR(39))))</f>
        <v/>
      </c>
      <c r="O275" s="5" t="str">
        <f>IF(OR(TRIM($B275)="",$E275=""),"",IF(OR(ISNUMBER(SEARCH(_xlfn.CONCAT(CHAR(96),CHAR(34)),$E275)),ISNUMBER(SEARCH(_xlfn.CONCAT(CHAR(34),CHAR(39)),$E275))),_xlfn.CONCAT("* REVIEW REQUIRED: compound-quote delimiter in Question Wording on Sheet 1 row ",275,"; edit the input before running."),_xlfn.CONCAT("char ",TRIM($B275),"[doc_question] ",CHAR(96),CHAR(34),SUBSTITUTE(SUBSTITUTE(SUBSTITUTE(SUBSTITUTE(SUBSTITUTE(SUBSTITUTE($E275,CHAR(13)," "),CHAR(10)," "),CHAR(9)," "),CHAR(92),_xlfn.CONCAT(CHAR(92),CHAR(92))),"$",_xlfn.CONCAT(CHAR(92),"$")),CHAR(96),_xlfn.CONCAT(CHAR(92),CHAR(96))),CHAR(34),CHAR(39))))</f>
        <v/>
      </c>
      <c r="P275" s="5" t="str">
        <f>IF(OR(TRIM($B275)="",$F275=""),"",IF(OR(ISNUMBER(SEARCH(_xlfn.CONCAT(CHAR(96),CHAR(34)),$F275)),ISNUMBER(SEARCH(_xlfn.CONCAT(CHAR(34),CHAR(39)),$F275))),_xlfn.CONCAT("* REVIEW REQUIRED: compound-quote delimiter in Units on Sheet 1 row ",275,"; edit the input before running."),_xlfn.CONCAT("char ",TRIM($B275),"[doc_units] ",CHAR(96),CHAR(34),SUBSTITUTE(SUBSTITUTE(SUBSTITUTE(SUBSTITUTE(SUBSTITUTE(SUBSTITUTE($F275,CHAR(13)," "),CHAR(10)," "),CHAR(9)," "),CHAR(92),_xlfn.CONCAT(CHAR(92),CHAR(92))),"$",_xlfn.CONCAT(CHAR(92),"$")),CHAR(96),_xlfn.CONCAT(CHAR(92),CHAR(96))),CHAR(34),CHAR(39))))</f>
        <v/>
      </c>
      <c r="Q275" s="5" t="str">
        <f>IF(OR(TRIM($B275)="",$G275=""),"",IF(OR(ISNUMBER(SEARCH(_xlfn.CONCAT(CHAR(96),CHAR(34)),$G275)),ISNUMBER(SEARCH(_xlfn.CONCAT(CHAR(34),CHAR(39)),$G275))),_xlfn.CONCAT("* REVIEW REQUIRED: compound-quote delimiter in Universe on Sheet 1 row ",275,"; edit the input before running."),_xlfn.CONCAT("char ",TRIM($B275),"[doc_universe] ",CHAR(96),CHAR(34),SUBSTITUTE(SUBSTITUTE(SUBSTITUTE(SUBSTITUTE(SUBSTITUTE(SUBSTITUTE($G275,CHAR(13)," "),CHAR(10)," "),CHAR(9)," "),CHAR(92),_xlfn.CONCAT(CHAR(92),CHAR(92))),"$",_xlfn.CONCAT(CHAR(92),"$")),CHAR(96),_xlfn.CONCAT(CHAR(92),CHAR(96))),CHAR(34),CHAR(39))))</f>
        <v/>
      </c>
      <c r="R275" s="5" t="str">
        <f>IF(OR(TRIM($B275)="",$H275=""),"",IF(OR(ISNUMBER(SEARCH(_xlfn.CONCAT(CHAR(96),CHAR(34)),$H275)),ISNUMBER(SEARCH(_xlfn.CONCAT(CHAR(34),CHAR(39)),$H275))),_xlfn.CONCAT("* REVIEW REQUIRED: compound-quote delimiter in Source on Sheet 1 row ",275,"; edit the input before running."),_xlfn.CONCAT("char ",TRIM($B275),"[doc_source] ",CHAR(96),CHAR(34),SUBSTITUTE(SUBSTITUTE(SUBSTITUTE(SUBSTITUTE(SUBSTITUTE(SUBSTITUTE($H275,CHAR(13)," "),CHAR(10)," "),CHAR(9)," "),CHAR(92),_xlfn.CONCAT(CHAR(92),CHAR(92))),"$",_xlfn.CONCAT(CHAR(92),"$")),CHAR(96),_xlfn.CONCAT(CHAR(92),CHAR(96))),CHAR(34),CHAR(39))))</f>
        <v/>
      </c>
      <c r="S275" s="5" t="str">
        <f>IF(OR(TRIM($B275)="",$I275=""),"",IF(OR(ISNUMBER(SEARCH(_xlfn.CONCAT(CHAR(96),CHAR(34)),$I275)),ISNUMBER(SEARCH(_xlfn.CONCAT(CHAR(34),CHAR(39)),$I275))),_xlfn.CONCAT("* REVIEW REQUIRED: compound-quote delimiter in Derivation on Sheet 1 row ",275,"; edit the input before running."),_xlfn.CONCAT("char ",TRIM($B275),"[doc_derivation] ",CHAR(96),CHAR(34),SUBSTITUTE(SUBSTITUTE(SUBSTITUTE(SUBSTITUTE(SUBSTITUTE(SUBSTITUTE($I275,CHAR(13)," "),CHAR(10)," "),CHAR(9)," "),CHAR(92),_xlfn.CONCAT(CHAR(92),CHAR(92))),"$",_xlfn.CONCAT(CHAR(92),"$")),CHAR(96),_xlfn.CONCAT(CHAR(92),CHAR(96))),CHAR(34),CHAR(39))))</f>
        <v/>
      </c>
      <c r="T275" s="5" t="str">
        <f>IF(OR(TRIM($B275)="",$J275=""),"",IF(OR(ISNUMBER(SEARCH(_xlfn.CONCAT(CHAR(96),CHAR(34)),$J275)),ISNUMBER(SEARCH(_xlfn.CONCAT(CHAR(34),CHAR(39)),$J275))),_xlfn.CONCAT("* REVIEW REQUIRED: compound-quote delimiter in Notes on Sheet 1 row ",275,"; edit the input before running."),_xlfn.CONCAT("char ",TRIM($B275),"[doc_notes] ",CHAR(96),CHAR(34),SUBSTITUTE(SUBSTITUTE(SUBSTITUTE(SUBSTITUTE(SUBSTITUTE(SUBSTITUTE($J275,CHAR(13)," "),CHAR(10)," "),CHAR(9)," "),CHAR(92),_xlfn.CONCAT(CHAR(92),CHAR(92))),"$",_xlfn.CONCAT(CHAR(92),"$")),CHAR(96),_xlfn.CONCAT(CHAR(92),CHAR(96))),CHAR(34),CHAR(39))))</f>
        <v/>
      </c>
      <c r="U275" s="5">
        <f t="shared" si="7"/>
        <v>0</v>
      </c>
    </row>
    <row r="276" spans="3:21" ht="30" customHeight="1" x14ac:dyDescent="0.2">
      <c r="C276" s="4"/>
      <c r="K276" s="5">
        <f t="shared" ref="K276:K339" si="8">COUNTIF(L276:T276,"?*")</f>
        <v>0</v>
      </c>
      <c r="L276" s="5" t="str">
        <f>IF(OR(TRIM($B276)="",$A276=""),"",IF(OR(ISNUMBER(SEARCH(_xlfn.CONCAT(CHAR(96),CHAR(34)),$A276)),ISNUMBER(SEARCH(_xlfn.CONCAT(CHAR(34),CHAR(39)),$A276))),_xlfn.CONCAT("* REVIEW REQUIRED: compound-quote delimiter in Codebook Section on Sheet 1 row ",276,"; edit the input before running."),_xlfn.CONCAT("char ",TRIM($B276),"[doc_section] ",CHAR(96),CHAR(34),SUBSTITUTE(SUBSTITUTE(SUBSTITUTE(SUBSTITUTE(SUBSTITUTE(SUBSTITUTE($A276,CHAR(13)," "),CHAR(10)," "),CHAR(9)," "),CHAR(92),_xlfn.CONCAT(CHAR(92),CHAR(92))),"$",_xlfn.CONCAT(CHAR(92),"$")),CHAR(96),_xlfn.CONCAT(CHAR(92),CHAR(96))),CHAR(34),CHAR(39))))</f>
        <v/>
      </c>
      <c r="M276" s="5" t="str">
        <f>IF(OR(TRIM($B276)="",$C276=""),"",IF(IFERROR(MATCH(TRIM($C276),{"Quantitative","Continuous","Discrete","Categorical","Nominal","Ordinal","Identifier"},0),0)=0,_xlfn.CONCAT("* REVIEW REQUIRED: invalid Variable Type on Sheet 1 row ",276,"."),_xlfn.CONCAT("char ",TRIM($B276),"[doc_vartype] ",CHAR(96),CHAR(34),SUBSTITUTE(SUBSTITUTE(SUBSTITUTE(SUBSTITUTE(SUBSTITUTE(SUBSTITUTE(LOWER(TRIM($C276)),CHAR(13)," "),CHAR(10)," "),CHAR(9)," "),CHAR(92),_xlfn.CONCAT(CHAR(92),CHAR(92))),"$",_xlfn.CONCAT(CHAR(92),"$")),CHAR(96),_xlfn.CONCAT(CHAR(92),CHAR(96))),CHAR(34),CHAR(39))))</f>
        <v/>
      </c>
      <c r="N276" s="5" t="str">
        <f>IF(OR(TRIM($B276)="",$D276=""),"",IF(OR(ISNUMBER(SEARCH(_xlfn.CONCAT(CHAR(96),CHAR(34)),$D276)),ISNUMBER(SEARCH(_xlfn.CONCAT(CHAR(34),CHAR(39)),$D276))),_xlfn.CONCAT("* REVIEW REQUIRED: compound-quote delimiter in Item Number on Sheet 1 row ",276,"; edit the input before running."),_xlfn.CONCAT("char ",TRIM($B276),"[doc_itemnum] ",CHAR(96),CHAR(34),SUBSTITUTE(SUBSTITUTE(SUBSTITUTE(SUBSTITUTE(SUBSTITUTE(SUBSTITUTE($D276,CHAR(13)," "),CHAR(10)," "),CHAR(9)," "),CHAR(92),_xlfn.CONCAT(CHAR(92),CHAR(92))),"$",_xlfn.CONCAT(CHAR(92),"$")),CHAR(96),_xlfn.CONCAT(CHAR(92),CHAR(96))),CHAR(34),CHAR(39))))</f>
        <v/>
      </c>
      <c r="O276" s="5" t="str">
        <f>IF(OR(TRIM($B276)="",$E276=""),"",IF(OR(ISNUMBER(SEARCH(_xlfn.CONCAT(CHAR(96),CHAR(34)),$E276)),ISNUMBER(SEARCH(_xlfn.CONCAT(CHAR(34),CHAR(39)),$E276))),_xlfn.CONCAT("* REVIEW REQUIRED: compound-quote delimiter in Question Wording on Sheet 1 row ",276,"; edit the input before running."),_xlfn.CONCAT("char ",TRIM($B276),"[doc_question] ",CHAR(96),CHAR(34),SUBSTITUTE(SUBSTITUTE(SUBSTITUTE(SUBSTITUTE(SUBSTITUTE(SUBSTITUTE($E276,CHAR(13)," "),CHAR(10)," "),CHAR(9)," "),CHAR(92),_xlfn.CONCAT(CHAR(92),CHAR(92))),"$",_xlfn.CONCAT(CHAR(92),"$")),CHAR(96),_xlfn.CONCAT(CHAR(92),CHAR(96))),CHAR(34),CHAR(39))))</f>
        <v/>
      </c>
      <c r="P276" s="5" t="str">
        <f>IF(OR(TRIM($B276)="",$F276=""),"",IF(OR(ISNUMBER(SEARCH(_xlfn.CONCAT(CHAR(96),CHAR(34)),$F276)),ISNUMBER(SEARCH(_xlfn.CONCAT(CHAR(34),CHAR(39)),$F276))),_xlfn.CONCAT("* REVIEW REQUIRED: compound-quote delimiter in Units on Sheet 1 row ",276,"; edit the input before running."),_xlfn.CONCAT("char ",TRIM($B276),"[doc_units] ",CHAR(96),CHAR(34),SUBSTITUTE(SUBSTITUTE(SUBSTITUTE(SUBSTITUTE(SUBSTITUTE(SUBSTITUTE($F276,CHAR(13)," "),CHAR(10)," "),CHAR(9)," "),CHAR(92),_xlfn.CONCAT(CHAR(92),CHAR(92))),"$",_xlfn.CONCAT(CHAR(92),"$")),CHAR(96),_xlfn.CONCAT(CHAR(92),CHAR(96))),CHAR(34),CHAR(39))))</f>
        <v/>
      </c>
      <c r="Q276" s="5" t="str">
        <f>IF(OR(TRIM($B276)="",$G276=""),"",IF(OR(ISNUMBER(SEARCH(_xlfn.CONCAT(CHAR(96),CHAR(34)),$G276)),ISNUMBER(SEARCH(_xlfn.CONCAT(CHAR(34),CHAR(39)),$G276))),_xlfn.CONCAT("* REVIEW REQUIRED: compound-quote delimiter in Universe on Sheet 1 row ",276,"; edit the input before running."),_xlfn.CONCAT("char ",TRIM($B276),"[doc_universe] ",CHAR(96),CHAR(34),SUBSTITUTE(SUBSTITUTE(SUBSTITUTE(SUBSTITUTE(SUBSTITUTE(SUBSTITUTE($G276,CHAR(13)," "),CHAR(10)," "),CHAR(9)," "),CHAR(92),_xlfn.CONCAT(CHAR(92),CHAR(92))),"$",_xlfn.CONCAT(CHAR(92),"$")),CHAR(96),_xlfn.CONCAT(CHAR(92),CHAR(96))),CHAR(34),CHAR(39))))</f>
        <v/>
      </c>
      <c r="R276" s="5" t="str">
        <f>IF(OR(TRIM($B276)="",$H276=""),"",IF(OR(ISNUMBER(SEARCH(_xlfn.CONCAT(CHAR(96),CHAR(34)),$H276)),ISNUMBER(SEARCH(_xlfn.CONCAT(CHAR(34),CHAR(39)),$H276))),_xlfn.CONCAT("* REVIEW REQUIRED: compound-quote delimiter in Source on Sheet 1 row ",276,"; edit the input before running."),_xlfn.CONCAT("char ",TRIM($B276),"[doc_source] ",CHAR(96),CHAR(34),SUBSTITUTE(SUBSTITUTE(SUBSTITUTE(SUBSTITUTE(SUBSTITUTE(SUBSTITUTE($H276,CHAR(13)," "),CHAR(10)," "),CHAR(9)," "),CHAR(92),_xlfn.CONCAT(CHAR(92),CHAR(92))),"$",_xlfn.CONCAT(CHAR(92),"$")),CHAR(96),_xlfn.CONCAT(CHAR(92),CHAR(96))),CHAR(34),CHAR(39))))</f>
        <v/>
      </c>
      <c r="S276" s="5" t="str">
        <f>IF(OR(TRIM($B276)="",$I276=""),"",IF(OR(ISNUMBER(SEARCH(_xlfn.CONCAT(CHAR(96),CHAR(34)),$I276)),ISNUMBER(SEARCH(_xlfn.CONCAT(CHAR(34),CHAR(39)),$I276))),_xlfn.CONCAT("* REVIEW REQUIRED: compound-quote delimiter in Derivation on Sheet 1 row ",276,"; edit the input before running."),_xlfn.CONCAT("char ",TRIM($B276),"[doc_derivation] ",CHAR(96),CHAR(34),SUBSTITUTE(SUBSTITUTE(SUBSTITUTE(SUBSTITUTE(SUBSTITUTE(SUBSTITUTE($I276,CHAR(13)," "),CHAR(10)," "),CHAR(9)," "),CHAR(92),_xlfn.CONCAT(CHAR(92),CHAR(92))),"$",_xlfn.CONCAT(CHAR(92),"$")),CHAR(96),_xlfn.CONCAT(CHAR(92),CHAR(96))),CHAR(34),CHAR(39))))</f>
        <v/>
      </c>
      <c r="T276" s="5" t="str">
        <f>IF(OR(TRIM($B276)="",$J276=""),"",IF(OR(ISNUMBER(SEARCH(_xlfn.CONCAT(CHAR(96),CHAR(34)),$J276)),ISNUMBER(SEARCH(_xlfn.CONCAT(CHAR(34),CHAR(39)),$J276))),_xlfn.CONCAT("* REVIEW REQUIRED: compound-quote delimiter in Notes on Sheet 1 row ",276,"; edit the input before running."),_xlfn.CONCAT("char ",TRIM($B276),"[doc_notes] ",CHAR(96),CHAR(34),SUBSTITUTE(SUBSTITUTE(SUBSTITUTE(SUBSTITUTE(SUBSTITUTE(SUBSTITUTE($J276,CHAR(13)," "),CHAR(10)," "),CHAR(9)," "),CHAR(92),_xlfn.CONCAT(CHAR(92),CHAR(92))),"$",_xlfn.CONCAT(CHAR(92),"$")),CHAR(96),_xlfn.CONCAT(CHAR(92),CHAR(96))),CHAR(34),CHAR(39))))</f>
        <v/>
      </c>
      <c r="U276" s="5">
        <f t="shared" ref="U276:U339" si="9">COUNTIF(L276:T276,"*REVIEW REQUIRED*")</f>
        <v>0</v>
      </c>
    </row>
    <row r="277" spans="3:21" ht="30" customHeight="1" x14ac:dyDescent="0.2">
      <c r="C277" s="4"/>
      <c r="K277" s="5">
        <f t="shared" si="8"/>
        <v>0</v>
      </c>
      <c r="L277" s="5" t="str">
        <f>IF(OR(TRIM($B277)="",$A277=""),"",IF(OR(ISNUMBER(SEARCH(_xlfn.CONCAT(CHAR(96),CHAR(34)),$A277)),ISNUMBER(SEARCH(_xlfn.CONCAT(CHAR(34),CHAR(39)),$A277))),_xlfn.CONCAT("* REVIEW REQUIRED: compound-quote delimiter in Codebook Section on Sheet 1 row ",277,"; edit the input before running."),_xlfn.CONCAT("char ",TRIM($B277),"[doc_section] ",CHAR(96),CHAR(34),SUBSTITUTE(SUBSTITUTE(SUBSTITUTE(SUBSTITUTE(SUBSTITUTE(SUBSTITUTE($A277,CHAR(13)," "),CHAR(10)," "),CHAR(9)," "),CHAR(92),_xlfn.CONCAT(CHAR(92),CHAR(92))),"$",_xlfn.CONCAT(CHAR(92),"$")),CHAR(96),_xlfn.CONCAT(CHAR(92),CHAR(96))),CHAR(34),CHAR(39))))</f>
        <v/>
      </c>
      <c r="M277" s="5" t="str">
        <f>IF(OR(TRIM($B277)="",$C277=""),"",IF(IFERROR(MATCH(TRIM($C277),{"Quantitative","Continuous","Discrete","Categorical","Nominal","Ordinal","Identifier"},0),0)=0,_xlfn.CONCAT("* REVIEW REQUIRED: invalid Variable Type on Sheet 1 row ",277,"."),_xlfn.CONCAT("char ",TRIM($B277),"[doc_vartype] ",CHAR(96),CHAR(34),SUBSTITUTE(SUBSTITUTE(SUBSTITUTE(SUBSTITUTE(SUBSTITUTE(SUBSTITUTE(LOWER(TRIM($C277)),CHAR(13)," "),CHAR(10)," "),CHAR(9)," "),CHAR(92),_xlfn.CONCAT(CHAR(92),CHAR(92))),"$",_xlfn.CONCAT(CHAR(92),"$")),CHAR(96),_xlfn.CONCAT(CHAR(92),CHAR(96))),CHAR(34),CHAR(39))))</f>
        <v/>
      </c>
      <c r="N277" s="5" t="str">
        <f>IF(OR(TRIM($B277)="",$D277=""),"",IF(OR(ISNUMBER(SEARCH(_xlfn.CONCAT(CHAR(96),CHAR(34)),$D277)),ISNUMBER(SEARCH(_xlfn.CONCAT(CHAR(34),CHAR(39)),$D277))),_xlfn.CONCAT("* REVIEW REQUIRED: compound-quote delimiter in Item Number on Sheet 1 row ",277,"; edit the input before running."),_xlfn.CONCAT("char ",TRIM($B277),"[doc_itemnum] ",CHAR(96),CHAR(34),SUBSTITUTE(SUBSTITUTE(SUBSTITUTE(SUBSTITUTE(SUBSTITUTE(SUBSTITUTE($D277,CHAR(13)," "),CHAR(10)," "),CHAR(9)," "),CHAR(92),_xlfn.CONCAT(CHAR(92),CHAR(92))),"$",_xlfn.CONCAT(CHAR(92),"$")),CHAR(96),_xlfn.CONCAT(CHAR(92),CHAR(96))),CHAR(34),CHAR(39))))</f>
        <v/>
      </c>
      <c r="O277" s="5" t="str">
        <f>IF(OR(TRIM($B277)="",$E277=""),"",IF(OR(ISNUMBER(SEARCH(_xlfn.CONCAT(CHAR(96),CHAR(34)),$E277)),ISNUMBER(SEARCH(_xlfn.CONCAT(CHAR(34),CHAR(39)),$E277))),_xlfn.CONCAT("* REVIEW REQUIRED: compound-quote delimiter in Question Wording on Sheet 1 row ",277,"; edit the input before running."),_xlfn.CONCAT("char ",TRIM($B277),"[doc_question] ",CHAR(96),CHAR(34),SUBSTITUTE(SUBSTITUTE(SUBSTITUTE(SUBSTITUTE(SUBSTITUTE(SUBSTITUTE($E277,CHAR(13)," "),CHAR(10)," "),CHAR(9)," "),CHAR(92),_xlfn.CONCAT(CHAR(92),CHAR(92))),"$",_xlfn.CONCAT(CHAR(92),"$")),CHAR(96),_xlfn.CONCAT(CHAR(92),CHAR(96))),CHAR(34),CHAR(39))))</f>
        <v/>
      </c>
      <c r="P277" s="5" t="str">
        <f>IF(OR(TRIM($B277)="",$F277=""),"",IF(OR(ISNUMBER(SEARCH(_xlfn.CONCAT(CHAR(96),CHAR(34)),$F277)),ISNUMBER(SEARCH(_xlfn.CONCAT(CHAR(34),CHAR(39)),$F277))),_xlfn.CONCAT("* REVIEW REQUIRED: compound-quote delimiter in Units on Sheet 1 row ",277,"; edit the input before running."),_xlfn.CONCAT("char ",TRIM($B277),"[doc_units] ",CHAR(96),CHAR(34),SUBSTITUTE(SUBSTITUTE(SUBSTITUTE(SUBSTITUTE(SUBSTITUTE(SUBSTITUTE($F277,CHAR(13)," "),CHAR(10)," "),CHAR(9)," "),CHAR(92),_xlfn.CONCAT(CHAR(92),CHAR(92))),"$",_xlfn.CONCAT(CHAR(92),"$")),CHAR(96),_xlfn.CONCAT(CHAR(92),CHAR(96))),CHAR(34),CHAR(39))))</f>
        <v/>
      </c>
      <c r="Q277" s="5" t="str">
        <f>IF(OR(TRIM($B277)="",$G277=""),"",IF(OR(ISNUMBER(SEARCH(_xlfn.CONCAT(CHAR(96),CHAR(34)),$G277)),ISNUMBER(SEARCH(_xlfn.CONCAT(CHAR(34),CHAR(39)),$G277))),_xlfn.CONCAT("* REVIEW REQUIRED: compound-quote delimiter in Universe on Sheet 1 row ",277,"; edit the input before running."),_xlfn.CONCAT("char ",TRIM($B277),"[doc_universe] ",CHAR(96),CHAR(34),SUBSTITUTE(SUBSTITUTE(SUBSTITUTE(SUBSTITUTE(SUBSTITUTE(SUBSTITUTE($G277,CHAR(13)," "),CHAR(10)," "),CHAR(9)," "),CHAR(92),_xlfn.CONCAT(CHAR(92),CHAR(92))),"$",_xlfn.CONCAT(CHAR(92),"$")),CHAR(96),_xlfn.CONCAT(CHAR(92),CHAR(96))),CHAR(34),CHAR(39))))</f>
        <v/>
      </c>
      <c r="R277" s="5" t="str">
        <f>IF(OR(TRIM($B277)="",$H277=""),"",IF(OR(ISNUMBER(SEARCH(_xlfn.CONCAT(CHAR(96),CHAR(34)),$H277)),ISNUMBER(SEARCH(_xlfn.CONCAT(CHAR(34),CHAR(39)),$H277))),_xlfn.CONCAT("* REVIEW REQUIRED: compound-quote delimiter in Source on Sheet 1 row ",277,"; edit the input before running."),_xlfn.CONCAT("char ",TRIM($B277),"[doc_source] ",CHAR(96),CHAR(34),SUBSTITUTE(SUBSTITUTE(SUBSTITUTE(SUBSTITUTE(SUBSTITUTE(SUBSTITUTE($H277,CHAR(13)," "),CHAR(10)," "),CHAR(9)," "),CHAR(92),_xlfn.CONCAT(CHAR(92),CHAR(92))),"$",_xlfn.CONCAT(CHAR(92),"$")),CHAR(96),_xlfn.CONCAT(CHAR(92),CHAR(96))),CHAR(34),CHAR(39))))</f>
        <v/>
      </c>
      <c r="S277" s="5" t="str">
        <f>IF(OR(TRIM($B277)="",$I277=""),"",IF(OR(ISNUMBER(SEARCH(_xlfn.CONCAT(CHAR(96),CHAR(34)),$I277)),ISNUMBER(SEARCH(_xlfn.CONCAT(CHAR(34),CHAR(39)),$I277))),_xlfn.CONCAT("* REVIEW REQUIRED: compound-quote delimiter in Derivation on Sheet 1 row ",277,"; edit the input before running."),_xlfn.CONCAT("char ",TRIM($B277),"[doc_derivation] ",CHAR(96),CHAR(34),SUBSTITUTE(SUBSTITUTE(SUBSTITUTE(SUBSTITUTE(SUBSTITUTE(SUBSTITUTE($I277,CHAR(13)," "),CHAR(10)," "),CHAR(9)," "),CHAR(92),_xlfn.CONCAT(CHAR(92),CHAR(92))),"$",_xlfn.CONCAT(CHAR(92),"$")),CHAR(96),_xlfn.CONCAT(CHAR(92),CHAR(96))),CHAR(34),CHAR(39))))</f>
        <v/>
      </c>
      <c r="T277" s="5" t="str">
        <f>IF(OR(TRIM($B277)="",$J277=""),"",IF(OR(ISNUMBER(SEARCH(_xlfn.CONCAT(CHAR(96),CHAR(34)),$J277)),ISNUMBER(SEARCH(_xlfn.CONCAT(CHAR(34),CHAR(39)),$J277))),_xlfn.CONCAT("* REVIEW REQUIRED: compound-quote delimiter in Notes on Sheet 1 row ",277,"; edit the input before running."),_xlfn.CONCAT("char ",TRIM($B277),"[doc_notes] ",CHAR(96),CHAR(34),SUBSTITUTE(SUBSTITUTE(SUBSTITUTE(SUBSTITUTE(SUBSTITUTE(SUBSTITUTE($J277,CHAR(13)," "),CHAR(10)," "),CHAR(9)," "),CHAR(92),_xlfn.CONCAT(CHAR(92),CHAR(92))),"$",_xlfn.CONCAT(CHAR(92),"$")),CHAR(96),_xlfn.CONCAT(CHAR(92),CHAR(96))),CHAR(34),CHAR(39))))</f>
        <v/>
      </c>
      <c r="U277" s="5">
        <f t="shared" si="9"/>
        <v>0</v>
      </c>
    </row>
    <row r="278" spans="3:21" ht="30" customHeight="1" x14ac:dyDescent="0.2">
      <c r="C278" s="4"/>
      <c r="K278" s="5">
        <f t="shared" si="8"/>
        <v>0</v>
      </c>
      <c r="L278" s="5" t="str">
        <f>IF(OR(TRIM($B278)="",$A278=""),"",IF(OR(ISNUMBER(SEARCH(_xlfn.CONCAT(CHAR(96),CHAR(34)),$A278)),ISNUMBER(SEARCH(_xlfn.CONCAT(CHAR(34),CHAR(39)),$A278))),_xlfn.CONCAT("* REVIEW REQUIRED: compound-quote delimiter in Codebook Section on Sheet 1 row ",278,"; edit the input before running."),_xlfn.CONCAT("char ",TRIM($B278),"[doc_section] ",CHAR(96),CHAR(34),SUBSTITUTE(SUBSTITUTE(SUBSTITUTE(SUBSTITUTE(SUBSTITUTE(SUBSTITUTE($A278,CHAR(13)," "),CHAR(10)," "),CHAR(9)," "),CHAR(92),_xlfn.CONCAT(CHAR(92),CHAR(92))),"$",_xlfn.CONCAT(CHAR(92),"$")),CHAR(96),_xlfn.CONCAT(CHAR(92),CHAR(96))),CHAR(34),CHAR(39))))</f>
        <v/>
      </c>
      <c r="M278" s="5" t="str">
        <f>IF(OR(TRIM($B278)="",$C278=""),"",IF(IFERROR(MATCH(TRIM($C278),{"Quantitative","Continuous","Discrete","Categorical","Nominal","Ordinal","Identifier"},0),0)=0,_xlfn.CONCAT("* REVIEW REQUIRED: invalid Variable Type on Sheet 1 row ",278,"."),_xlfn.CONCAT("char ",TRIM($B278),"[doc_vartype] ",CHAR(96),CHAR(34),SUBSTITUTE(SUBSTITUTE(SUBSTITUTE(SUBSTITUTE(SUBSTITUTE(SUBSTITUTE(LOWER(TRIM($C278)),CHAR(13)," "),CHAR(10)," "),CHAR(9)," "),CHAR(92),_xlfn.CONCAT(CHAR(92),CHAR(92))),"$",_xlfn.CONCAT(CHAR(92),"$")),CHAR(96),_xlfn.CONCAT(CHAR(92),CHAR(96))),CHAR(34),CHAR(39))))</f>
        <v/>
      </c>
      <c r="N278" s="5" t="str">
        <f>IF(OR(TRIM($B278)="",$D278=""),"",IF(OR(ISNUMBER(SEARCH(_xlfn.CONCAT(CHAR(96),CHAR(34)),$D278)),ISNUMBER(SEARCH(_xlfn.CONCAT(CHAR(34),CHAR(39)),$D278))),_xlfn.CONCAT("* REVIEW REQUIRED: compound-quote delimiter in Item Number on Sheet 1 row ",278,"; edit the input before running."),_xlfn.CONCAT("char ",TRIM($B278),"[doc_itemnum] ",CHAR(96),CHAR(34),SUBSTITUTE(SUBSTITUTE(SUBSTITUTE(SUBSTITUTE(SUBSTITUTE(SUBSTITUTE($D278,CHAR(13)," "),CHAR(10)," "),CHAR(9)," "),CHAR(92),_xlfn.CONCAT(CHAR(92),CHAR(92))),"$",_xlfn.CONCAT(CHAR(92),"$")),CHAR(96),_xlfn.CONCAT(CHAR(92),CHAR(96))),CHAR(34),CHAR(39))))</f>
        <v/>
      </c>
      <c r="O278" s="5" t="str">
        <f>IF(OR(TRIM($B278)="",$E278=""),"",IF(OR(ISNUMBER(SEARCH(_xlfn.CONCAT(CHAR(96),CHAR(34)),$E278)),ISNUMBER(SEARCH(_xlfn.CONCAT(CHAR(34),CHAR(39)),$E278))),_xlfn.CONCAT("* REVIEW REQUIRED: compound-quote delimiter in Question Wording on Sheet 1 row ",278,"; edit the input before running."),_xlfn.CONCAT("char ",TRIM($B278),"[doc_question] ",CHAR(96),CHAR(34),SUBSTITUTE(SUBSTITUTE(SUBSTITUTE(SUBSTITUTE(SUBSTITUTE(SUBSTITUTE($E278,CHAR(13)," "),CHAR(10)," "),CHAR(9)," "),CHAR(92),_xlfn.CONCAT(CHAR(92),CHAR(92))),"$",_xlfn.CONCAT(CHAR(92),"$")),CHAR(96),_xlfn.CONCAT(CHAR(92),CHAR(96))),CHAR(34),CHAR(39))))</f>
        <v/>
      </c>
      <c r="P278" s="5" t="str">
        <f>IF(OR(TRIM($B278)="",$F278=""),"",IF(OR(ISNUMBER(SEARCH(_xlfn.CONCAT(CHAR(96),CHAR(34)),$F278)),ISNUMBER(SEARCH(_xlfn.CONCAT(CHAR(34),CHAR(39)),$F278))),_xlfn.CONCAT("* REVIEW REQUIRED: compound-quote delimiter in Units on Sheet 1 row ",278,"; edit the input before running."),_xlfn.CONCAT("char ",TRIM($B278),"[doc_units] ",CHAR(96),CHAR(34),SUBSTITUTE(SUBSTITUTE(SUBSTITUTE(SUBSTITUTE(SUBSTITUTE(SUBSTITUTE($F278,CHAR(13)," "),CHAR(10)," "),CHAR(9)," "),CHAR(92),_xlfn.CONCAT(CHAR(92),CHAR(92))),"$",_xlfn.CONCAT(CHAR(92),"$")),CHAR(96),_xlfn.CONCAT(CHAR(92),CHAR(96))),CHAR(34),CHAR(39))))</f>
        <v/>
      </c>
      <c r="Q278" s="5" t="str">
        <f>IF(OR(TRIM($B278)="",$G278=""),"",IF(OR(ISNUMBER(SEARCH(_xlfn.CONCAT(CHAR(96),CHAR(34)),$G278)),ISNUMBER(SEARCH(_xlfn.CONCAT(CHAR(34),CHAR(39)),$G278))),_xlfn.CONCAT("* REVIEW REQUIRED: compound-quote delimiter in Universe on Sheet 1 row ",278,"; edit the input before running."),_xlfn.CONCAT("char ",TRIM($B278),"[doc_universe] ",CHAR(96),CHAR(34),SUBSTITUTE(SUBSTITUTE(SUBSTITUTE(SUBSTITUTE(SUBSTITUTE(SUBSTITUTE($G278,CHAR(13)," "),CHAR(10)," "),CHAR(9)," "),CHAR(92),_xlfn.CONCAT(CHAR(92),CHAR(92))),"$",_xlfn.CONCAT(CHAR(92),"$")),CHAR(96),_xlfn.CONCAT(CHAR(92),CHAR(96))),CHAR(34),CHAR(39))))</f>
        <v/>
      </c>
      <c r="R278" s="5" t="str">
        <f>IF(OR(TRIM($B278)="",$H278=""),"",IF(OR(ISNUMBER(SEARCH(_xlfn.CONCAT(CHAR(96),CHAR(34)),$H278)),ISNUMBER(SEARCH(_xlfn.CONCAT(CHAR(34),CHAR(39)),$H278))),_xlfn.CONCAT("* REVIEW REQUIRED: compound-quote delimiter in Source on Sheet 1 row ",278,"; edit the input before running."),_xlfn.CONCAT("char ",TRIM($B278),"[doc_source] ",CHAR(96),CHAR(34),SUBSTITUTE(SUBSTITUTE(SUBSTITUTE(SUBSTITUTE(SUBSTITUTE(SUBSTITUTE($H278,CHAR(13)," "),CHAR(10)," "),CHAR(9)," "),CHAR(92),_xlfn.CONCAT(CHAR(92),CHAR(92))),"$",_xlfn.CONCAT(CHAR(92),"$")),CHAR(96),_xlfn.CONCAT(CHAR(92),CHAR(96))),CHAR(34),CHAR(39))))</f>
        <v/>
      </c>
      <c r="S278" s="5" t="str">
        <f>IF(OR(TRIM($B278)="",$I278=""),"",IF(OR(ISNUMBER(SEARCH(_xlfn.CONCAT(CHAR(96),CHAR(34)),$I278)),ISNUMBER(SEARCH(_xlfn.CONCAT(CHAR(34),CHAR(39)),$I278))),_xlfn.CONCAT("* REVIEW REQUIRED: compound-quote delimiter in Derivation on Sheet 1 row ",278,"; edit the input before running."),_xlfn.CONCAT("char ",TRIM($B278),"[doc_derivation] ",CHAR(96),CHAR(34),SUBSTITUTE(SUBSTITUTE(SUBSTITUTE(SUBSTITUTE(SUBSTITUTE(SUBSTITUTE($I278,CHAR(13)," "),CHAR(10)," "),CHAR(9)," "),CHAR(92),_xlfn.CONCAT(CHAR(92),CHAR(92))),"$",_xlfn.CONCAT(CHAR(92),"$")),CHAR(96),_xlfn.CONCAT(CHAR(92),CHAR(96))),CHAR(34),CHAR(39))))</f>
        <v/>
      </c>
      <c r="T278" s="5" t="str">
        <f>IF(OR(TRIM($B278)="",$J278=""),"",IF(OR(ISNUMBER(SEARCH(_xlfn.CONCAT(CHAR(96),CHAR(34)),$J278)),ISNUMBER(SEARCH(_xlfn.CONCAT(CHAR(34),CHAR(39)),$J278))),_xlfn.CONCAT("* REVIEW REQUIRED: compound-quote delimiter in Notes on Sheet 1 row ",278,"; edit the input before running."),_xlfn.CONCAT("char ",TRIM($B278),"[doc_notes] ",CHAR(96),CHAR(34),SUBSTITUTE(SUBSTITUTE(SUBSTITUTE(SUBSTITUTE(SUBSTITUTE(SUBSTITUTE($J278,CHAR(13)," "),CHAR(10)," "),CHAR(9)," "),CHAR(92),_xlfn.CONCAT(CHAR(92),CHAR(92))),"$",_xlfn.CONCAT(CHAR(92),"$")),CHAR(96),_xlfn.CONCAT(CHAR(92),CHAR(96))),CHAR(34),CHAR(39))))</f>
        <v/>
      </c>
      <c r="U278" s="5">
        <f t="shared" si="9"/>
        <v>0</v>
      </c>
    </row>
    <row r="279" spans="3:21" ht="30" customHeight="1" x14ac:dyDescent="0.2">
      <c r="C279" s="4"/>
      <c r="K279" s="5">
        <f t="shared" si="8"/>
        <v>0</v>
      </c>
      <c r="L279" s="5" t="str">
        <f>IF(OR(TRIM($B279)="",$A279=""),"",IF(OR(ISNUMBER(SEARCH(_xlfn.CONCAT(CHAR(96),CHAR(34)),$A279)),ISNUMBER(SEARCH(_xlfn.CONCAT(CHAR(34),CHAR(39)),$A279))),_xlfn.CONCAT("* REVIEW REQUIRED: compound-quote delimiter in Codebook Section on Sheet 1 row ",279,"; edit the input before running."),_xlfn.CONCAT("char ",TRIM($B279),"[doc_section] ",CHAR(96),CHAR(34),SUBSTITUTE(SUBSTITUTE(SUBSTITUTE(SUBSTITUTE(SUBSTITUTE(SUBSTITUTE($A279,CHAR(13)," "),CHAR(10)," "),CHAR(9)," "),CHAR(92),_xlfn.CONCAT(CHAR(92),CHAR(92))),"$",_xlfn.CONCAT(CHAR(92),"$")),CHAR(96),_xlfn.CONCAT(CHAR(92),CHAR(96))),CHAR(34),CHAR(39))))</f>
        <v/>
      </c>
      <c r="M279" s="5" t="str">
        <f>IF(OR(TRIM($B279)="",$C279=""),"",IF(IFERROR(MATCH(TRIM($C279),{"Quantitative","Continuous","Discrete","Categorical","Nominal","Ordinal","Identifier"},0),0)=0,_xlfn.CONCAT("* REVIEW REQUIRED: invalid Variable Type on Sheet 1 row ",279,"."),_xlfn.CONCAT("char ",TRIM($B279),"[doc_vartype] ",CHAR(96),CHAR(34),SUBSTITUTE(SUBSTITUTE(SUBSTITUTE(SUBSTITUTE(SUBSTITUTE(SUBSTITUTE(LOWER(TRIM($C279)),CHAR(13)," "),CHAR(10)," "),CHAR(9)," "),CHAR(92),_xlfn.CONCAT(CHAR(92),CHAR(92))),"$",_xlfn.CONCAT(CHAR(92),"$")),CHAR(96),_xlfn.CONCAT(CHAR(92),CHAR(96))),CHAR(34),CHAR(39))))</f>
        <v/>
      </c>
      <c r="N279" s="5" t="str">
        <f>IF(OR(TRIM($B279)="",$D279=""),"",IF(OR(ISNUMBER(SEARCH(_xlfn.CONCAT(CHAR(96),CHAR(34)),$D279)),ISNUMBER(SEARCH(_xlfn.CONCAT(CHAR(34),CHAR(39)),$D279))),_xlfn.CONCAT("* REVIEW REQUIRED: compound-quote delimiter in Item Number on Sheet 1 row ",279,"; edit the input before running."),_xlfn.CONCAT("char ",TRIM($B279),"[doc_itemnum] ",CHAR(96),CHAR(34),SUBSTITUTE(SUBSTITUTE(SUBSTITUTE(SUBSTITUTE(SUBSTITUTE(SUBSTITUTE($D279,CHAR(13)," "),CHAR(10)," "),CHAR(9)," "),CHAR(92),_xlfn.CONCAT(CHAR(92),CHAR(92))),"$",_xlfn.CONCAT(CHAR(92),"$")),CHAR(96),_xlfn.CONCAT(CHAR(92),CHAR(96))),CHAR(34),CHAR(39))))</f>
        <v/>
      </c>
      <c r="O279" s="5" t="str">
        <f>IF(OR(TRIM($B279)="",$E279=""),"",IF(OR(ISNUMBER(SEARCH(_xlfn.CONCAT(CHAR(96),CHAR(34)),$E279)),ISNUMBER(SEARCH(_xlfn.CONCAT(CHAR(34),CHAR(39)),$E279))),_xlfn.CONCAT("* REVIEW REQUIRED: compound-quote delimiter in Question Wording on Sheet 1 row ",279,"; edit the input before running."),_xlfn.CONCAT("char ",TRIM($B279),"[doc_question] ",CHAR(96),CHAR(34),SUBSTITUTE(SUBSTITUTE(SUBSTITUTE(SUBSTITUTE(SUBSTITUTE(SUBSTITUTE($E279,CHAR(13)," "),CHAR(10)," "),CHAR(9)," "),CHAR(92),_xlfn.CONCAT(CHAR(92),CHAR(92))),"$",_xlfn.CONCAT(CHAR(92),"$")),CHAR(96),_xlfn.CONCAT(CHAR(92),CHAR(96))),CHAR(34),CHAR(39))))</f>
        <v/>
      </c>
      <c r="P279" s="5" t="str">
        <f>IF(OR(TRIM($B279)="",$F279=""),"",IF(OR(ISNUMBER(SEARCH(_xlfn.CONCAT(CHAR(96),CHAR(34)),$F279)),ISNUMBER(SEARCH(_xlfn.CONCAT(CHAR(34),CHAR(39)),$F279))),_xlfn.CONCAT("* REVIEW REQUIRED: compound-quote delimiter in Units on Sheet 1 row ",279,"; edit the input before running."),_xlfn.CONCAT("char ",TRIM($B279),"[doc_units] ",CHAR(96),CHAR(34),SUBSTITUTE(SUBSTITUTE(SUBSTITUTE(SUBSTITUTE(SUBSTITUTE(SUBSTITUTE($F279,CHAR(13)," "),CHAR(10)," "),CHAR(9)," "),CHAR(92),_xlfn.CONCAT(CHAR(92),CHAR(92))),"$",_xlfn.CONCAT(CHAR(92),"$")),CHAR(96),_xlfn.CONCAT(CHAR(92),CHAR(96))),CHAR(34),CHAR(39))))</f>
        <v/>
      </c>
      <c r="Q279" s="5" t="str">
        <f>IF(OR(TRIM($B279)="",$G279=""),"",IF(OR(ISNUMBER(SEARCH(_xlfn.CONCAT(CHAR(96),CHAR(34)),$G279)),ISNUMBER(SEARCH(_xlfn.CONCAT(CHAR(34),CHAR(39)),$G279))),_xlfn.CONCAT("* REVIEW REQUIRED: compound-quote delimiter in Universe on Sheet 1 row ",279,"; edit the input before running."),_xlfn.CONCAT("char ",TRIM($B279),"[doc_universe] ",CHAR(96),CHAR(34),SUBSTITUTE(SUBSTITUTE(SUBSTITUTE(SUBSTITUTE(SUBSTITUTE(SUBSTITUTE($G279,CHAR(13)," "),CHAR(10)," "),CHAR(9)," "),CHAR(92),_xlfn.CONCAT(CHAR(92),CHAR(92))),"$",_xlfn.CONCAT(CHAR(92),"$")),CHAR(96),_xlfn.CONCAT(CHAR(92),CHAR(96))),CHAR(34),CHAR(39))))</f>
        <v/>
      </c>
      <c r="R279" s="5" t="str">
        <f>IF(OR(TRIM($B279)="",$H279=""),"",IF(OR(ISNUMBER(SEARCH(_xlfn.CONCAT(CHAR(96),CHAR(34)),$H279)),ISNUMBER(SEARCH(_xlfn.CONCAT(CHAR(34),CHAR(39)),$H279))),_xlfn.CONCAT("* REVIEW REQUIRED: compound-quote delimiter in Source on Sheet 1 row ",279,"; edit the input before running."),_xlfn.CONCAT("char ",TRIM($B279),"[doc_source] ",CHAR(96),CHAR(34),SUBSTITUTE(SUBSTITUTE(SUBSTITUTE(SUBSTITUTE(SUBSTITUTE(SUBSTITUTE($H279,CHAR(13)," "),CHAR(10)," "),CHAR(9)," "),CHAR(92),_xlfn.CONCAT(CHAR(92),CHAR(92))),"$",_xlfn.CONCAT(CHAR(92),"$")),CHAR(96),_xlfn.CONCAT(CHAR(92),CHAR(96))),CHAR(34),CHAR(39))))</f>
        <v/>
      </c>
      <c r="S279" s="5" t="str">
        <f>IF(OR(TRIM($B279)="",$I279=""),"",IF(OR(ISNUMBER(SEARCH(_xlfn.CONCAT(CHAR(96),CHAR(34)),$I279)),ISNUMBER(SEARCH(_xlfn.CONCAT(CHAR(34),CHAR(39)),$I279))),_xlfn.CONCAT("* REVIEW REQUIRED: compound-quote delimiter in Derivation on Sheet 1 row ",279,"; edit the input before running."),_xlfn.CONCAT("char ",TRIM($B279),"[doc_derivation] ",CHAR(96),CHAR(34),SUBSTITUTE(SUBSTITUTE(SUBSTITUTE(SUBSTITUTE(SUBSTITUTE(SUBSTITUTE($I279,CHAR(13)," "),CHAR(10)," "),CHAR(9)," "),CHAR(92),_xlfn.CONCAT(CHAR(92),CHAR(92))),"$",_xlfn.CONCAT(CHAR(92),"$")),CHAR(96),_xlfn.CONCAT(CHAR(92),CHAR(96))),CHAR(34),CHAR(39))))</f>
        <v/>
      </c>
      <c r="T279" s="5" t="str">
        <f>IF(OR(TRIM($B279)="",$J279=""),"",IF(OR(ISNUMBER(SEARCH(_xlfn.CONCAT(CHAR(96),CHAR(34)),$J279)),ISNUMBER(SEARCH(_xlfn.CONCAT(CHAR(34),CHAR(39)),$J279))),_xlfn.CONCAT("* REVIEW REQUIRED: compound-quote delimiter in Notes on Sheet 1 row ",279,"; edit the input before running."),_xlfn.CONCAT("char ",TRIM($B279),"[doc_notes] ",CHAR(96),CHAR(34),SUBSTITUTE(SUBSTITUTE(SUBSTITUTE(SUBSTITUTE(SUBSTITUTE(SUBSTITUTE($J279,CHAR(13)," "),CHAR(10)," "),CHAR(9)," "),CHAR(92),_xlfn.CONCAT(CHAR(92),CHAR(92))),"$",_xlfn.CONCAT(CHAR(92),"$")),CHAR(96),_xlfn.CONCAT(CHAR(92),CHAR(96))),CHAR(34),CHAR(39))))</f>
        <v/>
      </c>
      <c r="U279" s="5">
        <f t="shared" si="9"/>
        <v>0</v>
      </c>
    </row>
    <row r="280" spans="3:21" ht="30" customHeight="1" x14ac:dyDescent="0.2">
      <c r="C280" s="4"/>
      <c r="K280" s="5">
        <f t="shared" si="8"/>
        <v>0</v>
      </c>
      <c r="L280" s="5" t="str">
        <f>IF(OR(TRIM($B280)="",$A280=""),"",IF(OR(ISNUMBER(SEARCH(_xlfn.CONCAT(CHAR(96),CHAR(34)),$A280)),ISNUMBER(SEARCH(_xlfn.CONCAT(CHAR(34),CHAR(39)),$A280))),_xlfn.CONCAT("* REVIEW REQUIRED: compound-quote delimiter in Codebook Section on Sheet 1 row ",280,"; edit the input before running."),_xlfn.CONCAT("char ",TRIM($B280),"[doc_section] ",CHAR(96),CHAR(34),SUBSTITUTE(SUBSTITUTE(SUBSTITUTE(SUBSTITUTE(SUBSTITUTE(SUBSTITUTE($A280,CHAR(13)," "),CHAR(10)," "),CHAR(9)," "),CHAR(92),_xlfn.CONCAT(CHAR(92),CHAR(92))),"$",_xlfn.CONCAT(CHAR(92),"$")),CHAR(96),_xlfn.CONCAT(CHAR(92),CHAR(96))),CHAR(34),CHAR(39))))</f>
        <v/>
      </c>
      <c r="M280" s="5" t="str">
        <f>IF(OR(TRIM($B280)="",$C280=""),"",IF(IFERROR(MATCH(TRIM($C280),{"Quantitative","Continuous","Discrete","Categorical","Nominal","Ordinal","Identifier"},0),0)=0,_xlfn.CONCAT("* REVIEW REQUIRED: invalid Variable Type on Sheet 1 row ",280,"."),_xlfn.CONCAT("char ",TRIM($B280),"[doc_vartype] ",CHAR(96),CHAR(34),SUBSTITUTE(SUBSTITUTE(SUBSTITUTE(SUBSTITUTE(SUBSTITUTE(SUBSTITUTE(LOWER(TRIM($C280)),CHAR(13)," "),CHAR(10)," "),CHAR(9)," "),CHAR(92),_xlfn.CONCAT(CHAR(92),CHAR(92))),"$",_xlfn.CONCAT(CHAR(92),"$")),CHAR(96),_xlfn.CONCAT(CHAR(92),CHAR(96))),CHAR(34),CHAR(39))))</f>
        <v/>
      </c>
      <c r="N280" s="5" t="str">
        <f>IF(OR(TRIM($B280)="",$D280=""),"",IF(OR(ISNUMBER(SEARCH(_xlfn.CONCAT(CHAR(96),CHAR(34)),$D280)),ISNUMBER(SEARCH(_xlfn.CONCAT(CHAR(34),CHAR(39)),$D280))),_xlfn.CONCAT("* REVIEW REQUIRED: compound-quote delimiter in Item Number on Sheet 1 row ",280,"; edit the input before running."),_xlfn.CONCAT("char ",TRIM($B280),"[doc_itemnum] ",CHAR(96),CHAR(34),SUBSTITUTE(SUBSTITUTE(SUBSTITUTE(SUBSTITUTE(SUBSTITUTE(SUBSTITUTE($D280,CHAR(13)," "),CHAR(10)," "),CHAR(9)," "),CHAR(92),_xlfn.CONCAT(CHAR(92),CHAR(92))),"$",_xlfn.CONCAT(CHAR(92),"$")),CHAR(96),_xlfn.CONCAT(CHAR(92),CHAR(96))),CHAR(34),CHAR(39))))</f>
        <v/>
      </c>
      <c r="O280" s="5" t="str">
        <f>IF(OR(TRIM($B280)="",$E280=""),"",IF(OR(ISNUMBER(SEARCH(_xlfn.CONCAT(CHAR(96),CHAR(34)),$E280)),ISNUMBER(SEARCH(_xlfn.CONCAT(CHAR(34),CHAR(39)),$E280))),_xlfn.CONCAT("* REVIEW REQUIRED: compound-quote delimiter in Question Wording on Sheet 1 row ",280,"; edit the input before running."),_xlfn.CONCAT("char ",TRIM($B280),"[doc_question] ",CHAR(96),CHAR(34),SUBSTITUTE(SUBSTITUTE(SUBSTITUTE(SUBSTITUTE(SUBSTITUTE(SUBSTITUTE($E280,CHAR(13)," "),CHAR(10)," "),CHAR(9)," "),CHAR(92),_xlfn.CONCAT(CHAR(92),CHAR(92))),"$",_xlfn.CONCAT(CHAR(92),"$")),CHAR(96),_xlfn.CONCAT(CHAR(92),CHAR(96))),CHAR(34),CHAR(39))))</f>
        <v/>
      </c>
      <c r="P280" s="5" t="str">
        <f>IF(OR(TRIM($B280)="",$F280=""),"",IF(OR(ISNUMBER(SEARCH(_xlfn.CONCAT(CHAR(96),CHAR(34)),$F280)),ISNUMBER(SEARCH(_xlfn.CONCAT(CHAR(34),CHAR(39)),$F280))),_xlfn.CONCAT("* REVIEW REQUIRED: compound-quote delimiter in Units on Sheet 1 row ",280,"; edit the input before running."),_xlfn.CONCAT("char ",TRIM($B280),"[doc_units] ",CHAR(96),CHAR(34),SUBSTITUTE(SUBSTITUTE(SUBSTITUTE(SUBSTITUTE(SUBSTITUTE(SUBSTITUTE($F280,CHAR(13)," "),CHAR(10)," "),CHAR(9)," "),CHAR(92),_xlfn.CONCAT(CHAR(92),CHAR(92))),"$",_xlfn.CONCAT(CHAR(92),"$")),CHAR(96),_xlfn.CONCAT(CHAR(92),CHAR(96))),CHAR(34),CHAR(39))))</f>
        <v/>
      </c>
      <c r="Q280" s="5" t="str">
        <f>IF(OR(TRIM($B280)="",$G280=""),"",IF(OR(ISNUMBER(SEARCH(_xlfn.CONCAT(CHAR(96),CHAR(34)),$G280)),ISNUMBER(SEARCH(_xlfn.CONCAT(CHAR(34),CHAR(39)),$G280))),_xlfn.CONCAT("* REVIEW REQUIRED: compound-quote delimiter in Universe on Sheet 1 row ",280,"; edit the input before running."),_xlfn.CONCAT("char ",TRIM($B280),"[doc_universe] ",CHAR(96),CHAR(34),SUBSTITUTE(SUBSTITUTE(SUBSTITUTE(SUBSTITUTE(SUBSTITUTE(SUBSTITUTE($G280,CHAR(13)," "),CHAR(10)," "),CHAR(9)," "),CHAR(92),_xlfn.CONCAT(CHAR(92),CHAR(92))),"$",_xlfn.CONCAT(CHAR(92),"$")),CHAR(96),_xlfn.CONCAT(CHAR(92),CHAR(96))),CHAR(34),CHAR(39))))</f>
        <v/>
      </c>
      <c r="R280" s="5" t="str">
        <f>IF(OR(TRIM($B280)="",$H280=""),"",IF(OR(ISNUMBER(SEARCH(_xlfn.CONCAT(CHAR(96),CHAR(34)),$H280)),ISNUMBER(SEARCH(_xlfn.CONCAT(CHAR(34),CHAR(39)),$H280))),_xlfn.CONCAT("* REVIEW REQUIRED: compound-quote delimiter in Source on Sheet 1 row ",280,"; edit the input before running."),_xlfn.CONCAT("char ",TRIM($B280),"[doc_source] ",CHAR(96),CHAR(34),SUBSTITUTE(SUBSTITUTE(SUBSTITUTE(SUBSTITUTE(SUBSTITUTE(SUBSTITUTE($H280,CHAR(13)," "),CHAR(10)," "),CHAR(9)," "),CHAR(92),_xlfn.CONCAT(CHAR(92),CHAR(92))),"$",_xlfn.CONCAT(CHAR(92),"$")),CHAR(96),_xlfn.CONCAT(CHAR(92),CHAR(96))),CHAR(34),CHAR(39))))</f>
        <v/>
      </c>
      <c r="S280" s="5" t="str">
        <f>IF(OR(TRIM($B280)="",$I280=""),"",IF(OR(ISNUMBER(SEARCH(_xlfn.CONCAT(CHAR(96),CHAR(34)),$I280)),ISNUMBER(SEARCH(_xlfn.CONCAT(CHAR(34),CHAR(39)),$I280))),_xlfn.CONCAT("* REVIEW REQUIRED: compound-quote delimiter in Derivation on Sheet 1 row ",280,"; edit the input before running."),_xlfn.CONCAT("char ",TRIM($B280),"[doc_derivation] ",CHAR(96),CHAR(34),SUBSTITUTE(SUBSTITUTE(SUBSTITUTE(SUBSTITUTE(SUBSTITUTE(SUBSTITUTE($I280,CHAR(13)," "),CHAR(10)," "),CHAR(9)," "),CHAR(92),_xlfn.CONCAT(CHAR(92),CHAR(92))),"$",_xlfn.CONCAT(CHAR(92),"$")),CHAR(96),_xlfn.CONCAT(CHAR(92),CHAR(96))),CHAR(34),CHAR(39))))</f>
        <v/>
      </c>
      <c r="T280" s="5" t="str">
        <f>IF(OR(TRIM($B280)="",$J280=""),"",IF(OR(ISNUMBER(SEARCH(_xlfn.CONCAT(CHAR(96),CHAR(34)),$J280)),ISNUMBER(SEARCH(_xlfn.CONCAT(CHAR(34),CHAR(39)),$J280))),_xlfn.CONCAT("* REVIEW REQUIRED: compound-quote delimiter in Notes on Sheet 1 row ",280,"; edit the input before running."),_xlfn.CONCAT("char ",TRIM($B280),"[doc_notes] ",CHAR(96),CHAR(34),SUBSTITUTE(SUBSTITUTE(SUBSTITUTE(SUBSTITUTE(SUBSTITUTE(SUBSTITUTE($J280,CHAR(13)," "),CHAR(10)," "),CHAR(9)," "),CHAR(92),_xlfn.CONCAT(CHAR(92),CHAR(92))),"$",_xlfn.CONCAT(CHAR(92),"$")),CHAR(96),_xlfn.CONCAT(CHAR(92),CHAR(96))),CHAR(34),CHAR(39))))</f>
        <v/>
      </c>
      <c r="U280" s="5">
        <f t="shared" si="9"/>
        <v>0</v>
      </c>
    </row>
    <row r="281" spans="3:21" ht="30" customHeight="1" x14ac:dyDescent="0.2">
      <c r="C281" s="4"/>
      <c r="K281" s="5">
        <f t="shared" si="8"/>
        <v>0</v>
      </c>
      <c r="L281" s="5" t="str">
        <f>IF(OR(TRIM($B281)="",$A281=""),"",IF(OR(ISNUMBER(SEARCH(_xlfn.CONCAT(CHAR(96),CHAR(34)),$A281)),ISNUMBER(SEARCH(_xlfn.CONCAT(CHAR(34),CHAR(39)),$A281))),_xlfn.CONCAT("* REVIEW REQUIRED: compound-quote delimiter in Codebook Section on Sheet 1 row ",281,"; edit the input before running."),_xlfn.CONCAT("char ",TRIM($B281),"[doc_section] ",CHAR(96),CHAR(34),SUBSTITUTE(SUBSTITUTE(SUBSTITUTE(SUBSTITUTE(SUBSTITUTE(SUBSTITUTE($A281,CHAR(13)," "),CHAR(10)," "),CHAR(9)," "),CHAR(92),_xlfn.CONCAT(CHAR(92),CHAR(92))),"$",_xlfn.CONCAT(CHAR(92),"$")),CHAR(96),_xlfn.CONCAT(CHAR(92),CHAR(96))),CHAR(34),CHAR(39))))</f>
        <v/>
      </c>
      <c r="M281" s="5" t="str">
        <f>IF(OR(TRIM($B281)="",$C281=""),"",IF(IFERROR(MATCH(TRIM($C281),{"Quantitative","Continuous","Discrete","Categorical","Nominal","Ordinal","Identifier"},0),0)=0,_xlfn.CONCAT("* REVIEW REQUIRED: invalid Variable Type on Sheet 1 row ",281,"."),_xlfn.CONCAT("char ",TRIM($B281),"[doc_vartype] ",CHAR(96),CHAR(34),SUBSTITUTE(SUBSTITUTE(SUBSTITUTE(SUBSTITUTE(SUBSTITUTE(SUBSTITUTE(LOWER(TRIM($C281)),CHAR(13)," "),CHAR(10)," "),CHAR(9)," "),CHAR(92),_xlfn.CONCAT(CHAR(92),CHAR(92))),"$",_xlfn.CONCAT(CHAR(92),"$")),CHAR(96),_xlfn.CONCAT(CHAR(92),CHAR(96))),CHAR(34),CHAR(39))))</f>
        <v/>
      </c>
      <c r="N281" s="5" t="str">
        <f>IF(OR(TRIM($B281)="",$D281=""),"",IF(OR(ISNUMBER(SEARCH(_xlfn.CONCAT(CHAR(96),CHAR(34)),$D281)),ISNUMBER(SEARCH(_xlfn.CONCAT(CHAR(34),CHAR(39)),$D281))),_xlfn.CONCAT("* REVIEW REQUIRED: compound-quote delimiter in Item Number on Sheet 1 row ",281,"; edit the input before running."),_xlfn.CONCAT("char ",TRIM($B281),"[doc_itemnum] ",CHAR(96),CHAR(34),SUBSTITUTE(SUBSTITUTE(SUBSTITUTE(SUBSTITUTE(SUBSTITUTE(SUBSTITUTE($D281,CHAR(13)," "),CHAR(10)," "),CHAR(9)," "),CHAR(92),_xlfn.CONCAT(CHAR(92),CHAR(92))),"$",_xlfn.CONCAT(CHAR(92),"$")),CHAR(96),_xlfn.CONCAT(CHAR(92),CHAR(96))),CHAR(34),CHAR(39))))</f>
        <v/>
      </c>
      <c r="O281" s="5" t="str">
        <f>IF(OR(TRIM($B281)="",$E281=""),"",IF(OR(ISNUMBER(SEARCH(_xlfn.CONCAT(CHAR(96),CHAR(34)),$E281)),ISNUMBER(SEARCH(_xlfn.CONCAT(CHAR(34),CHAR(39)),$E281))),_xlfn.CONCAT("* REVIEW REQUIRED: compound-quote delimiter in Question Wording on Sheet 1 row ",281,"; edit the input before running."),_xlfn.CONCAT("char ",TRIM($B281),"[doc_question] ",CHAR(96),CHAR(34),SUBSTITUTE(SUBSTITUTE(SUBSTITUTE(SUBSTITUTE(SUBSTITUTE(SUBSTITUTE($E281,CHAR(13)," "),CHAR(10)," "),CHAR(9)," "),CHAR(92),_xlfn.CONCAT(CHAR(92),CHAR(92))),"$",_xlfn.CONCAT(CHAR(92),"$")),CHAR(96),_xlfn.CONCAT(CHAR(92),CHAR(96))),CHAR(34),CHAR(39))))</f>
        <v/>
      </c>
      <c r="P281" s="5" t="str">
        <f>IF(OR(TRIM($B281)="",$F281=""),"",IF(OR(ISNUMBER(SEARCH(_xlfn.CONCAT(CHAR(96),CHAR(34)),$F281)),ISNUMBER(SEARCH(_xlfn.CONCAT(CHAR(34),CHAR(39)),$F281))),_xlfn.CONCAT("* REVIEW REQUIRED: compound-quote delimiter in Units on Sheet 1 row ",281,"; edit the input before running."),_xlfn.CONCAT("char ",TRIM($B281),"[doc_units] ",CHAR(96),CHAR(34),SUBSTITUTE(SUBSTITUTE(SUBSTITUTE(SUBSTITUTE(SUBSTITUTE(SUBSTITUTE($F281,CHAR(13)," "),CHAR(10)," "),CHAR(9)," "),CHAR(92),_xlfn.CONCAT(CHAR(92),CHAR(92))),"$",_xlfn.CONCAT(CHAR(92),"$")),CHAR(96),_xlfn.CONCAT(CHAR(92),CHAR(96))),CHAR(34),CHAR(39))))</f>
        <v/>
      </c>
      <c r="Q281" s="5" t="str">
        <f>IF(OR(TRIM($B281)="",$G281=""),"",IF(OR(ISNUMBER(SEARCH(_xlfn.CONCAT(CHAR(96),CHAR(34)),$G281)),ISNUMBER(SEARCH(_xlfn.CONCAT(CHAR(34),CHAR(39)),$G281))),_xlfn.CONCAT("* REVIEW REQUIRED: compound-quote delimiter in Universe on Sheet 1 row ",281,"; edit the input before running."),_xlfn.CONCAT("char ",TRIM($B281),"[doc_universe] ",CHAR(96),CHAR(34),SUBSTITUTE(SUBSTITUTE(SUBSTITUTE(SUBSTITUTE(SUBSTITUTE(SUBSTITUTE($G281,CHAR(13)," "),CHAR(10)," "),CHAR(9)," "),CHAR(92),_xlfn.CONCAT(CHAR(92),CHAR(92))),"$",_xlfn.CONCAT(CHAR(92),"$")),CHAR(96),_xlfn.CONCAT(CHAR(92),CHAR(96))),CHAR(34),CHAR(39))))</f>
        <v/>
      </c>
      <c r="R281" s="5" t="str">
        <f>IF(OR(TRIM($B281)="",$H281=""),"",IF(OR(ISNUMBER(SEARCH(_xlfn.CONCAT(CHAR(96),CHAR(34)),$H281)),ISNUMBER(SEARCH(_xlfn.CONCAT(CHAR(34),CHAR(39)),$H281))),_xlfn.CONCAT("* REVIEW REQUIRED: compound-quote delimiter in Source on Sheet 1 row ",281,"; edit the input before running."),_xlfn.CONCAT("char ",TRIM($B281),"[doc_source] ",CHAR(96),CHAR(34),SUBSTITUTE(SUBSTITUTE(SUBSTITUTE(SUBSTITUTE(SUBSTITUTE(SUBSTITUTE($H281,CHAR(13)," "),CHAR(10)," "),CHAR(9)," "),CHAR(92),_xlfn.CONCAT(CHAR(92),CHAR(92))),"$",_xlfn.CONCAT(CHAR(92),"$")),CHAR(96),_xlfn.CONCAT(CHAR(92),CHAR(96))),CHAR(34),CHAR(39))))</f>
        <v/>
      </c>
      <c r="S281" s="5" t="str">
        <f>IF(OR(TRIM($B281)="",$I281=""),"",IF(OR(ISNUMBER(SEARCH(_xlfn.CONCAT(CHAR(96),CHAR(34)),$I281)),ISNUMBER(SEARCH(_xlfn.CONCAT(CHAR(34),CHAR(39)),$I281))),_xlfn.CONCAT("* REVIEW REQUIRED: compound-quote delimiter in Derivation on Sheet 1 row ",281,"; edit the input before running."),_xlfn.CONCAT("char ",TRIM($B281),"[doc_derivation] ",CHAR(96),CHAR(34),SUBSTITUTE(SUBSTITUTE(SUBSTITUTE(SUBSTITUTE(SUBSTITUTE(SUBSTITUTE($I281,CHAR(13)," "),CHAR(10)," "),CHAR(9)," "),CHAR(92),_xlfn.CONCAT(CHAR(92),CHAR(92))),"$",_xlfn.CONCAT(CHAR(92),"$")),CHAR(96),_xlfn.CONCAT(CHAR(92),CHAR(96))),CHAR(34),CHAR(39))))</f>
        <v/>
      </c>
      <c r="T281" s="5" t="str">
        <f>IF(OR(TRIM($B281)="",$J281=""),"",IF(OR(ISNUMBER(SEARCH(_xlfn.CONCAT(CHAR(96),CHAR(34)),$J281)),ISNUMBER(SEARCH(_xlfn.CONCAT(CHAR(34),CHAR(39)),$J281))),_xlfn.CONCAT("* REVIEW REQUIRED: compound-quote delimiter in Notes on Sheet 1 row ",281,"; edit the input before running."),_xlfn.CONCAT("char ",TRIM($B281),"[doc_notes] ",CHAR(96),CHAR(34),SUBSTITUTE(SUBSTITUTE(SUBSTITUTE(SUBSTITUTE(SUBSTITUTE(SUBSTITUTE($J281,CHAR(13)," "),CHAR(10)," "),CHAR(9)," "),CHAR(92),_xlfn.CONCAT(CHAR(92),CHAR(92))),"$",_xlfn.CONCAT(CHAR(92),"$")),CHAR(96),_xlfn.CONCAT(CHAR(92),CHAR(96))),CHAR(34),CHAR(39))))</f>
        <v/>
      </c>
      <c r="U281" s="5">
        <f t="shared" si="9"/>
        <v>0</v>
      </c>
    </row>
    <row r="282" spans="3:21" ht="30" customHeight="1" x14ac:dyDescent="0.2">
      <c r="C282" s="4"/>
      <c r="K282" s="5">
        <f t="shared" si="8"/>
        <v>0</v>
      </c>
      <c r="L282" s="5" t="str">
        <f>IF(OR(TRIM($B282)="",$A282=""),"",IF(OR(ISNUMBER(SEARCH(_xlfn.CONCAT(CHAR(96),CHAR(34)),$A282)),ISNUMBER(SEARCH(_xlfn.CONCAT(CHAR(34),CHAR(39)),$A282))),_xlfn.CONCAT("* REVIEW REQUIRED: compound-quote delimiter in Codebook Section on Sheet 1 row ",282,"; edit the input before running."),_xlfn.CONCAT("char ",TRIM($B282),"[doc_section] ",CHAR(96),CHAR(34),SUBSTITUTE(SUBSTITUTE(SUBSTITUTE(SUBSTITUTE(SUBSTITUTE(SUBSTITUTE($A282,CHAR(13)," "),CHAR(10)," "),CHAR(9)," "),CHAR(92),_xlfn.CONCAT(CHAR(92),CHAR(92))),"$",_xlfn.CONCAT(CHAR(92),"$")),CHAR(96),_xlfn.CONCAT(CHAR(92),CHAR(96))),CHAR(34),CHAR(39))))</f>
        <v/>
      </c>
      <c r="M282" s="5" t="str">
        <f>IF(OR(TRIM($B282)="",$C282=""),"",IF(IFERROR(MATCH(TRIM($C282),{"Quantitative","Continuous","Discrete","Categorical","Nominal","Ordinal","Identifier"},0),0)=0,_xlfn.CONCAT("* REVIEW REQUIRED: invalid Variable Type on Sheet 1 row ",282,"."),_xlfn.CONCAT("char ",TRIM($B282),"[doc_vartype] ",CHAR(96),CHAR(34),SUBSTITUTE(SUBSTITUTE(SUBSTITUTE(SUBSTITUTE(SUBSTITUTE(SUBSTITUTE(LOWER(TRIM($C282)),CHAR(13)," "),CHAR(10)," "),CHAR(9)," "),CHAR(92),_xlfn.CONCAT(CHAR(92),CHAR(92))),"$",_xlfn.CONCAT(CHAR(92),"$")),CHAR(96),_xlfn.CONCAT(CHAR(92),CHAR(96))),CHAR(34),CHAR(39))))</f>
        <v/>
      </c>
      <c r="N282" s="5" t="str">
        <f>IF(OR(TRIM($B282)="",$D282=""),"",IF(OR(ISNUMBER(SEARCH(_xlfn.CONCAT(CHAR(96),CHAR(34)),$D282)),ISNUMBER(SEARCH(_xlfn.CONCAT(CHAR(34),CHAR(39)),$D282))),_xlfn.CONCAT("* REVIEW REQUIRED: compound-quote delimiter in Item Number on Sheet 1 row ",282,"; edit the input before running."),_xlfn.CONCAT("char ",TRIM($B282),"[doc_itemnum] ",CHAR(96),CHAR(34),SUBSTITUTE(SUBSTITUTE(SUBSTITUTE(SUBSTITUTE(SUBSTITUTE(SUBSTITUTE($D282,CHAR(13)," "),CHAR(10)," "),CHAR(9)," "),CHAR(92),_xlfn.CONCAT(CHAR(92),CHAR(92))),"$",_xlfn.CONCAT(CHAR(92),"$")),CHAR(96),_xlfn.CONCAT(CHAR(92),CHAR(96))),CHAR(34),CHAR(39))))</f>
        <v/>
      </c>
      <c r="O282" s="5" t="str">
        <f>IF(OR(TRIM($B282)="",$E282=""),"",IF(OR(ISNUMBER(SEARCH(_xlfn.CONCAT(CHAR(96),CHAR(34)),$E282)),ISNUMBER(SEARCH(_xlfn.CONCAT(CHAR(34),CHAR(39)),$E282))),_xlfn.CONCAT("* REVIEW REQUIRED: compound-quote delimiter in Question Wording on Sheet 1 row ",282,"; edit the input before running."),_xlfn.CONCAT("char ",TRIM($B282),"[doc_question] ",CHAR(96),CHAR(34),SUBSTITUTE(SUBSTITUTE(SUBSTITUTE(SUBSTITUTE(SUBSTITUTE(SUBSTITUTE($E282,CHAR(13)," "),CHAR(10)," "),CHAR(9)," "),CHAR(92),_xlfn.CONCAT(CHAR(92),CHAR(92))),"$",_xlfn.CONCAT(CHAR(92),"$")),CHAR(96),_xlfn.CONCAT(CHAR(92),CHAR(96))),CHAR(34),CHAR(39))))</f>
        <v/>
      </c>
      <c r="P282" s="5" t="str">
        <f>IF(OR(TRIM($B282)="",$F282=""),"",IF(OR(ISNUMBER(SEARCH(_xlfn.CONCAT(CHAR(96),CHAR(34)),$F282)),ISNUMBER(SEARCH(_xlfn.CONCAT(CHAR(34),CHAR(39)),$F282))),_xlfn.CONCAT("* REVIEW REQUIRED: compound-quote delimiter in Units on Sheet 1 row ",282,"; edit the input before running."),_xlfn.CONCAT("char ",TRIM($B282),"[doc_units] ",CHAR(96),CHAR(34),SUBSTITUTE(SUBSTITUTE(SUBSTITUTE(SUBSTITUTE(SUBSTITUTE(SUBSTITUTE($F282,CHAR(13)," "),CHAR(10)," "),CHAR(9)," "),CHAR(92),_xlfn.CONCAT(CHAR(92),CHAR(92))),"$",_xlfn.CONCAT(CHAR(92),"$")),CHAR(96),_xlfn.CONCAT(CHAR(92),CHAR(96))),CHAR(34),CHAR(39))))</f>
        <v/>
      </c>
      <c r="Q282" s="5" t="str">
        <f>IF(OR(TRIM($B282)="",$G282=""),"",IF(OR(ISNUMBER(SEARCH(_xlfn.CONCAT(CHAR(96),CHAR(34)),$G282)),ISNUMBER(SEARCH(_xlfn.CONCAT(CHAR(34),CHAR(39)),$G282))),_xlfn.CONCAT("* REVIEW REQUIRED: compound-quote delimiter in Universe on Sheet 1 row ",282,"; edit the input before running."),_xlfn.CONCAT("char ",TRIM($B282),"[doc_universe] ",CHAR(96),CHAR(34),SUBSTITUTE(SUBSTITUTE(SUBSTITUTE(SUBSTITUTE(SUBSTITUTE(SUBSTITUTE($G282,CHAR(13)," "),CHAR(10)," "),CHAR(9)," "),CHAR(92),_xlfn.CONCAT(CHAR(92),CHAR(92))),"$",_xlfn.CONCAT(CHAR(92),"$")),CHAR(96),_xlfn.CONCAT(CHAR(92),CHAR(96))),CHAR(34),CHAR(39))))</f>
        <v/>
      </c>
      <c r="R282" s="5" t="str">
        <f>IF(OR(TRIM($B282)="",$H282=""),"",IF(OR(ISNUMBER(SEARCH(_xlfn.CONCAT(CHAR(96),CHAR(34)),$H282)),ISNUMBER(SEARCH(_xlfn.CONCAT(CHAR(34),CHAR(39)),$H282))),_xlfn.CONCAT("* REVIEW REQUIRED: compound-quote delimiter in Source on Sheet 1 row ",282,"; edit the input before running."),_xlfn.CONCAT("char ",TRIM($B282),"[doc_source] ",CHAR(96),CHAR(34),SUBSTITUTE(SUBSTITUTE(SUBSTITUTE(SUBSTITUTE(SUBSTITUTE(SUBSTITUTE($H282,CHAR(13)," "),CHAR(10)," "),CHAR(9)," "),CHAR(92),_xlfn.CONCAT(CHAR(92),CHAR(92))),"$",_xlfn.CONCAT(CHAR(92),"$")),CHAR(96),_xlfn.CONCAT(CHAR(92),CHAR(96))),CHAR(34),CHAR(39))))</f>
        <v/>
      </c>
      <c r="S282" s="5" t="str">
        <f>IF(OR(TRIM($B282)="",$I282=""),"",IF(OR(ISNUMBER(SEARCH(_xlfn.CONCAT(CHAR(96),CHAR(34)),$I282)),ISNUMBER(SEARCH(_xlfn.CONCAT(CHAR(34),CHAR(39)),$I282))),_xlfn.CONCAT("* REVIEW REQUIRED: compound-quote delimiter in Derivation on Sheet 1 row ",282,"; edit the input before running."),_xlfn.CONCAT("char ",TRIM($B282),"[doc_derivation] ",CHAR(96),CHAR(34),SUBSTITUTE(SUBSTITUTE(SUBSTITUTE(SUBSTITUTE(SUBSTITUTE(SUBSTITUTE($I282,CHAR(13)," "),CHAR(10)," "),CHAR(9)," "),CHAR(92),_xlfn.CONCAT(CHAR(92),CHAR(92))),"$",_xlfn.CONCAT(CHAR(92),"$")),CHAR(96),_xlfn.CONCAT(CHAR(92),CHAR(96))),CHAR(34),CHAR(39))))</f>
        <v/>
      </c>
      <c r="T282" s="5" t="str">
        <f>IF(OR(TRIM($B282)="",$J282=""),"",IF(OR(ISNUMBER(SEARCH(_xlfn.CONCAT(CHAR(96),CHAR(34)),$J282)),ISNUMBER(SEARCH(_xlfn.CONCAT(CHAR(34),CHAR(39)),$J282))),_xlfn.CONCAT("* REVIEW REQUIRED: compound-quote delimiter in Notes on Sheet 1 row ",282,"; edit the input before running."),_xlfn.CONCAT("char ",TRIM($B282),"[doc_notes] ",CHAR(96),CHAR(34),SUBSTITUTE(SUBSTITUTE(SUBSTITUTE(SUBSTITUTE(SUBSTITUTE(SUBSTITUTE($J282,CHAR(13)," "),CHAR(10)," "),CHAR(9)," "),CHAR(92),_xlfn.CONCAT(CHAR(92),CHAR(92))),"$",_xlfn.CONCAT(CHAR(92),"$")),CHAR(96),_xlfn.CONCAT(CHAR(92),CHAR(96))),CHAR(34),CHAR(39))))</f>
        <v/>
      </c>
      <c r="U282" s="5">
        <f t="shared" si="9"/>
        <v>0</v>
      </c>
    </row>
    <row r="283" spans="3:21" ht="30" customHeight="1" x14ac:dyDescent="0.2">
      <c r="C283" s="4"/>
      <c r="K283" s="5">
        <f t="shared" si="8"/>
        <v>0</v>
      </c>
      <c r="L283" s="5" t="str">
        <f>IF(OR(TRIM($B283)="",$A283=""),"",IF(OR(ISNUMBER(SEARCH(_xlfn.CONCAT(CHAR(96),CHAR(34)),$A283)),ISNUMBER(SEARCH(_xlfn.CONCAT(CHAR(34),CHAR(39)),$A283))),_xlfn.CONCAT("* REVIEW REQUIRED: compound-quote delimiter in Codebook Section on Sheet 1 row ",283,"; edit the input before running."),_xlfn.CONCAT("char ",TRIM($B283),"[doc_section] ",CHAR(96),CHAR(34),SUBSTITUTE(SUBSTITUTE(SUBSTITUTE(SUBSTITUTE(SUBSTITUTE(SUBSTITUTE($A283,CHAR(13)," "),CHAR(10)," "),CHAR(9)," "),CHAR(92),_xlfn.CONCAT(CHAR(92),CHAR(92))),"$",_xlfn.CONCAT(CHAR(92),"$")),CHAR(96),_xlfn.CONCAT(CHAR(92),CHAR(96))),CHAR(34),CHAR(39))))</f>
        <v/>
      </c>
      <c r="M283" s="5" t="str">
        <f>IF(OR(TRIM($B283)="",$C283=""),"",IF(IFERROR(MATCH(TRIM($C283),{"Quantitative","Continuous","Discrete","Categorical","Nominal","Ordinal","Identifier"},0),0)=0,_xlfn.CONCAT("* REVIEW REQUIRED: invalid Variable Type on Sheet 1 row ",283,"."),_xlfn.CONCAT("char ",TRIM($B283),"[doc_vartype] ",CHAR(96),CHAR(34),SUBSTITUTE(SUBSTITUTE(SUBSTITUTE(SUBSTITUTE(SUBSTITUTE(SUBSTITUTE(LOWER(TRIM($C283)),CHAR(13)," "),CHAR(10)," "),CHAR(9)," "),CHAR(92),_xlfn.CONCAT(CHAR(92),CHAR(92))),"$",_xlfn.CONCAT(CHAR(92),"$")),CHAR(96),_xlfn.CONCAT(CHAR(92),CHAR(96))),CHAR(34),CHAR(39))))</f>
        <v/>
      </c>
      <c r="N283" s="5" t="str">
        <f>IF(OR(TRIM($B283)="",$D283=""),"",IF(OR(ISNUMBER(SEARCH(_xlfn.CONCAT(CHAR(96),CHAR(34)),$D283)),ISNUMBER(SEARCH(_xlfn.CONCAT(CHAR(34),CHAR(39)),$D283))),_xlfn.CONCAT("* REVIEW REQUIRED: compound-quote delimiter in Item Number on Sheet 1 row ",283,"; edit the input before running."),_xlfn.CONCAT("char ",TRIM($B283),"[doc_itemnum] ",CHAR(96),CHAR(34),SUBSTITUTE(SUBSTITUTE(SUBSTITUTE(SUBSTITUTE(SUBSTITUTE(SUBSTITUTE($D283,CHAR(13)," "),CHAR(10)," "),CHAR(9)," "),CHAR(92),_xlfn.CONCAT(CHAR(92),CHAR(92))),"$",_xlfn.CONCAT(CHAR(92),"$")),CHAR(96),_xlfn.CONCAT(CHAR(92),CHAR(96))),CHAR(34),CHAR(39))))</f>
        <v/>
      </c>
      <c r="O283" s="5" t="str">
        <f>IF(OR(TRIM($B283)="",$E283=""),"",IF(OR(ISNUMBER(SEARCH(_xlfn.CONCAT(CHAR(96),CHAR(34)),$E283)),ISNUMBER(SEARCH(_xlfn.CONCAT(CHAR(34),CHAR(39)),$E283))),_xlfn.CONCAT("* REVIEW REQUIRED: compound-quote delimiter in Question Wording on Sheet 1 row ",283,"; edit the input before running."),_xlfn.CONCAT("char ",TRIM($B283),"[doc_question] ",CHAR(96),CHAR(34),SUBSTITUTE(SUBSTITUTE(SUBSTITUTE(SUBSTITUTE(SUBSTITUTE(SUBSTITUTE($E283,CHAR(13)," "),CHAR(10)," "),CHAR(9)," "),CHAR(92),_xlfn.CONCAT(CHAR(92),CHAR(92))),"$",_xlfn.CONCAT(CHAR(92),"$")),CHAR(96),_xlfn.CONCAT(CHAR(92),CHAR(96))),CHAR(34),CHAR(39))))</f>
        <v/>
      </c>
      <c r="P283" s="5" t="str">
        <f>IF(OR(TRIM($B283)="",$F283=""),"",IF(OR(ISNUMBER(SEARCH(_xlfn.CONCAT(CHAR(96),CHAR(34)),$F283)),ISNUMBER(SEARCH(_xlfn.CONCAT(CHAR(34),CHAR(39)),$F283))),_xlfn.CONCAT("* REVIEW REQUIRED: compound-quote delimiter in Units on Sheet 1 row ",283,"; edit the input before running."),_xlfn.CONCAT("char ",TRIM($B283),"[doc_units] ",CHAR(96),CHAR(34),SUBSTITUTE(SUBSTITUTE(SUBSTITUTE(SUBSTITUTE(SUBSTITUTE(SUBSTITUTE($F283,CHAR(13)," "),CHAR(10)," "),CHAR(9)," "),CHAR(92),_xlfn.CONCAT(CHAR(92),CHAR(92))),"$",_xlfn.CONCAT(CHAR(92),"$")),CHAR(96),_xlfn.CONCAT(CHAR(92),CHAR(96))),CHAR(34),CHAR(39))))</f>
        <v/>
      </c>
      <c r="Q283" s="5" t="str">
        <f>IF(OR(TRIM($B283)="",$G283=""),"",IF(OR(ISNUMBER(SEARCH(_xlfn.CONCAT(CHAR(96),CHAR(34)),$G283)),ISNUMBER(SEARCH(_xlfn.CONCAT(CHAR(34),CHAR(39)),$G283))),_xlfn.CONCAT("* REVIEW REQUIRED: compound-quote delimiter in Universe on Sheet 1 row ",283,"; edit the input before running."),_xlfn.CONCAT("char ",TRIM($B283),"[doc_universe] ",CHAR(96),CHAR(34),SUBSTITUTE(SUBSTITUTE(SUBSTITUTE(SUBSTITUTE(SUBSTITUTE(SUBSTITUTE($G283,CHAR(13)," "),CHAR(10)," "),CHAR(9)," "),CHAR(92),_xlfn.CONCAT(CHAR(92),CHAR(92))),"$",_xlfn.CONCAT(CHAR(92),"$")),CHAR(96),_xlfn.CONCAT(CHAR(92),CHAR(96))),CHAR(34),CHAR(39))))</f>
        <v/>
      </c>
      <c r="R283" s="5" t="str">
        <f>IF(OR(TRIM($B283)="",$H283=""),"",IF(OR(ISNUMBER(SEARCH(_xlfn.CONCAT(CHAR(96),CHAR(34)),$H283)),ISNUMBER(SEARCH(_xlfn.CONCAT(CHAR(34),CHAR(39)),$H283))),_xlfn.CONCAT("* REVIEW REQUIRED: compound-quote delimiter in Source on Sheet 1 row ",283,"; edit the input before running."),_xlfn.CONCAT("char ",TRIM($B283),"[doc_source] ",CHAR(96),CHAR(34),SUBSTITUTE(SUBSTITUTE(SUBSTITUTE(SUBSTITUTE(SUBSTITUTE(SUBSTITUTE($H283,CHAR(13)," "),CHAR(10)," "),CHAR(9)," "),CHAR(92),_xlfn.CONCAT(CHAR(92),CHAR(92))),"$",_xlfn.CONCAT(CHAR(92),"$")),CHAR(96),_xlfn.CONCAT(CHAR(92),CHAR(96))),CHAR(34),CHAR(39))))</f>
        <v/>
      </c>
      <c r="S283" s="5" t="str">
        <f>IF(OR(TRIM($B283)="",$I283=""),"",IF(OR(ISNUMBER(SEARCH(_xlfn.CONCAT(CHAR(96),CHAR(34)),$I283)),ISNUMBER(SEARCH(_xlfn.CONCAT(CHAR(34),CHAR(39)),$I283))),_xlfn.CONCAT("* REVIEW REQUIRED: compound-quote delimiter in Derivation on Sheet 1 row ",283,"; edit the input before running."),_xlfn.CONCAT("char ",TRIM($B283),"[doc_derivation] ",CHAR(96),CHAR(34),SUBSTITUTE(SUBSTITUTE(SUBSTITUTE(SUBSTITUTE(SUBSTITUTE(SUBSTITUTE($I283,CHAR(13)," "),CHAR(10)," "),CHAR(9)," "),CHAR(92),_xlfn.CONCAT(CHAR(92),CHAR(92))),"$",_xlfn.CONCAT(CHAR(92),"$")),CHAR(96),_xlfn.CONCAT(CHAR(92),CHAR(96))),CHAR(34),CHAR(39))))</f>
        <v/>
      </c>
      <c r="T283" s="5" t="str">
        <f>IF(OR(TRIM($B283)="",$J283=""),"",IF(OR(ISNUMBER(SEARCH(_xlfn.CONCAT(CHAR(96),CHAR(34)),$J283)),ISNUMBER(SEARCH(_xlfn.CONCAT(CHAR(34),CHAR(39)),$J283))),_xlfn.CONCAT("* REVIEW REQUIRED: compound-quote delimiter in Notes on Sheet 1 row ",283,"; edit the input before running."),_xlfn.CONCAT("char ",TRIM($B283),"[doc_notes] ",CHAR(96),CHAR(34),SUBSTITUTE(SUBSTITUTE(SUBSTITUTE(SUBSTITUTE(SUBSTITUTE(SUBSTITUTE($J283,CHAR(13)," "),CHAR(10)," "),CHAR(9)," "),CHAR(92),_xlfn.CONCAT(CHAR(92),CHAR(92))),"$",_xlfn.CONCAT(CHAR(92),"$")),CHAR(96),_xlfn.CONCAT(CHAR(92),CHAR(96))),CHAR(34),CHAR(39))))</f>
        <v/>
      </c>
      <c r="U283" s="5">
        <f t="shared" si="9"/>
        <v>0</v>
      </c>
    </row>
    <row r="284" spans="3:21" ht="30" customHeight="1" x14ac:dyDescent="0.2">
      <c r="C284" s="4"/>
      <c r="K284" s="5">
        <f t="shared" si="8"/>
        <v>0</v>
      </c>
      <c r="L284" s="5" t="str">
        <f>IF(OR(TRIM($B284)="",$A284=""),"",IF(OR(ISNUMBER(SEARCH(_xlfn.CONCAT(CHAR(96),CHAR(34)),$A284)),ISNUMBER(SEARCH(_xlfn.CONCAT(CHAR(34),CHAR(39)),$A284))),_xlfn.CONCAT("* REVIEW REQUIRED: compound-quote delimiter in Codebook Section on Sheet 1 row ",284,"; edit the input before running."),_xlfn.CONCAT("char ",TRIM($B284),"[doc_section] ",CHAR(96),CHAR(34),SUBSTITUTE(SUBSTITUTE(SUBSTITUTE(SUBSTITUTE(SUBSTITUTE(SUBSTITUTE($A284,CHAR(13)," "),CHAR(10)," "),CHAR(9)," "),CHAR(92),_xlfn.CONCAT(CHAR(92),CHAR(92))),"$",_xlfn.CONCAT(CHAR(92),"$")),CHAR(96),_xlfn.CONCAT(CHAR(92),CHAR(96))),CHAR(34),CHAR(39))))</f>
        <v/>
      </c>
      <c r="M284" s="5" t="str">
        <f>IF(OR(TRIM($B284)="",$C284=""),"",IF(IFERROR(MATCH(TRIM($C284),{"Quantitative","Continuous","Discrete","Categorical","Nominal","Ordinal","Identifier"},0),0)=0,_xlfn.CONCAT("* REVIEW REQUIRED: invalid Variable Type on Sheet 1 row ",284,"."),_xlfn.CONCAT("char ",TRIM($B284),"[doc_vartype] ",CHAR(96),CHAR(34),SUBSTITUTE(SUBSTITUTE(SUBSTITUTE(SUBSTITUTE(SUBSTITUTE(SUBSTITUTE(LOWER(TRIM($C284)),CHAR(13)," "),CHAR(10)," "),CHAR(9)," "),CHAR(92),_xlfn.CONCAT(CHAR(92),CHAR(92))),"$",_xlfn.CONCAT(CHAR(92),"$")),CHAR(96),_xlfn.CONCAT(CHAR(92),CHAR(96))),CHAR(34),CHAR(39))))</f>
        <v/>
      </c>
      <c r="N284" s="5" t="str">
        <f>IF(OR(TRIM($B284)="",$D284=""),"",IF(OR(ISNUMBER(SEARCH(_xlfn.CONCAT(CHAR(96),CHAR(34)),$D284)),ISNUMBER(SEARCH(_xlfn.CONCAT(CHAR(34),CHAR(39)),$D284))),_xlfn.CONCAT("* REVIEW REQUIRED: compound-quote delimiter in Item Number on Sheet 1 row ",284,"; edit the input before running."),_xlfn.CONCAT("char ",TRIM($B284),"[doc_itemnum] ",CHAR(96),CHAR(34),SUBSTITUTE(SUBSTITUTE(SUBSTITUTE(SUBSTITUTE(SUBSTITUTE(SUBSTITUTE($D284,CHAR(13)," "),CHAR(10)," "),CHAR(9)," "),CHAR(92),_xlfn.CONCAT(CHAR(92),CHAR(92))),"$",_xlfn.CONCAT(CHAR(92),"$")),CHAR(96),_xlfn.CONCAT(CHAR(92),CHAR(96))),CHAR(34),CHAR(39))))</f>
        <v/>
      </c>
      <c r="O284" s="5" t="str">
        <f>IF(OR(TRIM($B284)="",$E284=""),"",IF(OR(ISNUMBER(SEARCH(_xlfn.CONCAT(CHAR(96),CHAR(34)),$E284)),ISNUMBER(SEARCH(_xlfn.CONCAT(CHAR(34),CHAR(39)),$E284))),_xlfn.CONCAT("* REVIEW REQUIRED: compound-quote delimiter in Question Wording on Sheet 1 row ",284,"; edit the input before running."),_xlfn.CONCAT("char ",TRIM($B284),"[doc_question] ",CHAR(96),CHAR(34),SUBSTITUTE(SUBSTITUTE(SUBSTITUTE(SUBSTITUTE(SUBSTITUTE(SUBSTITUTE($E284,CHAR(13)," "),CHAR(10)," "),CHAR(9)," "),CHAR(92),_xlfn.CONCAT(CHAR(92),CHAR(92))),"$",_xlfn.CONCAT(CHAR(92),"$")),CHAR(96),_xlfn.CONCAT(CHAR(92),CHAR(96))),CHAR(34),CHAR(39))))</f>
        <v/>
      </c>
      <c r="P284" s="5" t="str">
        <f>IF(OR(TRIM($B284)="",$F284=""),"",IF(OR(ISNUMBER(SEARCH(_xlfn.CONCAT(CHAR(96),CHAR(34)),$F284)),ISNUMBER(SEARCH(_xlfn.CONCAT(CHAR(34),CHAR(39)),$F284))),_xlfn.CONCAT("* REVIEW REQUIRED: compound-quote delimiter in Units on Sheet 1 row ",284,"; edit the input before running."),_xlfn.CONCAT("char ",TRIM($B284),"[doc_units] ",CHAR(96),CHAR(34),SUBSTITUTE(SUBSTITUTE(SUBSTITUTE(SUBSTITUTE(SUBSTITUTE(SUBSTITUTE($F284,CHAR(13)," "),CHAR(10)," "),CHAR(9)," "),CHAR(92),_xlfn.CONCAT(CHAR(92),CHAR(92))),"$",_xlfn.CONCAT(CHAR(92),"$")),CHAR(96),_xlfn.CONCAT(CHAR(92),CHAR(96))),CHAR(34),CHAR(39))))</f>
        <v/>
      </c>
      <c r="Q284" s="5" t="str">
        <f>IF(OR(TRIM($B284)="",$G284=""),"",IF(OR(ISNUMBER(SEARCH(_xlfn.CONCAT(CHAR(96),CHAR(34)),$G284)),ISNUMBER(SEARCH(_xlfn.CONCAT(CHAR(34),CHAR(39)),$G284))),_xlfn.CONCAT("* REVIEW REQUIRED: compound-quote delimiter in Universe on Sheet 1 row ",284,"; edit the input before running."),_xlfn.CONCAT("char ",TRIM($B284),"[doc_universe] ",CHAR(96),CHAR(34),SUBSTITUTE(SUBSTITUTE(SUBSTITUTE(SUBSTITUTE(SUBSTITUTE(SUBSTITUTE($G284,CHAR(13)," "),CHAR(10)," "),CHAR(9)," "),CHAR(92),_xlfn.CONCAT(CHAR(92),CHAR(92))),"$",_xlfn.CONCAT(CHAR(92),"$")),CHAR(96),_xlfn.CONCAT(CHAR(92),CHAR(96))),CHAR(34),CHAR(39))))</f>
        <v/>
      </c>
      <c r="R284" s="5" t="str">
        <f>IF(OR(TRIM($B284)="",$H284=""),"",IF(OR(ISNUMBER(SEARCH(_xlfn.CONCAT(CHAR(96),CHAR(34)),$H284)),ISNUMBER(SEARCH(_xlfn.CONCAT(CHAR(34),CHAR(39)),$H284))),_xlfn.CONCAT("* REVIEW REQUIRED: compound-quote delimiter in Source on Sheet 1 row ",284,"; edit the input before running."),_xlfn.CONCAT("char ",TRIM($B284),"[doc_source] ",CHAR(96),CHAR(34),SUBSTITUTE(SUBSTITUTE(SUBSTITUTE(SUBSTITUTE(SUBSTITUTE(SUBSTITUTE($H284,CHAR(13)," "),CHAR(10)," "),CHAR(9)," "),CHAR(92),_xlfn.CONCAT(CHAR(92),CHAR(92))),"$",_xlfn.CONCAT(CHAR(92),"$")),CHAR(96),_xlfn.CONCAT(CHAR(92),CHAR(96))),CHAR(34),CHAR(39))))</f>
        <v/>
      </c>
      <c r="S284" s="5" t="str">
        <f>IF(OR(TRIM($B284)="",$I284=""),"",IF(OR(ISNUMBER(SEARCH(_xlfn.CONCAT(CHAR(96),CHAR(34)),$I284)),ISNUMBER(SEARCH(_xlfn.CONCAT(CHAR(34),CHAR(39)),$I284))),_xlfn.CONCAT("* REVIEW REQUIRED: compound-quote delimiter in Derivation on Sheet 1 row ",284,"; edit the input before running."),_xlfn.CONCAT("char ",TRIM($B284),"[doc_derivation] ",CHAR(96),CHAR(34),SUBSTITUTE(SUBSTITUTE(SUBSTITUTE(SUBSTITUTE(SUBSTITUTE(SUBSTITUTE($I284,CHAR(13)," "),CHAR(10)," "),CHAR(9)," "),CHAR(92),_xlfn.CONCAT(CHAR(92),CHAR(92))),"$",_xlfn.CONCAT(CHAR(92),"$")),CHAR(96),_xlfn.CONCAT(CHAR(92),CHAR(96))),CHAR(34),CHAR(39))))</f>
        <v/>
      </c>
      <c r="T284" s="5" t="str">
        <f>IF(OR(TRIM($B284)="",$J284=""),"",IF(OR(ISNUMBER(SEARCH(_xlfn.CONCAT(CHAR(96),CHAR(34)),$J284)),ISNUMBER(SEARCH(_xlfn.CONCAT(CHAR(34),CHAR(39)),$J284))),_xlfn.CONCAT("* REVIEW REQUIRED: compound-quote delimiter in Notes on Sheet 1 row ",284,"; edit the input before running."),_xlfn.CONCAT("char ",TRIM($B284),"[doc_notes] ",CHAR(96),CHAR(34),SUBSTITUTE(SUBSTITUTE(SUBSTITUTE(SUBSTITUTE(SUBSTITUTE(SUBSTITUTE($J284,CHAR(13)," "),CHAR(10)," "),CHAR(9)," "),CHAR(92),_xlfn.CONCAT(CHAR(92),CHAR(92))),"$",_xlfn.CONCAT(CHAR(92),"$")),CHAR(96),_xlfn.CONCAT(CHAR(92),CHAR(96))),CHAR(34),CHAR(39))))</f>
        <v/>
      </c>
      <c r="U284" s="5">
        <f t="shared" si="9"/>
        <v>0</v>
      </c>
    </row>
    <row r="285" spans="3:21" ht="30" customHeight="1" x14ac:dyDescent="0.2">
      <c r="C285" s="4"/>
      <c r="K285" s="5">
        <f t="shared" si="8"/>
        <v>0</v>
      </c>
      <c r="L285" s="5" t="str">
        <f>IF(OR(TRIM($B285)="",$A285=""),"",IF(OR(ISNUMBER(SEARCH(_xlfn.CONCAT(CHAR(96),CHAR(34)),$A285)),ISNUMBER(SEARCH(_xlfn.CONCAT(CHAR(34),CHAR(39)),$A285))),_xlfn.CONCAT("* REVIEW REQUIRED: compound-quote delimiter in Codebook Section on Sheet 1 row ",285,"; edit the input before running."),_xlfn.CONCAT("char ",TRIM($B285),"[doc_section] ",CHAR(96),CHAR(34),SUBSTITUTE(SUBSTITUTE(SUBSTITUTE(SUBSTITUTE(SUBSTITUTE(SUBSTITUTE($A285,CHAR(13)," "),CHAR(10)," "),CHAR(9)," "),CHAR(92),_xlfn.CONCAT(CHAR(92),CHAR(92))),"$",_xlfn.CONCAT(CHAR(92),"$")),CHAR(96),_xlfn.CONCAT(CHAR(92),CHAR(96))),CHAR(34),CHAR(39))))</f>
        <v/>
      </c>
      <c r="M285" s="5" t="str">
        <f>IF(OR(TRIM($B285)="",$C285=""),"",IF(IFERROR(MATCH(TRIM($C285),{"Quantitative","Continuous","Discrete","Categorical","Nominal","Ordinal","Identifier"},0),0)=0,_xlfn.CONCAT("* REVIEW REQUIRED: invalid Variable Type on Sheet 1 row ",285,"."),_xlfn.CONCAT("char ",TRIM($B285),"[doc_vartype] ",CHAR(96),CHAR(34),SUBSTITUTE(SUBSTITUTE(SUBSTITUTE(SUBSTITUTE(SUBSTITUTE(SUBSTITUTE(LOWER(TRIM($C285)),CHAR(13)," "),CHAR(10)," "),CHAR(9)," "),CHAR(92),_xlfn.CONCAT(CHAR(92),CHAR(92))),"$",_xlfn.CONCAT(CHAR(92),"$")),CHAR(96),_xlfn.CONCAT(CHAR(92),CHAR(96))),CHAR(34),CHAR(39))))</f>
        <v/>
      </c>
      <c r="N285" s="5" t="str">
        <f>IF(OR(TRIM($B285)="",$D285=""),"",IF(OR(ISNUMBER(SEARCH(_xlfn.CONCAT(CHAR(96),CHAR(34)),$D285)),ISNUMBER(SEARCH(_xlfn.CONCAT(CHAR(34),CHAR(39)),$D285))),_xlfn.CONCAT("* REVIEW REQUIRED: compound-quote delimiter in Item Number on Sheet 1 row ",285,"; edit the input before running."),_xlfn.CONCAT("char ",TRIM($B285),"[doc_itemnum] ",CHAR(96),CHAR(34),SUBSTITUTE(SUBSTITUTE(SUBSTITUTE(SUBSTITUTE(SUBSTITUTE(SUBSTITUTE($D285,CHAR(13)," "),CHAR(10)," "),CHAR(9)," "),CHAR(92),_xlfn.CONCAT(CHAR(92),CHAR(92))),"$",_xlfn.CONCAT(CHAR(92),"$")),CHAR(96),_xlfn.CONCAT(CHAR(92),CHAR(96))),CHAR(34),CHAR(39))))</f>
        <v/>
      </c>
      <c r="O285" s="5" t="str">
        <f>IF(OR(TRIM($B285)="",$E285=""),"",IF(OR(ISNUMBER(SEARCH(_xlfn.CONCAT(CHAR(96),CHAR(34)),$E285)),ISNUMBER(SEARCH(_xlfn.CONCAT(CHAR(34),CHAR(39)),$E285))),_xlfn.CONCAT("* REVIEW REQUIRED: compound-quote delimiter in Question Wording on Sheet 1 row ",285,"; edit the input before running."),_xlfn.CONCAT("char ",TRIM($B285),"[doc_question] ",CHAR(96),CHAR(34),SUBSTITUTE(SUBSTITUTE(SUBSTITUTE(SUBSTITUTE(SUBSTITUTE(SUBSTITUTE($E285,CHAR(13)," "),CHAR(10)," "),CHAR(9)," "),CHAR(92),_xlfn.CONCAT(CHAR(92),CHAR(92))),"$",_xlfn.CONCAT(CHAR(92),"$")),CHAR(96),_xlfn.CONCAT(CHAR(92),CHAR(96))),CHAR(34),CHAR(39))))</f>
        <v/>
      </c>
      <c r="P285" s="5" t="str">
        <f>IF(OR(TRIM($B285)="",$F285=""),"",IF(OR(ISNUMBER(SEARCH(_xlfn.CONCAT(CHAR(96),CHAR(34)),$F285)),ISNUMBER(SEARCH(_xlfn.CONCAT(CHAR(34),CHAR(39)),$F285))),_xlfn.CONCAT("* REVIEW REQUIRED: compound-quote delimiter in Units on Sheet 1 row ",285,"; edit the input before running."),_xlfn.CONCAT("char ",TRIM($B285),"[doc_units] ",CHAR(96),CHAR(34),SUBSTITUTE(SUBSTITUTE(SUBSTITUTE(SUBSTITUTE(SUBSTITUTE(SUBSTITUTE($F285,CHAR(13)," "),CHAR(10)," "),CHAR(9)," "),CHAR(92),_xlfn.CONCAT(CHAR(92),CHAR(92))),"$",_xlfn.CONCAT(CHAR(92),"$")),CHAR(96),_xlfn.CONCAT(CHAR(92),CHAR(96))),CHAR(34),CHAR(39))))</f>
        <v/>
      </c>
      <c r="Q285" s="5" t="str">
        <f>IF(OR(TRIM($B285)="",$G285=""),"",IF(OR(ISNUMBER(SEARCH(_xlfn.CONCAT(CHAR(96),CHAR(34)),$G285)),ISNUMBER(SEARCH(_xlfn.CONCAT(CHAR(34),CHAR(39)),$G285))),_xlfn.CONCAT("* REVIEW REQUIRED: compound-quote delimiter in Universe on Sheet 1 row ",285,"; edit the input before running."),_xlfn.CONCAT("char ",TRIM($B285),"[doc_universe] ",CHAR(96),CHAR(34),SUBSTITUTE(SUBSTITUTE(SUBSTITUTE(SUBSTITUTE(SUBSTITUTE(SUBSTITUTE($G285,CHAR(13)," "),CHAR(10)," "),CHAR(9)," "),CHAR(92),_xlfn.CONCAT(CHAR(92),CHAR(92))),"$",_xlfn.CONCAT(CHAR(92),"$")),CHAR(96),_xlfn.CONCAT(CHAR(92),CHAR(96))),CHAR(34),CHAR(39))))</f>
        <v/>
      </c>
      <c r="R285" s="5" t="str">
        <f>IF(OR(TRIM($B285)="",$H285=""),"",IF(OR(ISNUMBER(SEARCH(_xlfn.CONCAT(CHAR(96),CHAR(34)),$H285)),ISNUMBER(SEARCH(_xlfn.CONCAT(CHAR(34),CHAR(39)),$H285))),_xlfn.CONCAT("* REVIEW REQUIRED: compound-quote delimiter in Source on Sheet 1 row ",285,"; edit the input before running."),_xlfn.CONCAT("char ",TRIM($B285),"[doc_source] ",CHAR(96),CHAR(34),SUBSTITUTE(SUBSTITUTE(SUBSTITUTE(SUBSTITUTE(SUBSTITUTE(SUBSTITUTE($H285,CHAR(13)," "),CHAR(10)," "),CHAR(9)," "),CHAR(92),_xlfn.CONCAT(CHAR(92),CHAR(92))),"$",_xlfn.CONCAT(CHAR(92),"$")),CHAR(96),_xlfn.CONCAT(CHAR(92),CHAR(96))),CHAR(34),CHAR(39))))</f>
        <v/>
      </c>
      <c r="S285" s="5" t="str">
        <f>IF(OR(TRIM($B285)="",$I285=""),"",IF(OR(ISNUMBER(SEARCH(_xlfn.CONCAT(CHAR(96),CHAR(34)),$I285)),ISNUMBER(SEARCH(_xlfn.CONCAT(CHAR(34),CHAR(39)),$I285))),_xlfn.CONCAT("* REVIEW REQUIRED: compound-quote delimiter in Derivation on Sheet 1 row ",285,"; edit the input before running."),_xlfn.CONCAT("char ",TRIM($B285),"[doc_derivation] ",CHAR(96),CHAR(34),SUBSTITUTE(SUBSTITUTE(SUBSTITUTE(SUBSTITUTE(SUBSTITUTE(SUBSTITUTE($I285,CHAR(13)," "),CHAR(10)," "),CHAR(9)," "),CHAR(92),_xlfn.CONCAT(CHAR(92),CHAR(92))),"$",_xlfn.CONCAT(CHAR(92),"$")),CHAR(96),_xlfn.CONCAT(CHAR(92),CHAR(96))),CHAR(34),CHAR(39))))</f>
        <v/>
      </c>
      <c r="T285" s="5" t="str">
        <f>IF(OR(TRIM($B285)="",$J285=""),"",IF(OR(ISNUMBER(SEARCH(_xlfn.CONCAT(CHAR(96),CHAR(34)),$J285)),ISNUMBER(SEARCH(_xlfn.CONCAT(CHAR(34),CHAR(39)),$J285))),_xlfn.CONCAT("* REVIEW REQUIRED: compound-quote delimiter in Notes on Sheet 1 row ",285,"; edit the input before running."),_xlfn.CONCAT("char ",TRIM($B285),"[doc_notes] ",CHAR(96),CHAR(34),SUBSTITUTE(SUBSTITUTE(SUBSTITUTE(SUBSTITUTE(SUBSTITUTE(SUBSTITUTE($J285,CHAR(13)," "),CHAR(10)," "),CHAR(9)," "),CHAR(92),_xlfn.CONCAT(CHAR(92),CHAR(92))),"$",_xlfn.CONCAT(CHAR(92),"$")),CHAR(96),_xlfn.CONCAT(CHAR(92),CHAR(96))),CHAR(34),CHAR(39))))</f>
        <v/>
      </c>
      <c r="U285" s="5">
        <f t="shared" si="9"/>
        <v>0</v>
      </c>
    </row>
    <row r="286" spans="3:21" ht="30" customHeight="1" x14ac:dyDescent="0.2">
      <c r="C286" s="4"/>
      <c r="K286" s="5">
        <f t="shared" si="8"/>
        <v>0</v>
      </c>
      <c r="L286" s="5" t="str">
        <f>IF(OR(TRIM($B286)="",$A286=""),"",IF(OR(ISNUMBER(SEARCH(_xlfn.CONCAT(CHAR(96),CHAR(34)),$A286)),ISNUMBER(SEARCH(_xlfn.CONCAT(CHAR(34),CHAR(39)),$A286))),_xlfn.CONCAT("* REVIEW REQUIRED: compound-quote delimiter in Codebook Section on Sheet 1 row ",286,"; edit the input before running."),_xlfn.CONCAT("char ",TRIM($B286),"[doc_section] ",CHAR(96),CHAR(34),SUBSTITUTE(SUBSTITUTE(SUBSTITUTE(SUBSTITUTE(SUBSTITUTE(SUBSTITUTE($A286,CHAR(13)," "),CHAR(10)," "),CHAR(9)," "),CHAR(92),_xlfn.CONCAT(CHAR(92),CHAR(92))),"$",_xlfn.CONCAT(CHAR(92),"$")),CHAR(96),_xlfn.CONCAT(CHAR(92),CHAR(96))),CHAR(34),CHAR(39))))</f>
        <v/>
      </c>
      <c r="M286" s="5" t="str">
        <f>IF(OR(TRIM($B286)="",$C286=""),"",IF(IFERROR(MATCH(TRIM($C286),{"Quantitative","Continuous","Discrete","Categorical","Nominal","Ordinal","Identifier"},0),0)=0,_xlfn.CONCAT("* REVIEW REQUIRED: invalid Variable Type on Sheet 1 row ",286,"."),_xlfn.CONCAT("char ",TRIM($B286),"[doc_vartype] ",CHAR(96),CHAR(34),SUBSTITUTE(SUBSTITUTE(SUBSTITUTE(SUBSTITUTE(SUBSTITUTE(SUBSTITUTE(LOWER(TRIM($C286)),CHAR(13)," "),CHAR(10)," "),CHAR(9)," "),CHAR(92),_xlfn.CONCAT(CHAR(92),CHAR(92))),"$",_xlfn.CONCAT(CHAR(92),"$")),CHAR(96),_xlfn.CONCAT(CHAR(92),CHAR(96))),CHAR(34),CHAR(39))))</f>
        <v/>
      </c>
      <c r="N286" s="5" t="str">
        <f>IF(OR(TRIM($B286)="",$D286=""),"",IF(OR(ISNUMBER(SEARCH(_xlfn.CONCAT(CHAR(96),CHAR(34)),$D286)),ISNUMBER(SEARCH(_xlfn.CONCAT(CHAR(34),CHAR(39)),$D286))),_xlfn.CONCAT("* REVIEW REQUIRED: compound-quote delimiter in Item Number on Sheet 1 row ",286,"; edit the input before running."),_xlfn.CONCAT("char ",TRIM($B286),"[doc_itemnum] ",CHAR(96),CHAR(34),SUBSTITUTE(SUBSTITUTE(SUBSTITUTE(SUBSTITUTE(SUBSTITUTE(SUBSTITUTE($D286,CHAR(13)," "),CHAR(10)," "),CHAR(9)," "),CHAR(92),_xlfn.CONCAT(CHAR(92),CHAR(92))),"$",_xlfn.CONCAT(CHAR(92),"$")),CHAR(96),_xlfn.CONCAT(CHAR(92),CHAR(96))),CHAR(34),CHAR(39))))</f>
        <v/>
      </c>
      <c r="O286" s="5" t="str">
        <f>IF(OR(TRIM($B286)="",$E286=""),"",IF(OR(ISNUMBER(SEARCH(_xlfn.CONCAT(CHAR(96),CHAR(34)),$E286)),ISNUMBER(SEARCH(_xlfn.CONCAT(CHAR(34),CHAR(39)),$E286))),_xlfn.CONCAT("* REVIEW REQUIRED: compound-quote delimiter in Question Wording on Sheet 1 row ",286,"; edit the input before running."),_xlfn.CONCAT("char ",TRIM($B286),"[doc_question] ",CHAR(96),CHAR(34),SUBSTITUTE(SUBSTITUTE(SUBSTITUTE(SUBSTITUTE(SUBSTITUTE(SUBSTITUTE($E286,CHAR(13)," "),CHAR(10)," "),CHAR(9)," "),CHAR(92),_xlfn.CONCAT(CHAR(92),CHAR(92))),"$",_xlfn.CONCAT(CHAR(92),"$")),CHAR(96),_xlfn.CONCAT(CHAR(92),CHAR(96))),CHAR(34),CHAR(39))))</f>
        <v/>
      </c>
      <c r="P286" s="5" t="str">
        <f>IF(OR(TRIM($B286)="",$F286=""),"",IF(OR(ISNUMBER(SEARCH(_xlfn.CONCAT(CHAR(96),CHAR(34)),$F286)),ISNUMBER(SEARCH(_xlfn.CONCAT(CHAR(34),CHAR(39)),$F286))),_xlfn.CONCAT("* REVIEW REQUIRED: compound-quote delimiter in Units on Sheet 1 row ",286,"; edit the input before running."),_xlfn.CONCAT("char ",TRIM($B286),"[doc_units] ",CHAR(96),CHAR(34),SUBSTITUTE(SUBSTITUTE(SUBSTITUTE(SUBSTITUTE(SUBSTITUTE(SUBSTITUTE($F286,CHAR(13)," "),CHAR(10)," "),CHAR(9)," "),CHAR(92),_xlfn.CONCAT(CHAR(92),CHAR(92))),"$",_xlfn.CONCAT(CHAR(92),"$")),CHAR(96),_xlfn.CONCAT(CHAR(92),CHAR(96))),CHAR(34),CHAR(39))))</f>
        <v/>
      </c>
      <c r="Q286" s="5" t="str">
        <f>IF(OR(TRIM($B286)="",$G286=""),"",IF(OR(ISNUMBER(SEARCH(_xlfn.CONCAT(CHAR(96),CHAR(34)),$G286)),ISNUMBER(SEARCH(_xlfn.CONCAT(CHAR(34),CHAR(39)),$G286))),_xlfn.CONCAT("* REVIEW REQUIRED: compound-quote delimiter in Universe on Sheet 1 row ",286,"; edit the input before running."),_xlfn.CONCAT("char ",TRIM($B286),"[doc_universe] ",CHAR(96),CHAR(34),SUBSTITUTE(SUBSTITUTE(SUBSTITUTE(SUBSTITUTE(SUBSTITUTE(SUBSTITUTE($G286,CHAR(13)," "),CHAR(10)," "),CHAR(9)," "),CHAR(92),_xlfn.CONCAT(CHAR(92),CHAR(92))),"$",_xlfn.CONCAT(CHAR(92),"$")),CHAR(96),_xlfn.CONCAT(CHAR(92),CHAR(96))),CHAR(34),CHAR(39))))</f>
        <v/>
      </c>
      <c r="R286" s="5" t="str">
        <f>IF(OR(TRIM($B286)="",$H286=""),"",IF(OR(ISNUMBER(SEARCH(_xlfn.CONCAT(CHAR(96),CHAR(34)),$H286)),ISNUMBER(SEARCH(_xlfn.CONCAT(CHAR(34),CHAR(39)),$H286))),_xlfn.CONCAT("* REVIEW REQUIRED: compound-quote delimiter in Source on Sheet 1 row ",286,"; edit the input before running."),_xlfn.CONCAT("char ",TRIM($B286),"[doc_source] ",CHAR(96),CHAR(34),SUBSTITUTE(SUBSTITUTE(SUBSTITUTE(SUBSTITUTE(SUBSTITUTE(SUBSTITUTE($H286,CHAR(13)," "),CHAR(10)," "),CHAR(9)," "),CHAR(92),_xlfn.CONCAT(CHAR(92),CHAR(92))),"$",_xlfn.CONCAT(CHAR(92),"$")),CHAR(96),_xlfn.CONCAT(CHAR(92),CHAR(96))),CHAR(34),CHAR(39))))</f>
        <v/>
      </c>
      <c r="S286" s="5" t="str">
        <f>IF(OR(TRIM($B286)="",$I286=""),"",IF(OR(ISNUMBER(SEARCH(_xlfn.CONCAT(CHAR(96),CHAR(34)),$I286)),ISNUMBER(SEARCH(_xlfn.CONCAT(CHAR(34),CHAR(39)),$I286))),_xlfn.CONCAT("* REVIEW REQUIRED: compound-quote delimiter in Derivation on Sheet 1 row ",286,"; edit the input before running."),_xlfn.CONCAT("char ",TRIM($B286),"[doc_derivation] ",CHAR(96),CHAR(34),SUBSTITUTE(SUBSTITUTE(SUBSTITUTE(SUBSTITUTE(SUBSTITUTE(SUBSTITUTE($I286,CHAR(13)," "),CHAR(10)," "),CHAR(9)," "),CHAR(92),_xlfn.CONCAT(CHAR(92),CHAR(92))),"$",_xlfn.CONCAT(CHAR(92),"$")),CHAR(96),_xlfn.CONCAT(CHAR(92),CHAR(96))),CHAR(34),CHAR(39))))</f>
        <v/>
      </c>
      <c r="T286" s="5" t="str">
        <f>IF(OR(TRIM($B286)="",$J286=""),"",IF(OR(ISNUMBER(SEARCH(_xlfn.CONCAT(CHAR(96),CHAR(34)),$J286)),ISNUMBER(SEARCH(_xlfn.CONCAT(CHAR(34),CHAR(39)),$J286))),_xlfn.CONCAT("* REVIEW REQUIRED: compound-quote delimiter in Notes on Sheet 1 row ",286,"; edit the input before running."),_xlfn.CONCAT("char ",TRIM($B286),"[doc_notes] ",CHAR(96),CHAR(34),SUBSTITUTE(SUBSTITUTE(SUBSTITUTE(SUBSTITUTE(SUBSTITUTE(SUBSTITUTE($J286,CHAR(13)," "),CHAR(10)," "),CHAR(9)," "),CHAR(92),_xlfn.CONCAT(CHAR(92),CHAR(92))),"$",_xlfn.CONCAT(CHAR(92),"$")),CHAR(96),_xlfn.CONCAT(CHAR(92),CHAR(96))),CHAR(34),CHAR(39))))</f>
        <v/>
      </c>
      <c r="U286" s="5">
        <f t="shared" si="9"/>
        <v>0</v>
      </c>
    </row>
    <row r="287" spans="3:21" ht="30" customHeight="1" x14ac:dyDescent="0.2">
      <c r="C287" s="4"/>
      <c r="K287" s="5">
        <f t="shared" si="8"/>
        <v>0</v>
      </c>
      <c r="L287" s="5" t="str">
        <f>IF(OR(TRIM($B287)="",$A287=""),"",IF(OR(ISNUMBER(SEARCH(_xlfn.CONCAT(CHAR(96),CHAR(34)),$A287)),ISNUMBER(SEARCH(_xlfn.CONCAT(CHAR(34),CHAR(39)),$A287))),_xlfn.CONCAT("* REVIEW REQUIRED: compound-quote delimiter in Codebook Section on Sheet 1 row ",287,"; edit the input before running."),_xlfn.CONCAT("char ",TRIM($B287),"[doc_section] ",CHAR(96),CHAR(34),SUBSTITUTE(SUBSTITUTE(SUBSTITUTE(SUBSTITUTE(SUBSTITUTE(SUBSTITUTE($A287,CHAR(13)," "),CHAR(10)," "),CHAR(9)," "),CHAR(92),_xlfn.CONCAT(CHAR(92),CHAR(92))),"$",_xlfn.CONCAT(CHAR(92),"$")),CHAR(96),_xlfn.CONCAT(CHAR(92),CHAR(96))),CHAR(34),CHAR(39))))</f>
        <v/>
      </c>
      <c r="M287" s="5" t="str">
        <f>IF(OR(TRIM($B287)="",$C287=""),"",IF(IFERROR(MATCH(TRIM($C287),{"Quantitative","Continuous","Discrete","Categorical","Nominal","Ordinal","Identifier"},0),0)=0,_xlfn.CONCAT("* REVIEW REQUIRED: invalid Variable Type on Sheet 1 row ",287,"."),_xlfn.CONCAT("char ",TRIM($B287),"[doc_vartype] ",CHAR(96),CHAR(34),SUBSTITUTE(SUBSTITUTE(SUBSTITUTE(SUBSTITUTE(SUBSTITUTE(SUBSTITUTE(LOWER(TRIM($C287)),CHAR(13)," "),CHAR(10)," "),CHAR(9)," "),CHAR(92),_xlfn.CONCAT(CHAR(92),CHAR(92))),"$",_xlfn.CONCAT(CHAR(92),"$")),CHAR(96),_xlfn.CONCAT(CHAR(92),CHAR(96))),CHAR(34),CHAR(39))))</f>
        <v/>
      </c>
      <c r="N287" s="5" t="str">
        <f>IF(OR(TRIM($B287)="",$D287=""),"",IF(OR(ISNUMBER(SEARCH(_xlfn.CONCAT(CHAR(96),CHAR(34)),$D287)),ISNUMBER(SEARCH(_xlfn.CONCAT(CHAR(34),CHAR(39)),$D287))),_xlfn.CONCAT("* REVIEW REQUIRED: compound-quote delimiter in Item Number on Sheet 1 row ",287,"; edit the input before running."),_xlfn.CONCAT("char ",TRIM($B287),"[doc_itemnum] ",CHAR(96),CHAR(34),SUBSTITUTE(SUBSTITUTE(SUBSTITUTE(SUBSTITUTE(SUBSTITUTE(SUBSTITUTE($D287,CHAR(13)," "),CHAR(10)," "),CHAR(9)," "),CHAR(92),_xlfn.CONCAT(CHAR(92),CHAR(92))),"$",_xlfn.CONCAT(CHAR(92),"$")),CHAR(96),_xlfn.CONCAT(CHAR(92),CHAR(96))),CHAR(34),CHAR(39))))</f>
        <v/>
      </c>
      <c r="O287" s="5" t="str">
        <f>IF(OR(TRIM($B287)="",$E287=""),"",IF(OR(ISNUMBER(SEARCH(_xlfn.CONCAT(CHAR(96),CHAR(34)),$E287)),ISNUMBER(SEARCH(_xlfn.CONCAT(CHAR(34),CHAR(39)),$E287))),_xlfn.CONCAT("* REVIEW REQUIRED: compound-quote delimiter in Question Wording on Sheet 1 row ",287,"; edit the input before running."),_xlfn.CONCAT("char ",TRIM($B287),"[doc_question] ",CHAR(96),CHAR(34),SUBSTITUTE(SUBSTITUTE(SUBSTITUTE(SUBSTITUTE(SUBSTITUTE(SUBSTITUTE($E287,CHAR(13)," "),CHAR(10)," "),CHAR(9)," "),CHAR(92),_xlfn.CONCAT(CHAR(92),CHAR(92))),"$",_xlfn.CONCAT(CHAR(92),"$")),CHAR(96),_xlfn.CONCAT(CHAR(92),CHAR(96))),CHAR(34),CHAR(39))))</f>
        <v/>
      </c>
      <c r="P287" s="5" t="str">
        <f>IF(OR(TRIM($B287)="",$F287=""),"",IF(OR(ISNUMBER(SEARCH(_xlfn.CONCAT(CHAR(96),CHAR(34)),$F287)),ISNUMBER(SEARCH(_xlfn.CONCAT(CHAR(34),CHAR(39)),$F287))),_xlfn.CONCAT("* REVIEW REQUIRED: compound-quote delimiter in Units on Sheet 1 row ",287,"; edit the input before running."),_xlfn.CONCAT("char ",TRIM($B287),"[doc_units] ",CHAR(96),CHAR(34),SUBSTITUTE(SUBSTITUTE(SUBSTITUTE(SUBSTITUTE(SUBSTITUTE(SUBSTITUTE($F287,CHAR(13)," "),CHAR(10)," "),CHAR(9)," "),CHAR(92),_xlfn.CONCAT(CHAR(92),CHAR(92))),"$",_xlfn.CONCAT(CHAR(92),"$")),CHAR(96),_xlfn.CONCAT(CHAR(92),CHAR(96))),CHAR(34),CHAR(39))))</f>
        <v/>
      </c>
      <c r="Q287" s="5" t="str">
        <f>IF(OR(TRIM($B287)="",$G287=""),"",IF(OR(ISNUMBER(SEARCH(_xlfn.CONCAT(CHAR(96),CHAR(34)),$G287)),ISNUMBER(SEARCH(_xlfn.CONCAT(CHAR(34),CHAR(39)),$G287))),_xlfn.CONCAT("* REVIEW REQUIRED: compound-quote delimiter in Universe on Sheet 1 row ",287,"; edit the input before running."),_xlfn.CONCAT("char ",TRIM($B287),"[doc_universe] ",CHAR(96),CHAR(34),SUBSTITUTE(SUBSTITUTE(SUBSTITUTE(SUBSTITUTE(SUBSTITUTE(SUBSTITUTE($G287,CHAR(13)," "),CHAR(10)," "),CHAR(9)," "),CHAR(92),_xlfn.CONCAT(CHAR(92),CHAR(92))),"$",_xlfn.CONCAT(CHAR(92),"$")),CHAR(96),_xlfn.CONCAT(CHAR(92),CHAR(96))),CHAR(34),CHAR(39))))</f>
        <v/>
      </c>
      <c r="R287" s="5" t="str">
        <f>IF(OR(TRIM($B287)="",$H287=""),"",IF(OR(ISNUMBER(SEARCH(_xlfn.CONCAT(CHAR(96),CHAR(34)),$H287)),ISNUMBER(SEARCH(_xlfn.CONCAT(CHAR(34),CHAR(39)),$H287))),_xlfn.CONCAT("* REVIEW REQUIRED: compound-quote delimiter in Source on Sheet 1 row ",287,"; edit the input before running."),_xlfn.CONCAT("char ",TRIM($B287),"[doc_source] ",CHAR(96),CHAR(34),SUBSTITUTE(SUBSTITUTE(SUBSTITUTE(SUBSTITUTE(SUBSTITUTE(SUBSTITUTE($H287,CHAR(13)," "),CHAR(10)," "),CHAR(9)," "),CHAR(92),_xlfn.CONCAT(CHAR(92),CHAR(92))),"$",_xlfn.CONCAT(CHAR(92),"$")),CHAR(96),_xlfn.CONCAT(CHAR(92),CHAR(96))),CHAR(34),CHAR(39))))</f>
        <v/>
      </c>
      <c r="S287" s="5" t="str">
        <f>IF(OR(TRIM($B287)="",$I287=""),"",IF(OR(ISNUMBER(SEARCH(_xlfn.CONCAT(CHAR(96),CHAR(34)),$I287)),ISNUMBER(SEARCH(_xlfn.CONCAT(CHAR(34),CHAR(39)),$I287))),_xlfn.CONCAT("* REVIEW REQUIRED: compound-quote delimiter in Derivation on Sheet 1 row ",287,"; edit the input before running."),_xlfn.CONCAT("char ",TRIM($B287),"[doc_derivation] ",CHAR(96),CHAR(34),SUBSTITUTE(SUBSTITUTE(SUBSTITUTE(SUBSTITUTE(SUBSTITUTE(SUBSTITUTE($I287,CHAR(13)," "),CHAR(10)," "),CHAR(9)," "),CHAR(92),_xlfn.CONCAT(CHAR(92),CHAR(92))),"$",_xlfn.CONCAT(CHAR(92),"$")),CHAR(96),_xlfn.CONCAT(CHAR(92),CHAR(96))),CHAR(34),CHAR(39))))</f>
        <v/>
      </c>
      <c r="T287" s="5" t="str">
        <f>IF(OR(TRIM($B287)="",$J287=""),"",IF(OR(ISNUMBER(SEARCH(_xlfn.CONCAT(CHAR(96),CHAR(34)),$J287)),ISNUMBER(SEARCH(_xlfn.CONCAT(CHAR(34),CHAR(39)),$J287))),_xlfn.CONCAT("* REVIEW REQUIRED: compound-quote delimiter in Notes on Sheet 1 row ",287,"; edit the input before running."),_xlfn.CONCAT("char ",TRIM($B287),"[doc_notes] ",CHAR(96),CHAR(34),SUBSTITUTE(SUBSTITUTE(SUBSTITUTE(SUBSTITUTE(SUBSTITUTE(SUBSTITUTE($J287,CHAR(13)," "),CHAR(10)," "),CHAR(9)," "),CHAR(92),_xlfn.CONCAT(CHAR(92),CHAR(92))),"$",_xlfn.CONCAT(CHAR(92),"$")),CHAR(96),_xlfn.CONCAT(CHAR(92),CHAR(96))),CHAR(34),CHAR(39))))</f>
        <v/>
      </c>
      <c r="U287" s="5">
        <f t="shared" si="9"/>
        <v>0</v>
      </c>
    </row>
    <row r="288" spans="3:21" ht="30" customHeight="1" x14ac:dyDescent="0.2">
      <c r="C288" s="4"/>
      <c r="K288" s="5">
        <f t="shared" si="8"/>
        <v>0</v>
      </c>
      <c r="L288" s="5" t="str">
        <f>IF(OR(TRIM($B288)="",$A288=""),"",IF(OR(ISNUMBER(SEARCH(_xlfn.CONCAT(CHAR(96),CHAR(34)),$A288)),ISNUMBER(SEARCH(_xlfn.CONCAT(CHAR(34),CHAR(39)),$A288))),_xlfn.CONCAT("* REVIEW REQUIRED: compound-quote delimiter in Codebook Section on Sheet 1 row ",288,"; edit the input before running."),_xlfn.CONCAT("char ",TRIM($B288),"[doc_section] ",CHAR(96),CHAR(34),SUBSTITUTE(SUBSTITUTE(SUBSTITUTE(SUBSTITUTE(SUBSTITUTE(SUBSTITUTE($A288,CHAR(13)," "),CHAR(10)," "),CHAR(9)," "),CHAR(92),_xlfn.CONCAT(CHAR(92),CHAR(92))),"$",_xlfn.CONCAT(CHAR(92),"$")),CHAR(96),_xlfn.CONCAT(CHAR(92),CHAR(96))),CHAR(34),CHAR(39))))</f>
        <v/>
      </c>
      <c r="M288" s="5" t="str">
        <f>IF(OR(TRIM($B288)="",$C288=""),"",IF(IFERROR(MATCH(TRIM($C288),{"Quantitative","Continuous","Discrete","Categorical","Nominal","Ordinal","Identifier"},0),0)=0,_xlfn.CONCAT("* REVIEW REQUIRED: invalid Variable Type on Sheet 1 row ",288,"."),_xlfn.CONCAT("char ",TRIM($B288),"[doc_vartype] ",CHAR(96),CHAR(34),SUBSTITUTE(SUBSTITUTE(SUBSTITUTE(SUBSTITUTE(SUBSTITUTE(SUBSTITUTE(LOWER(TRIM($C288)),CHAR(13)," "),CHAR(10)," "),CHAR(9)," "),CHAR(92),_xlfn.CONCAT(CHAR(92),CHAR(92))),"$",_xlfn.CONCAT(CHAR(92),"$")),CHAR(96),_xlfn.CONCAT(CHAR(92),CHAR(96))),CHAR(34),CHAR(39))))</f>
        <v/>
      </c>
      <c r="N288" s="5" t="str">
        <f>IF(OR(TRIM($B288)="",$D288=""),"",IF(OR(ISNUMBER(SEARCH(_xlfn.CONCAT(CHAR(96),CHAR(34)),$D288)),ISNUMBER(SEARCH(_xlfn.CONCAT(CHAR(34),CHAR(39)),$D288))),_xlfn.CONCAT("* REVIEW REQUIRED: compound-quote delimiter in Item Number on Sheet 1 row ",288,"; edit the input before running."),_xlfn.CONCAT("char ",TRIM($B288),"[doc_itemnum] ",CHAR(96),CHAR(34),SUBSTITUTE(SUBSTITUTE(SUBSTITUTE(SUBSTITUTE(SUBSTITUTE(SUBSTITUTE($D288,CHAR(13)," "),CHAR(10)," "),CHAR(9)," "),CHAR(92),_xlfn.CONCAT(CHAR(92),CHAR(92))),"$",_xlfn.CONCAT(CHAR(92),"$")),CHAR(96),_xlfn.CONCAT(CHAR(92),CHAR(96))),CHAR(34),CHAR(39))))</f>
        <v/>
      </c>
      <c r="O288" s="5" t="str">
        <f>IF(OR(TRIM($B288)="",$E288=""),"",IF(OR(ISNUMBER(SEARCH(_xlfn.CONCAT(CHAR(96),CHAR(34)),$E288)),ISNUMBER(SEARCH(_xlfn.CONCAT(CHAR(34),CHAR(39)),$E288))),_xlfn.CONCAT("* REVIEW REQUIRED: compound-quote delimiter in Question Wording on Sheet 1 row ",288,"; edit the input before running."),_xlfn.CONCAT("char ",TRIM($B288),"[doc_question] ",CHAR(96),CHAR(34),SUBSTITUTE(SUBSTITUTE(SUBSTITUTE(SUBSTITUTE(SUBSTITUTE(SUBSTITUTE($E288,CHAR(13)," "),CHAR(10)," "),CHAR(9)," "),CHAR(92),_xlfn.CONCAT(CHAR(92),CHAR(92))),"$",_xlfn.CONCAT(CHAR(92),"$")),CHAR(96),_xlfn.CONCAT(CHAR(92),CHAR(96))),CHAR(34),CHAR(39))))</f>
        <v/>
      </c>
      <c r="P288" s="5" t="str">
        <f>IF(OR(TRIM($B288)="",$F288=""),"",IF(OR(ISNUMBER(SEARCH(_xlfn.CONCAT(CHAR(96),CHAR(34)),$F288)),ISNUMBER(SEARCH(_xlfn.CONCAT(CHAR(34),CHAR(39)),$F288))),_xlfn.CONCAT("* REVIEW REQUIRED: compound-quote delimiter in Units on Sheet 1 row ",288,"; edit the input before running."),_xlfn.CONCAT("char ",TRIM($B288),"[doc_units] ",CHAR(96),CHAR(34),SUBSTITUTE(SUBSTITUTE(SUBSTITUTE(SUBSTITUTE(SUBSTITUTE(SUBSTITUTE($F288,CHAR(13)," "),CHAR(10)," "),CHAR(9)," "),CHAR(92),_xlfn.CONCAT(CHAR(92),CHAR(92))),"$",_xlfn.CONCAT(CHAR(92),"$")),CHAR(96),_xlfn.CONCAT(CHAR(92),CHAR(96))),CHAR(34),CHAR(39))))</f>
        <v/>
      </c>
      <c r="Q288" s="5" t="str">
        <f>IF(OR(TRIM($B288)="",$G288=""),"",IF(OR(ISNUMBER(SEARCH(_xlfn.CONCAT(CHAR(96),CHAR(34)),$G288)),ISNUMBER(SEARCH(_xlfn.CONCAT(CHAR(34),CHAR(39)),$G288))),_xlfn.CONCAT("* REVIEW REQUIRED: compound-quote delimiter in Universe on Sheet 1 row ",288,"; edit the input before running."),_xlfn.CONCAT("char ",TRIM($B288),"[doc_universe] ",CHAR(96),CHAR(34),SUBSTITUTE(SUBSTITUTE(SUBSTITUTE(SUBSTITUTE(SUBSTITUTE(SUBSTITUTE($G288,CHAR(13)," "),CHAR(10)," "),CHAR(9)," "),CHAR(92),_xlfn.CONCAT(CHAR(92),CHAR(92))),"$",_xlfn.CONCAT(CHAR(92),"$")),CHAR(96),_xlfn.CONCAT(CHAR(92),CHAR(96))),CHAR(34),CHAR(39))))</f>
        <v/>
      </c>
      <c r="R288" s="5" t="str">
        <f>IF(OR(TRIM($B288)="",$H288=""),"",IF(OR(ISNUMBER(SEARCH(_xlfn.CONCAT(CHAR(96),CHAR(34)),$H288)),ISNUMBER(SEARCH(_xlfn.CONCAT(CHAR(34),CHAR(39)),$H288))),_xlfn.CONCAT("* REVIEW REQUIRED: compound-quote delimiter in Source on Sheet 1 row ",288,"; edit the input before running."),_xlfn.CONCAT("char ",TRIM($B288),"[doc_source] ",CHAR(96),CHAR(34),SUBSTITUTE(SUBSTITUTE(SUBSTITUTE(SUBSTITUTE(SUBSTITUTE(SUBSTITUTE($H288,CHAR(13)," "),CHAR(10)," "),CHAR(9)," "),CHAR(92),_xlfn.CONCAT(CHAR(92),CHAR(92))),"$",_xlfn.CONCAT(CHAR(92),"$")),CHAR(96),_xlfn.CONCAT(CHAR(92),CHAR(96))),CHAR(34),CHAR(39))))</f>
        <v/>
      </c>
      <c r="S288" s="5" t="str">
        <f>IF(OR(TRIM($B288)="",$I288=""),"",IF(OR(ISNUMBER(SEARCH(_xlfn.CONCAT(CHAR(96),CHAR(34)),$I288)),ISNUMBER(SEARCH(_xlfn.CONCAT(CHAR(34),CHAR(39)),$I288))),_xlfn.CONCAT("* REVIEW REQUIRED: compound-quote delimiter in Derivation on Sheet 1 row ",288,"; edit the input before running."),_xlfn.CONCAT("char ",TRIM($B288),"[doc_derivation] ",CHAR(96),CHAR(34),SUBSTITUTE(SUBSTITUTE(SUBSTITUTE(SUBSTITUTE(SUBSTITUTE(SUBSTITUTE($I288,CHAR(13)," "),CHAR(10)," "),CHAR(9)," "),CHAR(92),_xlfn.CONCAT(CHAR(92),CHAR(92))),"$",_xlfn.CONCAT(CHAR(92),"$")),CHAR(96),_xlfn.CONCAT(CHAR(92),CHAR(96))),CHAR(34),CHAR(39))))</f>
        <v/>
      </c>
      <c r="T288" s="5" t="str">
        <f>IF(OR(TRIM($B288)="",$J288=""),"",IF(OR(ISNUMBER(SEARCH(_xlfn.CONCAT(CHAR(96),CHAR(34)),$J288)),ISNUMBER(SEARCH(_xlfn.CONCAT(CHAR(34),CHAR(39)),$J288))),_xlfn.CONCAT("* REVIEW REQUIRED: compound-quote delimiter in Notes on Sheet 1 row ",288,"; edit the input before running."),_xlfn.CONCAT("char ",TRIM($B288),"[doc_notes] ",CHAR(96),CHAR(34),SUBSTITUTE(SUBSTITUTE(SUBSTITUTE(SUBSTITUTE(SUBSTITUTE(SUBSTITUTE($J288,CHAR(13)," "),CHAR(10)," "),CHAR(9)," "),CHAR(92),_xlfn.CONCAT(CHAR(92),CHAR(92))),"$",_xlfn.CONCAT(CHAR(92),"$")),CHAR(96),_xlfn.CONCAT(CHAR(92),CHAR(96))),CHAR(34),CHAR(39))))</f>
        <v/>
      </c>
      <c r="U288" s="5">
        <f t="shared" si="9"/>
        <v>0</v>
      </c>
    </row>
    <row r="289" spans="3:21" ht="30" customHeight="1" x14ac:dyDescent="0.2">
      <c r="C289" s="4"/>
      <c r="K289" s="5">
        <f t="shared" si="8"/>
        <v>0</v>
      </c>
      <c r="L289" s="5" t="str">
        <f>IF(OR(TRIM($B289)="",$A289=""),"",IF(OR(ISNUMBER(SEARCH(_xlfn.CONCAT(CHAR(96),CHAR(34)),$A289)),ISNUMBER(SEARCH(_xlfn.CONCAT(CHAR(34),CHAR(39)),$A289))),_xlfn.CONCAT("* REVIEW REQUIRED: compound-quote delimiter in Codebook Section on Sheet 1 row ",289,"; edit the input before running."),_xlfn.CONCAT("char ",TRIM($B289),"[doc_section] ",CHAR(96),CHAR(34),SUBSTITUTE(SUBSTITUTE(SUBSTITUTE(SUBSTITUTE(SUBSTITUTE(SUBSTITUTE($A289,CHAR(13)," "),CHAR(10)," "),CHAR(9)," "),CHAR(92),_xlfn.CONCAT(CHAR(92),CHAR(92))),"$",_xlfn.CONCAT(CHAR(92),"$")),CHAR(96),_xlfn.CONCAT(CHAR(92),CHAR(96))),CHAR(34),CHAR(39))))</f>
        <v/>
      </c>
      <c r="M289" s="5" t="str">
        <f>IF(OR(TRIM($B289)="",$C289=""),"",IF(IFERROR(MATCH(TRIM($C289),{"Quantitative","Continuous","Discrete","Categorical","Nominal","Ordinal","Identifier"},0),0)=0,_xlfn.CONCAT("* REVIEW REQUIRED: invalid Variable Type on Sheet 1 row ",289,"."),_xlfn.CONCAT("char ",TRIM($B289),"[doc_vartype] ",CHAR(96),CHAR(34),SUBSTITUTE(SUBSTITUTE(SUBSTITUTE(SUBSTITUTE(SUBSTITUTE(SUBSTITUTE(LOWER(TRIM($C289)),CHAR(13)," "),CHAR(10)," "),CHAR(9)," "),CHAR(92),_xlfn.CONCAT(CHAR(92),CHAR(92))),"$",_xlfn.CONCAT(CHAR(92),"$")),CHAR(96),_xlfn.CONCAT(CHAR(92),CHAR(96))),CHAR(34),CHAR(39))))</f>
        <v/>
      </c>
      <c r="N289" s="5" t="str">
        <f>IF(OR(TRIM($B289)="",$D289=""),"",IF(OR(ISNUMBER(SEARCH(_xlfn.CONCAT(CHAR(96),CHAR(34)),$D289)),ISNUMBER(SEARCH(_xlfn.CONCAT(CHAR(34),CHAR(39)),$D289))),_xlfn.CONCAT("* REVIEW REQUIRED: compound-quote delimiter in Item Number on Sheet 1 row ",289,"; edit the input before running."),_xlfn.CONCAT("char ",TRIM($B289),"[doc_itemnum] ",CHAR(96),CHAR(34),SUBSTITUTE(SUBSTITUTE(SUBSTITUTE(SUBSTITUTE(SUBSTITUTE(SUBSTITUTE($D289,CHAR(13)," "),CHAR(10)," "),CHAR(9)," "),CHAR(92),_xlfn.CONCAT(CHAR(92),CHAR(92))),"$",_xlfn.CONCAT(CHAR(92),"$")),CHAR(96),_xlfn.CONCAT(CHAR(92),CHAR(96))),CHAR(34),CHAR(39))))</f>
        <v/>
      </c>
      <c r="O289" s="5" t="str">
        <f>IF(OR(TRIM($B289)="",$E289=""),"",IF(OR(ISNUMBER(SEARCH(_xlfn.CONCAT(CHAR(96),CHAR(34)),$E289)),ISNUMBER(SEARCH(_xlfn.CONCAT(CHAR(34),CHAR(39)),$E289))),_xlfn.CONCAT("* REVIEW REQUIRED: compound-quote delimiter in Question Wording on Sheet 1 row ",289,"; edit the input before running."),_xlfn.CONCAT("char ",TRIM($B289),"[doc_question] ",CHAR(96),CHAR(34),SUBSTITUTE(SUBSTITUTE(SUBSTITUTE(SUBSTITUTE(SUBSTITUTE(SUBSTITUTE($E289,CHAR(13)," "),CHAR(10)," "),CHAR(9)," "),CHAR(92),_xlfn.CONCAT(CHAR(92),CHAR(92))),"$",_xlfn.CONCAT(CHAR(92),"$")),CHAR(96),_xlfn.CONCAT(CHAR(92),CHAR(96))),CHAR(34),CHAR(39))))</f>
        <v/>
      </c>
      <c r="P289" s="5" t="str">
        <f>IF(OR(TRIM($B289)="",$F289=""),"",IF(OR(ISNUMBER(SEARCH(_xlfn.CONCAT(CHAR(96),CHAR(34)),$F289)),ISNUMBER(SEARCH(_xlfn.CONCAT(CHAR(34),CHAR(39)),$F289))),_xlfn.CONCAT("* REVIEW REQUIRED: compound-quote delimiter in Units on Sheet 1 row ",289,"; edit the input before running."),_xlfn.CONCAT("char ",TRIM($B289),"[doc_units] ",CHAR(96),CHAR(34),SUBSTITUTE(SUBSTITUTE(SUBSTITUTE(SUBSTITUTE(SUBSTITUTE(SUBSTITUTE($F289,CHAR(13)," "),CHAR(10)," "),CHAR(9)," "),CHAR(92),_xlfn.CONCAT(CHAR(92),CHAR(92))),"$",_xlfn.CONCAT(CHAR(92),"$")),CHAR(96),_xlfn.CONCAT(CHAR(92),CHAR(96))),CHAR(34),CHAR(39))))</f>
        <v/>
      </c>
      <c r="Q289" s="5" t="str">
        <f>IF(OR(TRIM($B289)="",$G289=""),"",IF(OR(ISNUMBER(SEARCH(_xlfn.CONCAT(CHAR(96),CHAR(34)),$G289)),ISNUMBER(SEARCH(_xlfn.CONCAT(CHAR(34),CHAR(39)),$G289))),_xlfn.CONCAT("* REVIEW REQUIRED: compound-quote delimiter in Universe on Sheet 1 row ",289,"; edit the input before running."),_xlfn.CONCAT("char ",TRIM($B289),"[doc_universe] ",CHAR(96),CHAR(34),SUBSTITUTE(SUBSTITUTE(SUBSTITUTE(SUBSTITUTE(SUBSTITUTE(SUBSTITUTE($G289,CHAR(13)," "),CHAR(10)," "),CHAR(9)," "),CHAR(92),_xlfn.CONCAT(CHAR(92),CHAR(92))),"$",_xlfn.CONCAT(CHAR(92),"$")),CHAR(96),_xlfn.CONCAT(CHAR(92),CHAR(96))),CHAR(34),CHAR(39))))</f>
        <v/>
      </c>
      <c r="R289" s="5" t="str">
        <f>IF(OR(TRIM($B289)="",$H289=""),"",IF(OR(ISNUMBER(SEARCH(_xlfn.CONCAT(CHAR(96),CHAR(34)),$H289)),ISNUMBER(SEARCH(_xlfn.CONCAT(CHAR(34),CHAR(39)),$H289))),_xlfn.CONCAT("* REVIEW REQUIRED: compound-quote delimiter in Source on Sheet 1 row ",289,"; edit the input before running."),_xlfn.CONCAT("char ",TRIM($B289),"[doc_source] ",CHAR(96),CHAR(34),SUBSTITUTE(SUBSTITUTE(SUBSTITUTE(SUBSTITUTE(SUBSTITUTE(SUBSTITUTE($H289,CHAR(13)," "),CHAR(10)," "),CHAR(9)," "),CHAR(92),_xlfn.CONCAT(CHAR(92),CHAR(92))),"$",_xlfn.CONCAT(CHAR(92),"$")),CHAR(96),_xlfn.CONCAT(CHAR(92),CHAR(96))),CHAR(34),CHAR(39))))</f>
        <v/>
      </c>
      <c r="S289" s="5" t="str">
        <f>IF(OR(TRIM($B289)="",$I289=""),"",IF(OR(ISNUMBER(SEARCH(_xlfn.CONCAT(CHAR(96),CHAR(34)),$I289)),ISNUMBER(SEARCH(_xlfn.CONCAT(CHAR(34),CHAR(39)),$I289))),_xlfn.CONCAT("* REVIEW REQUIRED: compound-quote delimiter in Derivation on Sheet 1 row ",289,"; edit the input before running."),_xlfn.CONCAT("char ",TRIM($B289),"[doc_derivation] ",CHAR(96),CHAR(34),SUBSTITUTE(SUBSTITUTE(SUBSTITUTE(SUBSTITUTE(SUBSTITUTE(SUBSTITUTE($I289,CHAR(13)," "),CHAR(10)," "),CHAR(9)," "),CHAR(92),_xlfn.CONCAT(CHAR(92),CHAR(92))),"$",_xlfn.CONCAT(CHAR(92),"$")),CHAR(96),_xlfn.CONCAT(CHAR(92),CHAR(96))),CHAR(34),CHAR(39))))</f>
        <v/>
      </c>
      <c r="T289" s="5" t="str">
        <f>IF(OR(TRIM($B289)="",$J289=""),"",IF(OR(ISNUMBER(SEARCH(_xlfn.CONCAT(CHAR(96),CHAR(34)),$J289)),ISNUMBER(SEARCH(_xlfn.CONCAT(CHAR(34),CHAR(39)),$J289))),_xlfn.CONCAT("* REVIEW REQUIRED: compound-quote delimiter in Notes on Sheet 1 row ",289,"; edit the input before running."),_xlfn.CONCAT("char ",TRIM($B289),"[doc_notes] ",CHAR(96),CHAR(34),SUBSTITUTE(SUBSTITUTE(SUBSTITUTE(SUBSTITUTE(SUBSTITUTE(SUBSTITUTE($J289,CHAR(13)," "),CHAR(10)," "),CHAR(9)," "),CHAR(92),_xlfn.CONCAT(CHAR(92),CHAR(92))),"$",_xlfn.CONCAT(CHAR(92),"$")),CHAR(96),_xlfn.CONCAT(CHAR(92),CHAR(96))),CHAR(34),CHAR(39))))</f>
        <v/>
      </c>
      <c r="U289" s="5">
        <f t="shared" si="9"/>
        <v>0</v>
      </c>
    </row>
    <row r="290" spans="3:21" ht="30" customHeight="1" x14ac:dyDescent="0.2">
      <c r="C290" s="4"/>
      <c r="K290" s="5">
        <f t="shared" si="8"/>
        <v>0</v>
      </c>
      <c r="L290" s="5" t="str">
        <f>IF(OR(TRIM($B290)="",$A290=""),"",IF(OR(ISNUMBER(SEARCH(_xlfn.CONCAT(CHAR(96),CHAR(34)),$A290)),ISNUMBER(SEARCH(_xlfn.CONCAT(CHAR(34),CHAR(39)),$A290))),_xlfn.CONCAT("* REVIEW REQUIRED: compound-quote delimiter in Codebook Section on Sheet 1 row ",290,"; edit the input before running."),_xlfn.CONCAT("char ",TRIM($B290),"[doc_section] ",CHAR(96),CHAR(34),SUBSTITUTE(SUBSTITUTE(SUBSTITUTE(SUBSTITUTE(SUBSTITUTE(SUBSTITUTE($A290,CHAR(13)," "),CHAR(10)," "),CHAR(9)," "),CHAR(92),_xlfn.CONCAT(CHAR(92),CHAR(92))),"$",_xlfn.CONCAT(CHAR(92),"$")),CHAR(96),_xlfn.CONCAT(CHAR(92),CHAR(96))),CHAR(34),CHAR(39))))</f>
        <v/>
      </c>
      <c r="M290" s="5" t="str">
        <f>IF(OR(TRIM($B290)="",$C290=""),"",IF(IFERROR(MATCH(TRIM($C290),{"Quantitative","Continuous","Discrete","Categorical","Nominal","Ordinal","Identifier"},0),0)=0,_xlfn.CONCAT("* REVIEW REQUIRED: invalid Variable Type on Sheet 1 row ",290,"."),_xlfn.CONCAT("char ",TRIM($B290),"[doc_vartype] ",CHAR(96),CHAR(34),SUBSTITUTE(SUBSTITUTE(SUBSTITUTE(SUBSTITUTE(SUBSTITUTE(SUBSTITUTE(LOWER(TRIM($C290)),CHAR(13)," "),CHAR(10)," "),CHAR(9)," "),CHAR(92),_xlfn.CONCAT(CHAR(92),CHAR(92))),"$",_xlfn.CONCAT(CHAR(92),"$")),CHAR(96),_xlfn.CONCAT(CHAR(92),CHAR(96))),CHAR(34),CHAR(39))))</f>
        <v/>
      </c>
      <c r="N290" s="5" t="str">
        <f>IF(OR(TRIM($B290)="",$D290=""),"",IF(OR(ISNUMBER(SEARCH(_xlfn.CONCAT(CHAR(96),CHAR(34)),$D290)),ISNUMBER(SEARCH(_xlfn.CONCAT(CHAR(34),CHAR(39)),$D290))),_xlfn.CONCAT("* REVIEW REQUIRED: compound-quote delimiter in Item Number on Sheet 1 row ",290,"; edit the input before running."),_xlfn.CONCAT("char ",TRIM($B290),"[doc_itemnum] ",CHAR(96),CHAR(34),SUBSTITUTE(SUBSTITUTE(SUBSTITUTE(SUBSTITUTE(SUBSTITUTE(SUBSTITUTE($D290,CHAR(13)," "),CHAR(10)," "),CHAR(9)," "),CHAR(92),_xlfn.CONCAT(CHAR(92),CHAR(92))),"$",_xlfn.CONCAT(CHAR(92),"$")),CHAR(96),_xlfn.CONCAT(CHAR(92),CHAR(96))),CHAR(34),CHAR(39))))</f>
        <v/>
      </c>
      <c r="O290" s="5" t="str">
        <f>IF(OR(TRIM($B290)="",$E290=""),"",IF(OR(ISNUMBER(SEARCH(_xlfn.CONCAT(CHAR(96),CHAR(34)),$E290)),ISNUMBER(SEARCH(_xlfn.CONCAT(CHAR(34),CHAR(39)),$E290))),_xlfn.CONCAT("* REVIEW REQUIRED: compound-quote delimiter in Question Wording on Sheet 1 row ",290,"; edit the input before running."),_xlfn.CONCAT("char ",TRIM($B290),"[doc_question] ",CHAR(96),CHAR(34),SUBSTITUTE(SUBSTITUTE(SUBSTITUTE(SUBSTITUTE(SUBSTITUTE(SUBSTITUTE($E290,CHAR(13)," "),CHAR(10)," "),CHAR(9)," "),CHAR(92),_xlfn.CONCAT(CHAR(92),CHAR(92))),"$",_xlfn.CONCAT(CHAR(92),"$")),CHAR(96),_xlfn.CONCAT(CHAR(92),CHAR(96))),CHAR(34),CHAR(39))))</f>
        <v/>
      </c>
      <c r="P290" s="5" t="str">
        <f>IF(OR(TRIM($B290)="",$F290=""),"",IF(OR(ISNUMBER(SEARCH(_xlfn.CONCAT(CHAR(96),CHAR(34)),$F290)),ISNUMBER(SEARCH(_xlfn.CONCAT(CHAR(34),CHAR(39)),$F290))),_xlfn.CONCAT("* REVIEW REQUIRED: compound-quote delimiter in Units on Sheet 1 row ",290,"; edit the input before running."),_xlfn.CONCAT("char ",TRIM($B290),"[doc_units] ",CHAR(96),CHAR(34),SUBSTITUTE(SUBSTITUTE(SUBSTITUTE(SUBSTITUTE(SUBSTITUTE(SUBSTITUTE($F290,CHAR(13)," "),CHAR(10)," "),CHAR(9)," "),CHAR(92),_xlfn.CONCAT(CHAR(92),CHAR(92))),"$",_xlfn.CONCAT(CHAR(92),"$")),CHAR(96),_xlfn.CONCAT(CHAR(92),CHAR(96))),CHAR(34),CHAR(39))))</f>
        <v/>
      </c>
      <c r="Q290" s="5" t="str">
        <f>IF(OR(TRIM($B290)="",$G290=""),"",IF(OR(ISNUMBER(SEARCH(_xlfn.CONCAT(CHAR(96),CHAR(34)),$G290)),ISNUMBER(SEARCH(_xlfn.CONCAT(CHAR(34),CHAR(39)),$G290))),_xlfn.CONCAT("* REVIEW REQUIRED: compound-quote delimiter in Universe on Sheet 1 row ",290,"; edit the input before running."),_xlfn.CONCAT("char ",TRIM($B290),"[doc_universe] ",CHAR(96),CHAR(34),SUBSTITUTE(SUBSTITUTE(SUBSTITUTE(SUBSTITUTE(SUBSTITUTE(SUBSTITUTE($G290,CHAR(13)," "),CHAR(10)," "),CHAR(9)," "),CHAR(92),_xlfn.CONCAT(CHAR(92),CHAR(92))),"$",_xlfn.CONCAT(CHAR(92),"$")),CHAR(96),_xlfn.CONCAT(CHAR(92),CHAR(96))),CHAR(34),CHAR(39))))</f>
        <v/>
      </c>
      <c r="R290" s="5" t="str">
        <f>IF(OR(TRIM($B290)="",$H290=""),"",IF(OR(ISNUMBER(SEARCH(_xlfn.CONCAT(CHAR(96),CHAR(34)),$H290)),ISNUMBER(SEARCH(_xlfn.CONCAT(CHAR(34),CHAR(39)),$H290))),_xlfn.CONCAT("* REVIEW REQUIRED: compound-quote delimiter in Source on Sheet 1 row ",290,"; edit the input before running."),_xlfn.CONCAT("char ",TRIM($B290),"[doc_source] ",CHAR(96),CHAR(34),SUBSTITUTE(SUBSTITUTE(SUBSTITUTE(SUBSTITUTE(SUBSTITUTE(SUBSTITUTE($H290,CHAR(13)," "),CHAR(10)," "),CHAR(9)," "),CHAR(92),_xlfn.CONCAT(CHAR(92),CHAR(92))),"$",_xlfn.CONCAT(CHAR(92),"$")),CHAR(96),_xlfn.CONCAT(CHAR(92),CHAR(96))),CHAR(34),CHAR(39))))</f>
        <v/>
      </c>
      <c r="S290" s="5" t="str">
        <f>IF(OR(TRIM($B290)="",$I290=""),"",IF(OR(ISNUMBER(SEARCH(_xlfn.CONCAT(CHAR(96),CHAR(34)),$I290)),ISNUMBER(SEARCH(_xlfn.CONCAT(CHAR(34),CHAR(39)),$I290))),_xlfn.CONCAT("* REVIEW REQUIRED: compound-quote delimiter in Derivation on Sheet 1 row ",290,"; edit the input before running."),_xlfn.CONCAT("char ",TRIM($B290),"[doc_derivation] ",CHAR(96),CHAR(34),SUBSTITUTE(SUBSTITUTE(SUBSTITUTE(SUBSTITUTE(SUBSTITUTE(SUBSTITUTE($I290,CHAR(13)," "),CHAR(10)," "),CHAR(9)," "),CHAR(92),_xlfn.CONCAT(CHAR(92),CHAR(92))),"$",_xlfn.CONCAT(CHAR(92),"$")),CHAR(96),_xlfn.CONCAT(CHAR(92),CHAR(96))),CHAR(34),CHAR(39))))</f>
        <v/>
      </c>
      <c r="T290" s="5" t="str">
        <f>IF(OR(TRIM($B290)="",$J290=""),"",IF(OR(ISNUMBER(SEARCH(_xlfn.CONCAT(CHAR(96),CHAR(34)),$J290)),ISNUMBER(SEARCH(_xlfn.CONCAT(CHAR(34),CHAR(39)),$J290))),_xlfn.CONCAT("* REVIEW REQUIRED: compound-quote delimiter in Notes on Sheet 1 row ",290,"; edit the input before running."),_xlfn.CONCAT("char ",TRIM($B290),"[doc_notes] ",CHAR(96),CHAR(34),SUBSTITUTE(SUBSTITUTE(SUBSTITUTE(SUBSTITUTE(SUBSTITUTE(SUBSTITUTE($J290,CHAR(13)," "),CHAR(10)," "),CHAR(9)," "),CHAR(92),_xlfn.CONCAT(CHAR(92),CHAR(92))),"$",_xlfn.CONCAT(CHAR(92),"$")),CHAR(96),_xlfn.CONCAT(CHAR(92),CHAR(96))),CHAR(34),CHAR(39))))</f>
        <v/>
      </c>
      <c r="U290" s="5">
        <f t="shared" si="9"/>
        <v>0</v>
      </c>
    </row>
    <row r="291" spans="3:21" ht="30" customHeight="1" x14ac:dyDescent="0.2">
      <c r="C291" s="4"/>
      <c r="K291" s="5">
        <f t="shared" si="8"/>
        <v>0</v>
      </c>
      <c r="L291" s="5" t="str">
        <f>IF(OR(TRIM($B291)="",$A291=""),"",IF(OR(ISNUMBER(SEARCH(_xlfn.CONCAT(CHAR(96),CHAR(34)),$A291)),ISNUMBER(SEARCH(_xlfn.CONCAT(CHAR(34),CHAR(39)),$A291))),_xlfn.CONCAT("* REVIEW REQUIRED: compound-quote delimiter in Codebook Section on Sheet 1 row ",291,"; edit the input before running."),_xlfn.CONCAT("char ",TRIM($B291),"[doc_section] ",CHAR(96),CHAR(34),SUBSTITUTE(SUBSTITUTE(SUBSTITUTE(SUBSTITUTE(SUBSTITUTE(SUBSTITUTE($A291,CHAR(13)," "),CHAR(10)," "),CHAR(9)," "),CHAR(92),_xlfn.CONCAT(CHAR(92),CHAR(92))),"$",_xlfn.CONCAT(CHAR(92),"$")),CHAR(96),_xlfn.CONCAT(CHAR(92),CHAR(96))),CHAR(34),CHAR(39))))</f>
        <v/>
      </c>
      <c r="M291" s="5" t="str">
        <f>IF(OR(TRIM($B291)="",$C291=""),"",IF(IFERROR(MATCH(TRIM($C291),{"Quantitative","Continuous","Discrete","Categorical","Nominal","Ordinal","Identifier"},0),0)=0,_xlfn.CONCAT("* REVIEW REQUIRED: invalid Variable Type on Sheet 1 row ",291,"."),_xlfn.CONCAT("char ",TRIM($B291),"[doc_vartype] ",CHAR(96),CHAR(34),SUBSTITUTE(SUBSTITUTE(SUBSTITUTE(SUBSTITUTE(SUBSTITUTE(SUBSTITUTE(LOWER(TRIM($C291)),CHAR(13)," "),CHAR(10)," "),CHAR(9)," "),CHAR(92),_xlfn.CONCAT(CHAR(92),CHAR(92))),"$",_xlfn.CONCAT(CHAR(92),"$")),CHAR(96),_xlfn.CONCAT(CHAR(92),CHAR(96))),CHAR(34),CHAR(39))))</f>
        <v/>
      </c>
      <c r="N291" s="5" t="str">
        <f>IF(OR(TRIM($B291)="",$D291=""),"",IF(OR(ISNUMBER(SEARCH(_xlfn.CONCAT(CHAR(96),CHAR(34)),$D291)),ISNUMBER(SEARCH(_xlfn.CONCAT(CHAR(34),CHAR(39)),$D291))),_xlfn.CONCAT("* REVIEW REQUIRED: compound-quote delimiter in Item Number on Sheet 1 row ",291,"; edit the input before running."),_xlfn.CONCAT("char ",TRIM($B291),"[doc_itemnum] ",CHAR(96),CHAR(34),SUBSTITUTE(SUBSTITUTE(SUBSTITUTE(SUBSTITUTE(SUBSTITUTE(SUBSTITUTE($D291,CHAR(13)," "),CHAR(10)," "),CHAR(9)," "),CHAR(92),_xlfn.CONCAT(CHAR(92),CHAR(92))),"$",_xlfn.CONCAT(CHAR(92),"$")),CHAR(96),_xlfn.CONCAT(CHAR(92),CHAR(96))),CHAR(34),CHAR(39))))</f>
        <v/>
      </c>
      <c r="O291" s="5" t="str">
        <f>IF(OR(TRIM($B291)="",$E291=""),"",IF(OR(ISNUMBER(SEARCH(_xlfn.CONCAT(CHAR(96),CHAR(34)),$E291)),ISNUMBER(SEARCH(_xlfn.CONCAT(CHAR(34),CHAR(39)),$E291))),_xlfn.CONCAT("* REVIEW REQUIRED: compound-quote delimiter in Question Wording on Sheet 1 row ",291,"; edit the input before running."),_xlfn.CONCAT("char ",TRIM($B291),"[doc_question] ",CHAR(96),CHAR(34),SUBSTITUTE(SUBSTITUTE(SUBSTITUTE(SUBSTITUTE(SUBSTITUTE(SUBSTITUTE($E291,CHAR(13)," "),CHAR(10)," "),CHAR(9)," "),CHAR(92),_xlfn.CONCAT(CHAR(92),CHAR(92))),"$",_xlfn.CONCAT(CHAR(92),"$")),CHAR(96),_xlfn.CONCAT(CHAR(92),CHAR(96))),CHAR(34),CHAR(39))))</f>
        <v/>
      </c>
      <c r="P291" s="5" t="str">
        <f>IF(OR(TRIM($B291)="",$F291=""),"",IF(OR(ISNUMBER(SEARCH(_xlfn.CONCAT(CHAR(96),CHAR(34)),$F291)),ISNUMBER(SEARCH(_xlfn.CONCAT(CHAR(34),CHAR(39)),$F291))),_xlfn.CONCAT("* REVIEW REQUIRED: compound-quote delimiter in Units on Sheet 1 row ",291,"; edit the input before running."),_xlfn.CONCAT("char ",TRIM($B291),"[doc_units] ",CHAR(96),CHAR(34),SUBSTITUTE(SUBSTITUTE(SUBSTITUTE(SUBSTITUTE(SUBSTITUTE(SUBSTITUTE($F291,CHAR(13)," "),CHAR(10)," "),CHAR(9)," "),CHAR(92),_xlfn.CONCAT(CHAR(92),CHAR(92))),"$",_xlfn.CONCAT(CHAR(92),"$")),CHAR(96),_xlfn.CONCAT(CHAR(92),CHAR(96))),CHAR(34),CHAR(39))))</f>
        <v/>
      </c>
      <c r="Q291" s="5" t="str">
        <f>IF(OR(TRIM($B291)="",$G291=""),"",IF(OR(ISNUMBER(SEARCH(_xlfn.CONCAT(CHAR(96),CHAR(34)),$G291)),ISNUMBER(SEARCH(_xlfn.CONCAT(CHAR(34),CHAR(39)),$G291))),_xlfn.CONCAT("* REVIEW REQUIRED: compound-quote delimiter in Universe on Sheet 1 row ",291,"; edit the input before running."),_xlfn.CONCAT("char ",TRIM($B291),"[doc_universe] ",CHAR(96),CHAR(34),SUBSTITUTE(SUBSTITUTE(SUBSTITUTE(SUBSTITUTE(SUBSTITUTE(SUBSTITUTE($G291,CHAR(13)," "),CHAR(10)," "),CHAR(9)," "),CHAR(92),_xlfn.CONCAT(CHAR(92),CHAR(92))),"$",_xlfn.CONCAT(CHAR(92),"$")),CHAR(96),_xlfn.CONCAT(CHAR(92),CHAR(96))),CHAR(34),CHAR(39))))</f>
        <v/>
      </c>
      <c r="R291" s="5" t="str">
        <f>IF(OR(TRIM($B291)="",$H291=""),"",IF(OR(ISNUMBER(SEARCH(_xlfn.CONCAT(CHAR(96),CHAR(34)),$H291)),ISNUMBER(SEARCH(_xlfn.CONCAT(CHAR(34),CHAR(39)),$H291))),_xlfn.CONCAT("* REVIEW REQUIRED: compound-quote delimiter in Source on Sheet 1 row ",291,"; edit the input before running."),_xlfn.CONCAT("char ",TRIM($B291),"[doc_source] ",CHAR(96),CHAR(34),SUBSTITUTE(SUBSTITUTE(SUBSTITUTE(SUBSTITUTE(SUBSTITUTE(SUBSTITUTE($H291,CHAR(13)," "),CHAR(10)," "),CHAR(9)," "),CHAR(92),_xlfn.CONCAT(CHAR(92),CHAR(92))),"$",_xlfn.CONCAT(CHAR(92),"$")),CHAR(96),_xlfn.CONCAT(CHAR(92),CHAR(96))),CHAR(34),CHAR(39))))</f>
        <v/>
      </c>
      <c r="S291" s="5" t="str">
        <f>IF(OR(TRIM($B291)="",$I291=""),"",IF(OR(ISNUMBER(SEARCH(_xlfn.CONCAT(CHAR(96),CHAR(34)),$I291)),ISNUMBER(SEARCH(_xlfn.CONCAT(CHAR(34),CHAR(39)),$I291))),_xlfn.CONCAT("* REVIEW REQUIRED: compound-quote delimiter in Derivation on Sheet 1 row ",291,"; edit the input before running."),_xlfn.CONCAT("char ",TRIM($B291),"[doc_derivation] ",CHAR(96),CHAR(34),SUBSTITUTE(SUBSTITUTE(SUBSTITUTE(SUBSTITUTE(SUBSTITUTE(SUBSTITUTE($I291,CHAR(13)," "),CHAR(10)," "),CHAR(9)," "),CHAR(92),_xlfn.CONCAT(CHAR(92),CHAR(92))),"$",_xlfn.CONCAT(CHAR(92),"$")),CHAR(96),_xlfn.CONCAT(CHAR(92),CHAR(96))),CHAR(34),CHAR(39))))</f>
        <v/>
      </c>
      <c r="T291" s="5" t="str">
        <f>IF(OR(TRIM($B291)="",$J291=""),"",IF(OR(ISNUMBER(SEARCH(_xlfn.CONCAT(CHAR(96),CHAR(34)),$J291)),ISNUMBER(SEARCH(_xlfn.CONCAT(CHAR(34),CHAR(39)),$J291))),_xlfn.CONCAT("* REVIEW REQUIRED: compound-quote delimiter in Notes on Sheet 1 row ",291,"; edit the input before running."),_xlfn.CONCAT("char ",TRIM($B291),"[doc_notes] ",CHAR(96),CHAR(34),SUBSTITUTE(SUBSTITUTE(SUBSTITUTE(SUBSTITUTE(SUBSTITUTE(SUBSTITUTE($J291,CHAR(13)," "),CHAR(10)," "),CHAR(9)," "),CHAR(92),_xlfn.CONCAT(CHAR(92),CHAR(92))),"$",_xlfn.CONCAT(CHAR(92),"$")),CHAR(96),_xlfn.CONCAT(CHAR(92),CHAR(96))),CHAR(34),CHAR(39))))</f>
        <v/>
      </c>
      <c r="U291" s="5">
        <f t="shared" si="9"/>
        <v>0</v>
      </c>
    </row>
    <row r="292" spans="3:21" ht="30" customHeight="1" x14ac:dyDescent="0.2">
      <c r="C292" s="4"/>
      <c r="K292" s="5">
        <f t="shared" si="8"/>
        <v>0</v>
      </c>
      <c r="L292" s="5" t="str">
        <f>IF(OR(TRIM($B292)="",$A292=""),"",IF(OR(ISNUMBER(SEARCH(_xlfn.CONCAT(CHAR(96),CHAR(34)),$A292)),ISNUMBER(SEARCH(_xlfn.CONCAT(CHAR(34),CHAR(39)),$A292))),_xlfn.CONCAT("* REVIEW REQUIRED: compound-quote delimiter in Codebook Section on Sheet 1 row ",292,"; edit the input before running."),_xlfn.CONCAT("char ",TRIM($B292),"[doc_section] ",CHAR(96),CHAR(34),SUBSTITUTE(SUBSTITUTE(SUBSTITUTE(SUBSTITUTE(SUBSTITUTE(SUBSTITUTE($A292,CHAR(13)," "),CHAR(10)," "),CHAR(9)," "),CHAR(92),_xlfn.CONCAT(CHAR(92),CHAR(92))),"$",_xlfn.CONCAT(CHAR(92),"$")),CHAR(96),_xlfn.CONCAT(CHAR(92),CHAR(96))),CHAR(34),CHAR(39))))</f>
        <v/>
      </c>
      <c r="M292" s="5" t="str">
        <f>IF(OR(TRIM($B292)="",$C292=""),"",IF(IFERROR(MATCH(TRIM($C292),{"Quantitative","Continuous","Discrete","Categorical","Nominal","Ordinal","Identifier"},0),0)=0,_xlfn.CONCAT("* REVIEW REQUIRED: invalid Variable Type on Sheet 1 row ",292,"."),_xlfn.CONCAT("char ",TRIM($B292),"[doc_vartype] ",CHAR(96),CHAR(34),SUBSTITUTE(SUBSTITUTE(SUBSTITUTE(SUBSTITUTE(SUBSTITUTE(SUBSTITUTE(LOWER(TRIM($C292)),CHAR(13)," "),CHAR(10)," "),CHAR(9)," "),CHAR(92),_xlfn.CONCAT(CHAR(92),CHAR(92))),"$",_xlfn.CONCAT(CHAR(92),"$")),CHAR(96),_xlfn.CONCAT(CHAR(92),CHAR(96))),CHAR(34),CHAR(39))))</f>
        <v/>
      </c>
      <c r="N292" s="5" t="str">
        <f>IF(OR(TRIM($B292)="",$D292=""),"",IF(OR(ISNUMBER(SEARCH(_xlfn.CONCAT(CHAR(96),CHAR(34)),$D292)),ISNUMBER(SEARCH(_xlfn.CONCAT(CHAR(34),CHAR(39)),$D292))),_xlfn.CONCAT("* REVIEW REQUIRED: compound-quote delimiter in Item Number on Sheet 1 row ",292,"; edit the input before running."),_xlfn.CONCAT("char ",TRIM($B292),"[doc_itemnum] ",CHAR(96),CHAR(34),SUBSTITUTE(SUBSTITUTE(SUBSTITUTE(SUBSTITUTE(SUBSTITUTE(SUBSTITUTE($D292,CHAR(13)," "),CHAR(10)," "),CHAR(9)," "),CHAR(92),_xlfn.CONCAT(CHAR(92),CHAR(92))),"$",_xlfn.CONCAT(CHAR(92),"$")),CHAR(96),_xlfn.CONCAT(CHAR(92),CHAR(96))),CHAR(34),CHAR(39))))</f>
        <v/>
      </c>
      <c r="O292" s="5" t="str">
        <f>IF(OR(TRIM($B292)="",$E292=""),"",IF(OR(ISNUMBER(SEARCH(_xlfn.CONCAT(CHAR(96),CHAR(34)),$E292)),ISNUMBER(SEARCH(_xlfn.CONCAT(CHAR(34),CHAR(39)),$E292))),_xlfn.CONCAT("* REVIEW REQUIRED: compound-quote delimiter in Question Wording on Sheet 1 row ",292,"; edit the input before running."),_xlfn.CONCAT("char ",TRIM($B292),"[doc_question] ",CHAR(96),CHAR(34),SUBSTITUTE(SUBSTITUTE(SUBSTITUTE(SUBSTITUTE(SUBSTITUTE(SUBSTITUTE($E292,CHAR(13)," "),CHAR(10)," "),CHAR(9)," "),CHAR(92),_xlfn.CONCAT(CHAR(92),CHAR(92))),"$",_xlfn.CONCAT(CHAR(92),"$")),CHAR(96),_xlfn.CONCAT(CHAR(92),CHAR(96))),CHAR(34),CHAR(39))))</f>
        <v/>
      </c>
      <c r="P292" s="5" t="str">
        <f>IF(OR(TRIM($B292)="",$F292=""),"",IF(OR(ISNUMBER(SEARCH(_xlfn.CONCAT(CHAR(96),CHAR(34)),$F292)),ISNUMBER(SEARCH(_xlfn.CONCAT(CHAR(34),CHAR(39)),$F292))),_xlfn.CONCAT("* REVIEW REQUIRED: compound-quote delimiter in Units on Sheet 1 row ",292,"; edit the input before running."),_xlfn.CONCAT("char ",TRIM($B292),"[doc_units] ",CHAR(96),CHAR(34),SUBSTITUTE(SUBSTITUTE(SUBSTITUTE(SUBSTITUTE(SUBSTITUTE(SUBSTITUTE($F292,CHAR(13)," "),CHAR(10)," "),CHAR(9)," "),CHAR(92),_xlfn.CONCAT(CHAR(92),CHAR(92))),"$",_xlfn.CONCAT(CHAR(92),"$")),CHAR(96),_xlfn.CONCAT(CHAR(92),CHAR(96))),CHAR(34),CHAR(39))))</f>
        <v/>
      </c>
      <c r="Q292" s="5" t="str">
        <f>IF(OR(TRIM($B292)="",$G292=""),"",IF(OR(ISNUMBER(SEARCH(_xlfn.CONCAT(CHAR(96),CHAR(34)),$G292)),ISNUMBER(SEARCH(_xlfn.CONCAT(CHAR(34),CHAR(39)),$G292))),_xlfn.CONCAT("* REVIEW REQUIRED: compound-quote delimiter in Universe on Sheet 1 row ",292,"; edit the input before running."),_xlfn.CONCAT("char ",TRIM($B292),"[doc_universe] ",CHAR(96),CHAR(34),SUBSTITUTE(SUBSTITUTE(SUBSTITUTE(SUBSTITUTE(SUBSTITUTE(SUBSTITUTE($G292,CHAR(13)," "),CHAR(10)," "),CHAR(9)," "),CHAR(92),_xlfn.CONCAT(CHAR(92),CHAR(92))),"$",_xlfn.CONCAT(CHAR(92),"$")),CHAR(96),_xlfn.CONCAT(CHAR(92),CHAR(96))),CHAR(34),CHAR(39))))</f>
        <v/>
      </c>
      <c r="R292" s="5" t="str">
        <f>IF(OR(TRIM($B292)="",$H292=""),"",IF(OR(ISNUMBER(SEARCH(_xlfn.CONCAT(CHAR(96),CHAR(34)),$H292)),ISNUMBER(SEARCH(_xlfn.CONCAT(CHAR(34),CHAR(39)),$H292))),_xlfn.CONCAT("* REVIEW REQUIRED: compound-quote delimiter in Source on Sheet 1 row ",292,"; edit the input before running."),_xlfn.CONCAT("char ",TRIM($B292),"[doc_source] ",CHAR(96),CHAR(34),SUBSTITUTE(SUBSTITUTE(SUBSTITUTE(SUBSTITUTE(SUBSTITUTE(SUBSTITUTE($H292,CHAR(13)," "),CHAR(10)," "),CHAR(9)," "),CHAR(92),_xlfn.CONCAT(CHAR(92),CHAR(92))),"$",_xlfn.CONCAT(CHAR(92),"$")),CHAR(96),_xlfn.CONCAT(CHAR(92),CHAR(96))),CHAR(34),CHAR(39))))</f>
        <v/>
      </c>
      <c r="S292" s="5" t="str">
        <f>IF(OR(TRIM($B292)="",$I292=""),"",IF(OR(ISNUMBER(SEARCH(_xlfn.CONCAT(CHAR(96),CHAR(34)),$I292)),ISNUMBER(SEARCH(_xlfn.CONCAT(CHAR(34),CHAR(39)),$I292))),_xlfn.CONCAT("* REVIEW REQUIRED: compound-quote delimiter in Derivation on Sheet 1 row ",292,"; edit the input before running."),_xlfn.CONCAT("char ",TRIM($B292),"[doc_derivation] ",CHAR(96),CHAR(34),SUBSTITUTE(SUBSTITUTE(SUBSTITUTE(SUBSTITUTE(SUBSTITUTE(SUBSTITUTE($I292,CHAR(13)," "),CHAR(10)," "),CHAR(9)," "),CHAR(92),_xlfn.CONCAT(CHAR(92),CHAR(92))),"$",_xlfn.CONCAT(CHAR(92),"$")),CHAR(96),_xlfn.CONCAT(CHAR(92),CHAR(96))),CHAR(34),CHAR(39))))</f>
        <v/>
      </c>
      <c r="T292" s="5" t="str">
        <f>IF(OR(TRIM($B292)="",$J292=""),"",IF(OR(ISNUMBER(SEARCH(_xlfn.CONCAT(CHAR(96),CHAR(34)),$J292)),ISNUMBER(SEARCH(_xlfn.CONCAT(CHAR(34),CHAR(39)),$J292))),_xlfn.CONCAT("* REVIEW REQUIRED: compound-quote delimiter in Notes on Sheet 1 row ",292,"; edit the input before running."),_xlfn.CONCAT("char ",TRIM($B292),"[doc_notes] ",CHAR(96),CHAR(34),SUBSTITUTE(SUBSTITUTE(SUBSTITUTE(SUBSTITUTE(SUBSTITUTE(SUBSTITUTE($J292,CHAR(13)," "),CHAR(10)," "),CHAR(9)," "),CHAR(92),_xlfn.CONCAT(CHAR(92),CHAR(92))),"$",_xlfn.CONCAT(CHAR(92),"$")),CHAR(96),_xlfn.CONCAT(CHAR(92),CHAR(96))),CHAR(34),CHAR(39))))</f>
        <v/>
      </c>
      <c r="U292" s="5">
        <f t="shared" si="9"/>
        <v>0</v>
      </c>
    </row>
    <row r="293" spans="3:21" ht="30" customHeight="1" x14ac:dyDescent="0.2">
      <c r="C293" s="4"/>
      <c r="K293" s="5">
        <f t="shared" si="8"/>
        <v>0</v>
      </c>
      <c r="L293" s="5" t="str">
        <f>IF(OR(TRIM($B293)="",$A293=""),"",IF(OR(ISNUMBER(SEARCH(_xlfn.CONCAT(CHAR(96),CHAR(34)),$A293)),ISNUMBER(SEARCH(_xlfn.CONCAT(CHAR(34),CHAR(39)),$A293))),_xlfn.CONCAT("* REVIEW REQUIRED: compound-quote delimiter in Codebook Section on Sheet 1 row ",293,"; edit the input before running."),_xlfn.CONCAT("char ",TRIM($B293),"[doc_section] ",CHAR(96),CHAR(34),SUBSTITUTE(SUBSTITUTE(SUBSTITUTE(SUBSTITUTE(SUBSTITUTE(SUBSTITUTE($A293,CHAR(13)," "),CHAR(10)," "),CHAR(9)," "),CHAR(92),_xlfn.CONCAT(CHAR(92),CHAR(92))),"$",_xlfn.CONCAT(CHAR(92),"$")),CHAR(96),_xlfn.CONCAT(CHAR(92),CHAR(96))),CHAR(34),CHAR(39))))</f>
        <v/>
      </c>
      <c r="M293" s="5" t="str">
        <f>IF(OR(TRIM($B293)="",$C293=""),"",IF(IFERROR(MATCH(TRIM($C293),{"Quantitative","Continuous","Discrete","Categorical","Nominal","Ordinal","Identifier"},0),0)=0,_xlfn.CONCAT("* REVIEW REQUIRED: invalid Variable Type on Sheet 1 row ",293,"."),_xlfn.CONCAT("char ",TRIM($B293),"[doc_vartype] ",CHAR(96),CHAR(34),SUBSTITUTE(SUBSTITUTE(SUBSTITUTE(SUBSTITUTE(SUBSTITUTE(SUBSTITUTE(LOWER(TRIM($C293)),CHAR(13)," "),CHAR(10)," "),CHAR(9)," "),CHAR(92),_xlfn.CONCAT(CHAR(92),CHAR(92))),"$",_xlfn.CONCAT(CHAR(92),"$")),CHAR(96),_xlfn.CONCAT(CHAR(92),CHAR(96))),CHAR(34),CHAR(39))))</f>
        <v/>
      </c>
      <c r="N293" s="5" t="str">
        <f>IF(OR(TRIM($B293)="",$D293=""),"",IF(OR(ISNUMBER(SEARCH(_xlfn.CONCAT(CHAR(96),CHAR(34)),$D293)),ISNUMBER(SEARCH(_xlfn.CONCAT(CHAR(34),CHAR(39)),$D293))),_xlfn.CONCAT("* REVIEW REQUIRED: compound-quote delimiter in Item Number on Sheet 1 row ",293,"; edit the input before running."),_xlfn.CONCAT("char ",TRIM($B293),"[doc_itemnum] ",CHAR(96),CHAR(34),SUBSTITUTE(SUBSTITUTE(SUBSTITUTE(SUBSTITUTE(SUBSTITUTE(SUBSTITUTE($D293,CHAR(13)," "),CHAR(10)," "),CHAR(9)," "),CHAR(92),_xlfn.CONCAT(CHAR(92),CHAR(92))),"$",_xlfn.CONCAT(CHAR(92),"$")),CHAR(96),_xlfn.CONCAT(CHAR(92),CHAR(96))),CHAR(34),CHAR(39))))</f>
        <v/>
      </c>
      <c r="O293" s="5" t="str">
        <f>IF(OR(TRIM($B293)="",$E293=""),"",IF(OR(ISNUMBER(SEARCH(_xlfn.CONCAT(CHAR(96),CHAR(34)),$E293)),ISNUMBER(SEARCH(_xlfn.CONCAT(CHAR(34),CHAR(39)),$E293))),_xlfn.CONCAT("* REVIEW REQUIRED: compound-quote delimiter in Question Wording on Sheet 1 row ",293,"; edit the input before running."),_xlfn.CONCAT("char ",TRIM($B293),"[doc_question] ",CHAR(96),CHAR(34),SUBSTITUTE(SUBSTITUTE(SUBSTITUTE(SUBSTITUTE(SUBSTITUTE(SUBSTITUTE($E293,CHAR(13)," "),CHAR(10)," "),CHAR(9)," "),CHAR(92),_xlfn.CONCAT(CHAR(92),CHAR(92))),"$",_xlfn.CONCAT(CHAR(92),"$")),CHAR(96),_xlfn.CONCAT(CHAR(92),CHAR(96))),CHAR(34),CHAR(39))))</f>
        <v/>
      </c>
      <c r="P293" s="5" t="str">
        <f>IF(OR(TRIM($B293)="",$F293=""),"",IF(OR(ISNUMBER(SEARCH(_xlfn.CONCAT(CHAR(96),CHAR(34)),$F293)),ISNUMBER(SEARCH(_xlfn.CONCAT(CHAR(34),CHAR(39)),$F293))),_xlfn.CONCAT("* REVIEW REQUIRED: compound-quote delimiter in Units on Sheet 1 row ",293,"; edit the input before running."),_xlfn.CONCAT("char ",TRIM($B293),"[doc_units] ",CHAR(96),CHAR(34),SUBSTITUTE(SUBSTITUTE(SUBSTITUTE(SUBSTITUTE(SUBSTITUTE(SUBSTITUTE($F293,CHAR(13)," "),CHAR(10)," "),CHAR(9)," "),CHAR(92),_xlfn.CONCAT(CHAR(92),CHAR(92))),"$",_xlfn.CONCAT(CHAR(92),"$")),CHAR(96),_xlfn.CONCAT(CHAR(92),CHAR(96))),CHAR(34),CHAR(39))))</f>
        <v/>
      </c>
      <c r="Q293" s="5" t="str">
        <f>IF(OR(TRIM($B293)="",$G293=""),"",IF(OR(ISNUMBER(SEARCH(_xlfn.CONCAT(CHAR(96),CHAR(34)),$G293)),ISNUMBER(SEARCH(_xlfn.CONCAT(CHAR(34),CHAR(39)),$G293))),_xlfn.CONCAT("* REVIEW REQUIRED: compound-quote delimiter in Universe on Sheet 1 row ",293,"; edit the input before running."),_xlfn.CONCAT("char ",TRIM($B293),"[doc_universe] ",CHAR(96),CHAR(34),SUBSTITUTE(SUBSTITUTE(SUBSTITUTE(SUBSTITUTE(SUBSTITUTE(SUBSTITUTE($G293,CHAR(13)," "),CHAR(10)," "),CHAR(9)," "),CHAR(92),_xlfn.CONCAT(CHAR(92),CHAR(92))),"$",_xlfn.CONCAT(CHAR(92),"$")),CHAR(96),_xlfn.CONCAT(CHAR(92),CHAR(96))),CHAR(34),CHAR(39))))</f>
        <v/>
      </c>
      <c r="R293" s="5" t="str">
        <f>IF(OR(TRIM($B293)="",$H293=""),"",IF(OR(ISNUMBER(SEARCH(_xlfn.CONCAT(CHAR(96),CHAR(34)),$H293)),ISNUMBER(SEARCH(_xlfn.CONCAT(CHAR(34),CHAR(39)),$H293))),_xlfn.CONCAT("* REVIEW REQUIRED: compound-quote delimiter in Source on Sheet 1 row ",293,"; edit the input before running."),_xlfn.CONCAT("char ",TRIM($B293),"[doc_source] ",CHAR(96),CHAR(34),SUBSTITUTE(SUBSTITUTE(SUBSTITUTE(SUBSTITUTE(SUBSTITUTE(SUBSTITUTE($H293,CHAR(13)," "),CHAR(10)," "),CHAR(9)," "),CHAR(92),_xlfn.CONCAT(CHAR(92),CHAR(92))),"$",_xlfn.CONCAT(CHAR(92),"$")),CHAR(96),_xlfn.CONCAT(CHAR(92),CHAR(96))),CHAR(34),CHAR(39))))</f>
        <v/>
      </c>
      <c r="S293" s="5" t="str">
        <f>IF(OR(TRIM($B293)="",$I293=""),"",IF(OR(ISNUMBER(SEARCH(_xlfn.CONCAT(CHAR(96),CHAR(34)),$I293)),ISNUMBER(SEARCH(_xlfn.CONCAT(CHAR(34),CHAR(39)),$I293))),_xlfn.CONCAT("* REVIEW REQUIRED: compound-quote delimiter in Derivation on Sheet 1 row ",293,"; edit the input before running."),_xlfn.CONCAT("char ",TRIM($B293),"[doc_derivation] ",CHAR(96),CHAR(34),SUBSTITUTE(SUBSTITUTE(SUBSTITUTE(SUBSTITUTE(SUBSTITUTE(SUBSTITUTE($I293,CHAR(13)," "),CHAR(10)," "),CHAR(9)," "),CHAR(92),_xlfn.CONCAT(CHAR(92),CHAR(92))),"$",_xlfn.CONCAT(CHAR(92),"$")),CHAR(96),_xlfn.CONCAT(CHAR(92),CHAR(96))),CHAR(34),CHAR(39))))</f>
        <v/>
      </c>
      <c r="T293" s="5" t="str">
        <f>IF(OR(TRIM($B293)="",$J293=""),"",IF(OR(ISNUMBER(SEARCH(_xlfn.CONCAT(CHAR(96),CHAR(34)),$J293)),ISNUMBER(SEARCH(_xlfn.CONCAT(CHAR(34),CHAR(39)),$J293))),_xlfn.CONCAT("* REVIEW REQUIRED: compound-quote delimiter in Notes on Sheet 1 row ",293,"; edit the input before running."),_xlfn.CONCAT("char ",TRIM($B293),"[doc_notes] ",CHAR(96),CHAR(34),SUBSTITUTE(SUBSTITUTE(SUBSTITUTE(SUBSTITUTE(SUBSTITUTE(SUBSTITUTE($J293,CHAR(13)," "),CHAR(10)," "),CHAR(9)," "),CHAR(92),_xlfn.CONCAT(CHAR(92),CHAR(92))),"$",_xlfn.CONCAT(CHAR(92),"$")),CHAR(96),_xlfn.CONCAT(CHAR(92),CHAR(96))),CHAR(34),CHAR(39))))</f>
        <v/>
      </c>
      <c r="U293" s="5">
        <f t="shared" si="9"/>
        <v>0</v>
      </c>
    </row>
    <row r="294" spans="3:21" ht="30" customHeight="1" x14ac:dyDescent="0.2">
      <c r="C294" s="4"/>
      <c r="K294" s="5">
        <f t="shared" si="8"/>
        <v>0</v>
      </c>
      <c r="L294" s="5" t="str">
        <f>IF(OR(TRIM($B294)="",$A294=""),"",IF(OR(ISNUMBER(SEARCH(_xlfn.CONCAT(CHAR(96),CHAR(34)),$A294)),ISNUMBER(SEARCH(_xlfn.CONCAT(CHAR(34),CHAR(39)),$A294))),_xlfn.CONCAT("* REVIEW REQUIRED: compound-quote delimiter in Codebook Section on Sheet 1 row ",294,"; edit the input before running."),_xlfn.CONCAT("char ",TRIM($B294),"[doc_section] ",CHAR(96),CHAR(34),SUBSTITUTE(SUBSTITUTE(SUBSTITUTE(SUBSTITUTE(SUBSTITUTE(SUBSTITUTE($A294,CHAR(13)," "),CHAR(10)," "),CHAR(9)," "),CHAR(92),_xlfn.CONCAT(CHAR(92),CHAR(92))),"$",_xlfn.CONCAT(CHAR(92),"$")),CHAR(96),_xlfn.CONCAT(CHAR(92),CHAR(96))),CHAR(34),CHAR(39))))</f>
        <v/>
      </c>
      <c r="M294" s="5" t="str">
        <f>IF(OR(TRIM($B294)="",$C294=""),"",IF(IFERROR(MATCH(TRIM($C294),{"Quantitative","Continuous","Discrete","Categorical","Nominal","Ordinal","Identifier"},0),0)=0,_xlfn.CONCAT("* REVIEW REQUIRED: invalid Variable Type on Sheet 1 row ",294,"."),_xlfn.CONCAT("char ",TRIM($B294),"[doc_vartype] ",CHAR(96),CHAR(34),SUBSTITUTE(SUBSTITUTE(SUBSTITUTE(SUBSTITUTE(SUBSTITUTE(SUBSTITUTE(LOWER(TRIM($C294)),CHAR(13)," "),CHAR(10)," "),CHAR(9)," "),CHAR(92),_xlfn.CONCAT(CHAR(92),CHAR(92))),"$",_xlfn.CONCAT(CHAR(92),"$")),CHAR(96),_xlfn.CONCAT(CHAR(92),CHAR(96))),CHAR(34),CHAR(39))))</f>
        <v/>
      </c>
      <c r="N294" s="5" t="str">
        <f>IF(OR(TRIM($B294)="",$D294=""),"",IF(OR(ISNUMBER(SEARCH(_xlfn.CONCAT(CHAR(96),CHAR(34)),$D294)),ISNUMBER(SEARCH(_xlfn.CONCAT(CHAR(34),CHAR(39)),$D294))),_xlfn.CONCAT("* REVIEW REQUIRED: compound-quote delimiter in Item Number on Sheet 1 row ",294,"; edit the input before running."),_xlfn.CONCAT("char ",TRIM($B294),"[doc_itemnum] ",CHAR(96),CHAR(34),SUBSTITUTE(SUBSTITUTE(SUBSTITUTE(SUBSTITUTE(SUBSTITUTE(SUBSTITUTE($D294,CHAR(13)," "),CHAR(10)," "),CHAR(9)," "),CHAR(92),_xlfn.CONCAT(CHAR(92),CHAR(92))),"$",_xlfn.CONCAT(CHAR(92),"$")),CHAR(96),_xlfn.CONCAT(CHAR(92),CHAR(96))),CHAR(34),CHAR(39))))</f>
        <v/>
      </c>
      <c r="O294" s="5" t="str">
        <f>IF(OR(TRIM($B294)="",$E294=""),"",IF(OR(ISNUMBER(SEARCH(_xlfn.CONCAT(CHAR(96),CHAR(34)),$E294)),ISNUMBER(SEARCH(_xlfn.CONCAT(CHAR(34),CHAR(39)),$E294))),_xlfn.CONCAT("* REVIEW REQUIRED: compound-quote delimiter in Question Wording on Sheet 1 row ",294,"; edit the input before running."),_xlfn.CONCAT("char ",TRIM($B294),"[doc_question] ",CHAR(96),CHAR(34),SUBSTITUTE(SUBSTITUTE(SUBSTITUTE(SUBSTITUTE(SUBSTITUTE(SUBSTITUTE($E294,CHAR(13)," "),CHAR(10)," "),CHAR(9)," "),CHAR(92),_xlfn.CONCAT(CHAR(92),CHAR(92))),"$",_xlfn.CONCAT(CHAR(92),"$")),CHAR(96),_xlfn.CONCAT(CHAR(92),CHAR(96))),CHAR(34),CHAR(39))))</f>
        <v/>
      </c>
      <c r="P294" s="5" t="str">
        <f>IF(OR(TRIM($B294)="",$F294=""),"",IF(OR(ISNUMBER(SEARCH(_xlfn.CONCAT(CHAR(96),CHAR(34)),$F294)),ISNUMBER(SEARCH(_xlfn.CONCAT(CHAR(34),CHAR(39)),$F294))),_xlfn.CONCAT("* REVIEW REQUIRED: compound-quote delimiter in Units on Sheet 1 row ",294,"; edit the input before running."),_xlfn.CONCAT("char ",TRIM($B294),"[doc_units] ",CHAR(96),CHAR(34),SUBSTITUTE(SUBSTITUTE(SUBSTITUTE(SUBSTITUTE(SUBSTITUTE(SUBSTITUTE($F294,CHAR(13)," "),CHAR(10)," "),CHAR(9)," "),CHAR(92),_xlfn.CONCAT(CHAR(92),CHAR(92))),"$",_xlfn.CONCAT(CHAR(92),"$")),CHAR(96),_xlfn.CONCAT(CHAR(92),CHAR(96))),CHAR(34),CHAR(39))))</f>
        <v/>
      </c>
      <c r="Q294" s="5" t="str">
        <f>IF(OR(TRIM($B294)="",$G294=""),"",IF(OR(ISNUMBER(SEARCH(_xlfn.CONCAT(CHAR(96),CHAR(34)),$G294)),ISNUMBER(SEARCH(_xlfn.CONCAT(CHAR(34),CHAR(39)),$G294))),_xlfn.CONCAT("* REVIEW REQUIRED: compound-quote delimiter in Universe on Sheet 1 row ",294,"; edit the input before running."),_xlfn.CONCAT("char ",TRIM($B294),"[doc_universe] ",CHAR(96),CHAR(34),SUBSTITUTE(SUBSTITUTE(SUBSTITUTE(SUBSTITUTE(SUBSTITUTE(SUBSTITUTE($G294,CHAR(13)," "),CHAR(10)," "),CHAR(9)," "),CHAR(92),_xlfn.CONCAT(CHAR(92),CHAR(92))),"$",_xlfn.CONCAT(CHAR(92),"$")),CHAR(96),_xlfn.CONCAT(CHAR(92),CHAR(96))),CHAR(34),CHAR(39))))</f>
        <v/>
      </c>
      <c r="R294" s="5" t="str">
        <f>IF(OR(TRIM($B294)="",$H294=""),"",IF(OR(ISNUMBER(SEARCH(_xlfn.CONCAT(CHAR(96),CHAR(34)),$H294)),ISNUMBER(SEARCH(_xlfn.CONCAT(CHAR(34),CHAR(39)),$H294))),_xlfn.CONCAT("* REVIEW REQUIRED: compound-quote delimiter in Source on Sheet 1 row ",294,"; edit the input before running."),_xlfn.CONCAT("char ",TRIM($B294),"[doc_source] ",CHAR(96),CHAR(34),SUBSTITUTE(SUBSTITUTE(SUBSTITUTE(SUBSTITUTE(SUBSTITUTE(SUBSTITUTE($H294,CHAR(13)," "),CHAR(10)," "),CHAR(9)," "),CHAR(92),_xlfn.CONCAT(CHAR(92),CHAR(92))),"$",_xlfn.CONCAT(CHAR(92),"$")),CHAR(96),_xlfn.CONCAT(CHAR(92),CHAR(96))),CHAR(34),CHAR(39))))</f>
        <v/>
      </c>
      <c r="S294" s="5" t="str">
        <f>IF(OR(TRIM($B294)="",$I294=""),"",IF(OR(ISNUMBER(SEARCH(_xlfn.CONCAT(CHAR(96),CHAR(34)),$I294)),ISNUMBER(SEARCH(_xlfn.CONCAT(CHAR(34),CHAR(39)),$I294))),_xlfn.CONCAT("* REVIEW REQUIRED: compound-quote delimiter in Derivation on Sheet 1 row ",294,"; edit the input before running."),_xlfn.CONCAT("char ",TRIM($B294),"[doc_derivation] ",CHAR(96),CHAR(34),SUBSTITUTE(SUBSTITUTE(SUBSTITUTE(SUBSTITUTE(SUBSTITUTE(SUBSTITUTE($I294,CHAR(13)," "),CHAR(10)," "),CHAR(9)," "),CHAR(92),_xlfn.CONCAT(CHAR(92),CHAR(92))),"$",_xlfn.CONCAT(CHAR(92),"$")),CHAR(96),_xlfn.CONCAT(CHAR(92),CHAR(96))),CHAR(34),CHAR(39))))</f>
        <v/>
      </c>
      <c r="T294" s="5" t="str">
        <f>IF(OR(TRIM($B294)="",$J294=""),"",IF(OR(ISNUMBER(SEARCH(_xlfn.CONCAT(CHAR(96),CHAR(34)),$J294)),ISNUMBER(SEARCH(_xlfn.CONCAT(CHAR(34),CHAR(39)),$J294))),_xlfn.CONCAT("* REVIEW REQUIRED: compound-quote delimiter in Notes on Sheet 1 row ",294,"; edit the input before running."),_xlfn.CONCAT("char ",TRIM($B294),"[doc_notes] ",CHAR(96),CHAR(34),SUBSTITUTE(SUBSTITUTE(SUBSTITUTE(SUBSTITUTE(SUBSTITUTE(SUBSTITUTE($J294,CHAR(13)," "),CHAR(10)," "),CHAR(9)," "),CHAR(92),_xlfn.CONCAT(CHAR(92),CHAR(92))),"$",_xlfn.CONCAT(CHAR(92),"$")),CHAR(96),_xlfn.CONCAT(CHAR(92),CHAR(96))),CHAR(34),CHAR(39))))</f>
        <v/>
      </c>
      <c r="U294" s="5">
        <f t="shared" si="9"/>
        <v>0</v>
      </c>
    </row>
    <row r="295" spans="3:21" ht="30" customHeight="1" x14ac:dyDescent="0.2">
      <c r="C295" s="4"/>
      <c r="K295" s="5">
        <f t="shared" si="8"/>
        <v>0</v>
      </c>
      <c r="L295" s="5" t="str">
        <f>IF(OR(TRIM($B295)="",$A295=""),"",IF(OR(ISNUMBER(SEARCH(_xlfn.CONCAT(CHAR(96),CHAR(34)),$A295)),ISNUMBER(SEARCH(_xlfn.CONCAT(CHAR(34),CHAR(39)),$A295))),_xlfn.CONCAT("* REVIEW REQUIRED: compound-quote delimiter in Codebook Section on Sheet 1 row ",295,"; edit the input before running."),_xlfn.CONCAT("char ",TRIM($B295),"[doc_section] ",CHAR(96),CHAR(34),SUBSTITUTE(SUBSTITUTE(SUBSTITUTE(SUBSTITUTE(SUBSTITUTE(SUBSTITUTE($A295,CHAR(13)," "),CHAR(10)," "),CHAR(9)," "),CHAR(92),_xlfn.CONCAT(CHAR(92),CHAR(92))),"$",_xlfn.CONCAT(CHAR(92),"$")),CHAR(96),_xlfn.CONCAT(CHAR(92),CHAR(96))),CHAR(34),CHAR(39))))</f>
        <v/>
      </c>
      <c r="M295" s="5" t="str">
        <f>IF(OR(TRIM($B295)="",$C295=""),"",IF(IFERROR(MATCH(TRIM($C295),{"Quantitative","Continuous","Discrete","Categorical","Nominal","Ordinal","Identifier"},0),0)=0,_xlfn.CONCAT("* REVIEW REQUIRED: invalid Variable Type on Sheet 1 row ",295,"."),_xlfn.CONCAT("char ",TRIM($B295),"[doc_vartype] ",CHAR(96),CHAR(34),SUBSTITUTE(SUBSTITUTE(SUBSTITUTE(SUBSTITUTE(SUBSTITUTE(SUBSTITUTE(LOWER(TRIM($C295)),CHAR(13)," "),CHAR(10)," "),CHAR(9)," "),CHAR(92),_xlfn.CONCAT(CHAR(92),CHAR(92))),"$",_xlfn.CONCAT(CHAR(92),"$")),CHAR(96),_xlfn.CONCAT(CHAR(92),CHAR(96))),CHAR(34),CHAR(39))))</f>
        <v/>
      </c>
      <c r="N295" s="5" t="str">
        <f>IF(OR(TRIM($B295)="",$D295=""),"",IF(OR(ISNUMBER(SEARCH(_xlfn.CONCAT(CHAR(96),CHAR(34)),$D295)),ISNUMBER(SEARCH(_xlfn.CONCAT(CHAR(34),CHAR(39)),$D295))),_xlfn.CONCAT("* REVIEW REQUIRED: compound-quote delimiter in Item Number on Sheet 1 row ",295,"; edit the input before running."),_xlfn.CONCAT("char ",TRIM($B295),"[doc_itemnum] ",CHAR(96),CHAR(34),SUBSTITUTE(SUBSTITUTE(SUBSTITUTE(SUBSTITUTE(SUBSTITUTE(SUBSTITUTE($D295,CHAR(13)," "),CHAR(10)," "),CHAR(9)," "),CHAR(92),_xlfn.CONCAT(CHAR(92),CHAR(92))),"$",_xlfn.CONCAT(CHAR(92),"$")),CHAR(96),_xlfn.CONCAT(CHAR(92),CHAR(96))),CHAR(34),CHAR(39))))</f>
        <v/>
      </c>
      <c r="O295" s="5" t="str">
        <f>IF(OR(TRIM($B295)="",$E295=""),"",IF(OR(ISNUMBER(SEARCH(_xlfn.CONCAT(CHAR(96),CHAR(34)),$E295)),ISNUMBER(SEARCH(_xlfn.CONCAT(CHAR(34),CHAR(39)),$E295))),_xlfn.CONCAT("* REVIEW REQUIRED: compound-quote delimiter in Question Wording on Sheet 1 row ",295,"; edit the input before running."),_xlfn.CONCAT("char ",TRIM($B295),"[doc_question] ",CHAR(96),CHAR(34),SUBSTITUTE(SUBSTITUTE(SUBSTITUTE(SUBSTITUTE(SUBSTITUTE(SUBSTITUTE($E295,CHAR(13)," "),CHAR(10)," "),CHAR(9)," "),CHAR(92),_xlfn.CONCAT(CHAR(92),CHAR(92))),"$",_xlfn.CONCAT(CHAR(92),"$")),CHAR(96),_xlfn.CONCAT(CHAR(92),CHAR(96))),CHAR(34),CHAR(39))))</f>
        <v/>
      </c>
      <c r="P295" s="5" t="str">
        <f>IF(OR(TRIM($B295)="",$F295=""),"",IF(OR(ISNUMBER(SEARCH(_xlfn.CONCAT(CHAR(96),CHAR(34)),$F295)),ISNUMBER(SEARCH(_xlfn.CONCAT(CHAR(34),CHAR(39)),$F295))),_xlfn.CONCAT("* REVIEW REQUIRED: compound-quote delimiter in Units on Sheet 1 row ",295,"; edit the input before running."),_xlfn.CONCAT("char ",TRIM($B295),"[doc_units] ",CHAR(96),CHAR(34),SUBSTITUTE(SUBSTITUTE(SUBSTITUTE(SUBSTITUTE(SUBSTITUTE(SUBSTITUTE($F295,CHAR(13)," "),CHAR(10)," "),CHAR(9)," "),CHAR(92),_xlfn.CONCAT(CHAR(92),CHAR(92))),"$",_xlfn.CONCAT(CHAR(92),"$")),CHAR(96),_xlfn.CONCAT(CHAR(92),CHAR(96))),CHAR(34),CHAR(39))))</f>
        <v/>
      </c>
      <c r="Q295" s="5" t="str">
        <f>IF(OR(TRIM($B295)="",$G295=""),"",IF(OR(ISNUMBER(SEARCH(_xlfn.CONCAT(CHAR(96),CHAR(34)),$G295)),ISNUMBER(SEARCH(_xlfn.CONCAT(CHAR(34),CHAR(39)),$G295))),_xlfn.CONCAT("* REVIEW REQUIRED: compound-quote delimiter in Universe on Sheet 1 row ",295,"; edit the input before running."),_xlfn.CONCAT("char ",TRIM($B295),"[doc_universe] ",CHAR(96),CHAR(34),SUBSTITUTE(SUBSTITUTE(SUBSTITUTE(SUBSTITUTE(SUBSTITUTE(SUBSTITUTE($G295,CHAR(13)," "),CHAR(10)," "),CHAR(9)," "),CHAR(92),_xlfn.CONCAT(CHAR(92),CHAR(92))),"$",_xlfn.CONCAT(CHAR(92),"$")),CHAR(96),_xlfn.CONCAT(CHAR(92),CHAR(96))),CHAR(34),CHAR(39))))</f>
        <v/>
      </c>
      <c r="R295" s="5" t="str">
        <f>IF(OR(TRIM($B295)="",$H295=""),"",IF(OR(ISNUMBER(SEARCH(_xlfn.CONCAT(CHAR(96),CHAR(34)),$H295)),ISNUMBER(SEARCH(_xlfn.CONCAT(CHAR(34),CHAR(39)),$H295))),_xlfn.CONCAT("* REVIEW REQUIRED: compound-quote delimiter in Source on Sheet 1 row ",295,"; edit the input before running."),_xlfn.CONCAT("char ",TRIM($B295),"[doc_source] ",CHAR(96),CHAR(34),SUBSTITUTE(SUBSTITUTE(SUBSTITUTE(SUBSTITUTE(SUBSTITUTE(SUBSTITUTE($H295,CHAR(13)," "),CHAR(10)," "),CHAR(9)," "),CHAR(92),_xlfn.CONCAT(CHAR(92),CHAR(92))),"$",_xlfn.CONCAT(CHAR(92),"$")),CHAR(96),_xlfn.CONCAT(CHAR(92),CHAR(96))),CHAR(34),CHAR(39))))</f>
        <v/>
      </c>
      <c r="S295" s="5" t="str">
        <f>IF(OR(TRIM($B295)="",$I295=""),"",IF(OR(ISNUMBER(SEARCH(_xlfn.CONCAT(CHAR(96),CHAR(34)),$I295)),ISNUMBER(SEARCH(_xlfn.CONCAT(CHAR(34),CHAR(39)),$I295))),_xlfn.CONCAT("* REVIEW REQUIRED: compound-quote delimiter in Derivation on Sheet 1 row ",295,"; edit the input before running."),_xlfn.CONCAT("char ",TRIM($B295),"[doc_derivation] ",CHAR(96),CHAR(34),SUBSTITUTE(SUBSTITUTE(SUBSTITUTE(SUBSTITUTE(SUBSTITUTE(SUBSTITUTE($I295,CHAR(13)," "),CHAR(10)," "),CHAR(9)," "),CHAR(92),_xlfn.CONCAT(CHAR(92),CHAR(92))),"$",_xlfn.CONCAT(CHAR(92),"$")),CHAR(96),_xlfn.CONCAT(CHAR(92),CHAR(96))),CHAR(34),CHAR(39))))</f>
        <v/>
      </c>
      <c r="T295" s="5" t="str">
        <f>IF(OR(TRIM($B295)="",$J295=""),"",IF(OR(ISNUMBER(SEARCH(_xlfn.CONCAT(CHAR(96),CHAR(34)),$J295)),ISNUMBER(SEARCH(_xlfn.CONCAT(CHAR(34),CHAR(39)),$J295))),_xlfn.CONCAT("* REVIEW REQUIRED: compound-quote delimiter in Notes on Sheet 1 row ",295,"; edit the input before running."),_xlfn.CONCAT("char ",TRIM($B295),"[doc_notes] ",CHAR(96),CHAR(34),SUBSTITUTE(SUBSTITUTE(SUBSTITUTE(SUBSTITUTE(SUBSTITUTE(SUBSTITUTE($J295,CHAR(13)," "),CHAR(10)," "),CHAR(9)," "),CHAR(92),_xlfn.CONCAT(CHAR(92),CHAR(92))),"$",_xlfn.CONCAT(CHAR(92),"$")),CHAR(96),_xlfn.CONCAT(CHAR(92),CHAR(96))),CHAR(34),CHAR(39))))</f>
        <v/>
      </c>
      <c r="U295" s="5">
        <f t="shared" si="9"/>
        <v>0</v>
      </c>
    </row>
    <row r="296" spans="3:21" ht="30" customHeight="1" x14ac:dyDescent="0.2">
      <c r="C296" s="4"/>
      <c r="K296" s="5">
        <f t="shared" si="8"/>
        <v>0</v>
      </c>
      <c r="L296" s="5" t="str">
        <f>IF(OR(TRIM($B296)="",$A296=""),"",IF(OR(ISNUMBER(SEARCH(_xlfn.CONCAT(CHAR(96),CHAR(34)),$A296)),ISNUMBER(SEARCH(_xlfn.CONCAT(CHAR(34),CHAR(39)),$A296))),_xlfn.CONCAT("* REVIEW REQUIRED: compound-quote delimiter in Codebook Section on Sheet 1 row ",296,"; edit the input before running."),_xlfn.CONCAT("char ",TRIM($B296),"[doc_section] ",CHAR(96),CHAR(34),SUBSTITUTE(SUBSTITUTE(SUBSTITUTE(SUBSTITUTE(SUBSTITUTE(SUBSTITUTE($A296,CHAR(13)," "),CHAR(10)," "),CHAR(9)," "),CHAR(92),_xlfn.CONCAT(CHAR(92),CHAR(92))),"$",_xlfn.CONCAT(CHAR(92),"$")),CHAR(96),_xlfn.CONCAT(CHAR(92),CHAR(96))),CHAR(34),CHAR(39))))</f>
        <v/>
      </c>
      <c r="M296" s="5" t="str">
        <f>IF(OR(TRIM($B296)="",$C296=""),"",IF(IFERROR(MATCH(TRIM($C296),{"Quantitative","Continuous","Discrete","Categorical","Nominal","Ordinal","Identifier"},0),0)=0,_xlfn.CONCAT("* REVIEW REQUIRED: invalid Variable Type on Sheet 1 row ",296,"."),_xlfn.CONCAT("char ",TRIM($B296),"[doc_vartype] ",CHAR(96),CHAR(34),SUBSTITUTE(SUBSTITUTE(SUBSTITUTE(SUBSTITUTE(SUBSTITUTE(SUBSTITUTE(LOWER(TRIM($C296)),CHAR(13)," "),CHAR(10)," "),CHAR(9)," "),CHAR(92),_xlfn.CONCAT(CHAR(92),CHAR(92))),"$",_xlfn.CONCAT(CHAR(92),"$")),CHAR(96),_xlfn.CONCAT(CHAR(92),CHAR(96))),CHAR(34),CHAR(39))))</f>
        <v/>
      </c>
      <c r="N296" s="5" t="str">
        <f>IF(OR(TRIM($B296)="",$D296=""),"",IF(OR(ISNUMBER(SEARCH(_xlfn.CONCAT(CHAR(96),CHAR(34)),$D296)),ISNUMBER(SEARCH(_xlfn.CONCAT(CHAR(34),CHAR(39)),$D296))),_xlfn.CONCAT("* REVIEW REQUIRED: compound-quote delimiter in Item Number on Sheet 1 row ",296,"; edit the input before running."),_xlfn.CONCAT("char ",TRIM($B296),"[doc_itemnum] ",CHAR(96),CHAR(34),SUBSTITUTE(SUBSTITUTE(SUBSTITUTE(SUBSTITUTE(SUBSTITUTE(SUBSTITUTE($D296,CHAR(13)," "),CHAR(10)," "),CHAR(9)," "),CHAR(92),_xlfn.CONCAT(CHAR(92),CHAR(92))),"$",_xlfn.CONCAT(CHAR(92),"$")),CHAR(96),_xlfn.CONCAT(CHAR(92),CHAR(96))),CHAR(34),CHAR(39))))</f>
        <v/>
      </c>
      <c r="O296" s="5" t="str">
        <f>IF(OR(TRIM($B296)="",$E296=""),"",IF(OR(ISNUMBER(SEARCH(_xlfn.CONCAT(CHAR(96),CHAR(34)),$E296)),ISNUMBER(SEARCH(_xlfn.CONCAT(CHAR(34),CHAR(39)),$E296))),_xlfn.CONCAT("* REVIEW REQUIRED: compound-quote delimiter in Question Wording on Sheet 1 row ",296,"; edit the input before running."),_xlfn.CONCAT("char ",TRIM($B296),"[doc_question] ",CHAR(96),CHAR(34),SUBSTITUTE(SUBSTITUTE(SUBSTITUTE(SUBSTITUTE(SUBSTITUTE(SUBSTITUTE($E296,CHAR(13)," "),CHAR(10)," "),CHAR(9)," "),CHAR(92),_xlfn.CONCAT(CHAR(92),CHAR(92))),"$",_xlfn.CONCAT(CHAR(92),"$")),CHAR(96),_xlfn.CONCAT(CHAR(92),CHAR(96))),CHAR(34),CHAR(39))))</f>
        <v/>
      </c>
      <c r="P296" s="5" t="str">
        <f>IF(OR(TRIM($B296)="",$F296=""),"",IF(OR(ISNUMBER(SEARCH(_xlfn.CONCAT(CHAR(96),CHAR(34)),$F296)),ISNUMBER(SEARCH(_xlfn.CONCAT(CHAR(34),CHAR(39)),$F296))),_xlfn.CONCAT("* REVIEW REQUIRED: compound-quote delimiter in Units on Sheet 1 row ",296,"; edit the input before running."),_xlfn.CONCAT("char ",TRIM($B296),"[doc_units] ",CHAR(96),CHAR(34),SUBSTITUTE(SUBSTITUTE(SUBSTITUTE(SUBSTITUTE(SUBSTITUTE(SUBSTITUTE($F296,CHAR(13)," "),CHAR(10)," "),CHAR(9)," "),CHAR(92),_xlfn.CONCAT(CHAR(92),CHAR(92))),"$",_xlfn.CONCAT(CHAR(92),"$")),CHAR(96),_xlfn.CONCAT(CHAR(92),CHAR(96))),CHAR(34),CHAR(39))))</f>
        <v/>
      </c>
      <c r="Q296" s="5" t="str">
        <f>IF(OR(TRIM($B296)="",$G296=""),"",IF(OR(ISNUMBER(SEARCH(_xlfn.CONCAT(CHAR(96),CHAR(34)),$G296)),ISNUMBER(SEARCH(_xlfn.CONCAT(CHAR(34),CHAR(39)),$G296))),_xlfn.CONCAT("* REVIEW REQUIRED: compound-quote delimiter in Universe on Sheet 1 row ",296,"; edit the input before running."),_xlfn.CONCAT("char ",TRIM($B296),"[doc_universe] ",CHAR(96),CHAR(34),SUBSTITUTE(SUBSTITUTE(SUBSTITUTE(SUBSTITUTE(SUBSTITUTE(SUBSTITUTE($G296,CHAR(13)," "),CHAR(10)," "),CHAR(9)," "),CHAR(92),_xlfn.CONCAT(CHAR(92),CHAR(92))),"$",_xlfn.CONCAT(CHAR(92),"$")),CHAR(96),_xlfn.CONCAT(CHAR(92),CHAR(96))),CHAR(34),CHAR(39))))</f>
        <v/>
      </c>
      <c r="R296" s="5" t="str">
        <f>IF(OR(TRIM($B296)="",$H296=""),"",IF(OR(ISNUMBER(SEARCH(_xlfn.CONCAT(CHAR(96),CHAR(34)),$H296)),ISNUMBER(SEARCH(_xlfn.CONCAT(CHAR(34),CHAR(39)),$H296))),_xlfn.CONCAT("* REVIEW REQUIRED: compound-quote delimiter in Source on Sheet 1 row ",296,"; edit the input before running."),_xlfn.CONCAT("char ",TRIM($B296),"[doc_source] ",CHAR(96),CHAR(34),SUBSTITUTE(SUBSTITUTE(SUBSTITUTE(SUBSTITUTE(SUBSTITUTE(SUBSTITUTE($H296,CHAR(13)," "),CHAR(10)," "),CHAR(9)," "),CHAR(92),_xlfn.CONCAT(CHAR(92),CHAR(92))),"$",_xlfn.CONCAT(CHAR(92),"$")),CHAR(96),_xlfn.CONCAT(CHAR(92),CHAR(96))),CHAR(34),CHAR(39))))</f>
        <v/>
      </c>
      <c r="S296" s="5" t="str">
        <f>IF(OR(TRIM($B296)="",$I296=""),"",IF(OR(ISNUMBER(SEARCH(_xlfn.CONCAT(CHAR(96),CHAR(34)),$I296)),ISNUMBER(SEARCH(_xlfn.CONCAT(CHAR(34),CHAR(39)),$I296))),_xlfn.CONCAT("* REVIEW REQUIRED: compound-quote delimiter in Derivation on Sheet 1 row ",296,"; edit the input before running."),_xlfn.CONCAT("char ",TRIM($B296),"[doc_derivation] ",CHAR(96),CHAR(34),SUBSTITUTE(SUBSTITUTE(SUBSTITUTE(SUBSTITUTE(SUBSTITUTE(SUBSTITUTE($I296,CHAR(13)," "),CHAR(10)," "),CHAR(9)," "),CHAR(92),_xlfn.CONCAT(CHAR(92),CHAR(92))),"$",_xlfn.CONCAT(CHAR(92),"$")),CHAR(96),_xlfn.CONCAT(CHAR(92),CHAR(96))),CHAR(34),CHAR(39))))</f>
        <v/>
      </c>
      <c r="T296" s="5" t="str">
        <f>IF(OR(TRIM($B296)="",$J296=""),"",IF(OR(ISNUMBER(SEARCH(_xlfn.CONCAT(CHAR(96),CHAR(34)),$J296)),ISNUMBER(SEARCH(_xlfn.CONCAT(CHAR(34),CHAR(39)),$J296))),_xlfn.CONCAT("* REVIEW REQUIRED: compound-quote delimiter in Notes on Sheet 1 row ",296,"; edit the input before running."),_xlfn.CONCAT("char ",TRIM($B296),"[doc_notes] ",CHAR(96),CHAR(34),SUBSTITUTE(SUBSTITUTE(SUBSTITUTE(SUBSTITUTE(SUBSTITUTE(SUBSTITUTE($J296,CHAR(13)," "),CHAR(10)," "),CHAR(9)," "),CHAR(92),_xlfn.CONCAT(CHAR(92),CHAR(92))),"$",_xlfn.CONCAT(CHAR(92),"$")),CHAR(96),_xlfn.CONCAT(CHAR(92),CHAR(96))),CHAR(34),CHAR(39))))</f>
        <v/>
      </c>
      <c r="U296" s="5">
        <f t="shared" si="9"/>
        <v>0</v>
      </c>
    </row>
    <row r="297" spans="3:21" ht="30" customHeight="1" x14ac:dyDescent="0.2">
      <c r="C297" s="4"/>
      <c r="K297" s="5">
        <f t="shared" si="8"/>
        <v>0</v>
      </c>
      <c r="L297" s="5" t="str">
        <f>IF(OR(TRIM($B297)="",$A297=""),"",IF(OR(ISNUMBER(SEARCH(_xlfn.CONCAT(CHAR(96),CHAR(34)),$A297)),ISNUMBER(SEARCH(_xlfn.CONCAT(CHAR(34),CHAR(39)),$A297))),_xlfn.CONCAT("* REVIEW REQUIRED: compound-quote delimiter in Codebook Section on Sheet 1 row ",297,"; edit the input before running."),_xlfn.CONCAT("char ",TRIM($B297),"[doc_section] ",CHAR(96),CHAR(34),SUBSTITUTE(SUBSTITUTE(SUBSTITUTE(SUBSTITUTE(SUBSTITUTE(SUBSTITUTE($A297,CHAR(13)," "),CHAR(10)," "),CHAR(9)," "),CHAR(92),_xlfn.CONCAT(CHAR(92),CHAR(92))),"$",_xlfn.CONCAT(CHAR(92),"$")),CHAR(96),_xlfn.CONCAT(CHAR(92),CHAR(96))),CHAR(34),CHAR(39))))</f>
        <v/>
      </c>
      <c r="M297" s="5" t="str">
        <f>IF(OR(TRIM($B297)="",$C297=""),"",IF(IFERROR(MATCH(TRIM($C297),{"Quantitative","Continuous","Discrete","Categorical","Nominal","Ordinal","Identifier"},0),0)=0,_xlfn.CONCAT("* REVIEW REQUIRED: invalid Variable Type on Sheet 1 row ",297,"."),_xlfn.CONCAT("char ",TRIM($B297),"[doc_vartype] ",CHAR(96),CHAR(34),SUBSTITUTE(SUBSTITUTE(SUBSTITUTE(SUBSTITUTE(SUBSTITUTE(SUBSTITUTE(LOWER(TRIM($C297)),CHAR(13)," "),CHAR(10)," "),CHAR(9)," "),CHAR(92),_xlfn.CONCAT(CHAR(92),CHAR(92))),"$",_xlfn.CONCAT(CHAR(92),"$")),CHAR(96),_xlfn.CONCAT(CHAR(92),CHAR(96))),CHAR(34),CHAR(39))))</f>
        <v/>
      </c>
      <c r="N297" s="5" t="str">
        <f>IF(OR(TRIM($B297)="",$D297=""),"",IF(OR(ISNUMBER(SEARCH(_xlfn.CONCAT(CHAR(96),CHAR(34)),$D297)),ISNUMBER(SEARCH(_xlfn.CONCAT(CHAR(34),CHAR(39)),$D297))),_xlfn.CONCAT("* REVIEW REQUIRED: compound-quote delimiter in Item Number on Sheet 1 row ",297,"; edit the input before running."),_xlfn.CONCAT("char ",TRIM($B297),"[doc_itemnum] ",CHAR(96),CHAR(34),SUBSTITUTE(SUBSTITUTE(SUBSTITUTE(SUBSTITUTE(SUBSTITUTE(SUBSTITUTE($D297,CHAR(13)," "),CHAR(10)," "),CHAR(9)," "),CHAR(92),_xlfn.CONCAT(CHAR(92),CHAR(92))),"$",_xlfn.CONCAT(CHAR(92),"$")),CHAR(96),_xlfn.CONCAT(CHAR(92),CHAR(96))),CHAR(34),CHAR(39))))</f>
        <v/>
      </c>
      <c r="O297" s="5" t="str">
        <f>IF(OR(TRIM($B297)="",$E297=""),"",IF(OR(ISNUMBER(SEARCH(_xlfn.CONCAT(CHAR(96),CHAR(34)),$E297)),ISNUMBER(SEARCH(_xlfn.CONCAT(CHAR(34),CHAR(39)),$E297))),_xlfn.CONCAT("* REVIEW REQUIRED: compound-quote delimiter in Question Wording on Sheet 1 row ",297,"; edit the input before running."),_xlfn.CONCAT("char ",TRIM($B297),"[doc_question] ",CHAR(96),CHAR(34),SUBSTITUTE(SUBSTITUTE(SUBSTITUTE(SUBSTITUTE(SUBSTITUTE(SUBSTITUTE($E297,CHAR(13)," "),CHAR(10)," "),CHAR(9)," "),CHAR(92),_xlfn.CONCAT(CHAR(92),CHAR(92))),"$",_xlfn.CONCAT(CHAR(92),"$")),CHAR(96),_xlfn.CONCAT(CHAR(92),CHAR(96))),CHAR(34),CHAR(39))))</f>
        <v/>
      </c>
      <c r="P297" s="5" t="str">
        <f>IF(OR(TRIM($B297)="",$F297=""),"",IF(OR(ISNUMBER(SEARCH(_xlfn.CONCAT(CHAR(96),CHAR(34)),$F297)),ISNUMBER(SEARCH(_xlfn.CONCAT(CHAR(34),CHAR(39)),$F297))),_xlfn.CONCAT("* REVIEW REQUIRED: compound-quote delimiter in Units on Sheet 1 row ",297,"; edit the input before running."),_xlfn.CONCAT("char ",TRIM($B297),"[doc_units] ",CHAR(96),CHAR(34),SUBSTITUTE(SUBSTITUTE(SUBSTITUTE(SUBSTITUTE(SUBSTITUTE(SUBSTITUTE($F297,CHAR(13)," "),CHAR(10)," "),CHAR(9)," "),CHAR(92),_xlfn.CONCAT(CHAR(92),CHAR(92))),"$",_xlfn.CONCAT(CHAR(92),"$")),CHAR(96),_xlfn.CONCAT(CHAR(92),CHAR(96))),CHAR(34),CHAR(39))))</f>
        <v/>
      </c>
      <c r="Q297" s="5" t="str">
        <f>IF(OR(TRIM($B297)="",$G297=""),"",IF(OR(ISNUMBER(SEARCH(_xlfn.CONCAT(CHAR(96),CHAR(34)),$G297)),ISNUMBER(SEARCH(_xlfn.CONCAT(CHAR(34),CHAR(39)),$G297))),_xlfn.CONCAT("* REVIEW REQUIRED: compound-quote delimiter in Universe on Sheet 1 row ",297,"; edit the input before running."),_xlfn.CONCAT("char ",TRIM($B297),"[doc_universe] ",CHAR(96),CHAR(34),SUBSTITUTE(SUBSTITUTE(SUBSTITUTE(SUBSTITUTE(SUBSTITUTE(SUBSTITUTE($G297,CHAR(13)," "),CHAR(10)," "),CHAR(9)," "),CHAR(92),_xlfn.CONCAT(CHAR(92),CHAR(92))),"$",_xlfn.CONCAT(CHAR(92),"$")),CHAR(96),_xlfn.CONCAT(CHAR(92),CHAR(96))),CHAR(34),CHAR(39))))</f>
        <v/>
      </c>
      <c r="R297" s="5" t="str">
        <f>IF(OR(TRIM($B297)="",$H297=""),"",IF(OR(ISNUMBER(SEARCH(_xlfn.CONCAT(CHAR(96),CHAR(34)),$H297)),ISNUMBER(SEARCH(_xlfn.CONCAT(CHAR(34),CHAR(39)),$H297))),_xlfn.CONCAT("* REVIEW REQUIRED: compound-quote delimiter in Source on Sheet 1 row ",297,"; edit the input before running."),_xlfn.CONCAT("char ",TRIM($B297),"[doc_source] ",CHAR(96),CHAR(34),SUBSTITUTE(SUBSTITUTE(SUBSTITUTE(SUBSTITUTE(SUBSTITUTE(SUBSTITUTE($H297,CHAR(13)," "),CHAR(10)," "),CHAR(9)," "),CHAR(92),_xlfn.CONCAT(CHAR(92),CHAR(92))),"$",_xlfn.CONCAT(CHAR(92),"$")),CHAR(96),_xlfn.CONCAT(CHAR(92),CHAR(96))),CHAR(34),CHAR(39))))</f>
        <v/>
      </c>
      <c r="S297" s="5" t="str">
        <f>IF(OR(TRIM($B297)="",$I297=""),"",IF(OR(ISNUMBER(SEARCH(_xlfn.CONCAT(CHAR(96),CHAR(34)),$I297)),ISNUMBER(SEARCH(_xlfn.CONCAT(CHAR(34),CHAR(39)),$I297))),_xlfn.CONCAT("* REVIEW REQUIRED: compound-quote delimiter in Derivation on Sheet 1 row ",297,"; edit the input before running."),_xlfn.CONCAT("char ",TRIM($B297),"[doc_derivation] ",CHAR(96),CHAR(34),SUBSTITUTE(SUBSTITUTE(SUBSTITUTE(SUBSTITUTE(SUBSTITUTE(SUBSTITUTE($I297,CHAR(13)," "),CHAR(10)," "),CHAR(9)," "),CHAR(92),_xlfn.CONCAT(CHAR(92),CHAR(92))),"$",_xlfn.CONCAT(CHAR(92),"$")),CHAR(96),_xlfn.CONCAT(CHAR(92),CHAR(96))),CHAR(34),CHAR(39))))</f>
        <v/>
      </c>
      <c r="T297" s="5" t="str">
        <f>IF(OR(TRIM($B297)="",$J297=""),"",IF(OR(ISNUMBER(SEARCH(_xlfn.CONCAT(CHAR(96),CHAR(34)),$J297)),ISNUMBER(SEARCH(_xlfn.CONCAT(CHAR(34),CHAR(39)),$J297))),_xlfn.CONCAT("* REVIEW REQUIRED: compound-quote delimiter in Notes on Sheet 1 row ",297,"; edit the input before running."),_xlfn.CONCAT("char ",TRIM($B297),"[doc_notes] ",CHAR(96),CHAR(34),SUBSTITUTE(SUBSTITUTE(SUBSTITUTE(SUBSTITUTE(SUBSTITUTE(SUBSTITUTE($J297,CHAR(13)," "),CHAR(10)," "),CHAR(9)," "),CHAR(92),_xlfn.CONCAT(CHAR(92),CHAR(92))),"$",_xlfn.CONCAT(CHAR(92),"$")),CHAR(96),_xlfn.CONCAT(CHAR(92),CHAR(96))),CHAR(34),CHAR(39))))</f>
        <v/>
      </c>
      <c r="U297" s="5">
        <f t="shared" si="9"/>
        <v>0</v>
      </c>
    </row>
    <row r="298" spans="3:21" ht="30" customHeight="1" x14ac:dyDescent="0.2">
      <c r="C298" s="4"/>
      <c r="K298" s="5">
        <f t="shared" si="8"/>
        <v>0</v>
      </c>
      <c r="L298" s="5" t="str">
        <f>IF(OR(TRIM($B298)="",$A298=""),"",IF(OR(ISNUMBER(SEARCH(_xlfn.CONCAT(CHAR(96),CHAR(34)),$A298)),ISNUMBER(SEARCH(_xlfn.CONCAT(CHAR(34),CHAR(39)),$A298))),_xlfn.CONCAT("* REVIEW REQUIRED: compound-quote delimiter in Codebook Section on Sheet 1 row ",298,"; edit the input before running."),_xlfn.CONCAT("char ",TRIM($B298),"[doc_section] ",CHAR(96),CHAR(34),SUBSTITUTE(SUBSTITUTE(SUBSTITUTE(SUBSTITUTE(SUBSTITUTE(SUBSTITUTE($A298,CHAR(13)," "),CHAR(10)," "),CHAR(9)," "),CHAR(92),_xlfn.CONCAT(CHAR(92),CHAR(92))),"$",_xlfn.CONCAT(CHAR(92),"$")),CHAR(96),_xlfn.CONCAT(CHAR(92),CHAR(96))),CHAR(34),CHAR(39))))</f>
        <v/>
      </c>
      <c r="M298" s="5" t="str">
        <f>IF(OR(TRIM($B298)="",$C298=""),"",IF(IFERROR(MATCH(TRIM($C298),{"Quantitative","Continuous","Discrete","Categorical","Nominal","Ordinal","Identifier"},0),0)=0,_xlfn.CONCAT("* REVIEW REQUIRED: invalid Variable Type on Sheet 1 row ",298,"."),_xlfn.CONCAT("char ",TRIM($B298),"[doc_vartype] ",CHAR(96),CHAR(34),SUBSTITUTE(SUBSTITUTE(SUBSTITUTE(SUBSTITUTE(SUBSTITUTE(SUBSTITUTE(LOWER(TRIM($C298)),CHAR(13)," "),CHAR(10)," "),CHAR(9)," "),CHAR(92),_xlfn.CONCAT(CHAR(92),CHAR(92))),"$",_xlfn.CONCAT(CHAR(92),"$")),CHAR(96),_xlfn.CONCAT(CHAR(92),CHAR(96))),CHAR(34),CHAR(39))))</f>
        <v/>
      </c>
      <c r="N298" s="5" t="str">
        <f>IF(OR(TRIM($B298)="",$D298=""),"",IF(OR(ISNUMBER(SEARCH(_xlfn.CONCAT(CHAR(96),CHAR(34)),$D298)),ISNUMBER(SEARCH(_xlfn.CONCAT(CHAR(34),CHAR(39)),$D298))),_xlfn.CONCAT("* REVIEW REQUIRED: compound-quote delimiter in Item Number on Sheet 1 row ",298,"; edit the input before running."),_xlfn.CONCAT("char ",TRIM($B298),"[doc_itemnum] ",CHAR(96),CHAR(34),SUBSTITUTE(SUBSTITUTE(SUBSTITUTE(SUBSTITUTE(SUBSTITUTE(SUBSTITUTE($D298,CHAR(13)," "),CHAR(10)," "),CHAR(9)," "),CHAR(92),_xlfn.CONCAT(CHAR(92),CHAR(92))),"$",_xlfn.CONCAT(CHAR(92),"$")),CHAR(96),_xlfn.CONCAT(CHAR(92),CHAR(96))),CHAR(34),CHAR(39))))</f>
        <v/>
      </c>
      <c r="O298" s="5" t="str">
        <f>IF(OR(TRIM($B298)="",$E298=""),"",IF(OR(ISNUMBER(SEARCH(_xlfn.CONCAT(CHAR(96),CHAR(34)),$E298)),ISNUMBER(SEARCH(_xlfn.CONCAT(CHAR(34),CHAR(39)),$E298))),_xlfn.CONCAT("* REVIEW REQUIRED: compound-quote delimiter in Question Wording on Sheet 1 row ",298,"; edit the input before running."),_xlfn.CONCAT("char ",TRIM($B298),"[doc_question] ",CHAR(96),CHAR(34),SUBSTITUTE(SUBSTITUTE(SUBSTITUTE(SUBSTITUTE(SUBSTITUTE(SUBSTITUTE($E298,CHAR(13)," "),CHAR(10)," "),CHAR(9)," "),CHAR(92),_xlfn.CONCAT(CHAR(92),CHAR(92))),"$",_xlfn.CONCAT(CHAR(92),"$")),CHAR(96),_xlfn.CONCAT(CHAR(92),CHAR(96))),CHAR(34),CHAR(39))))</f>
        <v/>
      </c>
      <c r="P298" s="5" t="str">
        <f>IF(OR(TRIM($B298)="",$F298=""),"",IF(OR(ISNUMBER(SEARCH(_xlfn.CONCAT(CHAR(96),CHAR(34)),$F298)),ISNUMBER(SEARCH(_xlfn.CONCAT(CHAR(34),CHAR(39)),$F298))),_xlfn.CONCAT("* REVIEW REQUIRED: compound-quote delimiter in Units on Sheet 1 row ",298,"; edit the input before running."),_xlfn.CONCAT("char ",TRIM($B298),"[doc_units] ",CHAR(96),CHAR(34),SUBSTITUTE(SUBSTITUTE(SUBSTITUTE(SUBSTITUTE(SUBSTITUTE(SUBSTITUTE($F298,CHAR(13)," "),CHAR(10)," "),CHAR(9)," "),CHAR(92),_xlfn.CONCAT(CHAR(92),CHAR(92))),"$",_xlfn.CONCAT(CHAR(92),"$")),CHAR(96),_xlfn.CONCAT(CHAR(92),CHAR(96))),CHAR(34),CHAR(39))))</f>
        <v/>
      </c>
      <c r="Q298" s="5" t="str">
        <f>IF(OR(TRIM($B298)="",$G298=""),"",IF(OR(ISNUMBER(SEARCH(_xlfn.CONCAT(CHAR(96),CHAR(34)),$G298)),ISNUMBER(SEARCH(_xlfn.CONCAT(CHAR(34),CHAR(39)),$G298))),_xlfn.CONCAT("* REVIEW REQUIRED: compound-quote delimiter in Universe on Sheet 1 row ",298,"; edit the input before running."),_xlfn.CONCAT("char ",TRIM($B298),"[doc_universe] ",CHAR(96),CHAR(34),SUBSTITUTE(SUBSTITUTE(SUBSTITUTE(SUBSTITUTE(SUBSTITUTE(SUBSTITUTE($G298,CHAR(13)," "),CHAR(10)," "),CHAR(9)," "),CHAR(92),_xlfn.CONCAT(CHAR(92),CHAR(92))),"$",_xlfn.CONCAT(CHAR(92),"$")),CHAR(96),_xlfn.CONCAT(CHAR(92),CHAR(96))),CHAR(34),CHAR(39))))</f>
        <v/>
      </c>
      <c r="R298" s="5" t="str">
        <f>IF(OR(TRIM($B298)="",$H298=""),"",IF(OR(ISNUMBER(SEARCH(_xlfn.CONCAT(CHAR(96),CHAR(34)),$H298)),ISNUMBER(SEARCH(_xlfn.CONCAT(CHAR(34),CHAR(39)),$H298))),_xlfn.CONCAT("* REVIEW REQUIRED: compound-quote delimiter in Source on Sheet 1 row ",298,"; edit the input before running."),_xlfn.CONCAT("char ",TRIM($B298),"[doc_source] ",CHAR(96),CHAR(34),SUBSTITUTE(SUBSTITUTE(SUBSTITUTE(SUBSTITUTE(SUBSTITUTE(SUBSTITUTE($H298,CHAR(13)," "),CHAR(10)," "),CHAR(9)," "),CHAR(92),_xlfn.CONCAT(CHAR(92),CHAR(92))),"$",_xlfn.CONCAT(CHAR(92),"$")),CHAR(96),_xlfn.CONCAT(CHAR(92),CHAR(96))),CHAR(34),CHAR(39))))</f>
        <v/>
      </c>
      <c r="S298" s="5" t="str">
        <f>IF(OR(TRIM($B298)="",$I298=""),"",IF(OR(ISNUMBER(SEARCH(_xlfn.CONCAT(CHAR(96),CHAR(34)),$I298)),ISNUMBER(SEARCH(_xlfn.CONCAT(CHAR(34),CHAR(39)),$I298))),_xlfn.CONCAT("* REVIEW REQUIRED: compound-quote delimiter in Derivation on Sheet 1 row ",298,"; edit the input before running."),_xlfn.CONCAT("char ",TRIM($B298),"[doc_derivation] ",CHAR(96),CHAR(34),SUBSTITUTE(SUBSTITUTE(SUBSTITUTE(SUBSTITUTE(SUBSTITUTE(SUBSTITUTE($I298,CHAR(13)," "),CHAR(10)," "),CHAR(9)," "),CHAR(92),_xlfn.CONCAT(CHAR(92),CHAR(92))),"$",_xlfn.CONCAT(CHAR(92),"$")),CHAR(96),_xlfn.CONCAT(CHAR(92),CHAR(96))),CHAR(34),CHAR(39))))</f>
        <v/>
      </c>
      <c r="T298" s="5" t="str">
        <f>IF(OR(TRIM($B298)="",$J298=""),"",IF(OR(ISNUMBER(SEARCH(_xlfn.CONCAT(CHAR(96),CHAR(34)),$J298)),ISNUMBER(SEARCH(_xlfn.CONCAT(CHAR(34),CHAR(39)),$J298))),_xlfn.CONCAT("* REVIEW REQUIRED: compound-quote delimiter in Notes on Sheet 1 row ",298,"; edit the input before running."),_xlfn.CONCAT("char ",TRIM($B298),"[doc_notes] ",CHAR(96),CHAR(34),SUBSTITUTE(SUBSTITUTE(SUBSTITUTE(SUBSTITUTE(SUBSTITUTE(SUBSTITUTE($J298,CHAR(13)," "),CHAR(10)," "),CHAR(9)," "),CHAR(92),_xlfn.CONCAT(CHAR(92),CHAR(92))),"$",_xlfn.CONCAT(CHAR(92),"$")),CHAR(96),_xlfn.CONCAT(CHAR(92),CHAR(96))),CHAR(34),CHAR(39))))</f>
        <v/>
      </c>
      <c r="U298" s="5">
        <f t="shared" si="9"/>
        <v>0</v>
      </c>
    </row>
    <row r="299" spans="3:21" ht="30" customHeight="1" x14ac:dyDescent="0.2">
      <c r="C299" s="4"/>
      <c r="K299" s="5">
        <f t="shared" si="8"/>
        <v>0</v>
      </c>
      <c r="L299" s="5" t="str">
        <f>IF(OR(TRIM($B299)="",$A299=""),"",IF(OR(ISNUMBER(SEARCH(_xlfn.CONCAT(CHAR(96),CHAR(34)),$A299)),ISNUMBER(SEARCH(_xlfn.CONCAT(CHAR(34),CHAR(39)),$A299))),_xlfn.CONCAT("* REVIEW REQUIRED: compound-quote delimiter in Codebook Section on Sheet 1 row ",299,"; edit the input before running."),_xlfn.CONCAT("char ",TRIM($B299),"[doc_section] ",CHAR(96),CHAR(34),SUBSTITUTE(SUBSTITUTE(SUBSTITUTE(SUBSTITUTE(SUBSTITUTE(SUBSTITUTE($A299,CHAR(13)," "),CHAR(10)," "),CHAR(9)," "),CHAR(92),_xlfn.CONCAT(CHAR(92),CHAR(92))),"$",_xlfn.CONCAT(CHAR(92),"$")),CHAR(96),_xlfn.CONCAT(CHAR(92),CHAR(96))),CHAR(34),CHAR(39))))</f>
        <v/>
      </c>
      <c r="M299" s="5" t="str">
        <f>IF(OR(TRIM($B299)="",$C299=""),"",IF(IFERROR(MATCH(TRIM($C299),{"Quantitative","Continuous","Discrete","Categorical","Nominal","Ordinal","Identifier"},0),0)=0,_xlfn.CONCAT("* REVIEW REQUIRED: invalid Variable Type on Sheet 1 row ",299,"."),_xlfn.CONCAT("char ",TRIM($B299),"[doc_vartype] ",CHAR(96),CHAR(34),SUBSTITUTE(SUBSTITUTE(SUBSTITUTE(SUBSTITUTE(SUBSTITUTE(SUBSTITUTE(LOWER(TRIM($C299)),CHAR(13)," "),CHAR(10)," "),CHAR(9)," "),CHAR(92),_xlfn.CONCAT(CHAR(92),CHAR(92))),"$",_xlfn.CONCAT(CHAR(92),"$")),CHAR(96),_xlfn.CONCAT(CHAR(92),CHAR(96))),CHAR(34),CHAR(39))))</f>
        <v/>
      </c>
      <c r="N299" s="5" t="str">
        <f>IF(OR(TRIM($B299)="",$D299=""),"",IF(OR(ISNUMBER(SEARCH(_xlfn.CONCAT(CHAR(96),CHAR(34)),$D299)),ISNUMBER(SEARCH(_xlfn.CONCAT(CHAR(34),CHAR(39)),$D299))),_xlfn.CONCAT("* REVIEW REQUIRED: compound-quote delimiter in Item Number on Sheet 1 row ",299,"; edit the input before running."),_xlfn.CONCAT("char ",TRIM($B299),"[doc_itemnum] ",CHAR(96),CHAR(34),SUBSTITUTE(SUBSTITUTE(SUBSTITUTE(SUBSTITUTE(SUBSTITUTE(SUBSTITUTE($D299,CHAR(13)," "),CHAR(10)," "),CHAR(9)," "),CHAR(92),_xlfn.CONCAT(CHAR(92),CHAR(92))),"$",_xlfn.CONCAT(CHAR(92),"$")),CHAR(96),_xlfn.CONCAT(CHAR(92),CHAR(96))),CHAR(34),CHAR(39))))</f>
        <v/>
      </c>
      <c r="O299" s="5" t="str">
        <f>IF(OR(TRIM($B299)="",$E299=""),"",IF(OR(ISNUMBER(SEARCH(_xlfn.CONCAT(CHAR(96),CHAR(34)),$E299)),ISNUMBER(SEARCH(_xlfn.CONCAT(CHAR(34),CHAR(39)),$E299))),_xlfn.CONCAT("* REVIEW REQUIRED: compound-quote delimiter in Question Wording on Sheet 1 row ",299,"; edit the input before running."),_xlfn.CONCAT("char ",TRIM($B299),"[doc_question] ",CHAR(96),CHAR(34),SUBSTITUTE(SUBSTITUTE(SUBSTITUTE(SUBSTITUTE(SUBSTITUTE(SUBSTITUTE($E299,CHAR(13)," "),CHAR(10)," "),CHAR(9)," "),CHAR(92),_xlfn.CONCAT(CHAR(92),CHAR(92))),"$",_xlfn.CONCAT(CHAR(92),"$")),CHAR(96),_xlfn.CONCAT(CHAR(92),CHAR(96))),CHAR(34),CHAR(39))))</f>
        <v/>
      </c>
      <c r="P299" s="5" t="str">
        <f>IF(OR(TRIM($B299)="",$F299=""),"",IF(OR(ISNUMBER(SEARCH(_xlfn.CONCAT(CHAR(96),CHAR(34)),$F299)),ISNUMBER(SEARCH(_xlfn.CONCAT(CHAR(34),CHAR(39)),$F299))),_xlfn.CONCAT("* REVIEW REQUIRED: compound-quote delimiter in Units on Sheet 1 row ",299,"; edit the input before running."),_xlfn.CONCAT("char ",TRIM($B299),"[doc_units] ",CHAR(96),CHAR(34),SUBSTITUTE(SUBSTITUTE(SUBSTITUTE(SUBSTITUTE(SUBSTITUTE(SUBSTITUTE($F299,CHAR(13)," "),CHAR(10)," "),CHAR(9)," "),CHAR(92),_xlfn.CONCAT(CHAR(92),CHAR(92))),"$",_xlfn.CONCAT(CHAR(92),"$")),CHAR(96),_xlfn.CONCAT(CHAR(92),CHAR(96))),CHAR(34),CHAR(39))))</f>
        <v/>
      </c>
      <c r="Q299" s="5" t="str">
        <f>IF(OR(TRIM($B299)="",$G299=""),"",IF(OR(ISNUMBER(SEARCH(_xlfn.CONCAT(CHAR(96),CHAR(34)),$G299)),ISNUMBER(SEARCH(_xlfn.CONCAT(CHAR(34),CHAR(39)),$G299))),_xlfn.CONCAT("* REVIEW REQUIRED: compound-quote delimiter in Universe on Sheet 1 row ",299,"; edit the input before running."),_xlfn.CONCAT("char ",TRIM($B299),"[doc_universe] ",CHAR(96),CHAR(34),SUBSTITUTE(SUBSTITUTE(SUBSTITUTE(SUBSTITUTE(SUBSTITUTE(SUBSTITUTE($G299,CHAR(13)," "),CHAR(10)," "),CHAR(9)," "),CHAR(92),_xlfn.CONCAT(CHAR(92),CHAR(92))),"$",_xlfn.CONCAT(CHAR(92),"$")),CHAR(96),_xlfn.CONCAT(CHAR(92),CHAR(96))),CHAR(34),CHAR(39))))</f>
        <v/>
      </c>
      <c r="R299" s="5" t="str">
        <f>IF(OR(TRIM($B299)="",$H299=""),"",IF(OR(ISNUMBER(SEARCH(_xlfn.CONCAT(CHAR(96),CHAR(34)),$H299)),ISNUMBER(SEARCH(_xlfn.CONCAT(CHAR(34),CHAR(39)),$H299))),_xlfn.CONCAT("* REVIEW REQUIRED: compound-quote delimiter in Source on Sheet 1 row ",299,"; edit the input before running."),_xlfn.CONCAT("char ",TRIM($B299),"[doc_source] ",CHAR(96),CHAR(34),SUBSTITUTE(SUBSTITUTE(SUBSTITUTE(SUBSTITUTE(SUBSTITUTE(SUBSTITUTE($H299,CHAR(13)," "),CHAR(10)," "),CHAR(9)," "),CHAR(92),_xlfn.CONCAT(CHAR(92),CHAR(92))),"$",_xlfn.CONCAT(CHAR(92),"$")),CHAR(96),_xlfn.CONCAT(CHAR(92),CHAR(96))),CHAR(34),CHAR(39))))</f>
        <v/>
      </c>
      <c r="S299" s="5" t="str">
        <f>IF(OR(TRIM($B299)="",$I299=""),"",IF(OR(ISNUMBER(SEARCH(_xlfn.CONCAT(CHAR(96),CHAR(34)),$I299)),ISNUMBER(SEARCH(_xlfn.CONCAT(CHAR(34),CHAR(39)),$I299))),_xlfn.CONCAT("* REVIEW REQUIRED: compound-quote delimiter in Derivation on Sheet 1 row ",299,"; edit the input before running."),_xlfn.CONCAT("char ",TRIM($B299),"[doc_derivation] ",CHAR(96),CHAR(34),SUBSTITUTE(SUBSTITUTE(SUBSTITUTE(SUBSTITUTE(SUBSTITUTE(SUBSTITUTE($I299,CHAR(13)," "),CHAR(10)," "),CHAR(9)," "),CHAR(92),_xlfn.CONCAT(CHAR(92),CHAR(92))),"$",_xlfn.CONCAT(CHAR(92),"$")),CHAR(96),_xlfn.CONCAT(CHAR(92),CHAR(96))),CHAR(34),CHAR(39))))</f>
        <v/>
      </c>
      <c r="T299" s="5" t="str">
        <f>IF(OR(TRIM($B299)="",$J299=""),"",IF(OR(ISNUMBER(SEARCH(_xlfn.CONCAT(CHAR(96),CHAR(34)),$J299)),ISNUMBER(SEARCH(_xlfn.CONCAT(CHAR(34),CHAR(39)),$J299))),_xlfn.CONCAT("* REVIEW REQUIRED: compound-quote delimiter in Notes on Sheet 1 row ",299,"; edit the input before running."),_xlfn.CONCAT("char ",TRIM($B299),"[doc_notes] ",CHAR(96),CHAR(34),SUBSTITUTE(SUBSTITUTE(SUBSTITUTE(SUBSTITUTE(SUBSTITUTE(SUBSTITUTE($J299,CHAR(13)," "),CHAR(10)," "),CHAR(9)," "),CHAR(92),_xlfn.CONCAT(CHAR(92),CHAR(92))),"$",_xlfn.CONCAT(CHAR(92),"$")),CHAR(96),_xlfn.CONCAT(CHAR(92),CHAR(96))),CHAR(34),CHAR(39))))</f>
        <v/>
      </c>
      <c r="U299" s="5">
        <f t="shared" si="9"/>
        <v>0</v>
      </c>
    </row>
    <row r="300" spans="3:21" ht="30" customHeight="1" x14ac:dyDescent="0.2">
      <c r="C300" s="4"/>
      <c r="K300" s="5">
        <f t="shared" si="8"/>
        <v>0</v>
      </c>
      <c r="L300" s="5" t="str">
        <f>IF(OR(TRIM($B300)="",$A300=""),"",IF(OR(ISNUMBER(SEARCH(_xlfn.CONCAT(CHAR(96),CHAR(34)),$A300)),ISNUMBER(SEARCH(_xlfn.CONCAT(CHAR(34),CHAR(39)),$A300))),_xlfn.CONCAT("* REVIEW REQUIRED: compound-quote delimiter in Codebook Section on Sheet 1 row ",300,"; edit the input before running."),_xlfn.CONCAT("char ",TRIM($B300),"[doc_section] ",CHAR(96),CHAR(34),SUBSTITUTE(SUBSTITUTE(SUBSTITUTE(SUBSTITUTE(SUBSTITUTE(SUBSTITUTE($A300,CHAR(13)," "),CHAR(10)," "),CHAR(9)," "),CHAR(92),_xlfn.CONCAT(CHAR(92),CHAR(92))),"$",_xlfn.CONCAT(CHAR(92),"$")),CHAR(96),_xlfn.CONCAT(CHAR(92),CHAR(96))),CHAR(34),CHAR(39))))</f>
        <v/>
      </c>
      <c r="M300" s="5" t="str">
        <f>IF(OR(TRIM($B300)="",$C300=""),"",IF(IFERROR(MATCH(TRIM($C300),{"Quantitative","Continuous","Discrete","Categorical","Nominal","Ordinal","Identifier"},0),0)=0,_xlfn.CONCAT("* REVIEW REQUIRED: invalid Variable Type on Sheet 1 row ",300,"."),_xlfn.CONCAT("char ",TRIM($B300),"[doc_vartype] ",CHAR(96),CHAR(34),SUBSTITUTE(SUBSTITUTE(SUBSTITUTE(SUBSTITUTE(SUBSTITUTE(SUBSTITUTE(LOWER(TRIM($C300)),CHAR(13)," "),CHAR(10)," "),CHAR(9)," "),CHAR(92),_xlfn.CONCAT(CHAR(92),CHAR(92))),"$",_xlfn.CONCAT(CHAR(92),"$")),CHAR(96),_xlfn.CONCAT(CHAR(92),CHAR(96))),CHAR(34),CHAR(39))))</f>
        <v/>
      </c>
      <c r="N300" s="5" t="str">
        <f>IF(OR(TRIM($B300)="",$D300=""),"",IF(OR(ISNUMBER(SEARCH(_xlfn.CONCAT(CHAR(96),CHAR(34)),$D300)),ISNUMBER(SEARCH(_xlfn.CONCAT(CHAR(34),CHAR(39)),$D300))),_xlfn.CONCAT("* REVIEW REQUIRED: compound-quote delimiter in Item Number on Sheet 1 row ",300,"; edit the input before running."),_xlfn.CONCAT("char ",TRIM($B300),"[doc_itemnum] ",CHAR(96),CHAR(34),SUBSTITUTE(SUBSTITUTE(SUBSTITUTE(SUBSTITUTE(SUBSTITUTE(SUBSTITUTE($D300,CHAR(13)," "),CHAR(10)," "),CHAR(9)," "),CHAR(92),_xlfn.CONCAT(CHAR(92),CHAR(92))),"$",_xlfn.CONCAT(CHAR(92),"$")),CHAR(96),_xlfn.CONCAT(CHAR(92),CHAR(96))),CHAR(34),CHAR(39))))</f>
        <v/>
      </c>
      <c r="O300" s="5" t="str">
        <f>IF(OR(TRIM($B300)="",$E300=""),"",IF(OR(ISNUMBER(SEARCH(_xlfn.CONCAT(CHAR(96),CHAR(34)),$E300)),ISNUMBER(SEARCH(_xlfn.CONCAT(CHAR(34),CHAR(39)),$E300))),_xlfn.CONCAT("* REVIEW REQUIRED: compound-quote delimiter in Question Wording on Sheet 1 row ",300,"; edit the input before running."),_xlfn.CONCAT("char ",TRIM($B300),"[doc_question] ",CHAR(96),CHAR(34),SUBSTITUTE(SUBSTITUTE(SUBSTITUTE(SUBSTITUTE(SUBSTITUTE(SUBSTITUTE($E300,CHAR(13)," "),CHAR(10)," "),CHAR(9)," "),CHAR(92),_xlfn.CONCAT(CHAR(92),CHAR(92))),"$",_xlfn.CONCAT(CHAR(92),"$")),CHAR(96),_xlfn.CONCAT(CHAR(92),CHAR(96))),CHAR(34),CHAR(39))))</f>
        <v/>
      </c>
      <c r="P300" s="5" t="str">
        <f>IF(OR(TRIM($B300)="",$F300=""),"",IF(OR(ISNUMBER(SEARCH(_xlfn.CONCAT(CHAR(96),CHAR(34)),$F300)),ISNUMBER(SEARCH(_xlfn.CONCAT(CHAR(34),CHAR(39)),$F300))),_xlfn.CONCAT("* REVIEW REQUIRED: compound-quote delimiter in Units on Sheet 1 row ",300,"; edit the input before running."),_xlfn.CONCAT("char ",TRIM($B300),"[doc_units] ",CHAR(96),CHAR(34),SUBSTITUTE(SUBSTITUTE(SUBSTITUTE(SUBSTITUTE(SUBSTITUTE(SUBSTITUTE($F300,CHAR(13)," "),CHAR(10)," "),CHAR(9)," "),CHAR(92),_xlfn.CONCAT(CHAR(92),CHAR(92))),"$",_xlfn.CONCAT(CHAR(92),"$")),CHAR(96),_xlfn.CONCAT(CHAR(92),CHAR(96))),CHAR(34),CHAR(39))))</f>
        <v/>
      </c>
      <c r="Q300" s="5" t="str">
        <f>IF(OR(TRIM($B300)="",$G300=""),"",IF(OR(ISNUMBER(SEARCH(_xlfn.CONCAT(CHAR(96),CHAR(34)),$G300)),ISNUMBER(SEARCH(_xlfn.CONCAT(CHAR(34),CHAR(39)),$G300))),_xlfn.CONCAT("* REVIEW REQUIRED: compound-quote delimiter in Universe on Sheet 1 row ",300,"; edit the input before running."),_xlfn.CONCAT("char ",TRIM($B300),"[doc_universe] ",CHAR(96),CHAR(34),SUBSTITUTE(SUBSTITUTE(SUBSTITUTE(SUBSTITUTE(SUBSTITUTE(SUBSTITUTE($G300,CHAR(13)," "),CHAR(10)," "),CHAR(9)," "),CHAR(92),_xlfn.CONCAT(CHAR(92),CHAR(92))),"$",_xlfn.CONCAT(CHAR(92),"$")),CHAR(96),_xlfn.CONCAT(CHAR(92),CHAR(96))),CHAR(34),CHAR(39))))</f>
        <v/>
      </c>
      <c r="R300" s="5" t="str">
        <f>IF(OR(TRIM($B300)="",$H300=""),"",IF(OR(ISNUMBER(SEARCH(_xlfn.CONCAT(CHAR(96),CHAR(34)),$H300)),ISNUMBER(SEARCH(_xlfn.CONCAT(CHAR(34),CHAR(39)),$H300))),_xlfn.CONCAT("* REVIEW REQUIRED: compound-quote delimiter in Source on Sheet 1 row ",300,"; edit the input before running."),_xlfn.CONCAT("char ",TRIM($B300),"[doc_source] ",CHAR(96),CHAR(34),SUBSTITUTE(SUBSTITUTE(SUBSTITUTE(SUBSTITUTE(SUBSTITUTE(SUBSTITUTE($H300,CHAR(13)," "),CHAR(10)," "),CHAR(9)," "),CHAR(92),_xlfn.CONCAT(CHAR(92),CHAR(92))),"$",_xlfn.CONCAT(CHAR(92),"$")),CHAR(96),_xlfn.CONCAT(CHAR(92),CHAR(96))),CHAR(34),CHAR(39))))</f>
        <v/>
      </c>
      <c r="S300" s="5" t="str">
        <f>IF(OR(TRIM($B300)="",$I300=""),"",IF(OR(ISNUMBER(SEARCH(_xlfn.CONCAT(CHAR(96),CHAR(34)),$I300)),ISNUMBER(SEARCH(_xlfn.CONCAT(CHAR(34),CHAR(39)),$I300))),_xlfn.CONCAT("* REVIEW REQUIRED: compound-quote delimiter in Derivation on Sheet 1 row ",300,"; edit the input before running."),_xlfn.CONCAT("char ",TRIM($B300),"[doc_derivation] ",CHAR(96),CHAR(34),SUBSTITUTE(SUBSTITUTE(SUBSTITUTE(SUBSTITUTE(SUBSTITUTE(SUBSTITUTE($I300,CHAR(13)," "),CHAR(10)," "),CHAR(9)," "),CHAR(92),_xlfn.CONCAT(CHAR(92),CHAR(92))),"$",_xlfn.CONCAT(CHAR(92),"$")),CHAR(96),_xlfn.CONCAT(CHAR(92),CHAR(96))),CHAR(34),CHAR(39))))</f>
        <v/>
      </c>
      <c r="T300" s="5" t="str">
        <f>IF(OR(TRIM($B300)="",$J300=""),"",IF(OR(ISNUMBER(SEARCH(_xlfn.CONCAT(CHAR(96),CHAR(34)),$J300)),ISNUMBER(SEARCH(_xlfn.CONCAT(CHAR(34),CHAR(39)),$J300))),_xlfn.CONCAT("* REVIEW REQUIRED: compound-quote delimiter in Notes on Sheet 1 row ",300,"; edit the input before running."),_xlfn.CONCAT("char ",TRIM($B300),"[doc_notes] ",CHAR(96),CHAR(34),SUBSTITUTE(SUBSTITUTE(SUBSTITUTE(SUBSTITUTE(SUBSTITUTE(SUBSTITUTE($J300,CHAR(13)," "),CHAR(10)," "),CHAR(9)," "),CHAR(92),_xlfn.CONCAT(CHAR(92),CHAR(92))),"$",_xlfn.CONCAT(CHAR(92),"$")),CHAR(96),_xlfn.CONCAT(CHAR(92),CHAR(96))),CHAR(34),CHAR(39))))</f>
        <v/>
      </c>
      <c r="U300" s="5">
        <f t="shared" si="9"/>
        <v>0</v>
      </c>
    </row>
    <row r="301" spans="3:21" ht="30" customHeight="1" x14ac:dyDescent="0.2">
      <c r="C301" s="4"/>
      <c r="K301" s="5">
        <f t="shared" si="8"/>
        <v>0</v>
      </c>
      <c r="L301" s="5" t="str">
        <f>IF(OR(TRIM($B301)="",$A301=""),"",IF(OR(ISNUMBER(SEARCH(_xlfn.CONCAT(CHAR(96),CHAR(34)),$A301)),ISNUMBER(SEARCH(_xlfn.CONCAT(CHAR(34),CHAR(39)),$A301))),_xlfn.CONCAT("* REVIEW REQUIRED: compound-quote delimiter in Codebook Section on Sheet 1 row ",301,"; edit the input before running."),_xlfn.CONCAT("char ",TRIM($B301),"[doc_section] ",CHAR(96),CHAR(34),SUBSTITUTE(SUBSTITUTE(SUBSTITUTE(SUBSTITUTE(SUBSTITUTE(SUBSTITUTE($A301,CHAR(13)," "),CHAR(10)," "),CHAR(9)," "),CHAR(92),_xlfn.CONCAT(CHAR(92),CHAR(92))),"$",_xlfn.CONCAT(CHAR(92),"$")),CHAR(96),_xlfn.CONCAT(CHAR(92),CHAR(96))),CHAR(34),CHAR(39))))</f>
        <v/>
      </c>
      <c r="M301" s="5" t="str">
        <f>IF(OR(TRIM($B301)="",$C301=""),"",IF(IFERROR(MATCH(TRIM($C301),{"Quantitative","Continuous","Discrete","Categorical","Nominal","Ordinal","Identifier"},0),0)=0,_xlfn.CONCAT("* REVIEW REQUIRED: invalid Variable Type on Sheet 1 row ",301,"."),_xlfn.CONCAT("char ",TRIM($B301),"[doc_vartype] ",CHAR(96),CHAR(34),SUBSTITUTE(SUBSTITUTE(SUBSTITUTE(SUBSTITUTE(SUBSTITUTE(SUBSTITUTE(LOWER(TRIM($C301)),CHAR(13)," "),CHAR(10)," "),CHAR(9)," "),CHAR(92),_xlfn.CONCAT(CHAR(92),CHAR(92))),"$",_xlfn.CONCAT(CHAR(92),"$")),CHAR(96),_xlfn.CONCAT(CHAR(92),CHAR(96))),CHAR(34),CHAR(39))))</f>
        <v/>
      </c>
      <c r="N301" s="5" t="str">
        <f>IF(OR(TRIM($B301)="",$D301=""),"",IF(OR(ISNUMBER(SEARCH(_xlfn.CONCAT(CHAR(96),CHAR(34)),$D301)),ISNUMBER(SEARCH(_xlfn.CONCAT(CHAR(34),CHAR(39)),$D301))),_xlfn.CONCAT("* REVIEW REQUIRED: compound-quote delimiter in Item Number on Sheet 1 row ",301,"; edit the input before running."),_xlfn.CONCAT("char ",TRIM($B301),"[doc_itemnum] ",CHAR(96),CHAR(34),SUBSTITUTE(SUBSTITUTE(SUBSTITUTE(SUBSTITUTE(SUBSTITUTE(SUBSTITUTE($D301,CHAR(13)," "),CHAR(10)," "),CHAR(9)," "),CHAR(92),_xlfn.CONCAT(CHAR(92),CHAR(92))),"$",_xlfn.CONCAT(CHAR(92),"$")),CHAR(96),_xlfn.CONCAT(CHAR(92),CHAR(96))),CHAR(34),CHAR(39))))</f>
        <v/>
      </c>
      <c r="O301" s="5" t="str">
        <f>IF(OR(TRIM($B301)="",$E301=""),"",IF(OR(ISNUMBER(SEARCH(_xlfn.CONCAT(CHAR(96),CHAR(34)),$E301)),ISNUMBER(SEARCH(_xlfn.CONCAT(CHAR(34),CHAR(39)),$E301))),_xlfn.CONCAT("* REVIEW REQUIRED: compound-quote delimiter in Question Wording on Sheet 1 row ",301,"; edit the input before running."),_xlfn.CONCAT("char ",TRIM($B301),"[doc_question] ",CHAR(96),CHAR(34),SUBSTITUTE(SUBSTITUTE(SUBSTITUTE(SUBSTITUTE(SUBSTITUTE(SUBSTITUTE($E301,CHAR(13)," "),CHAR(10)," "),CHAR(9)," "),CHAR(92),_xlfn.CONCAT(CHAR(92),CHAR(92))),"$",_xlfn.CONCAT(CHAR(92),"$")),CHAR(96),_xlfn.CONCAT(CHAR(92),CHAR(96))),CHAR(34),CHAR(39))))</f>
        <v/>
      </c>
      <c r="P301" s="5" t="str">
        <f>IF(OR(TRIM($B301)="",$F301=""),"",IF(OR(ISNUMBER(SEARCH(_xlfn.CONCAT(CHAR(96),CHAR(34)),$F301)),ISNUMBER(SEARCH(_xlfn.CONCAT(CHAR(34),CHAR(39)),$F301))),_xlfn.CONCAT("* REVIEW REQUIRED: compound-quote delimiter in Units on Sheet 1 row ",301,"; edit the input before running."),_xlfn.CONCAT("char ",TRIM($B301),"[doc_units] ",CHAR(96),CHAR(34),SUBSTITUTE(SUBSTITUTE(SUBSTITUTE(SUBSTITUTE(SUBSTITUTE(SUBSTITUTE($F301,CHAR(13)," "),CHAR(10)," "),CHAR(9)," "),CHAR(92),_xlfn.CONCAT(CHAR(92),CHAR(92))),"$",_xlfn.CONCAT(CHAR(92),"$")),CHAR(96),_xlfn.CONCAT(CHAR(92),CHAR(96))),CHAR(34),CHAR(39))))</f>
        <v/>
      </c>
      <c r="Q301" s="5" t="str">
        <f>IF(OR(TRIM($B301)="",$G301=""),"",IF(OR(ISNUMBER(SEARCH(_xlfn.CONCAT(CHAR(96),CHAR(34)),$G301)),ISNUMBER(SEARCH(_xlfn.CONCAT(CHAR(34),CHAR(39)),$G301))),_xlfn.CONCAT("* REVIEW REQUIRED: compound-quote delimiter in Universe on Sheet 1 row ",301,"; edit the input before running."),_xlfn.CONCAT("char ",TRIM($B301),"[doc_universe] ",CHAR(96),CHAR(34),SUBSTITUTE(SUBSTITUTE(SUBSTITUTE(SUBSTITUTE(SUBSTITUTE(SUBSTITUTE($G301,CHAR(13)," "),CHAR(10)," "),CHAR(9)," "),CHAR(92),_xlfn.CONCAT(CHAR(92),CHAR(92))),"$",_xlfn.CONCAT(CHAR(92),"$")),CHAR(96),_xlfn.CONCAT(CHAR(92),CHAR(96))),CHAR(34),CHAR(39))))</f>
        <v/>
      </c>
      <c r="R301" s="5" t="str">
        <f>IF(OR(TRIM($B301)="",$H301=""),"",IF(OR(ISNUMBER(SEARCH(_xlfn.CONCAT(CHAR(96),CHAR(34)),$H301)),ISNUMBER(SEARCH(_xlfn.CONCAT(CHAR(34),CHAR(39)),$H301))),_xlfn.CONCAT("* REVIEW REQUIRED: compound-quote delimiter in Source on Sheet 1 row ",301,"; edit the input before running."),_xlfn.CONCAT("char ",TRIM($B301),"[doc_source] ",CHAR(96),CHAR(34),SUBSTITUTE(SUBSTITUTE(SUBSTITUTE(SUBSTITUTE(SUBSTITUTE(SUBSTITUTE($H301,CHAR(13)," "),CHAR(10)," "),CHAR(9)," "),CHAR(92),_xlfn.CONCAT(CHAR(92),CHAR(92))),"$",_xlfn.CONCAT(CHAR(92),"$")),CHAR(96),_xlfn.CONCAT(CHAR(92),CHAR(96))),CHAR(34),CHAR(39))))</f>
        <v/>
      </c>
      <c r="S301" s="5" t="str">
        <f>IF(OR(TRIM($B301)="",$I301=""),"",IF(OR(ISNUMBER(SEARCH(_xlfn.CONCAT(CHAR(96),CHAR(34)),$I301)),ISNUMBER(SEARCH(_xlfn.CONCAT(CHAR(34),CHAR(39)),$I301))),_xlfn.CONCAT("* REVIEW REQUIRED: compound-quote delimiter in Derivation on Sheet 1 row ",301,"; edit the input before running."),_xlfn.CONCAT("char ",TRIM($B301),"[doc_derivation] ",CHAR(96),CHAR(34),SUBSTITUTE(SUBSTITUTE(SUBSTITUTE(SUBSTITUTE(SUBSTITUTE(SUBSTITUTE($I301,CHAR(13)," "),CHAR(10)," "),CHAR(9)," "),CHAR(92),_xlfn.CONCAT(CHAR(92),CHAR(92))),"$",_xlfn.CONCAT(CHAR(92),"$")),CHAR(96),_xlfn.CONCAT(CHAR(92),CHAR(96))),CHAR(34),CHAR(39))))</f>
        <v/>
      </c>
      <c r="T301" s="5" t="str">
        <f>IF(OR(TRIM($B301)="",$J301=""),"",IF(OR(ISNUMBER(SEARCH(_xlfn.CONCAT(CHAR(96),CHAR(34)),$J301)),ISNUMBER(SEARCH(_xlfn.CONCAT(CHAR(34),CHAR(39)),$J301))),_xlfn.CONCAT("* REVIEW REQUIRED: compound-quote delimiter in Notes on Sheet 1 row ",301,"; edit the input before running."),_xlfn.CONCAT("char ",TRIM($B301),"[doc_notes] ",CHAR(96),CHAR(34),SUBSTITUTE(SUBSTITUTE(SUBSTITUTE(SUBSTITUTE(SUBSTITUTE(SUBSTITUTE($J301,CHAR(13)," "),CHAR(10)," "),CHAR(9)," "),CHAR(92),_xlfn.CONCAT(CHAR(92),CHAR(92))),"$",_xlfn.CONCAT(CHAR(92),"$")),CHAR(96),_xlfn.CONCAT(CHAR(92),CHAR(96))),CHAR(34),CHAR(39))))</f>
        <v/>
      </c>
      <c r="U301" s="5">
        <f t="shared" si="9"/>
        <v>0</v>
      </c>
    </row>
    <row r="302" spans="3:21" ht="30" customHeight="1" x14ac:dyDescent="0.2">
      <c r="C302" s="4"/>
      <c r="K302" s="5">
        <f t="shared" si="8"/>
        <v>0</v>
      </c>
      <c r="L302" s="5" t="str">
        <f>IF(OR(TRIM($B302)="",$A302=""),"",IF(OR(ISNUMBER(SEARCH(_xlfn.CONCAT(CHAR(96),CHAR(34)),$A302)),ISNUMBER(SEARCH(_xlfn.CONCAT(CHAR(34),CHAR(39)),$A302))),_xlfn.CONCAT("* REVIEW REQUIRED: compound-quote delimiter in Codebook Section on Sheet 1 row ",302,"; edit the input before running."),_xlfn.CONCAT("char ",TRIM($B302),"[doc_section] ",CHAR(96),CHAR(34),SUBSTITUTE(SUBSTITUTE(SUBSTITUTE(SUBSTITUTE(SUBSTITUTE(SUBSTITUTE($A302,CHAR(13)," "),CHAR(10)," "),CHAR(9)," "),CHAR(92),_xlfn.CONCAT(CHAR(92),CHAR(92))),"$",_xlfn.CONCAT(CHAR(92),"$")),CHAR(96),_xlfn.CONCAT(CHAR(92),CHAR(96))),CHAR(34),CHAR(39))))</f>
        <v/>
      </c>
      <c r="M302" s="5" t="str">
        <f>IF(OR(TRIM($B302)="",$C302=""),"",IF(IFERROR(MATCH(TRIM($C302),{"Quantitative","Continuous","Discrete","Categorical","Nominal","Ordinal","Identifier"},0),0)=0,_xlfn.CONCAT("* REVIEW REQUIRED: invalid Variable Type on Sheet 1 row ",302,"."),_xlfn.CONCAT("char ",TRIM($B302),"[doc_vartype] ",CHAR(96),CHAR(34),SUBSTITUTE(SUBSTITUTE(SUBSTITUTE(SUBSTITUTE(SUBSTITUTE(SUBSTITUTE(LOWER(TRIM($C302)),CHAR(13)," "),CHAR(10)," "),CHAR(9)," "),CHAR(92),_xlfn.CONCAT(CHAR(92),CHAR(92))),"$",_xlfn.CONCAT(CHAR(92),"$")),CHAR(96),_xlfn.CONCAT(CHAR(92),CHAR(96))),CHAR(34),CHAR(39))))</f>
        <v/>
      </c>
      <c r="N302" s="5" t="str">
        <f>IF(OR(TRIM($B302)="",$D302=""),"",IF(OR(ISNUMBER(SEARCH(_xlfn.CONCAT(CHAR(96),CHAR(34)),$D302)),ISNUMBER(SEARCH(_xlfn.CONCAT(CHAR(34),CHAR(39)),$D302))),_xlfn.CONCAT("* REVIEW REQUIRED: compound-quote delimiter in Item Number on Sheet 1 row ",302,"; edit the input before running."),_xlfn.CONCAT("char ",TRIM($B302),"[doc_itemnum] ",CHAR(96),CHAR(34),SUBSTITUTE(SUBSTITUTE(SUBSTITUTE(SUBSTITUTE(SUBSTITUTE(SUBSTITUTE($D302,CHAR(13)," "),CHAR(10)," "),CHAR(9)," "),CHAR(92),_xlfn.CONCAT(CHAR(92),CHAR(92))),"$",_xlfn.CONCAT(CHAR(92),"$")),CHAR(96),_xlfn.CONCAT(CHAR(92),CHAR(96))),CHAR(34),CHAR(39))))</f>
        <v/>
      </c>
      <c r="O302" s="5" t="str">
        <f>IF(OR(TRIM($B302)="",$E302=""),"",IF(OR(ISNUMBER(SEARCH(_xlfn.CONCAT(CHAR(96),CHAR(34)),$E302)),ISNUMBER(SEARCH(_xlfn.CONCAT(CHAR(34),CHAR(39)),$E302))),_xlfn.CONCAT("* REVIEW REQUIRED: compound-quote delimiter in Question Wording on Sheet 1 row ",302,"; edit the input before running."),_xlfn.CONCAT("char ",TRIM($B302),"[doc_question] ",CHAR(96),CHAR(34),SUBSTITUTE(SUBSTITUTE(SUBSTITUTE(SUBSTITUTE(SUBSTITUTE(SUBSTITUTE($E302,CHAR(13)," "),CHAR(10)," "),CHAR(9)," "),CHAR(92),_xlfn.CONCAT(CHAR(92),CHAR(92))),"$",_xlfn.CONCAT(CHAR(92),"$")),CHAR(96),_xlfn.CONCAT(CHAR(92),CHAR(96))),CHAR(34),CHAR(39))))</f>
        <v/>
      </c>
      <c r="P302" s="5" t="str">
        <f>IF(OR(TRIM($B302)="",$F302=""),"",IF(OR(ISNUMBER(SEARCH(_xlfn.CONCAT(CHAR(96),CHAR(34)),$F302)),ISNUMBER(SEARCH(_xlfn.CONCAT(CHAR(34),CHAR(39)),$F302))),_xlfn.CONCAT("* REVIEW REQUIRED: compound-quote delimiter in Units on Sheet 1 row ",302,"; edit the input before running."),_xlfn.CONCAT("char ",TRIM($B302),"[doc_units] ",CHAR(96),CHAR(34),SUBSTITUTE(SUBSTITUTE(SUBSTITUTE(SUBSTITUTE(SUBSTITUTE(SUBSTITUTE($F302,CHAR(13)," "),CHAR(10)," "),CHAR(9)," "),CHAR(92),_xlfn.CONCAT(CHAR(92),CHAR(92))),"$",_xlfn.CONCAT(CHAR(92),"$")),CHAR(96),_xlfn.CONCAT(CHAR(92),CHAR(96))),CHAR(34),CHAR(39))))</f>
        <v/>
      </c>
      <c r="Q302" s="5" t="str">
        <f>IF(OR(TRIM($B302)="",$G302=""),"",IF(OR(ISNUMBER(SEARCH(_xlfn.CONCAT(CHAR(96),CHAR(34)),$G302)),ISNUMBER(SEARCH(_xlfn.CONCAT(CHAR(34),CHAR(39)),$G302))),_xlfn.CONCAT("* REVIEW REQUIRED: compound-quote delimiter in Universe on Sheet 1 row ",302,"; edit the input before running."),_xlfn.CONCAT("char ",TRIM($B302),"[doc_universe] ",CHAR(96),CHAR(34),SUBSTITUTE(SUBSTITUTE(SUBSTITUTE(SUBSTITUTE(SUBSTITUTE(SUBSTITUTE($G302,CHAR(13)," "),CHAR(10)," "),CHAR(9)," "),CHAR(92),_xlfn.CONCAT(CHAR(92),CHAR(92))),"$",_xlfn.CONCAT(CHAR(92),"$")),CHAR(96),_xlfn.CONCAT(CHAR(92),CHAR(96))),CHAR(34),CHAR(39))))</f>
        <v/>
      </c>
      <c r="R302" s="5" t="str">
        <f>IF(OR(TRIM($B302)="",$H302=""),"",IF(OR(ISNUMBER(SEARCH(_xlfn.CONCAT(CHAR(96),CHAR(34)),$H302)),ISNUMBER(SEARCH(_xlfn.CONCAT(CHAR(34),CHAR(39)),$H302))),_xlfn.CONCAT("* REVIEW REQUIRED: compound-quote delimiter in Source on Sheet 1 row ",302,"; edit the input before running."),_xlfn.CONCAT("char ",TRIM($B302),"[doc_source] ",CHAR(96),CHAR(34),SUBSTITUTE(SUBSTITUTE(SUBSTITUTE(SUBSTITUTE(SUBSTITUTE(SUBSTITUTE($H302,CHAR(13)," "),CHAR(10)," "),CHAR(9)," "),CHAR(92),_xlfn.CONCAT(CHAR(92),CHAR(92))),"$",_xlfn.CONCAT(CHAR(92),"$")),CHAR(96),_xlfn.CONCAT(CHAR(92),CHAR(96))),CHAR(34),CHAR(39))))</f>
        <v/>
      </c>
      <c r="S302" s="5" t="str">
        <f>IF(OR(TRIM($B302)="",$I302=""),"",IF(OR(ISNUMBER(SEARCH(_xlfn.CONCAT(CHAR(96),CHAR(34)),$I302)),ISNUMBER(SEARCH(_xlfn.CONCAT(CHAR(34),CHAR(39)),$I302))),_xlfn.CONCAT("* REVIEW REQUIRED: compound-quote delimiter in Derivation on Sheet 1 row ",302,"; edit the input before running."),_xlfn.CONCAT("char ",TRIM($B302),"[doc_derivation] ",CHAR(96),CHAR(34),SUBSTITUTE(SUBSTITUTE(SUBSTITUTE(SUBSTITUTE(SUBSTITUTE(SUBSTITUTE($I302,CHAR(13)," "),CHAR(10)," "),CHAR(9)," "),CHAR(92),_xlfn.CONCAT(CHAR(92),CHAR(92))),"$",_xlfn.CONCAT(CHAR(92),"$")),CHAR(96),_xlfn.CONCAT(CHAR(92),CHAR(96))),CHAR(34),CHAR(39))))</f>
        <v/>
      </c>
      <c r="T302" s="5" t="str">
        <f>IF(OR(TRIM($B302)="",$J302=""),"",IF(OR(ISNUMBER(SEARCH(_xlfn.CONCAT(CHAR(96),CHAR(34)),$J302)),ISNUMBER(SEARCH(_xlfn.CONCAT(CHAR(34),CHAR(39)),$J302))),_xlfn.CONCAT("* REVIEW REQUIRED: compound-quote delimiter in Notes on Sheet 1 row ",302,"; edit the input before running."),_xlfn.CONCAT("char ",TRIM($B302),"[doc_notes] ",CHAR(96),CHAR(34),SUBSTITUTE(SUBSTITUTE(SUBSTITUTE(SUBSTITUTE(SUBSTITUTE(SUBSTITUTE($J302,CHAR(13)," "),CHAR(10)," "),CHAR(9)," "),CHAR(92),_xlfn.CONCAT(CHAR(92),CHAR(92))),"$",_xlfn.CONCAT(CHAR(92),"$")),CHAR(96),_xlfn.CONCAT(CHAR(92),CHAR(96))),CHAR(34),CHAR(39))))</f>
        <v/>
      </c>
      <c r="U302" s="5">
        <f t="shared" si="9"/>
        <v>0</v>
      </c>
    </row>
    <row r="303" spans="3:21" ht="30" customHeight="1" x14ac:dyDescent="0.2">
      <c r="C303" s="4"/>
      <c r="K303" s="5">
        <f t="shared" si="8"/>
        <v>0</v>
      </c>
      <c r="L303" s="5" t="str">
        <f>IF(OR(TRIM($B303)="",$A303=""),"",IF(OR(ISNUMBER(SEARCH(_xlfn.CONCAT(CHAR(96),CHAR(34)),$A303)),ISNUMBER(SEARCH(_xlfn.CONCAT(CHAR(34),CHAR(39)),$A303))),_xlfn.CONCAT("* REVIEW REQUIRED: compound-quote delimiter in Codebook Section on Sheet 1 row ",303,"; edit the input before running."),_xlfn.CONCAT("char ",TRIM($B303),"[doc_section] ",CHAR(96),CHAR(34),SUBSTITUTE(SUBSTITUTE(SUBSTITUTE(SUBSTITUTE(SUBSTITUTE(SUBSTITUTE($A303,CHAR(13)," "),CHAR(10)," "),CHAR(9)," "),CHAR(92),_xlfn.CONCAT(CHAR(92),CHAR(92))),"$",_xlfn.CONCAT(CHAR(92),"$")),CHAR(96),_xlfn.CONCAT(CHAR(92),CHAR(96))),CHAR(34),CHAR(39))))</f>
        <v/>
      </c>
      <c r="M303" s="5" t="str">
        <f>IF(OR(TRIM($B303)="",$C303=""),"",IF(IFERROR(MATCH(TRIM($C303),{"Quantitative","Continuous","Discrete","Categorical","Nominal","Ordinal","Identifier"},0),0)=0,_xlfn.CONCAT("* REVIEW REQUIRED: invalid Variable Type on Sheet 1 row ",303,"."),_xlfn.CONCAT("char ",TRIM($B303),"[doc_vartype] ",CHAR(96),CHAR(34),SUBSTITUTE(SUBSTITUTE(SUBSTITUTE(SUBSTITUTE(SUBSTITUTE(SUBSTITUTE(LOWER(TRIM($C303)),CHAR(13)," "),CHAR(10)," "),CHAR(9)," "),CHAR(92),_xlfn.CONCAT(CHAR(92),CHAR(92))),"$",_xlfn.CONCAT(CHAR(92),"$")),CHAR(96),_xlfn.CONCAT(CHAR(92),CHAR(96))),CHAR(34),CHAR(39))))</f>
        <v/>
      </c>
      <c r="N303" s="5" t="str">
        <f>IF(OR(TRIM($B303)="",$D303=""),"",IF(OR(ISNUMBER(SEARCH(_xlfn.CONCAT(CHAR(96),CHAR(34)),$D303)),ISNUMBER(SEARCH(_xlfn.CONCAT(CHAR(34),CHAR(39)),$D303))),_xlfn.CONCAT("* REVIEW REQUIRED: compound-quote delimiter in Item Number on Sheet 1 row ",303,"; edit the input before running."),_xlfn.CONCAT("char ",TRIM($B303),"[doc_itemnum] ",CHAR(96),CHAR(34),SUBSTITUTE(SUBSTITUTE(SUBSTITUTE(SUBSTITUTE(SUBSTITUTE(SUBSTITUTE($D303,CHAR(13)," "),CHAR(10)," "),CHAR(9)," "),CHAR(92),_xlfn.CONCAT(CHAR(92),CHAR(92))),"$",_xlfn.CONCAT(CHAR(92),"$")),CHAR(96),_xlfn.CONCAT(CHAR(92),CHAR(96))),CHAR(34),CHAR(39))))</f>
        <v/>
      </c>
      <c r="O303" s="5" t="str">
        <f>IF(OR(TRIM($B303)="",$E303=""),"",IF(OR(ISNUMBER(SEARCH(_xlfn.CONCAT(CHAR(96),CHAR(34)),$E303)),ISNUMBER(SEARCH(_xlfn.CONCAT(CHAR(34),CHAR(39)),$E303))),_xlfn.CONCAT("* REVIEW REQUIRED: compound-quote delimiter in Question Wording on Sheet 1 row ",303,"; edit the input before running."),_xlfn.CONCAT("char ",TRIM($B303),"[doc_question] ",CHAR(96),CHAR(34),SUBSTITUTE(SUBSTITUTE(SUBSTITUTE(SUBSTITUTE(SUBSTITUTE(SUBSTITUTE($E303,CHAR(13)," "),CHAR(10)," "),CHAR(9)," "),CHAR(92),_xlfn.CONCAT(CHAR(92),CHAR(92))),"$",_xlfn.CONCAT(CHAR(92),"$")),CHAR(96),_xlfn.CONCAT(CHAR(92),CHAR(96))),CHAR(34),CHAR(39))))</f>
        <v/>
      </c>
      <c r="P303" s="5" t="str">
        <f>IF(OR(TRIM($B303)="",$F303=""),"",IF(OR(ISNUMBER(SEARCH(_xlfn.CONCAT(CHAR(96),CHAR(34)),$F303)),ISNUMBER(SEARCH(_xlfn.CONCAT(CHAR(34),CHAR(39)),$F303))),_xlfn.CONCAT("* REVIEW REQUIRED: compound-quote delimiter in Units on Sheet 1 row ",303,"; edit the input before running."),_xlfn.CONCAT("char ",TRIM($B303),"[doc_units] ",CHAR(96),CHAR(34),SUBSTITUTE(SUBSTITUTE(SUBSTITUTE(SUBSTITUTE(SUBSTITUTE(SUBSTITUTE($F303,CHAR(13)," "),CHAR(10)," "),CHAR(9)," "),CHAR(92),_xlfn.CONCAT(CHAR(92),CHAR(92))),"$",_xlfn.CONCAT(CHAR(92),"$")),CHAR(96),_xlfn.CONCAT(CHAR(92),CHAR(96))),CHAR(34),CHAR(39))))</f>
        <v/>
      </c>
      <c r="Q303" s="5" t="str">
        <f>IF(OR(TRIM($B303)="",$G303=""),"",IF(OR(ISNUMBER(SEARCH(_xlfn.CONCAT(CHAR(96),CHAR(34)),$G303)),ISNUMBER(SEARCH(_xlfn.CONCAT(CHAR(34),CHAR(39)),$G303))),_xlfn.CONCAT("* REVIEW REQUIRED: compound-quote delimiter in Universe on Sheet 1 row ",303,"; edit the input before running."),_xlfn.CONCAT("char ",TRIM($B303),"[doc_universe] ",CHAR(96),CHAR(34),SUBSTITUTE(SUBSTITUTE(SUBSTITUTE(SUBSTITUTE(SUBSTITUTE(SUBSTITUTE($G303,CHAR(13)," "),CHAR(10)," "),CHAR(9)," "),CHAR(92),_xlfn.CONCAT(CHAR(92),CHAR(92))),"$",_xlfn.CONCAT(CHAR(92),"$")),CHAR(96),_xlfn.CONCAT(CHAR(92),CHAR(96))),CHAR(34),CHAR(39))))</f>
        <v/>
      </c>
      <c r="R303" s="5" t="str">
        <f>IF(OR(TRIM($B303)="",$H303=""),"",IF(OR(ISNUMBER(SEARCH(_xlfn.CONCAT(CHAR(96),CHAR(34)),$H303)),ISNUMBER(SEARCH(_xlfn.CONCAT(CHAR(34),CHAR(39)),$H303))),_xlfn.CONCAT("* REVIEW REQUIRED: compound-quote delimiter in Source on Sheet 1 row ",303,"; edit the input before running."),_xlfn.CONCAT("char ",TRIM($B303),"[doc_source] ",CHAR(96),CHAR(34),SUBSTITUTE(SUBSTITUTE(SUBSTITUTE(SUBSTITUTE(SUBSTITUTE(SUBSTITUTE($H303,CHAR(13)," "),CHAR(10)," "),CHAR(9)," "),CHAR(92),_xlfn.CONCAT(CHAR(92),CHAR(92))),"$",_xlfn.CONCAT(CHAR(92),"$")),CHAR(96),_xlfn.CONCAT(CHAR(92),CHAR(96))),CHAR(34),CHAR(39))))</f>
        <v/>
      </c>
      <c r="S303" s="5" t="str">
        <f>IF(OR(TRIM($B303)="",$I303=""),"",IF(OR(ISNUMBER(SEARCH(_xlfn.CONCAT(CHAR(96),CHAR(34)),$I303)),ISNUMBER(SEARCH(_xlfn.CONCAT(CHAR(34),CHAR(39)),$I303))),_xlfn.CONCAT("* REVIEW REQUIRED: compound-quote delimiter in Derivation on Sheet 1 row ",303,"; edit the input before running."),_xlfn.CONCAT("char ",TRIM($B303),"[doc_derivation] ",CHAR(96),CHAR(34),SUBSTITUTE(SUBSTITUTE(SUBSTITUTE(SUBSTITUTE(SUBSTITUTE(SUBSTITUTE($I303,CHAR(13)," "),CHAR(10)," "),CHAR(9)," "),CHAR(92),_xlfn.CONCAT(CHAR(92),CHAR(92))),"$",_xlfn.CONCAT(CHAR(92),"$")),CHAR(96),_xlfn.CONCAT(CHAR(92),CHAR(96))),CHAR(34),CHAR(39))))</f>
        <v/>
      </c>
      <c r="T303" s="5" t="str">
        <f>IF(OR(TRIM($B303)="",$J303=""),"",IF(OR(ISNUMBER(SEARCH(_xlfn.CONCAT(CHAR(96),CHAR(34)),$J303)),ISNUMBER(SEARCH(_xlfn.CONCAT(CHAR(34),CHAR(39)),$J303))),_xlfn.CONCAT("* REVIEW REQUIRED: compound-quote delimiter in Notes on Sheet 1 row ",303,"; edit the input before running."),_xlfn.CONCAT("char ",TRIM($B303),"[doc_notes] ",CHAR(96),CHAR(34),SUBSTITUTE(SUBSTITUTE(SUBSTITUTE(SUBSTITUTE(SUBSTITUTE(SUBSTITUTE($J303,CHAR(13)," "),CHAR(10)," "),CHAR(9)," "),CHAR(92),_xlfn.CONCAT(CHAR(92),CHAR(92))),"$",_xlfn.CONCAT(CHAR(92),"$")),CHAR(96),_xlfn.CONCAT(CHAR(92),CHAR(96))),CHAR(34),CHAR(39))))</f>
        <v/>
      </c>
      <c r="U303" s="5">
        <f t="shared" si="9"/>
        <v>0</v>
      </c>
    </row>
    <row r="304" spans="3:21" ht="30" customHeight="1" x14ac:dyDescent="0.2">
      <c r="C304" s="4"/>
      <c r="K304" s="5">
        <f t="shared" si="8"/>
        <v>0</v>
      </c>
      <c r="L304" s="5" t="str">
        <f>IF(OR(TRIM($B304)="",$A304=""),"",IF(OR(ISNUMBER(SEARCH(_xlfn.CONCAT(CHAR(96),CHAR(34)),$A304)),ISNUMBER(SEARCH(_xlfn.CONCAT(CHAR(34),CHAR(39)),$A304))),_xlfn.CONCAT("* REVIEW REQUIRED: compound-quote delimiter in Codebook Section on Sheet 1 row ",304,"; edit the input before running."),_xlfn.CONCAT("char ",TRIM($B304),"[doc_section] ",CHAR(96),CHAR(34),SUBSTITUTE(SUBSTITUTE(SUBSTITUTE(SUBSTITUTE(SUBSTITUTE(SUBSTITUTE($A304,CHAR(13)," "),CHAR(10)," "),CHAR(9)," "),CHAR(92),_xlfn.CONCAT(CHAR(92),CHAR(92))),"$",_xlfn.CONCAT(CHAR(92),"$")),CHAR(96),_xlfn.CONCAT(CHAR(92),CHAR(96))),CHAR(34),CHAR(39))))</f>
        <v/>
      </c>
      <c r="M304" s="5" t="str">
        <f>IF(OR(TRIM($B304)="",$C304=""),"",IF(IFERROR(MATCH(TRIM($C304),{"Quantitative","Continuous","Discrete","Categorical","Nominal","Ordinal","Identifier"},0),0)=0,_xlfn.CONCAT("* REVIEW REQUIRED: invalid Variable Type on Sheet 1 row ",304,"."),_xlfn.CONCAT("char ",TRIM($B304),"[doc_vartype] ",CHAR(96),CHAR(34),SUBSTITUTE(SUBSTITUTE(SUBSTITUTE(SUBSTITUTE(SUBSTITUTE(SUBSTITUTE(LOWER(TRIM($C304)),CHAR(13)," "),CHAR(10)," "),CHAR(9)," "),CHAR(92),_xlfn.CONCAT(CHAR(92),CHAR(92))),"$",_xlfn.CONCAT(CHAR(92),"$")),CHAR(96),_xlfn.CONCAT(CHAR(92),CHAR(96))),CHAR(34),CHAR(39))))</f>
        <v/>
      </c>
      <c r="N304" s="5" t="str">
        <f>IF(OR(TRIM($B304)="",$D304=""),"",IF(OR(ISNUMBER(SEARCH(_xlfn.CONCAT(CHAR(96),CHAR(34)),$D304)),ISNUMBER(SEARCH(_xlfn.CONCAT(CHAR(34),CHAR(39)),$D304))),_xlfn.CONCAT("* REVIEW REQUIRED: compound-quote delimiter in Item Number on Sheet 1 row ",304,"; edit the input before running."),_xlfn.CONCAT("char ",TRIM($B304),"[doc_itemnum] ",CHAR(96),CHAR(34),SUBSTITUTE(SUBSTITUTE(SUBSTITUTE(SUBSTITUTE(SUBSTITUTE(SUBSTITUTE($D304,CHAR(13)," "),CHAR(10)," "),CHAR(9)," "),CHAR(92),_xlfn.CONCAT(CHAR(92),CHAR(92))),"$",_xlfn.CONCAT(CHAR(92),"$")),CHAR(96),_xlfn.CONCAT(CHAR(92),CHAR(96))),CHAR(34),CHAR(39))))</f>
        <v/>
      </c>
      <c r="O304" s="5" t="str">
        <f>IF(OR(TRIM($B304)="",$E304=""),"",IF(OR(ISNUMBER(SEARCH(_xlfn.CONCAT(CHAR(96),CHAR(34)),$E304)),ISNUMBER(SEARCH(_xlfn.CONCAT(CHAR(34),CHAR(39)),$E304))),_xlfn.CONCAT("* REVIEW REQUIRED: compound-quote delimiter in Question Wording on Sheet 1 row ",304,"; edit the input before running."),_xlfn.CONCAT("char ",TRIM($B304),"[doc_question] ",CHAR(96),CHAR(34),SUBSTITUTE(SUBSTITUTE(SUBSTITUTE(SUBSTITUTE(SUBSTITUTE(SUBSTITUTE($E304,CHAR(13)," "),CHAR(10)," "),CHAR(9)," "),CHAR(92),_xlfn.CONCAT(CHAR(92),CHAR(92))),"$",_xlfn.CONCAT(CHAR(92),"$")),CHAR(96),_xlfn.CONCAT(CHAR(92),CHAR(96))),CHAR(34),CHAR(39))))</f>
        <v/>
      </c>
      <c r="P304" s="5" t="str">
        <f>IF(OR(TRIM($B304)="",$F304=""),"",IF(OR(ISNUMBER(SEARCH(_xlfn.CONCAT(CHAR(96),CHAR(34)),$F304)),ISNUMBER(SEARCH(_xlfn.CONCAT(CHAR(34),CHAR(39)),$F304))),_xlfn.CONCAT("* REVIEW REQUIRED: compound-quote delimiter in Units on Sheet 1 row ",304,"; edit the input before running."),_xlfn.CONCAT("char ",TRIM($B304),"[doc_units] ",CHAR(96),CHAR(34),SUBSTITUTE(SUBSTITUTE(SUBSTITUTE(SUBSTITUTE(SUBSTITUTE(SUBSTITUTE($F304,CHAR(13)," "),CHAR(10)," "),CHAR(9)," "),CHAR(92),_xlfn.CONCAT(CHAR(92),CHAR(92))),"$",_xlfn.CONCAT(CHAR(92),"$")),CHAR(96),_xlfn.CONCAT(CHAR(92),CHAR(96))),CHAR(34),CHAR(39))))</f>
        <v/>
      </c>
      <c r="Q304" s="5" t="str">
        <f>IF(OR(TRIM($B304)="",$G304=""),"",IF(OR(ISNUMBER(SEARCH(_xlfn.CONCAT(CHAR(96),CHAR(34)),$G304)),ISNUMBER(SEARCH(_xlfn.CONCAT(CHAR(34),CHAR(39)),$G304))),_xlfn.CONCAT("* REVIEW REQUIRED: compound-quote delimiter in Universe on Sheet 1 row ",304,"; edit the input before running."),_xlfn.CONCAT("char ",TRIM($B304),"[doc_universe] ",CHAR(96),CHAR(34),SUBSTITUTE(SUBSTITUTE(SUBSTITUTE(SUBSTITUTE(SUBSTITUTE(SUBSTITUTE($G304,CHAR(13)," "),CHAR(10)," "),CHAR(9)," "),CHAR(92),_xlfn.CONCAT(CHAR(92),CHAR(92))),"$",_xlfn.CONCAT(CHAR(92),"$")),CHAR(96),_xlfn.CONCAT(CHAR(92),CHAR(96))),CHAR(34),CHAR(39))))</f>
        <v/>
      </c>
      <c r="R304" s="5" t="str">
        <f>IF(OR(TRIM($B304)="",$H304=""),"",IF(OR(ISNUMBER(SEARCH(_xlfn.CONCAT(CHAR(96),CHAR(34)),$H304)),ISNUMBER(SEARCH(_xlfn.CONCAT(CHAR(34),CHAR(39)),$H304))),_xlfn.CONCAT("* REVIEW REQUIRED: compound-quote delimiter in Source on Sheet 1 row ",304,"; edit the input before running."),_xlfn.CONCAT("char ",TRIM($B304),"[doc_source] ",CHAR(96),CHAR(34),SUBSTITUTE(SUBSTITUTE(SUBSTITUTE(SUBSTITUTE(SUBSTITUTE(SUBSTITUTE($H304,CHAR(13)," "),CHAR(10)," "),CHAR(9)," "),CHAR(92),_xlfn.CONCAT(CHAR(92),CHAR(92))),"$",_xlfn.CONCAT(CHAR(92),"$")),CHAR(96),_xlfn.CONCAT(CHAR(92),CHAR(96))),CHAR(34),CHAR(39))))</f>
        <v/>
      </c>
      <c r="S304" s="5" t="str">
        <f>IF(OR(TRIM($B304)="",$I304=""),"",IF(OR(ISNUMBER(SEARCH(_xlfn.CONCAT(CHAR(96),CHAR(34)),$I304)),ISNUMBER(SEARCH(_xlfn.CONCAT(CHAR(34),CHAR(39)),$I304))),_xlfn.CONCAT("* REVIEW REQUIRED: compound-quote delimiter in Derivation on Sheet 1 row ",304,"; edit the input before running."),_xlfn.CONCAT("char ",TRIM($B304),"[doc_derivation] ",CHAR(96),CHAR(34),SUBSTITUTE(SUBSTITUTE(SUBSTITUTE(SUBSTITUTE(SUBSTITUTE(SUBSTITUTE($I304,CHAR(13)," "),CHAR(10)," "),CHAR(9)," "),CHAR(92),_xlfn.CONCAT(CHAR(92),CHAR(92))),"$",_xlfn.CONCAT(CHAR(92),"$")),CHAR(96),_xlfn.CONCAT(CHAR(92),CHAR(96))),CHAR(34),CHAR(39))))</f>
        <v/>
      </c>
      <c r="T304" s="5" t="str">
        <f>IF(OR(TRIM($B304)="",$J304=""),"",IF(OR(ISNUMBER(SEARCH(_xlfn.CONCAT(CHAR(96),CHAR(34)),$J304)),ISNUMBER(SEARCH(_xlfn.CONCAT(CHAR(34),CHAR(39)),$J304))),_xlfn.CONCAT("* REVIEW REQUIRED: compound-quote delimiter in Notes on Sheet 1 row ",304,"; edit the input before running."),_xlfn.CONCAT("char ",TRIM($B304),"[doc_notes] ",CHAR(96),CHAR(34),SUBSTITUTE(SUBSTITUTE(SUBSTITUTE(SUBSTITUTE(SUBSTITUTE(SUBSTITUTE($J304,CHAR(13)," "),CHAR(10)," "),CHAR(9)," "),CHAR(92),_xlfn.CONCAT(CHAR(92),CHAR(92))),"$",_xlfn.CONCAT(CHAR(92),"$")),CHAR(96),_xlfn.CONCAT(CHAR(92),CHAR(96))),CHAR(34),CHAR(39))))</f>
        <v/>
      </c>
      <c r="U304" s="5">
        <f t="shared" si="9"/>
        <v>0</v>
      </c>
    </row>
    <row r="305" spans="3:21" ht="30" customHeight="1" x14ac:dyDescent="0.2">
      <c r="C305" s="4"/>
      <c r="K305" s="5">
        <f t="shared" si="8"/>
        <v>0</v>
      </c>
      <c r="L305" s="5" t="str">
        <f>IF(OR(TRIM($B305)="",$A305=""),"",IF(OR(ISNUMBER(SEARCH(_xlfn.CONCAT(CHAR(96),CHAR(34)),$A305)),ISNUMBER(SEARCH(_xlfn.CONCAT(CHAR(34),CHAR(39)),$A305))),_xlfn.CONCAT("* REVIEW REQUIRED: compound-quote delimiter in Codebook Section on Sheet 1 row ",305,"; edit the input before running."),_xlfn.CONCAT("char ",TRIM($B305),"[doc_section] ",CHAR(96),CHAR(34),SUBSTITUTE(SUBSTITUTE(SUBSTITUTE(SUBSTITUTE(SUBSTITUTE(SUBSTITUTE($A305,CHAR(13)," "),CHAR(10)," "),CHAR(9)," "),CHAR(92),_xlfn.CONCAT(CHAR(92),CHAR(92))),"$",_xlfn.CONCAT(CHAR(92),"$")),CHAR(96),_xlfn.CONCAT(CHAR(92),CHAR(96))),CHAR(34),CHAR(39))))</f>
        <v/>
      </c>
      <c r="M305" s="5" t="str">
        <f>IF(OR(TRIM($B305)="",$C305=""),"",IF(IFERROR(MATCH(TRIM($C305),{"Quantitative","Continuous","Discrete","Categorical","Nominal","Ordinal","Identifier"},0),0)=0,_xlfn.CONCAT("* REVIEW REQUIRED: invalid Variable Type on Sheet 1 row ",305,"."),_xlfn.CONCAT("char ",TRIM($B305),"[doc_vartype] ",CHAR(96),CHAR(34),SUBSTITUTE(SUBSTITUTE(SUBSTITUTE(SUBSTITUTE(SUBSTITUTE(SUBSTITUTE(LOWER(TRIM($C305)),CHAR(13)," "),CHAR(10)," "),CHAR(9)," "),CHAR(92),_xlfn.CONCAT(CHAR(92),CHAR(92))),"$",_xlfn.CONCAT(CHAR(92),"$")),CHAR(96),_xlfn.CONCAT(CHAR(92),CHAR(96))),CHAR(34),CHAR(39))))</f>
        <v/>
      </c>
      <c r="N305" s="5" t="str">
        <f>IF(OR(TRIM($B305)="",$D305=""),"",IF(OR(ISNUMBER(SEARCH(_xlfn.CONCAT(CHAR(96),CHAR(34)),$D305)),ISNUMBER(SEARCH(_xlfn.CONCAT(CHAR(34),CHAR(39)),$D305))),_xlfn.CONCAT("* REVIEW REQUIRED: compound-quote delimiter in Item Number on Sheet 1 row ",305,"; edit the input before running."),_xlfn.CONCAT("char ",TRIM($B305),"[doc_itemnum] ",CHAR(96),CHAR(34),SUBSTITUTE(SUBSTITUTE(SUBSTITUTE(SUBSTITUTE(SUBSTITUTE(SUBSTITUTE($D305,CHAR(13)," "),CHAR(10)," "),CHAR(9)," "),CHAR(92),_xlfn.CONCAT(CHAR(92),CHAR(92))),"$",_xlfn.CONCAT(CHAR(92),"$")),CHAR(96),_xlfn.CONCAT(CHAR(92),CHAR(96))),CHAR(34),CHAR(39))))</f>
        <v/>
      </c>
      <c r="O305" s="5" t="str">
        <f>IF(OR(TRIM($B305)="",$E305=""),"",IF(OR(ISNUMBER(SEARCH(_xlfn.CONCAT(CHAR(96),CHAR(34)),$E305)),ISNUMBER(SEARCH(_xlfn.CONCAT(CHAR(34),CHAR(39)),$E305))),_xlfn.CONCAT("* REVIEW REQUIRED: compound-quote delimiter in Question Wording on Sheet 1 row ",305,"; edit the input before running."),_xlfn.CONCAT("char ",TRIM($B305),"[doc_question] ",CHAR(96),CHAR(34),SUBSTITUTE(SUBSTITUTE(SUBSTITUTE(SUBSTITUTE(SUBSTITUTE(SUBSTITUTE($E305,CHAR(13)," "),CHAR(10)," "),CHAR(9)," "),CHAR(92),_xlfn.CONCAT(CHAR(92),CHAR(92))),"$",_xlfn.CONCAT(CHAR(92),"$")),CHAR(96),_xlfn.CONCAT(CHAR(92),CHAR(96))),CHAR(34),CHAR(39))))</f>
        <v/>
      </c>
      <c r="P305" s="5" t="str">
        <f>IF(OR(TRIM($B305)="",$F305=""),"",IF(OR(ISNUMBER(SEARCH(_xlfn.CONCAT(CHAR(96),CHAR(34)),$F305)),ISNUMBER(SEARCH(_xlfn.CONCAT(CHAR(34),CHAR(39)),$F305))),_xlfn.CONCAT("* REVIEW REQUIRED: compound-quote delimiter in Units on Sheet 1 row ",305,"; edit the input before running."),_xlfn.CONCAT("char ",TRIM($B305),"[doc_units] ",CHAR(96),CHAR(34),SUBSTITUTE(SUBSTITUTE(SUBSTITUTE(SUBSTITUTE(SUBSTITUTE(SUBSTITUTE($F305,CHAR(13)," "),CHAR(10)," "),CHAR(9)," "),CHAR(92),_xlfn.CONCAT(CHAR(92),CHAR(92))),"$",_xlfn.CONCAT(CHAR(92),"$")),CHAR(96),_xlfn.CONCAT(CHAR(92),CHAR(96))),CHAR(34),CHAR(39))))</f>
        <v/>
      </c>
      <c r="Q305" s="5" t="str">
        <f>IF(OR(TRIM($B305)="",$G305=""),"",IF(OR(ISNUMBER(SEARCH(_xlfn.CONCAT(CHAR(96),CHAR(34)),$G305)),ISNUMBER(SEARCH(_xlfn.CONCAT(CHAR(34),CHAR(39)),$G305))),_xlfn.CONCAT("* REVIEW REQUIRED: compound-quote delimiter in Universe on Sheet 1 row ",305,"; edit the input before running."),_xlfn.CONCAT("char ",TRIM($B305),"[doc_universe] ",CHAR(96),CHAR(34),SUBSTITUTE(SUBSTITUTE(SUBSTITUTE(SUBSTITUTE(SUBSTITUTE(SUBSTITUTE($G305,CHAR(13)," "),CHAR(10)," "),CHAR(9)," "),CHAR(92),_xlfn.CONCAT(CHAR(92),CHAR(92))),"$",_xlfn.CONCAT(CHAR(92),"$")),CHAR(96),_xlfn.CONCAT(CHAR(92),CHAR(96))),CHAR(34),CHAR(39))))</f>
        <v/>
      </c>
      <c r="R305" s="5" t="str">
        <f>IF(OR(TRIM($B305)="",$H305=""),"",IF(OR(ISNUMBER(SEARCH(_xlfn.CONCAT(CHAR(96),CHAR(34)),$H305)),ISNUMBER(SEARCH(_xlfn.CONCAT(CHAR(34),CHAR(39)),$H305))),_xlfn.CONCAT("* REVIEW REQUIRED: compound-quote delimiter in Source on Sheet 1 row ",305,"; edit the input before running."),_xlfn.CONCAT("char ",TRIM($B305),"[doc_source] ",CHAR(96),CHAR(34),SUBSTITUTE(SUBSTITUTE(SUBSTITUTE(SUBSTITUTE(SUBSTITUTE(SUBSTITUTE($H305,CHAR(13)," "),CHAR(10)," "),CHAR(9)," "),CHAR(92),_xlfn.CONCAT(CHAR(92),CHAR(92))),"$",_xlfn.CONCAT(CHAR(92),"$")),CHAR(96),_xlfn.CONCAT(CHAR(92),CHAR(96))),CHAR(34),CHAR(39))))</f>
        <v/>
      </c>
      <c r="S305" s="5" t="str">
        <f>IF(OR(TRIM($B305)="",$I305=""),"",IF(OR(ISNUMBER(SEARCH(_xlfn.CONCAT(CHAR(96),CHAR(34)),$I305)),ISNUMBER(SEARCH(_xlfn.CONCAT(CHAR(34),CHAR(39)),$I305))),_xlfn.CONCAT("* REVIEW REQUIRED: compound-quote delimiter in Derivation on Sheet 1 row ",305,"; edit the input before running."),_xlfn.CONCAT("char ",TRIM($B305),"[doc_derivation] ",CHAR(96),CHAR(34),SUBSTITUTE(SUBSTITUTE(SUBSTITUTE(SUBSTITUTE(SUBSTITUTE(SUBSTITUTE($I305,CHAR(13)," "),CHAR(10)," "),CHAR(9)," "),CHAR(92),_xlfn.CONCAT(CHAR(92),CHAR(92))),"$",_xlfn.CONCAT(CHAR(92),"$")),CHAR(96),_xlfn.CONCAT(CHAR(92),CHAR(96))),CHAR(34),CHAR(39))))</f>
        <v/>
      </c>
      <c r="T305" s="5" t="str">
        <f>IF(OR(TRIM($B305)="",$J305=""),"",IF(OR(ISNUMBER(SEARCH(_xlfn.CONCAT(CHAR(96),CHAR(34)),$J305)),ISNUMBER(SEARCH(_xlfn.CONCAT(CHAR(34),CHAR(39)),$J305))),_xlfn.CONCAT("* REVIEW REQUIRED: compound-quote delimiter in Notes on Sheet 1 row ",305,"; edit the input before running."),_xlfn.CONCAT("char ",TRIM($B305),"[doc_notes] ",CHAR(96),CHAR(34),SUBSTITUTE(SUBSTITUTE(SUBSTITUTE(SUBSTITUTE(SUBSTITUTE(SUBSTITUTE($J305,CHAR(13)," "),CHAR(10)," "),CHAR(9)," "),CHAR(92),_xlfn.CONCAT(CHAR(92),CHAR(92))),"$",_xlfn.CONCAT(CHAR(92),"$")),CHAR(96),_xlfn.CONCAT(CHAR(92),CHAR(96))),CHAR(34),CHAR(39))))</f>
        <v/>
      </c>
      <c r="U305" s="5">
        <f t="shared" si="9"/>
        <v>0</v>
      </c>
    </row>
    <row r="306" spans="3:21" ht="30" customHeight="1" x14ac:dyDescent="0.2">
      <c r="C306" s="4"/>
      <c r="K306" s="5">
        <f t="shared" si="8"/>
        <v>0</v>
      </c>
      <c r="L306" s="5" t="str">
        <f>IF(OR(TRIM($B306)="",$A306=""),"",IF(OR(ISNUMBER(SEARCH(_xlfn.CONCAT(CHAR(96),CHAR(34)),$A306)),ISNUMBER(SEARCH(_xlfn.CONCAT(CHAR(34),CHAR(39)),$A306))),_xlfn.CONCAT("* REVIEW REQUIRED: compound-quote delimiter in Codebook Section on Sheet 1 row ",306,"; edit the input before running."),_xlfn.CONCAT("char ",TRIM($B306),"[doc_section] ",CHAR(96),CHAR(34),SUBSTITUTE(SUBSTITUTE(SUBSTITUTE(SUBSTITUTE(SUBSTITUTE(SUBSTITUTE($A306,CHAR(13)," "),CHAR(10)," "),CHAR(9)," "),CHAR(92),_xlfn.CONCAT(CHAR(92),CHAR(92))),"$",_xlfn.CONCAT(CHAR(92),"$")),CHAR(96),_xlfn.CONCAT(CHAR(92),CHAR(96))),CHAR(34),CHAR(39))))</f>
        <v/>
      </c>
      <c r="M306" s="5" t="str">
        <f>IF(OR(TRIM($B306)="",$C306=""),"",IF(IFERROR(MATCH(TRIM($C306),{"Quantitative","Continuous","Discrete","Categorical","Nominal","Ordinal","Identifier"},0),0)=0,_xlfn.CONCAT("* REVIEW REQUIRED: invalid Variable Type on Sheet 1 row ",306,"."),_xlfn.CONCAT("char ",TRIM($B306),"[doc_vartype] ",CHAR(96),CHAR(34),SUBSTITUTE(SUBSTITUTE(SUBSTITUTE(SUBSTITUTE(SUBSTITUTE(SUBSTITUTE(LOWER(TRIM($C306)),CHAR(13)," "),CHAR(10)," "),CHAR(9)," "),CHAR(92),_xlfn.CONCAT(CHAR(92),CHAR(92))),"$",_xlfn.CONCAT(CHAR(92),"$")),CHAR(96),_xlfn.CONCAT(CHAR(92),CHAR(96))),CHAR(34),CHAR(39))))</f>
        <v/>
      </c>
      <c r="N306" s="5" t="str">
        <f>IF(OR(TRIM($B306)="",$D306=""),"",IF(OR(ISNUMBER(SEARCH(_xlfn.CONCAT(CHAR(96),CHAR(34)),$D306)),ISNUMBER(SEARCH(_xlfn.CONCAT(CHAR(34),CHAR(39)),$D306))),_xlfn.CONCAT("* REVIEW REQUIRED: compound-quote delimiter in Item Number on Sheet 1 row ",306,"; edit the input before running."),_xlfn.CONCAT("char ",TRIM($B306),"[doc_itemnum] ",CHAR(96),CHAR(34),SUBSTITUTE(SUBSTITUTE(SUBSTITUTE(SUBSTITUTE(SUBSTITUTE(SUBSTITUTE($D306,CHAR(13)," "),CHAR(10)," "),CHAR(9)," "),CHAR(92),_xlfn.CONCAT(CHAR(92),CHAR(92))),"$",_xlfn.CONCAT(CHAR(92),"$")),CHAR(96),_xlfn.CONCAT(CHAR(92),CHAR(96))),CHAR(34),CHAR(39))))</f>
        <v/>
      </c>
      <c r="O306" s="5" t="str">
        <f>IF(OR(TRIM($B306)="",$E306=""),"",IF(OR(ISNUMBER(SEARCH(_xlfn.CONCAT(CHAR(96),CHAR(34)),$E306)),ISNUMBER(SEARCH(_xlfn.CONCAT(CHAR(34),CHAR(39)),$E306))),_xlfn.CONCAT("* REVIEW REQUIRED: compound-quote delimiter in Question Wording on Sheet 1 row ",306,"; edit the input before running."),_xlfn.CONCAT("char ",TRIM($B306),"[doc_question] ",CHAR(96),CHAR(34),SUBSTITUTE(SUBSTITUTE(SUBSTITUTE(SUBSTITUTE(SUBSTITUTE(SUBSTITUTE($E306,CHAR(13)," "),CHAR(10)," "),CHAR(9)," "),CHAR(92),_xlfn.CONCAT(CHAR(92),CHAR(92))),"$",_xlfn.CONCAT(CHAR(92),"$")),CHAR(96),_xlfn.CONCAT(CHAR(92),CHAR(96))),CHAR(34),CHAR(39))))</f>
        <v/>
      </c>
      <c r="P306" s="5" t="str">
        <f>IF(OR(TRIM($B306)="",$F306=""),"",IF(OR(ISNUMBER(SEARCH(_xlfn.CONCAT(CHAR(96),CHAR(34)),$F306)),ISNUMBER(SEARCH(_xlfn.CONCAT(CHAR(34),CHAR(39)),$F306))),_xlfn.CONCAT("* REVIEW REQUIRED: compound-quote delimiter in Units on Sheet 1 row ",306,"; edit the input before running."),_xlfn.CONCAT("char ",TRIM($B306),"[doc_units] ",CHAR(96),CHAR(34),SUBSTITUTE(SUBSTITUTE(SUBSTITUTE(SUBSTITUTE(SUBSTITUTE(SUBSTITUTE($F306,CHAR(13)," "),CHAR(10)," "),CHAR(9)," "),CHAR(92),_xlfn.CONCAT(CHAR(92),CHAR(92))),"$",_xlfn.CONCAT(CHAR(92),"$")),CHAR(96),_xlfn.CONCAT(CHAR(92),CHAR(96))),CHAR(34),CHAR(39))))</f>
        <v/>
      </c>
      <c r="Q306" s="5" t="str">
        <f>IF(OR(TRIM($B306)="",$G306=""),"",IF(OR(ISNUMBER(SEARCH(_xlfn.CONCAT(CHAR(96),CHAR(34)),$G306)),ISNUMBER(SEARCH(_xlfn.CONCAT(CHAR(34),CHAR(39)),$G306))),_xlfn.CONCAT("* REVIEW REQUIRED: compound-quote delimiter in Universe on Sheet 1 row ",306,"; edit the input before running."),_xlfn.CONCAT("char ",TRIM($B306),"[doc_universe] ",CHAR(96),CHAR(34),SUBSTITUTE(SUBSTITUTE(SUBSTITUTE(SUBSTITUTE(SUBSTITUTE(SUBSTITUTE($G306,CHAR(13)," "),CHAR(10)," "),CHAR(9)," "),CHAR(92),_xlfn.CONCAT(CHAR(92),CHAR(92))),"$",_xlfn.CONCAT(CHAR(92),"$")),CHAR(96),_xlfn.CONCAT(CHAR(92),CHAR(96))),CHAR(34),CHAR(39))))</f>
        <v/>
      </c>
      <c r="R306" s="5" t="str">
        <f>IF(OR(TRIM($B306)="",$H306=""),"",IF(OR(ISNUMBER(SEARCH(_xlfn.CONCAT(CHAR(96),CHAR(34)),$H306)),ISNUMBER(SEARCH(_xlfn.CONCAT(CHAR(34),CHAR(39)),$H306))),_xlfn.CONCAT("* REVIEW REQUIRED: compound-quote delimiter in Source on Sheet 1 row ",306,"; edit the input before running."),_xlfn.CONCAT("char ",TRIM($B306),"[doc_source] ",CHAR(96),CHAR(34),SUBSTITUTE(SUBSTITUTE(SUBSTITUTE(SUBSTITUTE(SUBSTITUTE(SUBSTITUTE($H306,CHAR(13)," "),CHAR(10)," "),CHAR(9)," "),CHAR(92),_xlfn.CONCAT(CHAR(92),CHAR(92))),"$",_xlfn.CONCAT(CHAR(92),"$")),CHAR(96),_xlfn.CONCAT(CHAR(92),CHAR(96))),CHAR(34),CHAR(39))))</f>
        <v/>
      </c>
      <c r="S306" s="5" t="str">
        <f>IF(OR(TRIM($B306)="",$I306=""),"",IF(OR(ISNUMBER(SEARCH(_xlfn.CONCAT(CHAR(96),CHAR(34)),$I306)),ISNUMBER(SEARCH(_xlfn.CONCAT(CHAR(34),CHAR(39)),$I306))),_xlfn.CONCAT("* REVIEW REQUIRED: compound-quote delimiter in Derivation on Sheet 1 row ",306,"; edit the input before running."),_xlfn.CONCAT("char ",TRIM($B306),"[doc_derivation] ",CHAR(96),CHAR(34),SUBSTITUTE(SUBSTITUTE(SUBSTITUTE(SUBSTITUTE(SUBSTITUTE(SUBSTITUTE($I306,CHAR(13)," "),CHAR(10)," "),CHAR(9)," "),CHAR(92),_xlfn.CONCAT(CHAR(92),CHAR(92))),"$",_xlfn.CONCAT(CHAR(92),"$")),CHAR(96),_xlfn.CONCAT(CHAR(92),CHAR(96))),CHAR(34),CHAR(39))))</f>
        <v/>
      </c>
      <c r="T306" s="5" t="str">
        <f>IF(OR(TRIM($B306)="",$J306=""),"",IF(OR(ISNUMBER(SEARCH(_xlfn.CONCAT(CHAR(96),CHAR(34)),$J306)),ISNUMBER(SEARCH(_xlfn.CONCAT(CHAR(34),CHAR(39)),$J306))),_xlfn.CONCAT("* REVIEW REQUIRED: compound-quote delimiter in Notes on Sheet 1 row ",306,"; edit the input before running."),_xlfn.CONCAT("char ",TRIM($B306),"[doc_notes] ",CHAR(96),CHAR(34),SUBSTITUTE(SUBSTITUTE(SUBSTITUTE(SUBSTITUTE(SUBSTITUTE(SUBSTITUTE($J306,CHAR(13)," "),CHAR(10)," "),CHAR(9)," "),CHAR(92),_xlfn.CONCAT(CHAR(92),CHAR(92))),"$",_xlfn.CONCAT(CHAR(92),"$")),CHAR(96),_xlfn.CONCAT(CHAR(92),CHAR(96))),CHAR(34),CHAR(39))))</f>
        <v/>
      </c>
      <c r="U306" s="5">
        <f t="shared" si="9"/>
        <v>0</v>
      </c>
    </row>
    <row r="307" spans="3:21" ht="30" customHeight="1" x14ac:dyDescent="0.2">
      <c r="C307" s="4"/>
      <c r="K307" s="5">
        <f t="shared" si="8"/>
        <v>0</v>
      </c>
      <c r="L307" s="5" t="str">
        <f>IF(OR(TRIM($B307)="",$A307=""),"",IF(OR(ISNUMBER(SEARCH(_xlfn.CONCAT(CHAR(96),CHAR(34)),$A307)),ISNUMBER(SEARCH(_xlfn.CONCAT(CHAR(34),CHAR(39)),$A307))),_xlfn.CONCAT("* REVIEW REQUIRED: compound-quote delimiter in Codebook Section on Sheet 1 row ",307,"; edit the input before running."),_xlfn.CONCAT("char ",TRIM($B307),"[doc_section] ",CHAR(96),CHAR(34),SUBSTITUTE(SUBSTITUTE(SUBSTITUTE(SUBSTITUTE(SUBSTITUTE(SUBSTITUTE($A307,CHAR(13)," "),CHAR(10)," "),CHAR(9)," "),CHAR(92),_xlfn.CONCAT(CHAR(92),CHAR(92))),"$",_xlfn.CONCAT(CHAR(92),"$")),CHAR(96),_xlfn.CONCAT(CHAR(92),CHAR(96))),CHAR(34),CHAR(39))))</f>
        <v/>
      </c>
      <c r="M307" s="5" t="str">
        <f>IF(OR(TRIM($B307)="",$C307=""),"",IF(IFERROR(MATCH(TRIM($C307),{"Quantitative","Continuous","Discrete","Categorical","Nominal","Ordinal","Identifier"},0),0)=0,_xlfn.CONCAT("* REVIEW REQUIRED: invalid Variable Type on Sheet 1 row ",307,"."),_xlfn.CONCAT("char ",TRIM($B307),"[doc_vartype] ",CHAR(96),CHAR(34),SUBSTITUTE(SUBSTITUTE(SUBSTITUTE(SUBSTITUTE(SUBSTITUTE(SUBSTITUTE(LOWER(TRIM($C307)),CHAR(13)," "),CHAR(10)," "),CHAR(9)," "),CHAR(92),_xlfn.CONCAT(CHAR(92),CHAR(92))),"$",_xlfn.CONCAT(CHAR(92),"$")),CHAR(96),_xlfn.CONCAT(CHAR(92),CHAR(96))),CHAR(34),CHAR(39))))</f>
        <v/>
      </c>
      <c r="N307" s="5" t="str">
        <f>IF(OR(TRIM($B307)="",$D307=""),"",IF(OR(ISNUMBER(SEARCH(_xlfn.CONCAT(CHAR(96),CHAR(34)),$D307)),ISNUMBER(SEARCH(_xlfn.CONCAT(CHAR(34),CHAR(39)),$D307))),_xlfn.CONCAT("* REVIEW REQUIRED: compound-quote delimiter in Item Number on Sheet 1 row ",307,"; edit the input before running."),_xlfn.CONCAT("char ",TRIM($B307),"[doc_itemnum] ",CHAR(96),CHAR(34),SUBSTITUTE(SUBSTITUTE(SUBSTITUTE(SUBSTITUTE(SUBSTITUTE(SUBSTITUTE($D307,CHAR(13)," "),CHAR(10)," "),CHAR(9)," "),CHAR(92),_xlfn.CONCAT(CHAR(92),CHAR(92))),"$",_xlfn.CONCAT(CHAR(92),"$")),CHAR(96),_xlfn.CONCAT(CHAR(92),CHAR(96))),CHAR(34),CHAR(39))))</f>
        <v/>
      </c>
      <c r="O307" s="5" t="str">
        <f>IF(OR(TRIM($B307)="",$E307=""),"",IF(OR(ISNUMBER(SEARCH(_xlfn.CONCAT(CHAR(96),CHAR(34)),$E307)),ISNUMBER(SEARCH(_xlfn.CONCAT(CHAR(34),CHAR(39)),$E307))),_xlfn.CONCAT("* REVIEW REQUIRED: compound-quote delimiter in Question Wording on Sheet 1 row ",307,"; edit the input before running."),_xlfn.CONCAT("char ",TRIM($B307),"[doc_question] ",CHAR(96),CHAR(34),SUBSTITUTE(SUBSTITUTE(SUBSTITUTE(SUBSTITUTE(SUBSTITUTE(SUBSTITUTE($E307,CHAR(13)," "),CHAR(10)," "),CHAR(9)," "),CHAR(92),_xlfn.CONCAT(CHAR(92),CHAR(92))),"$",_xlfn.CONCAT(CHAR(92),"$")),CHAR(96),_xlfn.CONCAT(CHAR(92),CHAR(96))),CHAR(34),CHAR(39))))</f>
        <v/>
      </c>
      <c r="P307" s="5" t="str">
        <f>IF(OR(TRIM($B307)="",$F307=""),"",IF(OR(ISNUMBER(SEARCH(_xlfn.CONCAT(CHAR(96),CHAR(34)),$F307)),ISNUMBER(SEARCH(_xlfn.CONCAT(CHAR(34),CHAR(39)),$F307))),_xlfn.CONCAT("* REVIEW REQUIRED: compound-quote delimiter in Units on Sheet 1 row ",307,"; edit the input before running."),_xlfn.CONCAT("char ",TRIM($B307),"[doc_units] ",CHAR(96),CHAR(34),SUBSTITUTE(SUBSTITUTE(SUBSTITUTE(SUBSTITUTE(SUBSTITUTE(SUBSTITUTE($F307,CHAR(13)," "),CHAR(10)," "),CHAR(9)," "),CHAR(92),_xlfn.CONCAT(CHAR(92),CHAR(92))),"$",_xlfn.CONCAT(CHAR(92),"$")),CHAR(96),_xlfn.CONCAT(CHAR(92),CHAR(96))),CHAR(34),CHAR(39))))</f>
        <v/>
      </c>
      <c r="Q307" s="5" t="str">
        <f>IF(OR(TRIM($B307)="",$G307=""),"",IF(OR(ISNUMBER(SEARCH(_xlfn.CONCAT(CHAR(96),CHAR(34)),$G307)),ISNUMBER(SEARCH(_xlfn.CONCAT(CHAR(34),CHAR(39)),$G307))),_xlfn.CONCAT("* REVIEW REQUIRED: compound-quote delimiter in Universe on Sheet 1 row ",307,"; edit the input before running."),_xlfn.CONCAT("char ",TRIM($B307),"[doc_universe] ",CHAR(96),CHAR(34),SUBSTITUTE(SUBSTITUTE(SUBSTITUTE(SUBSTITUTE(SUBSTITUTE(SUBSTITUTE($G307,CHAR(13)," "),CHAR(10)," "),CHAR(9)," "),CHAR(92),_xlfn.CONCAT(CHAR(92),CHAR(92))),"$",_xlfn.CONCAT(CHAR(92),"$")),CHAR(96),_xlfn.CONCAT(CHAR(92),CHAR(96))),CHAR(34),CHAR(39))))</f>
        <v/>
      </c>
      <c r="R307" s="5" t="str">
        <f>IF(OR(TRIM($B307)="",$H307=""),"",IF(OR(ISNUMBER(SEARCH(_xlfn.CONCAT(CHAR(96),CHAR(34)),$H307)),ISNUMBER(SEARCH(_xlfn.CONCAT(CHAR(34),CHAR(39)),$H307))),_xlfn.CONCAT("* REVIEW REQUIRED: compound-quote delimiter in Source on Sheet 1 row ",307,"; edit the input before running."),_xlfn.CONCAT("char ",TRIM($B307),"[doc_source] ",CHAR(96),CHAR(34),SUBSTITUTE(SUBSTITUTE(SUBSTITUTE(SUBSTITUTE(SUBSTITUTE(SUBSTITUTE($H307,CHAR(13)," "),CHAR(10)," "),CHAR(9)," "),CHAR(92),_xlfn.CONCAT(CHAR(92),CHAR(92))),"$",_xlfn.CONCAT(CHAR(92),"$")),CHAR(96),_xlfn.CONCAT(CHAR(92),CHAR(96))),CHAR(34),CHAR(39))))</f>
        <v/>
      </c>
      <c r="S307" s="5" t="str">
        <f>IF(OR(TRIM($B307)="",$I307=""),"",IF(OR(ISNUMBER(SEARCH(_xlfn.CONCAT(CHAR(96),CHAR(34)),$I307)),ISNUMBER(SEARCH(_xlfn.CONCAT(CHAR(34),CHAR(39)),$I307))),_xlfn.CONCAT("* REVIEW REQUIRED: compound-quote delimiter in Derivation on Sheet 1 row ",307,"; edit the input before running."),_xlfn.CONCAT("char ",TRIM($B307),"[doc_derivation] ",CHAR(96),CHAR(34),SUBSTITUTE(SUBSTITUTE(SUBSTITUTE(SUBSTITUTE(SUBSTITUTE(SUBSTITUTE($I307,CHAR(13)," "),CHAR(10)," "),CHAR(9)," "),CHAR(92),_xlfn.CONCAT(CHAR(92),CHAR(92))),"$",_xlfn.CONCAT(CHAR(92),"$")),CHAR(96),_xlfn.CONCAT(CHAR(92),CHAR(96))),CHAR(34),CHAR(39))))</f>
        <v/>
      </c>
      <c r="T307" s="5" t="str">
        <f>IF(OR(TRIM($B307)="",$J307=""),"",IF(OR(ISNUMBER(SEARCH(_xlfn.CONCAT(CHAR(96),CHAR(34)),$J307)),ISNUMBER(SEARCH(_xlfn.CONCAT(CHAR(34),CHAR(39)),$J307))),_xlfn.CONCAT("* REVIEW REQUIRED: compound-quote delimiter in Notes on Sheet 1 row ",307,"; edit the input before running."),_xlfn.CONCAT("char ",TRIM($B307),"[doc_notes] ",CHAR(96),CHAR(34),SUBSTITUTE(SUBSTITUTE(SUBSTITUTE(SUBSTITUTE(SUBSTITUTE(SUBSTITUTE($J307,CHAR(13)," "),CHAR(10)," "),CHAR(9)," "),CHAR(92),_xlfn.CONCAT(CHAR(92),CHAR(92))),"$",_xlfn.CONCAT(CHAR(92),"$")),CHAR(96),_xlfn.CONCAT(CHAR(92),CHAR(96))),CHAR(34),CHAR(39))))</f>
        <v/>
      </c>
      <c r="U307" s="5">
        <f t="shared" si="9"/>
        <v>0</v>
      </c>
    </row>
    <row r="308" spans="3:21" ht="30" customHeight="1" x14ac:dyDescent="0.2">
      <c r="C308" s="4"/>
      <c r="K308" s="5">
        <f t="shared" si="8"/>
        <v>0</v>
      </c>
      <c r="L308" s="5" t="str">
        <f>IF(OR(TRIM($B308)="",$A308=""),"",IF(OR(ISNUMBER(SEARCH(_xlfn.CONCAT(CHAR(96),CHAR(34)),$A308)),ISNUMBER(SEARCH(_xlfn.CONCAT(CHAR(34),CHAR(39)),$A308))),_xlfn.CONCAT("* REVIEW REQUIRED: compound-quote delimiter in Codebook Section on Sheet 1 row ",308,"; edit the input before running."),_xlfn.CONCAT("char ",TRIM($B308),"[doc_section] ",CHAR(96),CHAR(34),SUBSTITUTE(SUBSTITUTE(SUBSTITUTE(SUBSTITUTE(SUBSTITUTE(SUBSTITUTE($A308,CHAR(13)," "),CHAR(10)," "),CHAR(9)," "),CHAR(92),_xlfn.CONCAT(CHAR(92),CHAR(92))),"$",_xlfn.CONCAT(CHAR(92),"$")),CHAR(96),_xlfn.CONCAT(CHAR(92),CHAR(96))),CHAR(34),CHAR(39))))</f>
        <v/>
      </c>
      <c r="M308" s="5" t="str">
        <f>IF(OR(TRIM($B308)="",$C308=""),"",IF(IFERROR(MATCH(TRIM($C308),{"Quantitative","Continuous","Discrete","Categorical","Nominal","Ordinal","Identifier"},0),0)=0,_xlfn.CONCAT("* REVIEW REQUIRED: invalid Variable Type on Sheet 1 row ",308,"."),_xlfn.CONCAT("char ",TRIM($B308),"[doc_vartype] ",CHAR(96),CHAR(34),SUBSTITUTE(SUBSTITUTE(SUBSTITUTE(SUBSTITUTE(SUBSTITUTE(SUBSTITUTE(LOWER(TRIM($C308)),CHAR(13)," "),CHAR(10)," "),CHAR(9)," "),CHAR(92),_xlfn.CONCAT(CHAR(92),CHAR(92))),"$",_xlfn.CONCAT(CHAR(92),"$")),CHAR(96),_xlfn.CONCAT(CHAR(92),CHAR(96))),CHAR(34),CHAR(39))))</f>
        <v/>
      </c>
      <c r="N308" s="5" t="str">
        <f>IF(OR(TRIM($B308)="",$D308=""),"",IF(OR(ISNUMBER(SEARCH(_xlfn.CONCAT(CHAR(96),CHAR(34)),$D308)),ISNUMBER(SEARCH(_xlfn.CONCAT(CHAR(34),CHAR(39)),$D308))),_xlfn.CONCAT("* REVIEW REQUIRED: compound-quote delimiter in Item Number on Sheet 1 row ",308,"; edit the input before running."),_xlfn.CONCAT("char ",TRIM($B308),"[doc_itemnum] ",CHAR(96),CHAR(34),SUBSTITUTE(SUBSTITUTE(SUBSTITUTE(SUBSTITUTE(SUBSTITUTE(SUBSTITUTE($D308,CHAR(13)," "),CHAR(10)," "),CHAR(9)," "),CHAR(92),_xlfn.CONCAT(CHAR(92),CHAR(92))),"$",_xlfn.CONCAT(CHAR(92),"$")),CHAR(96),_xlfn.CONCAT(CHAR(92),CHAR(96))),CHAR(34),CHAR(39))))</f>
        <v/>
      </c>
      <c r="O308" s="5" t="str">
        <f>IF(OR(TRIM($B308)="",$E308=""),"",IF(OR(ISNUMBER(SEARCH(_xlfn.CONCAT(CHAR(96),CHAR(34)),$E308)),ISNUMBER(SEARCH(_xlfn.CONCAT(CHAR(34),CHAR(39)),$E308))),_xlfn.CONCAT("* REVIEW REQUIRED: compound-quote delimiter in Question Wording on Sheet 1 row ",308,"; edit the input before running."),_xlfn.CONCAT("char ",TRIM($B308),"[doc_question] ",CHAR(96),CHAR(34),SUBSTITUTE(SUBSTITUTE(SUBSTITUTE(SUBSTITUTE(SUBSTITUTE(SUBSTITUTE($E308,CHAR(13)," "),CHAR(10)," "),CHAR(9)," "),CHAR(92),_xlfn.CONCAT(CHAR(92),CHAR(92))),"$",_xlfn.CONCAT(CHAR(92),"$")),CHAR(96),_xlfn.CONCAT(CHAR(92),CHAR(96))),CHAR(34),CHAR(39))))</f>
        <v/>
      </c>
      <c r="P308" s="5" t="str">
        <f>IF(OR(TRIM($B308)="",$F308=""),"",IF(OR(ISNUMBER(SEARCH(_xlfn.CONCAT(CHAR(96),CHAR(34)),$F308)),ISNUMBER(SEARCH(_xlfn.CONCAT(CHAR(34),CHAR(39)),$F308))),_xlfn.CONCAT("* REVIEW REQUIRED: compound-quote delimiter in Units on Sheet 1 row ",308,"; edit the input before running."),_xlfn.CONCAT("char ",TRIM($B308),"[doc_units] ",CHAR(96),CHAR(34),SUBSTITUTE(SUBSTITUTE(SUBSTITUTE(SUBSTITUTE(SUBSTITUTE(SUBSTITUTE($F308,CHAR(13)," "),CHAR(10)," "),CHAR(9)," "),CHAR(92),_xlfn.CONCAT(CHAR(92),CHAR(92))),"$",_xlfn.CONCAT(CHAR(92),"$")),CHAR(96),_xlfn.CONCAT(CHAR(92),CHAR(96))),CHAR(34),CHAR(39))))</f>
        <v/>
      </c>
      <c r="Q308" s="5" t="str">
        <f>IF(OR(TRIM($B308)="",$G308=""),"",IF(OR(ISNUMBER(SEARCH(_xlfn.CONCAT(CHAR(96),CHAR(34)),$G308)),ISNUMBER(SEARCH(_xlfn.CONCAT(CHAR(34),CHAR(39)),$G308))),_xlfn.CONCAT("* REVIEW REQUIRED: compound-quote delimiter in Universe on Sheet 1 row ",308,"; edit the input before running."),_xlfn.CONCAT("char ",TRIM($B308),"[doc_universe] ",CHAR(96),CHAR(34),SUBSTITUTE(SUBSTITUTE(SUBSTITUTE(SUBSTITUTE(SUBSTITUTE(SUBSTITUTE($G308,CHAR(13)," "),CHAR(10)," "),CHAR(9)," "),CHAR(92),_xlfn.CONCAT(CHAR(92),CHAR(92))),"$",_xlfn.CONCAT(CHAR(92),"$")),CHAR(96),_xlfn.CONCAT(CHAR(92),CHAR(96))),CHAR(34),CHAR(39))))</f>
        <v/>
      </c>
      <c r="R308" s="5" t="str">
        <f>IF(OR(TRIM($B308)="",$H308=""),"",IF(OR(ISNUMBER(SEARCH(_xlfn.CONCAT(CHAR(96),CHAR(34)),$H308)),ISNUMBER(SEARCH(_xlfn.CONCAT(CHAR(34),CHAR(39)),$H308))),_xlfn.CONCAT("* REVIEW REQUIRED: compound-quote delimiter in Source on Sheet 1 row ",308,"; edit the input before running."),_xlfn.CONCAT("char ",TRIM($B308),"[doc_source] ",CHAR(96),CHAR(34),SUBSTITUTE(SUBSTITUTE(SUBSTITUTE(SUBSTITUTE(SUBSTITUTE(SUBSTITUTE($H308,CHAR(13)," "),CHAR(10)," "),CHAR(9)," "),CHAR(92),_xlfn.CONCAT(CHAR(92),CHAR(92))),"$",_xlfn.CONCAT(CHAR(92),"$")),CHAR(96),_xlfn.CONCAT(CHAR(92),CHAR(96))),CHAR(34),CHAR(39))))</f>
        <v/>
      </c>
      <c r="S308" s="5" t="str">
        <f>IF(OR(TRIM($B308)="",$I308=""),"",IF(OR(ISNUMBER(SEARCH(_xlfn.CONCAT(CHAR(96),CHAR(34)),$I308)),ISNUMBER(SEARCH(_xlfn.CONCAT(CHAR(34),CHAR(39)),$I308))),_xlfn.CONCAT("* REVIEW REQUIRED: compound-quote delimiter in Derivation on Sheet 1 row ",308,"; edit the input before running."),_xlfn.CONCAT("char ",TRIM($B308),"[doc_derivation] ",CHAR(96),CHAR(34),SUBSTITUTE(SUBSTITUTE(SUBSTITUTE(SUBSTITUTE(SUBSTITUTE(SUBSTITUTE($I308,CHAR(13)," "),CHAR(10)," "),CHAR(9)," "),CHAR(92),_xlfn.CONCAT(CHAR(92),CHAR(92))),"$",_xlfn.CONCAT(CHAR(92),"$")),CHAR(96),_xlfn.CONCAT(CHAR(92),CHAR(96))),CHAR(34),CHAR(39))))</f>
        <v/>
      </c>
      <c r="T308" s="5" t="str">
        <f>IF(OR(TRIM($B308)="",$J308=""),"",IF(OR(ISNUMBER(SEARCH(_xlfn.CONCAT(CHAR(96),CHAR(34)),$J308)),ISNUMBER(SEARCH(_xlfn.CONCAT(CHAR(34),CHAR(39)),$J308))),_xlfn.CONCAT("* REVIEW REQUIRED: compound-quote delimiter in Notes on Sheet 1 row ",308,"; edit the input before running."),_xlfn.CONCAT("char ",TRIM($B308),"[doc_notes] ",CHAR(96),CHAR(34),SUBSTITUTE(SUBSTITUTE(SUBSTITUTE(SUBSTITUTE(SUBSTITUTE(SUBSTITUTE($J308,CHAR(13)," "),CHAR(10)," "),CHAR(9)," "),CHAR(92),_xlfn.CONCAT(CHAR(92),CHAR(92))),"$",_xlfn.CONCAT(CHAR(92),"$")),CHAR(96),_xlfn.CONCAT(CHAR(92),CHAR(96))),CHAR(34),CHAR(39))))</f>
        <v/>
      </c>
      <c r="U308" s="5">
        <f t="shared" si="9"/>
        <v>0</v>
      </c>
    </row>
    <row r="309" spans="3:21" ht="30" customHeight="1" x14ac:dyDescent="0.2">
      <c r="C309" s="4"/>
      <c r="K309" s="5">
        <f t="shared" si="8"/>
        <v>0</v>
      </c>
      <c r="L309" s="5" t="str">
        <f>IF(OR(TRIM($B309)="",$A309=""),"",IF(OR(ISNUMBER(SEARCH(_xlfn.CONCAT(CHAR(96),CHAR(34)),$A309)),ISNUMBER(SEARCH(_xlfn.CONCAT(CHAR(34),CHAR(39)),$A309))),_xlfn.CONCAT("* REVIEW REQUIRED: compound-quote delimiter in Codebook Section on Sheet 1 row ",309,"; edit the input before running."),_xlfn.CONCAT("char ",TRIM($B309),"[doc_section] ",CHAR(96),CHAR(34),SUBSTITUTE(SUBSTITUTE(SUBSTITUTE(SUBSTITUTE(SUBSTITUTE(SUBSTITUTE($A309,CHAR(13)," "),CHAR(10)," "),CHAR(9)," "),CHAR(92),_xlfn.CONCAT(CHAR(92),CHAR(92))),"$",_xlfn.CONCAT(CHAR(92),"$")),CHAR(96),_xlfn.CONCAT(CHAR(92),CHAR(96))),CHAR(34),CHAR(39))))</f>
        <v/>
      </c>
      <c r="M309" s="5" t="str">
        <f>IF(OR(TRIM($B309)="",$C309=""),"",IF(IFERROR(MATCH(TRIM($C309),{"Quantitative","Continuous","Discrete","Categorical","Nominal","Ordinal","Identifier"},0),0)=0,_xlfn.CONCAT("* REVIEW REQUIRED: invalid Variable Type on Sheet 1 row ",309,"."),_xlfn.CONCAT("char ",TRIM($B309),"[doc_vartype] ",CHAR(96),CHAR(34),SUBSTITUTE(SUBSTITUTE(SUBSTITUTE(SUBSTITUTE(SUBSTITUTE(SUBSTITUTE(LOWER(TRIM($C309)),CHAR(13)," "),CHAR(10)," "),CHAR(9)," "),CHAR(92),_xlfn.CONCAT(CHAR(92),CHAR(92))),"$",_xlfn.CONCAT(CHAR(92),"$")),CHAR(96),_xlfn.CONCAT(CHAR(92),CHAR(96))),CHAR(34),CHAR(39))))</f>
        <v/>
      </c>
      <c r="N309" s="5" t="str">
        <f>IF(OR(TRIM($B309)="",$D309=""),"",IF(OR(ISNUMBER(SEARCH(_xlfn.CONCAT(CHAR(96),CHAR(34)),$D309)),ISNUMBER(SEARCH(_xlfn.CONCAT(CHAR(34),CHAR(39)),$D309))),_xlfn.CONCAT("* REVIEW REQUIRED: compound-quote delimiter in Item Number on Sheet 1 row ",309,"; edit the input before running."),_xlfn.CONCAT("char ",TRIM($B309),"[doc_itemnum] ",CHAR(96),CHAR(34),SUBSTITUTE(SUBSTITUTE(SUBSTITUTE(SUBSTITUTE(SUBSTITUTE(SUBSTITUTE($D309,CHAR(13)," "),CHAR(10)," "),CHAR(9)," "),CHAR(92),_xlfn.CONCAT(CHAR(92),CHAR(92))),"$",_xlfn.CONCAT(CHAR(92),"$")),CHAR(96),_xlfn.CONCAT(CHAR(92),CHAR(96))),CHAR(34),CHAR(39))))</f>
        <v/>
      </c>
      <c r="O309" s="5" t="str">
        <f>IF(OR(TRIM($B309)="",$E309=""),"",IF(OR(ISNUMBER(SEARCH(_xlfn.CONCAT(CHAR(96),CHAR(34)),$E309)),ISNUMBER(SEARCH(_xlfn.CONCAT(CHAR(34),CHAR(39)),$E309))),_xlfn.CONCAT("* REVIEW REQUIRED: compound-quote delimiter in Question Wording on Sheet 1 row ",309,"; edit the input before running."),_xlfn.CONCAT("char ",TRIM($B309),"[doc_question] ",CHAR(96),CHAR(34),SUBSTITUTE(SUBSTITUTE(SUBSTITUTE(SUBSTITUTE(SUBSTITUTE(SUBSTITUTE($E309,CHAR(13)," "),CHAR(10)," "),CHAR(9)," "),CHAR(92),_xlfn.CONCAT(CHAR(92),CHAR(92))),"$",_xlfn.CONCAT(CHAR(92),"$")),CHAR(96),_xlfn.CONCAT(CHAR(92),CHAR(96))),CHAR(34),CHAR(39))))</f>
        <v/>
      </c>
      <c r="P309" s="5" t="str">
        <f>IF(OR(TRIM($B309)="",$F309=""),"",IF(OR(ISNUMBER(SEARCH(_xlfn.CONCAT(CHAR(96),CHAR(34)),$F309)),ISNUMBER(SEARCH(_xlfn.CONCAT(CHAR(34),CHAR(39)),$F309))),_xlfn.CONCAT("* REVIEW REQUIRED: compound-quote delimiter in Units on Sheet 1 row ",309,"; edit the input before running."),_xlfn.CONCAT("char ",TRIM($B309),"[doc_units] ",CHAR(96),CHAR(34),SUBSTITUTE(SUBSTITUTE(SUBSTITUTE(SUBSTITUTE(SUBSTITUTE(SUBSTITUTE($F309,CHAR(13)," "),CHAR(10)," "),CHAR(9)," "),CHAR(92),_xlfn.CONCAT(CHAR(92),CHAR(92))),"$",_xlfn.CONCAT(CHAR(92),"$")),CHAR(96),_xlfn.CONCAT(CHAR(92),CHAR(96))),CHAR(34),CHAR(39))))</f>
        <v/>
      </c>
      <c r="Q309" s="5" t="str">
        <f>IF(OR(TRIM($B309)="",$G309=""),"",IF(OR(ISNUMBER(SEARCH(_xlfn.CONCAT(CHAR(96),CHAR(34)),$G309)),ISNUMBER(SEARCH(_xlfn.CONCAT(CHAR(34),CHAR(39)),$G309))),_xlfn.CONCAT("* REVIEW REQUIRED: compound-quote delimiter in Universe on Sheet 1 row ",309,"; edit the input before running."),_xlfn.CONCAT("char ",TRIM($B309),"[doc_universe] ",CHAR(96),CHAR(34),SUBSTITUTE(SUBSTITUTE(SUBSTITUTE(SUBSTITUTE(SUBSTITUTE(SUBSTITUTE($G309,CHAR(13)," "),CHAR(10)," "),CHAR(9)," "),CHAR(92),_xlfn.CONCAT(CHAR(92),CHAR(92))),"$",_xlfn.CONCAT(CHAR(92),"$")),CHAR(96),_xlfn.CONCAT(CHAR(92),CHAR(96))),CHAR(34),CHAR(39))))</f>
        <v/>
      </c>
      <c r="R309" s="5" t="str">
        <f>IF(OR(TRIM($B309)="",$H309=""),"",IF(OR(ISNUMBER(SEARCH(_xlfn.CONCAT(CHAR(96),CHAR(34)),$H309)),ISNUMBER(SEARCH(_xlfn.CONCAT(CHAR(34),CHAR(39)),$H309))),_xlfn.CONCAT("* REVIEW REQUIRED: compound-quote delimiter in Source on Sheet 1 row ",309,"; edit the input before running."),_xlfn.CONCAT("char ",TRIM($B309),"[doc_source] ",CHAR(96),CHAR(34),SUBSTITUTE(SUBSTITUTE(SUBSTITUTE(SUBSTITUTE(SUBSTITUTE(SUBSTITUTE($H309,CHAR(13)," "),CHAR(10)," "),CHAR(9)," "),CHAR(92),_xlfn.CONCAT(CHAR(92),CHAR(92))),"$",_xlfn.CONCAT(CHAR(92),"$")),CHAR(96),_xlfn.CONCAT(CHAR(92),CHAR(96))),CHAR(34),CHAR(39))))</f>
        <v/>
      </c>
      <c r="S309" s="5" t="str">
        <f>IF(OR(TRIM($B309)="",$I309=""),"",IF(OR(ISNUMBER(SEARCH(_xlfn.CONCAT(CHAR(96),CHAR(34)),$I309)),ISNUMBER(SEARCH(_xlfn.CONCAT(CHAR(34),CHAR(39)),$I309))),_xlfn.CONCAT("* REVIEW REQUIRED: compound-quote delimiter in Derivation on Sheet 1 row ",309,"; edit the input before running."),_xlfn.CONCAT("char ",TRIM($B309),"[doc_derivation] ",CHAR(96),CHAR(34),SUBSTITUTE(SUBSTITUTE(SUBSTITUTE(SUBSTITUTE(SUBSTITUTE(SUBSTITUTE($I309,CHAR(13)," "),CHAR(10)," "),CHAR(9)," "),CHAR(92),_xlfn.CONCAT(CHAR(92),CHAR(92))),"$",_xlfn.CONCAT(CHAR(92),"$")),CHAR(96),_xlfn.CONCAT(CHAR(92),CHAR(96))),CHAR(34),CHAR(39))))</f>
        <v/>
      </c>
      <c r="T309" s="5" t="str">
        <f>IF(OR(TRIM($B309)="",$J309=""),"",IF(OR(ISNUMBER(SEARCH(_xlfn.CONCAT(CHAR(96),CHAR(34)),$J309)),ISNUMBER(SEARCH(_xlfn.CONCAT(CHAR(34),CHAR(39)),$J309))),_xlfn.CONCAT("* REVIEW REQUIRED: compound-quote delimiter in Notes on Sheet 1 row ",309,"; edit the input before running."),_xlfn.CONCAT("char ",TRIM($B309),"[doc_notes] ",CHAR(96),CHAR(34),SUBSTITUTE(SUBSTITUTE(SUBSTITUTE(SUBSTITUTE(SUBSTITUTE(SUBSTITUTE($J309,CHAR(13)," "),CHAR(10)," "),CHAR(9)," "),CHAR(92),_xlfn.CONCAT(CHAR(92),CHAR(92))),"$",_xlfn.CONCAT(CHAR(92),"$")),CHAR(96),_xlfn.CONCAT(CHAR(92),CHAR(96))),CHAR(34),CHAR(39))))</f>
        <v/>
      </c>
      <c r="U309" s="5">
        <f t="shared" si="9"/>
        <v>0</v>
      </c>
    </row>
    <row r="310" spans="3:21" ht="30" customHeight="1" x14ac:dyDescent="0.2">
      <c r="C310" s="4"/>
      <c r="K310" s="5">
        <f t="shared" si="8"/>
        <v>0</v>
      </c>
      <c r="L310" s="5" t="str">
        <f>IF(OR(TRIM($B310)="",$A310=""),"",IF(OR(ISNUMBER(SEARCH(_xlfn.CONCAT(CHAR(96),CHAR(34)),$A310)),ISNUMBER(SEARCH(_xlfn.CONCAT(CHAR(34),CHAR(39)),$A310))),_xlfn.CONCAT("* REVIEW REQUIRED: compound-quote delimiter in Codebook Section on Sheet 1 row ",310,"; edit the input before running."),_xlfn.CONCAT("char ",TRIM($B310),"[doc_section] ",CHAR(96),CHAR(34),SUBSTITUTE(SUBSTITUTE(SUBSTITUTE(SUBSTITUTE(SUBSTITUTE(SUBSTITUTE($A310,CHAR(13)," "),CHAR(10)," "),CHAR(9)," "),CHAR(92),_xlfn.CONCAT(CHAR(92),CHAR(92))),"$",_xlfn.CONCAT(CHAR(92),"$")),CHAR(96),_xlfn.CONCAT(CHAR(92),CHAR(96))),CHAR(34),CHAR(39))))</f>
        <v/>
      </c>
      <c r="M310" s="5" t="str">
        <f>IF(OR(TRIM($B310)="",$C310=""),"",IF(IFERROR(MATCH(TRIM($C310),{"Quantitative","Continuous","Discrete","Categorical","Nominal","Ordinal","Identifier"},0),0)=0,_xlfn.CONCAT("* REVIEW REQUIRED: invalid Variable Type on Sheet 1 row ",310,"."),_xlfn.CONCAT("char ",TRIM($B310),"[doc_vartype] ",CHAR(96),CHAR(34),SUBSTITUTE(SUBSTITUTE(SUBSTITUTE(SUBSTITUTE(SUBSTITUTE(SUBSTITUTE(LOWER(TRIM($C310)),CHAR(13)," "),CHAR(10)," "),CHAR(9)," "),CHAR(92),_xlfn.CONCAT(CHAR(92),CHAR(92))),"$",_xlfn.CONCAT(CHAR(92),"$")),CHAR(96),_xlfn.CONCAT(CHAR(92),CHAR(96))),CHAR(34),CHAR(39))))</f>
        <v/>
      </c>
      <c r="N310" s="5" t="str">
        <f>IF(OR(TRIM($B310)="",$D310=""),"",IF(OR(ISNUMBER(SEARCH(_xlfn.CONCAT(CHAR(96),CHAR(34)),$D310)),ISNUMBER(SEARCH(_xlfn.CONCAT(CHAR(34),CHAR(39)),$D310))),_xlfn.CONCAT("* REVIEW REQUIRED: compound-quote delimiter in Item Number on Sheet 1 row ",310,"; edit the input before running."),_xlfn.CONCAT("char ",TRIM($B310),"[doc_itemnum] ",CHAR(96),CHAR(34),SUBSTITUTE(SUBSTITUTE(SUBSTITUTE(SUBSTITUTE(SUBSTITUTE(SUBSTITUTE($D310,CHAR(13)," "),CHAR(10)," "),CHAR(9)," "),CHAR(92),_xlfn.CONCAT(CHAR(92),CHAR(92))),"$",_xlfn.CONCAT(CHAR(92),"$")),CHAR(96),_xlfn.CONCAT(CHAR(92),CHAR(96))),CHAR(34),CHAR(39))))</f>
        <v/>
      </c>
      <c r="O310" s="5" t="str">
        <f>IF(OR(TRIM($B310)="",$E310=""),"",IF(OR(ISNUMBER(SEARCH(_xlfn.CONCAT(CHAR(96),CHAR(34)),$E310)),ISNUMBER(SEARCH(_xlfn.CONCAT(CHAR(34),CHAR(39)),$E310))),_xlfn.CONCAT("* REVIEW REQUIRED: compound-quote delimiter in Question Wording on Sheet 1 row ",310,"; edit the input before running."),_xlfn.CONCAT("char ",TRIM($B310),"[doc_question] ",CHAR(96),CHAR(34),SUBSTITUTE(SUBSTITUTE(SUBSTITUTE(SUBSTITUTE(SUBSTITUTE(SUBSTITUTE($E310,CHAR(13)," "),CHAR(10)," "),CHAR(9)," "),CHAR(92),_xlfn.CONCAT(CHAR(92),CHAR(92))),"$",_xlfn.CONCAT(CHAR(92),"$")),CHAR(96),_xlfn.CONCAT(CHAR(92),CHAR(96))),CHAR(34),CHAR(39))))</f>
        <v/>
      </c>
      <c r="P310" s="5" t="str">
        <f>IF(OR(TRIM($B310)="",$F310=""),"",IF(OR(ISNUMBER(SEARCH(_xlfn.CONCAT(CHAR(96),CHAR(34)),$F310)),ISNUMBER(SEARCH(_xlfn.CONCAT(CHAR(34),CHAR(39)),$F310))),_xlfn.CONCAT("* REVIEW REQUIRED: compound-quote delimiter in Units on Sheet 1 row ",310,"; edit the input before running."),_xlfn.CONCAT("char ",TRIM($B310),"[doc_units] ",CHAR(96),CHAR(34),SUBSTITUTE(SUBSTITUTE(SUBSTITUTE(SUBSTITUTE(SUBSTITUTE(SUBSTITUTE($F310,CHAR(13)," "),CHAR(10)," "),CHAR(9)," "),CHAR(92),_xlfn.CONCAT(CHAR(92),CHAR(92))),"$",_xlfn.CONCAT(CHAR(92),"$")),CHAR(96),_xlfn.CONCAT(CHAR(92),CHAR(96))),CHAR(34),CHAR(39))))</f>
        <v/>
      </c>
      <c r="Q310" s="5" t="str">
        <f>IF(OR(TRIM($B310)="",$G310=""),"",IF(OR(ISNUMBER(SEARCH(_xlfn.CONCAT(CHAR(96),CHAR(34)),$G310)),ISNUMBER(SEARCH(_xlfn.CONCAT(CHAR(34),CHAR(39)),$G310))),_xlfn.CONCAT("* REVIEW REQUIRED: compound-quote delimiter in Universe on Sheet 1 row ",310,"; edit the input before running."),_xlfn.CONCAT("char ",TRIM($B310),"[doc_universe] ",CHAR(96),CHAR(34),SUBSTITUTE(SUBSTITUTE(SUBSTITUTE(SUBSTITUTE(SUBSTITUTE(SUBSTITUTE($G310,CHAR(13)," "),CHAR(10)," "),CHAR(9)," "),CHAR(92),_xlfn.CONCAT(CHAR(92),CHAR(92))),"$",_xlfn.CONCAT(CHAR(92),"$")),CHAR(96),_xlfn.CONCAT(CHAR(92),CHAR(96))),CHAR(34),CHAR(39))))</f>
        <v/>
      </c>
      <c r="R310" s="5" t="str">
        <f>IF(OR(TRIM($B310)="",$H310=""),"",IF(OR(ISNUMBER(SEARCH(_xlfn.CONCAT(CHAR(96),CHAR(34)),$H310)),ISNUMBER(SEARCH(_xlfn.CONCAT(CHAR(34),CHAR(39)),$H310))),_xlfn.CONCAT("* REVIEW REQUIRED: compound-quote delimiter in Source on Sheet 1 row ",310,"; edit the input before running."),_xlfn.CONCAT("char ",TRIM($B310),"[doc_source] ",CHAR(96),CHAR(34),SUBSTITUTE(SUBSTITUTE(SUBSTITUTE(SUBSTITUTE(SUBSTITUTE(SUBSTITUTE($H310,CHAR(13)," "),CHAR(10)," "),CHAR(9)," "),CHAR(92),_xlfn.CONCAT(CHAR(92),CHAR(92))),"$",_xlfn.CONCAT(CHAR(92),"$")),CHAR(96),_xlfn.CONCAT(CHAR(92),CHAR(96))),CHAR(34),CHAR(39))))</f>
        <v/>
      </c>
      <c r="S310" s="5" t="str">
        <f>IF(OR(TRIM($B310)="",$I310=""),"",IF(OR(ISNUMBER(SEARCH(_xlfn.CONCAT(CHAR(96),CHAR(34)),$I310)),ISNUMBER(SEARCH(_xlfn.CONCAT(CHAR(34),CHAR(39)),$I310))),_xlfn.CONCAT("* REVIEW REQUIRED: compound-quote delimiter in Derivation on Sheet 1 row ",310,"; edit the input before running."),_xlfn.CONCAT("char ",TRIM($B310),"[doc_derivation] ",CHAR(96),CHAR(34),SUBSTITUTE(SUBSTITUTE(SUBSTITUTE(SUBSTITUTE(SUBSTITUTE(SUBSTITUTE($I310,CHAR(13)," "),CHAR(10)," "),CHAR(9)," "),CHAR(92),_xlfn.CONCAT(CHAR(92),CHAR(92))),"$",_xlfn.CONCAT(CHAR(92),"$")),CHAR(96),_xlfn.CONCAT(CHAR(92),CHAR(96))),CHAR(34),CHAR(39))))</f>
        <v/>
      </c>
      <c r="T310" s="5" t="str">
        <f>IF(OR(TRIM($B310)="",$J310=""),"",IF(OR(ISNUMBER(SEARCH(_xlfn.CONCAT(CHAR(96),CHAR(34)),$J310)),ISNUMBER(SEARCH(_xlfn.CONCAT(CHAR(34),CHAR(39)),$J310))),_xlfn.CONCAT("* REVIEW REQUIRED: compound-quote delimiter in Notes on Sheet 1 row ",310,"; edit the input before running."),_xlfn.CONCAT("char ",TRIM($B310),"[doc_notes] ",CHAR(96),CHAR(34),SUBSTITUTE(SUBSTITUTE(SUBSTITUTE(SUBSTITUTE(SUBSTITUTE(SUBSTITUTE($J310,CHAR(13)," "),CHAR(10)," "),CHAR(9)," "),CHAR(92),_xlfn.CONCAT(CHAR(92),CHAR(92))),"$",_xlfn.CONCAT(CHAR(92),"$")),CHAR(96),_xlfn.CONCAT(CHAR(92),CHAR(96))),CHAR(34),CHAR(39))))</f>
        <v/>
      </c>
      <c r="U310" s="5">
        <f t="shared" si="9"/>
        <v>0</v>
      </c>
    </row>
    <row r="311" spans="3:21" ht="30" customHeight="1" x14ac:dyDescent="0.2">
      <c r="C311" s="4"/>
      <c r="K311" s="5">
        <f t="shared" si="8"/>
        <v>0</v>
      </c>
      <c r="L311" s="5" t="str">
        <f>IF(OR(TRIM($B311)="",$A311=""),"",IF(OR(ISNUMBER(SEARCH(_xlfn.CONCAT(CHAR(96),CHAR(34)),$A311)),ISNUMBER(SEARCH(_xlfn.CONCAT(CHAR(34),CHAR(39)),$A311))),_xlfn.CONCAT("* REVIEW REQUIRED: compound-quote delimiter in Codebook Section on Sheet 1 row ",311,"; edit the input before running."),_xlfn.CONCAT("char ",TRIM($B311),"[doc_section] ",CHAR(96),CHAR(34),SUBSTITUTE(SUBSTITUTE(SUBSTITUTE(SUBSTITUTE(SUBSTITUTE(SUBSTITUTE($A311,CHAR(13)," "),CHAR(10)," "),CHAR(9)," "),CHAR(92),_xlfn.CONCAT(CHAR(92),CHAR(92))),"$",_xlfn.CONCAT(CHAR(92),"$")),CHAR(96),_xlfn.CONCAT(CHAR(92),CHAR(96))),CHAR(34),CHAR(39))))</f>
        <v/>
      </c>
      <c r="M311" s="5" t="str">
        <f>IF(OR(TRIM($B311)="",$C311=""),"",IF(IFERROR(MATCH(TRIM($C311),{"Quantitative","Continuous","Discrete","Categorical","Nominal","Ordinal","Identifier"},0),0)=0,_xlfn.CONCAT("* REVIEW REQUIRED: invalid Variable Type on Sheet 1 row ",311,"."),_xlfn.CONCAT("char ",TRIM($B311),"[doc_vartype] ",CHAR(96),CHAR(34),SUBSTITUTE(SUBSTITUTE(SUBSTITUTE(SUBSTITUTE(SUBSTITUTE(SUBSTITUTE(LOWER(TRIM($C311)),CHAR(13)," "),CHAR(10)," "),CHAR(9)," "),CHAR(92),_xlfn.CONCAT(CHAR(92),CHAR(92))),"$",_xlfn.CONCAT(CHAR(92),"$")),CHAR(96),_xlfn.CONCAT(CHAR(92),CHAR(96))),CHAR(34),CHAR(39))))</f>
        <v/>
      </c>
      <c r="N311" s="5" t="str">
        <f>IF(OR(TRIM($B311)="",$D311=""),"",IF(OR(ISNUMBER(SEARCH(_xlfn.CONCAT(CHAR(96),CHAR(34)),$D311)),ISNUMBER(SEARCH(_xlfn.CONCAT(CHAR(34),CHAR(39)),$D311))),_xlfn.CONCAT("* REVIEW REQUIRED: compound-quote delimiter in Item Number on Sheet 1 row ",311,"; edit the input before running."),_xlfn.CONCAT("char ",TRIM($B311),"[doc_itemnum] ",CHAR(96),CHAR(34),SUBSTITUTE(SUBSTITUTE(SUBSTITUTE(SUBSTITUTE(SUBSTITUTE(SUBSTITUTE($D311,CHAR(13)," "),CHAR(10)," "),CHAR(9)," "),CHAR(92),_xlfn.CONCAT(CHAR(92),CHAR(92))),"$",_xlfn.CONCAT(CHAR(92),"$")),CHAR(96),_xlfn.CONCAT(CHAR(92),CHAR(96))),CHAR(34),CHAR(39))))</f>
        <v/>
      </c>
      <c r="O311" s="5" t="str">
        <f>IF(OR(TRIM($B311)="",$E311=""),"",IF(OR(ISNUMBER(SEARCH(_xlfn.CONCAT(CHAR(96),CHAR(34)),$E311)),ISNUMBER(SEARCH(_xlfn.CONCAT(CHAR(34),CHAR(39)),$E311))),_xlfn.CONCAT("* REVIEW REQUIRED: compound-quote delimiter in Question Wording on Sheet 1 row ",311,"; edit the input before running."),_xlfn.CONCAT("char ",TRIM($B311),"[doc_question] ",CHAR(96),CHAR(34),SUBSTITUTE(SUBSTITUTE(SUBSTITUTE(SUBSTITUTE(SUBSTITUTE(SUBSTITUTE($E311,CHAR(13)," "),CHAR(10)," "),CHAR(9)," "),CHAR(92),_xlfn.CONCAT(CHAR(92),CHAR(92))),"$",_xlfn.CONCAT(CHAR(92),"$")),CHAR(96),_xlfn.CONCAT(CHAR(92),CHAR(96))),CHAR(34),CHAR(39))))</f>
        <v/>
      </c>
      <c r="P311" s="5" t="str">
        <f>IF(OR(TRIM($B311)="",$F311=""),"",IF(OR(ISNUMBER(SEARCH(_xlfn.CONCAT(CHAR(96),CHAR(34)),$F311)),ISNUMBER(SEARCH(_xlfn.CONCAT(CHAR(34),CHAR(39)),$F311))),_xlfn.CONCAT("* REVIEW REQUIRED: compound-quote delimiter in Units on Sheet 1 row ",311,"; edit the input before running."),_xlfn.CONCAT("char ",TRIM($B311),"[doc_units] ",CHAR(96),CHAR(34),SUBSTITUTE(SUBSTITUTE(SUBSTITUTE(SUBSTITUTE(SUBSTITUTE(SUBSTITUTE($F311,CHAR(13)," "),CHAR(10)," "),CHAR(9)," "),CHAR(92),_xlfn.CONCAT(CHAR(92),CHAR(92))),"$",_xlfn.CONCAT(CHAR(92),"$")),CHAR(96),_xlfn.CONCAT(CHAR(92),CHAR(96))),CHAR(34),CHAR(39))))</f>
        <v/>
      </c>
      <c r="Q311" s="5" t="str">
        <f>IF(OR(TRIM($B311)="",$G311=""),"",IF(OR(ISNUMBER(SEARCH(_xlfn.CONCAT(CHAR(96),CHAR(34)),$G311)),ISNUMBER(SEARCH(_xlfn.CONCAT(CHAR(34),CHAR(39)),$G311))),_xlfn.CONCAT("* REVIEW REQUIRED: compound-quote delimiter in Universe on Sheet 1 row ",311,"; edit the input before running."),_xlfn.CONCAT("char ",TRIM($B311),"[doc_universe] ",CHAR(96),CHAR(34),SUBSTITUTE(SUBSTITUTE(SUBSTITUTE(SUBSTITUTE(SUBSTITUTE(SUBSTITUTE($G311,CHAR(13)," "),CHAR(10)," "),CHAR(9)," "),CHAR(92),_xlfn.CONCAT(CHAR(92),CHAR(92))),"$",_xlfn.CONCAT(CHAR(92),"$")),CHAR(96),_xlfn.CONCAT(CHAR(92),CHAR(96))),CHAR(34),CHAR(39))))</f>
        <v/>
      </c>
      <c r="R311" s="5" t="str">
        <f>IF(OR(TRIM($B311)="",$H311=""),"",IF(OR(ISNUMBER(SEARCH(_xlfn.CONCAT(CHAR(96),CHAR(34)),$H311)),ISNUMBER(SEARCH(_xlfn.CONCAT(CHAR(34),CHAR(39)),$H311))),_xlfn.CONCAT("* REVIEW REQUIRED: compound-quote delimiter in Source on Sheet 1 row ",311,"; edit the input before running."),_xlfn.CONCAT("char ",TRIM($B311),"[doc_source] ",CHAR(96),CHAR(34),SUBSTITUTE(SUBSTITUTE(SUBSTITUTE(SUBSTITUTE(SUBSTITUTE(SUBSTITUTE($H311,CHAR(13)," "),CHAR(10)," "),CHAR(9)," "),CHAR(92),_xlfn.CONCAT(CHAR(92),CHAR(92))),"$",_xlfn.CONCAT(CHAR(92),"$")),CHAR(96),_xlfn.CONCAT(CHAR(92),CHAR(96))),CHAR(34),CHAR(39))))</f>
        <v/>
      </c>
      <c r="S311" s="5" t="str">
        <f>IF(OR(TRIM($B311)="",$I311=""),"",IF(OR(ISNUMBER(SEARCH(_xlfn.CONCAT(CHAR(96),CHAR(34)),$I311)),ISNUMBER(SEARCH(_xlfn.CONCAT(CHAR(34),CHAR(39)),$I311))),_xlfn.CONCAT("* REVIEW REQUIRED: compound-quote delimiter in Derivation on Sheet 1 row ",311,"; edit the input before running."),_xlfn.CONCAT("char ",TRIM($B311),"[doc_derivation] ",CHAR(96),CHAR(34),SUBSTITUTE(SUBSTITUTE(SUBSTITUTE(SUBSTITUTE(SUBSTITUTE(SUBSTITUTE($I311,CHAR(13)," "),CHAR(10)," "),CHAR(9)," "),CHAR(92),_xlfn.CONCAT(CHAR(92),CHAR(92))),"$",_xlfn.CONCAT(CHAR(92),"$")),CHAR(96),_xlfn.CONCAT(CHAR(92),CHAR(96))),CHAR(34),CHAR(39))))</f>
        <v/>
      </c>
      <c r="T311" s="5" t="str">
        <f>IF(OR(TRIM($B311)="",$J311=""),"",IF(OR(ISNUMBER(SEARCH(_xlfn.CONCAT(CHAR(96),CHAR(34)),$J311)),ISNUMBER(SEARCH(_xlfn.CONCAT(CHAR(34),CHAR(39)),$J311))),_xlfn.CONCAT("* REVIEW REQUIRED: compound-quote delimiter in Notes on Sheet 1 row ",311,"; edit the input before running."),_xlfn.CONCAT("char ",TRIM($B311),"[doc_notes] ",CHAR(96),CHAR(34),SUBSTITUTE(SUBSTITUTE(SUBSTITUTE(SUBSTITUTE(SUBSTITUTE(SUBSTITUTE($J311,CHAR(13)," "),CHAR(10)," "),CHAR(9)," "),CHAR(92),_xlfn.CONCAT(CHAR(92),CHAR(92))),"$",_xlfn.CONCAT(CHAR(92),"$")),CHAR(96),_xlfn.CONCAT(CHAR(92),CHAR(96))),CHAR(34),CHAR(39))))</f>
        <v/>
      </c>
      <c r="U311" s="5">
        <f t="shared" si="9"/>
        <v>0</v>
      </c>
    </row>
    <row r="312" spans="3:21" ht="30" customHeight="1" x14ac:dyDescent="0.2">
      <c r="C312" s="4"/>
      <c r="K312" s="5">
        <f t="shared" si="8"/>
        <v>0</v>
      </c>
      <c r="L312" s="5" t="str">
        <f>IF(OR(TRIM($B312)="",$A312=""),"",IF(OR(ISNUMBER(SEARCH(_xlfn.CONCAT(CHAR(96),CHAR(34)),$A312)),ISNUMBER(SEARCH(_xlfn.CONCAT(CHAR(34),CHAR(39)),$A312))),_xlfn.CONCAT("* REVIEW REQUIRED: compound-quote delimiter in Codebook Section on Sheet 1 row ",312,"; edit the input before running."),_xlfn.CONCAT("char ",TRIM($B312),"[doc_section] ",CHAR(96),CHAR(34),SUBSTITUTE(SUBSTITUTE(SUBSTITUTE(SUBSTITUTE(SUBSTITUTE(SUBSTITUTE($A312,CHAR(13)," "),CHAR(10)," "),CHAR(9)," "),CHAR(92),_xlfn.CONCAT(CHAR(92),CHAR(92))),"$",_xlfn.CONCAT(CHAR(92),"$")),CHAR(96),_xlfn.CONCAT(CHAR(92),CHAR(96))),CHAR(34),CHAR(39))))</f>
        <v/>
      </c>
      <c r="M312" s="5" t="str">
        <f>IF(OR(TRIM($B312)="",$C312=""),"",IF(IFERROR(MATCH(TRIM($C312),{"Quantitative","Continuous","Discrete","Categorical","Nominal","Ordinal","Identifier"},0),0)=0,_xlfn.CONCAT("* REVIEW REQUIRED: invalid Variable Type on Sheet 1 row ",312,"."),_xlfn.CONCAT("char ",TRIM($B312),"[doc_vartype] ",CHAR(96),CHAR(34),SUBSTITUTE(SUBSTITUTE(SUBSTITUTE(SUBSTITUTE(SUBSTITUTE(SUBSTITUTE(LOWER(TRIM($C312)),CHAR(13)," "),CHAR(10)," "),CHAR(9)," "),CHAR(92),_xlfn.CONCAT(CHAR(92),CHAR(92))),"$",_xlfn.CONCAT(CHAR(92),"$")),CHAR(96),_xlfn.CONCAT(CHAR(92),CHAR(96))),CHAR(34),CHAR(39))))</f>
        <v/>
      </c>
      <c r="N312" s="5" t="str">
        <f>IF(OR(TRIM($B312)="",$D312=""),"",IF(OR(ISNUMBER(SEARCH(_xlfn.CONCAT(CHAR(96),CHAR(34)),$D312)),ISNUMBER(SEARCH(_xlfn.CONCAT(CHAR(34),CHAR(39)),$D312))),_xlfn.CONCAT("* REVIEW REQUIRED: compound-quote delimiter in Item Number on Sheet 1 row ",312,"; edit the input before running."),_xlfn.CONCAT("char ",TRIM($B312),"[doc_itemnum] ",CHAR(96),CHAR(34),SUBSTITUTE(SUBSTITUTE(SUBSTITUTE(SUBSTITUTE(SUBSTITUTE(SUBSTITUTE($D312,CHAR(13)," "),CHAR(10)," "),CHAR(9)," "),CHAR(92),_xlfn.CONCAT(CHAR(92),CHAR(92))),"$",_xlfn.CONCAT(CHAR(92),"$")),CHAR(96),_xlfn.CONCAT(CHAR(92),CHAR(96))),CHAR(34),CHAR(39))))</f>
        <v/>
      </c>
      <c r="O312" s="5" t="str">
        <f>IF(OR(TRIM($B312)="",$E312=""),"",IF(OR(ISNUMBER(SEARCH(_xlfn.CONCAT(CHAR(96),CHAR(34)),$E312)),ISNUMBER(SEARCH(_xlfn.CONCAT(CHAR(34),CHAR(39)),$E312))),_xlfn.CONCAT("* REVIEW REQUIRED: compound-quote delimiter in Question Wording on Sheet 1 row ",312,"; edit the input before running."),_xlfn.CONCAT("char ",TRIM($B312),"[doc_question] ",CHAR(96),CHAR(34),SUBSTITUTE(SUBSTITUTE(SUBSTITUTE(SUBSTITUTE(SUBSTITUTE(SUBSTITUTE($E312,CHAR(13)," "),CHAR(10)," "),CHAR(9)," "),CHAR(92),_xlfn.CONCAT(CHAR(92),CHAR(92))),"$",_xlfn.CONCAT(CHAR(92),"$")),CHAR(96),_xlfn.CONCAT(CHAR(92),CHAR(96))),CHAR(34),CHAR(39))))</f>
        <v/>
      </c>
      <c r="P312" s="5" t="str">
        <f>IF(OR(TRIM($B312)="",$F312=""),"",IF(OR(ISNUMBER(SEARCH(_xlfn.CONCAT(CHAR(96),CHAR(34)),$F312)),ISNUMBER(SEARCH(_xlfn.CONCAT(CHAR(34),CHAR(39)),$F312))),_xlfn.CONCAT("* REVIEW REQUIRED: compound-quote delimiter in Units on Sheet 1 row ",312,"; edit the input before running."),_xlfn.CONCAT("char ",TRIM($B312),"[doc_units] ",CHAR(96),CHAR(34),SUBSTITUTE(SUBSTITUTE(SUBSTITUTE(SUBSTITUTE(SUBSTITUTE(SUBSTITUTE($F312,CHAR(13)," "),CHAR(10)," "),CHAR(9)," "),CHAR(92),_xlfn.CONCAT(CHAR(92),CHAR(92))),"$",_xlfn.CONCAT(CHAR(92),"$")),CHAR(96),_xlfn.CONCAT(CHAR(92),CHAR(96))),CHAR(34),CHAR(39))))</f>
        <v/>
      </c>
      <c r="Q312" s="5" t="str">
        <f>IF(OR(TRIM($B312)="",$G312=""),"",IF(OR(ISNUMBER(SEARCH(_xlfn.CONCAT(CHAR(96),CHAR(34)),$G312)),ISNUMBER(SEARCH(_xlfn.CONCAT(CHAR(34),CHAR(39)),$G312))),_xlfn.CONCAT("* REVIEW REQUIRED: compound-quote delimiter in Universe on Sheet 1 row ",312,"; edit the input before running."),_xlfn.CONCAT("char ",TRIM($B312),"[doc_universe] ",CHAR(96),CHAR(34),SUBSTITUTE(SUBSTITUTE(SUBSTITUTE(SUBSTITUTE(SUBSTITUTE(SUBSTITUTE($G312,CHAR(13)," "),CHAR(10)," "),CHAR(9)," "),CHAR(92),_xlfn.CONCAT(CHAR(92),CHAR(92))),"$",_xlfn.CONCAT(CHAR(92),"$")),CHAR(96),_xlfn.CONCAT(CHAR(92),CHAR(96))),CHAR(34),CHAR(39))))</f>
        <v/>
      </c>
      <c r="R312" s="5" t="str">
        <f>IF(OR(TRIM($B312)="",$H312=""),"",IF(OR(ISNUMBER(SEARCH(_xlfn.CONCAT(CHAR(96),CHAR(34)),$H312)),ISNUMBER(SEARCH(_xlfn.CONCAT(CHAR(34),CHAR(39)),$H312))),_xlfn.CONCAT("* REVIEW REQUIRED: compound-quote delimiter in Source on Sheet 1 row ",312,"; edit the input before running."),_xlfn.CONCAT("char ",TRIM($B312),"[doc_source] ",CHAR(96),CHAR(34),SUBSTITUTE(SUBSTITUTE(SUBSTITUTE(SUBSTITUTE(SUBSTITUTE(SUBSTITUTE($H312,CHAR(13)," "),CHAR(10)," "),CHAR(9)," "),CHAR(92),_xlfn.CONCAT(CHAR(92),CHAR(92))),"$",_xlfn.CONCAT(CHAR(92),"$")),CHAR(96),_xlfn.CONCAT(CHAR(92),CHAR(96))),CHAR(34),CHAR(39))))</f>
        <v/>
      </c>
      <c r="S312" s="5" t="str">
        <f>IF(OR(TRIM($B312)="",$I312=""),"",IF(OR(ISNUMBER(SEARCH(_xlfn.CONCAT(CHAR(96),CHAR(34)),$I312)),ISNUMBER(SEARCH(_xlfn.CONCAT(CHAR(34),CHAR(39)),$I312))),_xlfn.CONCAT("* REVIEW REQUIRED: compound-quote delimiter in Derivation on Sheet 1 row ",312,"; edit the input before running."),_xlfn.CONCAT("char ",TRIM($B312),"[doc_derivation] ",CHAR(96),CHAR(34),SUBSTITUTE(SUBSTITUTE(SUBSTITUTE(SUBSTITUTE(SUBSTITUTE(SUBSTITUTE($I312,CHAR(13)," "),CHAR(10)," "),CHAR(9)," "),CHAR(92),_xlfn.CONCAT(CHAR(92),CHAR(92))),"$",_xlfn.CONCAT(CHAR(92),"$")),CHAR(96),_xlfn.CONCAT(CHAR(92),CHAR(96))),CHAR(34),CHAR(39))))</f>
        <v/>
      </c>
      <c r="T312" s="5" t="str">
        <f>IF(OR(TRIM($B312)="",$J312=""),"",IF(OR(ISNUMBER(SEARCH(_xlfn.CONCAT(CHAR(96),CHAR(34)),$J312)),ISNUMBER(SEARCH(_xlfn.CONCAT(CHAR(34),CHAR(39)),$J312))),_xlfn.CONCAT("* REVIEW REQUIRED: compound-quote delimiter in Notes on Sheet 1 row ",312,"; edit the input before running."),_xlfn.CONCAT("char ",TRIM($B312),"[doc_notes] ",CHAR(96),CHAR(34),SUBSTITUTE(SUBSTITUTE(SUBSTITUTE(SUBSTITUTE(SUBSTITUTE(SUBSTITUTE($J312,CHAR(13)," "),CHAR(10)," "),CHAR(9)," "),CHAR(92),_xlfn.CONCAT(CHAR(92),CHAR(92))),"$",_xlfn.CONCAT(CHAR(92),"$")),CHAR(96),_xlfn.CONCAT(CHAR(92),CHAR(96))),CHAR(34),CHAR(39))))</f>
        <v/>
      </c>
      <c r="U312" s="5">
        <f t="shared" si="9"/>
        <v>0</v>
      </c>
    </row>
    <row r="313" spans="3:21" ht="30" customHeight="1" x14ac:dyDescent="0.2">
      <c r="C313" s="4"/>
      <c r="K313" s="5">
        <f t="shared" si="8"/>
        <v>0</v>
      </c>
      <c r="L313" s="5" t="str">
        <f>IF(OR(TRIM($B313)="",$A313=""),"",IF(OR(ISNUMBER(SEARCH(_xlfn.CONCAT(CHAR(96),CHAR(34)),$A313)),ISNUMBER(SEARCH(_xlfn.CONCAT(CHAR(34),CHAR(39)),$A313))),_xlfn.CONCAT("* REVIEW REQUIRED: compound-quote delimiter in Codebook Section on Sheet 1 row ",313,"; edit the input before running."),_xlfn.CONCAT("char ",TRIM($B313),"[doc_section] ",CHAR(96),CHAR(34),SUBSTITUTE(SUBSTITUTE(SUBSTITUTE(SUBSTITUTE(SUBSTITUTE(SUBSTITUTE($A313,CHAR(13)," "),CHAR(10)," "),CHAR(9)," "),CHAR(92),_xlfn.CONCAT(CHAR(92),CHAR(92))),"$",_xlfn.CONCAT(CHAR(92),"$")),CHAR(96),_xlfn.CONCAT(CHAR(92),CHAR(96))),CHAR(34),CHAR(39))))</f>
        <v/>
      </c>
      <c r="M313" s="5" t="str">
        <f>IF(OR(TRIM($B313)="",$C313=""),"",IF(IFERROR(MATCH(TRIM($C313),{"Quantitative","Continuous","Discrete","Categorical","Nominal","Ordinal","Identifier"},0),0)=0,_xlfn.CONCAT("* REVIEW REQUIRED: invalid Variable Type on Sheet 1 row ",313,"."),_xlfn.CONCAT("char ",TRIM($B313),"[doc_vartype] ",CHAR(96),CHAR(34),SUBSTITUTE(SUBSTITUTE(SUBSTITUTE(SUBSTITUTE(SUBSTITUTE(SUBSTITUTE(LOWER(TRIM($C313)),CHAR(13)," "),CHAR(10)," "),CHAR(9)," "),CHAR(92),_xlfn.CONCAT(CHAR(92),CHAR(92))),"$",_xlfn.CONCAT(CHAR(92),"$")),CHAR(96),_xlfn.CONCAT(CHAR(92),CHAR(96))),CHAR(34),CHAR(39))))</f>
        <v/>
      </c>
      <c r="N313" s="5" t="str">
        <f>IF(OR(TRIM($B313)="",$D313=""),"",IF(OR(ISNUMBER(SEARCH(_xlfn.CONCAT(CHAR(96),CHAR(34)),$D313)),ISNUMBER(SEARCH(_xlfn.CONCAT(CHAR(34),CHAR(39)),$D313))),_xlfn.CONCAT("* REVIEW REQUIRED: compound-quote delimiter in Item Number on Sheet 1 row ",313,"; edit the input before running."),_xlfn.CONCAT("char ",TRIM($B313),"[doc_itemnum] ",CHAR(96),CHAR(34),SUBSTITUTE(SUBSTITUTE(SUBSTITUTE(SUBSTITUTE(SUBSTITUTE(SUBSTITUTE($D313,CHAR(13)," "),CHAR(10)," "),CHAR(9)," "),CHAR(92),_xlfn.CONCAT(CHAR(92),CHAR(92))),"$",_xlfn.CONCAT(CHAR(92),"$")),CHAR(96),_xlfn.CONCAT(CHAR(92),CHAR(96))),CHAR(34),CHAR(39))))</f>
        <v/>
      </c>
      <c r="O313" s="5" t="str">
        <f>IF(OR(TRIM($B313)="",$E313=""),"",IF(OR(ISNUMBER(SEARCH(_xlfn.CONCAT(CHAR(96),CHAR(34)),$E313)),ISNUMBER(SEARCH(_xlfn.CONCAT(CHAR(34),CHAR(39)),$E313))),_xlfn.CONCAT("* REVIEW REQUIRED: compound-quote delimiter in Question Wording on Sheet 1 row ",313,"; edit the input before running."),_xlfn.CONCAT("char ",TRIM($B313),"[doc_question] ",CHAR(96),CHAR(34),SUBSTITUTE(SUBSTITUTE(SUBSTITUTE(SUBSTITUTE(SUBSTITUTE(SUBSTITUTE($E313,CHAR(13)," "),CHAR(10)," "),CHAR(9)," "),CHAR(92),_xlfn.CONCAT(CHAR(92),CHAR(92))),"$",_xlfn.CONCAT(CHAR(92),"$")),CHAR(96),_xlfn.CONCAT(CHAR(92),CHAR(96))),CHAR(34),CHAR(39))))</f>
        <v/>
      </c>
      <c r="P313" s="5" t="str">
        <f>IF(OR(TRIM($B313)="",$F313=""),"",IF(OR(ISNUMBER(SEARCH(_xlfn.CONCAT(CHAR(96),CHAR(34)),$F313)),ISNUMBER(SEARCH(_xlfn.CONCAT(CHAR(34),CHAR(39)),$F313))),_xlfn.CONCAT("* REVIEW REQUIRED: compound-quote delimiter in Units on Sheet 1 row ",313,"; edit the input before running."),_xlfn.CONCAT("char ",TRIM($B313),"[doc_units] ",CHAR(96),CHAR(34),SUBSTITUTE(SUBSTITUTE(SUBSTITUTE(SUBSTITUTE(SUBSTITUTE(SUBSTITUTE($F313,CHAR(13)," "),CHAR(10)," "),CHAR(9)," "),CHAR(92),_xlfn.CONCAT(CHAR(92),CHAR(92))),"$",_xlfn.CONCAT(CHAR(92),"$")),CHAR(96),_xlfn.CONCAT(CHAR(92),CHAR(96))),CHAR(34),CHAR(39))))</f>
        <v/>
      </c>
      <c r="Q313" s="5" t="str">
        <f>IF(OR(TRIM($B313)="",$G313=""),"",IF(OR(ISNUMBER(SEARCH(_xlfn.CONCAT(CHAR(96),CHAR(34)),$G313)),ISNUMBER(SEARCH(_xlfn.CONCAT(CHAR(34),CHAR(39)),$G313))),_xlfn.CONCAT("* REVIEW REQUIRED: compound-quote delimiter in Universe on Sheet 1 row ",313,"; edit the input before running."),_xlfn.CONCAT("char ",TRIM($B313),"[doc_universe] ",CHAR(96),CHAR(34),SUBSTITUTE(SUBSTITUTE(SUBSTITUTE(SUBSTITUTE(SUBSTITUTE(SUBSTITUTE($G313,CHAR(13)," "),CHAR(10)," "),CHAR(9)," "),CHAR(92),_xlfn.CONCAT(CHAR(92),CHAR(92))),"$",_xlfn.CONCAT(CHAR(92),"$")),CHAR(96),_xlfn.CONCAT(CHAR(92),CHAR(96))),CHAR(34),CHAR(39))))</f>
        <v/>
      </c>
      <c r="R313" s="5" t="str">
        <f>IF(OR(TRIM($B313)="",$H313=""),"",IF(OR(ISNUMBER(SEARCH(_xlfn.CONCAT(CHAR(96),CHAR(34)),$H313)),ISNUMBER(SEARCH(_xlfn.CONCAT(CHAR(34),CHAR(39)),$H313))),_xlfn.CONCAT("* REVIEW REQUIRED: compound-quote delimiter in Source on Sheet 1 row ",313,"; edit the input before running."),_xlfn.CONCAT("char ",TRIM($B313),"[doc_source] ",CHAR(96),CHAR(34),SUBSTITUTE(SUBSTITUTE(SUBSTITUTE(SUBSTITUTE(SUBSTITUTE(SUBSTITUTE($H313,CHAR(13)," "),CHAR(10)," "),CHAR(9)," "),CHAR(92),_xlfn.CONCAT(CHAR(92),CHAR(92))),"$",_xlfn.CONCAT(CHAR(92),"$")),CHAR(96),_xlfn.CONCAT(CHAR(92),CHAR(96))),CHAR(34),CHAR(39))))</f>
        <v/>
      </c>
      <c r="S313" s="5" t="str">
        <f>IF(OR(TRIM($B313)="",$I313=""),"",IF(OR(ISNUMBER(SEARCH(_xlfn.CONCAT(CHAR(96),CHAR(34)),$I313)),ISNUMBER(SEARCH(_xlfn.CONCAT(CHAR(34),CHAR(39)),$I313))),_xlfn.CONCAT("* REVIEW REQUIRED: compound-quote delimiter in Derivation on Sheet 1 row ",313,"; edit the input before running."),_xlfn.CONCAT("char ",TRIM($B313),"[doc_derivation] ",CHAR(96),CHAR(34),SUBSTITUTE(SUBSTITUTE(SUBSTITUTE(SUBSTITUTE(SUBSTITUTE(SUBSTITUTE($I313,CHAR(13)," "),CHAR(10)," "),CHAR(9)," "),CHAR(92),_xlfn.CONCAT(CHAR(92),CHAR(92))),"$",_xlfn.CONCAT(CHAR(92),"$")),CHAR(96),_xlfn.CONCAT(CHAR(92),CHAR(96))),CHAR(34),CHAR(39))))</f>
        <v/>
      </c>
      <c r="T313" s="5" t="str">
        <f>IF(OR(TRIM($B313)="",$J313=""),"",IF(OR(ISNUMBER(SEARCH(_xlfn.CONCAT(CHAR(96),CHAR(34)),$J313)),ISNUMBER(SEARCH(_xlfn.CONCAT(CHAR(34),CHAR(39)),$J313))),_xlfn.CONCAT("* REVIEW REQUIRED: compound-quote delimiter in Notes on Sheet 1 row ",313,"; edit the input before running."),_xlfn.CONCAT("char ",TRIM($B313),"[doc_notes] ",CHAR(96),CHAR(34),SUBSTITUTE(SUBSTITUTE(SUBSTITUTE(SUBSTITUTE(SUBSTITUTE(SUBSTITUTE($J313,CHAR(13)," "),CHAR(10)," "),CHAR(9)," "),CHAR(92),_xlfn.CONCAT(CHAR(92),CHAR(92))),"$",_xlfn.CONCAT(CHAR(92),"$")),CHAR(96),_xlfn.CONCAT(CHAR(92),CHAR(96))),CHAR(34),CHAR(39))))</f>
        <v/>
      </c>
      <c r="U313" s="5">
        <f t="shared" si="9"/>
        <v>0</v>
      </c>
    </row>
    <row r="314" spans="3:21" ht="30" customHeight="1" x14ac:dyDescent="0.2">
      <c r="C314" s="4"/>
      <c r="K314" s="5">
        <f t="shared" si="8"/>
        <v>0</v>
      </c>
      <c r="L314" s="5" t="str">
        <f>IF(OR(TRIM($B314)="",$A314=""),"",IF(OR(ISNUMBER(SEARCH(_xlfn.CONCAT(CHAR(96),CHAR(34)),$A314)),ISNUMBER(SEARCH(_xlfn.CONCAT(CHAR(34),CHAR(39)),$A314))),_xlfn.CONCAT("* REVIEW REQUIRED: compound-quote delimiter in Codebook Section on Sheet 1 row ",314,"; edit the input before running."),_xlfn.CONCAT("char ",TRIM($B314),"[doc_section] ",CHAR(96),CHAR(34),SUBSTITUTE(SUBSTITUTE(SUBSTITUTE(SUBSTITUTE(SUBSTITUTE(SUBSTITUTE($A314,CHAR(13)," "),CHAR(10)," "),CHAR(9)," "),CHAR(92),_xlfn.CONCAT(CHAR(92),CHAR(92))),"$",_xlfn.CONCAT(CHAR(92),"$")),CHAR(96),_xlfn.CONCAT(CHAR(92),CHAR(96))),CHAR(34),CHAR(39))))</f>
        <v/>
      </c>
      <c r="M314" s="5" t="str">
        <f>IF(OR(TRIM($B314)="",$C314=""),"",IF(IFERROR(MATCH(TRIM($C314),{"Quantitative","Continuous","Discrete","Categorical","Nominal","Ordinal","Identifier"},0),0)=0,_xlfn.CONCAT("* REVIEW REQUIRED: invalid Variable Type on Sheet 1 row ",314,"."),_xlfn.CONCAT("char ",TRIM($B314),"[doc_vartype] ",CHAR(96),CHAR(34),SUBSTITUTE(SUBSTITUTE(SUBSTITUTE(SUBSTITUTE(SUBSTITUTE(SUBSTITUTE(LOWER(TRIM($C314)),CHAR(13)," "),CHAR(10)," "),CHAR(9)," "),CHAR(92),_xlfn.CONCAT(CHAR(92),CHAR(92))),"$",_xlfn.CONCAT(CHAR(92),"$")),CHAR(96),_xlfn.CONCAT(CHAR(92),CHAR(96))),CHAR(34),CHAR(39))))</f>
        <v/>
      </c>
      <c r="N314" s="5" t="str">
        <f>IF(OR(TRIM($B314)="",$D314=""),"",IF(OR(ISNUMBER(SEARCH(_xlfn.CONCAT(CHAR(96),CHAR(34)),$D314)),ISNUMBER(SEARCH(_xlfn.CONCAT(CHAR(34),CHAR(39)),$D314))),_xlfn.CONCAT("* REVIEW REQUIRED: compound-quote delimiter in Item Number on Sheet 1 row ",314,"; edit the input before running."),_xlfn.CONCAT("char ",TRIM($B314),"[doc_itemnum] ",CHAR(96),CHAR(34),SUBSTITUTE(SUBSTITUTE(SUBSTITUTE(SUBSTITUTE(SUBSTITUTE(SUBSTITUTE($D314,CHAR(13)," "),CHAR(10)," "),CHAR(9)," "),CHAR(92),_xlfn.CONCAT(CHAR(92),CHAR(92))),"$",_xlfn.CONCAT(CHAR(92),"$")),CHAR(96),_xlfn.CONCAT(CHAR(92),CHAR(96))),CHAR(34),CHAR(39))))</f>
        <v/>
      </c>
      <c r="O314" s="5" t="str">
        <f>IF(OR(TRIM($B314)="",$E314=""),"",IF(OR(ISNUMBER(SEARCH(_xlfn.CONCAT(CHAR(96),CHAR(34)),$E314)),ISNUMBER(SEARCH(_xlfn.CONCAT(CHAR(34),CHAR(39)),$E314))),_xlfn.CONCAT("* REVIEW REQUIRED: compound-quote delimiter in Question Wording on Sheet 1 row ",314,"; edit the input before running."),_xlfn.CONCAT("char ",TRIM($B314),"[doc_question] ",CHAR(96),CHAR(34),SUBSTITUTE(SUBSTITUTE(SUBSTITUTE(SUBSTITUTE(SUBSTITUTE(SUBSTITUTE($E314,CHAR(13)," "),CHAR(10)," "),CHAR(9)," "),CHAR(92),_xlfn.CONCAT(CHAR(92),CHAR(92))),"$",_xlfn.CONCAT(CHAR(92),"$")),CHAR(96),_xlfn.CONCAT(CHAR(92),CHAR(96))),CHAR(34),CHAR(39))))</f>
        <v/>
      </c>
      <c r="P314" s="5" t="str">
        <f>IF(OR(TRIM($B314)="",$F314=""),"",IF(OR(ISNUMBER(SEARCH(_xlfn.CONCAT(CHAR(96),CHAR(34)),$F314)),ISNUMBER(SEARCH(_xlfn.CONCAT(CHAR(34),CHAR(39)),$F314))),_xlfn.CONCAT("* REVIEW REQUIRED: compound-quote delimiter in Units on Sheet 1 row ",314,"; edit the input before running."),_xlfn.CONCAT("char ",TRIM($B314),"[doc_units] ",CHAR(96),CHAR(34),SUBSTITUTE(SUBSTITUTE(SUBSTITUTE(SUBSTITUTE(SUBSTITUTE(SUBSTITUTE($F314,CHAR(13)," "),CHAR(10)," "),CHAR(9)," "),CHAR(92),_xlfn.CONCAT(CHAR(92),CHAR(92))),"$",_xlfn.CONCAT(CHAR(92),"$")),CHAR(96),_xlfn.CONCAT(CHAR(92),CHAR(96))),CHAR(34),CHAR(39))))</f>
        <v/>
      </c>
      <c r="Q314" s="5" t="str">
        <f>IF(OR(TRIM($B314)="",$G314=""),"",IF(OR(ISNUMBER(SEARCH(_xlfn.CONCAT(CHAR(96),CHAR(34)),$G314)),ISNUMBER(SEARCH(_xlfn.CONCAT(CHAR(34),CHAR(39)),$G314))),_xlfn.CONCAT("* REVIEW REQUIRED: compound-quote delimiter in Universe on Sheet 1 row ",314,"; edit the input before running."),_xlfn.CONCAT("char ",TRIM($B314),"[doc_universe] ",CHAR(96),CHAR(34),SUBSTITUTE(SUBSTITUTE(SUBSTITUTE(SUBSTITUTE(SUBSTITUTE(SUBSTITUTE($G314,CHAR(13)," "),CHAR(10)," "),CHAR(9)," "),CHAR(92),_xlfn.CONCAT(CHAR(92),CHAR(92))),"$",_xlfn.CONCAT(CHAR(92),"$")),CHAR(96),_xlfn.CONCAT(CHAR(92),CHAR(96))),CHAR(34),CHAR(39))))</f>
        <v/>
      </c>
      <c r="R314" s="5" t="str">
        <f>IF(OR(TRIM($B314)="",$H314=""),"",IF(OR(ISNUMBER(SEARCH(_xlfn.CONCAT(CHAR(96),CHAR(34)),$H314)),ISNUMBER(SEARCH(_xlfn.CONCAT(CHAR(34),CHAR(39)),$H314))),_xlfn.CONCAT("* REVIEW REQUIRED: compound-quote delimiter in Source on Sheet 1 row ",314,"; edit the input before running."),_xlfn.CONCAT("char ",TRIM($B314),"[doc_source] ",CHAR(96),CHAR(34),SUBSTITUTE(SUBSTITUTE(SUBSTITUTE(SUBSTITUTE(SUBSTITUTE(SUBSTITUTE($H314,CHAR(13)," "),CHAR(10)," "),CHAR(9)," "),CHAR(92),_xlfn.CONCAT(CHAR(92),CHAR(92))),"$",_xlfn.CONCAT(CHAR(92),"$")),CHAR(96),_xlfn.CONCAT(CHAR(92),CHAR(96))),CHAR(34),CHAR(39))))</f>
        <v/>
      </c>
      <c r="S314" s="5" t="str">
        <f>IF(OR(TRIM($B314)="",$I314=""),"",IF(OR(ISNUMBER(SEARCH(_xlfn.CONCAT(CHAR(96),CHAR(34)),$I314)),ISNUMBER(SEARCH(_xlfn.CONCAT(CHAR(34),CHAR(39)),$I314))),_xlfn.CONCAT("* REVIEW REQUIRED: compound-quote delimiter in Derivation on Sheet 1 row ",314,"; edit the input before running."),_xlfn.CONCAT("char ",TRIM($B314),"[doc_derivation] ",CHAR(96),CHAR(34),SUBSTITUTE(SUBSTITUTE(SUBSTITUTE(SUBSTITUTE(SUBSTITUTE(SUBSTITUTE($I314,CHAR(13)," "),CHAR(10)," "),CHAR(9)," "),CHAR(92),_xlfn.CONCAT(CHAR(92),CHAR(92))),"$",_xlfn.CONCAT(CHAR(92),"$")),CHAR(96),_xlfn.CONCAT(CHAR(92),CHAR(96))),CHAR(34),CHAR(39))))</f>
        <v/>
      </c>
      <c r="T314" s="5" t="str">
        <f>IF(OR(TRIM($B314)="",$J314=""),"",IF(OR(ISNUMBER(SEARCH(_xlfn.CONCAT(CHAR(96),CHAR(34)),$J314)),ISNUMBER(SEARCH(_xlfn.CONCAT(CHAR(34),CHAR(39)),$J314))),_xlfn.CONCAT("* REVIEW REQUIRED: compound-quote delimiter in Notes on Sheet 1 row ",314,"; edit the input before running."),_xlfn.CONCAT("char ",TRIM($B314),"[doc_notes] ",CHAR(96),CHAR(34),SUBSTITUTE(SUBSTITUTE(SUBSTITUTE(SUBSTITUTE(SUBSTITUTE(SUBSTITUTE($J314,CHAR(13)," "),CHAR(10)," "),CHAR(9)," "),CHAR(92),_xlfn.CONCAT(CHAR(92),CHAR(92))),"$",_xlfn.CONCAT(CHAR(92),"$")),CHAR(96),_xlfn.CONCAT(CHAR(92),CHAR(96))),CHAR(34),CHAR(39))))</f>
        <v/>
      </c>
      <c r="U314" s="5">
        <f t="shared" si="9"/>
        <v>0</v>
      </c>
    </row>
    <row r="315" spans="3:21" ht="30" customHeight="1" x14ac:dyDescent="0.2">
      <c r="C315" s="4"/>
      <c r="K315" s="5">
        <f t="shared" si="8"/>
        <v>0</v>
      </c>
      <c r="L315" s="5" t="str">
        <f>IF(OR(TRIM($B315)="",$A315=""),"",IF(OR(ISNUMBER(SEARCH(_xlfn.CONCAT(CHAR(96),CHAR(34)),$A315)),ISNUMBER(SEARCH(_xlfn.CONCAT(CHAR(34),CHAR(39)),$A315))),_xlfn.CONCAT("* REVIEW REQUIRED: compound-quote delimiter in Codebook Section on Sheet 1 row ",315,"; edit the input before running."),_xlfn.CONCAT("char ",TRIM($B315),"[doc_section] ",CHAR(96),CHAR(34),SUBSTITUTE(SUBSTITUTE(SUBSTITUTE(SUBSTITUTE(SUBSTITUTE(SUBSTITUTE($A315,CHAR(13)," "),CHAR(10)," "),CHAR(9)," "),CHAR(92),_xlfn.CONCAT(CHAR(92),CHAR(92))),"$",_xlfn.CONCAT(CHAR(92),"$")),CHAR(96),_xlfn.CONCAT(CHAR(92),CHAR(96))),CHAR(34),CHAR(39))))</f>
        <v/>
      </c>
      <c r="M315" s="5" t="str">
        <f>IF(OR(TRIM($B315)="",$C315=""),"",IF(IFERROR(MATCH(TRIM($C315),{"Quantitative","Continuous","Discrete","Categorical","Nominal","Ordinal","Identifier"},0),0)=0,_xlfn.CONCAT("* REVIEW REQUIRED: invalid Variable Type on Sheet 1 row ",315,"."),_xlfn.CONCAT("char ",TRIM($B315),"[doc_vartype] ",CHAR(96),CHAR(34),SUBSTITUTE(SUBSTITUTE(SUBSTITUTE(SUBSTITUTE(SUBSTITUTE(SUBSTITUTE(LOWER(TRIM($C315)),CHAR(13)," "),CHAR(10)," "),CHAR(9)," "),CHAR(92),_xlfn.CONCAT(CHAR(92),CHAR(92))),"$",_xlfn.CONCAT(CHAR(92),"$")),CHAR(96),_xlfn.CONCAT(CHAR(92),CHAR(96))),CHAR(34),CHAR(39))))</f>
        <v/>
      </c>
      <c r="N315" s="5" t="str">
        <f>IF(OR(TRIM($B315)="",$D315=""),"",IF(OR(ISNUMBER(SEARCH(_xlfn.CONCAT(CHAR(96),CHAR(34)),$D315)),ISNUMBER(SEARCH(_xlfn.CONCAT(CHAR(34),CHAR(39)),$D315))),_xlfn.CONCAT("* REVIEW REQUIRED: compound-quote delimiter in Item Number on Sheet 1 row ",315,"; edit the input before running."),_xlfn.CONCAT("char ",TRIM($B315),"[doc_itemnum] ",CHAR(96),CHAR(34),SUBSTITUTE(SUBSTITUTE(SUBSTITUTE(SUBSTITUTE(SUBSTITUTE(SUBSTITUTE($D315,CHAR(13)," "),CHAR(10)," "),CHAR(9)," "),CHAR(92),_xlfn.CONCAT(CHAR(92),CHAR(92))),"$",_xlfn.CONCAT(CHAR(92),"$")),CHAR(96),_xlfn.CONCAT(CHAR(92),CHAR(96))),CHAR(34),CHAR(39))))</f>
        <v/>
      </c>
      <c r="O315" s="5" t="str">
        <f>IF(OR(TRIM($B315)="",$E315=""),"",IF(OR(ISNUMBER(SEARCH(_xlfn.CONCAT(CHAR(96),CHAR(34)),$E315)),ISNUMBER(SEARCH(_xlfn.CONCAT(CHAR(34),CHAR(39)),$E315))),_xlfn.CONCAT("* REVIEW REQUIRED: compound-quote delimiter in Question Wording on Sheet 1 row ",315,"; edit the input before running."),_xlfn.CONCAT("char ",TRIM($B315),"[doc_question] ",CHAR(96),CHAR(34),SUBSTITUTE(SUBSTITUTE(SUBSTITUTE(SUBSTITUTE(SUBSTITUTE(SUBSTITUTE($E315,CHAR(13)," "),CHAR(10)," "),CHAR(9)," "),CHAR(92),_xlfn.CONCAT(CHAR(92),CHAR(92))),"$",_xlfn.CONCAT(CHAR(92),"$")),CHAR(96),_xlfn.CONCAT(CHAR(92),CHAR(96))),CHAR(34),CHAR(39))))</f>
        <v/>
      </c>
      <c r="P315" s="5" t="str">
        <f>IF(OR(TRIM($B315)="",$F315=""),"",IF(OR(ISNUMBER(SEARCH(_xlfn.CONCAT(CHAR(96),CHAR(34)),$F315)),ISNUMBER(SEARCH(_xlfn.CONCAT(CHAR(34),CHAR(39)),$F315))),_xlfn.CONCAT("* REVIEW REQUIRED: compound-quote delimiter in Units on Sheet 1 row ",315,"; edit the input before running."),_xlfn.CONCAT("char ",TRIM($B315),"[doc_units] ",CHAR(96),CHAR(34),SUBSTITUTE(SUBSTITUTE(SUBSTITUTE(SUBSTITUTE(SUBSTITUTE(SUBSTITUTE($F315,CHAR(13)," "),CHAR(10)," "),CHAR(9)," "),CHAR(92),_xlfn.CONCAT(CHAR(92),CHAR(92))),"$",_xlfn.CONCAT(CHAR(92),"$")),CHAR(96),_xlfn.CONCAT(CHAR(92),CHAR(96))),CHAR(34),CHAR(39))))</f>
        <v/>
      </c>
      <c r="Q315" s="5" t="str">
        <f>IF(OR(TRIM($B315)="",$G315=""),"",IF(OR(ISNUMBER(SEARCH(_xlfn.CONCAT(CHAR(96),CHAR(34)),$G315)),ISNUMBER(SEARCH(_xlfn.CONCAT(CHAR(34),CHAR(39)),$G315))),_xlfn.CONCAT("* REVIEW REQUIRED: compound-quote delimiter in Universe on Sheet 1 row ",315,"; edit the input before running."),_xlfn.CONCAT("char ",TRIM($B315),"[doc_universe] ",CHAR(96),CHAR(34),SUBSTITUTE(SUBSTITUTE(SUBSTITUTE(SUBSTITUTE(SUBSTITUTE(SUBSTITUTE($G315,CHAR(13)," "),CHAR(10)," "),CHAR(9)," "),CHAR(92),_xlfn.CONCAT(CHAR(92),CHAR(92))),"$",_xlfn.CONCAT(CHAR(92),"$")),CHAR(96),_xlfn.CONCAT(CHAR(92),CHAR(96))),CHAR(34),CHAR(39))))</f>
        <v/>
      </c>
      <c r="R315" s="5" t="str">
        <f>IF(OR(TRIM($B315)="",$H315=""),"",IF(OR(ISNUMBER(SEARCH(_xlfn.CONCAT(CHAR(96),CHAR(34)),$H315)),ISNUMBER(SEARCH(_xlfn.CONCAT(CHAR(34),CHAR(39)),$H315))),_xlfn.CONCAT("* REVIEW REQUIRED: compound-quote delimiter in Source on Sheet 1 row ",315,"; edit the input before running."),_xlfn.CONCAT("char ",TRIM($B315),"[doc_source] ",CHAR(96),CHAR(34),SUBSTITUTE(SUBSTITUTE(SUBSTITUTE(SUBSTITUTE(SUBSTITUTE(SUBSTITUTE($H315,CHAR(13)," "),CHAR(10)," "),CHAR(9)," "),CHAR(92),_xlfn.CONCAT(CHAR(92),CHAR(92))),"$",_xlfn.CONCAT(CHAR(92),"$")),CHAR(96),_xlfn.CONCAT(CHAR(92),CHAR(96))),CHAR(34),CHAR(39))))</f>
        <v/>
      </c>
      <c r="S315" s="5" t="str">
        <f>IF(OR(TRIM($B315)="",$I315=""),"",IF(OR(ISNUMBER(SEARCH(_xlfn.CONCAT(CHAR(96),CHAR(34)),$I315)),ISNUMBER(SEARCH(_xlfn.CONCAT(CHAR(34),CHAR(39)),$I315))),_xlfn.CONCAT("* REVIEW REQUIRED: compound-quote delimiter in Derivation on Sheet 1 row ",315,"; edit the input before running."),_xlfn.CONCAT("char ",TRIM($B315),"[doc_derivation] ",CHAR(96),CHAR(34),SUBSTITUTE(SUBSTITUTE(SUBSTITUTE(SUBSTITUTE(SUBSTITUTE(SUBSTITUTE($I315,CHAR(13)," "),CHAR(10)," "),CHAR(9)," "),CHAR(92),_xlfn.CONCAT(CHAR(92),CHAR(92))),"$",_xlfn.CONCAT(CHAR(92),"$")),CHAR(96),_xlfn.CONCAT(CHAR(92),CHAR(96))),CHAR(34),CHAR(39))))</f>
        <v/>
      </c>
      <c r="T315" s="5" t="str">
        <f>IF(OR(TRIM($B315)="",$J315=""),"",IF(OR(ISNUMBER(SEARCH(_xlfn.CONCAT(CHAR(96),CHAR(34)),$J315)),ISNUMBER(SEARCH(_xlfn.CONCAT(CHAR(34),CHAR(39)),$J315))),_xlfn.CONCAT("* REVIEW REQUIRED: compound-quote delimiter in Notes on Sheet 1 row ",315,"; edit the input before running."),_xlfn.CONCAT("char ",TRIM($B315),"[doc_notes] ",CHAR(96),CHAR(34),SUBSTITUTE(SUBSTITUTE(SUBSTITUTE(SUBSTITUTE(SUBSTITUTE(SUBSTITUTE($J315,CHAR(13)," "),CHAR(10)," "),CHAR(9)," "),CHAR(92),_xlfn.CONCAT(CHAR(92),CHAR(92))),"$",_xlfn.CONCAT(CHAR(92),"$")),CHAR(96),_xlfn.CONCAT(CHAR(92),CHAR(96))),CHAR(34),CHAR(39))))</f>
        <v/>
      </c>
      <c r="U315" s="5">
        <f t="shared" si="9"/>
        <v>0</v>
      </c>
    </row>
    <row r="316" spans="3:21" ht="30" customHeight="1" x14ac:dyDescent="0.2">
      <c r="C316" s="4"/>
      <c r="K316" s="5">
        <f t="shared" si="8"/>
        <v>0</v>
      </c>
      <c r="L316" s="5" t="str">
        <f>IF(OR(TRIM($B316)="",$A316=""),"",IF(OR(ISNUMBER(SEARCH(_xlfn.CONCAT(CHAR(96),CHAR(34)),$A316)),ISNUMBER(SEARCH(_xlfn.CONCAT(CHAR(34),CHAR(39)),$A316))),_xlfn.CONCAT("* REVIEW REQUIRED: compound-quote delimiter in Codebook Section on Sheet 1 row ",316,"; edit the input before running."),_xlfn.CONCAT("char ",TRIM($B316),"[doc_section] ",CHAR(96),CHAR(34),SUBSTITUTE(SUBSTITUTE(SUBSTITUTE(SUBSTITUTE(SUBSTITUTE(SUBSTITUTE($A316,CHAR(13)," "),CHAR(10)," "),CHAR(9)," "),CHAR(92),_xlfn.CONCAT(CHAR(92),CHAR(92))),"$",_xlfn.CONCAT(CHAR(92),"$")),CHAR(96),_xlfn.CONCAT(CHAR(92),CHAR(96))),CHAR(34),CHAR(39))))</f>
        <v/>
      </c>
      <c r="M316" s="5" t="str">
        <f>IF(OR(TRIM($B316)="",$C316=""),"",IF(IFERROR(MATCH(TRIM($C316),{"Quantitative","Continuous","Discrete","Categorical","Nominal","Ordinal","Identifier"},0),0)=0,_xlfn.CONCAT("* REVIEW REQUIRED: invalid Variable Type on Sheet 1 row ",316,"."),_xlfn.CONCAT("char ",TRIM($B316),"[doc_vartype] ",CHAR(96),CHAR(34),SUBSTITUTE(SUBSTITUTE(SUBSTITUTE(SUBSTITUTE(SUBSTITUTE(SUBSTITUTE(LOWER(TRIM($C316)),CHAR(13)," "),CHAR(10)," "),CHAR(9)," "),CHAR(92),_xlfn.CONCAT(CHAR(92),CHAR(92))),"$",_xlfn.CONCAT(CHAR(92),"$")),CHAR(96),_xlfn.CONCAT(CHAR(92),CHAR(96))),CHAR(34),CHAR(39))))</f>
        <v/>
      </c>
      <c r="N316" s="5" t="str">
        <f>IF(OR(TRIM($B316)="",$D316=""),"",IF(OR(ISNUMBER(SEARCH(_xlfn.CONCAT(CHAR(96),CHAR(34)),$D316)),ISNUMBER(SEARCH(_xlfn.CONCAT(CHAR(34),CHAR(39)),$D316))),_xlfn.CONCAT("* REVIEW REQUIRED: compound-quote delimiter in Item Number on Sheet 1 row ",316,"; edit the input before running."),_xlfn.CONCAT("char ",TRIM($B316),"[doc_itemnum] ",CHAR(96),CHAR(34),SUBSTITUTE(SUBSTITUTE(SUBSTITUTE(SUBSTITUTE(SUBSTITUTE(SUBSTITUTE($D316,CHAR(13)," "),CHAR(10)," "),CHAR(9)," "),CHAR(92),_xlfn.CONCAT(CHAR(92),CHAR(92))),"$",_xlfn.CONCAT(CHAR(92),"$")),CHAR(96),_xlfn.CONCAT(CHAR(92),CHAR(96))),CHAR(34),CHAR(39))))</f>
        <v/>
      </c>
      <c r="O316" s="5" t="str">
        <f>IF(OR(TRIM($B316)="",$E316=""),"",IF(OR(ISNUMBER(SEARCH(_xlfn.CONCAT(CHAR(96),CHAR(34)),$E316)),ISNUMBER(SEARCH(_xlfn.CONCAT(CHAR(34),CHAR(39)),$E316))),_xlfn.CONCAT("* REVIEW REQUIRED: compound-quote delimiter in Question Wording on Sheet 1 row ",316,"; edit the input before running."),_xlfn.CONCAT("char ",TRIM($B316),"[doc_question] ",CHAR(96),CHAR(34),SUBSTITUTE(SUBSTITUTE(SUBSTITUTE(SUBSTITUTE(SUBSTITUTE(SUBSTITUTE($E316,CHAR(13)," "),CHAR(10)," "),CHAR(9)," "),CHAR(92),_xlfn.CONCAT(CHAR(92),CHAR(92))),"$",_xlfn.CONCAT(CHAR(92),"$")),CHAR(96),_xlfn.CONCAT(CHAR(92),CHAR(96))),CHAR(34),CHAR(39))))</f>
        <v/>
      </c>
      <c r="P316" s="5" t="str">
        <f>IF(OR(TRIM($B316)="",$F316=""),"",IF(OR(ISNUMBER(SEARCH(_xlfn.CONCAT(CHAR(96),CHAR(34)),$F316)),ISNUMBER(SEARCH(_xlfn.CONCAT(CHAR(34),CHAR(39)),$F316))),_xlfn.CONCAT("* REVIEW REQUIRED: compound-quote delimiter in Units on Sheet 1 row ",316,"; edit the input before running."),_xlfn.CONCAT("char ",TRIM($B316),"[doc_units] ",CHAR(96),CHAR(34),SUBSTITUTE(SUBSTITUTE(SUBSTITUTE(SUBSTITUTE(SUBSTITUTE(SUBSTITUTE($F316,CHAR(13)," "),CHAR(10)," "),CHAR(9)," "),CHAR(92),_xlfn.CONCAT(CHAR(92),CHAR(92))),"$",_xlfn.CONCAT(CHAR(92),"$")),CHAR(96),_xlfn.CONCAT(CHAR(92),CHAR(96))),CHAR(34),CHAR(39))))</f>
        <v/>
      </c>
      <c r="Q316" s="5" t="str">
        <f>IF(OR(TRIM($B316)="",$G316=""),"",IF(OR(ISNUMBER(SEARCH(_xlfn.CONCAT(CHAR(96),CHAR(34)),$G316)),ISNUMBER(SEARCH(_xlfn.CONCAT(CHAR(34),CHAR(39)),$G316))),_xlfn.CONCAT("* REVIEW REQUIRED: compound-quote delimiter in Universe on Sheet 1 row ",316,"; edit the input before running."),_xlfn.CONCAT("char ",TRIM($B316),"[doc_universe] ",CHAR(96),CHAR(34),SUBSTITUTE(SUBSTITUTE(SUBSTITUTE(SUBSTITUTE(SUBSTITUTE(SUBSTITUTE($G316,CHAR(13)," "),CHAR(10)," "),CHAR(9)," "),CHAR(92),_xlfn.CONCAT(CHAR(92),CHAR(92))),"$",_xlfn.CONCAT(CHAR(92),"$")),CHAR(96),_xlfn.CONCAT(CHAR(92),CHAR(96))),CHAR(34),CHAR(39))))</f>
        <v/>
      </c>
      <c r="R316" s="5" t="str">
        <f>IF(OR(TRIM($B316)="",$H316=""),"",IF(OR(ISNUMBER(SEARCH(_xlfn.CONCAT(CHAR(96),CHAR(34)),$H316)),ISNUMBER(SEARCH(_xlfn.CONCAT(CHAR(34),CHAR(39)),$H316))),_xlfn.CONCAT("* REVIEW REQUIRED: compound-quote delimiter in Source on Sheet 1 row ",316,"; edit the input before running."),_xlfn.CONCAT("char ",TRIM($B316),"[doc_source] ",CHAR(96),CHAR(34),SUBSTITUTE(SUBSTITUTE(SUBSTITUTE(SUBSTITUTE(SUBSTITUTE(SUBSTITUTE($H316,CHAR(13)," "),CHAR(10)," "),CHAR(9)," "),CHAR(92),_xlfn.CONCAT(CHAR(92),CHAR(92))),"$",_xlfn.CONCAT(CHAR(92),"$")),CHAR(96),_xlfn.CONCAT(CHAR(92),CHAR(96))),CHAR(34),CHAR(39))))</f>
        <v/>
      </c>
      <c r="S316" s="5" t="str">
        <f>IF(OR(TRIM($B316)="",$I316=""),"",IF(OR(ISNUMBER(SEARCH(_xlfn.CONCAT(CHAR(96),CHAR(34)),$I316)),ISNUMBER(SEARCH(_xlfn.CONCAT(CHAR(34),CHAR(39)),$I316))),_xlfn.CONCAT("* REVIEW REQUIRED: compound-quote delimiter in Derivation on Sheet 1 row ",316,"; edit the input before running."),_xlfn.CONCAT("char ",TRIM($B316),"[doc_derivation] ",CHAR(96),CHAR(34),SUBSTITUTE(SUBSTITUTE(SUBSTITUTE(SUBSTITUTE(SUBSTITUTE(SUBSTITUTE($I316,CHAR(13)," "),CHAR(10)," "),CHAR(9)," "),CHAR(92),_xlfn.CONCAT(CHAR(92),CHAR(92))),"$",_xlfn.CONCAT(CHAR(92),"$")),CHAR(96),_xlfn.CONCAT(CHAR(92),CHAR(96))),CHAR(34),CHAR(39))))</f>
        <v/>
      </c>
      <c r="T316" s="5" t="str">
        <f>IF(OR(TRIM($B316)="",$J316=""),"",IF(OR(ISNUMBER(SEARCH(_xlfn.CONCAT(CHAR(96),CHAR(34)),$J316)),ISNUMBER(SEARCH(_xlfn.CONCAT(CHAR(34),CHAR(39)),$J316))),_xlfn.CONCAT("* REVIEW REQUIRED: compound-quote delimiter in Notes on Sheet 1 row ",316,"; edit the input before running."),_xlfn.CONCAT("char ",TRIM($B316),"[doc_notes] ",CHAR(96),CHAR(34),SUBSTITUTE(SUBSTITUTE(SUBSTITUTE(SUBSTITUTE(SUBSTITUTE(SUBSTITUTE($J316,CHAR(13)," "),CHAR(10)," "),CHAR(9)," "),CHAR(92),_xlfn.CONCAT(CHAR(92),CHAR(92))),"$",_xlfn.CONCAT(CHAR(92),"$")),CHAR(96),_xlfn.CONCAT(CHAR(92),CHAR(96))),CHAR(34),CHAR(39))))</f>
        <v/>
      </c>
      <c r="U316" s="5">
        <f t="shared" si="9"/>
        <v>0</v>
      </c>
    </row>
    <row r="317" spans="3:21" ht="30" customHeight="1" x14ac:dyDescent="0.2">
      <c r="C317" s="4"/>
      <c r="K317" s="5">
        <f t="shared" si="8"/>
        <v>0</v>
      </c>
      <c r="L317" s="5" t="str">
        <f>IF(OR(TRIM($B317)="",$A317=""),"",IF(OR(ISNUMBER(SEARCH(_xlfn.CONCAT(CHAR(96),CHAR(34)),$A317)),ISNUMBER(SEARCH(_xlfn.CONCAT(CHAR(34),CHAR(39)),$A317))),_xlfn.CONCAT("* REVIEW REQUIRED: compound-quote delimiter in Codebook Section on Sheet 1 row ",317,"; edit the input before running."),_xlfn.CONCAT("char ",TRIM($B317),"[doc_section] ",CHAR(96),CHAR(34),SUBSTITUTE(SUBSTITUTE(SUBSTITUTE(SUBSTITUTE(SUBSTITUTE(SUBSTITUTE($A317,CHAR(13)," "),CHAR(10)," "),CHAR(9)," "),CHAR(92),_xlfn.CONCAT(CHAR(92),CHAR(92))),"$",_xlfn.CONCAT(CHAR(92),"$")),CHAR(96),_xlfn.CONCAT(CHAR(92),CHAR(96))),CHAR(34),CHAR(39))))</f>
        <v/>
      </c>
      <c r="M317" s="5" t="str">
        <f>IF(OR(TRIM($B317)="",$C317=""),"",IF(IFERROR(MATCH(TRIM($C317),{"Quantitative","Continuous","Discrete","Categorical","Nominal","Ordinal","Identifier"},0),0)=0,_xlfn.CONCAT("* REVIEW REQUIRED: invalid Variable Type on Sheet 1 row ",317,"."),_xlfn.CONCAT("char ",TRIM($B317),"[doc_vartype] ",CHAR(96),CHAR(34),SUBSTITUTE(SUBSTITUTE(SUBSTITUTE(SUBSTITUTE(SUBSTITUTE(SUBSTITUTE(LOWER(TRIM($C317)),CHAR(13)," "),CHAR(10)," "),CHAR(9)," "),CHAR(92),_xlfn.CONCAT(CHAR(92),CHAR(92))),"$",_xlfn.CONCAT(CHAR(92),"$")),CHAR(96),_xlfn.CONCAT(CHAR(92),CHAR(96))),CHAR(34),CHAR(39))))</f>
        <v/>
      </c>
      <c r="N317" s="5" t="str">
        <f>IF(OR(TRIM($B317)="",$D317=""),"",IF(OR(ISNUMBER(SEARCH(_xlfn.CONCAT(CHAR(96),CHAR(34)),$D317)),ISNUMBER(SEARCH(_xlfn.CONCAT(CHAR(34),CHAR(39)),$D317))),_xlfn.CONCAT("* REVIEW REQUIRED: compound-quote delimiter in Item Number on Sheet 1 row ",317,"; edit the input before running."),_xlfn.CONCAT("char ",TRIM($B317),"[doc_itemnum] ",CHAR(96),CHAR(34),SUBSTITUTE(SUBSTITUTE(SUBSTITUTE(SUBSTITUTE(SUBSTITUTE(SUBSTITUTE($D317,CHAR(13)," "),CHAR(10)," "),CHAR(9)," "),CHAR(92),_xlfn.CONCAT(CHAR(92),CHAR(92))),"$",_xlfn.CONCAT(CHAR(92),"$")),CHAR(96),_xlfn.CONCAT(CHAR(92),CHAR(96))),CHAR(34),CHAR(39))))</f>
        <v/>
      </c>
      <c r="O317" s="5" t="str">
        <f>IF(OR(TRIM($B317)="",$E317=""),"",IF(OR(ISNUMBER(SEARCH(_xlfn.CONCAT(CHAR(96),CHAR(34)),$E317)),ISNUMBER(SEARCH(_xlfn.CONCAT(CHAR(34),CHAR(39)),$E317))),_xlfn.CONCAT("* REVIEW REQUIRED: compound-quote delimiter in Question Wording on Sheet 1 row ",317,"; edit the input before running."),_xlfn.CONCAT("char ",TRIM($B317),"[doc_question] ",CHAR(96),CHAR(34),SUBSTITUTE(SUBSTITUTE(SUBSTITUTE(SUBSTITUTE(SUBSTITUTE(SUBSTITUTE($E317,CHAR(13)," "),CHAR(10)," "),CHAR(9)," "),CHAR(92),_xlfn.CONCAT(CHAR(92),CHAR(92))),"$",_xlfn.CONCAT(CHAR(92),"$")),CHAR(96),_xlfn.CONCAT(CHAR(92),CHAR(96))),CHAR(34),CHAR(39))))</f>
        <v/>
      </c>
      <c r="P317" s="5" t="str">
        <f>IF(OR(TRIM($B317)="",$F317=""),"",IF(OR(ISNUMBER(SEARCH(_xlfn.CONCAT(CHAR(96),CHAR(34)),$F317)),ISNUMBER(SEARCH(_xlfn.CONCAT(CHAR(34),CHAR(39)),$F317))),_xlfn.CONCAT("* REVIEW REQUIRED: compound-quote delimiter in Units on Sheet 1 row ",317,"; edit the input before running."),_xlfn.CONCAT("char ",TRIM($B317),"[doc_units] ",CHAR(96),CHAR(34),SUBSTITUTE(SUBSTITUTE(SUBSTITUTE(SUBSTITUTE(SUBSTITUTE(SUBSTITUTE($F317,CHAR(13)," "),CHAR(10)," "),CHAR(9)," "),CHAR(92),_xlfn.CONCAT(CHAR(92),CHAR(92))),"$",_xlfn.CONCAT(CHAR(92),"$")),CHAR(96),_xlfn.CONCAT(CHAR(92),CHAR(96))),CHAR(34),CHAR(39))))</f>
        <v/>
      </c>
      <c r="Q317" s="5" t="str">
        <f>IF(OR(TRIM($B317)="",$G317=""),"",IF(OR(ISNUMBER(SEARCH(_xlfn.CONCAT(CHAR(96),CHAR(34)),$G317)),ISNUMBER(SEARCH(_xlfn.CONCAT(CHAR(34),CHAR(39)),$G317))),_xlfn.CONCAT("* REVIEW REQUIRED: compound-quote delimiter in Universe on Sheet 1 row ",317,"; edit the input before running."),_xlfn.CONCAT("char ",TRIM($B317),"[doc_universe] ",CHAR(96),CHAR(34),SUBSTITUTE(SUBSTITUTE(SUBSTITUTE(SUBSTITUTE(SUBSTITUTE(SUBSTITUTE($G317,CHAR(13)," "),CHAR(10)," "),CHAR(9)," "),CHAR(92),_xlfn.CONCAT(CHAR(92),CHAR(92))),"$",_xlfn.CONCAT(CHAR(92),"$")),CHAR(96),_xlfn.CONCAT(CHAR(92),CHAR(96))),CHAR(34),CHAR(39))))</f>
        <v/>
      </c>
      <c r="R317" s="5" t="str">
        <f>IF(OR(TRIM($B317)="",$H317=""),"",IF(OR(ISNUMBER(SEARCH(_xlfn.CONCAT(CHAR(96),CHAR(34)),$H317)),ISNUMBER(SEARCH(_xlfn.CONCAT(CHAR(34),CHAR(39)),$H317))),_xlfn.CONCAT("* REVIEW REQUIRED: compound-quote delimiter in Source on Sheet 1 row ",317,"; edit the input before running."),_xlfn.CONCAT("char ",TRIM($B317),"[doc_source] ",CHAR(96),CHAR(34),SUBSTITUTE(SUBSTITUTE(SUBSTITUTE(SUBSTITUTE(SUBSTITUTE(SUBSTITUTE($H317,CHAR(13)," "),CHAR(10)," "),CHAR(9)," "),CHAR(92),_xlfn.CONCAT(CHAR(92),CHAR(92))),"$",_xlfn.CONCAT(CHAR(92),"$")),CHAR(96),_xlfn.CONCAT(CHAR(92),CHAR(96))),CHAR(34),CHAR(39))))</f>
        <v/>
      </c>
      <c r="S317" s="5" t="str">
        <f>IF(OR(TRIM($B317)="",$I317=""),"",IF(OR(ISNUMBER(SEARCH(_xlfn.CONCAT(CHAR(96),CHAR(34)),$I317)),ISNUMBER(SEARCH(_xlfn.CONCAT(CHAR(34),CHAR(39)),$I317))),_xlfn.CONCAT("* REVIEW REQUIRED: compound-quote delimiter in Derivation on Sheet 1 row ",317,"; edit the input before running."),_xlfn.CONCAT("char ",TRIM($B317),"[doc_derivation] ",CHAR(96),CHAR(34),SUBSTITUTE(SUBSTITUTE(SUBSTITUTE(SUBSTITUTE(SUBSTITUTE(SUBSTITUTE($I317,CHAR(13)," "),CHAR(10)," "),CHAR(9)," "),CHAR(92),_xlfn.CONCAT(CHAR(92),CHAR(92))),"$",_xlfn.CONCAT(CHAR(92),"$")),CHAR(96),_xlfn.CONCAT(CHAR(92),CHAR(96))),CHAR(34),CHAR(39))))</f>
        <v/>
      </c>
      <c r="T317" s="5" t="str">
        <f>IF(OR(TRIM($B317)="",$J317=""),"",IF(OR(ISNUMBER(SEARCH(_xlfn.CONCAT(CHAR(96),CHAR(34)),$J317)),ISNUMBER(SEARCH(_xlfn.CONCAT(CHAR(34),CHAR(39)),$J317))),_xlfn.CONCAT("* REVIEW REQUIRED: compound-quote delimiter in Notes on Sheet 1 row ",317,"; edit the input before running."),_xlfn.CONCAT("char ",TRIM($B317),"[doc_notes] ",CHAR(96),CHAR(34),SUBSTITUTE(SUBSTITUTE(SUBSTITUTE(SUBSTITUTE(SUBSTITUTE(SUBSTITUTE($J317,CHAR(13)," "),CHAR(10)," "),CHAR(9)," "),CHAR(92),_xlfn.CONCAT(CHAR(92),CHAR(92))),"$",_xlfn.CONCAT(CHAR(92),"$")),CHAR(96),_xlfn.CONCAT(CHAR(92),CHAR(96))),CHAR(34),CHAR(39))))</f>
        <v/>
      </c>
      <c r="U317" s="5">
        <f t="shared" si="9"/>
        <v>0</v>
      </c>
    </row>
    <row r="318" spans="3:21" ht="30" customHeight="1" x14ac:dyDescent="0.2">
      <c r="C318" s="4"/>
      <c r="K318" s="5">
        <f t="shared" si="8"/>
        <v>0</v>
      </c>
      <c r="L318" s="5" t="str">
        <f>IF(OR(TRIM($B318)="",$A318=""),"",IF(OR(ISNUMBER(SEARCH(_xlfn.CONCAT(CHAR(96),CHAR(34)),$A318)),ISNUMBER(SEARCH(_xlfn.CONCAT(CHAR(34),CHAR(39)),$A318))),_xlfn.CONCAT("* REVIEW REQUIRED: compound-quote delimiter in Codebook Section on Sheet 1 row ",318,"; edit the input before running."),_xlfn.CONCAT("char ",TRIM($B318),"[doc_section] ",CHAR(96),CHAR(34),SUBSTITUTE(SUBSTITUTE(SUBSTITUTE(SUBSTITUTE(SUBSTITUTE(SUBSTITUTE($A318,CHAR(13)," "),CHAR(10)," "),CHAR(9)," "),CHAR(92),_xlfn.CONCAT(CHAR(92),CHAR(92))),"$",_xlfn.CONCAT(CHAR(92),"$")),CHAR(96),_xlfn.CONCAT(CHAR(92),CHAR(96))),CHAR(34),CHAR(39))))</f>
        <v/>
      </c>
      <c r="M318" s="5" t="str">
        <f>IF(OR(TRIM($B318)="",$C318=""),"",IF(IFERROR(MATCH(TRIM($C318),{"Quantitative","Continuous","Discrete","Categorical","Nominal","Ordinal","Identifier"},0),0)=0,_xlfn.CONCAT("* REVIEW REQUIRED: invalid Variable Type on Sheet 1 row ",318,"."),_xlfn.CONCAT("char ",TRIM($B318),"[doc_vartype] ",CHAR(96),CHAR(34),SUBSTITUTE(SUBSTITUTE(SUBSTITUTE(SUBSTITUTE(SUBSTITUTE(SUBSTITUTE(LOWER(TRIM($C318)),CHAR(13)," "),CHAR(10)," "),CHAR(9)," "),CHAR(92),_xlfn.CONCAT(CHAR(92),CHAR(92))),"$",_xlfn.CONCAT(CHAR(92),"$")),CHAR(96),_xlfn.CONCAT(CHAR(92),CHAR(96))),CHAR(34),CHAR(39))))</f>
        <v/>
      </c>
      <c r="N318" s="5" t="str">
        <f>IF(OR(TRIM($B318)="",$D318=""),"",IF(OR(ISNUMBER(SEARCH(_xlfn.CONCAT(CHAR(96),CHAR(34)),$D318)),ISNUMBER(SEARCH(_xlfn.CONCAT(CHAR(34),CHAR(39)),$D318))),_xlfn.CONCAT("* REVIEW REQUIRED: compound-quote delimiter in Item Number on Sheet 1 row ",318,"; edit the input before running."),_xlfn.CONCAT("char ",TRIM($B318),"[doc_itemnum] ",CHAR(96),CHAR(34),SUBSTITUTE(SUBSTITUTE(SUBSTITUTE(SUBSTITUTE(SUBSTITUTE(SUBSTITUTE($D318,CHAR(13)," "),CHAR(10)," "),CHAR(9)," "),CHAR(92),_xlfn.CONCAT(CHAR(92),CHAR(92))),"$",_xlfn.CONCAT(CHAR(92),"$")),CHAR(96),_xlfn.CONCAT(CHAR(92),CHAR(96))),CHAR(34),CHAR(39))))</f>
        <v/>
      </c>
      <c r="O318" s="5" t="str">
        <f>IF(OR(TRIM($B318)="",$E318=""),"",IF(OR(ISNUMBER(SEARCH(_xlfn.CONCAT(CHAR(96),CHAR(34)),$E318)),ISNUMBER(SEARCH(_xlfn.CONCAT(CHAR(34),CHAR(39)),$E318))),_xlfn.CONCAT("* REVIEW REQUIRED: compound-quote delimiter in Question Wording on Sheet 1 row ",318,"; edit the input before running."),_xlfn.CONCAT("char ",TRIM($B318),"[doc_question] ",CHAR(96),CHAR(34),SUBSTITUTE(SUBSTITUTE(SUBSTITUTE(SUBSTITUTE(SUBSTITUTE(SUBSTITUTE($E318,CHAR(13)," "),CHAR(10)," "),CHAR(9)," "),CHAR(92),_xlfn.CONCAT(CHAR(92),CHAR(92))),"$",_xlfn.CONCAT(CHAR(92),"$")),CHAR(96),_xlfn.CONCAT(CHAR(92),CHAR(96))),CHAR(34),CHAR(39))))</f>
        <v/>
      </c>
      <c r="P318" s="5" t="str">
        <f>IF(OR(TRIM($B318)="",$F318=""),"",IF(OR(ISNUMBER(SEARCH(_xlfn.CONCAT(CHAR(96),CHAR(34)),$F318)),ISNUMBER(SEARCH(_xlfn.CONCAT(CHAR(34),CHAR(39)),$F318))),_xlfn.CONCAT("* REVIEW REQUIRED: compound-quote delimiter in Units on Sheet 1 row ",318,"; edit the input before running."),_xlfn.CONCAT("char ",TRIM($B318),"[doc_units] ",CHAR(96),CHAR(34),SUBSTITUTE(SUBSTITUTE(SUBSTITUTE(SUBSTITUTE(SUBSTITUTE(SUBSTITUTE($F318,CHAR(13)," "),CHAR(10)," "),CHAR(9)," "),CHAR(92),_xlfn.CONCAT(CHAR(92),CHAR(92))),"$",_xlfn.CONCAT(CHAR(92),"$")),CHAR(96),_xlfn.CONCAT(CHAR(92),CHAR(96))),CHAR(34),CHAR(39))))</f>
        <v/>
      </c>
      <c r="Q318" s="5" t="str">
        <f>IF(OR(TRIM($B318)="",$G318=""),"",IF(OR(ISNUMBER(SEARCH(_xlfn.CONCAT(CHAR(96),CHAR(34)),$G318)),ISNUMBER(SEARCH(_xlfn.CONCAT(CHAR(34),CHAR(39)),$G318))),_xlfn.CONCAT("* REVIEW REQUIRED: compound-quote delimiter in Universe on Sheet 1 row ",318,"; edit the input before running."),_xlfn.CONCAT("char ",TRIM($B318),"[doc_universe] ",CHAR(96),CHAR(34),SUBSTITUTE(SUBSTITUTE(SUBSTITUTE(SUBSTITUTE(SUBSTITUTE(SUBSTITUTE($G318,CHAR(13)," "),CHAR(10)," "),CHAR(9)," "),CHAR(92),_xlfn.CONCAT(CHAR(92),CHAR(92))),"$",_xlfn.CONCAT(CHAR(92),"$")),CHAR(96),_xlfn.CONCAT(CHAR(92),CHAR(96))),CHAR(34),CHAR(39))))</f>
        <v/>
      </c>
      <c r="R318" s="5" t="str">
        <f>IF(OR(TRIM($B318)="",$H318=""),"",IF(OR(ISNUMBER(SEARCH(_xlfn.CONCAT(CHAR(96),CHAR(34)),$H318)),ISNUMBER(SEARCH(_xlfn.CONCAT(CHAR(34),CHAR(39)),$H318))),_xlfn.CONCAT("* REVIEW REQUIRED: compound-quote delimiter in Source on Sheet 1 row ",318,"; edit the input before running."),_xlfn.CONCAT("char ",TRIM($B318),"[doc_source] ",CHAR(96),CHAR(34),SUBSTITUTE(SUBSTITUTE(SUBSTITUTE(SUBSTITUTE(SUBSTITUTE(SUBSTITUTE($H318,CHAR(13)," "),CHAR(10)," "),CHAR(9)," "),CHAR(92),_xlfn.CONCAT(CHAR(92),CHAR(92))),"$",_xlfn.CONCAT(CHAR(92),"$")),CHAR(96),_xlfn.CONCAT(CHAR(92),CHAR(96))),CHAR(34),CHAR(39))))</f>
        <v/>
      </c>
      <c r="S318" s="5" t="str">
        <f>IF(OR(TRIM($B318)="",$I318=""),"",IF(OR(ISNUMBER(SEARCH(_xlfn.CONCAT(CHAR(96),CHAR(34)),$I318)),ISNUMBER(SEARCH(_xlfn.CONCAT(CHAR(34),CHAR(39)),$I318))),_xlfn.CONCAT("* REVIEW REQUIRED: compound-quote delimiter in Derivation on Sheet 1 row ",318,"; edit the input before running."),_xlfn.CONCAT("char ",TRIM($B318),"[doc_derivation] ",CHAR(96),CHAR(34),SUBSTITUTE(SUBSTITUTE(SUBSTITUTE(SUBSTITUTE(SUBSTITUTE(SUBSTITUTE($I318,CHAR(13)," "),CHAR(10)," "),CHAR(9)," "),CHAR(92),_xlfn.CONCAT(CHAR(92),CHAR(92))),"$",_xlfn.CONCAT(CHAR(92),"$")),CHAR(96),_xlfn.CONCAT(CHAR(92),CHAR(96))),CHAR(34),CHAR(39))))</f>
        <v/>
      </c>
      <c r="T318" s="5" t="str">
        <f>IF(OR(TRIM($B318)="",$J318=""),"",IF(OR(ISNUMBER(SEARCH(_xlfn.CONCAT(CHAR(96),CHAR(34)),$J318)),ISNUMBER(SEARCH(_xlfn.CONCAT(CHAR(34),CHAR(39)),$J318))),_xlfn.CONCAT("* REVIEW REQUIRED: compound-quote delimiter in Notes on Sheet 1 row ",318,"; edit the input before running."),_xlfn.CONCAT("char ",TRIM($B318),"[doc_notes] ",CHAR(96),CHAR(34),SUBSTITUTE(SUBSTITUTE(SUBSTITUTE(SUBSTITUTE(SUBSTITUTE(SUBSTITUTE($J318,CHAR(13)," "),CHAR(10)," "),CHAR(9)," "),CHAR(92),_xlfn.CONCAT(CHAR(92),CHAR(92))),"$",_xlfn.CONCAT(CHAR(92),"$")),CHAR(96),_xlfn.CONCAT(CHAR(92),CHAR(96))),CHAR(34),CHAR(39))))</f>
        <v/>
      </c>
      <c r="U318" s="5">
        <f t="shared" si="9"/>
        <v>0</v>
      </c>
    </row>
    <row r="319" spans="3:21" ht="30" customHeight="1" x14ac:dyDescent="0.2">
      <c r="C319" s="4"/>
      <c r="K319" s="5">
        <f t="shared" si="8"/>
        <v>0</v>
      </c>
      <c r="L319" s="5" t="str">
        <f>IF(OR(TRIM($B319)="",$A319=""),"",IF(OR(ISNUMBER(SEARCH(_xlfn.CONCAT(CHAR(96),CHAR(34)),$A319)),ISNUMBER(SEARCH(_xlfn.CONCAT(CHAR(34),CHAR(39)),$A319))),_xlfn.CONCAT("* REVIEW REQUIRED: compound-quote delimiter in Codebook Section on Sheet 1 row ",319,"; edit the input before running."),_xlfn.CONCAT("char ",TRIM($B319),"[doc_section] ",CHAR(96),CHAR(34),SUBSTITUTE(SUBSTITUTE(SUBSTITUTE(SUBSTITUTE(SUBSTITUTE(SUBSTITUTE($A319,CHAR(13)," "),CHAR(10)," "),CHAR(9)," "),CHAR(92),_xlfn.CONCAT(CHAR(92),CHAR(92))),"$",_xlfn.CONCAT(CHAR(92),"$")),CHAR(96),_xlfn.CONCAT(CHAR(92),CHAR(96))),CHAR(34),CHAR(39))))</f>
        <v/>
      </c>
      <c r="M319" s="5" t="str">
        <f>IF(OR(TRIM($B319)="",$C319=""),"",IF(IFERROR(MATCH(TRIM($C319),{"Quantitative","Continuous","Discrete","Categorical","Nominal","Ordinal","Identifier"},0),0)=0,_xlfn.CONCAT("* REVIEW REQUIRED: invalid Variable Type on Sheet 1 row ",319,"."),_xlfn.CONCAT("char ",TRIM($B319),"[doc_vartype] ",CHAR(96),CHAR(34),SUBSTITUTE(SUBSTITUTE(SUBSTITUTE(SUBSTITUTE(SUBSTITUTE(SUBSTITUTE(LOWER(TRIM($C319)),CHAR(13)," "),CHAR(10)," "),CHAR(9)," "),CHAR(92),_xlfn.CONCAT(CHAR(92),CHAR(92))),"$",_xlfn.CONCAT(CHAR(92),"$")),CHAR(96),_xlfn.CONCAT(CHAR(92),CHAR(96))),CHAR(34),CHAR(39))))</f>
        <v/>
      </c>
      <c r="N319" s="5" t="str">
        <f>IF(OR(TRIM($B319)="",$D319=""),"",IF(OR(ISNUMBER(SEARCH(_xlfn.CONCAT(CHAR(96),CHAR(34)),$D319)),ISNUMBER(SEARCH(_xlfn.CONCAT(CHAR(34),CHAR(39)),$D319))),_xlfn.CONCAT("* REVIEW REQUIRED: compound-quote delimiter in Item Number on Sheet 1 row ",319,"; edit the input before running."),_xlfn.CONCAT("char ",TRIM($B319),"[doc_itemnum] ",CHAR(96),CHAR(34),SUBSTITUTE(SUBSTITUTE(SUBSTITUTE(SUBSTITUTE(SUBSTITUTE(SUBSTITUTE($D319,CHAR(13)," "),CHAR(10)," "),CHAR(9)," "),CHAR(92),_xlfn.CONCAT(CHAR(92),CHAR(92))),"$",_xlfn.CONCAT(CHAR(92),"$")),CHAR(96),_xlfn.CONCAT(CHAR(92),CHAR(96))),CHAR(34),CHAR(39))))</f>
        <v/>
      </c>
      <c r="O319" s="5" t="str">
        <f>IF(OR(TRIM($B319)="",$E319=""),"",IF(OR(ISNUMBER(SEARCH(_xlfn.CONCAT(CHAR(96),CHAR(34)),$E319)),ISNUMBER(SEARCH(_xlfn.CONCAT(CHAR(34),CHAR(39)),$E319))),_xlfn.CONCAT("* REVIEW REQUIRED: compound-quote delimiter in Question Wording on Sheet 1 row ",319,"; edit the input before running."),_xlfn.CONCAT("char ",TRIM($B319),"[doc_question] ",CHAR(96),CHAR(34),SUBSTITUTE(SUBSTITUTE(SUBSTITUTE(SUBSTITUTE(SUBSTITUTE(SUBSTITUTE($E319,CHAR(13)," "),CHAR(10)," "),CHAR(9)," "),CHAR(92),_xlfn.CONCAT(CHAR(92),CHAR(92))),"$",_xlfn.CONCAT(CHAR(92),"$")),CHAR(96),_xlfn.CONCAT(CHAR(92),CHAR(96))),CHAR(34),CHAR(39))))</f>
        <v/>
      </c>
      <c r="P319" s="5" t="str">
        <f>IF(OR(TRIM($B319)="",$F319=""),"",IF(OR(ISNUMBER(SEARCH(_xlfn.CONCAT(CHAR(96),CHAR(34)),$F319)),ISNUMBER(SEARCH(_xlfn.CONCAT(CHAR(34),CHAR(39)),$F319))),_xlfn.CONCAT("* REVIEW REQUIRED: compound-quote delimiter in Units on Sheet 1 row ",319,"; edit the input before running."),_xlfn.CONCAT("char ",TRIM($B319),"[doc_units] ",CHAR(96),CHAR(34),SUBSTITUTE(SUBSTITUTE(SUBSTITUTE(SUBSTITUTE(SUBSTITUTE(SUBSTITUTE($F319,CHAR(13)," "),CHAR(10)," "),CHAR(9)," "),CHAR(92),_xlfn.CONCAT(CHAR(92),CHAR(92))),"$",_xlfn.CONCAT(CHAR(92),"$")),CHAR(96),_xlfn.CONCAT(CHAR(92),CHAR(96))),CHAR(34),CHAR(39))))</f>
        <v/>
      </c>
      <c r="Q319" s="5" t="str">
        <f>IF(OR(TRIM($B319)="",$G319=""),"",IF(OR(ISNUMBER(SEARCH(_xlfn.CONCAT(CHAR(96),CHAR(34)),$G319)),ISNUMBER(SEARCH(_xlfn.CONCAT(CHAR(34),CHAR(39)),$G319))),_xlfn.CONCAT("* REVIEW REQUIRED: compound-quote delimiter in Universe on Sheet 1 row ",319,"; edit the input before running."),_xlfn.CONCAT("char ",TRIM($B319),"[doc_universe] ",CHAR(96),CHAR(34),SUBSTITUTE(SUBSTITUTE(SUBSTITUTE(SUBSTITUTE(SUBSTITUTE(SUBSTITUTE($G319,CHAR(13)," "),CHAR(10)," "),CHAR(9)," "),CHAR(92),_xlfn.CONCAT(CHAR(92),CHAR(92))),"$",_xlfn.CONCAT(CHAR(92),"$")),CHAR(96),_xlfn.CONCAT(CHAR(92),CHAR(96))),CHAR(34),CHAR(39))))</f>
        <v/>
      </c>
      <c r="R319" s="5" t="str">
        <f>IF(OR(TRIM($B319)="",$H319=""),"",IF(OR(ISNUMBER(SEARCH(_xlfn.CONCAT(CHAR(96),CHAR(34)),$H319)),ISNUMBER(SEARCH(_xlfn.CONCAT(CHAR(34),CHAR(39)),$H319))),_xlfn.CONCAT("* REVIEW REQUIRED: compound-quote delimiter in Source on Sheet 1 row ",319,"; edit the input before running."),_xlfn.CONCAT("char ",TRIM($B319),"[doc_source] ",CHAR(96),CHAR(34),SUBSTITUTE(SUBSTITUTE(SUBSTITUTE(SUBSTITUTE(SUBSTITUTE(SUBSTITUTE($H319,CHAR(13)," "),CHAR(10)," "),CHAR(9)," "),CHAR(92),_xlfn.CONCAT(CHAR(92),CHAR(92))),"$",_xlfn.CONCAT(CHAR(92),"$")),CHAR(96),_xlfn.CONCAT(CHAR(92),CHAR(96))),CHAR(34),CHAR(39))))</f>
        <v/>
      </c>
      <c r="S319" s="5" t="str">
        <f>IF(OR(TRIM($B319)="",$I319=""),"",IF(OR(ISNUMBER(SEARCH(_xlfn.CONCAT(CHAR(96),CHAR(34)),$I319)),ISNUMBER(SEARCH(_xlfn.CONCAT(CHAR(34),CHAR(39)),$I319))),_xlfn.CONCAT("* REVIEW REQUIRED: compound-quote delimiter in Derivation on Sheet 1 row ",319,"; edit the input before running."),_xlfn.CONCAT("char ",TRIM($B319),"[doc_derivation] ",CHAR(96),CHAR(34),SUBSTITUTE(SUBSTITUTE(SUBSTITUTE(SUBSTITUTE(SUBSTITUTE(SUBSTITUTE($I319,CHAR(13)," "),CHAR(10)," "),CHAR(9)," "),CHAR(92),_xlfn.CONCAT(CHAR(92),CHAR(92))),"$",_xlfn.CONCAT(CHAR(92),"$")),CHAR(96),_xlfn.CONCAT(CHAR(92),CHAR(96))),CHAR(34),CHAR(39))))</f>
        <v/>
      </c>
      <c r="T319" s="5" t="str">
        <f>IF(OR(TRIM($B319)="",$J319=""),"",IF(OR(ISNUMBER(SEARCH(_xlfn.CONCAT(CHAR(96),CHAR(34)),$J319)),ISNUMBER(SEARCH(_xlfn.CONCAT(CHAR(34),CHAR(39)),$J319))),_xlfn.CONCAT("* REVIEW REQUIRED: compound-quote delimiter in Notes on Sheet 1 row ",319,"; edit the input before running."),_xlfn.CONCAT("char ",TRIM($B319),"[doc_notes] ",CHAR(96),CHAR(34),SUBSTITUTE(SUBSTITUTE(SUBSTITUTE(SUBSTITUTE(SUBSTITUTE(SUBSTITUTE($J319,CHAR(13)," "),CHAR(10)," "),CHAR(9)," "),CHAR(92),_xlfn.CONCAT(CHAR(92),CHAR(92))),"$",_xlfn.CONCAT(CHAR(92),"$")),CHAR(96),_xlfn.CONCAT(CHAR(92),CHAR(96))),CHAR(34),CHAR(39))))</f>
        <v/>
      </c>
      <c r="U319" s="5">
        <f t="shared" si="9"/>
        <v>0</v>
      </c>
    </row>
    <row r="320" spans="3:21" ht="30" customHeight="1" x14ac:dyDescent="0.2">
      <c r="C320" s="4"/>
      <c r="K320" s="5">
        <f t="shared" si="8"/>
        <v>0</v>
      </c>
      <c r="L320" s="5" t="str">
        <f>IF(OR(TRIM($B320)="",$A320=""),"",IF(OR(ISNUMBER(SEARCH(_xlfn.CONCAT(CHAR(96),CHAR(34)),$A320)),ISNUMBER(SEARCH(_xlfn.CONCAT(CHAR(34),CHAR(39)),$A320))),_xlfn.CONCAT("* REVIEW REQUIRED: compound-quote delimiter in Codebook Section on Sheet 1 row ",320,"; edit the input before running."),_xlfn.CONCAT("char ",TRIM($B320),"[doc_section] ",CHAR(96),CHAR(34),SUBSTITUTE(SUBSTITUTE(SUBSTITUTE(SUBSTITUTE(SUBSTITUTE(SUBSTITUTE($A320,CHAR(13)," "),CHAR(10)," "),CHAR(9)," "),CHAR(92),_xlfn.CONCAT(CHAR(92),CHAR(92))),"$",_xlfn.CONCAT(CHAR(92),"$")),CHAR(96),_xlfn.CONCAT(CHAR(92),CHAR(96))),CHAR(34),CHAR(39))))</f>
        <v/>
      </c>
      <c r="M320" s="5" t="str">
        <f>IF(OR(TRIM($B320)="",$C320=""),"",IF(IFERROR(MATCH(TRIM($C320),{"Quantitative","Continuous","Discrete","Categorical","Nominal","Ordinal","Identifier"},0),0)=0,_xlfn.CONCAT("* REVIEW REQUIRED: invalid Variable Type on Sheet 1 row ",320,"."),_xlfn.CONCAT("char ",TRIM($B320),"[doc_vartype] ",CHAR(96),CHAR(34),SUBSTITUTE(SUBSTITUTE(SUBSTITUTE(SUBSTITUTE(SUBSTITUTE(SUBSTITUTE(LOWER(TRIM($C320)),CHAR(13)," "),CHAR(10)," "),CHAR(9)," "),CHAR(92),_xlfn.CONCAT(CHAR(92),CHAR(92))),"$",_xlfn.CONCAT(CHAR(92),"$")),CHAR(96),_xlfn.CONCAT(CHAR(92),CHAR(96))),CHAR(34),CHAR(39))))</f>
        <v/>
      </c>
      <c r="N320" s="5" t="str">
        <f>IF(OR(TRIM($B320)="",$D320=""),"",IF(OR(ISNUMBER(SEARCH(_xlfn.CONCAT(CHAR(96),CHAR(34)),$D320)),ISNUMBER(SEARCH(_xlfn.CONCAT(CHAR(34),CHAR(39)),$D320))),_xlfn.CONCAT("* REVIEW REQUIRED: compound-quote delimiter in Item Number on Sheet 1 row ",320,"; edit the input before running."),_xlfn.CONCAT("char ",TRIM($B320),"[doc_itemnum] ",CHAR(96),CHAR(34),SUBSTITUTE(SUBSTITUTE(SUBSTITUTE(SUBSTITUTE(SUBSTITUTE(SUBSTITUTE($D320,CHAR(13)," "),CHAR(10)," "),CHAR(9)," "),CHAR(92),_xlfn.CONCAT(CHAR(92),CHAR(92))),"$",_xlfn.CONCAT(CHAR(92),"$")),CHAR(96),_xlfn.CONCAT(CHAR(92),CHAR(96))),CHAR(34),CHAR(39))))</f>
        <v/>
      </c>
      <c r="O320" s="5" t="str">
        <f>IF(OR(TRIM($B320)="",$E320=""),"",IF(OR(ISNUMBER(SEARCH(_xlfn.CONCAT(CHAR(96),CHAR(34)),$E320)),ISNUMBER(SEARCH(_xlfn.CONCAT(CHAR(34),CHAR(39)),$E320))),_xlfn.CONCAT("* REVIEW REQUIRED: compound-quote delimiter in Question Wording on Sheet 1 row ",320,"; edit the input before running."),_xlfn.CONCAT("char ",TRIM($B320),"[doc_question] ",CHAR(96),CHAR(34),SUBSTITUTE(SUBSTITUTE(SUBSTITUTE(SUBSTITUTE(SUBSTITUTE(SUBSTITUTE($E320,CHAR(13)," "),CHAR(10)," "),CHAR(9)," "),CHAR(92),_xlfn.CONCAT(CHAR(92),CHAR(92))),"$",_xlfn.CONCAT(CHAR(92),"$")),CHAR(96),_xlfn.CONCAT(CHAR(92),CHAR(96))),CHAR(34),CHAR(39))))</f>
        <v/>
      </c>
      <c r="P320" s="5" t="str">
        <f>IF(OR(TRIM($B320)="",$F320=""),"",IF(OR(ISNUMBER(SEARCH(_xlfn.CONCAT(CHAR(96),CHAR(34)),$F320)),ISNUMBER(SEARCH(_xlfn.CONCAT(CHAR(34),CHAR(39)),$F320))),_xlfn.CONCAT("* REVIEW REQUIRED: compound-quote delimiter in Units on Sheet 1 row ",320,"; edit the input before running."),_xlfn.CONCAT("char ",TRIM($B320),"[doc_units] ",CHAR(96),CHAR(34),SUBSTITUTE(SUBSTITUTE(SUBSTITUTE(SUBSTITUTE(SUBSTITUTE(SUBSTITUTE($F320,CHAR(13)," "),CHAR(10)," "),CHAR(9)," "),CHAR(92),_xlfn.CONCAT(CHAR(92),CHAR(92))),"$",_xlfn.CONCAT(CHAR(92),"$")),CHAR(96),_xlfn.CONCAT(CHAR(92),CHAR(96))),CHAR(34),CHAR(39))))</f>
        <v/>
      </c>
      <c r="Q320" s="5" t="str">
        <f>IF(OR(TRIM($B320)="",$G320=""),"",IF(OR(ISNUMBER(SEARCH(_xlfn.CONCAT(CHAR(96),CHAR(34)),$G320)),ISNUMBER(SEARCH(_xlfn.CONCAT(CHAR(34),CHAR(39)),$G320))),_xlfn.CONCAT("* REVIEW REQUIRED: compound-quote delimiter in Universe on Sheet 1 row ",320,"; edit the input before running."),_xlfn.CONCAT("char ",TRIM($B320),"[doc_universe] ",CHAR(96),CHAR(34),SUBSTITUTE(SUBSTITUTE(SUBSTITUTE(SUBSTITUTE(SUBSTITUTE(SUBSTITUTE($G320,CHAR(13)," "),CHAR(10)," "),CHAR(9)," "),CHAR(92),_xlfn.CONCAT(CHAR(92),CHAR(92))),"$",_xlfn.CONCAT(CHAR(92),"$")),CHAR(96),_xlfn.CONCAT(CHAR(92),CHAR(96))),CHAR(34),CHAR(39))))</f>
        <v/>
      </c>
      <c r="R320" s="5" t="str">
        <f>IF(OR(TRIM($B320)="",$H320=""),"",IF(OR(ISNUMBER(SEARCH(_xlfn.CONCAT(CHAR(96),CHAR(34)),$H320)),ISNUMBER(SEARCH(_xlfn.CONCAT(CHAR(34),CHAR(39)),$H320))),_xlfn.CONCAT("* REVIEW REQUIRED: compound-quote delimiter in Source on Sheet 1 row ",320,"; edit the input before running."),_xlfn.CONCAT("char ",TRIM($B320),"[doc_source] ",CHAR(96),CHAR(34),SUBSTITUTE(SUBSTITUTE(SUBSTITUTE(SUBSTITUTE(SUBSTITUTE(SUBSTITUTE($H320,CHAR(13)," "),CHAR(10)," "),CHAR(9)," "),CHAR(92),_xlfn.CONCAT(CHAR(92),CHAR(92))),"$",_xlfn.CONCAT(CHAR(92),"$")),CHAR(96),_xlfn.CONCAT(CHAR(92),CHAR(96))),CHAR(34),CHAR(39))))</f>
        <v/>
      </c>
      <c r="S320" s="5" t="str">
        <f>IF(OR(TRIM($B320)="",$I320=""),"",IF(OR(ISNUMBER(SEARCH(_xlfn.CONCAT(CHAR(96),CHAR(34)),$I320)),ISNUMBER(SEARCH(_xlfn.CONCAT(CHAR(34),CHAR(39)),$I320))),_xlfn.CONCAT("* REVIEW REQUIRED: compound-quote delimiter in Derivation on Sheet 1 row ",320,"; edit the input before running."),_xlfn.CONCAT("char ",TRIM($B320),"[doc_derivation] ",CHAR(96),CHAR(34),SUBSTITUTE(SUBSTITUTE(SUBSTITUTE(SUBSTITUTE(SUBSTITUTE(SUBSTITUTE($I320,CHAR(13)," "),CHAR(10)," "),CHAR(9)," "),CHAR(92),_xlfn.CONCAT(CHAR(92),CHAR(92))),"$",_xlfn.CONCAT(CHAR(92),"$")),CHAR(96),_xlfn.CONCAT(CHAR(92),CHAR(96))),CHAR(34),CHAR(39))))</f>
        <v/>
      </c>
      <c r="T320" s="5" t="str">
        <f>IF(OR(TRIM($B320)="",$J320=""),"",IF(OR(ISNUMBER(SEARCH(_xlfn.CONCAT(CHAR(96),CHAR(34)),$J320)),ISNUMBER(SEARCH(_xlfn.CONCAT(CHAR(34),CHAR(39)),$J320))),_xlfn.CONCAT("* REVIEW REQUIRED: compound-quote delimiter in Notes on Sheet 1 row ",320,"; edit the input before running."),_xlfn.CONCAT("char ",TRIM($B320),"[doc_notes] ",CHAR(96),CHAR(34),SUBSTITUTE(SUBSTITUTE(SUBSTITUTE(SUBSTITUTE(SUBSTITUTE(SUBSTITUTE($J320,CHAR(13)," "),CHAR(10)," "),CHAR(9)," "),CHAR(92),_xlfn.CONCAT(CHAR(92),CHAR(92))),"$",_xlfn.CONCAT(CHAR(92),"$")),CHAR(96),_xlfn.CONCAT(CHAR(92),CHAR(96))),CHAR(34),CHAR(39))))</f>
        <v/>
      </c>
      <c r="U320" s="5">
        <f t="shared" si="9"/>
        <v>0</v>
      </c>
    </row>
    <row r="321" spans="3:21" ht="30" customHeight="1" x14ac:dyDescent="0.2">
      <c r="C321" s="4"/>
      <c r="K321" s="5">
        <f t="shared" si="8"/>
        <v>0</v>
      </c>
      <c r="L321" s="5" t="str">
        <f>IF(OR(TRIM($B321)="",$A321=""),"",IF(OR(ISNUMBER(SEARCH(_xlfn.CONCAT(CHAR(96),CHAR(34)),$A321)),ISNUMBER(SEARCH(_xlfn.CONCAT(CHAR(34),CHAR(39)),$A321))),_xlfn.CONCAT("* REVIEW REQUIRED: compound-quote delimiter in Codebook Section on Sheet 1 row ",321,"; edit the input before running."),_xlfn.CONCAT("char ",TRIM($B321),"[doc_section] ",CHAR(96),CHAR(34),SUBSTITUTE(SUBSTITUTE(SUBSTITUTE(SUBSTITUTE(SUBSTITUTE(SUBSTITUTE($A321,CHAR(13)," "),CHAR(10)," "),CHAR(9)," "),CHAR(92),_xlfn.CONCAT(CHAR(92),CHAR(92))),"$",_xlfn.CONCAT(CHAR(92),"$")),CHAR(96),_xlfn.CONCAT(CHAR(92),CHAR(96))),CHAR(34),CHAR(39))))</f>
        <v/>
      </c>
      <c r="M321" s="5" t="str">
        <f>IF(OR(TRIM($B321)="",$C321=""),"",IF(IFERROR(MATCH(TRIM($C321),{"Quantitative","Continuous","Discrete","Categorical","Nominal","Ordinal","Identifier"},0),0)=0,_xlfn.CONCAT("* REVIEW REQUIRED: invalid Variable Type on Sheet 1 row ",321,"."),_xlfn.CONCAT("char ",TRIM($B321),"[doc_vartype] ",CHAR(96),CHAR(34),SUBSTITUTE(SUBSTITUTE(SUBSTITUTE(SUBSTITUTE(SUBSTITUTE(SUBSTITUTE(LOWER(TRIM($C321)),CHAR(13)," "),CHAR(10)," "),CHAR(9)," "),CHAR(92),_xlfn.CONCAT(CHAR(92),CHAR(92))),"$",_xlfn.CONCAT(CHAR(92),"$")),CHAR(96),_xlfn.CONCAT(CHAR(92),CHAR(96))),CHAR(34),CHAR(39))))</f>
        <v/>
      </c>
      <c r="N321" s="5" t="str">
        <f>IF(OR(TRIM($B321)="",$D321=""),"",IF(OR(ISNUMBER(SEARCH(_xlfn.CONCAT(CHAR(96),CHAR(34)),$D321)),ISNUMBER(SEARCH(_xlfn.CONCAT(CHAR(34),CHAR(39)),$D321))),_xlfn.CONCAT("* REVIEW REQUIRED: compound-quote delimiter in Item Number on Sheet 1 row ",321,"; edit the input before running."),_xlfn.CONCAT("char ",TRIM($B321),"[doc_itemnum] ",CHAR(96),CHAR(34),SUBSTITUTE(SUBSTITUTE(SUBSTITUTE(SUBSTITUTE(SUBSTITUTE(SUBSTITUTE($D321,CHAR(13)," "),CHAR(10)," "),CHAR(9)," "),CHAR(92),_xlfn.CONCAT(CHAR(92),CHAR(92))),"$",_xlfn.CONCAT(CHAR(92),"$")),CHAR(96),_xlfn.CONCAT(CHAR(92),CHAR(96))),CHAR(34),CHAR(39))))</f>
        <v/>
      </c>
      <c r="O321" s="5" t="str">
        <f>IF(OR(TRIM($B321)="",$E321=""),"",IF(OR(ISNUMBER(SEARCH(_xlfn.CONCAT(CHAR(96),CHAR(34)),$E321)),ISNUMBER(SEARCH(_xlfn.CONCAT(CHAR(34),CHAR(39)),$E321))),_xlfn.CONCAT("* REVIEW REQUIRED: compound-quote delimiter in Question Wording on Sheet 1 row ",321,"; edit the input before running."),_xlfn.CONCAT("char ",TRIM($B321),"[doc_question] ",CHAR(96),CHAR(34),SUBSTITUTE(SUBSTITUTE(SUBSTITUTE(SUBSTITUTE(SUBSTITUTE(SUBSTITUTE($E321,CHAR(13)," "),CHAR(10)," "),CHAR(9)," "),CHAR(92),_xlfn.CONCAT(CHAR(92),CHAR(92))),"$",_xlfn.CONCAT(CHAR(92),"$")),CHAR(96),_xlfn.CONCAT(CHAR(92),CHAR(96))),CHAR(34),CHAR(39))))</f>
        <v/>
      </c>
      <c r="P321" s="5" t="str">
        <f>IF(OR(TRIM($B321)="",$F321=""),"",IF(OR(ISNUMBER(SEARCH(_xlfn.CONCAT(CHAR(96),CHAR(34)),$F321)),ISNUMBER(SEARCH(_xlfn.CONCAT(CHAR(34),CHAR(39)),$F321))),_xlfn.CONCAT("* REVIEW REQUIRED: compound-quote delimiter in Units on Sheet 1 row ",321,"; edit the input before running."),_xlfn.CONCAT("char ",TRIM($B321),"[doc_units] ",CHAR(96),CHAR(34),SUBSTITUTE(SUBSTITUTE(SUBSTITUTE(SUBSTITUTE(SUBSTITUTE(SUBSTITUTE($F321,CHAR(13)," "),CHAR(10)," "),CHAR(9)," "),CHAR(92),_xlfn.CONCAT(CHAR(92),CHAR(92))),"$",_xlfn.CONCAT(CHAR(92),"$")),CHAR(96),_xlfn.CONCAT(CHAR(92),CHAR(96))),CHAR(34),CHAR(39))))</f>
        <v/>
      </c>
      <c r="Q321" s="5" t="str">
        <f>IF(OR(TRIM($B321)="",$G321=""),"",IF(OR(ISNUMBER(SEARCH(_xlfn.CONCAT(CHAR(96),CHAR(34)),$G321)),ISNUMBER(SEARCH(_xlfn.CONCAT(CHAR(34),CHAR(39)),$G321))),_xlfn.CONCAT("* REVIEW REQUIRED: compound-quote delimiter in Universe on Sheet 1 row ",321,"; edit the input before running."),_xlfn.CONCAT("char ",TRIM($B321),"[doc_universe] ",CHAR(96),CHAR(34),SUBSTITUTE(SUBSTITUTE(SUBSTITUTE(SUBSTITUTE(SUBSTITUTE(SUBSTITUTE($G321,CHAR(13)," "),CHAR(10)," "),CHAR(9)," "),CHAR(92),_xlfn.CONCAT(CHAR(92),CHAR(92))),"$",_xlfn.CONCAT(CHAR(92),"$")),CHAR(96),_xlfn.CONCAT(CHAR(92),CHAR(96))),CHAR(34),CHAR(39))))</f>
        <v/>
      </c>
      <c r="R321" s="5" t="str">
        <f>IF(OR(TRIM($B321)="",$H321=""),"",IF(OR(ISNUMBER(SEARCH(_xlfn.CONCAT(CHAR(96),CHAR(34)),$H321)),ISNUMBER(SEARCH(_xlfn.CONCAT(CHAR(34),CHAR(39)),$H321))),_xlfn.CONCAT("* REVIEW REQUIRED: compound-quote delimiter in Source on Sheet 1 row ",321,"; edit the input before running."),_xlfn.CONCAT("char ",TRIM($B321),"[doc_source] ",CHAR(96),CHAR(34),SUBSTITUTE(SUBSTITUTE(SUBSTITUTE(SUBSTITUTE(SUBSTITUTE(SUBSTITUTE($H321,CHAR(13)," "),CHAR(10)," "),CHAR(9)," "),CHAR(92),_xlfn.CONCAT(CHAR(92),CHAR(92))),"$",_xlfn.CONCAT(CHAR(92),"$")),CHAR(96),_xlfn.CONCAT(CHAR(92),CHAR(96))),CHAR(34),CHAR(39))))</f>
        <v/>
      </c>
      <c r="S321" s="5" t="str">
        <f>IF(OR(TRIM($B321)="",$I321=""),"",IF(OR(ISNUMBER(SEARCH(_xlfn.CONCAT(CHAR(96),CHAR(34)),$I321)),ISNUMBER(SEARCH(_xlfn.CONCAT(CHAR(34),CHAR(39)),$I321))),_xlfn.CONCAT("* REVIEW REQUIRED: compound-quote delimiter in Derivation on Sheet 1 row ",321,"; edit the input before running."),_xlfn.CONCAT("char ",TRIM($B321),"[doc_derivation] ",CHAR(96),CHAR(34),SUBSTITUTE(SUBSTITUTE(SUBSTITUTE(SUBSTITUTE(SUBSTITUTE(SUBSTITUTE($I321,CHAR(13)," "),CHAR(10)," "),CHAR(9)," "),CHAR(92),_xlfn.CONCAT(CHAR(92),CHAR(92))),"$",_xlfn.CONCAT(CHAR(92),"$")),CHAR(96),_xlfn.CONCAT(CHAR(92),CHAR(96))),CHAR(34),CHAR(39))))</f>
        <v/>
      </c>
      <c r="T321" s="5" t="str">
        <f>IF(OR(TRIM($B321)="",$J321=""),"",IF(OR(ISNUMBER(SEARCH(_xlfn.CONCAT(CHAR(96),CHAR(34)),$J321)),ISNUMBER(SEARCH(_xlfn.CONCAT(CHAR(34),CHAR(39)),$J321))),_xlfn.CONCAT("* REVIEW REQUIRED: compound-quote delimiter in Notes on Sheet 1 row ",321,"; edit the input before running."),_xlfn.CONCAT("char ",TRIM($B321),"[doc_notes] ",CHAR(96),CHAR(34),SUBSTITUTE(SUBSTITUTE(SUBSTITUTE(SUBSTITUTE(SUBSTITUTE(SUBSTITUTE($J321,CHAR(13)," "),CHAR(10)," "),CHAR(9)," "),CHAR(92),_xlfn.CONCAT(CHAR(92),CHAR(92))),"$",_xlfn.CONCAT(CHAR(92),"$")),CHAR(96),_xlfn.CONCAT(CHAR(92),CHAR(96))),CHAR(34),CHAR(39))))</f>
        <v/>
      </c>
      <c r="U321" s="5">
        <f t="shared" si="9"/>
        <v>0</v>
      </c>
    </row>
    <row r="322" spans="3:21" ht="30" customHeight="1" x14ac:dyDescent="0.2">
      <c r="C322" s="4"/>
      <c r="K322" s="5">
        <f t="shared" si="8"/>
        <v>0</v>
      </c>
      <c r="L322" s="5" t="str">
        <f>IF(OR(TRIM($B322)="",$A322=""),"",IF(OR(ISNUMBER(SEARCH(_xlfn.CONCAT(CHAR(96),CHAR(34)),$A322)),ISNUMBER(SEARCH(_xlfn.CONCAT(CHAR(34),CHAR(39)),$A322))),_xlfn.CONCAT("* REVIEW REQUIRED: compound-quote delimiter in Codebook Section on Sheet 1 row ",322,"; edit the input before running."),_xlfn.CONCAT("char ",TRIM($B322),"[doc_section] ",CHAR(96),CHAR(34),SUBSTITUTE(SUBSTITUTE(SUBSTITUTE(SUBSTITUTE(SUBSTITUTE(SUBSTITUTE($A322,CHAR(13)," "),CHAR(10)," "),CHAR(9)," "),CHAR(92),_xlfn.CONCAT(CHAR(92),CHAR(92))),"$",_xlfn.CONCAT(CHAR(92),"$")),CHAR(96),_xlfn.CONCAT(CHAR(92),CHAR(96))),CHAR(34),CHAR(39))))</f>
        <v/>
      </c>
      <c r="M322" s="5" t="str">
        <f>IF(OR(TRIM($B322)="",$C322=""),"",IF(IFERROR(MATCH(TRIM($C322),{"Quantitative","Continuous","Discrete","Categorical","Nominal","Ordinal","Identifier"},0),0)=0,_xlfn.CONCAT("* REVIEW REQUIRED: invalid Variable Type on Sheet 1 row ",322,"."),_xlfn.CONCAT("char ",TRIM($B322),"[doc_vartype] ",CHAR(96),CHAR(34),SUBSTITUTE(SUBSTITUTE(SUBSTITUTE(SUBSTITUTE(SUBSTITUTE(SUBSTITUTE(LOWER(TRIM($C322)),CHAR(13)," "),CHAR(10)," "),CHAR(9)," "),CHAR(92),_xlfn.CONCAT(CHAR(92),CHAR(92))),"$",_xlfn.CONCAT(CHAR(92),"$")),CHAR(96),_xlfn.CONCAT(CHAR(92),CHAR(96))),CHAR(34),CHAR(39))))</f>
        <v/>
      </c>
      <c r="N322" s="5" t="str">
        <f>IF(OR(TRIM($B322)="",$D322=""),"",IF(OR(ISNUMBER(SEARCH(_xlfn.CONCAT(CHAR(96),CHAR(34)),$D322)),ISNUMBER(SEARCH(_xlfn.CONCAT(CHAR(34),CHAR(39)),$D322))),_xlfn.CONCAT("* REVIEW REQUIRED: compound-quote delimiter in Item Number on Sheet 1 row ",322,"; edit the input before running."),_xlfn.CONCAT("char ",TRIM($B322),"[doc_itemnum] ",CHAR(96),CHAR(34),SUBSTITUTE(SUBSTITUTE(SUBSTITUTE(SUBSTITUTE(SUBSTITUTE(SUBSTITUTE($D322,CHAR(13)," "),CHAR(10)," "),CHAR(9)," "),CHAR(92),_xlfn.CONCAT(CHAR(92),CHAR(92))),"$",_xlfn.CONCAT(CHAR(92),"$")),CHAR(96),_xlfn.CONCAT(CHAR(92),CHAR(96))),CHAR(34),CHAR(39))))</f>
        <v/>
      </c>
      <c r="O322" s="5" t="str">
        <f>IF(OR(TRIM($B322)="",$E322=""),"",IF(OR(ISNUMBER(SEARCH(_xlfn.CONCAT(CHAR(96),CHAR(34)),$E322)),ISNUMBER(SEARCH(_xlfn.CONCAT(CHAR(34),CHAR(39)),$E322))),_xlfn.CONCAT("* REVIEW REQUIRED: compound-quote delimiter in Question Wording on Sheet 1 row ",322,"; edit the input before running."),_xlfn.CONCAT("char ",TRIM($B322),"[doc_question] ",CHAR(96),CHAR(34),SUBSTITUTE(SUBSTITUTE(SUBSTITUTE(SUBSTITUTE(SUBSTITUTE(SUBSTITUTE($E322,CHAR(13)," "),CHAR(10)," "),CHAR(9)," "),CHAR(92),_xlfn.CONCAT(CHAR(92),CHAR(92))),"$",_xlfn.CONCAT(CHAR(92),"$")),CHAR(96),_xlfn.CONCAT(CHAR(92),CHAR(96))),CHAR(34),CHAR(39))))</f>
        <v/>
      </c>
      <c r="P322" s="5" t="str">
        <f>IF(OR(TRIM($B322)="",$F322=""),"",IF(OR(ISNUMBER(SEARCH(_xlfn.CONCAT(CHAR(96),CHAR(34)),$F322)),ISNUMBER(SEARCH(_xlfn.CONCAT(CHAR(34),CHAR(39)),$F322))),_xlfn.CONCAT("* REVIEW REQUIRED: compound-quote delimiter in Units on Sheet 1 row ",322,"; edit the input before running."),_xlfn.CONCAT("char ",TRIM($B322),"[doc_units] ",CHAR(96),CHAR(34),SUBSTITUTE(SUBSTITUTE(SUBSTITUTE(SUBSTITUTE(SUBSTITUTE(SUBSTITUTE($F322,CHAR(13)," "),CHAR(10)," "),CHAR(9)," "),CHAR(92),_xlfn.CONCAT(CHAR(92),CHAR(92))),"$",_xlfn.CONCAT(CHAR(92),"$")),CHAR(96),_xlfn.CONCAT(CHAR(92),CHAR(96))),CHAR(34),CHAR(39))))</f>
        <v/>
      </c>
      <c r="Q322" s="5" t="str">
        <f>IF(OR(TRIM($B322)="",$G322=""),"",IF(OR(ISNUMBER(SEARCH(_xlfn.CONCAT(CHAR(96),CHAR(34)),$G322)),ISNUMBER(SEARCH(_xlfn.CONCAT(CHAR(34),CHAR(39)),$G322))),_xlfn.CONCAT("* REVIEW REQUIRED: compound-quote delimiter in Universe on Sheet 1 row ",322,"; edit the input before running."),_xlfn.CONCAT("char ",TRIM($B322),"[doc_universe] ",CHAR(96),CHAR(34),SUBSTITUTE(SUBSTITUTE(SUBSTITUTE(SUBSTITUTE(SUBSTITUTE(SUBSTITUTE($G322,CHAR(13)," "),CHAR(10)," "),CHAR(9)," "),CHAR(92),_xlfn.CONCAT(CHAR(92),CHAR(92))),"$",_xlfn.CONCAT(CHAR(92),"$")),CHAR(96),_xlfn.CONCAT(CHAR(92),CHAR(96))),CHAR(34),CHAR(39))))</f>
        <v/>
      </c>
      <c r="R322" s="5" t="str">
        <f>IF(OR(TRIM($B322)="",$H322=""),"",IF(OR(ISNUMBER(SEARCH(_xlfn.CONCAT(CHAR(96),CHAR(34)),$H322)),ISNUMBER(SEARCH(_xlfn.CONCAT(CHAR(34),CHAR(39)),$H322))),_xlfn.CONCAT("* REVIEW REQUIRED: compound-quote delimiter in Source on Sheet 1 row ",322,"; edit the input before running."),_xlfn.CONCAT("char ",TRIM($B322),"[doc_source] ",CHAR(96),CHAR(34),SUBSTITUTE(SUBSTITUTE(SUBSTITUTE(SUBSTITUTE(SUBSTITUTE(SUBSTITUTE($H322,CHAR(13)," "),CHAR(10)," "),CHAR(9)," "),CHAR(92),_xlfn.CONCAT(CHAR(92),CHAR(92))),"$",_xlfn.CONCAT(CHAR(92),"$")),CHAR(96),_xlfn.CONCAT(CHAR(92),CHAR(96))),CHAR(34),CHAR(39))))</f>
        <v/>
      </c>
      <c r="S322" s="5" t="str">
        <f>IF(OR(TRIM($B322)="",$I322=""),"",IF(OR(ISNUMBER(SEARCH(_xlfn.CONCAT(CHAR(96),CHAR(34)),$I322)),ISNUMBER(SEARCH(_xlfn.CONCAT(CHAR(34),CHAR(39)),$I322))),_xlfn.CONCAT("* REVIEW REQUIRED: compound-quote delimiter in Derivation on Sheet 1 row ",322,"; edit the input before running."),_xlfn.CONCAT("char ",TRIM($B322),"[doc_derivation] ",CHAR(96),CHAR(34),SUBSTITUTE(SUBSTITUTE(SUBSTITUTE(SUBSTITUTE(SUBSTITUTE(SUBSTITUTE($I322,CHAR(13)," "),CHAR(10)," "),CHAR(9)," "),CHAR(92),_xlfn.CONCAT(CHAR(92),CHAR(92))),"$",_xlfn.CONCAT(CHAR(92),"$")),CHAR(96),_xlfn.CONCAT(CHAR(92),CHAR(96))),CHAR(34),CHAR(39))))</f>
        <v/>
      </c>
      <c r="T322" s="5" t="str">
        <f>IF(OR(TRIM($B322)="",$J322=""),"",IF(OR(ISNUMBER(SEARCH(_xlfn.CONCAT(CHAR(96),CHAR(34)),$J322)),ISNUMBER(SEARCH(_xlfn.CONCAT(CHAR(34),CHAR(39)),$J322))),_xlfn.CONCAT("* REVIEW REQUIRED: compound-quote delimiter in Notes on Sheet 1 row ",322,"; edit the input before running."),_xlfn.CONCAT("char ",TRIM($B322),"[doc_notes] ",CHAR(96),CHAR(34),SUBSTITUTE(SUBSTITUTE(SUBSTITUTE(SUBSTITUTE(SUBSTITUTE(SUBSTITUTE($J322,CHAR(13)," "),CHAR(10)," "),CHAR(9)," "),CHAR(92),_xlfn.CONCAT(CHAR(92),CHAR(92))),"$",_xlfn.CONCAT(CHAR(92),"$")),CHAR(96),_xlfn.CONCAT(CHAR(92),CHAR(96))),CHAR(34),CHAR(39))))</f>
        <v/>
      </c>
      <c r="U322" s="5">
        <f t="shared" si="9"/>
        <v>0</v>
      </c>
    </row>
    <row r="323" spans="3:21" ht="30" customHeight="1" x14ac:dyDescent="0.2">
      <c r="C323" s="4"/>
      <c r="K323" s="5">
        <f t="shared" si="8"/>
        <v>0</v>
      </c>
      <c r="L323" s="5" t="str">
        <f>IF(OR(TRIM($B323)="",$A323=""),"",IF(OR(ISNUMBER(SEARCH(_xlfn.CONCAT(CHAR(96),CHAR(34)),$A323)),ISNUMBER(SEARCH(_xlfn.CONCAT(CHAR(34),CHAR(39)),$A323))),_xlfn.CONCAT("* REVIEW REQUIRED: compound-quote delimiter in Codebook Section on Sheet 1 row ",323,"; edit the input before running."),_xlfn.CONCAT("char ",TRIM($B323),"[doc_section] ",CHAR(96),CHAR(34),SUBSTITUTE(SUBSTITUTE(SUBSTITUTE(SUBSTITUTE(SUBSTITUTE(SUBSTITUTE($A323,CHAR(13)," "),CHAR(10)," "),CHAR(9)," "),CHAR(92),_xlfn.CONCAT(CHAR(92),CHAR(92))),"$",_xlfn.CONCAT(CHAR(92),"$")),CHAR(96),_xlfn.CONCAT(CHAR(92),CHAR(96))),CHAR(34),CHAR(39))))</f>
        <v/>
      </c>
      <c r="M323" s="5" t="str">
        <f>IF(OR(TRIM($B323)="",$C323=""),"",IF(IFERROR(MATCH(TRIM($C323),{"Quantitative","Continuous","Discrete","Categorical","Nominal","Ordinal","Identifier"},0),0)=0,_xlfn.CONCAT("* REVIEW REQUIRED: invalid Variable Type on Sheet 1 row ",323,"."),_xlfn.CONCAT("char ",TRIM($B323),"[doc_vartype] ",CHAR(96),CHAR(34),SUBSTITUTE(SUBSTITUTE(SUBSTITUTE(SUBSTITUTE(SUBSTITUTE(SUBSTITUTE(LOWER(TRIM($C323)),CHAR(13)," "),CHAR(10)," "),CHAR(9)," "),CHAR(92),_xlfn.CONCAT(CHAR(92),CHAR(92))),"$",_xlfn.CONCAT(CHAR(92),"$")),CHAR(96),_xlfn.CONCAT(CHAR(92),CHAR(96))),CHAR(34),CHAR(39))))</f>
        <v/>
      </c>
      <c r="N323" s="5" t="str">
        <f>IF(OR(TRIM($B323)="",$D323=""),"",IF(OR(ISNUMBER(SEARCH(_xlfn.CONCAT(CHAR(96),CHAR(34)),$D323)),ISNUMBER(SEARCH(_xlfn.CONCAT(CHAR(34),CHAR(39)),$D323))),_xlfn.CONCAT("* REVIEW REQUIRED: compound-quote delimiter in Item Number on Sheet 1 row ",323,"; edit the input before running."),_xlfn.CONCAT("char ",TRIM($B323),"[doc_itemnum] ",CHAR(96),CHAR(34),SUBSTITUTE(SUBSTITUTE(SUBSTITUTE(SUBSTITUTE(SUBSTITUTE(SUBSTITUTE($D323,CHAR(13)," "),CHAR(10)," "),CHAR(9)," "),CHAR(92),_xlfn.CONCAT(CHAR(92),CHAR(92))),"$",_xlfn.CONCAT(CHAR(92),"$")),CHAR(96),_xlfn.CONCAT(CHAR(92),CHAR(96))),CHAR(34),CHAR(39))))</f>
        <v/>
      </c>
      <c r="O323" s="5" t="str">
        <f>IF(OR(TRIM($B323)="",$E323=""),"",IF(OR(ISNUMBER(SEARCH(_xlfn.CONCAT(CHAR(96),CHAR(34)),$E323)),ISNUMBER(SEARCH(_xlfn.CONCAT(CHAR(34),CHAR(39)),$E323))),_xlfn.CONCAT("* REVIEW REQUIRED: compound-quote delimiter in Question Wording on Sheet 1 row ",323,"; edit the input before running."),_xlfn.CONCAT("char ",TRIM($B323),"[doc_question] ",CHAR(96),CHAR(34),SUBSTITUTE(SUBSTITUTE(SUBSTITUTE(SUBSTITUTE(SUBSTITUTE(SUBSTITUTE($E323,CHAR(13)," "),CHAR(10)," "),CHAR(9)," "),CHAR(92),_xlfn.CONCAT(CHAR(92),CHAR(92))),"$",_xlfn.CONCAT(CHAR(92),"$")),CHAR(96),_xlfn.CONCAT(CHAR(92),CHAR(96))),CHAR(34),CHAR(39))))</f>
        <v/>
      </c>
      <c r="P323" s="5" t="str">
        <f>IF(OR(TRIM($B323)="",$F323=""),"",IF(OR(ISNUMBER(SEARCH(_xlfn.CONCAT(CHAR(96),CHAR(34)),$F323)),ISNUMBER(SEARCH(_xlfn.CONCAT(CHAR(34),CHAR(39)),$F323))),_xlfn.CONCAT("* REVIEW REQUIRED: compound-quote delimiter in Units on Sheet 1 row ",323,"; edit the input before running."),_xlfn.CONCAT("char ",TRIM($B323),"[doc_units] ",CHAR(96),CHAR(34),SUBSTITUTE(SUBSTITUTE(SUBSTITUTE(SUBSTITUTE(SUBSTITUTE(SUBSTITUTE($F323,CHAR(13)," "),CHAR(10)," "),CHAR(9)," "),CHAR(92),_xlfn.CONCAT(CHAR(92),CHAR(92))),"$",_xlfn.CONCAT(CHAR(92),"$")),CHAR(96),_xlfn.CONCAT(CHAR(92),CHAR(96))),CHAR(34),CHAR(39))))</f>
        <v/>
      </c>
      <c r="Q323" s="5" t="str">
        <f>IF(OR(TRIM($B323)="",$G323=""),"",IF(OR(ISNUMBER(SEARCH(_xlfn.CONCAT(CHAR(96),CHAR(34)),$G323)),ISNUMBER(SEARCH(_xlfn.CONCAT(CHAR(34),CHAR(39)),$G323))),_xlfn.CONCAT("* REVIEW REQUIRED: compound-quote delimiter in Universe on Sheet 1 row ",323,"; edit the input before running."),_xlfn.CONCAT("char ",TRIM($B323),"[doc_universe] ",CHAR(96),CHAR(34),SUBSTITUTE(SUBSTITUTE(SUBSTITUTE(SUBSTITUTE(SUBSTITUTE(SUBSTITUTE($G323,CHAR(13)," "),CHAR(10)," "),CHAR(9)," "),CHAR(92),_xlfn.CONCAT(CHAR(92),CHAR(92))),"$",_xlfn.CONCAT(CHAR(92),"$")),CHAR(96),_xlfn.CONCAT(CHAR(92),CHAR(96))),CHAR(34),CHAR(39))))</f>
        <v/>
      </c>
      <c r="R323" s="5" t="str">
        <f>IF(OR(TRIM($B323)="",$H323=""),"",IF(OR(ISNUMBER(SEARCH(_xlfn.CONCAT(CHAR(96),CHAR(34)),$H323)),ISNUMBER(SEARCH(_xlfn.CONCAT(CHAR(34),CHAR(39)),$H323))),_xlfn.CONCAT("* REVIEW REQUIRED: compound-quote delimiter in Source on Sheet 1 row ",323,"; edit the input before running."),_xlfn.CONCAT("char ",TRIM($B323),"[doc_source] ",CHAR(96),CHAR(34),SUBSTITUTE(SUBSTITUTE(SUBSTITUTE(SUBSTITUTE(SUBSTITUTE(SUBSTITUTE($H323,CHAR(13)," "),CHAR(10)," "),CHAR(9)," "),CHAR(92),_xlfn.CONCAT(CHAR(92),CHAR(92))),"$",_xlfn.CONCAT(CHAR(92),"$")),CHAR(96),_xlfn.CONCAT(CHAR(92),CHAR(96))),CHAR(34),CHAR(39))))</f>
        <v/>
      </c>
      <c r="S323" s="5" t="str">
        <f>IF(OR(TRIM($B323)="",$I323=""),"",IF(OR(ISNUMBER(SEARCH(_xlfn.CONCAT(CHAR(96),CHAR(34)),$I323)),ISNUMBER(SEARCH(_xlfn.CONCAT(CHAR(34),CHAR(39)),$I323))),_xlfn.CONCAT("* REVIEW REQUIRED: compound-quote delimiter in Derivation on Sheet 1 row ",323,"; edit the input before running."),_xlfn.CONCAT("char ",TRIM($B323),"[doc_derivation] ",CHAR(96),CHAR(34),SUBSTITUTE(SUBSTITUTE(SUBSTITUTE(SUBSTITUTE(SUBSTITUTE(SUBSTITUTE($I323,CHAR(13)," "),CHAR(10)," "),CHAR(9)," "),CHAR(92),_xlfn.CONCAT(CHAR(92),CHAR(92))),"$",_xlfn.CONCAT(CHAR(92),"$")),CHAR(96),_xlfn.CONCAT(CHAR(92),CHAR(96))),CHAR(34),CHAR(39))))</f>
        <v/>
      </c>
      <c r="T323" s="5" t="str">
        <f>IF(OR(TRIM($B323)="",$J323=""),"",IF(OR(ISNUMBER(SEARCH(_xlfn.CONCAT(CHAR(96),CHAR(34)),$J323)),ISNUMBER(SEARCH(_xlfn.CONCAT(CHAR(34),CHAR(39)),$J323))),_xlfn.CONCAT("* REVIEW REQUIRED: compound-quote delimiter in Notes on Sheet 1 row ",323,"; edit the input before running."),_xlfn.CONCAT("char ",TRIM($B323),"[doc_notes] ",CHAR(96),CHAR(34),SUBSTITUTE(SUBSTITUTE(SUBSTITUTE(SUBSTITUTE(SUBSTITUTE(SUBSTITUTE($J323,CHAR(13)," "),CHAR(10)," "),CHAR(9)," "),CHAR(92),_xlfn.CONCAT(CHAR(92),CHAR(92))),"$",_xlfn.CONCAT(CHAR(92),"$")),CHAR(96),_xlfn.CONCAT(CHAR(92),CHAR(96))),CHAR(34),CHAR(39))))</f>
        <v/>
      </c>
      <c r="U323" s="5">
        <f t="shared" si="9"/>
        <v>0</v>
      </c>
    </row>
    <row r="324" spans="3:21" ht="30" customHeight="1" x14ac:dyDescent="0.2">
      <c r="C324" s="4"/>
      <c r="K324" s="5">
        <f t="shared" si="8"/>
        <v>0</v>
      </c>
      <c r="L324" s="5" t="str">
        <f>IF(OR(TRIM($B324)="",$A324=""),"",IF(OR(ISNUMBER(SEARCH(_xlfn.CONCAT(CHAR(96),CHAR(34)),$A324)),ISNUMBER(SEARCH(_xlfn.CONCAT(CHAR(34),CHAR(39)),$A324))),_xlfn.CONCAT("* REVIEW REQUIRED: compound-quote delimiter in Codebook Section on Sheet 1 row ",324,"; edit the input before running."),_xlfn.CONCAT("char ",TRIM($B324),"[doc_section] ",CHAR(96),CHAR(34),SUBSTITUTE(SUBSTITUTE(SUBSTITUTE(SUBSTITUTE(SUBSTITUTE(SUBSTITUTE($A324,CHAR(13)," "),CHAR(10)," "),CHAR(9)," "),CHAR(92),_xlfn.CONCAT(CHAR(92),CHAR(92))),"$",_xlfn.CONCAT(CHAR(92),"$")),CHAR(96),_xlfn.CONCAT(CHAR(92),CHAR(96))),CHAR(34),CHAR(39))))</f>
        <v/>
      </c>
      <c r="M324" s="5" t="str">
        <f>IF(OR(TRIM($B324)="",$C324=""),"",IF(IFERROR(MATCH(TRIM($C324),{"Quantitative","Continuous","Discrete","Categorical","Nominal","Ordinal","Identifier"},0),0)=0,_xlfn.CONCAT("* REVIEW REQUIRED: invalid Variable Type on Sheet 1 row ",324,"."),_xlfn.CONCAT("char ",TRIM($B324),"[doc_vartype] ",CHAR(96),CHAR(34),SUBSTITUTE(SUBSTITUTE(SUBSTITUTE(SUBSTITUTE(SUBSTITUTE(SUBSTITUTE(LOWER(TRIM($C324)),CHAR(13)," "),CHAR(10)," "),CHAR(9)," "),CHAR(92),_xlfn.CONCAT(CHAR(92),CHAR(92))),"$",_xlfn.CONCAT(CHAR(92),"$")),CHAR(96),_xlfn.CONCAT(CHAR(92),CHAR(96))),CHAR(34),CHAR(39))))</f>
        <v/>
      </c>
      <c r="N324" s="5" t="str">
        <f>IF(OR(TRIM($B324)="",$D324=""),"",IF(OR(ISNUMBER(SEARCH(_xlfn.CONCAT(CHAR(96),CHAR(34)),$D324)),ISNUMBER(SEARCH(_xlfn.CONCAT(CHAR(34),CHAR(39)),$D324))),_xlfn.CONCAT("* REVIEW REQUIRED: compound-quote delimiter in Item Number on Sheet 1 row ",324,"; edit the input before running."),_xlfn.CONCAT("char ",TRIM($B324),"[doc_itemnum] ",CHAR(96),CHAR(34),SUBSTITUTE(SUBSTITUTE(SUBSTITUTE(SUBSTITUTE(SUBSTITUTE(SUBSTITUTE($D324,CHAR(13)," "),CHAR(10)," "),CHAR(9)," "),CHAR(92),_xlfn.CONCAT(CHAR(92),CHAR(92))),"$",_xlfn.CONCAT(CHAR(92),"$")),CHAR(96),_xlfn.CONCAT(CHAR(92),CHAR(96))),CHAR(34),CHAR(39))))</f>
        <v/>
      </c>
      <c r="O324" s="5" t="str">
        <f>IF(OR(TRIM($B324)="",$E324=""),"",IF(OR(ISNUMBER(SEARCH(_xlfn.CONCAT(CHAR(96),CHAR(34)),$E324)),ISNUMBER(SEARCH(_xlfn.CONCAT(CHAR(34),CHAR(39)),$E324))),_xlfn.CONCAT("* REVIEW REQUIRED: compound-quote delimiter in Question Wording on Sheet 1 row ",324,"; edit the input before running."),_xlfn.CONCAT("char ",TRIM($B324),"[doc_question] ",CHAR(96),CHAR(34),SUBSTITUTE(SUBSTITUTE(SUBSTITUTE(SUBSTITUTE(SUBSTITUTE(SUBSTITUTE($E324,CHAR(13)," "),CHAR(10)," "),CHAR(9)," "),CHAR(92),_xlfn.CONCAT(CHAR(92),CHAR(92))),"$",_xlfn.CONCAT(CHAR(92),"$")),CHAR(96),_xlfn.CONCAT(CHAR(92),CHAR(96))),CHAR(34),CHAR(39))))</f>
        <v/>
      </c>
      <c r="P324" s="5" t="str">
        <f>IF(OR(TRIM($B324)="",$F324=""),"",IF(OR(ISNUMBER(SEARCH(_xlfn.CONCAT(CHAR(96),CHAR(34)),$F324)),ISNUMBER(SEARCH(_xlfn.CONCAT(CHAR(34),CHAR(39)),$F324))),_xlfn.CONCAT("* REVIEW REQUIRED: compound-quote delimiter in Units on Sheet 1 row ",324,"; edit the input before running."),_xlfn.CONCAT("char ",TRIM($B324),"[doc_units] ",CHAR(96),CHAR(34),SUBSTITUTE(SUBSTITUTE(SUBSTITUTE(SUBSTITUTE(SUBSTITUTE(SUBSTITUTE($F324,CHAR(13)," "),CHAR(10)," "),CHAR(9)," "),CHAR(92),_xlfn.CONCAT(CHAR(92),CHAR(92))),"$",_xlfn.CONCAT(CHAR(92),"$")),CHAR(96),_xlfn.CONCAT(CHAR(92),CHAR(96))),CHAR(34),CHAR(39))))</f>
        <v/>
      </c>
      <c r="Q324" s="5" t="str">
        <f>IF(OR(TRIM($B324)="",$G324=""),"",IF(OR(ISNUMBER(SEARCH(_xlfn.CONCAT(CHAR(96),CHAR(34)),$G324)),ISNUMBER(SEARCH(_xlfn.CONCAT(CHAR(34),CHAR(39)),$G324))),_xlfn.CONCAT("* REVIEW REQUIRED: compound-quote delimiter in Universe on Sheet 1 row ",324,"; edit the input before running."),_xlfn.CONCAT("char ",TRIM($B324),"[doc_universe] ",CHAR(96),CHAR(34),SUBSTITUTE(SUBSTITUTE(SUBSTITUTE(SUBSTITUTE(SUBSTITUTE(SUBSTITUTE($G324,CHAR(13)," "),CHAR(10)," "),CHAR(9)," "),CHAR(92),_xlfn.CONCAT(CHAR(92),CHAR(92))),"$",_xlfn.CONCAT(CHAR(92),"$")),CHAR(96),_xlfn.CONCAT(CHAR(92),CHAR(96))),CHAR(34),CHAR(39))))</f>
        <v/>
      </c>
      <c r="R324" s="5" t="str">
        <f>IF(OR(TRIM($B324)="",$H324=""),"",IF(OR(ISNUMBER(SEARCH(_xlfn.CONCAT(CHAR(96),CHAR(34)),$H324)),ISNUMBER(SEARCH(_xlfn.CONCAT(CHAR(34),CHAR(39)),$H324))),_xlfn.CONCAT("* REVIEW REQUIRED: compound-quote delimiter in Source on Sheet 1 row ",324,"; edit the input before running."),_xlfn.CONCAT("char ",TRIM($B324),"[doc_source] ",CHAR(96),CHAR(34),SUBSTITUTE(SUBSTITUTE(SUBSTITUTE(SUBSTITUTE(SUBSTITUTE(SUBSTITUTE($H324,CHAR(13)," "),CHAR(10)," "),CHAR(9)," "),CHAR(92),_xlfn.CONCAT(CHAR(92),CHAR(92))),"$",_xlfn.CONCAT(CHAR(92),"$")),CHAR(96),_xlfn.CONCAT(CHAR(92),CHAR(96))),CHAR(34),CHAR(39))))</f>
        <v/>
      </c>
      <c r="S324" s="5" t="str">
        <f>IF(OR(TRIM($B324)="",$I324=""),"",IF(OR(ISNUMBER(SEARCH(_xlfn.CONCAT(CHAR(96),CHAR(34)),$I324)),ISNUMBER(SEARCH(_xlfn.CONCAT(CHAR(34),CHAR(39)),$I324))),_xlfn.CONCAT("* REVIEW REQUIRED: compound-quote delimiter in Derivation on Sheet 1 row ",324,"; edit the input before running."),_xlfn.CONCAT("char ",TRIM($B324),"[doc_derivation] ",CHAR(96),CHAR(34),SUBSTITUTE(SUBSTITUTE(SUBSTITUTE(SUBSTITUTE(SUBSTITUTE(SUBSTITUTE($I324,CHAR(13)," "),CHAR(10)," "),CHAR(9)," "),CHAR(92),_xlfn.CONCAT(CHAR(92),CHAR(92))),"$",_xlfn.CONCAT(CHAR(92),"$")),CHAR(96),_xlfn.CONCAT(CHAR(92),CHAR(96))),CHAR(34),CHAR(39))))</f>
        <v/>
      </c>
      <c r="T324" s="5" t="str">
        <f>IF(OR(TRIM($B324)="",$J324=""),"",IF(OR(ISNUMBER(SEARCH(_xlfn.CONCAT(CHAR(96),CHAR(34)),$J324)),ISNUMBER(SEARCH(_xlfn.CONCAT(CHAR(34),CHAR(39)),$J324))),_xlfn.CONCAT("* REVIEW REQUIRED: compound-quote delimiter in Notes on Sheet 1 row ",324,"; edit the input before running."),_xlfn.CONCAT("char ",TRIM($B324),"[doc_notes] ",CHAR(96),CHAR(34),SUBSTITUTE(SUBSTITUTE(SUBSTITUTE(SUBSTITUTE(SUBSTITUTE(SUBSTITUTE($J324,CHAR(13)," "),CHAR(10)," "),CHAR(9)," "),CHAR(92),_xlfn.CONCAT(CHAR(92),CHAR(92))),"$",_xlfn.CONCAT(CHAR(92),"$")),CHAR(96),_xlfn.CONCAT(CHAR(92),CHAR(96))),CHAR(34),CHAR(39))))</f>
        <v/>
      </c>
      <c r="U324" s="5">
        <f t="shared" si="9"/>
        <v>0</v>
      </c>
    </row>
    <row r="325" spans="3:21" ht="30" customHeight="1" x14ac:dyDescent="0.2">
      <c r="C325" s="4"/>
      <c r="K325" s="5">
        <f t="shared" si="8"/>
        <v>0</v>
      </c>
      <c r="L325" s="5" t="str">
        <f>IF(OR(TRIM($B325)="",$A325=""),"",IF(OR(ISNUMBER(SEARCH(_xlfn.CONCAT(CHAR(96),CHAR(34)),$A325)),ISNUMBER(SEARCH(_xlfn.CONCAT(CHAR(34),CHAR(39)),$A325))),_xlfn.CONCAT("* REVIEW REQUIRED: compound-quote delimiter in Codebook Section on Sheet 1 row ",325,"; edit the input before running."),_xlfn.CONCAT("char ",TRIM($B325),"[doc_section] ",CHAR(96),CHAR(34),SUBSTITUTE(SUBSTITUTE(SUBSTITUTE(SUBSTITUTE(SUBSTITUTE(SUBSTITUTE($A325,CHAR(13)," "),CHAR(10)," "),CHAR(9)," "),CHAR(92),_xlfn.CONCAT(CHAR(92),CHAR(92))),"$",_xlfn.CONCAT(CHAR(92),"$")),CHAR(96),_xlfn.CONCAT(CHAR(92),CHAR(96))),CHAR(34),CHAR(39))))</f>
        <v/>
      </c>
      <c r="M325" s="5" t="str">
        <f>IF(OR(TRIM($B325)="",$C325=""),"",IF(IFERROR(MATCH(TRIM($C325),{"Quantitative","Continuous","Discrete","Categorical","Nominal","Ordinal","Identifier"},0),0)=0,_xlfn.CONCAT("* REVIEW REQUIRED: invalid Variable Type on Sheet 1 row ",325,"."),_xlfn.CONCAT("char ",TRIM($B325),"[doc_vartype] ",CHAR(96),CHAR(34),SUBSTITUTE(SUBSTITUTE(SUBSTITUTE(SUBSTITUTE(SUBSTITUTE(SUBSTITUTE(LOWER(TRIM($C325)),CHAR(13)," "),CHAR(10)," "),CHAR(9)," "),CHAR(92),_xlfn.CONCAT(CHAR(92),CHAR(92))),"$",_xlfn.CONCAT(CHAR(92),"$")),CHAR(96),_xlfn.CONCAT(CHAR(92),CHAR(96))),CHAR(34),CHAR(39))))</f>
        <v/>
      </c>
      <c r="N325" s="5" t="str">
        <f>IF(OR(TRIM($B325)="",$D325=""),"",IF(OR(ISNUMBER(SEARCH(_xlfn.CONCAT(CHAR(96),CHAR(34)),$D325)),ISNUMBER(SEARCH(_xlfn.CONCAT(CHAR(34),CHAR(39)),$D325))),_xlfn.CONCAT("* REVIEW REQUIRED: compound-quote delimiter in Item Number on Sheet 1 row ",325,"; edit the input before running."),_xlfn.CONCAT("char ",TRIM($B325),"[doc_itemnum] ",CHAR(96),CHAR(34),SUBSTITUTE(SUBSTITUTE(SUBSTITUTE(SUBSTITUTE(SUBSTITUTE(SUBSTITUTE($D325,CHAR(13)," "),CHAR(10)," "),CHAR(9)," "),CHAR(92),_xlfn.CONCAT(CHAR(92),CHAR(92))),"$",_xlfn.CONCAT(CHAR(92),"$")),CHAR(96),_xlfn.CONCAT(CHAR(92),CHAR(96))),CHAR(34),CHAR(39))))</f>
        <v/>
      </c>
      <c r="O325" s="5" t="str">
        <f>IF(OR(TRIM($B325)="",$E325=""),"",IF(OR(ISNUMBER(SEARCH(_xlfn.CONCAT(CHAR(96),CHAR(34)),$E325)),ISNUMBER(SEARCH(_xlfn.CONCAT(CHAR(34),CHAR(39)),$E325))),_xlfn.CONCAT("* REVIEW REQUIRED: compound-quote delimiter in Question Wording on Sheet 1 row ",325,"; edit the input before running."),_xlfn.CONCAT("char ",TRIM($B325),"[doc_question] ",CHAR(96),CHAR(34),SUBSTITUTE(SUBSTITUTE(SUBSTITUTE(SUBSTITUTE(SUBSTITUTE(SUBSTITUTE($E325,CHAR(13)," "),CHAR(10)," "),CHAR(9)," "),CHAR(92),_xlfn.CONCAT(CHAR(92),CHAR(92))),"$",_xlfn.CONCAT(CHAR(92),"$")),CHAR(96),_xlfn.CONCAT(CHAR(92),CHAR(96))),CHAR(34),CHAR(39))))</f>
        <v/>
      </c>
      <c r="P325" s="5" t="str">
        <f>IF(OR(TRIM($B325)="",$F325=""),"",IF(OR(ISNUMBER(SEARCH(_xlfn.CONCAT(CHAR(96),CHAR(34)),$F325)),ISNUMBER(SEARCH(_xlfn.CONCAT(CHAR(34),CHAR(39)),$F325))),_xlfn.CONCAT("* REVIEW REQUIRED: compound-quote delimiter in Units on Sheet 1 row ",325,"; edit the input before running."),_xlfn.CONCAT("char ",TRIM($B325),"[doc_units] ",CHAR(96),CHAR(34),SUBSTITUTE(SUBSTITUTE(SUBSTITUTE(SUBSTITUTE(SUBSTITUTE(SUBSTITUTE($F325,CHAR(13)," "),CHAR(10)," "),CHAR(9)," "),CHAR(92),_xlfn.CONCAT(CHAR(92),CHAR(92))),"$",_xlfn.CONCAT(CHAR(92),"$")),CHAR(96),_xlfn.CONCAT(CHAR(92),CHAR(96))),CHAR(34),CHAR(39))))</f>
        <v/>
      </c>
      <c r="Q325" s="5" t="str">
        <f>IF(OR(TRIM($B325)="",$G325=""),"",IF(OR(ISNUMBER(SEARCH(_xlfn.CONCAT(CHAR(96),CHAR(34)),$G325)),ISNUMBER(SEARCH(_xlfn.CONCAT(CHAR(34),CHAR(39)),$G325))),_xlfn.CONCAT("* REVIEW REQUIRED: compound-quote delimiter in Universe on Sheet 1 row ",325,"; edit the input before running."),_xlfn.CONCAT("char ",TRIM($B325),"[doc_universe] ",CHAR(96),CHAR(34),SUBSTITUTE(SUBSTITUTE(SUBSTITUTE(SUBSTITUTE(SUBSTITUTE(SUBSTITUTE($G325,CHAR(13)," "),CHAR(10)," "),CHAR(9)," "),CHAR(92),_xlfn.CONCAT(CHAR(92),CHAR(92))),"$",_xlfn.CONCAT(CHAR(92),"$")),CHAR(96),_xlfn.CONCAT(CHAR(92),CHAR(96))),CHAR(34),CHAR(39))))</f>
        <v/>
      </c>
      <c r="R325" s="5" t="str">
        <f>IF(OR(TRIM($B325)="",$H325=""),"",IF(OR(ISNUMBER(SEARCH(_xlfn.CONCAT(CHAR(96),CHAR(34)),$H325)),ISNUMBER(SEARCH(_xlfn.CONCAT(CHAR(34),CHAR(39)),$H325))),_xlfn.CONCAT("* REVIEW REQUIRED: compound-quote delimiter in Source on Sheet 1 row ",325,"; edit the input before running."),_xlfn.CONCAT("char ",TRIM($B325),"[doc_source] ",CHAR(96),CHAR(34),SUBSTITUTE(SUBSTITUTE(SUBSTITUTE(SUBSTITUTE(SUBSTITUTE(SUBSTITUTE($H325,CHAR(13)," "),CHAR(10)," "),CHAR(9)," "),CHAR(92),_xlfn.CONCAT(CHAR(92),CHAR(92))),"$",_xlfn.CONCAT(CHAR(92),"$")),CHAR(96),_xlfn.CONCAT(CHAR(92),CHAR(96))),CHAR(34),CHAR(39))))</f>
        <v/>
      </c>
      <c r="S325" s="5" t="str">
        <f>IF(OR(TRIM($B325)="",$I325=""),"",IF(OR(ISNUMBER(SEARCH(_xlfn.CONCAT(CHAR(96),CHAR(34)),$I325)),ISNUMBER(SEARCH(_xlfn.CONCAT(CHAR(34),CHAR(39)),$I325))),_xlfn.CONCAT("* REVIEW REQUIRED: compound-quote delimiter in Derivation on Sheet 1 row ",325,"; edit the input before running."),_xlfn.CONCAT("char ",TRIM($B325),"[doc_derivation] ",CHAR(96),CHAR(34),SUBSTITUTE(SUBSTITUTE(SUBSTITUTE(SUBSTITUTE(SUBSTITUTE(SUBSTITUTE($I325,CHAR(13)," "),CHAR(10)," "),CHAR(9)," "),CHAR(92),_xlfn.CONCAT(CHAR(92),CHAR(92))),"$",_xlfn.CONCAT(CHAR(92),"$")),CHAR(96),_xlfn.CONCAT(CHAR(92),CHAR(96))),CHAR(34),CHAR(39))))</f>
        <v/>
      </c>
      <c r="T325" s="5" t="str">
        <f>IF(OR(TRIM($B325)="",$J325=""),"",IF(OR(ISNUMBER(SEARCH(_xlfn.CONCAT(CHAR(96),CHAR(34)),$J325)),ISNUMBER(SEARCH(_xlfn.CONCAT(CHAR(34),CHAR(39)),$J325))),_xlfn.CONCAT("* REVIEW REQUIRED: compound-quote delimiter in Notes on Sheet 1 row ",325,"; edit the input before running."),_xlfn.CONCAT("char ",TRIM($B325),"[doc_notes] ",CHAR(96),CHAR(34),SUBSTITUTE(SUBSTITUTE(SUBSTITUTE(SUBSTITUTE(SUBSTITUTE(SUBSTITUTE($J325,CHAR(13)," "),CHAR(10)," "),CHAR(9)," "),CHAR(92),_xlfn.CONCAT(CHAR(92),CHAR(92))),"$",_xlfn.CONCAT(CHAR(92),"$")),CHAR(96),_xlfn.CONCAT(CHAR(92),CHAR(96))),CHAR(34),CHAR(39))))</f>
        <v/>
      </c>
      <c r="U325" s="5">
        <f t="shared" si="9"/>
        <v>0</v>
      </c>
    </row>
    <row r="326" spans="3:21" ht="30" customHeight="1" x14ac:dyDescent="0.2">
      <c r="C326" s="4"/>
      <c r="K326" s="5">
        <f t="shared" si="8"/>
        <v>0</v>
      </c>
      <c r="L326" s="5" t="str">
        <f>IF(OR(TRIM($B326)="",$A326=""),"",IF(OR(ISNUMBER(SEARCH(_xlfn.CONCAT(CHAR(96),CHAR(34)),$A326)),ISNUMBER(SEARCH(_xlfn.CONCAT(CHAR(34),CHAR(39)),$A326))),_xlfn.CONCAT("* REVIEW REQUIRED: compound-quote delimiter in Codebook Section on Sheet 1 row ",326,"; edit the input before running."),_xlfn.CONCAT("char ",TRIM($B326),"[doc_section] ",CHAR(96),CHAR(34),SUBSTITUTE(SUBSTITUTE(SUBSTITUTE(SUBSTITUTE(SUBSTITUTE(SUBSTITUTE($A326,CHAR(13)," "),CHAR(10)," "),CHAR(9)," "),CHAR(92),_xlfn.CONCAT(CHAR(92),CHAR(92))),"$",_xlfn.CONCAT(CHAR(92),"$")),CHAR(96),_xlfn.CONCAT(CHAR(92),CHAR(96))),CHAR(34),CHAR(39))))</f>
        <v/>
      </c>
      <c r="M326" s="5" t="str">
        <f>IF(OR(TRIM($B326)="",$C326=""),"",IF(IFERROR(MATCH(TRIM($C326),{"Quantitative","Continuous","Discrete","Categorical","Nominal","Ordinal","Identifier"},0),0)=0,_xlfn.CONCAT("* REVIEW REQUIRED: invalid Variable Type on Sheet 1 row ",326,"."),_xlfn.CONCAT("char ",TRIM($B326),"[doc_vartype] ",CHAR(96),CHAR(34),SUBSTITUTE(SUBSTITUTE(SUBSTITUTE(SUBSTITUTE(SUBSTITUTE(SUBSTITUTE(LOWER(TRIM($C326)),CHAR(13)," "),CHAR(10)," "),CHAR(9)," "),CHAR(92),_xlfn.CONCAT(CHAR(92),CHAR(92))),"$",_xlfn.CONCAT(CHAR(92),"$")),CHAR(96),_xlfn.CONCAT(CHAR(92),CHAR(96))),CHAR(34),CHAR(39))))</f>
        <v/>
      </c>
      <c r="N326" s="5" t="str">
        <f>IF(OR(TRIM($B326)="",$D326=""),"",IF(OR(ISNUMBER(SEARCH(_xlfn.CONCAT(CHAR(96),CHAR(34)),$D326)),ISNUMBER(SEARCH(_xlfn.CONCAT(CHAR(34),CHAR(39)),$D326))),_xlfn.CONCAT("* REVIEW REQUIRED: compound-quote delimiter in Item Number on Sheet 1 row ",326,"; edit the input before running."),_xlfn.CONCAT("char ",TRIM($B326),"[doc_itemnum] ",CHAR(96),CHAR(34),SUBSTITUTE(SUBSTITUTE(SUBSTITUTE(SUBSTITUTE(SUBSTITUTE(SUBSTITUTE($D326,CHAR(13)," "),CHAR(10)," "),CHAR(9)," "),CHAR(92),_xlfn.CONCAT(CHAR(92),CHAR(92))),"$",_xlfn.CONCAT(CHAR(92),"$")),CHAR(96),_xlfn.CONCAT(CHAR(92),CHAR(96))),CHAR(34),CHAR(39))))</f>
        <v/>
      </c>
      <c r="O326" s="5" t="str">
        <f>IF(OR(TRIM($B326)="",$E326=""),"",IF(OR(ISNUMBER(SEARCH(_xlfn.CONCAT(CHAR(96),CHAR(34)),$E326)),ISNUMBER(SEARCH(_xlfn.CONCAT(CHAR(34),CHAR(39)),$E326))),_xlfn.CONCAT("* REVIEW REQUIRED: compound-quote delimiter in Question Wording on Sheet 1 row ",326,"; edit the input before running."),_xlfn.CONCAT("char ",TRIM($B326),"[doc_question] ",CHAR(96),CHAR(34),SUBSTITUTE(SUBSTITUTE(SUBSTITUTE(SUBSTITUTE(SUBSTITUTE(SUBSTITUTE($E326,CHAR(13)," "),CHAR(10)," "),CHAR(9)," "),CHAR(92),_xlfn.CONCAT(CHAR(92),CHAR(92))),"$",_xlfn.CONCAT(CHAR(92),"$")),CHAR(96),_xlfn.CONCAT(CHAR(92),CHAR(96))),CHAR(34),CHAR(39))))</f>
        <v/>
      </c>
      <c r="P326" s="5" t="str">
        <f>IF(OR(TRIM($B326)="",$F326=""),"",IF(OR(ISNUMBER(SEARCH(_xlfn.CONCAT(CHAR(96),CHAR(34)),$F326)),ISNUMBER(SEARCH(_xlfn.CONCAT(CHAR(34),CHAR(39)),$F326))),_xlfn.CONCAT("* REVIEW REQUIRED: compound-quote delimiter in Units on Sheet 1 row ",326,"; edit the input before running."),_xlfn.CONCAT("char ",TRIM($B326),"[doc_units] ",CHAR(96),CHAR(34),SUBSTITUTE(SUBSTITUTE(SUBSTITUTE(SUBSTITUTE(SUBSTITUTE(SUBSTITUTE($F326,CHAR(13)," "),CHAR(10)," "),CHAR(9)," "),CHAR(92),_xlfn.CONCAT(CHAR(92),CHAR(92))),"$",_xlfn.CONCAT(CHAR(92),"$")),CHAR(96),_xlfn.CONCAT(CHAR(92),CHAR(96))),CHAR(34),CHAR(39))))</f>
        <v/>
      </c>
      <c r="Q326" s="5" t="str">
        <f>IF(OR(TRIM($B326)="",$G326=""),"",IF(OR(ISNUMBER(SEARCH(_xlfn.CONCAT(CHAR(96),CHAR(34)),$G326)),ISNUMBER(SEARCH(_xlfn.CONCAT(CHAR(34),CHAR(39)),$G326))),_xlfn.CONCAT("* REVIEW REQUIRED: compound-quote delimiter in Universe on Sheet 1 row ",326,"; edit the input before running."),_xlfn.CONCAT("char ",TRIM($B326),"[doc_universe] ",CHAR(96),CHAR(34),SUBSTITUTE(SUBSTITUTE(SUBSTITUTE(SUBSTITUTE(SUBSTITUTE(SUBSTITUTE($G326,CHAR(13)," "),CHAR(10)," "),CHAR(9)," "),CHAR(92),_xlfn.CONCAT(CHAR(92),CHAR(92))),"$",_xlfn.CONCAT(CHAR(92),"$")),CHAR(96),_xlfn.CONCAT(CHAR(92),CHAR(96))),CHAR(34),CHAR(39))))</f>
        <v/>
      </c>
      <c r="R326" s="5" t="str">
        <f>IF(OR(TRIM($B326)="",$H326=""),"",IF(OR(ISNUMBER(SEARCH(_xlfn.CONCAT(CHAR(96),CHAR(34)),$H326)),ISNUMBER(SEARCH(_xlfn.CONCAT(CHAR(34),CHAR(39)),$H326))),_xlfn.CONCAT("* REVIEW REQUIRED: compound-quote delimiter in Source on Sheet 1 row ",326,"; edit the input before running."),_xlfn.CONCAT("char ",TRIM($B326),"[doc_source] ",CHAR(96),CHAR(34),SUBSTITUTE(SUBSTITUTE(SUBSTITUTE(SUBSTITUTE(SUBSTITUTE(SUBSTITUTE($H326,CHAR(13)," "),CHAR(10)," "),CHAR(9)," "),CHAR(92),_xlfn.CONCAT(CHAR(92),CHAR(92))),"$",_xlfn.CONCAT(CHAR(92),"$")),CHAR(96),_xlfn.CONCAT(CHAR(92),CHAR(96))),CHAR(34),CHAR(39))))</f>
        <v/>
      </c>
      <c r="S326" s="5" t="str">
        <f>IF(OR(TRIM($B326)="",$I326=""),"",IF(OR(ISNUMBER(SEARCH(_xlfn.CONCAT(CHAR(96),CHAR(34)),$I326)),ISNUMBER(SEARCH(_xlfn.CONCAT(CHAR(34),CHAR(39)),$I326))),_xlfn.CONCAT("* REVIEW REQUIRED: compound-quote delimiter in Derivation on Sheet 1 row ",326,"; edit the input before running."),_xlfn.CONCAT("char ",TRIM($B326),"[doc_derivation] ",CHAR(96),CHAR(34),SUBSTITUTE(SUBSTITUTE(SUBSTITUTE(SUBSTITUTE(SUBSTITUTE(SUBSTITUTE($I326,CHAR(13)," "),CHAR(10)," "),CHAR(9)," "),CHAR(92),_xlfn.CONCAT(CHAR(92),CHAR(92))),"$",_xlfn.CONCAT(CHAR(92),"$")),CHAR(96),_xlfn.CONCAT(CHAR(92),CHAR(96))),CHAR(34),CHAR(39))))</f>
        <v/>
      </c>
      <c r="T326" s="5" t="str">
        <f>IF(OR(TRIM($B326)="",$J326=""),"",IF(OR(ISNUMBER(SEARCH(_xlfn.CONCAT(CHAR(96),CHAR(34)),$J326)),ISNUMBER(SEARCH(_xlfn.CONCAT(CHAR(34),CHAR(39)),$J326))),_xlfn.CONCAT("* REVIEW REQUIRED: compound-quote delimiter in Notes on Sheet 1 row ",326,"; edit the input before running."),_xlfn.CONCAT("char ",TRIM($B326),"[doc_notes] ",CHAR(96),CHAR(34),SUBSTITUTE(SUBSTITUTE(SUBSTITUTE(SUBSTITUTE(SUBSTITUTE(SUBSTITUTE($J326,CHAR(13)," "),CHAR(10)," "),CHAR(9)," "),CHAR(92),_xlfn.CONCAT(CHAR(92),CHAR(92))),"$",_xlfn.CONCAT(CHAR(92),"$")),CHAR(96),_xlfn.CONCAT(CHAR(92),CHAR(96))),CHAR(34),CHAR(39))))</f>
        <v/>
      </c>
      <c r="U326" s="5">
        <f t="shared" si="9"/>
        <v>0</v>
      </c>
    </row>
    <row r="327" spans="3:21" ht="30" customHeight="1" x14ac:dyDescent="0.2">
      <c r="C327" s="4"/>
      <c r="K327" s="5">
        <f t="shared" si="8"/>
        <v>0</v>
      </c>
      <c r="L327" s="5" t="str">
        <f>IF(OR(TRIM($B327)="",$A327=""),"",IF(OR(ISNUMBER(SEARCH(_xlfn.CONCAT(CHAR(96),CHAR(34)),$A327)),ISNUMBER(SEARCH(_xlfn.CONCAT(CHAR(34),CHAR(39)),$A327))),_xlfn.CONCAT("* REVIEW REQUIRED: compound-quote delimiter in Codebook Section on Sheet 1 row ",327,"; edit the input before running."),_xlfn.CONCAT("char ",TRIM($B327),"[doc_section] ",CHAR(96),CHAR(34),SUBSTITUTE(SUBSTITUTE(SUBSTITUTE(SUBSTITUTE(SUBSTITUTE(SUBSTITUTE($A327,CHAR(13)," "),CHAR(10)," "),CHAR(9)," "),CHAR(92),_xlfn.CONCAT(CHAR(92),CHAR(92))),"$",_xlfn.CONCAT(CHAR(92),"$")),CHAR(96),_xlfn.CONCAT(CHAR(92),CHAR(96))),CHAR(34),CHAR(39))))</f>
        <v/>
      </c>
      <c r="M327" s="5" t="str">
        <f>IF(OR(TRIM($B327)="",$C327=""),"",IF(IFERROR(MATCH(TRIM($C327),{"Quantitative","Continuous","Discrete","Categorical","Nominal","Ordinal","Identifier"},0),0)=0,_xlfn.CONCAT("* REVIEW REQUIRED: invalid Variable Type on Sheet 1 row ",327,"."),_xlfn.CONCAT("char ",TRIM($B327),"[doc_vartype] ",CHAR(96),CHAR(34),SUBSTITUTE(SUBSTITUTE(SUBSTITUTE(SUBSTITUTE(SUBSTITUTE(SUBSTITUTE(LOWER(TRIM($C327)),CHAR(13)," "),CHAR(10)," "),CHAR(9)," "),CHAR(92),_xlfn.CONCAT(CHAR(92),CHAR(92))),"$",_xlfn.CONCAT(CHAR(92),"$")),CHAR(96),_xlfn.CONCAT(CHAR(92),CHAR(96))),CHAR(34),CHAR(39))))</f>
        <v/>
      </c>
      <c r="N327" s="5" t="str">
        <f>IF(OR(TRIM($B327)="",$D327=""),"",IF(OR(ISNUMBER(SEARCH(_xlfn.CONCAT(CHAR(96),CHAR(34)),$D327)),ISNUMBER(SEARCH(_xlfn.CONCAT(CHAR(34),CHAR(39)),$D327))),_xlfn.CONCAT("* REVIEW REQUIRED: compound-quote delimiter in Item Number on Sheet 1 row ",327,"; edit the input before running."),_xlfn.CONCAT("char ",TRIM($B327),"[doc_itemnum] ",CHAR(96),CHAR(34),SUBSTITUTE(SUBSTITUTE(SUBSTITUTE(SUBSTITUTE(SUBSTITUTE(SUBSTITUTE($D327,CHAR(13)," "),CHAR(10)," "),CHAR(9)," "),CHAR(92),_xlfn.CONCAT(CHAR(92),CHAR(92))),"$",_xlfn.CONCAT(CHAR(92),"$")),CHAR(96),_xlfn.CONCAT(CHAR(92),CHAR(96))),CHAR(34),CHAR(39))))</f>
        <v/>
      </c>
      <c r="O327" s="5" t="str">
        <f>IF(OR(TRIM($B327)="",$E327=""),"",IF(OR(ISNUMBER(SEARCH(_xlfn.CONCAT(CHAR(96),CHAR(34)),$E327)),ISNUMBER(SEARCH(_xlfn.CONCAT(CHAR(34),CHAR(39)),$E327))),_xlfn.CONCAT("* REVIEW REQUIRED: compound-quote delimiter in Question Wording on Sheet 1 row ",327,"; edit the input before running."),_xlfn.CONCAT("char ",TRIM($B327),"[doc_question] ",CHAR(96),CHAR(34),SUBSTITUTE(SUBSTITUTE(SUBSTITUTE(SUBSTITUTE(SUBSTITUTE(SUBSTITUTE($E327,CHAR(13)," "),CHAR(10)," "),CHAR(9)," "),CHAR(92),_xlfn.CONCAT(CHAR(92),CHAR(92))),"$",_xlfn.CONCAT(CHAR(92),"$")),CHAR(96),_xlfn.CONCAT(CHAR(92),CHAR(96))),CHAR(34),CHAR(39))))</f>
        <v/>
      </c>
      <c r="P327" s="5" t="str">
        <f>IF(OR(TRIM($B327)="",$F327=""),"",IF(OR(ISNUMBER(SEARCH(_xlfn.CONCAT(CHAR(96),CHAR(34)),$F327)),ISNUMBER(SEARCH(_xlfn.CONCAT(CHAR(34),CHAR(39)),$F327))),_xlfn.CONCAT("* REVIEW REQUIRED: compound-quote delimiter in Units on Sheet 1 row ",327,"; edit the input before running."),_xlfn.CONCAT("char ",TRIM($B327),"[doc_units] ",CHAR(96),CHAR(34),SUBSTITUTE(SUBSTITUTE(SUBSTITUTE(SUBSTITUTE(SUBSTITUTE(SUBSTITUTE($F327,CHAR(13)," "),CHAR(10)," "),CHAR(9)," "),CHAR(92),_xlfn.CONCAT(CHAR(92),CHAR(92))),"$",_xlfn.CONCAT(CHAR(92),"$")),CHAR(96),_xlfn.CONCAT(CHAR(92),CHAR(96))),CHAR(34),CHAR(39))))</f>
        <v/>
      </c>
      <c r="Q327" s="5" t="str">
        <f>IF(OR(TRIM($B327)="",$G327=""),"",IF(OR(ISNUMBER(SEARCH(_xlfn.CONCAT(CHAR(96),CHAR(34)),$G327)),ISNUMBER(SEARCH(_xlfn.CONCAT(CHAR(34),CHAR(39)),$G327))),_xlfn.CONCAT("* REVIEW REQUIRED: compound-quote delimiter in Universe on Sheet 1 row ",327,"; edit the input before running."),_xlfn.CONCAT("char ",TRIM($B327),"[doc_universe] ",CHAR(96),CHAR(34),SUBSTITUTE(SUBSTITUTE(SUBSTITUTE(SUBSTITUTE(SUBSTITUTE(SUBSTITUTE($G327,CHAR(13)," "),CHAR(10)," "),CHAR(9)," "),CHAR(92),_xlfn.CONCAT(CHAR(92),CHAR(92))),"$",_xlfn.CONCAT(CHAR(92),"$")),CHAR(96),_xlfn.CONCAT(CHAR(92),CHAR(96))),CHAR(34),CHAR(39))))</f>
        <v/>
      </c>
      <c r="R327" s="5" t="str">
        <f>IF(OR(TRIM($B327)="",$H327=""),"",IF(OR(ISNUMBER(SEARCH(_xlfn.CONCAT(CHAR(96),CHAR(34)),$H327)),ISNUMBER(SEARCH(_xlfn.CONCAT(CHAR(34),CHAR(39)),$H327))),_xlfn.CONCAT("* REVIEW REQUIRED: compound-quote delimiter in Source on Sheet 1 row ",327,"; edit the input before running."),_xlfn.CONCAT("char ",TRIM($B327),"[doc_source] ",CHAR(96),CHAR(34),SUBSTITUTE(SUBSTITUTE(SUBSTITUTE(SUBSTITUTE(SUBSTITUTE(SUBSTITUTE($H327,CHAR(13)," "),CHAR(10)," "),CHAR(9)," "),CHAR(92),_xlfn.CONCAT(CHAR(92),CHAR(92))),"$",_xlfn.CONCAT(CHAR(92),"$")),CHAR(96),_xlfn.CONCAT(CHAR(92),CHAR(96))),CHAR(34),CHAR(39))))</f>
        <v/>
      </c>
      <c r="S327" s="5" t="str">
        <f>IF(OR(TRIM($B327)="",$I327=""),"",IF(OR(ISNUMBER(SEARCH(_xlfn.CONCAT(CHAR(96),CHAR(34)),$I327)),ISNUMBER(SEARCH(_xlfn.CONCAT(CHAR(34),CHAR(39)),$I327))),_xlfn.CONCAT("* REVIEW REQUIRED: compound-quote delimiter in Derivation on Sheet 1 row ",327,"; edit the input before running."),_xlfn.CONCAT("char ",TRIM($B327),"[doc_derivation] ",CHAR(96),CHAR(34),SUBSTITUTE(SUBSTITUTE(SUBSTITUTE(SUBSTITUTE(SUBSTITUTE(SUBSTITUTE($I327,CHAR(13)," "),CHAR(10)," "),CHAR(9)," "),CHAR(92),_xlfn.CONCAT(CHAR(92),CHAR(92))),"$",_xlfn.CONCAT(CHAR(92),"$")),CHAR(96),_xlfn.CONCAT(CHAR(92),CHAR(96))),CHAR(34),CHAR(39))))</f>
        <v/>
      </c>
      <c r="T327" s="5" t="str">
        <f>IF(OR(TRIM($B327)="",$J327=""),"",IF(OR(ISNUMBER(SEARCH(_xlfn.CONCAT(CHAR(96),CHAR(34)),$J327)),ISNUMBER(SEARCH(_xlfn.CONCAT(CHAR(34),CHAR(39)),$J327))),_xlfn.CONCAT("* REVIEW REQUIRED: compound-quote delimiter in Notes on Sheet 1 row ",327,"; edit the input before running."),_xlfn.CONCAT("char ",TRIM($B327),"[doc_notes] ",CHAR(96),CHAR(34),SUBSTITUTE(SUBSTITUTE(SUBSTITUTE(SUBSTITUTE(SUBSTITUTE(SUBSTITUTE($J327,CHAR(13)," "),CHAR(10)," "),CHAR(9)," "),CHAR(92),_xlfn.CONCAT(CHAR(92),CHAR(92))),"$",_xlfn.CONCAT(CHAR(92),"$")),CHAR(96),_xlfn.CONCAT(CHAR(92),CHAR(96))),CHAR(34),CHAR(39))))</f>
        <v/>
      </c>
      <c r="U327" s="5">
        <f t="shared" si="9"/>
        <v>0</v>
      </c>
    </row>
    <row r="328" spans="3:21" ht="30" customHeight="1" x14ac:dyDescent="0.2">
      <c r="C328" s="4"/>
      <c r="K328" s="5">
        <f t="shared" si="8"/>
        <v>0</v>
      </c>
      <c r="L328" s="5" t="str">
        <f>IF(OR(TRIM($B328)="",$A328=""),"",IF(OR(ISNUMBER(SEARCH(_xlfn.CONCAT(CHAR(96),CHAR(34)),$A328)),ISNUMBER(SEARCH(_xlfn.CONCAT(CHAR(34),CHAR(39)),$A328))),_xlfn.CONCAT("* REVIEW REQUIRED: compound-quote delimiter in Codebook Section on Sheet 1 row ",328,"; edit the input before running."),_xlfn.CONCAT("char ",TRIM($B328),"[doc_section] ",CHAR(96),CHAR(34),SUBSTITUTE(SUBSTITUTE(SUBSTITUTE(SUBSTITUTE(SUBSTITUTE(SUBSTITUTE($A328,CHAR(13)," "),CHAR(10)," "),CHAR(9)," "),CHAR(92),_xlfn.CONCAT(CHAR(92),CHAR(92))),"$",_xlfn.CONCAT(CHAR(92),"$")),CHAR(96),_xlfn.CONCAT(CHAR(92),CHAR(96))),CHAR(34),CHAR(39))))</f>
        <v/>
      </c>
      <c r="M328" s="5" t="str">
        <f>IF(OR(TRIM($B328)="",$C328=""),"",IF(IFERROR(MATCH(TRIM($C328),{"Quantitative","Continuous","Discrete","Categorical","Nominal","Ordinal","Identifier"},0),0)=0,_xlfn.CONCAT("* REVIEW REQUIRED: invalid Variable Type on Sheet 1 row ",328,"."),_xlfn.CONCAT("char ",TRIM($B328),"[doc_vartype] ",CHAR(96),CHAR(34),SUBSTITUTE(SUBSTITUTE(SUBSTITUTE(SUBSTITUTE(SUBSTITUTE(SUBSTITUTE(LOWER(TRIM($C328)),CHAR(13)," "),CHAR(10)," "),CHAR(9)," "),CHAR(92),_xlfn.CONCAT(CHAR(92),CHAR(92))),"$",_xlfn.CONCAT(CHAR(92),"$")),CHAR(96),_xlfn.CONCAT(CHAR(92),CHAR(96))),CHAR(34),CHAR(39))))</f>
        <v/>
      </c>
      <c r="N328" s="5" t="str">
        <f>IF(OR(TRIM($B328)="",$D328=""),"",IF(OR(ISNUMBER(SEARCH(_xlfn.CONCAT(CHAR(96),CHAR(34)),$D328)),ISNUMBER(SEARCH(_xlfn.CONCAT(CHAR(34),CHAR(39)),$D328))),_xlfn.CONCAT("* REVIEW REQUIRED: compound-quote delimiter in Item Number on Sheet 1 row ",328,"; edit the input before running."),_xlfn.CONCAT("char ",TRIM($B328),"[doc_itemnum] ",CHAR(96),CHAR(34),SUBSTITUTE(SUBSTITUTE(SUBSTITUTE(SUBSTITUTE(SUBSTITUTE(SUBSTITUTE($D328,CHAR(13)," "),CHAR(10)," "),CHAR(9)," "),CHAR(92),_xlfn.CONCAT(CHAR(92),CHAR(92))),"$",_xlfn.CONCAT(CHAR(92),"$")),CHAR(96),_xlfn.CONCAT(CHAR(92),CHAR(96))),CHAR(34),CHAR(39))))</f>
        <v/>
      </c>
      <c r="O328" s="5" t="str">
        <f>IF(OR(TRIM($B328)="",$E328=""),"",IF(OR(ISNUMBER(SEARCH(_xlfn.CONCAT(CHAR(96),CHAR(34)),$E328)),ISNUMBER(SEARCH(_xlfn.CONCAT(CHAR(34),CHAR(39)),$E328))),_xlfn.CONCAT("* REVIEW REQUIRED: compound-quote delimiter in Question Wording on Sheet 1 row ",328,"; edit the input before running."),_xlfn.CONCAT("char ",TRIM($B328),"[doc_question] ",CHAR(96),CHAR(34),SUBSTITUTE(SUBSTITUTE(SUBSTITUTE(SUBSTITUTE(SUBSTITUTE(SUBSTITUTE($E328,CHAR(13)," "),CHAR(10)," "),CHAR(9)," "),CHAR(92),_xlfn.CONCAT(CHAR(92),CHAR(92))),"$",_xlfn.CONCAT(CHAR(92),"$")),CHAR(96),_xlfn.CONCAT(CHAR(92),CHAR(96))),CHAR(34),CHAR(39))))</f>
        <v/>
      </c>
      <c r="P328" s="5" t="str">
        <f>IF(OR(TRIM($B328)="",$F328=""),"",IF(OR(ISNUMBER(SEARCH(_xlfn.CONCAT(CHAR(96),CHAR(34)),$F328)),ISNUMBER(SEARCH(_xlfn.CONCAT(CHAR(34),CHAR(39)),$F328))),_xlfn.CONCAT("* REVIEW REQUIRED: compound-quote delimiter in Units on Sheet 1 row ",328,"; edit the input before running."),_xlfn.CONCAT("char ",TRIM($B328),"[doc_units] ",CHAR(96),CHAR(34),SUBSTITUTE(SUBSTITUTE(SUBSTITUTE(SUBSTITUTE(SUBSTITUTE(SUBSTITUTE($F328,CHAR(13)," "),CHAR(10)," "),CHAR(9)," "),CHAR(92),_xlfn.CONCAT(CHAR(92),CHAR(92))),"$",_xlfn.CONCAT(CHAR(92),"$")),CHAR(96),_xlfn.CONCAT(CHAR(92),CHAR(96))),CHAR(34),CHAR(39))))</f>
        <v/>
      </c>
      <c r="Q328" s="5" t="str">
        <f>IF(OR(TRIM($B328)="",$G328=""),"",IF(OR(ISNUMBER(SEARCH(_xlfn.CONCAT(CHAR(96),CHAR(34)),$G328)),ISNUMBER(SEARCH(_xlfn.CONCAT(CHAR(34),CHAR(39)),$G328))),_xlfn.CONCAT("* REVIEW REQUIRED: compound-quote delimiter in Universe on Sheet 1 row ",328,"; edit the input before running."),_xlfn.CONCAT("char ",TRIM($B328),"[doc_universe] ",CHAR(96),CHAR(34),SUBSTITUTE(SUBSTITUTE(SUBSTITUTE(SUBSTITUTE(SUBSTITUTE(SUBSTITUTE($G328,CHAR(13)," "),CHAR(10)," "),CHAR(9)," "),CHAR(92),_xlfn.CONCAT(CHAR(92),CHAR(92))),"$",_xlfn.CONCAT(CHAR(92),"$")),CHAR(96),_xlfn.CONCAT(CHAR(92),CHAR(96))),CHAR(34),CHAR(39))))</f>
        <v/>
      </c>
      <c r="R328" s="5" t="str">
        <f>IF(OR(TRIM($B328)="",$H328=""),"",IF(OR(ISNUMBER(SEARCH(_xlfn.CONCAT(CHAR(96),CHAR(34)),$H328)),ISNUMBER(SEARCH(_xlfn.CONCAT(CHAR(34),CHAR(39)),$H328))),_xlfn.CONCAT("* REVIEW REQUIRED: compound-quote delimiter in Source on Sheet 1 row ",328,"; edit the input before running."),_xlfn.CONCAT("char ",TRIM($B328),"[doc_source] ",CHAR(96),CHAR(34),SUBSTITUTE(SUBSTITUTE(SUBSTITUTE(SUBSTITUTE(SUBSTITUTE(SUBSTITUTE($H328,CHAR(13)," "),CHAR(10)," "),CHAR(9)," "),CHAR(92),_xlfn.CONCAT(CHAR(92),CHAR(92))),"$",_xlfn.CONCAT(CHAR(92),"$")),CHAR(96),_xlfn.CONCAT(CHAR(92),CHAR(96))),CHAR(34),CHAR(39))))</f>
        <v/>
      </c>
      <c r="S328" s="5" t="str">
        <f>IF(OR(TRIM($B328)="",$I328=""),"",IF(OR(ISNUMBER(SEARCH(_xlfn.CONCAT(CHAR(96),CHAR(34)),$I328)),ISNUMBER(SEARCH(_xlfn.CONCAT(CHAR(34),CHAR(39)),$I328))),_xlfn.CONCAT("* REVIEW REQUIRED: compound-quote delimiter in Derivation on Sheet 1 row ",328,"; edit the input before running."),_xlfn.CONCAT("char ",TRIM($B328),"[doc_derivation] ",CHAR(96),CHAR(34),SUBSTITUTE(SUBSTITUTE(SUBSTITUTE(SUBSTITUTE(SUBSTITUTE(SUBSTITUTE($I328,CHAR(13)," "),CHAR(10)," "),CHAR(9)," "),CHAR(92),_xlfn.CONCAT(CHAR(92),CHAR(92))),"$",_xlfn.CONCAT(CHAR(92),"$")),CHAR(96),_xlfn.CONCAT(CHAR(92),CHAR(96))),CHAR(34),CHAR(39))))</f>
        <v/>
      </c>
      <c r="T328" s="5" t="str">
        <f>IF(OR(TRIM($B328)="",$J328=""),"",IF(OR(ISNUMBER(SEARCH(_xlfn.CONCAT(CHAR(96),CHAR(34)),$J328)),ISNUMBER(SEARCH(_xlfn.CONCAT(CHAR(34),CHAR(39)),$J328))),_xlfn.CONCAT("* REVIEW REQUIRED: compound-quote delimiter in Notes on Sheet 1 row ",328,"; edit the input before running."),_xlfn.CONCAT("char ",TRIM($B328),"[doc_notes] ",CHAR(96),CHAR(34),SUBSTITUTE(SUBSTITUTE(SUBSTITUTE(SUBSTITUTE(SUBSTITUTE(SUBSTITUTE($J328,CHAR(13)," "),CHAR(10)," "),CHAR(9)," "),CHAR(92),_xlfn.CONCAT(CHAR(92),CHAR(92))),"$",_xlfn.CONCAT(CHAR(92),"$")),CHAR(96),_xlfn.CONCAT(CHAR(92),CHAR(96))),CHAR(34),CHAR(39))))</f>
        <v/>
      </c>
      <c r="U328" s="5">
        <f t="shared" si="9"/>
        <v>0</v>
      </c>
    </row>
    <row r="329" spans="3:21" ht="30" customHeight="1" x14ac:dyDescent="0.2">
      <c r="C329" s="4"/>
      <c r="K329" s="5">
        <f t="shared" si="8"/>
        <v>0</v>
      </c>
      <c r="L329" s="5" t="str">
        <f>IF(OR(TRIM($B329)="",$A329=""),"",IF(OR(ISNUMBER(SEARCH(_xlfn.CONCAT(CHAR(96),CHAR(34)),$A329)),ISNUMBER(SEARCH(_xlfn.CONCAT(CHAR(34),CHAR(39)),$A329))),_xlfn.CONCAT("* REVIEW REQUIRED: compound-quote delimiter in Codebook Section on Sheet 1 row ",329,"; edit the input before running."),_xlfn.CONCAT("char ",TRIM($B329),"[doc_section] ",CHAR(96),CHAR(34),SUBSTITUTE(SUBSTITUTE(SUBSTITUTE(SUBSTITUTE(SUBSTITUTE(SUBSTITUTE($A329,CHAR(13)," "),CHAR(10)," "),CHAR(9)," "),CHAR(92),_xlfn.CONCAT(CHAR(92),CHAR(92))),"$",_xlfn.CONCAT(CHAR(92),"$")),CHAR(96),_xlfn.CONCAT(CHAR(92),CHAR(96))),CHAR(34),CHAR(39))))</f>
        <v/>
      </c>
      <c r="M329" s="5" t="str">
        <f>IF(OR(TRIM($B329)="",$C329=""),"",IF(IFERROR(MATCH(TRIM($C329),{"Quantitative","Continuous","Discrete","Categorical","Nominal","Ordinal","Identifier"},0),0)=0,_xlfn.CONCAT("* REVIEW REQUIRED: invalid Variable Type on Sheet 1 row ",329,"."),_xlfn.CONCAT("char ",TRIM($B329),"[doc_vartype] ",CHAR(96),CHAR(34),SUBSTITUTE(SUBSTITUTE(SUBSTITUTE(SUBSTITUTE(SUBSTITUTE(SUBSTITUTE(LOWER(TRIM($C329)),CHAR(13)," "),CHAR(10)," "),CHAR(9)," "),CHAR(92),_xlfn.CONCAT(CHAR(92),CHAR(92))),"$",_xlfn.CONCAT(CHAR(92),"$")),CHAR(96),_xlfn.CONCAT(CHAR(92),CHAR(96))),CHAR(34),CHAR(39))))</f>
        <v/>
      </c>
      <c r="N329" s="5" t="str">
        <f>IF(OR(TRIM($B329)="",$D329=""),"",IF(OR(ISNUMBER(SEARCH(_xlfn.CONCAT(CHAR(96),CHAR(34)),$D329)),ISNUMBER(SEARCH(_xlfn.CONCAT(CHAR(34),CHAR(39)),$D329))),_xlfn.CONCAT("* REVIEW REQUIRED: compound-quote delimiter in Item Number on Sheet 1 row ",329,"; edit the input before running."),_xlfn.CONCAT("char ",TRIM($B329),"[doc_itemnum] ",CHAR(96),CHAR(34),SUBSTITUTE(SUBSTITUTE(SUBSTITUTE(SUBSTITUTE(SUBSTITUTE(SUBSTITUTE($D329,CHAR(13)," "),CHAR(10)," "),CHAR(9)," "),CHAR(92),_xlfn.CONCAT(CHAR(92),CHAR(92))),"$",_xlfn.CONCAT(CHAR(92),"$")),CHAR(96),_xlfn.CONCAT(CHAR(92),CHAR(96))),CHAR(34),CHAR(39))))</f>
        <v/>
      </c>
      <c r="O329" s="5" t="str">
        <f>IF(OR(TRIM($B329)="",$E329=""),"",IF(OR(ISNUMBER(SEARCH(_xlfn.CONCAT(CHAR(96),CHAR(34)),$E329)),ISNUMBER(SEARCH(_xlfn.CONCAT(CHAR(34),CHAR(39)),$E329))),_xlfn.CONCAT("* REVIEW REQUIRED: compound-quote delimiter in Question Wording on Sheet 1 row ",329,"; edit the input before running."),_xlfn.CONCAT("char ",TRIM($B329),"[doc_question] ",CHAR(96),CHAR(34),SUBSTITUTE(SUBSTITUTE(SUBSTITUTE(SUBSTITUTE(SUBSTITUTE(SUBSTITUTE($E329,CHAR(13)," "),CHAR(10)," "),CHAR(9)," "),CHAR(92),_xlfn.CONCAT(CHAR(92),CHAR(92))),"$",_xlfn.CONCAT(CHAR(92),"$")),CHAR(96),_xlfn.CONCAT(CHAR(92),CHAR(96))),CHAR(34),CHAR(39))))</f>
        <v/>
      </c>
      <c r="P329" s="5" t="str">
        <f>IF(OR(TRIM($B329)="",$F329=""),"",IF(OR(ISNUMBER(SEARCH(_xlfn.CONCAT(CHAR(96),CHAR(34)),$F329)),ISNUMBER(SEARCH(_xlfn.CONCAT(CHAR(34),CHAR(39)),$F329))),_xlfn.CONCAT("* REVIEW REQUIRED: compound-quote delimiter in Units on Sheet 1 row ",329,"; edit the input before running."),_xlfn.CONCAT("char ",TRIM($B329),"[doc_units] ",CHAR(96),CHAR(34),SUBSTITUTE(SUBSTITUTE(SUBSTITUTE(SUBSTITUTE(SUBSTITUTE(SUBSTITUTE($F329,CHAR(13)," "),CHAR(10)," "),CHAR(9)," "),CHAR(92),_xlfn.CONCAT(CHAR(92),CHAR(92))),"$",_xlfn.CONCAT(CHAR(92),"$")),CHAR(96),_xlfn.CONCAT(CHAR(92),CHAR(96))),CHAR(34),CHAR(39))))</f>
        <v/>
      </c>
      <c r="Q329" s="5" t="str">
        <f>IF(OR(TRIM($B329)="",$G329=""),"",IF(OR(ISNUMBER(SEARCH(_xlfn.CONCAT(CHAR(96),CHAR(34)),$G329)),ISNUMBER(SEARCH(_xlfn.CONCAT(CHAR(34),CHAR(39)),$G329))),_xlfn.CONCAT("* REVIEW REQUIRED: compound-quote delimiter in Universe on Sheet 1 row ",329,"; edit the input before running."),_xlfn.CONCAT("char ",TRIM($B329),"[doc_universe] ",CHAR(96),CHAR(34),SUBSTITUTE(SUBSTITUTE(SUBSTITUTE(SUBSTITUTE(SUBSTITUTE(SUBSTITUTE($G329,CHAR(13)," "),CHAR(10)," "),CHAR(9)," "),CHAR(92),_xlfn.CONCAT(CHAR(92),CHAR(92))),"$",_xlfn.CONCAT(CHAR(92),"$")),CHAR(96),_xlfn.CONCAT(CHAR(92),CHAR(96))),CHAR(34),CHAR(39))))</f>
        <v/>
      </c>
      <c r="R329" s="5" t="str">
        <f>IF(OR(TRIM($B329)="",$H329=""),"",IF(OR(ISNUMBER(SEARCH(_xlfn.CONCAT(CHAR(96),CHAR(34)),$H329)),ISNUMBER(SEARCH(_xlfn.CONCAT(CHAR(34),CHAR(39)),$H329))),_xlfn.CONCAT("* REVIEW REQUIRED: compound-quote delimiter in Source on Sheet 1 row ",329,"; edit the input before running."),_xlfn.CONCAT("char ",TRIM($B329),"[doc_source] ",CHAR(96),CHAR(34),SUBSTITUTE(SUBSTITUTE(SUBSTITUTE(SUBSTITUTE(SUBSTITUTE(SUBSTITUTE($H329,CHAR(13)," "),CHAR(10)," "),CHAR(9)," "),CHAR(92),_xlfn.CONCAT(CHAR(92),CHAR(92))),"$",_xlfn.CONCAT(CHAR(92),"$")),CHAR(96),_xlfn.CONCAT(CHAR(92),CHAR(96))),CHAR(34),CHAR(39))))</f>
        <v/>
      </c>
      <c r="S329" s="5" t="str">
        <f>IF(OR(TRIM($B329)="",$I329=""),"",IF(OR(ISNUMBER(SEARCH(_xlfn.CONCAT(CHAR(96),CHAR(34)),$I329)),ISNUMBER(SEARCH(_xlfn.CONCAT(CHAR(34),CHAR(39)),$I329))),_xlfn.CONCAT("* REVIEW REQUIRED: compound-quote delimiter in Derivation on Sheet 1 row ",329,"; edit the input before running."),_xlfn.CONCAT("char ",TRIM($B329),"[doc_derivation] ",CHAR(96),CHAR(34),SUBSTITUTE(SUBSTITUTE(SUBSTITUTE(SUBSTITUTE(SUBSTITUTE(SUBSTITUTE($I329,CHAR(13)," "),CHAR(10)," "),CHAR(9)," "),CHAR(92),_xlfn.CONCAT(CHAR(92),CHAR(92))),"$",_xlfn.CONCAT(CHAR(92),"$")),CHAR(96),_xlfn.CONCAT(CHAR(92),CHAR(96))),CHAR(34),CHAR(39))))</f>
        <v/>
      </c>
      <c r="T329" s="5" t="str">
        <f>IF(OR(TRIM($B329)="",$J329=""),"",IF(OR(ISNUMBER(SEARCH(_xlfn.CONCAT(CHAR(96),CHAR(34)),$J329)),ISNUMBER(SEARCH(_xlfn.CONCAT(CHAR(34),CHAR(39)),$J329))),_xlfn.CONCAT("* REVIEW REQUIRED: compound-quote delimiter in Notes on Sheet 1 row ",329,"; edit the input before running."),_xlfn.CONCAT("char ",TRIM($B329),"[doc_notes] ",CHAR(96),CHAR(34),SUBSTITUTE(SUBSTITUTE(SUBSTITUTE(SUBSTITUTE(SUBSTITUTE(SUBSTITUTE($J329,CHAR(13)," "),CHAR(10)," "),CHAR(9)," "),CHAR(92),_xlfn.CONCAT(CHAR(92),CHAR(92))),"$",_xlfn.CONCAT(CHAR(92),"$")),CHAR(96),_xlfn.CONCAT(CHAR(92),CHAR(96))),CHAR(34),CHAR(39))))</f>
        <v/>
      </c>
      <c r="U329" s="5">
        <f t="shared" si="9"/>
        <v>0</v>
      </c>
    </row>
    <row r="330" spans="3:21" ht="30" customHeight="1" x14ac:dyDescent="0.2">
      <c r="C330" s="4"/>
      <c r="K330" s="5">
        <f t="shared" si="8"/>
        <v>0</v>
      </c>
      <c r="L330" s="5" t="str">
        <f>IF(OR(TRIM($B330)="",$A330=""),"",IF(OR(ISNUMBER(SEARCH(_xlfn.CONCAT(CHAR(96),CHAR(34)),$A330)),ISNUMBER(SEARCH(_xlfn.CONCAT(CHAR(34),CHAR(39)),$A330))),_xlfn.CONCAT("* REVIEW REQUIRED: compound-quote delimiter in Codebook Section on Sheet 1 row ",330,"; edit the input before running."),_xlfn.CONCAT("char ",TRIM($B330),"[doc_section] ",CHAR(96),CHAR(34),SUBSTITUTE(SUBSTITUTE(SUBSTITUTE(SUBSTITUTE(SUBSTITUTE(SUBSTITUTE($A330,CHAR(13)," "),CHAR(10)," "),CHAR(9)," "),CHAR(92),_xlfn.CONCAT(CHAR(92),CHAR(92))),"$",_xlfn.CONCAT(CHAR(92),"$")),CHAR(96),_xlfn.CONCAT(CHAR(92),CHAR(96))),CHAR(34),CHAR(39))))</f>
        <v/>
      </c>
      <c r="M330" s="5" t="str">
        <f>IF(OR(TRIM($B330)="",$C330=""),"",IF(IFERROR(MATCH(TRIM($C330),{"Quantitative","Continuous","Discrete","Categorical","Nominal","Ordinal","Identifier"},0),0)=0,_xlfn.CONCAT("* REVIEW REQUIRED: invalid Variable Type on Sheet 1 row ",330,"."),_xlfn.CONCAT("char ",TRIM($B330),"[doc_vartype] ",CHAR(96),CHAR(34),SUBSTITUTE(SUBSTITUTE(SUBSTITUTE(SUBSTITUTE(SUBSTITUTE(SUBSTITUTE(LOWER(TRIM($C330)),CHAR(13)," "),CHAR(10)," "),CHAR(9)," "),CHAR(92),_xlfn.CONCAT(CHAR(92),CHAR(92))),"$",_xlfn.CONCAT(CHAR(92),"$")),CHAR(96),_xlfn.CONCAT(CHAR(92),CHAR(96))),CHAR(34),CHAR(39))))</f>
        <v/>
      </c>
      <c r="N330" s="5" t="str">
        <f>IF(OR(TRIM($B330)="",$D330=""),"",IF(OR(ISNUMBER(SEARCH(_xlfn.CONCAT(CHAR(96),CHAR(34)),$D330)),ISNUMBER(SEARCH(_xlfn.CONCAT(CHAR(34),CHAR(39)),$D330))),_xlfn.CONCAT("* REVIEW REQUIRED: compound-quote delimiter in Item Number on Sheet 1 row ",330,"; edit the input before running."),_xlfn.CONCAT("char ",TRIM($B330),"[doc_itemnum] ",CHAR(96),CHAR(34),SUBSTITUTE(SUBSTITUTE(SUBSTITUTE(SUBSTITUTE(SUBSTITUTE(SUBSTITUTE($D330,CHAR(13)," "),CHAR(10)," "),CHAR(9)," "),CHAR(92),_xlfn.CONCAT(CHAR(92),CHAR(92))),"$",_xlfn.CONCAT(CHAR(92),"$")),CHAR(96),_xlfn.CONCAT(CHAR(92),CHAR(96))),CHAR(34),CHAR(39))))</f>
        <v/>
      </c>
      <c r="O330" s="5" t="str">
        <f>IF(OR(TRIM($B330)="",$E330=""),"",IF(OR(ISNUMBER(SEARCH(_xlfn.CONCAT(CHAR(96),CHAR(34)),$E330)),ISNUMBER(SEARCH(_xlfn.CONCAT(CHAR(34),CHAR(39)),$E330))),_xlfn.CONCAT("* REVIEW REQUIRED: compound-quote delimiter in Question Wording on Sheet 1 row ",330,"; edit the input before running."),_xlfn.CONCAT("char ",TRIM($B330),"[doc_question] ",CHAR(96),CHAR(34),SUBSTITUTE(SUBSTITUTE(SUBSTITUTE(SUBSTITUTE(SUBSTITUTE(SUBSTITUTE($E330,CHAR(13)," "),CHAR(10)," "),CHAR(9)," "),CHAR(92),_xlfn.CONCAT(CHAR(92),CHAR(92))),"$",_xlfn.CONCAT(CHAR(92),"$")),CHAR(96),_xlfn.CONCAT(CHAR(92),CHAR(96))),CHAR(34),CHAR(39))))</f>
        <v/>
      </c>
      <c r="P330" s="5" t="str">
        <f>IF(OR(TRIM($B330)="",$F330=""),"",IF(OR(ISNUMBER(SEARCH(_xlfn.CONCAT(CHAR(96),CHAR(34)),$F330)),ISNUMBER(SEARCH(_xlfn.CONCAT(CHAR(34),CHAR(39)),$F330))),_xlfn.CONCAT("* REVIEW REQUIRED: compound-quote delimiter in Units on Sheet 1 row ",330,"; edit the input before running."),_xlfn.CONCAT("char ",TRIM($B330),"[doc_units] ",CHAR(96),CHAR(34),SUBSTITUTE(SUBSTITUTE(SUBSTITUTE(SUBSTITUTE(SUBSTITUTE(SUBSTITUTE($F330,CHAR(13)," "),CHAR(10)," "),CHAR(9)," "),CHAR(92),_xlfn.CONCAT(CHAR(92),CHAR(92))),"$",_xlfn.CONCAT(CHAR(92),"$")),CHAR(96),_xlfn.CONCAT(CHAR(92),CHAR(96))),CHAR(34),CHAR(39))))</f>
        <v/>
      </c>
      <c r="Q330" s="5" t="str">
        <f>IF(OR(TRIM($B330)="",$G330=""),"",IF(OR(ISNUMBER(SEARCH(_xlfn.CONCAT(CHAR(96),CHAR(34)),$G330)),ISNUMBER(SEARCH(_xlfn.CONCAT(CHAR(34),CHAR(39)),$G330))),_xlfn.CONCAT("* REVIEW REQUIRED: compound-quote delimiter in Universe on Sheet 1 row ",330,"; edit the input before running."),_xlfn.CONCAT("char ",TRIM($B330),"[doc_universe] ",CHAR(96),CHAR(34),SUBSTITUTE(SUBSTITUTE(SUBSTITUTE(SUBSTITUTE(SUBSTITUTE(SUBSTITUTE($G330,CHAR(13)," "),CHAR(10)," "),CHAR(9)," "),CHAR(92),_xlfn.CONCAT(CHAR(92),CHAR(92))),"$",_xlfn.CONCAT(CHAR(92),"$")),CHAR(96),_xlfn.CONCAT(CHAR(92),CHAR(96))),CHAR(34),CHAR(39))))</f>
        <v/>
      </c>
      <c r="R330" s="5" t="str">
        <f>IF(OR(TRIM($B330)="",$H330=""),"",IF(OR(ISNUMBER(SEARCH(_xlfn.CONCAT(CHAR(96),CHAR(34)),$H330)),ISNUMBER(SEARCH(_xlfn.CONCAT(CHAR(34),CHAR(39)),$H330))),_xlfn.CONCAT("* REVIEW REQUIRED: compound-quote delimiter in Source on Sheet 1 row ",330,"; edit the input before running."),_xlfn.CONCAT("char ",TRIM($B330),"[doc_source] ",CHAR(96),CHAR(34),SUBSTITUTE(SUBSTITUTE(SUBSTITUTE(SUBSTITUTE(SUBSTITUTE(SUBSTITUTE($H330,CHAR(13)," "),CHAR(10)," "),CHAR(9)," "),CHAR(92),_xlfn.CONCAT(CHAR(92),CHAR(92))),"$",_xlfn.CONCAT(CHAR(92),"$")),CHAR(96),_xlfn.CONCAT(CHAR(92),CHAR(96))),CHAR(34),CHAR(39))))</f>
        <v/>
      </c>
      <c r="S330" s="5" t="str">
        <f>IF(OR(TRIM($B330)="",$I330=""),"",IF(OR(ISNUMBER(SEARCH(_xlfn.CONCAT(CHAR(96),CHAR(34)),$I330)),ISNUMBER(SEARCH(_xlfn.CONCAT(CHAR(34),CHAR(39)),$I330))),_xlfn.CONCAT("* REVIEW REQUIRED: compound-quote delimiter in Derivation on Sheet 1 row ",330,"; edit the input before running."),_xlfn.CONCAT("char ",TRIM($B330),"[doc_derivation] ",CHAR(96),CHAR(34),SUBSTITUTE(SUBSTITUTE(SUBSTITUTE(SUBSTITUTE(SUBSTITUTE(SUBSTITUTE($I330,CHAR(13)," "),CHAR(10)," "),CHAR(9)," "),CHAR(92),_xlfn.CONCAT(CHAR(92),CHAR(92))),"$",_xlfn.CONCAT(CHAR(92),"$")),CHAR(96),_xlfn.CONCAT(CHAR(92),CHAR(96))),CHAR(34),CHAR(39))))</f>
        <v/>
      </c>
      <c r="T330" s="5" t="str">
        <f>IF(OR(TRIM($B330)="",$J330=""),"",IF(OR(ISNUMBER(SEARCH(_xlfn.CONCAT(CHAR(96),CHAR(34)),$J330)),ISNUMBER(SEARCH(_xlfn.CONCAT(CHAR(34),CHAR(39)),$J330))),_xlfn.CONCAT("* REVIEW REQUIRED: compound-quote delimiter in Notes on Sheet 1 row ",330,"; edit the input before running."),_xlfn.CONCAT("char ",TRIM($B330),"[doc_notes] ",CHAR(96),CHAR(34),SUBSTITUTE(SUBSTITUTE(SUBSTITUTE(SUBSTITUTE(SUBSTITUTE(SUBSTITUTE($J330,CHAR(13)," "),CHAR(10)," "),CHAR(9)," "),CHAR(92),_xlfn.CONCAT(CHAR(92),CHAR(92))),"$",_xlfn.CONCAT(CHAR(92),"$")),CHAR(96),_xlfn.CONCAT(CHAR(92),CHAR(96))),CHAR(34),CHAR(39))))</f>
        <v/>
      </c>
      <c r="U330" s="5">
        <f t="shared" si="9"/>
        <v>0</v>
      </c>
    </row>
    <row r="331" spans="3:21" ht="30" customHeight="1" x14ac:dyDescent="0.2">
      <c r="C331" s="4"/>
      <c r="K331" s="5">
        <f t="shared" si="8"/>
        <v>0</v>
      </c>
      <c r="L331" s="5" t="str">
        <f>IF(OR(TRIM($B331)="",$A331=""),"",IF(OR(ISNUMBER(SEARCH(_xlfn.CONCAT(CHAR(96),CHAR(34)),$A331)),ISNUMBER(SEARCH(_xlfn.CONCAT(CHAR(34),CHAR(39)),$A331))),_xlfn.CONCAT("* REVIEW REQUIRED: compound-quote delimiter in Codebook Section on Sheet 1 row ",331,"; edit the input before running."),_xlfn.CONCAT("char ",TRIM($B331),"[doc_section] ",CHAR(96),CHAR(34),SUBSTITUTE(SUBSTITUTE(SUBSTITUTE(SUBSTITUTE(SUBSTITUTE(SUBSTITUTE($A331,CHAR(13)," "),CHAR(10)," "),CHAR(9)," "),CHAR(92),_xlfn.CONCAT(CHAR(92),CHAR(92))),"$",_xlfn.CONCAT(CHAR(92),"$")),CHAR(96),_xlfn.CONCAT(CHAR(92),CHAR(96))),CHAR(34),CHAR(39))))</f>
        <v/>
      </c>
      <c r="M331" s="5" t="str">
        <f>IF(OR(TRIM($B331)="",$C331=""),"",IF(IFERROR(MATCH(TRIM($C331),{"Quantitative","Continuous","Discrete","Categorical","Nominal","Ordinal","Identifier"},0),0)=0,_xlfn.CONCAT("* REVIEW REQUIRED: invalid Variable Type on Sheet 1 row ",331,"."),_xlfn.CONCAT("char ",TRIM($B331),"[doc_vartype] ",CHAR(96),CHAR(34),SUBSTITUTE(SUBSTITUTE(SUBSTITUTE(SUBSTITUTE(SUBSTITUTE(SUBSTITUTE(LOWER(TRIM($C331)),CHAR(13)," "),CHAR(10)," "),CHAR(9)," "),CHAR(92),_xlfn.CONCAT(CHAR(92),CHAR(92))),"$",_xlfn.CONCAT(CHAR(92),"$")),CHAR(96),_xlfn.CONCAT(CHAR(92),CHAR(96))),CHAR(34),CHAR(39))))</f>
        <v/>
      </c>
      <c r="N331" s="5" t="str">
        <f>IF(OR(TRIM($B331)="",$D331=""),"",IF(OR(ISNUMBER(SEARCH(_xlfn.CONCAT(CHAR(96),CHAR(34)),$D331)),ISNUMBER(SEARCH(_xlfn.CONCAT(CHAR(34),CHAR(39)),$D331))),_xlfn.CONCAT("* REVIEW REQUIRED: compound-quote delimiter in Item Number on Sheet 1 row ",331,"; edit the input before running."),_xlfn.CONCAT("char ",TRIM($B331),"[doc_itemnum] ",CHAR(96),CHAR(34),SUBSTITUTE(SUBSTITUTE(SUBSTITUTE(SUBSTITUTE(SUBSTITUTE(SUBSTITUTE($D331,CHAR(13)," "),CHAR(10)," "),CHAR(9)," "),CHAR(92),_xlfn.CONCAT(CHAR(92),CHAR(92))),"$",_xlfn.CONCAT(CHAR(92),"$")),CHAR(96),_xlfn.CONCAT(CHAR(92),CHAR(96))),CHAR(34),CHAR(39))))</f>
        <v/>
      </c>
      <c r="O331" s="5" t="str">
        <f>IF(OR(TRIM($B331)="",$E331=""),"",IF(OR(ISNUMBER(SEARCH(_xlfn.CONCAT(CHAR(96),CHAR(34)),$E331)),ISNUMBER(SEARCH(_xlfn.CONCAT(CHAR(34),CHAR(39)),$E331))),_xlfn.CONCAT("* REVIEW REQUIRED: compound-quote delimiter in Question Wording on Sheet 1 row ",331,"; edit the input before running."),_xlfn.CONCAT("char ",TRIM($B331),"[doc_question] ",CHAR(96),CHAR(34),SUBSTITUTE(SUBSTITUTE(SUBSTITUTE(SUBSTITUTE(SUBSTITUTE(SUBSTITUTE($E331,CHAR(13)," "),CHAR(10)," "),CHAR(9)," "),CHAR(92),_xlfn.CONCAT(CHAR(92),CHAR(92))),"$",_xlfn.CONCAT(CHAR(92),"$")),CHAR(96),_xlfn.CONCAT(CHAR(92),CHAR(96))),CHAR(34),CHAR(39))))</f>
        <v/>
      </c>
      <c r="P331" s="5" t="str">
        <f>IF(OR(TRIM($B331)="",$F331=""),"",IF(OR(ISNUMBER(SEARCH(_xlfn.CONCAT(CHAR(96),CHAR(34)),$F331)),ISNUMBER(SEARCH(_xlfn.CONCAT(CHAR(34),CHAR(39)),$F331))),_xlfn.CONCAT("* REVIEW REQUIRED: compound-quote delimiter in Units on Sheet 1 row ",331,"; edit the input before running."),_xlfn.CONCAT("char ",TRIM($B331),"[doc_units] ",CHAR(96),CHAR(34),SUBSTITUTE(SUBSTITUTE(SUBSTITUTE(SUBSTITUTE(SUBSTITUTE(SUBSTITUTE($F331,CHAR(13)," "),CHAR(10)," "),CHAR(9)," "),CHAR(92),_xlfn.CONCAT(CHAR(92),CHAR(92))),"$",_xlfn.CONCAT(CHAR(92),"$")),CHAR(96),_xlfn.CONCAT(CHAR(92),CHAR(96))),CHAR(34),CHAR(39))))</f>
        <v/>
      </c>
      <c r="Q331" s="5" t="str">
        <f>IF(OR(TRIM($B331)="",$G331=""),"",IF(OR(ISNUMBER(SEARCH(_xlfn.CONCAT(CHAR(96),CHAR(34)),$G331)),ISNUMBER(SEARCH(_xlfn.CONCAT(CHAR(34),CHAR(39)),$G331))),_xlfn.CONCAT("* REVIEW REQUIRED: compound-quote delimiter in Universe on Sheet 1 row ",331,"; edit the input before running."),_xlfn.CONCAT("char ",TRIM($B331),"[doc_universe] ",CHAR(96),CHAR(34),SUBSTITUTE(SUBSTITUTE(SUBSTITUTE(SUBSTITUTE(SUBSTITUTE(SUBSTITUTE($G331,CHAR(13)," "),CHAR(10)," "),CHAR(9)," "),CHAR(92),_xlfn.CONCAT(CHAR(92),CHAR(92))),"$",_xlfn.CONCAT(CHAR(92),"$")),CHAR(96),_xlfn.CONCAT(CHAR(92),CHAR(96))),CHAR(34),CHAR(39))))</f>
        <v/>
      </c>
      <c r="R331" s="5" t="str">
        <f>IF(OR(TRIM($B331)="",$H331=""),"",IF(OR(ISNUMBER(SEARCH(_xlfn.CONCAT(CHAR(96),CHAR(34)),$H331)),ISNUMBER(SEARCH(_xlfn.CONCAT(CHAR(34),CHAR(39)),$H331))),_xlfn.CONCAT("* REVIEW REQUIRED: compound-quote delimiter in Source on Sheet 1 row ",331,"; edit the input before running."),_xlfn.CONCAT("char ",TRIM($B331),"[doc_source] ",CHAR(96),CHAR(34),SUBSTITUTE(SUBSTITUTE(SUBSTITUTE(SUBSTITUTE(SUBSTITUTE(SUBSTITUTE($H331,CHAR(13)," "),CHAR(10)," "),CHAR(9)," "),CHAR(92),_xlfn.CONCAT(CHAR(92),CHAR(92))),"$",_xlfn.CONCAT(CHAR(92),"$")),CHAR(96),_xlfn.CONCAT(CHAR(92),CHAR(96))),CHAR(34),CHAR(39))))</f>
        <v/>
      </c>
      <c r="S331" s="5" t="str">
        <f>IF(OR(TRIM($B331)="",$I331=""),"",IF(OR(ISNUMBER(SEARCH(_xlfn.CONCAT(CHAR(96),CHAR(34)),$I331)),ISNUMBER(SEARCH(_xlfn.CONCAT(CHAR(34),CHAR(39)),$I331))),_xlfn.CONCAT("* REVIEW REQUIRED: compound-quote delimiter in Derivation on Sheet 1 row ",331,"; edit the input before running."),_xlfn.CONCAT("char ",TRIM($B331),"[doc_derivation] ",CHAR(96),CHAR(34),SUBSTITUTE(SUBSTITUTE(SUBSTITUTE(SUBSTITUTE(SUBSTITUTE(SUBSTITUTE($I331,CHAR(13)," "),CHAR(10)," "),CHAR(9)," "),CHAR(92),_xlfn.CONCAT(CHAR(92),CHAR(92))),"$",_xlfn.CONCAT(CHAR(92),"$")),CHAR(96),_xlfn.CONCAT(CHAR(92),CHAR(96))),CHAR(34),CHAR(39))))</f>
        <v/>
      </c>
      <c r="T331" s="5" t="str">
        <f>IF(OR(TRIM($B331)="",$J331=""),"",IF(OR(ISNUMBER(SEARCH(_xlfn.CONCAT(CHAR(96),CHAR(34)),$J331)),ISNUMBER(SEARCH(_xlfn.CONCAT(CHAR(34),CHAR(39)),$J331))),_xlfn.CONCAT("* REVIEW REQUIRED: compound-quote delimiter in Notes on Sheet 1 row ",331,"; edit the input before running."),_xlfn.CONCAT("char ",TRIM($B331),"[doc_notes] ",CHAR(96),CHAR(34),SUBSTITUTE(SUBSTITUTE(SUBSTITUTE(SUBSTITUTE(SUBSTITUTE(SUBSTITUTE($J331,CHAR(13)," "),CHAR(10)," "),CHAR(9)," "),CHAR(92),_xlfn.CONCAT(CHAR(92),CHAR(92))),"$",_xlfn.CONCAT(CHAR(92),"$")),CHAR(96),_xlfn.CONCAT(CHAR(92),CHAR(96))),CHAR(34),CHAR(39))))</f>
        <v/>
      </c>
      <c r="U331" s="5">
        <f t="shared" si="9"/>
        <v>0</v>
      </c>
    </row>
    <row r="332" spans="3:21" ht="30" customHeight="1" x14ac:dyDescent="0.2">
      <c r="C332" s="4"/>
      <c r="K332" s="5">
        <f t="shared" si="8"/>
        <v>0</v>
      </c>
      <c r="L332" s="5" t="str">
        <f>IF(OR(TRIM($B332)="",$A332=""),"",IF(OR(ISNUMBER(SEARCH(_xlfn.CONCAT(CHAR(96),CHAR(34)),$A332)),ISNUMBER(SEARCH(_xlfn.CONCAT(CHAR(34),CHAR(39)),$A332))),_xlfn.CONCAT("* REVIEW REQUIRED: compound-quote delimiter in Codebook Section on Sheet 1 row ",332,"; edit the input before running."),_xlfn.CONCAT("char ",TRIM($B332),"[doc_section] ",CHAR(96),CHAR(34),SUBSTITUTE(SUBSTITUTE(SUBSTITUTE(SUBSTITUTE(SUBSTITUTE(SUBSTITUTE($A332,CHAR(13)," "),CHAR(10)," "),CHAR(9)," "),CHAR(92),_xlfn.CONCAT(CHAR(92),CHAR(92))),"$",_xlfn.CONCAT(CHAR(92),"$")),CHAR(96),_xlfn.CONCAT(CHAR(92),CHAR(96))),CHAR(34),CHAR(39))))</f>
        <v/>
      </c>
      <c r="M332" s="5" t="str">
        <f>IF(OR(TRIM($B332)="",$C332=""),"",IF(IFERROR(MATCH(TRIM($C332),{"Quantitative","Continuous","Discrete","Categorical","Nominal","Ordinal","Identifier"},0),0)=0,_xlfn.CONCAT("* REVIEW REQUIRED: invalid Variable Type on Sheet 1 row ",332,"."),_xlfn.CONCAT("char ",TRIM($B332),"[doc_vartype] ",CHAR(96),CHAR(34),SUBSTITUTE(SUBSTITUTE(SUBSTITUTE(SUBSTITUTE(SUBSTITUTE(SUBSTITUTE(LOWER(TRIM($C332)),CHAR(13)," "),CHAR(10)," "),CHAR(9)," "),CHAR(92),_xlfn.CONCAT(CHAR(92),CHAR(92))),"$",_xlfn.CONCAT(CHAR(92),"$")),CHAR(96),_xlfn.CONCAT(CHAR(92),CHAR(96))),CHAR(34),CHAR(39))))</f>
        <v/>
      </c>
      <c r="N332" s="5" t="str">
        <f>IF(OR(TRIM($B332)="",$D332=""),"",IF(OR(ISNUMBER(SEARCH(_xlfn.CONCAT(CHAR(96),CHAR(34)),$D332)),ISNUMBER(SEARCH(_xlfn.CONCAT(CHAR(34),CHAR(39)),$D332))),_xlfn.CONCAT("* REVIEW REQUIRED: compound-quote delimiter in Item Number on Sheet 1 row ",332,"; edit the input before running."),_xlfn.CONCAT("char ",TRIM($B332),"[doc_itemnum] ",CHAR(96),CHAR(34),SUBSTITUTE(SUBSTITUTE(SUBSTITUTE(SUBSTITUTE(SUBSTITUTE(SUBSTITUTE($D332,CHAR(13)," "),CHAR(10)," "),CHAR(9)," "),CHAR(92),_xlfn.CONCAT(CHAR(92),CHAR(92))),"$",_xlfn.CONCAT(CHAR(92),"$")),CHAR(96),_xlfn.CONCAT(CHAR(92),CHAR(96))),CHAR(34),CHAR(39))))</f>
        <v/>
      </c>
      <c r="O332" s="5" t="str">
        <f>IF(OR(TRIM($B332)="",$E332=""),"",IF(OR(ISNUMBER(SEARCH(_xlfn.CONCAT(CHAR(96),CHAR(34)),$E332)),ISNUMBER(SEARCH(_xlfn.CONCAT(CHAR(34),CHAR(39)),$E332))),_xlfn.CONCAT("* REVIEW REQUIRED: compound-quote delimiter in Question Wording on Sheet 1 row ",332,"; edit the input before running."),_xlfn.CONCAT("char ",TRIM($B332),"[doc_question] ",CHAR(96),CHAR(34),SUBSTITUTE(SUBSTITUTE(SUBSTITUTE(SUBSTITUTE(SUBSTITUTE(SUBSTITUTE($E332,CHAR(13)," "),CHAR(10)," "),CHAR(9)," "),CHAR(92),_xlfn.CONCAT(CHAR(92),CHAR(92))),"$",_xlfn.CONCAT(CHAR(92),"$")),CHAR(96),_xlfn.CONCAT(CHAR(92),CHAR(96))),CHAR(34),CHAR(39))))</f>
        <v/>
      </c>
      <c r="P332" s="5" t="str">
        <f>IF(OR(TRIM($B332)="",$F332=""),"",IF(OR(ISNUMBER(SEARCH(_xlfn.CONCAT(CHAR(96),CHAR(34)),$F332)),ISNUMBER(SEARCH(_xlfn.CONCAT(CHAR(34),CHAR(39)),$F332))),_xlfn.CONCAT("* REVIEW REQUIRED: compound-quote delimiter in Units on Sheet 1 row ",332,"; edit the input before running."),_xlfn.CONCAT("char ",TRIM($B332),"[doc_units] ",CHAR(96),CHAR(34),SUBSTITUTE(SUBSTITUTE(SUBSTITUTE(SUBSTITUTE(SUBSTITUTE(SUBSTITUTE($F332,CHAR(13)," "),CHAR(10)," "),CHAR(9)," "),CHAR(92),_xlfn.CONCAT(CHAR(92),CHAR(92))),"$",_xlfn.CONCAT(CHAR(92),"$")),CHAR(96),_xlfn.CONCAT(CHAR(92),CHAR(96))),CHAR(34),CHAR(39))))</f>
        <v/>
      </c>
      <c r="Q332" s="5" t="str">
        <f>IF(OR(TRIM($B332)="",$G332=""),"",IF(OR(ISNUMBER(SEARCH(_xlfn.CONCAT(CHAR(96),CHAR(34)),$G332)),ISNUMBER(SEARCH(_xlfn.CONCAT(CHAR(34),CHAR(39)),$G332))),_xlfn.CONCAT("* REVIEW REQUIRED: compound-quote delimiter in Universe on Sheet 1 row ",332,"; edit the input before running."),_xlfn.CONCAT("char ",TRIM($B332),"[doc_universe] ",CHAR(96),CHAR(34),SUBSTITUTE(SUBSTITUTE(SUBSTITUTE(SUBSTITUTE(SUBSTITUTE(SUBSTITUTE($G332,CHAR(13)," "),CHAR(10)," "),CHAR(9)," "),CHAR(92),_xlfn.CONCAT(CHAR(92),CHAR(92))),"$",_xlfn.CONCAT(CHAR(92),"$")),CHAR(96),_xlfn.CONCAT(CHAR(92),CHAR(96))),CHAR(34),CHAR(39))))</f>
        <v/>
      </c>
      <c r="R332" s="5" t="str">
        <f>IF(OR(TRIM($B332)="",$H332=""),"",IF(OR(ISNUMBER(SEARCH(_xlfn.CONCAT(CHAR(96),CHAR(34)),$H332)),ISNUMBER(SEARCH(_xlfn.CONCAT(CHAR(34),CHAR(39)),$H332))),_xlfn.CONCAT("* REVIEW REQUIRED: compound-quote delimiter in Source on Sheet 1 row ",332,"; edit the input before running."),_xlfn.CONCAT("char ",TRIM($B332),"[doc_source] ",CHAR(96),CHAR(34),SUBSTITUTE(SUBSTITUTE(SUBSTITUTE(SUBSTITUTE(SUBSTITUTE(SUBSTITUTE($H332,CHAR(13)," "),CHAR(10)," "),CHAR(9)," "),CHAR(92),_xlfn.CONCAT(CHAR(92),CHAR(92))),"$",_xlfn.CONCAT(CHAR(92),"$")),CHAR(96),_xlfn.CONCAT(CHAR(92),CHAR(96))),CHAR(34),CHAR(39))))</f>
        <v/>
      </c>
      <c r="S332" s="5" t="str">
        <f>IF(OR(TRIM($B332)="",$I332=""),"",IF(OR(ISNUMBER(SEARCH(_xlfn.CONCAT(CHAR(96),CHAR(34)),$I332)),ISNUMBER(SEARCH(_xlfn.CONCAT(CHAR(34),CHAR(39)),$I332))),_xlfn.CONCAT("* REVIEW REQUIRED: compound-quote delimiter in Derivation on Sheet 1 row ",332,"; edit the input before running."),_xlfn.CONCAT("char ",TRIM($B332),"[doc_derivation] ",CHAR(96),CHAR(34),SUBSTITUTE(SUBSTITUTE(SUBSTITUTE(SUBSTITUTE(SUBSTITUTE(SUBSTITUTE($I332,CHAR(13)," "),CHAR(10)," "),CHAR(9)," "),CHAR(92),_xlfn.CONCAT(CHAR(92),CHAR(92))),"$",_xlfn.CONCAT(CHAR(92),"$")),CHAR(96),_xlfn.CONCAT(CHAR(92),CHAR(96))),CHAR(34),CHAR(39))))</f>
        <v/>
      </c>
      <c r="T332" s="5" t="str">
        <f>IF(OR(TRIM($B332)="",$J332=""),"",IF(OR(ISNUMBER(SEARCH(_xlfn.CONCAT(CHAR(96),CHAR(34)),$J332)),ISNUMBER(SEARCH(_xlfn.CONCAT(CHAR(34),CHAR(39)),$J332))),_xlfn.CONCAT("* REVIEW REQUIRED: compound-quote delimiter in Notes on Sheet 1 row ",332,"; edit the input before running."),_xlfn.CONCAT("char ",TRIM($B332),"[doc_notes] ",CHAR(96),CHAR(34),SUBSTITUTE(SUBSTITUTE(SUBSTITUTE(SUBSTITUTE(SUBSTITUTE(SUBSTITUTE($J332,CHAR(13)," "),CHAR(10)," "),CHAR(9)," "),CHAR(92),_xlfn.CONCAT(CHAR(92),CHAR(92))),"$",_xlfn.CONCAT(CHAR(92),"$")),CHAR(96),_xlfn.CONCAT(CHAR(92),CHAR(96))),CHAR(34),CHAR(39))))</f>
        <v/>
      </c>
      <c r="U332" s="5">
        <f t="shared" si="9"/>
        <v>0</v>
      </c>
    </row>
    <row r="333" spans="3:21" ht="30" customHeight="1" x14ac:dyDescent="0.2">
      <c r="C333" s="4"/>
      <c r="K333" s="5">
        <f t="shared" si="8"/>
        <v>0</v>
      </c>
      <c r="L333" s="5" t="str">
        <f>IF(OR(TRIM($B333)="",$A333=""),"",IF(OR(ISNUMBER(SEARCH(_xlfn.CONCAT(CHAR(96),CHAR(34)),$A333)),ISNUMBER(SEARCH(_xlfn.CONCAT(CHAR(34),CHAR(39)),$A333))),_xlfn.CONCAT("* REVIEW REQUIRED: compound-quote delimiter in Codebook Section on Sheet 1 row ",333,"; edit the input before running."),_xlfn.CONCAT("char ",TRIM($B333),"[doc_section] ",CHAR(96),CHAR(34),SUBSTITUTE(SUBSTITUTE(SUBSTITUTE(SUBSTITUTE(SUBSTITUTE(SUBSTITUTE($A333,CHAR(13)," "),CHAR(10)," "),CHAR(9)," "),CHAR(92),_xlfn.CONCAT(CHAR(92),CHAR(92))),"$",_xlfn.CONCAT(CHAR(92),"$")),CHAR(96),_xlfn.CONCAT(CHAR(92),CHAR(96))),CHAR(34),CHAR(39))))</f>
        <v/>
      </c>
      <c r="M333" s="5" t="str">
        <f>IF(OR(TRIM($B333)="",$C333=""),"",IF(IFERROR(MATCH(TRIM($C333),{"Quantitative","Continuous","Discrete","Categorical","Nominal","Ordinal","Identifier"},0),0)=0,_xlfn.CONCAT("* REVIEW REQUIRED: invalid Variable Type on Sheet 1 row ",333,"."),_xlfn.CONCAT("char ",TRIM($B333),"[doc_vartype] ",CHAR(96),CHAR(34),SUBSTITUTE(SUBSTITUTE(SUBSTITUTE(SUBSTITUTE(SUBSTITUTE(SUBSTITUTE(LOWER(TRIM($C333)),CHAR(13)," "),CHAR(10)," "),CHAR(9)," "),CHAR(92),_xlfn.CONCAT(CHAR(92),CHAR(92))),"$",_xlfn.CONCAT(CHAR(92),"$")),CHAR(96),_xlfn.CONCAT(CHAR(92),CHAR(96))),CHAR(34),CHAR(39))))</f>
        <v/>
      </c>
      <c r="N333" s="5" t="str">
        <f>IF(OR(TRIM($B333)="",$D333=""),"",IF(OR(ISNUMBER(SEARCH(_xlfn.CONCAT(CHAR(96),CHAR(34)),$D333)),ISNUMBER(SEARCH(_xlfn.CONCAT(CHAR(34),CHAR(39)),$D333))),_xlfn.CONCAT("* REVIEW REQUIRED: compound-quote delimiter in Item Number on Sheet 1 row ",333,"; edit the input before running."),_xlfn.CONCAT("char ",TRIM($B333),"[doc_itemnum] ",CHAR(96),CHAR(34),SUBSTITUTE(SUBSTITUTE(SUBSTITUTE(SUBSTITUTE(SUBSTITUTE(SUBSTITUTE($D333,CHAR(13)," "),CHAR(10)," "),CHAR(9)," "),CHAR(92),_xlfn.CONCAT(CHAR(92),CHAR(92))),"$",_xlfn.CONCAT(CHAR(92),"$")),CHAR(96),_xlfn.CONCAT(CHAR(92),CHAR(96))),CHAR(34),CHAR(39))))</f>
        <v/>
      </c>
      <c r="O333" s="5" t="str">
        <f>IF(OR(TRIM($B333)="",$E333=""),"",IF(OR(ISNUMBER(SEARCH(_xlfn.CONCAT(CHAR(96),CHAR(34)),$E333)),ISNUMBER(SEARCH(_xlfn.CONCAT(CHAR(34),CHAR(39)),$E333))),_xlfn.CONCAT("* REVIEW REQUIRED: compound-quote delimiter in Question Wording on Sheet 1 row ",333,"; edit the input before running."),_xlfn.CONCAT("char ",TRIM($B333),"[doc_question] ",CHAR(96),CHAR(34),SUBSTITUTE(SUBSTITUTE(SUBSTITUTE(SUBSTITUTE(SUBSTITUTE(SUBSTITUTE($E333,CHAR(13)," "),CHAR(10)," "),CHAR(9)," "),CHAR(92),_xlfn.CONCAT(CHAR(92),CHAR(92))),"$",_xlfn.CONCAT(CHAR(92),"$")),CHAR(96),_xlfn.CONCAT(CHAR(92),CHAR(96))),CHAR(34),CHAR(39))))</f>
        <v/>
      </c>
      <c r="P333" s="5" t="str">
        <f>IF(OR(TRIM($B333)="",$F333=""),"",IF(OR(ISNUMBER(SEARCH(_xlfn.CONCAT(CHAR(96),CHAR(34)),$F333)),ISNUMBER(SEARCH(_xlfn.CONCAT(CHAR(34),CHAR(39)),$F333))),_xlfn.CONCAT("* REVIEW REQUIRED: compound-quote delimiter in Units on Sheet 1 row ",333,"; edit the input before running."),_xlfn.CONCAT("char ",TRIM($B333),"[doc_units] ",CHAR(96),CHAR(34),SUBSTITUTE(SUBSTITUTE(SUBSTITUTE(SUBSTITUTE(SUBSTITUTE(SUBSTITUTE($F333,CHAR(13)," "),CHAR(10)," "),CHAR(9)," "),CHAR(92),_xlfn.CONCAT(CHAR(92),CHAR(92))),"$",_xlfn.CONCAT(CHAR(92),"$")),CHAR(96),_xlfn.CONCAT(CHAR(92),CHAR(96))),CHAR(34),CHAR(39))))</f>
        <v/>
      </c>
      <c r="Q333" s="5" t="str">
        <f>IF(OR(TRIM($B333)="",$G333=""),"",IF(OR(ISNUMBER(SEARCH(_xlfn.CONCAT(CHAR(96),CHAR(34)),$G333)),ISNUMBER(SEARCH(_xlfn.CONCAT(CHAR(34),CHAR(39)),$G333))),_xlfn.CONCAT("* REVIEW REQUIRED: compound-quote delimiter in Universe on Sheet 1 row ",333,"; edit the input before running."),_xlfn.CONCAT("char ",TRIM($B333),"[doc_universe] ",CHAR(96),CHAR(34),SUBSTITUTE(SUBSTITUTE(SUBSTITUTE(SUBSTITUTE(SUBSTITUTE(SUBSTITUTE($G333,CHAR(13)," "),CHAR(10)," "),CHAR(9)," "),CHAR(92),_xlfn.CONCAT(CHAR(92),CHAR(92))),"$",_xlfn.CONCAT(CHAR(92),"$")),CHAR(96),_xlfn.CONCAT(CHAR(92),CHAR(96))),CHAR(34),CHAR(39))))</f>
        <v/>
      </c>
      <c r="R333" s="5" t="str">
        <f>IF(OR(TRIM($B333)="",$H333=""),"",IF(OR(ISNUMBER(SEARCH(_xlfn.CONCAT(CHAR(96),CHAR(34)),$H333)),ISNUMBER(SEARCH(_xlfn.CONCAT(CHAR(34),CHAR(39)),$H333))),_xlfn.CONCAT("* REVIEW REQUIRED: compound-quote delimiter in Source on Sheet 1 row ",333,"; edit the input before running."),_xlfn.CONCAT("char ",TRIM($B333),"[doc_source] ",CHAR(96),CHAR(34),SUBSTITUTE(SUBSTITUTE(SUBSTITUTE(SUBSTITUTE(SUBSTITUTE(SUBSTITUTE($H333,CHAR(13)," "),CHAR(10)," "),CHAR(9)," "),CHAR(92),_xlfn.CONCAT(CHAR(92),CHAR(92))),"$",_xlfn.CONCAT(CHAR(92),"$")),CHAR(96),_xlfn.CONCAT(CHAR(92),CHAR(96))),CHAR(34),CHAR(39))))</f>
        <v/>
      </c>
      <c r="S333" s="5" t="str">
        <f>IF(OR(TRIM($B333)="",$I333=""),"",IF(OR(ISNUMBER(SEARCH(_xlfn.CONCAT(CHAR(96),CHAR(34)),$I333)),ISNUMBER(SEARCH(_xlfn.CONCAT(CHAR(34),CHAR(39)),$I333))),_xlfn.CONCAT("* REVIEW REQUIRED: compound-quote delimiter in Derivation on Sheet 1 row ",333,"; edit the input before running."),_xlfn.CONCAT("char ",TRIM($B333),"[doc_derivation] ",CHAR(96),CHAR(34),SUBSTITUTE(SUBSTITUTE(SUBSTITUTE(SUBSTITUTE(SUBSTITUTE(SUBSTITUTE($I333,CHAR(13)," "),CHAR(10)," "),CHAR(9)," "),CHAR(92),_xlfn.CONCAT(CHAR(92),CHAR(92))),"$",_xlfn.CONCAT(CHAR(92),"$")),CHAR(96),_xlfn.CONCAT(CHAR(92),CHAR(96))),CHAR(34),CHAR(39))))</f>
        <v/>
      </c>
      <c r="T333" s="5" t="str">
        <f>IF(OR(TRIM($B333)="",$J333=""),"",IF(OR(ISNUMBER(SEARCH(_xlfn.CONCAT(CHAR(96),CHAR(34)),$J333)),ISNUMBER(SEARCH(_xlfn.CONCAT(CHAR(34),CHAR(39)),$J333))),_xlfn.CONCAT("* REVIEW REQUIRED: compound-quote delimiter in Notes on Sheet 1 row ",333,"; edit the input before running."),_xlfn.CONCAT("char ",TRIM($B333),"[doc_notes] ",CHAR(96),CHAR(34),SUBSTITUTE(SUBSTITUTE(SUBSTITUTE(SUBSTITUTE(SUBSTITUTE(SUBSTITUTE($J333,CHAR(13)," "),CHAR(10)," "),CHAR(9)," "),CHAR(92),_xlfn.CONCAT(CHAR(92),CHAR(92))),"$",_xlfn.CONCAT(CHAR(92),"$")),CHAR(96),_xlfn.CONCAT(CHAR(92),CHAR(96))),CHAR(34),CHAR(39))))</f>
        <v/>
      </c>
      <c r="U333" s="5">
        <f t="shared" si="9"/>
        <v>0</v>
      </c>
    </row>
    <row r="334" spans="3:21" ht="30" customHeight="1" x14ac:dyDescent="0.2">
      <c r="C334" s="4"/>
      <c r="K334" s="5">
        <f t="shared" si="8"/>
        <v>0</v>
      </c>
      <c r="L334" s="5" t="str">
        <f>IF(OR(TRIM($B334)="",$A334=""),"",IF(OR(ISNUMBER(SEARCH(_xlfn.CONCAT(CHAR(96),CHAR(34)),$A334)),ISNUMBER(SEARCH(_xlfn.CONCAT(CHAR(34),CHAR(39)),$A334))),_xlfn.CONCAT("* REVIEW REQUIRED: compound-quote delimiter in Codebook Section on Sheet 1 row ",334,"; edit the input before running."),_xlfn.CONCAT("char ",TRIM($B334),"[doc_section] ",CHAR(96),CHAR(34),SUBSTITUTE(SUBSTITUTE(SUBSTITUTE(SUBSTITUTE(SUBSTITUTE(SUBSTITUTE($A334,CHAR(13)," "),CHAR(10)," "),CHAR(9)," "),CHAR(92),_xlfn.CONCAT(CHAR(92),CHAR(92))),"$",_xlfn.CONCAT(CHAR(92),"$")),CHAR(96),_xlfn.CONCAT(CHAR(92),CHAR(96))),CHAR(34),CHAR(39))))</f>
        <v/>
      </c>
      <c r="M334" s="5" t="str">
        <f>IF(OR(TRIM($B334)="",$C334=""),"",IF(IFERROR(MATCH(TRIM($C334),{"Quantitative","Continuous","Discrete","Categorical","Nominal","Ordinal","Identifier"},0),0)=0,_xlfn.CONCAT("* REVIEW REQUIRED: invalid Variable Type on Sheet 1 row ",334,"."),_xlfn.CONCAT("char ",TRIM($B334),"[doc_vartype] ",CHAR(96),CHAR(34),SUBSTITUTE(SUBSTITUTE(SUBSTITUTE(SUBSTITUTE(SUBSTITUTE(SUBSTITUTE(LOWER(TRIM($C334)),CHAR(13)," "),CHAR(10)," "),CHAR(9)," "),CHAR(92),_xlfn.CONCAT(CHAR(92),CHAR(92))),"$",_xlfn.CONCAT(CHAR(92),"$")),CHAR(96),_xlfn.CONCAT(CHAR(92),CHAR(96))),CHAR(34),CHAR(39))))</f>
        <v/>
      </c>
      <c r="N334" s="5" t="str">
        <f>IF(OR(TRIM($B334)="",$D334=""),"",IF(OR(ISNUMBER(SEARCH(_xlfn.CONCAT(CHAR(96),CHAR(34)),$D334)),ISNUMBER(SEARCH(_xlfn.CONCAT(CHAR(34),CHAR(39)),$D334))),_xlfn.CONCAT("* REVIEW REQUIRED: compound-quote delimiter in Item Number on Sheet 1 row ",334,"; edit the input before running."),_xlfn.CONCAT("char ",TRIM($B334),"[doc_itemnum] ",CHAR(96),CHAR(34),SUBSTITUTE(SUBSTITUTE(SUBSTITUTE(SUBSTITUTE(SUBSTITUTE(SUBSTITUTE($D334,CHAR(13)," "),CHAR(10)," "),CHAR(9)," "),CHAR(92),_xlfn.CONCAT(CHAR(92),CHAR(92))),"$",_xlfn.CONCAT(CHAR(92),"$")),CHAR(96),_xlfn.CONCAT(CHAR(92),CHAR(96))),CHAR(34),CHAR(39))))</f>
        <v/>
      </c>
      <c r="O334" s="5" t="str">
        <f>IF(OR(TRIM($B334)="",$E334=""),"",IF(OR(ISNUMBER(SEARCH(_xlfn.CONCAT(CHAR(96),CHAR(34)),$E334)),ISNUMBER(SEARCH(_xlfn.CONCAT(CHAR(34),CHAR(39)),$E334))),_xlfn.CONCAT("* REVIEW REQUIRED: compound-quote delimiter in Question Wording on Sheet 1 row ",334,"; edit the input before running."),_xlfn.CONCAT("char ",TRIM($B334),"[doc_question] ",CHAR(96),CHAR(34),SUBSTITUTE(SUBSTITUTE(SUBSTITUTE(SUBSTITUTE(SUBSTITUTE(SUBSTITUTE($E334,CHAR(13)," "),CHAR(10)," "),CHAR(9)," "),CHAR(92),_xlfn.CONCAT(CHAR(92),CHAR(92))),"$",_xlfn.CONCAT(CHAR(92),"$")),CHAR(96),_xlfn.CONCAT(CHAR(92),CHAR(96))),CHAR(34),CHAR(39))))</f>
        <v/>
      </c>
      <c r="P334" s="5" t="str">
        <f>IF(OR(TRIM($B334)="",$F334=""),"",IF(OR(ISNUMBER(SEARCH(_xlfn.CONCAT(CHAR(96),CHAR(34)),$F334)),ISNUMBER(SEARCH(_xlfn.CONCAT(CHAR(34),CHAR(39)),$F334))),_xlfn.CONCAT("* REVIEW REQUIRED: compound-quote delimiter in Units on Sheet 1 row ",334,"; edit the input before running."),_xlfn.CONCAT("char ",TRIM($B334),"[doc_units] ",CHAR(96),CHAR(34),SUBSTITUTE(SUBSTITUTE(SUBSTITUTE(SUBSTITUTE(SUBSTITUTE(SUBSTITUTE($F334,CHAR(13)," "),CHAR(10)," "),CHAR(9)," "),CHAR(92),_xlfn.CONCAT(CHAR(92),CHAR(92))),"$",_xlfn.CONCAT(CHAR(92),"$")),CHAR(96),_xlfn.CONCAT(CHAR(92),CHAR(96))),CHAR(34),CHAR(39))))</f>
        <v/>
      </c>
      <c r="Q334" s="5" t="str">
        <f>IF(OR(TRIM($B334)="",$G334=""),"",IF(OR(ISNUMBER(SEARCH(_xlfn.CONCAT(CHAR(96),CHAR(34)),$G334)),ISNUMBER(SEARCH(_xlfn.CONCAT(CHAR(34),CHAR(39)),$G334))),_xlfn.CONCAT("* REVIEW REQUIRED: compound-quote delimiter in Universe on Sheet 1 row ",334,"; edit the input before running."),_xlfn.CONCAT("char ",TRIM($B334),"[doc_universe] ",CHAR(96),CHAR(34),SUBSTITUTE(SUBSTITUTE(SUBSTITUTE(SUBSTITUTE(SUBSTITUTE(SUBSTITUTE($G334,CHAR(13)," "),CHAR(10)," "),CHAR(9)," "),CHAR(92),_xlfn.CONCAT(CHAR(92),CHAR(92))),"$",_xlfn.CONCAT(CHAR(92),"$")),CHAR(96),_xlfn.CONCAT(CHAR(92),CHAR(96))),CHAR(34),CHAR(39))))</f>
        <v/>
      </c>
      <c r="R334" s="5" t="str">
        <f>IF(OR(TRIM($B334)="",$H334=""),"",IF(OR(ISNUMBER(SEARCH(_xlfn.CONCAT(CHAR(96),CHAR(34)),$H334)),ISNUMBER(SEARCH(_xlfn.CONCAT(CHAR(34),CHAR(39)),$H334))),_xlfn.CONCAT("* REVIEW REQUIRED: compound-quote delimiter in Source on Sheet 1 row ",334,"; edit the input before running."),_xlfn.CONCAT("char ",TRIM($B334),"[doc_source] ",CHAR(96),CHAR(34),SUBSTITUTE(SUBSTITUTE(SUBSTITUTE(SUBSTITUTE(SUBSTITUTE(SUBSTITUTE($H334,CHAR(13)," "),CHAR(10)," "),CHAR(9)," "),CHAR(92),_xlfn.CONCAT(CHAR(92),CHAR(92))),"$",_xlfn.CONCAT(CHAR(92),"$")),CHAR(96),_xlfn.CONCAT(CHAR(92),CHAR(96))),CHAR(34),CHAR(39))))</f>
        <v/>
      </c>
      <c r="S334" s="5" t="str">
        <f>IF(OR(TRIM($B334)="",$I334=""),"",IF(OR(ISNUMBER(SEARCH(_xlfn.CONCAT(CHAR(96),CHAR(34)),$I334)),ISNUMBER(SEARCH(_xlfn.CONCAT(CHAR(34),CHAR(39)),$I334))),_xlfn.CONCAT("* REVIEW REQUIRED: compound-quote delimiter in Derivation on Sheet 1 row ",334,"; edit the input before running."),_xlfn.CONCAT("char ",TRIM($B334),"[doc_derivation] ",CHAR(96),CHAR(34),SUBSTITUTE(SUBSTITUTE(SUBSTITUTE(SUBSTITUTE(SUBSTITUTE(SUBSTITUTE($I334,CHAR(13)," "),CHAR(10)," "),CHAR(9)," "),CHAR(92),_xlfn.CONCAT(CHAR(92),CHAR(92))),"$",_xlfn.CONCAT(CHAR(92),"$")),CHAR(96),_xlfn.CONCAT(CHAR(92),CHAR(96))),CHAR(34),CHAR(39))))</f>
        <v/>
      </c>
      <c r="T334" s="5" t="str">
        <f>IF(OR(TRIM($B334)="",$J334=""),"",IF(OR(ISNUMBER(SEARCH(_xlfn.CONCAT(CHAR(96),CHAR(34)),$J334)),ISNUMBER(SEARCH(_xlfn.CONCAT(CHAR(34),CHAR(39)),$J334))),_xlfn.CONCAT("* REVIEW REQUIRED: compound-quote delimiter in Notes on Sheet 1 row ",334,"; edit the input before running."),_xlfn.CONCAT("char ",TRIM($B334),"[doc_notes] ",CHAR(96),CHAR(34),SUBSTITUTE(SUBSTITUTE(SUBSTITUTE(SUBSTITUTE(SUBSTITUTE(SUBSTITUTE($J334,CHAR(13)," "),CHAR(10)," "),CHAR(9)," "),CHAR(92),_xlfn.CONCAT(CHAR(92),CHAR(92))),"$",_xlfn.CONCAT(CHAR(92),"$")),CHAR(96),_xlfn.CONCAT(CHAR(92),CHAR(96))),CHAR(34),CHAR(39))))</f>
        <v/>
      </c>
      <c r="U334" s="5">
        <f t="shared" si="9"/>
        <v>0</v>
      </c>
    </row>
    <row r="335" spans="3:21" ht="30" customHeight="1" x14ac:dyDescent="0.2">
      <c r="C335" s="4"/>
      <c r="K335" s="5">
        <f t="shared" si="8"/>
        <v>0</v>
      </c>
      <c r="L335" s="5" t="str">
        <f>IF(OR(TRIM($B335)="",$A335=""),"",IF(OR(ISNUMBER(SEARCH(_xlfn.CONCAT(CHAR(96),CHAR(34)),$A335)),ISNUMBER(SEARCH(_xlfn.CONCAT(CHAR(34),CHAR(39)),$A335))),_xlfn.CONCAT("* REVIEW REQUIRED: compound-quote delimiter in Codebook Section on Sheet 1 row ",335,"; edit the input before running."),_xlfn.CONCAT("char ",TRIM($B335),"[doc_section] ",CHAR(96),CHAR(34),SUBSTITUTE(SUBSTITUTE(SUBSTITUTE(SUBSTITUTE(SUBSTITUTE(SUBSTITUTE($A335,CHAR(13)," "),CHAR(10)," "),CHAR(9)," "),CHAR(92),_xlfn.CONCAT(CHAR(92),CHAR(92))),"$",_xlfn.CONCAT(CHAR(92),"$")),CHAR(96),_xlfn.CONCAT(CHAR(92),CHAR(96))),CHAR(34),CHAR(39))))</f>
        <v/>
      </c>
      <c r="M335" s="5" t="str">
        <f>IF(OR(TRIM($B335)="",$C335=""),"",IF(IFERROR(MATCH(TRIM($C335),{"Quantitative","Continuous","Discrete","Categorical","Nominal","Ordinal","Identifier"},0),0)=0,_xlfn.CONCAT("* REVIEW REQUIRED: invalid Variable Type on Sheet 1 row ",335,"."),_xlfn.CONCAT("char ",TRIM($B335),"[doc_vartype] ",CHAR(96),CHAR(34),SUBSTITUTE(SUBSTITUTE(SUBSTITUTE(SUBSTITUTE(SUBSTITUTE(SUBSTITUTE(LOWER(TRIM($C335)),CHAR(13)," "),CHAR(10)," "),CHAR(9)," "),CHAR(92),_xlfn.CONCAT(CHAR(92),CHAR(92))),"$",_xlfn.CONCAT(CHAR(92),"$")),CHAR(96),_xlfn.CONCAT(CHAR(92),CHAR(96))),CHAR(34),CHAR(39))))</f>
        <v/>
      </c>
      <c r="N335" s="5" t="str">
        <f>IF(OR(TRIM($B335)="",$D335=""),"",IF(OR(ISNUMBER(SEARCH(_xlfn.CONCAT(CHAR(96),CHAR(34)),$D335)),ISNUMBER(SEARCH(_xlfn.CONCAT(CHAR(34),CHAR(39)),$D335))),_xlfn.CONCAT("* REVIEW REQUIRED: compound-quote delimiter in Item Number on Sheet 1 row ",335,"; edit the input before running."),_xlfn.CONCAT("char ",TRIM($B335),"[doc_itemnum] ",CHAR(96),CHAR(34),SUBSTITUTE(SUBSTITUTE(SUBSTITUTE(SUBSTITUTE(SUBSTITUTE(SUBSTITUTE($D335,CHAR(13)," "),CHAR(10)," "),CHAR(9)," "),CHAR(92),_xlfn.CONCAT(CHAR(92),CHAR(92))),"$",_xlfn.CONCAT(CHAR(92),"$")),CHAR(96),_xlfn.CONCAT(CHAR(92),CHAR(96))),CHAR(34),CHAR(39))))</f>
        <v/>
      </c>
      <c r="O335" s="5" t="str">
        <f>IF(OR(TRIM($B335)="",$E335=""),"",IF(OR(ISNUMBER(SEARCH(_xlfn.CONCAT(CHAR(96),CHAR(34)),$E335)),ISNUMBER(SEARCH(_xlfn.CONCAT(CHAR(34),CHAR(39)),$E335))),_xlfn.CONCAT("* REVIEW REQUIRED: compound-quote delimiter in Question Wording on Sheet 1 row ",335,"; edit the input before running."),_xlfn.CONCAT("char ",TRIM($B335),"[doc_question] ",CHAR(96),CHAR(34),SUBSTITUTE(SUBSTITUTE(SUBSTITUTE(SUBSTITUTE(SUBSTITUTE(SUBSTITUTE($E335,CHAR(13)," "),CHAR(10)," "),CHAR(9)," "),CHAR(92),_xlfn.CONCAT(CHAR(92),CHAR(92))),"$",_xlfn.CONCAT(CHAR(92),"$")),CHAR(96),_xlfn.CONCAT(CHAR(92),CHAR(96))),CHAR(34),CHAR(39))))</f>
        <v/>
      </c>
      <c r="P335" s="5" t="str">
        <f>IF(OR(TRIM($B335)="",$F335=""),"",IF(OR(ISNUMBER(SEARCH(_xlfn.CONCAT(CHAR(96),CHAR(34)),$F335)),ISNUMBER(SEARCH(_xlfn.CONCAT(CHAR(34),CHAR(39)),$F335))),_xlfn.CONCAT("* REVIEW REQUIRED: compound-quote delimiter in Units on Sheet 1 row ",335,"; edit the input before running."),_xlfn.CONCAT("char ",TRIM($B335),"[doc_units] ",CHAR(96),CHAR(34),SUBSTITUTE(SUBSTITUTE(SUBSTITUTE(SUBSTITUTE(SUBSTITUTE(SUBSTITUTE($F335,CHAR(13)," "),CHAR(10)," "),CHAR(9)," "),CHAR(92),_xlfn.CONCAT(CHAR(92),CHAR(92))),"$",_xlfn.CONCAT(CHAR(92),"$")),CHAR(96),_xlfn.CONCAT(CHAR(92),CHAR(96))),CHAR(34),CHAR(39))))</f>
        <v/>
      </c>
      <c r="Q335" s="5" t="str">
        <f>IF(OR(TRIM($B335)="",$G335=""),"",IF(OR(ISNUMBER(SEARCH(_xlfn.CONCAT(CHAR(96),CHAR(34)),$G335)),ISNUMBER(SEARCH(_xlfn.CONCAT(CHAR(34),CHAR(39)),$G335))),_xlfn.CONCAT("* REVIEW REQUIRED: compound-quote delimiter in Universe on Sheet 1 row ",335,"; edit the input before running."),_xlfn.CONCAT("char ",TRIM($B335),"[doc_universe] ",CHAR(96),CHAR(34),SUBSTITUTE(SUBSTITUTE(SUBSTITUTE(SUBSTITUTE(SUBSTITUTE(SUBSTITUTE($G335,CHAR(13)," "),CHAR(10)," "),CHAR(9)," "),CHAR(92),_xlfn.CONCAT(CHAR(92),CHAR(92))),"$",_xlfn.CONCAT(CHAR(92),"$")),CHAR(96),_xlfn.CONCAT(CHAR(92),CHAR(96))),CHAR(34),CHAR(39))))</f>
        <v/>
      </c>
      <c r="R335" s="5" t="str">
        <f>IF(OR(TRIM($B335)="",$H335=""),"",IF(OR(ISNUMBER(SEARCH(_xlfn.CONCAT(CHAR(96),CHAR(34)),$H335)),ISNUMBER(SEARCH(_xlfn.CONCAT(CHAR(34),CHAR(39)),$H335))),_xlfn.CONCAT("* REVIEW REQUIRED: compound-quote delimiter in Source on Sheet 1 row ",335,"; edit the input before running."),_xlfn.CONCAT("char ",TRIM($B335),"[doc_source] ",CHAR(96),CHAR(34),SUBSTITUTE(SUBSTITUTE(SUBSTITUTE(SUBSTITUTE(SUBSTITUTE(SUBSTITUTE($H335,CHAR(13)," "),CHAR(10)," "),CHAR(9)," "),CHAR(92),_xlfn.CONCAT(CHAR(92),CHAR(92))),"$",_xlfn.CONCAT(CHAR(92),"$")),CHAR(96),_xlfn.CONCAT(CHAR(92),CHAR(96))),CHAR(34),CHAR(39))))</f>
        <v/>
      </c>
      <c r="S335" s="5" t="str">
        <f>IF(OR(TRIM($B335)="",$I335=""),"",IF(OR(ISNUMBER(SEARCH(_xlfn.CONCAT(CHAR(96),CHAR(34)),$I335)),ISNUMBER(SEARCH(_xlfn.CONCAT(CHAR(34),CHAR(39)),$I335))),_xlfn.CONCAT("* REVIEW REQUIRED: compound-quote delimiter in Derivation on Sheet 1 row ",335,"; edit the input before running."),_xlfn.CONCAT("char ",TRIM($B335),"[doc_derivation] ",CHAR(96),CHAR(34),SUBSTITUTE(SUBSTITUTE(SUBSTITUTE(SUBSTITUTE(SUBSTITUTE(SUBSTITUTE($I335,CHAR(13)," "),CHAR(10)," "),CHAR(9)," "),CHAR(92),_xlfn.CONCAT(CHAR(92),CHAR(92))),"$",_xlfn.CONCAT(CHAR(92),"$")),CHAR(96),_xlfn.CONCAT(CHAR(92),CHAR(96))),CHAR(34),CHAR(39))))</f>
        <v/>
      </c>
      <c r="T335" s="5" t="str">
        <f>IF(OR(TRIM($B335)="",$J335=""),"",IF(OR(ISNUMBER(SEARCH(_xlfn.CONCAT(CHAR(96),CHAR(34)),$J335)),ISNUMBER(SEARCH(_xlfn.CONCAT(CHAR(34),CHAR(39)),$J335))),_xlfn.CONCAT("* REVIEW REQUIRED: compound-quote delimiter in Notes on Sheet 1 row ",335,"; edit the input before running."),_xlfn.CONCAT("char ",TRIM($B335),"[doc_notes] ",CHAR(96),CHAR(34),SUBSTITUTE(SUBSTITUTE(SUBSTITUTE(SUBSTITUTE(SUBSTITUTE(SUBSTITUTE($J335,CHAR(13)," "),CHAR(10)," "),CHAR(9)," "),CHAR(92),_xlfn.CONCAT(CHAR(92),CHAR(92))),"$",_xlfn.CONCAT(CHAR(92),"$")),CHAR(96),_xlfn.CONCAT(CHAR(92),CHAR(96))),CHAR(34),CHAR(39))))</f>
        <v/>
      </c>
      <c r="U335" s="5">
        <f t="shared" si="9"/>
        <v>0</v>
      </c>
    </row>
    <row r="336" spans="3:21" ht="30" customHeight="1" x14ac:dyDescent="0.2">
      <c r="C336" s="4"/>
      <c r="K336" s="5">
        <f t="shared" si="8"/>
        <v>0</v>
      </c>
      <c r="L336" s="5" t="str">
        <f>IF(OR(TRIM($B336)="",$A336=""),"",IF(OR(ISNUMBER(SEARCH(_xlfn.CONCAT(CHAR(96),CHAR(34)),$A336)),ISNUMBER(SEARCH(_xlfn.CONCAT(CHAR(34),CHAR(39)),$A336))),_xlfn.CONCAT("* REVIEW REQUIRED: compound-quote delimiter in Codebook Section on Sheet 1 row ",336,"; edit the input before running."),_xlfn.CONCAT("char ",TRIM($B336),"[doc_section] ",CHAR(96),CHAR(34),SUBSTITUTE(SUBSTITUTE(SUBSTITUTE(SUBSTITUTE(SUBSTITUTE(SUBSTITUTE($A336,CHAR(13)," "),CHAR(10)," "),CHAR(9)," "),CHAR(92),_xlfn.CONCAT(CHAR(92),CHAR(92))),"$",_xlfn.CONCAT(CHAR(92),"$")),CHAR(96),_xlfn.CONCAT(CHAR(92),CHAR(96))),CHAR(34),CHAR(39))))</f>
        <v/>
      </c>
      <c r="M336" s="5" t="str">
        <f>IF(OR(TRIM($B336)="",$C336=""),"",IF(IFERROR(MATCH(TRIM($C336),{"Quantitative","Continuous","Discrete","Categorical","Nominal","Ordinal","Identifier"},0),0)=0,_xlfn.CONCAT("* REVIEW REQUIRED: invalid Variable Type on Sheet 1 row ",336,"."),_xlfn.CONCAT("char ",TRIM($B336),"[doc_vartype] ",CHAR(96),CHAR(34),SUBSTITUTE(SUBSTITUTE(SUBSTITUTE(SUBSTITUTE(SUBSTITUTE(SUBSTITUTE(LOWER(TRIM($C336)),CHAR(13)," "),CHAR(10)," "),CHAR(9)," "),CHAR(92),_xlfn.CONCAT(CHAR(92),CHAR(92))),"$",_xlfn.CONCAT(CHAR(92),"$")),CHAR(96),_xlfn.CONCAT(CHAR(92),CHAR(96))),CHAR(34),CHAR(39))))</f>
        <v/>
      </c>
      <c r="N336" s="5" t="str">
        <f>IF(OR(TRIM($B336)="",$D336=""),"",IF(OR(ISNUMBER(SEARCH(_xlfn.CONCAT(CHAR(96),CHAR(34)),$D336)),ISNUMBER(SEARCH(_xlfn.CONCAT(CHAR(34),CHAR(39)),$D336))),_xlfn.CONCAT("* REVIEW REQUIRED: compound-quote delimiter in Item Number on Sheet 1 row ",336,"; edit the input before running."),_xlfn.CONCAT("char ",TRIM($B336),"[doc_itemnum] ",CHAR(96),CHAR(34),SUBSTITUTE(SUBSTITUTE(SUBSTITUTE(SUBSTITUTE(SUBSTITUTE(SUBSTITUTE($D336,CHAR(13)," "),CHAR(10)," "),CHAR(9)," "),CHAR(92),_xlfn.CONCAT(CHAR(92),CHAR(92))),"$",_xlfn.CONCAT(CHAR(92),"$")),CHAR(96),_xlfn.CONCAT(CHAR(92),CHAR(96))),CHAR(34),CHAR(39))))</f>
        <v/>
      </c>
      <c r="O336" s="5" t="str">
        <f>IF(OR(TRIM($B336)="",$E336=""),"",IF(OR(ISNUMBER(SEARCH(_xlfn.CONCAT(CHAR(96),CHAR(34)),$E336)),ISNUMBER(SEARCH(_xlfn.CONCAT(CHAR(34),CHAR(39)),$E336))),_xlfn.CONCAT("* REVIEW REQUIRED: compound-quote delimiter in Question Wording on Sheet 1 row ",336,"; edit the input before running."),_xlfn.CONCAT("char ",TRIM($B336),"[doc_question] ",CHAR(96),CHAR(34),SUBSTITUTE(SUBSTITUTE(SUBSTITUTE(SUBSTITUTE(SUBSTITUTE(SUBSTITUTE($E336,CHAR(13)," "),CHAR(10)," "),CHAR(9)," "),CHAR(92),_xlfn.CONCAT(CHAR(92),CHAR(92))),"$",_xlfn.CONCAT(CHAR(92),"$")),CHAR(96),_xlfn.CONCAT(CHAR(92),CHAR(96))),CHAR(34),CHAR(39))))</f>
        <v/>
      </c>
      <c r="P336" s="5" t="str">
        <f>IF(OR(TRIM($B336)="",$F336=""),"",IF(OR(ISNUMBER(SEARCH(_xlfn.CONCAT(CHAR(96),CHAR(34)),$F336)),ISNUMBER(SEARCH(_xlfn.CONCAT(CHAR(34),CHAR(39)),$F336))),_xlfn.CONCAT("* REVIEW REQUIRED: compound-quote delimiter in Units on Sheet 1 row ",336,"; edit the input before running."),_xlfn.CONCAT("char ",TRIM($B336),"[doc_units] ",CHAR(96),CHAR(34),SUBSTITUTE(SUBSTITUTE(SUBSTITUTE(SUBSTITUTE(SUBSTITUTE(SUBSTITUTE($F336,CHAR(13)," "),CHAR(10)," "),CHAR(9)," "),CHAR(92),_xlfn.CONCAT(CHAR(92),CHAR(92))),"$",_xlfn.CONCAT(CHAR(92),"$")),CHAR(96),_xlfn.CONCAT(CHAR(92),CHAR(96))),CHAR(34),CHAR(39))))</f>
        <v/>
      </c>
      <c r="Q336" s="5" t="str">
        <f>IF(OR(TRIM($B336)="",$G336=""),"",IF(OR(ISNUMBER(SEARCH(_xlfn.CONCAT(CHAR(96),CHAR(34)),$G336)),ISNUMBER(SEARCH(_xlfn.CONCAT(CHAR(34),CHAR(39)),$G336))),_xlfn.CONCAT("* REVIEW REQUIRED: compound-quote delimiter in Universe on Sheet 1 row ",336,"; edit the input before running."),_xlfn.CONCAT("char ",TRIM($B336),"[doc_universe] ",CHAR(96),CHAR(34),SUBSTITUTE(SUBSTITUTE(SUBSTITUTE(SUBSTITUTE(SUBSTITUTE(SUBSTITUTE($G336,CHAR(13)," "),CHAR(10)," "),CHAR(9)," "),CHAR(92),_xlfn.CONCAT(CHAR(92),CHAR(92))),"$",_xlfn.CONCAT(CHAR(92),"$")),CHAR(96),_xlfn.CONCAT(CHAR(92),CHAR(96))),CHAR(34),CHAR(39))))</f>
        <v/>
      </c>
      <c r="R336" s="5" t="str">
        <f>IF(OR(TRIM($B336)="",$H336=""),"",IF(OR(ISNUMBER(SEARCH(_xlfn.CONCAT(CHAR(96),CHAR(34)),$H336)),ISNUMBER(SEARCH(_xlfn.CONCAT(CHAR(34),CHAR(39)),$H336))),_xlfn.CONCAT("* REVIEW REQUIRED: compound-quote delimiter in Source on Sheet 1 row ",336,"; edit the input before running."),_xlfn.CONCAT("char ",TRIM($B336),"[doc_source] ",CHAR(96),CHAR(34),SUBSTITUTE(SUBSTITUTE(SUBSTITUTE(SUBSTITUTE(SUBSTITUTE(SUBSTITUTE($H336,CHAR(13)," "),CHAR(10)," "),CHAR(9)," "),CHAR(92),_xlfn.CONCAT(CHAR(92),CHAR(92))),"$",_xlfn.CONCAT(CHAR(92),"$")),CHAR(96),_xlfn.CONCAT(CHAR(92),CHAR(96))),CHAR(34),CHAR(39))))</f>
        <v/>
      </c>
      <c r="S336" s="5" t="str">
        <f>IF(OR(TRIM($B336)="",$I336=""),"",IF(OR(ISNUMBER(SEARCH(_xlfn.CONCAT(CHAR(96),CHAR(34)),$I336)),ISNUMBER(SEARCH(_xlfn.CONCAT(CHAR(34),CHAR(39)),$I336))),_xlfn.CONCAT("* REVIEW REQUIRED: compound-quote delimiter in Derivation on Sheet 1 row ",336,"; edit the input before running."),_xlfn.CONCAT("char ",TRIM($B336),"[doc_derivation] ",CHAR(96),CHAR(34),SUBSTITUTE(SUBSTITUTE(SUBSTITUTE(SUBSTITUTE(SUBSTITUTE(SUBSTITUTE($I336,CHAR(13)," "),CHAR(10)," "),CHAR(9)," "),CHAR(92),_xlfn.CONCAT(CHAR(92),CHAR(92))),"$",_xlfn.CONCAT(CHAR(92),"$")),CHAR(96),_xlfn.CONCAT(CHAR(92),CHAR(96))),CHAR(34),CHAR(39))))</f>
        <v/>
      </c>
      <c r="T336" s="5" t="str">
        <f>IF(OR(TRIM($B336)="",$J336=""),"",IF(OR(ISNUMBER(SEARCH(_xlfn.CONCAT(CHAR(96),CHAR(34)),$J336)),ISNUMBER(SEARCH(_xlfn.CONCAT(CHAR(34),CHAR(39)),$J336))),_xlfn.CONCAT("* REVIEW REQUIRED: compound-quote delimiter in Notes on Sheet 1 row ",336,"; edit the input before running."),_xlfn.CONCAT("char ",TRIM($B336),"[doc_notes] ",CHAR(96),CHAR(34),SUBSTITUTE(SUBSTITUTE(SUBSTITUTE(SUBSTITUTE(SUBSTITUTE(SUBSTITUTE($J336,CHAR(13)," "),CHAR(10)," "),CHAR(9)," "),CHAR(92),_xlfn.CONCAT(CHAR(92),CHAR(92))),"$",_xlfn.CONCAT(CHAR(92),"$")),CHAR(96),_xlfn.CONCAT(CHAR(92),CHAR(96))),CHAR(34),CHAR(39))))</f>
        <v/>
      </c>
      <c r="U336" s="5">
        <f t="shared" si="9"/>
        <v>0</v>
      </c>
    </row>
    <row r="337" spans="3:21" ht="30" customHeight="1" x14ac:dyDescent="0.2">
      <c r="C337" s="4"/>
      <c r="K337" s="5">
        <f t="shared" si="8"/>
        <v>0</v>
      </c>
      <c r="L337" s="5" t="str">
        <f>IF(OR(TRIM($B337)="",$A337=""),"",IF(OR(ISNUMBER(SEARCH(_xlfn.CONCAT(CHAR(96),CHAR(34)),$A337)),ISNUMBER(SEARCH(_xlfn.CONCAT(CHAR(34),CHAR(39)),$A337))),_xlfn.CONCAT("* REVIEW REQUIRED: compound-quote delimiter in Codebook Section on Sheet 1 row ",337,"; edit the input before running."),_xlfn.CONCAT("char ",TRIM($B337),"[doc_section] ",CHAR(96),CHAR(34),SUBSTITUTE(SUBSTITUTE(SUBSTITUTE(SUBSTITUTE(SUBSTITUTE(SUBSTITUTE($A337,CHAR(13)," "),CHAR(10)," "),CHAR(9)," "),CHAR(92),_xlfn.CONCAT(CHAR(92),CHAR(92))),"$",_xlfn.CONCAT(CHAR(92),"$")),CHAR(96),_xlfn.CONCAT(CHAR(92),CHAR(96))),CHAR(34),CHAR(39))))</f>
        <v/>
      </c>
      <c r="M337" s="5" t="str">
        <f>IF(OR(TRIM($B337)="",$C337=""),"",IF(IFERROR(MATCH(TRIM($C337),{"Quantitative","Continuous","Discrete","Categorical","Nominal","Ordinal","Identifier"},0),0)=0,_xlfn.CONCAT("* REVIEW REQUIRED: invalid Variable Type on Sheet 1 row ",337,"."),_xlfn.CONCAT("char ",TRIM($B337),"[doc_vartype] ",CHAR(96),CHAR(34),SUBSTITUTE(SUBSTITUTE(SUBSTITUTE(SUBSTITUTE(SUBSTITUTE(SUBSTITUTE(LOWER(TRIM($C337)),CHAR(13)," "),CHAR(10)," "),CHAR(9)," "),CHAR(92),_xlfn.CONCAT(CHAR(92),CHAR(92))),"$",_xlfn.CONCAT(CHAR(92),"$")),CHAR(96),_xlfn.CONCAT(CHAR(92),CHAR(96))),CHAR(34),CHAR(39))))</f>
        <v/>
      </c>
      <c r="N337" s="5" t="str">
        <f>IF(OR(TRIM($B337)="",$D337=""),"",IF(OR(ISNUMBER(SEARCH(_xlfn.CONCAT(CHAR(96),CHAR(34)),$D337)),ISNUMBER(SEARCH(_xlfn.CONCAT(CHAR(34),CHAR(39)),$D337))),_xlfn.CONCAT("* REVIEW REQUIRED: compound-quote delimiter in Item Number on Sheet 1 row ",337,"; edit the input before running."),_xlfn.CONCAT("char ",TRIM($B337),"[doc_itemnum] ",CHAR(96),CHAR(34),SUBSTITUTE(SUBSTITUTE(SUBSTITUTE(SUBSTITUTE(SUBSTITUTE(SUBSTITUTE($D337,CHAR(13)," "),CHAR(10)," "),CHAR(9)," "),CHAR(92),_xlfn.CONCAT(CHAR(92),CHAR(92))),"$",_xlfn.CONCAT(CHAR(92),"$")),CHAR(96),_xlfn.CONCAT(CHAR(92),CHAR(96))),CHAR(34),CHAR(39))))</f>
        <v/>
      </c>
      <c r="O337" s="5" t="str">
        <f>IF(OR(TRIM($B337)="",$E337=""),"",IF(OR(ISNUMBER(SEARCH(_xlfn.CONCAT(CHAR(96),CHAR(34)),$E337)),ISNUMBER(SEARCH(_xlfn.CONCAT(CHAR(34),CHAR(39)),$E337))),_xlfn.CONCAT("* REVIEW REQUIRED: compound-quote delimiter in Question Wording on Sheet 1 row ",337,"; edit the input before running."),_xlfn.CONCAT("char ",TRIM($B337),"[doc_question] ",CHAR(96),CHAR(34),SUBSTITUTE(SUBSTITUTE(SUBSTITUTE(SUBSTITUTE(SUBSTITUTE(SUBSTITUTE($E337,CHAR(13)," "),CHAR(10)," "),CHAR(9)," "),CHAR(92),_xlfn.CONCAT(CHAR(92),CHAR(92))),"$",_xlfn.CONCAT(CHAR(92),"$")),CHAR(96),_xlfn.CONCAT(CHAR(92),CHAR(96))),CHAR(34),CHAR(39))))</f>
        <v/>
      </c>
      <c r="P337" s="5" t="str">
        <f>IF(OR(TRIM($B337)="",$F337=""),"",IF(OR(ISNUMBER(SEARCH(_xlfn.CONCAT(CHAR(96),CHAR(34)),$F337)),ISNUMBER(SEARCH(_xlfn.CONCAT(CHAR(34),CHAR(39)),$F337))),_xlfn.CONCAT("* REVIEW REQUIRED: compound-quote delimiter in Units on Sheet 1 row ",337,"; edit the input before running."),_xlfn.CONCAT("char ",TRIM($B337),"[doc_units] ",CHAR(96),CHAR(34),SUBSTITUTE(SUBSTITUTE(SUBSTITUTE(SUBSTITUTE(SUBSTITUTE(SUBSTITUTE($F337,CHAR(13)," "),CHAR(10)," "),CHAR(9)," "),CHAR(92),_xlfn.CONCAT(CHAR(92),CHAR(92))),"$",_xlfn.CONCAT(CHAR(92),"$")),CHAR(96),_xlfn.CONCAT(CHAR(92),CHAR(96))),CHAR(34),CHAR(39))))</f>
        <v/>
      </c>
      <c r="Q337" s="5" t="str">
        <f>IF(OR(TRIM($B337)="",$G337=""),"",IF(OR(ISNUMBER(SEARCH(_xlfn.CONCAT(CHAR(96),CHAR(34)),$G337)),ISNUMBER(SEARCH(_xlfn.CONCAT(CHAR(34),CHAR(39)),$G337))),_xlfn.CONCAT("* REVIEW REQUIRED: compound-quote delimiter in Universe on Sheet 1 row ",337,"; edit the input before running."),_xlfn.CONCAT("char ",TRIM($B337),"[doc_universe] ",CHAR(96),CHAR(34),SUBSTITUTE(SUBSTITUTE(SUBSTITUTE(SUBSTITUTE(SUBSTITUTE(SUBSTITUTE($G337,CHAR(13)," "),CHAR(10)," "),CHAR(9)," "),CHAR(92),_xlfn.CONCAT(CHAR(92),CHAR(92))),"$",_xlfn.CONCAT(CHAR(92),"$")),CHAR(96),_xlfn.CONCAT(CHAR(92),CHAR(96))),CHAR(34),CHAR(39))))</f>
        <v/>
      </c>
      <c r="R337" s="5" t="str">
        <f>IF(OR(TRIM($B337)="",$H337=""),"",IF(OR(ISNUMBER(SEARCH(_xlfn.CONCAT(CHAR(96),CHAR(34)),$H337)),ISNUMBER(SEARCH(_xlfn.CONCAT(CHAR(34),CHAR(39)),$H337))),_xlfn.CONCAT("* REVIEW REQUIRED: compound-quote delimiter in Source on Sheet 1 row ",337,"; edit the input before running."),_xlfn.CONCAT("char ",TRIM($B337),"[doc_source] ",CHAR(96),CHAR(34),SUBSTITUTE(SUBSTITUTE(SUBSTITUTE(SUBSTITUTE(SUBSTITUTE(SUBSTITUTE($H337,CHAR(13)," "),CHAR(10)," "),CHAR(9)," "),CHAR(92),_xlfn.CONCAT(CHAR(92),CHAR(92))),"$",_xlfn.CONCAT(CHAR(92),"$")),CHAR(96),_xlfn.CONCAT(CHAR(92),CHAR(96))),CHAR(34),CHAR(39))))</f>
        <v/>
      </c>
      <c r="S337" s="5" t="str">
        <f>IF(OR(TRIM($B337)="",$I337=""),"",IF(OR(ISNUMBER(SEARCH(_xlfn.CONCAT(CHAR(96),CHAR(34)),$I337)),ISNUMBER(SEARCH(_xlfn.CONCAT(CHAR(34),CHAR(39)),$I337))),_xlfn.CONCAT("* REVIEW REQUIRED: compound-quote delimiter in Derivation on Sheet 1 row ",337,"; edit the input before running."),_xlfn.CONCAT("char ",TRIM($B337),"[doc_derivation] ",CHAR(96),CHAR(34),SUBSTITUTE(SUBSTITUTE(SUBSTITUTE(SUBSTITUTE(SUBSTITUTE(SUBSTITUTE($I337,CHAR(13)," "),CHAR(10)," "),CHAR(9)," "),CHAR(92),_xlfn.CONCAT(CHAR(92),CHAR(92))),"$",_xlfn.CONCAT(CHAR(92),"$")),CHAR(96),_xlfn.CONCAT(CHAR(92),CHAR(96))),CHAR(34),CHAR(39))))</f>
        <v/>
      </c>
      <c r="T337" s="5" t="str">
        <f>IF(OR(TRIM($B337)="",$J337=""),"",IF(OR(ISNUMBER(SEARCH(_xlfn.CONCAT(CHAR(96),CHAR(34)),$J337)),ISNUMBER(SEARCH(_xlfn.CONCAT(CHAR(34),CHAR(39)),$J337))),_xlfn.CONCAT("* REVIEW REQUIRED: compound-quote delimiter in Notes on Sheet 1 row ",337,"; edit the input before running."),_xlfn.CONCAT("char ",TRIM($B337),"[doc_notes] ",CHAR(96),CHAR(34),SUBSTITUTE(SUBSTITUTE(SUBSTITUTE(SUBSTITUTE(SUBSTITUTE(SUBSTITUTE($J337,CHAR(13)," "),CHAR(10)," "),CHAR(9)," "),CHAR(92),_xlfn.CONCAT(CHAR(92),CHAR(92))),"$",_xlfn.CONCAT(CHAR(92),"$")),CHAR(96),_xlfn.CONCAT(CHAR(92),CHAR(96))),CHAR(34),CHAR(39))))</f>
        <v/>
      </c>
      <c r="U337" s="5">
        <f t="shared" si="9"/>
        <v>0</v>
      </c>
    </row>
    <row r="338" spans="3:21" ht="30" customHeight="1" x14ac:dyDescent="0.2">
      <c r="C338" s="4"/>
      <c r="K338" s="5">
        <f t="shared" si="8"/>
        <v>0</v>
      </c>
      <c r="L338" s="5" t="str">
        <f>IF(OR(TRIM($B338)="",$A338=""),"",IF(OR(ISNUMBER(SEARCH(_xlfn.CONCAT(CHAR(96),CHAR(34)),$A338)),ISNUMBER(SEARCH(_xlfn.CONCAT(CHAR(34),CHAR(39)),$A338))),_xlfn.CONCAT("* REVIEW REQUIRED: compound-quote delimiter in Codebook Section on Sheet 1 row ",338,"; edit the input before running."),_xlfn.CONCAT("char ",TRIM($B338),"[doc_section] ",CHAR(96),CHAR(34),SUBSTITUTE(SUBSTITUTE(SUBSTITUTE(SUBSTITUTE(SUBSTITUTE(SUBSTITUTE($A338,CHAR(13)," "),CHAR(10)," "),CHAR(9)," "),CHAR(92),_xlfn.CONCAT(CHAR(92),CHAR(92))),"$",_xlfn.CONCAT(CHAR(92),"$")),CHAR(96),_xlfn.CONCAT(CHAR(92),CHAR(96))),CHAR(34),CHAR(39))))</f>
        <v/>
      </c>
      <c r="M338" s="5" t="str">
        <f>IF(OR(TRIM($B338)="",$C338=""),"",IF(IFERROR(MATCH(TRIM($C338),{"Quantitative","Continuous","Discrete","Categorical","Nominal","Ordinal","Identifier"},0),0)=0,_xlfn.CONCAT("* REVIEW REQUIRED: invalid Variable Type on Sheet 1 row ",338,"."),_xlfn.CONCAT("char ",TRIM($B338),"[doc_vartype] ",CHAR(96),CHAR(34),SUBSTITUTE(SUBSTITUTE(SUBSTITUTE(SUBSTITUTE(SUBSTITUTE(SUBSTITUTE(LOWER(TRIM($C338)),CHAR(13)," "),CHAR(10)," "),CHAR(9)," "),CHAR(92),_xlfn.CONCAT(CHAR(92),CHAR(92))),"$",_xlfn.CONCAT(CHAR(92),"$")),CHAR(96),_xlfn.CONCAT(CHAR(92),CHAR(96))),CHAR(34),CHAR(39))))</f>
        <v/>
      </c>
      <c r="N338" s="5" t="str">
        <f>IF(OR(TRIM($B338)="",$D338=""),"",IF(OR(ISNUMBER(SEARCH(_xlfn.CONCAT(CHAR(96),CHAR(34)),$D338)),ISNUMBER(SEARCH(_xlfn.CONCAT(CHAR(34),CHAR(39)),$D338))),_xlfn.CONCAT("* REVIEW REQUIRED: compound-quote delimiter in Item Number on Sheet 1 row ",338,"; edit the input before running."),_xlfn.CONCAT("char ",TRIM($B338),"[doc_itemnum] ",CHAR(96),CHAR(34),SUBSTITUTE(SUBSTITUTE(SUBSTITUTE(SUBSTITUTE(SUBSTITUTE(SUBSTITUTE($D338,CHAR(13)," "),CHAR(10)," "),CHAR(9)," "),CHAR(92),_xlfn.CONCAT(CHAR(92),CHAR(92))),"$",_xlfn.CONCAT(CHAR(92),"$")),CHAR(96),_xlfn.CONCAT(CHAR(92),CHAR(96))),CHAR(34),CHAR(39))))</f>
        <v/>
      </c>
      <c r="O338" s="5" t="str">
        <f>IF(OR(TRIM($B338)="",$E338=""),"",IF(OR(ISNUMBER(SEARCH(_xlfn.CONCAT(CHAR(96),CHAR(34)),$E338)),ISNUMBER(SEARCH(_xlfn.CONCAT(CHAR(34),CHAR(39)),$E338))),_xlfn.CONCAT("* REVIEW REQUIRED: compound-quote delimiter in Question Wording on Sheet 1 row ",338,"; edit the input before running."),_xlfn.CONCAT("char ",TRIM($B338),"[doc_question] ",CHAR(96),CHAR(34),SUBSTITUTE(SUBSTITUTE(SUBSTITUTE(SUBSTITUTE(SUBSTITUTE(SUBSTITUTE($E338,CHAR(13)," "),CHAR(10)," "),CHAR(9)," "),CHAR(92),_xlfn.CONCAT(CHAR(92),CHAR(92))),"$",_xlfn.CONCAT(CHAR(92),"$")),CHAR(96),_xlfn.CONCAT(CHAR(92),CHAR(96))),CHAR(34),CHAR(39))))</f>
        <v/>
      </c>
      <c r="P338" s="5" t="str">
        <f>IF(OR(TRIM($B338)="",$F338=""),"",IF(OR(ISNUMBER(SEARCH(_xlfn.CONCAT(CHAR(96),CHAR(34)),$F338)),ISNUMBER(SEARCH(_xlfn.CONCAT(CHAR(34),CHAR(39)),$F338))),_xlfn.CONCAT("* REVIEW REQUIRED: compound-quote delimiter in Units on Sheet 1 row ",338,"; edit the input before running."),_xlfn.CONCAT("char ",TRIM($B338),"[doc_units] ",CHAR(96),CHAR(34),SUBSTITUTE(SUBSTITUTE(SUBSTITUTE(SUBSTITUTE(SUBSTITUTE(SUBSTITUTE($F338,CHAR(13)," "),CHAR(10)," "),CHAR(9)," "),CHAR(92),_xlfn.CONCAT(CHAR(92),CHAR(92))),"$",_xlfn.CONCAT(CHAR(92),"$")),CHAR(96),_xlfn.CONCAT(CHAR(92),CHAR(96))),CHAR(34),CHAR(39))))</f>
        <v/>
      </c>
      <c r="Q338" s="5" t="str">
        <f>IF(OR(TRIM($B338)="",$G338=""),"",IF(OR(ISNUMBER(SEARCH(_xlfn.CONCAT(CHAR(96),CHAR(34)),$G338)),ISNUMBER(SEARCH(_xlfn.CONCAT(CHAR(34),CHAR(39)),$G338))),_xlfn.CONCAT("* REVIEW REQUIRED: compound-quote delimiter in Universe on Sheet 1 row ",338,"; edit the input before running."),_xlfn.CONCAT("char ",TRIM($B338),"[doc_universe] ",CHAR(96),CHAR(34),SUBSTITUTE(SUBSTITUTE(SUBSTITUTE(SUBSTITUTE(SUBSTITUTE(SUBSTITUTE($G338,CHAR(13)," "),CHAR(10)," "),CHAR(9)," "),CHAR(92),_xlfn.CONCAT(CHAR(92),CHAR(92))),"$",_xlfn.CONCAT(CHAR(92),"$")),CHAR(96),_xlfn.CONCAT(CHAR(92),CHAR(96))),CHAR(34),CHAR(39))))</f>
        <v/>
      </c>
      <c r="R338" s="5" t="str">
        <f>IF(OR(TRIM($B338)="",$H338=""),"",IF(OR(ISNUMBER(SEARCH(_xlfn.CONCAT(CHAR(96),CHAR(34)),$H338)),ISNUMBER(SEARCH(_xlfn.CONCAT(CHAR(34),CHAR(39)),$H338))),_xlfn.CONCAT("* REVIEW REQUIRED: compound-quote delimiter in Source on Sheet 1 row ",338,"; edit the input before running."),_xlfn.CONCAT("char ",TRIM($B338),"[doc_source] ",CHAR(96),CHAR(34),SUBSTITUTE(SUBSTITUTE(SUBSTITUTE(SUBSTITUTE(SUBSTITUTE(SUBSTITUTE($H338,CHAR(13)," "),CHAR(10)," "),CHAR(9)," "),CHAR(92),_xlfn.CONCAT(CHAR(92),CHAR(92))),"$",_xlfn.CONCAT(CHAR(92),"$")),CHAR(96),_xlfn.CONCAT(CHAR(92),CHAR(96))),CHAR(34),CHAR(39))))</f>
        <v/>
      </c>
      <c r="S338" s="5" t="str">
        <f>IF(OR(TRIM($B338)="",$I338=""),"",IF(OR(ISNUMBER(SEARCH(_xlfn.CONCAT(CHAR(96),CHAR(34)),$I338)),ISNUMBER(SEARCH(_xlfn.CONCAT(CHAR(34),CHAR(39)),$I338))),_xlfn.CONCAT("* REVIEW REQUIRED: compound-quote delimiter in Derivation on Sheet 1 row ",338,"; edit the input before running."),_xlfn.CONCAT("char ",TRIM($B338),"[doc_derivation] ",CHAR(96),CHAR(34),SUBSTITUTE(SUBSTITUTE(SUBSTITUTE(SUBSTITUTE(SUBSTITUTE(SUBSTITUTE($I338,CHAR(13)," "),CHAR(10)," "),CHAR(9)," "),CHAR(92),_xlfn.CONCAT(CHAR(92),CHAR(92))),"$",_xlfn.CONCAT(CHAR(92),"$")),CHAR(96),_xlfn.CONCAT(CHAR(92),CHAR(96))),CHAR(34),CHAR(39))))</f>
        <v/>
      </c>
      <c r="T338" s="5" t="str">
        <f>IF(OR(TRIM($B338)="",$J338=""),"",IF(OR(ISNUMBER(SEARCH(_xlfn.CONCAT(CHAR(96),CHAR(34)),$J338)),ISNUMBER(SEARCH(_xlfn.CONCAT(CHAR(34),CHAR(39)),$J338))),_xlfn.CONCAT("* REVIEW REQUIRED: compound-quote delimiter in Notes on Sheet 1 row ",338,"; edit the input before running."),_xlfn.CONCAT("char ",TRIM($B338),"[doc_notes] ",CHAR(96),CHAR(34),SUBSTITUTE(SUBSTITUTE(SUBSTITUTE(SUBSTITUTE(SUBSTITUTE(SUBSTITUTE($J338,CHAR(13)," "),CHAR(10)," "),CHAR(9)," "),CHAR(92),_xlfn.CONCAT(CHAR(92),CHAR(92))),"$",_xlfn.CONCAT(CHAR(92),"$")),CHAR(96),_xlfn.CONCAT(CHAR(92),CHAR(96))),CHAR(34),CHAR(39))))</f>
        <v/>
      </c>
      <c r="U338" s="5">
        <f t="shared" si="9"/>
        <v>0</v>
      </c>
    </row>
    <row r="339" spans="3:21" ht="30" customHeight="1" x14ac:dyDescent="0.2">
      <c r="C339" s="4"/>
      <c r="K339" s="5">
        <f t="shared" si="8"/>
        <v>0</v>
      </c>
      <c r="L339" s="5" t="str">
        <f>IF(OR(TRIM($B339)="",$A339=""),"",IF(OR(ISNUMBER(SEARCH(_xlfn.CONCAT(CHAR(96),CHAR(34)),$A339)),ISNUMBER(SEARCH(_xlfn.CONCAT(CHAR(34),CHAR(39)),$A339))),_xlfn.CONCAT("* REVIEW REQUIRED: compound-quote delimiter in Codebook Section on Sheet 1 row ",339,"; edit the input before running."),_xlfn.CONCAT("char ",TRIM($B339),"[doc_section] ",CHAR(96),CHAR(34),SUBSTITUTE(SUBSTITUTE(SUBSTITUTE(SUBSTITUTE(SUBSTITUTE(SUBSTITUTE($A339,CHAR(13)," "),CHAR(10)," "),CHAR(9)," "),CHAR(92),_xlfn.CONCAT(CHAR(92),CHAR(92))),"$",_xlfn.CONCAT(CHAR(92),"$")),CHAR(96),_xlfn.CONCAT(CHAR(92),CHAR(96))),CHAR(34),CHAR(39))))</f>
        <v/>
      </c>
      <c r="M339" s="5" t="str">
        <f>IF(OR(TRIM($B339)="",$C339=""),"",IF(IFERROR(MATCH(TRIM($C339),{"Quantitative","Continuous","Discrete","Categorical","Nominal","Ordinal","Identifier"},0),0)=0,_xlfn.CONCAT("* REVIEW REQUIRED: invalid Variable Type on Sheet 1 row ",339,"."),_xlfn.CONCAT("char ",TRIM($B339),"[doc_vartype] ",CHAR(96),CHAR(34),SUBSTITUTE(SUBSTITUTE(SUBSTITUTE(SUBSTITUTE(SUBSTITUTE(SUBSTITUTE(LOWER(TRIM($C339)),CHAR(13)," "),CHAR(10)," "),CHAR(9)," "),CHAR(92),_xlfn.CONCAT(CHAR(92),CHAR(92))),"$",_xlfn.CONCAT(CHAR(92),"$")),CHAR(96),_xlfn.CONCAT(CHAR(92),CHAR(96))),CHAR(34),CHAR(39))))</f>
        <v/>
      </c>
      <c r="N339" s="5" t="str">
        <f>IF(OR(TRIM($B339)="",$D339=""),"",IF(OR(ISNUMBER(SEARCH(_xlfn.CONCAT(CHAR(96),CHAR(34)),$D339)),ISNUMBER(SEARCH(_xlfn.CONCAT(CHAR(34),CHAR(39)),$D339))),_xlfn.CONCAT("* REVIEW REQUIRED: compound-quote delimiter in Item Number on Sheet 1 row ",339,"; edit the input before running."),_xlfn.CONCAT("char ",TRIM($B339),"[doc_itemnum] ",CHAR(96),CHAR(34),SUBSTITUTE(SUBSTITUTE(SUBSTITUTE(SUBSTITUTE(SUBSTITUTE(SUBSTITUTE($D339,CHAR(13)," "),CHAR(10)," "),CHAR(9)," "),CHAR(92),_xlfn.CONCAT(CHAR(92),CHAR(92))),"$",_xlfn.CONCAT(CHAR(92),"$")),CHAR(96),_xlfn.CONCAT(CHAR(92),CHAR(96))),CHAR(34),CHAR(39))))</f>
        <v/>
      </c>
      <c r="O339" s="5" t="str">
        <f>IF(OR(TRIM($B339)="",$E339=""),"",IF(OR(ISNUMBER(SEARCH(_xlfn.CONCAT(CHAR(96),CHAR(34)),$E339)),ISNUMBER(SEARCH(_xlfn.CONCAT(CHAR(34),CHAR(39)),$E339))),_xlfn.CONCAT("* REVIEW REQUIRED: compound-quote delimiter in Question Wording on Sheet 1 row ",339,"; edit the input before running."),_xlfn.CONCAT("char ",TRIM($B339),"[doc_question] ",CHAR(96),CHAR(34),SUBSTITUTE(SUBSTITUTE(SUBSTITUTE(SUBSTITUTE(SUBSTITUTE(SUBSTITUTE($E339,CHAR(13)," "),CHAR(10)," "),CHAR(9)," "),CHAR(92),_xlfn.CONCAT(CHAR(92),CHAR(92))),"$",_xlfn.CONCAT(CHAR(92),"$")),CHAR(96),_xlfn.CONCAT(CHAR(92),CHAR(96))),CHAR(34),CHAR(39))))</f>
        <v/>
      </c>
      <c r="P339" s="5" t="str">
        <f>IF(OR(TRIM($B339)="",$F339=""),"",IF(OR(ISNUMBER(SEARCH(_xlfn.CONCAT(CHAR(96),CHAR(34)),$F339)),ISNUMBER(SEARCH(_xlfn.CONCAT(CHAR(34),CHAR(39)),$F339))),_xlfn.CONCAT("* REVIEW REQUIRED: compound-quote delimiter in Units on Sheet 1 row ",339,"; edit the input before running."),_xlfn.CONCAT("char ",TRIM($B339),"[doc_units] ",CHAR(96),CHAR(34),SUBSTITUTE(SUBSTITUTE(SUBSTITUTE(SUBSTITUTE(SUBSTITUTE(SUBSTITUTE($F339,CHAR(13)," "),CHAR(10)," "),CHAR(9)," "),CHAR(92),_xlfn.CONCAT(CHAR(92),CHAR(92))),"$",_xlfn.CONCAT(CHAR(92),"$")),CHAR(96),_xlfn.CONCAT(CHAR(92),CHAR(96))),CHAR(34),CHAR(39))))</f>
        <v/>
      </c>
      <c r="Q339" s="5" t="str">
        <f>IF(OR(TRIM($B339)="",$G339=""),"",IF(OR(ISNUMBER(SEARCH(_xlfn.CONCAT(CHAR(96),CHAR(34)),$G339)),ISNUMBER(SEARCH(_xlfn.CONCAT(CHAR(34),CHAR(39)),$G339))),_xlfn.CONCAT("* REVIEW REQUIRED: compound-quote delimiter in Universe on Sheet 1 row ",339,"; edit the input before running."),_xlfn.CONCAT("char ",TRIM($B339),"[doc_universe] ",CHAR(96),CHAR(34),SUBSTITUTE(SUBSTITUTE(SUBSTITUTE(SUBSTITUTE(SUBSTITUTE(SUBSTITUTE($G339,CHAR(13)," "),CHAR(10)," "),CHAR(9)," "),CHAR(92),_xlfn.CONCAT(CHAR(92),CHAR(92))),"$",_xlfn.CONCAT(CHAR(92),"$")),CHAR(96),_xlfn.CONCAT(CHAR(92),CHAR(96))),CHAR(34),CHAR(39))))</f>
        <v/>
      </c>
      <c r="R339" s="5" t="str">
        <f>IF(OR(TRIM($B339)="",$H339=""),"",IF(OR(ISNUMBER(SEARCH(_xlfn.CONCAT(CHAR(96),CHAR(34)),$H339)),ISNUMBER(SEARCH(_xlfn.CONCAT(CHAR(34),CHAR(39)),$H339))),_xlfn.CONCAT("* REVIEW REQUIRED: compound-quote delimiter in Source on Sheet 1 row ",339,"; edit the input before running."),_xlfn.CONCAT("char ",TRIM($B339),"[doc_source] ",CHAR(96),CHAR(34),SUBSTITUTE(SUBSTITUTE(SUBSTITUTE(SUBSTITUTE(SUBSTITUTE(SUBSTITUTE($H339,CHAR(13)," "),CHAR(10)," "),CHAR(9)," "),CHAR(92),_xlfn.CONCAT(CHAR(92),CHAR(92))),"$",_xlfn.CONCAT(CHAR(92),"$")),CHAR(96),_xlfn.CONCAT(CHAR(92),CHAR(96))),CHAR(34),CHAR(39))))</f>
        <v/>
      </c>
      <c r="S339" s="5" t="str">
        <f>IF(OR(TRIM($B339)="",$I339=""),"",IF(OR(ISNUMBER(SEARCH(_xlfn.CONCAT(CHAR(96),CHAR(34)),$I339)),ISNUMBER(SEARCH(_xlfn.CONCAT(CHAR(34),CHAR(39)),$I339))),_xlfn.CONCAT("* REVIEW REQUIRED: compound-quote delimiter in Derivation on Sheet 1 row ",339,"; edit the input before running."),_xlfn.CONCAT("char ",TRIM($B339),"[doc_derivation] ",CHAR(96),CHAR(34),SUBSTITUTE(SUBSTITUTE(SUBSTITUTE(SUBSTITUTE(SUBSTITUTE(SUBSTITUTE($I339,CHAR(13)," "),CHAR(10)," "),CHAR(9)," "),CHAR(92),_xlfn.CONCAT(CHAR(92),CHAR(92))),"$",_xlfn.CONCAT(CHAR(92),"$")),CHAR(96),_xlfn.CONCAT(CHAR(92),CHAR(96))),CHAR(34),CHAR(39))))</f>
        <v/>
      </c>
      <c r="T339" s="5" t="str">
        <f>IF(OR(TRIM($B339)="",$J339=""),"",IF(OR(ISNUMBER(SEARCH(_xlfn.CONCAT(CHAR(96),CHAR(34)),$J339)),ISNUMBER(SEARCH(_xlfn.CONCAT(CHAR(34),CHAR(39)),$J339))),_xlfn.CONCAT("* REVIEW REQUIRED: compound-quote delimiter in Notes on Sheet 1 row ",339,"; edit the input before running."),_xlfn.CONCAT("char ",TRIM($B339),"[doc_notes] ",CHAR(96),CHAR(34),SUBSTITUTE(SUBSTITUTE(SUBSTITUTE(SUBSTITUTE(SUBSTITUTE(SUBSTITUTE($J339,CHAR(13)," "),CHAR(10)," "),CHAR(9)," "),CHAR(92),_xlfn.CONCAT(CHAR(92),CHAR(92))),"$",_xlfn.CONCAT(CHAR(92),"$")),CHAR(96),_xlfn.CONCAT(CHAR(92),CHAR(96))),CHAR(34),CHAR(39))))</f>
        <v/>
      </c>
      <c r="U339" s="5">
        <f t="shared" si="9"/>
        <v>0</v>
      </c>
    </row>
    <row r="340" spans="3:21" ht="30" customHeight="1" x14ac:dyDescent="0.2">
      <c r="C340" s="4"/>
      <c r="K340" s="5">
        <f t="shared" ref="K340:K403" si="10">COUNTIF(L340:T340,"?*")</f>
        <v>0</v>
      </c>
      <c r="L340" s="5" t="str">
        <f>IF(OR(TRIM($B340)="",$A340=""),"",IF(OR(ISNUMBER(SEARCH(_xlfn.CONCAT(CHAR(96),CHAR(34)),$A340)),ISNUMBER(SEARCH(_xlfn.CONCAT(CHAR(34),CHAR(39)),$A340))),_xlfn.CONCAT("* REVIEW REQUIRED: compound-quote delimiter in Codebook Section on Sheet 1 row ",340,"; edit the input before running."),_xlfn.CONCAT("char ",TRIM($B340),"[doc_section] ",CHAR(96),CHAR(34),SUBSTITUTE(SUBSTITUTE(SUBSTITUTE(SUBSTITUTE(SUBSTITUTE(SUBSTITUTE($A340,CHAR(13)," "),CHAR(10)," "),CHAR(9)," "),CHAR(92),_xlfn.CONCAT(CHAR(92),CHAR(92))),"$",_xlfn.CONCAT(CHAR(92),"$")),CHAR(96),_xlfn.CONCAT(CHAR(92),CHAR(96))),CHAR(34),CHAR(39))))</f>
        <v/>
      </c>
      <c r="M340" s="5" t="str">
        <f>IF(OR(TRIM($B340)="",$C340=""),"",IF(IFERROR(MATCH(TRIM($C340),{"Quantitative","Continuous","Discrete","Categorical","Nominal","Ordinal","Identifier"},0),0)=0,_xlfn.CONCAT("* REVIEW REQUIRED: invalid Variable Type on Sheet 1 row ",340,"."),_xlfn.CONCAT("char ",TRIM($B340),"[doc_vartype] ",CHAR(96),CHAR(34),SUBSTITUTE(SUBSTITUTE(SUBSTITUTE(SUBSTITUTE(SUBSTITUTE(SUBSTITUTE(LOWER(TRIM($C340)),CHAR(13)," "),CHAR(10)," "),CHAR(9)," "),CHAR(92),_xlfn.CONCAT(CHAR(92),CHAR(92))),"$",_xlfn.CONCAT(CHAR(92),"$")),CHAR(96),_xlfn.CONCAT(CHAR(92),CHAR(96))),CHAR(34),CHAR(39))))</f>
        <v/>
      </c>
      <c r="N340" s="5" t="str">
        <f>IF(OR(TRIM($B340)="",$D340=""),"",IF(OR(ISNUMBER(SEARCH(_xlfn.CONCAT(CHAR(96),CHAR(34)),$D340)),ISNUMBER(SEARCH(_xlfn.CONCAT(CHAR(34),CHAR(39)),$D340))),_xlfn.CONCAT("* REVIEW REQUIRED: compound-quote delimiter in Item Number on Sheet 1 row ",340,"; edit the input before running."),_xlfn.CONCAT("char ",TRIM($B340),"[doc_itemnum] ",CHAR(96),CHAR(34),SUBSTITUTE(SUBSTITUTE(SUBSTITUTE(SUBSTITUTE(SUBSTITUTE(SUBSTITUTE($D340,CHAR(13)," "),CHAR(10)," "),CHAR(9)," "),CHAR(92),_xlfn.CONCAT(CHAR(92),CHAR(92))),"$",_xlfn.CONCAT(CHAR(92),"$")),CHAR(96),_xlfn.CONCAT(CHAR(92),CHAR(96))),CHAR(34),CHAR(39))))</f>
        <v/>
      </c>
      <c r="O340" s="5" t="str">
        <f>IF(OR(TRIM($B340)="",$E340=""),"",IF(OR(ISNUMBER(SEARCH(_xlfn.CONCAT(CHAR(96),CHAR(34)),$E340)),ISNUMBER(SEARCH(_xlfn.CONCAT(CHAR(34),CHAR(39)),$E340))),_xlfn.CONCAT("* REVIEW REQUIRED: compound-quote delimiter in Question Wording on Sheet 1 row ",340,"; edit the input before running."),_xlfn.CONCAT("char ",TRIM($B340),"[doc_question] ",CHAR(96),CHAR(34),SUBSTITUTE(SUBSTITUTE(SUBSTITUTE(SUBSTITUTE(SUBSTITUTE(SUBSTITUTE($E340,CHAR(13)," "),CHAR(10)," "),CHAR(9)," "),CHAR(92),_xlfn.CONCAT(CHAR(92),CHAR(92))),"$",_xlfn.CONCAT(CHAR(92),"$")),CHAR(96),_xlfn.CONCAT(CHAR(92),CHAR(96))),CHAR(34),CHAR(39))))</f>
        <v/>
      </c>
      <c r="P340" s="5" t="str">
        <f>IF(OR(TRIM($B340)="",$F340=""),"",IF(OR(ISNUMBER(SEARCH(_xlfn.CONCAT(CHAR(96),CHAR(34)),$F340)),ISNUMBER(SEARCH(_xlfn.CONCAT(CHAR(34),CHAR(39)),$F340))),_xlfn.CONCAT("* REVIEW REQUIRED: compound-quote delimiter in Units on Sheet 1 row ",340,"; edit the input before running."),_xlfn.CONCAT("char ",TRIM($B340),"[doc_units] ",CHAR(96),CHAR(34),SUBSTITUTE(SUBSTITUTE(SUBSTITUTE(SUBSTITUTE(SUBSTITUTE(SUBSTITUTE($F340,CHAR(13)," "),CHAR(10)," "),CHAR(9)," "),CHAR(92),_xlfn.CONCAT(CHAR(92),CHAR(92))),"$",_xlfn.CONCAT(CHAR(92),"$")),CHAR(96),_xlfn.CONCAT(CHAR(92),CHAR(96))),CHAR(34),CHAR(39))))</f>
        <v/>
      </c>
      <c r="Q340" s="5" t="str">
        <f>IF(OR(TRIM($B340)="",$G340=""),"",IF(OR(ISNUMBER(SEARCH(_xlfn.CONCAT(CHAR(96),CHAR(34)),$G340)),ISNUMBER(SEARCH(_xlfn.CONCAT(CHAR(34),CHAR(39)),$G340))),_xlfn.CONCAT("* REVIEW REQUIRED: compound-quote delimiter in Universe on Sheet 1 row ",340,"; edit the input before running."),_xlfn.CONCAT("char ",TRIM($B340),"[doc_universe] ",CHAR(96),CHAR(34),SUBSTITUTE(SUBSTITUTE(SUBSTITUTE(SUBSTITUTE(SUBSTITUTE(SUBSTITUTE($G340,CHAR(13)," "),CHAR(10)," "),CHAR(9)," "),CHAR(92),_xlfn.CONCAT(CHAR(92),CHAR(92))),"$",_xlfn.CONCAT(CHAR(92),"$")),CHAR(96),_xlfn.CONCAT(CHAR(92),CHAR(96))),CHAR(34),CHAR(39))))</f>
        <v/>
      </c>
      <c r="R340" s="5" t="str">
        <f>IF(OR(TRIM($B340)="",$H340=""),"",IF(OR(ISNUMBER(SEARCH(_xlfn.CONCAT(CHAR(96),CHAR(34)),$H340)),ISNUMBER(SEARCH(_xlfn.CONCAT(CHAR(34),CHAR(39)),$H340))),_xlfn.CONCAT("* REVIEW REQUIRED: compound-quote delimiter in Source on Sheet 1 row ",340,"; edit the input before running."),_xlfn.CONCAT("char ",TRIM($B340),"[doc_source] ",CHAR(96),CHAR(34),SUBSTITUTE(SUBSTITUTE(SUBSTITUTE(SUBSTITUTE(SUBSTITUTE(SUBSTITUTE($H340,CHAR(13)," "),CHAR(10)," "),CHAR(9)," "),CHAR(92),_xlfn.CONCAT(CHAR(92),CHAR(92))),"$",_xlfn.CONCAT(CHAR(92),"$")),CHAR(96),_xlfn.CONCAT(CHAR(92),CHAR(96))),CHAR(34),CHAR(39))))</f>
        <v/>
      </c>
      <c r="S340" s="5" t="str">
        <f>IF(OR(TRIM($B340)="",$I340=""),"",IF(OR(ISNUMBER(SEARCH(_xlfn.CONCAT(CHAR(96),CHAR(34)),$I340)),ISNUMBER(SEARCH(_xlfn.CONCAT(CHAR(34),CHAR(39)),$I340))),_xlfn.CONCAT("* REVIEW REQUIRED: compound-quote delimiter in Derivation on Sheet 1 row ",340,"; edit the input before running."),_xlfn.CONCAT("char ",TRIM($B340),"[doc_derivation] ",CHAR(96),CHAR(34),SUBSTITUTE(SUBSTITUTE(SUBSTITUTE(SUBSTITUTE(SUBSTITUTE(SUBSTITUTE($I340,CHAR(13)," "),CHAR(10)," "),CHAR(9)," "),CHAR(92),_xlfn.CONCAT(CHAR(92),CHAR(92))),"$",_xlfn.CONCAT(CHAR(92),"$")),CHAR(96),_xlfn.CONCAT(CHAR(92),CHAR(96))),CHAR(34),CHAR(39))))</f>
        <v/>
      </c>
      <c r="T340" s="5" t="str">
        <f>IF(OR(TRIM($B340)="",$J340=""),"",IF(OR(ISNUMBER(SEARCH(_xlfn.CONCAT(CHAR(96),CHAR(34)),$J340)),ISNUMBER(SEARCH(_xlfn.CONCAT(CHAR(34),CHAR(39)),$J340))),_xlfn.CONCAT("* REVIEW REQUIRED: compound-quote delimiter in Notes on Sheet 1 row ",340,"; edit the input before running."),_xlfn.CONCAT("char ",TRIM($B340),"[doc_notes] ",CHAR(96),CHAR(34),SUBSTITUTE(SUBSTITUTE(SUBSTITUTE(SUBSTITUTE(SUBSTITUTE(SUBSTITUTE($J340,CHAR(13)," "),CHAR(10)," "),CHAR(9)," "),CHAR(92),_xlfn.CONCAT(CHAR(92),CHAR(92))),"$",_xlfn.CONCAT(CHAR(92),"$")),CHAR(96),_xlfn.CONCAT(CHAR(92),CHAR(96))),CHAR(34),CHAR(39))))</f>
        <v/>
      </c>
      <c r="U340" s="5">
        <f t="shared" ref="U340:U403" si="11">COUNTIF(L340:T340,"*REVIEW REQUIRED*")</f>
        <v>0</v>
      </c>
    </row>
    <row r="341" spans="3:21" ht="30" customHeight="1" x14ac:dyDescent="0.2">
      <c r="C341" s="4"/>
      <c r="K341" s="5">
        <f t="shared" si="10"/>
        <v>0</v>
      </c>
      <c r="L341" s="5" t="str">
        <f>IF(OR(TRIM($B341)="",$A341=""),"",IF(OR(ISNUMBER(SEARCH(_xlfn.CONCAT(CHAR(96),CHAR(34)),$A341)),ISNUMBER(SEARCH(_xlfn.CONCAT(CHAR(34),CHAR(39)),$A341))),_xlfn.CONCAT("* REVIEW REQUIRED: compound-quote delimiter in Codebook Section on Sheet 1 row ",341,"; edit the input before running."),_xlfn.CONCAT("char ",TRIM($B341),"[doc_section] ",CHAR(96),CHAR(34),SUBSTITUTE(SUBSTITUTE(SUBSTITUTE(SUBSTITUTE(SUBSTITUTE(SUBSTITUTE($A341,CHAR(13)," "),CHAR(10)," "),CHAR(9)," "),CHAR(92),_xlfn.CONCAT(CHAR(92),CHAR(92))),"$",_xlfn.CONCAT(CHAR(92),"$")),CHAR(96),_xlfn.CONCAT(CHAR(92),CHAR(96))),CHAR(34),CHAR(39))))</f>
        <v/>
      </c>
      <c r="M341" s="5" t="str">
        <f>IF(OR(TRIM($B341)="",$C341=""),"",IF(IFERROR(MATCH(TRIM($C341),{"Quantitative","Continuous","Discrete","Categorical","Nominal","Ordinal","Identifier"},0),0)=0,_xlfn.CONCAT("* REVIEW REQUIRED: invalid Variable Type on Sheet 1 row ",341,"."),_xlfn.CONCAT("char ",TRIM($B341),"[doc_vartype] ",CHAR(96),CHAR(34),SUBSTITUTE(SUBSTITUTE(SUBSTITUTE(SUBSTITUTE(SUBSTITUTE(SUBSTITUTE(LOWER(TRIM($C341)),CHAR(13)," "),CHAR(10)," "),CHAR(9)," "),CHAR(92),_xlfn.CONCAT(CHAR(92),CHAR(92))),"$",_xlfn.CONCAT(CHAR(92),"$")),CHAR(96),_xlfn.CONCAT(CHAR(92),CHAR(96))),CHAR(34),CHAR(39))))</f>
        <v/>
      </c>
      <c r="N341" s="5" t="str">
        <f>IF(OR(TRIM($B341)="",$D341=""),"",IF(OR(ISNUMBER(SEARCH(_xlfn.CONCAT(CHAR(96),CHAR(34)),$D341)),ISNUMBER(SEARCH(_xlfn.CONCAT(CHAR(34),CHAR(39)),$D341))),_xlfn.CONCAT("* REVIEW REQUIRED: compound-quote delimiter in Item Number on Sheet 1 row ",341,"; edit the input before running."),_xlfn.CONCAT("char ",TRIM($B341),"[doc_itemnum] ",CHAR(96),CHAR(34),SUBSTITUTE(SUBSTITUTE(SUBSTITUTE(SUBSTITUTE(SUBSTITUTE(SUBSTITUTE($D341,CHAR(13)," "),CHAR(10)," "),CHAR(9)," "),CHAR(92),_xlfn.CONCAT(CHAR(92),CHAR(92))),"$",_xlfn.CONCAT(CHAR(92),"$")),CHAR(96),_xlfn.CONCAT(CHAR(92),CHAR(96))),CHAR(34),CHAR(39))))</f>
        <v/>
      </c>
      <c r="O341" s="5" t="str">
        <f>IF(OR(TRIM($B341)="",$E341=""),"",IF(OR(ISNUMBER(SEARCH(_xlfn.CONCAT(CHAR(96),CHAR(34)),$E341)),ISNUMBER(SEARCH(_xlfn.CONCAT(CHAR(34),CHAR(39)),$E341))),_xlfn.CONCAT("* REVIEW REQUIRED: compound-quote delimiter in Question Wording on Sheet 1 row ",341,"; edit the input before running."),_xlfn.CONCAT("char ",TRIM($B341),"[doc_question] ",CHAR(96),CHAR(34),SUBSTITUTE(SUBSTITUTE(SUBSTITUTE(SUBSTITUTE(SUBSTITUTE(SUBSTITUTE($E341,CHAR(13)," "),CHAR(10)," "),CHAR(9)," "),CHAR(92),_xlfn.CONCAT(CHAR(92),CHAR(92))),"$",_xlfn.CONCAT(CHAR(92),"$")),CHAR(96),_xlfn.CONCAT(CHAR(92),CHAR(96))),CHAR(34),CHAR(39))))</f>
        <v/>
      </c>
      <c r="P341" s="5" t="str">
        <f>IF(OR(TRIM($B341)="",$F341=""),"",IF(OR(ISNUMBER(SEARCH(_xlfn.CONCAT(CHAR(96),CHAR(34)),$F341)),ISNUMBER(SEARCH(_xlfn.CONCAT(CHAR(34),CHAR(39)),$F341))),_xlfn.CONCAT("* REVIEW REQUIRED: compound-quote delimiter in Units on Sheet 1 row ",341,"; edit the input before running."),_xlfn.CONCAT("char ",TRIM($B341),"[doc_units] ",CHAR(96),CHAR(34),SUBSTITUTE(SUBSTITUTE(SUBSTITUTE(SUBSTITUTE(SUBSTITUTE(SUBSTITUTE($F341,CHAR(13)," "),CHAR(10)," "),CHAR(9)," "),CHAR(92),_xlfn.CONCAT(CHAR(92),CHAR(92))),"$",_xlfn.CONCAT(CHAR(92),"$")),CHAR(96),_xlfn.CONCAT(CHAR(92),CHAR(96))),CHAR(34),CHAR(39))))</f>
        <v/>
      </c>
      <c r="Q341" s="5" t="str">
        <f>IF(OR(TRIM($B341)="",$G341=""),"",IF(OR(ISNUMBER(SEARCH(_xlfn.CONCAT(CHAR(96),CHAR(34)),$G341)),ISNUMBER(SEARCH(_xlfn.CONCAT(CHAR(34),CHAR(39)),$G341))),_xlfn.CONCAT("* REVIEW REQUIRED: compound-quote delimiter in Universe on Sheet 1 row ",341,"; edit the input before running."),_xlfn.CONCAT("char ",TRIM($B341),"[doc_universe] ",CHAR(96),CHAR(34),SUBSTITUTE(SUBSTITUTE(SUBSTITUTE(SUBSTITUTE(SUBSTITUTE(SUBSTITUTE($G341,CHAR(13)," "),CHAR(10)," "),CHAR(9)," "),CHAR(92),_xlfn.CONCAT(CHAR(92),CHAR(92))),"$",_xlfn.CONCAT(CHAR(92),"$")),CHAR(96),_xlfn.CONCAT(CHAR(92),CHAR(96))),CHAR(34),CHAR(39))))</f>
        <v/>
      </c>
      <c r="R341" s="5" t="str">
        <f>IF(OR(TRIM($B341)="",$H341=""),"",IF(OR(ISNUMBER(SEARCH(_xlfn.CONCAT(CHAR(96),CHAR(34)),$H341)),ISNUMBER(SEARCH(_xlfn.CONCAT(CHAR(34),CHAR(39)),$H341))),_xlfn.CONCAT("* REVIEW REQUIRED: compound-quote delimiter in Source on Sheet 1 row ",341,"; edit the input before running."),_xlfn.CONCAT("char ",TRIM($B341),"[doc_source] ",CHAR(96),CHAR(34),SUBSTITUTE(SUBSTITUTE(SUBSTITUTE(SUBSTITUTE(SUBSTITUTE(SUBSTITUTE($H341,CHAR(13)," "),CHAR(10)," "),CHAR(9)," "),CHAR(92),_xlfn.CONCAT(CHAR(92),CHAR(92))),"$",_xlfn.CONCAT(CHAR(92),"$")),CHAR(96),_xlfn.CONCAT(CHAR(92),CHAR(96))),CHAR(34),CHAR(39))))</f>
        <v/>
      </c>
      <c r="S341" s="5" t="str">
        <f>IF(OR(TRIM($B341)="",$I341=""),"",IF(OR(ISNUMBER(SEARCH(_xlfn.CONCAT(CHAR(96),CHAR(34)),$I341)),ISNUMBER(SEARCH(_xlfn.CONCAT(CHAR(34),CHAR(39)),$I341))),_xlfn.CONCAT("* REVIEW REQUIRED: compound-quote delimiter in Derivation on Sheet 1 row ",341,"; edit the input before running."),_xlfn.CONCAT("char ",TRIM($B341),"[doc_derivation] ",CHAR(96),CHAR(34),SUBSTITUTE(SUBSTITUTE(SUBSTITUTE(SUBSTITUTE(SUBSTITUTE(SUBSTITUTE($I341,CHAR(13)," "),CHAR(10)," "),CHAR(9)," "),CHAR(92),_xlfn.CONCAT(CHAR(92),CHAR(92))),"$",_xlfn.CONCAT(CHAR(92),"$")),CHAR(96),_xlfn.CONCAT(CHAR(92),CHAR(96))),CHAR(34),CHAR(39))))</f>
        <v/>
      </c>
      <c r="T341" s="5" t="str">
        <f>IF(OR(TRIM($B341)="",$J341=""),"",IF(OR(ISNUMBER(SEARCH(_xlfn.CONCAT(CHAR(96),CHAR(34)),$J341)),ISNUMBER(SEARCH(_xlfn.CONCAT(CHAR(34),CHAR(39)),$J341))),_xlfn.CONCAT("* REVIEW REQUIRED: compound-quote delimiter in Notes on Sheet 1 row ",341,"; edit the input before running."),_xlfn.CONCAT("char ",TRIM($B341),"[doc_notes] ",CHAR(96),CHAR(34),SUBSTITUTE(SUBSTITUTE(SUBSTITUTE(SUBSTITUTE(SUBSTITUTE(SUBSTITUTE($J341,CHAR(13)," "),CHAR(10)," "),CHAR(9)," "),CHAR(92),_xlfn.CONCAT(CHAR(92),CHAR(92))),"$",_xlfn.CONCAT(CHAR(92),"$")),CHAR(96),_xlfn.CONCAT(CHAR(92),CHAR(96))),CHAR(34),CHAR(39))))</f>
        <v/>
      </c>
      <c r="U341" s="5">
        <f t="shared" si="11"/>
        <v>0</v>
      </c>
    </row>
    <row r="342" spans="3:21" ht="30" customHeight="1" x14ac:dyDescent="0.2">
      <c r="C342" s="4"/>
      <c r="K342" s="5">
        <f t="shared" si="10"/>
        <v>0</v>
      </c>
      <c r="L342" s="5" t="str">
        <f>IF(OR(TRIM($B342)="",$A342=""),"",IF(OR(ISNUMBER(SEARCH(_xlfn.CONCAT(CHAR(96),CHAR(34)),$A342)),ISNUMBER(SEARCH(_xlfn.CONCAT(CHAR(34),CHAR(39)),$A342))),_xlfn.CONCAT("* REVIEW REQUIRED: compound-quote delimiter in Codebook Section on Sheet 1 row ",342,"; edit the input before running."),_xlfn.CONCAT("char ",TRIM($B342),"[doc_section] ",CHAR(96),CHAR(34),SUBSTITUTE(SUBSTITUTE(SUBSTITUTE(SUBSTITUTE(SUBSTITUTE(SUBSTITUTE($A342,CHAR(13)," "),CHAR(10)," "),CHAR(9)," "),CHAR(92),_xlfn.CONCAT(CHAR(92),CHAR(92))),"$",_xlfn.CONCAT(CHAR(92),"$")),CHAR(96),_xlfn.CONCAT(CHAR(92),CHAR(96))),CHAR(34),CHAR(39))))</f>
        <v/>
      </c>
      <c r="M342" s="5" t="str">
        <f>IF(OR(TRIM($B342)="",$C342=""),"",IF(IFERROR(MATCH(TRIM($C342),{"Quantitative","Continuous","Discrete","Categorical","Nominal","Ordinal","Identifier"},0),0)=0,_xlfn.CONCAT("* REVIEW REQUIRED: invalid Variable Type on Sheet 1 row ",342,"."),_xlfn.CONCAT("char ",TRIM($B342),"[doc_vartype] ",CHAR(96),CHAR(34),SUBSTITUTE(SUBSTITUTE(SUBSTITUTE(SUBSTITUTE(SUBSTITUTE(SUBSTITUTE(LOWER(TRIM($C342)),CHAR(13)," "),CHAR(10)," "),CHAR(9)," "),CHAR(92),_xlfn.CONCAT(CHAR(92),CHAR(92))),"$",_xlfn.CONCAT(CHAR(92),"$")),CHAR(96),_xlfn.CONCAT(CHAR(92),CHAR(96))),CHAR(34),CHAR(39))))</f>
        <v/>
      </c>
      <c r="N342" s="5" t="str">
        <f>IF(OR(TRIM($B342)="",$D342=""),"",IF(OR(ISNUMBER(SEARCH(_xlfn.CONCAT(CHAR(96),CHAR(34)),$D342)),ISNUMBER(SEARCH(_xlfn.CONCAT(CHAR(34),CHAR(39)),$D342))),_xlfn.CONCAT("* REVIEW REQUIRED: compound-quote delimiter in Item Number on Sheet 1 row ",342,"; edit the input before running."),_xlfn.CONCAT("char ",TRIM($B342),"[doc_itemnum] ",CHAR(96),CHAR(34),SUBSTITUTE(SUBSTITUTE(SUBSTITUTE(SUBSTITUTE(SUBSTITUTE(SUBSTITUTE($D342,CHAR(13)," "),CHAR(10)," "),CHAR(9)," "),CHAR(92),_xlfn.CONCAT(CHAR(92),CHAR(92))),"$",_xlfn.CONCAT(CHAR(92),"$")),CHAR(96),_xlfn.CONCAT(CHAR(92),CHAR(96))),CHAR(34),CHAR(39))))</f>
        <v/>
      </c>
      <c r="O342" s="5" t="str">
        <f>IF(OR(TRIM($B342)="",$E342=""),"",IF(OR(ISNUMBER(SEARCH(_xlfn.CONCAT(CHAR(96),CHAR(34)),$E342)),ISNUMBER(SEARCH(_xlfn.CONCAT(CHAR(34),CHAR(39)),$E342))),_xlfn.CONCAT("* REVIEW REQUIRED: compound-quote delimiter in Question Wording on Sheet 1 row ",342,"; edit the input before running."),_xlfn.CONCAT("char ",TRIM($B342),"[doc_question] ",CHAR(96),CHAR(34),SUBSTITUTE(SUBSTITUTE(SUBSTITUTE(SUBSTITUTE(SUBSTITUTE(SUBSTITUTE($E342,CHAR(13)," "),CHAR(10)," "),CHAR(9)," "),CHAR(92),_xlfn.CONCAT(CHAR(92),CHAR(92))),"$",_xlfn.CONCAT(CHAR(92),"$")),CHAR(96),_xlfn.CONCAT(CHAR(92),CHAR(96))),CHAR(34),CHAR(39))))</f>
        <v/>
      </c>
      <c r="P342" s="5" t="str">
        <f>IF(OR(TRIM($B342)="",$F342=""),"",IF(OR(ISNUMBER(SEARCH(_xlfn.CONCAT(CHAR(96),CHAR(34)),$F342)),ISNUMBER(SEARCH(_xlfn.CONCAT(CHAR(34),CHAR(39)),$F342))),_xlfn.CONCAT("* REVIEW REQUIRED: compound-quote delimiter in Units on Sheet 1 row ",342,"; edit the input before running."),_xlfn.CONCAT("char ",TRIM($B342),"[doc_units] ",CHAR(96),CHAR(34),SUBSTITUTE(SUBSTITUTE(SUBSTITUTE(SUBSTITUTE(SUBSTITUTE(SUBSTITUTE($F342,CHAR(13)," "),CHAR(10)," "),CHAR(9)," "),CHAR(92),_xlfn.CONCAT(CHAR(92),CHAR(92))),"$",_xlfn.CONCAT(CHAR(92),"$")),CHAR(96),_xlfn.CONCAT(CHAR(92),CHAR(96))),CHAR(34),CHAR(39))))</f>
        <v/>
      </c>
      <c r="Q342" s="5" t="str">
        <f>IF(OR(TRIM($B342)="",$G342=""),"",IF(OR(ISNUMBER(SEARCH(_xlfn.CONCAT(CHAR(96),CHAR(34)),$G342)),ISNUMBER(SEARCH(_xlfn.CONCAT(CHAR(34),CHAR(39)),$G342))),_xlfn.CONCAT("* REVIEW REQUIRED: compound-quote delimiter in Universe on Sheet 1 row ",342,"; edit the input before running."),_xlfn.CONCAT("char ",TRIM($B342),"[doc_universe] ",CHAR(96),CHAR(34),SUBSTITUTE(SUBSTITUTE(SUBSTITUTE(SUBSTITUTE(SUBSTITUTE(SUBSTITUTE($G342,CHAR(13)," "),CHAR(10)," "),CHAR(9)," "),CHAR(92),_xlfn.CONCAT(CHAR(92),CHAR(92))),"$",_xlfn.CONCAT(CHAR(92),"$")),CHAR(96),_xlfn.CONCAT(CHAR(92),CHAR(96))),CHAR(34),CHAR(39))))</f>
        <v/>
      </c>
      <c r="R342" s="5" t="str">
        <f>IF(OR(TRIM($B342)="",$H342=""),"",IF(OR(ISNUMBER(SEARCH(_xlfn.CONCAT(CHAR(96),CHAR(34)),$H342)),ISNUMBER(SEARCH(_xlfn.CONCAT(CHAR(34),CHAR(39)),$H342))),_xlfn.CONCAT("* REVIEW REQUIRED: compound-quote delimiter in Source on Sheet 1 row ",342,"; edit the input before running."),_xlfn.CONCAT("char ",TRIM($B342),"[doc_source] ",CHAR(96),CHAR(34),SUBSTITUTE(SUBSTITUTE(SUBSTITUTE(SUBSTITUTE(SUBSTITUTE(SUBSTITUTE($H342,CHAR(13)," "),CHAR(10)," "),CHAR(9)," "),CHAR(92),_xlfn.CONCAT(CHAR(92),CHAR(92))),"$",_xlfn.CONCAT(CHAR(92),"$")),CHAR(96),_xlfn.CONCAT(CHAR(92),CHAR(96))),CHAR(34),CHAR(39))))</f>
        <v/>
      </c>
      <c r="S342" s="5" t="str">
        <f>IF(OR(TRIM($B342)="",$I342=""),"",IF(OR(ISNUMBER(SEARCH(_xlfn.CONCAT(CHAR(96),CHAR(34)),$I342)),ISNUMBER(SEARCH(_xlfn.CONCAT(CHAR(34),CHAR(39)),$I342))),_xlfn.CONCAT("* REVIEW REQUIRED: compound-quote delimiter in Derivation on Sheet 1 row ",342,"; edit the input before running."),_xlfn.CONCAT("char ",TRIM($B342),"[doc_derivation] ",CHAR(96),CHAR(34),SUBSTITUTE(SUBSTITUTE(SUBSTITUTE(SUBSTITUTE(SUBSTITUTE(SUBSTITUTE($I342,CHAR(13)," "),CHAR(10)," "),CHAR(9)," "),CHAR(92),_xlfn.CONCAT(CHAR(92),CHAR(92))),"$",_xlfn.CONCAT(CHAR(92),"$")),CHAR(96),_xlfn.CONCAT(CHAR(92),CHAR(96))),CHAR(34),CHAR(39))))</f>
        <v/>
      </c>
      <c r="T342" s="5" t="str">
        <f>IF(OR(TRIM($B342)="",$J342=""),"",IF(OR(ISNUMBER(SEARCH(_xlfn.CONCAT(CHAR(96),CHAR(34)),$J342)),ISNUMBER(SEARCH(_xlfn.CONCAT(CHAR(34),CHAR(39)),$J342))),_xlfn.CONCAT("* REVIEW REQUIRED: compound-quote delimiter in Notes on Sheet 1 row ",342,"; edit the input before running."),_xlfn.CONCAT("char ",TRIM($B342),"[doc_notes] ",CHAR(96),CHAR(34),SUBSTITUTE(SUBSTITUTE(SUBSTITUTE(SUBSTITUTE(SUBSTITUTE(SUBSTITUTE($J342,CHAR(13)," "),CHAR(10)," "),CHAR(9)," "),CHAR(92),_xlfn.CONCAT(CHAR(92),CHAR(92))),"$",_xlfn.CONCAT(CHAR(92),"$")),CHAR(96),_xlfn.CONCAT(CHAR(92),CHAR(96))),CHAR(34),CHAR(39))))</f>
        <v/>
      </c>
      <c r="U342" s="5">
        <f t="shared" si="11"/>
        <v>0</v>
      </c>
    </row>
    <row r="343" spans="3:21" ht="30" customHeight="1" x14ac:dyDescent="0.2">
      <c r="C343" s="4"/>
      <c r="K343" s="5">
        <f t="shared" si="10"/>
        <v>0</v>
      </c>
      <c r="L343" s="5" t="str">
        <f>IF(OR(TRIM($B343)="",$A343=""),"",IF(OR(ISNUMBER(SEARCH(_xlfn.CONCAT(CHAR(96),CHAR(34)),$A343)),ISNUMBER(SEARCH(_xlfn.CONCAT(CHAR(34),CHAR(39)),$A343))),_xlfn.CONCAT("* REVIEW REQUIRED: compound-quote delimiter in Codebook Section on Sheet 1 row ",343,"; edit the input before running."),_xlfn.CONCAT("char ",TRIM($B343),"[doc_section] ",CHAR(96),CHAR(34),SUBSTITUTE(SUBSTITUTE(SUBSTITUTE(SUBSTITUTE(SUBSTITUTE(SUBSTITUTE($A343,CHAR(13)," "),CHAR(10)," "),CHAR(9)," "),CHAR(92),_xlfn.CONCAT(CHAR(92),CHAR(92))),"$",_xlfn.CONCAT(CHAR(92),"$")),CHAR(96),_xlfn.CONCAT(CHAR(92),CHAR(96))),CHAR(34),CHAR(39))))</f>
        <v/>
      </c>
      <c r="M343" s="5" t="str">
        <f>IF(OR(TRIM($B343)="",$C343=""),"",IF(IFERROR(MATCH(TRIM($C343),{"Quantitative","Continuous","Discrete","Categorical","Nominal","Ordinal","Identifier"},0),0)=0,_xlfn.CONCAT("* REVIEW REQUIRED: invalid Variable Type on Sheet 1 row ",343,"."),_xlfn.CONCAT("char ",TRIM($B343),"[doc_vartype] ",CHAR(96),CHAR(34),SUBSTITUTE(SUBSTITUTE(SUBSTITUTE(SUBSTITUTE(SUBSTITUTE(SUBSTITUTE(LOWER(TRIM($C343)),CHAR(13)," "),CHAR(10)," "),CHAR(9)," "),CHAR(92),_xlfn.CONCAT(CHAR(92),CHAR(92))),"$",_xlfn.CONCAT(CHAR(92),"$")),CHAR(96),_xlfn.CONCAT(CHAR(92),CHAR(96))),CHAR(34),CHAR(39))))</f>
        <v/>
      </c>
      <c r="N343" s="5" t="str">
        <f>IF(OR(TRIM($B343)="",$D343=""),"",IF(OR(ISNUMBER(SEARCH(_xlfn.CONCAT(CHAR(96),CHAR(34)),$D343)),ISNUMBER(SEARCH(_xlfn.CONCAT(CHAR(34),CHAR(39)),$D343))),_xlfn.CONCAT("* REVIEW REQUIRED: compound-quote delimiter in Item Number on Sheet 1 row ",343,"; edit the input before running."),_xlfn.CONCAT("char ",TRIM($B343),"[doc_itemnum] ",CHAR(96),CHAR(34),SUBSTITUTE(SUBSTITUTE(SUBSTITUTE(SUBSTITUTE(SUBSTITUTE(SUBSTITUTE($D343,CHAR(13)," "),CHAR(10)," "),CHAR(9)," "),CHAR(92),_xlfn.CONCAT(CHAR(92),CHAR(92))),"$",_xlfn.CONCAT(CHAR(92),"$")),CHAR(96),_xlfn.CONCAT(CHAR(92),CHAR(96))),CHAR(34),CHAR(39))))</f>
        <v/>
      </c>
      <c r="O343" s="5" t="str">
        <f>IF(OR(TRIM($B343)="",$E343=""),"",IF(OR(ISNUMBER(SEARCH(_xlfn.CONCAT(CHAR(96),CHAR(34)),$E343)),ISNUMBER(SEARCH(_xlfn.CONCAT(CHAR(34),CHAR(39)),$E343))),_xlfn.CONCAT("* REVIEW REQUIRED: compound-quote delimiter in Question Wording on Sheet 1 row ",343,"; edit the input before running."),_xlfn.CONCAT("char ",TRIM($B343),"[doc_question] ",CHAR(96),CHAR(34),SUBSTITUTE(SUBSTITUTE(SUBSTITUTE(SUBSTITUTE(SUBSTITUTE(SUBSTITUTE($E343,CHAR(13)," "),CHAR(10)," "),CHAR(9)," "),CHAR(92),_xlfn.CONCAT(CHAR(92),CHAR(92))),"$",_xlfn.CONCAT(CHAR(92),"$")),CHAR(96),_xlfn.CONCAT(CHAR(92),CHAR(96))),CHAR(34),CHAR(39))))</f>
        <v/>
      </c>
      <c r="P343" s="5" t="str">
        <f>IF(OR(TRIM($B343)="",$F343=""),"",IF(OR(ISNUMBER(SEARCH(_xlfn.CONCAT(CHAR(96),CHAR(34)),$F343)),ISNUMBER(SEARCH(_xlfn.CONCAT(CHAR(34),CHAR(39)),$F343))),_xlfn.CONCAT("* REVIEW REQUIRED: compound-quote delimiter in Units on Sheet 1 row ",343,"; edit the input before running."),_xlfn.CONCAT("char ",TRIM($B343),"[doc_units] ",CHAR(96),CHAR(34),SUBSTITUTE(SUBSTITUTE(SUBSTITUTE(SUBSTITUTE(SUBSTITUTE(SUBSTITUTE($F343,CHAR(13)," "),CHAR(10)," "),CHAR(9)," "),CHAR(92),_xlfn.CONCAT(CHAR(92),CHAR(92))),"$",_xlfn.CONCAT(CHAR(92),"$")),CHAR(96),_xlfn.CONCAT(CHAR(92),CHAR(96))),CHAR(34),CHAR(39))))</f>
        <v/>
      </c>
      <c r="Q343" s="5" t="str">
        <f>IF(OR(TRIM($B343)="",$G343=""),"",IF(OR(ISNUMBER(SEARCH(_xlfn.CONCAT(CHAR(96),CHAR(34)),$G343)),ISNUMBER(SEARCH(_xlfn.CONCAT(CHAR(34),CHAR(39)),$G343))),_xlfn.CONCAT("* REVIEW REQUIRED: compound-quote delimiter in Universe on Sheet 1 row ",343,"; edit the input before running."),_xlfn.CONCAT("char ",TRIM($B343),"[doc_universe] ",CHAR(96),CHAR(34),SUBSTITUTE(SUBSTITUTE(SUBSTITUTE(SUBSTITUTE(SUBSTITUTE(SUBSTITUTE($G343,CHAR(13)," "),CHAR(10)," "),CHAR(9)," "),CHAR(92),_xlfn.CONCAT(CHAR(92),CHAR(92))),"$",_xlfn.CONCAT(CHAR(92),"$")),CHAR(96),_xlfn.CONCAT(CHAR(92),CHAR(96))),CHAR(34),CHAR(39))))</f>
        <v/>
      </c>
      <c r="R343" s="5" t="str">
        <f>IF(OR(TRIM($B343)="",$H343=""),"",IF(OR(ISNUMBER(SEARCH(_xlfn.CONCAT(CHAR(96),CHAR(34)),$H343)),ISNUMBER(SEARCH(_xlfn.CONCAT(CHAR(34),CHAR(39)),$H343))),_xlfn.CONCAT("* REVIEW REQUIRED: compound-quote delimiter in Source on Sheet 1 row ",343,"; edit the input before running."),_xlfn.CONCAT("char ",TRIM($B343),"[doc_source] ",CHAR(96),CHAR(34),SUBSTITUTE(SUBSTITUTE(SUBSTITUTE(SUBSTITUTE(SUBSTITUTE(SUBSTITUTE($H343,CHAR(13)," "),CHAR(10)," "),CHAR(9)," "),CHAR(92),_xlfn.CONCAT(CHAR(92),CHAR(92))),"$",_xlfn.CONCAT(CHAR(92),"$")),CHAR(96),_xlfn.CONCAT(CHAR(92),CHAR(96))),CHAR(34),CHAR(39))))</f>
        <v/>
      </c>
      <c r="S343" s="5" t="str">
        <f>IF(OR(TRIM($B343)="",$I343=""),"",IF(OR(ISNUMBER(SEARCH(_xlfn.CONCAT(CHAR(96),CHAR(34)),$I343)),ISNUMBER(SEARCH(_xlfn.CONCAT(CHAR(34),CHAR(39)),$I343))),_xlfn.CONCAT("* REVIEW REQUIRED: compound-quote delimiter in Derivation on Sheet 1 row ",343,"; edit the input before running."),_xlfn.CONCAT("char ",TRIM($B343),"[doc_derivation] ",CHAR(96),CHAR(34),SUBSTITUTE(SUBSTITUTE(SUBSTITUTE(SUBSTITUTE(SUBSTITUTE(SUBSTITUTE($I343,CHAR(13)," "),CHAR(10)," "),CHAR(9)," "),CHAR(92),_xlfn.CONCAT(CHAR(92),CHAR(92))),"$",_xlfn.CONCAT(CHAR(92),"$")),CHAR(96),_xlfn.CONCAT(CHAR(92),CHAR(96))),CHAR(34),CHAR(39))))</f>
        <v/>
      </c>
      <c r="T343" s="5" t="str">
        <f>IF(OR(TRIM($B343)="",$J343=""),"",IF(OR(ISNUMBER(SEARCH(_xlfn.CONCAT(CHAR(96),CHAR(34)),$J343)),ISNUMBER(SEARCH(_xlfn.CONCAT(CHAR(34),CHAR(39)),$J343))),_xlfn.CONCAT("* REVIEW REQUIRED: compound-quote delimiter in Notes on Sheet 1 row ",343,"; edit the input before running."),_xlfn.CONCAT("char ",TRIM($B343),"[doc_notes] ",CHAR(96),CHAR(34),SUBSTITUTE(SUBSTITUTE(SUBSTITUTE(SUBSTITUTE(SUBSTITUTE(SUBSTITUTE($J343,CHAR(13)," "),CHAR(10)," "),CHAR(9)," "),CHAR(92),_xlfn.CONCAT(CHAR(92),CHAR(92))),"$",_xlfn.CONCAT(CHAR(92),"$")),CHAR(96),_xlfn.CONCAT(CHAR(92),CHAR(96))),CHAR(34),CHAR(39))))</f>
        <v/>
      </c>
      <c r="U343" s="5">
        <f t="shared" si="11"/>
        <v>0</v>
      </c>
    </row>
    <row r="344" spans="3:21" ht="30" customHeight="1" x14ac:dyDescent="0.2">
      <c r="C344" s="4"/>
      <c r="K344" s="5">
        <f t="shared" si="10"/>
        <v>0</v>
      </c>
      <c r="L344" s="5" t="str">
        <f>IF(OR(TRIM($B344)="",$A344=""),"",IF(OR(ISNUMBER(SEARCH(_xlfn.CONCAT(CHAR(96),CHAR(34)),$A344)),ISNUMBER(SEARCH(_xlfn.CONCAT(CHAR(34),CHAR(39)),$A344))),_xlfn.CONCAT("* REVIEW REQUIRED: compound-quote delimiter in Codebook Section on Sheet 1 row ",344,"; edit the input before running."),_xlfn.CONCAT("char ",TRIM($B344),"[doc_section] ",CHAR(96),CHAR(34),SUBSTITUTE(SUBSTITUTE(SUBSTITUTE(SUBSTITUTE(SUBSTITUTE(SUBSTITUTE($A344,CHAR(13)," "),CHAR(10)," "),CHAR(9)," "),CHAR(92),_xlfn.CONCAT(CHAR(92),CHAR(92))),"$",_xlfn.CONCAT(CHAR(92),"$")),CHAR(96),_xlfn.CONCAT(CHAR(92),CHAR(96))),CHAR(34),CHAR(39))))</f>
        <v/>
      </c>
      <c r="M344" s="5" t="str">
        <f>IF(OR(TRIM($B344)="",$C344=""),"",IF(IFERROR(MATCH(TRIM($C344),{"Quantitative","Continuous","Discrete","Categorical","Nominal","Ordinal","Identifier"},0),0)=0,_xlfn.CONCAT("* REVIEW REQUIRED: invalid Variable Type on Sheet 1 row ",344,"."),_xlfn.CONCAT("char ",TRIM($B344),"[doc_vartype] ",CHAR(96),CHAR(34),SUBSTITUTE(SUBSTITUTE(SUBSTITUTE(SUBSTITUTE(SUBSTITUTE(SUBSTITUTE(LOWER(TRIM($C344)),CHAR(13)," "),CHAR(10)," "),CHAR(9)," "),CHAR(92),_xlfn.CONCAT(CHAR(92),CHAR(92))),"$",_xlfn.CONCAT(CHAR(92),"$")),CHAR(96),_xlfn.CONCAT(CHAR(92),CHAR(96))),CHAR(34),CHAR(39))))</f>
        <v/>
      </c>
      <c r="N344" s="5" t="str">
        <f>IF(OR(TRIM($B344)="",$D344=""),"",IF(OR(ISNUMBER(SEARCH(_xlfn.CONCAT(CHAR(96),CHAR(34)),$D344)),ISNUMBER(SEARCH(_xlfn.CONCAT(CHAR(34),CHAR(39)),$D344))),_xlfn.CONCAT("* REVIEW REQUIRED: compound-quote delimiter in Item Number on Sheet 1 row ",344,"; edit the input before running."),_xlfn.CONCAT("char ",TRIM($B344),"[doc_itemnum] ",CHAR(96),CHAR(34),SUBSTITUTE(SUBSTITUTE(SUBSTITUTE(SUBSTITUTE(SUBSTITUTE(SUBSTITUTE($D344,CHAR(13)," "),CHAR(10)," "),CHAR(9)," "),CHAR(92),_xlfn.CONCAT(CHAR(92),CHAR(92))),"$",_xlfn.CONCAT(CHAR(92),"$")),CHAR(96),_xlfn.CONCAT(CHAR(92),CHAR(96))),CHAR(34),CHAR(39))))</f>
        <v/>
      </c>
      <c r="O344" s="5" t="str">
        <f>IF(OR(TRIM($B344)="",$E344=""),"",IF(OR(ISNUMBER(SEARCH(_xlfn.CONCAT(CHAR(96),CHAR(34)),$E344)),ISNUMBER(SEARCH(_xlfn.CONCAT(CHAR(34),CHAR(39)),$E344))),_xlfn.CONCAT("* REVIEW REQUIRED: compound-quote delimiter in Question Wording on Sheet 1 row ",344,"; edit the input before running."),_xlfn.CONCAT("char ",TRIM($B344),"[doc_question] ",CHAR(96),CHAR(34),SUBSTITUTE(SUBSTITUTE(SUBSTITUTE(SUBSTITUTE(SUBSTITUTE(SUBSTITUTE($E344,CHAR(13)," "),CHAR(10)," "),CHAR(9)," "),CHAR(92),_xlfn.CONCAT(CHAR(92),CHAR(92))),"$",_xlfn.CONCAT(CHAR(92),"$")),CHAR(96),_xlfn.CONCAT(CHAR(92),CHAR(96))),CHAR(34),CHAR(39))))</f>
        <v/>
      </c>
      <c r="P344" s="5" t="str">
        <f>IF(OR(TRIM($B344)="",$F344=""),"",IF(OR(ISNUMBER(SEARCH(_xlfn.CONCAT(CHAR(96),CHAR(34)),$F344)),ISNUMBER(SEARCH(_xlfn.CONCAT(CHAR(34),CHAR(39)),$F344))),_xlfn.CONCAT("* REVIEW REQUIRED: compound-quote delimiter in Units on Sheet 1 row ",344,"; edit the input before running."),_xlfn.CONCAT("char ",TRIM($B344),"[doc_units] ",CHAR(96),CHAR(34),SUBSTITUTE(SUBSTITUTE(SUBSTITUTE(SUBSTITUTE(SUBSTITUTE(SUBSTITUTE($F344,CHAR(13)," "),CHAR(10)," "),CHAR(9)," "),CHAR(92),_xlfn.CONCAT(CHAR(92),CHAR(92))),"$",_xlfn.CONCAT(CHAR(92),"$")),CHAR(96),_xlfn.CONCAT(CHAR(92),CHAR(96))),CHAR(34),CHAR(39))))</f>
        <v/>
      </c>
      <c r="Q344" s="5" t="str">
        <f>IF(OR(TRIM($B344)="",$G344=""),"",IF(OR(ISNUMBER(SEARCH(_xlfn.CONCAT(CHAR(96),CHAR(34)),$G344)),ISNUMBER(SEARCH(_xlfn.CONCAT(CHAR(34),CHAR(39)),$G344))),_xlfn.CONCAT("* REVIEW REQUIRED: compound-quote delimiter in Universe on Sheet 1 row ",344,"; edit the input before running."),_xlfn.CONCAT("char ",TRIM($B344),"[doc_universe] ",CHAR(96),CHAR(34),SUBSTITUTE(SUBSTITUTE(SUBSTITUTE(SUBSTITUTE(SUBSTITUTE(SUBSTITUTE($G344,CHAR(13)," "),CHAR(10)," "),CHAR(9)," "),CHAR(92),_xlfn.CONCAT(CHAR(92),CHAR(92))),"$",_xlfn.CONCAT(CHAR(92),"$")),CHAR(96),_xlfn.CONCAT(CHAR(92),CHAR(96))),CHAR(34),CHAR(39))))</f>
        <v/>
      </c>
      <c r="R344" s="5" t="str">
        <f>IF(OR(TRIM($B344)="",$H344=""),"",IF(OR(ISNUMBER(SEARCH(_xlfn.CONCAT(CHAR(96),CHAR(34)),$H344)),ISNUMBER(SEARCH(_xlfn.CONCAT(CHAR(34),CHAR(39)),$H344))),_xlfn.CONCAT("* REVIEW REQUIRED: compound-quote delimiter in Source on Sheet 1 row ",344,"; edit the input before running."),_xlfn.CONCAT("char ",TRIM($B344),"[doc_source] ",CHAR(96),CHAR(34),SUBSTITUTE(SUBSTITUTE(SUBSTITUTE(SUBSTITUTE(SUBSTITUTE(SUBSTITUTE($H344,CHAR(13)," "),CHAR(10)," "),CHAR(9)," "),CHAR(92),_xlfn.CONCAT(CHAR(92),CHAR(92))),"$",_xlfn.CONCAT(CHAR(92),"$")),CHAR(96),_xlfn.CONCAT(CHAR(92),CHAR(96))),CHAR(34),CHAR(39))))</f>
        <v/>
      </c>
      <c r="S344" s="5" t="str">
        <f>IF(OR(TRIM($B344)="",$I344=""),"",IF(OR(ISNUMBER(SEARCH(_xlfn.CONCAT(CHAR(96),CHAR(34)),$I344)),ISNUMBER(SEARCH(_xlfn.CONCAT(CHAR(34),CHAR(39)),$I344))),_xlfn.CONCAT("* REVIEW REQUIRED: compound-quote delimiter in Derivation on Sheet 1 row ",344,"; edit the input before running."),_xlfn.CONCAT("char ",TRIM($B344),"[doc_derivation] ",CHAR(96),CHAR(34),SUBSTITUTE(SUBSTITUTE(SUBSTITUTE(SUBSTITUTE(SUBSTITUTE(SUBSTITUTE($I344,CHAR(13)," "),CHAR(10)," "),CHAR(9)," "),CHAR(92),_xlfn.CONCAT(CHAR(92),CHAR(92))),"$",_xlfn.CONCAT(CHAR(92),"$")),CHAR(96),_xlfn.CONCAT(CHAR(92),CHAR(96))),CHAR(34),CHAR(39))))</f>
        <v/>
      </c>
      <c r="T344" s="5" t="str">
        <f>IF(OR(TRIM($B344)="",$J344=""),"",IF(OR(ISNUMBER(SEARCH(_xlfn.CONCAT(CHAR(96),CHAR(34)),$J344)),ISNUMBER(SEARCH(_xlfn.CONCAT(CHAR(34),CHAR(39)),$J344))),_xlfn.CONCAT("* REVIEW REQUIRED: compound-quote delimiter in Notes on Sheet 1 row ",344,"; edit the input before running."),_xlfn.CONCAT("char ",TRIM($B344),"[doc_notes] ",CHAR(96),CHAR(34),SUBSTITUTE(SUBSTITUTE(SUBSTITUTE(SUBSTITUTE(SUBSTITUTE(SUBSTITUTE($J344,CHAR(13)," "),CHAR(10)," "),CHAR(9)," "),CHAR(92),_xlfn.CONCAT(CHAR(92),CHAR(92))),"$",_xlfn.CONCAT(CHAR(92),"$")),CHAR(96),_xlfn.CONCAT(CHAR(92),CHAR(96))),CHAR(34),CHAR(39))))</f>
        <v/>
      </c>
      <c r="U344" s="5">
        <f t="shared" si="11"/>
        <v>0</v>
      </c>
    </row>
    <row r="345" spans="3:21" ht="30" customHeight="1" x14ac:dyDescent="0.2">
      <c r="C345" s="4"/>
      <c r="K345" s="5">
        <f t="shared" si="10"/>
        <v>0</v>
      </c>
      <c r="L345" s="5" t="str">
        <f>IF(OR(TRIM($B345)="",$A345=""),"",IF(OR(ISNUMBER(SEARCH(_xlfn.CONCAT(CHAR(96),CHAR(34)),$A345)),ISNUMBER(SEARCH(_xlfn.CONCAT(CHAR(34),CHAR(39)),$A345))),_xlfn.CONCAT("* REVIEW REQUIRED: compound-quote delimiter in Codebook Section on Sheet 1 row ",345,"; edit the input before running."),_xlfn.CONCAT("char ",TRIM($B345),"[doc_section] ",CHAR(96),CHAR(34),SUBSTITUTE(SUBSTITUTE(SUBSTITUTE(SUBSTITUTE(SUBSTITUTE(SUBSTITUTE($A345,CHAR(13)," "),CHAR(10)," "),CHAR(9)," "),CHAR(92),_xlfn.CONCAT(CHAR(92),CHAR(92))),"$",_xlfn.CONCAT(CHAR(92),"$")),CHAR(96),_xlfn.CONCAT(CHAR(92),CHAR(96))),CHAR(34),CHAR(39))))</f>
        <v/>
      </c>
      <c r="M345" s="5" t="str">
        <f>IF(OR(TRIM($B345)="",$C345=""),"",IF(IFERROR(MATCH(TRIM($C345),{"Quantitative","Continuous","Discrete","Categorical","Nominal","Ordinal","Identifier"},0),0)=0,_xlfn.CONCAT("* REVIEW REQUIRED: invalid Variable Type on Sheet 1 row ",345,"."),_xlfn.CONCAT("char ",TRIM($B345),"[doc_vartype] ",CHAR(96),CHAR(34),SUBSTITUTE(SUBSTITUTE(SUBSTITUTE(SUBSTITUTE(SUBSTITUTE(SUBSTITUTE(LOWER(TRIM($C345)),CHAR(13)," "),CHAR(10)," "),CHAR(9)," "),CHAR(92),_xlfn.CONCAT(CHAR(92),CHAR(92))),"$",_xlfn.CONCAT(CHAR(92),"$")),CHAR(96),_xlfn.CONCAT(CHAR(92),CHAR(96))),CHAR(34),CHAR(39))))</f>
        <v/>
      </c>
      <c r="N345" s="5" t="str">
        <f>IF(OR(TRIM($B345)="",$D345=""),"",IF(OR(ISNUMBER(SEARCH(_xlfn.CONCAT(CHAR(96),CHAR(34)),$D345)),ISNUMBER(SEARCH(_xlfn.CONCAT(CHAR(34),CHAR(39)),$D345))),_xlfn.CONCAT("* REVIEW REQUIRED: compound-quote delimiter in Item Number on Sheet 1 row ",345,"; edit the input before running."),_xlfn.CONCAT("char ",TRIM($B345),"[doc_itemnum] ",CHAR(96),CHAR(34),SUBSTITUTE(SUBSTITUTE(SUBSTITUTE(SUBSTITUTE(SUBSTITUTE(SUBSTITUTE($D345,CHAR(13)," "),CHAR(10)," "),CHAR(9)," "),CHAR(92),_xlfn.CONCAT(CHAR(92),CHAR(92))),"$",_xlfn.CONCAT(CHAR(92),"$")),CHAR(96),_xlfn.CONCAT(CHAR(92),CHAR(96))),CHAR(34),CHAR(39))))</f>
        <v/>
      </c>
      <c r="O345" s="5" t="str">
        <f>IF(OR(TRIM($B345)="",$E345=""),"",IF(OR(ISNUMBER(SEARCH(_xlfn.CONCAT(CHAR(96),CHAR(34)),$E345)),ISNUMBER(SEARCH(_xlfn.CONCAT(CHAR(34),CHAR(39)),$E345))),_xlfn.CONCAT("* REVIEW REQUIRED: compound-quote delimiter in Question Wording on Sheet 1 row ",345,"; edit the input before running."),_xlfn.CONCAT("char ",TRIM($B345),"[doc_question] ",CHAR(96),CHAR(34),SUBSTITUTE(SUBSTITUTE(SUBSTITUTE(SUBSTITUTE(SUBSTITUTE(SUBSTITUTE($E345,CHAR(13)," "),CHAR(10)," "),CHAR(9)," "),CHAR(92),_xlfn.CONCAT(CHAR(92),CHAR(92))),"$",_xlfn.CONCAT(CHAR(92),"$")),CHAR(96),_xlfn.CONCAT(CHAR(92),CHAR(96))),CHAR(34),CHAR(39))))</f>
        <v/>
      </c>
      <c r="P345" s="5" t="str">
        <f>IF(OR(TRIM($B345)="",$F345=""),"",IF(OR(ISNUMBER(SEARCH(_xlfn.CONCAT(CHAR(96),CHAR(34)),$F345)),ISNUMBER(SEARCH(_xlfn.CONCAT(CHAR(34),CHAR(39)),$F345))),_xlfn.CONCAT("* REVIEW REQUIRED: compound-quote delimiter in Units on Sheet 1 row ",345,"; edit the input before running."),_xlfn.CONCAT("char ",TRIM($B345),"[doc_units] ",CHAR(96),CHAR(34),SUBSTITUTE(SUBSTITUTE(SUBSTITUTE(SUBSTITUTE(SUBSTITUTE(SUBSTITUTE($F345,CHAR(13)," "),CHAR(10)," "),CHAR(9)," "),CHAR(92),_xlfn.CONCAT(CHAR(92),CHAR(92))),"$",_xlfn.CONCAT(CHAR(92),"$")),CHAR(96),_xlfn.CONCAT(CHAR(92),CHAR(96))),CHAR(34),CHAR(39))))</f>
        <v/>
      </c>
      <c r="Q345" s="5" t="str">
        <f>IF(OR(TRIM($B345)="",$G345=""),"",IF(OR(ISNUMBER(SEARCH(_xlfn.CONCAT(CHAR(96),CHAR(34)),$G345)),ISNUMBER(SEARCH(_xlfn.CONCAT(CHAR(34),CHAR(39)),$G345))),_xlfn.CONCAT("* REVIEW REQUIRED: compound-quote delimiter in Universe on Sheet 1 row ",345,"; edit the input before running."),_xlfn.CONCAT("char ",TRIM($B345),"[doc_universe] ",CHAR(96),CHAR(34),SUBSTITUTE(SUBSTITUTE(SUBSTITUTE(SUBSTITUTE(SUBSTITUTE(SUBSTITUTE($G345,CHAR(13)," "),CHAR(10)," "),CHAR(9)," "),CHAR(92),_xlfn.CONCAT(CHAR(92),CHAR(92))),"$",_xlfn.CONCAT(CHAR(92),"$")),CHAR(96),_xlfn.CONCAT(CHAR(92),CHAR(96))),CHAR(34),CHAR(39))))</f>
        <v/>
      </c>
      <c r="R345" s="5" t="str">
        <f>IF(OR(TRIM($B345)="",$H345=""),"",IF(OR(ISNUMBER(SEARCH(_xlfn.CONCAT(CHAR(96),CHAR(34)),$H345)),ISNUMBER(SEARCH(_xlfn.CONCAT(CHAR(34),CHAR(39)),$H345))),_xlfn.CONCAT("* REVIEW REQUIRED: compound-quote delimiter in Source on Sheet 1 row ",345,"; edit the input before running."),_xlfn.CONCAT("char ",TRIM($B345),"[doc_source] ",CHAR(96),CHAR(34),SUBSTITUTE(SUBSTITUTE(SUBSTITUTE(SUBSTITUTE(SUBSTITUTE(SUBSTITUTE($H345,CHAR(13)," "),CHAR(10)," "),CHAR(9)," "),CHAR(92),_xlfn.CONCAT(CHAR(92),CHAR(92))),"$",_xlfn.CONCAT(CHAR(92),"$")),CHAR(96),_xlfn.CONCAT(CHAR(92),CHAR(96))),CHAR(34),CHAR(39))))</f>
        <v/>
      </c>
      <c r="S345" s="5" t="str">
        <f>IF(OR(TRIM($B345)="",$I345=""),"",IF(OR(ISNUMBER(SEARCH(_xlfn.CONCAT(CHAR(96),CHAR(34)),$I345)),ISNUMBER(SEARCH(_xlfn.CONCAT(CHAR(34),CHAR(39)),$I345))),_xlfn.CONCAT("* REVIEW REQUIRED: compound-quote delimiter in Derivation on Sheet 1 row ",345,"; edit the input before running."),_xlfn.CONCAT("char ",TRIM($B345),"[doc_derivation] ",CHAR(96),CHAR(34),SUBSTITUTE(SUBSTITUTE(SUBSTITUTE(SUBSTITUTE(SUBSTITUTE(SUBSTITUTE($I345,CHAR(13)," "),CHAR(10)," "),CHAR(9)," "),CHAR(92),_xlfn.CONCAT(CHAR(92),CHAR(92))),"$",_xlfn.CONCAT(CHAR(92),"$")),CHAR(96),_xlfn.CONCAT(CHAR(92),CHAR(96))),CHAR(34),CHAR(39))))</f>
        <v/>
      </c>
      <c r="T345" s="5" t="str">
        <f>IF(OR(TRIM($B345)="",$J345=""),"",IF(OR(ISNUMBER(SEARCH(_xlfn.CONCAT(CHAR(96),CHAR(34)),$J345)),ISNUMBER(SEARCH(_xlfn.CONCAT(CHAR(34),CHAR(39)),$J345))),_xlfn.CONCAT("* REVIEW REQUIRED: compound-quote delimiter in Notes on Sheet 1 row ",345,"; edit the input before running."),_xlfn.CONCAT("char ",TRIM($B345),"[doc_notes] ",CHAR(96),CHAR(34),SUBSTITUTE(SUBSTITUTE(SUBSTITUTE(SUBSTITUTE(SUBSTITUTE(SUBSTITUTE($J345,CHAR(13)," "),CHAR(10)," "),CHAR(9)," "),CHAR(92),_xlfn.CONCAT(CHAR(92),CHAR(92))),"$",_xlfn.CONCAT(CHAR(92),"$")),CHAR(96),_xlfn.CONCAT(CHAR(92),CHAR(96))),CHAR(34),CHAR(39))))</f>
        <v/>
      </c>
      <c r="U345" s="5">
        <f t="shared" si="11"/>
        <v>0</v>
      </c>
    </row>
    <row r="346" spans="3:21" ht="30" customHeight="1" x14ac:dyDescent="0.2">
      <c r="C346" s="4"/>
      <c r="K346" s="5">
        <f t="shared" si="10"/>
        <v>0</v>
      </c>
      <c r="L346" s="5" t="str">
        <f>IF(OR(TRIM($B346)="",$A346=""),"",IF(OR(ISNUMBER(SEARCH(_xlfn.CONCAT(CHAR(96),CHAR(34)),$A346)),ISNUMBER(SEARCH(_xlfn.CONCAT(CHAR(34),CHAR(39)),$A346))),_xlfn.CONCAT("* REVIEW REQUIRED: compound-quote delimiter in Codebook Section on Sheet 1 row ",346,"; edit the input before running."),_xlfn.CONCAT("char ",TRIM($B346),"[doc_section] ",CHAR(96),CHAR(34),SUBSTITUTE(SUBSTITUTE(SUBSTITUTE(SUBSTITUTE(SUBSTITUTE(SUBSTITUTE($A346,CHAR(13)," "),CHAR(10)," "),CHAR(9)," "),CHAR(92),_xlfn.CONCAT(CHAR(92),CHAR(92))),"$",_xlfn.CONCAT(CHAR(92),"$")),CHAR(96),_xlfn.CONCAT(CHAR(92),CHAR(96))),CHAR(34),CHAR(39))))</f>
        <v/>
      </c>
      <c r="M346" s="5" t="str">
        <f>IF(OR(TRIM($B346)="",$C346=""),"",IF(IFERROR(MATCH(TRIM($C346),{"Quantitative","Continuous","Discrete","Categorical","Nominal","Ordinal","Identifier"},0),0)=0,_xlfn.CONCAT("* REVIEW REQUIRED: invalid Variable Type on Sheet 1 row ",346,"."),_xlfn.CONCAT("char ",TRIM($B346),"[doc_vartype] ",CHAR(96),CHAR(34),SUBSTITUTE(SUBSTITUTE(SUBSTITUTE(SUBSTITUTE(SUBSTITUTE(SUBSTITUTE(LOWER(TRIM($C346)),CHAR(13)," "),CHAR(10)," "),CHAR(9)," "),CHAR(92),_xlfn.CONCAT(CHAR(92),CHAR(92))),"$",_xlfn.CONCAT(CHAR(92),"$")),CHAR(96),_xlfn.CONCAT(CHAR(92),CHAR(96))),CHAR(34),CHAR(39))))</f>
        <v/>
      </c>
      <c r="N346" s="5" t="str">
        <f>IF(OR(TRIM($B346)="",$D346=""),"",IF(OR(ISNUMBER(SEARCH(_xlfn.CONCAT(CHAR(96),CHAR(34)),$D346)),ISNUMBER(SEARCH(_xlfn.CONCAT(CHAR(34),CHAR(39)),$D346))),_xlfn.CONCAT("* REVIEW REQUIRED: compound-quote delimiter in Item Number on Sheet 1 row ",346,"; edit the input before running."),_xlfn.CONCAT("char ",TRIM($B346),"[doc_itemnum] ",CHAR(96),CHAR(34),SUBSTITUTE(SUBSTITUTE(SUBSTITUTE(SUBSTITUTE(SUBSTITUTE(SUBSTITUTE($D346,CHAR(13)," "),CHAR(10)," "),CHAR(9)," "),CHAR(92),_xlfn.CONCAT(CHAR(92),CHAR(92))),"$",_xlfn.CONCAT(CHAR(92),"$")),CHAR(96),_xlfn.CONCAT(CHAR(92),CHAR(96))),CHAR(34),CHAR(39))))</f>
        <v/>
      </c>
      <c r="O346" s="5" t="str">
        <f>IF(OR(TRIM($B346)="",$E346=""),"",IF(OR(ISNUMBER(SEARCH(_xlfn.CONCAT(CHAR(96),CHAR(34)),$E346)),ISNUMBER(SEARCH(_xlfn.CONCAT(CHAR(34),CHAR(39)),$E346))),_xlfn.CONCAT("* REVIEW REQUIRED: compound-quote delimiter in Question Wording on Sheet 1 row ",346,"; edit the input before running."),_xlfn.CONCAT("char ",TRIM($B346),"[doc_question] ",CHAR(96),CHAR(34),SUBSTITUTE(SUBSTITUTE(SUBSTITUTE(SUBSTITUTE(SUBSTITUTE(SUBSTITUTE($E346,CHAR(13)," "),CHAR(10)," "),CHAR(9)," "),CHAR(92),_xlfn.CONCAT(CHAR(92),CHAR(92))),"$",_xlfn.CONCAT(CHAR(92),"$")),CHAR(96),_xlfn.CONCAT(CHAR(92),CHAR(96))),CHAR(34),CHAR(39))))</f>
        <v/>
      </c>
      <c r="P346" s="5" t="str">
        <f>IF(OR(TRIM($B346)="",$F346=""),"",IF(OR(ISNUMBER(SEARCH(_xlfn.CONCAT(CHAR(96),CHAR(34)),$F346)),ISNUMBER(SEARCH(_xlfn.CONCAT(CHAR(34),CHAR(39)),$F346))),_xlfn.CONCAT("* REVIEW REQUIRED: compound-quote delimiter in Units on Sheet 1 row ",346,"; edit the input before running."),_xlfn.CONCAT("char ",TRIM($B346),"[doc_units] ",CHAR(96),CHAR(34),SUBSTITUTE(SUBSTITUTE(SUBSTITUTE(SUBSTITUTE(SUBSTITUTE(SUBSTITUTE($F346,CHAR(13)," "),CHAR(10)," "),CHAR(9)," "),CHAR(92),_xlfn.CONCAT(CHAR(92),CHAR(92))),"$",_xlfn.CONCAT(CHAR(92),"$")),CHAR(96),_xlfn.CONCAT(CHAR(92),CHAR(96))),CHAR(34),CHAR(39))))</f>
        <v/>
      </c>
      <c r="Q346" s="5" t="str">
        <f>IF(OR(TRIM($B346)="",$G346=""),"",IF(OR(ISNUMBER(SEARCH(_xlfn.CONCAT(CHAR(96),CHAR(34)),$G346)),ISNUMBER(SEARCH(_xlfn.CONCAT(CHAR(34),CHAR(39)),$G346))),_xlfn.CONCAT("* REVIEW REQUIRED: compound-quote delimiter in Universe on Sheet 1 row ",346,"; edit the input before running."),_xlfn.CONCAT("char ",TRIM($B346),"[doc_universe] ",CHAR(96),CHAR(34),SUBSTITUTE(SUBSTITUTE(SUBSTITUTE(SUBSTITUTE(SUBSTITUTE(SUBSTITUTE($G346,CHAR(13)," "),CHAR(10)," "),CHAR(9)," "),CHAR(92),_xlfn.CONCAT(CHAR(92),CHAR(92))),"$",_xlfn.CONCAT(CHAR(92),"$")),CHAR(96),_xlfn.CONCAT(CHAR(92),CHAR(96))),CHAR(34),CHAR(39))))</f>
        <v/>
      </c>
      <c r="R346" s="5" t="str">
        <f>IF(OR(TRIM($B346)="",$H346=""),"",IF(OR(ISNUMBER(SEARCH(_xlfn.CONCAT(CHAR(96),CHAR(34)),$H346)),ISNUMBER(SEARCH(_xlfn.CONCAT(CHAR(34),CHAR(39)),$H346))),_xlfn.CONCAT("* REVIEW REQUIRED: compound-quote delimiter in Source on Sheet 1 row ",346,"; edit the input before running."),_xlfn.CONCAT("char ",TRIM($B346),"[doc_source] ",CHAR(96),CHAR(34),SUBSTITUTE(SUBSTITUTE(SUBSTITUTE(SUBSTITUTE(SUBSTITUTE(SUBSTITUTE($H346,CHAR(13)," "),CHAR(10)," "),CHAR(9)," "),CHAR(92),_xlfn.CONCAT(CHAR(92),CHAR(92))),"$",_xlfn.CONCAT(CHAR(92),"$")),CHAR(96),_xlfn.CONCAT(CHAR(92),CHAR(96))),CHAR(34),CHAR(39))))</f>
        <v/>
      </c>
      <c r="S346" s="5" t="str">
        <f>IF(OR(TRIM($B346)="",$I346=""),"",IF(OR(ISNUMBER(SEARCH(_xlfn.CONCAT(CHAR(96),CHAR(34)),$I346)),ISNUMBER(SEARCH(_xlfn.CONCAT(CHAR(34),CHAR(39)),$I346))),_xlfn.CONCAT("* REVIEW REQUIRED: compound-quote delimiter in Derivation on Sheet 1 row ",346,"; edit the input before running."),_xlfn.CONCAT("char ",TRIM($B346),"[doc_derivation] ",CHAR(96),CHAR(34),SUBSTITUTE(SUBSTITUTE(SUBSTITUTE(SUBSTITUTE(SUBSTITUTE(SUBSTITUTE($I346,CHAR(13)," "),CHAR(10)," "),CHAR(9)," "),CHAR(92),_xlfn.CONCAT(CHAR(92),CHAR(92))),"$",_xlfn.CONCAT(CHAR(92),"$")),CHAR(96),_xlfn.CONCAT(CHAR(92),CHAR(96))),CHAR(34),CHAR(39))))</f>
        <v/>
      </c>
      <c r="T346" s="5" t="str">
        <f>IF(OR(TRIM($B346)="",$J346=""),"",IF(OR(ISNUMBER(SEARCH(_xlfn.CONCAT(CHAR(96),CHAR(34)),$J346)),ISNUMBER(SEARCH(_xlfn.CONCAT(CHAR(34),CHAR(39)),$J346))),_xlfn.CONCAT("* REVIEW REQUIRED: compound-quote delimiter in Notes on Sheet 1 row ",346,"; edit the input before running."),_xlfn.CONCAT("char ",TRIM($B346),"[doc_notes] ",CHAR(96),CHAR(34),SUBSTITUTE(SUBSTITUTE(SUBSTITUTE(SUBSTITUTE(SUBSTITUTE(SUBSTITUTE($J346,CHAR(13)," "),CHAR(10)," "),CHAR(9)," "),CHAR(92),_xlfn.CONCAT(CHAR(92),CHAR(92))),"$",_xlfn.CONCAT(CHAR(92),"$")),CHAR(96),_xlfn.CONCAT(CHAR(92),CHAR(96))),CHAR(34),CHAR(39))))</f>
        <v/>
      </c>
      <c r="U346" s="5">
        <f t="shared" si="11"/>
        <v>0</v>
      </c>
    </row>
    <row r="347" spans="3:21" ht="30" customHeight="1" x14ac:dyDescent="0.2">
      <c r="C347" s="4"/>
      <c r="K347" s="5">
        <f t="shared" si="10"/>
        <v>0</v>
      </c>
      <c r="L347" s="5" t="str">
        <f>IF(OR(TRIM($B347)="",$A347=""),"",IF(OR(ISNUMBER(SEARCH(_xlfn.CONCAT(CHAR(96),CHAR(34)),$A347)),ISNUMBER(SEARCH(_xlfn.CONCAT(CHAR(34),CHAR(39)),$A347))),_xlfn.CONCAT("* REVIEW REQUIRED: compound-quote delimiter in Codebook Section on Sheet 1 row ",347,"; edit the input before running."),_xlfn.CONCAT("char ",TRIM($B347),"[doc_section] ",CHAR(96),CHAR(34),SUBSTITUTE(SUBSTITUTE(SUBSTITUTE(SUBSTITUTE(SUBSTITUTE(SUBSTITUTE($A347,CHAR(13)," "),CHAR(10)," "),CHAR(9)," "),CHAR(92),_xlfn.CONCAT(CHAR(92),CHAR(92))),"$",_xlfn.CONCAT(CHAR(92),"$")),CHAR(96),_xlfn.CONCAT(CHAR(92),CHAR(96))),CHAR(34),CHAR(39))))</f>
        <v/>
      </c>
      <c r="M347" s="5" t="str">
        <f>IF(OR(TRIM($B347)="",$C347=""),"",IF(IFERROR(MATCH(TRIM($C347),{"Quantitative","Continuous","Discrete","Categorical","Nominal","Ordinal","Identifier"},0),0)=0,_xlfn.CONCAT("* REVIEW REQUIRED: invalid Variable Type on Sheet 1 row ",347,"."),_xlfn.CONCAT("char ",TRIM($B347),"[doc_vartype] ",CHAR(96),CHAR(34),SUBSTITUTE(SUBSTITUTE(SUBSTITUTE(SUBSTITUTE(SUBSTITUTE(SUBSTITUTE(LOWER(TRIM($C347)),CHAR(13)," "),CHAR(10)," "),CHAR(9)," "),CHAR(92),_xlfn.CONCAT(CHAR(92),CHAR(92))),"$",_xlfn.CONCAT(CHAR(92),"$")),CHAR(96),_xlfn.CONCAT(CHAR(92),CHAR(96))),CHAR(34),CHAR(39))))</f>
        <v/>
      </c>
      <c r="N347" s="5" t="str">
        <f>IF(OR(TRIM($B347)="",$D347=""),"",IF(OR(ISNUMBER(SEARCH(_xlfn.CONCAT(CHAR(96),CHAR(34)),$D347)),ISNUMBER(SEARCH(_xlfn.CONCAT(CHAR(34),CHAR(39)),$D347))),_xlfn.CONCAT("* REVIEW REQUIRED: compound-quote delimiter in Item Number on Sheet 1 row ",347,"; edit the input before running."),_xlfn.CONCAT("char ",TRIM($B347),"[doc_itemnum] ",CHAR(96),CHAR(34),SUBSTITUTE(SUBSTITUTE(SUBSTITUTE(SUBSTITUTE(SUBSTITUTE(SUBSTITUTE($D347,CHAR(13)," "),CHAR(10)," "),CHAR(9)," "),CHAR(92),_xlfn.CONCAT(CHAR(92),CHAR(92))),"$",_xlfn.CONCAT(CHAR(92),"$")),CHAR(96),_xlfn.CONCAT(CHAR(92),CHAR(96))),CHAR(34),CHAR(39))))</f>
        <v/>
      </c>
      <c r="O347" s="5" t="str">
        <f>IF(OR(TRIM($B347)="",$E347=""),"",IF(OR(ISNUMBER(SEARCH(_xlfn.CONCAT(CHAR(96),CHAR(34)),$E347)),ISNUMBER(SEARCH(_xlfn.CONCAT(CHAR(34),CHAR(39)),$E347))),_xlfn.CONCAT("* REVIEW REQUIRED: compound-quote delimiter in Question Wording on Sheet 1 row ",347,"; edit the input before running."),_xlfn.CONCAT("char ",TRIM($B347),"[doc_question] ",CHAR(96),CHAR(34),SUBSTITUTE(SUBSTITUTE(SUBSTITUTE(SUBSTITUTE(SUBSTITUTE(SUBSTITUTE($E347,CHAR(13)," "),CHAR(10)," "),CHAR(9)," "),CHAR(92),_xlfn.CONCAT(CHAR(92),CHAR(92))),"$",_xlfn.CONCAT(CHAR(92),"$")),CHAR(96),_xlfn.CONCAT(CHAR(92),CHAR(96))),CHAR(34),CHAR(39))))</f>
        <v/>
      </c>
      <c r="P347" s="5" t="str">
        <f>IF(OR(TRIM($B347)="",$F347=""),"",IF(OR(ISNUMBER(SEARCH(_xlfn.CONCAT(CHAR(96),CHAR(34)),$F347)),ISNUMBER(SEARCH(_xlfn.CONCAT(CHAR(34),CHAR(39)),$F347))),_xlfn.CONCAT("* REVIEW REQUIRED: compound-quote delimiter in Units on Sheet 1 row ",347,"; edit the input before running."),_xlfn.CONCAT("char ",TRIM($B347),"[doc_units] ",CHAR(96),CHAR(34),SUBSTITUTE(SUBSTITUTE(SUBSTITUTE(SUBSTITUTE(SUBSTITUTE(SUBSTITUTE($F347,CHAR(13)," "),CHAR(10)," "),CHAR(9)," "),CHAR(92),_xlfn.CONCAT(CHAR(92),CHAR(92))),"$",_xlfn.CONCAT(CHAR(92),"$")),CHAR(96),_xlfn.CONCAT(CHAR(92),CHAR(96))),CHAR(34),CHAR(39))))</f>
        <v/>
      </c>
      <c r="Q347" s="5" t="str">
        <f>IF(OR(TRIM($B347)="",$G347=""),"",IF(OR(ISNUMBER(SEARCH(_xlfn.CONCAT(CHAR(96),CHAR(34)),$G347)),ISNUMBER(SEARCH(_xlfn.CONCAT(CHAR(34),CHAR(39)),$G347))),_xlfn.CONCAT("* REVIEW REQUIRED: compound-quote delimiter in Universe on Sheet 1 row ",347,"; edit the input before running."),_xlfn.CONCAT("char ",TRIM($B347),"[doc_universe] ",CHAR(96),CHAR(34),SUBSTITUTE(SUBSTITUTE(SUBSTITUTE(SUBSTITUTE(SUBSTITUTE(SUBSTITUTE($G347,CHAR(13)," "),CHAR(10)," "),CHAR(9)," "),CHAR(92),_xlfn.CONCAT(CHAR(92),CHAR(92))),"$",_xlfn.CONCAT(CHAR(92),"$")),CHAR(96),_xlfn.CONCAT(CHAR(92),CHAR(96))),CHAR(34),CHAR(39))))</f>
        <v/>
      </c>
      <c r="R347" s="5" t="str">
        <f>IF(OR(TRIM($B347)="",$H347=""),"",IF(OR(ISNUMBER(SEARCH(_xlfn.CONCAT(CHAR(96),CHAR(34)),$H347)),ISNUMBER(SEARCH(_xlfn.CONCAT(CHAR(34),CHAR(39)),$H347))),_xlfn.CONCAT("* REVIEW REQUIRED: compound-quote delimiter in Source on Sheet 1 row ",347,"; edit the input before running."),_xlfn.CONCAT("char ",TRIM($B347),"[doc_source] ",CHAR(96),CHAR(34),SUBSTITUTE(SUBSTITUTE(SUBSTITUTE(SUBSTITUTE(SUBSTITUTE(SUBSTITUTE($H347,CHAR(13)," "),CHAR(10)," "),CHAR(9)," "),CHAR(92),_xlfn.CONCAT(CHAR(92),CHAR(92))),"$",_xlfn.CONCAT(CHAR(92),"$")),CHAR(96),_xlfn.CONCAT(CHAR(92),CHAR(96))),CHAR(34),CHAR(39))))</f>
        <v/>
      </c>
      <c r="S347" s="5" t="str">
        <f>IF(OR(TRIM($B347)="",$I347=""),"",IF(OR(ISNUMBER(SEARCH(_xlfn.CONCAT(CHAR(96),CHAR(34)),$I347)),ISNUMBER(SEARCH(_xlfn.CONCAT(CHAR(34),CHAR(39)),$I347))),_xlfn.CONCAT("* REVIEW REQUIRED: compound-quote delimiter in Derivation on Sheet 1 row ",347,"; edit the input before running."),_xlfn.CONCAT("char ",TRIM($B347),"[doc_derivation] ",CHAR(96),CHAR(34),SUBSTITUTE(SUBSTITUTE(SUBSTITUTE(SUBSTITUTE(SUBSTITUTE(SUBSTITUTE($I347,CHAR(13)," "),CHAR(10)," "),CHAR(9)," "),CHAR(92),_xlfn.CONCAT(CHAR(92),CHAR(92))),"$",_xlfn.CONCAT(CHAR(92),"$")),CHAR(96),_xlfn.CONCAT(CHAR(92),CHAR(96))),CHAR(34),CHAR(39))))</f>
        <v/>
      </c>
      <c r="T347" s="5" t="str">
        <f>IF(OR(TRIM($B347)="",$J347=""),"",IF(OR(ISNUMBER(SEARCH(_xlfn.CONCAT(CHAR(96),CHAR(34)),$J347)),ISNUMBER(SEARCH(_xlfn.CONCAT(CHAR(34),CHAR(39)),$J347))),_xlfn.CONCAT("* REVIEW REQUIRED: compound-quote delimiter in Notes on Sheet 1 row ",347,"; edit the input before running."),_xlfn.CONCAT("char ",TRIM($B347),"[doc_notes] ",CHAR(96),CHAR(34),SUBSTITUTE(SUBSTITUTE(SUBSTITUTE(SUBSTITUTE(SUBSTITUTE(SUBSTITUTE($J347,CHAR(13)," "),CHAR(10)," "),CHAR(9)," "),CHAR(92),_xlfn.CONCAT(CHAR(92),CHAR(92))),"$",_xlfn.CONCAT(CHAR(92),"$")),CHAR(96),_xlfn.CONCAT(CHAR(92),CHAR(96))),CHAR(34),CHAR(39))))</f>
        <v/>
      </c>
      <c r="U347" s="5">
        <f t="shared" si="11"/>
        <v>0</v>
      </c>
    </row>
    <row r="348" spans="3:21" ht="30" customHeight="1" x14ac:dyDescent="0.2">
      <c r="C348" s="4"/>
      <c r="K348" s="5">
        <f t="shared" si="10"/>
        <v>0</v>
      </c>
      <c r="L348" s="5" t="str">
        <f>IF(OR(TRIM($B348)="",$A348=""),"",IF(OR(ISNUMBER(SEARCH(_xlfn.CONCAT(CHAR(96),CHAR(34)),$A348)),ISNUMBER(SEARCH(_xlfn.CONCAT(CHAR(34),CHAR(39)),$A348))),_xlfn.CONCAT("* REVIEW REQUIRED: compound-quote delimiter in Codebook Section on Sheet 1 row ",348,"; edit the input before running."),_xlfn.CONCAT("char ",TRIM($B348),"[doc_section] ",CHAR(96),CHAR(34),SUBSTITUTE(SUBSTITUTE(SUBSTITUTE(SUBSTITUTE(SUBSTITUTE(SUBSTITUTE($A348,CHAR(13)," "),CHAR(10)," "),CHAR(9)," "),CHAR(92),_xlfn.CONCAT(CHAR(92),CHAR(92))),"$",_xlfn.CONCAT(CHAR(92),"$")),CHAR(96),_xlfn.CONCAT(CHAR(92),CHAR(96))),CHAR(34),CHAR(39))))</f>
        <v/>
      </c>
      <c r="M348" s="5" t="str">
        <f>IF(OR(TRIM($B348)="",$C348=""),"",IF(IFERROR(MATCH(TRIM($C348),{"Quantitative","Continuous","Discrete","Categorical","Nominal","Ordinal","Identifier"},0),0)=0,_xlfn.CONCAT("* REVIEW REQUIRED: invalid Variable Type on Sheet 1 row ",348,"."),_xlfn.CONCAT("char ",TRIM($B348),"[doc_vartype] ",CHAR(96),CHAR(34),SUBSTITUTE(SUBSTITUTE(SUBSTITUTE(SUBSTITUTE(SUBSTITUTE(SUBSTITUTE(LOWER(TRIM($C348)),CHAR(13)," "),CHAR(10)," "),CHAR(9)," "),CHAR(92),_xlfn.CONCAT(CHAR(92),CHAR(92))),"$",_xlfn.CONCAT(CHAR(92),"$")),CHAR(96),_xlfn.CONCAT(CHAR(92),CHAR(96))),CHAR(34),CHAR(39))))</f>
        <v/>
      </c>
      <c r="N348" s="5" t="str">
        <f>IF(OR(TRIM($B348)="",$D348=""),"",IF(OR(ISNUMBER(SEARCH(_xlfn.CONCAT(CHAR(96),CHAR(34)),$D348)),ISNUMBER(SEARCH(_xlfn.CONCAT(CHAR(34),CHAR(39)),$D348))),_xlfn.CONCAT("* REVIEW REQUIRED: compound-quote delimiter in Item Number on Sheet 1 row ",348,"; edit the input before running."),_xlfn.CONCAT("char ",TRIM($B348),"[doc_itemnum] ",CHAR(96),CHAR(34),SUBSTITUTE(SUBSTITUTE(SUBSTITUTE(SUBSTITUTE(SUBSTITUTE(SUBSTITUTE($D348,CHAR(13)," "),CHAR(10)," "),CHAR(9)," "),CHAR(92),_xlfn.CONCAT(CHAR(92),CHAR(92))),"$",_xlfn.CONCAT(CHAR(92),"$")),CHAR(96),_xlfn.CONCAT(CHAR(92),CHAR(96))),CHAR(34),CHAR(39))))</f>
        <v/>
      </c>
      <c r="O348" s="5" t="str">
        <f>IF(OR(TRIM($B348)="",$E348=""),"",IF(OR(ISNUMBER(SEARCH(_xlfn.CONCAT(CHAR(96),CHAR(34)),$E348)),ISNUMBER(SEARCH(_xlfn.CONCAT(CHAR(34),CHAR(39)),$E348))),_xlfn.CONCAT("* REVIEW REQUIRED: compound-quote delimiter in Question Wording on Sheet 1 row ",348,"; edit the input before running."),_xlfn.CONCAT("char ",TRIM($B348),"[doc_question] ",CHAR(96),CHAR(34),SUBSTITUTE(SUBSTITUTE(SUBSTITUTE(SUBSTITUTE(SUBSTITUTE(SUBSTITUTE($E348,CHAR(13)," "),CHAR(10)," "),CHAR(9)," "),CHAR(92),_xlfn.CONCAT(CHAR(92),CHAR(92))),"$",_xlfn.CONCAT(CHAR(92),"$")),CHAR(96),_xlfn.CONCAT(CHAR(92),CHAR(96))),CHAR(34),CHAR(39))))</f>
        <v/>
      </c>
      <c r="P348" s="5" t="str">
        <f>IF(OR(TRIM($B348)="",$F348=""),"",IF(OR(ISNUMBER(SEARCH(_xlfn.CONCAT(CHAR(96),CHAR(34)),$F348)),ISNUMBER(SEARCH(_xlfn.CONCAT(CHAR(34),CHAR(39)),$F348))),_xlfn.CONCAT("* REVIEW REQUIRED: compound-quote delimiter in Units on Sheet 1 row ",348,"; edit the input before running."),_xlfn.CONCAT("char ",TRIM($B348),"[doc_units] ",CHAR(96),CHAR(34),SUBSTITUTE(SUBSTITUTE(SUBSTITUTE(SUBSTITUTE(SUBSTITUTE(SUBSTITUTE($F348,CHAR(13)," "),CHAR(10)," "),CHAR(9)," "),CHAR(92),_xlfn.CONCAT(CHAR(92),CHAR(92))),"$",_xlfn.CONCAT(CHAR(92),"$")),CHAR(96),_xlfn.CONCAT(CHAR(92),CHAR(96))),CHAR(34),CHAR(39))))</f>
        <v/>
      </c>
      <c r="Q348" s="5" t="str">
        <f>IF(OR(TRIM($B348)="",$G348=""),"",IF(OR(ISNUMBER(SEARCH(_xlfn.CONCAT(CHAR(96),CHAR(34)),$G348)),ISNUMBER(SEARCH(_xlfn.CONCAT(CHAR(34),CHAR(39)),$G348))),_xlfn.CONCAT("* REVIEW REQUIRED: compound-quote delimiter in Universe on Sheet 1 row ",348,"; edit the input before running."),_xlfn.CONCAT("char ",TRIM($B348),"[doc_universe] ",CHAR(96),CHAR(34),SUBSTITUTE(SUBSTITUTE(SUBSTITUTE(SUBSTITUTE(SUBSTITUTE(SUBSTITUTE($G348,CHAR(13)," "),CHAR(10)," "),CHAR(9)," "),CHAR(92),_xlfn.CONCAT(CHAR(92),CHAR(92))),"$",_xlfn.CONCAT(CHAR(92),"$")),CHAR(96),_xlfn.CONCAT(CHAR(92),CHAR(96))),CHAR(34),CHAR(39))))</f>
        <v/>
      </c>
      <c r="R348" s="5" t="str">
        <f>IF(OR(TRIM($B348)="",$H348=""),"",IF(OR(ISNUMBER(SEARCH(_xlfn.CONCAT(CHAR(96),CHAR(34)),$H348)),ISNUMBER(SEARCH(_xlfn.CONCAT(CHAR(34),CHAR(39)),$H348))),_xlfn.CONCAT("* REVIEW REQUIRED: compound-quote delimiter in Source on Sheet 1 row ",348,"; edit the input before running."),_xlfn.CONCAT("char ",TRIM($B348),"[doc_source] ",CHAR(96),CHAR(34),SUBSTITUTE(SUBSTITUTE(SUBSTITUTE(SUBSTITUTE(SUBSTITUTE(SUBSTITUTE($H348,CHAR(13)," "),CHAR(10)," "),CHAR(9)," "),CHAR(92),_xlfn.CONCAT(CHAR(92),CHAR(92))),"$",_xlfn.CONCAT(CHAR(92),"$")),CHAR(96),_xlfn.CONCAT(CHAR(92),CHAR(96))),CHAR(34),CHAR(39))))</f>
        <v/>
      </c>
      <c r="S348" s="5" t="str">
        <f>IF(OR(TRIM($B348)="",$I348=""),"",IF(OR(ISNUMBER(SEARCH(_xlfn.CONCAT(CHAR(96),CHAR(34)),$I348)),ISNUMBER(SEARCH(_xlfn.CONCAT(CHAR(34),CHAR(39)),$I348))),_xlfn.CONCAT("* REVIEW REQUIRED: compound-quote delimiter in Derivation on Sheet 1 row ",348,"; edit the input before running."),_xlfn.CONCAT("char ",TRIM($B348),"[doc_derivation] ",CHAR(96),CHAR(34),SUBSTITUTE(SUBSTITUTE(SUBSTITUTE(SUBSTITUTE(SUBSTITUTE(SUBSTITUTE($I348,CHAR(13)," "),CHAR(10)," "),CHAR(9)," "),CHAR(92),_xlfn.CONCAT(CHAR(92),CHAR(92))),"$",_xlfn.CONCAT(CHAR(92),"$")),CHAR(96),_xlfn.CONCAT(CHAR(92),CHAR(96))),CHAR(34),CHAR(39))))</f>
        <v/>
      </c>
      <c r="T348" s="5" t="str">
        <f>IF(OR(TRIM($B348)="",$J348=""),"",IF(OR(ISNUMBER(SEARCH(_xlfn.CONCAT(CHAR(96),CHAR(34)),$J348)),ISNUMBER(SEARCH(_xlfn.CONCAT(CHAR(34),CHAR(39)),$J348))),_xlfn.CONCAT("* REVIEW REQUIRED: compound-quote delimiter in Notes on Sheet 1 row ",348,"; edit the input before running."),_xlfn.CONCAT("char ",TRIM($B348),"[doc_notes] ",CHAR(96),CHAR(34),SUBSTITUTE(SUBSTITUTE(SUBSTITUTE(SUBSTITUTE(SUBSTITUTE(SUBSTITUTE($J348,CHAR(13)," "),CHAR(10)," "),CHAR(9)," "),CHAR(92),_xlfn.CONCAT(CHAR(92),CHAR(92))),"$",_xlfn.CONCAT(CHAR(92),"$")),CHAR(96),_xlfn.CONCAT(CHAR(92),CHAR(96))),CHAR(34),CHAR(39))))</f>
        <v/>
      </c>
      <c r="U348" s="5">
        <f t="shared" si="11"/>
        <v>0</v>
      </c>
    </row>
    <row r="349" spans="3:21" ht="30" customHeight="1" x14ac:dyDescent="0.2">
      <c r="C349" s="4"/>
      <c r="K349" s="5">
        <f t="shared" si="10"/>
        <v>0</v>
      </c>
      <c r="L349" s="5" t="str">
        <f>IF(OR(TRIM($B349)="",$A349=""),"",IF(OR(ISNUMBER(SEARCH(_xlfn.CONCAT(CHAR(96),CHAR(34)),$A349)),ISNUMBER(SEARCH(_xlfn.CONCAT(CHAR(34),CHAR(39)),$A349))),_xlfn.CONCAT("* REVIEW REQUIRED: compound-quote delimiter in Codebook Section on Sheet 1 row ",349,"; edit the input before running."),_xlfn.CONCAT("char ",TRIM($B349),"[doc_section] ",CHAR(96),CHAR(34),SUBSTITUTE(SUBSTITUTE(SUBSTITUTE(SUBSTITUTE(SUBSTITUTE(SUBSTITUTE($A349,CHAR(13)," "),CHAR(10)," "),CHAR(9)," "),CHAR(92),_xlfn.CONCAT(CHAR(92),CHAR(92))),"$",_xlfn.CONCAT(CHAR(92),"$")),CHAR(96),_xlfn.CONCAT(CHAR(92),CHAR(96))),CHAR(34),CHAR(39))))</f>
        <v/>
      </c>
      <c r="M349" s="5" t="str">
        <f>IF(OR(TRIM($B349)="",$C349=""),"",IF(IFERROR(MATCH(TRIM($C349),{"Quantitative","Continuous","Discrete","Categorical","Nominal","Ordinal","Identifier"},0),0)=0,_xlfn.CONCAT("* REVIEW REQUIRED: invalid Variable Type on Sheet 1 row ",349,"."),_xlfn.CONCAT("char ",TRIM($B349),"[doc_vartype] ",CHAR(96),CHAR(34),SUBSTITUTE(SUBSTITUTE(SUBSTITUTE(SUBSTITUTE(SUBSTITUTE(SUBSTITUTE(LOWER(TRIM($C349)),CHAR(13)," "),CHAR(10)," "),CHAR(9)," "),CHAR(92),_xlfn.CONCAT(CHAR(92),CHAR(92))),"$",_xlfn.CONCAT(CHAR(92),"$")),CHAR(96),_xlfn.CONCAT(CHAR(92),CHAR(96))),CHAR(34),CHAR(39))))</f>
        <v/>
      </c>
      <c r="N349" s="5" t="str">
        <f>IF(OR(TRIM($B349)="",$D349=""),"",IF(OR(ISNUMBER(SEARCH(_xlfn.CONCAT(CHAR(96),CHAR(34)),$D349)),ISNUMBER(SEARCH(_xlfn.CONCAT(CHAR(34),CHAR(39)),$D349))),_xlfn.CONCAT("* REVIEW REQUIRED: compound-quote delimiter in Item Number on Sheet 1 row ",349,"; edit the input before running."),_xlfn.CONCAT("char ",TRIM($B349),"[doc_itemnum] ",CHAR(96),CHAR(34),SUBSTITUTE(SUBSTITUTE(SUBSTITUTE(SUBSTITUTE(SUBSTITUTE(SUBSTITUTE($D349,CHAR(13)," "),CHAR(10)," "),CHAR(9)," "),CHAR(92),_xlfn.CONCAT(CHAR(92),CHAR(92))),"$",_xlfn.CONCAT(CHAR(92),"$")),CHAR(96),_xlfn.CONCAT(CHAR(92),CHAR(96))),CHAR(34),CHAR(39))))</f>
        <v/>
      </c>
      <c r="O349" s="5" t="str">
        <f>IF(OR(TRIM($B349)="",$E349=""),"",IF(OR(ISNUMBER(SEARCH(_xlfn.CONCAT(CHAR(96),CHAR(34)),$E349)),ISNUMBER(SEARCH(_xlfn.CONCAT(CHAR(34),CHAR(39)),$E349))),_xlfn.CONCAT("* REVIEW REQUIRED: compound-quote delimiter in Question Wording on Sheet 1 row ",349,"; edit the input before running."),_xlfn.CONCAT("char ",TRIM($B349),"[doc_question] ",CHAR(96),CHAR(34),SUBSTITUTE(SUBSTITUTE(SUBSTITUTE(SUBSTITUTE(SUBSTITUTE(SUBSTITUTE($E349,CHAR(13)," "),CHAR(10)," "),CHAR(9)," "),CHAR(92),_xlfn.CONCAT(CHAR(92),CHAR(92))),"$",_xlfn.CONCAT(CHAR(92),"$")),CHAR(96),_xlfn.CONCAT(CHAR(92),CHAR(96))),CHAR(34),CHAR(39))))</f>
        <v/>
      </c>
      <c r="P349" s="5" t="str">
        <f>IF(OR(TRIM($B349)="",$F349=""),"",IF(OR(ISNUMBER(SEARCH(_xlfn.CONCAT(CHAR(96),CHAR(34)),$F349)),ISNUMBER(SEARCH(_xlfn.CONCAT(CHAR(34),CHAR(39)),$F349))),_xlfn.CONCAT("* REVIEW REQUIRED: compound-quote delimiter in Units on Sheet 1 row ",349,"; edit the input before running."),_xlfn.CONCAT("char ",TRIM($B349),"[doc_units] ",CHAR(96),CHAR(34),SUBSTITUTE(SUBSTITUTE(SUBSTITUTE(SUBSTITUTE(SUBSTITUTE(SUBSTITUTE($F349,CHAR(13)," "),CHAR(10)," "),CHAR(9)," "),CHAR(92),_xlfn.CONCAT(CHAR(92),CHAR(92))),"$",_xlfn.CONCAT(CHAR(92),"$")),CHAR(96),_xlfn.CONCAT(CHAR(92),CHAR(96))),CHAR(34),CHAR(39))))</f>
        <v/>
      </c>
      <c r="Q349" s="5" t="str">
        <f>IF(OR(TRIM($B349)="",$G349=""),"",IF(OR(ISNUMBER(SEARCH(_xlfn.CONCAT(CHAR(96),CHAR(34)),$G349)),ISNUMBER(SEARCH(_xlfn.CONCAT(CHAR(34),CHAR(39)),$G349))),_xlfn.CONCAT("* REVIEW REQUIRED: compound-quote delimiter in Universe on Sheet 1 row ",349,"; edit the input before running."),_xlfn.CONCAT("char ",TRIM($B349),"[doc_universe] ",CHAR(96),CHAR(34),SUBSTITUTE(SUBSTITUTE(SUBSTITUTE(SUBSTITUTE(SUBSTITUTE(SUBSTITUTE($G349,CHAR(13)," "),CHAR(10)," "),CHAR(9)," "),CHAR(92),_xlfn.CONCAT(CHAR(92),CHAR(92))),"$",_xlfn.CONCAT(CHAR(92),"$")),CHAR(96),_xlfn.CONCAT(CHAR(92),CHAR(96))),CHAR(34),CHAR(39))))</f>
        <v/>
      </c>
      <c r="R349" s="5" t="str">
        <f>IF(OR(TRIM($B349)="",$H349=""),"",IF(OR(ISNUMBER(SEARCH(_xlfn.CONCAT(CHAR(96),CHAR(34)),$H349)),ISNUMBER(SEARCH(_xlfn.CONCAT(CHAR(34),CHAR(39)),$H349))),_xlfn.CONCAT("* REVIEW REQUIRED: compound-quote delimiter in Source on Sheet 1 row ",349,"; edit the input before running."),_xlfn.CONCAT("char ",TRIM($B349),"[doc_source] ",CHAR(96),CHAR(34),SUBSTITUTE(SUBSTITUTE(SUBSTITUTE(SUBSTITUTE(SUBSTITUTE(SUBSTITUTE($H349,CHAR(13)," "),CHAR(10)," "),CHAR(9)," "),CHAR(92),_xlfn.CONCAT(CHAR(92),CHAR(92))),"$",_xlfn.CONCAT(CHAR(92),"$")),CHAR(96),_xlfn.CONCAT(CHAR(92),CHAR(96))),CHAR(34),CHAR(39))))</f>
        <v/>
      </c>
      <c r="S349" s="5" t="str">
        <f>IF(OR(TRIM($B349)="",$I349=""),"",IF(OR(ISNUMBER(SEARCH(_xlfn.CONCAT(CHAR(96),CHAR(34)),$I349)),ISNUMBER(SEARCH(_xlfn.CONCAT(CHAR(34),CHAR(39)),$I349))),_xlfn.CONCAT("* REVIEW REQUIRED: compound-quote delimiter in Derivation on Sheet 1 row ",349,"; edit the input before running."),_xlfn.CONCAT("char ",TRIM($B349),"[doc_derivation] ",CHAR(96),CHAR(34),SUBSTITUTE(SUBSTITUTE(SUBSTITUTE(SUBSTITUTE(SUBSTITUTE(SUBSTITUTE($I349,CHAR(13)," "),CHAR(10)," "),CHAR(9)," "),CHAR(92),_xlfn.CONCAT(CHAR(92),CHAR(92))),"$",_xlfn.CONCAT(CHAR(92),"$")),CHAR(96),_xlfn.CONCAT(CHAR(92),CHAR(96))),CHAR(34),CHAR(39))))</f>
        <v/>
      </c>
      <c r="T349" s="5" t="str">
        <f>IF(OR(TRIM($B349)="",$J349=""),"",IF(OR(ISNUMBER(SEARCH(_xlfn.CONCAT(CHAR(96),CHAR(34)),$J349)),ISNUMBER(SEARCH(_xlfn.CONCAT(CHAR(34),CHAR(39)),$J349))),_xlfn.CONCAT("* REVIEW REQUIRED: compound-quote delimiter in Notes on Sheet 1 row ",349,"; edit the input before running."),_xlfn.CONCAT("char ",TRIM($B349),"[doc_notes] ",CHAR(96),CHAR(34),SUBSTITUTE(SUBSTITUTE(SUBSTITUTE(SUBSTITUTE(SUBSTITUTE(SUBSTITUTE($J349,CHAR(13)," "),CHAR(10)," "),CHAR(9)," "),CHAR(92),_xlfn.CONCAT(CHAR(92),CHAR(92))),"$",_xlfn.CONCAT(CHAR(92),"$")),CHAR(96),_xlfn.CONCAT(CHAR(92),CHAR(96))),CHAR(34),CHAR(39))))</f>
        <v/>
      </c>
      <c r="U349" s="5">
        <f t="shared" si="11"/>
        <v>0</v>
      </c>
    </row>
    <row r="350" spans="3:21" ht="30" customHeight="1" x14ac:dyDescent="0.2">
      <c r="C350" s="4"/>
      <c r="K350" s="5">
        <f t="shared" si="10"/>
        <v>0</v>
      </c>
      <c r="L350" s="5" t="str">
        <f>IF(OR(TRIM($B350)="",$A350=""),"",IF(OR(ISNUMBER(SEARCH(_xlfn.CONCAT(CHAR(96),CHAR(34)),$A350)),ISNUMBER(SEARCH(_xlfn.CONCAT(CHAR(34),CHAR(39)),$A350))),_xlfn.CONCAT("* REVIEW REQUIRED: compound-quote delimiter in Codebook Section on Sheet 1 row ",350,"; edit the input before running."),_xlfn.CONCAT("char ",TRIM($B350),"[doc_section] ",CHAR(96),CHAR(34),SUBSTITUTE(SUBSTITUTE(SUBSTITUTE(SUBSTITUTE(SUBSTITUTE(SUBSTITUTE($A350,CHAR(13)," "),CHAR(10)," "),CHAR(9)," "),CHAR(92),_xlfn.CONCAT(CHAR(92),CHAR(92))),"$",_xlfn.CONCAT(CHAR(92),"$")),CHAR(96),_xlfn.CONCAT(CHAR(92),CHAR(96))),CHAR(34),CHAR(39))))</f>
        <v/>
      </c>
      <c r="M350" s="5" t="str">
        <f>IF(OR(TRIM($B350)="",$C350=""),"",IF(IFERROR(MATCH(TRIM($C350),{"Quantitative","Continuous","Discrete","Categorical","Nominal","Ordinal","Identifier"},0),0)=0,_xlfn.CONCAT("* REVIEW REQUIRED: invalid Variable Type on Sheet 1 row ",350,"."),_xlfn.CONCAT("char ",TRIM($B350),"[doc_vartype] ",CHAR(96),CHAR(34),SUBSTITUTE(SUBSTITUTE(SUBSTITUTE(SUBSTITUTE(SUBSTITUTE(SUBSTITUTE(LOWER(TRIM($C350)),CHAR(13)," "),CHAR(10)," "),CHAR(9)," "),CHAR(92),_xlfn.CONCAT(CHAR(92),CHAR(92))),"$",_xlfn.CONCAT(CHAR(92),"$")),CHAR(96),_xlfn.CONCAT(CHAR(92),CHAR(96))),CHAR(34),CHAR(39))))</f>
        <v/>
      </c>
      <c r="N350" s="5" t="str">
        <f>IF(OR(TRIM($B350)="",$D350=""),"",IF(OR(ISNUMBER(SEARCH(_xlfn.CONCAT(CHAR(96),CHAR(34)),$D350)),ISNUMBER(SEARCH(_xlfn.CONCAT(CHAR(34),CHAR(39)),$D350))),_xlfn.CONCAT("* REVIEW REQUIRED: compound-quote delimiter in Item Number on Sheet 1 row ",350,"; edit the input before running."),_xlfn.CONCAT("char ",TRIM($B350),"[doc_itemnum] ",CHAR(96),CHAR(34),SUBSTITUTE(SUBSTITUTE(SUBSTITUTE(SUBSTITUTE(SUBSTITUTE(SUBSTITUTE($D350,CHAR(13)," "),CHAR(10)," "),CHAR(9)," "),CHAR(92),_xlfn.CONCAT(CHAR(92),CHAR(92))),"$",_xlfn.CONCAT(CHAR(92),"$")),CHAR(96),_xlfn.CONCAT(CHAR(92),CHAR(96))),CHAR(34),CHAR(39))))</f>
        <v/>
      </c>
      <c r="O350" s="5" t="str">
        <f>IF(OR(TRIM($B350)="",$E350=""),"",IF(OR(ISNUMBER(SEARCH(_xlfn.CONCAT(CHAR(96),CHAR(34)),$E350)),ISNUMBER(SEARCH(_xlfn.CONCAT(CHAR(34),CHAR(39)),$E350))),_xlfn.CONCAT("* REVIEW REQUIRED: compound-quote delimiter in Question Wording on Sheet 1 row ",350,"; edit the input before running."),_xlfn.CONCAT("char ",TRIM($B350),"[doc_question] ",CHAR(96),CHAR(34),SUBSTITUTE(SUBSTITUTE(SUBSTITUTE(SUBSTITUTE(SUBSTITUTE(SUBSTITUTE($E350,CHAR(13)," "),CHAR(10)," "),CHAR(9)," "),CHAR(92),_xlfn.CONCAT(CHAR(92),CHAR(92))),"$",_xlfn.CONCAT(CHAR(92),"$")),CHAR(96),_xlfn.CONCAT(CHAR(92),CHAR(96))),CHAR(34),CHAR(39))))</f>
        <v/>
      </c>
      <c r="P350" s="5" t="str">
        <f>IF(OR(TRIM($B350)="",$F350=""),"",IF(OR(ISNUMBER(SEARCH(_xlfn.CONCAT(CHAR(96),CHAR(34)),$F350)),ISNUMBER(SEARCH(_xlfn.CONCAT(CHAR(34),CHAR(39)),$F350))),_xlfn.CONCAT("* REVIEW REQUIRED: compound-quote delimiter in Units on Sheet 1 row ",350,"; edit the input before running."),_xlfn.CONCAT("char ",TRIM($B350),"[doc_units] ",CHAR(96),CHAR(34),SUBSTITUTE(SUBSTITUTE(SUBSTITUTE(SUBSTITUTE(SUBSTITUTE(SUBSTITUTE($F350,CHAR(13)," "),CHAR(10)," "),CHAR(9)," "),CHAR(92),_xlfn.CONCAT(CHAR(92),CHAR(92))),"$",_xlfn.CONCAT(CHAR(92),"$")),CHAR(96),_xlfn.CONCAT(CHAR(92),CHAR(96))),CHAR(34),CHAR(39))))</f>
        <v/>
      </c>
      <c r="Q350" s="5" t="str">
        <f>IF(OR(TRIM($B350)="",$G350=""),"",IF(OR(ISNUMBER(SEARCH(_xlfn.CONCAT(CHAR(96),CHAR(34)),$G350)),ISNUMBER(SEARCH(_xlfn.CONCAT(CHAR(34),CHAR(39)),$G350))),_xlfn.CONCAT("* REVIEW REQUIRED: compound-quote delimiter in Universe on Sheet 1 row ",350,"; edit the input before running."),_xlfn.CONCAT("char ",TRIM($B350),"[doc_universe] ",CHAR(96),CHAR(34),SUBSTITUTE(SUBSTITUTE(SUBSTITUTE(SUBSTITUTE(SUBSTITUTE(SUBSTITUTE($G350,CHAR(13)," "),CHAR(10)," "),CHAR(9)," "),CHAR(92),_xlfn.CONCAT(CHAR(92),CHAR(92))),"$",_xlfn.CONCAT(CHAR(92),"$")),CHAR(96),_xlfn.CONCAT(CHAR(92),CHAR(96))),CHAR(34),CHAR(39))))</f>
        <v/>
      </c>
      <c r="R350" s="5" t="str">
        <f>IF(OR(TRIM($B350)="",$H350=""),"",IF(OR(ISNUMBER(SEARCH(_xlfn.CONCAT(CHAR(96),CHAR(34)),$H350)),ISNUMBER(SEARCH(_xlfn.CONCAT(CHAR(34),CHAR(39)),$H350))),_xlfn.CONCAT("* REVIEW REQUIRED: compound-quote delimiter in Source on Sheet 1 row ",350,"; edit the input before running."),_xlfn.CONCAT("char ",TRIM($B350),"[doc_source] ",CHAR(96),CHAR(34),SUBSTITUTE(SUBSTITUTE(SUBSTITUTE(SUBSTITUTE(SUBSTITUTE(SUBSTITUTE($H350,CHAR(13)," "),CHAR(10)," "),CHAR(9)," "),CHAR(92),_xlfn.CONCAT(CHAR(92),CHAR(92))),"$",_xlfn.CONCAT(CHAR(92),"$")),CHAR(96),_xlfn.CONCAT(CHAR(92),CHAR(96))),CHAR(34),CHAR(39))))</f>
        <v/>
      </c>
      <c r="S350" s="5" t="str">
        <f>IF(OR(TRIM($B350)="",$I350=""),"",IF(OR(ISNUMBER(SEARCH(_xlfn.CONCAT(CHAR(96),CHAR(34)),$I350)),ISNUMBER(SEARCH(_xlfn.CONCAT(CHAR(34),CHAR(39)),$I350))),_xlfn.CONCAT("* REVIEW REQUIRED: compound-quote delimiter in Derivation on Sheet 1 row ",350,"; edit the input before running."),_xlfn.CONCAT("char ",TRIM($B350),"[doc_derivation] ",CHAR(96),CHAR(34),SUBSTITUTE(SUBSTITUTE(SUBSTITUTE(SUBSTITUTE(SUBSTITUTE(SUBSTITUTE($I350,CHAR(13)," "),CHAR(10)," "),CHAR(9)," "),CHAR(92),_xlfn.CONCAT(CHAR(92),CHAR(92))),"$",_xlfn.CONCAT(CHAR(92),"$")),CHAR(96),_xlfn.CONCAT(CHAR(92),CHAR(96))),CHAR(34),CHAR(39))))</f>
        <v/>
      </c>
      <c r="T350" s="5" t="str">
        <f>IF(OR(TRIM($B350)="",$J350=""),"",IF(OR(ISNUMBER(SEARCH(_xlfn.CONCAT(CHAR(96),CHAR(34)),$J350)),ISNUMBER(SEARCH(_xlfn.CONCAT(CHAR(34),CHAR(39)),$J350))),_xlfn.CONCAT("* REVIEW REQUIRED: compound-quote delimiter in Notes on Sheet 1 row ",350,"; edit the input before running."),_xlfn.CONCAT("char ",TRIM($B350),"[doc_notes] ",CHAR(96),CHAR(34),SUBSTITUTE(SUBSTITUTE(SUBSTITUTE(SUBSTITUTE(SUBSTITUTE(SUBSTITUTE($J350,CHAR(13)," "),CHAR(10)," "),CHAR(9)," "),CHAR(92),_xlfn.CONCAT(CHAR(92),CHAR(92))),"$",_xlfn.CONCAT(CHAR(92),"$")),CHAR(96),_xlfn.CONCAT(CHAR(92),CHAR(96))),CHAR(34),CHAR(39))))</f>
        <v/>
      </c>
      <c r="U350" s="5">
        <f t="shared" si="11"/>
        <v>0</v>
      </c>
    </row>
    <row r="351" spans="3:21" ht="30" customHeight="1" x14ac:dyDescent="0.2">
      <c r="C351" s="4"/>
      <c r="K351" s="5">
        <f t="shared" si="10"/>
        <v>0</v>
      </c>
      <c r="L351" s="5" t="str">
        <f>IF(OR(TRIM($B351)="",$A351=""),"",IF(OR(ISNUMBER(SEARCH(_xlfn.CONCAT(CHAR(96),CHAR(34)),$A351)),ISNUMBER(SEARCH(_xlfn.CONCAT(CHAR(34),CHAR(39)),$A351))),_xlfn.CONCAT("* REVIEW REQUIRED: compound-quote delimiter in Codebook Section on Sheet 1 row ",351,"; edit the input before running."),_xlfn.CONCAT("char ",TRIM($B351),"[doc_section] ",CHAR(96),CHAR(34),SUBSTITUTE(SUBSTITUTE(SUBSTITUTE(SUBSTITUTE(SUBSTITUTE(SUBSTITUTE($A351,CHAR(13)," "),CHAR(10)," "),CHAR(9)," "),CHAR(92),_xlfn.CONCAT(CHAR(92),CHAR(92))),"$",_xlfn.CONCAT(CHAR(92),"$")),CHAR(96),_xlfn.CONCAT(CHAR(92),CHAR(96))),CHAR(34),CHAR(39))))</f>
        <v/>
      </c>
      <c r="M351" s="5" t="str">
        <f>IF(OR(TRIM($B351)="",$C351=""),"",IF(IFERROR(MATCH(TRIM($C351),{"Quantitative","Continuous","Discrete","Categorical","Nominal","Ordinal","Identifier"},0),0)=0,_xlfn.CONCAT("* REVIEW REQUIRED: invalid Variable Type on Sheet 1 row ",351,"."),_xlfn.CONCAT("char ",TRIM($B351),"[doc_vartype] ",CHAR(96),CHAR(34),SUBSTITUTE(SUBSTITUTE(SUBSTITUTE(SUBSTITUTE(SUBSTITUTE(SUBSTITUTE(LOWER(TRIM($C351)),CHAR(13)," "),CHAR(10)," "),CHAR(9)," "),CHAR(92),_xlfn.CONCAT(CHAR(92),CHAR(92))),"$",_xlfn.CONCAT(CHAR(92),"$")),CHAR(96),_xlfn.CONCAT(CHAR(92),CHAR(96))),CHAR(34),CHAR(39))))</f>
        <v/>
      </c>
      <c r="N351" s="5" t="str">
        <f>IF(OR(TRIM($B351)="",$D351=""),"",IF(OR(ISNUMBER(SEARCH(_xlfn.CONCAT(CHAR(96),CHAR(34)),$D351)),ISNUMBER(SEARCH(_xlfn.CONCAT(CHAR(34),CHAR(39)),$D351))),_xlfn.CONCAT("* REVIEW REQUIRED: compound-quote delimiter in Item Number on Sheet 1 row ",351,"; edit the input before running."),_xlfn.CONCAT("char ",TRIM($B351),"[doc_itemnum] ",CHAR(96),CHAR(34),SUBSTITUTE(SUBSTITUTE(SUBSTITUTE(SUBSTITUTE(SUBSTITUTE(SUBSTITUTE($D351,CHAR(13)," "),CHAR(10)," "),CHAR(9)," "),CHAR(92),_xlfn.CONCAT(CHAR(92),CHAR(92))),"$",_xlfn.CONCAT(CHAR(92),"$")),CHAR(96),_xlfn.CONCAT(CHAR(92),CHAR(96))),CHAR(34),CHAR(39))))</f>
        <v/>
      </c>
      <c r="O351" s="5" t="str">
        <f>IF(OR(TRIM($B351)="",$E351=""),"",IF(OR(ISNUMBER(SEARCH(_xlfn.CONCAT(CHAR(96),CHAR(34)),$E351)),ISNUMBER(SEARCH(_xlfn.CONCAT(CHAR(34),CHAR(39)),$E351))),_xlfn.CONCAT("* REVIEW REQUIRED: compound-quote delimiter in Question Wording on Sheet 1 row ",351,"; edit the input before running."),_xlfn.CONCAT("char ",TRIM($B351),"[doc_question] ",CHAR(96),CHAR(34),SUBSTITUTE(SUBSTITUTE(SUBSTITUTE(SUBSTITUTE(SUBSTITUTE(SUBSTITUTE($E351,CHAR(13)," "),CHAR(10)," "),CHAR(9)," "),CHAR(92),_xlfn.CONCAT(CHAR(92),CHAR(92))),"$",_xlfn.CONCAT(CHAR(92),"$")),CHAR(96),_xlfn.CONCAT(CHAR(92),CHAR(96))),CHAR(34),CHAR(39))))</f>
        <v/>
      </c>
      <c r="P351" s="5" t="str">
        <f>IF(OR(TRIM($B351)="",$F351=""),"",IF(OR(ISNUMBER(SEARCH(_xlfn.CONCAT(CHAR(96),CHAR(34)),$F351)),ISNUMBER(SEARCH(_xlfn.CONCAT(CHAR(34),CHAR(39)),$F351))),_xlfn.CONCAT("* REVIEW REQUIRED: compound-quote delimiter in Units on Sheet 1 row ",351,"; edit the input before running."),_xlfn.CONCAT("char ",TRIM($B351),"[doc_units] ",CHAR(96),CHAR(34),SUBSTITUTE(SUBSTITUTE(SUBSTITUTE(SUBSTITUTE(SUBSTITUTE(SUBSTITUTE($F351,CHAR(13)," "),CHAR(10)," "),CHAR(9)," "),CHAR(92),_xlfn.CONCAT(CHAR(92),CHAR(92))),"$",_xlfn.CONCAT(CHAR(92),"$")),CHAR(96),_xlfn.CONCAT(CHAR(92),CHAR(96))),CHAR(34),CHAR(39))))</f>
        <v/>
      </c>
      <c r="Q351" s="5" t="str">
        <f>IF(OR(TRIM($B351)="",$G351=""),"",IF(OR(ISNUMBER(SEARCH(_xlfn.CONCAT(CHAR(96),CHAR(34)),$G351)),ISNUMBER(SEARCH(_xlfn.CONCAT(CHAR(34),CHAR(39)),$G351))),_xlfn.CONCAT("* REVIEW REQUIRED: compound-quote delimiter in Universe on Sheet 1 row ",351,"; edit the input before running."),_xlfn.CONCAT("char ",TRIM($B351),"[doc_universe] ",CHAR(96),CHAR(34),SUBSTITUTE(SUBSTITUTE(SUBSTITUTE(SUBSTITUTE(SUBSTITUTE(SUBSTITUTE($G351,CHAR(13)," "),CHAR(10)," "),CHAR(9)," "),CHAR(92),_xlfn.CONCAT(CHAR(92),CHAR(92))),"$",_xlfn.CONCAT(CHAR(92),"$")),CHAR(96),_xlfn.CONCAT(CHAR(92),CHAR(96))),CHAR(34),CHAR(39))))</f>
        <v/>
      </c>
      <c r="R351" s="5" t="str">
        <f>IF(OR(TRIM($B351)="",$H351=""),"",IF(OR(ISNUMBER(SEARCH(_xlfn.CONCAT(CHAR(96),CHAR(34)),$H351)),ISNUMBER(SEARCH(_xlfn.CONCAT(CHAR(34),CHAR(39)),$H351))),_xlfn.CONCAT("* REVIEW REQUIRED: compound-quote delimiter in Source on Sheet 1 row ",351,"; edit the input before running."),_xlfn.CONCAT("char ",TRIM($B351),"[doc_source] ",CHAR(96),CHAR(34),SUBSTITUTE(SUBSTITUTE(SUBSTITUTE(SUBSTITUTE(SUBSTITUTE(SUBSTITUTE($H351,CHAR(13)," "),CHAR(10)," "),CHAR(9)," "),CHAR(92),_xlfn.CONCAT(CHAR(92),CHAR(92))),"$",_xlfn.CONCAT(CHAR(92),"$")),CHAR(96),_xlfn.CONCAT(CHAR(92),CHAR(96))),CHAR(34),CHAR(39))))</f>
        <v/>
      </c>
      <c r="S351" s="5" t="str">
        <f>IF(OR(TRIM($B351)="",$I351=""),"",IF(OR(ISNUMBER(SEARCH(_xlfn.CONCAT(CHAR(96),CHAR(34)),$I351)),ISNUMBER(SEARCH(_xlfn.CONCAT(CHAR(34),CHAR(39)),$I351))),_xlfn.CONCAT("* REVIEW REQUIRED: compound-quote delimiter in Derivation on Sheet 1 row ",351,"; edit the input before running."),_xlfn.CONCAT("char ",TRIM($B351),"[doc_derivation] ",CHAR(96),CHAR(34),SUBSTITUTE(SUBSTITUTE(SUBSTITUTE(SUBSTITUTE(SUBSTITUTE(SUBSTITUTE($I351,CHAR(13)," "),CHAR(10)," "),CHAR(9)," "),CHAR(92),_xlfn.CONCAT(CHAR(92),CHAR(92))),"$",_xlfn.CONCAT(CHAR(92),"$")),CHAR(96),_xlfn.CONCAT(CHAR(92),CHAR(96))),CHAR(34),CHAR(39))))</f>
        <v/>
      </c>
      <c r="T351" s="5" t="str">
        <f>IF(OR(TRIM($B351)="",$J351=""),"",IF(OR(ISNUMBER(SEARCH(_xlfn.CONCAT(CHAR(96),CHAR(34)),$J351)),ISNUMBER(SEARCH(_xlfn.CONCAT(CHAR(34),CHAR(39)),$J351))),_xlfn.CONCAT("* REVIEW REQUIRED: compound-quote delimiter in Notes on Sheet 1 row ",351,"; edit the input before running."),_xlfn.CONCAT("char ",TRIM($B351),"[doc_notes] ",CHAR(96),CHAR(34),SUBSTITUTE(SUBSTITUTE(SUBSTITUTE(SUBSTITUTE(SUBSTITUTE(SUBSTITUTE($J351,CHAR(13)," "),CHAR(10)," "),CHAR(9)," "),CHAR(92),_xlfn.CONCAT(CHAR(92),CHAR(92))),"$",_xlfn.CONCAT(CHAR(92),"$")),CHAR(96),_xlfn.CONCAT(CHAR(92),CHAR(96))),CHAR(34),CHAR(39))))</f>
        <v/>
      </c>
      <c r="U351" s="5">
        <f t="shared" si="11"/>
        <v>0</v>
      </c>
    </row>
    <row r="352" spans="3:21" ht="30" customHeight="1" x14ac:dyDescent="0.2">
      <c r="C352" s="4"/>
      <c r="K352" s="5">
        <f t="shared" si="10"/>
        <v>0</v>
      </c>
      <c r="L352" s="5" t="str">
        <f>IF(OR(TRIM($B352)="",$A352=""),"",IF(OR(ISNUMBER(SEARCH(_xlfn.CONCAT(CHAR(96),CHAR(34)),$A352)),ISNUMBER(SEARCH(_xlfn.CONCAT(CHAR(34),CHAR(39)),$A352))),_xlfn.CONCAT("* REVIEW REQUIRED: compound-quote delimiter in Codebook Section on Sheet 1 row ",352,"; edit the input before running."),_xlfn.CONCAT("char ",TRIM($B352),"[doc_section] ",CHAR(96),CHAR(34),SUBSTITUTE(SUBSTITUTE(SUBSTITUTE(SUBSTITUTE(SUBSTITUTE(SUBSTITUTE($A352,CHAR(13)," "),CHAR(10)," "),CHAR(9)," "),CHAR(92),_xlfn.CONCAT(CHAR(92),CHAR(92))),"$",_xlfn.CONCAT(CHAR(92),"$")),CHAR(96),_xlfn.CONCAT(CHAR(92),CHAR(96))),CHAR(34),CHAR(39))))</f>
        <v/>
      </c>
      <c r="M352" s="5" t="str">
        <f>IF(OR(TRIM($B352)="",$C352=""),"",IF(IFERROR(MATCH(TRIM($C352),{"Quantitative","Continuous","Discrete","Categorical","Nominal","Ordinal","Identifier"},0),0)=0,_xlfn.CONCAT("* REVIEW REQUIRED: invalid Variable Type on Sheet 1 row ",352,"."),_xlfn.CONCAT("char ",TRIM($B352),"[doc_vartype] ",CHAR(96),CHAR(34),SUBSTITUTE(SUBSTITUTE(SUBSTITUTE(SUBSTITUTE(SUBSTITUTE(SUBSTITUTE(LOWER(TRIM($C352)),CHAR(13)," "),CHAR(10)," "),CHAR(9)," "),CHAR(92),_xlfn.CONCAT(CHAR(92),CHAR(92))),"$",_xlfn.CONCAT(CHAR(92),"$")),CHAR(96),_xlfn.CONCAT(CHAR(92),CHAR(96))),CHAR(34),CHAR(39))))</f>
        <v/>
      </c>
      <c r="N352" s="5" t="str">
        <f>IF(OR(TRIM($B352)="",$D352=""),"",IF(OR(ISNUMBER(SEARCH(_xlfn.CONCAT(CHAR(96),CHAR(34)),$D352)),ISNUMBER(SEARCH(_xlfn.CONCAT(CHAR(34),CHAR(39)),$D352))),_xlfn.CONCAT("* REVIEW REQUIRED: compound-quote delimiter in Item Number on Sheet 1 row ",352,"; edit the input before running."),_xlfn.CONCAT("char ",TRIM($B352),"[doc_itemnum] ",CHAR(96),CHAR(34),SUBSTITUTE(SUBSTITUTE(SUBSTITUTE(SUBSTITUTE(SUBSTITUTE(SUBSTITUTE($D352,CHAR(13)," "),CHAR(10)," "),CHAR(9)," "),CHAR(92),_xlfn.CONCAT(CHAR(92),CHAR(92))),"$",_xlfn.CONCAT(CHAR(92),"$")),CHAR(96),_xlfn.CONCAT(CHAR(92),CHAR(96))),CHAR(34),CHAR(39))))</f>
        <v/>
      </c>
      <c r="O352" s="5" t="str">
        <f>IF(OR(TRIM($B352)="",$E352=""),"",IF(OR(ISNUMBER(SEARCH(_xlfn.CONCAT(CHAR(96),CHAR(34)),$E352)),ISNUMBER(SEARCH(_xlfn.CONCAT(CHAR(34),CHAR(39)),$E352))),_xlfn.CONCAT("* REVIEW REQUIRED: compound-quote delimiter in Question Wording on Sheet 1 row ",352,"; edit the input before running."),_xlfn.CONCAT("char ",TRIM($B352),"[doc_question] ",CHAR(96),CHAR(34),SUBSTITUTE(SUBSTITUTE(SUBSTITUTE(SUBSTITUTE(SUBSTITUTE(SUBSTITUTE($E352,CHAR(13)," "),CHAR(10)," "),CHAR(9)," "),CHAR(92),_xlfn.CONCAT(CHAR(92),CHAR(92))),"$",_xlfn.CONCAT(CHAR(92),"$")),CHAR(96),_xlfn.CONCAT(CHAR(92),CHAR(96))),CHAR(34),CHAR(39))))</f>
        <v/>
      </c>
      <c r="P352" s="5" t="str">
        <f>IF(OR(TRIM($B352)="",$F352=""),"",IF(OR(ISNUMBER(SEARCH(_xlfn.CONCAT(CHAR(96),CHAR(34)),$F352)),ISNUMBER(SEARCH(_xlfn.CONCAT(CHAR(34),CHAR(39)),$F352))),_xlfn.CONCAT("* REVIEW REQUIRED: compound-quote delimiter in Units on Sheet 1 row ",352,"; edit the input before running."),_xlfn.CONCAT("char ",TRIM($B352),"[doc_units] ",CHAR(96),CHAR(34),SUBSTITUTE(SUBSTITUTE(SUBSTITUTE(SUBSTITUTE(SUBSTITUTE(SUBSTITUTE($F352,CHAR(13)," "),CHAR(10)," "),CHAR(9)," "),CHAR(92),_xlfn.CONCAT(CHAR(92),CHAR(92))),"$",_xlfn.CONCAT(CHAR(92),"$")),CHAR(96),_xlfn.CONCAT(CHAR(92),CHAR(96))),CHAR(34),CHAR(39))))</f>
        <v/>
      </c>
      <c r="Q352" s="5" t="str">
        <f>IF(OR(TRIM($B352)="",$G352=""),"",IF(OR(ISNUMBER(SEARCH(_xlfn.CONCAT(CHAR(96),CHAR(34)),$G352)),ISNUMBER(SEARCH(_xlfn.CONCAT(CHAR(34),CHAR(39)),$G352))),_xlfn.CONCAT("* REVIEW REQUIRED: compound-quote delimiter in Universe on Sheet 1 row ",352,"; edit the input before running."),_xlfn.CONCAT("char ",TRIM($B352),"[doc_universe] ",CHAR(96),CHAR(34),SUBSTITUTE(SUBSTITUTE(SUBSTITUTE(SUBSTITUTE(SUBSTITUTE(SUBSTITUTE($G352,CHAR(13)," "),CHAR(10)," "),CHAR(9)," "),CHAR(92),_xlfn.CONCAT(CHAR(92),CHAR(92))),"$",_xlfn.CONCAT(CHAR(92),"$")),CHAR(96),_xlfn.CONCAT(CHAR(92),CHAR(96))),CHAR(34),CHAR(39))))</f>
        <v/>
      </c>
      <c r="R352" s="5" t="str">
        <f>IF(OR(TRIM($B352)="",$H352=""),"",IF(OR(ISNUMBER(SEARCH(_xlfn.CONCAT(CHAR(96),CHAR(34)),$H352)),ISNUMBER(SEARCH(_xlfn.CONCAT(CHAR(34),CHAR(39)),$H352))),_xlfn.CONCAT("* REVIEW REQUIRED: compound-quote delimiter in Source on Sheet 1 row ",352,"; edit the input before running."),_xlfn.CONCAT("char ",TRIM($B352),"[doc_source] ",CHAR(96),CHAR(34),SUBSTITUTE(SUBSTITUTE(SUBSTITUTE(SUBSTITUTE(SUBSTITUTE(SUBSTITUTE($H352,CHAR(13)," "),CHAR(10)," "),CHAR(9)," "),CHAR(92),_xlfn.CONCAT(CHAR(92),CHAR(92))),"$",_xlfn.CONCAT(CHAR(92),"$")),CHAR(96),_xlfn.CONCAT(CHAR(92),CHAR(96))),CHAR(34),CHAR(39))))</f>
        <v/>
      </c>
      <c r="S352" s="5" t="str">
        <f>IF(OR(TRIM($B352)="",$I352=""),"",IF(OR(ISNUMBER(SEARCH(_xlfn.CONCAT(CHAR(96),CHAR(34)),$I352)),ISNUMBER(SEARCH(_xlfn.CONCAT(CHAR(34),CHAR(39)),$I352))),_xlfn.CONCAT("* REVIEW REQUIRED: compound-quote delimiter in Derivation on Sheet 1 row ",352,"; edit the input before running."),_xlfn.CONCAT("char ",TRIM($B352),"[doc_derivation] ",CHAR(96),CHAR(34),SUBSTITUTE(SUBSTITUTE(SUBSTITUTE(SUBSTITUTE(SUBSTITUTE(SUBSTITUTE($I352,CHAR(13)," "),CHAR(10)," "),CHAR(9)," "),CHAR(92),_xlfn.CONCAT(CHAR(92),CHAR(92))),"$",_xlfn.CONCAT(CHAR(92),"$")),CHAR(96),_xlfn.CONCAT(CHAR(92),CHAR(96))),CHAR(34),CHAR(39))))</f>
        <v/>
      </c>
      <c r="T352" s="5" t="str">
        <f>IF(OR(TRIM($B352)="",$J352=""),"",IF(OR(ISNUMBER(SEARCH(_xlfn.CONCAT(CHAR(96),CHAR(34)),$J352)),ISNUMBER(SEARCH(_xlfn.CONCAT(CHAR(34),CHAR(39)),$J352))),_xlfn.CONCAT("* REVIEW REQUIRED: compound-quote delimiter in Notes on Sheet 1 row ",352,"; edit the input before running."),_xlfn.CONCAT("char ",TRIM($B352),"[doc_notes] ",CHAR(96),CHAR(34),SUBSTITUTE(SUBSTITUTE(SUBSTITUTE(SUBSTITUTE(SUBSTITUTE(SUBSTITUTE($J352,CHAR(13)," "),CHAR(10)," "),CHAR(9)," "),CHAR(92),_xlfn.CONCAT(CHAR(92),CHAR(92))),"$",_xlfn.CONCAT(CHAR(92),"$")),CHAR(96),_xlfn.CONCAT(CHAR(92),CHAR(96))),CHAR(34),CHAR(39))))</f>
        <v/>
      </c>
      <c r="U352" s="5">
        <f t="shared" si="11"/>
        <v>0</v>
      </c>
    </row>
    <row r="353" spans="3:21" ht="30" customHeight="1" x14ac:dyDescent="0.2">
      <c r="C353" s="4"/>
      <c r="K353" s="5">
        <f t="shared" si="10"/>
        <v>0</v>
      </c>
      <c r="L353" s="5" t="str">
        <f>IF(OR(TRIM($B353)="",$A353=""),"",IF(OR(ISNUMBER(SEARCH(_xlfn.CONCAT(CHAR(96),CHAR(34)),$A353)),ISNUMBER(SEARCH(_xlfn.CONCAT(CHAR(34),CHAR(39)),$A353))),_xlfn.CONCAT("* REVIEW REQUIRED: compound-quote delimiter in Codebook Section on Sheet 1 row ",353,"; edit the input before running."),_xlfn.CONCAT("char ",TRIM($B353),"[doc_section] ",CHAR(96),CHAR(34),SUBSTITUTE(SUBSTITUTE(SUBSTITUTE(SUBSTITUTE(SUBSTITUTE(SUBSTITUTE($A353,CHAR(13)," "),CHAR(10)," "),CHAR(9)," "),CHAR(92),_xlfn.CONCAT(CHAR(92),CHAR(92))),"$",_xlfn.CONCAT(CHAR(92),"$")),CHAR(96),_xlfn.CONCAT(CHAR(92),CHAR(96))),CHAR(34),CHAR(39))))</f>
        <v/>
      </c>
      <c r="M353" s="5" t="str">
        <f>IF(OR(TRIM($B353)="",$C353=""),"",IF(IFERROR(MATCH(TRIM($C353),{"Quantitative","Continuous","Discrete","Categorical","Nominal","Ordinal","Identifier"},0),0)=0,_xlfn.CONCAT("* REVIEW REQUIRED: invalid Variable Type on Sheet 1 row ",353,"."),_xlfn.CONCAT("char ",TRIM($B353),"[doc_vartype] ",CHAR(96),CHAR(34),SUBSTITUTE(SUBSTITUTE(SUBSTITUTE(SUBSTITUTE(SUBSTITUTE(SUBSTITUTE(LOWER(TRIM($C353)),CHAR(13)," "),CHAR(10)," "),CHAR(9)," "),CHAR(92),_xlfn.CONCAT(CHAR(92),CHAR(92))),"$",_xlfn.CONCAT(CHAR(92),"$")),CHAR(96),_xlfn.CONCAT(CHAR(92),CHAR(96))),CHAR(34),CHAR(39))))</f>
        <v/>
      </c>
      <c r="N353" s="5" t="str">
        <f>IF(OR(TRIM($B353)="",$D353=""),"",IF(OR(ISNUMBER(SEARCH(_xlfn.CONCAT(CHAR(96),CHAR(34)),$D353)),ISNUMBER(SEARCH(_xlfn.CONCAT(CHAR(34),CHAR(39)),$D353))),_xlfn.CONCAT("* REVIEW REQUIRED: compound-quote delimiter in Item Number on Sheet 1 row ",353,"; edit the input before running."),_xlfn.CONCAT("char ",TRIM($B353),"[doc_itemnum] ",CHAR(96),CHAR(34),SUBSTITUTE(SUBSTITUTE(SUBSTITUTE(SUBSTITUTE(SUBSTITUTE(SUBSTITUTE($D353,CHAR(13)," "),CHAR(10)," "),CHAR(9)," "),CHAR(92),_xlfn.CONCAT(CHAR(92),CHAR(92))),"$",_xlfn.CONCAT(CHAR(92),"$")),CHAR(96),_xlfn.CONCAT(CHAR(92),CHAR(96))),CHAR(34),CHAR(39))))</f>
        <v/>
      </c>
      <c r="O353" s="5" t="str">
        <f>IF(OR(TRIM($B353)="",$E353=""),"",IF(OR(ISNUMBER(SEARCH(_xlfn.CONCAT(CHAR(96),CHAR(34)),$E353)),ISNUMBER(SEARCH(_xlfn.CONCAT(CHAR(34),CHAR(39)),$E353))),_xlfn.CONCAT("* REVIEW REQUIRED: compound-quote delimiter in Question Wording on Sheet 1 row ",353,"; edit the input before running."),_xlfn.CONCAT("char ",TRIM($B353),"[doc_question] ",CHAR(96),CHAR(34),SUBSTITUTE(SUBSTITUTE(SUBSTITUTE(SUBSTITUTE(SUBSTITUTE(SUBSTITUTE($E353,CHAR(13)," "),CHAR(10)," "),CHAR(9)," "),CHAR(92),_xlfn.CONCAT(CHAR(92),CHAR(92))),"$",_xlfn.CONCAT(CHAR(92),"$")),CHAR(96),_xlfn.CONCAT(CHAR(92),CHAR(96))),CHAR(34),CHAR(39))))</f>
        <v/>
      </c>
      <c r="P353" s="5" t="str">
        <f>IF(OR(TRIM($B353)="",$F353=""),"",IF(OR(ISNUMBER(SEARCH(_xlfn.CONCAT(CHAR(96),CHAR(34)),$F353)),ISNUMBER(SEARCH(_xlfn.CONCAT(CHAR(34),CHAR(39)),$F353))),_xlfn.CONCAT("* REVIEW REQUIRED: compound-quote delimiter in Units on Sheet 1 row ",353,"; edit the input before running."),_xlfn.CONCAT("char ",TRIM($B353),"[doc_units] ",CHAR(96),CHAR(34),SUBSTITUTE(SUBSTITUTE(SUBSTITUTE(SUBSTITUTE(SUBSTITUTE(SUBSTITUTE($F353,CHAR(13)," "),CHAR(10)," "),CHAR(9)," "),CHAR(92),_xlfn.CONCAT(CHAR(92),CHAR(92))),"$",_xlfn.CONCAT(CHAR(92),"$")),CHAR(96),_xlfn.CONCAT(CHAR(92),CHAR(96))),CHAR(34),CHAR(39))))</f>
        <v/>
      </c>
      <c r="Q353" s="5" t="str">
        <f>IF(OR(TRIM($B353)="",$G353=""),"",IF(OR(ISNUMBER(SEARCH(_xlfn.CONCAT(CHAR(96),CHAR(34)),$G353)),ISNUMBER(SEARCH(_xlfn.CONCAT(CHAR(34),CHAR(39)),$G353))),_xlfn.CONCAT("* REVIEW REQUIRED: compound-quote delimiter in Universe on Sheet 1 row ",353,"; edit the input before running."),_xlfn.CONCAT("char ",TRIM($B353),"[doc_universe] ",CHAR(96),CHAR(34),SUBSTITUTE(SUBSTITUTE(SUBSTITUTE(SUBSTITUTE(SUBSTITUTE(SUBSTITUTE($G353,CHAR(13)," "),CHAR(10)," "),CHAR(9)," "),CHAR(92),_xlfn.CONCAT(CHAR(92),CHAR(92))),"$",_xlfn.CONCAT(CHAR(92),"$")),CHAR(96),_xlfn.CONCAT(CHAR(92),CHAR(96))),CHAR(34),CHAR(39))))</f>
        <v/>
      </c>
      <c r="R353" s="5" t="str">
        <f>IF(OR(TRIM($B353)="",$H353=""),"",IF(OR(ISNUMBER(SEARCH(_xlfn.CONCAT(CHAR(96),CHAR(34)),$H353)),ISNUMBER(SEARCH(_xlfn.CONCAT(CHAR(34),CHAR(39)),$H353))),_xlfn.CONCAT("* REVIEW REQUIRED: compound-quote delimiter in Source on Sheet 1 row ",353,"; edit the input before running."),_xlfn.CONCAT("char ",TRIM($B353),"[doc_source] ",CHAR(96),CHAR(34),SUBSTITUTE(SUBSTITUTE(SUBSTITUTE(SUBSTITUTE(SUBSTITUTE(SUBSTITUTE($H353,CHAR(13)," "),CHAR(10)," "),CHAR(9)," "),CHAR(92),_xlfn.CONCAT(CHAR(92),CHAR(92))),"$",_xlfn.CONCAT(CHAR(92),"$")),CHAR(96),_xlfn.CONCAT(CHAR(92),CHAR(96))),CHAR(34),CHAR(39))))</f>
        <v/>
      </c>
      <c r="S353" s="5" t="str">
        <f>IF(OR(TRIM($B353)="",$I353=""),"",IF(OR(ISNUMBER(SEARCH(_xlfn.CONCAT(CHAR(96),CHAR(34)),$I353)),ISNUMBER(SEARCH(_xlfn.CONCAT(CHAR(34),CHAR(39)),$I353))),_xlfn.CONCAT("* REVIEW REQUIRED: compound-quote delimiter in Derivation on Sheet 1 row ",353,"; edit the input before running."),_xlfn.CONCAT("char ",TRIM($B353),"[doc_derivation] ",CHAR(96),CHAR(34),SUBSTITUTE(SUBSTITUTE(SUBSTITUTE(SUBSTITUTE(SUBSTITUTE(SUBSTITUTE($I353,CHAR(13)," "),CHAR(10)," "),CHAR(9)," "),CHAR(92),_xlfn.CONCAT(CHAR(92),CHAR(92))),"$",_xlfn.CONCAT(CHAR(92),"$")),CHAR(96),_xlfn.CONCAT(CHAR(92),CHAR(96))),CHAR(34),CHAR(39))))</f>
        <v/>
      </c>
      <c r="T353" s="5" t="str">
        <f>IF(OR(TRIM($B353)="",$J353=""),"",IF(OR(ISNUMBER(SEARCH(_xlfn.CONCAT(CHAR(96),CHAR(34)),$J353)),ISNUMBER(SEARCH(_xlfn.CONCAT(CHAR(34),CHAR(39)),$J353))),_xlfn.CONCAT("* REVIEW REQUIRED: compound-quote delimiter in Notes on Sheet 1 row ",353,"; edit the input before running."),_xlfn.CONCAT("char ",TRIM($B353),"[doc_notes] ",CHAR(96),CHAR(34),SUBSTITUTE(SUBSTITUTE(SUBSTITUTE(SUBSTITUTE(SUBSTITUTE(SUBSTITUTE($J353,CHAR(13)," "),CHAR(10)," "),CHAR(9)," "),CHAR(92),_xlfn.CONCAT(CHAR(92),CHAR(92))),"$",_xlfn.CONCAT(CHAR(92),"$")),CHAR(96),_xlfn.CONCAT(CHAR(92),CHAR(96))),CHAR(34),CHAR(39))))</f>
        <v/>
      </c>
      <c r="U353" s="5">
        <f t="shared" si="11"/>
        <v>0</v>
      </c>
    </row>
    <row r="354" spans="3:21" ht="30" customHeight="1" x14ac:dyDescent="0.2">
      <c r="C354" s="4"/>
      <c r="K354" s="5">
        <f t="shared" si="10"/>
        <v>0</v>
      </c>
      <c r="L354" s="5" t="str">
        <f>IF(OR(TRIM($B354)="",$A354=""),"",IF(OR(ISNUMBER(SEARCH(_xlfn.CONCAT(CHAR(96),CHAR(34)),$A354)),ISNUMBER(SEARCH(_xlfn.CONCAT(CHAR(34),CHAR(39)),$A354))),_xlfn.CONCAT("* REVIEW REQUIRED: compound-quote delimiter in Codebook Section on Sheet 1 row ",354,"; edit the input before running."),_xlfn.CONCAT("char ",TRIM($B354),"[doc_section] ",CHAR(96),CHAR(34),SUBSTITUTE(SUBSTITUTE(SUBSTITUTE(SUBSTITUTE(SUBSTITUTE(SUBSTITUTE($A354,CHAR(13)," "),CHAR(10)," "),CHAR(9)," "),CHAR(92),_xlfn.CONCAT(CHAR(92),CHAR(92))),"$",_xlfn.CONCAT(CHAR(92),"$")),CHAR(96),_xlfn.CONCAT(CHAR(92),CHAR(96))),CHAR(34),CHAR(39))))</f>
        <v/>
      </c>
      <c r="M354" s="5" t="str">
        <f>IF(OR(TRIM($B354)="",$C354=""),"",IF(IFERROR(MATCH(TRIM($C354),{"Quantitative","Continuous","Discrete","Categorical","Nominal","Ordinal","Identifier"},0),0)=0,_xlfn.CONCAT("* REVIEW REQUIRED: invalid Variable Type on Sheet 1 row ",354,"."),_xlfn.CONCAT("char ",TRIM($B354),"[doc_vartype] ",CHAR(96),CHAR(34),SUBSTITUTE(SUBSTITUTE(SUBSTITUTE(SUBSTITUTE(SUBSTITUTE(SUBSTITUTE(LOWER(TRIM($C354)),CHAR(13)," "),CHAR(10)," "),CHAR(9)," "),CHAR(92),_xlfn.CONCAT(CHAR(92),CHAR(92))),"$",_xlfn.CONCAT(CHAR(92),"$")),CHAR(96),_xlfn.CONCAT(CHAR(92),CHAR(96))),CHAR(34),CHAR(39))))</f>
        <v/>
      </c>
      <c r="N354" s="5" t="str">
        <f>IF(OR(TRIM($B354)="",$D354=""),"",IF(OR(ISNUMBER(SEARCH(_xlfn.CONCAT(CHAR(96),CHAR(34)),$D354)),ISNUMBER(SEARCH(_xlfn.CONCAT(CHAR(34),CHAR(39)),$D354))),_xlfn.CONCAT("* REVIEW REQUIRED: compound-quote delimiter in Item Number on Sheet 1 row ",354,"; edit the input before running."),_xlfn.CONCAT("char ",TRIM($B354),"[doc_itemnum] ",CHAR(96),CHAR(34),SUBSTITUTE(SUBSTITUTE(SUBSTITUTE(SUBSTITUTE(SUBSTITUTE(SUBSTITUTE($D354,CHAR(13)," "),CHAR(10)," "),CHAR(9)," "),CHAR(92),_xlfn.CONCAT(CHAR(92),CHAR(92))),"$",_xlfn.CONCAT(CHAR(92),"$")),CHAR(96),_xlfn.CONCAT(CHAR(92),CHAR(96))),CHAR(34),CHAR(39))))</f>
        <v/>
      </c>
      <c r="O354" s="5" t="str">
        <f>IF(OR(TRIM($B354)="",$E354=""),"",IF(OR(ISNUMBER(SEARCH(_xlfn.CONCAT(CHAR(96),CHAR(34)),$E354)),ISNUMBER(SEARCH(_xlfn.CONCAT(CHAR(34),CHAR(39)),$E354))),_xlfn.CONCAT("* REVIEW REQUIRED: compound-quote delimiter in Question Wording on Sheet 1 row ",354,"; edit the input before running."),_xlfn.CONCAT("char ",TRIM($B354),"[doc_question] ",CHAR(96),CHAR(34),SUBSTITUTE(SUBSTITUTE(SUBSTITUTE(SUBSTITUTE(SUBSTITUTE(SUBSTITUTE($E354,CHAR(13)," "),CHAR(10)," "),CHAR(9)," "),CHAR(92),_xlfn.CONCAT(CHAR(92),CHAR(92))),"$",_xlfn.CONCAT(CHAR(92),"$")),CHAR(96),_xlfn.CONCAT(CHAR(92),CHAR(96))),CHAR(34),CHAR(39))))</f>
        <v/>
      </c>
      <c r="P354" s="5" t="str">
        <f>IF(OR(TRIM($B354)="",$F354=""),"",IF(OR(ISNUMBER(SEARCH(_xlfn.CONCAT(CHAR(96),CHAR(34)),$F354)),ISNUMBER(SEARCH(_xlfn.CONCAT(CHAR(34),CHAR(39)),$F354))),_xlfn.CONCAT("* REVIEW REQUIRED: compound-quote delimiter in Units on Sheet 1 row ",354,"; edit the input before running."),_xlfn.CONCAT("char ",TRIM($B354),"[doc_units] ",CHAR(96),CHAR(34),SUBSTITUTE(SUBSTITUTE(SUBSTITUTE(SUBSTITUTE(SUBSTITUTE(SUBSTITUTE($F354,CHAR(13)," "),CHAR(10)," "),CHAR(9)," "),CHAR(92),_xlfn.CONCAT(CHAR(92),CHAR(92))),"$",_xlfn.CONCAT(CHAR(92),"$")),CHAR(96),_xlfn.CONCAT(CHAR(92),CHAR(96))),CHAR(34),CHAR(39))))</f>
        <v/>
      </c>
      <c r="Q354" s="5" t="str">
        <f>IF(OR(TRIM($B354)="",$G354=""),"",IF(OR(ISNUMBER(SEARCH(_xlfn.CONCAT(CHAR(96),CHAR(34)),$G354)),ISNUMBER(SEARCH(_xlfn.CONCAT(CHAR(34),CHAR(39)),$G354))),_xlfn.CONCAT("* REVIEW REQUIRED: compound-quote delimiter in Universe on Sheet 1 row ",354,"; edit the input before running."),_xlfn.CONCAT("char ",TRIM($B354),"[doc_universe] ",CHAR(96),CHAR(34),SUBSTITUTE(SUBSTITUTE(SUBSTITUTE(SUBSTITUTE(SUBSTITUTE(SUBSTITUTE($G354,CHAR(13)," "),CHAR(10)," "),CHAR(9)," "),CHAR(92),_xlfn.CONCAT(CHAR(92),CHAR(92))),"$",_xlfn.CONCAT(CHAR(92),"$")),CHAR(96),_xlfn.CONCAT(CHAR(92),CHAR(96))),CHAR(34),CHAR(39))))</f>
        <v/>
      </c>
      <c r="R354" s="5" t="str">
        <f>IF(OR(TRIM($B354)="",$H354=""),"",IF(OR(ISNUMBER(SEARCH(_xlfn.CONCAT(CHAR(96),CHAR(34)),$H354)),ISNUMBER(SEARCH(_xlfn.CONCAT(CHAR(34),CHAR(39)),$H354))),_xlfn.CONCAT("* REVIEW REQUIRED: compound-quote delimiter in Source on Sheet 1 row ",354,"; edit the input before running."),_xlfn.CONCAT("char ",TRIM($B354),"[doc_source] ",CHAR(96),CHAR(34),SUBSTITUTE(SUBSTITUTE(SUBSTITUTE(SUBSTITUTE(SUBSTITUTE(SUBSTITUTE($H354,CHAR(13)," "),CHAR(10)," "),CHAR(9)," "),CHAR(92),_xlfn.CONCAT(CHAR(92),CHAR(92))),"$",_xlfn.CONCAT(CHAR(92),"$")),CHAR(96),_xlfn.CONCAT(CHAR(92),CHAR(96))),CHAR(34),CHAR(39))))</f>
        <v/>
      </c>
      <c r="S354" s="5" t="str">
        <f>IF(OR(TRIM($B354)="",$I354=""),"",IF(OR(ISNUMBER(SEARCH(_xlfn.CONCAT(CHAR(96),CHAR(34)),$I354)),ISNUMBER(SEARCH(_xlfn.CONCAT(CHAR(34),CHAR(39)),$I354))),_xlfn.CONCAT("* REVIEW REQUIRED: compound-quote delimiter in Derivation on Sheet 1 row ",354,"; edit the input before running."),_xlfn.CONCAT("char ",TRIM($B354),"[doc_derivation] ",CHAR(96),CHAR(34),SUBSTITUTE(SUBSTITUTE(SUBSTITUTE(SUBSTITUTE(SUBSTITUTE(SUBSTITUTE($I354,CHAR(13)," "),CHAR(10)," "),CHAR(9)," "),CHAR(92),_xlfn.CONCAT(CHAR(92),CHAR(92))),"$",_xlfn.CONCAT(CHAR(92),"$")),CHAR(96),_xlfn.CONCAT(CHAR(92),CHAR(96))),CHAR(34),CHAR(39))))</f>
        <v/>
      </c>
      <c r="T354" s="5" t="str">
        <f>IF(OR(TRIM($B354)="",$J354=""),"",IF(OR(ISNUMBER(SEARCH(_xlfn.CONCAT(CHAR(96),CHAR(34)),$J354)),ISNUMBER(SEARCH(_xlfn.CONCAT(CHAR(34),CHAR(39)),$J354))),_xlfn.CONCAT("* REVIEW REQUIRED: compound-quote delimiter in Notes on Sheet 1 row ",354,"; edit the input before running."),_xlfn.CONCAT("char ",TRIM($B354),"[doc_notes] ",CHAR(96),CHAR(34),SUBSTITUTE(SUBSTITUTE(SUBSTITUTE(SUBSTITUTE(SUBSTITUTE(SUBSTITUTE($J354,CHAR(13)," "),CHAR(10)," "),CHAR(9)," "),CHAR(92),_xlfn.CONCAT(CHAR(92),CHAR(92))),"$",_xlfn.CONCAT(CHAR(92),"$")),CHAR(96),_xlfn.CONCAT(CHAR(92),CHAR(96))),CHAR(34),CHAR(39))))</f>
        <v/>
      </c>
      <c r="U354" s="5">
        <f t="shared" si="11"/>
        <v>0</v>
      </c>
    </row>
    <row r="355" spans="3:21" ht="30" customHeight="1" x14ac:dyDescent="0.2">
      <c r="C355" s="4"/>
      <c r="K355" s="5">
        <f t="shared" si="10"/>
        <v>0</v>
      </c>
      <c r="L355" s="5" t="str">
        <f>IF(OR(TRIM($B355)="",$A355=""),"",IF(OR(ISNUMBER(SEARCH(_xlfn.CONCAT(CHAR(96),CHAR(34)),$A355)),ISNUMBER(SEARCH(_xlfn.CONCAT(CHAR(34),CHAR(39)),$A355))),_xlfn.CONCAT("* REVIEW REQUIRED: compound-quote delimiter in Codebook Section on Sheet 1 row ",355,"; edit the input before running."),_xlfn.CONCAT("char ",TRIM($B355),"[doc_section] ",CHAR(96),CHAR(34),SUBSTITUTE(SUBSTITUTE(SUBSTITUTE(SUBSTITUTE(SUBSTITUTE(SUBSTITUTE($A355,CHAR(13)," "),CHAR(10)," "),CHAR(9)," "),CHAR(92),_xlfn.CONCAT(CHAR(92),CHAR(92))),"$",_xlfn.CONCAT(CHAR(92),"$")),CHAR(96),_xlfn.CONCAT(CHAR(92),CHAR(96))),CHAR(34),CHAR(39))))</f>
        <v/>
      </c>
      <c r="M355" s="5" t="str">
        <f>IF(OR(TRIM($B355)="",$C355=""),"",IF(IFERROR(MATCH(TRIM($C355),{"Quantitative","Continuous","Discrete","Categorical","Nominal","Ordinal","Identifier"},0),0)=0,_xlfn.CONCAT("* REVIEW REQUIRED: invalid Variable Type on Sheet 1 row ",355,"."),_xlfn.CONCAT("char ",TRIM($B355),"[doc_vartype] ",CHAR(96),CHAR(34),SUBSTITUTE(SUBSTITUTE(SUBSTITUTE(SUBSTITUTE(SUBSTITUTE(SUBSTITUTE(LOWER(TRIM($C355)),CHAR(13)," "),CHAR(10)," "),CHAR(9)," "),CHAR(92),_xlfn.CONCAT(CHAR(92),CHAR(92))),"$",_xlfn.CONCAT(CHAR(92),"$")),CHAR(96),_xlfn.CONCAT(CHAR(92),CHAR(96))),CHAR(34),CHAR(39))))</f>
        <v/>
      </c>
      <c r="N355" s="5" t="str">
        <f>IF(OR(TRIM($B355)="",$D355=""),"",IF(OR(ISNUMBER(SEARCH(_xlfn.CONCAT(CHAR(96),CHAR(34)),$D355)),ISNUMBER(SEARCH(_xlfn.CONCAT(CHAR(34),CHAR(39)),$D355))),_xlfn.CONCAT("* REVIEW REQUIRED: compound-quote delimiter in Item Number on Sheet 1 row ",355,"; edit the input before running."),_xlfn.CONCAT("char ",TRIM($B355),"[doc_itemnum] ",CHAR(96),CHAR(34),SUBSTITUTE(SUBSTITUTE(SUBSTITUTE(SUBSTITUTE(SUBSTITUTE(SUBSTITUTE($D355,CHAR(13)," "),CHAR(10)," "),CHAR(9)," "),CHAR(92),_xlfn.CONCAT(CHAR(92),CHAR(92))),"$",_xlfn.CONCAT(CHAR(92),"$")),CHAR(96),_xlfn.CONCAT(CHAR(92),CHAR(96))),CHAR(34),CHAR(39))))</f>
        <v/>
      </c>
      <c r="O355" s="5" t="str">
        <f>IF(OR(TRIM($B355)="",$E355=""),"",IF(OR(ISNUMBER(SEARCH(_xlfn.CONCAT(CHAR(96),CHAR(34)),$E355)),ISNUMBER(SEARCH(_xlfn.CONCAT(CHAR(34),CHAR(39)),$E355))),_xlfn.CONCAT("* REVIEW REQUIRED: compound-quote delimiter in Question Wording on Sheet 1 row ",355,"; edit the input before running."),_xlfn.CONCAT("char ",TRIM($B355),"[doc_question] ",CHAR(96),CHAR(34),SUBSTITUTE(SUBSTITUTE(SUBSTITUTE(SUBSTITUTE(SUBSTITUTE(SUBSTITUTE($E355,CHAR(13)," "),CHAR(10)," "),CHAR(9)," "),CHAR(92),_xlfn.CONCAT(CHAR(92),CHAR(92))),"$",_xlfn.CONCAT(CHAR(92),"$")),CHAR(96),_xlfn.CONCAT(CHAR(92),CHAR(96))),CHAR(34),CHAR(39))))</f>
        <v/>
      </c>
      <c r="P355" s="5" t="str">
        <f>IF(OR(TRIM($B355)="",$F355=""),"",IF(OR(ISNUMBER(SEARCH(_xlfn.CONCAT(CHAR(96),CHAR(34)),$F355)),ISNUMBER(SEARCH(_xlfn.CONCAT(CHAR(34),CHAR(39)),$F355))),_xlfn.CONCAT("* REVIEW REQUIRED: compound-quote delimiter in Units on Sheet 1 row ",355,"; edit the input before running."),_xlfn.CONCAT("char ",TRIM($B355),"[doc_units] ",CHAR(96),CHAR(34),SUBSTITUTE(SUBSTITUTE(SUBSTITUTE(SUBSTITUTE(SUBSTITUTE(SUBSTITUTE($F355,CHAR(13)," "),CHAR(10)," "),CHAR(9)," "),CHAR(92),_xlfn.CONCAT(CHAR(92),CHAR(92))),"$",_xlfn.CONCAT(CHAR(92),"$")),CHAR(96),_xlfn.CONCAT(CHAR(92),CHAR(96))),CHAR(34),CHAR(39))))</f>
        <v/>
      </c>
      <c r="Q355" s="5" t="str">
        <f>IF(OR(TRIM($B355)="",$G355=""),"",IF(OR(ISNUMBER(SEARCH(_xlfn.CONCAT(CHAR(96),CHAR(34)),$G355)),ISNUMBER(SEARCH(_xlfn.CONCAT(CHAR(34),CHAR(39)),$G355))),_xlfn.CONCAT("* REVIEW REQUIRED: compound-quote delimiter in Universe on Sheet 1 row ",355,"; edit the input before running."),_xlfn.CONCAT("char ",TRIM($B355),"[doc_universe] ",CHAR(96),CHAR(34),SUBSTITUTE(SUBSTITUTE(SUBSTITUTE(SUBSTITUTE(SUBSTITUTE(SUBSTITUTE($G355,CHAR(13)," "),CHAR(10)," "),CHAR(9)," "),CHAR(92),_xlfn.CONCAT(CHAR(92),CHAR(92))),"$",_xlfn.CONCAT(CHAR(92),"$")),CHAR(96),_xlfn.CONCAT(CHAR(92),CHAR(96))),CHAR(34),CHAR(39))))</f>
        <v/>
      </c>
      <c r="R355" s="5" t="str">
        <f>IF(OR(TRIM($B355)="",$H355=""),"",IF(OR(ISNUMBER(SEARCH(_xlfn.CONCAT(CHAR(96),CHAR(34)),$H355)),ISNUMBER(SEARCH(_xlfn.CONCAT(CHAR(34),CHAR(39)),$H355))),_xlfn.CONCAT("* REVIEW REQUIRED: compound-quote delimiter in Source on Sheet 1 row ",355,"; edit the input before running."),_xlfn.CONCAT("char ",TRIM($B355),"[doc_source] ",CHAR(96),CHAR(34),SUBSTITUTE(SUBSTITUTE(SUBSTITUTE(SUBSTITUTE(SUBSTITUTE(SUBSTITUTE($H355,CHAR(13)," "),CHAR(10)," "),CHAR(9)," "),CHAR(92),_xlfn.CONCAT(CHAR(92),CHAR(92))),"$",_xlfn.CONCAT(CHAR(92),"$")),CHAR(96),_xlfn.CONCAT(CHAR(92),CHAR(96))),CHAR(34),CHAR(39))))</f>
        <v/>
      </c>
      <c r="S355" s="5" t="str">
        <f>IF(OR(TRIM($B355)="",$I355=""),"",IF(OR(ISNUMBER(SEARCH(_xlfn.CONCAT(CHAR(96),CHAR(34)),$I355)),ISNUMBER(SEARCH(_xlfn.CONCAT(CHAR(34),CHAR(39)),$I355))),_xlfn.CONCAT("* REVIEW REQUIRED: compound-quote delimiter in Derivation on Sheet 1 row ",355,"; edit the input before running."),_xlfn.CONCAT("char ",TRIM($B355),"[doc_derivation] ",CHAR(96),CHAR(34),SUBSTITUTE(SUBSTITUTE(SUBSTITUTE(SUBSTITUTE(SUBSTITUTE(SUBSTITUTE($I355,CHAR(13)," "),CHAR(10)," "),CHAR(9)," "),CHAR(92),_xlfn.CONCAT(CHAR(92),CHAR(92))),"$",_xlfn.CONCAT(CHAR(92),"$")),CHAR(96),_xlfn.CONCAT(CHAR(92),CHAR(96))),CHAR(34),CHAR(39))))</f>
        <v/>
      </c>
      <c r="T355" s="5" t="str">
        <f>IF(OR(TRIM($B355)="",$J355=""),"",IF(OR(ISNUMBER(SEARCH(_xlfn.CONCAT(CHAR(96),CHAR(34)),$J355)),ISNUMBER(SEARCH(_xlfn.CONCAT(CHAR(34),CHAR(39)),$J355))),_xlfn.CONCAT("* REVIEW REQUIRED: compound-quote delimiter in Notes on Sheet 1 row ",355,"; edit the input before running."),_xlfn.CONCAT("char ",TRIM($B355),"[doc_notes] ",CHAR(96),CHAR(34),SUBSTITUTE(SUBSTITUTE(SUBSTITUTE(SUBSTITUTE(SUBSTITUTE(SUBSTITUTE($J355,CHAR(13)," "),CHAR(10)," "),CHAR(9)," "),CHAR(92),_xlfn.CONCAT(CHAR(92),CHAR(92))),"$",_xlfn.CONCAT(CHAR(92),"$")),CHAR(96),_xlfn.CONCAT(CHAR(92),CHAR(96))),CHAR(34),CHAR(39))))</f>
        <v/>
      </c>
      <c r="U355" s="5">
        <f t="shared" si="11"/>
        <v>0</v>
      </c>
    </row>
    <row r="356" spans="3:21" ht="30" customHeight="1" x14ac:dyDescent="0.2">
      <c r="C356" s="4"/>
      <c r="K356" s="5">
        <f t="shared" si="10"/>
        <v>0</v>
      </c>
      <c r="L356" s="5" t="str">
        <f>IF(OR(TRIM($B356)="",$A356=""),"",IF(OR(ISNUMBER(SEARCH(_xlfn.CONCAT(CHAR(96),CHAR(34)),$A356)),ISNUMBER(SEARCH(_xlfn.CONCAT(CHAR(34),CHAR(39)),$A356))),_xlfn.CONCAT("* REVIEW REQUIRED: compound-quote delimiter in Codebook Section on Sheet 1 row ",356,"; edit the input before running."),_xlfn.CONCAT("char ",TRIM($B356),"[doc_section] ",CHAR(96),CHAR(34),SUBSTITUTE(SUBSTITUTE(SUBSTITUTE(SUBSTITUTE(SUBSTITUTE(SUBSTITUTE($A356,CHAR(13)," "),CHAR(10)," "),CHAR(9)," "),CHAR(92),_xlfn.CONCAT(CHAR(92),CHAR(92))),"$",_xlfn.CONCAT(CHAR(92),"$")),CHAR(96),_xlfn.CONCAT(CHAR(92),CHAR(96))),CHAR(34),CHAR(39))))</f>
        <v/>
      </c>
      <c r="M356" s="5" t="str">
        <f>IF(OR(TRIM($B356)="",$C356=""),"",IF(IFERROR(MATCH(TRIM($C356),{"Quantitative","Continuous","Discrete","Categorical","Nominal","Ordinal","Identifier"},0),0)=0,_xlfn.CONCAT("* REVIEW REQUIRED: invalid Variable Type on Sheet 1 row ",356,"."),_xlfn.CONCAT("char ",TRIM($B356),"[doc_vartype] ",CHAR(96),CHAR(34),SUBSTITUTE(SUBSTITUTE(SUBSTITUTE(SUBSTITUTE(SUBSTITUTE(SUBSTITUTE(LOWER(TRIM($C356)),CHAR(13)," "),CHAR(10)," "),CHAR(9)," "),CHAR(92),_xlfn.CONCAT(CHAR(92),CHAR(92))),"$",_xlfn.CONCAT(CHAR(92),"$")),CHAR(96),_xlfn.CONCAT(CHAR(92),CHAR(96))),CHAR(34),CHAR(39))))</f>
        <v/>
      </c>
      <c r="N356" s="5" t="str">
        <f>IF(OR(TRIM($B356)="",$D356=""),"",IF(OR(ISNUMBER(SEARCH(_xlfn.CONCAT(CHAR(96),CHAR(34)),$D356)),ISNUMBER(SEARCH(_xlfn.CONCAT(CHAR(34),CHAR(39)),$D356))),_xlfn.CONCAT("* REVIEW REQUIRED: compound-quote delimiter in Item Number on Sheet 1 row ",356,"; edit the input before running."),_xlfn.CONCAT("char ",TRIM($B356),"[doc_itemnum] ",CHAR(96),CHAR(34),SUBSTITUTE(SUBSTITUTE(SUBSTITUTE(SUBSTITUTE(SUBSTITUTE(SUBSTITUTE($D356,CHAR(13)," "),CHAR(10)," "),CHAR(9)," "),CHAR(92),_xlfn.CONCAT(CHAR(92),CHAR(92))),"$",_xlfn.CONCAT(CHAR(92),"$")),CHAR(96),_xlfn.CONCAT(CHAR(92),CHAR(96))),CHAR(34),CHAR(39))))</f>
        <v/>
      </c>
      <c r="O356" s="5" t="str">
        <f>IF(OR(TRIM($B356)="",$E356=""),"",IF(OR(ISNUMBER(SEARCH(_xlfn.CONCAT(CHAR(96),CHAR(34)),$E356)),ISNUMBER(SEARCH(_xlfn.CONCAT(CHAR(34),CHAR(39)),$E356))),_xlfn.CONCAT("* REVIEW REQUIRED: compound-quote delimiter in Question Wording on Sheet 1 row ",356,"; edit the input before running."),_xlfn.CONCAT("char ",TRIM($B356),"[doc_question] ",CHAR(96),CHAR(34),SUBSTITUTE(SUBSTITUTE(SUBSTITUTE(SUBSTITUTE(SUBSTITUTE(SUBSTITUTE($E356,CHAR(13)," "),CHAR(10)," "),CHAR(9)," "),CHAR(92),_xlfn.CONCAT(CHAR(92),CHAR(92))),"$",_xlfn.CONCAT(CHAR(92),"$")),CHAR(96),_xlfn.CONCAT(CHAR(92),CHAR(96))),CHAR(34),CHAR(39))))</f>
        <v/>
      </c>
      <c r="P356" s="5" t="str">
        <f>IF(OR(TRIM($B356)="",$F356=""),"",IF(OR(ISNUMBER(SEARCH(_xlfn.CONCAT(CHAR(96),CHAR(34)),$F356)),ISNUMBER(SEARCH(_xlfn.CONCAT(CHAR(34),CHAR(39)),$F356))),_xlfn.CONCAT("* REVIEW REQUIRED: compound-quote delimiter in Units on Sheet 1 row ",356,"; edit the input before running."),_xlfn.CONCAT("char ",TRIM($B356),"[doc_units] ",CHAR(96),CHAR(34),SUBSTITUTE(SUBSTITUTE(SUBSTITUTE(SUBSTITUTE(SUBSTITUTE(SUBSTITUTE($F356,CHAR(13)," "),CHAR(10)," "),CHAR(9)," "),CHAR(92),_xlfn.CONCAT(CHAR(92),CHAR(92))),"$",_xlfn.CONCAT(CHAR(92),"$")),CHAR(96),_xlfn.CONCAT(CHAR(92),CHAR(96))),CHAR(34),CHAR(39))))</f>
        <v/>
      </c>
      <c r="Q356" s="5" t="str">
        <f>IF(OR(TRIM($B356)="",$G356=""),"",IF(OR(ISNUMBER(SEARCH(_xlfn.CONCAT(CHAR(96),CHAR(34)),$G356)),ISNUMBER(SEARCH(_xlfn.CONCAT(CHAR(34),CHAR(39)),$G356))),_xlfn.CONCAT("* REVIEW REQUIRED: compound-quote delimiter in Universe on Sheet 1 row ",356,"; edit the input before running."),_xlfn.CONCAT("char ",TRIM($B356),"[doc_universe] ",CHAR(96),CHAR(34),SUBSTITUTE(SUBSTITUTE(SUBSTITUTE(SUBSTITUTE(SUBSTITUTE(SUBSTITUTE($G356,CHAR(13)," "),CHAR(10)," "),CHAR(9)," "),CHAR(92),_xlfn.CONCAT(CHAR(92),CHAR(92))),"$",_xlfn.CONCAT(CHAR(92),"$")),CHAR(96),_xlfn.CONCAT(CHAR(92),CHAR(96))),CHAR(34),CHAR(39))))</f>
        <v/>
      </c>
      <c r="R356" s="5" t="str">
        <f>IF(OR(TRIM($B356)="",$H356=""),"",IF(OR(ISNUMBER(SEARCH(_xlfn.CONCAT(CHAR(96),CHAR(34)),$H356)),ISNUMBER(SEARCH(_xlfn.CONCAT(CHAR(34),CHAR(39)),$H356))),_xlfn.CONCAT("* REVIEW REQUIRED: compound-quote delimiter in Source on Sheet 1 row ",356,"; edit the input before running."),_xlfn.CONCAT("char ",TRIM($B356),"[doc_source] ",CHAR(96),CHAR(34),SUBSTITUTE(SUBSTITUTE(SUBSTITUTE(SUBSTITUTE(SUBSTITUTE(SUBSTITUTE($H356,CHAR(13)," "),CHAR(10)," "),CHAR(9)," "),CHAR(92),_xlfn.CONCAT(CHAR(92),CHAR(92))),"$",_xlfn.CONCAT(CHAR(92),"$")),CHAR(96),_xlfn.CONCAT(CHAR(92),CHAR(96))),CHAR(34),CHAR(39))))</f>
        <v/>
      </c>
      <c r="S356" s="5" t="str">
        <f>IF(OR(TRIM($B356)="",$I356=""),"",IF(OR(ISNUMBER(SEARCH(_xlfn.CONCAT(CHAR(96),CHAR(34)),$I356)),ISNUMBER(SEARCH(_xlfn.CONCAT(CHAR(34),CHAR(39)),$I356))),_xlfn.CONCAT("* REVIEW REQUIRED: compound-quote delimiter in Derivation on Sheet 1 row ",356,"; edit the input before running."),_xlfn.CONCAT("char ",TRIM($B356),"[doc_derivation] ",CHAR(96),CHAR(34),SUBSTITUTE(SUBSTITUTE(SUBSTITUTE(SUBSTITUTE(SUBSTITUTE(SUBSTITUTE($I356,CHAR(13)," "),CHAR(10)," "),CHAR(9)," "),CHAR(92),_xlfn.CONCAT(CHAR(92),CHAR(92))),"$",_xlfn.CONCAT(CHAR(92),"$")),CHAR(96),_xlfn.CONCAT(CHAR(92),CHAR(96))),CHAR(34),CHAR(39))))</f>
        <v/>
      </c>
      <c r="T356" s="5" t="str">
        <f>IF(OR(TRIM($B356)="",$J356=""),"",IF(OR(ISNUMBER(SEARCH(_xlfn.CONCAT(CHAR(96),CHAR(34)),$J356)),ISNUMBER(SEARCH(_xlfn.CONCAT(CHAR(34),CHAR(39)),$J356))),_xlfn.CONCAT("* REVIEW REQUIRED: compound-quote delimiter in Notes on Sheet 1 row ",356,"; edit the input before running."),_xlfn.CONCAT("char ",TRIM($B356),"[doc_notes] ",CHAR(96),CHAR(34),SUBSTITUTE(SUBSTITUTE(SUBSTITUTE(SUBSTITUTE(SUBSTITUTE(SUBSTITUTE($J356,CHAR(13)," "),CHAR(10)," "),CHAR(9)," "),CHAR(92),_xlfn.CONCAT(CHAR(92),CHAR(92))),"$",_xlfn.CONCAT(CHAR(92),"$")),CHAR(96),_xlfn.CONCAT(CHAR(92),CHAR(96))),CHAR(34),CHAR(39))))</f>
        <v/>
      </c>
      <c r="U356" s="5">
        <f t="shared" si="11"/>
        <v>0</v>
      </c>
    </row>
    <row r="357" spans="3:21" ht="30" customHeight="1" x14ac:dyDescent="0.2">
      <c r="C357" s="4"/>
      <c r="K357" s="5">
        <f t="shared" si="10"/>
        <v>0</v>
      </c>
      <c r="L357" s="5" t="str">
        <f>IF(OR(TRIM($B357)="",$A357=""),"",IF(OR(ISNUMBER(SEARCH(_xlfn.CONCAT(CHAR(96),CHAR(34)),$A357)),ISNUMBER(SEARCH(_xlfn.CONCAT(CHAR(34),CHAR(39)),$A357))),_xlfn.CONCAT("* REVIEW REQUIRED: compound-quote delimiter in Codebook Section on Sheet 1 row ",357,"; edit the input before running."),_xlfn.CONCAT("char ",TRIM($B357),"[doc_section] ",CHAR(96),CHAR(34),SUBSTITUTE(SUBSTITUTE(SUBSTITUTE(SUBSTITUTE(SUBSTITUTE(SUBSTITUTE($A357,CHAR(13)," "),CHAR(10)," "),CHAR(9)," "),CHAR(92),_xlfn.CONCAT(CHAR(92),CHAR(92))),"$",_xlfn.CONCAT(CHAR(92),"$")),CHAR(96),_xlfn.CONCAT(CHAR(92),CHAR(96))),CHAR(34),CHAR(39))))</f>
        <v/>
      </c>
      <c r="M357" s="5" t="str">
        <f>IF(OR(TRIM($B357)="",$C357=""),"",IF(IFERROR(MATCH(TRIM($C357),{"Quantitative","Continuous","Discrete","Categorical","Nominal","Ordinal","Identifier"},0),0)=0,_xlfn.CONCAT("* REVIEW REQUIRED: invalid Variable Type on Sheet 1 row ",357,"."),_xlfn.CONCAT("char ",TRIM($B357),"[doc_vartype] ",CHAR(96),CHAR(34),SUBSTITUTE(SUBSTITUTE(SUBSTITUTE(SUBSTITUTE(SUBSTITUTE(SUBSTITUTE(LOWER(TRIM($C357)),CHAR(13)," "),CHAR(10)," "),CHAR(9)," "),CHAR(92),_xlfn.CONCAT(CHAR(92),CHAR(92))),"$",_xlfn.CONCAT(CHAR(92),"$")),CHAR(96),_xlfn.CONCAT(CHAR(92),CHAR(96))),CHAR(34),CHAR(39))))</f>
        <v/>
      </c>
      <c r="N357" s="5" t="str">
        <f>IF(OR(TRIM($B357)="",$D357=""),"",IF(OR(ISNUMBER(SEARCH(_xlfn.CONCAT(CHAR(96),CHAR(34)),$D357)),ISNUMBER(SEARCH(_xlfn.CONCAT(CHAR(34),CHAR(39)),$D357))),_xlfn.CONCAT("* REVIEW REQUIRED: compound-quote delimiter in Item Number on Sheet 1 row ",357,"; edit the input before running."),_xlfn.CONCAT("char ",TRIM($B357),"[doc_itemnum] ",CHAR(96),CHAR(34),SUBSTITUTE(SUBSTITUTE(SUBSTITUTE(SUBSTITUTE(SUBSTITUTE(SUBSTITUTE($D357,CHAR(13)," "),CHAR(10)," "),CHAR(9)," "),CHAR(92),_xlfn.CONCAT(CHAR(92),CHAR(92))),"$",_xlfn.CONCAT(CHAR(92),"$")),CHAR(96),_xlfn.CONCAT(CHAR(92),CHAR(96))),CHAR(34),CHAR(39))))</f>
        <v/>
      </c>
      <c r="O357" s="5" t="str">
        <f>IF(OR(TRIM($B357)="",$E357=""),"",IF(OR(ISNUMBER(SEARCH(_xlfn.CONCAT(CHAR(96),CHAR(34)),$E357)),ISNUMBER(SEARCH(_xlfn.CONCAT(CHAR(34),CHAR(39)),$E357))),_xlfn.CONCAT("* REVIEW REQUIRED: compound-quote delimiter in Question Wording on Sheet 1 row ",357,"; edit the input before running."),_xlfn.CONCAT("char ",TRIM($B357),"[doc_question] ",CHAR(96),CHAR(34),SUBSTITUTE(SUBSTITUTE(SUBSTITUTE(SUBSTITUTE(SUBSTITUTE(SUBSTITUTE($E357,CHAR(13)," "),CHAR(10)," "),CHAR(9)," "),CHAR(92),_xlfn.CONCAT(CHAR(92),CHAR(92))),"$",_xlfn.CONCAT(CHAR(92),"$")),CHAR(96),_xlfn.CONCAT(CHAR(92),CHAR(96))),CHAR(34),CHAR(39))))</f>
        <v/>
      </c>
      <c r="P357" s="5" t="str">
        <f>IF(OR(TRIM($B357)="",$F357=""),"",IF(OR(ISNUMBER(SEARCH(_xlfn.CONCAT(CHAR(96),CHAR(34)),$F357)),ISNUMBER(SEARCH(_xlfn.CONCAT(CHAR(34),CHAR(39)),$F357))),_xlfn.CONCAT("* REVIEW REQUIRED: compound-quote delimiter in Units on Sheet 1 row ",357,"; edit the input before running."),_xlfn.CONCAT("char ",TRIM($B357),"[doc_units] ",CHAR(96),CHAR(34),SUBSTITUTE(SUBSTITUTE(SUBSTITUTE(SUBSTITUTE(SUBSTITUTE(SUBSTITUTE($F357,CHAR(13)," "),CHAR(10)," "),CHAR(9)," "),CHAR(92),_xlfn.CONCAT(CHAR(92),CHAR(92))),"$",_xlfn.CONCAT(CHAR(92),"$")),CHAR(96),_xlfn.CONCAT(CHAR(92),CHAR(96))),CHAR(34),CHAR(39))))</f>
        <v/>
      </c>
      <c r="Q357" s="5" t="str">
        <f>IF(OR(TRIM($B357)="",$G357=""),"",IF(OR(ISNUMBER(SEARCH(_xlfn.CONCAT(CHAR(96),CHAR(34)),$G357)),ISNUMBER(SEARCH(_xlfn.CONCAT(CHAR(34),CHAR(39)),$G357))),_xlfn.CONCAT("* REVIEW REQUIRED: compound-quote delimiter in Universe on Sheet 1 row ",357,"; edit the input before running."),_xlfn.CONCAT("char ",TRIM($B357),"[doc_universe] ",CHAR(96),CHAR(34),SUBSTITUTE(SUBSTITUTE(SUBSTITUTE(SUBSTITUTE(SUBSTITUTE(SUBSTITUTE($G357,CHAR(13)," "),CHAR(10)," "),CHAR(9)," "),CHAR(92),_xlfn.CONCAT(CHAR(92),CHAR(92))),"$",_xlfn.CONCAT(CHAR(92),"$")),CHAR(96),_xlfn.CONCAT(CHAR(92),CHAR(96))),CHAR(34),CHAR(39))))</f>
        <v/>
      </c>
      <c r="R357" s="5" t="str">
        <f>IF(OR(TRIM($B357)="",$H357=""),"",IF(OR(ISNUMBER(SEARCH(_xlfn.CONCAT(CHAR(96),CHAR(34)),$H357)),ISNUMBER(SEARCH(_xlfn.CONCAT(CHAR(34),CHAR(39)),$H357))),_xlfn.CONCAT("* REVIEW REQUIRED: compound-quote delimiter in Source on Sheet 1 row ",357,"; edit the input before running."),_xlfn.CONCAT("char ",TRIM($B357),"[doc_source] ",CHAR(96),CHAR(34),SUBSTITUTE(SUBSTITUTE(SUBSTITUTE(SUBSTITUTE(SUBSTITUTE(SUBSTITUTE($H357,CHAR(13)," "),CHAR(10)," "),CHAR(9)," "),CHAR(92),_xlfn.CONCAT(CHAR(92),CHAR(92))),"$",_xlfn.CONCAT(CHAR(92),"$")),CHAR(96),_xlfn.CONCAT(CHAR(92),CHAR(96))),CHAR(34),CHAR(39))))</f>
        <v/>
      </c>
      <c r="S357" s="5" t="str">
        <f>IF(OR(TRIM($B357)="",$I357=""),"",IF(OR(ISNUMBER(SEARCH(_xlfn.CONCAT(CHAR(96),CHAR(34)),$I357)),ISNUMBER(SEARCH(_xlfn.CONCAT(CHAR(34),CHAR(39)),$I357))),_xlfn.CONCAT("* REVIEW REQUIRED: compound-quote delimiter in Derivation on Sheet 1 row ",357,"; edit the input before running."),_xlfn.CONCAT("char ",TRIM($B357),"[doc_derivation] ",CHAR(96),CHAR(34),SUBSTITUTE(SUBSTITUTE(SUBSTITUTE(SUBSTITUTE(SUBSTITUTE(SUBSTITUTE($I357,CHAR(13)," "),CHAR(10)," "),CHAR(9)," "),CHAR(92),_xlfn.CONCAT(CHAR(92),CHAR(92))),"$",_xlfn.CONCAT(CHAR(92),"$")),CHAR(96),_xlfn.CONCAT(CHAR(92),CHAR(96))),CHAR(34),CHAR(39))))</f>
        <v/>
      </c>
      <c r="T357" s="5" t="str">
        <f>IF(OR(TRIM($B357)="",$J357=""),"",IF(OR(ISNUMBER(SEARCH(_xlfn.CONCAT(CHAR(96),CHAR(34)),$J357)),ISNUMBER(SEARCH(_xlfn.CONCAT(CHAR(34),CHAR(39)),$J357))),_xlfn.CONCAT("* REVIEW REQUIRED: compound-quote delimiter in Notes on Sheet 1 row ",357,"; edit the input before running."),_xlfn.CONCAT("char ",TRIM($B357),"[doc_notes] ",CHAR(96),CHAR(34),SUBSTITUTE(SUBSTITUTE(SUBSTITUTE(SUBSTITUTE(SUBSTITUTE(SUBSTITUTE($J357,CHAR(13)," "),CHAR(10)," "),CHAR(9)," "),CHAR(92),_xlfn.CONCAT(CHAR(92),CHAR(92))),"$",_xlfn.CONCAT(CHAR(92),"$")),CHAR(96),_xlfn.CONCAT(CHAR(92),CHAR(96))),CHAR(34),CHAR(39))))</f>
        <v/>
      </c>
      <c r="U357" s="5">
        <f t="shared" si="11"/>
        <v>0</v>
      </c>
    </row>
    <row r="358" spans="3:21" ht="30" customHeight="1" x14ac:dyDescent="0.2">
      <c r="C358" s="4"/>
      <c r="K358" s="5">
        <f t="shared" si="10"/>
        <v>0</v>
      </c>
      <c r="L358" s="5" t="str">
        <f>IF(OR(TRIM($B358)="",$A358=""),"",IF(OR(ISNUMBER(SEARCH(_xlfn.CONCAT(CHAR(96),CHAR(34)),$A358)),ISNUMBER(SEARCH(_xlfn.CONCAT(CHAR(34),CHAR(39)),$A358))),_xlfn.CONCAT("* REVIEW REQUIRED: compound-quote delimiter in Codebook Section on Sheet 1 row ",358,"; edit the input before running."),_xlfn.CONCAT("char ",TRIM($B358),"[doc_section] ",CHAR(96),CHAR(34),SUBSTITUTE(SUBSTITUTE(SUBSTITUTE(SUBSTITUTE(SUBSTITUTE(SUBSTITUTE($A358,CHAR(13)," "),CHAR(10)," "),CHAR(9)," "),CHAR(92),_xlfn.CONCAT(CHAR(92),CHAR(92))),"$",_xlfn.CONCAT(CHAR(92),"$")),CHAR(96),_xlfn.CONCAT(CHAR(92),CHAR(96))),CHAR(34),CHAR(39))))</f>
        <v/>
      </c>
      <c r="M358" s="5" t="str">
        <f>IF(OR(TRIM($B358)="",$C358=""),"",IF(IFERROR(MATCH(TRIM($C358),{"Quantitative","Continuous","Discrete","Categorical","Nominal","Ordinal","Identifier"},0),0)=0,_xlfn.CONCAT("* REVIEW REQUIRED: invalid Variable Type on Sheet 1 row ",358,"."),_xlfn.CONCAT("char ",TRIM($B358),"[doc_vartype] ",CHAR(96),CHAR(34),SUBSTITUTE(SUBSTITUTE(SUBSTITUTE(SUBSTITUTE(SUBSTITUTE(SUBSTITUTE(LOWER(TRIM($C358)),CHAR(13)," "),CHAR(10)," "),CHAR(9)," "),CHAR(92),_xlfn.CONCAT(CHAR(92),CHAR(92))),"$",_xlfn.CONCAT(CHAR(92),"$")),CHAR(96),_xlfn.CONCAT(CHAR(92),CHAR(96))),CHAR(34),CHAR(39))))</f>
        <v/>
      </c>
      <c r="N358" s="5" t="str">
        <f>IF(OR(TRIM($B358)="",$D358=""),"",IF(OR(ISNUMBER(SEARCH(_xlfn.CONCAT(CHAR(96),CHAR(34)),$D358)),ISNUMBER(SEARCH(_xlfn.CONCAT(CHAR(34),CHAR(39)),$D358))),_xlfn.CONCAT("* REVIEW REQUIRED: compound-quote delimiter in Item Number on Sheet 1 row ",358,"; edit the input before running."),_xlfn.CONCAT("char ",TRIM($B358),"[doc_itemnum] ",CHAR(96),CHAR(34),SUBSTITUTE(SUBSTITUTE(SUBSTITUTE(SUBSTITUTE(SUBSTITUTE(SUBSTITUTE($D358,CHAR(13)," "),CHAR(10)," "),CHAR(9)," "),CHAR(92),_xlfn.CONCAT(CHAR(92),CHAR(92))),"$",_xlfn.CONCAT(CHAR(92),"$")),CHAR(96),_xlfn.CONCAT(CHAR(92),CHAR(96))),CHAR(34),CHAR(39))))</f>
        <v/>
      </c>
      <c r="O358" s="5" t="str">
        <f>IF(OR(TRIM($B358)="",$E358=""),"",IF(OR(ISNUMBER(SEARCH(_xlfn.CONCAT(CHAR(96),CHAR(34)),$E358)),ISNUMBER(SEARCH(_xlfn.CONCAT(CHAR(34),CHAR(39)),$E358))),_xlfn.CONCAT("* REVIEW REQUIRED: compound-quote delimiter in Question Wording on Sheet 1 row ",358,"; edit the input before running."),_xlfn.CONCAT("char ",TRIM($B358),"[doc_question] ",CHAR(96),CHAR(34),SUBSTITUTE(SUBSTITUTE(SUBSTITUTE(SUBSTITUTE(SUBSTITUTE(SUBSTITUTE($E358,CHAR(13)," "),CHAR(10)," "),CHAR(9)," "),CHAR(92),_xlfn.CONCAT(CHAR(92),CHAR(92))),"$",_xlfn.CONCAT(CHAR(92),"$")),CHAR(96),_xlfn.CONCAT(CHAR(92),CHAR(96))),CHAR(34),CHAR(39))))</f>
        <v/>
      </c>
      <c r="P358" s="5" t="str">
        <f>IF(OR(TRIM($B358)="",$F358=""),"",IF(OR(ISNUMBER(SEARCH(_xlfn.CONCAT(CHAR(96),CHAR(34)),$F358)),ISNUMBER(SEARCH(_xlfn.CONCAT(CHAR(34),CHAR(39)),$F358))),_xlfn.CONCAT("* REVIEW REQUIRED: compound-quote delimiter in Units on Sheet 1 row ",358,"; edit the input before running."),_xlfn.CONCAT("char ",TRIM($B358),"[doc_units] ",CHAR(96),CHAR(34),SUBSTITUTE(SUBSTITUTE(SUBSTITUTE(SUBSTITUTE(SUBSTITUTE(SUBSTITUTE($F358,CHAR(13)," "),CHAR(10)," "),CHAR(9)," "),CHAR(92),_xlfn.CONCAT(CHAR(92),CHAR(92))),"$",_xlfn.CONCAT(CHAR(92),"$")),CHAR(96),_xlfn.CONCAT(CHAR(92),CHAR(96))),CHAR(34),CHAR(39))))</f>
        <v/>
      </c>
      <c r="Q358" s="5" t="str">
        <f>IF(OR(TRIM($B358)="",$G358=""),"",IF(OR(ISNUMBER(SEARCH(_xlfn.CONCAT(CHAR(96),CHAR(34)),$G358)),ISNUMBER(SEARCH(_xlfn.CONCAT(CHAR(34),CHAR(39)),$G358))),_xlfn.CONCAT("* REVIEW REQUIRED: compound-quote delimiter in Universe on Sheet 1 row ",358,"; edit the input before running."),_xlfn.CONCAT("char ",TRIM($B358),"[doc_universe] ",CHAR(96),CHAR(34),SUBSTITUTE(SUBSTITUTE(SUBSTITUTE(SUBSTITUTE(SUBSTITUTE(SUBSTITUTE($G358,CHAR(13)," "),CHAR(10)," "),CHAR(9)," "),CHAR(92),_xlfn.CONCAT(CHAR(92),CHAR(92))),"$",_xlfn.CONCAT(CHAR(92),"$")),CHAR(96),_xlfn.CONCAT(CHAR(92),CHAR(96))),CHAR(34),CHAR(39))))</f>
        <v/>
      </c>
      <c r="R358" s="5" t="str">
        <f>IF(OR(TRIM($B358)="",$H358=""),"",IF(OR(ISNUMBER(SEARCH(_xlfn.CONCAT(CHAR(96),CHAR(34)),$H358)),ISNUMBER(SEARCH(_xlfn.CONCAT(CHAR(34),CHAR(39)),$H358))),_xlfn.CONCAT("* REVIEW REQUIRED: compound-quote delimiter in Source on Sheet 1 row ",358,"; edit the input before running."),_xlfn.CONCAT("char ",TRIM($B358),"[doc_source] ",CHAR(96),CHAR(34),SUBSTITUTE(SUBSTITUTE(SUBSTITUTE(SUBSTITUTE(SUBSTITUTE(SUBSTITUTE($H358,CHAR(13)," "),CHAR(10)," "),CHAR(9)," "),CHAR(92),_xlfn.CONCAT(CHAR(92),CHAR(92))),"$",_xlfn.CONCAT(CHAR(92),"$")),CHAR(96),_xlfn.CONCAT(CHAR(92),CHAR(96))),CHAR(34),CHAR(39))))</f>
        <v/>
      </c>
      <c r="S358" s="5" t="str">
        <f>IF(OR(TRIM($B358)="",$I358=""),"",IF(OR(ISNUMBER(SEARCH(_xlfn.CONCAT(CHAR(96),CHAR(34)),$I358)),ISNUMBER(SEARCH(_xlfn.CONCAT(CHAR(34),CHAR(39)),$I358))),_xlfn.CONCAT("* REVIEW REQUIRED: compound-quote delimiter in Derivation on Sheet 1 row ",358,"; edit the input before running."),_xlfn.CONCAT("char ",TRIM($B358),"[doc_derivation] ",CHAR(96),CHAR(34),SUBSTITUTE(SUBSTITUTE(SUBSTITUTE(SUBSTITUTE(SUBSTITUTE(SUBSTITUTE($I358,CHAR(13)," "),CHAR(10)," "),CHAR(9)," "),CHAR(92),_xlfn.CONCAT(CHAR(92),CHAR(92))),"$",_xlfn.CONCAT(CHAR(92),"$")),CHAR(96),_xlfn.CONCAT(CHAR(92),CHAR(96))),CHAR(34),CHAR(39))))</f>
        <v/>
      </c>
      <c r="T358" s="5" t="str">
        <f>IF(OR(TRIM($B358)="",$J358=""),"",IF(OR(ISNUMBER(SEARCH(_xlfn.CONCAT(CHAR(96),CHAR(34)),$J358)),ISNUMBER(SEARCH(_xlfn.CONCAT(CHAR(34),CHAR(39)),$J358))),_xlfn.CONCAT("* REVIEW REQUIRED: compound-quote delimiter in Notes on Sheet 1 row ",358,"; edit the input before running."),_xlfn.CONCAT("char ",TRIM($B358),"[doc_notes] ",CHAR(96),CHAR(34),SUBSTITUTE(SUBSTITUTE(SUBSTITUTE(SUBSTITUTE(SUBSTITUTE(SUBSTITUTE($J358,CHAR(13)," "),CHAR(10)," "),CHAR(9)," "),CHAR(92),_xlfn.CONCAT(CHAR(92),CHAR(92))),"$",_xlfn.CONCAT(CHAR(92),"$")),CHAR(96),_xlfn.CONCAT(CHAR(92),CHAR(96))),CHAR(34),CHAR(39))))</f>
        <v/>
      </c>
      <c r="U358" s="5">
        <f t="shared" si="11"/>
        <v>0</v>
      </c>
    </row>
    <row r="359" spans="3:21" ht="30" customHeight="1" x14ac:dyDescent="0.2">
      <c r="C359" s="4"/>
      <c r="K359" s="5">
        <f t="shared" si="10"/>
        <v>0</v>
      </c>
      <c r="L359" s="5" t="str">
        <f>IF(OR(TRIM($B359)="",$A359=""),"",IF(OR(ISNUMBER(SEARCH(_xlfn.CONCAT(CHAR(96),CHAR(34)),$A359)),ISNUMBER(SEARCH(_xlfn.CONCAT(CHAR(34),CHAR(39)),$A359))),_xlfn.CONCAT("* REVIEW REQUIRED: compound-quote delimiter in Codebook Section on Sheet 1 row ",359,"; edit the input before running."),_xlfn.CONCAT("char ",TRIM($B359),"[doc_section] ",CHAR(96),CHAR(34),SUBSTITUTE(SUBSTITUTE(SUBSTITUTE(SUBSTITUTE(SUBSTITUTE(SUBSTITUTE($A359,CHAR(13)," "),CHAR(10)," "),CHAR(9)," "),CHAR(92),_xlfn.CONCAT(CHAR(92),CHAR(92))),"$",_xlfn.CONCAT(CHAR(92),"$")),CHAR(96),_xlfn.CONCAT(CHAR(92),CHAR(96))),CHAR(34),CHAR(39))))</f>
        <v/>
      </c>
      <c r="M359" s="5" t="str">
        <f>IF(OR(TRIM($B359)="",$C359=""),"",IF(IFERROR(MATCH(TRIM($C359),{"Quantitative","Continuous","Discrete","Categorical","Nominal","Ordinal","Identifier"},0),0)=0,_xlfn.CONCAT("* REVIEW REQUIRED: invalid Variable Type on Sheet 1 row ",359,"."),_xlfn.CONCAT("char ",TRIM($B359),"[doc_vartype] ",CHAR(96),CHAR(34),SUBSTITUTE(SUBSTITUTE(SUBSTITUTE(SUBSTITUTE(SUBSTITUTE(SUBSTITUTE(LOWER(TRIM($C359)),CHAR(13)," "),CHAR(10)," "),CHAR(9)," "),CHAR(92),_xlfn.CONCAT(CHAR(92),CHAR(92))),"$",_xlfn.CONCAT(CHAR(92),"$")),CHAR(96),_xlfn.CONCAT(CHAR(92),CHAR(96))),CHAR(34),CHAR(39))))</f>
        <v/>
      </c>
      <c r="N359" s="5" t="str">
        <f>IF(OR(TRIM($B359)="",$D359=""),"",IF(OR(ISNUMBER(SEARCH(_xlfn.CONCAT(CHAR(96),CHAR(34)),$D359)),ISNUMBER(SEARCH(_xlfn.CONCAT(CHAR(34),CHAR(39)),$D359))),_xlfn.CONCAT("* REVIEW REQUIRED: compound-quote delimiter in Item Number on Sheet 1 row ",359,"; edit the input before running."),_xlfn.CONCAT("char ",TRIM($B359),"[doc_itemnum] ",CHAR(96),CHAR(34),SUBSTITUTE(SUBSTITUTE(SUBSTITUTE(SUBSTITUTE(SUBSTITUTE(SUBSTITUTE($D359,CHAR(13)," "),CHAR(10)," "),CHAR(9)," "),CHAR(92),_xlfn.CONCAT(CHAR(92),CHAR(92))),"$",_xlfn.CONCAT(CHAR(92),"$")),CHAR(96),_xlfn.CONCAT(CHAR(92),CHAR(96))),CHAR(34),CHAR(39))))</f>
        <v/>
      </c>
      <c r="O359" s="5" t="str">
        <f>IF(OR(TRIM($B359)="",$E359=""),"",IF(OR(ISNUMBER(SEARCH(_xlfn.CONCAT(CHAR(96),CHAR(34)),$E359)),ISNUMBER(SEARCH(_xlfn.CONCAT(CHAR(34),CHAR(39)),$E359))),_xlfn.CONCAT("* REVIEW REQUIRED: compound-quote delimiter in Question Wording on Sheet 1 row ",359,"; edit the input before running."),_xlfn.CONCAT("char ",TRIM($B359),"[doc_question] ",CHAR(96),CHAR(34),SUBSTITUTE(SUBSTITUTE(SUBSTITUTE(SUBSTITUTE(SUBSTITUTE(SUBSTITUTE($E359,CHAR(13)," "),CHAR(10)," "),CHAR(9)," "),CHAR(92),_xlfn.CONCAT(CHAR(92),CHAR(92))),"$",_xlfn.CONCAT(CHAR(92),"$")),CHAR(96),_xlfn.CONCAT(CHAR(92),CHAR(96))),CHAR(34),CHAR(39))))</f>
        <v/>
      </c>
      <c r="P359" s="5" t="str">
        <f>IF(OR(TRIM($B359)="",$F359=""),"",IF(OR(ISNUMBER(SEARCH(_xlfn.CONCAT(CHAR(96),CHAR(34)),$F359)),ISNUMBER(SEARCH(_xlfn.CONCAT(CHAR(34),CHAR(39)),$F359))),_xlfn.CONCAT("* REVIEW REQUIRED: compound-quote delimiter in Units on Sheet 1 row ",359,"; edit the input before running."),_xlfn.CONCAT("char ",TRIM($B359),"[doc_units] ",CHAR(96),CHAR(34),SUBSTITUTE(SUBSTITUTE(SUBSTITUTE(SUBSTITUTE(SUBSTITUTE(SUBSTITUTE($F359,CHAR(13)," "),CHAR(10)," "),CHAR(9)," "),CHAR(92),_xlfn.CONCAT(CHAR(92),CHAR(92))),"$",_xlfn.CONCAT(CHAR(92),"$")),CHAR(96),_xlfn.CONCAT(CHAR(92),CHAR(96))),CHAR(34),CHAR(39))))</f>
        <v/>
      </c>
      <c r="Q359" s="5" t="str">
        <f>IF(OR(TRIM($B359)="",$G359=""),"",IF(OR(ISNUMBER(SEARCH(_xlfn.CONCAT(CHAR(96),CHAR(34)),$G359)),ISNUMBER(SEARCH(_xlfn.CONCAT(CHAR(34),CHAR(39)),$G359))),_xlfn.CONCAT("* REVIEW REQUIRED: compound-quote delimiter in Universe on Sheet 1 row ",359,"; edit the input before running."),_xlfn.CONCAT("char ",TRIM($B359),"[doc_universe] ",CHAR(96),CHAR(34),SUBSTITUTE(SUBSTITUTE(SUBSTITUTE(SUBSTITUTE(SUBSTITUTE(SUBSTITUTE($G359,CHAR(13)," "),CHAR(10)," "),CHAR(9)," "),CHAR(92),_xlfn.CONCAT(CHAR(92),CHAR(92))),"$",_xlfn.CONCAT(CHAR(92),"$")),CHAR(96),_xlfn.CONCAT(CHAR(92),CHAR(96))),CHAR(34),CHAR(39))))</f>
        <v/>
      </c>
      <c r="R359" s="5" t="str">
        <f>IF(OR(TRIM($B359)="",$H359=""),"",IF(OR(ISNUMBER(SEARCH(_xlfn.CONCAT(CHAR(96),CHAR(34)),$H359)),ISNUMBER(SEARCH(_xlfn.CONCAT(CHAR(34),CHAR(39)),$H359))),_xlfn.CONCAT("* REVIEW REQUIRED: compound-quote delimiter in Source on Sheet 1 row ",359,"; edit the input before running."),_xlfn.CONCAT("char ",TRIM($B359),"[doc_source] ",CHAR(96),CHAR(34),SUBSTITUTE(SUBSTITUTE(SUBSTITUTE(SUBSTITUTE(SUBSTITUTE(SUBSTITUTE($H359,CHAR(13)," "),CHAR(10)," "),CHAR(9)," "),CHAR(92),_xlfn.CONCAT(CHAR(92),CHAR(92))),"$",_xlfn.CONCAT(CHAR(92),"$")),CHAR(96),_xlfn.CONCAT(CHAR(92),CHAR(96))),CHAR(34),CHAR(39))))</f>
        <v/>
      </c>
      <c r="S359" s="5" t="str">
        <f>IF(OR(TRIM($B359)="",$I359=""),"",IF(OR(ISNUMBER(SEARCH(_xlfn.CONCAT(CHAR(96),CHAR(34)),$I359)),ISNUMBER(SEARCH(_xlfn.CONCAT(CHAR(34),CHAR(39)),$I359))),_xlfn.CONCAT("* REVIEW REQUIRED: compound-quote delimiter in Derivation on Sheet 1 row ",359,"; edit the input before running."),_xlfn.CONCAT("char ",TRIM($B359),"[doc_derivation] ",CHAR(96),CHAR(34),SUBSTITUTE(SUBSTITUTE(SUBSTITUTE(SUBSTITUTE(SUBSTITUTE(SUBSTITUTE($I359,CHAR(13)," "),CHAR(10)," "),CHAR(9)," "),CHAR(92),_xlfn.CONCAT(CHAR(92),CHAR(92))),"$",_xlfn.CONCAT(CHAR(92),"$")),CHAR(96),_xlfn.CONCAT(CHAR(92),CHAR(96))),CHAR(34),CHAR(39))))</f>
        <v/>
      </c>
      <c r="T359" s="5" t="str">
        <f>IF(OR(TRIM($B359)="",$J359=""),"",IF(OR(ISNUMBER(SEARCH(_xlfn.CONCAT(CHAR(96),CHAR(34)),$J359)),ISNUMBER(SEARCH(_xlfn.CONCAT(CHAR(34),CHAR(39)),$J359))),_xlfn.CONCAT("* REVIEW REQUIRED: compound-quote delimiter in Notes on Sheet 1 row ",359,"; edit the input before running."),_xlfn.CONCAT("char ",TRIM($B359),"[doc_notes] ",CHAR(96),CHAR(34),SUBSTITUTE(SUBSTITUTE(SUBSTITUTE(SUBSTITUTE(SUBSTITUTE(SUBSTITUTE($J359,CHAR(13)," "),CHAR(10)," "),CHAR(9)," "),CHAR(92),_xlfn.CONCAT(CHAR(92),CHAR(92))),"$",_xlfn.CONCAT(CHAR(92),"$")),CHAR(96),_xlfn.CONCAT(CHAR(92),CHAR(96))),CHAR(34),CHAR(39))))</f>
        <v/>
      </c>
      <c r="U359" s="5">
        <f t="shared" si="11"/>
        <v>0</v>
      </c>
    </row>
    <row r="360" spans="3:21" ht="30" customHeight="1" x14ac:dyDescent="0.2">
      <c r="C360" s="4"/>
      <c r="K360" s="5">
        <f t="shared" si="10"/>
        <v>0</v>
      </c>
      <c r="L360" s="5" t="str">
        <f>IF(OR(TRIM($B360)="",$A360=""),"",IF(OR(ISNUMBER(SEARCH(_xlfn.CONCAT(CHAR(96),CHAR(34)),$A360)),ISNUMBER(SEARCH(_xlfn.CONCAT(CHAR(34),CHAR(39)),$A360))),_xlfn.CONCAT("* REVIEW REQUIRED: compound-quote delimiter in Codebook Section on Sheet 1 row ",360,"; edit the input before running."),_xlfn.CONCAT("char ",TRIM($B360),"[doc_section] ",CHAR(96),CHAR(34),SUBSTITUTE(SUBSTITUTE(SUBSTITUTE(SUBSTITUTE(SUBSTITUTE(SUBSTITUTE($A360,CHAR(13)," "),CHAR(10)," "),CHAR(9)," "),CHAR(92),_xlfn.CONCAT(CHAR(92),CHAR(92))),"$",_xlfn.CONCAT(CHAR(92),"$")),CHAR(96),_xlfn.CONCAT(CHAR(92),CHAR(96))),CHAR(34),CHAR(39))))</f>
        <v/>
      </c>
      <c r="M360" s="5" t="str">
        <f>IF(OR(TRIM($B360)="",$C360=""),"",IF(IFERROR(MATCH(TRIM($C360),{"Quantitative","Continuous","Discrete","Categorical","Nominal","Ordinal","Identifier"},0),0)=0,_xlfn.CONCAT("* REVIEW REQUIRED: invalid Variable Type on Sheet 1 row ",360,"."),_xlfn.CONCAT("char ",TRIM($B360),"[doc_vartype] ",CHAR(96),CHAR(34),SUBSTITUTE(SUBSTITUTE(SUBSTITUTE(SUBSTITUTE(SUBSTITUTE(SUBSTITUTE(LOWER(TRIM($C360)),CHAR(13)," "),CHAR(10)," "),CHAR(9)," "),CHAR(92),_xlfn.CONCAT(CHAR(92),CHAR(92))),"$",_xlfn.CONCAT(CHAR(92),"$")),CHAR(96),_xlfn.CONCAT(CHAR(92),CHAR(96))),CHAR(34),CHAR(39))))</f>
        <v/>
      </c>
      <c r="N360" s="5" t="str">
        <f>IF(OR(TRIM($B360)="",$D360=""),"",IF(OR(ISNUMBER(SEARCH(_xlfn.CONCAT(CHAR(96),CHAR(34)),$D360)),ISNUMBER(SEARCH(_xlfn.CONCAT(CHAR(34),CHAR(39)),$D360))),_xlfn.CONCAT("* REVIEW REQUIRED: compound-quote delimiter in Item Number on Sheet 1 row ",360,"; edit the input before running."),_xlfn.CONCAT("char ",TRIM($B360),"[doc_itemnum] ",CHAR(96),CHAR(34),SUBSTITUTE(SUBSTITUTE(SUBSTITUTE(SUBSTITUTE(SUBSTITUTE(SUBSTITUTE($D360,CHAR(13)," "),CHAR(10)," "),CHAR(9)," "),CHAR(92),_xlfn.CONCAT(CHAR(92),CHAR(92))),"$",_xlfn.CONCAT(CHAR(92),"$")),CHAR(96),_xlfn.CONCAT(CHAR(92),CHAR(96))),CHAR(34),CHAR(39))))</f>
        <v/>
      </c>
      <c r="O360" s="5" t="str">
        <f>IF(OR(TRIM($B360)="",$E360=""),"",IF(OR(ISNUMBER(SEARCH(_xlfn.CONCAT(CHAR(96),CHAR(34)),$E360)),ISNUMBER(SEARCH(_xlfn.CONCAT(CHAR(34),CHAR(39)),$E360))),_xlfn.CONCAT("* REVIEW REQUIRED: compound-quote delimiter in Question Wording on Sheet 1 row ",360,"; edit the input before running."),_xlfn.CONCAT("char ",TRIM($B360),"[doc_question] ",CHAR(96),CHAR(34),SUBSTITUTE(SUBSTITUTE(SUBSTITUTE(SUBSTITUTE(SUBSTITUTE(SUBSTITUTE($E360,CHAR(13)," "),CHAR(10)," "),CHAR(9)," "),CHAR(92),_xlfn.CONCAT(CHAR(92),CHAR(92))),"$",_xlfn.CONCAT(CHAR(92),"$")),CHAR(96),_xlfn.CONCAT(CHAR(92),CHAR(96))),CHAR(34),CHAR(39))))</f>
        <v/>
      </c>
      <c r="P360" s="5" t="str">
        <f>IF(OR(TRIM($B360)="",$F360=""),"",IF(OR(ISNUMBER(SEARCH(_xlfn.CONCAT(CHAR(96),CHAR(34)),$F360)),ISNUMBER(SEARCH(_xlfn.CONCAT(CHAR(34),CHAR(39)),$F360))),_xlfn.CONCAT("* REVIEW REQUIRED: compound-quote delimiter in Units on Sheet 1 row ",360,"; edit the input before running."),_xlfn.CONCAT("char ",TRIM($B360),"[doc_units] ",CHAR(96),CHAR(34),SUBSTITUTE(SUBSTITUTE(SUBSTITUTE(SUBSTITUTE(SUBSTITUTE(SUBSTITUTE($F360,CHAR(13)," "),CHAR(10)," "),CHAR(9)," "),CHAR(92),_xlfn.CONCAT(CHAR(92),CHAR(92))),"$",_xlfn.CONCAT(CHAR(92),"$")),CHAR(96),_xlfn.CONCAT(CHAR(92),CHAR(96))),CHAR(34),CHAR(39))))</f>
        <v/>
      </c>
      <c r="Q360" s="5" t="str">
        <f>IF(OR(TRIM($B360)="",$G360=""),"",IF(OR(ISNUMBER(SEARCH(_xlfn.CONCAT(CHAR(96),CHAR(34)),$G360)),ISNUMBER(SEARCH(_xlfn.CONCAT(CHAR(34),CHAR(39)),$G360))),_xlfn.CONCAT("* REVIEW REQUIRED: compound-quote delimiter in Universe on Sheet 1 row ",360,"; edit the input before running."),_xlfn.CONCAT("char ",TRIM($B360),"[doc_universe] ",CHAR(96),CHAR(34),SUBSTITUTE(SUBSTITUTE(SUBSTITUTE(SUBSTITUTE(SUBSTITUTE(SUBSTITUTE($G360,CHAR(13)," "),CHAR(10)," "),CHAR(9)," "),CHAR(92),_xlfn.CONCAT(CHAR(92),CHAR(92))),"$",_xlfn.CONCAT(CHAR(92),"$")),CHAR(96),_xlfn.CONCAT(CHAR(92),CHAR(96))),CHAR(34),CHAR(39))))</f>
        <v/>
      </c>
      <c r="R360" s="5" t="str">
        <f>IF(OR(TRIM($B360)="",$H360=""),"",IF(OR(ISNUMBER(SEARCH(_xlfn.CONCAT(CHAR(96),CHAR(34)),$H360)),ISNUMBER(SEARCH(_xlfn.CONCAT(CHAR(34),CHAR(39)),$H360))),_xlfn.CONCAT("* REVIEW REQUIRED: compound-quote delimiter in Source on Sheet 1 row ",360,"; edit the input before running."),_xlfn.CONCAT("char ",TRIM($B360),"[doc_source] ",CHAR(96),CHAR(34),SUBSTITUTE(SUBSTITUTE(SUBSTITUTE(SUBSTITUTE(SUBSTITUTE(SUBSTITUTE($H360,CHAR(13)," "),CHAR(10)," "),CHAR(9)," "),CHAR(92),_xlfn.CONCAT(CHAR(92),CHAR(92))),"$",_xlfn.CONCAT(CHAR(92),"$")),CHAR(96),_xlfn.CONCAT(CHAR(92),CHAR(96))),CHAR(34),CHAR(39))))</f>
        <v/>
      </c>
      <c r="S360" s="5" t="str">
        <f>IF(OR(TRIM($B360)="",$I360=""),"",IF(OR(ISNUMBER(SEARCH(_xlfn.CONCAT(CHAR(96),CHAR(34)),$I360)),ISNUMBER(SEARCH(_xlfn.CONCAT(CHAR(34),CHAR(39)),$I360))),_xlfn.CONCAT("* REVIEW REQUIRED: compound-quote delimiter in Derivation on Sheet 1 row ",360,"; edit the input before running."),_xlfn.CONCAT("char ",TRIM($B360),"[doc_derivation] ",CHAR(96),CHAR(34),SUBSTITUTE(SUBSTITUTE(SUBSTITUTE(SUBSTITUTE(SUBSTITUTE(SUBSTITUTE($I360,CHAR(13)," "),CHAR(10)," "),CHAR(9)," "),CHAR(92),_xlfn.CONCAT(CHAR(92),CHAR(92))),"$",_xlfn.CONCAT(CHAR(92),"$")),CHAR(96),_xlfn.CONCAT(CHAR(92),CHAR(96))),CHAR(34),CHAR(39))))</f>
        <v/>
      </c>
      <c r="T360" s="5" t="str">
        <f>IF(OR(TRIM($B360)="",$J360=""),"",IF(OR(ISNUMBER(SEARCH(_xlfn.CONCAT(CHAR(96),CHAR(34)),$J360)),ISNUMBER(SEARCH(_xlfn.CONCAT(CHAR(34),CHAR(39)),$J360))),_xlfn.CONCAT("* REVIEW REQUIRED: compound-quote delimiter in Notes on Sheet 1 row ",360,"; edit the input before running."),_xlfn.CONCAT("char ",TRIM($B360),"[doc_notes] ",CHAR(96),CHAR(34),SUBSTITUTE(SUBSTITUTE(SUBSTITUTE(SUBSTITUTE(SUBSTITUTE(SUBSTITUTE($J360,CHAR(13)," "),CHAR(10)," "),CHAR(9)," "),CHAR(92),_xlfn.CONCAT(CHAR(92),CHAR(92))),"$",_xlfn.CONCAT(CHAR(92),"$")),CHAR(96),_xlfn.CONCAT(CHAR(92),CHAR(96))),CHAR(34),CHAR(39))))</f>
        <v/>
      </c>
      <c r="U360" s="5">
        <f t="shared" si="11"/>
        <v>0</v>
      </c>
    </row>
    <row r="361" spans="3:21" ht="30" customHeight="1" x14ac:dyDescent="0.2">
      <c r="C361" s="4"/>
      <c r="K361" s="5">
        <f t="shared" si="10"/>
        <v>0</v>
      </c>
      <c r="L361" s="5" t="str">
        <f>IF(OR(TRIM($B361)="",$A361=""),"",IF(OR(ISNUMBER(SEARCH(_xlfn.CONCAT(CHAR(96),CHAR(34)),$A361)),ISNUMBER(SEARCH(_xlfn.CONCAT(CHAR(34),CHAR(39)),$A361))),_xlfn.CONCAT("* REVIEW REQUIRED: compound-quote delimiter in Codebook Section on Sheet 1 row ",361,"; edit the input before running."),_xlfn.CONCAT("char ",TRIM($B361),"[doc_section] ",CHAR(96),CHAR(34),SUBSTITUTE(SUBSTITUTE(SUBSTITUTE(SUBSTITUTE(SUBSTITUTE(SUBSTITUTE($A361,CHAR(13)," "),CHAR(10)," "),CHAR(9)," "),CHAR(92),_xlfn.CONCAT(CHAR(92),CHAR(92))),"$",_xlfn.CONCAT(CHAR(92),"$")),CHAR(96),_xlfn.CONCAT(CHAR(92),CHAR(96))),CHAR(34),CHAR(39))))</f>
        <v/>
      </c>
      <c r="M361" s="5" t="str">
        <f>IF(OR(TRIM($B361)="",$C361=""),"",IF(IFERROR(MATCH(TRIM($C361),{"Quantitative","Continuous","Discrete","Categorical","Nominal","Ordinal","Identifier"},0),0)=0,_xlfn.CONCAT("* REVIEW REQUIRED: invalid Variable Type on Sheet 1 row ",361,"."),_xlfn.CONCAT("char ",TRIM($B361),"[doc_vartype] ",CHAR(96),CHAR(34),SUBSTITUTE(SUBSTITUTE(SUBSTITUTE(SUBSTITUTE(SUBSTITUTE(SUBSTITUTE(LOWER(TRIM($C361)),CHAR(13)," "),CHAR(10)," "),CHAR(9)," "),CHAR(92),_xlfn.CONCAT(CHAR(92),CHAR(92))),"$",_xlfn.CONCAT(CHAR(92),"$")),CHAR(96),_xlfn.CONCAT(CHAR(92),CHAR(96))),CHAR(34),CHAR(39))))</f>
        <v/>
      </c>
      <c r="N361" s="5" t="str">
        <f>IF(OR(TRIM($B361)="",$D361=""),"",IF(OR(ISNUMBER(SEARCH(_xlfn.CONCAT(CHAR(96),CHAR(34)),$D361)),ISNUMBER(SEARCH(_xlfn.CONCAT(CHAR(34),CHAR(39)),$D361))),_xlfn.CONCAT("* REVIEW REQUIRED: compound-quote delimiter in Item Number on Sheet 1 row ",361,"; edit the input before running."),_xlfn.CONCAT("char ",TRIM($B361),"[doc_itemnum] ",CHAR(96),CHAR(34),SUBSTITUTE(SUBSTITUTE(SUBSTITUTE(SUBSTITUTE(SUBSTITUTE(SUBSTITUTE($D361,CHAR(13)," "),CHAR(10)," "),CHAR(9)," "),CHAR(92),_xlfn.CONCAT(CHAR(92),CHAR(92))),"$",_xlfn.CONCAT(CHAR(92),"$")),CHAR(96),_xlfn.CONCAT(CHAR(92),CHAR(96))),CHAR(34),CHAR(39))))</f>
        <v/>
      </c>
      <c r="O361" s="5" t="str">
        <f>IF(OR(TRIM($B361)="",$E361=""),"",IF(OR(ISNUMBER(SEARCH(_xlfn.CONCAT(CHAR(96),CHAR(34)),$E361)),ISNUMBER(SEARCH(_xlfn.CONCAT(CHAR(34),CHAR(39)),$E361))),_xlfn.CONCAT("* REVIEW REQUIRED: compound-quote delimiter in Question Wording on Sheet 1 row ",361,"; edit the input before running."),_xlfn.CONCAT("char ",TRIM($B361),"[doc_question] ",CHAR(96),CHAR(34),SUBSTITUTE(SUBSTITUTE(SUBSTITUTE(SUBSTITUTE(SUBSTITUTE(SUBSTITUTE($E361,CHAR(13)," "),CHAR(10)," "),CHAR(9)," "),CHAR(92),_xlfn.CONCAT(CHAR(92),CHAR(92))),"$",_xlfn.CONCAT(CHAR(92),"$")),CHAR(96),_xlfn.CONCAT(CHAR(92),CHAR(96))),CHAR(34),CHAR(39))))</f>
        <v/>
      </c>
      <c r="P361" s="5" t="str">
        <f>IF(OR(TRIM($B361)="",$F361=""),"",IF(OR(ISNUMBER(SEARCH(_xlfn.CONCAT(CHAR(96),CHAR(34)),$F361)),ISNUMBER(SEARCH(_xlfn.CONCAT(CHAR(34),CHAR(39)),$F361))),_xlfn.CONCAT("* REVIEW REQUIRED: compound-quote delimiter in Units on Sheet 1 row ",361,"; edit the input before running."),_xlfn.CONCAT("char ",TRIM($B361),"[doc_units] ",CHAR(96),CHAR(34),SUBSTITUTE(SUBSTITUTE(SUBSTITUTE(SUBSTITUTE(SUBSTITUTE(SUBSTITUTE($F361,CHAR(13)," "),CHAR(10)," "),CHAR(9)," "),CHAR(92),_xlfn.CONCAT(CHAR(92),CHAR(92))),"$",_xlfn.CONCAT(CHAR(92),"$")),CHAR(96),_xlfn.CONCAT(CHAR(92),CHAR(96))),CHAR(34),CHAR(39))))</f>
        <v/>
      </c>
      <c r="Q361" s="5" t="str">
        <f>IF(OR(TRIM($B361)="",$G361=""),"",IF(OR(ISNUMBER(SEARCH(_xlfn.CONCAT(CHAR(96),CHAR(34)),$G361)),ISNUMBER(SEARCH(_xlfn.CONCAT(CHAR(34),CHAR(39)),$G361))),_xlfn.CONCAT("* REVIEW REQUIRED: compound-quote delimiter in Universe on Sheet 1 row ",361,"; edit the input before running."),_xlfn.CONCAT("char ",TRIM($B361),"[doc_universe] ",CHAR(96),CHAR(34),SUBSTITUTE(SUBSTITUTE(SUBSTITUTE(SUBSTITUTE(SUBSTITUTE(SUBSTITUTE($G361,CHAR(13)," "),CHAR(10)," "),CHAR(9)," "),CHAR(92),_xlfn.CONCAT(CHAR(92),CHAR(92))),"$",_xlfn.CONCAT(CHAR(92),"$")),CHAR(96),_xlfn.CONCAT(CHAR(92),CHAR(96))),CHAR(34),CHAR(39))))</f>
        <v/>
      </c>
      <c r="R361" s="5" t="str">
        <f>IF(OR(TRIM($B361)="",$H361=""),"",IF(OR(ISNUMBER(SEARCH(_xlfn.CONCAT(CHAR(96),CHAR(34)),$H361)),ISNUMBER(SEARCH(_xlfn.CONCAT(CHAR(34),CHAR(39)),$H361))),_xlfn.CONCAT("* REVIEW REQUIRED: compound-quote delimiter in Source on Sheet 1 row ",361,"; edit the input before running."),_xlfn.CONCAT("char ",TRIM($B361),"[doc_source] ",CHAR(96),CHAR(34),SUBSTITUTE(SUBSTITUTE(SUBSTITUTE(SUBSTITUTE(SUBSTITUTE(SUBSTITUTE($H361,CHAR(13)," "),CHAR(10)," "),CHAR(9)," "),CHAR(92),_xlfn.CONCAT(CHAR(92),CHAR(92))),"$",_xlfn.CONCAT(CHAR(92),"$")),CHAR(96),_xlfn.CONCAT(CHAR(92),CHAR(96))),CHAR(34),CHAR(39))))</f>
        <v/>
      </c>
      <c r="S361" s="5" t="str">
        <f>IF(OR(TRIM($B361)="",$I361=""),"",IF(OR(ISNUMBER(SEARCH(_xlfn.CONCAT(CHAR(96),CHAR(34)),$I361)),ISNUMBER(SEARCH(_xlfn.CONCAT(CHAR(34),CHAR(39)),$I361))),_xlfn.CONCAT("* REVIEW REQUIRED: compound-quote delimiter in Derivation on Sheet 1 row ",361,"; edit the input before running."),_xlfn.CONCAT("char ",TRIM($B361),"[doc_derivation] ",CHAR(96),CHAR(34),SUBSTITUTE(SUBSTITUTE(SUBSTITUTE(SUBSTITUTE(SUBSTITUTE(SUBSTITUTE($I361,CHAR(13)," "),CHAR(10)," "),CHAR(9)," "),CHAR(92),_xlfn.CONCAT(CHAR(92),CHAR(92))),"$",_xlfn.CONCAT(CHAR(92),"$")),CHAR(96),_xlfn.CONCAT(CHAR(92),CHAR(96))),CHAR(34),CHAR(39))))</f>
        <v/>
      </c>
      <c r="T361" s="5" t="str">
        <f>IF(OR(TRIM($B361)="",$J361=""),"",IF(OR(ISNUMBER(SEARCH(_xlfn.CONCAT(CHAR(96),CHAR(34)),$J361)),ISNUMBER(SEARCH(_xlfn.CONCAT(CHAR(34),CHAR(39)),$J361))),_xlfn.CONCAT("* REVIEW REQUIRED: compound-quote delimiter in Notes on Sheet 1 row ",361,"; edit the input before running."),_xlfn.CONCAT("char ",TRIM($B361),"[doc_notes] ",CHAR(96),CHAR(34),SUBSTITUTE(SUBSTITUTE(SUBSTITUTE(SUBSTITUTE(SUBSTITUTE(SUBSTITUTE($J361,CHAR(13)," "),CHAR(10)," "),CHAR(9)," "),CHAR(92),_xlfn.CONCAT(CHAR(92),CHAR(92))),"$",_xlfn.CONCAT(CHAR(92),"$")),CHAR(96),_xlfn.CONCAT(CHAR(92),CHAR(96))),CHAR(34),CHAR(39))))</f>
        <v/>
      </c>
      <c r="U361" s="5">
        <f t="shared" si="11"/>
        <v>0</v>
      </c>
    </row>
    <row r="362" spans="3:21" ht="30" customHeight="1" x14ac:dyDescent="0.2">
      <c r="C362" s="4"/>
      <c r="K362" s="5">
        <f t="shared" si="10"/>
        <v>0</v>
      </c>
      <c r="L362" s="5" t="str">
        <f>IF(OR(TRIM($B362)="",$A362=""),"",IF(OR(ISNUMBER(SEARCH(_xlfn.CONCAT(CHAR(96),CHAR(34)),$A362)),ISNUMBER(SEARCH(_xlfn.CONCAT(CHAR(34),CHAR(39)),$A362))),_xlfn.CONCAT("* REVIEW REQUIRED: compound-quote delimiter in Codebook Section on Sheet 1 row ",362,"; edit the input before running."),_xlfn.CONCAT("char ",TRIM($B362),"[doc_section] ",CHAR(96),CHAR(34),SUBSTITUTE(SUBSTITUTE(SUBSTITUTE(SUBSTITUTE(SUBSTITUTE(SUBSTITUTE($A362,CHAR(13)," "),CHAR(10)," "),CHAR(9)," "),CHAR(92),_xlfn.CONCAT(CHAR(92),CHAR(92))),"$",_xlfn.CONCAT(CHAR(92),"$")),CHAR(96),_xlfn.CONCAT(CHAR(92),CHAR(96))),CHAR(34),CHAR(39))))</f>
        <v/>
      </c>
      <c r="M362" s="5" t="str">
        <f>IF(OR(TRIM($B362)="",$C362=""),"",IF(IFERROR(MATCH(TRIM($C362),{"Quantitative","Continuous","Discrete","Categorical","Nominal","Ordinal","Identifier"},0),0)=0,_xlfn.CONCAT("* REVIEW REQUIRED: invalid Variable Type on Sheet 1 row ",362,"."),_xlfn.CONCAT("char ",TRIM($B362),"[doc_vartype] ",CHAR(96),CHAR(34),SUBSTITUTE(SUBSTITUTE(SUBSTITUTE(SUBSTITUTE(SUBSTITUTE(SUBSTITUTE(LOWER(TRIM($C362)),CHAR(13)," "),CHAR(10)," "),CHAR(9)," "),CHAR(92),_xlfn.CONCAT(CHAR(92),CHAR(92))),"$",_xlfn.CONCAT(CHAR(92),"$")),CHAR(96),_xlfn.CONCAT(CHAR(92),CHAR(96))),CHAR(34),CHAR(39))))</f>
        <v/>
      </c>
      <c r="N362" s="5" t="str">
        <f>IF(OR(TRIM($B362)="",$D362=""),"",IF(OR(ISNUMBER(SEARCH(_xlfn.CONCAT(CHAR(96),CHAR(34)),$D362)),ISNUMBER(SEARCH(_xlfn.CONCAT(CHAR(34),CHAR(39)),$D362))),_xlfn.CONCAT("* REVIEW REQUIRED: compound-quote delimiter in Item Number on Sheet 1 row ",362,"; edit the input before running."),_xlfn.CONCAT("char ",TRIM($B362),"[doc_itemnum] ",CHAR(96),CHAR(34),SUBSTITUTE(SUBSTITUTE(SUBSTITUTE(SUBSTITUTE(SUBSTITUTE(SUBSTITUTE($D362,CHAR(13)," "),CHAR(10)," "),CHAR(9)," "),CHAR(92),_xlfn.CONCAT(CHAR(92),CHAR(92))),"$",_xlfn.CONCAT(CHAR(92),"$")),CHAR(96),_xlfn.CONCAT(CHAR(92),CHAR(96))),CHAR(34),CHAR(39))))</f>
        <v/>
      </c>
      <c r="O362" s="5" t="str">
        <f>IF(OR(TRIM($B362)="",$E362=""),"",IF(OR(ISNUMBER(SEARCH(_xlfn.CONCAT(CHAR(96),CHAR(34)),$E362)),ISNUMBER(SEARCH(_xlfn.CONCAT(CHAR(34),CHAR(39)),$E362))),_xlfn.CONCAT("* REVIEW REQUIRED: compound-quote delimiter in Question Wording on Sheet 1 row ",362,"; edit the input before running."),_xlfn.CONCAT("char ",TRIM($B362),"[doc_question] ",CHAR(96),CHAR(34),SUBSTITUTE(SUBSTITUTE(SUBSTITUTE(SUBSTITUTE(SUBSTITUTE(SUBSTITUTE($E362,CHAR(13)," "),CHAR(10)," "),CHAR(9)," "),CHAR(92),_xlfn.CONCAT(CHAR(92),CHAR(92))),"$",_xlfn.CONCAT(CHAR(92),"$")),CHAR(96),_xlfn.CONCAT(CHAR(92),CHAR(96))),CHAR(34),CHAR(39))))</f>
        <v/>
      </c>
      <c r="P362" s="5" t="str">
        <f>IF(OR(TRIM($B362)="",$F362=""),"",IF(OR(ISNUMBER(SEARCH(_xlfn.CONCAT(CHAR(96),CHAR(34)),$F362)),ISNUMBER(SEARCH(_xlfn.CONCAT(CHAR(34),CHAR(39)),$F362))),_xlfn.CONCAT("* REVIEW REQUIRED: compound-quote delimiter in Units on Sheet 1 row ",362,"; edit the input before running."),_xlfn.CONCAT("char ",TRIM($B362),"[doc_units] ",CHAR(96),CHAR(34),SUBSTITUTE(SUBSTITUTE(SUBSTITUTE(SUBSTITUTE(SUBSTITUTE(SUBSTITUTE($F362,CHAR(13)," "),CHAR(10)," "),CHAR(9)," "),CHAR(92),_xlfn.CONCAT(CHAR(92),CHAR(92))),"$",_xlfn.CONCAT(CHAR(92),"$")),CHAR(96),_xlfn.CONCAT(CHAR(92),CHAR(96))),CHAR(34),CHAR(39))))</f>
        <v/>
      </c>
      <c r="Q362" s="5" t="str">
        <f>IF(OR(TRIM($B362)="",$G362=""),"",IF(OR(ISNUMBER(SEARCH(_xlfn.CONCAT(CHAR(96),CHAR(34)),$G362)),ISNUMBER(SEARCH(_xlfn.CONCAT(CHAR(34),CHAR(39)),$G362))),_xlfn.CONCAT("* REVIEW REQUIRED: compound-quote delimiter in Universe on Sheet 1 row ",362,"; edit the input before running."),_xlfn.CONCAT("char ",TRIM($B362),"[doc_universe] ",CHAR(96),CHAR(34),SUBSTITUTE(SUBSTITUTE(SUBSTITUTE(SUBSTITUTE(SUBSTITUTE(SUBSTITUTE($G362,CHAR(13)," "),CHAR(10)," "),CHAR(9)," "),CHAR(92),_xlfn.CONCAT(CHAR(92),CHAR(92))),"$",_xlfn.CONCAT(CHAR(92),"$")),CHAR(96),_xlfn.CONCAT(CHAR(92),CHAR(96))),CHAR(34),CHAR(39))))</f>
        <v/>
      </c>
      <c r="R362" s="5" t="str">
        <f>IF(OR(TRIM($B362)="",$H362=""),"",IF(OR(ISNUMBER(SEARCH(_xlfn.CONCAT(CHAR(96),CHAR(34)),$H362)),ISNUMBER(SEARCH(_xlfn.CONCAT(CHAR(34),CHAR(39)),$H362))),_xlfn.CONCAT("* REVIEW REQUIRED: compound-quote delimiter in Source on Sheet 1 row ",362,"; edit the input before running."),_xlfn.CONCAT("char ",TRIM($B362),"[doc_source] ",CHAR(96),CHAR(34),SUBSTITUTE(SUBSTITUTE(SUBSTITUTE(SUBSTITUTE(SUBSTITUTE(SUBSTITUTE($H362,CHAR(13)," "),CHAR(10)," "),CHAR(9)," "),CHAR(92),_xlfn.CONCAT(CHAR(92),CHAR(92))),"$",_xlfn.CONCAT(CHAR(92),"$")),CHAR(96),_xlfn.CONCAT(CHAR(92),CHAR(96))),CHAR(34),CHAR(39))))</f>
        <v/>
      </c>
      <c r="S362" s="5" t="str">
        <f>IF(OR(TRIM($B362)="",$I362=""),"",IF(OR(ISNUMBER(SEARCH(_xlfn.CONCAT(CHAR(96),CHAR(34)),$I362)),ISNUMBER(SEARCH(_xlfn.CONCAT(CHAR(34),CHAR(39)),$I362))),_xlfn.CONCAT("* REVIEW REQUIRED: compound-quote delimiter in Derivation on Sheet 1 row ",362,"; edit the input before running."),_xlfn.CONCAT("char ",TRIM($B362),"[doc_derivation] ",CHAR(96),CHAR(34),SUBSTITUTE(SUBSTITUTE(SUBSTITUTE(SUBSTITUTE(SUBSTITUTE(SUBSTITUTE($I362,CHAR(13)," "),CHAR(10)," "),CHAR(9)," "),CHAR(92),_xlfn.CONCAT(CHAR(92),CHAR(92))),"$",_xlfn.CONCAT(CHAR(92),"$")),CHAR(96),_xlfn.CONCAT(CHAR(92),CHAR(96))),CHAR(34),CHAR(39))))</f>
        <v/>
      </c>
      <c r="T362" s="5" t="str">
        <f>IF(OR(TRIM($B362)="",$J362=""),"",IF(OR(ISNUMBER(SEARCH(_xlfn.CONCAT(CHAR(96),CHAR(34)),$J362)),ISNUMBER(SEARCH(_xlfn.CONCAT(CHAR(34),CHAR(39)),$J362))),_xlfn.CONCAT("* REVIEW REQUIRED: compound-quote delimiter in Notes on Sheet 1 row ",362,"; edit the input before running."),_xlfn.CONCAT("char ",TRIM($B362),"[doc_notes] ",CHAR(96),CHAR(34),SUBSTITUTE(SUBSTITUTE(SUBSTITUTE(SUBSTITUTE(SUBSTITUTE(SUBSTITUTE($J362,CHAR(13)," "),CHAR(10)," "),CHAR(9)," "),CHAR(92),_xlfn.CONCAT(CHAR(92),CHAR(92))),"$",_xlfn.CONCAT(CHAR(92),"$")),CHAR(96),_xlfn.CONCAT(CHAR(92),CHAR(96))),CHAR(34),CHAR(39))))</f>
        <v/>
      </c>
      <c r="U362" s="5">
        <f t="shared" si="11"/>
        <v>0</v>
      </c>
    </row>
    <row r="363" spans="3:21" ht="30" customHeight="1" x14ac:dyDescent="0.2">
      <c r="C363" s="4"/>
      <c r="K363" s="5">
        <f t="shared" si="10"/>
        <v>0</v>
      </c>
      <c r="L363" s="5" t="str">
        <f>IF(OR(TRIM($B363)="",$A363=""),"",IF(OR(ISNUMBER(SEARCH(_xlfn.CONCAT(CHAR(96),CHAR(34)),$A363)),ISNUMBER(SEARCH(_xlfn.CONCAT(CHAR(34),CHAR(39)),$A363))),_xlfn.CONCAT("* REVIEW REQUIRED: compound-quote delimiter in Codebook Section on Sheet 1 row ",363,"; edit the input before running."),_xlfn.CONCAT("char ",TRIM($B363),"[doc_section] ",CHAR(96),CHAR(34),SUBSTITUTE(SUBSTITUTE(SUBSTITUTE(SUBSTITUTE(SUBSTITUTE(SUBSTITUTE($A363,CHAR(13)," "),CHAR(10)," "),CHAR(9)," "),CHAR(92),_xlfn.CONCAT(CHAR(92),CHAR(92))),"$",_xlfn.CONCAT(CHAR(92),"$")),CHAR(96),_xlfn.CONCAT(CHAR(92),CHAR(96))),CHAR(34),CHAR(39))))</f>
        <v/>
      </c>
      <c r="M363" s="5" t="str">
        <f>IF(OR(TRIM($B363)="",$C363=""),"",IF(IFERROR(MATCH(TRIM($C363),{"Quantitative","Continuous","Discrete","Categorical","Nominal","Ordinal","Identifier"},0),0)=0,_xlfn.CONCAT("* REVIEW REQUIRED: invalid Variable Type on Sheet 1 row ",363,"."),_xlfn.CONCAT("char ",TRIM($B363),"[doc_vartype] ",CHAR(96),CHAR(34),SUBSTITUTE(SUBSTITUTE(SUBSTITUTE(SUBSTITUTE(SUBSTITUTE(SUBSTITUTE(LOWER(TRIM($C363)),CHAR(13)," "),CHAR(10)," "),CHAR(9)," "),CHAR(92),_xlfn.CONCAT(CHAR(92),CHAR(92))),"$",_xlfn.CONCAT(CHAR(92),"$")),CHAR(96),_xlfn.CONCAT(CHAR(92),CHAR(96))),CHAR(34),CHAR(39))))</f>
        <v/>
      </c>
      <c r="N363" s="5" t="str">
        <f>IF(OR(TRIM($B363)="",$D363=""),"",IF(OR(ISNUMBER(SEARCH(_xlfn.CONCAT(CHAR(96),CHAR(34)),$D363)),ISNUMBER(SEARCH(_xlfn.CONCAT(CHAR(34),CHAR(39)),$D363))),_xlfn.CONCAT("* REVIEW REQUIRED: compound-quote delimiter in Item Number on Sheet 1 row ",363,"; edit the input before running."),_xlfn.CONCAT("char ",TRIM($B363),"[doc_itemnum] ",CHAR(96),CHAR(34),SUBSTITUTE(SUBSTITUTE(SUBSTITUTE(SUBSTITUTE(SUBSTITUTE(SUBSTITUTE($D363,CHAR(13)," "),CHAR(10)," "),CHAR(9)," "),CHAR(92),_xlfn.CONCAT(CHAR(92),CHAR(92))),"$",_xlfn.CONCAT(CHAR(92),"$")),CHAR(96),_xlfn.CONCAT(CHAR(92),CHAR(96))),CHAR(34),CHAR(39))))</f>
        <v/>
      </c>
      <c r="O363" s="5" t="str">
        <f>IF(OR(TRIM($B363)="",$E363=""),"",IF(OR(ISNUMBER(SEARCH(_xlfn.CONCAT(CHAR(96),CHAR(34)),$E363)),ISNUMBER(SEARCH(_xlfn.CONCAT(CHAR(34),CHAR(39)),$E363))),_xlfn.CONCAT("* REVIEW REQUIRED: compound-quote delimiter in Question Wording on Sheet 1 row ",363,"; edit the input before running."),_xlfn.CONCAT("char ",TRIM($B363),"[doc_question] ",CHAR(96),CHAR(34),SUBSTITUTE(SUBSTITUTE(SUBSTITUTE(SUBSTITUTE(SUBSTITUTE(SUBSTITUTE($E363,CHAR(13)," "),CHAR(10)," "),CHAR(9)," "),CHAR(92),_xlfn.CONCAT(CHAR(92),CHAR(92))),"$",_xlfn.CONCAT(CHAR(92),"$")),CHAR(96),_xlfn.CONCAT(CHAR(92),CHAR(96))),CHAR(34),CHAR(39))))</f>
        <v/>
      </c>
      <c r="P363" s="5" t="str">
        <f>IF(OR(TRIM($B363)="",$F363=""),"",IF(OR(ISNUMBER(SEARCH(_xlfn.CONCAT(CHAR(96),CHAR(34)),$F363)),ISNUMBER(SEARCH(_xlfn.CONCAT(CHAR(34),CHAR(39)),$F363))),_xlfn.CONCAT("* REVIEW REQUIRED: compound-quote delimiter in Units on Sheet 1 row ",363,"; edit the input before running."),_xlfn.CONCAT("char ",TRIM($B363),"[doc_units] ",CHAR(96),CHAR(34),SUBSTITUTE(SUBSTITUTE(SUBSTITUTE(SUBSTITUTE(SUBSTITUTE(SUBSTITUTE($F363,CHAR(13)," "),CHAR(10)," "),CHAR(9)," "),CHAR(92),_xlfn.CONCAT(CHAR(92),CHAR(92))),"$",_xlfn.CONCAT(CHAR(92),"$")),CHAR(96),_xlfn.CONCAT(CHAR(92),CHAR(96))),CHAR(34),CHAR(39))))</f>
        <v/>
      </c>
      <c r="Q363" s="5" t="str">
        <f>IF(OR(TRIM($B363)="",$G363=""),"",IF(OR(ISNUMBER(SEARCH(_xlfn.CONCAT(CHAR(96),CHAR(34)),$G363)),ISNUMBER(SEARCH(_xlfn.CONCAT(CHAR(34),CHAR(39)),$G363))),_xlfn.CONCAT("* REVIEW REQUIRED: compound-quote delimiter in Universe on Sheet 1 row ",363,"; edit the input before running."),_xlfn.CONCAT("char ",TRIM($B363),"[doc_universe] ",CHAR(96),CHAR(34),SUBSTITUTE(SUBSTITUTE(SUBSTITUTE(SUBSTITUTE(SUBSTITUTE(SUBSTITUTE($G363,CHAR(13)," "),CHAR(10)," "),CHAR(9)," "),CHAR(92),_xlfn.CONCAT(CHAR(92),CHAR(92))),"$",_xlfn.CONCAT(CHAR(92),"$")),CHAR(96),_xlfn.CONCAT(CHAR(92),CHAR(96))),CHAR(34),CHAR(39))))</f>
        <v/>
      </c>
      <c r="R363" s="5" t="str">
        <f>IF(OR(TRIM($B363)="",$H363=""),"",IF(OR(ISNUMBER(SEARCH(_xlfn.CONCAT(CHAR(96),CHAR(34)),$H363)),ISNUMBER(SEARCH(_xlfn.CONCAT(CHAR(34),CHAR(39)),$H363))),_xlfn.CONCAT("* REVIEW REQUIRED: compound-quote delimiter in Source on Sheet 1 row ",363,"; edit the input before running."),_xlfn.CONCAT("char ",TRIM($B363),"[doc_source] ",CHAR(96),CHAR(34),SUBSTITUTE(SUBSTITUTE(SUBSTITUTE(SUBSTITUTE(SUBSTITUTE(SUBSTITUTE($H363,CHAR(13)," "),CHAR(10)," "),CHAR(9)," "),CHAR(92),_xlfn.CONCAT(CHAR(92),CHAR(92))),"$",_xlfn.CONCAT(CHAR(92),"$")),CHAR(96),_xlfn.CONCAT(CHAR(92),CHAR(96))),CHAR(34),CHAR(39))))</f>
        <v/>
      </c>
      <c r="S363" s="5" t="str">
        <f>IF(OR(TRIM($B363)="",$I363=""),"",IF(OR(ISNUMBER(SEARCH(_xlfn.CONCAT(CHAR(96),CHAR(34)),$I363)),ISNUMBER(SEARCH(_xlfn.CONCAT(CHAR(34),CHAR(39)),$I363))),_xlfn.CONCAT("* REVIEW REQUIRED: compound-quote delimiter in Derivation on Sheet 1 row ",363,"; edit the input before running."),_xlfn.CONCAT("char ",TRIM($B363),"[doc_derivation] ",CHAR(96),CHAR(34),SUBSTITUTE(SUBSTITUTE(SUBSTITUTE(SUBSTITUTE(SUBSTITUTE(SUBSTITUTE($I363,CHAR(13)," "),CHAR(10)," "),CHAR(9)," "),CHAR(92),_xlfn.CONCAT(CHAR(92),CHAR(92))),"$",_xlfn.CONCAT(CHAR(92),"$")),CHAR(96),_xlfn.CONCAT(CHAR(92),CHAR(96))),CHAR(34),CHAR(39))))</f>
        <v/>
      </c>
      <c r="T363" s="5" t="str">
        <f>IF(OR(TRIM($B363)="",$J363=""),"",IF(OR(ISNUMBER(SEARCH(_xlfn.CONCAT(CHAR(96),CHAR(34)),$J363)),ISNUMBER(SEARCH(_xlfn.CONCAT(CHAR(34),CHAR(39)),$J363))),_xlfn.CONCAT("* REVIEW REQUIRED: compound-quote delimiter in Notes on Sheet 1 row ",363,"; edit the input before running."),_xlfn.CONCAT("char ",TRIM($B363),"[doc_notes] ",CHAR(96),CHAR(34),SUBSTITUTE(SUBSTITUTE(SUBSTITUTE(SUBSTITUTE(SUBSTITUTE(SUBSTITUTE($J363,CHAR(13)," "),CHAR(10)," "),CHAR(9)," "),CHAR(92),_xlfn.CONCAT(CHAR(92),CHAR(92))),"$",_xlfn.CONCAT(CHAR(92),"$")),CHAR(96),_xlfn.CONCAT(CHAR(92),CHAR(96))),CHAR(34),CHAR(39))))</f>
        <v/>
      </c>
      <c r="U363" s="5">
        <f t="shared" si="11"/>
        <v>0</v>
      </c>
    </row>
    <row r="364" spans="3:21" ht="30" customHeight="1" x14ac:dyDescent="0.2">
      <c r="C364" s="4"/>
      <c r="K364" s="5">
        <f t="shared" si="10"/>
        <v>0</v>
      </c>
      <c r="L364" s="5" t="str">
        <f>IF(OR(TRIM($B364)="",$A364=""),"",IF(OR(ISNUMBER(SEARCH(_xlfn.CONCAT(CHAR(96),CHAR(34)),$A364)),ISNUMBER(SEARCH(_xlfn.CONCAT(CHAR(34),CHAR(39)),$A364))),_xlfn.CONCAT("* REVIEW REQUIRED: compound-quote delimiter in Codebook Section on Sheet 1 row ",364,"; edit the input before running."),_xlfn.CONCAT("char ",TRIM($B364),"[doc_section] ",CHAR(96),CHAR(34),SUBSTITUTE(SUBSTITUTE(SUBSTITUTE(SUBSTITUTE(SUBSTITUTE(SUBSTITUTE($A364,CHAR(13)," "),CHAR(10)," "),CHAR(9)," "),CHAR(92),_xlfn.CONCAT(CHAR(92),CHAR(92))),"$",_xlfn.CONCAT(CHAR(92),"$")),CHAR(96),_xlfn.CONCAT(CHAR(92),CHAR(96))),CHAR(34),CHAR(39))))</f>
        <v/>
      </c>
      <c r="M364" s="5" t="str">
        <f>IF(OR(TRIM($B364)="",$C364=""),"",IF(IFERROR(MATCH(TRIM($C364),{"Quantitative","Continuous","Discrete","Categorical","Nominal","Ordinal","Identifier"},0),0)=0,_xlfn.CONCAT("* REVIEW REQUIRED: invalid Variable Type on Sheet 1 row ",364,"."),_xlfn.CONCAT("char ",TRIM($B364),"[doc_vartype] ",CHAR(96),CHAR(34),SUBSTITUTE(SUBSTITUTE(SUBSTITUTE(SUBSTITUTE(SUBSTITUTE(SUBSTITUTE(LOWER(TRIM($C364)),CHAR(13)," "),CHAR(10)," "),CHAR(9)," "),CHAR(92),_xlfn.CONCAT(CHAR(92),CHAR(92))),"$",_xlfn.CONCAT(CHAR(92),"$")),CHAR(96),_xlfn.CONCAT(CHAR(92),CHAR(96))),CHAR(34),CHAR(39))))</f>
        <v/>
      </c>
      <c r="N364" s="5" t="str">
        <f>IF(OR(TRIM($B364)="",$D364=""),"",IF(OR(ISNUMBER(SEARCH(_xlfn.CONCAT(CHAR(96),CHAR(34)),$D364)),ISNUMBER(SEARCH(_xlfn.CONCAT(CHAR(34),CHAR(39)),$D364))),_xlfn.CONCAT("* REVIEW REQUIRED: compound-quote delimiter in Item Number on Sheet 1 row ",364,"; edit the input before running."),_xlfn.CONCAT("char ",TRIM($B364),"[doc_itemnum] ",CHAR(96),CHAR(34),SUBSTITUTE(SUBSTITUTE(SUBSTITUTE(SUBSTITUTE(SUBSTITUTE(SUBSTITUTE($D364,CHAR(13)," "),CHAR(10)," "),CHAR(9)," "),CHAR(92),_xlfn.CONCAT(CHAR(92),CHAR(92))),"$",_xlfn.CONCAT(CHAR(92),"$")),CHAR(96),_xlfn.CONCAT(CHAR(92),CHAR(96))),CHAR(34),CHAR(39))))</f>
        <v/>
      </c>
      <c r="O364" s="5" t="str">
        <f>IF(OR(TRIM($B364)="",$E364=""),"",IF(OR(ISNUMBER(SEARCH(_xlfn.CONCAT(CHAR(96),CHAR(34)),$E364)),ISNUMBER(SEARCH(_xlfn.CONCAT(CHAR(34),CHAR(39)),$E364))),_xlfn.CONCAT("* REVIEW REQUIRED: compound-quote delimiter in Question Wording on Sheet 1 row ",364,"; edit the input before running."),_xlfn.CONCAT("char ",TRIM($B364),"[doc_question] ",CHAR(96),CHAR(34),SUBSTITUTE(SUBSTITUTE(SUBSTITUTE(SUBSTITUTE(SUBSTITUTE(SUBSTITUTE($E364,CHAR(13)," "),CHAR(10)," "),CHAR(9)," "),CHAR(92),_xlfn.CONCAT(CHAR(92),CHAR(92))),"$",_xlfn.CONCAT(CHAR(92),"$")),CHAR(96),_xlfn.CONCAT(CHAR(92),CHAR(96))),CHAR(34),CHAR(39))))</f>
        <v/>
      </c>
      <c r="P364" s="5" t="str">
        <f>IF(OR(TRIM($B364)="",$F364=""),"",IF(OR(ISNUMBER(SEARCH(_xlfn.CONCAT(CHAR(96),CHAR(34)),$F364)),ISNUMBER(SEARCH(_xlfn.CONCAT(CHAR(34),CHAR(39)),$F364))),_xlfn.CONCAT("* REVIEW REQUIRED: compound-quote delimiter in Units on Sheet 1 row ",364,"; edit the input before running."),_xlfn.CONCAT("char ",TRIM($B364),"[doc_units] ",CHAR(96),CHAR(34),SUBSTITUTE(SUBSTITUTE(SUBSTITUTE(SUBSTITUTE(SUBSTITUTE(SUBSTITUTE($F364,CHAR(13)," "),CHAR(10)," "),CHAR(9)," "),CHAR(92),_xlfn.CONCAT(CHAR(92),CHAR(92))),"$",_xlfn.CONCAT(CHAR(92),"$")),CHAR(96),_xlfn.CONCAT(CHAR(92),CHAR(96))),CHAR(34),CHAR(39))))</f>
        <v/>
      </c>
      <c r="Q364" s="5" t="str">
        <f>IF(OR(TRIM($B364)="",$G364=""),"",IF(OR(ISNUMBER(SEARCH(_xlfn.CONCAT(CHAR(96),CHAR(34)),$G364)),ISNUMBER(SEARCH(_xlfn.CONCAT(CHAR(34),CHAR(39)),$G364))),_xlfn.CONCAT("* REVIEW REQUIRED: compound-quote delimiter in Universe on Sheet 1 row ",364,"; edit the input before running."),_xlfn.CONCAT("char ",TRIM($B364),"[doc_universe] ",CHAR(96),CHAR(34),SUBSTITUTE(SUBSTITUTE(SUBSTITUTE(SUBSTITUTE(SUBSTITUTE(SUBSTITUTE($G364,CHAR(13)," "),CHAR(10)," "),CHAR(9)," "),CHAR(92),_xlfn.CONCAT(CHAR(92),CHAR(92))),"$",_xlfn.CONCAT(CHAR(92),"$")),CHAR(96),_xlfn.CONCAT(CHAR(92),CHAR(96))),CHAR(34),CHAR(39))))</f>
        <v/>
      </c>
      <c r="R364" s="5" t="str">
        <f>IF(OR(TRIM($B364)="",$H364=""),"",IF(OR(ISNUMBER(SEARCH(_xlfn.CONCAT(CHAR(96),CHAR(34)),$H364)),ISNUMBER(SEARCH(_xlfn.CONCAT(CHAR(34),CHAR(39)),$H364))),_xlfn.CONCAT("* REVIEW REQUIRED: compound-quote delimiter in Source on Sheet 1 row ",364,"; edit the input before running."),_xlfn.CONCAT("char ",TRIM($B364),"[doc_source] ",CHAR(96),CHAR(34),SUBSTITUTE(SUBSTITUTE(SUBSTITUTE(SUBSTITUTE(SUBSTITUTE(SUBSTITUTE($H364,CHAR(13)," "),CHAR(10)," "),CHAR(9)," "),CHAR(92),_xlfn.CONCAT(CHAR(92),CHAR(92))),"$",_xlfn.CONCAT(CHAR(92),"$")),CHAR(96),_xlfn.CONCAT(CHAR(92),CHAR(96))),CHAR(34),CHAR(39))))</f>
        <v/>
      </c>
      <c r="S364" s="5" t="str">
        <f>IF(OR(TRIM($B364)="",$I364=""),"",IF(OR(ISNUMBER(SEARCH(_xlfn.CONCAT(CHAR(96),CHAR(34)),$I364)),ISNUMBER(SEARCH(_xlfn.CONCAT(CHAR(34),CHAR(39)),$I364))),_xlfn.CONCAT("* REVIEW REQUIRED: compound-quote delimiter in Derivation on Sheet 1 row ",364,"; edit the input before running."),_xlfn.CONCAT("char ",TRIM($B364),"[doc_derivation] ",CHAR(96),CHAR(34),SUBSTITUTE(SUBSTITUTE(SUBSTITUTE(SUBSTITUTE(SUBSTITUTE(SUBSTITUTE($I364,CHAR(13)," "),CHAR(10)," "),CHAR(9)," "),CHAR(92),_xlfn.CONCAT(CHAR(92),CHAR(92))),"$",_xlfn.CONCAT(CHAR(92),"$")),CHAR(96),_xlfn.CONCAT(CHAR(92),CHAR(96))),CHAR(34),CHAR(39))))</f>
        <v/>
      </c>
      <c r="T364" s="5" t="str">
        <f>IF(OR(TRIM($B364)="",$J364=""),"",IF(OR(ISNUMBER(SEARCH(_xlfn.CONCAT(CHAR(96),CHAR(34)),$J364)),ISNUMBER(SEARCH(_xlfn.CONCAT(CHAR(34),CHAR(39)),$J364))),_xlfn.CONCAT("* REVIEW REQUIRED: compound-quote delimiter in Notes on Sheet 1 row ",364,"; edit the input before running."),_xlfn.CONCAT("char ",TRIM($B364),"[doc_notes] ",CHAR(96),CHAR(34),SUBSTITUTE(SUBSTITUTE(SUBSTITUTE(SUBSTITUTE(SUBSTITUTE(SUBSTITUTE($J364,CHAR(13)," "),CHAR(10)," "),CHAR(9)," "),CHAR(92),_xlfn.CONCAT(CHAR(92),CHAR(92))),"$",_xlfn.CONCAT(CHAR(92),"$")),CHAR(96),_xlfn.CONCAT(CHAR(92),CHAR(96))),CHAR(34),CHAR(39))))</f>
        <v/>
      </c>
      <c r="U364" s="5">
        <f t="shared" si="11"/>
        <v>0</v>
      </c>
    </row>
    <row r="365" spans="3:21" ht="30" customHeight="1" x14ac:dyDescent="0.2">
      <c r="C365" s="4"/>
      <c r="K365" s="5">
        <f t="shared" si="10"/>
        <v>0</v>
      </c>
      <c r="L365" s="5" t="str">
        <f>IF(OR(TRIM($B365)="",$A365=""),"",IF(OR(ISNUMBER(SEARCH(_xlfn.CONCAT(CHAR(96),CHAR(34)),$A365)),ISNUMBER(SEARCH(_xlfn.CONCAT(CHAR(34),CHAR(39)),$A365))),_xlfn.CONCAT("* REVIEW REQUIRED: compound-quote delimiter in Codebook Section on Sheet 1 row ",365,"; edit the input before running."),_xlfn.CONCAT("char ",TRIM($B365),"[doc_section] ",CHAR(96),CHAR(34),SUBSTITUTE(SUBSTITUTE(SUBSTITUTE(SUBSTITUTE(SUBSTITUTE(SUBSTITUTE($A365,CHAR(13)," "),CHAR(10)," "),CHAR(9)," "),CHAR(92),_xlfn.CONCAT(CHAR(92),CHAR(92))),"$",_xlfn.CONCAT(CHAR(92),"$")),CHAR(96),_xlfn.CONCAT(CHAR(92),CHAR(96))),CHAR(34),CHAR(39))))</f>
        <v/>
      </c>
      <c r="M365" s="5" t="str">
        <f>IF(OR(TRIM($B365)="",$C365=""),"",IF(IFERROR(MATCH(TRIM($C365),{"Quantitative","Continuous","Discrete","Categorical","Nominal","Ordinal","Identifier"},0),0)=0,_xlfn.CONCAT("* REVIEW REQUIRED: invalid Variable Type on Sheet 1 row ",365,"."),_xlfn.CONCAT("char ",TRIM($B365),"[doc_vartype] ",CHAR(96),CHAR(34),SUBSTITUTE(SUBSTITUTE(SUBSTITUTE(SUBSTITUTE(SUBSTITUTE(SUBSTITUTE(LOWER(TRIM($C365)),CHAR(13)," "),CHAR(10)," "),CHAR(9)," "),CHAR(92),_xlfn.CONCAT(CHAR(92),CHAR(92))),"$",_xlfn.CONCAT(CHAR(92),"$")),CHAR(96),_xlfn.CONCAT(CHAR(92),CHAR(96))),CHAR(34),CHAR(39))))</f>
        <v/>
      </c>
      <c r="N365" s="5" t="str">
        <f>IF(OR(TRIM($B365)="",$D365=""),"",IF(OR(ISNUMBER(SEARCH(_xlfn.CONCAT(CHAR(96),CHAR(34)),$D365)),ISNUMBER(SEARCH(_xlfn.CONCAT(CHAR(34),CHAR(39)),$D365))),_xlfn.CONCAT("* REVIEW REQUIRED: compound-quote delimiter in Item Number on Sheet 1 row ",365,"; edit the input before running."),_xlfn.CONCAT("char ",TRIM($B365),"[doc_itemnum] ",CHAR(96),CHAR(34),SUBSTITUTE(SUBSTITUTE(SUBSTITUTE(SUBSTITUTE(SUBSTITUTE(SUBSTITUTE($D365,CHAR(13)," "),CHAR(10)," "),CHAR(9)," "),CHAR(92),_xlfn.CONCAT(CHAR(92),CHAR(92))),"$",_xlfn.CONCAT(CHAR(92),"$")),CHAR(96),_xlfn.CONCAT(CHAR(92),CHAR(96))),CHAR(34),CHAR(39))))</f>
        <v/>
      </c>
      <c r="O365" s="5" t="str">
        <f>IF(OR(TRIM($B365)="",$E365=""),"",IF(OR(ISNUMBER(SEARCH(_xlfn.CONCAT(CHAR(96),CHAR(34)),$E365)),ISNUMBER(SEARCH(_xlfn.CONCAT(CHAR(34),CHAR(39)),$E365))),_xlfn.CONCAT("* REVIEW REQUIRED: compound-quote delimiter in Question Wording on Sheet 1 row ",365,"; edit the input before running."),_xlfn.CONCAT("char ",TRIM($B365),"[doc_question] ",CHAR(96),CHAR(34),SUBSTITUTE(SUBSTITUTE(SUBSTITUTE(SUBSTITUTE(SUBSTITUTE(SUBSTITUTE($E365,CHAR(13)," "),CHAR(10)," "),CHAR(9)," "),CHAR(92),_xlfn.CONCAT(CHAR(92),CHAR(92))),"$",_xlfn.CONCAT(CHAR(92),"$")),CHAR(96),_xlfn.CONCAT(CHAR(92),CHAR(96))),CHAR(34),CHAR(39))))</f>
        <v/>
      </c>
      <c r="P365" s="5" t="str">
        <f>IF(OR(TRIM($B365)="",$F365=""),"",IF(OR(ISNUMBER(SEARCH(_xlfn.CONCAT(CHAR(96),CHAR(34)),$F365)),ISNUMBER(SEARCH(_xlfn.CONCAT(CHAR(34),CHAR(39)),$F365))),_xlfn.CONCAT("* REVIEW REQUIRED: compound-quote delimiter in Units on Sheet 1 row ",365,"; edit the input before running."),_xlfn.CONCAT("char ",TRIM($B365),"[doc_units] ",CHAR(96),CHAR(34),SUBSTITUTE(SUBSTITUTE(SUBSTITUTE(SUBSTITUTE(SUBSTITUTE(SUBSTITUTE($F365,CHAR(13)," "),CHAR(10)," "),CHAR(9)," "),CHAR(92),_xlfn.CONCAT(CHAR(92),CHAR(92))),"$",_xlfn.CONCAT(CHAR(92),"$")),CHAR(96),_xlfn.CONCAT(CHAR(92),CHAR(96))),CHAR(34),CHAR(39))))</f>
        <v/>
      </c>
      <c r="Q365" s="5" t="str">
        <f>IF(OR(TRIM($B365)="",$G365=""),"",IF(OR(ISNUMBER(SEARCH(_xlfn.CONCAT(CHAR(96),CHAR(34)),$G365)),ISNUMBER(SEARCH(_xlfn.CONCAT(CHAR(34),CHAR(39)),$G365))),_xlfn.CONCAT("* REVIEW REQUIRED: compound-quote delimiter in Universe on Sheet 1 row ",365,"; edit the input before running."),_xlfn.CONCAT("char ",TRIM($B365),"[doc_universe] ",CHAR(96),CHAR(34),SUBSTITUTE(SUBSTITUTE(SUBSTITUTE(SUBSTITUTE(SUBSTITUTE(SUBSTITUTE($G365,CHAR(13)," "),CHAR(10)," "),CHAR(9)," "),CHAR(92),_xlfn.CONCAT(CHAR(92),CHAR(92))),"$",_xlfn.CONCAT(CHAR(92),"$")),CHAR(96),_xlfn.CONCAT(CHAR(92),CHAR(96))),CHAR(34),CHAR(39))))</f>
        <v/>
      </c>
      <c r="R365" s="5" t="str">
        <f>IF(OR(TRIM($B365)="",$H365=""),"",IF(OR(ISNUMBER(SEARCH(_xlfn.CONCAT(CHAR(96),CHAR(34)),$H365)),ISNUMBER(SEARCH(_xlfn.CONCAT(CHAR(34),CHAR(39)),$H365))),_xlfn.CONCAT("* REVIEW REQUIRED: compound-quote delimiter in Source on Sheet 1 row ",365,"; edit the input before running."),_xlfn.CONCAT("char ",TRIM($B365),"[doc_source] ",CHAR(96),CHAR(34),SUBSTITUTE(SUBSTITUTE(SUBSTITUTE(SUBSTITUTE(SUBSTITUTE(SUBSTITUTE($H365,CHAR(13)," "),CHAR(10)," "),CHAR(9)," "),CHAR(92),_xlfn.CONCAT(CHAR(92),CHAR(92))),"$",_xlfn.CONCAT(CHAR(92),"$")),CHAR(96),_xlfn.CONCAT(CHAR(92),CHAR(96))),CHAR(34),CHAR(39))))</f>
        <v/>
      </c>
      <c r="S365" s="5" t="str">
        <f>IF(OR(TRIM($B365)="",$I365=""),"",IF(OR(ISNUMBER(SEARCH(_xlfn.CONCAT(CHAR(96),CHAR(34)),$I365)),ISNUMBER(SEARCH(_xlfn.CONCAT(CHAR(34),CHAR(39)),$I365))),_xlfn.CONCAT("* REVIEW REQUIRED: compound-quote delimiter in Derivation on Sheet 1 row ",365,"; edit the input before running."),_xlfn.CONCAT("char ",TRIM($B365),"[doc_derivation] ",CHAR(96),CHAR(34),SUBSTITUTE(SUBSTITUTE(SUBSTITUTE(SUBSTITUTE(SUBSTITUTE(SUBSTITUTE($I365,CHAR(13)," "),CHAR(10)," "),CHAR(9)," "),CHAR(92),_xlfn.CONCAT(CHAR(92),CHAR(92))),"$",_xlfn.CONCAT(CHAR(92),"$")),CHAR(96),_xlfn.CONCAT(CHAR(92),CHAR(96))),CHAR(34),CHAR(39))))</f>
        <v/>
      </c>
      <c r="T365" s="5" t="str">
        <f>IF(OR(TRIM($B365)="",$J365=""),"",IF(OR(ISNUMBER(SEARCH(_xlfn.CONCAT(CHAR(96),CHAR(34)),$J365)),ISNUMBER(SEARCH(_xlfn.CONCAT(CHAR(34),CHAR(39)),$J365))),_xlfn.CONCAT("* REVIEW REQUIRED: compound-quote delimiter in Notes on Sheet 1 row ",365,"; edit the input before running."),_xlfn.CONCAT("char ",TRIM($B365),"[doc_notes] ",CHAR(96),CHAR(34),SUBSTITUTE(SUBSTITUTE(SUBSTITUTE(SUBSTITUTE(SUBSTITUTE(SUBSTITUTE($J365,CHAR(13)," "),CHAR(10)," "),CHAR(9)," "),CHAR(92),_xlfn.CONCAT(CHAR(92),CHAR(92))),"$",_xlfn.CONCAT(CHAR(92),"$")),CHAR(96),_xlfn.CONCAT(CHAR(92),CHAR(96))),CHAR(34),CHAR(39))))</f>
        <v/>
      </c>
      <c r="U365" s="5">
        <f t="shared" si="11"/>
        <v>0</v>
      </c>
    </row>
    <row r="366" spans="3:21" ht="30" customHeight="1" x14ac:dyDescent="0.2">
      <c r="C366" s="4"/>
      <c r="K366" s="5">
        <f t="shared" si="10"/>
        <v>0</v>
      </c>
      <c r="L366" s="5" t="str">
        <f>IF(OR(TRIM($B366)="",$A366=""),"",IF(OR(ISNUMBER(SEARCH(_xlfn.CONCAT(CHAR(96),CHAR(34)),$A366)),ISNUMBER(SEARCH(_xlfn.CONCAT(CHAR(34),CHAR(39)),$A366))),_xlfn.CONCAT("* REVIEW REQUIRED: compound-quote delimiter in Codebook Section on Sheet 1 row ",366,"; edit the input before running."),_xlfn.CONCAT("char ",TRIM($B366),"[doc_section] ",CHAR(96),CHAR(34),SUBSTITUTE(SUBSTITUTE(SUBSTITUTE(SUBSTITUTE(SUBSTITUTE(SUBSTITUTE($A366,CHAR(13)," "),CHAR(10)," "),CHAR(9)," "),CHAR(92),_xlfn.CONCAT(CHAR(92),CHAR(92))),"$",_xlfn.CONCAT(CHAR(92),"$")),CHAR(96),_xlfn.CONCAT(CHAR(92),CHAR(96))),CHAR(34),CHAR(39))))</f>
        <v/>
      </c>
      <c r="M366" s="5" t="str">
        <f>IF(OR(TRIM($B366)="",$C366=""),"",IF(IFERROR(MATCH(TRIM($C366),{"Quantitative","Continuous","Discrete","Categorical","Nominal","Ordinal","Identifier"},0),0)=0,_xlfn.CONCAT("* REVIEW REQUIRED: invalid Variable Type on Sheet 1 row ",366,"."),_xlfn.CONCAT("char ",TRIM($B366),"[doc_vartype] ",CHAR(96),CHAR(34),SUBSTITUTE(SUBSTITUTE(SUBSTITUTE(SUBSTITUTE(SUBSTITUTE(SUBSTITUTE(LOWER(TRIM($C366)),CHAR(13)," "),CHAR(10)," "),CHAR(9)," "),CHAR(92),_xlfn.CONCAT(CHAR(92),CHAR(92))),"$",_xlfn.CONCAT(CHAR(92),"$")),CHAR(96),_xlfn.CONCAT(CHAR(92),CHAR(96))),CHAR(34),CHAR(39))))</f>
        <v/>
      </c>
      <c r="N366" s="5" t="str">
        <f>IF(OR(TRIM($B366)="",$D366=""),"",IF(OR(ISNUMBER(SEARCH(_xlfn.CONCAT(CHAR(96),CHAR(34)),$D366)),ISNUMBER(SEARCH(_xlfn.CONCAT(CHAR(34),CHAR(39)),$D366))),_xlfn.CONCAT("* REVIEW REQUIRED: compound-quote delimiter in Item Number on Sheet 1 row ",366,"; edit the input before running."),_xlfn.CONCAT("char ",TRIM($B366),"[doc_itemnum] ",CHAR(96),CHAR(34),SUBSTITUTE(SUBSTITUTE(SUBSTITUTE(SUBSTITUTE(SUBSTITUTE(SUBSTITUTE($D366,CHAR(13)," "),CHAR(10)," "),CHAR(9)," "),CHAR(92),_xlfn.CONCAT(CHAR(92),CHAR(92))),"$",_xlfn.CONCAT(CHAR(92),"$")),CHAR(96),_xlfn.CONCAT(CHAR(92),CHAR(96))),CHAR(34),CHAR(39))))</f>
        <v/>
      </c>
      <c r="O366" s="5" t="str">
        <f>IF(OR(TRIM($B366)="",$E366=""),"",IF(OR(ISNUMBER(SEARCH(_xlfn.CONCAT(CHAR(96),CHAR(34)),$E366)),ISNUMBER(SEARCH(_xlfn.CONCAT(CHAR(34),CHAR(39)),$E366))),_xlfn.CONCAT("* REVIEW REQUIRED: compound-quote delimiter in Question Wording on Sheet 1 row ",366,"; edit the input before running."),_xlfn.CONCAT("char ",TRIM($B366),"[doc_question] ",CHAR(96),CHAR(34),SUBSTITUTE(SUBSTITUTE(SUBSTITUTE(SUBSTITUTE(SUBSTITUTE(SUBSTITUTE($E366,CHAR(13)," "),CHAR(10)," "),CHAR(9)," "),CHAR(92),_xlfn.CONCAT(CHAR(92),CHAR(92))),"$",_xlfn.CONCAT(CHAR(92),"$")),CHAR(96),_xlfn.CONCAT(CHAR(92),CHAR(96))),CHAR(34),CHAR(39))))</f>
        <v/>
      </c>
      <c r="P366" s="5" t="str">
        <f>IF(OR(TRIM($B366)="",$F366=""),"",IF(OR(ISNUMBER(SEARCH(_xlfn.CONCAT(CHAR(96),CHAR(34)),$F366)),ISNUMBER(SEARCH(_xlfn.CONCAT(CHAR(34),CHAR(39)),$F366))),_xlfn.CONCAT("* REVIEW REQUIRED: compound-quote delimiter in Units on Sheet 1 row ",366,"; edit the input before running."),_xlfn.CONCAT("char ",TRIM($B366),"[doc_units] ",CHAR(96),CHAR(34),SUBSTITUTE(SUBSTITUTE(SUBSTITUTE(SUBSTITUTE(SUBSTITUTE(SUBSTITUTE($F366,CHAR(13)," "),CHAR(10)," "),CHAR(9)," "),CHAR(92),_xlfn.CONCAT(CHAR(92),CHAR(92))),"$",_xlfn.CONCAT(CHAR(92),"$")),CHAR(96),_xlfn.CONCAT(CHAR(92),CHAR(96))),CHAR(34),CHAR(39))))</f>
        <v/>
      </c>
      <c r="Q366" s="5" t="str">
        <f>IF(OR(TRIM($B366)="",$G366=""),"",IF(OR(ISNUMBER(SEARCH(_xlfn.CONCAT(CHAR(96),CHAR(34)),$G366)),ISNUMBER(SEARCH(_xlfn.CONCAT(CHAR(34),CHAR(39)),$G366))),_xlfn.CONCAT("* REVIEW REQUIRED: compound-quote delimiter in Universe on Sheet 1 row ",366,"; edit the input before running."),_xlfn.CONCAT("char ",TRIM($B366),"[doc_universe] ",CHAR(96),CHAR(34),SUBSTITUTE(SUBSTITUTE(SUBSTITUTE(SUBSTITUTE(SUBSTITUTE(SUBSTITUTE($G366,CHAR(13)," "),CHAR(10)," "),CHAR(9)," "),CHAR(92),_xlfn.CONCAT(CHAR(92),CHAR(92))),"$",_xlfn.CONCAT(CHAR(92),"$")),CHAR(96),_xlfn.CONCAT(CHAR(92),CHAR(96))),CHAR(34),CHAR(39))))</f>
        <v/>
      </c>
      <c r="R366" s="5" t="str">
        <f>IF(OR(TRIM($B366)="",$H366=""),"",IF(OR(ISNUMBER(SEARCH(_xlfn.CONCAT(CHAR(96),CHAR(34)),$H366)),ISNUMBER(SEARCH(_xlfn.CONCAT(CHAR(34),CHAR(39)),$H366))),_xlfn.CONCAT("* REVIEW REQUIRED: compound-quote delimiter in Source on Sheet 1 row ",366,"; edit the input before running."),_xlfn.CONCAT("char ",TRIM($B366),"[doc_source] ",CHAR(96),CHAR(34),SUBSTITUTE(SUBSTITUTE(SUBSTITUTE(SUBSTITUTE(SUBSTITUTE(SUBSTITUTE($H366,CHAR(13)," "),CHAR(10)," "),CHAR(9)," "),CHAR(92),_xlfn.CONCAT(CHAR(92),CHAR(92))),"$",_xlfn.CONCAT(CHAR(92),"$")),CHAR(96),_xlfn.CONCAT(CHAR(92),CHAR(96))),CHAR(34),CHAR(39))))</f>
        <v/>
      </c>
      <c r="S366" s="5" t="str">
        <f>IF(OR(TRIM($B366)="",$I366=""),"",IF(OR(ISNUMBER(SEARCH(_xlfn.CONCAT(CHAR(96),CHAR(34)),$I366)),ISNUMBER(SEARCH(_xlfn.CONCAT(CHAR(34),CHAR(39)),$I366))),_xlfn.CONCAT("* REVIEW REQUIRED: compound-quote delimiter in Derivation on Sheet 1 row ",366,"; edit the input before running."),_xlfn.CONCAT("char ",TRIM($B366),"[doc_derivation] ",CHAR(96),CHAR(34),SUBSTITUTE(SUBSTITUTE(SUBSTITUTE(SUBSTITUTE(SUBSTITUTE(SUBSTITUTE($I366,CHAR(13)," "),CHAR(10)," "),CHAR(9)," "),CHAR(92),_xlfn.CONCAT(CHAR(92),CHAR(92))),"$",_xlfn.CONCAT(CHAR(92),"$")),CHAR(96),_xlfn.CONCAT(CHAR(92),CHAR(96))),CHAR(34),CHAR(39))))</f>
        <v/>
      </c>
      <c r="T366" s="5" t="str">
        <f>IF(OR(TRIM($B366)="",$J366=""),"",IF(OR(ISNUMBER(SEARCH(_xlfn.CONCAT(CHAR(96),CHAR(34)),$J366)),ISNUMBER(SEARCH(_xlfn.CONCAT(CHAR(34),CHAR(39)),$J366))),_xlfn.CONCAT("* REVIEW REQUIRED: compound-quote delimiter in Notes on Sheet 1 row ",366,"; edit the input before running."),_xlfn.CONCAT("char ",TRIM($B366),"[doc_notes] ",CHAR(96),CHAR(34),SUBSTITUTE(SUBSTITUTE(SUBSTITUTE(SUBSTITUTE(SUBSTITUTE(SUBSTITUTE($J366,CHAR(13)," "),CHAR(10)," "),CHAR(9)," "),CHAR(92),_xlfn.CONCAT(CHAR(92),CHAR(92))),"$",_xlfn.CONCAT(CHAR(92),"$")),CHAR(96),_xlfn.CONCAT(CHAR(92),CHAR(96))),CHAR(34),CHAR(39))))</f>
        <v/>
      </c>
      <c r="U366" s="5">
        <f t="shared" si="11"/>
        <v>0</v>
      </c>
    </row>
    <row r="367" spans="3:21" ht="30" customHeight="1" x14ac:dyDescent="0.2">
      <c r="C367" s="4"/>
      <c r="K367" s="5">
        <f t="shared" si="10"/>
        <v>0</v>
      </c>
      <c r="L367" s="5" t="str">
        <f>IF(OR(TRIM($B367)="",$A367=""),"",IF(OR(ISNUMBER(SEARCH(_xlfn.CONCAT(CHAR(96),CHAR(34)),$A367)),ISNUMBER(SEARCH(_xlfn.CONCAT(CHAR(34),CHAR(39)),$A367))),_xlfn.CONCAT("* REVIEW REQUIRED: compound-quote delimiter in Codebook Section on Sheet 1 row ",367,"; edit the input before running."),_xlfn.CONCAT("char ",TRIM($B367),"[doc_section] ",CHAR(96),CHAR(34),SUBSTITUTE(SUBSTITUTE(SUBSTITUTE(SUBSTITUTE(SUBSTITUTE(SUBSTITUTE($A367,CHAR(13)," "),CHAR(10)," "),CHAR(9)," "),CHAR(92),_xlfn.CONCAT(CHAR(92),CHAR(92))),"$",_xlfn.CONCAT(CHAR(92),"$")),CHAR(96),_xlfn.CONCAT(CHAR(92),CHAR(96))),CHAR(34),CHAR(39))))</f>
        <v/>
      </c>
      <c r="M367" s="5" t="str">
        <f>IF(OR(TRIM($B367)="",$C367=""),"",IF(IFERROR(MATCH(TRIM($C367),{"Quantitative","Continuous","Discrete","Categorical","Nominal","Ordinal","Identifier"},0),0)=0,_xlfn.CONCAT("* REVIEW REQUIRED: invalid Variable Type on Sheet 1 row ",367,"."),_xlfn.CONCAT("char ",TRIM($B367),"[doc_vartype] ",CHAR(96),CHAR(34),SUBSTITUTE(SUBSTITUTE(SUBSTITUTE(SUBSTITUTE(SUBSTITUTE(SUBSTITUTE(LOWER(TRIM($C367)),CHAR(13)," "),CHAR(10)," "),CHAR(9)," "),CHAR(92),_xlfn.CONCAT(CHAR(92),CHAR(92))),"$",_xlfn.CONCAT(CHAR(92),"$")),CHAR(96),_xlfn.CONCAT(CHAR(92),CHAR(96))),CHAR(34),CHAR(39))))</f>
        <v/>
      </c>
      <c r="N367" s="5" t="str">
        <f>IF(OR(TRIM($B367)="",$D367=""),"",IF(OR(ISNUMBER(SEARCH(_xlfn.CONCAT(CHAR(96),CHAR(34)),$D367)),ISNUMBER(SEARCH(_xlfn.CONCAT(CHAR(34),CHAR(39)),$D367))),_xlfn.CONCAT("* REVIEW REQUIRED: compound-quote delimiter in Item Number on Sheet 1 row ",367,"; edit the input before running."),_xlfn.CONCAT("char ",TRIM($B367),"[doc_itemnum] ",CHAR(96),CHAR(34),SUBSTITUTE(SUBSTITUTE(SUBSTITUTE(SUBSTITUTE(SUBSTITUTE(SUBSTITUTE($D367,CHAR(13)," "),CHAR(10)," "),CHAR(9)," "),CHAR(92),_xlfn.CONCAT(CHAR(92),CHAR(92))),"$",_xlfn.CONCAT(CHAR(92),"$")),CHAR(96),_xlfn.CONCAT(CHAR(92),CHAR(96))),CHAR(34),CHAR(39))))</f>
        <v/>
      </c>
      <c r="O367" s="5" t="str">
        <f>IF(OR(TRIM($B367)="",$E367=""),"",IF(OR(ISNUMBER(SEARCH(_xlfn.CONCAT(CHAR(96),CHAR(34)),$E367)),ISNUMBER(SEARCH(_xlfn.CONCAT(CHAR(34),CHAR(39)),$E367))),_xlfn.CONCAT("* REVIEW REQUIRED: compound-quote delimiter in Question Wording on Sheet 1 row ",367,"; edit the input before running."),_xlfn.CONCAT("char ",TRIM($B367),"[doc_question] ",CHAR(96),CHAR(34),SUBSTITUTE(SUBSTITUTE(SUBSTITUTE(SUBSTITUTE(SUBSTITUTE(SUBSTITUTE($E367,CHAR(13)," "),CHAR(10)," "),CHAR(9)," "),CHAR(92),_xlfn.CONCAT(CHAR(92),CHAR(92))),"$",_xlfn.CONCAT(CHAR(92),"$")),CHAR(96),_xlfn.CONCAT(CHAR(92),CHAR(96))),CHAR(34),CHAR(39))))</f>
        <v/>
      </c>
      <c r="P367" s="5" t="str">
        <f>IF(OR(TRIM($B367)="",$F367=""),"",IF(OR(ISNUMBER(SEARCH(_xlfn.CONCAT(CHAR(96),CHAR(34)),$F367)),ISNUMBER(SEARCH(_xlfn.CONCAT(CHAR(34),CHAR(39)),$F367))),_xlfn.CONCAT("* REVIEW REQUIRED: compound-quote delimiter in Units on Sheet 1 row ",367,"; edit the input before running."),_xlfn.CONCAT("char ",TRIM($B367),"[doc_units] ",CHAR(96),CHAR(34),SUBSTITUTE(SUBSTITUTE(SUBSTITUTE(SUBSTITUTE(SUBSTITUTE(SUBSTITUTE($F367,CHAR(13)," "),CHAR(10)," "),CHAR(9)," "),CHAR(92),_xlfn.CONCAT(CHAR(92),CHAR(92))),"$",_xlfn.CONCAT(CHAR(92),"$")),CHAR(96),_xlfn.CONCAT(CHAR(92),CHAR(96))),CHAR(34),CHAR(39))))</f>
        <v/>
      </c>
      <c r="Q367" s="5" t="str">
        <f>IF(OR(TRIM($B367)="",$G367=""),"",IF(OR(ISNUMBER(SEARCH(_xlfn.CONCAT(CHAR(96),CHAR(34)),$G367)),ISNUMBER(SEARCH(_xlfn.CONCAT(CHAR(34),CHAR(39)),$G367))),_xlfn.CONCAT("* REVIEW REQUIRED: compound-quote delimiter in Universe on Sheet 1 row ",367,"; edit the input before running."),_xlfn.CONCAT("char ",TRIM($B367),"[doc_universe] ",CHAR(96),CHAR(34),SUBSTITUTE(SUBSTITUTE(SUBSTITUTE(SUBSTITUTE(SUBSTITUTE(SUBSTITUTE($G367,CHAR(13)," "),CHAR(10)," "),CHAR(9)," "),CHAR(92),_xlfn.CONCAT(CHAR(92),CHAR(92))),"$",_xlfn.CONCAT(CHAR(92),"$")),CHAR(96),_xlfn.CONCAT(CHAR(92),CHAR(96))),CHAR(34),CHAR(39))))</f>
        <v/>
      </c>
      <c r="R367" s="5" t="str">
        <f>IF(OR(TRIM($B367)="",$H367=""),"",IF(OR(ISNUMBER(SEARCH(_xlfn.CONCAT(CHAR(96),CHAR(34)),$H367)),ISNUMBER(SEARCH(_xlfn.CONCAT(CHAR(34),CHAR(39)),$H367))),_xlfn.CONCAT("* REVIEW REQUIRED: compound-quote delimiter in Source on Sheet 1 row ",367,"; edit the input before running."),_xlfn.CONCAT("char ",TRIM($B367),"[doc_source] ",CHAR(96),CHAR(34),SUBSTITUTE(SUBSTITUTE(SUBSTITUTE(SUBSTITUTE(SUBSTITUTE(SUBSTITUTE($H367,CHAR(13)," "),CHAR(10)," "),CHAR(9)," "),CHAR(92),_xlfn.CONCAT(CHAR(92),CHAR(92))),"$",_xlfn.CONCAT(CHAR(92),"$")),CHAR(96),_xlfn.CONCAT(CHAR(92),CHAR(96))),CHAR(34),CHAR(39))))</f>
        <v/>
      </c>
      <c r="S367" s="5" t="str">
        <f>IF(OR(TRIM($B367)="",$I367=""),"",IF(OR(ISNUMBER(SEARCH(_xlfn.CONCAT(CHAR(96),CHAR(34)),$I367)),ISNUMBER(SEARCH(_xlfn.CONCAT(CHAR(34),CHAR(39)),$I367))),_xlfn.CONCAT("* REVIEW REQUIRED: compound-quote delimiter in Derivation on Sheet 1 row ",367,"; edit the input before running."),_xlfn.CONCAT("char ",TRIM($B367),"[doc_derivation] ",CHAR(96),CHAR(34),SUBSTITUTE(SUBSTITUTE(SUBSTITUTE(SUBSTITUTE(SUBSTITUTE(SUBSTITUTE($I367,CHAR(13)," "),CHAR(10)," "),CHAR(9)," "),CHAR(92),_xlfn.CONCAT(CHAR(92),CHAR(92))),"$",_xlfn.CONCAT(CHAR(92),"$")),CHAR(96),_xlfn.CONCAT(CHAR(92),CHAR(96))),CHAR(34),CHAR(39))))</f>
        <v/>
      </c>
      <c r="T367" s="5" t="str">
        <f>IF(OR(TRIM($B367)="",$J367=""),"",IF(OR(ISNUMBER(SEARCH(_xlfn.CONCAT(CHAR(96),CHAR(34)),$J367)),ISNUMBER(SEARCH(_xlfn.CONCAT(CHAR(34),CHAR(39)),$J367))),_xlfn.CONCAT("* REVIEW REQUIRED: compound-quote delimiter in Notes on Sheet 1 row ",367,"; edit the input before running."),_xlfn.CONCAT("char ",TRIM($B367),"[doc_notes] ",CHAR(96),CHAR(34),SUBSTITUTE(SUBSTITUTE(SUBSTITUTE(SUBSTITUTE(SUBSTITUTE(SUBSTITUTE($J367,CHAR(13)," "),CHAR(10)," "),CHAR(9)," "),CHAR(92),_xlfn.CONCAT(CHAR(92),CHAR(92))),"$",_xlfn.CONCAT(CHAR(92),"$")),CHAR(96),_xlfn.CONCAT(CHAR(92),CHAR(96))),CHAR(34),CHAR(39))))</f>
        <v/>
      </c>
      <c r="U367" s="5">
        <f t="shared" si="11"/>
        <v>0</v>
      </c>
    </row>
    <row r="368" spans="3:21" ht="30" customHeight="1" x14ac:dyDescent="0.2">
      <c r="C368" s="4"/>
      <c r="K368" s="5">
        <f t="shared" si="10"/>
        <v>0</v>
      </c>
      <c r="L368" s="5" t="str">
        <f>IF(OR(TRIM($B368)="",$A368=""),"",IF(OR(ISNUMBER(SEARCH(_xlfn.CONCAT(CHAR(96),CHAR(34)),$A368)),ISNUMBER(SEARCH(_xlfn.CONCAT(CHAR(34),CHAR(39)),$A368))),_xlfn.CONCAT("* REVIEW REQUIRED: compound-quote delimiter in Codebook Section on Sheet 1 row ",368,"; edit the input before running."),_xlfn.CONCAT("char ",TRIM($B368),"[doc_section] ",CHAR(96),CHAR(34),SUBSTITUTE(SUBSTITUTE(SUBSTITUTE(SUBSTITUTE(SUBSTITUTE(SUBSTITUTE($A368,CHAR(13)," "),CHAR(10)," "),CHAR(9)," "),CHAR(92),_xlfn.CONCAT(CHAR(92),CHAR(92))),"$",_xlfn.CONCAT(CHAR(92),"$")),CHAR(96),_xlfn.CONCAT(CHAR(92),CHAR(96))),CHAR(34),CHAR(39))))</f>
        <v/>
      </c>
      <c r="M368" s="5" t="str">
        <f>IF(OR(TRIM($B368)="",$C368=""),"",IF(IFERROR(MATCH(TRIM($C368),{"Quantitative","Continuous","Discrete","Categorical","Nominal","Ordinal","Identifier"},0),0)=0,_xlfn.CONCAT("* REVIEW REQUIRED: invalid Variable Type on Sheet 1 row ",368,"."),_xlfn.CONCAT("char ",TRIM($B368),"[doc_vartype] ",CHAR(96),CHAR(34),SUBSTITUTE(SUBSTITUTE(SUBSTITUTE(SUBSTITUTE(SUBSTITUTE(SUBSTITUTE(LOWER(TRIM($C368)),CHAR(13)," "),CHAR(10)," "),CHAR(9)," "),CHAR(92),_xlfn.CONCAT(CHAR(92),CHAR(92))),"$",_xlfn.CONCAT(CHAR(92),"$")),CHAR(96),_xlfn.CONCAT(CHAR(92),CHAR(96))),CHAR(34),CHAR(39))))</f>
        <v/>
      </c>
      <c r="N368" s="5" t="str">
        <f>IF(OR(TRIM($B368)="",$D368=""),"",IF(OR(ISNUMBER(SEARCH(_xlfn.CONCAT(CHAR(96),CHAR(34)),$D368)),ISNUMBER(SEARCH(_xlfn.CONCAT(CHAR(34),CHAR(39)),$D368))),_xlfn.CONCAT("* REVIEW REQUIRED: compound-quote delimiter in Item Number on Sheet 1 row ",368,"; edit the input before running."),_xlfn.CONCAT("char ",TRIM($B368),"[doc_itemnum] ",CHAR(96),CHAR(34),SUBSTITUTE(SUBSTITUTE(SUBSTITUTE(SUBSTITUTE(SUBSTITUTE(SUBSTITUTE($D368,CHAR(13)," "),CHAR(10)," "),CHAR(9)," "),CHAR(92),_xlfn.CONCAT(CHAR(92),CHAR(92))),"$",_xlfn.CONCAT(CHAR(92),"$")),CHAR(96),_xlfn.CONCAT(CHAR(92),CHAR(96))),CHAR(34),CHAR(39))))</f>
        <v/>
      </c>
      <c r="O368" s="5" t="str">
        <f>IF(OR(TRIM($B368)="",$E368=""),"",IF(OR(ISNUMBER(SEARCH(_xlfn.CONCAT(CHAR(96),CHAR(34)),$E368)),ISNUMBER(SEARCH(_xlfn.CONCAT(CHAR(34),CHAR(39)),$E368))),_xlfn.CONCAT("* REVIEW REQUIRED: compound-quote delimiter in Question Wording on Sheet 1 row ",368,"; edit the input before running."),_xlfn.CONCAT("char ",TRIM($B368),"[doc_question] ",CHAR(96),CHAR(34),SUBSTITUTE(SUBSTITUTE(SUBSTITUTE(SUBSTITUTE(SUBSTITUTE(SUBSTITUTE($E368,CHAR(13)," "),CHAR(10)," "),CHAR(9)," "),CHAR(92),_xlfn.CONCAT(CHAR(92),CHAR(92))),"$",_xlfn.CONCAT(CHAR(92),"$")),CHAR(96),_xlfn.CONCAT(CHAR(92),CHAR(96))),CHAR(34),CHAR(39))))</f>
        <v/>
      </c>
      <c r="P368" s="5" t="str">
        <f>IF(OR(TRIM($B368)="",$F368=""),"",IF(OR(ISNUMBER(SEARCH(_xlfn.CONCAT(CHAR(96),CHAR(34)),$F368)),ISNUMBER(SEARCH(_xlfn.CONCAT(CHAR(34),CHAR(39)),$F368))),_xlfn.CONCAT("* REVIEW REQUIRED: compound-quote delimiter in Units on Sheet 1 row ",368,"; edit the input before running."),_xlfn.CONCAT("char ",TRIM($B368),"[doc_units] ",CHAR(96),CHAR(34),SUBSTITUTE(SUBSTITUTE(SUBSTITUTE(SUBSTITUTE(SUBSTITUTE(SUBSTITUTE($F368,CHAR(13)," "),CHAR(10)," "),CHAR(9)," "),CHAR(92),_xlfn.CONCAT(CHAR(92),CHAR(92))),"$",_xlfn.CONCAT(CHAR(92),"$")),CHAR(96),_xlfn.CONCAT(CHAR(92),CHAR(96))),CHAR(34),CHAR(39))))</f>
        <v/>
      </c>
      <c r="Q368" s="5" t="str">
        <f>IF(OR(TRIM($B368)="",$G368=""),"",IF(OR(ISNUMBER(SEARCH(_xlfn.CONCAT(CHAR(96),CHAR(34)),$G368)),ISNUMBER(SEARCH(_xlfn.CONCAT(CHAR(34),CHAR(39)),$G368))),_xlfn.CONCAT("* REVIEW REQUIRED: compound-quote delimiter in Universe on Sheet 1 row ",368,"; edit the input before running."),_xlfn.CONCAT("char ",TRIM($B368),"[doc_universe] ",CHAR(96),CHAR(34),SUBSTITUTE(SUBSTITUTE(SUBSTITUTE(SUBSTITUTE(SUBSTITUTE(SUBSTITUTE($G368,CHAR(13)," "),CHAR(10)," "),CHAR(9)," "),CHAR(92),_xlfn.CONCAT(CHAR(92),CHAR(92))),"$",_xlfn.CONCAT(CHAR(92),"$")),CHAR(96),_xlfn.CONCAT(CHAR(92),CHAR(96))),CHAR(34),CHAR(39))))</f>
        <v/>
      </c>
      <c r="R368" s="5" t="str">
        <f>IF(OR(TRIM($B368)="",$H368=""),"",IF(OR(ISNUMBER(SEARCH(_xlfn.CONCAT(CHAR(96),CHAR(34)),$H368)),ISNUMBER(SEARCH(_xlfn.CONCAT(CHAR(34),CHAR(39)),$H368))),_xlfn.CONCAT("* REVIEW REQUIRED: compound-quote delimiter in Source on Sheet 1 row ",368,"; edit the input before running."),_xlfn.CONCAT("char ",TRIM($B368),"[doc_source] ",CHAR(96),CHAR(34),SUBSTITUTE(SUBSTITUTE(SUBSTITUTE(SUBSTITUTE(SUBSTITUTE(SUBSTITUTE($H368,CHAR(13)," "),CHAR(10)," "),CHAR(9)," "),CHAR(92),_xlfn.CONCAT(CHAR(92),CHAR(92))),"$",_xlfn.CONCAT(CHAR(92),"$")),CHAR(96),_xlfn.CONCAT(CHAR(92),CHAR(96))),CHAR(34),CHAR(39))))</f>
        <v/>
      </c>
      <c r="S368" s="5" t="str">
        <f>IF(OR(TRIM($B368)="",$I368=""),"",IF(OR(ISNUMBER(SEARCH(_xlfn.CONCAT(CHAR(96),CHAR(34)),$I368)),ISNUMBER(SEARCH(_xlfn.CONCAT(CHAR(34),CHAR(39)),$I368))),_xlfn.CONCAT("* REVIEW REQUIRED: compound-quote delimiter in Derivation on Sheet 1 row ",368,"; edit the input before running."),_xlfn.CONCAT("char ",TRIM($B368),"[doc_derivation] ",CHAR(96),CHAR(34),SUBSTITUTE(SUBSTITUTE(SUBSTITUTE(SUBSTITUTE(SUBSTITUTE(SUBSTITUTE($I368,CHAR(13)," "),CHAR(10)," "),CHAR(9)," "),CHAR(92),_xlfn.CONCAT(CHAR(92),CHAR(92))),"$",_xlfn.CONCAT(CHAR(92),"$")),CHAR(96),_xlfn.CONCAT(CHAR(92),CHAR(96))),CHAR(34),CHAR(39))))</f>
        <v/>
      </c>
      <c r="T368" s="5" t="str">
        <f>IF(OR(TRIM($B368)="",$J368=""),"",IF(OR(ISNUMBER(SEARCH(_xlfn.CONCAT(CHAR(96),CHAR(34)),$J368)),ISNUMBER(SEARCH(_xlfn.CONCAT(CHAR(34),CHAR(39)),$J368))),_xlfn.CONCAT("* REVIEW REQUIRED: compound-quote delimiter in Notes on Sheet 1 row ",368,"; edit the input before running."),_xlfn.CONCAT("char ",TRIM($B368),"[doc_notes] ",CHAR(96),CHAR(34),SUBSTITUTE(SUBSTITUTE(SUBSTITUTE(SUBSTITUTE(SUBSTITUTE(SUBSTITUTE($J368,CHAR(13)," "),CHAR(10)," "),CHAR(9)," "),CHAR(92),_xlfn.CONCAT(CHAR(92),CHAR(92))),"$",_xlfn.CONCAT(CHAR(92),"$")),CHAR(96),_xlfn.CONCAT(CHAR(92),CHAR(96))),CHAR(34),CHAR(39))))</f>
        <v/>
      </c>
      <c r="U368" s="5">
        <f t="shared" si="11"/>
        <v>0</v>
      </c>
    </row>
    <row r="369" spans="3:21" ht="30" customHeight="1" x14ac:dyDescent="0.2">
      <c r="C369" s="4"/>
      <c r="K369" s="5">
        <f t="shared" si="10"/>
        <v>0</v>
      </c>
      <c r="L369" s="5" t="str">
        <f>IF(OR(TRIM($B369)="",$A369=""),"",IF(OR(ISNUMBER(SEARCH(_xlfn.CONCAT(CHAR(96),CHAR(34)),$A369)),ISNUMBER(SEARCH(_xlfn.CONCAT(CHAR(34),CHAR(39)),$A369))),_xlfn.CONCAT("* REVIEW REQUIRED: compound-quote delimiter in Codebook Section on Sheet 1 row ",369,"; edit the input before running."),_xlfn.CONCAT("char ",TRIM($B369),"[doc_section] ",CHAR(96),CHAR(34),SUBSTITUTE(SUBSTITUTE(SUBSTITUTE(SUBSTITUTE(SUBSTITUTE(SUBSTITUTE($A369,CHAR(13)," "),CHAR(10)," "),CHAR(9)," "),CHAR(92),_xlfn.CONCAT(CHAR(92),CHAR(92))),"$",_xlfn.CONCAT(CHAR(92),"$")),CHAR(96),_xlfn.CONCAT(CHAR(92),CHAR(96))),CHAR(34),CHAR(39))))</f>
        <v/>
      </c>
      <c r="M369" s="5" t="str">
        <f>IF(OR(TRIM($B369)="",$C369=""),"",IF(IFERROR(MATCH(TRIM($C369),{"Quantitative","Continuous","Discrete","Categorical","Nominal","Ordinal","Identifier"},0),0)=0,_xlfn.CONCAT("* REVIEW REQUIRED: invalid Variable Type on Sheet 1 row ",369,"."),_xlfn.CONCAT("char ",TRIM($B369),"[doc_vartype] ",CHAR(96),CHAR(34),SUBSTITUTE(SUBSTITUTE(SUBSTITUTE(SUBSTITUTE(SUBSTITUTE(SUBSTITUTE(LOWER(TRIM($C369)),CHAR(13)," "),CHAR(10)," "),CHAR(9)," "),CHAR(92),_xlfn.CONCAT(CHAR(92),CHAR(92))),"$",_xlfn.CONCAT(CHAR(92),"$")),CHAR(96),_xlfn.CONCAT(CHAR(92),CHAR(96))),CHAR(34),CHAR(39))))</f>
        <v/>
      </c>
      <c r="N369" s="5" t="str">
        <f>IF(OR(TRIM($B369)="",$D369=""),"",IF(OR(ISNUMBER(SEARCH(_xlfn.CONCAT(CHAR(96),CHAR(34)),$D369)),ISNUMBER(SEARCH(_xlfn.CONCAT(CHAR(34),CHAR(39)),$D369))),_xlfn.CONCAT("* REVIEW REQUIRED: compound-quote delimiter in Item Number on Sheet 1 row ",369,"; edit the input before running."),_xlfn.CONCAT("char ",TRIM($B369),"[doc_itemnum] ",CHAR(96),CHAR(34),SUBSTITUTE(SUBSTITUTE(SUBSTITUTE(SUBSTITUTE(SUBSTITUTE(SUBSTITUTE($D369,CHAR(13)," "),CHAR(10)," "),CHAR(9)," "),CHAR(92),_xlfn.CONCAT(CHAR(92),CHAR(92))),"$",_xlfn.CONCAT(CHAR(92),"$")),CHAR(96),_xlfn.CONCAT(CHAR(92),CHAR(96))),CHAR(34),CHAR(39))))</f>
        <v/>
      </c>
      <c r="O369" s="5" t="str">
        <f>IF(OR(TRIM($B369)="",$E369=""),"",IF(OR(ISNUMBER(SEARCH(_xlfn.CONCAT(CHAR(96),CHAR(34)),$E369)),ISNUMBER(SEARCH(_xlfn.CONCAT(CHAR(34),CHAR(39)),$E369))),_xlfn.CONCAT("* REVIEW REQUIRED: compound-quote delimiter in Question Wording on Sheet 1 row ",369,"; edit the input before running."),_xlfn.CONCAT("char ",TRIM($B369),"[doc_question] ",CHAR(96),CHAR(34),SUBSTITUTE(SUBSTITUTE(SUBSTITUTE(SUBSTITUTE(SUBSTITUTE(SUBSTITUTE($E369,CHAR(13)," "),CHAR(10)," "),CHAR(9)," "),CHAR(92),_xlfn.CONCAT(CHAR(92),CHAR(92))),"$",_xlfn.CONCAT(CHAR(92),"$")),CHAR(96),_xlfn.CONCAT(CHAR(92),CHAR(96))),CHAR(34),CHAR(39))))</f>
        <v/>
      </c>
      <c r="P369" s="5" t="str">
        <f>IF(OR(TRIM($B369)="",$F369=""),"",IF(OR(ISNUMBER(SEARCH(_xlfn.CONCAT(CHAR(96),CHAR(34)),$F369)),ISNUMBER(SEARCH(_xlfn.CONCAT(CHAR(34),CHAR(39)),$F369))),_xlfn.CONCAT("* REVIEW REQUIRED: compound-quote delimiter in Units on Sheet 1 row ",369,"; edit the input before running."),_xlfn.CONCAT("char ",TRIM($B369),"[doc_units] ",CHAR(96),CHAR(34),SUBSTITUTE(SUBSTITUTE(SUBSTITUTE(SUBSTITUTE(SUBSTITUTE(SUBSTITUTE($F369,CHAR(13)," "),CHAR(10)," "),CHAR(9)," "),CHAR(92),_xlfn.CONCAT(CHAR(92),CHAR(92))),"$",_xlfn.CONCAT(CHAR(92),"$")),CHAR(96),_xlfn.CONCAT(CHAR(92),CHAR(96))),CHAR(34),CHAR(39))))</f>
        <v/>
      </c>
      <c r="Q369" s="5" t="str">
        <f>IF(OR(TRIM($B369)="",$G369=""),"",IF(OR(ISNUMBER(SEARCH(_xlfn.CONCAT(CHAR(96),CHAR(34)),$G369)),ISNUMBER(SEARCH(_xlfn.CONCAT(CHAR(34),CHAR(39)),$G369))),_xlfn.CONCAT("* REVIEW REQUIRED: compound-quote delimiter in Universe on Sheet 1 row ",369,"; edit the input before running."),_xlfn.CONCAT("char ",TRIM($B369),"[doc_universe] ",CHAR(96),CHAR(34),SUBSTITUTE(SUBSTITUTE(SUBSTITUTE(SUBSTITUTE(SUBSTITUTE(SUBSTITUTE($G369,CHAR(13)," "),CHAR(10)," "),CHAR(9)," "),CHAR(92),_xlfn.CONCAT(CHAR(92),CHAR(92))),"$",_xlfn.CONCAT(CHAR(92),"$")),CHAR(96),_xlfn.CONCAT(CHAR(92),CHAR(96))),CHAR(34),CHAR(39))))</f>
        <v/>
      </c>
      <c r="R369" s="5" t="str">
        <f>IF(OR(TRIM($B369)="",$H369=""),"",IF(OR(ISNUMBER(SEARCH(_xlfn.CONCAT(CHAR(96),CHAR(34)),$H369)),ISNUMBER(SEARCH(_xlfn.CONCAT(CHAR(34),CHAR(39)),$H369))),_xlfn.CONCAT("* REVIEW REQUIRED: compound-quote delimiter in Source on Sheet 1 row ",369,"; edit the input before running."),_xlfn.CONCAT("char ",TRIM($B369),"[doc_source] ",CHAR(96),CHAR(34),SUBSTITUTE(SUBSTITUTE(SUBSTITUTE(SUBSTITUTE(SUBSTITUTE(SUBSTITUTE($H369,CHAR(13)," "),CHAR(10)," "),CHAR(9)," "),CHAR(92),_xlfn.CONCAT(CHAR(92),CHAR(92))),"$",_xlfn.CONCAT(CHAR(92),"$")),CHAR(96),_xlfn.CONCAT(CHAR(92),CHAR(96))),CHAR(34),CHAR(39))))</f>
        <v/>
      </c>
      <c r="S369" s="5" t="str">
        <f>IF(OR(TRIM($B369)="",$I369=""),"",IF(OR(ISNUMBER(SEARCH(_xlfn.CONCAT(CHAR(96),CHAR(34)),$I369)),ISNUMBER(SEARCH(_xlfn.CONCAT(CHAR(34),CHAR(39)),$I369))),_xlfn.CONCAT("* REVIEW REQUIRED: compound-quote delimiter in Derivation on Sheet 1 row ",369,"; edit the input before running."),_xlfn.CONCAT("char ",TRIM($B369),"[doc_derivation] ",CHAR(96),CHAR(34),SUBSTITUTE(SUBSTITUTE(SUBSTITUTE(SUBSTITUTE(SUBSTITUTE(SUBSTITUTE($I369,CHAR(13)," "),CHAR(10)," "),CHAR(9)," "),CHAR(92),_xlfn.CONCAT(CHAR(92),CHAR(92))),"$",_xlfn.CONCAT(CHAR(92),"$")),CHAR(96),_xlfn.CONCAT(CHAR(92),CHAR(96))),CHAR(34),CHAR(39))))</f>
        <v/>
      </c>
      <c r="T369" s="5" t="str">
        <f>IF(OR(TRIM($B369)="",$J369=""),"",IF(OR(ISNUMBER(SEARCH(_xlfn.CONCAT(CHAR(96),CHAR(34)),$J369)),ISNUMBER(SEARCH(_xlfn.CONCAT(CHAR(34),CHAR(39)),$J369))),_xlfn.CONCAT("* REVIEW REQUIRED: compound-quote delimiter in Notes on Sheet 1 row ",369,"; edit the input before running."),_xlfn.CONCAT("char ",TRIM($B369),"[doc_notes] ",CHAR(96),CHAR(34),SUBSTITUTE(SUBSTITUTE(SUBSTITUTE(SUBSTITUTE(SUBSTITUTE(SUBSTITUTE($J369,CHAR(13)," "),CHAR(10)," "),CHAR(9)," "),CHAR(92),_xlfn.CONCAT(CHAR(92),CHAR(92))),"$",_xlfn.CONCAT(CHAR(92),"$")),CHAR(96),_xlfn.CONCAT(CHAR(92),CHAR(96))),CHAR(34),CHAR(39))))</f>
        <v/>
      </c>
      <c r="U369" s="5">
        <f t="shared" si="11"/>
        <v>0</v>
      </c>
    </row>
    <row r="370" spans="3:21" ht="30" customHeight="1" x14ac:dyDescent="0.2">
      <c r="C370" s="4"/>
      <c r="K370" s="5">
        <f t="shared" si="10"/>
        <v>0</v>
      </c>
      <c r="L370" s="5" t="str">
        <f>IF(OR(TRIM($B370)="",$A370=""),"",IF(OR(ISNUMBER(SEARCH(_xlfn.CONCAT(CHAR(96),CHAR(34)),$A370)),ISNUMBER(SEARCH(_xlfn.CONCAT(CHAR(34),CHAR(39)),$A370))),_xlfn.CONCAT("* REVIEW REQUIRED: compound-quote delimiter in Codebook Section on Sheet 1 row ",370,"; edit the input before running."),_xlfn.CONCAT("char ",TRIM($B370),"[doc_section] ",CHAR(96),CHAR(34),SUBSTITUTE(SUBSTITUTE(SUBSTITUTE(SUBSTITUTE(SUBSTITUTE(SUBSTITUTE($A370,CHAR(13)," "),CHAR(10)," "),CHAR(9)," "),CHAR(92),_xlfn.CONCAT(CHAR(92),CHAR(92))),"$",_xlfn.CONCAT(CHAR(92),"$")),CHAR(96),_xlfn.CONCAT(CHAR(92),CHAR(96))),CHAR(34),CHAR(39))))</f>
        <v/>
      </c>
      <c r="M370" s="5" t="str">
        <f>IF(OR(TRIM($B370)="",$C370=""),"",IF(IFERROR(MATCH(TRIM($C370),{"Quantitative","Continuous","Discrete","Categorical","Nominal","Ordinal","Identifier"},0),0)=0,_xlfn.CONCAT("* REVIEW REQUIRED: invalid Variable Type on Sheet 1 row ",370,"."),_xlfn.CONCAT("char ",TRIM($B370),"[doc_vartype] ",CHAR(96),CHAR(34),SUBSTITUTE(SUBSTITUTE(SUBSTITUTE(SUBSTITUTE(SUBSTITUTE(SUBSTITUTE(LOWER(TRIM($C370)),CHAR(13)," "),CHAR(10)," "),CHAR(9)," "),CHAR(92),_xlfn.CONCAT(CHAR(92),CHAR(92))),"$",_xlfn.CONCAT(CHAR(92),"$")),CHAR(96),_xlfn.CONCAT(CHAR(92),CHAR(96))),CHAR(34),CHAR(39))))</f>
        <v/>
      </c>
      <c r="N370" s="5" t="str">
        <f>IF(OR(TRIM($B370)="",$D370=""),"",IF(OR(ISNUMBER(SEARCH(_xlfn.CONCAT(CHAR(96),CHAR(34)),$D370)),ISNUMBER(SEARCH(_xlfn.CONCAT(CHAR(34),CHAR(39)),$D370))),_xlfn.CONCAT("* REVIEW REQUIRED: compound-quote delimiter in Item Number on Sheet 1 row ",370,"; edit the input before running."),_xlfn.CONCAT("char ",TRIM($B370),"[doc_itemnum] ",CHAR(96),CHAR(34),SUBSTITUTE(SUBSTITUTE(SUBSTITUTE(SUBSTITUTE(SUBSTITUTE(SUBSTITUTE($D370,CHAR(13)," "),CHAR(10)," "),CHAR(9)," "),CHAR(92),_xlfn.CONCAT(CHAR(92),CHAR(92))),"$",_xlfn.CONCAT(CHAR(92),"$")),CHAR(96),_xlfn.CONCAT(CHAR(92),CHAR(96))),CHAR(34),CHAR(39))))</f>
        <v/>
      </c>
      <c r="O370" s="5" t="str">
        <f>IF(OR(TRIM($B370)="",$E370=""),"",IF(OR(ISNUMBER(SEARCH(_xlfn.CONCAT(CHAR(96),CHAR(34)),$E370)),ISNUMBER(SEARCH(_xlfn.CONCAT(CHAR(34),CHAR(39)),$E370))),_xlfn.CONCAT("* REVIEW REQUIRED: compound-quote delimiter in Question Wording on Sheet 1 row ",370,"; edit the input before running."),_xlfn.CONCAT("char ",TRIM($B370),"[doc_question] ",CHAR(96),CHAR(34),SUBSTITUTE(SUBSTITUTE(SUBSTITUTE(SUBSTITUTE(SUBSTITUTE(SUBSTITUTE($E370,CHAR(13)," "),CHAR(10)," "),CHAR(9)," "),CHAR(92),_xlfn.CONCAT(CHAR(92),CHAR(92))),"$",_xlfn.CONCAT(CHAR(92),"$")),CHAR(96),_xlfn.CONCAT(CHAR(92),CHAR(96))),CHAR(34),CHAR(39))))</f>
        <v/>
      </c>
      <c r="P370" s="5" t="str">
        <f>IF(OR(TRIM($B370)="",$F370=""),"",IF(OR(ISNUMBER(SEARCH(_xlfn.CONCAT(CHAR(96),CHAR(34)),$F370)),ISNUMBER(SEARCH(_xlfn.CONCAT(CHAR(34),CHAR(39)),$F370))),_xlfn.CONCAT("* REVIEW REQUIRED: compound-quote delimiter in Units on Sheet 1 row ",370,"; edit the input before running."),_xlfn.CONCAT("char ",TRIM($B370),"[doc_units] ",CHAR(96),CHAR(34),SUBSTITUTE(SUBSTITUTE(SUBSTITUTE(SUBSTITUTE(SUBSTITUTE(SUBSTITUTE($F370,CHAR(13)," "),CHAR(10)," "),CHAR(9)," "),CHAR(92),_xlfn.CONCAT(CHAR(92),CHAR(92))),"$",_xlfn.CONCAT(CHAR(92),"$")),CHAR(96),_xlfn.CONCAT(CHAR(92),CHAR(96))),CHAR(34),CHAR(39))))</f>
        <v/>
      </c>
      <c r="Q370" s="5" t="str">
        <f>IF(OR(TRIM($B370)="",$G370=""),"",IF(OR(ISNUMBER(SEARCH(_xlfn.CONCAT(CHAR(96),CHAR(34)),$G370)),ISNUMBER(SEARCH(_xlfn.CONCAT(CHAR(34),CHAR(39)),$G370))),_xlfn.CONCAT("* REVIEW REQUIRED: compound-quote delimiter in Universe on Sheet 1 row ",370,"; edit the input before running."),_xlfn.CONCAT("char ",TRIM($B370),"[doc_universe] ",CHAR(96),CHAR(34),SUBSTITUTE(SUBSTITUTE(SUBSTITUTE(SUBSTITUTE(SUBSTITUTE(SUBSTITUTE($G370,CHAR(13)," "),CHAR(10)," "),CHAR(9)," "),CHAR(92),_xlfn.CONCAT(CHAR(92),CHAR(92))),"$",_xlfn.CONCAT(CHAR(92),"$")),CHAR(96),_xlfn.CONCAT(CHAR(92),CHAR(96))),CHAR(34),CHAR(39))))</f>
        <v/>
      </c>
      <c r="R370" s="5" t="str">
        <f>IF(OR(TRIM($B370)="",$H370=""),"",IF(OR(ISNUMBER(SEARCH(_xlfn.CONCAT(CHAR(96),CHAR(34)),$H370)),ISNUMBER(SEARCH(_xlfn.CONCAT(CHAR(34),CHAR(39)),$H370))),_xlfn.CONCAT("* REVIEW REQUIRED: compound-quote delimiter in Source on Sheet 1 row ",370,"; edit the input before running."),_xlfn.CONCAT("char ",TRIM($B370),"[doc_source] ",CHAR(96),CHAR(34),SUBSTITUTE(SUBSTITUTE(SUBSTITUTE(SUBSTITUTE(SUBSTITUTE(SUBSTITUTE($H370,CHAR(13)," "),CHAR(10)," "),CHAR(9)," "),CHAR(92),_xlfn.CONCAT(CHAR(92),CHAR(92))),"$",_xlfn.CONCAT(CHAR(92),"$")),CHAR(96),_xlfn.CONCAT(CHAR(92),CHAR(96))),CHAR(34),CHAR(39))))</f>
        <v/>
      </c>
      <c r="S370" s="5" t="str">
        <f>IF(OR(TRIM($B370)="",$I370=""),"",IF(OR(ISNUMBER(SEARCH(_xlfn.CONCAT(CHAR(96),CHAR(34)),$I370)),ISNUMBER(SEARCH(_xlfn.CONCAT(CHAR(34),CHAR(39)),$I370))),_xlfn.CONCAT("* REVIEW REQUIRED: compound-quote delimiter in Derivation on Sheet 1 row ",370,"; edit the input before running."),_xlfn.CONCAT("char ",TRIM($B370),"[doc_derivation] ",CHAR(96),CHAR(34),SUBSTITUTE(SUBSTITUTE(SUBSTITUTE(SUBSTITUTE(SUBSTITUTE(SUBSTITUTE($I370,CHAR(13)," "),CHAR(10)," "),CHAR(9)," "),CHAR(92),_xlfn.CONCAT(CHAR(92),CHAR(92))),"$",_xlfn.CONCAT(CHAR(92),"$")),CHAR(96),_xlfn.CONCAT(CHAR(92),CHAR(96))),CHAR(34),CHAR(39))))</f>
        <v/>
      </c>
      <c r="T370" s="5" t="str">
        <f>IF(OR(TRIM($B370)="",$J370=""),"",IF(OR(ISNUMBER(SEARCH(_xlfn.CONCAT(CHAR(96),CHAR(34)),$J370)),ISNUMBER(SEARCH(_xlfn.CONCAT(CHAR(34),CHAR(39)),$J370))),_xlfn.CONCAT("* REVIEW REQUIRED: compound-quote delimiter in Notes on Sheet 1 row ",370,"; edit the input before running."),_xlfn.CONCAT("char ",TRIM($B370),"[doc_notes] ",CHAR(96),CHAR(34),SUBSTITUTE(SUBSTITUTE(SUBSTITUTE(SUBSTITUTE(SUBSTITUTE(SUBSTITUTE($J370,CHAR(13)," "),CHAR(10)," "),CHAR(9)," "),CHAR(92),_xlfn.CONCAT(CHAR(92),CHAR(92))),"$",_xlfn.CONCAT(CHAR(92),"$")),CHAR(96),_xlfn.CONCAT(CHAR(92),CHAR(96))),CHAR(34),CHAR(39))))</f>
        <v/>
      </c>
      <c r="U370" s="5">
        <f t="shared" si="11"/>
        <v>0</v>
      </c>
    </row>
    <row r="371" spans="3:21" ht="30" customHeight="1" x14ac:dyDescent="0.2">
      <c r="C371" s="4"/>
      <c r="K371" s="5">
        <f t="shared" si="10"/>
        <v>0</v>
      </c>
      <c r="L371" s="5" t="str">
        <f>IF(OR(TRIM($B371)="",$A371=""),"",IF(OR(ISNUMBER(SEARCH(_xlfn.CONCAT(CHAR(96),CHAR(34)),$A371)),ISNUMBER(SEARCH(_xlfn.CONCAT(CHAR(34),CHAR(39)),$A371))),_xlfn.CONCAT("* REVIEW REQUIRED: compound-quote delimiter in Codebook Section on Sheet 1 row ",371,"; edit the input before running."),_xlfn.CONCAT("char ",TRIM($B371),"[doc_section] ",CHAR(96),CHAR(34),SUBSTITUTE(SUBSTITUTE(SUBSTITUTE(SUBSTITUTE(SUBSTITUTE(SUBSTITUTE($A371,CHAR(13)," "),CHAR(10)," "),CHAR(9)," "),CHAR(92),_xlfn.CONCAT(CHAR(92),CHAR(92))),"$",_xlfn.CONCAT(CHAR(92),"$")),CHAR(96),_xlfn.CONCAT(CHAR(92),CHAR(96))),CHAR(34),CHAR(39))))</f>
        <v/>
      </c>
      <c r="M371" s="5" t="str">
        <f>IF(OR(TRIM($B371)="",$C371=""),"",IF(IFERROR(MATCH(TRIM($C371),{"Quantitative","Continuous","Discrete","Categorical","Nominal","Ordinal","Identifier"},0),0)=0,_xlfn.CONCAT("* REVIEW REQUIRED: invalid Variable Type on Sheet 1 row ",371,"."),_xlfn.CONCAT("char ",TRIM($B371),"[doc_vartype] ",CHAR(96),CHAR(34),SUBSTITUTE(SUBSTITUTE(SUBSTITUTE(SUBSTITUTE(SUBSTITUTE(SUBSTITUTE(LOWER(TRIM($C371)),CHAR(13)," "),CHAR(10)," "),CHAR(9)," "),CHAR(92),_xlfn.CONCAT(CHAR(92),CHAR(92))),"$",_xlfn.CONCAT(CHAR(92),"$")),CHAR(96),_xlfn.CONCAT(CHAR(92),CHAR(96))),CHAR(34),CHAR(39))))</f>
        <v/>
      </c>
      <c r="N371" s="5" t="str">
        <f>IF(OR(TRIM($B371)="",$D371=""),"",IF(OR(ISNUMBER(SEARCH(_xlfn.CONCAT(CHAR(96),CHAR(34)),$D371)),ISNUMBER(SEARCH(_xlfn.CONCAT(CHAR(34),CHAR(39)),$D371))),_xlfn.CONCAT("* REVIEW REQUIRED: compound-quote delimiter in Item Number on Sheet 1 row ",371,"; edit the input before running."),_xlfn.CONCAT("char ",TRIM($B371),"[doc_itemnum] ",CHAR(96),CHAR(34),SUBSTITUTE(SUBSTITUTE(SUBSTITUTE(SUBSTITUTE(SUBSTITUTE(SUBSTITUTE($D371,CHAR(13)," "),CHAR(10)," "),CHAR(9)," "),CHAR(92),_xlfn.CONCAT(CHAR(92),CHAR(92))),"$",_xlfn.CONCAT(CHAR(92),"$")),CHAR(96),_xlfn.CONCAT(CHAR(92),CHAR(96))),CHAR(34),CHAR(39))))</f>
        <v/>
      </c>
      <c r="O371" s="5" t="str">
        <f>IF(OR(TRIM($B371)="",$E371=""),"",IF(OR(ISNUMBER(SEARCH(_xlfn.CONCAT(CHAR(96),CHAR(34)),$E371)),ISNUMBER(SEARCH(_xlfn.CONCAT(CHAR(34),CHAR(39)),$E371))),_xlfn.CONCAT("* REVIEW REQUIRED: compound-quote delimiter in Question Wording on Sheet 1 row ",371,"; edit the input before running."),_xlfn.CONCAT("char ",TRIM($B371),"[doc_question] ",CHAR(96),CHAR(34),SUBSTITUTE(SUBSTITUTE(SUBSTITUTE(SUBSTITUTE(SUBSTITUTE(SUBSTITUTE($E371,CHAR(13)," "),CHAR(10)," "),CHAR(9)," "),CHAR(92),_xlfn.CONCAT(CHAR(92),CHAR(92))),"$",_xlfn.CONCAT(CHAR(92),"$")),CHAR(96),_xlfn.CONCAT(CHAR(92),CHAR(96))),CHAR(34),CHAR(39))))</f>
        <v/>
      </c>
      <c r="P371" s="5" t="str">
        <f>IF(OR(TRIM($B371)="",$F371=""),"",IF(OR(ISNUMBER(SEARCH(_xlfn.CONCAT(CHAR(96),CHAR(34)),$F371)),ISNUMBER(SEARCH(_xlfn.CONCAT(CHAR(34),CHAR(39)),$F371))),_xlfn.CONCAT("* REVIEW REQUIRED: compound-quote delimiter in Units on Sheet 1 row ",371,"; edit the input before running."),_xlfn.CONCAT("char ",TRIM($B371),"[doc_units] ",CHAR(96),CHAR(34),SUBSTITUTE(SUBSTITUTE(SUBSTITUTE(SUBSTITUTE(SUBSTITUTE(SUBSTITUTE($F371,CHAR(13)," "),CHAR(10)," "),CHAR(9)," "),CHAR(92),_xlfn.CONCAT(CHAR(92),CHAR(92))),"$",_xlfn.CONCAT(CHAR(92),"$")),CHAR(96),_xlfn.CONCAT(CHAR(92),CHAR(96))),CHAR(34),CHAR(39))))</f>
        <v/>
      </c>
      <c r="Q371" s="5" t="str">
        <f>IF(OR(TRIM($B371)="",$G371=""),"",IF(OR(ISNUMBER(SEARCH(_xlfn.CONCAT(CHAR(96),CHAR(34)),$G371)),ISNUMBER(SEARCH(_xlfn.CONCAT(CHAR(34),CHAR(39)),$G371))),_xlfn.CONCAT("* REVIEW REQUIRED: compound-quote delimiter in Universe on Sheet 1 row ",371,"; edit the input before running."),_xlfn.CONCAT("char ",TRIM($B371),"[doc_universe] ",CHAR(96),CHAR(34),SUBSTITUTE(SUBSTITUTE(SUBSTITUTE(SUBSTITUTE(SUBSTITUTE(SUBSTITUTE($G371,CHAR(13)," "),CHAR(10)," "),CHAR(9)," "),CHAR(92),_xlfn.CONCAT(CHAR(92),CHAR(92))),"$",_xlfn.CONCAT(CHAR(92),"$")),CHAR(96),_xlfn.CONCAT(CHAR(92),CHAR(96))),CHAR(34),CHAR(39))))</f>
        <v/>
      </c>
      <c r="R371" s="5" t="str">
        <f>IF(OR(TRIM($B371)="",$H371=""),"",IF(OR(ISNUMBER(SEARCH(_xlfn.CONCAT(CHAR(96),CHAR(34)),$H371)),ISNUMBER(SEARCH(_xlfn.CONCAT(CHAR(34),CHAR(39)),$H371))),_xlfn.CONCAT("* REVIEW REQUIRED: compound-quote delimiter in Source on Sheet 1 row ",371,"; edit the input before running."),_xlfn.CONCAT("char ",TRIM($B371),"[doc_source] ",CHAR(96),CHAR(34),SUBSTITUTE(SUBSTITUTE(SUBSTITUTE(SUBSTITUTE(SUBSTITUTE(SUBSTITUTE($H371,CHAR(13)," "),CHAR(10)," "),CHAR(9)," "),CHAR(92),_xlfn.CONCAT(CHAR(92),CHAR(92))),"$",_xlfn.CONCAT(CHAR(92),"$")),CHAR(96),_xlfn.CONCAT(CHAR(92),CHAR(96))),CHAR(34),CHAR(39))))</f>
        <v/>
      </c>
      <c r="S371" s="5" t="str">
        <f>IF(OR(TRIM($B371)="",$I371=""),"",IF(OR(ISNUMBER(SEARCH(_xlfn.CONCAT(CHAR(96),CHAR(34)),$I371)),ISNUMBER(SEARCH(_xlfn.CONCAT(CHAR(34),CHAR(39)),$I371))),_xlfn.CONCAT("* REVIEW REQUIRED: compound-quote delimiter in Derivation on Sheet 1 row ",371,"; edit the input before running."),_xlfn.CONCAT("char ",TRIM($B371),"[doc_derivation] ",CHAR(96),CHAR(34),SUBSTITUTE(SUBSTITUTE(SUBSTITUTE(SUBSTITUTE(SUBSTITUTE(SUBSTITUTE($I371,CHAR(13)," "),CHAR(10)," "),CHAR(9)," "),CHAR(92),_xlfn.CONCAT(CHAR(92),CHAR(92))),"$",_xlfn.CONCAT(CHAR(92),"$")),CHAR(96),_xlfn.CONCAT(CHAR(92),CHAR(96))),CHAR(34),CHAR(39))))</f>
        <v/>
      </c>
      <c r="T371" s="5" t="str">
        <f>IF(OR(TRIM($B371)="",$J371=""),"",IF(OR(ISNUMBER(SEARCH(_xlfn.CONCAT(CHAR(96),CHAR(34)),$J371)),ISNUMBER(SEARCH(_xlfn.CONCAT(CHAR(34),CHAR(39)),$J371))),_xlfn.CONCAT("* REVIEW REQUIRED: compound-quote delimiter in Notes on Sheet 1 row ",371,"; edit the input before running."),_xlfn.CONCAT("char ",TRIM($B371),"[doc_notes] ",CHAR(96),CHAR(34),SUBSTITUTE(SUBSTITUTE(SUBSTITUTE(SUBSTITUTE(SUBSTITUTE(SUBSTITUTE($J371,CHAR(13)," "),CHAR(10)," "),CHAR(9)," "),CHAR(92),_xlfn.CONCAT(CHAR(92),CHAR(92))),"$",_xlfn.CONCAT(CHAR(92),"$")),CHAR(96),_xlfn.CONCAT(CHAR(92),CHAR(96))),CHAR(34),CHAR(39))))</f>
        <v/>
      </c>
      <c r="U371" s="5">
        <f t="shared" si="11"/>
        <v>0</v>
      </c>
    </row>
    <row r="372" spans="3:21" ht="30" customHeight="1" x14ac:dyDescent="0.2">
      <c r="C372" s="4"/>
      <c r="K372" s="5">
        <f t="shared" si="10"/>
        <v>0</v>
      </c>
      <c r="L372" s="5" t="str">
        <f>IF(OR(TRIM($B372)="",$A372=""),"",IF(OR(ISNUMBER(SEARCH(_xlfn.CONCAT(CHAR(96),CHAR(34)),$A372)),ISNUMBER(SEARCH(_xlfn.CONCAT(CHAR(34),CHAR(39)),$A372))),_xlfn.CONCAT("* REVIEW REQUIRED: compound-quote delimiter in Codebook Section on Sheet 1 row ",372,"; edit the input before running."),_xlfn.CONCAT("char ",TRIM($B372),"[doc_section] ",CHAR(96),CHAR(34),SUBSTITUTE(SUBSTITUTE(SUBSTITUTE(SUBSTITUTE(SUBSTITUTE(SUBSTITUTE($A372,CHAR(13)," "),CHAR(10)," "),CHAR(9)," "),CHAR(92),_xlfn.CONCAT(CHAR(92),CHAR(92))),"$",_xlfn.CONCAT(CHAR(92),"$")),CHAR(96),_xlfn.CONCAT(CHAR(92),CHAR(96))),CHAR(34),CHAR(39))))</f>
        <v/>
      </c>
      <c r="M372" s="5" t="str">
        <f>IF(OR(TRIM($B372)="",$C372=""),"",IF(IFERROR(MATCH(TRIM($C372),{"Quantitative","Continuous","Discrete","Categorical","Nominal","Ordinal","Identifier"},0),0)=0,_xlfn.CONCAT("* REVIEW REQUIRED: invalid Variable Type on Sheet 1 row ",372,"."),_xlfn.CONCAT("char ",TRIM($B372),"[doc_vartype] ",CHAR(96),CHAR(34),SUBSTITUTE(SUBSTITUTE(SUBSTITUTE(SUBSTITUTE(SUBSTITUTE(SUBSTITUTE(LOWER(TRIM($C372)),CHAR(13)," "),CHAR(10)," "),CHAR(9)," "),CHAR(92),_xlfn.CONCAT(CHAR(92),CHAR(92))),"$",_xlfn.CONCAT(CHAR(92),"$")),CHAR(96),_xlfn.CONCAT(CHAR(92),CHAR(96))),CHAR(34),CHAR(39))))</f>
        <v/>
      </c>
      <c r="N372" s="5" t="str">
        <f>IF(OR(TRIM($B372)="",$D372=""),"",IF(OR(ISNUMBER(SEARCH(_xlfn.CONCAT(CHAR(96),CHAR(34)),$D372)),ISNUMBER(SEARCH(_xlfn.CONCAT(CHAR(34),CHAR(39)),$D372))),_xlfn.CONCAT("* REVIEW REQUIRED: compound-quote delimiter in Item Number on Sheet 1 row ",372,"; edit the input before running."),_xlfn.CONCAT("char ",TRIM($B372),"[doc_itemnum] ",CHAR(96),CHAR(34),SUBSTITUTE(SUBSTITUTE(SUBSTITUTE(SUBSTITUTE(SUBSTITUTE(SUBSTITUTE($D372,CHAR(13)," "),CHAR(10)," "),CHAR(9)," "),CHAR(92),_xlfn.CONCAT(CHAR(92),CHAR(92))),"$",_xlfn.CONCAT(CHAR(92),"$")),CHAR(96),_xlfn.CONCAT(CHAR(92),CHAR(96))),CHAR(34),CHAR(39))))</f>
        <v/>
      </c>
      <c r="O372" s="5" t="str">
        <f>IF(OR(TRIM($B372)="",$E372=""),"",IF(OR(ISNUMBER(SEARCH(_xlfn.CONCAT(CHAR(96),CHAR(34)),$E372)),ISNUMBER(SEARCH(_xlfn.CONCAT(CHAR(34),CHAR(39)),$E372))),_xlfn.CONCAT("* REVIEW REQUIRED: compound-quote delimiter in Question Wording on Sheet 1 row ",372,"; edit the input before running."),_xlfn.CONCAT("char ",TRIM($B372),"[doc_question] ",CHAR(96),CHAR(34),SUBSTITUTE(SUBSTITUTE(SUBSTITUTE(SUBSTITUTE(SUBSTITUTE(SUBSTITUTE($E372,CHAR(13)," "),CHAR(10)," "),CHAR(9)," "),CHAR(92),_xlfn.CONCAT(CHAR(92),CHAR(92))),"$",_xlfn.CONCAT(CHAR(92),"$")),CHAR(96),_xlfn.CONCAT(CHAR(92),CHAR(96))),CHAR(34),CHAR(39))))</f>
        <v/>
      </c>
      <c r="P372" s="5" t="str">
        <f>IF(OR(TRIM($B372)="",$F372=""),"",IF(OR(ISNUMBER(SEARCH(_xlfn.CONCAT(CHAR(96),CHAR(34)),$F372)),ISNUMBER(SEARCH(_xlfn.CONCAT(CHAR(34),CHAR(39)),$F372))),_xlfn.CONCAT("* REVIEW REQUIRED: compound-quote delimiter in Units on Sheet 1 row ",372,"; edit the input before running."),_xlfn.CONCAT("char ",TRIM($B372),"[doc_units] ",CHAR(96),CHAR(34),SUBSTITUTE(SUBSTITUTE(SUBSTITUTE(SUBSTITUTE(SUBSTITUTE(SUBSTITUTE($F372,CHAR(13)," "),CHAR(10)," "),CHAR(9)," "),CHAR(92),_xlfn.CONCAT(CHAR(92),CHAR(92))),"$",_xlfn.CONCAT(CHAR(92),"$")),CHAR(96),_xlfn.CONCAT(CHAR(92),CHAR(96))),CHAR(34),CHAR(39))))</f>
        <v/>
      </c>
      <c r="Q372" s="5" t="str">
        <f>IF(OR(TRIM($B372)="",$G372=""),"",IF(OR(ISNUMBER(SEARCH(_xlfn.CONCAT(CHAR(96),CHAR(34)),$G372)),ISNUMBER(SEARCH(_xlfn.CONCAT(CHAR(34),CHAR(39)),$G372))),_xlfn.CONCAT("* REVIEW REQUIRED: compound-quote delimiter in Universe on Sheet 1 row ",372,"; edit the input before running."),_xlfn.CONCAT("char ",TRIM($B372),"[doc_universe] ",CHAR(96),CHAR(34),SUBSTITUTE(SUBSTITUTE(SUBSTITUTE(SUBSTITUTE(SUBSTITUTE(SUBSTITUTE($G372,CHAR(13)," "),CHAR(10)," "),CHAR(9)," "),CHAR(92),_xlfn.CONCAT(CHAR(92),CHAR(92))),"$",_xlfn.CONCAT(CHAR(92),"$")),CHAR(96),_xlfn.CONCAT(CHAR(92),CHAR(96))),CHAR(34),CHAR(39))))</f>
        <v/>
      </c>
      <c r="R372" s="5" t="str">
        <f>IF(OR(TRIM($B372)="",$H372=""),"",IF(OR(ISNUMBER(SEARCH(_xlfn.CONCAT(CHAR(96),CHAR(34)),$H372)),ISNUMBER(SEARCH(_xlfn.CONCAT(CHAR(34),CHAR(39)),$H372))),_xlfn.CONCAT("* REVIEW REQUIRED: compound-quote delimiter in Source on Sheet 1 row ",372,"; edit the input before running."),_xlfn.CONCAT("char ",TRIM($B372),"[doc_source] ",CHAR(96),CHAR(34),SUBSTITUTE(SUBSTITUTE(SUBSTITUTE(SUBSTITUTE(SUBSTITUTE(SUBSTITUTE($H372,CHAR(13)," "),CHAR(10)," "),CHAR(9)," "),CHAR(92),_xlfn.CONCAT(CHAR(92),CHAR(92))),"$",_xlfn.CONCAT(CHAR(92),"$")),CHAR(96),_xlfn.CONCAT(CHAR(92),CHAR(96))),CHAR(34),CHAR(39))))</f>
        <v/>
      </c>
      <c r="S372" s="5" t="str">
        <f>IF(OR(TRIM($B372)="",$I372=""),"",IF(OR(ISNUMBER(SEARCH(_xlfn.CONCAT(CHAR(96),CHAR(34)),$I372)),ISNUMBER(SEARCH(_xlfn.CONCAT(CHAR(34),CHAR(39)),$I372))),_xlfn.CONCAT("* REVIEW REQUIRED: compound-quote delimiter in Derivation on Sheet 1 row ",372,"; edit the input before running."),_xlfn.CONCAT("char ",TRIM($B372),"[doc_derivation] ",CHAR(96),CHAR(34),SUBSTITUTE(SUBSTITUTE(SUBSTITUTE(SUBSTITUTE(SUBSTITUTE(SUBSTITUTE($I372,CHAR(13)," "),CHAR(10)," "),CHAR(9)," "),CHAR(92),_xlfn.CONCAT(CHAR(92),CHAR(92))),"$",_xlfn.CONCAT(CHAR(92),"$")),CHAR(96),_xlfn.CONCAT(CHAR(92),CHAR(96))),CHAR(34),CHAR(39))))</f>
        <v/>
      </c>
      <c r="T372" s="5" t="str">
        <f>IF(OR(TRIM($B372)="",$J372=""),"",IF(OR(ISNUMBER(SEARCH(_xlfn.CONCAT(CHAR(96),CHAR(34)),$J372)),ISNUMBER(SEARCH(_xlfn.CONCAT(CHAR(34),CHAR(39)),$J372))),_xlfn.CONCAT("* REVIEW REQUIRED: compound-quote delimiter in Notes on Sheet 1 row ",372,"; edit the input before running."),_xlfn.CONCAT("char ",TRIM($B372),"[doc_notes] ",CHAR(96),CHAR(34),SUBSTITUTE(SUBSTITUTE(SUBSTITUTE(SUBSTITUTE(SUBSTITUTE(SUBSTITUTE($J372,CHAR(13)," "),CHAR(10)," "),CHAR(9)," "),CHAR(92),_xlfn.CONCAT(CHAR(92),CHAR(92))),"$",_xlfn.CONCAT(CHAR(92),"$")),CHAR(96),_xlfn.CONCAT(CHAR(92),CHAR(96))),CHAR(34),CHAR(39))))</f>
        <v/>
      </c>
      <c r="U372" s="5">
        <f t="shared" si="11"/>
        <v>0</v>
      </c>
    </row>
    <row r="373" spans="3:21" ht="30" customHeight="1" x14ac:dyDescent="0.2">
      <c r="C373" s="4"/>
      <c r="K373" s="5">
        <f t="shared" si="10"/>
        <v>0</v>
      </c>
      <c r="L373" s="5" t="str">
        <f>IF(OR(TRIM($B373)="",$A373=""),"",IF(OR(ISNUMBER(SEARCH(_xlfn.CONCAT(CHAR(96),CHAR(34)),$A373)),ISNUMBER(SEARCH(_xlfn.CONCAT(CHAR(34),CHAR(39)),$A373))),_xlfn.CONCAT("* REVIEW REQUIRED: compound-quote delimiter in Codebook Section on Sheet 1 row ",373,"; edit the input before running."),_xlfn.CONCAT("char ",TRIM($B373),"[doc_section] ",CHAR(96),CHAR(34),SUBSTITUTE(SUBSTITUTE(SUBSTITUTE(SUBSTITUTE(SUBSTITUTE(SUBSTITUTE($A373,CHAR(13)," "),CHAR(10)," "),CHAR(9)," "),CHAR(92),_xlfn.CONCAT(CHAR(92),CHAR(92))),"$",_xlfn.CONCAT(CHAR(92),"$")),CHAR(96),_xlfn.CONCAT(CHAR(92),CHAR(96))),CHAR(34),CHAR(39))))</f>
        <v/>
      </c>
      <c r="M373" s="5" t="str">
        <f>IF(OR(TRIM($B373)="",$C373=""),"",IF(IFERROR(MATCH(TRIM($C373),{"Quantitative","Continuous","Discrete","Categorical","Nominal","Ordinal","Identifier"},0),0)=0,_xlfn.CONCAT("* REVIEW REQUIRED: invalid Variable Type on Sheet 1 row ",373,"."),_xlfn.CONCAT("char ",TRIM($B373),"[doc_vartype] ",CHAR(96),CHAR(34),SUBSTITUTE(SUBSTITUTE(SUBSTITUTE(SUBSTITUTE(SUBSTITUTE(SUBSTITUTE(LOWER(TRIM($C373)),CHAR(13)," "),CHAR(10)," "),CHAR(9)," "),CHAR(92),_xlfn.CONCAT(CHAR(92),CHAR(92))),"$",_xlfn.CONCAT(CHAR(92),"$")),CHAR(96),_xlfn.CONCAT(CHAR(92),CHAR(96))),CHAR(34),CHAR(39))))</f>
        <v/>
      </c>
      <c r="N373" s="5" t="str">
        <f>IF(OR(TRIM($B373)="",$D373=""),"",IF(OR(ISNUMBER(SEARCH(_xlfn.CONCAT(CHAR(96),CHAR(34)),$D373)),ISNUMBER(SEARCH(_xlfn.CONCAT(CHAR(34),CHAR(39)),$D373))),_xlfn.CONCAT("* REVIEW REQUIRED: compound-quote delimiter in Item Number on Sheet 1 row ",373,"; edit the input before running."),_xlfn.CONCAT("char ",TRIM($B373),"[doc_itemnum] ",CHAR(96),CHAR(34),SUBSTITUTE(SUBSTITUTE(SUBSTITUTE(SUBSTITUTE(SUBSTITUTE(SUBSTITUTE($D373,CHAR(13)," "),CHAR(10)," "),CHAR(9)," "),CHAR(92),_xlfn.CONCAT(CHAR(92),CHAR(92))),"$",_xlfn.CONCAT(CHAR(92),"$")),CHAR(96),_xlfn.CONCAT(CHAR(92),CHAR(96))),CHAR(34),CHAR(39))))</f>
        <v/>
      </c>
      <c r="O373" s="5" t="str">
        <f>IF(OR(TRIM($B373)="",$E373=""),"",IF(OR(ISNUMBER(SEARCH(_xlfn.CONCAT(CHAR(96),CHAR(34)),$E373)),ISNUMBER(SEARCH(_xlfn.CONCAT(CHAR(34),CHAR(39)),$E373))),_xlfn.CONCAT("* REVIEW REQUIRED: compound-quote delimiter in Question Wording on Sheet 1 row ",373,"; edit the input before running."),_xlfn.CONCAT("char ",TRIM($B373),"[doc_question] ",CHAR(96),CHAR(34),SUBSTITUTE(SUBSTITUTE(SUBSTITUTE(SUBSTITUTE(SUBSTITUTE(SUBSTITUTE($E373,CHAR(13)," "),CHAR(10)," "),CHAR(9)," "),CHAR(92),_xlfn.CONCAT(CHAR(92),CHAR(92))),"$",_xlfn.CONCAT(CHAR(92),"$")),CHAR(96),_xlfn.CONCAT(CHAR(92),CHAR(96))),CHAR(34),CHAR(39))))</f>
        <v/>
      </c>
      <c r="P373" s="5" t="str">
        <f>IF(OR(TRIM($B373)="",$F373=""),"",IF(OR(ISNUMBER(SEARCH(_xlfn.CONCAT(CHAR(96),CHAR(34)),$F373)),ISNUMBER(SEARCH(_xlfn.CONCAT(CHAR(34),CHAR(39)),$F373))),_xlfn.CONCAT("* REVIEW REQUIRED: compound-quote delimiter in Units on Sheet 1 row ",373,"; edit the input before running."),_xlfn.CONCAT("char ",TRIM($B373),"[doc_units] ",CHAR(96),CHAR(34),SUBSTITUTE(SUBSTITUTE(SUBSTITUTE(SUBSTITUTE(SUBSTITUTE(SUBSTITUTE($F373,CHAR(13)," "),CHAR(10)," "),CHAR(9)," "),CHAR(92),_xlfn.CONCAT(CHAR(92),CHAR(92))),"$",_xlfn.CONCAT(CHAR(92),"$")),CHAR(96),_xlfn.CONCAT(CHAR(92),CHAR(96))),CHAR(34),CHAR(39))))</f>
        <v/>
      </c>
      <c r="Q373" s="5" t="str">
        <f>IF(OR(TRIM($B373)="",$G373=""),"",IF(OR(ISNUMBER(SEARCH(_xlfn.CONCAT(CHAR(96),CHAR(34)),$G373)),ISNUMBER(SEARCH(_xlfn.CONCAT(CHAR(34),CHAR(39)),$G373))),_xlfn.CONCAT("* REVIEW REQUIRED: compound-quote delimiter in Universe on Sheet 1 row ",373,"; edit the input before running."),_xlfn.CONCAT("char ",TRIM($B373),"[doc_universe] ",CHAR(96),CHAR(34),SUBSTITUTE(SUBSTITUTE(SUBSTITUTE(SUBSTITUTE(SUBSTITUTE(SUBSTITUTE($G373,CHAR(13)," "),CHAR(10)," "),CHAR(9)," "),CHAR(92),_xlfn.CONCAT(CHAR(92),CHAR(92))),"$",_xlfn.CONCAT(CHAR(92),"$")),CHAR(96),_xlfn.CONCAT(CHAR(92),CHAR(96))),CHAR(34),CHAR(39))))</f>
        <v/>
      </c>
      <c r="R373" s="5" t="str">
        <f>IF(OR(TRIM($B373)="",$H373=""),"",IF(OR(ISNUMBER(SEARCH(_xlfn.CONCAT(CHAR(96),CHAR(34)),$H373)),ISNUMBER(SEARCH(_xlfn.CONCAT(CHAR(34),CHAR(39)),$H373))),_xlfn.CONCAT("* REVIEW REQUIRED: compound-quote delimiter in Source on Sheet 1 row ",373,"; edit the input before running."),_xlfn.CONCAT("char ",TRIM($B373),"[doc_source] ",CHAR(96),CHAR(34),SUBSTITUTE(SUBSTITUTE(SUBSTITUTE(SUBSTITUTE(SUBSTITUTE(SUBSTITUTE($H373,CHAR(13)," "),CHAR(10)," "),CHAR(9)," "),CHAR(92),_xlfn.CONCAT(CHAR(92),CHAR(92))),"$",_xlfn.CONCAT(CHAR(92),"$")),CHAR(96),_xlfn.CONCAT(CHAR(92),CHAR(96))),CHAR(34),CHAR(39))))</f>
        <v/>
      </c>
      <c r="S373" s="5" t="str">
        <f>IF(OR(TRIM($B373)="",$I373=""),"",IF(OR(ISNUMBER(SEARCH(_xlfn.CONCAT(CHAR(96),CHAR(34)),$I373)),ISNUMBER(SEARCH(_xlfn.CONCAT(CHAR(34),CHAR(39)),$I373))),_xlfn.CONCAT("* REVIEW REQUIRED: compound-quote delimiter in Derivation on Sheet 1 row ",373,"; edit the input before running."),_xlfn.CONCAT("char ",TRIM($B373),"[doc_derivation] ",CHAR(96),CHAR(34),SUBSTITUTE(SUBSTITUTE(SUBSTITUTE(SUBSTITUTE(SUBSTITUTE(SUBSTITUTE($I373,CHAR(13)," "),CHAR(10)," "),CHAR(9)," "),CHAR(92),_xlfn.CONCAT(CHAR(92),CHAR(92))),"$",_xlfn.CONCAT(CHAR(92),"$")),CHAR(96),_xlfn.CONCAT(CHAR(92),CHAR(96))),CHAR(34),CHAR(39))))</f>
        <v/>
      </c>
      <c r="T373" s="5" t="str">
        <f>IF(OR(TRIM($B373)="",$J373=""),"",IF(OR(ISNUMBER(SEARCH(_xlfn.CONCAT(CHAR(96),CHAR(34)),$J373)),ISNUMBER(SEARCH(_xlfn.CONCAT(CHAR(34),CHAR(39)),$J373))),_xlfn.CONCAT("* REVIEW REQUIRED: compound-quote delimiter in Notes on Sheet 1 row ",373,"; edit the input before running."),_xlfn.CONCAT("char ",TRIM($B373),"[doc_notes] ",CHAR(96),CHAR(34),SUBSTITUTE(SUBSTITUTE(SUBSTITUTE(SUBSTITUTE(SUBSTITUTE(SUBSTITUTE($J373,CHAR(13)," "),CHAR(10)," "),CHAR(9)," "),CHAR(92),_xlfn.CONCAT(CHAR(92),CHAR(92))),"$",_xlfn.CONCAT(CHAR(92),"$")),CHAR(96),_xlfn.CONCAT(CHAR(92),CHAR(96))),CHAR(34),CHAR(39))))</f>
        <v/>
      </c>
      <c r="U373" s="5">
        <f t="shared" si="11"/>
        <v>0</v>
      </c>
    </row>
    <row r="374" spans="3:21" ht="30" customHeight="1" x14ac:dyDescent="0.2">
      <c r="C374" s="4"/>
      <c r="K374" s="5">
        <f t="shared" si="10"/>
        <v>0</v>
      </c>
      <c r="L374" s="5" t="str">
        <f>IF(OR(TRIM($B374)="",$A374=""),"",IF(OR(ISNUMBER(SEARCH(_xlfn.CONCAT(CHAR(96),CHAR(34)),$A374)),ISNUMBER(SEARCH(_xlfn.CONCAT(CHAR(34),CHAR(39)),$A374))),_xlfn.CONCAT("* REVIEW REQUIRED: compound-quote delimiter in Codebook Section on Sheet 1 row ",374,"; edit the input before running."),_xlfn.CONCAT("char ",TRIM($B374),"[doc_section] ",CHAR(96),CHAR(34),SUBSTITUTE(SUBSTITUTE(SUBSTITUTE(SUBSTITUTE(SUBSTITUTE(SUBSTITUTE($A374,CHAR(13)," "),CHAR(10)," "),CHAR(9)," "),CHAR(92),_xlfn.CONCAT(CHAR(92),CHAR(92))),"$",_xlfn.CONCAT(CHAR(92),"$")),CHAR(96),_xlfn.CONCAT(CHAR(92),CHAR(96))),CHAR(34),CHAR(39))))</f>
        <v/>
      </c>
      <c r="M374" s="5" t="str">
        <f>IF(OR(TRIM($B374)="",$C374=""),"",IF(IFERROR(MATCH(TRIM($C374),{"Quantitative","Continuous","Discrete","Categorical","Nominal","Ordinal","Identifier"},0),0)=0,_xlfn.CONCAT("* REVIEW REQUIRED: invalid Variable Type on Sheet 1 row ",374,"."),_xlfn.CONCAT("char ",TRIM($B374),"[doc_vartype] ",CHAR(96),CHAR(34),SUBSTITUTE(SUBSTITUTE(SUBSTITUTE(SUBSTITUTE(SUBSTITUTE(SUBSTITUTE(LOWER(TRIM($C374)),CHAR(13)," "),CHAR(10)," "),CHAR(9)," "),CHAR(92),_xlfn.CONCAT(CHAR(92),CHAR(92))),"$",_xlfn.CONCAT(CHAR(92),"$")),CHAR(96),_xlfn.CONCAT(CHAR(92),CHAR(96))),CHAR(34),CHAR(39))))</f>
        <v/>
      </c>
      <c r="N374" s="5" t="str">
        <f>IF(OR(TRIM($B374)="",$D374=""),"",IF(OR(ISNUMBER(SEARCH(_xlfn.CONCAT(CHAR(96),CHAR(34)),$D374)),ISNUMBER(SEARCH(_xlfn.CONCAT(CHAR(34),CHAR(39)),$D374))),_xlfn.CONCAT("* REVIEW REQUIRED: compound-quote delimiter in Item Number on Sheet 1 row ",374,"; edit the input before running."),_xlfn.CONCAT("char ",TRIM($B374),"[doc_itemnum] ",CHAR(96),CHAR(34),SUBSTITUTE(SUBSTITUTE(SUBSTITUTE(SUBSTITUTE(SUBSTITUTE(SUBSTITUTE($D374,CHAR(13)," "),CHAR(10)," "),CHAR(9)," "),CHAR(92),_xlfn.CONCAT(CHAR(92),CHAR(92))),"$",_xlfn.CONCAT(CHAR(92),"$")),CHAR(96),_xlfn.CONCAT(CHAR(92),CHAR(96))),CHAR(34),CHAR(39))))</f>
        <v/>
      </c>
      <c r="O374" s="5" t="str">
        <f>IF(OR(TRIM($B374)="",$E374=""),"",IF(OR(ISNUMBER(SEARCH(_xlfn.CONCAT(CHAR(96),CHAR(34)),$E374)),ISNUMBER(SEARCH(_xlfn.CONCAT(CHAR(34),CHAR(39)),$E374))),_xlfn.CONCAT("* REVIEW REQUIRED: compound-quote delimiter in Question Wording on Sheet 1 row ",374,"; edit the input before running."),_xlfn.CONCAT("char ",TRIM($B374),"[doc_question] ",CHAR(96),CHAR(34),SUBSTITUTE(SUBSTITUTE(SUBSTITUTE(SUBSTITUTE(SUBSTITUTE(SUBSTITUTE($E374,CHAR(13)," "),CHAR(10)," "),CHAR(9)," "),CHAR(92),_xlfn.CONCAT(CHAR(92),CHAR(92))),"$",_xlfn.CONCAT(CHAR(92),"$")),CHAR(96),_xlfn.CONCAT(CHAR(92),CHAR(96))),CHAR(34),CHAR(39))))</f>
        <v/>
      </c>
      <c r="P374" s="5" t="str">
        <f>IF(OR(TRIM($B374)="",$F374=""),"",IF(OR(ISNUMBER(SEARCH(_xlfn.CONCAT(CHAR(96),CHAR(34)),$F374)),ISNUMBER(SEARCH(_xlfn.CONCAT(CHAR(34),CHAR(39)),$F374))),_xlfn.CONCAT("* REVIEW REQUIRED: compound-quote delimiter in Units on Sheet 1 row ",374,"; edit the input before running."),_xlfn.CONCAT("char ",TRIM($B374),"[doc_units] ",CHAR(96),CHAR(34),SUBSTITUTE(SUBSTITUTE(SUBSTITUTE(SUBSTITUTE(SUBSTITUTE(SUBSTITUTE($F374,CHAR(13)," "),CHAR(10)," "),CHAR(9)," "),CHAR(92),_xlfn.CONCAT(CHAR(92),CHAR(92))),"$",_xlfn.CONCAT(CHAR(92),"$")),CHAR(96),_xlfn.CONCAT(CHAR(92),CHAR(96))),CHAR(34),CHAR(39))))</f>
        <v/>
      </c>
      <c r="Q374" s="5" t="str">
        <f>IF(OR(TRIM($B374)="",$G374=""),"",IF(OR(ISNUMBER(SEARCH(_xlfn.CONCAT(CHAR(96),CHAR(34)),$G374)),ISNUMBER(SEARCH(_xlfn.CONCAT(CHAR(34),CHAR(39)),$G374))),_xlfn.CONCAT("* REVIEW REQUIRED: compound-quote delimiter in Universe on Sheet 1 row ",374,"; edit the input before running."),_xlfn.CONCAT("char ",TRIM($B374),"[doc_universe] ",CHAR(96),CHAR(34),SUBSTITUTE(SUBSTITUTE(SUBSTITUTE(SUBSTITUTE(SUBSTITUTE(SUBSTITUTE($G374,CHAR(13)," "),CHAR(10)," "),CHAR(9)," "),CHAR(92),_xlfn.CONCAT(CHAR(92),CHAR(92))),"$",_xlfn.CONCAT(CHAR(92),"$")),CHAR(96),_xlfn.CONCAT(CHAR(92),CHAR(96))),CHAR(34),CHAR(39))))</f>
        <v/>
      </c>
      <c r="R374" s="5" t="str">
        <f>IF(OR(TRIM($B374)="",$H374=""),"",IF(OR(ISNUMBER(SEARCH(_xlfn.CONCAT(CHAR(96),CHAR(34)),$H374)),ISNUMBER(SEARCH(_xlfn.CONCAT(CHAR(34),CHAR(39)),$H374))),_xlfn.CONCAT("* REVIEW REQUIRED: compound-quote delimiter in Source on Sheet 1 row ",374,"; edit the input before running."),_xlfn.CONCAT("char ",TRIM($B374),"[doc_source] ",CHAR(96),CHAR(34),SUBSTITUTE(SUBSTITUTE(SUBSTITUTE(SUBSTITUTE(SUBSTITUTE(SUBSTITUTE($H374,CHAR(13)," "),CHAR(10)," "),CHAR(9)," "),CHAR(92),_xlfn.CONCAT(CHAR(92),CHAR(92))),"$",_xlfn.CONCAT(CHAR(92),"$")),CHAR(96),_xlfn.CONCAT(CHAR(92),CHAR(96))),CHAR(34),CHAR(39))))</f>
        <v/>
      </c>
      <c r="S374" s="5" t="str">
        <f>IF(OR(TRIM($B374)="",$I374=""),"",IF(OR(ISNUMBER(SEARCH(_xlfn.CONCAT(CHAR(96),CHAR(34)),$I374)),ISNUMBER(SEARCH(_xlfn.CONCAT(CHAR(34),CHAR(39)),$I374))),_xlfn.CONCAT("* REVIEW REQUIRED: compound-quote delimiter in Derivation on Sheet 1 row ",374,"; edit the input before running."),_xlfn.CONCAT("char ",TRIM($B374),"[doc_derivation] ",CHAR(96),CHAR(34),SUBSTITUTE(SUBSTITUTE(SUBSTITUTE(SUBSTITUTE(SUBSTITUTE(SUBSTITUTE($I374,CHAR(13)," "),CHAR(10)," "),CHAR(9)," "),CHAR(92),_xlfn.CONCAT(CHAR(92),CHAR(92))),"$",_xlfn.CONCAT(CHAR(92),"$")),CHAR(96),_xlfn.CONCAT(CHAR(92),CHAR(96))),CHAR(34),CHAR(39))))</f>
        <v/>
      </c>
      <c r="T374" s="5" t="str">
        <f>IF(OR(TRIM($B374)="",$J374=""),"",IF(OR(ISNUMBER(SEARCH(_xlfn.CONCAT(CHAR(96),CHAR(34)),$J374)),ISNUMBER(SEARCH(_xlfn.CONCAT(CHAR(34),CHAR(39)),$J374))),_xlfn.CONCAT("* REVIEW REQUIRED: compound-quote delimiter in Notes on Sheet 1 row ",374,"; edit the input before running."),_xlfn.CONCAT("char ",TRIM($B374),"[doc_notes] ",CHAR(96),CHAR(34),SUBSTITUTE(SUBSTITUTE(SUBSTITUTE(SUBSTITUTE(SUBSTITUTE(SUBSTITUTE($J374,CHAR(13)," "),CHAR(10)," "),CHAR(9)," "),CHAR(92),_xlfn.CONCAT(CHAR(92),CHAR(92))),"$",_xlfn.CONCAT(CHAR(92),"$")),CHAR(96),_xlfn.CONCAT(CHAR(92),CHAR(96))),CHAR(34),CHAR(39))))</f>
        <v/>
      </c>
      <c r="U374" s="5">
        <f t="shared" si="11"/>
        <v>0</v>
      </c>
    </row>
    <row r="375" spans="3:21" ht="30" customHeight="1" x14ac:dyDescent="0.2">
      <c r="C375" s="4"/>
      <c r="K375" s="5">
        <f t="shared" si="10"/>
        <v>0</v>
      </c>
      <c r="L375" s="5" t="str">
        <f>IF(OR(TRIM($B375)="",$A375=""),"",IF(OR(ISNUMBER(SEARCH(_xlfn.CONCAT(CHAR(96),CHAR(34)),$A375)),ISNUMBER(SEARCH(_xlfn.CONCAT(CHAR(34),CHAR(39)),$A375))),_xlfn.CONCAT("* REVIEW REQUIRED: compound-quote delimiter in Codebook Section on Sheet 1 row ",375,"; edit the input before running."),_xlfn.CONCAT("char ",TRIM($B375),"[doc_section] ",CHAR(96),CHAR(34),SUBSTITUTE(SUBSTITUTE(SUBSTITUTE(SUBSTITUTE(SUBSTITUTE(SUBSTITUTE($A375,CHAR(13)," "),CHAR(10)," "),CHAR(9)," "),CHAR(92),_xlfn.CONCAT(CHAR(92),CHAR(92))),"$",_xlfn.CONCAT(CHAR(92),"$")),CHAR(96),_xlfn.CONCAT(CHAR(92),CHAR(96))),CHAR(34),CHAR(39))))</f>
        <v/>
      </c>
      <c r="M375" s="5" t="str">
        <f>IF(OR(TRIM($B375)="",$C375=""),"",IF(IFERROR(MATCH(TRIM($C375),{"Quantitative","Continuous","Discrete","Categorical","Nominal","Ordinal","Identifier"},0),0)=0,_xlfn.CONCAT("* REVIEW REQUIRED: invalid Variable Type on Sheet 1 row ",375,"."),_xlfn.CONCAT("char ",TRIM($B375),"[doc_vartype] ",CHAR(96),CHAR(34),SUBSTITUTE(SUBSTITUTE(SUBSTITUTE(SUBSTITUTE(SUBSTITUTE(SUBSTITUTE(LOWER(TRIM($C375)),CHAR(13)," "),CHAR(10)," "),CHAR(9)," "),CHAR(92),_xlfn.CONCAT(CHAR(92),CHAR(92))),"$",_xlfn.CONCAT(CHAR(92),"$")),CHAR(96),_xlfn.CONCAT(CHAR(92),CHAR(96))),CHAR(34),CHAR(39))))</f>
        <v/>
      </c>
      <c r="N375" s="5" t="str">
        <f>IF(OR(TRIM($B375)="",$D375=""),"",IF(OR(ISNUMBER(SEARCH(_xlfn.CONCAT(CHAR(96),CHAR(34)),$D375)),ISNUMBER(SEARCH(_xlfn.CONCAT(CHAR(34),CHAR(39)),$D375))),_xlfn.CONCAT("* REVIEW REQUIRED: compound-quote delimiter in Item Number on Sheet 1 row ",375,"; edit the input before running."),_xlfn.CONCAT("char ",TRIM($B375),"[doc_itemnum] ",CHAR(96),CHAR(34),SUBSTITUTE(SUBSTITUTE(SUBSTITUTE(SUBSTITUTE(SUBSTITUTE(SUBSTITUTE($D375,CHAR(13)," "),CHAR(10)," "),CHAR(9)," "),CHAR(92),_xlfn.CONCAT(CHAR(92),CHAR(92))),"$",_xlfn.CONCAT(CHAR(92),"$")),CHAR(96),_xlfn.CONCAT(CHAR(92),CHAR(96))),CHAR(34),CHAR(39))))</f>
        <v/>
      </c>
      <c r="O375" s="5" t="str">
        <f>IF(OR(TRIM($B375)="",$E375=""),"",IF(OR(ISNUMBER(SEARCH(_xlfn.CONCAT(CHAR(96),CHAR(34)),$E375)),ISNUMBER(SEARCH(_xlfn.CONCAT(CHAR(34),CHAR(39)),$E375))),_xlfn.CONCAT("* REVIEW REQUIRED: compound-quote delimiter in Question Wording on Sheet 1 row ",375,"; edit the input before running."),_xlfn.CONCAT("char ",TRIM($B375),"[doc_question] ",CHAR(96),CHAR(34),SUBSTITUTE(SUBSTITUTE(SUBSTITUTE(SUBSTITUTE(SUBSTITUTE(SUBSTITUTE($E375,CHAR(13)," "),CHAR(10)," "),CHAR(9)," "),CHAR(92),_xlfn.CONCAT(CHAR(92),CHAR(92))),"$",_xlfn.CONCAT(CHAR(92),"$")),CHAR(96),_xlfn.CONCAT(CHAR(92),CHAR(96))),CHAR(34),CHAR(39))))</f>
        <v/>
      </c>
      <c r="P375" s="5" t="str">
        <f>IF(OR(TRIM($B375)="",$F375=""),"",IF(OR(ISNUMBER(SEARCH(_xlfn.CONCAT(CHAR(96),CHAR(34)),$F375)),ISNUMBER(SEARCH(_xlfn.CONCAT(CHAR(34),CHAR(39)),$F375))),_xlfn.CONCAT("* REVIEW REQUIRED: compound-quote delimiter in Units on Sheet 1 row ",375,"; edit the input before running."),_xlfn.CONCAT("char ",TRIM($B375),"[doc_units] ",CHAR(96),CHAR(34),SUBSTITUTE(SUBSTITUTE(SUBSTITUTE(SUBSTITUTE(SUBSTITUTE(SUBSTITUTE($F375,CHAR(13)," "),CHAR(10)," "),CHAR(9)," "),CHAR(92),_xlfn.CONCAT(CHAR(92),CHAR(92))),"$",_xlfn.CONCAT(CHAR(92),"$")),CHAR(96),_xlfn.CONCAT(CHAR(92),CHAR(96))),CHAR(34),CHAR(39))))</f>
        <v/>
      </c>
      <c r="Q375" s="5" t="str">
        <f>IF(OR(TRIM($B375)="",$G375=""),"",IF(OR(ISNUMBER(SEARCH(_xlfn.CONCAT(CHAR(96),CHAR(34)),$G375)),ISNUMBER(SEARCH(_xlfn.CONCAT(CHAR(34),CHAR(39)),$G375))),_xlfn.CONCAT("* REVIEW REQUIRED: compound-quote delimiter in Universe on Sheet 1 row ",375,"; edit the input before running."),_xlfn.CONCAT("char ",TRIM($B375),"[doc_universe] ",CHAR(96),CHAR(34),SUBSTITUTE(SUBSTITUTE(SUBSTITUTE(SUBSTITUTE(SUBSTITUTE(SUBSTITUTE($G375,CHAR(13)," "),CHAR(10)," "),CHAR(9)," "),CHAR(92),_xlfn.CONCAT(CHAR(92),CHAR(92))),"$",_xlfn.CONCAT(CHAR(92),"$")),CHAR(96),_xlfn.CONCAT(CHAR(92),CHAR(96))),CHAR(34),CHAR(39))))</f>
        <v/>
      </c>
      <c r="R375" s="5" t="str">
        <f>IF(OR(TRIM($B375)="",$H375=""),"",IF(OR(ISNUMBER(SEARCH(_xlfn.CONCAT(CHAR(96),CHAR(34)),$H375)),ISNUMBER(SEARCH(_xlfn.CONCAT(CHAR(34),CHAR(39)),$H375))),_xlfn.CONCAT("* REVIEW REQUIRED: compound-quote delimiter in Source on Sheet 1 row ",375,"; edit the input before running."),_xlfn.CONCAT("char ",TRIM($B375),"[doc_source] ",CHAR(96),CHAR(34),SUBSTITUTE(SUBSTITUTE(SUBSTITUTE(SUBSTITUTE(SUBSTITUTE(SUBSTITUTE($H375,CHAR(13)," "),CHAR(10)," "),CHAR(9)," "),CHAR(92),_xlfn.CONCAT(CHAR(92),CHAR(92))),"$",_xlfn.CONCAT(CHAR(92),"$")),CHAR(96),_xlfn.CONCAT(CHAR(92),CHAR(96))),CHAR(34),CHAR(39))))</f>
        <v/>
      </c>
      <c r="S375" s="5" t="str">
        <f>IF(OR(TRIM($B375)="",$I375=""),"",IF(OR(ISNUMBER(SEARCH(_xlfn.CONCAT(CHAR(96),CHAR(34)),$I375)),ISNUMBER(SEARCH(_xlfn.CONCAT(CHAR(34),CHAR(39)),$I375))),_xlfn.CONCAT("* REVIEW REQUIRED: compound-quote delimiter in Derivation on Sheet 1 row ",375,"; edit the input before running."),_xlfn.CONCAT("char ",TRIM($B375),"[doc_derivation] ",CHAR(96),CHAR(34),SUBSTITUTE(SUBSTITUTE(SUBSTITUTE(SUBSTITUTE(SUBSTITUTE(SUBSTITUTE($I375,CHAR(13)," "),CHAR(10)," "),CHAR(9)," "),CHAR(92),_xlfn.CONCAT(CHAR(92),CHAR(92))),"$",_xlfn.CONCAT(CHAR(92),"$")),CHAR(96),_xlfn.CONCAT(CHAR(92),CHAR(96))),CHAR(34),CHAR(39))))</f>
        <v/>
      </c>
      <c r="T375" s="5" t="str">
        <f>IF(OR(TRIM($B375)="",$J375=""),"",IF(OR(ISNUMBER(SEARCH(_xlfn.CONCAT(CHAR(96),CHAR(34)),$J375)),ISNUMBER(SEARCH(_xlfn.CONCAT(CHAR(34),CHAR(39)),$J375))),_xlfn.CONCAT("* REVIEW REQUIRED: compound-quote delimiter in Notes on Sheet 1 row ",375,"; edit the input before running."),_xlfn.CONCAT("char ",TRIM($B375),"[doc_notes] ",CHAR(96),CHAR(34),SUBSTITUTE(SUBSTITUTE(SUBSTITUTE(SUBSTITUTE(SUBSTITUTE(SUBSTITUTE($J375,CHAR(13)," "),CHAR(10)," "),CHAR(9)," "),CHAR(92),_xlfn.CONCAT(CHAR(92),CHAR(92))),"$",_xlfn.CONCAT(CHAR(92),"$")),CHAR(96),_xlfn.CONCAT(CHAR(92),CHAR(96))),CHAR(34),CHAR(39))))</f>
        <v/>
      </c>
      <c r="U375" s="5">
        <f t="shared" si="11"/>
        <v>0</v>
      </c>
    </row>
    <row r="376" spans="3:21" ht="30" customHeight="1" x14ac:dyDescent="0.2">
      <c r="C376" s="4"/>
      <c r="K376" s="5">
        <f t="shared" si="10"/>
        <v>0</v>
      </c>
      <c r="L376" s="5" t="str">
        <f>IF(OR(TRIM($B376)="",$A376=""),"",IF(OR(ISNUMBER(SEARCH(_xlfn.CONCAT(CHAR(96),CHAR(34)),$A376)),ISNUMBER(SEARCH(_xlfn.CONCAT(CHAR(34),CHAR(39)),$A376))),_xlfn.CONCAT("* REVIEW REQUIRED: compound-quote delimiter in Codebook Section on Sheet 1 row ",376,"; edit the input before running."),_xlfn.CONCAT("char ",TRIM($B376),"[doc_section] ",CHAR(96),CHAR(34),SUBSTITUTE(SUBSTITUTE(SUBSTITUTE(SUBSTITUTE(SUBSTITUTE(SUBSTITUTE($A376,CHAR(13)," "),CHAR(10)," "),CHAR(9)," "),CHAR(92),_xlfn.CONCAT(CHAR(92),CHAR(92))),"$",_xlfn.CONCAT(CHAR(92),"$")),CHAR(96),_xlfn.CONCAT(CHAR(92),CHAR(96))),CHAR(34),CHAR(39))))</f>
        <v/>
      </c>
      <c r="M376" s="5" t="str">
        <f>IF(OR(TRIM($B376)="",$C376=""),"",IF(IFERROR(MATCH(TRIM($C376),{"Quantitative","Continuous","Discrete","Categorical","Nominal","Ordinal","Identifier"},0),0)=0,_xlfn.CONCAT("* REVIEW REQUIRED: invalid Variable Type on Sheet 1 row ",376,"."),_xlfn.CONCAT("char ",TRIM($B376),"[doc_vartype] ",CHAR(96),CHAR(34),SUBSTITUTE(SUBSTITUTE(SUBSTITUTE(SUBSTITUTE(SUBSTITUTE(SUBSTITUTE(LOWER(TRIM($C376)),CHAR(13)," "),CHAR(10)," "),CHAR(9)," "),CHAR(92),_xlfn.CONCAT(CHAR(92),CHAR(92))),"$",_xlfn.CONCAT(CHAR(92),"$")),CHAR(96),_xlfn.CONCAT(CHAR(92),CHAR(96))),CHAR(34),CHAR(39))))</f>
        <v/>
      </c>
      <c r="N376" s="5" t="str">
        <f>IF(OR(TRIM($B376)="",$D376=""),"",IF(OR(ISNUMBER(SEARCH(_xlfn.CONCAT(CHAR(96),CHAR(34)),$D376)),ISNUMBER(SEARCH(_xlfn.CONCAT(CHAR(34),CHAR(39)),$D376))),_xlfn.CONCAT("* REVIEW REQUIRED: compound-quote delimiter in Item Number on Sheet 1 row ",376,"; edit the input before running."),_xlfn.CONCAT("char ",TRIM($B376),"[doc_itemnum] ",CHAR(96),CHAR(34),SUBSTITUTE(SUBSTITUTE(SUBSTITUTE(SUBSTITUTE(SUBSTITUTE(SUBSTITUTE($D376,CHAR(13)," "),CHAR(10)," "),CHAR(9)," "),CHAR(92),_xlfn.CONCAT(CHAR(92),CHAR(92))),"$",_xlfn.CONCAT(CHAR(92),"$")),CHAR(96),_xlfn.CONCAT(CHAR(92),CHAR(96))),CHAR(34),CHAR(39))))</f>
        <v/>
      </c>
      <c r="O376" s="5" t="str">
        <f>IF(OR(TRIM($B376)="",$E376=""),"",IF(OR(ISNUMBER(SEARCH(_xlfn.CONCAT(CHAR(96),CHAR(34)),$E376)),ISNUMBER(SEARCH(_xlfn.CONCAT(CHAR(34),CHAR(39)),$E376))),_xlfn.CONCAT("* REVIEW REQUIRED: compound-quote delimiter in Question Wording on Sheet 1 row ",376,"; edit the input before running."),_xlfn.CONCAT("char ",TRIM($B376),"[doc_question] ",CHAR(96),CHAR(34),SUBSTITUTE(SUBSTITUTE(SUBSTITUTE(SUBSTITUTE(SUBSTITUTE(SUBSTITUTE($E376,CHAR(13)," "),CHAR(10)," "),CHAR(9)," "),CHAR(92),_xlfn.CONCAT(CHAR(92),CHAR(92))),"$",_xlfn.CONCAT(CHAR(92),"$")),CHAR(96),_xlfn.CONCAT(CHAR(92),CHAR(96))),CHAR(34),CHAR(39))))</f>
        <v/>
      </c>
      <c r="P376" s="5" t="str">
        <f>IF(OR(TRIM($B376)="",$F376=""),"",IF(OR(ISNUMBER(SEARCH(_xlfn.CONCAT(CHAR(96),CHAR(34)),$F376)),ISNUMBER(SEARCH(_xlfn.CONCAT(CHAR(34),CHAR(39)),$F376))),_xlfn.CONCAT("* REVIEW REQUIRED: compound-quote delimiter in Units on Sheet 1 row ",376,"; edit the input before running."),_xlfn.CONCAT("char ",TRIM($B376),"[doc_units] ",CHAR(96),CHAR(34),SUBSTITUTE(SUBSTITUTE(SUBSTITUTE(SUBSTITUTE(SUBSTITUTE(SUBSTITUTE($F376,CHAR(13)," "),CHAR(10)," "),CHAR(9)," "),CHAR(92),_xlfn.CONCAT(CHAR(92),CHAR(92))),"$",_xlfn.CONCAT(CHAR(92),"$")),CHAR(96),_xlfn.CONCAT(CHAR(92),CHAR(96))),CHAR(34),CHAR(39))))</f>
        <v/>
      </c>
      <c r="Q376" s="5" t="str">
        <f>IF(OR(TRIM($B376)="",$G376=""),"",IF(OR(ISNUMBER(SEARCH(_xlfn.CONCAT(CHAR(96),CHAR(34)),$G376)),ISNUMBER(SEARCH(_xlfn.CONCAT(CHAR(34),CHAR(39)),$G376))),_xlfn.CONCAT("* REVIEW REQUIRED: compound-quote delimiter in Universe on Sheet 1 row ",376,"; edit the input before running."),_xlfn.CONCAT("char ",TRIM($B376),"[doc_universe] ",CHAR(96),CHAR(34),SUBSTITUTE(SUBSTITUTE(SUBSTITUTE(SUBSTITUTE(SUBSTITUTE(SUBSTITUTE($G376,CHAR(13)," "),CHAR(10)," "),CHAR(9)," "),CHAR(92),_xlfn.CONCAT(CHAR(92),CHAR(92))),"$",_xlfn.CONCAT(CHAR(92),"$")),CHAR(96),_xlfn.CONCAT(CHAR(92),CHAR(96))),CHAR(34),CHAR(39))))</f>
        <v/>
      </c>
      <c r="R376" s="5" t="str">
        <f>IF(OR(TRIM($B376)="",$H376=""),"",IF(OR(ISNUMBER(SEARCH(_xlfn.CONCAT(CHAR(96),CHAR(34)),$H376)),ISNUMBER(SEARCH(_xlfn.CONCAT(CHAR(34),CHAR(39)),$H376))),_xlfn.CONCAT("* REVIEW REQUIRED: compound-quote delimiter in Source on Sheet 1 row ",376,"; edit the input before running."),_xlfn.CONCAT("char ",TRIM($B376),"[doc_source] ",CHAR(96),CHAR(34),SUBSTITUTE(SUBSTITUTE(SUBSTITUTE(SUBSTITUTE(SUBSTITUTE(SUBSTITUTE($H376,CHAR(13)," "),CHAR(10)," "),CHAR(9)," "),CHAR(92),_xlfn.CONCAT(CHAR(92),CHAR(92))),"$",_xlfn.CONCAT(CHAR(92),"$")),CHAR(96),_xlfn.CONCAT(CHAR(92),CHAR(96))),CHAR(34),CHAR(39))))</f>
        <v/>
      </c>
      <c r="S376" s="5" t="str">
        <f>IF(OR(TRIM($B376)="",$I376=""),"",IF(OR(ISNUMBER(SEARCH(_xlfn.CONCAT(CHAR(96),CHAR(34)),$I376)),ISNUMBER(SEARCH(_xlfn.CONCAT(CHAR(34),CHAR(39)),$I376))),_xlfn.CONCAT("* REVIEW REQUIRED: compound-quote delimiter in Derivation on Sheet 1 row ",376,"; edit the input before running."),_xlfn.CONCAT("char ",TRIM($B376),"[doc_derivation] ",CHAR(96),CHAR(34),SUBSTITUTE(SUBSTITUTE(SUBSTITUTE(SUBSTITUTE(SUBSTITUTE(SUBSTITUTE($I376,CHAR(13)," "),CHAR(10)," "),CHAR(9)," "),CHAR(92),_xlfn.CONCAT(CHAR(92),CHAR(92))),"$",_xlfn.CONCAT(CHAR(92),"$")),CHAR(96),_xlfn.CONCAT(CHAR(92),CHAR(96))),CHAR(34),CHAR(39))))</f>
        <v/>
      </c>
      <c r="T376" s="5" t="str">
        <f>IF(OR(TRIM($B376)="",$J376=""),"",IF(OR(ISNUMBER(SEARCH(_xlfn.CONCAT(CHAR(96),CHAR(34)),$J376)),ISNUMBER(SEARCH(_xlfn.CONCAT(CHAR(34),CHAR(39)),$J376))),_xlfn.CONCAT("* REVIEW REQUIRED: compound-quote delimiter in Notes on Sheet 1 row ",376,"; edit the input before running."),_xlfn.CONCAT("char ",TRIM($B376),"[doc_notes] ",CHAR(96),CHAR(34),SUBSTITUTE(SUBSTITUTE(SUBSTITUTE(SUBSTITUTE(SUBSTITUTE(SUBSTITUTE($J376,CHAR(13)," "),CHAR(10)," "),CHAR(9)," "),CHAR(92),_xlfn.CONCAT(CHAR(92),CHAR(92))),"$",_xlfn.CONCAT(CHAR(92),"$")),CHAR(96),_xlfn.CONCAT(CHAR(92),CHAR(96))),CHAR(34),CHAR(39))))</f>
        <v/>
      </c>
      <c r="U376" s="5">
        <f t="shared" si="11"/>
        <v>0</v>
      </c>
    </row>
    <row r="377" spans="3:21" ht="30" customHeight="1" x14ac:dyDescent="0.2">
      <c r="C377" s="4"/>
      <c r="K377" s="5">
        <f t="shared" si="10"/>
        <v>0</v>
      </c>
      <c r="L377" s="5" t="str">
        <f>IF(OR(TRIM($B377)="",$A377=""),"",IF(OR(ISNUMBER(SEARCH(_xlfn.CONCAT(CHAR(96),CHAR(34)),$A377)),ISNUMBER(SEARCH(_xlfn.CONCAT(CHAR(34),CHAR(39)),$A377))),_xlfn.CONCAT("* REVIEW REQUIRED: compound-quote delimiter in Codebook Section on Sheet 1 row ",377,"; edit the input before running."),_xlfn.CONCAT("char ",TRIM($B377),"[doc_section] ",CHAR(96),CHAR(34),SUBSTITUTE(SUBSTITUTE(SUBSTITUTE(SUBSTITUTE(SUBSTITUTE(SUBSTITUTE($A377,CHAR(13)," "),CHAR(10)," "),CHAR(9)," "),CHAR(92),_xlfn.CONCAT(CHAR(92),CHAR(92))),"$",_xlfn.CONCAT(CHAR(92),"$")),CHAR(96),_xlfn.CONCAT(CHAR(92),CHAR(96))),CHAR(34),CHAR(39))))</f>
        <v/>
      </c>
      <c r="M377" s="5" t="str">
        <f>IF(OR(TRIM($B377)="",$C377=""),"",IF(IFERROR(MATCH(TRIM($C377),{"Quantitative","Continuous","Discrete","Categorical","Nominal","Ordinal","Identifier"},0),0)=0,_xlfn.CONCAT("* REVIEW REQUIRED: invalid Variable Type on Sheet 1 row ",377,"."),_xlfn.CONCAT("char ",TRIM($B377),"[doc_vartype] ",CHAR(96),CHAR(34),SUBSTITUTE(SUBSTITUTE(SUBSTITUTE(SUBSTITUTE(SUBSTITUTE(SUBSTITUTE(LOWER(TRIM($C377)),CHAR(13)," "),CHAR(10)," "),CHAR(9)," "),CHAR(92),_xlfn.CONCAT(CHAR(92),CHAR(92))),"$",_xlfn.CONCAT(CHAR(92),"$")),CHAR(96),_xlfn.CONCAT(CHAR(92),CHAR(96))),CHAR(34),CHAR(39))))</f>
        <v/>
      </c>
      <c r="N377" s="5" t="str">
        <f>IF(OR(TRIM($B377)="",$D377=""),"",IF(OR(ISNUMBER(SEARCH(_xlfn.CONCAT(CHAR(96),CHAR(34)),$D377)),ISNUMBER(SEARCH(_xlfn.CONCAT(CHAR(34),CHAR(39)),$D377))),_xlfn.CONCAT("* REVIEW REQUIRED: compound-quote delimiter in Item Number on Sheet 1 row ",377,"; edit the input before running."),_xlfn.CONCAT("char ",TRIM($B377),"[doc_itemnum] ",CHAR(96),CHAR(34),SUBSTITUTE(SUBSTITUTE(SUBSTITUTE(SUBSTITUTE(SUBSTITUTE(SUBSTITUTE($D377,CHAR(13)," "),CHAR(10)," "),CHAR(9)," "),CHAR(92),_xlfn.CONCAT(CHAR(92),CHAR(92))),"$",_xlfn.CONCAT(CHAR(92),"$")),CHAR(96),_xlfn.CONCAT(CHAR(92),CHAR(96))),CHAR(34),CHAR(39))))</f>
        <v/>
      </c>
      <c r="O377" s="5" t="str">
        <f>IF(OR(TRIM($B377)="",$E377=""),"",IF(OR(ISNUMBER(SEARCH(_xlfn.CONCAT(CHAR(96),CHAR(34)),$E377)),ISNUMBER(SEARCH(_xlfn.CONCAT(CHAR(34),CHAR(39)),$E377))),_xlfn.CONCAT("* REVIEW REQUIRED: compound-quote delimiter in Question Wording on Sheet 1 row ",377,"; edit the input before running."),_xlfn.CONCAT("char ",TRIM($B377),"[doc_question] ",CHAR(96),CHAR(34),SUBSTITUTE(SUBSTITUTE(SUBSTITUTE(SUBSTITUTE(SUBSTITUTE(SUBSTITUTE($E377,CHAR(13)," "),CHAR(10)," "),CHAR(9)," "),CHAR(92),_xlfn.CONCAT(CHAR(92),CHAR(92))),"$",_xlfn.CONCAT(CHAR(92),"$")),CHAR(96),_xlfn.CONCAT(CHAR(92),CHAR(96))),CHAR(34),CHAR(39))))</f>
        <v/>
      </c>
      <c r="P377" s="5" t="str">
        <f>IF(OR(TRIM($B377)="",$F377=""),"",IF(OR(ISNUMBER(SEARCH(_xlfn.CONCAT(CHAR(96),CHAR(34)),$F377)),ISNUMBER(SEARCH(_xlfn.CONCAT(CHAR(34),CHAR(39)),$F377))),_xlfn.CONCAT("* REVIEW REQUIRED: compound-quote delimiter in Units on Sheet 1 row ",377,"; edit the input before running."),_xlfn.CONCAT("char ",TRIM($B377),"[doc_units] ",CHAR(96),CHAR(34),SUBSTITUTE(SUBSTITUTE(SUBSTITUTE(SUBSTITUTE(SUBSTITUTE(SUBSTITUTE($F377,CHAR(13)," "),CHAR(10)," "),CHAR(9)," "),CHAR(92),_xlfn.CONCAT(CHAR(92),CHAR(92))),"$",_xlfn.CONCAT(CHAR(92),"$")),CHAR(96),_xlfn.CONCAT(CHAR(92),CHAR(96))),CHAR(34),CHAR(39))))</f>
        <v/>
      </c>
      <c r="Q377" s="5" t="str">
        <f>IF(OR(TRIM($B377)="",$G377=""),"",IF(OR(ISNUMBER(SEARCH(_xlfn.CONCAT(CHAR(96),CHAR(34)),$G377)),ISNUMBER(SEARCH(_xlfn.CONCAT(CHAR(34),CHAR(39)),$G377))),_xlfn.CONCAT("* REVIEW REQUIRED: compound-quote delimiter in Universe on Sheet 1 row ",377,"; edit the input before running."),_xlfn.CONCAT("char ",TRIM($B377),"[doc_universe] ",CHAR(96),CHAR(34),SUBSTITUTE(SUBSTITUTE(SUBSTITUTE(SUBSTITUTE(SUBSTITUTE(SUBSTITUTE($G377,CHAR(13)," "),CHAR(10)," "),CHAR(9)," "),CHAR(92),_xlfn.CONCAT(CHAR(92),CHAR(92))),"$",_xlfn.CONCAT(CHAR(92),"$")),CHAR(96),_xlfn.CONCAT(CHAR(92),CHAR(96))),CHAR(34),CHAR(39))))</f>
        <v/>
      </c>
      <c r="R377" s="5" t="str">
        <f>IF(OR(TRIM($B377)="",$H377=""),"",IF(OR(ISNUMBER(SEARCH(_xlfn.CONCAT(CHAR(96),CHAR(34)),$H377)),ISNUMBER(SEARCH(_xlfn.CONCAT(CHAR(34),CHAR(39)),$H377))),_xlfn.CONCAT("* REVIEW REQUIRED: compound-quote delimiter in Source on Sheet 1 row ",377,"; edit the input before running."),_xlfn.CONCAT("char ",TRIM($B377),"[doc_source] ",CHAR(96),CHAR(34),SUBSTITUTE(SUBSTITUTE(SUBSTITUTE(SUBSTITUTE(SUBSTITUTE(SUBSTITUTE($H377,CHAR(13)," "),CHAR(10)," "),CHAR(9)," "),CHAR(92),_xlfn.CONCAT(CHAR(92),CHAR(92))),"$",_xlfn.CONCAT(CHAR(92),"$")),CHAR(96),_xlfn.CONCAT(CHAR(92),CHAR(96))),CHAR(34),CHAR(39))))</f>
        <v/>
      </c>
      <c r="S377" s="5" t="str">
        <f>IF(OR(TRIM($B377)="",$I377=""),"",IF(OR(ISNUMBER(SEARCH(_xlfn.CONCAT(CHAR(96),CHAR(34)),$I377)),ISNUMBER(SEARCH(_xlfn.CONCAT(CHAR(34),CHAR(39)),$I377))),_xlfn.CONCAT("* REVIEW REQUIRED: compound-quote delimiter in Derivation on Sheet 1 row ",377,"; edit the input before running."),_xlfn.CONCAT("char ",TRIM($B377),"[doc_derivation] ",CHAR(96),CHAR(34),SUBSTITUTE(SUBSTITUTE(SUBSTITUTE(SUBSTITUTE(SUBSTITUTE(SUBSTITUTE($I377,CHAR(13)," "),CHAR(10)," "),CHAR(9)," "),CHAR(92),_xlfn.CONCAT(CHAR(92),CHAR(92))),"$",_xlfn.CONCAT(CHAR(92),"$")),CHAR(96),_xlfn.CONCAT(CHAR(92),CHAR(96))),CHAR(34),CHAR(39))))</f>
        <v/>
      </c>
      <c r="T377" s="5" t="str">
        <f>IF(OR(TRIM($B377)="",$J377=""),"",IF(OR(ISNUMBER(SEARCH(_xlfn.CONCAT(CHAR(96),CHAR(34)),$J377)),ISNUMBER(SEARCH(_xlfn.CONCAT(CHAR(34),CHAR(39)),$J377))),_xlfn.CONCAT("* REVIEW REQUIRED: compound-quote delimiter in Notes on Sheet 1 row ",377,"; edit the input before running."),_xlfn.CONCAT("char ",TRIM($B377),"[doc_notes] ",CHAR(96),CHAR(34),SUBSTITUTE(SUBSTITUTE(SUBSTITUTE(SUBSTITUTE(SUBSTITUTE(SUBSTITUTE($J377,CHAR(13)," "),CHAR(10)," "),CHAR(9)," "),CHAR(92),_xlfn.CONCAT(CHAR(92),CHAR(92))),"$",_xlfn.CONCAT(CHAR(92),"$")),CHAR(96),_xlfn.CONCAT(CHAR(92),CHAR(96))),CHAR(34),CHAR(39))))</f>
        <v/>
      </c>
      <c r="U377" s="5">
        <f t="shared" si="11"/>
        <v>0</v>
      </c>
    </row>
    <row r="378" spans="3:21" ht="30" customHeight="1" x14ac:dyDescent="0.2">
      <c r="C378" s="4"/>
      <c r="K378" s="5">
        <f t="shared" si="10"/>
        <v>0</v>
      </c>
      <c r="L378" s="5" t="str">
        <f>IF(OR(TRIM($B378)="",$A378=""),"",IF(OR(ISNUMBER(SEARCH(_xlfn.CONCAT(CHAR(96),CHAR(34)),$A378)),ISNUMBER(SEARCH(_xlfn.CONCAT(CHAR(34),CHAR(39)),$A378))),_xlfn.CONCAT("* REVIEW REQUIRED: compound-quote delimiter in Codebook Section on Sheet 1 row ",378,"; edit the input before running."),_xlfn.CONCAT("char ",TRIM($B378),"[doc_section] ",CHAR(96),CHAR(34),SUBSTITUTE(SUBSTITUTE(SUBSTITUTE(SUBSTITUTE(SUBSTITUTE(SUBSTITUTE($A378,CHAR(13)," "),CHAR(10)," "),CHAR(9)," "),CHAR(92),_xlfn.CONCAT(CHAR(92),CHAR(92))),"$",_xlfn.CONCAT(CHAR(92),"$")),CHAR(96),_xlfn.CONCAT(CHAR(92),CHAR(96))),CHAR(34),CHAR(39))))</f>
        <v/>
      </c>
      <c r="M378" s="5" t="str">
        <f>IF(OR(TRIM($B378)="",$C378=""),"",IF(IFERROR(MATCH(TRIM($C378),{"Quantitative","Continuous","Discrete","Categorical","Nominal","Ordinal","Identifier"},0),0)=0,_xlfn.CONCAT("* REVIEW REQUIRED: invalid Variable Type on Sheet 1 row ",378,"."),_xlfn.CONCAT("char ",TRIM($B378),"[doc_vartype] ",CHAR(96),CHAR(34),SUBSTITUTE(SUBSTITUTE(SUBSTITUTE(SUBSTITUTE(SUBSTITUTE(SUBSTITUTE(LOWER(TRIM($C378)),CHAR(13)," "),CHAR(10)," "),CHAR(9)," "),CHAR(92),_xlfn.CONCAT(CHAR(92),CHAR(92))),"$",_xlfn.CONCAT(CHAR(92),"$")),CHAR(96),_xlfn.CONCAT(CHAR(92),CHAR(96))),CHAR(34),CHAR(39))))</f>
        <v/>
      </c>
      <c r="N378" s="5" t="str">
        <f>IF(OR(TRIM($B378)="",$D378=""),"",IF(OR(ISNUMBER(SEARCH(_xlfn.CONCAT(CHAR(96),CHAR(34)),$D378)),ISNUMBER(SEARCH(_xlfn.CONCAT(CHAR(34),CHAR(39)),$D378))),_xlfn.CONCAT("* REVIEW REQUIRED: compound-quote delimiter in Item Number on Sheet 1 row ",378,"; edit the input before running."),_xlfn.CONCAT("char ",TRIM($B378),"[doc_itemnum] ",CHAR(96),CHAR(34),SUBSTITUTE(SUBSTITUTE(SUBSTITUTE(SUBSTITUTE(SUBSTITUTE(SUBSTITUTE($D378,CHAR(13)," "),CHAR(10)," "),CHAR(9)," "),CHAR(92),_xlfn.CONCAT(CHAR(92),CHAR(92))),"$",_xlfn.CONCAT(CHAR(92),"$")),CHAR(96),_xlfn.CONCAT(CHAR(92),CHAR(96))),CHAR(34),CHAR(39))))</f>
        <v/>
      </c>
      <c r="O378" s="5" t="str">
        <f>IF(OR(TRIM($B378)="",$E378=""),"",IF(OR(ISNUMBER(SEARCH(_xlfn.CONCAT(CHAR(96),CHAR(34)),$E378)),ISNUMBER(SEARCH(_xlfn.CONCAT(CHAR(34),CHAR(39)),$E378))),_xlfn.CONCAT("* REVIEW REQUIRED: compound-quote delimiter in Question Wording on Sheet 1 row ",378,"; edit the input before running."),_xlfn.CONCAT("char ",TRIM($B378),"[doc_question] ",CHAR(96),CHAR(34),SUBSTITUTE(SUBSTITUTE(SUBSTITUTE(SUBSTITUTE(SUBSTITUTE(SUBSTITUTE($E378,CHAR(13)," "),CHAR(10)," "),CHAR(9)," "),CHAR(92),_xlfn.CONCAT(CHAR(92),CHAR(92))),"$",_xlfn.CONCAT(CHAR(92),"$")),CHAR(96),_xlfn.CONCAT(CHAR(92),CHAR(96))),CHAR(34),CHAR(39))))</f>
        <v/>
      </c>
      <c r="P378" s="5" t="str">
        <f>IF(OR(TRIM($B378)="",$F378=""),"",IF(OR(ISNUMBER(SEARCH(_xlfn.CONCAT(CHAR(96),CHAR(34)),$F378)),ISNUMBER(SEARCH(_xlfn.CONCAT(CHAR(34),CHAR(39)),$F378))),_xlfn.CONCAT("* REVIEW REQUIRED: compound-quote delimiter in Units on Sheet 1 row ",378,"; edit the input before running."),_xlfn.CONCAT("char ",TRIM($B378),"[doc_units] ",CHAR(96),CHAR(34),SUBSTITUTE(SUBSTITUTE(SUBSTITUTE(SUBSTITUTE(SUBSTITUTE(SUBSTITUTE($F378,CHAR(13)," "),CHAR(10)," "),CHAR(9)," "),CHAR(92),_xlfn.CONCAT(CHAR(92),CHAR(92))),"$",_xlfn.CONCAT(CHAR(92),"$")),CHAR(96),_xlfn.CONCAT(CHAR(92),CHAR(96))),CHAR(34),CHAR(39))))</f>
        <v/>
      </c>
      <c r="Q378" s="5" t="str">
        <f>IF(OR(TRIM($B378)="",$G378=""),"",IF(OR(ISNUMBER(SEARCH(_xlfn.CONCAT(CHAR(96),CHAR(34)),$G378)),ISNUMBER(SEARCH(_xlfn.CONCAT(CHAR(34),CHAR(39)),$G378))),_xlfn.CONCAT("* REVIEW REQUIRED: compound-quote delimiter in Universe on Sheet 1 row ",378,"; edit the input before running."),_xlfn.CONCAT("char ",TRIM($B378),"[doc_universe] ",CHAR(96),CHAR(34),SUBSTITUTE(SUBSTITUTE(SUBSTITUTE(SUBSTITUTE(SUBSTITUTE(SUBSTITUTE($G378,CHAR(13)," "),CHAR(10)," "),CHAR(9)," "),CHAR(92),_xlfn.CONCAT(CHAR(92),CHAR(92))),"$",_xlfn.CONCAT(CHAR(92),"$")),CHAR(96),_xlfn.CONCAT(CHAR(92),CHAR(96))),CHAR(34),CHAR(39))))</f>
        <v/>
      </c>
      <c r="R378" s="5" t="str">
        <f>IF(OR(TRIM($B378)="",$H378=""),"",IF(OR(ISNUMBER(SEARCH(_xlfn.CONCAT(CHAR(96),CHAR(34)),$H378)),ISNUMBER(SEARCH(_xlfn.CONCAT(CHAR(34),CHAR(39)),$H378))),_xlfn.CONCAT("* REVIEW REQUIRED: compound-quote delimiter in Source on Sheet 1 row ",378,"; edit the input before running."),_xlfn.CONCAT("char ",TRIM($B378),"[doc_source] ",CHAR(96),CHAR(34),SUBSTITUTE(SUBSTITUTE(SUBSTITUTE(SUBSTITUTE(SUBSTITUTE(SUBSTITUTE($H378,CHAR(13)," "),CHAR(10)," "),CHAR(9)," "),CHAR(92),_xlfn.CONCAT(CHAR(92),CHAR(92))),"$",_xlfn.CONCAT(CHAR(92),"$")),CHAR(96),_xlfn.CONCAT(CHAR(92),CHAR(96))),CHAR(34),CHAR(39))))</f>
        <v/>
      </c>
      <c r="S378" s="5" t="str">
        <f>IF(OR(TRIM($B378)="",$I378=""),"",IF(OR(ISNUMBER(SEARCH(_xlfn.CONCAT(CHAR(96),CHAR(34)),$I378)),ISNUMBER(SEARCH(_xlfn.CONCAT(CHAR(34),CHAR(39)),$I378))),_xlfn.CONCAT("* REVIEW REQUIRED: compound-quote delimiter in Derivation on Sheet 1 row ",378,"; edit the input before running."),_xlfn.CONCAT("char ",TRIM($B378),"[doc_derivation] ",CHAR(96),CHAR(34),SUBSTITUTE(SUBSTITUTE(SUBSTITUTE(SUBSTITUTE(SUBSTITUTE(SUBSTITUTE($I378,CHAR(13)," "),CHAR(10)," "),CHAR(9)," "),CHAR(92),_xlfn.CONCAT(CHAR(92),CHAR(92))),"$",_xlfn.CONCAT(CHAR(92),"$")),CHAR(96),_xlfn.CONCAT(CHAR(92),CHAR(96))),CHAR(34),CHAR(39))))</f>
        <v/>
      </c>
      <c r="T378" s="5" t="str">
        <f>IF(OR(TRIM($B378)="",$J378=""),"",IF(OR(ISNUMBER(SEARCH(_xlfn.CONCAT(CHAR(96),CHAR(34)),$J378)),ISNUMBER(SEARCH(_xlfn.CONCAT(CHAR(34),CHAR(39)),$J378))),_xlfn.CONCAT("* REVIEW REQUIRED: compound-quote delimiter in Notes on Sheet 1 row ",378,"; edit the input before running."),_xlfn.CONCAT("char ",TRIM($B378),"[doc_notes] ",CHAR(96),CHAR(34),SUBSTITUTE(SUBSTITUTE(SUBSTITUTE(SUBSTITUTE(SUBSTITUTE(SUBSTITUTE($J378,CHAR(13)," "),CHAR(10)," "),CHAR(9)," "),CHAR(92),_xlfn.CONCAT(CHAR(92),CHAR(92))),"$",_xlfn.CONCAT(CHAR(92),"$")),CHAR(96),_xlfn.CONCAT(CHAR(92),CHAR(96))),CHAR(34),CHAR(39))))</f>
        <v/>
      </c>
      <c r="U378" s="5">
        <f t="shared" si="11"/>
        <v>0</v>
      </c>
    </row>
    <row r="379" spans="3:21" ht="30" customHeight="1" x14ac:dyDescent="0.2">
      <c r="C379" s="4"/>
      <c r="K379" s="5">
        <f t="shared" si="10"/>
        <v>0</v>
      </c>
      <c r="L379" s="5" t="str">
        <f>IF(OR(TRIM($B379)="",$A379=""),"",IF(OR(ISNUMBER(SEARCH(_xlfn.CONCAT(CHAR(96),CHAR(34)),$A379)),ISNUMBER(SEARCH(_xlfn.CONCAT(CHAR(34),CHAR(39)),$A379))),_xlfn.CONCAT("* REVIEW REQUIRED: compound-quote delimiter in Codebook Section on Sheet 1 row ",379,"; edit the input before running."),_xlfn.CONCAT("char ",TRIM($B379),"[doc_section] ",CHAR(96),CHAR(34),SUBSTITUTE(SUBSTITUTE(SUBSTITUTE(SUBSTITUTE(SUBSTITUTE(SUBSTITUTE($A379,CHAR(13)," "),CHAR(10)," "),CHAR(9)," "),CHAR(92),_xlfn.CONCAT(CHAR(92),CHAR(92))),"$",_xlfn.CONCAT(CHAR(92),"$")),CHAR(96),_xlfn.CONCAT(CHAR(92),CHAR(96))),CHAR(34),CHAR(39))))</f>
        <v/>
      </c>
      <c r="M379" s="5" t="str">
        <f>IF(OR(TRIM($B379)="",$C379=""),"",IF(IFERROR(MATCH(TRIM($C379),{"Quantitative","Continuous","Discrete","Categorical","Nominal","Ordinal","Identifier"},0),0)=0,_xlfn.CONCAT("* REVIEW REQUIRED: invalid Variable Type on Sheet 1 row ",379,"."),_xlfn.CONCAT("char ",TRIM($B379),"[doc_vartype] ",CHAR(96),CHAR(34),SUBSTITUTE(SUBSTITUTE(SUBSTITUTE(SUBSTITUTE(SUBSTITUTE(SUBSTITUTE(LOWER(TRIM($C379)),CHAR(13)," "),CHAR(10)," "),CHAR(9)," "),CHAR(92),_xlfn.CONCAT(CHAR(92),CHAR(92))),"$",_xlfn.CONCAT(CHAR(92),"$")),CHAR(96),_xlfn.CONCAT(CHAR(92),CHAR(96))),CHAR(34),CHAR(39))))</f>
        <v/>
      </c>
      <c r="N379" s="5" t="str">
        <f>IF(OR(TRIM($B379)="",$D379=""),"",IF(OR(ISNUMBER(SEARCH(_xlfn.CONCAT(CHAR(96),CHAR(34)),$D379)),ISNUMBER(SEARCH(_xlfn.CONCAT(CHAR(34),CHAR(39)),$D379))),_xlfn.CONCAT("* REVIEW REQUIRED: compound-quote delimiter in Item Number on Sheet 1 row ",379,"; edit the input before running."),_xlfn.CONCAT("char ",TRIM($B379),"[doc_itemnum] ",CHAR(96),CHAR(34),SUBSTITUTE(SUBSTITUTE(SUBSTITUTE(SUBSTITUTE(SUBSTITUTE(SUBSTITUTE($D379,CHAR(13)," "),CHAR(10)," "),CHAR(9)," "),CHAR(92),_xlfn.CONCAT(CHAR(92),CHAR(92))),"$",_xlfn.CONCAT(CHAR(92),"$")),CHAR(96),_xlfn.CONCAT(CHAR(92),CHAR(96))),CHAR(34),CHAR(39))))</f>
        <v/>
      </c>
      <c r="O379" s="5" t="str">
        <f>IF(OR(TRIM($B379)="",$E379=""),"",IF(OR(ISNUMBER(SEARCH(_xlfn.CONCAT(CHAR(96),CHAR(34)),$E379)),ISNUMBER(SEARCH(_xlfn.CONCAT(CHAR(34),CHAR(39)),$E379))),_xlfn.CONCAT("* REVIEW REQUIRED: compound-quote delimiter in Question Wording on Sheet 1 row ",379,"; edit the input before running."),_xlfn.CONCAT("char ",TRIM($B379),"[doc_question] ",CHAR(96),CHAR(34),SUBSTITUTE(SUBSTITUTE(SUBSTITUTE(SUBSTITUTE(SUBSTITUTE(SUBSTITUTE($E379,CHAR(13)," "),CHAR(10)," "),CHAR(9)," "),CHAR(92),_xlfn.CONCAT(CHAR(92),CHAR(92))),"$",_xlfn.CONCAT(CHAR(92),"$")),CHAR(96),_xlfn.CONCAT(CHAR(92),CHAR(96))),CHAR(34),CHAR(39))))</f>
        <v/>
      </c>
      <c r="P379" s="5" t="str">
        <f>IF(OR(TRIM($B379)="",$F379=""),"",IF(OR(ISNUMBER(SEARCH(_xlfn.CONCAT(CHAR(96),CHAR(34)),$F379)),ISNUMBER(SEARCH(_xlfn.CONCAT(CHAR(34),CHAR(39)),$F379))),_xlfn.CONCAT("* REVIEW REQUIRED: compound-quote delimiter in Units on Sheet 1 row ",379,"; edit the input before running."),_xlfn.CONCAT("char ",TRIM($B379),"[doc_units] ",CHAR(96),CHAR(34),SUBSTITUTE(SUBSTITUTE(SUBSTITUTE(SUBSTITUTE(SUBSTITUTE(SUBSTITUTE($F379,CHAR(13)," "),CHAR(10)," "),CHAR(9)," "),CHAR(92),_xlfn.CONCAT(CHAR(92),CHAR(92))),"$",_xlfn.CONCAT(CHAR(92),"$")),CHAR(96),_xlfn.CONCAT(CHAR(92),CHAR(96))),CHAR(34),CHAR(39))))</f>
        <v/>
      </c>
      <c r="Q379" s="5" t="str">
        <f>IF(OR(TRIM($B379)="",$G379=""),"",IF(OR(ISNUMBER(SEARCH(_xlfn.CONCAT(CHAR(96),CHAR(34)),$G379)),ISNUMBER(SEARCH(_xlfn.CONCAT(CHAR(34),CHAR(39)),$G379))),_xlfn.CONCAT("* REVIEW REQUIRED: compound-quote delimiter in Universe on Sheet 1 row ",379,"; edit the input before running."),_xlfn.CONCAT("char ",TRIM($B379),"[doc_universe] ",CHAR(96),CHAR(34),SUBSTITUTE(SUBSTITUTE(SUBSTITUTE(SUBSTITUTE(SUBSTITUTE(SUBSTITUTE($G379,CHAR(13)," "),CHAR(10)," "),CHAR(9)," "),CHAR(92),_xlfn.CONCAT(CHAR(92),CHAR(92))),"$",_xlfn.CONCAT(CHAR(92),"$")),CHAR(96),_xlfn.CONCAT(CHAR(92),CHAR(96))),CHAR(34),CHAR(39))))</f>
        <v/>
      </c>
      <c r="R379" s="5" t="str">
        <f>IF(OR(TRIM($B379)="",$H379=""),"",IF(OR(ISNUMBER(SEARCH(_xlfn.CONCAT(CHAR(96),CHAR(34)),$H379)),ISNUMBER(SEARCH(_xlfn.CONCAT(CHAR(34),CHAR(39)),$H379))),_xlfn.CONCAT("* REVIEW REQUIRED: compound-quote delimiter in Source on Sheet 1 row ",379,"; edit the input before running."),_xlfn.CONCAT("char ",TRIM($B379),"[doc_source] ",CHAR(96),CHAR(34),SUBSTITUTE(SUBSTITUTE(SUBSTITUTE(SUBSTITUTE(SUBSTITUTE(SUBSTITUTE($H379,CHAR(13)," "),CHAR(10)," "),CHAR(9)," "),CHAR(92),_xlfn.CONCAT(CHAR(92),CHAR(92))),"$",_xlfn.CONCAT(CHAR(92),"$")),CHAR(96),_xlfn.CONCAT(CHAR(92),CHAR(96))),CHAR(34),CHAR(39))))</f>
        <v/>
      </c>
      <c r="S379" s="5" t="str">
        <f>IF(OR(TRIM($B379)="",$I379=""),"",IF(OR(ISNUMBER(SEARCH(_xlfn.CONCAT(CHAR(96),CHAR(34)),$I379)),ISNUMBER(SEARCH(_xlfn.CONCAT(CHAR(34),CHAR(39)),$I379))),_xlfn.CONCAT("* REVIEW REQUIRED: compound-quote delimiter in Derivation on Sheet 1 row ",379,"; edit the input before running."),_xlfn.CONCAT("char ",TRIM($B379),"[doc_derivation] ",CHAR(96),CHAR(34),SUBSTITUTE(SUBSTITUTE(SUBSTITUTE(SUBSTITUTE(SUBSTITUTE(SUBSTITUTE($I379,CHAR(13)," "),CHAR(10)," "),CHAR(9)," "),CHAR(92),_xlfn.CONCAT(CHAR(92),CHAR(92))),"$",_xlfn.CONCAT(CHAR(92),"$")),CHAR(96),_xlfn.CONCAT(CHAR(92),CHAR(96))),CHAR(34),CHAR(39))))</f>
        <v/>
      </c>
      <c r="T379" s="5" t="str">
        <f>IF(OR(TRIM($B379)="",$J379=""),"",IF(OR(ISNUMBER(SEARCH(_xlfn.CONCAT(CHAR(96),CHAR(34)),$J379)),ISNUMBER(SEARCH(_xlfn.CONCAT(CHAR(34),CHAR(39)),$J379))),_xlfn.CONCAT("* REVIEW REQUIRED: compound-quote delimiter in Notes on Sheet 1 row ",379,"; edit the input before running."),_xlfn.CONCAT("char ",TRIM($B379),"[doc_notes] ",CHAR(96),CHAR(34),SUBSTITUTE(SUBSTITUTE(SUBSTITUTE(SUBSTITUTE(SUBSTITUTE(SUBSTITUTE($J379,CHAR(13)," "),CHAR(10)," "),CHAR(9)," "),CHAR(92),_xlfn.CONCAT(CHAR(92),CHAR(92))),"$",_xlfn.CONCAT(CHAR(92),"$")),CHAR(96),_xlfn.CONCAT(CHAR(92),CHAR(96))),CHAR(34),CHAR(39))))</f>
        <v/>
      </c>
      <c r="U379" s="5">
        <f t="shared" si="11"/>
        <v>0</v>
      </c>
    </row>
    <row r="380" spans="3:21" ht="30" customHeight="1" x14ac:dyDescent="0.2">
      <c r="C380" s="4"/>
      <c r="K380" s="5">
        <f t="shared" si="10"/>
        <v>0</v>
      </c>
      <c r="L380" s="5" t="str">
        <f>IF(OR(TRIM($B380)="",$A380=""),"",IF(OR(ISNUMBER(SEARCH(_xlfn.CONCAT(CHAR(96),CHAR(34)),$A380)),ISNUMBER(SEARCH(_xlfn.CONCAT(CHAR(34),CHAR(39)),$A380))),_xlfn.CONCAT("* REVIEW REQUIRED: compound-quote delimiter in Codebook Section on Sheet 1 row ",380,"; edit the input before running."),_xlfn.CONCAT("char ",TRIM($B380),"[doc_section] ",CHAR(96),CHAR(34),SUBSTITUTE(SUBSTITUTE(SUBSTITUTE(SUBSTITUTE(SUBSTITUTE(SUBSTITUTE($A380,CHAR(13)," "),CHAR(10)," "),CHAR(9)," "),CHAR(92),_xlfn.CONCAT(CHAR(92),CHAR(92))),"$",_xlfn.CONCAT(CHAR(92),"$")),CHAR(96),_xlfn.CONCAT(CHAR(92),CHAR(96))),CHAR(34),CHAR(39))))</f>
        <v/>
      </c>
      <c r="M380" s="5" t="str">
        <f>IF(OR(TRIM($B380)="",$C380=""),"",IF(IFERROR(MATCH(TRIM($C380),{"Quantitative","Continuous","Discrete","Categorical","Nominal","Ordinal","Identifier"},0),0)=0,_xlfn.CONCAT("* REVIEW REQUIRED: invalid Variable Type on Sheet 1 row ",380,"."),_xlfn.CONCAT("char ",TRIM($B380),"[doc_vartype] ",CHAR(96),CHAR(34),SUBSTITUTE(SUBSTITUTE(SUBSTITUTE(SUBSTITUTE(SUBSTITUTE(SUBSTITUTE(LOWER(TRIM($C380)),CHAR(13)," "),CHAR(10)," "),CHAR(9)," "),CHAR(92),_xlfn.CONCAT(CHAR(92),CHAR(92))),"$",_xlfn.CONCAT(CHAR(92),"$")),CHAR(96),_xlfn.CONCAT(CHAR(92),CHAR(96))),CHAR(34),CHAR(39))))</f>
        <v/>
      </c>
      <c r="N380" s="5" t="str">
        <f>IF(OR(TRIM($B380)="",$D380=""),"",IF(OR(ISNUMBER(SEARCH(_xlfn.CONCAT(CHAR(96),CHAR(34)),$D380)),ISNUMBER(SEARCH(_xlfn.CONCAT(CHAR(34),CHAR(39)),$D380))),_xlfn.CONCAT("* REVIEW REQUIRED: compound-quote delimiter in Item Number on Sheet 1 row ",380,"; edit the input before running."),_xlfn.CONCAT("char ",TRIM($B380),"[doc_itemnum] ",CHAR(96),CHAR(34),SUBSTITUTE(SUBSTITUTE(SUBSTITUTE(SUBSTITUTE(SUBSTITUTE(SUBSTITUTE($D380,CHAR(13)," "),CHAR(10)," "),CHAR(9)," "),CHAR(92),_xlfn.CONCAT(CHAR(92),CHAR(92))),"$",_xlfn.CONCAT(CHAR(92),"$")),CHAR(96),_xlfn.CONCAT(CHAR(92),CHAR(96))),CHAR(34),CHAR(39))))</f>
        <v/>
      </c>
      <c r="O380" s="5" t="str">
        <f>IF(OR(TRIM($B380)="",$E380=""),"",IF(OR(ISNUMBER(SEARCH(_xlfn.CONCAT(CHAR(96),CHAR(34)),$E380)),ISNUMBER(SEARCH(_xlfn.CONCAT(CHAR(34),CHAR(39)),$E380))),_xlfn.CONCAT("* REVIEW REQUIRED: compound-quote delimiter in Question Wording on Sheet 1 row ",380,"; edit the input before running."),_xlfn.CONCAT("char ",TRIM($B380),"[doc_question] ",CHAR(96),CHAR(34),SUBSTITUTE(SUBSTITUTE(SUBSTITUTE(SUBSTITUTE(SUBSTITUTE(SUBSTITUTE($E380,CHAR(13)," "),CHAR(10)," "),CHAR(9)," "),CHAR(92),_xlfn.CONCAT(CHAR(92),CHAR(92))),"$",_xlfn.CONCAT(CHAR(92),"$")),CHAR(96),_xlfn.CONCAT(CHAR(92),CHAR(96))),CHAR(34),CHAR(39))))</f>
        <v/>
      </c>
      <c r="P380" s="5" t="str">
        <f>IF(OR(TRIM($B380)="",$F380=""),"",IF(OR(ISNUMBER(SEARCH(_xlfn.CONCAT(CHAR(96),CHAR(34)),$F380)),ISNUMBER(SEARCH(_xlfn.CONCAT(CHAR(34),CHAR(39)),$F380))),_xlfn.CONCAT("* REVIEW REQUIRED: compound-quote delimiter in Units on Sheet 1 row ",380,"; edit the input before running."),_xlfn.CONCAT("char ",TRIM($B380),"[doc_units] ",CHAR(96),CHAR(34),SUBSTITUTE(SUBSTITUTE(SUBSTITUTE(SUBSTITUTE(SUBSTITUTE(SUBSTITUTE($F380,CHAR(13)," "),CHAR(10)," "),CHAR(9)," "),CHAR(92),_xlfn.CONCAT(CHAR(92),CHAR(92))),"$",_xlfn.CONCAT(CHAR(92),"$")),CHAR(96),_xlfn.CONCAT(CHAR(92),CHAR(96))),CHAR(34),CHAR(39))))</f>
        <v/>
      </c>
      <c r="Q380" s="5" t="str">
        <f>IF(OR(TRIM($B380)="",$G380=""),"",IF(OR(ISNUMBER(SEARCH(_xlfn.CONCAT(CHAR(96),CHAR(34)),$G380)),ISNUMBER(SEARCH(_xlfn.CONCAT(CHAR(34),CHAR(39)),$G380))),_xlfn.CONCAT("* REVIEW REQUIRED: compound-quote delimiter in Universe on Sheet 1 row ",380,"; edit the input before running."),_xlfn.CONCAT("char ",TRIM($B380),"[doc_universe] ",CHAR(96),CHAR(34),SUBSTITUTE(SUBSTITUTE(SUBSTITUTE(SUBSTITUTE(SUBSTITUTE(SUBSTITUTE($G380,CHAR(13)," "),CHAR(10)," "),CHAR(9)," "),CHAR(92),_xlfn.CONCAT(CHAR(92),CHAR(92))),"$",_xlfn.CONCAT(CHAR(92),"$")),CHAR(96),_xlfn.CONCAT(CHAR(92),CHAR(96))),CHAR(34),CHAR(39))))</f>
        <v/>
      </c>
      <c r="R380" s="5" t="str">
        <f>IF(OR(TRIM($B380)="",$H380=""),"",IF(OR(ISNUMBER(SEARCH(_xlfn.CONCAT(CHAR(96),CHAR(34)),$H380)),ISNUMBER(SEARCH(_xlfn.CONCAT(CHAR(34),CHAR(39)),$H380))),_xlfn.CONCAT("* REVIEW REQUIRED: compound-quote delimiter in Source on Sheet 1 row ",380,"; edit the input before running."),_xlfn.CONCAT("char ",TRIM($B380),"[doc_source] ",CHAR(96),CHAR(34),SUBSTITUTE(SUBSTITUTE(SUBSTITUTE(SUBSTITUTE(SUBSTITUTE(SUBSTITUTE($H380,CHAR(13)," "),CHAR(10)," "),CHAR(9)," "),CHAR(92),_xlfn.CONCAT(CHAR(92),CHAR(92))),"$",_xlfn.CONCAT(CHAR(92),"$")),CHAR(96),_xlfn.CONCAT(CHAR(92),CHAR(96))),CHAR(34),CHAR(39))))</f>
        <v/>
      </c>
      <c r="S380" s="5" t="str">
        <f>IF(OR(TRIM($B380)="",$I380=""),"",IF(OR(ISNUMBER(SEARCH(_xlfn.CONCAT(CHAR(96),CHAR(34)),$I380)),ISNUMBER(SEARCH(_xlfn.CONCAT(CHAR(34),CHAR(39)),$I380))),_xlfn.CONCAT("* REVIEW REQUIRED: compound-quote delimiter in Derivation on Sheet 1 row ",380,"; edit the input before running."),_xlfn.CONCAT("char ",TRIM($B380),"[doc_derivation] ",CHAR(96),CHAR(34),SUBSTITUTE(SUBSTITUTE(SUBSTITUTE(SUBSTITUTE(SUBSTITUTE(SUBSTITUTE($I380,CHAR(13)," "),CHAR(10)," "),CHAR(9)," "),CHAR(92),_xlfn.CONCAT(CHAR(92),CHAR(92))),"$",_xlfn.CONCAT(CHAR(92),"$")),CHAR(96),_xlfn.CONCAT(CHAR(92),CHAR(96))),CHAR(34),CHAR(39))))</f>
        <v/>
      </c>
      <c r="T380" s="5" t="str">
        <f>IF(OR(TRIM($B380)="",$J380=""),"",IF(OR(ISNUMBER(SEARCH(_xlfn.CONCAT(CHAR(96),CHAR(34)),$J380)),ISNUMBER(SEARCH(_xlfn.CONCAT(CHAR(34),CHAR(39)),$J380))),_xlfn.CONCAT("* REVIEW REQUIRED: compound-quote delimiter in Notes on Sheet 1 row ",380,"; edit the input before running."),_xlfn.CONCAT("char ",TRIM($B380),"[doc_notes] ",CHAR(96),CHAR(34),SUBSTITUTE(SUBSTITUTE(SUBSTITUTE(SUBSTITUTE(SUBSTITUTE(SUBSTITUTE($J380,CHAR(13)," "),CHAR(10)," "),CHAR(9)," "),CHAR(92),_xlfn.CONCAT(CHAR(92),CHAR(92))),"$",_xlfn.CONCAT(CHAR(92),"$")),CHAR(96),_xlfn.CONCAT(CHAR(92),CHAR(96))),CHAR(34),CHAR(39))))</f>
        <v/>
      </c>
      <c r="U380" s="5">
        <f t="shared" si="11"/>
        <v>0</v>
      </c>
    </row>
    <row r="381" spans="3:21" ht="30" customHeight="1" x14ac:dyDescent="0.2">
      <c r="C381" s="4"/>
      <c r="K381" s="5">
        <f t="shared" si="10"/>
        <v>0</v>
      </c>
      <c r="L381" s="5" t="str">
        <f>IF(OR(TRIM($B381)="",$A381=""),"",IF(OR(ISNUMBER(SEARCH(_xlfn.CONCAT(CHAR(96),CHAR(34)),$A381)),ISNUMBER(SEARCH(_xlfn.CONCAT(CHAR(34),CHAR(39)),$A381))),_xlfn.CONCAT("* REVIEW REQUIRED: compound-quote delimiter in Codebook Section on Sheet 1 row ",381,"; edit the input before running."),_xlfn.CONCAT("char ",TRIM($B381),"[doc_section] ",CHAR(96),CHAR(34),SUBSTITUTE(SUBSTITUTE(SUBSTITUTE(SUBSTITUTE(SUBSTITUTE(SUBSTITUTE($A381,CHAR(13)," "),CHAR(10)," "),CHAR(9)," "),CHAR(92),_xlfn.CONCAT(CHAR(92),CHAR(92))),"$",_xlfn.CONCAT(CHAR(92),"$")),CHAR(96),_xlfn.CONCAT(CHAR(92),CHAR(96))),CHAR(34),CHAR(39))))</f>
        <v/>
      </c>
      <c r="M381" s="5" t="str">
        <f>IF(OR(TRIM($B381)="",$C381=""),"",IF(IFERROR(MATCH(TRIM($C381),{"Quantitative","Continuous","Discrete","Categorical","Nominal","Ordinal","Identifier"},0),0)=0,_xlfn.CONCAT("* REVIEW REQUIRED: invalid Variable Type on Sheet 1 row ",381,"."),_xlfn.CONCAT("char ",TRIM($B381),"[doc_vartype] ",CHAR(96),CHAR(34),SUBSTITUTE(SUBSTITUTE(SUBSTITUTE(SUBSTITUTE(SUBSTITUTE(SUBSTITUTE(LOWER(TRIM($C381)),CHAR(13)," "),CHAR(10)," "),CHAR(9)," "),CHAR(92),_xlfn.CONCAT(CHAR(92),CHAR(92))),"$",_xlfn.CONCAT(CHAR(92),"$")),CHAR(96),_xlfn.CONCAT(CHAR(92),CHAR(96))),CHAR(34),CHAR(39))))</f>
        <v/>
      </c>
      <c r="N381" s="5" t="str">
        <f>IF(OR(TRIM($B381)="",$D381=""),"",IF(OR(ISNUMBER(SEARCH(_xlfn.CONCAT(CHAR(96),CHAR(34)),$D381)),ISNUMBER(SEARCH(_xlfn.CONCAT(CHAR(34),CHAR(39)),$D381))),_xlfn.CONCAT("* REVIEW REQUIRED: compound-quote delimiter in Item Number on Sheet 1 row ",381,"; edit the input before running."),_xlfn.CONCAT("char ",TRIM($B381),"[doc_itemnum] ",CHAR(96),CHAR(34),SUBSTITUTE(SUBSTITUTE(SUBSTITUTE(SUBSTITUTE(SUBSTITUTE(SUBSTITUTE($D381,CHAR(13)," "),CHAR(10)," "),CHAR(9)," "),CHAR(92),_xlfn.CONCAT(CHAR(92),CHAR(92))),"$",_xlfn.CONCAT(CHAR(92),"$")),CHAR(96),_xlfn.CONCAT(CHAR(92),CHAR(96))),CHAR(34),CHAR(39))))</f>
        <v/>
      </c>
      <c r="O381" s="5" t="str">
        <f>IF(OR(TRIM($B381)="",$E381=""),"",IF(OR(ISNUMBER(SEARCH(_xlfn.CONCAT(CHAR(96),CHAR(34)),$E381)),ISNUMBER(SEARCH(_xlfn.CONCAT(CHAR(34),CHAR(39)),$E381))),_xlfn.CONCAT("* REVIEW REQUIRED: compound-quote delimiter in Question Wording on Sheet 1 row ",381,"; edit the input before running."),_xlfn.CONCAT("char ",TRIM($B381),"[doc_question] ",CHAR(96),CHAR(34),SUBSTITUTE(SUBSTITUTE(SUBSTITUTE(SUBSTITUTE(SUBSTITUTE(SUBSTITUTE($E381,CHAR(13)," "),CHAR(10)," "),CHAR(9)," "),CHAR(92),_xlfn.CONCAT(CHAR(92),CHAR(92))),"$",_xlfn.CONCAT(CHAR(92),"$")),CHAR(96),_xlfn.CONCAT(CHAR(92),CHAR(96))),CHAR(34),CHAR(39))))</f>
        <v/>
      </c>
      <c r="P381" s="5" t="str">
        <f>IF(OR(TRIM($B381)="",$F381=""),"",IF(OR(ISNUMBER(SEARCH(_xlfn.CONCAT(CHAR(96),CHAR(34)),$F381)),ISNUMBER(SEARCH(_xlfn.CONCAT(CHAR(34),CHAR(39)),$F381))),_xlfn.CONCAT("* REVIEW REQUIRED: compound-quote delimiter in Units on Sheet 1 row ",381,"; edit the input before running."),_xlfn.CONCAT("char ",TRIM($B381),"[doc_units] ",CHAR(96),CHAR(34),SUBSTITUTE(SUBSTITUTE(SUBSTITUTE(SUBSTITUTE(SUBSTITUTE(SUBSTITUTE($F381,CHAR(13)," "),CHAR(10)," "),CHAR(9)," "),CHAR(92),_xlfn.CONCAT(CHAR(92),CHAR(92))),"$",_xlfn.CONCAT(CHAR(92),"$")),CHAR(96),_xlfn.CONCAT(CHAR(92),CHAR(96))),CHAR(34),CHAR(39))))</f>
        <v/>
      </c>
      <c r="Q381" s="5" t="str">
        <f>IF(OR(TRIM($B381)="",$G381=""),"",IF(OR(ISNUMBER(SEARCH(_xlfn.CONCAT(CHAR(96),CHAR(34)),$G381)),ISNUMBER(SEARCH(_xlfn.CONCAT(CHAR(34),CHAR(39)),$G381))),_xlfn.CONCAT("* REVIEW REQUIRED: compound-quote delimiter in Universe on Sheet 1 row ",381,"; edit the input before running."),_xlfn.CONCAT("char ",TRIM($B381),"[doc_universe] ",CHAR(96),CHAR(34),SUBSTITUTE(SUBSTITUTE(SUBSTITUTE(SUBSTITUTE(SUBSTITUTE(SUBSTITUTE($G381,CHAR(13)," "),CHAR(10)," "),CHAR(9)," "),CHAR(92),_xlfn.CONCAT(CHAR(92),CHAR(92))),"$",_xlfn.CONCAT(CHAR(92),"$")),CHAR(96),_xlfn.CONCAT(CHAR(92),CHAR(96))),CHAR(34),CHAR(39))))</f>
        <v/>
      </c>
      <c r="R381" s="5" t="str">
        <f>IF(OR(TRIM($B381)="",$H381=""),"",IF(OR(ISNUMBER(SEARCH(_xlfn.CONCAT(CHAR(96),CHAR(34)),$H381)),ISNUMBER(SEARCH(_xlfn.CONCAT(CHAR(34),CHAR(39)),$H381))),_xlfn.CONCAT("* REVIEW REQUIRED: compound-quote delimiter in Source on Sheet 1 row ",381,"; edit the input before running."),_xlfn.CONCAT("char ",TRIM($B381),"[doc_source] ",CHAR(96),CHAR(34),SUBSTITUTE(SUBSTITUTE(SUBSTITUTE(SUBSTITUTE(SUBSTITUTE(SUBSTITUTE($H381,CHAR(13)," "),CHAR(10)," "),CHAR(9)," "),CHAR(92),_xlfn.CONCAT(CHAR(92),CHAR(92))),"$",_xlfn.CONCAT(CHAR(92),"$")),CHAR(96),_xlfn.CONCAT(CHAR(92),CHAR(96))),CHAR(34),CHAR(39))))</f>
        <v/>
      </c>
      <c r="S381" s="5" t="str">
        <f>IF(OR(TRIM($B381)="",$I381=""),"",IF(OR(ISNUMBER(SEARCH(_xlfn.CONCAT(CHAR(96),CHAR(34)),$I381)),ISNUMBER(SEARCH(_xlfn.CONCAT(CHAR(34),CHAR(39)),$I381))),_xlfn.CONCAT("* REVIEW REQUIRED: compound-quote delimiter in Derivation on Sheet 1 row ",381,"; edit the input before running."),_xlfn.CONCAT("char ",TRIM($B381),"[doc_derivation] ",CHAR(96),CHAR(34),SUBSTITUTE(SUBSTITUTE(SUBSTITUTE(SUBSTITUTE(SUBSTITUTE(SUBSTITUTE($I381,CHAR(13)," "),CHAR(10)," "),CHAR(9)," "),CHAR(92),_xlfn.CONCAT(CHAR(92),CHAR(92))),"$",_xlfn.CONCAT(CHAR(92),"$")),CHAR(96),_xlfn.CONCAT(CHAR(92),CHAR(96))),CHAR(34),CHAR(39))))</f>
        <v/>
      </c>
      <c r="T381" s="5" t="str">
        <f>IF(OR(TRIM($B381)="",$J381=""),"",IF(OR(ISNUMBER(SEARCH(_xlfn.CONCAT(CHAR(96),CHAR(34)),$J381)),ISNUMBER(SEARCH(_xlfn.CONCAT(CHAR(34),CHAR(39)),$J381))),_xlfn.CONCAT("* REVIEW REQUIRED: compound-quote delimiter in Notes on Sheet 1 row ",381,"; edit the input before running."),_xlfn.CONCAT("char ",TRIM($B381),"[doc_notes] ",CHAR(96),CHAR(34),SUBSTITUTE(SUBSTITUTE(SUBSTITUTE(SUBSTITUTE(SUBSTITUTE(SUBSTITUTE($J381,CHAR(13)," "),CHAR(10)," "),CHAR(9)," "),CHAR(92),_xlfn.CONCAT(CHAR(92),CHAR(92))),"$",_xlfn.CONCAT(CHAR(92),"$")),CHAR(96),_xlfn.CONCAT(CHAR(92),CHAR(96))),CHAR(34),CHAR(39))))</f>
        <v/>
      </c>
      <c r="U381" s="5">
        <f t="shared" si="11"/>
        <v>0</v>
      </c>
    </row>
    <row r="382" spans="3:21" ht="30" customHeight="1" x14ac:dyDescent="0.2">
      <c r="C382" s="4"/>
      <c r="K382" s="5">
        <f t="shared" si="10"/>
        <v>0</v>
      </c>
      <c r="L382" s="5" t="str">
        <f>IF(OR(TRIM($B382)="",$A382=""),"",IF(OR(ISNUMBER(SEARCH(_xlfn.CONCAT(CHAR(96),CHAR(34)),$A382)),ISNUMBER(SEARCH(_xlfn.CONCAT(CHAR(34),CHAR(39)),$A382))),_xlfn.CONCAT("* REVIEW REQUIRED: compound-quote delimiter in Codebook Section on Sheet 1 row ",382,"; edit the input before running."),_xlfn.CONCAT("char ",TRIM($B382),"[doc_section] ",CHAR(96),CHAR(34),SUBSTITUTE(SUBSTITUTE(SUBSTITUTE(SUBSTITUTE(SUBSTITUTE(SUBSTITUTE($A382,CHAR(13)," "),CHAR(10)," "),CHAR(9)," "),CHAR(92),_xlfn.CONCAT(CHAR(92),CHAR(92))),"$",_xlfn.CONCAT(CHAR(92),"$")),CHAR(96),_xlfn.CONCAT(CHAR(92),CHAR(96))),CHAR(34),CHAR(39))))</f>
        <v/>
      </c>
      <c r="M382" s="5" t="str">
        <f>IF(OR(TRIM($B382)="",$C382=""),"",IF(IFERROR(MATCH(TRIM($C382),{"Quantitative","Continuous","Discrete","Categorical","Nominal","Ordinal","Identifier"},0),0)=0,_xlfn.CONCAT("* REVIEW REQUIRED: invalid Variable Type on Sheet 1 row ",382,"."),_xlfn.CONCAT("char ",TRIM($B382),"[doc_vartype] ",CHAR(96),CHAR(34),SUBSTITUTE(SUBSTITUTE(SUBSTITUTE(SUBSTITUTE(SUBSTITUTE(SUBSTITUTE(LOWER(TRIM($C382)),CHAR(13)," "),CHAR(10)," "),CHAR(9)," "),CHAR(92),_xlfn.CONCAT(CHAR(92),CHAR(92))),"$",_xlfn.CONCAT(CHAR(92),"$")),CHAR(96),_xlfn.CONCAT(CHAR(92),CHAR(96))),CHAR(34),CHAR(39))))</f>
        <v/>
      </c>
      <c r="N382" s="5" t="str">
        <f>IF(OR(TRIM($B382)="",$D382=""),"",IF(OR(ISNUMBER(SEARCH(_xlfn.CONCAT(CHAR(96),CHAR(34)),$D382)),ISNUMBER(SEARCH(_xlfn.CONCAT(CHAR(34),CHAR(39)),$D382))),_xlfn.CONCAT("* REVIEW REQUIRED: compound-quote delimiter in Item Number on Sheet 1 row ",382,"; edit the input before running."),_xlfn.CONCAT("char ",TRIM($B382),"[doc_itemnum] ",CHAR(96),CHAR(34),SUBSTITUTE(SUBSTITUTE(SUBSTITUTE(SUBSTITUTE(SUBSTITUTE(SUBSTITUTE($D382,CHAR(13)," "),CHAR(10)," "),CHAR(9)," "),CHAR(92),_xlfn.CONCAT(CHAR(92),CHAR(92))),"$",_xlfn.CONCAT(CHAR(92),"$")),CHAR(96),_xlfn.CONCAT(CHAR(92),CHAR(96))),CHAR(34),CHAR(39))))</f>
        <v/>
      </c>
      <c r="O382" s="5" t="str">
        <f>IF(OR(TRIM($B382)="",$E382=""),"",IF(OR(ISNUMBER(SEARCH(_xlfn.CONCAT(CHAR(96),CHAR(34)),$E382)),ISNUMBER(SEARCH(_xlfn.CONCAT(CHAR(34),CHAR(39)),$E382))),_xlfn.CONCAT("* REVIEW REQUIRED: compound-quote delimiter in Question Wording on Sheet 1 row ",382,"; edit the input before running."),_xlfn.CONCAT("char ",TRIM($B382),"[doc_question] ",CHAR(96),CHAR(34),SUBSTITUTE(SUBSTITUTE(SUBSTITUTE(SUBSTITUTE(SUBSTITUTE(SUBSTITUTE($E382,CHAR(13)," "),CHAR(10)," "),CHAR(9)," "),CHAR(92),_xlfn.CONCAT(CHAR(92),CHAR(92))),"$",_xlfn.CONCAT(CHAR(92),"$")),CHAR(96),_xlfn.CONCAT(CHAR(92),CHAR(96))),CHAR(34),CHAR(39))))</f>
        <v/>
      </c>
      <c r="P382" s="5" t="str">
        <f>IF(OR(TRIM($B382)="",$F382=""),"",IF(OR(ISNUMBER(SEARCH(_xlfn.CONCAT(CHAR(96),CHAR(34)),$F382)),ISNUMBER(SEARCH(_xlfn.CONCAT(CHAR(34),CHAR(39)),$F382))),_xlfn.CONCAT("* REVIEW REQUIRED: compound-quote delimiter in Units on Sheet 1 row ",382,"; edit the input before running."),_xlfn.CONCAT("char ",TRIM($B382),"[doc_units] ",CHAR(96),CHAR(34),SUBSTITUTE(SUBSTITUTE(SUBSTITUTE(SUBSTITUTE(SUBSTITUTE(SUBSTITUTE($F382,CHAR(13)," "),CHAR(10)," "),CHAR(9)," "),CHAR(92),_xlfn.CONCAT(CHAR(92),CHAR(92))),"$",_xlfn.CONCAT(CHAR(92),"$")),CHAR(96),_xlfn.CONCAT(CHAR(92),CHAR(96))),CHAR(34),CHAR(39))))</f>
        <v/>
      </c>
      <c r="Q382" s="5" t="str">
        <f>IF(OR(TRIM($B382)="",$G382=""),"",IF(OR(ISNUMBER(SEARCH(_xlfn.CONCAT(CHAR(96),CHAR(34)),$G382)),ISNUMBER(SEARCH(_xlfn.CONCAT(CHAR(34),CHAR(39)),$G382))),_xlfn.CONCAT("* REVIEW REQUIRED: compound-quote delimiter in Universe on Sheet 1 row ",382,"; edit the input before running."),_xlfn.CONCAT("char ",TRIM($B382),"[doc_universe] ",CHAR(96),CHAR(34),SUBSTITUTE(SUBSTITUTE(SUBSTITUTE(SUBSTITUTE(SUBSTITUTE(SUBSTITUTE($G382,CHAR(13)," "),CHAR(10)," "),CHAR(9)," "),CHAR(92),_xlfn.CONCAT(CHAR(92),CHAR(92))),"$",_xlfn.CONCAT(CHAR(92),"$")),CHAR(96),_xlfn.CONCAT(CHAR(92),CHAR(96))),CHAR(34),CHAR(39))))</f>
        <v/>
      </c>
      <c r="R382" s="5" t="str">
        <f>IF(OR(TRIM($B382)="",$H382=""),"",IF(OR(ISNUMBER(SEARCH(_xlfn.CONCAT(CHAR(96),CHAR(34)),$H382)),ISNUMBER(SEARCH(_xlfn.CONCAT(CHAR(34),CHAR(39)),$H382))),_xlfn.CONCAT("* REVIEW REQUIRED: compound-quote delimiter in Source on Sheet 1 row ",382,"; edit the input before running."),_xlfn.CONCAT("char ",TRIM($B382),"[doc_source] ",CHAR(96),CHAR(34),SUBSTITUTE(SUBSTITUTE(SUBSTITUTE(SUBSTITUTE(SUBSTITUTE(SUBSTITUTE($H382,CHAR(13)," "),CHAR(10)," "),CHAR(9)," "),CHAR(92),_xlfn.CONCAT(CHAR(92),CHAR(92))),"$",_xlfn.CONCAT(CHAR(92),"$")),CHAR(96),_xlfn.CONCAT(CHAR(92),CHAR(96))),CHAR(34),CHAR(39))))</f>
        <v/>
      </c>
      <c r="S382" s="5" t="str">
        <f>IF(OR(TRIM($B382)="",$I382=""),"",IF(OR(ISNUMBER(SEARCH(_xlfn.CONCAT(CHAR(96),CHAR(34)),$I382)),ISNUMBER(SEARCH(_xlfn.CONCAT(CHAR(34),CHAR(39)),$I382))),_xlfn.CONCAT("* REVIEW REQUIRED: compound-quote delimiter in Derivation on Sheet 1 row ",382,"; edit the input before running."),_xlfn.CONCAT("char ",TRIM($B382),"[doc_derivation] ",CHAR(96),CHAR(34),SUBSTITUTE(SUBSTITUTE(SUBSTITUTE(SUBSTITUTE(SUBSTITUTE(SUBSTITUTE($I382,CHAR(13)," "),CHAR(10)," "),CHAR(9)," "),CHAR(92),_xlfn.CONCAT(CHAR(92),CHAR(92))),"$",_xlfn.CONCAT(CHAR(92),"$")),CHAR(96),_xlfn.CONCAT(CHAR(92),CHAR(96))),CHAR(34),CHAR(39))))</f>
        <v/>
      </c>
      <c r="T382" s="5" t="str">
        <f>IF(OR(TRIM($B382)="",$J382=""),"",IF(OR(ISNUMBER(SEARCH(_xlfn.CONCAT(CHAR(96),CHAR(34)),$J382)),ISNUMBER(SEARCH(_xlfn.CONCAT(CHAR(34),CHAR(39)),$J382))),_xlfn.CONCAT("* REVIEW REQUIRED: compound-quote delimiter in Notes on Sheet 1 row ",382,"; edit the input before running."),_xlfn.CONCAT("char ",TRIM($B382),"[doc_notes] ",CHAR(96),CHAR(34),SUBSTITUTE(SUBSTITUTE(SUBSTITUTE(SUBSTITUTE(SUBSTITUTE(SUBSTITUTE($J382,CHAR(13)," "),CHAR(10)," "),CHAR(9)," "),CHAR(92),_xlfn.CONCAT(CHAR(92),CHAR(92))),"$",_xlfn.CONCAT(CHAR(92),"$")),CHAR(96),_xlfn.CONCAT(CHAR(92),CHAR(96))),CHAR(34),CHAR(39))))</f>
        <v/>
      </c>
      <c r="U382" s="5">
        <f t="shared" si="11"/>
        <v>0</v>
      </c>
    </row>
    <row r="383" spans="3:21" ht="30" customHeight="1" x14ac:dyDescent="0.2">
      <c r="C383" s="4"/>
      <c r="K383" s="5">
        <f t="shared" si="10"/>
        <v>0</v>
      </c>
      <c r="L383" s="5" t="str">
        <f>IF(OR(TRIM($B383)="",$A383=""),"",IF(OR(ISNUMBER(SEARCH(_xlfn.CONCAT(CHAR(96),CHAR(34)),$A383)),ISNUMBER(SEARCH(_xlfn.CONCAT(CHAR(34),CHAR(39)),$A383))),_xlfn.CONCAT("* REVIEW REQUIRED: compound-quote delimiter in Codebook Section on Sheet 1 row ",383,"; edit the input before running."),_xlfn.CONCAT("char ",TRIM($B383),"[doc_section] ",CHAR(96),CHAR(34),SUBSTITUTE(SUBSTITUTE(SUBSTITUTE(SUBSTITUTE(SUBSTITUTE(SUBSTITUTE($A383,CHAR(13)," "),CHAR(10)," "),CHAR(9)," "),CHAR(92),_xlfn.CONCAT(CHAR(92),CHAR(92))),"$",_xlfn.CONCAT(CHAR(92),"$")),CHAR(96),_xlfn.CONCAT(CHAR(92),CHAR(96))),CHAR(34),CHAR(39))))</f>
        <v/>
      </c>
      <c r="M383" s="5" t="str">
        <f>IF(OR(TRIM($B383)="",$C383=""),"",IF(IFERROR(MATCH(TRIM($C383),{"Quantitative","Continuous","Discrete","Categorical","Nominal","Ordinal","Identifier"},0),0)=0,_xlfn.CONCAT("* REVIEW REQUIRED: invalid Variable Type on Sheet 1 row ",383,"."),_xlfn.CONCAT("char ",TRIM($B383),"[doc_vartype] ",CHAR(96),CHAR(34),SUBSTITUTE(SUBSTITUTE(SUBSTITUTE(SUBSTITUTE(SUBSTITUTE(SUBSTITUTE(LOWER(TRIM($C383)),CHAR(13)," "),CHAR(10)," "),CHAR(9)," "),CHAR(92),_xlfn.CONCAT(CHAR(92),CHAR(92))),"$",_xlfn.CONCAT(CHAR(92),"$")),CHAR(96),_xlfn.CONCAT(CHAR(92),CHAR(96))),CHAR(34),CHAR(39))))</f>
        <v/>
      </c>
      <c r="N383" s="5" t="str">
        <f>IF(OR(TRIM($B383)="",$D383=""),"",IF(OR(ISNUMBER(SEARCH(_xlfn.CONCAT(CHAR(96),CHAR(34)),$D383)),ISNUMBER(SEARCH(_xlfn.CONCAT(CHAR(34),CHAR(39)),$D383))),_xlfn.CONCAT("* REVIEW REQUIRED: compound-quote delimiter in Item Number on Sheet 1 row ",383,"; edit the input before running."),_xlfn.CONCAT("char ",TRIM($B383),"[doc_itemnum] ",CHAR(96),CHAR(34),SUBSTITUTE(SUBSTITUTE(SUBSTITUTE(SUBSTITUTE(SUBSTITUTE(SUBSTITUTE($D383,CHAR(13)," "),CHAR(10)," "),CHAR(9)," "),CHAR(92),_xlfn.CONCAT(CHAR(92),CHAR(92))),"$",_xlfn.CONCAT(CHAR(92),"$")),CHAR(96),_xlfn.CONCAT(CHAR(92),CHAR(96))),CHAR(34),CHAR(39))))</f>
        <v/>
      </c>
      <c r="O383" s="5" t="str">
        <f>IF(OR(TRIM($B383)="",$E383=""),"",IF(OR(ISNUMBER(SEARCH(_xlfn.CONCAT(CHAR(96),CHAR(34)),$E383)),ISNUMBER(SEARCH(_xlfn.CONCAT(CHAR(34),CHAR(39)),$E383))),_xlfn.CONCAT("* REVIEW REQUIRED: compound-quote delimiter in Question Wording on Sheet 1 row ",383,"; edit the input before running."),_xlfn.CONCAT("char ",TRIM($B383),"[doc_question] ",CHAR(96),CHAR(34),SUBSTITUTE(SUBSTITUTE(SUBSTITUTE(SUBSTITUTE(SUBSTITUTE(SUBSTITUTE($E383,CHAR(13)," "),CHAR(10)," "),CHAR(9)," "),CHAR(92),_xlfn.CONCAT(CHAR(92),CHAR(92))),"$",_xlfn.CONCAT(CHAR(92),"$")),CHAR(96),_xlfn.CONCAT(CHAR(92),CHAR(96))),CHAR(34),CHAR(39))))</f>
        <v/>
      </c>
      <c r="P383" s="5" t="str">
        <f>IF(OR(TRIM($B383)="",$F383=""),"",IF(OR(ISNUMBER(SEARCH(_xlfn.CONCAT(CHAR(96),CHAR(34)),$F383)),ISNUMBER(SEARCH(_xlfn.CONCAT(CHAR(34),CHAR(39)),$F383))),_xlfn.CONCAT("* REVIEW REQUIRED: compound-quote delimiter in Units on Sheet 1 row ",383,"; edit the input before running."),_xlfn.CONCAT("char ",TRIM($B383),"[doc_units] ",CHAR(96),CHAR(34),SUBSTITUTE(SUBSTITUTE(SUBSTITUTE(SUBSTITUTE(SUBSTITUTE(SUBSTITUTE($F383,CHAR(13)," "),CHAR(10)," "),CHAR(9)," "),CHAR(92),_xlfn.CONCAT(CHAR(92),CHAR(92))),"$",_xlfn.CONCAT(CHAR(92),"$")),CHAR(96),_xlfn.CONCAT(CHAR(92),CHAR(96))),CHAR(34),CHAR(39))))</f>
        <v/>
      </c>
      <c r="Q383" s="5" t="str">
        <f>IF(OR(TRIM($B383)="",$G383=""),"",IF(OR(ISNUMBER(SEARCH(_xlfn.CONCAT(CHAR(96),CHAR(34)),$G383)),ISNUMBER(SEARCH(_xlfn.CONCAT(CHAR(34),CHAR(39)),$G383))),_xlfn.CONCAT("* REVIEW REQUIRED: compound-quote delimiter in Universe on Sheet 1 row ",383,"; edit the input before running."),_xlfn.CONCAT("char ",TRIM($B383),"[doc_universe] ",CHAR(96),CHAR(34),SUBSTITUTE(SUBSTITUTE(SUBSTITUTE(SUBSTITUTE(SUBSTITUTE(SUBSTITUTE($G383,CHAR(13)," "),CHAR(10)," "),CHAR(9)," "),CHAR(92),_xlfn.CONCAT(CHAR(92),CHAR(92))),"$",_xlfn.CONCAT(CHAR(92),"$")),CHAR(96),_xlfn.CONCAT(CHAR(92),CHAR(96))),CHAR(34),CHAR(39))))</f>
        <v/>
      </c>
      <c r="R383" s="5" t="str">
        <f>IF(OR(TRIM($B383)="",$H383=""),"",IF(OR(ISNUMBER(SEARCH(_xlfn.CONCAT(CHAR(96),CHAR(34)),$H383)),ISNUMBER(SEARCH(_xlfn.CONCAT(CHAR(34),CHAR(39)),$H383))),_xlfn.CONCAT("* REVIEW REQUIRED: compound-quote delimiter in Source on Sheet 1 row ",383,"; edit the input before running."),_xlfn.CONCAT("char ",TRIM($B383),"[doc_source] ",CHAR(96),CHAR(34),SUBSTITUTE(SUBSTITUTE(SUBSTITUTE(SUBSTITUTE(SUBSTITUTE(SUBSTITUTE($H383,CHAR(13)," "),CHAR(10)," "),CHAR(9)," "),CHAR(92),_xlfn.CONCAT(CHAR(92),CHAR(92))),"$",_xlfn.CONCAT(CHAR(92),"$")),CHAR(96),_xlfn.CONCAT(CHAR(92),CHAR(96))),CHAR(34),CHAR(39))))</f>
        <v/>
      </c>
      <c r="S383" s="5" t="str">
        <f>IF(OR(TRIM($B383)="",$I383=""),"",IF(OR(ISNUMBER(SEARCH(_xlfn.CONCAT(CHAR(96),CHAR(34)),$I383)),ISNUMBER(SEARCH(_xlfn.CONCAT(CHAR(34),CHAR(39)),$I383))),_xlfn.CONCAT("* REVIEW REQUIRED: compound-quote delimiter in Derivation on Sheet 1 row ",383,"; edit the input before running."),_xlfn.CONCAT("char ",TRIM($B383),"[doc_derivation] ",CHAR(96),CHAR(34),SUBSTITUTE(SUBSTITUTE(SUBSTITUTE(SUBSTITUTE(SUBSTITUTE(SUBSTITUTE($I383,CHAR(13)," "),CHAR(10)," "),CHAR(9)," "),CHAR(92),_xlfn.CONCAT(CHAR(92),CHAR(92))),"$",_xlfn.CONCAT(CHAR(92),"$")),CHAR(96),_xlfn.CONCAT(CHAR(92),CHAR(96))),CHAR(34),CHAR(39))))</f>
        <v/>
      </c>
      <c r="T383" s="5" t="str">
        <f>IF(OR(TRIM($B383)="",$J383=""),"",IF(OR(ISNUMBER(SEARCH(_xlfn.CONCAT(CHAR(96),CHAR(34)),$J383)),ISNUMBER(SEARCH(_xlfn.CONCAT(CHAR(34),CHAR(39)),$J383))),_xlfn.CONCAT("* REVIEW REQUIRED: compound-quote delimiter in Notes on Sheet 1 row ",383,"; edit the input before running."),_xlfn.CONCAT("char ",TRIM($B383),"[doc_notes] ",CHAR(96),CHAR(34),SUBSTITUTE(SUBSTITUTE(SUBSTITUTE(SUBSTITUTE(SUBSTITUTE(SUBSTITUTE($J383,CHAR(13)," "),CHAR(10)," "),CHAR(9)," "),CHAR(92),_xlfn.CONCAT(CHAR(92),CHAR(92))),"$",_xlfn.CONCAT(CHAR(92),"$")),CHAR(96),_xlfn.CONCAT(CHAR(92),CHAR(96))),CHAR(34),CHAR(39))))</f>
        <v/>
      </c>
      <c r="U383" s="5">
        <f t="shared" si="11"/>
        <v>0</v>
      </c>
    </row>
    <row r="384" spans="3:21" ht="30" customHeight="1" x14ac:dyDescent="0.2">
      <c r="C384" s="4"/>
      <c r="K384" s="5">
        <f t="shared" si="10"/>
        <v>0</v>
      </c>
      <c r="L384" s="5" t="str">
        <f>IF(OR(TRIM($B384)="",$A384=""),"",IF(OR(ISNUMBER(SEARCH(_xlfn.CONCAT(CHAR(96),CHAR(34)),$A384)),ISNUMBER(SEARCH(_xlfn.CONCAT(CHAR(34),CHAR(39)),$A384))),_xlfn.CONCAT("* REVIEW REQUIRED: compound-quote delimiter in Codebook Section on Sheet 1 row ",384,"; edit the input before running."),_xlfn.CONCAT("char ",TRIM($B384),"[doc_section] ",CHAR(96),CHAR(34),SUBSTITUTE(SUBSTITUTE(SUBSTITUTE(SUBSTITUTE(SUBSTITUTE(SUBSTITUTE($A384,CHAR(13)," "),CHAR(10)," "),CHAR(9)," "),CHAR(92),_xlfn.CONCAT(CHAR(92),CHAR(92))),"$",_xlfn.CONCAT(CHAR(92),"$")),CHAR(96),_xlfn.CONCAT(CHAR(92),CHAR(96))),CHAR(34),CHAR(39))))</f>
        <v/>
      </c>
      <c r="M384" s="5" t="str">
        <f>IF(OR(TRIM($B384)="",$C384=""),"",IF(IFERROR(MATCH(TRIM($C384),{"Quantitative","Continuous","Discrete","Categorical","Nominal","Ordinal","Identifier"},0),0)=0,_xlfn.CONCAT("* REVIEW REQUIRED: invalid Variable Type on Sheet 1 row ",384,"."),_xlfn.CONCAT("char ",TRIM($B384),"[doc_vartype] ",CHAR(96),CHAR(34),SUBSTITUTE(SUBSTITUTE(SUBSTITUTE(SUBSTITUTE(SUBSTITUTE(SUBSTITUTE(LOWER(TRIM($C384)),CHAR(13)," "),CHAR(10)," "),CHAR(9)," "),CHAR(92),_xlfn.CONCAT(CHAR(92),CHAR(92))),"$",_xlfn.CONCAT(CHAR(92),"$")),CHAR(96),_xlfn.CONCAT(CHAR(92),CHAR(96))),CHAR(34),CHAR(39))))</f>
        <v/>
      </c>
      <c r="N384" s="5" t="str">
        <f>IF(OR(TRIM($B384)="",$D384=""),"",IF(OR(ISNUMBER(SEARCH(_xlfn.CONCAT(CHAR(96),CHAR(34)),$D384)),ISNUMBER(SEARCH(_xlfn.CONCAT(CHAR(34),CHAR(39)),$D384))),_xlfn.CONCAT("* REVIEW REQUIRED: compound-quote delimiter in Item Number on Sheet 1 row ",384,"; edit the input before running."),_xlfn.CONCAT("char ",TRIM($B384),"[doc_itemnum] ",CHAR(96),CHAR(34),SUBSTITUTE(SUBSTITUTE(SUBSTITUTE(SUBSTITUTE(SUBSTITUTE(SUBSTITUTE($D384,CHAR(13)," "),CHAR(10)," "),CHAR(9)," "),CHAR(92),_xlfn.CONCAT(CHAR(92),CHAR(92))),"$",_xlfn.CONCAT(CHAR(92),"$")),CHAR(96),_xlfn.CONCAT(CHAR(92),CHAR(96))),CHAR(34),CHAR(39))))</f>
        <v/>
      </c>
      <c r="O384" s="5" t="str">
        <f>IF(OR(TRIM($B384)="",$E384=""),"",IF(OR(ISNUMBER(SEARCH(_xlfn.CONCAT(CHAR(96),CHAR(34)),$E384)),ISNUMBER(SEARCH(_xlfn.CONCAT(CHAR(34),CHAR(39)),$E384))),_xlfn.CONCAT("* REVIEW REQUIRED: compound-quote delimiter in Question Wording on Sheet 1 row ",384,"; edit the input before running."),_xlfn.CONCAT("char ",TRIM($B384),"[doc_question] ",CHAR(96),CHAR(34),SUBSTITUTE(SUBSTITUTE(SUBSTITUTE(SUBSTITUTE(SUBSTITUTE(SUBSTITUTE($E384,CHAR(13)," "),CHAR(10)," "),CHAR(9)," "),CHAR(92),_xlfn.CONCAT(CHAR(92),CHAR(92))),"$",_xlfn.CONCAT(CHAR(92),"$")),CHAR(96),_xlfn.CONCAT(CHAR(92),CHAR(96))),CHAR(34),CHAR(39))))</f>
        <v/>
      </c>
      <c r="P384" s="5" t="str">
        <f>IF(OR(TRIM($B384)="",$F384=""),"",IF(OR(ISNUMBER(SEARCH(_xlfn.CONCAT(CHAR(96),CHAR(34)),$F384)),ISNUMBER(SEARCH(_xlfn.CONCAT(CHAR(34),CHAR(39)),$F384))),_xlfn.CONCAT("* REVIEW REQUIRED: compound-quote delimiter in Units on Sheet 1 row ",384,"; edit the input before running."),_xlfn.CONCAT("char ",TRIM($B384),"[doc_units] ",CHAR(96),CHAR(34),SUBSTITUTE(SUBSTITUTE(SUBSTITUTE(SUBSTITUTE(SUBSTITUTE(SUBSTITUTE($F384,CHAR(13)," "),CHAR(10)," "),CHAR(9)," "),CHAR(92),_xlfn.CONCAT(CHAR(92),CHAR(92))),"$",_xlfn.CONCAT(CHAR(92),"$")),CHAR(96),_xlfn.CONCAT(CHAR(92),CHAR(96))),CHAR(34),CHAR(39))))</f>
        <v/>
      </c>
      <c r="Q384" s="5" t="str">
        <f>IF(OR(TRIM($B384)="",$G384=""),"",IF(OR(ISNUMBER(SEARCH(_xlfn.CONCAT(CHAR(96),CHAR(34)),$G384)),ISNUMBER(SEARCH(_xlfn.CONCAT(CHAR(34),CHAR(39)),$G384))),_xlfn.CONCAT("* REVIEW REQUIRED: compound-quote delimiter in Universe on Sheet 1 row ",384,"; edit the input before running."),_xlfn.CONCAT("char ",TRIM($B384),"[doc_universe] ",CHAR(96),CHAR(34),SUBSTITUTE(SUBSTITUTE(SUBSTITUTE(SUBSTITUTE(SUBSTITUTE(SUBSTITUTE($G384,CHAR(13)," "),CHAR(10)," "),CHAR(9)," "),CHAR(92),_xlfn.CONCAT(CHAR(92),CHAR(92))),"$",_xlfn.CONCAT(CHAR(92),"$")),CHAR(96),_xlfn.CONCAT(CHAR(92),CHAR(96))),CHAR(34),CHAR(39))))</f>
        <v/>
      </c>
      <c r="R384" s="5" t="str">
        <f>IF(OR(TRIM($B384)="",$H384=""),"",IF(OR(ISNUMBER(SEARCH(_xlfn.CONCAT(CHAR(96),CHAR(34)),$H384)),ISNUMBER(SEARCH(_xlfn.CONCAT(CHAR(34),CHAR(39)),$H384))),_xlfn.CONCAT("* REVIEW REQUIRED: compound-quote delimiter in Source on Sheet 1 row ",384,"; edit the input before running."),_xlfn.CONCAT("char ",TRIM($B384),"[doc_source] ",CHAR(96),CHAR(34),SUBSTITUTE(SUBSTITUTE(SUBSTITUTE(SUBSTITUTE(SUBSTITUTE(SUBSTITUTE($H384,CHAR(13)," "),CHAR(10)," "),CHAR(9)," "),CHAR(92),_xlfn.CONCAT(CHAR(92),CHAR(92))),"$",_xlfn.CONCAT(CHAR(92),"$")),CHAR(96),_xlfn.CONCAT(CHAR(92),CHAR(96))),CHAR(34),CHAR(39))))</f>
        <v/>
      </c>
      <c r="S384" s="5" t="str">
        <f>IF(OR(TRIM($B384)="",$I384=""),"",IF(OR(ISNUMBER(SEARCH(_xlfn.CONCAT(CHAR(96),CHAR(34)),$I384)),ISNUMBER(SEARCH(_xlfn.CONCAT(CHAR(34),CHAR(39)),$I384))),_xlfn.CONCAT("* REVIEW REQUIRED: compound-quote delimiter in Derivation on Sheet 1 row ",384,"; edit the input before running."),_xlfn.CONCAT("char ",TRIM($B384),"[doc_derivation] ",CHAR(96),CHAR(34),SUBSTITUTE(SUBSTITUTE(SUBSTITUTE(SUBSTITUTE(SUBSTITUTE(SUBSTITUTE($I384,CHAR(13)," "),CHAR(10)," "),CHAR(9)," "),CHAR(92),_xlfn.CONCAT(CHAR(92),CHAR(92))),"$",_xlfn.CONCAT(CHAR(92),"$")),CHAR(96),_xlfn.CONCAT(CHAR(92),CHAR(96))),CHAR(34),CHAR(39))))</f>
        <v/>
      </c>
      <c r="T384" s="5" t="str">
        <f>IF(OR(TRIM($B384)="",$J384=""),"",IF(OR(ISNUMBER(SEARCH(_xlfn.CONCAT(CHAR(96),CHAR(34)),$J384)),ISNUMBER(SEARCH(_xlfn.CONCAT(CHAR(34),CHAR(39)),$J384))),_xlfn.CONCAT("* REVIEW REQUIRED: compound-quote delimiter in Notes on Sheet 1 row ",384,"; edit the input before running."),_xlfn.CONCAT("char ",TRIM($B384),"[doc_notes] ",CHAR(96),CHAR(34),SUBSTITUTE(SUBSTITUTE(SUBSTITUTE(SUBSTITUTE(SUBSTITUTE(SUBSTITUTE($J384,CHAR(13)," "),CHAR(10)," "),CHAR(9)," "),CHAR(92),_xlfn.CONCAT(CHAR(92),CHAR(92))),"$",_xlfn.CONCAT(CHAR(92),"$")),CHAR(96),_xlfn.CONCAT(CHAR(92),CHAR(96))),CHAR(34),CHAR(39))))</f>
        <v/>
      </c>
      <c r="U384" s="5">
        <f t="shared" si="11"/>
        <v>0</v>
      </c>
    </row>
    <row r="385" spans="3:21" ht="30" customHeight="1" x14ac:dyDescent="0.2">
      <c r="C385" s="4"/>
      <c r="K385" s="5">
        <f t="shared" si="10"/>
        <v>0</v>
      </c>
      <c r="L385" s="5" t="str">
        <f>IF(OR(TRIM($B385)="",$A385=""),"",IF(OR(ISNUMBER(SEARCH(_xlfn.CONCAT(CHAR(96),CHAR(34)),$A385)),ISNUMBER(SEARCH(_xlfn.CONCAT(CHAR(34),CHAR(39)),$A385))),_xlfn.CONCAT("* REVIEW REQUIRED: compound-quote delimiter in Codebook Section on Sheet 1 row ",385,"; edit the input before running."),_xlfn.CONCAT("char ",TRIM($B385),"[doc_section] ",CHAR(96),CHAR(34),SUBSTITUTE(SUBSTITUTE(SUBSTITUTE(SUBSTITUTE(SUBSTITUTE(SUBSTITUTE($A385,CHAR(13)," "),CHAR(10)," "),CHAR(9)," "),CHAR(92),_xlfn.CONCAT(CHAR(92),CHAR(92))),"$",_xlfn.CONCAT(CHAR(92),"$")),CHAR(96),_xlfn.CONCAT(CHAR(92),CHAR(96))),CHAR(34),CHAR(39))))</f>
        <v/>
      </c>
      <c r="M385" s="5" t="str">
        <f>IF(OR(TRIM($B385)="",$C385=""),"",IF(IFERROR(MATCH(TRIM($C385),{"Quantitative","Continuous","Discrete","Categorical","Nominal","Ordinal","Identifier"},0),0)=0,_xlfn.CONCAT("* REVIEW REQUIRED: invalid Variable Type on Sheet 1 row ",385,"."),_xlfn.CONCAT("char ",TRIM($B385),"[doc_vartype] ",CHAR(96),CHAR(34),SUBSTITUTE(SUBSTITUTE(SUBSTITUTE(SUBSTITUTE(SUBSTITUTE(SUBSTITUTE(LOWER(TRIM($C385)),CHAR(13)," "),CHAR(10)," "),CHAR(9)," "),CHAR(92),_xlfn.CONCAT(CHAR(92),CHAR(92))),"$",_xlfn.CONCAT(CHAR(92),"$")),CHAR(96),_xlfn.CONCAT(CHAR(92),CHAR(96))),CHAR(34),CHAR(39))))</f>
        <v/>
      </c>
      <c r="N385" s="5" t="str">
        <f>IF(OR(TRIM($B385)="",$D385=""),"",IF(OR(ISNUMBER(SEARCH(_xlfn.CONCAT(CHAR(96),CHAR(34)),$D385)),ISNUMBER(SEARCH(_xlfn.CONCAT(CHAR(34),CHAR(39)),$D385))),_xlfn.CONCAT("* REVIEW REQUIRED: compound-quote delimiter in Item Number on Sheet 1 row ",385,"; edit the input before running."),_xlfn.CONCAT("char ",TRIM($B385),"[doc_itemnum] ",CHAR(96),CHAR(34),SUBSTITUTE(SUBSTITUTE(SUBSTITUTE(SUBSTITUTE(SUBSTITUTE(SUBSTITUTE($D385,CHAR(13)," "),CHAR(10)," "),CHAR(9)," "),CHAR(92),_xlfn.CONCAT(CHAR(92),CHAR(92))),"$",_xlfn.CONCAT(CHAR(92),"$")),CHAR(96),_xlfn.CONCAT(CHAR(92),CHAR(96))),CHAR(34),CHAR(39))))</f>
        <v/>
      </c>
      <c r="O385" s="5" t="str">
        <f>IF(OR(TRIM($B385)="",$E385=""),"",IF(OR(ISNUMBER(SEARCH(_xlfn.CONCAT(CHAR(96),CHAR(34)),$E385)),ISNUMBER(SEARCH(_xlfn.CONCAT(CHAR(34),CHAR(39)),$E385))),_xlfn.CONCAT("* REVIEW REQUIRED: compound-quote delimiter in Question Wording on Sheet 1 row ",385,"; edit the input before running."),_xlfn.CONCAT("char ",TRIM($B385),"[doc_question] ",CHAR(96),CHAR(34),SUBSTITUTE(SUBSTITUTE(SUBSTITUTE(SUBSTITUTE(SUBSTITUTE(SUBSTITUTE($E385,CHAR(13)," "),CHAR(10)," "),CHAR(9)," "),CHAR(92),_xlfn.CONCAT(CHAR(92),CHAR(92))),"$",_xlfn.CONCAT(CHAR(92),"$")),CHAR(96),_xlfn.CONCAT(CHAR(92),CHAR(96))),CHAR(34),CHAR(39))))</f>
        <v/>
      </c>
      <c r="P385" s="5" t="str">
        <f>IF(OR(TRIM($B385)="",$F385=""),"",IF(OR(ISNUMBER(SEARCH(_xlfn.CONCAT(CHAR(96),CHAR(34)),$F385)),ISNUMBER(SEARCH(_xlfn.CONCAT(CHAR(34),CHAR(39)),$F385))),_xlfn.CONCAT("* REVIEW REQUIRED: compound-quote delimiter in Units on Sheet 1 row ",385,"; edit the input before running."),_xlfn.CONCAT("char ",TRIM($B385),"[doc_units] ",CHAR(96),CHAR(34),SUBSTITUTE(SUBSTITUTE(SUBSTITUTE(SUBSTITUTE(SUBSTITUTE(SUBSTITUTE($F385,CHAR(13)," "),CHAR(10)," "),CHAR(9)," "),CHAR(92),_xlfn.CONCAT(CHAR(92),CHAR(92))),"$",_xlfn.CONCAT(CHAR(92),"$")),CHAR(96),_xlfn.CONCAT(CHAR(92),CHAR(96))),CHAR(34),CHAR(39))))</f>
        <v/>
      </c>
      <c r="Q385" s="5" t="str">
        <f>IF(OR(TRIM($B385)="",$G385=""),"",IF(OR(ISNUMBER(SEARCH(_xlfn.CONCAT(CHAR(96),CHAR(34)),$G385)),ISNUMBER(SEARCH(_xlfn.CONCAT(CHAR(34),CHAR(39)),$G385))),_xlfn.CONCAT("* REVIEW REQUIRED: compound-quote delimiter in Universe on Sheet 1 row ",385,"; edit the input before running."),_xlfn.CONCAT("char ",TRIM($B385),"[doc_universe] ",CHAR(96),CHAR(34),SUBSTITUTE(SUBSTITUTE(SUBSTITUTE(SUBSTITUTE(SUBSTITUTE(SUBSTITUTE($G385,CHAR(13)," "),CHAR(10)," "),CHAR(9)," "),CHAR(92),_xlfn.CONCAT(CHAR(92),CHAR(92))),"$",_xlfn.CONCAT(CHAR(92),"$")),CHAR(96),_xlfn.CONCAT(CHAR(92),CHAR(96))),CHAR(34),CHAR(39))))</f>
        <v/>
      </c>
      <c r="R385" s="5" t="str">
        <f>IF(OR(TRIM($B385)="",$H385=""),"",IF(OR(ISNUMBER(SEARCH(_xlfn.CONCAT(CHAR(96),CHAR(34)),$H385)),ISNUMBER(SEARCH(_xlfn.CONCAT(CHAR(34),CHAR(39)),$H385))),_xlfn.CONCAT("* REVIEW REQUIRED: compound-quote delimiter in Source on Sheet 1 row ",385,"; edit the input before running."),_xlfn.CONCAT("char ",TRIM($B385),"[doc_source] ",CHAR(96),CHAR(34),SUBSTITUTE(SUBSTITUTE(SUBSTITUTE(SUBSTITUTE(SUBSTITUTE(SUBSTITUTE($H385,CHAR(13)," "),CHAR(10)," "),CHAR(9)," "),CHAR(92),_xlfn.CONCAT(CHAR(92),CHAR(92))),"$",_xlfn.CONCAT(CHAR(92),"$")),CHAR(96),_xlfn.CONCAT(CHAR(92),CHAR(96))),CHAR(34),CHAR(39))))</f>
        <v/>
      </c>
      <c r="S385" s="5" t="str">
        <f>IF(OR(TRIM($B385)="",$I385=""),"",IF(OR(ISNUMBER(SEARCH(_xlfn.CONCAT(CHAR(96),CHAR(34)),$I385)),ISNUMBER(SEARCH(_xlfn.CONCAT(CHAR(34),CHAR(39)),$I385))),_xlfn.CONCAT("* REVIEW REQUIRED: compound-quote delimiter in Derivation on Sheet 1 row ",385,"; edit the input before running."),_xlfn.CONCAT("char ",TRIM($B385),"[doc_derivation] ",CHAR(96),CHAR(34),SUBSTITUTE(SUBSTITUTE(SUBSTITUTE(SUBSTITUTE(SUBSTITUTE(SUBSTITUTE($I385,CHAR(13)," "),CHAR(10)," "),CHAR(9)," "),CHAR(92),_xlfn.CONCAT(CHAR(92),CHAR(92))),"$",_xlfn.CONCAT(CHAR(92),"$")),CHAR(96),_xlfn.CONCAT(CHAR(92),CHAR(96))),CHAR(34),CHAR(39))))</f>
        <v/>
      </c>
      <c r="T385" s="5" t="str">
        <f>IF(OR(TRIM($B385)="",$J385=""),"",IF(OR(ISNUMBER(SEARCH(_xlfn.CONCAT(CHAR(96),CHAR(34)),$J385)),ISNUMBER(SEARCH(_xlfn.CONCAT(CHAR(34),CHAR(39)),$J385))),_xlfn.CONCAT("* REVIEW REQUIRED: compound-quote delimiter in Notes on Sheet 1 row ",385,"; edit the input before running."),_xlfn.CONCAT("char ",TRIM($B385),"[doc_notes] ",CHAR(96),CHAR(34),SUBSTITUTE(SUBSTITUTE(SUBSTITUTE(SUBSTITUTE(SUBSTITUTE(SUBSTITUTE($J385,CHAR(13)," "),CHAR(10)," "),CHAR(9)," "),CHAR(92),_xlfn.CONCAT(CHAR(92),CHAR(92))),"$",_xlfn.CONCAT(CHAR(92),"$")),CHAR(96),_xlfn.CONCAT(CHAR(92),CHAR(96))),CHAR(34),CHAR(39))))</f>
        <v/>
      </c>
      <c r="U385" s="5">
        <f t="shared" si="11"/>
        <v>0</v>
      </c>
    </row>
    <row r="386" spans="3:21" ht="30" customHeight="1" x14ac:dyDescent="0.2">
      <c r="C386" s="4"/>
      <c r="K386" s="5">
        <f t="shared" si="10"/>
        <v>0</v>
      </c>
      <c r="L386" s="5" t="str">
        <f>IF(OR(TRIM($B386)="",$A386=""),"",IF(OR(ISNUMBER(SEARCH(_xlfn.CONCAT(CHAR(96),CHAR(34)),$A386)),ISNUMBER(SEARCH(_xlfn.CONCAT(CHAR(34),CHAR(39)),$A386))),_xlfn.CONCAT("* REVIEW REQUIRED: compound-quote delimiter in Codebook Section on Sheet 1 row ",386,"; edit the input before running."),_xlfn.CONCAT("char ",TRIM($B386),"[doc_section] ",CHAR(96),CHAR(34),SUBSTITUTE(SUBSTITUTE(SUBSTITUTE(SUBSTITUTE(SUBSTITUTE(SUBSTITUTE($A386,CHAR(13)," "),CHAR(10)," "),CHAR(9)," "),CHAR(92),_xlfn.CONCAT(CHAR(92),CHAR(92))),"$",_xlfn.CONCAT(CHAR(92),"$")),CHAR(96),_xlfn.CONCAT(CHAR(92),CHAR(96))),CHAR(34),CHAR(39))))</f>
        <v/>
      </c>
      <c r="M386" s="5" t="str">
        <f>IF(OR(TRIM($B386)="",$C386=""),"",IF(IFERROR(MATCH(TRIM($C386),{"Quantitative","Continuous","Discrete","Categorical","Nominal","Ordinal","Identifier"},0),0)=0,_xlfn.CONCAT("* REVIEW REQUIRED: invalid Variable Type on Sheet 1 row ",386,"."),_xlfn.CONCAT("char ",TRIM($B386),"[doc_vartype] ",CHAR(96),CHAR(34),SUBSTITUTE(SUBSTITUTE(SUBSTITUTE(SUBSTITUTE(SUBSTITUTE(SUBSTITUTE(LOWER(TRIM($C386)),CHAR(13)," "),CHAR(10)," "),CHAR(9)," "),CHAR(92),_xlfn.CONCAT(CHAR(92),CHAR(92))),"$",_xlfn.CONCAT(CHAR(92),"$")),CHAR(96),_xlfn.CONCAT(CHAR(92),CHAR(96))),CHAR(34),CHAR(39))))</f>
        <v/>
      </c>
      <c r="N386" s="5" t="str">
        <f>IF(OR(TRIM($B386)="",$D386=""),"",IF(OR(ISNUMBER(SEARCH(_xlfn.CONCAT(CHAR(96),CHAR(34)),$D386)),ISNUMBER(SEARCH(_xlfn.CONCAT(CHAR(34),CHAR(39)),$D386))),_xlfn.CONCAT("* REVIEW REQUIRED: compound-quote delimiter in Item Number on Sheet 1 row ",386,"; edit the input before running."),_xlfn.CONCAT("char ",TRIM($B386),"[doc_itemnum] ",CHAR(96),CHAR(34),SUBSTITUTE(SUBSTITUTE(SUBSTITUTE(SUBSTITUTE(SUBSTITUTE(SUBSTITUTE($D386,CHAR(13)," "),CHAR(10)," "),CHAR(9)," "),CHAR(92),_xlfn.CONCAT(CHAR(92),CHAR(92))),"$",_xlfn.CONCAT(CHAR(92),"$")),CHAR(96),_xlfn.CONCAT(CHAR(92),CHAR(96))),CHAR(34),CHAR(39))))</f>
        <v/>
      </c>
      <c r="O386" s="5" t="str">
        <f>IF(OR(TRIM($B386)="",$E386=""),"",IF(OR(ISNUMBER(SEARCH(_xlfn.CONCAT(CHAR(96),CHAR(34)),$E386)),ISNUMBER(SEARCH(_xlfn.CONCAT(CHAR(34),CHAR(39)),$E386))),_xlfn.CONCAT("* REVIEW REQUIRED: compound-quote delimiter in Question Wording on Sheet 1 row ",386,"; edit the input before running."),_xlfn.CONCAT("char ",TRIM($B386),"[doc_question] ",CHAR(96),CHAR(34),SUBSTITUTE(SUBSTITUTE(SUBSTITUTE(SUBSTITUTE(SUBSTITUTE(SUBSTITUTE($E386,CHAR(13)," "),CHAR(10)," "),CHAR(9)," "),CHAR(92),_xlfn.CONCAT(CHAR(92),CHAR(92))),"$",_xlfn.CONCAT(CHAR(92),"$")),CHAR(96),_xlfn.CONCAT(CHAR(92),CHAR(96))),CHAR(34),CHAR(39))))</f>
        <v/>
      </c>
      <c r="P386" s="5" t="str">
        <f>IF(OR(TRIM($B386)="",$F386=""),"",IF(OR(ISNUMBER(SEARCH(_xlfn.CONCAT(CHAR(96),CHAR(34)),$F386)),ISNUMBER(SEARCH(_xlfn.CONCAT(CHAR(34),CHAR(39)),$F386))),_xlfn.CONCAT("* REVIEW REQUIRED: compound-quote delimiter in Units on Sheet 1 row ",386,"; edit the input before running."),_xlfn.CONCAT("char ",TRIM($B386),"[doc_units] ",CHAR(96),CHAR(34),SUBSTITUTE(SUBSTITUTE(SUBSTITUTE(SUBSTITUTE(SUBSTITUTE(SUBSTITUTE($F386,CHAR(13)," "),CHAR(10)," "),CHAR(9)," "),CHAR(92),_xlfn.CONCAT(CHAR(92),CHAR(92))),"$",_xlfn.CONCAT(CHAR(92),"$")),CHAR(96),_xlfn.CONCAT(CHAR(92),CHAR(96))),CHAR(34),CHAR(39))))</f>
        <v/>
      </c>
      <c r="Q386" s="5" t="str">
        <f>IF(OR(TRIM($B386)="",$G386=""),"",IF(OR(ISNUMBER(SEARCH(_xlfn.CONCAT(CHAR(96),CHAR(34)),$G386)),ISNUMBER(SEARCH(_xlfn.CONCAT(CHAR(34),CHAR(39)),$G386))),_xlfn.CONCAT("* REVIEW REQUIRED: compound-quote delimiter in Universe on Sheet 1 row ",386,"; edit the input before running."),_xlfn.CONCAT("char ",TRIM($B386),"[doc_universe] ",CHAR(96),CHAR(34),SUBSTITUTE(SUBSTITUTE(SUBSTITUTE(SUBSTITUTE(SUBSTITUTE(SUBSTITUTE($G386,CHAR(13)," "),CHAR(10)," "),CHAR(9)," "),CHAR(92),_xlfn.CONCAT(CHAR(92),CHAR(92))),"$",_xlfn.CONCAT(CHAR(92),"$")),CHAR(96),_xlfn.CONCAT(CHAR(92),CHAR(96))),CHAR(34),CHAR(39))))</f>
        <v/>
      </c>
      <c r="R386" s="5" t="str">
        <f>IF(OR(TRIM($B386)="",$H386=""),"",IF(OR(ISNUMBER(SEARCH(_xlfn.CONCAT(CHAR(96),CHAR(34)),$H386)),ISNUMBER(SEARCH(_xlfn.CONCAT(CHAR(34),CHAR(39)),$H386))),_xlfn.CONCAT("* REVIEW REQUIRED: compound-quote delimiter in Source on Sheet 1 row ",386,"; edit the input before running."),_xlfn.CONCAT("char ",TRIM($B386),"[doc_source] ",CHAR(96),CHAR(34),SUBSTITUTE(SUBSTITUTE(SUBSTITUTE(SUBSTITUTE(SUBSTITUTE(SUBSTITUTE($H386,CHAR(13)," "),CHAR(10)," "),CHAR(9)," "),CHAR(92),_xlfn.CONCAT(CHAR(92),CHAR(92))),"$",_xlfn.CONCAT(CHAR(92),"$")),CHAR(96),_xlfn.CONCAT(CHAR(92),CHAR(96))),CHAR(34),CHAR(39))))</f>
        <v/>
      </c>
      <c r="S386" s="5" t="str">
        <f>IF(OR(TRIM($B386)="",$I386=""),"",IF(OR(ISNUMBER(SEARCH(_xlfn.CONCAT(CHAR(96),CHAR(34)),$I386)),ISNUMBER(SEARCH(_xlfn.CONCAT(CHAR(34),CHAR(39)),$I386))),_xlfn.CONCAT("* REVIEW REQUIRED: compound-quote delimiter in Derivation on Sheet 1 row ",386,"; edit the input before running."),_xlfn.CONCAT("char ",TRIM($B386),"[doc_derivation] ",CHAR(96),CHAR(34),SUBSTITUTE(SUBSTITUTE(SUBSTITUTE(SUBSTITUTE(SUBSTITUTE(SUBSTITUTE($I386,CHAR(13)," "),CHAR(10)," "),CHAR(9)," "),CHAR(92),_xlfn.CONCAT(CHAR(92),CHAR(92))),"$",_xlfn.CONCAT(CHAR(92),"$")),CHAR(96),_xlfn.CONCAT(CHAR(92),CHAR(96))),CHAR(34),CHAR(39))))</f>
        <v/>
      </c>
      <c r="T386" s="5" t="str">
        <f>IF(OR(TRIM($B386)="",$J386=""),"",IF(OR(ISNUMBER(SEARCH(_xlfn.CONCAT(CHAR(96),CHAR(34)),$J386)),ISNUMBER(SEARCH(_xlfn.CONCAT(CHAR(34),CHAR(39)),$J386))),_xlfn.CONCAT("* REVIEW REQUIRED: compound-quote delimiter in Notes on Sheet 1 row ",386,"; edit the input before running."),_xlfn.CONCAT("char ",TRIM($B386),"[doc_notes] ",CHAR(96),CHAR(34),SUBSTITUTE(SUBSTITUTE(SUBSTITUTE(SUBSTITUTE(SUBSTITUTE(SUBSTITUTE($J386,CHAR(13)," "),CHAR(10)," "),CHAR(9)," "),CHAR(92),_xlfn.CONCAT(CHAR(92),CHAR(92))),"$",_xlfn.CONCAT(CHAR(92),"$")),CHAR(96),_xlfn.CONCAT(CHAR(92),CHAR(96))),CHAR(34),CHAR(39))))</f>
        <v/>
      </c>
      <c r="U386" s="5">
        <f t="shared" si="11"/>
        <v>0</v>
      </c>
    </row>
    <row r="387" spans="3:21" ht="30" customHeight="1" x14ac:dyDescent="0.2">
      <c r="C387" s="4"/>
      <c r="K387" s="5">
        <f t="shared" si="10"/>
        <v>0</v>
      </c>
      <c r="L387" s="5" t="str">
        <f>IF(OR(TRIM($B387)="",$A387=""),"",IF(OR(ISNUMBER(SEARCH(_xlfn.CONCAT(CHAR(96),CHAR(34)),$A387)),ISNUMBER(SEARCH(_xlfn.CONCAT(CHAR(34),CHAR(39)),$A387))),_xlfn.CONCAT("* REVIEW REQUIRED: compound-quote delimiter in Codebook Section on Sheet 1 row ",387,"; edit the input before running."),_xlfn.CONCAT("char ",TRIM($B387),"[doc_section] ",CHAR(96),CHAR(34),SUBSTITUTE(SUBSTITUTE(SUBSTITUTE(SUBSTITUTE(SUBSTITUTE(SUBSTITUTE($A387,CHAR(13)," "),CHAR(10)," "),CHAR(9)," "),CHAR(92),_xlfn.CONCAT(CHAR(92),CHAR(92))),"$",_xlfn.CONCAT(CHAR(92),"$")),CHAR(96),_xlfn.CONCAT(CHAR(92),CHAR(96))),CHAR(34),CHAR(39))))</f>
        <v/>
      </c>
      <c r="M387" s="5" t="str">
        <f>IF(OR(TRIM($B387)="",$C387=""),"",IF(IFERROR(MATCH(TRIM($C387),{"Quantitative","Continuous","Discrete","Categorical","Nominal","Ordinal","Identifier"},0),0)=0,_xlfn.CONCAT("* REVIEW REQUIRED: invalid Variable Type on Sheet 1 row ",387,"."),_xlfn.CONCAT("char ",TRIM($B387),"[doc_vartype] ",CHAR(96),CHAR(34),SUBSTITUTE(SUBSTITUTE(SUBSTITUTE(SUBSTITUTE(SUBSTITUTE(SUBSTITUTE(LOWER(TRIM($C387)),CHAR(13)," "),CHAR(10)," "),CHAR(9)," "),CHAR(92),_xlfn.CONCAT(CHAR(92),CHAR(92))),"$",_xlfn.CONCAT(CHAR(92),"$")),CHAR(96),_xlfn.CONCAT(CHAR(92),CHAR(96))),CHAR(34),CHAR(39))))</f>
        <v/>
      </c>
      <c r="N387" s="5" t="str">
        <f>IF(OR(TRIM($B387)="",$D387=""),"",IF(OR(ISNUMBER(SEARCH(_xlfn.CONCAT(CHAR(96),CHAR(34)),$D387)),ISNUMBER(SEARCH(_xlfn.CONCAT(CHAR(34),CHAR(39)),$D387))),_xlfn.CONCAT("* REVIEW REQUIRED: compound-quote delimiter in Item Number on Sheet 1 row ",387,"; edit the input before running."),_xlfn.CONCAT("char ",TRIM($B387),"[doc_itemnum] ",CHAR(96),CHAR(34),SUBSTITUTE(SUBSTITUTE(SUBSTITUTE(SUBSTITUTE(SUBSTITUTE(SUBSTITUTE($D387,CHAR(13)," "),CHAR(10)," "),CHAR(9)," "),CHAR(92),_xlfn.CONCAT(CHAR(92),CHAR(92))),"$",_xlfn.CONCAT(CHAR(92),"$")),CHAR(96),_xlfn.CONCAT(CHAR(92),CHAR(96))),CHAR(34),CHAR(39))))</f>
        <v/>
      </c>
      <c r="O387" s="5" t="str">
        <f>IF(OR(TRIM($B387)="",$E387=""),"",IF(OR(ISNUMBER(SEARCH(_xlfn.CONCAT(CHAR(96),CHAR(34)),$E387)),ISNUMBER(SEARCH(_xlfn.CONCAT(CHAR(34),CHAR(39)),$E387))),_xlfn.CONCAT("* REVIEW REQUIRED: compound-quote delimiter in Question Wording on Sheet 1 row ",387,"; edit the input before running."),_xlfn.CONCAT("char ",TRIM($B387),"[doc_question] ",CHAR(96),CHAR(34),SUBSTITUTE(SUBSTITUTE(SUBSTITUTE(SUBSTITUTE(SUBSTITUTE(SUBSTITUTE($E387,CHAR(13)," "),CHAR(10)," "),CHAR(9)," "),CHAR(92),_xlfn.CONCAT(CHAR(92),CHAR(92))),"$",_xlfn.CONCAT(CHAR(92),"$")),CHAR(96),_xlfn.CONCAT(CHAR(92),CHAR(96))),CHAR(34),CHAR(39))))</f>
        <v/>
      </c>
      <c r="P387" s="5" t="str">
        <f>IF(OR(TRIM($B387)="",$F387=""),"",IF(OR(ISNUMBER(SEARCH(_xlfn.CONCAT(CHAR(96),CHAR(34)),$F387)),ISNUMBER(SEARCH(_xlfn.CONCAT(CHAR(34),CHAR(39)),$F387))),_xlfn.CONCAT("* REVIEW REQUIRED: compound-quote delimiter in Units on Sheet 1 row ",387,"; edit the input before running."),_xlfn.CONCAT("char ",TRIM($B387),"[doc_units] ",CHAR(96),CHAR(34),SUBSTITUTE(SUBSTITUTE(SUBSTITUTE(SUBSTITUTE(SUBSTITUTE(SUBSTITUTE($F387,CHAR(13)," "),CHAR(10)," "),CHAR(9)," "),CHAR(92),_xlfn.CONCAT(CHAR(92),CHAR(92))),"$",_xlfn.CONCAT(CHAR(92),"$")),CHAR(96),_xlfn.CONCAT(CHAR(92),CHAR(96))),CHAR(34),CHAR(39))))</f>
        <v/>
      </c>
      <c r="Q387" s="5" t="str">
        <f>IF(OR(TRIM($B387)="",$G387=""),"",IF(OR(ISNUMBER(SEARCH(_xlfn.CONCAT(CHAR(96),CHAR(34)),$G387)),ISNUMBER(SEARCH(_xlfn.CONCAT(CHAR(34),CHAR(39)),$G387))),_xlfn.CONCAT("* REVIEW REQUIRED: compound-quote delimiter in Universe on Sheet 1 row ",387,"; edit the input before running."),_xlfn.CONCAT("char ",TRIM($B387),"[doc_universe] ",CHAR(96),CHAR(34),SUBSTITUTE(SUBSTITUTE(SUBSTITUTE(SUBSTITUTE(SUBSTITUTE(SUBSTITUTE($G387,CHAR(13)," "),CHAR(10)," "),CHAR(9)," "),CHAR(92),_xlfn.CONCAT(CHAR(92),CHAR(92))),"$",_xlfn.CONCAT(CHAR(92),"$")),CHAR(96),_xlfn.CONCAT(CHAR(92),CHAR(96))),CHAR(34),CHAR(39))))</f>
        <v/>
      </c>
      <c r="R387" s="5" t="str">
        <f>IF(OR(TRIM($B387)="",$H387=""),"",IF(OR(ISNUMBER(SEARCH(_xlfn.CONCAT(CHAR(96),CHAR(34)),$H387)),ISNUMBER(SEARCH(_xlfn.CONCAT(CHAR(34),CHAR(39)),$H387))),_xlfn.CONCAT("* REVIEW REQUIRED: compound-quote delimiter in Source on Sheet 1 row ",387,"; edit the input before running."),_xlfn.CONCAT("char ",TRIM($B387),"[doc_source] ",CHAR(96),CHAR(34),SUBSTITUTE(SUBSTITUTE(SUBSTITUTE(SUBSTITUTE(SUBSTITUTE(SUBSTITUTE($H387,CHAR(13)," "),CHAR(10)," "),CHAR(9)," "),CHAR(92),_xlfn.CONCAT(CHAR(92),CHAR(92))),"$",_xlfn.CONCAT(CHAR(92),"$")),CHAR(96),_xlfn.CONCAT(CHAR(92),CHAR(96))),CHAR(34),CHAR(39))))</f>
        <v/>
      </c>
      <c r="S387" s="5" t="str">
        <f>IF(OR(TRIM($B387)="",$I387=""),"",IF(OR(ISNUMBER(SEARCH(_xlfn.CONCAT(CHAR(96),CHAR(34)),$I387)),ISNUMBER(SEARCH(_xlfn.CONCAT(CHAR(34),CHAR(39)),$I387))),_xlfn.CONCAT("* REVIEW REQUIRED: compound-quote delimiter in Derivation on Sheet 1 row ",387,"; edit the input before running."),_xlfn.CONCAT("char ",TRIM($B387),"[doc_derivation] ",CHAR(96),CHAR(34),SUBSTITUTE(SUBSTITUTE(SUBSTITUTE(SUBSTITUTE(SUBSTITUTE(SUBSTITUTE($I387,CHAR(13)," "),CHAR(10)," "),CHAR(9)," "),CHAR(92),_xlfn.CONCAT(CHAR(92),CHAR(92))),"$",_xlfn.CONCAT(CHAR(92),"$")),CHAR(96),_xlfn.CONCAT(CHAR(92),CHAR(96))),CHAR(34),CHAR(39))))</f>
        <v/>
      </c>
      <c r="T387" s="5" t="str">
        <f>IF(OR(TRIM($B387)="",$J387=""),"",IF(OR(ISNUMBER(SEARCH(_xlfn.CONCAT(CHAR(96),CHAR(34)),$J387)),ISNUMBER(SEARCH(_xlfn.CONCAT(CHAR(34),CHAR(39)),$J387))),_xlfn.CONCAT("* REVIEW REQUIRED: compound-quote delimiter in Notes on Sheet 1 row ",387,"; edit the input before running."),_xlfn.CONCAT("char ",TRIM($B387),"[doc_notes] ",CHAR(96),CHAR(34),SUBSTITUTE(SUBSTITUTE(SUBSTITUTE(SUBSTITUTE(SUBSTITUTE(SUBSTITUTE($J387,CHAR(13)," "),CHAR(10)," "),CHAR(9)," "),CHAR(92),_xlfn.CONCAT(CHAR(92),CHAR(92))),"$",_xlfn.CONCAT(CHAR(92),"$")),CHAR(96),_xlfn.CONCAT(CHAR(92),CHAR(96))),CHAR(34),CHAR(39))))</f>
        <v/>
      </c>
      <c r="U387" s="5">
        <f t="shared" si="11"/>
        <v>0</v>
      </c>
    </row>
    <row r="388" spans="3:21" ht="30" customHeight="1" x14ac:dyDescent="0.2">
      <c r="C388" s="4"/>
      <c r="K388" s="5">
        <f t="shared" si="10"/>
        <v>0</v>
      </c>
      <c r="L388" s="5" t="str">
        <f>IF(OR(TRIM($B388)="",$A388=""),"",IF(OR(ISNUMBER(SEARCH(_xlfn.CONCAT(CHAR(96),CHAR(34)),$A388)),ISNUMBER(SEARCH(_xlfn.CONCAT(CHAR(34),CHAR(39)),$A388))),_xlfn.CONCAT("* REVIEW REQUIRED: compound-quote delimiter in Codebook Section on Sheet 1 row ",388,"; edit the input before running."),_xlfn.CONCAT("char ",TRIM($B388),"[doc_section] ",CHAR(96),CHAR(34),SUBSTITUTE(SUBSTITUTE(SUBSTITUTE(SUBSTITUTE(SUBSTITUTE(SUBSTITUTE($A388,CHAR(13)," "),CHAR(10)," "),CHAR(9)," "),CHAR(92),_xlfn.CONCAT(CHAR(92),CHAR(92))),"$",_xlfn.CONCAT(CHAR(92),"$")),CHAR(96),_xlfn.CONCAT(CHAR(92),CHAR(96))),CHAR(34),CHAR(39))))</f>
        <v/>
      </c>
      <c r="M388" s="5" t="str">
        <f>IF(OR(TRIM($B388)="",$C388=""),"",IF(IFERROR(MATCH(TRIM($C388),{"Quantitative","Continuous","Discrete","Categorical","Nominal","Ordinal","Identifier"},0),0)=0,_xlfn.CONCAT("* REVIEW REQUIRED: invalid Variable Type on Sheet 1 row ",388,"."),_xlfn.CONCAT("char ",TRIM($B388),"[doc_vartype] ",CHAR(96),CHAR(34),SUBSTITUTE(SUBSTITUTE(SUBSTITUTE(SUBSTITUTE(SUBSTITUTE(SUBSTITUTE(LOWER(TRIM($C388)),CHAR(13)," "),CHAR(10)," "),CHAR(9)," "),CHAR(92),_xlfn.CONCAT(CHAR(92),CHAR(92))),"$",_xlfn.CONCAT(CHAR(92),"$")),CHAR(96),_xlfn.CONCAT(CHAR(92),CHAR(96))),CHAR(34),CHAR(39))))</f>
        <v/>
      </c>
      <c r="N388" s="5" t="str">
        <f>IF(OR(TRIM($B388)="",$D388=""),"",IF(OR(ISNUMBER(SEARCH(_xlfn.CONCAT(CHAR(96),CHAR(34)),$D388)),ISNUMBER(SEARCH(_xlfn.CONCAT(CHAR(34),CHAR(39)),$D388))),_xlfn.CONCAT("* REVIEW REQUIRED: compound-quote delimiter in Item Number on Sheet 1 row ",388,"; edit the input before running."),_xlfn.CONCAT("char ",TRIM($B388),"[doc_itemnum] ",CHAR(96),CHAR(34),SUBSTITUTE(SUBSTITUTE(SUBSTITUTE(SUBSTITUTE(SUBSTITUTE(SUBSTITUTE($D388,CHAR(13)," "),CHAR(10)," "),CHAR(9)," "),CHAR(92),_xlfn.CONCAT(CHAR(92),CHAR(92))),"$",_xlfn.CONCAT(CHAR(92),"$")),CHAR(96),_xlfn.CONCAT(CHAR(92),CHAR(96))),CHAR(34),CHAR(39))))</f>
        <v/>
      </c>
      <c r="O388" s="5" t="str">
        <f>IF(OR(TRIM($B388)="",$E388=""),"",IF(OR(ISNUMBER(SEARCH(_xlfn.CONCAT(CHAR(96),CHAR(34)),$E388)),ISNUMBER(SEARCH(_xlfn.CONCAT(CHAR(34),CHAR(39)),$E388))),_xlfn.CONCAT("* REVIEW REQUIRED: compound-quote delimiter in Question Wording on Sheet 1 row ",388,"; edit the input before running."),_xlfn.CONCAT("char ",TRIM($B388),"[doc_question] ",CHAR(96),CHAR(34),SUBSTITUTE(SUBSTITUTE(SUBSTITUTE(SUBSTITUTE(SUBSTITUTE(SUBSTITUTE($E388,CHAR(13)," "),CHAR(10)," "),CHAR(9)," "),CHAR(92),_xlfn.CONCAT(CHAR(92),CHAR(92))),"$",_xlfn.CONCAT(CHAR(92),"$")),CHAR(96),_xlfn.CONCAT(CHAR(92),CHAR(96))),CHAR(34),CHAR(39))))</f>
        <v/>
      </c>
      <c r="P388" s="5" t="str">
        <f>IF(OR(TRIM($B388)="",$F388=""),"",IF(OR(ISNUMBER(SEARCH(_xlfn.CONCAT(CHAR(96),CHAR(34)),$F388)),ISNUMBER(SEARCH(_xlfn.CONCAT(CHAR(34),CHAR(39)),$F388))),_xlfn.CONCAT("* REVIEW REQUIRED: compound-quote delimiter in Units on Sheet 1 row ",388,"; edit the input before running."),_xlfn.CONCAT("char ",TRIM($B388),"[doc_units] ",CHAR(96),CHAR(34),SUBSTITUTE(SUBSTITUTE(SUBSTITUTE(SUBSTITUTE(SUBSTITUTE(SUBSTITUTE($F388,CHAR(13)," "),CHAR(10)," "),CHAR(9)," "),CHAR(92),_xlfn.CONCAT(CHAR(92),CHAR(92))),"$",_xlfn.CONCAT(CHAR(92),"$")),CHAR(96),_xlfn.CONCAT(CHAR(92),CHAR(96))),CHAR(34),CHAR(39))))</f>
        <v/>
      </c>
      <c r="Q388" s="5" t="str">
        <f>IF(OR(TRIM($B388)="",$G388=""),"",IF(OR(ISNUMBER(SEARCH(_xlfn.CONCAT(CHAR(96),CHAR(34)),$G388)),ISNUMBER(SEARCH(_xlfn.CONCAT(CHAR(34),CHAR(39)),$G388))),_xlfn.CONCAT("* REVIEW REQUIRED: compound-quote delimiter in Universe on Sheet 1 row ",388,"; edit the input before running."),_xlfn.CONCAT("char ",TRIM($B388),"[doc_universe] ",CHAR(96),CHAR(34),SUBSTITUTE(SUBSTITUTE(SUBSTITUTE(SUBSTITUTE(SUBSTITUTE(SUBSTITUTE($G388,CHAR(13)," "),CHAR(10)," "),CHAR(9)," "),CHAR(92),_xlfn.CONCAT(CHAR(92),CHAR(92))),"$",_xlfn.CONCAT(CHAR(92),"$")),CHAR(96),_xlfn.CONCAT(CHAR(92),CHAR(96))),CHAR(34),CHAR(39))))</f>
        <v/>
      </c>
      <c r="R388" s="5" t="str">
        <f>IF(OR(TRIM($B388)="",$H388=""),"",IF(OR(ISNUMBER(SEARCH(_xlfn.CONCAT(CHAR(96),CHAR(34)),$H388)),ISNUMBER(SEARCH(_xlfn.CONCAT(CHAR(34),CHAR(39)),$H388))),_xlfn.CONCAT("* REVIEW REQUIRED: compound-quote delimiter in Source on Sheet 1 row ",388,"; edit the input before running."),_xlfn.CONCAT("char ",TRIM($B388),"[doc_source] ",CHAR(96),CHAR(34),SUBSTITUTE(SUBSTITUTE(SUBSTITUTE(SUBSTITUTE(SUBSTITUTE(SUBSTITUTE($H388,CHAR(13)," "),CHAR(10)," "),CHAR(9)," "),CHAR(92),_xlfn.CONCAT(CHAR(92),CHAR(92))),"$",_xlfn.CONCAT(CHAR(92),"$")),CHAR(96),_xlfn.CONCAT(CHAR(92),CHAR(96))),CHAR(34),CHAR(39))))</f>
        <v/>
      </c>
      <c r="S388" s="5" t="str">
        <f>IF(OR(TRIM($B388)="",$I388=""),"",IF(OR(ISNUMBER(SEARCH(_xlfn.CONCAT(CHAR(96),CHAR(34)),$I388)),ISNUMBER(SEARCH(_xlfn.CONCAT(CHAR(34),CHAR(39)),$I388))),_xlfn.CONCAT("* REVIEW REQUIRED: compound-quote delimiter in Derivation on Sheet 1 row ",388,"; edit the input before running."),_xlfn.CONCAT("char ",TRIM($B388),"[doc_derivation] ",CHAR(96),CHAR(34),SUBSTITUTE(SUBSTITUTE(SUBSTITUTE(SUBSTITUTE(SUBSTITUTE(SUBSTITUTE($I388,CHAR(13)," "),CHAR(10)," "),CHAR(9)," "),CHAR(92),_xlfn.CONCAT(CHAR(92),CHAR(92))),"$",_xlfn.CONCAT(CHAR(92),"$")),CHAR(96),_xlfn.CONCAT(CHAR(92),CHAR(96))),CHAR(34),CHAR(39))))</f>
        <v/>
      </c>
      <c r="T388" s="5" t="str">
        <f>IF(OR(TRIM($B388)="",$J388=""),"",IF(OR(ISNUMBER(SEARCH(_xlfn.CONCAT(CHAR(96),CHAR(34)),$J388)),ISNUMBER(SEARCH(_xlfn.CONCAT(CHAR(34),CHAR(39)),$J388))),_xlfn.CONCAT("* REVIEW REQUIRED: compound-quote delimiter in Notes on Sheet 1 row ",388,"; edit the input before running."),_xlfn.CONCAT("char ",TRIM($B388),"[doc_notes] ",CHAR(96),CHAR(34),SUBSTITUTE(SUBSTITUTE(SUBSTITUTE(SUBSTITUTE(SUBSTITUTE(SUBSTITUTE($J388,CHAR(13)," "),CHAR(10)," "),CHAR(9)," "),CHAR(92),_xlfn.CONCAT(CHAR(92),CHAR(92))),"$",_xlfn.CONCAT(CHAR(92),"$")),CHAR(96),_xlfn.CONCAT(CHAR(92),CHAR(96))),CHAR(34),CHAR(39))))</f>
        <v/>
      </c>
      <c r="U388" s="5">
        <f t="shared" si="11"/>
        <v>0</v>
      </c>
    </row>
    <row r="389" spans="3:21" ht="30" customHeight="1" x14ac:dyDescent="0.2">
      <c r="C389" s="4"/>
      <c r="K389" s="5">
        <f t="shared" si="10"/>
        <v>0</v>
      </c>
      <c r="L389" s="5" t="str">
        <f>IF(OR(TRIM($B389)="",$A389=""),"",IF(OR(ISNUMBER(SEARCH(_xlfn.CONCAT(CHAR(96),CHAR(34)),$A389)),ISNUMBER(SEARCH(_xlfn.CONCAT(CHAR(34),CHAR(39)),$A389))),_xlfn.CONCAT("* REVIEW REQUIRED: compound-quote delimiter in Codebook Section on Sheet 1 row ",389,"; edit the input before running."),_xlfn.CONCAT("char ",TRIM($B389),"[doc_section] ",CHAR(96),CHAR(34),SUBSTITUTE(SUBSTITUTE(SUBSTITUTE(SUBSTITUTE(SUBSTITUTE(SUBSTITUTE($A389,CHAR(13)," "),CHAR(10)," "),CHAR(9)," "),CHAR(92),_xlfn.CONCAT(CHAR(92),CHAR(92))),"$",_xlfn.CONCAT(CHAR(92),"$")),CHAR(96),_xlfn.CONCAT(CHAR(92),CHAR(96))),CHAR(34),CHAR(39))))</f>
        <v/>
      </c>
      <c r="M389" s="5" t="str">
        <f>IF(OR(TRIM($B389)="",$C389=""),"",IF(IFERROR(MATCH(TRIM($C389),{"Quantitative","Continuous","Discrete","Categorical","Nominal","Ordinal","Identifier"},0),0)=0,_xlfn.CONCAT("* REVIEW REQUIRED: invalid Variable Type on Sheet 1 row ",389,"."),_xlfn.CONCAT("char ",TRIM($B389),"[doc_vartype] ",CHAR(96),CHAR(34),SUBSTITUTE(SUBSTITUTE(SUBSTITUTE(SUBSTITUTE(SUBSTITUTE(SUBSTITUTE(LOWER(TRIM($C389)),CHAR(13)," "),CHAR(10)," "),CHAR(9)," "),CHAR(92),_xlfn.CONCAT(CHAR(92),CHAR(92))),"$",_xlfn.CONCAT(CHAR(92),"$")),CHAR(96),_xlfn.CONCAT(CHAR(92),CHAR(96))),CHAR(34),CHAR(39))))</f>
        <v/>
      </c>
      <c r="N389" s="5" t="str">
        <f>IF(OR(TRIM($B389)="",$D389=""),"",IF(OR(ISNUMBER(SEARCH(_xlfn.CONCAT(CHAR(96),CHAR(34)),$D389)),ISNUMBER(SEARCH(_xlfn.CONCAT(CHAR(34),CHAR(39)),$D389))),_xlfn.CONCAT("* REVIEW REQUIRED: compound-quote delimiter in Item Number on Sheet 1 row ",389,"; edit the input before running."),_xlfn.CONCAT("char ",TRIM($B389),"[doc_itemnum] ",CHAR(96),CHAR(34),SUBSTITUTE(SUBSTITUTE(SUBSTITUTE(SUBSTITUTE(SUBSTITUTE(SUBSTITUTE($D389,CHAR(13)," "),CHAR(10)," "),CHAR(9)," "),CHAR(92),_xlfn.CONCAT(CHAR(92),CHAR(92))),"$",_xlfn.CONCAT(CHAR(92),"$")),CHAR(96),_xlfn.CONCAT(CHAR(92),CHAR(96))),CHAR(34),CHAR(39))))</f>
        <v/>
      </c>
      <c r="O389" s="5" t="str">
        <f>IF(OR(TRIM($B389)="",$E389=""),"",IF(OR(ISNUMBER(SEARCH(_xlfn.CONCAT(CHAR(96),CHAR(34)),$E389)),ISNUMBER(SEARCH(_xlfn.CONCAT(CHAR(34),CHAR(39)),$E389))),_xlfn.CONCAT("* REVIEW REQUIRED: compound-quote delimiter in Question Wording on Sheet 1 row ",389,"; edit the input before running."),_xlfn.CONCAT("char ",TRIM($B389),"[doc_question] ",CHAR(96),CHAR(34),SUBSTITUTE(SUBSTITUTE(SUBSTITUTE(SUBSTITUTE(SUBSTITUTE(SUBSTITUTE($E389,CHAR(13)," "),CHAR(10)," "),CHAR(9)," "),CHAR(92),_xlfn.CONCAT(CHAR(92),CHAR(92))),"$",_xlfn.CONCAT(CHAR(92),"$")),CHAR(96),_xlfn.CONCAT(CHAR(92),CHAR(96))),CHAR(34),CHAR(39))))</f>
        <v/>
      </c>
      <c r="P389" s="5" t="str">
        <f>IF(OR(TRIM($B389)="",$F389=""),"",IF(OR(ISNUMBER(SEARCH(_xlfn.CONCAT(CHAR(96),CHAR(34)),$F389)),ISNUMBER(SEARCH(_xlfn.CONCAT(CHAR(34),CHAR(39)),$F389))),_xlfn.CONCAT("* REVIEW REQUIRED: compound-quote delimiter in Units on Sheet 1 row ",389,"; edit the input before running."),_xlfn.CONCAT("char ",TRIM($B389),"[doc_units] ",CHAR(96),CHAR(34),SUBSTITUTE(SUBSTITUTE(SUBSTITUTE(SUBSTITUTE(SUBSTITUTE(SUBSTITUTE($F389,CHAR(13)," "),CHAR(10)," "),CHAR(9)," "),CHAR(92),_xlfn.CONCAT(CHAR(92),CHAR(92))),"$",_xlfn.CONCAT(CHAR(92),"$")),CHAR(96),_xlfn.CONCAT(CHAR(92),CHAR(96))),CHAR(34),CHAR(39))))</f>
        <v/>
      </c>
      <c r="Q389" s="5" t="str">
        <f>IF(OR(TRIM($B389)="",$G389=""),"",IF(OR(ISNUMBER(SEARCH(_xlfn.CONCAT(CHAR(96),CHAR(34)),$G389)),ISNUMBER(SEARCH(_xlfn.CONCAT(CHAR(34),CHAR(39)),$G389))),_xlfn.CONCAT("* REVIEW REQUIRED: compound-quote delimiter in Universe on Sheet 1 row ",389,"; edit the input before running."),_xlfn.CONCAT("char ",TRIM($B389),"[doc_universe] ",CHAR(96),CHAR(34),SUBSTITUTE(SUBSTITUTE(SUBSTITUTE(SUBSTITUTE(SUBSTITUTE(SUBSTITUTE($G389,CHAR(13)," "),CHAR(10)," "),CHAR(9)," "),CHAR(92),_xlfn.CONCAT(CHAR(92),CHAR(92))),"$",_xlfn.CONCAT(CHAR(92),"$")),CHAR(96),_xlfn.CONCAT(CHAR(92),CHAR(96))),CHAR(34),CHAR(39))))</f>
        <v/>
      </c>
      <c r="R389" s="5" t="str">
        <f>IF(OR(TRIM($B389)="",$H389=""),"",IF(OR(ISNUMBER(SEARCH(_xlfn.CONCAT(CHAR(96),CHAR(34)),$H389)),ISNUMBER(SEARCH(_xlfn.CONCAT(CHAR(34),CHAR(39)),$H389))),_xlfn.CONCAT("* REVIEW REQUIRED: compound-quote delimiter in Source on Sheet 1 row ",389,"; edit the input before running."),_xlfn.CONCAT("char ",TRIM($B389),"[doc_source] ",CHAR(96),CHAR(34),SUBSTITUTE(SUBSTITUTE(SUBSTITUTE(SUBSTITUTE(SUBSTITUTE(SUBSTITUTE($H389,CHAR(13)," "),CHAR(10)," "),CHAR(9)," "),CHAR(92),_xlfn.CONCAT(CHAR(92),CHAR(92))),"$",_xlfn.CONCAT(CHAR(92),"$")),CHAR(96),_xlfn.CONCAT(CHAR(92),CHAR(96))),CHAR(34),CHAR(39))))</f>
        <v/>
      </c>
      <c r="S389" s="5" t="str">
        <f>IF(OR(TRIM($B389)="",$I389=""),"",IF(OR(ISNUMBER(SEARCH(_xlfn.CONCAT(CHAR(96),CHAR(34)),$I389)),ISNUMBER(SEARCH(_xlfn.CONCAT(CHAR(34),CHAR(39)),$I389))),_xlfn.CONCAT("* REVIEW REQUIRED: compound-quote delimiter in Derivation on Sheet 1 row ",389,"; edit the input before running."),_xlfn.CONCAT("char ",TRIM($B389),"[doc_derivation] ",CHAR(96),CHAR(34),SUBSTITUTE(SUBSTITUTE(SUBSTITUTE(SUBSTITUTE(SUBSTITUTE(SUBSTITUTE($I389,CHAR(13)," "),CHAR(10)," "),CHAR(9)," "),CHAR(92),_xlfn.CONCAT(CHAR(92),CHAR(92))),"$",_xlfn.CONCAT(CHAR(92),"$")),CHAR(96),_xlfn.CONCAT(CHAR(92),CHAR(96))),CHAR(34),CHAR(39))))</f>
        <v/>
      </c>
      <c r="T389" s="5" t="str">
        <f>IF(OR(TRIM($B389)="",$J389=""),"",IF(OR(ISNUMBER(SEARCH(_xlfn.CONCAT(CHAR(96),CHAR(34)),$J389)),ISNUMBER(SEARCH(_xlfn.CONCAT(CHAR(34),CHAR(39)),$J389))),_xlfn.CONCAT("* REVIEW REQUIRED: compound-quote delimiter in Notes on Sheet 1 row ",389,"; edit the input before running."),_xlfn.CONCAT("char ",TRIM($B389),"[doc_notes] ",CHAR(96),CHAR(34),SUBSTITUTE(SUBSTITUTE(SUBSTITUTE(SUBSTITUTE(SUBSTITUTE(SUBSTITUTE($J389,CHAR(13)," "),CHAR(10)," "),CHAR(9)," "),CHAR(92),_xlfn.CONCAT(CHAR(92),CHAR(92))),"$",_xlfn.CONCAT(CHAR(92),"$")),CHAR(96),_xlfn.CONCAT(CHAR(92),CHAR(96))),CHAR(34),CHAR(39))))</f>
        <v/>
      </c>
      <c r="U389" s="5">
        <f t="shared" si="11"/>
        <v>0</v>
      </c>
    </row>
    <row r="390" spans="3:21" ht="30" customHeight="1" x14ac:dyDescent="0.2">
      <c r="C390" s="4"/>
      <c r="K390" s="5">
        <f t="shared" si="10"/>
        <v>0</v>
      </c>
      <c r="L390" s="5" t="str">
        <f>IF(OR(TRIM($B390)="",$A390=""),"",IF(OR(ISNUMBER(SEARCH(_xlfn.CONCAT(CHAR(96),CHAR(34)),$A390)),ISNUMBER(SEARCH(_xlfn.CONCAT(CHAR(34),CHAR(39)),$A390))),_xlfn.CONCAT("* REVIEW REQUIRED: compound-quote delimiter in Codebook Section on Sheet 1 row ",390,"; edit the input before running."),_xlfn.CONCAT("char ",TRIM($B390),"[doc_section] ",CHAR(96),CHAR(34),SUBSTITUTE(SUBSTITUTE(SUBSTITUTE(SUBSTITUTE(SUBSTITUTE(SUBSTITUTE($A390,CHAR(13)," "),CHAR(10)," "),CHAR(9)," "),CHAR(92),_xlfn.CONCAT(CHAR(92),CHAR(92))),"$",_xlfn.CONCAT(CHAR(92),"$")),CHAR(96),_xlfn.CONCAT(CHAR(92),CHAR(96))),CHAR(34),CHAR(39))))</f>
        <v/>
      </c>
      <c r="M390" s="5" t="str">
        <f>IF(OR(TRIM($B390)="",$C390=""),"",IF(IFERROR(MATCH(TRIM($C390),{"Quantitative","Continuous","Discrete","Categorical","Nominal","Ordinal","Identifier"},0),0)=0,_xlfn.CONCAT("* REVIEW REQUIRED: invalid Variable Type on Sheet 1 row ",390,"."),_xlfn.CONCAT("char ",TRIM($B390),"[doc_vartype] ",CHAR(96),CHAR(34),SUBSTITUTE(SUBSTITUTE(SUBSTITUTE(SUBSTITUTE(SUBSTITUTE(SUBSTITUTE(LOWER(TRIM($C390)),CHAR(13)," "),CHAR(10)," "),CHAR(9)," "),CHAR(92),_xlfn.CONCAT(CHAR(92),CHAR(92))),"$",_xlfn.CONCAT(CHAR(92),"$")),CHAR(96),_xlfn.CONCAT(CHAR(92),CHAR(96))),CHAR(34),CHAR(39))))</f>
        <v/>
      </c>
      <c r="N390" s="5" t="str">
        <f>IF(OR(TRIM($B390)="",$D390=""),"",IF(OR(ISNUMBER(SEARCH(_xlfn.CONCAT(CHAR(96),CHAR(34)),$D390)),ISNUMBER(SEARCH(_xlfn.CONCAT(CHAR(34),CHAR(39)),$D390))),_xlfn.CONCAT("* REVIEW REQUIRED: compound-quote delimiter in Item Number on Sheet 1 row ",390,"; edit the input before running."),_xlfn.CONCAT("char ",TRIM($B390),"[doc_itemnum] ",CHAR(96),CHAR(34),SUBSTITUTE(SUBSTITUTE(SUBSTITUTE(SUBSTITUTE(SUBSTITUTE(SUBSTITUTE($D390,CHAR(13)," "),CHAR(10)," "),CHAR(9)," "),CHAR(92),_xlfn.CONCAT(CHAR(92),CHAR(92))),"$",_xlfn.CONCAT(CHAR(92),"$")),CHAR(96),_xlfn.CONCAT(CHAR(92),CHAR(96))),CHAR(34),CHAR(39))))</f>
        <v/>
      </c>
      <c r="O390" s="5" t="str">
        <f>IF(OR(TRIM($B390)="",$E390=""),"",IF(OR(ISNUMBER(SEARCH(_xlfn.CONCAT(CHAR(96),CHAR(34)),$E390)),ISNUMBER(SEARCH(_xlfn.CONCAT(CHAR(34),CHAR(39)),$E390))),_xlfn.CONCAT("* REVIEW REQUIRED: compound-quote delimiter in Question Wording on Sheet 1 row ",390,"; edit the input before running."),_xlfn.CONCAT("char ",TRIM($B390),"[doc_question] ",CHAR(96),CHAR(34),SUBSTITUTE(SUBSTITUTE(SUBSTITUTE(SUBSTITUTE(SUBSTITUTE(SUBSTITUTE($E390,CHAR(13)," "),CHAR(10)," "),CHAR(9)," "),CHAR(92),_xlfn.CONCAT(CHAR(92),CHAR(92))),"$",_xlfn.CONCAT(CHAR(92),"$")),CHAR(96),_xlfn.CONCAT(CHAR(92),CHAR(96))),CHAR(34),CHAR(39))))</f>
        <v/>
      </c>
      <c r="P390" s="5" t="str">
        <f>IF(OR(TRIM($B390)="",$F390=""),"",IF(OR(ISNUMBER(SEARCH(_xlfn.CONCAT(CHAR(96),CHAR(34)),$F390)),ISNUMBER(SEARCH(_xlfn.CONCAT(CHAR(34),CHAR(39)),$F390))),_xlfn.CONCAT("* REVIEW REQUIRED: compound-quote delimiter in Units on Sheet 1 row ",390,"; edit the input before running."),_xlfn.CONCAT("char ",TRIM($B390),"[doc_units] ",CHAR(96),CHAR(34),SUBSTITUTE(SUBSTITUTE(SUBSTITUTE(SUBSTITUTE(SUBSTITUTE(SUBSTITUTE($F390,CHAR(13)," "),CHAR(10)," "),CHAR(9)," "),CHAR(92),_xlfn.CONCAT(CHAR(92),CHAR(92))),"$",_xlfn.CONCAT(CHAR(92),"$")),CHAR(96),_xlfn.CONCAT(CHAR(92),CHAR(96))),CHAR(34),CHAR(39))))</f>
        <v/>
      </c>
      <c r="Q390" s="5" t="str">
        <f>IF(OR(TRIM($B390)="",$G390=""),"",IF(OR(ISNUMBER(SEARCH(_xlfn.CONCAT(CHAR(96),CHAR(34)),$G390)),ISNUMBER(SEARCH(_xlfn.CONCAT(CHAR(34),CHAR(39)),$G390))),_xlfn.CONCAT("* REVIEW REQUIRED: compound-quote delimiter in Universe on Sheet 1 row ",390,"; edit the input before running."),_xlfn.CONCAT("char ",TRIM($B390),"[doc_universe] ",CHAR(96),CHAR(34),SUBSTITUTE(SUBSTITUTE(SUBSTITUTE(SUBSTITUTE(SUBSTITUTE(SUBSTITUTE($G390,CHAR(13)," "),CHAR(10)," "),CHAR(9)," "),CHAR(92),_xlfn.CONCAT(CHAR(92),CHAR(92))),"$",_xlfn.CONCAT(CHAR(92),"$")),CHAR(96),_xlfn.CONCAT(CHAR(92),CHAR(96))),CHAR(34),CHAR(39))))</f>
        <v/>
      </c>
      <c r="R390" s="5" t="str">
        <f>IF(OR(TRIM($B390)="",$H390=""),"",IF(OR(ISNUMBER(SEARCH(_xlfn.CONCAT(CHAR(96),CHAR(34)),$H390)),ISNUMBER(SEARCH(_xlfn.CONCAT(CHAR(34),CHAR(39)),$H390))),_xlfn.CONCAT("* REVIEW REQUIRED: compound-quote delimiter in Source on Sheet 1 row ",390,"; edit the input before running."),_xlfn.CONCAT("char ",TRIM($B390),"[doc_source] ",CHAR(96),CHAR(34),SUBSTITUTE(SUBSTITUTE(SUBSTITUTE(SUBSTITUTE(SUBSTITUTE(SUBSTITUTE($H390,CHAR(13)," "),CHAR(10)," "),CHAR(9)," "),CHAR(92),_xlfn.CONCAT(CHAR(92),CHAR(92))),"$",_xlfn.CONCAT(CHAR(92),"$")),CHAR(96),_xlfn.CONCAT(CHAR(92),CHAR(96))),CHAR(34),CHAR(39))))</f>
        <v/>
      </c>
      <c r="S390" s="5" t="str">
        <f>IF(OR(TRIM($B390)="",$I390=""),"",IF(OR(ISNUMBER(SEARCH(_xlfn.CONCAT(CHAR(96),CHAR(34)),$I390)),ISNUMBER(SEARCH(_xlfn.CONCAT(CHAR(34),CHAR(39)),$I390))),_xlfn.CONCAT("* REVIEW REQUIRED: compound-quote delimiter in Derivation on Sheet 1 row ",390,"; edit the input before running."),_xlfn.CONCAT("char ",TRIM($B390),"[doc_derivation] ",CHAR(96),CHAR(34),SUBSTITUTE(SUBSTITUTE(SUBSTITUTE(SUBSTITUTE(SUBSTITUTE(SUBSTITUTE($I390,CHAR(13)," "),CHAR(10)," "),CHAR(9)," "),CHAR(92),_xlfn.CONCAT(CHAR(92),CHAR(92))),"$",_xlfn.CONCAT(CHAR(92),"$")),CHAR(96),_xlfn.CONCAT(CHAR(92),CHAR(96))),CHAR(34),CHAR(39))))</f>
        <v/>
      </c>
      <c r="T390" s="5" t="str">
        <f>IF(OR(TRIM($B390)="",$J390=""),"",IF(OR(ISNUMBER(SEARCH(_xlfn.CONCAT(CHAR(96),CHAR(34)),$J390)),ISNUMBER(SEARCH(_xlfn.CONCAT(CHAR(34),CHAR(39)),$J390))),_xlfn.CONCAT("* REVIEW REQUIRED: compound-quote delimiter in Notes on Sheet 1 row ",390,"; edit the input before running."),_xlfn.CONCAT("char ",TRIM($B390),"[doc_notes] ",CHAR(96),CHAR(34),SUBSTITUTE(SUBSTITUTE(SUBSTITUTE(SUBSTITUTE(SUBSTITUTE(SUBSTITUTE($J390,CHAR(13)," "),CHAR(10)," "),CHAR(9)," "),CHAR(92),_xlfn.CONCAT(CHAR(92),CHAR(92))),"$",_xlfn.CONCAT(CHAR(92),"$")),CHAR(96),_xlfn.CONCAT(CHAR(92),CHAR(96))),CHAR(34),CHAR(39))))</f>
        <v/>
      </c>
      <c r="U390" s="5">
        <f t="shared" si="11"/>
        <v>0</v>
      </c>
    </row>
    <row r="391" spans="3:21" ht="30" customHeight="1" x14ac:dyDescent="0.2">
      <c r="C391" s="4"/>
      <c r="K391" s="5">
        <f t="shared" si="10"/>
        <v>0</v>
      </c>
      <c r="L391" s="5" t="str">
        <f>IF(OR(TRIM($B391)="",$A391=""),"",IF(OR(ISNUMBER(SEARCH(_xlfn.CONCAT(CHAR(96),CHAR(34)),$A391)),ISNUMBER(SEARCH(_xlfn.CONCAT(CHAR(34),CHAR(39)),$A391))),_xlfn.CONCAT("* REVIEW REQUIRED: compound-quote delimiter in Codebook Section on Sheet 1 row ",391,"; edit the input before running."),_xlfn.CONCAT("char ",TRIM($B391),"[doc_section] ",CHAR(96),CHAR(34),SUBSTITUTE(SUBSTITUTE(SUBSTITUTE(SUBSTITUTE(SUBSTITUTE(SUBSTITUTE($A391,CHAR(13)," "),CHAR(10)," "),CHAR(9)," "),CHAR(92),_xlfn.CONCAT(CHAR(92),CHAR(92))),"$",_xlfn.CONCAT(CHAR(92),"$")),CHAR(96),_xlfn.CONCAT(CHAR(92),CHAR(96))),CHAR(34),CHAR(39))))</f>
        <v/>
      </c>
      <c r="M391" s="5" t="str">
        <f>IF(OR(TRIM($B391)="",$C391=""),"",IF(IFERROR(MATCH(TRIM($C391),{"Quantitative","Continuous","Discrete","Categorical","Nominal","Ordinal","Identifier"},0),0)=0,_xlfn.CONCAT("* REVIEW REQUIRED: invalid Variable Type on Sheet 1 row ",391,"."),_xlfn.CONCAT("char ",TRIM($B391),"[doc_vartype] ",CHAR(96),CHAR(34),SUBSTITUTE(SUBSTITUTE(SUBSTITUTE(SUBSTITUTE(SUBSTITUTE(SUBSTITUTE(LOWER(TRIM($C391)),CHAR(13)," "),CHAR(10)," "),CHAR(9)," "),CHAR(92),_xlfn.CONCAT(CHAR(92),CHAR(92))),"$",_xlfn.CONCAT(CHAR(92),"$")),CHAR(96),_xlfn.CONCAT(CHAR(92),CHAR(96))),CHAR(34),CHAR(39))))</f>
        <v/>
      </c>
      <c r="N391" s="5" t="str">
        <f>IF(OR(TRIM($B391)="",$D391=""),"",IF(OR(ISNUMBER(SEARCH(_xlfn.CONCAT(CHAR(96),CHAR(34)),$D391)),ISNUMBER(SEARCH(_xlfn.CONCAT(CHAR(34),CHAR(39)),$D391))),_xlfn.CONCAT("* REVIEW REQUIRED: compound-quote delimiter in Item Number on Sheet 1 row ",391,"; edit the input before running."),_xlfn.CONCAT("char ",TRIM($B391),"[doc_itemnum] ",CHAR(96),CHAR(34),SUBSTITUTE(SUBSTITUTE(SUBSTITUTE(SUBSTITUTE(SUBSTITUTE(SUBSTITUTE($D391,CHAR(13)," "),CHAR(10)," "),CHAR(9)," "),CHAR(92),_xlfn.CONCAT(CHAR(92),CHAR(92))),"$",_xlfn.CONCAT(CHAR(92),"$")),CHAR(96),_xlfn.CONCAT(CHAR(92),CHAR(96))),CHAR(34),CHAR(39))))</f>
        <v/>
      </c>
      <c r="O391" s="5" t="str">
        <f>IF(OR(TRIM($B391)="",$E391=""),"",IF(OR(ISNUMBER(SEARCH(_xlfn.CONCAT(CHAR(96),CHAR(34)),$E391)),ISNUMBER(SEARCH(_xlfn.CONCAT(CHAR(34),CHAR(39)),$E391))),_xlfn.CONCAT("* REVIEW REQUIRED: compound-quote delimiter in Question Wording on Sheet 1 row ",391,"; edit the input before running."),_xlfn.CONCAT("char ",TRIM($B391),"[doc_question] ",CHAR(96),CHAR(34),SUBSTITUTE(SUBSTITUTE(SUBSTITUTE(SUBSTITUTE(SUBSTITUTE(SUBSTITUTE($E391,CHAR(13)," "),CHAR(10)," "),CHAR(9)," "),CHAR(92),_xlfn.CONCAT(CHAR(92),CHAR(92))),"$",_xlfn.CONCAT(CHAR(92),"$")),CHAR(96),_xlfn.CONCAT(CHAR(92),CHAR(96))),CHAR(34),CHAR(39))))</f>
        <v/>
      </c>
      <c r="P391" s="5" t="str">
        <f>IF(OR(TRIM($B391)="",$F391=""),"",IF(OR(ISNUMBER(SEARCH(_xlfn.CONCAT(CHAR(96),CHAR(34)),$F391)),ISNUMBER(SEARCH(_xlfn.CONCAT(CHAR(34),CHAR(39)),$F391))),_xlfn.CONCAT("* REVIEW REQUIRED: compound-quote delimiter in Units on Sheet 1 row ",391,"; edit the input before running."),_xlfn.CONCAT("char ",TRIM($B391),"[doc_units] ",CHAR(96),CHAR(34),SUBSTITUTE(SUBSTITUTE(SUBSTITUTE(SUBSTITUTE(SUBSTITUTE(SUBSTITUTE($F391,CHAR(13)," "),CHAR(10)," "),CHAR(9)," "),CHAR(92),_xlfn.CONCAT(CHAR(92),CHAR(92))),"$",_xlfn.CONCAT(CHAR(92),"$")),CHAR(96),_xlfn.CONCAT(CHAR(92),CHAR(96))),CHAR(34),CHAR(39))))</f>
        <v/>
      </c>
      <c r="Q391" s="5" t="str">
        <f>IF(OR(TRIM($B391)="",$G391=""),"",IF(OR(ISNUMBER(SEARCH(_xlfn.CONCAT(CHAR(96),CHAR(34)),$G391)),ISNUMBER(SEARCH(_xlfn.CONCAT(CHAR(34),CHAR(39)),$G391))),_xlfn.CONCAT("* REVIEW REQUIRED: compound-quote delimiter in Universe on Sheet 1 row ",391,"; edit the input before running."),_xlfn.CONCAT("char ",TRIM($B391),"[doc_universe] ",CHAR(96),CHAR(34),SUBSTITUTE(SUBSTITUTE(SUBSTITUTE(SUBSTITUTE(SUBSTITUTE(SUBSTITUTE($G391,CHAR(13)," "),CHAR(10)," "),CHAR(9)," "),CHAR(92),_xlfn.CONCAT(CHAR(92),CHAR(92))),"$",_xlfn.CONCAT(CHAR(92),"$")),CHAR(96),_xlfn.CONCAT(CHAR(92),CHAR(96))),CHAR(34),CHAR(39))))</f>
        <v/>
      </c>
      <c r="R391" s="5" t="str">
        <f>IF(OR(TRIM($B391)="",$H391=""),"",IF(OR(ISNUMBER(SEARCH(_xlfn.CONCAT(CHAR(96),CHAR(34)),$H391)),ISNUMBER(SEARCH(_xlfn.CONCAT(CHAR(34),CHAR(39)),$H391))),_xlfn.CONCAT("* REVIEW REQUIRED: compound-quote delimiter in Source on Sheet 1 row ",391,"; edit the input before running."),_xlfn.CONCAT("char ",TRIM($B391),"[doc_source] ",CHAR(96),CHAR(34),SUBSTITUTE(SUBSTITUTE(SUBSTITUTE(SUBSTITUTE(SUBSTITUTE(SUBSTITUTE($H391,CHAR(13)," "),CHAR(10)," "),CHAR(9)," "),CHAR(92),_xlfn.CONCAT(CHAR(92),CHAR(92))),"$",_xlfn.CONCAT(CHAR(92),"$")),CHAR(96),_xlfn.CONCAT(CHAR(92),CHAR(96))),CHAR(34),CHAR(39))))</f>
        <v/>
      </c>
      <c r="S391" s="5" t="str">
        <f>IF(OR(TRIM($B391)="",$I391=""),"",IF(OR(ISNUMBER(SEARCH(_xlfn.CONCAT(CHAR(96),CHAR(34)),$I391)),ISNUMBER(SEARCH(_xlfn.CONCAT(CHAR(34),CHAR(39)),$I391))),_xlfn.CONCAT("* REVIEW REQUIRED: compound-quote delimiter in Derivation on Sheet 1 row ",391,"; edit the input before running."),_xlfn.CONCAT("char ",TRIM($B391),"[doc_derivation] ",CHAR(96),CHAR(34),SUBSTITUTE(SUBSTITUTE(SUBSTITUTE(SUBSTITUTE(SUBSTITUTE(SUBSTITUTE($I391,CHAR(13)," "),CHAR(10)," "),CHAR(9)," "),CHAR(92),_xlfn.CONCAT(CHAR(92),CHAR(92))),"$",_xlfn.CONCAT(CHAR(92),"$")),CHAR(96),_xlfn.CONCAT(CHAR(92),CHAR(96))),CHAR(34),CHAR(39))))</f>
        <v/>
      </c>
      <c r="T391" s="5" t="str">
        <f>IF(OR(TRIM($B391)="",$J391=""),"",IF(OR(ISNUMBER(SEARCH(_xlfn.CONCAT(CHAR(96),CHAR(34)),$J391)),ISNUMBER(SEARCH(_xlfn.CONCAT(CHAR(34),CHAR(39)),$J391))),_xlfn.CONCAT("* REVIEW REQUIRED: compound-quote delimiter in Notes on Sheet 1 row ",391,"; edit the input before running."),_xlfn.CONCAT("char ",TRIM($B391),"[doc_notes] ",CHAR(96),CHAR(34),SUBSTITUTE(SUBSTITUTE(SUBSTITUTE(SUBSTITUTE(SUBSTITUTE(SUBSTITUTE($J391,CHAR(13)," "),CHAR(10)," "),CHAR(9)," "),CHAR(92),_xlfn.CONCAT(CHAR(92),CHAR(92))),"$",_xlfn.CONCAT(CHAR(92),"$")),CHAR(96),_xlfn.CONCAT(CHAR(92),CHAR(96))),CHAR(34),CHAR(39))))</f>
        <v/>
      </c>
      <c r="U391" s="5">
        <f t="shared" si="11"/>
        <v>0</v>
      </c>
    </row>
    <row r="392" spans="3:21" ht="30" customHeight="1" x14ac:dyDescent="0.2">
      <c r="C392" s="4"/>
      <c r="K392" s="5">
        <f t="shared" si="10"/>
        <v>0</v>
      </c>
      <c r="L392" s="5" t="str">
        <f>IF(OR(TRIM($B392)="",$A392=""),"",IF(OR(ISNUMBER(SEARCH(_xlfn.CONCAT(CHAR(96),CHAR(34)),$A392)),ISNUMBER(SEARCH(_xlfn.CONCAT(CHAR(34),CHAR(39)),$A392))),_xlfn.CONCAT("* REVIEW REQUIRED: compound-quote delimiter in Codebook Section on Sheet 1 row ",392,"; edit the input before running."),_xlfn.CONCAT("char ",TRIM($B392),"[doc_section] ",CHAR(96),CHAR(34),SUBSTITUTE(SUBSTITUTE(SUBSTITUTE(SUBSTITUTE(SUBSTITUTE(SUBSTITUTE($A392,CHAR(13)," "),CHAR(10)," "),CHAR(9)," "),CHAR(92),_xlfn.CONCAT(CHAR(92),CHAR(92))),"$",_xlfn.CONCAT(CHAR(92),"$")),CHAR(96),_xlfn.CONCAT(CHAR(92),CHAR(96))),CHAR(34),CHAR(39))))</f>
        <v/>
      </c>
      <c r="M392" s="5" t="str">
        <f>IF(OR(TRIM($B392)="",$C392=""),"",IF(IFERROR(MATCH(TRIM($C392),{"Quantitative","Continuous","Discrete","Categorical","Nominal","Ordinal","Identifier"},0),0)=0,_xlfn.CONCAT("* REVIEW REQUIRED: invalid Variable Type on Sheet 1 row ",392,"."),_xlfn.CONCAT("char ",TRIM($B392),"[doc_vartype] ",CHAR(96),CHAR(34),SUBSTITUTE(SUBSTITUTE(SUBSTITUTE(SUBSTITUTE(SUBSTITUTE(SUBSTITUTE(LOWER(TRIM($C392)),CHAR(13)," "),CHAR(10)," "),CHAR(9)," "),CHAR(92),_xlfn.CONCAT(CHAR(92),CHAR(92))),"$",_xlfn.CONCAT(CHAR(92),"$")),CHAR(96),_xlfn.CONCAT(CHAR(92),CHAR(96))),CHAR(34),CHAR(39))))</f>
        <v/>
      </c>
      <c r="N392" s="5" t="str">
        <f>IF(OR(TRIM($B392)="",$D392=""),"",IF(OR(ISNUMBER(SEARCH(_xlfn.CONCAT(CHAR(96),CHAR(34)),$D392)),ISNUMBER(SEARCH(_xlfn.CONCAT(CHAR(34),CHAR(39)),$D392))),_xlfn.CONCAT("* REVIEW REQUIRED: compound-quote delimiter in Item Number on Sheet 1 row ",392,"; edit the input before running."),_xlfn.CONCAT("char ",TRIM($B392),"[doc_itemnum] ",CHAR(96),CHAR(34),SUBSTITUTE(SUBSTITUTE(SUBSTITUTE(SUBSTITUTE(SUBSTITUTE(SUBSTITUTE($D392,CHAR(13)," "),CHAR(10)," "),CHAR(9)," "),CHAR(92),_xlfn.CONCAT(CHAR(92),CHAR(92))),"$",_xlfn.CONCAT(CHAR(92),"$")),CHAR(96),_xlfn.CONCAT(CHAR(92),CHAR(96))),CHAR(34),CHAR(39))))</f>
        <v/>
      </c>
      <c r="O392" s="5" t="str">
        <f>IF(OR(TRIM($B392)="",$E392=""),"",IF(OR(ISNUMBER(SEARCH(_xlfn.CONCAT(CHAR(96),CHAR(34)),$E392)),ISNUMBER(SEARCH(_xlfn.CONCAT(CHAR(34),CHAR(39)),$E392))),_xlfn.CONCAT("* REVIEW REQUIRED: compound-quote delimiter in Question Wording on Sheet 1 row ",392,"; edit the input before running."),_xlfn.CONCAT("char ",TRIM($B392),"[doc_question] ",CHAR(96),CHAR(34),SUBSTITUTE(SUBSTITUTE(SUBSTITUTE(SUBSTITUTE(SUBSTITUTE(SUBSTITUTE($E392,CHAR(13)," "),CHAR(10)," "),CHAR(9)," "),CHAR(92),_xlfn.CONCAT(CHAR(92),CHAR(92))),"$",_xlfn.CONCAT(CHAR(92),"$")),CHAR(96),_xlfn.CONCAT(CHAR(92),CHAR(96))),CHAR(34),CHAR(39))))</f>
        <v/>
      </c>
      <c r="P392" s="5" t="str">
        <f>IF(OR(TRIM($B392)="",$F392=""),"",IF(OR(ISNUMBER(SEARCH(_xlfn.CONCAT(CHAR(96),CHAR(34)),$F392)),ISNUMBER(SEARCH(_xlfn.CONCAT(CHAR(34),CHAR(39)),$F392))),_xlfn.CONCAT("* REVIEW REQUIRED: compound-quote delimiter in Units on Sheet 1 row ",392,"; edit the input before running."),_xlfn.CONCAT("char ",TRIM($B392),"[doc_units] ",CHAR(96),CHAR(34),SUBSTITUTE(SUBSTITUTE(SUBSTITUTE(SUBSTITUTE(SUBSTITUTE(SUBSTITUTE($F392,CHAR(13)," "),CHAR(10)," "),CHAR(9)," "),CHAR(92),_xlfn.CONCAT(CHAR(92),CHAR(92))),"$",_xlfn.CONCAT(CHAR(92),"$")),CHAR(96),_xlfn.CONCAT(CHAR(92),CHAR(96))),CHAR(34),CHAR(39))))</f>
        <v/>
      </c>
      <c r="Q392" s="5" t="str">
        <f>IF(OR(TRIM($B392)="",$G392=""),"",IF(OR(ISNUMBER(SEARCH(_xlfn.CONCAT(CHAR(96),CHAR(34)),$G392)),ISNUMBER(SEARCH(_xlfn.CONCAT(CHAR(34),CHAR(39)),$G392))),_xlfn.CONCAT("* REVIEW REQUIRED: compound-quote delimiter in Universe on Sheet 1 row ",392,"; edit the input before running."),_xlfn.CONCAT("char ",TRIM($B392),"[doc_universe] ",CHAR(96),CHAR(34),SUBSTITUTE(SUBSTITUTE(SUBSTITUTE(SUBSTITUTE(SUBSTITUTE(SUBSTITUTE($G392,CHAR(13)," "),CHAR(10)," "),CHAR(9)," "),CHAR(92),_xlfn.CONCAT(CHAR(92),CHAR(92))),"$",_xlfn.CONCAT(CHAR(92),"$")),CHAR(96),_xlfn.CONCAT(CHAR(92),CHAR(96))),CHAR(34),CHAR(39))))</f>
        <v/>
      </c>
      <c r="R392" s="5" t="str">
        <f>IF(OR(TRIM($B392)="",$H392=""),"",IF(OR(ISNUMBER(SEARCH(_xlfn.CONCAT(CHAR(96),CHAR(34)),$H392)),ISNUMBER(SEARCH(_xlfn.CONCAT(CHAR(34),CHAR(39)),$H392))),_xlfn.CONCAT("* REVIEW REQUIRED: compound-quote delimiter in Source on Sheet 1 row ",392,"; edit the input before running."),_xlfn.CONCAT("char ",TRIM($B392),"[doc_source] ",CHAR(96),CHAR(34),SUBSTITUTE(SUBSTITUTE(SUBSTITUTE(SUBSTITUTE(SUBSTITUTE(SUBSTITUTE($H392,CHAR(13)," "),CHAR(10)," "),CHAR(9)," "),CHAR(92),_xlfn.CONCAT(CHAR(92),CHAR(92))),"$",_xlfn.CONCAT(CHAR(92),"$")),CHAR(96),_xlfn.CONCAT(CHAR(92),CHAR(96))),CHAR(34),CHAR(39))))</f>
        <v/>
      </c>
      <c r="S392" s="5" t="str">
        <f>IF(OR(TRIM($B392)="",$I392=""),"",IF(OR(ISNUMBER(SEARCH(_xlfn.CONCAT(CHAR(96),CHAR(34)),$I392)),ISNUMBER(SEARCH(_xlfn.CONCAT(CHAR(34),CHAR(39)),$I392))),_xlfn.CONCAT("* REVIEW REQUIRED: compound-quote delimiter in Derivation on Sheet 1 row ",392,"; edit the input before running."),_xlfn.CONCAT("char ",TRIM($B392),"[doc_derivation] ",CHAR(96),CHAR(34),SUBSTITUTE(SUBSTITUTE(SUBSTITUTE(SUBSTITUTE(SUBSTITUTE(SUBSTITUTE($I392,CHAR(13)," "),CHAR(10)," "),CHAR(9)," "),CHAR(92),_xlfn.CONCAT(CHAR(92),CHAR(92))),"$",_xlfn.CONCAT(CHAR(92),"$")),CHAR(96),_xlfn.CONCAT(CHAR(92),CHAR(96))),CHAR(34),CHAR(39))))</f>
        <v/>
      </c>
      <c r="T392" s="5" t="str">
        <f>IF(OR(TRIM($B392)="",$J392=""),"",IF(OR(ISNUMBER(SEARCH(_xlfn.CONCAT(CHAR(96),CHAR(34)),$J392)),ISNUMBER(SEARCH(_xlfn.CONCAT(CHAR(34),CHAR(39)),$J392))),_xlfn.CONCAT("* REVIEW REQUIRED: compound-quote delimiter in Notes on Sheet 1 row ",392,"; edit the input before running."),_xlfn.CONCAT("char ",TRIM($B392),"[doc_notes] ",CHAR(96),CHAR(34),SUBSTITUTE(SUBSTITUTE(SUBSTITUTE(SUBSTITUTE(SUBSTITUTE(SUBSTITUTE($J392,CHAR(13)," "),CHAR(10)," "),CHAR(9)," "),CHAR(92),_xlfn.CONCAT(CHAR(92),CHAR(92))),"$",_xlfn.CONCAT(CHAR(92),"$")),CHAR(96),_xlfn.CONCAT(CHAR(92),CHAR(96))),CHAR(34),CHAR(39))))</f>
        <v/>
      </c>
      <c r="U392" s="5">
        <f t="shared" si="11"/>
        <v>0</v>
      </c>
    </row>
    <row r="393" spans="3:21" ht="30" customHeight="1" x14ac:dyDescent="0.2">
      <c r="C393" s="4"/>
      <c r="K393" s="5">
        <f t="shared" si="10"/>
        <v>0</v>
      </c>
      <c r="L393" s="5" t="str">
        <f>IF(OR(TRIM($B393)="",$A393=""),"",IF(OR(ISNUMBER(SEARCH(_xlfn.CONCAT(CHAR(96),CHAR(34)),$A393)),ISNUMBER(SEARCH(_xlfn.CONCAT(CHAR(34),CHAR(39)),$A393))),_xlfn.CONCAT("* REVIEW REQUIRED: compound-quote delimiter in Codebook Section on Sheet 1 row ",393,"; edit the input before running."),_xlfn.CONCAT("char ",TRIM($B393),"[doc_section] ",CHAR(96),CHAR(34),SUBSTITUTE(SUBSTITUTE(SUBSTITUTE(SUBSTITUTE(SUBSTITUTE(SUBSTITUTE($A393,CHAR(13)," "),CHAR(10)," "),CHAR(9)," "),CHAR(92),_xlfn.CONCAT(CHAR(92),CHAR(92))),"$",_xlfn.CONCAT(CHAR(92),"$")),CHAR(96),_xlfn.CONCAT(CHAR(92),CHAR(96))),CHAR(34),CHAR(39))))</f>
        <v/>
      </c>
      <c r="M393" s="5" t="str">
        <f>IF(OR(TRIM($B393)="",$C393=""),"",IF(IFERROR(MATCH(TRIM($C393),{"Quantitative","Continuous","Discrete","Categorical","Nominal","Ordinal","Identifier"},0),0)=0,_xlfn.CONCAT("* REVIEW REQUIRED: invalid Variable Type on Sheet 1 row ",393,"."),_xlfn.CONCAT("char ",TRIM($B393),"[doc_vartype] ",CHAR(96),CHAR(34),SUBSTITUTE(SUBSTITUTE(SUBSTITUTE(SUBSTITUTE(SUBSTITUTE(SUBSTITUTE(LOWER(TRIM($C393)),CHAR(13)," "),CHAR(10)," "),CHAR(9)," "),CHAR(92),_xlfn.CONCAT(CHAR(92),CHAR(92))),"$",_xlfn.CONCAT(CHAR(92),"$")),CHAR(96),_xlfn.CONCAT(CHAR(92),CHAR(96))),CHAR(34),CHAR(39))))</f>
        <v/>
      </c>
      <c r="N393" s="5" t="str">
        <f>IF(OR(TRIM($B393)="",$D393=""),"",IF(OR(ISNUMBER(SEARCH(_xlfn.CONCAT(CHAR(96),CHAR(34)),$D393)),ISNUMBER(SEARCH(_xlfn.CONCAT(CHAR(34),CHAR(39)),$D393))),_xlfn.CONCAT("* REVIEW REQUIRED: compound-quote delimiter in Item Number on Sheet 1 row ",393,"; edit the input before running."),_xlfn.CONCAT("char ",TRIM($B393),"[doc_itemnum] ",CHAR(96),CHAR(34),SUBSTITUTE(SUBSTITUTE(SUBSTITUTE(SUBSTITUTE(SUBSTITUTE(SUBSTITUTE($D393,CHAR(13)," "),CHAR(10)," "),CHAR(9)," "),CHAR(92),_xlfn.CONCAT(CHAR(92),CHAR(92))),"$",_xlfn.CONCAT(CHAR(92),"$")),CHAR(96),_xlfn.CONCAT(CHAR(92),CHAR(96))),CHAR(34),CHAR(39))))</f>
        <v/>
      </c>
      <c r="O393" s="5" t="str">
        <f>IF(OR(TRIM($B393)="",$E393=""),"",IF(OR(ISNUMBER(SEARCH(_xlfn.CONCAT(CHAR(96),CHAR(34)),$E393)),ISNUMBER(SEARCH(_xlfn.CONCAT(CHAR(34),CHAR(39)),$E393))),_xlfn.CONCAT("* REVIEW REQUIRED: compound-quote delimiter in Question Wording on Sheet 1 row ",393,"; edit the input before running."),_xlfn.CONCAT("char ",TRIM($B393),"[doc_question] ",CHAR(96),CHAR(34),SUBSTITUTE(SUBSTITUTE(SUBSTITUTE(SUBSTITUTE(SUBSTITUTE(SUBSTITUTE($E393,CHAR(13)," "),CHAR(10)," "),CHAR(9)," "),CHAR(92),_xlfn.CONCAT(CHAR(92),CHAR(92))),"$",_xlfn.CONCAT(CHAR(92),"$")),CHAR(96),_xlfn.CONCAT(CHAR(92),CHAR(96))),CHAR(34),CHAR(39))))</f>
        <v/>
      </c>
      <c r="P393" s="5" t="str">
        <f>IF(OR(TRIM($B393)="",$F393=""),"",IF(OR(ISNUMBER(SEARCH(_xlfn.CONCAT(CHAR(96),CHAR(34)),$F393)),ISNUMBER(SEARCH(_xlfn.CONCAT(CHAR(34),CHAR(39)),$F393))),_xlfn.CONCAT("* REVIEW REQUIRED: compound-quote delimiter in Units on Sheet 1 row ",393,"; edit the input before running."),_xlfn.CONCAT("char ",TRIM($B393),"[doc_units] ",CHAR(96),CHAR(34),SUBSTITUTE(SUBSTITUTE(SUBSTITUTE(SUBSTITUTE(SUBSTITUTE(SUBSTITUTE($F393,CHAR(13)," "),CHAR(10)," "),CHAR(9)," "),CHAR(92),_xlfn.CONCAT(CHAR(92),CHAR(92))),"$",_xlfn.CONCAT(CHAR(92),"$")),CHAR(96),_xlfn.CONCAT(CHAR(92),CHAR(96))),CHAR(34),CHAR(39))))</f>
        <v/>
      </c>
      <c r="Q393" s="5" t="str">
        <f>IF(OR(TRIM($B393)="",$G393=""),"",IF(OR(ISNUMBER(SEARCH(_xlfn.CONCAT(CHAR(96),CHAR(34)),$G393)),ISNUMBER(SEARCH(_xlfn.CONCAT(CHAR(34),CHAR(39)),$G393))),_xlfn.CONCAT("* REVIEW REQUIRED: compound-quote delimiter in Universe on Sheet 1 row ",393,"; edit the input before running."),_xlfn.CONCAT("char ",TRIM($B393),"[doc_universe] ",CHAR(96),CHAR(34),SUBSTITUTE(SUBSTITUTE(SUBSTITUTE(SUBSTITUTE(SUBSTITUTE(SUBSTITUTE($G393,CHAR(13)," "),CHAR(10)," "),CHAR(9)," "),CHAR(92),_xlfn.CONCAT(CHAR(92),CHAR(92))),"$",_xlfn.CONCAT(CHAR(92),"$")),CHAR(96),_xlfn.CONCAT(CHAR(92),CHAR(96))),CHAR(34),CHAR(39))))</f>
        <v/>
      </c>
      <c r="R393" s="5" t="str">
        <f>IF(OR(TRIM($B393)="",$H393=""),"",IF(OR(ISNUMBER(SEARCH(_xlfn.CONCAT(CHAR(96),CHAR(34)),$H393)),ISNUMBER(SEARCH(_xlfn.CONCAT(CHAR(34),CHAR(39)),$H393))),_xlfn.CONCAT("* REVIEW REQUIRED: compound-quote delimiter in Source on Sheet 1 row ",393,"; edit the input before running."),_xlfn.CONCAT("char ",TRIM($B393),"[doc_source] ",CHAR(96),CHAR(34),SUBSTITUTE(SUBSTITUTE(SUBSTITUTE(SUBSTITUTE(SUBSTITUTE(SUBSTITUTE($H393,CHAR(13)," "),CHAR(10)," "),CHAR(9)," "),CHAR(92),_xlfn.CONCAT(CHAR(92),CHAR(92))),"$",_xlfn.CONCAT(CHAR(92),"$")),CHAR(96),_xlfn.CONCAT(CHAR(92),CHAR(96))),CHAR(34),CHAR(39))))</f>
        <v/>
      </c>
      <c r="S393" s="5" t="str">
        <f>IF(OR(TRIM($B393)="",$I393=""),"",IF(OR(ISNUMBER(SEARCH(_xlfn.CONCAT(CHAR(96),CHAR(34)),$I393)),ISNUMBER(SEARCH(_xlfn.CONCAT(CHAR(34),CHAR(39)),$I393))),_xlfn.CONCAT("* REVIEW REQUIRED: compound-quote delimiter in Derivation on Sheet 1 row ",393,"; edit the input before running."),_xlfn.CONCAT("char ",TRIM($B393),"[doc_derivation] ",CHAR(96),CHAR(34),SUBSTITUTE(SUBSTITUTE(SUBSTITUTE(SUBSTITUTE(SUBSTITUTE(SUBSTITUTE($I393,CHAR(13)," "),CHAR(10)," "),CHAR(9)," "),CHAR(92),_xlfn.CONCAT(CHAR(92),CHAR(92))),"$",_xlfn.CONCAT(CHAR(92),"$")),CHAR(96),_xlfn.CONCAT(CHAR(92),CHAR(96))),CHAR(34),CHAR(39))))</f>
        <v/>
      </c>
      <c r="T393" s="5" t="str">
        <f>IF(OR(TRIM($B393)="",$J393=""),"",IF(OR(ISNUMBER(SEARCH(_xlfn.CONCAT(CHAR(96),CHAR(34)),$J393)),ISNUMBER(SEARCH(_xlfn.CONCAT(CHAR(34),CHAR(39)),$J393))),_xlfn.CONCAT("* REVIEW REQUIRED: compound-quote delimiter in Notes on Sheet 1 row ",393,"; edit the input before running."),_xlfn.CONCAT("char ",TRIM($B393),"[doc_notes] ",CHAR(96),CHAR(34),SUBSTITUTE(SUBSTITUTE(SUBSTITUTE(SUBSTITUTE(SUBSTITUTE(SUBSTITUTE($J393,CHAR(13)," "),CHAR(10)," "),CHAR(9)," "),CHAR(92),_xlfn.CONCAT(CHAR(92),CHAR(92))),"$",_xlfn.CONCAT(CHAR(92),"$")),CHAR(96),_xlfn.CONCAT(CHAR(92),CHAR(96))),CHAR(34),CHAR(39))))</f>
        <v/>
      </c>
      <c r="U393" s="5">
        <f t="shared" si="11"/>
        <v>0</v>
      </c>
    </row>
    <row r="394" spans="3:21" ht="30" customHeight="1" x14ac:dyDescent="0.2">
      <c r="C394" s="4"/>
      <c r="K394" s="5">
        <f t="shared" si="10"/>
        <v>0</v>
      </c>
      <c r="L394" s="5" t="str">
        <f>IF(OR(TRIM($B394)="",$A394=""),"",IF(OR(ISNUMBER(SEARCH(_xlfn.CONCAT(CHAR(96),CHAR(34)),$A394)),ISNUMBER(SEARCH(_xlfn.CONCAT(CHAR(34),CHAR(39)),$A394))),_xlfn.CONCAT("* REVIEW REQUIRED: compound-quote delimiter in Codebook Section on Sheet 1 row ",394,"; edit the input before running."),_xlfn.CONCAT("char ",TRIM($B394),"[doc_section] ",CHAR(96),CHAR(34),SUBSTITUTE(SUBSTITUTE(SUBSTITUTE(SUBSTITUTE(SUBSTITUTE(SUBSTITUTE($A394,CHAR(13)," "),CHAR(10)," "),CHAR(9)," "),CHAR(92),_xlfn.CONCAT(CHAR(92),CHAR(92))),"$",_xlfn.CONCAT(CHAR(92),"$")),CHAR(96),_xlfn.CONCAT(CHAR(92),CHAR(96))),CHAR(34),CHAR(39))))</f>
        <v/>
      </c>
      <c r="M394" s="5" t="str">
        <f>IF(OR(TRIM($B394)="",$C394=""),"",IF(IFERROR(MATCH(TRIM($C394),{"Quantitative","Continuous","Discrete","Categorical","Nominal","Ordinal","Identifier"},0),0)=0,_xlfn.CONCAT("* REVIEW REQUIRED: invalid Variable Type on Sheet 1 row ",394,"."),_xlfn.CONCAT("char ",TRIM($B394),"[doc_vartype] ",CHAR(96),CHAR(34),SUBSTITUTE(SUBSTITUTE(SUBSTITUTE(SUBSTITUTE(SUBSTITUTE(SUBSTITUTE(LOWER(TRIM($C394)),CHAR(13)," "),CHAR(10)," "),CHAR(9)," "),CHAR(92),_xlfn.CONCAT(CHAR(92),CHAR(92))),"$",_xlfn.CONCAT(CHAR(92),"$")),CHAR(96),_xlfn.CONCAT(CHAR(92),CHAR(96))),CHAR(34),CHAR(39))))</f>
        <v/>
      </c>
      <c r="N394" s="5" t="str">
        <f>IF(OR(TRIM($B394)="",$D394=""),"",IF(OR(ISNUMBER(SEARCH(_xlfn.CONCAT(CHAR(96),CHAR(34)),$D394)),ISNUMBER(SEARCH(_xlfn.CONCAT(CHAR(34),CHAR(39)),$D394))),_xlfn.CONCAT("* REVIEW REQUIRED: compound-quote delimiter in Item Number on Sheet 1 row ",394,"; edit the input before running."),_xlfn.CONCAT("char ",TRIM($B394),"[doc_itemnum] ",CHAR(96),CHAR(34),SUBSTITUTE(SUBSTITUTE(SUBSTITUTE(SUBSTITUTE(SUBSTITUTE(SUBSTITUTE($D394,CHAR(13)," "),CHAR(10)," "),CHAR(9)," "),CHAR(92),_xlfn.CONCAT(CHAR(92),CHAR(92))),"$",_xlfn.CONCAT(CHAR(92),"$")),CHAR(96),_xlfn.CONCAT(CHAR(92),CHAR(96))),CHAR(34),CHAR(39))))</f>
        <v/>
      </c>
      <c r="O394" s="5" t="str">
        <f>IF(OR(TRIM($B394)="",$E394=""),"",IF(OR(ISNUMBER(SEARCH(_xlfn.CONCAT(CHAR(96),CHAR(34)),$E394)),ISNUMBER(SEARCH(_xlfn.CONCAT(CHAR(34),CHAR(39)),$E394))),_xlfn.CONCAT("* REVIEW REQUIRED: compound-quote delimiter in Question Wording on Sheet 1 row ",394,"; edit the input before running."),_xlfn.CONCAT("char ",TRIM($B394),"[doc_question] ",CHAR(96),CHAR(34),SUBSTITUTE(SUBSTITUTE(SUBSTITUTE(SUBSTITUTE(SUBSTITUTE(SUBSTITUTE($E394,CHAR(13)," "),CHAR(10)," "),CHAR(9)," "),CHAR(92),_xlfn.CONCAT(CHAR(92),CHAR(92))),"$",_xlfn.CONCAT(CHAR(92),"$")),CHAR(96),_xlfn.CONCAT(CHAR(92),CHAR(96))),CHAR(34),CHAR(39))))</f>
        <v/>
      </c>
      <c r="P394" s="5" t="str">
        <f>IF(OR(TRIM($B394)="",$F394=""),"",IF(OR(ISNUMBER(SEARCH(_xlfn.CONCAT(CHAR(96),CHAR(34)),$F394)),ISNUMBER(SEARCH(_xlfn.CONCAT(CHAR(34),CHAR(39)),$F394))),_xlfn.CONCAT("* REVIEW REQUIRED: compound-quote delimiter in Units on Sheet 1 row ",394,"; edit the input before running."),_xlfn.CONCAT("char ",TRIM($B394),"[doc_units] ",CHAR(96),CHAR(34),SUBSTITUTE(SUBSTITUTE(SUBSTITUTE(SUBSTITUTE(SUBSTITUTE(SUBSTITUTE($F394,CHAR(13)," "),CHAR(10)," "),CHAR(9)," "),CHAR(92),_xlfn.CONCAT(CHAR(92),CHAR(92))),"$",_xlfn.CONCAT(CHAR(92),"$")),CHAR(96),_xlfn.CONCAT(CHAR(92),CHAR(96))),CHAR(34),CHAR(39))))</f>
        <v/>
      </c>
      <c r="Q394" s="5" t="str">
        <f>IF(OR(TRIM($B394)="",$G394=""),"",IF(OR(ISNUMBER(SEARCH(_xlfn.CONCAT(CHAR(96),CHAR(34)),$G394)),ISNUMBER(SEARCH(_xlfn.CONCAT(CHAR(34),CHAR(39)),$G394))),_xlfn.CONCAT("* REVIEW REQUIRED: compound-quote delimiter in Universe on Sheet 1 row ",394,"; edit the input before running."),_xlfn.CONCAT("char ",TRIM($B394),"[doc_universe] ",CHAR(96),CHAR(34),SUBSTITUTE(SUBSTITUTE(SUBSTITUTE(SUBSTITUTE(SUBSTITUTE(SUBSTITUTE($G394,CHAR(13)," "),CHAR(10)," "),CHAR(9)," "),CHAR(92),_xlfn.CONCAT(CHAR(92),CHAR(92))),"$",_xlfn.CONCAT(CHAR(92),"$")),CHAR(96),_xlfn.CONCAT(CHAR(92),CHAR(96))),CHAR(34),CHAR(39))))</f>
        <v/>
      </c>
      <c r="R394" s="5" t="str">
        <f>IF(OR(TRIM($B394)="",$H394=""),"",IF(OR(ISNUMBER(SEARCH(_xlfn.CONCAT(CHAR(96),CHAR(34)),$H394)),ISNUMBER(SEARCH(_xlfn.CONCAT(CHAR(34),CHAR(39)),$H394))),_xlfn.CONCAT("* REVIEW REQUIRED: compound-quote delimiter in Source on Sheet 1 row ",394,"; edit the input before running."),_xlfn.CONCAT("char ",TRIM($B394),"[doc_source] ",CHAR(96),CHAR(34),SUBSTITUTE(SUBSTITUTE(SUBSTITUTE(SUBSTITUTE(SUBSTITUTE(SUBSTITUTE($H394,CHAR(13)," "),CHAR(10)," "),CHAR(9)," "),CHAR(92),_xlfn.CONCAT(CHAR(92),CHAR(92))),"$",_xlfn.CONCAT(CHAR(92),"$")),CHAR(96),_xlfn.CONCAT(CHAR(92),CHAR(96))),CHAR(34),CHAR(39))))</f>
        <v/>
      </c>
      <c r="S394" s="5" t="str">
        <f>IF(OR(TRIM($B394)="",$I394=""),"",IF(OR(ISNUMBER(SEARCH(_xlfn.CONCAT(CHAR(96),CHAR(34)),$I394)),ISNUMBER(SEARCH(_xlfn.CONCAT(CHAR(34),CHAR(39)),$I394))),_xlfn.CONCAT("* REVIEW REQUIRED: compound-quote delimiter in Derivation on Sheet 1 row ",394,"; edit the input before running."),_xlfn.CONCAT("char ",TRIM($B394),"[doc_derivation] ",CHAR(96),CHAR(34),SUBSTITUTE(SUBSTITUTE(SUBSTITUTE(SUBSTITUTE(SUBSTITUTE(SUBSTITUTE($I394,CHAR(13)," "),CHAR(10)," "),CHAR(9)," "),CHAR(92),_xlfn.CONCAT(CHAR(92),CHAR(92))),"$",_xlfn.CONCAT(CHAR(92),"$")),CHAR(96),_xlfn.CONCAT(CHAR(92),CHAR(96))),CHAR(34),CHAR(39))))</f>
        <v/>
      </c>
      <c r="T394" s="5" t="str">
        <f>IF(OR(TRIM($B394)="",$J394=""),"",IF(OR(ISNUMBER(SEARCH(_xlfn.CONCAT(CHAR(96),CHAR(34)),$J394)),ISNUMBER(SEARCH(_xlfn.CONCAT(CHAR(34),CHAR(39)),$J394))),_xlfn.CONCAT("* REVIEW REQUIRED: compound-quote delimiter in Notes on Sheet 1 row ",394,"; edit the input before running."),_xlfn.CONCAT("char ",TRIM($B394),"[doc_notes] ",CHAR(96),CHAR(34),SUBSTITUTE(SUBSTITUTE(SUBSTITUTE(SUBSTITUTE(SUBSTITUTE(SUBSTITUTE($J394,CHAR(13)," "),CHAR(10)," "),CHAR(9)," "),CHAR(92),_xlfn.CONCAT(CHAR(92),CHAR(92))),"$",_xlfn.CONCAT(CHAR(92),"$")),CHAR(96),_xlfn.CONCAT(CHAR(92),CHAR(96))),CHAR(34),CHAR(39))))</f>
        <v/>
      </c>
      <c r="U394" s="5">
        <f t="shared" si="11"/>
        <v>0</v>
      </c>
    </row>
    <row r="395" spans="3:21" ht="30" customHeight="1" x14ac:dyDescent="0.2">
      <c r="C395" s="4"/>
      <c r="K395" s="5">
        <f t="shared" si="10"/>
        <v>0</v>
      </c>
      <c r="L395" s="5" t="str">
        <f>IF(OR(TRIM($B395)="",$A395=""),"",IF(OR(ISNUMBER(SEARCH(_xlfn.CONCAT(CHAR(96),CHAR(34)),$A395)),ISNUMBER(SEARCH(_xlfn.CONCAT(CHAR(34),CHAR(39)),$A395))),_xlfn.CONCAT("* REVIEW REQUIRED: compound-quote delimiter in Codebook Section on Sheet 1 row ",395,"; edit the input before running."),_xlfn.CONCAT("char ",TRIM($B395),"[doc_section] ",CHAR(96),CHAR(34),SUBSTITUTE(SUBSTITUTE(SUBSTITUTE(SUBSTITUTE(SUBSTITUTE(SUBSTITUTE($A395,CHAR(13)," "),CHAR(10)," "),CHAR(9)," "),CHAR(92),_xlfn.CONCAT(CHAR(92),CHAR(92))),"$",_xlfn.CONCAT(CHAR(92),"$")),CHAR(96),_xlfn.CONCAT(CHAR(92),CHAR(96))),CHAR(34),CHAR(39))))</f>
        <v/>
      </c>
      <c r="M395" s="5" t="str">
        <f>IF(OR(TRIM($B395)="",$C395=""),"",IF(IFERROR(MATCH(TRIM($C395),{"Quantitative","Continuous","Discrete","Categorical","Nominal","Ordinal","Identifier"},0),0)=0,_xlfn.CONCAT("* REVIEW REQUIRED: invalid Variable Type on Sheet 1 row ",395,"."),_xlfn.CONCAT("char ",TRIM($B395),"[doc_vartype] ",CHAR(96),CHAR(34),SUBSTITUTE(SUBSTITUTE(SUBSTITUTE(SUBSTITUTE(SUBSTITUTE(SUBSTITUTE(LOWER(TRIM($C395)),CHAR(13)," "),CHAR(10)," "),CHAR(9)," "),CHAR(92),_xlfn.CONCAT(CHAR(92),CHAR(92))),"$",_xlfn.CONCAT(CHAR(92),"$")),CHAR(96),_xlfn.CONCAT(CHAR(92),CHAR(96))),CHAR(34),CHAR(39))))</f>
        <v/>
      </c>
      <c r="N395" s="5" t="str">
        <f>IF(OR(TRIM($B395)="",$D395=""),"",IF(OR(ISNUMBER(SEARCH(_xlfn.CONCAT(CHAR(96),CHAR(34)),$D395)),ISNUMBER(SEARCH(_xlfn.CONCAT(CHAR(34),CHAR(39)),$D395))),_xlfn.CONCAT("* REVIEW REQUIRED: compound-quote delimiter in Item Number on Sheet 1 row ",395,"; edit the input before running."),_xlfn.CONCAT("char ",TRIM($B395),"[doc_itemnum] ",CHAR(96),CHAR(34),SUBSTITUTE(SUBSTITUTE(SUBSTITUTE(SUBSTITUTE(SUBSTITUTE(SUBSTITUTE($D395,CHAR(13)," "),CHAR(10)," "),CHAR(9)," "),CHAR(92),_xlfn.CONCAT(CHAR(92),CHAR(92))),"$",_xlfn.CONCAT(CHAR(92),"$")),CHAR(96),_xlfn.CONCAT(CHAR(92),CHAR(96))),CHAR(34),CHAR(39))))</f>
        <v/>
      </c>
      <c r="O395" s="5" t="str">
        <f>IF(OR(TRIM($B395)="",$E395=""),"",IF(OR(ISNUMBER(SEARCH(_xlfn.CONCAT(CHAR(96),CHAR(34)),$E395)),ISNUMBER(SEARCH(_xlfn.CONCAT(CHAR(34),CHAR(39)),$E395))),_xlfn.CONCAT("* REVIEW REQUIRED: compound-quote delimiter in Question Wording on Sheet 1 row ",395,"; edit the input before running."),_xlfn.CONCAT("char ",TRIM($B395),"[doc_question] ",CHAR(96),CHAR(34),SUBSTITUTE(SUBSTITUTE(SUBSTITUTE(SUBSTITUTE(SUBSTITUTE(SUBSTITUTE($E395,CHAR(13)," "),CHAR(10)," "),CHAR(9)," "),CHAR(92),_xlfn.CONCAT(CHAR(92),CHAR(92))),"$",_xlfn.CONCAT(CHAR(92),"$")),CHAR(96),_xlfn.CONCAT(CHAR(92),CHAR(96))),CHAR(34),CHAR(39))))</f>
        <v/>
      </c>
      <c r="P395" s="5" t="str">
        <f>IF(OR(TRIM($B395)="",$F395=""),"",IF(OR(ISNUMBER(SEARCH(_xlfn.CONCAT(CHAR(96),CHAR(34)),$F395)),ISNUMBER(SEARCH(_xlfn.CONCAT(CHAR(34),CHAR(39)),$F395))),_xlfn.CONCAT("* REVIEW REQUIRED: compound-quote delimiter in Units on Sheet 1 row ",395,"; edit the input before running."),_xlfn.CONCAT("char ",TRIM($B395),"[doc_units] ",CHAR(96),CHAR(34),SUBSTITUTE(SUBSTITUTE(SUBSTITUTE(SUBSTITUTE(SUBSTITUTE(SUBSTITUTE($F395,CHAR(13)," "),CHAR(10)," "),CHAR(9)," "),CHAR(92),_xlfn.CONCAT(CHAR(92),CHAR(92))),"$",_xlfn.CONCAT(CHAR(92),"$")),CHAR(96),_xlfn.CONCAT(CHAR(92),CHAR(96))),CHAR(34),CHAR(39))))</f>
        <v/>
      </c>
      <c r="Q395" s="5" t="str">
        <f>IF(OR(TRIM($B395)="",$G395=""),"",IF(OR(ISNUMBER(SEARCH(_xlfn.CONCAT(CHAR(96),CHAR(34)),$G395)),ISNUMBER(SEARCH(_xlfn.CONCAT(CHAR(34),CHAR(39)),$G395))),_xlfn.CONCAT("* REVIEW REQUIRED: compound-quote delimiter in Universe on Sheet 1 row ",395,"; edit the input before running."),_xlfn.CONCAT("char ",TRIM($B395),"[doc_universe] ",CHAR(96),CHAR(34),SUBSTITUTE(SUBSTITUTE(SUBSTITUTE(SUBSTITUTE(SUBSTITUTE(SUBSTITUTE($G395,CHAR(13)," "),CHAR(10)," "),CHAR(9)," "),CHAR(92),_xlfn.CONCAT(CHAR(92),CHAR(92))),"$",_xlfn.CONCAT(CHAR(92),"$")),CHAR(96),_xlfn.CONCAT(CHAR(92),CHAR(96))),CHAR(34),CHAR(39))))</f>
        <v/>
      </c>
      <c r="R395" s="5" t="str">
        <f>IF(OR(TRIM($B395)="",$H395=""),"",IF(OR(ISNUMBER(SEARCH(_xlfn.CONCAT(CHAR(96),CHAR(34)),$H395)),ISNUMBER(SEARCH(_xlfn.CONCAT(CHAR(34),CHAR(39)),$H395))),_xlfn.CONCAT("* REVIEW REQUIRED: compound-quote delimiter in Source on Sheet 1 row ",395,"; edit the input before running."),_xlfn.CONCAT("char ",TRIM($B395),"[doc_source] ",CHAR(96),CHAR(34),SUBSTITUTE(SUBSTITUTE(SUBSTITUTE(SUBSTITUTE(SUBSTITUTE(SUBSTITUTE($H395,CHAR(13)," "),CHAR(10)," "),CHAR(9)," "),CHAR(92),_xlfn.CONCAT(CHAR(92),CHAR(92))),"$",_xlfn.CONCAT(CHAR(92),"$")),CHAR(96),_xlfn.CONCAT(CHAR(92),CHAR(96))),CHAR(34),CHAR(39))))</f>
        <v/>
      </c>
      <c r="S395" s="5" t="str">
        <f>IF(OR(TRIM($B395)="",$I395=""),"",IF(OR(ISNUMBER(SEARCH(_xlfn.CONCAT(CHAR(96),CHAR(34)),$I395)),ISNUMBER(SEARCH(_xlfn.CONCAT(CHAR(34),CHAR(39)),$I395))),_xlfn.CONCAT("* REVIEW REQUIRED: compound-quote delimiter in Derivation on Sheet 1 row ",395,"; edit the input before running."),_xlfn.CONCAT("char ",TRIM($B395),"[doc_derivation] ",CHAR(96),CHAR(34),SUBSTITUTE(SUBSTITUTE(SUBSTITUTE(SUBSTITUTE(SUBSTITUTE(SUBSTITUTE($I395,CHAR(13)," "),CHAR(10)," "),CHAR(9)," "),CHAR(92),_xlfn.CONCAT(CHAR(92),CHAR(92))),"$",_xlfn.CONCAT(CHAR(92),"$")),CHAR(96),_xlfn.CONCAT(CHAR(92),CHAR(96))),CHAR(34),CHAR(39))))</f>
        <v/>
      </c>
      <c r="T395" s="5" t="str">
        <f>IF(OR(TRIM($B395)="",$J395=""),"",IF(OR(ISNUMBER(SEARCH(_xlfn.CONCAT(CHAR(96),CHAR(34)),$J395)),ISNUMBER(SEARCH(_xlfn.CONCAT(CHAR(34),CHAR(39)),$J395))),_xlfn.CONCAT("* REVIEW REQUIRED: compound-quote delimiter in Notes on Sheet 1 row ",395,"; edit the input before running."),_xlfn.CONCAT("char ",TRIM($B395),"[doc_notes] ",CHAR(96),CHAR(34),SUBSTITUTE(SUBSTITUTE(SUBSTITUTE(SUBSTITUTE(SUBSTITUTE(SUBSTITUTE($J395,CHAR(13)," "),CHAR(10)," "),CHAR(9)," "),CHAR(92),_xlfn.CONCAT(CHAR(92),CHAR(92))),"$",_xlfn.CONCAT(CHAR(92),"$")),CHAR(96),_xlfn.CONCAT(CHAR(92),CHAR(96))),CHAR(34),CHAR(39))))</f>
        <v/>
      </c>
      <c r="U395" s="5">
        <f t="shared" si="11"/>
        <v>0</v>
      </c>
    </row>
    <row r="396" spans="3:21" ht="30" customHeight="1" x14ac:dyDescent="0.2">
      <c r="C396" s="4"/>
      <c r="K396" s="5">
        <f t="shared" si="10"/>
        <v>0</v>
      </c>
      <c r="L396" s="5" t="str">
        <f>IF(OR(TRIM($B396)="",$A396=""),"",IF(OR(ISNUMBER(SEARCH(_xlfn.CONCAT(CHAR(96),CHAR(34)),$A396)),ISNUMBER(SEARCH(_xlfn.CONCAT(CHAR(34),CHAR(39)),$A396))),_xlfn.CONCAT("* REVIEW REQUIRED: compound-quote delimiter in Codebook Section on Sheet 1 row ",396,"; edit the input before running."),_xlfn.CONCAT("char ",TRIM($B396),"[doc_section] ",CHAR(96),CHAR(34),SUBSTITUTE(SUBSTITUTE(SUBSTITUTE(SUBSTITUTE(SUBSTITUTE(SUBSTITUTE($A396,CHAR(13)," "),CHAR(10)," "),CHAR(9)," "),CHAR(92),_xlfn.CONCAT(CHAR(92),CHAR(92))),"$",_xlfn.CONCAT(CHAR(92),"$")),CHAR(96),_xlfn.CONCAT(CHAR(92),CHAR(96))),CHAR(34),CHAR(39))))</f>
        <v/>
      </c>
      <c r="M396" s="5" t="str">
        <f>IF(OR(TRIM($B396)="",$C396=""),"",IF(IFERROR(MATCH(TRIM($C396),{"Quantitative","Continuous","Discrete","Categorical","Nominal","Ordinal","Identifier"},0),0)=0,_xlfn.CONCAT("* REVIEW REQUIRED: invalid Variable Type on Sheet 1 row ",396,"."),_xlfn.CONCAT("char ",TRIM($B396),"[doc_vartype] ",CHAR(96),CHAR(34),SUBSTITUTE(SUBSTITUTE(SUBSTITUTE(SUBSTITUTE(SUBSTITUTE(SUBSTITUTE(LOWER(TRIM($C396)),CHAR(13)," "),CHAR(10)," "),CHAR(9)," "),CHAR(92),_xlfn.CONCAT(CHAR(92),CHAR(92))),"$",_xlfn.CONCAT(CHAR(92),"$")),CHAR(96),_xlfn.CONCAT(CHAR(92),CHAR(96))),CHAR(34),CHAR(39))))</f>
        <v/>
      </c>
      <c r="N396" s="5" t="str">
        <f>IF(OR(TRIM($B396)="",$D396=""),"",IF(OR(ISNUMBER(SEARCH(_xlfn.CONCAT(CHAR(96),CHAR(34)),$D396)),ISNUMBER(SEARCH(_xlfn.CONCAT(CHAR(34),CHAR(39)),$D396))),_xlfn.CONCAT("* REVIEW REQUIRED: compound-quote delimiter in Item Number on Sheet 1 row ",396,"; edit the input before running."),_xlfn.CONCAT("char ",TRIM($B396),"[doc_itemnum] ",CHAR(96),CHAR(34),SUBSTITUTE(SUBSTITUTE(SUBSTITUTE(SUBSTITUTE(SUBSTITUTE(SUBSTITUTE($D396,CHAR(13)," "),CHAR(10)," "),CHAR(9)," "),CHAR(92),_xlfn.CONCAT(CHAR(92),CHAR(92))),"$",_xlfn.CONCAT(CHAR(92),"$")),CHAR(96),_xlfn.CONCAT(CHAR(92),CHAR(96))),CHAR(34),CHAR(39))))</f>
        <v/>
      </c>
      <c r="O396" s="5" t="str">
        <f>IF(OR(TRIM($B396)="",$E396=""),"",IF(OR(ISNUMBER(SEARCH(_xlfn.CONCAT(CHAR(96),CHAR(34)),$E396)),ISNUMBER(SEARCH(_xlfn.CONCAT(CHAR(34),CHAR(39)),$E396))),_xlfn.CONCAT("* REVIEW REQUIRED: compound-quote delimiter in Question Wording on Sheet 1 row ",396,"; edit the input before running."),_xlfn.CONCAT("char ",TRIM($B396),"[doc_question] ",CHAR(96),CHAR(34),SUBSTITUTE(SUBSTITUTE(SUBSTITUTE(SUBSTITUTE(SUBSTITUTE(SUBSTITUTE($E396,CHAR(13)," "),CHAR(10)," "),CHAR(9)," "),CHAR(92),_xlfn.CONCAT(CHAR(92),CHAR(92))),"$",_xlfn.CONCAT(CHAR(92),"$")),CHAR(96),_xlfn.CONCAT(CHAR(92),CHAR(96))),CHAR(34),CHAR(39))))</f>
        <v/>
      </c>
      <c r="P396" s="5" t="str">
        <f>IF(OR(TRIM($B396)="",$F396=""),"",IF(OR(ISNUMBER(SEARCH(_xlfn.CONCAT(CHAR(96),CHAR(34)),$F396)),ISNUMBER(SEARCH(_xlfn.CONCAT(CHAR(34),CHAR(39)),$F396))),_xlfn.CONCAT("* REVIEW REQUIRED: compound-quote delimiter in Units on Sheet 1 row ",396,"; edit the input before running."),_xlfn.CONCAT("char ",TRIM($B396),"[doc_units] ",CHAR(96),CHAR(34),SUBSTITUTE(SUBSTITUTE(SUBSTITUTE(SUBSTITUTE(SUBSTITUTE(SUBSTITUTE($F396,CHAR(13)," "),CHAR(10)," "),CHAR(9)," "),CHAR(92),_xlfn.CONCAT(CHAR(92),CHAR(92))),"$",_xlfn.CONCAT(CHAR(92),"$")),CHAR(96),_xlfn.CONCAT(CHAR(92),CHAR(96))),CHAR(34),CHAR(39))))</f>
        <v/>
      </c>
      <c r="Q396" s="5" t="str">
        <f>IF(OR(TRIM($B396)="",$G396=""),"",IF(OR(ISNUMBER(SEARCH(_xlfn.CONCAT(CHAR(96),CHAR(34)),$G396)),ISNUMBER(SEARCH(_xlfn.CONCAT(CHAR(34),CHAR(39)),$G396))),_xlfn.CONCAT("* REVIEW REQUIRED: compound-quote delimiter in Universe on Sheet 1 row ",396,"; edit the input before running."),_xlfn.CONCAT("char ",TRIM($B396),"[doc_universe] ",CHAR(96),CHAR(34),SUBSTITUTE(SUBSTITUTE(SUBSTITUTE(SUBSTITUTE(SUBSTITUTE(SUBSTITUTE($G396,CHAR(13)," "),CHAR(10)," "),CHAR(9)," "),CHAR(92),_xlfn.CONCAT(CHAR(92),CHAR(92))),"$",_xlfn.CONCAT(CHAR(92),"$")),CHAR(96),_xlfn.CONCAT(CHAR(92),CHAR(96))),CHAR(34),CHAR(39))))</f>
        <v/>
      </c>
      <c r="R396" s="5" t="str">
        <f>IF(OR(TRIM($B396)="",$H396=""),"",IF(OR(ISNUMBER(SEARCH(_xlfn.CONCAT(CHAR(96),CHAR(34)),$H396)),ISNUMBER(SEARCH(_xlfn.CONCAT(CHAR(34),CHAR(39)),$H396))),_xlfn.CONCAT("* REVIEW REQUIRED: compound-quote delimiter in Source on Sheet 1 row ",396,"; edit the input before running."),_xlfn.CONCAT("char ",TRIM($B396),"[doc_source] ",CHAR(96),CHAR(34),SUBSTITUTE(SUBSTITUTE(SUBSTITUTE(SUBSTITUTE(SUBSTITUTE(SUBSTITUTE($H396,CHAR(13)," "),CHAR(10)," "),CHAR(9)," "),CHAR(92),_xlfn.CONCAT(CHAR(92),CHAR(92))),"$",_xlfn.CONCAT(CHAR(92),"$")),CHAR(96),_xlfn.CONCAT(CHAR(92),CHAR(96))),CHAR(34),CHAR(39))))</f>
        <v/>
      </c>
      <c r="S396" s="5" t="str">
        <f>IF(OR(TRIM($B396)="",$I396=""),"",IF(OR(ISNUMBER(SEARCH(_xlfn.CONCAT(CHAR(96),CHAR(34)),$I396)),ISNUMBER(SEARCH(_xlfn.CONCAT(CHAR(34),CHAR(39)),$I396))),_xlfn.CONCAT("* REVIEW REQUIRED: compound-quote delimiter in Derivation on Sheet 1 row ",396,"; edit the input before running."),_xlfn.CONCAT("char ",TRIM($B396),"[doc_derivation] ",CHAR(96),CHAR(34),SUBSTITUTE(SUBSTITUTE(SUBSTITUTE(SUBSTITUTE(SUBSTITUTE(SUBSTITUTE($I396,CHAR(13)," "),CHAR(10)," "),CHAR(9)," "),CHAR(92),_xlfn.CONCAT(CHAR(92),CHAR(92))),"$",_xlfn.CONCAT(CHAR(92),"$")),CHAR(96),_xlfn.CONCAT(CHAR(92),CHAR(96))),CHAR(34),CHAR(39))))</f>
        <v/>
      </c>
      <c r="T396" s="5" t="str">
        <f>IF(OR(TRIM($B396)="",$J396=""),"",IF(OR(ISNUMBER(SEARCH(_xlfn.CONCAT(CHAR(96),CHAR(34)),$J396)),ISNUMBER(SEARCH(_xlfn.CONCAT(CHAR(34),CHAR(39)),$J396))),_xlfn.CONCAT("* REVIEW REQUIRED: compound-quote delimiter in Notes on Sheet 1 row ",396,"; edit the input before running."),_xlfn.CONCAT("char ",TRIM($B396),"[doc_notes] ",CHAR(96),CHAR(34),SUBSTITUTE(SUBSTITUTE(SUBSTITUTE(SUBSTITUTE(SUBSTITUTE(SUBSTITUTE($J396,CHAR(13)," "),CHAR(10)," "),CHAR(9)," "),CHAR(92),_xlfn.CONCAT(CHAR(92),CHAR(92))),"$",_xlfn.CONCAT(CHAR(92),"$")),CHAR(96),_xlfn.CONCAT(CHAR(92),CHAR(96))),CHAR(34),CHAR(39))))</f>
        <v/>
      </c>
      <c r="U396" s="5">
        <f t="shared" si="11"/>
        <v>0</v>
      </c>
    </row>
    <row r="397" spans="3:21" ht="30" customHeight="1" x14ac:dyDescent="0.2">
      <c r="C397" s="4"/>
      <c r="K397" s="5">
        <f t="shared" si="10"/>
        <v>0</v>
      </c>
      <c r="L397" s="5" t="str">
        <f>IF(OR(TRIM($B397)="",$A397=""),"",IF(OR(ISNUMBER(SEARCH(_xlfn.CONCAT(CHAR(96),CHAR(34)),$A397)),ISNUMBER(SEARCH(_xlfn.CONCAT(CHAR(34),CHAR(39)),$A397))),_xlfn.CONCAT("* REVIEW REQUIRED: compound-quote delimiter in Codebook Section on Sheet 1 row ",397,"; edit the input before running."),_xlfn.CONCAT("char ",TRIM($B397),"[doc_section] ",CHAR(96),CHAR(34),SUBSTITUTE(SUBSTITUTE(SUBSTITUTE(SUBSTITUTE(SUBSTITUTE(SUBSTITUTE($A397,CHAR(13)," "),CHAR(10)," "),CHAR(9)," "),CHAR(92),_xlfn.CONCAT(CHAR(92),CHAR(92))),"$",_xlfn.CONCAT(CHAR(92),"$")),CHAR(96),_xlfn.CONCAT(CHAR(92),CHAR(96))),CHAR(34),CHAR(39))))</f>
        <v/>
      </c>
      <c r="M397" s="5" t="str">
        <f>IF(OR(TRIM($B397)="",$C397=""),"",IF(IFERROR(MATCH(TRIM($C397),{"Quantitative","Continuous","Discrete","Categorical","Nominal","Ordinal","Identifier"},0),0)=0,_xlfn.CONCAT("* REVIEW REQUIRED: invalid Variable Type on Sheet 1 row ",397,"."),_xlfn.CONCAT("char ",TRIM($B397),"[doc_vartype] ",CHAR(96),CHAR(34),SUBSTITUTE(SUBSTITUTE(SUBSTITUTE(SUBSTITUTE(SUBSTITUTE(SUBSTITUTE(LOWER(TRIM($C397)),CHAR(13)," "),CHAR(10)," "),CHAR(9)," "),CHAR(92),_xlfn.CONCAT(CHAR(92),CHAR(92))),"$",_xlfn.CONCAT(CHAR(92),"$")),CHAR(96),_xlfn.CONCAT(CHAR(92),CHAR(96))),CHAR(34),CHAR(39))))</f>
        <v/>
      </c>
      <c r="N397" s="5" t="str">
        <f>IF(OR(TRIM($B397)="",$D397=""),"",IF(OR(ISNUMBER(SEARCH(_xlfn.CONCAT(CHAR(96),CHAR(34)),$D397)),ISNUMBER(SEARCH(_xlfn.CONCAT(CHAR(34),CHAR(39)),$D397))),_xlfn.CONCAT("* REVIEW REQUIRED: compound-quote delimiter in Item Number on Sheet 1 row ",397,"; edit the input before running."),_xlfn.CONCAT("char ",TRIM($B397),"[doc_itemnum] ",CHAR(96),CHAR(34),SUBSTITUTE(SUBSTITUTE(SUBSTITUTE(SUBSTITUTE(SUBSTITUTE(SUBSTITUTE($D397,CHAR(13)," "),CHAR(10)," "),CHAR(9)," "),CHAR(92),_xlfn.CONCAT(CHAR(92),CHAR(92))),"$",_xlfn.CONCAT(CHAR(92),"$")),CHAR(96),_xlfn.CONCAT(CHAR(92),CHAR(96))),CHAR(34),CHAR(39))))</f>
        <v/>
      </c>
      <c r="O397" s="5" t="str">
        <f>IF(OR(TRIM($B397)="",$E397=""),"",IF(OR(ISNUMBER(SEARCH(_xlfn.CONCAT(CHAR(96),CHAR(34)),$E397)),ISNUMBER(SEARCH(_xlfn.CONCAT(CHAR(34),CHAR(39)),$E397))),_xlfn.CONCAT("* REVIEW REQUIRED: compound-quote delimiter in Question Wording on Sheet 1 row ",397,"; edit the input before running."),_xlfn.CONCAT("char ",TRIM($B397),"[doc_question] ",CHAR(96),CHAR(34),SUBSTITUTE(SUBSTITUTE(SUBSTITUTE(SUBSTITUTE(SUBSTITUTE(SUBSTITUTE($E397,CHAR(13)," "),CHAR(10)," "),CHAR(9)," "),CHAR(92),_xlfn.CONCAT(CHAR(92),CHAR(92))),"$",_xlfn.CONCAT(CHAR(92),"$")),CHAR(96),_xlfn.CONCAT(CHAR(92),CHAR(96))),CHAR(34),CHAR(39))))</f>
        <v/>
      </c>
      <c r="P397" s="5" t="str">
        <f>IF(OR(TRIM($B397)="",$F397=""),"",IF(OR(ISNUMBER(SEARCH(_xlfn.CONCAT(CHAR(96),CHAR(34)),$F397)),ISNUMBER(SEARCH(_xlfn.CONCAT(CHAR(34),CHAR(39)),$F397))),_xlfn.CONCAT("* REVIEW REQUIRED: compound-quote delimiter in Units on Sheet 1 row ",397,"; edit the input before running."),_xlfn.CONCAT("char ",TRIM($B397),"[doc_units] ",CHAR(96),CHAR(34),SUBSTITUTE(SUBSTITUTE(SUBSTITUTE(SUBSTITUTE(SUBSTITUTE(SUBSTITUTE($F397,CHAR(13)," "),CHAR(10)," "),CHAR(9)," "),CHAR(92),_xlfn.CONCAT(CHAR(92),CHAR(92))),"$",_xlfn.CONCAT(CHAR(92),"$")),CHAR(96),_xlfn.CONCAT(CHAR(92),CHAR(96))),CHAR(34),CHAR(39))))</f>
        <v/>
      </c>
      <c r="Q397" s="5" t="str">
        <f>IF(OR(TRIM($B397)="",$G397=""),"",IF(OR(ISNUMBER(SEARCH(_xlfn.CONCAT(CHAR(96),CHAR(34)),$G397)),ISNUMBER(SEARCH(_xlfn.CONCAT(CHAR(34),CHAR(39)),$G397))),_xlfn.CONCAT("* REVIEW REQUIRED: compound-quote delimiter in Universe on Sheet 1 row ",397,"; edit the input before running."),_xlfn.CONCAT("char ",TRIM($B397),"[doc_universe] ",CHAR(96),CHAR(34),SUBSTITUTE(SUBSTITUTE(SUBSTITUTE(SUBSTITUTE(SUBSTITUTE(SUBSTITUTE($G397,CHAR(13)," "),CHAR(10)," "),CHAR(9)," "),CHAR(92),_xlfn.CONCAT(CHAR(92),CHAR(92))),"$",_xlfn.CONCAT(CHAR(92),"$")),CHAR(96),_xlfn.CONCAT(CHAR(92),CHAR(96))),CHAR(34),CHAR(39))))</f>
        <v/>
      </c>
      <c r="R397" s="5" t="str">
        <f>IF(OR(TRIM($B397)="",$H397=""),"",IF(OR(ISNUMBER(SEARCH(_xlfn.CONCAT(CHAR(96),CHAR(34)),$H397)),ISNUMBER(SEARCH(_xlfn.CONCAT(CHAR(34),CHAR(39)),$H397))),_xlfn.CONCAT("* REVIEW REQUIRED: compound-quote delimiter in Source on Sheet 1 row ",397,"; edit the input before running."),_xlfn.CONCAT("char ",TRIM($B397),"[doc_source] ",CHAR(96),CHAR(34),SUBSTITUTE(SUBSTITUTE(SUBSTITUTE(SUBSTITUTE(SUBSTITUTE(SUBSTITUTE($H397,CHAR(13)," "),CHAR(10)," "),CHAR(9)," "),CHAR(92),_xlfn.CONCAT(CHAR(92),CHAR(92))),"$",_xlfn.CONCAT(CHAR(92),"$")),CHAR(96),_xlfn.CONCAT(CHAR(92),CHAR(96))),CHAR(34),CHAR(39))))</f>
        <v/>
      </c>
      <c r="S397" s="5" t="str">
        <f>IF(OR(TRIM($B397)="",$I397=""),"",IF(OR(ISNUMBER(SEARCH(_xlfn.CONCAT(CHAR(96),CHAR(34)),$I397)),ISNUMBER(SEARCH(_xlfn.CONCAT(CHAR(34),CHAR(39)),$I397))),_xlfn.CONCAT("* REVIEW REQUIRED: compound-quote delimiter in Derivation on Sheet 1 row ",397,"; edit the input before running."),_xlfn.CONCAT("char ",TRIM($B397),"[doc_derivation] ",CHAR(96),CHAR(34),SUBSTITUTE(SUBSTITUTE(SUBSTITUTE(SUBSTITUTE(SUBSTITUTE(SUBSTITUTE($I397,CHAR(13)," "),CHAR(10)," "),CHAR(9)," "),CHAR(92),_xlfn.CONCAT(CHAR(92),CHAR(92))),"$",_xlfn.CONCAT(CHAR(92),"$")),CHAR(96),_xlfn.CONCAT(CHAR(92),CHAR(96))),CHAR(34),CHAR(39))))</f>
        <v/>
      </c>
      <c r="T397" s="5" t="str">
        <f>IF(OR(TRIM($B397)="",$J397=""),"",IF(OR(ISNUMBER(SEARCH(_xlfn.CONCAT(CHAR(96),CHAR(34)),$J397)),ISNUMBER(SEARCH(_xlfn.CONCAT(CHAR(34),CHAR(39)),$J397))),_xlfn.CONCAT("* REVIEW REQUIRED: compound-quote delimiter in Notes on Sheet 1 row ",397,"; edit the input before running."),_xlfn.CONCAT("char ",TRIM($B397),"[doc_notes] ",CHAR(96),CHAR(34),SUBSTITUTE(SUBSTITUTE(SUBSTITUTE(SUBSTITUTE(SUBSTITUTE(SUBSTITUTE($J397,CHAR(13)," "),CHAR(10)," "),CHAR(9)," "),CHAR(92),_xlfn.CONCAT(CHAR(92),CHAR(92))),"$",_xlfn.CONCAT(CHAR(92),"$")),CHAR(96),_xlfn.CONCAT(CHAR(92),CHAR(96))),CHAR(34),CHAR(39))))</f>
        <v/>
      </c>
      <c r="U397" s="5">
        <f t="shared" si="11"/>
        <v>0</v>
      </c>
    </row>
    <row r="398" spans="3:21" ht="30" customHeight="1" x14ac:dyDescent="0.2">
      <c r="C398" s="4"/>
      <c r="K398" s="5">
        <f t="shared" si="10"/>
        <v>0</v>
      </c>
      <c r="L398" s="5" t="str">
        <f>IF(OR(TRIM($B398)="",$A398=""),"",IF(OR(ISNUMBER(SEARCH(_xlfn.CONCAT(CHAR(96),CHAR(34)),$A398)),ISNUMBER(SEARCH(_xlfn.CONCAT(CHAR(34),CHAR(39)),$A398))),_xlfn.CONCAT("* REVIEW REQUIRED: compound-quote delimiter in Codebook Section on Sheet 1 row ",398,"; edit the input before running."),_xlfn.CONCAT("char ",TRIM($B398),"[doc_section] ",CHAR(96),CHAR(34),SUBSTITUTE(SUBSTITUTE(SUBSTITUTE(SUBSTITUTE(SUBSTITUTE(SUBSTITUTE($A398,CHAR(13)," "),CHAR(10)," "),CHAR(9)," "),CHAR(92),_xlfn.CONCAT(CHAR(92),CHAR(92))),"$",_xlfn.CONCAT(CHAR(92),"$")),CHAR(96),_xlfn.CONCAT(CHAR(92),CHAR(96))),CHAR(34),CHAR(39))))</f>
        <v/>
      </c>
      <c r="M398" s="5" t="str">
        <f>IF(OR(TRIM($B398)="",$C398=""),"",IF(IFERROR(MATCH(TRIM($C398),{"Quantitative","Continuous","Discrete","Categorical","Nominal","Ordinal","Identifier"},0),0)=0,_xlfn.CONCAT("* REVIEW REQUIRED: invalid Variable Type on Sheet 1 row ",398,"."),_xlfn.CONCAT("char ",TRIM($B398),"[doc_vartype] ",CHAR(96),CHAR(34),SUBSTITUTE(SUBSTITUTE(SUBSTITUTE(SUBSTITUTE(SUBSTITUTE(SUBSTITUTE(LOWER(TRIM($C398)),CHAR(13)," "),CHAR(10)," "),CHAR(9)," "),CHAR(92),_xlfn.CONCAT(CHAR(92),CHAR(92))),"$",_xlfn.CONCAT(CHAR(92),"$")),CHAR(96),_xlfn.CONCAT(CHAR(92),CHAR(96))),CHAR(34),CHAR(39))))</f>
        <v/>
      </c>
      <c r="N398" s="5" t="str">
        <f>IF(OR(TRIM($B398)="",$D398=""),"",IF(OR(ISNUMBER(SEARCH(_xlfn.CONCAT(CHAR(96),CHAR(34)),$D398)),ISNUMBER(SEARCH(_xlfn.CONCAT(CHAR(34),CHAR(39)),$D398))),_xlfn.CONCAT("* REVIEW REQUIRED: compound-quote delimiter in Item Number on Sheet 1 row ",398,"; edit the input before running."),_xlfn.CONCAT("char ",TRIM($B398),"[doc_itemnum] ",CHAR(96),CHAR(34),SUBSTITUTE(SUBSTITUTE(SUBSTITUTE(SUBSTITUTE(SUBSTITUTE(SUBSTITUTE($D398,CHAR(13)," "),CHAR(10)," "),CHAR(9)," "),CHAR(92),_xlfn.CONCAT(CHAR(92),CHAR(92))),"$",_xlfn.CONCAT(CHAR(92),"$")),CHAR(96),_xlfn.CONCAT(CHAR(92),CHAR(96))),CHAR(34),CHAR(39))))</f>
        <v/>
      </c>
      <c r="O398" s="5" t="str">
        <f>IF(OR(TRIM($B398)="",$E398=""),"",IF(OR(ISNUMBER(SEARCH(_xlfn.CONCAT(CHAR(96),CHAR(34)),$E398)),ISNUMBER(SEARCH(_xlfn.CONCAT(CHAR(34),CHAR(39)),$E398))),_xlfn.CONCAT("* REVIEW REQUIRED: compound-quote delimiter in Question Wording on Sheet 1 row ",398,"; edit the input before running."),_xlfn.CONCAT("char ",TRIM($B398),"[doc_question] ",CHAR(96),CHAR(34),SUBSTITUTE(SUBSTITUTE(SUBSTITUTE(SUBSTITUTE(SUBSTITUTE(SUBSTITUTE($E398,CHAR(13)," "),CHAR(10)," "),CHAR(9)," "),CHAR(92),_xlfn.CONCAT(CHAR(92),CHAR(92))),"$",_xlfn.CONCAT(CHAR(92),"$")),CHAR(96),_xlfn.CONCAT(CHAR(92),CHAR(96))),CHAR(34),CHAR(39))))</f>
        <v/>
      </c>
      <c r="P398" s="5" t="str">
        <f>IF(OR(TRIM($B398)="",$F398=""),"",IF(OR(ISNUMBER(SEARCH(_xlfn.CONCAT(CHAR(96),CHAR(34)),$F398)),ISNUMBER(SEARCH(_xlfn.CONCAT(CHAR(34),CHAR(39)),$F398))),_xlfn.CONCAT("* REVIEW REQUIRED: compound-quote delimiter in Units on Sheet 1 row ",398,"; edit the input before running."),_xlfn.CONCAT("char ",TRIM($B398),"[doc_units] ",CHAR(96),CHAR(34),SUBSTITUTE(SUBSTITUTE(SUBSTITUTE(SUBSTITUTE(SUBSTITUTE(SUBSTITUTE($F398,CHAR(13)," "),CHAR(10)," "),CHAR(9)," "),CHAR(92),_xlfn.CONCAT(CHAR(92),CHAR(92))),"$",_xlfn.CONCAT(CHAR(92),"$")),CHAR(96),_xlfn.CONCAT(CHAR(92),CHAR(96))),CHAR(34),CHAR(39))))</f>
        <v/>
      </c>
      <c r="Q398" s="5" t="str">
        <f>IF(OR(TRIM($B398)="",$G398=""),"",IF(OR(ISNUMBER(SEARCH(_xlfn.CONCAT(CHAR(96),CHAR(34)),$G398)),ISNUMBER(SEARCH(_xlfn.CONCAT(CHAR(34),CHAR(39)),$G398))),_xlfn.CONCAT("* REVIEW REQUIRED: compound-quote delimiter in Universe on Sheet 1 row ",398,"; edit the input before running."),_xlfn.CONCAT("char ",TRIM($B398),"[doc_universe] ",CHAR(96),CHAR(34),SUBSTITUTE(SUBSTITUTE(SUBSTITUTE(SUBSTITUTE(SUBSTITUTE(SUBSTITUTE($G398,CHAR(13)," "),CHAR(10)," "),CHAR(9)," "),CHAR(92),_xlfn.CONCAT(CHAR(92),CHAR(92))),"$",_xlfn.CONCAT(CHAR(92),"$")),CHAR(96),_xlfn.CONCAT(CHAR(92),CHAR(96))),CHAR(34),CHAR(39))))</f>
        <v/>
      </c>
      <c r="R398" s="5" t="str">
        <f>IF(OR(TRIM($B398)="",$H398=""),"",IF(OR(ISNUMBER(SEARCH(_xlfn.CONCAT(CHAR(96),CHAR(34)),$H398)),ISNUMBER(SEARCH(_xlfn.CONCAT(CHAR(34),CHAR(39)),$H398))),_xlfn.CONCAT("* REVIEW REQUIRED: compound-quote delimiter in Source on Sheet 1 row ",398,"; edit the input before running."),_xlfn.CONCAT("char ",TRIM($B398),"[doc_source] ",CHAR(96),CHAR(34),SUBSTITUTE(SUBSTITUTE(SUBSTITUTE(SUBSTITUTE(SUBSTITUTE(SUBSTITUTE($H398,CHAR(13)," "),CHAR(10)," "),CHAR(9)," "),CHAR(92),_xlfn.CONCAT(CHAR(92),CHAR(92))),"$",_xlfn.CONCAT(CHAR(92),"$")),CHAR(96),_xlfn.CONCAT(CHAR(92),CHAR(96))),CHAR(34),CHAR(39))))</f>
        <v/>
      </c>
      <c r="S398" s="5" t="str">
        <f>IF(OR(TRIM($B398)="",$I398=""),"",IF(OR(ISNUMBER(SEARCH(_xlfn.CONCAT(CHAR(96),CHAR(34)),$I398)),ISNUMBER(SEARCH(_xlfn.CONCAT(CHAR(34),CHAR(39)),$I398))),_xlfn.CONCAT("* REVIEW REQUIRED: compound-quote delimiter in Derivation on Sheet 1 row ",398,"; edit the input before running."),_xlfn.CONCAT("char ",TRIM($B398),"[doc_derivation] ",CHAR(96),CHAR(34),SUBSTITUTE(SUBSTITUTE(SUBSTITUTE(SUBSTITUTE(SUBSTITUTE(SUBSTITUTE($I398,CHAR(13)," "),CHAR(10)," "),CHAR(9)," "),CHAR(92),_xlfn.CONCAT(CHAR(92),CHAR(92))),"$",_xlfn.CONCAT(CHAR(92),"$")),CHAR(96),_xlfn.CONCAT(CHAR(92),CHAR(96))),CHAR(34),CHAR(39))))</f>
        <v/>
      </c>
      <c r="T398" s="5" t="str">
        <f>IF(OR(TRIM($B398)="",$J398=""),"",IF(OR(ISNUMBER(SEARCH(_xlfn.CONCAT(CHAR(96),CHAR(34)),$J398)),ISNUMBER(SEARCH(_xlfn.CONCAT(CHAR(34),CHAR(39)),$J398))),_xlfn.CONCAT("* REVIEW REQUIRED: compound-quote delimiter in Notes on Sheet 1 row ",398,"; edit the input before running."),_xlfn.CONCAT("char ",TRIM($B398),"[doc_notes] ",CHAR(96),CHAR(34),SUBSTITUTE(SUBSTITUTE(SUBSTITUTE(SUBSTITUTE(SUBSTITUTE(SUBSTITUTE($J398,CHAR(13)," "),CHAR(10)," "),CHAR(9)," "),CHAR(92),_xlfn.CONCAT(CHAR(92),CHAR(92))),"$",_xlfn.CONCAT(CHAR(92),"$")),CHAR(96),_xlfn.CONCAT(CHAR(92),CHAR(96))),CHAR(34),CHAR(39))))</f>
        <v/>
      </c>
      <c r="U398" s="5">
        <f t="shared" si="11"/>
        <v>0</v>
      </c>
    </row>
    <row r="399" spans="3:21" ht="30" customHeight="1" x14ac:dyDescent="0.2">
      <c r="C399" s="4"/>
      <c r="K399" s="5">
        <f t="shared" si="10"/>
        <v>0</v>
      </c>
      <c r="L399" s="5" t="str">
        <f>IF(OR(TRIM($B399)="",$A399=""),"",IF(OR(ISNUMBER(SEARCH(_xlfn.CONCAT(CHAR(96),CHAR(34)),$A399)),ISNUMBER(SEARCH(_xlfn.CONCAT(CHAR(34),CHAR(39)),$A399))),_xlfn.CONCAT("* REVIEW REQUIRED: compound-quote delimiter in Codebook Section on Sheet 1 row ",399,"; edit the input before running."),_xlfn.CONCAT("char ",TRIM($B399),"[doc_section] ",CHAR(96),CHAR(34),SUBSTITUTE(SUBSTITUTE(SUBSTITUTE(SUBSTITUTE(SUBSTITUTE(SUBSTITUTE($A399,CHAR(13)," "),CHAR(10)," "),CHAR(9)," "),CHAR(92),_xlfn.CONCAT(CHAR(92),CHAR(92))),"$",_xlfn.CONCAT(CHAR(92),"$")),CHAR(96),_xlfn.CONCAT(CHAR(92),CHAR(96))),CHAR(34),CHAR(39))))</f>
        <v/>
      </c>
      <c r="M399" s="5" t="str">
        <f>IF(OR(TRIM($B399)="",$C399=""),"",IF(IFERROR(MATCH(TRIM($C399),{"Quantitative","Continuous","Discrete","Categorical","Nominal","Ordinal","Identifier"},0),0)=0,_xlfn.CONCAT("* REVIEW REQUIRED: invalid Variable Type on Sheet 1 row ",399,"."),_xlfn.CONCAT("char ",TRIM($B399),"[doc_vartype] ",CHAR(96),CHAR(34),SUBSTITUTE(SUBSTITUTE(SUBSTITUTE(SUBSTITUTE(SUBSTITUTE(SUBSTITUTE(LOWER(TRIM($C399)),CHAR(13)," "),CHAR(10)," "),CHAR(9)," "),CHAR(92),_xlfn.CONCAT(CHAR(92),CHAR(92))),"$",_xlfn.CONCAT(CHAR(92),"$")),CHAR(96),_xlfn.CONCAT(CHAR(92),CHAR(96))),CHAR(34),CHAR(39))))</f>
        <v/>
      </c>
      <c r="N399" s="5" t="str">
        <f>IF(OR(TRIM($B399)="",$D399=""),"",IF(OR(ISNUMBER(SEARCH(_xlfn.CONCAT(CHAR(96),CHAR(34)),$D399)),ISNUMBER(SEARCH(_xlfn.CONCAT(CHAR(34),CHAR(39)),$D399))),_xlfn.CONCAT("* REVIEW REQUIRED: compound-quote delimiter in Item Number on Sheet 1 row ",399,"; edit the input before running."),_xlfn.CONCAT("char ",TRIM($B399),"[doc_itemnum] ",CHAR(96),CHAR(34),SUBSTITUTE(SUBSTITUTE(SUBSTITUTE(SUBSTITUTE(SUBSTITUTE(SUBSTITUTE($D399,CHAR(13)," "),CHAR(10)," "),CHAR(9)," "),CHAR(92),_xlfn.CONCAT(CHAR(92),CHAR(92))),"$",_xlfn.CONCAT(CHAR(92),"$")),CHAR(96),_xlfn.CONCAT(CHAR(92),CHAR(96))),CHAR(34),CHAR(39))))</f>
        <v/>
      </c>
      <c r="O399" s="5" t="str">
        <f>IF(OR(TRIM($B399)="",$E399=""),"",IF(OR(ISNUMBER(SEARCH(_xlfn.CONCAT(CHAR(96),CHAR(34)),$E399)),ISNUMBER(SEARCH(_xlfn.CONCAT(CHAR(34),CHAR(39)),$E399))),_xlfn.CONCAT("* REVIEW REQUIRED: compound-quote delimiter in Question Wording on Sheet 1 row ",399,"; edit the input before running."),_xlfn.CONCAT("char ",TRIM($B399),"[doc_question] ",CHAR(96),CHAR(34),SUBSTITUTE(SUBSTITUTE(SUBSTITUTE(SUBSTITUTE(SUBSTITUTE(SUBSTITUTE($E399,CHAR(13)," "),CHAR(10)," "),CHAR(9)," "),CHAR(92),_xlfn.CONCAT(CHAR(92),CHAR(92))),"$",_xlfn.CONCAT(CHAR(92),"$")),CHAR(96),_xlfn.CONCAT(CHAR(92),CHAR(96))),CHAR(34),CHAR(39))))</f>
        <v/>
      </c>
      <c r="P399" s="5" t="str">
        <f>IF(OR(TRIM($B399)="",$F399=""),"",IF(OR(ISNUMBER(SEARCH(_xlfn.CONCAT(CHAR(96),CHAR(34)),$F399)),ISNUMBER(SEARCH(_xlfn.CONCAT(CHAR(34),CHAR(39)),$F399))),_xlfn.CONCAT("* REVIEW REQUIRED: compound-quote delimiter in Units on Sheet 1 row ",399,"; edit the input before running."),_xlfn.CONCAT("char ",TRIM($B399),"[doc_units] ",CHAR(96),CHAR(34),SUBSTITUTE(SUBSTITUTE(SUBSTITUTE(SUBSTITUTE(SUBSTITUTE(SUBSTITUTE($F399,CHAR(13)," "),CHAR(10)," "),CHAR(9)," "),CHAR(92),_xlfn.CONCAT(CHAR(92),CHAR(92))),"$",_xlfn.CONCAT(CHAR(92),"$")),CHAR(96),_xlfn.CONCAT(CHAR(92),CHAR(96))),CHAR(34),CHAR(39))))</f>
        <v/>
      </c>
      <c r="Q399" s="5" t="str">
        <f>IF(OR(TRIM($B399)="",$G399=""),"",IF(OR(ISNUMBER(SEARCH(_xlfn.CONCAT(CHAR(96),CHAR(34)),$G399)),ISNUMBER(SEARCH(_xlfn.CONCAT(CHAR(34),CHAR(39)),$G399))),_xlfn.CONCAT("* REVIEW REQUIRED: compound-quote delimiter in Universe on Sheet 1 row ",399,"; edit the input before running."),_xlfn.CONCAT("char ",TRIM($B399),"[doc_universe] ",CHAR(96),CHAR(34),SUBSTITUTE(SUBSTITUTE(SUBSTITUTE(SUBSTITUTE(SUBSTITUTE(SUBSTITUTE($G399,CHAR(13)," "),CHAR(10)," "),CHAR(9)," "),CHAR(92),_xlfn.CONCAT(CHAR(92),CHAR(92))),"$",_xlfn.CONCAT(CHAR(92),"$")),CHAR(96),_xlfn.CONCAT(CHAR(92),CHAR(96))),CHAR(34),CHAR(39))))</f>
        <v/>
      </c>
      <c r="R399" s="5" t="str">
        <f>IF(OR(TRIM($B399)="",$H399=""),"",IF(OR(ISNUMBER(SEARCH(_xlfn.CONCAT(CHAR(96),CHAR(34)),$H399)),ISNUMBER(SEARCH(_xlfn.CONCAT(CHAR(34),CHAR(39)),$H399))),_xlfn.CONCAT("* REVIEW REQUIRED: compound-quote delimiter in Source on Sheet 1 row ",399,"; edit the input before running."),_xlfn.CONCAT("char ",TRIM($B399),"[doc_source] ",CHAR(96),CHAR(34),SUBSTITUTE(SUBSTITUTE(SUBSTITUTE(SUBSTITUTE(SUBSTITUTE(SUBSTITUTE($H399,CHAR(13)," "),CHAR(10)," "),CHAR(9)," "),CHAR(92),_xlfn.CONCAT(CHAR(92),CHAR(92))),"$",_xlfn.CONCAT(CHAR(92),"$")),CHAR(96),_xlfn.CONCAT(CHAR(92),CHAR(96))),CHAR(34),CHAR(39))))</f>
        <v/>
      </c>
      <c r="S399" s="5" t="str">
        <f>IF(OR(TRIM($B399)="",$I399=""),"",IF(OR(ISNUMBER(SEARCH(_xlfn.CONCAT(CHAR(96),CHAR(34)),$I399)),ISNUMBER(SEARCH(_xlfn.CONCAT(CHAR(34),CHAR(39)),$I399))),_xlfn.CONCAT("* REVIEW REQUIRED: compound-quote delimiter in Derivation on Sheet 1 row ",399,"; edit the input before running."),_xlfn.CONCAT("char ",TRIM($B399),"[doc_derivation] ",CHAR(96),CHAR(34),SUBSTITUTE(SUBSTITUTE(SUBSTITUTE(SUBSTITUTE(SUBSTITUTE(SUBSTITUTE($I399,CHAR(13)," "),CHAR(10)," "),CHAR(9)," "),CHAR(92),_xlfn.CONCAT(CHAR(92),CHAR(92))),"$",_xlfn.CONCAT(CHAR(92),"$")),CHAR(96),_xlfn.CONCAT(CHAR(92),CHAR(96))),CHAR(34),CHAR(39))))</f>
        <v/>
      </c>
      <c r="T399" s="5" t="str">
        <f>IF(OR(TRIM($B399)="",$J399=""),"",IF(OR(ISNUMBER(SEARCH(_xlfn.CONCAT(CHAR(96),CHAR(34)),$J399)),ISNUMBER(SEARCH(_xlfn.CONCAT(CHAR(34),CHAR(39)),$J399))),_xlfn.CONCAT("* REVIEW REQUIRED: compound-quote delimiter in Notes on Sheet 1 row ",399,"; edit the input before running."),_xlfn.CONCAT("char ",TRIM($B399),"[doc_notes] ",CHAR(96),CHAR(34),SUBSTITUTE(SUBSTITUTE(SUBSTITUTE(SUBSTITUTE(SUBSTITUTE(SUBSTITUTE($J399,CHAR(13)," "),CHAR(10)," "),CHAR(9)," "),CHAR(92),_xlfn.CONCAT(CHAR(92),CHAR(92))),"$",_xlfn.CONCAT(CHAR(92),"$")),CHAR(96),_xlfn.CONCAT(CHAR(92),CHAR(96))),CHAR(34),CHAR(39))))</f>
        <v/>
      </c>
      <c r="U399" s="5">
        <f t="shared" si="11"/>
        <v>0</v>
      </c>
    </row>
    <row r="400" spans="3:21" ht="30" customHeight="1" x14ac:dyDescent="0.2">
      <c r="C400" s="4"/>
      <c r="K400" s="5">
        <f t="shared" si="10"/>
        <v>0</v>
      </c>
      <c r="L400" s="5" t="str">
        <f>IF(OR(TRIM($B400)="",$A400=""),"",IF(OR(ISNUMBER(SEARCH(_xlfn.CONCAT(CHAR(96),CHAR(34)),$A400)),ISNUMBER(SEARCH(_xlfn.CONCAT(CHAR(34),CHAR(39)),$A400))),_xlfn.CONCAT("* REVIEW REQUIRED: compound-quote delimiter in Codebook Section on Sheet 1 row ",400,"; edit the input before running."),_xlfn.CONCAT("char ",TRIM($B400),"[doc_section] ",CHAR(96),CHAR(34),SUBSTITUTE(SUBSTITUTE(SUBSTITUTE(SUBSTITUTE(SUBSTITUTE(SUBSTITUTE($A400,CHAR(13)," "),CHAR(10)," "),CHAR(9)," "),CHAR(92),_xlfn.CONCAT(CHAR(92),CHAR(92))),"$",_xlfn.CONCAT(CHAR(92),"$")),CHAR(96),_xlfn.CONCAT(CHAR(92),CHAR(96))),CHAR(34),CHAR(39))))</f>
        <v/>
      </c>
      <c r="M400" s="5" t="str">
        <f>IF(OR(TRIM($B400)="",$C400=""),"",IF(IFERROR(MATCH(TRIM($C400),{"Quantitative","Continuous","Discrete","Categorical","Nominal","Ordinal","Identifier"},0),0)=0,_xlfn.CONCAT("* REVIEW REQUIRED: invalid Variable Type on Sheet 1 row ",400,"."),_xlfn.CONCAT("char ",TRIM($B400),"[doc_vartype] ",CHAR(96),CHAR(34),SUBSTITUTE(SUBSTITUTE(SUBSTITUTE(SUBSTITUTE(SUBSTITUTE(SUBSTITUTE(LOWER(TRIM($C400)),CHAR(13)," "),CHAR(10)," "),CHAR(9)," "),CHAR(92),_xlfn.CONCAT(CHAR(92),CHAR(92))),"$",_xlfn.CONCAT(CHAR(92),"$")),CHAR(96),_xlfn.CONCAT(CHAR(92),CHAR(96))),CHAR(34),CHAR(39))))</f>
        <v/>
      </c>
      <c r="N400" s="5" t="str">
        <f>IF(OR(TRIM($B400)="",$D400=""),"",IF(OR(ISNUMBER(SEARCH(_xlfn.CONCAT(CHAR(96),CHAR(34)),$D400)),ISNUMBER(SEARCH(_xlfn.CONCAT(CHAR(34),CHAR(39)),$D400))),_xlfn.CONCAT("* REVIEW REQUIRED: compound-quote delimiter in Item Number on Sheet 1 row ",400,"; edit the input before running."),_xlfn.CONCAT("char ",TRIM($B400),"[doc_itemnum] ",CHAR(96),CHAR(34),SUBSTITUTE(SUBSTITUTE(SUBSTITUTE(SUBSTITUTE(SUBSTITUTE(SUBSTITUTE($D400,CHAR(13)," "),CHAR(10)," "),CHAR(9)," "),CHAR(92),_xlfn.CONCAT(CHAR(92),CHAR(92))),"$",_xlfn.CONCAT(CHAR(92),"$")),CHAR(96),_xlfn.CONCAT(CHAR(92),CHAR(96))),CHAR(34),CHAR(39))))</f>
        <v/>
      </c>
      <c r="O400" s="5" t="str">
        <f>IF(OR(TRIM($B400)="",$E400=""),"",IF(OR(ISNUMBER(SEARCH(_xlfn.CONCAT(CHAR(96),CHAR(34)),$E400)),ISNUMBER(SEARCH(_xlfn.CONCAT(CHAR(34),CHAR(39)),$E400))),_xlfn.CONCAT("* REVIEW REQUIRED: compound-quote delimiter in Question Wording on Sheet 1 row ",400,"; edit the input before running."),_xlfn.CONCAT("char ",TRIM($B400),"[doc_question] ",CHAR(96),CHAR(34),SUBSTITUTE(SUBSTITUTE(SUBSTITUTE(SUBSTITUTE(SUBSTITUTE(SUBSTITUTE($E400,CHAR(13)," "),CHAR(10)," "),CHAR(9)," "),CHAR(92),_xlfn.CONCAT(CHAR(92),CHAR(92))),"$",_xlfn.CONCAT(CHAR(92),"$")),CHAR(96),_xlfn.CONCAT(CHAR(92),CHAR(96))),CHAR(34),CHAR(39))))</f>
        <v/>
      </c>
      <c r="P400" s="5" t="str">
        <f>IF(OR(TRIM($B400)="",$F400=""),"",IF(OR(ISNUMBER(SEARCH(_xlfn.CONCAT(CHAR(96),CHAR(34)),$F400)),ISNUMBER(SEARCH(_xlfn.CONCAT(CHAR(34),CHAR(39)),$F400))),_xlfn.CONCAT("* REVIEW REQUIRED: compound-quote delimiter in Units on Sheet 1 row ",400,"; edit the input before running."),_xlfn.CONCAT("char ",TRIM($B400),"[doc_units] ",CHAR(96),CHAR(34),SUBSTITUTE(SUBSTITUTE(SUBSTITUTE(SUBSTITUTE(SUBSTITUTE(SUBSTITUTE($F400,CHAR(13)," "),CHAR(10)," "),CHAR(9)," "),CHAR(92),_xlfn.CONCAT(CHAR(92),CHAR(92))),"$",_xlfn.CONCAT(CHAR(92),"$")),CHAR(96),_xlfn.CONCAT(CHAR(92),CHAR(96))),CHAR(34),CHAR(39))))</f>
        <v/>
      </c>
      <c r="Q400" s="5" t="str">
        <f>IF(OR(TRIM($B400)="",$G400=""),"",IF(OR(ISNUMBER(SEARCH(_xlfn.CONCAT(CHAR(96),CHAR(34)),$G400)),ISNUMBER(SEARCH(_xlfn.CONCAT(CHAR(34),CHAR(39)),$G400))),_xlfn.CONCAT("* REVIEW REQUIRED: compound-quote delimiter in Universe on Sheet 1 row ",400,"; edit the input before running."),_xlfn.CONCAT("char ",TRIM($B400),"[doc_universe] ",CHAR(96),CHAR(34),SUBSTITUTE(SUBSTITUTE(SUBSTITUTE(SUBSTITUTE(SUBSTITUTE(SUBSTITUTE($G400,CHAR(13)," "),CHAR(10)," "),CHAR(9)," "),CHAR(92),_xlfn.CONCAT(CHAR(92),CHAR(92))),"$",_xlfn.CONCAT(CHAR(92),"$")),CHAR(96),_xlfn.CONCAT(CHAR(92),CHAR(96))),CHAR(34),CHAR(39))))</f>
        <v/>
      </c>
      <c r="R400" s="5" t="str">
        <f>IF(OR(TRIM($B400)="",$H400=""),"",IF(OR(ISNUMBER(SEARCH(_xlfn.CONCAT(CHAR(96),CHAR(34)),$H400)),ISNUMBER(SEARCH(_xlfn.CONCAT(CHAR(34),CHAR(39)),$H400))),_xlfn.CONCAT("* REVIEW REQUIRED: compound-quote delimiter in Source on Sheet 1 row ",400,"; edit the input before running."),_xlfn.CONCAT("char ",TRIM($B400),"[doc_source] ",CHAR(96),CHAR(34),SUBSTITUTE(SUBSTITUTE(SUBSTITUTE(SUBSTITUTE(SUBSTITUTE(SUBSTITUTE($H400,CHAR(13)," "),CHAR(10)," "),CHAR(9)," "),CHAR(92),_xlfn.CONCAT(CHAR(92),CHAR(92))),"$",_xlfn.CONCAT(CHAR(92),"$")),CHAR(96),_xlfn.CONCAT(CHAR(92),CHAR(96))),CHAR(34),CHAR(39))))</f>
        <v/>
      </c>
      <c r="S400" s="5" t="str">
        <f>IF(OR(TRIM($B400)="",$I400=""),"",IF(OR(ISNUMBER(SEARCH(_xlfn.CONCAT(CHAR(96),CHAR(34)),$I400)),ISNUMBER(SEARCH(_xlfn.CONCAT(CHAR(34),CHAR(39)),$I400))),_xlfn.CONCAT("* REVIEW REQUIRED: compound-quote delimiter in Derivation on Sheet 1 row ",400,"; edit the input before running."),_xlfn.CONCAT("char ",TRIM($B400),"[doc_derivation] ",CHAR(96),CHAR(34),SUBSTITUTE(SUBSTITUTE(SUBSTITUTE(SUBSTITUTE(SUBSTITUTE(SUBSTITUTE($I400,CHAR(13)," "),CHAR(10)," "),CHAR(9)," "),CHAR(92),_xlfn.CONCAT(CHAR(92),CHAR(92))),"$",_xlfn.CONCAT(CHAR(92),"$")),CHAR(96),_xlfn.CONCAT(CHAR(92),CHAR(96))),CHAR(34),CHAR(39))))</f>
        <v/>
      </c>
      <c r="T400" s="5" t="str">
        <f>IF(OR(TRIM($B400)="",$J400=""),"",IF(OR(ISNUMBER(SEARCH(_xlfn.CONCAT(CHAR(96),CHAR(34)),$J400)),ISNUMBER(SEARCH(_xlfn.CONCAT(CHAR(34),CHAR(39)),$J400))),_xlfn.CONCAT("* REVIEW REQUIRED: compound-quote delimiter in Notes on Sheet 1 row ",400,"; edit the input before running."),_xlfn.CONCAT("char ",TRIM($B400),"[doc_notes] ",CHAR(96),CHAR(34),SUBSTITUTE(SUBSTITUTE(SUBSTITUTE(SUBSTITUTE(SUBSTITUTE(SUBSTITUTE($J400,CHAR(13)," "),CHAR(10)," "),CHAR(9)," "),CHAR(92),_xlfn.CONCAT(CHAR(92),CHAR(92))),"$",_xlfn.CONCAT(CHAR(92),"$")),CHAR(96),_xlfn.CONCAT(CHAR(92),CHAR(96))),CHAR(34),CHAR(39))))</f>
        <v/>
      </c>
      <c r="U400" s="5">
        <f t="shared" si="11"/>
        <v>0</v>
      </c>
    </row>
    <row r="401" spans="3:21" ht="30" customHeight="1" x14ac:dyDescent="0.2">
      <c r="C401" s="4"/>
      <c r="K401" s="5">
        <f t="shared" si="10"/>
        <v>0</v>
      </c>
      <c r="L401" s="5" t="str">
        <f>IF(OR(TRIM($B401)="",$A401=""),"",IF(OR(ISNUMBER(SEARCH(_xlfn.CONCAT(CHAR(96),CHAR(34)),$A401)),ISNUMBER(SEARCH(_xlfn.CONCAT(CHAR(34),CHAR(39)),$A401))),_xlfn.CONCAT("* REVIEW REQUIRED: compound-quote delimiter in Codebook Section on Sheet 1 row ",401,"; edit the input before running."),_xlfn.CONCAT("char ",TRIM($B401),"[doc_section] ",CHAR(96),CHAR(34),SUBSTITUTE(SUBSTITUTE(SUBSTITUTE(SUBSTITUTE(SUBSTITUTE(SUBSTITUTE($A401,CHAR(13)," "),CHAR(10)," "),CHAR(9)," "),CHAR(92),_xlfn.CONCAT(CHAR(92),CHAR(92))),"$",_xlfn.CONCAT(CHAR(92),"$")),CHAR(96),_xlfn.CONCAT(CHAR(92),CHAR(96))),CHAR(34),CHAR(39))))</f>
        <v/>
      </c>
      <c r="M401" s="5" t="str">
        <f>IF(OR(TRIM($B401)="",$C401=""),"",IF(IFERROR(MATCH(TRIM($C401),{"Quantitative","Continuous","Discrete","Categorical","Nominal","Ordinal","Identifier"},0),0)=0,_xlfn.CONCAT("* REVIEW REQUIRED: invalid Variable Type on Sheet 1 row ",401,"."),_xlfn.CONCAT("char ",TRIM($B401),"[doc_vartype] ",CHAR(96),CHAR(34),SUBSTITUTE(SUBSTITUTE(SUBSTITUTE(SUBSTITUTE(SUBSTITUTE(SUBSTITUTE(LOWER(TRIM($C401)),CHAR(13)," "),CHAR(10)," "),CHAR(9)," "),CHAR(92),_xlfn.CONCAT(CHAR(92),CHAR(92))),"$",_xlfn.CONCAT(CHAR(92),"$")),CHAR(96),_xlfn.CONCAT(CHAR(92),CHAR(96))),CHAR(34),CHAR(39))))</f>
        <v/>
      </c>
      <c r="N401" s="5" t="str">
        <f>IF(OR(TRIM($B401)="",$D401=""),"",IF(OR(ISNUMBER(SEARCH(_xlfn.CONCAT(CHAR(96),CHAR(34)),$D401)),ISNUMBER(SEARCH(_xlfn.CONCAT(CHAR(34),CHAR(39)),$D401))),_xlfn.CONCAT("* REVIEW REQUIRED: compound-quote delimiter in Item Number on Sheet 1 row ",401,"; edit the input before running."),_xlfn.CONCAT("char ",TRIM($B401),"[doc_itemnum] ",CHAR(96),CHAR(34),SUBSTITUTE(SUBSTITUTE(SUBSTITUTE(SUBSTITUTE(SUBSTITUTE(SUBSTITUTE($D401,CHAR(13)," "),CHAR(10)," "),CHAR(9)," "),CHAR(92),_xlfn.CONCAT(CHAR(92),CHAR(92))),"$",_xlfn.CONCAT(CHAR(92),"$")),CHAR(96),_xlfn.CONCAT(CHAR(92),CHAR(96))),CHAR(34),CHAR(39))))</f>
        <v/>
      </c>
      <c r="O401" s="5" t="str">
        <f>IF(OR(TRIM($B401)="",$E401=""),"",IF(OR(ISNUMBER(SEARCH(_xlfn.CONCAT(CHAR(96),CHAR(34)),$E401)),ISNUMBER(SEARCH(_xlfn.CONCAT(CHAR(34),CHAR(39)),$E401))),_xlfn.CONCAT("* REVIEW REQUIRED: compound-quote delimiter in Question Wording on Sheet 1 row ",401,"; edit the input before running."),_xlfn.CONCAT("char ",TRIM($B401),"[doc_question] ",CHAR(96),CHAR(34),SUBSTITUTE(SUBSTITUTE(SUBSTITUTE(SUBSTITUTE(SUBSTITUTE(SUBSTITUTE($E401,CHAR(13)," "),CHAR(10)," "),CHAR(9)," "),CHAR(92),_xlfn.CONCAT(CHAR(92),CHAR(92))),"$",_xlfn.CONCAT(CHAR(92),"$")),CHAR(96),_xlfn.CONCAT(CHAR(92),CHAR(96))),CHAR(34),CHAR(39))))</f>
        <v/>
      </c>
      <c r="P401" s="5" t="str">
        <f>IF(OR(TRIM($B401)="",$F401=""),"",IF(OR(ISNUMBER(SEARCH(_xlfn.CONCAT(CHAR(96),CHAR(34)),$F401)),ISNUMBER(SEARCH(_xlfn.CONCAT(CHAR(34),CHAR(39)),$F401))),_xlfn.CONCAT("* REVIEW REQUIRED: compound-quote delimiter in Units on Sheet 1 row ",401,"; edit the input before running."),_xlfn.CONCAT("char ",TRIM($B401),"[doc_units] ",CHAR(96),CHAR(34),SUBSTITUTE(SUBSTITUTE(SUBSTITUTE(SUBSTITUTE(SUBSTITUTE(SUBSTITUTE($F401,CHAR(13)," "),CHAR(10)," "),CHAR(9)," "),CHAR(92),_xlfn.CONCAT(CHAR(92),CHAR(92))),"$",_xlfn.CONCAT(CHAR(92),"$")),CHAR(96),_xlfn.CONCAT(CHAR(92),CHAR(96))),CHAR(34),CHAR(39))))</f>
        <v/>
      </c>
      <c r="Q401" s="5" t="str">
        <f>IF(OR(TRIM($B401)="",$G401=""),"",IF(OR(ISNUMBER(SEARCH(_xlfn.CONCAT(CHAR(96),CHAR(34)),$G401)),ISNUMBER(SEARCH(_xlfn.CONCAT(CHAR(34),CHAR(39)),$G401))),_xlfn.CONCAT("* REVIEW REQUIRED: compound-quote delimiter in Universe on Sheet 1 row ",401,"; edit the input before running."),_xlfn.CONCAT("char ",TRIM($B401),"[doc_universe] ",CHAR(96),CHAR(34),SUBSTITUTE(SUBSTITUTE(SUBSTITUTE(SUBSTITUTE(SUBSTITUTE(SUBSTITUTE($G401,CHAR(13)," "),CHAR(10)," "),CHAR(9)," "),CHAR(92),_xlfn.CONCAT(CHAR(92),CHAR(92))),"$",_xlfn.CONCAT(CHAR(92),"$")),CHAR(96),_xlfn.CONCAT(CHAR(92),CHAR(96))),CHAR(34),CHAR(39))))</f>
        <v/>
      </c>
      <c r="R401" s="5" t="str">
        <f>IF(OR(TRIM($B401)="",$H401=""),"",IF(OR(ISNUMBER(SEARCH(_xlfn.CONCAT(CHAR(96),CHAR(34)),$H401)),ISNUMBER(SEARCH(_xlfn.CONCAT(CHAR(34),CHAR(39)),$H401))),_xlfn.CONCAT("* REVIEW REQUIRED: compound-quote delimiter in Source on Sheet 1 row ",401,"; edit the input before running."),_xlfn.CONCAT("char ",TRIM($B401),"[doc_source] ",CHAR(96),CHAR(34),SUBSTITUTE(SUBSTITUTE(SUBSTITUTE(SUBSTITUTE(SUBSTITUTE(SUBSTITUTE($H401,CHAR(13)," "),CHAR(10)," "),CHAR(9)," "),CHAR(92),_xlfn.CONCAT(CHAR(92),CHAR(92))),"$",_xlfn.CONCAT(CHAR(92),"$")),CHAR(96),_xlfn.CONCAT(CHAR(92),CHAR(96))),CHAR(34),CHAR(39))))</f>
        <v/>
      </c>
      <c r="S401" s="5" t="str">
        <f>IF(OR(TRIM($B401)="",$I401=""),"",IF(OR(ISNUMBER(SEARCH(_xlfn.CONCAT(CHAR(96),CHAR(34)),$I401)),ISNUMBER(SEARCH(_xlfn.CONCAT(CHAR(34),CHAR(39)),$I401))),_xlfn.CONCAT("* REVIEW REQUIRED: compound-quote delimiter in Derivation on Sheet 1 row ",401,"; edit the input before running."),_xlfn.CONCAT("char ",TRIM($B401),"[doc_derivation] ",CHAR(96),CHAR(34),SUBSTITUTE(SUBSTITUTE(SUBSTITUTE(SUBSTITUTE(SUBSTITUTE(SUBSTITUTE($I401,CHAR(13)," "),CHAR(10)," "),CHAR(9)," "),CHAR(92),_xlfn.CONCAT(CHAR(92),CHAR(92))),"$",_xlfn.CONCAT(CHAR(92),"$")),CHAR(96),_xlfn.CONCAT(CHAR(92),CHAR(96))),CHAR(34),CHAR(39))))</f>
        <v/>
      </c>
      <c r="T401" s="5" t="str">
        <f>IF(OR(TRIM($B401)="",$J401=""),"",IF(OR(ISNUMBER(SEARCH(_xlfn.CONCAT(CHAR(96),CHAR(34)),$J401)),ISNUMBER(SEARCH(_xlfn.CONCAT(CHAR(34),CHAR(39)),$J401))),_xlfn.CONCAT("* REVIEW REQUIRED: compound-quote delimiter in Notes on Sheet 1 row ",401,"; edit the input before running."),_xlfn.CONCAT("char ",TRIM($B401),"[doc_notes] ",CHAR(96),CHAR(34),SUBSTITUTE(SUBSTITUTE(SUBSTITUTE(SUBSTITUTE(SUBSTITUTE(SUBSTITUTE($J401,CHAR(13)," "),CHAR(10)," "),CHAR(9)," "),CHAR(92),_xlfn.CONCAT(CHAR(92),CHAR(92))),"$",_xlfn.CONCAT(CHAR(92),"$")),CHAR(96),_xlfn.CONCAT(CHAR(92),CHAR(96))),CHAR(34),CHAR(39))))</f>
        <v/>
      </c>
      <c r="U401" s="5">
        <f t="shared" si="11"/>
        <v>0</v>
      </c>
    </row>
    <row r="402" spans="3:21" ht="30" customHeight="1" x14ac:dyDescent="0.2">
      <c r="C402" s="4"/>
      <c r="K402" s="5">
        <f t="shared" si="10"/>
        <v>0</v>
      </c>
      <c r="L402" s="5" t="str">
        <f>IF(OR(TRIM($B402)="",$A402=""),"",IF(OR(ISNUMBER(SEARCH(_xlfn.CONCAT(CHAR(96),CHAR(34)),$A402)),ISNUMBER(SEARCH(_xlfn.CONCAT(CHAR(34),CHAR(39)),$A402))),_xlfn.CONCAT("* REVIEW REQUIRED: compound-quote delimiter in Codebook Section on Sheet 1 row ",402,"; edit the input before running."),_xlfn.CONCAT("char ",TRIM($B402),"[doc_section] ",CHAR(96),CHAR(34),SUBSTITUTE(SUBSTITUTE(SUBSTITUTE(SUBSTITUTE(SUBSTITUTE(SUBSTITUTE($A402,CHAR(13)," "),CHAR(10)," "),CHAR(9)," "),CHAR(92),_xlfn.CONCAT(CHAR(92),CHAR(92))),"$",_xlfn.CONCAT(CHAR(92),"$")),CHAR(96),_xlfn.CONCAT(CHAR(92),CHAR(96))),CHAR(34),CHAR(39))))</f>
        <v/>
      </c>
      <c r="M402" s="5" t="str">
        <f>IF(OR(TRIM($B402)="",$C402=""),"",IF(IFERROR(MATCH(TRIM($C402),{"Quantitative","Continuous","Discrete","Categorical","Nominal","Ordinal","Identifier"},0),0)=0,_xlfn.CONCAT("* REVIEW REQUIRED: invalid Variable Type on Sheet 1 row ",402,"."),_xlfn.CONCAT("char ",TRIM($B402),"[doc_vartype] ",CHAR(96),CHAR(34),SUBSTITUTE(SUBSTITUTE(SUBSTITUTE(SUBSTITUTE(SUBSTITUTE(SUBSTITUTE(LOWER(TRIM($C402)),CHAR(13)," "),CHAR(10)," "),CHAR(9)," "),CHAR(92),_xlfn.CONCAT(CHAR(92),CHAR(92))),"$",_xlfn.CONCAT(CHAR(92),"$")),CHAR(96),_xlfn.CONCAT(CHAR(92),CHAR(96))),CHAR(34),CHAR(39))))</f>
        <v/>
      </c>
      <c r="N402" s="5" t="str">
        <f>IF(OR(TRIM($B402)="",$D402=""),"",IF(OR(ISNUMBER(SEARCH(_xlfn.CONCAT(CHAR(96),CHAR(34)),$D402)),ISNUMBER(SEARCH(_xlfn.CONCAT(CHAR(34),CHAR(39)),$D402))),_xlfn.CONCAT("* REVIEW REQUIRED: compound-quote delimiter in Item Number on Sheet 1 row ",402,"; edit the input before running."),_xlfn.CONCAT("char ",TRIM($B402),"[doc_itemnum] ",CHAR(96),CHAR(34),SUBSTITUTE(SUBSTITUTE(SUBSTITUTE(SUBSTITUTE(SUBSTITUTE(SUBSTITUTE($D402,CHAR(13)," "),CHAR(10)," "),CHAR(9)," "),CHAR(92),_xlfn.CONCAT(CHAR(92),CHAR(92))),"$",_xlfn.CONCAT(CHAR(92),"$")),CHAR(96),_xlfn.CONCAT(CHAR(92),CHAR(96))),CHAR(34),CHAR(39))))</f>
        <v/>
      </c>
      <c r="O402" s="5" t="str">
        <f>IF(OR(TRIM($B402)="",$E402=""),"",IF(OR(ISNUMBER(SEARCH(_xlfn.CONCAT(CHAR(96),CHAR(34)),$E402)),ISNUMBER(SEARCH(_xlfn.CONCAT(CHAR(34),CHAR(39)),$E402))),_xlfn.CONCAT("* REVIEW REQUIRED: compound-quote delimiter in Question Wording on Sheet 1 row ",402,"; edit the input before running."),_xlfn.CONCAT("char ",TRIM($B402),"[doc_question] ",CHAR(96),CHAR(34),SUBSTITUTE(SUBSTITUTE(SUBSTITUTE(SUBSTITUTE(SUBSTITUTE(SUBSTITUTE($E402,CHAR(13)," "),CHAR(10)," "),CHAR(9)," "),CHAR(92),_xlfn.CONCAT(CHAR(92),CHAR(92))),"$",_xlfn.CONCAT(CHAR(92),"$")),CHAR(96),_xlfn.CONCAT(CHAR(92),CHAR(96))),CHAR(34),CHAR(39))))</f>
        <v/>
      </c>
      <c r="P402" s="5" t="str">
        <f>IF(OR(TRIM($B402)="",$F402=""),"",IF(OR(ISNUMBER(SEARCH(_xlfn.CONCAT(CHAR(96),CHAR(34)),$F402)),ISNUMBER(SEARCH(_xlfn.CONCAT(CHAR(34),CHAR(39)),$F402))),_xlfn.CONCAT("* REVIEW REQUIRED: compound-quote delimiter in Units on Sheet 1 row ",402,"; edit the input before running."),_xlfn.CONCAT("char ",TRIM($B402),"[doc_units] ",CHAR(96),CHAR(34),SUBSTITUTE(SUBSTITUTE(SUBSTITUTE(SUBSTITUTE(SUBSTITUTE(SUBSTITUTE($F402,CHAR(13)," "),CHAR(10)," "),CHAR(9)," "),CHAR(92),_xlfn.CONCAT(CHAR(92),CHAR(92))),"$",_xlfn.CONCAT(CHAR(92),"$")),CHAR(96),_xlfn.CONCAT(CHAR(92),CHAR(96))),CHAR(34),CHAR(39))))</f>
        <v/>
      </c>
      <c r="Q402" s="5" t="str">
        <f>IF(OR(TRIM($B402)="",$G402=""),"",IF(OR(ISNUMBER(SEARCH(_xlfn.CONCAT(CHAR(96),CHAR(34)),$G402)),ISNUMBER(SEARCH(_xlfn.CONCAT(CHAR(34),CHAR(39)),$G402))),_xlfn.CONCAT("* REVIEW REQUIRED: compound-quote delimiter in Universe on Sheet 1 row ",402,"; edit the input before running."),_xlfn.CONCAT("char ",TRIM($B402),"[doc_universe] ",CHAR(96),CHAR(34),SUBSTITUTE(SUBSTITUTE(SUBSTITUTE(SUBSTITUTE(SUBSTITUTE(SUBSTITUTE($G402,CHAR(13)," "),CHAR(10)," "),CHAR(9)," "),CHAR(92),_xlfn.CONCAT(CHAR(92),CHAR(92))),"$",_xlfn.CONCAT(CHAR(92),"$")),CHAR(96),_xlfn.CONCAT(CHAR(92),CHAR(96))),CHAR(34),CHAR(39))))</f>
        <v/>
      </c>
      <c r="R402" s="5" t="str">
        <f>IF(OR(TRIM($B402)="",$H402=""),"",IF(OR(ISNUMBER(SEARCH(_xlfn.CONCAT(CHAR(96),CHAR(34)),$H402)),ISNUMBER(SEARCH(_xlfn.CONCAT(CHAR(34),CHAR(39)),$H402))),_xlfn.CONCAT("* REVIEW REQUIRED: compound-quote delimiter in Source on Sheet 1 row ",402,"; edit the input before running."),_xlfn.CONCAT("char ",TRIM($B402),"[doc_source] ",CHAR(96),CHAR(34),SUBSTITUTE(SUBSTITUTE(SUBSTITUTE(SUBSTITUTE(SUBSTITUTE(SUBSTITUTE($H402,CHAR(13)," "),CHAR(10)," "),CHAR(9)," "),CHAR(92),_xlfn.CONCAT(CHAR(92),CHAR(92))),"$",_xlfn.CONCAT(CHAR(92),"$")),CHAR(96),_xlfn.CONCAT(CHAR(92),CHAR(96))),CHAR(34),CHAR(39))))</f>
        <v/>
      </c>
      <c r="S402" s="5" t="str">
        <f>IF(OR(TRIM($B402)="",$I402=""),"",IF(OR(ISNUMBER(SEARCH(_xlfn.CONCAT(CHAR(96),CHAR(34)),$I402)),ISNUMBER(SEARCH(_xlfn.CONCAT(CHAR(34),CHAR(39)),$I402))),_xlfn.CONCAT("* REVIEW REQUIRED: compound-quote delimiter in Derivation on Sheet 1 row ",402,"; edit the input before running."),_xlfn.CONCAT("char ",TRIM($B402),"[doc_derivation] ",CHAR(96),CHAR(34),SUBSTITUTE(SUBSTITUTE(SUBSTITUTE(SUBSTITUTE(SUBSTITUTE(SUBSTITUTE($I402,CHAR(13)," "),CHAR(10)," "),CHAR(9)," "),CHAR(92),_xlfn.CONCAT(CHAR(92),CHAR(92))),"$",_xlfn.CONCAT(CHAR(92),"$")),CHAR(96),_xlfn.CONCAT(CHAR(92),CHAR(96))),CHAR(34),CHAR(39))))</f>
        <v/>
      </c>
      <c r="T402" s="5" t="str">
        <f>IF(OR(TRIM($B402)="",$J402=""),"",IF(OR(ISNUMBER(SEARCH(_xlfn.CONCAT(CHAR(96),CHAR(34)),$J402)),ISNUMBER(SEARCH(_xlfn.CONCAT(CHAR(34),CHAR(39)),$J402))),_xlfn.CONCAT("* REVIEW REQUIRED: compound-quote delimiter in Notes on Sheet 1 row ",402,"; edit the input before running."),_xlfn.CONCAT("char ",TRIM($B402),"[doc_notes] ",CHAR(96),CHAR(34),SUBSTITUTE(SUBSTITUTE(SUBSTITUTE(SUBSTITUTE(SUBSTITUTE(SUBSTITUTE($J402,CHAR(13)," "),CHAR(10)," "),CHAR(9)," "),CHAR(92),_xlfn.CONCAT(CHAR(92),CHAR(92))),"$",_xlfn.CONCAT(CHAR(92),"$")),CHAR(96),_xlfn.CONCAT(CHAR(92),CHAR(96))),CHAR(34),CHAR(39))))</f>
        <v/>
      </c>
      <c r="U402" s="5">
        <f t="shared" si="11"/>
        <v>0</v>
      </c>
    </row>
    <row r="403" spans="3:21" ht="30" customHeight="1" x14ac:dyDescent="0.2">
      <c r="C403" s="4"/>
      <c r="K403" s="5">
        <f t="shared" si="10"/>
        <v>0</v>
      </c>
      <c r="L403" s="5" t="str">
        <f>IF(OR(TRIM($B403)="",$A403=""),"",IF(OR(ISNUMBER(SEARCH(_xlfn.CONCAT(CHAR(96),CHAR(34)),$A403)),ISNUMBER(SEARCH(_xlfn.CONCAT(CHAR(34),CHAR(39)),$A403))),_xlfn.CONCAT("* REVIEW REQUIRED: compound-quote delimiter in Codebook Section on Sheet 1 row ",403,"; edit the input before running."),_xlfn.CONCAT("char ",TRIM($B403),"[doc_section] ",CHAR(96),CHAR(34),SUBSTITUTE(SUBSTITUTE(SUBSTITUTE(SUBSTITUTE(SUBSTITUTE(SUBSTITUTE($A403,CHAR(13)," "),CHAR(10)," "),CHAR(9)," "),CHAR(92),_xlfn.CONCAT(CHAR(92),CHAR(92))),"$",_xlfn.CONCAT(CHAR(92),"$")),CHAR(96),_xlfn.CONCAT(CHAR(92),CHAR(96))),CHAR(34),CHAR(39))))</f>
        <v/>
      </c>
      <c r="M403" s="5" t="str">
        <f>IF(OR(TRIM($B403)="",$C403=""),"",IF(IFERROR(MATCH(TRIM($C403),{"Quantitative","Continuous","Discrete","Categorical","Nominal","Ordinal","Identifier"},0),0)=0,_xlfn.CONCAT("* REVIEW REQUIRED: invalid Variable Type on Sheet 1 row ",403,"."),_xlfn.CONCAT("char ",TRIM($B403),"[doc_vartype] ",CHAR(96),CHAR(34),SUBSTITUTE(SUBSTITUTE(SUBSTITUTE(SUBSTITUTE(SUBSTITUTE(SUBSTITUTE(LOWER(TRIM($C403)),CHAR(13)," "),CHAR(10)," "),CHAR(9)," "),CHAR(92),_xlfn.CONCAT(CHAR(92),CHAR(92))),"$",_xlfn.CONCAT(CHAR(92),"$")),CHAR(96),_xlfn.CONCAT(CHAR(92),CHAR(96))),CHAR(34),CHAR(39))))</f>
        <v/>
      </c>
      <c r="N403" s="5" t="str">
        <f>IF(OR(TRIM($B403)="",$D403=""),"",IF(OR(ISNUMBER(SEARCH(_xlfn.CONCAT(CHAR(96),CHAR(34)),$D403)),ISNUMBER(SEARCH(_xlfn.CONCAT(CHAR(34),CHAR(39)),$D403))),_xlfn.CONCAT("* REVIEW REQUIRED: compound-quote delimiter in Item Number on Sheet 1 row ",403,"; edit the input before running."),_xlfn.CONCAT("char ",TRIM($B403),"[doc_itemnum] ",CHAR(96),CHAR(34),SUBSTITUTE(SUBSTITUTE(SUBSTITUTE(SUBSTITUTE(SUBSTITUTE(SUBSTITUTE($D403,CHAR(13)," "),CHAR(10)," "),CHAR(9)," "),CHAR(92),_xlfn.CONCAT(CHAR(92),CHAR(92))),"$",_xlfn.CONCAT(CHAR(92),"$")),CHAR(96),_xlfn.CONCAT(CHAR(92),CHAR(96))),CHAR(34),CHAR(39))))</f>
        <v/>
      </c>
      <c r="O403" s="5" t="str">
        <f>IF(OR(TRIM($B403)="",$E403=""),"",IF(OR(ISNUMBER(SEARCH(_xlfn.CONCAT(CHAR(96),CHAR(34)),$E403)),ISNUMBER(SEARCH(_xlfn.CONCAT(CHAR(34),CHAR(39)),$E403))),_xlfn.CONCAT("* REVIEW REQUIRED: compound-quote delimiter in Question Wording on Sheet 1 row ",403,"; edit the input before running."),_xlfn.CONCAT("char ",TRIM($B403),"[doc_question] ",CHAR(96),CHAR(34),SUBSTITUTE(SUBSTITUTE(SUBSTITUTE(SUBSTITUTE(SUBSTITUTE(SUBSTITUTE($E403,CHAR(13)," "),CHAR(10)," "),CHAR(9)," "),CHAR(92),_xlfn.CONCAT(CHAR(92),CHAR(92))),"$",_xlfn.CONCAT(CHAR(92),"$")),CHAR(96),_xlfn.CONCAT(CHAR(92),CHAR(96))),CHAR(34),CHAR(39))))</f>
        <v/>
      </c>
      <c r="P403" s="5" t="str">
        <f>IF(OR(TRIM($B403)="",$F403=""),"",IF(OR(ISNUMBER(SEARCH(_xlfn.CONCAT(CHAR(96),CHAR(34)),$F403)),ISNUMBER(SEARCH(_xlfn.CONCAT(CHAR(34),CHAR(39)),$F403))),_xlfn.CONCAT("* REVIEW REQUIRED: compound-quote delimiter in Units on Sheet 1 row ",403,"; edit the input before running."),_xlfn.CONCAT("char ",TRIM($B403),"[doc_units] ",CHAR(96),CHAR(34),SUBSTITUTE(SUBSTITUTE(SUBSTITUTE(SUBSTITUTE(SUBSTITUTE(SUBSTITUTE($F403,CHAR(13)," "),CHAR(10)," "),CHAR(9)," "),CHAR(92),_xlfn.CONCAT(CHAR(92),CHAR(92))),"$",_xlfn.CONCAT(CHAR(92),"$")),CHAR(96),_xlfn.CONCAT(CHAR(92),CHAR(96))),CHAR(34),CHAR(39))))</f>
        <v/>
      </c>
      <c r="Q403" s="5" t="str">
        <f>IF(OR(TRIM($B403)="",$G403=""),"",IF(OR(ISNUMBER(SEARCH(_xlfn.CONCAT(CHAR(96),CHAR(34)),$G403)),ISNUMBER(SEARCH(_xlfn.CONCAT(CHAR(34),CHAR(39)),$G403))),_xlfn.CONCAT("* REVIEW REQUIRED: compound-quote delimiter in Universe on Sheet 1 row ",403,"; edit the input before running."),_xlfn.CONCAT("char ",TRIM($B403),"[doc_universe] ",CHAR(96),CHAR(34),SUBSTITUTE(SUBSTITUTE(SUBSTITUTE(SUBSTITUTE(SUBSTITUTE(SUBSTITUTE($G403,CHAR(13)," "),CHAR(10)," "),CHAR(9)," "),CHAR(92),_xlfn.CONCAT(CHAR(92),CHAR(92))),"$",_xlfn.CONCAT(CHAR(92),"$")),CHAR(96),_xlfn.CONCAT(CHAR(92),CHAR(96))),CHAR(34),CHAR(39))))</f>
        <v/>
      </c>
      <c r="R403" s="5" t="str">
        <f>IF(OR(TRIM($B403)="",$H403=""),"",IF(OR(ISNUMBER(SEARCH(_xlfn.CONCAT(CHAR(96),CHAR(34)),$H403)),ISNUMBER(SEARCH(_xlfn.CONCAT(CHAR(34),CHAR(39)),$H403))),_xlfn.CONCAT("* REVIEW REQUIRED: compound-quote delimiter in Source on Sheet 1 row ",403,"; edit the input before running."),_xlfn.CONCAT("char ",TRIM($B403),"[doc_source] ",CHAR(96),CHAR(34),SUBSTITUTE(SUBSTITUTE(SUBSTITUTE(SUBSTITUTE(SUBSTITUTE(SUBSTITUTE($H403,CHAR(13)," "),CHAR(10)," "),CHAR(9)," "),CHAR(92),_xlfn.CONCAT(CHAR(92),CHAR(92))),"$",_xlfn.CONCAT(CHAR(92),"$")),CHAR(96),_xlfn.CONCAT(CHAR(92),CHAR(96))),CHAR(34),CHAR(39))))</f>
        <v/>
      </c>
      <c r="S403" s="5" t="str">
        <f>IF(OR(TRIM($B403)="",$I403=""),"",IF(OR(ISNUMBER(SEARCH(_xlfn.CONCAT(CHAR(96),CHAR(34)),$I403)),ISNUMBER(SEARCH(_xlfn.CONCAT(CHAR(34),CHAR(39)),$I403))),_xlfn.CONCAT("* REVIEW REQUIRED: compound-quote delimiter in Derivation on Sheet 1 row ",403,"; edit the input before running."),_xlfn.CONCAT("char ",TRIM($B403),"[doc_derivation] ",CHAR(96),CHAR(34),SUBSTITUTE(SUBSTITUTE(SUBSTITUTE(SUBSTITUTE(SUBSTITUTE(SUBSTITUTE($I403,CHAR(13)," "),CHAR(10)," "),CHAR(9)," "),CHAR(92),_xlfn.CONCAT(CHAR(92),CHAR(92))),"$",_xlfn.CONCAT(CHAR(92),"$")),CHAR(96),_xlfn.CONCAT(CHAR(92),CHAR(96))),CHAR(34),CHAR(39))))</f>
        <v/>
      </c>
      <c r="T403" s="5" t="str">
        <f>IF(OR(TRIM($B403)="",$J403=""),"",IF(OR(ISNUMBER(SEARCH(_xlfn.CONCAT(CHAR(96),CHAR(34)),$J403)),ISNUMBER(SEARCH(_xlfn.CONCAT(CHAR(34),CHAR(39)),$J403))),_xlfn.CONCAT("* REVIEW REQUIRED: compound-quote delimiter in Notes on Sheet 1 row ",403,"; edit the input before running."),_xlfn.CONCAT("char ",TRIM($B403),"[doc_notes] ",CHAR(96),CHAR(34),SUBSTITUTE(SUBSTITUTE(SUBSTITUTE(SUBSTITUTE(SUBSTITUTE(SUBSTITUTE($J403,CHAR(13)," "),CHAR(10)," "),CHAR(9)," "),CHAR(92),_xlfn.CONCAT(CHAR(92),CHAR(92))),"$",_xlfn.CONCAT(CHAR(92),"$")),CHAR(96),_xlfn.CONCAT(CHAR(92),CHAR(96))),CHAR(34),CHAR(39))))</f>
        <v/>
      </c>
      <c r="U403" s="5">
        <f t="shared" si="11"/>
        <v>0</v>
      </c>
    </row>
    <row r="404" spans="3:21" ht="30" customHeight="1" x14ac:dyDescent="0.2">
      <c r="C404" s="4"/>
      <c r="K404" s="5">
        <f t="shared" ref="K404:K467" si="12">COUNTIF(L404:T404,"?*")</f>
        <v>0</v>
      </c>
      <c r="L404" s="5" t="str">
        <f>IF(OR(TRIM($B404)="",$A404=""),"",IF(OR(ISNUMBER(SEARCH(_xlfn.CONCAT(CHAR(96),CHAR(34)),$A404)),ISNUMBER(SEARCH(_xlfn.CONCAT(CHAR(34),CHAR(39)),$A404))),_xlfn.CONCAT("* REVIEW REQUIRED: compound-quote delimiter in Codebook Section on Sheet 1 row ",404,"; edit the input before running."),_xlfn.CONCAT("char ",TRIM($B404),"[doc_section] ",CHAR(96),CHAR(34),SUBSTITUTE(SUBSTITUTE(SUBSTITUTE(SUBSTITUTE(SUBSTITUTE(SUBSTITUTE($A404,CHAR(13)," "),CHAR(10)," "),CHAR(9)," "),CHAR(92),_xlfn.CONCAT(CHAR(92),CHAR(92))),"$",_xlfn.CONCAT(CHAR(92),"$")),CHAR(96),_xlfn.CONCAT(CHAR(92),CHAR(96))),CHAR(34),CHAR(39))))</f>
        <v/>
      </c>
      <c r="M404" s="5" t="str">
        <f>IF(OR(TRIM($B404)="",$C404=""),"",IF(IFERROR(MATCH(TRIM($C404),{"Quantitative","Continuous","Discrete","Categorical","Nominal","Ordinal","Identifier"},0),0)=0,_xlfn.CONCAT("* REVIEW REQUIRED: invalid Variable Type on Sheet 1 row ",404,"."),_xlfn.CONCAT("char ",TRIM($B404),"[doc_vartype] ",CHAR(96),CHAR(34),SUBSTITUTE(SUBSTITUTE(SUBSTITUTE(SUBSTITUTE(SUBSTITUTE(SUBSTITUTE(LOWER(TRIM($C404)),CHAR(13)," "),CHAR(10)," "),CHAR(9)," "),CHAR(92),_xlfn.CONCAT(CHAR(92),CHAR(92))),"$",_xlfn.CONCAT(CHAR(92),"$")),CHAR(96),_xlfn.CONCAT(CHAR(92),CHAR(96))),CHAR(34),CHAR(39))))</f>
        <v/>
      </c>
      <c r="N404" s="5" t="str">
        <f>IF(OR(TRIM($B404)="",$D404=""),"",IF(OR(ISNUMBER(SEARCH(_xlfn.CONCAT(CHAR(96),CHAR(34)),$D404)),ISNUMBER(SEARCH(_xlfn.CONCAT(CHAR(34),CHAR(39)),$D404))),_xlfn.CONCAT("* REVIEW REQUIRED: compound-quote delimiter in Item Number on Sheet 1 row ",404,"; edit the input before running."),_xlfn.CONCAT("char ",TRIM($B404),"[doc_itemnum] ",CHAR(96),CHAR(34),SUBSTITUTE(SUBSTITUTE(SUBSTITUTE(SUBSTITUTE(SUBSTITUTE(SUBSTITUTE($D404,CHAR(13)," "),CHAR(10)," "),CHAR(9)," "),CHAR(92),_xlfn.CONCAT(CHAR(92),CHAR(92))),"$",_xlfn.CONCAT(CHAR(92),"$")),CHAR(96),_xlfn.CONCAT(CHAR(92),CHAR(96))),CHAR(34),CHAR(39))))</f>
        <v/>
      </c>
      <c r="O404" s="5" t="str">
        <f>IF(OR(TRIM($B404)="",$E404=""),"",IF(OR(ISNUMBER(SEARCH(_xlfn.CONCAT(CHAR(96),CHAR(34)),$E404)),ISNUMBER(SEARCH(_xlfn.CONCAT(CHAR(34),CHAR(39)),$E404))),_xlfn.CONCAT("* REVIEW REQUIRED: compound-quote delimiter in Question Wording on Sheet 1 row ",404,"; edit the input before running."),_xlfn.CONCAT("char ",TRIM($B404),"[doc_question] ",CHAR(96),CHAR(34),SUBSTITUTE(SUBSTITUTE(SUBSTITUTE(SUBSTITUTE(SUBSTITUTE(SUBSTITUTE($E404,CHAR(13)," "),CHAR(10)," "),CHAR(9)," "),CHAR(92),_xlfn.CONCAT(CHAR(92),CHAR(92))),"$",_xlfn.CONCAT(CHAR(92),"$")),CHAR(96),_xlfn.CONCAT(CHAR(92),CHAR(96))),CHAR(34),CHAR(39))))</f>
        <v/>
      </c>
      <c r="P404" s="5" t="str">
        <f>IF(OR(TRIM($B404)="",$F404=""),"",IF(OR(ISNUMBER(SEARCH(_xlfn.CONCAT(CHAR(96),CHAR(34)),$F404)),ISNUMBER(SEARCH(_xlfn.CONCAT(CHAR(34),CHAR(39)),$F404))),_xlfn.CONCAT("* REVIEW REQUIRED: compound-quote delimiter in Units on Sheet 1 row ",404,"; edit the input before running."),_xlfn.CONCAT("char ",TRIM($B404),"[doc_units] ",CHAR(96),CHAR(34),SUBSTITUTE(SUBSTITUTE(SUBSTITUTE(SUBSTITUTE(SUBSTITUTE(SUBSTITUTE($F404,CHAR(13)," "),CHAR(10)," "),CHAR(9)," "),CHAR(92),_xlfn.CONCAT(CHAR(92),CHAR(92))),"$",_xlfn.CONCAT(CHAR(92),"$")),CHAR(96),_xlfn.CONCAT(CHAR(92),CHAR(96))),CHAR(34),CHAR(39))))</f>
        <v/>
      </c>
      <c r="Q404" s="5" t="str">
        <f>IF(OR(TRIM($B404)="",$G404=""),"",IF(OR(ISNUMBER(SEARCH(_xlfn.CONCAT(CHAR(96),CHAR(34)),$G404)),ISNUMBER(SEARCH(_xlfn.CONCAT(CHAR(34),CHAR(39)),$G404))),_xlfn.CONCAT("* REVIEW REQUIRED: compound-quote delimiter in Universe on Sheet 1 row ",404,"; edit the input before running."),_xlfn.CONCAT("char ",TRIM($B404),"[doc_universe] ",CHAR(96),CHAR(34),SUBSTITUTE(SUBSTITUTE(SUBSTITUTE(SUBSTITUTE(SUBSTITUTE(SUBSTITUTE($G404,CHAR(13)," "),CHAR(10)," "),CHAR(9)," "),CHAR(92),_xlfn.CONCAT(CHAR(92),CHAR(92))),"$",_xlfn.CONCAT(CHAR(92),"$")),CHAR(96),_xlfn.CONCAT(CHAR(92),CHAR(96))),CHAR(34),CHAR(39))))</f>
        <v/>
      </c>
      <c r="R404" s="5" t="str">
        <f>IF(OR(TRIM($B404)="",$H404=""),"",IF(OR(ISNUMBER(SEARCH(_xlfn.CONCAT(CHAR(96),CHAR(34)),$H404)),ISNUMBER(SEARCH(_xlfn.CONCAT(CHAR(34),CHAR(39)),$H404))),_xlfn.CONCAT("* REVIEW REQUIRED: compound-quote delimiter in Source on Sheet 1 row ",404,"; edit the input before running."),_xlfn.CONCAT("char ",TRIM($B404),"[doc_source] ",CHAR(96),CHAR(34),SUBSTITUTE(SUBSTITUTE(SUBSTITUTE(SUBSTITUTE(SUBSTITUTE(SUBSTITUTE($H404,CHAR(13)," "),CHAR(10)," "),CHAR(9)," "),CHAR(92),_xlfn.CONCAT(CHAR(92),CHAR(92))),"$",_xlfn.CONCAT(CHAR(92),"$")),CHAR(96),_xlfn.CONCAT(CHAR(92),CHAR(96))),CHAR(34),CHAR(39))))</f>
        <v/>
      </c>
      <c r="S404" s="5" t="str">
        <f>IF(OR(TRIM($B404)="",$I404=""),"",IF(OR(ISNUMBER(SEARCH(_xlfn.CONCAT(CHAR(96),CHAR(34)),$I404)),ISNUMBER(SEARCH(_xlfn.CONCAT(CHAR(34),CHAR(39)),$I404))),_xlfn.CONCAT("* REVIEW REQUIRED: compound-quote delimiter in Derivation on Sheet 1 row ",404,"; edit the input before running."),_xlfn.CONCAT("char ",TRIM($B404),"[doc_derivation] ",CHAR(96),CHAR(34),SUBSTITUTE(SUBSTITUTE(SUBSTITUTE(SUBSTITUTE(SUBSTITUTE(SUBSTITUTE($I404,CHAR(13)," "),CHAR(10)," "),CHAR(9)," "),CHAR(92),_xlfn.CONCAT(CHAR(92),CHAR(92))),"$",_xlfn.CONCAT(CHAR(92),"$")),CHAR(96),_xlfn.CONCAT(CHAR(92),CHAR(96))),CHAR(34),CHAR(39))))</f>
        <v/>
      </c>
      <c r="T404" s="5" t="str">
        <f>IF(OR(TRIM($B404)="",$J404=""),"",IF(OR(ISNUMBER(SEARCH(_xlfn.CONCAT(CHAR(96),CHAR(34)),$J404)),ISNUMBER(SEARCH(_xlfn.CONCAT(CHAR(34),CHAR(39)),$J404))),_xlfn.CONCAT("* REVIEW REQUIRED: compound-quote delimiter in Notes on Sheet 1 row ",404,"; edit the input before running."),_xlfn.CONCAT("char ",TRIM($B404),"[doc_notes] ",CHAR(96),CHAR(34),SUBSTITUTE(SUBSTITUTE(SUBSTITUTE(SUBSTITUTE(SUBSTITUTE(SUBSTITUTE($J404,CHAR(13)," "),CHAR(10)," "),CHAR(9)," "),CHAR(92),_xlfn.CONCAT(CHAR(92),CHAR(92))),"$",_xlfn.CONCAT(CHAR(92),"$")),CHAR(96),_xlfn.CONCAT(CHAR(92),CHAR(96))),CHAR(34),CHAR(39))))</f>
        <v/>
      </c>
      <c r="U404" s="5">
        <f t="shared" ref="U404:U467" si="13">COUNTIF(L404:T404,"*REVIEW REQUIRED*")</f>
        <v>0</v>
      </c>
    </row>
    <row r="405" spans="3:21" ht="30" customHeight="1" x14ac:dyDescent="0.2">
      <c r="C405" s="4"/>
      <c r="K405" s="5">
        <f t="shared" si="12"/>
        <v>0</v>
      </c>
      <c r="L405" s="5" t="str">
        <f>IF(OR(TRIM($B405)="",$A405=""),"",IF(OR(ISNUMBER(SEARCH(_xlfn.CONCAT(CHAR(96),CHAR(34)),$A405)),ISNUMBER(SEARCH(_xlfn.CONCAT(CHAR(34),CHAR(39)),$A405))),_xlfn.CONCAT("* REVIEW REQUIRED: compound-quote delimiter in Codebook Section on Sheet 1 row ",405,"; edit the input before running."),_xlfn.CONCAT("char ",TRIM($B405),"[doc_section] ",CHAR(96),CHAR(34),SUBSTITUTE(SUBSTITUTE(SUBSTITUTE(SUBSTITUTE(SUBSTITUTE(SUBSTITUTE($A405,CHAR(13)," "),CHAR(10)," "),CHAR(9)," "),CHAR(92),_xlfn.CONCAT(CHAR(92),CHAR(92))),"$",_xlfn.CONCAT(CHAR(92),"$")),CHAR(96),_xlfn.CONCAT(CHAR(92),CHAR(96))),CHAR(34),CHAR(39))))</f>
        <v/>
      </c>
      <c r="M405" s="5" t="str">
        <f>IF(OR(TRIM($B405)="",$C405=""),"",IF(IFERROR(MATCH(TRIM($C405),{"Quantitative","Continuous","Discrete","Categorical","Nominal","Ordinal","Identifier"},0),0)=0,_xlfn.CONCAT("* REVIEW REQUIRED: invalid Variable Type on Sheet 1 row ",405,"."),_xlfn.CONCAT("char ",TRIM($B405),"[doc_vartype] ",CHAR(96),CHAR(34),SUBSTITUTE(SUBSTITUTE(SUBSTITUTE(SUBSTITUTE(SUBSTITUTE(SUBSTITUTE(LOWER(TRIM($C405)),CHAR(13)," "),CHAR(10)," "),CHAR(9)," "),CHAR(92),_xlfn.CONCAT(CHAR(92),CHAR(92))),"$",_xlfn.CONCAT(CHAR(92),"$")),CHAR(96),_xlfn.CONCAT(CHAR(92),CHAR(96))),CHAR(34),CHAR(39))))</f>
        <v/>
      </c>
      <c r="N405" s="5" t="str">
        <f>IF(OR(TRIM($B405)="",$D405=""),"",IF(OR(ISNUMBER(SEARCH(_xlfn.CONCAT(CHAR(96),CHAR(34)),$D405)),ISNUMBER(SEARCH(_xlfn.CONCAT(CHAR(34),CHAR(39)),$D405))),_xlfn.CONCAT("* REVIEW REQUIRED: compound-quote delimiter in Item Number on Sheet 1 row ",405,"; edit the input before running."),_xlfn.CONCAT("char ",TRIM($B405),"[doc_itemnum] ",CHAR(96),CHAR(34),SUBSTITUTE(SUBSTITUTE(SUBSTITUTE(SUBSTITUTE(SUBSTITUTE(SUBSTITUTE($D405,CHAR(13)," "),CHAR(10)," "),CHAR(9)," "),CHAR(92),_xlfn.CONCAT(CHAR(92),CHAR(92))),"$",_xlfn.CONCAT(CHAR(92),"$")),CHAR(96),_xlfn.CONCAT(CHAR(92),CHAR(96))),CHAR(34),CHAR(39))))</f>
        <v/>
      </c>
      <c r="O405" s="5" t="str">
        <f>IF(OR(TRIM($B405)="",$E405=""),"",IF(OR(ISNUMBER(SEARCH(_xlfn.CONCAT(CHAR(96),CHAR(34)),$E405)),ISNUMBER(SEARCH(_xlfn.CONCAT(CHAR(34),CHAR(39)),$E405))),_xlfn.CONCAT("* REVIEW REQUIRED: compound-quote delimiter in Question Wording on Sheet 1 row ",405,"; edit the input before running."),_xlfn.CONCAT("char ",TRIM($B405),"[doc_question] ",CHAR(96),CHAR(34),SUBSTITUTE(SUBSTITUTE(SUBSTITUTE(SUBSTITUTE(SUBSTITUTE(SUBSTITUTE($E405,CHAR(13)," "),CHAR(10)," "),CHAR(9)," "),CHAR(92),_xlfn.CONCAT(CHAR(92),CHAR(92))),"$",_xlfn.CONCAT(CHAR(92),"$")),CHAR(96),_xlfn.CONCAT(CHAR(92),CHAR(96))),CHAR(34),CHAR(39))))</f>
        <v/>
      </c>
      <c r="P405" s="5" t="str">
        <f>IF(OR(TRIM($B405)="",$F405=""),"",IF(OR(ISNUMBER(SEARCH(_xlfn.CONCAT(CHAR(96),CHAR(34)),$F405)),ISNUMBER(SEARCH(_xlfn.CONCAT(CHAR(34),CHAR(39)),$F405))),_xlfn.CONCAT("* REVIEW REQUIRED: compound-quote delimiter in Units on Sheet 1 row ",405,"; edit the input before running."),_xlfn.CONCAT("char ",TRIM($B405),"[doc_units] ",CHAR(96),CHAR(34),SUBSTITUTE(SUBSTITUTE(SUBSTITUTE(SUBSTITUTE(SUBSTITUTE(SUBSTITUTE($F405,CHAR(13)," "),CHAR(10)," "),CHAR(9)," "),CHAR(92),_xlfn.CONCAT(CHAR(92),CHAR(92))),"$",_xlfn.CONCAT(CHAR(92),"$")),CHAR(96),_xlfn.CONCAT(CHAR(92),CHAR(96))),CHAR(34),CHAR(39))))</f>
        <v/>
      </c>
      <c r="Q405" s="5" t="str">
        <f>IF(OR(TRIM($B405)="",$G405=""),"",IF(OR(ISNUMBER(SEARCH(_xlfn.CONCAT(CHAR(96),CHAR(34)),$G405)),ISNUMBER(SEARCH(_xlfn.CONCAT(CHAR(34),CHAR(39)),$G405))),_xlfn.CONCAT("* REVIEW REQUIRED: compound-quote delimiter in Universe on Sheet 1 row ",405,"; edit the input before running."),_xlfn.CONCAT("char ",TRIM($B405),"[doc_universe] ",CHAR(96),CHAR(34),SUBSTITUTE(SUBSTITUTE(SUBSTITUTE(SUBSTITUTE(SUBSTITUTE(SUBSTITUTE($G405,CHAR(13)," "),CHAR(10)," "),CHAR(9)," "),CHAR(92),_xlfn.CONCAT(CHAR(92),CHAR(92))),"$",_xlfn.CONCAT(CHAR(92),"$")),CHAR(96),_xlfn.CONCAT(CHAR(92),CHAR(96))),CHAR(34),CHAR(39))))</f>
        <v/>
      </c>
      <c r="R405" s="5" t="str">
        <f>IF(OR(TRIM($B405)="",$H405=""),"",IF(OR(ISNUMBER(SEARCH(_xlfn.CONCAT(CHAR(96),CHAR(34)),$H405)),ISNUMBER(SEARCH(_xlfn.CONCAT(CHAR(34),CHAR(39)),$H405))),_xlfn.CONCAT("* REVIEW REQUIRED: compound-quote delimiter in Source on Sheet 1 row ",405,"; edit the input before running."),_xlfn.CONCAT("char ",TRIM($B405),"[doc_source] ",CHAR(96),CHAR(34),SUBSTITUTE(SUBSTITUTE(SUBSTITUTE(SUBSTITUTE(SUBSTITUTE(SUBSTITUTE($H405,CHAR(13)," "),CHAR(10)," "),CHAR(9)," "),CHAR(92),_xlfn.CONCAT(CHAR(92),CHAR(92))),"$",_xlfn.CONCAT(CHAR(92),"$")),CHAR(96),_xlfn.CONCAT(CHAR(92),CHAR(96))),CHAR(34),CHAR(39))))</f>
        <v/>
      </c>
      <c r="S405" s="5" t="str">
        <f>IF(OR(TRIM($B405)="",$I405=""),"",IF(OR(ISNUMBER(SEARCH(_xlfn.CONCAT(CHAR(96),CHAR(34)),$I405)),ISNUMBER(SEARCH(_xlfn.CONCAT(CHAR(34),CHAR(39)),$I405))),_xlfn.CONCAT("* REVIEW REQUIRED: compound-quote delimiter in Derivation on Sheet 1 row ",405,"; edit the input before running."),_xlfn.CONCAT("char ",TRIM($B405),"[doc_derivation] ",CHAR(96),CHAR(34),SUBSTITUTE(SUBSTITUTE(SUBSTITUTE(SUBSTITUTE(SUBSTITUTE(SUBSTITUTE($I405,CHAR(13)," "),CHAR(10)," "),CHAR(9)," "),CHAR(92),_xlfn.CONCAT(CHAR(92),CHAR(92))),"$",_xlfn.CONCAT(CHAR(92),"$")),CHAR(96),_xlfn.CONCAT(CHAR(92),CHAR(96))),CHAR(34),CHAR(39))))</f>
        <v/>
      </c>
      <c r="T405" s="5" t="str">
        <f>IF(OR(TRIM($B405)="",$J405=""),"",IF(OR(ISNUMBER(SEARCH(_xlfn.CONCAT(CHAR(96),CHAR(34)),$J405)),ISNUMBER(SEARCH(_xlfn.CONCAT(CHAR(34),CHAR(39)),$J405))),_xlfn.CONCAT("* REVIEW REQUIRED: compound-quote delimiter in Notes on Sheet 1 row ",405,"; edit the input before running."),_xlfn.CONCAT("char ",TRIM($B405),"[doc_notes] ",CHAR(96),CHAR(34),SUBSTITUTE(SUBSTITUTE(SUBSTITUTE(SUBSTITUTE(SUBSTITUTE(SUBSTITUTE($J405,CHAR(13)," "),CHAR(10)," "),CHAR(9)," "),CHAR(92),_xlfn.CONCAT(CHAR(92),CHAR(92))),"$",_xlfn.CONCAT(CHAR(92),"$")),CHAR(96),_xlfn.CONCAT(CHAR(92),CHAR(96))),CHAR(34),CHAR(39))))</f>
        <v/>
      </c>
      <c r="U405" s="5">
        <f t="shared" si="13"/>
        <v>0</v>
      </c>
    </row>
    <row r="406" spans="3:21" ht="30" customHeight="1" x14ac:dyDescent="0.2">
      <c r="C406" s="4"/>
      <c r="K406" s="5">
        <f t="shared" si="12"/>
        <v>0</v>
      </c>
      <c r="L406" s="5" t="str">
        <f>IF(OR(TRIM($B406)="",$A406=""),"",IF(OR(ISNUMBER(SEARCH(_xlfn.CONCAT(CHAR(96),CHAR(34)),$A406)),ISNUMBER(SEARCH(_xlfn.CONCAT(CHAR(34),CHAR(39)),$A406))),_xlfn.CONCAT("* REVIEW REQUIRED: compound-quote delimiter in Codebook Section on Sheet 1 row ",406,"; edit the input before running."),_xlfn.CONCAT("char ",TRIM($B406),"[doc_section] ",CHAR(96),CHAR(34),SUBSTITUTE(SUBSTITUTE(SUBSTITUTE(SUBSTITUTE(SUBSTITUTE(SUBSTITUTE($A406,CHAR(13)," "),CHAR(10)," "),CHAR(9)," "),CHAR(92),_xlfn.CONCAT(CHAR(92),CHAR(92))),"$",_xlfn.CONCAT(CHAR(92),"$")),CHAR(96),_xlfn.CONCAT(CHAR(92),CHAR(96))),CHAR(34),CHAR(39))))</f>
        <v/>
      </c>
      <c r="M406" s="5" t="str">
        <f>IF(OR(TRIM($B406)="",$C406=""),"",IF(IFERROR(MATCH(TRIM($C406),{"Quantitative","Continuous","Discrete","Categorical","Nominal","Ordinal","Identifier"},0),0)=0,_xlfn.CONCAT("* REVIEW REQUIRED: invalid Variable Type on Sheet 1 row ",406,"."),_xlfn.CONCAT("char ",TRIM($B406),"[doc_vartype] ",CHAR(96),CHAR(34),SUBSTITUTE(SUBSTITUTE(SUBSTITUTE(SUBSTITUTE(SUBSTITUTE(SUBSTITUTE(LOWER(TRIM($C406)),CHAR(13)," "),CHAR(10)," "),CHAR(9)," "),CHAR(92),_xlfn.CONCAT(CHAR(92),CHAR(92))),"$",_xlfn.CONCAT(CHAR(92),"$")),CHAR(96),_xlfn.CONCAT(CHAR(92),CHAR(96))),CHAR(34),CHAR(39))))</f>
        <v/>
      </c>
      <c r="N406" s="5" t="str">
        <f>IF(OR(TRIM($B406)="",$D406=""),"",IF(OR(ISNUMBER(SEARCH(_xlfn.CONCAT(CHAR(96),CHAR(34)),$D406)),ISNUMBER(SEARCH(_xlfn.CONCAT(CHAR(34),CHAR(39)),$D406))),_xlfn.CONCAT("* REVIEW REQUIRED: compound-quote delimiter in Item Number on Sheet 1 row ",406,"; edit the input before running."),_xlfn.CONCAT("char ",TRIM($B406),"[doc_itemnum] ",CHAR(96),CHAR(34),SUBSTITUTE(SUBSTITUTE(SUBSTITUTE(SUBSTITUTE(SUBSTITUTE(SUBSTITUTE($D406,CHAR(13)," "),CHAR(10)," "),CHAR(9)," "),CHAR(92),_xlfn.CONCAT(CHAR(92),CHAR(92))),"$",_xlfn.CONCAT(CHAR(92),"$")),CHAR(96),_xlfn.CONCAT(CHAR(92),CHAR(96))),CHAR(34),CHAR(39))))</f>
        <v/>
      </c>
      <c r="O406" s="5" t="str">
        <f>IF(OR(TRIM($B406)="",$E406=""),"",IF(OR(ISNUMBER(SEARCH(_xlfn.CONCAT(CHAR(96),CHAR(34)),$E406)),ISNUMBER(SEARCH(_xlfn.CONCAT(CHAR(34),CHAR(39)),$E406))),_xlfn.CONCAT("* REVIEW REQUIRED: compound-quote delimiter in Question Wording on Sheet 1 row ",406,"; edit the input before running."),_xlfn.CONCAT("char ",TRIM($B406),"[doc_question] ",CHAR(96),CHAR(34),SUBSTITUTE(SUBSTITUTE(SUBSTITUTE(SUBSTITUTE(SUBSTITUTE(SUBSTITUTE($E406,CHAR(13)," "),CHAR(10)," "),CHAR(9)," "),CHAR(92),_xlfn.CONCAT(CHAR(92),CHAR(92))),"$",_xlfn.CONCAT(CHAR(92),"$")),CHAR(96),_xlfn.CONCAT(CHAR(92),CHAR(96))),CHAR(34),CHAR(39))))</f>
        <v/>
      </c>
      <c r="P406" s="5" t="str">
        <f>IF(OR(TRIM($B406)="",$F406=""),"",IF(OR(ISNUMBER(SEARCH(_xlfn.CONCAT(CHAR(96),CHAR(34)),$F406)),ISNUMBER(SEARCH(_xlfn.CONCAT(CHAR(34),CHAR(39)),$F406))),_xlfn.CONCAT("* REVIEW REQUIRED: compound-quote delimiter in Units on Sheet 1 row ",406,"; edit the input before running."),_xlfn.CONCAT("char ",TRIM($B406),"[doc_units] ",CHAR(96),CHAR(34),SUBSTITUTE(SUBSTITUTE(SUBSTITUTE(SUBSTITUTE(SUBSTITUTE(SUBSTITUTE($F406,CHAR(13)," "),CHAR(10)," "),CHAR(9)," "),CHAR(92),_xlfn.CONCAT(CHAR(92),CHAR(92))),"$",_xlfn.CONCAT(CHAR(92),"$")),CHAR(96),_xlfn.CONCAT(CHAR(92),CHAR(96))),CHAR(34),CHAR(39))))</f>
        <v/>
      </c>
      <c r="Q406" s="5" t="str">
        <f>IF(OR(TRIM($B406)="",$G406=""),"",IF(OR(ISNUMBER(SEARCH(_xlfn.CONCAT(CHAR(96),CHAR(34)),$G406)),ISNUMBER(SEARCH(_xlfn.CONCAT(CHAR(34),CHAR(39)),$G406))),_xlfn.CONCAT("* REVIEW REQUIRED: compound-quote delimiter in Universe on Sheet 1 row ",406,"; edit the input before running."),_xlfn.CONCAT("char ",TRIM($B406),"[doc_universe] ",CHAR(96),CHAR(34),SUBSTITUTE(SUBSTITUTE(SUBSTITUTE(SUBSTITUTE(SUBSTITUTE(SUBSTITUTE($G406,CHAR(13)," "),CHAR(10)," "),CHAR(9)," "),CHAR(92),_xlfn.CONCAT(CHAR(92),CHAR(92))),"$",_xlfn.CONCAT(CHAR(92),"$")),CHAR(96),_xlfn.CONCAT(CHAR(92),CHAR(96))),CHAR(34),CHAR(39))))</f>
        <v/>
      </c>
      <c r="R406" s="5" t="str">
        <f>IF(OR(TRIM($B406)="",$H406=""),"",IF(OR(ISNUMBER(SEARCH(_xlfn.CONCAT(CHAR(96),CHAR(34)),$H406)),ISNUMBER(SEARCH(_xlfn.CONCAT(CHAR(34),CHAR(39)),$H406))),_xlfn.CONCAT("* REVIEW REQUIRED: compound-quote delimiter in Source on Sheet 1 row ",406,"; edit the input before running."),_xlfn.CONCAT("char ",TRIM($B406),"[doc_source] ",CHAR(96),CHAR(34),SUBSTITUTE(SUBSTITUTE(SUBSTITUTE(SUBSTITUTE(SUBSTITUTE(SUBSTITUTE($H406,CHAR(13)," "),CHAR(10)," "),CHAR(9)," "),CHAR(92),_xlfn.CONCAT(CHAR(92),CHAR(92))),"$",_xlfn.CONCAT(CHAR(92),"$")),CHAR(96),_xlfn.CONCAT(CHAR(92),CHAR(96))),CHAR(34),CHAR(39))))</f>
        <v/>
      </c>
      <c r="S406" s="5" t="str">
        <f>IF(OR(TRIM($B406)="",$I406=""),"",IF(OR(ISNUMBER(SEARCH(_xlfn.CONCAT(CHAR(96),CHAR(34)),$I406)),ISNUMBER(SEARCH(_xlfn.CONCAT(CHAR(34),CHAR(39)),$I406))),_xlfn.CONCAT("* REVIEW REQUIRED: compound-quote delimiter in Derivation on Sheet 1 row ",406,"; edit the input before running."),_xlfn.CONCAT("char ",TRIM($B406),"[doc_derivation] ",CHAR(96),CHAR(34),SUBSTITUTE(SUBSTITUTE(SUBSTITUTE(SUBSTITUTE(SUBSTITUTE(SUBSTITUTE($I406,CHAR(13)," "),CHAR(10)," "),CHAR(9)," "),CHAR(92),_xlfn.CONCAT(CHAR(92),CHAR(92))),"$",_xlfn.CONCAT(CHAR(92),"$")),CHAR(96),_xlfn.CONCAT(CHAR(92),CHAR(96))),CHAR(34),CHAR(39))))</f>
        <v/>
      </c>
      <c r="T406" s="5" t="str">
        <f>IF(OR(TRIM($B406)="",$J406=""),"",IF(OR(ISNUMBER(SEARCH(_xlfn.CONCAT(CHAR(96),CHAR(34)),$J406)),ISNUMBER(SEARCH(_xlfn.CONCAT(CHAR(34),CHAR(39)),$J406))),_xlfn.CONCAT("* REVIEW REQUIRED: compound-quote delimiter in Notes on Sheet 1 row ",406,"; edit the input before running."),_xlfn.CONCAT("char ",TRIM($B406),"[doc_notes] ",CHAR(96),CHAR(34),SUBSTITUTE(SUBSTITUTE(SUBSTITUTE(SUBSTITUTE(SUBSTITUTE(SUBSTITUTE($J406,CHAR(13)," "),CHAR(10)," "),CHAR(9)," "),CHAR(92),_xlfn.CONCAT(CHAR(92),CHAR(92))),"$",_xlfn.CONCAT(CHAR(92),"$")),CHAR(96),_xlfn.CONCAT(CHAR(92),CHAR(96))),CHAR(34),CHAR(39))))</f>
        <v/>
      </c>
      <c r="U406" s="5">
        <f t="shared" si="13"/>
        <v>0</v>
      </c>
    </row>
    <row r="407" spans="3:21" ht="30" customHeight="1" x14ac:dyDescent="0.2">
      <c r="C407" s="4"/>
      <c r="K407" s="5">
        <f t="shared" si="12"/>
        <v>0</v>
      </c>
      <c r="L407" s="5" t="str">
        <f>IF(OR(TRIM($B407)="",$A407=""),"",IF(OR(ISNUMBER(SEARCH(_xlfn.CONCAT(CHAR(96),CHAR(34)),$A407)),ISNUMBER(SEARCH(_xlfn.CONCAT(CHAR(34),CHAR(39)),$A407))),_xlfn.CONCAT("* REVIEW REQUIRED: compound-quote delimiter in Codebook Section on Sheet 1 row ",407,"; edit the input before running."),_xlfn.CONCAT("char ",TRIM($B407),"[doc_section] ",CHAR(96),CHAR(34),SUBSTITUTE(SUBSTITUTE(SUBSTITUTE(SUBSTITUTE(SUBSTITUTE(SUBSTITUTE($A407,CHAR(13)," "),CHAR(10)," "),CHAR(9)," "),CHAR(92),_xlfn.CONCAT(CHAR(92),CHAR(92))),"$",_xlfn.CONCAT(CHAR(92),"$")),CHAR(96),_xlfn.CONCAT(CHAR(92),CHAR(96))),CHAR(34),CHAR(39))))</f>
        <v/>
      </c>
      <c r="M407" s="5" t="str">
        <f>IF(OR(TRIM($B407)="",$C407=""),"",IF(IFERROR(MATCH(TRIM($C407),{"Quantitative","Continuous","Discrete","Categorical","Nominal","Ordinal","Identifier"},0),0)=0,_xlfn.CONCAT("* REVIEW REQUIRED: invalid Variable Type on Sheet 1 row ",407,"."),_xlfn.CONCAT("char ",TRIM($B407),"[doc_vartype] ",CHAR(96),CHAR(34),SUBSTITUTE(SUBSTITUTE(SUBSTITUTE(SUBSTITUTE(SUBSTITUTE(SUBSTITUTE(LOWER(TRIM($C407)),CHAR(13)," "),CHAR(10)," "),CHAR(9)," "),CHAR(92),_xlfn.CONCAT(CHAR(92),CHAR(92))),"$",_xlfn.CONCAT(CHAR(92),"$")),CHAR(96),_xlfn.CONCAT(CHAR(92),CHAR(96))),CHAR(34),CHAR(39))))</f>
        <v/>
      </c>
      <c r="N407" s="5" t="str">
        <f>IF(OR(TRIM($B407)="",$D407=""),"",IF(OR(ISNUMBER(SEARCH(_xlfn.CONCAT(CHAR(96),CHAR(34)),$D407)),ISNUMBER(SEARCH(_xlfn.CONCAT(CHAR(34),CHAR(39)),$D407))),_xlfn.CONCAT("* REVIEW REQUIRED: compound-quote delimiter in Item Number on Sheet 1 row ",407,"; edit the input before running."),_xlfn.CONCAT("char ",TRIM($B407),"[doc_itemnum] ",CHAR(96),CHAR(34),SUBSTITUTE(SUBSTITUTE(SUBSTITUTE(SUBSTITUTE(SUBSTITUTE(SUBSTITUTE($D407,CHAR(13)," "),CHAR(10)," "),CHAR(9)," "),CHAR(92),_xlfn.CONCAT(CHAR(92),CHAR(92))),"$",_xlfn.CONCAT(CHAR(92),"$")),CHAR(96),_xlfn.CONCAT(CHAR(92),CHAR(96))),CHAR(34),CHAR(39))))</f>
        <v/>
      </c>
      <c r="O407" s="5" t="str">
        <f>IF(OR(TRIM($B407)="",$E407=""),"",IF(OR(ISNUMBER(SEARCH(_xlfn.CONCAT(CHAR(96),CHAR(34)),$E407)),ISNUMBER(SEARCH(_xlfn.CONCAT(CHAR(34),CHAR(39)),$E407))),_xlfn.CONCAT("* REVIEW REQUIRED: compound-quote delimiter in Question Wording on Sheet 1 row ",407,"; edit the input before running."),_xlfn.CONCAT("char ",TRIM($B407),"[doc_question] ",CHAR(96),CHAR(34),SUBSTITUTE(SUBSTITUTE(SUBSTITUTE(SUBSTITUTE(SUBSTITUTE(SUBSTITUTE($E407,CHAR(13)," "),CHAR(10)," "),CHAR(9)," "),CHAR(92),_xlfn.CONCAT(CHAR(92),CHAR(92))),"$",_xlfn.CONCAT(CHAR(92),"$")),CHAR(96),_xlfn.CONCAT(CHAR(92),CHAR(96))),CHAR(34),CHAR(39))))</f>
        <v/>
      </c>
      <c r="P407" s="5" t="str">
        <f>IF(OR(TRIM($B407)="",$F407=""),"",IF(OR(ISNUMBER(SEARCH(_xlfn.CONCAT(CHAR(96),CHAR(34)),$F407)),ISNUMBER(SEARCH(_xlfn.CONCAT(CHAR(34),CHAR(39)),$F407))),_xlfn.CONCAT("* REVIEW REQUIRED: compound-quote delimiter in Units on Sheet 1 row ",407,"; edit the input before running."),_xlfn.CONCAT("char ",TRIM($B407),"[doc_units] ",CHAR(96),CHAR(34),SUBSTITUTE(SUBSTITUTE(SUBSTITUTE(SUBSTITUTE(SUBSTITUTE(SUBSTITUTE($F407,CHAR(13)," "),CHAR(10)," "),CHAR(9)," "),CHAR(92),_xlfn.CONCAT(CHAR(92),CHAR(92))),"$",_xlfn.CONCAT(CHAR(92),"$")),CHAR(96),_xlfn.CONCAT(CHAR(92),CHAR(96))),CHAR(34),CHAR(39))))</f>
        <v/>
      </c>
      <c r="Q407" s="5" t="str">
        <f>IF(OR(TRIM($B407)="",$G407=""),"",IF(OR(ISNUMBER(SEARCH(_xlfn.CONCAT(CHAR(96),CHAR(34)),$G407)),ISNUMBER(SEARCH(_xlfn.CONCAT(CHAR(34),CHAR(39)),$G407))),_xlfn.CONCAT("* REVIEW REQUIRED: compound-quote delimiter in Universe on Sheet 1 row ",407,"; edit the input before running."),_xlfn.CONCAT("char ",TRIM($B407),"[doc_universe] ",CHAR(96),CHAR(34),SUBSTITUTE(SUBSTITUTE(SUBSTITUTE(SUBSTITUTE(SUBSTITUTE(SUBSTITUTE($G407,CHAR(13)," "),CHAR(10)," "),CHAR(9)," "),CHAR(92),_xlfn.CONCAT(CHAR(92),CHAR(92))),"$",_xlfn.CONCAT(CHAR(92),"$")),CHAR(96),_xlfn.CONCAT(CHAR(92),CHAR(96))),CHAR(34),CHAR(39))))</f>
        <v/>
      </c>
      <c r="R407" s="5" t="str">
        <f>IF(OR(TRIM($B407)="",$H407=""),"",IF(OR(ISNUMBER(SEARCH(_xlfn.CONCAT(CHAR(96),CHAR(34)),$H407)),ISNUMBER(SEARCH(_xlfn.CONCAT(CHAR(34),CHAR(39)),$H407))),_xlfn.CONCAT("* REVIEW REQUIRED: compound-quote delimiter in Source on Sheet 1 row ",407,"; edit the input before running."),_xlfn.CONCAT("char ",TRIM($B407),"[doc_source] ",CHAR(96),CHAR(34),SUBSTITUTE(SUBSTITUTE(SUBSTITUTE(SUBSTITUTE(SUBSTITUTE(SUBSTITUTE($H407,CHAR(13)," "),CHAR(10)," "),CHAR(9)," "),CHAR(92),_xlfn.CONCAT(CHAR(92),CHAR(92))),"$",_xlfn.CONCAT(CHAR(92),"$")),CHAR(96),_xlfn.CONCAT(CHAR(92),CHAR(96))),CHAR(34),CHAR(39))))</f>
        <v/>
      </c>
      <c r="S407" s="5" t="str">
        <f>IF(OR(TRIM($B407)="",$I407=""),"",IF(OR(ISNUMBER(SEARCH(_xlfn.CONCAT(CHAR(96),CHAR(34)),$I407)),ISNUMBER(SEARCH(_xlfn.CONCAT(CHAR(34),CHAR(39)),$I407))),_xlfn.CONCAT("* REVIEW REQUIRED: compound-quote delimiter in Derivation on Sheet 1 row ",407,"; edit the input before running."),_xlfn.CONCAT("char ",TRIM($B407),"[doc_derivation] ",CHAR(96),CHAR(34),SUBSTITUTE(SUBSTITUTE(SUBSTITUTE(SUBSTITUTE(SUBSTITUTE(SUBSTITUTE($I407,CHAR(13)," "),CHAR(10)," "),CHAR(9)," "),CHAR(92),_xlfn.CONCAT(CHAR(92),CHAR(92))),"$",_xlfn.CONCAT(CHAR(92),"$")),CHAR(96),_xlfn.CONCAT(CHAR(92),CHAR(96))),CHAR(34),CHAR(39))))</f>
        <v/>
      </c>
      <c r="T407" s="5" t="str">
        <f>IF(OR(TRIM($B407)="",$J407=""),"",IF(OR(ISNUMBER(SEARCH(_xlfn.CONCAT(CHAR(96),CHAR(34)),$J407)),ISNUMBER(SEARCH(_xlfn.CONCAT(CHAR(34),CHAR(39)),$J407))),_xlfn.CONCAT("* REVIEW REQUIRED: compound-quote delimiter in Notes on Sheet 1 row ",407,"; edit the input before running."),_xlfn.CONCAT("char ",TRIM($B407),"[doc_notes] ",CHAR(96),CHAR(34),SUBSTITUTE(SUBSTITUTE(SUBSTITUTE(SUBSTITUTE(SUBSTITUTE(SUBSTITUTE($J407,CHAR(13)," "),CHAR(10)," "),CHAR(9)," "),CHAR(92),_xlfn.CONCAT(CHAR(92),CHAR(92))),"$",_xlfn.CONCAT(CHAR(92),"$")),CHAR(96),_xlfn.CONCAT(CHAR(92),CHAR(96))),CHAR(34),CHAR(39))))</f>
        <v/>
      </c>
      <c r="U407" s="5">
        <f t="shared" si="13"/>
        <v>0</v>
      </c>
    </row>
    <row r="408" spans="3:21" ht="30" customHeight="1" x14ac:dyDescent="0.2">
      <c r="C408" s="4"/>
      <c r="K408" s="5">
        <f t="shared" si="12"/>
        <v>0</v>
      </c>
      <c r="L408" s="5" t="str">
        <f>IF(OR(TRIM($B408)="",$A408=""),"",IF(OR(ISNUMBER(SEARCH(_xlfn.CONCAT(CHAR(96),CHAR(34)),$A408)),ISNUMBER(SEARCH(_xlfn.CONCAT(CHAR(34),CHAR(39)),$A408))),_xlfn.CONCAT("* REVIEW REQUIRED: compound-quote delimiter in Codebook Section on Sheet 1 row ",408,"; edit the input before running."),_xlfn.CONCAT("char ",TRIM($B408),"[doc_section] ",CHAR(96),CHAR(34),SUBSTITUTE(SUBSTITUTE(SUBSTITUTE(SUBSTITUTE(SUBSTITUTE(SUBSTITUTE($A408,CHAR(13)," "),CHAR(10)," "),CHAR(9)," "),CHAR(92),_xlfn.CONCAT(CHAR(92),CHAR(92))),"$",_xlfn.CONCAT(CHAR(92),"$")),CHAR(96),_xlfn.CONCAT(CHAR(92),CHAR(96))),CHAR(34),CHAR(39))))</f>
        <v/>
      </c>
      <c r="M408" s="5" t="str">
        <f>IF(OR(TRIM($B408)="",$C408=""),"",IF(IFERROR(MATCH(TRIM($C408),{"Quantitative","Continuous","Discrete","Categorical","Nominal","Ordinal","Identifier"},0),0)=0,_xlfn.CONCAT("* REVIEW REQUIRED: invalid Variable Type on Sheet 1 row ",408,"."),_xlfn.CONCAT("char ",TRIM($B408),"[doc_vartype] ",CHAR(96),CHAR(34),SUBSTITUTE(SUBSTITUTE(SUBSTITUTE(SUBSTITUTE(SUBSTITUTE(SUBSTITUTE(LOWER(TRIM($C408)),CHAR(13)," "),CHAR(10)," "),CHAR(9)," "),CHAR(92),_xlfn.CONCAT(CHAR(92),CHAR(92))),"$",_xlfn.CONCAT(CHAR(92),"$")),CHAR(96),_xlfn.CONCAT(CHAR(92),CHAR(96))),CHAR(34),CHAR(39))))</f>
        <v/>
      </c>
      <c r="N408" s="5" t="str">
        <f>IF(OR(TRIM($B408)="",$D408=""),"",IF(OR(ISNUMBER(SEARCH(_xlfn.CONCAT(CHAR(96),CHAR(34)),$D408)),ISNUMBER(SEARCH(_xlfn.CONCAT(CHAR(34),CHAR(39)),$D408))),_xlfn.CONCAT("* REVIEW REQUIRED: compound-quote delimiter in Item Number on Sheet 1 row ",408,"; edit the input before running."),_xlfn.CONCAT("char ",TRIM($B408),"[doc_itemnum] ",CHAR(96),CHAR(34),SUBSTITUTE(SUBSTITUTE(SUBSTITUTE(SUBSTITUTE(SUBSTITUTE(SUBSTITUTE($D408,CHAR(13)," "),CHAR(10)," "),CHAR(9)," "),CHAR(92),_xlfn.CONCAT(CHAR(92),CHAR(92))),"$",_xlfn.CONCAT(CHAR(92),"$")),CHAR(96),_xlfn.CONCAT(CHAR(92),CHAR(96))),CHAR(34),CHAR(39))))</f>
        <v/>
      </c>
      <c r="O408" s="5" t="str">
        <f>IF(OR(TRIM($B408)="",$E408=""),"",IF(OR(ISNUMBER(SEARCH(_xlfn.CONCAT(CHAR(96),CHAR(34)),$E408)),ISNUMBER(SEARCH(_xlfn.CONCAT(CHAR(34),CHAR(39)),$E408))),_xlfn.CONCAT("* REVIEW REQUIRED: compound-quote delimiter in Question Wording on Sheet 1 row ",408,"; edit the input before running."),_xlfn.CONCAT("char ",TRIM($B408),"[doc_question] ",CHAR(96),CHAR(34),SUBSTITUTE(SUBSTITUTE(SUBSTITUTE(SUBSTITUTE(SUBSTITUTE(SUBSTITUTE($E408,CHAR(13)," "),CHAR(10)," "),CHAR(9)," "),CHAR(92),_xlfn.CONCAT(CHAR(92),CHAR(92))),"$",_xlfn.CONCAT(CHAR(92),"$")),CHAR(96),_xlfn.CONCAT(CHAR(92),CHAR(96))),CHAR(34),CHAR(39))))</f>
        <v/>
      </c>
      <c r="P408" s="5" t="str">
        <f>IF(OR(TRIM($B408)="",$F408=""),"",IF(OR(ISNUMBER(SEARCH(_xlfn.CONCAT(CHAR(96),CHAR(34)),$F408)),ISNUMBER(SEARCH(_xlfn.CONCAT(CHAR(34),CHAR(39)),$F408))),_xlfn.CONCAT("* REVIEW REQUIRED: compound-quote delimiter in Units on Sheet 1 row ",408,"; edit the input before running."),_xlfn.CONCAT("char ",TRIM($B408),"[doc_units] ",CHAR(96),CHAR(34),SUBSTITUTE(SUBSTITUTE(SUBSTITUTE(SUBSTITUTE(SUBSTITUTE(SUBSTITUTE($F408,CHAR(13)," "),CHAR(10)," "),CHAR(9)," "),CHAR(92),_xlfn.CONCAT(CHAR(92),CHAR(92))),"$",_xlfn.CONCAT(CHAR(92),"$")),CHAR(96),_xlfn.CONCAT(CHAR(92),CHAR(96))),CHAR(34),CHAR(39))))</f>
        <v/>
      </c>
      <c r="Q408" s="5" t="str">
        <f>IF(OR(TRIM($B408)="",$G408=""),"",IF(OR(ISNUMBER(SEARCH(_xlfn.CONCAT(CHAR(96),CHAR(34)),$G408)),ISNUMBER(SEARCH(_xlfn.CONCAT(CHAR(34),CHAR(39)),$G408))),_xlfn.CONCAT("* REVIEW REQUIRED: compound-quote delimiter in Universe on Sheet 1 row ",408,"; edit the input before running."),_xlfn.CONCAT("char ",TRIM($B408),"[doc_universe] ",CHAR(96),CHAR(34),SUBSTITUTE(SUBSTITUTE(SUBSTITUTE(SUBSTITUTE(SUBSTITUTE(SUBSTITUTE($G408,CHAR(13)," "),CHAR(10)," "),CHAR(9)," "),CHAR(92),_xlfn.CONCAT(CHAR(92),CHAR(92))),"$",_xlfn.CONCAT(CHAR(92),"$")),CHAR(96),_xlfn.CONCAT(CHAR(92),CHAR(96))),CHAR(34),CHAR(39))))</f>
        <v/>
      </c>
      <c r="R408" s="5" t="str">
        <f>IF(OR(TRIM($B408)="",$H408=""),"",IF(OR(ISNUMBER(SEARCH(_xlfn.CONCAT(CHAR(96),CHAR(34)),$H408)),ISNUMBER(SEARCH(_xlfn.CONCAT(CHAR(34),CHAR(39)),$H408))),_xlfn.CONCAT("* REVIEW REQUIRED: compound-quote delimiter in Source on Sheet 1 row ",408,"; edit the input before running."),_xlfn.CONCAT("char ",TRIM($B408),"[doc_source] ",CHAR(96),CHAR(34),SUBSTITUTE(SUBSTITUTE(SUBSTITUTE(SUBSTITUTE(SUBSTITUTE(SUBSTITUTE($H408,CHAR(13)," "),CHAR(10)," "),CHAR(9)," "),CHAR(92),_xlfn.CONCAT(CHAR(92),CHAR(92))),"$",_xlfn.CONCAT(CHAR(92),"$")),CHAR(96),_xlfn.CONCAT(CHAR(92),CHAR(96))),CHAR(34),CHAR(39))))</f>
        <v/>
      </c>
      <c r="S408" s="5" t="str">
        <f>IF(OR(TRIM($B408)="",$I408=""),"",IF(OR(ISNUMBER(SEARCH(_xlfn.CONCAT(CHAR(96),CHAR(34)),$I408)),ISNUMBER(SEARCH(_xlfn.CONCAT(CHAR(34),CHAR(39)),$I408))),_xlfn.CONCAT("* REVIEW REQUIRED: compound-quote delimiter in Derivation on Sheet 1 row ",408,"; edit the input before running."),_xlfn.CONCAT("char ",TRIM($B408),"[doc_derivation] ",CHAR(96),CHAR(34),SUBSTITUTE(SUBSTITUTE(SUBSTITUTE(SUBSTITUTE(SUBSTITUTE(SUBSTITUTE($I408,CHAR(13)," "),CHAR(10)," "),CHAR(9)," "),CHAR(92),_xlfn.CONCAT(CHAR(92),CHAR(92))),"$",_xlfn.CONCAT(CHAR(92),"$")),CHAR(96),_xlfn.CONCAT(CHAR(92),CHAR(96))),CHAR(34),CHAR(39))))</f>
        <v/>
      </c>
      <c r="T408" s="5" t="str">
        <f>IF(OR(TRIM($B408)="",$J408=""),"",IF(OR(ISNUMBER(SEARCH(_xlfn.CONCAT(CHAR(96),CHAR(34)),$J408)),ISNUMBER(SEARCH(_xlfn.CONCAT(CHAR(34),CHAR(39)),$J408))),_xlfn.CONCAT("* REVIEW REQUIRED: compound-quote delimiter in Notes on Sheet 1 row ",408,"; edit the input before running."),_xlfn.CONCAT("char ",TRIM($B408),"[doc_notes] ",CHAR(96),CHAR(34),SUBSTITUTE(SUBSTITUTE(SUBSTITUTE(SUBSTITUTE(SUBSTITUTE(SUBSTITUTE($J408,CHAR(13)," "),CHAR(10)," "),CHAR(9)," "),CHAR(92),_xlfn.CONCAT(CHAR(92),CHAR(92))),"$",_xlfn.CONCAT(CHAR(92),"$")),CHAR(96),_xlfn.CONCAT(CHAR(92),CHAR(96))),CHAR(34),CHAR(39))))</f>
        <v/>
      </c>
      <c r="U408" s="5">
        <f t="shared" si="13"/>
        <v>0</v>
      </c>
    </row>
    <row r="409" spans="3:21" ht="30" customHeight="1" x14ac:dyDescent="0.2">
      <c r="C409" s="4"/>
      <c r="K409" s="5">
        <f t="shared" si="12"/>
        <v>0</v>
      </c>
      <c r="L409" s="5" t="str">
        <f>IF(OR(TRIM($B409)="",$A409=""),"",IF(OR(ISNUMBER(SEARCH(_xlfn.CONCAT(CHAR(96),CHAR(34)),$A409)),ISNUMBER(SEARCH(_xlfn.CONCAT(CHAR(34),CHAR(39)),$A409))),_xlfn.CONCAT("* REVIEW REQUIRED: compound-quote delimiter in Codebook Section on Sheet 1 row ",409,"; edit the input before running."),_xlfn.CONCAT("char ",TRIM($B409),"[doc_section] ",CHAR(96),CHAR(34),SUBSTITUTE(SUBSTITUTE(SUBSTITUTE(SUBSTITUTE(SUBSTITUTE(SUBSTITUTE($A409,CHAR(13)," "),CHAR(10)," "),CHAR(9)," "),CHAR(92),_xlfn.CONCAT(CHAR(92),CHAR(92))),"$",_xlfn.CONCAT(CHAR(92),"$")),CHAR(96),_xlfn.CONCAT(CHAR(92),CHAR(96))),CHAR(34),CHAR(39))))</f>
        <v/>
      </c>
      <c r="M409" s="5" t="str">
        <f>IF(OR(TRIM($B409)="",$C409=""),"",IF(IFERROR(MATCH(TRIM($C409),{"Quantitative","Continuous","Discrete","Categorical","Nominal","Ordinal","Identifier"},0),0)=0,_xlfn.CONCAT("* REVIEW REQUIRED: invalid Variable Type on Sheet 1 row ",409,"."),_xlfn.CONCAT("char ",TRIM($B409),"[doc_vartype] ",CHAR(96),CHAR(34),SUBSTITUTE(SUBSTITUTE(SUBSTITUTE(SUBSTITUTE(SUBSTITUTE(SUBSTITUTE(LOWER(TRIM($C409)),CHAR(13)," "),CHAR(10)," "),CHAR(9)," "),CHAR(92),_xlfn.CONCAT(CHAR(92),CHAR(92))),"$",_xlfn.CONCAT(CHAR(92),"$")),CHAR(96),_xlfn.CONCAT(CHAR(92),CHAR(96))),CHAR(34),CHAR(39))))</f>
        <v/>
      </c>
      <c r="N409" s="5" t="str">
        <f>IF(OR(TRIM($B409)="",$D409=""),"",IF(OR(ISNUMBER(SEARCH(_xlfn.CONCAT(CHAR(96),CHAR(34)),$D409)),ISNUMBER(SEARCH(_xlfn.CONCAT(CHAR(34),CHAR(39)),$D409))),_xlfn.CONCAT("* REVIEW REQUIRED: compound-quote delimiter in Item Number on Sheet 1 row ",409,"; edit the input before running."),_xlfn.CONCAT("char ",TRIM($B409),"[doc_itemnum] ",CHAR(96),CHAR(34),SUBSTITUTE(SUBSTITUTE(SUBSTITUTE(SUBSTITUTE(SUBSTITUTE(SUBSTITUTE($D409,CHAR(13)," "),CHAR(10)," "),CHAR(9)," "),CHAR(92),_xlfn.CONCAT(CHAR(92),CHAR(92))),"$",_xlfn.CONCAT(CHAR(92),"$")),CHAR(96),_xlfn.CONCAT(CHAR(92),CHAR(96))),CHAR(34),CHAR(39))))</f>
        <v/>
      </c>
      <c r="O409" s="5" t="str">
        <f>IF(OR(TRIM($B409)="",$E409=""),"",IF(OR(ISNUMBER(SEARCH(_xlfn.CONCAT(CHAR(96),CHAR(34)),$E409)),ISNUMBER(SEARCH(_xlfn.CONCAT(CHAR(34),CHAR(39)),$E409))),_xlfn.CONCAT("* REVIEW REQUIRED: compound-quote delimiter in Question Wording on Sheet 1 row ",409,"; edit the input before running."),_xlfn.CONCAT("char ",TRIM($B409),"[doc_question] ",CHAR(96),CHAR(34),SUBSTITUTE(SUBSTITUTE(SUBSTITUTE(SUBSTITUTE(SUBSTITUTE(SUBSTITUTE($E409,CHAR(13)," "),CHAR(10)," "),CHAR(9)," "),CHAR(92),_xlfn.CONCAT(CHAR(92),CHAR(92))),"$",_xlfn.CONCAT(CHAR(92),"$")),CHAR(96),_xlfn.CONCAT(CHAR(92),CHAR(96))),CHAR(34),CHAR(39))))</f>
        <v/>
      </c>
      <c r="P409" s="5" t="str">
        <f>IF(OR(TRIM($B409)="",$F409=""),"",IF(OR(ISNUMBER(SEARCH(_xlfn.CONCAT(CHAR(96),CHAR(34)),$F409)),ISNUMBER(SEARCH(_xlfn.CONCAT(CHAR(34),CHAR(39)),$F409))),_xlfn.CONCAT("* REVIEW REQUIRED: compound-quote delimiter in Units on Sheet 1 row ",409,"; edit the input before running."),_xlfn.CONCAT("char ",TRIM($B409),"[doc_units] ",CHAR(96),CHAR(34),SUBSTITUTE(SUBSTITUTE(SUBSTITUTE(SUBSTITUTE(SUBSTITUTE(SUBSTITUTE($F409,CHAR(13)," "),CHAR(10)," "),CHAR(9)," "),CHAR(92),_xlfn.CONCAT(CHAR(92),CHAR(92))),"$",_xlfn.CONCAT(CHAR(92),"$")),CHAR(96),_xlfn.CONCAT(CHAR(92),CHAR(96))),CHAR(34),CHAR(39))))</f>
        <v/>
      </c>
      <c r="Q409" s="5" t="str">
        <f>IF(OR(TRIM($B409)="",$G409=""),"",IF(OR(ISNUMBER(SEARCH(_xlfn.CONCAT(CHAR(96),CHAR(34)),$G409)),ISNUMBER(SEARCH(_xlfn.CONCAT(CHAR(34),CHAR(39)),$G409))),_xlfn.CONCAT("* REVIEW REQUIRED: compound-quote delimiter in Universe on Sheet 1 row ",409,"; edit the input before running."),_xlfn.CONCAT("char ",TRIM($B409),"[doc_universe] ",CHAR(96),CHAR(34),SUBSTITUTE(SUBSTITUTE(SUBSTITUTE(SUBSTITUTE(SUBSTITUTE(SUBSTITUTE($G409,CHAR(13)," "),CHAR(10)," "),CHAR(9)," "),CHAR(92),_xlfn.CONCAT(CHAR(92),CHAR(92))),"$",_xlfn.CONCAT(CHAR(92),"$")),CHAR(96),_xlfn.CONCAT(CHAR(92),CHAR(96))),CHAR(34),CHAR(39))))</f>
        <v/>
      </c>
      <c r="R409" s="5" t="str">
        <f>IF(OR(TRIM($B409)="",$H409=""),"",IF(OR(ISNUMBER(SEARCH(_xlfn.CONCAT(CHAR(96),CHAR(34)),$H409)),ISNUMBER(SEARCH(_xlfn.CONCAT(CHAR(34),CHAR(39)),$H409))),_xlfn.CONCAT("* REVIEW REQUIRED: compound-quote delimiter in Source on Sheet 1 row ",409,"; edit the input before running."),_xlfn.CONCAT("char ",TRIM($B409),"[doc_source] ",CHAR(96),CHAR(34),SUBSTITUTE(SUBSTITUTE(SUBSTITUTE(SUBSTITUTE(SUBSTITUTE(SUBSTITUTE($H409,CHAR(13)," "),CHAR(10)," "),CHAR(9)," "),CHAR(92),_xlfn.CONCAT(CHAR(92),CHAR(92))),"$",_xlfn.CONCAT(CHAR(92),"$")),CHAR(96),_xlfn.CONCAT(CHAR(92),CHAR(96))),CHAR(34),CHAR(39))))</f>
        <v/>
      </c>
      <c r="S409" s="5" t="str">
        <f>IF(OR(TRIM($B409)="",$I409=""),"",IF(OR(ISNUMBER(SEARCH(_xlfn.CONCAT(CHAR(96),CHAR(34)),$I409)),ISNUMBER(SEARCH(_xlfn.CONCAT(CHAR(34),CHAR(39)),$I409))),_xlfn.CONCAT("* REVIEW REQUIRED: compound-quote delimiter in Derivation on Sheet 1 row ",409,"; edit the input before running."),_xlfn.CONCAT("char ",TRIM($B409),"[doc_derivation] ",CHAR(96),CHAR(34),SUBSTITUTE(SUBSTITUTE(SUBSTITUTE(SUBSTITUTE(SUBSTITUTE(SUBSTITUTE($I409,CHAR(13)," "),CHAR(10)," "),CHAR(9)," "),CHAR(92),_xlfn.CONCAT(CHAR(92),CHAR(92))),"$",_xlfn.CONCAT(CHAR(92),"$")),CHAR(96),_xlfn.CONCAT(CHAR(92),CHAR(96))),CHAR(34),CHAR(39))))</f>
        <v/>
      </c>
      <c r="T409" s="5" t="str">
        <f>IF(OR(TRIM($B409)="",$J409=""),"",IF(OR(ISNUMBER(SEARCH(_xlfn.CONCAT(CHAR(96),CHAR(34)),$J409)),ISNUMBER(SEARCH(_xlfn.CONCAT(CHAR(34),CHAR(39)),$J409))),_xlfn.CONCAT("* REVIEW REQUIRED: compound-quote delimiter in Notes on Sheet 1 row ",409,"; edit the input before running."),_xlfn.CONCAT("char ",TRIM($B409),"[doc_notes] ",CHAR(96),CHAR(34),SUBSTITUTE(SUBSTITUTE(SUBSTITUTE(SUBSTITUTE(SUBSTITUTE(SUBSTITUTE($J409,CHAR(13)," "),CHAR(10)," "),CHAR(9)," "),CHAR(92),_xlfn.CONCAT(CHAR(92),CHAR(92))),"$",_xlfn.CONCAT(CHAR(92),"$")),CHAR(96),_xlfn.CONCAT(CHAR(92),CHAR(96))),CHAR(34),CHAR(39))))</f>
        <v/>
      </c>
      <c r="U409" s="5">
        <f t="shared" si="13"/>
        <v>0</v>
      </c>
    </row>
    <row r="410" spans="3:21" ht="30" customHeight="1" x14ac:dyDescent="0.2">
      <c r="C410" s="4"/>
      <c r="K410" s="5">
        <f t="shared" si="12"/>
        <v>0</v>
      </c>
      <c r="L410" s="5" t="str">
        <f>IF(OR(TRIM($B410)="",$A410=""),"",IF(OR(ISNUMBER(SEARCH(_xlfn.CONCAT(CHAR(96),CHAR(34)),$A410)),ISNUMBER(SEARCH(_xlfn.CONCAT(CHAR(34),CHAR(39)),$A410))),_xlfn.CONCAT("* REVIEW REQUIRED: compound-quote delimiter in Codebook Section on Sheet 1 row ",410,"; edit the input before running."),_xlfn.CONCAT("char ",TRIM($B410),"[doc_section] ",CHAR(96),CHAR(34),SUBSTITUTE(SUBSTITUTE(SUBSTITUTE(SUBSTITUTE(SUBSTITUTE(SUBSTITUTE($A410,CHAR(13)," "),CHAR(10)," "),CHAR(9)," "),CHAR(92),_xlfn.CONCAT(CHAR(92),CHAR(92))),"$",_xlfn.CONCAT(CHAR(92),"$")),CHAR(96),_xlfn.CONCAT(CHAR(92),CHAR(96))),CHAR(34),CHAR(39))))</f>
        <v/>
      </c>
      <c r="M410" s="5" t="str">
        <f>IF(OR(TRIM($B410)="",$C410=""),"",IF(IFERROR(MATCH(TRIM($C410),{"Quantitative","Continuous","Discrete","Categorical","Nominal","Ordinal","Identifier"},0),0)=0,_xlfn.CONCAT("* REVIEW REQUIRED: invalid Variable Type on Sheet 1 row ",410,"."),_xlfn.CONCAT("char ",TRIM($B410),"[doc_vartype] ",CHAR(96),CHAR(34),SUBSTITUTE(SUBSTITUTE(SUBSTITUTE(SUBSTITUTE(SUBSTITUTE(SUBSTITUTE(LOWER(TRIM($C410)),CHAR(13)," "),CHAR(10)," "),CHAR(9)," "),CHAR(92),_xlfn.CONCAT(CHAR(92),CHAR(92))),"$",_xlfn.CONCAT(CHAR(92),"$")),CHAR(96),_xlfn.CONCAT(CHAR(92),CHAR(96))),CHAR(34),CHAR(39))))</f>
        <v/>
      </c>
      <c r="N410" s="5" t="str">
        <f>IF(OR(TRIM($B410)="",$D410=""),"",IF(OR(ISNUMBER(SEARCH(_xlfn.CONCAT(CHAR(96),CHAR(34)),$D410)),ISNUMBER(SEARCH(_xlfn.CONCAT(CHAR(34),CHAR(39)),$D410))),_xlfn.CONCAT("* REVIEW REQUIRED: compound-quote delimiter in Item Number on Sheet 1 row ",410,"; edit the input before running."),_xlfn.CONCAT("char ",TRIM($B410),"[doc_itemnum] ",CHAR(96),CHAR(34),SUBSTITUTE(SUBSTITUTE(SUBSTITUTE(SUBSTITUTE(SUBSTITUTE(SUBSTITUTE($D410,CHAR(13)," "),CHAR(10)," "),CHAR(9)," "),CHAR(92),_xlfn.CONCAT(CHAR(92),CHAR(92))),"$",_xlfn.CONCAT(CHAR(92),"$")),CHAR(96),_xlfn.CONCAT(CHAR(92),CHAR(96))),CHAR(34),CHAR(39))))</f>
        <v/>
      </c>
      <c r="O410" s="5" t="str">
        <f>IF(OR(TRIM($B410)="",$E410=""),"",IF(OR(ISNUMBER(SEARCH(_xlfn.CONCAT(CHAR(96),CHAR(34)),$E410)),ISNUMBER(SEARCH(_xlfn.CONCAT(CHAR(34),CHAR(39)),$E410))),_xlfn.CONCAT("* REVIEW REQUIRED: compound-quote delimiter in Question Wording on Sheet 1 row ",410,"; edit the input before running."),_xlfn.CONCAT("char ",TRIM($B410),"[doc_question] ",CHAR(96),CHAR(34),SUBSTITUTE(SUBSTITUTE(SUBSTITUTE(SUBSTITUTE(SUBSTITUTE(SUBSTITUTE($E410,CHAR(13)," "),CHAR(10)," "),CHAR(9)," "),CHAR(92),_xlfn.CONCAT(CHAR(92),CHAR(92))),"$",_xlfn.CONCAT(CHAR(92),"$")),CHAR(96),_xlfn.CONCAT(CHAR(92),CHAR(96))),CHAR(34),CHAR(39))))</f>
        <v/>
      </c>
      <c r="P410" s="5" t="str">
        <f>IF(OR(TRIM($B410)="",$F410=""),"",IF(OR(ISNUMBER(SEARCH(_xlfn.CONCAT(CHAR(96),CHAR(34)),$F410)),ISNUMBER(SEARCH(_xlfn.CONCAT(CHAR(34),CHAR(39)),$F410))),_xlfn.CONCAT("* REVIEW REQUIRED: compound-quote delimiter in Units on Sheet 1 row ",410,"; edit the input before running."),_xlfn.CONCAT("char ",TRIM($B410),"[doc_units] ",CHAR(96),CHAR(34),SUBSTITUTE(SUBSTITUTE(SUBSTITUTE(SUBSTITUTE(SUBSTITUTE(SUBSTITUTE($F410,CHAR(13)," "),CHAR(10)," "),CHAR(9)," "),CHAR(92),_xlfn.CONCAT(CHAR(92),CHAR(92))),"$",_xlfn.CONCAT(CHAR(92),"$")),CHAR(96),_xlfn.CONCAT(CHAR(92),CHAR(96))),CHAR(34),CHAR(39))))</f>
        <v/>
      </c>
      <c r="Q410" s="5" t="str">
        <f>IF(OR(TRIM($B410)="",$G410=""),"",IF(OR(ISNUMBER(SEARCH(_xlfn.CONCAT(CHAR(96),CHAR(34)),$G410)),ISNUMBER(SEARCH(_xlfn.CONCAT(CHAR(34),CHAR(39)),$G410))),_xlfn.CONCAT("* REVIEW REQUIRED: compound-quote delimiter in Universe on Sheet 1 row ",410,"; edit the input before running."),_xlfn.CONCAT("char ",TRIM($B410),"[doc_universe] ",CHAR(96),CHAR(34),SUBSTITUTE(SUBSTITUTE(SUBSTITUTE(SUBSTITUTE(SUBSTITUTE(SUBSTITUTE($G410,CHAR(13)," "),CHAR(10)," "),CHAR(9)," "),CHAR(92),_xlfn.CONCAT(CHAR(92),CHAR(92))),"$",_xlfn.CONCAT(CHAR(92),"$")),CHAR(96),_xlfn.CONCAT(CHAR(92),CHAR(96))),CHAR(34),CHAR(39))))</f>
        <v/>
      </c>
      <c r="R410" s="5" t="str">
        <f>IF(OR(TRIM($B410)="",$H410=""),"",IF(OR(ISNUMBER(SEARCH(_xlfn.CONCAT(CHAR(96),CHAR(34)),$H410)),ISNUMBER(SEARCH(_xlfn.CONCAT(CHAR(34),CHAR(39)),$H410))),_xlfn.CONCAT("* REVIEW REQUIRED: compound-quote delimiter in Source on Sheet 1 row ",410,"; edit the input before running."),_xlfn.CONCAT("char ",TRIM($B410),"[doc_source] ",CHAR(96),CHAR(34),SUBSTITUTE(SUBSTITUTE(SUBSTITUTE(SUBSTITUTE(SUBSTITUTE(SUBSTITUTE($H410,CHAR(13)," "),CHAR(10)," "),CHAR(9)," "),CHAR(92),_xlfn.CONCAT(CHAR(92),CHAR(92))),"$",_xlfn.CONCAT(CHAR(92),"$")),CHAR(96),_xlfn.CONCAT(CHAR(92),CHAR(96))),CHAR(34),CHAR(39))))</f>
        <v/>
      </c>
      <c r="S410" s="5" t="str">
        <f>IF(OR(TRIM($B410)="",$I410=""),"",IF(OR(ISNUMBER(SEARCH(_xlfn.CONCAT(CHAR(96),CHAR(34)),$I410)),ISNUMBER(SEARCH(_xlfn.CONCAT(CHAR(34),CHAR(39)),$I410))),_xlfn.CONCAT("* REVIEW REQUIRED: compound-quote delimiter in Derivation on Sheet 1 row ",410,"; edit the input before running."),_xlfn.CONCAT("char ",TRIM($B410),"[doc_derivation] ",CHAR(96),CHAR(34),SUBSTITUTE(SUBSTITUTE(SUBSTITUTE(SUBSTITUTE(SUBSTITUTE(SUBSTITUTE($I410,CHAR(13)," "),CHAR(10)," "),CHAR(9)," "),CHAR(92),_xlfn.CONCAT(CHAR(92),CHAR(92))),"$",_xlfn.CONCAT(CHAR(92),"$")),CHAR(96),_xlfn.CONCAT(CHAR(92),CHAR(96))),CHAR(34),CHAR(39))))</f>
        <v/>
      </c>
      <c r="T410" s="5" t="str">
        <f>IF(OR(TRIM($B410)="",$J410=""),"",IF(OR(ISNUMBER(SEARCH(_xlfn.CONCAT(CHAR(96),CHAR(34)),$J410)),ISNUMBER(SEARCH(_xlfn.CONCAT(CHAR(34),CHAR(39)),$J410))),_xlfn.CONCAT("* REVIEW REQUIRED: compound-quote delimiter in Notes on Sheet 1 row ",410,"; edit the input before running."),_xlfn.CONCAT("char ",TRIM($B410),"[doc_notes] ",CHAR(96),CHAR(34),SUBSTITUTE(SUBSTITUTE(SUBSTITUTE(SUBSTITUTE(SUBSTITUTE(SUBSTITUTE($J410,CHAR(13)," "),CHAR(10)," "),CHAR(9)," "),CHAR(92),_xlfn.CONCAT(CHAR(92),CHAR(92))),"$",_xlfn.CONCAT(CHAR(92),"$")),CHAR(96),_xlfn.CONCAT(CHAR(92),CHAR(96))),CHAR(34),CHAR(39))))</f>
        <v/>
      </c>
      <c r="U410" s="5">
        <f t="shared" si="13"/>
        <v>0</v>
      </c>
    </row>
    <row r="411" spans="3:21" ht="30" customHeight="1" x14ac:dyDescent="0.2">
      <c r="C411" s="4"/>
      <c r="K411" s="5">
        <f t="shared" si="12"/>
        <v>0</v>
      </c>
      <c r="L411" s="5" t="str">
        <f>IF(OR(TRIM($B411)="",$A411=""),"",IF(OR(ISNUMBER(SEARCH(_xlfn.CONCAT(CHAR(96),CHAR(34)),$A411)),ISNUMBER(SEARCH(_xlfn.CONCAT(CHAR(34),CHAR(39)),$A411))),_xlfn.CONCAT("* REVIEW REQUIRED: compound-quote delimiter in Codebook Section on Sheet 1 row ",411,"; edit the input before running."),_xlfn.CONCAT("char ",TRIM($B411),"[doc_section] ",CHAR(96),CHAR(34),SUBSTITUTE(SUBSTITUTE(SUBSTITUTE(SUBSTITUTE(SUBSTITUTE(SUBSTITUTE($A411,CHAR(13)," "),CHAR(10)," "),CHAR(9)," "),CHAR(92),_xlfn.CONCAT(CHAR(92),CHAR(92))),"$",_xlfn.CONCAT(CHAR(92),"$")),CHAR(96),_xlfn.CONCAT(CHAR(92),CHAR(96))),CHAR(34),CHAR(39))))</f>
        <v/>
      </c>
      <c r="M411" s="5" t="str">
        <f>IF(OR(TRIM($B411)="",$C411=""),"",IF(IFERROR(MATCH(TRIM($C411),{"Quantitative","Continuous","Discrete","Categorical","Nominal","Ordinal","Identifier"},0),0)=0,_xlfn.CONCAT("* REVIEW REQUIRED: invalid Variable Type on Sheet 1 row ",411,"."),_xlfn.CONCAT("char ",TRIM($B411),"[doc_vartype] ",CHAR(96),CHAR(34),SUBSTITUTE(SUBSTITUTE(SUBSTITUTE(SUBSTITUTE(SUBSTITUTE(SUBSTITUTE(LOWER(TRIM($C411)),CHAR(13)," "),CHAR(10)," "),CHAR(9)," "),CHAR(92),_xlfn.CONCAT(CHAR(92),CHAR(92))),"$",_xlfn.CONCAT(CHAR(92),"$")),CHAR(96),_xlfn.CONCAT(CHAR(92),CHAR(96))),CHAR(34),CHAR(39))))</f>
        <v/>
      </c>
      <c r="N411" s="5" t="str">
        <f>IF(OR(TRIM($B411)="",$D411=""),"",IF(OR(ISNUMBER(SEARCH(_xlfn.CONCAT(CHAR(96),CHAR(34)),$D411)),ISNUMBER(SEARCH(_xlfn.CONCAT(CHAR(34),CHAR(39)),$D411))),_xlfn.CONCAT("* REVIEW REQUIRED: compound-quote delimiter in Item Number on Sheet 1 row ",411,"; edit the input before running."),_xlfn.CONCAT("char ",TRIM($B411),"[doc_itemnum] ",CHAR(96),CHAR(34),SUBSTITUTE(SUBSTITUTE(SUBSTITUTE(SUBSTITUTE(SUBSTITUTE(SUBSTITUTE($D411,CHAR(13)," "),CHAR(10)," "),CHAR(9)," "),CHAR(92),_xlfn.CONCAT(CHAR(92),CHAR(92))),"$",_xlfn.CONCAT(CHAR(92),"$")),CHAR(96),_xlfn.CONCAT(CHAR(92),CHAR(96))),CHAR(34),CHAR(39))))</f>
        <v/>
      </c>
      <c r="O411" s="5" t="str">
        <f>IF(OR(TRIM($B411)="",$E411=""),"",IF(OR(ISNUMBER(SEARCH(_xlfn.CONCAT(CHAR(96),CHAR(34)),$E411)),ISNUMBER(SEARCH(_xlfn.CONCAT(CHAR(34),CHAR(39)),$E411))),_xlfn.CONCAT("* REVIEW REQUIRED: compound-quote delimiter in Question Wording on Sheet 1 row ",411,"; edit the input before running."),_xlfn.CONCAT("char ",TRIM($B411),"[doc_question] ",CHAR(96),CHAR(34),SUBSTITUTE(SUBSTITUTE(SUBSTITUTE(SUBSTITUTE(SUBSTITUTE(SUBSTITUTE($E411,CHAR(13)," "),CHAR(10)," "),CHAR(9)," "),CHAR(92),_xlfn.CONCAT(CHAR(92),CHAR(92))),"$",_xlfn.CONCAT(CHAR(92),"$")),CHAR(96),_xlfn.CONCAT(CHAR(92),CHAR(96))),CHAR(34),CHAR(39))))</f>
        <v/>
      </c>
      <c r="P411" s="5" t="str">
        <f>IF(OR(TRIM($B411)="",$F411=""),"",IF(OR(ISNUMBER(SEARCH(_xlfn.CONCAT(CHAR(96),CHAR(34)),$F411)),ISNUMBER(SEARCH(_xlfn.CONCAT(CHAR(34),CHAR(39)),$F411))),_xlfn.CONCAT("* REVIEW REQUIRED: compound-quote delimiter in Units on Sheet 1 row ",411,"; edit the input before running."),_xlfn.CONCAT("char ",TRIM($B411),"[doc_units] ",CHAR(96),CHAR(34),SUBSTITUTE(SUBSTITUTE(SUBSTITUTE(SUBSTITUTE(SUBSTITUTE(SUBSTITUTE($F411,CHAR(13)," "),CHAR(10)," "),CHAR(9)," "),CHAR(92),_xlfn.CONCAT(CHAR(92),CHAR(92))),"$",_xlfn.CONCAT(CHAR(92),"$")),CHAR(96),_xlfn.CONCAT(CHAR(92),CHAR(96))),CHAR(34),CHAR(39))))</f>
        <v/>
      </c>
      <c r="Q411" s="5" t="str">
        <f>IF(OR(TRIM($B411)="",$G411=""),"",IF(OR(ISNUMBER(SEARCH(_xlfn.CONCAT(CHAR(96),CHAR(34)),$G411)),ISNUMBER(SEARCH(_xlfn.CONCAT(CHAR(34),CHAR(39)),$G411))),_xlfn.CONCAT("* REVIEW REQUIRED: compound-quote delimiter in Universe on Sheet 1 row ",411,"; edit the input before running."),_xlfn.CONCAT("char ",TRIM($B411),"[doc_universe] ",CHAR(96),CHAR(34),SUBSTITUTE(SUBSTITUTE(SUBSTITUTE(SUBSTITUTE(SUBSTITUTE(SUBSTITUTE($G411,CHAR(13)," "),CHAR(10)," "),CHAR(9)," "),CHAR(92),_xlfn.CONCAT(CHAR(92),CHAR(92))),"$",_xlfn.CONCAT(CHAR(92),"$")),CHAR(96),_xlfn.CONCAT(CHAR(92),CHAR(96))),CHAR(34),CHAR(39))))</f>
        <v/>
      </c>
      <c r="R411" s="5" t="str">
        <f>IF(OR(TRIM($B411)="",$H411=""),"",IF(OR(ISNUMBER(SEARCH(_xlfn.CONCAT(CHAR(96),CHAR(34)),$H411)),ISNUMBER(SEARCH(_xlfn.CONCAT(CHAR(34),CHAR(39)),$H411))),_xlfn.CONCAT("* REVIEW REQUIRED: compound-quote delimiter in Source on Sheet 1 row ",411,"; edit the input before running."),_xlfn.CONCAT("char ",TRIM($B411),"[doc_source] ",CHAR(96),CHAR(34),SUBSTITUTE(SUBSTITUTE(SUBSTITUTE(SUBSTITUTE(SUBSTITUTE(SUBSTITUTE($H411,CHAR(13)," "),CHAR(10)," "),CHAR(9)," "),CHAR(92),_xlfn.CONCAT(CHAR(92),CHAR(92))),"$",_xlfn.CONCAT(CHAR(92),"$")),CHAR(96),_xlfn.CONCAT(CHAR(92),CHAR(96))),CHAR(34),CHAR(39))))</f>
        <v/>
      </c>
      <c r="S411" s="5" t="str">
        <f>IF(OR(TRIM($B411)="",$I411=""),"",IF(OR(ISNUMBER(SEARCH(_xlfn.CONCAT(CHAR(96),CHAR(34)),$I411)),ISNUMBER(SEARCH(_xlfn.CONCAT(CHAR(34),CHAR(39)),$I411))),_xlfn.CONCAT("* REVIEW REQUIRED: compound-quote delimiter in Derivation on Sheet 1 row ",411,"; edit the input before running."),_xlfn.CONCAT("char ",TRIM($B411),"[doc_derivation] ",CHAR(96),CHAR(34),SUBSTITUTE(SUBSTITUTE(SUBSTITUTE(SUBSTITUTE(SUBSTITUTE(SUBSTITUTE($I411,CHAR(13)," "),CHAR(10)," "),CHAR(9)," "),CHAR(92),_xlfn.CONCAT(CHAR(92),CHAR(92))),"$",_xlfn.CONCAT(CHAR(92),"$")),CHAR(96),_xlfn.CONCAT(CHAR(92),CHAR(96))),CHAR(34),CHAR(39))))</f>
        <v/>
      </c>
      <c r="T411" s="5" t="str">
        <f>IF(OR(TRIM($B411)="",$J411=""),"",IF(OR(ISNUMBER(SEARCH(_xlfn.CONCAT(CHAR(96),CHAR(34)),$J411)),ISNUMBER(SEARCH(_xlfn.CONCAT(CHAR(34),CHAR(39)),$J411))),_xlfn.CONCAT("* REVIEW REQUIRED: compound-quote delimiter in Notes on Sheet 1 row ",411,"; edit the input before running."),_xlfn.CONCAT("char ",TRIM($B411),"[doc_notes] ",CHAR(96),CHAR(34),SUBSTITUTE(SUBSTITUTE(SUBSTITUTE(SUBSTITUTE(SUBSTITUTE(SUBSTITUTE($J411,CHAR(13)," "),CHAR(10)," "),CHAR(9)," "),CHAR(92),_xlfn.CONCAT(CHAR(92),CHAR(92))),"$",_xlfn.CONCAT(CHAR(92),"$")),CHAR(96),_xlfn.CONCAT(CHAR(92),CHAR(96))),CHAR(34),CHAR(39))))</f>
        <v/>
      </c>
      <c r="U411" s="5">
        <f t="shared" si="13"/>
        <v>0</v>
      </c>
    </row>
    <row r="412" spans="3:21" ht="30" customHeight="1" x14ac:dyDescent="0.2">
      <c r="C412" s="4"/>
      <c r="K412" s="5">
        <f t="shared" si="12"/>
        <v>0</v>
      </c>
      <c r="L412" s="5" t="str">
        <f>IF(OR(TRIM($B412)="",$A412=""),"",IF(OR(ISNUMBER(SEARCH(_xlfn.CONCAT(CHAR(96),CHAR(34)),$A412)),ISNUMBER(SEARCH(_xlfn.CONCAT(CHAR(34),CHAR(39)),$A412))),_xlfn.CONCAT("* REVIEW REQUIRED: compound-quote delimiter in Codebook Section on Sheet 1 row ",412,"; edit the input before running."),_xlfn.CONCAT("char ",TRIM($B412),"[doc_section] ",CHAR(96),CHAR(34),SUBSTITUTE(SUBSTITUTE(SUBSTITUTE(SUBSTITUTE(SUBSTITUTE(SUBSTITUTE($A412,CHAR(13)," "),CHAR(10)," "),CHAR(9)," "),CHAR(92),_xlfn.CONCAT(CHAR(92),CHAR(92))),"$",_xlfn.CONCAT(CHAR(92),"$")),CHAR(96),_xlfn.CONCAT(CHAR(92),CHAR(96))),CHAR(34),CHAR(39))))</f>
        <v/>
      </c>
      <c r="M412" s="5" t="str">
        <f>IF(OR(TRIM($B412)="",$C412=""),"",IF(IFERROR(MATCH(TRIM($C412),{"Quantitative","Continuous","Discrete","Categorical","Nominal","Ordinal","Identifier"},0),0)=0,_xlfn.CONCAT("* REVIEW REQUIRED: invalid Variable Type on Sheet 1 row ",412,"."),_xlfn.CONCAT("char ",TRIM($B412),"[doc_vartype] ",CHAR(96),CHAR(34),SUBSTITUTE(SUBSTITUTE(SUBSTITUTE(SUBSTITUTE(SUBSTITUTE(SUBSTITUTE(LOWER(TRIM($C412)),CHAR(13)," "),CHAR(10)," "),CHAR(9)," "),CHAR(92),_xlfn.CONCAT(CHAR(92),CHAR(92))),"$",_xlfn.CONCAT(CHAR(92),"$")),CHAR(96),_xlfn.CONCAT(CHAR(92),CHAR(96))),CHAR(34),CHAR(39))))</f>
        <v/>
      </c>
      <c r="N412" s="5" t="str">
        <f>IF(OR(TRIM($B412)="",$D412=""),"",IF(OR(ISNUMBER(SEARCH(_xlfn.CONCAT(CHAR(96),CHAR(34)),$D412)),ISNUMBER(SEARCH(_xlfn.CONCAT(CHAR(34),CHAR(39)),$D412))),_xlfn.CONCAT("* REVIEW REQUIRED: compound-quote delimiter in Item Number on Sheet 1 row ",412,"; edit the input before running."),_xlfn.CONCAT("char ",TRIM($B412),"[doc_itemnum] ",CHAR(96),CHAR(34),SUBSTITUTE(SUBSTITUTE(SUBSTITUTE(SUBSTITUTE(SUBSTITUTE(SUBSTITUTE($D412,CHAR(13)," "),CHAR(10)," "),CHAR(9)," "),CHAR(92),_xlfn.CONCAT(CHAR(92),CHAR(92))),"$",_xlfn.CONCAT(CHAR(92),"$")),CHAR(96),_xlfn.CONCAT(CHAR(92),CHAR(96))),CHAR(34),CHAR(39))))</f>
        <v/>
      </c>
      <c r="O412" s="5" t="str">
        <f>IF(OR(TRIM($B412)="",$E412=""),"",IF(OR(ISNUMBER(SEARCH(_xlfn.CONCAT(CHAR(96),CHAR(34)),$E412)),ISNUMBER(SEARCH(_xlfn.CONCAT(CHAR(34),CHAR(39)),$E412))),_xlfn.CONCAT("* REVIEW REQUIRED: compound-quote delimiter in Question Wording on Sheet 1 row ",412,"; edit the input before running."),_xlfn.CONCAT("char ",TRIM($B412),"[doc_question] ",CHAR(96),CHAR(34),SUBSTITUTE(SUBSTITUTE(SUBSTITUTE(SUBSTITUTE(SUBSTITUTE(SUBSTITUTE($E412,CHAR(13)," "),CHAR(10)," "),CHAR(9)," "),CHAR(92),_xlfn.CONCAT(CHAR(92),CHAR(92))),"$",_xlfn.CONCAT(CHAR(92),"$")),CHAR(96),_xlfn.CONCAT(CHAR(92),CHAR(96))),CHAR(34),CHAR(39))))</f>
        <v/>
      </c>
      <c r="P412" s="5" t="str">
        <f>IF(OR(TRIM($B412)="",$F412=""),"",IF(OR(ISNUMBER(SEARCH(_xlfn.CONCAT(CHAR(96),CHAR(34)),$F412)),ISNUMBER(SEARCH(_xlfn.CONCAT(CHAR(34),CHAR(39)),$F412))),_xlfn.CONCAT("* REVIEW REQUIRED: compound-quote delimiter in Units on Sheet 1 row ",412,"; edit the input before running."),_xlfn.CONCAT("char ",TRIM($B412),"[doc_units] ",CHAR(96),CHAR(34),SUBSTITUTE(SUBSTITUTE(SUBSTITUTE(SUBSTITUTE(SUBSTITUTE(SUBSTITUTE($F412,CHAR(13)," "),CHAR(10)," "),CHAR(9)," "),CHAR(92),_xlfn.CONCAT(CHAR(92),CHAR(92))),"$",_xlfn.CONCAT(CHAR(92),"$")),CHAR(96),_xlfn.CONCAT(CHAR(92),CHAR(96))),CHAR(34),CHAR(39))))</f>
        <v/>
      </c>
      <c r="Q412" s="5" t="str">
        <f>IF(OR(TRIM($B412)="",$G412=""),"",IF(OR(ISNUMBER(SEARCH(_xlfn.CONCAT(CHAR(96),CHAR(34)),$G412)),ISNUMBER(SEARCH(_xlfn.CONCAT(CHAR(34),CHAR(39)),$G412))),_xlfn.CONCAT("* REVIEW REQUIRED: compound-quote delimiter in Universe on Sheet 1 row ",412,"; edit the input before running."),_xlfn.CONCAT("char ",TRIM($B412),"[doc_universe] ",CHAR(96),CHAR(34),SUBSTITUTE(SUBSTITUTE(SUBSTITUTE(SUBSTITUTE(SUBSTITUTE(SUBSTITUTE($G412,CHAR(13)," "),CHAR(10)," "),CHAR(9)," "),CHAR(92),_xlfn.CONCAT(CHAR(92),CHAR(92))),"$",_xlfn.CONCAT(CHAR(92),"$")),CHAR(96),_xlfn.CONCAT(CHAR(92),CHAR(96))),CHAR(34),CHAR(39))))</f>
        <v/>
      </c>
      <c r="R412" s="5" t="str">
        <f>IF(OR(TRIM($B412)="",$H412=""),"",IF(OR(ISNUMBER(SEARCH(_xlfn.CONCAT(CHAR(96),CHAR(34)),$H412)),ISNUMBER(SEARCH(_xlfn.CONCAT(CHAR(34),CHAR(39)),$H412))),_xlfn.CONCAT("* REVIEW REQUIRED: compound-quote delimiter in Source on Sheet 1 row ",412,"; edit the input before running."),_xlfn.CONCAT("char ",TRIM($B412),"[doc_source] ",CHAR(96),CHAR(34),SUBSTITUTE(SUBSTITUTE(SUBSTITUTE(SUBSTITUTE(SUBSTITUTE(SUBSTITUTE($H412,CHAR(13)," "),CHAR(10)," "),CHAR(9)," "),CHAR(92),_xlfn.CONCAT(CHAR(92),CHAR(92))),"$",_xlfn.CONCAT(CHAR(92),"$")),CHAR(96),_xlfn.CONCAT(CHAR(92),CHAR(96))),CHAR(34),CHAR(39))))</f>
        <v/>
      </c>
      <c r="S412" s="5" t="str">
        <f>IF(OR(TRIM($B412)="",$I412=""),"",IF(OR(ISNUMBER(SEARCH(_xlfn.CONCAT(CHAR(96),CHAR(34)),$I412)),ISNUMBER(SEARCH(_xlfn.CONCAT(CHAR(34),CHAR(39)),$I412))),_xlfn.CONCAT("* REVIEW REQUIRED: compound-quote delimiter in Derivation on Sheet 1 row ",412,"; edit the input before running."),_xlfn.CONCAT("char ",TRIM($B412),"[doc_derivation] ",CHAR(96),CHAR(34),SUBSTITUTE(SUBSTITUTE(SUBSTITUTE(SUBSTITUTE(SUBSTITUTE(SUBSTITUTE($I412,CHAR(13)," "),CHAR(10)," "),CHAR(9)," "),CHAR(92),_xlfn.CONCAT(CHAR(92),CHAR(92))),"$",_xlfn.CONCAT(CHAR(92),"$")),CHAR(96),_xlfn.CONCAT(CHAR(92),CHAR(96))),CHAR(34),CHAR(39))))</f>
        <v/>
      </c>
      <c r="T412" s="5" t="str">
        <f>IF(OR(TRIM($B412)="",$J412=""),"",IF(OR(ISNUMBER(SEARCH(_xlfn.CONCAT(CHAR(96),CHAR(34)),$J412)),ISNUMBER(SEARCH(_xlfn.CONCAT(CHAR(34),CHAR(39)),$J412))),_xlfn.CONCAT("* REVIEW REQUIRED: compound-quote delimiter in Notes on Sheet 1 row ",412,"; edit the input before running."),_xlfn.CONCAT("char ",TRIM($B412),"[doc_notes] ",CHAR(96),CHAR(34),SUBSTITUTE(SUBSTITUTE(SUBSTITUTE(SUBSTITUTE(SUBSTITUTE(SUBSTITUTE($J412,CHAR(13)," "),CHAR(10)," "),CHAR(9)," "),CHAR(92),_xlfn.CONCAT(CHAR(92),CHAR(92))),"$",_xlfn.CONCAT(CHAR(92),"$")),CHAR(96),_xlfn.CONCAT(CHAR(92),CHAR(96))),CHAR(34),CHAR(39))))</f>
        <v/>
      </c>
      <c r="U412" s="5">
        <f t="shared" si="13"/>
        <v>0</v>
      </c>
    </row>
    <row r="413" spans="3:21" ht="30" customHeight="1" x14ac:dyDescent="0.2">
      <c r="C413" s="4"/>
      <c r="K413" s="5">
        <f t="shared" si="12"/>
        <v>0</v>
      </c>
      <c r="L413" s="5" t="str">
        <f>IF(OR(TRIM($B413)="",$A413=""),"",IF(OR(ISNUMBER(SEARCH(_xlfn.CONCAT(CHAR(96),CHAR(34)),$A413)),ISNUMBER(SEARCH(_xlfn.CONCAT(CHAR(34),CHAR(39)),$A413))),_xlfn.CONCAT("* REVIEW REQUIRED: compound-quote delimiter in Codebook Section on Sheet 1 row ",413,"; edit the input before running."),_xlfn.CONCAT("char ",TRIM($B413),"[doc_section] ",CHAR(96),CHAR(34),SUBSTITUTE(SUBSTITUTE(SUBSTITUTE(SUBSTITUTE(SUBSTITUTE(SUBSTITUTE($A413,CHAR(13)," "),CHAR(10)," "),CHAR(9)," "),CHAR(92),_xlfn.CONCAT(CHAR(92),CHAR(92))),"$",_xlfn.CONCAT(CHAR(92),"$")),CHAR(96),_xlfn.CONCAT(CHAR(92),CHAR(96))),CHAR(34),CHAR(39))))</f>
        <v/>
      </c>
      <c r="M413" s="5" t="str">
        <f>IF(OR(TRIM($B413)="",$C413=""),"",IF(IFERROR(MATCH(TRIM($C413),{"Quantitative","Continuous","Discrete","Categorical","Nominal","Ordinal","Identifier"},0),0)=0,_xlfn.CONCAT("* REVIEW REQUIRED: invalid Variable Type on Sheet 1 row ",413,"."),_xlfn.CONCAT("char ",TRIM($B413),"[doc_vartype] ",CHAR(96),CHAR(34),SUBSTITUTE(SUBSTITUTE(SUBSTITUTE(SUBSTITUTE(SUBSTITUTE(SUBSTITUTE(LOWER(TRIM($C413)),CHAR(13)," "),CHAR(10)," "),CHAR(9)," "),CHAR(92),_xlfn.CONCAT(CHAR(92),CHAR(92))),"$",_xlfn.CONCAT(CHAR(92),"$")),CHAR(96),_xlfn.CONCAT(CHAR(92),CHAR(96))),CHAR(34),CHAR(39))))</f>
        <v/>
      </c>
      <c r="N413" s="5" t="str">
        <f>IF(OR(TRIM($B413)="",$D413=""),"",IF(OR(ISNUMBER(SEARCH(_xlfn.CONCAT(CHAR(96),CHAR(34)),$D413)),ISNUMBER(SEARCH(_xlfn.CONCAT(CHAR(34),CHAR(39)),$D413))),_xlfn.CONCAT("* REVIEW REQUIRED: compound-quote delimiter in Item Number on Sheet 1 row ",413,"; edit the input before running."),_xlfn.CONCAT("char ",TRIM($B413),"[doc_itemnum] ",CHAR(96),CHAR(34),SUBSTITUTE(SUBSTITUTE(SUBSTITUTE(SUBSTITUTE(SUBSTITUTE(SUBSTITUTE($D413,CHAR(13)," "),CHAR(10)," "),CHAR(9)," "),CHAR(92),_xlfn.CONCAT(CHAR(92),CHAR(92))),"$",_xlfn.CONCAT(CHAR(92),"$")),CHAR(96),_xlfn.CONCAT(CHAR(92),CHAR(96))),CHAR(34),CHAR(39))))</f>
        <v/>
      </c>
      <c r="O413" s="5" t="str">
        <f>IF(OR(TRIM($B413)="",$E413=""),"",IF(OR(ISNUMBER(SEARCH(_xlfn.CONCAT(CHAR(96),CHAR(34)),$E413)),ISNUMBER(SEARCH(_xlfn.CONCAT(CHAR(34),CHAR(39)),$E413))),_xlfn.CONCAT("* REVIEW REQUIRED: compound-quote delimiter in Question Wording on Sheet 1 row ",413,"; edit the input before running."),_xlfn.CONCAT("char ",TRIM($B413),"[doc_question] ",CHAR(96),CHAR(34),SUBSTITUTE(SUBSTITUTE(SUBSTITUTE(SUBSTITUTE(SUBSTITUTE(SUBSTITUTE($E413,CHAR(13)," "),CHAR(10)," "),CHAR(9)," "),CHAR(92),_xlfn.CONCAT(CHAR(92),CHAR(92))),"$",_xlfn.CONCAT(CHAR(92),"$")),CHAR(96),_xlfn.CONCAT(CHAR(92),CHAR(96))),CHAR(34),CHAR(39))))</f>
        <v/>
      </c>
      <c r="P413" s="5" t="str">
        <f>IF(OR(TRIM($B413)="",$F413=""),"",IF(OR(ISNUMBER(SEARCH(_xlfn.CONCAT(CHAR(96),CHAR(34)),$F413)),ISNUMBER(SEARCH(_xlfn.CONCAT(CHAR(34),CHAR(39)),$F413))),_xlfn.CONCAT("* REVIEW REQUIRED: compound-quote delimiter in Units on Sheet 1 row ",413,"; edit the input before running."),_xlfn.CONCAT("char ",TRIM($B413),"[doc_units] ",CHAR(96),CHAR(34),SUBSTITUTE(SUBSTITUTE(SUBSTITUTE(SUBSTITUTE(SUBSTITUTE(SUBSTITUTE($F413,CHAR(13)," "),CHAR(10)," "),CHAR(9)," "),CHAR(92),_xlfn.CONCAT(CHAR(92),CHAR(92))),"$",_xlfn.CONCAT(CHAR(92),"$")),CHAR(96),_xlfn.CONCAT(CHAR(92),CHAR(96))),CHAR(34),CHAR(39))))</f>
        <v/>
      </c>
      <c r="Q413" s="5" t="str">
        <f>IF(OR(TRIM($B413)="",$G413=""),"",IF(OR(ISNUMBER(SEARCH(_xlfn.CONCAT(CHAR(96),CHAR(34)),$G413)),ISNUMBER(SEARCH(_xlfn.CONCAT(CHAR(34),CHAR(39)),$G413))),_xlfn.CONCAT("* REVIEW REQUIRED: compound-quote delimiter in Universe on Sheet 1 row ",413,"; edit the input before running."),_xlfn.CONCAT("char ",TRIM($B413),"[doc_universe] ",CHAR(96),CHAR(34),SUBSTITUTE(SUBSTITUTE(SUBSTITUTE(SUBSTITUTE(SUBSTITUTE(SUBSTITUTE($G413,CHAR(13)," "),CHAR(10)," "),CHAR(9)," "),CHAR(92),_xlfn.CONCAT(CHAR(92),CHAR(92))),"$",_xlfn.CONCAT(CHAR(92),"$")),CHAR(96),_xlfn.CONCAT(CHAR(92),CHAR(96))),CHAR(34),CHAR(39))))</f>
        <v/>
      </c>
      <c r="R413" s="5" t="str">
        <f>IF(OR(TRIM($B413)="",$H413=""),"",IF(OR(ISNUMBER(SEARCH(_xlfn.CONCAT(CHAR(96),CHAR(34)),$H413)),ISNUMBER(SEARCH(_xlfn.CONCAT(CHAR(34),CHAR(39)),$H413))),_xlfn.CONCAT("* REVIEW REQUIRED: compound-quote delimiter in Source on Sheet 1 row ",413,"; edit the input before running."),_xlfn.CONCAT("char ",TRIM($B413),"[doc_source] ",CHAR(96),CHAR(34),SUBSTITUTE(SUBSTITUTE(SUBSTITUTE(SUBSTITUTE(SUBSTITUTE(SUBSTITUTE($H413,CHAR(13)," "),CHAR(10)," "),CHAR(9)," "),CHAR(92),_xlfn.CONCAT(CHAR(92),CHAR(92))),"$",_xlfn.CONCAT(CHAR(92),"$")),CHAR(96),_xlfn.CONCAT(CHAR(92),CHAR(96))),CHAR(34),CHAR(39))))</f>
        <v/>
      </c>
      <c r="S413" s="5" t="str">
        <f>IF(OR(TRIM($B413)="",$I413=""),"",IF(OR(ISNUMBER(SEARCH(_xlfn.CONCAT(CHAR(96),CHAR(34)),$I413)),ISNUMBER(SEARCH(_xlfn.CONCAT(CHAR(34),CHAR(39)),$I413))),_xlfn.CONCAT("* REVIEW REQUIRED: compound-quote delimiter in Derivation on Sheet 1 row ",413,"; edit the input before running."),_xlfn.CONCAT("char ",TRIM($B413),"[doc_derivation] ",CHAR(96),CHAR(34),SUBSTITUTE(SUBSTITUTE(SUBSTITUTE(SUBSTITUTE(SUBSTITUTE(SUBSTITUTE($I413,CHAR(13)," "),CHAR(10)," "),CHAR(9)," "),CHAR(92),_xlfn.CONCAT(CHAR(92),CHAR(92))),"$",_xlfn.CONCAT(CHAR(92),"$")),CHAR(96),_xlfn.CONCAT(CHAR(92),CHAR(96))),CHAR(34),CHAR(39))))</f>
        <v/>
      </c>
      <c r="T413" s="5" t="str">
        <f>IF(OR(TRIM($B413)="",$J413=""),"",IF(OR(ISNUMBER(SEARCH(_xlfn.CONCAT(CHAR(96),CHAR(34)),$J413)),ISNUMBER(SEARCH(_xlfn.CONCAT(CHAR(34),CHAR(39)),$J413))),_xlfn.CONCAT("* REVIEW REQUIRED: compound-quote delimiter in Notes on Sheet 1 row ",413,"; edit the input before running."),_xlfn.CONCAT("char ",TRIM($B413),"[doc_notes] ",CHAR(96),CHAR(34),SUBSTITUTE(SUBSTITUTE(SUBSTITUTE(SUBSTITUTE(SUBSTITUTE(SUBSTITUTE($J413,CHAR(13)," "),CHAR(10)," "),CHAR(9)," "),CHAR(92),_xlfn.CONCAT(CHAR(92),CHAR(92))),"$",_xlfn.CONCAT(CHAR(92),"$")),CHAR(96),_xlfn.CONCAT(CHAR(92),CHAR(96))),CHAR(34),CHAR(39))))</f>
        <v/>
      </c>
      <c r="U413" s="5">
        <f t="shared" si="13"/>
        <v>0</v>
      </c>
    </row>
    <row r="414" spans="3:21" ht="30" customHeight="1" x14ac:dyDescent="0.2">
      <c r="C414" s="4"/>
      <c r="K414" s="5">
        <f t="shared" si="12"/>
        <v>0</v>
      </c>
      <c r="L414" s="5" t="str">
        <f>IF(OR(TRIM($B414)="",$A414=""),"",IF(OR(ISNUMBER(SEARCH(_xlfn.CONCAT(CHAR(96),CHAR(34)),$A414)),ISNUMBER(SEARCH(_xlfn.CONCAT(CHAR(34),CHAR(39)),$A414))),_xlfn.CONCAT("* REVIEW REQUIRED: compound-quote delimiter in Codebook Section on Sheet 1 row ",414,"; edit the input before running."),_xlfn.CONCAT("char ",TRIM($B414),"[doc_section] ",CHAR(96),CHAR(34),SUBSTITUTE(SUBSTITUTE(SUBSTITUTE(SUBSTITUTE(SUBSTITUTE(SUBSTITUTE($A414,CHAR(13)," "),CHAR(10)," "),CHAR(9)," "),CHAR(92),_xlfn.CONCAT(CHAR(92),CHAR(92))),"$",_xlfn.CONCAT(CHAR(92),"$")),CHAR(96),_xlfn.CONCAT(CHAR(92),CHAR(96))),CHAR(34),CHAR(39))))</f>
        <v/>
      </c>
      <c r="M414" s="5" t="str">
        <f>IF(OR(TRIM($B414)="",$C414=""),"",IF(IFERROR(MATCH(TRIM($C414),{"Quantitative","Continuous","Discrete","Categorical","Nominal","Ordinal","Identifier"},0),0)=0,_xlfn.CONCAT("* REVIEW REQUIRED: invalid Variable Type on Sheet 1 row ",414,"."),_xlfn.CONCAT("char ",TRIM($B414),"[doc_vartype] ",CHAR(96),CHAR(34),SUBSTITUTE(SUBSTITUTE(SUBSTITUTE(SUBSTITUTE(SUBSTITUTE(SUBSTITUTE(LOWER(TRIM($C414)),CHAR(13)," "),CHAR(10)," "),CHAR(9)," "),CHAR(92),_xlfn.CONCAT(CHAR(92),CHAR(92))),"$",_xlfn.CONCAT(CHAR(92),"$")),CHAR(96),_xlfn.CONCAT(CHAR(92),CHAR(96))),CHAR(34),CHAR(39))))</f>
        <v/>
      </c>
      <c r="N414" s="5" t="str">
        <f>IF(OR(TRIM($B414)="",$D414=""),"",IF(OR(ISNUMBER(SEARCH(_xlfn.CONCAT(CHAR(96),CHAR(34)),$D414)),ISNUMBER(SEARCH(_xlfn.CONCAT(CHAR(34),CHAR(39)),$D414))),_xlfn.CONCAT("* REVIEW REQUIRED: compound-quote delimiter in Item Number on Sheet 1 row ",414,"; edit the input before running."),_xlfn.CONCAT("char ",TRIM($B414),"[doc_itemnum] ",CHAR(96),CHAR(34),SUBSTITUTE(SUBSTITUTE(SUBSTITUTE(SUBSTITUTE(SUBSTITUTE(SUBSTITUTE($D414,CHAR(13)," "),CHAR(10)," "),CHAR(9)," "),CHAR(92),_xlfn.CONCAT(CHAR(92),CHAR(92))),"$",_xlfn.CONCAT(CHAR(92),"$")),CHAR(96),_xlfn.CONCAT(CHAR(92),CHAR(96))),CHAR(34),CHAR(39))))</f>
        <v/>
      </c>
      <c r="O414" s="5" t="str">
        <f>IF(OR(TRIM($B414)="",$E414=""),"",IF(OR(ISNUMBER(SEARCH(_xlfn.CONCAT(CHAR(96),CHAR(34)),$E414)),ISNUMBER(SEARCH(_xlfn.CONCAT(CHAR(34),CHAR(39)),$E414))),_xlfn.CONCAT("* REVIEW REQUIRED: compound-quote delimiter in Question Wording on Sheet 1 row ",414,"; edit the input before running."),_xlfn.CONCAT("char ",TRIM($B414),"[doc_question] ",CHAR(96),CHAR(34),SUBSTITUTE(SUBSTITUTE(SUBSTITUTE(SUBSTITUTE(SUBSTITUTE(SUBSTITUTE($E414,CHAR(13)," "),CHAR(10)," "),CHAR(9)," "),CHAR(92),_xlfn.CONCAT(CHAR(92),CHAR(92))),"$",_xlfn.CONCAT(CHAR(92),"$")),CHAR(96),_xlfn.CONCAT(CHAR(92),CHAR(96))),CHAR(34),CHAR(39))))</f>
        <v/>
      </c>
      <c r="P414" s="5" t="str">
        <f>IF(OR(TRIM($B414)="",$F414=""),"",IF(OR(ISNUMBER(SEARCH(_xlfn.CONCAT(CHAR(96),CHAR(34)),$F414)),ISNUMBER(SEARCH(_xlfn.CONCAT(CHAR(34),CHAR(39)),$F414))),_xlfn.CONCAT("* REVIEW REQUIRED: compound-quote delimiter in Units on Sheet 1 row ",414,"; edit the input before running."),_xlfn.CONCAT("char ",TRIM($B414),"[doc_units] ",CHAR(96),CHAR(34),SUBSTITUTE(SUBSTITUTE(SUBSTITUTE(SUBSTITUTE(SUBSTITUTE(SUBSTITUTE($F414,CHAR(13)," "),CHAR(10)," "),CHAR(9)," "),CHAR(92),_xlfn.CONCAT(CHAR(92),CHAR(92))),"$",_xlfn.CONCAT(CHAR(92),"$")),CHAR(96),_xlfn.CONCAT(CHAR(92),CHAR(96))),CHAR(34),CHAR(39))))</f>
        <v/>
      </c>
      <c r="Q414" s="5" t="str">
        <f>IF(OR(TRIM($B414)="",$G414=""),"",IF(OR(ISNUMBER(SEARCH(_xlfn.CONCAT(CHAR(96),CHAR(34)),$G414)),ISNUMBER(SEARCH(_xlfn.CONCAT(CHAR(34),CHAR(39)),$G414))),_xlfn.CONCAT("* REVIEW REQUIRED: compound-quote delimiter in Universe on Sheet 1 row ",414,"; edit the input before running."),_xlfn.CONCAT("char ",TRIM($B414),"[doc_universe] ",CHAR(96),CHAR(34),SUBSTITUTE(SUBSTITUTE(SUBSTITUTE(SUBSTITUTE(SUBSTITUTE(SUBSTITUTE($G414,CHAR(13)," "),CHAR(10)," "),CHAR(9)," "),CHAR(92),_xlfn.CONCAT(CHAR(92),CHAR(92))),"$",_xlfn.CONCAT(CHAR(92),"$")),CHAR(96),_xlfn.CONCAT(CHAR(92),CHAR(96))),CHAR(34),CHAR(39))))</f>
        <v/>
      </c>
      <c r="R414" s="5" t="str">
        <f>IF(OR(TRIM($B414)="",$H414=""),"",IF(OR(ISNUMBER(SEARCH(_xlfn.CONCAT(CHAR(96),CHAR(34)),$H414)),ISNUMBER(SEARCH(_xlfn.CONCAT(CHAR(34),CHAR(39)),$H414))),_xlfn.CONCAT("* REVIEW REQUIRED: compound-quote delimiter in Source on Sheet 1 row ",414,"; edit the input before running."),_xlfn.CONCAT("char ",TRIM($B414),"[doc_source] ",CHAR(96),CHAR(34),SUBSTITUTE(SUBSTITUTE(SUBSTITUTE(SUBSTITUTE(SUBSTITUTE(SUBSTITUTE($H414,CHAR(13)," "),CHAR(10)," "),CHAR(9)," "),CHAR(92),_xlfn.CONCAT(CHAR(92),CHAR(92))),"$",_xlfn.CONCAT(CHAR(92),"$")),CHAR(96),_xlfn.CONCAT(CHAR(92),CHAR(96))),CHAR(34),CHAR(39))))</f>
        <v/>
      </c>
      <c r="S414" s="5" t="str">
        <f>IF(OR(TRIM($B414)="",$I414=""),"",IF(OR(ISNUMBER(SEARCH(_xlfn.CONCAT(CHAR(96),CHAR(34)),$I414)),ISNUMBER(SEARCH(_xlfn.CONCAT(CHAR(34),CHAR(39)),$I414))),_xlfn.CONCAT("* REVIEW REQUIRED: compound-quote delimiter in Derivation on Sheet 1 row ",414,"; edit the input before running."),_xlfn.CONCAT("char ",TRIM($B414),"[doc_derivation] ",CHAR(96),CHAR(34),SUBSTITUTE(SUBSTITUTE(SUBSTITUTE(SUBSTITUTE(SUBSTITUTE(SUBSTITUTE($I414,CHAR(13)," "),CHAR(10)," "),CHAR(9)," "),CHAR(92),_xlfn.CONCAT(CHAR(92),CHAR(92))),"$",_xlfn.CONCAT(CHAR(92),"$")),CHAR(96),_xlfn.CONCAT(CHAR(92),CHAR(96))),CHAR(34),CHAR(39))))</f>
        <v/>
      </c>
      <c r="T414" s="5" t="str">
        <f>IF(OR(TRIM($B414)="",$J414=""),"",IF(OR(ISNUMBER(SEARCH(_xlfn.CONCAT(CHAR(96),CHAR(34)),$J414)),ISNUMBER(SEARCH(_xlfn.CONCAT(CHAR(34),CHAR(39)),$J414))),_xlfn.CONCAT("* REVIEW REQUIRED: compound-quote delimiter in Notes on Sheet 1 row ",414,"; edit the input before running."),_xlfn.CONCAT("char ",TRIM($B414),"[doc_notes] ",CHAR(96),CHAR(34),SUBSTITUTE(SUBSTITUTE(SUBSTITUTE(SUBSTITUTE(SUBSTITUTE(SUBSTITUTE($J414,CHAR(13)," "),CHAR(10)," "),CHAR(9)," "),CHAR(92),_xlfn.CONCAT(CHAR(92),CHAR(92))),"$",_xlfn.CONCAT(CHAR(92),"$")),CHAR(96),_xlfn.CONCAT(CHAR(92),CHAR(96))),CHAR(34),CHAR(39))))</f>
        <v/>
      </c>
      <c r="U414" s="5">
        <f t="shared" si="13"/>
        <v>0</v>
      </c>
    </row>
    <row r="415" spans="3:21" ht="30" customHeight="1" x14ac:dyDescent="0.2">
      <c r="C415" s="4"/>
      <c r="K415" s="5">
        <f t="shared" si="12"/>
        <v>0</v>
      </c>
      <c r="L415" s="5" t="str">
        <f>IF(OR(TRIM($B415)="",$A415=""),"",IF(OR(ISNUMBER(SEARCH(_xlfn.CONCAT(CHAR(96),CHAR(34)),$A415)),ISNUMBER(SEARCH(_xlfn.CONCAT(CHAR(34),CHAR(39)),$A415))),_xlfn.CONCAT("* REVIEW REQUIRED: compound-quote delimiter in Codebook Section on Sheet 1 row ",415,"; edit the input before running."),_xlfn.CONCAT("char ",TRIM($B415),"[doc_section] ",CHAR(96),CHAR(34),SUBSTITUTE(SUBSTITUTE(SUBSTITUTE(SUBSTITUTE(SUBSTITUTE(SUBSTITUTE($A415,CHAR(13)," "),CHAR(10)," "),CHAR(9)," "),CHAR(92),_xlfn.CONCAT(CHAR(92),CHAR(92))),"$",_xlfn.CONCAT(CHAR(92),"$")),CHAR(96),_xlfn.CONCAT(CHAR(92),CHAR(96))),CHAR(34),CHAR(39))))</f>
        <v/>
      </c>
      <c r="M415" s="5" t="str">
        <f>IF(OR(TRIM($B415)="",$C415=""),"",IF(IFERROR(MATCH(TRIM($C415),{"Quantitative","Continuous","Discrete","Categorical","Nominal","Ordinal","Identifier"},0),0)=0,_xlfn.CONCAT("* REVIEW REQUIRED: invalid Variable Type on Sheet 1 row ",415,"."),_xlfn.CONCAT("char ",TRIM($B415),"[doc_vartype] ",CHAR(96),CHAR(34),SUBSTITUTE(SUBSTITUTE(SUBSTITUTE(SUBSTITUTE(SUBSTITUTE(SUBSTITUTE(LOWER(TRIM($C415)),CHAR(13)," "),CHAR(10)," "),CHAR(9)," "),CHAR(92),_xlfn.CONCAT(CHAR(92),CHAR(92))),"$",_xlfn.CONCAT(CHAR(92),"$")),CHAR(96),_xlfn.CONCAT(CHAR(92),CHAR(96))),CHAR(34),CHAR(39))))</f>
        <v/>
      </c>
      <c r="N415" s="5" t="str">
        <f>IF(OR(TRIM($B415)="",$D415=""),"",IF(OR(ISNUMBER(SEARCH(_xlfn.CONCAT(CHAR(96),CHAR(34)),$D415)),ISNUMBER(SEARCH(_xlfn.CONCAT(CHAR(34),CHAR(39)),$D415))),_xlfn.CONCAT("* REVIEW REQUIRED: compound-quote delimiter in Item Number on Sheet 1 row ",415,"; edit the input before running."),_xlfn.CONCAT("char ",TRIM($B415),"[doc_itemnum] ",CHAR(96),CHAR(34),SUBSTITUTE(SUBSTITUTE(SUBSTITUTE(SUBSTITUTE(SUBSTITUTE(SUBSTITUTE($D415,CHAR(13)," "),CHAR(10)," "),CHAR(9)," "),CHAR(92),_xlfn.CONCAT(CHAR(92),CHAR(92))),"$",_xlfn.CONCAT(CHAR(92),"$")),CHAR(96),_xlfn.CONCAT(CHAR(92),CHAR(96))),CHAR(34),CHAR(39))))</f>
        <v/>
      </c>
      <c r="O415" s="5" t="str">
        <f>IF(OR(TRIM($B415)="",$E415=""),"",IF(OR(ISNUMBER(SEARCH(_xlfn.CONCAT(CHAR(96),CHAR(34)),$E415)),ISNUMBER(SEARCH(_xlfn.CONCAT(CHAR(34),CHAR(39)),$E415))),_xlfn.CONCAT("* REVIEW REQUIRED: compound-quote delimiter in Question Wording on Sheet 1 row ",415,"; edit the input before running."),_xlfn.CONCAT("char ",TRIM($B415),"[doc_question] ",CHAR(96),CHAR(34),SUBSTITUTE(SUBSTITUTE(SUBSTITUTE(SUBSTITUTE(SUBSTITUTE(SUBSTITUTE($E415,CHAR(13)," "),CHAR(10)," "),CHAR(9)," "),CHAR(92),_xlfn.CONCAT(CHAR(92),CHAR(92))),"$",_xlfn.CONCAT(CHAR(92),"$")),CHAR(96),_xlfn.CONCAT(CHAR(92),CHAR(96))),CHAR(34),CHAR(39))))</f>
        <v/>
      </c>
      <c r="P415" s="5" t="str">
        <f>IF(OR(TRIM($B415)="",$F415=""),"",IF(OR(ISNUMBER(SEARCH(_xlfn.CONCAT(CHAR(96),CHAR(34)),$F415)),ISNUMBER(SEARCH(_xlfn.CONCAT(CHAR(34),CHAR(39)),$F415))),_xlfn.CONCAT("* REVIEW REQUIRED: compound-quote delimiter in Units on Sheet 1 row ",415,"; edit the input before running."),_xlfn.CONCAT("char ",TRIM($B415),"[doc_units] ",CHAR(96),CHAR(34),SUBSTITUTE(SUBSTITUTE(SUBSTITUTE(SUBSTITUTE(SUBSTITUTE(SUBSTITUTE($F415,CHAR(13)," "),CHAR(10)," "),CHAR(9)," "),CHAR(92),_xlfn.CONCAT(CHAR(92),CHAR(92))),"$",_xlfn.CONCAT(CHAR(92),"$")),CHAR(96),_xlfn.CONCAT(CHAR(92),CHAR(96))),CHAR(34),CHAR(39))))</f>
        <v/>
      </c>
      <c r="Q415" s="5" t="str">
        <f>IF(OR(TRIM($B415)="",$G415=""),"",IF(OR(ISNUMBER(SEARCH(_xlfn.CONCAT(CHAR(96),CHAR(34)),$G415)),ISNUMBER(SEARCH(_xlfn.CONCAT(CHAR(34),CHAR(39)),$G415))),_xlfn.CONCAT("* REVIEW REQUIRED: compound-quote delimiter in Universe on Sheet 1 row ",415,"; edit the input before running."),_xlfn.CONCAT("char ",TRIM($B415),"[doc_universe] ",CHAR(96),CHAR(34),SUBSTITUTE(SUBSTITUTE(SUBSTITUTE(SUBSTITUTE(SUBSTITUTE(SUBSTITUTE($G415,CHAR(13)," "),CHAR(10)," "),CHAR(9)," "),CHAR(92),_xlfn.CONCAT(CHAR(92),CHAR(92))),"$",_xlfn.CONCAT(CHAR(92),"$")),CHAR(96),_xlfn.CONCAT(CHAR(92),CHAR(96))),CHAR(34),CHAR(39))))</f>
        <v/>
      </c>
      <c r="R415" s="5" t="str">
        <f>IF(OR(TRIM($B415)="",$H415=""),"",IF(OR(ISNUMBER(SEARCH(_xlfn.CONCAT(CHAR(96),CHAR(34)),$H415)),ISNUMBER(SEARCH(_xlfn.CONCAT(CHAR(34),CHAR(39)),$H415))),_xlfn.CONCAT("* REVIEW REQUIRED: compound-quote delimiter in Source on Sheet 1 row ",415,"; edit the input before running."),_xlfn.CONCAT("char ",TRIM($B415),"[doc_source] ",CHAR(96),CHAR(34),SUBSTITUTE(SUBSTITUTE(SUBSTITUTE(SUBSTITUTE(SUBSTITUTE(SUBSTITUTE($H415,CHAR(13)," "),CHAR(10)," "),CHAR(9)," "),CHAR(92),_xlfn.CONCAT(CHAR(92),CHAR(92))),"$",_xlfn.CONCAT(CHAR(92),"$")),CHAR(96),_xlfn.CONCAT(CHAR(92),CHAR(96))),CHAR(34),CHAR(39))))</f>
        <v/>
      </c>
      <c r="S415" s="5" t="str">
        <f>IF(OR(TRIM($B415)="",$I415=""),"",IF(OR(ISNUMBER(SEARCH(_xlfn.CONCAT(CHAR(96),CHAR(34)),$I415)),ISNUMBER(SEARCH(_xlfn.CONCAT(CHAR(34),CHAR(39)),$I415))),_xlfn.CONCAT("* REVIEW REQUIRED: compound-quote delimiter in Derivation on Sheet 1 row ",415,"; edit the input before running."),_xlfn.CONCAT("char ",TRIM($B415),"[doc_derivation] ",CHAR(96),CHAR(34),SUBSTITUTE(SUBSTITUTE(SUBSTITUTE(SUBSTITUTE(SUBSTITUTE(SUBSTITUTE($I415,CHAR(13)," "),CHAR(10)," "),CHAR(9)," "),CHAR(92),_xlfn.CONCAT(CHAR(92),CHAR(92))),"$",_xlfn.CONCAT(CHAR(92),"$")),CHAR(96),_xlfn.CONCAT(CHAR(92),CHAR(96))),CHAR(34),CHAR(39))))</f>
        <v/>
      </c>
      <c r="T415" s="5" t="str">
        <f>IF(OR(TRIM($B415)="",$J415=""),"",IF(OR(ISNUMBER(SEARCH(_xlfn.CONCAT(CHAR(96),CHAR(34)),$J415)),ISNUMBER(SEARCH(_xlfn.CONCAT(CHAR(34),CHAR(39)),$J415))),_xlfn.CONCAT("* REVIEW REQUIRED: compound-quote delimiter in Notes on Sheet 1 row ",415,"; edit the input before running."),_xlfn.CONCAT("char ",TRIM($B415),"[doc_notes] ",CHAR(96),CHAR(34),SUBSTITUTE(SUBSTITUTE(SUBSTITUTE(SUBSTITUTE(SUBSTITUTE(SUBSTITUTE($J415,CHAR(13)," "),CHAR(10)," "),CHAR(9)," "),CHAR(92),_xlfn.CONCAT(CHAR(92),CHAR(92))),"$",_xlfn.CONCAT(CHAR(92),"$")),CHAR(96),_xlfn.CONCAT(CHAR(92),CHAR(96))),CHAR(34),CHAR(39))))</f>
        <v/>
      </c>
      <c r="U415" s="5">
        <f t="shared" si="13"/>
        <v>0</v>
      </c>
    </row>
    <row r="416" spans="3:21" ht="30" customHeight="1" x14ac:dyDescent="0.2">
      <c r="C416" s="4"/>
      <c r="K416" s="5">
        <f t="shared" si="12"/>
        <v>0</v>
      </c>
      <c r="L416" s="5" t="str">
        <f>IF(OR(TRIM($B416)="",$A416=""),"",IF(OR(ISNUMBER(SEARCH(_xlfn.CONCAT(CHAR(96),CHAR(34)),$A416)),ISNUMBER(SEARCH(_xlfn.CONCAT(CHAR(34),CHAR(39)),$A416))),_xlfn.CONCAT("* REVIEW REQUIRED: compound-quote delimiter in Codebook Section on Sheet 1 row ",416,"; edit the input before running."),_xlfn.CONCAT("char ",TRIM($B416),"[doc_section] ",CHAR(96),CHAR(34),SUBSTITUTE(SUBSTITUTE(SUBSTITUTE(SUBSTITUTE(SUBSTITUTE(SUBSTITUTE($A416,CHAR(13)," "),CHAR(10)," "),CHAR(9)," "),CHAR(92),_xlfn.CONCAT(CHAR(92),CHAR(92))),"$",_xlfn.CONCAT(CHAR(92),"$")),CHAR(96),_xlfn.CONCAT(CHAR(92),CHAR(96))),CHAR(34),CHAR(39))))</f>
        <v/>
      </c>
      <c r="M416" s="5" t="str">
        <f>IF(OR(TRIM($B416)="",$C416=""),"",IF(IFERROR(MATCH(TRIM($C416),{"Quantitative","Continuous","Discrete","Categorical","Nominal","Ordinal","Identifier"},0),0)=0,_xlfn.CONCAT("* REVIEW REQUIRED: invalid Variable Type on Sheet 1 row ",416,"."),_xlfn.CONCAT("char ",TRIM($B416),"[doc_vartype] ",CHAR(96),CHAR(34),SUBSTITUTE(SUBSTITUTE(SUBSTITUTE(SUBSTITUTE(SUBSTITUTE(SUBSTITUTE(LOWER(TRIM($C416)),CHAR(13)," "),CHAR(10)," "),CHAR(9)," "),CHAR(92),_xlfn.CONCAT(CHAR(92),CHAR(92))),"$",_xlfn.CONCAT(CHAR(92),"$")),CHAR(96),_xlfn.CONCAT(CHAR(92),CHAR(96))),CHAR(34),CHAR(39))))</f>
        <v/>
      </c>
      <c r="N416" s="5" t="str">
        <f>IF(OR(TRIM($B416)="",$D416=""),"",IF(OR(ISNUMBER(SEARCH(_xlfn.CONCAT(CHAR(96),CHAR(34)),$D416)),ISNUMBER(SEARCH(_xlfn.CONCAT(CHAR(34),CHAR(39)),$D416))),_xlfn.CONCAT("* REVIEW REQUIRED: compound-quote delimiter in Item Number on Sheet 1 row ",416,"; edit the input before running."),_xlfn.CONCAT("char ",TRIM($B416),"[doc_itemnum] ",CHAR(96),CHAR(34),SUBSTITUTE(SUBSTITUTE(SUBSTITUTE(SUBSTITUTE(SUBSTITUTE(SUBSTITUTE($D416,CHAR(13)," "),CHAR(10)," "),CHAR(9)," "),CHAR(92),_xlfn.CONCAT(CHAR(92),CHAR(92))),"$",_xlfn.CONCAT(CHAR(92),"$")),CHAR(96),_xlfn.CONCAT(CHAR(92),CHAR(96))),CHAR(34),CHAR(39))))</f>
        <v/>
      </c>
      <c r="O416" s="5" t="str">
        <f>IF(OR(TRIM($B416)="",$E416=""),"",IF(OR(ISNUMBER(SEARCH(_xlfn.CONCAT(CHAR(96),CHAR(34)),$E416)),ISNUMBER(SEARCH(_xlfn.CONCAT(CHAR(34),CHAR(39)),$E416))),_xlfn.CONCAT("* REVIEW REQUIRED: compound-quote delimiter in Question Wording on Sheet 1 row ",416,"; edit the input before running."),_xlfn.CONCAT("char ",TRIM($B416),"[doc_question] ",CHAR(96),CHAR(34),SUBSTITUTE(SUBSTITUTE(SUBSTITUTE(SUBSTITUTE(SUBSTITUTE(SUBSTITUTE($E416,CHAR(13)," "),CHAR(10)," "),CHAR(9)," "),CHAR(92),_xlfn.CONCAT(CHAR(92),CHAR(92))),"$",_xlfn.CONCAT(CHAR(92),"$")),CHAR(96),_xlfn.CONCAT(CHAR(92),CHAR(96))),CHAR(34),CHAR(39))))</f>
        <v/>
      </c>
      <c r="P416" s="5" t="str">
        <f>IF(OR(TRIM($B416)="",$F416=""),"",IF(OR(ISNUMBER(SEARCH(_xlfn.CONCAT(CHAR(96),CHAR(34)),$F416)),ISNUMBER(SEARCH(_xlfn.CONCAT(CHAR(34),CHAR(39)),$F416))),_xlfn.CONCAT("* REVIEW REQUIRED: compound-quote delimiter in Units on Sheet 1 row ",416,"; edit the input before running."),_xlfn.CONCAT("char ",TRIM($B416),"[doc_units] ",CHAR(96),CHAR(34),SUBSTITUTE(SUBSTITUTE(SUBSTITUTE(SUBSTITUTE(SUBSTITUTE(SUBSTITUTE($F416,CHAR(13)," "),CHAR(10)," "),CHAR(9)," "),CHAR(92),_xlfn.CONCAT(CHAR(92),CHAR(92))),"$",_xlfn.CONCAT(CHAR(92),"$")),CHAR(96),_xlfn.CONCAT(CHAR(92),CHAR(96))),CHAR(34),CHAR(39))))</f>
        <v/>
      </c>
      <c r="Q416" s="5" t="str">
        <f>IF(OR(TRIM($B416)="",$G416=""),"",IF(OR(ISNUMBER(SEARCH(_xlfn.CONCAT(CHAR(96),CHAR(34)),$G416)),ISNUMBER(SEARCH(_xlfn.CONCAT(CHAR(34),CHAR(39)),$G416))),_xlfn.CONCAT("* REVIEW REQUIRED: compound-quote delimiter in Universe on Sheet 1 row ",416,"; edit the input before running."),_xlfn.CONCAT("char ",TRIM($B416),"[doc_universe] ",CHAR(96),CHAR(34),SUBSTITUTE(SUBSTITUTE(SUBSTITUTE(SUBSTITUTE(SUBSTITUTE(SUBSTITUTE($G416,CHAR(13)," "),CHAR(10)," "),CHAR(9)," "),CHAR(92),_xlfn.CONCAT(CHAR(92),CHAR(92))),"$",_xlfn.CONCAT(CHAR(92),"$")),CHAR(96),_xlfn.CONCAT(CHAR(92),CHAR(96))),CHAR(34),CHAR(39))))</f>
        <v/>
      </c>
      <c r="R416" s="5" t="str">
        <f>IF(OR(TRIM($B416)="",$H416=""),"",IF(OR(ISNUMBER(SEARCH(_xlfn.CONCAT(CHAR(96),CHAR(34)),$H416)),ISNUMBER(SEARCH(_xlfn.CONCAT(CHAR(34),CHAR(39)),$H416))),_xlfn.CONCAT("* REVIEW REQUIRED: compound-quote delimiter in Source on Sheet 1 row ",416,"; edit the input before running."),_xlfn.CONCAT("char ",TRIM($B416),"[doc_source] ",CHAR(96),CHAR(34),SUBSTITUTE(SUBSTITUTE(SUBSTITUTE(SUBSTITUTE(SUBSTITUTE(SUBSTITUTE($H416,CHAR(13)," "),CHAR(10)," "),CHAR(9)," "),CHAR(92),_xlfn.CONCAT(CHAR(92),CHAR(92))),"$",_xlfn.CONCAT(CHAR(92),"$")),CHAR(96),_xlfn.CONCAT(CHAR(92),CHAR(96))),CHAR(34),CHAR(39))))</f>
        <v/>
      </c>
      <c r="S416" s="5" t="str">
        <f>IF(OR(TRIM($B416)="",$I416=""),"",IF(OR(ISNUMBER(SEARCH(_xlfn.CONCAT(CHAR(96),CHAR(34)),$I416)),ISNUMBER(SEARCH(_xlfn.CONCAT(CHAR(34),CHAR(39)),$I416))),_xlfn.CONCAT("* REVIEW REQUIRED: compound-quote delimiter in Derivation on Sheet 1 row ",416,"; edit the input before running."),_xlfn.CONCAT("char ",TRIM($B416),"[doc_derivation] ",CHAR(96),CHAR(34),SUBSTITUTE(SUBSTITUTE(SUBSTITUTE(SUBSTITUTE(SUBSTITUTE(SUBSTITUTE($I416,CHAR(13)," "),CHAR(10)," "),CHAR(9)," "),CHAR(92),_xlfn.CONCAT(CHAR(92),CHAR(92))),"$",_xlfn.CONCAT(CHAR(92),"$")),CHAR(96),_xlfn.CONCAT(CHAR(92),CHAR(96))),CHAR(34),CHAR(39))))</f>
        <v/>
      </c>
      <c r="T416" s="5" t="str">
        <f>IF(OR(TRIM($B416)="",$J416=""),"",IF(OR(ISNUMBER(SEARCH(_xlfn.CONCAT(CHAR(96),CHAR(34)),$J416)),ISNUMBER(SEARCH(_xlfn.CONCAT(CHAR(34),CHAR(39)),$J416))),_xlfn.CONCAT("* REVIEW REQUIRED: compound-quote delimiter in Notes on Sheet 1 row ",416,"; edit the input before running."),_xlfn.CONCAT("char ",TRIM($B416),"[doc_notes] ",CHAR(96),CHAR(34),SUBSTITUTE(SUBSTITUTE(SUBSTITUTE(SUBSTITUTE(SUBSTITUTE(SUBSTITUTE($J416,CHAR(13)," "),CHAR(10)," "),CHAR(9)," "),CHAR(92),_xlfn.CONCAT(CHAR(92),CHAR(92))),"$",_xlfn.CONCAT(CHAR(92),"$")),CHAR(96),_xlfn.CONCAT(CHAR(92),CHAR(96))),CHAR(34),CHAR(39))))</f>
        <v/>
      </c>
      <c r="U416" s="5">
        <f t="shared" si="13"/>
        <v>0</v>
      </c>
    </row>
    <row r="417" spans="3:21" ht="30" customHeight="1" x14ac:dyDescent="0.2">
      <c r="C417" s="4"/>
      <c r="K417" s="5">
        <f t="shared" si="12"/>
        <v>0</v>
      </c>
      <c r="L417" s="5" t="str">
        <f>IF(OR(TRIM($B417)="",$A417=""),"",IF(OR(ISNUMBER(SEARCH(_xlfn.CONCAT(CHAR(96),CHAR(34)),$A417)),ISNUMBER(SEARCH(_xlfn.CONCAT(CHAR(34),CHAR(39)),$A417))),_xlfn.CONCAT("* REVIEW REQUIRED: compound-quote delimiter in Codebook Section on Sheet 1 row ",417,"; edit the input before running."),_xlfn.CONCAT("char ",TRIM($B417),"[doc_section] ",CHAR(96),CHAR(34),SUBSTITUTE(SUBSTITUTE(SUBSTITUTE(SUBSTITUTE(SUBSTITUTE(SUBSTITUTE($A417,CHAR(13)," "),CHAR(10)," "),CHAR(9)," "),CHAR(92),_xlfn.CONCAT(CHAR(92),CHAR(92))),"$",_xlfn.CONCAT(CHAR(92),"$")),CHAR(96),_xlfn.CONCAT(CHAR(92),CHAR(96))),CHAR(34),CHAR(39))))</f>
        <v/>
      </c>
      <c r="M417" s="5" t="str">
        <f>IF(OR(TRIM($B417)="",$C417=""),"",IF(IFERROR(MATCH(TRIM($C417),{"Quantitative","Continuous","Discrete","Categorical","Nominal","Ordinal","Identifier"},0),0)=0,_xlfn.CONCAT("* REVIEW REQUIRED: invalid Variable Type on Sheet 1 row ",417,"."),_xlfn.CONCAT("char ",TRIM($B417),"[doc_vartype] ",CHAR(96),CHAR(34),SUBSTITUTE(SUBSTITUTE(SUBSTITUTE(SUBSTITUTE(SUBSTITUTE(SUBSTITUTE(LOWER(TRIM($C417)),CHAR(13)," "),CHAR(10)," "),CHAR(9)," "),CHAR(92),_xlfn.CONCAT(CHAR(92),CHAR(92))),"$",_xlfn.CONCAT(CHAR(92),"$")),CHAR(96),_xlfn.CONCAT(CHAR(92),CHAR(96))),CHAR(34),CHAR(39))))</f>
        <v/>
      </c>
      <c r="N417" s="5" t="str">
        <f>IF(OR(TRIM($B417)="",$D417=""),"",IF(OR(ISNUMBER(SEARCH(_xlfn.CONCAT(CHAR(96),CHAR(34)),$D417)),ISNUMBER(SEARCH(_xlfn.CONCAT(CHAR(34),CHAR(39)),$D417))),_xlfn.CONCAT("* REVIEW REQUIRED: compound-quote delimiter in Item Number on Sheet 1 row ",417,"; edit the input before running."),_xlfn.CONCAT("char ",TRIM($B417),"[doc_itemnum] ",CHAR(96),CHAR(34),SUBSTITUTE(SUBSTITUTE(SUBSTITUTE(SUBSTITUTE(SUBSTITUTE(SUBSTITUTE($D417,CHAR(13)," "),CHAR(10)," "),CHAR(9)," "),CHAR(92),_xlfn.CONCAT(CHAR(92),CHAR(92))),"$",_xlfn.CONCAT(CHAR(92),"$")),CHAR(96),_xlfn.CONCAT(CHAR(92),CHAR(96))),CHAR(34),CHAR(39))))</f>
        <v/>
      </c>
      <c r="O417" s="5" t="str">
        <f>IF(OR(TRIM($B417)="",$E417=""),"",IF(OR(ISNUMBER(SEARCH(_xlfn.CONCAT(CHAR(96),CHAR(34)),$E417)),ISNUMBER(SEARCH(_xlfn.CONCAT(CHAR(34),CHAR(39)),$E417))),_xlfn.CONCAT("* REVIEW REQUIRED: compound-quote delimiter in Question Wording on Sheet 1 row ",417,"; edit the input before running."),_xlfn.CONCAT("char ",TRIM($B417),"[doc_question] ",CHAR(96),CHAR(34),SUBSTITUTE(SUBSTITUTE(SUBSTITUTE(SUBSTITUTE(SUBSTITUTE(SUBSTITUTE($E417,CHAR(13)," "),CHAR(10)," "),CHAR(9)," "),CHAR(92),_xlfn.CONCAT(CHAR(92),CHAR(92))),"$",_xlfn.CONCAT(CHAR(92),"$")),CHAR(96),_xlfn.CONCAT(CHAR(92),CHAR(96))),CHAR(34),CHAR(39))))</f>
        <v/>
      </c>
      <c r="P417" s="5" t="str">
        <f>IF(OR(TRIM($B417)="",$F417=""),"",IF(OR(ISNUMBER(SEARCH(_xlfn.CONCAT(CHAR(96),CHAR(34)),$F417)),ISNUMBER(SEARCH(_xlfn.CONCAT(CHAR(34),CHAR(39)),$F417))),_xlfn.CONCAT("* REVIEW REQUIRED: compound-quote delimiter in Units on Sheet 1 row ",417,"; edit the input before running."),_xlfn.CONCAT("char ",TRIM($B417),"[doc_units] ",CHAR(96),CHAR(34),SUBSTITUTE(SUBSTITUTE(SUBSTITUTE(SUBSTITUTE(SUBSTITUTE(SUBSTITUTE($F417,CHAR(13)," "),CHAR(10)," "),CHAR(9)," "),CHAR(92),_xlfn.CONCAT(CHAR(92),CHAR(92))),"$",_xlfn.CONCAT(CHAR(92),"$")),CHAR(96),_xlfn.CONCAT(CHAR(92),CHAR(96))),CHAR(34),CHAR(39))))</f>
        <v/>
      </c>
      <c r="Q417" s="5" t="str">
        <f>IF(OR(TRIM($B417)="",$G417=""),"",IF(OR(ISNUMBER(SEARCH(_xlfn.CONCAT(CHAR(96),CHAR(34)),$G417)),ISNUMBER(SEARCH(_xlfn.CONCAT(CHAR(34),CHAR(39)),$G417))),_xlfn.CONCAT("* REVIEW REQUIRED: compound-quote delimiter in Universe on Sheet 1 row ",417,"; edit the input before running."),_xlfn.CONCAT("char ",TRIM($B417),"[doc_universe] ",CHAR(96),CHAR(34),SUBSTITUTE(SUBSTITUTE(SUBSTITUTE(SUBSTITUTE(SUBSTITUTE(SUBSTITUTE($G417,CHAR(13)," "),CHAR(10)," "),CHAR(9)," "),CHAR(92),_xlfn.CONCAT(CHAR(92),CHAR(92))),"$",_xlfn.CONCAT(CHAR(92),"$")),CHAR(96),_xlfn.CONCAT(CHAR(92),CHAR(96))),CHAR(34),CHAR(39))))</f>
        <v/>
      </c>
      <c r="R417" s="5" t="str">
        <f>IF(OR(TRIM($B417)="",$H417=""),"",IF(OR(ISNUMBER(SEARCH(_xlfn.CONCAT(CHAR(96),CHAR(34)),$H417)),ISNUMBER(SEARCH(_xlfn.CONCAT(CHAR(34),CHAR(39)),$H417))),_xlfn.CONCAT("* REVIEW REQUIRED: compound-quote delimiter in Source on Sheet 1 row ",417,"; edit the input before running."),_xlfn.CONCAT("char ",TRIM($B417),"[doc_source] ",CHAR(96),CHAR(34),SUBSTITUTE(SUBSTITUTE(SUBSTITUTE(SUBSTITUTE(SUBSTITUTE(SUBSTITUTE($H417,CHAR(13)," "),CHAR(10)," "),CHAR(9)," "),CHAR(92),_xlfn.CONCAT(CHAR(92),CHAR(92))),"$",_xlfn.CONCAT(CHAR(92),"$")),CHAR(96),_xlfn.CONCAT(CHAR(92),CHAR(96))),CHAR(34),CHAR(39))))</f>
        <v/>
      </c>
      <c r="S417" s="5" t="str">
        <f>IF(OR(TRIM($B417)="",$I417=""),"",IF(OR(ISNUMBER(SEARCH(_xlfn.CONCAT(CHAR(96),CHAR(34)),$I417)),ISNUMBER(SEARCH(_xlfn.CONCAT(CHAR(34),CHAR(39)),$I417))),_xlfn.CONCAT("* REVIEW REQUIRED: compound-quote delimiter in Derivation on Sheet 1 row ",417,"; edit the input before running."),_xlfn.CONCAT("char ",TRIM($B417),"[doc_derivation] ",CHAR(96),CHAR(34),SUBSTITUTE(SUBSTITUTE(SUBSTITUTE(SUBSTITUTE(SUBSTITUTE(SUBSTITUTE($I417,CHAR(13)," "),CHAR(10)," "),CHAR(9)," "),CHAR(92),_xlfn.CONCAT(CHAR(92),CHAR(92))),"$",_xlfn.CONCAT(CHAR(92),"$")),CHAR(96),_xlfn.CONCAT(CHAR(92),CHAR(96))),CHAR(34),CHAR(39))))</f>
        <v/>
      </c>
      <c r="T417" s="5" t="str">
        <f>IF(OR(TRIM($B417)="",$J417=""),"",IF(OR(ISNUMBER(SEARCH(_xlfn.CONCAT(CHAR(96),CHAR(34)),$J417)),ISNUMBER(SEARCH(_xlfn.CONCAT(CHAR(34),CHAR(39)),$J417))),_xlfn.CONCAT("* REVIEW REQUIRED: compound-quote delimiter in Notes on Sheet 1 row ",417,"; edit the input before running."),_xlfn.CONCAT("char ",TRIM($B417),"[doc_notes] ",CHAR(96),CHAR(34),SUBSTITUTE(SUBSTITUTE(SUBSTITUTE(SUBSTITUTE(SUBSTITUTE(SUBSTITUTE($J417,CHAR(13)," "),CHAR(10)," "),CHAR(9)," "),CHAR(92),_xlfn.CONCAT(CHAR(92),CHAR(92))),"$",_xlfn.CONCAT(CHAR(92),"$")),CHAR(96),_xlfn.CONCAT(CHAR(92),CHAR(96))),CHAR(34),CHAR(39))))</f>
        <v/>
      </c>
      <c r="U417" s="5">
        <f t="shared" si="13"/>
        <v>0</v>
      </c>
    </row>
    <row r="418" spans="3:21" ht="30" customHeight="1" x14ac:dyDescent="0.2">
      <c r="C418" s="4"/>
      <c r="K418" s="5">
        <f t="shared" si="12"/>
        <v>0</v>
      </c>
      <c r="L418" s="5" t="str">
        <f>IF(OR(TRIM($B418)="",$A418=""),"",IF(OR(ISNUMBER(SEARCH(_xlfn.CONCAT(CHAR(96),CHAR(34)),$A418)),ISNUMBER(SEARCH(_xlfn.CONCAT(CHAR(34),CHAR(39)),$A418))),_xlfn.CONCAT("* REVIEW REQUIRED: compound-quote delimiter in Codebook Section on Sheet 1 row ",418,"; edit the input before running."),_xlfn.CONCAT("char ",TRIM($B418),"[doc_section] ",CHAR(96),CHAR(34),SUBSTITUTE(SUBSTITUTE(SUBSTITUTE(SUBSTITUTE(SUBSTITUTE(SUBSTITUTE($A418,CHAR(13)," "),CHAR(10)," "),CHAR(9)," "),CHAR(92),_xlfn.CONCAT(CHAR(92),CHAR(92))),"$",_xlfn.CONCAT(CHAR(92),"$")),CHAR(96),_xlfn.CONCAT(CHAR(92),CHAR(96))),CHAR(34),CHAR(39))))</f>
        <v/>
      </c>
      <c r="M418" s="5" t="str">
        <f>IF(OR(TRIM($B418)="",$C418=""),"",IF(IFERROR(MATCH(TRIM($C418),{"Quantitative","Continuous","Discrete","Categorical","Nominal","Ordinal","Identifier"},0),0)=0,_xlfn.CONCAT("* REVIEW REQUIRED: invalid Variable Type on Sheet 1 row ",418,"."),_xlfn.CONCAT("char ",TRIM($B418),"[doc_vartype] ",CHAR(96),CHAR(34),SUBSTITUTE(SUBSTITUTE(SUBSTITUTE(SUBSTITUTE(SUBSTITUTE(SUBSTITUTE(LOWER(TRIM($C418)),CHAR(13)," "),CHAR(10)," "),CHAR(9)," "),CHAR(92),_xlfn.CONCAT(CHAR(92),CHAR(92))),"$",_xlfn.CONCAT(CHAR(92),"$")),CHAR(96),_xlfn.CONCAT(CHAR(92),CHAR(96))),CHAR(34),CHAR(39))))</f>
        <v/>
      </c>
      <c r="N418" s="5" t="str">
        <f>IF(OR(TRIM($B418)="",$D418=""),"",IF(OR(ISNUMBER(SEARCH(_xlfn.CONCAT(CHAR(96),CHAR(34)),$D418)),ISNUMBER(SEARCH(_xlfn.CONCAT(CHAR(34),CHAR(39)),$D418))),_xlfn.CONCAT("* REVIEW REQUIRED: compound-quote delimiter in Item Number on Sheet 1 row ",418,"; edit the input before running."),_xlfn.CONCAT("char ",TRIM($B418),"[doc_itemnum] ",CHAR(96),CHAR(34),SUBSTITUTE(SUBSTITUTE(SUBSTITUTE(SUBSTITUTE(SUBSTITUTE(SUBSTITUTE($D418,CHAR(13)," "),CHAR(10)," "),CHAR(9)," "),CHAR(92),_xlfn.CONCAT(CHAR(92),CHAR(92))),"$",_xlfn.CONCAT(CHAR(92),"$")),CHAR(96),_xlfn.CONCAT(CHAR(92),CHAR(96))),CHAR(34),CHAR(39))))</f>
        <v/>
      </c>
      <c r="O418" s="5" t="str">
        <f>IF(OR(TRIM($B418)="",$E418=""),"",IF(OR(ISNUMBER(SEARCH(_xlfn.CONCAT(CHAR(96),CHAR(34)),$E418)),ISNUMBER(SEARCH(_xlfn.CONCAT(CHAR(34),CHAR(39)),$E418))),_xlfn.CONCAT("* REVIEW REQUIRED: compound-quote delimiter in Question Wording on Sheet 1 row ",418,"; edit the input before running."),_xlfn.CONCAT("char ",TRIM($B418),"[doc_question] ",CHAR(96),CHAR(34),SUBSTITUTE(SUBSTITUTE(SUBSTITUTE(SUBSTITUTE(SUBSTITUTE(SUBSTITUTE($E418,CHAR(13)," "),CHAR(10)," "),CHAR(9)," "),CHAR(92),_xlfn.CONCAT(CHAR(92),CHAR(92))),"$",_xlfn.CONCAT(CHAR(92),"$")),CHAR(96),_xlfn.CONCAT(CHAR(92),CHAR(96))),CHAR(34),CHAR(39))))</f>
        <v/>
      </c>
      <c r="P418" s="5" t="str">
        <f>IF(OR(TRIM($B418)="",$F418=""),"",IF(OR(ISNUMBER(SEARCH(_xlfn.CONCAT(CHAR(96),CHAR(34)),$F418)),ISNUMBER(SEARCH(_xlfn.CONCAT(CHAR(34),CHAR(39)),$F418))),_xlfn.CONCAT("* REVIEW REQUIRED: compound-quote delimiter in Units on Sheet 1 row ",418,"; edit the input before running."),_xlfn.CONCAT("char ",TRIM($B418),"[doc_units] ",CHAR(96),CHAR(34),SUBSTITUTE(SUBSTITUTE(SUBSTITUTE(SUBSTITUTE(SUBSTITUTE(SUBSTITUTE($F418,CHAR(13)," "),CHAR(10)," "),CHAR(9)," "),CHAR(92),_xlfn.CONCAT(CHAR(92),CHAR(92))),"$",_xlfn.CONCAT(CHAR(92),"$")),CHAR(96),_xlfn.CONCAT(CHAR(92),CHAR(96))),CHAR(34),CHAR(39))))</f>
        <v/>
      </c>
      <c r="Q418" s="5" t="str">
        <f>IF(OR(TRIM($B418)="",$G418=""),"",IF(OR(ISNUMBER(SEARCH(_xlfn.CONCAT(CHAR(96),CHAR(34)),$G418)),ISNUMBER(SEARCH(_xlfn.CONCAT(CHAR(34),CHAR(39)),$G418))),_xlfn.CONCAT("* REVIEW REQUIRED: compound-quote delimiter in Universe on Sheet 1 row ",418,"; edit the input before running."),_xlfn.CONCAT("char ",TRIM($B418),"[doc_universe] ",CHAR(96),CHAR(34),SUBSTITUTE(SUBSTITUTE(SUBSTITUTE(SUBSTITUTE(SUBSTITUTE(SUBSTITUTE($G418,CHAR(13)," "),CHAR(10)," "),CHAR(9)," "),CHAR(92),_xlfn.CONCAT(CHAR(92),CHAR(92))),"$",_xlfn.CONCAT(CHAR(92),"$")),CHAR(96),_xlfn.CONCAT(CHAR(92),CHAR(96))),CHAR(34),CHAR(39))))</f>
        <v/>
      </c>
      <c r="R418" s="5" t="str">
        <f>IF(OR(TRIM($B418)="",$H418=""),"",IF(OR(ISNUMBER(SEARCH(_xlfn.CONCAT(CHAR(96),CHAR(34)),$H418)),ISNUMBER(SEARCH(_xlfn.CONCAT(CHAR(34),CHAR(39)),$H418))),_xlfn.CONCAT("* REVIEW REQUIRED: compound-quote delimiter in Source on Sheet 1 row ",418,"; edit the input before running."),_xlfn.CONCAT("char ",TRIM($B418),"[doc_source] ",CHAR(96),CHAR(34),SUBSTITUTE(SUBSTITUTE(SUBSTITUTE(SUBSTITUTE(SUBSTITUTE(SUBSTITUTE($H418,CHAR(13)," "),CHAR(10)," "),CHAR(9)," "),CHAR(92),_xlfn.CONCAT(CHAR(92),CHAR(92))),"$",_xlfn.CONCAT(CHAR(92),"$")),CHAR(96),_xlfn.CONCAT(CHAR(92),CHAR(96))),CHAR(34),CHAR(39))))</f>
        <v/>
      </c>
      <c r="S418" s="5" t="str">
        <f>IF(OR(TRIM($B418)="",$I418=""),"",IF(OR(ISNUMBER(SEARCH(_xlfn.CONCAT(CHAR(96),CHAR(34)),$I418)),ISNUMBER(SEARCH(_xlfn.CONCAT(CHAR(34),CHAR(39)),$I418))),_xlfn.CONCAT("* REVIEW REQUIRED: compound-quote delimiter in Derivation on Sheet 1 row ",418,"; edit the input before running."),_xlfn.CONCAT("char ",TRIM($B418),"[doc_derivation] ",CHAR(96),CHAR(34),SUBSTITUTE(SUBSTITUTE(SUBSTITUTE(SUBSTITUTE(SUBSTITUTE(SUBSTITUTE($I418,CHAR(13)," "),CHAR(10)," "),CHAR(9)," "),CHAR(92),_xlfn.CONCAT(CHAR(92),CHAR(92))),"$",_xlfn.CONCAT(CHAR(92),"$")),CHAR(96),_xlfn.CONCAT(CHAR(92),CHAR(96))),CHAR(34),CHAR(39))))</f>
        <v/>
      </c>
      <c r="T418" s="5" t="str">
        <f>IF(OR(TRIM($B418)="",$J418=""),"",IF(OR(ISNUMBER(SEARCH(_xlfn.CONCAT(CHAR(96),CHAR(34)),$J418)),ISNUMBER(SEARCH(_xlfn.CONCAT(CHAR(34),CHAR(39)),$J418))),_xlfn.CONCAT("* REVIEW REQUIRED: compound-quote delimiter in Notes on Sheet 1 row ",418,"; edit the input before running."),_xlfn.CONCAT("char ",TRIM($B418),"[doc_notes] ",CHAR(96),CHAR(34),SUBSTITUTE(SUBSTITUTE(SUBSTITUTE(SUBSTITUTE(SUBSTITUTE(SUBSTITUTE($J418,CHAR(13)," "),CHAR(10)," "),CHAR(9)," "),CHAR(92),_xlfn.CONCAT(CHAR(92),CHAR(92))),"$",_xlfn.CONCAT(CHAR(92),"$")),CHAR(96),_xlfn.CONCAT(CHAR(92),CHAR(96))),CHAR(34),CHAR(39))))</f>
        <v/>
      </c>
      <c r="U418" s="5">
        <f t="shared" si="13"/>
        <v>0</v>
      </c>
    </row>
    <row r="419" spans="3:21" ht="30" customHeight="1" x14ac:dyDescent="0.2">
      <c r="C419" s="4"/>
      <c r="K419" s="5">
        <f t="shared" si="12"/>
        <v>0</v>
      </c>
      <c r="L419" s="5" t="str">
        <f>IF(OR(TRIM($B419)="",$A419=""),"",IF(OR(ISNUMBER(SEARCH(_xlfn.CONCAT(CHAR(96),CHAR(34)),$A419)),ISNUMBER(SEARCH(_xlfn.CONCAT(CHAR(34),CHAR(39)),$A419))),_xlfn.CONCAT("* REVIEW REQUIRED: compound-quote delimiter in Codebook Section on Sheet 1 row ",419,"; edit the input before running."),_xlfn.CONCAT("char ",TRIM($B419),"[doc_section] ",CHAR(96),CHAR(34),SUBSTITUTE(SUBSTITUTE(SUBSTITUTE(SUBSTITUTE(SUBSTITUTE(SUBSTITUTE($A419,CHAR(13)," "),CHAR(10)," "),CHAR(9)," "),CHAR(92),_xlfn.CONCAT(CHAR(92),CHAR(92))),"$",_xlfn.CONCAT(CHAR(92),"$")),CHAR(96),_xlfn.CONCAT(CHAR(92),CHAR(96))),CHAR(34),CHAR(39))))</f>
        <v/>
      </c>
      <c r="M419" s="5" t="str">
        <f>IF(OR(TRIM($B419)="",$C419=""),"",IF(IFERROR(MATCH(TRIM($C419),{"Quantitative","Continuous","Discrete","Categorical","Nominal","Ordinal","Identifier"},0),0)=0,_xlfn.CONCAT("* REVIEW REQUIRED: invalid Variable Type on Sheet 1 row ",419,"."),_xlfn.CONCAT("char ",TRIM($B419),"[doc_vartype] ",CHAR(96),CHAR(34),SUBSTITUTE(SUBSTITUTE(SUBSTITUTE(SUBSTITUTE(SUBSTITUTE(SUBSTITUTE(LOWER(TRIM($C419)),CHAR(13)," "),CHAR(10)," "),CHAR(9)," "),CHAR(92),_xlfn.CONCAT(CHAR(92),CHAR(92))),"$",_xlfn.CONCAT(CHAR(92),"$")),CHAR(96),_xlfn.CONCAT(CHAR(92),CHAR(96))),CHAR(34),CHAR(39))))</f>
        <v/>
      </c>
      <c r="N419" s="5" t="str">
        <f>IF(OR(TRIM($B419)="",$D419=""),"",IF(OR(ISNUMBER(SEARCH(_xlfn.CONCAT(CHAR(96),CHAR(34)),$D419)),ISNUMBER(SEARCH(_xlfn.CONCAT(CHAR(34),CHAR(39)),$D419))),_xlfn.CONCAT("* REVIEW REQUIRED: compound-quote delimiter in Item Number on Sheet 1 row ",419,"; edit the input before running."),_xlfn.CONCAT("char ",TRIM($B419),"[doc_itemnum] ",CHAR(96),CHAR(34),SUBSTITUTE(SUBSTITUTE(SUBSTITUTE(SUBSTITUTE(SUBSTITUTE(SUBSTITUTE($D419,CHAR(13)," "),CHAR(10)," "),CHAR(9)," "),CHAR(92),_xlfn.CONCAT(CHAR(92),CHAR(92))),"$",_xlfn.CONCAT(CHAR(92),"$")),CHAR(96),_xlfn.CONCAT(CHAR(92),CHAR(96))),CHAR(34),CHAR(39))))</f>
        <v/>
      </c>
      <c r="O419" s="5" t="str">
        <f>IF(OR(TRIM($B419)="",$E419=""),"",IF(OR(ISNUMBER(SEARCH(_xlfn.CONCAT(CHAR(96),CHAR(34)),$E419)),ISNUMBER(SEARCH(_xlfn.CONCAT(CHAR(34),CHAR(39)),$E419))),_xlfn.CONCAT("* REVIEW REQUIRED: compound-quote delimiter in Question Wording on Sheet 1 row ",419,"; edit the input before running."),_xlfn.CONCAT("char ",TRIM($B419),"[doc_question] ",CHAR(96),CHAR(34),SUBSTITUTE(SUBSTITUTE(SUBSTITUTE(SUBSTITUTE(SUBSTITUTE(SUBSTITUTE($E419,CHAR(13)," "),CHAR(10)," "),CHAR(9)," "),CHAR(92),_xlfn.CONCAT(CHAR(92),CHAR(92))),"$",_xlfn.CONCAT(CHAR(92),"$")),CHAR(96),_xlfn.CONCAT(CHAR(92),CHAR(96))),CHAR(34),CHAR(39))))</f>
        <v/>
      </c>
      <c r="P419" s="5" t="str">
        <f>IF(OR(TRIM($B419)="",$F419=""),"",IF(OR(ISNUMBER(SEARCH(_xlfn.CONCAT(CHAR(96),CHAR(34)),$F419)),ISNUMBER(SEARCH(_xlfn.CONCAT(CHAR(34),CHAR(39)),$F419))),_xlfn.CONCAT("* REVIEW REQUIRED: compound-quote delimiter in Units on Sheet 1 row ",419,"; edit the input before running."),_xlfn.CONCAT("char ",TRIM($B419),"[doc_units] ",CHAR(96),CHAR(34),SUBSTITUTE(SUBSTITUTE(SUBSTITUTE(SUBSTITUTE(SUBSTITUTE(SUBSTITUTE($F419,CHAR(13)," "),CHAR(10)," "),CHAR(9)," "),CHAR(92),_xlfn.CONCAT(CHAR(92),CHAR(92))),"$",_xlfn.CONCAT(CHAR(92),"$")),CHAR(96),_xlfn.CONCAT(CHAR(92),CHAR(96))),CHAR(34),CHAR(39))))</f>
        <v/>
      </c>
      <c r="Q419" s="5" t="str">
        <f>IF(OR(TRIM($B419)="",$G419=""),"",IF(OR(ISNUMBER(SEARCH(_xlfn.CONCAT(CHAR(96),CHAR(34)),$G419)),ISNUMBER(SEARCH(_xlfn.CONCAT(CHAR(34),CHAR(39)),$G419))),_xlfn.CONCAT("* REVIEW REQUIRED: compound-quote delimiter in Universe on Sheet 1 row ",419,"; edit the input before running."),_xlfn.CONCAT("char ",TRIM($B419),"[doc_universe] ",CHAR(96),CHAR(34),SUBSTITUTE(SUBSTITUTE(SUBSTITUTE(SUBSTITUTE(SUBSTITUTE(SUBSTITUTE($G419,CHAR(13)," "),CHAR(10)," "),CHAR(9)," "),CHAR(92),_xlfn.CONCAT(CHAR(92),CHAR(92))),"$",_xlfn.CONCAT(CHAR(92),"$")),CHAR(96),_xlfn.CONCAT(CHAR(92),CHAR(96))),CHAR(34),CHAR(39))))</f>
        <v/>
      </c>
      <c r="R419" s="5" t="str">
        <f>IF(OR(TRIM($B419)="",$H419=""),"",IF(OR(ISNUMBER(SEARCH(_xlfn.CONCAT(CHAR(96),CHAR(34)),$H419)),ISNUMBER(SEARCH(_xlfn.CONCAT(CHAR(34),CHAR(39)),$H419))),_xlfn.CONCAT("* REVIEW REQUIRED: compound-quote delimiter in Source on Sheet 1 row ",419,"; edit the input before running."),_xlfn.CONCAT("char ",TRIM($B419),"[doc_source] ",CHAR(96),CHAR(34),SUBSTITUTE(SUBSTITUTE(SUBSTITUTE(SUBSTITUTE(SUBSTITUTE(SUBSTITUTE($H419,CHAR(13)," "),CHAR(10)," "),CHAR(9)," "),CHAR(92),_xlfn.CONCAT(CHAR(92),CHAR(92))),"$",_xlfn.CONCAT(CHAR(92),"$")),CHAR(96),_xlfn.CONCAT(CHAR(92),CHAR(96))),CHAR(34),CHAR(39))))</f>
        <v/>
      </c>
      <c r="S419" s="5" t="str">
        <f>IF(OR(TRIM($B419)="",$I419=""),"",IF(OR(ISNUMBER(SEARCH(_xlfn.CONCAT(CHAR(96),CHAR(34)),$I419)),ISNUMBER(SEARCH(_xlfn.CONCAT(CHAR(34),CHAR(39)),$I419))),_xlfn.CONCAT("* REVIEW REQUIRED: compound-quote delimiter in Derivation on Sheet 1 row ",419,"; edit the input before running."),_xlfn.CONCAT("char ",TRIM($B419),"[doc_derivation] ",CHAR(96),CHAR(34),SUBSTITUTE(SUBSTITUTE(SUBSTITUTE(SUBSTITUTE(SUBSTITUTE(SUBSTITUTE($I419,CHAR(13)," "),CHAR(10)," "),CHAR(9)," "),CHAR(92),_xlfn.CONCAT(CHAR(92),CHAR(92))),"$",_xlfn.CONCAT(CHAR(92),"$")),CHAR(96),_xlfn.CONCAT(CHAR(92),CHAR(96))),CHAR(34),CHAR(39))))</f>
        <v/>
      </c>
      <c r="T419" s="5" t="str">
        <f>IF(OR(TRIM($B419)="",$J419=""),"",IF(OR(ISNUMBER(SEARCH(_xlfn.CONCAT(CHAR(96),CHAR(34)),$J419)),ISNUMBER(SEARCH(_xlfn.CONCAT(CHAR(34),CHAR(39)),$J419))),_xlfn.CONCAT("* REVIEW REQUIRED: compound-quote delimiter in Notes on Sheet 1 row ",419,"; edit the input before running."),_xlfn.CONCAT("char ",TRIM($B419),"[doc_notes] ",CHAR(96),CHAR(34),SUBSTITUTE(SUBSTITUTE(SUBSTITUTE(SUBSTITUTE(SUBSTITUTE(SUBSTITUTE($J419,CHAR(13)," "),CHAR(10)," "),CHAR(9)," "),CHAR(92),_xlfn.CONCAT(CHAR(92),CHAR(92))),"$",_xlfn.CONCAT(CHAR(92),"$")),CHAR(96),_xlfn.CONCAT(CHAR(92),CHAR(96))),CHAR(34),CHAR(39))))</f>
        <v/>
      </c>
      <c r="U419" s="5">
        <f t="shared" si="13"/>
        <v>0</v>
      </c>
    </row>
    <row r="420" spans="3:21" ht="30" customHeight="1" x14ac:dyDescent="0.2">
      <c r="C420" s="4"/>
      <c r="K420" s="5">
        <f t="shared" si="12"/>
        <v>0</v>
      </c>
      <c r="L420" s="5" t="str">
        <f>IF(OR(TRIM($B420)="",$A420=""),"",IF(OR(ISNUMBER(SEARCH(_xlfn.CONCAT(CHAR(96),CHAR(34)),$A420)),ISNUMBER(SEARCH(_xlfn.CONCAT(CHAR(34),CHAR(39)),$A420))),_xlfn.CONCAT("* REVIEW REQUIRED: compound-quote delimiter in Codebook Section on Sheet 1 row ",420,"; edit the input before running."),_xlfn.CONCAT("char ",TRIM($B420),"[doc_section] ",CHAR(96),CHAR(34),SUBSTITUTE(SUBSTITUTE(SUBSTITUTE(SUBSTITUTE(SUBSTITUTE(SUBSTITUTE($A420,CHAR(13)," "),CHAR(10)," "),CHAR(9)," "),CHAR(92),_xlfn.CONCAT(CHAR(92),CHAR(92))),"$",_xlfn.CONCAT(CHAR(92),"$")),CHAR(96),_xlfn.CONCAT(CHAR(92),CHAR(96))),CHAR(34),CHAR(39))))</f>
        <v/>
      </c>
      <c r="M420" s="5" t="str">
        <f>IF(OR(TRIM($B420)="",$C420=""),"",IF(IFERROR(MATCH(TRIM($C420),{"Quantitative","Continuous","Discrete","Categorical","Nominal","Ordinal","Identifier"},0),0)=0,_xlfn.CONCAT("* REVIEW REQUIRED: invalid Variable Type on Sheet 1 row ",420,"."),_xlfn.CONCAT("char ",TRIM($B420),"[doc_vartype] ",CHAR(96),CHAR(34),SUBSTITUTE(SUBSTITUTE(SUBSTITUTE(SUBSTITUTE(SUBSTITUTE(SUBSTITUTE(LOWER(TRIM($C420)),CHAR(13)," "),CHAR(10)," "),CHAR(9)," "),CHAR(92),_xlfn.CONCAT(CHAR(92),CHAR(92))),"$",_xlfn.CONCAT(CHAR(92),"$")),CHAR(96),_xlfn.CONCAT(CHAR(92),CHAR(96))),CHAR(34),CHAR(39))))</f>
        <v/>
      </c>
      <c r="N420" s="5" t="str">
        <f>IF(OR(TRIM($B420)="",$D420=""),"",IF(OR(ISNUMBER(SEARCH(_xlfn.CONCAT(CHAR(96),CHAR(34)),$D420)),ISNUMBER(SEARCH(_xlfn.CONCAT(CHAR(34),CHAR(39)),$D420))),_xlfn.CONCAT("* REVIEW REQUIRED: compound-quote delimiter in Item Number on Sheet 1 row ",420,"; edit the input before running."),_xlfn.CONCAT("char ",TRIM($B420),"[doc_itemnum] ",CHAR(96),CHAR(34),SUBSTITUTE(SUBSTITUTE(SUBSTITUTE(SUBSTITUTE(SUBSTITUTE(SUBSTITUTE($D420,CHAR(13)," "),CHAR(10)," "),CHAR(9)," "),CHAR(92),_xlfn.CONCAT(CHAR(92),CHAR(92))),"$",_xlfn.CONCAT(CHAR(92),"$")),CHAR(96),_xlfn.CONCAT(CHAR(92),CHAR(96))),CHAR(34),CHAR(39))))</f>
        <v/>
      </c>
      <c r="O420" s="5" t="str">
        <f>IF(OR(TRIM($B420)="",$E420=""),"",IF(OR(ISNUMBER(SEARCH(_xlfn.CONCAT(CHAR(96),CHAR(34)),$E420)),ISNUMBER(SEARCH(_xlfn.CONCAT(CHAR(34),CHAR(39)),$E420))),_xlfn.CONCAT("* REVIEW REQUIRED: compound-quote delimiter in Question Wording on Sheet 1 row ",420,"; edit the input before running."),_xlfn.CONCAT("char ",TRIM($B420),"[doc_question] ",CHAR(96),CHAR(34),SUBSTITUTE(SUBSTITUTE(SUBSTITUTE(SUBSTITUTE(SUBSTITUTE(SUBSTITUTE($E420,CHAR(13)," "),CHAR(10)," "),CHAR(9)," "),CHAR(92),_xlfn.CONCAT(CHAR(92),CHAR(92))),"$",_xlfn.CONCAT(CHAR(92),"$")),CHAR(96),_xlfn.CONCAT(CHAR(92),CHAR(96))),CHAR(34),CHAR(39))))</f>
        <v/>
      </c>
      <c r="P420" s="5" t="str">
        <f>IF(OR(TRIM($B420)="",$F420=""),"",IF(OR(ISNUMBER(SEARCH(_xlfn.CONCAT(CHAR(96),CHAR(34)),$F420)),ISNUMBER(SEARCH(_xlfn.CONCAT(CHAR(34),CHAR(39)),$F420))),_xlfn.CONCAT("* REVIEW REQUIRED: compound-quote delimiter in Units on Sheet 1 row ",420,"; edit the input before running."),_xlfn.CONCAT("char ",TRIM($B420),"[doc_units] ",CHAR(96),CHAR(34),SUBSTITUTE(SUBSTITUTE(SUBSTITUTE(SUBSTITUTE(SUBSTITUTE(SUBSTITUTE($F420,CHAR(13)," "),CHAR(10)," "),CHAR(9)," "),CHAR(92),_xlfn.CONCAT(CHAR(92),CHAR(92))),"$",_xlfn.CONCAT(CHAR(92),"$")),CHAR(96),_xlfn.CONCAT(CHAR(92),CHAR(96))),CHAR(34),CHAR(39))))</f>
        <v/>
      </c>
      <c r="Q420" s="5" t="str">
        <f>IF(OR(TRIM($B420)="",$G420=""),"",IF(OR(ISNUMBER(SEARCH(_xlfn.CONCAT(CHAR(96),CHAR(34)),$G420)),ISNUMBER(SEARCH(_xlfn.CONCAT(CHAR(34),CHAR(39)),$G420))),_xlfn.CONCAT("* REVIEW REQUIRED: compound-quote delimiter in Universe on Sheet 1 row ",420,"; edit the input before running."),_xlfn.CONCAT("char ",TRIM($B420),"[doc_universe] ",CHAR(96),CHAR(34),SUBSTITUTE(SUBSTITUTE(SUBSTITUTE(SUBSTITUTE(SUBSTITUTE(SUBSTITUTE($G420,CHAR(13)," "),CHAR(10)," "),CHAR(9)," "),CHAR(92),_xlfn.CONCAT(CHAR(92),CHAR(92))),"$",_xlfn.CONCAT(CHAR(92),"$")),CHAR(96),_xlfn.CONCAT(CHAR(92),CHAR(96))),CHAR(34),CHAR(39))))</f>
        <v/>
      </c>
      <c r="R420" s="5" t="str">
        <f>IF(OR(TRIM($B420)="",$H420=""),"",IF(OR(ISNUMBER(SEARCH(_xlfn.CONCAT(CHAR(96),CHAR(34)),$H420)),ISNUMBER(SEARCH(_xlfn.CONCAT(CHAR(34),CHAR(39)),$H420))),_xlfn.CONCAT("* REVIEW REQUIRED: compound-quote delimiter in Source on Sheet 1 row ",420,"; edit the input before running."),_xlfn.CONCAT("char ",TRIM($B420),"[doc_source] ",CHAR(96),CHAR(34),SUBSTITUTE(SUBSTITUTE(SUBSTITUTE(SUBSTITUTE(SUBSTITUTE(SUBSTITUTE($H420,CHAR(13)," "),CHAR(10)," "),CHAR(9)," "),CHAR(92),_xlfn.CONCAT(CHAR(92),CHAR(92))),"$",_xlfn.CONCAT(CHAR(92),"$")),CHAR(96),_xlfn.CONCAT(CHAR(92),CHAR(96))),CHAR(34),CHAR(39))))</f>
        <v/>
      </c>
      <c r="S420" s="5" t="str">
        <f>IF(OR(TRIM($B420)="",$I420=""),"",IF(OR(ISNUMBER(SEARCH(_xlfn.CONCAT(CHAR(96),CHAR(34)),$I420)),ISNUMBER(SEARCH(_xlfn.CONCAT(CHAR(34),CHAR(39)),$I420))),_xlfn.CONCAT("* REVIEW REQUIRED: compound-quote delimiter in Derivation on Sheet 1 row ",420,"; edit the input before running."),_xlfn.CONCAT("char ",TRIM($B420),"[doc_derivation] ",CHAR(96),CHAR(34),SUBSTITUTE(SUBSTITUTE(SUBSTITUTE(SUBSTITUTE(SUBSTITUTE(SUBSTITUTE($I420,CHAR(13)," "),CHAR(10)," "),CHAR(9)," "),CHAR(92),_xlfn.CONCAT(CHAR(92),CHAR(92))),"$",_xlfn.CONCAT(CHAR(92),"$")),CHAR(96),_xlfn.CONCAT(CHAR(92),CHAR(96))),CHAR(34),CHAR(39))))</f>
        <v/>
      </c>
      <c r="T420" s="5" t="str">
        <f>IF(OR(TRIM($B420)="",$J420=""),"",IF(OR(ISNUMBER(SEARCH(_xlfn.CONCAT(CHAR(96),CHAR(34)),$J420)),ISNUMBER(SEARCH(_xlfn.CONCAT(CHAR(34),CHAR(39)),$J420))),_xlfn.CONCAT("* REVIEW REQUIRED: compound-quote delimiter in Notes on Sheet 1 row ",420,"; edit the input before running."),_xlfn.CONCAT("char ",TRIM($B420),"[doc_notes] ",CHAR(96),CHAR(34),SUBSTITUTE(SUBSTITUTE(SUBSTITUTE(SUBSTITUTE(SUBSTITUTE(SUBSTITUTE($J420,CHAR(13)," "),CHAR(10)," "),CHAR(9)," "),CHAR(92),_xlfn.CONCAT(CHAR(92),CHAR(92))),"$",_xlfn.CONCAT(CHAR(92),"$")),CHAR(96),_xlfn.CONCAT(CHAR(92),CHAR(96))),CHAR(34),CHAR(39))))</f>
        <v/>
      </c>
      <c r="U420" s="5">
        <f t="shared" si="13"/>
        <v>0</v>
      </c>
    </row>
    <row r="421" spans="3:21" ht="30" customHeight="1" x14ac:dyDescent="0.2">
      <c r="C421" s="4"/>
      <c r="K421" s="5">
        <f t="shared" si="12"/>
        <v>0</v>
      </c>
      <c r="L421" s="5" t="str">
        <f>IF(OR(TRIM($B421)="",$A421=""),"",IF(OR(ISNUMBER(SEARCH(_xlfn.CONCAT(CHAR(96),CHAR(34)),$A421)),ISNUMBER(SEARCH(_xlfn.CONCAT(CHAR(34),CHAR(39)),$A421))),_xlfn.CONCAT("* REVIEW REQUIRED: compound-quote delimiter in Codebook Section on Sheet 1 row ",421,"; edit the input before running."),_xlfn.CONCAT("char ",TRIM($B421),"[doc_section] ",CHAR(96),CHAR(34),SUBSTITUTE(SUBSTITUTE(SUBSTITUTE(SUBSTITUTE(SUBSTITUTE(SUBSTITUTE($A421,CHAR(13)," "),CHAR(10)," "),CHAR(9)," "),CHAR(92),_xlfn.CONCAT(CHAR(92),CHAR(92))),"$",_xlfn.CONCAT(CHAR(92),"$")),CHAR(96),_xlfn.CONCAT(CHAR(92),CHAR(96))),CHAR(34),CHAR(39))))</f>
        <v/>
      </c>
      <c r="M421" s="5" t="str">
        <f>IF(OR(TRIM($B421)="",$C421=""),"",IF(IFERROR(MATCH(TRIM($C421),{"Quantitative","Continuous","Discrete","Categorical","Nominal","Ordinal","Identifier"},0),0)=0,_xlfn.CONCAT("* REVIEW REQUIRED: invalid Variable Type on Sheet 1 row ",421,"."),_xlfn.CONCAT("char ",TRIM($B421),"[doc_vartype] ",CHAR(96),CHAR(34),SUBSTITUTE(SUBSTITUTE(SUBSTITUTE(SUBSTITUTE(SUBSTITUTE(SUBSTITUTE(LOWER(TRIM($C421)),CHAR(13)," "),CHAR(10)," "),CHAR(9)," "),CHAR(92),_xlfn.CONCAT(CHAR(92),CHAR(92))),"$",_xlfn.CONCAT(CHAR(92),"$")),CHAR(96),_xlfn.CONCAT(CHAR(92),CHAR(96))),CHAR(34),CHAR(39))))</f>
        <v/>
      </c>
      <c r="N421" s="5" t="str">
        <f>IF(OR(TRIM($B421)="",$D421=""),"",IF(OR(ISNUMBER(SEARCH(_xlfn.CONCAT(CHAR(96),CHAR(34)),$D421)),ISNUMBER(SEARCH(_xlfn.CONCAT(CHAR(34),CHAR(39)),$D421))),_xlfn.CONCAT("* REVIEW REQUIRED: compound-quote delimiter in Item Number on Sheet 1 row ",421,"; edit the input before running."),_xlfn.CONCAT("char ",TRIM($B421),"[doc_itemnum] ",CHAR(96),CHAR(34),SUBSTITUTE(SUBSTITUTE(SUBSTITUTE(SUBSTITUTE(SUBSTITUTE(SUBSTITUTE($D421,CHAR(13)," "),CHAR(10)," "),CHAR(9)," "),CHAR(92),_xlfn.CONCAT(CHAR(92),CHAR(92))),"$",_xlfn.CONCAT(CHAR(92),"$")),CHAR(96),_xlfn.CONCAT(CHAR(92),CHAR(96))),CHAR(34),CHAR(39))))</f>
        <v/>
      </c>
      <c r="O421" s="5" t="str">
        <f>IF(OR(TRIM($B421)="",$E421=""),"",IF(OR(ISNUMBER(SEARCH(_xlfn.CONCAT(CHAR(96),CHAR(34)),$E421)),ISNUMBER(SEARCH(_xlfn.CONCAT(CHAR(34),CHAR(39)),$E421))),_xlfn.CONCAT("* REVIEW REQUIRED: compound-quote delimiter in Question Wording on Sheet 1 row ",421,"; edit the input before running."),_xlfn.CONCAT("char ",TRIM($B421),"[doc_question] ",CHAR(96),CHAR(34),SUBSTITUTE(SUBSTITUTE(SUBSTITUTE(SUBSTITUTE(SUBSTITUTE(SUBSTITUTE($E421,CHAR(13)," "),CHAR(10)," "),CHAR(9)," "),CHAR(92),_xlfn.CONCAT(CHAR(92),CHAR(92))),"$",_xlfn.CONCAT(CHAR(92),"$")),CHAR(96),_xlfn.CONCAT(CHAR(92),CHAR(96))),CHAR(34),CHAR(39))))</f>
        <v/>
      </c>
      <c r="P421" s="5" t="str">
        <f>IF(OR(TRIM($B421)="",$F421=""),"",IF(OR(ISNUMBER(SEARCH(_xlfn.CONCAT(CHAR(96),CHAR(34)),$F421)),ISNUMBER(SEARCH(_xlfn.CONCAT(CHAR(34),CHAR(39)),$F421))),_xlfn.CONCAT("* REVIEW REQUIRED: compound-quote delimiter in Units on Sheet 1 row ",421,"; edit the input before running."),_xlfn.CONCAT("char ",TRIM($B421),"[doc_units] ",CHAR(96),CHAR(34),SUBSTITUTE(SUBSTITUTE(SUBSTITUTE(SUBSTITUTE(SUBSTITUTE(SUBSTITUTE($F421,CHAR(13)," "),CHAR(10)," "),CHAR(9)," "),CHAR(92),_xlfn.CONCAT(CHAR(92),CHAR(92))),"$",_xlfn.CONCAT(CHAR(92),"$")),CHAR(96),_xlfn.CONCAT(CHAR(92),CHAR(96))),CHAR(34),CHAR(39))))</f>
        <v/>
      </c>
      <c r="Q421" s="5" t="str">
        <f>IF(OR(TRIM($B421)="",$G421=""),"",IF(OR(ISNUMBER(SEARCH(_xlfn.CONCAT(CHAR(96),CHAR(34)),$G421)),ISNUMBER(SEARCH(_xlfn.CONCAT(CHAR(34),CHAR(39)),$G421))),_xlfn.CONCAT("* REVIEW REQUIRED: compound-quote delimiter in Universe on Sheet 1 row ",421,"; edit the input before running."),_xlfn.CONCAT("char ",TRIM($B421),"[doc_universe] ",CHAR(96),CHAR(34),SUBSTITUTE(SUBSTITUTE(SUBSTITUTE(SUBSTITUTE(SUBSTITUTE(SUBSTITUTE($G421,CHAR(13)," "),CHAR(10)," "),CHAR(9)," "),CHAR(92),_xlfn.CONCAT(CHAR(92),CHAR(92))),"$",_xlfn.CONCAT(CHAR(92),"$")),CHAR(96),_xlfn.CONCAT(CHAR(92),CHAR(96))),CHAR(34),CHAR(39))))</f>
        <v/>
      </c>
      <c r="R421" s="5" t="str">
        <f>IF(OR(TRIM($B421)="",$H421=""),"",IF(OR(ISNUMBER(SEARCH(_xlfn.CONCAT(CHAR(96),CHAR(34)),$H421)),ISNUMBER(SEARCH(_xlfn.CONCAT(CHAR(34),CHAR(39)),$H421))),_xlfn.CONCAT("* REVIEW REQUIRED: compound-quote delimiter in Source on Sheet 1 row ",421,"; edit the input before running."),_xlfn.CONCAT("char ",TRIM($B421),"[doc_source] ",CHAR(96),CHAR(34),SUBSTITUTE(SUBSTITUTE(SUBSTITUTE(SUBSTITUTE(SUBSTITUTE(SUBSTITUTE($H421,CHAR(13)," "),CHAR(10)," "),CHAR(9)," "),CHAR(92),_xlfn.CONCAT(CHAR(92),CHAR(92))),"$",_xlfn.CONCAT(CHAR(92),"$")),CHAR(96),_xlfn.CONCAT(CHAR(92),CHAR(96))),CHAR(34),CHAR(39))))</f>
        <v/>
      </c>
      <c r="S421" s="5" t="str">
        <f>IF(OR(TRIM($B421)="",$I421=""),"",IF(OR(ISNUMBER(SEARCH(_xlfn.CONCAT(CHAR(96),CHAR(34)),$I421)),ISNUMBER(SEARCH(_xlfn.CONCAT(CHAR(34),CHAR(39)),$I421))),_xlfn.CONCAT("* REVIEW REQUIRED: compound-quote delimiter in Derivation on Sheet 1 row ",421,"; edit the input before running."),_xlfn.CONCAT("char ",TRIM($B421),"[doc_derivation] ",CHAR(96),CHAR(34),SUBSTITUTE(SUBSTITUTE(SUBSTITUTE(SUBSTITUTE(SUBSTITUTE(SUBSTITUTE($I421,CHAR(13)," "),CHAR(10)," "),CHAR(9)," "),CHAR(92),_xlfn.CONCAT(CHAR(92),CHAR(92))),"$",_xlfn.CONCAT(CHAR(92),"$")),CHAR(96),_xlfn.CONCAT(CHAR(92),CHAR(96))),CHAR(34),CHAR(39))))</f>
        <v/>
      </c>
      <c r="T421" s="5" t="str">
        <f>IF(OR(TRIM($B421)="",$J421=""),"",IF(OR(ISNUMBER(SEARCH(_xlfn.CONCAT(CHAR(96),CHAR(34)),$J421)),ISNUMBER(SEARCH(_xlfn.CONCAT(CHAR(34),CHAR(39)),$J421))),_xlfn.CONCAT("* REVIEW REQUIRED: compound-quote delimiter in Notes on Sheet 1 row ",421,"; edit the input before running."),_xlfn.CONCAT("char ",TRIM($B421),"[doc_notes] ",CHAR(96),CHAR(34),SUBSTITUTE(SUBSTITUTE(SUBSTITUTE(SUBSTITUTE(SUBSTITUTE(SUBSTITUTE($J421,CHAR(13)," "),CHAR(10)," "),CHAR(9)," "),CHAR(92),_xlfn.CONCAT(CHAR(92),CHAR(92))),"$",_xlfn.CONCAT(CHAR(92),"$")),CHAR(96),_xlfn.CONCAT(CHAR(92),CHAR(96))),CHAR(34),CHAR(39))))</f>
        <v/>
      </c>
      <c r="U421" s="5">
        <f t="shared" si="13"/>
        <v>0</v>
      </c>
    </row>
    <row r="422" spans="3:21" ht="30" customHeight="1" x14ac:dyDescent="0.2">
      <c r="C422" s="4"/>
      <c r="K422" s="5">
        <f t="shared" si="12"/>
        <v>0</v>
      </c>
      <c r="L422" s="5" t="str">
        <f>IF(OR(TRIM($B422)="",$A422=""),"",IF(OR(ISNUMBER(SEARCH(_xlfn.CONCAT(CHAR(96),CHAR(34)),$A422)),ISNUMBER(SEARCH(_xlfn.CONCAT(CHAR(34),CHAR(39)),$A422))),_xlfn.CONCAT("* REVIEW REQUIRED: compound-quote delimiter in Codebook Section on Sheet 1 row ",422,"; edit the input before running."),_xlfn.CONCAT("char ",TRIM($B422),"[doc_section] ",CHAR(96),CHAR(34),SUBSTITUTE(SUBSTITUTE(SUBSTITUTE(SUBSTITUTE(SUBSTITUTE(SUBSTITUTE($A422,CHAR(13)," "),CHAR(10)," "),CHAR(9)," "),CHAR(92),_xlfn.CONCAT(CHAR(92),CHAR(92))),"$",_xlfn.CONCAT(CHAR(92),"$")),CHAR(96),_xlfn.CONCAT(CHAR(92),CHAR(96))),CHAR(34),CHAR(39))))</f>
        <v/>
      </c>
      <c r="M422" s="5" t="str">
        <f>IF(OR(TRIM($B422)="",$C422=""),"",IF(IFERROR(MATCH(TRIM($C422),{"Quantitative","Continuous","Discrete","Categorical","Nominal","Ordinal","Identifier"},0),0)=0,_xlfn.CONCAT("* REVIEW REQUIRED: invalid Variable Type on Sheet 1 row ",422,"."),_xlfn.CONCAT("char ",TRIM($B422),"[doc_vartype] ",CHAR(96),CHAR(34),SUBSTITUTE(SUBSTITUTE(SUBSTITUTE(SUBSTITUTE(SUBSTITUTE(SUBSTITUTE(LOWER(TRIM($C422)),CHAR(13)," "),CHAR(10)," "),CHAR(9)," "),CHAR(92),_xlfn.CONCAT(CHAR(92),CHAR(92))),"$",_xlfn.CONCAT(CHAR(92),"$")),CHAR(96),_xlfn.CONCAT(CHAR(92),CHAR(96))),CHAR(34),CHAR(39))))</f>
        <v/>
      </c>
      <c r="N422" s="5" t="str">
        <f>IF(OR(TRIM($B422)="",$D422=""),"",IF(OR(ISNUMBER(SEARCH(_xlfn.CONCAT(CHAR(96),CHAR(34)),$D422)),ISNUMBER(SEARCH(_xlfn.CONCAT(CHAR(34),CHAR(39)),$D422))),_xlfn.CONCAT("* REVIEW REQUIRED: compound-quote delimiter in Item Number on Sheet 1 row ",422,"; edit the input before running."),_xlfn.CONCAT("char ",TRIM($B422),"[doc_itemnum] ",CHAR(96),CHAR(34),SUBSTITUTE(SUBSTITUTE(SUBSTITUTE(SUBSTITUTE(SUBSTITUTE(SUBSTITUTE($D422,CHAR(13)," "),CHAR(10)," "),CHAR(9)," "),CHAR(92),_xlfn.CONCAT(CHAR(92),CHAR(92))),"$",_xlfn.CONCAT(CHAR(92),"$")),CHAR(96),_xlfn.CONCAT(CHAR(92),CHAR(96))),CHAR(34),CHAR(39))))</f>
        <v/>
      </c>
      <c r="O422" s="5" t="str">
        <f>IF(OR(TRIM($B422)="",$E422=""),"",IF(OR(ISNUMBER(SEARCH(_xlfn.CONCAT(CHAR(96),CHAR(34)),$E422)),ISNUMBER(SEARCH(_xlfn.CONCAT(CHAR(34),CHAR(39)),$E422))),_xlfn.CONCAT("* REVIEW REQUIRED: compound-quote delimiter in Question Wording on Sheet 1 row ",422,"; edit the input before running."),_xlfn.CONCAT("char ",TRIM($B422),"[doc_question] ",CHAR(96),CHAR(34),SUBSTITUTE(SUBSTITUTE(SUBSTITUTE(SUBSTITUTE(SUBSTITUTE(SUBSTITUTE($E422,CHAR(13)," "),CHAR(10)," "),CHAR(9)," "),CHAR(92),_xlfn.CONCAT(CHAR(92),CHAR(92))),"$",_xlfn.CONCAT(CHAR(92),"$")),CHAR(96),_xlfn.CONCAT(CHAR(92),CHAR(96))),CHAR(34),CHAR(39))))</f>
        <v/>
      </c>
      <c r="P422" s="5" t="str">
        <f>IF(OR(TRIM($B422)="",$F422=""),"",IF(OR(ISNUMBER(SEARCH(_xlfn.CONCAT(CHAR(96),CHAR(34)),$F422)),ISNUMBER(SEARCH(_xlfn.CONCAT(CHAR(34),CHAR(39)),$F422))),_xlfn.CONCAT("* REVIEW REQUIRED: compound-quote delimiter in Units on Sheet 1 row ",422,"; edit the input before running."),_xlfn.CONCAT("char ",TRIM($B422),"[doc_units] ",CHAR(96),CHAR(34),SUBSTITUTE(SUBSTITUTE(SUBSTITUTE(SUBSTITUTE(SUBSTITUTE(SUBSTITUTE($F422,CHAR(13)," "),CHAR(10)," "),CHAR(9)," "),CHAR(92),_xlfn.CONCAT(CHAR(92),CHAR(92))),"$",_xlfn.CONCAT(CHAR(92),"$")),CHAR(96),_xlfn.CONCAT(CHAR(92),CHAR(96))),CHAR(34),CHAR(39))))</f>
        <v/>
      </c>
      <c r="Q422" s="5" t="str">
        <f>IF(OR(TRIM($B422)="",$G422=""),"",IF(OR(ISNUMBER(SEARCH(_xlfn.CONCAT(CHAR(96),CHAR(34)),$G422)),ISNUMBER(SEARCH(_xlfn.CONCAT(CHAR(34),CHAR(39)),$G422))),_xlfn.CONCAT("* REVIEW REQUIRED: compound-quote delimiter in Universe on Sheet 1 row ",422,"; edit the input before running."),_xlfn.CONCAT("char ",TRIM($B422),"[doc_universe] ",CHAR(96),CHAR(34),SUBSTITUTE(SUBSTITUTE(SUBSTITUTE(SUBSTITUTE(SUBSTITUTE(SUBSTITUTE($G422,CHAR(13)," "),CHAR(10)," "),CHAR(9)," "),CHAR(92),_xlfn.CONCAT(CHAR(92),CHAR(92))),"$",_xlfn.CONCAT(CHAR(92),"$")),CHAR(96),_xlfn.CONCAT(CHAR(92),CHAR(96))),CHAR(34),CHAR(39))))</f>
        <v/>
      </c>
      <c r="R422" s="5" t="str">
        <f>IF(OR(TRIM($B422)="",$H422=""),"",IF(OR(ISNUMBER(SEARCH(_xlfn.CONCAT(CHAR(96),CHAR(34)),$H422)),ISNUMBER(SEARCH(_xlfn.CONCAT(CHAR(34),CHAR(39)),$H422))),_xlfn.CONCAT("* REVIEW REQUIRED: compound-quote delimiter in Source on Sheet 1 row ",422,"; edit the input before running."),_xlfn.CONCAT("char ",TRIM($B422),"[doc_source] ",CHAR(96),CHAR(34),SUBSTITUTE(SUBSTITUTE(SUBSTITUTE(SUBSTITUTE(SUBSTITUTE(SUBSTITUTE($H422,CHAR(13)," "),CHAR(10)," "),CHAR(9)," "),CHAR(92),_xlfn.CONCAT(CHAR(92),CHAR(92))),"$",_xlfn.CONCAT(CHAR(92),"$")),CHAR(96),_xlfn.CONCAT(CHAR(92),CHAR(96))),CHAR(34),CHAR(39))))</f>
        <v/>
      </c>
      <c r="S422" s="5" t="str">
        <f>IF(OR(TRIM($B422)="",$I422=""),"",IF(OR(ISNUMBER(SEARCH(_xlfn.CONCAT(CHAR(96),CHAR(34)),$I422)),ISNUMBER(SEARCH(_xlfn.CONCAT(CHAR(34),CHAR(39)),$I422))),_xlfn.CONCAT("* REVIEW REQUIRED: compound-quote delimiter in Derivation on Sheet 1 row ",422,"; edit the input before running."),_xlfn.CONCAT("char ",TRIM($B422),"[doc_derivation] ",CHAR(96),CHAR(34),SUBSTITUTE(SUBSTITUTE(SUBSTITUTE(SUBSTITUTE(SUBSTITUTE(SUBSTITUTE($I422,CHAR(13)," "),CHAR(10)," "),CHAR(9)," "),CHAR(92),_xlfn.CONCAT(CHAR(92),CHAR(92))),"$",_xlfn.CONCAT(CHAR(92),"$")),CHAR(96),_xlfn.CONCAT(CHAR(92),CHAR(96))),CHAR(34),CHAR(39))))</f>
        <v/>
      </c>
      <c r="T422" s="5" t="str">
        <f>IF(OR(TRIM($B422)="",$J422=""),"",IF(OR(ISNUMBER(SEARCH(_xlfn.CONCAT(CHAR(96),CHAR(34)),$J422)),ISNUMBER(SEARCH(_xlfn.CONCAT(CHAR(34),CHAR(39)),$J422))),_xlfn.CONCAT("* REVIEW REQUIRED: compound-quote delimiter in Notes on Sheet 1 row ",422,"; edit the input before running."),_xlfn.CONCAT("char ",TRIM($B422),"[doc_notes] ",CHAR(96),CHAR(34),SUBSTITUTE(SUBSTITUTE(SUBSTITUTE(SUBSTITUTE(SUBSTITUTE(SUBSTITUTE($J422,CHAR(13)," "),CHAR(10)," "),CHAR(9)," "),CHAR(92),_xlfn.CONCAT(CHAR(92),CHAR(92))),"$",_xlfn.CONCAT(CHAR(92),"$")),CHAR(96),_xlfn.CONCAT(CHAR(92),CHAR(96))),CHAR(34),CHAR(39))))</f>
        <v/>
      </c>
      <c r="U422" s="5">
        <f t="shared" si="13"/>
        <v>0</v>
      </c>
    </row>
    <row r="423" spans="3:21" ht="30" customHeight="1" x14ac:dyDescent="0.2">
      <c r="C423" s="4"/>
      <c r="K423" s="5">
        <f t="shared" si="12"/>
        <v>0</v>
      </c>
      <c r="L423" s="5" t="str">
        <f>IF(OR(TRIM($B423)="",$A423=""),"",IF(OR(ISNUMBER(SEARCH(_xlfn.CONCAT(CHAR(96),CHAR(34)),$A423)),ISNUMBER(SEARCH(_xlfn.CONCAT(CHAR(34),CHAR(39)),$A423))),_xlfn.CONCAT("* REVIEW REQUIRED: compound-quote delimiter in Codebook Section on Sheet 1 row ",423,"; edit the input before running."),_xlfn.CONCAT("char ",TRIM($B423),"[doc_section] ",CHAR(96),CHAR(34),SUBSTITUTE(SUBSTITUTE(SUBSTITUTE(SUBSTITUTE(SUBSTITUTE(SUBSTITUTE($A423,CHAR(13)," "),CHAR(10)," "),CHAR(9)," "),CHAR(92),_xlfn.CONCAT(CHAR(92),CHAR(92))),"$",_xlfn.CONCAT(CHAR(92),"$")),CHAR(96),_xlfn.CONCAT(CHAR(92),CHAR(96))),CHAR(34),CHAR(39))))</f>
        <v/>
      </c>
      <c r="M423" s="5" t="str">
        <f>IF(OR(TRIM($B423)="",$C423=""),"",IF(IFERROR(MATCH(TRIM($C423),{"Quantitative","Continuous","Discrete","Categorical","Nominal","Ordinal","Identifier"},0),0)=0,_xlfn.CONCAT("* REVIEW REQUIRED: invalid Variable Type on Sheet 1 row ",423,"."),_xlfn.CONCAT("char ",TRIM($B423),"[doc_vartype] ",CHAR(96),CHAR(34),SUBSTITUTE(SUBSTITUTE(SUBSTITUTE(SUBSTITUTE(SUBSTITUTE(SUBSTITUTE(LOWER(TRIM($C423)),CHAR(13)," "),CHAR(10)," "),CHAR(9)," "),CHAR(92),_xlfn.CONCAT(CHAR(92),CHAR(92))),"$",_xlfn.CONCAT(CHAR(92),"$")),CHAR(96),_xlfn.CONCAT(CHAR(92),CHAR(96))),CHAR(34),CHAR(39))))</f>
        <v/>
      </c>
      <c r="N423" s="5" t="str">
        <f>IF(OR(TRIM($B423)="",$D423=""),"",IF(OR(ISNUMBER(SEARCH(_xlfn.CONCAT(CHAR(96),CHAR(34)),$D423)),ISNUMBER(SEARCH(_xlfn.CONCAT(CHAR(34),CHAR(39)),$D423))),_xlfn.CONCAT("* REVIEW REQUIRED: compound-quote delimiter in Item Number on Sheet 1 row ",423,"; edit the input before running."),_xlfn.CONCAT("char ",TRIM($B423),"[doc_itemnum] ",CHAR(96),CHAR(34),SUBSTITUTE(SUBSTITUTE(SUBSTITUTE(SUBSTITUTE(SUBSTITUTE(SUBSTITUTE($D423,CHAR(13)," "),CHAR(10)," "),CHAR(9)," "),CHAR(92),_xlfn.CONCAT(CHAR(92),CHAR(92))),"$",_xlfn.CONCAT(CHAR(92),"$")),CHAR(96),_xlfn.CONCAT(CHAR(92),CHAR(96))),CHAR(34),CHAR(39))))</f>
        <v/>
      </c>
      <c r="O423" s="5" t="str">
        <f>IF(OR(TRIM($B423)="",$E423=""),"",IF(OR(ISNUMBER(SEARCH(_xlfn.CONCAT(CHAR(96),CHAR(34)),$E423)),ISNUMBER(SEARCH(_xlfn.CONCAT(CHAR(34),CHAR(39)),$E423))),_xlfn.CONCAT("* REVIEW REQUIRED: compound-quote delimiter in Question Wording on Sheet 1 row ",423,"; edit the input before running."),_xlfn.CONCAT("char ",TRIM($B423),"[doc_question] ",CHAR(96),CHAR(34),SUBSTITUTE(SUBSTITUTE(SUBSTITUTE(SUBSTITUTE(SUBSTITUTE(SUBSTITUTE($E423,CHAR(13)," "),CHAR(10)," "),CHAR(9)," "),CHAR(92),_xlfn.CONCAT(CHAR(92),CHAR(92))),"$",_xlfn.CONCAT(CHAR(92),"$")),CHAR(96),_xlfn.CONCAT(CHAR(92),CHAR(96))),CHAR(34),CHAR(39))))</f>
        <v/>
      </c>
      <c r="P423" s="5" t="str">
        <f>IF(OR(TRIM($B423)="",$F423=""),"",IF(OR(ISNUMBER(SEARCH(_xlfn.CONCAT(CHAR(96),CHAR(34)),$F423)),ISNUMBER(SEARCH(_xlfn.CONCAT(CHAR(34),CHAR(39)),$F423))),_xlfn.CONCAT("* REVIEW REQUIRED: compound-quote delimiter in Units on Sheet 1 row ",423,"; edit the input before running."),_xlfn.CONCAT("char ",TRIM($B423),"[doc_units] ",CHAR(96),CHAR(34),SUBSTITUTE(SUBSTITUTE(SUBSTITUTE(SUBSTITUTE(SUBSTITUTE(SUBSTITUTE($F423,CHAR(13)," "),CHAR(10)," "),CHAR(9)," "),CHAR(92),_xlfn.CONCAT(CHAR(92),CHAR(92))),"$",_xlfn.CONCAT(CHAR(92),"$")),CHAR(96),_xlfn.CONCAT(CHAR(92),CHAR(96))),CHAR(34),CHAR(39))))</f>
        <v/>
      </c>
      <c r="Q423" s="5" t="str">
        <f>IF(OR(TRIM($B423)="",$G423=""),"",IF(OR(ISNUMBER(SEARCH(_xlfn.CONCAT(CHAR(96),CHAR(34)),$G423)),ISNUMBER(SEARCH(_xlfn.CONCAT(CHAR(34),CHAR(39)),$G423))),_xlfn.CONCAT("* REVIEW REQUIRED: compound-quote delimiter in Universe on Sheet 1 row ",423,"; edit the input before running."),_xlfn.CONCAT("char ",TRIM($B423),"[doc_universe] ",CHAR(96),CHAR(34),SUBSTITUTE(SUBSTITUTE(SUBSTITUTE(SUBSTITUTE(SUBSTITUTE(SUBSTITUTE($G423,CHAR(13)," "),CHAR(10)," "),CHAR(9)," "),CHAR(92),_xlfn.CONCAT(CHAR(92),CHAR(92))),"$",_xlfn.CONCAT(CHAR(92),"$")),CHAR(96),_xlfn.CONCAT(CHAR(92),CHAR(96))),CHAR(34),CHAR(39))))</f>
        <v/>
      </c>
      <c r="R423" s="5" t="str">
        <f>IF(OR(TRIM($B423)="",$H423=""),"",IF(OR(ISNUMBER(SEARCH(_xlfn.CONCAT(CHAR(96),CHAR(34)),$H423)),ISNUMBER(SEARCH(_xlfn.CONCAT(CHAR(34),CHAR(39)),$H423))),_xlfn.CONCAT("* REVIEW REQUIRED: compound-quote delimiter in Source on Sheet 1 row ",423,"; edit the input before running."),_xlfn.CONCAT("char ",TRIM($B423),"[doc_source] ",CHAR(96),CHAR(34),SUBSTITUTE(SUBSTITUTE(SUBSTITUTE(SUBSTITUTE(SUBSTITUTE(SUBSTITUTE($H423,CHAR(13)," "),CHAR(10)," "),CHAR(9)," "),CHAR(92),_xlfn.CONCAT(CHAR(92),CHAR(92))),"$",_xlfn.CONCAT(CHAR(92),"$")),CHAR(96),_xlfn.CONCAT(CHAR(92),CHAR(96))),CHAR(34),CHAR(39))))</f>
        <v/>
      </c>
      <c r="S423" s="5" t="str">
        <f>IF(OR(TRIM($B423)="",$I423=""),"",IF(OR(ISNUMBER(SEARCH(_xlfn.CONCAT(CHAR(96),CHAR(34)),$I423)),ISNUMBER(SEARCH(_xlfn.CONCAT(CHAR(34),CHAR(39)),$I423))),_xlfn.CONCAT("* REVIEW REQUIRED: compound-quote delimiter in Derivation on Sheet 1 row ",423,"; edit the input before running."),_xlfn.CONCAT("char ",TRIM($B423),"[doc_derivation] ",CHAR(96),CHAR(34),SUBSTITUTE(SUBSTITUTE(SUBSTITUTE(SUBSTITUTE(SUBSTITUTE(SUBSTITUTE($I423,CHAR(13)," "),CHAR(10)," "),CHAR(9)," "),CHAR(92),_xlfn.CONCAT(CHAR(92),CHAR(92))),"$",_xlfn.CONCAT(CHAR(92),"$")),CHAR(96),_xlfn.CONCAT(CHAR(92),CHAR(96))),CHAR(34),CHAR(39))))</f>
        <v/>
      </c>
      <c r="T423" s="5" t="str">
        <f>IF(OR(TRIM($B423)="",$J423=""),"",IF(OR(ISNUMBER(SEARCH(_xlfn.CONCAT(CHAR(96),CHAR(34)),$J423)),ISNUMBER(SEARCH(_xlfn.CONCAT(CHAR(34),CHAR(39)),$J423))),_xlfn.CONCAT("* REVIEW REQUIRED: compound-quote delimiter in Notes on Sheet 1 row ",423,"; edit the input before running."),_xlfn.CONCAT("char ",TRIM($B423),"[doc_notes] ",CHAR(96),CHAR(34),SUBSTITUTE(SUBSTITUTE(SUBSTITUTE(SUBSTITUTE(SUBSTITUTE(SUBSTITUTE($J423,CHAR(13)," "),CHAR(10)," "),CHAR(9)," "),CHAR(92),_xlfn.CONCAT(CHAR(92),CHAR(92))),"$",_xlfn.CONCAT(CHAR(92),"$")),CHAR(96),_xlfn.CONCAT(CHAR(92),CHAR(96))),CHAR(34),CHAR(39))))</f>
        <v/>
      </c>
      <c r="U423" s="5">
        <f t="shared" si="13"/>
        <v>0</v>
      </c>
    </row>
    <row r="424" spans="3:21" ht="30" customHeight="1" x14ac:dyDescent="0.2">
      <c r="C424" s="4"/>
      <c r="K424" s="5">
        <f t="shared" si="12"/>
        <v>0</v>
      </c>
      <c r="L424" s="5" t="str">
        <f>IF(OR(TRIM($B424)="",$A424=""),"",IF(OR(ISNUMBER(SEARCH(_xlfn.CONCAT(CHAR(96),CHAR(34)),$A424)),ISNUMBER(SEARCH(_xlfn.CONCAT(CHAR(34),CHAR(39)),$A424))),_xlfn.CONCAT("* REVIEW REQUIRED: compound-quote delimiter in Codebook Section on Sheet 1 row ",424,"; edit the input before running."),_xlfn.CONCAT("char ",TRIM($B424),"[doc_section] ",CHAR(96),CHAR(34),SUBSTITUTE(SUBSTITUTE(SUBSTITUTE(SUBSTITUTE(SUBSTITUTE(SUBSTITUTE($A424,CHAR(13)," "),CHAR(10)," "),CHAR(9)," "),CHAR(92),_xlfn.CONCAT(CHAR(92),CHAR(92))),"$",_xlfn.CONCAT(CHAR(92),"$")),CHAR(96),_xlfn.CONCAT(CHAR(92),CHAR(96))),CHAR(34),CHAR(39))))</f>
        <v/>
      </c>
      <c r="M424" s="5" t="str">
        <f>IF(OR(TRIM($B424)="",$C424=""),"",IF(IFERROR(MATCH(TRIM($C424),{"Quantitative","Continuous","Discrete","Categorical","Nominal","Ordinal","Identifier"},0),0)=0,_xlfn.CONCAT("* REVIEW REQUIRED: invalid Variable Type on Sheet 1 row ",424,"."),_xlfn.CONCAT("char ",TRIM($B424),"[doc_vartype] ",CHAR(96),CHAR(34),SUBSTITUTE(SUBSTITUTE(SUBSTITUTE(SUBSTITUTE(SUBSTITUTE(SUBSTITUTE(LOWER(TRIM($C424)),CHAR(13)," "),CHAR(10)," "),CHAR(9)," "),CHAR(92),_xlfn.CONCAT(CHAR(92),CHAR(92))),"$",_xlfn.CONCAT(CHAR(92),"$")),CHAR(96),_xlfn.CONCAT(CHAR(92),CHAR(96))),CHAR(34),CHAR(39))))</f>
        <v/>
      </c>
      <c r="N424" s="5" t="str">
        <f>IF(OR(TRIM($B424)="",$D424=""),"",IF(OR(ISNUMBER(SEARCH(_xlfn.CONCAT(CHAR(96),CHAR(34)),$D424)),ISNUMBER(SEARCH(_xlfn.CONCAT(CHAR(34),CHAR(39)),$D424))),_xlfn.CONCAT("* REVIEW REQUIRED: compound-quote delimiter in Item Number on Sheet 1 row ",424,"; edit the input before running."),_xlfn.CONCAT("char ",TRIM($B424),"[doc_itemnum] ",CHAR(96),CHAR(34),SUBSTITUTE(SUBSTITUTE(SUBSTITUTE(SUBSTITUTE(SUBSTITUTE(SUBSTITUTE($D424,CHAR(13)," "),CHAR(10)," "),CHAR(9)," "),CHAR(92),_xlfn.CONCAT(CHAR(92),CHAR(92))),"$",_xlfn.CONCAT(CHAR(92),"$")),CHAR(96),_xlfn.CONCAT(CHAR(92),CHAR(96))),CHAR(34),CHAR(39))))</f>
        <v/>
      </c>
      <c r="O424" s="5" t="str">
        <f>IF(OR(TRIM($B424)="",$E424=""),"",IF(OR(ISNUMBER(SEARCH(_xlfn.CONCAT(CHAR(96),CHAR(34)),$E424)),ISNUMBER(SEARCH(_xlfn.CONCAT(CHAR(34),CHAR(39)),$E424))),_xlfn.CONCAT("* REVIEW REQUIRED: compound-quote delimiter in Question Wording on Sheet 1 row ",424,"; edit the input before running."),_xlfn.CONCAT("char ",TRIM($B424),"[doc_question] ",CHAR(96),CHAR(34),SUBSTITUTE(SUBSTITUTE(SUBSTITUTE(SUBSTITUTE(SUBSTITUTE(SUBSTITUTE($E424,CHAR(13)," "),CHAR(10)," "),CHAR(9)," "),CHAR(92),_xlfn.CONCAT(CHAR(92),CHAR(92))),"$",_xlfn.CONCAT(CHAR(92),"$")),CHAR(96),_xlfn.CONCAT(CHAR(92),CHAR(96))),CHAR(34),CHAR(39))))</f>
        <v/>
      </c>
      <c r="P424" s="5" t="str">
        <f>IF(OR(TRIM($B424)="",$F424=""),"",IF(OR(ISNUMBER(SEARCH(_xlfn.CONCAT(CHAR(96),CHAR(34)),$F424)),ISNUMBER(SEARCH(_xlfn.CONCAT(CHAR(34),CHAR(39)),$F424))),_xlfn.CONCAT("* REVIEW REQUIRED: compound-quote delimiter in Units on Sheet 1 row ",424,"; edit the input before running."),_xlfn.CONCAT("char ",TRIM($B424),"[doc_units] ",CHAR(96),CHAR(34),SUBSTITUTE(SUBSTITUTE(SUBSTITUTE(SUBSTITUTE(SUBSTITUTE(SUBSTITUTE($F424,CHAR(13)," "),CHAR(10)," "),CHAR(9)," "),CHAR(92),_xlfn.CONCAT(CHAR(92),CHAR(92))),"$",_xlfn.CONCAT(CHAR(92),"$")),CHAR(96),_xlfn.CONCAT(CHAR(92),CHAR(96))),CHAR(34),CHAR(39))))</f>
        <v/>
      </c>
      <c r="Q424" s="5" t="str">
        <f>IF(OR(TRIM($B424)="",$G424=""),"",IF(OR(ISNUMBER(SEARCH(_xlfn.CONCAT(CHAR(96),CHAR(34)),$G424)),ISNUMBER(SEARCH(_xlfn.CONCAT(CHAR(34),CHAR(39)),$G424))),_xlfn.CONCAT("* REVIEW REQUIRED: compound-quote delimiter in Universe on Sheet 1 row ",424,"; edit the input before running."),_xlfn.CONCAT("char ",TRIM($B424),"[doc_universe] ",CHAR(96),CHAR(34),SUBSTITUTE(SUBSTITUTE(SUBSTITUTE(SUBSTITUTE(SUBSTITUTE(SUBSTITUTE($G424,CHAR(13)," "),CHAR(10)," "),CHAR(9)," "),CHAR(92),_xlfn.CONCAT(CHAR(92),CHAR(92))),"$",_xlfn.CONCAT(CHAR(92),"$")),CHAR(96),_xlfn.CONCAT(CHAR(92),CHAR(96))),CHAR(34),CHAR(39))))</f>
        <v/>
      </c>
      <c r="R424" s="5" t="str">
        <f>IF(OR(TRIM($B424)="",$H424=""),"",IF(OR(ISNUMBER(SEARCH(_xlfn.CONCAT(CHAR(96),CHAR(34)),$H424)),ISNUMBER(SEARCH(_xlfn.CONCAT(CHAR(34),CHAR(39)),$H424))),_xlfn.CONCAT("* REVIEW REQUIRED: compound-quote delimiter in Source on Sheet 1 row ",424,"; edit the input before running."),_xlfn.CONCAT("char ",TRIM($B424),"[doc_source] ",CHAR(96),CHAR(34),SUBSTITUTE(SUBSTITUTE(SUBSTITUTE(SUBSTITUTE(SUBSTITUTE(SUBSTITUTE($H424,CHAR(13)," "),CHAR(10)," "),CHAR(9)," "),CHAR(92),_xlfn.CONCAT(CHAR(92),CHAR(92))),"$",_xlfn.CONCAT(CHAR(92),"$")),CHAR(96),_xlfn.CONCAT(CHAR(92),CHAR(96))),CHAR(34),CHAR(39))))</f>
        <v/>
      </c>
      <c r="S424" s="5" t="str">
        <f>IF(OR(TRIM($B424)="",$I424=""),"",IF(OR(ISNUMBER(SEARCH(_xlfn.CONCAT(CHAR(96),CHAR(34)),$I424)),ISNUMBER(SEARCH(_xlfn.CONCAT(CHAR(34),CHAR(39)),$I424))),_xlfn.CONCAT("* REVIEW REQUIRED: compound-quote delimiter in Derivation on Sheet 1 row ",424,"; edit the input before running."),_xlfn.CONCAT("char ",TRIM($B424),"[doc_derivation] ",CHAR(96),CHAR(34),SUBSTITUTE(SUBSTITUTE(SUBSTITUTE(SUBSTITUTE(SUBSTITUTE(SUBSTITUTE($I424,CHAR(13)," "),CHAR(10)," "),CHAR(9)," "),CHAR(92),_xlfn.CONCAT(CHAR(92),CHAR(92))),"$",_xlfn.CONCAT(CHAR(92),"$")),CHAR(96),_xlfn.CONCAT(CHAR(92),CHAR(96))),CHAR(34),CHAR(39))))</f>
        <v/>
      </c>
      <c r="T424" s="5" t="str">
        <f>IF(OR(TRIM($B424)="",$J424=""),"",IF(OR(ISNUMBER(SEARCH(_xlfn.CONCAT(CHAR(96),CHAR(34)),$J424)),ISNUMBER(SEARCH(_xlfn.CONCAT(CHAR(34),CHAR(39)),$J424))),_xlfn.CONCAT("* REVIEW REQUIRED: compound-quote delimiter in Notes on Sheet 1 row ",424,"; edit the input before running."),_xlfn.CONCAT("char ",TRIM($B424),"[doc_notes] ",CHAR(96),CHAR(34),SUBSTITUTE(SUBSTITUTE(SUBSTITUTE(SUBSTITUTE(SUBSTITUTE(SUBSTITUTE($J424,CHAR(13)," "),CHAR(10)," "),CHAR(9)," "),CHAR(92),_xlfn.CONCAT(CHAR(92),CHAR(92))),"$",_xlfn.CONCAT(CHAR(92),"$")),CHAR(96),_xlfn.CONCAT(CHAR(92),CHAR(96))),CHAR(34),CHAR(39))))</f>
        <v/>
      </c>
      <c r="U424" s="5">
        <f t="shared" si="13"/>
        <v>0</v>
      </c>
    </row>
    <row r="425" spans="3:21" ht="30" customHeight="1" x14ac:dyDescent="0.2">
      <c r="C425" s="4"/>
      <c r="K425" s="5">
        <f t="shared" si="12"/>
        <v>0</v>
      </c>
      <c r="L425" s="5" t="str">
        <f>IF(OR(TRIM($B425)="",$A425=""),"",IF(OR(ISNUMBER(SEARCH(_xlfn.CONCAT(CHAR(96),CHAR(34)),$A425)),ISNUMBER(SEARCH(_xlfn.CONCAT(CHAR(34),CHAR(39)),$A425))),_xlfn.CONCAT("* REVIEW REQUIRED: compound-quote delimiter in Codebook Section on Sheet 1 row ",425,"; edit the input before running."),_xlfn.CONCAT("char ",TRIM($B425),"[doc_section] ",CHAR(96),CHAR(34),SUBSTITUTE(SUBSTITUTE(SUBSTITUTE(SUBSTITUTE(SUBSTITUTE(SUBSTITUTE($A425,CHAR(13)," "),CHAR(10)," "),CHAR(9)," "),CHAR(92),_xlfn.CONCAT(CHAR(92),CHAR(92))),"$",_xlfn.CONCAT(CHAR(92),"$")),CHAR(96),_xlfn.CONCAT(CHAR(92),CHAR(96))),CHAR(34),CHAR(39))))</f>
        <v/>
      </c>
      <c r="M425" s="5" t="str">
        <f>IF(OR(TRIM($B425)="",$C425=""),"",IF(IFERROR(MATCH(TRIM($C425),{"Quantitative","Continuous","Discrete","Categorical","Nominal","Ordinal","Identifier"},0),0)=0,_xlfn.CONCAT("* REVIEW REQUIRED: invalid Variable Type on Sheet 1 row ",425,"."),_xlfn.CONCAT("char ",TRIM($B425),"[doc_vartype] ",CHAR(96),CHAR(34),SUBSTITUTE(SUBSTITUTE(SUBSTITUTE(SUBSTITUTE(SUBSTITUTE(SUBSTITUTE(LOWER(TRIM($C425)),CHAR(13)," "),CHAR(10)," "),CHAR(9)," "),CHAR(92),_xlfn.CONCAT(CHAR(92),CHAR(92))),"$",_xlfn.CONCAT(CHAR(92),"$")),CHAR(96),_xlfn.CONCAT(CHAR(92),CHAR(96))),CHAR(34),CHAR(39))))</f>
        <v/>
      </c>
      <c r="N425" s="5" t="str">
        <f>IF(OR(TRIM($B425)="",$D425=""),"",IF(OR(ISNUMBER(SEARCH(_xlfn.CONCAT(CHAR(96),CHAR(34)),$D425)),ISNUMBER(SEARCH(_xlfn.CONCAT(CHAR(34),CHAR(39)),$D425))),_xlfn.CONCAT("* REVIEW REQUIRED: compound-quote delimiter in Item Number on Sheet 1 row ",425,"; edit the input before running."),_xlfn.CONCAT("char ",TRIM($B425),"[doc_itemnum] ",CHAR(96),CHAR(34),SUBSTITUTE(SUBSTITUTE(SUBSTITUTE(SUBSTITUTE(SUBSTITUTE(SUBSTITUTE($D425,CHAR(13)," "),CHAR(10)," "),CHAR(9)," "),CHAR(92),_xlfn.CONCAT(CHAR(92),CHAR(92))),"$",_xlfn.CONCAT(CHAR(92),"$")),CHAR(96),_xlfn.CONCAT(CHAR(92),CHAR(96))),CHAR(34),CHAR(39))))</f>
        <v/>
      </c>
      <c r="O425" s="5" t="str">
        <f>IF(OR(TRIM($B425)="",$E425=""),"",IF(OR(ISNUMBER(SEARCH(_xlfn.CONCAT(CHAR(96),CHAR(34)),$E425)),ISNUMBER(SEARCH(_xlfn.CONCAT(CHAR(34),CHAR(39)),$E425))),_xlfn.CONCAT("* REVIEW REQUIRED: compound-quote delimiter in Question Wording on Sheet 1 row ",425,"; edit the input before running."),_xlfn.CONCAT("char ",TRIM($B425),"[doc_question] ",CHAR(96),CHAR(34),SUBSTITUTE(SUBSTITUTE(SUBSTITUTE(SUBSTITUTE(SUBSTITUTE(SUBSTITUTE($E425,CHAR(13)," "),CHAR(10)," "),CHAR(9)," "),CHAR(92),_xlfn.CONCAT(CHAR(92),CHAR(92))),"$",_xlfn.CONCAT(CHAR(92),"$")),CHAR(96),_xlfn.CONCAT(CHAR(92),CHAR(96))),CHAR(34),CHAR(39))))</f>
        <v/>
      </c>
      <c r="P425" s="5" t="str">
        <f>IF(OR(TRIM($B425)="",$F425=""),"",IF(OR(ISNUMBER(SEARCH(_xlfn.CONCAT(CHAR(96),CHAR(34)),$F425)),ISNUMBER(SEARCH(_xlfn.CONCAT(CHAR(34),CHAR(39)),$F425))),_xlfn.CONCAT("* REVIEW REQUIRED: compound-quote delimiter in Units on Sheet 1 row ",425,"; edit the input before running."),_xlfn.CONCAT("char ",TRIM($B425),"[doc_units] ",CHAR(96),CHAR(34),SUBSTITUTE(SUBSTITUTE(SUBSTITUTE(SUBSTITUTE(SUBSTITUTE(SUBSTITUTE($F425,CHAR(13)," "),CHAR(10)," "),CHAR(9)," "),CHAR(92),_xlfn.CONCAT(CHAR(92),CHAR(92))),"$",_xlfn.CONCAT(CHAR(92),"$")),CHAR(96),_xlfn.CONCAT(CHAR(92),CHAR(96))),CHAR(34),CHAR(39))))</f>
        <v/>
      </c>
      <c r="Q425" s="5" t="str">
        <f>IF(OR(TRIM($B425)="",$G425=""),"",IF(OR(ISNUMBER(SEARCH(_xlfn.CONCAT(CHAR(96),CHAR(34)),$G425)),ISNUMBER(SEARCH(_xlfn.CONCAT(CHAR(34),CHAR(39)),$G425))),_xlfn.CONCAT("* REVIEW REQUIRED: compound-quote delimiter in Universe on Sheet 1 row ",425,"; edit the input before running."),_xlfn.CONCAT("char ",TRIM($B425),"[doc_universe] ",CHAR(96),CHAR(34),SUBSTITUTE(SUBSTITUTE(SUBSTITUTE(SUBSTITUTE(SUBSTITUTE(SUBSTITUTE($G425,CHAR(13)," "),CHAR(10)," "),CHAR(9)," "),CHAR(92),_xlfn.CONCAT(CHAR(92),CHAR(92))),"$",_xlfn.CONCAT(CHAR(92),"$")),CHAR(96),_xlfn.CONCAT(CHAR(92),CHAR(96))),CHAR(34),CHAR(39))))</f>
        <v/>
      </c>
      <c r="R425" s="5" t="str">
        <f>IF(OR(TRIM($B425)="",$H425=""),"",IF(OR(ISNUMBER(SEARCH(_xlfn.CONCAT(CHAR(96),CHAR(34)),$H425)),ISNUMBER(SEARCH(_xlfn.CONCAT(CHAR(34),CHAR(39)),$H425))),_xlfn.CONCAT("* REVIEW REQUIRED: compound-quote delimiter in Source on Sheet 1 row ",425,"; edit the input before running."),_xlfn.CONCAT("char ",TRIM($B425),"[doc_source] ",CHAR(96),CHAR(34),SUBSTITUTE(SUBSTITUTE(SUBSTITUTE(SUBSTITUTE(SUBSTITUTE(SUBSTITUTE($H425,CHAR(13)," "),CHAR(10)," "),CHAR(9)," "),CHAR(92),_xlfn.CONCAT(CHAR(92),CHAR(92))),"$",_xlfn.CONCAT(CHAR(92),"$")),CHAR(96),_xlfn.CONCAT(CHAR(92),CHAR(96))),CHAR(34),CHAR(39))))</f>
        <v/>
      </c>
      <c r="S425" s="5" t="str">
        <f>IF(OR(TRIM($B425)="",$I425=""),"",IF(OR(ISNUMBER(SEARCH(_xlfn.CONCAT(CHAR(96),CHAR(34)),$I425)),ISNUMBER(SEARCH(_xlfn.CONCAT(CHAR(34),CHAR(39)),$I425))),_xlfn.CONCAT("* REVIEW REQUIRED: compound-quote delimiter in Derivation on Sheet 1 row ",425,"; edit the input before running."),_xlfn.CONCAT("char ",TRIM($B425),"[doc_derivation] ",CHAR(96),CHAR(34),SUBSTITUTE(SUBSTITUTE(SUBSTITUTE(SUBSTITUTE(SUBSTITUTE(SUBSTITUTE($I425,CHAR(13)," "),CHAR(10)," "),CHAR(9)," "),CHAR(92),_xlfn.CONCAT(CHAR(92),CHAR(92))),"$",_xlfn.CONCAT(CHAR(92),"$")),CHAR(96),_xlfn.CONCAT(CHAR(92),CHAR(96))),CHAR(34),CHAR(39))))</f>
        <v/>
      </c>
      <c r="T425" s="5" t="str">
        <f>IF(OR(TRIM($B425)="",$J425=""),"",IF(OR(ISNUMBER(SEARCH(_xlfn.CONCAT(CHAR(96),CHAR(34)),$J425)),ISNUMBER(SEARCH(_xlfn.CONCAT(CHAR(34),CHAR(39)),$J425))),_xlfn.CONCAT("* REVIEW REQUIRED: compound-quote delimiter in Notes on Sheet 1 row ",425,"; edit the input before running."),_xlfn.CONCAT("char ",TRIM($B425),"[doc_notes] ",CHAR(96),CHAR(34),SUBSTITUTE(SUBSTITUTE(SUBSTITUTE(SUBSTITUTE(SUBSTITUTE(SUBSTITUTE($J425,CHAR(13)," "),CHAR(10)," "),CHAR(9)," "),CHAR(92),_xlfn.CONCAT(CHAR(92),CHAR(92))),"$",_xlfn.CONCAT(CHAR(92),"$")),CHAR(96),_xlfn.CONCAT(CHAR(92),CHAR(96))),CHAR(34),CHAR(39))))</f>
        <v/>
      </c>
      <c r="U425" s="5">
        <f t="shared" si="13"/>
        <v>0</v>
      </c>
    </row>
    <row r="426" spans="3:21" ht="30" customHeight="1" x14ac:dyDescent="0.2">
      <c r="C426" s="4"/>
      <c r="K426" s="5">
        <f t="shared" si="12"/>
        <v>0</v>
      </c>
      <c r="L426" s="5" t="str">
        <f>IF(OR(TRIM($B426)="",$A426=""),"",IF(OR(ISNUMBER(SEARCH(_xlfn.CONCAT(CHAR(96),CHAR(34)),$A426)),ISNUMBER(SEARCH(_xlfn.CONCAT(CHAR(34),CHAR(39)),$A426))),_xlfn.CONCAT("* REVIEW REQUIRED: compound-quote delimiter in Codebook Section on Sheet 1 row ",426,"; edit the input before running."),_xlfn.CONCAT("char ",TRIM($B426),"[doc_section] ",CHAR(96),CHAR(34),SUBSTITUTE(SUBSTITUTE(SUBSTITUTE(SUBSTITUTE(SUBSTITUTE(SUBSTITUTE($A426,CHAR(13)," "),CHAR(10)," "),CHAR(9)," "),CHAR(92),_xlfn.CONCAT(CHAR(92),CHAR(92))),"$",_xlfn.CONCAT(CHAR(92),"$")),CHAR(96),_xlfn.CONCAT(CHAR(92),CHAR(96))),CHAR(34),CHAR(39))))</f>
        <v/>
      </c>
      <c r="M426" s="5" t="str">
        <f>IF(OR(TRIM($B426)="",$C426=""),"",IF(IFERROR(MATCH(TRIM($C426),{"Quantitative","Continuous","Discrete","Categorical","Nominal","Ordinal","Identifier"},0),0)=0,_xlfn.CONCAT("* REVIEW REQUIRED: invalid Variable Type on Sheet 1 row ",426,"."),_xlfn.CONCAT("char ",TRIM($B426),"[doc_vartype] ",CHAR(96),CHAR(34),SUBSTITUTE(SUBSTITUTE(SUBSTITUTE(SUBSTITUTE(SUBSTITUTE(SUBSTITUTE(LOWER(TRIM($C426)),CHAR(13)," "),CHAR(10)," "),CHAR(9)," "),CHAR(92),_xlfn.CONCAT(CHAR(92),CHAR(92))),"$",_xlfn.CONCAT(CHAR(92),"$")),CHAR(96),_xlfn.CONCAT(CHAR(92),CHAR(96))),CHAR(34),CHAR(39))))</f>
        <v/>
      </c>
      <c r="N426" s="5" t="str">
        <f>IF(OR(TRIM($B426)="",$D426=""),"",IF(OR(ISNUMBER(SEARCH(_xlfn.CONCAT(CHAR(96),CHAR(34)),$D426)),ISNUMBER(SEARCH(_xlfn.CONCAT(CHAR(34),CHAR(39)),$D426))),_xlfn.CONCAT("* REVIEW REQUIRED: compound-quote delimiter in Item Number on Sheet 1 row ",426,"; edit the input before running."),_xlfn.CONCAT("char ",TRIM($B426),"[doc_itemnum] ",CHAR(96),CHAR(34),SUBSTITUTE(SUBSTITUTE(SUBSTITUTE(SUBSTITUTE(SUBSTITUTE(SUBSTITUTE($D426,CHAR(13)," "),CHAR(10)," "),CHAR(9)," "),CHAR(92),_xlfn.CONCAT(CHAR(92),CHAR(92))),"$",_xlfn.CONCAT(CHAR(92),"$")),CHAR(96),_xlfn.CONCAT(CHAR(92),CHAR(96))),CHAR(34),CHAR(39))))</f>
        <v/>
      </c>
      <c r="O426" s="5" t="str">
        <f>IF(OR(TRIM($B426)="",$E426=""),"",IF(OR(ISNUMBER(SEARCH(_xlfn.CONCAT(CHAR(96),CHAR(34)),$E426)),ISNUMBER(SEARCH(_xlfn.CONCAT(CHAR(34),CHAR(39)),$E426))),_xlfn.CONCAT("* REVIEW REQUIRED: compound-quote delimiter in Question Wording on Sheet 1 row ",426,"; edit the input before running."),_xlfn.CONCAT("char ",TRIM($B426),"[doc_question] ",CHAR(96),CHAR(34),SUBSTITUTE(SUBSTITUTE(SUBSTITUTE(SUBSTITUTE(SUBSTITUTE(SUBSTITUTE($E426,CHAR(13)," "),CHAR(10)," "),CHAR(9)," "),CHAR(92),_xlfn.CONCAT(CHAR(92),CHAR(92))),"$",_xlfn.CONCAT(CHAR(92),"$")),CHAR(96),_xlfn.CONCAT(CHAR(92),CHAR(96))),CHAR(34),CHAR(39))))</f>
        <v/>
      </c>
      <c r="P426" s="5" t="str">
        <f>IF(OR(TRIM($B426)="",$F426=""),"",IF(OR(ISNUMBER(SEARCH(_xlfn.CONCAT(CHAR(96),CHAR(34)),$F426)),ISNUMBER(SEARCH(_xlfn.CONCAT(CHAR(34),CHAR(39)),$F426))),_xlfn.CONCAT("* REVIEW REQUIRED: compound-quote delimiter in Units on Sheet 1 row ",426,"; edit the input before running."),_xlfn.CONCAT("char ",TRIM($B426),"[doc_units] ",CHAR(96),CHAR(34),SUBSTITUTE(SUBSTITUTE(SUBSTITUTE(SUBSTITUTE(SUBSTITUTE(SUBSTITUTE($F426,CHAR(13)," "),CHAR(10)," "),CHAR(9)," "),CHAR(92),_xlfn.CONCAT(CHAR(92),CHAR(92))),"$",_xlfn.CONCAT(CHAR(92),"$")),CHAR(96),_xlfn.CONCAT(CHAR(92),CHAR(96))),CHAR(34),CHAR(39))))</f>
        <v/>
      </c>
      <c r="Q426" s="5" t="str">
        <f>IF(OR(TRIM($B426)="",$G426=""),"",IF(OR(ISNUMBER(SEARCH(_xlfn.CONCAT(CHAR(96),CHAR(34)),$G426)),ISNUMBER(SEARCH(_xlfn.CONCAT(CHAR(34),CHAR(39)),$G426))),_xlfn.CONCAT("* REVIEW REQUIRED: compound-quote delimiter in Universe on Sheet 1 row ",426,"; edit the input before running."),_xlfn.CONCAT("char ",TRIM($B426),"[doc_universe] ",CHAR(96),CHAR(34),SUBSTITUTE(SUBSTITUTE(SUBSTITUTE(SUBSTITUTE(SUBSTITUTE(SUBSTITUTE($G426,CHAR(13)," "),CHAR(10)," "),CHAR(9)," "),CHAR(92),_xlfn.CONCAT(CHAR(92),CHAR(92))),"$",_xlfn.CONCAT(CHAR(92),"$")),CHAR(96),_xlfn.CONCAT(CHAR(92),CHAR(96))),CHAR(34),CHAR(39))))</f>
        <v/>
      </c>
      <c r="R426" s="5" t="str">
        <f>IF(OR(TRIM($B426)="",$H426=""),"",IF(OR(ISNUMBER(SEARCH(_xlfn.CONCAT(CHAR(96),CHAR(34)),$H426)),ISNUMBER(SEARCH(_xlfn.CONCAT(CHAR(34),CHAR(39)),$H426))),_xlfn.CONCAT("* REVIEW REQUIRED: compound-quote delimiter in Source on Sheet 1 row ",426,"; edit the input before running."),_xlfn.CONCAT("char ",TRIM($B426),"[doc_source] ",CHAR(96),CHAR(34),SUBSTITUTE(SUBSTITUTE(SUBSTITUTE(SUBSTITUTE(SUBSTITUTE(SUBSTITUTE($H426,CHAR(13)," "),CHAR(10)," "),CHAR(9)," "),CHAR(92),_xlfn.CONCAT(CHAR(92),CHAR(92))),"$",_xlfn.CONCAT(CHAR(92),"$")),CHAR(96),_xlfn.CONCAT(CHAR(92),CHAR(96))),CHAR(34),CHAR(39))))</f>
        <v/>
      </c>
      <c r="S426" s="5" t="str">
        <f>IF(OR(TRIM($B426)="",$I426=""),"",IF(OR(ISNUMBER(SEARCH(_xlfn.CONCAT(CHAR(96),CHAR(34)),$I426)),ISNUMBER(SEARCH(_xlfn.CONCAT(CHAR(34),CHAR(39)),$I426))),_xlfn.CONCAT("* REVIEW REQUIRED: compound-quote delimiter in Derivation on Sheet 1 row ",426,"; edit the input before running."),_xlfn.CONCAT("char ",TRIM($B426),"[doc_derivation] ",CHAR(96),CHAR(34),SUBSTITUTE(SUBSTITUTE(SUBSTITUTE(SUBSTITUTE(SUBSTITUTE(SUBSTITUTE($I426,CHAR(13)," "),CHAR(10)," "),CHAR(9)," "),CHAR(92),_xlfn.CONCAT(CHAR(92),CHAR(92))),"$",_xlfn.CONCAT(CHAR(92),"$")),CHAR(96),_xlfn.CONCAT(CHAR(92),CHAR(96))),CHAR(34),CHAR(39))))</f>
        <v/>
      </c>
      <c r="T426" s="5" t="str">
        <f>IF(OR(TRIM($B426)="",$J426=""),"",IF(OR(ISNUMBER(SEARCH(_xlfn.CONCAT(CHAR(96),CHAR(34)),$J426)),ISNUMBER(SEARCH(_xlfn.CONCAT(CHAR(34),CHAR(39)),$J426))),_xlfn.CONCAT("* REVIEW REQUIRED: compound-quote delimiter in Notes on Sheet 1 row ",426,"; edit the input before running."),_xlfn.CONCAT("char ",TRIM($B426),"[doc_notes] ",CHAR(96),CHAR(34),SUBSTITUTE(SUBSTITUTE(SUBSTITUTE(SUBSTITUTE(SUBSTITUTE(SUBSTITUTE($J426,CHAR(13)," "),CHAR(10)," "),CHAR(9)," "),CHAR(92),_xlfn.CONCAT(CHAR(92),CHAR(92))),"$",_xlfn.CONCAT(CHAR(92),"$")),CHAR(96),_xlfn.CONCAT(CHAR(92),CHAR(96))),CHAR(34),CHAR(39))))</f>
        <v/>
      </c>
      <c r="U426" s="5">
        <f t="shared" si="13"/>
        <v>0</v>
      </c>
    </row>
    <row r="427" spans="3:21" ht="30" customHeight="1" x14ac:dyDescent="0.2">
      <c r="C427" s="4"/>
      <c r="K427" s="5">
        <f t="shared" si="12"/>
        <v>0</v>
      </c>
      <c r="L427" s="5" t="str">
        <f>IF(OR(TRIM($B427)="",$A427=""),"",IF(OR(ISNUMBER(SEARCH(_xlfn.CONCAT(CHAR(96),CHAR(34)),$A427)),ISNUMBER(SEARCH(_xlfn.CONCAT(CHAR(34),CHAR(39)),$A427))),_xlfn.CONCAT("* REVIEW REQUIRED: compound-quote delimiter in Codebook Section on Sheet 1 row ",427,"; edit the input before running."),_xlfn.CONCAT("char ",TRIM($B427),"[doc_section] ",CHAR(96),CHAR(34),SUBSTITUTE(SUBSTITUTE(SUBSTITUTE(SUBSTITUTE(SUBSTITUTE(SUBSTITUTE($A427,CHAR(13)," "),CHAR(10)," "),CHAR(9)," "),CHAR(92),_xlfn.CONCAT(CHAR(92),CHAR(92))),"$",_xlfn.CONCAT(CHAR(92),"$")),CHAR(96),_xlfn.CONCAT(CHAR(92),CHAR(96))),CHAR(34),CHAR(39))))</f>
        <v/>
      </c>
      <c r="M427" s="5" t="str">
        <f>IF(OR(TRIM($B427)="",$C427=""),"",IF(IFERROR(MATCH(TRIM($C427),{"Quantitative","Continuous","Discrete","Categorical","Nominal","Ordinal","Identifier"},0),0)=0,_xlfn.CONCAT("* REVIEW REQUIRED: invalid Variable Type on Sheet 1 row ",427,"."),_xlfn.CONCAT("char ",TRIM($B427),"[doc_vartype] ",CHAR(96),CHAR(34),SUBSTITUTE(SUBSTITUTE(SUBSTITUTE(SUBSTITUTE(SUBSTITUTE(SUBSTITUTE(LOWER(TRIM($C427)),CHAR(13)," "),CHAR(10)," "),CHAR(9)," "),CHAR(92),_xlfn.CONCAT(CHAR(92),CHAR(92))),"$",_xlfn.CONCAT(CHAR(92),"$")),CHAR(96),_xlfn.CONCAT(CHAR(92),CHAR(96))),CHAR(34),CHAR(39))))</f>
        <v/>
      </c>
      <c r="N427" s="5" t="str">
        <f>IF(OR(TRIM($B427)="",$D427=""),"",IF(OR(ISNUMBER(SEARCH(_xlfn.CONCAT(CHAR(96),CHAR(34)),$D427)),ISNUMBER(SEARCH(_xlfn.CONCAT(CHAR(34),CHAR(39)),$D427))),_xlfn.CONCAT("* REVIEW REQUIRED: compound-quote delimiter in Item Number on Sheet 1 row ",427,"; edit the input before running."),_xlfn.CONCAT("char ",TRIM($B427),"[doc_itemnum] ",CHAR(96),CHAR(34),SUBSTITUTE(SUBSTITUTE(SUBSTITUTE(SUBSTITUTE(SUBSTITUTE(SUBSTITUTE($D427,CHAR(13)," "),CHAR(10)," "),CHAR(9)," "),CHAR(92),_xlfn.CONCAT(CHAR(92),CHAR(92))),"$",_xlfn.CONCAT(CHAR(92),"$")),CHAR(96),_xlfn.CONCAT(CHAR(92),CHAR(96))),CHAR(34),CHAR(39))))</f>
        <v/>
      </c>
      <c r="O427" s="5" t="str">
        <f>IF(OR(TRIM($B427)="",$E427=""),"",IF(OR(ISNUMBER(SEARCH(_xlfn.CONCAT(CHAR(96),CHAR(34)),$E427)),ISNUMBER(SEARCH(_xlfn.CONCAT(CHAR(34),CHAR(39)),$E427))),_xlfn.CONCAT("* REVIEW REQUIRED: compound-quote delimiter in Question Wording on Sheet 1 row ",427,"; edit the input before running."),_xlfn.CONCAT("char ",TRIM($B427),"[doc_question] ",CHAR(96),CHAR(34),SUBSTITUTE(SUBSTITUTE(SUBSTITUTE(SUBSTITUTE(SUBSTITUTE(SUBSTITUTE($E427,CHAR(13)," "),CHAR(10)," "),CHAR(9)," "),CHAR(92),_xlfn.CONCAT(CHAR(92),CHAR(92))),"$",_xlfn.CONCAT(CHAR(92),"$")),CHAR(96),_xlfn.CONCAT(CHAR(92),CHAR(96))),CHAR(34),CHAR(39))))</f>
        <v/>
      </c>
      <c r="P427" s="5" t="str">
        <f>IF(OR(TRIM($B427)="",$F427=""),"",IF(OR(ISNUMBER(SEARCH(_xlfn.CONCAT(CHAR(96),CHAR(34)),$F427)),ISNUMBER(SEARCH(_xlfn.CONCAT(CHAR(34),CHAR(39)),$F427))),_xlfn.CONCAT("* REVIEW REQUIRED: compound-quote delimiter in Units on Sheet 1 row ",427,"; edit the input before running."),_xlfn.CONCAT("char ",TRIM($B427),"[doc_units] ",CHAR(96),CHAR(34),SUBSTITUTE(SUBSTITUTE(SUBSTITUTE(SUBSTITUTE(SUBSTITUTE(SUBSTITUTE($F427,CHAR(13)," "),CHAR(10)," "),CHAR(9)," "),CHAR(92),_xlfn.CONCAT(CHAR(92),CHAR(92))),"$",_xlfn.CONCAT(CHAR(92),"$")),CHAR(96),_xlfn.CONCAT(CHAR(92),CHAR(96))),CHAR(34),CHAR(39))))</f>
        <v/>
      </c>
      <c r="Q427" s="5" t="str">
        <f>IF(OR(TRIM($B427)="",$G427=""),"",IF(OR(ISNUMBER(SEARCH(_xlfn.CONCAT(CHAR(96),CHAR(34)),$G427)),ISNUMBER(SEARCH(_xlfn.CONCAT(CHAR(34),CHAR(39)),$G427))),_xlfn.CONCAT("* REVIEW REQUIRED: compound-quote delimiter in Universe on Sheet 1 row ",427,"; edit the input before running."),_xlfn.CONCAT("char ",TRIM($B427),"[doc_universe] ",CHAR(96),CHAR(34),SUBSTITUTE(SUBSTITUTE(SUBSTITUTE(SUBSTITUTE(SUBSTITUTE(SUBSTITUTE($G427,CHAR(13)," "),CHAR(10)," "),CHAR(9)," "),CHAR(92),_xlfn.CONCAT(CHAR(92),CHAR(92))),"$",_xlfn.CONCAT(CHAR(92),"$")),CHAR(96),_xlfn.CONCAT(CHAR(92),CHAR(96))),CHAR(34),CHAR(39))))</f>
        <v/>
      </c>
      <c r="R427" s="5" t="str">
        <f>IF(OR(TRIM($B427)="",$H427=""),"",IF(OR(ISNUMBER(SEARCH(_xlfn.CONCAT(CHAR(96),CHAR(34)),$H427)),ISNUMBER(SEARCH(_xlfn.CONCAT(CHAR(34),CHAR(39)),$H427))),_xlfn.CONCAT("* REVIEW REQUIRED: compound-quote delimiter in Source on Sheet 1 row ",427,"; edit the input before running."),_xlfn.CONCAT("char ",TRIM($B427),"[doc_source] ",CHAR(96),CHAR(34),SUBSTITUTE(SUBSTITUTE(SUBSTITUTE(SUBSTITUTE(SUBSTITUTE(SUBSTITUTE($H427,CHAR(13)," "),CHAR(10)," "),CHAR(9)," "),CHAR(92),_xlfn.CONCAT(CHAR(92),CHAR(92))),"$",_xlfn.CONCAT(CHAR(92),"$")),CHAR(96),_xlfn.CONCAT(CHAR(92),CHAR(96))),CHAR(34),CHAR(39))))</f>
        <v/>
      </c>
      <c r="S427" s="5" t="str">
        <f>IF(OR(TRIM($B427)="",$I427=""),"",IF(OR(ISNUMBER(SEARCH(_xlfn.CONCAT(CHAR(96),CHAR(34)),$I427)),ISNUMBER(SEARCH(_xlfn.CONCAT(CHAR(34),CHAR(39)),$I427))),_xlfn.CONCAT("* REVIEW REQUIRED: compound-quote delimiter in Derivation on Sheet 1 row ",427,"; edit the input before running."),_xlfn.CONCAT("char ",TRIM($B427),"[doc_derivation] ",CHAR(96),CHAR(34),SUBSTITUTE(SUBSTITUTE(SUBSTITUTE(SUBSTITUTE(SUBSTITUTE(SUBSTITUTE($I427,CHAR(13)," "),CHAR(10)," "),CHAR(9)," "),CHAR(92),_xlfn.CONCAT(CHAR(92),CHAR(92))),"$",_xlfn.CONCAT(CHAR(92),"$")),CHAR(96),_xlfn.CONCAT(CHAR(92),CHAR(96))),CHAR(34),CHAR(39))))</f>
        <v/>
      </c>
      <c r="T427" s="5" t="str">
        <f>IF(OR(TRIM($B427)="",$J427=""),"",IF(OR(ISNUMBER(SEARCH(_xlfn.CONCAT(CHAR(96),CHAR(34)),$J427)),ISNUMBER(SEARCH(_xlfn.CONCAT(CHAR(34),CHAR(39)),$J427))),_xlfn.CONCAT("* REVIEW REQUIRED: compound-quote delimiter in Notes on Sheet 1 row ",427,"; edit the input before running."),_xlfn.CONCAT("char ",TRIM($B427),"[doc_notes] ",CHAR(96),CHAR(34),SUBSTITUTE(SUBSTITUTE(SUBSTITUTE(SUBSTITUTE(SUBSTITUTE(SUBSTITUTE($J427,CHAR(13)," "),CHAR(10)," "),CHAR(9)," "),CHAR(92),_xlfn.CONCAT(CHAR(92),CHAR(92))),"$",_xlfn.CONCAT(CHAR(92),"$")),CHAR(96),_xlfn.CONCAT(CHAR(92),CHAR(96))),CHAR(34),CHAR(39))))</f>
        <v/>
      </c>
      <c r="U427" s="5">
        <f t="shared" si="13"/>
        <v>0</v>
      </c>
    </row>
    <row r="428" spans="3:21" ht="30" customHeight="1" x14ac:dyDescent="0.2">
      <c r="C428" s="4"/>
      <c r="K428" s="5">
        <f t="shared" si="12"/>
        <v>0</v>
      </c>
      <c r="L428" s="5" t="str">
        <f>IF(OR(TRIM($B428)="",$A428=""),"",IF(OR(ISNUMBER(SEARCH(_xlfn.CONCAT(CHAR(96),CHAR(34)),$A428)),ISNUMBER(SEARCH(_xlfn.CONCAT(CHAR(34),CHAR(39)),$A428))),_xlfn.CONCAT("* REVIEW REQUIRED: compound-quote delimiter in Codebook Section on Sheet 1 row ",428,"; edit the input before running."),_xlfn.CONCAT("char ",TRIM($B428),"[doc_section] ",CHAR(96),CHAR(34),SUBSTITUTE(SUBSTITUTE(SUBSTITUTE(SUBSTITUTE(SUBSTITUTE(SUBSTITUTE($A428,CHAR(13)," "),CHAR(10)," "),CHAR(9)," "),CHAR(92),_xlfn.CONCAT(CHAR(92),CHAR(92))),"$",_xlfn.CONCAT(CHAR(92),"$")),CHAR(96),_xlfn.CONCAT(CHAR(92),CHAR(96))),CHAR(34),CHAR(39))))</f>
        <v/>
      </c>
      <c r="M428" s="5" t="str">
        <f>IF(OR(TRIM($B428)="",$C428=""),"",IF(IFERROR(MATCH(TRIM($C428),{"Quantitative","Continuous","Discrete","Categorical","Nominal","Ordinal","Identifier"},0),0)=0,_xlfn.CONCAT("* REVIEW REQUIRED: invalid Variable Type on Sheet 1 row ",428,"."),_xlfn.CONCAT("char ",TRIM($B428),"[doc_vartype] ",CHAR(96),CHAR(34),SUBSTITUTE(SUBSTITUTE(SUBSTITUTE(SUBSTITUTE(SUBSTITUTE(SUBSTITUTE(LOWER(TRIM($C428)),CHAR(13)," "),CHAR(10)," "),CHAR(9)," "),CHAR(92),_xlfn.CONCAT(CHAR(92),CHAR(92))),"$",_xlfn.CONCAT(CHAR(92),"$")),CHAR(96),_xlfn.CONCAT(CHAR(92),CHAR(96))),CHAR(34),CHAR(39))))</f>
        <v/>
      </c>
      <c r="N428" s="5" t="str">
        <f>IF(OR(TRIM($B428)="",$D428=""),"",IF(OR(ISNUMBER(SEARCH(_xlfn.CONCAT(CHAR(96),CHAR(34)),$D428)),ISNUMBER(SEARCH(_xlfn.CONCAT(CHAR(34),CHAR(39)),$D428))),_xlfn.CONCAT("* REVIEW REQUIRED: compound-quote delimiter in Item Number on Sheet 1 row ",428,"; edit the input before running."),_xlfn.CONCAT("char ",TRIM($B428),"[doc_itemnum] ",CHAR(96),CHAR(34),SUBSTITUTE(SUBSTITUTE(SUBSTITUTE(SUBSTITUTE(SUBSTITUTE(SUBSTITUTE($D428,CHAR(13)," "),CHAR(10)," "),CHAR(9)," "),CHAR(92),_xlfn.CONCAT(CHAR(92),CHAR(92))),"$",_xlfn.CONCAT(CHAR(92),"$")),CHAR(96),_xlfn.CONCAT(CHAR(92),CHAR(96))),CHAR(34),CHAR(39))))</f>
        <v/>
      </c>
      <c r="O428" s="5" t="str">
        <f>IF(OR(TRIM($B428)="",$E428=""),"",IF(OR(ISNUMBER(SEARCH(_xlfn.CONCAT(CHAR(96),CHAR(34)),$E428)),ISNUMBER(SEARCH(_xlfn.CONCAT(CHAR(34),CHAR(39)),$E428))),_xlfn.CONCAT("* REVIEW REQUIRED: compound-quote delimiter in Question Wording on Sheet 1 row ",428,"; edit the input before running."),_xlfn.CONCAT("char ",TRIM($B428),"[doc_question] ",CHAR(96),CHAR(34),SUBSTITUTE(SUBSTITUTE(SUBSTITUTE(SUBSTITUTE(SUBSTITUTE(SUBSTITUTE($E428,CHAR(13)," "),CHAR(10)," "),CHAR(9)," "),CHAR(92),_xlfn.CONCAT(CHAR(92),CHAR(92))),"$",_xlfn.CONCAT(CHAR(92),"$")),CHAR(96),_xlfn.CONCAT(CHAR(92),CHAR(96))),CHAR(34),CHAR(39))))</f>
        <v/>
      </c>
      <c r="P428" s="5" t="str">
        <f>IF(OR(TRIM($B428)="",$F428=""),"",IF(OR(ISNUMBER(SEARCH(_xlfn.CONCAT(CHAR(96),CHAR(34)),$F428)),ISNUMBER(SEARCH(_xlfn.CONCAT(CHAR(34),CHAR(39)),$F428))),_xlfn.CONCAT("* REVIEW REQUIRED: compound-quote delimiter in Units on Sheet 1 row ",428,"; edit the input before running."),_xlfn.CONCAT("char ",TRIM($B428),"[doc_units] ",CHAR(96),CHAR(34),SUBSTITUTE(SUBSTITUTE(SUBSTITUTE(SUBSTITUTE(SUBSTITUTE(SUBSTITUTE($F428,CHAR(13)," "),CHAR(10)," "),CHAR(9)," "),CHAR(92),_xlfn.CONCAT(CHAR(92),CHAR(92))),"$",_xlfn.CONCAT(CHAR(92),"$")),CHAR(96),_xlfn.CONCAT(CHAR(92),CHAR(96))),CHAR(34),CHAR(39))))</f>
        <v/>
      </c>
      <c r="Q428" s="5" t="str">
        <f>IF(OR(TRIM($B428)="",$G428=""),"",IF(OR(ISNUMBER(SEARCH(_xlfn.CONCAT(CHAR(96),CHAR(34)),$G428)),ISNUMBER(SEARCH(_xlfn.CONCAT(CHAR(34),CHAR(39)),$G428))),_xlfn.CONCAT("* REVIEW REQUIRED: compound-quote delimiter in Universe on Sheet 1 row ",428,"; edit the input before running."),_xlfn.CONCAT("char ",TRIM($B428),"[doc_universe] ",CHAR(96),CHAR(34),SUBSTITUTE(SUBSTITUTE(SUBSTITUTE(SUBSTITUTE(SUBSTITUTE(SUBSTITUTE($G428,CHAR(13)," "),CHAR(10)," "),CHAR(9)," "),CHAR(92),_xlfn.CONCAT(CHAR(92),CHAR(92))),"$",_xlfn.CONCAT(CHAR(92),"$")),CHAR(96),_xlfn.CONCAT(CHAR(92),CHAR(96))),CHAR(34),CHAR(39))))</f>
        <v/>
      </c>
      <c r="R428" s="5" t="str">
        <f>IF(OR(TRIM($B428)="",$H428=""),"",IF(OR(ISNUMBER(SEARCH(_xlfn.CONCAT(CHAR(96),CHAR(34)),$H428)),ISNUMBER(SEARCH(_xlfn.CONCAT(CHAR(34),CHAR(39)),$H428))),_xlfn.CONCAT("* REVIEW REQUIRED: compound-quote delimiter in Source on Sheet 1 row ",428,"; edit the input before running."),_xlfn.CONCAT("char ",TRIM($B428),"[doc_source] ",CHAR(96),CHAR(34),SUBSTITUTE(SUBSTITUTE(SUBSTITUTE(SUBSTITUTE(SUBSTITUTE(SUBSTITUTE($H428,CHAR(13)," "),CHAR(10)," "),CHAR(9)," "),CHAR(92),_xlfn.CONCAT(CHAR(92),CHAR(92))),"$",_xlfn.CONCAT(CHAR(92),"$")),CHAR(96),_xlfn.CONCAT(CHAR(92),CHAR(96))),CHAR(34),CHAR(39))))</f>
        <v/>
      </c>
      <c r="S428" s="5" t="str">
        <f>IF(OR(TRIM($B428)="",$I428=""),"",IF(OR(ISNUMBER(SEARCH(_xlfn.CONCAT(CHAR(96),CHAR(34)),$I428)),ISNUMBER(SEARCH(_xlfn.CONCAT(CHAR(34),CHAR(39)),$I428))),_xlfn.CONCAT("* REVIEW REQUIRED: compound-quote delimiter in Derivation on Sheet 1 row ",428,"; edit the input before running."),_xlfn.CONCAT("char ",TRIM($B428),"[doc_derivation] ",CHAR(96),CHAR(34),SUBSTITUTE(SUBSTITUTE(SUBSTITUTE(SUBSTITUTE(SUBSTITUTE(SUBSTITUTE($I428,CHAR(13)," "),CHAR(10)," "),CHAR(9)," "),CHAR(92),_xlfn.CONCAT(CHAR(92),CHAR(92))),"$",_xlfn.CONCAT(CHAR(92),"$")),CHAR(96),_xlfn.CONCAT(CHAR(92),CHAR(96))),CHAR(34),CHAR(39))))</f>
        <v/>
      </c>
      <c r="T428" s="5" t="str">
        <f>IF(OR(TRIM($B428)="",$J428=""),"",IF(OR(ISNUMBER(SEARCH(_xlfn.CONCAT(CHAR(96),CHAR(34)),$J428)),ISNUMBER(SEARCH(_xlfn.CONCAT(CHAR(34),CHAR(39)),$J428))),_xlfn.CONCAT("* REVIEW REQUIRED: compound-quote delimiter in Notes on Sheet 1 row ",428,"; edit the input before running."),_xlfn.CONCAT("char ",TRIM($B428),"[doc_notes] ",CHAR(96),CHAR(34),SUBSTITUTE(SUBSTITUTE(SUBSTITUTE(SUBSTITUTE(SUBSTITUTE(SUBSTITUTE($J428,CHAR(13)," "),CHAR(10)," "),CHAR(9)," "),CHAR(92),_xlfn.CONCAT(CHAR(92),CHAR(92))),"$",_xlfn.CONCAT(CHAR(92),"$")),CHAR(96),_xlfn.CONCAT(CHAR(92),CHAR(96))),CHAR(34),CHAR(39))))</f>
        <v/>
      </c>
      <c r="U428" s="5">
        <f t="shared" si="13"/>
        <v>0</v>
      </c>
    </row>
    <row r="429" spans="3:21" ht="30" customHeight="1" x14ac:dyDescent="0.2">
      <c r="C429" s="4"/>
      <c r="K429" s="5">
        <f t="shared" si="12"/>
        <v>0</v>
      </c>
      <c r="L429" s="5" t="str">
        <f>IF(OR(TRIM($B429)="",$A429=""),"",IF(OR(ISNUMBER(SEARCH(_xlfn.CONCAT(CHAR(96),CHAR(34)),$A429)),ISNUMBER(SEARCH(_xlfn.CONCAT(CHAR(34),CHAR(39)),$A429))),_xlfn.CONCAT("* REVIEW REQUIRED: compound-quote delimiter in Codebook Section on Sheet 1 row ",429,"; edit the input before running."),_xlfn.CONCAT("char ",TRIM($B429),"[doc_section] ",CHAR(96),CHAR(34),SUBSTITUTE(SUBSTITUTE(SUBSTITUTE(SUBSTITUTE(SUBSTITUTE(SUBSTITUTE($A429,CHAR(13)," "),CHAR(10)," "),CHAR(9)," "),CHAR(92),_xlfn.CONCAT(CHAR(92),CHAR(92))),"$",_xlfn.CONCAT(CHAR(92),"$")),CHAR(96),_xlfn.CONCAT(CHAR(92),CHAR(96))),CHAR(34),CHAR(39))))</f>
        <v/>
      </c>
      <c r="M429" s="5" t="str">
        <f>IF(OR(TRIM($B429)="",$C429=""),"",IF(IFERROR(MATCH(TRIM($C429),{"Quantitative","Continuous","Discrete","Categorical","Nominal","Ordinal","Identifier"},0),0)=0,_xlfn.CONCAT("* REVIEW REQUIRED: invalid Variable Type on Sheet 1 row ",429,"."),_xlfn.CONCAT("char ",TRIM($B429),"[doc_vartype] ",CHAR(96),CHAR(34),SUBSTITUTE(SUBSTITUTE(SUBSTITUTE(SUBSTITUTE(SUBSTITUTE(SUBSTITUTE(LOWER(TRIM($C429)),CHAR(13)," "),CHAR(10)," "),CHAR(9)," "),CHAR(92),_xlfn.CONCAT(CHAR(92),CHAR(92))),"$",_xlfn.CONCAT(CHAR(92),"$")),CHAR(96),_xlfn.CONCAT(CHAR(92),CHAR(96))),CHAR(34),CHAR(39))))</f>
        <v/>
      </c>
      <c r="N429" s="5" t="str">
        <f>IF(OR(TRIM($B429)="",$D429=""),"",IF(OR(ISNUMBER(SEARCH(_xlfn.CONCAT(CHAR(96),CHAR(34)),$D429)),ISNUMBER(SEARCH(_xlfn.CONCAT(CHAR(34),CHAR(39)),$D429))),_xlfn.CONCAT("* REVIEW REQUIRED: compound-quote delimiter in Item Number on Sheet 1 row ",429,"; edit the input before running."),_xlfn.CONCAT("char ",TRIM($B429),"[doc_itemnum] ",CHAR(96),CHAR(34),SUBSTITUTE(SUBSTITUTE(SUBSTITUTE(SUBSTITUTE(SUBSTITUTE(SUBSTITUTE($D429,CHAR(13)," "),CHAR(10)," "),CHAR(9)," "),CHAR(92),_xlfn.CONCAT(CHAR(92),CHAR(92))),"$",_xlfn.CONCAT(CHAR(92),"$")),CHAR(96),_xlfn.CONCAT(CHAR(92),CHAR(96))),CHAR(34),CHAR(39))))</f>
        <v/>
      </c>
      <c r="O429" s="5" t="str">
        <f>IF(OR(TRIM($B429)="",$E429=""),"",IF(OR(ISNUMBER(SEARCH(_xlfn.CONCAT(CHAR(96),CHAR(34)),$E429)),ISNUMBER(SEARCH(_xlfn.CONCAT(CHAR(34),CHAR(39)),$E429))),_xlfn.CONCAT("* REVIEW REQUIRED: compound-quote delimiter in Question Wording on Sheet 1 row ",429,"; edit the input before running."),_xlfn.CONCAT("char ",TRIM($B429),"[doc_question] ",CHAR(96),CHAR(34),SUBSTITUTE(SUBSTITUTE(SUBSTITUTE(SUBSTITUTE(SUBSTITUTE(SUBSTITUTE($E429,CHAR(13)," "),CHAR(10)," "),CHAR(9)," "),CHAR(92),_xlfn.CONCAT(CHAR(92),CHAR(92))),"$",_xlfn.CONCAT(CHAR(92),"$")),CHAR(96),_xlfn.CONCAT(CHAR(92),CHAR(96))),CHAR(34),CHAR(39))))</f>
        <v/>
      </c>
      <c r="P429" s="5" t="str">
        <f>IF(OR(TRIM($B429)="",$F429=""),"",IF(OR(ISNUMBER(SEARCH(_xlfn.CONCAT(CHAR(96),CHAR(34)),$F429)),ISNUMBER(SEARCH(_xlfn.CONCAT(CHAR(34),CHAR(39)),$F429))),_xlfn.CONCAT("* REVIEW REQUIRED: compound-quote delimiter in Units on Sheet 1 row ",429,"; edit the input before running."),_xlfn.CONCAT("char ",TRIM($B429),"[doc_units] ",CHAR(96),CHAR(34),SUBSTITUTE(SUBSTITUTE(SUBSTITUTE(SUBSTITUTE(SUBSTITUTE(SUBSTITUTE($F429,CHAR(13)," "),CHAR(10)," "),CHAR(9)," "),CHAR(92),_xlfn.CONCAT(CHAR(92),CHAR(92))),"$",_xlfn.CONCAT(CHAR(92),"$")),CHAR(96),_xlfn.CONCAT(CHAR(92),CHAR(96))),CHAR(34),CHAR(39))))</f>
        <v/>
      </c>
      <c r="Q429" s="5" t="str">
        <f>IF(OR(TRIM($B429)="",$G429=""),"",IF(OR(ISNUMBER(SEARCH(_xlfn.CONCAT(CHAR(96),CHAR(34)),$G429)),ISNUMBER(SEARCH(_xlfn.CONCAT(CHAR(34),CHAR(39)),$G429))),_xlfn.CONCAT("* REVIEW REQUIRED: compound-quote delimiter in Universe on Sheet 1 row ",429,"; edit the input before running."),_xlfn.CONCAT("char ",TRIM($B429),"[doc_universe] ",CHAR(96),CHAR(34),SUBSTITUTE(SUBSTITUTE(SUBSTITUTE(SUBSTITUTE(SUBSTITUTE(SUBSTITUTE($G429,CHAR(13)," "),CHAR(10)," "),CHAR(9)," "),CHAR(92),_xlfn.CONCAT(CHAR(92),CHAR(92))),"$",_xlfn.CONCAT(CHAR(92),"$")),CHAR(96),_xlfn.CONCAT(CHAR(92),CHAR(96))),CHAR(34),CHAR(39))))</f>
        <v/>
      </c>
      <c r="R429" s="5" t="str">
        <f>IF(OR(TRIM($B429)="",$H429=""),"",IF(OR(ISNUMBER(SEARCH(_xlfn.CONCAT(CHAR(96),CHAR(34)),$H429)),ISNUMBER(SEARCH(_xlfn.CONCAT(CHAR(34),CHAR(39)),$H429))),_xlfn.CONCAT("* REVIEW REQUIRED: compound-quote delimiter in Source on Sheet 1 row ",429,"; edit the input before running."),_xlfn.CONCAT("char ",TRIM($B429),"[doc_source] ",CHAR(96),CHAR(34),SUBSTITUTE(SUBSTITUTE(SUBSTITUTE(SUBSTITUTE(SUBSTITUTE(SUBSTITUTE($H429,CHAR(13)," "),CHAR(10)," "),CHAR(9)," "),CHAR(92),_xlfn.CONCAT(CHAR(92),CHAR(92))),"$",_xlfn.CONCAT(CHAR(92),"$")),CHAR(96),_xlfn.CONCAT(CHAR(92),CHAR(96))),CHAR(34),CHAR(39))))</f>
        <v/>
      </c>
      <c r="S429" s="5" t="str">
        <f>IF(OR(TRIM($B429)="",$I429=""),"",IF(OR(ISNUMBER(SEARCH(_xlfn.CONCAT(CHAR(96),CHAR(34)),$I429)),ISNUMBER(SEARCH(_xlfn.CONCAT(CHAR(34),CHAR(39)),$I429))),_xlfn.CONCAT("* REVIEW REQUIRED: compound-quote delimiter in Derivation on Sheet 1 row ",429,"; edit the input before running."),_xlfn.CONCAT("char ",TRIM($B429),"[doc_derivation] ",CHAR(96),CHAR(34),SUBSTITUTE(SUBSTITUTE(SUBSTITUTE(SUBSTITUTE(SUBSTITUTE(SUBSTITUTE($I429,CHAR(13)," "),CHAR(10)," "),CHAR(9)," "),CHAR(92),_xlfn.CONCAT(CHAR(92),CHAR(92))),"$",_xlfn.CONCAT(CHAR(92),"$")),CHAR(96),_xlfn.CONCAT(CHAR(92),CHAR(96))),CHAR(34),CHAR(39))))</f>
        <v/>
      </c>
      <c r="T429" s="5" t="str">
        <f>IF(OR(TRIM($B429)="",$J429=""),"",IF(OR(ISNUMBER(SEARCH(_xlfn.CONCAT(CHAR(96),CHAR(34)),$J429)),ISNUMBER(SEARCH(_xlfn.CONCAT(CHAR(34),CHAR(39)),$J429))),_xlfn.CONCAT("* REVIEW REQUIRED: compound-quote delimiter in Notes on Sheet 1 row ",429,"; edit the input before running."),_xlfn.CONCAT("char ",TRIM($B429),"[doc_notes] ",CHAR(96),CHAR(34),SUBSTITUTE(SUBSTITUTE(SUBSTITUTE(SUBSTITUTE(SUBSTITUTE(SUBSTITUTE($J429,CHAR(13)," "),CHAR(10)," "),CHAR(9)," "),CHAR(92),_xlfn.CONCAT(CHAR(92),CHAR(92))),"$",_xlfn.CONCAT(CHAR(92),"$")),CHAR(96),_xlfn.CONCAT(CHAR(92),CHAR(96))),CHAR(34),CHAR(39))))</f>
        <v/>
      </c>
      <c r="U429" s="5">
        <f t="shared" si="13"/>
        <v>0</v>
      </c>
    </row>
    <row r="430" spans="3:21" ht="30" customHeight="1" x14ac:dyDescent="0.2">
      <c r="C430" s="4"/>
      <c r="K430" s="5">
        <f t="shared" si="12"/>
        <v>0</v>
      </c>
      <c r="L430" s="5" t="str">
        <f>IF(OR(TRIM($B430)="",$A430=""),"",IF(OR(ISNUMBER(SEARCH(_xlfn.CONCAT(CHAR(96),CHAR(34)),$A430)),ISNUMBER(SEARCH(_xlfn.CONCAT(CHAR(34),CHAR(39)),$A430))),_xlfn.CONCAT("* REVIEW REQUIRED: compound-quote delimiter in Codebook Section on Sheet 1 row ",430,"; edit the input before running."),_xlfn.CONCAT("char ",TRIM($B430),"[doc_section] ",CHAR(96),CHAR(34),SUBSTITUTE(SUBSTITUTE(SUBSTITUTE(SUBSTITUTE(SUBSTITUTE(SUBSTITUTE($A430,CHAR(13)," "),CHAR(10)," "),CHAR(9)," "),CHAR(92),_xlfn.CONCAT(CHAR(92),CHAR(92))),"$",_xlfn.CONCAT(CHAR(92),"$")),CHAR(96),_xlfn.CONCAT(CHAR(92),CHAR(96))),CHAR(34),CHAR(39))))</f>
        <v/>
      </c>
      <c r="M430" s="5" t="str">
        <f>IF(OR(TRIM($B430)="",$C430=""),"",IF(IFERROR(MATCH(TRIM($C430),{"Quantitative","Continuous","Discrete","Categorical","Nominal","Ordinal","Identifier"},0),0)=0,_xlfn.CONCAT("* REVIEW REQUIRED: invalid Variable Type on Sheet 1 row ",430,"."),_xlfn.CONCAT("char ",TRIM($B430),"[doc_vartype] ",CHAR(96),CHAR(34),SUBSTITUTE(SUBSTITUTE(SUBSTITUTE(SUBSTITUTE(SUBSTITUTE(SUBSTITUTE(LOWER(TRIM($C430)),CHAR(13)," "),CHAR(10)," "),CHAR(9)," "),CHAR(92),_xlfn.CONCAT(CHAR(92),CHAR(92))),"$",_xlfn.CONCAT(CHAR(92),"$")),CHAR(96),_xlfn.CONCAT(CHAR(92),CHAR(96))),CHAR(34),CHAR(39))))</f>
        <v/>
      </c>
      <c r="N430" s="5" t="str">
        <f>IF(OR(TRIM($B430)="",$D430=""),"",IF(OR(ISNUMBER(SEARCH(_xlfn.CONCAT(CHAR(96),CHAR(34)),$D430)),ISNUMBER(SEARCH(_xlfn.CONCAT(CHAR(34),CHAR(39)),$D430))),_xlfn.CONCAT("* REVIEW REQUIRED: compound-quote delimiter in Item Number on Sheet 1 row ",430,"; edit the input before running."),_xlfn.CONCAT("char ",TRIM($B430),"[doc_itemnum] ",CHAR(96),CHAR(34),SUBSTITUTE(SUBSTITUTE(SUBSTITUTE(SUBSTITUTE(SUBSTITUTE(SUBSTITUTE($D430,CHAR(13)," "),CHAR(10)," "),CHAR(9)," "),CHAR(92),_xlfn.CONCAT(CHAR(92),CHAR(92))),"$",_xlfn.CONCAT(CHAR(92),"$")),CHAR(96),_xlfn.CONCAT(CHAR(92),CHAR(96))),CHAR(34),CHAR(39))))</f>
        <v/>
      </c>
      <c r="O430" s="5" t="str">
        <f>IF(OR(TRIM($B430)="",$E430=""),"",IF(OR(ISNUMBER(SEARCH(_xlfn.CONCAT(CHAR(96),CHAR(34)),$E430)),ISNUMBER(SEARCH(_xlfn.CONCAT(CHAR(34),CHAR(39)),$E430))),_xlfn.CONCAT("* REVIEW REQUIRED: compound-quote delimiter in Question Wording on Sheet 1 row ",430,"; edit the input before running."),_xlfn.CONCAT("char ",TRIM($B430),"[doc_question] ",CHAR(96),CHAR(34),SUBSTITUTE(SUBSTITUTE(SUBSTITUTE(SUBSTITUTE(SUBSTITUTE(SUBSTITUTE($E430,CHAR(13)," "),CHAR(10)," "),CHAR(9)," "),CHAR(92),_xlfn.CONCAT(CHAR(92),CHAR(92))),"$",_xlfn.CONCAT(CHAR(92),"$")),CHAR(96),_xlfn.CONCAT(CHAR(92),CHAR(96))),CHAR(34),CHAR(39))))</f>
        <v/>
      </c>
      <c r="P430" s="5" t="str">
        <f>IF(OR(TRIM($B430)="",$F430=""),"",IF(OR(ISNUMBER(SEARCH(_xlfn.CONCAT(CHAR(96),CHAR(34)),$F430)),ISNUMBER(SEARCH(_xlfn.CONCAT(CHAR(34),CHAR(39)),$F430))),_xlfn.CONCAT("* REVIEW REQUIRED: compound-quote delimiter in Units on Sheet 1 row ",430,"; edit the input before running."),_xlfn.CONCAT("char ",TRIM($B430),"[doc_units] ",CHAR(96),CHAR(34),SUBSTITUTE(SUBSTITUTE(SUBSTITUTE(SUBSTITUTE(SUBSTITUTE(SUBSTITUTE($F430,CHAR(13)," "),CHAR(10)," "),CHAR(9)," "),CHAR(92),_xlfn.CONCAT(CHAR(92),CHAR(92))),"$",_xlfn.CONCAT(CHAR(92),"$")),CHAR(96),_xlfn.CONCAT(CHAR(92),CHAR(96))),CHAR(34),CHAR(39))))</f>
        <v/>
      </c>
      <c r="Q430" s="5" t="str">
        <f>IF(OR(TRIM($B430)="",$G430=""),"",IF(OR(ISNUMBER(SEARCH(_xlfn.CONCAT(CHAR(96),CHAR(34)),$G430)),ISNUMBER(SEARCH(_xlfn.CONCAT(CHAR(34),CHAR(39)),$G430))),_xlfn.CONCAT("* REVIEW REQUIRED: compound-quote delimiter in Universe on Sheet 1 row ",430,"; edit the input before running."),_xlfn.CONCAT("char ",TRIM($B430),"[doc_universe] ",CHAR(96),CHAR(34),SUBSTITUTE(SUBSTITUTE(SUBSTITUTE(SUBSTITUTE(SUBSTITUTE(SUBSTITUTE($G430,CHAR(13)," "),CHAR(10)," "),CHAR(9)," "),CHAR(92),_xlfn.CONCAT(CHAR(92),CHAR(92))),"$",_xlfn.CONCAT(CHAR(92),"$")),CHAR(96),_xlfn.CONCAT(CHAR(92),CHAR(96))),CHAR(34),CHAR(39))))</f>
        <v/>
      </c>
      <c r="R430" s="5" t="str">
        <f>IF(OR(TRIM($B430)="",$H430=""),"",IF(OR(ISNUMBER(SEARCH(_xlfn.CONCAT(CHAR(96),CHAR(34)),$H430)),ISNUMBER(SEARCH(_xlfn.CONCAT(CHAR(34),CHAR(39)),$H430))),_xlfn.CONCAT("* REVIEW REQUIRED: compound-quote delimiter in Source on Sheet 1 row ",430,"; edit the input before running."),_xlfn.CONCAT("char ",TRIM($B430),"[doc_source] ",CHAR(96),CHAR(34),SUBSTITUTE(SUBSTITUTE(SUBSTITUTE(SUBSTITUTE(SUBSTITUTE(SUBSTITUTE($H430,CHAR(13)," "),CHAR(10)," "),CHAR(9)," "),CHAR(92),_xlfn.CONCAT(CHAR(92),CHAR(92))),"$",_xlfn.CONCAT(CHAR(92),"$")),CHAR(96),_xlfn.CONCAT(CHAR(92),CHAR(96))),CHAR(34),CHAR(39))))</f>
        <v/>
      </c>
      <c r="S430" s="5" t="str">
        <f>IF(OR(TRIM($B430)="",$I430=""),"",IF(OR(ISNUMBER(SEARCH(_xlfn.CONCAT(CHAR(96),CHAR(34)),$I430)),ISNUMBER(SEARCH(_xlfn.CONCAT(CHAR(34),CHAR(39)),$I430))),_xlfn.CONCAT("* REVIEW REQUIRED: compound-quote delimiter in Derivation on Sheet 1 row ",430,"; edit the input before running."),_xlfn.CONCAT("char ",TRIM($B430),"[doc_derivation] ",CHAR(96),CHAR(34),SUBSTITUTE(SUBSTITUTE(SUBSTITUTE(SUBSTITUTE(SUBSTITUTE(SUBSTITUTE($I430,CHAR(13)," "),CHAR(10)," "),CHAR(9)," "),CHAR(92),_xlfn.CONCAT(CHAR(92),CHAR(92))),"$",_xlfn.CONCAT(CHAR(92),"$")),CHAR(96),_xlfn.CONCAT(CHAR(92),CHAR(96))),CHAR(34),CHAR(39))))</f>
        <v/>
      </c>
      <c r="T430" s="5" t="str">
        <f>IF(OR(TRIM($B430)="",$J430=""),"",IF(OR(ISNUMBER(SEARCH(_xlfn.CONCAT(CHAR(96),CHAR(34)),$J430)),ISNUMBER(SEARCH(_xlfn.CONCAT(CHAR(34),CHAR(39)),$J430))),_xlfn.CONCAT("* REVIEW REQUIRED: compound-quote delimiter in Notes on Sheet 1 row ",430,"; edit the input before running."),_xlfn.CONCAT("char ",TRIM($B430),"[doc_notes] ",CHAR(96),CHAR(34),SUBSTITUTE(SUBSTITUTE(SUBSTITUTE(SUBSTITUTE(SUBSTITUTE(SUBSTITUTE($J430,CHAR(13)," "),CHAR(10)," "),CHAR(9)," "),CHAR(92),_xlfn.CONCAT(CHAR(92),CHAR(92))),"$",_xlfn.CONCAT(CHAR(92),"$")),CHAR(96),_xlfn.CONCAT(CHAR(92),CHAR(96))),CHAR(34),CHAR(39))))</f>
        <v/>
      </c>
      <c r="U430" s="5">
        <f t="shared" si="13"/>
        <v>0</v>
      </c>
    </row>
    <row r="431" spans="3:21" ht="30" customHeight="1" x14ac:dyDescent="0.2">
      <c r="C431" s="4"/>
      <c r="K431" s="5">
        <f t="shared" si="12"/>
        <v>0</v>
      </c>
      <c r="L431" s="5" t="str">
        <f>IF(OR(TRIM($B431)="",$A431=""),"",IF(OR(ISNUMBER(SEARCH(_xlfn.CONCAT(CHAR(96),CHAR(34)),$A431)),ISNUMBER(SEARCH(_xlfn.CONCAT(CHAR(34),CHAR(39)),$A431))),_xlfn.CONCAT("* REVIEW REQUIRED: compound-quote delimiter in Codebook Section on Sheet 1 row ",431,"; edit the input before running."),_xlfn.CONCAT("char ",TRIM($B431),"[doc_section] ",CHAR(96),CHAR(34),SUBSTITUTE(SUBSTITUTE(SUBSTITUTE(SUBSTITUTE(SUBSTITUTE(SUBSTITUTE($A431,CHAR(13)," "),CHAR(10)," "),CHAR(9)," "),CHAR(92),_xlfn.CONCAT(CHAR(92),CHAR(92))),"$",_xlfn.CONCAT(CHAR(92),"$")),CHAR(96),_xlfn.CONCAT(CHAR(92),CHAR(96))),CHAR(34),CHAR(39))))</f>
        <v/>
      </c>
      <c r="M431" s="5" t="str">
        <f>IF(OR(TRIM($B431)="",$C431=""),"",IF(IFERROR(MATCH(TRIM($C431),{"Quantitative","Continuous","Discrete","Categorical","Nominal","Ordinal","Identifier"},0),0)=0,_xlfn.CONCAT("* REVIEW REQUIRED: invalid Variable Type on Sheet 1 row ",431,"."),_xlfn.CONCAT("char ",TRIM($B431),"[doc_vartype] ",CHAR(96),CHAR(34),SUBSTITUTE(SUBSTITUTE(SUBSTITUTE(SUBSTITUTE(SUBSTITUTE(SUBSTITUTE(LOWER(TRIM($C431)),CHAR(13)," "),CHAR(10)," "),CHAR(9)," "),CHAR(92),_xlfn.CONCAT(CHAR(92),CHAR(92))),"$",_xlfn.CONCAT(CHAR(92),"$")),CHAR(96),_xlfn.CONCAT(CHAR(92),CHAR(96))),CHAR(34),CHAR(39))))</f>
        <v/>
      </c>
      <c r="N431" s="5" t="str">
        <f>IF(OR(TRIM($B431)="",$D431=""),"",IF(OR(ISNUMBER(SEARCH(_xlfn.CONCAT(CHAR(96),CHAR(34)),$D431)),ISNUMBER(SEARCH(_xlfn.CONCAT(CHAR(34),CHAR(39)),$D431))),_xlfn.CONCAT("* REVIEW REQUIRED: compound-quote delimiter in Item Number on Sheet 1 row ",431,"; edit the input before running."),_xlfn.CONCAT("char ",TRIM($B431),"[doc_itemnum] ",CHAR(96),CHAR(34),SUBSTITUTE(SUBSTITUTE(SUBSTITUTE(SUBSTITUTE(SUBSTITUTE(SUBSTITUTE($D431,CHAR(13)," "),CHAR(10)," "),CHAR(9)," "),CHAR(92),_xlfn.CONCAT(CHAR(92),CHAR(92))),"$",_xlfn.CONCAT(CHAR(92),"$")),CHAR(96),_xlfn.CONCAT(CHAR(92),CHAR(96))),CHAR(34),CHAR(39))))</f>
        <v/>
      </c>
      <c r="O431" s="5" t="str">
        <f>IF(OR(TRIM($B431)="",$E431=""),"",IF(OR(ISNUMBER(SEARCH(_xlfn.CONCAT(CHAR(96),CHAR(34)),$E431)),ISNUMBER(SEARCH(_xlfn.CONCAT(CHAR(34),CHAR(39)),$E431))),_xlfn.CONCAT("* REVIEW REQUIRED: compound-quote delimiter in Question Wording on Sheet 1 row ",431,"; edit the input before running."),_xlfn.CONCAT("char ",TRIM($B431),"[doc_question] ",CHAR(96),CHAR(34),SUBSTITUTE(SUBSTITUTE(SUBSTITUTE(SUBSTITUTE(SUBSTITUTE(SUBSTITUTE($E431,CHAR(13)," "),CHAR(10)," "),CHAR(9)," "),CHAR(92),_xlfn.CONCAT(CHAR(92),CHAR(92))),"$",_xlfn.CONCAT(CHAR(92),"$")),CHAR(96),_xlfn.CONCAT(CHAR(92),CHAR(96))),CHAR(34),CHAR(39))))</f>
        <v/>
      </c>
      <c r="P431" s="5" t="str">
        <f>IF(OR(TRIM($B431)="",$F431=""),"",IF(OR(ISNUMBER(SEARCH(_xlfn.CONCAT(CHAR(96),CHAR(34)),$F431)),ISNUMBER(SEARCH(_xlfn.CONCAT(CHAR(34),CHAR(39)),$F431))),_xlfn.CONCAT("* REVIEW REQUIRED: compound-quote delimiter in Units on Sheet 1 row ",431,"; edit the input before running."),_xlfn.CONCAT("char ",TRIM($B431),"[doc_units] ",CHAR(96),CHAR(34),SUBSTITUTE(SUBSTITUTE(SUBSTITUTE(SUBSTITUTE(SUBSTITUTE(SUBSTITUTE($F431,CHAR(13)," "),CHAR(10)," "),CHAR(9)," "),CHAR(92),_xlfn.CONCAT(CHAR(92),CHAR(92))),"$",_xlfn.CONCAT(CHAR(92),"$")),CHAR(96),_xlfn.CONCAT(CHAR(92),CHAR(96))),CHAR(34),CHAR(39))))</f>
        <v/>
      </c>
      <c r="Q431" s="5" t="str">
        <f>IF(OR(TRIM($B431)="",$G431=""),"",IF(OR(ISNUMBER(SEARCH(_xlfn.CONCAT(CHAR(96),CHAR(34)),$G431)),ISNUMBER(SEARCH(_xlfn.CONCAT(CHAR(34),CHAR(39)),$G431))),_xlfn.CONCAT("* REVIEW REQUIRED: compound-quote delimiter in Universe on Sheet 1 row ",431,"; edit the input before running."),_xlfn.CONCAT("char ",TRIM($B431),"[doc_universe] ",CHAR(96),CHAR(34),SUBSTITUTE(SUBSTITUTE(SUBSTITUTE(SUBSTITUTE(SUBSTITUTE(SUBSTITUTE($G431,CHAR(13)," "),CHAR(10)," "),CHAR(9)," "),CHAR(92),_xlfn.CONCAT(CHAR(92),CHAR(92))),"$",_xlfn.CONCAT(CHAR(92),"$")),CHAR(96),_xlfn.CONCAT(CHAR(92),CHAR(96))),CHAR(34),CHAR(39))))</f>
        <v/>
      </c>
      <c r="R431" s="5" t="str">
        <f>IF(OR(TRIM($B431)="",$H431=""),"",IF(OR(ISNUMBER(SEARCH(_xlfn.CONCAT(CHAR(96),CHAR(34)),$H431)),ISNUMBER(SEARCH(_xlfn.CONCAT(CHAR(34),CHAR(39)),$H431))),_xlfn.CONCAT("* REVIEW REQUIRED: compound-quote delimiter in Source on Sheet 1 row ",431,"; edit the input before running."),_xlfn.CONCAT("char ",TRIM($B431),"[doc_source] ",CHAR(96),CHAR(34),SUBSTITUTE(SUBSTITUTE(SUBSTITUTE(SUBSTITUTE(SUBSTITUTE(SUBSTITUTE($H431,CHAR(13)," "),CHAR(10)," "),CHAR(9)," "),CHAR(92),_xlfn.CONCAT(CHAR(92),CHAR(92))),"$",_xlfn.CONCAT(CHAR(92),"$")),CHAR(96),_xlfn.CONCAT(CHAR(92),CHAR(96))),CHAR(34),CHAR(39))))</f>
        <v/>
      </c>
      <c r="S431" s="5" t="str">
        <f>IF(OR(TRIM($B431)="",$I431=""),"",IF(OR(ISNUMBER(SEARCH(_xlfn.CONCAT(CHAR(96),CHAR(34)),$I431)),ISNUMBER(SEARCH(_xlfn.CONCAT(CHAR(34),CHAR(39)),$I431))),_xlfn.CONCAT("* REVIEW REQUIRED: compound-quote delimiter in Derivation on Sheet 1 row ",431,"; edit the input before running."),_xlfn.CONCAT("char ",TRIM($B431),"[doc_derivation] ",CHAR(96),CHAR(34),SUBSTITUTE(SUBSTITUTE(SUBSTITUTE(SUBSTITUTE(SUBSTITUTE(SUBSTITUTE($I431,CHAR(13)," "),CHAR(10)," "),CHAR(9)," "),CHAR(92),_xlfn.CONCAT(CHAR(92),CHAR(92))),"$",_xlfn.CONCAT(CHAR(92),"$")),CHAR(96),_xlfn.CONCAT(CHAR(92),CHAR(96))),CHAR(34),CHAR(39))))</f>
        <v/>
      </c>
      <c r="T431" s="5" t="str">
        <f>IF(OR(TRIM($B431)="",$J431=""),"",IF(OR(ISNUMBER(SEARCH(_xlfn.CONCAT(CHAR(96),CHAR(34)),$J431)),ISNUMBER(SEARCH(_xlfn.CONCAT(CHAR(34),CHAR(39)),$J431))),_xlfn.CONCAT("* REVIEW REQUIRED: compound-quote delimiter in Notes on Sheet 1 row ",431,"; edit the input before running."),_xlfn.CONCAT("char ",TRIM($B431),"[doc_notes] ",CHAR(96),CHAR(34),SUBSTITUTE(SUBSTITUTE(SUBSTITUTE(SUBSTITUTE(SUBSTITUTE(SUBSTITUTE($J431,CHAR(13)," "),CHAR(10)," "),CHAR(9)," "),CHAR(92),_xlfn.CONCAT(CHAR(92),CHAR(92))),"$",_xlfn.CONCAT(CHAR(92),"$")),CHAR(96),_xlfn.CONCAT(CHAR(92),CHAR(96))),CHAR(34),CHAR(39))))</f>
        <v/>
      </c>
      <c r="U431" s="5">
        <f t="shared" si="13"/>
        <v>0</v>
      </c>
    </row>
    <row r="432" spans="3:21" ht="30" customHeight="1" x14ac:dyDescent="0.2">
      <c r="C432" s="4"/>
      <c r="K432" s="5">
        <f t="shared" si="12"/>
        <v>0</v>
      </c>
      <c r="L432" s="5" t="str">
        <f>IF(OR(TRIM($B432)="",$A432=""),"",IF(OR(ISNUMBER(SEARCH(_xlfn.CONCAT(CHAR(96),CHAR(34)),$A432)),ISNUMBER(SEARCH(_xlfn.CONCAT(CHAR(34),CHAR(39)),$A432))),_xlfn.CONCAT("* REVIEW REQUIRED: compound-quote delimiter in Codebook Section on Sheet 1 row ",432,"; edit the input before running."),_xlfn.CONCAT("char ",TRIM($B432),"[doc_section] ",CHAR(96),CHAR(34),SUBSTITUTE(SUBSTITUTE(SUBSTITUTE(SUBSTITUTE(SUBSTITUTE(SUBSTITUTE($A432,CHAR(13)," "),CHAR(10)," "),CHAR(9)," "),CHAR(92),_xlfn.CONCAT(CHAR(92),CHAR(92))),"$",_xlfn.CONCAT(CHAR(92),"$")),CHAR(96),_xlfn.CONCAT(CHAR(92),CHAR(96))),CHAR(34),CHAR(39))))</f>
        <v/>
      </c>
      <c r="M432" s="5" t="str">
        <f>IF(OR(TRIM($B432)="",$C432=""),"",IF(IFERROR(MATCH(TRIM($C432),{"Quantitative","Continuous","Discrete","Categorical","Nominal","Ordinal","Identifier"},0),0)=0,_xlfn.CONCAT("* REVIEW REQUIRED: invalid Variable Type on Sheet 1 row ",432,"."),_xlfn.CONCAT("char ",TRIM($B432),"[doc_vartype] ",CHAR(96),CHAR(34),SUBSTITUTE(SUBSTITUTE(SUBSTITUTE(SUBSTITUTE(SUBSTITUTE(SUBSTITUTE(LOWER(TRIM($C432)),CHAR(13)," "),CHAR(10)," "),CHAR(9)," "),CHAR(92),_xlfn.CONCAT(CHAR(92),CHAR(92))),"$",_xlfn.CONCAT(CHAR(92),"$")),CHAR(96),_xlfn.CONCAT(CHAR(92),CHAR(96))),CHAR(34),CHAR(39))))</f>
        <v/>
      </c>
      <c r="N432" s="5" t="str">
        <f>IF(OR(TRIM($B432)="",$D432=""),"",IF(OR(ISNUMBER(SEARCH(_xlfn.CONCAT(CHAR(96),CHAR(34)),$D432)),ISNUMBER(SEARCH(_xlfn.CONCAT(CHAR(34),CHAR(39)),$D432))),_xlfn.CONCAT("* REVIEW REQUIRED: compound-quote delimiter in Item Number on Sheet 1 row ",432,"; edit the input before running."),_xlfn.CONCAT("char ",TRIM($B432),"[doc_itemnum] ",CHAR(96),CHAR(34),SUBSTITUTE(SUBSTITUTE(SUBSTITUTE(SUBSTITUTE(SUBSTITUTE(SUBSTITUTE($D432,CHAR(13)," "),CHAR(10)," "),CHAR(9)," "),CHAR(92),_xlfn.CONCAT(CHAR(92),CHAR(92))),"$",_xlfn.CONCAT(CHAR(92),"$")),CHAR(96),_xlfn.CONCAT(CHAR(92),CHAR(96))),CHAR(34),CHAR(39))))</f>
        <v/>
      </c>
      <c r="O432" s="5" t="str">
        <f>IF(OR(TRIM($B432)="",$E432=""),"",IF(OR(ISNUMBER(SEARCH(_xlfn.CONCAT(CHAR(96),CHAR(34)),$E432)),ISNUMBER(SEARCH(_xlfn.CONCAT(CHAR(34),CHAR(39)),$E432))),_xlfn.CONCAT("* REVIEW REQUIRED: compound-quote delimiter in Question Wording on Sheet 1 row ",432,"; edit the input before running."),_xlfn.CONCAT("char ",TRIM($B432),"[doc_question] ",CHAR(96),CHAR(34),SUBSTITUTE(SUBSTITUTE(SUBSTITUTE(SUBSTITUTE(SUBSTITUTE(SUBSTITUTE($E432,CHAR(13)," "),CHAR(10)," "),CHAR(9)," "),CHAR(92),_xlfn.CONCAT(CHAR(92),CHAR(92))),"$",_xlfn.CONCAT(CHAR(92),"$")),CHAR(96),_xlfn.CONCAT(CHAR(92),CHAR(96))),CHAR(34),CHAR(39))))</f>
        <v/>
      </c>
      <c r="P432" s="5" t="str">
        <f>IF(OR(TRIM($B432)="",$F432=""),"",IF(OR(ISNUMBER(SEARCH(_xlfn.CONCAT(CHAR(96),CHAR(34)),$F432)),ISNUMBER(SEARCH(_xlfn.CONCAT(CHAR(34),CHAR(39)),$F432))),_xlfn.CONCAT("* REVIEW REQUIRED: compound-quote delimiter in Units on Sheet 1 row ",432,"; edit the input before running."),_xlfn.CONCAT("char ",TRIM($B432),"[doc_units] ",CHAR(96),CHAR(34),SUBSTITUTE(SUBSTITUTE(SUBSTITUTE(SUBSTITUTE(SUBSTITUTE(SUBSTITUTE($F432,CHAR(13)," "),CHAR(10)," "),CHAR(9)," "),CHAR(92),_xlfn.CONCAT(CHAR(92),CHAR(92))),"$",_xlfn.CONCAT(CHAR(92),"$")),CHAR(96),_xlfn.CONCAT(CHAR(92),CHAR(96))),CHAR(34),CHAR(39))))</f>
        <v/>
      </c>
      <c r="Q432" s="5" t="str">
        <f>IF(OR(TRIM($B432)="",$G432=""),"",IF(OR(ISNUMBER(SEARCH(_xlfn.CONCAT(CHAR(96),CHAR(34)),$G432)),ISNUMBER(SEARCH(_xlfn.CONCAT(CHAR(34),CHAR(39)),$G432))),_xlfn.CONCAT("* REVIEW REQUIRED: compound-quote delimiter in Universe on Sheet 1 row ",432,"; edit the input before running."),_xlfn.CONCAT("char ",TRIM($B432),"[doc_universe] ",CHAR(96),CHAR(34),SUBSTITUTE(SUBSTITUTE(SUBSTITUTE(SUBSTITUTE(SUBSTITUTE(SUBSTITUTE($G432,CHAR(13)," "),CHAR(10)," "),CHAR(9)," "),CHAR(92),_xlfn.CONCAT(CHAR(92),CHAR(92))),"$",_xlfn.CONCAT(CHAR(92),"$")),CHAR(96),_xlfn.CONCAT(CHAR(92),CHAR(96))),CHAR(34),CHAR(39))))</f>
        <v/>
      </c>
      <c r="R432" s="5" t="str">
        <f>IF(OR(TRIM($B432)="",$H432=""),"",IF(OR(ISNUMBER(SEARCH(_xlfn.CONCAT(CHAR(96),CHAR(34)),$H432)),ISNUMBER(SEARCH(_xlfn.CONCAT(CHAR(34),CHAR(39)),$H432))),_xlfn.CONCAT("* REVIEW REQUIRED: compound-quote delimiter in Source on Sheet 1 row ",432,"; edit the input before running."),_xlfn.CONCAT("char ",TRIM($B432),"[doc_source] ",CHAR(96),CHAR(34),SUBSTITUTE(SUBSTITUTE(SUBSTITUTE(SUBSTITUTE(SUBSTITUTE(SUBSTITUTE($H432,CHAR(13)," "),CHAR(10)," "),CHAR(9)," "),CHAR(92),_xlfn.CONCAT(CHAR(92),CHAR(92))),"$",_xlfn.CONCAT(CHAR(92),"$")),CHAR(96),_xlfn.CONCAT(CHAR(92),CHAR(96))),CHAR(34),CHAR(39))))</f>
        <v/>
      </c>
      <c r="S432" s="5" t="str">
        <f>IF(OR(TRIM($B432)="",$I432=""),"",IF(OR(ISNUMBER(SEARCH(_xlfn.CONCAT(CHAR(96),CHAR(34)),$I432)),ISNUMBER(SEARCH(_xlfn.CONCAT(CHAR(34),CHAR(39)),$I432))),_xlfn.CONCAT("* REVIEW REQUIRED: compound-quote delimiter in Derivation on Sheet 1 row ",432,"; edit the input before running."),_xlfn.CONCAT("char ",TRIM($B432),"[doc_derivation] ",CHAR(96),CHAR(34),SUBSTITUTE(SUBSTITUTE(SUBSTITUTE(SUBSTITUTE(SUBSTITUTE(SUBSTITUTE($I432,CHAR(13)," "),CHAR(10)," "),CHAR(9)," "),CHAR(92),_xlfn.CONCAT(CHAR(92),CHAR(92))),"$",_xlfn.CONCAT(CHAR(92),"$")),CHAR(96),_xlfn.CONCAT(CHAR(92),CHAR(96))),CHAR(34),CHAR(39))))</f>
        <v/>
      </c>
      <c r="T432" s="5" t="str">
        <f>IF(OR(TRIM($B432)="",$J432=""),"",IF(OR(ISNUMBER(SEARCH(_xlfn.CONCAT(CHAR(96),CHAR(34)),$J432)),ISNUMBER(SEARCH(_xlfn.CONCAT(CHAR(34),CHAR(39)),$J432))),_xlfn.CONCAT("* REVIEW REQUIRED: compound-quote delimiter in Notes on Sheet 1 row ",432,"; edit the input before running."),_xlfn.CONCAT("char ",TRIM($B432),"[doc_notes] ",CHAR(96),CHAR(34),SUBSTITUTE(SUBSTITUTE(SUBSTITUTE(SUBSTITUTE(SUBSTITUTE(SUBSTITUTE($J432,CHAR(13)," "),CHAR(10)," "),CHAR(9)," "),CHAR(92),_xlfn.CONCAT(CHAR(92),CHAR(92))),"$",_xlfn.CONCAT(CHAR(92),"$")),CHAR(96),_xlfn.CONCAT(CHAR(92),CHAR(96))),CHAR(34),CHAR(39))))</f>
        <v/>
      </c>
      <c r="U432" s="5">
        <f t="shared" si="13"/>
        <v>0</v>
      </c>
    </row>
    <row r="433" spans="3:21" ht="30" customHeight="1" x14ac:dyDescent="0.2">
      <c r="C433" s="4"/>
      <c r="K433" s="5">
        <f t="shared" si="12"/>
        <v>0</v>
      </c>
      <c r="L433" s="5" t="str">
        <f>IF(OR(TRIM($B433)="",$A433=""),"",IF(OR(ISNUMBER(SEARCH(_xlfn.CONCAT(CHAR(96),CHAR(34)),$A433)),ISNUMBER(SEARCH(_xlfn.CONCAT(CHAR(34),CHAR(39)),$A433))),_xlfn.CONCAT("* REVIEW REQUIRED: compound-quote delimiter in Codebook Section on Sheet 1 row ",433,"; edit the input before running."),_xlfn.CONCAT("char ",TRIM($B433),"[doc_section] ",CHAR(96),CHAR(34),SUBSTITUTE(SUBSTITUTE(SUBSTITUTE(SUBSTITUTE(SUBSTITUTE(SUBSTITUTE($A433,CHAR(13)," "),CHAR(10)," "),CHAR(9)," "),CHAR(92),_xlfn.CONCAT(CHAR(92),CHAR(92))),"$",_xlfn.CONCAT(CHAR(92),"$")),CHAR(96),_xlfn.CONCAT(CHAR(92),CHAR(96))),CHAR(34),CHAR(39))))</f>
        <v/>
      </c>
      <c r="M433" s="5" t="str">
        <f>IF(OR(TRIM($B433)="",$C433=""),"",IF(IFERROR(MATCH(TRIM($C433),{"Quantitative","Continuous","Discrete","Categorical","Nominal","Ordinal","Identifier"},0),0)=0,_xlfn.CONCAT("* REVIEW REQUIRED: invalid Variable Type on Sheet 1 row ",433,"."),_xlfn.CONCAT("char ",TRIM($B433),"[doc_vartype] ",CHAR(96),CHAR(34),SUBSTITUTE(SUBSTITUTE(SUBSTITUTE(SUBSTITUTE(SUBSTITUTE(SUBSTITUTE(LOWER(TRIM($C433)),CHAR(13)," "),CHAR(10)," "),CHAR(9)," "),CHAR(92),_xlfn.CONCAT(CHAR(92),CHAR(92))),"$",_xlfn.CONCAT(CHAR(92),"$")),CHAR(96),_xlfn.CONCAT(CHAR(92),CHAR(96))),CHAR(34),CHAR(39))))</f>
        <v/>
      </c>
      <c r="N433" s="5" t="str">
        <f>IF(OR(TRIM($B433)="",$D433=""),"",IF(OR(ISNUMBER(SEARCH(_xlfn.CONCAT(CHAR(96),CHAR(34)),$D433)),ISNUMBER(SEARCH(_xlfn.CONCAT(CHAR(34),CHAR(39)),$D433))),_xlfn.CONCAT("* REVIEW REQUIRED: compound-quote delimiter in Item Number on Sheet 1 row ",433,"; edit the input before running."),_xlfn.CONCAT("char ",TRIM($B433),"[doc_itemnum] ",CHAR(96),CHAR(34),SUBSTITUTE(SUBSTITUTE(SUBSTITUTE(SUBSTITUTE(SUBSTITUTE(SUBSTITUTE($D433,CHAR(13)," "),CHAR(10)," "),CHAR(9)," "),CHAR(92),_xlfn.CONCAT(CHAR(92),CHAR(92))),"$",_xlfn.CONCAT(CHAR(92),"$")),CHAR(96),_xlfn.CONCAT(CHAR(92),CHAR(96))),CHAR(34),CHAR(39))))</f>
        <v/>
      </c>
      <c r="O433" s="5" t="str">
        <f>IF(OR(TRIM($B433)="",$E433=""),"",IF(OR(ISNUMBER(SEARCH(_xlfn.CONCAT(CHAR(96),CHAR(34)),$E433)),ISNUMBER(SEARCH(_xlfn.CONCAT(CHAR(34),CHAR(39)),$E433))),_xlfn.CONCAT("* REVIEW REQUIRED: compound-quote delimiter in Question Wording on Sheet 1 row ",433,"; edit the input before running."),_xlfn.CONCAT("char ",TRIM($B433),"[doc_question] ",CHAR(96),CHAR(34),SUBSTITUTE(SUBSTITUTE(SUBSTITUTE(SUBSTITUTE(SUBSTITUTE(SUBSTITUTE($E433,CHAR(13)," "),CHAR(10)," "),CHAR(9)," "),CHAR(92),_xlfn.CONCAT(CHAR(92),CHAR(92))),"$",_xlfn.CONCAT(CHAR(92),"$")),CHAR(96),_xlfn.CONCAT(CHAR(92),CHAR(96))),CHAR(34),CHAR(39))))</f>
        <v/>
      </c>
      <c r="P433" s="5" t="str">
        <f>IF(OR(TRIM($B433)="",$F433=""),"",IF(OR(ISNUMBER(SEARCH(_xlfn.CONCAT(CHAR(96),CHAR(34)),$F433)),ISNUMBER(SEARCH(_xlfn.CONCAT(CHAR(34),CHAR(39)),$F433))),_xlfn.CONCAT("* REVIEW REQUIRED: compound-quote delimiter in Units on Sheet 1 row ",433,"; edit the input before running."),_xlfn.CONCAT("char ",TRIM($B433),"[doc_units] ",CHAR(96),CHAR(34),SUBSTITUTE(SUBSTITUTE(SUBSTITUTE(SUBSTITUTE(SUBSTITUTE(SUBSTITUTE($F433,CHAR(13)," "),CHAR(10)," "),CHAR(9)," "),CHAR(92),_xlfn.CONCAT(CHAR(92),CHAR(92))),"$",_xlfn.CONCAT(CHAR(92),"$")),CHAR(96),_xlfn.CONCAT(CHAR(92),CHAR(96))),CHAR(34),CHAR(39))))</f>
        <v/>
      </c>
      <c r="Q433" s="5" t="str">
        <f>IF(OR(TRIM($B433)="",$G433=""),"",IF(OR(ISNUMBER(SEARCH(_xlfn.CONCAT(CHAR(96),CHAR(34)),$G433)),ISNUMBER(SEARCH(_xlfn.CONCAT(CHAR(34),CHAR(39)),$G433))),_xlfn.CONCAT("* REVIEW REQUIRED: compound-quote delimiter in Universe on Sheet 1 row ",433,"; edit the input before running."),_xlfn.CONCAT("char ",TRIM($B433),"[doc_universe] ",CHAR(96),CHAR(34),SUBSTITUTE(SUBSTITUTE(SUBSTITUTE(SUBSTITUTE(SUBSTITUTE(SUBSTITUTE($G433,CHAR(13)," "),CHAR(10)," "),CHAR(9)," "),CHAR(92),_xlfn.CONCAT(CHAR(92),CHAR(92))),"$",_xlfn.CONCAT(CHAR(92),"$")),CHAR(96),_xlfn.CONCAT(CHAR(92),CHAR(96))),CHAR(34),CHAR(39))))</f>
        <v/>
      </c>
      <c r="R433" s="5" t="str">
        <f>IF(OR(TRIM($B433)="",$H433=""),"",IF(OR(ISNUMBER(SEARCH(_xlfn.CONCAT(CHAR(96),CHAR(34)),$H433)),ISNUMBER(SEARCH(_xlfn.CONCAT(CHAR(34),CHAR(39)),$H433))),_xlfn.CONCAT("* REVIEW REQUIRED: compound-quote delimiter in Source on Sheet 1 row ",433,"; edit the input before running."),_xlfn.CONCAT("char ",TRIM($B433),"[doc_source] ",CHAR(96),CHAR(34),SUBSTITUTE(SUBSTITUTE(SUBSTITUTE(SUBSTITUTE(SUBSTITUTE(SUBSTITUTE($H433,CHAR(13)," "),CHAR(10)," "),CHAR(9)," "),CHAR(92),_xlfn.CONCAT(CHAR(92),CHAR(92))),"$",_xlfn.CONCAT(CHAR(92),"$")),CHAR(96),_xlfn.CONCAT(CHAR(92),CHAR(96))),CHAR(34),CHAR(39))))</f>
        <v/>
      </c>
      <c r="S433" s="5" t="str">
        <f>IF(OR(TRIM($B433)="",$I433=""),"",IF(OR(ISNUMBER(SEARCH(_xlfn.CONCAT(CHAR(96),CHAR(34)),$I433)),ISNUMBER(SEARCH(_xlfn.CONCAT(CHAR(34),CHAR(39)),$I433))),_xlfn.CONCAT("* REVIEW REQUIRED: compound-quote delimiter in Derivation on Sheet 1 row ",433,"; edit the input before running."),_xlfn.CONCAT("char ",TRIM($B433),"[doc_derivation] ",CHAR(96),CHAR(34),SUBSTITUTE(SUBSTITUTE(SUBSTITUTE(SUBSTITUTE(SUBSTITUTE(SUBSTITUTE($I433,CHAR(13)," "),CHAR(10)," "),CHAR(9)," "),CHAR(92),_xlfn.CONCAT(CHAR(92),CHAR(92))),"$",_xlfn.CONCAT(CHAR(92),"$")),CHAR(96),_xlfn.CONCAT(CHAR(92),CHAR(96))),CHAR(34),CHAR(39))))</f>
        <v/>
      </c>
      <c r="T433" s="5" t="str">
        <f>IF(OR(TRIM($B433)="",$J433=""),"",IF(OR(ISNUMBER(SEARCH(_xlfn.CONCAT(CHAR(96),CHAR(34)),$J433)),ISNUMBER(SEARCH(_xlfn.CONCAT(CHAR(34),CHAR(39)),$J433))),_xlfn.CONCAT("* REVIEW REQUIRED: compound-quote delimiter in Notes on Sheet 1 row ",433,"; edit the input before running."),_xlfn.CONCAT("char ",TRIM($B433),"[doc_notes] ",CHAR(96),CHAR(34),SUBSTITUTE(SUBSTITUTE(SUBSTITUTE(SUBSTITUTE(SUBSTITUTE(SUBSTITUTE($J433,CHAR(13)," "),CHAR(10)," "),CHAR(9)," "),CHAR(92),_xlfn.CONCAT(CHAR(92),CHAR(92))),"$",_xlfn.CONCAT(CHAR(92),"$")),CHAR(96),_xlfn.CONCAT(CHAR(92),CHAR(96))),CHAR(34),CHAR(39))))</f>
        <v/>
      </c>
      <c r="U433" s="5">
        <f t="shared" si="13"/>
        <v>0</v>
      </c>
    </row>
    <row r="434" spans="3:21" ht="30" customHeight="1" x14ac:dyDescent="0.2">
      <c r="C434" s="4"/>
      <c r="K434" s="5">
        <f t="shared" si="12"/>
        <v>0</v>
      </c>
      <c r="L434" s="5" t="str">
        <f>IF(OR(TRIM($B434)="",$A434=""),"",IF(OR(ISNUMBER(SEARCH(_xlfn.CONCAT(CHAR(96),CHAR(34)),$A434)),ISNUMBER(SEARCH(_xlfn.CONCAT(CHAR(34),CHAR(39)),$A434))),_xlfn.CONCAT("* REVIEW REQUIRED: compound-quote delimiter in Codebook Section on Sheet 1 row ",434,"; edit the input before running."),_xlfn.CONCAT("char ",TRIM($B434),"[doc_section] ",CHAR(96),CHAR(34),SUBSTITUTE(SUBSTITUTE(SUBSTITUTE(SUBSTITUTE(SUBSTITUTE(SUBSTITUTE($A434,CHAR(13)," "),CHAR(10)," "),CHAR(9)," "),CHAR(92),_xlfn.CONCAT(CHAR(92),CHAR(92))),"$",_xlfn.CONCAT(CHAR(92),"$")),CHAR(96),_xlfn.CONCAT(CHAR(92),CHAR(96))),CHAR(34),CHAR(39))))</f>
        <v/>
      </c>
      <c r="M434" s="5" t="str">
        <f>IF(OR(TRIM($B434)="",$C434=""),"",IF(IFERROR(MATCH(TRIM($C434),{"Quantitative","Continuous","Discrete","Categorical","Nominal","Ordinal","Identifier"},0),0)=0,_xlfn.CONCAT("* REVIEW REQUIRED: invalid Variable Type on Sheet 1 row ",434,"."),_xlfn.CONCAT("char ",TRIM($B434),"[doc_vartype] ",CHAR(96),CHAR(34),SUBSTITUTE(SUBSTITUTE(SUBSTITUTE(SUBSTITUTE(SUBSTITUTE(SUBSTITUTE(LOWER(TRIM($C434)),CHAR(13)," "),CHAR(10)," "),CHAR(9)," "),CHAR(92),_xlfn.CONCAT(CHAR(92),CHAR(92))),"$",_xlfn.CONCAT(CHAR(92),"$")),CHAR(96),_xlfn.CONCAT(CHAR(92),CHAR(96))),CHAR(34),CHAR(39))))</f>
        <v/>
      </c>
      <c r="N434" s="5" t="str">
        <f>IF(OR(TRIM($B434)="",$D434=""),"",IF(OR(ISNUMBER(SEARCH(_xlfn.CONCAT(CHAR(96),CHAR(34)),$D434)),ISNUMBER(SEARCH(_xlfn.CONCAT(CHAR(34),CHAR(39)),$D434))),_xlfn.CONCAT("* REVIEW REQUIRED: compound-quote delimiter in Item Number on Sheet 1 row ",434,"; edit the input before running."),_xlfn.CONCAT("char ",TRIM($B434),"[doc_itemnum] ",CHAR(96),CHAR(34),SUBSTITUTE(SUBSTITUTE(SUBSTITUTE(SUBSTITUTE(SUBSTITUTE(SUBSTITUTE($D434,CHAR(13)," "),CHAR(10)," "),CHAR(9)," "),CHAR(92),_xlfn.CONCAT(CHAR(92),CHAR(92))),"$",_xlfn.CONCAT(CHAR(92),"$")),CHAR(96),_xlfn.CONCAT(CHAR(92),CHAR(96))),CHAR(34),CHAR(39))))</f>
        <v/>
      </c>
      <c r="O434" s="5" t="str">
        <f>IF(OR(TRIM($B434)="",$E434=""),"",IF(OR(ISNUMBER(SEARCH(_xlfn.CONCAT(CHAR(96),CHAR(34)),$E434)),ISNUMBER(SEARCH(_xlfn.CONCAT(CHAR(34),CHAR(39)),$E434))),_xlfn.CONCAT("* REVIEW REQUIRED: compound-quote delimiter in Question Wording on Sheet 1 row ",434,"; edit the input before running."),_xlfn.CONCAT("char ",TRIM($B434),"[doc_question] ",CHAR(96),CHAR(34),SUBSTITUTE(SUBSTITUTE(SUBSTITUTE(SUBSTITUTE(SUBSTITUTE(SUBSTITUTE($E434,CHAR(13)," "),CHAR(10)," "),CHAR(9)," "),CHAR(92),_xlfn.CONCAT(CHAR(92),CHAR(92))),"$",_xlfn.CONCAT(CHAR(92),"$")),CHAR(96),_xlfn.CONCAT(CHAR(92),CHAR(96))),CHAR(34),CHAR(39))))</f>
        <v/>
      </c>
      <c r="P434" s="5" t="str">
        <f>IF(OR(TRIM($B434)="",$F434=""),"",IF(OR(ISNUMBER(SEARCH(_xlfn.CONCAT(CHAR(96),CHAR(34)),$F434)),ISNUMBER(SEARCH(_xlfn.CONCAT(CHAR(34),CHAR(39)),$F434))),_xlfn.CONCAT("* REVIEW REQUIRED: compound-quote delimiter in Units on Sheet 1 row ",434,"; edit the input before running."),_xlfn.CONCAT("char ",TRIM($B434),"[doc_units] ",CHAR(96),CHAR(34),SUBSTITUTE(SUBSTITUTE(SUBSTITUTE(SUBSTITUTE(SUBSTITUTE(SUBSTITUTE($F434,CHAR(13)," "),CHAR(10)," "),CHAR(9)," "),CHAR(92),_xlfn.CONCAT(CHAR(92),CHAR(92))),"$",_xlfn.CONCAT(CHAR(92),"$")),CHAR(96),_xlfn.CONCAT(CHAR(92),CHAR(96))),CHAR(34),CHAR(39))))</f>
        <v/>
      </c>
      <c r="Q434" s="5" t="str">
        <f>IF(OR(TRIM($B434)="",$G434=""),"",IF(OR(ISNUMBER(SEARCH(_xlfn.CONCAT(CHAR(96),CHAR(34)),$G434)),ISNUMBER(SEARCH(_xlfn.CONCAT(CHAR(34),CHAR(39)),$G434))),_xlfn.CONCAT("* REVIEW REQUIRED: compound-quote delimiter in Universe on Sheet 1 row ",434,"; edit the input before running."),_xlfn.CONCAT("char ",TRIM($B434),"[doc_universe] ",CHAR(96),CHAR(34),SUBSTITUTE(SUBSTITUTE(SUBSTITUTE(SUBSTITUTE(SUBSTITUTE(SUBSTITUTE($G434,CHAR(13)," "),CHAR(10)," "),CHAR(9)," "),CHAR(92),_xlfn.CONCAT(CHAR(92),CHAR(92))),"$",_xlfn.CONCAT(CHAR(92),"$")),CHAR(96),_xlfn.CONCAT(CHAR(92),CHAR(96))),CHAR(34),CHAR(39))))</f>
        <v/>
      </c>
      <c r="R434" s="5" t="str">
        <f>IF(OR(TRIM($B434)="",$H434=""),"",IF(OR(ISNUMBER(SEARCH(_xlfn.CONCAT(CHAR(96),CHAR(34)),$H434)),ISNUMBER(SEARCH(_xlfn.CONCAT(CHAR(34),CHAR(39)),$H434))),_xlfn.CONCAT("* REVIEW REQUIRED: compound-quote delimiter in Source on Sheet 1 row ",434,"; edit the input before running."),_xlfn.CONCAT("char ",TRIM($B434),"[doc_source] ",CHAR(96),CHAR(34),SUBSTITUTE(SUBSTITUTE(SUBSTITUTE(SUBSTITUTE(SUBSTITUTE(SUBSTITUTE($H434,CHAR(13)," "),CHAR(10)," "),CHAR(9)," "),CHAR(92),_xlfn.CONCAT(CHAR(92),CHAR(92))),"$",_xlfn.CONCAT(CHAR(92),"$")),CHAR(96),_xlfn.CONCAT(CHAR(92),CHAR(96))),CHAR(34),CHAR(39))))</f>
        <v/>
      </c>
      <c r="S434" s="5" t="str">
        <f>IF(OR(TRIM($B434)="",$I434=""),"",IF(OR(ISNUMBER(SEARCH(_xlfn.CONCAT(CHAR(96),CHAR(34)),$I434)),ISNUMBER(SEARCH(_xlfn.CONCAT(CHAR(34),CHAR(39)),$I434))),_xlfn.CONCAT("* REVIEW REQUIRED: compound-quote delimiter in Derivation on Sheet 1 row ",434,"; edit the input before running."),_xlfn.CONCAT("char ",TRIM($B434),"[doc_derivation] ",CHAR(96),CHAR(34),SUBSTITUTE(SUBSTITUTE(SUBSTITUTE(SUBSTITUTE(SUBSTITUTE(SUBSTITUTE($I434,CHAR(13)," "),CHAR(10)," "),CHAR(9)," "),CHAR(92),_xlfn.CONCAT(CHAR(92),CHAR(92))),"$",_xlfn.CONCAT(CHAR(92),"$")),CHAR(96),_xlfn.CONCAT(CHAR(92),CHAR(96))),CHAR(34),CHAR(39))))</f>
        <v/>
      </c>
      <c r="T434" s="5" t="str">
        <f>IF(OR(TRIM($B434)="",$J434=""),"",IF(OR(ISNUMBER(SEARCH(_xlfn.CONCAT(CHAR(96),CHAR(34)),$J434)),ISNUMBER(SEARCH(_xlfn.CONCAT(CHAR(34),CHAR(39)),$J434))),_xlfn.CONCAT("* REVIEW REQUIRED: compound-quote delimiter in Notes on Sheet 1 row ",434,"; edit the input before running."),_xlfn.CONCAT("char ",TRIM($B434),"[doc_notes] ",CHAR(96),CHAR(34),SUBSTITUTE(SUBSTITUTE(SUBSTITUTE(SUBSTITUTE(SUBSTITUTE(SUBSTITUTE($J434,CHAR(13)," "),CHAR(10)," "),CHAR(9)," "),CHAR(92),_xlfn.CONCAT(CHAR(92),CHAR(92))),"$",_xlfn.CONCAT(CHAR(92),"$")),CHAR(96),_xlfn.CONCAT(CHAR(92),CHAR(96))),CHAR(34),CHAR(39))))</f>
        <v/>
      </c>
      <c r="U434" s="5">
        <f t="shared" si="13"/>
        <v>0</v>
      </c>
    </row>
    <row r="435" spans="3:21" ht="30" customHeight="1" x14ac:dyDescent="0.2">
      <c r="C435" s="4"/>
      <c r="K435" s="5">
        <f t="shared" si="12"/>
        <v>0</v>
      </c>
      <c r="L435" s="5" t="str">
        <f>IF(OR(TRIM($B435)="",$A435=""),"",IF(OR(ISNUMBER(SEARCH(_xlfn.CONCAT(CHAR(96),CHAR(34)),$A435)),ISNUMBER(SEARCH(_xlfn.CONCAT(CHAR(34),CHAR(39)),$A435))),_xlfn.CONCAT("* REVIEW REQUIRED: compound-quote delimiter in Codebook Section on Sheet 1 row ",435,"; edit the input before running."),_xlfn.CONCAT("char ",TRIM($B435),"[doc_section] ",CHAR(96),CHAR(34),SUBSTITUTE(SUBSTITUTE(SUBSTITUTE(SUBSTITUTE(SUBSTITUTE(SUBSTITUTE($A435,CHAR(13)," "),CHAR(10)," "),CHAR(9)," "),CHAR(92),_xlfn.CONCAT(CHAR(92),CHAR(92))),"$",_xlfn.CONCAT(CHAR(92),"$")),CHAR(96),_xlfn.CONCAT(CHAR(92),CHAR(96))),CHAR(34),CHAR(39))))</f>
        <v/>
      </c>
      <c r="M435" s="5" t="str">
        <f>IF(OR(TRIM($B435)="",$C435=""),"",IF(IFERROR(MATCH(TRIM($C435),{"Quantitative","Continuous","Discrete","Categorical","Nominal","Ordinal","Identifier"},0),0)=0,_xlfn.CONCAT("* REVIEW REQUIRED: invalid Variable Type on Sheet 1 row ",435,"."),_xlfn.CONCAT("char ",TRIM($B435),"[doc_vartype] ",CHAR(96),CHAR(34),SUBSTITUTE(SUBSTITUTE(SUBSTITUTE(SUBSTITUTE(SUBSTITUTE(SUBSTITUTE(LOWER(TRIM($C435)),CHAR(13)," "),CHAR(10)," "),CHAR(9)," "),CHAR(92),_xlfn.CONCAT(CHAR(92),CHAR(92))),"$",_xlfn.CONCAT(CHAR(92),"$")),CHAR(96),_xlfn.CONCAT(CHAR(92),CHAR(96))),CHAR(34),CHAR(39))))</f>
        <v/>
      </c>
      <c r="N435" s="5" t="str">
        <f>IF(OR(TRIM($B435)="",$D435=""),"",IF(OR(ISNUMBER(SEARCH(_xlfn.CONCAT(CHAR(96),CHAR(34)),$D435)),ISNUMBER(SEARCH(_xlfn.CONCAT(CHAR(34),CHAR(39)),$D435))),_xlfn.CONCAT("* REVIEW REQUIRED: compound-quote delimiter in Item Number on Sheet 1 row ",435,"; edit the input before running."),_xlfn.CONCAT("char ",TRIM($B435),"[doc_itemnum] ",CHAR(96),CHAR(34),SUBSTITUTE(SUBSTITUTE(SUBSTITUTE(SUBSTITUTE(SUBSTITUTE(SUBSTITUTE($D435,CHAR(13)," "),CHAR(10)," "),CHAR(9)," "),CHAR(92),_xlfn.CONCAT(CHAR(92),CHAR(92))),"$",_xlfn.CONCAT(CHAR(92),"$")),CHAR(96),_xlfn.CONCAT(CHAR(92),CHAR(96))),CHAR(34),CHAR(39))))</f>
        <v/>
      </c>
      <c r="O435" s="5" t="str">
        <f>IF(OR(TRIM($B435)="",$E435=""),"",IF(OR(ISNUMBER(SEARCH(_xlfn.CONCAT(CHAR(96),CHAR(34)),$E435)),ISNUMBER(SEARCH(_xlfn.CONCAT(CHAR(34),CHAR(39)),$E435))),_xlfn.CONCAT("* REVIEW REQUIRED: compound-quote delimiter in Question Wording on Sheet 1 row ",435,"; edit the input before running."),_xlfn.CONCAT("char ",TRIM($B435),"[doc_question] ",CHAR(96),CHAR(34),SUBSTITUTE(SUBSTITUTE(SUBSTITUTE(SUBSTITUTE(SUBSTITUTE(SUBSTITUTE($E435,CHAR(13)," "),CHAR(10)," "),CHAR(9)," "),CHAR(92),_xlfn.CONCAT(CHAR(92),CHAR(92))),"$",_xlfn.CONCAT(CHAR(92),"$")),CHAR(96),_xlfn.CONCAT(CHAR(92),CHAR(96))),CHAR(34),CHAR(39))))</f>
        <v/>
      </c>
      <c r="P435" s="5" t="str">
        <f>IF(OR(TRIM($B435)="",$F435=""),"",IF(OR(ISNUMBER(SEARCH(_xlfn.CONCAT(CHAR(96),CHAR(34)),$F435)),ISNUMBER(SEARCH(_xlfn.CONCAT(CHAR(34),CHAR(39)),$F435))),_xlfn.CONCAT("* REVIEW REQUIRED: compound-quote delimiter in Units on Sheet 1 row ",435,"; edit the input before running."),_xlfn.CONCAT("char ",TRIM($B435),"[doc_units] ",CHAR(96),CHAR(34),SUBSTITUTE(SUBSTITUTE(SUBSTITUTE(SUBSTITUTE(SUBSTITUTE(SUBSTITUTE($F435,CHAR(13)," "),CHAR(10)," "),CHAR(9)," "),CHAR(92),_xlfn.CONCAT(CHAR(92),CHAR(92))),"$",_xlfn.CONCAT(CHAR(92),"$")),CHAR(96),_xlfn.CONCAT(CHAR(92),CHAR(96))),CHAR(34),CHAR(39))))</f>
        <v/>
      </c>
      <c r="Q435" s="5" t="str">
        <f>IF(OR(TRIM($B435)="",$G435=""),"",IF(OR(ISNUMBER(SEARCH(_xlfn.CONCAT(CHAR(96),CHAR(34)),$G435)),ISNUMBER(SEARCH(_xlfn.CONCAT(CHAR(34),CHAR(39)),$G435))),_xlfn.CONCAT("* REVIEW REQUIRED: compound-quote delimiter in Universe on Sheet 1 row ",435,"; edit the input before running."),_xlfn.CONCAT("char ",TRIM($B435),"[doc_universe] ",CHAR(96),CHAR(34),SUBSTITUTE(SUBSTITUTE(SUBSTITUTE(SUBSTITUTE(SUBSTITUTE(SUBSTITUTE($G435,CHAR(13)," "),CHAR(10)," "),CHAR(9)," "),CHAR(92),_xlfn.CONCAT(CHAR(92),CHAR(92))),"$",_xlfn.CONCAT(CHAR(92),"$")),CHAR(96),_xlfn.CONCAT(CHAR(92),CHAR(96))),CHAR(34),CHAR(39))))</f>
        <v/>
      </c>
      <c r="R435" s="5" t="str">
        <f>IF(OR(TRIM($B435)="",$H435=""),"",IF(OR(ISNUMBER(SEARCH(_xlfn.CONCAT(CHAR(96),CHAR(34)),$H435)),ISNUMBER(SEARCH(_xlfn.CONCAT(CHAR(34),CHAR(39)),$H435))),_xlfn.CONCAT("* REVIEW REQUIRED: compound-quote delimiter in Source on Sheet 1 row ",435,"; edit the input before running."),_xlfn.CONCAT("char ",TRIM($B435),"[doc_source] ",CHAR(96),CHAR(34),SUBSTITUTE(SUBSTITUTE(SUBSTITUTE(SUBSTITUTE(SUBSTITUTE(SUBSTITUTE($H435,CHAR(13)," "),CHAR(10)," "),CHAR(9)," "),CHAR(92),_xlfn.CONCAT(CHAR(92),CHAR(92))),"$",_xlfn.CONCAT(CHAR(92),"$")),CHAR(96),_xlfn.CONCAT(CHAR(92),CHAR(96))),CHAR(34),CHAR(39))))</f>
        <v/>
      </c>
      <c r="S435" s="5" t="str">
        <f>IF(OR(TRIM($B435)="",$I435=""),"",IF(OR(ISNUMBER(SEARCH(_xlfn.CONCAT(CHAR(96),CHAR(34)),$I435)),ISNUMBER(SEARCH(_xlfn.CONCAT(CHAR(34),CHAR(39)),$I435))),_xlfn.CONCAT("* REVIEW REQUIRED: compound-quote delimiter in Derivation on Sheet 1 row ",435,"; edit the input before running."),_xlfn.CONCAT("char ",TRIM($B435),"[doc_derivation] ",CHAR(96),CHAR(34),SUBSTITUTE(SUBSTITUTE(SUBSTITUTE(SUBSTITUTE(SUBSTITUTE(SUBSTITUTE($I435,CHAR(13)," "),CHAR(10)," "),CHAR(9)," "),CHAR(92),_xlfn.CONCAT(CHAR(92),CHAR(92))),"$",_xlfn.CONCAT(CHAR(92),"$")),CHAR(96),_xlfn.CONCAT(CHAR(92),CHAR(96))),CHAR(34),CHAR(39))))</f>
        <v/>
      </c>
      <c r="T435" s="5" t="str">
        <f>IF(OR(TRIM($B435)="",$J435=""),"",IF(OR(ISNUMBER(SEARCH(_xlfn.CONCAT(CHAR(96),CHAR(34)),$J435)),ISNUMBER(SEARCH(_xlfn.CONCAT(CHAR(34),CHAR(39)),$J435))),_xlfn.CONCAT("* REVIEW REQUIRED: compound-quote delimiter in Notes on Sheet 1 row ",435,"; edit the input before running."),_xlfn.CONCAT("char ",TRIM($B435),"[doc_notes] ",CHAR(96),CHAR(34),SUBSTITUTE(SUBSTITUTE(SUBSTITUTE(SUBSTITUTE(SUBSTITUTE(SUBSTITUTE($J435,CHAR(13)," "),CHAR(10)," "),CHAR(9)," "),CHAR(92),_xlfn.CONCAT(CHAR(92),CHAR(92))),"$",_xlfn.CONCAT(CHAR(92),"$")),CHAR(96),_xlfn.CONCAT(CHAR(92),CHAR(96))),CHAR(34),CHAR(39))))</f>
        <v/>
      </c>
      <c r="U435" s="5">
        <f t="shared" si="13"/>
        <v>0</v>
      </c>
    </row>
    <row r="436" spans="3:21" ht="30" customHeight="1" x14ac:dyDescent="0.2">
      <c r="C436" s="4"/>
      <c r="K436" s="5">
        <f t="shared" si="12"/>
        <v>0</v>
      </c>
      <c r="L436" s="5" t="str">
        <f>IF(OR(TRIM($B436)="",$A436=""),"",IF(OR(ISNUMBER(SEARCH(_xlfn.CONCAT(CHAR(96),CHAR(34)),$A436)),ISNUMBER(SEARCH(_xlfn.CONCAT(CHAR(34),CHAR(39)),$A436))),_xlfn.CONCAT("* REVIEW REQUIRED: compound-quote delimiter in Codebook Section on Sheet 1 row ",436,"; edit the input before running."),_xlfn.CONCAT("char ",TRIM($B436),"[doc_section] ",CHAR(96),CHAR(34),SUBSTITUTE(SUBSTITUTE(SUBSTITUTE(SUBSTITUTE(SUBSTITUTE(SUBSTITUTE($A436,CHAR(13)," "),CHAR(10)," "),CHAR(9)," "),CHAR(92),_xlfn.CONCAT(CHAR(92),CHAR(92))),"$",_xlfn.CONCAT(CHAR(92),"$")),CHAR(96),_xlfn.CONCAT(CHAR(92),CHAR(96))),CHAR(34),CHAR(39))))</f>
        <v/>
      </c>
      <c r="M436" s="5" t="str">
        <f>IF(OR(TRIM($B436)="",$C436=""),"",IF(IFERROR(MATCH(TRIM($C436),{"Quantitative","Continuous","Discrete","Categorical","Nominal","Ordinal","Identifier"},0),0)=0,_xlfn.CONCAT("* REVIEW REQUIRED: invalid Variable Type on Sheet 1 row ",436,"."),_xlfn.CONCAT("char ",TRIM($B436),"[doc_vartype] ",CHAR(96),CHAR(34),SUBSTITUTE(SUBSTITUTE(SUBSTITUTE(SUBSTITUTE(SUBSTITUTE(SUBSTITUTE(LOWER(TRIM($C436)),CHAR(13)," "),CHAR(10)," "),CHAR(9)," "),CHAR(92),_xlfn.CONCAT(CHAR(92),CHAR(92))),"$",_xlfn.CONCAT(CHAR(92),"$")),CHAR(96),_xlfn.CONCAT(CHAR(92),CHAR(96))),CHAR(34),CHAR(39))))</f>
        <v/>
      </c>
      <c r="N436" s="5" t="str">
        <f>IF(OR(TRIM($B436)="",$D436=""),"",IF(OR(ISNUMBER(SEARCH(_xlfn.CONCAT(CHAR(96),CHAR(34)),$D436)),ISNUMBER(SEARCH(_xlfn.CONCAT(CHAR(34),CHAR(39)),$D436))),_xlfn.CONCAT("* REVIEW REQUIRED: compound-quote delimiter in Item Number on Sheet 1 row ",436,"; edit the input before running."),_xlfn.CONCAT("char ",TRIM($B436),"[doc_itemnum] ",CHAR(96),CHAR(34),SUBSTITUTE(SUBSTITUTE(SUBSTITUTE(SUBSTITUTE(SUBSTITUTE(SUBSTITUTE($D436,CHAR(13)," "),CHAR(10)," "),CHAR(9)," "),CHAR(92),_xlfn.CONCAT(CHAR(92),CHAR(92))),"$",_xlfn.CONCAT(CHAR(92),"$")),CHAR(96),_xlfn.CONCAT(CHAR(92),CHAR(96))),CHAR(34),CHAR(39))))</f>
        <v/>
      </c>
      <c r="O436" s="5" t="str">
        <f>IF(OR(TRIM($B436)="",$E436=""),"",IF(OR(ISNUMBER(SEARCH(_xlfn.CONCAT(CHAR(96),CHAR(34)),$E436)),ISNUMBER(SEARCH(_xlfn.CONCAT(CHAR(34),CHAR(39)),$E436))),_xlfn.CONCAT("* REVIEW REQUIRED: compound-quote delimiter in Question Wording on Sheet 1 row ",436,"; edit the input before running."),_xlfn.CONCAT("char ",TRIM($B436),"[doc_question] ",CHAR(96),CHAR(34),SUBSTITUTE(SUBSTITUTE(SUBSTITUTE(SUBSTITUTE(SUBSTITUTE(SUBSTITUTE($E436,CHAR(13)," "),CHAR(10)," "),CHAR(9)," "),CHAR(92),_xlfn.CONCAT(CHAR(92),CHAR(92))),"$",_xlfn.CONCAT(CHAR(92),"$")),CHAR(96),_xlfn.CONCAT(CHAR(92),CHAR(96))),CHAR(34),CHAR(39))))</f>
        <v/>
      </c>
      <c r="P436" s="5" t="str">
        <f>IF(OR(TRIM($B436)="",$F436=""),"",IF(OR(ISNUMBER(SEARCH(_xlfn.CONCAT(CHAR(96),CHAR(34)),$F436)),ISNUMBER(SEARCH(_xlfn.CONCAT(CHAR(34),CHAR(39)),$F436))),_xlfn.CONCAT("* REVIEW REQUIRED: compound-quote delimiter in Units on Sheet 1 row ",436,"; edit the input before running."),_xlfn.CONCAT("char ",TRIM($B436),"[doc_units] ",CHAR(96),CHAR(34),SUBSTITUTE(SUBSTITUTE(SUBSTITUTE(SUBSTITUTE(SUBSTITUTE(SUBSTITUTE($F436,CHAR(13)," "),CHAR(10)," "),CHAR(9)," "),CHAR(92),_xlfn.CONCAT(CHAR(92),CHAR(92))),"$",_xlfn.CONCAT(CHAR(92),"$")),CHAR(96),_xlfn.CONCAT(CHAR(92),CHAR(96))),CHAR(34),CHAR(39))))</f>
        <v/>
      </c>
      <c r="Q436" s="5" t="str">
        <f>IF(OR(TRIM($B436)="",$G436=""),"",IF(OR(ISNUMBER(SEARCH(_xlfn.CONCAT(CHAR(96),CHAR(34)),$G436)),ISNUMBER(SEARCH(_xlfn.CONCAT(CHAR(34),CHAR(39)),$G436))),_xlfn.CONCAT("* REVIEW REQUIRED: compound-quote delimiter in Universe on Sheet 1 row ",436,"; edit the input before running."),_xlfn.CONCAT("char ",TRIM($B436),"[doc_universe] ",CHAR(96),CHAR(34),SUBSTITUTE(SUBSTITUTE(SUBSTITUTE(SUBSTITUTE(SUBSTITUTE(SUBSTITUTE($G436,CHAR(13)," "),CHAR(10)," "),CHAR(9)," "),CHAR(92),_xlfn.CONCAT(CHAR(92),CHAR(92))),"$",_xlfn.CONCAT(CHAR(92),"$")),CHAR(96),_xlfn.CONCAT(CHAR(92),CHAR(96))),CHAR(34),CHAR(39))))</f>
        <v/>
      </c>
      <c r="R436" s="5" t="str">
        <f>IF(OR(TRIM($B436)="",$H436=""),"",IF(OR(ISNUMBER(SEARCH(_xlfn.CONCAT(CHAR(96),CHAR(34)),$H436)),ISNUMBER(SEARCH(_xlfn.CONCAT(CHAR(34),CHAR(39)),$H436))),_xlfn.CONCAT("* REVIEW REQUIRED: compound-quote delimiter in Source on Sheet 1 row ",436,"; edit the input before running."),_xlfn.CONCAT("char ",TRIM($B436),"[doc_source] ",CHAR(96),CHAR(34),SUBSTITUTE(SUBSTITUTE(SUBSTITUTE(SUBSTITUTE(SUBSTITUTE(SUBSTITUTE($H436,CHAR(13)," "),CHAR(10)," "),CHAR(9)," "),CHAR(92),_xlfn.CONCAT(CHAR(92),CHAR(92))),"$",_xlfn.CONCAT(CHAR(92),"$")),CHAR(96),_xlfn.CONCAT(CHAR(92),CHAR(96))),CHAR(34),CHAR(39))))</f>
        <v/>
      </c>
      <c r="S436" s="5" t="str">
        <f>IF(OR(TRIM($B436)="",$I436=""),"",IF(OR(ISNUMBER(SEARCH(_xlfn.CONCAT(CHAR(96),CHAR(34)),$I436)),ISNUMBER(SEARCH(_xlfn.CONCAT(CHAR(34),CHAR(39)),$I436))),_xlfn.CONCAT("* REVIEW REQUIRED: compound-quote delimiter in Derivation on Sheet 1 row ",436,"; edit the input before running."),_xlfn.CONCAT("char ",TRIM($B436),"[doc_derivation] ",CHAR(96),CHAR(34),SUBSTITUTE(SUBSTITUTE(SUBSTITUTE(SUBSTITUTE(SUBSTITUTE(SUBSTITUTE($I436,CHAR(13)," "),CHAR(10)," "),CHAR(9)," "),CHAR(92),_xlfn.CONCAT(CHAR(92),CHAR(92))),"$",_xlfn.CONCAT(CHAR(92),"$")),CHAR(96),_xlfn.CONCAT(CHAR(92),CHAR(96))),CHAR(34),CHAR(39))))</f>
        <v/>
      </c>
      <c r="T436" s="5" t="str">
        <f>IF(OR(TRIM($B436)="",$J436=""),"",IF(OR(ISNUMBER(SEARCH(_xlfn.CONCAT(CHAR(96),CHAR(34)),$J436)),ISNUMBER(SEARCH(_xlfn.CONCAT(CHAR(34),CHAR(39)),$J436))),_xlfn.CONCAT("* REVIEW REQUIRED: compound-quote delimiter in Notes on Sheet 1 row ",436,"; edit the input before running."),_xlfn.CONCAT("char ",TRIM($B436),"[doc_notes] ",CHAR(96),CHAR(34),SUBSTITUTE(SUBSTITUTE(SUBSTITUTE(SUBSTITUTE(SUBSTITUTE(SUBSTITUTE($J436,CHAR(13)," "),CHAR(10)," "),CHAR(9)," "),CHAR(92),_xlfn.CONCAT(CHAR(92),CHAR(92))),"$",_xlfn.CONCAT(CHAR(92),"$")),CHAR(96),_xlfn.CONCAT(CHAR(92),CHAR(96))),CHAR(34),CHAR(39))))</f>
        <v/>
      </c>
      <c r="U436" s="5">
        <f t="shared" si="13"/>
        <v>0</v>
      </c>
    </row>
    <row r="437" spans="3:21" ht="30" customHeight="1" x14ac:dyDescent="0.2">
      <c r="C437" s="4"/>
      <c r="K437" s="5">
        <f t="shared" si="12"/>
        <v>0</v>
      </c>
      <c r="L437" s="5" t="str">
        <f>IF(OR(TRIM($B437)="",$A437=""),"",IF(OR(ISNUMBER(SEARCH(_xlfn.CONCAT(CHAR(96),CHAR(34)),$A437)),ISNUMBER(SEARCH(_xlfn.CONCAT(CHAR(34),CHAR(39)),$A437))),_xlfn.CONCAT("* REVIEW REQUIRED: compound-quote delimiter in Codebook Section on Sheet 1 row ",437,"; edit the input before running."),_xlfn.CONCAT("char ",TRIM($B437),"[doc_section] ",CHAR(96),CHAR(34),SUBSTITUTE(SUBSTITUTE(SUBSTITUTE(SUBSTITUTE(SUBSTITUTE(SUBSTITUTE($A437,CHAR(13)," "),CHAR(10)," "),CHAR(9)," "),CHAR(92),_xlfn.CONCAT(CHAR(92),CHAR(92))),"$",_xlfn.CONCAT(CHAR(92),"$")),CHAR(96),_xlfn.CONCAT(CHAR(92),CHAR(96))),CHAR(34),CHAR(39))))</f>
        <v/>
      </c>
      <c r="M437" s="5" t="str">
        <f>IF(OR(TRIM($B437)="",$C437=""),"",IF(IFERROR(MATCH(TRIM($C437),{"Quantitative","Continuous","Discrete","Categorical","Nominal","Ordinal","Identifier"},0),0)=0,_xlfn.CONCAT("* REVIEW REQUIRED: invalid Variable Type on Sheet 1 row ",437,"."),_xlfn.CONCAT("char ",TRIM($B437),"[doc_vartype] ",CHAR(96),CHAR(34),SUBSTITUTE(SUBSTITUTE(SUBSTITUTE(SUBSTITUTE(SUBSTITUTE(SUBSTITUTE(LOWER(TRIM($C437)),CHAR(13)," "),CHAR(10)," "),CHAR(9)," "),CHAR(92),_xlfn.CONCAT(CHAR(92),CHAR(92))),"$",_xlfn.CONCAT(CHAR(92),"$")),CHAR(96),_xlfn.CONCAT(CHAR(92),CHAR(96))),CHAR(34),CHAR(39))))</f>
        <v/>
      </c>
      <c r="N437" s="5" t="str">
        <f>IF(OR(TRIM($B437)="",$D437=""),"",IF(OR(ISNUMBER(SEARCH(_xlfn.CONCAT(CHAR(96),CHAR(34)),$D437)),ISNUMBER(SEARCH(_xlfn.CONCAT(CHAR(34),CHAR(39)),$D437))),_xlfn.CONCAT("* REVIEW REQUIRED: compound-quote delimiter in Item Number on Sheet 1 row ",437,"; edit the input before running."),_xlfn.CONCAT("char ",TRIM($B437),"[doc_itemnum] ",CHAR(96),CHAR(34),SUBSTITUTE(SUBSTITUTE(SUBSTITUTE(SUBSTITUTE(SUBSTITUTE(SUBSTITUTE($D437,CHAR(13)," "),CHAR(10)," "),CHAR(9)," "),CHAR(92),_xlfn.CONCAT(CHAR(92),CHAR(92))),"$",_xlfn.CONCAT(CHAR(92),"$")),CHAR(96),_xlfn.CONCAT(CHAR(92),CHAR(96))),CHAR(34),CHAR(39))))</f>
        <v/>
      </c>
      <c r="O437" s="5" t="str">
        <f>IF(OR(TRIM($B437)="",$E437=""),"",IF(OR(ISNUMBER(SEARCH(_xlfn.CONCAT(CHAR(96),CHAR(34)),$E437)),ISNUMBER(SEARCH(_xlfn.CONCAT(CHAR(34),CHAR(39)),$E437))),_xlfn.CONCAT("* REVIEW REQUIRED: compound-quote delimiter in Question Wording on Sheet 1 row ",437,"; edit the input before running."),_xlfn.CONCAT("char ",TRIM($B437),"[doc_question] ",CHAR(96),CHAR(34),SUBSTITUTE(SUBSTITUTE(SUBSTITUTE(SUBSTITUTE(SUBSTITUTE(SUBSTITUTE($E437,CHAR(13)," "),CHAR(10)," "),CHAR(9)," "),CHAR(92),_xlfn.CONCAT(CHAR(92),CHAR(92))),"$",_xlfn.CONCAT(CHAR(92),"$")),CHAR(96),_xlfn.CONCAT(CHAR(92),CHAR(96))),CHAR(34),CHAR(39))))</f>
        <v/>
      </c>
      <c r="P437" s="5" t="str">
        <f>IF(OR(TRIM($B437)="",$F437=""),"",IF(OR(ISNUMBER(SEARCH(_xlfn.CONCAT(CHAR(96),CHAR(34)),$F437)),ISNUMBER(SEARCH(_xlfn.CONCAT(CHAR(34),CHAR(39)),$F437))),_xlfn.CONCAT("* REVIEW REQUIRED: compound-quote delimiter in Units on Sheet 1 row ",437,"; edit the input before running."),_xlfn.CONCAT("char ",TRIM($B437),"[doc_units] ",CHAR(96),CHAR(34),SUBSTITUTE(SUBSTITUTE(SUBSTITUTE(SUBSTITUTE(SUBSTITUTE(SUBSTITUTE($F437,CHAR(13)," "),CHAR(10)," "),CHAR(9)," "),CHAR(92),_xlfn.CONCAT(CHAR(92),CHAR(92))),"$",_xlfn.CONCAT(CHAR(92),"$")),CHAR(96),_xlfn.CONCAT(CHAR(92),CHAR(96))),CHAR(34),CHAR(39))))</f>
        <v/>
      </c>
      <c r="Q437" s="5" t="str">
        <f>IF(OR(TRIM($B437)="",$G437=""),"",IF(OR(ISNUMBER(SEARCH(_xlfn.CONCAT(CHAR(96),CHAR(34)),$G437)),ISNUMBER(SEARCH(_xlfn.CONCAT(CHAR(34),CHAR(39)),$G437))),_xlfn.CONCAT("* REVIEW REQUIRED: compound-quote delimiter in Universe on Sheet 1 row ",437,"; edit the input before running."),_xlfn.CONCAT("char ",TRIM($B437),"[doc_universe] ",CHAR(96),CHAR(34),SUBSTITUTE(SUBSTITUTE(SUBSTITUTE(SUBSTITUTE(SUBSTITUTE(SUBSTITUTE($G437,CHAR(13)," "),CHAR(10)," "),CHAR(9)," "),CHAR(92),_xlfn.CONCAT(CHAR(92),CHAR(92))),"$",_xlfn.CONCAT(CHAR(92),"$")),CHAR(96),_xlfn.CONCAT(CHAR(92),CHAR(96))),CHAR(34),CHAR(39))))</f>
        <v/>
      </c>
      <c r="R437" s="5" t="str">
        <f>IF(OR(TRIM($B437)="",$H437=""),"",IF(OR(ISNUMBER(SEARCH(_xlfn.CONCAT(CHAR(96),CHAR(34)),$H437)),ISNUMBER(SEARCH(_xlfn.CONCAT(CHAR(34),CHAR(39)),$H437))),_xlfn.CONCAT("* REVIEW REQUIRED: compound-quote delimiter in Source on Sheet 1 row ",437,"; edit the input before running."),_xlfn.CONCAT("char ",TRIM($B437),"[doc_source] ",CHAR(96),CHAR(34),SUBSTITUTE(SUBSTITUTE(SUBSTITUTE(SUBSTITUTE(SUBSTITUTE(SUBSTITUTE($H437,CHAR(13)," "),CHAR(10)," "),CHAR(9)," "),CHAR(92),_xlfn.CONCAT(CHAR(92),CHAR(92))),"$",_xlfn.CONCAT(CHAR(92),"$")),CHAR(96),_xlfn.CONCAT(CHAR(92),CHAR(96))),CHAR(34),CHAR(39))))</f>
        <v/>
      </c>
      <c r="S437" s="5" t="str">
        <f>IF(OR(TRIM($B437)="",$I437=""),"",IF(OR(ISNUMBER(SEARCH(_xlfn.CONCAT(CHAR(96),CHAR(34)),$I437)),ISNUMBER(SEARCH(_xlfn.CONCAT(CHAR(34),CHAR(39)),$I437))),_xlfn.CONCAT("* REVIEW REQUIRED: compound-quote delimiter in Derivation on Sheet 1 row ",437,"; edit the input before running."),_xlfn.CONCAT("char ",TRIM($B437),"[doc_derivation] ",CHAR(96),CHAR(34),SUBSTITUTE(SUBSTITUTE(SUBSTITUTE(SUBSTITUTE(SUBSTITUTE(SUBSTITUTE($I437,CHAR(13)," "),CHAR(10)," "),CHAR(9)," "),CHAR(92),_xlfn.CONCAT(CHAR(92),CHAR(92))),"$",_xlfn.CONCAT(CHAR(92),"$")),CHAR(96),_xlfn.CONCAT(CHAR(92),CHAR(96))),CHAR(34),CHAR(39))))</f>
        <v/>
      </c>
      <c r="T437" s="5" t="str">
        <f>IF(OR(TRIM($B437)="",$J437=""),"",IF(OR(ISNUMBER(SEARCH(_xlfn.CONCAT(CHAR(96),CHAR(34)),$J437)),ISNUMBER(SEARCH(_xlfn.CONCAT(CHAR(34),CHAR(39)),$J437))),_xlfn.CONCAT("* REVIEW REQUIRED: compound-quote delimiter in Notes on Sheet 1 row ",437,"; edit the input before running."),_xlfn.CONCAT("char ",TRIM($B437),"[doc_notes] ",CHAR(96),CHAR(34),SUBSTITUTE(SUBSTITUTE(SUBSTITUTE(SUBSTITUTE(SUBSTITUTE(SUBSTITUTE($J437,CHAR(13)," "),CHAR(10)," "),CHAR(9)," "),CHAR(92),_xlfn.CONCAT(CHAR(92),CHAR(92))),"$",_xlfn.CONCAT(CHAR(92),"$")),CHAR(96),_xlfn.CONCAT(CHAR(92),CHAR(96))),CHAR(34),CHAR(39))))</f>
        <v/>
      </c>
      <c r="U437" s="5">
        <f t="shared" si="13"/>
        <v>0</v>
      </c>
    </row>
    <row r="438" spans="3:21" ht="30" customHeight="1" x14ac:dyDescent="0.2">
      <c r="C438" s="4"/>
      <c r="K438" s="5">
        <f t="shared" si="12"/>
        <v>0</v>
      </c>
      <c r="L438" s="5" t="str">
        <f>IF(OR(TRIM($B438)="",$A438=""),"",IF(OR(ISNUMBER(SEARCH(_xlfn.CONCAT(CHAR(96),CHAR(34)),$A438)),ISNUMBER(SEARCH(_xlfn.CONCAT(CHAR(34),CHAR(39)),$A438))),_xlfn.CONCAT("* REVIEW REQUIRED: compound-quote delimiter in Codebook Section on Sheet 1 row ",438,"; edit the input before running."),_xlfn.CONCAT("char ",TRIM($B438),"[doc_section] ",CHAR(96),CHAR(34),SUBSTITUTE(SUBSTITUTE(SUBSTITUTE(SUBSTITUTE(SUBSTITUTE(SUBSTITUTE($A438,CHAR(13)," "),CHAR(10)," "),CHAR(9)," "),CHAR(92),_xlfn.CONCAT(CHAR(92),CHAR(92))),"$",_xlfn.CONCAT(CHAR(92),"$")),CHAR(96),_xlfn.CONCAT(CHAR(92),CHAR(96))),CHAR(34),CHAR(39))))</f>
        <v/>
      </c>
      <c r="M438" s="5" t="str">
        <f>IF(OR(TRIM($B438)="",$C438=""),"",IF(IFERROR(MATCH(TRIM($C438),{"Quantitative","Continuous","Discrete","Categorical","Nominal","Ordinal","Identifier"},0),0)=0,_xlfn.CONCAT("* REVIEW REQUIRED: invalid Variable Type on Sheet 1 row ",438,"."),_xlfn.CONCAT("char ",TRIM($B438),"[doc_vartype] ",CHAR(96),CHAR(34),SUBSTITUTE(SUBSTITUTE(SUBSTITUTE(SUBSTITUTE(SUBSTITUTE(SUBSTITUTE(LOWER(TRIM($C438)),CHAR(13)," "),CHAR(10)," "),CHAR(9)," "),CHAR(92),_xlfn.CONCAT(CHAR(92),CHAR(92))),"$",_xlfn.CONCAT(CHAR(92),"$")),CHAR(96),_xlfn.CONCAT(CHAR(92),CHAR(96))),CHAR(34),CHAR(39))))</f>
        <v/>
      </c>
      <c r="N438" s="5" t="str">
        <f>IF(OR(TRIM($B438)="",$D438=""),"",IF(OR(ISNUMBER(SEARCH(_xlfn.CONCAT(CHAR(96),CHAR(34)),$D438)),ISNUMBER(SEARCH(_xlfn.CONCAT(CHAR(34),CHAR(39)),$D438))),_xlfn.CONCAT("* REVIEW REQUIRED: compound-quote delimiter in Item Number on Sheet 1 row ",438,"; edit the input before running."),_xlfn.CONCAT("char ",TRIM($B438),"[doc_itemnum] ",CHAR(96),CHAR(34),SUBSTITUTE(SUBSTITUTE(SUBSTITUTE(SUBSTITUTE(SUBSTITUTE(SUBSTITUTE($D438,CHAR(13)," "),CHAR(10)," "),CHAR(9)," "),CHAR(92),_xlfn.CONCAT(CHAR(92),CHAR(92))),"$",_xlfn.CONCAT(CHAR(92),"$")),CHAR(96),_xlfn.CONCAT(CHAR(92),CHAR(96))),CHAR(34),CHAR(39))))</f>
        <v/>
      </c>
      <c r="O438" s="5" t="str">
        <f>IF(OR(TRIM($B438)="",$E438=""),"",IF(OR(ISNUMBER(SEARCH(_xlfn.CONCAT(CHAR(96),CHAR(34)),$E438)),ISNUMBER(SEARCH(_xlfn.CONCAT(CHAR(34),CHAR(39)),$E438))),_xlfn.CONCAT("* REVIEW REQUIRED: compound-quote delimiter in Question Wording on Sheet 1 row ",438,"; edit the input before running."),_xlfn.CONCAT("char ",TRIM($B438),"[doc_question] ",CHAR(96),CHAR(34),SUBSTITUTE(SUBSTITUTE(SUBSTITUTE(SUBSTITUTE(SUBSTITUTE(SUBSTITUTE($E438,CHAR(13)," "),CHAR(10)," "),CHAR(9)," "),CHAR(92),_xlfn.CONCAT(CHAR(92),CHAR(92))),"$",_xlfn.CONCAT(CHAR(92),"$")),CHAR(96),_xlfn.CONCAT(CHAR(92),CHAR(96))),CHAR(34),CHAR(39))))</f>
        <v/>
      </c>
      <c r="P438" s="5" t="str">
        <f>IF(OR(TRIM($B438)="",$F438=""),"",IF(OR(ISNUMBER(SEARCH(_xlfn.CONCAT(CHAR(96),CHAR(34)),$F438)),ISNUMBER(SEARCH(_xlfn.CONCAT(CHAR(34),CHAR(39)),$F438))),_xlfn.CONCAT("* REVIEW REQUIRED: compound-quote delimiter in Units on Sheet 1 row ",438,"; edit the input before running."),_xlfn.CONCAT("char ",TRIM($B438),"[doc_units] ",CHAR(96),CHAR(34),SUBSTITUTE(SUBSTITUTE(SUBSTITUTE(SUBSTITUTE(SUBSTITUTE(SUBSTITUTE($F438,CHAR(13)," "),CHAR(10)," "),CHAR(9)," "),CHAR(92),_xlfn.CONCAT(CHAR(92),CHAR(92))),"$",_xlfn.CONCAT(CHAR(92),"$")),CHAR(96),_xlfn.CONCAT(CHAR(92),CHAR(96))),CHAR(34),CHAR(39))))</f>
        <v/>
      </c>
      <c r="Q438" s="5" t="str">
        <f>IF(OR(TRIM($B438)="",$G438=""),"",IF(OR(ISNUMBER(SEARCH(_xlfn.CONCAT(CHAR(96),CHAR(34)),$G438)),ISNUMBER(SEARCH(_xlfn.CONCAT(CHAR(34),CHAR(39)),$G438))),_xlfn.CONCAT("* REVIEW REQUIRED: compound-quote delimiter in Universe on Sheet 1 row ",438,"; edit the input before running."),_xlfn.CONCAT("char ",TRIM($B438),"[doc_universe] ",CHAR(96),CHAR(34),SUBSTITUTE(SUBSTITUTE(SUBSTITUTE(SUBSTITUTE(SUBSTITUTE(SUBSTITUTE($G438,CHAR(13)," "),CHAR(10)," "),CHAR(9)," "),CHAR(92),_xlfn.CONCAT(CHAR(92),CHAR(92))),"$",_xlfn.CONCAT(CHAR(92),"$")),CHAR(96),_xlfn.CONCAT(CHAR(92),CHAR(96))),CHAR(34),CHAR(39))))</f>
        <v/>
      </c>
      <c r="R438" s="5" t="str">
        <f>IF(OR(TRIM($B438)="",$H438=""),"",IF(OR(ISNUMBER(SEARCH(_xlfn.CONCAT(CHAR(96),CHAR(34)),$H438)),ISNUMBER(SEARCH(_xlfn.CONCAT(CHAR(34),CHAR(39)),$H438))),_xlfn.CONCAT("* REVIEW REQUIRED: compound-quote delimiter in Source on Sheet 1 row ",438,"; edit the input before running."),_xlfn.CONCAT("char ",TRIM($B438),"[doc_source] ",CHAR(96),CHAR(34),SUBSTITUTE(SUBSTITUTE(SUBSTITUTE(SUBSTITUTE(SUBSTITUTE(SUBSTITUTE($H438,CHAR(13)," "),CHAR(10)," "),CHAR(9)," "),CHAR(92),_xlfn.CONCAT(CHAR(92),CHAR(92))),"$",_xlfn.CONCAT(CHAR(92),"$")),CHAR(96),_xlfn.CONCAT(CHAR(92),CHAR(96))),CHAR(34),CHAR(39))))</f>
        <v/>
      </c>
      <c r="S438" s="5" t="str">
        <f>IF(OR(TRIM($B438)="",$I438=""),"",IF(OR(ISNUMBER(SEARCH(_xlfn.CONCAT(CHAR(96),CHAR(34)),$I438)),ISNUMBER(SEARCH(_xlfn.CONCAT(CHAR(34),CHAR(39)),$I438))),_xlfn.CONCAT("* REVIEW REQUIRED: compound-quote delimiter in Derivation on Sheet 1 row ",438,"; edit the input before running."),_xlfn.CONCAT("char ",TRIM($B438),"[doc_derivation] ",CHAR(96),CHAR(34),SUBSTITUTE(SUBSTITUTE(SUBSTITUTE(SUBSTITUTE(SUBSTITUTE(SUBSTITUTE($I438,CHAR(13)," "),CHAR(10)," "),CHAR(9)," "),CHAR(92),_xlfn.CONCAT(CHAR(92),CHAR(92))),"$",_xlfn.CONCAT(CHAR(92),"$")),CHAR(96),_xlfn.CONCAT(CHAR(92),CHAR(96))),CHAR(34),CHAR(39))))</f>
        <v/>
      </c>
      <c r="T438" s="5" t="str">
        <f>IF(OR(TRIM($B438)="",$J438=""),"",IF(OR(ISNUMBER(SEARCH(_xlfn.CONCAT(CHAR(96),CHAR(34)),$J438)),ISNUMBER(SEARCH(_xlfn.CONCAT(CHAR(34),CHAR(39)),$J438))),_xlfn.CONCAT("* REVIEW REQUIRED: compound-quote delimiter in Notes on Sheet 1 row ",438,"; edit the input before running."),_xlfn.CONCAT("char ",TRIM($B438),"[doc_notes] ",CHAR(96),CHAR(34),SUBSTITUTE(SUBSTITUTE(SUBSTITUTE(SUBSTITUTE(SUBSTITUTE(SUBSTITUTE($J438,CHAR(13)," "),CHAR(10)," "),CHAR(9)," "),CHAR(92),_xlfn.CONCAT(CHAR(92),CHAR(92))),"$",_xlfn.CONCAT(CHAR(92),"$")),CHAR(96),_xlfn.CONCAT(CHAR(92),CHAR(96))),CHAR(34),CHAR(39))))</f>
        <v/>
      </c>
      <c r="U438" s="5">
        <f t="shared" si="13"/>
        <v>0</v>
      </c>
    </row>
    <row r="439" spans="3:21" ht="30" customHeight="1" x14ac:dyDescent="0.2">
      <c r="C439" s="4"/>
      <c r="K439" s="5">
        <f t="shared" si="12"/>
        <v>0</v>
      </c>
      <c r="L439" s="5" t="str">
        <f>IF(OR(TRIM($B439)="",$A439=""),"",IF(OR(ISNUMBER(SEARCH(_xlfn.CONCAT(CHAR(96),CHAR(34)),$A439)),ISNUMBER(SEARCH(_xlfn.CONCAT(CHAR(34),CHAR(39)),$A439))),_xlfn.CONCAT("* REVIEW REQUIRED: compound-quote delimiter in Codebook Section on Sheet 1 row ",439,"; edit the input before running."),_xlfn.CONCAT("char ",TRIM($B439),"[doc_section] ",CHAR(96),CHAR(34),SUBSTITUTE(SUBSTITUTE(SUBSTITUTE(SUBSTITUTE(SUBSTITUTE(SUBSTITUTE($A439,CHAR(13)," "),CHAR(10)," "),CHAR(9)," "),CHAR(92),_xlfn.CONCAT(CHAR(92),CHAR(92))),"$",_xlfn.CONCAT(CHAR(92),"$")),CHAR(96),_xlfn.CONCAT(CHAR(92),CHAR(96))),CHAR(34),CHAR(39))))</f>
        <v/>
      </c>
      <c r="M439" s="5" t="str">
        <f>IF(OR(TRIM($B439)="",$C439=""),"",IF(IFERROR(MATCH(TRIM($C439),{"Quantitative","Continuous","Discrete","Categorical","Nominal","Ordinal","Identifier"},0),0)=0,_xlfn.CONCAT("* REVIEW REQUIRED: invalid Variable Type on Sheet 1 row ",439,"."),_xlfn.CONCAT("char ",TRIM($B439),"[doc_vartype] ",CHAR(96),CHAR(34),SUBSTITUTE(SUBSTITUTE(SUBSTITUTE(SUBSTITUTE(SUBSTITUTE(SUBSTITUTE(LOWER(TRIM($C439)),CHAR(13)," "),CHAR(10)," "),CHAR(9)," "),CHAR(92),_xlfn.CONCAT(CHAR(92),CHAR(92))),"$",_xlfn.CONCAT(CHAR(92),"$")),CHAR(96),_xlfn.CONCAT(CHAR(92),CHAR(96))),CHAR(34),CHAR(39))))</f>
        <v/>
      </c>
      <c r="N439" s="5" t="str">
        <f>IF(OR(TRIM($B439)="",$D439=""),"",IF(OR(ISNUMBER(SEARCH(_xlfn.CONCAT(CHAR(96),CHAR(34)),$D439)),ISNUMBER(SEARCH(_xlfn.CONCAT(CHAR(34),CHAR(39)),$D439))),_xlfn.CONCAT("* REVIEW REQUIRED: compound-quote delimiter in Item Number on Sheet 1 row ",439,"; edit the input before running."),_xlfn.CONCAT("char ",TRIM($B439),"[doc_itemnum] ",CHAR(96),CHAR(34),SUBSTITUTE(SUBSTITUTE(SUBSTITUTE(SUBSTITUTE(SUBSTITUTE(SUBSTITUTE($D439,CHAR(13)," "),CHAR(10)," "),CHAR(9)," "),CHAR(92),_xlfn.CONCAT(CHAR(92),CHAR(92))),"$",_xlfn.CONCAT(CHAR(92),"$")),CHAR(96),_xlfn.CONCAT(CHAR(92),CHAR(96))),CHAR(34),CHAR(39))))</f>
        <v/>
      </c>
      <c r="O439" s="5" t="str">
        <f>IF(OR(TRIM($B439)="",$E439=""),"",IF(OR(ISNUMBER(SEARCH(_xlfn.CONCAT(CHAR(96),CHAR(34)),$E439)),ISNUMBER(SEARCH(_xlfn.CONCAT(CHAR(34),CHAR(39)),$E439))),_xlfn.CONCAT("* REVIEW REQUIRED: compound-quote delimiter in Question Wording on Sheet 1 row ",439,"; edit the input before running."),_xlfn.CONCAT("char ",TRIM($B439),"[doc_question] ",CHAR(96),CHAR(34),SUBSTITUTE(SUBSTITUTE(SUBSTITUTE(SUBSTITUTE(SUBSTITUTE(SUBSTITUTE($E439,CHAR(13)," "),CHAR(10)," "),CHAR(9)," "),CHAR(92),_xlfn.CONCAT(CHAR(92),CHAR(92))),"$",_xlfn.CONCAT(CHAR(92),"$")),CHAR(96),_xlfn.CONCAT(CHAR(92),CHAR(96))),CHAR(34),CHAR(39))))</f>
        <v/>
      </c>
      <c r="P439" s="5" t="str">
        <f>IF(OR(TRIM($B439)="",$F439=""),"",IF(OR(ISNUMBER(SEARCH(_xlfn.CONCAT(CHAR(96),CHAR(34)),$F439)),ISNUMBER(SEARCH(_xlfn.CONCAT(CHAR(34),CHAR(39)),$F439))),_xlfn.CONCAT("* REVIEW REQUIRED: compound-quote delimiter in Units on Sheet 1 row ",439,"; edit the input before running."),_xlfn.CONCAT("char ",TRIM($B439),"[doc_units] ",CHAR(96),CHAR(34),SUBSTITUTE(SUBSTITUTE(SUBSTITUTE(SUBSTITUTE(SUBSTITUTE(SUBSTITUTE($F439,CHAR(13)," "),CHAR(10)," "),CHAR(9)," "),CHAR(92),_xlfn.CONCAT(CHAR(92),CHAR(92))),"$",_xlfn.CONCAT(CHAR(92),"$")),CHAR(96),_xlfn.CONCAT(CHAR(92),CHAR(96))),CHAR(34),CHAR(39))))</f>
        <v/>
      </c>
      <c r="Q439" s="5" t="str">
        <f>IF(OR(TRIM($B439)="",$G439=""),"",IF(OR(ISNUMBER(SEARCH(_xlfn.CONCAT(CHAR(96),CHAR(34)),$G439)),ISNUMBER(SEARCH(_xlfn.CONCAT(CHAR(34),CHAR(39)),$G439))),_xlfn.CONCAT("* REVIEW REQUIRED: compound-quote delimiter in Universe on Sheet 1 row ",439,"; edit the input before running."),_xlfn.CONCAT("char ",TRIM($B439),"[doc_universe] ",CHAR(96),CHAR(34),SUBSTITUTE(SUBSTITUTE(SUBSTITUTE(SUBSTITUTE(SUBSTITUTE(SUBSTITUTE($G439,CHAR(13)," "),CHAR(10)," "),CHAR(9)," "),CHAR(92),_xlfn.CONCAT(CHAR(92),CHAR(92))),"$",_xlfn.CONCAT(CHAR(92),"$")),CHAR(96),_xlfn.CONCAT(CHAR(92),CHAR(96))),CHAR(34),CHAR(39))))</f>
        <v/>
      </c>
      <c r="R439" s="5" t="str">
        <f>IF(OR(TRIM($B439)="",$H439=""),"",IF(OR(ISNUMBER(SEARCH(_xlfn.CONCAT(CHAR(96),CHAR(34)),$H439)),ISNUMBER(SEARCH(_xlfn.CONCAT(CHAR(34),CHAR(39)),$H439))),_xlfn.CONCAT("* REVIEW REQUIRED: compound-quote delimiter in Source on Sheet 1 row ",439,"; edit the input before running."),_xlfn.CONCAT("char ",TRIM($B439),"[doc_source] ",CHAR(96),CHAR(34),SUBSTITUTE(SUBSTITUTE(SUBSTITUTE(SUBSTITUTE(SUBSTITUTE(SUBSTITUTE($H439,CHAR(13)," "),CHAR(10)," "),CHAR(9)," "),CHAR(92),_xlfn.CONCAT(CHAR(92),CHAR(92))),"$",_xlfn.CONCAT(CHAR(92),"$")),CHAR(96),_xlfn.CONCAT(CHAR(92),CHAR(96))),CHAR(34),CHAR(39))))</f>
        <v/>
      </c>
      <c r="S439" s="5" t="str">
        <f>IF(OR(TRIM($B439)="",$I439=""),"",IF(OR(ISNUMBER(SEARCH(_xlfn.CONCAT(CHAR(96),CHAR(34)),$I439)),ISNUMBER(SEARCH(_xlfn.CONCAT(CHAR(34),CHAR(39)),$I439))),_xlfn.CONCAT("* REVIEW REQUIRED: compound-quote delimiter in Derivation on Sheet 1 row ",439,"; edit the input before running."),_xlfn.CONCAT("char ",TRIM($B439),"[doc_derivation] ",CHAR(96),CHAR(34),SUBSTITUTE(SUBSTITUTE(SUBSTITUTE(SUBSTITUTE(SUBSTITUTE(SUBSTITUTE($I439,CHAR(13)," "),CHAR(10)," "),CHAR(9)," "),CHAR(92),_xlfn.CONCAT(CHAR(92),CHAR(92))),"$",_xlfn.CONCAT(CHAR(92),"$")),CHAR(96),_xlfn.CONCAT(CHAR(92),CHAR(96))),CHAR(34),CHAR(39))))</f>
        <v/>
      </c>
      <c r="T439" s="5" t="str">
        <f>IF(OR(TRIM($B439)="",$J439=""),"",IF(OR(ISNUMBER(SEARCH(_xlfn.CONCAT(CHAR(96),CHAR(34)),$J439)),ISNUMBER(SEARCH(_xlfn.CONCAT(CHAR(34),CHAR(39)),$J439))),_xlfn.CONCAT("* REVIEW REQUIRED: compound-quote delimiter in Notes on Sheet 1 row ",439,"; edit the input before running."),_xlfn.CONCAT("char ",TRIM($B439),"[doc_notes] ",CHAR(96),CHAR(34),SUBSTITUTE(SUBSTITUTE(SUBSTITUTE(SUBSTITUTE(SUBSTITUTE(SUBSTITUTE($J439,CHAR(13)," "),CHAR(10)," "),CHAR(9)," "),CHAR(92),_xlfn.CONCAT(CHAR(92),CHAR(92))),"$",_xlfn.CONCAT(CHAR(92),"$")),CHAR(96),_xlfn.CONCAT(CHAR(92),CHAR(96))),CHAR(34),CHAR(39))))</f>
        <v/>
      </c>
      <c r="U439" s="5">
        <f t="shared" si="13"/>
        <v>0</v>
      </c>
    </row>
    <row r="440" spans="3:21" ht="30" customHeight="1" x14ac:dyDescent="0.2">
      <c r="C440" s="4"/>
      <c r="K440" s="5">
        <f t="shared" si="12"/>
        <v>0</v>
      </c>
      <c r="L440" s="5" t="str">
        <f>IF(OR(TRIM($B440)="",$A440=""),"",IF(OR(ISNUMBER(SEARCH(_xlfn.CONCAT(CHAR(96),CHAR(34)),$A440)),ISNUMBER(SEARCH(_xlfn.CONCAT(CHAR(34),CHAR(39)),$A440))),_xlfn.CONCAT("* REVIEW REQUIRED: compound-quote delimiter in Codebook Section on Sheet 1 row ",440,"; edit the input before running."),_xlfn.CONCAT("char ",TRIM($B440),"[doc_section] ",CHAR(96),CHAR(34),SUBSTITUTE(SUBSTITUTE(SUBSTITUTE(SUBSTITUTE(SUBSTITUTE(SUBSTITUTE($A440,CHAR(13)," "),CHAR(10)," "),CHAR(9)," "),CHAR(92),_xlfn.CONCAT(CHAR(92),CHAR(92))),"$",_xlfn.CONCAT(CHAR(92),"$")),CHAR(96),_xlfn.CONCAT(CHAR(92),CHAR(96))),CHAR(34),CHAR(39))))</f>
        <v/>
      </c>
      <c r="M440" s="5" t="str">
        <f>IF(OR(TRIM($B440)="",$C440=""),"",IF(IFERROR(MATCH(TRIM($C440),{"Quantitative","Continuous","Discrete","Categorical","Nominal","Ordinal","Identifier"},0),0)=0,_xlfn.CONCAT("* REVIEW REQUIRED: invalid Variable Type on Sheet 1 row ",440,"."),_xlfn.CONCAT("char ",TRIM($B440),"[doc_vartype] ",CHAR(96),CHAR(34),SUBSTITUTE(SUBSTITUTE(SUBSTITUTE(SUBSTITUTE(SUBSTITUTE(SUBSTITUTE(LOWER(TRIM($C440)),CHAR(13)," "),CHAR(10)," "),CHAR(9)," "),CHAR(92),_xlfn.CONCAT(CHAR(92),CHAR(92))),"$",_xlfn.CONCAT(CHAR(92),"$")),CHAR(96),_xlfn.CONCAT(CHAR(92),CHAR(96))),CHAR(34),CHAR(39))))</f>
        <v/>
      </c>
      <c r="N440" s="5" t="str">
        <f>IF(OR(TRIM($B440)="",$D440=""),"",IF(OR(ISNUMBER(SEARCH(_xlfn.CONCAT(CHAR(96),CHAR(34)),$D440)),ISNUMBER(SEARCH(_xlfn.CONCAT(CHAR(34),CHAR(39)),$D440))),_xlfn.CONCAT("* REVIEW REQUIRED: compound-quote delimiter in Item Number on Sheet 1 row ",440,"; edit the input before running."),_xlfn.CONCAT("char ",TRIM($B440),"[doc_itemnum] ",CHAR(96),CHAR(34),SUBSTITUTE(SUBSTITUTE(SUBSTITUTE(SUBSTITUTE(SUBSTITUTE(SUBSTITUTE($D440,CHAR(13)," "),CHAR(10)," "),CHAR(9)," "),CHAR(92),_xlfn.CONCAT(CHAR(92),CHAR(92))),"$",_xlfn.CONCAT(CHAR(92),"$")),CHAR(96),_xlfn.CONCAT(CHAR(92),CHAR(96))),CHAR(34),CHAR(39))))</f>
        <v/>
      </c>
      <c r="O440" s="5" t="str">
        <f>IF(OR(TRIM($B440)="",$E440=""),"",IF(OR(ISNUMBER(SEARCH(_xlfn.CONCAT(CHAR(96),CHAR(34)),$E440)),ISNUMBER(SEARCH(_xlfn.CONCAT(CHAR(34),CHAR(39)),$E440))),_xlfn.CONCAT("* REVIEW REQUIRED: compound-quote delimiter in Question Wording on Sheet 1 row ",440,"; edit the input before running."),_xlfn.CONCAT("char ",TRIM($B440),"[doc_question] ",CHAR(96),CHAR(34),SUBSTITUTE(SUBSTITUTE(SUBSTITUTE(SUBSTITUTE(SUBSTITUTE(SUBSTITUTE($E440,CHAR(13)," "),CHAR(10)," "),CHAR(9)," "),CHAR(92),_xlfn.CONCAT(CHAR(92),CHAR(92))),"$",_xlfn.CONCAT(CHAR(92),"$")),CHAR(96),_xlfn.CONCAT(CHAR(92),CHAR(96))),CHAR(34),CHAR(39))))</f>
        <v/>
      </c>
      <c r="P440" s="5" t="str">
        <f>IF(OR(TRIM($B440)="",$F440=""),"",IF(OR(ISNUMBER(SEARCH(_xlfn.CONCAT(CHAR(96),CHAR(34)),$F440)),ISNUMBER(SEARCH(_xlfn.CONCAT(CHAR(34),CHAR(39)),$F440))),_xlfn.CONCAT("* REVIEW REQUIRED: compound-quote delimiter in Units on Sheet 1 row ",440,"; edit the input before running."),_xlfn.CONCAT("char ",TRIM($B440),"[doc_units] ",CHAR(96),CHAR(34),SUBSTITUTE(SUBSTITUTE(SUBSTITUTE(SUBSTITUTE(SUBSTITUTE(SUBSTITUTE($F440,CHAR(13)," "),CHAR(10)," "),CHAR(9)," "),CHAR(92),_xlfn.CONCAT(CHAR(92),CHAR(92))),"$",_xlfn.CONCAT(CHAR(92),"$")),CHAR(96),_xlfn.CONCAT(CHAR(92),CHAR(96))),CHAR(34),CHAR(39))))</f>
        <v/>
      </c>
      <c r="Q440" s="5" t="str">
        <f>IF(OR(TRIM($B440)="",$G440=""),"",IF(OR(ISNUMBER(SEARCH(_xlfn.CONCAT(CHAR(96),CHAR(34)),$G440)),ISNUMBER(SEARCH(_xlfn.CONCAT(CHAR(34),CHAR(39)),$G440))),_xlfn.CONCAT("* REVIEW REQUIRED: compound-quote delimiter in Universe on Sheet 1 row ",440,"; edit the input before running."),_xlfn.CONCAT("char ",TRIM($B440),"[doc_universe] ",CHAR(96),CHAR(34),SUBSTITUTE(SUBSTITUTE(SUBSTITUTE(SUBSTITUTE(SUBSTITUTE(SUBSTITUTE($G440,CHAR(13)," "),CHAR(10)," "),CHAR(9)," "),CHAR(92),_xlfn.CONCAT(CHAR(92),CHAR(92))),"$",_xlfn.CONCAT(CHAR(92),"$")),CHAR(96),_xlfn.CONCAT(CHAR(92),CHAR(96))),CHAR(34),CHAR(39))))</f>
        <v/>
      </c>
      <c r="R440" s="5" t="str">
        <f>IF(OR(TRIM($B440)="",$H440=""),"",IF(OR(ISNUMBER(SEARCH(_xlfn.CONCAT(CHAR(96),CHAR(34)),$H440)),ISNUMBER(SEARCH(_xlfn.CONCAT(CHAR(34),CHAR(39)),$H440))),_xlfn.CONCAT("* REVIEW REQUIRED: compound-quote delimiter in Source on Sheet 1 row ",440,"; edit the input before running."),_xlfn.CONCAT("char ",TRIM($B440),"[doc_source] ",CHAR(96),CHAR(34),SUBSTITUTE(SUBSTITUTE(SUBSTITUTE(SUBSTITUTE(SUBSTITUTE(SUBSTITUTE($H440,CHAR(13)," "),CHAR(10)," "),CHAR(9)," "),CHAR(92),_xlfn.CONCAT(CHAR(92),CHAR(92))),"$",_xlfn.CONCAT(CHAR(92),"$")),CHAR(96),_xlfn.CONCAT(CHAR(92),CHAR(96))),CHAR(34),CHAR(39))))</f>
        <v/>
      </c>
      <c r="S440" s="5" t="str">
        <f>IF(OR(TRIM($B440)="",$I440=""),"",IF(OR(ISNUMBER(SEARCH(_xlfn.CONCAT(CHAR(96),CHAR(34)),$I440)),ISNUMBER(SEARCH(_xlfn.CONCAT(CHAR(34),CHAR(39)),$I440))),_xlfn.CONCAT("* REVIEW REQUIRED: compound-quote delimiter in Derivation on Sheet 1 row ",440,"; edit the input before running."),_xlfn.CONCAT("char ",TRIM($B440),"[doc_derivation] ",CHAR(96),CHAR(34),SUBSTITUTE(SUBSTITUTE(SUBSTITUTE(SUBSTITUTE(SUBSTITUTE(SUBSTITUTE($I440,CHAR(13)," "),CHAR(10)," "),CHAR(9)," "),CHAR(92),_xlfn.CONCAT(CHAR(92),CHAR(92))),"$",_xlfn.CONCAT(CHAR(92),"$")),CHAR(96),_xlfn.CONCAT(CHAR(92),CHAR(96))),CHAR(34),CHAR(39))))</f>
        <v/>
      </c>
      <c r="T440" s="5" t="str">
        <f>IF(OR(TRIM($B440)="",$J440=""),"",IF(OR(ISNUMBER(SEARCH(_xlfn.CONCAT(CHAR(96),CHAR(34)),$J440)),ISNUMBER(SEARCH(_xlfn.CONCAT(CHAR(34),CHAR(39)),$J440))),_xlfn.CONCAT("* REVIEW REQUIRED: compound-quote delimiter in Notes on Sheet 1 row ",440,"; edit the input before running."),_xlfn.CONCAT("char ",TRIM($B440),"[doc_notes] ",CHAR(96),CHAR(34),SUBSTITUTE(SUBSTITUTE(SUBSTITUTE(SUBSTITUTE(SUBSTITUTE(SUBSTITUTE($J440,CHAR(13)," "),CHAR(10)," "),CHAR(9)," "),CHAR(92),_xlfn.CONCAT(CHAR(92),CHAR(92))),"$",_xlfn.CONCAT(CHAR(92),"$")),CHAR(96),_xlfn.CONCAT(CHAR(92),CHAR(96))),CHAR(34),CHAR(39))))</f>
        <v/>
      </c>
      <c r="U440" s="5">
        <f t="shared" si="13"/>
        <v>0</v>
      </c>
    </row>
    <row r="441" spans="3:21" ht="30" customHeight="1" x14ac:dyDescent="0.2">
      <c r="C441" s="4"/>
      <c r="K441" s="5">
        <f t="shared" si="12"/>
        <v>0</v>
      </c>
      <c r="L441" s="5" t="str">
        <f>IF(OR(TRIM($B441)="",$A441=""),"",IF(OR(ISNUMBER(SEARCH(_xlfn.CONCAT(CHAR(96),CHAR(34)),$A441)),ISNUMBER(SEARCH(_xlfn.CONCAT(CHAR(34),CHAR(39)),$A441))),_xlfn.CONCAT("* REVIEW REQUIRED: compound-quote delimiter in Codebook Section on Sheet 1 row ",441,"; edit the input before running."),_xlfn.CONCAT("char ",TRIM($B441),"[doc_section] ",CHAR(96),CHAR(34),SUBSTITUTE(SUBSTITUTE(SUBSTITUTE(SUBSTITUTE(SUBSTITUTE(SUBSTITUTE($A441,CHAR(13)," "),CHAR(10)," "),CHAR(9)," "),CHAR(92),_xlfn.CONCAT(CHAR(92),CHAR(92))),"$",_xlfn.CONCAT(CHAR(92),"$")),CHAR(96),_xlfn.CONCAT(CHAR(92),CHAR(96))),CHAR(34),CHAR(39))))</f>
        <v/>
      </c>
      <c r="M441" s="5" t="str">
        <f>IF(OR(TRIM($B441)="",$C441=""),"",IF(IFERROR(MATCH(TRIM($C441),{"Quantitative","Continuous","Discrete","Categorical","Nominal","Ordinal","Identifier"},0),0)=0,_xlfn.CONCAT("* REVIEW REQUIRED: invalid Variable Type on Sheet 1 row ",441,"."),_xlfn.CONCAT("char ",TRIM($B441),"[doc_vartype] ",CHAR(96),CHAR(34),SUBSTITUTE(SUBSTITUTE(SUBSTITUTE(SUBSTITUTE(SUBSTITUTE(SUBSTITUTE(LOWER(TRIM($C441)),CHAR(13)," "),CHAR(10)," "),CHAR(9)," "),CHAR(92),_xlfn.CONCAT(CHAR(92),CHAR(92))),"$",_xlfn.CONCAT(CHAR(92),"$")),CHAR(96),_xlfn.CONCAT(CHAR(92),CHAR(96))),CHAR(34),CHAR(39))))</f>
        <v/>
      </c>
      <c r="N441" s="5" t="str">
        <f>IF(OR(TRIM($B441)="",$D441=""),"",IF(OR(ISNUMBER(SEARCH(_xlfn.CONCAT(CHAR(96),CHAR(34)),$D441)),ISNUMBER(SEARCH(_xlfn.CONCAT(CHAR(34),CHAR(39)),$D441))),_xlfn.CONCAT("* REVIEW REQUIRED: compound-quote delimiter in Item Number on Sheet 1 row ",441,"; edit the input before running."),_xlfn.CONCAT("char ",TRIM($B441),"[doc_itemnum] ",CHAR(96),CHAR(34),SUBSTITUTE(SUBSTITUTE(SUBSTITUTE(SUBSTITUTE(SUBSTITUTE(SUBSTITUTE($D441,CHAR(13)," "),CHAR(10)," "),CHAR(9)," "),CHAR(92),_xlfn.CONCAT(CHAR(92),CHAR(92))),"$",_xlfn.CONCAT(CHAR(92),"$")),CHAR(96),_xlfn.CONCAT(CHAR(92),CHAR(96))),CHAR(34),CHAR(39))))</f>
        <v/>
      </c>
      <c r="O441" s="5" t="str">
        <f>IF(OR(TRIM($B441)="",$E441=""),"",IF(OR(ISNUMBER(SEARCH(_xlfn.CONCAT(CHAR(96),CHAR(34)),$E441)),ISNUMBER(SEARCH(_xlfn.CONCAT(CHAR(34),CHAR(39)),$E441))),_xlfn.CONCAT("* REVIEW REQUIRED: compound-quote delimiter in Question Wording on Sheet 1 row ",441,"; edit the input before running."),_xlfn.CONCAT("char ",TRIM($B441),"[doc_question] ",CHAR(96),CHAR(34),SUBSTITUTE(SUBSTITUTE(SUBSTITUTE(SUBSTITUTE(SUBSTITUTE(SUBSTITUTE($E441,CHAR(13)," "),CHAR(10)," "),CHAR(9)," "),CHAR(92),_xlfn.CONCAT(CHAR(92),CHAR(92))),"$",_xlfn.CONCAT(CHAR(92),"$")),CHAR(96),_xlfn.CONCAT(CHAR(92),CHAR(96))),CHAR(34),CHAR(39))))</f>
        <v/>
      </c>
      <c r="P441" s="5" t="str">
        <f>IF(OR(TRIM($B441)="",$F441=""),"",IF(OR(ISNUMBER(SEARCH(_xlfn.CONCAT(CHAR(96),CHAR(34)),$F441)),ISNUMBER(SEARCH(_xlfn.CONCAT(CHAR(34),CHAR(39)),$F441))),_xlfn.CONCAT("* REVIEW REQUIRED: compound-quote delimiter in Units on Sheet 1 row ",441,"; edit the input before running."),_xlfn.CONCAT("char ",TRIM($B441),"[doc_units] ",CHAR(96),CHAR(34),SUBSTITUTE(SUBSTITUTE(SUBSTITUTE(SUBSTITUTE(SUBSTITUTE(SUBSTITUTE($F441,CHAR(13)," "),CHAR(10)," "),CHAR(9)," "),CHAR(92),_xlfn.CONCAT(CHAR(92),CHAR(92))),"$",_xlfn.CONCAT(CHAR(92),"$")),CHAR(96),_xlfn.CONCAT(CHAR(92),CHAR(96))),CHAR(34),CHAR(39))))</f>
        <v/>
      </c>
      <c r="Q441" s="5" t="str">
        <f>IF(OR(TRIM($B441)="",$G441=""),"",IF(OR(ISNUMBER(SEARCH(_xlfn.CONCAT(CHAR(96),CHAR(34)),$G441)),ISNUMBER(SEARCH(_xlfn.CONCAT(CHAR(34),CHAR(39)),$G441))),_xlfn.CONCAT("* REVIEW REQUIRED: compound-quote delimiter in Universe on Sheet 1 row ",441,"; edit the input before running."),_xlfn.CONCAT("char ",TRIM($B441),"[doc_universe] ",CHAR(96),CHAR(34),SUBSTITUTE(SUBSTITUTE(SUBSTITUTE(SUBSTITUTE(SUBSTITUTE(SUBSTITUTE($G441,CHAR(13)," "),CHAR(10)," "),CHAR(9)," "),CHAR(92),_xlfn.CONCAT(CHAR(92),CHAR(92))),"$",_xlfn.CONCAT(CHAR(92),"$")),CHAR(96),_xlfn.CONCAT(CHAR(92),CHAR(96))),CHAR(34),CHAR(39))))</f>
        <v/>
      </c>
      <c r="R441" s="5" t="str">
        <f>IF(OR(TRIM($B441)="",$H441=""),"",IF(OR(ISNUMBER(SEARCH(_xlfn.CONCAT(CHAR(96),CHAR(34)),$H441)),ISNUMBER(SEARCH(_xlfn.CONCAT(CHAR(34),CHAR(39)),$H441))),_xlfn.CONCAT("* REVIEW REQUIRED: compound-quote delimiter in Source on Sheet 1 row ",441,"; edit the input before running."),_xlfn.CONCAT("char ",TRIM($B441),"[doc_source] ",CHAR(96),CHAR(34),SUBSTITUTE(SUBSTITUTE(SUBSTITUTE(SUBSTITUTE(SUBSTITUTE(SUBSTITUTE($H441,CHAR(13)," "),CHAR(10)," "),CHAR(9)," "),CHAR(92),_xlfn.CONCAT(CHAR(92),CHAR(92))),"$",_xlfn.CONCAT(CHAR(92),"$")),CHAR(96),_xlfn.CONCAT(CHAR(92),CHAR(96))),CHAR(34),CHAR(39))))</f>
        <v/>
      </c>
      <c r="S441" s="5" t="str">
        <f>IF(OR(TRIM($B441)="",$I441=""),"",IF(OR(ISNUMBER(SEARCH(_xlfn.CONCAT(CHAR(96),CHAR(34)),$I441)),ISNUMBER(SEARCH(_xlfn.CONCAT(CHAR(34),CHAR(39)),$I441))),_xlfn.CONCAT("* REVIEW REQUIRED: compound-quote delimiter in Derivation on Sheet 1 row ",441,"; edit the input before running."),_xlfn.CONCAT("char ",TRIM($B441),"[doc_derivation] ",CHAR(96),CHAR(34),SUBSTITUTE(SUBSTITUTE(SUBSTITUTE(SUBSTITUTE(SUBSTITUTE(SUBSTITUTE($I441,CHAR(13)," "),CHAR(10)," "),CHAR(9)," "),CHAR(92),_xlfn.CONCAT(CHAR(92),CHAR(92))),"$",_xlfn.CONCAT(CHAR(92),"$")),CHAR(96),_xlfn.CONCAT(CHAR(92),CHAR(96))),CHAR(34),CHAR(39))))</f>
        <v/>
      </c>
      <c r="T441" s="5" t="str">
        <f>IF(OR(TRIM($B441)="",$J441=""),"",IF(OR(ISNUMBER(SEARCH(_xlfn.CONCAT(CHAR(96),CHAR(34)),$J441)),ISNUMBER(SEARCH(_xlfn.CONCAT(CHAR(34),CHAR(39)),$J441))),_xlfn.CONCAT("* REVIEW REQUIRED: compound-quote delimiter in Notes on Sheet 1 row ",441,"; edit the input before running."),_xlfn.CONCAT("char ",TRIM($B441),"[doc_notes] ",CHAR(96),CHAR(34),SUBSTITUTE(SUBSTITUTE(SUBSTITUTE(SUBSTITUTE(SUBSTITUTE(SUBSTITUTE($J441,CHAR(13)," "),CHAR(10)," "),CHAR(9)," "),CHAR(92),_xlfn.CONCAT(CHAR(92),CHAR(92))),"$",_xlfn.CONCAT(CHAR(92),"$")),CHAR(96),_xlfn.CONCAT(CHAR(92),CHAR(96))),CHAR(34),CHAR(39))))</f>
        <v/>
      </c>
      <c r="U441" s="5">
        <f t="shared" si="13"/>
        <v>0</v>
      </c>
    </row>
    <row r="442" spans="3:21" ht="30" customHeight="1" x14ac:dyDescent="0.2">
      <c r="C442" s="4"/>
      <c r="K442" s="5">
        <f t="shared" si="12"/>
        <v>0</v>
      </c>
      <c r="L442" s="5" t="str">
        <f>IF(OR(TRIM($B442)="",$A442=""),"",IF(OR(ISNUMBER(SEARCH(_xlfn.CONCAT(CHAR(96),CHAR(34)),$A442)),ISNUMBER(SEARCH(_xlfn.CONCAT(CHAR(34),CHAR(39)),$A442))),_xlfn.CONCAT("* REVIEW REQUIRED: compound-quote delimiter in Codebook Section on Sheet 1 row ",442,"; edit the input before running."),_xlfn.CONCAT("char ",TRIM($B442),"[doc_section] ",CHAR(96),CHAR(34),SUBSTITUTE(SUBSTITUTE(SUBSTITUTE(SUBSTITUTE(SUBSTITUTE(SUBSTITUTE($A442,CHAR(13)," "),CHAR(10)," "),CHAR(9)," "),CHAR(92),_xlfn.CONCAT(CHAR(92),CHAR(92))),"$",_xlfn.CONCAT(CHAR(92),"$")),CHAR(96),_xlfn.CONCAT(CHAR(92),CHAR(96))),CHAR(34),CHAR(39))))</f>
        <v/>
      </c>
      <c r="M442" s="5" t="str">
        <f>IF(OR(TRIM($B442)="",$C442=""),"",IF(IFERROR(MATCH(TRIM($C442),{"Quantitative","Continuous","Discrete","Categorical","Nominal","Ordinal","Identifier"},0),0)=0,_xlfn.CONCAT("* REVIEW REQUIRED: invalid Variable Type on Sheet 1 row ",442,"."),_xlfn.CONCAT("char ",TRIM($B442),"[doc_vartype] ",CHAR(96),CHAR(34),SUBSTITUTE(SUBSTITUTE(SUBSTITUTE(SUBSTITUTE(SUBSTITUTE(SUBSTITUTE(LOWER(TRIM($C442)),CHAR(13)," "),CHAR(10)," "),CHAR(9)," "),CHAR(92),_xlfn.CONCAT(CHAR(92),CHAR(92))),"$",_xlfn.CONCAT(CHAR(92),"$")),CHAR(96),_xlfn.CONCAT(CHAR(92),CHAR(96))),CHAR(34),CHAR(39))))</f>
        <v/>
      </c>
      <c r="N442" s="5" t="str">
        <f>IF(OR(TRIM($B442)="",$D442=""),"",IF(OR(ISNUMBER(SEARCH(_xlfn.CONCAT(CHAR(96),CHAR(34)),$D442)),ISNUMBER(SEARCH(_xlfn.CONCAT(CHAR(34),CHAR(39)),$D442))),_xlfn.CONCAT("* REVIEW REQUIRED: compound-quote delimiter in Item Number on Sheet 1 row ",442,"; edit the input before running."),_xlfn.CONCAT("char ",TRIM($B442),"[doc_itemnum] ",CHAR(96),CHAR(34),SUBSTITUTE(SUBSTITUTE(SUBSTITUTE(SUBSTITUTE(SUBSTITUTE(SUBSTITUTE($D442,CHAR(13)," "),CHAR(10)," "),CHAR(9)," "),CHAR(92),_xlfn.CONCAT(CHAR(92),CHAR(92))),"$",_xlfn.CONCAT(CHAR(92),"$")),CHAR(96),_xlfn.CONCAT(CHAR(92),CHAR(96))),CHAR(34),CHAR(39))))</f>
        <v/>
      </c>
      <c r="O442" s="5" t="str">
        <f>IF(OR(TRIM($B442)="",$E442=""),"",IF(OR(ISNUMBER(SEARCH(_xlfn.CONCAT(CHAR(96),CHAR(34)),$E442)),ISNUMBER(SEARCH(_xlfn.CONCAT(CHAR(34),CHAR(39)),$E442))),_xlfn.CONCAT("* REVIEW REQUIRED: compound-quote delimiter in Question Wording on Sheet 1 row ",442,"; edit the input before running."),_xlfn.CONCAT("char ",TRIM($B442),"[doc_question] ",CHAR(96),CHAR(34),SUBSTITUTE(SUBSTITUTE(SUBSTITUTE(SUBSTITUTE(SUBSTITUTE(SUBSTITUTE($E442,CHAR(13)," "),CHAR(10)," "),CHAR(9)," "),CHAR(92),_xlfn.CONCAT(CHAR(92),CHAR(92))),"$",_xlfn.CONCAT(CHAR(92),"$")),CHAR(96),_xlfn.CONCAT(CHAR(92),CHAR(96))),CHAR(34),CHAR(39))))</f>
        <v/>
      </c>
      <c r="P442" s="5" t="str">
        <f>IF(OR(TRIM($B442)="",$F442=""),"",IF(OR(ISNUMBER(SEARCH(_xlfn.CONCAT(CHAR(96),CHAR(34)),$F442)),ISNUMBER(SEARCH(_xlfn.CONCAT(CHAR(34),CHAR(39)),$F442))),_xlfn.CONCAT("* REVIEW REQUIRED: compound-quote delimiter in Units on Sheet 1 row ",442,"; edit the input before running."),_xlfn.CONCAT("char ",TRIM($B442),"[doc_units] ",CHAR(96),CHAR(34),SUBSTITUTE(SUBSTITUTE(SUBSTITUTE(SUBSTITUTE(SUBSTITUTE(SUBSTITUTE($F442,CHAR(13)," "),CHAR(10)," "),CHAR(9)," "),CHAR(92),_xlfn.CONCAT(CHAR(92),CHAR(92))),"$",_xlfn.CONCAT(CHAR(92),"$")),CHAR(96),_xlfn.CONCAT(CHAR(92),CHAR(96))),CHAR(34),CHAR(39))))</f>
        <v/>
      </c>
      <c r="Q442" s="5" t="str">
        <f>IF(OR(TRIM($B442)="",$G442=""),"",IF(OR(ISNUMBER(SEARCH(_xlfn.CONCAT(CHAR(96),CHAR(34)),$G442)),ISNUMBER(SEARCH(_xlfn.CONCAT(CHAR(34),CHAR(39)),$G442))),_xlfn.CONCAT("* REVIEW REQUIRED: compound-quote delimiter in Universe on Sheet 1 row ",442,"; edit the input before running."),_xlfn.CONCAT("char ",TRIM($B442),"[doc_universe] ",CHAR(96),CHAR(34),SUBSTITUTE(SUBSTITUTE(SUBSTITUTE(SUBSTITUTE(SUBSTITUTE(SUBSTITUTE($G442,CHAR(13)," "),CHAR(10)," "),CHAR(9)," "),CHAR(92),_xlfn.CONCAT(CHAR(92),CHAR(92))),"$",_xlfn.CONCAT(CHAR(92),"$")),CHAR(96),_xlfn.CONCAT(CHAR(92),CHAR(96))),CHAR(34),CHAR(39))))</f>
        <v/>
      </c>
      <c r="R442" s="5" t="str">
        <f>IF(OR(TRIM($B442)="",$H442=""),"",IF(OR(ISNUMBER(SEARCH(_xlfn.CONCAT(CHAR(96),CHAR(34)),$H442)),ISNUMBER(SEARCH(_xlfn.CONCAT(CHAR(34),CHAR(39)),$H442))),_xlfn.CONCAT("* REVIEW REQUIRED: compound-quote delimiter in Source on Sheet 1 row ",442,"; edit the input before running."),_xlfn.CONCAT("char ",TRIM($B442),"[doc_source] ",CHAR(96),CHAR(34),SUBSTITUTE(SUBSTITUTE(SUBSTITUTE(SUBSTITUTE(SUBSTITUTE(SUBSTITUTE($H442,CHAR(13)," "),CHAR(10)," "),CHAR(9)," "),CHAR(92),_xlfn.CONCAT(CHAR(92),CHAR(92))),"$",_xlfn.CONCAT(CHAR(92),"$")),CHAR(96),_xlfn.CONCAT(CHAR(92),CHAR(96))),CHAR(34),CHAR(39))))</f>
        <v/>
      </c>
      <c r="S442" s="5" t="str">
        <f>IF(OR(TRIM($B442)="",$I442=""),"",IF(OR(ISNUMBER(SEARCH(_xlfn.CONCAT(CHAR(96),CHAR(34)),$I442)),ISNUMBER(SEARCH(_xlfn.CONCAT(CHAR(34),CHAR(39)),$I442))),_xlfn.CONCAT("* REVIEW REQUIRED: compound-quote delimiter in Derivation on Sheet 1 row ",442,"; edit the input before running."),_xlfn.CONCAT("char ",TRIM($B442),"[doc_derivation] ",CHAR(96),CHAR(34),SUBSTITUTE(SUBSTITUTE(SUBSTITUTE(SUBSTITUTE(SUBSTITUTE(SUBSTITUTE($I442,CHAR(13)," "),CHAR(10)," "),CHAR(9)," "),CHAR(92),_xlfn.CONCAT(CHAR(92),CHAR(92))),"$",_xlfn.CONCAT(CHAR(92),"$")),CHAR(96),_xlfn.CONCAT(CHAR(92),CHAR(96))),CHAR(34),CHAR(39))))</f>
        <v/>
      </c>
      <c r="T442" s="5" t="str">
        <f>IF(OR(TRIM($B442)="",$J442=""),"",IF(OR(ISNUMBER(SEARCH(_xlfn.CONCAT(CHAR(96),CHAR(34)),$J442)),ISNUMBER(SEARCH(_xlfn.CONCAT(CHAR(34),CHAR(39)),$J442))),_xlfn.CONCAT("* REVIEW REQUIRED: compound-quote delimiter in Notes on Sheet 1 row ",442,"; edit the input before running."),_xlfn.CONCAT("char ",TRIM($B442),"[doc_notes] ",CHAR(96),CHAR(34),SUBSTITUTE(SUBSTITUTE(SUBSTITUTE(SUBSTITUTE(SUBSTITUTE(SUBSTITUTE($J442,CHAR(13)," "),CHAR(10)," "),CHAR(9)," "),CHAR(92),_xlfn.CONCAT(CHAR(92),CHAR(92))),"$",_xlfn.CONCAT(CHAR(92),"$")),CHAR(96),_xlfn.CONCAT(CHAR(92),CHAR(96))),CHAR(34),CHAR(39))))</f>
        <v/>
      </c>
      <c r="U442" s="5">
        <f t="shared" si="13"/>
        <v>0</v>
      </c>
    </row>
    <row r="443" spans="3:21" ht="30" customHeight="1" x14ac:dyDescent="0.2">
      <c r="C443" s="4"/>
      <c r="K443" s="5">
        <f t="shared" si="12"/>
        <v>0</v>
      </c>
      <c r="L443" s="5" t="str">
        <f>IF(OR(TRIM($B443)="",$A443=""),"",IF(OR(ISNUMBER(SEARCH(_xlfn.CONCAT(CHAR(96),CHAR(34)),$A443)),ISNUMBER(SEARCH(_xlfn.CONCAT(CHAR(34),CHAR(39)),$A443))),_xlfn.CONCAT("* REVIEW REQUIRED: compound-quote delimiter in Codebook Section on Sheet 1 row ",443,"; edit the input before running."),_xlfn.CONCAT("char ",TRIM($B443),"[doc_section] ",CHAR(96),CHAR(34),SUBSTITUTE(SUBSTITUTE(SUBSTITUTE(SUBSTITUTE(SUBSTITUTE(SUBSTITUTE($A443,CHAR(13)," "),CHAR(10)," "),CHAR(9)," "),CHAR(92),_xlfn.CONCAT(CHAR(92),CHAR(92))),"$",_xlfn.CONCAT(CHAR(92),"$")),CHAR(96),_xlfn.CONCAT(CHAR(92),CHAR(96))),CHAR(34),CHAR(39))))</f>
        <v/>
      </c>
      <c r="M443" s="5" t="str">
        <f>IF(OR(TRIM($B443)="",$C443=""),"",IF(IFERROR(MATCH(TRIM($C443),{"Quantitative","Continuous","Discrete","Categorical","Nominal","Ordinal","Identifier"},0),0)=0,_xlfn.CONCAT("* REVIEW REQUIRED: invalid Variable Type on Sheet 1 row ",443,"."),_xlfn.CONCAT("char ",TRIM($B443),"[doc_vartype] ",CHAR(96),CHAR(34),SUBSTITUTE(SUBSTITUTE(SUBSTITUTE(SUBSTITUTE(SUBSTITUTE(SUBSTITUTE(LOWER(TRIM($C443)),CHAR(13)," "),CHAR(10)," "),CHAR(9)," "),CHAR(92),_xlfn.CONCAT(CHAR(92),CHAR(92))),"$",_xlfn.CONCAT(CHAR(92),"$")),CHAR(96),_xlfn.CONCAT(CHAR(92),CHAR(96))),CHAR(34),CHAR(39))))</f>
        <v/>
      </c>
      <c r="N443" s="5" t="str">
        <f>IF(OR(TRIM($B443)="",$D443=""),"",IF(OR(ISNUMBER(SEARCH(_xlfn.CONCAT(CHAR(96),CHAR(34)),$D443)),ISNUMBER(SEARCH(_xlfn.CONCAT(CHAR(34),CHAR(39)),$D443))),_xlfn.CONCAT("* REVIEW REQUIRED: compound-quote delimiter in Item Number on Sheet 1 row ",443,"; edit the input before running."),_xlfn.CONCAT("char ",TRIM($B443),"[doc_itemnum] ",CHAR(96),CHAR(34),SUBSTITUTE(SUBSTITUTE(SUBSTITUTE(SUBSTITUTE(SUBSTITUTE(SUBSTITUTE($D443,CHAR(13)," "),CHAR(10)," "),CHAR(9)," "),CHAR(92),_xlfn.CONCAT(CHAR(92),CHAR(92))),"$",_xlfn.CONCAT(CHAR(92),"$")),CHAR(96),_xlfn.CONCAT(CHAR(92),CHAR(96))),CHAR(34),CHAR(39))))</f>
        <v/>
      </c>
      <c r="O443" s="5" t="str">
        <f>IF(OR(TRIM($B443)="",$E443=""),"",IF(OR(ISNUMBER(SEARCH(_xlfn.CONCAT(CHAR(96),CHAR(34)),$E443)),ISNUMBER(SEARCH(_xlfn.CONCAT(CHAR(34),CHAR(39)),$E443))),_xlfn.CONCAT("* REVIEW REQUIRED: compound-quote delimiter in Question Wording on Sheet 1 row ",443,"; edit the input before running."),_xlfn.CONCAT("char ",TRIM($B443),"[doc_question] ",CHAR(96),CHAR(34),SUBSTITUTE(SUBSTITUTE(SUBSTITUTE(SUBSTITUTE(SUBSTITUTE(SUBSTITUTE($E443,CHAR(13)," "),CHAR(10)," "),CHAR(9)," "),CHAR(92),_xlfn.CONCAT(CHAR(92),CHAR(92))),"$",_xlfn.CONCAT(CHAR(92),"$")),CHAR(96),_xlfn.CONCAT(CHAR(92),CHAR(96))),CHAR(34),CHAR(39))))</f>
        <v/>
      </c>
      <c r="P443" s="5" t="str">
        <f>IF(OR(TRIM($B443)="",$F443=""),"",IF(OR(ISNUMBER(SEARCH(_xlfn.CONCAT(CHAR(96),CHAR(34)),$F443)),ISNUMBER(SEARCH(_xlfn.CONCAT(CHAR(34),CHAR(39)),$F443))),_xlfn.CONCAT("* REVIEW REQUIRED: compound-quote delimiter in Units on Sheet 1 row ",443,"; edit the input before running."),_xlfn.CONCAT("char ",TRIM($B443),"[doc_units] ",CHAR(96),CHAR(34),SUBSTITUTE(SUBSTITUTE(SUBSTITUTE(SUBSTITUTE(SUBSTITUTE(SUBSTITUTE($F443,CHAR(13)," "),CHAR(10)," "),CHAR(9)," "),CHAR(92),_xlfn.CONCAT(CHAR(92),CHAR(92))),"$",_xlfn.CONCAT(CHAR(92),"$")),CHAR(96),_xlfn.CONCAT(CHAR(92),CHAR(96))),CHAR(34),CHAR(39))))</f>
        <v/>
      </c>
      <c r="Q443" s="5" t="str">
        <f>IF(OR(TRIM($B443)="",$G443=""),"",IF(OR(ISNUMBER(SEARCH(_xlfn.CONCAT(CHAR(96),CHAR(34)),$G443)),ISNUMBER(SEARCH(_xlfn.CONCAT(CHAR(34),CHAR(39)),$G443))),_xlfn.CONCAT("* REVIEW REQUIRED: compound-quote delimiter in Universe on Sheet 1 row ",443,"; edit the input before running."),_xlfn.CONCAT("char ",TRIM($B443),"[doc_universe] ",CHAR(96),CHAR(34),SUBSTITUTE(SUBSTITUTE(SUBSTITUTE(SUBSTITUTE(SUBSTITUTE(SUBSTITUTE($G443,CHAR(13)," "),CHAR(10)," "),CHAR(9)," "),CHAR(92),_xlfn.CONCAT(CHAR(92),CHAR(92))),"$",_xlfn.CONCAT(CHAR(92),"$")),CHAR(96),_xlfn.CONCAT(CHAR(92),CHAR(96))),CHAR(34),CHAR(39))))</f>
        <v/>
      </c>
      <c r="R443" s="5" t="str">
        <f>IF(OR(TRIM($B443)="",$H443=""),"",IF(OR(ISNUMBER(SEARCH(_xlfn.CONCAT(CHAR(96),CHAR(34)),$H443)),ISNUMBER(SEARCH(_xlfn.CONCAT(CHAR(34),CHAR(39)),$H443))),_xlfn.CONCAT("* REVIEW REQUIRED: compound-quote delimiter in Source on Sheet 1 row ",443,"; edit the input before running."),_xlfn.CONCAT("char ",TRIM($B443),"[doc_source] ",CHAR(96),CHAR(34),SUBSTITUTE(SUBSTITUTE(SUBSTITUTE(SUBSTITUTE(SUBSTITUTE(SUBSTITUTE($H443,CHAR(13)," "),CHAR(10)," "),CHAR(9)," "),CHAR(92),_xlfn.CONCAT(CHAR(92),CHAR(92))),"$",_xlfn.CONCAT(CHAR(92),"$")),CHAR(96),_xlfn.CONCAT(CHAR(92),CHAR(96))),CHAR(34),CHAR(39))))</f>
        <v/>
      </c>
      <c r="S443" s="5" t="str">
        <f>IF(OR(TRIM($B443)="",$I443=""),"",IF(OR(ISNUMBER(SEARCH(_xlfn.CONCAT(CHAR(96),CHAR(34)),$I443)),ISNUMBER(SEARCH(_xlfn.CONCAT(CHAR(34),CHAR(39)),$I443))),_xlfn.CONCAT("* REVIEW REQUIRED: compound-quote delimiter in Derivation on Sheet 1 row ",443,"; edit the input before running."),_xlfn.CONCAT("char ",TRIM($B443),"[doc_derivation] ",CHAR(96),CHAR(34),SUBSTITUTE(SUBSTITUTE(SUBSTITUTE(SUBSTITUTE(SUBSTITUTE(SUBSTITUTE($I443,CHAR(13)," "),CHAR(10)," "),CHAR(9)," "),CHAR(92),_xlfn.CONCAT(CHAR(92),CHAR(92))),"$",_xlfn.CONCAT(CHAR(92),"$")),CHAR(96),_xlfn.CONCAT(CHAR(92),CHAR(96))),CHAR(34),CHAR(39))))</f>
        <v/>
      </c>
      <c r="T443" s="5" t="str">
        <f>IF(OR(TRIM($B443)="",$J443=""),"",IF(OR(ISNUMBER(SEARCH(_xlfn.CONCAT(CHAR(96),CHAR(34)),$J443)),ISNUMBER(SEARCH(_xlfn.CONCAT(CHAR(34),CHAR(39)),$J443))),_xlfn.CONCAT("* REVIEW REQUIRED: compound-quote delimiter in Notes on Sheet 1 row ",443,"; edit the input before running."),_xlfn.CONCAT("char ",TRIM($B443),"[doc_notes] ",CHAR(96),CHAR(34),SUBSTITUTE(SUBSTITUTE(SUBSTITUTE(SUBSTITUTE(SUBSTITUTE(SUBSTITUTE($J443,CHAR(13)," "),CHAR(10)," "),CHAR(9)," "),CHAR(92),_xlfn.CONCAT(CHAR(92),CHAR(92))),"$",_xlfn.CONCAT(CHAR(92),"$")),CHAR(96),_xlfn.CONCAT(CHAR(92),CHAR(96))),CHAR(34),CHAR(39))))</f>
        <v/>
      </c>
      <c r="U443" s="5">
        <f t="shared" si="13"/>
        <v>0</v>
      </c>
    </row>
    <row r="444" spans="3:21" ht="30" customHeight="1" x14ac:dyDescent="0.2">
      <c r="C444" s="4"/>
      <c r="K444" s="5">
        <f t="shared" si="12"/>
        <v>0</v>
      </c>
      <c r="L444" s="5" t="str">
        <f>IF(OR(TRIM($B444)="",$A444=""),"",IF(OR(ISNUMBER(SEARCH(_xlfn.CONCAT(CHAR(96),CHAR(34)),$A444)),ISNUMBER(SEARCH(_xlfn.CONCAT(CHAR(34),CHAR(39)),$A444))),_xlfn.CONCAT("* REVIEW REQUIRED: compound-quote delimiter in Codebook Section on Sheet 1 row ",444,"; edit the input before running."),_xlfn.CONCAT("char ",TRIM($B444),"[doc_section] ",CHAR(96),CHAR(34),SUBSTITUTE(SUBSTITUTE(SUBSTITUTE(SUBSTITUTE(SUBSTITUTE(SUBSTITUTE($A444,CHAR(13)," "),CHAR(10)," "),CHAR(9)," "),CHAR(92),_xlfn.CONCAT(CHAR(92),CHAR(92))),"$",_xlfn.CONCAT(CHAR(92),"$")),CHAR(96),_xlfn.CONCAT(CHAR(92),CHAR(96))),CHAR(34),CHAR(39))))</f>
        <v/>
      </c>
      <c r="M444" s="5" t="str">
        <f>IF(OR(TRIM($B444)="",$C444=""),"",IF(IFERROR(MATCH(TRIM($C444),{"Quantitative","Continuous","Discrete","Categorical","Nominal","Ordinal","Identifier"},0),0)=0,_xlfn.CONCAT("* REVIEW REQUIRED: invalid Variable Type on Sheet 1 row ",444,"."),_xlfn.CONCAT("char ",TRIM($B444),"[doc_vartype] ",CHAR(96),CHAR(34),SUBSTITUTE(SUBSTITUTE(SUBSTITUTE(SUBSTITUTE(SUBSTITUTE(SUBSTITUTE(LOWER(TRIM($C444)),CHAR(13)," "),CHAR(10)," "),CHAR(9)," "),CHAR(92),_xlfn.CONCAT(CHAR(92),CHAR(92))),"$",_xlfn.CONCAT(CHAR(92),"$")),CHAR(96),_xlfn.CONCAT(CHAR(92),CHAR(96))),CHAR(34),CHAR(39))))</f>
        <v/>
      </c>
      <c r="N444" s="5" t="str">
        <f>IF(OR(TRIM($B444)="",$D444=""),"",IF(OR(ISNUMBER(SEARCH(_xlfn.CONCAT(CHAR(96),CHAR(34)),$D444)),ISNUMBER(SEARCH(_xlfn.CONCAT(CHAR(34),CHAR(39)),$D444))),_xlfn.CONCAT("* REVIEW REQUIRED: compound-quote delimiter in Item Number on Sheet 1 row ",444,"; edit the input before running."),_xlfn.CONCAT("char ",TRIM($B444),"[doc_itemnum] ",CHAR(96),CHAR(34),SUBSTITUTE(SUBSTITUTE(SUBSTITUTE(SUBSTITUTE(SUBSTITUTE(SUBSTITUTE($D444,CHAR(13)," "),CHAR(10)," "),CHAR(9)," "),CHAR(92),_xlfn.CONCAT(CHAR(92),CHAR(92))),"$",_xlfn.CONCAT(CHAR(92),"$")),CHAR(96),_xlfn.CONCAT(CHAR(92),CHAR(96))),CHAR(34),CHAR(39))))</f>
        <v/>
      </c>
      <c r="O444" s="5" t="str">
        <f>IF(OR(TRIM($B444)="",$E444=""),"",IF(OR(ISNUMBER(SEARCH(_xlfn.CONCAT(CHAR(96),CHAR(34)),$E444)),ISNUMBER(SEARCH(_xlfn.CONCAT(CHAR(34),CHAR(39)),$E444))),_xlfn.CONCAT("* REVIEW REQUIRED: compound-quote delimiter in Question Wording on Sheet 1 row ",444,"; edit the input before running."),_xlfn.CONCAT("char ",TRIM($B444),"[doc_question] ",CHAR(96),CHAR(34),SUBSTITUTE(SUBSTITUTE(SUBSTITUTE(SUBSTITUTE(SUBSTITUTE(SUBSTITUTE($E444,CHAR(13)," "),CHAR(10)," "),CHAR(9)," "),CHAR(92),_xlfn.CONCAT(CHAR(92),CHAR(92))),"$",_xlfn.CONCAT(CHAR(92),"$")),CHAR(96),_xlfn.CONCAT(CHAR(92),CHAR(96))),CHAR(34),CHAR(39))))</f>
        <v/>
      </c>
      <c r="P444" s="5" t="str">
        <f>IF(OR(TRIM($B444)="",$F444=""),"",IF(OR(ISNUMBER(SEARCH(_xlfn.CONCAT(CHAR(96),CHAR(34)),$F444)),ISNUMBER(SEARCH(_xlfn.CONCAT(CHAR(34),CHAR(39)),$F444))),_xlfn.CONCAT("* REVIEW REQUIRED: compound-quote delimiter in Units on Sheet 1 row ",444,"; edit the input before running."),_xlfn.CONCAT("char ",TRIM($B444),"[doc_units] ",CHAR(96),CHAR(34),SUBSTITUTE(SUBSTITUTE(SUBSTITUTE(SUBSTITUTE(SUBSTITUTE(SUBSTITUTE($F444,CHAR(13)," "),CHAR(10)," "),CHAR(9)," "),CHAR(92),_xlfn.CONCAT(CHAR(92),CHAR(92))),"$",_xlfn.CONCAT(CHAR(92),"$")),CHAR(96),_xlfn.CONCAT(CHAR(92),CHAR(96))),CHAR(34),CHAR(39))))</f>
        <v/>
      </c>
      <c r="Q444" s="5" t="str">
        <f>IF(OR(TRIM($B444)="",$G444=""),"",IF(OR(ISNUMBER(SEARCH(_xlfn.CONCAT(CHAR(96),CHAR(34)),$G444)),ISNUMBER(SEARCH(_xlfn.CONCAT(CHAR(34),CHAR(39)),$G444))),_xlfn.CONCAT("* REVIEW REQUIRED: compound-quote delimiter in Universe on Sheet 1 row ",444,"; edit the input before running."),_xlfn.CONCAT("char ",TRIM($B444),"[doc_universe] ",CHAR(96),CHAR(34),SUBSTITUTE(SUBSTITUTE(SUBSTITUTE(SUBSTITUTE(SUBSTITUTE(SUBSTITUTE($G444,CHAR(13)," "),CHAR(10)," "),CHAR(9)," "),CHAR(92),_xlfn.CONCAT(CHAR(92),CHAR(92))),"$",_xlfn.CONCAT(CHAR(92),"$")),CHAR(96),_xlfn.CONCAT(CHAR(92),CHAR(96))),CHAR(34),CHAR(39))))</f>
        <v/>
      </c>
      <c r="R444" s="5" t="str">
        <f>IF(OR(TRIM($B444)="",$H444=""),"",IF(OR(ISNUMBER(SEARCH(_xlfn.CONCAT(CHAR(96),CHAR(34)),$H444)),ISNUMBER(SEARCH(_xlfn.CONCAT(CHAR(34),CHAR(39)),$H444))),_xlfn.CONCAT("* REVIEW REQUIRED: compound-quote delimiter in Source on Sheet 1 row ",444,"; edit the input before running."),_xlfn.CONCAT("char ",TRIM($B444),"[doc_source] ",CHAR(96),CHAR(34),SUBSTITUTE(SUBSTITUTE(SUBSTITUTE(SUBSTITUTE(SUBSTITUTE(SUBSTITUTE($H444,CHAR(13)," "),CHAR(10)," "),CHAR(9)," "),CHAR(92),_xlfn.CONCAT(CHAR(92),CHAR(92))),"$",_xlfn.CONCAT(CHAR(92),"$")),CHAR(96),_xlfn.CONCAT(CHAR(92),CHAR(96))),CHAR(34),CHAR(39))))</f>
        <v/>
      </c>
      <c r="S444" s="5" t="str">
        <f>IF(OR(TRIM($B444)="",$I444=""),"",IF(OR(ISNUMBER(SEARCH(_xlfn.CONCAT(CHAR(96),CHAR(34)),$I444)),ISNUMBER(SEARCH(_xlfn.CONCAT(CHAR(34),CHAR(39)),$I444))),_xlfn.CONCAT("* REVIEW REQUIRED: compound-quote delimiter in Derivation on Sheet 1 row ",444,"; edit the input before running."),_xlfn.CONCAT("char ",TRIM($B444),"[doc_derivation] ",CHAR(96),CHAR(34),SUBSTITUTE(SUBSTITUTE(SUBSTITUTE(SUBSTITUTE(SUBSTITUTE(SUBSTITUTE($I444,CHAR(13)," "),CHAR(10)," "),CHAR(9)," "),CHAR(92),_xlfn.CONCAT(CHAR(92),CHAR(92))),"$",_xlfn.CONCAT(CHAR(92),"$")),CHAR(96),_xlfn.CONCAT(CHAR(92),CHAR(96))),CHAR(34),CHAR(39))))</f>
        <v/>
      </c>
      <c r="T444" s="5" t="str">
        <f>IF(OR(TRIM($B444)="",$J444=""),"",IF(OR(ISNUMBER(SEARCH(_xlfn.CONCAT(CHAR(96),CHAR(34)),$J444)),ISNUMBER(SEARCH(_xlfn.CONCAT(CHAR(34),CHAR(39)),$J444))),_xlfn.CONCAT("* REVIEW REQUIRED: compound-quote delimiter in Notes on Sheet 1 row ",444,"; edit the input before running."),_xlfn.CONCAT("char ",TRIM($B444),"[doc_notes] ",CHAR(96),CHAR(34),SUBSTITUTE(SUBSTITUTE(SUBSTITUTE(SUBSTITUTE(SUBSTITUTE(SUBSTITUTE($J444,CHAR(13)," "),CHAR(10)," "),CHAR(9)," "),CHAR(92),_xlfn.CONCAT(CHAR(92),CHAR(92))),"$",_xlfn.CONCAT(CHAR(92),"$")),CHAR(96),_xlfn.CONCAT(CHAR(92),CHAR(96))),CHAR(34),CHAR(39))))</f>
        <v/>
      </c>
      <c r="U444" s="5">
        <f t="shared" si="13"/>
        <v>0</v>
      </c>
    </row>
    <row r="445" spans="3:21" ht="30" customHeight="1" x14ac:dyDescent="0.2">
      <c r="C445" s="4"/>
      <c r="K445" s="5">
        <f t="shared" si="12"/>
        <v>0</v>
      </c>
      <c r="L445" s="5" t="str">
        <f>IF(OR(TRIM($B445)="",$A445=""),"",IF(OR(ISNUMBER(SEARCH(_xlfn.CONCAT(CHAR(96),CHAR(34)),$A445)),ISNUMBER(SEARCH(_xlfn.CONCAT(CHAR(34),CHAR(39)),$A445))),_xlfn.CONCAT("* REVIEW REQUIRED: compound-quote delimiter in Codebook Section on Sheet 1 row ",445,"; edit the input before running."),_xlfn.CONCAT("char ",TRIM($B445),"[doc_section] ",CHAR(96),CHAR(34),SUBSTITUTE(SUBSTITUTE(SUBSTITUTE(SUBSTITUTE(SUBSTITUTE(SUBSTITUTE($A445,CHAR(13)," "),CHAR(10)," "),CHAR(9)," "),CHAR(92),_xlfn.CONCAT(CHAR(92),CHAR(92))),"$",_xlfn.CONCAT(CHAR(92),"$")),CHAR(96),_xlfn.CONCAT(CHAR(92),CHAR(96))),CHAR(34),CHAR(39))))</f>
        <v/>
      </c>
      <c r="M445" s="5" t="str">
        <f>IF(OR(TRIM($B445)="",$C445=""),"",IF(IFERROR(MATCH(TRIM($C445),{"Quantitative","Continuous","Discrete","Categorical","Nominal","Ordinal","Identifier"},0),0)=0,_xlfn.CONCAT("* REVIEW REQUIRED: invalid Variable Type on Sheet 1 row ",445,"."),_xlfn.CONCAT("char ",TRIM($B445),"[doc_vartype] ",CHAR(96),CHAR(34),SUBSTITUTE(SUBSTITUTE(SUBSTITUTE(SUBSTITUTE(SUBSTITUTE(SUBSTITUTE(LOWER(TRIM($C445)),CHAR(13)," "),CHAR(10)," "),CHAR(9)," "),CHAR(92),_xlfn.CONCAT(CHAR(92),CHAR(92))),"$",_xlfn.CONCAT(CHAR(92),"$")),CHAR(96),_xlfn.CONCAT(CHAR(92),CHAR(96))),CHAR(34),CHAR(39))))</f>
        <v/>
      </c>
      <c r="N445" s="5" t="str">
        <f>IF(OR(TRIM($B445)="",$D445=""),"",IF(OR(ISNUMBER(SEARCH(_xlfn.CONCAT(CHAR(96),CHAR(34)),$D445)),ISNUMBER(SEARCH(_xlfn.CONCAT(CHAR(34),CHAR(39)),$D445))),_xlfn.CONCAT("* REVIEW REQUIRED: compound-quote delimiter in Item Number on Sheet 1 row ",445,"; edit the input before running."),_xlfn.CONCAT("char ",TRIM($B445),"[doc_itemnum] ",CHAR(96),CHAR(34),SUBSTITUTE(SUBSTITUTE(SUBSTITUTE(SUBSTITUTE(SUBSTITUTE(SUBSTITUTE($D445,CHAR(13)," "),CHAR(10)," "),CHAR(9)," "),CHAR(92),_xlfn.CONCAT(CHAR(92),CHAR(92))),"$",_xlfn.CONCAT(CHAR(92),"$")),CHAR(96),_xlfn.CONCAT(CHAR(92),CHAR(96))),CHAR(34),CHAR(39))))</f>
        <v/>
      </c>
      <c r="O445" s="5" t="str">
        <f>IF(OR(TRIM($B445)="",$E445=""),"",IF(OR(ISNUMBER(SEARCH(_xlfn.CONCAT(CHAR(96),CHAR(34)),$E445)),ISNUMBER(SEARCH(_xlfn.CONCAT(CHAR(34),CHAR(39)),$E445))),_xlfn.CONCAT("* REVIEW REQUIRED: compound-quote delimiter in Question Wording on Sheet 1 row ",445,"; edit the input before running."),_xlfn.CONCAT("char ",TRIM($B445),"[doc_question] ",CHAR(96),CHAR(34),SUBSTITUTE(SUBSTITUTE(SUBSTITUTE(SUBSTITUTE(SUBSTITUTE(SUBSTITUTE($E445,CHAR(13)," "),CHAR(10)," "),CHAR(9)," "),CHAR(92),_xlfn.CONCAT(CHAR(92),CHAR(92))),"$",_xlfn.CONCAT(CHAR(92),"$")),CHAR(96),_xlfn.CONCAT(CHAR(92),CHAR(96))),CHAR(34),CHAR(39))))</f>
        <v/>
      </c>
      <c r="P445" s="5" t="str">
        <f>IF(OR(TRIM($B445)="",$F445=""),"",IF(OR(ISNUMBER(SEARCH(_xlfn.CONCAT(CHAR(96),CHAR(34)),$F445)),ISNUMBER(SEARCH(_xlfn.CONCAT(CHAR(34),CHAR(39)),$F445))),_xlfn.CONCAT("* REVIEW REQUIRED: compound-quote delimiter in Units on Sheet 1 row ",445,"; edit the input before running."),_xlfn.CONCAT("char ",TRIM($B445),"[doc_units] ",CHAR(96),CHAR(34),SUBSTITUTE(SUBSTITUTE(SUBSTITUTE(SUBSTITUTE(SUBSTITUTE(SUBSTITUTE($F445,CHAR(13)," "),CHAR(10)," "),CHAR(9)," "),CHAR(92),_xlfn.CONCAT(CHAR(92),CHAR(92))),"$",_xlfn.CONCAT(CHAR(92),"$")),CHAR(96),_xlfn.CONCAT(CHAR(92),CHAR(96))),CHAR(34),CHAR(39))))</f>
        <v/>
      </c>
      <c r="Q445" s="5" t="str">
        <f>IF(OR(TRIM($B445)="",$G445=""),"",IF(OR(ISNUMBER(SEARCH(_xlfn.CONCAT(CHAR(96),CHAR(34)),$G445)),ISNUMBER(SEARCH(_xlfn.CONCAT(CHAR(34),CHAR(39)),$G445))),_xlfn.CONCAT("* REVIEW REQUIRED: compound-quote delimiter in Universe on Sheet 1 row ",445,"; edit the input before running."),_xlfn.CONCAT("char ",TRIM($B445),"[doc_universe] ",CHAR(96),CHAR(34),SUBSTITUTE(SUBSTITUTE(SUBSTITUTE(SUBSTITUTE(SUBSTITUTE(SUBSTITUTE($G445,CHAR(13)," "),CHAR(10)," "),CHAR(9)," "),CHAR(92),_xlfn.CONCAT(CHAR(92),CHAR(92))),"$",_xlfn.CONCAT(CHAR(92),"$")),CHAR(96),_xlfn.CONCAT(CHAR(92),CHAR(96))),CHAR(34),CHAR(39))))</f>
        <v/>
      </c>
      <c r="R445" s="5" t="str">
        <f>IF(OR(TRIM($B445)="",$H445=""),"",IF(OR(ISNUMBER(SEARCH(_xlfn.CONCAT(CHAR(96),CHAR(34)),$H445)),ISNUMBER(SEARCH(_xlfn.CONCAT(CHAR(34),CHAR(39)),$H445))),_xlfn.CONCAT("* REVIEW REQUIRED: compound-quote delimiter in Source on Sheet 1 row ",445,"; edit the input before running."),_xlfn.CONCAT("char ",TRIM($B445),"[doc_source] ",CHAR(96),CHAR(34),SUBSTITUTE(SUBSTITUTE(SUBSTITUTE(SUBSTITUTE(SUBSTITUTE(SUBSTITUTE($H445,CHAR(13)," "),CHAR(10)," "),CHAR(9)," "),CHAR(92),_xlfn.CONCAT(CHAR(92),CHAR(92))),"$",_xlfn.CONCAT(CHAR(92),"$")),CHAR(96),_xlfn.CONCAT(CHAR(92),CHAR(96))),CHAR(34),CHAR(39))))</f>
        <v/>
      </c>
      <c r="S445" s="5" t="str">
        <f>IF(OR(TRIM($B445)="",$I445=""),"",IF(OR(ISNUMBER(SEARCH(_xlfn.CONCAT(CHAR(96),CHAR(34)),$I445)),ISNUMBER(SEARCH(_xlfn.CONCAT(CHAR(34),CHAR(39)),$I445))),_xlfn.CONCAT("* REVIEW REQUIRED: compound-quote delimiter in Derivation on Sheet 1 row ",445,"; edit the input before running."),_xlfn.CONCAT("char ",TRIM($B445),"[doc_derivation] ",CHAR(96),CHAR(34),SUBSTITUTE(SUBSTITUTE(SUBSTITUTE(SUBSTITUTE(SUBSTITUTE(SUBSTITUTE($I445,CHAR(13)," "),CHAR(10)," "),CHAR(9)," "),CHAR(92),_xlfn.CONCAT(CHAR(92),CHAR(92))),"$",_xlfn.CONCAT(CHAR(92),"$")),CHAR(96),_xlfn.CONCAT(CHAR(92),CHAR(96))),CHAR(34),CHAR(39))))</f>
        <v/>
      </c>
      <c r="T445" s="5" t="str">
        <f>IF(OR(TRIM($B445)="",$J445=""),"",IF(OR(ISNUMBER(SEARCH(_xlfn.CONCAT(CHAR(96),CHAR(34)),$J445)),ISNUMBER(SEARCH(_xlfn.CONCAT(CHAR(34),CHAR(39)),$J445))),_xlfn.CONCAT("* REVIEW REQUIRED: compound-quote delimiter in Notes on Sheet 1 row ",445,"; edit the input before running."),_xlfn.CONCAT("char ",TRIM($B445),"[doc_notes] ",CHAR(96),CHAR(34),SUBSTITUTE(SUBSTITUTE(SUBSTITUTE(SUBSTITUTE(SUBSTITUTE(SUBSTITUTE($J445,CHAR(13)," "),CHAR(10)," "),CHAR(9)," "),CHAR(92),_xlfn.CONCAT(CHAR(92),CHAR(92))),"$",_xlfn.CONCAT(CHAR(92),"$")),CHAR(96),_xlfn.CONCAT(CHAR(92),CHAR(96))),CHAR(34),CHAR(39))))</f>
        <v/>
      </c>
      <c r="U445" s="5">
        <f t="shared" si="13"/>
        <v>0</v>
      </c>
    </row>
    <row r="446" spans="3:21" ht="30" customHeight="1" x14ac:dyDescent="0.2">
      <c r="C446" s="4"/>
      <c r="K446" s="5">
        <f t="shared" si="12"/>
        <v>0</v>
      </c>
      <c r="L446" s="5" t="str">
        <f>IF(OR(TRIM($B446)="",$A446=""),"",IF(OR(ISNUMBER(SEARCH(_xlfn.CONCAT(CHAR(96),CHAR(34)),$A446)),ISNUMBER(SEARCH(_xlfn.CONCAT(CHAR(34),CHAR(39)),$A446))),_xlfn.CONCAT("* REVIEW REQUIRED: compound-quote delimiter in Codebook Section on Sheet 1 row ",446,"; edit the input before running."),_xlfn.CONCAT("char ",TRIM($B446),"[doc_section] ",CHAR(96),CHAR(34),SUBSTITUTE(SUBSTITUTE(SUBSTITUTE(SUBSTITUTE(SUBSTITUTE(SUBSTITUTE($A446,CHAR(13)," "),CHAR(10)," "),CHAR(9)," "),CHAR(92),_xlfn.CONCAT(CHAR(92),CHAR(92))),"$",_xlfn.CONCAT(CHAR(92),"$")),CHAR(96),_xlfn.CONCAT(CHAR(92),CHAR(96))),CHAR(34),CHAR(39))))</f>
        <v/>
      </c>
      <c r="M446" s="5" t="str">
        <f>IF(OR(TRIM($B446)="",$C446=""),"",IF(IFERROR(MATCH(TRIM($C446),{"Quantitative","Continuous","Discrete","Categorical","Nominal","Ordinal","Identifier"},0),0)=0,_xlfn.CONCAT("* REVIEW REQUIRED: invalid Variable Type on Sheet 1 row ",446,"."),_xlfn.CONCAT("char ",TRIM($B446),"[doc_vartype] ",CHAR(96),CHAR(34),SUBSTITUTE(SUBSTITUTE(SUBSTITUTE(SUBSTITUTE(SUBSTITUTE(SUBSTITUTE(LOWER(TRIM($C446)),CHAR(13)," "),CHAR(10)," "),CHAR(9)," "),CHAR(92),_xlfn.CONCAT(CHAR(92),CHAR(92))),"$",_xlfn.CONCAT(CHAR(92),"$")),CHAR(96),_xlfn.CONCAT(CHAR(92),CHAR(96))),CHAR(34),CHAR(39))))</f>
        <v/>
      </c>
      <c r="N446" s="5" t="str">
        <f>IF(OR(TRIM($B446)="",$D446=""),"",IF(OR(ISNUMBER(SEARCH(_xlfn.CONCAT(CHAR(96),CHAR(34)),$D446)),ISNUMBER(SEARCH(_xlfn.CONCAT(CHAR(34),CHAR(39)),$D446))),_xlfn.CONCAT("* REVIEW REQUIRED: compound-quote delimiter in Item Number on Sheet 1 row ",446,"; edit the input before running."),_xlfn.CONCAT("char ",TRIM($B446),"[doc_itemnum] ",CHAR(96),CHAR(34),SUBSTITUTE(SUBSTITUTE(SUBSTITUTE(SUBSTITUTE(SUBSTITUTE(SUBSTITUTE($D446,CHAR(13)," "),CHAR(10)," "),CHAR(9)," "),CHAR(92),_xlfn.CONCAT(CHAR(92),CHAR(92))),"$",_xlfn.CONCAT(CHAR(92),"$")),CHAR(96),_xlfn.CONCAT(CHAR(92),CHAR(96))),CHAR(34),CHAR(39))))</f>
        <v/>
      </c>
      <c r="O446" s="5" t="str">
        <f>IF(OR(TRIM($B446)="",$E446=""),"",IF(OR(ISNUMBER(SEARCH(_xlfn.CONCAT(CHAR(96),CHAR(34)),$E446)),ISNUMBER(SEARCH(_xlfn.CONCAT(CHAR(34),CHAR(39)),$E446))),_xlfn.CONCAT("* REVIEW REQUIRED: compound-quote delimiter in Question Wording on Sheet 1 row ",446,"; edit the input before running."),_xlfn.CONCAT("char ",TRIM($B446),"[doc_question] ",CHAR(96),CHAR(34),SUBSTITUTE(SUBSTITUTE(SUBSTITUTE(SUBSTITUTE(SUBSTITUTE(SUBSTITUTE($E446,CHAR(13)," "),CHAR(10)," "),CHAR(9)," "),CHAR(92),_xlfn.CONCAT(CHAR(92),CHAR(92))),"$",_xlfn.CONCAT(CHAR(92),"$")),CHAR(96),_xlfn.CONCAT(CHAR(92),CHAR(96))),CHAR(34),CHAR(39))))</f>
        <v/>
      </c>
      <c r="P446" s="5" t="str">
        <f>IF(OR(TRIM($B446)="",$F446=""),"",IF(OR(ISNUMBER(SEARCH(_xlfn.CONCAT(CHAR(96),CHAR(34)),$F446)),ISNUMBER(SEARCH(_xlfn.CONCAT(CHAR(34),CHAR(39)),$F446))),_xlfn.CONCAT("* REVIEW REQUIRED: compound-quote delimiter in Units on Sheet 1 row ",446,"; edit the input before running."),_xlfn.CONCAT("char ",TRIM($B446),"[doc_units] ",CHAR(96),CHAR(34),SUBSTITUTE(SUBSTITUTE(SUBSTITUTE(SUBSTITUTE(SUBSTITUTE(SUBSTITUTE($F446,CHAR(13)," "),CHAR(10)," "),CHAR(9)," "),CHAR(92),_xlfn.CONCAT(CHAR(92),CHAR(92))),"$",_xlfn.CONCAT(CHAR(92),"$")),CHAR(96),_xlfn.CONCAT(CHAR(92),CHAR(96))),CHAR(34),CHAR(39))))</f>
        <v/>
      </c>
      <c r="Q446" s="5" t="str">
        <f>IF(OR(TRIM($B446)="",$G446=""),"",IF(OR(ISNUMBER(SEARCH(_xlfn.CONCAT(CHAR(96),CHAR(34)),$G446)),ISNUMBER(SEARCH(_xlfn.CONCAT(CHAR(34),CHAR(39)),$G446))),_xlfn.CONCAT("* REVIEW REQUIRED: compound-quote delimiter in Universe on Sheet 1 row ",446,"; edit the input before running."),_xlfn.CONCAT("char ",TRIM($B446),"[doc_universe] ",CHAR(96),CHAR(34),SUBSTITUTE(SUBSTITUTE(SUBSTITUTE(SUBSTITUTE(SUBSTITUTE(SUBSTITUTE($G446,CHAR(13)," "),CHAR(10)," "),CHAR(9)," "),CHAR(92),_xlfn.CONCAT(CHAR(92),CHAR(92))),"$",_xlfn.CONCAT(CHAR(92),"$")),CHAR(96),_xlfn.CONCAT(CHAR(92),CHAR(96))),CHAR(34),CHAR(39))))</f>
        <v/>
      </c>
      <c r="R446" s="5" t="str">
        <f>IF(OR(TRIM($B446)="",$H446=""),"",IF(OR(ISNUMBER(SEARCH(_xlfn.CONCAT(CHAR(96),CHAR(34)),$H446)),ISNUMBER(SEARCH(_xlfn.CONCAT(CHAR(34),CHAR(39)),$H446))),_xlfn.CONCAT("* REVIEW REQUIRED: compound-quote delimiter in Source on Sheet 1 row ",446,"; edit the input before running."),_xlfn.CONCAT("char ",TRIM($B446),"[doc_source] ",CHAR(96),CHAR(34),SUBSTITUTE(SUBSTITUTE(SUBSTITUTE(SUBSTITUTE(SUBSTITUTE(SUBSTITUTE($H446,CHAR(13)," "),CHAR(10)," "),CHAR(9)," "),CHAR(92),_xlfn.CONCAT(CHAR(92),CHAR(92))),"$",_xlfn.CONCAT(CHAR(92),"$")),CHAR(96),_xlfn.CONCAT(CHAR(92),CHAR(96))),CHAR(34),CHAR(39))))</f>
        <v/>
      </c>
      <c r="S446" s="5" t="str">
        <f>IF(OR(TRIM($B446)="",$I446=""),"",IF(OR(ISNUMBER(SEARCH(_xlfn.CONCAT(CHAR(96),CHAR(34)),$I446)),ISNUMBER(SEARCH(_xlfn.CONCAT(CHAR(34),CHAR(39)),$I446))),_xlfn.CONCAT("* REVIEW REQUIRED: compound-quote delimiter in Derivation on Sheet 1 row ",446,"; edit the input before running."),_xlfn.CONCAT("char ",TRIM($B446),"[doc_derivation] ",CHAR(96),CHAR(34),SUBSTITUTE(SUBSTITUTE(SUBSTITUTE(SUBSTITUTE(SUBSTITUTE(SUBSTITUTE($I446,CHAR(13)," "),CHAR(10)," "),CHAR(9)," "),CHAR(92),_xlfn.CONCAT(CHAR(92),CHAR(92))),"$",_xlfn.CONCAT(CHAR(92),"$")),CHAR(96),_xlfn.CONCAT(CHAR(92),CHAR(96))),CHAR(34),CHAR(39))))</f>
        <v/>
      </c>
      <c r="T446" s="5" t="str">
        <f>IF(OR(TRIM($B446)="",$J446=""),"",IF(OR(ISNUMBER(SEARCH(_xlfn.CONCAT(CHAR(96),CHAR(34)),$J446)),ISNUMBER(SEARCH(_xlfn.CONCAT(CHAR(34),CHAR(39)),$J446))),_xlfn.CONCAT("* REVIEW REQUIRED: compound-quote delimiter in Notes on Sheet 1 row ",446,"; edit the input before running."),_xlfn.CONCAT("char ",TRIM($B446),"[doc_notes] ",CHAR(96),CHAR(34),SUBSTITUTE(SUBSTITUTE(SUBSTITUTE(SUBSTITUTE(SUBSTITUTE(SUBSTITUTE($J446,CHAR(13)," "),CHAR(10)," "),CHAR(9)," "),CHAR(92),_xlfn.CONCAT(CHAR(92),CHAR(92))),"$",_xlfn.CONCAT(CHAR(92),"$")),CHAR(96),_xlfn.CONCAT(CHAR(92),CHAR(96))),CHAR(34),CHAR(39))))</f>
        <v/>
      </c>
      <c r="U446" s="5">
        <f t="shared" si="13"/>
        <v>0</v>
      </c>
    </row>
    <row r="447" spans="3:21" ht="30" customHeight="1" x14ac:dyDescent="0.2">
      <c r="C447" s="4"/>
      <c r="K447" s="5">
        <f t="shared" si="12"/>
        <v>0</v>
      </c>
      <c r="L447" s="5" t="str">
        <f>IF(OR(TRIM($B447)="",$A447=""),"",IF(OR(ISNUMBER(SEARCH(_xlfn.CONCAT(CHAR(96),CHAR(34)),$A447)),ISNUMBER(SEARCH(_xlfn.CONCAT(CHAR(34),CHAR(39)),$A447))),_xlfn.CONCAT("* REVIEW REQUIRED: compound-quote delimiter in Codebook Section on Sheet 1 row ",447,"; edit the input before running."),_xlfn.CONCAT("char ",TRIM($B447),"[doc_section] ",CHAR(96),CHAR(34),SUBSTITUTE(SUBSTITUTE(SUBSTITUTE(SUBSTITUTE(SUBSTITUTE(SUBSTITUTE($A447,CHAR(13)," "),CHAR(10)," "),CHAR(9)," "),CHAR(92),_xlfn.CONCAT(CHAR(92),CHAR(92))),"$",_xlfn.CONCAT(CHAR(92),"$")),CHAR(96),_xlfn.CONCAT(CHAR(92),CHAR(96))),CHAR(34),CHAR(39))))</f>
        <v/>
      </c>
      <c r="M447" s="5" t="str">
        <f>IF(OR(TRIM($B447)="",$C447=""),"",IF(IFERROR(MATCH(TRIM($C447),{"Quantitative","Continuous","Discrete","Categorical","Nominal","Ordinal","Identifier"},0),0)=0,_xlfn.CONCAT("* REVIEW REQUIRED: invalid Variable Type on Sheet 1 row ",447,"."),_xlfn.CONCAT("char ",TRIM($B447),"[doc_vartype] ",CHAR(96),CHAR(34),SUBSTITUTE(SUBSTITUTE(SUBSTITUTE(SUBSTITUTE(SUBSTITUTE(SUBSTITUTE(LOWER(TRIM($C447)),CHAR(13)," "),CHAR(10)," "),CHAR(9)," "),CHAR(92),_xlfn.CONCAT(CHAR(92),CHAR(92))),"$",_xlfn.CONCAT(CHAR(92),"$")),CHAR(96),_xlfn.CONCAT(CHAR(92),CHAR(96))),CHAR(34),CHAR(39))))</f>
        <v/>
      </c>
      <c r="N447" s="5" t="str">
        <f>IF(OR(TRIM($B447)="",$D447=""),"",IF(OR(ISNUMBER(SEARCH(_xlfn.CONCAT(CHAR(96),CHAR(34)),$D447)),ISNUMBER(SEARCH(_xlfn.CONCAT(CHAR(34),CHAR(39)),$D447))),_xlfn.CONCAT("* REVIEW REQUIRED: compound-quote delimiter in Item Number on Sheet 1 row ",447,"; edit the input before running."),_xlfn.CONCAT("char ",TRIM($B447),"[doc_itemnum] ",CHAR(96),CHAR(34),SUBSTITUTE(SUBSTITUTE(SUBSTITUTE(SUBSTITUTE(SUBSTITUTE(SUBSTITUTE($D447,CHAR(13)," "),CHAR(10)," "),CHAR(9)," "),CHAR(92),_xlfn.CONCAT(CHAR(92),CHAR(92))),"$",_xlfn.CONCAT(CHAR(92),"$")),CHAR(96),_xlfn.CONCAT(CHAR(92),CHAR(96))),CHAR(34),CHAR(39))))</f>
        <v/>
      </c>
      <c r="O447" s="5" t="str">
        <f>IF(OR(TRIM($B447)="",$E447=""),"",IF(OR(ISNUMBER(SEARCH(_xlfn.CONCAT(CHAR(96),CHAR(34)),$E447)),ISNUMBER(SEARCH(_xlfn.CONCAT(CHAR(34),CHAR(39)),$E447))),_xlfn.CONCAT("* REVIEW REQUIRED: compound-quote delimiter in Question Wording on Sheet 1 row ",447,"; edit the input before running."),_xlfn.CONCAT("char ",TRIM($B447),"[doc_question] ",CHAR(96),CHAR(34),SUBSTITUTE(SUBSTITUTE(SUBSTITUTE(SUBSTITUTE(SUBSTITUTE(SUBSTITUTE($E447,CHAR(13)," "),CHAR(10)," "),CHAR(9)," "),CHAR(92),_xlfn.CONCAT(CHAR(92),CHAR(92))),"$",_xlfn.CONCAT(CHAR(92),"$")),CHAR(96),_xlfn.CONCAT(CHAR(92),CHAR(96))),CHAR(34),CHAR(39))))</f>
        <v/>
      </c>
      <c r="P447" s="5" t="str">
        <f>IF(OR(TRIM($B447)="",$F447=""),"",IF(OR(ISNUMBER(SEARCH(_xlfn.CONCAT(CHAR(96),CHAR(34)),$F447)),ISNUMBER(SEARCH(_xlfn.CONCAT(CHAR(34),CHAR(39)),$F447))),_xlfn.CONCAT("* REVIEW REQUIRED: compound-quote delimiter in Units on Sheet 1 row ",447,"; edit the input before running."),_xlfn.CONCAT("char ",TRIM($B447),"[doc_units] ",CHAR(96),CHAR(34),SUBSTITUTE(SUBSTITUTE(SUBSTITUTE(SUBSTITUTE(SUBSTITUTE(SUBSTITUTE($F447,CHAR(13)," "),CHAR(10)," "),CHAR(9)," "),CHAR(92),_xlfn.CONCAT(CHAR(92),CHAR(92))),"$",_xlfn.CONCAT(CHAR(92),"$")),CHAR(96),_xlfn.CONCAT(CHAR(92),CHAR(96))),CHAR(34),CHAR(39))))</f>
        <v/>
      </c>
      <c r="Q447" s="5" t="str">
        <f>IF(OR(TRIM($B447)="",$G447=""),"",IF(OR(ISNUMBER(SEARCH(_xlfn.CONCAT(CHAR(96),CHAR(34)),$G447)),ISNUMBER(SEARCH(_xlfn.CONCAT(CHAR(34),CHAR(39)),$G447))),_xlfn.CONCAT("* REVIEW REQUIRED: compound-quote delimiter in Universe on Sheet 1 row ",447,"; edit the input before running."),_xlfn.CONCAT("char ",TRIM($B447),"[doc_universe] ",CHAR(96),CHAR(34),SUBSTITUTE(SUBSTITUTE(SUBSTITUTE(SUBSTITUTE(SUBSTITUTE(SUBSTITUTE($G447,CHAR(13)," "),CHAR(10)," "),CHAR(9)," "),CHAR(92),_xlfn.CONCAT(CHAR(92),CHAR(92))),"$",_xlfn.CONCAT(CHAR(92),"$")),CHAR(96),_xlfn.CONCAT(CHAR(92),CHAR(96))),CHAR(34),CHAR(39))))</f>
        <v/>
      </c>
      <c r="R447" s="5" t="str">
        <f>IF(OR(TRIM($B447)="",$H447=""),"",IF(OR(ISNUMBER(SEARCH(_xlfn.CONCAT(CHAR(96),CHAR(34)),$H447)),ISNUMBER(SEARCH(_xlfn.CONCAT(CHAR(34),CHAR(39)),$H447))),_xlfn.CONCAT("* REVIEW REQUIRED: compound-quote delimiter in Source on Sheet 1 row ",447,"; edit the input before running."),_xlfn.CONCAT("char ",TRIM($B447),"[doc_source] ",CHAR(96),CHAR(34),SUBSTITUTE(SUBSTITUTE(SUBSTITUTE(SUBSTITUTE(SUBSTITUTE(SUBSTITUTE($H447,CHAR(13)," "),CHAR(10)," "),CHAR(9)," "),CHAR(92),_xlfn.CONCAT(CHAR(92),CHAR(92))),"$",_xlfn.CONCAT(CHAR(92),"$")),CHAR(96),_xlfn.CONCAT(CHAR(92),CHAR(96))),CHAR(34),CHAR(39))))</f>
        <v/>
      </c>
      <c r="S447" s="5" t="str">
        <f>IF(OR(TRIM($B447)="",$I447=""),"",IF(OR(ISNUMBER(SEARCH(_xlfn.CONCAT(CHAR(96),CHAR(34)),$I447)),ISNUMBER(SEARCH(_xlfn.CONCAT(CHAR(34),CHAR(39)),$I447))),_xlfn.CONCAT("* REVIEW REQUIRED: compound-quote delimiter in Derivation on Sheet 1 row ",447,"; edit the input before running."),_xlfn.CONCAT("char ",TRIM($B447),"[doc_derivation] ",CHAR(96),CHAR(34),SUBSTITUTE(SUBSTITUTE(SUBSTITUTE(SUBSTITUTE(SUBSTITUTE(SUBSTITUTE($I447,CHAR(13)," "),CHAR(10)," "),CHAR(9)," "),CHAR(92),_xlfn.CONCAT(CHAR(92),CHAR(92))),"$",_xlfn.CONCAT(CHAR(92),"$")),CHAR(96),_xlfn.CONCAT(CHAR(92),CHAR(96))),CHAR(34),CHAR(39))))</f>
        <v/>
      </c>
      <c r="T447" s="5" t="str">
        <f>IF(OR(TRIM($B447)="",$J447=""),"",IF(OR(ISNUMBER(SEARCH(_xlfn.CONCAT(CHAR(96),CHAR(34)),$J447)),ISNUMBER(SEARCH(_xlfn.CONCAT(CHAR(34),CHAR(39)),$J447))),_xlfn.CONCAT("* REVIEW REQUIRED: compound-quote delimiter in Notes on Sheet 1 row ",447,"; edit the input before running."),_xlfn.CONCAT("char ",TRIM($B447),"[doc_notes] ",CHAR(96),CHAR(34),SUBSTITUTE(SUBSTITUTE(SUBSTITUTE(SUBSTITUTE(SUBSTITUTE(SUBSTITUTE($J447,CHAR(13)," "),CHAR(10)," "),CHAR(9)," "),CHAR(92),_xlfn.CONCAT(CHAR(92),CHAR(92))),"$",_xlfn.CONCAT(CHAR(92),"$")),CHAR(96),_xlfn.CONCAT(CHAR(92),CHAR(96))),CHAR(34),CHAR(39))))</f>
        <v/>
      </c>
      <c r="U447" s="5">
        <f t="shared" si="13"/>
        <v>0</v>
      </c>
    </row>
    <row r="448" spans="3:21" ht="30" customHeight="1" x14ac:dyDescent="0.2">
      <c r="C448" s="4"/>
      <c r="K448" s="5">
        <f t="shared" si="12"/>
        <v>0</v>
      </c>
      <c r="L448" s="5" t="str">
        <f>IF(OR(TRIM($B448)="",$A448=""),"",IF(OR(ISNUMBER(SEARCH(_xlfn.CONCAT(CHAR(96),CHAR(34)),$A448)),ISNUMBER(SEARCH(_xlfn.CONCAT(CHAR(34),CHAR(39)),$A448))),_xlfn.CONCAT("* REVIEW REQUIRED: compound-quote delimiter in Codebook Section on Sheet 1 row ",448,"; edit the input before running."),_xlfn.CONCAT("char ",TRIM($B448),"[doc_section] ",CHAR(96),CHAR(34),SUBSTITUTE(SUBSTITUTE(SUBSTITUTE(SUBSTITUTE(SUBSTITUTE(SUBSTITUTE($A448,CHAR(13)," "),CHAR(10)," "),CHAR(9)," "),CHAR(92),_xlfn.CONCAT(CHAR(92),CHAR(92))),"$",_xlfn.CONCAT(CHAR(92),"$")),CHAR(96),_xlfn.CONCAT(CHAR(92),CHAR(96))),CHAR(34),CHAR(39))))</f>
        <v/>
      </c>
      <c r="M448" s="5" t="str">
        <f>IF(OR(TRIM($B448)="",$C448=""),"",IF(IFERROR(MATCH(TRIM($C448),{"Quantitative","Continuous","Discrete","Categorical","Nominal","Ordinal","Identifier"},0),0)=0,_xlfn.CONCAT("* REVIEW REQUIRED: invalid Variable Type on Sheet 1 row ",448,"."),_xlfn.CONCAT("char ",TRIM($B448),"[doc_vartype] ",CHAR(96),CHAR(34),SUBSTITUTE(SUBSTITUTE(SUBSTITUTE(SUBSTITUTE(SUBSTITUTE(SUBSTITUTE(LOWER(TRIM($C448)),CHAR(13)," "),CHAR(10)," "),CHAR(9)," "),CHAR(92),_xlfn.CONCAT(CHAR(92),CHAR(92))),"$",_xlfn.CONCAT(CHAR(92),"$")),CHAR(96),_xlfn.CONCAT(CHAR(92),CHAR(96))),CHAR(34),CHAR(39))))</f>
        <v/>
      </c>
      <c r="N448" s="5" t="str">
        <f>IF(OR(TRIM($B448)="",$D448=""),"",IF(OR(ISNUMBER(SEARCH(_xlfn.CONCAT(CHAR(96),CHAR(34)),$D448)),ISNUMBER(SEARCH(_xlfn.CONCAT(CHAR(34),CHAR(39)),$D448))),_xlfn.CONCAT("* REVIEW REQUIRED: compound-quote delimiter in Item Number on Sheet 1 row ",448,"; edit the input before running."),_xlfn.CONCAT("char ",TRIM($B448),"[doc_itemnum] ",CHAR(96),CHAR(34),SUBSTITUTE(SUBSTITUTE(SUBSTITUTE(SUBSTITUTE(SUBSTITUTE(SUBSTITUTE($D448,CHAR(13)," "),CHAR(10)," "),CHAR(9)," "),CHAR(92),_xlfn.CONCAT(CHAR(92),CHAR(92))),"$",_xlfn.CONCAT(CHAR(92),"$")),CHAR(96),_xlfn.CONCAT(CHAR(92),CHAR(96))),CHAR(34),CHAR(39))))</f>
        <v/>
      </c>
      <c r="O448" s="5" t="str">
        <f>IF(OR(TRIM($B448)="",$E448=""),"",IF(OR(ISNUMBER(SEARCH(_xlfn.CONCAT(CHAR(96),CHAR(34)),$E448)),ISNUMBER(SEARCH(_xlfn.CONCAT(CHAR(34),CHAR(39)),$E448))),_xlfn.CONCAT("* REVIEW REQUIRED: compound-quote delimiter in Question Wording on Sheet 1 row ",448,"; edit the input before running."),_xlfn.CONCAT("char ",TRIM($B448),"[doc_question] ",CHAR(96),CHAR(34),SUBSTITUTE(SUBSTITUTE(SUBSTITUTE(SUBSTITUTE(SUBSTITUTE(SUBSTITUTE($E448,CHAR(13)," "),CHAR(10)," "),CHAR(9)," "),CHAR(92),_xlfn.CONCAT(CHAR(92),CHAR(92))),"$",_xlfn.CONCAT(CHAR(92),"$")),CHAR(96),_xlfn.CONCAT(CHAR(92),CHAR(96))),CHAR(34),CHAR(39))))</f>
        <v/>
      </c>
      <c r="P448" s="5" t="str">
        <f>IF(OR(TRIM($B448)="",$F448=""),"",IF(OR(ISNUMBER(SEARCH(_xlfn.CONCAT(CHAR(96),CHAR(34)),$F448)),ISNUMBER(SEARCH(_xlfn.CONCAT(CHAR(34),CHAR(39)),$F448))),_xlfn.CONCAT("* REVIEW REQUIRED: compound-quote delimiter in Units on Sheet 1 row ",448,"; edit the input before running."),_xlfn.CONCAT("char ",TRIM($B448),"[doc_units] ",CHAR(96),CHAR(34),SUBSTITUTE(SUBSTITUTE(SUBSTITUTE(SUBSTITUTE(SUBSTITUTE(SUBSTITUTE($F448,CHAR(13)," "),CHAR(10)," "),CHAR(9)," "),CHAR(92),_xlfn.CONCAT(CHAR(92),CHAR(92))),"$",_xlfn.CONCAT(CHAR(92),"$")),CHAR(96),_xlfn.CONCAT(CHAR(92),CHAR(96))),CHAR(34),CHAR(39))))</f>
        <v/>
      </c>
      <c r="Q448" s="5" t="str">
        <f>IF(OR(TRIM($B448)="",$G448=""),"",IF(OR(ISNUMBER(SEARCH(_xlfn.CONCAT(CHAR(96),CHAR(34)),$G448)),ISNUMBER(SEARCH(_xlfn.CONCAT(CHAR(34),CHAR(39)),$G448))),_xlfn.CONCAT("* REVIEW REQUIRED: compound-quote delimiter in Universe on Sheet 1 row ",448,"; edit the input before running."),_xlfn.CONCAT("char ",TRIM($B448),"[doc_universe] ",CHAR(96),CHAR(34),SUBSTITUTE(SUBSTITUTE(SUBSTITUTE(SUBSTITUTE(SUBSTITUTE(SUBSTITUTE($G448,CHAR(13)," "),CHAR(10)," "),CHAR(9)," "),CHAR(92),_xlfn.CONCAT(CHAR(92),CHAR(92))),"$",_xlfn.CONCAT(CHAR(92),"$")),CHAR(96),_xlfn.CONCAT(CHAR(92),CHAR(96))),CHAR(34),CHAR(39))))</f>
        <v/>
      </c>
      <c r="R448" s="5" t="str">
        <f>IF(OR(TRIM($B448)="",$H448=""),"",IF(OR(ISNUMBER(SEARCH(_xlfn.CONCAT(CHAR(96),CHAR(34)),$H448)),ISNUMBER(SEARCH(_xlfn.CONCAT(CHAR(34),CHAR(39)),$H448))),_xlfn.CONCAT("* REVIEW REQUIRED: compound-quote delimiter in Source on Sheet 1 row ",448,"; edit the input before running."),_xlfn.CONCAT("char ",TRIM($B448),"[doc_source] ",CHAR(96),CHAR(34),SUBSTITUTE(SUBSTITUTE(SUBSTITUTE(SUBSTITUTE(SUBSTITUTE(SUBSTITUTE($H448,CHAR(13)," "),CHAR(10)," "),CHAR(9)," "),CHAR(92),_xlfn.CONCAT(CHAR(92),CHAR(92))),"$",_xlfn.CONCAT(CHAR(92),"$")),CHAR(96),_xlfn.CONCAT(CHAR(92),CHAR(96))),CHAR(34),CHAR(39))))</f>
        <v/>
      </c>
      <c r="S448" s="5" t="str">
        <f>IF(OR(TRIM($B448)="",$I448=""),"",IF(OR(ISNUMBER(SEARCH(_xlfn.CONCAT(CHAR(96),CHAR(34)),$I448)),ISNUMBER(SEARCH(_xlfn.CONCAT(CHAR(34),CHAR(39)),$I448))),_xlfn.CONCAT("* REVIEW REQUIRED: compound-quote delimiter in Derivation on Sheet 1 row ",448,"; edit the input before running."),_xlfn.CONCAT("char ",TRIM($B448),"[doc_derivation] ",CHAR(96),CHAR(34),SUBSTITUTE(SUBSTITUTE(SUBSTITUTE(SUBSTITUTE(SUBSTITUTE(SUBSTITUTE($I448,CHAR(13)," "),CHAR(10)," "),CHAR(9)," "),CHAR(92),_xlfn.CONCAT(CHAR(92),CHAR(92))),"$",_xlfn.CONCAT(CHAR(92),"$")),CHAR(96),_xlfn.CONCAT(CHAR(92),CHAR(96))),CHAR(34),CHAR(39))))</f>
        <v/>
      </c>
      <c r="T448" s="5" t="str">
        <f>IF(OR(TRIM($B448)="",$J448=""),"",IF(OR(ISNUMBER(SEARCH(_xlfn.CONCAT(CHAR(96),CHAR(34)),$J448)),ISNUMBER(SEARCH(_xlfn.CONCAT(CHAR(34),CHAR(39)),$J448))),_xlfn.CONCAT("* REVIEW REQUIRED: compound-quote delimiter in Notes on Sheet 1 row ",448,"; edit the input before running."),_xlfn.CONCAT("char ",TRIM($B448),"[doc_notes] ",CHAR(96),CHAR(34),SUBSTITUTE(SUBSTITUTE(SUBSTITUTE(SUBSTITUTE(SUBSTITUTE(SUBSTITUTE($J448,CHAR(13)," "),CHAR(10)," "),CHAR(9)," "),CHAR(92),_xlfn.CONCAT(CHAR(92),CHAR(92))),"$",_xlfn.CONCAT(CHAR(92),"$")),CHAR(96),_xlfn.CONCAT(CHAR(92),CHAR(96))),CHAR(34),CHAR(39))))</f>
        <v/>
      </c>
      <c r="U448" s="5">
        <f t="shared" si="13"/>
        <v>0</v>
      </c>
    </row>
    <row r="449" spans="3:21" ht="30" customHeight="1" x14ac:dyDescent="0.2">
      <c r="C449" s="4"/>
      <c r="K449" s="5">
        <f t="shared" si="12"/>
        <v>0</v>
      </c>
      <c r="L449" s="5" t="str">
        <f>IF(OR(TRIM($B449)="",$A449=""),"",IF(OR(ISNUMBER(SEARCH(_xlfn.CONCAT(CHAR(96),CHAR(34)),$A449)),ISNUMBER(SEARCH(_xlfn.CONCAT(CHAR(34),CHAR(39)),$A449))),_xlfn.CONCAT("* REVIEW REQUIRED: compound-quote delimiter in Codebook Section on Sheet 1 row ",449,"; edit the input before running."),_xlfn.CONCAT("char ",TRIM($B449),"[doc_section] ",CHAR(96),CHAR(34),SUBSTITUTE(SUBSTITUTE(SUBSTITUTE(SUBSTITUTE(SUBSTITUTE(SUBSTITUTE($A449,CHAR(13)," "),CHAR(10)," "),CHAR(9)," "),CHAR(92),_xlfn.CONCAT(CHAR(92),CHAR(92))),"$",_xlfn.CONCAT(CHAR(92),"$")),CHAR(96),_xlfn.CONCAT(CHAR(92),CHAR(96))),CHAR(34),CHAR(39))))</f>
        <v/>
      </c>
      <c r="M449" s="5" t="str">
        <f>IF(OR(TRIM($B449)="",$C449=""),"",IF(IFERROR(MATCH(TRIM($C449),{"Quantitative","Continuous","Discrete","Categorical","Nominal","Ordinal","Identifier"},0),0)=0,_xlfn.CONCAT("* REVIEW REQUIRED: invalid Variable Type on Sheet 1 row ",449,"."),_xlfn.CONCAT("char ",TRIM($B449),"[doc_vartype] ",CHAR(96),CHAR(34),SUBSTITUTE(SUBSTITUTE(SUBSTITUTE(SUBSTITUTE(SUBSTITUTE(SUBSTITUTE(LOWER(TRIM($C449)),CHAR(13)," "),CHAR(10)," "),CHAR(9)," "),CHAR(92),_xlfn.CONCAT(CHAR(92),CHAR(92))),"$",_xlfn.CONCAT(CHAR(92),"$")),CHAR(96),_xlfn.CONCAT(CHAR(92),CHAR(96))),CHAR(34),CHAR(39))))</f>
        <v/>
      </c>
      <c r="N449" s="5" t="str">
        <f>IF(OR(TRIM($B449)="",$D449=""),"",IF(OR(ISNUMBER(SEARCH(_xlfn.CONCAT(CHAR(96),CHAR(34)),$D449)),ISNUMBER(SEARCH(_xlfn.CONCAT(CHAR(34),CHAR(39)),$D449))),_xlfn.CONCAT("* REVIEW REQUIRED: compound-quote delimiter in Item Number on Sheet 1 row ",449,"; edit the input before running."),_xlfn.CONCAT("char ",TRIM($B449),"[doc_itemnum] ",CHAR(96),CHAR(34),SUBSTITUTE(SUBSTITUTE(SUBSTITUTE(SUBSTITUTE(SUBSTITUTE(SUBSTITUTE($D449,CHAR(13)," "),CHAR(10)," "),CHAR(9)," "),CHAR(92),_xlfn.CONCAT(CHAR(92),CHAR(92))),"$",_xlfn.CONCAT(CHAR(92),"$")),CHAR(96),_xlfn.CONCAT(CHAR(92),CHAR(96))),CHAR(34),CHAR(39))))</f>
        <v/>
      </c>
      <c r="O449" s="5" t="str">
        <f>IF(OR(TRIM($B449)="",$E449=""),"",IF(OR(ISNUMBER(SEARCH(_xlfn.CONCAT(CHAR(96),CHAR(34)),$E449)),ISNUMBER(SEARCH(_xlfn.CONCAT(CHAR(34),CHAR(39)),$E449))),_xlfn.CONCAT("* REVIEW REQUIRED: compound-quote delimiter in Question Wording on Sheet 1 row ",449,"; edit the input before running."),_xlfn.CONCAT("char ",TRIM($B449),"[doc_question] ",CHAR(96),CHAR(34),SUBSTITUTE(SUBSTITUTE(SUBSTITUTE(SUBSTITUTE(SUBSTITUTE(SUBSTITUTE($E449,CHAR(13)," "),CHAR(10)," "),CHAR(9)," "),CHAR(92),_xlfn.CONCAT(CHAR(92),CHAR(92))),"$",_xlfn.CONCAT(CHAR(92),"$")),CHAR(96),_xlfn.CONCAT(CHAR(92),CHAR(96))),CHAR(34),CHAR(39))))</f>
        <v/>
      </c>
      <c r="P449" s="5" t="str">
        <f>IF(OR(TRIM($B449)="",$F449=""),"",IF(OR(ISNUMBER(SEARCH(_xlfn.CONCAT(CHAR(96),CHAR(34)),$F449)),ISNUMBER(SEARCH(_xlfn.CONCAT(CHAR(34),CHAR(39)),$F449))),_xlfn.CONCAT("* REVIEW REQUIRED: compound-quote delimiter in Units on Sheet 1 row ",449,"; edit the input before running."),_xlfn.CONCAT("char ",TRIM($B449),"[doc_units] ",CHAR(96),CHAR(34),SUBSTITUTE(SUBSTITUTE(SUBSTITUTE(SUBSTITUTE(SUBSTITUTE(SUBSTITUTE($F449,CHAR(13)," "),CHAR(10)," "),CHAR(9)," "),CHAR(92),_xlfn.CONCAT(CHAR(92),CHAR(92))),"$",_xlfn.CONCAT(CHAR(92),"$")),CHAR(96),_xlfn.CONCAT(CHAR(92),CHAR(96))),CHAR(34),CHAR(39))))</f>
        <v/>
      </c>
      <c r="Q449" s="5" t="str">
        <f>IF(OR(TRIM($B449)="",$G449=""),"",IF(OR(ISNUMBER(SEARCH(_xlfn.CONCAT(CHAR(96),CHAR(34)),$G449)),ISNUMBER(SEARCH(_xlfn.CONCAT(CHAR(34),CHAR(39)),$G449))),_xlfn.CONCAT("* REVIEW REQUIRED: compound-quote delimiter in Universe on Sheet 1 row ",449,"; edit the input before running."),_xlfn.CONCAT("char ",TRIM($B449),"[doc_universe] ",CHAR(96),CHAR(34),SUBSTITUTE(SUBSTITUTE(SUBSTITUTE(SUBSTITUTE(SUBSTITUTE(SUBSTITUTE($G449,CHAR(13)," "),CHAR(10)," "),CHAR(9)," "),CHAR(92),_xlfn.CONCAT(CHAR(92),CHAR(92))),"$",_xlfn.CONCAT(CHAR(92),"$")),CHAR(96),_xlfn.CONCAT(CHAR(92),CHAR(96))),CHAR(34),CHAR(39))))</f>
        <v/>
      </c>
      <c r="R449" s="5" t="str">
        <f>IF(OR(TRIM($B449)="",$H449=""),"",IF(OR(ISNUMBER(SEARCH(_xlfn.CONCAT(CHAR(96),CHAR(34)),$H449)),ISNUMBER(SEARCH(_xlfn.CONCAT(CHAR(34),CHAR(39)),$H449))),_xlfn.CONCAT("* REVIEW REQUIRED: compound-quote delimiter in Source on Sheet 1 row ",449,"; edit the input before running."),_xlfn.CONCAT("char ",TRIM($B449),"[doc_source] ",CHAR(96),CHAR(34),SUBSTITUTE(SUBSTITUTE(SUBSTITUTE(SUBSTITUTE(SUBSTITUTE(SUBSTITUTE($H449,CHAR(13)," "),CHAR(10)," "),CHAR(9)," "),CHAR(92),_xlfn.CONCAT(CHAR(92),CHAR(92))),"$",_xlfn.CONCAT(CHAR(92),"$")),CHAR(96),_xlfn.CONCAT(CHAR(92),CHAR(96))),CHAR(34),CHAR(39))))</f>
        <v/>
      </c>
      <c r="S449" s="5" t="str">
        <f>IF(OR(TRIM($B449)="",$I449=""),"",IF(OR(ISNUMBER(SEARCH(_xlfn.CONCAT(CHAR(96),CHAR(34)),$I449)),ISNUMBER(SEARCH(_xlfn.CONCAT(CHAR(34),CHAR(39)),$I449))),_xlfn.CONCAT("* REVIEW REQUIRED: compound-quote delimiter in Derivation on Sheet 1 row ",449,"; edit the input before running."),_xlfn.CONCAT("char ",TRIM($B449),"[doc_derivation] ",CHAR(96),CHAR(34),SUBSTITUTE(SUBSTITUTE(SUBSTITUTE(SUBSTITUTE(SUBSTITUTE(SUBSTITUTE($I449,CHAR(13)," "),CHAR(10)," "),CHAR(9)," "),CHAR(92),_xlfn.CONCAT(CHAR(92),CHAR(92))),"$",_xlfn.CONCAT(CHAR(92),"$")),CHAR(96),_xlfn.CONCAT(CHAR(92),CHAR(96))),CHAR(34),CHAR(39))))</f>
        <v/>
      </c>
      <c r="T449" s="5" t="str">
        <f>IF(OR(TRIM($B449)="",$J449=""),"",IF(OR(ISNUMBER(SEARCH(_xlfn.CONCAT(CHAR(96),CHAR(34)),$J449)),ISNUMBER(SEARCH(_xlfn.CONCAT(CHAR(34),CHAR(39)),$J449))),_xlfn.CONCAT("* REVIEW REQUIRED: compound-quote delimiter in Notes on Sheet 1 row ",449,"; edit the input before running."),_xlfn.CONCAT("char ",TRIM($B449),"[doc_notes] ",CHAR(96),CHAR(34),SUBSTITUTE(SUBSTITUTE(SUBSTITUTE(SUBSTITUTE(SUBSTITUTE(SUBSTITUTE($J449,CHAR(13)," "),CHAR(10)," "),CHAR(9)," "),CHAR(92),_xlfn.CONCAT(CHAR(92),CHAR(92))),"$",_xlfn.CONCAT(CHAR(92),"$")),CHAR(96),_xlfn.CONCAT(CHAR(92),CHAR(96))),CHAR(34),CHAR(39))))</f>
        <v/>
      </c>
      <c r="U449" s="5">
        <f t="shared" si="13"/>
        <v>0</v>
      </c>
    </row>
    <row r="450" spans="3:21" ht="30" customHeight="1" x14ac:dyDescent="0.2">
      <c r="C450" s="4"/>
      <c r="K450" s="5">
        <f t="shared" si="12"/>
        <v>0</v>
      </c>
      <c r="L450" s="5" t="str">
        <f>IF(OR(TRIM($B450)="",$A450=""),"",IF(OR(ISNUMBER(SEARCH(_xlfn.CONCAT(CHAR(96),CHAR(34)),$A450)),ISNUMBER(SEARCH(_xlfn.CONCAT(CHAR(34),CHAR(39)),$A450))),_xlfn.CONCAT("* REVIEW REQUIRED: compound-quote delimiter in Codebook Section on Sheet 1 row ",450,"; edit the input before running."),_xlfn.CONCAT("char ",TRIM($B450),"[doc_section] ",CHAR(96),CHAR(34),SUBSTITUTE(SUBSTITUTE(SUBSTITUTE(SUBSTITUTE(SUBSTITUTE(SUBSTITUTE($A450,CHAR(13)," "),CHAR(10)," "),CHAR(9)," "),CHAR(92),_xlfn.CONCAT(CHAR(92),CHAR(92))),"$",_xlfn.CONCAT(CHAR(92),"$")),CHAR(96),_xlfn.CONCAT(CHAR(92),CHAR(96))),CHAR(34),CHAR(39))))</f>
        <v/>
      </c>
      <c r="M450" s="5" t="str">
        <f>IF(OR(TRIM($B450)="",$C450=""),"",IF(IFERROR(MATCH(TRIM($C450),{"Quantitative","Continuous","Discrete","Categorical","Nominal","Ordinal","Identifier"},0),0)=0,_xlfn.CONCAT("* REVIEW REQUIRED: invalid Variable Type on Sheet 1 row ",450,"."),_xlfn.CONCAT("char ",TRIM($B450),"[doc_vartype] ",CHAR(96),CHAR(34),SUBSTITUTE(SUBSTITUTE(SUBSTITUTE(SUBSTITUTE(SUBSTITUTE(SUBSTITUTE(LOWER(TRIM($C450)),CHAR(13)," "),CHAR(10)," "),CHAR(9)," "),CHAR(92),_xlfn.CONCAT(CHAR(92),CHAR(92))),"$",_xlfn.CONCAT(CHAR(92),"$")),CHAR(96),_xlfn.CONCAT(CHAR(92),CHAR(96))),CHAR(34),CHAR(39))))</f>
        <v/>
      </c>
      <c r="N450" s="5" t="str">
        <f>IF(OR(TRIM($B450)="",$D450=""),"",IF(OR(ISNUMBER(SEARCH(_xlfn.CONCAT(CHAR(96),CHAR(34)),$D450)),ISNUMBER(SEARCH(_xlfn.CONCAT(CHAR(34),CHAR(39)),$D450))),_xlfn.CONCAT("* REVIEW REQUIRED: compound-quote delimiter in Item Number on Sheet 1 row ",450,"; edit the input before running."),_xlfn.CONCAT("char ",TRIM($B450),"[doc_itemnum] ",CHAR(96),CHAR(34),SUBSTITUTE(SUBSTITUTE(SUBSTITUTE(SUBSTITUTE(SUBSTITUTE(SUBSTITUTE($D450,CHAR(13)," "),CHAR(10)," "),CHAR(9)," "),CHAR(92),_xlfn.CONCAT(CHAR(92),CHAR(92))),"$",_xlfn.CONCAT(CHAR(92),"$")),CHAR(96),_xlfn.CONCAT(CHAR(92),CHAR(96))),CHAR(34),CHAR(39))))</f>
        <v/>
      </c>
      <c r="O450" s="5" t="str">
        <f>IF(OR(TRIM($B450)="",$E450=""),"",IF(OR(ISNUMBER(SEARCH(_xlfn.CONCAT(CHAR(96),CHAR(34)),$E450)),ISNUMBER(SEARCH(_xlfn.CONCAT(CHAR(34),CHAR(39)),$E450))),_xlfn.CONCAT("* REVIEW REQUIRED: compound-quote delimiter in Question Wording on Sheet 1 row ",450,"; edit the input before running."),_xlfn.CONCAT("char ",TRIM($B450),"[doc_question] ",CHAR(96),CHAR(34),SUBSTITUTE(SUBSTITUTE(SUBSTITUTE(SUBSTITUTE(SUBSTITUTE(SUBSTITUTE($E450,CHAR(13)," "),CHAR(10)," "),CHAR(9)," "),CHAR(92),_xlfn.CONCAT(CHAR(92),CHAR(92))),"$",_xlfn.CONCAT(CHAR(92),"$")),CHAR(96),_xlfn.CONCAT(CHAR(92),CHAR(96))),CHAR(34),CHAR(39))))</f>
        <v/>
      </c>
      <c r="P450" s="5" t="str">
        <f>IF(OR(TRIM($B450)="",$F450=""),"",IF(OR(ISNUMBER(SEARCH(_xlfn.CONCAT(CHAR(96),CHAR(34)),$F450)),ISNUMBER(SEARCH(_xlfn.CONCAT(CHAR(34),CHAR(39)),$F450))),_xlfn.CONCAT("* REVIEW REQUIRED: compound-quote delimiter in Units on Sheet 1 row ",450,"; edit the input before running."),_xlfn.CONCAT("char ",TRIM($B450),"[doc_units] ",CHAR(96),CHAR(34),SUBSTITUTE(SUBSTITUTE(SUBSTITUTE(SUBSTITUTE(SUBSTITUTE(SUBSTITUTE($F450,CHAR(13)," "),CHAR(10)," "),CHAR(9)," "),CHAR(92),_xlfn.CONCAT(CHAR(92),CHAR(92))),"$",_xlfn.CONCAT(CHAR(92),"$")),CHAR(96),_xlfn.CONCAT(CHAR(92),CHAR(96))),CHAR(34),CHAR(39))))</f>
        <v/>
      </c>
      <c r="Q450" s="5" t="str">
        <f>IF(OR(TRIM($B450)="",$G450=""),"",IF(OR(ISNUMBER(SEARCH(_xlfn.CONCAT(CHAR(96),CHAR(34)),$G450)),ISNUMBER(SEARCH(_xlfn.CONCAT(CHAR(34),CHAR(39)),$G450))),_xlfn.CONCAT("* REVIEW REQUIRED: compound-quote delimiter in Universe on Sheet 1 row ",450,"; edit the input before running."),_xlfn.CONCAT("char ",TRIM($B450),"[doc_universe] ",CHAR(96),CHAR(34),SUBSTITUTE(SUBSTITUTE(SUBSTITUTE(SUBSTITUTE(SUBSTITUTE(SUBSTITUTE($G450,CHAR(13)," "),CHAR(10)," "),CHAR(9)," "),CHAR(92),_xlfn.CONCAT(CHAR(92),CHAR(92))),"$",_xlfn.CONCAT(CHAR(92),"$")),CHAR(96),_xlfn.CONCAT(CHAR(92),CHAR(96))),CHAR(34),CHAR(39))))</f>
        <v/>
      </c>
      <c r="R450" s="5" t="str">
        <f>IF(OR(TRIM($B450)="",$H450=""),"",IF(OR(ISNUMBER(SEARCH(_xlfn.CONCAT(CHAR(96),CHAR(34)),$H450)),ISNUMBER(SEARCH(_xlfn.CONCAT(CHAR(34),CHAR(39)),$H450))),_xlfn.CONCAT("* REVIEW REQUIRED: compound-quote delimiter in Source on Sheet 1 row ",450,"; edit the input before running."),_xlfn.CONCAT("char ",TRIM($B450),"[doc_source] ",CHAR(96),CHAR(34),SUBSTITUTE(SUBSTITUTE(SUBSTITUTE(SUBSTITUTE(SUBSTITUTE(SUBSTITUTE($H450,CHAR(13)," "),CHAR(10)," "),CHAR(9)," "),CHAR(92),_xlfn.CONCAT(CHAR(92),CHAR(92))),"$",_xlfn.CONCAT(CHAR(92),"$")),CHAR(96),_xlfn.CONCAT(CHAR(92),CHAR(96))),CHAR(34),CHAR(39))))</f>
        <v/>
      </c>
      <c r="S450" s="5" t="str">
        <f>IF(OR(TRIM($B450)="",$I450=""),"",IF(OR(ISNUMBER(SEARCH(_xlfn.CONCAT(CHAR(96),CHAR(34)),$I450)),ISNUMBER(SEARCH(_xlfn.CONCAT(CHAR(34),CHAR(39)),$I450))),_xlfn.CONCAT("* REVIEW REQUIRED: compound-quote delimiter in Derivation on Sheet 1 row ",450,"; edit the input before running."),_xlfn.CONCAT("char ",TRIM($B450),"[doc_derivation] ",CHAR(96),CHAR(34),SUBSTITUTE(SUBSTITUTE(SUBSTITUTE(SUBSTITUTE(SUBSTITUTE(SUBSTITUTE($I450,CHAR(13)," "),CHAR(10)," "),CHAR(9)," "),CHAR(92),_xlfn.CONCAT(CHAR(92),CHAR(92))),"$",_xlfn.CONCAT(CHAR(92),"$")),CHAR(96),_xlfn.CONCAT(CHAR(92),CHAR(96))),CHAR(34),CHAR(39))))</f>
        <v/>
      </c>
      <c r="T450" s="5" t="str">
        <f>IF(OR(TRIM($B450)="",$J450=""),"",IF(OR(ISNUMBER(SEARCH(_xlfn.CONCAT(CHAR(96),CHAR(34)),$J450)),ISNUMBER(SEARCH(_xlfn.CONCAT(CHAR(34),CHAR(39)),$J450))),_xlfn.CONCAT("* REVIEW REQUIRED: compound-quote delimiter in Notes on Sheet 1 row ",450,"; edit the input before running."),_xlfn.CONCAT("char ",TRIM($B450),"[doc_notes] ",CHAR(96),CHAR(34),SUBSTITUTE(SUBSTITUTE(SUBSTITUTE(SUBSTITUTE(SUBSTITUTE(SUBSTITUTE($J450,CHAR(13)," "),CHAR(10)," "),CHAR(9)," "),CHAR(92),_xlfn.CONCAT(CHAR(92),CHAR(92))),"$",_xlfn.CONCAT(CHAR(92),"$")),CHAR(96),_xlfn.CONCAT(CHAR(92),CHAR(96))),CHAR(34),CHAR(39))))</f>
        <v/>
      </c>
      <c r="U450" s="5">
        <f t="shared" si="13"/>
        <v>0</v>
      </c>
    </row>
    <row r="451" spans="3:21" ht="30" customHeight="1" x14ac:dyDescent="0.2">
      <c r="C451" s="4"/>
      <c r="K451" s="5">
        <f t="shared" si="12"/>
        <v>0</v>
      </c>
      <c r="L451" s="5" t="str">
        <f>IF(OR(TRIM($B451)="",$A451=""),"",IF(OR(ISNUMBER(SEARCH(_xlfn.CONCAT(CHAR(96),CHAR(34)),$A451)),ISNUMBER(SEARCH(_xlfn.CONCAT(CHAR(34),CHAR(39)),$A451))),_xlfn.CONCAT("* REVIEW REQUIRED: compound-quote delimiter in Codebook Section on Sheet 1 row ",451,"; edit the input before running."),_xlfn.CONCAT("char ",TRIM($B451),"[doc_section] ",CHAR(96),CHAR(34),SUBSTITUTE(SUBSTITUTE(SUBSTITUTE(SUBSTITUTE(SUBSTITUTE(SUBSTITUTE($A451,CHAR(13)," "),CHAR(10)," "),CHAR(9)," "),CHAR(92),_xlfn.CONCAT(CHAR(92),CHAR(92))),"$",_xlfn.CONCAT(CHAR(92),"$")),CHAR(96),_xlfn.CONCAT(CHAR(92),CHAR(96))),CHAR(34),CHAR(39))))</f>
        <v/>
      </c>
      <c r="M451" s="5" t="str">
        <f>IF(OR(TRIM($B451)="",$C451=""),"",IF(IFERROR(MATCH(TRIM($C451),{"Quantitative","Continuous","Discrete","Categorical","Nominal","Ordinal","Identifier"},0),0)=0,_xlfn.CONCAT("* REVIEW REQUIRED: invalid Variable Type on Sheet 1 row ",451,"."),_xlfn.CONCAT("char ",TRIM($B451),"[doc_vartype] ",CHAR(96),CHAR(34),SUBSTITUTE(SUBSTITUTE(SUBSTITUTE(SUBSTITUTE(SUBSTITUTE(SUBSTITUTE(LOWER(TRIM($C451)),CHAR(13)," "),CHAR(10)," "),CHAR(9)," "),CHAR(92),_xlfn.CONCAT(CHAR(92),CHAR(92))),"$",_xlfn.CONCAT(CHAR(92),"$")),CHAR(96),_xlfn.CONCAT(CHAR(92),CHAR(96))),CHAR(34),CHAR(39))))</f>
        <v/>
      </c>
      <c r="N451" s="5" t="str">
        <f>IF(OR(TRIM($B451)="",$D451=""),"",IF(OR(ISNUMBER(SEARCH(_xlfn.CONCAT(CHAR(96),CHAR(34)),$D451)),ISNUMBER(SEARCH(_xlfn.CONCAT(CHAR(34),CHAR(39)),$D451))),_xlfn.CONCAT("* REVIEW REQUIRED: compound-quote delimiter in Item Number on Sheet 1 row ",451,"; edit the input before running."),_xlfn.CONCAT("char ",TRIM($B451),"[doc_itemnum] ",CHAR(96),CHAR(34),SUBSTITUTE(SUBSTITUTE(SUBSTITUTE(SUBSTITUTE(SUBSTITUTE(SUBSTITUTE($D451,CHAR(13)," "),CHAR(10)," "),CHAR(9)," "),CHAR(92),_xlfn.CONCAT(CHAR(92),CHAR(92))),"$",_xlfn.CONCAT(CHAR(92),"$")),CHAR(96),_xlfn.CONCAT(CHAR(92),CHAR(96))),CHAR(34),CHAR(39))))</f>
        <v/>
      </c>
      <c r="O451" s="5" t="str">
        <f>IF(OR(TRIM($B451)="",$E451=""),"",IF(OR(ISNUMBER(SEARCH(_xlfn.CONCAT(CHAR(96),CHAR(34)),$E451)),ISNUMBER(SEARCH(_xlfn.CONCAT(CHAR(34),CHAR(39)),$E451))),_xlfn.CONCAT("* REVIEW REQUIRED: compound-quote delimiter in Question Wording on Sheet 1 row ",451,"; edit the input before running."),_xlfn.CONCAT("char ",TRIM($B451),"[doc_question] ",CHAR(96),CHAR(34),SUBSTITUTE(SUBSTITUTE(SUBSTITUTE(SUBSTITUTE(SUBSTITUTE(SUBSTITUTE($E451,CHAR(13)," "),CHAR(10)," "),CHAR(9)," "),CHAR(92),_xlfn.CONCAT(CHAR(92),CHAR(92))),"$",_xlfn.CONCAT(CHAR(92),"$")),CHAR(96),_xlfn.CONCAT(CHAR(92),CHAR(96))),CHAR(34),CHAR(39))))</f>
        <v/>
      </c>
      <c r="P451" s="5" t="str">
        <f>IF(OR(TRIM($B451)="",$F451=""),"",IF(OR(ISNUMBER(SEARCH(_xlfn.CONCAT(CHAR(96),CHAR(34)),$F451)),ISNUMBER(SEARCH(_xlfn.CONCAT(CHAR(34),CHAR(39)),$F451))),_xlfn.CONCAT("* REVIEW REQUIRED: compound-quote delimiter in Units on Sheet 1 row ",451,"; edit the input before running."),_xlfn.CONCAT("char ",TRIM($B451),"[doc_units] ",CHAR(96),CHAR(34),SUBSTITUTE(SUBSTITUTE(SUBSTITUTE(SUBSTITUTE(SUBSTITUTE(SUBSTITUTE($F451,CHAR(13)," "),CHAR(10)," "),CHAR(9)," "),CHAR(92),_xlfn.CONCAT(CHAR(92),CHAR(92))),"$",_xlfn.CONCAT(CHAR(92),"$")),CHAR(96),_xlfn.CONCAT(CHAR(92),CHAR(96))),CHAR(34),CHAR(39))))</f>
        <v/>
      </c>
      <c r="Q451" s="5" t="str">
        <f>IF(OR(TRIM($B451)="",$G451=""),"",IF(OR(ISNUMBER(SEARCH(_xlfn.CONCAT(CHAR(96),CHAR(34)),$G451)),ISNUMBER(SEARCH(_xlfn.CONCAT(CHAR(34),CHAR(39)),$G451))),_xlfn.CONCAT("* REVIEW REQUIRED: compound-quote delimiter in Universe on Sheet 1 row ",451,"; edit the input before running."),_xlfn.CONCAT("char ",TRIM($B451),"[doc_universe] ",CHAR(96),CHAR(34),SUBSTITUTE(SUBSTITUTE(SUBSTITUTE(SUBSTITUTE(SUBSTITUTE(SUBSTITUTE($G451,CHAR(13)," "),CHAR(10)," "),CHAR(9)," "),CHAR(92),_xlfn.CONCAT(CHAR(92),CHAR(92))),"$",_xlfn.CONCAT(CHAR(92),"$")),CHAR(96),_xlfn.CONCAT(CHAR(92),CHAR(96))),CHAR(34),CHAR(39))))</f>
        <v/>
      </c>
      <c r="R451" s="5" t="str">
        <f>IF(OR(TRIM($B451)="",$H451=""),"",IF(OR(ISNUMBER(SEARCH(_xlfn.CONCAT(CHAR(96),CHAR(34)),$H451)),ISNUMBER(SEARCH(_xlfn.CONCAT(CHAR(34),CHAR(39)),$H451))),_xlfn.CONCAT("* REVIEW REQUIRED: compound-quote delimiter in Source on Sheet 1 row ",451,"; edit the input before running."),_xlfn.CONCAT("char ",TRIM($B451),"[doc_source] ",CHAR(96),CHAR(34),SUBSTITUTE(SUBSTITUTE(SUBSTITUTE(SUBSTITUTE(SUBSTITUTE(SUBSTITUTE($H451,CHAR(13)," "),CHAR(10)," "),CHAR(9)," "),CHAR(92),_xlfn.CONCAT(CHAR(92),CHAR(92))),"$",_xlfn.CONCAT(CHAR(92),"$")),CHAR(96),_xlfn.CONCAT(CHAR(92),CHAR(96))),CHAR(34),CHAR(39))))</f>
        <v/>
      </c>
      <c r="S451" s="5" t="str">
        <f>IF(OR(TRIM($B451)="",$I451=""),"",IF(OR(ISNUMBER(SEARCH(_xlfn.CONCAT(CHAR(96),CHAR(34)),$I451)),ISNUMBER(SEARCH(_xlfn.CONCAT(CHAR(34),CHAR(39)),$I451))),_xlfn.CONCAT("* REVIEW REQUIRED: compound-quote delimiter in Derivation on Sheet 1 row ",451,"; edit the input before running."),_xlfn.CONCAT("char ",TRIM($B451),"[doc_derivation] ",CHAR(96),CHAR(34),SUBSTITUTE(SUBSTITUTE(SUBSTITUTE(SUBSTITUTE(SUBSTITUTE(SUBSTITUTE($I451,CHAR(13)," "),CHAR(10)," "),CHAR(9)," "),CHAR(92),_xlfn.CONCAT(CHAR(92),CHAR(92))),"$",_xlfn.CONCAT(CHAR(92),"$")),CHAR(96),_xlfn.CONCAT(CHAR(92),CHAR(96))),CHAR(34),CHAR(39))))</f>
        <v/>
      </c>
      <c r="T451" s="5" t="str">
        <f>IF(OR(TRIM($B451)="",$J451=""),"",IF(OR(ISNUMBER(SEARCH(_xlfn.CONCAT(CHAR(96),CHAR(34)),$J451)),ISNUMBER(SEARCH(_xlfn.CONCAT(CHAR(34),CHAR(39)),$J451))),_xlfn.CONCAT("* REVIEW REQUIRED: compound-quote delimiter in Notes on Sheet 1 row ",451,"; edit the input before running."),_xlfn.CONCAT("char ",TRIM($B451),"[doc_notes] ",CHAR(96),CHAR(34),SUBSTITUTE(SUBSTITUTE(SUBSTITUTE(SUBSTITUTE(SUBSTITUTE(SUBSTITUTE($J451,CHAR(13)," "),CHAR(10)," "),CHAR(9)," "),CHAR(92),_xlfn.CONCAT(CHAR(92),CHAR(92))),"$",_xlfn.CONCAT(CHAR(92),"$")),CHAR(96),_xlfn.CONCAT(CHAR(92),CHAR(96))),CHAR(34),CHAR(39))))</f>
        <v/>
      </c>
      <c r="U451" s="5">
        <f t="shared" si="13"/>
        <v>0</v>
      </c>
    </row>
    <row r="452" spans="3:21" ht="30" customHeight="1" x14ac:dyDescent="0.2">
      <c r="C452" s="4"/>
      <c r="K452" s="5">
        <f t="shared" si="12"/>
        <v>0</v>
      </c>
      <c r="L452" s="5" t="str">
        <f>IF(OR(TRIM($B452)="",$A452=""),"",IF(OR(ISNUMBER(SEARCH(_xlfn.CONCAT(CHAR(96),CHAR(34)),$A452)),ISNUMBER(SEARCH(_xlfn.CONCAT(CHAR(34),CHAR(39)),$A452))),_xlfn.CONCAT("* REVIEW REQUIRED: compound-quote delimiter in Codebook Section on Sheet 1 row ",452,"; edit the input before running."),_xlfn.CONCAT("char ",TRIM($B452),"[doc_section] ",CHAR(96),CHAR(34),SUBSTITUTE(SUBSTITUTE(SUBSTITUTE(SUBSTITUTE(SUBSTITUTE(SUBSTITUTE($A452,CHAR(13)," "),CHAR(10)," "),CHAR(9)," "),CHAR(92),_xlfn.CONCAT(CHAR(92),CHAR(92))),"$",_xlfn.CONCAT(CHAR(92),"$")),CHAR(96),_xlfn.CONCAT(CHAR(92),CHAR(96))),CHAR(34),CHAR(39))))</f>
        <v/>
      </c>
      <c r="M452" s="5" t="str">
        <f>IF(OR(TRIM($B452)="",$C452=""),"",IF(IFERROR(MATCH(TRIM($C452),{"Quantitative","Continuous","Discrete","Categorical","Nominal","Ordinal","Identifier"},0),0)=0,_xlfn.CONCAT("* REVIEW REQUIRED: invalid Variable Type on Sheet 1 row ",452,"."),_xlfn.CONCAT("char ",TRIM($B452),"[doc_vartype] ",CHAR(96),CHAR(34),SUBSTITUTE(SUBSTITUTE(SUBSTITUTE(SUBSTITUTE(SUBSTITUTE(SUBSTITUTE(LOWER(TRIM($C452)),CHAR(13)," "),CHAR(10)," "),CHAR(9)," "),CHAR(92),_xlfn.CONCAT(CHAR(92),CHAR(92))),"$",_xlfn.CONCAT(CHAR(92),"$")),CHAR(96),_xlfn.CONCAT(CHAR(92),CHAR(96))),CHAR(34),CHAR(39))))</f>
        <v/>
      </c>
      <c r="N452" s="5" t="str">
        <f>IF(OR(TRIM($B452)="",$D452=""),"",IF(OR(ISNUMBER(SEARCH(_xlfn.CONCAT(CHAR(96),CHAR(34)),$D452)),ISNUMBER(SEARCH(_xlfn.CONCAT(CHAR(34),CHAR(39)),$D452))),_xlfn.CONCAT("* REVIEW REQUIRED: compound-quote delimiter in Item Number on Sheet 1 row ",452,"; edit the input before running."),_xlfn.CONCAT("char ",TRIM($B452),"[doc_itemnum] ",CHAR(96),CHAR(34),SUBSTITUTE(SUBSTITUTE(SUBSTITUTE(SUBSTITUTE(SUBSTITUTE(SUBSTITUTE($D452,CHAR(13)," "),CHAR(10)," "),CHAR(9)," "),CHAR(92),_xlfn.CONCAT(CHAR(92),CHAR(92))),"$",_xlfn.CONCAT(CHAR(92),"$")),CHAR(96),_xlfn.CONCAT(CHAR(92),CHAR(96))),CHAR(34),CHAR(39))))</f>
        <v/>
      </c>
      <c r="O452" s="5" t="str">
        <f>IF(OR(TRIM($B452)="",$E452=""),"",IF(OR(ISNUMBER(SEARCH(_xlfn.CONCAT(CHAR(96),CHAR(34)),$E452)),ISNUMBER(SEARCH(_xlfn.CONCAT(CHAR(34),CHAR(39)),$E452))),_xlfn.CONCAT("* REVIEW REQUIRED: compound-quote delimiter in Question Wording on Sheet 1 row ",452,"; edit the input before running."),_xlfn.CONCAT("char ",TRIM($B452),"[doc_question] ",CHAR(96),CHAR(34),SUBSTITUTE(SUBSTITUTE(SUBSTITUTE(SUBSTITUTE(SUBSTITUTE(SUBSTITUTE($E452,CHAR(13)," "),CHAR(10)," "),CHAR(9)," "),CHAR(92),_xlfn.CONCAT(CHAR(92),CHAR(92))),"$",_xlfn.CONCAT(CHAR(92),"$")),CHAR(96),_xlfn.CONCAT(CHAR(92),CHAR(96))),CHAR(34),CHAR(39))))</f>
        <v/>
      </c>
      <c r="P452" s="5" t="str">
        <f>IF(OR(TRIM($B452)="",$F452=""),"",IF(OR(ISNUMBER(SEARCH(_xlfn.CONCAT(CHAR(96),CHAR(34)),$F452)),ISNUMBER(SEARCH(_xlfn.CONCAT(CHAR(34),CHAR(39)),$F452))),_xlfn.CONCAT("* REVIEW REQUIRED: compound-quote delimiter in Units on Sheet 1 row ",452,"; edit the input before running."),_xlfn.CONCAT("char ",TRIM($B452),"[doc_units] ",CHAR(96),CHAR(34),SUBSTITUTE(SUBSTITUTE(SUBSTITUTE(SUBSTITUTE(SUBSTITUTE(SUBSTITUTE($F452,CHAR(13)," "),CHAR(10)," "),CHAR(9)," "),CHAR(92),_xlfn.CONCAT(CHAR(92),CHAR(92))),"$",_xlfn.CONCAT(CHAR(92),"$")),CHAR(96),_xlfn.CONCAT(CHAR(92),CHAR(96))),CHAR(34),CHAR(39))))</f>
        <v/>
      </c>
      <c r="Q452" s="5" t="str">
        <f>IF(OR(TRIM($B452)="",$G452=""),"",IF(OR(ISNUMBER(SEARCH(_xlfn.CONCAT(CHAR(96),CHAR(34)),$G452)),ISNUMBER(SEARCH(_xlfn.CONCAT(CHAR(34),CHAR(39)),$G452))),_xlfn.CONCAT("* REVIEW REQUIRED: compound-quote delimiter in Universe on Sheet 1 row ",452,"; edit the input before running."),_xlfn.CONCAT("char ",TRIM($B452),"[doc_universe] ",CHAR(96),CHAR(34),SUBSTITUTE(SUBSTITUTE(SUBSTITUTE(SUBSTITUTE(SUBSTITUTE(SUBSTITUTE($G452,CHAR(13)," "),CHAR(10)," "),CHAR(9)," "),CHAR(92),_xlfn.CONCAT(CHAR(92),CHAR(92))),"$",_xlfn.CONCAT(CHAR(92),"$")),CHAR(96),_xlfn.CONCAT(CHAR(92),CHAR(96))),CHAR(34),CHAR(39))))</f>
        <v/>
      </c>
      <c r="R452" s="5" t="str">
        <f>IF(OR(TRIM($B452)="",$H452=""),"",IF(OR(ISNUMBER(SEARCH(_xlfn.CONCAT(CHAR(96),CHAR(34)),$H452)),ISNUMBER(SEARCH(_xlfn.CONCAT(CHAR(34),CHAR(39)),$H452))),_xlfn.CONCAT("* REVIEW REQUIRED: compound-quote delimiter in Source on Sheet 1 row ",452,"; edit the input before running."),_xlfn.CONCAT("char ",TRIM($B452),"[doc_source] ",CHAR(96),CHAR(34),SUBSTITUTE(SUBSTITUTE(SUBSTITUTE(SUBSTITUTE(SUBSTITUTE(SUBSTITUTE($H452,CHAR(13)," "),CHAR(10)," "),CHAR(9)," "),CHAR(92),_xlfn.CONCAT(CHAR(92),CHAR(92))),"$",_xlfn.CONCAT(CHAR(92),"$")),CHAR(96),_xlfn.CONCAT(CHAR(92),CHAR(96))),CHAR(34),CHAR(39))))</f>
        <v/>
      </c>
      <c r="S452" s="5" t="str">
        <f>IF(OR(TRIM($B452)="",$I452=""),"",IF(OR(ISNUMBER(SEARCH(_xlfn.CONCAT(CHAR(96),CHAR(34)),$I452)),ISNUMBER(SEARCH(_xlfn.CONCAT(CHAR(34),CHAR(39)),$I452))),_xlfn.CONCAT("* REVIEW REQUIRED: compound-quote delimiter in Derivation on Sheet 1 row ",452,"; edit the input before running."),_xlfn.CONCAT("char ",TRIM($B452),"[doc_derivation] ",CHAR(96),CHAR(34),SUBSTITUTE(SUBSTITUTE(SUBSTITUTE(SUBSTITUTE(SUBSTITUTE(SUBSTITUTE($I452,CHAR(13)," "),CHAR(10)," "),CHAR(9)," "),CHAR(92),_xlfn.CONCAT(CHAR(92),CHAR(92))),"$",_xlfn.CONCAT(CHAR(92),"$")),CHAR(96),_xlfn.CONCAT(CHAR(92),CHAR(96))),CHAR(34),CHAR(39))))</f>
        <v/>
      </c>
      <c r="T452" s="5" t="str">
        <f>IF(OR(TRIM($B452)="",$J452=""),"",IF(OR(ISNUMBER(SEARCH(_xlfn.CONCAT(CHAR(96),CHAR(34)),$J452)),ISNUMBER(SEARCH(_xlfn.CONCAT(CHAR(34),CHAR(39)),$J452))),_xlfn.CONCAT("* REVIEW REQUIRED: compound-quote delimiter in Notes on Sheet 1 row ",452,"; edit the input before running."),_xlfn.CONCAT("char ",TRIM($B452),"[doc_notes] ",CHAR(96),CHAR(34),SUBSTITUTE(SUBSTITUTE(SUBSTITUTE(SUBSTITUTE(SUBSTITUTE(SUBSTITUTE($J452,CHAR(13)," "),CHAR(10)," "),CHAR(9)," "),CHAR(92),_xlfn.CONCAT(CHAR(92),CHAR(92))),"$",_xlfn.CONCAT(CHAR(92),"$")),CHAR(96),_xlfn.CONCAT(CHAR(92),CHAR(96))),CHAR(34),CHAR(39))))</f>
        <v/>
      </c>
      <c r="U452" s="5">
        <f t="shared" si="13"/>
        <v>0</v>
      </c>
    </row>
    <row r="453" spans="3:21" ht="30" customHeight="1" x14ac:dyDescent="0.2">
      <c r="C453" s="4"/>
      <c r="K453" s="5">
        <f t="shared" si="12"/>
        <v>0</v>
      </c>
      <c r="L453" s="5" t="str">
        <f>IF(OR(TRIM($B453)="",$A453=""),"",IF(OR(ISNUMBER(SEARCH(_xlfn.CONCAT(CHAR(96),CHAR(34)),$A453)),ISNUMBER(SEARCH(_xlfn.CONCAT(CHAR(34),CHAR(39)),$A453))),_xlfn.CONCAT("* REVIEW REQUIRED: compound-quote delimiter in Codebook Section on Sheet 1 row ",453,"; edit the input before running."),_xlfn.CONCAT("char ",TRIM($B453),"[doc_section] ",CHAR(96),CHAR(34),SUBSTITUTE(SUBSTITUTE(SUBSTITUTE(SUBSTITUTE(SUBSTITUTE(SUBSTITUTE($A453,CHAR(13)," "),CHAR(10)," "),CHAR(9)," "),CHAR(92),_xlfn.CONCAT(CHAR(92),CHAR(92))),"$",_xlfn.CONCAT(CHAR(92),"$")),CHAR(96),_xlfn.CONCAT(CHAR(92),CHAR(96))),CHAR(34),CHAR(39))))</f>
        <v/>
      </c>
      <c r="M453" s="5" t="str">
        <f>IF(OR(TRIM($B453)="",$C453=""),"",IF(IFERROR(MATCH(TRIM($C453),{"Quantitative","Continuous","Discrete","Categorical","Nominal","Ordinal","Identifier"},0),0)=0,_xlfn.CONCAT("* REVIEW REQUIRED: invalid Variable Type on Sheet 1 row ",453,"."),_xlfn.CONCAT("char ",TRIM($B453),"[doc_vartype] ",CHAR(96),CHAR(34),SUBSTITUTE(SUBSTITUTE(SUBSTITUTE(SUBSTITUTE(SUBSTITUTE(SUBSTITUTE(LOWER(TRIM($C453)),CHAR(13)," "),CHAR(10)," "),CHAR(9)," "),CHAR(92),_xlfn.CONCAT(CHAR(92),CHAR(92))),"$",_xlfn.CONCAT(CHAR(92),"$")),CHAR(96),_xlfn.CONCAT(CHAR(92),CHAR(96))),CHAR(34),CHAR(39))))</f>
        <v/>
      </c>
      <c r="N453" s="5" t="str">
        <f>IF(OR(TRIM($B453)="",$D453=""),"",IF(OR(ISNUMBER(SEARCH(_xlfn.CONCAT(CHAR(96),CHAR(34)),$D453)),ISNUMBER(SEARCH(_xlfn.CONCAT(CHAR(34),CHAR(39)),$D453))),_xlfn.CONCAT("* REVIEW REQUIRED: compound-quote delimiter in Item Number on Sheet 1 row ",453,"; edit the input before running."),_xlfn.CONCAT("char ",TRIM($B453),"[doc_itemnum] ",CHAR(96),CHAR(34),SUBSTITUTE(SUBSTITUTE(SUBSTITUTE(SUBSTITUTE(SUBSTITUTE(SUBSTITUTE($D453,CHAR(13)," "),CHAR(10)," "),CHAR(9)," "),CHAR(92),_xlfn.CONCAT(CHAR(92),CHAR(92))),"$",_xlfn.CONCAT(CHAR(92),"$")),CHAR(96),_xlfn.CONCAT(CHAR(92),CHAR(96))),CHAR(34),CHAR(39))))</f>
        <v/>
      </c>
      <c r="O453" s="5" t="str">
        <f>IF(OR(TRIM($B453)="",$E453=""),"",IF(OR(ISNUMBER(SEARCH(_xlfn.CONCAT(CHAR(96),CHAR(34)),$E453)),ISNUMBER(SEARCH(_xlfn.CONCAT(CHAR(34),CHAR(39)),$E453))),_xlfn.CONCAT("* REVIEW REQUIRED: compound-quote delimiter in Question Wording on Sheet 1 row ",453,"; edit the input before running."),_xlfn.CONCAT("char ",TRIM($B453),"[doc_question] ",CHAR(96),CHAR(34),SUBSTITUTE(SUBSTITUTE(SUBSTITUTE(SUBSTITUTE(SUBSTITUTE(SUBSTITUTE($E453,CHAR(13)," "),CHAR(10)," "),CHAR(9)," "),CHAR(92),_xlfn.CONCAT(CHAR(92),CHAR(92))),"$",_xlfn.CONCAT(CHAR(92),"$")),CHAR(96),_xlfn.CONCAT(CHAR(92),CHAR(96))),CHAR(34),CHAR(39))))</f>
        <v/>
      </c>
      <c r="P453" s="5" t="str">
        <f>IF(OR(TRIM($B453)="",$F453=""),"",IF(OR(ISNUMBER(SEARCH(_xlfn.CONCAT(CHAR(96),CHAR(34)),$F453)),ISNUMBER(SEARCH(_xlfn.CONCAT(CHAR(34),CHAR(39)),$F453))),_xlfn.CONCAT("* REVIEW REQUIRED: compound-quote delimiter in Units on Sheet 1 row ",453,"; edit the input before running."),_xlfn.CONCAT("char ",TRIM($B453),"[doc_units] ",CHAR(96),CHAR(34),SUBSTITUTE(SUBSTITUTE(SUBSTITUTE(SUBSTITUTE(SUBSTITUTE(SUBSTITUTE($F453,CHAR(13)," "),CHAR(10)," "),CHAR(9)," "),CHAR(92),_xlfn.CONCAT(CHAR(92),CHAR(92))),"$",_xlfn.CONCAT(CHAR(92),"$")),CHAR(96),_xlfn.CONCAT(CHAR(92),CHAR(96))),CHAR(34),CHAR(39))))</f>
        <v/>
      </c>
      <c r="Q453" s="5" t="str">
        <f>IF(OR(TRIM($B453)="",$G453=""),"",IF(OR(ISNUMBER(SEARCH(_xlfn.CONCAT(CHAR(96),CHAR(34)),$G453)),ISNUMBER(SEARCH(_xlfn.CONCAT(CHAR(34),CHAR(39)),$G453))),_xlfn.CONCAT("* REVIEW REQUIRED: compound-quote delimiter in Universe on Sheet 1 row ",453,"; edit the input before running."),_xlfn.CONCAT("char ",TRIM($B453),"[doc_universe] ",CHAR(96),CHAR(34),SUBSTITUTE(SUBSTITUTE(SUBSTITUTE(SUBSTITUTE(SUBSTITUTE(SUBSTITUTE($G453,CHAR(13)," "),CHAR(10)," "),CHAR(9)," "),CHAR(92),_xlfn.CONCAT(CHAR(92),CHAR(92))),"$",_xlfn.CONCAT(CHAR(92),"$")),CHAR(96),_xlfn.CONCAT(CHAR(92),CHAR(96))),CHAR(34),CHAR(39))))</f>
        <v/>
      </c>
      <c r="R453" s="5" t="str">
        <f>IF(OR(TRIM($B453)="",$H453=""),"",IF(OR(ISNUMBER(SEARCH(_xlfn.CONCAT(CHAR(96),CHAR(34)),$H453)),ISNUMBER(SEARCH(_xlfn.CONCAT(CHAR(34),CHAR(39)),$H453))),_xlfn.CONCAT("* REVIEW REQUIRED: compound-quote delimiter in Source on Sheet 1 row ",453,"; edit the input before running."),_xlfn.CONCAT("char ",TRIM($B453),"[doc_source] ",CHAR(96),CHAR(34),SUBSTITUTE(SUBSTITUTE(SUBSTITUTE(SUBSTITUTE(SUBSTITUTE(SUBSTITUTE($H453,CHAR(13)," "),CHAR(10)," "),CHAR(9)," "),CHAR(92),_xlfn.CONCAT(CHAR(92),CHAR(92))),"$",_xlfn.CONCAT(CHAR(92),"$")),CHAR(96),_xlfn.CONCAT(CHAR(92),CHAR(96))),CHAR(34),CHAR(39))))</f>
        <v/>
      </c>
      <c r="S453" s="5" t="str">
        <f>IF(OR(TRIM($B453)="",$I453=""),"",IF(OR(ISNUMBER(SEARCH(_xlfn.CONCAT(CHAR(96),CHAR(34)),$I453)),ISNUMBER(SEARCH(_xlfn.CONCAT(CHAR(34),CHAR(39)),$I453))),_xlfn.CONCAT("* REVIEW REQUIRED: compound-quote delimiter in Derivation on Sheet 1 row ",453,"; edit the input before running."),_xlfn.CONCAT("char ",TRIM($B453),"[doc_derivation] ",CHAR(96),CHAR(34),SUBSTITUTE(SUBSTITUTE(SUBSTITUTE(SUBSTITUTE(SUBSTITUTE(SUBSTITUTE($I453,CHAR(13)," "),CHAR(10)," "),CHAR(9)," "),CHAR(92),_xlfn.CONCAT(CHAR(92),CHAR(92))),"$",_xlfn.CONCAT(CHAR(92),"$")),CHAR(96),_xlfn.CONCAT(CHAR(92),CHAR(96))),CHAR(34),CHAR(39))))</f>
        <v/>
      </c>
      <c r="T453" s="5" t="str">
        <f>IF(OR(TRIM($B453)="",$J453=""),"",IF(OR(ISNUMBER(SEARCH(_xlfn.CONCAT(CHAR(96),CHAR(34)),$J453)),ISNUMBER(SEARCH(_xlfn.CONCAT(CHAR(34),CHAR(39)),$J453))),_xlfn.CONCAT("* REVIEW REQUIRED: compound-quote delimiter in Notes on Sheet 1 row ",453,"; edit the input before running."),_xlfn.CONCAT("char ",TRIM($B453),"[doc_notes] ",CHAR(96),CHAR(34),SUBSTITUTE(SUBSTITUTE(SUBSTITUTE(SUBSTITUTE(SUBSTITUTE(SUBSTITUTE($J453,CHAR(13)," "),CHAR(10)," "),CHAR(9)," "),CHAR(92),_xlfn.CONCAT(CHAR(92),CHAR(92))),"$",_xlfn.CONCAT(CHAR(92),"$")),CHAR(96),_xlfn.CONCAT(CHAR(92),CHAR(96))),CHAR(34),CHAR(39))))</f>
        <v/>
      </c>
      <c r="U453" s="5">
        <f t="shared" si="13"/>
        <v>0</v>
      </c>
    </row>
    <row r="454" spans="3:21" ht="30" customHeight="1" x14ac:dyDescent="0.2">
      <c r="C454" s="4"/>
      <c r="K454" s="5">
        <f t="shared" si="12"/>
        <v>0</v>
      </c>
      <c r="L454" s="5" t="str">
        <f>IF(OR(TRIM($B454)="",$A454=""),"",IF(OR(ISNUMBER(SEARCH(_xlfn.CONCAT(CHAR(96),CHAR(34)),$A454)),ISNUMBER(SEARCH(_xlfn.CONCAT(CHAR(34),CHAR(39)),$A454))),_xlfn.CONCAT("* REVIEW REQUIRED: compound-quote delimiter in Codebook Section on Sheet 1 row ",454,"; edit the input before running."),_xlfn.CONCAT("char ",TRIM($B454),"[doc_section] ",CHAR(96),CHAR(34),SUBSTITUTE(SUBSTITUTE(SUBSTITUTE(SUBSTITUTE(SUBSTITUTE(SUBSTITUTE($A454,CHAR(13)," "),CHAR(10)," "),CHAR(9)," "),CHAR(92),_xlfn.CONCAT(CHAR(92),CHAR(92))),"$",_xlfn.CONCAT(CHAR(92),"$")),CHAR(96),_xlfn.CONCAT(CHAR(92),CHAR(96))),CHAR(34),CHAR(39))))</f>
        <v/>
      </c>
      <c r="M454" s="5" t="str">
        <f>IF(OR(TRIM($B454)="",$C454=""),"",IF(IFERROR(MATCH(TRIM($C454),{"Quantitative","Continuous","Discrete","Categorical","Nominal","Ordinal","Identifier"},0),0)=0,_xlfn.CONCAT("* REVIEW REQUIRED: invalid Variable Type on Sheet 1 row ",454,"."),_xlfn.CONCAT("char ",TRIM($B454),"[doc_vartype] ",CHAR(96),CHAR(34),SUBSTITUTE(SUBSTITUTE(SUBSTITUTE(SUBSTITUTE(SUBSTITUTE(SUBSTITUTE(LOWER(TRIM($C454)),CHAR(13)," "),CHAR(10)," "),CHAR(9)," "),CHAR(92),_xlfn.CONCAT(CHAR(92),CHAR(92))),"$",_xlfn.CONCAT(CHAR(92),"$")),CHAR(96),_xlfn.CONCAT(CHAR(92),CHAR(96))),CHAR(34),CHAR(39))))</f>
        <v/>
      </c>
      <c r="N454" s="5" t="str">
        <f>IF(OR(TRIM($B454)="",$D454=""),"",IF(OR(ISNUMBER(SEARCH(_xlfn.CONCAT(CHAR(96),CHAR(34)),$D454)),ISNUMBER(SEARCH(_xlfn.CONCAT(CHAR(34),CHAR(39)),$D454))),_xlfn.CONCAT("* REVIEW REQUIRED: compound-quote delimiter in Item Number on Sheet 1 row ",454,"; edit the input before running."),_xlfn.CONCAT("char ",TRIM($B454),"[doc_itemnum] ",CHAR(96),CHAR(34),SUBSTITUTE(SUBSTITUTE(SUBSTITUTE(SUBSTITUTE(SUBSTITUTE(SUBSTITUTE($D454,CHAR(13)," "),CHAR(10)," "),CHAR(9)," "),CHAR(92),_xlfn.CONCAT(CHAR(92),CHAR(92))),"$",_xlfn.CONCAT(CHAR(92),"$")),CHAR(96),_xlfn.CONCAT(CHAR(92),CHAR(96))),CHAR(34),CHAR(39))))</f>
        <v/>
      </c>
      <c r="O454" s="5" t="str">
        <f>IF(OR(TRIM($B454)="",$E454=""),"",IF(OR(ISNUMBER(SEARCH(_xlfn.CONCAT(CHAR(96),CHAR(34)),$E454)),ISNUMBER(SEARCH(_xlfn.CONCAT(CHAR(34),CHAR(39)),$E454))),_xlfn.CONCAT("* REVIEW REQUIRED: compound-quote delimiter in Question Wording on Sheet 1 row ",454,"; edit the input before running."),_xlfn.CONCAT("char ",TRIM($B454),"[doc_question] ",CHAR(96),CHAR(34),SUBSTITUTE(SUBSTITUTE(SUBSTITUTE(SUBSTITUTE(SUBSTITUTE(SUBSTITUTE($E454,CHAR(13)," "),CHAR(10)," "),CHAR(9)," "),CHAR(92),_xlfn.CONCAT(CHAR(92),CHAR(92))),"$",_xlfn.CONCAT(CHAR(92),"$")),CHAR(96),_xlfn.CONCAT(CHAR(92),CHAR(96))),CHAR(34),CHAR(39))))</f>
        <v/>
      </c>
      <c r="P454" s="5" t="str">
        <f>IF(OR(TRIM($B454)="",$F454=""),"",IF(OR(ISNUMBER(SEARCH(_xlfn.CONCAT(CHAR(96),CHAR(34)),$F454)),ISNUMBER(SEARCH(_xlfn.CONCAT(CHAR(34),CHAR(39)),$F454))),_xlfn.CONCAT("* REVIEW REQUIRED: compound-quote delimiter in Units on Sheet 1 row ",454,"; edit the input before running."),_xlfn.CONCAT("char ",TRIM($B454),"[doc_units] ",CHAR(96),CHAR(34),SUBSTITUTE(SUBSTITUTE(SUBSTITUTE(SUBSTITUTE(SUBSTITUTE(SUBSTITUTE($F454,CHAR(13)," "),CHAR(10)," "),CHAR(9)," "),CHAR(92),_xlfn.CONCAT(CHAR(92),CHAR(92))),"$",_xlfn.CONCAT(CHAR(92),"$")),CHAR(96),_xlfn.CONCAT(CHAR(92),CHAR(96))),CHAR(34),CHAR(39))))</f>
        <v/>
      </c>
      <c r="Q454" s="5" t="str">
        <f>IF(OR(TRIM($B454)="",$G454=""),"",IF(OR(ISNUMBER(SEARCH(_xlfn.CONCAT(CHAR(96),CHAR(34)),$G454)),ISNUMBER(SEARCH(_xlfn.CONCAT(CHAR(34),CHAR(39)),$G454))),_xlfn.CONCAT("* REVIEW REQUIRED: compound-quote delimiter in Universe on Sheet 1 row ",454,"; edit the input before running."),_xlfn.CONCAT("char ",TRIM($B454),"[doc_universe] ",CHAR(96),CHAR(34),SUBSTITUTE(SUBSTITUTE(SUBSTITUTE(SUBSTITUTE(SUBSTITUTE(SUBSTITUTE($G454,CHAR(13)," "),CHAR(10)," "),CHAR(9)," "),CHAR(92),_xlfn.CONCAT(CHAR(92),CHAR(92))),"$",_xlfn.CONCAT(CHAR(92),"$")),CHAR(96),_xlfn.CONCAT(CHAR(92),CHAR(96))),CHAR(34),CHAR(39))))</f>
        <v/>
      </c>
      <c r="R454" s="5" t="str">
        <f>IF(OR(TRIM($B454)="",$H454=""),"",IF(OR(ISNUMBER(SEARCH(_xlfn.CONCAT(CHAR(96),CHAR(34)),$H454)),ISNUMBER(SEARCH(_xlfn.CONCAT(CHAR(34),CHAR(39)),$H454))),_xlfn.CONCAT("* REVIEW REQUIRED: compound-quote delimiter in Source on Sheet 1 row ",454,"; edit the input before running."),_xlfn.CONCAT("char ",TRIM($B454),"[doc_source] ",CHAR(96),CHAR(34),SUBSTITUTE(SUBSTITUTE(SUBSTITUTE(SUBSTITUTE(SUBSTITUTE(SUBSTITUTE($H454,CHAR(13)," "),CHAR(10)," "),CHAR(9)," "),CHAR(92),_xlfn.CONCAT(CHAR(92),CHAR(92))),"$",_xlfn.CONCAT(CHAR(92),"$")),CHAR(96),_xlfn.CONCAT(CHAR(92),CHAR(96))),CHAR(34),CHAR(39))))</f>
        <v/>
      </c>
      <c r="S454" s="5" t="str">
        <f>IF(OR(TRIM($B454)="",$I454=""),"",IF(OR(ISNUMBER(SEARCH(_xlfn.CONCAT(CHAR(96),CHAR(34)),$I454)),ISNUMBER(SEARCH(_xlfn.CONCAT(CHAR(34),CHAR(39)),$I454))),_xlfn.CONCAT("* REVIEW REQUIRED: compound-quote delimiter in Derivation on Sheet 1 row ",454,"; edit the input before running."),_xlfn.CONCAT("char ",TRIM($B454),"[doc_derivation] ",CHAR(96),CHAR(34),SUBSTITUTE(SUBSTITUTE(SUBSTITUTE(SUBSTITUTE(SUBSTITUTE(SUBSTITUTE($I454,CHAR(13)," "),CHAR(10)," "),CHAR(9)," "),CHAR(92),_xlfn.CONCAT(CHAR(92),CHAR(92))),"$",_xlfn.CONCAT(CHAR(92),"$")),CHAR(96),_xlfn.CONCAT(CHAR(92),CHAR(96))),CHAR(34),CHAR(39))))</f>
        <v/>
      </c>
      <c r="T454" s="5" t="str">
        <f>IF(OR(TRIM($B454)="",$J454=""),"",IF(OR(ISNUMBER(SEARCH(_xlfn.CONCAT(CHAR(96),CHAR(34)),$J454)),ISNUMBER(SEARCH(_xlfn.CONCAT(CHAR(34),CHAR(39)),$J454))),_xlfn.CONCAT("* REVIEW REQUIRED: compound-quote delimiter in Notes on Sheet 1 row ",454,"; edit the input before running."),_xlfn.CONCAT("char ",TRIM($B454),"[doc_notes] ",CHAR(96),CHAR(34),SUBSTITUTE(SUBSTITUTE(SUBSTITUTE(SUBSTITUTE(SUBSTITUTE(SUBSTITUTE($J454,CHAR(13)," "),CHAR(10)," "),CHAR(9)," "),CHAR(92),_xlfn.CONCAT(CHAR(92),CHAR(92))),"$",_xlfn.CONCAT(CHAR(92),"$")),CHAR(96),_xlfn.CONCAT(CHAR(92),CHAR(96))),CHAR(34),CHAR(39))))</f>
        <v/>
      </c>
      <c r="U454" s="5">
        <f t="shared" si="13"/>
        <v>0</v>
      </c>
    </row>
    <row r="455" spans="3:21" ht="30" customHeight="1" x14ac:dyDescent="0.2">
      <c r="C455" s="4"/>
      <c r="K455" s="5">
        <f t="shared" si="12"/>
        <v>0</v>
      </c>
      <c r="L455" s="5" t="str">
        <f>IF(OR(TRIM($B455)="",$A455=""),"",IF(OR(ISNUMBER(SEARCH(_xlfn.CONCAT(CHAR(96),CHAR(34)),$A455)),ISNUMBER(SEARCH(_xlfn.CONCAT(CHAR(34),CHAR(39)),$A455))),_xlfn.CONCAT("* REVIEW REQUIRED: compound-quote delimiter in Codebook Section on Sheet 1 row ",455,"; edit the input before running."),_xlfn.CONCAT("char ",TRIM($B455),"[doc_section] ",CHAR(96),CHAR(34),SUBSTITUTE(SUBSTITUTE(SUBSTITUTE(SUBSTITUTE(SUBSTITUTE(SUBSTITUTE($A455,CHAR(13)," "),CHAR(10)," "),CHAR(9)," "),CHAR(92),_xlfn.CONCAT(CHAR(92),CHAR(92))),"$",_xlfn.CONCAT(CHAR(92),"$")),CHAR(96),_xlfn.CONCAT(CHAR(92),CHAR(96))),CHAR(34),CHAR(39))))</f>
        <v/>
      </c>
      <c r="M455" s="5" t="str">
        <f>IF(OR(TRIM($B455)="",$C455=""),"",IF(IFERROR(MATCH(TRIM($C455),{"Quantitative","Continuous","Discrete","Categorical","Nominal","Ordinal","Identifier"},0),0)=0,_xlfn.CONCAT("* REVIEW REQUIRED: invalid Variable Type on Sheet 1 row ",455,"."),_xlfn.CONCAT("char ",TRIM($B455),"[doc_vartype] ",CHAR(96),CHAR(34),SUBSTITUTE(SUBSTITUTE(SUBSTITUTE(SUBSTITUTE(SUBSTITUTE(SUBSTITUTE(LOWER(TRIM($C455)),CHAR(13)," "),CHAR(10)," "),CHAR(9)," "),CHAR(92),_xlfn.CONCAT(CHAR(92),CHAR(92))),"$",_xlfn.CONCAT(CHAR(92),"$")),CHAR(96),_xlfn.CONCAT(CHAR(92),CHAR(96))),CHAR(34),CHAR(39))))</f>
        <v/>
      </c>
      <c r="N455" s="5" t="str">
        <f>IF(OR(TRIM($B455)="",$D455=""),"",IF(OR(ISNUMBER(SEARCH(_xlfn.CONCAT(CHAR(96),CHAR(34)),$D455)),ISNUMBER(SEARCH(_xlfn.CONCAT(CHAR(34),CHAR(39)),$D455))),_xlfn.CONCAT("* REVIEW REQUIRED: compound-quote delimiter in Item Number on Sheet 1 row ",455,"; edit the input before running."),_xlfn.CONCAT("char ",TRIM($B455),"[doc_itemnum] ",CHAR(96),CHAR(34),SUBSTITUTE(SUBSTITUTE(SUBSTITUTE(SUBSTITUTE(SUBSTITUTE(SUBSTITUTE($D455,CHAR(13)," "),CHAR(10)," "),CHAR(9)," "),CHAR(92),_xlfn.CONCAT(CHAR(92),CHAR(92))),"$",_xlfn.CONCAT(CHAR(92),"$")),CHAR(96),_xlfn.CONCAT(CHAR(92),CHAR(96))),CHAR(34),CHAR(39))))</f>
        <v/>
      </c>
      <c r="O455" s="5" t="str">
        <f>IF(OR(TRIM($B455)="",$E455=""),"",IF(OR(ISNUMBER(SEARCH(_xlfn.CONCAT(CHAR(96),CHAR(34)),$E455)),ISNUMBER(SEARCH(_xlfn.CONCAT(CHAR(34),CHAR(39)),$E455))),_xlfn.CONCAT("* REVIEW REQUIRED: compound-quote delimiter in Question Wording on Sheet 1 row ",455,"; edit the input before running."),_xlfn.CONCAT("char ",TRIM($B455),"[doc_question] ",CHAR(96),CHAR(34),SUBSTITUTE(SUBSTITUTE(SUBSTITUTE(SUBSTITUTE(SUBSTITUTE(SUBSTITUTE($E455,CHAR(13)," "),CHAR(10)," "),CHAR(9)," "),CHAR(92),_xlfn.CONCAT(CHAR(92),CHAR(92))),"$",_xlfn.CONCAT(CHAR(92),"$")),CHAR(96),_xlfn.CONCAT(CHAR(92),CHAR(96))),CHAR(34),CHAR(39))))</f>
        <v/>
      </c>
      <c r="P455" s="5" t="str">
        <f>IF(OR(TRIM($B455)="",$F455=""),"",IF(OR(ISNUMBER(SEARCH(_xlfn.CONCAT(CHAR(96),CHAR(34)),$F455)),ISNUMBER(SEARCH(_xlfn.CONCAT(CHAR(34),CHAR(39)),$F455))),_xlfn.CONCAT("* REVIEW REQUIRED: compound-quote delimiter in Units on Sheet 1 row ",455,"; edit the input before running."),_xlfn.CONCAT("char ",TRIM($B455),"[doc_units] ",CHAR(96),CHAR(34),SUBSTITUTE(SUBSTITUTE(SUBSTITUTE(SUBSTITUTE(SUBSTITUTE(SUBSTITUTE($F455,CHAR(13)," "),CHAR(10)," "),CHAR(9)," "),CHAR(92),_xlfn.CONCAT(CHAR(92),CHAR(92))),"$",_xlfn.CONCAT(CHAR(92),"$")),CHAR(96),_xlfn.CONCAT(CHAR(92),CHAR(96))),CHAR(34),CHAR(39))))</f>
        <v/>
      </c>
      <c r="Q455" s="5" t="str">
        <f>IF(OR(TRIM($B455)="",$G455=""),"",IF(OR(ISNUMBER(SEARCH(_xlfn.CONCAT(CHAR(96),CHAR(34)),$G455)),ISNUMBER(SEARCH(_xlfn.CONCAT(CHAR(34),CHAR(39)),$G455))),_xlfn.CONCAT("* REVIEW REQUIRED: compound-quote delimiter in Universe on Sheet 1 row ",455,"; edit the input before running."),_xlfn.CONCAT("char ",TRIM($B455),"[doc_universe] ",CHAR(96),CHAR(34),SUBSTITUTE(SUBSTITUTE(SUBSTITUTE(SUBSTITUTE(SUBSTITUTE(SUBSTITUTE($G455,CHAR(13)," "),CHAR(10)," "),CHAR(9)," "),CHAR(92),_xlfn.CONCAT(CHAR(92),CHAR(92))),"$",_xlfn.CONCAT(CHAR(92),"$")),CHAR(96),_xlfn.CONCAT(CHAR(92),CHAR(96))),CHAR(34),CHAR(39))))</f>
        <v/>
      </c>
      <c r="R455" s="5" t="str">
        <f>IF(OR(TRIM($B455)="",$H455=""),"",IF(OR(ISNUMBER(SEARCH(_xlfn.CONCAT(CHAR(96),CHAR(34)),$H455)),ISNUMBER(SEARCH(_xlfn.CONCAT(CHAR(34),CHAR(39)),$H455))),_xlfn.CONCAT("* REVIEW REQUIRED: compound-quote delimiter in Source on Sheet 1 row ",455,"; edit the input before running."),_xlfn.CONCAT("char ",TRIM($B455),"[doc_source] ",CHAR(96),CHAR(34),SUBSTITUTE(SUBSTITUTE(SUBSTITUTE(SUBSTITUTE(SUBSTITUTE(SUBSTITUTE($H455,CHAR(13)," "),CHAR(10)," "),CHAR(9)," "),CHAR(92),_xlfn.CONCAT(CHAR(92),CHAR(92))),"$",_xlfn.CONCAT(CHAR(92),"$")),CHAR(96),_xlfn.CONCAT(CHAR(92),CHAR(96))),CHAR(34),CHAR(39))))</f>
        <v/>
      </c>
      <c r="S455" s="5" t="str">
        <f>IF(OR(TRIM($B455)="",$I455=""),"",IF(OR(ISNUMBER(SEARCH(_xlfn.CONCAT(CHAR(96),CHAR(34)),$I455)),ISNUMBER(SEARCH(_xlfn.CONCAT(CHAR(34),CHAR(39)),$I455))),_xlfn.CONCAT("* REVIEW REQUIRED: compound-quote delimiter in Derivation on Sheet 1 row ",455,"; edit the input before running."),_xlfn.CONCAT("char ",TRIM($B455),"[doc_derivation] ",CHAR(96),CHAR(34),SUBSTITUTE(SUBSTITUTE(SUBSTITUTE(SUBSTITUTE(SUBSTITUTE(SUBSTITUTE($I455,CHAR(13)," "),CHAR(10)," "),CHAR(9)," "),CHAR(92),_xlfn.CONCAT(CHAR(92),CHAR(92))),"$",_xlfn.CONCAT(CHAR(92),"$")),CHAR(96),_xlfn.CONCAT(CHAR(92),CHAR(96))),CHAR(34),CHAR(39))))</f>
        <v/>
      </c>
      <c r="T455" s="5" t="str">
        <f>IF(OR(TRIM($B455)="",$J455=""),"",IF(OR(ISNUMBER(SEARCH(_xlfn.CONCAT(CHAR(96),CHAR(34)),$J455)),ISNUMBER(SEARCH(_xlfn.CONCAT(CHAR(34),CHAR(39)),$J455))),_xlfn.CONCAT("* REVIEW REQUIRED: compound-quote delimiter in Notes on Sheet 1 row ",455,"; edit the input before running."),_xlfn.CONCAT("char ",TRIM($B455),"[doc_notes] ",CHAR(96),CHAR(34),SUBSTITUTE(SUBSTITUTE(SUBSTITUTE(SUBSTITUTE(SUBSTITUTE(SUBSTITUTE($J455,CHAR(13)," "),CHAR(10)," "),CHAR(9)," "),CHAR(92),_xlfn.CONCAT(CHAR(92),CHAR(92))),"$",_xlfn.CONCAT(CHAR(92),"$")),CHAR(96),_xlfn.CONCAT(CHAR(92),CHAR(96))),CHAR(34),CHAR(39))))</f>
        <v/>
      </c>
      <c r="U455" s="5">
        <f t="shared" si="13"/>
        <v>0</v>
      </c>
    </row>
    <row r="456" spans="3:21" ht="30" customHeight="1" x14ac:dyDescent="0.2">
      <c r="C456" s="4"/>
      <c r="K456" s="5">
        <f t="shared" si="12"/>
        <v>0</v>
      </c>
      <c r="L456" s="5" t="str">
        <f>IF(OR(TRIM($B456)="",$A456=""),"",IF(OR(ISNUMBER(SEARCH(_xlfn.CONCAT(CHAR(96),CHAR(34)),$A456)),ISNUMBER(SEARCH(_xlfn.CONCAT(CHAR(34),CHAR(39)),$A456))),_xlfn.CONCAT("* REVIEW REQUIRED: compound-quote delimiter in Codebook Section on Sheet 1 row ",456,"; edit the input before running."),_xlfn.CONCAT("char ",TRIM($B456),"[doc_section] ",CHAR(96),CHAR(34),SUBSTITUTE(SUBSTITUTE(SUBSTITUTE(SUBSTITUTE(SUBSTITUTE(SUBSTITUTE($A456,CHAR(13)," "),CHAR(10)," "),CHAR(9)," "),CHAR(92),_xlfn.CONCAT(CHAR(92),CHAR(92))),"$",_xlfn.CONCAT(CHAR(92),"$")),CHAR(96),_xlfn.CONCAT(CHAR(92),CHAR(96))),CHAR(34),CHAR(39))))</f>
        <v/>
      </c>
      <c r="M456" s="5" t="str">
        <f>IF(OR(TRIM($B456)="",$C456=""),"",IF(IFERROR(MATCH(TRIM($C456),{"Quantitative","Continuous","Discrete","Categorical","Nominal","Ordinal","Identifier"},0),0)=0,_xlfn.CONCAT("* REVIEW REQUIRED: invalid Variable Type on Sheet 1 row ",456,"."),_xlfn.CONCAT("char ",TRIM($B456),"[doc_vartype] ",CHAR(96),CHAR(34),SUBSTITUTE(SUBSTITUTE(SUBSTITUTE(SUBSTITUTE(SUBSTITUTE(SUBSTITUTE(LOWER(TRIM($C456)),CHAR(13)," "),CHAR(10)," "),CHAR(9)," "),CHAR(92),_xlfn.CONCAT(CHAR(92),CHAR(92))),"$",_xlfn.CONCAT(CHAR(92),"$")),CHAR(96),_xlfn.CONCAT(CHAR(92),CHAR(96))),CHAR(34),CHAR(39))))</f>
        <v/>
      </c>
      <c r="N456" s="5" t="str">
        <f>IF(OR(TRIM($B456)="",$D456=""),"",IF(OR(ISNUMBER(SEARCH(_xlfn.CONCAT(CHAR(96),CHAR(34)),$D456)),ISNUMBER(SEARCH(_xlfn.CONCAT(CHAR(34),CHAR(39)),$D456))),_xlfn.CONCAT("* REVIEW REQUIRED: compound-quote delimiter in Item Number on Sheet 1 row ",456,"; edit the input before running."),_xlfn.CONCAT("char ",TRIM($B456),"[doc_itemnum] ",CHAR(96),CHAR(34),SUBSTITUTE(SUBSTITUTE(SUBSTITUTE(SUBSTITUTE(SUBSTITUTE(SUBSTITUTE($D456,CHAR(13)," "),CHAR(10)," "),CHAR(9)," "),CHAR(92),_xlfn.CONCAT(CHAR(92),CHAR(92))),"$",_xlfn.CONCAT(CHAR(92),"$")),CHAR(96),_xlfn.CONCAT(CHAR(92),CHAR(96))),CHAR(34),CHAR(39))))</f>
        <v/>
      </c>
      <c r="O456" s="5" t="str">
        <f>IF(OR(TRIM($B456)="",$E456=""),"",IF(OR(ISNUMBER(SEARCH(_xlfn.CONCAT(CHAR(96),CHAR(34)),$E456)),ISNUMBER(SEARCH(_xlfn.CONCAT(CHAR(34),CHAR(39)),$E456))),_xlfn.CONCAT("* REVIEW REQUIRED: compound-quote delimiter in Question Wording on Sheet 1 row ",456,"; edit the input before running."),_xlfn.CONCAT("char ",TRIM($B456),"[doc_question] ",CHAR(96),CHAR(34),SUBSTITUTE(SUBSTITUTE(SUBSTITUTE(SUBSTITUTE(SUBSTITUTE(SUBSTITUTE($E456,CHAR(13)," "),CHAR(10)," "),CHAR(9)," "),CHAR(92),_xlfn.CONCAT(CHAR(92),CHAR(92))),"$",_xlfn.CONCAT(CHAR(92),"$")),CHAR(96),_xlfn.CONCAT(CHAR(92),CHAR(96))),CHAR(34),CHAR(39))))</f>
        <v/>
      </c>
      <c r="P456" s="5" t="str">
        <f>IF(OR(TRIM($B456)="",$F456=""),"",IF(OR(ISNUMBER(SEARCH(_xlfn.CONCAT(CHAR(96),CHAR(34)),$F456)),ISNUMBER(SEARCH(_xlfn.CONCAT(CHAR(34),CHAR(39)),$F456))),_xlfn.CONCAT("* REVIEW REQUIRED: compound-quote delimiter in Units on Sheet 1 row ",456,"; edit the input before running."),_xlfn.CONCAT("char ",TRIM($B456),"[doc_units] ",CHAR(96),CHAR(34),SUBSTITUTE(SUBSTITUTE(SUBSTITUTE(SUBSTITUTE(SUBSTITUTE(SUBSTITUTE($F456,CHAR(13)," "),CHAR(10)," "),CHAR(9)," "),CHAR(92),_xlfn.CONCAT(CHAR(92),CHAR(92))),"$",_xlfn.CONCAT(CHAR(92),"$")),CHAR(96),_xlfn.CONCAT(CHAR(92),CHAR(96))),CHAR(34),CHAR(39))))</f>
        <v/>
      </c>
      <c r="Q456" s="5" t="str">
        <f>IF(OR(TRIM($B456)="",$G456=""),"",IF(OR(ISNUMBER(SEARCH(_xlfn.CONCAT(CHAR(96),CHAR(34)),$G456)),ISNUMBER(SEARCH(_xlfn.CONCAT(CHAR(34),CHAR(39)),$G456))),_xlfn.CONCAT("* REVIEW REQUIRED: compound-quote delimiter in Universe on Sheet 1 row ",456,"; edit the input before running."),_xlfn.CONCAT("char ",TRIM($B456),"[doc_universe] ",CHAR(96),CHAR(34),SUBSTITUTE(SUBSTITUTE(SUBSTITUTE(SUBSTITUTE(SUBSTITUTE(SUBSTITUTE($G456,CHAR(13)," "),CHAR(10)," "),CHAR(9)," "),CHAR(92),_xlfn.CONCAT(CHAR(92),CHAR(92))),"$",_xlfn.CONCAT(CHAR(92),"$")),CHAR(96),_xlfn.CONCAT(CHAR(92),CHAR(96))),CHAR(34),CHAR(39))))</f>
        <v/>
      </c>
      <c r="R456" s="5" t="str">
        <f>IF(OR(TRIM($B456)="",$H456=""),"",IF(OR(ISNUMBER(SEARCH(_xlfn.CONCAT(CHAR(96),CHAR(34)),$H456)),ISNUMBER(SEARCH(_xlfn.CONCAT(CHAR(34),CHAR(39)),$H456))),_xlfn.CONCAT("* REVIEW REQUIRED: compound-quote delimiter in Source on Sheet 1 row ",456,"; edit the input before running."),_xlfn.CONCAT("char ",TRIM($B456),"[doc_source] ",CHAR(96),CHAR(34),SUBSTITUTE(SUBSTITUTE(SUBSTITUTE(SUBSTITUTE(SUBSTITUTE(SUBSTITUTE($H456,CHAR(13)," "),CHAR(10)," "),CHAR(9)," "),CHAR(92),_xlfn.CONCAT(CHAR(92),CHAR(92))),"$",_xlfn.CONCAT(CHAR(92),"$")),CHAR(96),_xlfn.CONCAT(CHAR(92),CHAR(96))),CHAR(34),CHAR(39))))</f>
        <v/>
      </c>
      <c r="S456" s="5" t="str">
        <f>IF(OR(TRIM($B456)="",$I456=""),"",IF(OR(ISNUMBER(SEARCH(_xlfn.CONCAT(CHAR(96),CHAR(34)),$I456)),ISNUMBER(SEARCH(_xlfn.CONCAT(CHAR(34),CHAR(39)),$I456))),_xlfn.CONCAT("* REVIEW REQUIRED: compound-quote delimiter in Derivation on Sheet 1 row ",456,"; edit the input before running."),_xlfn.CONCAT("char ",TRIM($B456),"[doc_derivation] ",CHAR(96),CHAR(34),SUBSTITUTE(SUBSTITUTE(SUBSTITUTE(SUBSTITUTE(SUBSTITUTE(SUBSTITUTE($I456,CHAR(13)," "),CHAR(10)," "),CHAR(9)," "),CHAR(92),_xlfn.CONCAT(CHAR(92),CHAR(92))),"$",_xlfn.CONCAT(CHAR(92),"$")),CHAR(96),_xlfn.CONCAT(CHAR(92),CHAR(96))),CHAR(34),CHAR(39))))</f>
        <v/>
      </c>
      <c r="T456" s="5" t="str">
        <f>IF(OR(TRIM($B456)="",$J456=""),"",IF(OR(ISNUMBER(SEARCH(_xlfn.CONCAT(CHAR(96),CHAR(34)),$J456)),ISNUMBER(SEARCH(_xlfn.CONCAT(CHAR(34),CHAR(39)),$J456))),_xlfn.CONCAT("* REVIEW REQUIRED: compound-quote delimiter in Notes on Sheet 1 row ",456,"; edit the input before running."),_xlfn.CONCAT("char ",TRIM($B456),"[doc_notes] ",CHAR(96),CHAR(34),SUBSTITUTE(SUBSTITUTE(SUBSTITUTE(SUBSTITUTE(SUBSTITUTE(SUBSTITUTE($J456,CHAR(13)," "),CHAR(10)," "),CHAR(9)," "),CHAR(92),_xlfn.CONCAT(CHAR(92),CHAR(92))),"$",_xlfn.CONCAT(CHAR(92),"$")),CHAR(96),_xlfn.CONCAT(CHAR(92),CHAR(96))),CHAR(34),CHAR(39))))</f>
        <v/>
      </c>
      <c r="U456" s="5">
        <f t="shared" si="13"/>
        <v>0</v>
      </c>
    </row>
    <row r="457" spans="3:21" ht="30" customHeight="1" x14ac:dyDescent="0.2">
      <c r="C457" s="4"/>
      <c r="K457" s="5">
        <f t="shared" si="12"/>
        <v>0</v>
      </c>
      <c r="L457" s="5" t="str">
        <f>IF(OR(TRIM($B457)="",$A457=""),"",IF(OR(ISNUMBER(SEARCH(_xlfn.CONCAT(CHAR(96),CHAR(34)),$A457)),ISNUMBER(SEARCH(_xlfn.CONCAT(CHAR(34),CHAR(39)),$A457))),_xlfn.CONCAT("* REVIEW REQUIRED: compound-quote delimiter in Codebook Section on Sheet 1 row ",457,"; edit the input before running."),_xlfn.CONCAT("char ",TRIM($B457),"[doc_section] ",CHAR(96),CHAR(34),SUBSTITUTE(SUBSTITUTE(SUBSTITUTE(SUBSTITUTE(SUBSTITUTE(SUBSTITUTE($A457,CHAR(13)," "),CHAR(10)," "),CHAR(9)," "),CHAR(92),_xlfn.CONCAT(CHAR(92),CHAR(92))),"$",_xlfn.CONCAT(CHAR(92),"$")),CHAR(96),_xlfn.CONCAT(CHAR(92),CHAR(96))),CHAR(34),CHAR(39))))</f>
        <v/>
      </c>
      <c r="M457" s="5" t="str">
        <f>IF(OR(TRIM($B457)="",$C457=""),"",IF(IFERROR(MATCH(TRIM($C457),{"Quantitative","Continuous","Discrete","Categorical","Nominal","Ordinal","Identifier"},0),0)=0,_xlfn.CONCAT("* REVIEW REQUIRED: invalid Variable Type on Sheet 1 row ",457,"."),_xlfn.CONCAT("char ",TRIM($B457),"[doc_vartype] ",CHAR(96),CHAR(34),SUBSTITUTE(SUBSTITUTE(SUBSTITUTE(SUBSTITUTE(SUBSTITUTE(SUBSTITUTE(LOWER(TRIM($C457)),CHAR(13)," "),CHAR(10)," "),CHAR(9)," "),CHAR(92),_xlfn.CONCAT(CHAR(92),CHAR(92))),"$",_xlfn.CONCAT(CHAR(92),"$")),CHAR(96),_xlfn.CONCAT(CHAR(92),CHAR(96))),CHAR(34),CHAR(39))))</f>
        <v/>
      </c>
      <c r="N457" s="5" t="str">
        <f>IF(OR(TRIM($B457)="",$D457=""),"",IF(OR(ISNUMBER(SEARCH(_xlfn.CONCAT(CHAR(96),CHAR(34)),$D457)),ISNUMBER(SEARCH(_xlfn.CONCAT(CHAR(34),CHAR(39)),$D457))),_xlfn.CONCAT("* REVIEW REQUIRED: compound-quote delimiter in Item Number on Sheet 1 row ",457,"; edit the input before running."),_xlfn.CONCAT("char ",TRIM($B457),"[doc_itemnum] ",CHAR(96),CHAR(34),SUBSTITUTE(SUBSTITUTE(SUBSTITUTE(SUBSTITUTE(SUBSTITUTE(SUBSTITUTE($D457,CHAR(13)," "),CHAR(10)," "),CHAR(9)," "),CHAR(92),_xlfn.CONCAT(CHAR(92),CHAR(92))),"$",_xlfn.CONCAT(CHAR(92),"$")),CHAR(96),_xlfn.CONCAT(CHAR(92),CHAR(96))),CHAR(34),CHAR(39))))</f>
        <v/>
      </c>
      <c r="O457" s="5" t="str">
        <f>IF(OR(TRIM($B457)="",$E457=""),"",IF(OR(ISNUMBER(SEARCH(_xlfn.CONCAT(CHAR(96),CHAR(34)),$E457)),ISNUMBER(SEARCH(_xlfn.CONCAT(CHAR(34),CHAR(39)),$E457))),_xlfn.CONCAT("* REVIEW REQUIRED: compound-quote delimiter in Question Wording on Sheet 1 row ",457,"; edit the input before running."),_xlfn.CONCAT("char ",TRIM($B457),"[doc_question] ",CHAR(96),CHAR(34),SUBSTITUTE(SUBSTITUTE(SUBSTITUTE(SUBSTITUTE(SUBSTITUTE(SUBSTITUTE($E457,CHAR(13)," "),CHAR(10)," "),CHAR(9)," "),CHAR(92),_xlfn.CONCAT(CHAR(92),CHAR(92))),"$",_xlfn.CONCAT(CHAR(92),"$")),CHAR(96),_xlfn.CONCAT(CHAR(92),CHAR(96))),CHAR(34),CHAR(39))))</f>
        <v/>
      </c>
      <c r="P457" s="5" t="str">
        <f>IF(OR(TRIM($B457)="",$F457=""),"",IF(OR(ISNUMBER(SEARCH(_xlfn.CONCAT(CHAR(96),CHAR(34)),$F457)),ISNUMBER(SEARCH(_xlfn.CONCAT(CHAR(34),CHAR(39)),$F457))),_xlfn.CONCAT("* REVIEW REQUIRED: compound-quote delimiter in Units on Sheet 1 row ",457,"; edit the input before running."),_xlfn.CONCAT("char ",TRIM($B457),"[doc_units] ",CHAR(96),CHAR(34),SUBSTITUTE(SUBSTITUTE(SUBSTITUTE(SUBSTITUTE(SUBSTITUTE(SUBSTITUTE($F457,CHAR(13)," "),CHAR(10)," "),CHAR(9)," "),CHAR(92),_xlfn.CONCAT(CHAR(92),CHAR(92))),"$",_xlfn.CONCAT(CHAR(92),"$")),CHAR(96),_xlfn.CONCAT(CHAR(92),CHAR(96))),CHAR(34),CHAR(39))))</f>
        <v/>
      </c>
      <c r="Q457" s="5" t="str">
        <f>IF(OR(TRIM($B457)="",$G457=""),"",IF(OR(ISNUMBER(SEARCH(_xlfn.CONCAT(CHAR(96),CHAR(34)),$G457)),ISNUMBER(SEARCH(_xlfn.CONCAT(CHAR(34),CHAR(39)),$G457))),_xlfn.CONCAT("* REVIEW REQUIRED: compound-quote delimiter in Universe on Sheet 1 row ",457,"; edit the input before running."),_xlfn.CONCAT("char ",TRIM($B457),"[doc_universe] ",CHAR(96),CHAR(34),SUBSTITUTE(SUBSTITUTE(SUBSTITUTE(SUBSTITUTE(SUBSTITUTE(SUBSTITUTE($G457,CHAR(13)," "),CHAR(10)," "),CHAR(9)," "),CHAR(92),_xlfn.CONCAT(CHAR(92),CHAR(92))),"$",_xlfn.CONCAT(CHAR(92),"$")),CHAR(96),_xlfn.CONCAT(CHAR(92),CHAR(96))),CHAR(34),CHAR(39))))</f>
        <v/>
      </c>
      <c r="R457" s="5" t="str">
        <f>IF(OR(TRIM($B457)="",$H457=""),"",IF(OR(ISNUMBER(SEARCH(_xlfn.CONCAT(CHAR(96),CHAR(34)),$H457)),ISNUMBER(SEARCH(_xlfn.CONCAT(CHAR(34),CHAR(39)),$H457))),_xlfn.CONCAT("* REVIEW REQUIRED: compound-quote delimiter in Source on Sheet 1 row ",457,"; edit the input before running."),_xlfn.CONCAT("char ",TRIM($B457),"[doc_source] ",CHAR(96),CHAR(34),SUBSTITUTE(SUBSTITUTE(SUBSTITUTE(SUBSTITUTE(SUBSTITUTE(SUBSTITUTE($H457,CHAR(13)," "),CHAR(10)," "),CHAR(9)," "),CHAR(92),_xlfn.CONCAT(CHAR(92),CHAR(92))),"$",_xlfn.CONCAT(CHAR(92),"$")),CHAR(96),_xlfn.CONCAT(CHAR(92),CHAR(96))),CHAR(34),CHAR(39))))</f>
        <v/>
      </c>
      <c r="S457" s="5" t="str">
        <f>IF(OR(TRIM($B457)="",$I457=""),"",IF(OR(ISNUMBER(SEARCH(_xlfn.CONCAT(CHAR(96),CHAR(34)),$I457)),ISNUMBER(SEARCH(_xlfn.CONCAT(CHAR(34),CHAR(39)),$I457))),_xlfn.CONCAT("* REVIEW REQUIRED: compound-quote delimiter in Derivation on Sheet 1 row ",457,"; edit the input before running."),_xlfn.CONCAT("char ",TRIM($B457),"[doc_derivation] ",CHAR(96),CHAR(34),SUBSTITUTE(SUBSTITUTE(SUBSTITUTE(SUBSTITUTE(SUBSTITUTE(SUBSTITUTE($I457,CHAR(13)," "),CHAR(10)," "),CHAR(9)," "),CHAR(92),_xlfn.CONCAT(CHAR(92),CHAR(92))),"$",_xlfn.CONCAT(CHAR(92),"$")),CHAR(96),_xlfn.CONCAT(CHAR(92),CHAR(96))),CHAR(34),CHAR(39))))</f>
        <v/>
      </c>
      <c r="T457" s="5" t="str">
        <f>IF(OR(TRIM($B457)="",$J457=""),"",IF(OR(ISNUMBER(SEARCH(_xlfn.CONCAT(CHAR(96),CHAR(34)),$J457)),ISNUMBER(SEARCH(_xlfn.CONCAT(CHAR(34),CHAR(39)),$J457))),_xlfn.CONCAT("* REVIEW REQUIRED: compound-quote delimiter in Notes on Sheet 1 row ",457,"; edit the input before running."),_xlfn.CONCAT("char ",TRIM($B457),"[doc_notes] ",CHAR(96),CHAR(34),SUBSTITUTE(SUBSTITUTE(SUBSTITUTE(SUBSTITUTE(SUBSTITUTE(SUBSTITUTE($J457,CHAR(13)," "),CHAR(10)," "),CHAR(9)," "),CHAR(92),_xlfn.CONCAT(CHAR(92),CHAR(92))),"$",_xlfn.CONCAT(CHAR(92),"$")),CHAR(96),_xlfn.CONCAT(CHAR(92),CHAR(96))),CHAR(34),CHAR(39))))</f>
        <v/>
      </c>
      <c r="U457" s="5">
        <f t="shared" si="13"/>
        <v>0</v>
      </c>
    </row>
    <row r="458" spans="3:21" ht="30" customHeight="1" x14ac:dyDescent="0.2">
      <c r="C458" s="4"/>
      <c r="K458" s="5">
        <f t="shared" si="12"/>
        <v>0</v>
      </c>
      <c r="L458" s="5" t="str">
        <f>IF(OR(TRIM($B458)="",$A458=""),"",IF(OR(ISNUMBER(SEARCH(_xlfn.CONCAT(CHAR(96),CHAR(34)),$A458)),ISNUMBER(SEARCH(_xlfn.CONCAT(CHAR(34),CHAR(39)),$A458))),_xlfn.CONCAT("* REVIEW REQUIRED: compound-quote delimiter in Codebook Section on Sheet 1 row ",458,"; edit the input before running."),_xlfn.CONCAT("char ",TRIM($B458),"[doc_section] ",CHAR(96),CHAR(34),SUBSTITUTE(SUBSTITUTE(SUBSTITUTE(SUBSTITUTE(SUBSTITUTE(SUBSTITUTE($A458,CHAR(13)," "),CHAR(10)," "),CHAR(9)," "),CHAR(92),_xlfn.CONCAT(CHAR(92),CHAR(92))),"$",_xlfn.CONCAT(CHAR(92),"$")),CHAR(96),_xlfn.CONCAT(CHAR(92),CHAR(96))),CHAR(34),CHAR(39))))</f>
        <v/>
      </c>
      <c r="M458" s="5" t="str">
        <f>IF(OR(TRIM($B458)="",$C458=""),"",IF(IFERROR(MATCH(TRIM($C458),{"Quantitative","Continuous","Discrete","Categorical","Nominal","Ordinal","Identifier"},0),0)=0,_xlfn.CONCAT("* REVIEW REQUIRED: invalid Variable Type on Sheet 1 row ",458,"."),_xlfn.CONCAT("char ",TRIM($B458),"[doc_vartype] ",CHAR(96),CHAR(34),SUBSTITUTE(SUBSTITUTE(SUBSTITUTE(SUBSTITUTE(SUBSTITUTE(SUBSTITUTE(LOWER(TRIM($C458)),CHAR(13)," "),CHAR(10)," "),CHAR(9)," "),CHAR(92),_xlfn.CONCAT(CHAR(92),CHAR(92))),"$",_xlfn.CONCAT(CHAR(92),"$")),CHAR(96),_xlfn.CONCAT(CHAR(92),CHAR(96))),CHAR(34),CHAR(39))))</f>
        <v/>
      </c>
      <c r="N458" s="5" t="str">
        <f>IF(OR(TRIM($B458)="",$D458=""),"",IF(OR(ISNUMBER(SEARCH(_xlfn.CONCAT(CHAR(96),CHAR(34)),$D458)),ISNUMBER(SEARCH(_xlfn.CONCAT(CHAR(34),CHAR(39)),$D458))),_xlfn.CONCAT("* REVIEW REQUIRED: compound-quote delimiter in Item Number on Sheet 1 row ",458,"; edit the input before running."),_xlfn.CONCAT("char ",TRIM($B458),"[doc_itemnum] ",CHAR(96),CHAR(34),SUBSTITUTE(SUBSTITUTE(SUBSTITUTE(SUBSTITUTE(SUBSTITUTE(SUBSTITUTE($D458,CHAR(13)," "),CHAR(10)," "),CHAR(9)," "),CHAR(92),_xlfn.CONCAT(CHAR(92),CHAR(92))),"$",_xlfn.CONCAT(CHAR(92),"$")),CHAR(96),_xlfn.CONCAT(CHAR(92),CHAR(96))),CHAR(34),CHAR(39))))</f>
        <v/>
      </c>
      <c r="O458" s="5" t="str">
        <f>IF(OR(TRIM($B458)="",$E458=""),"",IF(OR(ISNUMBER(SEARCH(_xlfn.CONCAT(CHAR(96),CHAR(34)),$E458)),ISNUMBER(SEARCH(_xlfn.CONCAT(CHAR(34),CHAR(39)),$E458))),_xlfn.CONCAT("* REVIEW REQUIRED: compound-quote delimiter in Question Wording on Sheet 1 row ",458,"; edit the input before running."),_xlfn.CONCAT("char ",TRIM($B458),"[doc_question] ",CHAR(96),CHAR(34),SUBSTITUTE(SUBSTITUTE(SUBSTITUTE(SUBSTITUTE(SUBSTITUTE(SUBSTITUTE($E458,CHAR(13)," "),CHAR(10)," "),CHAR(9)," "),CHAR(92),_xlfn.CONCAT(CHAR(92),CHAR(92))),"$",_xlfn.CONCAT(CHAR(92),"$")),CHAR(96),_xlfn.CONCAT(CHAR(92),CHAR(96))),CHAR(34),CHAR(39))))</f>
        <v/>
      </c>
      <c r="P458" s="5" t="str">
        <f>IF(OR(TRIM($B458)="",$F458=""),"",IF(OR(ISNUMBER(SEARCH(_xlfn.CONCAT(CHAR(96),CHAR(34)),$F458)),ISNUMBER(SEARCH(_xlfn.CONCAT(CHAR(34),CHAR(39)),$F458))),_xlfn.CONCAT("* REVIEW REQUIRED: compound-quote delimiter in Units on Sheet 1 row ",458,"; edit the input before running."),_xlfn.CONCAT("char ",TRIM($B458),"[doc_units] ",CHAR(96),CHAR(34),SUBSTITUTE(SUBSTITUTE(SUBSTITUTE(SUBSTITUTE(SUBSTITUTE(SUBSTITUTE($F458,CHAR(13)," "),CHAR(10)," "),CHAR(9)," "),CHAR(92),_xlfn.CONCAT(CHAR(92),CHAR(92))),"$",_xlfn.CONCAT(CHAR(92),"$")),CHAR(96),_xlfn.CONCAT(CHAR(92),CHAR(96))),CHAR(34),CHAR(39))))</f>
        <v/>
      </c>
      <c r="Q458" s="5" t="str">
        <f>IF(OR(TRIM($B458)="",$G458=""),"",IF(OR(ISNUMBER(SEARCH(_xlfn.CONCAT(CHAR(96),CHAR(34)),$G458)),ISNUMBER(SEARCH(_xlfn.CONCAT(CHAR(34),CHAR(39)),$G458))),_xlfn.CONCAT("* REVIEW REQUIRED: compound-quote delimiter in Universe on Sheet 1 row ",458,"; edit the input before running."),_xlfn.CONCAT("char ",TRIM($B458),"[doc_universe] ",CHAR(96),CHAR(34),SUBSTITUTE(SUBSTITUTE(SUBSTITUTE(SUBSTITUTE(SUBSTITUTE(SUBSTITUTE($G458,CHAR(13)," "),CHAR(10)," "),CHAR(9)," "),CHAR(92),_xlfn.CONCAT(CHAR(92),CHAR(92))),"$",_xlfn.CONCAT(CHAR(92),"$")),CHAR(96),_xlfn.CONCAT(CHAR(92),CHAR(96))),CHAR(34),CHAR(39))))</f>
        <v/>
      </c>
      <c r="R458" s="5" t="str">
        <f>IF(OR(TRIM($B458)="",$H458=""),"",IF(OR(ISNUMBER(SEARCH(_xlfn.CONCAT(CHAR(96),CHAR(34)),$H458)),ISNUMBER(SEARCH(_xlfn.CONCAT(CHAR(34),CHAR(39)),$H458))),_xlfn.CONCAT("* REVIEW REQUIRED: compound-quote delimiter in Source on Sheet 1 row ",458,"; edit the input before running."),_xlfn.CONCAT("char ",TRIM($B458),"[doc_source] ",CHAR(96),CHAR(34),SUBSTITUTE(SUBSTITUTE(SUBSTITUTE(SUBSTITUTE(SUBSTITUTE(SUBSTITUTE($H458,CHAR(13)," "),CHAR(10)," "),CHAR(9)," "),CHAR(92),_xlfn.CONCAT(CHAR(92),CHAR(92))),"$",_xlfn.CONCAT(CHAR(92),"$")),CHAR(96),_xlfn.CONCAT(CHAR(92),CHAR(96))),CHAR(34),CHAR(39))))</f>
        <v/>
      </c>
      <c r="S458" s="5" t="str">
        <f>IF(OR(TRIM($B458)="",$I458=""),"",IF(OR(ISNUMBER(SEARCH(_xlfn.CONCAT(CHAR(96),CHAR(34)),$I458)),ISNUMBER(SEARCH(_xlfn.CONCAT(CHAR(34),CHAR(39)),$I458))),_xlfn.CONCAT("* REVIEW REQUIRED: compound-quote delimiter in Derivation on Sheet 1 row ",458,"; edit the input before running."),_xlfn.CONCAT("char ",TRIM($B458),"[doc_derivation] ",CHAR(96),CHAR(34),SUBSTITUTE(SUBSTITUTE(SUBSTITUTE(SUBSTITUTE(SUBSTITUTE(SUBSTITUTE($I458,CHAR(13)," "),CHAR(10)," "),CHAR(9)," "),CHAR(92),_xlfn.CONCAT(CHAR(92),CHAR(92))),"$",_xlfn.CONCAT(CHAR(92),"$")),CHAR(96),_xlfn.CONCAT(CHAR(92),CHAR(96))),CHAR(34),CHAR(39))))</f>
        <v/>
      </c>
      <c r="T458" s="5" t="str">
        <f>IF(OR(TRIM($B458)="",$J458=""),"",IF(OR(ISNUMBER(SEARCH(_xlfn.CONCAT(CHAR(96),CHAR(34)),$J458)),ISNUMBER(SEARCH(_xlfn.CONCAT(CHAR(34),CHAR(39)),$J458))),_xlfn.CONCAT("* REVIEW REQUIRED: compound-quote delimiter in Notes on Sheet 1 row ",458,"; edit the input before running."),_xlfn.CONCAT("char ",TRIM($B458),"[doc_notes] ",CHAR(96),CHAR(34),SUBSTITUTE(SUBSTITUTE(SUBSTITUTE(SUBSTITUTE(SUBSTITUTE(SUBSTITUTE($J458,CHAR(13)," "),CHAR(10)," "),CHAR(9)," "),CHAR(92),_xlfn.CONCAT(CHAR(92),CHAR(92))),"$",_xlfn.CONCAT(CHAR(92),"$")),CHAR(96),_xlfn.CONCAT(CHAR(92),CHAR(96))),CHAR(34),CHAR(39))))</f>
        <v/>
      </c>
      <c r="U458" s="5">
        <f t="shared" si="13"/>
        <v>0</v>
      </c>
    </row>
    <row r="459" spans="3:21" ht="30" customHeight="1" x14ac:dyDescent="0.2">
      <c r="C459" s="4"/>
      <c r="K459" s="5">
        <f t="shared" si="12"/>
        <v>0</v>
      </c>
      <c r="L459" s="5" t="str">
        <f>IF(OR(TRIM($B459)="",$A459=""),"",IF(OR(ISNUMBER(SEARCH(_xlfn.CONCAT(CHAR(96),CHAR(34)),$A459)),ISNUMBER(SEARCH(_xlfn.CONCAT(CHAR(34),CHAR(39)),$A459))),_xlfn.CONCAT("* REVIEW REQUIRED: compound-quote delimiter in Codebook Section on Sheet 1 row ",459,"; edit the input before running."),_xlfn.CONCAT("char ",TRIM($B459),"[doc_section] ",CHAR(96),CHAR(34),SUBSTITUTE(SUBSTITUTE(SUBSTITUTE(SUBSTITUTE(SUBSTITUTE(SUBSTITUTE($A459,CHAR(13)," "),CHAR(10)," "),CHAR(9)," "),CHAR(92),_xlfn.CONCAT(CHAR(92),CHAR(92))),"$",_xlfn.CONCAT(CHAR(92),"$")),CHAR(96),_xlfn.CONCAT(CHAR(92),CHAR(96))),CHAR(34),CHAR(39))))</f>
        <v/>
      </c>
      <c r="M459" s="5" t="str">
        <f>IF(OR(TRIM($B459)="",$C459=""),"",IF(IFERROR(MATCH(TRIM($C459),{"Quantitative","Continuous","Discrete","Categorical","Nominal","Ordinal","Identifier"},0),0)=0,_xlfn.CONCAT("* REVIEW REQUIRED: invalid Variable Type on Sheet 1 row ",459,"."),_xlfn.CONCAT("char ",TRIM($B459),"[doc_vartype] ",CHAR(96),CHAR(34),SUBSTITUTE(SUBSTITUTE(SUBSTITUTE(SUBSTITUTE(SUBSTITUTE(SUBSTITUTE(LOWER(TRIM($C459)),CHAR(13)," "),CHAR(10)," "),CHAR(9)," "),CHAR(92),_xlfn.CONCAT(CHAR(92),CHAR(92))),"$",_xlfn.CONCAT(CHAR(92),"$")),CHAR(96),_xlfn.CONCAT(CHAR(92),CHAR(96))),CHAR(34),CHAR(39))))</f>
        <v/>
      </c>
      <c r="N459" s="5" t="str">
        <f>IF(OR(TRIM($B459)="",$D459=""),"",IF(OR(ISNUMBER(SEARCH(_xlfn.CONCAT(CHAR(96),CHAR(34)),$D459)),ISNUMBER(SEARCH(_xlfn.CONCAT(CHAR(34),CHAR(39)),$D459))),_xlfn.CONCAT("* REVIEW REQUIRED: compound-quote delimiter in Item Number on Sheet 1 row ",459,"; edit the input before running."),_xlfn.CONCAT("char ",TRIM($B459),"[doc_itemnum] ",CHAR(96),CHAR(34),SUBSTITUTE(SUBSTITUTE(SUBSTITUTE(SUBSTITUTE(SUBSTITUTE(SUBSTITUTE($D459,CHAR(13)," "),CHAR(10)," "),CHAR(9)," "),CHAR(92),_xlfn.CONCAT(CHAR(92),CHAR(92))),"$",_xlfn.CONCAT(CHAR(92),"$")),CHAR(96),_xlfn.CONCAT(CHAR(92),CHAR(96))),CHAR(34),CHAR(39))))</f>
        <v/>
      </c>
      <c r="O459" s="5" t="str">
        <f>IF(OR(TRIM($B459)="",$E459=""),"",IF(OR(ISNUMBER(SEARCH(_xlfn.CONCAT(CHAR(96),CHAR(34)),$E459)),ISNUMBER(SEARCH(_xlfn.CONCAT(CHAR(34),CHAR(39)),$E459))),_xlfn.CONCAT("* REVIEW REQUIRED: compound-quote delimiter in Question Wording on Sheet 1 row ",459,"; edit the input before running."),_xlfn.CONCAT("char ",TRIM($B459),"[doc_question] ",CHAR(96),CHAR(34),SUBSTITUTE(SUBSTITUTE(SUBSTITUTE(SUBSTITUTE(SUBSTITUTE(SUBSTITUTE($E459,CHAR(13)," "),CHAR(10)," "),CHAR(9)," "),CHAR(92),_xlfn.CONCAT(CHAR(92),CHAR(92))),"$",_xlfn.CONCAT(CHAR(92),"$")),CHAR(96),_xlfn.CONCAT(CHAR(92),CHAR(96))),CHAR(34),CHAR(39))))</f>
        <v/>
      </c>
      <c r="P459" s="5" t="str">
        <f>IF(OR(TRIM($B459)="",$F459=""),"",IF(OR(ISNUMBER(SEARCH(_xlfn.CONCAT(CHAR(96),CHAR(34)),$F459)),ISNUMBER(SEARCH(_xlfn.CONCAT(CHAR(34),CHAR(39)),$F459))),_xlfn.CONCAT("* REVIEW REQUIRED: compound-quote delimiter in Units on Sheet 1 row ",459,"; edit the input before running."),_xlfn.CONCAT("char ",TRIM($B459),"[doc_units] ",CHAR(96),CHAR(34),SUBSTITUTE(SUBSTITUTE(SUBSTITUTE(SUBSTITUTE(SUBSTITUTE(SUBSTITUTE($F459,CHAR(13)," "),CHAR(10)," "),CHAR(9)," "),CHAR(92),_xlfn.CONCAT(CHAR(92),CHAR(92))),"$",_xlfn.CONCAT(CHAR(92),"$")),CHAR(96),_xlfn.CONCAT(CHAR(92),CHAR(96))),CHAR(34),CHAR(39))))</f>
        <v/>
      </c>
      <c r="Q459" s="5" t="str">
        <f>IF(OR(TRIM($B459)="",$G459=""),"",IF(OR(ISNUMBER(SEARCH(_xlfn.CONCAT(CHAR(96),CHAR(34)),$G459)),ISNUMBER(SEARCH(_xlfn.CONCAT(CHAR(34),CHAR(39)),$G459))),_xlfn.CONCAT("* REVIEW REQUIRED: compound-quote delimiter in Universe on Sheet 1 row ",459,"; edit the input before running."),_xlfn.CONCAT("char ",TRIM($B459),"[doc_universe] ",CHAR(96),CHAR(34),SUBSTITUTE(SUBSTITUTE(SUBSTITUTE(SUBSTITUTE(SUBSTITUTE(SUBSTITUTE($G459,CHAR(13)," "),CHAR(10)," "),CHAR(9)," "),CHAR(92),_xlfn.CONCAT(CHAR(92),CHAR(92))),"$",_xlfn.CONCAT(CHAR(92),"$")),CHAR(96),_xlfn.CONCAT(CHAR(92),CHAR(96))),CHAR(34),CHAR(39))))</f>
        <v/>
      </c>
      <c r="R459" s="5" t="str">
        <f>IF(OR(TRIM($B459)="",$H459=""),"",IF(OR(ISNUMBER(SEARCH(_xlfn.CONCAT(CHAR(96),CHAR(34)),$H459)),ISNUMBER(SEARCH(_xlfn.CONCAT(CHAR(34),CHAR(39)),$H459))),_xlfn.CONCAT("* REVIEW REQUIRED: compound-quote delimiter in Source on Sheet 1 row ",459,"; edit the input before running."),_xlfn.CONCAT("char ",TRIM($B459),"[doc_source] ",CHAR(96),CHAR(34),SUBSTITUTE(SUBSTITUTE(SUBSTITUTE(SUBSTITUTE(SUBSTITUTE(SUBSTITUTE($H459,CHAR(13)," "),CHAR(10)," "),CHAR(9)," "),CHAR(92),_xlfn.CONCAT(CHAR(92),CHAR(92))),"$",_xlfn.CONCAT(CHAR(92),"$")),CHAR(96),_xlfn.CONCAT(CHAR(92),CHAR(96))),CHAR(34),CHAR(39))))</f>
        <v/>
      </c>
      <c r="S459" s="5" t="str">
        <f>IF(OR(TRIM($B459)="",$I459=""),"",IF(OR(ISNUMBER(SEARCH(_xlfn.CONCAT(CHAR(96),CHAR(34)),$I459)),ISNUMBER(SEARCH(_xlfn.CONCAT(CHAR(34),CHAR(39)),$I459))),_xlfn.CONCAT("* REVIEW REQUIRED: compound-quote delimiter in Derivation on Sheet 1 row ",459,"; edit the input before running."),_xlfn.CONCAT("char ",TRIM($B459),"[doc_derivation] ",CHAR(96),CHAR(34),SUBSTITUTE(SUBSTITUTE(SUBSTITUTE(SUBSTITUTE(SUBSTITUTE(SUBSTITUTE($I459,CHAR(13)," "),CHAR(10)," "),CHAR(9)," "),CHAR(92),_xlfn.CONCAT(CHAR(92),CHAR(92))),"$",_xlfn.CONCAT(CHAR(92),"$")),CHAR(96),_xlfn.CONCAT(CHAR(92),CHAR(96))),CHAR(34),CHAR(39))))</f>
        <v/>
      </c>
      <c r="T459" s="5" t="str">
        <f>IF(OR(TRIM($B459)="",$J459=""),"",IF(OR(ISNUMBER(SEARCH(_xlfn.CONCAT(CHAR(96),CHAR(34)),$J459)),ISNUMBER(SEARCH(_xlfn.CONCAT(CHAR(34),CHAR(39)),$J459))),_xlfn.CONCAT("* REVIEW REQUIRED: compound-quote delimiter in Notes on Sheet 1 row ",459,"; edit the input before running."),_xlfn.CONCAT("char ",TRIM($B459),"[doc_notes] ",CHAR(96),CHAR(34),SUBSTITUTE(SUBSTITUTE(SUBSTITUTE(SUBSTITUTE(SUBSTITUTE(SUBSTITUTE($J459,CHAR(13)," "),CHAR(10)," "),CHAR(9)," "),CHAR(92),_xlfn.CONCAT(CHAR(92),CHAR(92))),"$",_xlfn.CONCAT(CHAR(92),"$")),CHAR(96),_xlfn.CONCAT(CHAR(92),CHAR(96))),CHAR(34),CHAR(39))))</f>
        <v/>
      </c>
      <c r="U459" s="5">
        <f t="shared" si="13"/>
        <v>0</v>
      </c>
    </row>
    <row r="460" spans="3:21" ht="30" customHeight="1" x14ac:dyDescent="0.2">
      <c r="C460" s="4"/>
      <c r="K460" s="5">
        <f t="shared" si="12"/>
        <v>0</v>
      </c>
      <c r="L460" s="5" t="str">
        <f>IF(OR(TRIM($B460)="",$A460=""),"",IF(OR(ISNUMBER(SEARCH(_xlfn.CONCAT(CHAR(96),CHAR(34)),$A460)),ISNUMBER(SEARCH(_xlfn.CONCAT(CHAR(34),CHAR(39)),$A460))),_xlfn.CONCAT("* REVIEW REQUIRED: compound-quote delimiter in Codebook Section on Sheet 1 row ",460,"; edit the input before running."),_xlfn.CONCAT("char ",TRIM($B460),"[doc_section] ",CHAR(96),CHAR(34),SUBSTITUTE(SUBSTITUTE(SUBSTITUTE(SUBSTITUTE(SUBSTITUTE(SUBSTITUTE($A460,CHAR(13)," "),CHAR(10)," "),CHAR(9)," "),CHAR(92),_xlfn.CONCAT(CHAR(92),CHAR(92))),"$",_xlfn.CONCAT(CHAR(92),"$")),CHAR(96),_xlfn.CONCAT(CHAR(92),CHAR(96))),CHAR(34),CHAR(39))))</f>
        <v/>
      </c>
      <c r="M460" s="5" t="str">
        <f>IF(OR(TRIM($B460)="",$C460=""),"",IF(IFERROR(MATCH(TRIM($C460),{"Quantitative","Continuous","Discrete","Categorical","Nominal","Ordinal","Identifier"},0),0)=0,_xlfn.CONCAT("* REVIEW REQUIRED: invalid Variable Type on Sheet 1 row ",460,"."),_xlfn.CONCAT("char ",TRIM($B460),"[doc_vartype] ",CHAR(96),CHAR(34),SUBSTITUTE(SUBSTITUTE(SUBSTITUTE(SUBSTITUTE(SUBSTITUTE(SUBSTITUTE(LOWER(TRIM($C460)),CHAR(13)," "),CHAR(10)," "),CHAR(9)," "),CHAR(92),_xlfn.CONCAT(CHAR(92),CHAR(92))),"$",_xlfn.CONCAT(CHAR(92),"$")),CHAR(96),_xlfn.CONCAT(CHAR(92),CHAR(96))),CHAR(34),CHAR(39))))</f>
        <v/>
      </c>
      <c r="N460" s="5" t="str">
        <f>IF(OR(TRIM($B460)="",$D460=""),"",IF(OR(ISNUMBER(SEARCH(_xlfn.CONCAT(CHAR(96),CHAR(34)),$D460)),ISNUMBER(SEARCH(_xlfn.CONCAT(CHAR(34),CHAR(39)),$D460))),_xlfn.CONCAT("* REVIEW REQUIRED: compound-quote delimiter in Item Number on Sheet 1 row ",460,"; edit the input before running."),_xlfn.CONCAT("char ",TRIM($B460),"[doc_itemnum] ",CHAR(96),CHAR(34),SUBSTITUTE(SUBSTITUTE(SUBSTITUTE(SUBSTITUTE(SUBSTITUTE(SUBSTITUTE($D460,CHAR(13)," "),CHAR(10)," "),CHAR(9)," "),CHAR(92),_xlfn.CONCAT(CHAR(92),CHAR(92))),"$",_xlfn.CONCAT(CHAR(92),"$")),CHAR(96),_xlfn.CONCAT(CHAR(92),CHAR(96))),CHAR(34),CHAR(39))))</f>
        <v/>
      </c>
      <c r="O460" s="5" t="str">
        <f>IF(OR(TRIM($B460)="",$E460=""),"",IF(OR(ISNUMBER(SEARCH(_xlfn.CONCAT(CHAR(96),CHAR(34)),$E460)),ISNUMBER(SEARCH(_xlfn.CONCAT(CHAR(34),CHAR(39)),$E460))),_xlfn.CONCAT("* REVIEW REQUIRED: compound-quote delimiter in Question Wording on Sheet 1 row ",460,"; edit the input before running."),_xlfn.CONCAT("char ",TRIM($B460),"[doc_question] ",CHAR(96),CHAR(34),SUBSTITUTE(SUBSTITUTE(SUBSTITUTE(SUBSTITUTE(SUBSTITUTE(SUBSTITUTE($E460,CHAR(13)," "),CHAR(10)," "),CHAR(9)," "),CHAR(92),_xlfn.CONCAT(CHAR(92),CHAR(92))),"$",_xlfn.CONCAT(CHAR(92),"$")),CHAR(96),_xlfn.CONCAT(CHAR(92),CHAR(96))),CHAR(34),CHAR(39))))</f>
        <v/>
      </c>
      <c r="P460" s="5" t="str">
        <f>IF(OR(TRIM($B460)="",$F460=""),"",IF(OR(ISNUMBER(SEARCH(_xlfn.CONCAT(CHAR(96),CHAR(34)),$F460)),ISNUMBER(SEARCH(_xlfn.CONCAT(CHAR(34),CHAR(39)),$F460))),_xlfn.CONCAT("* REVIEW REQUIRED: compound-quote delimiter in Units on Sheet 1 row ",460,"; edit the input before running."),_xlfn.CONCAT("char ",TRIM($B460),"[doc_units] ",CHAR(96),CHAR(34),SUBSTITUTE(SUBSTITUTE(SUBSTITUTE(SUBSTITUTE(SUBSTITUTE(SUBSTITUTE($F460,CHAR(13)," "),CHAR(10)," "),CHAR(9)," "),CHAR(92),_xlfn.CONCAT(CHAR(92),CHAR(92))),"$",_xlfn.CONCAT(CHAR(92),"$")),CHAR(96),_xlfn.CONCAT(CHAR(92),CHAR(96))),CHAR(34),CHAR(39))))</f>
        <v/>
      </c>
      <c r="Q460" s="5" t="str">
        <f>IF(OR(TRIM($B460)="",$G460=""),"",IF(OR(ISNUMBER(SEARCH(_xlfn.CONCAT(CHAR(96),CHAR(34)),$G460)),ISNUMBER(SEARCH(_xlfn.CONCAT(CHAR(34),CHAR(39)),$G460))),_xlfn.CONCAT("* REVIEW REQUIRED: compound-quote delimiter in Universe on Sheet 1 row ",460,"; edit the input before running."),_xlfn.CONCAT("char ",TRIM($B460),"[doc_universe] ",CHAR(96),CHAR(34),SUBSTITUTE(SUBSTITUTE(SUBSTITUTE(SUBSTITUTE(SUBSTITUTE(SUBSTITUTE($G460,CHAR(13)," "),CHAR(10)," "),CHAR(9)," "),CHAR(92),_xlfn.CONCAT(CHAR(92),CHAR(92))),"$",_xlfn.CONCAT(CHAR(92),"$")),CHAR(96),_xlfn.CONCAT(CHAR(92),CHAR(96))),CHAR(34),CHAR(39))))</f>
        <v/>
      </c>
      <c r="R460" s="5" t="str">
        <f>IF(OR(TRIM($B460)="",$H460=""),"",IF(OR(ISNUMBER(SEARCH(_xlfn.CONCAT(CHAR(96),CHAR(34)),$H460)),ISNUMBER(SEARCH(_xlfn.CONCAT(CHAR(34),CHAR(39)),$H460))),_xlfn.CONCAT("* REVIEW REQUIRED: compound-quote delimiter in Source on Sheet 1 row ",460,"; edit the input before running."),_xlfn.CONCAT("char ",TRIM($B460),"[doc_source] ",CHAR(96),CHAR(34),SUBSTITUTE(SUBSTITUTE(SUBSTITUTE(SUBSTITUTE(SUBSTITUTE(SUBSTITUTE($H460,CHAR(13)," "),CHAR(10)," "),CHAR(9)," "),CHAR(92),_xlfn.CONCAT(CHAR(92),CHAR(92))),"$",_xlfn.CONCAT(CHAR(92),"$")),CHAR(96),_xlfn.CONCAT(CHAR(92),CHAR(96))),CHAR(34),CHAR(39))))</f>
        <v/>
      </c>
      <c r="S460" s="5" t="str">
        <f>IF(OR(TRIM($B460)="",$I460=""),"",IF(OR(ISNUMBER(SEARCH(_xlfn.CONCAT(CHAR(96),CHAR(34)),$I460)),ISNUMBER(SEARCH(_xlfn.CONCAT(CHAR(34),CHAR(39)),$I460))),_xlfn.CONCAT("* REVIEW REQUIRED: compound-quote delimiter in Derivation on Sheet 1 row ",460,"; edit the input before running."),_xlfn.CONCAT("char ",TRIM($B460),"[doc_derivation] ",CHAR(96),CHAR(34),SUBSTITUTE(SUBSTITUTE(SUBSTITUTE(SUBSTITUTE(SUBSTITUTE(SUBSTITUTE($I460,CHAR(13)," "),CHAR(10)," "),CHAR(9)," "),CHAR(92),_xlfn.CONCAT(CHAR(92),CHAR(92))),"$",_xlfn.CONCAT(CHAR(92),"$")),CHAR(96),_xlfn.CONCAT(CHAR(92),CHAR(96))),CHAR(34),CHAR(39))))</f>
        <v/>
      </c>
      <c r="T460" s="5" t="str">
        <f>IF(OR(TRIM($B460)="",$J460=""),"",IF(OR(ISNUMBER(SEARCH(_xlfn.CONCAT(CHAR(96),CHAR(34)),$J460)),ISNUMBER(SEARCH(_xlfn.CONCAT(CHAR(34),CHAR(39)),$J460))),_xlfn.CONCAT("* REVIEW REQUIRED: compound-quote delimiter in Notes on Sheet 1 row ",460,"; edit the input before running."),_xlfn.CONCAT("char ",TRIM($B460),"[doc_notes] ",CHAR(96),CHAR(34),SUBSTITUTE(SUBSTITUTE(SUBSTITUTE(SUBSTITUTE(SUBSTITUTE(SUBSTITUTE($J460,CHAR(13)," "),CHAR(10)," "),CHAR(9)," "),CHAR(92),_xlfn.CONCAT(CHAR(92),CHAR(92))),"$",_xlfn.CONCAT(CHAR(92),"$")),CHAR(96),_xlfn.CONCAT(CHAR(92),CHAR(96))),CHAR(34),CHAR(39))))</f>
        <v/>
      </c>
      <c r="U460" s="5">
        <f t="shared" si="13"/>
        <v>0</v>
      </c>
    </row>
    <row r="461" spans="3:21" ht="30" customHeight="1" x14ac:dyDescent="0.2">
      <c r="C461" s="4"/>
      <c r="K461" s="5">
        <f t="shared" si="12"/>
        <v>0</v>
      </c>
      <c r="L461" s="5" t="str">
        <f>IF(OR(TRIM($B461)="",$A461=""),"",IF(OR(ISNUMBER(SEARCH(_xlfn.CONCAT(CHAR(96),CHAR(34)),$A461)),ISNUMBER(SEARCH(_xlfn.CONCAT(CHAR(34),CHAR(39)),$A461))),_xlfn.CONCAT("* REVIEW REQUIRED: compound-quote delimiter in Codebook Section on Sheet 1 row ",461,"; edit the input before running."),_xlfn.CONCAT("char ",TRIM($B461),"[doc_section] ",CHAR(96),CHAR(34),SUBSTITUTE(SUBSTITUTE(SUBSTITUTE(SUBSTITUTE(SUBSTITUTE(SUBSTITUTE($A461,CHAR(13)," "),CHAR(10)," "),CHAR(9)," "),CHAR(92),_xlfn.CONCAT(CHAR(92),CHAR(92))),"$",_xlfn.CONCAT(CHAR(92),"$")),CHAR(96),_xlfn.CONCAT(CHAR(92),CHAR(96))),CHAR(34),CHAR(39))))</f>
        <v/>
      </c>
      <c r="M461" s="5" t="str">
        <f>IF(OR(TRIM($B461)="",$C461=""),"",IF(IFERROR(MATCH(TRIM($C461),{"Quantitative","Continuous","Discrete","Categorical","Nominal","Ordinal","Identifier"},0),0)=0,_xlfn.CONCAT("* REVIEW REQUIRED: invalid Variable Type on Sheet 1 row ",461,"."),_xlfn.CONCAT("char ",TRIM($B461),"[doc_vartype] ",CHAR(96),CHAR(34),SUBSTITUTE(SUBSTITUTE(SUBSTITUTE(SUBSTITUTE(SUBSTITUTE(SUBSTITUTE(LOWER(TRIM($C461)),CHAR(13)," "),CHAR(10)," "),CHAR(9)," "),CHAR(92),_xlfn.CONCAT(CHAR(92),CHAR(92))),"$",_xlfn.CONCAT(CHAR(92),"$")),CHAR(96),_xlfn.CONCAT(CHAR(92),CHAR(96))),CHAR(34),CHAR(39))))</f>
        <v/>
      </c>
      <c r="N461" s="5" t="str">
        <f>IF(OR(TRIM($B461)="",$D461=""),"",IF(OR(ISNUMBER(SEARCH(_xlfn.CONCAT(CHAR(96),CHAR(34)),$D461)),ISNUMBER(SEARCH(_xlfn.CONCAT(CHAR(34),CHAR(39)),$D461))),_xlfn.CONCAT("* REVIEW REQUIRED: compound-quote delimiter in Item Number on Sheet 1 row ",461,"; edit the input before running."),_xlfn.CONCAT("char ",TRIM($B461),"[doc_itemnum] ",CHAR(96),CHAR(34),SUBSTITUTE(SUBSTITUTE(SUBSTITUTE(SUBSTITUTE(SUBSTITUTE(SUBSTITUTE($D461,CHAR(13)," "),CHAR(10)," "),CHAR(9)," "),CHAR(92),_xlfn.CONCAT(CHAR(92),CHAR(92))),"$",_xlfn.CONCAT(CHAR(92),"$")),CHAR(96),_xlfn.CONCAT(CHAR(92),CHAR(96))),CHAR(34),CHAR(39))))</f>
        <v/>
      </c>
      <c r="O461" s="5" t="str">
        <f>IF(OR(TRIM($B461)="",$E461=""),"",IF(OR(ISNUMBER(SEARCH(_xlfn.CONCAT(CHAR(96),CHAR(34)),$E461)),ISNUMBER(SEARCH(_xlfn.CONCAT(CHAR(34),CHAR(39)),$E461))),_xlfn.CONCAT("* REVIEW REQUIRED: compound-quote delimiter in Question Wording on Sheet 1 row ",461,"; edit the input before running."),_xlfn.CONCAT("char ",TRIM($B461),"[doc_question] ",CHAR(96),CHAR(34),SUBSTITUTE(SUBSTITUTE(SUBSTITUTE(SUBSTITUTE(SUBSTITUTE(SUBSTITUTE($E461,CHAR(13)," "),CHAR(10)," "),CHAR(9)," "),CHAR(92),_xlfn.CONCAT(CHAR(92),CHAR(92))),"$",_xlfn.CONCAT(CHAR(92),"$")),CHAR(96),_xlfn.CONCAT(CHAR(92),CHAR(96))),CHAR(34),CHAR(39))))</f>
        <v/>
      </c>
      <c r="P461" s="5" t="str">
        <f>IF(OR(TRIM($B461)="",$F461=""),"",IF(OR(ISNUMBER(SEARCH(_xlfn.CONCAT(CHAR(96),CHAR(34)),$F461)),ISNUMBER(SEARCH(_xlfn.CONCAT(CHAR(34),CHAR(39)),$F461))),_xlfn.CONCAT("* REVIEW REQUIRED: compound-quote delimiter in Units on Sheet 1 row ",461,"; edit the input before running."),_xlfn.CONCAT("char ",TRIM($B461),"[doc_units] ",CHAR(96),CHAR(34),SUBSTITUTE(SUBSTITUTE(SUBSTITUTE(SUBSTITUTE(SUBSTITUTE(SUBSTITUTE($F461,CHAR(13)," "),CHAR(10)," "),CHAR(9)," "),CHAR(92),_xlfn.CONCAT(CHAR(92),CHAR(92))),"$",_xlfn.CONCAT(CHAR(92),"$")),CHAR(96),_xlfn.CONCAT(CHAR(92),CHAR(96))),CHAR(34),CHAR(39))))</f>
        <v/>
      </c>
      <c r="Q461" s="5" t="str">
        <f>IF(OR(TRIM($B461)="",$G461=""),"",IF(OR(ISNUMBER(SEARCH(_xlfn.CONCAT(CHAR(96),CHAR(34)),$G461)),ISNUMBER(SEARCH(_xlfn.CONCAT(CHAR(34),CHAR(39)),$G461))),_xlfn.CONCAT("* REVIEW REQUIRED: compound-quote delimiter in Universe on Sheet 1 row ",461,"; edit the input before running."),_xlfn.CONCAT("char ",TRIM($B461),"[doc_universe] ",CHAR(96),CHAR(34),SUBSTITUTE(SUBSTITUTE(SUBSTITUTE(SUBSTITUTE(SUBSTITUTE(SUBSTITUTE($G461,CHAR(13)," "),CHAR(10)," "),CHAR(9)," "),CHAR(92),_xlfn.CONCAT(CHAR(92),CHAR(92))),"$",_xlfn.CONCAT(CHAR(92),"$")),CHAR(96),_xlfn.CONCAT(CHAR(92),CHAR(96))),CHAR(34),CHAR(39))))</f>
        <v/>
      </c>
      <c r="R461" s="5" t="str">
        <f>IF(OR(TRIM($B461)="",$H461=""),"",IF(OR(ISNUMBER(SEARCH(_xlfn.CONCAT(CHAR(96),CHAR(34)),$H461)),ISNUMBER(SEARCH(_xlfn.CONCAT(CHAR(34),CHAR(39)),$H461))),_xlfn.CONCAT("* REVIEW REQUIRED: compound-quote delimiter in Source on Sheet 1 row ",461,"; edit the input before running."),_xlfn.CONCAT("char ",TRIM($B461),"[doc_source] ",CHAR(96),CHAR(34),SUBSTITUTE(SUBSTITUTE(SUBSTITUTE(SUBSTITUTE(SUBSTITUTE(SUBSTITUTE($H461,CHAR(13)," "),CHAR(10)," "),CHAR(9)," "),CHAR(92),_xlfn.CONCAT(CHAR(92),CHAR(92))),"$",_xlfn.CONCAT(CHAR(92),"$")),CHAR(96),_xlfn.CONCAT(CHAR(92),CHAR(96))),CHAR(34),CHAR(39))))</f>
        <v/>
      </c>
      <c r="S461" s="5" t="str">
        <f>IF(OR(TRIM($B461)="",$I461=""),"",IF(OR(ISNUMBER(SEARCH(_xlfn.CONCAT(CHAR(96),CHAR(34)),$I461)),ISNUMBER(SEARCH(_xlfn.CONCAT(CHAR(34),CHAR(39)),$I461))),_xlfn.CONCAT("* REVIEW REQUIRED: compound-quote delimiter in Derivation on Sheet 1 row ",461,"; edit the input before running."),_xlfn.CONCAT("char ",TRIM($B461),"[doc_derivation] ",CHAR(96),CHAR(34),SUBSTITUTE(SUBSTITUTE(SUBSTITUTE(SUBSTITUTE(SUBSTITUTE(SUBSTITUTE($I461,CHAR(13)," "),CHAR(10)," "),CHAR(9)," "),CHAR(92),_xlfn.CONCAT(CHAR(92),CHAR(92))),"$",_xlfn.CONCAT(CHAR(92),"$")),CHAR(96),_xlfn.CONCAT(CHAR(92),CHAR(96))),CHAR(34),CHAR(39))))</f>
        <v/>
      </c>
      <c r="T461" s="5" t="str">
        <f>IF(OR(TRIM($B461)="",$J461=""),"",IF(OR(ISNUMBER(SEARCH(_xlfn.CONCAT(CHAR(96),CHAR(34)),$J461)),ISNUMBER(SEARCH(_xlfn.CONCAT(CHAR(34),CHAR(39)),$J461))),_xlfn.CONCAT("* REVIEW REQUIRED: compound-quote delimiter in Notes on Sheet 1 row ",461,"; edit the input before running."),_xlfn.CONCAT("char ",TRIM($B461),"[doc_notes] ",CHAR(96),CHAR(34),SUBSTITUTE(SUBSTITUTE(SUBSTITUTE(SUBSTITUTE(SUBSTITUTE(SUBSTITUTE($J461,CHAR(13)," "),CHAR(10)," "),CHAR(9)," "),CHAR(92),_xlfn.CONCAT(CHAR(92),CHAR(92))),"$",_xlfn.CONCAT(CHAR(92),"$")),CHAR(96),_xlfn.CONCAT(CHAR(92),CHAR(96))),CHAR(34),CHAR(39))))</f>
        <v/>
      </c>
      <c r="U461" s="5">
        <f t="shared" si="13"/>
        <v>0</v>
      </c>
    </row>
    <row r="462" spans="3:21" ht="30" customHeight="1" x14ac:dyDescent="0.2">
      <c r="C462" s="4"/>
      <c r="K462" s="5">
        <f t="shared" si="12"/>
        <v>0</v>
      </c>
      <c r="L462" s="5" t="str">
        <f>IF(OR(TRIM($B462)="",$A462=""),"",IF(OR(ISNUMBER(SEARCH(_xlfn.CONCAT(CHAR(96),CHAR(34)),$A462)),ISNUMBER(SEARCH(_xlfn.CONCAT(CHAR(34),CHAR(39)),$A462))),_xlfn.CONCAT("* REVIEW REQUIRED: compound-quote delimiter in Codebook Section on Sheet 1 row ",462,"; edit the input before running."),_xlfn.CONCAT("char ",TRIM($B462),"[doc_section] ",CHAR(96),CHAR(34),SUBSTITUTE(SUBSTITUTE(SUBSTITUTE(SUBSTITUTE(SUBSTITUTE(SUBSTITUTE($A462,CHAR(13)," "),CHAR(10)," "),CHAR(9)," "),CHAR(92),_xlfn.CONCAT(CHAR(92),CHAR(92))),"$",_xlfn.CONCAT(CHAR(92),"$")),CHAR(96),_xlfn.CONCAT(CHAR(92),CHAR(96))),CHAR(34),CHAR(39))))</f>
        <v/>
      </c>
      <c r="M462" s="5" t="str">
        <f>IF(OR(TRIM($B462)="",$C462=""),"",IF(IFERROR(MATCH(TRIM($C462),{"Quantitative","Continuous","Discrete","Categorical","Nominal","Ordinal","Identifier"},0),0)=0,_xlfn.CONCAT("* REVIEW REQUIRED: invalid Variable Type on Sheet 1 row ",462,"."),_xlfn.CONCAT("char ",TRIM($B462),"[doc_vartype] ",CHAR(96),CHAR(34),SUBSTITUTE(SUBSTITUTE(SUBSTITUTE(SUBSTITUTE(SUBSTITUTE(SUBSTITUTE(LOWER(TRIM($C462)),CHAR(13)," "),CHAR(10)," "),CHAR(9)," "),CHAR(92),_xlfn.CONCAT(CHAR(92),CHAR(92))),"$",_xlfn.CONCAT(CHAR(92),"$")),CHAR(96),_xlfn.CONCAT(CHAR(92),CHAR(96))),CHAR(34),CHAR(39))))</f>
        <v/>
      </c>
      <c r="N462" s="5" t="str">
        <f>IF(OR(TRIM($B462)="",$D462=""),"",IF(OR(ISNUMBER(SEARCH(_xlfn.CONCAT(CHAR(96),CHAR(34)),$D462)),ISNUMBER(SEARCH(_xlfn.CONCAT(CHAR(34),CHAR(39)),$D462))),_xlfn.CONCAT("* REVIEW REQUIRED: compound-quote delimiter in Item Number on Sheet 1 row ",462,"; edit the input before running."),_xlfn.CONCAT("char ",TRIM($B462),"[doc_itemnum] ",CHAR(96),CHAR(34),SUBSTITUTE(SUBSTITUTE(SUBSTITUTE(SUBSTITUTE(SUBSTITUTE(SUBSTITUTE($D462,CHAR(13)," "),CHAR(10)," "),CHAR(9)," "),CHAR(92),_xlfn.CONCAT(CHAR(92),CHAR(92))),"$",_xlfn.CONCAT(CHAR(92),"$")),CHAR(96),_xlfn.CONCAT(CHAR(92),CHAR(96))),CHAR(34),CHAR(39))))</f>
        <v/>
      </c>
      <c r="O462" s="5" t="str">
        <f>IF(OR(TRIM($B462)="",$E462=""),"",IF(OR(ISNUMBER(SEARCH(_xlfn.CONCAT(CHAR(96),CHAR(34)),$E462)),ISNUMBER(SEARCH(_xlfn.CONCAT(CHAR(34),CHAR(39)),$E462))),_xlfn.CONCAT("* REVIEW REQUIRED: compound-quote delimiter in Question Wording on Sheet 1 row ",462,"; edit the input before running."),_xlfn.CONCAT("char ",TRIM($B462),"[doc_question] ",CHAR(96),CHAR(34),SUBSTITUTE(SUBSTITUTE(SUBSTITUTE(SUBSTITUTE(SUBSTITUTE(SUBSTITUTE($E462,CHAR(13)," "),CHAR(10)," "),CHAR(9)," "),CHAR(92),_xlfn.CONCAT(CHAR(92),CHAR(92))),"$",_xlfn.CONCAT(CHAR(92),"$")),CHAR(96),_xlfn.CONCAT(CHAR(92),CHAR(96))),CHAR(34),CHAR(39))))</f>
        <v/>
      </c>
      <c r="P462" s="5" t="str">
        <f>IF(OR(TRIM($B462)="",$F462=""),"",IF(OR(ISNUMBER(SEARCH(_xlfn.CONCAT(CHAR(96),CHAR(34)),$F462)),ISNUMBER(SEARCH(_xlfn.CONCAT(CHAR(34),CHAR(39)),$F462))),_xlfn.CONCAT("* REVIEW REQUIRED: compound-quote delimiter in Units on Sheet 1 row ",462,"; edit the input before running."),_xlfn.CONCAT("char ",TRIM($B462),"[doc_units] ",CHAR(96),CHAR(34),SUBSTITUTE(SUBSTITUTE(SUBSTITUTE(SUBSTITUTE(SUBSTITUTE(SUBSTITUTE($F462,CHAR(13)," "),CHAR(10)," "),CHAR(9)," "),CHAR(92),_xlfn.CONCAT(CHAR(92),CHAR(92))),"$",_xlfn.CONCAT(CHAR(92),"$")),CHAR(96),_xlfn.CONCAT(CHAR(92),CHAR(96))),CHAR(34),CHAR(39))))</f>
        <v/>
      </c>
      <c r="Q462" s="5" t="str">
        <f>IF(OR(TRIM($B462)="",$G462=""),"",IF(OR(ISNUMBER(SEARCH(_xlfn.CONCAT(CHAR(96),CHAR(34)),$G462)),ISNUMBER(SEARCH(_xlfn.CONCAT(CHAR(34),CHAR(39)),$G462))),_xlfn.CONCAT("* REVIEW REQUIRED: compound-quote delimiter in Universe on Sheet 1 row ",462,"; edit the input before running."),_xlfn.CONCAT("char ",TRIM($B462),"[doc_universe] ",CHAR(96),CHAR(34),SUBSTITUTE(SUBSTITUTE(SUBSTITUTE(SUBSTITUTE(SUBSTITUTE(SUBSTITUTE($G462,CHAR(13)," "),CHAR(10)," "),CHAR(9)," "),CHAR(92),_xlfn.CONCAT(CHAR(92),CHAR(92))),"$",_xlfn.CONCAT(CHAR(92),"$")),CHAR(96),_xlfn.CONCAT(CHAR(92),CHAR(96))),CHAR(34),CHAR(39))))</f>
        <v/>
      </c>
      <c r="R462" s="5" t="str">
        <f>IF(OR(TRIM($B462)="",$H462=""),"",IF(OR(ISNUMBER(SEARCH(_xlfn.CONCAT(CHAR(96),CHAR(34)),$H462)),ISNUMBER(SEARCH(_xlfn.CONCAT(CHAR(34),CHAR(39)),$H462))),_xlfn.CONCAT("* REVIEW REQUIRED: compound-quote delimiter in Source on Sheet 1 row ",462,"; edit the input before running."),_xlfn.CONCAT("char ",TRIM($B462),"[doc_source] ",CHAR(96),CHAR(34),SUBSTITUTE(SUBSTITUTE(SUBSTITUTE(SUBSTITUTE(SUBSTITUTE(SUBSTITUTE($H462,CHAR(13)," "),CHAR(10)," "),CHAR(9)," "),CHAR(92),_xlfn.CONCAT(CHAR(92),CHAR(92))),"$",_xlfn.CONCAT(CHAR(92),"$")),CHAR(96),_xlfn.CONCAT(CHAR(92),CHAR(96))),CHAR(34),CHAR(39))))</f>
        <v/>
      </c>
      <c r="S462" s="5" t="str">
        <f>IF(OR(TRIM($B462)="",$I462=""),"",IF(OR(ISNUMBER(SEARCH(_xlfn.CONCAT(CHAR(96),CHAR(34)),$I462)),ISNUMBER(SEARCH(_xlfn.CONCAT(CHAR(34),CHAR(39)),$I462))),_xlfn.CONCAT("* REVIEW REQUIRED: compound-quote delimiter in Derivation on Sheet 1 row ",462,"; edit the input before running."),_xlfn.CONCAT("char ",TRIM($B462),"[doc_derivation] ",CHAR(96),CHAR(34),SUBSTITUTE(SUBSTITUTE(SUBSTITUTE(SUBSTITUTE(SUBSTITUTE(SUBSTITUTE($I462,CHAR(13)," "),CHAR(10)," "),CHAR(9)," "),CHAR(92),_xlfn.CONCAT(CHAR(92),CHAR(92))),"$",_xlfn.CONCAT(CHAR(92),"$")),CHAR(96),_xlfn.CONCAT(CHAR(92),CHAR(96))),CHAR(34),CHAR(39))))</f>
        <v/>
      </c>
      <c r="T462" s="5" t="str">
        <f>IF(OR(TRIM($B462)="",$J462=""),"",IF(OR(ISNUMBER(SEARCH(_xlfn.CONCAT(CHAR(96),CHAR(34)),$J462)),ISNUMBER(SEARCH(_xlfn.CONCAT(CHAR(34),CHAR(39)),$J462))),_xlfn.CONCAT("* REVIEW REQUIRED: compound-quote delimiter in Notes on Sheet 1 row ",462,"; edit the input before running."),_xlfn.CONCAT("char ",TRIM($B462),"[doc_notes] ",CHAR(96),CHAR(34),SUBSTITUTE(SUBSTITUTE(SUBSTITUTE(SUBSTITUTE(SUBSTITUTE(SUBSTITUTE($J462,CHAR(13)," "),CHAR(10)," "),CHAR(9)," "),CHAR(92),_xlfn.CONCAT(CHAR(92),CHAR(92))),"$",_xlfn.CONCAT(CHAR(92),"$")),CHAR(96),_xlfn.CONCAT(CHAR(92),CHAR(96))),CHAR(34),CHAR(39))))</f>
        <v/>
      </c>
      <c r="U462" s="5">
        <f t="shared" si="13"/>
        <v>0</v>
      </c>
    </row>
    <row r="463" spans="3:21" ht="30" customHeight="1" x14ac:dyDescent="0.2">
      <c r="C463" s="4"/>
      <c r="K463" s="5">
        <f t="shared" si="12"/>
        <v>0</v>
      </c>
      <c r="L463" s="5" t="str">
        <f>IF(OR(TRIM($B463)="",$A463=""),"",IF(OR(ISNUMBER(SEARCH(_xlfn.CONCAT(CHAR(96),CHAR(34)),$A463)),ISNUMBER(SEARCH(_xlfn.CONCAT(CHAR(34),CHAR(39)),$A463))),_xlfn.CONCAT("* REVIEW REQUIRED: compound-quote delimiter in Codebook Section on Sheet 1 row ",463,"; edit the input before running."),_xlfn.CONCAT("char ",TRIM($B463),"[doc_section] ",CHAR(96),CHAR(34),SUBSTITUTE(SUBSTITUTE(SUBSTITUTE(SUBSTITUTE(SUBSTITUTE(SUBSTITUTE($A463,CHAR(13)," "),CHAR(10)," "),CHAR(9)," "),CHAR(92),_xlfn.CONCAT(CHAR(92),CHAR(92))),"$",_xlfn.CONCAT(CHAR(92),"$")),CHAR(96),_xlfn.CONCAT(CHAR(92),CHAR(96))),CHAR(34),CHAR(39))))</f>
        <v/>
      </c>
      <c r="M463" s="5" t="str">
        <f>IF(OR(TRIM($B463)="",$C463=""),"",IF(IFERROR(MATCH(TRIM($C463),{"Quantitative","Continuous","Discrete","Categorical","Nominal","Ordinal","Identifier"},0),0)=0,_xlfn.CONCAT("* REVIEW REQUIRED: invalid Variable Type on Sheet 1 row ",463,"."),_xlfn.CONCAT("char ",TRIM($B463),"[doc_vartype] ",CHAR(96),CHAR(34),SUBSTITUTE(SUBSTITUTE(SUBSTITUTE(SUBSTITUTE(SUBSTITUTE(SUBSTITUTE(LOWER(TRIM($C463)),CHAR(13)," "),CHAR(10)," "),CHAR(9)," "),CHAR(92),_xlfn.CONCAT(CHAR(92),CHAR(92))),"$",_xlfn.CONCAT(CHAR(92),"$")),CHAR(96),_xlfn.CONCAT(CHAR(92),CHAR(96))),CHAR(34),CHAR(39))))</f>
        <v/>
      </c>
      <c r="N463" s="5" t="str">
        <f>IF(OR(TRIM($B463)="",$D463=""),"",IF(OR(ISNUMBER(SEARCH(_xlfn.CONCAT(CHAR(96),CHAR(34)),$D463)),ISNUMBER(SEARCH(_xlfn.CONCAT(CHAR(34),CHAR(39)),$D463))),_xlfn.CONCAT("* REVIEW REQUIRED: compound-quote delimiter in Item Number on Sheet 1 row ",463,"; edit the input before running."),_xlfn.CONCAT("char ",TRIM($B463),"[doc_itemnum] ",CHAR(96),CHAR(34),SUBSTITUTE(SUBSTITUTE(SUBSTITUTE(SUBSTITUTE(SUBSTITUTE(SUBSTITUTE($D463,CHAR(13)," "),CHAR(10)," "),CHAR(9)," "),CHAR(92),_xlfn.CONCAT(CHAR(92),CHAR(92))),"$",_xlfn.CONCAT(CHAR(92),"$")),CHAR(96),_xlfn.CONCAT(CHAR(92),CHAR(96))),CHAR(34),CHAR(39))))</f>
        <v/>
      </c>
      <c r="O463" s="5" t="str">
        <f>IF(OR(TRIM($B463)="",$E463=""),"",IF(OR(ISNUMBER(SEARCH(_xlfn.CONCAT(CHAR(96),CHAR(34)),$E463)),ISNUMBER(SEARCH(_xlfn.CONCAT(CHAR(34),CHAR(39)),$E463))),_xlfn.CONCAT("* REVIEW REQUIRED: compound-quote delimiter in Question Wording on Sheet 1 row ",463,"; edit the input before running."),_xlfn.CONCAT("char ",TRIM($B463),"[doc_question] ",CHAR(96),CHAR(34),SUBSTITUTE(SUBSTITUTE(SUBSTITUTE(SUBSTITUTE(SUBSTITUTE(SUBSTITUTE($E463,CHAR(13)," "),CHAR(10)," "),CHAR(9)," "),CHAR(92),_xlfn.CONCAT(CHAR(92),CHAR(92))),"$",_xlfn.CONCAT(CHAR(92),"$")),CHAR(96),_xlfn.CONCAT(CHAR(92),CHAR(96))),CHAR(34),CHAR(39))))</f>
        <v/>
      </c>
      <c r="P463" s="5" t="str">
        <f>IF(OR(TRIM($B463)="",$F463=""),"",IF(OR(ISNUMBER(SEARCH(_xlfn.CONCAT(CHAR(96),CHAR(34)),$F463)),ISNUMBER(SEARCH(_xlfn.CONCAT(CHAR(34),CHAR(39)),$F463))),_xlfn.CONCAT("* REVIEW REQUIRED: compound-quote delimiter in Units on Sheet 1 row ",463,"; edit the input before running."),_xlfn.CONCAT("char ",TRIM($B463),"[doc_units] ",CHAR(96),CHAR(34),SUBSTITUTE(SUBSTITUTE(SUBSTITUTE(SUBSTITUTE(SUBSTITUTE(SUBSTITUTE($F463,CHAR(13)," "),CHAR(10)," "),CHAR(9)," "),CHAR(92),_xlfn.CONCAT(CHAR(92),CHAR(92))),"$",_xlfn.CONCAT(CHAR(92),"$")),CHAR(96),_xlfn.CONCAT(CHAR(92),CHAR(96))),CHAR(34),CHAR(39))))</f>
        <v/>
      </c>
      <c r="Q463" s="5" t="str">
        <f>IF(OR(TRIM($B463)="",$G463=""),"",IF(OR(ISNUMBER(SEARCH(_xlfn.CONCAT(CHAR(96),CHAR(34)),$G463)),ISNUMBER(SEARCH(_xlfn.CONCAT(CHAR(34),CHAR(39)),$G463))),_xlfn.CONCAT("* REVIEW REQUIRED: compound-quote delimiter in Universe on Sheet 1 row ",463,"; edit the input before running."),_xlfn.CONCAT("char ",TRIM($B463),"[doc_universe] ",CHAR(96),CHAR(34),SUBSTITUTE(SUBSTITUTE(SUBSTITUTE(SUBSTITUTE(SUBSTITUTE(SUBSTITUTE($G463,CHAR(13)," "),CHAR(10)," "),CHAR(9)," "),CHAR(92),_xlfn.CONCAT(CHAR(92),CHAR(92))),"$",_xlfn.CONCAT(CHAR(92),"$")),CHAR(96),_xlfn.CONCAT(CHAR(92),CHAR(96))),CHAR(34),CHAR(39))))</f>
        <v/>
      </c>
      <c r="R463" s="5" t="str">
        <f>IF(OR(TRIM($B463)="",$H463=""),"",IF(OR(ISNUMBER(SEARCH(_xlfn.CONCAT(CHAR(96),CHAR(34)),$H463)),ISNUMBER(SEARCH(_xlfn.CONCAT(CHAR(34),CHAR(39)),$H463))),_xlfn.CONCAT("* REVIEW REQUIRED: compound-quote delimiter in Source on Sheet 1 row ",463,"; edit the input before running."),_xlfn.CONCAT("char ",TRIM($B463),"[doc_source] ",CHAR(96),CHAR(34),SUBSTITUTE(SUBSTITUTE(SUBSTITUTE(SUBSTITUTE(SUBSTITUTE(SUBSTITUTE($H463,CHAR(13)," "),CHAR(10)," "),CHAR(9)," "),CHAR(92),_xlfn.CONCAT(CHAR(92),CHAR(92))),"$",_xlfn.CONCAT(CHAR(92),"$")),CHAR(96),_xlfn.CONCAT(CHAR(92),CHAR(96))),CHAR(34),CHAR(39))))</f>
        <v/>
      </c>
      <c r="S463" s="5" t="str">
        <f>IF(OR(TRIM($B463)="",$I463=""),"",IF(OR(ISNUMBER(SEARCH(_xlfn.CONCAT(CHAR(96),CHAR(34)),$I463)),ISNUMBER(SEARCH(_xlfn.CONCAT(CHAR(34),CHAR(39)),$I463))),_xlfn.CONCAT("* REVIEW REQUIRED: compound-quote delimiter in Derivation on Sheet 1 row ",463,"; edit the input before running."),_xlfn.CONCAT("char ",TRIM($B463),"[doc_derivation] ",CHAR(96),CHAR(34),SUBSTITUTE(SUBSTITUTE(SUBSTITUTE(SUBSTITUTE(SUBSTITUTE(SUBSTITUTE($I463,CHAR(13)," "),CHAR(10)," "),CHAR(9)," "),CHAR(92),_xlfn.CONCAT(CHAR(92),CHAR(92))),"$",_xlfn.CONCAT(CHAR(92),"$")),CHAR(96),_xlfn.CONCAT(CHAR(92),CHAR(96))),CHAR(34),CHAR(39))))</f>
        <v/>
      </c>
      <c r="T463" s="5" t="str">
        <f>IF(OR(TRIM($B463)="",$J463=""),"",IF(OR(ISNUMBER(SEARCH(_xlfn.CONCAT(CHAR(96),CHAR(34)),$J463)),ISNUMBER(SEARCH(_xlfn.CONCAT(CHAR(34),CHAR(39)),$J463))),_xlfn.CONCAT("* REVIEW REQUIRED: compound-quote delimiter in Notes on Sheet 1 row ",463,"; edit the input before running."),_xlfn.CONCAT("char ",TRIM($B463),"[doc_notes] ",CHAR(96),CHAR(34),SUBSTITUTE(SUBSTITUTE(SUBSTITUTE(SUBSTITUTE(SUBSTITUTE(SUBSTITUTE($J463,CHAR(13)," "),CHAR(10)," "),CHAR(9)," "),CHAR(92),_xlfn.CONCAT(CHAR(92),CHAR(92))),"$",_xlfn.CONCAT(CHAR(92),"$")),CHAR(96),_xlfn.CONCAT(CHAR(92),CHAR(96))),CHAR(34),CHAR(39))))</f>
        <v/>
      </c>
      <c r="U463" s="5">
        <f t="shared" si="13"/>
        <v>0</v>
      </c>
    </row>
    <row r="464" spans="3:21" ht="30" customHeight="1" x14ac:dyDescent="0.2">
      <c r="C464" s="4"/>
      <c r="K464" s="5">
        <f t="shared" si="12"/>
        <v>0</v>
      </c>
      <c r="L464" s="5" t="str">
        <f>IF(OR(TRIM($B464)="",$A464=""),"",IF(OR(ISNUMBER(SEARCH(_xlfn.CONCAT(CHAR(96),CHAR(34)),$A464)),ISNUMBER(SEARCH(_xlfn.CONCAT(CHAR(34),CHAR(39)),$A464))),_xlfn.CONCAT("* REVIEW REQUIRED: compound-quote delimiter in Codebook Section on Sheet 1 row ",464,"; edit the input before running."),_xlfn.CONCAT("char ",TRIM($B464),"[doc_section] ",CHAR(96),CHAR(34),SUBSTITUTE(SUBSTITUTE(SUBSTITUTE(SUBSTITUTE(SUBSTITUTE(SUBSTITUTE($A464,CHAR(13)," "),CHAR(10)," "),CHAR(9)," "),CHAR(92),_xlfn.CONCAT(CHAR(92),CHAR(92))),"$",_xlfn.CONCAT(CHAR(92),"$")),CHAR(96),_xlfn.CONCAT(CHAR(92),CHAR(96))),CHAR(34),CHAR(39))))</f>
        <v/>
      </c>
      <c r="M464" s="5" t="str">
        <f>IF(OR(TRIM($B464)="",$C464=""),"",IF(IFERROR(MATCH(TRIM($C464),{"Quantitative","Continuous","Discrete","Categorical","Nominal","Ordinal","Identifier"},0),0)=0,_xlfn.CONCAT("* REVIEW REQUIRED: invalid Variable Type on Sheet 1 row ",464,"."),_xlfn.CONCAT("char ",TRIM($B464),"[doc_vartype] ",CHAR(96),CHAR(34),SUBSTITUTE(SUBSTITUTE(SUBSTITUTE(SUBSTITUTE(SUBSTITUTE(SUBSTITUTE(LOWER(TRIM($C464)),CHAR(13)," "),CHAR(10)," "),CHAR(9)," "),CHAR(92),_xlfn.CONCAT(CHAR(92),CHAR(92))),"$",_xlfn.CONCAT(CHAR(92),"$")),CHAR(96),_xlfn.CONCAT(CHAR(92),CHAR(96))),CHAR(34),CHAR(39))))</f>
        <v/>
      </c>
      <c r="N464" s="5" t="str">
        <f>IF(OR(TRIM($B464)="",$D464=""),"",IF(OR(ISNUMBER(SEARCH(_xlfn.CONCAT(CHAR(96),CHAR(34)),$D464)),ISNUMBER(SEARCH(_xlfn.CONCAT(CHAR(34),CHAR(39)),$D464))),_xlfn.CONCAT("* REVIEW REQUIRED: compound-quote delimiter in Item Number on Sheet 1 row ",464,"; edit the input before running."),_xlfn.CONCAT("char ",TRIM($B464),"[doc_itemnum] ",CHAR(96),CHAR(34),SUBSTITUTE(SUBSTITUTE(SUBSTITUTE(SUBSTITUTE(SUBSTITUTE(SUBSTITUTE($D464,CHAR(13)," "),CHAR(10)," "),CHAR(9)," "),CHAR(92),_xlfn.CONCAT(CHAR(92),CHAR(92))),"$",_xlfn.CONCAT(CHAR(92),"$")),CHAR(96),_xlfn.CONCAT(CHAR(92),CHAR(96))),CHAR(34),CHAR(39))))</f>
        <v/>
      </c>
      <c r="O464" s="5" t="str">
        <f>IF(OR(TRIM($B464)="",$E464=""),"",IF(OR(ISNUMBER(SEARCH(_xlfn.CONCAT(CHAR(96),CHAR(34)),$E464)),ISNUMBER(SEARCH(_xlfn.CONCAT(CHAR(34),CHAR(39)),$E464))),_xlfn.CONCAT("* REVIEW REQUIRED: compound-quote delimiter in Question Wording on Sheet 1 row ",464,"; edit the input before running."),_xlfn.CONCAT("char ",TRIM($B464),"[doc_question] ",CHAR(96),CHAR(34),SUBSTITUTE(SUBSTITUTE(SUBSTITUTE(SUBSTITUTE(SUBSTITUTE(SUBSTITUTE($E464,CHAR(13)," "),CHAR(10)," "),CHAR(9)," "),CHAR(92),_xlfn.CONCAT(CHAR(92),CHAR(92))),"$",_xlfn.CONCAT(CHAR(92),"$")),CHAR(96),_xlfn.CONCAT(CHAR(92),CHAR(96))),CHAR(34),CHAR(39))))</f>
        <v/>
      </c>
      <c r="P464" s="5" t="str">
        <f>IF(OR(TRIM($B464)="",$F464=""),"",IF(OR(ISNUMBER(SEARCH(_xlfn.CONCAT(CHAR(96),CHAR(34)),$F464)),ISNUMBER(SEARCH(_xlfn.CONCAT(CHAR(34),CHAR(39)),$F464))),_xlfn.CONCAT("* REVIEW REQUIRED: compound-quote delimiter in Units on Sheet 1 row ",464,"; edit the input before running."),_xlfn.CONCAT("char ",TRIM($B464),"[doc_units] ",CHAR(96),CHAR(34),SUBSTITUTE(SUBSTITUTE(SUBSTITUTE(SUBSTITUTE(SUBSTITUTE(SUBSTITUTE($F464,CHAR(13)," "),CHAR(10)," "),CHAR(9)," "),CHAR(92),_xlfn.CONCAT(CHAR(92),CHAR(92))),"$",_xlfn.CONCAT(CHAR(92),"$")),CHAR(96),_xlfn.CONCAT(CHAR(92),CHAR(96))),CHAR(34),CHAR(39))))</f>
        <v/>
      </c>
      <c r="Q464" s="5" t="str">
        <f>IF(OR(TRIM($B464)="",$G464=""),"",IF(OR(ISNUMBER(SEARCH(_xlfn.CONCAT(CHAR(96),CHAR(34)),$G464)),ISNUMBER(SEARCH(_xlfn.CONCAT(CHAR(34),CHAR(39)),$G464))),_xlfn.CONCAT("* REVIEW REQUIRED: compound-quote delimiter in Universe on Sheet 1 row ",464,"; edit the input before running."),_xlfn.CONCAT("char ",TRIM($B464),"[doc_universe] ",CHAR(96),CHAR(34),SUBSTITUTE(SUBSTITUTE(SUBSTITUTE(SUBSTITUTE(SUBSTITUTE(SUBSTITUTE($G464,CHAR(13)," "),CHAR(10)," "),CHAR(9)," "),CHAR(92),_xlfn.CONCAT(CHAR(92),CHAR(92))),"$",_xlfn.CONCAT(CHAR(92),"$")),CHAR(96),_xlfn.CONCAT(CHAR(92),CHAR(96))),CHAR(34),CHAR(39))))</f>
        <v/>
      </c>
      <c r="R464" s="5" t="str">
        <f>IF(OR(TRIM($B464)="",$H464=""),"",IF(OR(ISNUMBER(SEARCH(_xlfn.CONCAT(CHAR(96),CHAR(34)),$H464)),ISNUMBER(SEARCH(_xlfn.CONCAT(CHAR(34),CHAR(39)),$H464))),_xlfn.CONCAT("* REVIEW REQUIRED: compound-quote delimiter in Source on Sheet 1 row ",464,"; edit the input before running."),_xlfn.CONCAT("char ",TRIM($B464),"[doc_source] ",CHAR(96),CHAR(34),SUBSTITUTE(SUBSTITUTE(SUBSTITUTE(SUBSTITUTE(SUBSTITUTE(SUBSTITUTE($H464,CHAR(13)," "),CHAR(10)," "),CHAR(9)," "),CHAR(92),_xlfn.CONCAT(CHAR(92),CHAR(92))),"$",_xlfn.CONCAT(CHAR(92),"$")),CHAR(96),_xlfn.CONCAT(CHAR(92),CHAR(96))),CHAR(34),CHAR(39))))</f>
        <v/>
      </c>
      <c r="S464" s="5" t="str">
        <f>IF(OR(TRIM($B464)="",$I464=""),"",IF(OR(ISNUMBER(SEARCH(_xlfn.CONCAT(CHAR(96),CHAR(34)),$I464)),ISNUMBER(SEARCH(_xlfn.CONCAT(CHAR(34),CHAR(39)),$I464))),_xlfn.CONCAT("* REVIEW REQUIRED: compound-quote delimiter in Derivation on Sheet 1 row ",464,"; edit the input before running."),_xlfn.CONCAT("char ",TRIM($B464),"[doc_derivation] ",CHAR(96),CHAR(34),SUBSTITUTE(SUBSTITUTE(SUBSTITUTE(SUBSTITUTE(SUBSTITUTE(SUBSTITUTE($I464,CHAR(13)," "),CHAR(10)," "),CHAR(9)," "),CHAR(92),_xlfn.CONCAT(CHAR(92),CHAR(92))),"$",_xlfn.CONCAT(CHAR(92),"$")),CHAR(96),_xlfn.CONCAT(CHAR(92),CHAR(96))),CHAR(34),CHAR(39))))</f>
        <v/>
      </c>
      <c r="T464" s="5" t="str">
        <f>IF(OR(TRIM($B464)="",$J464=""),"",IF(OR(ISNUMBER(SEARCH(_xlfn.CONCAT(CHAR(96),CHAR(34)),$J464)),ISNUMBER(SEARCH(_xlfn.CONCAT(CHAR(34),CHAR(39)),$J464))),_xlfn.CONCAT("* REVIEW REQUIRED: compound-quote delimiter in Notes on Sheet 1 row ",464,"; edit the input before running."),_xlfn.CONCAT("char ",TRIM($B464),"[doc_notes] ",CHAR(96),CHAR(34),SUBSTITUTE(SUBSTITUTE(SUBSTITUTE(SUBSTITUTE(SUBSTITUTE(SUBSTITUTE($J464,CHAR(13)," "),CHAR(10)," "),CHAR(9)," "),CHAR(92),_xlfn.CONCAT(CHAR(92),CHAR(92))),"$",_xlfn.CONCAT(CHAR(92),"$")),CHAR(96),_xlfn.CONCAT(CHAR(92),CHAR(96))),CHAR(34),CHAR(39))))</f>
        <v/>
      </c>
      <c r="U464" s="5">
        <f t="shared" si="13"/>
        <v>0</v>
      </c>
    </row>
    <row r="465" spans="3:21" ht="30" customHeight="1" x14ac:dyDescent="0.2">
      <c r="C465" s="4"/>
      <c r="K465" s="5">
        <f t="shared" si="12"/>
        <v>0</v>
      </c>
      <c r="L465" s="5" t="str">
        <f>IF(OR(TRIM($B465)="",$A465=""),"",IF(OR(ISNUMBER(SEARCH(_xlfn.CONCAT(CHAR(96),CHAR(34)),$A465)),ISNUMBER(SEARCH(_xlfn.CONCAT(CHAR(34),CHAR(39)),$A465))),_xlfn.CONCAT("* REVIEW REQUIRED: compound-quote delimiter in Codebook Section on Sheet 1 row ",465,"; edit the input before running."),_xlfn.CONCAT("char ",TRIM($B465),"[doc_section] ",CHAR(96),CHAR(34),SUBSTITUTE(SUBSTITUTE(SUBSTITUTE(SUBSTITUTE(SUBSTITUTE(SUBSTITUTE($A465,CHAR(13)," "),CHAR(10)," "),CHAR(9)," "),CHAR(92),_xlfn.CONCAT(CHAR(92),CHAR(92))),"$",_xlfn.CONCAT(CHAR(92),"$")),CHAR(96),_xlfn.CONCAT(CHAR(92),CHAR(96))),CHAR(34),CHAR(39))))</f>
        <v/>
      </c>
      <c r="M465" s="5" t="str">
        <f>IF(OR(TRIM($B465)="",$C465=""),"",IF(IFERROR(MATCH(TRIM($C465),{"Quantitative","Continuous","Discrete","Categorical","Nominal","Ordinal","Identifier"},0),0)=0,_xlfn.CONCAT("* REVIEW REQUIRED: invalid Variable Type on Sheet 1 row ",465,"."),_xlfn.CONCAT("char ",TRIM($B465),"[doc_vartype] ",CHAR(96),CHAR(34),SUBSTITUTE(SUBSTITUTE(SUBSTITUTE(SUBSTITUTE(SUBSTITUTE(SUBSTITUTE(LOWER(TRIM($C465)),CHAR(13)," "),CHAR(10)," "),CHAR(9)," "),CHAR(92),_xlfn.CONCAT(CHAR(92),CHAR(92))),"$",_xlfn.CONCAT(CHAR(92),"$")),CHAR(96),_xlfn.CONCAT(CHAR(92),CHAR(96))),CHAR(34),CHAR(39))))</f>
        <v/>
      </c>
      <c r="N465" s="5" t="str">
        <f>IF(OR(TRIM($B465)="",$D465=""),"",IF(OR(ISNUMBER(SEARCH(_xlfn.CONCAT(CHAR(96),CHAR(34)),$D465)),ISNUMBER(SEARCH(_xlfn.CONCAT(CHAR(34),CHAR(39)),$D465))),_xlfn.CONCAT("* REVIEW REQUIRED: compound-quote delimiter in Item Number on Sheet 1 row ",465,"; edit the input before running."),_xlfn.CONCAT("char ",TRIM($B465),"[doc_itemnum] ",CHAR(96),CHAR(34),SUBSTITUTE(SUBSTITUTE(SUBSTITUTE(SUBSTITUTE(SUBSTITUTE(SUBSTITUTE($D465,CHAR(13)," "),CHAR(10)," "),CHAR(9)," "),CHAR(92),_xlfn.CONCAT(CHAR(92),CHAR(92))),"$",_xlfn.CONCAT(CHAR(92),"$")),CHAR(96),_xlfn.CONCAT(CHAR(92),CHAR(96))),CHAR(34),CHAR(39))))</f>
        <v/>
      </c>
      <c r="O465" s="5" t="str">
        <f>IF(OR(TRIM($B465)="",$E465=""),"",IF(OR(ISNUMBER(SEARCH(_xlfn.CONCAT(CHAR(96),CHAR(34)),$E465)),ISNUMBER(SEARCH(_xlfn.CONCAT(CHAR(34),CHAR(39)),$E465))),_xlfn.CONCAT("* REVIEW REQUIRED: compound-quote delimiter in Question Wording on Sheet 1 row ",465,"; edit the input before running."),_xlfn.CONCAT("char ",TRIM($B465),"[doc_question] ",CHAR(96),CHAR(34),SUBSTITUTE(SUBSTITUTE(SUBSTITUTE(SUBSTITUTE(SUBSTITUTE(SUBSTITUTE($E465,CHAR(13)," "),CHAR(10)," "),CHAR(9)," "),CHAR(92),_xlfn.CONCAT(CHAR(92),CHAR(92))),"$",_xlfn.CONCAT(CHAR(92),"$")),CHAR(96),_xlfn.CONCAT(CHAR(92),CHAR(96))),CHAR(34),CHAR(39))))</f>
        <v/>
      </c>
      <c r="P465" s="5" t="str">
        <f>IF(OR(TRIM($B465)="",$F465=""),"",IF(OR(ISNUMBER(SEARCH(_xlfn.CONCAT(CHAR(96),CHAR(34)),$F465)),ISNUMBER(SEARCH(_xlfn.CONCAT(CHAR(34),CHAR(39)),$F465))),_xlfn.CONCAT("* REVIEW REQUIRED: compound-quote delimiter in Units on Sheet 1 row ",465,"; edit the input before running."),_xlfn.CONCAT("char ",TRIM($B465),"[doc_units] ",CHAR(96),CHAR(34),SUBSTITUTE(SUBSTITUTE(SUBSTITUTE(SUBSTITUTE(SUBSTITUTE(SUBSTITUTE($F465,CHAR(13)," "),CHAR(10)," "),CHAR(9)," "),CHAR(92),_xlfn.CONCAT(CHAR(92),CHAR(92))),"$",_xlfn.CONCAT(CHAR(92),"$")),CHAR(96),_xlfn.CONCAT(CHAR(92),CHAR(96))),CHAR(34),CHAR(39))))</f>
        <v/>
      </c>
      <c r="Q465" s="5" t="str">
        <f>IF(OR(TRIM($B465)="",$G465=""),"",IF(OR(ISNUMBER(SEARCH(_xlfn.CONCAT(CHAR(96),CHAR(34)),$G465)),ISNUMBER(SEARCH(_xlfn.CONCAT(CHAR(34),CHAR(39)),$G465))),_xlfn.CONCAT("* REVIEW REQUIRED: compound-quote delimiter in Universe on Sheet 1 row ",465,"; edit the input before running."),_xlfn.CONCAT("char ",TRIM($B465),"[doc_universe] ",CHAR(96),CHAR(34),SUBSTITUTE(SUBSTITUTE(SUBSTITUTE(SUBSTITUTE(SUBSTITUTE(SUBSTITUTE($G465,CHAR(13)," "),CHAR(10)," "),CHAR(9)," "),CHAR(92),_xlfn.CONCAT(CHAR(92),CHAR(92))),"$",_xlfn.CONCAT(CHAR(92),"$")),CHAR(96),_xlfn.CONCAT(CHAR(92),CHAR(96))),CHAR(34),CHAR(39))))</f>
        <v/>
      </c>
      <c r="R465" s="5" t="str">
        <f>IF(OR(TRIM($B465)="",$H465=""),"",IF(OR(ISNUMBER(SEARCH(_xlfn.CONCAT(CHAR(96),CHAR(34)),$H465)),ISNUMBER(SEARCH(_xlfn.CONCAT(CHAR(34),CHAR(39)),$H465))),_xlfn.CONCAT("* REVIEW REQUIRED: compound-quote delimiter in Source on Sheet 1 row ",465,"; edit the input before running."),_xlfn.CONCAT("char ",TRIM($B465),"[doc_source] ",CHAR(96),CHAR(34),SUBSTITUTE(SUBSTITUTE(SUBSTITUTE(SUBSTITUTE(SUBSTITUTE(SUBSTITUTE($H465,CHAR(13)," "),CHAR(10)," "),CHAR(9)," "),CHAR(92),_xlfn.CONCAT(CHAR(92),CHAR(92))),"$",_xlfn.CONCAT(CHAR(92),"$")),CHAR(96),_xlfn.CONCAT(CHAR(92),CHAR(96))),CHAR(34),CHAR(39))))</f>
        <v/>
      </c>
      <c r="S465" s="5" t="str">
        <f>IF(OR(TRIM($B465)="",$I465=""),"",IF(OR(ISNUMBER(SEARCH(_xlfn.CONCAT(CHAR(96),CHAR(34)),$I465)),ISNUMBER(SEARCH(_xlfn.CONCAT(CHAR(34),CHAR(39)),$I465))),_xlfn.CONCAT("* REVIEW REQUIRED: compound-quote delimiter in Derivation on Sheet 1 row ",465,"; edit the input before running."),_xlfn.CONCAT("char ",TRIM($B465),"[doc_derivation] ",CHAR(96),CHAR(34),SUBSTITUTE(SUBSTITUTE(SUBSTITUTE(SUBSTITUTE(SUBSTITUTE(SUBSTITUTE($I465,CHAR(13)," "),CHAR(10)," "),CHAR(9)," "),CHAR(92),_xlfn.CONCAT(CHAR(92),CHAR(92))),"$",_xlfn.CONCAT(CHAR(92),"$")),CHAR(96),_xlfn.CONCAT(CHAR(92),CHAR(96))),CHAR(34),CHAR(39))))</f>
        <v/>
      </c>
      <c r="T465" s="5" t="str">
        <f>IF(OR(TRIM($B465)="",$J465=""),"",IF(OR(ISNUMBER(SEARCH(_xlfn.CONCAT(CHAR(96),CHAR(34)),$J465)),ISNUMBER(SEARCH(_xlfn.CONCAT(CHAR(34),CHAR(39)),$J465))),_xlfn.CONCAT("* REVIEW REQUIRED: compound-quote delimiter in Notes on Sheet 1 row ",465,"; edit the input before running."),_xlfn.CONCAT("char ",TRIM($B465),"[doc_notes] ",CHAR(96),CHAR(34),SUBSTITUTE(SUBSTITUTE(SUBSTITUTE(SUBSTITUTE(SUBSTITUTE(SUBSTITUTE($J465,CHAR(13)," "),CHAR(10)," "),CHAR(9)," "),CHAR(92),_xlfn.CONCAT(CHAR(92),CHAR(92))),"$",_xlfn.CONCAT(CHAR(92),"$")),CHAR(96),_xlfn.CONCAT(CHAR(92),CHAR(96))),CHAR(34),CHAR(39))))</f>
        <v/>
      </c>
      <c r="U465" s="5">
        <f t="shared" si="13"/>
        <v>0</v>
      </c>
    </row>
    <row r="466" spans="3:21" ht="30" customHeight="1" x14ac:dyDescent="0.2">
      <c r="C466" s="4"/>
      <c r="K466" s="5">
        <f t="shared" si="12"/>
        <v>0</v>
      </c>
      <c r="L466" s="5" t="str">
        <f>IF(OR(TRIM($B466)="",$A466=""),"",IF(OR(ISNUMBER(SEARCH(_xlfn.CONCAT(CHAR(96),CHAR(34)),$A466)),ISNUMBER(SEARCH(_xlfn.CONCAT(CHAR(34),CHAR(39)),$A466))),_xlfn.CONCAT("* REVIEW REQUIRED: compound-quote delimiter in Codebook Section on Sheet 1 row ",466,"; edit the input before running."),_xlfn.CONCAT("char ",TRIM($B466),"[doc_section] ",CHAR(96),CHAR(34),SUBSTITUTE(SUBSTITUTE(SUBSTITUTE(SUBSTITUTE(SUBSTITUTE(SUBSTITUTE($A466,CHAR(13)," "),CHAR(10)," "),CHAR(9)," "),CHAR(92),_xlfn.CONCAT(CHAR(92),CHAR(92))),"$",_xlfn.CONCAT(CHAR(92),"$")),CHAR(96),_xlfn.CONCAT(CHAR(92),CHAR(96))),CHAR(34),CHAR(39))))</f>
        <v/>
      </c>
      <c r="M466" s="5" t="str">
        <f>IF(OR(TRIM($B466)="",$C466=""),"",IF(IFERROR(MATCH(TRIM($C466),{"Quantitative","Continuous","Discrete","Categorical","Nominal","Ordinal","Identifier"},0),0)=0,_xlfn.CONCAT("* REVIEW REQUIRED: invalid Variable Type on Sheet 1 row ",466,"."),_xlfn.CONCAT("char ",TRIM($B466),"[doc_vartype] ",CHAR(96),CHAR(34),SUBSTITUTE(SUBSTITUTE(SUBSTITUTE(SUBSTITUTE(SUBSTITUTE(SUBSTITUTE(LOWER(TRIM($C466)),CHAR(13)," "),CHAR(10)," "),CHAR(9)," "),CHAR(92),_xlfn.CONCAT(CHAR(92),CHAR(92))),"$",_xlfn.CONCAT(CHAR(92),"$")),CHAR(96),_xlfn.CONCAT(CHAR(92),CHAR(96))),CHAR(34),CHAR(39))))</f>
        <v/>
      </c>
      <c r="N466" s="5" t="str">
        <f>IF(OR(TRIM($B466)="",$D466=""),"",IF(OR(ISNUMBER(SEARCH(_xlfn.CONCAT(CHAR(96),CHAR(34)),$D466)),ISNUMBER(SEARCH(_xlfn.CONCAT(CHAR(34),CHAR(39)),$D466))),_xlfn.CONCAT("* REVIEW REQUIRED: compound-quote delimiter in Item Number on Sheet 1 row ",466,"; edit the input before running."),_xlfn.CONCAT("char ",TRIM($B466),"[doc_itemnum] ",CHAR(96),CHAR(34),SUBSTITUTE(SUBSTITUTE(SUBSTITUTE(SUBSTITUTE(SUBSTITUTE(SUBSTITUTE($D466,CHAR(13)," "),CHAR(10)," "),CHAR(9)," "),CHAR(92),_xlfn.CONCAT(CHAR(92),CHAR(92))),"$",_xlfn.CONCAT(CHAR(92),"$")),CHAR(96),_xlfn.CONCAT(CHAR(92),CHAR(96))),CHAR(34),CHAR(39))))</f>
        <v/>
      </c>
      <c r="O466" s="5" t="str">
        <f>IF(OR(TRIM($B466)="",$E466=""),"",IF(OR(ISNUMBER(SEARCH(_xlfn.CONCAT(CHAR(96),CHAR(34)),$E466)),ISNUMBER(SEARCH(_xlfn.CONCAT(CHAR(34),CHAR(39)),$E466))),_xlfn.CONCAT("* REVIEW REQUIRED: compound-quote delimiter in Question Wording on Sheet 1 row ",466,"; edit the input before running."),_xlfn.CONCAT("char ",TRIM($B466),"[doc_question] ",CHAR(96),CHAR(34),SUBSTITUTE(SUBSTITUTE(SUBSTITUTE(SUBSTITUTE(SUBSTITUTE(SUBSTITUTE($E466,CHAR(13)," "),CHAR(10)," "),CHAR(9)," "),CHAR(92),_xlfn.CONCAT(CHAR(92),CHAR(92))),"$",_xlfn.CONCAT(CHAR(92),"$")),CHAR(96),_xlfn.CONCAT(CHAR(92),CHAR(96))),CHAR(34),CHAR(39))))</f>
        <v/>
      </c>
      <c r="P466" s="5" t="str">
        <f>IF(OR(TRIM($B466)="",$F466=""),"",IF(OR(ISNUMBER(SEARCH(_xlfn.CONCAT(CHAR(96),CHAR(34)),$F466)),ISNUMBER(SEARCH(_xlfn.CONCAT(CHAR(34),CHAR(39)),$F466))),_xlfn.CONCAT("* REVIEW REQUIRED: compound-quote delimiter in Units on Sheet 1 row ",466,"; edit the input before running."),_xlfn.CONCAT("char ",TRIM($B466),"[doc_units] ",CHAR(96),CHAR(34),SUBSTITUTE(SUBSTITUTE(SUBSTITUTE(SUBSTITUTE(SUBSTITUTE(SUBSTITUTE($F466,CHAR(13)," "),CHAR(10)," "),CHAR(9)," "),CHAR(92),_xlfn.CONCAT(CHAR(92),CHAR(92))),"$",_xlfn.CONCAT(CHAR(92),"$")),CHAR(96),_xlfn.CONCAT(CHAR(92),CHAR(96))),CHAR(34),CHAR(39))))</f>
        <v/>
      </c>
      <c r="Q466" s="5" t="str">
        <f>IF(OR(TRIM($B466)="",$G466=""),"",IF(OR(ISNUMBER(SEARCH(_xlfn.CONCAT(CHAR(96),CHAR(34)),$G466)),ISNUMBER(SEARCH(_xlfn.CONCAT(CHAR(34),CHAR(39)),$G466))),_xlfn.CONCAT("* REVIEW REQUIRED: compound-quote delimiter in Universe on Sheet 1 row ",466,"; edit the input before running."),_xlfn.CONCAT("char ",TRIM($B466),"[doc_universe] ",CHAR(96),CHAR(34),SUBSTITUTE(SUBSTITUTE(SUBSTITUTE(SUBSTITUTE(SUBSTITUTE(SUBSTITUTE($G466,CHAR(13)," "),CHAR(10)," "),CHAR(9)," "),CHAR(92),_xlfn.CONCAT(CHAR(92),CHAR(92))),"$",_xlfn.CONCAT(CHAR(92),"$")),CHAR(96),_xlfn.CONCAT(CHAR(92),CHAR(96))),CHAR(34),CHAR(39))))</f>
        <v/>
      </c>
      <c r="R466" s="5" t="str">
        <f>IF(OR(TRIM($B466)="",$H466=""),"",IF(OR(ISNUMBER(SEARCH(_xlfn.CONCAT(CHAR(96),CHAR(34)),$H466)),ISNUMBER(SEARCH(_xlfn.CONCAT(CHAR(34),CHAR(39)),$H466))),_xlfn.CONCAT("* REVIEW REQUIRED: compound-quote delimiter in Source on Sheet 1 row ",466,"; edit the input before running."),_xlfn.CONCAT("char ",TRIM($B466),"[doc_source] ",CHAR(96),CHAR(34),SUBSTITUTE(SUBSTITUTE(SUBSTITUTE(SUBSTITUTE(SUBSTITUTE(SUBSTITUTE($H466,CHAR(13)," "),CHAR(10)," "),CHAR(9)," "),CHAR(92),_xlfn.CONCAT(CHAR(92),CHAR(92))),"$",_xlfn.CONCAT(CHAR(92),"$")),CHAR(96),_xlfn.CONCAT(CHAR(92),CHAR(96))),CHAR(34),CHAR(39))))</f>
        <v/>
      </c>
      <c r="S466" s="5" t="str">
        <f>IF(OR(TRIM($B466)="",$I466=""),"",IF(OR(ISNUMBER(SEARCH(_xlfn.CONCAT(CHAR(96),CHAR(34)),$I466)),ISNUMBER(SEARCH(_xlfn.CONCAT(CHAR(34),CHAR(39)),$I466))),_xlfn.CONCAT("* REVIEW REQUIRED: compound-quote delimiter in Derivation on Sheet 1 row ",466,"; edit the input before running."),_xlfn.CONCAT("char ",TRIM($B466),"[doc_derivation] ",CHAR(96),CHAR(34),SUBSTITUTE(SUBSTITUTE(SUBSTITUTE(SUBSTITUTE(SUBSTITUTE(SUBSTITUTE($I466,CHAR(13)," "),CHAR(10)," "),CHAR(9)," "),CHAR(92),_xlfn.CONCAT(CHAR(92),CHAR(92))),"$",_xlfn.CONCAT(CHAR(92),"$")),CHAR(96),_xlfn.CONCAT(CHAR(92),CHAR(96))),CHAR(34),CHAR(39))))</f>
        <v/>
      </c>
      <c r="T466" s="5" t="str">
        <f>IF(OR(TRIM($B466)="",$J466=""),"",IF(OR(ISNUMBER(SEARCH(_xlfn.CONCAT(CHAR(96),CHAR(34)),$J466)),ISNUMBER(SEARCH(_xlfn.CONCAT(CHAR(34),CHAR(39)),$J466))),_xlfn.CONCAT("* REVIEW REQUIRED: compound-quote delimiter in Notes on Sheet 1 row ",466,"; edit the input before running."),_xlfn.CONCAT("char ",TRIM($B466),"[doc_notes] ",CHAR(96),CHAR(34),SUBSTITUTE(SUBSTITUTE(SUBSTITUTE(SUBSTITUTE(SUBSTITUTE(SUBSTITUTE($J466,CHAR(13)," "),CHAR(10)," "),CHAR(9)," "),CHAR(92),_xlfn.CONCAT(CHAR(92),CHAR(92))),"$",_xlfn.CONCAT(CHAR(92),"$")),CHAR(96),_xlfn.CONCAT(CHAR(92),CHAR(96))),CHAR(34),CHAR(39))))</f>
        <v/>
      </c>
      <c r="U466" s="5">
        <f t="shared" si="13"/>
        <v>0</v>
      </c>
    </row>
    <row r="467" spans="3:21" ht="30" customHeight="1" x14ac:dyDescent="0.2">
      <c r="C467" s="4"/>
      <c r="K467" s="5">
        <f t="shared" si="12"/>
        <v>0</v>
      </c>
      <c r="L467" s="5" t="str">
        <f>IF(OR(TRIM($B467)="",$A467=""),"",IF(OR(ISNUMBER(SEARCH(_xlfn.CONCAT(CHAR(96),CHAR(34)),$A467)),ISNUMBER(SEARCH(_xlfn.CONCAT(CHAR(34),CHAR(39)),$A467))),_xlfn.CONCAT("* REVIEW REQUIRED: compound-quote delimiter in Codebook Section on Sheet 1 row ",467,"; edit the input before running."),_xlfn.CONCAT("char ",TRIM($B467),"[doc_section] ",CHAR(96),CHAR(34),SUBSTITUTE(SUBSTITUTE(SUBSTITUTE(SUBSTITUTE(SUBSTITUTE(SUBSTITUTE($A467,CHAR(13)," "),CHAR(10)," "),CHAR(9)," "),CHAR(92),_xlfn.CONCAT(CHAR(92),CHAR(92))),"$",_xlfn.CONCAT(CHAR(92),"$")),CHAR(96),_xlfn.CONCAT(CHAR(92),CHAR(96))),CHAR(34),CHAR(39))))</f>
        <v/>
      </c>
      <c r="M467" s="5" t="str">
        <f>IF(OR(TRIM($B467)="",$C467=""),"",IF(IFERROR(MATCH(TRIM($C467),{"Quantitative","Continuous","Discrete","Categorical","Nominal","Ordinal","Identifier"},0),0)=0,_xlfn.CONCAT("* REVIEW REQUIRED: invalid Variable Type on Sheet 1 row ",467,"."),_xlfn.CONCAT("char ",TRIM($B467),"[doc_vartype] ",CHAR(96),CHAR(34),SUBSTITUTE(SUBSTITUTE(SUBSTITUTE(SUBSTITUTE(SUBSTITUTE(SUBSTITUTE(LOWER(TRIM($C467)),CHAR(13)," "),CHAR(10)," "),CHAR(9)," "),CHAR(92),_xlfn.CONCAT(CHAR(92),CHAR(92))),"$",_xlfn.CONCAT(CHAR(92),"$")),CHAR(96),_xlfn.CONCAT(CHAR(92),CHAR(96))),CHAR(34),CHAR(39))))</f>
        <v/>
      </c>
      <c r="N467" s="5" t="str">
        <f>IF(OR(TRIM($B467)="",$D467=""),"",IF(OR(ISNUMBER(SEARCH(_xlfn.CONCAT(CHAR(96),CHAR(34)),$D467)),ISNUMBER(SEARCH(_xlfn.CONCAT(CHAR(34),CHAR(39)),$D467))),_xlfn.CONCAT("* REVIEW REQUIRED: compound-quote delimiter in Item Number on Sheet 1 row ",467,"; edit the input before running."),_xlfn.CONCAT("char ",TRIM($B467),"[doc_itemnum] ",CHAR(96),CHAR(34),SUBSTITUTE(SUBSTITUTE(SUBSTITUTE(SUBSTITUTE(SUBSTITUTE(SUBSTITUTE($D467,CHAR(13)," "),CHAR(10)," "),CHAR(9)," "),CHAR(92),_xlfn.CONCAT(CHAR(92),CHAR(92))),"$",_xlfn.CONCAT(CHAR(92),"$")),CHAR(96),_xlfn.CONCAT(CHAR(92),CHAR(96))),CHAR(34),CHAR(39))))</f>
        <v/>
      </c>
      <c r="O467" s="5" t="str">
        <f>IF(OR(TRIM($B467)="",$E467=""),"",IF(OR(ISNUMBER(SEARCH(_xlfn.CONCAT(CHAR(96),CHAR(34)),$E467)),ISNUMBER(SEARCH(_xlfn.CONCAT(CHAR(34),CHAR(39)),$E467))),_xlfn.CONCAT("* REVIEW REQUIRED: compound-quote delimiter in Question Wording on Sheet 1 row ",467,"; edit the input before running."),_xlfn.CONCAT("char ",TRIM($B467),"[doc_question] ",CHAR(96),CHAR(34),SUBSTITUTE(SUBSTITUTE(SUBSTITUTE(SUBSTITUTE(SUBSTITUTE(SUBSTITUTE($E467,CHAR(13)," "),CHAR(10)," "),CHAR(9)," "),CHAR(92),_xlfn.CONCAT(CHAR(92),CHAR(92))),"$",_xlfn.CONCAT(CHAR(92),"$")),CHAR(96),_xlfn.CONCAT(CHAR(92),CHAR(96))),CHAR(34),CHAR(39))))</f>
        <v/>
      </c>
      <c r="P467" s="5" t="str">
        <f>IF(OR(TRIM($B467)="",$F467=""),"",IF(OR(ISNUMBER(SEARCH(_xlfn.CONCAT(CHAR(96),CHAR(34)),$F467)),ISNUMBER(SEARCH(_xlfn.CONCAT(CHAR(34),CHAR(39)),$F467))),_xlfn.CONCAT("* REVIEW REQUIRED: compound-quote delimiter in Units on Sheet 1 row ",467,"; edit the input before running."),_xlfn.CONCAT("char ",TRIM($B467),"[doc_units] ",CHAR(96),CHAR(34),SUBSTITUTE(SUBSTITUTE(SUBSTITUTE(SUBSTITUTE(SUBSTITUTE(SUBSTITUTE($F467,CHAR(13)," "),CHAR(10)," "),CHAR(9)," "),CHAR(92),_xlfn.CONCAT(CHAR(92),CHAR(92))),"$",_xlfn.CONCAT(CHAR(92),"$")),CHAR(96),_xlfn.CONCAT(CHAR(92),CHAR(96))),CHAR(34),CHAR(39))))</f>
        <v/>
      </c>
      <c r="Q467" s="5" t="str">
        <f>IF(OR(TRIM($B467)="",$G467=""),"",IF(OR(ISNUMBER(SEARCH(_xlfn.CONCAT(CHAR(96),CHAR(34)),$G467)),ISNUMBER(SEARCH(_xlfn.CONCAT(CHAR(34),CHAR(39)),$G467))),_xlfn.CONCAT("* REVIEW REQUIRED: compound-quote delimiter in Universe on Sheet 1 row ",467,"; edit the input before running."),_xlfn.CONCAT("char ",TRIM($B467),"[doc_universe] ",CHAR(96),CHAR(34),SUBSTITUTE(SUBSTITUTE(SUBSTITUTE(SUBSTITUTE(SUBSTITUTE(SUBSTITUTE($G467,CHAR(13)," "),CHAR(10)," "),CHAR(9)," "),CHAR(92),_xlfn.CONCAT(CHAR(92),CHAR(92))),"$",_xlfn.CONCAT(CHAR(92),"$")),CHAR(96),_xlfn.CONCAT(CHAR(92),CHAR(96))),CHAR(34),CHAR(39))))</f>
        <v/>
      </c>
      <c r="R467" s="5" t="str">
        <f>IF(OR(TRIM($B467)="",$H467=""),"",IF(OR(ISNUMBER(SEARCH(_xlfn.CONCAT(CHAR(96),CHAR(34)),$H467)),ISNUMBER(SEARCH(_xlfn.CONCAT(CHAR(34),CHAR(39)),$H467))),_xlfn.CONCAT("* REVIEW REQUIRED: compound-quote delimiter in Source on Sheet 1 row ",467,"; edit the input before running."),_xlfn.CONCAT("char ",TRIM($B467),"[doc_source] ",CHAR(96),CHAR(34),SUBSTITUTE(SUBSTITUTE(SUBSTITUTE(SUBSTITUTE(SUBSTITUTE(SUBSTITUTE($H467,CHAR(13)," "),CHAR(10)," "),CHAR(9)," "),CHAR(92),_xlfn.CONCAT(CHAR(92),CHAR(92))),"$",_xlfn.CONCAT(CHAR(92),"$")),CHAR(96),_xlfn.CONCAT(CHAR(92),CHAR(96))),CHAR(34),CHAR(39))))</f>
        <v/>
      </c>
      <c r="S467" s="5" t="str">
        <f>IF(OR(TRIM($B467)="",$I467=""),"",IF(OR(ISNUMBER(SEARCH(_xlfn.CONCAT(CHAR(96),CHAR(34)),$I467)),ISNUMBER(SEARCH(_xlfn.CONCAT(CHAR(34),CHAR(39)),$I467))),_xlfn.CONCAT("* REVIEW REQUIRED: compound-quote delimiter in Derivation on Sheet 1 row ",467,"; edit the input before running."),_xlfn.CONCAT("char ",TRIM($B467),"[doc_derivation] ",CHAR(96),CHAR(34),SUBSTITUTE(SUBSTITUTE(SUBSTITUTE(SUBSTITUTE(SUBSTITUTE(SUBSTITUTE($I467,CHAR(13)," "),CHAR(10)," "),CHAR(9)," "),CHAR(92),_xlfn.CONCAT(CHAR(92),CHAR(92))),"$",_xlfn.CONCAT(CHAR(92),"$")),CHAR(96),_xlfn.CONCAT(CHAR(92),CHAR(96))),CHAR(34),CHAR(39))))</f>
        <v/>
      </c>
      <c r="T467" s="5" t="str">
        <f>IF(OR(TRIM($B467)="",$J467=""),"",IF(OR(ISNUMBER(SEARCH(_xlfn.CONCAT(CHAR(96),CHAR(34)),$J467)),ISNUMBER(SEARCH(_xlfn.CONCAT(CHAR(34),CHAR(39)),$J467))),_xlfn.CONCAT("* REVIEW REQUIRED: compound-quote delimiter in Notes on Sheet 1 row ",467,"; edit the input before running."),_xlfn.CONCAT("char ",TRIM($B467),"[doc_notes] ",CHAR(96),CHAR(34),SUBSTITUTE(SUBSTITUTE(SUBSTITUTE(SUBSTITUTE(SUBSTITUTE(SUBSTITUTE($J467,CHAR(13)," "),CHAR(10)," "),CHAR(9)," "),CHAR(92),_xlfn.CONCAT(CHAR(92),CHAR(92))),"$",_xlfn.CONCAT(CHAR(92),"$")),CHAR(96),_xlfn.CONCAT(CHAR(92),CHAR(96))),CHAR(34),CHAR(39))))</f>
        <v/>
      </c>
      <c r="U467" s="5">
        <f t="shared" si="13"/>
        <v>0</v>
      </c>
    </row>
    <row r="468" spans="3:21" ht="30" customHeight="1" x14ac:dyDescent="0.2">
      <c r="C468" s="4"/>
      <c r="K468" s="5">
        <f t="shared" ref="K468:K531" si="14">COUNTIF(L468:T468,"?*")</f>
        <v>0</v>
      </c>
      <c r="L468" s="5" t="str">
        <f>IF(OR(TRIM($B468)="",$A468=""),"",IF(OR(ISNUMBER(SEARCH(_xlfn.CONCAT(CHAR(96),CHAR(34)),$A468)),ISNUMBER(SEARCH(_xlfn.CONCAT(CHAR(34),CHAR(39)),$A468))),_xlfn.CONCAT("* REVIEW REQUIRED: compound-quote delimiter in Codebook Section on Sheet 1 row ",468,"; edit the input before running."),_xlfn.CONCAT("char ",TRIM($B468),"[doc_section] ",CHAR(96),CHAR(34),SUBSTITUTE(SUBSTITUTE(SUBSTITUTE(SUBSTITUTE(SUBSTITUTE(SUBSTITUTE($A468,CHAR(13)," "),CHAR(10)," "),CHAR(9)," "),CHAR(92),_xlfn.CONCAT(CHAR(92),CHAR(92))),"$",_xlfn.CONCAT(CHAR(92),"$")),CHAR(96),_xlfn.CONCAT(CHAR(92),CHAR(96))),CHAR(34),CHAR(39))))</f>
        <v/>
      </c>
      <c r="M468" s="5" t="str">
        <f>IF(OR(TRIM($B468)="",$C468=""),"",IF(IFERROR(MATCH(TRIM($C468),{"Quantitative","Continuous","Discrete","Categorical","Nominal","Ordinal","Identifier"},0),0)=0,_xlfn.CONCAT("* REVIEW REQUIRED: invalid Variable Type on Sheet 1 row ",468,"."),_xlfn.CONCAT("char ",TRIM($B468),"[doc_vartype] ",CHAR(96),CHAR(34),SUBSTITUTE(SUBSTITUTE(SUBSTITUTE(SUBSTITUTE(SUBSTITUTE(SUBSTITUTE(LOWER(TRIM($C468)),CHAR(13)," "),CHAR(10)," "),CHAR(9)," "),CHAR(92),_xlfn.CONCAT(CHAR(92),CHAR(92))),"$",_xlfn.CONCAT(CHAR(92),"$")),CHAR(96),_xlfn.CONCAT(CHAR(92),CHAR(96))),CHAR(34),CHAR(39))))</f>
        <v/>
      </c>
      <c r="N468" s="5" t="str">
        <f>IF(OR(TRIM($B468)="",$D468=""),"",IF(OR(ISNUMBER(SEARCH(_xlfn.CONCAT(CHAR(96),CHAR(34)),$D468)),ISNUMBER(SEARCH(_xlfn.CONCAT(CHAR(34),CHAR(39)),$D468))),_xlfn.CONCAT("* REVIEW REQUIRED: compound-quote delimiter in Item Number on Sheet 1 row ",468,"; edit the input before running."),_xlfn.CONCAT("char ",TRIM($B468),"[doc_itemnum] ",CHAR(96),CHAR(34),SUBSTITUTE(SUBSTITUTE(SUBSTITUTE(SUBSTITUTE(SUBSTITUTE(SUBSTITUTE($D468,CHAR(13)," "),CHAR(10)," "),CHAR(9)," "),CHAR(92),_xlfn.CONCAT(CHAR(92),CHAR(92))),"$",_xlfn.CONCAT(CHAR(92),"$")),CHAR(96),_xlfn.CONCAT(CHAR(92),CHAR(96))),CHAR(34),CHAR(39))))</f>
        <v/>
      </c>
      <c r="O468" s="5" t="str">
        <f>IF(OR(TRIM($B468)="",$E468=""),"",IF(OR(ISNUMBER(SEARCH(_xlfn.CONCAT(CHAR(96),CHAR(34)),$E468)),ISNUMBER(SEARCH(_xlfn.CONCAT(CHAR(34),CHAR(39)),$E468))),_xlfn.CONCAT("* REVIEW REQUIRED: compound-quote delimiter in Question Wording on Sheet 1 row ",468,"; edit the input before running."),_xlfn.CONCAT("char ",TRIM($B468),"[doc_question] ",CHAR(96),CHAR(34),SUBSTITUTE(SUBSTITUTE(SUBSTITUTE(SUBSTITUTE(SUBSTITUTE(SUBSTITUTE($E468,CHAR(13)," "),CHAR(10)," "),CHAR(9)," "),CHAR(92),_xlfn.CONCAT(CHAR(92),CHAR(92))),"$",_xlfn.CONCAT(CHAR(92),"$")),CHAR(96),_xlfn.CONCAT(CHAR(92),CHAR(96))),CHAR(34),CHAR(39))))</f>
        <v/>
      </c>
      <c r="P468" s="5" t="str">
        <f>IF(OR(TRIM($B468)="",$F468=""),"",IF(OR(ISNUMBER(SEARCH(_xlfn.CONCAT(CHAR(96),CHAR(34)),$F468)),ISNUMBER(SEARCH(_xlfn.CONCAT(CHAR(34),CHAR(39)),$F468))),_xlfn.CONCAT("* REVIEW REQUIRED: compound-quote delimiter in Units on Sheet 1 row ",468,"; edit the input before running."),_xlfn.CONCAT("char ",TRIM($B468),"[doc_units] ",CHAR(96),CHAR(34),SUBSTITUTE(SUBSTITUTE(SUBSTITUTE(SUBSTITUTE(SUBSTITUTE(SUBSTITUTE($F468,CHAR(13)," "),CHAR(10)," "),CHAR(9)," "),CHAR(92),_xlfn.CONCAT(CHAR(92),CHAR(92))),"$",_xlfn.CONCAT(CHAR(92),"$")),CHAR(96),_xlfn.CONCAT(CHAR(92),CHAR(96))),CHAR(34),CHAR(39))))</f>
        <v/>
      </c>
      <c r="Q468" s="5" t="str">
        <f>IF(OR(TRIM($B468)="",$G468=""),"",IF(OR(ISNUMBER(SEARCH(_xlfn.CONCAT(CHAR(96),CHAR(34)),$G468)),ISNUMBER(SEARCH(_xlfn.CONCAT(CHAR(34),CHAR(39)),$G468))),_xlfn.CONCAT("* REVIEW REQUIRED: compound-quote delimiter in Universe on Sheet 1 row ",468,"; edit the input before running."),_xlfn.CONCAT("char ",TRIM($B468),"[doc_universe] ",CHAR(96),CHAR(34),SUBSTITUTE(SUBSTITUTE(SUBSTITUTE(SUBSTITUTE(SUBSTITUTE(SUBSTITUTE($G468,CHAR(13)," "),CHAR(10)," "),CHAR(9)," "),CHAR(92),_xlfn.CONCAT(CHAR(92),CHAR(92))),"$",_xlfn.CONCAT(CHAR(92),"$")),CHAR(96),_xlfn.CONCAT(CHAR(92),CHAR(96))),CHAR(34),CHAR(39))))</f>
        <v/>
      </c>
      <c r="R468" s="5" t="str">
        <f>IF(OR(TRIM($B468)="",$H468=""),"",IF(OR(ISNUMBER(SEARCH(_xlfn.CONCAT(CHAR(96),CHAR(34)),$H468)),ISNUMBER(SEARCH(_xlfn.CONCAT(CHAR(34),CHAR(39)),$H468))),_xlfn.CONCAT("* REVIEW REQUIRED: compound-quote delimiter in Source on Sheet 1 row ",468,"; edit the input before running."),_xlfn.CONCAT("char ",TRIM($B468),"[doc_source] ",CHAR(96),CHAR(34),SUBSTITUTE(SUBSTITUTE(SUBSTITUTE(SUBSTITUTE(SUBSTITUTE(SUBSTITUTE($H468,CHAR(13)," "),CHAR(10)," "),CHAR(9)," "),CHAR(92),_xlfn.CONCAT(CHAR(92),CHAR(92))),"$",_xlfn.CONCAT(CHAR(92),"$")),CHAR(96),_xlfn.CONCAT(CHAR(92),CHAR(96))),CHAR(34),CHAR(39))))</f>
        <v/>
      </c>
      <c r="S468" s="5" t="str">
        <f>IF(OR(TRIM($B468)="",$I468=""),"",IF(OR(ISNUMBER(SEARCH(_xlfn.CONCAT(CHAR(96),CHAR(34)),$I468)),ISNUMBER(SEARCH(_xlfn.CONCAT(CHAR(34),CHAR(39)),$I468))),_xlfn.CONCAT("* REVIEW REQUIRED: compound-quote delimiter in Derivation on Sheet 1 row ",468,"; edit the input before running."),_xlfn.CONCAT("char ",TRIM($B468),"[doc_derivation] ",CHAR(96),CHAR(34),SUBSTITUTE(SUBSTITUTE(SUBSTITUTE(SUBSTITUTE(SUBSTITUTE(SUBSTITUTE($I468,CHAR(13)," "),CHAR(10)," "),CHAR(9)," "),CHAR(92),_xlfn.CONCAT(CHAR(92),CHAR(92))),"$",_xlfn.CONCAT(CHAR(92),"$")),CHAR(96),_xlfn.CONCAT(CHAR(92),CHAR(96))),CHAR(34),CHAR(39))))</f>
        <v/>
      </c>
      <c r="T468" s="5" t="str">
        <f>IF(OR(TRIM($B468)="",$J468=""),"",IF(OR(ISNUMBER(SEARCH(_xlfn.CONCAT(CHAR(96),CHAR(34)),$J468)),ISNUMBER(SEARCH(_xlfn.CONCAT(CHAR(34),CHAR(39)),$J468))),_xlfn.CONCAT("* REVIEW REQUIRED: compound-quote delimiter in Notes on Sheet 1 row ",468,"; edit the input before running."),_xlfn.CONCAT("char ",TRIM($B468),"[doc_notes] ",CHAR(96),CHAR(34),SUBSTITUTE(SUBSTITUTE(SUBSTITUTE(SUBSTITUTE(SUBSTITUTE(SUBSTITUTE($J468,CHAR(13)," "),CHAR(10)," "),CHAR(9)," "),CHAR(92),_xlfn.CONCAT(CHAR(92),CHAR(92))),"$",_xlfn.CONCAT(CHAR(92),"$")),CHAR(96),_xlfn.CONCAT(CHAR(92),CHAR(96))),CHAR(34),CHAR(39))))</f>
        <v/>
      </c>
      <c r="U468" s="5">
        <f t="shared" ref="U468:U531" si="15">COUNTIF(L468:T468,"*REVIEW REQUIRED*")</f>
        <v>0</v>
      </c>
    </row>
    <row r="469" spans="3:21" ht="30" customHeight="1" x14ac:dyDescent="0.2">
      <c r="C469" s="4"/>
      <c r="K469" s="5">
        <f t="shared" si="14"/>
        <v>0</v>
      </c>
      <c r="L469" s="5" t="str">
        <f>IF(OR(TRIM($B469)="",$A469=""),"",IF(OR(ISNUMBER(SEARCH(_xlfn.CONCAT(CHAR(96),CHAR(34)),$A469)),ISNUMBER(SEARCH(_xlfn.CONCAT(CHAR(34),CHAR(39)),$A469))),_xlfn.CONCAT("* REVIEW REQUIRED: compound-quote delimiter in Codebook Section on Sheet 1 row ",469,"; edit the input before running."),_xlfn.CONCAT("char ",TRIM($B469),"[doc_section] ",CHAR(96),CHAR(34),SUBSTITUTE(SUBSTITUTE(SUBSTITUTE(SUBSTITUTE(SUBSTITUTE(SUBSTITUTE($A469,CHAR(13)," "),CHAR(10)," "),CHAR(9)," "),CHAR(92),_xlfn.CONCAT(CHAR(92),CHAR(92))),"$",_xlfn.CONCAT(CHAR(92),"$")),CHAR(96),_xlfn.CONCAT(CHAR(92),CHAR(96))),CHAR(34),CHAR(39))))</f>
        <v/>
      </c>
      <c r="M469" s="5" t="str">
        <f>IF(OR(TRIM($B469)="",$C469=""),"",IF(IFERROR(MATCH(TRIM($C469),{"Quantitative","Continuous","Discrete","Categorical","Nominal","Ordinal","Identifier"},0),0)=0,_xlfn.CONCAT("* REVIEW REQUIRED: invalid Variable Type on Sheet 1 row ",469,"."),_xlfn.CONCAT("char ",TRIM($B469),"[doc_vartype] ",CHAR(96),CHAR(34),SUBSTITUTE(SUBSTITUTE(SUBSTITUTE(SUBSTITUTE(SUBSTITUTE(SUBSTITUTE(LOWER(TRIM($C469)),CHAR(13)," "),CHAR(10)," "),CHAR(9)," "),CHAR(92),_xlfn.CONCAT(CHAR(92),CHAR(92))),"$",_xlfn.CONCAT(CHAR(92),"$")),CHAR(96),_xlfn.CONCAT(CHAR(92),CHAR(96))),CHAR(34),CHAR(39))))</f>
        <v/>
      </c>
      <c r="N469" s="5" t="str">
        <f>IF(OR(TRIM($B469)="",$D469=""),"",IF(OR(ISNUMBER(SEARCH(_xlfn.CONCAT(CHAR(96),CHAR(34)),$D469)),ISNUMBER(SEARCH(_xlfn.CONCAT(CHAR(34),CHAR(39)),$D469))),_xlfn.CONCAT("* REVIEW REQUIRED: compound-quote delimiter in Item Number on Sheet 1 row ",469,"; edit the input before running."),_xlfn.CONCAT("char ",TRIM($B469),"[doc_itemnum] ",CHAR(96),CHAR(34),SUBSTITUTE(SUBSTITUTE(SUBSTITUTE(SUBSTITUTE(SUBSTITUTE(SUBSTITUTE($D469,CHAR(13)," "),CHAR(10)," "),CHAR(9)," "),CHAR(92),_xlfn.CONCAT(CHAR(92),CHAR(92))),"$",_xlfn.CONCAT(CHAR(92),"$")),CHAR(96),_xlfn.CONCAT(CHAR(92),CHAR(96))),CHAR(34),CHAR(39))))</f>
        <v/>
      </c>
      <c r="O469" s="5" t="str">
        <f>IF(OR(TRIM($B469)="",$E469=""),"",IF(OR(ISNUMBER(SEARCH(_xlfn.CONCAT(CHAR(96),CHAR(34)),$E469)),ISNUMBER(SEARCH(_xlfn.CONCAT(CHAR(34),CHAR(39)),$E469))),_xlfn.CONCAT("* REVIEW REQUIRED: compound-quote delimiter in Question Wording on Sheet 1 row ",469,"; edit the input before running."),_xlfn.CONCAT("char ",TRIM($B469),"[doc_question] ",CHAR(96),CHAR(34),SUBSTITUTE(SUBSTITUTE(SUBSTITUTE(SUBSTITUTE(SUBSTITUTE(SUBSTITUTE($E469,CHAR(13)," "),CHAR(10)," "),CHAR(9)," "),CHAR(92),_xlfn.CONCAT(CHAR(92),CHAR(92))),"$",_xlfn.CONCAT(CHAR(92),"$")),CHAR(96),_xlfn.CONCAT(CHAR(92),CHAR(96))),CHAR(34),CHAR(39))))</f>
        <v/>
      </c>
      <c r="P469" s="5" t="str">
        <f>IF(OR(TRIM($B469)="",$F469=""),"",IF(OR(ISNUMBER(SEARCH(_xlfn.CONCAT(CHAR(96),CHAR(34)),$F469)),ISNUMBER(SEARCH(_xlfn.CONCAT(CHAR(34),CHAR(39)),$F469))),_xlfn.CONCAT("* REVIEW REQUIRED: compound-quote delimiter in Units on Sheet 1 row ",469,"; edit the input before running."),_xlfn.CONCAT("char ",TRIM($B469),"[doc_units] ",CHAR(96),CHAR(34),SUBSTITUTE(SUBSTITUTE(SUBSTITUTE(SUBSTITUTE(SUBSTITUTE(SUBSTITUTE($F469,CHAR(13)," "),CHAR(10)," "),CHAR(9)," "),CHAR(92),_xlfn.CONCAT(CHAR(92),CHAR(92))),"$",_xlfn.CONCAT(CHAR(92),"$")),CHAR(96),_xlfn.CONCAT(CHAR(92),CHAR(96))),CHAR(34),CHAR(39))))</f>
        <v/>
      </c>
      <c r="Q469" s="5" t="str">
        <f>IF(OR(TRIM($B469)="",$G469=""),"",IF(OR(ISNUMBER(SEARCH(_xlfn.CONCAT(CHAR(96),CHAR(34)),$G469)),ISNUMBER(SEARCH(_xlfn.CONCAT(CHAR(34),CHAR(39)),$G469))),_xlfn.CONCAT("* REVIEW REQUIRED: compound-quote delimiter in Universe on Sheet 1 row ",469,"; edit the input before running."),_xlfn.CONCAT("char ",TRIM($B469),"[doc_universe] ",CHAR(96),CHAR(34),SUBSTITUTE(SUBSTITUTE(SUBSTITUTE(SUBSTITUTE(SUBSTITUTE(SUBSTITUTE($G469,CHAR(13)," "),CHAR(10)," "),CHAR(9)," "),CHAR(92),_xlfn.CONCAT(CHAR(92),CHAR(92))),"$",_xlfn.CONCAT(CHAR(92),"$")),CHAR(96),_xlfn.CONCAT(CHAR(92),CHAR(96))),CHAR(34),CHAR(39))))</f>
        <v/>
      </c>
      <c r="R469" s="5" t="str">
        <f>IF(OR(TRIM($B469)="",$H469=""),"",IF(OR(ISNUMBER(SEARCH(_xlfn.CONCAT(CHAR(96),CHAR(34)),$H469)),ISNUMBER(SEARCH(_xlfn.CONCAT(CHAR(34),CHAR(39)),$H469))),_xlfn.CONCAT("* REVIEW REQUIRED: compound-quote delimiter in Source on Sheet 1 row ",469,"; edit the input before running."),_xlfn.CONCAT("char ",TRIM($B469),"[doc_source] ",CHAR(96),CHAR(34),SUBSTITUTE(SUBSTITUTE(SUBSTITUTE(SUBSTITUTE(SUBSTITUTE(SUBSTITUTE($H469,CHAR(13)," "),CHAR(10)," "),CHAR(9)," "),CHAR(92),_xlfn.CONCAT(CHAR(92),CHAR(92))),"$",_xlfn.CONCAT(CHAR(92),"$")),CHAR(96),_xlfn.CONCAT(CHAR(92),CHAR(96))),CHAR(34),CHAR(39))))</f>
        <v/>
      </c>
      <c r="S469" s="5" t="str">
        <f>IF(OR(TRIM($B469)="",$I469=""),"",IF(OR(ISNUMBER(SEARCH(_xlfn.CONCAT(CHAR(96),CHAR(34)),$I469)),ISNUMBER(SEARCH(_xlfn.CONCAT(CHAR(34),CHAR(39)),$I469))),_xlfn.CONCAT("* REVIEW REQUIRED: compound-quote delimiter in Derivation on Sheet 1 row ",469,"; edit the input before running."),_xlfn.CONCAT("char ",TRIM($B469),"[doc_derivation] ",CHAR(96),CHAR(34),SUBSTITUTE(SUBSTITUTE(SUBSTITUTE(SUBSTITUTE(SUBSTITUTE(SUBSTITUTE($I469,CHAR(13)," "),CHAR(10)," "),CHAR(9)," "),CHAR(92),_xlfn.CONCAT(CHAR(92),CHAR(92))),"$",_xlfn.CONCAT(CHAR(92),"$")),CHAR(96),_xlfn.CONCAT(CHAR(92),CHAR(96))),CHAR(34),CHAR(39))))</f>
        <v/>
      </c>
      <c r="T469" s="5" t="str">
        <f>IF(OR(TRIM($B469)="",$J469=""),"",IF(OR(ISNUMBER(SEARCH(_xlfn.CONCAT(CHAR(96),CHAR(34)),$J469)),ISNUMBER(SEARCH(_xlfn.CONCAT(CHAR(34),CHAR(39)),$J469))),_xlfn.CONCAT("* REVIEW REQUIRED: compound-quote delimiter in Notes on Sheet 1 row ",469,"; edit the input before running."),_xlfn.CONCAT("char ",TRIM($B469),"[doc_notes] ",CHAR(96),CHAR(34),SUBSTITUTE(SUBSTITUTE(SUBSTITUTE(SUBSTITUTE(SUBSTITUTE(SUBSTITUTE($J469,CHAR(13)," "),CHAR(10)," "),CHAR(9)," "),CHAR(92),_xlfn.CONCAT(CHAR(92),CHAR(92))),"$",_xlfn.CONCAT(CHAR(92),"$")),CHAR(96),_xlfn.CONCAT(CHAR(92),CHAR(96))),CHAR(34),CHAR(39))))</f>
        <v/>
      </c>
      <c r="U469" s="5">
        <f t="shared" si="15"/>
        <v>0</v>
      </c>
    </row>
    <row r="470" spans="3:21" ht="30" customHeight="1" x14ac:dyDescent="0.2">
      <c r="C470" s="4"/>
      <c r="K470" s="5">
        <f t="shared" si="14"/>
        <v>0</v>
      </c>
      <c r="L470" s="5" t="str">
        <f>IF(OR(TRIM($B470)="",$A470=""),"",IF(OR(ISNUMBER(SEARCH(_xlfn.CONCAT(CHAR(96),CHAR(34)),$A470)),ISNUMBER(SEARCH(_xlfn.CONCAT(CHAR(34),CHAR(39)),$A470))),_xlfn.CONCAT("* REVIEW REQUIRED: compound-quote delimiter in Codebook Section on Sheet 1 row ",470,"; edit the input before running."),_xlfn.CONCAT("char ",TRIM($B470),"[doc_section] ",CHAR(96),CHAR(34),SUBSTITUTE(SUBSTITUTE(SUBSTITUTE(SUBSTITUTE(SUBSTITUTE(SUBSTITUTE($A470,CHAR(13)," "),CHAR(10)," "),CHAR(9)," "),CHAR(92),_xlfn.CONCAT(CHAR(92),CHAR(92))),"$",_xlfn.CONCAT(CHAR(92),"$")),CHAR(96),_xlfn.CONCAT(CHAR(92),CHAR(96))),CHAR(34),CHAR(39))))</f>
        <v/>
      </c>
      <c r="M470" s="5" t="str">
        <f>IF(OR(TRIM($B470)="",$C470=""),"",IF(IFERROR(MATCH(TRIM($C470),{"Quantitative","Continuous","Discrete","Categorical","Nominal","Ordinal","Identifier"},0),0)=0,_xlfn.CONCAT("* REVIEW REQUIRED: invalid Variable Type on Sheet 1 row ",470,"."),_xlfn.CONCAT("char ",TRIM($B470),"[doc_vartype] ",CHAR(96),CHAR(34),SUBSTITUTE(SUBSTITUTE(SUBSTITUTE(SUBSTITUTE(SUBSTITUTE(SUBSTITUTE(LOWER(TRIM($C470)),CHAR(13)," "),CHAR(10)," "),CHAR(9)," "),CHAR(92),_xlfn.CONCAT(CHAR(92),CHAR(92))),"$",_xlfn.CONCAT(CHAR(92),"$")),CHAR(96),_xlfn.CONCAT(CHAR(92),CHAR(96))),CHAR(34),CHAR(39))))</f>
        <v/>
      </c>
      <c r="N470" s="5" t="str">
        <f>IF(OR(TRIM($B470)="",$D470=""),"",IF(OR(ISNUMBER(SEARCH(_xlfn.CONCAT(CHAR(96),CHAR(34)),$D470)),ISNUMBER(SEARCH(_xlfn.CONCAT(CHAR(34),CHAR(39)),$D470))),_xlfn.CONCAT("* REVIEW REQUIRED: compound-quote delimiter in Item Number on Sheet 1 row ",470,"; edit the input before running."),_xlfn.CONCAT("char ",TRIM($B470),"[doc_itemnum] ",CHAR(96),CHAR(34),SUBSTITUTE(SUBSTITUTE(SUBSTITUTE(SUBSTITUTE(SUBSTITUTE(SUBSTITUTE($D470,CHAR(13)," "),CHAR(10)," "),CHAR(9)," "),CHAR(92),_xlfn.CONCAT(CHAR(92),CHAR(92))),"$",_xlfn.CONCAT(CHAR(92),"$")),CHAR(96),_xlfn.CONCAT(CHAR(92),CHAR(96))),CHAR(34),CHAR(39))))</f>
        <v/>
      </c>
      <c r="O470" s="5" t="str">
        <f>IF(OR(TRIM($B470)="",$E470=""),"",IF(OR(ISNUMBER(SEARCH(_xlfn.CONCAT(CHAR(96),CHAR(34)),$E470)),ISNUMBER(SEARCH(_xlfn.CONCAT(CHAR(34),CHAR(39)),$E470))),_xlfn.CONCAT("* REVIEW REQUIRED: compound-quote delimiter in Question Wording on Sheet 1 row ",470,"; edit the input before running."),_xlfn.CONCAT("char ",TRIM($B470),"[doc_question] ",CHAR(96),CHAR(34),SUBSTITUTE(SUBSTITUTE(SUBSTITUTE(SUBSTITUTE(SUBSTITUTE(SUBSTITUTE($E470,CHAR(13)," "),CHAR(10)," "),CHAR(9)," "),CHAR(92),_xlfn.CONCAT(CHAR(92),CHAR(92))),"$",_xlfn.CONCAT(CHAR(92),"$")),CHAR(96),_xlfn.CONCAT(CHAR(92),CHAR(96))),CHAR(34),CHAR(39))))</f>
        <v/>
      </c>
      <c r="P470" s="5" t="str">
        <f>IF(OR(TRIM($B470)="",$F470=""),"",IF(OR(ISNUMBER(SEARCH(_xlfn.CONCAT(CHAR(96),CHAR(34)),$F470)),ISNUMBER(SEARCH(_xlfn.CONCAT(CHAR(34),CHAR(39)),$F470))),_xlfn.CONCAT("* REVIEW REQUIRED: compound-quote delimiter in Units on Sheet 1 row ",470,"; edit the input before running."),_xlfn.CONCAT("char ",TRIM($B470),"[doc_units] ",CHAR(96),CHAR(34),SUBSTITUTE(SUBSTITUTE(SUBSTITUTE(SUBSTITUTE(SUBSTITUTE(SUBSTITUTE($F470,CHAR(13)," "),CHAR(10)," "),CHAR(9)," "),CHAR(92),_xlfn.CONCAT(CHAR(92),CHAR(92))),"$",_xlfn.CONCAT(CHAR(92),"$")),CHAR(96),_xlfn.CONCAT(CHAR(92),CHAR(96))),CHAR(34),CHAR(39))))</f>
        <v/>
      </c>
      <c r="Q470" s="5" t="str">
        <f>IF(OR(TRIM($B470)="",$G470=""),"",IF(OR(ISNUMBER(SEARCH(_xlfn.CONCAT(CHAR(96),CHAR(34)),$G470)),ISNUMBER(SEARCH(_xlfn.CONCAT(CHAR(34),CHAR(39)),$G470))),_xlfn.CONCAT("* REVIEW REQUIRED: compound-quote delimiter in Universe on Sheet 1 row ",470,"; edit the input before running."),_xlfn.CONCAT("char ",TRIM($B470),"[doc_universe] ",CHAR(96),CHAR(34),SUBSTITUTE(SUBSTITUTE(SUBSTITUTE(SUBSTITUTE(SUBSTITUTE(SUBSTITUTE($G470,CHAR(13)," "),CHAR(10)," "),CHAR(9)," "),CHAR(92),_xlfn.CONCAT(CHAR(92),CHAR(92))),"$",_xlfn.CONCAT(CHAR(92),"$")),CHAR(96),_xlfn.CONCAT(CHAR(92),CHAR(96))),CHAR(34),CHAR(39))))</f>
        <v/>
      </c>
      <c r="R470" s="5" t="str">
        <f>IF(OR(TRIM($B470)="",$H470=""),"",IF(OR(ISNUMBER(SEARCH(_xlfn.CONCAT(CHAR(96),CHAR(34)),$H470)),ISNUMBER(SEARCH(_xlfn.CONCAT(CHAR(34),CHAR(39)),$H470))),_xlfn.CONCAT("* REVIEW REQUIRED: compound-quote delimiter in Source on Sheet 1 row ",470,"; edit the input before running."),_xlfn.CONCAT("char ",TRIM($B470),"[doc_source] ",CHAR(96),CHAR(34),SUBSTITUTE(SUBSTITUTE(SUBSTITUTE(SUBSTITUTE(SUBSTITUTE(SUBSTITUTE($H470,CHAR(13)," "),CHAR(10)," "),CHAR(9)," "),CHAR(92),_xlfn.CONCAT(CHAR(92),CHAR(92))),"$",_xlfn.CONCAT(CHAR(92),"$")),CHAR(96),_xlfn.CONCAT(CHAR(92),CHAR(96))),CHAR(34),CHAR(39))))</f>
        <v/>
      </c>
      <c r="S470" s="5" t="str">
        <f>IF(OR(TRIM($B470)="",$I470=""),"",IF(OR(ISNUMBER(SEARCH(_xlfn.CONCAT(CHAR(96),CHAR(34)),$I470)),ISNUMBER(SEARCH(_xlfn.CONCAT(CHAR(34),CHAR(39)),$I470))),_xlfn.CONCAT("* REVIEW REQUIRED: compound-quote delimiter in Derivation on Sheet 1 row ",470,"; edit the input before running."),_xlfn.CONCAT("char ",TRIM($B470),"[doc_derivation] ",CHAR(96),CHAR(34),SUBSTITUTE(SUBSTITUTE(SUBSTITUTE(SUBSTITUTE(SUBSTITUTE(SUBSTITUTE($I470,CHAR(13)," "),CHAR(10)," "),CHAR(9)," "),CHAR(92),_xlfn.CONCAT(CHAR(92),CHAR(92))),"$",_xlfn.CONCAT(CHAR(92),"$")),CHAR(96),_xlfn.CONCAT(CHAR(92),CHAR(96))),CHAR(34),CHAR(39))))</f>
        <v/>
      </c>
      <c r="T470" s="5" t="str">
        <f>IF(OR(TRIM($B470)="",$J470=""),"",IF(OR(ISNUMBER(SEARCH(_xlfn.CONCAT(CHAR(96),CHAR(34)),$J470)),ISNUMBER(SEARCH(_xlfn.CONCAT(CHAR(34),CHAR(39)),$J470))),_xlfn.CONCAT("* REVIEW REQUIRED: compound-quote delimiter in Notes on Sheet 1 row ",470,"; edit the input before running."),_xlfn.CONCAT("char ",TRIM($B470),"[doc_notes] ",CHAR(96),CHAR(34),SUBSTITUTE(SUBSTITUTE(SUBSTITUTE(SUBSTITUTE(SUBSTITUTE(SUBSTITUTE($J470,CHAR(13)," "),CHAR(10)," "),CHAR(9)," "),CHAR(92),_xlfn.CONCAT(CHAR(92),CHAR(92))),"$",_xlfn.CONCAT(CHAR(92),"$")),CHAR(96),_xlfn.CONCAT(CHAR(92),CHAR(96))),CHAR(34),CHAR(39))))</f>
        <v/>
      </c>
      <c r="U470" s="5">
        <f t="shared" si="15"/>
        <v>0</v>
      </c>
    </row>
    <row r="471" spans="3:21" ht="30" customHeight="1" x14ac:dyDescent="0.2">
      <c r="C471" s="4"/>
      <c r="K471" s="5">
        <f t="shared" si="14"/>
        <v>0</v>
      </c>
      <c r="L471" s="5" t="str">
        <f>IF(OR(TRIM($B471)="",$A471=""),"",IF(OR(ISNUMBER(SEARCH(_xlfn.CONCAT(CHAR(96),CHAR(34)),$A471)),ISNUMBER(SEARCH(_xlfn.CONCAT(CHAR(34),CHAR(39)),$A471))),_xlfn.CONCAT("* REVIEW REQUIRED: compound-quote delimiter in Codebook Section on Sheet 1 row ",471,"; edit the input before running."),_xlfn.CONCAT("char ",TRIM($B471),"[doc_section] ",CHAR(96),CHAR(34),SUBSTITUTE(SUBSTITUTE(SUBSTITUTE(SUBSTITUTE(SUBSTITUTE(SUBSTITUTE($A471,CHAR(13)," "),CHAR(10)," "),CHAR(9)," "),CHAR(92),_xlfn.CONCAT(CHAR(92),CHAR(92))),"$",_xlfn.CONCAT(CHAR(92),"$")),CHAR(96),_xlfn.CONCAT(CHAR(92),CHAR(96))),CHAR(34),CHAR(39))))</f>
        <v/>
      </c>
      <c r="M471" s="5" t="str">
        <f>IF(OR(TRIM($B471)="",$C471=""),"",IF(IFERROR(MATCH(TRIM($C471),{"Quantitative","Continuous","Discrete","Categorical","Nominal","Ordinal","Identifier"},0),0)=0,_xlfn.CONCAT("* REVIEW REQUIRED: invalid Variable Type on Sheet 1 row ",471,"."),_xlfn.CONCAT("char ",TRIM($B471),"[doc_vartype] ",CHAR(96),CHAR(34),SUBSTITUTE(SUBSTITUTE(SUBSTITUTE(SUBSTITUTE(SUBSTITUTE(SUBSTITUTE(LOWER(TRIM($C471)),CHAR(13)," "),CHAR(10)," "),CHAR(9)," "),CHAR(92),_xlfn.CONCAT(CHAR(92),CHAR(92))),"$",_xlfn.CONCAT(CHAR(92),"$")),CHAR(96),_xlfn.CONCAT(CHAR(92),CHAR(96))),CHAR(34),CHAR(39))))</f>
        <v/>
      </c>
      <c r="N471" s="5" t="str">
        <f>IF(OR(TRIM($B471)="",$D471=""),"",IF(OR(ISNUMBER(SEARCH(_xlfn.CONCAT(CHAR(96),CHAR(34)),$D471)),ISNUMBER(SEARCH(_xlfn.CONCAT(CHAR(34),CHAR(39)),$D471))),_xlfn.CONCAT("* REVIEW REQUIRED: compound-quote delimiter in Item Number on Sheet 1 row ",471,"; edit the input before running."),_xlfn.CONCAT("char ",TRIM($B471),"[doc_itemnum] ",CHAR(96),CHAR(34),SUBSTITUTE(SUBSTITUTE(SUBSTITUTE(SUBSTITUTE(SUBSTITUTE(SUBSTITUTE($D471,CHAR(13)," "),CHAR(10)," "),CHAR(9)," "),CHAR(92),_xlfn.CONCAT(CHAR(92),CHAR(92))),"$",_xlfn.CONCAT(CHAR(92),"$")),CHAR(96),_xlfn.CONCAT(CHAR(92),CHAR(96))),CHAR(34),CHAR(39))))</f>
        <v/>
      </c>
      <c r="O471" s="5" t="str">
        <f>IF(OR(TRIM($B471)="",$E471=""),"",IF(OR(ISNUMBER(SEARCH(_xlfn.CONCAT(CHAR(96),CHAR(34)),$E471)),ISNUMBER(SEARCH(_xlfn.CONCAT(CHAR(34),CHAR(39)),$E471))),_xlfn.CONCAT("* REVIEW REQUIRED: compound-quote delimiter in Question Wording on Sheet 1 row ",471,"; edit the input before running."),_xlfn.CONCAT("char ",TRIM($B471),"[doc_question] ",CHAR(96),CHAR(34),SUBSTITUTE(SUBSTITUTE(SUBSTITUTE(SUBSTITUTE(SUBSTITUTE(SUBSTITUTE($E471,CHAR(13)," "),CHAR(10)," "),CHAR(9)," "),CHAR(92),_xlfn.CONCAT(CHAR(92),CHAR(92))),"$",_xlfn.CONCAT(CHAR(92),"$")),CHAR(96),_xlfn.CONCAT(CHAR(92),CHAR(96))),CHAR(34),CHAR(39))))</f>
        <v/>
      </c>
      <c r="P471" s="5" t="str">
        <f>IF(OR(TRIM($B471)="",$F471=""),"",IF(OR(ISNUMBER(SEARCH(_xlfn.CONCAT(CHAR(96),CHAR(34)),$F471)),ISNUMBER(SEARCH(_xlfn.CONCAT(CHAR(34),CHAR(39)),$F471))),_xlfn.CONCAT("* REVIEW REQUIRED: compound-quote delimiter in Units on Sheet 1 row ",471,"; edit the input before running."),_xlfn.CONCAT("char ",TRIM($B471),"[doc_units] ",CHAR(96),CHAR(34),SUBSTITUTE(SUBSTITUTE(SUBSTITUTE(SUBSTITUTE(SUBSTITUTE(SUBSTITUTE($F471,CHAR(13)," "),CHAR(10)," "),CHAR(9)," "),CHAR(92),_xlfn.CONCAT(CHAR(92),CHAR(92))),"$",_xlfn.CONCAT(CHAR(92),"$")),CHAR(96),_xlfn.CONCAT(CHAR(92),CHAR(96))),CHAR(34),CHAR(39))))</f>
        <v/>
      </c>
      <c r="Q471" s="5" t="str">
        <f>IF(OR(TRIM($B471)="",$G471=""),"",IF(OR(ISNUMBER(SEARCH(_xlfn.CONCAT(CHAR(96),CHAR(34)),$G471)),ISNUMBER(SEARCH(_xlfn.CONCAT(CHAR(34),CHAR(39)),$G471))),_xlfn.CONCAT("* REVIEW REQUIRED: compound-quote delimiter in Universe on Sheet 1 row ",471,"; edit the input before running."),_xlfn.CONCAT("char ",TRIM($B471),"[doc_universe] ",CHAR(96),CHAR(34),SUBSTITUTE(SUBSTITUTE(SUBSTITUTE(SUBSTITUTE(SUBSTITUTE(SUBSTITUTE($G471,CHAR(13)," "),CHAR(10)," "),CHAR(9)," "),CHAR(92),_xlfn.CONCAT(CHAR(92),CHAR(92))),"$",_xlfn.CONCAT(CHAR(92),"$")),CHAR(96),_xlfn.CONCAT(CHAR(92),CHAR(96))),CHAR(34),CHAR(39))))</f>
        <v/>
      </c>
      <c r="R471" s="5" t="str">
        <f>IF(OR(TRIM($B471)="",$H471=""),"",IF(OR(ISNUMBER(SEARCH(_xlfn.CONCAT(CHAR(96),CHAR(34)),$H471)),ISNUMBER(SEARCH(_xlfn.CONCAT(CHAR(34),CHAR(39)),$H471))),_xlfn.CONCAT("* REVIEW REQUIRED: compound-quote delimiter in Source on Sheet 1 row ",471,"; edit the input before running."),_xlfn.CONCAT("char ",TRIM($B471),"[doc_source] ",CHAR(96),CHAR(34),SUBSTITUTE(SUBSTITUTE(SUBSTITUTE(SUBSTITUTE(SUBSTITUTE(SUBSTITUTE($H471,CHAR(13)," "),CHAR(10)," "),CHAR(9)," "),CHAR(92),_xlfn.CONCAT(CHAR(92),CHAR(92))),"$",_xlfn.CONCAT(CHAR(92),"$")),CHAR(96),_xlfn.CONCAT(CHAR(92),CHAR(96))),CHAR(34),CHAR(39))))</f>
        <v/>
      </c>
      <c r="S471" s="5" t="str">
        <f>IF(OR(TRIM($B471)="",$I471=""),"",IF(OR(ISNUMBER(SEARCH(_xlfn.CONCAT(CHAR(96),CHAR(34)),$I471)),ISNUMBER(SEARCH(_xlfn.CONCAT(CHAR(34),CHAR(39)),$I471))),_xlfn.CONCAT("* REVIEW REQUIRED: compound-quote delimiter in Derivation on Sheet 1 row ",471,"; edit the input before running."),_xlfn.CONCAT("char ",TRIM($B471),"[doc_derivation] ",CHAR(96),CHAR(34),SUBSTITUTE(SUBSTITUTE(SUBSTITUTE(SUBSTITUTE(SUBSTITUTE(SUBSTITUTE($I471,CHAR(13)," "),CHAR(10)," "),CHAR(9)," "),CHAR(92),_xlfn.CONCAT(CHAR(92),CHAR(92))),"$",_xlfn.CONCAT(CHAR(92),"$")),CHAR(96),_xlfn.CONCAT(CHAR(92),CHAR(96))),CHAR(34),CHAR(39))))</f>
        <v/>
      </c>
      <c r="T471" s="5" t="str">
        <f>IF(OR(TRIM($B471)="",$J471=""),"",IF(OR(ISNUMBER(SEARCH(_xlfn.CONCAT(CHAR(96),CHAR(34)),$J471)),ISNUMBER(SEARCH(_xlfn.CONCAT(CHAR(34),CHAR(39)),$J471))),_xlfn.CONCAT("* REVIEW REQUIRED: compound-quote delimiter in Notes on Sheet 1 row ",471,"; edit the input before running."),_xlfn.CONCAT("char ",TRIM($B471),"[doc_notes] ",CHAR(96),CHAR(34),SUBSTITUTE(SUBSTITUTE(SUBSTITUTE(SUBSTITUTE(SUBSTITUTE(SUBSTITUTE($J471,CHAR(13)," "),CHAR(10)," "),CHAR(9)," "),CHAR(92),_xlfn.CONCAT(CHAR(92),CHAR(92))),"$",_xlfn.CONCAT(CHAR(92),"$")),CHAR(96),_xlfn.CONCAT(CHAR(92),CHAR(96))),CHAR(34),CHAR(39))))</f>
        <v/>
      </c>
      <c r="U471" s="5">
        <f t="shared" si="15"/>
        <v>0</v>
      </c>
    </row>
    <row r="472" spans="3:21" ht="30" customHeight="1" x14ac:dyDescent="0.2">
      <c r="C472" s="4"/>
      <c r="K472" s="5">
        <f t="shared" si="14"/>
        <v>0</v>
      </c>
      <c r="L472" s="5" t="str">
        <f>IF(OR(TRIM($B472)="",$A472=""),"",IF(OR(ISNUMBER(SEARCH(_xlfn.CONCAT(CHAR(96),CHAR(34)),$A472)),ISNUMBER(SEARCH(_xlfn.CONCAT(CHAR(34),CHAR(39)),$A472))),_xlfn.CONCAT("* REVIEW REQUIRED: compound-quote delimiter in Codebook Section on Sheet 1 row ",472,"; edit the input before running."),_xlfn.CONCAT("char ",TRIM($B472),"[doc_section] ",CHAR(96),CHAR(34),SUBSTITUTE(SUBSTITUTE(SUBSTITUTE(SUBSTITUTE(SUBSTITUTE(SUBSTITUTE($A472,CHAR(13)," "),CHAR(10)," "),CHAR(9)," "),CHAR(92),_xlfn.CONCAT(CHAR(92),CHAR(92))),"$",_xlfn.CONCAT(CHAR(92),"$")),CHAR(96),_xlfn.CONCAT(CHAR(92),CHAR(96))),CHAR(34),CHAR(39))))</f>
        <v/>
      </c>
      <c r="M472" s="5" t="str">
        <f>IF(OR(TRIM($B472)="",$C472=""),"",IF(IFERROR(MATCH(TRIM($C472),{"Quantitative","Continuous","Discrete","Categorical","Nominal","Ordinal","Identifier"},0),0)=0,_xlfn.CONCAT("* REVIEW REQUIRED: invalid Variable Type on Sheet 1 row ",472,"."),_xlfn.CONCAT("char ",TRIM($B472),"[doc_vartype] ",CHAR(96),CHAR(34),SUBSTITUTE(SUBSTITUTE(SUBSTITUTE(SUBSTITUTE(SUBSTITUTE(SUBSTITUTE(LOWER(TRIM($C472)),CHAR(13)," "),CHAR(10)," "),CHAR(9)," "),CHAR(92),_xlfn.CONCAT(CHAR(92),CHAR(92))),"$",_xlfn.CONCAT(CHAR(92),"$")),CHAR(96),_xlfn.CONCAT(CHAR(92),CHAR(96))),CHAR(34),CHAR(39))))</f>
        <v/>
      </c>
      <c r="N472" s="5" t="str">
        <f>IF(OR(TRIM($B472)="",$D472=""),"",IF(OR(ISNUMBER(SEARCH(_xlfn.CONCAT(CHAR(96),CHAR(34)),$D472)),ISNUMBER(SEARCH(_xlfn.CONCAT(CHAR(34),CHAR(39)),$D472))),_xlfn.CONCAT("* REVIEW REQUIRED: compound-quote delimiter in Item Number on Sheet 1 row ",472,"; edit the input before running."),_xlfn.CONCAT("char ",TRIM($B472),"[doc_itemnum] ",CHAR(96),CHAR(34),SUBSTITUTE(SUBSTITUTE(SUBSTITUTE(SUBSTITUTE(SUBSTITUTE(SUBSTITUTE($D472,CHAR(13)," "),CHAR(10)," "),CHAR(9)," "),CHAR(92),_xlfn.CONCAT(CHAR(92),CHAR(92))),"$",_xlfn.CONCAT(CHAR(92),"$")),CHAR(96),_xlfn.CONCAT(CHAR(92),CHAR(96))),CHAR(34),CHAR(39))))</f>
        <v/>
      </c>
      <c r="O472" s="5" t="str">
        <f>IF(OR(TRIM($B472)="",$E472=""),"",IF(OR(ISNUMBER(SEARCH(_xlfn.CONCAT(CHAR(96),CHAR(34)),$E472)),ISNUMBER(SEARCH(_xlfn.CONCAT(CHAR(34),CHAR(39)),$E472))),_xlfn.CONCAT("* REVIEW REQUIRED: compound-quote delimiter in Question Wording on Sheet 1 row ",472,"; edit the input before running."),_xlfn.CONCAT("char ",TRIM($B472),"[doc_question] ",CHAR(96),CHAR(34),SUBSTITUTE(SUBSTITUTE(SUBSTITUTE(SUBSTITUTE(SUBSTITUTE(SUBSTITUTE($E472,CHAR(13)," "),CHAR(10)," "),CHAR(9)," "),CHAR(92),_xlfn.CONCAT(CHAR(92),CHAR(92))),"$",_xlfn.CONCAT(CHAR(92),"$")),CHAR(96),_xlfn.CONCAT(CHAR(92),CHAR(96))),CHAR(34),CHAR(39))))</f>
        <v/>
      </c>
      <c r="P472" s="5" t="str">
        <f>IF(OR(TRIM($B472)="",$F472=""),"",IF(OR(ISNUMBER(SEARCH(_xlfn.CONCAT(CHAR(96),CHAR(34)),$F472)),ISNUMBER(SEARCH(_xlfn.CONCAT(CHAR(34),CHAR(39)),$F472))),_xlfn.CONCAT("* REVIEW REQUIRED: compound-quote delimiter in Units on Sheet 1 row ",472,"; edit the input before running."),_xlfn.CONCAT("char ",TRIM($B472),"[doc_units] ",CHAR(96),CHAR(34),SUBSTITUTE(SUBSTITUTE(SUBSTITUTE(SUBSTITUTE(SUBSTITUTE(SUBSTITUTE($F472,CHAR(13)," "),CHAR(10)," "),CHAR(9)," "),CHAR(92),_xlfn.CONCAT(CHAR(92),CHAR(92))),"$",_xlfn.CONCAT(CHAR(92),"$")),CHAR(96),_xlfn.CONCAT(CHAR(92),CHAR(96))),CHAR(34),CHAR(39))))</f>
        <v/>
      </c>
      <c r="Q472" s="5" t="str">
        <f>IF(OR(TRIM($B472)="",$G472=""),"",IF(OR(ISNUMBER(SEARCH(_xlfn.CONCAT(CHAR(96),CHAR(34)),$G472)),ISNUMBER(SEARCH(_xlfn.CONCAT(CHAR(34),CHAR(39)),$G472))),_xlfn.CONCAT("* REVIEW REQUIRED: compound-quote delimiter in Universe on Sheet 1 row ",472,"; edit the input before running."),_xlfn.CONCAT("char ",TRIM($B472),"[doc_universe] ",CHAR(96),CHAR(34),SUBSTITUTE(SUBSTITUTE(SUBSTITUTE(SUBSTITUTE(SUBSTITUTE(SUBSTITUTE($G472,CHAR(13)," "),CHAR(10)," "),CHAR(9)," "),CHAR(92),_xlfn.CONCAT(CHAR(92),CHAR(92))),"$",_xlfn.CONCAT(CHAR(92),"$")),CHAR(96),_xlfn.CONCAT(CHAR(92),CHAR(96))),CHAR(34),CHAR(39))))</f>
        <v/>
      </c>
      <c r="R472" s="5" t="str">
        <f>IF(OR(TRIM($B472)="",$H472=""),"",IF(OR(ISNUMBER(SEARCH(_xlfn.CONCAT(CHAR(96),CHAR(34)),$H472)),ISNUMBER(SEARCH(_xlfn.CONCAT(CHAR(34),CHAR(39)),$H472))),_xlfn.CONCAT("* REVIEW REQUIRED: compound-quote delimiter in Source on Sheet 1 row ",472,"; edit the input before running."),_xlfn.CONCAT("char ",TRIM($B472),"[doc_source] ",CHAR(96),CHAR(34),SUBSTITUTE(SUBSTITUTE(SUBSTITUTE(SUBSTITUTE(SUBSTITUTE(SUBSTITUTE($H472,CHAR(13)," "),CHAR(10)," "),CHAR(9)," "),CHAR(92),_xlfn.CONCAT(CHAR(92),CHAR(92))),"$",_xlfn.CONCAT(CHAR(92),"$")),CHAR(96),_xlfn.CONCAT(CHAR(92),CHAR(96))),CHAR(34),CHAR(39))))</f>
        <v/>
      </c>
      <c r="S472" s="5" t="str">
        <f>IF(OR(TRIM($B472)="",$I472=""),"",IF(OR(ISNUMBER(SEARCH(_xlfn.CONCAT(CHAR(96),CHAR(34)),$I472)),ISNUMBER(SEARCH(_xlfn.CONCAT(CHAR(34),CHAR(39)),$I472))),_xlfn.CONCAT("* REVIEW REQUIRED: compound-quote delimiter in Derivation on Sheet 1 row ",472,"; edit the input before running."),_xlfn.CONCAT("char ",TRIM($B472),"[doc_derivation] ",CHAR(96),CHAR(34),SUBSTITUTE(SUBSTITUTE(SUBSTITUTE(SUBSTITUTE(SUBSTITUTE(SUBSTITUTE($I472,CHAR(13)," "),CHAR(10)," "),CHAR(9)," "),CHAR(92),_xlfn.CONCAT(CHAR(92),CHAR(92))),"$",_xlfn.CONCAT(CHAR(92),"$")),CHAR(96),_xlfn.CONCAT(CHAR(92),CHAR(96))),CHAR(34),CHAR(39))))</f>
        <v/>
      </c>
      <c r="T472" s="5" t="str">
        <f>IF(OR(TRIM($B472)="",$J472=""),"",IF(OR(ISNUMBER(SEARCH(_xlfn.CONCAT(CHAR(96),CHAR(34)),$J472)),ISNUMBER(SEARCH(_xlfn.CONCAT(CHAR(34),CHAR(39)),$J472))),_xlfn.CONCAT("* REVIEW REQUIRED: compound-quote delimiter in Notes on Sheet 1 row ",472,"; edit the input before running."),_xlfn.CONCAT("char ",TRIM($B472),"[doc_notes] ",CHAR(96),CHAR(34),SUBSTITUTE(SUBSTITUTE(SUBSTITUTE(SUBSTITUTE(SUBSTITUTE(SUBSTITUTE($J472,CHAR(13)," "),CHAR(10)," "),CHAR(9)," "),CHAR(92),_xlfn.CONCAT(CHAR(92),CHAR(92))),"$",_xlfn.CONCAT(CHAR(92),"$")),CHAR(96),_xlfn.CONCAT(CHAR(92),CHAR(96))),CHAR(34),CHAR(39))))</f>
        <v/>
      </c>
      <c r="U472" s="5">
        <f t="shared" si="15"/>
        <v>0</v>
      </c>
    </row>
    <row r="473" spans="3:21" ht="30" customHeight="1" x14ac:dyDescent="0.2">
      <c r="C473" s="4"/>
      <c r="K473" s="5">
        <f t="shared" si="14"/>
        <v>0</v>
      </c>
      <c r="L473" s="5" t="str">
        <f>IF(OR(TRIM($B473)="",$A473=""),"",IF(OR(ISNUMBER(SEARCH(_xlfn.CONCAT(CHAR(96),CHAR(34)),$A473)),ISNUMBER(SEARCH(_xlfn.CONCAT(CHAR(34),CHAR(39)),$A473))),_xlfn.CONCAT("* REVIEW REQUIRED: compound-quote delimiter in Codebook Section on Sheet 1 row ",473,"; edit the input before running."),_xlfn.CONCAT("char ",TRIM($B473),"[doc_section] ",CHAR(96),CHAR(34),SUBSTITUTE(SUBSTITUTE(SUBSTITUTE(SUBSTITUTE(SUBSTITUTE(SUBSTITUTE($A473,CHAR(13)," "),CHAR(10)," "),CHAR(9)," "),CHAR(92),_xlfn.CONCAT(CHAR(92),CHAR(92))),"$",_xlfn.CONCAT(CHAR(92),"$")),CHAR(96),_xlfn.CONCAT(CHAR(92),CHAR(96))),CHAR(34),CHAR(39))))</f>
        <v/>
      </c>
      <c r="M473" s="5" t="str">
        <f>IF(OR(TRIM($B473)="",$C473=""),"",IF(IFERROR(MATCH(TRIM($C473),{"Quantitative","Continuous","Discrete","Categorical","Nominal","Ordinal","Identifier"},0),0)=0,_xlfn.CONCAT("* REVIEW REQUIRED: invalid Variable Type on Sheet 1 row ",473,"."),_xlfn.CONCAT("char ",TRIM($B473),"[doc_vartype] ",CHAR(96),CHAR(34),SUBSTITUTE(SUBSTITUTE(SUBSTITUTE(SUBSTITUTE(SUBSTITUTE(SUBSTITUTE(LOWER(TRIM($C473)),CHAR(13)," "),CHAR(10)," "),CHAR(9)," "),CHAR(92),_xlfn.CONCAT(CHAR(92),CHAR(92))),"$",_xlfn.CONCAT(CHAR(92),"$")),CHAR(96),_xlfn.CONCAT(CHAR(92),CHAR(96))),CHAR(34),CHAR(39))))</f>
        <v/>
      </c>
      <c r="N473" s="5" t="str">
        <f>IF(OR(TRIM($B473)="",$D473=""),"",IF(OR(ISNUMBER(SEARCH(_xlfn.CONCAT(CHAR(96),CHAR(34)),$D473)),ISNUMBER(SEARCH(_xlfn.CONCAT(CHAR(34),CHAR(39)),$D473))),_xlfn.CONCAT("* REVIEW REQUIRED: compound-quote delimiter in Item Number on Sheet 1 row ",473,"; edit the input before running."),_xlfn.CONCAT("char ",TRIM($B473),"[doc_itemnum] ",CHAR(96),CHAR(34),SUBSTITUTE(SUBSTITUTE(SUBSTITUTE(SUBSTITUTE(SUBSTITUTE(SUBSTITUTE($D473,CHAR(13)," "),CHAR(10)," "),CHAR(9)," "),CHAR(92),_xlfn.CONCAT(CHAR(92),CHAR(92))),"$",_xlfn.CONCAT(CHAR(92),"$")),CHAR(96),_xlfn.CONCAT(CHAR(92),CHAR(96))),CHAR(34),CHAR(39))))</f>
        <v/>
      </c>
      <c r="O473" s="5" t="str">
        <f>IF(OR(TRIM($B473)="",$E473=""),"",IF(OR(ISNUMBER(SEARCH(_xlfn.CONCAT(CHAR(96),CHAR(34)),$E473)),ISNUMBER(SEARCH(_xlfn.CONCAT(CHAR(34),CHAR(39)),$E473))),_xlfn.CONCAT("* REVIEW REQUIRED: compound-quote delimiter in Question Wording on Sheet 1 row ",473,"; edit the input before running."),_xlfn.CONCAT("char ",TRIM($B473),"[doc_question] ",CHAR(96),CHAR(34),SUBSTITUTE(SUBSTITUTE(SUBSTITUTE(SUBSTITUTE(SUBSTITUTE(SUBSTITUTE($E473,CHAR(13)," "),CHAR(10)," "),CHAR(9)," "),CHAR(92),_xlfn.CONCAT(CHAR(92),CHAR(92))),"$",_xlfn.CONCAT(CHAR(92),"$")),CHAR(96),_xlfn.CONCAT(CHAR(92),CHAR(96))),CHAR(34),CHAR(39))))</f>
        <v/>
      </c>
      <c r="P473" s="5" t="str">
        <f>IF(OR(TRIM($B473)="",$F473=""),"",IF(OR(ISNUMBER(SEARCH(_xlfn.CONCAT(CHAR(96),CHAR(34)),$F473)),ISNUMBER(SEARCH(_xlfn.CONCAT(CHAR(34),CHAR(39)),$F473))),_xlfn.CONCAT("* REVIEW REQUIRED: compound-quote delimiter in Units on Sheet 1 row ",473,"; edit the input before running."),_xlfn.CONCAT("char ",TRIM($B473),"[doc_units] ",CHAR(96),CHAR(34),SUBSTITUTE(SUBSTITUTE(SUBSTITUTE(SUBSTITUTE(SUBSTITUTE(SUBSTITUTE($F473,CHAR(13)," "),CHAR(10)," "),CHAR(9)," "),CHAR(92),_xlfn.CONCAT(CHAR(92),CHAR(92))),"$",_xlfn.CONCAT(CHAR(92),"$")),CHAR(96),_xlfn.CONCAT(CHAR(92),CHAR(96))),CHAR(34),CHAR(39))))</f>
        <v/>
      </c>
      <c r="Q473" s="5" t="str">
        <f>IF(OR(TRIM($B473)="",$G473=""),"",IF(OR(ISNUMBER(SEARCH(_xlfn.CONCAT(CHAR(96),CHAR(34)),$G473)),ISNUMBER(SEARCH(_xlfn.CONCAT(CHAR(34),CHAR(39)),$G473))),_xlfn.CONCAT("* REVIEW REQUIRED: compound-quote delimiter in Universe on Sheet 1 row ",473,"; edit the input before running."),_xlfn.CONCAT("char ",TRIM($B473),"[doc_universe] ",CHAR(96),CHAR(34),SUBSTITUTE(SUBSTITUTE(SUBSTITUTE(SUBSTITUTE(SUBSTITUTE(SUBSTITUTE($G473,CHAR(13)," "),CHAR(10)," "),CHAR(9)," "),CHAR(92),_xlfn.CONCAT(CHAR(92),CHAR(92))),"$",_xlfn.CONCAT(CHAR(92),"$")),CHAR(96),_xlfn.CONCAT(CHAR(92),CHAR(96))),CHAR(34),CHAR(39))))</f>
        <v/>
      </c>
      <c r="R473" s="5" t="str">
        <f>IF(OR(TRIM($B473)="",$H473=""),"",IF(OR(ISNUMBER(SEARCH(_xlfn.CONCAT(CHAR(96),CHAR(34)),$H473)),ISNUMBER(SEARCH(_xlfn.CONCAT(CHAR(34),CHAR(39)),$H473))),_xlfn.CONCAT("* REVIEW REQUIRED: compound-quote delimiter in Source on Sheet 1 row ",473,"; edit the input before running."),_xlfn.CONCAT("char ",TRIM($B473),"[doc_source] ",CHAR(96),CHAR(34),SUBSTITUTE(SUBSTITUTE(SUBSTITUTE(SUBSTITUTE(SUBSTITUTE(SUBSTITUTE($H473,CHAR(13)," "),CHAR(10)," "),CHAR(9)," "),CHAR(92),_xlfn.CONCAT(CHAR(92),CHAR(92))),"$",_xlfn.CONCAT(CHAR(92),"$")),CHAR(96),_xlfn.CONCAT(CHAR(92),CHAR(96))),CHAR(34),CHAR(39))))</f>
        <v/>
      </c>
      <c r="S473" s="5" t="str">
        <f>IF(OR(TRIM($B473)="",$I473=""),"",IF(OR(ISNUMBER(SEARCH(_xlfn.CONCAT(CHAR(96),CHAR(34)),$I473)),ISNUMBER(SEARCH(_xlfn.CONCAT(CHAR(34),CHAR(39)),$I473))),_xlfn.CONCAT("* REVIEW REQUIRED: compound-quote delimiter in Derivation on Sheet 1 row ",473,"; edit the input before running."),_xlfn.CONCAT("char ",TRIM($B473),"[doc_derivation] ",CHAR(96),CHAR(34),SUBSTITUTE(SUBSTITUTE(SUBSTITUTE(SUBSTITUTE(SUBSTITUTE(SUBSTITUTE($I473,CHAR(13)," "),CHAR(10)," "),CHAR(9)," "),CHAR(92),_xlfn.CONCAT(CHAR(92),CHAR(92))),"$",_xlfn.CONCAT(CHAR(92),"$")),CHAR(96),_xlfn.CONCAT(CHAR(92),CHAR(96))),CHAR(34),CHAR(39))))</f>
        <v/>
      </c>
      <c r="T473" s="5" t="str">
        <f>IF(OR(TRIM($B473)="",$J473=""),"",IF(OR(ISNUMBER(SEARCH(_xlfn.CONCAT(CHAR(96),CHAR(34)),$J473)),ISNUMBER(SEARCH(_xlfn.CONCAT(CHAR(34),CHAR(39)),$J473))),_xlfn.CONCAT("* REVIEW REQUIRED: compound-quote delimiter in Notes on Sheet 1 row ",473,"; edit the input before running."),_xlfn.CONCAT("char ",TRIM($B473),"[doc_notes] ",CHAR(96),CHAR(34),SUBSTITUTE(SUBSTITUTE(SUBSTITUTE(SUBSTITUTE(SUBSTITUTE(SUBSTITUTE($J473,CHAR(13)," "),CHAR(10)," "),CHAR(9)," "),CHAR(92),_xlfn.CONCAT(CHAR(92),CHAR(92))),"$",_xlfn.CONCAT(CHAR(92),"$")),CHAR(96),_xlfn.CONCAT(CHAR(92),CHAR(96))),CHAR(34),CHAR(39))))</f>
        <v/>
      </c>
      <c r="U473" s="5">
        <f t="shared" si="15"/>
        <v>0</v>
      </c>
    </row>
    <row r="474" spans="3:21" ht="30" customHeight="1" x14ac:dyDescent="0.2">
      <c r="C474" s="4"/>
      <c r="K474" s="5">
        <f t="shared" si="14"/>
        <v>0</v>
      </c>
      <c r="L474" s="5" t="str">
        <f>IF(OR(TRIM($B474)="",$A474=""),"",IF(OR(ISNUMBER(SEARCH(_xlfn.CONCAT(CHAR(96),CHAR(34)),$A474)),ISNUMBER(SEARCH(_xlfn.CONCAT(CHAR(34),CHAR(39)),$A474))),_xlfn.CONCAT("* REVIEW REQUIRED: compound-quote delimiter in Codebook Section on Sheet 1 row ",474,"; edit the input before running."),_xlfn.CONCAT("char ",TRIM($B474),"[doc_section] ",CHAR(96),CHAR(34),SUBSTITUTE(SUBSTITUTE(SUBSTITUTE(SUBSTITUTE(SUBSTITUTE(SUBSTITUTE($A474,CHAR(13)," "),CHAR(10)," "),CHAR(9)," "),CHAR(92),_xlfn.CONCAT(CHAR(92),CHAR(92))),"$",_xlfn.CONCAT(CHAR(92),"$")),CHAR(96),_xlfn.CONCAT(CHAR(92),CHAR(96))),CHAR(34),CHAR(39))))</f>
        <v/>
      </c>
      <c r="M474" s="5" t="str">
        <f>IF(OR(TRIM($B474)="",$C474=""),"",IF(IFERROR(MATCH(TRIM($C474),{"Quantitative","Continuous","Discrete","Categorical","Nominal","Ordinal","Identifier"},0),0)=0,_xlfn.CONCAT("* REVIEW REQUIRED: invalid Variable Type on Sheet 1 row ",474,"."),_xlfn.CONCAT("char ",TRIM($B474),"[doc_vartype] ",CHAR(96),CHAR(34),SUBSTITUTE(SUBSTITUTE(SUBSTITUTE(SUBSTITUTE(SUBSTITUTE(SUBSTITUTE(LOWER(TRIM($C474)),CHAR(13)," "),CHAR(10)," "),CHAR(9)," "),CHAR(92),_xlfn.CONCAT(CHAR(92),CHAR(92))),"$",_xlfn.CONCAT(CHAR(92),"$")),CHAR(96),_xlfn.CONCAT(CHAR(92),CHAR(96))),CHAR(34),CHAR(39))))</f>
        <v/>
      </c>
      <c r="N474" s="5" t="str">
        <f>IF(OR(TRIM($B474)="",$D474=""),"",IF(OR(ISNUMBER(SEARCH(_xlfn.CONCAT(CHAR(96),CHAR(34)),$D474)),ISNUMBER(SEARCH(_xlfn.CONCAT(CHAR(34),CHAR(39)),$D474))),_xlfn.CONCAT("* REVIEW REQUIRED: compound-quote delimiter in Item Number on Sheet 1 row ",474,"; edit the input before running."),_xlfn.CONCAT("char ",TRIM($B474),"[doc_itemnum] ",CHAR(96),CHAR(34),SUBSTITUTE(SUBSTITUTE(SUBSTITUTE(SUBSTITUTE(SUBSTITUTE(SUBSTITUTE($D474,CHAR(13)," "),CHAR(10)," "),CHAR(9)," "),CHAR(92),_xlfn.CONCAT(CHAR(92),CHAR(92))),"$",_xlfn.CONCAT(CHAR(92),"$")),CHAR(96),_xlfn.CONCAT(CHAR(92),CHAR(96))),CHAR(34),CHAR(39))))</f>
        <v/>
      </c>
      <c r="O474" s="5" t="str">
        <f>IF(OR(TRIM($B474)="",$E474=""),"",IF(OR(ISNUMBER(SEARCH(_xlfn.CONCAT(CHAR(96),CHAR(34)),$E474)),ISNUMBER(SEARCH(_xlfn.CONCAT(CHAR(34),CHAR(39)),$E474))),_xlfn.CONCAT("* REVIEW REQUIRED: compound-quote delimiter in Question Wording on Sheet 1 row ",474,"; edit the input before running."),_xlfn.CONCAT("char ",TRIM($B474),"[doc_question] ",CHAR(96),CHAR(34),SUBSTITUTE(SUBSTITUTE(SUBSTITUTE(SUBSTITUTE(SUBSTITUTE(SUBSTITUTE($E474,CHAR(13)," "),CHAR(10)," "),CHAR(9)," "),CHAR(92),_xlfn.CONCAT(CHAR(92),CHAR(92))),"$",_xlfn.CONCAT(CHAR(92),"$")),CHAR(96),_xlfn.CONCAT(CHAR(92),CHAR(96))),CHAR(34),CHAR(39))))</f>
        <v/>
      </c>
      <c r="P474" s="5" t="str">
        <f>IF(OR(TRIM($B474)="",$F474=""),"",IF(OR(ISNUMBER(SEARCH(_xlfn.CONCAT(CHAR(96),CHAR(34)),$F474)),ISNUMBER(SEARCH(_xlfn.CONCAT(CHAR(34),CHAR(39)),$F474))),_xlfn.CONCAT("* REVIEW REQUIRED: compound-quote delimiter in Units on Sheet 1 row ",474,"; edit the input before running."),_xlfn.CONCAT("char ",TRIM($B474),"[doc_units] ",CHAR(96),CHAR(34),SUBSTITUTE(SUBSTITUTE(SUBSTITUTE(SUBSTITUTE(SUBSTITUTE(SUBSTITUTE($F474,CHAR(13)," "),CHAR(10)," "),CHAR(9)," "),CHAR(92),_xlfn.CONCAT(CHAR(92),CHAR(92))),"$",_xlfn.CONCAT(CHAR(92),"$")),CHAR(96),_xlfn.CONCAT(CHAR(92),CHAR(96))),CHAR(34),CHAR(39))))</f>
        <v/>
      </c>
      <c r="Q474" s="5" t="str">
        <f>IF(OR(TRIM($B474)="",$G474=""),"",IF(OR(ISNUMBER(SEARCH(_xlfn.CONCAT(CHAR(96),CHAR(34)),$G474)),ISNUMBER(SEARCH(_xlfn.CONCAT(CHAR(34),CHAR(39)),$G474))),_xlfn.CONCAT("* REVIEW REQUIRED: compound-quote delimiter in Universe on Sheet 1 row ",474,"; edit the input before running."),_xlfn.CONCAT("char ",TRIM($B474),"[doc_universe] ",CHAR(96),CHAR(34),SUBSTITUTE(SUBSTITUTE(SUBSTITUTE(SUBSTITUTE(SUBSTITUTE(SUBSTITUTE($G474,CHAR(13)," "),CHAR(10)," "),CHAR(9)," "),CHAR(92),_xlfn.CONCAT(CHAR(92),CHAR(92))),"$",_xlfn.CONCAT(CHAR(92),"$")),CHAR(96),_xlfn.CONCAT(CHAR(92),CHAR(96))),CHAR(34),CHAR(39))))</f>
        <v/>
      </c>
      <c r="R474" s="5" t="str">
        <f>IF(OR(TRIM($B474)="",$H474=""),"",IF(OR(ISNUMBER(SEARCH(_xlfn.CONCAT(CHAR(96),CHAR(34)),$H474)),ISNUMBER(SEARCH(_xlfn.CONCAT(CHAR(34),CHAR(39)),$H474))),_xlfn.CONCAT("* REVIEW REQUIRED: compound-quote delimiter in Source on Sheet 1 row ",474,"; edit the input before running."),_xlfn.CONCAT("char ",TRIM($B474),"[doc_source] ",CHAR(96),CHAR(34),SUBSTITUTE(SUBSTITUTE(SUBSTITUTE(SUBSTITUTE(SUBSTITUTE(SUBSTITUTE($H474,CHAR(13)," "),CHAR(10)," "),CHAR(9)," "),CHAR(92),_xlfn.CONCAT(CHAR(92),CHAR(92))),"$",_xlfn.CONCAT(CHAR(92),"$")),CHAR(96),_xlfn.CONCAT(CHAR(92),CHAR(96))),CHAR(34),CHAR(39))))</f>
        <v/>
      </c>
      <c r="S474" s="5" t="str">
        <f>IF(OR(TRIM($B474)="",$I474=""),"",IF(OR(ISNUMBER(SEARCH(_xlfn.CONCAT(CHAR(96),CHAR(34)),$I474)),ISNUMBER(SEARCH(_xlfn.CONCAT(CHAR(34),CHAR(39)),$I474))),_xlfn.CONCAT("* REVIEW REQUIRED: compound-quote delimiter in Derivation on Sheet 1 row ",474,"; edit the input before running."),_xlfn.CONCAT("char ",TRIM($B474),"[doc_derivation] ",CHAR(96),CHAR(34),SUBSTITUTE(SUBSTITUTE(SUBSTITUTE(SUBSTITUTE(SUBSTITUTE(SUBSTITUTE($I474,CHAR(13)," "),CHAR(10)," "),CHAR(9)," "),CHAR(92),_xlfn.CONCAT(CHAR(92),CHAR(92))),"$",_xlfn.CONCAT(CHAR(92),"$")),CHAR(96),_xlfn.CONCAT(CHAR(92),CHAR(96))),CHAR(34),CHAR(39))))</f>
        <v/>
      </c>
      <c r="T474" s="5" t="str">
        <f>IF(OR(TRIM($B474)="",$J474=""),"",IF(OR(ISNUMBER(SEARCH(_xlfn.CONCAT(CHAR(96),CHAR(34)),$J474)),ISNUMBER(SEARCH(_xlfn.CONCAT(CHAR(34),CHAR(39)),$J474))),_xlfn.CONCAT("* REVIEW REQUIRED: compound-quote delimiter in Notes on Sheet 1 row ",474,"; edit the input before running."),_xlfn.CONCAT("char ",TRIM($B474),"[doc_notes] ",CHAR(96),CHAR(34),SUBSTITUTE(SUBSTITUTE(SUBSTITUTE(SUBSTITUTE(SUBSTITUTE(SUBSTITUTE($J474,CHAR(13)," "),CHAR(10)," "),CHAR(9)," "),CHAR(92),_xlfn.CONCAT(CHAR(92),CHAR(92))),"$",_xlfn.CONCAT(CHAR(92),"$")),CHAR(96),_xlfn.CONCAT(CHAR(92),CHAR(96))),CHAR(34),CHAR(39))))</f>
        <v/>
      </c>
      <c r="U474" s="5">
        <f t="shared" si="15"/>
        <v>0</v>
      </c>
    </row>
    <row r="475" spans="3:21" ht="30" customHeight="1" x14ac:dyDescent="0.2">
      <c r="C475" s="4"/>
      <c r="K475" s="5">
        <f t="shared" si="14"/>
        <v>0</v>
      </c>
      <c r="L475" s="5" t="str">
        <f>IF(OR(TRIM($B475)="",$A475=""),"",IF(OR(ISNUMBER(SEARCH(_xlfn.CONCAT(CHAR(96),CHAR(34)),$A475)),ISNUMBER(SEARCH(_xlfn.CONCAT(CHAR(34),CHAR(39)),$A475))),_xlfn.CONCAT("* REVIEW REQUIRED: compound-quote delimiter in Codebook Section on Sheet 1 row ",475,"; edit the input before running."),_xlfn.CONCAT("char ",TRIM($B475),"[doc_section] ",CHAR(96),CHAR(34),SUBSTITUTE(SUBSTITUTE(SUBSTITUTE(SUBSTITUTE(SUBSTITUTE(SUBSTITUTE($A475,CHAR(13)," "),CHAR(10)," "),CHAR(9)," "),CHAR(92),_xlfn.CONCAT(CHAR(92),CHAR(92))),"$",_xlfn.CONCAT(CHAR(92),"$")),CHAR(96),_xlfn.CONCAT(CHAR(92),CHAR(96))),CHAR(34),CHAR(39))))</f>
        <v/>
      </c>
      <c r="M475" s="5" t="str">
        <f>IF(OR(TRIM($B475)="",$C475=""),"",IF(IFERROR(MATCH(TRIM($C475),{"Quantitative","Continuous","Discrete","Categorical","Nominal","Ordinal","Identifier"},0),0)=0,_xlfn.CONCAT("* REVIEW REQUIRED: invalid Variable Type on Sheet 1 row ",475,"."),_xlfn.CONCAT("char ",TRIM($B475),"[doc_vartype] ",CHAR(96),CHAR(34),SUBSTITUTE(SUBSTITUTE(SUBSTITUTE(SUBSTITUTE(SUBSTITUTE(SUBSTITUTE(LOWER(TRIM($C475)),CHAR(13)," "),CHAR(10)," "),CHAR(9)," "),CHAR(92),_xlfn.CONCAT(CHAR(92),CHAR(92))),"$",_xlfn.CONCAT(CHAR(92),"$")),CHAR(96),_xlfn.CONCAT(CHAR(92),CHAR(96))),CHAR(34),CHAR(39))))</f>
        <v/>
      </c>
      <c r="N475" s="5" t="str">
        <f>IF(OR(TRIM($B475)="",$D475=""),"",IF(OR(ISNUMBER(SEARCH(_xlfn.CONCAT(CHAR(96),CHAR(34)),$D475)),ISNUMBER(SEARCH(_xlfn.CONCAT(CHAR(34),CHAR(39)),$D475))),_xlfn.CONCAT("* REVIEW REQUIRED: compound-quote delimiter in Item Number on Sheet 1 row ",475,"; edit the input before running."),_xlfn.CONCAT("char ",TRIM($B475),"[doc_itemnum] ",CHAR(96),CHAR(34),SUBSTITUTE(SUBSTITUTE(SUBSTITUTE(SUBSTITUTE(SUBSTITUTE(SUBSTITUTE($D475,CHAR(13)," "),CHAR(10)," "),CHAR(9)," "),CHAR(92),_xlfn.CONCAT(CHAR(92),CHAR(92))),"$",_xlfn.CONCAT(CHAR(92),"$")),CHAR(96),_xlfn.CONCAT(CHAR(92),CHAR(96))),CHAR(34),CHAR(39))))</f>
        <v/>
      </c>
      <c r="O475" s="5" t="str">
        <f>IF(OR(TRIM($B475)="",$E475=""),"",IF(OR(ISNUMBER(SEARCH(_xlfn.CONCAT(CHAR(96),CHAR(34)),$E475)),ISNUMBER(SEARCH(_xlfn.CONCAT(CHAR(34),CHAR(39)),$E475))),_xlfn.CONCAT("* REVIEW REQUIRED: compound-quote delimiter in Question Wording on Sheet 1 row ",475,"; edit the input before running."),_xlfn.CONCAT("char ",TRIM($B475),"[doc_question] ",CHAR(96),CHAR(34),SUBSTITUTE(SUBSTITUTE(SUBSTITUTE(SUBSTITUTE(SUBSTITUTE(SUBSTITUTE($E475,CHAR(13)," "),CHAR(10)," "),CHAR(9)," "),CHAR(92),_xlfn.CONCAT(CHAR(92),CHAR(92))),"$",_xlfn.CONCAT(CHAR(92),"$")),CHAR(96),_xlfn.CONCAT(CHAR(92),CHAR(96))),CHAR(34),CHAR(39))))</f>
        <v/>
      </c>
      <c r="P475" s="5" t="str">
        <f>IF(OR(TRIM($B475)="",$F475=""),"",IF(OR(ISNUMBER(SEARCH(_xlfn.CONCAT(CHAR(96),CHAR(34)),$F475)),ISNUMBER(SEARCH(_xlfn.CONCAT(CHAR(34),CHAR(39)),$F475))),_xlfn.CONCAT("* REVIEW REQUIRED: compound-quote delimiter in Units on Sheet 1 row ",475,"; edit the input before running."),_xlfn.CONCAT("char ",TRIM($B475),"[doc_units] ",CHAR(96),CHAR(34),SUBSTITUTE(SUBSTITUTE(SUBSTITUTE(SUBSTITUTE(SUBSTITUTE(SUBSTITUTE($F475,CHAR(13)," "),CHAR(10)," "),CHAR(9)," "),CHAR(92),_xlfn.CONCAT(CHAR(92),CHAR(92))),"$",_xlfn.CONCAT(CHAR(92),"$")),CHAR(96),_xlfn.CONCAT(CHAR(92),CHAR(96))),CHAR(34),CHAR(39))))</f>
        <v/>
      </c>
      <c r="Q475" s="5" t="str">
        <f>IF(OR(TRIM($B475)="",$G475=""),"",IF(OR(ISNUMBER(SEARCH(_xlfn.CONCAT(CHAR(96),CHAR(34)),$G475)),ISNUMBER(SEARCH(_xlfn.CONCAT(CHAR(34),CHAR(39)),$G475))),_xlfn.CONCAT("* REVIEW REQUIRED: compound-quote delimiter in Universe on Sheet 1 row ",475,"; edit the input before running."),_xlfn.CONCAT("char ",TRIM($B475),"[doc_universe] ",CHAR(96),CHAR(34),SUBSTITUTE(SUBSTITUTE(SUBSTITUTE(SUBSTITUTE(SUBSTITUTE(SUBSTITUTE($G475,CHAR(13)," "),CHAR(10)," "),CHAR(9)," "),CHAR(92),_xlfn.CONCAT(CHAR(92),CHAR(92))),"$",_xlfn.CONCAT(CHAR(92),"$")),CHAR(96),_xlfn.CONCAT(CHAR(92),CHAR(96))),CHAR(34),CHAR(39))))</f>
        <v/>
      </c>
      <c r="R475" s="5" t="str">
        <f>IF(OR(TRIM($B475)="",$H475=""),"",IF(OR(ISNUMBER(SEARCH(_xlfn.CONCAT(CHAR(96),CHAR(34)),$H475)),ISNUMBER(SEARCH(_xlfn.CONCAT(CHAR(34),CHAR(39)),$H475))),_xlfn.CONCAT("* REVIEW REQUIRED: compound-quote delimiter in Source on Sheet 1 row ",475,"; edit the input before running."),_xlfn.CONCAT("char ",TRIM($B475),"[doc_source] ",CHAR(96),CHAR(34),SUBSTITUTE(SUBSTITUTE(SUBSTITUTE(SUBSTITUTE(SUBSTITUTE(SUBSTITUTE($H475,CHAR(13)," "),CHAR(10)," "),CHAR(9)," "),CHAR(92),_xlfn.CONCAT(CHAR(92),CHAR(92))),"$",_xlfn.CONCAT(CHAR(92),"$")),CHAR(96),_xlfn.CONCAT(CHAR(92),CHAR(96))),CHAR(34),CHAR(39))))</f>
        <v/>
      </c>
      <c r="S475" s="5" t="str">
        <f>IF(OR(TRIM($B475)="",$I475=""),"",IF(OR(ISNUMBER(SEARCH(_xlfn.CONCAT(CHAR(96),CHAR(34)),$I475)),ISNUMBER(SEARCH(_xlfn.CONCAT(CHAR(34),CHAR(39)),$I475))),_xlfn.CONCAT("* REVIEW REQUIRED: compound-quote delimiter in Derivation on Sheet 1 row ",475,"; edit the input before running."),_xlfn.CONCAT("char ",TRIM($B475),"[doc_derivation] ",CHAR(96),CHAR(34),SUBSTITUTE(SUBSTITUTE(SUBSTITUTE(SUBSTITUTE(SUBSTITUTE(SUBSTITUTE($I475,CHAR(13)," "),CHAR(10)," "),CHAR(9)," "),CHAR(92),_xlfn.CONCAT(CHAR(92),CHAR(92))),"$",_xlfn.CONCAT(CHAR(92),"$")),CHAR(96),_xlfn.CONCAT(CHAR(92),CHAR(96))),CHAR(34),CHAR(39))))</f>
        <v/>
      </c>
      <c r="T475" s="5" t="str">
        <f>IF(OR(TRIM($B475)="",$J475=""),"",IF(OR(ISNUMBER(SEARCH(_xlfn.CONCAT(CHAR(96),CHAR(34)),$J475)),ISNUMBER(SEARCH(_xlfn.CONCAT(CHAR(34),CHAR(39)),$J475))),_xlfn.CONCAT("* REVIEW REQUIRED: compound-quote delimiter in Notes on Sheet 1 row ",475,"; edit the input before running."),_xlfn.CONCAT("char ",TRIM($B475),"[doc_notes] ",CHAR(96),CHAR(34),SUBSTITUTE(SUBSTITUTE(SUBSTITUTE(SUBSTITUTE(SUBSTITUTE(SUBSTITUTE($J475,CHAR(13)," "),CHAR(10)," "),CHAR(9)," "),CHAR(92),_xlfn.CONCAT(CHAR(92),CHAR(92))),"$",_xlfn.CONCAT(CHAR(92),"$")),CHAR(96),_xlfn.CONCAT(CHAR(92),CHAR(96))),CHAR(34),CHAR(39))))</f>
        <v/>
      </c>
      <c r="U475" s="5">
        <f t="shared" si="15"/>
        <v>0</v>
      </c>
    </row>
    <row r="476" spans="3:21" ht="30" customHeight="1" x14ac:dyDescent="0.2">
      <c r="C476" s="4"/>
      <c r="K476" s="5">
        <f t="shared" si="14"/>
        <v>0</v>
      </c>
      <c r="L476" s="5" t="str">
        <f>IF(OR(TRIM($B476)="",$A476=""),"",IF(OR(ISNUMBER(SEARCH(_xlfn.CONCAT(CHAR(96),CHAR(34)),$A476)),ISNUMBER(SEARCH(_xlfn.CONCAT(CHAR(34),CHAR(39)),$A476))),_xlfn.CONCAT("* REVIEW REQUIRED: compound-quote delimiter in Codebook Section on Sheet 1 row ",476,"; edit the input before running."),_xlfn.CONCAT("char ",TRIM($B476),"[doc_section] ",CHAR(96),CHAR(34),SUBSTITUTE(SUBSTITUTE(SUBSTITUTE(SUBSTITUTE(SUBSTITUTE(SUBSTITUTE($A476,CHAR(13)," "),CHAR(10)," "),CHAR(9)," "),CHAR(92),_xlfn.CONCAT(CHAR(92),CHAR(92))),"$",_xlfn.CONCAT(CHAR(92),"$")),CHAR(96),_xlfn.CONCAT(CHAR(92),CHAR(96))),CHAR(34),CHAR(39))))</f>
        <v/>
      </c>
      <c r="M476" s="5" t="str">
        <f>IF(OR(TRIM($B476)="",$C476=""),"",IF(IFERROR(MATCH(TRIM($C476),{"Quantitative","Continuous","Discrete","Categorical","Nominal","Ordinal","Identifier"},0),0)=0,_xlfn.CONCAT("* REVIEW REQUIRED: invalid Variable Type on Sheet 1 row ",476,"."),_xlfn.CONCAT("char ",TRIM($B476),"[doc_vartype] ",CHAR(96),CHAR(34),SUBSTITUTE(SUBSTITUTE(SUBSTITUTE(SUBSTITUTE(SUBSTITUTE(SUBSTITUTE(LOWER(TRIM($C476)),CHAR(13)," "),CHAR(10)," "),CHAR(9)," "),CHAR(92),_xlfn.CONCAT(CHAR(92),CHAR(92))),"$",_xlfn.CONCAT(CHAR(92),"$")),CHAR(96),_xlfn.CONCAT(CHAR(92),CHAR(96))),CHAR(34),CHAR(39))))</f>
        <v/>
      </c>
      <c r="N476" s="5" t="str">
        <f>IF(OR(TRIM($B476)="",$D476=""),"",IF(OR(ISNUMBER(SEARCH(_xlfn.CONCAT(CHAR(96),CHAR(34)),$D476)),ISNUMBER(SEARCH(_xlfn.CONCAT(CHAR(34),CHAR(39)),$D476))),_xlfn.CONCAT("* REVIEW REQUIRED: compound-quote delimiter in Item Number on Sheet 1 row ",476,"; edit the input before running."),_xlfn.CONCAT("char ",TRIM($B476),"[doc_itemnum] ",CHAR(96),CHAR(34),SUBSTITUTE(SUBSTITUTE(SUBSTITUTE(SUBSTITUTE(SUBSTITUTE(SUBSTITUTE($D476,CHAR(13)," "),CHAR(10)," "),CHAR(9)," "),CHAR(92),_xlfn.CONCAT(CHAR(92),CHAR(92))),"$",_xlfn.CONCAT(CHAR(92),"$")),CHAR(96),_xlfn.CONCAT(CHAR(92),CHAR(96))),CHAR(34),CHAR(39))))</f>
        <v/>
      </c>
      <c r="O476" s="5" t="str">
        <f>IF(OR(TRIM($B476)="",$E476=""),"",IF(OR(ISNUMBER(SEARCH(_xlfn.CONCAT(CHAR(96),CHAR(34)),$E476)),ISNUMBER(SEARCH(_xlfn.CONCAT(CHAR(34),CHAR(39)),$E476))),_xlfn.CONCAT("* REVIEW REQUIRED: compound-quote delimiter in Question Wording on Sheet 1 row ",476,"; edit the input before running."),_xlfn.CONCAT("char ",TRIM($B476),"[doc_question] ",CHAR(96),CHAR(34),SUBSTITUTE(SUBSTITUTE(SUBSTITUTE(SUBSTITUTE(SUBSTITUTE(SUBSTITUTE($E476,CHAR(13)," "),CHAR(10)," "),CHAR(9)," "),CHAR(92),_xlfn.CONCAT(CHAR(92),CHAR(92))),"$",_xlfn.CONCAT(CHAR(92),"$")),CHAR(96),_xlfn.CONCAT(CHAR(92),CHAR(96))),CHAR(34),CHAR(39))))</f>
        <v/>
      </c>
      <c r="P476" s="5" t="str">
        <f>IF(OR(TRIM($B476)="",$F476=""),"",IF(OR(ISNUMBER(SEARCH(_xlfn.CONCAT(CHAR(96),CHAR(34)),$F476)),ISNUMBER(SEARCH(_xlfn.CONCAT(CHAR(34),CHAR(39)),$F476))),_xlfn.CONCAT("* REVIEW REQUIRED: compound-quote delimiter in Units on Sheet 1 row ",476,"; edit the input before running."),_xlfn.CONCAT("char ",TRIM($B476),"[doc_units] ",CHAR(96),CHAR(34),SUBSTITUTE(SUBSTITUTE(SUBSTITUTE(SUBSTITUTE(SUBSTITUTE(SUBSTITUTE($F476,CHAR(13)," "),CHAR(10)," "),CHAR(9)," "),CHAR(92),_xlfn.CONCAT(CHAR(92),CHAR(92))),"$",_xlfn.CONCAT(CHAR(92),"$")),CHAR(96),_xlfn.CONCAT(CHAR(92),CHAR(96))),CHAR(34),CHAR(39))))</f>
        <v/>
      </c>
      <c r="Q476" s="5" t="str">
        <f>IF(OR(TRIM($B476)="",$G476=""),"",IF(OR(ISNUMBER(SEARCH(_xlfn.CONCAT(CHAR(96),CHAR(34)),$G476)),ISNUMBER(SEARCH(_xlfn.CONCAT(CHAR(34),CHAR(39)),$G476))),_xlfn.CONCAT("* REVIEW REQUIRED: compound-quote delimiter in Universe on Sheet 1 row ",476,"; edit the input before running."),_xlfn.CONCAT("char ",TRIM($B476),"[doc_universe] ",CHAR(96),CHAR(34),SUBSTITUTE(SUBSTITUTE(SUBSTITUTE(SUBSTITUTE(SUBSTITUTE(SUBSTITUTE($G476,CHAR(13)," "),CHAR(10)," "),CHAR(9)," "),CHAR(92),_xlfn.CONCAT(CHAR(92),CHAR(92))),"$",_xlfn.CONCAT(CHAR(92),"$")),CHAR(96),_xlfn.CONCAT(CHAR(92),CHAR(96))),CHAR(34),CHAR(39))))</f>
        <v/>
      </c>
      <c r="R476" s="5" t="str">
        <f>IF(OR(TRIM($B476)="",$H476=""),"",IF(OR(ISNUMBER(SEARCH(_xlfn.CONCAT(CHAR(96),CHAR(34)),$H476)),ISNUMBER(SEARCH(_xlfn.CONCAT(CHAR(34),CHAR(39)),$H476))),_xlfn.CONCAT("* REVIEW REQUIRED: compound-quote delimiter in Source on Sheet 1 row ",476,"; edit the input before running."),_xlfn.CONCAT("char ",TRIM($B476),"[doc_source] ",CHAR(96),CHAR(34),SUBSTITUTE(SUBSTITUTE(SUBSTITUTE(SUBSTITUTE(SUBSTITUTE(SUBSTITUTE($H476,CHAR(13)," "),CHAR(10)," "),CHAR(9)," "),CHAR(92),_xlfn.CONCAT(CHAR(92),CHAR(92))),"$",_xlfn.CONCAT(CHAR(92),"$")),CHAR(96),_xlfn.CONCAT(CHAR(92),CHAR(96))),CHAR(34),CHAR(39))))</f>
        <v/>
      </c>
      <c r="S476" s="5" t="str">
        <f>IF(OR(TRIM($B476)="",$I476=""),"",IF(OR(ISNUMBER(SEARCH(_xlfn.CONCAT(CHAR(96),CHAR(34)),$I476)),ISNUMBER(SEARCH(_xlfn.CONCAT(CHAR(34),CHAR(39)),$I476))),_xlfn.CONCAT("* REVIEW REQUIRED: compound-quote delimiter in Derivation on Sheet 1 row ",476,"; edit the input before running."),_xlfn.CONCAT("char ",TRIM($B476),"[doc_derivation] ",CHAR(96),CHAR(34),SUBSTITUTE(SUBSTITUTE(SUBSTITUTE(SUBSTITUTE(SUBSTITUTE(SUBSTITUTE($I476,CHAR(13)," "),CHAR(10)," "),CHAR(9)," "),CHAR(92),_xlfn.CONCAT(CHAR(92),CHAR(92))),"$",_xlfn.CONCAT(CHAR(92),"$")),CHAR(96),_xlfn.CONCAT(CHAR(92),CHAR(96))),CHAR(34),CHAR(39))))</f>
        <v/>
      </c>
      <c r="T476" s="5" t="str">
        <f>IF(OR(TRIM($B476)="",$J476=""),"",IF(OR(ISNUMBER(SEARCH(_xlfn.CONCAT(CHAR(96),CHAR(34)),$J476)),ISNUMBER(SEARCH(_xlfn.CONCAT(CHAR(34),CHAR(39)),$J476))),_xlfn.CONCAT("* REVIEW REQUIRED: compound-quote delimiter in Notes on Sheet 1 row ",476,"; edit the input before running."),_xlfn.CONCAT("char ",TRIM($B476),"[doc_notes] ",CHAR(96),CHAR(34),SUBSTITUTE(SUBSTITUTE(SUBSTITUTE(SUBSTITUTE(SUBSTITUTE(SUBSTITUTE($J476,CHAR(13)," "),CHAR(10)," "),CHAR(9)," "),CHAR(92),_xlfn.CONCAT(CHAR(92),CHAR(92))),"$",_xlfn.CONCAT(CHAR(92),"$")),CHAR(96),_xlfn.CONCAT(CHAR(92),CHAR(96))),CHAR(34),CHAR(39))))</f>
        <v/>
      </c>
      <c r="U476" s="5">
        <f t="shared" si="15"/>
        <v>0</v>
      </c>
    </row>
    <row r="477" spans="3:21" ht="30" customHeight="1" x14ac:dyDescent="0.2">
      <c r="C477" s="4"/>
      <c r="K477" s="5">
        <f t="shared" si="14"/>
        <v>0</v>
      </c>
      <c r="L477" s="5" t="str">
        <f>IF(OR(TRIM($B477)="",$A477=""),"",IF(OR(ISNUMBER(SEARCH(_xlfn.CONCAT(CHAR(96),CHAR(34)),$A477)),ISNUMBER(SEARCH(_xlfn.CONCAT(CHAR(34),CHAR(39)),$A477))),_xlfn.CONCAT("* REVIEW REQUIRED: compound-quote delimiter in Codebook Section on Sheet 1 row ",477,"; edit the input before running."),_xlfn.CONCAT("char ",TRIM($B477),"[doc_section] ",CHAR(96),CHAR(34),SUBSTITUTE(SUBSTITUTE(SUBSTITUTE(SUBSTITUTE(SUBSTITUTE(SUBSTITUTE($A477,CHAR(13)," "),CHAR(10)," "),CHAR(9)," "),CHAR(92),_xlfn.CONCAT(CHAR(92),CHAR(92))),"$",_xlfn.CONCAT(CHAR(92),"$")),CHAR(96),_xlfn.CONCAT(CHAR(92),CHAR(96))),CHAR(34),CHAR(39))))</f>
        <v/>
      </c>
      <c r="M477" s="5" t="str">
        <f>IF(OR(TRIM($B477)="",$C477=""),"",IF(IFERROR(MATCH(TRIM($C477),{"Quantitative","Continuous","Discrete","Categorical","Nominal","Ordinal","Identifier"},0),0)=0,_xlfn.CONCAT("* REVIEW REQUIRED: invalid Variable Type on Sheet 1 row ",477,"."),_xlfn.CONCAT("char ",TRIM($B477),"[doc_vartype] ",CHAR(96),CHAR(34),SUBSTITUTE(SUBSTITUTE(SUBSTITUTE(SUBSTITUTE(SUBSTITUTE(SUBSTITUTE(LOWER(TRIM($C477)),CHAR(13)," "),CHAR(10)," "),CHAR(9)," "),CHAR(92),_xlfn.CONCAT(CHAR(92),CHAR(92))),"$",_xlfn.CONCAT(CHAR(92),"$")),CHAR(96),_xlfn.CONCAT(CHAR(92),CHAR(96))),CHAR(34),CHAR(39))))</f>
        <v/>
      </c>
      <c r="N477" s="5" t="str">
        <f>IF(OR(TRIM($B477)="",$D477=""),"",IF(OR(ISNUMBER(SEARCH(_xlfn.CONCAT(CHAR(96),CHAR(34)),$D477)),ISNUMBER(SEARCH(_xlfn.CONCAT(CHAR(34),CHAR(39)),$D477))),_xlfn.CONCAT("* REVIEW REQUIRED: compound-quote delimiter in Item Number on Sheet 1 row ",477,"; edit the input before running."),_xlfn.CONCAT("char ",TRIM($B477),"[doc_itemnum] ",CHAR(96),CHAR(34),SUBSTITUTE(SUBSTITUTE(SUBSTITUTE(SUBSTITUTE(SUBSTITUTE(SUBSTITUTE($D477,CHAR(13)," "),CHAR(10)," "),CHAR(9)," "),CHAR(92),_xlfn.CONCAT(CHAR(92),CHAR(92))),"$",_xlfn.CONCAT(CHAR(92),"$")),CHAR(96),_xlfn.CONCAT(CHAR(92),CHAR(96))),CHAR(34),CHAR(39))))</f>
        <v/>
      </c>
      <c r="O477" s="5" t="str">
        <f>IF(OR(TRIM($B477)="",$E477=""),"",IF(OR(ISNUMBER(SEARCH(_xlfn.CONCAT(CHAR(96),CHAR(34)),$E477)),ISNUMBER(SEARCH(_xlfn.CONCAT(CHAR(34),CHAR(39)),$E477))),_xlfn.CONCAT("* REVIEW REQUIRED: compound-quote delimiter in Question Wording on Sheet 1 row ",477,"; edit the input before running."),_xlfn.CONCAT("char ",TRIM($B477),"[doc_question] ",CHAR(96),CHAR(34),SUBSTITUTE(SUBSTITUTE(SUBSTITUTE(SUBSTITUTE(SUBSTITUTE(SUBSTITUTE($E477,CHAR(13)," "),CHAR(10)," "),CHAR(9)," "),CHAR(92),_xlfn.CONCAT(CHAR(92),CHAR(92))),"$",_xlfn.CONCAT(CHAR(92),"$")),CHAR(96),_xlfn.CONCAT(CHAR(92),CHAR(96))),CHAR(34),CHAR(39))))</f>
        <v/>
      </c>
      <c r="P477" s="5" t="str">
        <f>IF(OR(TRIM($B477)="",$F477=""),"",IF(OR(ISNUMBER(SEARCH(_xlfn.CONCAT(CHAR(96),CHAR(34)),$F477)),ISNUMBER(SEARCH(_xlfn.CONCAT(CHAR(34),CHAR(39)),$F477))),_xlfn.CONCAT("* REVIEW REQUIRED: compound-quote delimiter in Units on Sheet 1 row ",477,"; edit the input before running."),_xlfn.CONCAT("char ",TRIM($B477),"[doc_units] ",CHAR(96),CHAR(34),SUBSTITUTE(SUBSTITUTE(SUBSTITUTE(SUBSTITUTE(SUBSTITUTE(SUBSTITUTE($F477,CHAR(13)," "),CHAR(10)," "),CHAR(9)," "),CHAR(92),_xlfn.CONCAT(CHAR(92),CHAR(92))),"$",_xlfn.CONCAT(CHAR(92),"$")),CHAR(96),_xlfn.CONCAT(CHAR(92),CHAR(96))),CHAR(34),CHAR(39))))</f>
        <v/>
      </c>
      <c r="Q477" s="5" t="str">
        <f>IF(OR(TRIM($B477)="",$G477=""),"",IF(OR(ISNUMBER(SEARCH(_xlfn.CONCAT(CHAR(96),CHAR(34)),$G477)),ISNUMBER(SEARCH(_xlfn.CONCAT(CHAR(34),CHAR(39)),$G477))),_xlfn.CONCAT("* REVIEW REQUIRED: compound-quote delimiter in Universe on Sheet 1 row ",477,"; edit the input before running."),_xlfn.CONCAT("char ",TRIM($B477),"[doc_universe] ",CHAR(96),CHAR(34),SUBSTITUTE(SUBSTITUTE(SUBSTITUTE(SUBSTITUTE(SUBSTITUTE(SUBSTITUTE($G477,CHAR(13)," "),CHAR(10)," "),CHAR(9)," "),CHAR(92),_xlfn.CONCAT(CHAR(92),CHAR(92))),"$",_xlfn.CONCAT(CHAR(92),"$")),CHAR(96),_xlfn.CONCAT(CHAR(92),CHAR(96))),CHAR(34),CHAR(39))))</f>
        <v/>
      </c>
      <c r="R477" s="5" t="str">
        <f>IF(OR(TRIM($B477)="",$H477=""),"",IF(OR(ISNUMBER(SEARCH(_xlfn.CONCAT(CHAR(96),CHAR(34)),$H477)),ISNUMBER(SEARCH(_xlfn.CONCAT(CHAR(34),CHAR(39)),$H477))),_xlfn.CONCAT("* REVIEW REQUIRED: compound-quote delimiter in Source on Sheet 1 row ",477,"; edit the input before running."),_xlfn.CONCAT("char ",TRIM($B477),"[doc_source] ",CHAR(96),CHAR(34),SUBSTITUTE(SUBSTITUTE(SUBSTITUTE(SUBSTITUTE(SUBSTITUTE(SUBSTITUTE($H477,CHAR(13)," "),CHAR(10)," "),CHAR(9)," "),CHAR(92),_xlfn.CONCAT(CHAR(92),CHAR(92))),"$",_xlfn.CONCAT(CHAR(92),"$")),CHAR(96),_xlfn.CONCAT(CHAR(92),CHAR(96))),CHAR(34),CHAR(39))))</f>
        <v/>
      </c>
      <c r="S477" s="5" t="str">
        <f>IF(OR(TRIM($B477)="",$I477=""),"",IF(OR(ISNUMBER(SEARCH(_xlfn.CONCAT(CHAR(96),CHAR(34)),$I477)),ISNUMBER(SEARCH(_xlfn.CONCAT(CHAR(34),CHAR(39)),$I477))),_xlfn.CONCAT("* REVIEW REQUIRED: compound-quote delimiter in Derivation on Sheet 1 row ",477,"; edit the input before running."),_xlfn.CONCAT("char ",TRIM($B477),"[doc_derivation] ",CHAR(96),CHAR(34),SUBSTITUTE(SUBSTITUTE(SUBSTITUTE(SUBSTITUTE(SUBSTITUTE(SUBSTITUTE($I477,CHAR(13)," "),CHAR(10)," "),CHAR(9)," "),CHAR(92),_xlfn.CONCAT(CHAR(92),CHAR(92))),"$",_xlfn.CONCAT(CHAR(92),"$")),CHAR(96),_xlfn.CONCAT(CHAR(92),CHAR(96))),CHAR(34),CHAR(39))))</f>
        <v/>
      </c>
      <c r="T477" s="5" t="str">
        <f>IF(OR(TRIM($B477)="",$J477=""),"",IF(OR(ISNUMBER(SEARCH(_xlfn.CONCAT(CHAR(96),CHAR(34)),$J477)),ISNUMBER(SEARCH(_xlfn.CONCAT(CHAR(34),CHAR(39)),$J477))),_xlfn.CONCAT("* REVIEW REQUIRED: compound-quote delimiter in Notes on Sheet 1 row ",477,"; edit the input before running."),_xlfn.CONCAT("char ",TRIM($B477),"[doc_notes] ",CHAR(96),CHAR(34),SUBSTITUTE(SUBSTITUTE(SUBSTITUTE(SUBSTITUTE(SUBSTITUTE(SUBSTITUTE($J477,CHAR(13)," "),CHAR(10)," "),CHAR(9)," "),CHAR(92),_xlfn.CONCAT(CHAR(92),CHAR(92))),"$",_xlfn.CONCAT(CHAR(92),"$")),CHAR(96),_xlfn.CONCAT(CHAR(92),CHAR(96))),CHAR(34),CHAR(39))))</f>
        <v/>
      </c>
      <c r="U477" s="5">
        <f t="shared" si="15"/>
        <v>0</v>
      </c>
    </row>
    <row r="478" spans="3:21" ht="30" customHeight="1" x14ac:dyDescent="0.2">
      <c r="C478" s="4"/>
      <c r="K478" s="5">
        <f t="shared" si="14"/>
        <v>0</v>
      </c>
      <c r="L478" s="5" t="str">
        <f>IF(OR(TRIM($B478)="",$A478=""),"",IF(OR(ISNUMBER(SEARCH(_xlfn.CONCAT(CHAR(96),CHAR(34)),$A478)),ISNUMBER(SEARCH(_xlfn.CONCAT(CHAR(34),CHAR(39)),$A478))),_xlfn.CONCAT("* REVIEW REQUIRED: compound-quote delimiter in Codebook Section on Sheet 1 row ",478,"; edit the input before running."),_xlfn.CONCAT("char ",TRIM($B478),"[doc_section] ",CHAR(96),CHAR(34),SUBSTITUTE(SUBSTITUTE(SUBSTITUTE(SUBSTITUTE(SUBSTITUTE(SUBSTITUTE($A478,CHAR(13)," "),CHAR(10)," "),CHAR(9)," "),CHAR(92),_xlfn.CONCAT(CHAR(92),CHAR(92))),"$",_xlfn.CONCAT(CHAR(92),"$")),CHAR(96),_xlfn.CONCAT(CHAR(92),CHAR(96))),CHAR(34),CHAR(39))))</f>
        <v/>
      </c>
      <c r="M478" s="5" t="str">
        <f>IF(OR(TRIM($B478)="",$C478=""),"",IF(IFERROR(MATCH(TRIM($C478),{"Quantitative","Continuous","Discrete","Categorical","Nominal","Ordinal","Identifier"},0),0)=0,_xlfn.CONCAT("* REVIEW REQUIRED: invalid Variable Type on Sheet 1 row ",478,"."),_xlfn.CONCAT("char ",TRIM($B478),"[doc_vartype] ",CHAR(96),CHAR(34),SUBSTITUTE(SUBSTITUTE(SUBSTITUTE(SUBSTITUTE(SUBSTITUTE(SUBSTITUTE(LOWER(TRIM($C478)),CHAR(13)," "),CHAR(10)," "),CHAR(9)," "),CHAR(92),_xlfn.CONCAT(CHAR(92),CHAR(92))),"$",_xlfn.CONCAT(CHAR(92),"$")),CHAR(96),_xlfn.CONCAT(CHAR(92),CHAR(96))),CHAR(34),CHAR(39))))</f>
        <v/>
      </c>
      <c r="N478" s="5" t="str">
        <f>IF(OR(TRIM($B478)="",$D478=""),"",IF(OR(ISNUMBER(SEARCH(_xlfn.CONCAT(CHAR(96),CHAR(34)),$D478)),ISNUMBER(SEARCH(_xlfn.CONCAT(CHAR(34),CHAR(39)),$D478))),_xlfn.CONCAT("* REVIEW REQUIRED: compound-quote delimiter in Item Number on Sheet 1 row ",478,"; edit the input before running."),_xlfn.CONCAT("char ",TRIM($B478),"[doc_itemnum] ",CHAR(96),CHAR(34),SUBSTITUTE(SUBSTITUTE(SUBSTITUTE(SUBSTITUTE(SUBSTITUTE(SUBSTITUTE($D478,CHAR(13)," "),CHAR(10)," "),CHAR(9)," "),CHAR(92),_xlfn.CONCAT(CHAR(92),CHAR(92))),"$",_xlfn.CONCAT(CHAR(92),"$")),CHAR(96),_xlfn.CONCAT(CHAR(92),CHAR(96))),CHAR(34),CHAR(39))))</f>
        <v/>
      </c>
      <c r="O478" s="5" t="str">
        <f>IF(OR(TRIM($B478)="",$E478=""),"",IF(OR(ISNUMBER(SEARCH(_xlfn.CONCAT(CHAR(96),CHAR(34)),$E478)),ISNUMBER(SEARCH(_xlfn.CONCAT(CHAR(34),CHAR(39)),$E478))),_xlfn.CONCAT("* REVIEW REQUIRED: compound-quote delimiter in Question Wording on Sheet 1 row ",478,"; edit the input before running."),_xlfn.CONCAT("char ",TRIM($B478),"[doc_question] ",CHAR(96),CHAR(34),SUBSTITUTE(SUBSTITUTE(SUBSTITUTE(SUBSTITUTE(SUBSTITUTE(SUBSTITUTE($E478,CHAR(13)," "),CHAR(10)," "),CHAR(9)," "),CHAR(92),_xlfn.CONCAT(CHAR(92),CHAR(92))),"$",_xlfn.CONCAT(CHAR(92),"$")),CHAR(96),_xlfn.CONCAT(CHAR(92),CHAR(96))),CHAR(34),CHAR(39))))</f>
        <v/>
      </c>
      <c r="P478" s="5" t="str">
        <f>IF(OR(TRIM($B478)="",$F478=""),"",IF(OR(ISNUMBER(SEARCH(_xlfn.CONCAT(CHAR(96),CHAR(34)),$F478)),ISNUMBER(SEARCH(_xlfn.CONCAT(CHAR(34),CHAR(39)),$F478))),_xlfn.CONCAT("* REVIEW REQUIRED: compound-quote delimiter in Units on Sheet 1 row ",478,"; edit the input before running."),_xlfn.CONCAT("char ",TRIM($B478),"[doc_units] ",CHAR(96),CHAR(34),SUBSTITUTE(SUBSTITUTE(SUBSTITUTE(SUBSTITUTE(SUBSTITUTE(SUBSTITUTE($F478,CHAR(13)," "),CHAR(10)," "),CHAR(9)," "),CHAR(92),_xlfn.CONCAT(CHAR(92),CHAR(92))),"$",_xlfn.CONCAT(CHAR(92),"$")),CHAR(96),_xlfn.CONCAT(CHAR(92),CHAR(96))),CHAR(34),CHAR(39))))</f>
        <v/>
      </c>
      <c r="Q478" s="5" t="str">
        <f>IF(OR(TRIM($B478)="",$G478=""),"",IF(OR(ISNUMBER(SEARCH(_xlfn.CONCAT(CHAR(96),CHAR(34)),$G478)),ISNUMBER(SEARCH(_xlfn.CONCAT(CHAR(34),CHAR(39)),$G478))),_xlfn.CONCAT("* REVIEW REQUIRED: compound-quote delimiter in Universe on Sheet 1 row ",478,"; edit the input before running."),_xlfn.CONCAT("char ",TRIM($B478),"[doc_universe] ",CHAR(96),CHAR(34),SUBSTITUTE(SUBSTITUTE(SUBSTITUTE(SUBSTITUTE(SUBSTITUTE(SUBSTITUTE($G478,CHAR(13)," "),CHAR(10)," "),CHAR(9)," "),CHAR(92),_xlfn.CONCAT(CHAR(92),CHAR(92))),"$",_xlfn.CONCAT(CHAR(92),"$")),CHAR(96),_xlfn.CONCAT(CHAR(92),CHAR(96))),CHAR(34),CHAR(39))))</f>
        <v/>
      </c>
      <c r="R478" s="5" t="str">
        <f>IF(OR(TRIM($B478)="",$H478=""),"",IF(OR(ISNUMBER(SEARCH(_xlfn.CONCAT(CHAR(96),CHAR(34)),$H478)),ISNUMBER(SEARCH(_xlfn.CONCAT(CHAR(34),CHAR(39)),$H478))),_xlfn.CONCAT("* REVIEW REQUIRED: compound-quote delimiter in Source on Sheet 1 row ",478,"; edit the input before running."),_xlfn.CONCAT("char ",TRIM($B478),"[doc_source] ",CHAR(96),CHAR(34),SUBSTITUTE(SUBSTITUTE(SUBSTITUTE(SUBSTITUTE(SUBSTITUTE(SUBSTITUTE($H478,CHAR(13)," "),CHAR(10)," "),CHAR(9)," "),CHAR(92),_xlfn.CONCAT(CHAR(92),CHAR(92))),"$",_xlfn.CONCAT(CHAR(92),"$")),CHAR(96),_xlfn.CONCAT(CHAR(92),CHAR(96))),CHAR(34),CHAR(39))))</f>
        <v/>
      </c>
      <c r="S478" s="5" t="str">
        <f>IF(OR(TRIM($B478)="",$I478=""),"",IF(OR(ISNUMBER(SEARCH(_xlfn.CONCAT(CHAR(96),CHAR(34)),$I478)),ISNUMBER(SEARCH(_xlfn.CONCAT(CHAR(34),CHAR(39)),$I478))),_xlfn.CONCAT("* REVIEW REQUIRED: compound-quote delimiter in Derivation on Sheet 1 row ",478,"; edit the input before running."),_xlfn.CONCAT("char ",TRIM($B478),"[doc_derivation] ",CHAR(96),CHAR(34),SUBSTITUTE(SUBSTITUTE(SUBSTITUTE(SUBSTITUTE(SUBSTITUTE(SUBSTITUTE($I478,CHAR(13)," "),CHAR(10)," "),CHAR(9)," "),CHAR(92),_xlfn.CONCAT(CHAR(92),CHAR(92))),"$",_xlfn.CONCAT(CHAR(92),"$")),CHAR(96),_xlfn.CONCAT(CHAR(92),CHAR(96))),CHAR(34),CHAR(39))))</f>
        <v/>
      </c>
      <c r="T478" s="5" t="str">
        <f>IF(OR(TRIM($B478)="",$J478=""),"",IF(OR(ISNUMBER(SEARCH(_xlfn.CONCAT(CHAR(96),CHAR(34)),$J478)),ISNUMBER(SEARCH(_xlfn.CONCAT(CHAR(34),CHAR(39)),$J478))),_xlfn.CONCAT("* REVIEW REQUIRED: compound-quote delimiter in Notes on Sheet 1 row ",478,"; edit the input before running."),_xlfn.CONCAT("char ",TRIM($B478),"[doc_notes] ",CHAR(96),CHAR(34),SUBSTITUTE(SUBSTITUTE(SUBSTITUTE(SUBSTITUTE(SUBSTITUTE(SUBSTITUTE($J478,CHAR(13)," "),CHAR(10)," "),CHAR(9)," "),CHAR(92),_xlfn.CONCAT(CHAR(92),CHAR(92))),"$",_xlfn.CONCAT(CHAR(92),"$")),CHAR(96),_xlfn.CONCAT(CHAR(92),CHAR(96))),CHAR(34),CHAR(39))))</f>
        <v/>
      </c>
      <c r="U478" s="5">
        <f t="shared" si="15"/>
        <v>0</v>
      </c>
    </row>
    <row r="479" spans="3:21" ht="30" customHeight="1" x14ac:dyDescent="0.2">
      <c r="C479" s="4"/>
      <c r="K479" s="5">
        <f t="shared" si="14"/>
        <v>0</v>
      </c>
      <c r="L479" s="5" t="str">
        <f>IF(OR(TRIM($B479)="",$A479=""),"",IF(OR(ISNUMBER(SEARCH(_xlfn.CONCAT(CHAR(96),CHAR(34)),$A479)),ISNUMBER(SEARCH(_xlfn.CONCAT(CHAR(34),CHAR(39)),$A479))),_xlfn.CONCAT("* REVIEW REQUIRED: compound-quote delimiter in Codebook Section on Sheet 1 row ",479,"; edit the input before running."),_xlfn.CONCAT("char ",TRIM($B479),"[doc_section] ",CHAR(96),CHAR(34),SUBSTITUTE(SUBSTITUTE(SUBSTITUTE(SUBSTITUTE(SUBSTITUTE(SUBSTITUTE($A479,CHAR(13)," "),CHAR(10)," "),CHAR(9)," "),CHAR(92),_xlfn.CONCAT(CHAR(92),CHAR(92))),"$",_xlfn.CONCAT(CHAR(92),"$")),CHAR(96),_xlfn.CONCAT(CHAR(92),CHAR(96))),CHAR(34),CHAR(39))))</f>
        <v/>
      </c>
      <c r="M479" s="5" t="str">
        <f>IF(OR(TRIM($B479)="",$C479=""),"",IF(IFERROR(MATCH(TRIM($C479),{"Quantitative","Continuous","Discrete","Categorical","Nominal","Ordinal","Identifier"},0),0)=0,_xlfn.CONCAT("* REVIEW REQUIRED: invalid Variable Type on Sheet 1 row ",479,"."),_xlfn.CONCAT("char ",TRIM($B479),"[doc_vartype] ",CHAR(96),CHAR(34),SUBSTITUTE(SUBSTITUTE(SUBSTITUTE(SUBSTITUTE(SUBSTITUTE(SUBSTITUTE(LOWER(TRIM($C479)),CHAR(13)," "),CHAR(10)," "),CHAR(9)," "),CHAR(92),_xlfn.CONCAT(CHAR(92),CHAR(92))),"$",_xlfn.CONCAT(CHAR(92),"$")),CHAR(96),_xlfn.CONCAT(CHAR(92),CHAR(96))),CHAR(34),CHAR(39))))</f>
        <v/>
      </c>
      <c r="N479" s="5" t="str">
        <f>IF(OR(TRIM($B479)="",$D479=""),"",IF(OR(ISNUMBER(SEARCH(_xlfn.CONCAT(CHAR(96),CHAR(34)),$D479)),ISNUMBER(SEARCH(_xlfn.CONCAT(CHAR(34),CHAR(39)),$D479))),_xlfn.CONCAT("* REVIEW REQUIRED: compound-quote delimiter in Item Number on Sheet 1 row ",479,"; edit the input before running."),_xlfn.CONCAT("char ",TRIM($B479),"[doc_itemnum] ",CHAR(96),CHAR(34),SUBSTITUTE(SUBSTITUTE(SUBSTITUTE(SUBSTITUTE(SUBSTITUTE(SUBSTITUTE($D479,CHAR(13)," "),CHAR(10)," "),CHAR(9)," "),CHAR(92),_xlfn.CONCAT(CHAR(92),CHAR(92))),"$",_xlfn.CONCAT(CHAR(92),"$")),CHAR(96),_xlfn.CONCAT(CHAR(92),CHAR(96))),CHAR(34),CHAR(39))))</f>
        <v/>
      </c>
      <c r="O479" s="5" t="str">
        <f>IF(OR(TRIM($B479)="",$E479=""),"",IF(OR(ISNUMBER(SEARCH(_xlfn.CONCAT(CHAR(96),CHAR(34)),$E479)),ISNUMBER(SEARCH(_xlfn.CONCAT(CHAR(34),CHAR(39)),$E479))),_xlfn.CONCAT("* REVIEW REQUIRED: compound-quote delimiter in Question Wording on Sheet 1 row ",479,"; edit the input before running."),_xlfn.CONCAT("char ",TRIM($B479),"[doc_question] ",CHAR(96),CHAR(34),SUBSTITUTE(SUBSTITUTE(SUBSTITUTE(SUBSTITUTE(SUBSTITUTE(SUBSTITUTE($E479,CHAR(13)," "),CHAR(10)," "),CHAR(9)," "),CHAR(92),_xlfn.CONCAT(CHAR(92),CHAR(92))),"$",_xlfn.CONCAT(CHAR(92),"$")),CHAR(96),_xlfn.CONCAT(CHAR(92),CHAR(96))),CHAR(34),CHAR(39))))</f>
        <v/>
      </c>
      <c r="P479" s="5" t="str">
        <f>IF(OR(TRIM($B479)="",$F479=""),"",IF(OR(ISNUMBER(SEARCH(_xlfn.CONCAT(CHAR(96),CHAR(34)),$F479)),ISNUMBER(SEARCH(_xlfn.CONCAT(CHAR(34),CHAR(39)),$F479))),_xlfn.CONCAT("* REVIEW REQUIRED: compound-quote delimiter in Units on Sheet 1 row ",479,"; edit the input before running."),_xlfn.CONCAT("char ",TRIM($B479),"[doc_units] ",CHAR(96),CHAR(34),SUBSTITUTE(SUBSTITUTE(SUBSTITUTE(SUBSTITUTE(SUBSTITUTE(SUBSTITUTE($F479,CHAR(13)," "),CHAR(10)," "),CHAR(9)," "),CHAR(92),_xlfn.CONCAT(CHAR(92),CHAR(92))),"$",_xlfn.CONCAT(CHAR(92),"$")),CHAR(96),_xlfn.CONCAT(CHAR(92),CHAR(96))),CHAR(34),CHAR(39))))</f>
        <v/>
      </c>
      <c r="Q479" s="5" t="str">
        <f>IF(OR(TRIM($B479)="",$G479=""),"",IF(OR(ISNUMBER(SEARCH(_xlfn.CONCAT(CHAR(96),CHAR(34)),$G479)),ISNUMBER(SEARCH(_xlfn.CONCAT(CHAR(34),CHAR(39)),$G479))),_xlfn.CONCAT("* REVIEW REQUIRED: compound-quote delimiter in Universe on Sheet 1 row ",479,"; edit the input before running."),_xlfn.CONCAT("char ",TRIM($B479),"[doc_universe] ",CHAR(96),CHAR(34),SUBSTITUTE(SUBSTITUTE(SUBSTITUTE(SUBSTITUTE(SUBSTITUTE(SUBSTITUTE($G479,CHAR(13)," "),CHAR(10)," "),CHAR(9)," "),CHAR(92),_xlfn.CONCAT(CHAR(92),CHAR(92))),"$",_xlfn.CONCAT(CHAR(92),"$")),CHAR(96),_xlfn.CONCAT(CHAR(92),CHAR(96))),CHAR(34),CHAR(39))))</f>
        <v/>
      </c>
      <c r="R479" s="5" t="str">
        <f>IF(OR(TRIM($B479)="",$H479=""),"",IF(OR(ISNUMBER(SEARCH(_xlfn.CONCAT(CHAR(96),CHAR(34)),$H479)),ISNUMBER(SEARCH(_xlfn.CONCAT(CHAR(34),CHAR(39)),$H479))),_xlfn.CONCAT("* REVIEW REQUIRED: compound-quote delimiter in Source on Sheet 1 row ",479,"; edit the input before running."),_xlfn.CONCAT("char ",TRIM($B479),"[doc_source] ",CHAR(96),CHAR(34),SUBSTITUTE(SUBSTITUTE(SUBSTITUTE(SUBSTITUTE(SUBSTITUTE(SUBSTITUTE($H479,CHAR(13)," "),CHAR(10)," "),CHAR(9)," "),CHAR(92),_xlfn.CONCAT(CHAR(92),CHAR(92))),"$",_xlfn.CONCAT(CHAR(92),"$")),CHAR(96),_xlfn.CONCAT(CHAR(92),CHAR(96))),CHAR(34),CHAR(39))))</f>
        <v/>
      </c>
      <c r="S479" s="5" t="str">
        <f>IF(OR(TRIM($B479)="",$I479=""),"",IF(OR(ISNUMBER(SEARCH(_xlfn.CONCAT(CHAR(96),CHAR(34)),$I479)),ISNUMBER(SEARCH(_xlfn.CONCAT(CHAR(34),CHAR(39)),$I479))),_xlfn.CONCAT("* REVIEW REQUIRED: compound-quote delimiter in Derivation on Sheet 1 row ",479,"; edit the input before running."),_xlfn.CONCAT("char ",TRIM($B479),"[doc_derivation] ",CHAR(96),CHAR(34),SUBSTITUTE(SUBSTITUTE(SUBSTITUTE(SUBSTITUTE(SUBSTITUTE(SUBSTITUTE($I479,CHAR(13)," "),CHAR(10)," "),CHAR(9)," "),CHAR(92),_xlfn.CONCAT(CHAR(92),CHAR(92))),"$",_xlfn.CONCAT(CHAR(92),"$")),CHAR(96),_xlfn.CONCAT(CHAR(92),CHAR(96))),CHAR(34),CHAR(39))))</f>
        <v/>
      </c>
      <c r="T479" s="5" t="str">
        <f>IF(OR(TRIM($B479)="",$J479=""),"",IF(OR(ISNUMBER(SEARCH(_xlfn.CONCAT(CHAR(96),CHAR(34)),$J479)),ISNUMBER(SEARCH(_xlfn.CONCAT(CHAR(34),CHAR(39)),$J479))),_xlfn.CONCAT("* REVIEW REQUIRED: compound-quote delimiter in Notes on Sheet 1 row ",479,"; edit the input before running."),_xlfn.CONCAT("char ",TRIM($B479),"[doc_notes] ",CHAR(96),CHAR(34),SUBSTITUTE(SUBSTITUTE(SUBSTITUTE(SUBSTITUTE(SUBSTITUTE(SUBSTITUTE($J479,CHAR(13)," "),CHAR(10)," "),CHAR(9)," "),CHAR(92),_xlfn.CONCAT(CHAR(92),CHAR(92))),"$",_xlfn.CONCAT(CHAR(92),"$")),CHAR(96),_xlfn.CONCAT(CHAR(92),CHAR(96))),CHAR(34),CHAR(39))))</f>
        <v/>
      </c>
      <c r="U479" s="5">
        <f t="shared" si="15"/>
        <v>0</v>
      </c>
    </row>
    <row r="480" spans="3:21" ht="30" customHeight="1" x14ac:dyDescent="0.2">
      <c r="C480" s="4"/>
      <c r="K480" s="5">
        <f t="shared" si="14"/>
        <v>0</v>
      </c>
      <c r="L480" s="5" t="str">
        <f>IF(OR(TRIM($B480)="",$A480=""),"",IF(OR(ISNUMBER(SEARCH(_xlfn.CONCAT(CHAR(96),CHAR(34)),$A480)),ISNUMBER(SEARCH(_xlfn.CONCAT(CHAR(34),CHAR(39)),$A480))),_xlfn.CONCAT("* REVIEW REQUIRED: compound-quote delimiter in Codebook Section on Sheet 1 row ",480,"; edit the input before running."),_xlfn.CONCAT("char ",TRIM($B480),"[doc_section] ",CHAR(96),CHAR(34),SUBSTITUTE(SUBSTITUTE(SUBSTITUTE(SUBSTITUTE(SUBSTITUTE(SUBSTITUTE($A480,CHAR(13)," "),CHAR(10)," "),CHAR(9)," "),CHAR(92),_xlfn.CONCAT(CHAR(92),CHAR(92))),"$",_xlfn.CONCAT(CHAR(92),"$")),CHAR(96),_xlfn.CONCAT(CHAR(92),CHAR(96))),CHAR(34),CHAR(39))))</f>
        <v/>
      </c>
      <c r="M480" s="5" t="str">
        <f>IF(OR(TRIM($B480)="",$C480=""),"",IF(IFERROR(MATCH(TRIM($C480),{"Quantitative","Continuous","Discrete","Categorical","Nominal","Ordinal","Identifier"},0),0)=0,_xlfn.CONCAT("* REVIEW REQUIRED: invalid Variable Type on Sheet 1 row ",480,"."),_xlfn.CONCAT("char ",TRIM($B480),"[doc_vartype] ",CHAR(96),CHAR(34),SUBSTITUTE(SUBSTITUTE(SUBSTITUTE(SUBSTITUTE(SUBSTITUTE(SUBSTITUTE(LOWER(TRIM($C480)),CHAR(13)," "),CHAR(10)," "),CHAR(9)," "),CHAR(92),_xlfn.CONCAT(CHAR(92),CHAR(92))),"$",_xlfn.CONCAT(CHAR(92),"$")),CHAR(96),_xlfn.CONCAT(CHAR(92),CHAR(96))),CHAR(34),CHAR(39))))</f>
        <v/>
      </c>
      <c r="N480" s="5" t="str">
        <f>IF(OR(TRIM($B480)="",$D480=""),"",IF(OR(ISNUMBER(SEARCH(_xlfn.CONCAT(CHAR(96),CHAR(34)),$D480)),ISNUMBER(SEARCH(_xlfn.CONCAT(CHAR(34),CHAR(39)),$D480))),_xlfn.CONCAT("* REVIEW REQUIRED: compound-quote delimiter in Item Number on Sheet 1 row ",480,"; edit the input before running."),_xlfn.CONCAT("char ",TRIM($B480),"[doc_itemnum] ",CHAR(96),CHAR(34),SUBSTITUTE(SUBSTITUTE(SUBSTITUTE(SUBSTITUTE(SUBSTITUTE(SUBSTITUTE($D480,CHAR(13)," "),CHAR(10)," "),CHAR(9)," "),CHAR(92),_xlfn.CONCAT(CHAR(92),CHAR(92))),"$",_xlfn.CONCAT(CHAR(92),"$")),CHAR(96),_xlfn.CONCAT(CHAR(92),CHAR(96))),CHAR(34),CHAR(39))))</f>
        <v/>
      </c>
      <c r="O480" s="5" t="str">
        <f>IF(OR(TRIM($B480)="",$E480=""),"",IF(OR(ISNUMBER(SEARCH(_xlfn.CONCAT(CHAR(96),CHAR(34)),$E480)),ISNUMBER(SEARCH(_xlfn.CONCAT(CHAR(34),CHAR(39)),$E480))),_xlfn.CONCAT("* REVIEW REQUIRED: compound-quote delimiter in Question Wording on Sheet 1 row ",480,"; edit the input before running."),_xlfn.CONCAT("char ",TRIM($B480),"[doc_question] ",CHAR(96),CHAR(34),SUBSTITUTE(SUBSTITUTE(SUBSTITUTE(SUBSTITUTE(SUBSTITUTE(SUBSTITUTE($E480,CHAR(13)," "),CHAR(10)," "),CHAR(9)," "),CHAR(92),_xlfn.CONCAT(CHAR(92),CHAR(92))),"$",_xlfn.CONCAT(CHAR(92),"$")),CHAR(96),_xlfn.CONCAT(CHAR(92),CHAR(96))),CHAR(34),CHAR(39))))</f>
        <v/>
      </c>
      <c r="P480" s="5" t="str">
        <f>IF(OR(TRIM($B480)="",$F480=""),"",IF(OR(ISNUMBER(SEARCH(_xlfn.CONCAT(CHAR(96),CHAR(34)),$F480)),ISNUMBER(SEARCH(_xlfn.CONCAT(CHAR(34),CHAR(39)),$F480))),_xlfn.CONCAT("* REVIEW REQUIRED: compound-quote delimiter in Units on Sheet 1 row ",480,"; edit the input before running."),_xlfn.CONCAT("char ",TRIM($B480),"[doc_units] ",CHAR(96),CHAR(34),SUBSTITUTE(SUBSTITUTE(SUBSTITUTE(SUBSTITUTE(SUBSTITUTE(SUBSTITUTE($F480,CHAR(13)," "),CHAR(10)," "),CHAR(9)," "),CHAR(92),_xlfn.CONCAT(CHAR(92),CHAR(92))),"$",_xlfn.CONCAT(CHAR(92),"$")),CHAR(96),_xlfn.CONCAT(CHAR(92),CHAR(96))),CHAR(34),CHAR(39))))</f>
        <v/>
      </c>
      <c r="Q480" s="5" t="str">
        <f>IF(OR(TRIM($B480)="",$G480=""),"",IF(OR(ISNUMBER(SEARCH(_xlfn.CONCAT(CHAR(96),CHAR(34)),$G480)),ISNUMBER(SEARCH(_xlfn.CONCAT(CHAR(34),CHAR(39)),$G480))),_xlfn.CONCAT("* REVIEW REQUIRED: compound-quote delimiter in Universe on Sheet 1 row ",480,"; edit the input before running."),_xlfn.CONCAT("char ",TRIM($B480),"[doc_universe] ",CHAR(96),CHAR(34),SUBSTITUTE(SUBSTITUTE(SUBSTITUTE(SUBSTITUTE(SUBSTITUTE(SUBSTITUTE($G480,CHAR(13)," "),CHAR(10)," "),CHAR(9)," "),CHAR(92),_xlfn.CONCAT(CHAR(92),CHAR(92))),"$",_xlfn.CONCAT(CHAR(92),"$")),CHAR(96),_xlfn.CONCAT(CHAR(92),CHAR(96))),CHAR(34),CHAR(39))))</f>
        <v/>
      </c>
      <c r="R480" s="5" t="str">
        <f>IF(OR(TRIM($B480)="",$H480=""),"",IF(OR(ISNUMBER(SEARCH(_xlfn.CONCAT(CHAR(96),CHAR(34)),$H480)),ISNUMBER(SEARCH(_xlfn.CONCAT(CHAR(34),CHAR(39)),$H480))),_xlfn.CONCAT("* REVIEW REQUIRED: compound-quote delimiter in Source on Sheet 1 row ",480,"; edit the input before running."),_xlfn.CONCAT("char ",TRIM($B480),"[doc_source] ",CHAR(96),CHAR(34),SUBSTITUTE(SUBSTITUTE(SUBSTITUTE(SUBSTITUTE(SUBSTITUTE(SUBSTITUTE($H480,CHAR(13)," "),CHAR(10)," "),CHAR(9)," "),CHAR(92),_xlfn.CONCAT(CHAR(92),CHAR(92))),"$",_xlfn.CONCAT(CHAR(92),"$")),CHAR(96),_xlfn.CONCAT(CHAR(92),CHAR(96))),CHAR(34),CHAR(39))))</f>
        <v/>
      </c>
      <c r="S480" s="5" t="str">
        <f>IF(OR(TRIM($B480)="",$I480=""),"",IF(OR(ISNUMBER(SEARCH(_xlfn.CONCAT(CHAR(96),CHAR(34)),$I480)),ISNUMBER(SEARCH(_xlfn.CONCAT(CHAR(34),CHAR(39)),$I480))),_xlfn.CONCAT("* REVIEW REQUIRED: compound-quote delimiter in Derivation on Sheet 1 row ",480,"; edit the input before running."),_xlfn.CONCAT("char ",TRIM($B480),"[doc_derivation] ",CHAR(96),CHAR(34),SUBSTITUTE(SUBSTITUTE(SUBSTITUTE(SUBSTITUTE(SUBSTITUTE(SUBSTITUTE($I480,CHAR(13)," "),CHAR(10)," "),CHAR(9)," "),CHAR(92),_xlfn.CONCAT(CHAR(92),CHAR(92))),"$",_xlfn.CONCAT(CHAR(92),"$")),CHAR(96),_xlfn.CONCAT(CHAR(92),CHAR(96))),CHAR(34),CHAR(39))))</f>
        <v/>
      </c>
      <c r="T480" s="5" t="str">
        <f>IF(OR(TRIM($B480)="",$J480=""),"",IF(OR(ISNUMBER(SEARCH(_xlfn.CONCAT(CHAR(96),CHAR(34)),$J480)),ISNUMBER(SEARCH(_xlfn.CONCAT(CHAR(34),CHAR(39)),$J480))),_xlfn.CONCAT("* REVIEW REQUIRED: compound-quote delimiter in Notes on Sheet 1 row ",480,"; edit the input before running."),_xlfn.CONCAT("char ",TRIM($B480),"[doc_notes] ",CHAR(96),CHAR(34),SUBSTITUTE(SUBSTITUTE(SUBSTITUTE(SUBSTITUTE(SUBSTITUTE(SUBSTITUTE($J480,CHAR(13)," "),CHAR(10)," "),CHAR(9)," "),CHAR(92),_xlfn.CONCAT(CHAR(92),CHAR(92))),"$",_xlfn.CONCAT(CHAR(92),"$")),CHAR(96),_xlfn.CONCAT(CHAR(92),CHAR(96))),CHAR(34),CHAR(39))))</f>
        <v/>
      </c>
      <c r="U480" s="5">
        <f t="shared" si="15"/>
        <v>0</v>
      </c>
    </row>
    <row r="481" spans="3:21" ht="30" customHeight="1" x14ac:dyDescent="0.2">
      <c r="C481" s="4"/>
      <c r="K481" s="5">
        <f t="shared" si="14"/>
        <v>0</v>
      </c>
      <c r="L481" s="5" t="str">
        <f>IF(OR(TRIM($B481)="",$A481=""),"",IF(OR(ISNUMBER(SEARCH(_xlfn.CONCAT(CHAR(96),CHAR(34)),$A481)),ISNUMBER(SEARCH(_xlfn.CONCAT(CHAR(34),CHAR(39)),$A481))),_xlfn.CONCAT("* REVIEW REQUIRED: compound-quote delimiter in Codebook Section on Sheet 1 row ",481,"; edit the input before running."),_xlfn.CONCAT("char ",TRIM($B481),"[doc_section] ",CHAR(96),CHAR(34),SUBSTITUTE(SUBSTITUTE(SUBSTITUTE(SUBSTITUTE(SUBSTITUTE(SUBSTITUTE($A481,CHAR(13)," "),CHAR(10)," "),CHAR(9)," "),CHAR(92),_xlfn.CONCAT(CHAR(92),CHAR(92))),"$",_xlfn.CONCAT(CHAR(92),"$")),CHAR(96),_xlfn.CONCAT(CHAR(92),CHAR(96))),CHAR(34),CHAR(39))))</f>
        <v/>
      </c>
      <c r="M481" s="5" t="str">
        <f>IF(OR(TRIM($B481)="",$C481=""),"",IF(IFERROR(MATCH(TRIM($C481),{"Quantitative","Continuous","Discrete","Categorical","Nominal","Ordinal","Identifier"},0),0)=0,_xlfn.CONCAT("* REVIEW REQUIRED: invalid Variable Type on Sheet 1 row ",481,"."),_xlfn.CONCAT("char ",TRIM($B481),"[doc_vartype] ",CHAR(96),CHAR(34),SUBSTITUTE(SUBSTITUTE(SUBSTITUTE(SUBSTITUTE(SUBSTITUTE(SUBSTITUTE(LOWER(TRIM($C481)),CHAR(13)," "),CHAR(10)," "),CHAR(9)," "),CHAR(92),_xlfn.CONCAT(CHAR(92),CHAR(92))),"$",_xlfn.CONCAT(CHAR(92),"$")),CHAR(96),_xlfn.CONCAT(CHAR(92),CHAR(96))),CHAR(34),CHAR(39))))</f>
        <v/>
      </c>
      <c r="N481" s="5" t="str">
        <f>IF(OR(TRIM($B481)="",$D481=""),"",IF(OR(ISNUMBER(SEARCH(_xlfn.CONCAT(CHAR(96),CHAR(34)),$D481)),ISNUMBER(SEARCH(_xlfn.CONCAT(CHAR(34),CHAR(39)),$D481))),_xlfn.CONCAT("* REVIEW REQUIRED: compound-quote delimiter in Item Number on Sheet 1 row ",481,"; edit the input before running."),_xlfn.CONCAT("char ",TRIM($B481),"[doc_itemnum] ",CHAR(96),CHAR(34),SUBSTITUTE(SUBSTITUTE(SUBSTITUTE(SUBSTITUTE(SUBSTITUTE(SUBSTITUTE($D481,CHAR(13)," "),CHAR(10)," "),CHAR(9)," "),CHAR(92),_xlfn.CONCAT(CHAR(92),CHAR(92))),"$",_xlfn.CONCAT(CHAR(92),"$")),CHAR(96),_xlfn.CONCAT(CHAR(92),CHAR(96))),CHAR(34),CHAR(39))))</f>
        <v/>
      </c>
      <c r="O481" s="5" t="str">
        <f>IF(OR(TRIM($B481)="",$E481=""),"",IF(OR(ISNUMBER(SEARCH(_xlfn.CONCAT(CHAR(96),CHAR(34)),$E481)),ISNUMBER(SEARCH(_xlfn.CONCAT(CHAR(34),CHAR(39)),$E481))),_xlfn.CONCAT("* REVIEW REQUIRED: compound-quote delimiter in Question Wording on Sheet 1 row ",481,"; edit the input before running."),_xlfn.CONCAT("char ",TRIM($B481),"[doc_question] ",CHAR(96),CHAR(34),SUBSTITUTE(SUBSTITUTE(SUBSTITUTE(SUBSTITUTE(SUBSTITUTE(SUBSTITUTE($E481,CHAR(13)," "),CHAR(10)," "),CHAR(9)," "),CHAR(92),_xlfn.CONCAT(CHAR(92),CHAR(92))),"$",_xlfn.CONCAT(CHAR(92),"$")),CHAR(96),_xlfn.CONCAT(CHAR(92),CHAR(96))),CHAR(34),CHAR(39))))</f>
        <v/>
      </c>
      <c r="P481" s="5" t="str">
        <f>IF(OR(TRIM($B481)="",$F481=""),"",IF(OR(ISNUMBER(SEARCH(_xlfn.CONCAT(CHAR(96),CHAR(34)),$F481)),ISNUMBER(SEARCH(_xlfn.CONCAT(CHAR(34),CHAR(39)),$F481))),_xlfn.CONCAT("* REVIEW REQUIRED: compound-quote delimiter in Units on Sheet 1 row ",481,"; edit the input before running."),_xlfn.CONCAT("char ",TRIM($B481),"[doc_units] ",CHAR(96),CHAR(34),SUBSTITUTE(SUBSTITUTE(SUBSTITUTE(SUBSTITUTE(SUBSTITUTE(SUBSTITUTE($F481,CHAR(13)," "),CHAR(10)," "),CHAR(9)," "),CHAR(92),_xlfn.CONCAT(CHAR(92),CHAR(92))),"$",_xlfn.CONCAT(CHAR(92),"$")),CHAR(96),_xlfn.CONCAT(CHAR(92),CHAR(96))),CHAR(34),CHAR(39))))</f>
        <v/>
      </c>
      <c r="Q481" s="5" t="str">
        <f>IF(OR(TRIM($B481)="",$G481=""),"",IF(OR(ISNUMBER(SEARCH(_xlfn.CONCAT(CHAR(96),CHAR(34)),$G481)),ISNUMBER(SEARCH(_xlfn.CONCAT(CHAR(34),CHAR(39)),$G481))),_xlfn.CONCAT("* REVIEW REQUIRED: compound-quote delimiter in Universe on Sheet 1 row ",481,"; edit the input before running."),_xlfn.CONCAT("char ",TRIM($B481),"[doc_universe] ",CHAR(96),CHAR(34),SUBSTITUTE(SUBSTITUTE(SUBSTITUTE(SUBSTITUTE(SUBSTITUTE(SUBSTITUTE($G481,CHAR(13)," "),CHAR(10)," "),CHAR(9)," "),CHAR(92),_xlfn.CONCAT(CHAR(92),CHAR(92))),"$",_xlfn.CONCAT(CHAR(92),"$")),CHAR(96),_xlfn.CONCAT(CHAR(92),CHAR(96))),CHAR(34),CHAR(39))))</f>
        <v/>
      </c>
      <c r="R481" s="5" t="str">
        <f>IF(OR(TRIM($B481)="",$H481=""),"",IF(OR(ISNUMBER(SEARCH(_xlfn.CONCAT(CHAR(96),CHAR(34)),$H481)),ISNUMBER(SEARCH(_xlfn.CONCAT(CHAR(34),CHAR(39)),$H481))),_xlfn.CONCAT("* REVIEW REQUIRED: compound-quote delimiter in Source on Sheet 1 row ",481,"; edit the input before running."),_xlfn.CONCAT("char ",TRIM($B481),"[doc_source] ",CHAR(96),CHAR(34),SUBSTITUTE(SUBSTITUTE(SUBSTITUTE(SUBSTITUTE(SUBSTITUTE(SUBSTITUTE($H481,CHAR(13)," "),CHAR(10)," "),CHAR(9)," "),CHAR(92),_xlfn.CONCAT(CHAR(92),CHAR(92))),"$",_xlfn.CONCAT(CHAR(92),"$")),CHAR(96),_xlfn.CONCAT(CHAR(92),CHAR(96))),CHAR(34),CHAR(39))))</f>
        <v/>
      </c>
      <c r="S481" s="5" t="str">
        <f>IF(OR(TRIM($B481)="",$I481=""),"",IF(OR(ISNUMBER(SEARCH(_xlfn.CONCAT(CHAR(96),CHAR(34)),$I481)),ISNUMBER(SEARCH(_xlfn.CONCAT(CHAR(34),CHAR(39)),$I481))),_xlfn.CONCAT("* REVIEW REQUIRED: compound-quote delimiter in Derivation on Sheet 1 row ",481,"; edit the input before running."),_xlfn.CONCAT("char ",TRIM($B481),"[doc_derivation] ",CHAR(96),CHAR(34),SUBSTITUTE(SUBSTITUTE(SUBSTITUTE(SUBSTITUTE(SUBSTITUTE(SUBSTITUTE($I481,CHAR(13)," "),CHAR(10)," "),CHAR(9)," "),CHAR(92),_xlfn.CONCAT(CHAR(92),CHAR(92))),"$",_xlfn.CONCAT(CHAR(92),"$")),CHAR(96),_xlfn.CONCAT(CHAR(92),CHAR(96))),CHAR(34),CHAR(39))))</f>
        <v/>
      </c>
      <c r="T481" s="5" t="str">
        <f>IF(OR(TRIM($B481)="",$J481=""),"",IF(OR(ISNUMBER(SEARCH(_xlfn.CONCAT(CHAR(96),CHAR(34)),$J481)),ISNUMBER(SEARCH(_xlfn.CONCAT(CHAR(34),CHAR(39)),$J481))),_xlfn.CONCAT("* REVIEW REQUIRED: compound-quote delimiter in Notes on Sheet 1 row ",481,"; edit the input before running."),_xlfn.CONCAT("char ",TRIM($B481),"[doc_notes] ",CHAR(96),CHAR(34),SUBSTITUTE(SUBSTITUTE(SUBSTITUTE(SUBSTITUTE(SUBSTITUTE(SUBSTITUTE($J481,CHAR(13)," "),CHAR(10)," "),CHAR(9)," "),CHAR(92),_xlfn.CONCAT(CHAR(92),CHAR(92))),"$",_xlfn.CONCAT(CHAR(92),"$")),CHAR(96),_xlfn.CONCAT(CHAR(92),CHAR(96))),CHAR(34),CHAR(39))))</f>
        <v/>
      </c>
      <c r="U481" s="5">
        <f t="shared" si="15"/>
        <v>0</v>
      </c>
    </row>
    <row r="482" spans="3:21" ht="30" customHeight="1" x14ac:dyDescent="0.2">
      <c r="C482" s="4"/>
      <c r="K482" s="5">
        <f t="shared" si="14"/>
        <v>0</v>
      </c>
      <c r="L482" s="5" t="str">
        <f>IF(OR(TRIM($B482)="",$A482=""),"",IF(OR(ISNUMBER(SEARCH(_xlfn.CONCAT(CHAR(96),CHAR(34)),$A482)),ISNUMBER(SEARCH(_xlfn.CONCAT(CHAR(34),CHAR(39)),$A482))),_xlfn.CONCAT("* REVIEW REQUIRED: compound-quote delimiter in Codebook Section on Sheet 1 row ",482,"; edit the input before running."),_xlfn.CONCAT("char ",TRIM($B482),"[doc_section] ",CHAR(96),CHAR(34),SUBSTITUTE(SUBSTITUTE(SUBSTITUTE(SUBSTITUTE(SUBSTITUTE(SUBSTITUTE($A482,CHAR(13)," "),CHAR(10)," "),CHAR(9)," "),CHAR(92),_xlfn.CONCAT(CHAR(92),CHAR(92))),"$",_xlfn.CONCAT(CHAR(92),"$")),CHAR(96),_xlfn.CONCAT(CHAR(92),CHAR(96))),CHAR(34),CHAR(39))))</f>
        <v/>
      </c>
      <c r="M482" s="5" t="str">
        <f>IF(OR(TRIM($B482)="",$C482=""),"",IF(IFERROR(MATCH(TRIM($C482),{"Quantitative","Continuous","Discrete","Categorical","Nominal","Ordinal","Identifier"},0),0)=0,_xlfn.CONCAT("* REVIEW REQUIRED: invalid Variable Type on Sheet 1 row ",482,"."),_xlfn.CONCAT("char ",TRIM($B482),"[doc_vartype] ",CHAR(96),CHAR(34),SUBSTITUTE(SUBSTITUTE(SUBSTITUTE(SUBSTITUTE(SUBSTITUTE(SUBSTITUTE(LOWER(TRIM($C482)),CHAR(13)," "),CHAR(10)," "),CHAR(9)," "),CHAR(92),_xlfn.CONCAT(CHAR(92),CHAR(92))),"$",_xlfn.CONCAT(CHAR(92),"$")),CHAR(96),_xlfn.CONCAT(CHAR(92),CHAR(96))),CHAR(34),CHAR(39))))</f>
        <v/>
      </c>
      <c r="N482" s="5" t="str">
        <f>IF(OR(TRIM($B482)="",$D482=""),"",IF(OR(ISNUMBER(SEARCH(_xlfn.CONCAT(CHAR(96),CHAR(34)),$D482)),ISNUMBER(SEARCH(_xlfn.CONCAT(CHAR(34),CHAR(39)),$D482))),_xlfn.CONCAT("* REVIEW REQUIRED: compound-quote delimiter in Item Number on Sheet 1 row ",482,"; edit the input before running."),_xlfn.CONCAT("char ",TRIM($B482),"[doc_itemnum] ",CHAR(96),CHAR(34),SUBSTITUTE(SUBSTITUTE(SUBSTITUTE(SUBSTITUTE(SUBSTITUTE(SUBSTITUTE($D482,CHAR(13)," "),CHAR(10)," "),CHAR(9)," "),CHAR(92),_xlfn.CONCAT(CHAR(92),CHAR(92))),"$",_xlfn.CONCAT(CHAR(92),"$")),CHAR(96),_xlfn.CONCAT(CHAR(92),CHAR(96))),CHAR(34),CHAR(39))))</f>
        <v/>
      </c>
      <c r="O482" s="5" t="str">
        <f>IF(OR(TRIM($B482)="",$E482=""),"",IF(OR(ISNUMBER(SEARCH(_xlfn.CONCAT(CHAR(96),CHAR(34)),$E482)),ISNUMBER(SEARCH(_xlfn.CONCAT(CHAR(34),CHAR(39)),$E482))),_xlfn.CONCAT("* REVIEW REQUIRED: compound-quote delimiter in Question Wording on Sheet 1 row ",482,"; edit the input before running."),_xlfn.CONCAT("char ",TRIM($B482),"[doc_question] ",CHAR(96),CHAR(34),SUBSTITUTE(SUBSTITUTE(SUBSTITUTE(SUBSTITUTE(SUBSTITUTE(SUBSTITUTE($E482,CHAR(13)," "),CHAR(10)," "),CHAR(9)," "),CHAR(92),_xlfn.CONCAT(CHAR(92),CHAR(92))),"$",_xlfn.CONCAT(CHAR(92),"$")),CHAR(96),_xlfn.CONCAT(CHAR(92),CHAR(96))),CHAR(34),CHAR(39))))</f>
        <v/>
      </c>
      <c r="P482" s="5" t="str">
        <f>IF(OR(TRIM($B482)="",$F482=""),"",IF(OR(ISNUMBER(SEARCH(_xlfn.CONCAT(CHAR(96),CHAR(34)),$F482)),ISNUMBER(SEARCH(_xlfn.CONCAT(CHAR(34),CHAR(39)),$F482))),_xlfn.CONCAT("* REVIEW REQUIRED: compound-quote delimiter in Units on Sheet 1 row ",482,"; edit the input before running."),_xlfn.CONCAT("char ",TRIM($B482),"[doc_units] ",CHAR(96),CHAR(34),SUBSTITUTE(SUBSTITUTE(SUBSTITUTE(SUBSTITUTE(SUBSTITUTE(SUBSTITUTE($F482,CHAR(13)," "),CHAR(10)," "),CHAR(9)," "),CHAR(92),_xlfn.CONCAT(CHAR(92),CHAR(92))),"$",_xlfn.CONCAT(CHAR(92),"$")),CHAR(96),_xlfn.CONCAT(CHAR(92),CHAR(96))),CHAR(34),CHAR(39))))</f>
        <v/>
      </c>
      <c r="Q482" s="5" t="str">
        <f>IF(OR(TRIM($B482)="",$G482=""),"",IF(OR(ISNUMBER(SEARCH(_xlfn.CONCAT(CHAR(96),CHAR(34)),$G482)),ISNUMBER(SEARCH(_xlfn.CONCAT(CHAR(34),CHAR(39)),$G482))),_xlfn.CONCAT("* REVIEW REQUIRED: compound-quote delimiter in Universe on Sheet 1 row ",482,"; edit the input before running."),_xlfn.CONCAT("char ",TRIM($B482),"[doc_universe] ",CHAR(96),CHAR(34),SUBSTITUTE(SUBSTITUTE(SUBSTITUTE(SUBSTITUTE(SUBSTITUTE(SUBSTITUTE($G482,CHAR(13)," "),CHAR(10)," "),CHAR(9)," "),CHAR(92),_xlfn.CONCAT(CHAR(92),CHAR(92))),"$",_xlfn.CONCAT(CHAR(92),"$")),CHAR(96),_xlfn.CONCAT(CHAR(92),CHAR(96))),CHAR(34),CHAR(39))))</f>
        <v/>
      </c>
      <c r="R482" s="5" t="str">
        <f>IF(OR(TRIM($B482)="",$H482=""),"",IF(OR(ISNUMBER(SEARCH(_xlfn.CONCAT(CHAR(96),CHAR(34)),$H482)),ISNUMBER(SEARCH(_xlfn.CONCAT(CHAR(34),CHAR(39)),$H482))),_xlfn.CONCAT("* REVIEW REQUIRED: compound-quote delimiter in Source on Sheet 1 row ",482,"; edit the input before running."),_xlfn.CONCAT("char ",TRIM($B482),"[doc_source] ",CHAR(96),CHAR(34),SUBSTITUTE(SUBSTITUTE(SUBSTITUTE(SUBSTITUTE(SUBSTITUTE(SUBSTITUTE($H482,CHAR(13)," "),CHAR(10)," "),CHAR(9)," "),CHAR(92),_xlfn.CONCAT(CHAR(92),CHAR(92))),"$",_xlfn.CONCAT(CHAR(92),"$")),CHAR(96),_xlfn.CONCAT(CHAR(92),CHAR(96))),CHAR(34),CHAR(39))))</f>
        <v/>
      </c>
      <c r="S482" s="5" t="str">
        <f>IF(OR(TRIM($B482)="",$I482=""),"",IF(OR(ISNUMBER(SEARCH(_xlfn.CONCAT(CHAR(96),CHAR(34)),$I482)),ISNUMBER(SEARCH(_xlfn.CONCAT(CHAR(34),CHAR(39)),$I482))),_xlfn.CONCAT("* REVIEW REQUIRED: compound-quote delimiter in Derivation on Sheet 1 row ",482,"; edit the input before running."),_xlfn.CONCAT("char ",TRIM($B482),"[doc_derivation] ",CHAR(96),CHAR(34),SUBSTITUTE(SUBSTITUTE(SUBSTITUTE(SUBSTITUTE(SUBSTITUTE(SUBSTITUTE($I482,CHAR(13)," "),CHAR(10)," "),CHAR(9)," "),CHAR(92),_xlfn.CONCAT(CHAR(92),CHAR(92))),"$",_xlfn.CONCAT(CHAR(92),"$")),CHAR(96),_xlfn.CONCAT(CHAR(92),CHAR(96))),CHAR(34),CHAR(39))))</f>
        <v/>
      </c>
      <c r="T482" s="5" t="str">
        <f>IF(OR(TRIM($B482)="",$J482=""),"",IF(OR(ISNUMBER(SEARCH(_xlfn.CONCAT(CHAR(96),CHAR(34)),$J482)),ISNUMBER(SEARCH(_xlfn.CONCAT(CHAR(34),CHAR(39)),$J482))),_xlfn.CONCAT("* REVIEW REQUIRED: compound-quote delimiter in Notes on Sheet 1 row ",482,"; edit the input before running."),_xlfn.CONCAT("char ",TRIM($B482),"[doc_notes] ",CHAR(96),CHAR(34),SUBSTITUTE(SUBSTITUTE(SUBSTITUTE(SUBSTITUTE(SUBSTITUTE(SUBSTITUTE($J482,CHAR(13)," "),CHAR(10)," "),CHAR(9)," "),CHAR(92),_xlfn.CONCAT(CHAR(92),CHAR(92))),"$",_xlfn.CONCAT(CHAR(92),"$")),CHAR(96),_xlfn.CONCAT(CHAR(92),CHAR(96))),CHAR(34),CHAR(39))))</f>
        <v/>
      </c>
      <c r="U482" s="5">
        <f t="shared" si="15"/>
        <v>0</v>
      </c>
    </row>
    <row r="483" spans="3:21" ht="30" customHeight="1" x14ac:dyDescent="0.2">
      <c r="C483" s="4"/>
      <c r="K483" s="5">
        <f t="shared" si="14"/>
        <v>0</v>
      </c>
      <c r="L483" s="5" t="str">
        <f>IF(OR(TRIM($B483)="",$A483=""),"",IF(OR(ISNUMBER(SEARCH(_xlfn.CONCAT(CHAR(96),CHAR(34)),$A483)),ISNUMBER(SEARCH(_xlfn.CONCAT(CHAR(34),CHAR(39)),$A483))),_xlfn.CONCAT("* REVIEW REQUIRED: compound-quote delimiter in Codebook Section on Sheet 1 row ",483,"; edit the input before running."),_xlfn.CONCAT("char ",TRIM($B483),"[doc_section] ",CHAR(96),CHAR(34),SUBSTITUTE(SUBSTITUTE(SUBSTITUTE(SUBSTITUTE(SUBSTITUTE(SUBSTITUTE($A483,CHAR(13)," "),CHAR(10)," "),CHAR(9)," "),CHAR(92),_xlfn.CONCAT(CHAR(92),CHAR(92))),"$",_xlfn.CONCAT(CHAR(92),"$")),CHAR(96),_xlfn.CONCAT(CHAR(92),CHAR(96))),CHAR(34),CHAR(39))))</f>
        <v/>
      </c>
      <c r="M483" s="5" t="str">
        <f>IF(OR(TRIM($B483)="",$C483=""),"",IF(IFERROR(MATCH(TRIM($C483),{"Quantitative","Continuous","Discrete","Categorical","Nominal","Ordinal","Identifier"},0),0)=0,_xlfn.CONCAT("* REVIEW REQUIRED: invalid Variable Type on Sheet 1 row ",483,"."),_xlfn.CONCAT("char ",TRIM($B483),"[doc_vartype] ",CHAR(96),CHAR(34),SUBSTITUTE(SUBSTITUTE(SUBSTITUTE(SUBSTITUTE(SUBSTITUTE(SUBSTITUTE(LOWER(TRIM($C483)),CHAR(13)," "),CHAR(10)," "),CHAR(9)," "),CHAR(92),_xlfn.CONCAT(CHAR(92),CHAR(92))),"$",_xlfn.CONCAT(CHAR(92),"$")),CHAR(96),_xlfn.CONCAT(CHAR(92),CHAR(96))),CHAR(34),CHAR(39))))</f>
        <v/>
      </c>
      <c r="N483" s="5" t="str">
        <f>IF(OR(TRIM($B483)="",$D483=""),"",IF(OR(ISNUMBER(SEARCH(_xlfn.CONCAT(CHAR(96),CHAR(34)),$D483)),ISNUMBER(SEARCH(_xlfn.CONCAT(CHAR(34),CHAR(39)),$D483))),_xlfn.CONCAT("* REVIEW REQUIRED: compound-quote delimiter in Item Number on Sheet 1 row ",483,"; edit the input before running."),_xlfn.CONCAT("char ",TRIM($B483),"[doc_itemnum] ",CHAR(96),CHAR(34),SUBSTITUTE(SUBSTITUTE(SUBSTITUTE(SUBSTITUTE(SUBSTITUTE(SUBSTITUTE($D483,CHAR(13)," "),CHAR(10)," "),CHAR(9)," "),CHAR(92),_xlfn.CONCAT(CHAR(92),CHAR(92))),"$",_xlfn.CONCAT(CHAR(92),"$")),CHAR(96),_xlfn.CONCAT(CHAR(92),CHAR(96))),CHAR(34),CHAR(39))))</f>
        <v/>
      </c>
      <c r="O483" s="5" t="str">
        <f>IF(OR(TRIM($B483)="",$E483=""),"",IF(OR(ISNUMBER(SEARCH(_xlfn.CONCAT(CHAR(96),CHAR(34)),$E483)),ISNUMBER(SEARCH(_xlfn.CONCAT(CHAR(34),CHAR(39)),$E483))),_xlfn.CONCAT("* REVIEW REQUIRED: compound-quote delimiter in Question Wording on Sheet 1 row ",483,"; edit the input before running."),_xlfn.CONCAT("char ",TRIM($B483),"[doc_question] ",CHAR(96),CHAR(34),SUBSTITUTE(SUBSTITUTE(SUBSTITUTE(SUBSTITUTE(SUBSTITUTE(SUBSTITUTE($E483,CHAR(13)," "),CHAR(10)," "),CHAR(9)," "),CHAR(92),_xlfn.CONCAT(CHAR(92),CHAR(92))),"$",_xlfn.CONCAT(CHAR(92),"$")),CHAR(96),_xlfn.CONCAT(CHAR(92),CHAR(96))),CHAR(34),CHAR(39))))</f>
        <v/>
      </c>
      <c r="P483" s="5" t="str">
        <f>IF(OR(TRIM($B483)="",$F483=""),"",IF(OR(ISNUMBER(SEARCH(_xlfn.CONCAT(CHAR(96),CHAR(34)),$F483)),ISNUMBER(SEARCH(_xlfn.CONCAT(CHAR(34),CHAR(39)),$F483))),_xlfn.CONCAT("* REVIEW REQUIRED: compound-quote delimiter in Units on Sheet 1 row ",483,"; edit the input before running."),_xlfn.CONCAT("char ",TRIM($B483),"[doc_units] ",CHAR(96),CHAR(34),SUBSTITUTE(SUBSTITUTE(SUBSTITUTE(SUBSTITUTE(SUBSTITUTE(SUBSTITUTE($F483,CHAR(13)," "),CHAR(10)," "),CHAR(9)," "),CHAR(92),_xlfn.CONCAT(CHAR(92),CHAR(92))),"$",_xlfn.CONCAT(CHAR(92),"$")),CHAR(96),_xlfn.CONCAT(CHAR(92),CHAR(96))),CHAR(34),CHAR(39))))</f>
        <v/>
      </c>
      <c r="Q483" s="5" t="str">
        <f>IF(OR(TRIM($B483)="",$G483=""),"",IF(OR(ISNUMBER(SEARCH(_xlfn.CONCAT(CHAR(96),CHAR(34)),$G483)),ISNUMBER(SEARCH(_xlfn.CONCAT(CHAR(34),CHAR(39)),$G483))),_xlfn.CONCAT("* REVIEW REQUIRED: compound-quote delimiter in Universe on Sheet 1 row ",483,"; edit the input before running."),_xlfn.CONCAT("char ",TRIM($B483),"[doc_universe] ",CHAR(96),CHAR(34),SUBSTITUTE(SUBSTITUTE(SUBSTITUTE(SUBSTITUTE(SUBSTITUTE(SUBSTITUTE($G483,CHAR(13)," "),CHAR(10)," "),CHAR(9)," "),CHAR(92),_xlfn.CONCAT(CHAR(92),CHAR(92))),"$",_xlfn.CONCAT(CHAR(92),"$")),CHAR(96),_xlfn.CONCAT(CHAR(92),CHAR(96))),CHAR(34),CHAR(39))))</f>
        <v/>
      </c>
      <c r="R483" s="5" t="str">
        <f>IF(OR(TRIM($B483)="",$H483=""),"",IF(OR(ISNUMBER(SEARCH(_xlfn.CONCAT(CHAR(96),CHAR(34)),$H483)),ISNUMBER(SEARCH(_xlfn.CONCAT(CHAR(34),CHAR(39)),$H483))),_xlfn.CONCAT("* REVIEW REQUIRED: compound-quote delimiter in Source on Sheet 1 row ",483,"; edit the input before running."),_xlfn.CONCAT("char ",TRIM($B483),"[doc_source] ",CHAR(96),CHAR(34),SUBSTITUTE(SUBSTITUTE(SUBSTITUTE(SUBSTITUTE(SUBSTITUTE(SUBSTITUTE($H483,CHAR(13)," "),CHAR(10)," "),CHAR(9)," "),CHAR(92),_xlfn.CONCAT(CHAR(92),CHAR(92))),"$",_xlfn.CONCAT(CHAR(92),"$")),CHAR(96),_xlfn.CONCAT(CHAR(92),CHAR(96))),CHAR(34),CHAR(39))))</f>
        <v/>
      </c>
      <c r="S483" s="5" t="str">
        <f>IF(OR(TRIM($B483)="",$I483=""),"",IF(OR(ISNUMBER(SEARCH(_xlfn.CONCAT(CHAR(96),CHAR(34)),$I483)),ISNUMBER(SEARCH(_xlfn.CONCAT(CHAR(34),CHAR(39)),$I483))),_xlfn.CONCAT("* REVIEW REQUIRED: compound-quote delimiter in Derivation on Sheet 1 row ",483,"; edit the input before running."),_xlfn.CONCAT("char ",TRIM($B483),"[doc_derivation] ",CHAR(96),CHAR(34),SUBSTITUTE(SUBSTITUTE(SUBSTITUTE(SUBSTITUTE(SUBSTITUTE(SUBSTITUTE($I483,CHAR(13)," "),CHAR(10)," "),CHAR(9)," "),CHAR(92),_xlfn.CONCAT(CHAR(92),CHAR(92))),"$",_xlfn.CONCAT(CHAR(92),"$")),CHAR(96),_xlfn.CONCAT(CHAR(92),CHAR(96))),CHAR(34),CHAR(39))))</f>
        <v/>
      </c>
      <c r="T483" s="5" t="str">
        <f>IF(OR(TRIM($B483)="",$J483=""),"",IF(OR(ISNUMBER(SEARCH(_xlfn.CONCAT(CHAR(96),CHAR(34)),$J483)),ISNUMBER(SEARCH(_xlfn.CONCAT(CHAR(34),CHAR(39)),$J483))),_xlfn.CONCAT("* REVIEW REQUIRED: compound-quote delimiter in Notes on Sheet 1 row ",483,"; edit the input before running."),_xlfn.CONCAT("char ",TRIM($B483),"[doc_notes] ",CHAR(96),CHAR(34),SUBSTITUTE(SUBSTITUTE(SUBSTITUTE(SUBSTITUTE(SUBSTITUTE(SUBSTITUTE($J483,CHAR(13)," "),CHAR(10)," "),CHAR(9)," "),CHAR(92),_xlfn.CONCAT(CHAR(92),CHAR(92))),"$",_xlfn.CONCAT(CHAR(92),"$")),CHAR(96),_xlfn.CONCAT(CHAR(92),CHAR(96))),CHAR(34),CHAR(39))))</f>
        <v/>
      </c>
      <c r="U483" s="5">
        <f t="shared" si="15"/>
        <v>0</v>
      </c>
    </row>
    <row r="484" spans="3:21" ht="30" customHeight="1" x14ac:dyDescent="0.2">
      <c r="C484" s="4"/>
      <c r="K484" s="5">
        <f t="shared" si="14"/>
        <v>0</v>
      </c>
      <c r="L484" s="5" t="str">
        <f>IF(OR(TRIM($B484)="",$A484=""),"",IF(OR(ISNUMBER(SEARCH(_xlfn.CONCAT(CHAR(96),CHAR(34)),$A484)),ISNUMBER(SEARCH(_xlfn.CONCAT(CHAR(34),CHAR(39)),$A484))),_xlfn.CONCAT("* REVIEW REQUIRED: compound-quote delimiter in Codebook Section on Sheet 1 row ",484,"; edit the input before running."),_xlfn.CONCAT("char ",TRIM($B484),"[doc_section] ",CHAR(96),CHAR(34),SUBSTITUTE(SUBSTITUTE(SUBSTITUTE(SUBSTITUTE(SUBSTITUTE(SUBSTITUTE($A484,CHAR(13)," "),CHAR(10)," "),CHAR(9)," "),CHAR(92),_xlfn.CONCAT(CHAR(92),CHAR(92))),"$",_xlfn.CONCAT(CHAR(92),"$")),CHAR(96),_xlfn.CONCAT(CHAR(92),CHAR(96))),CHAR(34),CHAR(39))))</f>
        <v/>
      </c>
      <c r="M484" s="5" t="str">
        <f>IF(OR(TRIM($B484)="",$C484=""),"",IF(IFERROR(MATCH(TRIM($C484),{"Quantitative","Continuous","Discrete","Categorical","Nominal","Ordinal","Identifier"},0),0)=0,_xlfn.CONCAT("* REVIEW REQUIRED: invalid Variable Type on Sheet 1 row ",484,"."),_xlfn.CONCAT("char ",TRIM($B484),"[doc_vartype] ",CHAR(96),CHAR(34),SUBSTITUTE(SUBSTITUTE(SUBSTITUTE(SUBSTITUTE(SUBSTITUTE(SUBSTITUTE(LOWER(TRIM($C484)),CHAR(13)," "),CHAR(10)," "),CHAR(9)," "),CHAR(92),_xlfn.CONCAT(CHAR(92),CHAR(92))),"$",_xlfn.CONCAT(CHAR(92),"$")),CHAR(96),_xlfn.CONCAT(CHAR(92),CHAR(96))),CHAR(34),CHAR(39))))</f>
        <v/>
      </c>
      <c r="N484" s="5" t="str">
        <f>IF(OR(TRIM($B484)="",$D484=""),"",IF(OR(ISNUMBER(SEARCH(_xlfn.CONCAT(CHAR(96),CHAR(34)),$D484)),ISNUMBER(SEARCH(_xlfn.CONCAT(CHAR(34),CHAR(39)),$D484))),_xlfn.CONCAT("* REVIEW REQUIRED: compound-quote delimiter in Item Number on Sheet 1 row ",484,"; edit the input before running."),_xlfn.CONCAT("char ",TRIM($B484),"[doc_itemnum] ",CHAR(96),CHAR(34),SUBSTITUTE(SUBSTITUTE(SUBSTITUTE(SUBSTITUTE(SUBSTITUTE(SUBSTITUTE($D484,CHAR(13)," "),CHAR(10)," "),CHAR(9)," "),CHAR(92),_xlfn.CONCAT(CHAR(92),CHAR(92))),"$",_xlfn.CONCAT(CHAR(92),"$")),CHAR(96),_xlfn.CONCAT(CHAR(92),CHAR(96))),CHAR(34),CHAR(39))))</f>
        <v/>
      </c>
      <c r="O484" s="5" t="str">
        <f>IF(OR(TRIM($B484)="",$E484=""),"",IF(OR(ISNUMBER(SEARCH(_xlfn.CONCAT(CHAR(96),CHAR(34)),$E484)),ISNUMBER(SEARCH(_xlfn.CONCAT(CHAR(34),CHAR(39)),$E484))),_xlfn.CONCAT("* REVIEW REQUIRED: compound-quote delimiter in Question Wording on Sheet 1 row ",484,"; edit the input before running."),_xlfn.CONCAT("char ",TRIM($B484),"[doc_question] ",CHAR(96),CHAR(34),SUBSTITUTE(SUBSTITUTE(SUBSTITUTE(SUBSTITUTE(SUBSTITUTE(SUBSTITUTE($E484,CHAR(13)," "),CHAR(10)," "),CHAR(9)," "),CHAR(92),_xlfn.CONCAT(CHAR(92),CHAR(92))),"$",_xlfn.CONCAT(CHAR(92),"$")),CHAR(96),_xlfn.CONCAT(CHAR(92),CHAR(96))),CHAR(34),CHAR(39))))</f>
        <v/>
      </c>
      <c r="P484" s="5" t="str">
        <f>IF(OR(TRIM($B484)="",$F484=""),"",IF(OR(ISNUMBER(SEARCH(_xlfn.CONCAT(CHAR(96),CHAR(34)),$F484)),ISNUMBER(SEARCH(_xlfn.CONCAT(CHAR(34),CHAR(39)),$F484))),_xlfn.CONCAT("* REVIEW REQUIRED: compound-quote delimiter in Units on Sheet 1 row ",484,"; edit the input before running."),_xlfn.CONCAT("char ",TRIM($B484),"[doc_units] ",CHAR(96),CHAR(34),SUBSTITUTE(SUBSTITUTE(SUBSTITUTE(SUBSTITUTE(SUBSTITUTE(SUBSTITUTE($F484,CHAR(13)," "),CHAR(10)," "),CHAR(9)," "),CHAR(92),_xlfn.CONCAT(CHAR(92),CHAR(92))),"$",_xlfn.CONCAT(CHAR(92),"$")),CHAR(96),_xlfn.CONCAT(CHAR(92),CHAR(96))),CHAR(34),CHAR(39))))</f>
        <v/>
      </c>
      <c r="Q484" s="5" t="str">
        <f>IF(OR(TRIM($B484)="",$G484=""),"",IF(OR(ISNUMBER(SEARCH(_xlfn.CONCAT(CHAR(96),CHAR(34)),$G484)),ISNUMBER(SEARCH(_xlfn.CONCAT(CHAR(34),CHAR(39)),$G484))),_xlfn.CONCAT("* REVIEW REQUIRED: compound-quote delimiter in Universe on Sheet 1 row ",484,"; edit the input before running."),_xlfn.CONCAT("char ",TRIM($B484),"[doc_universe] ",CHAR(96),CHAR(34),SUBSTITUTE(SUBSTITUTE(SUBSTITUTE(SUBSTITUTE(SUBSTITUTE(SUBSTITUTE($G484,CHAR(13)," "),CHAR(10)," "),CHAR(9)," "),CHAR(92),_xlfn.CONCAT(CHAR(92),CHAR(92))),"$",_xlfn.CONCAT(CHAR(92),"$")),CHAR(96),_xlfn.CONCAT(CHAR(92),CHAR(96))),CHAR(34),CHAR(39))))</f>
        <v/>
      </c>
      <c r="R484" s="5" t="str">
        <f>IF(OR(TRIM($B484)="",$H484=""),"",IF(OR(ISNUMBER(SEARCH(_xlfn.CONCAT(CHAR(96),CHAR(34)),$H484)),ISNUMBER(SEARCH(_xlfn.CONCAT(CHAR(34),CHAR(39)),$H484))),_xlfn.CONCAT("* REVIEW REQUIRED: compound-quote delimiter in Source on Sheet 1 row ",484,"; edit the input before running."),_xlfn.CONCAT("char ",TRIM($B484),"[doc_source] ",CHAR(96),CHAR(34),SUBSTITUTE(SUBSTITUTE(SUBSTITUTE(SUBSTITUTE(SUBSTITUTE(SUBSTITUTE($H484,CHAR(13)," "),CHAR(10)," "),CHAR(9)," "),CHAR(92),_xlfn.CONCAT(CHAR(92),CHAR(92))),"$",_xlfn.CONCAT(CHAR(92),"$")),CHAR(96),_xlfn.CONCAT(CHAR(92),CHAR(96))),CHAR(34),CHAR(39))))</f>
        <v/>
      </c>
      <c r="S484" s="5" t="str">
        <f>IF(OR(TRIM($B484)="",$I484=""),"",IF(OR(ISNUMBER(SEARCH(_xlfn.CONCAT(CHAR(96),CHAR(34)),$I484)),ISNUMBER(SEARCH(_xlfn.CONCAT(CHAR(34),CHAR(39)),$I484))),_xlfn.CONCAT("* REVIEW REQUIRED: compound-quote delimiter in Derivation on Sheet 1 row ",484,"; edit the input before running."),_xlfn.CONCAT("char ",TRIM($B484),"[doc_derivation] ",CHAR(96),CHAR(34),SUBSTITUTE(SUBSTITUTE(SUBSTITUTE(SUBSTITUTE(SUBSTITUTE(SUBSTITUTE($I484,CHAR(13)," "),CHAR(10)," "),CHAR(9)," "),CHAR(92),_xlfn.CONCAT(CHAR(92),CHAR(92))),"$",_xlfn.CONCAT(CHAR(92),"$")),CHAR(96),_xlfn.CONCAT(CHAR(92),CHAR(96))),CHAR(34),CHAR(39))))</f>
        <v/>
      </c>
      <c r="T484" s="5" t="str">
        <f>IF(OR(TRIM($B484)="",$J484=""),"",IF(OR(ISNUMBER(SEARCH(_xlfn.CONCAT(CHAR(96),CHAR(34)),$J484)),ISNUMBER(SEARCH(_xlfn.CONCAT(CHAR(34),CHAR(39)),$J484))),_xlfn.CONCAT("* REVIEW REQUIRED: compound-quote delimiter in Notes on Sheet 1 row ",484,"; edit the input before running."),_xlfn.CONCAT("char ",TRIM($B484),"[doc_notes] ",CHAR(96),CHAR(34),SUBSTITUTE(SUBSTITUTE(SUBSTITUTE(SUBSTITUTE(SUBSTITUTE(SUBSTITUTE($J484,CHAR(13)," "),CHAR(10)," "),CHAR(9)," "),CHAR(92),_xlfn.CONCAT(CHAR(92),CHAR(92))),"$",_xlfn.CONCAT(CHAR(92),"$")),CHAR(96),_xlfn.CONCAT(CHAR(92),CHAR(96))),CHAR(34),CHAR(39))))</f>
        <v/>
      </c>
      <c r="U484" s="5">
        <f t="shared" si="15"/>
        <v>0</v>
      </c>
    </row>
    <row r="485" spans="3:21" ht="30" customHeight="1" x14ac:dyDescent="0.2">
      <c r="C485" s="4"/>
      <c r="K485" s="5">
        <f t="shared" si="14"/>
        <v>0</v>
      </c>
      <c r="L485" s="5" t="str">
        <f>IF(OR(TRIM($B485)="",$A485=""),"",IF(OR(ISNUMBER(SEARCH(_xlfn.CONCAT(CHAR(96),CHAR(34)),$A485)),ISNUMBER(SEARCH(_xlfn.CONCAT(CHAR(34),CHAR(39)),$A485))),_xlfn.CONCAT("* REVIEW REQUIRED: compound-quote delimiter in Codebook Section on Sheet 1 row ",485,"; edit the input before running."),_xlfn.CONCAT("char ",TRIM($B485),"[doc_section] ",CHAR(96),CHAR(34),SUBSTITUTE(SUBSTITUTE(SUBSTITUTE(SUBSTITUTE(SUBSTITUTE(SUBSTITUTE($A485,CHAR(13)," "),CHAR(10)," "),CHAR(9)," "),CHAR(92),_xlfn.CONCAT(CHAR(92),CHAR(92))),"$",_xlfn.CONCAT(CHAR(92),"$")),CHAR(96),_xlfn.CONCAT(CHAR(92),CHAR(96))),CHAR(34),CHAR(39))))</f>
        <v/>
      </c>
      <c r="M485" s="5" t="str">
        <f>IF(OR(TRIM($B485)="",$C485=""),"",IF(IFERROR(MATCH(TRIM($C485),{"Quantitative","Continuous","Discrete","Categorical","Nominal","Ordinal","Identifier"},0),0)=0,_xlfn.CONCAT("* REVIEW REQUIRED: invalid Variable Type on Sheet 1 row ",485,"."),_xlfn.CONCAT("char ",TRIM($B485),"[doc_vartype] ",CHAR(96),CHAR(34),SUBSTITUTE(SUBSTITUTE(SUBSTITUTE(SUBSTITUTE(SUBSTITUTE(SUBSTITUTE(LOWER(TRIM($C485)),CHAR(13)," "),CHAR(10)," "),CHAR(9)," "),CHAR(92),_xlfn.CONCAT(CHAR(92),CHAR(92))),"$",_xlfn.CONCAT(CHAR(92),"$")),CHAR(96),_xlfn.CONCAT(CHAR(92),CHAR(96))),CHAR(34),CHAR(39))))</f>
        <v/>
      </c>
      <c r="N485" s="5" t="str">
        <f>IF(OR(TRIM($B485)="",$D485=""),"",IF(OR(ISNUMBER(SEARCH(_xlfn.CONCAT(CHAR(96),CHAR(34)),$D485)),ISNUMBER(SEARCH(_xlfn.CONCAT(CHAR(34),CHAR(39)),$D485))),_xlfn.CONCAT("* REVIEW REQUIRED: compound-quote delimiter in Item Number on Sheet 1 row ",485,"; edit the input before running."),_xlfn.CONCAT("char ",TRIM($B485),"[doc_itemnum] ",CHAR(96),CHAR(34),SUBSTITUTE(SUBSTITUTE(SUBSTITUTE(SUBSTITUTE(SUBSTITUTE(SUBSTITUTE($D485,CHAR(13)," "),CHAR(10)," "),CHAR(9)," "),CHAR(92),_xlfn.CONCAT(CHAR(92),CHAR(92))),"$",_xlfn.CONCAT(CHAR(92),"$")),CHAR(96),_xlfn.CONCAT(CHAR(92),CHAR(96))),CHAR(34),CHAR(39))))</f>
        <v/>
      </c>
      <c r="O485" s="5" t="str">
        <f>IF(OR(TRIM($B485)="",$E485=""),"",IF(OR(ISNUMBER(SEARCH(_xlfn.CONCAT(CHAR(96),CHAR(34)),$E485)),ISNUMBER(SEARCH(_xlfn.CONCAT(CHAR(34),CHAR(39)),$E485))),_xlfn.CONCAT("* REVIEW REQUIRED: compound-quote delimiter in Question Wording on Sheet 1 row ",485,"; edit the input before running."),_xlfn.CONCAT("char ",TRIM($B485),"[doc_question] ",CHAR(96),CHAR(34),SUBSTITUTE(SUBSTITUTE(SUBSTITUTE(SUBSTITUTE(SUBSTITUTE(SUBSTITUTE($E485,CHAR(13)," "),CHAR(10)," "),CHAR(9)," "),CHAR(92),_xlfn.CONCAT(CHAR(92),CHAR(92))),"$",_xlfn.CONCAT(CHAR(92),"$")),CHAR(96),_xlfn.CONCAT(CHAR(92),CHAR(96))),CHAR(34),CHAR(39))))</f>
        <v/>
      </c>
      <c r="P485" s="5" t="str">
        <f>IF(OR(TRIM($B485)="",$F485=""),"",IF(OR(ISNUMBER(SEARCH(_xlfn.CONCAT(CHAR(96),CHAR(34)),$F485)),ISNUMBER(SEARCH(_xlfn.CONCAT(CHAR(34),CHAR(39)),$F485))),_xlfn.CONCAT("* REVIEW REQUIRED: compound-quote delimiter in Units on Sheet 1 row ",485,"; edit the input before running."),_xlfn.CONCAT("char ",TRIM($B485),"[doc_units] ",CHAR(96),CHAR(34),SUBSTITUTE(SUBSTITUTE(SUBSTITUTE(SUBSTITUTE(SUBSTITUTE(SUBSTITUTE($F485,CHAR(13)," "),CHAR(10)," "),CHAR(9)," "),CHAR(92),_xlfn.CONCAT(CHAR(92),CHAR(92))),"$",_xlfn.CONCAT(CHAR(92),"$")),CHAR(96),_xlfn.CONCAT(CHAR(92),CHAR(96))),CHAR(34),CHAR(39))))</f>
        <v/>
      </c>
      <c r="Q485" s="5" t="str">
        <f>IF(OR(TRIM($B485)="",$G485=""),"",IF(OR(ISNUMBER(SEARCH(_xlfn.CONCAT(CHAR(96),CHAR(34)),$G485)),ISNUMBER(SEARCH(_xlfn.CONCAT(CHAR(34),CHAR(39)),$G485))),_xlfn.CONCAT("* REVIEW REQUIRED: compound-quote delimiter in Universe on Sheet 1 row ",485,"; edit the input before running."),_xlfn.CONCAT("char ",TRIM($B485),"[doc_universe] ",CHAR(96),CHAR(34),SUBSTITUTE(SUBSTITUTE(SUBSTITUTE(SUBSTITUTE(SUBSTITUTE(SUBSTITUTE($G485,CHAR(13)," "),CHAR(10)," "),CHAR(9)," "),CHAR(92),_xlfn.CONCAT(CHAR(92),CHAR(92))),"$",_xlfn.CONCAT(CHAR(92),"$")),CHAR(96),_xlfn.CONCAT(CHAR(92),CHAR(96))),CHAR(34),CHAR(39))))</f>
        <v/>
      </c>
      <c r="R485" s="5" t="str">
        <f>IF(OR(TRIM($B485)="",$H485=""),"",IF(OR(ISNUMBER(SEARCH(_xlfn.CONCAT(CHAR(96),CHAR(34)),$H485)),ISNUMBER(SEARCH(_xlfn.CONCAT(CHAR(34),CHAR(39)),$H485))),_xlfn.CONCAT("* REVIEW REQUIRED: compound-quote delimiter in Source on Sheet 1 row ",485,"; edit the input before running."),_xlfn.CONCAT("char ",TRIM($B485),"[doc_source] ",CHAR(96),CHAR(34),SUBSTITUTE(SUBSTITUTE(SUBSTITUTE(SUBSTITUTE(SUBSTITUTE(SUBSTITUTE($H485,CHAR(13)," "),CHAR(10)," "),CHAR(9)," "),CHAR(92),_xlfn.CONCAT(CHAR(92),CHAR(92))),"$",_xlfn.CONCAT(CHAR(92),"$")),CHAR(96),_xlfn.CONCAT(CHAR(92),CHAR(96))),CHAR(34),CHAR(39))))</f>
        <v/>
      </c>
      <c r="S485" s="5" t="str">
        <f>IF(OR(TRIM($B485)="",$I485=""),"",IF(OR(ISNUMBER(SEARCH(_xlfn.CONCAT(CHAR(96),CHAR(34)),$I485)),ISNUMBER(SEARCH(_xlfn.CONCAT(CHAR(34),CHAR(39)),$I485))),_xlfn.CONCAT("* REVIEW REQUIRED: compound-quote delimiter in Derivation on Sheet 1 row ",485,"; edit the input before running."),_xlfn.CONCAT("char ",TRIM($B485),"[doc_derivation] ",CHAR(96),CHAR(34),SUBSTITUTE(SUBSTITUTE(SUBSTITUTE(SUBSTITUTE(SUBSTITUTE(SUBSTITUTE($I485,CHAR(13)," "),CHAR(10)," "),CHAR(9)," "),CHAR(92),_xlfn.CONCAT(CHAR(92),CHAR(92))),"$",_xlfn.CONCAT(CHAR(92),"$")),CHAR(96),_xlfn.CONCAT(CHAR(92),CHAR(96))),CHAR(34),CHAR(39))))</f>
        <v/>
      </c>
      <c r="T485" s="5" t="str">
        <f>IF(OR(TRIM($B485)="",$J485=""),"",IF(OR(ISNUMBER(SEARCH(_xlfn.CONCAT(CHAR(96),CHAR(34)),$J485)),ISNUMBER(SEARCH(_xlfn.CONCAT(CHAR(34),CHAR(39)),$J485))),_xlfn.CONCAT("* REVIEW REQUIRED: compound-quote delimiter in Notes on Sheet 1 row ",485,"; edit the input before running."),_xlfn.CONCAT("char ",TRIM($B485),"[doc_notes] ",CHAR(96),CHAR(34),SUBSTITUTE(SUBSTITUTE(SUBSTITUTE(SUBSTITUTE(SUBSTITUTE(SUBSTITUTE($J485,CHAR(13)," "),CHAR(10)," "),CHAR(9)," "),CHAR(92),_xlfn.CONCAT(CHAR(92),CHAR(92))),"$",_xlfn.CONCAT(CHAR(92),"$")),CHAR(96),_xlfn.CONCAT(CHAR(92),CHAR(96))),CHAR(34),CHAR(39))))</f>
        <v/>
      </c>
      <c r="U485" s="5">
        <f t="shared" si="15"/>
        <v>0</v>
      </c>
    </row>
    <row r="486" spans="3:21" ht="30" customHeight="1" x14ac:dyDescent="0.2">
      <c r="C486" s="4"/>
      <c r="K486" s="5">
        <f t="shared" si="14"/>
        <v>0</v>
      </c>
      <c r="L486" s="5" t="str">
        <f>IF(OR(TRIM($B486)="",$A486=""),"",IF(OR(ISNUMBER(SEARCH(_xlfn.CONCAT(CHAR(96),CHAR(34)),$A486)),ISNUMBER(SEARCH(_xlfn.CONCAT(CHAR(34),CHAR(39)),$A486))),_xlfn.CONCAT("* REVIEW REQUIRED: compound-quote delimiter in Codebook Section on Sheet 1 row ",486,"; edit the input before running."),_xlfn.CONCAT("char ",TRIM($B486),"[doc_section] ",CHAR(96),CHAR(34),SUBSTITUTE(SUBSTITUTE(SUBSTITUTE(SUBSTITUTE(SUBSTITUTE(SUBSTITUTE($A486,CHAR(13)," "),CHAR(10)," "),CHAR(9)," "),CHAR(92),_xlfn.CONCAT(CHAR(92),CHAR(92))),"$",_xlfn.CONCAT(CHAR(92),"$")),CHAR(96),_xlfn.CONCAT(CHAR(92),CHAR(96))),CHAR(34),CHAR(39))))</f>
        <v/>
      </c>
      <c r="M486" s="5" t="str">
        <f>IF(OR(TRIM($B486)="",$C486=""),"",IF(IFERROR(MATCH(TRIM($C486),{"Quantitative","Continuous","Discrete","Categorical","Nominal","Ordinal","Identifier"},0),0)=0,_xlfn.CONCAT("* REVIEW REQUIRED: invalid Variable Type on Sheet 1 row ",486,"."),_xlfn.CONCAT("char ",TRIM($B486),"[doc_vartype] ",CHAR(96),CHAR(34),SUBSTITUTE(SUBSTITUTE(SUBSTITUTE(SUBSTITUTE(SUBSTITUTE(SUBSTITUTE(LOWER(TRIM($C486)),CHAR(13)," "),CHAR(10)," "),CHAR(9)," "),CHAR(92),_xlfn.CONCAT(CHAR(92),CHAR(92))),"$",_xlfn.CONCAT(CHAR(92),"$")),CHAR(96),_xlfn.CONCAT(CHAR(92),CHAR(96))),CHAR(34),CHAR(39))))</f>
        <v/>
      </c>
      <c r="N486" s="5" t="str">
        <f>IF(OR(TRIM($B486)="",$D486=""),"",IF(OR(ISNUMBER(SEARCH(_xlfn.CONCAT(CHAR(96),CHAR(34)),$D486)),ISNUMBER(SEARCH(_xlfn.CONCAT(CHAR(34),CHAR(39)),$D486))),_xlfn.CONCAT("* REVIEW REQUIRED: compound-quote delimiter in Item Number on Sheet 1 row ",486,"; edit the input before running."),_xlfn.CONCAT("char ",TRIM($B486),"[doc_itemnum] ",CHAR(96),CHAR(34),SUBSTITUTE(SUBSTITUTE(SUBSTITUTE(SUBSTITUTE(SUBSTITUTE(SUBSTITUTE($D486,CHAR(13)," "),CHAR(10)," "),CHAR(9)," "),CHAR(92),_xlfn.CONCAT(CHAR(92),CHAR(92))),"$",_xlfn.CONCAT(CHAR(92),"$")),CHAR(96),_xlfn.CONCAT(CHAR(92),CHAR(96))),CHAR(34),CHAR(39))))</f>
        <v/>
      </c>
      <c r="O486" s="5" t="str">
        <f>IF(OR(TRIM($B486)="",$E486=""),"",IF(OR(ISNUMBER(SEARCH(_xlfn.CONCAT(CHAR(96),CHAR(34)),$E486)),ISNUMBER(SEARCH(_xlfn.CONCAT(CHAR(34),CHAR(39)),$E486))),_xlfn.CONCAT("* REVIEW REQUIRED: compound-quote delimiter in Question Wording on Sheet 1 row ",486,"; edit the input before running."),_xlfn.CONCAT("char ",TRIM($B486),"[doc_question] ",CHAR(96),CHAR(34),SUBSTITUTE(SUBSTITUTE(SUBSTITUTE(SUBSTITUTE(SUBSTITUTE(SUBSTITUTE($E486,CHAR(13)," "),CHAR(10)," "),CHAR(9)," "),CHAR(92),_xlfn.CONCAT(CHAR(92),CHAR(92))),"$",_xlfn.CONCAT(CHAR(92),"$")),CHAR(96),_xlfn.CONCAT(CHAR(92),CHAR(96))),CHAR(34),CHAR(39))))</f>
        <v/>
      </c>
      <c r="P486" s="5" t="str">
        <f>IF(OR(TRIM($B486)="",$F486=""),"",IF(OR(ISNUMBER(SEARCH(_xlfn.CONCAT(CHAR(96),CHAR(34)),$F486)),ISNUMBER(SEARCH(_xlfn.CONCAT(CHAR(34),CHAR(39)),$F486))),_xlfn.CONCAT("* REVIEW REQUIRED: compound-quote delimiter in Units on Sheet 1 row ",486,"; edit the input before running."),_xlfn.CONCAT("char ",TRIM($B486),"[doc_units] ",CHAR(96),CHAR(34),SUBSTITUTE(SUBSTITUTE(SUBSTITUTE(SUBSTITUTE(SUBSTITUTE(SUBSTITUTE($F486,CHAR(13)," "),CHAR(10)," "),CHAR(9)," "),CHAR(92),_xlfn.CONCAT(CHAR(92),CHAR(92))),"$",_xlfn.CONCAT(CHAR(92),"$")),CHAR(96),_xlfn.CONCAT(CHAR(92),CHAR(96))),CHAR(34),CHAR(39))))</f>
        <v/>
      </c>
      <c r="Q486" s="5" t="str">
        <f>IF(OR(TRIM($B486)="",$G486=""),"",IF(OR(ISNUMBER(SEARCH(_xlfn.CONCAT(CHAR(96),CHAR(34)),$G486)),ISNUMBER(SEARCH(_xlfn.CONCAT(CHAR(34),CHAR(39)),$G486))),_xlfn.CONCAT("* REVIEW REQUIRED: compound-quote delimiter in Universe on Sheet 1 row ",486,"; edit the input before running."),_xlfn.CONCAT("char ",TRIM($B486),"[doc_universe] ",CHAR(96),CHAR(34),SUBSTITUTE(SUBSTITUTE(SUBSTITUTE(SUBSTITUTE(SUBSTITUTE(SUBSTITUTE($G486,CHAR(13)," "),CHAR(10)," "),CHAR(9)," "),CHAR(92),_xlfn.CONCAT(CHAR(92),CHAR(92))),"$",_xlfn.CONCAT(CHAR(92),"$")),CHAR(96),_xlfn.CONCAT(CHAR(92),CHAR(96))),CHAR(34),CHAR(39))))</f>
        <v/>
      </c>
      <c r="R486" s="5" t="str">
        <f>IF(OR(TRIM($B486)="",$H486=""),"",IF(OR(ISNUMBER(SEARCH(_xlfn.CONCAT(CHAR(96),CHAR(34)),$H486)),ISNUMBER(SEARCH(_xlfn.CONCAT(CHAR(34),CHAR(39)),$H486))),_xlfn.CONCAT("* REVIEW REQUIRED: compound-quote delimiter in Source on Sheet 1 row ",486,"; edit the input before running."),_xlfn.CONCAT("char ",TRIM($B486),"[doc_source] ",CHAR(96),CHAR(34),SUBSTITUTE(SUBSTITUTE(SUBSTITUTE(SUBSTITUTE(SUBSTITUTE(SUBSTITUTE($H486,CHAR(13)," "),CHAR(10)," "),CHAR(9)," "),CHAR(92),_xlfn.CONCAT(CHAR(92),CHAR(92))),"$",_xlfn.CONCAT(CHAR(92),"$")),CHAR(96),_xlfn.CONCAT(CHAR(92),CHAR(96))),CHAR(34),CHAR(39))))</f>
        <v/>
      </c>
      <c r="S486" s="5" t="str">
        <f>IF(OR(TRIM($B486)="",$I486=""),"",IF(OR(ISNUMBER(SEARCH(_xlfn.CONCAT(CHAR(96),CHAR(34)),$I486)),ISNUMBER(SEARCH(_xlfn.CONCAT(CHAR(34),CHAR(39)),$I486))),_xlfn.CONCAT("* REVIEW REQUIRED: compound-quote delimiter in Derivation on Sheet 1 row ",486,"; edit the input before running."),_xlfn.CONCAT("char ",TRIM($B486),"[doc_derivation] ",CHAR(96),CHAR(34),SUBSTITUTE(SUBSTITUTE(SUBSTITUTE(SUBSTITUTE(SUBSTITUTE(SUBSTITUTE($I486,CHAR(13)," "),CHAR(10)," "),CHAR(9)," "),CHAR(92),_xlfn.CONCAT(CHAR(92),CHAR(92))),"$",_xlfn.CONCAT(CHAR(92),"$")),CHAR(96),_xlfn.CONCAT(CHAR(92),CHAR(96))),CHAR(34),CHAR(39))))</f>
        <v/>
      </c>
      <c r="T486" s="5" t="str">
        <f>IF(OR(TRIM($B486)="",$J486=""),"",IF(OR(ISNUMBER(SEARCH(_xlfn.CONCAT(CHAR(96),CHAR(34)),$J486)),ISNUMBER(SEARCH(_xlfn.CONCAT(CHAR(34),CHAR(39)),$J486))),_xlfn.CONCAT("* REVIEW REQUIRED: compound-quote delimiter in Notes on Sheet 1 row ",486,"; edit the input before running."),_xlfn.CONCAT("char ",TRIM($B486),"[doc_notes] ",CHAR(96),CHAR(34),SUBSTITUTE(SUBSTITUTE(SUBSTITUTE(SUBSTITUTE(SUBSTITUTE(SUBSTITUTE($J486,CHAR(13)," "),CHAR(10)," "),CHAR(9)," "),CHAR(92),_xlfn.CONCAT(CHAR(92),CHAR(92))),"$",_xlfn.CONCAT(CHAR(92),"$")),CHAR(96),_xlfn.CONCAT(CHAR(92),CHAR(96))),CHAR(34),CHAR(39))))</f>
        <v/>
      </c>
      <c r="U486" s="5">
        <f t="shared" si="15"/>
        <v>0</v>
      </c>
    </row>
    <row r="487" spans="3:21" ht="30" customHeight="1" x14ac:dyDescent="0.2">
      <c r="C487" s="4"/>
      <c r="K487" s="5">
        <f t="shared" si="14"/>
        <v>0</v>
      </c>
      <c r="L487" s="5" t="str">
        <f>IF(OR(TRIM($B487)="",$A487=""),"",IF(OR(ISNUMBER(SEARCH(_xlfn.CONCAT(CHAR(96),CHAR(34)),$A487)),ISNUMBER(SEARCH(_xlfn.CONCAT(CHAR(34),CHAR(39)),$A487))),_xlfn.CONCAT("* REVIEW REQUIRED: compound-quote delimiter in Codebook Section on Sheet 1 row ",487,"; edit the input before running."),_xlfn.CONCAT("char ",TRIM($B487),"[doc_section] ",CHAR(96),CHAR(34),SUBSTITUTE(SUBSTITUTE(SUBSTITUTE(SUBSTITUTE(SUBSTITUTE(SUBSTITUTE($A487,CHAR(13)," "),CHAR(10)," "),CHAR(9)," "),CHAR(92),_xlfn.CONCAT(CHAR(92),CHAR(92))),"$",_xlfn.CONCAT(CHAR(92),"$")),CHAR(96),_xlfn.CONCAT(CHAR(92),CHAR(96))),CHAR(34),CHAR(39))))</f>
        <v/>
      </c>
      <c r="M487" s="5" t="str">
        <f>IF(OR(TRIM($B487)="",$C487=""),"",IF(IFERROR(MATCH(TRIM($C487),{"Quantitative","Continuous","Discrete","Categorical","Nominal","Ordinal","Identifier"},0),0)=0,_xlfn.CONCAT("* REVIEW REQUIRED: invalid Variable Type on Sheet 1 row ",487,"."),_xlfn.CONCAT("char ",TRIM($B487),"[doc_vartype] ",CHAR(96),CHAR(34),SUBSTITUTE(SUBSTITUTE(SUBSTITUTE(SUBSTITUTE(SUBSTITUTE(SUBSTITUTE(LOWER(TRIM($C487)),CHAR(13)," "),CHAR(10)," "),CHAR(9)," "),CHAR(92),_xlfn.CONCAT(CHAR(92),CHAR(92))),"$",_xlfn.CONCAT(CHAR(92),"$")),CHAR(96),_xlfn.CONCAT(CHAR(92),CHAR(96))),CHAR(34),CHAR(39))))</f>
        <v/>
      </c>
      <c r="N487" s="5" t="str">
        <f>IF(OR(TRIM($B487)="",$D487=""),"",IF(OR(ISNUMBER(SEARCH(_xlfn.CONCAT(CHAR(96),CHAR(34)),$D487)),ISNUMBER(SEARCH(_xlfn.CONCAT(CHAR(34),CHAR(39)),$D487))),_xlfn.CONCAT("* REVIEW REQUIRED: compound-quote delimiter in Item Number on Sheet 1 row ",487,"; edit the input before running."),_xlfn.CONCAT("char ",TRIM($B487),"[doc_itemnum] ",CHAR(96),CHAR(34),SUBSTITUTE(SUBSTITUTE(SUBSTITUTE(SUBSTITUTE(SUBSTITUTE(SUBSTITUTE($D487,CHAR(13)," "),CHAR(10)," "),CHAR(9)," "),CHAR(92),_xlfn.CONCAT(CHAR(92),CHAR(92))),"$",_xlfn.CONCAT(CHAR(92),"$")),CHAR(96),_xlfn.CONCAT(CHAR(92),CHAR(96))),CHAR(34),CHAR(39))))</f>
        <v/>
      </c>
      <c r="O487" s="5" t="str">
        <f>IF(OR(TRIM($B487)="",$E487=""),"",IF(OR(ISNUMBER(SEARCH(_xlfn.CONCAT(CHAR(96),CHAR(34)),$E487)),ISNUMBER(SEARCH(_xlfn.CONCAT(CHAR(34),CHAR(39)),$E487))),_xlfn.CONCAT("* REVIEW REQUIRED: compound-quote delimiter in Question Wording on Sheet 1 row ",487,"; edit the input before running."),_xlfn.CONCAT("char ",TRIM($B487),"[doc_question] ",CHAR(96),CHAR(34),SUBSTITUTE(SUBSTITUTE(SUBSTITUTE(SUBSTITUTE(SUBSTITUTE(SUBSTITUTE($E487,CHAR(13)," "),CHAR(10)," "),CHAR(9)," "),CHAR(92),_xlfn.CONCAT(CHAR(92),CHAR(92))),"$",_xlfn.CONCAT(CHAR(92),"$")),CHAR(96),_xlfn.CONCAT(CHAR(92),CHAR(96))),CHAR(34),CHAR(39))))</f>
        <v/>
      </c>
      <c r="P487" s="5" t="str">
        <f>IF(OR(TRIM($B487)="",$F487=""),"",IF(OR(ISNUMBER(SEARCH(_xlfn.CONCAT(CHAR(96),CHAR(34)),$F487)),ISNUMBER(SEARCH(_xlfn.CONCAT(CHAR(34),CHAR(39)),$F487))),_xlfn.CONCAT("* REVIEW REQUIRED: compound-quote delimiter in Units on Sheet 1 row ",487,"; edit the input before running."),_xlfn.CONCAT("char ",TRIM($B487),"[doc_units] ",CHAR(96),CHAR(34),SUBSTITUTE(SUBSTITUTE(SUBSTITUTE(SUBSTITUTE(SUBSTITUTE(SUBSTITUTE($F487,CHAR(13)," "),CHAR(10)," "),CHAR(9)," "),CHAR(92),_xlfn.CONCAT(CHAR(92),CHAR(92))),"$",_xlfn.CONCAT(CHAR(92),"$")),CHAR(96),_xlfn.CONCAT(CHAR(92),CHAR(96))),CHAR(34),CHAR(39))))</f>
        <v/>
      </c>
      <c r="Q487" s="5" t="str">
        <f>IF(OR(TRIM($B487)="",$G487=""),"",IF(OR(ISNUMBER(SEARCH(_xlfn.CONCAT(CHAR(96),CHAR(34)),$G487)),ISNUMBER(SEARCH(_xlfn.CONCAT(CHAR(34),CHAR(39)),$G487))),_xlfn.CONCAT("* REVIEW REQUIRED: compound-quote delimiter in Universe on Sheet 1 row ",487,"; edit the input before running."),_xlfn.CONCAT("char ",TRIM($B487),"[doc_universe] ",CHAR(96),CHAR(34),SUBSTITUTE(SUBSTITUTE(SUBSTITUTE(SUBSTITUTE(SUBSTITUTE(SUBSTITUTE($G487,CHAR(13)," "),CHAR(10)," "),CHAR(9)," "),CHAR(92),_xlfn.CONCAT(CHAR(92),CHAR(92))),"$",_xlfn.CONCAT(CHAR(92),"$")),CHAR(96),_xlfn.CONCAT(CHAR(92),CHAR(96))),CHAR(34),CHAR(39))))</f>
        <v/>
      </c>
      <c r="R487" s="5" t="str">
        <f>IF(OR(TRIM($B487)="",$H487=""),"",IF(OR(ISNUMBER(SEARCH(_xlfn.CONCAT(CHAR(96),CHAR(34)),$H487)),ISNUMBER(SEARCH(_xlfn.CONCAT(CHAR(34),CHAR(39)),$H487))),_xlfn.CONCAT("* REVIEW REQUIRED: compound-quote delimiter in Source on Sheet 1 row ",487,"; edit the input before running."),_xlfn.CONCAT("char ",TRIM($B487),"[doc_source] ",CHAR(96),CHAR(34),SUBSTITUTE(SUBSTITUTE(SUBSTITUTE(SUBSTITUTE(SUBSTITUTE(SUBSTITUTE($H487,CHAR(13)," "),CHAR(10)," "),CHAR(9)," "),CHAR(92),_xlfn.CONCAT(CHAR(92),CHAR(92))),"$",_xlfn.CONCAT(CHAR(92),"$")),CHAR(96),_xlfn.CONCAT(CHAR(92),CHAR(96))),CHAR(34),CHAR(39))))</f>
        <v/>
      </c>
      <c r="S487" s="5" t="str">
        <f>IF(OR(TRIM($B487)="",$I487=""),"",IF(OR(ISNUMBER(SEARCH(_xlfn.CONCAT(CHAR(96),CHAR(34)),$I487)),ISNUMBER(SEARCH(_xlfn.CONCAT(CHAR(34),CHAR(39)),$I487))),_xlfn.CONCAT("* REVIEW REQUIRED: compound-quote delimiter in Derivation on Sheet 1 row ",487,"; edit the input before running."),_xlfn.CONCAT("char ",TRIM($B487),"[doc_derivation] ",CHAR(96),CHAR(34),SUBSTITUTE(SUBSTITUTE(SUBSTITUTE(SUBSTITUTE(SUBSTITUTE(SUBSTITUTE($I487,CHAR(13)," "),CHAR(10)," "),CHAR(9)," "),CHAR(92),_xlfn.CONCAT(CHAR(92),CHAR(92))),"$",_xlfn.CONCAT(CHAR(92),"$")),CHAR(96),_xlfn.CONCAT(CHAR(92),CHAR(96))),CHAR(34),CHAR(39))))</f>
        <v/>
      </c>
      <c r="T487" s="5" t="str">
        <f>IF(OR(TRIM($B487)="",$J487=""),"",IF(OR(ISNUMBER(SEARCH(_xlfn.CONCAT(CHAR(96),CHAR(34)),$J487)),ISNUMBER(SEARCH(_xlfn.CONCAT(CHAR(34),CHAR(39)),$J487))),_xlfn.CONCAT("* REVIEW REQUIRED: compound-quote delimiter in Notes on Sheet 1 row ",487,"; edit the input before running."),_xlfn.CONCAT("char ",TRIM($B487),"[doc_notes] ",CHAR(96),CHAR(34),SUBSTITUTE(SUBSTITUTE(SUBSTITUTE(SUBSTITUTE(SUBSTITUTE(SUBSTITUTE($J487,CHAR(13)," "),CHAR(10)," "),CHAR(9)," "),CHAR(92),_xlfn.CONCAT(CHAR(92),CHAR(92))),"$",_xlfn.CONCAT(CHAR(92),"$")),CHAR(96),_xlfn.CONCAT(CHAR(92),CHAR(96))),CHAR(34),CHAR(39))))</f>
        <v/>
      </c>
      <c r="U487" s="5">
        <f t="shared" si="15"/>
        <v>0</v>
      </c>
    </row>
    <row r="488" spans="3:21" ht="30" customHeight="1" x14ac:dyDescent="0.2">
      <c r="C488" s="4"/>
      <c r="K488" s="5">
        <f t="shared" si="14"/>
        <v>0</v>
      </c>
      <c r="L488" s="5" t="str">
        <f>IF(OR(TRIM($B488)="",$A488=""),"",IF(OR(ISNUMBER(SEARCH(_xlfn.CONCAT(CHAR(96),CHAR(34)),$A488)),ISNUMBER(SEARCH(_xlfn.CONCAT(CHAR(34),CHAR(39)),$A488))),_xlfn.CONCAT("* REVIEW REQUIRED: compound-quote delimiter in Codebook Section on Sheet 1 row ",488,"; edit the input before running."),_xlfn.CONCAT("char ",TRIM($B488),"[doc_section] ",CHAR(96),CHAR(34),SUBSTITUTE(SUBSTITUTE(SUBSTITUTE(SUBSTITUTE(SUBSTITUTE(SUBSTITUTE($A488,CHAR(13)," "),CHAR(10)," "),CHAR(9)," "),CHAR(92),_xlfn.CONCAT(CHAR(92),CHAR(92))),"$",_xlfn.CONCAT(CHAR(92),"$")),CHAR(96),_xlfn.CONCAT(CHAR(92),CHAR(96))),CHAR(34),CHAR(39))))</f>
        <v/>
      </c>
      <c r="M488" s="5" t="str">
        <f>IF(OR(TRIM($B488)="",$C488=""),"",IF(IFERROR(MATCH(TRIM($C488),{"Quantitative","Continuous","Discrete","Categorical","Nominal","Ordinal","Identifier"},0),0)=0,_xlfn.CONCAT("* REVIEW REQUIRED: invalid Variable Type on Sheet 1 row ",488,"."),_xlfn.CONCAT("char ",TRIM($B488),"[doc_vartype] ",CHAR(96),CHAR(34),SUBSTITUTE(SUBSTITUTE(SUBSTITUTE(SUBSTITUTE(SUBSTITUTE(SUBSTITUTE(LOWER(TRIM($C488)),CHAR(13)," "),CHAR(10)," "),CHAR(9)," "),CHAR(92),_xlfn.CONCAT(CHAR(92),CHAR(92))),"$",_xlfn.CONCAT(CHAR(92),"$")),CHAR(96),_xlfn.CONCAT(CHAR(92),CHAR(96))),CHAR(34),CHAR(39))))</f>
        <v/>
      </c>
      <c r="N488" s="5" t="str">
        <f>IF(OR(TRIM($B488)="",$D488=""),"",IF(OR(ISNUMBER(SEARCH(_xlfn.CONCAT(CHAR(96),CHAR(34)),$D488)),ISNUMBER(SEARCH(_xlfn.CONCAT(CHAR(34),CHAR(39)),$D488))),_xlfn.CONCAT("* REVIEW REQUIRED: compound-quote delimiter in Item Number on Sheet 1 row ",488,"; edit the input before running."),_xlfn.CONCAT("char ",TRIM($B488),"[doc_itemnum] ",CHAR(96),CHAR(34),SUBSTITUTE(SUBSTITUTE(SUBSTITUTE(SUBSTITUTE(SUBSTITUTE(SUBSTITUTE($D488,CHAR(13)," "),CHAR(10)," "),CHAR(9)," "),CHAR(92),_xlfn.CONCAT(CHAR(92),CHAR(92))),"$",_xlfn.CONCAT(CHAR(92),"$")),CHAR(96),_xlfn.CONCAT(CHAR(92),CHAR(96))),CHAR(34),CHAR(39))))</f>
        <v/>
      </c>
      <c r="O488" s="5" t="str">
        <f>IF(OR(TRIM($B488)="",$E488=""),"",IF(OR(ISNUMBER(SEARCH(_xlfn.CONCAT(CHAR(96),CHAR(34)),$E488)),ISNUMBER(SEARCH(_xlfn.CONCAT(CHAR(34),CHAR(39)),$E488))),_xlfn.CONCAT("* REVIEW REQUIRED: compound-quote delimiter in Question Wording on Sheet 1 row ",488,"; edit the input before running."),_xlfn.CONCAT("char ",TRIM($B488),"[doc_question] ",CHAR(96),CHAR(34),SUBSTITUTE(SUBSTITUTE(SUBSTITUTE(SUBSTITUTE(SUBSTITUTE(SUBSTITUTE($E488,CHAR(13)," "),CHAR(10)," "),CHAR(9)," "),CHAR(92),_xlfn.CONCAT(CHAR(92),CHAR(92))),"$",_xlfn.CONCAT(CHAR(92),"$")),CHAR(96),_xlfn.CONCAT(CHAR(92),CHAR(96))),CHAR(34),CHAR(39))))</f>
        <v/>
      </c>
      <c r="P488" s="5" t="str">
        <f>IF(OR(TRIM($B488)="",$F488=""),"",IF(OR(ISNUMBER(SEARCH(_xlfn.CONCAT(CHAR(96),CHAR(34)),$F488)),ISNUMBER(SEARCH(_xlfn.CONCAT(CHAR(34),CHAR(39)),$F488))),_xlfn.CONCAT("* REVIEW REQUIRED: compound-quote delimiter in Units on Sheet 1 row ",488,"; edit the input before running."),_xlfn.CONCAT("char ",TRIM($B488),"[doc_units] ",CHAR(96),CHAR(34),SUBSTITUTE(SUBSTITUTE(SUBSTITUTE(SUBSTITUTE(SUBSTITUTE(SUBSTITUTE($F488,CHAR(13)," "),CHAR(10)," "),CHAR(9)," "),CHAR(92),_xlfn.CONCAT(CHAR(92),CHAR(92))),"$",_xlfn.CONCAT(CHAR(92),"$")),CHAR(96),_xlfn.CONCAT(CHAR(92),CHAR(96))),CHAR(34),CHAR(39))))</f>
        <v/>
      </c>
      <c r="Q488" s="5" t="str">
        <f>IF(OR(TRIM($B488)="",$G488=""),"",IF(OR(ISNUMBER(SEARCH(_xlfn.CONCAT(CHAR(96),CHAR(34)),$G488)),ISNUMBER(SEARCH(_xlfn.CONCAT(CHAR(34),CHAR(39)),$G488))),_xlfn.CONCAT("* REVIEW REQUIRED: compound-quote delimiter in Universe on Sheet 1 row ",488,"; edit the input before running."),_xlfn.CONCAT("char ",TRIM($B488),"[doc_universe] ",CHAR(96),CHAR(34),SUBSTITUTE(SUBSTITUTE(SUBSTITUTE(SUBSTITUTE(SUBSTITUTE(SUBSTITUTE($G488,CHAR(13)," "),CHAR(10)," "),CHAR(9)," "),CHAR(92),_xlfn.CONCAT(CHAR(92),CHAR(92))),"$",_xlfn.CONCAT(CHAR(92),"$")),CHAR(96),_xlfn.CONCAT(CHAR(92),CHAR(96))),CHAR(34),CHAR(39))))</f>
        <v/>
      </c>
      <c r="R488" s="5" t="str">
        <f>IF(OR(TRIM($B488)="",$H488=""),"",IF(OR(ISNUMBER(SEARCH(_xlfn.CONCAT(CHAR(96),CHAR(34)),$H488)),ISNUMBER(SEARCH(_xlfn.CONCAT(CHAR(34),CHAR(39)),$H488))),_xlfn.CONCAT("* REVIEW REQUIRED: compound-quote delimiter in Source on Sheet 1 row ",488,"; edit the input before running."),_xlfn.CONCAT("char ",TRIM($B488),"[doc_source] ",CHAR(96),CHAR(34),SUBSTITUTE(SUBSTITUTE(SUBSTITUTE(SUBSTITUTE(SUBSTITUTE(SUBSTITUTE($H488,CHAR(13)," "),CHAR(10)," "),CHAR(9)," "),CHAR(92),_xlfn.CONCAT(CHAR(92),CHAR(92))),"$",_xlfn.CONCAT(CHAR(92),"$")),CHAR(96),_xlfn.CONCAT(CHAR(92),CHAR(96))),CHAR(34),CHAR(39))))</f>
        <v/>
      </c>
      <c r="S488" s="5" t="str">
        <f>IF(OR(TRIM($B488)="",$I488=""),"",IF(OR(ISNUMBER(SEARCH(_xlfn.CONCAT(CHAR(96),CHAR(34)),$I488)),ISNUMBER(SEARCH(_xlfn.CONCAT(CHAR(34),CHAR(39)),$I488))),_xlfn.CONCAT("* REVIEW REQUIRED: compound-quote delimiter in Derivation on Sheet 1 row ",488,"; edit the input before running."),_xlfn.CONCAT("char ",TRIM($B488),"[doc_derivation] ",CHAR(96),CHAR(34),SUBSTITUTE(SUBSTITUTE(SUBSTITUTE(SUBSTITUTE(SUBSTITUTE(SUBSTITUTE($I488,CHAR(13)," "),CHAR(10)," "),CHAR(9)," "),CHAR(92),_xlfn.CONCAT(CHAR(92),CHAR(92))),"$",_xlfn.CONCAT(CHAR(92),"$")),CHAR(96),_xlfn.CONCAT(CHAR(92),CHAR(96))),CHAR(34),CHAR(39))))</f>
        <v/>
      </c>
      <c r="T488" s="5" t="str">
        <f>IF(OR(TRIM($B488)="",$J488=""),"",IF(OR(ISNUMBER(SEARCH(_xlfn.CONCAT(CHAR(96),CHAR(34)),$J488)),ISNUMBER(SEARCH(_xlfn.CONCAT(CHAR(34),CHAR(39)),$J488))),_xlfn.CONCAT("* REVIEW REQUIRED: compound-quote delimiter in Notes on Sheet 1 row ",488,"; edit the input before running."),_xlfn.CONCAT("char ",TRIM($B488),"[doc_notes] ",CHAR(96),CHAR(34),SUBSTITUTE(SUBSTITUTE(SUBSTITUTE(SUBSTITUTE(SUBSTITUTE(SUBSTITUTE($J488,CHAR(13)," "),CHAR(10)," "),CHAR(9)," "),CHAR(92),_xlfn.CONCAT(CHAR(92),CHAR(92))),"$",_xlfn.CONCAT(CHAR(92),"$")),CHAR(96),_xlfn.CONCAT(CHAR(92),CHAR(96))),CHAR(34),CHAR(39))))</f>
        <v/>
      </c>
      <c r="U488" s="5">
        <f t="shared" si="15"/>
        <v>0</v>
      </c>
    </row>
    <row r="489" spans="3:21" ht="30" customHeight="1" x14ac:dyDescent="0.2">
      <c r="C489" s="4"/>
      <c r="K489" s="5">
        <f t="shared" si="14"/>
        <v>0</v>
      </c>
      <c r="L489" s="5" t="str">
        <f>IF(OR(TRIM($B489)="",$A489=""),"",IF(OR(ISNUMBER(SEARCH(_xlfn.CONCAT(CHAR(96),CHAR(34)),$A489)),ISNUMBER(SEARCH(_xlfn.CONCAT(CHAR(34),CHAR(39)),$A489))),_xlfn.CONCAT("* REVIEW REQUIRED: compound-quote delimiter in Codebook Section on Sheet 1 row ",489,"; edit the input before running."),_xlfn.CONCAT("char ",TRIM($B489),"[doc_section] ",CHAR(96),CHAR(34),SUBSTITUTE(SUBSTITUTE(SUBSTITUTE(SUBSTITUTE(SUBSTITUTE(SUBSTITUTE($A489,CHAR(13)," "),CHAR(10)," "),CHAR(9)," "),CHAR(92),_xlfn.CONCAT(CHAR(92),CHAR(92))),"$",_xlfn.CONCAT(CHAR(92),"$")),CHAR(96),_xlfn.CONCAT(CHAR(92),CHAR(96))),CHAR(34),CHAR(39))))</f>
        <v/>
      </c>
      <c r="M489" s="5" t="str">
        <f>IF(OR(TRIM($B489)="",$C489=""),"",IF(IFERROR(MATCH(TRIM($C489),{"Quantitative","Continuous","Discrete","Categorical","Nominal","Ordinal","Identifier"},0),0)=0,_xlfn.CONCAT("* REVIEW REQUIRED: invalid Variable Type on Sheet 1 row ",489,"."),_xlfn.CONCAT("char ",TRIM($B489),"[doc_vartype] ",CHAR(96),CHAR(34),SUBSTITUTE(SUBSTITUTE(SUBSTITUTE(SUBSTITUTE(SUBSTITUTE(SUBSTITUTE(LOWER(TRIM($C489)),CHAR(13)," "),CHAR(10)," "),CHAR(9)," "),CHAR(92),_xlfn.CONCAT(CHAR(92),CHAR(92))),"$",_xlfn.CONCAT(CHAR(92),"$")),CHAR(96),_xlfn.CONCAT(CHAR(92),CHAR(96))),CHAR(34),CHAR(39))))</f>
        <v/>
      </c>
      <c r="N489" s="5" t="str">
        <f>IF(OR(TRIM($B489)="",$D489=""),"",IF(OR(ISNUMBER(SEARCH(_xlfn.CONCAT(CHAR(96),CHAR(34)),$D489)),ISNUMBER(SEARCH(_xlfn.CONCAT(CHAR(34),CHAR(39)),$D489))),_xlfn.CONCAT("* REVIEW REQUIRED: compound-quote delimiter in Item Number on Sheet 1 row ",489,"; edit the input before running."),_xlfn.CONCAT("char ",TRIM($B489),"[doc_itemnum] ",CHAR(96),CHAR(34),SUBSTITUTE(SUBSTITUTE(SUBSTITUTE(SUBSTITUTE(SUBSTITUTE(SUBSTITUTE($D489,CHAR(13)," "),CHAR(10)," "),CHAR(9)," "),CHAR(92),_xlfn.CONCAT(CHAR(92),CHAR(92))),"$",_xlfn.CONCAT(CHAR(92),"$")),CHAR(96),_xlfn.CONCAT(CHAR(92),CHAR(96))),CHAR(34),CHAR(39))))</f>
        <v/>
      </c>
      <c r="O489" s="5" t="str">
        <f>IF(OR(TRIM($B489)="",$E489=""),"",IF(OR(ISNUMBER(SEARCH(_xlfn.CONCAT(CHAR(96),CHAR(34)),$E489)),ISNUMBER(SEARCH(_xlfn.CONCAT(CHAR(34),CHAR(39)),$E489))),_xlfn.CONCAT("* REVIEW REQUIRED: compound-quote delimiter in Question Wording on Sheet 1 row ",489,"; edit the input before running."),_xlfn.CONCAT("char ",TRIM($B489),"[doc_question] ",CHAR(96),CHAR(34),SUBSTITUTE(SUBSTITUTE(SUBSTITUTE(SUBSTITUTE(SUBSTITUTE(SUBSTITUTE($E489,CHAR(13)," "),CHAR(10)," "),CHAR(9)," "),CHAR(92),_xlfn.CONCAT(CHAR(92),CHAR(92))),"$",_xlfn.CONCAT(CHAR(92),"$")),CHAR(96),_xlfn.CONCAT(CHAR(92),CHAR(96))),CHAR(34),CHAR(39))))</f>
        <v/>
      </c>
      <c r="P489" s="5" t="str">
        <f>IF(OR(TRIM($B489)="",$F489=""),"",IF(OR(ISNUMBER(SEARCH(_xlfn.CONCAT(CHAR(96),CHAR(34)),$F489)),ISNUMBER(SEARCH(_xlfn.CONCAT(CHAR(34),CHAR(39)),$F489))),_xlfn.CONCAT("* REVIEW REQUIRED: compound-quote delimiter in Units on Sheet 1 row ",489,"; edit the input before running."),_xlfn.CONCAT("char ",TRIM($B489),"[doc_units] ",CHAR(96),CHAR(34),SUBSTITUTE(SUBSTITUTE(SUBSTITUTE(SUBSTITUTE(SUBSTITUTE(SUBSTITUTE($F489,CHAR(13)," "),CHAR(10)," "),CHAR(9)," "),CHAR(92),_xlfn.CONCAT(CHAR(92),CHAR(92))),"$",_xlfn.CONCAT(CHAR(92),"$")),CHAR(96),_xlfn.CONCAT(CHAR(92),CHAR(96))),CHAR(34),CHAR(39))))</f>
        <v/>
      </c>
      <c r="Q489" s="5" t="str">
        <f>IF(OR(TRIM($B489)="",$G489=""),"",IF(OR(ISNUMBER(SEARCH(_xlfn.CONCAT(CHAR(96),CHAR(34)),$G489)),ISNUMBER(SEARCH(_xlfn.CONCAT(CHAR(34),CHAR(39)),$G489))),_xlfn.CONCAT("* REVIEW REQUIRED: compound-quote delimiter in Universe on Sheet 1 row ",489,"; edit the input before running."),_xlfn.CONCAT("char ",TRIM($B489),"[doc_universe] ",CHAR(96),CHAR(34),SUBSTITUTE(SUBSTITUTE(SUBSTITUTE(SUBSTITUTE(SUBSTITUTE(SUBSTITUTE($G489,CHAR(13)," "),CHAR(10)," "),CHAR(9)," "),CHAR(92),_xlfn.CONCAT(CHAR(92),CHAR(92))),"$",_xlfn.CONCAT(CHAR(92),"$")),CHAR(96),_xlfn.CONCAT(CHAR(92),CHAR(96))),CHAR(34),CHAR(39))))</f>
        <v/>
      </c>
      <c r="R489" s="5" t="str">
        <f>IF(OR(TRIM($B489)="",$H489=""),"",IF(OR(ISNUMBER(SEARCH(_xlfn.CONCAT(CHAR(96),CHAR(34)),$H489)),ISNUMBER(SEARCH(_xlfn.CONCAT(CHAR(34),CHAR(39)),$H489))),_xlfn.CONCAT("* REVIEW REQUIRED: compound-quote delimiter in Source on Sheet 1 row ",489,"; edit the input before running."),_xlfn.CONCAT("char ",TRIM($B489),"[doc_source] ",CHAR(96),CHAR(34),SUBSTITUTE(SUBSTITUTE(SUBSTITUTE(SUBSTITUTE(SUBSTITUTE(SUBSTITUTE($H489,CHAR(13)," "),CHAR(10)," "),CHAR(9)," "),CHAR(92),_xlfn.CONCAT(CHAR(92),CHAR(92))),"$",_xlfn.CONCAT(CHAR(92),"$")),CHAR(96),_xlfn.CONCAT(CHAR(92),CHAR(96))),CHAR(34),CHAR(39))))</f>
        <v/>
      </c>
      <c r="S489" s="5" t="str">
        <f>IF(OR(TRIM($B489)="",$I489=""),"",IF(OR(ISNUMBER(SEARCH(_xlfn.CONCAT(CHAR(96),CHAR(34)),$I489)),ISNUMBER(SEARCH(_xlfn.CONCAT(CHAR(34),CHAR(39)),$I489))),_xlfn.CONCAT("* REVIEW REQUIRED: compound-quote delimiter in Derivation on Sheet 1 row ",489,"; edit the input before running."),_xlfn.CONCAT("char ",TRIM($B489),"[doc_derivation] ",CHAR(96),CHAR(34),SUBSTITUTE(SUBSTITUTE(SUBSTITUTE(SUBSTITUTE(SUBSTITUTE(SUBSTITUTE($I489,CHAR(13)," "),CHAR(10)," "),CHAR(9)," "),CHAR(92),_xlfn.CONCAT(CHAR(92),CHAR(92))),"$",_xlfn.CONCAT(CHAR(92),"$")),CHAR(96),_xlfn.CONCAT(CHAR(92),CHAR(96))),CHAR(34),CHAR(39))))</f>
        <v/>
      </c>
      <c r="T489" s="5" t="str">
        <f>IF(OR(TRIM($B489)="",$J489=""),"",IF(OR(ISNUMBER(SEARCH(_xlfn.CONCAT(CHAR(96),CHAR(34)),$J489)),ISNUMBER(SEARCH(_xlfn.CONCAT(CHAR(34),CHAR(39)),$J489))),_xlfn.CONCAT("* REVIEW REQUIRED: compound-quote delimiter in Notes on Sheet 1 row ",489,"; edit the input before running."),_xlfn.CONCAT("char ",TRIM($B489),"[doc_notes] ",CHAR(96),CHAR(34),SUBSTITUTE(SUBSTITUTE(SUBSTITUTE(SUBSTITUTE(SUBSTITUTE(SUBSTITUTE($J489,CHAR(13)," "),CHAR(10)," "),CHAR(9)," "),CHAR(92),_xlfn.CONCAT(CHAR(92),CHAR(92))),"$",_xlfn.CONCAT(CHAR(92),"$")),CHAR(96),_xlfn.CONCAT(CHAR(92),CHAR(96))),CHAR(34),CHAR(39))))</f>
        <v/>
      </c>
      <c r="U489" s="5">
        <f t="shared" si="15"/>
        <v>0</v>
      </c>
    </row>
    <row r="490" spans="3:21" ht="30" customHeight="1" x14ac:dyDescent="0.2">
      <c r="C490" s="4"/>
      <c r="K490" s="5">
        <f t="shared" si="14"/>
        <v>0</v>
      </c>
      <c r="L490" s="5" t="str">
        <f>IF(OR(TRIM($B490)="",$A490=""),"",IF(OR(ISNUMBER(SEARCH(_xlfn.CONCAT(CHAR(96),CHAR(34)),$A490)),ISNUMBER(SEARCH(_xlfn.CONCAT(CHAR(34),CHAR(39)),$A490))),_xlfn.CONCAT("* REVIEW REQUIRED: compound-quote delimiter in Codebook Section on Sheet 1 row ",490,"; edit the input before running."),_xlfn.CONCAT("char ",TRIM($B490),"[doc_section] ",CHAR(96),CHAR(34),SUBSTITUTE(SUBSTITUTE(SUBSTITUTE(SUBSTITUTE(SUBSTITUTE(SUBSTITUTE($A490,CHAR(13)," "),CHAR(10)," "),CHAR(9)," "),CHAR(92),_xlfn.CONCAT(CHAR(92),CHAR(92))),"$",_xlfn.CONCAT(CHAR(92),"$")),CHAR(96),_xlfn.CONCAT(CHAR(92),CHAR(96))),CHAR(34),CHAR(39))))</f>
        <v/>
      </c>
      <c r="M490" s="5" t="str">
        <f>IF(OR(TRIM($B490)="",$C490=""),"",IF(IFERROR(MATCH(TRIM($C490),{"Quantitative","Continuous","Discrete","Categorical","Nominal","Ordinal","Identifier"},0),0)=0,_xlfn.CONCAT("* REVIEW REQUIRED: invalid Variable Type on Sheet 1 row ",490,"."),_xlfn.CONCAT("char ",TRIM($B490),"[doc_vartype] ",CHAR(96),CHAR(34),SUBSTITUTE(SUBSTITUTE(SUBSTITUTE(SUBSTITUTE(SUBSTITUTE(SUBSTITUTE(LOWER(TRIM($C490)),CHAR(13)," "),CHAR(10)," "),CHAR(9)," "),CHAR(92),_xlfn.CONCAT(CHAR(92),CHAR(92))),"$",_xlfn.CONCAT(CHAR(92),"$")),CHAR(96),_xlfn.CONCAT(CHAR(92),CHAR(96))),CHAR(34),CHAR(39))))</f>
        <v/>
      </c>
      <c r="N490" s="5" t="str">
        <f>IF(OR(TRIM($B490)="",$D490=""),"",IF(OR(ISNUMBER(SEARCH(_xlfn.CONCAT(CHAR(96),CHAR(34)),$D490)),ISNUMBER(SEARCH(_xlfn.CONCAT(CHAR(34),CHAR(39)),$D490))),_xlfn.CONCAT("* REVIEW REQUIRED: compound-quote delimiter in Item Number on Sheet 1 row ",490,"; edit the input before running."),_xlfn.CONCAT("char ",TRIM($B490),"[doc_itemnum] ",CHAR(96),CHAR(34),SUBSTITUTE(SUBSTITUTE(SUBSTITUTE(SUBSTITUTE(SUBSTITUTE(SUBSTITUTE($D490,CHAR(13)," "),CHAR(10)," "),CHAR(9)," "),CHAR(92),_xlfn.CONCAT(CHAR(92),CHAR(92))),"$",_xlfn.CONCAT(CHAR(92),"$")),CHAR(96),_xlfn.CONCAT(CHAR(92),CHAR(96))),CHAR(34),CHAR(39))))</f>
        <v/>
      </c>
      <c r="O490" s="5" t="str">
        <f>IF(OR(TRIM($B490)="",$E490=""),"",IF(OR(ISNUMBER(SEARCH(_xlfn.CONCAT(CHAR(96),CHAR(34)),$E490)),ISNUMBER(SEARCH(_xlfn.CONCAT(CHAR(34),CHAR(39)),$E490))),_xlfn.CONCAT("* REVIEW REQUIRED: compound-quote delimiter in Question Wording on Sheet 1 row ",490,"; edit the input before running."),_xlfn.CONCAT("char ",TRIM($B490),"[doc_question] ",CHAR(96),CHAR(34),SUBSTITUTE(SUBSTITUTE(SUBSTITUTE(SUBSTITUTE(SUBSTITUTE(SUBSTITUTE($E490,CHAR(13)," "),CHAR(10)," "),CHAR(9)," "),CHAR(92),_xlfn.CONCAT(CHAR(92),CHAR(92))),"$",_xlfn.CONCAT(CHAR(92),"$")),CHAR(96),_xlfn.CONCAT(CHAR(92),CHAR(96))),CHAR(34),CHAR(39))))</f>
        <v/>
      </c>
      <c r="P490" s="5" t="str">
        <f>IF(OR(TRIM($B490)="",$F490=""),"",IF(OR(ISNUMBER(SEARCH(_xlfn.CONCAT(CHAR(96),CHAR(34)),$F490)),ISNUMBER(SEARCH(_xlfn.CONCAT(CHAR(34),CHAR(39)),$F490))),_xlfn.CONCAT("* REVIEW REQUIRED: compound-quote delimiter in Units on Sheet 1 row ",490,"; edit the input before running."),_xlfn.CONCAT("char ",TRIM($B490),"[doc_units] ",CHAR(96),CHAR(34),SUBSTITUTE(SUBSTITUTE(SUBSTITUTE(SUBSTITUTE(SUBSTITUTE(SUBSTITUTE($F490,CHAR(13)," "),CHAR(10)," "),CHAR(9)," "),CHAR(92),_xlfn.CONCAT(CHAR(92),CHAR(92))),"$",_xlfn.CONCAT(CHAR(92),"$")),CHAR(96),_xlfn.CONCAT(CHAR(92),CHAR(96))),CHAR(34),CHAR(39))))</f>
        <v/>
      </c>
      <c r="Q490" s="5" t="str">
        <f>IF(OR(TRIM($B490)="",$G490=""),"",IF(OR(ISNUMBER(SEARCH(_xlfn.CONCAT(CHAR(96),CHAR(34)),$G490)),ISNUMBER(SEARCH(_xlfn.CONCAT(CHAR(34),CHAR(39)),$G490))),_xlfn.CONCAT("* REVIEW REQUIRED: compound-quote delimiter in Universe on Sheet 1 row ",490,"; edit the input before running."),_xlfn.CONCAT("char ",TRIM($B490),"[doc_universe] ",CHAR(96),CHAR(34),SUBSTITUTE(SUBSTITUTE(SUBSTITUTE(SUBSTITUTE(SUBSTITUTE(SUBSTITUTE($G490,CHAR(13)," "),CHAR(10)," "),CHAR(9)," "),CHAR(92),_xlfn.CONCAT(CHAR(92),CHAR(92))),"$",_xlfn.CONCAT(CHAR(92),"$")),CHAR(96),_xlfn.CONCAT(CHAR(92),CHAR(96))),CHAR(34),CHAR(39))))</f>
        <v/>
      </c>
      <c r="R490" s="5" t="str">
        <f>IF(OR(TRIM($B490)="",$H490=""),"",IF(OR(ISNUMBER(SEARCH(_xlfn.CONCAT(CHAR(96),CHAR(34)),$H490)),ISNUMBER(SEARCH(_xlfn.CONCAT(CHAR(34),CHAR(39)),$H490))),_xlfn.CONCAT("* REVIEW REQUIRED: compound-quote delimiter in Source on Sheet 1 row ",490,"; edit the input before running."),_xlfn.CONCAT("char ",TRIM($B490),"[doc_source] ",CHAR(96),CHAR(34),SUBSTITUTE(SUBSTITUTE(SUBSTITUTE(SUBSTITUTE(SUBSTITUTE(SUBSTITUTE($H490,CHAR(13)," "),CHAR(10)," "),CHAR(9)," "),CHAR(92),_xlfn.CONCAT(CHAR(92),CHAR(92))),"$",_xlfn.CONCAT(CHAR(92),"$")),CHAR(96),_xlfn.CONCAT(CHAR(92),CHAR(96))),CHAR(34),CHAR(39))))</f>
        <v/>
      </c>
      <c r="S490" s="5" t="str">
        <f>IF(OR(TRIM($B490)="",$I490=""),"",IF(OR(ISNUMBER(SEARCH(_xlfn.CONCAT(CHAR(96),CHAR(34)),$I490)),ISNUMBER(SEARCH(_xlfn.CONCAT(CHAR(34),CHAR(39)),$I490))),_xlfn.CONCAT("* REVIEW REQUIRED: compound-quote delimiter in Derivation on Sheet 1 row ",490,"; edit the input before running."),_xlfn.CONCAT("char ",TRIM($B490),"[doc_derivation] ",CHAR(96),CHAR(34),SUBSTITUTE(SUBSTITUTE(SUBSTITUTE(SUBSTITUTE(SUBSTITUTE(SUBSTITUTE($I490,CHAR(13)," "),CHAR(10)," "),CHAR(9)," "),CHAR(92),_xlfn.CONCAT(CHAR(92),CHAR(92))),"$",_xlfn.CONCAT(CHAR(92),"$")),CHAR(96),_xlfn.CONCAT(CHAR(92),CHAR(96))),CHAR(34),CHAR(39))))</f>
        <v/>
      </c>
      <c r="T490" s="5" t="str">
        <f>IF(OR(TRIM($B490)="",$J490=""),"",IF(OR(ISNUMBER(SEARCH(_xlfn.CONCAT(CHAR(96),CHAR(34)),$J490)),ISNUMBER(SEARCH(_xlfn.CONCAT(CHAR(34),CHAR(39)),$J490))),_xlfn.CONCAT("* REVIEW REQUIRED: compound-quote delimiter in Notes on Sheet 1 row ",490,"; edit the input before running."),_xlfn.CONCAT("char ",TRIM($B490),"[doc_notes] ",CHAR(96),CHAR(34),SUBSTITUTE(SUBSTITUTE(SUBSTITUTE(SUBSTITUTE(SUBSTITUTE(SUBSTITUTE($J490,CHAR(13)," "),CHAR(10)," "),CHAR(9)," "),CHAR(92),_xlfn.CONCAT(CHAR(92),CHAR(92))),"$",_xlfn.CONCAT(CHAR(92),"$")),CHAR(96),_xlfn.CONCAT(CHAR(92),CHAR(96))),CHAR(34),CHAR(39))))</f>
        <v/>
      </c>
      <c r="U490" s="5">
        <f t="shared" si="15"/>
        <v>0</v>
      </c>
    </row>
    <row r="491" spans="3:21" ht="30" customHeight="1" x14ac:dyDescent="0.2">
      <c r="C491" s="4"/>
      <c r="K491" s="5">
        <f t="shared" si="14"/>
        <v>0</v>
      </c>
      <c r="L491" s="5" t="str">
        <f>IF(OR(TRIM($B491)="",$A491=""),"",IF(OR(ISNUMBER(SEARCH(_xlfn.CONCAT(CHAR(96),CHAR(34)),$A491)),ISNUMBER(SEARCH(_xlfn.CONCAT(CHAR(34),CHAR(39)),$A491))),_xlfn.CONCAT("* REVIEW REQUIRED: compound-quote delimiter in Codebook Section on Sheet 1 row ",491,"; edit the input before running."),_xlfn.CONCAT("char ",TRIM($B491),"[doc_section] ",CHAR(96),CHAR(34),SUBSTITUTE(SUBSTITUTE(SUBSTITUTE(SUBSTITUTE(SUBSTITUTE(SUBSTITUTE($A491,CHAR(13)," "),CHAR(10)," "),CHAR(9)," "),CHAR(92),_xlfn.CONCAT(CHAR(92),CHAR(92))),"$",_xlfn.CONCAT(CHAR(92),"$")),CHAR(96),_xlfn.CONCAT(CHAR(92),CHAR(96))),CHAR(34),CHAR(39))))</f>
        <v/>
      </c>
      <c r="M491" s="5" t="str">
        <f>IF(OR(TRIM($B491)="",$C491=""),"",IF(IFERROR(MATCH(TRIM($C491),{"Quantitative","Continuous","Discrete","Categorical","Nominal","Ordinal","Identifier"},0),0)=0,_xlfn.CONCAT("* REVIEW REQUIRED: invalid Variable Type on Sheet 1 row ",491,"."),_xlfn.CONCAT("char ",TRIM($B491),"[doc_vartype] ",CHAR(96),CHAR(34),SUBSTITUTE(SUBSTITUTE(SUBSTITUTE(SUBSTITUTE(SUBSTITUTE(SUBSTITUTE(LOWER(TRIM($C491)),CHAR(13)," "),CHAR(10)," "),CHAR(9)," "),CHAR(92),_xlfn.CONCAT(CHAR(92),CHAR(92))),"$",_xlfn.CONCAT(CHAR(92),"$")),CHAR(96),_xlfn.CONCAT(CHAR(92),CHAR(96))),CHAR(34),CHAR(39))))</f>
        <v/>
      </c>
      <c r="N491" s="5" t="str">
        <f>IF(OR(TRIM($B491)="",$D491=""),"",IF(OR(ISNUMBER(SEARCH(_xlfn.CONCAT(CHAR(96),CHAR(34)),$D491)),ISNUMBER(SEARCH(_xlfn.CONCAT(CHAR(34),CHAR(39)),$D491))),_xlfn.CONCAT("* REVIEW REQUIRED: compound-quote delimiter in Item Number on Sheet 1 row ",491,"; edit the input before running."),_xlfn.CONCAT("char ",TRIM($B491),"[doc_itemnum] ",CHAR(96),CHAR(34),SUBSTITUTE(SUBSTITUTE(SUBSTITUTE(SUBSTITUTE(SUBSTITUTE(SUBSTITUTE($D491,CHAR(13)," "),CHAR(10)," "),CHAR(9)," "),CHAR(92),_xlfn.CONCAT(CHAR(92),CHAR(92))),"$",_xlfn.CONCAT(CHAR(92),"$")),CHAR(96),_xlfn.CONCAT(CHAR(92),CHAR(96))),CHAR(34),CHAR(39))))</f>
        <v/>
      </c>
      <c r="O491" s="5" t="str">
        <f>IF(OR(TRIM($B491)="",$E491=""),"",IF(OR(ISNUMBER(SEARCH(_xlfn.CONCAT(CHAR(96),CHAR(34)),$E491)),ISNUMBER(SEARCH(_xlfn.CONCAT(CHAR(34),CHAR(39)),$E491))),_xlfn.CONCAT("* REVIEW REQUIRED: compound-quote delimiter in Question Wording on Sheet 1 row ",491,"; edit the input before running."),_xlfn.CONCAT("char ",TRIM($B491),"[doc_question] ",CHAR(96),CHAR(34),SUBSTITUTE(SUBSTITUTE(SUBSTITUTE(SUBSTITUTE(SUBSTITUTE(SUBSTITUTE($E491,CHAR(13)," "),CHAR(10)," "),CHAR(9)," "),CHAR(92),_xlfn.CONCAT(CHAR(92),CHAR(92))),"$",_xlfn.CONCAT(CHAR(92),"$")),CHAR(96),_xlfn.CONCAT(CHAR(92),CHAR(96))),CHAR(34),CHAR(39))))</f>
        <v/>
      </c>
      <c r="P491" s="5" t="str">
        <f>IF(OR(TRIM($B491)="",$F491=""),"",IF(OR(ISNUMBER(SEARCH(_xlfn.CONCAT(CHAR(96),CHAR(34)),$F491)),ISNUMBER(SEARCH(_xlfn.CONCAT(CHAR(34),CHAR(39)),$F491))),_xlfn.CONCAT("* REVIEW REQUIRED: compound-quote delimiter in Units on Sheet 1 row ",491,"; edit the input before running."),_xlfn.CONCAT("char ",TRIM($B491),"[doc_units] ",CHAR(96),CHAR(34),SUBSTITUTE(SUBSTITUTE(SUBSTITUTE(SUBSTITUTE(SUBSTITUTE(SUBSTITUTE($F491,CHAR(13)," "),CHAR(10)," "),CHAR(9)," "),CHAR(92),_xlfn.CONCAT(CHAR(92),CHAR(92))),"$",_xlfn.CONCAT(CHAR(92),"$")),CHAR(96),_xlfn.CONCAT(CHAR(92),CHAR(96))),CHAR(34),CHAR(39))))</f>
        <v/>
      </c>
      <c r="Q491" s="5" t="str">
        <f>IF(OR(TRIM($B491)="",$G491=""),"",IF(OR(ISNUMBER(SEARCH(_xlfn.CONCAT(CHAR(96),CHAR(34)),$G491)),ISNUMBER(SEARCH(_xlfn.CONCAT(CHAR(34),CHAR(39)),$G491))),_xlfn.CONCAT("* REVIEW REQUIRED: compound-quote delimiter in Universe on Sheet 1 row ",491,"; edit the input before running."),_xlfn.CONCAT("char ",TRIM($B491),"[doc_universe] ",CHAR(96),CHAR(34),SUBSTITUTE(SUBSTITUTE(SUBSTITUTE(SUBSTITUTE(SUBSTITUTE(SUBSTITUTE($G491,CHAR(13)," "),CHAR(10)," "),CHAR(9)," "),CHAR(92),_xlfn.CONCAT(CHAR(92),CHAR(92))),"$",_xlfn.CONCAT(CHAR(92),"$")),CHAR(96),_xlfn.CONCAT(CHAR(92),CHAR(96))),CHAR(34),CHAR(39))))</f>
        <v/>
      </c>
      <c r="R491" s="5" t="str">
        <f>IF(OR(TRIM($B491)="",$H491=""),"",IF(OR(ISNUMBER(SEARCH(_xlfn.CONCAT(CHAR(96),CHAR(34)),$H491)),ISNUMBER(SEARCH(_xlfn.CONCAT(CHAR(34),CHAR(39)),$H491))),_xlfn.CONCAT("* REVIEW REQUIRED: compound-quote delimiter in Source on Sheet 1 row ",491,"; edit the input before running."),_xlfn.CONCAT("char ",TRIM($B491),"[doc_source] ",CHAR(96),CHAR(34),SUBSTITUTE(SUBSTITUTE(SUBSTITUTE(SUBSTITUTE(SUBSTITUTE(SUBSTITUTE($H491,CHAR(13)," "),CHAR(10)," "),CHAR(9)," "),CHAR(92),_xlfn.CONCAT(CHAR(92),CHAR(92))),"$",_xlfn.CONCAT(CHAR(92),"$")),CHAR(96),_xlfn.CONCAT(CHAR(92),CHAR(96))),CHAR(34),CHAR(39))))</f>
        <v/>
      </c>
      <c r="S491" s="5" t="str">
        <f>IF(OR(TRIM($B491)="",$I491=""),"",IF(OR(ISNUMBER(SEARCH(_xlfn.CONCAT(CHAR(96),CHAR(34)),$I491)),ISNUMBER(SEARCH(_xlfn.CONCAT(CHAR(34),CHAR(39)),$I491))),_xlfn.CONCAT("* REVIEW REQUIRED: compound-quote delimiter in Derivation on Sheet 1 row ",491,"; edit the input before running."),_xlfn.CONCAT("char ",TRIM($B491),"[doc_derivation] ",CHAR(96),CHAR(34),SUBSTITUTE(SUBSTITUTE(SUBSTITUTE(SUBSTITUTE(SUBSTITUTE(SUBSTITUTE($I491,CHAR(13)," "),CHAR(10)," "),CHAR(9)," "),CHAR(92),_xlfn.CONCAT(CHAR(92),CHAR(92))),"$",_xlfn.CONCAT(CHAR(92),"$")),CHAR(96),_xlfn.CONCAT(CHAR(92),CHAR(96))),CHAR(34),CHAR(39))))</f>
        <v/>
      </c>
      <c r="T491" s="5" t="str">
        <f>IF(OR(TRIM($B491)="",$J491=""),"",IF(OR(ISNUMBER(SEARCH(_xlfn.CONCAT(CHAR(96),CHAR(34)),$J491)),ISNUMBER(SEARCH(_xlfn.CONCAT(CHAR(34),CHAR(39)),$J491))),_xlfn.CONCAT("* REVIEW REQUIRED: compound-quote delimiter in Notes on Sheet 1 row ",491,"; edit the input before running."),_xlfn.CONCAT("char ",TRIM($B491),"[doc_notes] ",CHAR(96),CHAR(34),SUBSTITUTE(SUBSTITUTE(SUBSTITUTE(SUBSTITUTE(SUBSTITUTE(SUBSTITUTE($J491,CHAR(13)," "),CHAR(10)," "),CHAR(9)," "),CHAR(92),_xlfn.CONCAT(CHAR(92),CHAR(92))),"$",_xlfn.CONCAT(CHAR(92),"$")),CHAR(96),_xlfn.CONCAT(CHAR(92),CHAR(96))),CHAR(34),CHAR(39))))</f>
        <v/>
      </c>
      <c r="U491" s="5">
        <f t="shared" si="15"/>
        <v>0</v>
      </c>
    </row>
    <row r="492" spans="3:21" ht="30" customHeight="1" x14ac:dyDescent="0.2">
      <c r="C492" s="4"/>
      <c r="K492" s="5">
        <f t="shared" si="14"/>
        <v>0</v>
      </c>
      <c r="L492" s="5" t="str">
        <f>IF(OR(TRIM($B492)="",$A492=""),"",IF(OR(ISNUMBER(SEARCH(_xlfn.CONCAT(CHAR(96),CHAR(34)),$A492)),ISNUMBER(SEARCH(_xlfn.CONCAT(CHAR(34),CHAR(39)),$A492))),_xlfn.CONCAT("* REVIEW REQUIRED: compound-quote delimiter in Codebook Section on Sheet 1 row ",492,"; edit the input before running."),_xlfn.CONCAT("char ",TRIM($B492),"[doc_section] ",CHAR(96),CHAR(34),SUBSTITUTE(SUBSTITUTE(SUBSTITUTE(SUBSTITUTE(SUBSTITUTE(SUBSTITUTE($A492,CHAR(13)," "),CHAR(10)," "),CHAR(9)," "),CHAR(92),_xlfn.CONCAT(CHAR(92),CHAR(92))),"$",_xlfn.CONCAT(CHAR(92),"$")),CHAR(96),_xlfn.CONCAT(CHAR(92),CHAR(96))),CHAR(34),CHAR(39))))</f>
        <v/>
      </c>
      <c r="M492" s="5" t="str">
        <f>IF(OR(TRIM($B492)="",$C492=""),"",IF(IFERROR(MATCH(TRIM($C492),{"Quantitative","Continuous","Discrete","Categorical","Nominal","Ordinal","Identifier"},0),0)=0,_xlfn.CONCAT("* REVIEW REQUIRED: invalid Variable Type on Sheet 1 row ",492,"."),_xlfn.CONCAT("char ",TRIM($B492),"[doc_vartype] ",CHAR(96),CHAR(34),SUBSTITUTE(SUBSTITUTE(SUBSTITUTE(SUBSTITUTE(SUBSTITUTE(SUBSTITUTE(LOWER(TRIM($C492)),CHAR(13)," "),CHAR(10)," "),CHAR(9)," "),CHAR(92),_xlfn.CONCAT(CHAR(92),CHAR(92))),"$",_xlfn.CONCAT(CHAR(92),"$")),CHAR(96),_xlfn.CONCAT(CHAR(92),CHAR(96))),CHAR(34),CHAR(39))))</f>
        <v/>
      </c>
      <c r="N492" s="5" t="str">
        <f>IF(OR(TRIM($B492)="",$D492=""),"",IF(OR(ISNUMBER(SEARCH(_xlfn.CONCAT(CHAR(96),CHAR(34)),$D492)),ISNUMBER(SEARCH(_xlfn.CONCAT(CHAR(34),CHAR(39)),$D492))),_xlfn.CONCAT("* REVIEW REQUIRED: compound-quote delimiter in Item Number on Sheet 1 row ",492,"; edit the input before running."),_xlfn.CONCAT("char ",TRIM($B492),"[doc_itemnum] ",CHAR(96),CHAR(34),SUBSTITUTE(SUBSTITUTE(SUBSTITUTE(SUBSTITUTE(SUBSTITUTE(SUBSTITUTE($D492,CHAR(13)," "),CHAR(10)," "),CHAR(9)," "),CHAR(92),_xlfn.CONCAT(CHAR(92),CHAR(92))),"$",_xlfn.CONCAT(CHAR(92),"$")),CHAR(96),_xlfn.CONCAT(CHAR(92),CHAR(96))),CHAR(34),CHAR(39))))</f>
        <v/>
      </c>
      <c r="O492" s="5" t="str">
        <f>IF(OR(TRIM($B492)="",$E492=""),"",IF(OR(ISNUMBER(SEARCH(_xlfn.CONCAT(CHAR(96),CHAR(34)),$E492)),ISNUMBER(SEARCH(_xlfn.CONCAT(CHAR(34),CHAR(39)),$E492))),_xlfn.CONCAT("* REVIEW REQUIRED: compound-quote delimiter in Question Wording on Sheet 1 row ",492,"; edit the input before running."),_xlfn.CONCAT("char ",TRIM($B492),"[doc_question] ",CHAR(96),CHAR(34),SUBSTITUTE(SUBSTITUTE(SUBSTITUTE(SUBSTITUTE(SUBSTITUTE(SUBSTITUTE($E492,CHAR(13)," "),CHAR(10)," "),CHAR(9)," "),CHAR(92),_xlfn.CONCAT(CHAR(92),CHAR(92))),"$",_xlfn.CONCAT(CHAR(92),"$")),CHAR(96),_xlfn.CONCAT(CHAR(92),CHAR(96))),CHAR(34),CHAR(39))))</f>
        <v/>
      </c>
      <c r="P492" s="5" t="str">
        <f>IF(OR(TRIM($B492)="",$F492=""),"",IF(OR(ISNUMBER(SEARCH(_xlfn.CONCAT(CHAR(96),CHAR(34)),$F492)),ISNUMBER(SEARCH(_xlfn.CONCAT(CHAR(34),CHAR(39)),$F492))),_xlfn.CONCAT("* REVIEW REQUIRED: compound-quote delimiter in Units on Sheet 1 row ",492,"; edit the input before running."),_xlfn.CONCAT("char ",TRIM($B492),"[doc_units] ",CHAR(96),CHAR(34),SUBSTITUTE(SUBSTITUTE(SUBSTITUTE(SUBSTITUTE(SUBSTITUTE(SUBSTITUTE($F492,CHAR(13)," "),CHAR(10)," "),CHAR(9)," "),CHAR(92),_xlfn.CONCAT(CHAR(92),CHAR(92))),"$",_xlfn.CONCAT(CHAR(92),"$")),CHAR(96),_xlfn.CONCAT(CHAR(92),CHAR(96))),CHAR(34),CHAR(39))))</f>
        <v/>
      </c>
      <c r="Q492" s="5" t="str">
        <f>IF(OR(TRIM($B492)="",$G492=""),"",IF(OR(ISNUMBER(SEARCH(_xlfn.CONCAT(CHAR(96),CHAR(34)),$G492)),ISNUMBER(SEARCH(_xlfn.CONCAT(CHAR(34),CHAR(39)),$G492))),_xlfn.CONCAT("* REVIEW REQUIRED: compound-quote delimiter in Universe on Sheet 1 row ",492,"; edit the input before running."),_xlfn.CONCAT("char ",TRIM($B492),"[doc_universe] ",CHAR(96),CHAR(34),SUBSTITUTE(SUBSTITUTE(SUBSTITUTE(SUBSTITUTE(SUBSTITUTE(SUBSTITUTE($G492,CHAR(13)," "),CHAR(10)," "),CHAR(9)," "),CHAR(92),_xlfn.CONCAT(CHAR(92),CHAR(92))),"$",_xlfn.CONCAT(CHAR(92),"$")),CHAR(96),_xlfn.CONCAT(CHAR(92),CHAR(96))),CHAR(34),CHAR(39))))</f>
        <v/>
      </c>
      <c r="R492" s="5" t="str">
        <f>IF(OR(TRIM($B492)="",$H492=""),"",IF(OR(ISNUMBER(SEARCH(_xlfn.CONCAT(CHAR(96),CHAR(34)),$H492)),ISNUMBER(SEARCH(_xlfn.CONCAT(CHAR(34),CHAR(39)),$H492))),_xlfn.CONCAT("* REVIEW REQUIRED: compound-quote delimiter in Source on Sheet 1 row ",492,"; edit the input before running."),_xlfn.CONCAT("char ",TRIM($B492),"[doc_source] ",CHAR(96),CHAR(34),SUBSTITUTE(SUBSTITUTE(SUBSTITUTE(SUBSTITUTE(SUBSTITUTE(SUBSTITUTE($H492,CHAR(13)," "),CHAR(10)," "),CHAR(9)," "),CHAR(92),_xlfn.CONCAT(CHAR(92),CHAR(92))),"$",_xlfn.CONCAT(CHAR(92),"$")),CHAR(96),_xlfn.CONCAT(CHAR(92),CHAR(96))),CHAR(34),CHAR(39))))</f>
        <v/>
      </c>
      <c r="S492" s="5" t="str">
        <f>IF(OR(TRIM($B492)="",$I492=""),"",IF(OR(ISNUMBER(SEARCH(_xlfn.CONCAT(CHAR(96),CHAR(34)),$I492)),ISNUMBER(SEARCH(_xlfn.CONCAT(CHAR(34),CHAR(39)),$I492))),_xlfn.CONCAT("* REVIEW REQUIRED: compound-quote delimiter in Derivation on Sheet 1 row ",492,"; edit the input before running."),_xlfn.CONCAT("char ",TRIM($B492),"[doc_derivation] ",CHAR(96),CHAR(34),SUBSTITUTE(SUBSTITUTE(SUBSTITUTE(SUBSTITUTE(SUBSTITUTE(SUBSTITUTE($I492,CHAR(13)," "),CHAR(10)," "),CHAR(9)," "),CHAR(92),_xlfn.CONCAT(CHAR(92),CHAR(92))),"$",_xlfn.CONCAT(CHAR(92),"$")),CHAR(96),_xlfn.CONCAT(CHAR(92),CHAR(96))),CHAR(34),CHAR(39))))</f>
        <v/>
      </c>
      <c r="T492" s="5" t="str">
        <f>IF(OR(TRIM($B492)="",$J492=""),"",IF(OR(ISNUMBER(SEARCH(_xlfn.CONCAT(CHAR(96),CHAR(34)),$J492)),ISNUMBER(SEARCH(_xlfn.CONCAT(CHAR(34),CHAR(39)),$J492))),_xlfn.CONCAT("* REVIEW REQUIRED: compound-quote delimiter in Notes on Sheet 1 row ",492,"; edit the input before running."),_xlfn.CONCAT("char ",TRIM($B492),"[doc_notes] ",CHAR(96),CHAR(34),SUBSTITUTE(SUBSTITUTE(SUBSTITUTE(SUBSTITUTE(SUBSTITUTE(SUBSTITUTE($J492,CHAR(13)," "),CHAR(10)," "),CHAR(9)," "),CHAR(92),_xlfn.CONCAT(CHAR(92),CHAR(92))),"$",_xlfn.CONCAT(CHAR(92),"$")),CHAR(96),_xlfn.CONCAT(CHAR(92),CHAR(96))),CHAR(34),CHAR(39))))</f>
        <v/>
      </c>
      <c r="U492" s="5">
        <f t="shared" si="15"/>
        <v>0</v>
      </c>
    </row>
    <row r="493" spans="3:21" ht="30" customHeight="1" x14ac:dyDescent="0.2">
      <c r="C493" s="4"/>
      <c r="K493" s="5">
        <f t="shared" si="14"/>
        <v>0</v>
      </c>
      <c r="L493" s="5" t="str">
        <f>IF(OR(TRIM($B493)="",$A493=""),"",IF(OR(ISNUMBER(SEARCH(_xlfn.CONCAT(CHAR(96),CHAR(34)),$A493)),ISNUMBER(SEARCH(_xlfn.CONCAT(CHAR(34),CHAR(39)),$A493))),_xlfn.CONCAT("* REVIEW REQUIRED: compound-quote delimiter in Codebook Section on Sheet 1 row ",493,"; edit the input before running."),_xlfn.CONCAT("char ",TRIM($B493),"[doc_section] ",CHAR(96),CHAR(34),SUBSTITUTE(SUBSTITUTE(SUBSTITUTE(SUBSTITUTE(SUBSTITUTE(SUBSTITUTE($A493,CHAR(13)," "),CHAR(10)," "),CHAR(9)," "),CHAR(92),_xlfn.CONCAT(CHAR(92),CHAR(92))),"$",_xlfn.CONCAT(CHAR(92),"$")),CHAR(96),_xlfn.CONCAT(CHAR(92),CHAR(96))),CHAR(34),CHAR(39))))</f>
        <v/>
      </c>
      <c r="M493" s="5" t="str">
        <f>IF(OR(TRIM($B493)="",$C493=""),"",IF(IFERROR(MATCH(TRIM($C493),{"Quantitative","Continuous","Discrete","Categorical","Nominal","Ordinal","Identifier"},0),0)=0,_xlfn.CONCAT("* REVIEW REQUIRED: invalid Variable Type on Sheet 1 row ",493,"."),_xlfn.CONCAT("char ",TRIM($B493),"[doc_vartype] ",CHAR(96),CHAR(34),SUBSTITUTE(SUBSTITUTE(SUBSTITUTE(SUBSTITUTE(SUBSTITUTE(SUBSTITUTE(LOWER(TRIM($C493)),CHAR(13)," "),CHAR(10)," "),CHAR(9)," "),CHAR(92),_xlfn.CONCAT(CHAR(92),CHAR(92))),"$",_xlfn.CONCAT(CHAR(92),"$")),CHAR(96),_xlfn.CONCAT(CHAR(92),CHAR(96))),CHAR(34),CHAR(39))))</f>
        <v/>
      </c>
      <c r="N493" s="5" t="str">
        <f>IF(OR(TRIM($B493)="",$D493=""),"",IF(OR(ISNUMBER(SEARCH(_xlfn.CONCAT(CHAR(96),CHAR(34)),$D493)),ISNUMBER(SEARCH(_xlfn.CONCAT(CHAR(34),CHAR(39)),$D493))),_xlfn.CONCAT("* REVIEW REQUIRED: compound-quote delimiter in Item Number on Sheet 1 row ",493,"; edit the input before running."),_xlfn.CONCAT("char ",TRIM($B493),"[doc_itemnum] ",CHAR(96),CHAR(34),SUBSTITUTE(SUBSTITUTE(SUBSTITUTE(SUBSTITUTE(SUBSTITUTE(SUBSTITUTE($D493,CHAR(13)," "),CHAR(10)," "),CHAR(9)," "),CHAR(92),_xlfn.CONCAT(CHAR(92),CHAR(92))),"$",_xlfn.CONCAT(CHAR(92),"$")),CHAR(96),_xlfn.CONCAT(CHAR(92),CHAR(96))),CHAR(34),CHAR(39))))</f>
        <v/>
      </c>
      <c r="O493" s="5" t="str">
        <f>IF(OR(TRIM($B493)="",$E493=""),"",IF(OR(ISNUMBER(SEARCH(_xlfn.CONCAT(CHAR(96),CHAR(34)),$E493)),ISNUMBER(SEARCH(_xlfn.CONCAT(CHAR(34),CHAR(39)),$E493))),_xlfn.CONCAT("* REVIEW REQUIRED: compound-quote delimiter in Question Wording on Sheet 1 row ",493,"; edit the input before running."),_xlfn.CONCAT("char ",TRIM($B493),"[doc_question] ",CHAR(96),CHAR(34),SUBSTITUTE(SUBSTITUTE(SUBSTITUTE(SUBSTITUTE(SUBSTITUTE(SUBSTITUTE($E493,CHAR(13)," "),CHAR(10)," "),CHAR(9)," "),CHAR(92),_xlfn.CONCAT(CHAR(92),CHAR(92))),"$",_xlfn.CONCAT(CHAR(92),"$")),CHAR(96),_xlfn.CONCAT(CHAR(92),CHAR(96))),CHAR(34),CHAR(39))))</f>
        <v/>
      </c>
      <c r="P493" s="5" t="str">
        <f>IF(OR(TRIM($B493)="",$F493=""),"",IF(OR(ISNUMBER(SEARCH(_xlfn.CONCAT(CHAR(96),CHAR(34)),$F493)),ISNUMBER(SEARCH(_xlfn.CONCAT(CHAR(34),CHAR(39)),$F493))),_xlfn.CONCAT("* REVIEW REQUIRED: compound-quote delimiter in Units on Sheet 1 row ",493,"; edit the input before running."),_xlfn.CONCAT("char ",TRIM($B493),"[doc_units] ",CHAR(96),CHAR(34),SUBSTITUTE(SUBSTITUTE(SUBSTITUTE(SUBSTITUTE(SUBSTITUTE(SUBSTITUTE($F493,CHAR(13)," "),CHAR(10)," "),CHAR(9)," "),CHAR(92),_xlfn.CONCAT(CHAR(92),CHAR(92))),"$",_xlfn.CONCAT(CHAR(92),"$")),CHAR(96),_xlfn.CONCAT(CHAR(92),CHAR(96))),CHAR(34),CHAR(39))))</f>
        <v/>
      </c>
      <c r="Q493" s="5" t="str">
        <f>IF(OR(TRIM($B493)="",$G493=""),"",IF(OR(ISNUMBER(SEARCH(_xlfn.CONCAT(CHAR(96),CHAR(34)),$G493)),ISNUMBER(SEARCH(_xlfn.CONCAT(CHAR(34),CHAR(39)),$G493))),_xlfn.CONCAT("* REVIEW REQUIRED: compound-quote delimiter in Universe on Sheet 1 row ",493,"; edit the input before running."),_xlfn.CONCAT("char ",TRIM($B493),"[doc_universe] ",CHAR(96),CHAR(34),SUBSTITUTE(SUBSTITUTE(SUBSTITUTE(SUBSTITUTE(SUBSTITUTE(SUBSTITUTE($G493,CHAR(13)," "),CHAR(10)," "),CHAR(9)," "),CHAR(92),_xlfn.CONCAT(CHAR(92),CHAR(92))),"$",_xlfn.CONCAT(CHAR(92),"$")),CHAR(96),_xlfn.CONCAT(CHAR(92),CHAR(96))),CHAR(34),CHAR(39))))</f>
        <v/>
      </c>
      <c r="R493" s="5" t="str">
        <f>IF(OR(TRIM($B493)="",$H493=""),"",IF(OR(ISNUMBER(SEARCH(_xlfn.CONCAT(CHAR(96),CHAR(34)),$H493)),ISNUMBER(SEARCH(_xlfn.CONCAT(CHAR(34),CHAR(39)),$H493))),_xlfn.CONCAT("* REVIEW REQUIRED: compound-quote delimiter in Source on Sheet 1 row ",493,"; edit the input before running."),_xlfn.CONCAT("char ",TRIM($B493),"[doc_source] ",CHAR(96),CHAR(34),SUBSTITUTE(SUBSTITUTE(SUBSTITUTE(SUBSTITUTE(SUBSTITUTE(SUBSTITUTE($H493,CHAR(13)," "),CHAR(10)," "),CHAR(9)," "),CHAR(92),_xlfn.CONCAT(CHAR(92),CHAR(92))),"$",_xlfn.CONCAT(CHAR(92),"$")),CHAR(96),_xlfn.CONCAT(CHAR(92),CHAR(96))),CHAR(34),CHAR(39))))</f>
        <v/>
      </c>
      <c r="S493" s="5" t="str">
        <f>IF(OR(TRIM($B493)="",$I493=""),"",IF(OR(ISNUMBER(SEARCH(_xlfn.CONCAT(CHAR(96),CHAR(34)),$I493)),ISNUMBER(SEARCH(_xlfn.CONCAT(CHAR(34),CHAR(39)),$I493))),_xlfn.CONCAT("* REVIEW REQUIRED: compound-quote delimiter in Derivation on Sheet 1 row ",493,"; edit the input before running."),_xlfn.CONCAT("char ",TRIM($B493),"[doc_derivation] ",CHAR(96),CHAR(34),SUBSTITUTE(SUBSTITUTE(SUBSTITUTE(SUBSTITUTE(SUBSTITUTE(SUBSTITUTE($I493,CHAR(13)," "),CHAR(10)," "),CHAR(9)," "),CHAR(92),_xlfn.CONCAT(CHAR(92),CHAR(92))),"$",_xlfn.CONCAT(CHAR(92),"$")),CHAR(96),_xlfn.CONCAT(CHAR(92),CHAR(96))),CHAR(34),CHAR(39))))</f>
        <v/>
      </c>
      <c r="T493" s="5" t="str">
        <f>IF(OR(TRIM($B493)="",$J493=""),"",IF(OR(ISNUMBER(SEARCH(_xlfn.CONCAT(CHAR(96),CHAR(34)),$J493)),ISNUMBER(SEARCH(_xlfn.CONCAT(CHAR(34),CHAR(39)),$J493))),_xlfn.CONCAT("* REVIEW REQUIRED: compound-quote delimiter in Notes on Sheet 1 row ",493,"; edit the input before running."),_xlfn.CONCAT("char ",TRIM($B493),"[doc_notes] ",CHAR(96),CHAR(34),SUBSTITUTE(SUBSTITUTE(SUBSTITUTE(SUBSTITUTE(SUBSTITUTE(SUBSTITUTE($J493,CHAR(13)," "),CHAR(10)," "),CHAR(9)," "),CHAR(92),_xlfn.CONCAT(CHAR(92),CHAR(92))),"$",_xlfn.CONCAT(CHAR(92),"$")),CHAR(96),_xlfn.CONCAT(CHAR(92),CHAR(96))),CHAR(34),CHAR(39))))</f>
        <v/>
      </c>
      <c r="U493" s="5">
        <f t="shared" si="15"/>
        <v>0</v>
      </c>
    </row>
    <row r="494" spans="3:21" ht="30" customHeight="1" x14ac:dyDescent="0.2">
      <c r="C494" s="4"/>
      <c r="K494" s="5">
        <f t="shared" si="14"/>
        <v>0</v>
      </c>
      <c r="L494" s="5" t="str">
        <f>IF(OR(TRIM($B494)="",$A494=""),"",IF(OR(ISNUMBER(SEARCH(_xlfn.CONCAT(CHAR(96),CHAR(34)),$A494)),ISNUMBER(SEARCH(_xlfn.CONCAT(CHAR(34),CHAR(39)),$A494))),_xlfn.CONCAT("* REVIEW REQUIRED: compound-quote delimiter in Codebook Section on Sheet 1 row ",494,"; edit the input before running."),_xlfn.CONCAT("char ",TRIM($B494),"[doc_section] ",CHAR(96),CHAR(34),SUBSTITUTE(SUBSTITUTE(SUBSTITUTE(SUBSTITUTE(SUBSTITUTE(SUBSTITUTE($A494,CHAR(13)," "),CHAR(10)," "),CHAR(9)," "),CHAR(92),_xlfn.CONCAT(CHAR(92),CHAR(92))),"$",_xlfn.CONCAT(CHAR(92),"$")),CHAR(96),_xlfn.CONCAT(CHAR(92),CHAR(96))),CHAR(34),CHAR(39))))</f>
        <v/>
      </c>
      <c r="M494" s="5" t="str">
        <f>IF(OR(TRIM($B494)="",$C494=""),"",IF(IFERROR(MATCH(TRIM($C494),{"Quantitative","Continuous","Discrete","Categorical","Nominal","Ordinal","Identifier"},0),0)=0,_xlfn.CONCAT("* REVIEW REQUIRED: invalid Variable Type on Sheet 1 row ",494,"."),_xlfn.CONCAT("char ",TRIM($B494),"[doc_vartype] ",CHAR(96),CHAR(34),SUBSTITUTE(SUBSTITUTE(SUBSTITUTE(SUBSTITUTE(SUBSTITUTE(SUBSTITUTE(LOWER(TRIM($C494)),CHAR(13)," "),CHAR(10)," "),CHAR(9)," "),CHAR(92),_xlfn.CONCAT(CHAR(92),CHAR(92))),"$",_xlfn.CONCAT(CHAR(92),"$")),CHAR(96),_xlfn.CONCAT(CHAR(92),CHAR(96))),CHAR(34),CHAR(39))))</f>
        <v/>
      </c>
      <c r="N494" s="5" t="str">
        <f>IF(OR(TRIM($B494)="",$D494=""),"",IF(OR(ISNUMBER(SEARCH(_xlfn.CONCAT(CHAR(96),CHAR(34)),$D494)),ISNUMBER(SEARCH(_xlfn.CONCAT(CHAR(34),CHAR(39)),$D494))),_xlfn.CONCAT("* REVIEW REQUIRED: compound-quote delimiter in Item Number on Sheet 1 row ",494,"; edit the input before running."),_xlfn.CONCAT("char ",TRIM($B494),"[doc_itemnum] ",CHAR(96),CHAR(34),SUBSTITUTE(SUBSTITUTE(SUBSTITUTE(SUBSTITUTE(SUBSTITUTE(SUBSTITUTE($D494,CHAR(13)," "),CHAR(10)," "),CHAR(9)," "),CHAR(92),_xlfn.CONCAT(CHAR(92),CHAR(92))),"$",_xlfn.CONCAT(CHAR(92),"$")),CHAR(96),_xlfn.CONCAT(CHAR(92),CHAR(96))),CHAR(34),CHAR(39))))</f>
        <v/>
      </c>
      <c r="O494" s="5" t="str">
        <f>IF(OR(TRIM($B494)="",$E494=""),"",IF(OR(ISNUMBER(SEARCH(_xlfn.CONCAT(CHAR(96),CHAR(34)),$E494)),ISNUMBER(SEARCH(_xlfn.CONCAT(CHAR(34),CHAR(39)),$E494))),_xlfn.CONCAT("* REVIEW REQUIRED: compound-quote delimiter in Question Wording on Sheet 1 row ",494,"; edit the input before running."),_xlfn.CONCAT("char ",TRIM($B494),"[doc_question] ",CHAR(96),CHAR(34),SUBSTITUTE(SUBSTITUTE(SUBSTITUTE(SUBSTITUTE(SUBSTITUTE(SUBSTITUTE($E494,CHAR(13)," "),CHAR(10)," "),CHAR(9)," "),CHAR(92),_xlfn.CONCAT(CHAR(92),CHAR(92))),"$",_xlfn.CONCAT(CHAR(92),"$")),CHAR(96),_xlfn.CONCAT(CHAR(92),CHAR(96))),CHAR(34),CHAR(39))))</f>
        <v/>
      </c>
      <c r="P494" s="5" t="str">
        <f>IF(OR(TRIM($B494)="",$F494=""),"",IF(OR(ISNUMBER(SEARCH(_xlfn.CONCAT(CHAR(96),CHAR(34)),$F494)),ISNUMBER(SEARCH(_xlfn.CONCAT(CHAR(34),CHAR(39)),$F494))),_xlfn.CONCAT("* REVIEW REQUIRED: compound-quote delimiter in Units on Sheet 1 row ",494,"; edit the input before running."),_xlfn.CONCAT("char ",TRIM($B494),"[doc_units] ",CHAR(96),CHAR(34),SUBSTITUTE(SUBSTITUTE(SUBSTITUTE(SUBSTITUTE(SUBSTITUTE(SUBSTITUTE($F494,CHAR(13)," "),CHAR(10)," "),CHAR(9)," "),CHAR(92),_xlfn.CONCAT(CHAR(92),CHAR(92))),"$",_xlfn.CONCAT(CHAR(92),"$")),CHAR(96),_xlfn.CONCAT(CHAR(92),CHAR(96))),CHAR(34),CHAR(39))))</f>
        <v/>
      </c>
      <c r="Q494" s="5" t="str">
        <f>IF(OR(TRIM($B494)="",$G494=""),"",IF(OR(ISNUMBER(SEARCH(_xlfn.CONCAT(CHAR(96),CHAR(34)),$G494)),ISNUMBER(SEARCH(_xlfn.CONCAT(CHAR(34),CHAR(39)),$G494))),_xlfn.CONCAT("* REVIEW REQUIRED: compound-quote delimiter in Universe on Sheet 1 row ",494,"; edit the input before running."),_xlfn.CONCAT("char ",TRIM($B494),"[doc_universe] ",CHAR(96),CHAR(34),SUBSTITUTE(SUBSTITUTE(SUBSTITUTE(SUBSTITUTE(SUBSTITUTE(SUBSTITUTE($G494,CHAR(13)," "),CHAR(10)," "),CHAR(9)," "),CHAR(92),_xlfn.CONCAT(CHAR(92),CHAR(92))),"$",_xlfn.CONCAT(CHAR(92),"$")),CHAR(96),_xlfn.CONCAT(CHAR(92),CHAR(96))),CHAR(34),CHAR(39))))</f>
        <v/>
      </c>
      <c r="R494" s="5" t="str">
        <f>IF(OR(TRIM($B494)="",$H494=""),"",IF(OR(ISNUMBER(SEARCH(_xlfn.CONCAT(CHAR(96),CHAR(34)),$H494)),ISNUMBER(SEARCH(_xlfn.CONCAT(CHAR(34),CHAR(39)),$H494))),_xlfn.CONCAT("* REVIEW REQUIRED: compound-quote delimiter in Source on Sheet 1 row ",494,"; edit the input before running."),_xlfn.CONCAT("char ",TRIM($B494),"[doc_source] ",CHAR(96),CHAR(34),SUBSTITUTE(SUBSTITUTE(SUBSTITUTE(SUBSTITUTE(SUBSTITUTE(SUBSTITUTE($H494,CHAR(13)," "),CHAR(10)," "),CHAR(9)," "),CHAR(92),_xlfn.CONCAT(CHAR(92),CHAR(92))),"$",_xlfn.CONCAT(CHAR(92),"$")),CHAR(96),_xlfn.CONCAT(CHAR(92),CHAR(96))),CHAR(34),CHAR(39))))</f>
        <v/>
      </c>
      <c r="S494" s="5" t="str">
        <f>IF(OR(TRIM($B494)="",$I494=""),"",IF(OR(ISNUMBER(SEARCH(_xlfn.CONCAT(CHAR(96),CHAR(34)),$I494)),ISNUMBER(SEARCH(_xlfn.CONCAT(CHAR(34),CHAR(39)),$I494))),_xlfn.CONCAT("* REVIEW REQUIRED: compound-quote delimiter in Derivation on Sheet 1 row ",494,"; edit the input before running."),_xlfn.CONCAT("char ",TRIM($B494),"[doc_derivation] ",CHAR(96),CHAR(34),SUBSTITUTE(SUBSTITUTE(SUBSTITUTE(SUBSTITUTE(SUBSTITUTE(SUBSTITUTE($I494,CHAR(13)," "),CHAR(10)," "),CHAR(9)," "),CHAR(92),_xlfn.CONCAT(CHAR(92),CHAR(92))),"$",_xlfn.CONCAT(CHAR(92),"$")),CHAR(96),_xlfn.CONCAT(CHAR(92),CHAR(96))),CHAR(34),CHAR(39))))</f>
        <v/>
      </c>
      <c r="T494" s="5" t="str">
        <f>IF(OR(TRIM($B494)="",$J494=""),"",IF(OR(ISNUMBER(SEARCH(_xlfn.CONCAT(CHAR(96),CHAR(34)),$J494)),ISNUMBER(SEARCH(_xlfn.CONCAT(CHAR(34),CHAR(39)),$J494))),_xlfn.CONCAT("* REVIEW REQUIRED: compound-quote delimiter in Notes on Sheet 1 row ",494,"; edit the input before running."),_xlfn.CONCAT("char ",TRIM($B494),"[doc_notes] ",CHAR(96),CHAR(34),SUBSTITUTE(SUBSTITUTE(SUBSTITUTE(SUBSTITUTE(SUBSTITUTE(SUBSTITUTE($J494,CHAR(13)," "),CHAR(10)," "),CHAR(9)," "),CHAR(92),_xlfn.CONCAT(CHAR(92),CHAR(92))),"$",_xlfn.CONCAT(CHAR(92),"$")),CHAR(96),_xlfn.CONCAT(CHAR(92),CHAR(96))),CHAR(34),CHAR(39))))</f>
        <v/>
      </c>
      <c r="U494" s="5">
        <f t="shared" si="15"/>
        <v>0</v>
      </c>
    </row>
    <row r="495" spans="3:21" ht="30" customHeight="1" x14ac:dyDescent="0.2">
      <c r="C495" s="4"/>
      <c r="K495" s="5">
        <f t="shared" si="14"/>
        <v>0</v>
      </c>
      <c r="L495" s="5" t="str">
        <f>IF(OR(TRIM($B495)="",$A495=""),"",IF(OR(ISNUMBER(SEARCH(_xlfn.CONCAT(CHAR(96),CHAR(34)),$A495)),ISNUMBER(SEARCH(_xlfn.CONCAT(CHAR(34),CHAR(39)),$A495))),_xlfn.CONCAT("* REVIEW REQUIRED: compound-quote delimiter in Codebook Section on Sheet 1 row ",495,"; edit the input before running."),_xlfn.CONCAT("char ",TRIM($B495),"[doc_section] ",CHAR(96),CHAR(34),SUBSTITUTE(SUBSTITUTE(SUBSTITUTE(SUBSTITUTE(SUBSTITUTE(SUBSTITUTE($A495,CHAR(13)," "),CHAR(10)," "),CHAR(9)," "),CHAR(92),_xlfn.CONCAT(CHAR(92),CHAR(92))),"$",_xlfn.CONCAT(CHAR(92),"$")),CHAR(96),_xlfn.CONCAT(CHAR(92),CHAR(96))),CHAR(34),CHAR(39))))</f>
        <v/>
      </c>
      <c r="M495" s="5" t="str">
        <f>IF(OR(TRIM($B495)="",$C495=""),"",IF(IFERROR(MATCH(TRIM($C495),{"Quantitative","Continuous","Discrete","Categorical","Nominal","Ordinal","Identifier"},0),0)=0,_xlfn.CONCAT("* REVIEW REQUIRED: invalid Variable Type on Sheet 1 row ",495,"."),_xlfn.CONCAT("char ",TRIM($B495),"[doc_vartype] ",CHAR(96),CHAR(34),SUBSTITUTE(SUBSTITUTE(SUBSTITUTE(SUBSTITUTE(SUBSTITUTE(SUBSTITUTE(LOWER(TRIM($C495)),CHAR(13)," "),CHAR(10)," "),CHAR(9)," "),CHAR(92),_xlfn.CONCAT(CHAR(92),CHAR(92))),"$",_xlfn.CONCAT(CHAR(92),"$")),CHAR(96),_xlfn.CONCAT(CHAR(92),CHAR(96))),CHAR(34),CHAR(39))))</f>
        <v/>
      </c>
      <c r="N495" s="5" t="str">
        <f>IF(OR(TRIM($B495)="",$D495=""),"",IF(OR(ISNUMBER(SEARCH(_xlfn.CONCAT(CHAR(96),CHAR(34)),$D495)),ISNUMBER(SEARCH(_xlfn.CONCAT(CHAR(34),CHAR(39)),$D495))),_xlfn.CONCAT("* REVIEW REQUIRED: compound-quote delimiter in Item Number on Sheet 1 row ",495,"; edit the input before running."),_xlfn.CONCAT("char ",TRIM($B495),"[doc_itemnum] ",CHAR(96),CHAR(34),SUBSTITUTE(SUBSTITUTE(SUBSTITUTE(SUBSTITUTE(SUBSTITUTE(SUBSTITUTE($D495,CHAR(13)," "),CHAR(10)," "),CHAR(9)," "),CHAR(92),_xlfn.CONCAT(CHAR(92),CHAR(92))),"$",_xlfn.CONCAT(CHAR(92),"$")),CHAR(96),_xlfn.CONCAT(CHAR(92),CHAR(96))),CHAR(34),CHAR(39))))</f>
        <v/>
      </c>
      <c r="O495" s="5" t="str">
        <f>IF(OR(TRIM($B495)="",$E495=""),"",IF(OR(ISNUMBER(SEARCH(_xlfn.CONCAT(CHAR(96),CHAR(34)),$E495)),ISNUMBER(SEARCH(_xlfn.CONCAT(CHAR(34),CHAR(39)),$E495))),_xlfn.CONCAT("* REVIEW REQUIRED: compound-quote delimiter in Question Wording on Sheet 1 row ",495,"; edit the input before running."),_xlfn.CONCAT("char ",TRIM($B495),"[doc_question] ",CHAR(96),CHAR(34),SUBSTITUTE(SUBSTITUTE(SUBSTITUTE(SUBSTITUTE(SUBSTITUTE(SUBSTITUTE($E495,CHAR(13)," "),CHAR(10)," "),CHAR(9)," "),CHAR(92),_xlfn.CONCAT(CHAR(92),CHAR(92))),"$",_xlfn.CONCAT(CHAR(92),"$")),CHAR(96),_xlfn.CONCAT(CHAR(92),CHAR(96))),CHAR(34),CHAR(39))))</f>
        <v/>
      </c>
      <c r="P495" s="5" t="str">
        <f>IF(OR(TRIM($B495)="",$F495=""),"",IF(OR(ISNUMBER(SEARCH(_xlfn.CONCAT(CHAR(96),CHAR(34)),$F495)),ISNUMBER(SEARCH(_xlfn.CONCAT(CHAR(34),CHAR(39)),$F495))),_xlfn.CONCAT("* REVIEW REQUIRED: compound-quote delimiter in Units on Sheet 1 row ",495,"; edit the input before running."),_xlfn.CONCAT("char ",TRIM($B495),"[doc_units] ",CHAR(96),CHAR(34),SUBSTITUTE(SUBSTITUTE(SUBSTITUTE(SUBSTITUTE(SUBSTITUTE(SUBSTITUTE($F495,CHAR(13)," "),CHAR(10)," "),CHAR(9)," "),CHAR(92),_xlfn.CONCAT(CHAR(92),CHAR(92))),"$",_xlfn.CONCAT(CHAR(92),"$")),CHAR(96),_xlfn.CONCAT(CHAR(92),CHAR(96))),CHAR(34),CHAR(39))))</f>
        <v/>
      </c>
      <c r="Q495" s="5" t="str">
        <f>IF(OR(TRIM($B495)="",$G495=""),"",IF(OR(ISNUMBER(SEARCH(_xlfn.CONCAT(CHAR(96),CHAR(34)),$G495)),ISNUMBER(SEARCH(_xlfn.CONCAT(CHAR(34),CHAR(39)),$G495))),_xlfn.CONCAT("* REVIEW REQUIRED: compound-quote delimiter in Universe on Sheet 1 row ",495,"; edit the input before running."),_xlfn.CONCAT("char ",TRIM($B495),"[doc_universe] ",CHAR(96),CHAR(34),SUBSTITUTE(SUBSTITUTE(SUBSTITUTE(SUBSTITUTE(SUBSTITUTE(SUBSTITUTE($G495,CHAR(13)," "),CHAR(10)," "),CHAR(9)," "),CHAR(92),_xlfn.CONCAT(CHAR(92),CHAR(92))),"$",_xlfn.CONCAT(CHAR(92),"$")),CHAR(96),_xlfn.CONCAT(CHAR(92),CHAR(96))),CHAR(34),CHAR(39))))</f>
        <v/>
      </c>
      <c r="R495" s="5" t="str">
        <f>IF(OR(TRIM($B495)="",$H495=""),"",IF(OR(ISNUMBER(SEARCH(_xlfn.CONCAT(CHAR(96),CHAR(34)),$H495)),ISNUMBER(SEARCH(_xlfn.CONCAT(CHAR(34),CHAR(39)),$H495))),_xlfn.CONCAT("* REVIEW REQUIRED: compound-quote delimiter in Source on Sheet 1 row ",495,"; edit the input before running."),_xlfn.CONCAT("char ",TRIM($B495),"[doc_source] ",CHAR(96),CHAR(34),SUBSTITUTE(SUBSTITUTE(SUBSTITUTE(SUBSTITUTE(SUBSTITUTE(SUBSTITUTE($H495,CHAR(13)," "),CHAR(10)," "),CHAR(9)," "),CHAR(92),_xlfn.CONCAT(CHAR(92),CHAR(92))),"$",_xlfn.CONCAT(CHAR(92),"$")),CHAR(96),_xlfn.CONCAT(CHAR(92),CHAR(96))),CHAR(34),CHAR(39))))</f>
        <v/>
      </c>
      <c r="S495" s="5" t="str">
        <f>IF(OR(TRIM($B495)="",$I495=""),"",IF(OR(ISNUMBER(SEARCH(_xlfn.CONCAT(CHAR(96),CHAR(34)),$I495)),ISNUMBER(SEARCH(_xlfn.CONCAT(CHAR(34),CHAR(39)),$I495))),_xlfn.CONCAT("* REVIEW REQUIRED: compound-quote delimiter in Derivation on Sheet 1 row ",495,"; edit the input before running."),_xlfn.CONCAT("char ",TRIM($B495),"[doc_derivation] ",CHAR(96),CHAR(34),SUBSTITUTE(SUBSTITUTE(SUBSTITUTE(SUBSTITUTE(SUBSTITUTE(SUBSTITUTE($I495,CHAR(13)," "),CHAR(10)," "),CHAR(9)," "),CHAR(92),_xlfn.CONCAT(CHAR(92),CHAR(92))),"$",_xlfn.CONCAT(CHAR(92),"$")),CHAR(96),_xlfn.CONCAT(CHAR(92),CHAR(96))),CHAR(34),CHAR(39))))</f>
        <v/>
      </c>
      <c r="T495" s="5" t="str">
        <f>IF(OR(TRIM($B495)="",$J495=""),"",IF(OR(ISNUMBER(SEARCH(_xlfn.CONCAT(CHAR(96),CHAR(34)),$J495)),ISNUMBER(SEARCH(_xlfn.CONCAT(CHAR(34),CHAR(39)),$J495))),_xlfn.CONCAT("* REVIEW REQUIRED: compound-quote delimiter in Notes on Sheet 1 row ",495,"; edit the input before running."),_xlfn.CONCAT("char ",TRIM($B495),"[doc_notes] ",CHAR(96),CHAR(34),SUBSTITUTE(SUBSTITUTE(SUBSTITUTE(SUBSTITUTE(SUBSTITUTE(SUBSTITUTE($J495,CHAR(13)," "),CHAR(10)," "),CHAR(9)," "),CHAR(92),_xlfn.CONCAT(CHAR(92),CHAR(92))),"$",_xlfn.CONCAT(CHAR(92),"$")),CHAR(96),_xlfn.CONCAT(CHAR(92),CHAR(96))),CHAR(34),CHAR(39))))</f>
        <v/>
      </c>
      <c r="U495" s="5">
        <f t="shared" si="15"/>
        <v>0</v>
      </c>
    </row>
    <row r="496" spans="3:21" ht="30" customHeight="1" x14ac:dyDescent="0.2">
      <c r="C496" s="4"/>
      <c r="K496" s="5">
        <f t="shared" si="14"/>
        <v>0</v>
      </c>
      <c r="L496" s="5" t="str">
        <f>IF(OR(TRIM($B496)="",$A496=""),"",IF(OR(ISNUMBER(SEARCH(_xlfn.CONCAT(CHAR(96),CHAR(34)),$A496)),ISNUMBER(SEARCH(_xlfn.CONCAT(CHAR(34),CHAR(39)),$A496))),_xlfn.CONCAT("* REVIEW REQUIRED: compound-quote delimiter in Codebook Section on Sheet 1 row ",496,"; edit the input before running."),_xlfn.CONCAT("char ",TRIM($B496),"[doc_section] ",CHAR(96),CHAR(34),SUBSTITUTE(SUBSTITUTE(SUBSTITUTE(SUBSTITUTE(SUBSTITUTE(SUBSTITUTE($A496,CHAR(13)," "),CHAR(10)," "),CHAR(9)," "),CHAR(92),_xlfn.CONCAT(CHAR(92),CHAR(92))),"$",_xlfn.CONCAT(CHAR(92),"$")),CHAR(96),_xlfn.CONCAT(CHAR(92),CHAR(96))),CHAR(34),CHAR(39))))</f>
        <v/>
      </c>
      <c r="M496" s="5" t="str">
        <f>IF(OR(TRIM($B496)="",$C496=""),"",IF(IFERROR(MATCH(TRIM($C496),{"Quantitative","Continuous","Discrete","Categorical","Nominal","Ordinal","Identifier"},0),0)=0,_xlfn.CONCAT("* REVIEW REQUIRED: invalid Variable Type on Sheet 1 row ",496,"."),_xlfn.CONCAT("char ",TRIM($B496),"[doc_vartype] ",CHAR(96),CHAR(34),SUBSTITUTE(SUBSTITUTE(SUBSTITUTE(SUBSTITUTE(SUBSTITUTE(SUBSTITUTE(LOWER(TRIM($C496)),CHAR(13)," "),CHAR(10)," "),CHAR(9)," "),CHAR(92),_xlfn.CONCAT(CHAR(92),CHAR(92))),"$",_xlfn.CONCAT(CHAR(92),"$")),CHAR(96),_xlfn.CONCAT(CHAR(92),CHAR(96))),CHAR(34),CHAR(39))))</f>
        <v/>
      </c>
      <c r="N496" s="5" t="str">
        <f>IF(OR(TRIM($B496)="",$D496=""),"",IF(OR(ISNUMBER(SEARCH(_xlfn.CONCAT(CHAR(96),CHAR(34)),$D496)),ISNUMBER(SEARCH(_xlfn.CONCAT(CHAR(34),CHAR(39)),$D496))),_xlfn.CONCAT("* REVIEW REQUIRED: compound-quote delimiter in Item Number on Sheet 1 row ",496,"; edit the input before running."),_xlfn.CONCAT("char ",TRIM($B496),"[doc_itemnum] ",CHAR(96),CHAR(34),SUBSTITUTE(SUBSTITUTE(SUBSTITUTE(SUBSTITUTE(SUBSTITUTE(SUBSTITUTE($D496,CHAR(13)," "),CHAR(10)," "),CHAR(9)," "),CHAR(92),_xlfn.CONCAT(CHAR(92),CHAR(92))),"$",_xlfn.CONCAT(CHAR(92),"$")),CHAR(96),_xlfn.CONCAT(CHAR(92),CHAR(96))),CHAR(34),CHAR(39))))</f>
        <v/>
      </c>
      <c r="O496" s="5" t="str">
        <f>IF(OR(TRIM($B496)="",$E496=""),"",IF(OR(ISNUMBER(SEARCH(_xlfn.CONCAT(CHAR(96),CHAR(34)),$E496)),ISNUMBER(SEARCH(_xlfn.CONCAT(CHAR(34),CHAR(39)),$E496))),_xlfn.CONCAT("* REVIEW REQUIRED: compound-quote delimiter in Question Wording on Sheet 1 row ",496,"; edit the input before running."),_xlfn.CONCAT("char ",TRIM($B496),"[doc_question] ",CHAR(96),CHAR(34),SUBSTITUTE(SUBSTITUTE(SUBSTITUTE(SUBSTITUTE(SUBSTITUTE(SUBSTITUTE($E496,CHAR(13)," "),CHAR(10)," "),CHAR(9)," "),CHAR(92),_xlfn.CONCAT(CHAR(92),CHAR(92))),"$",_xlfn.CONCAT(CHAR(92),"$")),CHAR(96),_xlfn.CONCAT(CHAR(92),CHAR(96))),CHAR(34),CHAR(39))))</f>
        <v/>
      </c>
      <c r="P496" s="5" t="str">
        <f>IF(OR(TRIM($B496)="",$F496=""),"",IF(OR(ISNUMBER(SEARCH(_xlfn.CONCAT(CHAR(96),CHAR(34)),$F496)),ISNUMBER(SEARCH(_xlfn.CONCAT(CHAR(34),CHAR(39)),$F496))),_xlfn.CONCAT("* REVIEW REQUIRED: compound-quote delimiter in Units on Sheet 1 row ",496,"; edit the input before running."),_xlfn.CONCAT("char ",TRIM($B496),"[doc_units] ",CHAR(96),CHAR(34),SUBSTITUTE(SUBSTITUTE(SUBSTITUTE(SUBSTITUTE(SUBSTITUTE(SUBSTITUTE($F496,CHAR(13)," "),CHAR(10)," "),CHAR(9)," "),CHAR(92),_xlfn.CONCAT(CHAR(92),CHAR(92))),"$",_xlfn.CONCAT(CHAR(92),"$")),CHAR(96),_xlfn.CONCAT(CHAR(92),CHAR(96))),CHAR(34),CHAR(39))))</f>
        <v/>
      </c>
      <c r="Q496" s="5" t="str">
        <f>IF(OR(TRIM($B496)="",$G496=""),"",IF(OR(ISNUMBER(SEARCH(_xlfn.CONCAT(CHAR(96),CHAR(34)),$G496)),ISNUMBER(SEARCH(_xlfn.CONCAT(CHAR(34),CHAR(39)),$G496))),_xlfn.CONCAT("* REVIEW REQUIRED: compound-quote delimiter in Universe on Sheet 1 row ",496,"; edit the input before running."),_xlfn.CONCAT("char ",TRIM($B496),"[doc_universe] ",CHAR(96),CHAR(34),SUBSTITUTE(SUBSTITUTE(SUBSTITUTE(SUBSTITUTE(SUBSTITUTE(SUBSTITUTE($G496,CHAR(13)," "),CHAR(10)," "),CHAR(9)," "),CHAR(92),_xlfn.CONCAT(CHAR(92),CHAR(92))),"$",_xlfn.CONCAT(CHAR(92),"$")),CHAR(96),_xlfn.CONCAT(CHAR(92),CHAR(96))),CHAR(34),CHAR(39))))</f>
        <v/>
      </c>
      <c r="R496" s="5" t="str">
        <f>IF(OR(TRIM($B496)="",$H496=""),"",IF(OR(ISNUMBER(SEARCH(_xlfn.CONCAT(CHAR(96),CHAR(34)),$H496)),ISNUMBER(SEARCH(_xlfn.CONCAT(CHAR(34),CHAR(39)),$H496))),_xlfn.CONCAT("* REVIEW REQUIRED: compound-quote delimiter in Source on Sheet 1 row ",496,"; edit the input before running."),_xlfn.CONCAT("char ",TRIM($B496),"[doc_source] ",CHAR(96),CHAR(34),SUBSTITUTE(SUBSTITUTE(SUBSTITUTE(SUBSTITUTE(SUBSTITUTE(SUBSTITUTE($H496,CHAR(13)," "),CHAR(10)," "),CHAR(9)," "),CHAR(92),_xlfn.CONCAT(CHAR(92),CHAR(92))),"$",_xlfn.CONCAT(CHAR(92),"$")),CHAR(96),_xlfn.CONCAT(CHAR(92),CHAR(96))),CHAR(34),CHAR(39))))</f>
        <v/>
      </c>
      <c r="S496" s="5" t="str">
        <f>IF(OR(TRIM($B496)="",$I496=""),"",IF(OR(ISNUMBER(SEARCH(_xlfn.CONCAT(CHAR(96),CHAR(34)),$I496)),ISNUMBER(SEARCH(_xlfn.CONCAT(CHAR(34),CHAR(39)),$I496))),_xlfn.CONCAT("* REVIEW REQUIRED: compound-quote delimiter in Derivation on Sheet 1 row ",496,"; edit the input before running."),_xlfn.CONCAT("char ",TRIM($B496),"[doc_derivation] ",CHAR(96),CHAR(34),SUBSTITUTE(SUBSTITUTE(SUBSTITUTE(SUBSTITUTE(SUBSTITUTE(SUBSTITUTE($I496,CHAR(13)," "),CHAR(10)," "),CHAR(9)," "),CHAR(92),_xlfn.CONCAT(CHAR(92),CHAR(92))),"$",_xlfn.CONCAT(CHAR(92),"$")),CHAR(96),_xlfn.CONCAT(CHAR(92),CHAR(96))),CHAR(34),CHAR(39))))</f>
        <v/>
      </c>
      <c r="T496" s="5" t="str">
        <f>IF(OR(TRIM($B496)="",$J496=""),"",IF(OR(ISNUMBER(SEARCH(_xlfn.CONCAT(CHAR(96),CHAR(34)),$J496)),ISNUMBER(SEARCH(_xlfn.CONCAT(CHAR(34),CHAR(39)),$J496))),_xlfn.CONCAT("* REVIEW REQUIRED: compound-quote delimiter in Notes on Sheet 1 row ",496,"; edit the input before running."),_xlfn.CONCAT("char ",TRIM($B496),"[doc_notes] ",CHAR(96),CHAR(34),SUBSTITUTE(SUBSTITUTE(SUBSTITUTE(SUBSTITUTE(SUBSTITUTE(SUBSTITUTE($J496,CHAR(13)," "),CHAR(10)," "),CHAR(9)," "),CHAR(92),_xlfn.CONCAT(CHAR(92),CHAR(92))),"$",_xlfn.CONCAT(CHAR(92),"$")),CHAR(96),_xlfn.CONCAT(CHAR(92),CHAR(96))),CHAR(34),CHAR(39))))</f>
        <v/>
      </c>
      <c r="U496" s="5">
        <f t="shared" si="15"/>
        <v>0</v>
      </c>
    </row>
    <row r="497" spans="3:21" ht="30" customHeight="1" x14ac:dyDescent="0.2">
      <c r="C497" s="4"/>
      <c r="K497" s="5">
        <f t="shared" si="14"/>
        <v>0</v>
      </c>
      <c r="L497" s="5" t="str">
        <f>IF(OR(TRIM($B497)="",$A497=""),"",IF(OR(ISNUMBER(SEARCH(_xlfn.CONCAT(CHAR(96),CHAR(34)),$A497)),ISNUMBER(SEARCH(_xlfn.CONCAT(CHAR(34),CHAR(39)),$A497))),_xlfn.CONCAT("* REVIEW REQUIRED: compound-quote delimiter in Codebook Section on Sheet 1 row ",497,"; edit the input before running."),_xlfn.CONCAT("char ",TRIM($B497),"[doc_section] ",CHAR(96),CHAR(34),SUBSTITUTE(SUBSTITUTE(SUBSTITUTE(SUBSTITUTE(SUBSTITUTE(SUBSTITUTE($A497,CHAR(13)," "),CHAR(10)," "),CHAR(9)," "),CHAR(92),_xlfn.CONCAT(CHAR(92),CHAR(92))),"$",_xlfn.CONCAT(CHAR(92),"$")),CHAR(96),_xlfn.CONCAT(CHAR(92),CHAR(96))),CHAR(34),CHAR(39))))</f>
        <v/>
      </c>
      <c r="M497" s="5" t="str">
        <f>IF(OR(TRIM($B497)="",$C497=""),"",IF(IFERROR(MATCH(TRIM($C497),{"Quantitative","Continuous","Discrete","Categorical","Nominal","Ordinal","Identifier"},0),0)=0,_xlfn.CONCAT("* REVIEW REQUIRED: invalid Variable Type on Sheet 1 row ",497,"."),_xlfn.CONCAT("char ",TRIM($B497),"[doc_vartype] ",CHAR(96),CHAR(34),SUBSTITUTE(SUBSTITUTE(SUBSTITUTE(SUBSTITUTE(SUBSTITUTE(SUBSTITUTE(LOWER(TRIM($C497)),CHAR(13)," "),CHAR(10)," "),CHAR(9)," "),CHAR(92),_xlfn.CONCAT(CHAR(92),CHAR(92))),"$",_xlfn.CONCAT(CHAR(92),"$")),CHAR(96),_xlfn.CONCAT(CHAR(92),CHAR(96))),CHAR(34),CHAR(39))))</f>
        <v/>
      </c>
      <c r="N497" s="5" t="str">
        <f>IF(OR(TRIM($B497)="",$D497=""),"",IF(OR(ISNUMBER(SEARCH(_xlfn.CONCAT(CHAR(96),CHAR(34)),$D497)),ISNUMBER(SEARCH(_xlfn.CONCAT(CHAR(34),CHAR(39)),$D497))),_xlfn.CONCAT("* REVIEW REQUIRED: compound-quote delimiter in Item Number on Sheet 1 row ",497,"; edit the input before running."),_xlfn.CONCAT("char ",TRIM($B497),"[doc_itemnum] ",CHAR(96),CHAR(34),SUBSTITUTE(SUBSTITUTE(SUBSTITUTE(SUBSTITUTE(SUBSTITUTE(SUBSTITUTE($D497,CHAR(13)," "),CHAR(10)," "),CHAR(9)," "),CHAR(92),_xlfn.CONCAT(CHAR(92),CHAR(92))),"$",_xlfn.CONCAT(CHAR(92),"$")),CHAR(96),_xlfn.CONCAT(CHAR(92),CHAR(96))),CHAR(34),CHAR(39))))</f>
        <v/>
      </c>
      <c r="O497" s="5" t="str">
        <f>IF(OR(TRIM($B497)="",$E497=""),"",IF(OR(ISNUMBER(SEARCH(_xlfn.CONCAT(CHAR(96),CHAR(34)),$E497)),ISNUMBER(SEARCH(_xlfn.CONCAT(CHAR(34),CHAR(39)),$E497))),_xlfn.CONCAT("* REVIEW REQUIRED: compound-quote delimiter in Question Wording on Sheet 1 row ",497,"; edit the input before running."),_xlfn.CONCAT("char ",TRIM($B497),"[doc_question] ",CHAR(96),CHAR(34),SUBSTITUTE(SUBSTITUTE(SUBSTITUTE(SUBSTITUTE(SUBSTITUTE(SUBSTITUTE($E497,CHAR(13)," "),CHAR(10)," "),CHAR(9)," "),CHAR(92),_xlfn.CONCAT(CHAR(92),CHAR(92))),"$",_xlfn.CONCAT(CHAR(92),"$")),CHAR(96),_xlfn.CONCAT(CHAR(92),CHAR(96))),CHAR(34),CHAR(39))))</f>
        <v/>
      </c>
      <c r="P497" s="5" t="str">
        <f>IF(OR(TRIM($B497)="",$F497=""),"",IF(OR(ISNUMBER(SEARCH(_xlfn.CONCAT(CHAR(96),CHAR(34)),$F497)),ISNUMBER(SEARCH(_xlfn.CONCAT(CHAR(34),CHAR(39)),$F497))),_xlfn.CONCAT("* REVIEW REQUIRED: compound-quote delimiter in Units on Sheet 1 row ",497,"; edit the input before running."),_xlfn.CONCAT("char ",TRIM($B497),"[doc_units] ",CHAR(96),CHAR(34),SUBSTITUTE(SUBSTITUTE(SUBSTITUTE(SUBSTITUTE(SUBSTITUTE(SUBSTITUTE($F497,CHAR(13)," "),CHAR(10)," "),CHAR(9)," "),CHAR(92),_xlfn.CONCAT(CHAR(92),CHAR(92))),"$",_xlfn.CONCAT(CHAR(92),"$")),CHAR(96),_xlfn.CONCAT(CHAR(92),CHAR(96))),CHAR(34),CHAR(39))))</f>
        <v/>
      </c>
      <c r="Q497" s="5" t="str">
        <f>IF(OR(TRIM($B497)="",$G497=""),"",IF(OR(ISNUMBER(SEARCH(_xlfn.CONCAT(CHAR(96),CHAR(34)),$G497)),ISNUMBER(SEARCH(_xlfn.CONCAT(CHAR(34),CHAR(39)),$G497))),_xlfn.CONCAT("* REVIEW REQUIRED: compound-quote delimiter in Universe on Sheet 1 row ",497,"; edit the input before running."),_xlfn.CONCAT("char ",TRIM($B497),"[doc_universe] ",CHAR(96),CHAR(34),SUBSTITUTE(SUBSTITUTE(SUBSTITUTE(SUBSTITUTE(SUBSTITUTE(SUBSTITUTE($G497,CHAR(13)," "),CHAR(10)," "),CHAR(9)," "),CHAR(92),_xlfn.CONCAT(CHAR(92),CHAR(92))),"$",_xlfn.CONCAT(CHAR(92),"$")),CHAR(96),_xlfn.CONCAT(CHAR(92),CHAR(96))),CHAR(34),CHAR(39))))</f>
        <v/>
      </c>
      <c r="R497" s="5" t="str">
        <f>IF(OR(TRIM($B497)="",$H497=""),"",IF(OR(ISNUMBER(SEARCH(_xlfn.CONCAT(CHAR(96),CHAR(34)),$H497)),ISNUMBER(SEARCH(_xlfn.CONCAT(CHAR(34),CHAR(39)),$H497))),_xlfn.CONCAT("* REVIEW REQUIRED: compound-quote delimiter in Source on Sheet 1 row ",497,"; edit the input before running."),_xlfn.CONCAT("char ",TRIM($B497),"[doc_source] ",CHAR(96),CHAR(34),SUBSTITUTE(SUBSTITUTE(SUBSTITUTE(SUBSTITUTE(SUBSTITUTE(SUBSTITUTE($H497,CHAR(13)," "),CHAR(10)," "),CHAR(9)," "),CHAR(92),_xlfn.CONCAT(CHAR(92),CHAR(92))),"$",_xlfn.CONCAT(CHAR(92),"$")),CHAR(96),_xlfn.CONCAT(CHAR(92),CHAR(96))),CHAR(34),CHAR(39))))</f>
        <v/>
      </c>
      <c r="S497" s="5" t="str">
        <f>IF(OR(TRIM($B497)="",$I497=""),"",IF(OR(ISNUMBER(SEARCH(_xlfn.CONCAT(CHAR(96),CHAR(34)),$I497)),ISNUMBER(SEARCH(_xlfn.CONCAT(CHAR(34),CHAR(39)),$I497))),_xlfn.CONCAT("* REVIEW REQUIRED: compound-quote delimiter in Derivation on Sheet 1 row ",497,"; edit the input before running."),_xlfn.CONCAT("char ",TRIM($B497),"[doc_derivation] ",CHAR(96),CHAR(34),SUBSTITUTE(SUBSTITUTE(SUBSTITUTE(SUBSTITUTE(SUBSTITUTE(SUBSTITUTE($I497,CHAR(13)," "),CHAR(10)," "),CHAR(9)," "),CHAR(92),_xlfn.CONCAT(CHAR(92),CHAR(92))),"$",_xlfn.CONCAT(CHAR(92),"$")),CHAR(96),_xlfn.CONCAT(CHAR(92),CHAR(96))),CHAR(34),CHAR(39))))</f>
        <v/>
      </c>
      <c r="T497" s="5" t="str">
        <f>IF(OR(TRIM($B497)="",$J497=""),"",IF(OR(ISNUMBER(SEARCH(_xlfn.CONCAT(CHAR(96),CHAR(34)),$J497)),ISNUMBER(SEARCH(_xlfn.CONCAT(CHAR(34),CHAR(39)),$J497))),_xlfn.CONCAT("* REVIEW REQUIRED: compound-quote delimiter in Notes on Sheet 1 row ",497,"; edit the input before running."),_xlfn.CONCAT("char ",TRIM($B497),"[doc_notes] ",CHAR(96),CHAR(34),SUBSTITUTE(SUBSTITUTE(SUBSTITUTE(SUBSTITUTE(SUBSTITUTE(SUBSTITUTE($J497,CHAR(13)," "),CHAR(10)," "),CHAR(9)," "),CHAR(92),_xlfn.CONCAT(CHAR(92),CHAR(92))),"$",_xlfn.CONCAT(CHAR(92),"$")),CHAR(96),_xlfn.CONCAT(CHAR(92),CHAR(96))),CHAR(34),CHAR(39))))</f>
        <v/>
      </c>
      <c r="U497" s="5">
        <f t="shared" si="15"/>
        <v>0</v>
      </c>
    </row>
    <row r="498" spans="3:21" ht="30" customHeight="1" x14ac:dyDescent="0.2">
      <c r="C498" s="4"/>
      <c r="K498" s="5">
        <f t="shared" si="14"/>
        <v>0</v>
      </c>
      <c r="L498" s="5" t="str">
        <f>IF(OR(TRIM($B498)="",$A498=""),"",IF(OR(ISNUMBER(SEARCH(_xlfn.CONCAT(CHAR(96),CHAR(34)),$A498)),ISNUMBER(SEARCH(_xlfn.CONCAT(CHAR(34),CHAR(39)),$A498))),_xlfn.CONCAT("* REVIEW REQUIRED: compound-quote delimiter in Codebook Section on Sheet 1 row ",498,"; edit the input before running."),_xlfn.CONCAT("char ",TRIM($B498),"[doc_section] ",CHAR(96),CHAR(34),SUBSTITUTE(SUBSTITUTE(SUBSTITUTE(SUBSTITUTE(SUBSTITUTE(SUBSTITUTE($A498,CHAR(13)," "),CHAR(10)," "),CHAR(9)," "),CHAR(92),_xlfn.CONCAT(CHAR(92),CHAR(92))),"$",_xlfn.CONCAT(CHAR(92),"$")),CHAR(96),_xlfn.CONCAT(CHAR(92),CHAR(96))),CHAR(34),CHAR(39))))</f>
        <v/>
      </c>
      <c r="M498" s="5" t="str">
        <f>IF(OR(TRIM($B498)="",$C498=""),"",IF(IFERROR(MATCH(TRIM($C498),{"Quantitative","Continuous","Discrete","Categorical","Nominal","Ordinal","Identifier"},0),0)=0,_xlfn.CONCAT("* REVIEW REQUIRED: invalid Variable Type on Sheet 1 row ",498,"."),_xlfn.CONCAT("char ",TRIM($B498),"[doc_vartype] ",CHAR(96),CHAR(34),SUBSTITUTE(SUBSTITUTE(SUBSTITUTE(SUBSTITUTE(SUBSTITUTE(SUBSTITUTE(LOWER(TRIM($C498)),CHAR(13)," "),CHAR(10)," "),CHAR(9)," "),CHAR(92),_xlfn.CONCAT(CHAR(92),CHAR(92))),"$",_xlfn.CONCAT(CHAR(92),"$")),CHAR(96),_xlfn.CONCAT(CHAR(92),CHAR(96))),CHAR(34),CHAR(39))))</f>
        <v/>
      </c>
      <c r="N498" s="5" t="str">
        <f>IF(OR(TRIM($B498)="",$D498=""),"",IF(OR(ISNUMBER(SEARCH(_xlfn.CONCAT(CHAR(96),CHAR(34)),$D498)),ISNUMBER(SEARCH(_xlfn.CONCAT(CHAR(34),CHAR(39)),$D498))),_xlfn.CONCAT("* REVIEW REQUIRED: compound-quote delimiter in Item Number on Sheet 1 row ",498,"; edit the input before running."),_xlfn.CONCAT("char ",TRIM($B498),"[doc_itemnum] ",CHAR(96),CHAR(34),SUBSTITUTE(SUBSTITUTE(SUBSTITUTE(SUBSTITUTE(SUBSTITUTE(SUBSTITUTE($D498,CHAR(13)," "),CHAR(10)," "),CHAR(9)," "),CHAR(92),_xlfn.CONCAT(CHAR(92),CHAR(92))),"$",_xlfn.CONCAT(CHAR(92),"$")),CHAR(96),_xlfn.CONCAT(CHAR(92),CHAR(96))),CHAR(34),CHAR(39))))</f>
        <v/>
      </c>
      <c r="O498" s="5" t="str">
        <f>IF(OR(TRIM($B498)="",$E498=""),"",IF(OR(ISNUMBER(SEARCH(_xlfn.CONCAT(CHAR(96),CHAR(34)),$E498)),ISNUMBER(SEARCH(_xlfn.CONCAT(CHAR(34),CHAR(39)),$E498))),_xlfn.CONCAT("* REVIEW REQUIRED: compound-quote delimiter in Question Wording on Sheet 1 row ",498,"; edit the input before running."),_xlfn.CONCAT("char ",TRIM($B498),"[doc_question] ",CHAR(96),CHAR(34),SUBSTITUTE(SUBSTITUTE(SUBSTITUTE(SUBSTITUTE(SUBSTITUTE(SUBSTITUTE($E498,CHAR(13)," "),CHAR(10)," "),CHAR(9)," "),CHAR(92),_xlfn.CONCAT(CHAR(92),CHAR(92))),"$",_xlfn.CONCAT(CHAR(92),"$")),CHAR(96),_xlfn.CONCAT(CHAR(92),CHAR(96))),CHAR(34),CHAR(39))))</f>
        <v/>
      </c>
      <c r="P498" s="5" t="str">
        <f>IF(OR(TRIM($B498)="",$F498=""),"",IF(OR(ISNUMBER(SEARCH(_xlfn.CONCAT(CHAR(96),CHAR(34)),$F498)),ISNUMBER(SEARCH(_xlfn.CONCAT(CHAR(34),CHAR(39)),$F498))),_xlfn.CONCAT("* REVIEW REQUIRED: compound-quote delimiter in Units on Sheet 1 row ",498,"; edit the input before running."),_xlfn.CONCAT("char ",TRIM($B498),"[doc_units] ",CHAR(96),CHAR(34),SUBSTITUTE(SUBSTITUTE(SUBSTITUTE(SUBSTITUTE(SUBSTITUTE(SUBSTITUTE($F498,CHAR(13)," "),CHAR(10)," "),CHAR(9)," "),CHAR(92),_xlfn.CONCAT(CHAR(92),CHAR(92))),"$",_xlfn.CONCAT(CHAR(92),"$")),CHAR(96),_xlfn.CONCAT(CHAR(92),CHAR(96))),CHAR(34),CHAR(39))))</f>
        <v/>
      </c>
      <c r="Q498" s="5" t="str">
        <f>IF(OR(TRIM($B498)="",$G498=""),"",IF(OR(ISNUMBER(SEARCH(_xlfn.CONCAT(CHAR(96),CHAR(34)),$G498)),ISNUMBER(SEARCH(_xlfn.CONCAT(CHAR(34),CHAR(39)),$G498))),_xlfn.CONCAT("* REVIEW REQUIRED: compound-quote delimiter in Universe on Sheet 1 row ",498,"; edit the input before running."),_xlfn.CONCAT("char ",TRIM($B498),"[doc_universe] ",CHAR(96),CHAR(34),SUBSTITUTE(SUBSTITUTE(SUBSTITUTE(SUBSTITUTE(SUBSTITUTE(SUBSTITUTE($G498,CHAR(13)," "),CHAR(10)," "),CHAR(9)," "),CHAR(92),_xlfn.CONCAT(CHAR(92),CHAR(92))),"$",_xlfn.CONCAT(CHAR(92),"$")),CHAR(96),_xlfn.CONCAT(CHAR(92),CHAR(96))),CHAR(34),CHAR(39))))</f>
        <v/>
      </c>
      <c r="R498" s="5" t="str">
        <f>IF(OR(TRIM($B498)="",$H498=""),"",IF(OR(ISNUMBER(SEARCH(_xlfn.CONCAT(CHAR(96),CHAR(34)),$H498)),ISNUMBER(SEARCH(_xlfn.CONCAT(CHAR(34),CHAR(39)),$H498))),_xlfn.CONCAT("* REVIEW REQUIRED: compound-quote delimiter in Source on Sheet 1 row ",498,"; edit the input before running."),_xlfn.CONCAT("char ",TRIM($B498),"[doc_source] ",CHAR(96),CHAR(34),SUBSTITUTE(SUBSTITUTE(SUBSTITUTE(SUBSTITUTE(SUBSTITUTE(SUBSTITUTE($H498,CHAR(13)," "),CHAR(10)," "),CHAR(9)," "),CHAR(92),_xlfn.CONCAT(CHAR(92),CHAR(92))),"$",_xlfn.CONCAT(CHAR(92),"$")),CHAR(96),_xlfn.CONCAT(CHAR(92),CHAR(96))),CHAR(34),CHAR(39))))</f>
        <v/>
      </c>
      <c r="S498" s="5" t="str">
        <f>IF(OR(TRIM($B498)="",$I498=""),"",IF(OR(ISNUMBER(SEARCH(_xlfn.CONCAT(CHAR(96),CHAR(34)),$I498)),ISNUMBER(SEARCH(_xlfn.CONCAT(CHAR(34),CHAR(39)),$I498))),_xlfn.CONCAT("* REVIEW REQUIRED: compound-quote delimiter in Derivation on Sheet 1 row ",498,"; edit the input before running."),_xlfn.CONCAT("char ",TRIM($B498),"[doc_derivation] ",CHAR(96),CHAR(34),SUBSTITUTE(SUBSTITUTE(SUBSTITUTE(SUBSTITUTE(SUBSTITUTE(SUBSTITUTE($I498,CHAR(13)," "),CHAR(10)," "),CHAR(9)," "),CHAR(92),_xlfn.CONCAT(CHAR(92),CHAR(92))),"$",_xlfn.CONCAT(CHAR(92),"$")),CHAR(96),_xlfn.CONCAT(CHAR(92),CHAR(96))),CHAR(34),CHAR(39))))</f>
        <v/>
      </c>
      <c r="T498" s="5" t="str">
        <f>IF(OR(TRIM($B498)="",$J498=""),"",IF(OR(ISNUMBER(SEARCH(_xlfn.CONCAT(CHAR(96),CHAR(34)),$J498)),ISNUMBER(SEARCH(_xlfn.CONCAT(CHAR(34),CHAR(39)),$J498))),_xlfn.CONCAT("* REVIEW REQUIRED: compound-quote delimiter in Notes on Sheet 1 row ",498,"; edit the input before running."),_xlfn.CONCAT("char ",TRIM($B498),"[doc_notes] ",CHAR(96),CHAR(34),SUBSTITUTE(SUBSTITUTE(SUBSTITUTE(SUBSTITUTE(SUBSTITUTE(SUBSTITUTE($J498,CHAR(13)," "),CHAR(10)," "),CHAR(9)," "),CHAR(92),_xlfn.CONCAT(CHAR(92),CHAR(92))),"$",_xlfn.CONCAT(CHAR(92),"$")),CHAR(96),_xlfn.CONCAT(CHAR(92),CHAR(96))),CHAR(34),CHAR(39))))</f>
        <v/>
      </c>
      <c r="U498" s="5">
        <f t="shared" si="15"/>
        <v>0</v>
      </c>
    </row>
    <row r="499" spans="3:21" ht="30" customHeight="1" x14ac:dyDescent="0.2">
      <c r="C499" s="4"/>
      <c r="K499" s="5">
        <f t="shared" si="14"/>
        <v>0</v>
      </c>
      <c r="L499" s="5" t="str">
        <f>IF(OR(TRIM($B499)="",$A499=""),"",IF(OR(ISNUMBER(SEARCH(_xlfn.CONCAT(CHAR(96),CHAR(34)),$A499)),ISNUMBER(SEARCH(_xlfn.CONCAT(CHAR(34),CHAR(39)),$A499))),_xlfn.CONCAT("* REVIEW REQUIRED: compound-quote delimiter in Codebook Section on Sheet 1 row ",499,"; edit the input before running."),_xlfn.CONCAT("char ",TRIM($B499),"[doc_section] ",CHAR(96),CHAR(34),SUBSTITUTE(SUBSTITUTE(SUBSTITUTE(SUBSTITUTE(SUBSTITUTE(SUBSTITUTE($A499,CHAR(13)," "),CHAR(10)," "),CHAR(9)," "),CHAR(92),_xlfn.CONCAT(CHAR(92),CHAR(92))),"$",_xlfn.CONCAT(CHAR(92),"$")),CHAR(96),_xlfn.CONCAT(CHAR(92),CHAR(96))),CHAR(34),CHAR(39))))</f>
        <v/>
      </c>
      <c r="M499" s="5" t="str">
        <f>IF(OR(TRIM($B499)="",$C499=""),"",IF(IFERROR(MATCH(TRIM($C499),{"Quantitative","Continuous","Discrete","Categorical","Nominal","Ordinal","Identifier"},0),0)=0,_xlfn.CONCAT("* REVIEW REQUIRED: invalid Variable Type on Sheet 1 row ",499,"."),_xlfn.CONCAT("char ",TRIM($B499),"[doc_vartype] ",CHAR(96),CHAR(34),SUBSTITUTE(SUBSTITUTE(SUBSTITUTE(SUBSTITUTE(SUBSTITUTE(SUBSTITUTE(LOWER(TRIM($C499)),CHAR(13)," "),CHAR(10)," "),CHAR(9)," "),CHAR(92),_xlfn.CONCAT(CHAR(92),CHAR(92))),"$",_xlfn.CONCAT(CHAR(92),"$")),CHAR(96),_xlfn.CONCAT(CHAR(92),CHAR(96))),CHAR(34),CHAR(39))))</f>
        <v/>
      </c>
      <c r="N499" s="5" t="str">
        <f>IF(OR(TRIM($B499)="",$D499=""),"",IF(OR(ISNUMBER(SEARCH(_xlfn.CONCAT(CHAR(96),CHAR(34)),$D499)),ISNUMBER(SEARCH(_xlfn.CONCAT(CHAR(34),CHAR(39)),$D499))),_xlfn.CONCAT("* REVIEW REQUIRED: compound-quote delimiter in Item Number on Sheet 1 row ",499,"; edit the input before running."),_xlfn.CONCAT("char ",TRIM($B499),"[doc_itemnum] ",CHAR(96),CHAR(34),SUBSTITUTE(SUBSTITUTE(SUBSTITUTE(SUBSTITUTE(SUBSTITUTE(SUBSTITUTE($D499,CHAR(13)," "),CHAR(10)," "),CHAR(9)," "),CHAR(92),_xlfn.CONCAT(CHAR(92),CHAR(92))),"$",_xlfn.CONCAT(CHAR(92),"$")),CHAR(96),_xlfn.CONCAT(CHAR(92),CHAR(96))),CHAR(34),CHAR(39))))</f>
        <v/>
      </c>
      <c r="O499" s="5" t="str">
        <f>IF(OR(TRIM($B499)="",$E499=""),"",IF(OR(ISNUMBER(SEARCH(_xlfn.CONCAT(CHAR(96),CHAR(34)),$E499)),ISNUMBER(SEARCH(_xlfn.CONCAT(CHAR(34),CHAR(39)),$E499))),_xlfn.CONCAT("* REVIEW REQUIRED: compound-quote delimiter in Question Wording on Sheet 1 row ",499,"; edit the input before running."),_xlfn.CONCAT("char ",TRIM($B499),"[doc_question] ",CHAR(96),CHAR(34),SUBSTITUTE(SUBSTITUTE(SUBSTITUTE(SUBSTITUTE(SUBSTITUTE(SUBSTITUTE($E499,CHAR(13)," "),CHAR(10)," "),CHAR(9)," "),CHAR(92),_xlfn.CONCAT(CHAR(92),CHAR(92))),"$",_xlfn.CONCAT(CHAR(92),"$")),CHAR(96),_xlfn.CONCAT(CHAR(92),CHAR(96))),CHAR(34),CHAR(39))))</f>
        <v/>
      </c>
      <c r="P499" s="5" t="str">
        <f>IF(OR(TRIM($B499)="",$F499=""),"",IF(OR(ISNUMBER(SEARCH(_xlfn.CONCAT(CHAR(96),CHAR(34)),$F499)),ISNUMBER(SEARCH(_xlfn.CONCAT(CHAR(34),CHAR(39)),$F499))),_xlfn.CONCAT("* REVIEW REQUIRED: compound-quote delimiter in Units on Sheet 1 row ",499,"; edit the input before running."),_xlfn.CONCAT("char ",TRIM($B499),"[doc_units] ",CHAR(96),CHAR(34),SUBSTITUTE(SUBSTITUTE(SUBSTITUTE(SUBSTITUTE(SUBSTITUTE(SUBSTITUTE($F499,CHAR(13)," "),CHAR(10)," "),CHAR(9)," "),CHAR(92),_xlfn.CONCAT(CHAR(92),CHAR(92))),"$",_xlfn.CONCAT(CHAR(92),"$")),CHAR(96),_xlfn.CONCAT(CHAR(92),CHAR(96))),CHAR(34),CHAR(39))))</f>
        <v/>
      </c>
      <c r="Q499" s="5" t="str">
        <f>IF(OR(TRIM($B499)="",$G499=""),"",IF(OR(ISNUMBER(SEARCH(_xlfn.CONCAT(CHAR(96),CHAR(34)),$G499)),ISNUMBER(SEARCH(_xlfn.CONCAT(CHAR(34),CHAR(39)),$G499))),_xlfn.CONCAT("* REVIEW REQUIRED: compound-quote delimiter in Universe on Sheet 1 row ",499,"; edit the input before running."),_xlfn.CONCAT("char ",TRIM($B499),"[doc_universe] ",CHAR(96),CHAR(34),SUBSTITUTE(SUBSTITUTE(SUBSTITUTE(SUBSTITUTE(SUBSTITUTE(SUBSTITUTE($G499,CHAR(13)," "),CHAR(10)," "),CHAR(9)," "),CHAR(92),_xlfn.CONCAT(CHAR(92),CHAR(92))),"$",_xlfn.CONCAT(CHAR(92),"$")),CHAR(96),_xlfn.CONCAT(CHAR(92),CHAR(96))),CHAR(34),CHAR(39))))</f>
        <v/>
      </c>
      <c r="R499" s="5" t="str">
        <f>IF(OR(TRIM($B499)="",$H499=""),"",IF(OR(ISNUMBER(SEARCH(_xlfn.CONCAT(CHAR(96),CHAR(34)),$H499)),ISNUMBER(SEARCH(_xlfn.CONCAT(CHAR(34),CHAR(39)),$H499))),_xlfn.CONCAT("* REVIEW REQUIRED: compound-quote delimiter in Source on Sheet 1 row ",499,"; edit the input before running."),_xlfn.CONCAT("char ",TRIM($B499),"[doc_source] ",CHAR(96),CHAR(34),SUBSTITUTE(SUBSTITUTE(SUBSTITUTE(SUBSTITUTE(SUBSTITUTE(SUBSTITUTE($H499,CHAR(13)," "),CHAR(10)," "),CHAR(9)," "),CHAR(92),_xlfn.CONCAT(CHAR(92),CHAR(92))),"$",_xlfn.CONCAT(CHAR(92),"$")),CHAR(96),_xlfn.CONCAT(CHAR(92),CHAR(96))),CHAR(34),CHAR(39))))</f>
        <v/>
      </c>
      <c r="S499" s="5" t="str">
        <f>IF(OR(TRIM($B499)="",$I499=""),"",IF(OR(ISNUMBER(SEARCH(_xlfn.CONCAT(CHAR(96),CHAR(34)),$I499)),ISNUMBER(SEARCH(_xlfn.CONCAT(CHAR(34),CHAR(39)),$I499))),_xlfn.CONCAT("* REVIEW REQUIRED: compound-quote delimiter in Derivation on Sheet 1 row ",499,"; edit the input before running."),_xlfn.CONCAT("char ",TRIM($B499),"[doc_derivation] ",CHAR(96),CHAR(34),SUBSTITUTE(SUBSTITUTE(SUBSTITUTE(SUBSTITUTE(SUBSTITUTE(SUBSTITUTE($I499,CHAR(13)," "),CHAR(10)," "),CHAR(9)," "),CHAR(92),_xlfn.CONCAT(CHAR(92),CHAR(92))),"$",_xlfn.CONCAT(CHAR(92),"$")),CHAR(96),_xlfn.CONCAT(CHAR(92),CHAR(96))),CHAR(34),CHAR(39))))</f>
        <v/>
      </c>
      <c r="T499" s="5" t="str">
        <f>IF(OR(TRIM($B499)="",$J499=""),"",IF(OR(ISNUMBER(SEARCH(_xlfn.CONCAT(CHAR(96),CHAR(34)),$J499)),ISNUMBER(SEARCH(_xlfn.CONCAT(CHAR(34),CHAR(39)),$J499))),_xlfn.CONCAT("* REVIEW REQUIRED: compound-quote delimiter in Notes on Sheet 1 row ",499,"; edit the input before running."),_xlfn.CONCAT("char ",TRIM($B499),"[doc_notes] ",CHAR(96),CHAR(34),SUBSTITUTE(SUBSTITUTE(SUBSTITUTE(SUBSTITUTE(SUBSTITUTE(SUBSTITUTE($J499,CHAR(13)," "),CHAR(10)," "),CHAR(9)," "),CHAR(92),_xlfn.CONCAT(CHAR(92),CHAR(92))),"$",_xlfn.CONCAT(CHAR(92),"$")),CHAR(96),_xlfn.CONCAT(CHAR(92),CHAR(96))),CHAR(34),CHAR(39))))</f>
        <v/>
      </c>
      <c r="U499" s="5">
        <f t="shared" si="15"/>
        <v>0</v>
      </c>
    </row>
    <row r="500" spans="3:21" ht="30" customHeight="1" x14ac:dyDescent="0.2">
      <c r="C500" s="4"/>
      <c r="K500" s="5">
        <f t="shared" si="14"/>
        <v>0</v>
      </c>
      <c r="L500" s="5" t="str">
        <f>IF(OR(TRIM($B500)="",$A500=""),"",IF(OR(ISNUMBER(SEARCH(_xlfn.CONCAT(CHAR(96),CHAR(34)),$A500)),ISNUMBER(SEARCH(_xlfn.CONCAT(CHAR(34),CHAR(39)),$A500))),_xlfn.CONCAT("* REVIEW REQUIRED: compound-quote delimiter in Codebook Section on Sheet 1 row ",500,"; edit the input before running."),_xlfn.CONCAT("char ",TRIM($B500),"[doc_section] ",CHAR(96),CHAR(34),SUBSTITUTE(SUBSTITUTE(SUBSTITUTE(SUBSTITUTE(SUBSTITUTE(SUBSTITUTE($A500,CHAR(13)," "),CHAR(10)," "),CHAR(9)," "),CHAR(92),_xlfn.CONCAT(CHAR(92),CHAR(92))),"$",_xlfn.CONCAT(CHAR(92),"$")),CHAR(96),_xlfn.CONCAT(CHAR(92),CHAR(96))),CHAR(34),CHAR(39))))</f>
        <v/>
      </c>
      <c r="M500" s="5" t="str">
        <f>IF(OR(TRIM($B500)="",$C500=""),"",IF(IFERROR(MATCH(TRIM($C500),{"Quantitative","Continuous","Discrete","Categorical","Nominal","Ordinal","Identifier"},0),0)=0,_xlfn.CONCAT("* REVIEW REQUIRED: invalid Variable Type on Sheet 1 row ",500,"."),_xlfn.CONCAT("char ",TRIM($B500),"[doc_vartype] ",CHAR(96),CHAR(34),SUBSTITUTE(SUBSTITUTE(SUBSTITUTE(SUBSTITUTE(SUBSTITUTE(SUBSTITUTE(LOWER(TRIM($C500)),CHAR(13)," "),CHAR(10)," "),CHAR(9)," "),CHAR(92),_xlfn.CONCAT(CHAR(92),CHAR(92))),"$",_xlfn.CONCAT(CHAR(92),"$")),CHAR(96),_xlfn.CONCAT(CHAR(92),CHAR(96))),CHAR(34),CHAR(39))))</f>
        <v/>
      </c>
      <c r="N500" s="5" t="str">
        <f>IF(OR(TRIM($B500)="",$D500=""),"",IF(OR(ISNUMBER(SEARCH(_xlfn.CONCAT(CHAR(96),CHAR(34)),$D500)),ISNUMBER(SEARCH(_xlfn.CONCAT(CHAR(34),CHAR(39)),$D500))),_xlfn.CONCAT("* REVIEW REQUIRED: compound-quote delimiter in Item Number on Sheet 1 row ",500,"; edit the input before running."),_xlfn.CONCAT("char ",TRIM($B500),"[doc_itemnum] ",CHAR(96),CHAR(34),SUBSTITUTE(SUBSTITUTE(SUBSTITUTE(SUBSTITUTE(SUBSTITUTE(SUBSTITUTE($D500,CHAR(13)," "),CHAR(10)," "),CHAR(9)," "),CHAR(92),_xlfn.CONCAT(CHAR(92),CHAR(92))),"$",_xlfn.CONCAT(CHAR(92),"$")),CHAR(96),_xlfn.CONCAT(CHAR(92),CHAR(96))),CHAR(34),CHAR(39))))</f>
        <v/>
      </c>
      <c r="O500" s="5" t="str">
        <f>IF(OR(TRIM($B500)="",$E500=""),"",IF(OR(ISNUMBER(SEARCH(_xlfn.CONCAT(CHAR(96),CHAR(34)),$E500)),ISNUMBER(SEARCH(_xlfn.CONCAT(CHAR(34),CHAR(39)),$E500))),_xlfn.CONCAT("* REVIEW REQUIRED: compound-quote delimiter in Question Wording on Sheet 1 row ",500,"; edit the input before running."),_xlfn.CONCAT("char ",TRIM($B500),"[doc_question] ",CHAR(96),CHAR(34),SUBSTITUTE(SUBSTITUTE(SUBSTITUTE(SUBSTITUTE(SUBSTITUTE(SUBSTITUTE($E500,CHAR(13)," "),CHAR(10)," "),CHAR(9)," "),CHAR(92),_xlfn.CONCAT(CHAR(92),CHAR(92))),"$",_xlfn.CONCAT(CHAR(92),"$")),CHAR(96),_xlfn.CONCAT(CHAR(92),CHAR(96))),CHAR(34),CHAR(39))))</f>
        <v/>
      </c>
      <c r="P500" s="5" t="str">
        <f>IF(OR(TRIM($B500)="",$F500=""),"",IF(OR(ISNUMBER(SEARCH(_xlfn.CONCAT(CHAR(96),CHAR(34)),$F500)),ISNUMBER(SEARCH(_xlfn.CONCAT(CHAR(34),CHAR(39)),$F500))),_xlfn.CONCAT("* REVIEW REQUIRED: compound-quote delimiter in Units on Sheet 1 row ",500,"; edit the input before running."),_xlfn.CONCAT("char ",TRIM($B500),"[doc_units] ",CHAR(96),CHAR(34),SUBSTITUTE(SUBSTITUTE(SUBSTITUTE(SUBSTITUTE(SUBSTITUTE(SUBSTITUTE($F500,CHAR(13)," "),CHAR(10)," "),CHAR(9)," "),CHAR(92),_xlfn.CONCAT(CHAR(92),CHAR(92))),"$",_xlfn.CONCAT(CHAR(92),"$")),CHAR(96),_xlfn.CONCAT(CHAR(92),CHAR(96))),CHAR(34),CHAR(39))))</f>
        <v/>
      </c>
      <c r="Q500" s="5" t="str">
        <f>IF(OR(TRIM($B500)="",$G500=""),"",IF(OR(ISNUMBER(SEARCH(_xlfn.CONCAT(CHAR(96),CHAR(34)),$G500)),ISNUMBER(SEARCH(_xlfn.CONCAT(CHAR(34),CHAR(39)),$G500))),_xlfn.CONCAT("* REVIEW REQUIRED: compound-quote delimiter in Universe on Sheet 1 row ",500,"; edit the input before running."),_xlfn.CONCAT("char ",TRIM($B500),"[doc_universe] ",CHAR(96),CHAR(34),SUBSTITUTE(SUBSTITUTE(SUBSTITUTE(SUBSTITUTE(SUBSTITUTE(SUBSTITUTE($G500,CHAR(13)," "),CHAR(10)," "),CHAR(9)," "),CHAR(92),_xlfn.CONCAT(CHAR(92),CHAR(92))),"$",_xlfn.CONCAT(CHAR(92),"$")),CHAR(96),_xlfn.CONCAT(CHAR(92),CHAR(96))),CHAR(34),CHAR(39))))</f>
        <v/>
      </c>
      <c r="R500" s="5" t="str">
        <f>IF(OR(TRIM($B500)="",$H500=""),"",IF(OR(ISNUMBER(SEARCH(_xlfn.CONCAT(CHAR(96),CHAR(34)),$H500)),ISNUMBER(SEARCH(_xlfn.CONCAT(CHAR(34),CHAR(39)),$H500))),_xlfn.CONCAT("* REVIEW REQUIRED: compound-quote delimiter in Source on Sheet 1 row ",500,"; edit the input before running."),_xlfn.CONCAT("char ",TRIM($B500),"[doc_source] ",CHAR(96),CHAR(34),SUBSTITUTE(SUBSTITUTE(SUBSTITUTE(SUBSTITUTE(SUBSTITUTE(SUBSTITUTE($H500,CHAR(13)," "),CHAR(10)," "),CHAR(9)," "),CHAR(92),_xlfn.CONCAT(CHAR(92),CHAR(92))),"$",_xlfn.CONCAT(CHAR(92),"$")),CHAR(96),_xlfn.CONCAT(CHAR(92),CHAR(96))),CHAR(34),CHAR(39))))</f>
        <v/>
      </c>
      <c r="S500" s="5" t="str">
        <f>IF(OR(TRIM($B500)="",$I500=""),"",IF(OR(ISNUMBER(SEARCH(_xlfn.CONCAT(CHAR(96),CHAR(34)),$I500)),ISNUMBER(SEARCH(_xlfn.CONCAT(CHAR(34),CHAR(39)),$I500))),_xlfn.CONCAT("* REVIEW REQUIRED: compound-quote delimiter in Derivation on Sheet 1 row ",500,"; edit the input before running."),_xlfn.CONCAT("char ",TRIM($B500),"[doc_derivation] ",CHAR(96),CHAR(34),SUBSTITUTE(SUBSTITUTE(SUBSTITUTE(SUBSTITUTE(SUBSTITUTE(SUBSTITUTE($I500,CHAR(13)," "),CHAR(10)," "),CHAR(9)," "),CHAR(92),_xlfn.CONCAT(CHAR(92),CHAR(92))),"$",_xlfn.CONCAT(CHAR(92),"$")),CHAR(96),_xlfn.CONCAT(CHAR(92),CHAR(96))),CHAR(34),CHAR(39))))</f>
        <v/>
      </c>
      <c r="T500" s="5" t="str">
        <f>IF(OR(TRIM($B500)="",$J500=""),"",IF(OR(ISNUMBER(SEARCH(_xlfn.CONCAT(CHAR(96),CHAR(34)),$J500)),ISNUMBER(SEARCH(_xlfn.CONCAT(CHAR(34),CHAR(39)),$J500))),_xlfn.CONCAT("* REVIEW REQUIRED: compound-quote delimiter in Notes on Sheet 1 row ",500,"; edit the input before running."),_xlfn.CONCAT("char ",TRIM($B500),"[doc_notes] ",CHAR(96),CHAR(34),SUBSTITUTE(SUBSTITUTE(SUBSTITUTE(SUBSTITUTE(SUBSTITUTE(SUBSTITUTE($J500,CHAR(13)," "),CHAR(10)," "),CHAR(9)," "),CHAR(92),_xlfn.CONCAT(CHAR(92),CHAR(92))),"$",_xlfn.CONCAT(CHAR(92),"$")),CHAR(96),_xlfn.CONCAT(CHAR(92),CHAR(96))),CHAR(34),CHAR(39))))</f>
        <v/>
      </c>
      <c r="U500" s="5">
        <f t="shared" si="15"/>
        <v>0</v>
      </c>
    </row>
    <row r="501" spans="3:21" ht="30" customHeight="1" x14ac:dyDescent="0.2">
      <c r="C501" s="4"/>
      <c r="K501" s="5">
        <f t="shared" si="14"/>
        <v>0</v>
      </c>
      <c r="L501" s="5" t="str">
        <f>IF(OR(TRIM($B501)="",$A501=""),"",IF(OR(ISNUMBER(SEARCH(_xlfn.CONCAT(CHAR(96),CHAR(34)),$A501)),ISNUMBER(SEARCH(_xlfn.CONCAT(CHAR(34),CHAR(39)),$A501))),_xlfn.CONCAT("* REVIEW REQUIRED: compound-quote delimiter in Codebook Section on Sheet 1 row ",501,"; edit the input before running."),_xlfn.CONCAT("char ",TRIM($B501),"[doc_section] ",CHAR(96),CHAR(34),SUBSTITUTE(SUBSTITUTE(SUBSTITUTE(SUBSTITUTE(SUBSTITUTE(SUBSTITUTE($A501,CHAR(13)," "),CHAR(10)," "),CHAR(9)," "),CHAR(92),_xlfn.CONCAT(CHAR(92),CHAR(92))),"$",_xlfn.CONCAT(CHAR(92),"$")),CHAR(96),_xlfn.CONCAT(CHAR(92),CHAR(96))),CHAR(34),CHAR(39))))</f>
        <v/>
      </c>
      <c r="M501" s="5" t="str">
        <f>IF(OR(TRIM($B501)="",$C501=""),"",IF(IFERROR(MATCH(TRIM($C501),{"Quantitative","Continuous","Discrete","Categorical","Nominal","Ordinal","Identifier"},0),0)=0,_xlfn.CONCAT("* REVIEW REQUIRED: invalid Variable Type on Sheet 1 row ",501,"."),_xlfn.CONCAT("char ",TRIM($B501),"[doc_vartype] ",CHAR(96),CHAR(34),SUBSTITUTE(SUBSTITUTE(SUBSTITUTE(SUBSTITUTE(SUBSTITUTE(SUBSTITUTE(LOWER(TRIM($C501)),CHAR(13)," "),CHAR(10)," "),CHAR(9)," "),CHAR(92),_xlfn.CONCAT(CHAR(92),CHAR(92))),"$",_xlfn.CONCAT(CHAR(92),"$")),CHAR(96),_xlfn.CONCAT(CHAR(92),CHAR(96))),CHAR(34),CHAR(39))))</f>
        <v/>
      </c>
      <c r="N501" s="5" t="str">
        <f>IF(OR(TRIM($B501)="",$D501=""),"",IF(OR(ISNUMBER(SEARCH(_xlfn.CONCAT(CHAR(96),CHAR(34)),$D501)),ISNUMBER(SEARCH(_xlfn.CONCAT(CHAR(34),CHAR(39)),$D501))),_xlfn.CONCAT("* REVIEW REQUIRED: compound-quote delimiter in Item Number on Sheet 1 row ",501,"; edit the input before running."),_xlfn.CONCAT("char ",TRIM($B501),"[doc_itemnum] ",CHAR(96),CHAR(34),SUBSTITUTE(SUBSTITUTE(SUBSTITUTE(SUBSTITUTE(SUBSTITUTE(SUBSTITUTE($D501,CHAR(13)," "),CHAR(10)," "),CHAR(9)," "),CHAR(92),_xlfn.CONCAT(CHAR(92),CHAR(92))),"$",_xlfn.CONCAT(CHAR(92),"$")),CHAR(96),_xlfn.CONCAT(CHAR(92),CHAR(96))),CHAR(34),CHAR(39))))</f>
        <v/>
      </c>
      <c r="O501" s="5" t="str">
        <f>IF(OR(TRIM($B501)="",$E501=""),"",IF(OR(ISNUMBER(SEARCH(_xlfn.CONCAT(CHAR(96),CHAR(34)),$E501)),ISNUMBER(SEARCH(_xlfn.CONCAT(CHAR(34),CHAR(39)),$E501))),_xlfn.CONCAT("* REVIEW REQUIRED: compound-quote delimiter in Question Wording on Sheet 1 row ",501,"; edit the input before running."),_xlfn.CONCAT("char ",TRIM($B501),"[doc_question] ",CHAR(96),CHAR(34),SUBSTITUTE(SUBSTITUTE(SUBSTITUTE(SUBSTITUTE(SUBSTITUTE(SUBSTITUTE($E501,CHAR(13)," "),CHAR(10)," "),CHAR(9)," "),CHAR(92),_xlfn.CONCAT(CHAR(92),CHAR(92))),"$",_xlfn.CONCAT(CHAR(92),"$")),CHAR(96),_xlfn.CONCAT(CHAR(92),CHAR(96))),CHAR(34),CHAR(39))))</f>
        <v/>
      </c>
      <c r="P501" s="5" t="str">
        <f>IF(OR(TRIM($B501)="",$F501=""),"",IF(OR(ISNUMBER(SEARCH(_xlfn.CONCAT(CHAR(96),CHAR(34)),$F501)),ISNUMBER(SEARCH(_xlfn.CONCAT(CHAR(34),CHAR(39)),$F501))),_xlfn.CONCAT("* REVIEW REQUIRED: compound-quote delimiter in Units on Sheet 1 row ",501,"; edit the input before running."),_xlfn.CONCAT("char ",TRIM($B501),"[doc_units] ",CHAR(96),CHAR(34),SUBSTITUTE(SUBSTITUTE(SUBSTITUTE(SUBSTITUTE(SUBSTITUTE(SUBSTITUTE($F501,CHAR(13)," "),CHAR(10)," "),CHAR(9)," "),CHAR(92),_xlfn.CONCAT(CHAR(92),CHAR(92))),"$",_xlfn.CONCAT(CHAR(92),"$")),CHAR(96),_xlfn.CONCAT(CHAR(92),CHAR(96))),CHAR(34),CHAR(39))))</f>
        <v/>
      </c>
      <c r="Q501" s="5" t="str">
        <f>IF(OR(TRIM($B501)="",$G501=""),"",IF(OR(ISNUMBER(SEARCH(_xlfn.CONCAT(CHAR(96),CHAR(34)),$G501)),ISNUMBER(SEARCH(_xlfn.CONCAT(CHAR(34),CHAR(39)),$G501))),_xlfn.CONCAT("* REVIEW REQUIRED: compound-quote delimiter in Universe on Sheet 1 row ",501,"; edit the input before running."),_xlfn.CONCAT("char ",TRIM($B501),"[doc_universe] ",CHAR(96),CHAR(34),SUBSTITUTE(SUBSTITUTE(SUBSTITUTE(SUBSTITUTE(SUBSTITUTE(SUBSTITUTE($G501,CHAR(13)," "),CHAR(10)," "),CHAR(9)," "),CHAR(92),_xlfn.CONCAT(CHAR(92),CHAR(92))),"$",_xlfn.CONCAT(CHAR(92),"$")),CHAR(96),_xlfn.CONCAT(CHAR(92),CHAR(96))),CHAR(34),CHAR(39))))</f>
        <v/>
      </c>
      <c r="R501" s="5" t="str">
        <f>IF(OR(TRIM($B501)="",$H501=""),"",IF(OR(ISNUMBER(SEARCH(_xlfn.CONCAT(CHAR(96),CHAR(34)),$H501)),ISNUMBER(SEARCH(_xlfn.CONCAT(CHAR(34),CHAR(39)),$H501))),_xlfn.CONCAT("* REVIEW REQUIRED: compound-quote delimiter in Source on Sheet 1 row ",501,"; edit the input before running."),_xlfn.CONCAT("char ",TRIM($B501),"[doc_source] ",CHAR(96),CHAR(34),SUBSTITUTE(SUBSTITUTE(SUBSTITUTE(SUBSTITUTE(SUBSTITUTE(SUBSTITUTE($H501,CHAR(13)," "),CHAR(10)," "),CHAR(9)," "),CHAR(92),_xlfn.CONCAT(CHAR(92),CHAR(92))),"$",_xlfn.CONCAT(CHAR(92),"$")),CHAR(96),_xlfn.CONCAT(CHAR(92),CHAR(96))),CHAR(34),CHAR(39))))</f>
        <v/>
      </c>
      <c r="S501" s="5" t="str">
        <f>IF(OR(TRIM($B501)="",$I501=""),"",IF(OR(ISNUMBER(SEARCH(_xlfn.CONCAT(CHAR(96),CHAR(34)),$I501)),ISNUMBER(SEARCH(_xlfn.CONCAT(CHAR(34),CHAR(39)),$I501))),_xlfn.CONCAT("* REVIEW REQUIRED: compound-quote delimiter in Derivation on Sheet 1 row ",501,"; edit the input before running."),_xlfn.CONCAT("char ",TRIM($B501),"[doc_derivation] ",CHAR(96),CHAR(34),SUBSTITUTE(SUBSTITUTE(SUBSTITUTE(SUBSTITUTE(SUBSTITUTE(SUBSTITUTE($I501,CHAR(13)," "),CHAR(10)," "),CHAR(9)," "),CHAR(92),_xlfn.CONCAT(CHAR(92),CHAR(92))),"$",_xlfn.CONCAT(CHAR(92),"$")),CHAR(96),_xlfn.CONCAT(CHAR(92),CHAR(96))),CHAR(34),CHAR(39))))</f>
        <v/>
      </c>
      <c r="T501" s="5" t="str">
        <f>IF(OR(TRIM($B501)="",$J501=""),"",IF(OR(ISNUMBER(SEARCH(_xlfn.CONCAT(CHAR(96),CHAR(34)),$J501)),ISNUMBER(SEARCH(_xlfn.CONCAT(CHAR(34),CHAR(39)),$J501))),_xlfn.CONCAT("* REVIEW REQUIRED: compound-quote delimiter in Notes on Sheet 1 row ",501,"; edit the input before running."),_xlfn.CONCAT("char ",TRIM($B501),"[doc_notes] ",CHAR(96),CHAR(34),SUBSTITUTE(SUBSTITUTE(SUBSTITUTE(SUBSTITUTE(SUBSTITUTE(SUBSTITUTE($J501,CHAR(13)," "),CHAR(10)," "),CHAR(9)," "),CHAR(92),_xlfn.CONCAT(CHAR(92),CHAR(92))),"$",_xlfn.CONCAT(CHAR(92),"$")),CHAR(96),_xlfn.CONCAT(CHAR(92),CHAR(96))),CHAR(34),CHAR(39))))</f>
        <v/>
      </c>
      <c r="U501" s="5">
        <f t="shared" si="15"/>
        <v>0</v>
      </c>
    </row>
    <row r="502" spans="3:21" ht="30" customHeight="1" x14ac:dyDescent="0.2">
      <c r="C502" s="4"/>
      <c r="K502" s="5">
        <f t="shared" si="14"/>
        <v>0</v>
      </c>
      <c r="L502" s="5" t="str">
        <f>IF(OR(TRIM($B502)="",$A502=""),"",IF(OR(ISNUMBER(SEARCH(_xlfn.CONCAT(CHAR(96),CHAR(34)),$A502)),ISNUMBER(SEARCH(_xlfn.CONCAT(CHAR(34),CHAR(39)),$A502))),_xlfn.CONCAT("* REVIEW REQUIRED: compound-quote delimiter in Codebook Section on Sheet 1 row ",502,"; edit the input before running."),_xlfn.CONCAT("char ",TRIM($B502),"[doc_section] ",CHAR(96),CHAR(34),SUBSTITUTE(SUBSTITUTE(SUBSTITUTE(SUBSTITUTE(SUBSTITUTE(SUBSTITUTE($A502,CHAR(13)," "),CHAR(10)," "),CHAR(9)," "),CHAR(92),_xlfn.CONCAT(CHAR(92),CHAR(92))),"$",_xlfn.CONCAT(CHAR(92),"$")),CHAR(96),_xlfn.CONCAT(CHAR(92),CHAR(96))),CHAR(34),CHAR(39))))</f>
        <v/>
      </c>
      <c r="M502" s="5" t="str">
        <f>IF(OR(TRIM($B502)="",$C502=""),"",IF(IFERROR(MATCH(TRIM($C502),{"Quantitative","Continuous","Discrete","Categorical","Nominal","Ordinal","Identifier"},0),0)=0,_xlfn.CONCAT("* REVIEW REQUIRED: invalid Variable Type on Sheet 1 row ",502,"."),_xlfn.CONCAT("char ",TRIM($B502),"[doc_vartype] ",CHAR(96),CHAR(34),SUBSTITUTE(SUBSTITUTE(SUBSTITUTE(SUBSTITUTE(SUBSTITUTE(SUBSTITUTE(LOWER(TRIM($C502)),CHAR(13)," "),CHAR(10)," "),CHAR(9)," "),CHAR(92),_xlfn.CONCAT(CHAR(92),CHAR(92))),"$",_xlfn.CONCAT(CHAR(92),"$")),CHAR(96),_xlfn.CONCAT(CHAR(92),CHAR(96))),CHAR(34),CHAR(39))))</f>
        <v/>
      </c>
      <c r="N502" s="5" t="str">
        <f>IF(OR(TRIM($B502)="",$D502=""),"",IF(OR(ISNUMBER(SEARCH(_xlfn.CONCAT(CHAR(96),CHAR(34)),$D502)),ISNUMBER(SEARCH(_xlfn.CONCAT(CHAR(34),CHAR(39)),$D502))),_xlfn.CONCAT("* REVIEW REQUIRED: compound-quote delimiter in Item Number on Sheet 1 row ",502,"; edit the input before running."),_xlfn.CONCAT("char ",TRIM($B502),"[doc_itemnum] ",CHAR(96),CHAR(34),SUBSTITUTE(SUBSTITUTE(SUBSTITUTE(SUBSTITUTE(SUBSTITUTE(SUBSTITUTE($D502,CHAR(13)," "),CHAR(10)," "),CHAR(9)," "),CHAR(92),_xlfn.CONCAT(CHAR(92),CHAR(92))),"$",_xlfn.CONCAT(CHAR(92),"$")),CHAR(96),_xlfn.CONCAT(CHAR(92),CHAR(96))),CHAR(34),CHAR(39))))</f>
        <v/>
      </c>
      <c r="O502" s="5" t="str">
        <f>IF(OR(TRIM($B502)="",$E502=""),"",IF(OR(ISNUMBER(SEARCH(_xlfn.CONCAT(CHAR(96),CHAR(34)),$E502)),ISNUMBER(SEARCH(_xlfn.CONCAT(CHAR(34),CHAR(39)),$E502))),_xlfn.CONCAT("* REVIEW REQUIRED: compound-quote delimiter in Question Wording on Sheet 1 row ",502,"; edit the input before running."),_xlfn.CONCAT("char ",TRIM($B502),"[doc_question] ",CHAR(96),CHAR(34),SUBSTITUTE(SUBSTITUTE(SUBSTITUTE(SUBSTITUTE(SUBSTITUTE(SUBSTITUTE($E502,CHAR(13)," "),CHAR(10)," "),CHAR(9)," "),CHAR(92),_xlfn.CONCAT(CHAR(92),CHAR(92))),"$",_xlfn.CONCAT(CHAR(92),"$")),CHAR(96),_xlfn.CONCAT(CHAR(92),CHAR(96))),CHAR(34),CHAR(39))))</f>
        <v/>
      </c>
      <c r="P502" s="5" t="str">
        <f>IF(OR(TRIM($B502)="",$F502=""),"",IF(OR(ISNUMBER(SEARCH(_xlfn.CONCAT(CHAR(96),CHAR(34)),$F502)),ISNUMBER(SEARCH(_xlfn.CONCAT(CHAR(34),CHAR(39)),$F502))),_xlfn.CONCAT("* REVIEW REQUIRED: compound-quote delimiter in Units on Sheet 1 row ",502,"; edit the input before running."),_xlfn.CONCAT("char ",TRIM($B502),"[doc_units] ",CHAR(96),CHAR(34),SUBSTITUTE(SUBSTITUTE(SUBSTITUTE(SUBSTITUTE(SUBSTITUTE(SUBSTITUTE($F502,CHAR(13)," "),CHAR(10)," "),CHAR(9)," "),CHAR(92),_xlfn.CONCAT(CHAR(92),CHAR(92))),"$",_xlfn.CONCAT(CHAR(92),"$")),CHAR(96),_xlfn.CONCAT(CHAR(92),CHAR(96))),CHAR(34),CHAR(39))))</f>
        <v/>
      </c>
      <c r="Q502" s="5" t="str">
        <f>IF(OR(TRIM($B502)="",$G502=""),"",IF(OR(ISNUMBER(SEARCH(_xlfn.CONCAT(CHAR(96),CHAR(34)),$G502)),ISNUMBER(SEARCH(_xlfn.CONCAT(CHAR(34),CHAR(39)),$G502))),_xlfn.CONCAT("* REVIEW REQUIRED: compound-quote delimiter in Universe on Sheet 1 row ",502,"; edit the input before running."),_xlfn.CONCAT("char ",TRIM($B502),"[doc_universe] ",CHAR(96),CHAR(34),SUBSTITUTE(SUBSTITUTE(SUBSTITUTE(SUBSTITUTE(SUBSTITUTE(SUBSTITUTE($G502,CHAR(13)," "),CHAR(10)," "),CHAR(9)," "),CHAR(92),_xlfn.CONCAT(CHAR(92),CHAR(92))),"$",_xlfn.CONCAT(CHAR(92),"$")),CHAR(96),_xlfn.CONCAT(CHAR(92),CHAR(96))),CHAR(34),CHAR(39))))</f>
        <v/>
      </c>
      <c r="R502" s="5" t="str">
        <f>IF(OR(TRIM($B502)="",$H502=""),"",IF(OR(ISNUMBER(SEARCH(_xlfn.CONCAT(CHAR(96),CHAR(34)),$H502)),ISNUMBER(SEARCH(_xlfn.CONCAT(CHAR(34),CHAR(39)),$H502))),_xlfn.CONCAT("* REVIEW REQUIRED: compound-quote delimiter in Source on Sheet 1 row ",502,"; edit the input before running."),_xlfn.CONCAT("char ",TRIM($B502),"[doc_source] ",CHAR(96),CHAR(34),SUBSTITUTE(SUBSTITUTE(SUBSTITUTE(SUBSTITUTE(SUBSTITUTE(SUBSTITUTE($H502,CHAR(13)," "),CHAR(10)," "),CHAR(9)," "),CHAR(92),_xlfn.CONCAT(CHAR(92),CHAR(92))),"$",_xlfn.CONCAT(CHAR(92),"$")),CHAR(96),_xlfn.CONCAT(CHAR(92),CHAR(96))),CHAR(34),CHAR(39))))</f>
        <v/>
      </c>
      <c r="S502" s="5" t="str">
        <f>IF(OR(TRIM($B502)="",$I502=""),"",IF(OR(ISNUMBER(SEARCH(_xlfn.CONCAT(CHAR(96),CHAR(34)),$I502)),ISNUMBER(SEARCH(_xlfn.CONCAT(CHAR(34),CHAR(39)),$I502))),_xlfn.CONCAT("* REVIEW REQUIRED: compound-quote delimiter in Derivation on Sheet 1 row ",502,"; edit the input before running."),_xlfn.CONCAT("char ",TRIM($B502),"[doc_derivation] ",CHAR(96),CHAR(34),SUBSTITUTE(SUBSTITUTE(SUBSTITUTE(SUBSTITUTE(SUBSTITUTE(SUBSTITUTE($I502,CHAR(13)," "),CHAR(10)," "),CHAR(9)," "),CHAR(92),_xlfn.CONCAT(CHAR(92),CHAR(92))),"$",_xlfn.CONCAT(CHAR(92),"$")),CHAR(96),_xlfn.CONCAT(CHAR(92),CHAR(96))),CHAR(34),CHAR(39))))</f>
        <v/>
      </c>
      <c r="T502" s="5" t="str">
        <f>IF(OR(TRIM($B502)="",$J502=""),"",IF(OR(ISNUMBER(SEARCH(_xlfn.CONCAT(CHAR(96),CHAR(34)),$J502)),ISNUMBER(SEARCH(_xlfn.CONCAT(CHAR(34),CHAR(39)),$J502))),_xlfn.CONCAT("* REVIEW REQUIRED: compound-quote delimiter in Notes on Sheet 1 row ",502,"; edit the input before running."),_xlfn.CONCAT("char ",TRIM($B502),"[doc_notes] ",CHAR(96),CHAR(34),SUBSTITUTE(SUBSTITUTE(SUBSTITUTE(SUBSTITUTE(SUBSTITUTE(SUBSTITUTE($J502,CHAR(13)," "),CHAR(10)," "),CHAR(9)," "),CHAR(92),_xlfn.CONCAT(CHAR(92),CHAR(92))),"$",_xlfn.CONCAT(CHAR(92),"$")),CHAR(96),_xlfn.CONCAT(CHAR(92),CHAR(96))),CHAR(34),CHAR(39))))</f>
        <v/>
      </c>
      <c r="U502" s="5">
        <f t="shared" si="15"/>
        <v>0</v>
      </c>
    </row>
    <row r="503" spans="3:21" ht="30" customHeight="1" x14ac:dyDescent="0.2">
      <c r="C503" s="4"/>
      <c r="K503" s="5">
        <f t="shared" si="14"/>
        <v>0</v>
      </c>
      <c r="L503" s="5" t="str">
        <f>IF(OR(TRIM($B503)="",$A503=""),"",IF(OR(ISNUMBER(SEARCH(_xlfn.CONCAT(CHAR(96),CHAR(34)),$A503)),ISNUMBER(SEARCH(_xlfn.CONCAT(CHAR(34),CHAR(39)),$A503))),_xlfn.CONCAT("* REVIEW REQUIRED: compound-quote delimiter in Codebook Section on Sheet 1 row ",503,"; edit the input before running."),_xlfn.CONCAT("char ",TRIM($B503),"[doc_section] ",CHAR(96),CHAR(34),SUBSTITUTE(SUBSTITUTE(SUBSTITUTE(SUBSTITUTE(SUBSTITUTE(SUBSTITUTE($A503,CHAR(13)," "),CHAR(10)," "),CHAR(9)," "),CHAR(92),_xlfn.CONCAT(CHAR(92),CHAR(92))),"$",_xlfn.CONCAT(CHAR(92),"$")),CHAR(96),_xlfn.CONCAT(CHAR(92),CHAR(96))),CHAR(34),CHAR(39))))</f>
        <v/>
      </c>
      <c r="M503" s="5" t="str">
        <f>IF(OR(TRIM($B503)="",$C503=""),"",IF(IFERROR(MATCH(TRIM($C503),{"Quantitative","Continuous","Discrete","Categorical","Nominal","Ordinal","Identifier"},0),0)=0,_xlfn.CONCAT("* REVIEW REQUIRED: invalid Variable Type on Sheet 1 row ",503,"."),_xlfn.CONCAT("char ",TRIM($B503),"[doc_vartype] ",CHAR(96),CHAR(34),SUBSTITUTE(SUBSTITUTE(SUBSTITUTE(SUBSTITUTE(SUBSTITUTE(SUBSTITUTE(LOWER(TRIM($C503)),CHAR(13)," "),CHAR(10)," "),CHAR(9)," "),CHAR(92),_xlfn.CONCAT(CHAR(92),CHAR(92))),"$",_xlfn.CONCAT(CHAR(92),"$")),CHAR(96),_xlfn.CONCAT(CHAR(92),CHAR(96))),CHAR(34),CHAR(39))))</f>
        <v/>
      </c>
      <c r="N503" s="5" t="str">
        <f>IF(OR(TRIM($B503)="",$D503=""),"",IF(OR(ISNUMBER(SEARCH(_xlfn.CONCAT(CHAR(96),CHAR(34)),$D503)),ISNUMBER(SEARCH(_xlfn.CONCAT(CHAR(34),CHAR(39)),$D503))),_xlfn.CONCAT("* REVIEW REQUIRED: compound-quote delimiter in Item Number on Sheet 1 row ",503,"; edit the input before running."),_xlfn.CONCAT("char ",TRIM($B503),"[doc_itemnum] ",CHAR(96),CHAR(34),SUBSTITUTE(SUBSTITUTE(SUBSTITUTE(SUBSTITUTE(SUBSTITUTE(SUBSTITUTE($D503,CHAR(13)," "),CHAR(10)," "),CHAR(9)," "),CHAR(92),_xlfn.CONCAT(CHAR(92),CHAR(92))),"$",_xlfn.CONCAT(CHAR(92),"$")),CHAR(96),_xlfn.CONCAT(CHAR(92),CHAR(96))),CHAR(34),CHAR(39))))</f>
        <v/>
      </c>
      <c r="O503" s="5" t="str">
        <f>IF(OR(TRIM($B503)="",$E503=""),"",IF(OR(ISNUMBER(SEARCH(_xlfn.CONCAT(CHAR(96),CHAR(34)),$E503)),ISNUMBER(SEARCH(_xlfn.CONCAT(CHAR(34),CHAR(39)),$E503))),_xlfn.CONCAT("* REVIEW REQUIRED: compound-quote delimiter in Question Wording on Sheet 1 row ",503,"; edit the input before running."),_xlfn.CONCAT("char ",TRIM($B503),"[doc_question] ",CHAR(96),CHAR(34),SUBSTITUTE(SUBSTITUTE(SUBSTITUTE(SUBSTITUTE(SUBSTITUTE(SUBSTITUTE($E503,CHAR(13)," "),CHAR(10)," "),CHAR(9)," "),CHAR(92),_xlfn.CONCAT(CHAR(92),CHAR(92))),"$",_xlfn.CONCAT(CHAR(92),"$")),CHAR(96),_xlfn.CONCAT(CHAR(92),CHAR(96))),CHAR(34),CHAR(39))))</f>
        <v/>
      </c>
      <c r="P503" s="5" t="str">
        <f>IF(OR(TRIM($B503)="",$F503=""),"",IF(OR(ISNUMBER(SEARCH(_xlfn.CONCAT(CHAR(96),CHAR(34)),$F503)),ISNUMBER(SEARCH(_xlfn.CONCAT(CHAR(34),CHAR(39)),$F503))),_xlfn.CONCAT("* REVIEW REQUIRED: compound-quote delimiter in Units on Sheet 1 row ",503,"; edit the input before running."),_xlfn.CONCAT("char ",TRIM($B503),"[doc_units] ",CHAR(96),CHAR(34),SUBSTITUTE(SUBSTITUTE(SUBSTITUTE(SUBSTITUTE(SUBSTITUTE(SUBSTITUTE($F503,CHAR(13)," "),CHAR(10)," "),CHAR(9)," "),CHAR(92),_xlfn.CONCAT(CHAR(92),CHAR(92))),"$",_xlfn.CONCAT(CHAR(92),"$")),CHAR(96),_xlfn.CONCAT(CHAR(92),CHAR(96))),CHAR(34),CHAR(39))))</f>
        <v/>
      </c>
      <c r="Q503" s="5" t="str">
        <f>IF(OR(TRIM($B503)="",$G503=""),"",IF(OR(ISNUMBER(SEARCH(_xlfn.CONCAT(CHAR(96),CHAR(34)),$G503)),ISNUMBER(SEARCH(_xlfn.CONCAT(CHAR(34),CHAR(39)),$G503))),_xlfn.CONCAT("* REVIEW REQUIRED: compound-quote delimiter in Universe on Sheet 1 row ",503,"; edit the input before running."),_xlfn.CONCAT("char ",TRIM($B503),"[doc_universe] ",CHAR(96),CHAR(34),SUBSTITUTE(SUBSTITUTE(SUBSTITUTE(SUBSTITUTE(SUBSTITUTE(SUBSTITUTE($G503,CHAR(13)," "),CHAR(10)," "),CHAR(9)," "),CHAR(92),_xlfn.CONCAT(CHAR(92),CHAR(92))),"$",_xlfn.CONCAT(CHAR(92),"$")),CHAR(96),_xlfn.CONCAT(CHAR(92),CHAR(96))),CHAR(34),CHAR(39))))</f>
        <v/>
      </c>
      <c r="R503" s="5" t="str">
        <f>IF(OR(TRIM($B503)="",$H503=""),"",IF(OR(ISNUMBER(SEARCH(_xlfn.CONCAT(CHAR(96),CHAR(34)),$H503)),ISNUMBER(SEARCH(_xlfn.CONCAT(CHAR(34),CHAR(39)),$H503))),_xlfn.CONCAT("* REVIEW REQUIRED: compound-quote delimiter in Source on Sheet 1 row ",503,"; edit the input before running."),_xlfn.CONCAT("char ",TRIM($B503),"[doc_source] ",CHAR(96),CHAR(34),SUBSTITUTE(SUBSTITUTE(SUBSTITUTE(SUBSTITUTE(SUBSTITUTE(SUBSTITUTE($H503,CHAR(13)," "),CHAR(10)," "),CHAR(9)," "),CHAR(92),_xlfn.CONCAT(CHAR(92),CHAR(92))),"$",_xlfn.CONCAT(CHAR(92),"$")),CHAR(96),_xlfn.CONCAT(CHAR(92),CHAR(96))),CHAR(34),CHAR(39))))</f>
        <v/>
      </c>
      <c r="S503" s="5" t="str">
        <f>IF(OR(TRIM($B503)="",$I503=""),"",IF(OR(ISNUMBER(SEARCH(_xlfn.CONCAT(CHAR(96),CHAR(34)),$I503)),ISNUMBER(SEARCH(_xlfn.CONCAT(CHAR(34),CHAR(39)),$I503))),_xlfn.CONCAT("* REVIEW REQUIRED: compound-quote delimiter in Derivation on Sheet 1 row ",503,"; edit the input before running."),_xlfn.CONCAT("char ",TRIM($B503),"[doc_derivation] ",CHAR(96),CHAR(34),SUBSTITUTE(SUBSTITUTE(SUBSTITUTE(SUBSTITUTE(SUBSTITUTE(SUBSTITUTE($I503,CHAR(13)," "),CHAR(10)," "),CHAR(9)," "),CHAR(92),_xlfn.CONCAT(CHAR(92),CHAR(92))),"$",_xlfn.CONCAT(CHAR(92),"$")),CHAR(96),_xlfn.CONCAT(CHAR(92),CHAR(96))),CHAR(34),CHAR(39))))</f>
        <v/>
      </c>
      <c r="T503" s="5" t="str">
        <f>IF(OR(TRIM($B503)="",$J503=""),"",IF(OR(ISNUMBER(SEARCH(_xlfn.CONCAT(CHAR(96),CHAR(34)),$J503)),ISNUMBER(SEARCH(_xlfn.CONCAT(CHAR(34),CHAR(39)),$J503))),_xlfn.CONCAT("* REVIEW REQUIRED: compound-quote delimiter in Notes on Sheet 1 row ",503,"; edit the input before running."),_xlfn.CONCAT("char ",TRIM($B503),"[doc_notes] ",CHAR(96),CHAR(34),SUBSTITUTE(SUBSTITUTE(SUBSTITUTE(SUBSTITUTE(SUBSTITUTE(SUBSTITUTE($J503,CHAR(13)," "),CHAR(10)," "),CHAR(9)," "),CHAR(92),_xlfn.CONCAT(CHAR(92),CHAR(92))),"$",_xlfn.CONCAT(CHAR(92),"$")),CHAR(96),_xlfn.CONCAT(CHAR(92),CHAR(96))),CHAR(34),CHAR(39))))</f>
        <v/>
      </c>
      <c r="U503" s="5">
        <f t="shared" si="15"/>
        <v>0</v>
      </c>
    </row>
    <row r="504" spans="3:21" ht="30" customHeight="1" x14ac:dyDescent="0.2">
      <c r="C504" s="4"/>
      <c r="K504" s="5">
        <f t="shared" si="14"/>
        <v>0</v>
      </c>
      <c r="L504" s="5" t="str">
        <f>IF(OR(TRIM($B504)="",$A504=""),"",IF(OR(ISNUMBER(SEARCH(_xlfn.CONCAT(CHAR(96),CHAR(34)),$A504)),ISNUMBER(SEARCH(_xlfn.CONCAT(CHAR(34),CHAR(39)),$A504))),_xlfn.CONCAT("* REVIEW REQUIRED: compound-quote delimiter in Codebook Section on Sheet 1 row ",504,"; edit the input before running."),_xlfn.CONCAT("char ",TRIM($B504),"[doc_section] ",CHAR(96),CHAR(34),SUBSTITUTE(SUBSTITUTE(SUBSTITUTE(SUBSTITUTE(SUBSTITUTE(SUBSTITUTE($A504,CHAR(13)," "),CHAR(10)," "),CHAR(9)," "),CHAR(92),_xlfn.CONCAT(CHAR(92),CHAR(92))),"$",_xlfn.CONCAT(CHAR(92),"$")),CHAR(96),_xlfn.CONCAT(CHAR(92),CHAR(96))),CHAR(34),CHAR(39))))</f>
        <v/>
      </c>
      <c r="M504" s="5" t="str">
        <f>IF(OR(TRIM($B504)="",$C504=""),"",IF(IFERROR(MATCH(TRIM($C504),{"Quantitative","Continuous","Discrete","Categorical","Nominal","Ordinal","Identifier"},0),0)=0,_xlfn.CONCAT("* REVIEW REQUIRED: invalid Variable Type on Sheet 1 row ",504,"."),_xlfn.CONCAT("char ",TRIM($B504),"[doc_vartype] ",CHAR(96),CHAR(34),SUBSTITUTE(SUBSTITUTE(SUBSTITUTE(SUBSTITUTE(SUBSTITUTE(SUBSTITUTE(LOWER(TRIM($C504)),CHAR(13)," "),CHAR(10)," "),CHAR(9)," "),CHAR(92),_xlfn.CONCAT(CHAR(92),CHAR(92))),"$",_xlfn.CONCAT(CHAR(92),"$")),CHAR(96),_xlfn.CONCAT(CHAR(92),CHAR(96))),CHAR(34),CHAR(39))))</f>
        <v/>
      </c>
      <c r="N504" s="5" t="str">
        <f>IF(OR(TRIM($B504)="",$D504=""),"",IF(OR(ISNUMBER(SEARCH(_xlfn.CONCAT(CHAR(96),CHAR(34)),$D504)),ISNUMBER(SEARCH(_xlfn.CONCAT(CHAR(34),CHAR(39)),$D504))),_xlfn.CONCAT("* REVIEW REQUIRED: compound-quote delimiter in Item Number on Sheet 1 row ",504,"; edit the input before running."),_xlfn.CONCAT("char ",TRIM($B504),"[doc_itemnum] ",CHAR(96),CHAR(34),SUBSTITUTE(SUBSTITUTE(SUBSTITUTE(SUBSTITUTE(SUBSTITUTE(SUBSTITUTE($D504,CHAR(13)," "),CHAR(10)," "),CHAR(9)," "),CHAR(92),_xlfn.CONCAT(CHAR(92),CHAR(92))),"$",_xlfn.CONCAT(CHAR(92),"$")),CHAR(96),_xlfn.CONCAT(CHAR(92),CHAR(96))),CHAR(34),CHAR(39))))</f>
        <v/>
      </c>
      <c r="O504" s="5" t="str">
        <f>IF(OR(TRIM($B504)="",$E504=""),"",IF(OR(ISNUMBER(SEARCH(_xlfn.CONCAT(CHAR(96),CHAR(34)),$E504)),ISNUMBER(SEARCH(_xlfn.CONCAT(CHAR(34),CHAR(39)),$E504))),_xlfn.CONCAT("* REVIEW REQUIRED: compound-quote delimiter in Question Wording on Sheet 1 row ",504,"; edit the input before running."),_xlfn.CONCAT("char ",TRIM($B504),"[doc_question] ",CHAR(96),CHAR(34),SUBSTITUTE(SUBSTITUTE(SUBSTITUTE(SUBSTITUTE(SUBSTITUTE(SUBSTITUTE($E504,CHAR(13)," "),CHAR(10)," "),CHAR(9)," "),CHAR(92),_xlfn.CONCAT(CHAR(92),CHAR(92))),"$",_xlfn.CONCAT(CHAR(92),"$")),CHAR(96),_xlfn.CONCAT(CHAR(92),CHAR(96))),CHAR(34),CHAR(39))))</f>
        <v/>
      </c>
      <c r="P504" s="5" t="str">
        <f>IF(OR(TRIM($B504)="",$F504=""),"",IF(OR(ISNUMBER(SEARCH(_xlfn.CONCAT(CHAR(96),CHAR(34)),$F504)),ISNUMBER(SEARCH(_xlfn.CONCAT(CHAR(34),CHAR(39)),$F504))),_xlfn.CONCAT("* REVIEW REQUIRED: compound-quote delimiter in Units on Sheet 1 row ",504,"; edit the input before running."),_xlfn.CONCAT("char ",TRIM($B504),"[doc_units] ",CHAR(96),CHAR(34),SUBSTITUTE(SUBSTITUTE(SUBSTITUTE(SUBSTITUTE(SUBSTITUTE(SUBSTITUTE($F504,CHAR(13)," "),CHAR(10)," "),CHAR(9)," "),CHAR(92),_xlfn.CONCAT(CHAR(92),CHAR(92))),"$",_xlfn.CONCAT(CHAR(92),"$")),CHAR(96),_xlfn.CONCAT(CHAR(92),CHAR(96))),CHAR(34),CHAR(39))))</f>
        <v/>
      </c>
      <c r="Q504" s="5" t="str">
        <f>IF(OR(TRIM($B504)="",$G504=""),"",IF(OR(ISNUMBER(SEARCH(_xlfn.CONCAT(CHAR(96),CHAR(34)),$G504)),ISNUMBER(SEARCH(_xlfn.CONCAT(CHAR(34),CHAR(39)),$G504))),_xlfn.CONCAT("* REVIEW REQUIRED: compound-quote delimiter in Universe on Sheet 1 row ",504,"; edit the input before running."),_xlfn.CONCAT("char ",TRIM($B504),"[doc_universe] ",CHAR(96),CHAR(34),SUBSTITUTE(SUBSTITUTE(SUBSTITUTE(SUBSTITUTE(SUBSTITUTE(SUBSTITUTE($G504,CHAR(13)," "),CHAR(10)," "),CHAR(9)," "),CHAR(92),_xlfn.CONCAT(CHAR(92),CHAR(92))),"$",_xlfn.CONCAT(CHAR(92),"$")),CHAR(96),_xlfn.CONCAT(CHAR(92),CHAR(96))),CHAR(34),CHAR(39))))</f>
        <v/>
      </c>
      <c r="R504" s="5" t="str">
        <f>IF(OR(TRIM($B504)="",$H504=""),"",IF(OR(ISNUMBER(SEARCH(_xlfn.CONCAT(CHAR(96),CHAR(34)),$H504)),ISNUMBER(SEARCH(_xlfn.CONCAT(CHAR(34),CHAR(39)),$H504))),_xlfn.CONCAT("* REVIEW REQUIRED: compound-quote delimiter in Source on Sheet 1 row ",504,"; edit the input before running."),_xlfn.CONCAT("char ",TRIM($B504),"[doc_source] ",CHAR(96),CHAR(34),SUBSTITUTE(SUBSTITUTE(SUBSTITUTE(SUBSTITUTE(SUBSTITUTE(SUBSTITUTE($H504,CHAR(13)," "),CHAR(10)," "),CHAR(9)," "),CHAR(92),_xlfn.CONCAT(CHAR(92),CHAR(92))),"$",_xlfn.CONCAT(CHAR(92),"$")),CHAR(96),_xlfn.CONCAT(CHAR(92),CHAR(96))),CHAR(34),CHAR(39))))</f>
        <v/>
      </c>
      <c r="S504" s="5" t="str">
        <f>IF(OR(TRIM($B504)="",$I504=""),"",IF(OR(ISNUMBER(SEARCH(_xlfn.CONCAT(CHAR(96),CHAR(34)),$I504)),ISNUMBER(SEARCH(_xlfn.CONCAT(CHAR(34),CHAR(39)),$I504))),_xlfn.CONCAT("* REVIEW REQUIRED: compound-quote delimiter in Derivation on Sheet 1 row ",504,"; edit the input before running."),_xlfn.CONCAT("char ",TRIM($B504),"[doc_derivation] ",CHAR(96),CHAR(34),SUBSTITUTE(SUBSTITUTE(SUBSTITUTE(SUBSTITUTE(SUBSTITUTE(SUBSTITUTE($I504,CHAR(13)," "),CHAR(10)," "),CHAR(9)," "),CHAR(92),_xlfn.CONCAT(CHAR(92),CHAR(92))),"$",_xlfn.CONCAT(CHAR(92),"$")),CHAR(96),_xlfn.CONCAT(CHAR(92),CHAR(96))),CHAR(34),CHAR(39))))</f>
        <v/>
      </c>
      <c r="T504" s="5" t="str">
        <f>IF(OR(TRIM($B504)="",$J504=""),"",IF(OR(ISNUMBER(SEARCH(_xlfn.CONCAT(CHAR(96),CHAR(34)),$J504)),ISNUMBER(SEARCH(_xlfn.CONCAT(CHAR(34),CHAR(39)),$J504))),_xlfn.CONCAT("* REVIEW REQUIRED: compound-quote delimiter in Notes on Sheet 1 row ",504,"; edit the input before running."),_xlfn.CONCAT("char ",TRIM($B504),"[doc_notes] ",CHAR(96),CHAR(34),SUBSTITUTE(SUBSTITUTE(SUBSTITUTE(SUBSTITUTE(SUBSTITUTE(SUBSTITUTE($J504,CHAR(13)," "),CHAR(10)," "),CHAR(9)," "),CHAR(92),_xlfn.CONCAT(CHAR(92),CHAR(92))),"$",_xlfn.CONCAT(CHAR(92),"$")),CHAR(96),_xlfn.CONCAT(CHAR(92),CHAR(96))),CHAR(34),CHAR(39))))</f>
        <v/>
      </c>
      <c r="U504" s="5">
        <f t="shared" si="15"/>
        <v>0</v>
      </c>
    </row>
    <row r="505" spans="3:21" ht="30" customHeight="1" x14ac:dyDescent="0.2">
      <c r="C505" s="4"/>
      <c r="K505" s="5">
        <f t="shared" si="14"/>
        <v>0</v>
      </c>
      <c r="L505" s="5" t="str">
        <f>IF(OR(TRIM($B505)="",$A505=""),"",IF(OR(ISNUMBER(SEARCH(_xlfn.CONCAT(CHAR(96),CHAR(34)),$A505)),ISNUMBER(SEARCH(_xlfn.CONCAT(CHAR(34),CHAR(39)),$A505))),_xlfn.CONCAT("* REVIEW REQUIRED: compound-quote delimiter in Codebook Section on Sheet 1 row ",505,"; edit the input before running."),_xlfn.CONCAT("char ",TRIM($B505),"[doc_section] ",CHAR(96),CHAR(34),SUBSTITUTE(SUBSTITUTE(SUBSTITUTE(SUBSTITUTE(SUBSTITUTE(SUBSTITUTE($A505,CHAR(13)," "),CHAR(10)," "),CHAR(9)," "),CHAR(92),_xlfn.CONCAT(CHAR(92),CHAR(92))),"$",_xlfn.CONCAT(CHAR(92),"$")),CHAR(96),_xlfn.CONCAT(CHAR(92),CHAR(96))),CHAR(34),CHAR(39))))</f>
        <v/>
      </c>
      <c r="M505" s="5" t="str">
        <f>IF(OR(TRIM($B505)="",$C505=""),"",IF(IFERROR(MATCH(TRIM($C505),{"Quantitative","Continuous","Discrete","Categorical","Nominal","Ordinal","Identifier"},0),0)=0,_xlfn.CONCAT("* REVIEW REQUIRED: invalid Variable Type on Sheet 1 row ",505,"."),_xlfn.CONCAT("char ",TRIM($B505),"[doc_vartype] ",CHAR(96),CHAR(34),SUBSTITUTE(SUBSTITUTE(SUBSTITUTE(SUBSTITUTE(SUBSTITUTE(SUBSTITUTE(LOWER(TRIM($C505)),CHAR(13)," "),CHAR(10)," "),CHAR(9)," "),CHAR(92),_xlfn.CONCAT(CHAR(92),CHAR(92))),"$",_xlfn.CONCAT(CHAR(92),"$")),CHAR(96),_xlfn.CONCAT(CHAR(92),CHAR(96))),CHAR(34),CHAR(39))))</f>
        <v/>
      </c>
      <c r="N505" s="5" t="str">
        <f>IF(OR(TRIM($B505)="",$D505=""),"",IF(OR(ISNUMBER(SEARCH(_xlfn.CONCAT(CHAR(96),CHAR(34)),$D505)),ISNUMBER(SEARCH(_xlfn.CONCAT(CHAR(34),CHAR(39)),$D505))),_xlfn.CONCAT("* REVIEW REQUIRED: compound-quote delimiter in Item Number on Sheet 1 row ",505,"; edit the input before running."),_xlfn.CONCAT("char ",TRIM($B505),"[doc_itemnum] ",CHAR(96),CHAR(34),SUBSTITUTE(SUBSTITUTE(SUBSTITUTE(SUBSTITUTE(SUBSTITUTE(SUBSTITUTE($D505,CHAR(13)," "),CHAR(10)," "),CHAR(9)," "),CHAR(92),_xlfn.CONCAT(CHAR(92),CHAR(92))),"$",_xlfn.CONCAT(CHAR(92),"$")),CHAR(96),_xlfn.CONCAT(CHAR(92),CHAR(96))),CHAR(34),CHAR(39))))</f>
        <v/>
      </c>
      <c r="O505" s="5" t="str">
        <f>IF(OR(TRIM($B505)="",$E505=""),"",IF(OR(ISNUMBER(SEARCH(_xlfn.CONCAT(CHAR(96),CHAR(34)),$E505)),ISNUMBER(SEARCH(_xlfn.CONCAT(CHAR(34),CHAR(39)),$E505))),_xlfn.CONCAT("* REVIEW REQUIRED: compound-quote delimiter in Question Wording on Sheet 1 row ",505,"; edit the input before running."),_xlfn.CONCAT("char ",TRIM($B505),"[doc_question] ",CHAR(96),CHAR(34),SUBSTITUTE(SUBSTITUTE(SUBSTITUTE(SUBSTITUTE(SUBSTITUTE(SUBSTITUTE($E505,CHAR(13)," "),CHAR(10)," "),CHAR(9)," "),CHAR(92),_xlfn.CONCAT(CHAR(92),CHAR(92))),"$",_xlfn.CONCAT(CHAR(92),"$")),CHAR(96),_xlfn.CONCAT(CHAR(92),CHAR(96))),CHAR(34),CHAR(39))))</f>
        <v/>
      </c>
      <c r="P505" s="5" t="str">
        <f>IF(OR(TRIM($B505)="",$F505=""),"",IF(OR(ISNUMBER(SEARCH(_xlfn.CONCAT(CHAR(96),CHAR(34)),$F505)),ISNUMBER(SEARCH(_xlfn.CONCAT(CHAR(34),CHAR(39)),$F505))),_xlfn.CONCAT("* REVIEW REQUIRED: compound-quote delimiter in Units on Sheet 1 row ",505,"; edit the input before running."),_xlfn.CONCAT("char ",TRIM($B505),"[doc_units] ",CHAR(96),CHAR(34),SUBSTITUTE(SUBSTITUTE(SUBSTITUTE(SUBSTITUTE(SUBSTITUTE(SUBSTITUTE($F505,CHAR(13)," "),CHAR(10)," "),CHAR(9)," "),CHAR(92),_xlfn.CONCAT(CHAR(92),CHAR(92))),"$",_xlfn.CONCAT(CHAR(92),"$")),CHAR(96),_xlfn.CONCAT(CHAR(92),CHAR(96))),CHAR(34),CHAR(39))))</f>
        <v/>
      </c>
      <c r="Q505" s="5" t="str">
        <f>IF(OR(TRIM($B505)="",$G505=""),"",IF(OR(ISNUMBER(SEARCH(_xlfn.CONCAT(CHAR(96),CHAR(34)),$G505)),ISNUMBER(SEARCH(_xlfn.CONCAT(CHAR(34),CHAR(39)),$G505))),_xlfn.CONCAT("* REVIEW REQUIRED: compound-quote delimiter in Universe on Sheet 1 row ",505,"; edit the input before running."),_xlfn.CONCAT("char ",TRIM($B505),"[doc_universe] ",CHAR(96),CHAR(34),SUBSTITUTE(SUBSTITUTE(SUBSTITUTE(SUBSTITUTE(SUBSTITUTE(SUBSTITUTE($G505,CHAR(13)," "),CHAR(10)," "),CHAR(9)," "),CHAR(92),_xlfn.CONCAT(CHAR(92),CHAR(92))),"$",_xlfn.CONCAT(CHAR(92),"$")),CHAR(96),_xlfn.CONCAT(CHAR(92),CHAR(96))),CHAR(34),CHAR(39))))</f>
        <v/>
      </c>
      <c r="R505" s="5" t="str">
        <f>IF(OR(TRIM($B505)="",$H505=""),"",IF(OR(ISNUMBER(SEARCH(_xlfn.CONCAT(CHAR(96),CHAR(34)),$H505)),ISNUMBER(SEARCH(_xlfn.CONCAT(CHAR(34),CHAR(39)),$H505))),_xlfn.CONCAT("* REVIEW REQUIRED: compound-quote delimiter in Source on Sheet 1 row ",505,"; edit the input before running."),_xlfn.CONCAT("char ",TRIM($B505),"[doc_source] ",CHAR(96),CHAR(34),SUBSTITUTE(SUBSTITUTE(SUBSTITUTE(SUBSTITUTE(SUBSTITUTE(SUBSTITUTE($H505,CHAR(13)," "),CHAR(10)," "),CHAR(9)," "),CHAR(92),_xlfn.CONCAT(CHAR(92),CHAR(92))),"$",_xlfn.CONCAT(CHAR(92),"$")),CHAR(96),_xlfn.CONCAT(CHAR(92),CHAR(96))),CHAR(34),CHAR(39))))</f>
        <v/>
      </c>
      <c r="S505" s="5" t="str">
        <f>IF(OR(TRIM($B505)="",$I505=""),"",IF(OR(ISNUMBER(SEARCH(_xlfn.CONCAT(CHAR(96),CHAR(34)),$I505)),ISNUMBER(SEARCH(_xlfn.CONCAT(CHAR(34),CHAR(39)),$I505))),_xlfn.CONCAT("* REVIEW REQUIRED: compound-quote delimiter in Derivation on Sheet 1 row ",505,"; edit the input before running."),_xlfn.CONCAT("char ",TRIM($B505),"[doc_derivation] ",CHAR(96),CHAR(34),SUBSTITUTE(SUBSTITUTE(SUBSTITUTE(SUBSTITUTE(SUBSTITUTE(SUBSTITUTE($I505,CHAR(13)," "),CHAR(10)," "),CHAR(9)," "),CHAR(92),_xlfn.CONCAT(CHAR(92),CHAR(92))),"$",_xlfn.CONCAT(CHAR(92),"$")),CHAR(96),_xlfn.CONCAT(CHAR(92),CHAR(96))),CHAR(34),CHAR(39))))</f>
        <v/>
      </c>
      <c r="T505" s="5" t="str">
        <f>IF(OR(TRIM($B505)="",$J505=""),"",IF(OR(ISNUMBER(SEARCH(_xlfn.CONCAT(CHAR(96),CHAR(34)),$J505)),ISNUMBER(SEARCH(_xlfn.CONCAT(CHAR(34),CHAR(39)),$J505))),_xlfn.CONCAT("* REVIEW REQUIRED: compound-quote delimiter in Notes on Sheet 1 row ",505,"; edit the input before running."),_xlfn.CONCAT("char ",TRIM($B505),"[doc_notes] ",CHAR(96),CHAR(34),SUBSTITUTE(SUBSTITUTE(SUBSTITUTE(SUBSTITUTE(SUBSTITUTE(SUBSTITUTE($J505,CHAR(13)," "),CHAR(10)," "),CHAR(9)," "),CHAR(92),_xlfn.CONCAT(CHAR(92),CHAR(92))),"$",_xlfn.CONCAT(CHAR(92),"$")),CHAR(96),_xlfn.CONCAT(CHAR(92),CHAR(96))),CHAR(34),CHAR(39))))</f>
        <v/>
      </c>
      <c r="U505" s="5">
        <f t="shared" si="15"/>
        <v>0</v>
      </c>
    </row>
    <row r="506" spans="3:21" ht="30" customHeight="1" x14ac:dyDescent="0.2">
      <c r="C506" s="4"/>
      <c r="K506" s="5">
        <f t="shared" si="14"/>
        <v>0</v>
      </c>
      <c r="L506" s="5" t="str">
        <f>IF(OR(TRIM($B506)="",$A506=""),"",IF(OR(ISNUMBER(SEARCH(_xlfn.CONCAT(CHAR(96),CHAR(34)),$A506)),ISNUMBER(SEARCH(_xlfn.CONCAT(CHAR(34),CHAR(39)),$A506))),_xlfn.CONCAT("* REVIEW REQUIRED: compound-quote delimiter in Codebook Section on Sheet 1 row ",506,"; edit the input before running."),_xlfn.CONCAT("char ",TRIM($B506),"[doc_section] ",CHAR(96),CHAR(34),SUBSTITUTE(SUBSTITUTE(SUBSTITUTE(SUBSTITUTE(SUBSTITUTE(SUBSTITUTE($A506,CHAR(13)," "),CHAR(10)," "),CHAR(9)," "),CHAR(92),_xlfn.CONCAT(CHAR(92),CHAR(92))),"$",_xlfn.CONCAT(CHAR(92),"$")),CHAR(96),_xlfn.CONCAT(CHAR(92),CHAR(96))),CHAR(34),CHAR(39))))</f>
        <v/>
      </c>
      <c r="M506" s="5" t="str">
        <f>IF(OR(TRIM($B506)="",$C506=""),"",IF(IFERROR(MATCH(TRIM($C506),{"Quantitative","Continuous","Discrete","Categorical","Nominal","Ordinal","Identifier"},0),0)=0,_xlfn.CONCAT("* REVIEW REQUIRED: invalid Variable Type on Sheet 1 row ",506,"."),_xlfn.CONCAT("char ",TRIM($B506),"[doc_vartype] ",CHAR(96),CHAR(34),SUBSTITUTE(SUBSTITUTE(SUBSTITUTE(SUBSTITUTE(SUBSTITUTE(SUBSTITUTE(LOWER(TRIM($C506)),CHAR(13)," "),CHAR(10)," "),CHAR(9)," "),CHAR(92),_xlfn.CONCAT(CHAR(92),CHAR(92))),"$",_xlfn.CONCAT(CHAR(92),"$")),CHAR(96),_xlfn.CONCAT(CHAR(92),CHAR(96))),CHAR(34),CHAR(39))))</f>
        <v/>
      </c>
      <c r="N506" s="5" t="str">
        <f>IF(OR(TRIM($B506)="",$D506=""),"",IF(OR(ISNUMBER(SEARCH(_xlfn.CONCAT(CHAR(96),CHAR(34)),$D506)),ISNUMBER(SEARCH(_xlfn.CONCAT(CHAR(34),CHAR(39)),$D506))),_xlfn.CONCAT("* REVIEW REQUIRED: compound-quote delimiter in Item Number on Sheet 1 row ",506,"; edit the input before running."),_xlfn.CONCAT("char ",TRIM($B506),"[doc_itemnum] ",CHAR(96),CHAR(34),SUBSTITUTE(SUBSTITUTE(SUBSTITUTE(SUBSTITUTE(SUBSTITUTE(SUBSTITUTE($D506,CHAR(13)," "),CHAR(10)," "),CHAR(9)," "),CHAR(92),_xlfn.CONCAT(CHAR(92),CHAR(92))),"$",_xlfn.CONCAT(CHAR(92),"$")),CHAR(96),_xlfn.CONCAT(CHAR(92),CHAR(96))),CHAR(34),CHAR(39))))</f>
        <v/>
      </c>
      <c r="O506" s="5" t="str">
        <f>IF(OR(TRIM($B506)="",$E506=""),"",IF(OR(ISNUMBER(SEARCH(_xlfn.CONCAT(CHAR(96),CHAR(34)),$E506)),ISNUMBER(SEARCH(_xlfn.CONCAT(CHAR(34),CHAR(39)),$E506))),_xlfn.CONCAT("* REVIEW REQUIRED: compound-quote delimiter in Question Wording on Sheet 1 row ",506,"; edit the input before running."),_xlfn.CONCAT("char ",TRIM($B506),"[doc_question] ",CHAR(96),CHAR(34),SUBSTITUTE(SUBSTITUTE(SUBSTITUTE(SUBSTITUTE(SUBSTITUTE(SUBSTITUTE($E506,CHAR(13)," "),CHAR(10)," "),CHAR(9)," "),CHAR(92),_xlfn.CONCAT(CHAR(92),CHAR(92))),"$",_xlfn.CONCAT(CHAR(92),"$")),CHAR(96),_xlfn.CONCAT(CHAR(92),CHAR(96))),CHAR(34),CHAR(39))))</f>
        <v/>
      </c>
      <c r="P506" s="5" t="str">
        <f>IF(OR(TRIM($B506)="",$F506=""),"",IF(OR(ISNUMBER(SEARCH(_xlfn.CONCAT(CHAR(96),CHAR(34)),$F506)),ISNUMBER(SEARCH(_xlfn.CONCAT(CHAR(34),CHAR(39)),$F506))),_xlfn.CONCAT("* REVIEW REQUIRED: compound-quote delimiter in Units on Sheet 1 row ",506,"; edit the input before running."),_xlfn.CONCAT("char ",TRIM($B506),"[doc_units] ",CHAR(96),CHAR(34),SUBSTITUTE(SUBSTITUTE(SUBSTITUTE(SUBSTITUTE(SUBSTITUTE(SUBSTITUTE($F506,CHAR(13)," "),CHAR(10)," "),CHAR(9)," "),CHAR(92),_xlfn.CONCAT(CHAR(92),CHAR(92))),"$",_xlfn.CONCAT(CHAR(92),"$")),CHAR(96),_xlfn.CONCAT(CHAR(92),CHAR(96))),CHAR(34),CHAR(39))))</f>
        <v/>
      </c>
      <c r="Q506" s="5" t="str">
        <f>IF(OR(TRIM($B506)="",$G506=""),"",IF(OR(ISNUMBER(SEARCH(_xlfn.CONCAT(CHAR(96),CHAR(34)),$G506)),ISNUMBER(SEARCH(_xlfn.CONCAT(CHAR(34),CHAR(39)),$G506))),_xlfn.CONCAT("* REVIEW REQUIRED: compound-quote delimiter in Universe on Sheet 1 row ",506,"; edit the input before running."),_xlfn.CONCAT("char ",TRIM($B506),"[doc_universe] ",CHAR(96),CHAR(34),SUBSTITUTE(SUBSTITUTE(SUBSTITUTE(SUBSTITUTE(SUBSTITUTE(SUBSTITUTE($G506,CHAR(13)," "),CHAR(10)," "),CHAR(9)," "),CHAR(92),_xlfn.CONCAT(CHAR(92),CHAR(92))),"$",_xlfn.CONCAT(CHAR(92),"$")),CHAR(96),_xlfn.CONCAT(CHAR(92),CHAR(96))),CHAR(34),CHAR(39))))</f>
        <v/>
      </c>
      <c r="R506" s="5" t="str">
        <f>IF(OR(TRIM($B506)="",$H506=""),"",IF(OR(ISNUMBER(SEARCH(_xlfn.CONCAT(CHAR(96),CHAR(34)),$H506)),ISNUMBER(SEARCH(_xlfn.CONCAT(CHAR(34),CHAR(39)),$H506))),_xlfn.CONCAT("* REVIEW REQUIRED: compound-quote delimiter in Source on Sheet 1 row ",506,"; edit the input before running."),_xlfn.CONCAT("char ",TRIM($B506),"[doc_source] ",CHAR(96),CHAR(34),SUBSTITUTE(SUBSTITUTE(SUBSTITUTE(SUBSTITUTE(SUBSTITUTE(SUBSTITUTE($H506,CHAR(13)," "),CHAR(10)," "),CHAR(9)," "),CHAR(92),_xlfn.CONCAT(CHAR(92),CHAR(92))),"$",_xlfn.CONCAT(CHAR(92),"$")),CHAR(96),_xlfn.CONCAT(CHAR(92),CHAR(96))),CHAR(34),CHAR(39))))</f>
        <v/>
      </c>
      <c r="S506" s="5" t="str">
        <f>IF(OR(TRIM($B506)="",$I506=""),"",IF(OR(ISNUMBER(SEARCH(_xlfn.CONCAT(CHAR(96),CHAR(34)),$I506)),ISNUMBER(SEARCH(_xlfn.CONCAT(CHAR(34),CHAR(39)),$I506))),_xlfn.CONCAT("* REVIEW REQUIRED: compound-quote delimiter in Derivation on Sheet 1 row ",506,"; edit the input before running."),_xlfn.CONCAT("char ",TRIM($B506),"[doc_derivation] ",CHAR(96),CHAR(34),SUBSTITUTE(SUBSTITUTE(SUBSTITUTE(SUBSTITUTE(SUBSTITUTE(SUBSTITUTE($I506,CHAR(13)," "),CHAR(10)," "),CHAR(9)," "),CHAR(92),_xlfn.CONCAT(CHAR(92),CHAR(92))),"$",_xlfn.CONCAT(CHAR(92),"$")),CHAR(96),_xlfn.CONCAT(CHAR(92),CHAR(96))),CHAR(34),CHAR(39))))</f>
        <v/>
      </c>
      <c r="T506" s="5" t="str">
        <f>IF(OR(TRIM($B506)="",$J506=""),"",IF(OR(ISNUMBER(SEARCH(_xlfn.CONCAT(CHAR(96),CHAR(34)),$J506)),ISNUMBER(SEARCH(_xlfn.CONCAT(CHAR(34),CHAR(39)),$J506))),_xlfn.CONCAT("* REVIEW REQUIRED: compound-quote delimiter in Notes on Sheet 1 row ",506,"; edit the input before running."),_xlfn.CONCAT("char ",TRIM($B506),"[doc_notes] ",CHAR(96),CHAR(34),SUBSTITUTE(SUBSTITUTE(SUBSTITUTE(SUBSTITUTE(SUBSTITUTE(SUBSTITUTE($J506,CHAR(13)," "),CHAR(10)," "),CHAR(9)," "),CHAR(92),_xlfn.CONCAT(CHAR(92),CHAR(92))),"$",_xlfn.CONCAT(CHAR(92),"$")),CHAR(96),_xlfn.CONCAT(CHAR(92),CHAR(96))),CHAR(34),CHAR(39))))</f>
        <v/>
      </c>
      <c r="U506" s="5">
        <f t="shared" si="15"/>
        <v>0</v>
      </c>
    </row>
    <row r="507" spans="3:21" ht="30" customHeight="1" x14ac:dyDescent="0.2">
      <c r="C507" s="4"/>
      <c r="K507" s="5">
        <f t="shared" si="14"/>
        <v>0</v>
      </c>
      <c r="L507" s="5" t="str">
        <f>IF(OR(TRIM($B507)="",$A507=""),"",IF(OR(ISNUMBER(SEARCH(_xlfn.CONCAT(CHAR(96),CHAR(34)),$A507)),ISNUMBER(SEARCH(_xlfn.CONCAT(CHAR(34),CHAR(39)),$A507))),_xlfn.CONCAT("* REVIEW REQUIRED: compound-quote delimiter in Codebook Section on Sheet 1 row ",507,"; edit the input before running."),_xlfn.CONCAT("char ",TRIM($B507),"[doc_section] ",CHAR(96),CHAR(34),SUBSTITUTE(SUBSTITUTE(SUBSTITUTE(SUBSTITUTE(SUBSTITUTE(SUBSTITUTE($A507,CHAR(13)," "),CHAR(10)," "),CHAR(9)," "),CHAR(92),_xlfn.CONCAT(CHAR(92),CHAR(92))),"$",_xlfn.CONCAT(CHAR(92),"$")),CHAR(96),_xlfn.CONCAT(CHAR(92),CHAR(96))),CHAR(34),CHAR(39))))</f>
        <v/>
      </c>
      <c r="M507" s="5" t="str">
        <f>IF(OR(TRIM($B507)="",$C507=""),"",IF(IFERROR(MATCH(TRIM($C507),{"Quantitative","Continuous","Discrete","Categorical","Nominal","Ordinal","Identifier"},0),0)=0,_xlfn.CONCAT("* REVIEW REQUIRED: invalid Variable Type on Sheet 1 row ",507,"."),_xlfn.CONCAT("char ",TRIM($B507),"[doc_vartype] ",CHAR(96),CHAR(34),SUBSTITUTE(SUBSTITUTE(SUBSTITUTE(SUBSTITUTE(SUBSTITUTE(SUBSTITUTE(LOWER(TRIM($C507)),CHAR(13)," "),CHAR(10)," "),CHAR(9)," "),CHAR(92),_xlfn.CONCAT(CHAR(92),CHAR(92))),"$",_xlfn.CONCAT(CHAR(92),"$")),CHAR(96),_xlfn.CONCAT(CHAR(92),CHAR(96))),CHAR(34),CHAR(39))))</f>
        <v/>
      </c>
      <c r="N507" s="5" t="str">
        <f>IF(OR(TRIM($B507)="",$D507=""),"",IF(OR(ISNUMBER(SEARCH(_xlfn.CONCAT(CHAR(96),CHAR(34)),$D507)),ISNUMBER(SEARCH(_xlfn.CONCAT(CHAR(34),CHAR(39)),$D507))),_xlfn.CONCAT("* REVIEW REQUIRED: compound-quote delimiter in Item Number on Sheet 1 row ",507,"; edit the input before running."),_xlfn.CONCAT("char ",TRIM($B507),"[doc_itemnum] ",CHAR(96),CHAR(34),SUBSTITUTE(SUBSTITUTE(SUBSTITUTE(SUBSTITUTE(SUBSTITUTE(SUBSTITUTE($D507,CHAR(13)," "),CHAR(10)," "),CHAR(9)," "),CHAR(92),_xlfn.CONCAT(CHAR(92),CHAR(92))),"$",_xlfn.CONCAT(CHAR(92),"$")),CHAR(96),_xlfn.CONCAT(CHAR(92),CHAR(96))),CHAR(34),CHAR(39))))</f>
        <v/>
      </c>
      <c r="O507" s="5" t="str">
        <f>IF(OR(TRIM($B507)="",$E507=""),"",IF(OR(ISNUMBER(SEARCH(_xlfn.CONCAT(CHAR(96),CHAR(34)),$E507)),ISNUMBER(SEARCH(_xlfn.CONCAT(CHAR(34),CHAR(39)),$E507))),_xlfn.CONCAT("* REVIEW REQUIRED: compound-quote delimiter in Question Wording on Sheet 1 row ",507,"; edit the input before running."),_xlfn.CONCAT("char ",TRIM($B507),"[doc_question] ",CHAR(96),CHAR(34),SUBSTITUTE(SUBSTITUTE(SUBSTITUTE(SUBSTITUTE(SUBSTITUTE(SUBSTITUTE($E507,CHAR(13)," "),CHAR(10)," "),CHAR(9)," "),CHAR(92),_xlfn.CONCAT(CHAR(92),CHAR(92))),"$",_xlfn.CONCAT(CHAR(92),"$")),CHAR(96),_xlfn.CONCAT(CHAR(92),CHAR(96))),CHAR(34),CHAR(39))))</f>
        <v/>
      </c>
      <c r="P507" s="5" t="str">
        <f>IF(OR(TRIM($B507)="",$F507=""),"",IF(OR(ISNUMBER(SEARCH(_xlfn.CONCAT(CHAR(96),CHAR(34)),$F507)),ISNUMBER(SEARCH(_xlfn.CONCAT(CHAR(34),CHAR(39)),$F507))),_xlfn.CONCAT("* REVIEW REQUIRED: compound-quote delimiter in Units on Sheet 1 row ",507,"; edit the input before running."),_xlfn.CONCAT("char ",TRIM($B507),"[doc_units] ",CHAR(96),CHAR(34),SUBSTITUTE(SUBSTITUTE(SUBSTITUTE(SUBSTITUTE(SUBSTITUTE(SUBSTITUTE($F507,CHAR(13)," "),CHAR(10)," "),CHAR(9)," "),CHAR(92),_xlfn.CONCAT(CHAR(92),CHAR(92))),"$",_xlfn.CONCAT(CHAR(92),"$")),CHAR(96),_xlfn.CONCAT(CHAR(92),CHAR(96))),CHAR(34),CHAR(39))))</f>
        <v/>
      </c>
      <c r="Q507" s="5" t="str">
        <f>IF(OR(TRIM($B507)="",$G507=""),"",IF(OR(ISNUMBER(SEARCH(_xlfn.CONCAT(CHAR(96),CHAR(34)),$G507)),ISNUMBER(SEARCH(_xlfn.CONCAT(CHAR(34),CHAR(39)),$G507))),_xlfn.CONCAT("* REVIEW REQUIRED: compound-quote delimiter in Universe on Sheet 1 row ",507,"; edit the input before running."),_xlfn.CONCAT("char ",TRIM($B507),"[doc_universe] ",CHAR(96),CHAR(34),SUBSTITUTE(SUBSTITUTE(SUBSTITUTE(SUBSTITUTE(SUBSTITUTE(SUBSTITUTE($G507,CHAR(13)," "),CHAR(10)," "),CHAR(9)," "),CHAR(92),_xlfn.CONCAT(CHAR(92),CHAR(92))),"$",_xlfn.CONCAT(CHAR(92),"$")),CHAR(96),_xlfn.CONCAT(CHAR(92),CHAR(96))),CHAR(34),CHAR(39))))</f>
        <v/>
      </c>
      <c r="R507" s="5" t="str">
        <f>IF(OR(TRIM($B507)="",$H507=""),"",IF(OR(ISNUMBER(SEARCH(_xlfn.CONCAT(CHAR(96),CHAR(34)),$H507)),ISNUMBER(SEARCH(_xlfn.CONCAT(CHAR(34),CHAR(39)),$H507))),_xlfn.CONCAT("* REVIEW REQUIRED: compound-quote delimiter in Source on Sheet 1 row ",507,"; edit the input before running."),_xlfn.CONCAT("char ",TRIM($B507),"[doc_source] ",CHAR(96),CHAR(34),SUBSTITUTE(SUBSTITUTE(SUBSTITUTE(SUBSTITUTE(SUBSTITUTE(SUBSTITUTE($H507,CHAR(13)," "),CHAR(10)," "),CHAR(9)," "),CHAR(92),_xlfn.CONCAT(CHAR(92),CHAR(92))),"$",_xlfn.CONCAT(CHAR(92),"$")),CHAR(96),_xlfn.CONCAT(CHAR(92),CHAR(96))),CHAR(34),CHAR(39))))</f>
        <v/>
      </c>
      <c r="S507" s="5" t="str">
        <f>IF(OR(TRIM($B507)="",$I507=""),"",IF(OR(ISNUMBER(SEARCH(_xlfn.CONCAT(CHAR(96),CHAR(34)),$I507)),ISNUMBER(SEARCH(_xlfn.CONCAT(CHAR(34),CHAR(39)),$I507))),_xlfn.CONCAT("* REVIEW REQUIRED: compound-quote delimiter in Derivation on Sheet 1 row ",507,"; edit the input before running."),_xlfn.CONCAT("char ",TRIM($B507),"[doc_derivation] ",CHAR(96),CHAR(34),SUBSTITUTE(SUBSTITUTE(SUBSTITUTE(SUBSTITUTE(SUBSTITUTE(SUBSTITUTE($I507,CHAR(13)," "),CHAR(10)," "),CHAR(9)," "),CHAR(92),_xlfn.CONCAT(CHAR(92),CHAR(92))),"$",_xlfn.CONCAT(CHAR(92),"$")),CHAR(96),_xlfn.CONCAT(CHAR(92),CHAR(96))),CHAR(34),CHAR(39))))</f>
        <v/>
      </c>
      <c r="T507" s="5" t="str">
        <f>IF(OR(TRIM($B507)="",$J507=""),"",IF(OR(ISNUMBER(SEARCH(_xlfn.CONCAT(CHAR(96),CHAR(34)),$J507)),ISNUMBER(SEARCH(_xlfn.CONCAT(CHAR(34),CHAR(39)),$J507))),_xlfn.CONCAT("* REVIEW REQUIRED: compound-quote delimiter in Notes on Sheet 1 row ",507,"; edit the input before running."),_xlfn.CONCAT("char ",TRIM($B507),"[doc_notes] ",CHAR(96),CHAR(34),SUBSTITUTE(SUBSTITUTE(SUBSTITUTE(SUBSTITUTE(SUBSTITUTE(SUBSTITUTE($J507,CHAR(13)," "),CHAR(10)," "),CHAR(9)," "),CHAR(92),_xlfn.CONCAT(CHAR(92),CHAR(92))),"$",_xlfn.CONCAT(CHAR(92),"$")),CHAR(96),_xlfn.CONCAT(CHAR(92),CHAR(96))),CHAR(34),CHAR(39))))</f>
        <v/>
      </c>
      <c r="U507" s="5">
        <f t="shared" si="15"/>
        <v>0</v>
      </c>
    </row>
    <row r="508" spans="3:21" ht="30" customHeight="1" x14ac:dyDescent="0.2">
      <c r="C508" s="4"/>
      <c r="K508" s="5">
        <f t="shared" si="14"/>
        <v>0</v>
      </c>
      <c r="L508" s="5" t="str">
        <f>IF(OR(TRIM($B508)="",$A508=""),"",IF(OR(ISNUMBER(SEARCH(_xlfn.CONCAT(CHAR(96),CHAR(34)),$A508)),ISNUMBER(SEARCH(_xlfn.CONCAT(CHAR(34),CHAR(39)),$A508))),_xlfn.CONCAT("* REVIEW REQUIRED: compound-quote delimiter in Codebook Section on Sheet 1 row ",508,"; edit the input before running."),_xlfn.CONCAT("char ",TRIM($B508),"[doc_section] ",CHAR(96),CHAR(34),SUBSTITUTE(SUBSTITUTE(SUBSTITUTE(SUBSTITUTE(SUBSTITUTE(SUBSTITUTE($A508,CHAR(13)," "),CHAR(10)," "),CHAR(9)," "),CHAR(92),_xlfn.CONCAT(CHAR(92),CHAR(92))),"$",_xlfn.CONCAT(CHAR(92),"$")),CHAR(96),_xlfn.CONCAT(CHAR(92),CHAR(96))),CHAR(34),CHAR(39))))</f>
        <v/>
      </c>
      <c r="M508" s="5" t="str">
        <f>IF(OR(TRIM($B508)="",$C508=""),"",IF(IFERROR(MATCH(TRIM($C508),{"Quantitative","Continuous","Discrete","Categorical","Nominal","Ordinal","Identifier"},0),0)=0,_xlfn.CONCAT("* REVIEW REQUIRED: invalid Variable Type on Sheet 1 row ",508,"."),_xlfn.CONCAT("char ",TRIM($B508),"[doc_vartype] ",CHAR(96),CHAR(34),SUBSTITUTE(SUBSTITUTE(SUBSTITUTE(SUBSTITUTE(SUBSTITUTE(SUBSTITUTE(LOWER(TRIM($C508)),CHAR(13)," "),CHAR(10)," "),CHAR(9)," "),CHAR(92),_xlfn.CONCAT(CHAR(92),CHAR(92))),"$",_xlfn.CONCAT(CHAR(92),"$")),CHAR(96),_xlfn.CONCAT(CHAR(92),CHAR(96))),CHAR(34),CHAR(39))))</f>
        <v/>
      </c>
      <c r="N508" s="5" t="str">
        <f>IF(OR(TRIM($B508)="",$D508=""),"",IF(OR(ISNUMBER(SEARCH(_xlfn.CONCAT(CHAR(96),CHAR(34)),$D508)),ISNUMBER(SEARCH(_xlfn.CONCAT(CHAR(34),CHAR(39)),$D508))),_xlfn.CONCAT("* REVIEW REQUIRED: compound-quote delimiter in Item Number on Sheet 1 row ",508,"; edit the input before running."),_xlfn.CONCAT("char ",TRIM($B508),"[doc_itemnum] ",CHAR(96),CHAR(34),SUBSTITUTE(SUBSTITUTE(SUBSTITUTE(SUBSTITUTE(SUBSTITUTE(SUBSTITUTE($D508,CHAR(13)," "),CHAR(10)," "),CHAR(9)," "),CHAR(92),_xlfn.CONCAT(CHAR(92),CHAR(92))),"$",_xlfn.CONCAT(CHAR(92),"$")),CHAR(96),_xlfn.CONCAT(CHAR(92),CHAR(96))),CHAR(34),CHAR(39))))</f>
        <v/>
      </c>
      <c r="O508" s="5" t="str">
        <f>IF(OR(TRIM($B508)="",$E508=""),"",IF(OR(ISNUMBER(SEARCH(_xlfn.CONCAT(CHAR(96),CHAR(34)),$E508)),ISNUMBER(SEARCH(_xlfn.CONCAT(CHAR(34),CHAR(39)),$E508))),_xlfn.CONCAT("* REVIEW REQUIRED: compound-quote delimiter in Question Wording on Sheet 1 row ",508,"; edit the input before running."),_xlfn.CONCAT("char ",TRIM($B508),"[doc_question] ",CHAR(96),CHAR(34),SUBSTITUTE(SUBSTITUTE(SUBSTITUTE(SUBSTITUTE(SUBSTITUTE(SUBSTITUTE($E508,CHAR(13)," "),CHAR(10)," "),CHAR(9)," "),CHAR(92),_xlfn.CONCAT(CHAR(92),CHAR(92))),"$",_xlfn.CONCAT(CHAR(92),"$")),CHAR(96),_xlfn.CONCAT(CHAR(92),CHAR(96))),CHAR(34),CHAR(39))))</f>
        <v/>
      </c>
      <c r="P508" s="5" t="str">
        <f>IF(OR(TRIM($B508)="",$F508=""),"",IF(OR(ISNUMBER(SEARCH(_xlfn.CONCAT(CHAR(96),CHAR(34)),$F508)),ISNUMBER(SEARCH(_xlfn.CONCAT(CHAR(34),CHAR(39)),$F508))),_xlfn.CONCAT("* REVIEW REQUIRED: compound-quote delimiter in Units on Sheet 1 row ",508,"; edit the input before running."),_xlfn.CONCAT("char ",TRIM($B508),"[doc_units] ",CHAR(96),CHAR(34),SUBSTITUTE(SUBSTITUTE(SUBSTITUTE(SUBSTITUTE(SUBSTITUTE(SUBSTITUTE($F508,CHAR(13)," "),CHAR(10)," "),CHAR(9)," "),CHAR(92),_xlfn.CONCAT(CHAR(92),CHAR(92))),"$",_xlfn.CONCAT(CHAR(92),"$")),CHAR(96),_xlfn.CONCAT(CHAR(92),CHAR(96))),CHAR(34),CHAR(39))))</f>
        <v/>
      </c>
      <c r="Q508" s="5" t="str">
        <f>IF(OR(TRIM($B508)="",$G508=""),"",IF(OR(ISNUMBER(SEARCH(_xlfn.CONCAT(CHAR(96),CHAR(34)),$G508)),ISNUMBER(SEARCH(_xlfn.CONCAT(CHAR(34),CHAR(39)),$G508))),_xlfn.CONCAT("* REVIEW REQUIRED: compound-quote delimiter in Universe on Sheet 1 row ",508,"; edit the input before running."),_xlfn.CONCAT("char ",TRIM($B508),"[doc_universe] ",CHAR(96),CHAR(34),SUBSTITUTE(SUBSTITUTE(SUBSTITUTE(SUBSTITUTE(SUBSTITUTE(SUBSTITUTE($G508,CHAR(13)," "),CHAR(10)," "),CHAR(9)," "),CHAR(92),_xlfn.CONCAT(CHAR(92),CHAR(92))),"$",_xlfn.CONCAT(CHAR(92),"$")),CHAR(96),_xlfn.CONCAT(CHAR(92),CHAR(96))),CHAR(34),CHAR(39))))</f>
        <v/>
      </c>
      <c r="R508" s="5" t="str">
        <f>IF(OR(TRIM($B508)="",$H508=""),"",IF(OR(ISNUMBER(SEARCH(_xlfn.CONCAT(CHAR(96),CHAR(34)),$H508)),ISNUMBER(SEARCH(_xlfn.CONCAT(CHAR(34),CHAR(39)),$H508))),_xlfn.CONCAT("* REVIEW REQUIRED: compound-quote delimiter in Source on Sheet 1 row ",508,"; edit the input before running."),_xlfn.CONCAT("char ",TRIM($B508),"[doc_source] ",CHAR(96),CHAR(34),SUBSTITUTE(SUBSTITUTE(SUBSTITUTE(SUBSTITUTE(SUBSTITUTE(SUBSTITUTE($H508,CHAR(13)," "),CHAR(10)," "),CHAR(9)," "),CHAR(92),_xlfn.CONCAT(CHAR(92),CHAR(92))),"$",_xlfn.CONCAT(CHAR(92),"$")),CHAR(96),_xlfn.CONCAT(CHAR(92),CHAR(96))),CHAR(34),CHAR(39))))</f>
        <v/>
      </c>
      <c r="S508" s="5" t="str">
        <f>IF(OR(TRIM($B508)="",$I508=""),"",IF(OR(ISNUMBER(SEARCH(_xlfn.CONCAT(CHAR(96),CHAR(34)),$I508)),ISNUMBER(SEARCH(_xlfn.CONCAT(CHAR(34),CHAR(39)),$I508))),_xlfn.CONCAT("* REVIEW REQUIRED: compound-quote delimiter in Derivation on Sheet 1 row ",508,"; edit the input before running."),_xlfn.CONCAT("char ",TRIM($B508),"[doc_derivation] ",CHAR(96),CHAR(34),SUBSTITUTE(SUBSTITUTE(SUBSTITUTE(SUBSTITUTE(SUBSTITUTE(SUBSTITUTE($I508,CHAR(13)," "),CHAR(10)," "),CHAR(9)," "),CHAR(92),_xlfn.CONCAT(CHAR(92),CHAR(92))),"$",_xlfn.CONCAT(CHAR(92),"$")),CHAR(96),_xlfn.CONCAT(CHAR(92),CHAR(96))),CHAR(34),CHAR(39))))</f>
        <v/>
      </c>
      <c r="T508" s="5" t="str">
        <f>IF(OR(TRIM($B508)="",$J508=""),"",IF(OR(ISNUMBER(SEARCH(_xlfn.CONCAT(CHAR(96),CHAR(34)),$J508)),ISNUMBER(SEARCH(_xlfn.CONCAT(CHAR(34),CHAR(39)),$J508))),_xlfn.CONCAT("* REVIEW REQUIRED: compound-quote delimiter in Notes on Sheet 1 row ",508,"; edit the input before running."),_xlfn.CONCAT("char ",TRIM($B508),"[doc_notes] ",CHAR(96),CHAR(34),SUBSTITUTE(SUBSTITUTE(SUBSTITUTE(SUBSTITUTE(SUBSTITUTE(SUBSTITUTE($J508,CHAR(13)," "),CHAR(10)," "),CHAR(9)," "),CHAR(92),_xlfn.CONCAT(CHAR(92),CHAR(92))),"$",_xlfn.CONCAT(CHAR(92),"$")),CHAR(96),_xlfn.CONCAT(CHAR(92),CHAR(96))),CHAR(34),CHAR(39))))</f>
        <v/>
      </c>
      <c r="U508" s="5">
        <f t="shared" si="15"/>
        <v>0</v>
      </c>
    </row>
    <row r="509" spans="3:21" ht="30" customHeight="1" x14ac:dyDescent="0.2">
      <c r="C509" s="4"/>
      <c r="K509" s="5">
        <f t="shared" si="14"/>
        <v>0</v>
      </c>
      <c r="L509" s="5" t="str">
        <f>IF(OR(TRIM($B509)="",$A509=""),"",IF(OR(ISNUMBER(SEARCH(_xlfn.CONCAT(CHAR(96),CHAR(34)),$A509)),ISNUMBER(SEARCH(_xlfn.CONCAT(CHAR(34),CHAR(39)),$A509))),_xlfn.CONCAT("* REVIEW REQUIRED: compound-quote delimiter in Codebook Section on Sheet 1 row ",509,"; edit the input before running."),_xlfn.CONCAT("char ",TRIM($B509),"[doc_section] ",CHAR(96),CHAR(34),SUBSTITUTE(SUBSTITUTE(SUBSTITUTE(SUBSTITUTE(SUBSTITUTE(SUBSTITUTE($A509,CHAR(13)," "),CHAR(10)," "),CHAR(9)," "),CHAR(92),_xlfn.CONCAT(CHAR(92),CHAR(92))),"$",_xlfn.CONCAT(CHAR(92),"$")),CHAR(96),_xlfn.CONCAT(CHAR(92),CHAR(96))),CHAR(34),CHAR(39))))</f>
        <v/>
      </c>
      <c r="M509" s="5" t="str">
        <f>IF(OR(TRIM($B509)="",$C509=""),"",IF(IFERROR(MATCH(TRIM($C509),{"Quantitative","Continuous","Discrete","Categorical","Nominal","Ordinal","Identifier"},0),0)=0,_xlfn.CONCAT("* REVIEW REQUIRED: invalid Variable Type on Sheet 1 row ",509,"."),_xlfn.CONCAT("char ",TRIM($B509),"[doc_vartype] ",CHAR(96),CHAR(34),SUBSTITUTE(SUBSTITUTE(SUBSTITUTE(SUBSTITUTE(SUBSTITUTE(SUBSTITUTE(LOWER(TRIM($C509)),CHAR(13)," "),CHAR(10)," "),CHAR(9)," "),CHAR(92),_xlfn.CONCAT(CHAR(92),CHAR(92))),"$",_xlfn.CONCAT(CHAR(92),"$")),CHAR(96),_xlfn.CONCAT(CHAR(92),CHAR(96))),CHAR(34),CHAR(39))))</f>
        <v/>
      </c>
      <c r="N509" s="5" t="str">
        <f>IF(OR(TRIM($B509)="",$D509=""),"",IF(OR(ISNUMBER(SEARCH(_xlfn.CONCAT(CHAR(96),CHAR(34)),$D509)),ISNUMBER(SEARCH(_xlfn.CONCAT(CHAR(34),CHAR(39)),$D509))),_xlfn.CONCAT("* REVIEW REQUIRED: compound-quote delimiter in Item Number on Sheet 1 row ",509,"; edit the input before running."),_xlfn.CONCAT("char ",TRIM($B509),"[doc_itemnum] ",CHAR(96),CHAR(34),SUBSTITUTE(SUBSTITUTE(SUBSTITUTE(SUBSTITUTE(SUBSTITUTE(SUBSTITUTE($D509,CHAR(13)," "),CHAR(10)," "),CHAR(9)," "),CHAR(92),_xlfn.CONCAT(CHAR(92),CHAR(92))),"$",_xlfn.CONCAT(CHAR(92),"$")),CHAR(96),_xlfn.CONCAT(CHAR(92),CHAR(96))),CHAR(34),CHAR(39))))</f>
        <v/>
      </c>
      <c r="O509" s="5" t="str">
        <f>IF(OR(TRIM($B509)="",$E509=""),"",IF(OR(ISNUMBER(SEARCH(_xlfn.CONCAT(CHAR(96),CHAR(34)),$E509)),ISNUMBER(SEARCH(_xlfn.CONCAT(CHAR(34),CHAR(39)),$E509))),_xlfn.CONCAT("* REVIEW REQUIRED: compound-quote delimiter in Question Wording on Sheet 1 row ",509,"; edit the input before running."),_xlfn.CONCAT("char ",TRIM($B509),"[doc_question] ",CHAR(96),CHAR(34),SUBSTITUTE(SUBSTITUTE(SUBSTITUTE(SUBSTITUTE(SUBSTITUTE(SUBSTITUTE($E509,CHAR(13)," "),CHAR(10)," "),CHAR(9)," "),CHAR(92),_xlfn.CONCAT(CHAR(92),CHAR(92))),"$",_xlfn.CONCAT(CHAR(92),"$")),CHAR(96),_xlfn.CONCAT(CHAR(92),CHAR(96))),CHAR(34),CHAR(39))))</f>
        <v/>
      </c>
      <c r="P509" s="5" t="str">
        <f>IF(OR(TRIM($B509)="",$F509=""),"",IF(OR(ISNUMBER(SEARCH(_xlfn.CONCAT(CHAR(96),CHAR(34)),$F509)),ISNUMBER(SEARCH(_xlfn.CONCAT(CHAR(34),CHAR(39)),$F509))),_xlfn.CONCAT("* REVIEW REQUIRED: compound-quote delimiter in Units on Sheet 1 row ",509,"; edit the input before running."),_xlfn.CONCAT("char ",TRIM($B509),"[doc_units] ",CHAR(96),CHAR(34),SUBSTITUTE(SUBSTITUTE(SUBSTITUTE(SUBSTITUTE(SUBSTITUTE(SUBSTITUTE($F509,CHAR(13)," "),CHAR(10)," "),CHAR(9)," "),CHAR(92),_xlfn.CONCAT(CHAR(92),CHAR(92))),"$",_xlfn.CONCAT(CHAR(92),"$")),CHAR(96),_xlfn.CONCAT(CHAR(92),CHAR(96))),CHAR(34),CHAR(39))))</f>
        <v/>
      </c>
      <c r="Q509" s="5" t="str">
        <f>IF(OR(TRIM($B509)="",$G509=""),"",IF(OR(ISNUMBER(SEARCH(_xlfn.CONCAT(CHAR(96),CHAR(34)),$G509)),ISNUMBER(SEARCH(_xlfn.CONCAT(CHAR(34),CHAR(39)),$G509))),_xlfn.CONCAT("* REVIEW REQUIRED: compound-quote delimiter in Universe on Sheet 1 row ",509,"; edit the input before running."),_xlfn.CONCAT("char ",TRIM($B509),"[doc_universe] ",CHAR(96),CHAR(34),SUBSTITUTE(SUBSTITUTE(SUBSTITUTE(SUBSTITUTE(SUBSTITUTE(SUBSTITUTE($G509,CHAR(13)," "),CHAR(10)," "),CHAR(9)," "),CHAR(92),_xlfn.CONCAT(CHAR(92),CHAR(92))),"$",_xlfn.CONCAT(CHAR(92),"$")),CHAR(96),_xlfn.CONCAT(CHAR(92),CHAR(96))),CHAR(34),CHAR(39))))</f>
        <v/>
      </c>
      <c r="R509" s="5" t="str">
        <f>IF(OR(TRIM($B509)="",$H509=""),"",IF(OR(ISNUMBER(SEARCH(_xlfn.CONCAT(CHAR(96),CHAR(34)),$H509)),ISNUMBER(SEARCH(_xlfn.CONCAT(CHAR(34),CHAR(39)),$H509))),_xlfn.CONCAT("* REVIEW REQUIRED: compound-quote delimiter in Source on Sheet 1 row ",509,"; edit the input before running."),_xlfn.CONCAT("char ",TRIM($B509),"[doc_source] ",CHAR(96),CHAR(34),SUBSTITUTE(SUBSTITUTE(SUBSTITUTE(SUBSTITUTE(SUBSTITUTE(SUBSTITUTE($H509,CHAR(13)," "),CHAR(10)," "),CHAR(9)," "),CHAR(92),_xlfn.CONCAT(CHAR(92),CHAR(92))),"$",_xlfn.CONCAT(CHAR(92),"$")),CHAR(96),_xlfn.CONCAT(CHAR(92),CHAR(96))),CHAR(34),CHAR(39))))</f>
        <v/>
      </c>
      <c r="S509" s="5" t="str">
        <f>IF(OR(TRIM($B509)="",$I509=""),"",IF(OR(ISNUMBER(SEARCH(_xlfn.CONCAT(CHAR(96),CHAR(34)),$I509)),ISNUMBER(SEARCH(_xlfn.CONCAT(CHAR(34),CHAR(39)),$I509))),_xlfn.CONCAT("* REVIEW REQUIRED: compound-quote delimiter in Derivation on Sheet 1 row ",509,"; edit the input before running."),_xlfn.CONCAT("char ",TRIM($B509),"[doc_derivation] ",CHAR(96),CHAR(34),SUBSTITUTE(SUBSTITUTE(SUBSTITUTE(SUBSTITUTE(SUBSTITUTE(SUBSTITUTE($I509,CHAR(13)," "),CHAR(10)," "),CHAR(9)," "),CHAR(92),_xlfn.CONCAT(CHAR(92),CHAR(92))),"$",_xlfn.CONCAT(CHAR(92),"$")),CHAR(96),_xlfn.CONCAT(CHAR(92),CHAR(96))),CHAR(34),CHAR(39))))</f>
        <v/>
      </c>
      <c r="T509" s="5" t="str">
        <f>IF(OR(TRIM($B509)="",$J509=""),"",IF(OR(ISNUMBER(SEARCH(_xlfn.CONCAT(CHAR(96),CHAR(34)),$J509)),ISNUMBER(SEARCH(_xlfn.CONCAT(CHAR(34),CHAR(39)),$J509))),_xlfn.CONCAT("* REVIEW REQUIRED: compound-quote delimiter in Notes on Sheet 1 row ",509,"; edit the input before running."),_xlfn.CONCAT("char ",TRIM($B509),"[doc_notes] ",CHAR(96),CHAR(34),SUBSTITUTE(SUBSTITUTE(SUBSTITUTE(SUBSTITUTE(SUBSTITUTE(SUBSTITUTE($J509,CHAR(13)," "),CHAR(10)," "),CHAR(9)," "),CHAR(92),_xlfn.CONCAT(CHAR(92),CHAR(92))),"$",_xlfn.CONCAT(CHAR(92),"$")),CHAR(96),_xlfn.CONCAT(CHAR(92),CHAR(96))),CHAR(34),CHAR(39))))</f>
        <v/>
      </c>
      <c r="U509" s="5">
        <f t="shared" si="15"/>
        <v>0</v>
      </c>
    </row>
    <row r="510" spans="3:21" ht="30" customHeight="1" x14ac:dyDescent="0.2">
      <c r="C510" s="4"/>
      <c r="K510" s="5">
        <f t="shared" si="14"/>
        <v>0</v>
      </c>
      <c r="L510" s="5" t="str">
        <f>IF(OR(TRIM($B510)="",$A510=""),"",IF(OR(ISNUMBER(SEARCH(_xlfn.CONCAT(CHAR(96),CHAR(34)),$A510)),ISNUMBER(SEARCH(_xlfn.CONCAT(CHAR(34),CHAR(39)),$A510))),_xlfn.CONCAT("* REVIEW REQUIRED: compound-quote delimiter in Codebook Section on Sheet 1 row ",510,"; edit the input before running."),_xlfn.CONCAT("char ",TRIM($B510),"[doc_section] ",CHAR(96),CHAR(34),SUBSTITUTE(SUBSTITUTE(SUBSTITUTE(SUBSTITUTE(SUBSTITUTE(SUBSTITUTE($A510,CHAR(13)," "),CHAR(10)," "),CHAR(9)," "),CHAR(92),_xlfn.CONCAT(CHAR(92),CHAR(92))),"$",_xlfn.CONCAT(CHAR(92),"$")),CHAR(96),_xlfn.CONCAT(CHAR(92),CHAR(96))),CHAR(34),CHAR(39))))</f>
        <v/>
      </c>
      <c r="M510" s="5" t="str">
        <f>IF(OR(TRIM($B510)="",$C510=""),"",IF(IFERROR(MATCH(TRIM($C510),{"Quantitative","Continuous","Discrete","Categorical","Nominal","Ordinal","Identifier"},0),0)=0,_xlfn.CONCAT("* REVIEW REQUIRED: invalid Variable Type on Sheet 1 row ",510,"."),_xlfn.CONCAT("char ",TRIM($B510),"[doc_vartype] ",CHAR(96),CHAR(34),SUBSTITUTE(SUBSTITUTE(SUBSTITUTE(SUBSTITUTE(SUBSTITUTE(SUBSTITUTE(LOWER(TRIM($C510)),CHAR(13)," "),CHAR(10)," "),CHAR(9)," "),CHAR(92),_xlfn.CONCAT(CHAR(92),CHAR(92))),"$",_xlfn.CONCAT(CHAR(92),"$")),CHAR(96),_xlfn.CONCAT(CHAR(92),CHAR(96))),CHAR(34),CHAR(39))))</f>
        <v/>
      </c>
      <c r="N510" s="5" t="str">
        <f>IF(OR(TRIM($B510)="",$D510=""),"",IF(OR(ISNUMBER(SEARCH(_xlfn.CONCAT(CHAR(96),CHAR(34)),$D510)),ISNUMBER(SEARCH(_xlfn.CONCAT(CHAR(34),CHAR(39)),$D510))),_xlfn.CONCAT("* REVIEW REQUIRED: compound-quote delimiter in Item Number on Sheet 1 row ",510,"; edit the input before running."),_xlfn.CONCAT("char ",TRIM($B510),"[doc_itemnum] ",CHAR(96),CHAR(34),SUBSTITUTE(SUBSTITUTE(SUBSTITUTE(SUBSTITUTE(SUBSTITUTE(SUBSTITUTE($D510,CHAR(13)," "),CHAR(10)," "),CHAR(9)," "),CHAR(92),_xlfn.CONCAT(CHAR(92),CHAR(92))),"$",_xlfn.CONCAT(CHAR(92),"$")),CHAR(96),_xlfn.CONCAT(CHAR(92),CHAR(96))),CHAR(34),CHAR(39))))</f>
        <v/>
      </c>
      <c r="O510" s="5" t="str">
        <f>IF(OR(TRIM($B510)="",$E510=""),"",IF(OR(ISNUMBER(SEARCH(_xlfn.CONCAT(CHAR(96),CHAR(34)),$E510)),ISNUMBER(SEARCH(_xlfn.CONCAT(CHAR(34),CHAR(39)),$E510))),_xlfn.CONCAT("* REVIEW REQUIRED: compound-quote delimiter in Question Wording on Sheet 1 row ",510,"; edit the input before running."),_xlfn.CONCAT("char ",TRIM($B510),"[doc_question] ",CHAR(96),CHAR(34),SUBSTITUTE(SUBSTITUTE(SUBSTITUTE(SUBSTITUTE(SUBSTITUTE(SUBSTITUTE($E510,CHAR(13)," "),CHAR(10)," "),CHAR(9)," "),CHAR(92),_xlfn.CONCAT(CHAR(92),CHAR(92))),"$",_xlfn.CONCAT(CHAR(92),"$")),CHAR(96),_xlfn.CONCAT(CHAR(92),CHAR(96))),CHAR(34),CHAR(39))))</f>
        <v/>
      </c>
      <c r="P510" s="5" t="str">
        <f>IF(OR(TRIM($B510)="",$F510=""),"",IF(OR(ISNUMBER(SEARCH(_xlfn.CONCAT(CHAR(96),CHAR(34)),$F510)),ISNUMBER(SEARCH(_xlfn.CONCAT(CHAR(34),CHAR(39)),$F510))),_xlfn.CONCAT("* REVIEW REQUIRED: compound-quote delimiter in Units on Sheet 1 row ",510,"; edit the input before running."),_xlfn.CONCAT("char ",TRIM($B510),"[doc_units] ",CHAR(96),CHAR(34),SUBSTITUTE(SUBSTITUTE(SUBSTITUTE(SUBSTITUTE(SUBSTITUTE(SUBSTITUTE($F510,CHAR(13)," "),CHAR(10)," "),CHAR(9)," "),CHAR(92),_xlfn.CONCAT(CHAR(92),CHAR(92))),"$",_xlfn.CONCAT(CHAR(92),"$")),CHAR(96),_xlfn.CONCAT(CHAR(92),CHAR(96))),CHAR(34),CHAR(39))))</f>
        <v/>
      </c>
      <c r="Q510" s="5" t="str">
        <f>IF(OR(TRIM($B510)="",$G510=""),"",IF(OR(ISNUMBER(SEARCH(_xlfn.CONCAT(CHAR(96),CHAR(34)),$G510)),ISNUMBER(SEARCH(_xlfn.CONCAT(CHAR(34),CHAR(39)),$G510))),_xlfn.CONCAT("* REVIEW REQUIRED: compound-quote delimiter in Universe on Sheet 1 row ",510,"; edit the input before running."),_xlfn.CONCAT("char ",TRIM($B510),"[doc_universe] ",CHAR(96),CHAR(34),SUBSTITUTE(SUBSTITUTE(SUBSTITUTE(SUBSTITUTE(SUBSTITUTE(SUBSTITUTE($G510,CHAR(13)," "),CHAR(10)," "),CHAR(9)," "),CHAR(92),_xlfn.CONCAT(CHAR(92),CHAR(92))),"$",_xlfn.CONCAT(CHAR(92),"$")),CHAR(96),_xlfn.CONCAT(CHAR(92),CHAR(96))),CHAR(34),CHAR(39))))</f>
        <v/>
      </c>
      <c r="R510" s="5" t="str">
        <f>IF(OR(TRIM($B510)="",$H510=""),"",IF(OR(ISNUMBER(SEARCH(_xlfn.CONCAT(CHAR(96),CHAR(34)),$H510)),ISNUMBER(SEARCH(_xlfn.CONCAT(CHAR(34),CHAR(39)),$H510))),_xlfn.CONCAT("* REVIEW REQUIRED: compound-quote delimiter in Source on Sheet 1 row ",510,"; edit the input before running."),_xlfn.CONCAT("char ",TRIM($B510),"[doc_source] ",CHAR(96),CHAR(34),SUBSTITUTE(SUBSTITUTE(SUBSTITUTE(SUBSTITUTE(SUBSTITUTE(SUBSTITUTE($H510,CHAR(13)," "),CHAR(10)," "),CHAR(9)," "),CHAR(92),_xlfn.CONCAT(CHAR(92),CHAR(92))),"$",_xlfn.CONCAT(CHAR(92),"$")),CHAR(96),_xlfn.CONCAT(CHAR(92),CHAR(96))),CHAR(34),CHAR(39))))</f>
        <v/>
      </c>
      <c r="S510" s="5" t="str">
        <f>IF(OR(TRIM($B510)="",$I510=""),"",IF(OR(ISNUMBER(SEARCH(_xlfn.CONCAT(CHAR(96),CHAR(34)),$I510)),ISNUMBER(SEARCH(_xlfn.CONCAT(CHAR(34),CHAR(39)),$I510))),_xlfn.CONCAT("* REVIEW REQUIRED: compound-quote delimiter in Derivation on Sheet 1 row ",510,"; edit the input before running."),_xlfn.CONCAT("char ",TRIM($B510),"[doc_derivation] ",CHAR(96),CHAR(34),SUBSTITUTE(SUBSTITUTE(SUBSTITUTE(SUBSTITUTE(SUBSTITUTE(SUBSTITUTE($I510,CHAR(13)," "),CHAR(10)," "),CHAR(9)," "),CHAR(92),_xlfn.CONCAT(CHAR(92),CHAR(92))),"$",_xlfn.CONCAT(CHAR(92),"$")),CHAR(96),_xlfn.CONCAT(CHAR(92),CHAR(96))),CHAR(34),CHAR(39))))</f>
        <v/>
      </c>
      <c r="T510" s="5" t="str">
        <f>IF(OR(TRIM($B510)="",$J510=""),"",IF(OR(ISNUMBER(SEARCH(_xlfn.CONCAT(CHAR(96),CHAR(34)),$J510)),ISNUMBER(SEARCH(_xlfn.CONCAT(CHAR(34),CHAR(39)),$J510))),_xlfn.CONCAT("* REVIEW REQUIRED: compound-quote delimiter in Notes on Sheet 1 row ",510,"; edit the input before running."),_xlfn.CONCAT("char ",TRIM($B510),"[doc_notes] ",CHAR(96),CHAR(34),SUBSTITUTE(SUBSTITUTE(SUBSTITUTE(SUBSTITUTE(SUBSTITUTE(SUBSTITUTE($J510,CHAR(13)," "),CHAR(10)," "),CHAR(9)," "),CHAR(92),_xlfn.CONCAT(CHAR(92),CHAR(92))),"$",_xlfn.CONCAT(CHAR(92),"$")),CHAR(96),_xlfn.CONCAT(CHAR(92),CHAR(96))),CHAR(34),CHAR(39))))</f>
        <v/>
      </c>
      <c r="U510" s="5">
        <f t="shared" si="15"/>
        <v>0</v>
      </c>
    </row>
    <row r="511" spans="3:21" ht="30" customHeight="1" x14ac:dyDescent="0.2">
      <c r="C511" s="4"/>
      <c r="K511" s="5">
        <f t="shared" si="14"/>
        <v>0</v>
      </c>
      <c r="L511" s="5" t="str">
        <f>IF(OR(TRIM($B511)="",$A511=""),"",IF(OR(ISNUMBER(SEARCH(_xlfn.CONCAT(CHAR(96),CHAR(34)),$A511)),ISNUMBER(SEARCH(_xlfn.CONCAT(CHAR(34),CHAR(39)),$A511))),_xlfn.CONCAT("* REVIEW REQUIRED: compound-quote delimiter in Codebook Section on Sheet 1 row ",511,"; edit the input before running."),_xlfn.CONCAT("char ",TRIM($B511),"[doc_section] ",CHAR(96),CHAR(34),SUBSTITUTE(SUBSTITUTE(SUBSTITUTE(SUBSTITUTE(SUBSTITUTE(SUBSTITUTE($A511,CHAR(13)," "),CHAR(10)," "),CHAR(9)," "),CHAR(92),_xlfn.CONCAT(CHAR(92),CHAR(92))),"$",_xlfn.CONCAT(CHAR(92),"$")),CHAR(96),_xlfn.CONCAT(CHAR(92),CHAR(96))),CHAR(34),CHAR(39))))</f>
        <v/>
      </c>
      <c r="M511" s="5" t="str">
        <f>IF(OR(TRIM($B511)="",$C511=""),"",IF(IFERROR(MATCH(TRIM($C511),{"Quantitative","Continuous","Discrete","Categorical","Nominal","Ordinal","Identifier"},0),0)=0,_xlfn.CONCAT("* REVIEW REQUIRED: invalid Variable Type on Sheet 1 row ",511,"."),_xlfn.CONCAT("char ",TRIM($B511),"[doc_vartype] ",CHAR(96),CHAR(34),SUBSTITUTE(SUBSTITUTE(SUBSTITUTE(SUBSTITUTE(SUBSTITUTE(SUBSTITUTE(LOWER(TRIM($C511)),CHAR(13)," "),CHAR(10)," "),CHAR(9)," "),CHAR(92),_xlfn.CONCAT(CHAR(92),CHAR(92))),"$",_xlfn.CONCAT(CHAR(92),"$")),CHAR(96),_xlfn.CONCAT(CHAR(92),CHAR(96))),CHAR(34),CHAR(39))))</f>
        <v/>
      </c>
      <c r="N511" s="5" t="str">
        <f>IF(OR(TRIM($B511)="",$D511=""),"",IF(OR(ISNUMBER(SEARCH(_xlfn.CONCAT(CHAR(96),CHAR(34)),$D511)),ISNUMBER(SEARCH(_xlfn.CONCAT(CHAR(34),CHAR(39)),$D511))),_xlfn.CONCAT("* REVIEW REQUIRED: compound-quote delimiter in Item Number on Sheet 1 row ",511,"; edit the input before running."),_xlfn.CONCAT("char ",TRIM($B511),"[doc_itemnum] ",CHAR(96),CHAR(34),SUBSTITUTE(SUBSTITUTE(SUBSTITUTE(SUBSTITUTE(SUBSTITUTE(SUBSTITUTE($D511,CHAR(13)," "),CHAR(10)," "),CHAR(9)," "),CHAR(92),_xlfn.CONCAT(CHAR(92),CHAR(92))),"$",_xlfn.CONCAT(CHAR(92),"$")),CHAR(96),_xlfn.CONCAT(CHAR(92),CHAR(96))),CHAR(34),CHAR(39))))</f>
        <v/>
      </c>
      <c r="O511" s="5" t="str">
        <f>IF(OR(TRIM($B511)="",$E511=""),"",IF(OR(ISNUMBER(SEARCH(_xlfn.CONCAT(CHAR(96),CHAR(34)),$E511)),ISNUMBER(SEARCH(_xlfn.CONCAT(CHAR(34),CHAR(39)),$E511))),_xlfn.CONCAT("* REVIEW REQUIRED: compound-quote delimiter in Question Wording on Sheet 1 row ",511,"; edit the input before running."),_xlfn.CONCAT("char ",TRIM($B511),"[doc_question] ",CHAR(96),CHAR(34),SUBSTITUTE(SUBSTITUTE(SUBSTITUTE(SUBSTITUTE(SUBSTITUTE(SUBSTITUTE($E511,CHAR(13)," "),CHAR(10)," "),CHAR(9)," "),CHAR(92),_xlfn.CONCAT(CHAR(92),CHAR(92))),"$",_xlfn.CONCAT(CHAR(92),"$")),CHAR(96),_xlfn.CONCAT(CHAR(92),CHAR(96))),CHAR(34),CHAR(39))))</f>
        <v/>
      </c>
      <c r="P511" s="5" t="str">
        <f>IF(OR(TRIM($B511)="",$F511=""),"",IF(OR(ISNUMBER(SEARCH(_xlfn.CONCAT(CHAR(96),CHAR(34)),$F511)),ISNUMBER(SEARCH(_xlfn.CONCAT(CHAR(34),CHAR(39)),$F511))),_xlfn.CONCAT("* REVIEW REQUIRED: compound-quote delimiter in Units on Sheet 1 row ",511,"; edit the input before running."),_xlfn.CONCAT("char ",TRIM($B511),"[doc_units] ",CHAR(96),CHAR(34),SUBSTITUTE(SUBSTITUTE(SUBSTITUTE(SUBSTITUTE(SUBSTITUTE(SUBSTITUTE($F511,CHAR(13)," "),CHAR(10)," "),CHAR(9)," "),CHAR(92),_xlfn.CONCAT(CHAR(92),CHAR(92))),"$",_xlfn.CONCAT(CHAR(92),"$")),CHAR(96),_xlfn.CONCAT(CHAR(92),CHAR(96))),CHAR(34),CHAR(39))))</f>
        <v/>
      </c>
      <c r="Q511" s="5" t="str">
        <f>IF(OR(TRIM($B511)="",$G511=""),"",IF(OR(ISNUMBER(SEARCH(_xlfn.CONCAT(CHAR(96),CHAR(34)),$G511)),ISNUMBER(SEARCH(_xlfn.CONCAT(CHAR(34),CHAR(39)),$G511))),_xlfn.CONCAT("* REVIEW REQUIRED: compound-quote delimiter in Universe on Sheet 1 row ",511,"; edit the input before running."),_xlfn.CONCAT("char ",TRIM($B511),"[doc_universe] ",CHAR(96),CHAR(34),SUBSTITUTE(SUBSTITUTE(SUBSTITUTE(SUBSTITUTE(SUBSTITUTE(SUBSTITUTE($G511,CHAR(13)," "),CHAR(10)," "),CHAR(9)," "),CHAR(92),_xlfn.CONCAT(CHAR(92),CHAR(92))),"$",_xlfn.CONCAT(CHAR(92),"$")),CHAR(96),_xlfn.CONCAT(CHAR(92),CHAR(96))),CHAR(34),CHAR(39))))</f>
        <v/>
      </c>
      <c r="R511" s="5" t="str">
        <f>IF(OR(TRIM($B511)="",$H511=""),"",IF(OR(ISNUMBER(SEARCH(_xlfn.CONCAT(CHAR(96),CHAR(34)),$H511)),ISNUMBER(SEARCH(_xlfn.CONCAT(CHAR(34),CHAR(39)),$H511))),_xlfn.CONCAT("* REVIEW REQUIRED: compound-quote delimiter in Source on Sheet 1 row ",511,"; edit the input before running."),_xlfn.CONCAT("char ",TRIM($B511),"[doc_source] ",CHAR(96),CHAR(34),SUBSTITUTE(SUBSTITUTE(SUBSTITUTE(SUBSTITUTE(SUBSTITUTE(SUBSTITUTE($H511,CHAR(13)," "),CHAR(10)," "),CHAR(9)," "),CHAR(92),_xlfn.CONCAT(CHAR(92),CHAR(92))),"$",_xlfn.CONCAT(CHAR(92),"$")),CHAR(96),_xlfn.CONCAT(CHAR(92),CHAR(96))),CHAR(34),CHAR(39))))</f>
        <v/>
      </c>
      <c r="S511" s="5" t="str">
        <f>IF(OR(TRIM($B511)="",$I511=""),"",IF(OR(ISNUMBER(SEARCH(_xlfn.CONCAT(CHAR(96),CHAR(34)),$I511)),ISNUMBER(SEARCH(_xlfn.CONCAT(CHAR(34),CHAR(39)),$I511))),_xlfn.CONCAT("* REVIEW REQUIRED: compound-quote delimiter in Derivation on Sheet 1 row ",511,"; edit the input before running."),_xlfn.CONCAT("char ",TRIM($B511),"[doc_derivation] ",CHAR(96),CHAR(34),SUBSTITUTE(SUBSTITUTE(SUBSTITUTE(SUBSTITUTE(SUBSTITUTE(SUBSTITUTE($I511,CHAR(13)," "),CHAR(10)," "),CHAR(9)," "),CHAR(92),_xlfn.CONCAT(CHAR(92),CHAR(92))),"$",_xlfn.CONCAT(CHAR(92),"$")),CHAR(96),_xlfn.CONCAT(CHAR(92),CHAR(96))),CHAR(34),CHAR(39))))</f>
        <v/>
      </c>
      <c r="T511" s="5" t="str">
        <f>IF(OR(TRIM($B511)="",$J511=""),"",IF(OR(ISNUMBER(SEARCH(_xlfn.CONCAT(CHAR(96),CHAR(34)),$J511)),ISNUMBER(SEARCH(_xlfn.CONCAT(CHAR(34),CHAR(39)),$J511))),_xlfn.CONCAT("* REVIEW REQUIRED: compound-quote delimiter in Notes on Sheet 1 row ",511,"; edit the input before running."),_xlfn.CONCAT("char ",TRIM($B511),"[doc_notes] ",CHAR(96),CHAR(34),SUBSTITUTE(SUBSTITUTE(SUBSTITUTE(SUBSTITUTE(SUBSTITUTE(SUBSTITUTE($J511,CHAR(13)," "),CHAR(10)," "),CHAR(9)," "),CHAR(92),_xlfn.CONCAT(CHAR(92),CHAR(92))),"$",_xlfn.CONCAT(CHAR(92),"$")),CHAR(96),_xlfn.CONCAT(CHAR(92),CHAR(96))),CHAR(34),CHAR(39))))</f>
        <v/>
      </c>
      <c r="U511" s="5">
        <f t="shared" si="15"/>
        <v>0</v>
      </c>
    </row>
    <row r="512" spans="3:21" ht="30" customHeight="1" x14ac:dyDescent="0.2">
      <c r="C512" s="4"/>
      <c r="K512" s="5">
        <f t="shared" si="14"/>
        <v>0</v>
      </c>
      <c r="L512" s="5" t="str">
        <f>IF(OR(TRIM($B512)="",$A512=""),"",IF(OR(ISNUMBER(SEARCH(_xlfn.CONCAT(CHAR(96),CHAR(34)),$A512)),ISNUMBER(SEARCH(_xlfn.CONCAT(CHAR(34),CHAR(39)),$A512))),_xlfn.CONCAT("* REVIEW REQUIRED: compound-quote delimiter in Codebook Section on Sheet 1 row ",512,"; edit the input before running."),_xlfn.CONCAT("char ",TRIM($B512),"[doc_section] ",CHAR(96),CHAR(34),SUBSTITUTE(SUBSTITUTE(SUBSTITUTE(SUBSTITUTE(SUBSTITUTE(SUBSTITUTE($A512,CHAR(13)," "),CHAR(10)," "),CHAR(9)," "),CHAR(92),_xlfn.CONCAT(CHAR(92),CHAR(92))),"$",_xlfn.CONCAT(CHAR(92),"$")),CHAR(96),_xlfn.CONCAT(CHAR(92),CHAR(96))),CHAR(34),CHAR(39))))</f>
        <v/>
      </c>
      <c r="M512" s="5" t="str">
        <f>IF(OR(TRIM($B512)="",$C512=""),"",IF(IFERROR(MATCH(TRIM($C512),{"Quantitative","Continuous","Discrete","Categorical","Nominal","Ordinal","Identifier"},0),0)=0,_xlfn.CONCAT("* REVIEW REQUIRED: invalid Variable Type on Sheet 1 row ",512,"."),_xlfn.CONCAT("char ",TRIM($B512),"[doc_vartype] ",CHAR(96),CHAR(34),SUBSTITUTE(SUBSTITUTE(SUBSTITUTE(SUBSTITUTE(SUBSTITUTE(SUBSTITUTE(LOWER(TRIM($C512)),CHAR(13)," "),CHAR(10)," "),CHAR(9)," "),CHAR(92),_xlfn.CONCAT(CHAR(92),CHAR(92))),"$",_xlfn.CONCAT(CHAR(92),"$")),CHAR(96),_xlfn.CONCAT(CHAR(92),CHAR(96))),CHAR(34),CHAR(39))))</f>
        <v/>
      </c>
      <c r="N512" s="5" t="str">
        <f>IF(OR(TRIM($B512)="",$D512=""),"",IF(OR(ISNUMBER(SEARCH(_xlfn.CONCAT(CHAR(96),CHAR(34)),$D512)),ISNUMBER(SEARCH(_xlfn.CONCAT(CHAR(34),CHAR(39)),$D512))),_xlfn.CONCAT("* REVIEW REQUIRED: compound-quote delimiter in Item Number on Sheet 1 row ",512,"; edit the input before running."),_xlfn.CONCAT("char ",TRIM($B512),"[doc_itemnum] ",CHAR(96),CHAR(34),SUBSTITUTE(SUBSTITUTE(SUBSTITUTE(SUBSTITUTE(SUBSTITUTE(SUBSTITUTE($D512,CHAR(13)," "),CHAR(10)," "),CHAR(9)," "),CHAR(92),_xlfn.CONCAT(CHAR(92),CHAR(92))),"$",_xlfn.CONCAT(CHAR(92),"$")),CHAR(96),_xlfn.CONCAT(CHAR(92),CHAR(96))),CHAR(34),CHAR(39))))</f>
        <v/>
      </c>
      <c r="O512" s="5" t="str">
        <f>IF(OR(TRIM($B512)="",$E512=""),"",IF(OR(ISNUMBER(SEARCH(_xlfn.CONCAT(CHAR(96),CHAR(34)),$E512)),ISNUMBER(SEARCH(_xlfn.CONCAT(CHAR(34),CHAR(39)),$E512))),_xlfn.CONCAT("* REVIEW REQUIRED: compound-quote delimiter in Question Wording on Sheet 1 row ",512,"; edit the input before running."),_xlfn.CONCAT("char ",TRIM($B512),"[doc_question] ",CHAR(96),CHAR(34),SUBSTITUTE(SUBSTITUTE(SUBSTITUTE(SUBSTITUTE(SUBSTITUTE(SUBSTITUTE($E512,CHAR(13)," "),CHAR(10)," "),CHAR(9)," "),CHAR(92),_xlfn.CONCAT(CHAR(92),CHAR(92))),"$",_xlfn.CONCAT(CHAR(92),"$")),CHAR(96),_xlfn.CONCAT(CHAR(92),CHAR(96))),CHAR(34),CHAR(39))))</f>
        <v/>
      </c>
      <c r="P512" s="5" t="str">
        <f>IF(OR(TRIM($B512)="",$F512=""),"",IF(OR(ISNUMBER(SEARCH(_xlfn.CONCAT(CHAR(96),CHAR(34)),$F512)),ISNUMBER(SEARCH(_xlfn.CONCAT(CHAR(34),CHAR(39)),$F512))),_xlfn.CONCAT("* REVIEW REQUIRED: compound-quote delimiter in Units on Sheet 1 row ",512,"; edit the input before running."),_xlfn.CONCAT("char ",TRIM($B512),"[doc_units] ",CHAR(96),CHAR(34),SUBSTITUTE(SUBSTITUTE(SUBSTITUTE(SUBSTITUTE(SUBSTITUTE(SUBSTITUTE($F512,CHAR(13)," "),CHAR(10)," "),CHAR(9)," "),CHAR(92),_xlfn.CONCAT(CHAR(92),CHAR(92))),"$",_xlfn.CONCAT(CHAR(92),"$")),CHAR(96),_xlfn.CONCAT(CHAR(92),CHAR(96))),CHAR(34),CHAR(39))))</f>
        <v/>
      </c>
      <c r="Q512" s="5" t="str">
        <f>IF(OR(TRIM($B512)="",$G512=""),"",IF(OR(ISNUMBER(SEARCH(_xlfn.CONCAT(CHAR(96),CHAR(34)),$G512)),ISNUMBER(SEARCH(_xlfn.CONCAT(CHAR(34),CHAR(39)),$G512))),_xlfn.CONCAT("* REVIEW REQUIRED: compound-quote delimiter in Universe on Sheet 1 row ",512,"; edit the input before running."),_xlfn.CONCAT("char ",TRIM($B512),"[doc_universe] ",CHAR(96),CHAR(34),SUBSTITUTE(SUBSTITUTE(SUBSTITUTE(SUBSTITUTE(SUBSTITUTE(SUBSTITUTE($G512,CHAR(13)," "),CHAR(10)," "),CHAR(9)," "),CHAR(92),_xlfn.CONCAT(CHAR(92),CHAR(92))),"$",_xlfn.CONCAT(CHAR(92),"$")),CHAR(96),_xlfn.CONCAT(CHAR(92),CHAR(96))),CHAR(34),CHAR(39))))</f>
        <v/>
      </c>
      <c r="R512" s="5" t="str">
        <f>IF(OR(TRIM($B512)="",$H512=""),"",IF(OR(ISNUMBER(SEARCH(_xlfn.CONCAT(CHAR(96),CHAR(34)),$H512)),ISNUMBER(SEARCH(_xlfn.CONCAT(CHAR(34),CHAR(39)),$H512))),_xlfn.CONCAT("* REVIEW REQUIRED: compound-quote delimiter in Source on Sheet 1 row ",512,"; edit the input before running."),_xlfn.CONCAT("char ",TRIM($B512),"[doc_source] ",CHAR(96),CHAR(34),SUBSTITUTE(SUBSTITUTE(SUBSTITUTE(SUBSTITUTE(SUBSTITUTE(SUBSTITUTE($H512,CHAR(13)," "),CHAR(10)," "),CHAR(9)," "),CHAR(92),_xlfn.CONCAT(CHAR(92),CHAR(92))),"$",_xlfn.CONCAT(CHAR(92),"$")),CHAR(96),_xlfn.CONCAT(CHAR(92),CHAR(96))),CHAR(34),CHAR(39))))</f>
        <v/>
      </c>
      <c r="S512" s="5" t="str">
        <f>IF(OR(TRIM($B512)="",$I512=""),"",IF(OR(ISNUMBER(SEARCH(_xlfn.CONCAT(CHAR(96),CHAR(34)),$I512)),ISNUMBER(SEARCH(_xlfn.CONCAT(CHAR(34),CHAR(39)),$I512))),_xlfn.CONCAT("* REVIEW REQUIRED: compound-quote delimiter in Derivation on Sheet 1 row ",512,"; edit the input before running."),_xlfn.CONCAT("char ",TRIM($B512),"[doc_derivation] ",CHAR(96),CHAR(34),SUBSTITUTE(SUBSTITUTE(SUBSTITUTE(SUBSTITUTE(SUBSTITUTE(SUBSTITUTE($I512,CHAR(13)," "),CHAR(10)," "),CHAR(9)," "),CHAR(92),_xlfn.CONCAT(CHAR(92),CHAR(92))),"$",_xlfn.CONCAT(CHAR(92),"$")),CHAR(96),_xlfn.CONCAT(CHAR(92),CHAR(96))),CHAR(34),CHAR(39))))</f>
        <v/>
      </c>
      <c r="T512" s="5" t="str">
        <f>IF(OR(TRIM($B512)="",$J512=""),"",IF(OR(ISNUMBER(SEARCH(_xlfn.CONCAT(CHAR(96),CHAR(34)),$J512)),ISNUMBER(SEARCH(_xlfn.CONCAT(CHAR(34),CHAR(39)),$J512))),_xlfn.CONCAT("* REVIEW REQUIRED: compound-quote delimiter in Notes on Sheet 1 row ",512,"; edit the input before running."),_xlfn.CONCAT("char ",TRIM($B512),"[doc_notes] ",CHAR(96),CHAR(34),SUBSTITUTE(SUBSTITUTE(SUBSTITUTE(SUBSTITUTE(SUBSTITUTE(SUBSTITUTE($J512,CHAR(13)," "),CHAR(10)," "),CHAR(9)," "),CHAR(92),_xlfn.CONCAT(CHAR(92),CHAR(92))),"$",_xlfn.CONCAT(CHAR(92),"$")),CHAR(96),_xlfn.CONCAT(CHAR(92),CHAR(96))),CHAR(34),CHAR(39))))</f>
        <v/>
      </c>
      <c r="U512" s="5">
        <f t="shared" si="15"/>
        <v>0</v>
      </c>
    </row>
    <row r="513" spans="3:21" ht="30" customHeight="1" x14ac:dyDescent="0.2">
      <c r="C513" s="4"/>
      <c r="K513" s="5">
        <f t="shared" si="14"/>
        <v>0</v>
      </c>
      <c r="L513" s="5" t="str">
        <f>IF(OR(TRIM($B513)="",$A513=""),"",IF(OR(ISNUMBER(SEARCH(_xlfn.CONCAT(CHAR(96),CHAR(34)),$A513)),ISNUMBER(SEARCH(_xlfn.CONCAT(CHAR(34),CHAR(39)),$A513))),_xlfn.CONCAT("* REVIEW REQUIRED: compound-quote delimiter in Codebook Section on Sheet 1 row ",513,"; edit the input before running."),_xlfn.CONCAT("char ",TRIM($B513),"[doc_section] ",CHAR(96),CHAR(34),SUBSTITUTE(SUBSTITUTE(SUBSTITUTE(SUBSTITUTE(SUBSTITUTE(SUBSTITUTE($A513,CHAR(13)," "),CHAR(10)," "),CHAR(9)," "),CHAR(92),_xlfn.CONCAT(CHAR(92),CHAR(92))),"$",_xlfn.CONCAT(CHAR(92),"$")),CHAR(96),_xlfn.CONCAT(CHAR(92),CHAR(96))),CHAR(34),CHAR(39))))</f>
        <v/>
      </c>
      <c r="M513" s="5" t="str">
        <f>IF(OR(TRIM($B513)="",$C513=""),"",IF(IFERROR(MATCH(TRIM($C513),{"Quantitative","Continuous","Discrete","Categorical","Nominal","Ordinal","Identifier"},0),0)=0,_xlfn.CONCAT("* REVIEW REQUIRED: invalid Variable Type on Sheet 1 row ",513,"."),_xlfn.CONCAT("char ",TRIM($B513),"[doc_vartype] ",CHAR(96),CHAR(34),SUBSTITUTE(SUBSTITUTE(SUBSTITUTE(SUBSTITUTE(SUBSTITUTE(SUBSTITUTE(LOWER(TRIM($C513)),CHAR(13)," "),CHAR(10)," "),CHAR(9)," "),CHAR(92),_xlfn.CONCAT(CHAR(92),CHAR(92))),"$",_xlfn.CONCAT(CHAR(92),"$")),CHAR(96),_xlfn.CONCAT(CHAR(92),CHAR(96))),CHAR(34),CHAR(39))))</f>
        <v/>
      </c>
      <c r="N513" s="5" t="str">
        <f>IF(OR(TRIM($B513)="",$D513=""),"",IF(OR(ISNUMBER(SEARCH(_xlfn.CONCAT(CHAR(96),CHAR(34)),$D513)),ISNUMBER(SEARCH(_xlfn.CONCAT(CHAR(34),CHAR(39)),$D513))),_xlfn.CONCAT("* REVIEW REQUIRED: compound-quote delimiter in Item Number on Sheet 1 row ",513,"; edit the input before running."),_xlfn.CONCAT("char ",TRIM($B513),"[doc_itemnum] ",CHAR(96),CHAR(34),SUBSTITUTE(SUBSTITUTE(SUBSTITUTE(SUBSTITUTE(SUBSTITUTE(SUBSTITUTE($D513,CHAR(13)," "),CHAR(10)," "),CHAR(9)," "),CHAR(92),_xlfn.CONCAT(CHAR(92),CHAR(92))),"$",_xlfn.CONCAT(CHAR(92),"$")),CHAR(96),_xlfn.CONCAT(CHAR(92),CHAR(96))),CHAR(34),CHAR(39))))</f>
        <v/>
      </c>
      <c r="O513" s="5" t="str">
        <f>IF(OR(TRIM($B513)="",$E513=""),"",IF(OR(ISNUMBER(SEARCH(_xlfn.CONCAT(CHAR(96),CHAR(34)),$E513)),ISNUMBER(SEARCH(_xlfn.CONCAT(CHAR(34),CHAR(39)),$E513))),_xlfn.CONCAT("* REVIEW REQUIRED: compound-quote delimiter in Question Wording on Sheet 1 row ",513,"; edit the input before running."),_xlfn.CONCAT("char ",TRIM($B513),"[doc_question] ",CHAR(96),CHAR(34),SUBSTITUTE(SUBSTITUTE(SUBSTITUTE(SUBSTITUTE(SUBSTITUTE(SUBSTITUTE($E513,CHAR(13)," "),CHAR(10)," "),CHAR(9)," "),CHAR(92),_xlfn.CONCAT(CHAR(92),CHAR(92))),"$",_xlfn.CONCAT(CHAR(92),"$")),CHAR(96),_xlfn.CONCAT(CHAR(92),CHAR(96))),CHAR(34),CHAR(39))))</f>
        <v/>
      </c>
      <c r="P513" s="5" t="str">
        <f>IF(OR(TRIM($B513)="",$F513=""),"",IF(OR(ISNUMBER(SEARCH(_xlfn.CONCAT(CHAR(96),CHAR(34)),$F513)),ISNUMBER(SEARCH(_xlfn.CONCAT(CHAR(34),CHAR(39)),$F513))),_xlfn.CONCAT("* REVIEW REQUIRED: compound-quote delimiter in Units on Sheet 1 row ",513,"; edit the input before running."),_xlfn.CONCAT("char ",TRIM($B513),"[doc_units] ",CHAR(96),CHAR(34),SUBSTITUTE(SUBSTITUTE(SUBSTITUTE(SUBSTITUTE(SUBSTITUTE(SUBSTITUTE($F513,CHAR(13)," "),CHAR(10)," "),CHAR(9)," "),CHAR(92),_xlfn.CONCAT(CHAR(92),CHAR(92))),"$",_xlfn.CONCAT(CHAR(92),"$")),CHAR(96),_xlfn.CONCAT(CHAR(92),CHAR(96))),CHAR(34),CHAR(39))))</f>
        <v/>
      </c>
      <c r="Q513" s="5" t="str">
        <f>IF(OR(TRIM($B513)="",$G513=""),"",IF(OR(ISNUMBER(SEARCH(_xlfn.CONCAT(CHAR(96),CHAR(34)),$G513)),ISNUMBER(SEARCH(_xlfn.CONCAT(CHAR(34),CHAR(39)),$G513))),_xlfn.CONCAT("* REVIEW REQUIRED: compound-quote delimiter in Universe on Sheet 1 row ",513,"; edit the input before running."),_xlfn.CONCAT("char ",TRIM($B513),"[doc_universe] ",CHAR(96),CHAR(34),SUBSTITUTE(SUBSTITUTE(SUBSTITUTE(SUBSTITUTE(SUBSTITUTE(SUBSTITUTE($G513,CHAR(13)," "),CHAR(10)," "),CHAR(9)," "),CHAR(92),_xlfn.CONCAT(CHAR(92),CHAR(92))),"$",_xlfn.CONCAT(CHAR(92),"$")),CHAR(96),_xlfn.CONCAT(CHAR(92),CHAR(96))),CHAR(34),CHAR(39))))</f>
        <v/>
      </c>
      <c r="R513" s="5" t="str">
        <f>IF(OR(TRIM($B513)="",$H513=""),"",IF(OR(ISNUMBER(SEARCH(_xlfn.CONCAT(CHAR(96),CHAR(34)),$H513)),ISNUMBER(SEARCH(_xlfn.CONCAT(CHAR(34),CHAR(39)),$H513))),_xlfn.CONCAT("* REVIEW REQUIRED: compound-quote delimiter in Source on Sheet 1 row ",513,"; edit the input before running."),_xlfn.CONCAT("char ",TRIM($B513),"[doc_source] ",CHAR(96),CHAR(34),SUBSTITUTE(SUBSTITUTE(SUBSTITUTE(SUBSTITUTE(SUBSTITUTE(SUBSTITUTE($H513,CHAR(13)," "),CHAR(10)," "),CHAR(9)," "),CHAR(92),_xlfn.CONCAT(CHAR(92),CHAR(92))),"$",_xlfn.CONCAT(CHAR(92),"$")),CHAR(96),_xlfn.CONCAT(CHAR(92),CHAR(96))),CHAR(34),CHAR(39))))</f>
        <v/>
      </c>
      <c r="S513" s="5" t="str">
        <f>IF(OR(TRIM($B513)="",$I513=""),"",IF(OR(ISNUMBER(SEARCH(_xlfn.CONCAT(CHAR(96),CHAR(34)),$I513)),ISNUMBER(SEARCH(_xlfn.CONCAT(CHAR(34),CHAR(39)),$I513))),_xlfn.CONCAT("* REVIEW REQUIRED: compound-quote delimiter in Derivation on Sheet 1 row ",513,"; edit the input before running."),_xlfn.CONCAT("char ",TRIM($B513),"[doc_derivation] ",CHAR(96),CHAR(34),SUBSTITUTE(SUBSTITUTE(SUBSTITUTE(SUBSTITUTE(SUBSTITUTE(SUBSTITUTE($I513,CHAR(13)," "),CHAR(10)," "),CHAR(9)," "),CHAR(92),_xlfn.CONCAT(CHAR(92),CHAR(92))),"$",_xlfn.CONCAT(CHAR(92),"$")),CHAR(96),_xlfn.CONCAT(CHAR(92),CHAR(96))),CHAR(34),CHAR(39))))</f>
        <v/>
      </c>
      <c r="T513" s="5" t="str">
        <f>IF(OR(TRIM($B513)="",$J513=""),"",IF(OR(ISNUMBER(SEARCH(_xlfn.CONCAT(CHAR(96),CHAR(34)),$J513)),ISNUMBER(SEARCH(_xlfn.CONCAT(CHAR(34),CHAR(39)),$J513))),_xlfn.CONCAT("* REVIEW REQUIRED: compound-quote delimiter in Notes on Sheet 1 row ",513,"; edit the input before running."),_xlfn.CONCAT("char ",TRIM($B513),"[doc_notes] ",CHAR(96),CHAR(34),SUBSTITUTE(SUBSTITUTE(SUBSTITUTE(SUBSTITUTE(SUBSTITUTE(SUBSTITUTE($J513,CHAR(13)," "),CHAR(10)," "),CHAR(9)," "),CHAR(92),_xlfn.CONCAT(CHAR(92),CHAR(92))),"$",_xlfn.CONCAT(CHAR(92),"$")),CHAR(96),_xlfn.CONCAT(CHAR(92),CHAR(96))),CHAR(34),CHAR(39))))</f>
        <v/>
      </c>
      <c r="U513" s="5">
        <f t="shared" si="15"/>
        <v>0</v>
      </c>
    </row>
    <row r="514" spans="3:21" ht="30" customHeight="1" x14ac:dyDescent="0.2">
      <c r="C514" s="4"/>
      <c r="K514" s="5">
        <f t="shared" si="14"/>
        <v>0</v>
      </c>
      <c r="L514" s="5" t="str">
        <f>IF(OR(TRIM($B514)="",$A514=""),"",IF(OR(ISNUMBER(SEARCH(_xlfn.CONCAT(CHAR(96),CHAR(34)),$A514)),ISNUMBER(SEARCH(_xlfn.CONCAT(CHAR(34),CHAR(39)),$A514))),_xlfn.CONCAT("* REVIEW REQUIRED: compound-quote delimiter in Codebook Section on Sheet 1 row ",514,"; edit the input before running."),_xlfn.CONCAT("char ",TRIM($B514),"[doc_section] ",CHAR(96),CHAR(34),SUBSTITUTE(SUBSTITUTE(SUBSTITUTE(SUBSTITUTE(SUBSTITUTE(SUBSTITUTE($A514,CHAR(13)," "),CHAR(10)," "),CHAR(9)," "),CHAR(92),_xlfn.CONCAT(CHAR(92),CHAR(92))),"$",_xlfn.CONCAT(CHAR(92),"$")),CHAR(96),_xlfn.CONCAT(CHAR(92),CHAR(96))),CHAR(34),CHAR(39))))</f>
        <v/>
      </c>
      <c r="M514" s="5" t="str">
        <f>IF(OR(TRIM($B514)="",$C514=""),"",IF(IFERROR(MATCH(TRIM($C514),{"Quantitative","Continuous","Discrete","Categorical","Nominal","Ordinal","Identifier"},0),0)=0,_xlfn.CONCAT("* REVIEW REQUIRED: invalid Variable Type on Sheet 1 row ",514,"."),_xlfn.CONCAT("char ",TRIM($B514),"[doc_vartype] ",CHAR(96),CHAR(34),SUBSTITUTE(SUBSTITUTE(SUBSTITUTE(SUBSTITUTE(SUBSTITUTE(SUBSTITUTE(LOWER(TRIM($C514)),CHAR(13)," "),CHAR(10)," "),CHAR(9)," "),CHAR(92),_xlfn.CONCAT(CHAR(92),CHAR(92))),"$",_xlfn.CONCAT(CHAR(92),"$")),CHAR(96),_xlfn.CONCAT(CHAR(92),CHAR(96))),CHAR(34),CHAR(39))))</f>
        <v/>
      </c>
      <c r="N514" s="5" t="str">
        <f>IF(OR(TRIM($B514)="",$D514=""),"",IF(OR(ISNUMBER(SEARCH(_xlfn.CONCAT(CHAR(96),CHAR(34)),$D514)),ISNUMBER(SEARCH(_xlfn.CONCAT(CHAR(34),CHAR(39)),$D514))),_xlfn.CONCAT("* REVIEW REQUIRED: compound-quote delimiter in Item Number on Sheet 1 row ",514,"; edit the input before running."),_xlfn.CONCAT("char ",TRIM($B514),"[doc_itemnum] ",CHAR(96),CHAR(34),SUBSTITUTE(SUBSTITUTE(SUBSTITUTE(SUBSTITUTE(SUBSTITUTE(SUBSTITUTE($D514,CHAR(13)," "),CHAR(10)," "),CHAR(9)," "),CHAR(92),_xlfn.CONCAT(CHAR(92),CHAR(92))),"$",_xlfn.CONCAT(CHAR(92),"$")),CHAR(96),_xlfn.CONCAT(CHAR(92),CHAR(96))),CHAR(34),CHAR(39))))</f>
        <v/>
      </c>
      <c r="O514" s="5" t="str">
        <f>IF(OR(TRIM($B514)="",$E514=""),"",IF(OR(ISNUMBER(SEARCH(_xlfn.CONCAT(CHAR(96),CHAR(34)),$E514)),ISNUMBER(SEARCH(_xlfn.CONCAT(CHAR(34),CHAR(39)),$E514))),_xlfn.CONCAT("* REVIEW REQUIRED: compound-quote delimiter in Question Wording on Sheet 1 row ",514,"; edit the input before running."),_xlfn.CONCAT("char ",TRIM($B514),"[doc_question] ",CHAR(96),CHAR(34),SUBSTITUTE(SUBSTITUTE(SUBSTITUTE(SUBSTITUTE(SUBSTITUTE(SUBSTITUTE($E514,CHAR(13)," "),CHAR(10)," "),CHAR(9)," "),CHAR(92),_xlfn.CONCAT(CHAR(92),CHAR(92))),"$",_xlfn.CONCAT(CHAR(92),"$")),CHAR(96),_xlfn.CONCAT(CHAR(92),CHAR(96))),CHAR(34),CHAR(39))))</f>
        <v/>
      </c>
      <c r="P514" s="5" t="str">
        <f>IF(OR(TRIM($B514)="",$F514=""),"",IF(OR(ISNUMBER(SEARCH(_xlfn.CONCAT(CHAR(96),CHAR(34)),$F514)),ISNUMBER(SEARCH(_xlfn.CONCAT(CHAR(34),CHAR(39)),$F514))),_xlfn.CONCAT("* REVIEW REQUIRED: compound-quote delimiter in Units on Sheet 1 row ",514,"; edit the input before running."),_xlfn.CONCAT("char ",TRIM($B514),"[doc_units] ",CHAR(96),CHAR(34),SUBSTITUTE(SUBSTITUTE(SUBSTITUTE(SUBSTITUTE(SUBSTITUTE(SUBSTITUTE($F514,CHAR(13)," "),CHAR(10)," "),CHAR(9)," "),CHAR(92),_xlfn.CONCAT(CHAR(92),CHAR(92))),"$",_xlfn.CONCAT(CHAR(92),"$")),CHAR(96),_xlfn.CONCAT(CHAR(92),CHAR(96))),CHAR(34),CHAR(39))))</f>
        <v/>
      </c>
      <c r="Q514" s="5" t="str">
        <f>IF(OR(TRIM($B514)="",$G514=""),"",IF(OR(ISNUMBER(SEARCH(_xlfn.CONCAT(CHAR(96),CHAR(34)),$G514)),ISNUMBER(SEARCH(_xlfn.CONCAT(CHAR(34),CHAR(39)),$G514))),_xlfn.CONCAT("* REVIEW REQUIRED: compound-quote delimiter in Universe on Sheet 1 row ",514,"; edit the input before running."),_xlfn.CONCAT("char ",TRIM($B514),"[doc_universe] ",CHAR(96),CHAR(34),SUBSTITUTE(SUBSTITUTE(SUBSTITUTE(SUBSTITUTE(SUBSTITUTE(SUBSTITUTE($G514,CHAR(13)," "),CHAR(10)," "),CHAR(9)," "),CHAR(92),_xlfn.CONCAT(CHAR(92),CHAR(92))),"$",_xlfn.CONCAT(CHAR(92),"$")),CHAR(96),_xlfn.CONCAT(CHAR(92),CHAR(96))),CHAR(34),CHAR(39))))</f>
        <v/>
      </c>
      <c r="R514" s="5" t="str">
        <f>IF(OR(TRIM($B514)="",$H514=""),"",IF(OR(ISNUMBER(SEARCH(_xlfn.CONCAT(CHAR(96),CHAR(34)),$H514)),ISNUMBER(SEARCH(_xlfn.CONCAT(CHAR(34),CHAR(39)),$H514))),_xlfn.CONCAT("* REVIEW REQUIRED: compound-quote delimiter in Source on Sheet 1 row ",514,"; edit the input before running."),_xlfn.CONCAT("char ",TRIM($B514),"[doc_source] ",CHAR(96),CHAR(34),SUBSTITUTE(SUBSTITUTE(SUBSTITUTE(SUBSTITUTE(SUBSTITUTE(SUBSTITUTE($H514,CHAR(13)," "),CHAR(10)," "),CHAR(9)," "),CHAR(92),_xlfn.CONCAT(CHAR(92),CHAR(92))),"$",_xlfn.CONCAT(CHAR(92),"$")),CHAR(96),_xlfn.CONCAT(CHAR(92),CHAR(96))),CHAR(34),CHAR(39))))</f>
        <v/>
      </c>
      <c r="S514" s="5" t="str">
        <f>IF(OR(TRIM($B514)="",$I514=""),"",IF(OR(ISNUMBER(SEARCH(_xlfn.CONCAT(CHAR(96),CHAR(34)),$I514)),ISNUMBER(SEARCH(_xlfn.CONCAT(CHAR(34),CHAR(39)),$I514))),_xlfn.CONCAT("* REVIEW REQUIRED: compound-quote delimiter in Derivation on Sheet 1 row ",514,"; edit the input before running."),_xlfn.CONCAT("char ",TRIM($B514),"[doc_derivation] ",CHAR(96),CHAR(34),SUBSTITUTE(SUBSTITUTE(SUBSTITUTE(SUBSTITUTE(SUBSTITUTE(SUBSTITUTE($I514,CHAR(13)," "),CHAR(10)," "),CHAR(9)," "),CHAR(92),_xlfn.CONCAT(CHAR(92),CHAR(92))),"$",_xlfn.CONCAT(CHAR(92),"$")),CHAR(96),_xlfn.CONCAT(CHAR(92),CHAR(96))),CHAR(34),CHAR(39))))</f>
        <v/>
      </c>
      <c r="T514" s="5" t="str">
        <f>IF(OR(TRIM($B514)="",$J514=""),"",IF(OR(ISNUMBER(SEARCH(_xlfn.CONCAT(CHAR(96),CHAR(34)),$J514)),ISNUMBER(SEARCH(_xlfn.CONCAT(CHAR(34),CHAR(39)),$J514))),_xlfn.CONCAT("* REVIEW REQUIRED: compound-quote delimiter in Notes on Sheet 1 row ",514,"; edit the input before running."),_xlfn.CONCAT("char ",TRIM($B514),"[doc_notes] ",CHAR(96),CHAR(34),SUBSTITUTE(SUBSTITUTE(SUBSTITUTE(SUBSTITUTE(SUBSTITUTE(SUBSTITUTE($J514,CHAR(13)," "),CHAR(10)," "),CHAR(9)," "),CHAR(92),_xlfn.CONCAT(CHAR(92),CHAR(92))),"$",_xlfn.CONCAT(CHAR(92),"$")),CHAR(96),_xlfn.CONCAT(CHAR(92),CHAR(96))),CHAR(34),CHAR(39))))</f>
        <v/>
      </c>
      <c r="U514" s="5">
        <f t="shared" si="15"/>
        <v>0</v>
      </c>
    </row>
    <row r="515" spans="3:21" ht="30" customHeight="1" x14ac:dyDescent="0.2">
      <c r="C515" s="4"/>
      <c r="K515" s="5">
        <f t="shared" si="14"/>
        <v>0</v>
      </c>
      <c r="L515" s="5" t="str">
        <f>IF(OR(TRIM($B515)="",$A515=""),"",IF(OR(ISNUMBER(SEARCH(_xlfn.CONCAT(CHAR(96),CHAR(34)),$A515)),ISNUMBER(SEARCH(_xlfn.CONCAT(CHAR(34),CHAR(39)),$A515))),_xlfn.CONCAT("* REVIEW REQUIRED: compound-quote delimiter in Codebook Section on Sheet 1 row ",515,"; edit the input before running."),_xlfn.CONCAT("char ",TRIM($B515),"[doc_section] ",CHAR(96),CHAR(34),SUBSTITUTE(SUBSTITUTE(SUBSTITUTE(SUBSTITUTE(SUBSTITUTE(SUBSTITUTE($A515,CHAR(13)," "),CHAR(10)," "),CHAR(9)," "),CHAR(92),_xlfn.CONCAT(CHAR(92),CHAR(92))),"$",_xlfn.CONCAT(CHAR(92),"$")),CHAR(96),_xlfn.CONCAT(CHAR(92),CHAR(96))),CHAR(34),CHAR(39))))</f>
        <v/>
      </c>
      <c r="M515" s="5" t="str">
        <f>IF(OR(TRIM($B515)="",$C515=""),"",IF(IFERROR(MATCH(TRIM($C515),{"Quantitative","Continuous","Discrete","Categorical","Nominal","Ordinal","Identifier"},0),0)=0,_xlfn.CONCAT("* REVIEW REQUIRED: invalid Variable Type on Sheet 1 row ",515,"."),_xlfn.CONCAT("char ",TRIM($B515),"[doc_vartype] ",CHAR(96),CHAR(34),SUBSTITUTE(SUBSTITUTE(SUBSTITUTE(SUBSTITUTE(SUBSTITUTE(SUBSTITUTE(LOWER(TRIM($C515)),CHAR(13)," "),CHAR(10)," "),CHAR(9)," "),CHAR(92),_xlfn.CONCAT(CHAR(92),CHAR(92))),"$",_xlfn.CONCAT(CHAR(92),"$")),CHAR(96),_xlfn.CONCAT(CHAR(92),CHAR(96))),CHAR(34),CHAR(39))))</f>
        <v/>
      </c>
      <c r="N515" s="5" t="str">
        <f>IF(OR(TRIM($B515)="",$D515=""),"",IF(OR(ISNUMBER(SEARCH(_xlfn.CONCAT(CHAR(96),CHAR(34)),$D515)),ISNUMBER(SEARCH(_xlfn.CONCAT(CHAR(34),CHAR(39)),$D515))),_xlfn.CONCAT("* REVIEW REQUIRED: compound-quote delimiter in Item Number on Sheet 1 row ",515,"; edit the input before running."),_xlfn.CONCAT("char ",TRIM($B515),"[doc_itemnum] ",CHAR(96),CHAR(34),SUBSTITUTE(SUBSTITUTE(SUBSTITUTE(SUBSTITUTE(SUBSTITUTE(SUBSTITUTE($D515,CHAR(13)," "),CHAR(10)," "),CHAR(9)," "),CHAR(92),_xlfn.CONCAT(CHAR(92),CHAR(92))),"$",_xlfn.CONCAT(CHAR(92),"$")),CHAR(96),_xlfn.CONCAT(CHAR(92),CHAR(96))),CHAR(34),CHAR(39))))</f>
        <v/>
      </c>
      <c r="O515" s="5" t="str">
        <f>IF(OR(TRIM($B515)="",$E515=""),"",IF(OR(ISNUMBER(SEARCH(_xlfn.CONCAT(CHAR(96),CHAR(34)),$E515)),ISNUMBER(SEARCH(_xlfn.CONCAT(CHAR(34),CHAR(39)),$E515))),_xlfn.CONCAT("* REVIEW REQUIRED: compound-quote delimiter in Question Wording on Sheet 1 row ",515,"; edit the input before running."),_xlfn.CONCAT("char ",TRIM($B515),"[doc_question] ",CHAR(96),CHAR(34),SUBSTITUTE(SUBSTITUTE(SUBSTITUTE(SUBSTITUTE(SUBSTITUTE(SUBSTITUTE($E515,CHAR(13)," "),CHAR(10)," "),CHAR(9)," "),CHAR(92),_xlfn.CONCAT(CHAR(92),CHAR(92))),"$",_xlfn.CONCAT(CHAR(92),"$")),CHAR(96),_xlfn.CONCAT(CHAR(92),CHAR(96))),CHAR(34),CHAR(39))))</f>
        <v/>
      </c>
      <c r="P515" s="5" t="str">
        <f>IF(OR(TRIM($B515)="",$F515=""),"",IF(OR(ISNUMBER(SEARCH(_xlfn.CONCAT(CHAR(96),CHAR(34)),$F515)),ISNUMBER(SEARCH(_xlfn.CONCAT(CHAR(34),CHAR(39)),$F515))),_xlfn.CONCAT("* REVIEW REQUIRED: compound-quote delimiter in Units on Sheet 1 row ",515,"; edit the input before running."),_xlfn.CONCAT("char ",TRIM($B515),"[doc_units] ",CHAR(96),CHAR(34),SUBSTITUTE(SUBSTITUTE(SUBSTITUTE(SUBSTITUTE(SUBSTITUTE(SUBSTITUTE($F515,CHAR(13)," "),CHAR(10)," "),CHAR(9)," "),CHAR(92),_xlfn.CONCAT(CHAR(92),CHAR(92))),"$",_xlfn.CONCAT(CHAR(92),"$")),CHAR(96),_xlfn.CONCAT(CHAR(92),CHAR(96))),CHAR(34),CHAR(39))))</f>
        <v/>
      </c>
      <c r="Q515" s="5" t="str">
        <f>IF(OR(TRIM($B515)="",$G515=""),"",IF(OR(ISNUMBER(SEARCH(_xlfn.CONCAT(CHAR(96),CHAR(34)),$G515)),ISNUMBER(SEARCH(_xlfn.CONCAT(CHAR(34),CHAR(39)),$G515))),_xlfn.CONCAT("* REVIEW REQUIRED: compound-quote delimiter in Universe on Sheet 1 row ",515,"; edit the input before running."),_xlfn.CONCAT("char ",TRIM($B515),"[doc_universe] ",CHAR(96),CHAR(34),SUBSTITUTE(SUBSTITUTE(SUBSTITUTE(SUBSTITUTE(SUBSTITUTE(SUBSTITUTE($G515,CHAR(13)," "),CHAR(10)," "),CHAR(9)," "),CHAR(92),_xlfn.CONCAT(CHAR(92),CHAR(92))),"$",_xlfn.CONCAT(CHAR(92),"$")),CHAR(96),_xlfn.CONCAT(CHAR(92),CHAR(96))),CHAR(34),CHAR(39))))</f>
        <v/>
      </c>
      <c r="R515" s="5" t="str">
        <f>IF(OR(TRIM($B515)="",$H515=""),"",IF(OR(ISNUMBER(SEARCH(_xlfn.CONCAT(CHAR(96),CHAR(34)),$H515)),ISNUMBER(SEARCH(_xlfn.CONCAT(CHAR(34),CHAR(39)),$H515))),_xlfn.CONCAT("* REVIEW REQUIRED: compound-quote delimiter in Source on Sheet 1 row ",515,"; edit the input before running."),_xlfn.CONCAT("char ",TRIM($B515),"[doc_source] ",CHAR(96),CHAR(34),SUBSTITUTE(SUBSTITUTE(SUBSTITUTE(SUBSTITUTE(SUBSTITUTE(SUBSTITUTE($H515,CHAR(13)," "),CHAR(10)," "),CHAR(9)," "),CHAR(92),_xlfn.CONCAT(CHAR(92),CHAR(92))),"$",_xlfn.CONCAT(CHAR(92),"$")),CHAR(96),_xlfn.CONCAT(CHAR(92),CHAR(96))),CHAR(34),CHAR(39))))</f>
        <v/>
      </c>
      <c r="S515" s="5" t="str">
        <f>IF(OR(TRIM($B515)="",$I515=""),"",IF(OR(ISNUMBER(SEARCH(_xlfn.CONCAT(CHAR(96),CHAR(34)),$I515)),ISNUMBER(SEARCH(_xlfn.CONCAT(CHAR(34),CHAR(39)),$I515))),_xlfn.CONCAT("* REVIEW REQUIRED: compound-quote delimiter in Derivation on Sheet 1 row ",515,"; edit the input before running."),_xlfn.CONCAT("char ",TRIM($B515),"[doc_derivation] ",CHAR(96),CHAR(34),SUBSTITUTE(SUBSTITUTE(SUBSTITUTE(SUBSTITUTE(SUBSTITUTE(SUBSTITUTE($I515,CHAR(13)," "),CHAR(10)," "),CHAR(9)," "),CHAR(92),_xlfn.CONCAT(CHAR(92),CHAR(92))),"$",_xlfn.CONCAT(CHAR(92),"$")),CHAR(96),_xlfn.CONCAT(CHAR(92),CHAR(96))),CHAR(34),CHAR(39))))</f>
        <v/>
      </c>
      <c r="T515" s="5" t="str">
        <f>IF(OR(TRIM($B515)="",$J515=""),"",IF(OR(ISNUMBER(SEARCH(_xlfn.CONCAT(CHAR(96),CHAR(34)),$J515)),ISNUMBER(SEARCH(_xlfn.CONCAT(CHAR(34),CHAR(39)),$J515))),_xlfn.CONCAT("* REVIEW REQUIRED: compound-quote delimiter in Notes on Sheet 1 row ",515,"; edit the input before running."),_xlfn.CONCAT("char ",TRIM($B515),"[doc_notes] ",CHAR(96),CHAR(34),SUBSTITUTE(SUBSTITUTE(SUBSTITUTE(SUBSTITUTE(SUBSTITUTE(SUBSTITUTE($J515,CHAR(13)," "),CHAR(10)," "),CHAR(9)," "),CHAR(92),_xlfn.CONCAT(CHAR(92),CHAR(92))),"$",_xlfn.CONCAT(CHAR(92),"$")),CHAR(96),_xlfn.CONCAT(CHAR(92),CHAR(96))),CHAR(34),CHAR(39))))</f>
        <v/>
      </c>
      <c r="U515" s="5">
        <f t="shared" si="15"/>
        <v>0</v>
      </c>
    </row>
    <row r="516" spans="3:21" ht="30" customHeight="1" x14ac:dyDescent="0.2">
      <c r="C516" s="4"/>
      <c r="K516" s="5">
        <f t="shared" si="14"/>
        <v>0</v>
      </c>
      <c r="L516" s="5" t="str">
        <f>IF(OR(TRIM($B516)="",$A516=""),"",IF(OR(ISNUMBER(SEARCH(_xlfn.CONCAT(CHAR(96),CHAR(34)),$A516)),ISNUMBER(SEARCH(_xlfn.CONCAT(CHAR(34),CHAR(39)),$A516))),_xlfn.CONCAT("* REVIEW REQUIRED: compound-quote delimiter in Codebook Section on Sheet 1 row ",516,"; edit the input before running."),_xlfn.CONCAT("char ",TRIM($B516),"[doc_section] ",CHAR(96),CHAR(34),SUBSTITUTE(SUBSTITUTE(SUBSTITUTE(SUBSTITUTE(SUBSTITUTE(SUBSTITUTE($A516,CHAR(13)," "),CHAR(10)," "),CHAR(9)," "),CHAR(92),_xlfn.CONCAT(CHAR(92),CHAR(92))),"$",_xlfn.CONCAT(CHAR(92),"$")),CHAR(96),_xlfn.CONCAT(CHAR(92),CHAR(96))),CHAR(34),CHAR(39))))</f>
        <v/>
      </c>
      <c r="M516" s="5" t="str">
        <f>IF(OR(TRIM($B516)="",$C516=""),"",IF(IFERROR(MATCH(TRIM($C516),{"Quantitative","Continuous","Discrete","Categorical","Nominal","Ordinal","Identifier"},0),0)=0,_xlfn.CONCAT("* REVIEW REQUIRED: invalid Variable Type on Sheet 1 row ",516,"."),_xlfn.CONCAT("char ",TRIM($B516),"[doc_vartype] ",CHAR(96),CHAR(34),SUBSTITUTE(SUBSTITUTE(SUBSTITUTE(SUBSTITUTE(SUBSTITUTE(SUBSTITUTE(LOWER(TRIM($C516)),CHAR(13)," "),CHAR(10)," "),CHAR(9)," "),CHAR(92),_xlfn.CONCAT(CHAR(92),CHAR(92))),"$",_xlfn.CONCAT(CHAR(92),"$")),CHAR(96),_xlfn.CONCAT(CHAR(92),CHAR(96))),CHAR(34),CHAR(39))))</f>
        <v/>
      </c>
      <c r="N516" s="5" t="str">
        <f>IF(OR(TRIM($B516)="",$D516=""),"",IF(OR(ISNUMBER(SEARCH(_xlfn.CONCAT(CHAR(96),CHAR(34)),$D516)),ISNUMBER(SEARCH(_xlfn.CONCAT(CHAR(34),CHAR(39)),$D516))),_xlfn.CONCAT("* REVIEW REQUIRED: compound-quote delimiter in Item Number on Sheet 1 row ",516,"; edit the input before running."),_xlfn.CONCAT("char ",TRIM($B516),"[doc_itemnum] ",CHAR(96),CHAR(34),SUBSTITUTE(SUBSTITUTE(SUBSTITUTE(SUBSTITUTE(SUBSTITUTE(SUBSTITUTE($D516,CHAR(13)," "),CHAR(10)," "),CHAR(9)," "),CHAR(92),_xlfn.CONCAT(CHAR(92),CHAR(92))),"$",_xlfn.CONCAT(CHAR(92),"$")),CHAR(96),_xlfn.CONCAT(CHAR(92),CHAR(96))),CHAR(34),CHAR(39))))</f>
        <v/>
      </c>
      <c r="O516" s="5" t="str">
        <f>IF(OR(TRIM($B516)="",$E516=""),"",IF(OR(ISNUMBER(SEARCH(_xlfn.CONCAT(CHAR(96),CHAR(34)),$E516)),ISNUMBER(SEARCH(_xlfn.CONCAT(CHAR(34),CHAR(39)),$E516))),_xlfn.CONCAT("* REVIEW REQUIRED: compound-quote delimiter in Question Wording on Sheet 1 row ",516,"; edit the input before running."),_xlfn.CONCAT("char ",TRIM($B516),"[doc_question] ",CHAR(96),CHAR(34),SUBSTITUTE(SUBSTITUTE(SUBSTITUTE(SUBSTITUTE(SUBSTITUTE(SUBSTITUTE($E516,CHAR(13)," "),CHAR(10)," "),CHAR(9)," "),CHAR(92),_xlfn.CONCAT(CHAR(92),CHAR(92))),"$",_xlfn.CONCAT(CHAR(92),"$")),CHAR(96),_xlfn.CONCAT(CHAR(92),CHAR(96))),CHAR(34),CHAR(39))))</f>
        <v/>
      </c>
      <c r="P516" s="5" t="str">
        <f>IF(OR(TRIM($B516)="",$F516=""),"",IF(OR(ISNUMBER(SEARCH(_xlfn.CONCAT(CHAR(96),CHAR(34)),$F516)),ISNUMBER(SEARCH(_xlfn.CONCAT(CHAR(34),CHAR(39)),$F516))),_xlfn.CONCAT("* REVIEW REQUIRED: compound-quote delimiter in Units on Sheet 1 row ",516,"; edit the input before running."),_xlfn.CONCAT("char ",TRIM($B516),"[doc_units] ",CHAR(96),CHAR(34),SUBSTITUTE(SUBSTITUTE(SUBSTITUTE(SUBSTITUTE(SUBSTITUTE(SUBSTITUTE($F516,CHAR(13)," "),CHAR(10)," "),CHAR(9)," "),CHAR(92),_xlfn.CONCAT(CHAR(92),CHAR(92))),"$",_xlfn.CONCAT(CHAR(92),"$")),CHAR(96),_xlfn.CONCAT(CHAR(92),CHAR(96))),CHAR(34),CHAR(39))))</f>
        <v/>
      </c>
      <c r="Q516" s="5" t="str">
        <f>IF(OR(TRIM($B516)="",$G516=""),"",IF(OR(ISNUMBER(SEARCH(_xlfn.CONCAT(CHAR(96),CHAR(34)),$G516)),ISNUMBER(SEARCH(_xlfn.CONCAT(CHAR(34),CHAR(39)),$G516))),_xlfn.CONCAT("* REVIEW REQUIRED: compound-quote delimiter in Universe on Sheet 1 row ",516,"; edit the input before running."),_xlfn.CONCAT("char ",TRIM($B516),"[doc_universe] ",CHAR(96),CHAR(34),SUBSTITUTE(SUBSTITUTE(SUBSTITUTE(SUBSTITUTE(SUBSTITUTE(SUBSTITUTE($G516,CHAR(13)," "),CHAR(10)," "),CHAR(9)," "),CHAR(92),_xlfn.CONCAT(CHAR(92),CHAR(92))),"$",_xlfn.CONCAT(CHAR(92),"$")),CHAR(96),_xlfn.CONCAT(CHAR(92),CHAR(96))),CHAR(34),CHAR(39))))</f>
        <v/>
      </c>
      <c r="R516" s="5" t="str">
        <f>IF(OR(TRIM($B516)="",$H516=""),"",IF(OR(ISNUMBER(SEARCH(_xlfn.CONCAT(CHAR(96),CHAR(34)),$H516)),ISNUMBER(SEARCH(_xlfn.CONCAT(CHAR(34),CHAR(39)),$H516))),_xlfn.CONCAT("* REVIEW REQUIRED: compound-quote delimiter in Source on Sheet 1 row ",516,"; edit the input before running."),_xlfn.CONCAT("char ",TRIM($B516),"[doc_source] ",CHAR(96),CHAR(34),SUBSTITUTE(SUBSTITUTE(SUBSTITUTE(SUBSTITUTE(SUBSTITUTE(SUBSTITUTE($H516,CHAR(13)," "),CHAR(10)," "),CHAR(9)," "),CHAR(92),_xlfn.CONCAT(CHAR(92),CHAR(92))),"$",_xlfn.CONCAT(CHAR(92),"$")),CHAR(96),_xlfn.CONCAT(CHAR(92),CHAR(96))),CHAR(34),CHAR(39))))</f>
        <v/>
      </c>
      <c r="S516" s="5" t="str">
        <f>IF(OR(TRIM($B516)="",$I516=""),"",IF(OR(ISNUMBER(SEARCH(_xlfn.CONCAT(CHAR(96),CHAR(34)),$I516)),ISNUMBER(SEARCH(_xlfn.CONCAT(CHAR(34),CHAR(39)),$I516))),_xlfn.CONCAT("* REVIEW REQUIRED: compound-quote delimiter in Derivation on Sheet 1 row ",516,"; edit the input before running."),_xlfn.CONCAT("char ",TRIM($B516),"[doc_derivation] ",CHAR(96),CHAR(34),SUBSTITUTE(SUBSTITUTE(SUBSTITUTE(SUBSTITUTE(SUBSTITUTE(SUBSTITUTE($I516,CHAR(13)," "),CHAR(10)," "),CHAR(9)," "),CHAR(92),_xlfn.CONCAT(CHAR(92),CHAR(92))),"$",_xlfn.CONCAT(CHAR(92),"$")),CHAR(96),_xlfn.CONCAT(CHAR(92),CHAR(96))),CHAR(34),CHAR(39))))</f>
        <v/>
      </c>
      <c r="T516" s="5" t="str">
        <f>IF(OR(TRIM($B516)="",$J516=""),"",IF(OR(ISNUMBER(SEARCH(_xlfn.CONCAT(CHAR(96),CHAR(34)),$J516)),ISNUMBER(SEARCH(_xlfn.CONCAT(CHAR(34),CHAR(39)),$J516))),_xlfn.CONCAT("* REVIEW REQUIRED: compound-quote delimiter in Notes on Sheet 1 row ",516,"; edit the input before running."),_xlfn.CONCAT("char ",TRIM($B516),"[doc_notes] ",CHAR(96),CHAR(34),SUBSTITUTE(SUBSTITUTE(SUBSTITUTE(SUBSTITUTE(SUBSTITUTE(SUBSTITUTE($J516,CHAR(13)," "),CHAR(10)," "),CHAR(9)," "),CHAR(92),_xlfn.CONCAT(CHAR(92),CHAR(92))),"$",_xlfn.CONCAT(CHAR(92),"$")),CHAR(96),_xlfn.CONCAT(CHAR(92),CHAR(96))),CHAR(34),CHAR(39))))</f>
        <v/>
      </c>
      <c r="U516" s="5">
        <f t="shared" si="15"/>
        <v>0</v>
      </c>
    </row>
    <row r="517" spans="3:21" ht="30" customHeight="1" x14ac:dyDescent="0.2">
      <c r="C517" s="4"/>
      <c r="K517" s="5">
        <f t="shared" si="14"/>
        <v>0</v>
      </c>
      <c r="L517" s="5" t="str">
        <f>IF(OR(TRIM($B517)="",$A517=""),"",IF(OR(ISNUMBER(SEARCH(_xlfn.CONCAT(CHAR(96),CHAR(34)),$A517)),ISNUMBER(SEARCH(_xlfn.CONCAT(CHAR(34),CHAR(39)),$A517))),_xlfn.CONCAT("* REVIEW REQUIRED: compound-quote delimiter in Codebook Section on Sheet 1 row ",517,"; edit the input before running."),_xlfn.CONCAT("char ",TRIM($B517),"[doc_section] ",CHAR(96),CHAR(34),SUBSTITUTE(SUBSTITUTE(SUBSTITUTE(SUBSTITUTE(SUBSTITUTE(SUBSTITUTE($A517,CHAR(13)," "),CHAR(10)," "),CHAR(9)," "),CHAR(92),_xlfn.CONCAT(CHAR(92),CHAR(92))),"$",_xlfn.CONCAT(CHAR(92),"$")),CHAR(96),_xlfn.CONCAT(CHAR(92),CHAR(96))),CHAR(34),CHAR(39))))</f>
        <v/>
      </c>
      <c r="M517" s="5" t="str">
        <f>IF(OR(TRIM($B517)="",$C517=""),"",IF(IFERROR(MATCH(TRIM($C517),{"Quantitative","Continuous","Discrete","Categorical","Nominal","Ordinal","Identifier"},0),0)=0,_xlfn.CONCAT("* REVIEW REQUIRED: invalid Variable Type on Sheet 1 row ",517,"."),_xlfn.CONCAT("char ",TRIM($B517),"[doc_vartype] ",CHAR(96),CHAR(34),SUBSTITUTE(SUBSTITUTE(SUBSTITUTE(SUBSTITUTE(SUBSTITUTE(SUBSTITUTE(LOWER(TRIM($C517)),CHAR(13)," "),CHAR(10)," "),CHAR(9)," "),CHAR(92),_xlfn.CONCAT(CHAR(92),CHAR(92))),"$",_xlfn.CONCAT(CHAR(92),"$")),CHAR(96),_xlfn.CONCAT(CHAR(92),CHAR(96))),CHAR(34),CHAR(39))))</f>
        <v/>
      </c>
      <c r="N517" s="5" t="str">
        <f>IF(OR(TRIM($B517)="",$D517=""),"",IF(OR(ISNUMBER(SEARCH(_xlfn.CONCAT(CHAR(96),CHAR(34)),$D517)),ISNUMBER(SEARCH(_xlfn.CONCAT(CHAR(34),CHAR(39)),$D517))),_xlfn.CONCAT("* REVIEW REQUIRED: compound-quote delimiter in Item Number on Sheet 1 row ",517,"; edit the input before running."),_xlfn.CONCAT("char ",TRIM($B517),"[doc_itemnum] ",CHAR(96),CHAR(34),SUBSTITUTE(SUBSTITUTE(SUBSTITUTE(SUBSTITUTE(SUBSTITUTE(SUBSTITUTE($D517,CHAR(13)," "),CHAR(10)," "),CHAR(9)," "),CHAR(92),_xlfn.CONCAT(CHAR(92),CHAR(92))),"$",_xlfn.CONCAT(CHAR(92),"$")),CHAR(96),_xlfn.CONCAT(CHAR(92),CHAR(96))),CHAR(34),CHAR(39))))</f>
        <v/>
      </c>
      <c r="O517" s="5" t="str">
        <f>IF(OR(TRIM($B517)="",$E517=""),"",IF(OR(ISNUMBER(SEARCH(_xlfn.CONCAT(CHAR(96),CHAR(34)),$E517)),ISNUMBER(SEARCH(_xlfn.CONCAT(CHAR(34),CHAR(39)),$E517))),_xlfn.CONCAT("* REVIEW REQUIRED: compound-quote delimiter in Question Wording on Sheet 1 row ",517,"; edit the input before running."),_xlfn.CONCAT("char ",TRIM($B517),"[doc_question] ",CHAR(96),CHAR(34),SUBSTITUTE(SUBSTITUTE(SUBSTITUTE(SUBSTITUTE(SUBSTITUTE(SUBSTITUTE($E517,CHAR(13)," "),CHAR(10)," "),CHAR(9)," "),CHAR(92),_xlfn.CONCAT(CHAR(92),CHAR(92))),"$",_xlfn.CONCAT(CHAR(92),"$")),CHAR(96),_xlfn.CONCAT(CHAR(92),CHAR(96))),CHAR(34),CHAR(39))))</f>
        <v/>
      </c>
      <c r="P517" s="5" t="str">
        <f>IF(OR(TRIM($B517)="",$F517=""),"",IF(OR(ISNUMBER(SEARCH(_xlfn.CONCAT(CHAR(96),CHAR(34)),$F517)),ISNUMBER(SEARCH(_xlfn.CONCAT(CHAR(34),CHAR(39)),$F517))),_xlfn.CONCAT("* REVIEW REQUIRED: compound-quote delimiter in Units on Sheet 1 row ",517,"; edit the input before running."),_xlfn.CONCAT("char ",TRIM($B517),"[doc_units] ",CHAR(96),CHAR(34),SUBSTITUTE(SUBSTITUTE(SUBSTITUTE(SUBSTITUTE(SUBSTITUTE(SUBSTITUTE($F517,CHAR(13)," "),CHAR(10)," "),CHAR(9)," "),CHAR(92),_xlfn.CONCAT(CHAR(92),CHAR(92))),"$",_xlfn.CONCAT(CHAR(92),"$")),CHAR(96),_xlfn.CONCAT(CHAR(92),CHAR(96))),CHAR(34),CHAR(39))))</f>
        <v/>
      </c>
      <c r="Q517" s="5" t="str">
        <f>IF(OR(TRIM($B517)="",$G517=""),"",IF(OR(ISNUMBER(SEARCH(_xlfn.CONCAT(CHAR(96),CHAR(34)),$G517)),ISNUMBER(SEARCH(_xlfn.CONCAT(CHAR(34),CHAR(39)),$G517))),_xlfn.CONCAT("* REVIEW REQUIRED: compound-quote delimiter in Universe on Sheet 1 row ",517,"; edit the input before running."),_xlfn.CONCAT("char ",TRIM($B517),"[doc_universe] ",CHAR(96),CHAR(34),SUBSTITUTE(SUBSTITUTE(SUBSTITUTE(SUBSTITUTE(SUBSTITUTE(SUBSTITUTE($G517,CHAR(13)," "),CHAR(10)," "),CHAR(9)," "),CHAR(92),_xlfn.CONCAT(CHAR(92),CHAR(92))),"$",_xlfn.CONCAT(CHAR(92),"$")),CHAR(96),_xlfn.CONCAT(CHAR(92),CHAR(96))),CHAR(34),CHAR(39))))</f>
        <v/>
      </c>
      <c r="R517" s="5" t="str">
        <f>IF(OR(TRIM($B517)="",$H517=""),"",IF(OR(ISNUMBER(SEARCH(_xlfn.CONCAT(CHAR(96),CHAR(34)),$H517)),ISNUMBER(SEARCH(_xlfn.CONCAT(CHAR(34),CHAR(39)),$H517))),_xlfn.CONCAT("* REVIEW REQUIRED: compound-quote delimiter in Source on Sheet 1 row ",517,"; edit the input before running."),_xlfn.CONCAT("char ",TRIM($B517),"[doc_source] ",CHAR(96),CHAR(34),SUBSTITUTE(SUBSTITUTE(SUBSTITUTE(SUBSTITUTE(SUBSTITUTE(SUBSTITUTE($H517,CHAR(13)," "),CHAR(10)," "),CHAR(9)," "),CHAR(92),_xlfn.CONCAT(CHAR(92),CHAR(92))),"$",_xlfn.CONCAT(CHAR(92),"$")),CHAR(96),_xlfn.CONCAT(CHAR(92),CHAR(96))),CHAR(34),CHAR(39))))</f>
        <v/>
      </c>
      <c r="S517" s="5" t="str">
        <f>IF(OR(TRIM($B517)="",$I517=""),"",IF(OR(ISNUMBER(SEARCH(_xlfn.CONCAT(CHAR(96),CHAR(34)),$I517)),ISNUMBER(SEARCH(_xlfn.CONCAT(CHAR(34),CHAR(39)),$I517))),_xlfn.CONCAT("* REVIEW REQUIRED: compound-quote delimiter in Derivation on Sheet 1 row ",517,"; edit the input before running."),_xlfn.CONCAT("char ",TRIM($B517),"[doc_derivation] ",CHAR(96),CHAR(34),SUBSTITUTE(SUBSTITUTE(SUBSTITUTE(SUBSTITUTE(SUBSTITUTE(SUBSTITUTE($I517,CHAR(13)," "),CHAR(10)," "),CHAR(9)," "),CHAR(92),_xlfn.CONCAT(CHAR(92),CHAR(92))),"$",_xlfn.CONCAT(CHAR(92),"$")),CHAR(96),_xlfn.CONCAT(CHAR(92),CHAR(96))),CHAR(34),CHAR(39))))</f>
        <v/>
      </c>
      <c r="T517" s="5" t="str">
        <f>IF(OR(TRIM($B517)="",$J517=""),"",IF(OR(ISNUMBER(SEARCH(_xlfn.CONCAT(CHAR(96),CHAR(34)),$J517)),ISNUMBER(SEARCH(_xlfn.CONCAT(CHAR(34),CHAR(39)),$J517))),_xlfn.CONCAT("* REVIEW REQUIRED: compound-quote delimiter in Notes on Sheet 1 row ",517,"; edit the input before running."),_xlfn.CONCAT("char ",TRIM($B517),"[doc_notes] ",CHAR(96),CHAR(34),SUBSTITUTE(SUBSTITUTE(SUBSTITUTE(SUBSTITUTE(SUBSTITUTE(SUBSTITUTE($J517,CHAR(13)," "),CHAR(10)," "),CHAR(9)," "),CHAR(92),_xlfn.CONCAT(CHAR(92),CHAR(92))),"$",_xlfn.CONCAT(CHAR(92),"$")),CHAR(96),_xlfn.CONCAT(CHAR(92),CHAR(96))),CHAR(34),CHAR(39))))</f>
        <v/>
      </c>
      <c r="U517" s="5">
        <f t="shared" si="15"/>
        <v>0</v>
      </c>
    </row>
    <row r="518" spans="3:21" ht="30" customHeight="1" x14ac:dyDescent="0.2">
      <c r="C518" s="4"/>
      <c r="K518" s="5">
        <f t="shared" si="14"/>
        <v>0</v>
      </c>
      <c r="L518" s="5" t="str">
        <f>IF(OR(TRIM($B518)="",$A518=""),"",IF(OR(ISNUMBER(SEARCH(_xlfn.CONCAT(CHAR(96),CHAR(34)),$A518)),ISNUMBER(SEARCH(_xlfn.CONCAT(CHAR(34),CHAR(39)),$A518))),_xlfn.CONCAT("* REVIEW REQUIRED: compound-quote delimiter in Codebook Section on Sheet 1 row ",518,"; edit the input before running."),_xlfn.CONCAT("char ",TRIM($B518),"[doc_section] ",CHAR(96),CHAR(34),SUBSTITUTE(SUBSTITUTE(SUBSTITUTE(SUBSTITUTE(SUBSTITUTE(SUBSTITUTE($A518,CHAR(13)," "),CHAR(10)," "),CHAR(9)," "),CHAR(92),_xlfn.CONCAT(CHAR(92),CHAR(92))),"$",_xlfn.CONCAT(CHAR(92),"$")),CHAR(96),_xlfn.CONCAT(CHAR(92),CHAR(96))),CHAR(34),CHAR(39))))</f>
        <v/>
      </c>
      <c r="M518" s="5" t="str">
        <f>IF(OR(TRIM($B518)="",$C518=""),"",IF(IFERROR(MATCH(TRIM($C518),{"Quantitative","Continuous","Discrete","Categorical","Nominal","Ordinal","Identifier"},0),0)=0,_xlfn.CONCAT("* REVIEW REQUIRED: invalid Variable Type on Sheet 1 row ",518,"."),_xlfn.CONCAT("char ",TRIM($B518),"[doc_vartype] ",CHAR(96),CHAR(34),SUBSTITUTE(SUBSTITUTE(SUBSTITUTE(SUBSTITUTE(SUBSTITUTE(SUBSTITUTE(LOWER(TRIM($C518)),CHAR(13)," "),CHAR(10)," "),CHAR(9)," "),CHAR(92),_xlfn.CONCAT(CHAR(92),CHAR(92))),"$",_xlfn.CONCAT(CHAR(92),"$")),CHAR(96),_xlfn.CONCAT(CHAR(92),CHAR(96))),CHAR(34),CHAR(39))))</f>
        <v/>
      </c>
      <c r="N518" s="5" t="str">
        <f>IF(OR(TRIM($B518)="",$D518=""),"",IF(OR(ISNUMBER(SEARCH(_xlfn.CONCAT(CHAR(96),CHAR(34)),$D518)),ISNUMBER(SEARCH(_xlfn.CONCAT(CHAR(34),CHAR(39)),$D518))),_xlfn.CONCAT("* REVIEW REQUIRED: compound-quote delimiter in Item Number on Sheet 1 row ",518,"; edit the input before running."),_xlfn.CONCAT("char ",TRIM($B518),"[doc_itemnum] ",CHAR(96),CHAR(34),SUBSTITUTE(SUBSTITUTE(SUBSTITUTE(SUBSTITUTE(SUBSTITUTE(SUBSTITUTE($D518,CHAR(13)," "),CHAR(10)," "),CHAR(9)," "),CHAR(92),_xlfn.CONCAT(CHAR(92),CHAR(92))),"$",_xlfn.CONCAT(CHAR(92),"$")),CHAR(96),_xlfn.CONCAT(CHAR(92),CHAR(96))),CHAR(34),CHAR(39))))</f>
        <v/>
      </c>
      <c r="O518" s="5" t="str">
        <f>IF(OR(TRIM($B518)="",$E518=""),"",IF(OR(ISNUMBER(SEARCH(_xlfn.CONCAT(CHAR(96),CHAR(34)),$E518)),ISNUMBER(SEARCH(_xlfn.CONCAT(CHAR(34),CHAR(39)),$E518))),_xlfn.CONCAT("* REVIEW REQUIRED: compound-quote delimiter in Question Wording on Sheet 1 row ",518,"; edit the input before running."),_xlfn.CONCAT("char ",TRIM($B518),"[doc_question] ",CHAR(96),CHAR(34),SUBSTITUTE(SUBSTITUTE(SUBSTITUTE(SUBSTITUTE(SUBSTITUTE(SUBSTITUTE($E518,CHAR(13)," "),CHAR(10)," "),CHAR(9)," "),CHAR(92),_xlfn.CONCAT(CHAR(92),CHAR(92))),"$",_xlfn.CONCAT(CHAR(92),"$")),CHAR(96),_xlfn.CONCAT(CHAR(92),CHAR(96))),CHAR(34),CHAR(39))))</f>
        <v/>
      </c>
      <c r="P518" s="5" t="str">
        <f>IF(OR(TRIM($B518)="",$F518=""),"",IF(OR(ISNUMBER(SEARCH(_xlfn.CONCAT(CHAR(96),CHAR(34)),$F518)),ISNUMBER(SEARCH(_xlfn.CONCAT(CHAR(34),CHAR(39)),$F518))),_xlfn.CONCAT("* REVIEW REQUIRED: compound-quote delimiter in Units on Sheet 1 row ",518,"; edit the input before running."),_xlfn.CONCAT("char ",TRIM($B518),"[doc_units] ",CHAR(96),CHAR(34),SUBSTITUTE(SUBSTITUTE(SUBSTITUTE(SUBSTITUTE(SUBSTITUTE(SUBSTITUTE($F518,CHAR(13)," "),CHAR(10)," "),CHAR(9)," "),CHAR(92),_xlfn.CONCAT(CHAR(92),CHAR(92))),"$",_xlfn.CONCAT(CHAR(92),"$")),CHAR(96),_xlfn.CONCAT(CHAR(92),CHAR(96))),CHAR(34),CHAR(39))))</f>
        <v/>
      </c>
      <c r="Q518" s="5" t="str">
        <f>IF(OR(TRIM($B518)="",$G518=""),"",IF(OR(ISNUMBER(SEARCH(_xlfn.CONCAT(CHAR(96),CHAR(34)),$G518)),ISNUMBER(SEARCH(_xlfn.CONCAT(CHAR(34),CHAR(39)),$G518))),_xlfn.CONCAT("* REVIEW REQUIRED: compound-quote delimiter in Universe on Sheet 1 row ",518,"; edit the input before running."),_xlfn.CONCAT("char ",TRIM($B518),"[doc_universe] ",CHAR(96),CHAR(34),SUBSTITUTE(SUBSTITUTE(SUBSTITUTE(SUBSTITUTE(SUBSTITUTE(SUBSTITUTE($G518,CHAR(13)," "),CHAR(10)," "),CHAR(9)," "),CHAR(92),_xlfn.CONCAT(CHAR(92),CHAR(92))),"$",_xlfn.CONCAT(CHAR(92),"$")),CHAR(96),_xlfn.CONCAT(CHAR(92),CHAR(96))),CHAR(34),CHAR(39))))</f>
        <v/>
      </c>
      <c r="R518" s="5" t="str">
        <f>IF(OR(TRIM($B518)="",$H518=""),"",IF(OR(ISNUMBER(SEARCH(_xlfn.CONCAT(CHAR(96),CHAR(34)),$H518)),ISNUMBER(SEARCH(_xlfn.CONCAT(CHAR(34),CHAR(39)),$H518))),_xlfn.CONCAT("* REVIEW REQUIRED: compound-quote delimiter in Source on Sheet 1 row ",518,"; edit the input before running."),_xlfn.CONCAT("char ",TRIM($B518),"[doc_source] ",CHAR(96),CHAR(34),SUBSTITUTE(SUBSTITUTE(SUBSTITUTE(SUBSTITUTE(SUBSTITUTE(SUBSTITUTE($H518,CHAR(13)," "),CHAR(10)," "),CHAR(9)," "),CHAR(92),_xlfn.CONCAT(CHAR(92),CHAR(92))),"$",_xlfn.CONCAT(CHAR(92),"$")),CHAR(96),_xlfn.CONCAT(CHAR(92),CHAR(96))),CHAR(34),CHAR(39))))</f>
        <v/>
      </c>
      <c r="S518" s="5" t="str">
        <f>IF(OR(TRIM($B518)="",$I518=""),"",IF(OR(ISNUMBER(SEARCH(_xlfn.CONCAT(CHAR(96),CHAR(34)),$I518)),ISNUMBER(SEARCH(_xlfn.CONCAT(CHAR(34),CHAR(39)),$I518))),_xlfn.CONCAT("* REVIEW REQUIRED: compound-quote delimiter in Derivation on Sheet 1 row ",518,"; edit the input before running."),_xlfn.CONCAT("char ",TRIM($B518),"[doc_derivation] ",CHAR(96),CHAR(34),SUBSTITUTE(SUBSTITUTE(SUBSTITUTE(SUBSTITUTE(SUBSTITUTE(SUBSTITUTE($I518,CHAR(13)," "),CHAR(10)," "),CHAR(9)," "),CHAR(92),_xlfn.CONCAT(CHAR(92),CHAR(92))),"$",_xlfn.CONCAT(CHAR(92),"$")),CHAR(96),_xlfn.CONCAT(CHAR(92),CHAR(96))),CHAR(34),CHAR(39))))</f>
        <v/>
      </c>
      <c r="T518" s="5" t="str">
        <f>IF(OR(TRIM($B518)="",$J518=""),"",IF(OR(ISNUMBER(SEARCH(_xlfn.CONCAT(CHAR(96),CHAR(34)),$J518)),ISNUMBER(SEARCH(_xlfn.CONCAT(CHAR(34),CHAR(39)),$J518))),_xlfn.CONCAT("* REVIEW REQUIRED: compound-quote delimiter in Notes on Sheet 1 row ",518,"; edit the input before running."),_xlfn.CONCAT("char ",TRIM($B518),"[doc_notes] ",CHAR(96),CHAR(34),SUBSTITUTE(SUBSTITUTE(SUBSTITUTE(SUBSTITUTE(SUBSTITUTE(SUBSTITUTE($J518,CHAR(13)," "),CHAR(10)," "),CHAR(9)," "),CHAR(92),_xlfn.CONCAT(CHAR(92),CHAR(92))),"$",_xlfn.CONCAT(CHAR(92),"$")),CHAR(96),_xlfn.CONCAT(CHAR(92),CHAR(96))),CHAR(34),CHAR(39))))</f>
        <v/>
      </c>
      <c r="U518" s="5">
        <f t="shared" si="15"/>
        <v>0</v>
      </c>
    </row>
    <row r="519" spans="3:21" ht="30" customHeight="1" x14ac:dyDescent="0.2">
      <c r="C519" s="4"/>
      <c r="K519" s="5">
        <f t="shared" si="14"/>
        <v>0</v>
      </c>
      <c r="L519" s="5" t="str">
        <f>IF(OR(TRIM($B519)="",$A519=""),"",IF(OR(ISNUMBER(SEARCH(_xlfn.CONCAT(CHAR(96),CHAR(34)),$A519)),ISNUMBER(SEARCH(_xlfn.CONCAT(CHAR(34),CHAR(39)),$A519))),_xlfn.CONCAT("* REVIEW REQUIRED: compound-quote delimiter in Codebook Section on Sheet 1 row ",519,"; edit the input before running."),_xlfn.CONCAT("char ",TRIM($B519),"[doc_section] ",CHAR(96),CHAR(34),SUBSTITUTE(SUBSTITUTE(SUBSTITUTE(SUBSTITUTE(SUBSTITUTE(SUBSTITUTE($A519,CHAR(13)," "),CHAR(10)," "),CHAR(9)," "),CHAR(92),_xlfn.CONCAT(CHAR(92),CHAR(92))),"$",_xlfn.CONCAT(CHAR(92),"$")),CHAR(96),_xlfn.CONCAT(CHAR(92),CHAR(96))),CHAR(34),CHAR(39))))</f>
        <v/>
      </c>
      <c r="M519" s="5" t="str">
        <f>IF(OR(TRIM($B519)="",$C519=""),"",IF(IFERROR(MATCH(TRIM($C519),{"Quantitative","Continuous","Discrete","Categorical","Nominal","Ordinal","Identifier"},0),0)=0,_xlfn.CONCAT("* REVIEW REQUIRED: invalid Variable Type on Sheet 1 row ",519,"."),_xlfn.CONCAT("char ",TRIM($B519),"[doc_vartype] ",CHAR(96),CHAR(34),SUBSTITUTE(SUBSTITUTE(SUBSTITUTE(SUBSTITUTE(SUBSTITUTE(SUBSTITUTE(LOWER(TRIM($C519)),CHAR(13)," "),CHAR(10)," "),CHAR(9)," "),CHAR(92),_xlfn.CONCAT(CHAR(92),CHAR(92))),"$",_xlfn.CONCAT(CHAR(92),"$")),CHAR(96),_xlfn.CONCAT(CHAR(92),CHAR(96))),CHAR(34),CHAR(39))))</f>
        <v/>
      </c>
      <c r="N519" s="5" t="str">
        <f>IF(OR(TRIM($B519)="",$D519=""),"",IF(OR(ISNUMBER(SEARCH(_xlfn.CONCAT(CHAR(96),CHAR(34)),$D519)),ISNUMBER(SEARCH(_xlfn.CONCAT(CHAR(34),CHAR(39)),$D519))),_xlfn.CONCAT("* REVIEW REQUIRED: compound-quote delimiter in Item Number on Sheet 1 row ",519,"; edit the input before running."),_xlfn.CONCAT("char ",TRIM($B519),"[doc_itemnum] ",CHAR(96),CHAR(34),SUBSTITUTE(SUBSTITUTE(SUBSTITUTE(SUBSTITUTE(SUBSTITUTE(SUBSTITUTE($D519,CHAR(13)," "),CHAR(10)," "),CHAR(9)," "),CHAR(92),_xlfn.CONCAT(CHAR(92),CHAR(92))),"$",_xlfn.CONCAT(CHAR(92),"$")),CHAR(96),_xlfn.CONCAT(CHAR(92),CHAR(96))),CHAR(34),CHAR(39))))</f>
        <v/>
      </c>
      <c r="O519" s="5" t="str">
        <f>IF(OR(TRIM($B519)="",$E519=""),"",IF(OR(ISNUMBER(SEARCH(_xlfn.CONCAT(CHAR(96),CHAR(34)),$E519)),ISNUMBER(SEARCH(_xlfn.CONCAT(CHAR(34),CHAR(39)),$E519))),_xlfn.CONCAT("* REVIEW REQUIRED: compound-quote delimiter in Question Wording on Sheet 1 row ",519,"; edit the input before running."),_xlfn.CONCAT("char ",TRIM($B519),"[doc_question] ",CHAR(96),CHAR(34),SUBSTITUTE(SUBSTITUTE(SUBSTITUTE(SUBSTITUTE(SUBSTITUTE(SUBSTITUTE($E519,CHAR(13)," "),CHAR(10)," "),CHAR(9)," "),CHAR(92),_xlfn.CONCAT(CHAR(92),CHAR(92))),"$",_xlfn.CONCAT(CHAR(92),"$")),CHAR(96),_xlfn.CONCAT(CHAR(92),CHAR(96))),CHAR(34),CHAR(39))))</f>
        <v/>
      </c>
      <c r="P519" s="5" t="str">
        <f>IF(OR(TRIM($B519)="",$F519=""),"",IF(OR(ISNUMBER(SEARCH(_xlfn.CONCAT(CHAR(96),CHAR(34)),$F519)),ISNUMBER(SEARCH(_xlfn.CONCAT(CHAR(34),CHAR(39)),$F519))),_xlfn.CONCAT("* REVIEW REQUIRED: compound-quote delimiter in Units on Sheet 1 row ",519,"; edit the input before running."),_xlfn.CONCAT("char ",TRIM($B519),"[doc_units] ",CHAR(96),CHAR(34),SUBSTITUTE(SUBSTITUTE(SUBSTITUTE(SUBSTITUTE(SUBSTITUTE(SUBSTITUTE($F519,CHAR(13)," "),CHAR(10)," "),CHAR(9)," "),CHAR(92),_xlfn.CONCAT(CHAR(92),CHAR(92))),"$",_xlfn.CONCAT(CHAR(92),"$")),CHAR(96),_xlfn.CONCAT(CHAR(92),CHAR(96))),CHAR(34),CHAR(39))))</f>
        <v/>
      </c>
      <c r="Q519" s="5" t="str">
        <f>IF(OR(TRIM($B519)="",$G519=""),"",IF(OR(ISNUMBER(SEARCH(_xlfn.CONCAT(CHAR(96),CHAR(34)),$G519)),ISNUMBER(SEARCH(_xlfn.CONCAT(CHAR(34),CHAR(39)),$G519))),_xlfn.CONCAT("* REVIEW REQUIRED: compound-quote delimiter in Universe on Sheet 1 row ",519,"; edit the input before running."),_xlfn.CONCAT("char ",TRIM($B519),"[doc_universe] ",CHAR(96),CHAR(34),SUBSTITUTE(SUBSTITUTE(SUBSTITUTE(SUBSTITUTE(SUBSTITUTE(SUBSTITUTE($G519,CHAR(13)," "),CHAR(10)," "),CHAR(9)," "),CHAR(92),_xlfn.CONCAT(CHAR(92),CHAR(92))),"$",_xlfn.CONCAT(CHAR(92),"$")),CHAR(96),_xlfn.CONCAT(CHAR(92),CHAR(96))),CHAR(34),CHAR(39))))</f>
        <v/>
      </c>
      <c r="R519" s="5" t="str">
        <f>IF(OR(TRIM($B519)="",$H519=""),"",IF(OR(ISNUMBER(SEARCH(_xlfn.CONCAT(CHAR(96),CHAR(34)),$H519)),ISNUMBER(SEARCH(_xlfn.CONCAT(CHAR(34),CHAR(39)),$H519))),_xlfn.CONCAT("* REVIEW REQUIRED: compound-quote delimiter in Source on Sheet 1 row ",519,"; edit the input before running."),_xlfn.CONCAT("char ",TRIM($B519),"[doc_source] ",CHAR(96),CHAR(34),SUBSTITUTE(SUBSTITUTE(SUBSTITUTE(SUBSTITUTE(SUBSTITUTE(SUBSTITUTE($H519,CHAR(13)," "),CHAR(10)," "),CHAR(9)," "),CHAR(92),_xlfn.CONCAT(CHAR(92),CHAR(92))),"$",_xlfn.CONCAT(CHAR(92),"$")),CHAR(96),_xlfn.CONCAT(CHAR(92),CHAR(96))),CHAR(34),CHAR(39))))</f>
        <v/>
      </c>
      <c r="S519" s="5" t="str">
        <f>IF(OR(TRIM($B519)="",$I519=""),"",IF(OR(ISNUMBER(SEARCH(_xlfn.CONCAT(CHAR(96),CHAR(34)),$I519)),ISNUMBER(SEARCH(_xlfn.CONCAT(CHAR(34),CHAR(39)),$I519))),_xlfn.CONCAT("* REVIEW REQUIRED: compound-quote delimiter in Derivation on Sheet 1 row ",519,"; edit the input before running."),_xlfn.CONCAT("char ",TRIM($B519),"[doc_derivation] ",CHAR(96),CHAR(34),SUBSTITUTE(SUBSTITUTE(SUBSTITUTE(SUBSTITUTE(SUBSTITUTE(SUBSTITUTE($I519,CHAR(13)," "),CHAR(10)," "),CHAR(9)," "),CHAR(92),_xlfn.CONCAT(CHAR(92),CHAR(92))),"$",_xlfn.CONCAT(CHAR(92),"$")),CHAR(96),_xlfn.CONCAT(CHAR(92),CHAR(96))),CHAR(34),CHAR(39))))</f>
        <v/>
      </c>
      <c r="T519" s="5" t="str">
        <f>IF(OR(TRIM($B519)="",$J519=""),"",IF(OR(ISNUMBER(SEARCH(_xlfn.CONCAT(CHAR(96),CHAR(34)),$J519)),ISNUMBER(SEARCH(_xlfn.CONCAT(CHAR(34),CHAR(39)),$J519))),_xlfn.CONCAT("* REVIEW REQUIRED: compound-quote delimiter in Notes on Sheet 1 row ",519,"; edit the input before running."),_xlfn.CONCAT("char ",TRIM($B519),"[doc_notes] ",CHAR(96),CHAR(34),SUBSTITUTE(SUBSTITUTE(SUBSTITUTE(SUBSTITUTE(SUBSTITUTE(SUBSTITUTE($J519,CHAR(13)," "),CHAR(10)," "),CHAR(9)," "),CHAR(92),_xlfn.CONCAT(CHAR(92),CHAR(92))),"$",_xlfn.CONCAT(CHAR(92),"$")),CHAR(96),_xlfn.CONCAT(CHAR(92),CHAR(96))),CHAR(34),CHAR(39))))</f>
        <v/>
      </c>
      <c r="U519" s="5">
        <f t="shared" si="15"/>
        <v>0</v>
      </c>
    </row>
    <row r="520" spans="3:21" ht="30" customHeight="1" x14ac:dyDescent="0.2">
      <c r="C520" s="4"/>
      <c r="K520" s="5">
        <f t="shared" si="14"/>
        <v>0</v>
      </c>
      <c r="L520" s="5" t="str">
        <f>IF(OR(TRIM($B520)="",$A520=""),"",IF(OR(ISNUMBER(SEARCH(_xlfn.CONCAT(CHAR(96),CHAR(34)),$A520)),ISNUMBER(SEARCH(_xlfn.CONCAT(CHAR(34),CHAR(39)),$A520))),_xlfn.CONCAT("* REVIEW REQUIRED: compound-quote delimiter in Codebook Section on Sheet 1 row ",520,"; edit the input before running."),_xlfn.CONCAT("char ",TRIM($B520),"[doc_section] ",CHAR(96),CHAR(34),SUBSTITUTE(SUBSTITUTE(SUBSTITUTE(SUBSTITUTE(SUBSTITUTE(SUBSTITUTE($A520,CHAR(13)," "),CHAR(10)," "),CHAR(9)," "),CHAR(92),_xlfn.CONCAT(CHAR(92),CHAR(92))),"$",_xlfn.CONCAT(CHAR(92),"$")),CHAR(96),_xlfn.CONCAT(CHAR(92),CHAR(96))),CHAR(34),CHAR(39))))</f>
        <v/>
      </c>
      <c r="M520" s="5" t="str">
        <f>IF(OR(TRIM($B520)="",$C520=""),"",IF(IFERROR(MATCH(TRIM($C520),{"Quantitative","Continuous","Discrete","Categorical","Nominal","Ordinal","Identifier"},0),0)=0,_xlfn.CONCAT("* REVIEW REQUIRED: invalid Variable Type on Sheet 1 row ",520,"."),_xlfn.CONCAT("char ",TRIM($B520),"[doc_vartype] ",CHAR(96),CHAR(34),SUBSTITUTE(SUBSTITUTE(SUBSTITUTE(SUBSTITUTE(SUBSTITUTE(SUBSTITUTE(LOWER(TRIM($C520)),CHAR(13)," "),CHAR(10)," "),CHAR(9)," "),CHAR(92),_xlfn.CONCAT(CHAR(92),CHAR(92))),"$",_xlfn.CONCAT(CHAR(92),"$")),CHAR(96),_xlfn.CONCAT(CHAR(92),CHAR(96))),CHAR(34),CHAR(39))))</f>
        <v/>
      </c>
      <c r="N520" s="5" t="str">
        <f>IF(OR(TRIM($B520)="",$D520=""),"",IF(OR(ISNUMBER(SEARCH(_xlfn.CONCAT(CHAR(96),CHAR(34)),$D520)),ISNUMBER(SEARCH(_xlfn.CONCAT(CHAR(34),CHAR(39)),$D520))),_xlfn.CONCAT("* REVIEW REQUIRED: compound-quote delimiter in Item Number on Sheet 1 row ",520,"; edit the input before running."),_xlfn.CONCAT("char ",TRIM($B520),"[doc_itemnum] ",CHAR(96),CHAR(34),SUBSTITUTE(SUBSTITUTE(SUBSTITUTE(SUBSTITUTE(SUBSTITUTE(SUBSTITUTE($D520,CHAR(13)," "),CHAR(10)," "),CHAR(9)," "),CHAR(92),_xlfn.CONCAT(CHAR(92),CHAR(92))),"$",_xlfn.CONCAT(CHAR(92),"$")),CHAR(96),_xlfn.CONCAT(CHAR(92),CHAR(96))),CHAR(34),CHAR(39))))</f>
        <v/>
      </c>
      <c r="O520" s="5" t="str">
        <f>IF(OR(TRIM($B520)="",$E520=""),"",IF(OR(ISNUMBER(SEARCH(_xlfn.CONCAT(CHAR(96),CHAR(34)),$E520)),ISNUMBER(SEARCH(_xlfn.CONCAT(CHAR(34),CHAR(39)),$E520))),_xlfn.CONCAT("* REVIEW REQUIRED: compound-quote delimiter in Question Wording on Sheet 1 row ",520,"; edit the input before running."),_xlfn.CONCAT("char ",TRIM($B520),"[doc_question] ",CHAR(96),CHAR(34),SUBSTITUTE(SUBSTITUTE(SUBSTITUTE(SUBSTITUTE(SUBSTITUTE(SUBSTITUTE($E520,CHAR(13)," "),CHAR(10)," "),CHAR(9)," "),CHAR(92),_xlfn.CONCAT(CHAR(92),CHAR(92))),"$",_xlfn.CONCAT(CHAR(92),"$")),CHAR(96),_xlfn.CONCAT(CHAR(92),CHAR(96))),CHAR(34),CHAR(39))))</f>
        <v/>
      </c>
      <c r="P520" s="5" t="str">
        <f>IF(OR(TRIM($B520)="",$F520=""),"",IF(OR(ISNUMBER(SEARCH(_xlfn.CONCAT(CHAR(96),CHAR(34)),$F520)),ISNUMBER(SEARCH(_xlfn.CONCAT(CHAR(34),CHAR(39)),$F520))),_xlfn.CONCAT("* REVIEW REQUIRED: compound-quote delimiter in Units on Sheet 1 row ",520,"; edit the input before running."),_xlfn.CONCAT("char ",TRIM($B520),"[doc_units] ",CHAR(96),CHAR(34),SUBSTITUTE(SUBSTITUTE(SUBSTITUTE(SUBSTITUTE(SUBSTITUTE(SUBSTITUTE($F520,CHAR(13)," "),CHAR(10)," "),CHAR(9)," "),CHAR(92),_xlfn.CONCAT(CHAR(92),CHAR(92))),"$",_xlfn.CONCAT(CHAR(92),"$")),CHAR(96),_xlfn.CONCAT(CHAR(92),CHAR(96))),CHAR(34),CHAR(39))))</f>
        <v/>
      </c>
      <c r="Q520" s="5" t="str">
        <f>IF(OR(TRIM($B520)="",$G520=""),"",IF(OR(ISNUMBER(SEARCH(_xlfn.CONCAT(CHAR(96),CHAR(34)),$G520)),ISNUMBER(SEARCH(_xlfn.CONCAT(CHAR(34),CHAR(39)),$G520))),_xlfn.CONCAT("* REVIEW REQUIRED: compound-quote delimiter in Universe on Sheet 1 row ",520,"; edit the input before running."),_xlfn.CONCAT("char ",TRIM($B520),"[doc_universe] ",CHAR(96),CHAR(34),SUBSTITUTE(SUBSTITUTE(SUBSTITUTE(SUBSTITUTE(SUBSTITUTE(SUBSTITUTE($G520,CHAR(13)," "),CHAR(10)," "),CHAR(9)," "),CHAR(92),_xlfn.CONCAT(CHAR(92),CHAR(92))),"$",_xlfn.CONCAT(CHAR(92),"$")),CHAR(96),_xlfn.CONCAT(CHAR(92),CHAR(96))),CHAR(34),CHAR(39))))</f>
        <v/>
      </c>
      <c r="R520" s="5" t="str">
        <f>IF(OR(TRIM($B520)="",$H520=""),"",IF(OR(ISNUMBER(SEARCH(_xlfn.CONCAT(CHAR(96),CHAR(34)),$H520)),ISNUMBER(SEARCH(_xlfn.CONCAT(CHAR(34),CHAR(39)),$H520))),_xlfn.CONCAT("* REVIEW REQUIRED: compound-quote delimiter in Source on Sheet 1 row ",520,"; edit the input before running."),_xlfn.CONCAT("char ",TRIM($B520),"[doc_source] ",CHAR(96),CHAR(34),SUBSTITUTE(SUBSTITUTE(SUBSTITUTE(SUBSTITUTE(SUBSTITUTE(SUBSTITUTE($H520,CHAR(13)," "),CHAR(10)," "),CHAR(9)," "),CHAR(92),_xlfn.CONCAT(CHAR(92),CHAR(92))),"$",_xlfn.CONCAT(CHAR(92),"$")),CHAR(96),_xlfn.CONCAT(CHAR(92),CHAR(96))),CHAR(34),CHAR(39))))</f>
        <v/>
      </c>
      <c r="S520" s="5" t="str">
        <f>IF(OR(TRIM($B520)="",$I520=""),"",IF(OR(ISNUMBER(SEARCH(_xlfn.CONCAT(CHAR(96),CHAR(34)),$I520)),ISNUMBER(SEARCH(_xlfn.CONCAT(CHAR(34),CHAR(39)),$I520))),_xlfn.CONCAT("* REVIEW REQUIRED: compound-quote delimiter in Derivation on Sheet 1 row ",520,"; edit the input before running."),_xlfn.CONCAT("char ",TRIM($B520),"[doc_derivation] ",CHAR(96),CHAR(34),SUBSTITUTE(SUBSTITUTE(SUBSTITUTE(SUBSTITUTE(SUBSTITUTE(SUBSTITUTE($I520,CHAR(13)," "),CHAR(10)," "),CHAR(9)," "),CHAR(92),_xlfn.CONCAT(CHAR(92),CHAR(92))),"$",_xlfn.CONCAT(CHAR(92),"$")),CHAR(96),_xlfn.CONCAT(CHAR(92),CHAR(96))),CHAR(34),CHAR(39))))</f>
        <v/>
      </c>
      <c r="T520" s="5" t="str">
        <f>IF(OR(TRIM($B520)="",$J520=""),"",IF(OR(ISNUMBER(SEARCH(_xlfn.CONCAT(CHAR(96),CHAR(34)),$J520)),ISNUMBER(SEARCH(_xlfn.CONCAT(CHAR(34),CHAR(39)),$J520))),_xlfn.CONCAT("* REVIEW REQUIRED: compound-quote delimiter in Notes on Sheet 1 row ",520,"; edit the input before running."),_xlfn.CONCAT("char ",TRIM($B520),"[doc_notes] ",CHAR(96),CHAR(34),SUBSTITUTE(SUBSTITUTE(SUBSTITUTE(SUBSTITUTE(SUBSTITUTE(SUBSTITUTE($J520,CHAR(13)," "),CHAR(10)," "),CHAR(9)," "),CHAR(92),_xlfn.CONCAT(CHAR(92),CHAR(92))),"$",_xlfn.CONCAT(CHAR(92),"$")),CHAR(96),_xlfn.CONCAT(CHAR(92),CHAR(96))),CHAR(34),CHAR(39))))</f>
        <v/>
      </c>
      <c r="U520" s="5">
        <f t="shared" si="15"/>
        <v>0</v>
      </c>
    </row>
    <row r="521" spans="3:21" ht="30" customHeight="1" x14ac:dyDescent="0.2">
      <c r="C521" s="4"/>
      <c r="K521" s="5">
        <f t="shared" si="14"/>
        <v>0</v>
      </c>
      <c r="L521" s="5" t="str">
        <f>IF(OR(TRIM($B521)="",$A521=""),"",IF(OR(ISNUMBER(SEARCH(_xlfn.CONCAT(CHAR(96),CHAR(34)),$A521)),ISNUMBER(SEARCH(_xlfn.CONCAT(CHAR(34),CHAR(39)),$A521))),_xlfn.CONCAT("* REVIEW REQUIRED: compound-quote delimiter in Codebook Section on Sheet 1 row ",521,"; edit the input before running."),_xlfn.CONCAT("char ",TRIM($B521),"[doc_section] ",CHAR(96),CHAR(34),SUBSTITUTE(SUBSTITUTE(SUBSTITUTE(SUBSTITUTE(SUBSTITUTE(SUBSTITUTE($A521,CHAR(13)," "),CHAR(10)," "),CHAR(9)," "),CHAR(92),_xlfn.CONCAT(CHAR(92),CHAR(92))),"$",_xlfn.CONCAT(CHAR(92),"$")),CHAR(96),_xlfn.CONCAT(CHAR(92),CHAR(96))),CHAR(34),CHAR(39))))</f>
        <v/>
      </c>
      <c r="M521" s="5" t="str">
        <f>IF(OR(TRIM($B521)="",$C521=""),"",IF(IFERROR(MATCH(TRIM($C521),{"Quantitative","Continuous","Discrete","Categorical","Nominal","Ordinal","Identifier"},0),0)=0,_xlfn.CONCAT("* REVIEW REQUIRED: invalid Variable Type on Sheet 1 row ",521,"."),_xlfn.CONCAT("char ",TRIM($B521),"[doc_vartype] ",CHAR(96),CHAR(34),SUBSTITUTE(SUBSTITUTE(SUBSTITUTE(SUBSTITUTE(SUBSTITUTE(SUBSTITUTE(LOWER(TRIM($C521)),CHAR(13)," "),CHAR(10)," "),CHAR(9)," "),CHAR(92),_xlfn.CONCAT(CHAR(92),CHAR(92))),"$",_xlfn.CONCAT(CHAR(92),"$")),CHAR(96),_xlfn.CONCAT(CHAR(92),CHAR(96))),CHAR(34),CHAR(39))))</f>
        <v/>
      </c>
      <c r="N521" s="5" t="str">
        <f>IF(OR(TRIM($B521)="",$D521=""),"",IF(OR(ISNUMBER(SEARCH(_xlfn.CONCAT(CHAR(96),CHAR(34)),$D521)),ISNUMBER(SEARCH(_xlfn.CONCAT(CHAR(34),CHAR(39)),$D521))),_xlfn.CONCAT("* REVIEW REQUIRED: compound-quote delimiter in Item Number on Sheet 1 row ",521,"; edit the input before running."),_xlfn.CONCAT("char ",TRIM($B521),"[doc_itemnum] ",CHAR(96),CHAR(34),SUBSTITUTE(SUBSTITUTE(SUBSTITUTE(SUBSTITUTE(SUBSTITUTE(SUBSTITUTE($D521,CHAR(13)," "),CHAR(10)," "),CHAR(9)," "),CHAR(92),_xlfn.CONCAT(CHAR(92),CHAR(92))),"$",_xlfn.CONCAT(CHAR(92),"$")),CHAR(96),_xlfn.CONCAT(CHAR(92),CHAR(96))),CHAR(34),CHAR(39))))</f>
        <v/>
      </c>
      <c r="O521" s="5" t="str">
        <f>IF(OR(TRIM($B521)="",$E521=""),"",IF(OR(ISNUMBER(SEARCH(_xlfn.CONCAT(CHAR(96),CHAR(34)),$E521)),ISNUMBER(SEARCH(_xlfn.CONCAT(CHAR(34),CHAR(39)),$E521))),_xlfn.CONCAT("* REVIEW REQUIRED: compound-quote delimiter in Question Wording on Sheet 1 row ",521,"; edit the input before running."),_xlfn.CONCAT("char ",TRIM($B521),"[doc_question] ",CHAR(96),CHAR(34),SUBSTITUTE(SUBSTITUTE(SUBSTITUTE(SUBSTITUTE(SUBSTITUTE(SUBSTITUTE($E521,CHAR(13)," "),CHAR(10)," "),CHAR(9)," "),CHAR(92),_xlfn.CONCAT(CHAR(92),CHAR(92))),"$",_xlfn.CONCAT(CHAR(92),"$")),CHAR(96),_xlfn.CONCAT(CHAR(92),CHAR(96))),CHAR(34),CHAR(39))))</f>
        <v/>
      </c>
      <c r="P521" s="5" t="str">
        <f>IF(OR(TRIM($B521)="",$F521=""),"",IF(OR(ISNUMBER(SEARCH(_xlfn.CONCAT(CHAR(96),CHAR(34)),$F521)),ISNUMBER(SEARCH(_xlfn.CONCAT(CHAR(34),CHAR(39)),$F521))),_xlfn.CONCAT("* REVIEW REQUIRED: compound-quote delimiter in Units on Sheet 1 row ",521,"; edit the input before running."),_xlfn.CONCAT("char ",TRIM($B521),"[doc_units] ",CHAR(96),CHAR(34),SUBSTITUTE(SUBSTITUTE(SUBSTITUTE(SUBSTITUTE(SUBSTITUTE(SUBSTITUTE($F521,CHAR(13)," "),CHAR(10)," "),CHAR(9)," "),CHAR(92),_xlfn.CONCAT(CHAR(92),CHAR(92))),"$",_xlfn.CONCAT(CHAR(92),"$")),CHAR(96),_xlfn.CONCAT(CHAR(92),CHAR(96))),CHAR(34),CHAR(39))))</f>
        <v/>
      </c>
      <c r="Q521" s="5" t="str">
        <f>IF(OR(TRIM($B521)="",$G521=""),"",IF(OR(ISNUMBER(SEARCH(_xlfn.CONCAT(CHAR(96),CHAR(34)),$G521)),ISNUMBER(SEARCH(_xlfn.CONCAT(CHAR(34),CHAR(39)),$G521))),_xlfn.CONCAT("* REVIEW REQUIRED: compound-quote delimiter in Universe on Sheet 1 row ",521,"; edit the input before running."),_xlfn.CONCAT("char ",TRIM($B521),"[doc_universe] ",CHAR(96),CHAR(34),SUBSTITUTE(SUBSTITUTE(SUBSTITUTE(SUBSTITUTE(SUBSTITUTE(SUBSTITUTE($G521,CHAR(13)," "),CHAR(10)," "),CHAR(9)," "),CHAR(92),_xlfn.CONCAT(CHAR(92),CHAR(92))),"$",_xlfn.CONCAT(CHAR(92),"$")),CHAR(96),_xlfn.CONCAT(CHAR(92),CHAR(96))),CHAR(34),CHAR(39))))</f>
        <v/>
      </c>
      <c r="R521" s="5" t="str">
        <f>IF(OR(TRIM($B521)="",$H521=""),"",IF(OR(ISNUMBER(SEARCH(_xlfn.CONCAT(CHAR(96),CHAR(34)),$H521)),ISNUMBER(SEARCH(_xlfn.CONCAT(CHAR(34),CHAR(39)),$H521))),_xlfn.CONCAT("* REVIEW REQUIRED: compound-quote delimiter in Source on Sheet 1 row ",521,"; edit the input before running."),_xlfn.CONCAT("char ",TRIM($B521),"[doc_source] ",CHAR(96),CHAR(34),SUBSTITUTE(SUBSTITUTE(SUBSTITUTE(SUBSTITUTE(SUBSTITUTE(SUBSTITUTE($H521,CHAR(13)," "),CHAR(10)," "),CHAR(9)," "),CHAR(92),_xlfn.CONCAT(CHAR(92),CHAR(92))),"$",_xlfn.CONCAT(CHAR(92),"$")),CHAR(96),_xlfn.CONCAT(CHAR(92),CHAR(96))),CHAR(34),CHAR(39))))</f>
        <v/>
      </c>
      <c r="S521" s="5" t="str">
        <f>IF(OR(TRIM($B521)="",$I521=""),"",IF(OR(ISNUMBER(SEARCH(_xlfn.CONCAT(CHAR(96),CHAR(34)),$I521)),ISNUMBER(SEARCH(_xlfn.CONCAT(CHAR(34),CHAR(39)),$I521))),_xlfn.CONCAT("* REVIEW REQUIRED: compound-quote delimiter in Derivation on Sheet 1 row ",521,"; edit the input before running."),_xlfn.CONCAT("char ",TRIM($B521),"[doc_derivation] ",CHAR(96),CHAR(34),SUBSTITUTE(SUBSTITUTE(SUBSTITUTE(SUBSTITUTE(SUBSTITUTE(SUBSTITUTE($I521,CHAR(13)," "),CHAR(10)," "),CHAR(9)," "),CHAR(92),_xlfn.CONCAT(CHAR(92),CHAR(92))),"$",_xlfn.CONCAT(CHAR(92),"$")),CHAR(96),_xlfn.CONCAT(CHAR(92),CHAR(96))),CHAR(34),CHAR(39))))</f>
        <v/>
      </c>
      <c r="T521" s="5" t="str">
        <f>IF(OR(TRIM($B521)="",$J521=""),"",IF(OR(ISNUMBER(SEARCH(_xlfn.CONCAT(CHAR(96),CHAR(34)),$J521)),ISNUMBER(SEARCH(_xlfn.CONCAT(CHAR(34),CHAR(39)),$J521))),_xlfn.CONCAT("* REVIEW REQUIRED: compound-quote delimiter in Notes on Sheet 1 row ",521,"; edit the input before running."),_xlfn.CONCAT("char ",TRIM($B521),"[doc_notes] ",CHAR(96),CHAR(34),SUBSTITUTE(SUBSTITUTE(SUBSTITUTE(SUBSTITUTE(SUBSTITUTE(SUBSTITUTE($J521,CHAR(13)," "),CHAR(10)," "),CHAR(9)," "),CHAR(92),_xlfn.CONCAT(CHAR(92),CHAR(92))),"$",_xlfn.CONCAT(CHAR(92),"$")),CHAR(96),_xlfn.CONCAT(CHAR(92),CHAR(96))),CHAR(34),CHAR(39))))</f>
        <v/>
      </c>
      <c r="U521" s="5">
        <f t="shared" si="15"/>
        <v>0</v>
      </c>
    </row>
    <row r="522" spans="3:21" ht="30" customHeight="1" x14ac:dyDescent="0.2">
      <c r="C522" s="4"/>
      <c r="K522" s="5">
        <f t="shared" si="14"/>
        <v>0</v>
      </c>
      <c r="L522" s="5" t="str">
        <f>IF(OR(TRIM($B522)="",$A522=""),"",IF(OR(ISNUMBER(SEARCH(_xlfn.CONCAT(CHAR(96),CHAR(34)),$A522)),ISNUMBER(SEARCH(_xlfn.CONCAT(CHAR(34),CHAR(39)),$A522))),_xlfn.CONCAT("* REVIEW REQUIRED: compound-quote delimiter in Codebook Section on Sheet 1 row ",522,"; edit the input before running."),_xlfn.CONCAT("char ",TRIM($B522),"[doc_section] ",CHAR(96),CHAR(34),SUBSTITUTE(SUBSTITUTE(SUBSTITUTE(SUBSTITUTE(SUBSTITUTE(SUBSTITUTE($A522,CHAR(13)," "),CHAR(10)," "),CHAR(9)," "),CHAR(92),_xlfn.CONCAT(CHAR(92),CHAR(92))),"$",_xlfn.CONCAT(CHAR(92),"$")),CHAR(96),_xlfn.CONCAT(CHAR(92),CHAR(96))),CHAR(34),CHAR(39))))</f>
        <v/>
      </c>
      <c r="M522" s="5" t="str">
        <f>IF(OR(TRIM($B522)="",$C522=""),"",IF(IFERROR(MATCH(TRIM($C522),{"Quantitative","Continuous","Discrete","Categorical","Nominal","Ordinal","Identifier"},0),0)=0,_xlfn.CONCAT("* REVIEW REQUIRED: invalid Variable Type on Sheet 1 row ",522,"."),_xlfn.CONCAT("char ",TRIM($B522),"[doc_vartype] ",CHAR(96),CHAR(34),SUBSTITUTE(SUBSTITUTE(SUBSTITUTE(SUBSTITUTE(SUBSTITUTE(SUBSTITUTE(LOWER(TRIM($C522)),CHAR(13)," "),CHAR(10)," "),CHAR(9)," "),CHAR(92),_xlfn.CONCAT(CHAR(92),CHAR(92))),"$",_xlfn.CONCAT(CHAR(92),"$")),CHAR(96),_xlfn.CONCAT(CHAR(92),CHAR(96))),CHAR(34),CHAR(39))))</f>
        <v/>
      </c>
      <c r="N522" s="5" t="str">
        <f>IF(OR(TRIM($B522)="",$D522=""),"",IF(OR(ISNUMBER(SEARCH(_xlfn.CONCAT(CHAR(96),CHAR(34)),$D522)),ISNUMBER(SEARCH(_xlfn.CONCAT(CHAR(34),CHAR(39)),$D522))),_xlfn.CONCAT("* REVIEW REQUIRED: compound-quote delimiter in Item Number on Sheet 1 row ",522,"; edit the input before running."),_xlfn.CONCAT("char ",TRIM($B522),"[doc_itemnum] ",CHAR(96),CHAR(34),SUBSTITUTE(SUBSTITUTE(SUBSTITUTE(SUBSTITUTE(SUBSTITUTE(SUBSTITUTE($D522,CHAR(13)," "),CHAR(10)," "),CHAR(9)," "),CHAR(92),_xlfn.CONCAT(CHAR(92),CHAR(92))),"$",_xlfn.CONCAT(CHAR(92),"$")),CHAR(96),_xlfn.CONCAT(CHAR(92),CHAR(96))),CHAR(34),CHAR(39))))</f>
        <v/>
      </c>
      <c r="O522" s="5" t="str">
        <f>IF(OR(TRIM($B522)="",$E522=""),"",IF(OR(ISNUMBER(SEARCH(_xlfn.CONCAT(CHAR(96),CHAR(34)),$E522)),ISNUMBER(SEARCH(_xlfn.CONCAT(CHAR(34),CHAR(39)),$E522))),_xlfn.CONCAT("* REVIEW REQUIRED: compound-quote delimiter in Question Wording on Sheet 1 row ",522,"; edit the input before running."),_xlfn.CONCAT("char ",TRIM($B522),"[doc_question] ",CHAR(96),CHAR(34),SUBSTITUTE(SUBSTITUTE(SUBSTITUTE(SUBSTITUTE(SUBSTITUTE(SUBSTITUTE($E522,CHAR(13)," "),CHAR(10)," "),CHAR(9)," "),CHAR(92),_xlfn.CONCAT(CHAR(92),CHAR(92))),"$",_xlfn.CONCAT(CHAR(92),"$")),CHAR(96),_xlfn.CONCAT(CHAR(92),CHAR(96))),CHAR(34),CHAR(39))))</f>
        <v/>
      </c>
      <c r="P522" s="5" t="str">
        <f>IF(OR(TRIM($B522)="",$F522=""),"",IF(OR(ISNUMBER(SEARCH(_xlfn.CONCAT(CHAR(96),CHAR(34)),$F522)),ISNUMBER(SEARCH(_xlfn.CONCAT(CHAR(34),CHAR(39)),$F522))),_xlfn.CONCAT("* REVIEW REQUIRED: compound-quote delimiter in Units on Sheet 1 row ",522,"; edit the input before running."),_xlfn.CONCAT("char ",TRIM($B522),"[doc_units] ",CHAR(96),CHAR(34),SUBSTITUTE(SUBSTITUTE(SUBSTITUTE(SUBSTITUTE(SUBSTITUTE(SUBSTITUTE($F522,CHAR(13)," "),CHAR(10)," "),CHAR(9)," "),CHAR(92),_xlfn.CONCAT(CHAR(92),CHAR(92))),"$",_xlfn.CONCAT(CHAR(92),"$")),CHAR(96),_xlfn.CONCAT(CHAR(92),CHAR(96))),CHAR(34),CHAR(39))))</f>
        <v/>
      </c>
      <c r="Q522" s="5" t="str">
        <f>IF(OR(TRIM($B522)="",$G522=""),"",IF(OR(ISNUMBER(SEARCH(_xlfn.CONCAT(CHAR(96),CHAR(34)),$G522)),ISNUMBER(SEARCH(_xlfn.CONCAT(CHAR(34),CHAR(39)),$G522))),_xlfn.CONCAT("* REVIEW REQUIRED: compound-quote delimiter in Universe on Sheet 1 row ",522,"; edit the input before running."),_xlfn.CONCAT("char ",TRIM($B522),"[doc_universe] ",CHAR(96),CHAR(34),SUBSTITUTE(SUBSTITUTE(SUBSTITUTE(SUBSTITUTE(SUBSTITUTE(SUBSTITUTE($G522,CHAR(13)," "),CHAR(10)," "),CHAR(9)," "),CHAR(92),_xlfn.CONCAT(CHAR(92),CHAR(92))),"$",_xlfn.CONCAT(CHAR(92),"$")),CHAR(96),_xlfn.CONCAT(CHAR(92),CHAR(96))),CHAR(34),CHAR(39))))</f>
        <v/>
      </c>
      <c r="R522" s="5" t="str">
        <f>IF(OR(TRIM($B522)="",$H522=""),"",IF(OR(ISNUMBER(SEARCH(_xlfn.CONCAT(CHAR(96),CHAR(34)),$H522)),ISNUMBER(SEARCH(_xlfn.CONCAT(CHAR(34),CHAR(39)),$H522))),_xlfn.CONCAT("* REVIEW REQUIRED: compound-quote delimiter in Source on Sheet 1 row ",522,"; edit the input before running."),_xlfn.CONCAT("char ",TRIM($B522),"[doc_source] ",CHAR(96),CHAR(34),SUBSTITUTE(SUBSTITUTE(SUBSTITUTE(SUBSTITUTE(SUBSTITUTE(SUBSTITUTE($H522,CHAR(13)," "),CHAR(10)," "),CHAR(9)," "),CHAR(92),_xlfn.CONCAT(CHAR(92),CHAR(92))),"$",_xlfn.CONCAT(CHAR(92),"$")),CHAR(96),_xlfn.CONCAT(CHAR(92),CHAR(96))),CHAR(34),CHAR(39))))</f>
        <v/>
      </c>
      <c r="S522" s="5" t="str">
        <f>IF(OR(TRIM($B522)="",$I522=""),"",IF(OR(ISNUMBER(SEARCH(_xlfn.CONCAT(CHAR(96),CHAR(34)),$I522)),ISNUMBER(SEARCH(_xlfn.CONCAT(CHAR(34),CHAR(39)),$I522))),_xlfn.CONCAT("* REVIEW REQUIRED: compound-quote delimiter in Derivation on Sheet 1 row ",522,"; edit the input before running."),_xlfn.CONCAT("char ",TRIM($B522),"[doc_derivation] ",CHAR(96),CHAR(34),SUBSTITUTE(SUBSTITUTE(SUBSTITUTE(SUBSTITUTE(SUBSTITUTE(SUBSTITUTE($I522,CHAR(13)," "),CHAR(10)," "),CHAR(9)," "),CHAR(92),_xlfn.CONCAT(CHAR(92),CHAR(92))),"$",_xlfn.CONCAT(CHAR(92),"$")),CHAR(96),_xlfn.CONCAT(CHAR(92),CHAR(96))),CHAR(34),CHAR(39))))</f>
        <v/>
      </c>
      <c r="T522" s="5" t="str">
        <f>IF(OR(TRIM($B522)="",$J522=""),"",IF(OR(ISNUMBER(SEARCH(_xlfn.CONCAT(CHAR(96),CHAR(34)),$J522)),ISNUMBER(SEARCH(_xlfn.CONCAT(CHAR(34),CHAR(39)),$J522))),_xlfn.CONCAT("* REVIEW REQUIRED: compound-quote delimiter in Notes on Sheet 1 row ",522,"; edit the input before running."),_xlfn.CONCAT("char ",TRIM($B522),"[doc_notes] ",CHAR(96),CHAR(34),SUBSTITUTE(SUBSTITUTE(SUBSTITUTE(SUBSTITUTE(SUBSTITUTE(SUBSTITUTE($J522,CHAR(13)," "),CHAR(10)," "),CHAR(9)," "),CHAR(92),_xlfn.CONCAT(CHAR(92),CHAR(92))),"$",_xlfn.CONCAT(CHAR(92),"$")),CHAR(96),_xlfn.CONCAT(CHAR(92),CHAR(96))),CHAR(34),CHAR(39))))</f>
        <v/>
      </c>
      <c r="U522" s="5">
        <f t="shared" si="15"/>
        <v>0</v>
      </c>
    </row>
    <row r="523" spans="3:21" ht="30" customHeight="1" x14ac:dyDescent="0.2">
      <c r="C523" s="4"/>
      <c r="K523" s="5">
        <f t="shared" si="14"/>
        <v>0</v>
      </c>
      <c r="L523" s="5" t="str">
        <f>IF(OR(TRIM($B523)="",$A523=""),"",IF(OR(ISNUMBER(SEARCH(_xlfn.CONCAT(CHAR(96),CHAR(34)),$A523)),ISNUMBER(SEARCH(_xlfn.CONCAT(CHAR(34),CHAR(39)),$A523))),_xlfn.CONCAT("* REVIEW REQUIRED: compound-quote delimiter in Codebook Section on Sheet 1 row ",523,"; edit the input before running."),_xlfn.CONCAT("char ",TRIM($B523),"[doc_section] ",CHAR(96),CHAR(34),SUBSTITUTE(SUBSTITUTE(SUBSTITUTE(SUBSTITUTE(SUBSTITUTE(SUBSTITUTE($A523,CHAR(13)," "),CHAR(10)," "),CHAR(9)," "),CHAR(92),_xlfn.CONCAT(CHAR(92),CHAR(92))),"$",_xlfn.CONCAT(CHAR(92),"$")),CHAR(96),_xlfn.CONCAT(CHAR(92),CHAR(96))),CHAR(34),CHAR(39))))</f>
        <v/>
      </c>
      <c r="M523" s="5" t="str">
        <f>IF(OR(TRIM($B523)="",$C523=""),"",IF(IFERROR(MATCH(TRIM($C523),{"Quantitative","Continuous","Discrete","Categorical","Nominal","Ordinal","Identifier"},0),0)=0,_xlfn.CONCAT("* REVIEW REQUIRED: invalid Variable Type on Sheet 1 row ",523,"."),_xlfn.CONCAT("char ",TRIM($B523),"[doc_vartype] ",CHAR(96),CHAR(34),SUBSTITUTE(SUBSTITUTE(SUBSTITUTE(SUBSTITUTE(SUBSTITUTE(SUBSTITUTE(LOWER(TRIM($C523)),CHAR(13)," "),CHAR(10)," "),CHAR(9)," "),CHAR(92),_xlfn.CONCAT(CHAR(92),CHAR(92))),"$",_xlfn.CONCAT(CHAR(92),"$")),CHAR(96),_xlfn.CONCAT(CHAR(92),CHAR(96))),CHAR(34),CHAR(39))))</f>
        <v/>
      </c>
      <c r="N523" s="5" t="str">
        <f>IF(OR(TRIM($B523)="",$D523=""),"",IF(OR(ISNUMBER(SEARCH(_xlfn.CONCAT(CHAR(96),CHAR(34)),$D523)),ISNUMBER(SEARCH(_xlfn.CONCAT(CHAR(34),CHAR(39)),$D523))),_xlfn.CONCAT("* REVIEW REQUIRED: compound-quote delimiter in Item Number on Sheet 1 row ",523,"; edit the input before running."),_xlfn.CONCAT("char ",TRIM($B523),"[doc_itemnum] ",CHAR(96),CHAR(34),SUBSTITUTE(SUBSTITUTE(SUBSTITUTE(SUBSTITUTE(SUBSTITUTE(SUBSTITUTE($D523,CHAR(13)," "),CHAR(10)," "),CHAR(9)," "),CHAR(92),_xlfn.CONCAT(CHAR(92),CHAR(92))),"$",_xlfn.CONCAT(CHAR(92),"$")),CHAR(96),_xlfn.CONCAT(CHAR(92),CHAR(96))),CHAR(34),CHAR(39))))</f>
        <v/>
      </c>
      <c r="O523" s="5" t="str">
        <f>IF(OR(TRIM($B523)="",$E523=""),"",IF(OR(ISNUMBER(SEARCH(_xlfn.CONCAT(CHAR(96),CHAR(34)),$E523)),ISNUMBER(SEARCH(_xlfn.CONCAT(CHAR(34),CHAR(39)),$E523))),_xlfn.CONCAT("* REVIEW REQUIRED: compound-quote delimiter in Question Wording on Sheet 1 row ",523,"; edit the input before running."),_xlfn.CONCAT("char ",TRIM($B523),"[doc_question] ",CHAR(96),CHAR(34),SUBSTITUTE(SUBSTITUTE(SUBSTITUTE(SUBSTITUTE(SUBSTITUTE(SUBSTITUTE($E523,CHAR(13)," "),CHAR(10)," "),CHAR(9)," "),CHAR(92),_xlfn.CONCAT(CHAR(92),CHAR(92))),"$",_xlfn.CONCAT(CHAR(92),"$")),CHAR(96),_xlfn.CONCAT(CHAR(92),CHAR(96))),CHAR(34),CHAR(39))))</f>
        <v/>
      </c>
      <c r="P523" s="5" t="str">
        <f>IF(OR(TRIM($B523)="",$F523=""),"",IF(OR(ISNUMBER(SEARCH(_xlfn.CONCAT(CHAR(96),CHAR(34)),$F523)),ISNUMBER(SEARCH(_xlfn.CONCAT(CHAR(34),CHAR(39)),$F523))),_xlfn.CONCAT("* REVIEW REQUIRED: compound-quote delimiter in Units on Sheet 1 row ",523,"; edit the input before running."),_xlfn.CONCAT("char ",TRIM($B523),"[doc_units] ",CHAR(96),CHAR(34),SUBSTITUTE(SUBSTITUTE(SUBSTITUTE(SUBSTITUTE(SUBSTITUTE(SUBSTITUTE($F523,CHAR(13)," "),CHAR(10)," "),CHAR(9)," "),CHAR(92),_xlfn.CONCAT(CHAR(92),CHAR(92))),"$",_xlfn.CONCAT(CHAR(92),"$")),CHAR(96),_xlfn.CONCAT(CHAR(92),CHAR(96))),CHAR(34),CHAR(39))))</f>
        <v/>
      </c>
      <c r="Q523" s="5" t="str">
        <f>IF(OR(TRIM($B523)="",$G523=""),"",IF(OR(ISNUMBER(SEARCH(_xlfn.CONCAT(CHAR(96),CHAR(34)),$G523)),ISNUMBER(SEARCH(_xlfn.CONCAT(CHAR(34),CHAR(39)),$G523))),_xlfn.CONCAT("* REVIEW REQUIRED: compound-quote delimiter in Universe on Sheet 1 row ",523,"; edit the input before running."),_xlfn.CONCAT("char ",TRIM($B523),"[doc_universe] ",CHAR(96),CHAR(34),SUBSTITUTE(SUBSTITUTE(SUBSTITUTE(SUBSTITUTE(SUBSTITUTE(SUBSTITUTE($G523,CHAR(13)," "),CHAR(10)," "),CHAR(9)," "),CHAR(92),_xlfn.CONCAT(CHAR(92),CHAR(92))),"$",_xlfn.CONCAT(CHAR(92),"$")),CHAR(96),_xlfn.CONCAT(CHAR(92),CHAR(96))),CHAR(34),CHAR(39))))</f>
        <v/>
      </c>
      <c r="R523" s="5" t="str">
        <f>IF(OR(TRIM($B523)="",$H523=""),"",IF(OR(ISNUMBER(SEARCH(_xlfn.CONCAT(CHAR(96),CHAR(34)),$H523)),ISNUMBER(SEARCH(_xlfn.CONCAT(CHAR(34),CHAR(39)),$H523))),_xlfn.CONCAT("* REVIEW REQUIRED: compound-quote delimiter in Source on Sheet 1 row ",523,"; edit the input before running."),_xlfn.CONCAT("char ",TRIM($B523),"[doc_source] ",CHAR(96),CHAR(34),SUBSTITUTE(SUBSTITUTE(SUBSTITUTE(SUBSTITUTE(SUBSTITUTE(SUBSTITUTE($H523,CHAR(13)," "),CHAR(10)," "),CHAR(9)," "),CHAR(92),_xlfn.CONCAT(CHAR(92),CHAR(92))),"$",_xlfn.CONCAT(CHAR(92),"$")),CHAR(96),_xlfn.CONCAT(CHAR(92),CHAR(96))),CHAR(34),CHAR(39))))</f>
        <v/>
      </c>
      <c r="S523" s="5" t="str">
        <f>IF(OR(TRIM($B523)="",$I523=""),"",IF(OR(ISNUMBER(SEARCH(_xlfn.CONCAT(CHAR(96),CHAR(34)),$I523)),ISNUMBER(SEARCH(_xlfn.CONCAT(CHAR(34),CHAR(39)),$I523))),_xlfn.CONCAT("* REVIEW REQUIRED: compound-quote delimiter in Derivation on Sheet 1 row ",523,"; edit the input before running."),_xlfn.CONCAT("char ",TRIM($B523),"[doc_derivation] ",CHAR(96),CHAR(34),SUBSTITUTE(SUBSTITUTE(SUBSTITUTE(SUBSTITUTE(SUBSTITUTE(SUBSTITUTE($I523,CHAR(13)," "),CHAR(10)," "),CHAR(9)," "),CHAR(92),_xlfn.CONCAT(CHAR(92),CHAR(92))),"$",_xlfn.CONCAT(CHAR(92),"$")),CHAR(96),_xlfn.CONCAT(CHAR(92),CHAR(96))),CHAR(34),CHAR(39))))</f>
        <v/>
      </c>
      <c r="T523" s="5" t="str">
        <f>IF(OR(TRIM($B523)="",$J523=""),"",IF(OR(ISNUMBER(SEARCH(_xlfn.CONCAT(CHAR(96),CHAR(34)),$J523)),ISNUMBER(SEARCH(_xlfn.CONCAT(CHAR(34),CHAR(39)),$J523))),_xlfn.CONCAT("* REVIEW REQUIRED: compound-quote delimiter in Notes on Sheet 1 row ",523,"; edit the input before running."),_xlfn.CONCAT("char ",TRIM($B523),"[doc_notes] ",CHAR(96),CHAR(34),SUBSTITUTE(SUBSTITUTE(SUBSTITUTE(SUBSTITUTE(SUBSTITUTE(SUBSTITUTE($J523,CHAR(13)," "),CHAR(10)," "),CHAR(9)," "),CHAR(92),_xlfn.CONCAT(CHAR(92),CHAR(92))),"$",_xlfn.CONCAT(CHAR(92),"$")),CHAR(96),_xlfn.CONCAT(CHAR(92),CHAR(96))),CHAR(34),CHAR(39))))</f>
        <v/>
      </c>
      <c r="U523" s="5">
        <f t="shared" si="15"/>
        <v>0</v>
      </c>
    </row>
    <row r="524" spans="3:21" ht="30" customHeight="1" x14ac:dyDescent="0.2">
      <c r="C524" s="4"/>
      <c r="K524" s="5">
        <f t="shared" si="14"/>
        <v>0</v>
      </c>
      <c r="L524" s="5" t="str">
        <f>IF(OR(TRIM($B524)="",$A524=""),"",IF(OR(ISNUMBER(SEARCH(_xlfn.CONCAT(CHAR(96),CHAR(34)),$A524)),ISNUMBER(SEARCH(_xlfn.CONCAT(CHAR(34),CHAR(39)),$A524))),_xlfn.CONCAT("* REVIEW REQUIRED: compound-quote delimiter in Codebook Section on Sheet 1 row ",524,"; edit the input before running."),_xlfn.CONCAT("char ",TRIM($B524),"[doc_section] ",CHAR(96),CHAR(34),SUBSTITUTE(SUBSTITUTE(SUBSTITUTE(SUBSTITUTE(SUBSTITUTE(SUBSTITUTE($A524,CHAR(13)," "),CHAR(10)," "),CHAR(9)," "),CHAR(92),_xlfn.CONCAT(CHAR(92),CHAR(92))),"$",_xlfn.CONCAT(CHAR(92),"$")),CHAR(96),_xlfn.CONCAT(CHAR(92),CHAR(96))),CHAR(34),CHAR(39))))</f>
        <v/>
      </c>
      <c r="M524" s="5" t="str">
        <f>IF(OR(TRIM($B524)="",$C524=""),"",IF(IFERROR(MATCH(TRIM($C524),{"Quantitative","Continuous","Discrete","Categorical","Nominal","Ordinal","Identifier"},0),0)=0,_xlfn.CONCAT("* REVIEW REQUIRED: invalid Variable Type on Sheet 1 row ",524,"."),_xlfn.CONCAT("char ",TRIM($B524),"[doc_vartype] ",CHAR(96),CHAR(34),SUBSTITUTE(SUBSTITUTE(SUBSTITUTE(SUBSTITUTE(SUBSTITUTE(SUBSTITUTE(LOWER(TRIM($C524)),CHAR(13)," "),CHAR(10)," "),CHAR(9)," "),CHAR(92),_xlfn.CONCAT(CHAR(92),CHAR(92))),"$",_xlfn.CONCAT(CHAR(92),"$")),CHAR(96),_xlfn.CONCAT(CHAR(92),CHAR(96))),CHAR(34),CHAR(39))))</f>
        <v/>
      </c>
      <c r="N524" s="5" t="str">
        <f>IF(OR(TRIM($B524)="",$D524=""),"",IF(OR(ISNUMBER(SEARCH(_xlfn.CONCAT(CHAR(96),CHAR(34)),$D524)),ISNUMBER(SEARCH(_xlfn.CONCAT(CHAR(34),CHAR(39)),$D524))),_xlfn.CONCAT("* REVIEW REQUIRED: compound-quote delimiter in Item Number on Sheet 1 row ",524,"; edit the input before running."),_xlfn.CONCAT("char ",TRIM($B524),"[doc_itemnum] ",CHAR(96),CHAR(34),SUBSTITUTE(SUBSTITUTE(SUBSTITUTE(SUBSTITUTE(SUBSTITUTE(SUBSTITUTE($D524,CHAR(13)," "),CHAR(10)," "),CHAR(9)," "),CHAR(92),_xlfn.CONCAT(CHAR(92),CHAR(92))),"$",_xlfn.CONCAT(CHAR(92),"$")),CHAR(96),_xlfn.CONCAT(CHAR(92),CHAR(96))),CHAR(34),CHAR(39))))</f>
        <v/>
      </c>
      <c r="O524" s="5" t="str">
        <f>IF(OR(TRIM($B524)="",$E524=""),"",IF(OR(ISNUMBER(SEARCH(_xlfn.CONCAT(CHAR(96),CHAR(34)),$E524)),ISNUMBER(SEARCH(_xlfn.CONCAT(CHAR(34),CHAR(39)),$E524))),_xlfn.CONCAT("* REVIEW REQUIRED: compound-quote delimiter in Question Wording on Sheet 1 row ",524,"; edit the input before running."),_xlfn.CONCAT("char ",TRIM($B524),"[doc_question] ",CHAR(96),CHAR(34),SUBSTITUTE(SUBSTITUTE(SUBSTITUTE(SUBSTITUTE(SUBSTITUTE(SUBSTITUTE($E524,CHAR(13)," "),CHAR(10)," "),CHAR(9)," "),CHAR(92),_xlfn.CONCAT(CHAR(92),CHAR(92))),"$",_xlfn.CONCAT(CHAR(92),"$")),CHAR(96),_xlfn.CONCAT(CHAR(92),CHAR(96))),CHAR(34),CHAR(39))))</f>
        <v/>
      </c>
      <c r="P524" s="5" t="str">
        <f>IF(OR(TRIM($B524)="",$F524=""),"",IF(OR(ISNUMBER(SEARCH(_xlfn.CONCAT(CHAR(96),CHAR(34)),$F524)),ISNUMBER(SEARCH(_xlfn.CONCAT(CHAR(34),CHAR(39)),$F524))),_xlfn.CONCAT("* REVIEW REQUIRED: compound-quote delimiter in Units on Sheet 1 row ",524,"; edit the input before running."),_xlfn.CONCAT("char ",TRIM($B524),"[doc_units] ",CHAR(96),CHAR(34),SUBSTITUTE(SUBSTITUTE(SUBSTITUTE(SUBSTITUTE(SUBSTITUTE(SUBSTITUTE($F524,CHAR(13)," "),CHAR(10)," "),CHAR(9)," "),CHAR(92),_xlfn.CONCAT(CHAR(92),CHAR(92))),"$",_xlfn.CONCAT(CHAR(92),"$")),CHAR(96),_xlfn.CONCAT(CHAR(92),CHAR(96))),CHAR(34),CHAR(39))))</f>
        <v/>
      </c>
      <c r="Q524" s="5" t="str">
        <f>IF(OR(TRIM($B524)="",$G524=""),"",IF(OR(ISNUMBER(SEARCH(_xlfn.CONCAT(CHAR(96),CHAR(34)),$G524)),ISNUMBER(SEARCH(_xlfn.CONCAT(CHAR(34),CHAR(39)),$G524))),_xlfn.CONCAT("* REVIEW REQUIRED: compound-quote delimiter in Universe on Sheet 1 row ",524,"; edit the input before running."),_xlfn.CONCAT("char ",TRIM($B524),"[doc_universe] ",CHAR(96),CHAR(34),SUBSTITUTE(SUBSTITUTE(SUBSTITUTE(SUBSTITUTE(SUBSTITUTE(SUBSTITUTE($G524,CHAR(13)," "),CHAR(10)," "),CHAR(9)," "),CHAR(92),_xlfn.CONCAT(CHAR(92),CHAR(92))),"$",_xlfn.CONCAT(CHAR(92),"$")),CHAR(96),_xlfn.CONCAT(CHAR(92),CHAR(96))),CHAR(34),CHAR(39))))</f>
        <v/>
      </c>
      <c r="R524" s="5" t="str">
        <f>IF(OR(TRIM($B524)="",$H524=""),"",IF(OR(ISNUMBER(SEARCH(_xlfn.CONCAT(CHAR(96),CHAR(34)),$H524)),ISNUMBER(SEARCH(_xlfn.CONCAT(CHAR(34),CHAR(39)),$H524))),_xlfn.CONCAT("* REVIEW REQUIRED: compound-quote delimiter in Source on Sheet 1 row ",524,"; edit the input before running."),_xlfn.CONCAT("char ",TRIM($B524),"[doc_source] ",CHAR(96),CHAR(34),SUBSTITUTE(SUBSTITUTE(SUBSTITUTE(SUBSTITUTE(SUBSTITUTE(SUBSTITUTE($H524,CHAR(13)," "),CHAR(10)," "),CHAR(9)," "),CHAR(92),_xlfn.CONCAT(CHAR(92),CHAR(92))),"$",_xlfn.CONCAT(CHAR(92),"$")),CHAR(96),_xlfn.CONCAT(CHAR(92),CHAR(96))),CHAR(34),CHAR(39))))</f>
        <v/>
      </c>
      <c r="S524" s="5" t="str">
        <f>IF(OR(TRIM($B524)="",$I524=""),"",IF(OR(ISNUMBER(SEARCH(_xlfn.CONCAT(CHAR(96),CHAR(34)),$I524)),ISNUMBER(SEARCH(_xlfn.CONCAT(CHAR(34),CHAR(39)),$I524))),_xlfn.CONCAT("* REVIEW REQUIRED: compound-quote delimiter in Derivation on Sheet 1 row ",524,"; edit the input before running."),_xlfn.CONCAT("char ",TRIM($B524),"[doc_derivation] ",CHAR(96),CHAR(34),SUBSTITUTE(SUBSTITUTE(SUBSTITUTE(SUBSTITUTE(SUBSTITUTE(SUBSTITUTE($I524,CHAR(13)," "),CHAR(10)," "),CHAR(9)," "),CHAR(92),_xlfn.CONCAT(CHAR(92),CHAR(92))),"$",_xlfn.CONCAT(CHAR(92),"$")),CHAR(96),_xlfn.CONCAT(CHAR(92),CHAR(96))),CHAR(34),CHAR(39))))</f>
        <v/>
      </c>
      <c r="T524" s="5" t="str">
        <f>IF(OR(TRIM($B524)="",$J524=""),"",IF(OR(ISNUMBER(SEARCH(_xlfn.CONCAT(CHAR(96),CHAR(34)),$J524)),ISNUMBER(SEARCH(_xlfn.CONCAT(CHAR(34),CHAR(39)),$J524))),_xlfn.CONCAT("* REVIEW REQUIRED: compound-quote delimiter in Notes on Sheet 1 row ",524,"; edit the input before running."),_xlfn.CONCAT("char ",TRIM($B524),"[doc_notes] ",CHAR(96),CHAR(34),SUBSTITUTE(SUBSTITUTE(SUBSTITUTE(SUBSTITUTE(SUBSTITUTE(SUBSTITUTE($J524,CHAR(13)," "),CHAR(10)," "),CHAR(9)," "),CHAR(92),_xlfn.CONCAT(CHAR(92),CHAR(92))),"$",_xlfn.CONCAT(CHAR(92),"$")),CHAR(96),_xlfn.CONCAT(CHAR(92),CHAR(96))),CHAR(34),CHAR(39))))</f>
        <v/>
      </c>
      <c r="U524" s="5">
        <f t="shared" si="15"/>
        <v>0</v>
      </c>
    </row>
    <row r="525" spans="3:21" ht="30" customHeight="1" x14ac:dyDescent="0.2">
      <c r="C525" s="4"/>
      <c r="K525" s="5">
        <f t="shared" si="14"/>
        <v>0</v>
      </c>
      <c r="L525" s="5" t="str">
        <f>IF(OR(TRIM($B525)="",$A525=""),"",IF(OR(ISNUMBER(SEARCH(_xlfn.CONCAT(CHAR(96),CHAR(34)),$A525)),ISNUMBER(SEARCH(_xlfn.CONCAT(CHAR(34),CHAR(39)),$A525))),_xlfn.CONCAT("* REVIEW REQUIRED: compound-quote delimiter in Codebook Section on Sheet 1 row ",525,"; edit the input before running."),_xlfn.CONCAT("char ",TRIM($B525),"[doc_section] ",CHAR(96),CHAR(34),SUBSTITUTE(SUBSTITUTE(SUBSTITUTE(SUBSTITUTE(SUBSTITUTE(SUBSTITUTE($A525,CHAR(13)," "),CHAR(10)," "),CHAR(9)," "),CHAR(92),_xlfn.CONCAT(CHAR(92),CHAR(92))),"$",_xlfn.CONCAT(CHAR(92),"$")),CHAR(96),_xlfn.CONCAT(CHAR(92),CHAR(96))),CHAR(34),CHAR(39))))</f>
        <v/>
      </c>
      <c r="M525" s="5" t="str">
        <f>IF(OR(TRIM($B525)="",$C525=""),"",IF(IFERROR(MATCH(TRIM($C525),{"Quantitative","Continuous","Discrete","Categorical","Nominal","Ordinal","Identifier"},0),0)=0,_xlfn.CONCAT("* REVIEW REQUIRED: invalid Variable Type on Sheet 1 row ",525,"."),_xlfn.CONCAT("char ",TRIM($B525),"[doc_vartype] ",CHAR(96),CHAR(34),SUBSTITUTE(SUBSTITUTE(SUBSTITUTE(SUBSTITUTE(SUBSTITUTE(SUBSTITUTE(LOWER(TRIM($C525)),CHAR(13)," "),CHAR(10)," "),CHAR(9)," "),CHAR(92),_xlfn.CONCAT(CHAR(92),CHAR(92))),"$",_xlfn.CONCAT(CHAR(92),"$")),CHAR(96),_xlfn.CONCAT(CHAR(92),CHAR(96))),CHAR(34),CHAR(39))))</f>
        <v/>
      </c>
      <c r="N525" s="5" t="str">
        <f>IF(OR(TRIM($B525)="",$D525=""),"",IF(OR(ISNUMBER(SEARCH(_xlfn.CONCAT(CHAR(96),CHAR(34)),$D525)),ISNUMBER(SEARCH(_xlfn.CONCAT(CHAR(34),CHAR(39)),$D525))),_xlfn.CONCAT("* REVIEW REQUIRED: compound-quote delimiter in Item Number on Sheet 1 row ",525,"; edit the input before running."),_xlfn.CONCAT("char ",TRIM($B525),"[doc_itemnum] ",CHAR(96),CHAR(34),SUBSTITUTE(SUBSTITUTE(SUBSTITUTE(SUBSTITUTE(SUBSTITUTE(SUBSTITUTE($D525,CHAR(13)," "),CHAR(10)," "),CHAR(9)," "),CHAR(92),_xlfn.CONCAT(CHAR(92),CHAR(92))),"$",_xlfn.CONCAT(CHAR(92),"$")),CHAR(96),_xlfn.CONCAT(CHAR(92),CHAR(96))),CHAR(34),CHAR(39))))</f>
        <v/>
      </c>
      <c r="O525" s="5" t="str">
        <f>IF(OR(TRIM($B525)="",$E525=""),"",IF(OR(ISNUMBER(SEARCH(_xlfn.CONCAT(CHAR(96),CHAR(34)),$E525)),ISNUMBER(SEARCH(_xlfn.CONCAT(CHAR(34),CHAR(39)),$E525))),_xlfn.CONCAT("* REVIEW REQUIRED: compound-quote delimiter in Question Wording on Sheet 1 row ",525,"; edit the input before running."),_xlfn.CONCAT("char ",TRIM($B525),"[doc_question] ",CHAR(96),CHAR(34),SUBSTITUTE(SUBSTITUTE(SUBSTITUTE(SUBSTITUTE(SUBSTITUTE(SUBSTITUTE($E525,CHAR(13)," "),CHAR(10)," "),CHAR(9)," "),CHAR(92),_xlfn.CONCAT(CHAR(92),CHAR(92))),"$",_xlfn.CONCAT(CHAR(92),"$")),CHAR(96),_xlfn.CONCAT(CHAR(92),CHAR(96))),CHAR(34),CHAR(39))))</f>
        <v/>
      </c>
      <c r="P525" s="5" t="str">
        <f>IF(OR(TRIM($B525)="",$F525=""),"",IF(OR(ISNUMBER(SEARCH(_xlfn.CONCAT(CHAR(96),CHAR(34)),$F525)),ISNUMBER(SEARCH(_xlfn.CONCAT(CHAR(34),CHAR(39)),$F525))),_xlfn.CONCAT("* REVIEW REQUIRED: compound-quote delimiter in Units on Sheet 1 row ",525,"; edit the input before running."),_xlfn.CONCAT("char ",TRIM($B525),"[doc_units] ",CHAR(96),CHAR(34),SUBSTITUTE(SUBSTITUTE(SUBSTITUTE(SUBSTITUTE(SUBSTITUTE(SUBSTITUTE($F525,CHAR(13)," "),CHAR(10)," "),CHAR(9)," "),CHAR(92),_xlfn.CONCAT(CHAR(92),CHAR(92))),"$",_xlfn.CONCAT(CHAR(92),"$")),CHAR(96),_xlfn.CONCAT(CHAR(92),CHAR(96))),CHAR(34),CHAR(39))))</f>
        <v/>
      </c>
      <c r="Q525" s="5" t="str">
        <f>IF(OR(TRIM($B525)="",$G525=""),"",IF(OR(ISNUMBER(SEARCH(_xlfn.CONCAT(CHAR(96),CHAR(34)),$G525)),ISNUMBER(SEARCH(_xlfn.CONCAT(CHAR(34),CHAR(39)),$G525))),_xlfn.CONCAT("* REVIEW REQUIRED: compound-quote delimiter in Universe on Sheet 1 row ",525,"; edit the input before running."),_xlfn.CONCAT("char ",TRIM($B525),"[doc_universe] ",CHAR(96),CHAR(34),SUBSTITUTE(SUBSTITUTE(SUBSTITUTE(SUBSTITUTE(SUBSTITUTE(SUBSTITUTE($G525,CHAR(13)," "),CHAR(10)," "),CHAR(9)," "),CHAR(92),_xlfn.CONCAT(CHAR(92),CHAR(92))),"$",_xlfn.CONCAT(CHAR(92),"$")),CHAR(96),_xlfn.CONCAT(CHAR(92),CHAR(96))),CHAR(34),CHAR(39))))</f>
        <v/>
      </c>
      <c r="R525" s="5" t="str">
        <f>IF(OR(TRIM($B525)="",$H525=""),"",IF(OR(ISNUMBER(SEARCH(_xlfn.CONCAT(CHAR(96),CHAR(34)),$H525)),ISNUMBER(SEARCH(_xlfn.CONCAT(CHAR(34),CHAR(39)),$H525))),_xlfn.CONCAT("* REVIEW REQUIRED: compound-quote delimiter in Source on Sheet 1 row ",525,"; edit the input before running."),_xlfn.CONCAT("char ",TRIM($B525),"[doc_source] ",CHAR(96),CHAR(34),SUBSTITUTE(SUBSTITUTE(SUBSTITUTE(SUBSTITUTE(SUBSTITUTE(SUBSTITUTE($H525,CHAR(13)," "),CHAR(10)," "),CHAR(9)," "),CHAR(92),_xlfn.CONCAT(CHAR(92),CHAR(92))),"$",_xlfn.CONCAT(CHAR(92),"$")),CHAR(96),_xlfn.CONCAT(CHAR(92),CHAR(96))),CHAR(34),CHAR(39))))</f>
        <v/>
      </c>
      <c r="S525" s="5" t="str">
        <f>IF(OR(TRIM($B525)="",$I525=""),"",IF(OR(ISNUMBER(SEARCH(_xlfn.CONCAT(CHAR(96),CHAR(34)),$I525)),ISNUMBER(SEARCH(_xlfn.CONCAT(CHAR(34),CHAR(39)),$I525))),_xlfn.CONCAT("* REVIEW REQUIRED: compound-quote delimiter in Derivation on Sheet 1 row ",525,"; edit the input before running."),_xlfn.CONCAT("char ",TRIM($B525),"[doc_derivation] ",CHAR(96),CHAR(34),SUBSTITUTE(SUBSTITUTE(SUBSTITUTE(SUBSTITUTE(SUBSTITUTE(SUBSTITUTE($I525,CHAR(13)," "),CHAR(10)," "),CHAR(9)," "),CHAR(92),_xlfn.CONCAT(CHAR(92),CHAR(92))),"$",_xlfn.CONCAT(CHAR(92),"$")),CHAR(96),_xlfn.CONCAT(CHAR(92),CHAR(96))),CHAR(34),CHAR(39))))</f>
        <v/>
      </c>
      <c r="T525" s="5" t="str">
        <f>IF(OR(TRIM($B525)="",$J525=""),"",IF(OR(ISNUMBER(SEARCH(_xlfn.CONCAT(CHAR(96),CHAR(34)),$J525)),ISNUMBER(SEARCH(_xlfn.CONCAT(CHAR(34),CHAR(39)),$J525))),_xlfn.CONCAT("* REVIEW REQUIRED: compound-quote delimiter in Notes on Sheet 1 row ",525,"; edit the input before running."),_xlfn.CONCAT("char ",TRIM($B525),"[doc_notes] ",CHAR(96),CHAR(34),SUBSTITUTE(SUBSTITUTE(SUBSTITUTE(SUBSTITUTE(SUBSTITUTE(SUBSTITUTE($J525,CHAR(13)," "),CHAR(10)," "),CHAR(9)," "),CHAR(92),_xlfn.CONCAT(CHAR(92),CHAR(92))),"$",_xlfn.CONCAT(CHAR(92),"$")),CHAR(96),_xlfn.CONCAT(CHAR(92),CHAR(96))),CHAR(34),CHAR(39))))</f>
        <v/>
      </c>
      <c r="U525" s="5">
        <f t="shared" si="15"/>
        <v>0</v>
      </c>
    </row>
    <row r="526" spans="3:21" ht="30" customHeight="1" x14ac:dyDescent="0.2">
      <c r="C526" s="4"/>
      <c r="K526" s="5">
        <f t="shared" si="14"/>
        <v>0</v>
      </c>
      <c r="L526" s="5" t="str">
        <f>IF(OR(TRIM($B526)="",$A526=""),"",IF(OR(ISNUMBER(SEARCH(_xlfn.CONCAT(CHAR(96),CHAR(34)),$A526)),ISNUMBER(SEARCH(_xlfn.CONCAT(CHAR(34),CHAR(39)),$A526))),_xlfn.CONCAT("* REVIEW REQUIRED: compound-quote delimiter in Codebook Section on Sheet 1 row ",526,"; edit the input before running."),_xlfn.CONCAT("char ",TRIM($B526),"[doc_section] ",CHAR(96),CHAR(34),SUBSTITUTE(SUBSTITUTE(SUBSTITUTE(SUBSTITUTE(SUBSTITUTE(SUBSTITUTE($A526,CHAR(13)," "),CHAR(10)," "),CHAR(9)," "),CHAR(92),_xlfn.CONCAT(CHAR(92),CHAR(92))),"$",_xlfn.CONCAT(CHAR(92),"$")),CHAR(96),_xlfn.CONCAT(CHAR(92),CHAR(96))),CHAR(34),CHAR(39))))</f>
        <v/>
      </c>
      <c r="M526" s="5" t="str">
        <f>IF(OR(TRIM($B526)="",$C526=""),"",IF(IFERROR(MATCH(TRIM($C526),{"Quantitative","Continuous","Discrete","Categorical","Nominal","Ordinal","Identifier"},0),0)=0,_xlfn.CONCAT("* REVIEW REQUIRED: invalid Variable Type on Sheet 1 row ",526,"."),_xlfn.CONCAT("char ",TRIM($B526),"[doc_vartype] ",CHAR(96),CHAR(34),SUBSTITUTE(SUBSTITUTE(SUBSTITUTE(SUBSTITUTE(SUBSTITUTE(SUBSTITUTE(LOWER(TRIM($C526)),CHAR(13)," "),CHAR(10)," "),CHAR(9)," "),CHAR(92),_xlfn.CONCAT(CHAR(92),CHAR(92))),"$",_xlfn.CONCAT(CHAR(92),"$")),CHAR(96),_xlfn.CONCAT(CHAR(92),CHAR(96))),CHAR(34),CHAR(39))))</f>
        <v/>
      </c>
      <c r="N526" s="5" t="str">
        <f>IF(OR(TRIM($B526)="",$D526=""),"",IF(OR(ISNUMBER(SEARCH(_xlfn.CONCAT(CHAR(96),CHAR(34)),$D526)),ISNUMBER(SEARCH(_xlfn.CONCAT(CHAR(34),CHAR(39)),$D526))),_xlfn.CONCAT("* REVIEW REQUIRED: compound-quote delimiter in Item Number on Sheet 1 row ",526,"; edit the input before running."),_xlfn.CONCAT("char ",TRIM($B526),"[doc_itemnum] ",CHAR(96),CHAR(34),SUBSTITUTE(SUBSTITUTE(SUBSTITUTE(SUBSTITUTE(SUBSTITUTE(SUBSTITUTE($D526,CHAR(13)," "),CHAR(10)," "),CHAR(9)," "),CHAR(92),_xlfn.CONCAT(CHAR(92),CHAR(92))),"$",_xlfn.CONCAT(CHAR(92),"$")),CHAR(96),_xlfn.CONCAT(CHAR(92),CHAR(96))),CHAR(34),CHAR(39))))</f>
        <v/>
      </c>
      <c r="O526" s="5" t="str">
        <f>IF(OR(TRIM($B526)="",$E526=""),"",IF(OR(ISNUMBER(SEARCH(_xlfn.CONCAT(CHAR(96),CHAR(34)),$E526)),ISNUMBER(SEARCH(_xlfn.CONCAT(CHAR(34),CHAR(39)),$E526))),_xlfn.CONCAT("* REVIEW REQUIRED: compound-quote delimiter in Question Wording on Sheet 1 row ",526,"; edit the input before running."),_xlfn.CONCAT("char ",TRIM($B526),"[doc_question] ",CHAR(96),CHAR(34),SUBSTITUTE(SUBSTITUTE(SUBSTITUTE(SUBSTITUTE(SUBSTITUTE(SUBSTITUTE($E526,CHAR(13)," "),CHAR(10)," "),CHAR(9)," "),CHAR(92),_xlfn.CONCAT(CHAR(92),CHAR(92))),"$",_xlfn.CONCAT(CHAR(92),"$")),CHAR(96),_xlfn.CONCAT(CHAR(92),CHAR(96))),CHAR(34),CHAR(39))))</f>
        <v/>
      </c>
      <c r="P526" s="5" t="str">
        <f>IF(OR(TRIM($B526)="",$F526=""),"",IF(OR(ISNUMBER(SEARCH(_xlfn.CONCAT(CHAR(96),CHAR(34)),$F526)),ISNUMBER(SEARCH(_xlfn.CONCAT(CHAR(34),CHAR(39)),$F526))),_xlfn.CONCAT("* REVIEW REQUIRED: compound-quote delimiter in Units on Sheet 1 row ",526,"; edit the input before running."),_xlfn.CONCAT("char ",TRIM($B526),"[doc_units] ",CHAR(96),CHAR(34),SUBSTITUTE(SUBSTITUTE(SUBSTITUTE(SUBSTITUTE(SUBSTITUTE(SUBSTITUTE($F526,CHAR(13)," "),CHAR(10)," "),CHAR(9)," "),CHAR(92),_xlfn.CONCAT(CHAR(92),CHAR(92))),"$",_xlfn.CONCAT(CHAR(92),"$")),CHAR(96),_xlfn.CONCAT(CHAR(92),CHAR(96))),CHAR(34),CHAR(39))))</f>
        <v/>
      </c>
      <c r="Q526" s="5" t="str">
        <f>IF(OR(TRIM($B526)="",$G526=""),"",IF(OR(ISNUMBER(SEARCH(_xlfn.CONCAT(CHAR(96),CHAR(34)),$G526)),ISNUMBER(SEARCH(_xlfn.CONCAT(CHAR(34),CHAR(39)),$G526))),_xlfn.CONCAT("* REVIEW REQUIRED: compound-quote delimiter in Universe on Sheet 1 row ",526,"; edit the input before running."),_xlfn.CONCAT("char ",TRIM($B526),"[doc_universe] ",CHAR(96),CHAR(34),SUBSTITUTE(SUBSTITUTE(SUBSTITUTE(SUBSTITUTE(SUBSTITUTE(SUBSTITUTE($G526,CHAR(13)," "),CHAR(10)," "),CHAR(9)," "),CHAR(92),_xlfn.CONCAT(CHAR(92),CHAR(92))),"$",_xlfn.CONCAT(CHAR(92),"$")),CHAR(96),_xlfn.CONCAT(CHAR(92),CHAR(96))),CHAR(34),CHAR(39))))</f>
        <v/>
      </c>
      <c r="R526" s="5" t="str">
        <f>IF(OR(TRIM($B526)="",$H526=""),"",IF(OR(ISNUMBER(SEARCH(_xlfn.CONCAT(CHAR(96),CHAR(34)),$H526)),ISNUMBER(SEARCH(_xlfn.CONCAT(CHAR(34),CHAR(39)),$H526))),_xlfn.CONCAT("* REVIEW REQUIRED: compound-quote delimiter in Source on Sheet 1 row ",526,"; edit the input before running."),_xlfn.CONCAT("char ",TRIM($B526),"[doc_source] ",CHAR(96),CHAR(34),SUBSTITUTE(SUBSTITUTE(SUBSTITUTE(SUBSTITUTE(SUBSTITUTE(SUBSTITUTE($H526,CHAR(13)," "),CHAR(10)," "),CHAR(9)," "),CHAR(92),_xlfn.CONCAT(CHAR(92),CHAR(92))),"$",_xlfn.CONCAT(CHAR(92),"$")),CHAR(96),_xlfn.CONCAT(CHAR(92),CHAR(96))),CHAR(34),CHAR(39))))</f>
        <v/>
      </c>
      <c r="S526" s="5" t="str">
        <f>IF(OR(TRIM($B526)="",$I526=""),"",IF(OR(ISNUMBER(SEARCH(_xlfn.CONCAT(CHAR(96),CHAR(34)),$I526)),ISNUMBER(SEARCH(_xlfn.CONCAT(CHAR(34),CHAR(39)),$I526))),_xlfn.CONCAT("* REVIEW REQUIRED: compound-quote delimiter in Derivation on Sheet 1 row ",526,"; edit the input before running."),_xlfn.CONCAT("char ",TRIM($B526),"[doc_derivation] ",CHAR(96),CHAR(34),SUBSTITUTE(SUBSTITUTE(SUBSTITUTE(SUBSTITUTE(SUBSTITUTE(SUBSTITUTE($I526,CHAR(13)," "),CHAR(10)," "),CHAR(9)," "),CHAR(92),_xlfn.CONCAT(CHAR(92),CHAR(92))),"$",_xlfn.CONCAT(CHAR(92),"$")),CHAR(96),_xlfn.CONCAT(CHAR(92),CHAR(96))),CHAR(34),CHAR(39))))</f>
        <v/>
      </c>
      <c r="T526" s="5" t="str">
        <f>IF(OR(TRIM($B526)="",$J526=""),"",IF(OR(ISNUMBER(SEARCH(_xlfn.CONCAT(CHAR(96),CHAR(34)),$J526)),ISNUMBER(SEARCH(_xlfn.CONCAT(CHAR(34),CHAR(39)),$J526))),_xlfn.CONCAT("* REVIEW REQUIRED: compound-quote delimiter in Notes on Sheet 1 row ",526,"; edit the input before running."),_xlfn.CONCAT("char ",TRIM($B526),"[doc_notes] ",CHAR(96),CHAR(34),SUBSTITUTE(SUBSTITUTE(SUBSTITUTE(SUBSTITUTE(SUBSTITUTE(SUBSTITUTE($J526,CHAR(13)," "),CHAR(10)," "),CHAR(9)," "),CHAR(92),_xlfn.CONCAT(CHAR(92),CHAR(92))),"$",_xlfn.CONCAT(CHAR(92),"$")),CHAR(96),_xlfn.CONCAT(CHAR(92),CHAR(96))),CHAR(34),CHAR(39))))</f>
        <v/>
      </c>
      <c r="U526" s="5">
        <f t="shared" si="15"/>
        <v>0</v>
      </c>
    </row>
    <row r="527" spans="3:21" ht="30" customHeight="1" x14ac:dyDescent="0.2">
      <c r="C527" s="4"/>
      <c r="K527" s="5">
        <f t="shared" si="14"/>
        <v>0</v>
      </c>
      <c r="L527" s="5" t="str">
        <f>IF(OR(TRIM($B527)="",$A527=""),"",IF(OR(ISNUMBER(SEARCH(_xlfn.CONCAT(CHAR(96),CHAR(34)),$A527)),ISNUMBER(SEARCH(_xlfn.CONCAT(CHAR(34),CHAR(39)),$A527))),_xlfn.CONCAT("* REVIEW REQUIRED: compound-quote delimiter in Codebook Section on Sheet 1 row ",527,"; edit the input before running."),_xlfn.CONCAT("char ",TRIM($B527),"[doc_section] ",CHAR(96),CHAR(34),SUBSTITUTE(SUBSTITUTE(SUBSTITUTE(SUBSTITUTE(SUBSTITUTE(SUBSTITUTE($A527,CHAR(13)," "),CHAR(10)," "),CHAR(9)," "),CHAR(92),_xlfn.CONCAT(CHAR(92),CHAR(92))),"$",_xlfn.CONCAT(CHAR(92),"$")),CHAR(96),_xlfn.CONCAT(CHAR(92),CHAR(96))),CHAR(34),CHAR(39))))</f>
        <v/>
      </c>
      <c r="M527" s="5" t="str">
        <f>IF(OR(TRIM($B527)="",$C527=""),"",IF(IFERROR(MATCH(TRIM($C527),{"Quantitative","Continuous","Discrete","Categorical","Nominal","Ordinal","Identifier"},0),0)=0,_xlfn.CONCAT("* REVIEW REQUIRED: invalid Variable Type on Sheet 1 row ",527,"."),_xlfn.CONCAT("char ",TRIM($B527),"[doc_vartype] ",CHAR(96),CHAR(34),SUBSTITUTE(SUBSTITUTE(SUBSTITUTE(SUBSTITUTE(SUBSTITUTE(SUBSTITUTE(LOWER(TRIM($C527)),CHAR(13)," "),CHAR(10)," "),CHAR(9)," "),CHAR(92),_xlfn.CONCAT(CHAR(92),CHAR(92))),"$",_xlfn.CONCAT(CHAR(92),"$")),CHAR(96),_xlfn.CONCAT(CHAR(92),CHAR(96))),CHAR(34),CHAR(39))))</f>
        <v/>
      </c>
      <c r="N527" s="5" t="str">
        <f>IF(OR(TRIM($B527)="",$D527=""),"",IF(OR(ISNUMBER(SEARCH(_xlfn.CONCAT(CHAR(96),CHAR(34)),$D527)),ISNUMBER(SEARCH(_xlfn.CONCAT(CHAR(34),CHAR(39)),$D527))),_xlfn.CONCAT("* REVIEW REQUIRED: compound-quote delimiter in Item Number on Sheet 1 row ",527,"; edit the input before running."),_xlfn.CONCAT("char ",TRIM($B527),"[doc_itemnum] ",CHAR(96),CHAR(34),SUBSTITUTE(SUBSTITUTE(SUBSTITUTE(SUBSTITUTE(SUBSTITUTE(SUBSTITUTE($D527,CHAR(13)," "),CHAR(10)," "),CHAR(9)," "),CHAR(92),_xlfn.CONCAT(CHAR(92),CHAR(92))),"$",_xlfn.CONCAT(CHAR(92),"$")),CHAR(96),_xlfn.CONCAT(CHAR(92),CHAR(96))),CHAR(34),CHAR(39))))</f>
        <v/>
      </c>
      <c r="O527" s="5" t="str">
        <f>IF(OR(TRIM($B527)="",$E527=""),"",IF(OR(ISNUMBER(SEARCH(_xlfn.CONCAT(CHAR(96),CHAR(34)),$E527)),ISNUMBER(SEARCH(_xlfn.CONCAT(CHAR(34),CHAR(39)),$E527))),_xlfn.CONCAT("* REVIEW REQUIRED: compound-quote delimiter in Question Wording on Sheet 1 row ",527,"; edit the input before running."),_xlfn.CONCAT("char ",TRIM($B527),"[doc_question] ",CHAR(96),CHAR(34),SUBSTITUTE(SUBSTITUTE(SUBSTITUTE(SUBSTITUTE(SUBSTITUTE(SUBSTITUTE($E527,CHAR(13)," "),CHAR(10)," "),CHAR(9)," "),CHAR(92),_xlfn.CONCAT(CHAR(92),CHAR(92))),"$",_xlfn.CONCAT(CHAR(92),"$")),CHAR(96),_xlfn.CONCAT(CHAR(92),CHAR(96))),CHAR(34),CHAR(39))))</f>
        <v/>
      </c>
      <c r="P527" s="5" t="str">
        <f>IF(OR(TRIM($B527)="",$F527=""),"",IF(OR(ISNUMBER(SEARCH(_xlfn.CONCAT(CHAR(96),CHAR(34)),$F527)),ISNUMBER(SEARCH(_xlfn.CONCAT(CHAR(34),CHAR(39)),$F527))),_xlfn.CONCAT("* REVIEW REQUIRED: compound-quote delimiter in Units on Sheet 1 row ",527,"; edit the input before running."),_xlfn.CONCAT("char ",TRIM($B527),"[doc_units] ",CHAR(96),CHAR(34),SUBSTITUTE(SUBSTITUTE(SUBSTITUTE(SUBSTITUTE(SUBSTITUTE(SUBSTITUTE($F527,CHAR(13)," "),CHAR(10)," "),CHAR(9)," "),CHAR(92),_xlfn.CONCAT(CHAR(92),CHAR(92))),"$",_xlfn.CONCAT(CHAR(92),"$")),CHAR(96),_xlfn.CONCAT(CHAR(92),CHAR(96))),CHAR(34),CHAR(39))))</f>
        <v/>
      </c>
      <c r="Q527" s="5" t="str">
        <f>IF(OR(TRIM($B527)="",$G527=""),"",IF(OR(ISNUMBER(SEARCH(_xlfn.CONCAT(CHAR(96),CHAR(34)),$G527)),ISNUMBER(SEARCH(_xlfn.CONCAT(CHAR(34),CHAR(39)),$G527))),_xlfn.CONCAT("* REVIEW REQUIRED: compound-quote delimiter in Universe on Sheet 1 row ",527,"; edit the input before running."),_xlfn.CONCAT("char ",TRIM($B527),"[doc_universe] ",CHAR(96),CHAR(34),SUBSTITUTE(SUBSTITUTE(SUBSTITUTE(SUBSTITUTE(SUBSTITUTE(SUBSTITUTE($G527,CHAR(13)," "),CHAR(10)," "),CHAR(9)," "),CHAR(92),_xlfn.CONCAT(CHAR(92),CHAR(92))),"$",_xlfn.CONCAT(CHAR(92),"$")),CHAR(96),_xlfn.CONCAT(CHAR(92),CHAR(96))),CHAR(34),CHAR(39))))</f>
        <v/>
      </c>
      <c r="R527" s="5" t="str">
        <f>IF(OR(TRIM($B527)="",$H527=""),"",IF(OR(ISNUMBER(SEARCH(_xlfn.CONCAT(CHAR(96),CHAR(34)),$H527)),ISNUMBER(SEARCH(_xlfn.CONCAT(CHAR(34),CHAR(39)),$H527))),_xlfn.CONCAT("* REVIEW REQUIRED: compound-quote delimiter in Source on Sheet 1 row ",527,"; edit the input before running."),_xlfn.CONCAT("char ",TRIM($B527),"[doc_source] ",CHAR(96),CHAR(34),SUBSTITUTE(SUBSTITUTE(SUBSTITUTE(SUBSTITUTE(SUBSTITUTE(SUBSTITUTE($H527,CHAR(13)," "),CHAR(10)," "),CHAR(9)," "),CHAR(92),_xlfn.CONCAT(CHAR(92),CHAR(92))),"$",_xlfn.CONCAT(CHAR(92),"$")),CHAR(96),_xlfn.CONCAT(CHAR(92),CHAR(96))),CHAR(34),CHAR(39))))</f>
        <v/>
      </c>
      <c r="S527" s="5" t="str">
        <f>IF(OR(TRIM($B527)="",$I527=""),"",IF(OR(ISNUMBER(SEARCH(_xlfn.CONCAT(CHAR(96),CHAR(34)),$I527)),ISNUMBER(SEARCH(_xlfn.CONCAT(CHAR(34),CHAR(39)),$I527))),_xlfn.CONCAT("* REVIEW REQUIRED: compound-quote delimiter in Derivation on Sheet 1 row ",527,"; edit the input before running."),_xlfn.CONCAT("char ",TRIM($B527),"[doc_derivation] ",CHAR(96),CHAR(34),SUBSTITUTE(SUBSTITUTE(SUBSTITUTE(SUBSTITUTE(SUBSTITUTE(SUBSTITUTE($I527,CHAR(13)," "),CHAR(10)," "),CHAR(9)," "),CHAR(92),_xlfn.CONCAT(CHAR(92),CHAR(92))),"$",_xlfn.CONCAT(CHAR(92),"$")),CHAR(96),_xlfn.CONCAT(CHAR(92),CHAR(96))),CHAR(34),CHAR(39))))</f>
        <v/>
      </c>
      <c r="T527" s="5" t="str">
        <f>IF(OR(TRIM($B527)="",$J527=""),"",IF(OR(ISNUMBER(SEARCH(_xlfn.CONCAT(CHAR(96),CHAR(34)),$J527)),ISNUMBER(SEARCH(_xlfn.CONCAT(CHAR(34),CHAR(39)),$J527))),_xlfn.CONCAT("* REVIEW REQUIRED: compound-quote delimiter in Notes on Sheet 1 row ",527,"; edit the input before running."),_xlfn.CONCAT("char ",TRIM($B527),"[doc_notes] ",CHAR(96),CHAR(34),SUBSTITUTE(SUBSTITUTE(SUBSTITUTE(SUBSTITUTE(SUBSTITUTE(SUBSTITUTE($J527,CHAR(13)," "),CHAR(10)," "),CHAR(9)," "),CHAR(92),_xlfn.CONCAT(CHAR(92),CHAR(92))),"$",_xlfn.CONCAT(CHAR(92),"$")),CHAR(96),_xlfn.CONCAT(CHAR(92),CHAR(96))),CHAR(34),CHAR(39))))</f>
        <v/>
      </c>
      <c r="U527" s="5">
        <f t="shared" si="15"/>
        <v>0</v>
      </c>
    </row>
    <row r="528" spans="3:21" ht="30" customHeight="1" x14ac:dyDescent="0.2">
      <c r="C528" s="4"/>
      <c r="K528" s="5">
        <f t="shared" si="14"/>
        <v>0</v>
      </c>
      <c r="L528" s="5" t="str">
        <f>IF(OR(TRIM($B528)="",$A528=""),"",IF(OR(ISNUMBER(SEARCH(_xlfn.CONCAT(CHAR(96),CHAR(34)),$A528)),ISNUMBER(SEARCH(_xlfn.CONCAT(CHAR(34),CHAR(39)),$A528))),_xlfn.CONCAT("* REVIEW REQUIRED: compound-quote delimiter in Codebook Section on Sheet 1 row ",528,"; edit the input before running."),_xlfn.CONCAT("char ",TRIM($B528),"[doc_section] ",CHAR(96),CHAR(34),SUBSTITUTE(SUBSTITUTE(SUBSTITUTE(SUBSTITUTE(SUBSTITUTE(SUBSTITUTE($A528,CHAR(13)," "),CHAR(10)," "),CHAR(9)," "),CHAR(92),_xlfn.CONCAT(CHAR(92),CHAR(92))),"$",_xlfn.CONCAT(CHAR(92),"$")),CHAR(96),_xlfn.CONCAT(CHAR(92),CHAR(96))),CHAR(34),CHAR(39))))</f>
        <v/>
      </c>
      <c r="M528" s="5" t="str">
        <f>IF(OR(TRIM($B528)="",$C528=""),"",IF(IFERROR(MATCH(TRIM($C528),{"Quantitative","Continuous","Discrete","Categorical","Nominal","Ordinal","Identifier"},0),0)=0,_xlfn.CONCAT("* REVIEW REQUIRED: invalid Variable Type on Sheet 1 row ",528,"."),_xlfn.CONCAT("char ",TRIM($B528),"[doc_vartype] ",CHAR(96),CHAR(34),SUBSTITUTE(SUBSTITUTE(SUBSTITUTE(SUBSTITUTE(SUBSTITUTE(SUBSTITUTE(LOWER(TRIM($C528)),CHAR(13)," "),CHAR(10)," "),CHAR(9)," "),CHAR(92),_xlfn.CONCAT(CHAR(92),CHAR(92))),"$",_xlfn.CONCAT(CHAR(92),"$")),CHAR(96),_xlfn.CONCAT(CHAR(92),CHAR(96))),CHAR(34),CHAR(39))))</f>
        <v/>
      </c>
      <c r="N528" s="5" t="str">
        <f>IF(OR(TRIM($B528)="",$D528=""),"",IF(OR(ISNUMBER(SEARCH(_xlfn.CONCAT(CHAR(96),CHAR(34)),$D528)),ISNUMBER(SEARCH(_xlfn.CONCAT(CHAR(34),CHAR(39)),$D528))),_xlfn.CONCAT("* REVIEW REQUIRED: compound-quote delimiter in Item Number on Sheet 1 row ",528,"; edit the input before running."),_xlfn.CONCAT("char ",TRIM($B528),"[doc_itemnum] ",CHAR(96),CHAR(34),SUBSTITUTE(SUBSTITUTE(SUBSTITUTE(SUBSTITUTE(SUBSTITUTE(SUBSTITUTE($D528,CHAR(13)," "),CHAR(10)," "),CHAR(9)," "),CHAR(92),_xlfn.CONCAT(CHAR(92),CHAR(92))),"$",_xlfn.CONCAT(CHAR(92),"$")),CHAR(96),_xlfn.CONCAT(CHAR(92),CHAR(96))),CHAR(34),CHAR(39))))</f>
        <v/>
      </c>
      <c r="O528" s="5" t="str">
        <f>IF(OR(TRIM($B528)="",$E528=""),"",IF(OR(ISNUMBER(SEARCH(_xlfn.CONCAT(CHAR(96),CHAR(34)),$E528)),ISNUMBER(SEARCH(_xlfn.CONCAT(CHAR(34),CHAR(39)),$E528))),_xlfn.CONCAT("* REVIEW REQUIRED: compound-quote delimiter in Question Wording on Sheet 1 row ",528,"; edit the input before running."),_xlfn.CONCAT("char ",TRIM($B528),"[doc_question] ",CHAR(96),CHAR(34),SUBSTITUTE(SUBSTITUTE(SUBSTITUTE(SUBSTITUTE(SUBSTITUTE(SUBSTITUTE($E528,CHAR(13)," "),CHAR(10)," "),CHAR(9)," "),CHAR(92),_xlfn.CONCAT(CHAR(92),CHAR(92))),"$",_xlfn.CONCAT(CHAR(92),"$")),CHAR(96),_xlfn.CONCAT(CHAR(92),CHAR(96))),CHAR(34),CHAR(39))))</f>
        <v/>
      </c>
      <c r="P528" s="5" t="str">
        <f>IF(OR(TRIM($B528)="",$F528=""),"",IF(OR(ISNUMBER(SEARCH(_xlfn.CONCAT(CHAR(96),CHAR(34)),$F528)),ISNUMBER(SEARCH(_xlfn.CONCAT(CHAR(34),CHAR(39)),$F528))),_xlfn.CONCAT("* REVIEW REQUIRED: compound-quote delimiter in Units on Sheet 1 row ",528,"; edit the input before running."),_xlfn.CONCAT("char ",TRIM($B528),"[doc_units] ",CHAR(96),CHAR(34),SUBSTITUTE(SUBSTITUTE(SUBSTITUTE(SUBSTITUTE(SUBSTITUTE(SUBSTITUTE($F528,CHAR(13)," "),CHAR(10)," "),CHAR(9)," "),CHAR(92),_xlfn.CONCAT(CHAR(92),CHAR(92))),"$",_xlfn.CONCAT(CHAR(92),"$")),CHAR(96),_xlfn.CONCAT(CHAR(92),CHAR(96))),CHAR(34),CHAR(39))))</f>
        <v/>
      </c>
      <c r="Q528" s="5" t="str">
        <f>IF(OR(TRIM($B528)="",$G528=""),"",IF(OR(ISNUMBER(SEARCH(_xlfn.CONCAT(CHAR(96),CHAR(34)),$G528)),ISNUMBER(SEARCH(_xlfn.CONCAT(CHAR(34),CHAR(39)),$G528))),_xlfn.CONCAT("* REVIEW REQUIRED: compound-quote delimiter in Universe on Sheet 1 row ",528,"; edit the input before running."),_xlfn.CONCAT("char ",TRIM($B528),"[doc_universe] ",CHAR(96),CHAR(34),SUBSTITUTE(SUBSTITUTE(SUBSTITUTE(SUBSTITUTE(SUBSTITUTE(SUBSTITUTE($G528,CHAR(13)," "),CHAR(10)," "),CHAR(9)," "),CHAR(92),_xlfn.CONCAT(CHAR(92),CHAR(92))),"$",_xlfn.CONCAT(CHAR(92),"$")),CHAR(96),_xlfn.CONCAT(CHAR(92),CHAR(96))),CHAR(34),CHAR(39))))</f>
        <v/>
      </c>
      <c r="R528" s="5" t="str">
        <f>IF(OR(TRIM($B528)="",$H528=""),"",IF(OR(ISNUMBER(SEARCH(_xlfn.CONCAT(CHAR(96),CHAR(34)),$H528)),ISNUMBER(SEARCH(_xlfn.CONCAT(CHAR(34),CHAR(39)),$H528))),_xlfn.CONCAT("* REVIEW REQUIRED: compound-quote delimiter in Source on Sheet 1 row ",528,"; edit the input before running."),_xlfn.CONCAT("char ",TRIM($B528),"[doc_source] ",CHAR(96),CHAR(34),SUBSTITUTE(SUBSTITUTE(SUBSTITUTE(SUBSTITUTE(SUBSTITUTE(SUBSTITUTE($H528,CHAR(13)," "),CHAR(10)," "),CHAR(9)," "),CHAR(92),_xlfn.CONCAT(CHAR(92),CHAR(92))),"$",_xlfn.CONCAT(CHAR(92),"$")),CHAR(96),_xlfn.CONCAT(CHAR(92),CHAR(96))),CHAR(34),CHAR(39))))</f>
        <v/>
      </c>
      <c r="S528" s="5" t="str">
        <f>IF(OR(TRIM($B528)="",$I528=""),"",IF(OR(ISNUMBER(SEARCH(_xlfn.CONCAT(CHAR(96),CHAR(34)),$I528)),ISNUMBER(SEARCH(_xlfn.CONCAT(CHAR(34),CHAR(39)),$I528))),_xlfn.CONCAT("* REVIEW REQUIRED: compound-quote delimiter in Derivation on Sheet 1 row ",528,"; edit the input before running."),_xlfn.CONCAT("char ",TRIM($B528),"[doc_derivation] ",CHAR(96),CHAR(34),SUBSTITUTE(SUBSTITUTE(SUBSTITUTE(SUBSTITUTE(SUBSTITUTE(SUBSTITUTE($I528,CHAR(13)," "),CHAR(10)," "),CHAR(9)," "),CHAR(92),_xlfn.CONCAT(CHAR(92),CHAR(92))),"$",_xlfn.CONCAT(CHAR(92),"$")),CHAR(96),_xlfn.CONCAT(CHAR(92),CHAR(96))),CHAR(34),CHAR(39))))</f>
        <v/>
      </c>
      <c r="T528" s="5" t="str">
        <f>IF(OR(TRIM($B528)="",$J528=""),"",IF(OR(ISNUMBER(SEARCH(_xlfn.CONCAT(CHAR(96),CHAR(34)),$J528)),ISNUMBER(SEARCH(_xlfn.CONCAT(CHAR(34),CHAR(39)),$J528))),_xlfn.CONCAT("* REVIEW REQUIRED: compound-quote delimiter in Notes on Sheet 1 row ",528,"; edit the input before running."),_xlfn.CONCAT("char ",TRIM($B528),"[doc_notes] ",CHAR(96),CHAR(34),SUBSTITUTE(SUBSTITUTE(SUBSTITUTE(SUBSTITUTE(SUBSTITUTE(SUBSTITUTE($J528,CHAR(13)," "),CHAR(10)," "),CHAR(9)," "),CHAR(92),_xlfn.CONCAT(CHAR(92),CHAR(92))),"$",_xlfn.CONCAT(CHAR(92),"$")),CHAR(96),_xlfn.CONCAT(CHAR(92),CHAR(96))),CHAR(34),CHAR(39))))</f>
        <v/>
      </c>
      <c r="U528" s="5">
        <f t="shared" si="15"/>
        <v>0</v>
      </c>
    </row>
    <row r="529" spans="3:21" ht="30" customHeight="1" x14ac:dyDescent="0.2">
      <c r="C529" s="4"/>
      <c r="K529" s="5">
        <f t="shared" si="14"/>
        <v>0</v>
      </c>
      <c r="L529" s="5" t="str">
        <f>IF(OR(TRIM($B529)="",$A529=""),"",IF(OR(ISNUMBER(SEARCH(_xlfn.CONCAT(CHAR(96),CHAR(34)),$A529)),ISNUMBER(SEARCH(_xlfn.CONCAT(CHAR(34),CHAR(39)),$A529))),_xlfn.CONCAT("* REVIEW REQUIRED: compound-quote delimiter in Codebook Section on Sheet 1 row ",529,"; edit the input before running."),_xlfn.CONCAT("char ",TRIM($B529),"[doc_section] ",CHAR(96),CHAR(34),SUBSTITUTE(SUBSTITUTE(SUBSTITUTE(SUBSTITUTE(SUBSTITUTE(SUBSTITUTE($A529,CHAR(13)," "),CHAR(10)," "),CHAR(9)," "),CHAR(92),_xlfn.CONCAT(CHAR(92),CHAR(92))),"$",_xlfn.CONCAT(CHAR(92),"$")),CHAR(96),_xlfn.CONCAT(CHAR(92),CHAR(96))),CHAR(34),CHAR(39))))</f>
        <v/>
      </c>
      <c r="M529" s="5" t="str">
        <f>IF(OR(TRIM($B529)="",$C529=""),"",IF(IFERROR(MATCH(TRIM($C529),{"Quantitative","Continuous","Discrete","Categorical","Nominal","Ordinal","Identifier"},0),0)=0,_xlfn.CONCAT("* REVIEW REQUIRED: invalid Variable Type on Sheet 1 row ",529,"."),_xlfn.CONCAT("char ",TRIM($B529),"[doc_vartype] ",CHAR(96),CHAR(34),SUBSTITUTE(SUBSTITUTE(SUBSTITUTE(SUBSTITUTE(SUBSTITUTE(SUBSTITUTE(LOWER(TRIM($C529)),CHAR(13)," "),CHAR(10)," "),CHAR(9)," "),CHAR(92),_xlfn.CONCAT(CHAR(92),CHAR(92))),"$",_xlfn.CONCAT(CHAR(92),"$")),CHAR(96),_xlfn.CONCAT(CHAR(92),CHAR(96))),CHAR(34),CHAR(39))))</f>
        <v/>
      </c>
      <c r="N529" s="5" t="str">
        <f>IF(OR(TRIM($B529)="",$D529=""),"",IF(OR(ISNUMBER(SEARCH(_xlfn.CONCAT(CHAR(96),CHAR(34)),$D529)),ISNUMBER(SEARCH(_xlfn.CONCAT(CHAR(34),CHAR(39)),$D529))),_xlfn.CONCAT("* REVIEW REQUIRED: compound-quote delimiter in Item Number on Sheet 1 row ",529,"; edit the input before running."),_xlfn.CONCAT("char ",TRIM($B529),"[doc_itemnum] ",CHAR(96),CHAR(34),SUBSTITUTE(SUBSTITUTE(SUBSTITUTE(SUBSTITUTE(SUBSTITUTE(SUBSTITUTE($D529,CHAR(13)," "),CHAR(10)," "),CHAR(9)," "),CHAR(92),_xlfn.CONCAT(CHAR(92),CHAR(92))),"$",_xlfn.CONCAT(CHAR(92),"$")),CHAR(96),_xlfn.CONCAT(CHAR(92),CHAR(96))),CHAR(34),CHAR(39))))</f>
        <v/>
      </c>
      <c r="O529" s="5" t="str">
        <f>IF(OR(TRIM($B529)="",$E529=""),"",IF(OR(ISNUMBER(SEARCH(_xlfn.CONCAT(CHAR(96),CHAR(34)),$E529)),ISNUMBER(SEARCH(_xlfn.CONCAT(CHAR(34),CHAR(39)),$E529))),_xlfn.CONCAT("* REVIEW REQUIRED: compound-quote delimiter in Question Wording on Sheet 1 row ",529,"; edit the input before running."),_xlfn.CONCAT("char ",TRIM($B529),"[doc_question] ",CHAR(96),CHAR(34),SUBSTITUTE(SUBSTITUTE(SUBSTITUTE(SUBSTITUTE(SUBSTITUTE(SUBSTITUTE($E529,CHAR(13)," "),CHAR(10)," "),CHAR(9)," "),CHAR(92),_xlfn.CONCAT(CHAR(92),CHAR(92))),"$",_xlfn.CONCAT(CHAR(92),"$")),CHAR(96),_xlfn.CONCAT(CHAR(92),CHAR(96))),CHAR(34),CHAR(39))))</f>
        <v/>
      </c>
      <c r="P529" s="5" t="str">
        <f>IF(OR(TRIM($B529)="",$F529=""),"",IF(OR(ISNUMBER(SEARCH(_xlfn.CONCAT(CHAR(96),CHAR(34)),$F529)),ISNUMBER(SEARCH(_xlfn.CONCAT(CHAR(34),CHAR(39)),$F529))),_xlfn.CONCAT("* REVIEW REQUIRED: compound-quote delimiter in Units on Sheet 1 row ",529,"; edit the input before running."),_xlfn.CONCAT("char ",TRIM($B529),"[doc_units] ",CHAR(96),CHAR(34),SUBSTITUTE(SUBSTITUTE(SUBSTITUTE(SUBSTITUTE(SUBSTITUTE(SUBSTITUTE($F529,CHAR(13)," "),CHAR(10)," "),CHAR(9)," "),CHAR(92),_xlfn.CONCAT(CHAR(92),CHAR(92))),"$",_xlfn.CONCAT(CHAR(92),"$")),CHAR(96),_xlfn.CONCAT(CHAR(92),CHAR(96))),CHAR(34),CHAR(39))))</f>
        <v/>
      </c>
      <c r="Q529" s="5" t="str">
        <f>IF(OR(TRIM($B529)="",$G529=""),"",IF(OR(ISNUMBER(SEARCH(_xlfn.CONCAT(CHAR(96),CHAR(34)),$G529)),ISNUMBER(SEARCH(_xlfn.CONCAT(CHAR(34),CHAR(39)),$G529))),_xlfn.CONCAT("* REVIEW REQUIRED: compound-quote delimiter in Universe on Sheet 1 row ",529,"; edit the input before running."),_xlfn.CONCAT("char ",TRIM($B529),"[doc_universe] ",CHAR(96),CHAR(34),SUBSTITUTE(SUBSTITUTE(SUBSTITUTE(SUBSTITUTE(SUBSTITUTE(SUBSTITUTE($G529,CHAR(13)," "),CHAR(10)," "),CHAR(9)," "),CHAR(92),_xlfn.CONCAT(CHAR(92),CHAR(92))),"$",_xlfn.CONCAT(CHAR(92),"$")),CHAR(96),_xlfn.CONCAT(CHAR(92),CHAR(96))),CHAR(34),CHAR(39))))</f>
        <v/>
      </c>
      <c r="R529" s="5" t="str">
        <f>IF(OR(TRIM($B529)="",$H529=""),"",IF(OR(ISNUMBER(SEARCH(_xlfn.CONCAT(CHAR(96),CHAR(34)),$H529)),ISNUMBER(SEARCH(_xlfn.CONCAT(CHAR(34),CHAR(39)),$H529))),_xlfn.CONCAT("* REVIEW REQUIRED: compound-quote delimiter in Source on Sheet 1 row ",529,"; edit the input before running."),_xlfn.CONCAT("char ",TRIM($B529),"[doc_source] ",CHAR(96),CHAR(34),SUBSTITUTE(SUBSTITUTE(SUBSTITUTE(SUBSTITUTE(SUBSTITUTE(SUBSTITUTE($H529,CHAR(13)," "),CHAR(10)," "),CHAR(9)," "),CHAR(92),_xlfn.CONCAT(CHAR(92),CHAR(92))),"$",_xlfn.CONCAT(CHAR(92),"$")),CHAR(96),_xlfn.CONCAT(CHAR(92),CHAR(96))),CHAR(34),CHAR(39))))</f>
        <v/>
      </c>
      <c r="S529" s="5" t="str">
        <f>IF(OR(TRIM($B529)="",$I529=""),"",IF(OR(ISNUMBER(SEARCH(_xlfn.CONCAT(CHAR(96),CHAR(34)),$I529)),ISNUMBER(SEARCH(_xlfn.CONCAT(CHAR(34),CHAR(39)),$I529))),_xlfn.CONCAT("* REVIEW REQUIRED: compound-quote delimiter in Derivation on Sheet 1 row ",529,"; edit the input before running."),_xlfn.CONCAT("char ",TRIM($B529),"[doc_derivation] ",CHAR(96),CHAR(34),SUBSTITUTE(SUBSTITUTE(SUBSTITUTE(SUBSTITUTE(SUBSTITUTE(SUBSTITUTE($I529,CHAR(13)," "),CHAR(10)," "),CHAR(9)," "),CHAR(92),_xlfn.CONCAT(CHAR(92),CHAR(92))),"$",_xlfn.CONCAT(CHAR(92),"$")),CHAR(96),_xlfn.CONCAT(CHAR(92),CHAR(96))),CHAR(34),CHAR(39))))</f>
        <v/>
      </c>
      <c r="T529" s="5" t="str">
        <f>IF(OR(TRIM($B529)="",$J529=""),"",IF(OR(ISNUMBER(SEARCH(_xlfn.CONCAT(CHAR(96),CHAR(34)),$J529)),ISNUMBER(SEARCH(_xlfn.CONCAT(CHAR(34),CHAR(39)),$J529))),_xlfn.CONCAT("* REVIEW REQUIRED: compound-quote delimiter in Notes on Sheet 1 row ",529,"; edit the input before running."),_xlfn.CONCAT("char ",TRIM($B529),"[doc_notes] ",CHAR(96),CHAR(34),SUBSTITUTE(SUBSTITUTE(SUBSTITUTE(SUBSTITUTE(SUBSTITUTE(SUBSTITUTE($J529,CHAR(13)," "),CHAR(10)," "),CHAR(9)," "),CHAR(92),_xlfn.CONCAT(CHAR(92),CHAR(92))),"$",_xlfn.CONCAT(CHAR(92),"$")),CHAR(96),_xlfn.CONCAT(CHAR(92),CHAR(96))),CHAR(34),CHAR(39))))</f>
        <v/>
      </c>
      <c r="U529" s="5">
        <f t="shared" si="15"/>
        <v>0</v>
      </c>
    </row>
    <row r="530" spans="3:21" ht="30" customHeight="1" x14ac:dyDescent="0.2">
      <c r="C530" s="4"/>
      <c r="K530" s="5">
        <f t="shared" si="14"/>
        <v>0</v>
      </c>
      <c r="L530" s="5" t="str">
        <f>IF(OR(TRIM($B530)="",$A530=""),"",IF(OR(ISNUMBER(SEARCH(_xlfn.CONCAT(CHAR(96),CHAR(34)),$A530)),ISNUMBER(SEARCH(_xlfn.CONCAT(CHAR(34),CHAR(39)),$A530))),_xlfn.CONCAT("* REVIEW REQUIRED: compound-quote delimiter in Codebook Section on Sheet 1 row ",530,"; edit the input before running."),_xlfn.CONCAT("char ",TRIM($B530),"[doc_section] ",CHAR(96),CHAR(34),SUBSTITUTE(SUBSTITUTE(SUBSTITUTE(SUBSTITUTE(SUBSTITUTE(SUBSTITUTE($A530,CHAR(13)," "),CHAR(10)," "),CHAR(9)," "),CHAR(92),_xlfn.CONCAT(CHAR(92),CHAR(92))),"$",_xlfn.CONCAT(CHAR(92),"$")),CHAR(96),_xlfn.CONCAT(CHAR(92),CHAR(96))),CHAR(34),CHAR(39))))</f>
        <v/>
      </c>
      <c r="M530" s="5" t="str">
        <f>IF(OR(TRIM($B530)="",$C530=""),"",IF(IFERROR(MATCH(TRIM($C530),{"Quantitative","Continuous","Discrete","Categorical","Nominal","Ordinal","Identifier"},0),0)=0,_xlfn.CONCAT("* REVIEW REQUIRED: invalid Variable Type on Sheet 1 row ",530,"."),_xlfn.CONCAT("char ",TRIM($B530),"[doc_vartype] ",CHAR(96),CHAR(34),SUBSTITUTE(SUBSTITUTE(SUBSTITUTE(SUBSTITUTE(SUBSTITUTE(SUBSTITUTE(LOWER(TRIM($C530)),CHAR(13)," "),CHAR(10)," "),CHAR(9)," "),CHAR(92),_xlfn.CONCAT(CHAR(92),CHAR(92))),"$",_xlfn.CONCAT(CHAR(92),"$")),CHAR(96),_xlfn.CONCAT(CHAR(92),CHAR(96))),CHAR(34),CHAR(39))))</f>
        <v/>
      </c>
      <c r="N530" s="5" t="str">
        <f>IF(OR(TRIM($B530)="",$D530=""),"",IF(OR(ISNUMBER(SEARCH(_xlfn.CONCAT(CHAR(96),CHAR(34)),$D530)),ISNUMBER(SEARCH(_xlfn.CONCAT(CHAR(34),CHAR(39)),$D530))),_xlfn.CONCAT("* REVIEW REQUIRED: compound-quote delimiter in Item Number on Sheet 1 row ",530,"; edit the input before running."),_xlfn.CONCAT("char ",TRIM($B530),"[doc_itemnum] ",CHAR(96),CHAR(34),SUBSTITUTE(SUBSTITUTE(SUBSTITUTE(SUBSTITUTE(SUBSTITUTE(SUBSTITUTE($D530,CHAR(13)," "),CHAR(10)," "),CHAR(9)," "),CHAR(92),_xlfn.CONCAT(CHAR(92),CHAR(92))),"$",_xlfn.CONCAT(CHAR(92),"$")),CHAR(96),_xlfn.CONCAT(CHAR(92),CHAR(96))),CHAR(34),CHAR(39))))</f>
        <v/>
      </c>
      <c r="O530" s="5" t="str">
        <f>IF(OR(TRIM($B530)="",$E530=""),"",IF(OR(ISNUMBER(SEARCH(_xlfn.CONCAT(CHAR(96),CHAR(34)),$E530)),ISNUMBER(SEARCH(_xlfn.CONCAT(CHAR(34),CHAR(39)),$E530))),_xlfn.CONCAT("* REVIEW REQUIRED: compound-quote delimiter in Question Wording on Sheet 1 row ",530,"; edit the input before running."),_xlfn.CONCAT("char ",TRIM($B530),"[doc_question] ",CHAR(96),CHAR(34),SUBSTITUTE(SUBSTITUTE(SUBSTITUTE(SUBSTITUTE(SUBSTITUTE(SUBSTITUTE($E530,CHAR(13)," "),CHAR(10)," "),CHAR(9)," "),CHAR(92),_xlfn.CONCAT(CHAR(92),CHAR(92))),"$",_xlfn.CONCAT(CHAR(92),"$")),CHAR(96),_xlfn.CONCAT(CHAR(92),CHAR(96))),CHAR(34),CHAR(39))))</f>
        <v/>
      </c>
      <c r="P530" s="5" t="str">
        <f>IF(OR(TRIM($B530)="",$F530=""),"",IF(OR(ISNUMBER(SEARCH(_xlfn.CONCAT(CHAR(96),CHAR(34)),$F530)),ISNUMBER(SEARCH(_xlfn.CONCAT(CHAR(34),CHAR(39)),$F530))),_xlfn.CONCAT("* REVIEW REQUIRED: compound-quote delimiter in Units on Sheet 1 row ",530,"; edit the input before running."),_xlfn.CONCAT("char ",TRIM($B530),"[doc_units] ",CHAR(96),CHAR(34),SUBSTITUTE(SUBSTITUTE(SUBSTITUTE(SUBSTITUTE(SUBSTITUTE(SUBSTITUTE($F530,CHAR(13)," "),CHAR(10)," "),CHAR(9)," "),CHAR(92),_xlfn.CONCAT(CHAR(92),CHAR(92))),"$",_xlfn.CONCAT(CHAR(92),"$")),CHAR(96),_xlfn.CONCAT(CHAR(92),CHAR(96))),CHAR(34),CHAR(39))))</f>
        <v/>
      </c>
      <c r="Q530" s="5" t="str">
        <f>IF(OR(TRIM($B530)="",$G530=""),"",IF(OR(ISNUMBER(SEARCH(_xlfn.CONCAT(CHAR(96),CHAR(34)),$G530)),ISNUMBER(SEARCH(_xlfn.CONCAT(CHAR(34),CHAR(39)),$G530))),_xlfn.CONCAT("* REVIEW REQUIRED: compound-quote delimiter in Universe on Sheet 1 row ",530,"; edit the input before running."),_xlfn.CONCAT("char ",TRIM($B530),"[doc_universe] ",CHAR(96),CHAR(34),SUBSTITUTE(SUBSTITUTE(SUBSTITUTE(SUBSTITUTE(SUBSTITUTE(SUBSTITUTE($G530,CHAR(13)," "),CHAR(10)," "),CHAR(9)," "),CHAR(92),_xlfn.CONCAT(CHAR(92),CHAR(92))),"$",_xlfn.CONCAT(CHAR(92),"$")),CHAR(96),_xlfn.CONCAT(CHAR(92),CHAR(96))),CHAR(34),CHAR(39))))</f>
        <v/>
      </c>
      <c r="R530" s="5" t="str">
        <f>IF(OR(TRIM($B530)="",$H530=""),"",IF(OR(ISNUMBER(SEARCH(_xlfn.CONCAT(CHAR(96),CHAR(34)),$H530)),ISNUMBER(SEARCH(_xlfn.CONCAT(CHAR(34),CHAR(39)),$H530))),_xlfn.CONCAT("* REVIEW REQUIRED: compound-quote delimiter in Source on Sheet 1 row ",530,"; edit the input before running."),_xlfn.CONCAT("char ",TRIM($B530),"[doc_source] ",CHAR(96),CHAR(34),SUBSTITUTE(SUBSTITUTE(SUBSTITUTE(SUBSTITUTE(SUBSTITUTE(SUBSTITUTE($H530,CHAR(13)," "),CHAR(10)," "),CHAR(9)," "),CHAR(92),_xlfn.CONCAT(CHAR(92),CHAR(92))),"$",_xlfn.CONCAT(CHAR(92),"$")),CHAR(96),_xlfn.CONCAT(CHAR(92),CHAR(96))),CHAR(34),CHAR(39))))</f>
        <v/>
      </c>
      <c r="S530" s="5" t="str">
        <f>IF(OR(TRIM($B530)="",$I530=""),"",IF(OR(ISNUMBER(SEARCH(_xlfn.CONCAT(CHAR(96),CHAR(34)),$I530)),ISNUMBER(SEARCH(_xlfn.CONCAT(CHAR(34),CHAR(39)),$I530))),_xlfn.CONCAT("* REVIEW REQUIRED: compound-quote delimiter in Derivation on Sheet 1 row ",530,"; edit the input before running."),_xlfn.CONCAT("char ",TRIM($B530),"[doc_derivation] ",CHAR(96),CHAR(34),SUBSTITUTE(SUBSTITUTE(SUBSTITUTE(SUBSTITUTE(SUBSTITUTE(SUBSTITUTE($I530,CHAR(13)," "),CHAR(10)," "),CHAR(9)," "),CHAR(92),_xlfn.CONCAT(CHAR(92),CHAR(92))),"$",_xlfn.CONCAT(CHAR(92),"$")),CHAR(96),_xlfn.CONCAT(CHAR(92),CHAR(96))),CHAR(34),CHAR(39))))</f>
        <v/>
      </c>
      <c r="T530" s="5" t="str">
        <f>IF(OR(TRIM($B530)="",$J530=""),"",IF(OR(ISNUMBER(SEARCH(_xlfn.CONCAT(CHAR(96),CHAR(34)),$J530)),ISNUMBER(SEARCH(_xlfn.CONCAT(CHAR(34),CHAR(39)),$J530))),_xlfn.CONCAT("* REVIEW REQUIRED: compound-quote delimiter in Notes on Sheet 1 row ",530,"; edit the input before running."),_xlfn.CONCAT("char ",TRIM($B530),"[doc_notes] ",CHAR(96),CHAR(34),SUBSTITUTE(SUBSTITUTE(SUBSTITUTE(SUBSTITUTE(SUBSTITUTE(SUBSTITUTE($J530,CHAR(13)," "),CHAR(10)," "),CHAR(9)," "),CHAR(92),_xlfn.CONCAT(CHAR(92),CHAR(92))),"$",_xlfn.CONCAT(CHAR(92),"$")),CHAR(96),_xlfn.CONCAT(CHAR(92),CHAR(96))),CHAR(34),CHAR(39))))</f>
        <v/>
      </c>
      <c r="U530" s="5">
        <f t="shared" si="15"/>
        <v>0</v>
      </c>
    </row>
    <row r="531" spans="3:21" ht="30" customHeight="1" x14ac:dyDescent="0.2">
      <c r="C531" s="4"/>
      <c r="K531" s="5">
        <f t="shared" si="14"/>
        <v>0</v>
      </c>
      <c r="L531" s="5" t="str">
        <f>IF(OR(TRIM($B531)="",$A531=""),"",IF(OR(ISNUMBER(SEARCH(_xlfn.CONCAT(CHAR(96),CHAR(34)),$A531)),ISNUMBER(SEARCH(_xlfn.CONCAT(CHAR(34),CHAR(39)),$A531))),_xlfn.CONCAT("* REVIEW REQUIRED: compound-quote delimiter in Codebook Section on Sheet 1 row ",531,"; edit the input before running."),_xlfn.CONCAT("char ",TRIM($B531),"[doc_section] ",CHAR(96),CHAR(34),SUBSTITUTE(SUBSTITUTE(SUBSTITUTE(SUBSTITUTE(SUBSTITUTE(SUBSTITUTE($A531,CHAR(13)," "),CHAR(10)," "),CHAR(9)," "),CHAR(92),_xlfn.CONCAT(CHAR(92),CHAR(92))),"$",_xlfn.CONCAT(CHAR(92),"$")),CHAR(96),_xlfn.CONCAT(CHAR(92),CHAR(96))),CHAR(34),CHAR(39))))</f>
        <v/>
      </c>
      <c r="M531" s="5" t="str">
        <f>IF(OR(TRIM($B531)="",$C531=""),"",IF(IFERROR(MATCH(TRIM($C531),{"Quantitative","Continuous","Discrete","Categorical","Nominal","Ordinal","Identifier"},0),0)=0,_xlfn.CONCAT("* REVIEW REQUIRED: invalid Variable Type on Sheet 1 row ",531,"."),_xlfn.CONCAT("char ",TRIM($B531),"[doc_vartype] ",CHAR(96),CHAR(34),SUBSTITUTE(SUBSTITUTE(SUBSTITUTE(SUBSTITUTE(SUBSTITUTE(SUBSTITUTE(LOWER(TRIM($C531)),CHAR(13)," "),CHAR(10)," "),CHAR(9)," "),CHAR(92),_xlfn.CONCAT(CHAR(92),CHAR(92))),"$",_xlfn.CONCAT(CHAR(92),"$")),CHAR(96),_xlfn.CONCAT(CHAR(92),CHAR(96))),CHAR(34),CHAR(39))))</f>
        <v/>
      </c>
      <c r="N531" s="5" t="str">
        <f>IF(OR(TRIM($B531)="",$D531=""),"",IF(OR(ISNUMBER(SEARCH(_xlfn.CONCAT(CHAR(96),CHAR(34)),$D531)),ISNUMBER(SEARCH(_xlfn.CONCAT(CHAR(34),CHAR(39)),$D531))),_xlfn.CONCAT("* REVIEW REQUIRED: compound-quote delimiter in Item Number on Sheet 1 row ",531,"; edit the input before running."),_xlfn.CONCAT("char ",TRIM($B531),"[doc_itemnum] ",CHAR(96),CHAR(34),SUBSTITUTE(SUBSTITUTE(SUBSTITUTE(SUBSTITUTE(SUBSTITUTE(SUBSTITUTE($D531,CHAR(13)," "),CHAR(10)," "),CHAR(9)," "),CHAR(92),_xlfn.CONCAT(CHAR(92),CHAR(92))),"$",_xlfn.CONCAT(CHAR(92),"$")),CHAR(96),_xlfn.CONCAT(CHAR(92),CHAR(96))),CHAR(34),CHAR(39))))</f>
        <v/>
      </c>
      <c r="O531" s="5" t="str">
        <f>IF(OR(TRIM($B531)="",$E531=""),"",IF(OR(ISNUMBER(SEARCH(_xlfn.CONCAT(CHAR(96),CHAR(34)),$E531)),ISNUMBER(SEARCH(_xlfn.CONCAT(CHAR(34),CHAR(39)),$E531))),_xlfn.CONCAT("* REVIEW REQUIRED: compound-quote delimiter in Question Wording on Sheet 1 row ",531,"; edit the input before running."),_xlfn.CONCAT("char ",TRIM($B531),"[doc_question] ",CHAR(96),CHAR(34),SUBSTITUTE(SUBSTITUTE(SUBSTITUTE(SUBSTITUTE(SUBSTITUTE(SUBSTITUTE($E531,CHAR(13)," "),CHAR(10)," "),CHAR(9)," "),CHAR(92),_xlfn.CONCAT(CHAR(92),CHAR(92))),"$",_xlfn.CONCAT(CHAR(92),"$")),CHAR(96),_xlfn.CONCAT(CHAR(92),CHAR(96))),CHAR(34),CHAR(39))))</f>
        <v/>
      </c>
      <c r="P531" s="5" t="str">
        <f>IF(OR(TRIM($B531)="",$F531=""),"",IF(OR(ISNUMBER(SEARCH(_xlfn.CONCAT(CHAR(96),CHAR(34)),$F531)),ISNUMBER(SEARCH(_xlfn.CONCAT(CHAR(34),CHAR(39)),$F531))),_xlfn.CONCAT("* REVIEW REQUIRED: compound-quote delimiter in Units on Sheet 1 row ",531,"; edit the input before running."),_xlfn.CONCAT("char ",TRIM($B531),"[doc_units] ",CHAR(96),CHAR(34),SUBSTITUTE(SUBSTITUTE(SUBSTITUTE(SUBSTITUTE(SUBSTITUTE(SUBSTITUTE($F531,CHAR(13)," "),CHAR(10)," "),CHAR(9)," "),CHAR(92),_xlfn.CONCAT(CHAR(92),CHAR(92))),"$",_xlfn.CONCAT(CHAR(92),"$")),CHAR(96),_xlfn.CONCAT(CHAR(92),CHAR(96))),CHAR(34),CHAR(39))))</f>
        <v/>
      </c>
      <c r="Q531" s="5" t="str">
        <f>IF(OR(TRIM($B531)="",$G531=""),"",IF(OR(ISNUMBER(SEARCH(_xlfn.CONCAT(CHAR(96),CHAR(34)),$G531)),ISNUMBER(SEARCH(_xlfn.CONCAT(CHAR(34),CHAR(39)),$G531))),_xlfn.CONCAT("* REVIEW REQUIRED: compound-quote delimiter in Universe on Sheet 1 row ",531,"; edit the input before running."),_xlfn.CONCAT("char ",TRIM($B531),"[doc_universe] ",CHAR(96),CHAR(34),SUBSTITUTE(SUBSTITUTE(SUBSTITUTE(SUBSTITUTE(SUBSTITUTE(SUBSTITUTE($G531,CHAR(13)," "),CHAR(10)," "),CHAR(9)," "),CHAR(92),_xlfn.CONCAT(CHAR(92),CHAR(92))),"$",_xlfn.CONCAT(CHAR(92),"$")),CHAR(96),_xlfn.CONCAT(CHAR(92),CHAR(96))),CHAR(34),CHAR(39))))</f>
        <v/>
      </c>
      <c r="R531" s="5" t="str">
        <f>IF(OR(TRIM($B531)="",$H531=""),"",IF(OR(ISNUMBER(SEARCH(_xlfn.CONCAT(CHAR(96),CHAR(34)),$H531)),ISNUMBER(SEARCH(_xlfn.CONCAT(CHAR(34),CHAR(39)),$H531))),_xlfn.CONCAT("* REVIEW REQUIRED: compound-quote delimiter in Source on Sheet 1 row ",531,"; edit the input before running."),_xlfn.CONCAT("char ",TRIM($B531),"[doc_source] ",CHAR(96),CHAR(34),SUBSTITUTE(SUBSTITUTE(SUBSTITUTE(SUBSTITUTE(SUBSTITUTE(SUBSTITUTE($H531,CHAR(13)," "),CHAR(10)," "),CHAR(9)," "),CHAR(92),_xlfn.CONCAT(CHAR(92),CHAR(92))),"$",_xlfn.CONCAT(CHAR(92),"$")),CHAR(96),_xlfn.CONCAT(CHAR(92),CHAR(96))),CHAR(34),CHAR(39))))</f>
        <v/>
      </c>
      <c r="S531" s="5" t="str">
        <f>IF(OR(TRIM($B531)="",$I531=""),"",IF(OR(ISNUMBER(SEARCH(_xlfn.CONCAT(CHAR(96),CHAR(34)),$I531)),ISNUMBER(SEARCH(_xlfn.CONCAT(CHAR(34),CHAR(39)),$I531))),_xlfn.CONCAT("* REVIEW REQUIRED: compound-quote delimiter in Derivation on Sheet 1 row ",531,"; edit the input before running."),_xlfn.CONCAT("char ",TRIM($B531),"[doc_derivation] ",CHAR(96),CHAR(34),SUBSTITUTE(SUBSTITUTE(SUBSTITUTE(SUBSTITUTE(SUBSTITUTE(SUBSTITUTE($I531,CHAR(13)," "),CHAR(10)," "),CHAR(9)," "),CHAR(92),_xlfn.CONCAT(CHAR(92),CHAR(92))),"$",_xlfn.CONCAT(CHAR(92),"$")),CHAR(96),_xlfn.CONCAT(CHAR(92),CHAR(96))),CHAR(34),CHAR(39))))</f>
        <v/>
      </c>
      <c r="T531" s="5" t="str">
        <f>IF(OR(TRIM($B531)="",$J531=""),"",IF(OR(ISNUMBER(SEARCH(_xlfn.CONCAT(CHAR(96),CHAR(34)),$J531)),ISNUMBER(SEARCH(_xlfn.CONCAT(CHAR(34),CHAR(39)),$J531))),_xlfn.CONCAT("* REVIEW REQUIRED: compound-quote delimiter in Notes on Sheet 1 row ",531,"; edit the input before running."),_xlfn.CONCAT("char ",TRIM($B531),"[doc_notes] ",CHAR(96),CHAR(34),SUBSTITUTE(SUBSTITUTE(SUBSTITUTE(SUBSTITUTE(SUBSTITUTE(SUBSTITUTE($J531,CHAR(13)," "),CHAR(10)," "),CHAR(9)," "),CHAR(92),_xlfn.CONCAT(CHAR(92),CHAR(92))),"$",_xlfn.CONCAT(CHAR(92),"$")),CHAR(96),_xlfn.CONCAT(CHAR(92),CHAR(96))),CHAR(34),CHAR(39))))</f>
        <v/>
      </c>
      <c r="U531" s="5">
        <f t="shared" si="15"/>
        <v>0</v>
      </c>
    </row>
    <row r="532" spans="3:21" ht="30" customHeight="1" x14ac:dyDescent="0.2">
      <c r="C532" s="4"/>
      <c r="K532" s="5">
        <f t="shared" ref="K532:K595" si="16">COUNTIF(L532:T532,"?*")</f>
        <v>0</v>
      </c>
      <c r="L532" s="5" t="str">
        <f>IF(OR(TRIM($B532)="",$A532=""),"",IF(OR(ISNUMBER(SEARCH(_xlfn.CONCAT(CHAR(96),CHAR(34)),$A532)),ISNUMBER(SEARCH(_xlfn.CONCAT(CHAR(34),CHAR(39)),$A532))),_xlfn.CONCAT("* REVIEW REQUIRED: compound-quote delimiter in Codebook Section on Sheet 1 row ",532,"; edit the input before running."),_xlfn.CONCAT("char ",TRIM($B532),"[doc_section] ",CHAR(96),CHAR(34),SUBSTITUTE(SUBSTITUTE(SUBSTITUTE(SUBSTITUTE(SUBSTITUTE(SUBSTITUTE($A532,CHAR(13)," "),CHAR(10)," "),CHAR(9)," "),CHAR(92),_xlfn.CONCAT(CHAR(92),CHAR(92))),"$",_xlfn.CONCAT(CHAR(92),"$")),CHAR(96),_xlfn.CONCAT(CHAR(92),CHAR(96))),CHAR(34),CHAR(39))))</f>
        <v/>
      </c>
      <c r="M532" s="5" t="str">
        <f>IF(OR(TRIM($B532)="",$C532=""),"",IF(IFERROR(MATCH(TRIM($C532),{"Quantitative","Continuous","Discrete","Categorical","Nominal","Ordinal","Identifier"},0),0)=0,_xlfn.CONCAT("* REVIEW REQUIRED: invalid Variable Type on Sheet 1 row ",532,"."),_xlfn.CONCAT("char ",TRIM($B532),"[doc_vartype] ",CHAR(96),CHAR(34),SUBSTITUTE(SUBSTITUTE(SUBSTITUTE(SUBSTITUTE(SUBSTITUTE(SUBSTITUTE(LOWER(TRIM($C532)),CHAR(13)," "),CHAR(10)," "),CHAR(9)," "),CHAR(92),_xlfn.CONCAT(CHAR(92),CHAR(92))),"$",_xlfn.CONCAT(CHAR(92),"$")),CHAR(96),_xlfn.CONCAT(CHAR(92),CHAR(96))),CHAR(34),CHAR(39))))</f>
        <v/>
      </c>
      <c r="N532" s="5" t="str">
        <f>IF(OR(TRIM($B532)="",$D532=""),"",IF(OR(ISNUMBER(SEARCH(_xlfn.CONCAT(CHAR(96),CHAR(34)),$D532)),ISNUMBER(SEARCH(_xlfn.CONCAT(CHAR(34),CHAR(39)),$D532))),_xlfn.CONCAT("* REVIEW REQUIRED: compound-quote delimiter in Item Number on Sheet 1 row ",532,"; edit the input before running."),_xlfn.CONCAT("char ",TRIM($B532),"[doc_itemnum] ",CHAR(96),CHAR(34),SUBSTITUTE(SUBSTITUTE(SUBSTITUTE(SUBSTITUTE(SUBSTITUTE(SUBSTITUTE($D532,CHAR(13)," "),CHAR(10)," "),CHAR(9)," "),CHAR(92),_xlfn.CONCAT(CHAR(92),CHAR(92))),"$",_xlfn.CONCAT(CHAR(92),"$")),CHAR(96),_xlfn.CONCAT(CHAR(92),CHAR(96))),CHAR(34),CHAR(39))))</f>
        <v/>
      </c>
      <c r="O532" s="5" t="str">
        <f>IF(OR(TRIM($B532)="",$E532=""),"",IF(OR(ISNUMBER(SEARCH(_xlfn.CONCAT(CHAR(96),CHAR(34)),$E532)),ISNUMBER(SEARCH(_xlfn.CONCAT(CHAR(34),CHAR(39)),$E532))),_xlfn.CONCAT("* REVIEW REQUIRED: compound-quote delimiter in Question Wording on Sheet 1 row ",532,"; edit the input before running."),_xlfn.CONCAT("char ",TRIM($B532),"[doc_question] ",CHAR(96),CHAR(34),SUBSTITUTE(SUBSTITUTE(SUBSTITUTE(SUBSTITUTE(SUBSTITUTE(SUBSTITUTE($E532,CHAR(13)," "),CHAR(10)," "),CHAR(9)," "),CHAR(92),_xlfn.CONCAT(CHAR(92),CHAR(92))),"$",_xlfn.CONCAT(CHAR(92),"$")),CHAR(96),_xlfn.CONCAT(CHAR(92),CHAR(96))),CHAR(34),CHAR(39))))</f>
        <v/>
      </c>
      <c r="P532" s="5" t="str">
        <f>IF(OR(TRIM($B532)="",$F532=""),"",IF(OR(ISNUMBER(SEARCH(_xlfn.CONCAT(CHAR(96),CHAR(34)),$F532)),ISNUMBER(SEARCH(_xlfn.CONCAT(CHAR(34),CHAR(39)),$F532))),_xlfn.CONCAT("* REVIEW REQUIRED: compound-quote delimiter in Units on Sheet 1 row ",532,"; edit the input before running."),_xlfn.CONCAT("char ",TRIM($B532),"[doc_units] ",CHAR(96),CHAR(34),SUBSTITUTE(SUBSTITUTE(SUBSTITUTE(SUBSTITUTE(SUBSTITUTE(SUBSTITUTE($F532,CHAR(13)," "),CHAR(10)," "),CHAR(9)," "),CHAR(92),_xlfn.CONCAT(CHAR(92),CHAR(92))),"$",_xlfn.CONCAT(CHAR(92),"$")),CHAR(96),_xlfn.CONCAT(CHAR(92),CHAR(96))),CHAR(34),CHAR(39))))</f>
        <v/>
      </c>
      <c r="Q532" s="5" t="str">
        <f>IF(OR(TRIM($B532)="",$G532=""),"",IF(OR(ISNUMBER(SEARCH(_xlfn.CONCAT(CHAR(96),CHAR(34)),$G532)),ISNUMBER(SEARCH(_xlfn.CONCAT(CHAR(34),CHAR(39)),$G532))),_xlfn.CONCAT("* REVIEW REQUIRED: compound-quote delimiter in Universe on Sheet 1 row ",532,"; edit the input before running."),_xlfn.CONCAT("char ",TRIM($B532),"[doc_universe] ",CHAR(96),CHAR(34),SUBSTITUTE(SUBSTITUTE(SUBSTITUTE(SUBSTITUTE(SUBSTITUTE(SUBSTITUTE($G532,CHAR(13)," "),CHAR(10)," "),CHAR(9)," "),CHAR(92),_xlfn.CONCAT(CHAR(92),CHAR(92))),"$",_xlfn.CONCAT(CHAR(92),"$")),CHAR(96),_xlfn.CONCAT(CHAR(92),CHAR(96))),CHAR(34),CHAR(39))))</f>
        <v/>
      </c>
      <c r="R532" s="5" t="str">
        <f>IF(OR(TRIM($B532)="",$H532=""),"",IF(OR(ISNUMBER(SEARCH(_xlfn.CONCAT(CHAR(96),CHAR(34)),$H532)),ISNUMBER(SEARCH(_xlfn.CONCAT(CHAR(34),CHAR(39)),$H532))),_xlfn.CONCAT("* REVIEW REQUIRED: compound-quote delimiter in Source on Sheet 1 row ",532,"; edit the input before running."),_xlfn.CONCAT("char ",TRIM($B532),"[doc_source] ",CHAR(96),CHAR(34),SUBSTITUTE(SUBSTITUTE(SUBSTITUTE(SUBSTITUTE(SUBSTITUTE(SUBSTITUTE($H532,CHAR(13)," "),CHAR(10)," "),CHAR(9)," "),CHAR(92),_xlfn.CONCAT(CHAR(92),CHAR(92))),"$",_xlfn.CONCAT(CHAR(92),"$")),CHAR(96),_xlfn.CONCAT(CHAR(92),CHAR(96))),CHAR(34),CHAR(39))))</f>
        <v/>
      </c>
      <c r="S532" s="5" t="str">
        <f>IF(OR(TRIM($B532)="",$I532=""),"",IF(OR(ISNUMBER(SEARCH(_xlfn.CONCAT(CHAR(96),CHAR(34)),$I532)),ISNUMBER(SEARCH(_xlfn.CONCAT(CHAR(34),CHAR(39)),$I532))),_xlfn.CONCAT("* REVIEW REQUIRED: compound-quote delimiter in Derivation on Sheet 1 row ",532,"; edit the input before running."),_xlfn.CONCAT("char ",TRIM($B532),"[doc_derivation] ",CHAR(96),CHAR(34),SUBSTITUTE(SUBSTITUTE(SUBSTITUTE(SUBSTITUTE(SUBSTITUTE(SUBSTITUTE($I532,CHAR(13)," "),CHAR(10)," "),CHAR(9)," "),CHAR(92),_xlfn.CONCAT(CHAR(92),CHAR(92))),"$",_xlfn.CONCAT(CHAR(92),"$")),CHAR(96),_xlfn.CONCAT(CHAR(92),CHAR(96))),CHAR(34),CHAR(39))))</f>
        <v/>
      </c>
      <c r="T532" s="5" t="str">
        <f>IF(OR(TRIM($B532)="",$J532=""),"",IF(OR(ISNUMBER(SEARCH(_xlfn.CONCAT(CHAR(96),CHAR(34)),$J532)),ISNUMBER(SEARCH(_xlfn.CONCAT(CHAR(34),CHAR(39)),$J532))),_xlfn.CONCAT("* REVIEW REQUIRED: compound-quote delimiter in Notes on Sheet 1 row ",532,"; edit the input before running."),_xlfn.CONCAT("char ",TRIM($B532),"[doc_notes] ",CHAR(96),CHAR(34),SUBSTITUTE(SUBSTITUTE(SUBSTITUTE(SUBSTITUTE(SUBSTITUTE(SUBSTITUTE($J532,CHAR(13)," "),CHAR(10)," "),CHAR(9)," "),CHAR(92),_xlfn.CONCAT(CHAR(92),CHAR(92))),"$",_xlfn.CONCAT(CHAR(92),"$")),CHAR(96),_xlfn.CONCAT(CHAR(92),CHAR(96))),CHAR(34),CHAR(39))))</f>
        <v/>
      </c>
      <c r="U532" s="5">
        <f t="shared" ref="U532:U595" si="17">COUNTIF(L532:T532,"*REVIEW REQUIRED*")</f>
        <v>0</v>
      </c>
    </row>
    <row r="533" spans="3:21" ht="30" customHeight="1" x14ac:dyDescent="0.2">
      <c r="C533" s="4"/>
      <c r="K533" s="5">
        <f t="shared" si="16"/>
        <v>0</v>
      </c>
      <c r="L533" s="5" t="str">
        <f>IF(OR(TRIM($B533)="",$A533=""),"",IF(OR(ISNUMBER(SEARCH(_xlfn.CONCAT(CHAR(96),CHAR(34)),$A533)),ISNUMBER(SEARCH(_xlfn.CONCAT(CHAR(34),CHAR(39)),$A533))),_xlfn.CONCAT("* REVIEW REQUIRED: compound-quote delimiter in Codebook Section on Sheet 1 row ",533,"; edit the input before running."),_xlfn.CONCAT("char ",TRIM($B533),"[doc_section] ",CHAR(96),CHAR(34),SUBSTITUTE(SUBSTITUTE(SUBSTITUTE(SUBSTITUTE(SUBSTITUTE(SUBSTITUTE($A533,CHAR(13)," "),CHAR(10)," "),CHAR(9)," "),CHAR(92),_xlfn.CONCAT(CHAR(92),CHAR(92))),"$",_xlfn.CONCAT(CHAR(92),"$")),CHAR(96),_xlfn.CONCAT(CHAR(92),CHAR(96))),CHAR(34),CHAR(39))))</f>
        <v/>
      </c>
      <c r="M533" s="5" t="str">
        <f>IF(OR(TRIM($B533)="",$C533=""),"",IF(IFERROR(MATCH(TRIM($C533),{"Quantitative","Continuous","Discrete","Categorical","Nominal","Ordinal","Identifier"},0),0)=0,_xlfn.CONCAT("* REVIEW REQUIRED: invalid Variable Type on Sheet 1 row ",533,"."),_xlfn.CONCAT("char ",TRIM($B533),"[doc_vartype] ",CHAR(96),CHAR(34),SUBSTITUTE(SUBSTITUTE(SUBSTITUTE(SUBSTITUTE(SUBSTITUTE(SUBSTITUTE(LOWER(TRIM($C533)),CHAR(13)," "),CHAR(10)," "),CHAR(9)," "),CHAR(92),_xlfn.CONCAT(CHAR(92),CHAR(92))),"$",_xlfn.CONCAT(CHAR(92),"$")),CHAR(96),_xlfn.CONCAT(CHAR(92),CHAR(96))),CHAR(34),CHAR(39))))</f>
        <v/>
      </c>
      <c r="N533" s="5" t="str">
        <f>IF(OR(TRIM($B533)="",$D533=""),"",IF(OR(ISNUMBER(SEARCH(_xlfn.CONCAT(CHAR(96),CHAR(34)),$D533)),ISNUMBER(SEARCH(_xlfn.CONCAT(CHAR(34),CHAR(39)),$D533))),_xlfn.CONCAT("* REVIEW REQUIRED: compound-quote delimiter in Item Number on Sheet 1 row ",533,"; edit the input before running."),_xlfn.CONCAT("char ",TRIM($B533),"[doc_itemnum] ",CHAR(96),CHAR(34),SUBSTITUTE(SUBSTITUTE(SUBSTITUTE(SUBSTITUTE(SUBSTITUTE(SUBSTITUTE($D533,CHAR(13)," "),CHAR(10)," "),CHAR(9)," "),CHAR(92),_xlfn.CONCAT(CHAR(92),CHAR(92))),"$",_xlfn.CONCAT(CHAR(92),"$")),CHAR(96),_xlfn.CONCAT(CHAR(92),CHAR(96))),CHAR(34),CHAR(39))))</f>
        <v/>
      </c>
      <c r="O533" s="5" t="str">
        <f>IF(OR(TRIM($B533)="",$E533=""),"",IF(OR(ISNUMBER(SEARCH(_xlfn.CONCAT(CHAR(96),CHAR(34)),$E533)),ISNUMBER(SEARCH(_xlfn.CONCAT(CHAR(34),CHAR(39)),$E533))),_xlfn.CONCAT("* REVIEW REQUIRED: compound-quote delimiter in Question Wording on Sheet 1 row ",533,"; edit the input before running."),_xlfn.CONCAT("char ",TRIM($B533),"[doc_question] ",CHAR(96),CHAR(34),SUBSTITUTE(SUBSTITUTE(SUBSTITUTE(SUBSTITUTE(SUBSTITUTE(SUBSTITUTE($E533,CHAR(13)," "),CHAR(10)," "),CHAR(9)," "),CHAR(92),_xlfn.CONCAT(CHAR(92),CHAR(92))),"$",_xlfn.CONCAT(CHAR(92),"$")),CHAR(96),_xlfn.CONCAT(CHAR(92),CHAR(96))),CHAR(34),CHAR(39))))</f>
        <v/>
      </c>
      <c r="P533" s="5" t="str">
        <f>IF(OR(TRIM($B533)="",$F533=""),"",IF(OR(ISNUMBER(SEARCH(_xlfn.CONCAT(CHAR(96),CHAR(34)),$F533)),ISNUMBER(SEARCH(_xlfn.CONCAT(CHAR(34),CHAR(39)),$F533))),_xlfn.CONCAT("* REVIEW REQUIRED: compound-quote delimiter in Units on Sheet 1 row ",533,"; edit the input before running."),_xlfn.CONCAT("char ",TRIM($B533),"[doc_units] ",CHAR(96),CHAR(34),SUBSTITUTE(SUBSTITUTE(SUBSTITUTE(SUBSTITUTE(SUBSTITUTE(SUBSTITUTE($F533,CHAR(13)," "),CHAR(10)," "),CHAR(9)," "),CHAR(92),_xlfn.CONCAT(CHAR(92),CHAR(92))),"$",_xlfn.CONCAT(CHAR(92),"$")),CHAR(96),_xlfn.CONCAT(CHAR(92),CHAR(96))),CHAR(34),CHAR(39))))</f>
        <v/>
      </c>
      <c r="Q533" s="5" t="str">
        <f>IF(OR(TRIM($B533)="",$G533=""),"",IF(OR(ISNUMBER(SEARCH(_xlfn.CONCAT(CHAR(96),CHAR(34)),$G533)),ISNUMBER(SEARCH(_xlfn.CONCAT(CHAR(34),CHAR(39)),$G533))),_xlfn.CONCAT("* REVIEW REQUIRED: compound-quote delimiter in Universe on Sheet 1 row ",533,"; edit the input before running."),_xlfn.CONCAT("char ",TRIM($B533),"[doc_universe] ",CHAR(96),CHAR(34),SUBSTITUTE(SUBSTITUTE(SUBSTITUTE(SUBSTITUTE(SUBSTITUTE(SUBSTITUTE($G533,CHAR(13)," "),CHAR(10)," "),CHAR(9)," "),CHAR(92),_xlfn.CONCAT(CHAR(92),CHAR(92))),"$",_xlfn.CONCAT(CHAR(92),"$")),CHAR(96),_xlfn.CONCAT(CHAR(92),CHAR(96))),CHAR(34),CHAR(39))))</f>
        <v/>
      </c>
      <c r="R533" s="5" t="str">
        <f>IF(OR(TRIM($B533)="",$H533=""),"",IF(OR(ISNUMBER(SEARCH(_xlfn.CONCAT(CHAR(96),CHAR(34)),$H533)),ISNUMBER(SEARCH(_xlfn.CONCAT(CHAR(34),CHAR(39)),$H533))),_xlfn.CONCAT("* REVIEW REQUIRED: compound-quote delimiter in Source on Sheet 1 row ",533,"; edit the input before running."),_xlfn.CONCAT("char ",TRIM($B533),"[doc_source] ",CHAR(96),CHAR(34),SUBSTITUTE(SUBSTITUTE(SUBSTITUTE(SUBSTITUTE(SUBSTITUTE(SUBSTITUTE($H533,CHAR(13)," "),CHAR(10)," "),CHAR(9)," "),CHAR(92),_xlfn.CONCAT(CHAR(92),CHAR(92))),"$",_xlfn.CONCAT(CHAR(92),"$")),CHAR(96),_xlfn.CONCAT(CHAR(92),CHAR(96))),CHAR(34),CHAR(39))))</f>
        <v/>
      </c>
      <c r="S533" s="5" t="str">
        <f>IF(OR(TRIM($B533)="",$I533=""),"",IF(OR(ISNUMBER(SEARCH(_xlfn.CONCAT(CHAR(96),CHAR(34)),$I533)),ISNUMBER(SEARCH(_xlfn.CONCAT(CHAR(34),CHAR(39)),$I533))),_xlfn.CONCAT("* REVIEW REQUIRED: compound-quote delimiter in Derivation on Sheet 1 row ",533,"; edit the input before running."),_xlfn.CONCAT("char ",TRIM($B533),"[doc_derivation] ",CHAR(96),CHAR(34),SUBSTITUTE(SUBSTITUTE(SUBSTITUTE(SUBSTITUTE(SUBSTITUTE(SUBSTITUTE($I533,CHAR(13)," "),CHAR(10)," "),CHAR(9)," "),CHAR(92),_xlfn.CONCAT(CHAR(92),CHAR(92))),"$",_xlfn.CONCAT(CHAR(92),"$")),CHAR(96),_xlfn.CONCAT(CHAR(92),CHAR(96))),CHAR(34),CHAR(39))))</f>
        <v/>
      </c>
      <c r="T533" s="5" t="str">
        <f>IF(OR(TRIM($B533)="",$J533=""),"",IF(OR(ISNUMBER(SEARCH(_xlfn.CONCAT(CHAR(96),CHAR(34)),$J533)),ISNUMBER(SEARCH(_xlfn.CONCAT(CHAR(34),CHAR(39)),$J533))),_xlfn.CONCAT("* REVIEW REQUIRED: compound-quote delimiter in Notes on Sheet 1 row ",533,"; edit the input before running."),_xlfn.CONCAT("char ",TRIM($B533),"[doc_notes] ",CHAR(96),CHAR(34),SUBSTITUTE(SUBSTITUTE(SUBSTITUTE(SUBSTITUTE(SUBSTITUTE(SUBSTITUTE($J533,CHAR(13)," "),CHAR(10)," "),CHAR(9)," "),CHAR(92),_xlfn.CONCAT(CHAR(92),CHAR(92))),"$",_xlfn.CONCAT(CHAR(92),"$")),CHAR(96),_xlfn.CONCAT(CHAR(92),CHAR(96))),CHAR(34),CHAR(39))))</f>
        <v/>
      </c>
      <c r="U533" s="5">
        <f t="shared" si="17"/>
        <v>0</v>
      </c>
    </row>
    <row r="534" spans="3:21" ht="30" customHeight="1" x14ac:dyDescent="0.2">
      <c r="C534" s="4"/>
      <c r="K534" s="5">
        <f t="shared" si="16"/>
        <v>0</v>
      </c>
      <c r="L534" s="5" t="str">
        <f>IF(OR(TRIM($B534)="",$A534=""),"",IF(OR(ISNUMBER(SEARCH(_xlfn.CONCAT(CHAR(96),CHAR(34)),$A534)),ISNUMBER(SEARCH(_xlfn.CONCAT(CHAR(34),CHAR(39)),$A534))),_xlfn.CONCAT("* REVIEW REQUIRED: compound-quote delimiter in Codebook Section on Sheet 1 row ",534,"; edit the input before running."),_xlfn.CONCAT("char ",TRIM($B534),"[doc_section] ",CHAR(96),CHAR(34),SUBSTITUTE(SUBSTITUTE(SUBSTITUTE(SUBSTITUTE(SUBSTITUTE(SUBSTITUTE($A534,CHAR(13)," "),CHAR(10)," "),CHAR(9)," "),CHAR(92),_xlfn.CONCAT(CHAR(92),CHAR(92))),"$",_xlfn.CONCAT(CHAR(92),"$")),CHAR(96),_xlfn.CONCAT(CHAR(92),CHAR(96))),CHAR(34),CHAR(39))))</f>
        <v/>
      </c>
      <c r="M534" s="5" t="str">
        <f>IF(OR(TRIM($B534)="",$C534=""),"",IF(IFERROR(MATCH(TRIM($C534),{"Quantitative","Continuous","Discrete","Categorical","Nominal","Ordinal","Identifier"},0),0)=0,_xlfn.CONCAT("* REVIEW REQUIRED: invalid Variable Type on Sheet 1 row ",534,"."),_xlfn.CONCAT("char ",TRIM($B534),"[doc_vartype] ",CHAR(96),CHAR(34),SUBSTITUTE(SUBSTITUTE(SUBSTITUTE(SUBSTITUTE(SUBSTITUTE(SUBSTITUTE(LOWER(TRIM($C534)),CHAR(13)," "),CHAR(10)," "),CHAR(9)," "),CHAR(92),_xlfn.CONCAT(CHAR(92),CHAR(92))),"$",_xlfn.CONCAT(CHAR(92),"$")),CHAR(96),_xlfn.CONCAT(CHAR(92),CHAR(96))),CHAR(34),CHAR(39))))</f>
        <v/>
      </c>
      <c r="N534" s="5" t="str">
        <f>IF(OR(TRIM($B534)="",$D534=""),"",IF(OR(ISNUMBER(SEARCH(_xlfn.CONCAT(CHAR(96),CHAR(34)),$D534)),ISNUMBER(SEARCH(_xlfn.CONCAT(CHAR(34),CHAR(39)),$D534))),_xlfn.CONCAT("* REVIEW REQUIRED: compound-quote delimiter in Item Number on Sheet 1 row ",534,"; edit the input before running."),_xlfn.CONCAT("char ",TRIM($B534),"[doc_itemnum] ",CHAR(96),CHAR(34),SUBSTITUTE(SUBSTITUTE(SUBSTITUTE(SUBSTITUTE(SUBSTITUTE(SUBSTITUTE($D534,CHAR(13)," "),CHAR(10)," "),CHAR(9)," "),CHAR(92),_xlfn.CONCAT(CHAR(92),CHAR(92))),"$",_xlfn.CONCAT(CHAR(92),"$")),CHAR(96),_xlfn.CONCAT(CHAR(92),CHAR(96))),CHAR(34),CHAR(39))))</f>
        <v/>
      </c>
      <c r="O534" s="5" t="str">
        <f>IF(OR(TRIM($B534)="",$E534=""),"",IF(OR(ISNUMBER(SEARCH(_xlfn.CONCAT(CHAR(96),CHAR(34)),$E534)),ISNUMBER(SEARCH(_xlfn.CONCAT(CHAR(34),CHAR(39)),$E534))),_xlfn.CONCAT("* REVIEW REQUIRED: compound-quote delimiter in Question Wording on Sheet 1 row ",534,"; edit the input before running."),_xlfn.CONCAT("char ",TRIM($B534),"[doc_question] ",CHAR(96),CHAR(34),SUBSTITUTE(SUBSTITUTE(SUBSTITUTE(SUBSTITUTE(SUBSTITUTE(SUBSTITUTE($E534,CHAR(13)," "),CHAR(10)," "),CHAR(9)," "),CHAR(92),_xlfn.CONCAT(CHAR(92),CHAR(92))),"$",_xlfn.CONCAT(CHAR(92),"$")),CHAR(96),_xlfn.CONCAT(CHAR(92),CHAR(96))),CHAR(34),CHAR(39))))</f>
        <v/>
      </c>
      <c r="P534" s="5" t="str">
        <f>IF(OR(TRIM($B534)="",$F534=""),"",IF(OR(ISNUMBER(SEARCH(_xlfn.CONCAT(CHAR(96),CHAR(34)),$F534)),ISNUMBER(SEARCH(_xlfn.CONCAT(CHAR(34),CHAR(39)),$F534))),_xlfn.CONCAT("* REVIEW REQUIRED: compound-quote delimiter in Units on Sheet 1 row ",534,"; edit the input before running."),_xlfn.CONCAT("char ",TRIM($B534),"[doc_units] ",CHAR(96),CHAR(34),SUBSTITUTE(SUBSTITUTE(SUBSTITUTE(SUBSTITUTE(SUBSTITUTE(SUBSTITUTE($F534,CHAR(13)," "),CHAR(10)," "),CHAR(9)," "),CHAR(92),_xlfn.CONCAT(CHAR(92),CHAR(92))),"$",_xlfn.CONCAT(CHAR(92),"$")),CHAR(96),_xlfn.CONCAT(CHAR(92),CHAR(96))),CHAR(34),CHAR(39))))</f>
        <v/>
      </c>
      <c r="Q534" s="5" t="str">
        <f>IF(OR(TRIM($B534)="",$G534=""),"",IF(OR(ISNUMBER(SEARCH(_xlfn.CONCAT(CHAR(96),CHAR(34)),$G534)),ISNUMBER(SEARCH(_xlfn.CONCAT(CHAR(34),CHAR(39)),$G534))),_xlfn.CONCAT("* REVIEW REQUIRED: compound-quote delimiter in Universe on Sheet 1 row ",534,"; edit the input before running."),_xlfn.CONCAT("char ",TRIM($B534),"[doc_universe] ",CHAR(96),CHAR(34),SUBSTITUTE(SUBSTITUTE(SUBSTITUTE(SUBSTITUTE(SUBSTITUTE(SUBSTITUTE($G534,CHAR(13)," "),CHAR(10)," "),CHAR(9)," "),CHAR(92),_xlfn.CONCAT(CHAR(92),CHAR(92))),"$",_xlfn.CONCAT(CHAR(92),"$")),CHAR(96),_xlfn.CONCAT(CHAR(92),CHAR(96))),CHAR(34),CHAR(39))))</f>
        <v/>
      </c>
      <c r="R534" s="5" t="str">
        <f>IF(OR(TRIM($B534)="",$H534=""),"",IF(OR(ISNUMBER(SEARCH(_xlfn.CONCAT(CHAR(96),CHAR(34)),$H534)),ISNUMBER(SEARCH(_xlfn.CONCAT(CHAR(34),CHAR(39)),$H534))),_xlfn.CONCAT("* REVIEW REQUIRED: compound-quote delimiter in Source on Sheet 1 row ",534,"; edit the input before running."),_xlfn.CONCAT("char ",TRIM($B534),"[doc_source] ",CHAR(96),CHAR(34),SUBSTITUTE(SUBSTITUTE(SUBSTITUTE(SUBSTITUTE(SUBSTITUTE(SUBSTITUTE($H534,CHAR(13)," "),CHAR(10)," "),CHAR(9)," "),CHAR(92),_xlfn.CONCAT(CHAR(92),CHAR(92))),"$",_xlfn.CONCAT(CHAR(92),"$")),CHAR(96),_xlfn.CONCAT(CHAR(92),CHAR(96))),CHAR(34),CHAR(39))))</f>
        <v/>
      </c>
      <c r="S534" s="5" t="str">
        <f>IF(OR(TRIM($B534)="",$I534=""),"",IF(OR(ISNUMBER(SEARCH(_xlfn.CONCAT(CHAR(96),CHAR(34)),$I534)),ISNUMBER(SEARCH(_xlfn.CONCAT(CHAR(34),CHAR(39)),$I534))),_xlfn.CONCAT("* REVIEW REQUIRED: compound-quote delimiter in Derivation on Sheet 1 row ",534,"; edit the input before running."),_xlfn.CONCAT("char ",TRIM($B534),"[doc_derivation] ",CHAR(96),CHAR(34),SUBSTITUTE(SUBSTITUTE(SUBSTITUTE(SUBSTITUTE(SUBSTITUTE(SUBSTITUTE($I534,CHAR(13)," "),CHAR(10)," "),CHAR(9)," "),CHAR(92),_xlfn.CONCAT(CHAR(92),CHAR(92))),"$",_xlfn.CONCAT(CHAR(92),"$")),CHAR(96),_xlfn.CONCAT(CHAR(92),CHAR(96))),CHAR(34),CHAR(39))))</f>
        <v/>
      </c>
      <c r="T534" s="5" t="str">
        <f>IF(OR(TRIM($B534)="",$J534=""),"",IF(OR(ISNUMBER(SEARCH(_xlfn.CONCAT(CHAR(96),CHAR(34)),$J534)),ISNUMBER(SEARCH(_xlfn.CONCAT(CHAR(34),CHAR(39)),$J534))),_xlfn.CONCAT("* REVIEW REQUIRED: compound-quote delimiter in Notes on Sheet 1 row ",534,"; edit the input before running."),_xlfn.CONCAT("char ",TRIM($B534),"[doc_notes] ",CHAR(96),CHAR(34),SUBSTITUTE(SUBSTITUTE(SUBSTITUTE(SUBSTITUTE(SUBSTITUTE(SUBSTITUTE($J534,CHAR(13)," "),CHAR(10)," "),CHAR(9)," "),CHAR(92),_xlfn.CONCAT(CHAR(92),CHAR(92))),"$",_xlfn.CONCAT(CHAR(92),"$")),CHAR(96),_xlfn.CONCAT(CHAR(92),CHAR(96))),CHAR(34),CHAR(39))))</f>
        <v/>
      </c>
      <c r="U534" s="5">
        <f t="shared" si="17"/>
        <v>0</v>
      </c>
    </row>
    <row r="535" spans="3:21" ht="30" customHeight="1" x14ac:dyDescent="0.2">
      <c r="C535" s="4"/>
      <c r="K535" s="5">
        <f t="shared" si="16"/>
        <v>0</v>
      </c>
      <c r="L535" s="5" t="str">
        <f>IF(OR(TRIM($B535)="",$A535=""),"",IF(OR(ISNUMBER(SEARCH(_xlfn.CONCAT(CHAR(96),CHAR(34)),$A535)),ISNUMBER(SEARCH(_xlfn.CONCAT(CHAR(34),CHAR(39)),$A535))),_xlfn.CONCAT("* REVIEW REQUIRED: compound-quote delimiter in Codebook Section on Sheet 1 row ",535,"; edit the input before running."),_xlfn.CONCAT("char ",TRIM($B535),"[doc_section] ",CHAR(96),CHAR(34),SUBSTITUTE(SUBSTITUTE(SUBSTITUTE(SUBSTITUTE(SUBSTITUTE(SUBSTITUTE($A535,CHAR(13)," "),CHAR(10)," "),CHAR(9)," "),CHAR(92),_xlfn.CONCAT(CHAR(92),CHAR(92))),"$",_xlfn.CONCAT(CHAR(92),"$")),CHAR(96),_xlfn.CONCAT(CHAR(92),CHAR(96))),CHAR(34),CHAR(39))))</f>
        <v/>
      </c>
      <c r="M535" s="5" t="str">
        <f>IF(OR(TRIM($B535)="",$C535=""),"",IF(IFERROR(MATCH(TRIM($C535),{"Quantitative","Continuous","Discrete","Categorical","Nominal","Ordinal","Identifier"},0),0)=0,_xlfn.CONCAT("* REVIEW REQUIRED: invalid Variable Type on Sheet 1 row ",535,"."),_xlfn.CONCAT("char ",TRIM($B535),"[doc_vartype] ",CHAR(96),CHAR(34),SUBSTITUTE(SUBSTITUTE(SUBSTITUTE(SUBSTITUTE(SUBSTITUTE(SUBSTITUTE(LOWER(TRIM($C535)),CHAR(13)," "),CHAR(10)," "),CHAR(9)," "),CHAR(92),_xlfn.CONCAT(CHAR(92),CHAR(92))),"$",_xlfn.CONCAT(CHAR(92),"$")),CHAR(96),_xlfn.CONCAT(CHAR(92),CHAR(96))),CHAR(34),CHAR(39))))</f>
        <v/>
      </c>
      <c r="N535" s="5" t="str">
        <f>IF(OR(TRIM($B535)="",$D535=""),"",IF(OR(ISNUMBER(SEARCH(_xlfn.CONCAT(CHAR(96),CHAR(34)),$D535)),ISNUMBER(SEARCH(_xlfn.CONCAT(CHAR(34),CHAR(39)),$D535))),_xlfn.CONCAT("* REVIEW REQUIRED: compound-quote delimiter in Item Number on Sheet 1 row ",535,"; edit the input before running."),_xlfn.CONCAT("char ",TRIM($B535),"[doc_itemnum] ",CHAR(96),CHAR(34),SUBSTITUTE(SUBSTITUTE(SUBSTITUTE(SUBSTITUTE(SUBSTITUTE(SUBSTITUTE($D535,CHAR(13)," "),CHAR(10)," "),CHAR(9)," "),CHAR(92),_xlfn.CONCAT(CHAR(92),CHAR(92))),"$",_xlfn.CONCAT(CHAR(92),"$")),CHAR(96),_xlfn.CONCAT(CHAR(92),CHAR(96))),CHAR(34),CHAR(39))))</f>
        <v/>
      </c>
      <c r="O535" s="5" t="str">
        <f>IF(OR(TRIM($B535)="",$E535=""),"",IF(OR(ISNUMBER(SEARCH(_xlfn.CONCAT(CHAR(96),CHAR(34)),$E535)),ISNUMBER(SEARCH(_xlfn.CONCAT(CHAR(34),CHAR(39)),$E535))),_xlfn.CONCAT("* REVIEW REQUIRED: compound-quote delimiter in Question Wording on Sheet 1 row ",535,"; edit the input before running."),_xlfn.CONCAT("char ",TRIM($B535),"[doc_question] ",CHAR(96),CHAR(34),SUBSTITUTE(SUBSTITUTE(SUBSTITUTE(SUBSTITUTE(SUBSTITUTE(SUBSTITUTE($E535,CHAR(13)," "),CHAR(10)," "),CHAR(9)," "),CHAR(92),_xlfn.CONCAT(CHAR(92),CHAR(92))),"$",_xlfn.CONCAT(CHAR(92),"$")),CHAR(96),_xlfn.CONCAT(CHAR(92),CHAR(96))),CHAR(34),CHAR(39))))</f>
        <v/>
      </c>
      <c r="P535" s="5" t="str">
        <f>IF(OR(TRIM($B535)="",$F535=""),"",IF(OR(ISNUMBER(SEARCH(_xlfn.CONCAT(CHAR(96),CHAR(34)),$F535)),ISNUMBER(SEARCH(_xlfn.CONCAT(CHAR(34),CHAR(39)),$F535))),_xlfn.CONCAT("* REVIEW REQUIRED: compound-quote delimiter in Units on Sheet 1 row ",535,"; edit the input before running."),_xlfn.CONCAT("char ",TRIM($B535),"[doc_units] ",CHAR(96),CHAR(34),SUBSTITUTE(SUBSTITUTE(SUBSTITUTE(SUBSTITUTE(SUBSTITUTE(SUBSTITUTE($F535,CHAR(13)," "),CHAR(10)," "),CHAR(9)," "),CHAR(92),_xlfn.CONCAT(CHAR(92),CHAR(92))),"$",_xlfn.CONCAT(CHAR(92),"$")),CHAR(96),_xlfn.CONCAT(CHAR(92),CHAR(96))),CHAR(34),CHAR(39))))</f>
        <v/>
      </c>
      <c r="Q535" s="5" t="str">
        <f>IF(OR(TRIM($B535)="",$G535=""),"",IF(OR(ISNUMBER(SEARCH(_xlfn.CONCAT(CHAR(96),CHAR(34)),$G535)),ISNUMBER(SEARCH(_xlfn.CONCAT(CHAR(34),CHAR(39)),$G535))),_xlfn.CONCAT("* REVIEW REQUIRED: compound-quote delimiter in Universe on Sheet 1 row ",535,"; edit the input before running."),_xlfn.CONCAT("char ",TRIM($B535),"[doc_universe] ",CHAR(96),CHAR(34),SUBSTITUTE(SUBSTITUTE(SUBSTITUTE(SUBSTITUTE(SUBSTITUTE(SUBSTITUTE($G535,CHAR(13)," "),CHAR(10)," "),CHAR(9)," "),CHAR(92),_xlfn.CONCAT(CHAR(92),CHAR(92))),"$",_xlfn.CONCAT(CHAR(92),"$")),CHAR(96),_xlfn.CONCAT(CHAR(92),CHAR(96))),CHAR(34),CHAR(39))))</f>
        <v/>
      </c>
      <c r="R535" s="5" t="str">
        <f>IF(OR(TRIM($B535)="",$H535=""),"",IF(OR(ISNUMBER(SEARCH(_xlfn.CONCAT(CHAR(96),CHAR(34)),$H535)),ISNUMBER(SEARCH(_xlfn.CONCAT(CHAR(34),CHAR(39)),$H535))),_xlfn.CONCAT("* REVIEW REQUIRED: compound-quote delimiter in Source on Sheet 1 row ",535,"; edit the input before running."),_xlfn.CONCAT("char ",TRIM($B535),"[doc_source] ",CHAR(96),CHAR(34),SUBSTITUTE(SUBSTITUTE(SUBSTITUTE(SUBSTITUTE(SUBSTITUTE(SUBSTITUTE($H535,CHAR(13)," "),CHAR(10)," "),CHAR(9)," "),CHAR(92),_xlfn.CONCAT(CHAR(92),CHAR(92))),"$",_xlfn.CONCAT(CHAR(92),"$")),CHAR(96),_xlfn.CONCAT(CHAR(92),CHAR(96))),CHAR(34),CHAR(39))))</f>
        <v/>
      </c>
      <c r="S535" s="5" t="str">
        <f>IF(OR(TRIM($B535)="",$I535=""),"",IF(OR(ISNUMBER(SEARCH(_xlfn.CONCAT(CHAR(96),CHAR(34)),$I535)),ISNUMBER(SEARCH(_xlfn.CONCAT(CHAR(34),CHAR(39)),$I535))),_xlfn.CONCAT("* REVIEW REQUIRED: compound-quote delimiter in Derivation on Sheet 1 row ",535,"; edit the input before running."),_xlfn.CONCAT("char ",TRIM($B535),"[doc_derivation] ",CHAR(96),CHAR(34),SUBSTITUTE(SUBSTITUTE(SUBSTITUTE(SUBSTITUTE(SUBSTITUTE(SUBSTITUTE($I535,CHAR(13)," "),CHAR(10)," "),CHAR(9)," "),CHAR(92),_xlfn.CONCAT(CHAR(92),CHAR(92))),"$",_xlfn.CONCAT(CHAR(92),"$")),CHAR(96),_xlfn.CONCAT(CHAR(92),CHAR(96))),CHAR(34),CHAR(39))))</f>
        <v/>
      </c>
      <c r="T535" s="5" t="str">
        <f>IF(OR(TRIM($B535)="",$J535=""),"",IF(OR(ISNUMBER(SEARCH(_xlfn.CONCAT(CHAR(96),CHAR(34)),$J535)),ISNUMBER(SEARCH(_xlfn.CONCAT(CHAR(34),CHAR(39)),$J535))),_xlfn.CONCAT("* REVIEW REQUIRED: compound-quote delimiter in Notes on Sheet 1 row ",535,"; edit the input before running."),_xlfn.CONCAT("char ",TRIM($B535),"[doc_notes] ",CHAR(96),CHAR(34),SUBSTITUTE(SUBSTITUTE(SUBSTITUTE(SUBSTITUTE(SUBSTITUTE(SUBSTITUTE($J535,CHAR(13)," "),CHAR(10)," "),CHAR(9)," "),CHAR(92),_xlfn.CONCAT(CHAR(92),CHAR(92))),"$",_xlfn.CONCAT(CHAR(92),"$")),CHAR(96),_xlfn.CONCAT(CHAR(92),CHAR(96))),CHAR(34),CHAR(39))))</f>
        <v/>
      </c>
      <c r="U535" s="5">
        <f t="shared" si="17"/>
        <v>0</v>
      </c>
    </row>
    <row r="536" spans="3:21" ht="30" customHeight="1" x14ac:dyDescent="0.2">
      <c r="C536" s="4"/>
      <c r="K536" s="5">
        <f t="shared" si="16"/>
        <v>0</v>
      </c>
      <c r="L536" s="5" t="str">
        <f>IF(OR(TRIM($B536)="",$A536=""),"",IF(OR(ISNUMBER(SEARCH(_xlfn.CONCAT(CHAR(96),CHAR(34)),$A536)),ISNUMBER(SEARCH(_xlfn.CONCAT(CHAR(34),CHAR(39)),$A536))),_xlfn.CONCAT("* REVIEW REQUIRED: compound-quote delimiter in Codebook Section on Sheet 1 row ",536,"; edit the input before running."),_xlfn.CONCAT("char ",TRIM($B536),"[doc_section] ",CHAR(96),CHAR(34),SUBSTITUTE(SUBSTITUTE(SUBSTITUTE(SUBSTITUTE(SUBSTITUTE(SUBSTITUTE($A536,CHAR(13)," "),CHAR(10)," "),CHAR(9)," "),CHAR(92),_xlfn.CONCAT(CHAR(92),CHAR(92))),"$",_xlfn.CONCAT(CHAR(92),"$")),CHAR(96),_xlfn.CONCAT(CHAR(92),CHAR(96))),CHAR(34),CHAR(39))))</f>
        <v/>
      </c>
      <c r="M536" s="5" t="str">
        <f>IF(OR(TRIM($B536)="",$C536=""),"",IF(IFERROR(MATCH(TRIM($C536),{"Quantitative","Continuous","Discrete","Categorical","Nominal","Ordinal","Identifier"},0),0)=0,_xlfn.CONCAT("* REVIEW REQUIRED: invalid Variable Type on Sheet 1 row ",536,"."),_xlfn.CONCAT("char ",TRIM($B536),"[doc_vartype] ",CHAR(96),CHAR(34),SUBSTITUTE(SUBSTITUTE(SUBSTITUTE(SUBSTITUTE(SUBSTITUTE(SUBSTITUTE(LOWER(TRIM($C536)),CHAR(13)," "),CHAR(10)," "),CHAR(9)," "),CHAR(92),_xlfn.CONCAT(CHAR(92),CHAR(92))),"$",_xlfn.CONCAT(CHAR(92),"$")),CHAR(96),_xlfn.CONCAT(CHAR(92),CHAR(96))),CHAR(34),CHAR(39))))</f>
        <v/>
      </c>
      <c r="N536" s="5" t="str">
        <f>IF(OR(TRIM($B536)="",$D536=""),"",IF(OR(ISNUMBER(SEARCH(_xlfn.CONCAT(CHAR(96),CHAR(34)),$D536)),ISNUMBER(SEARCH(_xlfn.CONCAT(CHAR(34),CHAR(39)),$D536))),_xlfn.CONCAT("* REVIEW REQUIRED: compound-quote delimiter in Item Number on Sheet 1 row ",536,"; edit the input before running."),_xlfn.CONCAT("char ",TRIM($B536),"[doc_itemnum] ",CHAR(96),CHAR(34),SUBSTITUTE(SUBSTITUTE(SUBSTITUTE(SUBSTITUTE(SUBSTITUTE(SUBSTITUTE($D536,CHAR(13)," "),CHAR(10)," "),CHAR(9)," "),CHAR(92),_xlfn.CONCAT(CHAR(92),CHAR(92))),"$",_xlfn.CONCAT(CHAR(92),"$")),CHAR(96),_xlfn.CONCAT(CHAR(92),CHAR(96))),CHAR(34),CHAR(39))))</f>
        <v/>
      </c>
      <c r="O536" s="5" t="str">
        <f>IF(OR(TRIM($B536)="",$E536=""),"",IF(OR(ISNUMBER(SEARCH(_xlfn.CONCAT(CHAR(96),CHAR(34)),$E536)),ISNUMBER(SEARCH(_xlfn.CONCAT(CHAR(34),CHAR(39)),$E536))),_xlfn.CONCAT("* REVIEW REQUIRED: compound-quote delimiter in Question Wording on Sheet 1 row ",536,"; edit the input before running."),_xlfn.CONCAT("char ",TRIM($B536),"[doc_question] ",CHAR(96),CHAR(34),SUBSTITUTE(SUBSTITUTE(SUBSTITUTE(SUBSTITUTE(SUBSTITUTE(SUBSTITUTE($E536,CHAR(13)," "),CHAR(10)," "),CHAR(9)," "),CHAR(92),_xlfn.CONCAT(CHAR(92),CHAR(92))),"$",_xlfn.CONCAT(CHAR(92),"$")),CHAR(96),_xlfn.CONCAT(CHAR(92),CHAR(96))),CHAR(34),CHAR(39))))</f>
        <v/>
      </c>
      <c r="P536" s="5" t="str">
        <f>IF(OR(TRIM($B536)="",$F536=""),"",IF(OR(ISNUMBER(SEARCH(_xlfn.CONCAT(CHAR(96),CHAR(34)),$F536)),ISNUMBER(SEARCH(_xlfn.CONCAT(CHAR(34),CHAR(39)),$F536))),_xlfn.CONCAT("* REVIEW REQUIRED: compound-quote delimiter in Units on Sheet 1 row ",536,"; edit the input before running."),_xlfn.CONCAT("char ",TRIM($B536),"[doc_units] ",CHAR(96),CHAR(34),SUBSTITUTE(SUBSTITUTE(SUBSTITUTE(SUBSTITUTE(SUBSTITUTE(SUBSTITUTE($F536,CHAR(13)," "),CHAR(10)," "),CHAR(9)," "),CHAR(92),_xlfn.CONCAT(CHAR(92),CHAR(92))),"$",_xlfn.CONCAT(CHAR(92),"$")),CHAR(96),_xlfn.CONCAT(CHAR(92),CHAR(96))),CHAR(34),CHAR(39))))</f>
        <v/>
      </c>
      <c r="Q536" s="5" t="str">
        <f>IF(OR(TRIM($B536)="",$G536=""),"",IF(OR(ISNUMBER(SEARCH(_xlfn.CONCAT(CHAR(96),CHAR(34)),$G536)),ISNUMBER(SEARCH(_xlfn.CONCAT(CHAR(34),CHAR(39)),$G536))),_xlfn.CONCAT("* REVIEW REQUIRED: compound-quote delimiter in Universe on Sheet 1 row ",536,"; edit the input before running."),_xlfn.CONCAT("char ",TRIM($B536),"[doc_universe] ",CHAR(96),CHAR(34),SUBSTITUTE(SUBSTITUTE(SUBSTITUTE(SUBSTITUTE(SUBSTITUTE(SUBSTITUTE($G536,CHAR(13)," "),CHAR(10)," "),CHAR(9)," "),CHAR(92),_xlfn.CONCAT(CHAR(92),CHAR(92))),"$",_xlfn.CONCAT(CHAR(92),"$")),CHAR(96),_xlfn.CONCAT(CHAR(92),CHAR(96))),CHAR(34),CHAR(39))))</f>
        <v/>
      </c>
      <c r="R536" s="5" t="str">
        <f>IF(OR(TRIM($B536)="",$H536=""),"",IF(OR(ISNUMBER(SEARCH(_xlfn.CONCAT(CHAR(96),CHAR(34)),$H536)),ISNUMBER(SEARCH(_xlfn.CONCAT(CHAR(34),CHAR(39)),$H536))),_xlfn.CONCAT("* REVIEW REQUIRED: compound-quote delimiter in Source on Sheet 1 row ",536,"; edit the input before running."),_xlfn.CONCAT("char ",TRIM($B536),"[doc_source] ",CHAR(96),CHAR(34),SUBSTITUTE(SUBSTITUTE(SUBSTITUTE(SUBSTITUTE(SUBSTITUTE(SUBSTITUTE($H536,CHAR(13)," "),CHAR(10)," "),CHAR(9)," "),CHAR(92),_xlfn.CONCAT(CHAR(92),CHAR(92))),"$",_xlfn.CONCAT(CHAR(92),"$")),CHAR(96),_xlfn.CONCAT(CHAR(92),CHAR(96))),CHAR(34),CHAR(39))))</f>
        <v/>
      </c>
      <c r="S536" s="5" t="str">
        <f>IF(OR(TRIM($B536)="",$I536=""),"",IF(OR(ISNUMBER(SEARCH(_xlfn.CONCAT(CHAR(96),CHAR(34)),$I536)),ISNUMBER(SEARCH(_xlfn.CONCAT(CHAR(34),CHAR(39)),$I536))),_xlfn.CONCAT("* REVIEW REQUIRED: compound-quote delimiter in Derivation on Sheet 1 row ",536,"; edit the input before running."),_xlfn.CONCAT("char ",TRIM($B536),"[doc_derivation] ",CHAR(96),CHAR(34),SUBSTITUTE(SUBSTITUTE(SUBSTITUTE(SUBSTITUTE(SUBSTITUTE(SUBSTITUTE($I536,CHAR(13)," "),CHAR(10)," "),CHAR(9)," "),CHAR(92),_xlfn.CONCAT(CHAR(92),CHAR(92))),"$",_xlfn.CONCAT(CHAR(92),"$")),CHAR(96),_xlfn.CONCAT(CHAR(92),CHAR(96))),CHAR(34),CHAR(39))))</f>
        <v/>
      </c>
      <c r="T536" s="5" t="str">
        <f>IF(OR(TRIM($B536)="",$J536=""),"",IF(OR(ISNUMBER(SEARCH(_xlfn.CONCAT(CHAR(96),CHAR(34)),$J536)),ISNUMBER(SEARCH(_xlfn.CONCAT(CHAR(34),CHAR(39)),$J536))),_xlfn.CONCAT("* REVIEW REQUIRED: compound-quote delimiter in Notes on Sheet 1 row ",536,"; edit the input before running."),_xlfn.CONCAT("char ",TRIM($B536),"[doc_notes] ",CHAR(96),CHAR(34),SUBSTITUTE(SUBSTITUTE(SUBSTITUTE(SUBSTITUTE(SUBSTITUTE(SUBSTITUTE($J536,CHAR(13)," "),CHAR(10)," "),CHAR(9)," "),CHAR(92),_xlfn.CONCAT(CHAR(92),CHAR(92))),"$",_xlfn.CONCAT(CHAR(92),"$")),CHAR(96),_xlfn.CONCAT(CHAR(92),CHAR(96))),CHAR(34),CHAR(39))))</f>
        <v/>
      </c>
      <c r="U536" s="5">
        <f t="shared" si="17"/>
        <v>0</v>
      </c>
    </row>
    <row r="537" spans="3:21" ht="30" customHeight="1" x14ac:dyDescent="0.2">
      <c r="C537" s="4"/>
      <c r="K537" s="5">
        <f t="shared" si="16"/>
        <v>0</v>
      </c>
      <c r="L537" s="5" t="str">
        <f>IF(OR(TRIM($B537)="",$A537=""),"",IF(OR(ISNUMBER(SEARCH(_xlfn.CONCAT(CHAR(96),CHAR(34)),$A537)),ISNUMBER(SEARCH(_xlfn.CONCAT(CHAR(34),CHAR(39)),$A537))),_xlfn.CONCAT("* REVIEW REQUIRED: compound-quote delimiter in Codebook Section on Sheet 1 row ",537,"; edit the input before running."),_xlfn.CONCAT("char ",TRIM($B537),"[doc_section] ",CHAR(96),CHAR(34),SUBSTITUTE(SUBSTITUTE(SUBSTITUTE(SUBSTITUTE(SUBSTITUTE(SUBSTITUTE($A537,CHAR(13)," "),CHAR(10)," "),CHAR(9)," "),CHAR(92),_xlfn.CONCAT(CHAR(92),CHAR(92))),"$",_xlfn.CONCAT(CHAR(92),"$")),CHAR(96),_xlfn.CONCAT(CHAR(92),CHAR(96))),CHAR(34),CHAR(39))))</f>
        <v/>
      </c>
      <c r="M537" s="5" t="str">
        <f>IF(OR(TRIM($B537)="",$C537=""),"",IF(IFERROR(MATCH(TRIM($C537),{"Quantitative","Continuous","Discrete","Categorical","Nominal","Ordinal","Identifier"},0),0)=0,_xlfn.CONCAT("* REVIEW REQUIRED: invalid Variable Type on Sheet 1 row ",537,"."),_xlfn.CONCAT("char ",TRIM($B537),"[doc_vartype] ",CHAR(96),CHAR(34),SUBSTITUTE(SUBSTITUTE(SUBSTITUTE(SUBSTITUTE(SUBSTITUTE(SUBSTITUTE(LOWER(TRIM($C537)),CHAR(13)," "),CHAR(10)," "),CHAR(9)," "),CHAR(92),_xlfn.CONCAT(CHAR(92),CHAR(92))),"$",_xlfn.CONCAT(CHAR(92),"$")),CHAR(96),_xlfn.CONCAT(CHAR(92),CHAR(96))),CHAR(34),CHAR(39))))</f>
        <v/>
      </c>
      <c r="N537" s="5" t="str">
        <f>IF(OR(TRIM($B537)="",$D537=""),"",IF(OR(ISNUMBER(SEARCH(_xlfn.CONCAT(CHAR(96),CHAR(34)),$D537)),ISNUMBER(SEARCH(_xlfn.CONCAT(CHAR(34),CHAR(39)),$D537))),_xlfn.CONCAT("* REVIEW REQUIRED: compound-quote delimiter in Item Number on Sheet 1 row ",537,"; edit the input before running."),_xlfn.CONCAT("char ",TRIM($B537),"[doc_itemnum] ",CHAR(96),CHAR(34),SUBSTITUTE(SUBSTITUTE(SUBSTITUTE(SUBSTITUTE(SUBSTITUTE(SUBSTITUTE($D537,CHAR(13)," "),CHAR(10)," "),CHAR(9)," "),CHAR(92),_xlfn.CONCAT(CHAR(92),CHAR(92))),"$",_xlfn.CONCAT(CHAR(92),"$")),CHAR(96),_xlfn.CONCAT(CHAR(92),CHAR(96))),CHAR(34),CHAR(39))))</f>
        <v/>
      </c>
      <c r="O537" s="5" t="str">
        <f>IF(OR(TRIM($B537)="",$E537=""),"",IF(OR(ISNUMBER(SEARCH(_xlfn.CONCAT(CHAR(96),CHAR(34)),$E537)),ISNUMBER(SEARCH(_xlfn.CONCAT(CHAR(34),CHAR(39)),$E537))),_xlfn.CONCAT("* REVIEW REQUIRED: compound-quote delimiter in Question Wording on Sheet 1 row ",537,"; edit the input before running."),_xlfn.CONCAT("char ",TRIM($B537),"[doc_question] ",CHAR(96),CHAR(34),SUBSTITUTE(SUBSTITUTE(SUBSTITUTE(SUBSTITUTE(SUBSTITUTE(SUBSTITUTE($E537,CHAR(13)," "),CHAR(10)," "),CHAR(9)," "),CHAR(92),_xlfn.CONCAT(CHAR(92),CHAR(92))),"$",_xlfn.CONCAT(CHAR(92),"$")),CHAR(96),_xlfn.CONCAT(CHAR(92),CHAR(96))),CHAR(34),CHAR(39))))</f>
        <v/>
      </c>
      <c r="P537" s="5" t="str">
        <f>IF(OR(TRIM($B537)="",$F537=""),"",IF(OR(ISNUMBER(SEARCH(_xlfn.CONCAT(CHAR(96),CHAR(34)),$F537)),ISNUMBER(SEARCH(_xlfn.CONCAT(CHAR(34),CHAR(39)),$F537))),_xlfn.CONCAT("* REVIEW REQUIRED: compound-quote delimiter in Units on Sheet 1 row ",537,"; edit the input before running."),_xlfn.CONCAT("char ",TRIM($B537),"[doc_units] ",CHAR(96),CHAR(34),SUBSTITUTE(SUBSTITUTE(SUBSTITUTE(SUBSTITUTE(SUBSTITUTE(SUBSTITUTE($F537,CHAR(13)," "),CHAR(10)," "),CHAR(9)," "),CHAR(92),_xlfn.CONCAT(CHAR(92),CHAR(92))),"$",_xlfn.CONCAT(CHAR(92),"$")),CHAR(96),_xlfn.CONCAT(CHAR(92),CHAR(96))),CHAR(34),CHAR(39))))</f>
        <v/>
      </c>
      <c r="Q537" s="5" t="str">
        <f>IF(OR(TRIM($B537)="",$G537=""),"",IF(OR(ISNUMBER(SEARCH(_xlfn.CONCAT(CHAR(96),CHAR(34)),$G537)),ISNUMBER(SEARCH(_xlfn.CONCAT(CHAR(34),CHAR(39)),$G537))),_xlfn.CONCAT("* REVIEW REQUIRED: compound-quote delimiter in Universe on Sheet 1 row ",537,"; edit the input before running."),_xlfn.CONCAT("char ",TRIM($B537),"[doc_universe] ",CHAR(96),CHAR(34),SUBSTITUTE(SUBSTITUTE(SUBSTITUTE(SUBSTITUTE(SUBSTITUTE(SUBSTITUTE($G537,CHAR(13)," "),CHAR(10)," "),CHAR(9)," "),CHAR(92),_xlfn.CONCAT(CHAR(92),CHAR(92))),"$",_xlfn.CONCAT(CHAR(92),"$")),CHAR(96),_xlfn.CONCAT(CHAR(92),CHAR(96))),CHAR(34),CHAR(39))))</f>
        <v/>
      </c>
      <c r="R537" s="5" t="str">
        <f>IF(OR(TRIM($B537)="",$H537=""),"",IF(OR(ISNUMBER(SEARCH(_xlfn.CONCAT(CHAR(96),CHAR(34)),$H537)),ISNUMBER(SEARCH(_xlfn.CONCAT(CHAR(34),CHAR(39)),$H537))),_xlfn.CONCAT("* REVIEW REQUIRED: compound-quote delimiter in Source on Sheet 1 row ",537,"; edit the input before running."),_xlfn.CONCAT("char ",TRIM($B537),"[doc_source] ",CHAR(96),CHAR(34),SUBSTITUTE(SUBSTITUTE(SUBSTITUTE(SUBSTITUTE(SUBSTITUTE(SUBSTITUTE($H537,CHAR(13)," "),CHAR(10)," "),CHAR(9)," "),CHAR(92),_xlfn.CONCAT(CHAR(92),CHAR(92))),"$",_xlfn.CONCAT(CHAR(92),"$")),CHAR(96),_xlfn.CONCAT(CHAR(92),CHAR(96))),CHAR(34),CHAR(39))))</f>
        <v/>
      </c>
      <c r="S537" s="5" t="str">
        <f>IF(OR(TRIM($B537)="",$I537=""),"",IF(OR(ISNUMBER(SEARCH(_xlfn.CONCAT(CHAR(96),CHAR(34)),$I537)),ISNUMBER(SEARCH(_xlfn.CONCAT(CHAR(34),CHAR(39)),$I537))),_xlfn.CONCAT("* REVIEW REQUIRED: compound-quote delimiter in Derivation on Sheet 1 row ",537,"; edit the input before running."),_xlfn.CONCAT("char ",TRIM($B537),"[doc_derivation] ",CHAR(96),CHAR(34),SUBSTITUTE(SUBSTITUTE(SUBSTITUTE(SUBSTITUTE(SUBSTITUTE(SUBSTITUTE($I537,CHAR(13)," "),CHAR(10)," "),CHAR(9)," "),CHAR(92),_xlfn.CONCAT(CHAR(92),CHAR(92))),"$",_xlfn.CONCAT(CHAR(92),"$")),CHAR(96),_xlfn.CONCAT(CHAR(92),CHAR(96))),CHAR(34),CHAR(39))))</f>
        <v/>
      </c>
      <c r="T537" s="5" t="str">
        <f>IF(OR(TRIM($B537)="",$J537=""),"",IF(OR(ISNUMBER(SEARCH(_xlfn.CONCAT(CHAR(96),CHAR(34)),$J537)),ISNUMBER(SEARCH(_xlfn.CONCAT(CHAR(34),CHAR(39)),$J537))),_xlfn.CONCAT("* REVIEW REQUIRED: compound-quote delimiter in Notes on Sheet 1 row ",537,"; edit the input before running."),_xlfn.CONCAT("char ",TRIM($B537),"[doc_notes] ",CHAR(96),CHAR(34),SUBSTITUTE(SUBSTITUTE(SUBSTITUTE(SUBSTITUTE(SUBSTITUTE(SUBSTITUTE($J537,CHAR(13)," "),CHAR(10)," "),CHAR(9)," "),CHAR(92),_xlfn.CONCAT(CHAR(92),CHAR(92))),"$",_xlfn.CONCAT(CHAR(92),"$")),CHAR(96),_xlfn.CONCAT(CHAR(92),CHAR(96))),CHAR(34),CHAR(39))))</f>
        <v/>
      </c>
      <c r="U537" s="5">
        <f t="shared" si="17"/>
        <v>0</v>
      </c>
    </row>
    <row r="538" spans="3:21" ht="30" customHeight="1" x14ac:dyDescent="0.2">
      <c r="C538" s="4"/>
      <c r="K538" s="5">
        <f t="shared" si="16"/>
        <v>0</v>
      </c>
      <c r="L538" s="5" t="str">
        <f>IF(OR(TRIM($B538)="",$A538=""),"",IF(OR(ISNUMBER(SEARCH(_xlfn.CONCAT(CHAR(96),CHAR(34)),$A538)),ISNUMBER(SEARCH(_xlfn.CONCAT(CHAR(34),CHAR(39)),$A538))),_xlfn.CONCAT("* REVIEW REQUIRED: compound-quote delimiter in Codebook Section on Sheet 1 row ",538,"; edit the input before running."),_xlfn.CONCAT("char ",TRIM($B538),"[doc_section] ",CHAR(96),CHAR(34),SUBSTITUTE(SUBSTITUTE(SUBSTITUTE(SUBSTITUTE(SUBSTITUTE(SUBSTITUTE($A538,CHAR(13)," "),CHAR(10)," "),CHAR(9)," "),CHAR(92),_xlfn.CONCAT(CHAR(92),CHAR(92))),"$",_xlfn.CONCAT(CHAR(92),"$")),CHAR(96),_xlfn.CONCAT(CHAR(92),CHAR(96))),CHAR(34),CHAR(39))))</f>
        <v/>
      </c>
      <c r="M538" s="5" t="str">
        <f>IF(OR(TRIM($B538)="",$C538=""),"",IF(IFERROR(MATCH(TRIM($C538),{"Quantitative","Continuous","Discrete","Categorical","Nominal","Ordinal","Identifier"},0),0)=0,_xlfn.CONCAT("* REVIEW REQUIRED: invalid Variable Type on Sheet 1 row ",538,"."),_xlfn.CONCAT("char ",TRIM($B538),"[doc_vartype] ",CHAR(96),CHAR(34),SUBSTITUTE(SUBSTITUTE(SUBSTITUTE(SUBSTITUTE(SUBSTITUTE(SUBSTITUTE(LOWER(TRIM($C538)),CHAR(13)," "),CHAR(10)," "),CHAR(9)," "),CHAR(92),_xlfn.CONCAT(CHAR(92),CHAR(92))),"$",_xlfn.CONCAT(CHAR(92),"$")),CHAR(96),_xlfn.CONCAT(CHAR(92),CHAR(96))),CHAR(34),CHAR(39))))</f>
        <v/>
      </c>
      <c r="N538" s="5" t="str">
        <f>IF(OR(TRIM($B538)="",$D538=""),"",IF(OR(ISNUMBER(SEARCH(_xlfn.CONCAT(CHAR(96),CHAR(34)),$D538)),ISNUMBER(SEARCH(_xlfn.CONCAT(CHAR(34),CHAR(39)),$D538))),_xlfn.CONCAT("* REVIEW REQUIRED: compound-quote delimiter in Item Number on Sheet 1 row ",538,"; edit the input before running."),_xlfn.CONCAT("char ",TRIM($B538),"[doc_itemnum] ",CHAR(96),CHAR(34),SUBSTITUTE(SUBSTITUTE(SUBSTITUTE(SUBSTITUTE(SUBSTITUTE(SUBSTITUTE($D538,CHAR(13)," "),CHAR(10)," "),CHAR(9)," "),CHAR(92),_xlfn.CONCAT(CHAR(92),CHAR(92))),"$",_xlfn.CONCAT(CHAR(92),"$")),CHAR(96),_xlfn.CONCAT(CHAR(92),CHAR(96))),CHAR(34),CHAR(39))))</f>
        <v/>
      </c>
      <c r="O538" s="5" t="str">
        <f>IF(OR(TRIM($B538)="",$E538=""),"",IF(OR(ISNUMBER(SEARCH(_xlfn.CONCAT(CHAR(96),CHAR(34)),$E538)),ISNUMBER(SEARCH(_xlfn.CONCAT(CHAR(34),CHAR(39)),$E538))),_xlfn.CONCAT("* REVIEW REQUIRED: compound-quote delimiter in Question Wording on Sheet 1 row ",538,"; edit the input before running."),_xlfn.CONCAT("char ",TRIM($B538),"[doc_question] ",CHAR(96),CHAR(34),SUBSTITUTE(SUBSTITUTE(SUBSTITUTE(SUBSTITUTE(SUBSTITUTE(SUBSTITUTE($E538,CHAR(13)," "),CHAR(10)," "),CHAR(9)," "),CHAR(92),_xlfn.CONCAT(CHAR(92),CHAR(92))),"$",_xlfn.CONCAT(CHAR(92),"$")),CHAR(96),_xlfn.CONCAT(CHAR(92),CHAR(96))),CHAR(34),CHAR(39))))</f>
        <v/>
      </c>
      <c r="P538" s="5" t="str">
        <f>IF(OR(TRIM($B538)="",$F538=""),"",IF(OR(ISNUMBER(SEARCH(_xlfn.CONCAT(CHAR(96),CHAR(34)),$F538)),ISNUMBER(SEARCH(_xlfn.CONCAT(CHAR(34),CHAR(39)),$F538))),_xlfn.CONCAT("* REVIEW REQUIRED: compound-quote delimiter in Units on Sheet 1 row ",538,"; edit the input before running."),_xlfn.CONCAT("char ",TRIM($B538),"[doc_units] ",CHAR(96),CHAR(34),SUBSTITUTE(SUBSTITUTE(SUBSTITUTE(SUBSTITUTE(SUBSTITUTE(SUBSTITUTE($F538,CHAR(13)," "),CHAR(10)," "),CHAR(9)," "),CHAR(92),_xlfn.CONCAT(CHAR(92),CHAR(92))),"$",_xlfn.CONCAT(CHAR(92),"$")),CHAR(96),_xlfn.CONCAT(CHAR(92),CHAR(96))),CHAR(34),CHAR(39))))</f>
        <v/>
      </c>
      <c r="Q538" s="5" t="str">
        <f>IF(OR(TRIM($B538)="",$G538=""),"",IF(OR(ISNUMBER(SEARCH(_xlfn.CONCAT(CHAR(96),CHAR(34)),$G538)),ISNUMBER(SEARCH(_xlfn.CONCAT(CHAR(34),CHAR(39)),$G538))),_xlfn.CONCAT("* REVIEW REQUIRED: compound-quote delimiter in Universe on Sheet 1 row ",538,"; edit the input before running."),_xlfn.CONCAT("char ",TRIM($B538),"[doc_universe] ",CHAR(96),CHAR(34),SUBSTITUTE(SUBSTITUTE(SUBSTITUTE(SUBSTITUTE(SUBSTITUTE(SUBSTITUTE($G538,CHAR(13)," "),CHAR(10)," "),CHAR(9)," "),CHAR(92),_xlfn.CONCAT(CHAR(92),CHAR(92))),"$",_xlfn.CONCAT(CHAR(92),"$")),CHAR(96),_xlfn.CONCAT(CHAR(92),CHAR(96))),CHAR(34),CHAR(39))))</f>
        <v/>
      </c>
      <c r="R538" s="5" t="str">
        <f>IF(OR(TRIM($B538)="",$H538=""),"",IF(OR(ISNUMBER(SEARCH(_xlfn.CONCAT(CHAR(96),CHAR(34)),$H538)),ISNUMBER(SEARCH(_xlfn.CONCAT(CHAR(34),CHAR(39)),$H538))),_xlfn.CONCAT("* REVIEW REQUIRED: compound-quote delimiter in Source on Sheet 1 row ",538,"; edit the input before running."),_xlfn.CONCAT("char ",TRIM($B538),"[doc_source] ",CHAR(96),CHAR(34),SUBSTITUTE(SUBSTITUTE(SUBSTITUTE(SUBSTITUTE(SUBSTITUTE(SUBSTITUTE($H538,CHAR(13)," "),CHAR(10)," "),CHAR(9)," "),CHAR(92),_xlfn.CONCAT(CHAR(92),CHAR(92))),"$",_xlfn.CONCAT(CHAR(92),"$")),CHAR(96),_xlfn.CONCAT(CHAR(92),CHAR(96))),CHAR(34),CHAR(39))))</f>
        <v/>
      </c>
      <c r="S538" s="5" t="str">
        <f>IF(OR(TRIM($B538)="",$I538=""),"",IF(OR(ISNUMBER(SEARCH(_xlfn.CONCAT(CHAR(96),CHAR(34)),$I538)),ISNUMBER(SEARCH(_xlfn.CONCAT(CHAR(34),CHAR(39)),$I538))),_xlfn.CONCAT("* REVIEW REQUIRED: compound-quote delimiter in Derivation on Sheet 1 row ",538,"; edit the input before running."),_xlfn.CONCAT("char ",TRIM($B538),"[doc_derivation] ",CHAR(96),CHAR(34),SUBSTITUTE(SUBSTITUTE(SUBSTITUTE(SUBSTITUTE(SUBSTITUTE(SUBSTITUTE($I538,CHAR(13)," "),CHAR(10)," "),CHAR(9)," "),CHAR(92),_xlfn.CONCAT(CHAR(92),CHAR(92))),"$",_xlfn.CONCAT(CHAR(92),"$")),CHAR(96),_xlfn.CONCAT(CHAR(92),CHAR(96))),CHAR(34),CHAR(39))))</f>
        <v/>
      </c>
      <c r="T538" s="5" t="str">
        <f>IF(OR(TRIM($B538)="",$J538=""),"",IF(OR(ISNUMBER(SEARCH(_xlfn.CONCAT(CHAR(96),CHAR(34)),$J538)),ISNUMBER(SEARCH(_xlfn.CONCAT(CHAR(34),CHAR(39)),$J538))),_xlfn.CONCAT("* REVIEW REQUIRED: compound-quote delimiter in Notes on Sheet 1 row ",538,"; edit the input before running."),_xlfn.CONCAT("char ",TRIM($B538),"[doc_notes] ",CHAR(96),CHAR(34),SUBSTITUTE(SUBSTITUTE(SUBSTITUTE(SUBSTITUTE(SUBSTITUTE(SUBSTITUTE($J538,CHAR(13)," "),CHAR(10)," "),CHAR(9)," "),CHAR(92),_xlfn.CONCAT(CHAR(92),CHAR(92))),"$",_xlfn.CONCAT(CHAR(92),"$")),CHAR(96),_xlfn.CONCAT(CHAR(92),CHAR(96))),CHAR(34),CHAR(39))))</f>
        <v/>
      </c>
      <c r="U538" s="5">
        <f t="shared" si="17"/>
        <v>0</v>
      </c>
    </row>
    <row r="539" spans="3:21" ht="30" customHeight="1" x14ac:dyDescent="0.2">
      <c r="C539" s="4"/>
      <c r="K539" s="5">
        <f t="shared" si="16"/>
        <v>0</v>
      </c>
      <c r="L539" s="5" t="str">
        <f>IF(OR(TRIM($B539)="",$A539=""),"",IF(OR(ISNUMBER(SEARCH(_xlfn.CONCAT(CHAR(96),CHAR(34)),$A539)),ISNUMBER(SEARCH(_xlfn.CONCAT(CHAR(34),CHAR(39)),$A539))),_xlfn.CONCAT("* REVIEW REQUIRED: compound-quote delimiter in Codebook Section on Sheet 1 row ",539,"; edit the input before running."),_xlfn.CONCAT("char ",TRIM($B539),"[doc_section] ",CHAR(96),CHAR(34),SUBSTITUTE(SUBSTITUTE(SUBSTITUTE(SUBSTITUTE(SUBSTITUTE(SUBSTITUTE($A539,CHAR(13)," "),CHAR(10)," "),CHAR(9)," "),CHAR(92),_xlfn.CONCAT(CHAR(92),CHAR(92))),"$",_xlfn.CONCAT(CHAR(92),"$")),CHAR(96),_xlfn.CONCAT(CHAR(92),CHAR(96))),CHAR(34),CHAR(39))))</f>
        <v/>
      </c>
      <c r="M539" s="5" t="str">
        <f>IF(OR(TRIM($B539)="",$C539=""),"",IF(IFERROR(MATCH(TRIM($C539),{"Quantitative","Continuous","Discrete","Categorical","Nominal","Ordinal","Identifier"},0),0)=0,_xlfn.CONCAT("* REVIEW REQUIRED: invalid Variable Type on Sheet 1 row ",539,"."),_xlfn.CONCAT("char ",TRIM($B539),"[doc_vartype] ",CHAR(96),CHAR(34),SUBSTITUTE(SUBSTITUTE(SUBSTITUTE(SUBSTITUTE(SUBSTITUTE(SUBSTITUTE(LOWER(TRIM($C539)),CHAR(13)," "),CHAR(10)," "),CHAR(9)," "),CHAR(92),_xlfn.CONCAT(CHAR(92),CHAR(92))),"$",_xlfn.CONCAT(CHAR(92),"$")),CHAR(96),_xlfn.CONCAT(CHAR(92),CHAR(96))),CHAR(34),CHAR(39))))</f>
        <v/>
      </c>
      <c r="N539" s="5" t="str">
        <f>IF(OR(TRIM($B539)="",$D539=""),"",IF(OR(ISNUMBER(SEARCH(_xlfn.CONCAT(CHAR(96),CHAR(34)),$D539)),ISNUMBER(SEARCH(_xlfn.CONCAT(CHAR(34),CHAR(39)),$D539))),_xlfn.CONCAT("* REVIEW REQUIRED: compound-quote delimiter in Item Number on Sheet 1 row ",539,"; edit the input before running."),_xlfn.CONCAT("char ",TRIM($B539),"[doc_itemnum] ",CHAR(96),CHAR(34),SUBSTITUTE(SUBSTITUTE(SUBSTITUTE(SUBSTITUTE(SUBSTITUTE(SUBSTITUTE($D539,CHAR(13)," "),CHAR(10)," "),CHAR(9)," "),CHAR(92),_xlfn.CONCAT(CHAR(92),CHAR(92))),"$",_xlfn.CONCAT(CHAR(92),"$")),CHAR(96),_xlfn.CONCAT(CHAR(92),CHAR(96))),CHAR(34),CHAR(39))))</f>
        <v/>
      </c>
      <c r="O539" s="5" t="str">
        <f>IF(OR(TRIM($B539)="",$E539=""),"",IF(OR(ISNUMBER(SEARCH(_xlfn.CONCAT(CHAR(96),CHAR(34)),$E539)),ISNUMBER(SEARCH(_xlfn.CONCAT(CHAR(34),CHAR(39)),$E539))),_xlfn.CONCAT("* REVIEW REQUIRED: compound-quote delimiter in Question Wording on Sheet 1 row ",539,"; edit the input before running."),_xlfn.CONCAT("char ",TRIM($B539),"[doc_question] ",CHAR(96),CHAR(34),SUBSTITUTE(SUBSTITUTE(SUBSTITUTE(SUBSTITUTE(SUBSTITUTE(SUBSTITUTE($E539,CHAR(13)," "),CHAR(10)," "),CHAR(9)," "),CHAR(92),_xlfn.CONCAT(CHAR(92),CHAR(92))),"$",_xlfn.CONCAT(CHAR(92),"$")),CHAR(96),_xlfn.CONCAT(CHAR(92),CHAR(96))),CHAR(34),CHAR(39))))</f>
        <v/>
      </c>
      <c r="P539" s="5" t="str">
        <f>IF(OR(TRIM($B539)="",$F539=""),"",IF(OR(ISNUMBER(SEARCH(_xlfn.CONCAT(CHAR(96),CHAR(34)),$F539)),ISNUMBER(SEARCH(_xlfn.CONCAT(CHAR(34),CHAR(39)),$F539))),_xlfn.CONCAT("* REVIEW REQUIRED: compound-quote delimiter in Units on Sheet 1 row ",539,"; edit the input before running."),_xlfn.CONCAT("char ",TRIM($B539),"[doc_units] ",CHAR(96),CHAR(34),SUBSTITUTE(SUBSTITUTE(SUBSTITUTE(SUBSTITUTE(SUBSTITUTE(SUBSTITUTE($F539,CHAR(13)," "),CHAR(10)," "),CHAR(9)," "),CHAR(92),_xlfn.CONCAT(CHAR(92),CHAR(92))),"$",_xlfn.CONCAT(CHAR(92),"$")),CHAR(96),_xlfn.CONCAT(CHAR(92),CHAR(96))),CHAR(34),CHAR(39))))</f>
        <v/>
      </c>
      <c r="Q539" s="5" t="str">
        <f>IF(OR(TRIM($B539)="",$G539=""),"",IF(OR(ISNUMBER(SEARCH(_xlfn.CONCAT(CHAR(96),CHAR(34)),$G539)),ISNUMBER(SEARCH(_xlfn.CONCAT(CHAR(34),CHAR(39)),$G539))),_xlfn.CONCAT("* REVIEW REQUIRED: compound-quote delimiter in Universe on Sheet 1 row ",539,"; edit the input before running."),_xlfn.CONCAT("char ",TRIM($B539),"[doc_universe] ",CHAR(96),CHAR(34),SUBSTITUTE(SUBSTITUTE(SUBSTITUTE(SUBSTITUTE(SUBSTITUTE(SUBSTITUTE($G539,CHAR(13)," "),CHAR(10)," "),CHAR(9)," "),CHAR(92),_xlfn.CONCAT(CHAR(92),CHAR(92))),"$",_xlfn.CONCAT(CHAR(92),"$")),CHAR(96),_xlfn.CONCAT(CHAR(92),CHAR(96))),CHAR(34),CHAR(39))))</f>
        <v/>
      </c>
      <c r="R539" s="5" t="str">
        <f>IF(OR(TRIM($B539)="",$H539=""),"",IF(OR(ISNUMBER(SEARCH(_xlfn.CONCAT(CHAR(96),CHAR(34)),$H539)),ISNUMBER(SEARCH(_xlfn.CONCAT(CHAR(34),CHAR(39)),$H539))),_xlfn.CONCAT("* REVIEW REQUIRED: compound-quote delimiter in Source on Sheet 1 row ",539,"; edit the input before running."),_xlfn.CONCAT("char ",TRIM($B539),"[doc_source] ",CHAR(96),CHAR(34),SUBSTITUTE(SUBSTITUTE(SUBSTITUTE(SUBSTITUTE(SUBSTITUTE(SUBSTITUTE($H539,CHAR(13)," "),CHAR(10)," "),CHAR(9)," "),CHAR(92),_xlfn.CONCAT(CHAR(92),CHAR(92))),"$",_xlfn.CONCAT(CHAR(92),"$")),CHAR(96),_xlfn.CONCAT(CHAR(92),CHAR(96))),CHAR(34),CHAR(39))))</f>
        <v/>
      </c>
      <c r="S539" s="5" t="str">
        <f>IF(OR(TRIM($B539)="",$I539=""),"",IF(OR(ISNUMBER(SEARCH(_xlfn.CONCAT(CHAR(96),CHAR(34)),$I539)),ISNUMBER(SEARCH(_xlfn.CONCAT(CHAR(34),CHAR(39)),$I539))),_xlfn.CONCAT("* REVIEW REQUIRED: compound-quote delimiter in Derivation on Sheet 1 row ",539,"; edit the input before running."),_xlfn.CONCAT("char ",TRIM($B539),"[doc_derivation] ",CHAR(96),CHAR(34),SUBSTITUTE(SUBSTITUTE(SUBSTITUTE(SUBSTITUTE(SUBSTITUTE(SUBSTITUTE($I539,CHAR(13)," "),CHAR(10)," "),CHAR(9)," "),CHAR(92),_xlfn.CONCAT(CHAR(92),CHAR(92))),"$",_xlfn.CONCAT(CHAR(92),"$")),CHAR(96),_xlfn.CONCAT(CHAR(92),CHAR(96))),CHAR(34),CHAR(39))))</f>
        <v/>
      </c>
      <c r="T539" s="5" t="str">
        <f>IF(OR(TRIM($B539)="",$J539=""),"",IF(OR(ISNUMBER(SEARCH(_xlfn.CONCAT(CHAR(96),CHAR(34)),$J539)),ISNUMBER(SEARCH(_xlfn.CONCAT(CHAR(34),CHAR(39)),$J539))),_xlfn.CONCAT("* REVIEW REQUIRED: compound-quote delimiter in Notes on Sheet 1 row ",539,"; edit the input before running."),_xlfn.CONCAT("char ",TRIM($B539),"[doc_notes] ",CHAR(96),CHAR(34),SUBSTITUTE(SUBSTITUTE(SUBSTITUTE(SUBSTITUTE(SUBSTITUTE(SUBSTITUTE($J539,CHAR(13)," "),CHAR(10)," "),CHAR(9)," "),CHAR(92),_xlfn.CONCAT(CHAR(92),CHAR(92))),"$",_xlfn.CONCAT(CHAR(92),"$")),CHAR(96),_xlfn.CONCAT(CHAR(92),CHAR(96))),CHAR(34),CHAR(39))))</f>
        <v/>
      </c>
      <c r="U539" s="5">
        <f t="shared" si="17"/>
        <v>0</v>
      </c>
    </row>
    <row r="540" spans="3:21" ht="30" customHeight="1" x14ac:dyDescent="0.2">
      <c r="C540" s="4"/>
      <c r="K540" s="5">
        <f t="shared" si="16"/>
        <v>0</v>
      </c>
      <c r="L540" s="5" t="str">
        <f>IF(OR(TRIM($B540)="",$A540=""),"",IF(OR(ISNUMBER(SEARCH(_xlfn.CONCAT(CHAR(96),CHAR(34)),$A540)),ISNUMBER(SEARCH(_xlfn.CONCAT(CHAR(34),CHAR(39)),$A540))),_xlfn.CONCAT("* REVIEW REQUIRED: compound-quote delimiter in Codebook Section on Sheet 1 row ",540,"; edit the input before running."),_xlfn.CONCAT("char ",TRIM($B540),"[doc_section] ",CHAR(96),CHAR(34),SUBSTITUTE(SUBSTITUTE(SUBSTITUTE(SUBSTITUTE(SUBSTITUTE(SUBSTITUTE($A540,CHAR(13)," "),CHAR(10)," "),CHAR(9)," "),CHAR(92),_xlfn.CONCAT(CHAR(92),CHAR(92))),"$",_xlfn.CONCAT(CHAR(92),"$")),CHAR(96),_xlfn.CONCAT(CHAR(92),CHAR(96))),CHAR(34),CHAR(39))))</f>
        <v/>
      </c>
      <c r="M540" s="5" t="str">
        <f>IF(OR(TRIM($B540)="",$C540=""),"",IF(IFERROR(MATCH(TRIM($C540),{"Quantitative","Continuous","Discrete","Categorical","Nominal","Ordinal","Identifier"},0),0)=0,_xlfn.CONCAT("* REVIEW REQUIRED: invalid Variable Type on Sheet 1 row ",540,"."),_xlfn.CONCAT("char ",TRIM($B540),"[doc_vartype] ",CHAR(96),CHAR(34),SUBSTITUTE(SUBSTITUTE(SUBSTITUTE(SUBSTITUTE(SUBSTITUTE(SUBSTITUTE(LOWER(TRIM($C540)),CHAR(13)," "),CHAR(10)," "),CHAR(9)," "),CHAR(92),_xlfn.CONCAT(CHAR(92),CHAR(92))),"$",_xlfn.CONCAT(CHAR(92),"$")),CHAR(96),_xlfn.CONCAT(CHAR(92),CHAR(96))),CHAR(34),CHAR(39))))</f>
        <v/>
      </c>
      <c r="N540" s="5" t="str">
        <f>IF(OR(TRIM($B540)="",$D540=""),"",IF(OR(ISNUMBER(SEARCH(_xlfn.CONCAT(CHAR(96),CHAR(34)),$D540)),ISNUMBER(SEARCH(_xlfn.CONCAT(CHAR(34),CHAR(39)),$D540))),_xlfn.CONCAT("* REVIEW REQUIRED: compound-quote delimiter in Item Number on Sheet 1 row ",540,"; edit the input before running."),_xlfn.CONCAT("char ",TRIM($B540),"[doc_itemnum] ",CHAR(96),CHAR(34),SUBSTITUTE(SUBSTITUTE(SUBSTITUTE(SUBSTITUTE(SUBSTITUTE(SUBSTITUTE($D540,CHAR(13)," "),CHAR(10)," "),CHAR(9)," "),CHAR(92),_xlfn.CONCAT(CHAR(92),CHAR(92))),"$",_xlfn.CONCAT(CHAR(92),"$")),CHAR(96),_xlfn.CONCAT(CHAR(92),CHAR(96))),CHAR(34),CHAR(39))))</f>
        <v/>
      </c>
      <c r="O540" s="5" t="str">
        <f>IF(OR(TRIM($B540)="",$E540=""),"",IF(OR(ISNUMBER(SEARCH(_xlfn.CONCAT(CHAR(96),CHAR(34)),$E540)),ISNUMBER(SEARCH(_xlfn.CONCAT(CHAR(34),CHAR(39)),$E540))),_xlfn.CONCAT("* REVIEW REQUIRED: compound-quote delimiter in Question Wording on Sheet 1 row ",540,"; edit the input before running."),_xlfn.CONCAT("char ",TRIM($B540),"[doc_question] ",CHAR(96),CHAR(34),SUBSTITUTE(SUBSTITUTE(SUBSTITUTE(SUBSTITUTE(SUBSTITUTE(SUBSTITUTE($E540,CHAR(13)," "),CHAR(10)," "),CHAR(9)," "),CHAR(92),_xlfn.CONCAT(CHAR(92),CHAR(92))),"$",_xlfn.CONCAT(CHAR(92),"$")),CHAR(96),_xlfn.CONCAT(CHAR(92),CHAR(96))),CHAR(34),CHAR(39))))</f>
        <v/>
      </c>
      <c r="P540" s="5" t="str">
        <f>IF(OR(TRIM($B540)="",$F540=""),"",IF(OR(ISNUMBER(SEARCH(_xlfn.CONCAT(CHAR(96),CHAR(34)),$F540)),ISNUMBER(SEARCH(_xlfn.CONCAT(CHAR(34),CHAR(39)),$F540))),_xlfn.CONCAT("* REVIEW REQUIRED: compound-quote delimiter in Units on Sheet 1 row ",540,"; edit the input before running."),_xlfn.CONCAT("char ",TRIM($B540),"[doc_units] ",CHAR(96),CHAR(34),SUBSTITUTE(SUBSTITUTE(SUBSTITUTE(SUBSTITUTE(SUBSTITUTE(SUBSTITUTE($F540,CHAR(13)," "),CHAR(10)," "),CHAR(9)," "),CHAR(92),_xlfn.CONCAT(CHAR(92),CHAR(92))),"$",_xlfn.CONCAT(CHAR(92),"$")),CHAR(96),_xlfn.CONCAT(CHAR(92),CHAR(96))),CHAR(34),CHAR(39))))</f>
        <v/>
      </c>
      <c r="Q540" s="5" t="str">
        <f>IF(OR(TRIM($B540)="",$G540=""),"",IF(OR(ISNUMBER(SEARCH(_xlfn.CONCAT(CHAR(96),CHAR(34)),$G540)),ISNUMBER(SEARCH(_xlfn.CONCAT(CHAR(34),CHAR(39)),$G540))),_xlfn.CONCAT("* REVIEW REQUIRED: compound-quote delimiter in Universe on Sheet 1 row ",540,"; edit the input before running."),_xlfn.CONCAT("char ",TRIM($B540),"[doc_universe] ",CHAR(96),CHAR(34),SUBSTITUTE(SUBSTITUTE(SUBSTITUTE(SUBSTITUTE(SUBSTITUTE(SUBSTITUTE($G540,CHAR(13)," "),CHAR(10)," "),CHAR(9)," "),CHAR(92),_xlfn.CONCAT(CHAR(92),CHAR(92))),"$",_xlfn.CONCAT(CHAR(92),"$")),CHAR(96),_xlfn.CONCAT(CHAR(92),CHAR(96))),CHAR(34),CHAR(39))))</f>
        <v/>
      </c>
      <c r="R540" s="5" t="str">
        <f>IF(OR(TRIM($B540)="",$H540=""),"",IF(OR(ISNUMBER(SEARCH(_xlfn.CONCAT(CHAR(96),CHAR(34)),$H540)),ISNUMBER(SEARCH(_xlfn.CONCAT(CHAR(34),CHAR(39)),$H540))),_xlfn.CONCAT("* REVIEW REQUIRED: compound-quote delimiter in Source on Sheet 1 row ",540,"; edit the input before running."),_xlfn.CONCAT("char ",TRIM($B540),"[doc_source] ",CHAR(96),CHAR(34),SUBSTITUTE(SUBSTITUTE(SUBSTITUTE(SUBSTITUTE(SUBSTITUTE(SUBSTITUTE($H540,CHAR(13)," "),CHAR(10)," "),CHAR(9)," "),CHAR(92),_xlfn.CONCAT(CHAR(92),CHAR(92))),"$",_xlfn.CONCAT(CHAR(92),"$")),CHAR(96),_xlfn.CONCAT(CHAR(92),CHAR(96))),CHAR(34),CHAR(39))))</f>
        <v/>
      </c>
      <c r="S540" s="5" t="str">
        <f>IF(OR(TRIM($B540)="",$I540=""),"",IF(OR(ISNUMBER(SEARCH(_xlfn.CONCAT(CHAR(96),CHAR(34)),$I540)),ISNUMBER(SEARCH(_xlfn.CONCAT(CHAR(34),CHAR(39)),$I540))),_xlfn.CONCAT("* REVIEW REQUIRED: compound-quote delimiter in Derivation on Sheet 1 row ",540,"; edit the input before running."),_xlfn.CONCAT("char ",TRIM($B540),"[doc_derivation] ",CHAR(96),CHAR(34),SUBSTITUTE(SUBSTITUTE(SUBSTITUTE(SUBSTITUTE(SUBSTITUTE(SUBSTITUTE($I540,CHAR(13)," "),CHAR(10)," "),CHAR(9)," "),CHAR(92),_xlfn.CONCAT(CHAR(92),CHAR(92))),"$",_xlfn.CONCAT(CHAR(92),"$")),CHAR(96),_xlfn.CONCAT(CHAR(92),CHAR(96))),CHAR(34),CHAR(39))))</f>
        <v/>
      </c>
      <c r="T540" s="5" t="str">
        <f>IF(OR(TRIM($B540)="",$J540=""),"",IF(OR(ISNUMBER(SEARCH(_xlfn.CONCAT(CHAR(96),CHAR(34)),$J540)),ISNUMBER(SEARCH(_xlfn.CONCAT(CHAR(34),CHAR(39)),$J540))),_xlfn.CONCAT("* REVIEW REQUIRED: compound-quote delimiter in Notes on Sheet 1 row ",540,"; edit the input before running."),_xlfn.CONCAT("char ",TRIM($B540),"[doc_notes] ",CHAR(96),CHAR(34),SUBSTITUTE(SUBSTITUTE(SUBSTITUTE(SUBSTITUTE(SUBSTITUTE(SUBSTITUTE($J540,CHAR(13)," "),CHAR(10)," "),CHAR(9)," "),CHAR(92),_xlfn.CONCAT(CHAR(92),CHAR(92))),"$",_xlfn.CONCAT(CHAR(92),"$")),CHAR(96),_xlfn.CONCAT(CHAR(92),CHAR(96))),CHAR(34),CHAR(39))))</f>
        <v/>
      </c>
      <c r="U540" s="5">
        <f t="shared" si="17"/>
        <v>0</v>
      </c>
    </row>
    <row r="541" spans="3:21" ht="30" customHeight="1" x14ac:dyDescent="0.2">
      <c r="C541" s="4"/>
      <c r="K541" s="5">
        <f t="shared" si="16"/>
        <v>0</v>
      </c>
      <c r="L541" s="5" t="str">
        <f>IF(OR(TRIM($B541)="",$A541=""),"",IF(OR(ISNUMBER(SEARCH(_xlfn.CONCAT(CHAR(96),CHAR(34)),$A541)),ISNUMBER(SEARCH(_xlfn.CONCAT(CHAR(34),CHAR(39)),$A541))),_xlfn.CONCAT("* REVIEW REQUIRED: compound-quote delimiter in Codebook Section on Sheet 1 row ",541,"; edit the input before running."),_xlfn.CONCAT("char ",TRIM($B541),"[doc_section] ",CHAR(96),CHAR(34),SUBSTITUTE(SUBSTITUTE(SUBSTITUTE(SUBSTITUTE(SUBSTITUTE(SUBSTITUTE($A541,CHAR(13)," "),CHAR(10)," "),CHAR(9)," "),CHAR(92),_xlfn.CONCAT(CHAR(92),CHAR(92))),"$",_xlfn.CONCAT(CHAR(92),"$")),CHAR(96),_xlfn.CONCAT(CHAR(92),CHAR(96))),CHAR(34),CHAR(39))))</f>
        <v/>
      </c>
      <c r="M541" s="5" t="str">
        <f>IF(OR(TRIM($B541)="",$C541=""),"",IF(IFERROR(MATCH(TRIM($C541),{"Quantitative","Continuous","Discrete","Categorical","Nominal","Ordinal","Identifier"},0),0)=0,_xlfn.CONCAT("* REVIEW REQUIRED: invalid Variable Type on Sheet 1 row ",541,"."),_xlfn.CONCAT("char ",TRIM($B541),"[doc_vartype] ",CHAR(96),CHAR(34),SUBSTITUTE(SUBSTITUTE(SUBSTITUTE(SUBSTITUTE(SUBSTITUTE(SUBSTITUTE(LOWER(TRIM($C541)),CHAR(13)," "),CHAR(10)," "),CHAR(9)," "),CHAR(92),_xlfn.CONCAT(CHAR(92),CHAR(92))),"$",_xlfn.CONCAT(CHAR(92),"$")),CHAR(96),_xlfn.CONCAT(CHAR(92),CHAR(96))),CHAR(34),CHAR(39))))</f>
        <v/>
      </c>
      <c r="N541" s="5" t="str">
        <f>IF(OR(TRIM($B541)="",$D541=""),"",IF(OR(ISNUMBER(SEARCH(_xlfn.CONCAT(CHAR(96),CHAR(34)),$D541)),ISNUMBER(SEARCH(_xlfn.CONCAT(CHAR(34),CHAR(39)),$D541))),_xlfn.CONCAT("* REVIEW REQUIRED: compound-quote delimiter in Item Number on Sheet 1 row ",541,"; edit the input before running."),_xlfn.CONCAT("char ",TRIM($B541),"[doc_itemnum] ",CHAR(96),CHAR(34),SUBSTITUTE(SUBSTITUTE(SUBSTITUTE(SUBSTITUTE(SUBSTITUTE(SUBSTITUTE($D541,CHAR(13)," "),CHAR(10)," "),CHAR(9)," "),CHAR(92),_xlfn.CONCAT(CHAR(92),CHAR(92))),"$",_xlfn.CONCAT(CHAR(92),"$")),CHAR(96),_xlfn.CONCAT(CHAR(92),CHAR(96))),CHAR(34),CHAR(39))))</f>
        <v/>
      </c>
      <c r="O541" s="5" t="str">
        <f>IF(OR(TRIM($B541)="",$E541=""),"",IF(OR(ISNUMBER(SEARCH(_xlfn.CONCAT(CHAR(96),CHAR(34)),$E541)),ISNUMBER(SEARCH(_xlfn.CONCAT(CHAR(34),CHAR(39)),$E541))),_xlfn.CONCAT("* REVIEW REQUIRED: compound-quote delimiter in Question Wording on Sheet 1 row ",541,"; edit the input before running."),_xlfn.CONCAT("char ",TRIM($B541),"[doc_question] ",CHAR(96),CHAR(34),SUBSTITUTE(SUBSTITUTE(SUBSTITUTE(SUBSTITUTE(SUBSTITUTE(SUBSTITUTE($E541,CHAR(13)," "),CHAR(10)," "),CHAR(9)," "),CHAR(92),_xlfn.CONCAT(CHAR(92),CHAR(92))),"$",_xlfn.CONCAT(CHAR(92),"$")),CHAR(96),_xlfn.CONCAT(CHAR(92),CHAR(96))),CHAR(34),CHAR(39))))</f>
        <v/>
      </c>
      <c r="P541" s="5" t="str">
        <f>IF(OR(TRIM($B541)="",$F541=""),"",IF(OR(ISNUMBER(SEARCH(_xlfn.CONCAT(CHAR(96),CHAR(34)),$F541)),ISNUMBER(SEARCH(_xlfn.CONCAT(CHAR(34),CHAR(39)),$F541))),_xlfn.CONCAT("* REVIEW REQUIRED: compound-quote delimiter in Units on Sheet 1 row ",541,"; edit the input before running."),_xlfn.CONCAT("char ",TRIM($B541),"[doc_units] ",CHAR(96),CHAR(34),SUBSTITUTE(SUBSTITUTE(SUBSTITUTE(SUBSTITUTE(SUBSTITUTE(SUBSTITUTE($F541,CHAR(13)," "),CHAR(10)," "),CHAR(9)," "),CHAR(92),_xlfn.CONCAT(CHAR(92),CHAR(92))),"$",_xlfn.CONCAT(CHAR(92),"$")),CHAR(96),_xlfn.CONCAT(CHAR(92),CHAR(96))),CHAR(34),CHAR(39))))</f>
        <v/>
      </c>
      <c r="Q541" s="5" t="str">
        <f>IF(OR(TRIM($B541)="",$G541=""),"",IF(OR(ISNUMBER(SEARCH(_xlfn.CONCAT(CHAR(96),CHAR(34)),$G541)),ISNUMBER(SEARCH(_xlfn.CONCAT(CHAR(34),CHAR(39)),$G541))),_xlfn.CONCAT("* REVIEW REQUIRED: compound-quote delimiter in Universe on Sheet 1 row ",541,"; edit the input before running."),_xlfn.CONCAT("char ",TRIM($B541),"[doc_universe] ",CHAR(96),CHAR(34),SUBSTITUTE(SUBSTITUTE(SUBSTITUTE(SUBSTITUTE(SUBSTITUTE(SUBSTITUTE($G541,CHAR(13)," "),CHAR(10)," "),CHAR(9)," "),CHAR(92),_xlfn.CONCAT(CHAR(92),CHAR(92))),"$",_xlfn.CONCAT(CHAR(92),"$")),CHAR(96),_xlfn.CONCAT(CHAR(92),CHAR(96))),CHAR(34),CHAR(39))))</f>
        <v/>
      </c>
      <c r="R541" s="5" t="str">
        <f>IF(OR(TRIM($B541)="",$H541=""),"",IF(OR(ISNUMBER(SEARCH(_xlfn.CONCAT(CHAR(96),CHAR(34)),$H541)),ISNUMBER(SEARCH(_xlfn.CONCAT(CHAR(34),CHAR(39)),$H541))),_xlfn.CONCAT("* REVIEW REQUIRED: compound-quote delimiter in Source on Sheet 1 row ",541,"; edit the input before running."),_xlfn.CONCAT("char ",TRIM($B541),"[doc_source] ",CHAR(96),CHAR(34),SUBSTITUTE(SUBSTITUTE(SUBSTITUTE(SUBSTITUTE(SUBSTITUTE(SUBSTITUTE($H541,CHAR(13)," "),CHAR(10)," "),CHAR(9)," "),CHAR(92),_xlfn.CONCAT(CHAR(92),CHAR(92))),"$",_xlfn.CONCAT(CHAR(92),"$")),CHAR(96),_xlfn.CONCAT(CHAR(92),CHAR(96))),CHAR(34),CHAR(39))))</f>
        <v/>
      </c>
      <c r="S541" s="5" t="str">
        <f>IF(OR(TRIM($B541)="",$I541=""),"",IF(OR(ISNUMBER(SEARCH(_xlfn.CONCAT(CHAR(96),CHAR(34)),$I541)),ISNUMBER(SEARCH(_xlfn.CONCAT(CHAR(34),CHAR(39)),$I541))),_xlfn.CONCAT("* REVIEW REQUIRED: compound-quote delimiter in Derivation on Sheet 1 row ",541,"; edit the input before running."),_xlfn.CONCAT("char ",TRIM($B541),"[doc_derivation] ",CHAR(96),CHAR(34),SUBSTITUTE(SUBSTITUTE(SUBSTITUTE(SUBSTITUTE(SUBSTITUTE(SUBSTITUTE($I541,CHAR(13)," "),CHAR(10)," "),CHAR(9)," "),CHAR(92),_xlfn.CONCAT(CHAR(92),CHAR(92))),"$",_xlfn.CONCAT(CHAR(92),"$")),CHAR(96),_xlfn.CONCAT(CHAR(92),CHAR(96))),CHAR(34),CHAR(39))))</f>
        <v/>
      </c>
      <c r="T541" s="5" t="str">
        <f>IF(OR(TRIM($B541)="",$J541=""),"",IF(OR(ISNUMBER(SEARCH(_xlfn.CONCAT(CHAR(96),CHAR(34)),$J541)),ISNUMBER(SEARCH(_xlfn.CONCAT(CHAR(34),CHAR(39)),$J541))),_xlfn.CONCAT("* REVIEW REQUIRED: compound-quote delimiter in Notes on Sheet 1 row ",541,"; edit the input before running."),_xlfn.CONCAT("char ",TRIM($B541),"[doc_notes] ",CHAR(96),CHAR(34),SUBSTITUTE(SUBSTITUTE(SUBSTITUTE(SUBSTITUTE(SUBSTITUTE(SUBSTITUTE($J541,CHAR(13)," "),CHAR(10)," "),CHAR(9)," "),CHAR(92),_xlfn.CONCAT(CHAR(92),CHAR(92))),"$",_xlfn.CONCAT(CHAR(92),"$")),CHAR(96),_xlfn.CONCAT(CHAR(92),CHAR(96))),CHAR(34),CHAR(39))))</f>
        <v/>
      </c>
      <c r="U541" s="5">
        <f t="shared" si="17"/>
        <v>0</v>
      </c>
    </row>
    <row r="542" spans="3:21" ht="30" customHeight="1" x14ac:dyDescent="0.2">
      <c r="C542" s="4"/>
      <c r="K542" s="5">
        <f t="shared" si="16"/>
        <v>0</v>
      </c>
      <c r="L542" s="5" t="str">
        <f>IF(OR(TRIM($B542)="",$A542=""),"",IF(OR(ISNUMBER(SEARCH(_xlfn.CONCAT(CHAR(96),CHAR(34)),$A542)),ISNUMBER(SEARCH(_xlfn.CONCAT(CHAR(34),CHAR(39)),$A542))),_xlfn.CONCAT("* REVIEW REQUIRED: compound-quote delimiter in Codebook Section on Sheet 1 row ",542,"; edit the input before running."),_xlfn.CONCAT("char ",TRIM($B542),"[doc_section] ",CHAR(96),CHAR(34),SUBSTITUTE(SUBSTITUTE(SUBSTITUTE(SUBSTITUTE(SUBSTITUTE(SUBSTITUTE($A542,CHAR(13)," "),CHAR(10)," "),CHAR(9)," "),CHAR(92),_xlfn.CONCAT(CHAR(92),CHAR(92))),"$",_xlfn.CONCAT(CHAR(92),"$")),CHAR(96),_xlfn.CONCAT(CHAR(92),CHAR(96))),CHAR(34),CHAR(39))))</f>
        <v/>
      </c>
      <c r="M542" s="5" t="str">
        <f>IF(OR(TRIM($B542)="",$C542=""),"",IF(IFERROR(MATCH(TRIM($C542),{"Quantitative","Continuous","Discrete","Categorical","Nominal","Ordinal","Identifier"},0),0)=0,_xlfn.CONCAT("* REVIEW REQUIRED: invalid Variable Type on Sheet 1 row ",542,"."),_xlfn.CONCAT("char ",TRIM($B542),"[doc_vartype] ",CHAR(96),CHAR(34),SUBSTITUTE(SUBSTITUTE(SUBSTITUTE(SUBSTITUTE(SUBSTITUTE(SUBSTITUTE(LOWER(TRIM($C542)),CHAR(13)," "),CHAR(10)," "),CHAR(9)," "),CHAR(92),_xlfn.CONCAT(CHAR(92),CHAR(92))),"$",_xlfn.CONCAT(CHAR(92),"$")),CHAR(96),_xlfn.CONCAT(CHAR(92),CHAR(96))),CHAR(34),CHAR(39))))</f>
        <v/>
      </c>
      <c r="N542" s="5" t="str">
        <f>IF(OR(TRIM($B542)="",$D542=""),"",IF(OR(ISNUMBER(SEARCH(_xlfn.CONCAT(CHAR(96),CHAR(34)),$D542)),ISNUMBER(SEARCH(_xlfn.CONCAT(CHAR(34),CHAR(39)),$D542))),_xlfn.CONCAT("* REVIEW REQUIRED: compound-quote delimiter in Item Number on Sheet 1 row ",542,"; edit the input before running."),_xlfn.CONCAT("char ",TRIM($B542),"[doc_itemnum] ",CHAR(96),CHAR(34),SUBSTITUTE(SUBSTITUTE(SUBSTITUTE(SUBSTITUTE(SUBSTITUTE(SUBSTITUTE($D542,CHAR(13)," "),CHAR(10)," "),CHAR(9)," "),CHAR(92),_xlfn.CONCAT(CHAR(92),CHAR(92))),"$",_xlfn.CONCAT(CHAR(92),"$")),CHAR(96),_xlfn.CONCAT(CHAR(92),CHAR(96))),CHAR(34),CHAR(39))))</f>
        <v/>
      </c>
      <c r="O542" s="5" t="str">
        <f>IF(OR(TRIM($B542)="",$E542=""),"",IF(OR(ISNUMBER(SEARCH(_xlfn.CONCAT(CHAR(96),CHAR(34)),$E542)),ISNUMBER(SEARCH(_xlfn.CONCAT(CHAR(34),CHAR(39)),$E542))),_xlfn.CONCAT("* REVIEW REQUIRED: compound-quote delimiter in Question Wording on Sheet 1 row ",542,"; edit the input before running."),_xlfn.CONCAT("char ",TRIM($B542),"[doc_question] ",CHAR(96),CHAR(34),SUBSTITUTE(SUBSTITUTE(SUBSTITUTE(SUBSTITUTE(SUBSTITUTE(SUBSTITUTE($E542,CHAR(13)," "),CHAR(10)," "),CHAR(9)," "),CHAR(92),_xlfn.CONCAT(CHAR(92),CHAR(92))),"$",_xlfn.CONCAT(CHAR(92),"$")),CHAR(96),_xlfn.CONCAT(CHAR(92),CHAR(96))),CHAR(34),CHAR(39))))</f>
        <v/>
      </c>
      <c r="P542" s="5" t="str">
        <f>IF(OR(TRIM($B542)="",$F542=""),"",IF(OR(ISNUMBER(SEARCH(_xlfn.CONCAT(CHAR(96),CHAR(34)),$F542)),ISNUMBER(SEARCH(_xlfn.CONCAT(CHAR(34),CHAR(39)),$F542))),_xlfn.CONCAT("* REVIEW REQUIRED: compound-quote delimiter in Units on Sheet 1 row ",542,"; edit the input before running."),_xlfn.CONCAT("char ",TRIM($B542),"[doc_units] ",CHAR(96),CHAR(34),SUBSTITUTE(SUBSTITUTE(SUBSTITUTE(SUBSTITUTE(SUBSTITUTE(SUBSTITUTE($F542,CHAR(13)," "),CHAR(10)," "),CHAR(9)," "),CHAR(92),_xlfn.CONCAT(CHAR(92),CHAR(92))),"$",_xlfn.CONCAT(CHAR(92),"$")),CHAR(96),_xlfn.CONCAT(CHAR(92),CHAR(96))),CHAR(34),CHAR(39))))</f>
        <v/>
      </c>
      <c r="Q542" s="5" t="str">
        <f>IF(OR(TRIM($B542)="",$G542=""),"",IF(OR(ISNUMBER(SEARCH(_xlfn.CONCAT(CHAR(96),CHAR(34)),$G542)),ISNUMBER(SEARCH(_xlfn.CONCAT(CHAR(34),CHAR(39)),$G542))),_xlfn.CONCAT("* REVIEW REQUIRED: compound-quote delimiter in Universe on Sheet 1 row ",542,"; edit the input before running."),_xlfn.CONCAT("char ",TRIM($B542),"[doc_universe] ",CHAR(96),CHAR(34),SUBSTITUTE(SUBSTITUTE(SUBSTITUTE(SUBSTITUTE(SUBSTITUTE(SUBSTITUTE($G542,CHAR(13)," "),CHAR(10)," "),CHAR(9)," "),CHAR(92),_xlfn.CONCAT(CHAR(92),CHAR(92))),"$",_xlfn.CONCAT(CHAR(92),"$")),CHAR(96),_xlfn.CONCAT(CHAR(92),CHAR(96))),CHAR(34),CHAR(39))))</f>
        <v/>
      </c>
      <c r="R542" s="5" t="str">
        <f>IF(OR(TRIM($B542)="",$H542=""),"",IF(OR(ISNUMBER(SEARCH(_xlfn.CONCAT(CHAR(96),CHAR(34)),$H542)),ISNUMBER(SEARCH(_xlfn.CONCAT(CHAR(34),CHAR(39)),$H542))),_xlfn.CONCAT("* REVIEW REQUIRED: compound-quote delimiter in Source on Sheet 1 row ",542,"; edit the input before running."),_xlfn.CONCAT("char ",TRIM($B542),"[doc_source] ",CHAR(96),CHAR(34),SUBSTITUTE(SUBSTITUTE(SUBSTITUTE(SUBSTITUTE(SUBSTITUTE(SUBSTITUTE($H542,CHAR(13)," "),CHAR(10)," "),CHAR(9)," "),CHAR(92),_xlfn.CONCAT(CHAR(92),CHAR(92))),"$",_xlfn.CONCAT(CHAR(92),"$")),CHAR(96),_xlfn.CONCAT(CHAR(92),CHAR(96))),CHAR(34),CHAR(39))))</f>
        <v/>
      </c>
      <c r="S542" s="5" t="str">
        <f>IF(OR(TRIM($B542)="",$I542=""),"",IF(OR(ISNUMBER(SEARCH(_xlfn.CONCAT(CHAR(96),CHAR(34)),$I542)),ISNUMBER(SEARCH(_xlfn.CONCAT(CHAR(34),CHAR(39)),$I542))),_xlfn.CONCAT("* REVIEW REQUIRED: compound-quote delimiter in Derivation on Sheet 1 row ",542,"; edit the input before running."),_xlfn.CONCAT("char ",TRIM($B542),"[doc_derivation] ",CHAR(96),CHAR(34),SUBSTITUTE(SUBSTITUTE(SUBSTITUTE(SUBSTITUTE(SUBSTITUTE(SUBSTITUTE($I542,CHAR(13)," "),CHAR(10)," "),CHAR(9)," "),CHAR(92),_xlfn.CONCAT(CHAR(92),CHAR(92))),"$",_xlfn.CONCAT(CHAR(92),"$")),CHAR(96),_xlfn.CONCAT(CHAR(92),CHAR(96))),CHAR(34),CHAR(39))))</f>
        <v/>
      </c>
      <c r="T542" s="5" t="str">
        <f>IF(OR(TRIM($B542)="",$J542=""),"",IF(OR(ISNUMBER(SEARCH(_xlfn.CONCAT(CHAR(96),CHAR(34)),$J542)),ISNUMBER(SEARCH(_xlfn.CONCAT(CHAR(34),CHAR(39)),$J542))),_xlfn.CONCAT("* REVIEW REQUIRED: compound-quote delimiter in Notes on Sheet 1 row ",542,"; edit the input before running."),_xlfn.CONCAT("char ",TRIM($B542),"[doc_notes] ",CHAR(96),CHAR(34),SUBSTITUTE(SUBSTITUTE(SUBSTITUTE(SUBSTITUTE(SUBSTITUTE(SUBSTITUTE($J542,CHAR(13)," "),CHAR(10)," "),CHAR(9)," "),CHAR(92),_xlfn.CONCAT(CHAR(92),CHAR(92))),"$",_xlfn.CONCAT(CHAR(92),"$")),CHAR(96),_xlfn.CONCAT(CHAR(92),CHAR(96))),CHAR(34),CHAR(39))))</f>
        <v/>
      </c>
      <c r="U542" s="5">
        <f t="shared" si="17"/>
        <v>0</v>
      </c>
    </row>
    <row r="543" spans="3:21" ht="30" customHeight="1" x14ac:dyDescent="0.2">
      <c r="C543" s="4"/>
      <c r="K543" s="5">
        <f t="shared" si="16"/>
        <v>0</v>
      </c>
      <c r="L543" s="5" t="str">
        <f>IF(OR(TRIM($B543)="",$A543=""),"",IF(OR(ISNUMBER(SEARCH(_xlfn.CONCAT(CHAR(96),CHAR(34)),$A543)),ISNUMBER(SEARCH(_xlfn.CONCAT(CHAR(34),CHAR(39)),$A543))),_xlfn.CONCAT("* REVIEW REQUIRED: compound-quote delimiter in Codebook Section on Sheet 1 row ",543,"; edit the input before running."),_xlfn.CONCAT("char ",TRIM($B543),"[doc_section] ",CHAR(96),CHAR(34),SUBSTITUTE(SUBSTITUTE(SUBSTITUTE(SUBSTITUTE(SUBSTITUTE(SUBSTITUTE($A543,CHAR(13)," "),CHAR(10)," "),CHAR(9)," "),CHAR(92),_xlfn.CONCAT(CHAR(92),CHAR(92))),"$",_xlfn.CONCAT(CHAR(92),"$")),CHAR(96),_xlfn.CONCAT(CHAR(92),CHAR(96))),CHAR(34),CHAR(39))))</f>
        <v/>
      </c>
      <c r="M543" s="5" t="str">
        <f>IF(OR(TRIM($B543)="",$C543=""),"",IF(IFERROR(MATCH(TRIM($C543),{"Quantitative","Continuous","Discrete","Categorical","Nominal","Ordinal","Identifier"},0),0)=0,_xlfn.CONCAT("* REVIEW REQUIRED: invalid Variable Type on Sheet 1 row ",543,"."),_xlfn.CONCAT("char ",TRIM($B543),"[doc_vartype] ",CHAR(96),CHAR(34),SUBSTITUTE(SUBSTITUTE(SUBSTITUTE(SUBSTITUTE(SUBSTITUTE(SUBSTITUTE(LOWER(TRIM($C543)),CHAR(13)," "),CHAR(10)," "),CHAR(9)," "),CHAR(92),_xlfn.CONCAT(CHAR(92),CHAR(92))),"$",_xlfn.CONCAT(CHAR(92),"$")),CHAR(96),_xlfn.CONCAT(CHAR(92),CHAR(96))),CHAR(34),CHAR(39))))</f>
        <v/>
      </c>
      <c r="N543" s="5" t="str">
        <f>IF(OR(TRIM($B543)="",$D543=""),"",IF(OR(ISNUMBER(SEARCH(_xlfn.CONCAT(CHAR(96),CHAR(34)),$D543)),ISNUMBER(SEARCH(_xlfn.CONCAT(CHAR(34),CHAR(39)),$D543))),_xlfn.CONCAT("* REVIEW REQUIRED: compound-quote delimiter in Item Number on Sheet 1 row ",543,"; edit the input before running."),_xlfn.CONCAT("char ",TRIM($B543),"[doc_itemnum] ",CHAR(96),CHAR(34),SUBSTITUTE(SUBSTITUTE(SUBSTITUTE(SUBSTITUTE(SUBSTITUTE(SUBSTITUTE($D543,CHAR(13)," "),CHAR(10)," "),CHAR(9)," "),CHAR(92),_xlfn.CONCAT(CHAR(92),CHAR(92))),"$",_xlfn.CONCAT(CHAR(92),"$")),CHAR(96),_xlfn.CONCAT(CHAR(92),CHAR(96))),CHAR(34),CHAR(39))))</f>
        <v/>
      </c>
      <c r="O543" s="5" t="str">
        <f>IF(OR(TRIM($B543)="",$E543=""),"",IF(OR(ISNUMBER(SEARCH(_xlfn.CONCAT(CHAR(96),CHAR(34)),$E543)),ISNUMBER(SEARCH(_xlfn.CONCAT(CHAR(34),CHAR(39)),$E543))),_xlfn.CONCAT("* REVIEW REQUIRED: compound-quote delimiter in Question Wording on Sheet 1 row ",543,"; edit the input before running."),_xlfn.CONCAT("char ",TRIM($B543),"[doc_question] ",CHAR(96),CHAR(34),SUBSTITUTE(SUBSTITUTE(SUBSTITUTE(SUBSTITUTE(SUBSTITUTE(SUBSTITUTE($E543,CHAR(13)," "),CHAR(10)," "),CHAR(9)," "),CHAR(92),_xlfn.CONCAT(CHAR(92),CHAR(92))),"$",_xlfn.CONCAT(CHAR(92),"$")),CHAR(96),_xlfn.CONCAT(CHAR(92),CHAR(96))),CHAR(34),CHAR(39))))</f>
        <v/>
      </c>
      <c r="P543" s="5" t="str">
        <f>IF(OR(TRIM($B543)="",$F543=""),"",IF(OR(ISNUMBER(SEARCH(_xlfn.CONCAT(CHAR(96),CHAR(34)),$F543)),ISNUMBER(SEARCH(_xlfn.CONCAT(CHAR(34),CHAR(39)),$F543))),_xlfn.CONCAT("* REVIEW REQUIRED: compound-quote delimiter in Units on Sheet 1 row ",543,"; edit the input before running."),_xlfn.CONCAT("char ",TRIM($B543),"[doc_units] ",CHAR(96),CHAR(34),SUBSTITUTE(SUBSTITUTE(SUBSTITUTE(SUBSTITUTE(SUBSTITUTE(SUBSTITUTE($F543,CHAR(13)," "),CHAR(10)," "),CHAR(9)," "),CHAR(92),_xlfn.CONCAT(CHAR(92),CHAR(92))),"$",_xlfn.CONCAT(CHAR(92),"$")),CHAR(96),_xlfn.CONCAT(CHAR(92),CHAR(96))),CHAR(34),CHAR(39))))</f>
        <v/>
      </c>
      <c r="Q543" s="5" t="str">
        <f>IF(OR(TRIM($B543)="",$G543=""),"",IF(OR(ISNUMBER(SEARCH(_xlfn.CONCAT(CHAR(96),CHAR(34)),$G543)),ISNUMBER(SEARCH(_xlfn.CONCAT(CHAR(34),CHAR(39)),$G543))),_xlfn.CONCAT("* REVIEW REQUIRED: compound-quote delimiter in Universe on Sheet 1 row ",543,"; edit the input before running."),_xlfn.CONCAT("char ",TRIM($B543),"[doc_universe] ",CHAR(96),CHAR(34),SUBSTITUTE(SUBSTITUTE(SUBSTITUTE(SUBSTITUTE(SUBSTITUTE(SUBSTITUTE($G543,CHAR(13)," "),CHAR(10)," "),CHAR(9)," "),CHAR(92),_xlfn.CONCAT(CHAR(92),CHAR(92))),"$",_xlfn.CONCAT(CHAR(92),"$")),CHAR(96),_xlfn.CONCAT(CHAR(92),CHAR(96))),CHAR(34),CHAR(39))))</f>
        <v/>
      </c>
      <c r="R543" s="5" t="str">
        <f>IF(OR(TRIM($B543)="",$H543=""),"",IF(OR(ISNUMBER(SEARCH(_xlfn.CONCAT(CHAR(96),CHAR(34)),$H543)),ISNUMBER(SEARCH(_xlfn.CONCAT(CHAR(34),CHAR(39)),$H543))),_xlfn.CONCAT("* REVIEW REQUIRED: compound-quote delimiter in Source on Sheet 1 row ",543,"; edit the input before running."),_xlfn.CONCAT("char ",TRIM($B543),"[doc_source] ",CHAR(96),CHAR(34),SUBSTITUTE(SUBSTITUTE(SUBSTITUTE(SUBSTITUTE(SUBSTITUTE(SUBSTITUTE($H543,CHAR(13)," "),CHAR(10)," "),CHAR(9)," "),CHAR(92),_xlfn.CONCAT(CHAR(92),CHAR(92))),"$",_xlfn.CONCAT(CHAR(92),"$")),CHAR(96),_xlfn.CONCAT(CHAR(92),CHAR(96))),CHAR(34),CHAR(39))))</f>
        <v/>
      </c>
      <c r="S543" s="5" t="str">
        <f>IF(OR(TRIM($B543)="",$I543=""),"",IF(OR(ISNUMBER(SEARCH(_xlfn.CONCAT(CHAR(96),CHAR(34)),$I543)),ISNUMBER(SEARCH(_xlfn.CONCAT(CHAR(34),CHAR(39)),$I543))),_xlfn.CONCAT("* REVIEW REQUIRED: compound-quote delimiter in Derivation on Sheet 1 row ",543,"; edit the input before running."),_xlfn.CONCAT("char ",TRIM($B543),"[doc_derivation] ",CHAR(96),CHAR(34),SUBSTITUTE(SUBSTITUTE(SUBSTITUTE(SUBSTITUTE(SUBSTITUTE(SUBSTITUTE($I543,CHAR(13)," "),CHAR(10)," "),CHAR(9)," "),CHAR(92),_xlfn.CONCAT(CHAR(92),CHAR(92))),"$",_xlfn.CONCAT(CHAR(92),"$")),CHAR(96),_xlfn.CONCAT(CHAR(92),CHAR(96))),CHAR(34),CHAR(39))))</f>
        <v/>
      </c>
      <c r="T543" s="5" t="str">
        <f>IF(OR(TRIM($B543)="",$J543=""),"",IF(OR(ISNUMBER(SEARCH(_xlfn.CONCAT(CHAR(96),CHAR(34)),$J543)),ISNUMBER(SEARCH(_xlfn.CONCAT(CHAR(34),CHAR(39)),$J543))),_xlfn.CONCAT("* REVIEW REQUIRED: compound-quote delimiter in Notes on Sheet 1 row ",543,"; edit the input before running."),_xlfn.CONCAT("char ",TRIM($B543),"[doc_notes] ",CHAR(96),CHAR(34),SUBSTITUTE(SUBSTITUTE(SUBSTITUTE(SUBSTITUTE(SUBSTITUTE(SUBSTITUTE($J543,CHAR(13)," "),CHAR(10)," "),CHAR(9)," "),CHAR(92),_xlfn.CONCAT(CHAR(92),CHAR(92))),"$",_xlfn.CONCAT(CHAR(92),"$")),CHAR(96),_xlfn.CONCAT(CHAR(92),CHAR(96))),CHAR(34),CHAR(39))))</f>
        <v/>
      </c>
      <c r="U543" s="5">
        <f t="shared" si="17"/>
        <v>0</v>
      </c>
    </row>
    <row r="544" spans="3:21" ht="30" customHeight="1" x14ac:dyDescent="0.2">
      <c r="C544" s="4"/>
      <c r="K544" s="5">
        <f t="shared" si="16"/>
        <v>0</v>
      </c>
      <c r="L544" s="5" t="str">
        <f>IF(OR(TRIM($B544)="",$A544=""),"",IF(OR(ISNUMBER(SEARCH(_xlfn.CONCAT(CHAR(96),CHAR(34)),$A544)),ISNUMBER(SEARCH(_xlfn.CONCAT(CHAR(34),CHAR(39)),$A544))),_xlfn.CONCAT("* REVIEW REQUIRED: compound-quote delimiter in Codebook Section on Sheet 1 row ",544,"; edit the input before running."),_xlfn.CONCAT("char ",TRIM($B544),"[doc_section] ",CHAR(96),CHAR(34),SUBSTITUTE(SUBSTITUTE(SUBSTITUTE(SUBSTITUTE(SUBSTITUTE(SUBSTITUTE($A544,CHAR(13)," "),CHAR(10)," "),CHAR(9)," "),CHAR(92),_xlfn.CONCAT(CHAR(92),CHAR(92))),"$",_xlfn.CONCAT(CHAR(92),"$")),CHAR(96),_xlfn.CONCAT(CHAR(92),CHAR(96))),CHAR(34),CHAR(39))))</f>
        <v/>
      </c>
      <c r="M544" s="5" t="str">
        <f>IF(OR(TRIM($B544)="",$C544=""),"",IF(IFERROR(MATCH(TRIM($C544),{"Quantitative","Continuous","Discrete","Categorical","Nominal","Ordinal","Identifier"},0),0)=0,_xlfn.CONCAT("* REVIEW REQUIRED: invalid Variable Type on Sheet 1 row ",544,"."),_xlfn.CONCAT("char ",TRIM($B544),"[doc_vartype] ",CHAR(96),CHAR(34),SUBSTITUTE(SUBSTITUTE(SUBSTITUTE(SUBSTITUTE(SUBSTITUTE(SUBSTITUTE(LOWER(TRIM($C544)),CHAR(13)," "),CHAR(10)," "),CHAR(9)," "),CHAR(92),_xlfn.CONCAT(CHAR(92),CHAR(92))),"$",_xlfn.CONCAT(CHAR(92),"$")),CHAR(96),_xlfn.CONCAT(CHAR(92),CHAR(96))),CHAR(34),CHAR(39))))</f>
        <v/>
      </c>
      <c r="N544" s="5" t="str">
        <f>IF(OR(TRIM($B544)="",$D544=""),"",IF(OR(ISNUMBER(SEARCH(_xlfn.CONCAT(CHAR(96),CHAR(34)),$D544)),ISNUMBER(SEARCH(_xlfn.CONCAT(CHAR(34),CHAR(39)),$D544))),_xlfn.CONCAT("* REVIEW REQUIRED: compound-quote delimiter in Item Number on Sheet 1 row ",544,"; edit the input before running."),_xlfn.CONCAT("char ",TRIM($B544),"[doc_itemnum] ",CHAR(96),CHAR(34),SUBSTITUTE(SUBSTITUTE(SUBSTITUTE(SUBSTITUTE(SUBSTITUTE(SUBSTITUTE($D544,CHAR(13)," "),CHAR(10)," "),CHAR(9)," "),CHAR(92),_xlfn.CONCAT(CHAR(92),CHAR(92))),"$",_xlfn.CONCAT(CHAR(92),"$")),CHAR(96),_xlfn.CONCAT(CHAR(92),CHAR(96))),CHAR(34),CHAR(39))))</f>
        <v/>
      </c>
      <c r="O544" s="5" t="str">
        <f>IF(OR(TRIM($B544)="",$E544=""),"",IF(OR(ISNUMBER(SEARCH(_xlfn.CONCAT(CHAR(96),CHAR(34)),$E544)),ISNUMBER(SEARCH(_xlfn.CONCAT(CHAR(34),CHAR(39)),$E544))),_xlfn.CONCAT("* REVIEW REQUIRED: compound-quote delimiter in Question Wording on Sheet 1 row ",544,"; edit the input before running."),_xlfn.CONCAT("char ",TRIM($B544),"[doc_question] ",CHAR(96),CHAR(34),SUBSTITUTE(SUBSTITUTE(SUBSTITUTE(SUBSTITUTE(SUBSTITUTE(SUBSTITUTE($E544,CHAR(13)," "),CHAR(10)," "),CHAR(9)," "),CHAR(92),_xlfn.CONCAT(CHAR(92),CHAR(92))),"$",_xlfn.CONCAT(CHAR(92),"$")),CHAR(96),_xlfn.CONCAT(CHAR(92),CHAR(96))),CHAR(34),CHAR(39))))</f>
        <v/>
      </c>
      <c r="P544" s="5" t="str">
        <f>IF(OR(TRIM($B544)="",$F544=""),"",IF(OR(ISNUMBER(SEARCH(_xlfn.CONCAT(CHAR(96),CHAR(34)),$F544)),ISNUMBER(SEARCH(_xlfn.CONCAT(CHAR(34),CHAR(39)),$F544))),_xlfn.CONCAT("* REVIEW REQUIRED: compound-quote delimiter in Units on Sheet 1 row ",544,"; edit the input before running."),_xlfn.CONCAT("char ",TRIM($B544),"[doc_units] ",CHAR(96),CHAR(34),SUBSTITUTE(SUBSTITUTE(SUBSTITUTE(SUBSTITUTE(SUBSTITUTE(SUBSTITUTE($F544,CHAR(13)," "),CHAR(10)," "),CHAR(9)," "),CHAR(92),_xlfn.CONCAT(CHAR(92),CHAR(92))),"$",_xlfn.CONCAT(CHAR(92),"$")),CHAR(96),_xlfn.CONCAT(CHAR(92),CHAR(96))),CHAR(34),CHAR(39))))</f>
        <v/>
      </c>
      <c r="Q544" s="5" t="str">
        <f>IF(OR(TRIM($B544)="",$G544=""),"",IF(OR(ISNUMBER(SEARCH(_xlfn.CONCAT(CHAR(96),CHAR(34)),$G544)),ISNUMBER(SEARCH(_xlfn.CONCAT(CHAR(34),CHAR(39)),$G544))),_xlfn.CONCAT("* REVIEW REQUIRED: compound-quote delimiter in Universe on Sheet 1 row ",544,"; edit the input before running."),_xlfn.CONCAT("char ",TRIM($B544),"[doc_universe] ",CHAR(96),CHAR(34),SUBSTITUTE(SUBSTITUTE(SUBSTITUTE(SUBSTITUTE(SUBSTITUTE(SUBSTITUTE($G544,CHAR(13)," "),CHAR(10)," "),CHAR(9)," "),CHAR(92),_xlfn.CONCAT(CHAR(92),CHAR(92))),"$",_xlfn.CONCAT(CHAR(92),"$")),CHAR(96),_xlfn.CONCAT(CHAR(92),CHAR(96))),CHAR(34),CHAR(39))))</f>
        <v/>
      </c>
      <c r="R544" s="5" t="str">
        <f>IF(OR(TRIM($B544)="",$H544=""),"",IF(OR(ISNUMBER(SEARCH(_xlfn.CONCAT(CHAR(96),CHAR(34)),$H544)),ISNUMBER(SEARCH(_xlfn.CONCAT(CHAR(34),CHAR(39)),$H544))),_xlfn.CONCAT("* REVIEW REQUIRED: compound-quote delimiter in Source on Sheet 1 row ",544,"; edit the input before running."),_xlfn.CONCAT("char ",TRIM($B544),"[doc_source] ",CHAR(96),CHAR(34),SUBSTITUTE(SUBSTITUTE(SUBSTITUTE(SUBSTITUTE(SUBSTITUTE(SUBSTITUTE($H544,CHAR(13)," "),CHAR(10)," "),CHAR(9)," "),CHAR(92),_xlfn.CONCAT(CHAR(92),CHAR(92))),"$",_xlfn.CONCAT(CHAR(92),"$")),CHAR(96),_xlfn.CONCAT(CHAR(92),CHAR(96))),CHAR(34),CHAR(39))))</f>
        <v/>
      </c>
      <c r="S544" s="5" t="str">
        <f>IF(OR(TRIM($B544)="",$I544=""),"",IF(OR(ISNUMBER(SEARCH(_xlfn.CONCAT(CHAR(96),CHAR(34)),$I544)),ISNUMBER(SEARCH(_xlfn.CONCAT(CHAR(34),CHAR(39)),$I544))),_xlfn.CONCAT("* REVIEW REQUIRED: compound-quote delimiter in Derivation on Sheet 1 row ",544,"; edit the input before running."),_xlfn.CONCAT("char ",TRIM($B544),"[doc_derivation] ",CHAR(96),CHAR(34),SUBSTITUTE(SUBSTITUTE(SUBSTITUTE(SUBSTITUTE(SUBSTITUTE(SUBSTITUTE($I544,CHAR(13)," "),CHAR(10)," "),CHAR(9)," "),CHAR(92),_xlfn.CONCAT(CHAR(92),CHAR(92))),"$",_xlfn.CONCAT(CHAR(92),"$")),CHAR(96),_xlfn.CONCAT(CHAR(92),CHAR(96))),CHAR(34),CHAR(39))))</f>
        <v/>
      </c>
      <c r="T544" s="5" t="str">
        <f>IF(OR(TRIM($B544)="",$J544=""),"",IF(OR(ISNUMBER(SEARCH(_xlfn.CONCAT(CHAR(96),CHAR(34)),$J544)),ISNUMBER(SEARCH(_xlfn.CONCAT(CHAR(34),CHAR(39)),$J544))),_xlfn.CONCAT("* REVIEW REQUIRED: compound-quote delimiter in Notes on Sheet 1 row ",544,"; edit the input before running."),_xlfn.CONCAT("char ",TRIM($B544),"[doc_notes] ",CHAR(96),CHAR(34),SUBSTITUTE(SUBSTITUTE(SUBSTITUTE(SUBSTITUTE(SUBSTITUTE(SUBSTITUTE($J544,CHAR(13)," "),CHAR(10)," "),CHAR(9)," "),CHAR(92),_xlfn.CONCAT(CHAR(92),CHAR(92))),"$",_xlfn.CONCAT(CHAR(92),"$")),CHAR(96),_xlfn.CONCAT(CHAR(92),CHAR(96))),CHAR(34),CHAR(39))))</f>
        <v/>
      </c>
      <c r="U544" s="5">
        <f t="shared" si="17"/>
        <v>0</v>
      </c>
    </row>
    <row r="545" spans="3:21" ht="30" customHeight="1" x14ac:dyDescent="0.2">
      <c r="C545" s="4"/>
      <c r="K545" s="5">
        <f t="shared" si="16"/>
        <v>0</v>
      </c>
      <c r="L545" s="5" t="str">
        <f>IF(OR(TRIM($B545)="",$A545=""),"",IF(OR(ISNUMBER(SEARCH(_xlfn.CONCAT(CHAR(96),CHAR(34)),$A545)),ISNUMBER(SEARCH(_xlfn.CONCAT(CHAR(34),CHAR(39)),$A545))),_xlfn.CONCAT("* REVIEW REQUIRED: compound-quote delimiter in Codebook Section on Sheet 1 row ",545,"; edit the input before running."),_xlfn.CONCAT("char ",TRIM($B545),"[doc_section] ",CHAR(96),CHAR(34),SUBSTITUTE(SUBSTITUTE(SUBSTITUTE(SUBSTITUTE(SUBSTITUTE(SUBSTITUTE($A545,CHAR(13)," "),CHAR(10)," "),CHAR(9)," "),CHAR(92),_xlfn.CONCAT(CHAR(92),CHAR(92))),"$",_xlfn.CONCAT(CHAR(92),"$")),CHAR(96),_xlfn.CONCAT(CHAR(92),CHAR(96))),CHAR(34),CHAR(39))))</f>
        <v/>
      </c>
      <c r="M545" s="5" t="str">
        <f>IF(OR(TRIM($B545)="",$C545=""),"",IF(IFERROR(MATCH(TRIM($C545),{"Quantitative","Continuous","Discrete","Categorical","Nominal","Ordinal","Identifier"},0),0)=0,_xlfn.CONCAT("* REVIEW REQUIRED: invalid Variable Type on Sheet 1 row ",545,"."),_xlfn.CONCAT("char ",TRIM($B545),"[doc_vartype] ",CHAR(96),CHAR(34),SUBSTITUTE(SUBSTITUTE(SUBSTITUTE(SUBSTITUTE(SUBSTITUTE(SUBSTITUTE(LOWER(TRIM($C545)),CHAR(13)," "),CHAR(10)," "),CHAR(9)," "),CHAR(92),_xlfn.CONCAT(CHAR(92),CHAR(92))),"$",_xlfn.CONCAT(CHAR(92),"$")),CHAR(96),_xlfn.CONCAT(CHAR(92),CHAR(96))),CHAR(34),CHAR(39))))</f>
        <v/>
      </c>
      <c r="N545" s="5" t="str">
        <f>IF(OR(TRIM($B545)="",$D545=""),"",IF(OR(ISNUMBER(SEARCH(_xlfn.CONCAT(CHAR(96),CHAR(34)),$D545)),ISNUMBER(SEARCH(_xlfn.CONCAT(CHAR(34),CHAR(39)),$D545))),_xlfn.CONCAT("* REVIEW REQUIRED: compound-quote delimiter in Item Number on Sheet 1 row ",545,"; edit the input before running."),_xlfn.CONCAT("char ",TRIM($B545),"[doc_itemnum] ",CHAR(96),CHAR(34),SUBSTITUTE(SUBSTITUTE(SUBSTITUTE(SUBSTITUTE(SUBSTITUTE(SUBSTITUTE($D545,CHAR(13)," "),CHAR(10)," "),CHAR(9)," "),CHAR(92),_xlfn.CONCAT(CHAR(92),CHAR(92))),"$",_xlfn.CONCAT(CHAR(92),"$")),CHAR(96),_xlfn.CONCAT(CHAR(92),CHAR(96))),CHAR(34),CHAR(39))))</f>
        <v/>
      </c>
      <c r="O545" s="5" t="str">
        <f>IF(OR(TRIM($B545)="",$E545=""),"",IF(OR(ISNUMBER(SEARCH(_xlfn.CONCAT(CHAR(96),CHAR(34)),$E545)),ISNUMBER(SEARCH(_xlfn.CONCAT(CHAR(34),CHAR(39)),$E545))),_xlfn.CONCAT("* REVIEW REQUIRED: compound-quote delimiter in Question Wording on Sheet 1 row ",545,"; edit the input before running."),_xlfn.CONCAT("char ",TRIM($B545),"[doc_question] ",CHAR(96),CHAR(34),SUBSTITUTE(SUBSTITUTE(SUBSTITUTE(SUBSTITUTE(SUBSTITUTE(SUBSTITUTE($E545,CHAR(13)," "),CHAR(10)," "),CHAR(9)," "),CHAR(92),_xlfn.CONCAT(CHAR(92),CHAR(92))),"$",_xlfn.CONCAT(CHAR(92),"$")),CHAR(96),_xlfn.CONCAT(CHAR(92),CHAR(96))),CHAR(34),CHAR(39))))</f>
        <v/>
      </c>
      <c r="P545" s="5" t="str">
        <f>IF(OR(TRIM($B545)="",$F545=""),"",IF(OR(ISNUMBER(SEARCH(_xlfn.CONCAT(CHAR(96),CHAR(34)),$F545)),ISNUMBER(SEARCH(_xlfn.CONCAT(CHAR(34),CHAR(39)),$F545))),_xlfn.CONCAT("* REVIEW REQUIRED: compound-quote delimiter in Units on Sheet 1 row ",545,"; edit the input before running."),_xlfn.CONCAT("char ",TRIM($B545),"[doc_units] ",CHAR(96),CHAR(34),SUBSTITUTE(SUBSTITUTE(SUBSTITUTE(SUBSTITUTE(SUBSTITUTE(SUBSTITUTE($F545,CHAR(13)," "),CHAR(10)," "),CHAR(9)," "),CHAR(92),_xlfn.CONCAT(CHAR(92),CHAR(92))),"$",_xlfn.CONCAT(CHAR(92),"$")),CHAR(96),_xlfn.CONCAT(CHAR(92),CHAR(96))),CHAR(34),CHAR(39))))</f>
        <v/>
      </c>
      <c r="Q545" s="5" t="str">
        <f>IF(OR(TRIM($B545)="",$G545=""),"",IF(OR(ISNUMBER(SEARCH(_xlfn.CONCAT(CHAR(96),CHAR(34)),$G545)),ISNUMBER(SEARCH(_xlfn.CONCAT(CHAR(34),CHAR(39)),$G545))),_xlfn.CONCAT("* REVIEW REQUIRED: compound-quote delimiter in Universe on Sheet 1 row ",545,"; edit the input before running."),_xlfn.CONCAT("char ",TRIM($B545),"[doc_universe] ",CHAR(96),CHAR(34),SUBSTITUTE(SUBSTITUTE(SUBSTITUTE(SUBSTITUTE(SUBSTITUTE(SUBSTITUTE($G545,CHAR(13)," "),CHAR(10)," "),CHAR(9)," "),CHAR(92),_xlfn.CONCAT(CHAR(92),CHAR(92))),"$",_xlfn.CONCAT(CHAR(92),"$")),CHAR(96),_xlfn.CONCAT(CHAR(92),CHAR(96))),CHAR(34),CHAR(39))))</f>
        <v/>
      </c>
      <c r="R545" s="5" t="str">
        <f>IF(OR(TRIM($B545)="",$H545=""),"",IF(OR(ISNUMBER(SEARCH(_xlfn.CONCAT(CHAR(96),CHAR(34)),$H545)),ISNUMBER(SEARCH(_xlfn.CONCAT(CHAR(34),CHAR(39)),$H545))),_xlfn.CONCAT("* REVIEW REQUIRED: compound-quote delimiter in Source on Sheet 1 row ",545,"; edit the input before running."),_xlfn.CONCAT("char ",TRIM($B545),"[doc_source] ",CHAR(96),CHAR(34),SUBSTITUTE(SUBSTITUTE(SUBSTITUTE(SUBSTITUTE(SUBSTITUTE(SUBSTITUTE($H545,CHAR(13)," "),CHAR(10)," "),CHAR(9)," "),CHAR(92),_xlfn.CONCAT(CHAR(92),CHAR(92))),"$",_xlfn.CONCAT(CHAR(92),"$")),CHAR(96),_xlfn.CONCAT(CHAR(92),CHAR(96))),CHAR(34),CHAR(39))))</f>
        <v/>
      </c>
      <c r="S545" s="5" t="str">
        <f>IF(OR(TRIM($B545)="",$I545=""),"",IF(OR(ISNUMBER(SEARCH(_xlfn.CONCAT(CHAR(96),CHAR(34)),$I545)),ISNUMBER(SEARCH(_xlfn.CONCAT(CHAR(34),CHAR(39)),$I545))),_xlfn.CONCAT("* REVIEW REQUIRED: compound-quote delimiter in Derivation on Sheet 1 row ",545,"; edit the input before running."),_xlfn.CONCAT("char ",TRIM($B545),"[doc_derivation] ",CHAR(96),CHAR(34),SUBSTITUTE(SUBSTITUTE(SUBSTITUTE(SUBSTITUTE(SUBSTITUTE(SUBSTITUTE($I545,CHAR(13)," "),CHAR(10)," "),CHAR(9)," "),CHAR(92),_xlfn.CONCAT(CHAR(92),CHAR(92))),"$",_xlfn.CONCAT(CHAR(92),"$")),CHAR(96),_xlfn.CONCAT(CHAR(92),CHAR(96))),CHAR(34),CHAR(39))))</f>
        <v/>
      </c>
      <c r="T545" s="5" t="str">
        <f>IF(OR(TRIM($B545)="",$J545=""),"",IF(OR(ISNUMBER(SEARCH(_xlfn.CONCAT(CHAR(96),CHAR(34)),$J545)),ISNUMBER(SEARCH(_xlfn.CONCAT(CHAR(34),CHAR(39)),$J545))),_xlfn.CONCAT("* REVIEW REQUIRED: compound-quote delimiter in Notes on Sheet 1 row ",545,"; edit the input before running."),_xlfn.CONCAT("char ",TRIM($B545),"[doc_notes] ",CHAR(96),CHAR(34),SUBSTITUTE(SUBSTITUTE(SUBSTITUTE(SUBSTITUTE(SUBSTITUTE(SUBSTITUTE($J545,CHAR(13)," "),CHAR(10)," "),CHAR(9)," "),CHAR(92),_xlfn.CONCAT(CHAR(92),CHAR(92))),"$",_xlfn.CONCAT(CHAR(92),"$")),CHAR(96),_xlfn.CONCAT(CHAR(92),CHAR(96))),CHAR(34),CHAR(39))))</f>
        <v/>
      </c>
      <c r="U545" s="5">
        <f t="shared" si="17"/>
        <v>0</v>
      </c>
    </row>
    <row r="546" spans="3:21" ht="30" customHeight="1" x14ac:dyDescent="0.2">
      <c r="C546" s="4"/>
      <c r="K546" s="5">
        <f t="shared" si="16"/>
        <v>0</v>
      </c>
      <c r="L546" s="5" t="str">
        <f>IF(OR(TRIM($B546)="",$A546=""),"",IF(OR(ISNUMBER(SEARCH(_xlfn.CONCAT(CHAR(96),CHAR(34)),$A546)),ISNUMBER(SEARCH(_xlfn.CONCAT(CHAR(34),CHAR(39)),$A546))),_xlfn.CONCAT("* REVIEW REQUIRED: compound-quote delimiter in Codebook Section on Sheet 1 row ",546,"; edit the input before running."),_xlfn.CONCAT("char ",TRIM($B546),"[doc_section] ",CHAR(96),CHAR(34),SUBSTITUTE(SUBSTITUTE(SUBSTITUTE(SUBSTITUTE(SUBSTITUTE(SUBSTITUTE($A546,CHAR(13)," "),CHAR(10)," "),CHAR(9)," "),CHAR(92),_xlfn.CONCAT(CHAR(92),CHAR(92))),"$",_xlfn.CONCAT(CHAR(92),"$")),CHAR(96),_xlfn.CONCAT(CHAR(92),CHAR(96))),CHAR(34),CHAR(39))))</f>
        <v/>
      </c>
      <c r="M546" s="5" t="str">
        <f>IF(OR(TRIM($B546)="",$C546=""),"",IF(IFERROR(MATCH(TRIM($C546),{"Quantitative","Continuous","Discrete","Categorical","Nominal","Ordinal","Identifier"},0),0)=0,_xlfn.CONCAT("* REVIEW REQUIRED: invalid Variable Type on Sheet 1 row ",546,"."),_xlfn.CONCAT("char ",TRIM($B546),"[doc_vartype] ",CHAR(96),CHAR(34),SUBSTITUTE(SUBSTITUTE(SUBSTITUTE(SUBSTITUTE(SUBSTITUTE(SUBSTITUTE(LOWER(TRIM($C546)),CHAR(13)," "),CHAR(10)," "),CHAR(9)," "),CHAR(92),_xlfn.CONCAT(CHAR(92),CHAR(92))),"$",_xlfn.CONCAT(CHAR(92),"$")),CHAR(96),_xlfn.CONCAT(CHAR(92),CHAR(96))),CHAR(34),CHAR(39))))</f>
        <v/>
      </c>
      <c r="N546" s="5" t="str">
        <f>IF(OR(TRIM($B546)="",$D546=""),"",IF(OR(ISNUMBER(SEARCH(_xlfn.CONCAT(CHAR(96),CHAR(34)),$D546)),ISNUMBER(SEARCH(_xlfn.CONCAT(CHAR(34),CHAR(39)),$D546))),_xlfn.CONCAT("* REVIEW REQUIRED: compound-quote delimiter in Item Number on Sheet 1 row ",546,"; edit the input before running."),_xlfn.CONCAT("char ",TRIM($B546),"[doc_itemnum] ",CHAR(96),CHAR(34),SUBSTITUTE(SUBSTITUTE(SUBSTITUTE(SUBSTITUTE(SUBSTITUTE(SUBSTITUTE($D546,CHAR(13)," "),CHAR(10)," "),CHAR(9)," "),CHAR(92),_xlfn.CONCAT(CHAR(92),CHAR(92))),"$",_xlfn.CONCAT(CHAR(92),"$")),CHAR(96),_xlfn.CONCAT(CHAR(92),CHAR(96))),CHAR(34),CHAR(39))))</f>
        <v/>
      </c>
      <c r="O546" s="5" t="str">
        <f>IF(OR(TRIM($B546)="",$E546=""),"",IF(OR(ISNUMBER(SEARCH(_xlfn.CONCAT(CHAR(96),CHAR(34)),$E546)),ISNUMBER(SEARCH(_xlfn.CONCAT(CHAR(34),CHAR(39)),$E546))),_xlfn.CONCAT("* REVIEW REQUIRED: compound-quote delimiter in Question Wording on Sheet 1 row ",546,"; edit the input before running."),_xlfn.CONCAT("char ",TRIM($B546),"[doc_question] ",CHAR(96),CHAR(34),SUBSTITUTE(SUBSTITUTE(SUBSTITUTE(SUBSTITUTE(SUBSTITUTE(SUBSTITUTE($E546,CHAR(13)," "),CHAR(10)," "),CHAR(9)," "),CHAR(92),_xlfn.CONCAT(CHAR(92),CHAR(92))),"$",_xlfn.CONCAT(CHAR(92),"$")),CHAR(96),_xlfn.CONCAT(CHAR(92),CHAR(96))),CHAR(34),CHAR(39))))</f>
        <v/>
      </c>
      <c r="P546" s="5" t="str">
        <f>IF(OR(TRIM($B546)="",$F546=""),"",IF(OR(ISNUMBER(SEARCH(_xlfn.CONCAT(CHAR(96),CHAR(34)),$F546)),ISNUMBER(SEARCH(_xlfn.CONCAT(CHAR(34),CHAR(39)),$F546))),_xlfn.CONCAT("* REVIEW REQUIRED: compound-quote delimiter in Units on Sheet 1 row ",546,"; edit the input before running."),_xlfn.CONCAT("char ",TRIM($B546),"[doc_units] ",CHAR(96),CHAR(34),SUBSTITUTE(SUBSTITUTE(SUBSTITUTE(SUBSTITUTE(SUBSTITUTE(SUBSTITUTE($F546,CHAR(13)," "),CHAR(10)," "),CHAR(9)," "),CHAR(92),_xlfn.CONCAT(CHAR(92),CHAR(92))),"$",_xlfn.CONCAT(CHAR(92),"$")),CHAR(96),_xlfn.CONCAT(CHAR(92),CHAR(96))),CHAR(34),CHAR(39))))</f>
        <v/>
      </c>
      <c r="Q546" s="5" t="str">
        <f>IF(OR(TRIM($B546)="",$G546=""),"",IF(OR(ISNUMBER(SEARCH(_xlfn.CONCAT(CHAR(96),CHAR(34)),$G546)),ISNUMBER(SEARCH(_xlfn.CONCAT(CHAR(34),CHAR(39)),$G546))),_xlfn.CONCAT("* REVIEW REQUIRED: compound-quote delimiter in Universe on Sheet 1 row ",546,"; edit the input before running."),_xlfn.CONCAT("char ",TRIM($B546),"[doc_universe] ",CHAR(96),CHAR(34),SUBSTITUTE(SUBSTITUTE(SUBSTITUTE(SUBSTITUTE(SUBSTITUTE(SUBSTITUTE($G546,CHAR(13)," "),CHAR(10)," "),CHAR(9)," "),CHAR(92),_xlfn.CONCAT(CHAR(92),CHAR(92))),"$",_xlfn.CONCAT(CHAR(92),"$")),CHAR(96),_xlfn.CONCAT(CHAR(92),CHAR(96))),CHAR(34),CHAR(39))))</f>
        <v/>
      </c>
      <c r="R546" s="5" t="str">
        <f>IF(OR(TRIM($B546)="",$H546=""),"",IF(OR(ISNUMBER(SEARCH(_xlfn.CONCAT(CHAR(96),CHAR(34)),$H546)),ISNUMBER(SEARCH(_xlfn.CONCAT(CHAR(34),CHAR(39)),$H546))),_xlfn.CONCAT("* REVIEW REQUIRED: compound-quote delimiter in Source on Sheet 1 row ",546,"; edit the input before running."),_xlfn.CONCAT("char ",TRIM($B546),"[doc_source] ",CHAR(96),CHAR(34),SUBSTITUTE(SUBSTITUTE(SUBSTITUTE(SUBSTITUTE(SUBSTITUTE(SUBSTITUTE($H546,CHAR(13)," "),CHAR(10)," "),CHAR(9)," "),CHAR(92),_xlfn.CONCAT(CHAR(92),CHAR(92))),"$",_xlfn.CONCAT(CHAR(92),"$")),CHAR(96),_xlfn.CONCAT(CHAR(92),CHAR(96))),CHAR(34),CHAR(39))))</f>
        <v/>
      </c>
      <c r="S546" s="5" t="str">
        <f>IF(OR(TRIM($B546)="",$I546=""),"",IF(OR(ISNUMBER(SEARCH(_xlfn.CONCAT(CHAR(96),CHAR(34)),$I546)),ISNUMBER(SEARCH(_xlfn.CONCAT(CHAR(34),CHAR(39)),$I546))),_xlfn.CONCAT("* REVIEW REQUIRED: compound-quote delimiter in Derivation on Sheet 1 row ",546,"; edit the input before running."),_xlfn.CONCAT("char ",TRIM($B546),"[doc_derivation] ",CHAR(96),CHAR(34),SUBSTITUTE(SUBSTITUTE(SUBSTITUTE(SUBSTITUTE(SUBSTITUTE(SUBSTITUTE($I546,CHAR(13)," "),CHAR(10)," "),CHAR(9)," "),CHAR(92),_xlfn.CONCAT(CHAR(92),CHAR(92))),"$",_xlfn.CONCAT(CHAR(92),"$")),CHAR(96),_xlfn.CONCAT(CHAR(92),CHAR(96))),CHAR(34),CHAR(39))))</f>
        <v/>
      </c>
      <c r="T546" s="5" t="str">
        <f>IF(OR(TRIM($B546)="",$J546=""),"",IF(OR(ISNUMBER(SEARCH(_xlfn.CONCAT(CHAR(96),CHAR(34)),$J546)),ISNUMBER(SEARCH(_xlfn.CONCAT(CHAR(34),CHAR(39)),$J546))),_xlfn.CONCAT("* REVIEW REQUIRED: compound-quote delimiter in Notes on Sheet 1 row ",546,"; edit the input before running."),_xlfn.CONCAT("char ",TRIM($B546),"[doc_notes] ",CHAR(96),CHAR(34),SUBSTITUTE(SUBSTITUTE(SUBSTITUTE(SUBSTITUTE(SUBSTITUTE(SUBSTITUTE($J546,CHAR(13)," "),CHAR(10)," "),CHAR(9)," "),CHAR(92),_xlfn.CONCAT(CHAR(92),CHAR(92))),"$",_xlfn.CONCAT(CHAR(92),"$")),CHAR(96),_xlfn.CONCAT(CHAR(92),CHAR(96))),CHAR(34),CHAR(39))))</f>
        <v/>
      </c>
      <c r="U546" s="5">
        <f t="shared" si="17"/>
        <v>0</v>
      </c>
    </row>
    <row r="547" spans="3:21" ht="30" customHeight="1" x14ac:dyDescent="0.2">
      <c r="C547" s="4"/>
      <c r="K547" s="5">
        <f t="shared" si="16"/>
        <v>0</v>
      </c>
      <c r="L547" s="5" t="str">
        <f>IF(OR(TRIM($B547)="",$A547=""),"",IF(OR(ISNUMBER(SEARCH(_xlfn.CONCAT(CHAR(96),CHAR(34)),$A547)),ISNUMBER(SEARCH(_xlfn.CONCAT(CHAR(34),CHAR(39)),$A547))),_xlfn.CONCAT("* REVIEW REQUIRED: compound-quote delimiter in Codebook Section on Sheet 1 row ",547,"; edit the input before running."),_xlfn.CONCAT("char ",TRIM($B547),"[doc_section] ",CHAR(96),CHAR(34),SUBSTITUTE(SUBSTITUTE(SUBSTITUTE(SUBSTITUTE(SUBSTITUTE(SUBSTITUTE($A547,CHAR(13)," "),CHAR(10)," "),CHAR(9)," "),CHAR(92),_xlfn.CONCAT(CHAR(92),CHAR(92))),"$",_xlfn.CONCAT(CHAR(92),"$")),CHAR(96),_xlfn.CONCAT(CHAR(92),CHAR(96))),CHAR(34),CHAR(39))))</f>
        <v/>
      </c>
      <c r="M547" s="5" t="str">
        <f>IF(OR(TRIM($B547)="",$C547=""),"",IF(IFERROR(MATCH(TRIM($C547),{"Quantitative","Continuous","Discrete","Categorical","Nominal","Ordinal","Identifier"},0),0)=0,_xlfn.CONCAT("* REVIEW REQUIRED: invalid Variable Type on Sheet 1 row ",547,"."),_xlfn.CONCAT("char ",TRIM($B547),"[doc_vartype] ",CHAR(96),CHAR(34),SUBSTITUTE(SUBSTITUTE(SUBSTITUTE(SUBSTITUTE(SUBSTITUTE(SUBSTITUTE(LOWER(TRIM($C547)),CHAR(13)," "),CHAR(10)," "),CHAR(9)," "),CHAR(92),_xlfn.CONCAT(CHAR(92),CHAR(92))),"$",_xlfn.CONCAT(CHAR(92),"$")),CHAR(96),_xlfn.CONCAT(CHAR(92),CHAR(96))),CHAR(34),CHAR(39))))</f>
        <v/>
      </c>
      <c r="N547" s="5" t="str">
        <f>IF(OR(TRIM($B547)="",$D547=""),"",IF(OR(ISNUMBER(SEARCH(_xlfn.CONCAT(CHAR(96),CHAR(34)),$D547)),ISNUMBER(SEARCH(_xlfn.CONCAT(CHAR(34),CHAR(39)),$D547))),_xlfn.CONCAT("* REVIEW REQUIRED: compound-quote delimiter in Item Number on Sheet 1 row ",547,"; edit the input before running."),_xlfn.CONCAT("char ",TRIM($B547),"[doc_itemnum] ",CHAR(96),CHAR(34),SUBSTITUTE(SUBSTITUTE(SUBSTITUTE(SUBSTITUTE(SUBSTITUTE(SUBSTITUTE($D547,CHAR(13)," "),CHAR(10)," "),CHAR(9)," "),CHAR(92),_xlfn.CONCAT(CHAR(92),CHAR(92))),"$",_xlfn.CONCAT(CHAR(92),"$")),CHAR(96),_xlfn.CONCAT(CHAR(92),CHAR(96))),CHAR(34),CHAR(39))))</f>
        <v/>
      </c>
      <c r="O547" s="5" t="str">
        <f>IF(OR(TRIM($B547)="",$E547=""),"",IF(OR(ISNUMBER(SEARCH(_xlfn.CONCAT(CHAR(96),CHAR(34)),$E547)),ISNUMBER(SEARCH(_xlfn.CONCAT(CHAR(34),CHAR(39)),$E547))),_xlfn.CONCAT("* REVIEW REQUIRED: compound-quote delimiter in Question Wording on Sheet 1 row ",547,"; edit the input before running."),_xlfn.CONCAT("char ",TRIM($B547),"[doc_question] ",CHAR(96),CHAR(34),SUBSTITUTE(SUBSTITUTE(SUBSTITUTE(SUBSTITUTE(SUBSTITUTE(SUBSTITUTE($E547,CHAR(13)," "),CHAR(10)," "),CHAR(9)," "),CHAR(92),_xlfn.CONCAT(CHAR(92),CHAR(92))),"$",_xlfn.CONCAT(CHAR(92),"$")),CHAR(96),_xlfn.CONCAT(CHAR(92),CHAR(96))),CHAR(34),CHAR(39))))</f>
        <v/>
      </c>
      <c r="P547" s="5" t="str">
        <f>IF(OR(TRIM($B547)="",$F547=""),"",IF(OR(ISNUMBER(SEARCH(_xlfn.CONCAT(CHAR(96),CHAR(34)),$F547)),ISNUMBER(SEARCH(_xlfn.CONCAT(CHAR(34),CHAR(39)),$F547))),_xlfn.CONCAT("* REVIEW REQUIRED: compound-quote delimiter in Units on Sheet 1 row ",547,"; edit the input before running."),_xlfn.CONCAT("char ",TRIM($B547),"[doc_units] ",CHAR(96),CHAR(34),SUBSTITUTE(SUBSTITUTE(SUBSTITUTE(SUBSTITUTE(SUBSTITUTE(SUBSTITUTE($F547,CHAR(13)," "),CHAR(10)," "),CHAR(9)," "),CHAR(92),_xlfn.CONCAT(CHAR(92),CHAR(92))),"$",_xlfn.CONCAT(CHAR(92),"$")),CHAR(96),_xlfn.CONCAT(CHAR(92),CHAR(96))),CHAR(34),CHAR(39))))</f>
        <v/>
      </c>
      <c r="Q547" s="5" t="str">
        <f>IF(OR(TRIM($B547)="",$G547=""),"",IF(OR(ISNUMBER(SEARCH(_xlfn.CONCAT(CHAR(96),CHAR(34)),$G547)),ISNUMBER(SEARCH(_xlfn.CONCAT(CHAR(34),CHAR(39)),$G547))),_xlfn.CONCAT("* REVIEW REQUIRED: compound-quote delimiter in Universe on Sheet 1 row ",547,"; edit the input before running."),_xlfn.CONCAT("char ",TRIM($B547),"[doc_universe] ",CHAR(96),CHAR(34),SUBSTITUTE(SUBSTITUTE(SUBSTITUTE(SUBSTITUTE(SUBSTITUTE(SUBSTITUTE($G547,CHAR(13)," "),CHAR(10)," "),CHAR(9)," "),CHAR(92),_xlfn.CONCAT(CHAR(92),CHAR(92))),"$",_xlfn.CONCAT(CHAR(92),"$")),CHAR(96),_xlfn.CONCAT(CHAR(92),CHAR(96))),CHAR(34),CHAR(39))))</f>
        <v/>
      </c>
      <c r="R547" s="5" t="str">
        <f>IF(OR(TRIM($B547)="",$H547=""),"",IF(OR(ISNUMBER(SEARCH(_xlfn.CONCAT(CHAR(96),CHAR(34)),$H547)),ISNUMBER(SEARCH(_xlfn.CONCAT(CHAR(34),CHAR(39)),$H547))),_xlfn.CONCAT("* REVIEW REQUIRED: compound-quote delimiter in Source on Sheet 1 row ",547,"; edit the input before running."),_xlfn.CONCAT("char ",TRIM($B547),"[doc_source] ",CHAR(96),CHAR(34),SUBSTITUTE(SUBSTITUTE(SUBSTITUTE(SUBSTITUTE(SUBSTITUTE(SUBSTITUTE($H547,CHAR(13)," "),CHAR(10)," "),CHAR(9)," "),CHAR(92),_xlfn.CONCAT(CHAR(92),CHAR(92))),"$",_xlfn.CONCAT(CHAR(92),"$")),CHAR(96),_xlfn.CONCAT(CHAR(92),CHAR(96))),CHAR(34),CHAR(39))))</f>
        <v/>
      </c>
      <c r="S547" s="5" t="str">
        <f>IF(OR(TRIM($B547)="",$I547=""),"",IF(OR(ISNUMBER(SEARCH(_xlfn.CONCAT(CHAR(96),CHAR(34)),$I547)),ISNUMBER(SEARCH(_xlfn.CONCAT(CHAR(34),CHAR(39)),$I547))),_xlfn.CONCAT("* REVIEW REQUIRED: compound-quote delimiter in Derivation on Sheet 1 row ",547,"; edit the input before running."),_xlfn.CONCAT("char ",TRIM($B547),"[doc_derivation] ",CHAR(96),CHAR(34),SUBSTITUTE(SUBSTITUTE(SUBSTITUTE(SUBSTITUTE(SUBSTITUTE(SUBSTITUTE($I547,CHAR(13)," "),CHAR(10)," "),CHAR(9)," "),CHAR(92),_xlfn.CONCAT(CHAR(92),CHAR(92))),"$",_xlfn.CONCAT(CHAR(92),"$")),CHAR(96),_xlfn.CONCAT(CHAR(92),CHAR(96))),CHAR(34),CHAR(39))))</f>
        <v/>
      </c>
      <c r="T547" s="5" t="str">
        <f>IF(OR(TRIM($B547)="",$J547=""),"",IF(OR(ISNUMBER(SEARCH(_xlfn.CONCAT(CHAR(96),CHAR(34)),$J547)),ISNUMBER(SEARCH(_xlfn.CONCAT(CHAR(34),CHAR(39)),$J547))),_xlfn.CONCAT("* REVIEW REQUIRED: compound-quote delimiter in Notes on Sheet 1 row ",547,"; edit the input before running."),_xlfn.CONCAT("char ",TRIM($B547),"[doc_notes] ",CHAR(96),CHAR(34),SUBSTITUTE(SUBSTITUTE(SUBSTITUTE(SUBSTITUTE(SUBSTITUTE(SUBSTITUTE($J547,CHAR(13)," "),CHAR(10)," "),CHAR(9)," "),CHAR(92),_xlfn.CONCAT(CHAR(92),CHAR(92))),"$",_xlfn.CONCAT(CHAR(92),"$")),CHAR(96),_xlfn.CONCAT(CHAR(92),CHAR(96))),CHAR(34),CHAR(39))))</f>
        <v/>
      </c>
      <c r="U547" s="5">
        <f t="shared" si="17"/>
        <v>0</v>
      </c>
    </row>
    <row r="548" spans="3:21" ht="30" customHeight="1" x14ac:dyDescent="0.2">
      <c r="C548" s="4"/>
      <c r="K548" s="5">
        <f t="shared" si="16"/>
        <v>0</v>
      </c>
      <c r="L548" s="5" t="str">
        <f>IF(OR(TRIM($B548)="",$A548=""),"",IF(OR(ISNUMBER(SEARCH(_xlfn.CONCAT(CHAR(96),CHAR(34)),$A548)),ISNUMBER(SEARCH(_xlfn.CONCAT(CHAR(34),CHAR(39)),$A548))),_xlfn.CONCAT("* REVIEW REQUIRED: compound-quote delimiter in Codebook Section on Sheet 1 row ",548,"; edit the input before running."),_xlfn.CONCAT("char ",TRIM($B548),"[doc_section] ",CHAR(96),CHAR(34),SUBSTITUTE(SUBSTITUTE(SUBSTITUTE(SUBSTITUTE(SUBSTITUTE(SUBSTITUTE($A548,CHAR(13)," "),CHAR(10)," "),CHAR(9)," "),CHAR(92),_xlfn.CONCAT(CHAR(92),CHAR(92))),"$",_xlfn.CONCAT(CHAR(92),"$")),CHAR(96),_xlfn.CONCAT(CHAR(92),CHAR(96))),CHAR(34),CHAR(39))))</f>
        <v/>
      </c>
      <c r="M548" s="5" t="str">
        <f>IF(OR(TRIM($B548)="",$C548=""),"",IF(IFERROR(MATCH(TRIM($C548),{"Quantitative","Continuous","Discrete","Categorical","Nominal","Ordinal","Identifier"},0),0)=0,_xlfn.CONCAT("* REVIEW REQUIRED: invalid Variable Type on Sheet 1 row ",548,"."),_xlfn.CONCAT("char ",TRIM($B548),"[doc_vartype] ",CHAR(96),CHAR(34),SUBSTITUTE(SUBSTITUTE(SUBSTITUTE(SUBSTITUTE(SUBSTITUTE(SUBSTITUTE(LOWER(TRIM($C548)),CHAR(13)," "),CHAR(10)," "),CHAR(9)," "),CHAR(92),_xlfn.CONCAT(CHAR(92),CHAR(92))),"$",_xlfn.CONCAT(CHAR(92),"$")),CHAR(96),_xlfn.CONCAT(CHAR(92),CHAR(96))),CHAR(34),CHAR(39))))</f>
        <v/>
      </c>
      <c r="N548" s="5" t="str">
        <f>IF(OR(TRIM($B548)="",$D548=""),"",IF(OR(ISNUMBER(SEARCH(_xlfn.CONCAT(CHAR(96),CHAR(34)),$D548)),ISNUMBER(SEARCH(_xlfn.CONCAT(CHAR(34),CHAR(39)),$D548))),_xlfn.CONCAT("* REVIEW REQUIRED: compound-quote delimiter in Item Number on Sheet 1 row ",548,"; edit the input before running."),_xlfn.CONCAT("char ",TRIM($B548),"[doc_itemnum] ",CHAR(96),CHAR(34),SUBSTITUTE(SUBSTITUTE(SUBSTITUTE(SUBSTITUTE(SUBSTITUTE(SUBSTITUTE($D548,CHAR(13)," "),CHAR(10)," "),CHAR(9)," "),CHAR(92),_xlfn.CONCAT(CHAR(92),CHAR(92))),"$",_xlfn.CONCAT(CHAR(92),"$")),CHAR(96),_xlfn.CONCAT(CHAR(92),CHAR(96))),CHAR(34),CHAR(39))))</f>
        <v/>
      </c>
      <c r="O548" s="5" t="str">
        <f>IF(OR(TRIM($B548)="",$E548=""),"",IF(OR(ISNUMBER(SEARCH(_xlfn.CONCAT(CHAR(96),CHAR(34)),$E548)),ISNUMBER(SEARCH(_xlfn.CONCAT(CHAR(34),CHAR(39)),$E548))),_xlfn.CONCAT("* REVIEW REQUIRED: compound-quote delimiter in Question Wording on Sheet 1 row ",548,"; edit the input before running."),_xlfn.CONCAT("char ",TRIM($B548),"[doc_question] ",CHAR(96),CHAR(34),SUBSTITUTE(SUBSTITUTE(SUBSTITUTE(SUBSTITUTE(SUBSTITUTE(SUBSTITUTE($E548,CHAR(13)," "),CHAR(10)," "),CHAR(9)," "),CHAR(92),_xlfn.CONCAT(CHAR(92),CHAR(92))),"$",_xlfn.CONCAT(CHAR(92),"$")),CHAR(96),_xlfn.CONCAT(CHAR(92),CHAR(96))),CHAR(34),CHAR(39))))</f>
        <v/>
      </c>
      <c r="P548" s="5" t="str">
        <f>IF(OR(TRIM($B548)="",$F548=""),"",IF(OR(ISNUMBER(SEARCH(_xlfn.CONCAT(CHAR(96),CHAR(34)),$F548)),ISNUMBER(SEARCH(_xlfn.CONCAT(CHAR(34),CHAR(39)),$F548))),_xlfn.CONCAT("* REVIEW REQUIRED: compound-quote delimiter in Units on Sheet 1 row ",548,"; edit the input before running."),_xlfn.CONCAT("char ",TRIM($B548),"[doc_units] ",CHAR(96),CHAR(34),SUBSTITUTE(SUBSTITUTE(SUBSTITUTE(SUBSTITUTE(SUBSTITUTE(SUBSTITUTE($F548,CHAR(13)," "),CHAR(10)," "),CHAR(9)," "),CHAR(92),_xlfn.CONCAT(CHAR(92),CHAR(92))),"$",_xlfn.CONCAT(CHAR(92),"$")),CHAR(96),_xlfn.CONCAT(CHAR(92),CHAR(96))),CHAR(34),CHAR(39))))</f>
        <v/>
      </c>
      <c r="Q548" s="5" t="str">
        <f>IF(OR(TRIM($B548)="",$G548=""),"",IF(OR(ISNUMBER(SEARCH(_xlfn.CONCAT(CHAR(96),CHAR(34)),$G548)),ISNUMBER(SEARCH(_xlfn.CONCAT(CHAR(34),CHAR(39)),$G548))),_xlfn.CONCAT("* REVIEW REQUIRED: compound-quote delimiter in Universe on Sheet 1 row ",548,"; edit the input before running."),_xlfn.CONCAT("char ",TRIM($B548),"[doc_universe] ",CHAR(96),CHAR(34),SUBSTITUTE(SUBSTITUTE(SUBSTITUTE(SUBSTITUTE(SUBSTITUTE(SUBSTITUTE($G548,CHAR(13)," "),CHAR(10)," "),CHAR(9)," "),CHAR(92),_xlfn.CONCAT(CHAR(92),CHAR(92))),"$",_xlfn.CONCAT(CHAR(92),"$")),CHAR(96),_xlfn.CONCAT(CHAR(92),CHAR(96))),CHAR(34),CHAR(39))))</f>
        <v/>
      </c>
      <c r="R548" s="5" t="str">
        <f>IF(OR(TRIM($B548)="",$H548=""),"",IF(OR(ISNUMBER(SEARCH(_xlfn.CONCAT(CHAR(96),CHAR(34)),$H548)),ISNUMBER(SEARCH(_xlfn.CONCAT(CHAR(34),CHAR(39)),$H548))),_xlfn.CONCAT("* REVIEW REQUIRED: compound-quote delimiter in Source on Sheet 1 row ",548,"; edit the input before running."),_xlfn.CONCAT("char ",TRIM($B548),"[doc_source] ",CHAR(96),CHAR(34),SUBSTITUTE(SUBSTITUTE(SUBSTITUTE(SUBSTITUTE(SUBSTITUTE(SUBSTITUTE($H548,CHAR(13)," "),CHAR(10)," "),CHAR(9)," "),CHAR(92),_xlfn.CONCAT(CHAR(92),CHAR(92))),"$",_xlfn.CONCAT(CHAR(92),"$")),CHAR(96),_xlfn.CONCAT(CHAR(92),CHAR(96))),CHAR(34),CHAR(39))))</f>
        <v/>
      </c>
      <c r="S548" s="5" t="str">
        <f>IF(OR(TRIM($B548)="",$I548=""),"",IF(OR(ISNUMBER(SEARCH(_xlfn.CONCAT(CHAR(96),CHAR(34)),$I548)),ISNUMBER(SEARCH(_xlfn.CONCAT(CHAR(34),CHAR(39)),$I548))),_xlfn.CONCAT("* REVIEW REQUIRED: compound-quote delimiter in Derivation on Sheet 1 row ",548,"; edit the input before running."),_xlfn.CONCAT("char ",TRIM($B548),"[doc_derivation] ",CHAR(96),CHAR(34),SUBSTITUTE(SUBSTITUTE(SUBSTITUTE(SUBSTITUTE(SUBSTITUTE(SUBSTITUTE($I548,CHAR(13)," "),CHAR(10)," "),CHAR(9)," "),CHAR(92),_xlfn.CONCAT(CHAR(92),CHAR(92))),"$",_xlfn.CONCAT(CHAR(92),"$")),CHAR(96),_xlfn.CONCAT(CHAR(92),CHAR(96))),CHAR(34),CHAR(39))))</f>
        <v/>
      </c>
      <c r="T548" s="5" t="str">
        <f>IF(OR(TRIM($B548)="",$J548=""),"",IF(OR(ISNUMBER(SEARCH(_xlfn.CONCAT(CHAR(96),CHAR(34)),$J548)),ISNUMBER(SEARCH(_xlfn.CONCAT(CHAR(34),CHAR(39)),$J548))),_xlfn.CONCAT("* REVIEW REQUIRED: compound-quote delimiter in Notes on Sheet 1 row ",548,"; edit the input before running."),_xlfn.CONCAT("char ",TRIM($B548),"[doc_notes] ",CHAR(96),CHAR(34),SUBSTITUTE(SUBSTITUTE(SUBSTITUTE(SUBSTITUTE(SUBSTITUTE(SUBSTITUTE($J548,CHAR(13)," "),CHAR(10)," "),CHAR(9)," "),CHAR(92),_xlfn.CONCAT(CHAR(92),CHAR(92))),"$",_xlfn.CONCAT(CHAR(92),"$")),CHAR(96),_xlfn.CONCAT(CHAR(92),CHAR(96))),CHAR(34),CHAR(39))))</f>
        <v/>
      </c>
      <c r="U548" s="5">
        <f t="shared" si="17"/>
        <v>0</v>
      </c>
    </row>
    <row r="549" spans="3:21" ht="30" customHeight="1" x14ac:dyDescent="0.2">
      <c r="C549" s="4"/>
      <c r="K549" s="5">
        <f t="shared" si="16"/>
        <v>0</v>
      </c>
      <c r="L549" s="5" t="str">
        <f>IF(OR(TRIM($B549)="",$A549=""),"",IF(OR(ISNUMBER(SEARCH(_xlfn.CONCAT(CHAR(96),CHAR(34)),$A549)),ISNUMBER(SEARCH(_xlfn.CONCAT(CHAR(34),CHAR(39)),$A549))),_xlfn.CONCAT("* REVIEW REQUIRED: compound-quote delimiter in Codebook Section on Sheet 1 row ",549,"; edit the input before running."),_xlfn.CONCAT("char ",TRIM($B549),"[doc_section] ",CHAR(96),CHAR(34),SUBSTITUTE(SUBSTITUTE(SUBSTITUTE(SUBSTITUTE(SUBSTITUTE(SUBSTITUTE($A549,CHAR(13)," "),CHAR(10)," "),CHAR(9)," "),CHAR(92),_xlfn.CONCAT(CHAR(92),CHAR(92))),"$",_xlfn.CONCAT(CHAR(92),"$")),CHAR(96),_xlfn.CONCAT(CHAR(92),CHAR(96))),CHAR(34),CHAR(39))))</f>
        <v/>
      </c>
      <c r="M549" s="5" t="str">
        <f>IF(OR(TRIM($B549)="",$C549=""),"",IF(IFERROR(MATCH(TRIM($C549),{"Quantitative","Continuous","Discrete","Categorical","Nominal","Ordinal","Identifier"},0),0)=0,_xlfn.CONCAT("* REVIEW REQUIRED: invalid Variable Type on Sheet 1 row ",549,"."),_xlfn.CONCAT("char ",TRIM($B549),"[doc_vartype] ",CHAR(96),CHAR(34),SUBSTITUTE(SUBSTITUTE(SUBSTITUTE(SUBSTITUTE(SUBSTITUTE(SUBSTITUTE(LOWER(TRIM($C549)),CHAR(13)," "),CHAR(10)," "),CHAR(9)," "),CHAR(92),_xlfn.CONCAT(CHAR(92),CHAR(92))),"$",_xlfn.CONCAT(CHAR(92),"$")),CHAR(96),_xlfn.CONCAT(CHAR(92),CHAR(96))),CHAR(34),CHAR(39))))</f>
        <v/>
      </c>
      <c r="N549" s="5" t="str">
        <f>IF(OR(TRIM($B549)="",$D549=""),"",IF(OR(ISNUMBER(SEARCH(_xlfn.CONCAT(CHAR(96),CHAR(34)),$D549)),ISNUMBER(SEARCH(_xlfn.CONCAT(CHAR(34),CHAR(39)),$D549))),_xlfn.CONCAT("* REVIEW REQUIRED: compound-quote delimiter in Item Number on Sheet 1 row ",549,"; edit the input before running."),_xlfn.CONCAT("char ",TRIM($B549),"[doc_itemnum] ",CHAR(96),CHAR(34),SUBSTITUTE(SUBSTITUTE(SUBSTITUTE(SUBSTITUTE(SUBSTITUTE(SUBSTITUTE($D549,CHAR(13)," "),CHAR(10)," "),CHAR(9)," "),CHAR(92),_xlfn.CONCAT(CHAR(92),CHAR(92))),"$",_xlfn.CONCAT(CHAR(92),"$")),CHAR(96),_xlfn.CONCAT(CHAR(92),CHAR(96))),CHAR(34),CHAR(39))))</f>
        <v/>
      </c>
      <c r="O549" s="5" t="str">
        <f>IF(OR(TRIM($B549)="",$E549=""),"",IF(OR(ISNUMBER(SEARCH(_xlfn.CONCAT(CHAR(96),CHAR(34)),$E549)),ISNUMBER(SEARCH(_xlfn.CONCAT(CHAR(34),CHAR(39)),$E549))),_xlfn.CONCAT("* REVIEW REQUIRED: compound-quote delimiter in Question Wording on Sheet 1 row ",549,"; edit the input before running."),_xlfn.CONCAT("char ",TRIM($B549),"[doc_question] ",CHAR(96),CHAR(34),SUBSTITUTE(SUBSTITUTE(SUBSTITUTE(SUBSTITUTE(SUBSTITUTE(SUBSTITUTE($E549,CHAR(13)," "),CHAR(10)," "),CHAR(9)," "),CHAR(92),_xlfn.CONCAT(CHAR(92),CHAR(92))),"$",_xlfn.CONCAT(CHAR(92),"$")),CHAR(96),_xlfn.CONCAT(CHAR(92),CHAR(96))),CHAR(34),CHAR(39))))</f>
        <v/>
      </c>
      <c r="P549" s="5" t="str">
        <f>IF(OR(TRIM($B549)="",$F549=""),"",IF(OR(ISNUMBER(SEARCH(_xlfn.CONCAT(CHAR(96),CHAR(34)),$F549)),ISNUMBER(SEARCH(_xlfn.CONCAT(CHAR(34),CHAR(39)),$F549))),_xlfn.CONCAT("* REVIEW REQUIRED: compound-quote delimiter in Units on Sheet 1 row ",549,"; edit the input before running."),_xlfn.CONCAT("char ",TRIM($B549),"[doc_units] ",CHAR(96),CHAR(34),SUBSTITUTE(SUBSTITUTE(SUBSTITUTE(SUBSTITUTE(SUBSTITUTE(SUBSTITUTE($F549,CHAR(13)," "),CHAR(10)," "),CHAR(9)," "),CHAR(92),_xlfn.CONCAT(CHAR(92),CHAR(92))),"$",_xlfn.CONCAT(CHAR(92),"$")),CHAR(96),_xlfn.CONCAT(CHAR(92),CHAR(96))),CHAR(34),CHAR(39))))</f>
        <v/>
      </c>
      <c r="Q549" s="5" t="str">
        <f>IF(OR(TRIM($B549)="",$G549=""),"",IF(OR(ISNUMBER(SEARCH(_xlfn.CONCAT(CHAR(96),CHAR(34)),$G549)),ISNUMBER(SEARCH(_xlfn.CONCAT(CHAR(34),CHAR(39)),$G549))),_xlfn.CONCAT("* REVIEW REQUIRED: compound-quote delimiter in Universe on Sheet 1 row ",549,"; edit the input before running."),_xlfn.CONCAT("char ",TRIM($B549),"[doc_universe] ",CHAR(96),CHAR(34),SUBSTITUTE(SUBSTITUTE(SUBSTITUTE(SUBSTITUTE(SUBSTITUTE(SUBSTITUTE($G549,CHAR(13)," "),CHAR(10)," "),CHAR(9)," "),CHAR(92),_xlfn.CONCAT(CHAR(92),CHAR(92))),"$",_xlfn.CONCAT(CHAR(92),"$")),CHAR(96),_xlfn.CONCAT(CHAR(92),CHAR(96))),CHAR(34),CHAR(39))))</f>
        <v/>
      </c>
      <c r="R549" s="5" t="str">
        <f>IF(OR(TRIM($B549)="",$H549=""),"",IF(OR(ISNUMBER(SEARCH(_xlfn.CONCAT(CHAR(96),CHAR(34)),$H549)),ISNUMBER(SEARCH(_xlfn.CONCAT(CHAR(34),CHAR(39)),$H549))),_xlfn.CONCAT("* REVIEW REQUIRED: compound-quote delimiter in Source on Sheet 1 row ",549,"; edit the input before running."),_xlfn.CONCAT("char ",TRIM($B549),"[doc_source] ",CHAR(96),CHAR(34),SUBSTITUTE(SUBSTITUTE(SUBSTITUTE(SUBSTITUTE(SUBSTITUTE(SUBSTITUTE($H549,CHAR(13)," "),CHAR(10)," "),CHAR(9)," "),CHAR(92),_xlfn.CONCAT(CHAR(92),CHAR(92))),"$",_xlfn.CONCAT(CHAR(92),"$")),CHAR(96),_xlfn.CONCAT(CHAR(92),CHAR(96))),CHAR(34),CHAR(39))))</f>
        <v/>
      </c>
      <c r="S549" s="5" t="str">
        <f>IF(OR(TRIM($B549)="",$I549=""),"",IF(OR(ISNUMBER(SEARCH(_xlfn.CONCAT(CHAR(96),CHAR(34)),$I549)),ISNUMBER(SEARCH(_xlfn.CONCAT(CHAR(34),CHAR(39)),$I549))),_xlfn.CONCAT("* REVIEW REQUIRED: compound-quote delimiter in Derivation on Sheet 1 row ",549,"; edit the input before running."),_xlfn.CONCAT("char ",TRIM($B549),"[doc_derivation] ",CHAR(96),CHAR(34),SUBSTITUTE(SUBSTITUTE(SUBSTITUTE(SUBSTITUTE(SUBSTITUTE(SUBSTITUTE($I549,CHAR(13)," "),CHAR(10)," "),CHAR(9)," "),CHAR(92),_xlfn.CONCAT(CHAR(92),CHAR(92))),"$",_xlfn.CONCAT(CHAR(92),"$")),CHAR(96),_xlfn.CONCAT(CHAR(92),CHAR(96))),CHAR(34),CHAR(39))))</f>
        <v/>
      </c>
      <c r="T549" s="5" t="str">
        <f>IF(OR(TRIM($B549)="",$J549=""),"",IF(OR(ISNUMBER(SEARCH(_xlfn.CONCAT(CHAR(96),CHAR(34)),$J549)),ISNUMBER(SEARCH(_xlfn.CONCAT(CHAR(34),CHAR(39)),$J549))),_xlfn.CONCAT("* REVIEW REQUIRED: compound-quote delimiter in Notes on Sheet 1 row ",549,"; edit the input before running."),_xlfn.CONCAT("char ",TRIM($B549),"[doc_notes] ",CHAR(96),CHAR(34),SUBSTITUTE(SUBSTITUTE(SUBSTITUTE(SUBSTITUTE(SUBSTITUTE(SUBSTITUTE($J549,CHAR(13)," "),CHAR(10)," "),CHAR(9)," "),CHAR(92),_xlfn.CONCAT(CHAR(92),CHAR(92))),"$",_xlfn.CONCAT(CHAR(92),"$")),CHAR(96),_xlfn.CONCAT(CHAR(92),CHAR(96))),CHAR(34),CHAR(39))))</f>
        <v/>
      </c>
      <c r="U549" s="5">
        <f t="shared" si="17"/>
        <v>0</v>
      </c>
    </row>
    <row r="550" spans="3:21" ht="30" customHeight="1" x14ac:dyDescent="0.2">
      <c r="C550" s="4"/>
      <c r="K550" s="5">
        <f t="shared" si="16"/>
        <v>0</v>
      </c>
      <c r="L550" s="5" t="str">
        <f>IF(OR(TRIM($B550)="",$A550=""),"",IF(OR(ISNUMBER(SEARCH(_xlfn.CONCAT(CHAR(96),CHAR(34)),$A550)),ISNUMBER(SEARCH(_xlfn.CONCAT(CHAR(34),CHAR(39)),$A550))),_xlfn.CONCAT("* REVIEW REQUIRED: compound-quote delimiter in Codebook Section on Sheet 1 row ",550,"; edit the input before running."),_xlfn.CONCAT("char ",TRIM($B550),"[doc_section] ",CHAR(96),CHAR(34),SUBSTITUTE(SUBSTITUTE(SUBSTITUTE(SUBSTITUTE(SUBSTITUTE(SUBSTITUTE($A550,CHAR(13)," "),CHAR(10)," "),CHAR(9)," "),CHAR(92),_xlfn.CONCAT(CHAR(92),CHAR(92))),"$",_xlfn.CONCAT(CHAR(92),"$")),CHAR(96),_xlfn.CONCAT(CHAR(92),CHAR(96))),CHAR(34),CHAR(39))))</f>
        <v/>
      </c>
      <c r="M550" s="5" t="str">
        <f>IF(OR(TRIM($B550)="",$C550=""),"",IF(IFERROR(MATCH(TRIM($C550),{"Quantitative","Continuous","Discrete","Categorical","Nominal","Ordinal","Identifier"},0),0)=0,_xlfn.CONCAT("* REVIEW REQUIRED: invalid Variable Type on Sheet 1 row ",550,"."),_xlfn.CONCAT("char ",TRIM($B550),"[doc_vartype] ",CHAR(96),CHAR(34),SUBSTITUTE(SUBSTITUTE(SUBSTITUTE(SUBSTITUTE(SUBSTITUTE(SUBSTITUTE(LOWER(TRIM($C550)),CHAR(13)," "),CHAR(10)," "),CHAR(9)," "),CHAR(92),_xlfn.CONCAT(CHAR(92),CHAR(92))),"$",_xlfn.CONCAT(CHAR(92),"$")),CHAR(96),_xlfn.CONCAT(CHAR(92),CHAR(96))),CHAR(34),CHAR(39))))</f>
        <v/>
      </c>
      <c r="N550" s="5" t="str">
        <f>IF(OR(TRIM($B550)="",$D550=""),"",IF(OR(ISNUMBER(SEARCH(_xlfn.CONCAT(CHAR(96),CHAR(34)),$D550)),ISNUMBER(SEARCH(_xlfn.CONCAT(CHAR(34),CHAR(39)),$D550))),_xlfn.CONCAT("* REVIEW REQUIRED: compound-quote delimiter in Item Number on Sheet 1 row ",550,"; edit the input before running."),_xlfn.CONCAT("char ",TRIM($B550),"[doc_itemnum] ",CHAR(96),CHAR(34),SUBSTITUTE(SUBSTITUTE(SUBSTITUTE(SUBSTITUTE(SUBSTITUTE(SUBSTITUTE($D550,CHAR(13)," "),CHAR(10)," "),CHAR(9)," "),CHAR(92),_xlfn.CONCAT(CHAR(92),CHAR(92))),"$",_xlfn.CONCAT(CHAR(92),"$")),CHAR(96),_xlfn.CONCAT(CHAR(92),CHAR(96))),CHAR(34),CHAR(39))))</f>
        <v/>
      </c>
      <c r="O550" s="5" t="str">
        <f>IF(OR(TRIM($B550)="",$E550=""),"",IF(OR(ISNUMBER(SEARCH(_xlfn.CONCAT(CHAR(96),CHAR(34)),$E550)),ISNUMBER(SEARCH(_xlfn.CONCAT(CHAR(34),CHAR(39)),$E550))),_xlfn.CONCAT("* REVIEW REQUIRED: compound-quote delimiter in Question Wording on Sheet 1 row ",550,"; edit the input before running."),_xlfn.CONCAT("char ",TRIM($B550),"[doc_question] ",CHAR(96),CHAR(34),SUBSTITUTE(SUBSTITUTE(SUBSTITUTE(SUBSTITUTE(SUBSTITUTE(SUBSTITUTE($E550,CHAR(13)," "),CHAR(10)," "),CHAR(9)," "),CHAR(92),_xlfn.CONCAT(CHAR(92),CHAR(92))),"$",_xlfn.CONCAT(CHAR(92),"$")),CHAR(96),_xlfn.CONCAT(CHAR(92),CHAR(96))),CHAR(34),CHAR(39))))</f>
        <v/>
      </c>
      <c r="P550" s="5" t="str">
        <f>IF(OR(TRIM($B550)="",$F550=""),"",IF(OR(ISNUMBER(SEARCH(_xlfn.CONCAT(CHAR(96),CHAR(34)),$F550)),ISNUMBER(SEARCH(_xlfn.CONCAT(CHAR(34),CHAR(39)),$F550))),_xlfn.CONCAT("* REVIEW REQUIRED: compound-quote delimiter in Units on Sheet 1 row ",550,"; edit the input before running."),_xlfn.CONCAT("char ",TRIM($B550),"[doc_units] ",CHAR(96),CHAR(34),SUBSTITUTE(SUBSTITUTE(SUBSTITUTE(SUBSTITUTE(SUBSTITUTE(SUBSTITUTE($F550,CHAR(13)," "),CHAR(10)," "),CHAR(9)," "),CHAR(92),_xlfn.CONCAT(CHAR(92),CHAR(92))),"$",_xlfn.CONCAT(CHAR(92),"$")),CHAR(96),_xlfn.CONCAT(CHAR(92),CHAR(96))),CHAR(34),CHAR(39))))</f>
        <v/>
      </c>
      <c r="Q550" s="5" t="str">
        <f>IF(OR(TRIM($B550)="",$G550=""),"",IF(OR(ISNUMBER(SEARCH(_xlfn.CONCAT(CHAR(96),CHAR(34)),$G550)),ISNUMBER(SEARCH(_xlfn.CONCAT(CHAR(34),CHAR(39)),$G550))),_xlfn.CONCAT("* REVIEW REQUIRED: compound-quote delimiter in Universe on Sheet 1 row ",550,"; edit the input before running."),_xlfn.CONCAT("char ",TRIM($B550),"[doc_universe] ",CHAR(96),CHAR(34),SUBSTITUTE(SUBSTITUTE(SUBSTITUTE(SUBSTITUTE(SUBSTITUTE(SUBSTITUTE($G550,CHAR(13)," "),CHAR(10)," "),CHAR(9)," "),CHAR(92),_xlfn.CONCAT(CHAR(92),CHAR(92))),"$",_xlfn.CONCAT(CHAR(92),"$")),CHAR(96),_xlfn.CONCAT(CHAR(92),CHAR(96))),CHAR(34),CHAR(39))))</f>
        <v/>
      </c>
      <c r="R550" s="5" t="str">
        <f>IF(OR(TRIM($B550)="",$H550=""),"",IF(OR(ISNUMBER(SEARCH(_xlfn.CONCAT(CHAR(96),CHAR(34)),$H550)),ISNUMBER(SEARCH(_xlfn.CONCAT(CHAR(34),CHAR(39)),$H550))),_xlfn.CONCAT("* REVIEW REQUIRED: compound-quote delimiter in Source on Sheet 1 row ",550,"; edit the input before running."),_xlfn.CONCAT("char ",TRIM($B550),"[doc_source] ",CHAR(96),CHAR(34),SUBSTITUTE(SUBSTITUTE(SUBSTITUTE(SUBSTITUTE(SUBSTITUTE(SUBSTITUTE($H550,CHAR(13)," "),CHAR(10)," "),CHAR(9)," "),CHAR(92),_xlfn.CONCAT(CHAR(92),CHAR(92))),"$",_xlfn.CONCAT(CHAR(92),"$")),CHAR(96),_xlfn.CONCAT(CHAR(92),CHAR(96))),CHAR(34),CHAR(39))))</f>
        <v/>
      </c>
      <c r="S550" s="5" t="str">
        <f>IF(OR(TRIM($B550)="",$I550=""),"",IF(OR(ISNUMBER(SEARCH(_xlfn.CONCAT(CHAR(96),CHAR(34)),$I550)),ISNUMBER(SEARCH(_xlfn.CONCAT(CHAR(34),CHAR(39)),$I550))),_xlfn.CONCAT("* REVIEW REQUIRED: compound-quote delimiter in Derivation on Sheet 1 row ",550,"; edit the input before running."),_xlfn.CONCAT("char ",TRIM($B550),"[doc_derivation] ",CHAR(96),CHAR(34),SUBSTITUTE(SUBSTITUTE(SUBSTITUTE(SUBSTITUTE(SUBSTITUTE(SUBSTITUTE($I550,CHAR(13)," "),CHAR(10)," "),CHAR(9)," "),CHAR(92),_xlfn.CONCAT(CHAR(92),CHAR(92))),"$",_xlfn.CONCAT(CHAR(92),"$")),CHAR(96),_xlfn.CONCAT(CHAR(92),CHAR(96))),CHAR(34),CHAR(39))))</f>
        <v/>
      </c>
      <c r="T550" s="5" t="str">
        <f>IF(OR(TRIM($B550)="",$J550=""),"",IF(OR(ISNUMBER(SEARCH(_xlfn.CONCAT(CHAR(96),CHAR(34)),$J550)),ISNUMBER(SEARCH(_xlfn.CONCAT(CHAR(34),CHAR(39)),$J550))),_xlfn.CONCAT("* REVIEW REQUIRED: compound-quote delimiter in Notes on Sheet 1 row ",550,"; edit the input before running."),_xlfn.CONCAT("char ",TRIM($B550),"[doc_notes] ",CHAR(96),CHAR(34),SUBSTITUTE(SUBSTITUTE(SUBSTITUTE(SUBSTITUTE(SUBSTITUTE(SUBSTITUTE($J550,CHAR(13)," "),CHAR(10)," "),CHAR(9)," "),CHAR(92),_xlfn.CONCAT(CHAR(92),CHAR(92))),"$",_xlfn.CONCAT(CHAR(92),"$")),CHAR(96),_xlfn.CONCAT(CHAR(92),CHAR(96))),CHAR(34),CHAR(39))))</f>
        <v/>
      </c>
      <c r="U550" s="5">
        <f t="shared" si="17"/>
        <v>0</v>
      </c>
    </row>
    <row r="551" spans="3:21" ht="30" customHeight="1" x14ac:dyDescent="0.2">
      <c r="C551" s="4"/>
      <c r="K551" s="5">
        <f t="shared" si="16"/>
        <v>0</v>
      </c>
      <c r="L551" s="5" t="str">
        <f>IF(OR(TRIM($B551)="",$A551=""),"",IF(OR(ISNUMBER(SEARCH(_xlfn.CONCAT(CHAR(96),CHAR(34)),$A551)),ISNUMBER(SEARCH(_xlfn.CONCAT(CHAR(34),CHAR(39)),$A551))),_xlfn.CONCAT("* REVIEW REQUIRED: compound-quote delimiter in Codebook Section on Sheet 1 row ",551,"; edit the input before running."),_xlfn.CONCAT("char ",TRIM($B551),"[doc_section] ",CHAR(96),CHAR(34),SUBSTITUTE(SUBSTITUTE(SUBSTITUTE(SUBSTITUTE(SUBSTITUTE(SUBSTITUTE($A551,CHAR(13)," "),CHAR(10)," "),CHAR(9)," "),CHAR(92),_xlfn.CONCAT(CHAR(92),CHAR(92))),"$",_xlfn.CONCAT(CHAR(92),"$")),CHAR(96),_xlfn.CONCAT(CHAR(92),CHAR(96))),CHAR(34),CHAR(39))))</f>
        <v/>
      </c>
      <c r="M551" s="5" t="str">
        <f>IF(OR(TRIM($B551)="",$C551=""),"",IF(IFERROR(MATCH(TRIM($C551),{"Quantitative","Continuous","Discrete","Categorical","Nominal","Ordinal","Identifier"},0),0)=0,_xlfn.CONCAT("* REVIEW REQUIRED: invalid Variable Type on Sheet 1 row ",551,"."),_xlfn.CONCAT("char ",TRIM($B551),"[doc_vartype] ",CHAR(96),CHAR(34),SUBSTITUTE(SUBSTITUTE(SUBSTITUTE(SUBSTITUTE(SUBSTITUTE(SUBSTITUTE(LOWER(TRIM($C551)),CHAR(13)," "),CHAR(10)," "),CHAR(9)," "),CHAR(92),_xlfn.CONCAT(CHAR(92),CHAR(92))),"$",_xlfn.CONCAT(CHAR(92),"$")),CHAR(96),_xlfn.CONCAT(CHAR(92),CHAR(96))),CHAR(34),CHAR(39))))</f>
        <v/>
      </c>
      <c r="N551" s="5" t="str">
        <f>IF(OR(TRIM($B551)="",$D551=""),"",IF(OR(ISNUMBER(SEARCH(_xlfn.CONCAT(CHAR(96),CHAR(34)),$D551)),ISNUMBER(SEARCH(_xlfn.CONCAT(CHAR(34),CHAR(39)),$D551))),_xlfn.CONCAT("* REVIEW REQUIRED: compound-quote delimiter in Item Number on Sheet 1 row ",551,"; edit the input before running."),_xlfn.CONCAT("char ",TRIM($B551),"[doc_itemnum] ",CHAR(96),CHAR(34),SUBSTITUTE(SUBSTITUTE(SUBSTITUTE(SUBSTITUTE(SUBSTITUTE(SUBSTITUTE($D551,CHAR(13)," "),CHAR(10)," "),CHAR(9)," "),CHAR(92),_xlfn.CONCAT(CHAR(92),CHAR(92))),"$",_xlfn.CONCAT(CHAR(92),"$")),CHAR(96),_xlfn.CONCAT(CHAR(92),CHAR(96))),CHAR(34),CHAR(39))))</f>
        <v/>
      </c>
      <c r="O551" s="5" t="str">
        <f>IF(OR(TRIM($B551)="",$E551=""),"",IF(OR(ISNUMBER(SEARCH(_xlfn.CONCAT(CHAR(96),CHAR(34)),$E551)),ISNUMBER(SEARCH(_xlfn.CONCAT(CHAR(34),CHAR(39)),$E551))),_xlfn.CONCAT("* REVIEW REQUIRED: compound-quote delimiter in Question Wording on Sheet 1 row ",551,"; edit the input before running."),_xlfn.CONCAT("char ",TRIM($B551),"[doc_question] ",CHAR(96),CHAR(34),SUBSTITUTE(SUBSTITUTE(SUBSTITUTE(SUBSTITUTE(SUBSTITUTE(SUBSTITUTE($E551,CHAR(13)," "),CHAR(10)," "),CHAR(9)," "),CHAR(92),_xlfn.CONCAT(CHAR(92),CHAR(92))),"$",_xlfn.CONCAT(CHAR(92),"$")),CHAR(96),_xlfn.CONCAT(CHAR(92),CHAR(96))),CHAR(34),CHAR(39))))</f>
        <v/>
      </c>
      <c r="P551" s="5" t="str">
        <f>IF(OR(TRIM($B551)="",$F551=""),"",IF(OR(ISNUMBER(SEARCH(_xlfn.CONCAT(CHAR(96),CHAR(34)),$F551)),ISNUMBER(SEARCH(_xlfn.CONCAT(CHAR(34),CHAR(39)),$F551))),_xlfn.CONCAT("* REVIEW REQUIRED: compound-quote delimiter in Units on Sheet 1 row ",551,"; edit the input before running."),_xlfn.CONCAT("char ",TRIM($B551),"[doc_units] ",CHAR(96),CHAR(34),SUBSTITUTE(SUBSTITUTE(SUBSTITUTE(SUBSTITUTE(SUBSTITUTE(SUBSTITUTE($F551,CHAR(13)," "),CHAR(10)," "),CHAR(9)," "),CHAR(92),_xlfn.CONCAT(CHAR(92),CHAR(92))),"$",_xlfn.CONCAT(CHAR(92),"$")),CHAR(96),_xlfn.CONCAT(CHAR(92),CHAR(96))),CHAR(34),CHAR(39))))</f>
        <v/>
      </c>
      <c r="Q551" s="5" t="str">
        <f>IF(OR(TRIM($B551)="",$G551=""),"",IF(OR(ISNUMBER(SEARCH(_xlfn.CONCAT(CHAR(96),CHAR(34)),$G551)),ISNUMBER(SEARCH(_xlfn.CONCAT(CHAR(34),CHAR(39)),$G551))),_xlfn.CONCAT("* REVIEW REQUIRED: compound-quote delimiter in Universe on Sheet 1 row ",551,"; edit the input before running."),_xlfn.CONCAT("char ",TRIM($B551),"[doc_universe] ",CHAR(96),CHAR(34),SUBSTITUTE(SUBSTITUTE(SUBSTITUTE(SUBSTITUTE(SUBSTITUTE(SUBSTITUTE($G551,CHAR(13)," "),CHAR(10)," "),CHAR(9)," "),CHAR(92),_xlfn.CONCAT(CHAR(92),CHAR(92))),"$",_xlfn.CONCAT(CHAR(92),"$")),CHAR(96),_xlfn.CONCAT(CHAR(92),CHAR(96))),CHAR(34),CHAR(39))))</f>
        <v/>
      </c>
      <c r="R551" s="5" t="str">
        <f>IF(OR(TRIM($B551)="",$H551=""),"",IF(OR(ISNUMBER(SEARCH(_xlfn.CONCAT(CHAR(96),CHAR(34)),$H551)),ISNUMBER(SEARCH(_xlfn.CONCAT(CHAR(34),CHAR(39)),$H551))),_xlfn.CONCAT("* REVIEW REQUIRED: compound-quote delimiter in Source on Sheet 1 row ",551,"; edit the input before running."),_xlfn.CONCAT("char ",TRIM($B551),"[doc_source] ",CHAR(96),CHAR(34),SUBSTITUTE(SUBSTITUTE(SUBSTITUTE(SUBSTITUTE(SUBSTITUTE(SUBSTITUTE($H551,CHAR(13)," "),CHAR(10)," "),CHAR(9)," "),CHAR(92),_xlfn.CONCAT(CHAR(92),CHAR(92))),"$",_xlfn.CONCAT(CHAR(92),"$")),CHAR(96),_xlfn.CONCAT(CHAR(92),CHAR(96))),CHAR(34),CHAR(39))))</f>
        <v/>
      </c>
      <c r="S551" s="5" t="str">
        <f>IF(OR(TRIM($B551)="",$I551=""),"",IF(OR(ISNUMBER(SEARCH(_xlfn.CONCAT(CHAR(96),CHAR(34)),$I551)),ISNUMBER(SEARCH(_xlfn.CONCAT(CHAR(34),CHAR(39)),$I551))),_xlfn.CONCAT("* REVIEW REQUIRED: compound-quote delimiter in Derivation on Sheet 1 row ",551,"; edit the input before running."),_xlfn.CONCAT("char ",TRIM($B551),"[doc_derivation] ",CHAR(96),CHAR(34),SUBSTITUTE(SUBSTITUTE(SUBSTITUTE(SUBSTITUTE(SUBSTITUTE(SUBSTITUTE($I551,CHAR(13)," "),CHAR(10)," "),CHAR(9)," "),CHAR(92),_xlfn.CONCAT(CHAR(92),CHAR(92))),"$",_xlfn.CONCAT(CHAR(92),"$")),CHAR(96),_xlfn.CONCAT(CHAR(92),CHAR(96))),CHAR(34),CHAR(39))))</f>
        <v/>
      </c>
      <c r="T551" s="5" t="str">
        <f>IF(OR(TRIM($B551)="",$J551=""),"",IF(OR(ISNUMBER(SEARCH(_xlfn.CONCAT(CHAR(96),CHAR(34)),$J551)),ISNUMBER(SEARCH(_xlfn.CONCAT(CHAR(34),CHAR(39)),$J551))),_xlfn.CONCAT("* REVIEW REQUIRED: compound-quote delimiter in Notes on Sheet 1 row ",551,"; edit the input before running."),_xlfn.CONCAT("char ",TRIM($B551),"[doc_notes] ",CHAR(96),CHAR(34),SUBSTITUTE(SUBSTITUTE(SUBSTITUTE(SUBSTITUTE(SUBSTITUTE(SUBSTITUTE($J551,CHAR(13)," "),CHAR(10)," "),CHAR(9)," "),CHAR(92),_xlfn.CONCAT(CHAR(92),CHAR(92))),"$",_xlfn.CONCAT(CHAR(92),"$")),CHAR(96),_xlfn.CONCAT(CHAR(92),CHAR(96))),CHAR(34),CHAR(39))))</f>
        <v/>
      </c>
      <c r="U551" s="5">
        <f t="shared" si="17"/>
        <v>0</v>
      </c>
    </row>
    <row r="552" spans="3:21" ht="30" customHeight="1" x14ac:dyDescent="0.2">
      <c r="C552" s="4"/>
      <c r="K552" s="5">
        <f t="shared" si="16"/>
        <v>0</v>
      </c>
      <c r="L552" s="5" t="str">
        <f>IF(OR(TRIM($B552)="",$A552=""),"",IF(OR(ISNUMBER(SEARCH(_xlfn.CONCAT(CHAR(96),CHAR(34)),$A552)),ISNUMBER(SEARCH(_xlfn.CONCAT(CHAR(34),CHAR(39)),$A552))),_xlfn.CONCAT("* REVIEW REQUIRED: compound-quote delimiter in Codebook Section on Sheet 1 row ",552,"; edit the input before running."),_xlfn.CONCAT("char ",TRIM($B552),"[doc_section] ",CHAR(96),CHAR(34),SUBSTITUTE(SUBSTITUTE(SUBSTITUTE(SUBSTITUTE(SUBSTITUTE(SUBSTITUTE($A552,CHAR(13)," "),CHAR(10)," "),CHAR(9)," "),CHAR(92),_xlfn.CONCAT(CHAR(92),CHAR(92))),"$",_xlfn.CONCAT(CHAR(92),"$")),CHAR(96),_xlfn.CONCAT(CHAR(92),CHAR(96))),CHAR(34),CHAR(39))))</f>
        <v/>
      </c>
      <c r="M552" s="5" t="str">
        <f>IF(OR(TRIM($B552)="",$C552=""),"",IF(IFERROR(MATCH(TRIM($C552),{"Quantitative","Continuous","Discrete","Categorical","Nominal","Ordinal","Identifier"},0),0)=0,_xlfn.CONCAT("* REVIEW REQUIRED: invalid Variable Type on Sheet 1 row ",552,"."),_xlfn.CONCAT("char ",TRIM($B552),"[doc_vartype] ",CHAR(96),CHAR(34),SUBSTITUTE(SUBSTITUTE(SUBSTITUTE(SUBSTITUTE(SUBSTITUTE(SUBSTITUTE(LOWER(TRIM($C552)),CHAR(13)," "),CHAR(10)," "),CHAR(9)," "),CHAR(92),_xlfn.CONCAT(CHAR(92),CHAR(92))),"$",_xlfn.CONCAT(CHAR(92),"$")),CHAR(96),_xlfn.CONCAT(CHAR(92),CHAR(96))),CHAR(34),CHAR(39))))</f>
        <v/>
      </c>
      <c r="N552" s="5" t="str">
        <f>IF(OR(TRIM($B552)="",$D552=""),"",IF(OR(ISNUMBER(SEARCH(_xlfn.CONCAT(CHAR(96),CHAR(34)),$D552)),ISNUMBER(SEARCH(_xlfn.CONCAT(CHAR(34),CHAR(39)),$D552))),_xlfn.CONCAT("* REVIEW REQUIRED: compound-quote delimiter in Item Number on Sheet 1 row ",552,"; edit the input before running."),_xlfn.CONCAT("char ",TRIM($B552),"[doc_itemnum] ",CHAR(96),CHAR(34),SUBSTITUTE(SUBSTITUTE(SUBSTITUTE(SUBSTITUTE(SUBSTITUTE(SUBSTITUTE($D552,CHAR(13)," "),CHAR(10)," "),CHAR(9)," "),CHAR(92),_xlfn.CONCAT(CHAR(92),CHAR(92))),"$",_xlfn.CONCAT(CHAR(92),"$")),CHAR(96),_xlfn.CONCAT(CHAR(92),CHAR(96))),CHAR(34),CHAR(39))))</f>
        <v/>
      </c>
      <c r="O552" s="5" t="str">
        <f>IF(OR(TRIM($B552)="",$E552=""),"",IF(OR(ISNUMBER(SEARCH(_xlfn.CONCAT(CHAR(96),CHAR(34)),$E552)),ISNUMBER(SEARCH(_xlfn.CONCAT(CHAR(34),CHAR(39)),$E552))),_xlfn.CONCAT("* REVIEW REQUIRED: compound-quote delimiter in Question Wording on Sheet 1 row ",552,"; edit the input before running."),_xlfn.CONCAT("char ",TRIM($B552),"[doc_question] ",CHAR(96),CHAR(34),SUBSTITUTE(SUBSTITUTE(SUBSTITUTE(SUBSTITUTE(SUBSTITUTE(SUBSTITUTE($E552,CHAR(13)," "),CHAR(10)," "),CHAR(9)," "),CHAR(92),_xlfn.CONCAT(CHAR(92),CHAR(92))),"$",_xlfn.CONCAT(CHAR(92),"$")),CHAR(96),_xlfn.CONCAT(CHAR(92),CHAR(96))),CHAR(34),CHAR(39))))</f>
        <v/>
      </c>
      <c r="P552" s="5" t="str">
        <f>IF(OR(TRIM($B552)="",$F552=""),"",IF(OR(ISNUMBER(SEARCH(_xlfn.CONCAT(CHAR(96),CHAR(34)),$F552)),ISNUMBER(SEARCH(_xlfn.CONCAT(CHAR(34),CHAR(39)),$F552))),_xlfn.CONCAT("* REVIEW REQUIRED: compound-quote delimiter in Units on Sheet 1 row ",552,"; edit the input before running."),_xlfn.CONCAT("char ",TRIM($B552),"[doc_units] ",CHAR(96),CHAR(34),SUBSTITUTE(SUBSTITUTE(SUBSTITUTE(SUBSTITUTE(SUBSTITUTE(SUBSTITUTE($F552,CHAR(13)," "),CHAR(10)," "),CHAR(9)," "),CHAR(92),_xlfn.CONCAT(CHAR(92),CHAR(92))),"$",_xlfn.CONCAT(CHAR(92),"$")),CHAR(96),_xlfn.CONCAT(CHAR(92),CHAR(96))),CHAR(34),CHAR(39))))</f>
        <v/>
      </c>
      <c r="Q552" s="5" t="str">
        <f>IF(OR(TRIM($B552)="",$G552=""),"",IF(OR(ISNUMBER(SEARCH(_xlfn.CONCAT(CHAR(96),CHAR(34)),$G552)),ISNUMBER(SEARCH(_xlfn.CONCAT(CHAR(34),CHAR(39)),$G552))),_xlfn.CONCAT("* REVIEW REQUIRED: compound-quote delimiter in Universe on Sheet 1 row ",552,"; edit the input before running."),_xlfn.CONCAT("char ",TRIM($B552),"[doc_universe] ",CHAR(96),CHAR(34),SUBSTITUTE(SUBSTITUTE(SUBSTITUTE(SUBSTITUTE(SUBSTITUTE(SUBSTITUTE($G552,CHAR(13)," "),CHAR(10)," "),CHAR(9)," "),CHAR(92),_xlfn.CONCAT(CHAR(92),CHAR(92))),"$",_xlfn.CONCAT(CHAR(92),"$")),CHAR(96),_xlfn.CONCAT(CHAR(92),CHAR(96))),CHAR(34),CHAR(39))))</f>
        <v/>
      </c>
      <c r="R552" s="5" t="str">
        <f>IF(OR(TRIM($B552)="",$H552=""),"",IF(OR(ISNUMBER(SEARCH(_xlfn.CONCAT(CHAR(96),CHAR(34)),$H552)),ISNUMBER(SEARCH(_xlfn.CONCAT(CHAR(34),CHAR(39)),$H552))),_xlfn.CONCAT("* REVIEW REQUIRED: compound-quote delimiter in Source on Sheet 1 row ",552,"; edit the input before running."),_xlfn.CONCAT("char ",TRIM($B552),"[doc_source] ",CHAR(96),CHAR(34),SUBSTITUTE(SUBSTITUTE(SUBSTITUTE(SUBSTITUTE(SUBSTITUTE(SUBSTITUTE($H552,CHAR(13)," "),CHAR(10)," "),CHAR(9)," "),CHAR(92),_xlfn.CONCAT(CHAR(92),CHAR(92))),"$",_xlfn.CONCAT(CHAR(92),"$")),CHAR(96),_xlfn.CONCAT(CHAR(92),CHAR(96))),CHAR(34),CHAR(39))))</f>
        <v/>
      </c>
      <c r="S552" s="5" t="str">
        <f>IF(OR(TRIM($B552)="",$I552=""),"",IF(OR(ISNUMBER(SEARCH(_xlfn.CONCAT(CHAR(96),CHAR(34)),$I552)),ISNUMBER(SEARCH(_xlfn.CONCAT(CHAR(34),CHAR(39)),$I552))),_xlfn.CONCAT("* REVIEW REQUIRED: compound-quote delimiter in Derivation on Sheet 1 row ",552,"; edit the input before running."),_xlfn.CONCAT("char ",TRIM($B552),"[doc_derivation] ",CHAR(96),CHAR(34),SUBSTITUTE(SUBSTITUTE(SUBSTITUTE(SUBSTITUTE(SUBSTITUTE(SUBSTITUTE($I552,CHAR(13)," "),CHAR(10)," "),CHAR(9)," "),CHAR(92),_xlfn.CONCAT(CHAR(92),CHAR(92))),"$",_xlfn.CONCAT(CHAR(92),"$")),CHAR(96),_xlfn.CONCAT(CHAR(92),CHAR(96))),CHAR(34),CHAR(39))))</f>
        <v/>
      </c>
      <c r="T552" s="5" t="str">
        <f>IF(OR(TRIM($B552)="",$J552=""),"",IF(OR(ISNUMBER(SEARCH(_xlfn.CONCAT(CHAR(96),CHAR(34)),$J552)),ISNUMBER(SEARCH(_xlfn.CONCAT(CHAR(34),CHAR(39)),$J552))),_xlfn.CONCAT("* REVIEW REQUIRED: compound-quote delimiter in Notes on Sheet 1 row ",552,"; edit the input before running."),_xlfn.CONCAT("char ",TRIM($B552),"[doc_notes] ",CHAR(96),CHAR(34),SUBSTITUTE(SUBSTITUTE(SUBSTITUTE(SUBSTITUTE(SUBSTITUTE(SUBSTITUTE($J552,CHAR(13)," "),CHAR(10)," "),CHAR(9)," "),CHAR(92),_xlfn.CONCAT(CHAR(92),CHAR(92))),"$",_xlfn.CONCAT(CHAR(92),"$")),CHAR(96),_xlfn.CONCAT(CHAR(92),CHAR(96))),CHAR(34),CHAR(39))))</f>
        <v/>
      </c>
      <c r="U552" s="5">
        <f t="shared" si="17"/>
        <v>0</v>
      </c>
    </row>
    <row r="553" spans="3:21" ht="30" customHeight="1" x14ac:dyDescent="0.2">
      <c r="C553" s="4"/>
      <c r="K553" s="5">
        <f t="shared" si="16"/>
        <v>0</v>
      </c>
      <c r="L553" s="5" t="str">
        <f>IF(OR(TRIM($B553)="",$A553=""),"",IF(OR(ISNUMBER(SEARCH(_xlfn.CONCAT(CHAR(96),CHAR(34)),$A553)),ISNUMBER(SEARCH(_xlfn.CONCAT(CHAR(34),CHAR(39)),$A553))),_xlfn.CONCAT("* REVIEW REQUIRED: compound-quote delimiter in Codebook Section on Sheet 1 row ",553,"; edit the input before running."),_xlfn.CONCAT("char ",TRIM($B553),"[doc_section] ",CHAR(96),CHAR(34),SUBSTITUTE(SUBSTITUTE(SUBSTITUTE(SUBSTITUTE(SUBSTITUTE(SUBSTITUTE($A553,CHAR(13)," "),CHAR(10)," "),CHAR(9)," "),CHAR(92),_xlfn.CONCAT(CHAR(92),CHAR(92))),"$",_xlfn.CONCAT(CHAR(92),"$")),CHAR(96),_xlfn.CONCAT(CHAR(92),CHAR(96))),CHAR(34),CHAR(39))))</f>
        <v/>
      </c>
      <c r="M553" s="5" t="str">
        <f>IF(OR(TRIM($B553)="",$C553=""),"",IF(IFERROR(MATCH(TRIM($C553),{"Quantitative","Continuous","Discrete","Categorical","Nominal","Ordinal","Identifier"},0),0)=0,_xlfn.CONCAT("* REVIEW REQUIRED: invalid Variable Type on Sheet 1 row ",553,"."),_xlfn.CONCAT("char ",TRIM($B553),"[doc_vartype] ",CHAR(96),CHAR(34),SUBSTITUTE(SUBSTITUTE(SUBSTITUTE(SUBSTITUTE(SUBSTITUTE(SUBSTITUTE(LOWER(TRIM($C553)),CHAR(13)," "),CHAR(10)," "),CHAR(9)," "),CHAR(92),_xlfn.CONCAT(CHAR(92),CHAR(92))),"$",_xlfn.CONCAT(CHAR(92),"$")),CHAR(96),_xlfn.CONCAT(CHAR(92),CHAR(96))),CHAR(34),CHAR(39))))</f>
        <v/>
      </c>
      <c r="N553" s="5" t="str">
        <f>IF(OR(TRIM($B553)="",$D553=""),"",IF(OR(ISNUMBER(SEARCH(_xlfn.CONCAT(CHAR(96),CHAR(34)),$D553)),ISNUMBER(SEARCH(_xlfn.CONCAT(CHAR(34),CHAR(39)),$D553))),_xlfn.CONCAT("* REVIEW REQUIRED: compound-quote delimiter in Item Number on Sheet 1 row ",553,"; edit the input before running."),_xlfn.CONCAT("char ",TRIM($B553),"[doc_itemnum] ",CHAR(96),CHAR(34),SUBSTITUTE(SUBSTITUTE(SUBSTITUTE(SUBSTITUTE(SUBSTITUTE(SUBSTITUTE($D553,CHAR(13)," "),CHAR(10)," "),CHAR(9)," "),CHAR(92),_xlfn.CONCAT(CHAR(92),CHAR(92))),"$",_xlfn.CONCAT(CHAR(92),"$")),CHAR(96),_xlfn.CONCAT(CHAR(92),CHAR(96))),CHAR(34),CHAR(39))))</f>
        <v/>
      </c>
      <c r="O553" s="5" t="str">
        <f>IF(OR(TRIM($B553)="",$E553=""),"",IF(OR(ISNUMBER(SEARCH(_xlfn.CONCAT(CHAR(96),CHAR(34)),$E553)),ISNUMBER(SEARCH(_xlfn.CONCAT(CHAR(34),CHAR(39)),$E553))),_xlfn.CONCAT("* REVIEW REQUIRED: compound-quote delimiter in Question Wording on Sheet 1 row ",553,"; edit the input before running."),_xlfn.CONCAT("char ",TRIM($B553),"[doc_question] ",CHAR(96),CHAR(34),SUBSTITUTE(SUBSTITUTE(SUBSTITUTE(SUBSTITUTE(SUBSTITUTE(SUBSTITUTE($E553,CHAR(13)," "),CHAR(10)," "),CHAR(9)," "),CHAR(92),_xlfn.CONCAT(CHAR(92),CHAR(92))),"$",_xlfn.CONCAT(CHAR(92),"$")),CHAR(96),_xlfn.CONCAT(CHAR(92),CHAR(96))),CHAR(34),CHAR(39))))</f>
        <v/>
      </c>
      <c r="P553" s="5" t="str">
        <f>IF(OR(TRIM($B553)="",$F553=""),"",IF(OR(ISNUMBER(SEARCH(_xlfn.CONCAT(CHAR(96),CHAR(34)),$F553)),ISNUMBER(SEARCH(_xlfn.CONCAT(CHAR(34),CHAR(39)),$F553))),_xlfn.CONCAT("* REVIEW REQUIRED: compound-quote delimiter in Units on Sheet 1 row ",553,"; edit the input before running."),_xlfn.CONCAT("char ",TRIM($B553),"[doc_units] ",CHAR(96),CHAR(34),SUBSTITUTE(SUBSTITUTE(SUBSTITUTE(SUBSTITUTE(SUBSTITUTE(SUBSTITUTE($F553,CHAR(13)," "),CHAR(10)," "),CHAR(9)," "),CHAR(92),_xlfn.CONCAT(CHAR(92),CHAR(92))),"$",_xlfn.CONCAT(CHAR(92),"$")),CHAR(96),_xlfn.CONCAT(CHAR(92),CHAR(96))),CHAR(34),CHAR(39))))</f>
        <v/>
      </c>
      <c r="Q553" s="5" t="str">
        <f>IF(OR(TRIM($B553)="",$G553=""),"",IF(OR(ISNUMBER(SEARCH(_xlfn.CONCAT(CHAR(96),CHAR(34)),$G553)),ISNUMBER(SEARCH(_xlfn.CONCAT(CHAR(34),CHAR(39)),$G553))),_xlfn.CONCAT("* REVIEW REQUIRED: compound-quote delimiter in Universe on Sheet 1 row ",553,"; edit the input before running."),_xlfn.CONCAT("char ",TRIM($B553),"[doc_universe] ",CHAR(96),CHAR(34),SUBSTITUTE(SUBSTITUTE(SUBSTITUTE(SUBSTITUTE(SUBSTITUTE(SUBSTITUTE($G553,CHAR(13)," "),CHAR(10)," "),CHAR(9)," "),CHAR(92),_xlfn.CONCAT(CHAR(92),CHAR(92))),"$",_xlfn.CONCAT(CHAR(92),"$")),CHAR(96),_xlfn.CONCAT(CHAR(92),CHAR(96))),CHAR(34),CHAR(39))))</f>
        <v/>
      </c>
      <c r="R553" s="5" t="str">
        <f>IF(OR(TRIM($B553)="",$H553=""),"",IF(OR(ISNUMBER(SEARCH(_xlfn.CONCAT(CHAR(96),CHAR(34)),$H553)),ISNUMBER(SEARCH(_xlfn.CONCAT(CHAR(34),CHAR(39)),$H553))),_xlfn.CONCAT("* REVIEW REQUIRED: compound-quote delimiter in Source on Sheet 1 row ",553,"; edit the input before running."),_xlfn.CONCAT("char ",TRIM($B553),"[doc_source] ",CHAR(96),CHAR(34),SUBSTITUTE(SUBSTITUTE(SUBSTITUTE(SUBSTITUTE(SUBSTITUTE(SUBSTITUTE($H553,CHAR(13)," "),CHAR(10)," "),CHAR(9)," "),CHAR(92),_xlfn.CONCAT(CHAR(92),CHAR(92))),"$",_xlfn.CONCAT(CHAR(92),"$")),CHAR(96),_xlfn.CONCAT(CHAR(92),CHAR(96))),CHAR(34),CHAR(39))))</f>
        <v/>
      </c>
      <c r="S553" s="5" t="str">
        <f>IF(OR(TRIM($B553)="",$I553=""),"",IF(OR(ISNUMBER(SEARCH(_xlfn.CONCAT(CHAR(96),CHAR(34)),$I553)),ISNUMBER(SEARCH(_xlfn.CONCAT(CHAR(34),CHAR(39)),$I553))),_xlfn.CONCAT("* REVIEW REQUIRED: compound-quote delimiter in Derivation on Sheet 1 row ",553,"; edit the input before running."),_xlfn.CONCAT("char ",TRIM($B553),"[doc_derivation] ",CHAR(96),CHAR(34),SUBSTITUTE(SUBSTITUTE(SUBSTITUTE(SUBSTITUTE(SUBSTITUTE(SUBSTITUTE($I553,CHAR(13)," "),CHAR(10)," "),CHAR(9)," "),CHAR(92),_xlfn.CONCAT(CHAR(92),CHAR(92))),"$",_xlfn.CONCAT(CHAR(92),"$")),CHAR(96),_xlfn.CONCAT(CHAR(92),CHAR(96))),CHAR(34),CHAR(39))))</f>
        <v/>
      </c>
      <c r="T553" s="5" t="str">
        <f>IF(OR(TRIM($B553)="",$J553=""),"",IF(OR(ISNUMBER(SEARCH(_xlfn.CONCAT(CHAR(96),CHAR(34)),$J553)),ISNUMBER(SEARCH(_xlfn.CONCAT(CHAR(34),CHAR(39)),$J553))),_xlfn.CONCAT("* REVIEW REQUIRED: compound-quote delimiter in Notes on Sheet 1 row ",553,"; edit the input before running."),_xlfn.CONCAT("char ",TRIM($B553),"[doc_notes] ",CHAR(96),CHAR(34),SUBSTITUTE(SUBSTITUTE(SUBSTITUTE(SUBSTITUTE(SUBSTITUTE(SUBSTITUTE($J553,CHAR(13)," "),CHAR(10)," "),CHAR(9)," "),CHAR(92),_xlfn.CONCAT(CHAR(92),CHAR(92))),"$",_xlfn.CONCAT(CHAR(92),"$")),CHAR(96),_xlfn.CONCAT(CHAR(92),CHAR(96))),CHAR(34),CHAR(39))))</f>
        <v/>
      </c>
      <c r="U553" s="5">
        <f t="shared" si="17"/>
        <v>0</v>
      </c>
    </row>
    <row r="554" spans="3:21" ht="30" customHeight="1" x14ac:dyDescent="0.2">
      <c r="C554" s="4"/>
      <c r="K554" s="5">
        <f t="shared" si="16"/>
        <v>0</v>
      </c>
      <c r="L554" s="5" t="str">
        <f>IF(OR(TRIM($B554)="",$A554=""),"",IF(OR(ISNUMBER(SEARCH(_xlfn.CONCAT(CHAR(96),CHAR(34)),$A554)),ISNUMBER(SEARCH(_xlfn.CONCAT(CHAR(34),CHAR(39)),$A554))),_xlfn.CONCAT("* REVIEW REQUIRED: compound-quote delimiter in Codebook Section on Sheet 1 row ",554,"; edit the input before running."),_xlfn.CONCAT("char ",TRIM($B554),"[doc_section] ",CHAR(96),CHAR(34),SUBSTITUTE(SUBSTITUTE(SUBSTITUTE(SUBSTITUTE(SUBSTITUTE(SUBSTITUTE($A554,CHAR(13)," "),CHAR(10)," "),CHAR(9)," "),CHAR(92),_xlfn.CONCAT(CHAR(92),CHAR(92))),"$",_xlfn.CONCAT(CHAR(92),"$")),CHAR(96),_xlfn.CONCAT(CHAR(92),CHAR(96))),CHAR(34),CHAR(39))))</f>
        <v/>
      </c>
      <c r="M554" s="5" t="str">
        <f>IF(OR(TRIM($B554)="",$C554=""),"",IF(IFERROR(MATCH(TRIM($C554),{"Quantitative","Continuous","Discrete","Categorical","Nominal","Ordinal","Identifier"},0),0)=0,_xlfn.CONCAT("* REVIEW REQUIRED: invalid Variable Type on Sheet 1 row ",554,"."),_xlfn.CONCAT("char ",TRIM($B554),"[doc_vartype] ",CHAR(96),CHAR(34),SUBSTITUTE(SUBSTITUTE(SUBSTITUTE(SUBSTITUTE(SUBSTITUTE(SUBSTITUTE(LOWER(TRIM($C554)),CHAR(13)," "),CHAR(10)," "),CHAR(9)," "),CHAR(92),_xlfn.CONCAT(CHAR(92),CHAR(92))),"$",_xlfn.CONCAT(CHAR(92),"$")),CHAR(96),_xlfn.CONCAT(CHAR(92),CHAR(96))),CHAR(34),CHAR(39))))</f>
        <v/>
      </c>
      <c r="N554" s="5" t="str">
        <f>IF(OR(TRIM($B554)="",$D554=""),"",IF(OR(ISNUMBER(SEARCH(_xlfn.CONCAT(CHAR(96),CHAR(34)),$D554)),ISNUMBER(SEARCH(_xlfn.CONCAT(CHAR(34),CHAR(39)),$D554))),_xlfn.CONCAT("* REVIEW REQUIRED: compound-quote delimiter in Item Number on Sheet 1 row ",554,"; edit the input before running."),_xlfn.CONCAT("char ",TRIM($B554),"[doc_itemnum] ",CHAR(96),CHAR(34),SUBSTITUTE(SUBSTITUTE(SUBSTITUTE(SUBSTITUTE(SUBSTITUTE(SUBSTITUTE($D554,CHAR(13)," "),CHAR(10)," "),CHAR(9)," "),CHAR(92),_xlfn.CONCAT(CHAR(92),CHAR(92))),"$",_xlfn.CONCAT(CHAR(92),"$")),CHAR(96),_xlfn.CONCAT(CHAR(92),CHAR(96))),CHAR(34),CHAR(39))))</f>
        <v/>
      </c>
      <c r="O554" s="5" t="str">
        <f>IF(OR(TRIM($B554)="",$E554=""),"",IF(OR(ISNUMBER(SEARCH(_xlfn.CONCAT(CHAR(96),CHAR(34)),$E554)),ISNUMBER(SEARCH(_xlfn.CONCAT(CHAR(34),CHAR(39)),$E554))),_xlfn.CONCAT("* REVIEW REQUIRED: compound-quote delimiter in Question Wording on Sheet 1 row ",554,"; edit the input before running."),_xlfn.CONCAT("char ",TRIM($B554),"[doc_question] ",CHAR(96),CHAR(34),SUBSTITUTE(SUBSTITUTE(SUBSTITUTE(SUBSTITUTE(SUBSTITUTE(SUBSTITUTE($E554,CHAR(13)," "),CHAR(10)," "),CHAR(9)," "),CHAR(92),_xlfn.CONCAT(CHAR(92),CHAR(92))),"$",_xlfn.CONCAT(CHAR(92),"$")),CHAR(96),_xlfn.CONCAT(CHAR(92),CHAR(96))),CHAR(34),CHAR(39))))</f>
        <v/>
      </c>
      <c r="P554" s="5" t="str">
        <f>IF(OR(TRIM($B554)="",$F554=""),"",IF(OR(ISNUMBER(SEARCH(_xlfn.CONCAT(CHAR(96),CHAR(34)),$F554)),ISNUMBER(SEARCH(_xlfn.CONCAT(CHAR(34),CHAR(39)),$F554))),_xlfn.CONCAT("* REVIEW REQUIRED: compound-quote delimiter in Units on Sheet 1 row ",554,"; edit the input before running."),_xlfn.CONCAT("char ",TRIM($B554),"[doc_units] ",CHAR(96),CHAR(34),SUBSTITUTE(SUBSTITUTE(SUBSTITUTE(SUBSTITUTE(SUBSTITUTE(SUBSTITUTE($F554,CHAR(13)," "),CHAR(10)," "),CHAR(9)," "),CHAR(92),_xlfn.CONCAT(CHAR(92),CHAR(92))),"$",_xlfn.CONCAT(CHAR(92),"$")),CHAR(96),_xlfn.CONCAT(CHAR(92),CHAR(96))),CHAR(34),CHAR(39))))</f>
        <v/>
      </c>
      <c r="Q554" s="5" t="str">
        <f>IF(OR(TRIM($B554)="",$G554=""),"",IF(OR(ISNUMBER(SEARCH(_xlfn.CONCAT(CHAR(96),CHAR(34)),$G554)),ISNUMBER(SEARCH(_xlfn.CONCAT(CHAR(34),CHAR(39)),$G554))),_xlfn.CONCAT("* REVIEW REQUIRED: compound-quote delimiter in Universe on Sheet 1 row ",554,"; edit the input before running."),_xlfn.CONCAT("char ",TRIM($B554),"[doc_universe] ",CHAR(96),CHAR(34),SUBSTITUTE(SUBSTITUTE(SUBSTITUTE(SUBSTITUTE(SUBSTITUTE(SUBSTITUTE($G554,CHAR(13)," "),CHAR(10)," "),CHAR(9)," "),CHAR(92),_xlfn.CONCAT(CHAR(92),CHAR(92))),"$",_xlfn.CONCAT(CHAR(92),"$")),CHAR(96),_xlfn.CONCAT(CHAR(92),CHAR(96))),CHAR(34),CHAR(39))))</f>
        <v/>
      </c>
      <c r="R554" s="5" t="str">
        <f>IF(OR(TRIM($B554)="",$H554=""),"",IF(OR(ISNUMBER(SEARCH(_xlfn.CONCAT(CHAR(96),CHAR(34)),$H554)),ISNUMBER(SEARCH(_xlfn.CONCAT(CHAR(34),CHAR(39)),$H554))),_xlfn.CONCAT("* REVIEW REQUIRED: compound-quote delimiter in Source on Sheet 1 row ",554,"; edit the input before running."),_xlfn.CONCAT("char ",TRIM($B554),"[doc_source] ",CHAR(96),CHAR(34),SUBSTITUTE(SUBSTITUTE(SUBSTITUTE(SUBSTITUTE(SUBSTITUTE(SUBSTITUTE($H554,CHAR(13)," "),CHAR(10)," "),CHAR(9)," "),CHAR(92),_xlfn.CONCAT(CHAR(92),CHAR(92))),"$",_xlfn.CONCAT(CHAR(92),"$")),CHAR(96),_xlfn.CONCAT(CHAR(92),CHAR(96))),CHAR(34),CHAR(39))))</f>
        <v/>
      </c>
      <c r="S554" s="5" t="str">
        <f>IF(OR(TRIM($B554)="",$I554=""),"",IF(OR(ISNUMBER(SEARCH(_xlfn.CONCAT(CHAR(96),CHAR(34)),$I554)),ISNUMBER(SEARCH(_xlfn.CONCAT(CHAR(34),CHAR(39)),$I554))),_xlfn.CONCAT("* REVIEW REQUIRED: compound-quote delimiter in Derivation on Sheet 1 row ",554,"; edit the input before running."),_xlfn.CONCAT("char ",TRIM($B554),"[doc_derivation] ",CHAR(96),CHAR(34),SUBSTITUTE(SUBSTITUTE(SUBSTITUTE(SUBSTITUTE(SUBSTITUTE(SUBSTITUTE($I554,CHAR(13)," "),CHAR(10)," "),CHAR(9)," "),CHAR(92),_xlfn.CONCAT(CHAR(92),CHAR(92))),"$",_xlfn.CONCAT(CHAR(92),"$")),CHAR(96),_xlfn.CONCAT(CHAR(92),CHAR(96))),CHAR(34),CHAR(39))))</f>
        <v/>
      </c>
      <c r="T554" s="5" t="str">
        <f>IF(OR(TRIM($B554)="",$J554=""),"",IF(OR(ISNUMBER(SEARCH(_xlfn.CONCAT(CHAR(96),CHAR(34)),$J554)),ISNUMBER(SEARCH(_xlfn.CONCAT(CHAR(34),CHAR(39)),$J554))),_xlfn.CONCAT("* REVIEW REQUIRED: compound-quote delimiter in Notes on Sheet 1 row ",554,"; edit the input before running."),_xlfn.CONCAT("char ",TRIM($B554),"[doc_notes] ",CHAR(96),CHAR(34),SUBSTITUTE(SUBSTITUTE(SUBSTITUTE(SUBSTITUTE(SUBSTITUTE(SUBSTITUTE($J554,CHAR(13)," "),CHAR(10)," "),CHAR(9)," "),CHAR(92),_xlfn.CONCAT(CHAR(92),CHAR(92))),"$",_xlfn.CONCAT(CHAR(92),"$")),CHAR(96),_xlfn.CONCAT(CHAR(92),CHAR(96))),CHAR(34),CHAR(39))))</f>
        <v/>
      </c>
      <c r="U554" s="5">
        <f t="shared" si="17"/>
        <v>0</v>
      </c>
    </row>
    <row r="555" spans="3:21" ht="30" customHeight="1" x14ac:dyDescent="0.2">
      <c r="C555" s="4"/>
      <c r="K555" s="5">
        <f t="shared" si="16"/>
        <v>0</v>
      </c>
      <c r="L555" s="5" t="str">
        <f>IF(OR(TRIM($B555)="",$A555=""),"",IF(OR(ISNUMBER(SEARCH(_xlfn.CONCAT(CHAR(96),CHAR(34)),$A555)),ISNUMBER(SEARCH(_xlfn.CONCAT(CHAR(34),CHAR(39)),$A555))),_xlfn.CONCAT("* REVIEW REQUIRED: compound-quote delimiter in Codebook Section on Sheet 1 row ",555,"; edit the input before running."),_xlfn.CONCAT("char ",TRIM($B555),"[doc_section] ",CHAR(96),CHAR(34),SUBSTITUTE(SUBSTITUTE(SUBSTITUTE(SUBSTITUTE(SUBSTITUTE(SUBSTITUTE($A555,CHAR(13)," "),CHAR(10)," "),CHAR(9)," "),CHAR(92),_xlfn.CONCAT(CHAR(92),CHAR(92))),"$",_xlfn.CONCAT(CHAR(92),"$")),CHAR(96),_xlfn.CONCAT(CHAR(92),CHAR(96))),CHAR(34),CHAR(39))))</f>
        <v/>
      </c>
      <c r="M555" s="5" t="str">
        <f>IF(OR(TRIM($B555)="",$C555=""),"",IF(IFERROR(MATCH(TRIM($C555),{"Quantitative","Continuous","Discrete","Categorical","Nominal","Ordinal","Identifier"},0),0)=0,_xlfn.CONCAT("* REVIEW REQUIRED: invalid Variable Type on Sheet 1 row ",555,"."),_xlfn.CONCAT("char ",TRIM($B555),"[doc_vartype] ",CHAR(96),CHAR(34),SUBSTITUTE(SUBSTITUTE(SUBSTITUTE(SUBSTITUTE(SUBSTITUTE(SUBSTITUTE(LOWER(TRIM($C555)),CHAR(13)," "),CHAR(10)," "),CHAR(9)," "),CHAR(92),_xlfn.CONCAT(CHAR(92),CHAR(92))),"$",_xlfn.CONCAT(CHAR(92),"$")),CHAR(96),_xlfn.CONCAT(CHAR(92),CHAR(96))),CHAR(34),CHAR(39))))</f>
        <v/>
      </c>
      <c r="N555" s="5" t="str">
        <f>IF(OR(TRIM($B555)="",$D555=""),"",IF(OR(ISNUMBER(SEARCH(_xlfn.CONCAT(CHAR(96),CHAR(34)),$D555)),ISNUMBER(SEARCH(_xlfn.CONCAT(CHAR(34),CHAR(39)),$D555))),_xlfn.CONCAT("* REVIEW REQUIRED: compound-quote delimiter in Item Number on Sheet 1 row ",555,"; edit the input before running."),_xlfn.CONCAT("char ",TRIM($B555),"[doc_itemnum] ",CHAR(96),CHAR(34),SUBSTITUTE(SUBSTITUTE(SUBSTITUTE(SUBSTITUTE(SUBSTITUTE(SUBSTITUTE($D555,CHAR(13)," "),CHAR(10)," "),CHAR(9)," "),CHAR(92),_xlfn.CONCAT(CHAR(92),CHAR(92))),"$",_xlfn.CONCAT(CHAR(92),"$")),CHAR(96),_xlfn.CONCAT(CHAR(92),CHAR(96))),CHAR(34),CHAR(39))))</f>
        <v/>
      </c>
      <c r="O555" s="5" t="str">
        <f>IF(OR(TRIM($B555)="",$E555=""),"",IF(OR(ISNUMBER(SEARCH(_xlfn.CONCAT(CHAR(96),CHAR(34)),$E555)),ISNUMBER(SEARCH(_xlfn.CONCAT(CHAR(34),CHAR(39)),$E555))),_xlfn.CONCAT("* REVIEW REQUIRED: compound-quote delimiter in Question Wording on Sheet 1 row ",555,"; edit the input before running."),_xlfn.CONCAT("char ",TRIM($B555),"[doc_question] ",CHAR(96),CHAR(34),SUBSTITUTE(SUBSTITUTE(SUBSTITUTE(SUBSTITUTE(SUBSTITUTE(SUBSTITUTE($E555,CHAR(13)," "),CHAR(10)," "),CHAR(9)," "),CHAR(92),_xlfn.CONCAT(CHAR(92),CHAR(92))),"$",_xlfn.CONCAT(CHAR(92),"$")),CHAR(96),_xlfn.CONCAT(CHAR(92),CHAR(96))),CHAR(34),CHAR(39))))</f>
        <v/>
      </c>
      <c r="P555" s="5" t="str">
        <f>IF(OR(TRIM($B555)="",$F555=""),"",IF(OR(ISNUMBER(SEARCH(_xlfn.CONCAT(CHAR(96),CHAR(34)),$F555)),ISNUMBER(SEARCH(_xlfn.CONCAT(CHAR(34),CHAR(39)),$F555))),_xlfn.CONCAT("* REVIEW REQUIRED: compound-quote delimiter in Units on Sheet 1 row ",555,"; edit the input before running."),_xlfn.CONCAT("char ",TRIM($B555),"[doc_units] ",CHAR(96),CHAR(34),SUBSTITUTE(SUBSTITUTE(SUBSTITUTE(SUBSTITUTE(SUBSTITUTE(SUBSTITUTE($F555,CHAR(13)," "),CHAR(10)," "),CHAR(9)," "),CHAR(92),_xlfn.CONCAT(CHAR(92),CHAR(92))),"$",_xlfn.CONCAT(CHAR(92),"$")),CHAR(96),_xlfn.CONCAT(CHAR(92),CHAR(96))),CHAR(34),CHAR(39))))</f>
        <v/>
      </c>
      <c r="Q555" s="5" t="str">
        <f>IF(OR(TRIM($B555)="",$G555=""),"",IF(OR(ISNUMBER(SEARCH(_xlfn.CONCAT(CHAR(96),CHAR(34)),$G555)),ISNUMBER(SEARCH(_xlfn.CONCAT(CHAR(34),CHAR(39)),$G555))),_xlfn.CONCAT("* REVIEW REQUIRED: compound-quote delimiter in Universe on Sheet 1 row ",555,"; edit the input before running."),_xlfn.CONCAT("char ",TRIM($B555),"[doc_universe] ",CHAR(96),CHAR(34),SUBSTITUTE(SUBSTITUTE(SUBSTITUTE(SUBSTITUTE(SUBSTITUTE(SUBSTITUTE($G555,CHAR(13)," "),CHAR(10)," "),CHAR(9)," "),CHAR(92),_xlfn.CONCAT(CHAR(92),CHAR(92))),"$",_xlfn.CONCAT(CHAR(92),"$")),CHAR(96),_xlfn.CONCAT(CHAR(92),CHAR(96))),CHAR(34),CHAR(39))))</f>
        <v/>
      </c>
      <c r="R555" s="5" t="str">
        <f>IF(OR(TRIM($B555)="",$H555=""),"",IF(OR(ISNUMBER(SEARCH(_xlfn.CONCAT(CHAR(96),CHAR(34)),$H555)),ISNUMBER(SEARCH(_xlfn.CONCAT(CHAR(34),CHAR(39)),$H555))),_xlfn.CONCAT("* REVIEW REQUIRED: compound-quote delimiter in Source on Sheet 1 row ",555,"; edit the input before running."),_xlfn.CONCAT("char ",TRIM($B555),"[doc_source] ",CHAR(96),CHAR(34),SUBSTITUTE(SUBSTITUTE(SUBSTITUTE(SUBSTITUTE(SUBSTITUTE(SUBSTITUTE($H555,CHAR(13)," "),CHAR(10)," "),CHAR(9)," "),CHAR(92),_xlfn.CONCAT(CHAR(92),CHAR(92))),"$",_xlfn.CONCAT(CHAR(92),"$")),CHAR(96),_xlfn.CONCAT(CHAR(92),CHAR(96))),CHAR(34),CHAR(39))))</f>
        <v/>
      </c>
      <c r="S555" s="5" t="str">
        <f>IF(OR(TRIM($B555)="",$I555=""),"",IF(OR(ISNUMBER(SEARCH(_xlfn.CONCAT(CHAR(96),CHAR(34)),$I555)),ISNUMBER(SEARCH(_xlfn.CONCAT(CHAR(34),CHAR(39)),$I555))),_xlfn.CONCAT("* REVIEW REQUIRED: compound-quote delimiter in Derivation on Sheet 1 row ",555,"; edit the input before running."),_xlfn.CONCAT("char ",TRIM($B555),"[doc_derivation] ",CHAR(96),CHAR(34),SUBSTITUTE(SUBSTITUTE(SUBSTITUTE(SUBSTITUTE(SUBSTITUTE(SUBSTITUTE($I555,CHAR(13)," "),CHAR(10)," "),CHAR(9)," "),CHAR(92),_xlfn.CONCAT(CHAR(92),CHAR(92))),"$",_xlfn.CONCAT(CHAR(92),"$")),CHAR(96),_xlfn.CONCAT(CHAR(92),CHAR(96))),CHAR(34),CHAR(39))))</f>
        <v/>
      </c>
      <c r="T555" s="5" t="str">
        <f>IF(OR(TRIM($B555)="",$J555=""),"",IF(OR(ISNUMBER(SEARCH(_xlfn.CONCAT(CHAR(96),CHAR(34)),$J555)),ISNUMBER(SEARCH(_xlfn.CONCAT(CHAR(34),CHAR(39)),$J555))),_xlfn.CONCAT("* REVIEW REQUIRED: compound-quote delimiter in Notes on Sheet 1 row ",555,"; edit the input before running."),_xlfn.CONCAT("char ",TRIM($B555),"[doc_notes] ",CHAR(96),CHAR(34),SUBSTITUTE(SUBSTITUTE(SUBSTITUTE(SUBSTITUTE(SUBSTITUTE(SUBSTITUTE($J555,CHAR(13)," "),CHAR(10)," "),CHAR(9)," "),CHAR(92),_xlfn.CONCAT(CHAR(92),CHAR(92))),"$",_xlfn.CONCAT(CHAR(92),"$")),CHAR(96),_xlfn.CONCAT(CHAR(92),CHAR(96))),CHAR(34),CHAR(39))))</f>
        <v/>
      </c>
      <c r="U555" s="5">
        <f t="shared" si="17"/>
        <v>0</v>
      </c>
    </row>
    <row r="556" spans="3:21" ht="30" customHeight="1" x14ac:dyDescent="0.2">
      <c r="C556" s="4"/>
      <c r="K556" s="5">
        <f t="shared" si="16"/>
        <v>0</v>
      </c>
      <c r="L556" s="5" t="str">
        <f>IF(OR(TRIM($B556)="",$A556=""),"",IF(OR(ISNUMBER(SEARCH(_xlfn.CONCAT(CHAR(96),CHAR(34)),$A556)),ISNUMBER(SEARCH(_xlfn.CONCAT(CHAR(34),CHAR(39)),$A556))),_xlfn.CONCAT("* REVIEW REQUIRED: compound-quote delimiter in Codebook Section on Sheet 1 row ",556,"; edit the input before running."),_xlfn.CONCAT("char ",TRIM($B556),"[doc_section] ",CHAR(96),CHAR(34),SUBSTITUTE(SUBSTITUTE(SUBSTITUTE(SUBSTITUTE(SUBSTITUTE(SUBSTITUTE($A556,CHAR(13)," "),CHAR(10)," "),CHAR(9)," "),CHAR(92),_xlfn.CONCAT(CHAR(92),CHAR(92))),"$",_xlfn.CONCAT(CHAR(92),"$")),CHAR(96),_xlfn.CONCAT(CHAR(92),CHAR(96))),CHAR(34),CHAR(39))))</f>
        <v/>
      </c>
      <c r="M556" s="5" t="str">
        <f>IF(OR(TRIM($B556)="",$C556=""),"",IF(IFERROR(MATCH(TRIM($C556),{"Quantitative","Continuous","Discrete","Categorical","Nominal","Ordinal","Identifier"},0),0)=0,_xlfn.CONCAT("* REVIEW REQUIRED: invalid Variable Type on Sheet 1 row ",556,"."),_xlfn.CONCAT("char ",TRIM($B556),"[doc_vartype] ",CHAR(96),CHAR(34),SUBSTITUTE(SUBSTITUTE(SUBSTITUTE(SUBSTITUTE(SUBSTITUTE(SUBSTITUTE(LOWER(TRIM($C556)),CHAR(13)," "),CHAR(10)," "),CHAR(9)," "),CHAR(92),_xlfn.CONCAT(CHAR(92),CHAR(92))),"$",_xlfn.CONCAT(CHAR(92),"$")),CHAR(96),_xlfn.CONCAT(CHAR(92),CHAR(96))),CHAR(34),CHAR(39))))</f>
        <v/>
      </c>
      <c r="N556" s="5" t="str">
        <f>IF(OR(TRIM($B556)="",$D556=""),"",IF(OR(ISNUMBER(SEARCH(_xlfn.CONCAT(CHAR(96),CHAR(34)),$D556)),ISNUMBER(SEARCH(_xlfn.CONCAT(CHAR(34),CHAR(39)),$D556))),_xlfn.CONCAT("* REVIEW REQUIRED: compound-quote delimiter in Item Number on Sheet 1 row ",556,"; edit the input before running."),_xlfn.CONCAT("char ",TRIM($B556),"[doc_itemnum] ",CHAR(96),CHAR(34),SUBSTITUTE(SUBSTITUTE(SUBSTITUTE(SUBSTITUTE(SUBSTITUTE(SUBSTITUTE($D556,CHAR(13)," "),CHAR(10)," "),CHAR(9)," "),CHAR(92),_xlfn.CONCAT(CHAR(92),CHAR(92))),"$",_xlfn.CONCAT(CHAR(92),"$")),CHAR(96),_xlfn.CONCAT(CHAR(92),CHAR(96))),CHAR(34),CHAR(39))))</f>
        <v/>
      </c>
      <c r="O556" s="5" t="str">
        <f>IF(OR(TRIM($B556)="",$E556=""),"",IF(OR(ISNUMBER(SEARCH(_xlfn.CONCAT(CHAR(96),CHAR(34)),$E556)),ISNUMBER(SEARCH(_xlfn.CONCAT(CHAR(34),CHAR(39)),$E556))),_xlfn.CONCAT("* REVIEW REQUIRED: compound-quote delimiter in Question Wording on Sheet 1 row ",556,"; edit the input before running."),_xlfn.CONCAT("char ",TRIM($B556),"[doc_question] ",CHAR(96),CHAR(34),SUBSTITUTE(SUBSTITUTE(SUBSTITUTE(SUBSTITUTE(SUBSTITUTE(SUBSTITUTE($E556,CHAR(13)," "),CHAR(10)," "),CHAR(9)," "),CHAR(92),_xlfn.CONCAT(CHAR(92),CHAR(92))),"$",_xlfn.CONCAT(CHAR(92),"$")),CHAR(96),_xlfn.CONCAT(CHAR(92),CHAR(96))),CHAR(34),CHAR(39))))</f>
        <v/>
      </c>
      <c r="P556" s="5" t="str">
        <f>IF(OR(TRIM($B556)="",$F556=""),"",IF(OR(ISNUMBER(SEARCH(_xlfn.CONCAT(CHAR(96),CHAR(34)),$F556)),ISNUMBER(SEARCH(_xlfn.CONCAT(CHAR(34),CHAR(39)),$F556))),_xlfn.CONCAT("* REVIEW REQUIRED: compound-quote delimiter in Units on Sheet 1 row ",556,"; edit the input before running."),_xlfn.CONCAT("char ",TRIM($B556),"[doc_units] ",CHAR(96),CHAR(34),SUBSTITUTE(SUBSTITUTE(SUBSTITUTE(SUBSTITUTE(SUBSTITUTE(SUBSTITUTE($F556,CHAR(13)," "),CHAR(10)," "),CHAR(9)," "),CHAR(92),_xlfn.CONCAT(CHAR(92),CHAR(92))),"$",_xlfn.CONCAT(CHAR(92),"$")),CHAR(96),_xlfn.CONCAT(CHAR(92),CHAR(96))),CHAR(34),CHAR(39))))</f>
        <v/>
      </c>
      <c r="Q556" s="5" t="str">
        <f>IF(OR(TRIM($B556)="",$G556=""),"",IF(OR(ISNUMBER(SEARCH(_xlfn.CONCAT(CHAR(96),CHAR(34)),$G556)),ISNUMBER(SEARCH(_xlfn.CONCAT(CHAR(34),CHAR(39)),$G556))),_xlfn.CONCAT("* REVIEW REQUIRED: compound-quote delimiter in Universe on Sheet 1 row ",556,"; edit the input before running."),_xlfn.CONCAT("char ",TRIM($B556),"[doc_universe] ",CHAR(96),CHAR(34),SUBSTITUTE(SUBSTITUTE(SUBSTITUTE(SUBSTITUTE(SUBSTITUTE(SUBSTITUTE($G556,CHAR(13)," "),CHAR(10)," "),CHAR(9)," "),CHAR(92),_xlfn.CONCAT(CHAR(92),CHAR(92))),"$",_xlfn.CONCAT(CHAR(92),"$")),CHAR(96),_xlfn.CONCAT(CHAR(92),CHAR(96))),CHAR(34),CHAR(39))))</f>
        <v/>
      </c>
      <c r="R556" s="5" t="str">
        <f>IF(OR(TRIM($B556)="",$H556=""),"",IF(OR(ISNUMBER(SEARCH(_xlfn.CONCAT(CHAR(96),CHAR(34)),$H556)),ISNUMBER(SEARCH(_xlfn.CONCAT(CHAR(34),CHAR(39)),$H556))),_xlfn.CONCAT("* REVIEW REQUIRED: compound-quote delimiter in Source on Sheet 1 row ",556,"; edit the input before running."),_xlfn.CONCAT("char ",TRIM($B556),"[doc_source] ",CHAR(96),CHAR(34),SUBSTITUTE(SUBSTITUTE(SUBSTITUTE(SUBSTITUTE(SUBSTITUTE(SUBSTITUTE($H556,CHAR(13)," "),CHAR(10)," "),CHAR(9)," "),CHAR(92),_xlfn.CONCAT(CHAR(92),CHAR(92))),"$",_xlfn.CONCAT(CHAR(92),"$")),CHAR(96),_xlfn.CONCAT(CHAR(92),CHAR(96))),CHAR(34),CHAR(39))))</f>
        <v/>
      </c>
      <c r="S556" s="5" t="str">
        <f>IF(OR(TRIM($B556)="",$I556=""),"",IF(OR(ISNUMBER(SEARCH(_xlfn.CONCAT(CHAR(96),CHAR(34)),$I556)),ISNUMBER(SEARCH(_xlfn.CONCAT(CHAR(34),CHAR(39)),$I556))),_xlfn.CONCAT("* REVIEW REQUIRED: compound-quote delimiter in Derivation on Sheet 1 row ",556,"; edit the input before running."),_xlfn.CONCAT("char ",TRIM($B556),"[doc_derivation] ",CHAR(96),CHAR(34),SUBSTITUTE(SUBSTITUTE(SUBSTITUTE(SUBSTITUTE(SUBSTITUTE(SUBSTITUTE($I556,CHAR(13)," "),CHAR(10)," "),CHAR(9)," "),CHAR(92),_xlfn.CONCAT(CHAR(92),CHAR(92))),"$",_xlfn.CONCAT(CHAR(92),"$")),CHAR(96),_xlfn.CONCAT(CHAR(92),CHAR(96))),CHAR(34),CHAR(39))))</f>
        <v/>
      </c>
      <c r="T556" s="5" t="str">
        <f>IF(OR(TRIM($B556)="",$J556=""),"",IF(OR(ISNUMBER(SEARCH(_xlfn.CONCAT(CHAR(96),CHAR(34)),$J556)),ISNUMBER(SEARCH(_xlfn.CONCAT(CHAR(34),CHAR(39)),$J556))),_xlfn.CONCAT("* REVIEW REQUIRED: compound-quote delimiter in Notes on Sheet 1 row ",556,"; edit the input before running."),_xlfn.CONCAT("char ",TRIM($B556),"[doc_notes] ",CHAR(96),CHAR(34),SUBSTITUTE(SUBSTITUTE(SUBSTITUTE(SUBSTITUTE(SUBSTITUTE(SUBSTITUTE($J556,CHAR(13)," "),CHAR(10)," "),CHAR(9)," "),CHAR(92),_xlfn.CONCAT(CHAR(92),CHAR(92))),"$",_xlfn.CONCAT(CHAR(92),"$")),CHAR(96),_xlfn.CONCAT(CHAR(92),CHAR(96))),CHAR(34),CHAR(39))))</f>
        <v/>
      </c>
      <c r="U556" s="5">
        <f t="shared" si="17"/>
        <v>0</v>
      </c>
    </row>
    <row r="557" spans="3:21" ht="30" customHeight="1" x14ac:dyDescent="0.2">
      <c r="C557" s="4"/>
      <c r="K557" s="5">
        <f t="shared" si="16"/>
        <v>0</v>
      </c>
      <c r="L557" s="5" t="str">
        <f>IF(OR(TRIM($B557)="",$A557=""),"",IF(OR(ISNUMBER(SEARCH(_xlfn.CONCAT(CHAR(96),CHAR(34)),$A557)),ISNUMBER(SEARCH(_xlfn.CONCAT(CHAR(34),CHAR(39)),$A557))),_xlfn.CONCAT("* REVIEW REQUIRED: compound-quote delimiter in Codebook Section on Sheet 1 row ",557,"; edit the input before running."),_xlfn.CONCAT("char ",TRIM($B557),"[doc_section] ",CHAR(96),CHAR(34),SUBSTITUTE(SUBSTITUTE(SUBSTITUTE(SUBSTITUTE(SUBSTITUTE(SUBSTITUTE($A557,CHAR(13)," "),CHAR(10)," "),CHAR(9)," "),CHAR(92),_xlfn.CONCAT(CHAR(92),CHAR(92))),"$",_xlfn.CONCAT(CHAR(92),"$")),CHAR(96),_xlfn.CONCAT(CHAR(92),CHAR(96))),CHAR(34),CHAR(39))))</f>
        <v/>
      </c>
      <c r="M557" s="5" t="str">
        <f>IF(OR(TRIM($B557)="",$C557=""),"",IF(IFERROR(MATCH(TRIM($C557),{"Quantitative","Continuous","Discrete","Categorical","Nominal","Ordinal","Identifier"},0),0)=0,_xlfn.CONCAT("* REVIEW REQUIRED: invalid Variable Type on Sheet 1 row ",557,"."),_xlfn.CONCAT("char ",TRIM($B557),"[doc_vartype] ",CHAR(96),CHAR(34),SUBSTITUTE(SUBSTITUTE(SUBSTITUTE(SUBSTITUTE(SUBSTITUTE(SUBSTITUTE(LOWER(TRIM($C557)),CHAR(13)," "),CHAR(10)," "),CHAR(9)," "),CHAR(92),_xlfn.CONCAT(CHAR(92),CHAR(92))),"$",_xlfn.CONCAT(CHAR(92),"$")),CHAR(96),_xlfn.CONCAT(CHAR(92),CHAR(96))),CHAR(34),CHAR(39))))</f>
        <v/>
      </c>
      <c r="N557" s="5" t="str">
        <f>IF(OR(TRIM($B557)="",$D557=""),"",IF(OR(ISNUMBER(SEARCH(_xlfn.CONCAT(CHAR(96),CHAR(34)),$D557)),ISNUMBER(SEARCH(_xlfn.CONCAT(CHAR(34),CHAR(39)),$D557))),_xlfn.CONCAT("* REVIEW REQUIRED: compound-quote delimiter in Item Number on Sheet 1 row ",557,"; edit the input before running."),_xlfn.CONCAT("char ",TRIM($B557),"[doc_itemnum] ",CHAR(96),CHAR(34),SUBSTITUTE(SUBSTITUTE(SUBSTITUTE(SUBSTITUTE(SUBSTITUTE(SUBSTITUTE($D557,CHAR(13)," "),CHAR(10)," "),CHAR(9)," "),CHAR(92),_xlfn.CONCAT(CHAR(92),CHAR(92))),"$",_xlfn.CONCAT(CHAR(92),"$")),CHAR(96),_xlfn.CONCAT(CHAR(92),CHAR(96))),CHAR(34),CHAR(39))))</f>
        <v/>
      </c>
      <c r="O557" s="5" t="str">
        <f>IF(OR(TRIM($B557)="",$E557=""),"",IF(OR(ISNUMBER(SEARCH(_xlfn.CONCAT(CHAR(96),CHAR(34)),$E557)),ISNUMBER(SEARCH(_xlfn.CONCAT(CHAR(34),CHAR(39)),$E557))),_xlfn.CONCAT("* REVIEW REQUIRED: compound-quote delimiter in Question Wording on Sheet 1 row ",557,"; edit the input before running."),_xlfn.CONCAT("char ",TRIM($B557),"[doc_question] ",CHAR(96),CHAR(34),SUBSTITUTE(SUBSTITUTE(SUBSTITUTE(SUBSTITUTE(SUBSTITUTE(SUBSTITUTE($E557,CHAR(13)," "),CHAR(10)," "),CHAR(9)," "),CHAR(92),_xlfn.CONCAT(CHAR(92),CHAR(92))),"$",_xlfn.CONCAT(CHAR(92),"$")),CHAR(96),_xlfn.CONCAT(CHAR(92),CHAR(96))),CHAR(34),CHAR(39))))</f>
        <v/>
      </c>
      <c r="P557" s="5" t="str">
        <f>IF(OR(TRIM($B557)="",$F557=""),"",IF(OR(ISNUMBER(SEARCH(_xlfn.CONCAT(CHAR(96),CHAR(34)),$F557)),ISNUMBER(SEARCH(_xlfn.CONCAT(CHAR(34),CHAR(39)),$F557))),_xlfn.CONCAT("* REVIEW REQUIRED: compound-quote delimiter in Units on Sheet 1 row ",557,"; edit the input before running."),_xlfn.CONCAT("char ",TRIM($B557),"[doc_units] ",CHAR(96),CHAR(34),SUBSTITUTE(SUBSTITUTE(SUBSTITUTE(SUBSTITUTE(SUBSTITUTE(SUBSTITUTE($F557,CHAR(13)," "),CHAR(10)," "),CHAR(9)," "),CHAR(92),_xlfn.CONCAT(CHAR(92),CHAR(92))),"$",_xlfn.CONCAT(CHAR(92),"$")),CHAR(96),_xlfn.CONCAT(CHAR(92),CHAR(96))),CHAR(34),CHAR(39))))</f>
        <v/>
      </c>
      <c r="Q557" s="5" t="str">
        <f>IF(OR(TRIM($B557)="",$G557=""),"",IF(OR(ISNUMBER(SEARCH(_xlfn.CONCAT(CHAR(96),CHAR(34)),$G557)),ISNUMBER(SEARCH(_xlfn.CONCAT(CHAR(34),CHAR(39)),$G557))),_xlfn.CONCAT("* REVIEW REQUIRED: compound-quote delimiter in Universe on Sheet 1 row ",557,"; edit the input before running."),_xlfn.CONCAT("char ",TRIM($B557),"[doc_universe] ",CHAR(96),CHAR(34),SUBSTITUTE(SUBSTITUTE(SUBSTITUTE(SUBSTITUTE(SUBSTITUTE(SUBSTITUTE($G557,CHAR(13)," "),CHAR(10)," "),CHAR(9)," "),CHAR(92),_xlfn.CONCAT(CHAR(92),CHAR(92))),"$",_xlfn.CONCAT(CHAR(92),"$")),CHAR(96),_xlfn.CONCAT(CHAR(92),CHAR(96))),CHAR(34),CHAR(39))))</f>
        <v/>
      </c>
      <c r="R557" s="5" t="str">
        <f>IF(OR(TRIM($B557)="",$H557=""),"",IF(OR(ISNUMBER(SEARCH(_xlfn.CONCAT(CHAR(96),CHAR(34)),$H557)),ISNUMBER(SEARCH(_xlfn.CONCAT(CHAR(34),CHAR(39)),$H557))),_xlfn.CONCAT("* REVIEW REQUIRED: compound-quote delimiter in Source on Sheet 1 row ",557,"; edit the input before running."),_xlfn.CONCAT("char ",TRIM($B557),"[doc_source] ",CHAR(96),CHAR(34),SUBSTITUTE(SUBSTITUTE(SUBSTITUTE(SUBSTITUTE(SUBSTITUTE(SUBSTITUTE($H557,CHAR(13)," "),CHAR(10)," "),CHAR(9)," "),CHAR(92),_xlfn.CONCAT(CHAR(92),CHAR(92))),"$",_xlfn.CONCAT(CHAR(92),"$")),CHAR(96),_xlfn.CONCAT(CHAR(92),CHAR(96))),CHAR(34),CHAR(39))))</f>
        <v/>
      </c>
      <c r="S557" s="5" t="str">
        <f>IF(OR(TRIM($B557)="",$I557=""),"",IF(OR(ISNUMBER(SEARCH(_xlfn.CONCAT(CHAR(96),CHAR(34)),$I557)),ISNUMBER(SEARCH(_xlfn.CONCAT(CHAR(34),CHAR(39)),$I557))),_xlfn.CONCAT("* REVIEW REQUIRED: compound-quote delimiter in Derivation on Sheet 1 row ",557,"; edit the input before running."),_xlfn.CONCAT("char ",TRIM($B557),"[doc_derivation] ",CHAR(96),CHAR(34),SUBSTITUTE(SUBSTITUTE(SUBSTITUTE(SUBSTITUTE(SUBSTITUTE(SUBSTITUTE($I557,CHAR(13)," "),CHAR(10)," "),CHAR(9)," "),CHAR(92),_xlfn.CONCAT(CHAR(92),CHAR(92))),"$",_xlfn.CONCAT(CHAR(92),"$")),CHAR(96),_xlfn.CONCAT(CHAR(92),CHAR(96))),CHAR(34),CHAR(39))))</f>
        <v/>
      </c>
      <c r="T557" s="5" t="str">
        <f>IF(OR(TRIM($B557)="",$J557=""),"",IF(OR(ISNUMBER(SEARCH(_xlfn.CONCAT(CHAR(96),CHAR(34)),$J557)),ISNUMBER(SEARCH(_xlfn.CONCAT(CHAR(34),CHAR(39)),$J557))),_xlfn.CONCAT("* REVIEW REQUIRED: compound-quote delimiter in Notes on Sheet 1 row ",557,"; edit the input before running."),_xlfn.CONCAT("char ",TRIM($B557),"[doc_notes] ",CHAR(96),CHAR(34),SUBSTITUTE(SUBSTITUTE(SUBSTITUTE(SUBSTITUTE(SUBSTITUTE(SUBSTITUTE($J557,CHAR(13)," "),CHAR(10)," "),CHAR(9)," "),CHAR(92),_xlfn.CONCAT(CHAR(92),CHAR(92))),"$",_xlfn.CONCAT(CHAR(92),"$")),CHAR(96),_xlfn.CONCAT(CHAR(92),CHAR(96))),CHAR(34),CHAR(39))))</f>
        <v/>
      </c>
      <c r="U557" s="5">
        <f t="shared" si="17"/>
        <v>0</v>
      </c>
    </row>
    <row r="558" spans="3:21" ht="30" customHeight="1" x14ac:dyDescent="0.2">
      <c r="C558" s="4"/>
      <c r="K558" s="5">
        <f t="shared" si="16"/>
        <v>0</v>
      </c>
      <c r="L558" s="5" t="str">
        <f>IF(OR(TRIM($B558)="",$A558=""),"",IF(OR(ISNUMBER(SEARCH(_xlfn.CONCAT(CHAR(96),CHAR(34)),$A558)),ISNUMBER(SEARCH(_xlfn.CONCAT(CHAR(34),CHAR(39)),$A558))),_xlfn.CONCAT("* REVIEW REQUIRED: compound-quote delimiter in Codebook Section on Sheet 1 row ",558,"; edit the input before running."),_xlfn.CONCAT("char ",TRIM($B558),"[doc_section] ",CHAR(96),CHAR(34),SUBSTITUTE(SUBSTITUTE(SUBSTITUTE(SUBSTITUTE(SUBSTITUTE(SUBSTITUTE($A558,CHAR(13)," "),CHAR(10)," "),CHAR(9)," "),CHAR(92),_xlfn.CONCAT(CHAR(92),CHAR(92))),"$",_xlfn.CONCAT(CHAR(92),"$")),CHAR(96),_xlfn.CONCAT(CHAR(92),CHAR(96))),CHAR(34),CHAR(39))))</f>
        <v/>
      </c>
      <c r="M558" s="5" t="str">
        <f>IF(OR(TRIM($B558)="",$C558=""),"",IF(IFERROR(MATCH(TRIM($C558),{"Quantitative","Continuous","Discrete","Categorical","Nominal","Ordinal","Identifier"},0),0)=0,_xlfn.CONCAT("* REVIEW REQUIRED: invalid Variable Type on Sheet 1 row ",558,"."),_xlfn.CONCAT("char ",TRIM($B558),"[doc_vartype] ",CHAR(96),CHAR(34),SUBSTITUTE(SUBSTITUTE(SUBSTITUTE(SUBSTITUTE(SUBSTITUTE(SUBSTITUTE(LOWER(TRIM($C558)),CHAR(13)," "),CHAR(10)," "),CHAR(9)," "),CHAR(92),_xlfn.CONCAT(CHAR(92),CHAR(92))),"$",_xlfn.CONCAT(CHAR(92),"$")),CHAR(96),_xlfn.CONCAT(CHAR(92),CHAR(96))),CHAR(34),CHAR(39))))</f>
        <v/>
      </c>
      <c r="N558" s="5" t="str">
        <f>IF(OR(TRIM($B558)="",$D558=""),"",IF(OR(ISNUMBER(SEARCH(_xlfn.CONCAT(CHAR(96),CHAR(34)),$D558)),ISNUMBER(SEARCH(_xlfn.CONCAT(CHAR(34),CHAR(39)),$D558))),_xlfn.CONCAT("* REVIEW REQUIRED: compound-quote delimiter in Item Number on Sheet 1 row ",558,"; edit the input before running."),_xlfn.CONCAT("char ",TRIM($B558),"[doc_itemnum] ",CHAR(96),CHAR(34),SUBSTITUTE(SUBSTITUTE(SUBSTITUTE(SUBSTITUTE(SUBSTITUTE(SUBSTITUTE($D558,CHAR(13)," "),CHAR(10)," "),CHAR(9)," "),CHAR(92),_xlfn.CONCAT(CHAR(92),CHAR(92))),"$",_xlfn.CONCAT(CHAR(92),"$")),CHAR(96),_xlfn.CONCAT(CHAR(92),CHAR(96))),CHAR(34),CHAR(39))))</f>
        <v/>
      </c>
      <c r="O558" s="5" t="str">
        <f>IF(OR(TRIM($B558)="",$E558=""),"",IF(OR(ISNUMBER(SEARCH(_xlfn.CONCAT(CHAR(96),CHAR(34)),$E558)),ISNUMBER(SEARCH(_xlfn.CONCAT(CHAR(34),CHAR(39)),$E558))),_xlfn.CONCAT("* REVIEW REQUIRED: compound-quote delimiter in Question Wording on Sheet 1 row ",558,"; edit the input before running."),_xlfn.CONCAT("char ",TRIM($B558),"[doc_question] ",CHAR(96),CHAR(34),SUBSTITUTE(SUBSTITUTE(SUBSTITUTE(SUBSTITUTE(SUBSTITUTE(SUBSTITUTE($E558,CHAR(13)," "),CHAR(10)," "),CHAR(9)," "),CHAR(92),_xlfn.CONCAT(CHAR(92),CHAR(92))),"$",_xlfn.CONCAT(CHAR(92),"$")),CHAR(96),_xlfn.CONCAT(CHAR(92),CHAR(96))),CHAR(34),CHAR(39))))</f>
        <v/>
      </c>
      <c r="P558" s="5" t="str">
        <f>IF(OR(TRIM($B558)="",$F558=""),"",IF(OR(ISNUMBER(SEARCH(_xlfn.CONCAT(CHAR(96),CHAR(34)),$F558)),ISNUMBER(SEARCH(_xlfn.CONCAT(CHAR(34),CHAR(39)),$F558))),_xlfn.CONCAT("* REVIEW REQUIRED: compound-quote delimiter in Units on Sheet 1 row ",558,"; edit the input before running."),_xlfn.CONCAT("char ",TRIM($B558),"[doc_units] ",CHAR(96),CHAR(34),SUBSTITUTE(SUBSTITUTE(SUBSTITUTE(SUBSTITUTE(SUBSTITUTE(SUBSTITUTE($F558,CHAR(13)," "),CHAR(10)," "),CHAR(9)," "),CHAR(92),_xlfn.CONCAT(CHAR(92),CHAR(92))),"$",_xlfn.CONCAT(CHAR(92),"$")),CHAR(96),_xlfn.CONCAT(CHAR(92),CHAR(96))),CHAR(34),CHAR(39))))</f>
        <v/>
      </c>
      <c r="Q558" s="5" t="str">
        <f>IF(OR(TRIM($B558)="",$G558=""),"",IF(OR(ISNUMBER(SEARCH(_xlfn.CONCAT(CHAR(96),CHAR(34)),$G558)),ISNUMBER(SEARCH(_xlfn.CONCAT(CHAR(34),CHAR(39)),$G558))),_xlfn.CONCAT("* REVIEW REQUIRED: compound-quote delimiter in Universe on Sheet 1 row ",558,"; edit the input before running."),_xlfn.CONCAT("char ",TRIM($B558),"[doc_universe] ",CHAR(96),CHAR(34),SUBSTITUTE(SUBSTITUTE(SUBSTITUTE(SUBSTITUTE(SUBSTITUTE(SUBSTITUTE($G558,CHAR(13)," "),CHAR(10)," "),CHAR(9)," "),CHAR(92),_xlfn.CONCAT(CHAR(92),CHAR(92))),"$",_xlfn.CONCAT(CHAR(92),"$")),CHAR(96),_xlfn.CONCAT(CHAR(92),CHAR(96))),CHAR(34),CHAR(39))))</f>
        <v/>
      </c>
      <c r="R558" s="5" t="str">
        <f>IF(OR(TRIM($B558)="",$H558=""),"",IF(OR(ISNUMBER(SEARCH(_xlfn.CONCAT(CHAR(96),CHAR(34)),$H558)),ISNUMBER(SEARCH(_xlfn.CONCAT(CHAR(34),CHAR(39)),$H558))),_xlfn.CONCAT("* REVIEW REQUIRED: compound-quote delimiter in Source on Sheet 1 row ",558,"; edit the input before running."),_xlfn.CONCAT("char ",TRIM($B558),"[doc_source] ",CHAR(96),CHAR(34),SUBSTITUTE(SUBSTITUTE(SUBSTITUTE(SUBSTITUTE(SUBSTITUTE(SUBSTITUTE($H558,CHAR(13)," "),CHAR(10)," "),CHAR(9)," "),CHAR(92),_xlfn.CONCAT(CHAR(92),CHAR(92))),"$",_xlfn.CONCAT(CHAR(92),"$")),CHAR(96),_xlfn.CONCAT(CHAR(92),CHAR(96))),CHAR(34),CHAR(39))))</f>
        <v/>
      </c>
      <c r="S558" s="5" t="str">
        <f>IF(OR(TRIM($B558)="",$I558=""),"",IF(OR(ISNUMBER(SEARCH(_xlfn.CONCAT(CHAR(96),CHAR(34)),$I558)),ISNUMBER(SEARCH(_xlfn.CONCAT(CHAR(34),CHAR(39)),$I558))),_xlfn.CONCAT("* REVIEW REQUIRED: compound-quote delimiter in Derivation on Sheet 1 row ",558,"; edit the input before running."),_xlfn.CONCAT("char ",TRIM($B558),"[doc_derivation] ",CHAR(96),CHAR(34),SUBSTITUTE(SUBSTITUTE(SUBSTITUTE(SUBSTITUTE(SUBSTITUTE(SUBSTITUTE($I558,CHAR(13)," "),CHAR(10)," "),CHAR(9)," "),CHAR(92),_xlfn.CONCAT(CHAR(92),CHAR(92))),"$",_xlfn.CONCAT(CHAR(92),"$")),CHAR(96),_xlfn.CONCAT(CHAR(92),CHAR(96))),CHAR(34),CHAR(39))))</f>
        <v/>
      </c>
      <c r="T558" s="5" t="str">
        <f>IF(OR(TRIM($B558)="",$J558=""),"",IF(OR(ISNUMBER(SEARCH(_xlfn.CONCAT(CHAR(96),CHAR(34)),$J558)),ISNUMBER(SEARCH(_xlfn.CONCAT(CHAR(34),CHAR(39)),$J558))),_xlfn.CONCAT("* REVIEW REQUIRED: compound-quote delimiter in Notes on Sheet 1 row ",558,"; edit the input before running."),_xlfn.CONCAT("char ",TRIM($B558),"[doc_notes] ",CHAR(96),CHAR(34),SUBSTITUTE(SUBSTITUTE(SUBSTITUTE(SUBSTITUTE(SUBSTITUTE(SUBSTITUTE($J558,CHAR(13)," "),CHAR(10)," "),CHAR(9)," "),CHAR(92),_xlfn.CONCAT(CHAR(92),CHAR(92))),"$",_xlfn.CONCAT(CHAR(92),"$")),CHAR(96),_xlfn.CONCAT(CHAR(92),CHAR(96))),CHAR(34),CHAR(39))))</f>
        <v/>
      </c>
      <c r="U558" s="5">
        <f t="shared" si="17"/>
        <v>0</v>
      </c>
    </row>
    <row r="559" spans="3:21" ht="30" customHeight="1" x14ac:dyDescent="0.2">
      <c r="C559" s="4"/>
      <c r="K559" s="5">
        <f t="shared" si="16"/>
        <v>0</v>
      </c>
      <c r="L559" s="5" t="str">
        <f>IF(OR(TRIM($B559)="",$A559=""),"",IF(OR(ISNUMBER(SEARCH(_xlfn.CONCAT(CHAR(96),CHAR(34)),$A559)),ISNUMBER(SEARCH(_xlfn.CONCAT(CHAR(34),CHAR(39)),$A559))),_xlfn.CONCAT("* REVIEW REQUIRED: compound-quote delimiter in Codebook Section on Sheet 1 row ",559,"; edit the input before running."),_xlfn.CONCAT("char ",TRIM($B559),"[doc_section] ",CHAR(96),CHAR(34),SUBSTITUTE(SUBSTITUTE(SUBSTITUTE(SUBSTITUTE(SUBSTITUTE(SUBSTITUTE($A559,CHAR(13)," "),CHAR(10)," "),CHAR(9)," "),CHAR(92),_xlfn.CONCAT(CHAR(92),CHAR(92))),"$",_xlfn.CONCAT(CHAR(92),"$")),CHAR(96),_xlfn.CONCAT(CHAR(92),CHAR(96))),CHAR(34),CHAR(39))))</f>
        <v/>
      </c>
      <c r="M559" s="5" t="str">
        <f>IF(OR(TRIM($B559)="",$C559=""),"",IF(IFERROR(MATCH(TRIM($C559),{"Quantitative","Continuous","Discrete","Categorical","Nominal","Ordinal","Identifier"},0),0)=0,_xlfn.CONCAT("* REVIEW REQUIRED: invalid Variable Type on Sheet 1 row ",559,"."),_xlfn.CONCAT("char ",TRIM($B559),"[doc_vartype] ",CHAR(96),CHAR(34),SUBSTITUTE(SUBSTITUTE(SUBSTITUTE(SUBSTITUTE(SUBSTITUTE(SUBSTITUTE(LOWER(TRIM($C559)),CHAR(13)," "),CHAR(10)," "),CHAR(9)," "),CHAR(92),_xlfn.CONCAT(CHAR(92),CHAR(92))),"$",_xlfn.CONCAT(CHAR(92),"$")),CHAR(96),_xlfn.CONCAT(CHAR(92),CHAR(96))),CHAR(34),CHAR(39))))</f>
        <v/>
      </c>
      <c r="N559" s="5" t="str">
        <f>IF(OR(TRIM($B559)="",$D559=""),"",IF(OR(ISNUMBER(SEARCH(_xlfn.CONCAT(CHAR(96),CHAR(34)),$D559)),ISNUMBER(SEARCH(_xlfn.CONCAT(CHAR(34),CHAR(39)),$D559))),_xlfn.CONCAT("* REVIEW REQUIRED: compound-quote delimiter in Item Number on Sheet 1 row ",559,"; edit the input before running."),_xlfn.CONCAT("char ",TRIM($B559),"[doc_itemnum] ",CHAR(96),CHAR(34),SUBSTITUTE(SUBSTITUTE(SUBSTITUTE(SUBSTITUTE(SUBSTITUTE(SUBSTITUTE($D559,CHAR(13)," "),CHAR(10)," "),CHAR(9)," "),CHAR(92),_xlfn.CONCAT(CHAR(92),CHAR(92))),"$",_xlfn.CONCAT(CHAR(92),"$")),CHAR(96),_xlfn.CONCAT(CHAR(92),CHAR(96))),CHAR(34),CHAR(39))))</f>
        <v/>
      </c>
      <c r="O559" s="5" t="str">
        <f>IF(OR(TRIM($B559)="",$E559=""),"",IF(OR(ISNUMBER(SEARCH(_xlfn.CONCAT(CHAR(96),CHAR(34)),$E559)),ISNUMBER(SEARCH(_xlfn.CONCAT(CHAR(34),CHAR(39)),$E559))),_xlfn.CONCAT("* REVIEW REQUIRED: compound-quote delimiter in Question Wording on Sheet 1 row ",559,"; edit the input before running."),_xlfn.CONCAT("char ",TRIM($B559),"[doc_question] ",CHAR(96),CHAR(34),SUBSTITUTE(SUBSTITUTE(SUBSTITUTE(SUBSTITUTE(SUBSTITUTE(SUBSTITUTE($E559,CHAR(13)," "),CHAR(10)," "),CHAR(9)," "),CHAR(92),_xlfn.CONCAT(CHAR(92),CHAR(92))),"$",_xlfn.CONCAT(CHAR(92),"$")),CHAR(96),_xlfn.CONCAT(CHAR(92),CHAR(96))),CHAR(34),CHAR(39))))</f>
        <v/>
      </c>
      <c r="P559" s="5" t="str">
        <f>IF(OR(TRIM($B559)="",$F559=""),"",IF(OR(ISNUMBER(SEARCH(_xlfn.CONCAT(CHAR(96),CHAR(34)),$F559)),ISNUMBER(SEARCH(_xlfn.CONCAT(CHAR(34),CHAR(39)),$F559))),_xlfn.CONCAT("* REVIEW REQUIRED: compound-quote delimiter in Units on Sheet 1 row ",559,"; edit the input before running."),_xlfn.CONCAT("char ",TRIM($B559),"[doc_units] ",CHAR(96),CHAR(34),SUBSTITUTE(SUBSTITUTE(SUBSTITUTE(SUBSTITUTE(SUBSTITUTE(SUBSTITUTE($F559,CHAR(13)," "),CHAR(10)," "),CHAR(9)," "),CHAR(92),_xlfn.CONCAT(CHAR(92),CHAR(92))),"$",_xlfn.CONCAT(CHAR(92),"$")),CHAR(96),_xlfn.CONCAT(CHAR(92),CHAR(96))),CHAR(34),CHAR(39))))</f>
        <v/>
      </c>
      <c r="Q559" s="5" t="str">
        <f>IF(OR(TRIM($B559)="",$G559=""),"",IF(OR(ISNUMBER(SEARCH(_xlfn.CONCAT(CHAR(96),CHAR(34)),$G559)),ISNUMBER(SEARCH(_xlfn.CONCAT(CHAR(34),CHAR(39)),$G559))),_xlfn.CONCAT("* REVIEW REQUIRED: compound-quote delimiter in Universe on Sheet 1 row ",559,"; edit the input before running."),_xlfn.CONCAT("char ",TRIM($B559),"[doc_universe] ",CHAR(96),CHAR(34),SUBSTITUTE(SUBSTITUTE(SUBSTITUTE(SUBSTITUTE(SUBSTITUTE(SUBSTITUTE($G559,CHAR(13)," "),CHAR(10)," "),CHAR(9)," "),CHAR(92),_xlfn.CONCAT(CHAR(92),CHAR(92))),"$",_xlfn.CONCAT(CHAR(92),"$")),CHAR(96),_xlfn.CONCAT(CHAR(92),CHAR(96))),CHAR(34),CHAR(39))))</f>
        <v/>
      </c>
      <c r="R559" s="5" t="str">
        <f>IF(OR(TRIM($B559)="",$H559=""),"",IF(OR(ISNUMBER(SEARCH(_xlfn.CONCAT(CHAR(96),CHAR(34)),$H559)),ISNUMBER(SEARCH(_xlfn.CONCAT(CHAR(34),CHAR(39)),$H559))),_xlfn.CONCAT("* REVIEW REQUIRED: compound-quote delimiter in Source on Sheet 1 row ",559,"; edit the input before running."),_xlfn.CONCAT("char ",TRIM($B559),"[doc_source] ",CHAR(96),CHAR(34),SUBSTITUTE(SUBSTITUTE(SUBSTITUTE(SUBSTITUTE(SUBSTITUTE(SUBSTITUTE($H559,CHAR(13)," "),CHAR(10)," "),CHAR(9)," "),CHAR(92),_xlfn.CONCAT(CHAR(92),CHAR(92))),"$",_xlfn.CONCAT(CHAR(92),"$")),CHAR(96),_xlfn.CONCAT(CHAR(92),CHAR(96))),CHAR(34),CHAR(39))))</f>
        <v/>
      </c>
      <c r="S559" s="5" t="str">
        <f>IF(OR(TRIM($B559)="",$I559=""),"",IF(OR(ISNUMBER(SEARCH(_xlfn.CONCAT(CHAR(96),CHAR(34)),$I559)),ISNUMBER(SEARCH(_xlfn.CONCAT(CHAR(34),CHAR(39)),$I559))),_xlfn.CONCAT("* REVIEW REQUIRED: compound-quote delimiter in Derivation on Sheet 1 row ",559,"; edit the input before running."),_xlfn.CONCAT("char ",TRIM($B559),"[doc_derivation] ",CHAR(96),CHAR(34),SUBSTITUTE(SUBSTITUTE(SUBSTITUTE(SUBSTITUTE(SUBSTITUTE(SUBSTITUTE($I559,CHAR(13)," "),CHAR(10)," "),CHAR(9)," "),CHAR(92),_xlfn.CONCAT(CHAR(92),CHAR(92))),"$",_xlfn.CONCAT(CHAR(92),"$")),CHAR(96),_xlfn.CONCAT(CHAR(92),CHAR(96))),CHAR(34),CHAR(39))))</f>
        <v/>
      </c>
      <c r="T559" s="5" t="str">
        <f>IF(OR(TRIM($B559)="",$J559=""),"",IF(OR(ISNUMBER(SEARCH(_xlfn.CONCAT(CHAR(96),CHAR(34)),$J559)),ISNUMBER(SEARCH(_xlfn.CONCAT(CHAR(34),CHAR(39)),$J559))),_xlfn.CONCAT("* REVIEW REQUIRED: compound-quote delimiter in Notes on Sheet 1 row ",559,"; edit the input before running."),_xlfn.CONCAT("char ",TRIM($B559),"[doc_notes] ",CHAR(96),CHAR(34),SUBSTITUTE(SUBSTITUTE(SUBSTITUTE(SUBSTITUTE(SUBSTITUTE(SUBSTITUTE($J559,CHAR(13)," "),CHAR(10)," "),CHAR(9)," "),CHAR(92),_xlfn.CONCAT(CHAR(92),CHAR(92))),"$",_xlfn.CONCAT(CHAR(92),"$")),CHAR(96),_xlfn.CONCAT(CHAR(92),CHAR(96))),CHAR(34),CHAR(39))))</f>
        <v/>
      </c>
      <c r="U559" s="5">
        <f t="shared" si="17"/>
        <v>0</v>
      </c>
    </row>
    <row r="560" spans="3:21" ht="30" customHeight="1" x14ac:dyDescent="0.2">
      <c r="C560" s="4"/>
      <c r="K560" s="5">
        <f t="shared" si="16"/>
        <v>0</v>
      </c>
      <c r="L560" s="5" t="str">
        <f>IF(OR(TRIM($B560)="",$A560=""),"",IF(OR(ISNUMBER(SEARCH(_xlfn.CONCAT(CHAR(96),CHAR(34)),$A560)),ISNUMBER(SEARCH(_xlfn.CONCAT(CHAR(34),CHAR(39)),$A560))),_xlfn.CONCAT("* REVIEW REQUIRED: compound-quote delimiter in Codebook Section on Sheet 1 row ",560,"; edit the input before running."),_xlfn.CONCAT("char ",TRIM($B560),"[doc_section] ",CHAR(96),CHAR(34),SUBSTITUTE(SUBSTITUTE(SUBSTITUTE(SUBSTITUTE(SUBSTITUTE(SUBSTITUTE($A560,CHAR(13)," "),CHAR(10)," "),CHAR(9)," "),CHAR(92),_xlfn.CONCAT(CHAR(92),CHAR(92))),"$",_xlfn.CONCAT(CHAR(92),"$")),CHAR(96),_xlfn.CONCAT(CHAR(92),CHAR(96))),CHAR(34),CHAR(39))))</f>
        <v/>
      </c>
      <c r="M560" s="5" t="str">
        <f>IF(OR(TRIM($B560)="",$C560=""),"",IF(IFERROR(MATCH(TRIM($C560),{"Quantitative","Continuous","Discrete","Categorical","Nominal","Ordinal","Identifier"},0),0)=0,_xlfn.CONCAT("* REVIEW REQUIRED: invalid Variable Type on Sheet 1 row ",560,"."),_xlfn.CONCAT("char ",TRIM($B560),"[doc_vartype] ",CHAR(96),CHAR(34),SUBSTITUTE(SUBSTITUTE(SUBSTITUTE(SUBSTITUTE(SUBSTITUTE(SUBSTITUTE(LOWER(TRIM($C560)),CHAR(13)," "),CHAR(10)," "),CHAR(9)," "),CHAR(92),_xlfn.CONCAT(CHAR(92),CHAR(92))),"$",_xlfn.CONCAT(CHAR(92),"$")),CHAR(96),_xlfn.CONCAT(CHAR(92),CHAR(96))),CHAR(34),CHAR(39))))</f>
        <v/>
      </c>
      <c r="N560" s="5" t="str">
        <f>IF(OR(TRIM($B560)="",$D560=""),"",IF(OR(ISNUMBER(SEARCH(_xlfn.CONCAT(CHAR(96),CHAR(34)),$D560)),ISNUMBER(SEARCH(_xlfn.CONCAT(CHAR(34),CHAR(39)),$D560))),_xlfn.CONCAT("* REVIEW REQUIRED: compound-quote delimiter in Item Number on Sheet 1 row ",560,"; edit the input before running."),_xlfn.CONCAT("char ",TRIM($B560),"[doc_itemnum] ",CHAR(96),CHAR(34),SUBSTITUTE(SUBSTITUTE(SUBSTITUTE(SUBSTITUTE(SUBSTITUTE(SUBSTITUTE($D560,CHAR(13)," "),CHAR(10)," "),CHAR(9)," "),CHAR(92),_xlfn.CONCAT(CHAR(92),CHAR(92))),"$",_xlfn.CONCAT(CHAR(92),"$")),CHAR(96),_xlfn.CONCAT(CHAR(92),CHAR(96))),CHAR(34),CHAR(39))))</f>
        <v/>
      </c>
      <c r="O560" s="5" t="str">
        <f>IF(OR(TRIM($B560)="",$E560=""),"",IF(OR(ISNUMBER(SEARCH(_xlfn.CONCAT(CHAR(96),CHAR(34)),$E560)),ISNUMBER(SEARCH(_xlfn.CONCAT(CHAR(34),CHAR(39)),$E560))),_xlfn.CONCAT("* REVIEW REQUIRED: compound-quote delimiter in Question Wording on Sheet 1 row ",560,"; edit the input before running."),_xlfn.CONCAT("char ",TRIM($B560),"[doc_question] ",CHAR(96),CHAR(34),SUBSTITUTE(SUBSTITUTE(SUBSTITUTE(SUBSTITUTE(SUBSTITUTE(SUBSTITUTE($E560,CHAR(13)," "),CHAR(10)," "),CHAR(9)," "),CHAR(92),_xlfn.CONCAT(CHAR(92),CHAR(92))),"$",_xlfn.CONCAT(CHAR(92),"$")),CHAR(96),_xlfn.CONCAT(CHAR(92),CHAR(96))),CHAR(34),CHAR(39))))</f>
        <v/>
      </c>
      <c r="P560" s="5" t="str">
        <f>IF(OR(TRIM($B560)="",$F560=""),"",IF(OR(ISNUMBER(SEARCH(_xlfn.CONCAT(CHAR(96),CHAR(34)),$F560)),ISNUMBER(SEARCH(_xlfn.CONCAT(CHAR(34),CHAR(39)),$F560))),_xlfn.CONCAT("* REVIEW REQUIRED: compound-quote delimiter in Units on Sheet 1 row ",560,"; edit the input before running."),_xlfn.CONCAT("char ",TRIM($B560),"[doc_units] ",CHAR(96),CHAR(34),SUBSTITUTE(SUBSTITUTE(SUBSTITUTE(SUBSTITUTE(SUBSTITUTE(SUBSTITUTE($F560,CHAR(13)," "),CHAR(10)," "),CHAR(9)," "),CHAR(92),_xlfn.CONCAT(CHAR(92),CHAR(92))),"$",_xlfn.CONCAT(CHAR(92),"$")),CHAR(96),_xlfn.CONCAT(CHAR(92),CHAR(96))),CHAR(34),CHAR(39))))</f>
        <v/>
      </c>
      <c r="Q560" s="5" t="str">
        <f>IF(OR(TRIM($B560)="",$G560=""),"",IF(OR(ISNUMBER(SEARCH(_xlfn.CONCAT(CHAR(96),CHAR(34)),$G560)),ISNUMBER(SEARCH(_xlfn.CONCAT(CHAR(34),CHAR(39)),$G560))),_xlfn.CONCAT("* REVIEW REQUIRED: compound-quote delimiter in Universe on Sheet 1 row ",560,"; edit the input before running."),_xlfn.CONCAT("char ",TRIM($B560),"[doc_universe] ",CHAR(96),CHAR(34),SUBSTITUTE(SUBSTITUTE(SUBSTITUTE(SUBSTITUTE(SUBSTITUTE(SUBSTITUTE($G560,CHAR(13)," "),CHAR(10)," "),CHAR(9)," "),CHAR(92),_xlfn.CONCAT(CHAR(92),CHAR(92))),"$",_xlfn.CONCAT(CHAR(92),"$")),CHAR(96),_xlfn.CONCAT(CHAR(92),CHAR(96))),CHAR(34),CHAR(39))))</f>
        <v/>
      </c>
      <c r="R560" s="5" t="str">
        <f>IF(OR(TRIM($B560)="",$H560=""),"",IF(OR(ISNUMBER(SEARCH(_xlfn.CONCAT(CHAR(96),CHAR(34)),$H560)),ISNUMBER(SEARCH(_xlfn.CONCAT(CHAR(34),CHAR(39)),$H560))),_xlfn.CONCAT("* REVIEW REQUIRED: compound-quote delimiter in Source on Sheet 1 row ",560,"; edit the input before running."),_xlfn.CONCAT("char ",TRIM($B560),"[doc_source] ",CHAR(96),CHAR(34),SUBSTITUTE(SUBSTITUTE(SUBSTITUTE(SUBSTITUTE(SUBSTITUTE(SUBSTITUTE($H560,CHAR(13)," "),CHAR(10)," "),CHAR(9)," "),CHAR(92),_xlfn.CONCAT(CHAR(92),CHAR(92))),"$",_xlfn.CONCAT(CHAR(92),"$")),CHAR(96),_xlfn.CONCAT(CHAR(92),CHAR(96))),CHAR(34),CHAR(39))))</f>
        <v/>
      </c>
      <c r="S560" s="5" t="str">
        <f>IF(OR(TRIM($B560)="",$I560=""),"",IF(OR(ISNUMBER(SEARCH(_xlfn.CONCAT(CHAR(96),CHAR(34)),$I560)),ISNUMBER(SEARCH(_xlfn.CONCAT(CHAR(34),CHAR(39)),$I560))),_xlfn.CONCAT("* REVIEW REQUIRED: compound-quote delimiter in Derivation on Sheet 1 row ",560,"; edit the input before running."),_xlfn.CONCAT("char ",TRIM($B560),"[doc_derivation] ",CHAR(96),CHAR(34),SUBSTITUTE(SUBSTITUTE(SUBSTITUTE(SUBSTITUTE(SUBSTITUTE(SUBSTITUTE($I560,CHAR(13)," "),CHAR(10)," "),CHAR(9)," "),CHAR(92),_xlfn.CONCAT(CHAR(92),CHAR(92))),"$",_xlfn.CONCAT(CHAR(92),"$")),CHAR(96),_xlfn.CONCAT(CHAR(92),CHAR(96))),CHAR(34),CHAR(39))))</f>
        <v/>
      </c>
      <c r="T560" s="5" t="str">
        <f>IF(OR(TRIM($B560)="",$J560=""),"",IF(OR(ISNUMBER(SEARCH(_xlfn.CONCAT(CHAR(96),CHAR(34)),$J560)),ISNUMBER(SEARCH(_xlfn.CONCAT(CHAR(34),CHAR(39)),$J560))),_xlfn.CONCAT("* REVIEW REQUIRED: compound-quote delimiter in Notes on Sheet 1 row ",560,"; edit the input before running."),_xlfn.CONCAT("char ",TRIM($B560),"[doc_notes] ",CHAR(96),CHAR(34),SUBSTITUTE(SUBSTITUTE(SUBSTITUTE(SUBSTITUTE(SUBSTITUTE(SUBSTITUTE($J560,CHAR(13)," "),CHAR(10)," "),CHAR(9)," "),CHAR(92),_xlfn.CONCAT(CHAR(92),CHAR(92))),"$",_xlfn.CONCAT(CHAR(92),"$")),CHAR(96),_xlfn.CONCAT(CHAR(92),CHAR(96))),CHAR(34),CHAR(39))))</f>
        <v/>
      </c>
      <c r="U560" s="5">
        <f t="shared" si="17"/>
        <v>0</v>
      </c>
    </row>
    <row r="561" spans="3:21" ht="30" customHeight="1" x14ac:dyDescent="0.2">
      <c r="C561" s="4"/>
      <c r="K561" s="5">
        <f t="shared" si="16"/>
        <v>0</v>
      </c>
      <c r="L561" s="5" t="str">
        <f>IF(OR(TRIM($B561)="",$A561=""),"",IF(OR(ISNUMBER(SEARCH(_xlfn.CONCAT(CHAR(96),CHAR(34)),$A561)),ISNUMBER(SEARCH(_xlfn.CONCAT(CHAR(34),CHAR(39)),$A561))),_xlfn.CONCAT("* REVIEW REQUIRED: compound-quote delimiter in Codebook Section on Sheet 1 row ",561,"; edit the input before running."),_xlfn.CONCAT("char ",TRIM($B561),"[doc_section] ",CHAR(96),CHAR(34),SUBSTITUTE(SUBSTITUTE(SUBSTITUTE(SUBSTITUTE(SUBSTITUTE(SUBSTITUTE($A561,CHAR(13)," "),CHAR(10)," "),CHAR(9)," "),CHAR(92),_xlfn.CONCAT(CHAR(92),CHAR(92))),"$",_xlfn.CONCAT(CHAR(92),"$")),CHAR(96),_xlfn.CONCAT(CHAR(92),CHAR(96))),CHAR(34),CHAR(39))))</f>
        <v/>
      </c>
      <c r="M561" s="5" t="str">
        <f>IF(OR(TRIM($B561)="",$C561=""),"",IF(IFERROR(MATCH(TRIM($C561),{"Quantitative","Continuous","Discrete","Categorical","Nominal","Ordinal","Identifier"},0),0)=0,_xlfn.CONCAT("* REVIEW REQUIRED: invalid Variable Type on Sheet 1 row ",561,"."),_xlfn.CONCAT("char ",TRIM($B561),"[doc_vartype] ",CHAR(96),CHAR(34),SUBSTITUTE(SUBSTITUTE(SUBSTITUTE(SUBSTITUTE(SUBSTITUTE(SUBSTITUTE(LOWER(TRIM($C561)),CHAR(13)," "),CHAR(10)," "),CHAR(9)," "),CHAR(92),_xlfn.CONCAT(CHAR(92),CHAR(92))),"$",_xlfn.CONCAT(CHAR(92),"$")),CHAR(96),_xlfn.CONCAT(CHAR(92),CHAR(96))),CHAR(34),CHAR(39))))</f>
        <v/>
      </c>
      <c r="N561" s="5" t="str">
        <f>IF(OR(TRIM($B561)="",$D561=""),"",IF(OR(ISNUMBER(SEARCH(_xlfn.CONCAT(CHAR(96),CHAR(34)),$D561)),ISNUMBER(SEARCH(_xlfn.CONCAT(CHAR(34),CHAR(39)),$D561))),_xlfn.CONCAT("* REVIEW REQUIRED: compound-quote delimiter in Item Number on Sheet 1 row ",561,"; edit the input before running."),_xlfn.CONCAT("char ",TRIM($B561),"[doc_itemnum] ",CHAR(96),CHAR(34),SUBSTITUTE(SUBSTITUTE(SUBSTITUTE(SUBSTITUTE(SUBSTITUTE(SUBSTITUTE($D561,CHAR(13)," "),CHAR(10)," "),CHAR(9)," "),CHAR(92),_xlfn.CONCAT(CHAR(92),CHAR(92))),"$",_xlfn.CONCAT(CHAR(92),"$")),CHAR(96),_xlfn.CONCAT(CHAR(92),CHAR(96))),CHAR(34),CHAR(39))))</f>
        <v/>
      </c>
      <c r="O561" s="5" t="str">
        <f>IF(OR(TRIM($B561)="",$E561=""),"",IF(OR(ISNUMBER(SEARCH(_xlfn.CONCAT(CHAR(96),CHAR(34)),$E561)),ISNUMBER(SEARCH(_xlfn.CONCAT(CHAR(34),CHAR(39)),$E561))),_xlfn.CONCAT("* REVIEW REQUIRED: compound-quote delimiter in Question Wording on Sheet 1 row ",561,"; edit the input before running."),_xlfn.CONCAT("char ",TRIM($B561),"[doc_question] ",CHAR(96),CHAR(34),SUBSTITUTE(SUBSTITUTE(SUBSTITUTE(SUBSTITUTE(SUBSTITUTE(SUBSTITUTE($E561,CHAR(13)," "),CHAR(10)," "),CHAR(9)," "),CHAR(92),_xlfn.CONCAT(CHAR(92),CHAR(92))),"$",_xlfn.CONCAT(CHAR(92),"$")),CHAR(96),_xlfn.CONCAT(CHAR(92),CHAR(96))),CHAR(34),CHAR(39))))</f>
        <v/>
      </c>
      <c r="P561" s="5" t="str">
        <f>IF(OR(TRIM($B561)="",$F561=""),"",IF(OR(ISNUMBER(SEARCH(_xlfn.CONCAT(CHAR(96),CHAR(34)),$F561)),ISNUMBER(SEARCH(_xlfn.CONCAT(CHAR(34),CHAR(39)),$F561))),_xlfn.CONCAT("* REVIEW REQUIRED: compound-quote delimiter in Units on Sheet 1 row ",561,"; edit the input before running."),_xlfn.CONCAT("char ",TRIM($B561),"[doc_units] ",CHAR(96),CHAR(34),SUBSTITUTE(SUBSTITUTE(SUBSTITUTE(SUBSTITUTE(SUBSTITUTE(SUBSTITUTE($F561,CHAR(13)," "),CHAR(10)," "),CHAR(9)," "),CHAR(92),_xlfn.CONCAT(CHAR(92),CHAR(92))),"$",_xlfn.CONCAT(CHAR(92),"$")),CHAR(96),_xlfn.CONCAT(CHAR(92),CHAR(96))),CHAR(34),CHAR(39))))</f>
        <v/>
      </c>
      <c r="Q561" s="5" t="str">
        <f>IF(OR(TRIM($B561)="",$G561=""),"",IF(OR(ISNUMBER(SEARCH(_xlfn.CONCAT(CHAR(96),CHAR(34)),$G561)),ISNUMBER(SEARCH(_xlfn.CONCAT(CHAR(34),CHAR(39)),$G561))),_xlfn.CONCAT("* REVIEW REQUIRED: compound-quote delimiter in Universe on Sheet 1 row ",561,"; edit the input before running."),_xlfn.CONCAT("char ",TRIM($B561),"[doc_universe] ",CHAR(96),CHAR(34),SUBSTITUTE(SUBSTITUTE(SUBSTITUTE(SUBSTITUTE(SUBSTITUTE(SUBSTITUTE($G561,CHAR(13)," "),CHAR(10)," "),CHAR(9)," "),CHAR(92),_xlfn.CONCAT(CHAR(92),CHAR(92))),"$",_xlfn.CONCAT(CHAR(92),"$")),CHAR(96),_xlfn.CONCAT(CHAR(92),CHAR(96))),CHAR(34),CHAR(39))))</f>
        <v/>
      </c>
      <c r="R561" s="5" t="str">
        <f>IF(OR(TRIM($B561)="",$H561=""),"",IF(OR(ISNUMBER(SEARCH(_xlfn.CONCAT(CHAR(96),CHAR(34)),$H561)),ISNUMBER(SEARCH(_xlfn.CONCAT(CHAR(34),CHAR(39)),$H561))),_xlfn.CONCAT("* REVIEW REQUIRED: compound-quote delimiter in Source on Sheet 1 row ",561,"; edit the input before running."),_xlfn.CONCAT("char ",TRIM($B561),"[doc_source] ",CHAR(96),CHAR(34),SUBSTITUTE(SUBSTITUTE(SUBSTITUTE(SUBSTITUTE(SUBSTITUTE(SUBSTITUTE($H561,CHAR(13)," "),CHAR(10)," "),CHAR(9)," "),CHAR(92),_xlfn.CONCAT(CHAR(92),CHAR(92))),"$",_xlfn.CONCAT(CHAR(92),"$")),CHAR(96),_xlfn.CONCAT(CHAR(92),CHAR(96))),CHAR(34),CHAR(39))))</f>
        <v/>
      </c>
      <c r="S561" s="5" t="str">
        <f>IF(OR(TRIM($B561)="",$I561=""),"",IF(OR(ISNUMBER(SEARCH(_xlfn.CONCAT(CHAR(96),CHAR(34)),$I561)),ISNUMBER(SEARCH(_xlfn.CONCAT(CHAR(34),CHAR(39)),$I561))),_xlfn.CONCAT("* REVIEW REQUIRED: compound-quote delimiter in Derivation on Sheet 1 row ",561,"; edit the input before running."),_xlfn.CONCAT("char ",TRIM($B561),"[doc_derivation] ",CHAR(96),CHAR(34),SUBSTITUTE(SUBSTITUTE(SUBSTITUTE(SUBSTITUTE(SUBSTITUTE(SUBSTITUTE($I561,CHAR(13)," "),CHAR(10)," "),CHAR(9)," "),CHAR(92),_xlfn.CONCAT(CHAR(92),CHAR(92))),"$",_xlfn.CONCAT(CHAR(92),"$")),CHAR(96),_xlfn.CONCAT(CHAR(92),CHAR(96))),CHAR(34),CHAR(39))))</f>
        <v/>
      </c>
      <c r="T561" s="5" t="str">
        <f>IF(OR(TRIM($B561)="",$J561=""),"",IF(OR(ISNUMBER(SEARCH(_xlfn.CONCAT(CHAR(96),CHAR(34)),$J561)),ISNUMBER(SEARCH(_xlfn.CONCAT(CHAR(34),CHAR(39)),$J561))),_xlfn.CONCAT("* REVIEW REQUIRED: compound-quote delimiter in Notes on Sheet 1 row ",561,"; edit the input before running."),_xlfn.CONCAT("char ",TRIM($B561),"[doc_notes] ",CHAR(96),CHAR(34),SUBSTITUTE(SUBSTITUTE(SUBSTITUTE(SUBSTITUTE(SUBSTITUTE(SUBSTITUTE($J561,CHAR(13)," "),CHAR(10)," "),CHAR(9)," "),CHAR(92),_xlfn.CONCAT(CHAR(92),CHAR(92))),"$",_xlfn.CONCAT(CHAR(92),"$")),CHAR(96),_xlfn.CONCAT(CHAR(92),CHAR(96))),CHAR(34),CHAR(39))))</f>
        <v/>
      </c>
      <c r="U561" s="5">
        <f t="shared" si="17"/>
        <v>0</v>
      </c>
    </row>
    <row r="562" spans="3:21" ht="30" customHeight="1" x14ac:dyDescent="0.2">
      <c r="C562" s="4"/>
      <c r="K562" s="5">
        <f t="shared" si="16"/>
        <v>0</v>
      </c>
      <c r="L562" s="5" t="str">
        <f>IF(OR(TRIM($B562)="",$A562=""),"",IF(OR(ISNUMBER(SEARCH(_xlfn.CONCAT(CHAR(96),CHAR(34)),$A562)),ISNUMBER(SEARCH(_xlfn.CONCAT(CHAR(34),CHAR(39)),$A562))),_xlfn.CONCAT("* REVIEW REQUIRED: compound-quote delimiter in Codebook Section on Sheet 1 row ",562,"; edit the input before running."),_xlfn.CONCAT("char ",TRIM($B562),"[doc_section] ",CHAR(96),CHAR(34),SUBSTITUTE(SUBSTITUTE(SUBSTITUTE(SUBSTITUTE(SUBSTITUTE(SUBSTITUTE($A562,CHAR(13)," "),CHAR(10)," "),CHAR(9)," "),CHAR(92),_xlfn.CONCAT(CHAR(92),CHAR(92))),"$",_xlfn.CONCAT(CHAR(92),"$")),CHAR(96),_xlfn.CONCAT(CHAR(92),CHAR(96))),CHAR(34),CHAR(39))))</f>
        <v/>
      </c>
      <c r="M562" s="5" t="str">
        <f>IF(OR(TRIM($B562)="",$C562=""),"",IF(IFERROR(MATCH(TRIM($C562),{"Quantitative","Continuous","Discrete","Categorical","Nominal","Ordinal","Identifier"},0),0)=0,_xlfn.CONCAT("* REVIEW REQUIRED: invalid Variable Type on Sheet 1 row ",562,"."),_xlfn.CONCAT("char ",TRIM($B562),"[doc_vartype] ",CHAR(96),CHAR(34),SUBSTITUTE(SUBSTITUTE(SUBSTITUTE(SUBSTITUTE(SUBSTITUTE(SUBSTITUTE(LOWER(TRIM($C562)),CHAR(13)," "),CHAR(10)," "),CHAR(9)," "),CHAR(92),_xlfn.CONCAT(CHAR(92),CHAR(92))),"$",_xlfn.CONCAT(CHAR(92),"$")),CHAR(96),_xlfn.CONCAT(CHAR(92),CHAR(96))),CHAR(34),CHAR(39))))</f>
        <v/>
      </c>
      <c r="N562" s="5" t="str">
        <f>IF(OR(TRIM($B562)="",$D562=""),"",IF(OR(ISNUMBER(SEARCH(_xlfn.CONCAT(CHAR(96),CHAR(34)),$D562)),ISNUMBER(SEARCH(_xlfn.CONCAT(CHAR(34),CHAR(39)),$D562))),_xlfn.CONCAT("* REVIEW REQUIRED: compound-quote delimiter in Item Number on Sheet 1 row ",562,"; edit the input before running."),_xlfn.CONCAT("char ",TRIM($B562),"[doc_itemnum] ",CHAR(96),CHAR(34),SUBSTITUTE(SUBSTITUTE(SUBSTITUTE(SUBSTITUTE(SUBSTITUTE(SUBSTITUTE($D562,CHAR(13)," "),CHAR(10)," "),CHAR(9)," "),CHAR(92),_xlfn.CONCAT(CHAR(92),CHAR(92))),"$",_xlfn.CONCAT(CHAR(92),"$")),CHAR(96),_xlfn.CONCAT(CHAR(92),CHAR(96))),CHAR(34),CHAR(39))))</f>
        <v/>
      </c>
      <c r="O562" s="5" t="str">
        <f>IF(OR(TRIM($B562)="",$E562=""),"",IF(OR(ISNUMBER(SEARCH(_xlfn.CONCAT(CHAR(96),CHAR(34)),$E562)),ISNUMBER(SEARCH(_xlfn.CONCAT(CHAR(34),CHAR(39)),$E562))),_xlfn.CONCAT("* REVIEW REQUIRED: compound-quote delimiter in Question Wording on Sheet 1 row ",562,"; edit the input before running."),_xlfn.CONCAT("char ",TRIM($B562),"[doc_question] ",CHAR(96),CHAR(34),SUBSTITUTE(SUBSTITUTE(SUBSTITUTE(SUBSTITUTE(SUBSTITUTE(SUBSTITUTE($E562,CHAR(13)," "),CHAR(10)," "),CHAR(9)," "),CHAR(92),_xlfn.CONCAT(CHAR(92),CHAR(92))),"$",_xlfn.CONCAT(CHAR(92),"$")),CHAR(96),_xlfn.CONCAT(CHAR(92),CHAR(96))),CHAR(34),CHAR(39))))</f>
        <v/>
      </c>
      <c r="P562" s="5" t="str">
        <f>IF(OR(TRIM($B562)="",$F562=""),"",IF(OR(ISNUMBER(SEARCH(_xlfn.CONCAT(CHAR(96),CHAR(34)),$F562)),ISNUMBER(SEARCH(_xlfn.CONCAT(CHAR(34),CHAR(39)),$F562))),_xlfn.CONCAT("* REVIEW REQUIRED: compound-quote delimiter in Units on Sheet 1 row ",562,"; edit the input before running."),_xlfn.CONCAT("char ",TRIM($B562),"[doc_units] ",CHAR(96),CHAR(34),SUBSTITUTE(SUBSTITUTE(SUBSTITUTE(SUBSTITUTE(SUBSTITUTE(SUBSTITUTE($F562,CHAR(13)," "),CHAR(10)," "),CHAR(9)," "),CHAR(92),_xlfn.CONCAT(CHAR(92),CHAR(92))),"$",_xlfn.CONCAT(CHAR(92),"$")),CHAR(96),_xlfn.CONCAT(CHAR(92),CHAR(96))),CHAR(34),CHAR(39))))</f>
        <v/>
      </c>
      <c r="Q562" s="5" t="str">
        <f>IF(OR(TRIM($B562)="",$G562=""),"",IF(OR(ISNUMBER(SEARCH(_xlfn.CONCAT(CHAR(96),CHAR(34)),$G562)),ISNUMBER(SEARCH(_xlfn.CONCAT(CHAR(34),CHAR(39)),$G562))),_xlfn.CONCAT("* REVIEW REQUIRED: compound-quote delimiter in Universe on Sheet 1 row ",562,"; edit the input before running."),_xlfn.CONCAT("char ",TRIM($B562),"[doc_universe] ",CHAR(96),CHAR(34),SUBSTITUTE(SUBSTITUTE(SUBSTITUTE(SUBSTITUTE(SUBSTITUTE(SUBSTITUTE($G562,CHAR(13)," "),CHAR(10)," "),CHAR(9)," "),CHAR(92),_xlfn.CONCAT(CHAR(92),CHAR(92))),"$",_xlfn.CONCAT(CHAR(92),"$")),CHAR(96),_xlfn.CONCAT(CHAR(92),CHAR(96))),CHAR(34),CHAR(39))))</f>
        <v/>
      </c>
      <c r="R562" s="5" t="str">
        <f>IF(OR(TRIM($B562)="",$H562=""),"",IF(OR(ISNUMBER(SEARCH(_xlfn.CONCAT(CHAR(96),CHAR(34)),$H562)),ISNUMBER(SEARCH(_xlfn.CONCAT(CHAR(34),CHAR(39)),$H562))),_xlfn.CONCAT("* REVIEW REQUIRED: compound-quote delimiter in Source on Sheet 1 row ",562,"; edit the input before running."),_xlfn.CONCAT("char ",TRIM($B562),"[doc_source] ",CHAR(96),CHAR(34),SUBSTITUTE(SUBSTITUTE(SUBSTITUTE(SUBSTITUTE(SUBSTITUTE(SUBSTITUTE($H562,CHAR(13)," "),CHAR(10)," "),CHAR(9)," "),CHAR(92),_xlfn.CONCAT(CHAR(92),CHAR(92))),"$",_xlfn.CONCAT(CHAR(92),"$")),CHAR(96),_xlfn.CONCAT(CHAR(92),CHAR(96))),CHAR(34),CHAR(39))))</f>
        <v/>
      </c>
      <c r="S562" s="5" t="str">
        <f>IF(OR(TRIM($B562)="",$I562=""),"",IF(OR(ISNUMBER(SEARCH(_xlfn.CONCAT(CHAR(96),CHAR(34)),$I562)),ISNUMBER(SEARCH(_xlfn.CONCAT(CHAR(34),CHAR(39)),$I562))),_xlfn.CONCAT("* REVIEW REQUIRED: compound-quote delimiter in Derivation on Sheet 1 row ",562,"; edit the input before running."),_xlfn.CONCAT("char ",TRIM($B562),"[doc_derivation] ",CHAR(96),CHAR(34),SUBSTITUTE(SUBSTITUTE(SUBSTITUTE(SUBSTITUTE(SUBSTITUTE(SUBSTITUTE($I562,CHAR(13)," "),CHAR(10)," "),CHAR(9)," "),CHAR(92),_xlfn.CONCAT(CHAR(92),CHAR(92))),"$",_xlfn.CONCAT(CHAR(92),"$")),CHAR(96),_xlfn.CONCAT(CHAR(92),CHAR(96))),CHAR(34),CHAR(39))))</f>
        <v/>
      </c>
      <c r="T562" s="5" t="str">
        <f>IF(OR(TRIM($B562)="",$J562=""),"",IF(OR(ISNUMBER(SEARCH(_xlfn.CONCAT(CHAR(96),CHAR(34)),$J562)),ISNUMBER(SEARCH(_xlfn.CONCAT(CHAR(34),CHAR(39)),$J562))),_xlfn.CONCAT("* REVIEW REQUIRED: compound-quote delimiter in Notes on Sheet 1 row ",562,"; edit the input before running."),_xlfn.CONCAT("char ",TRIM($B562),"[doc_notes] ",CHAR(96),CHAR(34),SUBSTITUTE(SUBSTITUTE(SUBSTITUTE(SUBSTITUTE(SUBSTITUTE(SUBSTITUTE($J562,CHAR(13)," "),CHAR(10)," "),CHAR(9)," "),CHAR(92),_xlfn.CONCAT(CHAR(92),CHAR(92))),"$",_xlfn.CONCAT(CHAR(92),"$")),CHAR(96),_xlfn.CONCAT(CHAR(92),CHAR(96))),CHAR(34),CHAR(39))))</f>
        <v/>
      </c>
      <c r="U562" s="5">
        <f t="shared" si="17"/>
        <v>0</v>
      </c>
    </row>
    <row r="563" spans="3:21" ht="30" customHeight="1" x14ac:dyDescent="0.2">
      <c r="C563" s="4"/>
      <c r="K563" s="5">
        <f t="shared" si="16"/>
        <v>0</v>
      </c>
      <c r="L563" s="5" t="str">
        <f>IF(OR(TRIM($B563)="",$A563=""),"",IF(OR(ISNUMBER(SEARCH(_xlfn.CONCAT(CHAR(96),CHAR(34)),$A563)),ISNUMBER(SEARCH(_xlfn.CONCAT(CHAR(34),CHAR(39)),$A563))),_xlfn.CONCAT("* REVIEW REQUIRED: compound-quote delimiter in Codebook Section on Sheet 1 row ",563,"; edit the input before running."),_xlfn.CONCAT("char ",TRIM($B563),"[doc_section] ",CHAR(96),CHAR(34),SUBSTITUTE(SUBSTITUTE(SUBSTITUTE(SUBSTITUTE(SUBSTITUTE(SUBSTITUTE($A563,CHAR(13)," "),CHAR(10)," "),CHAR(9)," "),CHAR(92),_xlfn.CONCAT(CHAR(92),CHAR(92))),"$",_xlfn.CONCAT(CHAR(92),"$")),CHAR(96),_xlfn.CONCAT(CHAR(92),CHAR(96))),CHAR(34),CHAR(39))))</f>
        <v/>
      </c>
      <c r="M563" s="5" t="str">
        <f>IF(OR(TRIM($B563)="",$C563=""),"",IF(IFERROR(MATCH(TRIM($C563),{"Quantitative","Continuous","Discrete","Categorical","Nominal","Ordinal","Identifier"},0),0)=0,_xlfn.CONCAT("* REVIEW REQUIRED: invalid Variable Type on Sheet 1 row ",563,"."),_xlfn.CONCAT("char ",TRIM($B563),"[doc_vartype] ",CHAR(96),CHAR(34),SUBSTITUTE(SUBSTITUTE(SUBSTITUTE(SUBSTITUTE(SUBSTITUTE(SUBSTITUTE(LOWER(TRIM($C563)),CHAR(13)," "),CHAR(10)," "),CHAR(9)," "),CHAR(92),_xlfn.CONCAT(CHAR(92),CHAR(92))),"$",_xlfn.CONCAT(CHAR(92),"$")),CHAR(96),_xlfn.CONCAT(CHAR(92),CHAR(96))),CHAR(34),CHAR(39))))</f>
        <v/>
      </c>
      <c r="N563" s="5" t="str">
        <f>IF(OR(TRIM($B563)="",$D563=""),"",IF(OR(ISNUMBER(SEARCH(_xlfn.CONCAT(CHAR(96),CHAR(34)),$D563)),ISNUMBER(SEARCH(_xlfn.CONCAT(CHAR(34),CHAR(39)),$D563))),_xlfn.CONCAT("* REVIEW REQUIRED: compound-quote delimiter in Item Number on Sheet 1 row ",563,"; edit the input before running."),_xlfn.CONCAT("char ",TRIM($B563),"[doc_itemnum] ",CHAR(96),CHAR(34),SUBSTITUTE(SUBSTITUTE(SUBSTITUTE(SUBSTITUTE(SUBSTITUTE(SUBSTITUTE($D563,CHAR(13)," "),CHAR(10)," "),CHAR(9)," "),CHAR(92),_xlfn.CONCAT(CHAR(92),CHAR(92))),"$",_xlfn.CONCAT(CHAR(92),"$")),CHAR(96),_xlfn.CONCAT(CHAR(92),CHAR(96))),CHAR(34),CHAR(39))))</f>
        <v/>
      </c>
      <c r="O563" s="5" t="str">
        <f>IF(OR(TRIM($B563)="",$E563=""),"",IF(OR(ISNUMBER(SEARCH(_xlfn.CONCAT(CHAR(96),CHAR(34)),$E563)),ISNUMBER(SEARCH(_xlfn.CONCAT(CHAR(34),CHAR(39)),$E563))),_xlfn.CONCAT("* REVIEW REQUIRED: compound-quote delimiter in Question Wording on Sheet 1 row ",563,"; edit the input before running."),_xlfn.CONCAT("char ",TRIM($B563),"[doc_question] ",CHAR(96),CHAR(34),SUBSTITUTE(SUBSTITUTE(SUBSTITUTE(SUBSTITUTE(SUBSTITUTE(SUBSTITUTE($E563,CHAR(13)," "),CHAR(10)," "),CHAR(9)," "),CHAR(92),_xlfn.CONCAT(CHAR(92),CHAR(92))),"$",_xlfn.CONCAT(CHAR(92),"$")),CHAR(96),_xlfn.CONCAT(CHAR(92),CHAR(96))),CHAR(34),CHAR(39))))</f>
        <v/>
      </c>
      <c r="P563" s="5" t="str">
        <f>IF(OR(TRIM($B563)="",$F563=""),"",IF(OR(ISNUMBER(SEARCH(_xlfn.CONCAT(CHAR(96),CHAR(34)),$F563)),ISNUMBER(SEARCH(_xlfn.CONCAT(CHAR(34),CHAR(39)),$F563))),_xlfn.CONCAT("* REVIEW REQUIRED: compound-quote delimiter in Units on Sheet 1 row ",563,"; edit the input before running."),_xlfn.CONCAT("char ",TRIM($B563),"[doc_units] ",CHAR(96),CHAR(34),SUBSTITUTE(SUBSTITUTE(SUBSTITUTE(SUBSTITUTE(SUBSTITUTE(SUBSTITUTE($F563,CHAR(13)," "),CHAR(10)," "),CHAR(9)," "),CHAR(92),_xlfn.CONCAT(CHAR(92),CHAR(92))),"$",_xlfn.CONCAT(CHAR(92),"$")),CHAR(96),_xlfn.CONCAT(CHAR(92),CHAR(96))),CHAR(34),CHAR(39))))</f>
        <v/>
      </c>
      <c r="Q563" s="5" t="str">
        <f>IF(OR(TRIM($B563)="",$G563=""),"",IF(OR(ISNUMBER(SEARCH(_xlfn.CONCAT(CHAR(96),CHAR(34)),$G563)),ISNUMBER(SEARCH(_xlfn.CONCAT(CHAR(34),CHAR(39)),$G563))),_xlfn.CONCAT("* REVIEW REQUIRED: compound-quote delimiter in Universe on Sheet 1 row ",563,"; edit the input before running."),_xlfn.CONCAT("char ",TRIM($B563),"[doc_universe] ",CHAR(96),CHAR(34),SUBSTITUTE(SUBSTITUTE(SUBSTITUTE(SUBSTITUTE(SUBSTITUTE(SUBSTITUTE($G563,CHAR(13)," "),CHAR(10)," "),CHAR(9)," "),CHAR(92),_xlfn.CONCAT(CHAR(92),CHAR(92))),"$",_xlfn.CONCAT(CHAR(92),"$")),CHAR(96),_xlfn.CONCAT(CHAR(92),CHAR(96))),CHAR(34),CHAR(39))))</f>
        <v/>
      </c>
      <c r="R563" s="5" t="str">
        <f>IF(OR(TRIM($B563)="",$H563=""),"",IF(OR(ISNUMBER(SEARCH(_xlfn.CONCAT(CHAR(96),CHAR(34)),$H563)),ISNUMBER(SEARCH(_xlfn.CONCAT(CHAR(34),CHAR(39)),$H563))),_xlfn.CONCAT("* REVIEW REQUIRED: compound-quote delimiter in Source on Sheet 1 row ",563,"; edit the input before running."),_xlfn.CONCAT("char ",TRIM($B563),"[doc_source] ",CHAR(96),CHAR(34),SUBSTITUTE(SUBSTITUTE(SUBSTITUTE(SUBSTITUTE(SUBSTITUTE(SUBSTITUTE($H563,CHAR(13)," "),CHAR(10)," "),CHAR(9)," "),CHAR(92),_xlfn.CONCAT(CHAR(92),CHAR(92))),"$",_xlfn.CONCAT(CHAR(92),"$")),CHAR(96),_xlfn.CONCAT(CHAR(92),CHAR(96))),CHAR(34),CHAR(39))))</f>
        <v/>
      </c>
      <c r="S563" s="5" t="str">
        <f>IF(OR(TRIM($B563)="",$I563=""),"",IF(OR(ISNUMBER(SEARCH(_xlfn.CONCAT(CHAR(96),CHAR(34)),$I563)),ISNUMBER(SEARCH(_xlfn.CONCAT(CHAR(34),CHAR(39)),$I563))),_xlfn.CONCAT("* REVIEW REQUIRED: compound-quote delimiter in Derivation on Sheet 1 row ",563,"; edit the input before running."),_xlfn.CONCAT("char ",TRIM($B563),"[doc_derivation] ",CHAR(96),CHAR(34),SUBSTITUTE(SUBSTITUTE(SUBSTITUTE(SUBSTITUTE(SUBSTITUTE(SUBSTITUTE($I563,CHAR(13)," "),CHAR(10)," "),CHAR(9)," "),CHAR(92),_xlfn.CONCAT(CHAR(92),CHAR(92))),"$",_xlfn.CONCAT(CHAR(92),"$")),CHAR(96),_xlfn.CONCAT(CHAR(92),CHAR(96))),CHAR(34),CHAR(39))))</f>
        <v/>
      </c>
      <c r="T563" s="5" t="str">
        <f>IF(OR(TRIM($B563)="",$J563=""),"",IF(OR(ISNUMBER(SEARCH(_xlfn.CONCAT(CHAR(96),CHAR(34)),$J563)),ISNUMBER(SEARCH(_xlfn.CONCAT(CHAR(34),CHAR(39)),$J563))),_xlfn.CONCAT("* REVIEW REQUIRED: compound-quote delimiter in Notes on Sheet 1 row ",563,"; edit the input before running."),_xlfn.CONCAT("char ",TRIM($B563),"[doc_notes] ",CHAR(96),CHAR(34),SUBSTITUTE(SUBSTITUTE(SUBSTITUTE(SUBSTITUTE(SUBSTITUTE(SUBSTITUTE($J563,CHAR(13)," "),CHAR(10)," "),CHAR(9)," "),CHAR(92),_xlfn.CONCAT(CHAR(92),CHAR(92))),"$",_xlfn.CONCAT(CHAR(92),"$")),CHAR(96),_xlfn.CONCAT(CHAR(92),CHAR(96))),CHAR(34),CHAR(39))))</f>
        <v/>
      </c>
      <c r="U563" s="5">
        <f t="shared" si="17"/>
        <v>0</v>
      </c>
    </row>
    <row r="564" spans="3:21" ht="30" customHeight="1" x14ac:dyDescent="0.2">
      <c r="C564" s="4"/>
      <c r="K564" s="5">
        <f t="shared" si="16"/>
        <v>0</v>
      </c>
      <c r="L564" s="5" t="str">
        <f>IF(OR(TRIM($B564)="",$A564=""),"",IF(OR(ISNUMBER(SEARCH(_xlfn.CONCAT(CHAR(96),CHAR(34)),$A564)),ISNUMBER(SEARCH(_xlfn.CONCAT(CHAR(34),CHAR(39)),$A564))),_xlfn.CONCAT("* REVIEW REQUIRED: compound-quote delimiter in Codebook Section on Sheet 1 row ",564,"; edit the input before running."),_xlfn.CONCAT("char ",TRIM($B564),"[doc_section] ",CHAR(96),CHAR(34),SUBSTITUTE(SUBSTITUTE(SUBSTITUTE(SUBSTITUTE(SUBSTITUTE(SUBSTITUTE($A564,CHAR(13)," "),CHAR(10)," "),CHAR(9)," "),CHAR(92),_xlfn.CONCAT(CHAR(92),CHAR(92))),"$",_xlfn.CONCAT(CHAR(92),"$")),CHAR(96),_xlfn.CONCAT(CHAR(92),CHAR(96))),CHAR(34),CHAR(39))))</f>
        <v/>
      </c>
      <c r="M564" s="5" t="str">
        <f>IF(OR(TRIM($B564)="",$C564=""),"",IF(IFERROR(MATCH(TRIM($C564),{"Quantitative","Continuous","Discrete","Categorical","Nominal","Ordinal","Identifier"},0),0)=0,_xlfn.CONCAT("* REVIEW REQUIRED: invalid Variable Type on Sheet 1 row ",564,"."),_xlfn.CONCAT("char ",TRIM($B564),"[doc_vartype] ",CHAR(96),CHAR(34),SUBSTITUTE(SUBSTITUTE(SUBSTITUTE(SUBSTITUTE(SUBSTITUTE(SUBSTITUTE(LOWER(TRIM($C564)),CHAR(13)," "),CHAR(10)," "),CHAR(9)," "),CHAR(92),_xlfn.CONCAT(CHAR(92),CHAR(92))),"$",_xlfn.CONCAT(CHAR(92),"$")),CHAR(96),_xlfn.CONCAT(CHAR(92),CHAR(96))),CHAR(34),CHAR(39))))</f>
        <v/>
      </c>
      <c r="N564" s="5" t="str">
        <f>IF(OR(TRIM($B564)="",$D564=""),"",IF(OR(ISNUMBER(SEARCH(_xlfn.CONCAT(CHAR(96),CHAR(34)),$D564)),ISNUMBER(SEARCH(_xlfn.CONCAT(CHAR(34),CHAR(39)),$D564))),_xlfn.CONCAT("* REVIEW REQUIRED: compound-quote delimiter in Item Number on Sheet 1 row ",564,"; edit the input before running."),_xlfn.CONCAT("char ",TRIM($B564),"[doc_itemnum] ",CHAR(96),CHAR(34),SUBSTITUTE(SUBSTITUTE(SUBSTITUTE(SUBSTITUTE(SUBSTITUTE(SUBSTITUTE($D564,CHAR(13)," "),CHAR(10)," "),CHAR(9)," "),CHAR(92),_xlfn.CONCAT(CHAR(92),CHAR(92))),"$",_xlfn.CONCAT(CHAR(92),"$")),CHAR(96),_xlfn.CONCAT(CHAR(92),CHAR(96))),CHAR(34),CHAR(39))))</f>
        <v/>
      </c>
      <c r="O564" s="5" t="str">
        <f>IF(OR(TRIM($B564)="",$E564=""),"",IF(OR(ISNUMBER(SEARCH(_xlfn.CONCAT(CHAR(96),CHAR(34)),$E564)),ISNUMBER(SEARCH(_xlfn.CONCAT(CHAR(34),CHAR(39)),$E564))),_xlfn.CONCAT("* REVIEW REQUIRED: compound-quote delimiter in Question Wording on Sheet 1 row ",564,"; edit the input before running."),_xlfn.CONCAT("char ",TRIM($B564),"[doc_question] ",CHAR(96),CHAR(34),SUBSTITUTE(SUBSTITUTE(SUBSTITUTE(SUBSTITUTE(SUBSTITUTE(SUBSTITUTE($E564,CHAR(13)," "),CHAR(10)," "),CHAR(9)," "),CHAR(92),_xlfn.CONCAT(CHAR(92),CHAR(92))),"$",_xlfn.CONCAT(CHAR(92),"$")),CHAR(96),_xlfn.CONCAT(CHAR(92),CHAR(96))),CHAR(34),CHAR(39))))</f>
        <v/>
      </c>
      <c r="P564" s="5" t="str">
        <f>IF(OR(TRIM($B564)="",$F564=""),"",IF(OR(ISNUMBER(SEARCH(_xlfn.CONCAT(CHAR(96),CHAR(34)),$F564)),ISNUMBER(SEARCH(_xlfn.CONCAT(CHAR(34),CHAR(39)),$F564))),_xlfn.CONCAT("* REVIEW REQUIRED: compound-quote delimiter in Units on Sheet 1 row ",564,"; edit the input before running."),_xlfn.CONCAT("char ",TRIM($B564),"[doc_units] ",CHAR(96),CHAR(34),SUBSTITUTE(SUBSTITUTE(SUBSTITUTE(SUBSTITUTE(SUBSTITUTE(SUBSTITUTE($F564,CHAR(13)," "),CHAR(10)," "),CHAR(9)," "),CHAR(92),_xlfn.CONCAT(CHAR(92),CHAR(92))),"$",_xlfn.CONCAT(CHAR(92),"$")),CHAR(96),_xlfn.CONCAT(CHAR(92),CHAR(96))),CHAR(34),CHAR(39))))</f>
        <v/>
      </c>
      <c r="Q564" s="5" t="str">
        <f>IF(OR(TRIM($B564)="",$G564=""),"",IF(OR(ISNUMBER(SEARCH(_xlfn.CONCAT(CHAR(96),CHAR(34)),$G564)),ISNUMBER(SEARCH(_xlfn.CONCAT(CHAR(34),CHAR(39)),$G564))),_xlfn.CONCAT("* REVIEW REQUIRED: compound-quote delimiter in Universe on Sheet 1 row ",564,"; edit the input before running."),_xlfn.CONCAT("char ",TRIM($B564),"[doc_universe] ",CHAR(96),CHAR(34),SUBSTITUTE(SUBSTITUTE(SUBSTITUTE(SUBSTITUTE(SUBSTITUTE(SUBSTITUTE($G564,CHAR(13)," "),CHAR(10)," "),CHAR(9)," "),CHAR(92),_xlfn.CONCAT(CHAR(92),CHAR(92))),"$",_xlfn.CONCAT(CHAR(92),"$")),CHAR(96),_xlfn.CONCAT(CHAR(92),CHAR(96))),CHAR(34),CHAR(39))))</f>
        <v/>
      </c>
      <c r="R564" s="5" t="str">
        <f>IF(OR(TRIM($B564)="",$H564=""),"",IF(OR(ISNUMBER(SEARCH(_xlfn.CONCAT(CHAR(96),CHAR(34)),$H564)),ISNUMBER(SEARCH(_xlfn.CONCAT(CHAR(34),CHAR(39)),$H564))),_xlfn.CONCAT("* REVIEW REQUIRED: compound-quote delimiter in Source on Sheet 1 row ",564,"; edit the input before running."),_xlfn.CONCAT("char ",TRIM($B564),"[doc_source] ",CHAR(96),CHAR(34),SUBSTITUTE(SUBSTITUTE(SUBSTITUTE(SUBSTITUTE(SUBSTITUTE(SUBSTITUTE($H564,CHAR(13)," "),CHAR(10)," "),CHAR(9)," "),CHAR(92),_xlfn.CONCAT(CHAR(92),CHAR(92))),"$",_xlfn.CONCAT(CHAR(92),"$")),CHAR(96),_xlfn.CONCAT(CHAR(92),CHAR(96))),CHAR(34),CHAR(39))))</f>
        <v/>
      </c>
      <c r="S564" s="5" t="str">
        <f>IF(OR(TRIM($B564)="",$I564=""),"",IF(OR(ISNUMBER(SEARCH(_xlfn.CONCAT(CHAR(96),CHAR(34)),$I564)),ISNUMBER(SEARCH(_xlfn.CONCAT(CHAR(34),CHAR(39)),$I564))),_xlfn.CONCAT("* REVIEW REQUIRED: compound-quote delimiter in Derivation on Sheet 1 row ",564,"; edit the input before running."),_xlfn.CONCAT("char ",TRIM($B564),"[doc_derivation] ",CHAR(96),CHAR(34),SUBSTITUTE(SUBSTITUTE(SUBSTITUTE(SUBSTITUTE(SUBSTITUTE(SUBSTITUTE($I564,CHAR(13)," "),CHAR(10)," "),CHAR(9)," "),CHAR(92),_xlfn.CONCAT(CHAR(92),CHAR(92))),"$",_xlfn.CONCAT(CHAR(92),"$")),CHAR(96),_xlfn.CONCAT(CHAR(92),CHAR(96))),CHAR(34),CHAR(39))))</f>
        <v/>
      </c>
      <c r="T564" s="5" t="str">
        <f>IF(OR(TRIM($B564)="",$J564=""),"",IF(OR(ISNUMBER(SEARCH(_xlfn.CONCAT(CHAR(96),CHAR(34)),$J564)),ISNUMBER(SEARCH(_xlfn.CONCAT(CHAR(34),CHAR(39)),$J564))),_xlfn.CONCAT("* REVIEW REQUIRED: compound-quote delimiter in Notes on Sheet 1 row ",564,"; edit the input before running."),_xlfn.CONCAT("char ",TRIM($B564),"[doc_notes] ",CHAR(96),CHAR(34),SUBSTITUTE(SUBSTITUTE(SUBSTITUTE(SUBSTITUTE(SUBSTITUTE(SUBSTITUTE($J564,CHAR(13)," "),CHAR(10)," "),CHAR(9)," "),CHAR(92),_xlfn.CONCAT(CHAR(92),CHAR(92))),"$",_xlfn.CONCAT(CHAR(92),"$")),CHAR(96),_xlfn.CONCAT(CHAR(92),CHAR(96))),CHAR(34),CHAR(39))))</f>
        <v/>
      </c>
      <c r="U564" s="5">
        <f t="shared" si="17"/>
        <v>0</v>
      </c>
    </row>
    <row r="565" spans="3:21" ht="30" customHeight="1" x14ac:dyDescent="0.2">
      <c r="C565" s="4"/>
      <c r="K565" s="5">
        <f t="shared" si="16"/>
        <v>0</v>
      </c>
      <c r="L565" s="5" t="str">
        <f>IF(OR(TRIM($B565)="",$A565=""),"",IF(OR(ISNUMBER(SEARCH(_xlfn.CONCAT(CHAR(96),CHAR(34)),$A565)),ISNUMBER(SEARCH(_xlfn.CONCAT(CHAR(34),CHAR(39)),$A565))),_xlfn.CONCAT("* REVIEW REQUIRED: compound-quote delimiter in Codebook Section on Sheet 1 row ",565,"; edit the input before running."),_xlfn.CONCAT("char ",TRIM($B565),"[doc_section] ",CHAR(96),CHAR(34),SUBSTITUTE(SUBSTITUTE(SUBSTITUTE(SUBSTITUTE(SUBSTITUTE(SUBSTITUTE($A565,CHAR(13)," "),CHAR(10)," "),CHAR(9)," "),CHAR(92),_xlfn.CONCAT(CHAR(92),CHAR(92))),"$",_xlfn.CONCAT(CHAR(92),"$")),CHAR(96),_xlfn.CONCAT(CHAR(92),CHAR(96))),CHAR(34),CHAR(39))))</f>
        <v/>
      </c>
      <c r="M565" s="5" t="str">
        <f>IF(OR(TRIM($B565)="",$C565=""),"",IF(IFERROR(MATCH(TRIM($C565),{"Quantitative","Continuous","Discrete","Categorical","Nominal","Ordinal","Identifier"},0),0)=0,_xlfn.CONCAT("* REVIEW REQUIRED: invalid Variable Type on Sheet 1 row ",565,"."),_xlfn.CONCAT("char ",TRIM($B565),"[doc_vartype] ",CHAR(96),CHAR(34),SUBSTITUTE(SUBSTITUTE(SUBSTITUTE(SUBSTITUTE(SUBSTITUTE(SUBSTITUTE(LOWER(TRIM($C565)),CHAR(13)," "),CHAR(10)," "),CHAR(9)," "),CHAR(92),_xlfn.CONCAT(CHAR(92),CHAR(92))),"$",_xlfn.CONCAT(CHAR(92),"$")),CHAR(96),_xlfn.CONCAT(CHAR(92),CHAR(96))),CHAR(34),CHAR(39))))</f>
        <v/>
      </c>
      <c r="N565" s="5" t="str">
        <f>IF(OR(TRIM($B565)="",$D565=""),"",IF(OR(ISNUMBER(SEARCH(_xlfn.CONCAT(CHAR(96),CHAR(34)),$D565)),ISNUMBER(SEARCH(_xlfn.CONCAT(CHAR(34),CHAR(39)),$D565))),_xlfn.CONCAT("* REVIEW REQUIRED: compound-quote delimiter in Item Number on Sheet 1 row ",565,"; edit the input before running."),_xlfn.CONCAT("char ",TRIM($B565),"[doc_itemnum] ",CHAR(96),CHAR(34),SUBSTITUTE(SUBSTITUTE(SUBSTITUTE(SUBSTITUTE(SUBSTITUTE(SUBSTITUTE($D565,CHAR(13)," "),CHAR(10)," "),CHAR(9)," "),CHAR(92),_xlfn.CONCAT(CHAR(92),CHAR(92))),"$",_xlfn.CONCAT(CHAR(92),"$")),CHAR(96),_xlfn.CONCAT(CHAR(92),CHAR(96))),CHAR(34),CHAR(39))))</f>
        <v/>
      </c>
      <c r="O565" s="5" t="str">
        <f>IF(OR(TRIM($B565)="",$E565=""),"",IF(OR(ISNUMBER(SEARCH(_xlfn.CONCAT(CHAR(96),CHAR(34)),$E565)),ISNUMBER(SEARCH(_xlfn.CONCAT(CHAR(34),CHAR(39)),$E565))),_xlfn.CONCAT("* REVIEW REQUIRED: compound-quote delimiter in Question Wording on Sheet 1 row ",565,"; edit the input before running."),_xlfn.CONCAT("char ",TRIM($B565),"[doc_question] ",CHAR(96),CHAR(34),SUBSTITUTE(SUBSTITUTE(SUBSTITUTE(SUBSTITUTE(SUBSTITUTE(SUBSTITUTE($E565,CHAR(13)," "),CHAR(10)," "),CHAR(9)," "),CHAR(92),_xlfn.CONCAT(CHAR(92),CHAR(92))),"$",_xlfn.CONCAT(CHAR(92),"$")),CHAR(96),_xlfn.CONCAT(CHAR(92),CHAR(96))),CHAR(34),CHAR(39))))</f>
        <v/>
      </c>
      <c r="P565" s="5" t="str">
        <f>IF(OR(TRIM($B565)="",$F565=""),"",IF(OR(ISNUMBER(SEARCH(_xlfn.CONCAT(CHAR(96),CHAR(34)),$F565)),ISNUMBER(SEARCH(_xlfn.CONCAT(CHAR(34),CHAR(39)),$F565))),_xlfn.CONCAT("* REVIEW REQUIRED: compound-quote delimiter in Units on Sheet 1 row ",565,"; edit the input before running."),_xlfn.CONCAT("char ",TRIM($B565),"[doc_units] ",CHAR(96),CHAR(34),SUBSTITUTE(SUBSTITUTE(SUBSTITUTE(SUBSTITUTE(SUBSTITUTE(SUBSTITUTE($F565,CHAR(13)," "),CHAR(10)," "),CHAR(9)," "),CHAR(92),_xlfn.CONCAT(CHAR(92),CHAR(92))),"$",_xlfn.CONCAT(CHAR(92),"$")),CHAR(96),_xlfn.CONCAT(CHAR(92),CHAR(96))),CHAR(34),CHAR(39))))</f>
        <v/>
      </c>
      <c r="Q565" s="5" t="str">
        <f>IF(OR(TRIM($B565)="",$G565=""),"",IF(OR(ISNUMBER(SEARCH(_xlfn.CONCAT(CHAR(96),CHAR(34)),$G565)),ISNUMBER(SEARCH(_xlfn.CONCAT(CHAR(34),CHAR(39)),$G565))),_xlfn.CONCAT("* REVIEW REQUIRED: compound-quote delimiter in Universe on Sheet 1 row ",565,"; edit the input before running."),_xlfn.CONCAT("char ",TRIM($B565),"[doc_universe] ",CHAR(96),CHAR(34),SUBSTITUTE(SUBSTITUTE(SUBSTITUTE(SUBSTITUTE(SUBSTITUTE(SUBSTITUTE($G565,CHAR(13)," "),CHAR(10)," "),CHAR(9)," "),CHAR(92),_xlfn.CONCAT(CHAR(92),CHAR(92))),"$",_xlfn.CONCAT(CHAR(92),"$")),CHAR(96),_xlfn.CONCAT(CHAR(92),CHAR(96))),CHAR(34),CHAR(39))))</f>
        <v/>
      </c>
      <c r="R565" s="5" t="str">
        <f>IF(OR(TRIM($B565)="",$H565=""),"",IF(OR(ISNUMBER(SEARCH(_xlfn.CONCAT(CHAR(96),CHAR(34)),$H565)),ISNUMBER(SEARCH(_xlfn.CONCAT(CHAR(34),CHAR(39)),$H565))),_xlfn.CONCAT("* REVIEW REQUIRED: compound-quote delimiter in Source on Sheet 1 row ",565,"; edit the input before running."),_xlfn.CONCAT("char ",TRIM($B565),"[doc_source] ",CHAR(96),CHAR(34),SUBSTITUTE(SUBSTITUTE(SUBSTITUTE(SUBSTITUTE(SUBSTITUTE(SUBSTITUTE($H565,CHAR(13)," "),CHAR(10)," "),CHAR(9)," "),CHAR(92),_xlfn.CONCAT(CHAR(92),CHAR(92))),"$",_xlfn.CONCAT(CHAR(92),"$")),CHAR(96),_xlfn.CONCAT(CHAR(92),CHAR(96))),CHAR(34),CHAR(39))))</f>
        <v/>
      </c>
      <c r="S565" s="5" t="str">
        <f>IF(OR(TRIM($B565)="",$I565=""),"",IF(OR(ISNUMBER(SEARCH(_xlfn.CONCAT(CHAR(96),CHAR(34)),$I565)),ISNUMBER(SEARCH(_xlfn.CONCAT(CHAR(34),CHAR(39)),$I565))),_xlfn.CONCAT("* REVIEW REQUIRED: compound-quote delimiter in Derivation on Sheet 1 row ",565,"; edit the input before running."),_xlfn.CONCAT("char ",TRIM($B565),"[doc_derivation] ",CHAR(96),CHAR(34),SUBSTITUTE(SUBSTITUTE(SUBSTITUTE(SUBSTITUTE(SUBSTITUTE(SUBSTITUTE($I565,CHAR(13)," "),CHAR(10)," "),CHAR(9)," "),CHAR(92),_xlfn.CONCAT(CHAR(92),CHAR(92))),"$",_xlfn.CONCAT(CHAR(92),"$")),CHAR(96),_xlfn.CONCAT(CHAR(92),CHAR(96))),CHAR(34),CHAR(39))))</f>
        <v/>
      </c>
      <c r="T565" s="5" t="str">
        <f>IF(OR(TRIM($B565)="",$J565=""),"",IF(OR(ISNUMBER(SEARCH(_xlfn.CONCAT(CHAR(96),CHAR(34)),$J565)),ISNUMBER(SEARCH(_xlfn.CONCAT(CHAR(34),CHAR(39)),$J565))),_xlfn.CONCAT("* REVIEW REQUIRED: compound-quote delimiter in Notes on Sheet 1 row ",565,"; edit the input before running."),_xlfn.CONCAT("char ",TRIM($B565),"[doc_notes] ",CHAR(96),CHAR(34),SUBSTITUTE(SUBSTITUTE(SUBSTITUTE(SUBSTITUTE(SUBSTITUTE(SUBSTITUTE($J565,CHAR(13)," "),CHAR(10)," "),CHAR(9)," "),CHAR(92),_xlfn.CONCAT(CHAR(92),CHAR(92))),"$",_xlfn.CONCAT(CHAR(92),"$")),CHAR(96),_xlfn.CONCAT(CHAR(92),CHAR(96))),CHAR(34),CHAR(39))))</f>
        <v/>
      </c>
      <c r="U565" s="5">
        <f t="shared" si="17"/>
        <v>0</v>
      </c>
    </row>
    <row r="566" spans="3:21" ht="30" customHeight="1" x14ac:dyDescent="0.2">
      <c r="C566" s="4"/>
      <c r="K566" s="5">
        <f t="shared" si="16"/>
        <v>0</v>
      </c>
      <c r="L566" s="5" t="str">
        <f>IF(OR(TRIM($B566)="",$A566=""),"",IF(OR(ISNUMBER(SEARCH(_xlfn.CONCAT(CHAR(96),CHAR(34)),$A566)),ISNUMBER(SEARCH(_xlfn.CONCAT(CHAR(34),CHAR(39)),$A566))),_xlfn.CONCAT("* REVIEW REQUIRED: compound-quote delimiter in Codebook Section on Sheet 1 row ",566,"; edit the input before running."),_xlfn.CONCAT("char ",TRIM($B566),"[doc_section] ",CHAR(96),CHAR(34),SUBSTITUTE(SUBSTITUTE(SUBSTITUTE(SUBSTITUTE(SUBSTITUTE(SUBSTITUTE($A566,CHAR(13)," "),CHAR(10)," "),CHAR(9)," "),CHAR(92),_xlfn.CONCAT(CHAR(92),CHAR(92))),"$",_xlfn.CONCAT(CHAR(92),"$")),CHAR(96),_xlfn.CONCAT(CHAR(92),CHAR(96))),CHAR(34),CHAR(39))))</f>
        <v/>
      </c>
      <c r="M566" s="5" t="str">
        <f>IF(OR(TRIM($B566)="",$C566=""),"",IF(IFERROR(MATCH(TRIM($C566),{"Quantitative","Continuous","Discrete","Categorical","Nominal","Ordinal","Identifier"},0),0)=0,_xlfn.CONCAT("* REVIEW REQUIRED: invalid Variable Type on Sheet 1 row ",566,"."),_xlfn.CONCAT("char ",TRIM($B566),"[doc_vartype] ",CHAR(96),CHAR(34),SUBSTITUTE(SUBSTITUTE(SUBSTITUTE(SUBSTITUTE(SUBSTITUTE(SUBSTITUTE(LOWER(TRIM($C566)),CHAR(13)," "),CHAR(10)," "),CHAR(9)," "),CHAR(92),_xlfn.CONCAT(CHAR(92),CHAR(92))),"$",_xlfn.CONCAT(CHAR(92),"$")),CHAR(96),_xlfn.CONCAT(CHAR(92),CHAR(96))),CHAR(34),CHAR(39))))</f>
        <v/>
      </c>
      <c r="N566" s="5" t="str">
        <f>IF(OR(TRIM($B566)="",$D566=""),"",IF(OR(ISNUMBER(SEARCH(_xlfn.CONCAT(CHAR(96),CHAR(34)),$D566)),ISNUMBER(SEARCH(_xlfn.CONCAT(CHAR(34),CHAR(39)),$D566))),_xlfn.CONCAT("* REVIEW REQUIRED: compound-quote delimiter in Item Number on Sheet 1 row ",566,"; edit the input before running."),_xlfn.CONCAT("char ",TRIM($B566),"[doc_itemnum] ",CHAR(96),CHAR(34),SUBSTITUTE(SUBSTITUTE(SUBSTITUTE(SUBSTITUTE(SUBSTITUTE(SUBSTITUTE($D566,CHAR(13)," "),CHAR(10)," "),CHAR(9)," "),CHAR(92),_xlfn.CONCAT(CHAR(92),CHAR(92))),"$",_xlfn.CONCAT(CHAR(92),"$")),CHAR(96),_xlfn.CONCAT(CHAR(92),CHAR(96))),CHAR(34),CHAR(39))))</f>
        <v/>
      </c>
      <c r="O566" s="5" t="str">
        <f>IF(OR(TRIM($B566)="",$E566=""),"",IF(OR(ISNUMBER(SEARCH(_xlfn.CONCAT(CHAR(96),CHAR(34)),$E566)),ISNUMBER(SEARCH(_xlfn.CONCAT(CHAR(34),CHAR(39)),$E566))),_xlfn.CONCAT("* REVIEW REQUIRED: compound-quote delimiter in Question Wording on Sheet 1 row ",566,"; edit the input before running."),_xlfn.CONCAT("char ",TRIM($B566),"[doc_question] ",CHAR(96),CHAR(34),SUBSTITUTE(SUBSTITUTE(SUBSTITUTE(SUBSTITUTE(SUBSTITUTE(SUBSTITUTE($E566,CHAR(13)," "),CHAR(10)," "),CHAR(9)," "),CHAR(92),_xlfn.CONCAT(CHAR(92),CHAR(92))),"$",_xlfn.CONCAT(CHAR(92),"$")),CHAR(96),_xlfn.CONCAT(CHAR(92),CHAR(96))),CHAR(34),CHAR(39))))</f>
        <v/>
      </c>
      <c r="P566" s="5" t="str">
        <f>IF(OR(TRIM($B566)="",$F566=""),"",IF(OR(ISNUMBER(SEARCH(_xlfn.CONCAT(CHAR(96),CHAR(34)),$F566)),ISNUMBER(SEARCH(_xlfn.CONCAT(CHAR(34),CHAR(39)),$F566))),_xlfn.CONCAT("* REVIEW REQUIRED: compound-quote delimiter in Units on Sheet 1 row ",566,"; edit the input before running."),_xlfn.CONCAT("char ",TRIM($B566),"[doc_units] ",CHAR(96),CHAR(34),SUBSTITUTE(SUBSTITUTE(SUBSTITUTE(SUBSTITUTE(SUBSTITUTE(SUBSTITUTE($F566,CHAR(13)," "),CHAR(10)," "),CHAR(9)," "),CHAR(92),_xlfn.CONCAT(CHAR(92),CHAR(92))),"$",_xlfn.CONCAT(CHAR(92),"$")),CHAR(96),_xlfn.CONCAT(CHAR(92),CHAR(96))),CHAR(34),CHAR(39))))</f>
        <v/>
      </c>
      <c r="Q566" s="5" t="str">
        <f>IF(OR(TRIM($B566)="",$G566=""),"",IF(OR(ISNUMBER(SEARCH(_xlfn.CONCAT(CHAR(96),CHAR(34)),$G566)),ISNUMBER(SEARCH(_xlfn.CONCAT(CHAR(34),CHAR(39)),$G566))),_xlfn.CONCAT("* REVIEW REQUIRED: compound-quote delimiter in Universe on Sheet 1 row ",566,"; edit the input before running."),_xlfn.CONCAT("char ",TRIM($B566),"[doc_universe] ",CHAR(96),CHAR(34),SUBSTITUTE(SUBSTITUTE(SUBSTITUTE(SUBSTITUTE(SUBSTITUTE(SUBSTITUTE($G566,CHAR(13)," "),CHAR(10)," "),CHAR(9)," "),CHAR(92),_xlfn.CONCAT(CHAR(92),CHAR(92))),"$",_xlfn.CONCAT(CHAR(92),"$")),CHAR(96),_xlfn.CONCAT(CHAR(92),CHAR(96))),CHAR(34),CHAR(39))))</f>
        <v/>
      </c>
      <c r="R566" s="5" t="str">
        <f>IF(OR(TRIM($B566)="",$H566=""),"",IF(OR(ISNUMBER(SEARCH(_xlfn.CONCAT(CHAR(96),CHAR(34)),$H566)),ISNUMBER(SEARCH(_xlfn.CONCAT(CHAR(34),CHAR(39)),$H566))),_xlfn.CONCAT("* REVIEW REQUIRED: compound-quote delimiter in Source on Sheet 1 row ",566,"; edit the input before running."),_xlfn.CONCAT("char ",TRIM($B566),"[doc_source] ",CHAR(96),CHAR(34),SUBSTITUTE(SUBSTITUTE(SUBSTITUTE(SUBSTITUTE(SUBSTITUTE(SUBSTITUTE($H566,CHAR(13)," "),CHAR(10)," "),CHAR(9)," "),CHAR(92),_xlfn.CONCAT(CHAR(92),CHAR(92))),"$",_xlfn.CONCAT(CHAR(92),"$")),CHAR(96),_xlfn.CONCAT(CHAR(92),CHAR(96))),CHAR(34),CHAR(39))))</f>
        <v/>
      </c>
      <c r="S566" s="5" t="str">
        <f>IF(OR(TRIM($B566)="",$I566=""),"",IF(OR(ISNUMBER(SEARCH(_xlfn.CONCAT(CHAR(96),CHAR(34)),$I566)),ISNUMBER(SEARCH(_xlfn.CONCAT(CHAR(34),CHAR(39)),$I566))),_xlfn.CONCAT("* REVIEW REQUIRED: compound-quote delimiter in Derivation on Sheet 1 row ",566,"; edit the input before running."),_xlfn.CONCAT("char ",TRIM($B566),"[doc_derivation] ",CHAR(96),CHAR(34),SUBSTITUTE(SUBSTITUTE(SUBSTITUTE(SUBSTITUTE(SUBSTITUTE(SUBSTITUTE($I566,CHAR(13)," "),CHAR(10)," "),CHAR(9)," "),CHAR(92),_xlfn.CONCAT(CHAR(92),CHAR(92))),"$",_xlfn.CONCAT(CHAR(92),"$")),CHAR(96),_xlfn.CONCAT(CHAR(92),CHAR(96))),CHAR(34),CHAR(39))))</f>
        <v/>
      </c>
      <c r="T566" s="5" t="str">
        <f>IF(OR(TRIM($B566)="",$J566=""),"",IF(OR(ISNUMBER(SEARCH(_xlfn.CONCAT(CHAR(96),CHAR(34)),$J566)),ISNUMBER(SEARCH(_xlfn.CONCAT(CHAR(34),CHAR(39)),$J566))),_xlfn.CONCAT("* REVIEW REQUIRED: compound-quote delimiter in Notes on Sheet 1 row ",566,"; edit the input before running."),_xlfn.CONCAT("char ",TRIM($B566),"[doc_notes] ",CHAR(96),CHAR(34),SUBSTITUTE(SUBSTITUTE(SUBSTITUTE(SUBSTITUTE(SUBSTITUTE(SUBSTITUTE($J566,CHAR(13)," "),CHAR(10)," "),CHAR(9)," "),CHAR(92),_xlfn.CONCAT(CHAR(92),CHAR(92))),"$",_xlfn.CONCAT(CHAR(92),"$")),CHAR(96),_xlfn.CONCAT(CHAR(92),CHAR(96))),CHAR(34),CHAR(39))))</f>
        <v/>
      </c>
      <c r="U566" s="5">
        <f t="shared" si="17"/>
        <v>0</v>
      </c>
    </row>
    <row r="567" spans="3:21" ht="30" customHeight="1" x14ac:dyDescent="0.2">
      <c r="C567" s="4"/>
      <c r="K567" s="5">
        <f t="shared" si="16"/>
        <v>0</v>
      </c>
      <c r="L567" s="5" t="str">
        <f>IF(OR(TRIM($B567)="",$A567=""),"",IF(OR(ISNUMBER(SEARCH(_xlfn.CONCAT(CHAR(96),CHAR(34)),$A567)),ISNUMBER(SEARCH(_xlfn.CONCAT(CHAR(34),CHAR(39)),$A567))),_xlfn.CONCAT("* REVIEW REQUIRED: compound-quote delimiter in Codebook Section on Sheet 1 row ",567,"; edit the input before running."),_xlfn.CONCAT("char ",TRIM($B567),"[doc_section] ",CHAR(96),CHAR(34),SUBSTITUTE(SUBSTITUTE(SUBSTITUTE(SUBSTITUTE(SUBSTITUTE(SUBSTITUTE($A567,CHAR(13)," "),CHAR(10)," "),CHAR(9)," "),CHAR(92),_xlfn.CONCAT(CHAR(92),CHAR(92))),"$",_xlfn.CONCAT(CHAR(92),"$")),CHAR(96),_xlfn.CONCAT(CHAR(92),CHAR(96))),CHAR(34),CHAR(39))))</f>
        <v/>
      </c>
      <c r="M567" s="5" t="str">
        <f>IF(OR(TRIM($B567)="",$C567=""),"",IF(IFERROR(MATCH(TRIM($C567),{"Quantitative","Continuous","Discrete","Categorical","Nominal","Ordinal","Identifier"},0),0)=0,_xlfn.CONCAT("* REVIEW REQUIRED: invalid Variable Type on Sheet 1 row ",567,"."),_xlfn.CONCAT("char ",TRIM($B567),"[doc_vartype] ",CHAR(96),CHAR(34),SUBSTITUTE(SUBSTITUTE(SUBSTITUTE(SUBSTITUTE(SUBSTITUTE(SUBSTITUTE(LOWER(TRIM($C567)),CHAR(13)," "),CHAR(10)," "),CHAR(9)," "),CHAR(92),_xlfn.CONCAT(CHAR(92),CHAR(92))),"$",_xlfn.CONCAT(CHAR(92),"$")),CHAR(96),_xlfn.CONCAT(CHAR(92),CHAR(96))),CHAR(34),CHAR(39))))</f>
        <v/>
      </c>
      <c r="N567" s="5" t="str">
        <f>IF(OR(TRIM($B567)="",$D567=""),"",IF(OR(ISNUMBER(SEARCH(_xlfn.CONCAT(CHAR(96),CHAR(34)),$D567)),ISNUMBER(SEARCH(_xlfn.CONCAT(CHAR(34),CHAR(39)),$D567))),_xlfn.CONCAT("* REVIEW REQUIRED: compound-quote delimiter in Item Number on Sheet 1 row ",567,"; edit the input before running."),_xlfn.CONCAT("char ",TRIM($B567),"[doc_itemnum] ",CHAR(96),CHAR(34),SUBSTITUTE(SUBSTITUTE(SUBSTITUTE(SUBSTITUTE(SUBSTITUTE(SUBSTITUTE($D567,CHAR(13)," "),CHAR(10)," "),CHAR(9)," "),CHAR(92),_xlfn.CONCAT(CHAR(92),CHAR(92))),"$",_xlfn.CONCAT(CHAR(92),"$")),CHAR(96),_xlfn.CONCAT(CHAR(92),CHAR(96))),CHAR(34),CHAR(39))))</f>
        <v/>
      </c>
      <c r="O567" s="5" t="str">
        <f>IF(OR(TRIM($B567)="",$E567=""),"",IF(OR(ISNUMBER(SEARCH(_xlfn.CONCAT(CHAR(96),CHAR(34)),$E567)),ISNUMBER(SEARCH(_xlfn.CONCAT(CHAR(34),CHAR(39)),$E567))),_xlfn.CONCAT("* REVIEW REQUIRED: compound-quote delimiter in Question Wording on Sheet 1 row ",567,"; edit the input before running."),_xlfn.CONCAT("char ",TRIM($B567),"[doc_question] ",CHAR(96),CHAR(34),SUBSTITUTE(SUBSTITUTE(SUBSTITUTE(SUBSTITUTE(SUBSTITUTE(SUBSTITUTE($E567,CHAR(13)," "),CHAR(10)," "),CHAR(9)," "),CHAR(92),_xlfn.CONCAT(CHAR(92),CHAR(92))),"$",_xlfn.CONCAT(CHAR(92),"$")),CHAR(96),_xlfn.CONCAT(CHAR(92),CHAR(96))),CHAR(34),CHAR(39))))</f>
        <v/>
      </c>
      <c r="P567" s="5" t="str">
        <f>IF(OR(TRIM($B567)="",$F567=""),"",IF(OR(ISNUMBER(SEARCH(_xlfn.CONCAT(CHAR(96),CHAR(34)),$F567)),ISNUMBER(SEARCH(_xlfn.CONCAT(CHAR(34),CHAR(39)),$F567))),_xlfn.CONCAT("* REVIEW REQUIRED: compound-quote delimiter in Units on Sheet 1 row ",567,"; edit the input before running."),_xlfn.CONCAT("char ",TRIM($B567),"[doc_units] ",CHAR(96),CHAR(34),SUBSTITUTE(SUBSTITUTE(SUBSTITUTE(SUBSTITUTE(SUBSTITUTE(SUBSTITUTE($F567,CHAR(13)," "),CHAR(10)," "),CHAR(9)," "),CHAR(92),_xlfn.CONCAT(CHAR(92),CHAR(92))),"$",_xlfn.CONCAT(CHAR(92),"$")),CHAR(96),_xlfn.CONCAT(CHAR(92),CHAR(96))),CHAR(34),CHAR(39))))</f>
        <v/>
      </c>
      <c r="Q567" s="5" t="str">
        <f>IF(OR(TRIM($B567)="",$G567=""),"",IF(OR(ISNUMBER(SEARCH(_xlfn.CONCAT(CHAR(96),CHAR(34)),$G567)),ISNUMBER(SEARCH(_xlfn.CONCAT(CHAR(34),CHAR(39)),$G567))),_xlfn.CONCAT("* REVIEW REQUIRED: compound-quote delimiter in Universe on Sheet 1 row ",567,"; edit the input before running."),_xlfn.CONCAT("char ",TRIM($B567),"[doc_universe] ",CHAR(96),CHAR(34),SUBSTITUTE(SUBSTITUTE(SUBSTITUTE(SUBSTITUTE(SUBSTITUTE(SUBSTITUTE($G567,CHAR(13)," "),CHAR(10)," "),CHAR(9)," "),CHAR(92),_xlfn.CONCAT(CHAR(92),CHAR(92))),"$",_xlfn.CONCAT(CHAR(92),"$")),CHAR(96),_xlfn.CONCAT(CHAR(92),CHAR(96))),CHAR(34),CHAR(39))))</f>
        <v/>
      </c>
      <c r="R567" s="5" t="str">
        <f>IF(OR(TRIM($B567)="",$H567=""),"",IF(OR(ISNUMBER(SEARCH(_xlfn.CONCAT(CHAR(96),CHAR(34)),$H567)),ISNUMBER(SEARCH(_xlfn.CONCAT(CHAR(34),CHAR(39)),$H567))),_xlfn.CONCAT("* REVIEW REQUIRED: compound-quote delimiter in Source on Sheet 1 row ",567,"; edit the input before running."),_xlfn.CONCAT("char ",TRIM($B567),"[doc_source] ",CHAR(96),CHAR(34),SUBSTITUTE(SUBSTITUTE(SUBSTITUTE(SUBSTITUTE(SUBSTITUTE(SUBSTITUTE($H567,CHAR(13)," "),CHAR(10)," "),CHAR(9)," "),CHAR(92),_xlfn.CONCAT(CHAR(92),CHAR(92))),"$",_xlfn.CONCAT(CHAR(92),"$")),CHAR(96),_xlfn.CONCAT(CHAR(92),CHAR(96))),CHAR(34),CHAR(39))))</f>
        <v/>
      </c>
      <c r="S567" s="5" t="str">
        <f>IF(OR(TRIM($B567)="",$I567=""),"",IF(OR(ISNUMBER(SEARCH(_xlfn.CONCAT(CHAR(96),CHAR(34)),$I567)),ISNUMBER(SEARCH(_xlfn.CONCAT(CHAR(34),CHAR(39)),$I567))),_xlfn.CONCAT("* REVIEW REQUIRED: compound-quote delimiter in Derivation on Sheet 1 row ",567,"; edit the input before running."),_xlfn.CONCAT("char ",TRIM($B567),"[doc_derivation] ",CHAR(96),CHAR(34),SUBSTITUTE(SUBSTITUTE(SUBSTITUTE(SUBSTITUTE(SUBSTITUTE(SUBSTITUTE($I567,CHAR(13)," "),CHAR(10)," "),CHAR(9)," "),CHAR(92),_xlfn.CONCAT(CHAR(92),CHAR(92))),"$",_xlfn.CONCAT(CHAR(92),"$")),CHAR(96),_xlfn.CONCAT(CHAR(92),CHAR(96))),CHAR(34),CHAR(39))))</f>
        <v/>
      </c>
      <c r="T567" s="5" t="str">
        <f>IF(OR(TRIM($B567)="",$J567=""),"",IF(OR(ISNUMBER(SEARCH(_xlfn.CONCAT(CHAR(96),CHAR(34)),$J567)),ISNUMBER(SEARCH(_xlfn.CONCAT(CHAR(34),CHAR(39)),$J567))),_xlfn.CONCAT("* REVIEW REQUIRED: compound-quote delimiter in Notes on Sheet 1 row ",567,"; edit the input before running."),_xlfn.CONCAT("char ",TRIM($B567),"[doc_notes] ",CHAR(96),CHAR(34),SUBSTITUTE(SUBSTITUTE(SUBSTITUTE(SUBSTITUTE(SUBSTITUTE(SUBSTITUTE($J567,CHAR(13)," "),CHAR(10)," "),CHAR(9)," "),CHAR(92),_xlfn.CONCAT(CHAR(92),CHAR(92))),"$",_xlfn.CONCAT(CHAR(92),"$")),CHAR(96),_xlfn.CONCAT(CHAR(92),CHAR(96))),CHAR(34),CHAR(39))))</f>
        <v/>
      </c>
      <c r="U567" s="5">
        <f t="shared" si="17"/>
        <v>0</v>
      </c>
    </row>
    <row r="568" spans="3:21" ht="30" customHeight="1" x14ac:dyDescent="0.2">
      <c r="C568" s="4"/>
      <c r="K568" s="5">
        <f t="shared" si="16"/>
        <v>0</v>
      </c>
      <c r="L568" s="5" t="str">
        <f>IF(OR(TRIM($B568)="",$A568=""),"",IF(OR(ISNUMBER(SEARCH(_xlfn.CONCAT(CHAR(96),CHAR(34)),$A568)),ISNUMBER(SEARCH(_xlfn.CONCAT(CHAR(34),CHAR(39)),$A568))),_xlfn.CONCAT("* REVIEW REQUIRED: compound-quote delimiter in Codebook Section on Sheet 1 row ",568,"; edit the input before running."),_xlfn.CONCAT("char ",TRIM($B568),"[doc_section] ",CHAR(96),CHAR(34),SUBSTITUTE(SUBSTITUTE(SUBSTITUTE(SUBSTITUTE(SUBSTITUTE(SUBSTITUTE($A568,CHAR(13)," "),CHAR(10)," "),CHAR(9)," "),CHAR(92),_xlfn.CONCAT(CHAR(92),CHAR(92))),"$",_xlfn.CONCAT(CHAR(92),"$")),CHAR(96),_xlfn.CONCAT(CHAR(92),CHAR(96))),CHAR(34),CHAR(39))))</f>
        <v/>
      </c>
      <c r="M568" s="5" t="str">
        <f>IF(OR(TRIM($B568)="",$C568=""),"",IF(IFERROR(MATCH(TRIM($C568),{"Quantitative","Continuous","Discrete","Categorical","Nominal","Ordinal","Identifier"},0),0)=0,_xlfn.CONCAT("* REVIEW REQUIRED: invalid Variable Type on Sheet 1 row ",568,"."),_xlfn.CONCAT("char ",TRIM($B568),"[doc_vartype] ",CHAR(96),CHAR(34),SUBSTITUTE(SUBSTITUTE(SUBSTITUTE(SUBSTITUTE(SUBSTITUTE(SUBSTITUTE(LOWER(TRIM($C568)),CHAR(13)," "),CHAR(10)," "),CHAR(9)," "),CHAR(92),_xlfn.CONCAT(CHAR(92),CHAR(92))),"$",_xlfn.CONCAT(CHAR(92),"$")),CHAR(96),_xlfn.CONCAT(CHAR(92),CHAR(96))),CHAR(34),CHAR(39))))</f>
        <v/>
      </c>
      <c r="N568" s="5" t="str">
        <f>IF(OR(TRIM($B568)="",$D568=""),"",IF(OR(ISNUMBER(SEARCH(_xlfn.CONCAT(CHAR(96),CHAR(34)),$D568)),ISNUMBER(SEARCH(_xlfn.CONCAT(CHAR(34),CHAR(39)),$D568))),_xlfn.CONCAT("* REVIEW REQUIRED: compound-quote delimiter in Item Number on Sheet 1 row ",568,"; edit the input before running."),_xlfn.CONCAT("char ",TRIM($B568),"[doc_itemnum] ",CHAR(96),CHAR(34),SUBSTITUTE(SUBSTITUTE(SUBSTITUTE(SUBSTITUTE(SUBSTITUTE(SUBSTITUTE($D568,CHAR(13)," "),CHAR(10)," "),CHAR(9)," "),CHAR(92),_xlfn.CONCAT(CHAR(92),CHAR(92))),"$",_xlfn.CONCAT(CHAR(92),"$")),CHAR(96),_xlfn.CONCAT(CHAR(92),CHAR(96))),CHAR(34),CHAR(39))))</f>
        <v/>
      </c>
      <c r="O568" s="5" t="str">
        <f>IF(OR(TRIM($B568)="",$E568=""),"",IF(OR(ISNUMBER(SEARCH(_xlfn.CONCAT(CHAR(96),CHAR(34)),$E568)),ISNUMBER(SEARCH(_xlfn.CONCAT(CHAR(34),CHAR(39)),$E568))),_xlfn.CONCAT("* REVIEW REQUIRED: compound-quote delimiter in Question Wording on Sheet 1 row ",568,"; edit the input before running."),_xlfn.CONCAT("char ",TRIM($B568),"[doc_question] ",CHAR(96),CHAR(34),SUBSTITUTE(SUBSTITUTE(SUBSTITUTE(SUBSTITUTE(SUBSTITUTE(SUBSTITUTE($E568,CHAR(13)," "),CHAR(10)," "),CHAR(9)," "),CHAR(92),_xlfn.CONCAT(CHAR(92),CHAR(92))),"$",_xlfn.CONCAT(CHAR(92),"$")),CHAR(96),_xlfn.CONCAT(CHAR(92),CHAR(96))),CHAR(34),CHAR(39))))</f>
        <v/>
      </c>
      <c r="P568" s="5" t="str">
        <f>IF(OR(TRIM($B568)="",$F568=""),"",IF(OR(ISNUMBER(SEARCH(_xlfn.CONCAT(CHAR(96),CHAR(34)),$F568)),ISNUMBER(SEARCH(_xlfn.CONCAT(CHAR(34),CHAR(39)),$F568))),_xlfn.CONCAT("* REVIEW REQUIRED: compound-quote delimiter in Units on Sheet 1 row ",568,"; edit the input before running."),_xlfn.CONCAT("char ",TRIM($B568),"[doc_units] ",CHAR(96),CHAR(34),SUBSTITUTE(SUBSTITUTE(SUBSTITUTE(SUBSTITUTE(SUBSTITUTE(SUBSTITUTE($F568,CHAR(13)," "),CHAR(10)," "),CHAR(9)," "),CHAR(92),_xlfn.CONCAT(CHAR(92),CHAR(92))),"$",_xlfn.CONCAT(CHAR(92),"$")),CHAR(96),_xlfn.CONCAT(CHAR(92),CHAR(96))),CHAR(34),CHAR(39))))</f>
        <v/>
      </c>
      <c r="Q568" s="5" t="str">
        <f>IF(OR(TRIM($B568)="",$G568=""),"",IF(OR(ISNUMBER(SEARCH(_xlfn.CONCAT(CHAR(96),CHAR(34)),$G568)),ISNUMBER(SEARCH(_xlfn.CONCAT(CHAR(34),CHAR(39)),$G568))),_xlfn.CONCAT("* REVIEW REQUIRED: compound-quote delimiter in Universe on Sheet 1 row ",568,"; edit the input before running."),_xlfn.CONCAT("char ",TRIM($B568),"[doc_universe] ",CHAR(96),CHAR(34),SUBSTITUTE(SUBSTITUTE(SUBSTITUTE(SUBSTITUTE(SUBSTITUTE(SUBSTITUTE($G568,CHAR(13)," "),CHAR(10)," "),CHAR(9)," "),CHAR(92),_xlfn.CONCAT(CHAR(92),CHAR(92))),"$",_xlfn.CONCAT(CHAR(92),"$")),CHAR(96),_xlfn.CONCAT(CHAR(92),CHAR(96))),CHAR(34),CHAR(39))))</f>
        <v/>
      </c>
      <c r="R568" s="5" t="str">
        <f>IF(OR(TRIM($B568)="",$H568=""),"",IF(OR(ISNUMBER(SEARCH(_xlfn.CONCAT(CHAR(96),CHAR(34)),$H568)),ISNUMBER(SEARCH(_xlfn.CONCAT(CHAR(34),CHAR(39)),$H568))),_xlfn.CONCAT("* REVIEW REQUIRED: compound-quote delimiter in Source on Sheet 1 row ",568,"; edit the input before running."),_xlfn.CONCAT("char ",TRIM($B568),"[doc_source] ",CHAR(96),CHAR(34),SUBSTITUTE(SUBSTITUTE(SUBSTITUTE(SUBSTITUTE(SUBSTITUTE(SUBSTITUTE($H568,CHAR(13)," "),CHAR(10)," "),CHAR(9)," "),CHAR(92),_xlfn.CONCAT(CHAR(92),CHAR(92))),"$",_xlfn.CONCAT(CHAR(92),"$")),CHAR(96),_xlfn.CONCAT(CHAR(92),CHAR(96))),CHAR(34),CHAR(39))))</f>
        <v/>
      </c>
      <c r="S568" s="5" t="str">
        <f>IF(OR(TRIM($B568)="",$I568=""),"",IF(OR(ISNUMBER(SEARCH(_xlfn.CONCAT(CHAR(96),CHAR(34)),$I568)),ISNUMBER(SEARCH(_xlfn.CONCAT(CHAR(34),CHAR(39)),$I568))),_xlfn.CONCAT("* REVIEW REQUIRED: compound-quote delimiter in Derivation on Sheet 1 row ",568,"; edit the input before running."),_xlfn.CONCAT("char ",TRIM($B568),"[doc_derivation] ",CHAR(96),CHAR(34),SUBSTITUTE(SUBSTITUTE(SUBSTITUTE(SUBSTITUTE(SUBSTITUTE(SUBSTITUTE($I568,CHAR(13)," "),CHAR(10)," "),CHAR(9)," "),CHAR(92),_xlfn.CONCAT(CHAR(92),CHAR(92))),"$",_xlfn.CONCAT(CHAR(92),"$")),CHAR(96),_xlfn.CONCAT(CHAR(92),CHAR(96))),CHAR(34),CHAR(39))))</f>
        <v/>
      </c>
      <c r="T568" s="5" t="str">
        <f>IF(OR(TRIM($B568)="",$J568=""),"",IF(OR(ISNUMBER(SEARCH(_xlfn.CONCAT(CHAR(96),CHAR(34)),$J568)),ISNUMBER(SEARCH(_xlfn.CONCAT(CHAR(34),CHAR(39)),$J568))),_xlfn.CONCAT("* REVIEW REQUIRED: compound-quote delimiter in Notes on Sheet 1 row ",568,"; edit the input before running."),_xlfn.CONCAT("char ",TRIM($B568),"[doc_notes] ",CHAR(96),CHAR(34),SUBSTITUTE(SUBSTITUTE(SUBSTITUTE(SUBSTITUTE(SUBSTITUTE(SUBSTITUTE($J568,CHAR(13)," "),CHAR(10)," "),CHAR(9)," "),CHAR(92),_xlfn.CONCAT(CHAR(92),CHAR(92))),"$",_xlfn.CONCAT(CHAR(92),"$")),CHAR(96),_xlfn.CONCAT(CHAR(92),CHAR(96))),CHAR(34),CHAR(39))))</f>
        <v/>
      </c>
      <c r="U568" s="5">
        <f t="shared" si="17"/>
        <v>0</v>
      </c>
    </row>
    <row r="569" spans="3:21" ht="30" customHeight="1" x14ac:dyDescent="0.2">
      <c r="C569" s="4"/>
      <c r="K569" s="5">
        <f t="shared" si="16"/>
        <v>0</v>
      </c>
      <c r="L569" s="5" t="str">
        <f>IF(OR(TRIM($B569)="",$A569=""),"",IF(OR(ISNUMBER(SEARCH(_xlfn.CONCAT(CHAR(96),CHAR(34)),$A569)),ISNUMBER(SEARCH(_xlfn.CONCAT(CHAR(34),CHAR(39)),$A569))),_xlfn.CONCAT("* REVIEW REQUIRED: compound-quote delimiter in Codebook Section on Sheet 1 row ",569,"; edit the input before running."),_xlfn.CONCAT("char ",TRIM($B569),"[doc_section] ",CHAR(96),CHAR(34),SUBSTITUTE(SUBSTITUTE(SUBSTITUTE(SUBSTITUTE(SUBSTITUTE(SUBSTITUTE($A569,CHAR(13)," "),CHAR(10)," "),CHAR(9)," "),CHAR(92),_xlfn.CONCAT(CHAR(92),CHAR(92))),"$",_xlfn.CONCAT(CHAR(92),"$")),CHAR(96),_xlfn.CONCAT(CHAR(92),CHAR(96))),CHAR(34),CHAR(39))))</f>
        <v/>
      </c>
      <c r="M569" s="5" t="str">
        <f>IF(OR(TRIM($B569)="",$C569=""),"",IF(IFERROR(MATCH(TRIM($C569),{"Quantitative","Continuous","Discrete","Categorical","Nominal","Ordinal","Identifier"},0),0)=0,_xlfn.CONCAT("* REVIEW REQUIRED: invalid Variable Type on Sheet 1 row ",569,"."),_xlfn.CONCAT("char ",TRIM($B569),"[doc_vartype] ",CHAR(96),CHAR(34),SUBSTITUTE(SUBSTITUTE(SUBSTITUTE(SUBSTITUTE(SUBSTITUTE(SUBSTITUTE(LOWER(TRIM($C569)),CHAR(13)," "),CHAR(10)," "),CHAR(9)," "),CHAR(92),_xlfn.CONCAT(CHAR(92),CHAR(92))),"$",_xlfn.CONCAT(CHAR(92),"$")),CHAR(96),_xlfn.CONCAT(CHAR(92),CHAR(96))),CHAR(34),CHAR(39))))</f>
        <v/>
      </c>
      <c r="N569" s="5" t="str">
        <f>IF(OR(TRIM($B569)="",$D569=""),"",IF(OR(ISNUMBER(SEARCH(_xlfn.CONCAT(CHAR(96),CHAR(34)),$D569)),ISNUMBER(SEARCH(_xlfn.CONCAT(CHAR(34),CHAR(39)),$D569))),_xlfn.CONCAT("* REVIEW REQUIRED: compound-quote delimiter in Item Number on Sheet 1 row ",569,"; edit the input before running."),_xlfn.CONCAT("char ",TRIM($B569),"[doc_itemnum] ",CHAR(96),CHAR(34),SUBSTITUTE(SUBSTITUTE(SUBSTITUTE(SUBSTITUTE(SUBSTITUTE(SUBSTITUTE($D569,CHAR(13)," "),CHAR(10)," "),CHAR(9)," "),CHAR(92),_xlfn.CONCAT(CHAR(92),CHAR(92))),"$",_xlfn.CONCAT(CHAR(92),"$")),CHAR(96),_xlfn.CONCAT(CHAR(92),CHAR(96))),CHAR(34),CHAR(39))))</f>
        <v/>
      </c>
      <c r="O569" s="5" t="str">
        <f>IF(OR(TRIM($B569)="",$E569=""),"",IF(OR(ISNUMBER(SEARCH(_xlfn.CONCAT(CHAR(96),CHAR(34)),$E569)),ISNUMBER(SEARCH(_xlfn.CONCAT(CHAR(34),CHAR(39)),$E569))),_xlfn.CONCAT("* REVIEW REQUIRED: compound-quote delimiter in Question Wording on Sheet 1 row ",569,"; edit the input before running."),_xlfn.CONCAT("char ",TRIM($B569),"[doc_question] ",CHAR(96),CHAR(34),SUBSTITUTE(SUBSTITUTE(SUBSTITUTE(SUBSTITUTE(SUBSTITUTE(SUBSTITUTE($E569,CHAR(13)," "),CHAR(10)," "),CHAR(9)," "),CHAR(92),_xlfn.CONCAT(CHAR(92),CHAR(92))),"$",_xlfn.CONCAT(CHAR(92),"$")),CHAR(96),_xlfn.CONCAT(CHAR(92),CHAR(96))),CHAR(34),CHAR(39))))</f>
        <v/>
      </c>
      <c r="P569" s="5" t="str">
        <f>IF(OR(TRIM($B569)="",$F569=""),"",IF(OR(ISNUMBER(SEARCH(_xlfn.CONCAT(CHAR(96),CHAR(34)),$F569)),ISNUMBER(SEARCH(_xlfn.CONCAT(CHAR(34),CHAR(39)),$F569))),_xlfn.CONCAT("* REVIEW REQUIRED: compound-quote delimiter in Units on Sheet 1 row ",569,"; edit the input before running."),_xlfn.CONCAT("char ",TRIM($B569),"[doc_units] ",CHAR(96),CHAR(34),SUBSTITUTE(SUBSTITUTE(SUBSTITUTE(SUBSTITUTE(SUBSTITUTE(SUBSTITUTE($F569,CHAR(13)," "),CHAR(10)," "),CHAR(9)," "),CHAR(92),_xlfn.CONCAT(CHAR(92),CHAR(92))),"$",_xlfn.CONCAT(CHAR(92),"$")),CHAR(96),_xlfn.CONCAT(CHAR(92),CHAR(96))),CHAR(34),CHAR(39))))</f>
        <v/>
      </c>
      <c r="Q569" s="5" t="str">
        <f>IF(OR(TRIM($B569)="",$G569=""),"",IF(OR(ISNUMBER(SEARCH(_xlfn.CONCAT(CHAR(96),CHAR(34)),$G569)),ISNUMBER(SEARCH(_xlfn.CONCAT(CHAR(34),CHAR(39)),$G569))),_xlfn.CONCAT("* REVIEW REQUIRED: compound-quote delimiter in Universe on Sheet 1 row ",569,"; edit the input before running."),_xlfn.CONCAT("char ",TRIM($B569),"[doc_universe] ",CHAR(96),CHAR(34),SUBSTITUTE(SUBSTITUTE(SUBSTITUTE(SUBSTITUTE(SUBSTITUTE(SUBSTITUTE($G569,CHAR(13)," "),CHAR(10)," "),CHAR(9)," "),CHAR(92),_xlfn.CONCAT(CHAR(92),CHAR(92))),"$",_xlfn.CONCAT(CHAR(92),"$")),CHAR(96),_xlfn.CONCAT(CHAR(92),CHAR(96))),CHAR(34),CHAR(39))))</f>
        <v/>
      </c>
      <c r="R569" s="5" t="str">
        <f>IF(OR(TRIM($B569)="",$H569=""),"",IF(OR(ISNUMBER(SEARCH(_xlfn.CONCAT(CHAR(96),CHAR(34)),$H569)),ISNUMBER(SEARCH(_xlfn.CONCAT(CHAR(34),CHAR(39)),$H569))),_xlfn.CONCAT("* REVIEW REQUIRED: compound-quote delimiter in Source on Sheet 1 row ",569,"; edit the input before running."),_xlfn.CONCAT("char ",TRIM($B569),"[doc_source] ",CHAR(96),CHAR(34),SUBSTITUTE(SUBSTITUTE(SUBSTITUTE(SUBSTITUTE(SUBSTITUTE(SUBSTITUTE($H569,CHAR(13)," "),CHAR(10)," "),CHAR(9)," "),CHAR(92),_xlfn.CONCAT(CHAR(92),CHAR(92))),"$",_xlfn.CONCAT(CHAR(92),"$")),CHAR(96),_xlfn.CONCAT(CHAR(92),CHAR(96))),CHAR(34),CHAR(39))))</f>
        <v/>
      </c>
      <c r="S569" s="5" t="str">
        <f>IF(OR(TRIM($B569)="",$I569=""),"",IF(OR(ISNUMBER(SEARCH(_xlfn.CONCAT(CHAR(96),CHAR(34)),$I569)),ISNUMBER(SEARCH(_xlfn.CONCAT(CHAR(34),CHAR(39)),$I569))),_xlfn.CONCAT("* REVIEW REQUIRED: compound-quote delimiter in Derivation on Sheet 1 row ",569,"; edit the input before running."),_xlfn.CONCAT("char ",TRIM($B569),"[doc_derivation] ",CHAR(96),CHAR(34),SUBSTITUTE(SUBSTITUTE(SUBSTITUTE(SUBSTITUTE(SUBSTITUTE(SUBSTITUTE($I569,CHAR(13)," "),CHAR(10)," "),CHAR(9)," "),CHAR(92),_xlfn.CONCAT(CHAR(92),CHAR(92))),"$",_xlfn.CONCAT(CHAR(92),"$")),CHAR(96),_xlfn.CONCAT(CHAR(92),CHAR(96))),CHAR(34),CHAR(39))))</f>
        <v/>
      </c>
      <c r="T569" s="5" t="str">
        <f>IF(OR(TRIM($B569)="",$J569=""),"",IF(OR(ISNUMBER(SEARCH(_xlfn.CONCAT(CHAR(96),CHAR(34)),$J569)),ISNUMBER(SEARCH(_xlfn.CONCAT(CHAR(34),CHAR(39)),$J569))),_xlfn.CONCAT("* REVIEW REQUIRED: compound-quote delimiter in Notes on Sheet 1 row ",569,"; edit the input before running."),_xlfn.CONCAT("char ",TRIM($B569),"[doc_notes] ",CHAR(96),CHAR(34),SUBSTITUTE(SUBSTITUTE(SUBSTITUTE(SUBSTITUTE(SUBSTITUTE(SUBSTITUTE($J569,CHAR(13)," "),CHAR(10)," "),CHAR(9)," "),CHAR(92),_xlfn.CONCAT(CHAR(92),CHAR(92))),"$",_xlfn.CONCAT(CHAR(92),"$")),CHAR(96),_xlfn.CONCAT(CHAR(92),CHAR(96))),CHAR(34),CHAR(39))))</f>
        <v/>
      </c>
      <c r="U569" s="5">
        <f t="shared" si="17"/>
        <v>0</v>
      </c>
    </row>
    <row r="570" spans="3:21" ht="30" customHeight="1" x14ac:dyDescent="0.2">
      <c r="C570" s="4"/>
      <c r="K570" s="5">
        <f t="shared" si="16"/>
        <v>0</v>
      </c>
      <c r="L570" s="5" t="str">
        <f>IF(OR(TRIM($B570)="",$A570=""),"",IF(OR(ISNUMBER(SEARCH(_xlfn.CONCAT(CHAR(96),CHAR(34)),$A570)),ISNUMBER(SEARCH(_xlfn.CONCAT(CHAR(34),CHAR(39)),$A570))),_xlfn.CONCAT("* REVIEW REQUIRED: compound-quote delimiter in Codebook Section on Sheet 1 row ",570,"; edit the input before running."),_xlfn.CONCAT("char ",TRIM($B570),"[doc_section] ",CHAR(96),CHAR(34),SUBSTITUTE(SUBSTITUTE(SUBSTITUTE(SUBSTITUTE(SUBSTITUTE(SUBSTITUTE($A570,CHAR(13)," "),CHAR(10)," "),CHAR(9)," "),CHAR(92),_xlfn.CONCAT(CHAR(92),CHAR(92))),"$",_xlfn.CONCAT(CHAR(92),"$")),CHAR(96),_xlfn.CONCAT(CHAR(92),CHAR(96))),CHAR(34),CHAR(39))))</f>
        <v/>
      </c>
      <c r="M570" s="5" t="str">
        <f>IF(OR(TRIM($B570)="",$C570=""),"",IF(IFERROR(MATCH(TRIM($C570),{"Quantitative","Continuous","Discrete","Categorical","Nominal","Ordinal","Identifier"},0),0)=0,_xlfn.CONCAT("* REVIEW REQUIRED: invalid Variable Type on Sheet 1 row ",570,"."),_xlfn.CONCAT("char ",TRIM($B570),"[doc_vartype] ",CHAR(96),CHAR(34),SUBSTITUTE(SUBSTITUTE(SUBSTITUTE(SUBSTITUTE(SUBSTITUTE(SUBSTITUTE(LOWER(TRIM($C570)),CHAR(13)," "),CHAR(10)," "),CHAR(9)," "),CHAR(92),_xlfn.CONCAT(CHAR(92),CHAR(92))),"$",_xlfn.CONCAT(CHAR(92),"$")),CHAR(96),_xlfn.CONCAT(CHAR(92),CHAR(96))),CHAR(34),CHAR(39))))</f>
        <v/>
      </c>
      <c r="N570" s="5" t="str">
        <f>IF(OR(TRIM($B570)="",$D570=""),"",IF(OR(ISNUMBER(SEARCH(_xlfn.CONCAT(CHAR(96),CHAR(34)),$D570)),ISNUMBER(SEARCH(_xlfn.CONCAT(CHAR(34),CHAR(39)),$D570))),_xlfn.CONCAT("* REVIEW REQUIRED: compound-quote delimiter in Item Number on Sheet 1 row ",570,"; edit the input before running."),_xlfn.CONCAT("char ",TRIM($B570),"[doc_itemnum] ",CHAR(96),CHAR(34),SUBSTITUTE(SUBSTITUTE(SUBSTITUTE(SUBSTITUTE(SUBSTITUTE(SUBSTITUTE($D570,CHAR(13)," "),CHAR(10)," "),CHAR(9)," "),CHAR(92),_xlfn.CONCAT(CHAR(92),CHAR(92))),"$",_xlfn.CONCAT(CHAR(92),"$")),CHAR(96),_xlfn.CONCAT(CHAR(92),CHAR(96))),CHAR(34),CHAR(39))))</f>
        <v/>
      </c>
      <c r="O570" s="5" t="str">
        <f>IF(OR(TRIM($B570)="",$E570=""),"",IF(OR(ISNUMBER(SEARCH(_xlfn.CONCAT(CHAR(96),CHAR(34)),$E570)),ISNUMBER(SEARCH(_xlfn.CONCAT(CHAR(34),CHAR(39)),$E570))),_xlfn.CONCAT("* REVIEW REQUIRED: compound-quote delimiter in Question Wording on Sheet 1 row ",570,"; edit the input before running."),_xlfn.CONCAT("char ",TRIM($B570),"[doc_question] ",CHAR(96),CHAR(34),SUBSTITUTE(SUBSTITUTE(SUBSTITUTE(SUBSTITUTE(SUBSTITUTE(SUBSTITUTE($E570,CHAR(13)," "),CHAR(10)," "),CHAR(9)," "),CHAR(92),_xlfn.CONCAT(CHAR(92),CHAR(92))),"$",_xlfn.CONCAT(CHAR(92),"$")),CHAR(96),_xlfn.CONCAT(CHAR(92),CHAR(96))),CHAR(34),CHAR(39))))</f>
        <v/>
      </c>
      <c r="P570" s="5" t="str">
        <f>IF(OR(TRIM($B570)="",$F570=""),"",IF(OR(ISNUMBER(SEARCH(_xlfn.CONCAT(CHAR(96),CHAR(34)),$F570)),ISNUMBER(SEARCH(_xlfn.CONCAT(CHAR(34),CHAR(39)),$F570))),_xlfn.CONCAT("* REVIEW REQUIRED: compound-quote delimiter in Units on Sheet 1 row ",570,"; edit the input before running."),_xlfn.CONCAT("char ",TRIM($B570),"[doc_units] ",CHAR(96),CHAR(34),SUBSTITUTE(SUBSTITUTE(SUBSTITUTE(SUBSTITUTE(SUBSTITUTE(SUBSTITUTE($F570,CHAR(13)," "),CHAR(10)," "),CHAR(9)," "),CHAR(92),_xlfn.CONCAT(CHAR(92),CHAR(92))),"$",_xlfn.CONCAT(CHAR(92),"$")),CHAR(96),_xlfn.CONCAT(CHAR(92),CHAR(96))),CHAR(34),CHAR(39))))</f>
        <v/>
      </c>
      <c r="Q570" s="5" t="str">
        <f>IF(OR(TRIM($B570)="",$G570=""),"",IF(OR(ISNUMBER(SEARCH(_xlfn.CONCAT(CHAR(96),CHAR(34)),$G570)),ISNUMBER(SEARCH(_xlfn.CONCAT(CHAR(34),CHAR(39)),$G570))),_xlfn.CONCAT("* REVIEW REQUIRED: compound-quote delimiter in Universe on Sheet 1 row ",570,"; edit the input before running."),_xlfn.CONCAT("char ",TRIM($B570),"[doc_universe] ",CHAR(96),CHAR(34),SUBSTITUTE(SUBSTITUTE(SUBSTITUTE(SUBSTITUTE(SUBSTITUTE(SUBSTITUTE($G570,CHAR(13)," "),CHAR(10)," "),CHAR(9)," "),CHAR(92),_xlfn.CONCAT(CHAR(92),CHAR(92))),"$",_xlfn.CONCAT(CHAR(92),"$")),CHAR(96),_xlfn.CONCAT(CHAR(92),CHAR(96))),CHAR(34),CHAR(39))))</f>
        <v/>
      </c>
      <c r="R570" s="5" t="str">
        <f>IF(OR(TRIM($B570)="",$H570=""),"",IF(OR(ISNUMBER(SEARCH(_xlfn.CONCAT(CHAR(96),CHAR(34)),$H570)),ISNUMBER(SEARCH(_xlfn.CONCAT(CHAR(34),CHAR(39)),$H570))),_xlfn.CONCAT("* REVIEW REQUIRED: compound-quote delimiter in Source on Sheet 1 row ",570,"; edit the input before running."),_xlfn.CONCAT("char ",TRIM($B570),"[doc_source] ",CHAR(96),CHAR(34),SUBSTITUTE(SUBSTITUTE(SUBSTITUTE(SUBSTITUTE(SUBSTITUTE(SUBSTITUTE($H570,CHAR(13)," "),CHAR(10)," "),CHAR(9)," "),CHAR(92),_xlfn.CONCAT(CHAR(92),CHAR(92))),"$",_xlfn.CONCAT(CHAR(92),"$")),CHAR(96),_xlfn.CONCAT(CHAR(92),CHAR(96))),CHAR(34),CHAR(39))))</f>
        <v/>
      </c>
      <c r="S570" s="5" t="str">
        <f>IF(OR(TRIM($B570)="",$I570=""),"",IF(OR(ISNUMBER(SEARCH(_xlfn.CONCAT(CHAR(96),CHAR(34)),$I570)),ISNUMBER(SEARCH(_xlfn.CONCAT(CHAR(34),CHAR(39)),$I570))),_xlfn.CONCAT("* REVIEW REQUIRED: compound-quote delimiter in Derivation on Sheet 1 row ",570,"; edit the input before running."),_xlfn.CONCAT("char ",TRIM($B570),"[doc_derivation] ",CHAR(96),CHAR(34),SUBSTITUTE(SUBSTITUTE(SUBSTITUTE(SUBSTITUTE(SUBSTITUTE(SUBSTITUTE($I570,CHAR(13)," "),CHAR(10)," "),CHAR(9)," "),CHAR(92),_xlfn.CONCAT(CHAR(92),CHAR(92))),"$",_xlfn.CONCAT(CHAR(92),"$")),CHAR(96),_xlfn.CONCAT(CHAR(92),CHAR(96))),CHAR(34),CHAR(39))))</f>
        <v/>
      </c>
      <c r="T570" s="5" t="str">
        <f>IF(OR(TRIM($B570)="",$J570=""),"",IF(OR(ISNUMBER(SEARCH(_xlfn.CONCAT(CHAR(96),CHAR(34)),$J570)),ISNUMBER(SEARCH(_xlfn.CONCAT(CHAR(34),CHAR(39)),$J570))),_xlfn.CONCAT("* REVIEW REQUIRED: compound-quote delimiter in Notes on Sheet 1 row ",570,"; edit the input before running."),_xlfn.CONCAT("char ",TRIM($B570),"[doc_notes] ",CHAR(96),CHAR(34),SUBSTITUTE(SUBSTITUTE(SUBSTITUTE(SUBSTITUTE(SUBSTITUTE(SUBSTITUTE($J570,CHAR(13)," "),CHAR(10)," "),CHAR(9)," "),CHAR(92),_xlfn.CONCAT(CHAR(92),CHAR(92))),"$",_xlfn.CONCAT(CHAR(92),"$")),CHAR(96),_xlfn.CONCAT(CHAR(92),CHAR(96))),CHAR(34),CHAR(39))))</f>
        <v/>
      </c>
      <c r="U570" s="5">
        <f t="shared" si="17"/>
        <v>0</v>
      </c>
    </row>
    <row r="571" spans="3:21" ht="30" customHeight="1" x14ac:dyDescent="0.2">
      <c r="C571" s="4"/>
      <c r="K571" s="5">
        <f t="shared" si="16"/>
        <v>0</v>
      </c>
      <c r="L571" s="5" t="str">
        <f>IF(OR(TRIM($B571)="",$A571=""),"",IF(OR(ISNUMBER(SEARCH(_xlfn.CONCAT(CHAR(96),CHAR(34)),$A571)),ISNUMBER(SEARCH(_xlfn.CONCAT(CHAR(34),CHAR(39)),$A571))),_xlfn.CONCAT("* REVIEW REQUIRED: compound-quote delimiter in Codebook Section on Sheet 1 row ",571,"; edit the input before running."),_xlfn.CONCAT("char ",TRIM($B571),"[doc_section] ",CHAR(96),CHAR(34),SUBSTITUTE(SUBSTITUTE(SUBSTITUTE(SUBSTITUTE(SUBSTITUTE(SUBSTITUTE($A571,CHAR(13)," "),CHAR(10)," "),CHAR(9)," "),CHAR(92),_xlfn.CONCAT(CHAR(92),CHAR(92))),"$",_xlfn.CONCAT(CHAR(92),"$")),CHAR(96),_xlfn.CONCAT(CHAR(92),CHAR(96))),CHAR(34),CHAR(39))))</f>
        <v/>
      </c>
      <c r="M571" s="5" t="str">
        <f>IF(OR(TRIM($B571)="",$C571=""),"",IF(IFERROR(MATCH(TRIM($C571),{"Quantitative","Continuous","Discrete","Categorical","Nominal","Ordinal","Identifier"},0),0)=0,_xlfn.CONCAT("* REVIEW REQUIRED: invalid Variable Type on Sheet 1 row ",571,"."),_xlfn.CONCAT("char ",TRIM($B571),"[doc_vartype] ",CHAR(96),CHAR(34),SUBSTITUTE(SUBSTITUTE(SUBSTITUTE(SUBSTITUTE(SUBSTITUTE(SUBSTITUTE(LOWER(TRIM($C571)),CHAR(13)," "),CHAR(10)," "),CHAR(9)," "),CHAR(92),_xlfn.CONCAT(CHAR(92),CHAR(92))),"$",_xlfn.CONCAT(CHAR(92),"$")),CHAR(96),_xlfn.CONCAT(CHAR(92),CHAR(96))),CHAR(34),CHAR(39))))</f>
        <v/>
      </c>
      <c r="N571" s="5" t="str">
        <f>IF(OR(TRIM($B571)="",$D571=""),"",IF(OR(ISNUMBER(SEARCH(_xlfn.CONCAT(CHAR(96),CHAR(34)),$D571)),ISNUMBER(SEARCH(_xlfn.CONCAT(CHAR(34),CHAR(39)),$D571))),_xlfn.CONCAT("* REVIEW REQUIRED: compound-quote delimiter in Item Number on Sheet 1 row ",571,"; edit the input before running."),_xlfn.CONCAT("char ",TRIM($B571),"[doc_itemnum] ",CHAR(96),CHAR(34),SUBSTITUTE(SUBSTITUTE(SUBSTITUTE(SUBSTITUTE(SUBSTITUTE(SUBSTITUTE($D571,CHAR(13)," "),CHAR(10)," "),CHAR(9)," "),CHAR(92),_xlfn.CONCAT(CHAR(92),CHAR(92))),"$",_xlfn.CONCAT(CHAR(92),"$")),CHAR(96),_xlfn.CONCAT(CHAR(92),CHAR(96))),CHAR(34),CHAR(39))))</f>
        <v/>
      </c>
      <c r="O571" s="5" t="str">
        <f>IF(OR(TRIM($B571)="",$E571=""),"",IF(OR(ISNUMBER(SEARCH(_xlfn.CONCAT(CHAR(96),CHAR(34)),$E571)),ISNUMBER(SEARCH(_xlfn.CONCAT(CHAR(34),CHAR(39)),$E571))),_xlfn.CONCAT("* REVIEW REQUIRED: compound-quote delimiter in Question Wording on Sheet 1 row ",571,"; edit the input before running."),_xlfn.CONCAT("char ",TRIM($B571),"[doc_question] ",CHAR(96),CHAR(34),SUBSTITUTE(SUBSTITUTE(SUBSTITUTE(SUBSTITUTE(SUBSTITUTE(SUBSTITUTE($E571,CHAR(13)," "),CHAR(10)," "),CHAR(9)," "),CHAR(92),_xlfn.CONCAT(CHAR(92),CHAR(92))),"$",_xlfn.CONCAT(CHAR(92),"$")),CHAR(96),_xlfn.CONCAT(CHAR(92),CHAR(96))),CHAR(34),CHAR(39))))</f>
        <v/>
      </c>
      <c r="P571" s="5" t="str">
        <f>IF(OR(TRIM($B571)="",$F571=""),"",IF(OR(ISNUMBER(SEARCH(_xlfn.CONCAT(CHAR(96),CHAR(34)),$F571)),ISNUMBER(SEARCH(_xlfn.CONCAT(CHAR(34),CHAR(39)),$F571))),_xlfn.CONCAT("* REVIEW REQUIRED: compound-quote delimiter in Units on Sheet 1 row ",571,"; edit the input before running."),_xlfn.CONCAT("char ",TRIM($B571),"[doc_units] ",CHAR(96),CHAR(34),SUBSTITUTE(SUBSTITUTE(SUBSTITUTE(SUBSTITUTE(SUBSTITUTE(SUBSTITUTE($F571,CHAR(13)," "),CHAR(10)," "),CHAR(9)," "),CHAR(92),_xlfn.CONCAT(CHAR(92),CHAR(92))),"$",_xlfn.CONCAT(CHAR(92),"$")),CHAR(96),_xlfn.CONCAT(CHAR(92),CHAR(96))),CHAR(34),CHAR(39))))</f>
        <v/>
      </c>
      <c r="Q571" s="5" t="str">
        <f>IF(OR(TRIM($B571)="",$G571=""),"",IF(OR(ISNUMBER(SEARCH(_xlfn.CONCAT(CHAR(96),CHAR(34)),$G571)),ISNUMBER(SEARCH(_xlfn.CONCAT(CHAR(34),CHAR(39)),$G571))),_xlfn.CONCAT("* REVIEW REQUIRED: compound-quote delimiter in Universe on Sheet 1 row ",571,"; edit the input before running."),_xlfn.CONCAT("char ",TRIM($B571),"[doc_universe] ",CHAR(96),CHAR(34),SUBSTITUTE(SUBSTITUTE(SUBSTITUTE(SUBSTITUTE(SUBSTITUTE(SUBSTITUTE($G571,CHAR(13)," "),CHAR(10)," "),CHAR(9)," "),CHAR(92),_xlfn.CONCAT(CHAR(92),CHAR(92))),"$",_xlfn.CONCAT(CHAR(92),"$")),CHAR(96),_xlfn.CONCAT(CHAR(92),CHAR(96))),CHAR(34),CHAR(39))))</f>
        <v/>
      </c>
      <c r="R571" s="5" t="str">
        <f>IF(OR(TRIM($B571)="",$H571=""),"",IF(OR(ISNUMBER(SEARCH(_xlfn.CONCAT(CHAR(96),CHAR(34)),$H571)),ISNUMBER(SEARCH(_xlfn.CONCAT(CHAR(34),CHAR(39)),$H571))),_xlfn.CONCAT("* REVIEW REQUIRED: compound-quote delimiter in Source on Sheet 1 row ",571,"; edit the input before running."),_xlfn.CONCAT("char ",TRIM($B571),"[doc_source] ",CHAR(96),CHAR(34),SUBSTITUTE(SUBSTITUTE(SUBSTITUTE(SUBSTITUTE(SUBSTITUTE(SUBSTITUTE($H571,CHAR(13)," "),CHAR(10)," "),CHAR(9)," "),CHAR(92),_xlfn.CONCAT(CHAR(92),CHAR(92))),"$",_xlfn.CONCAT(CHAR(92),"$")),CHAR(96),_xlfn.CONCAT(CHAR(92),CHAR(96))),CHAR(34),CHAR(39))))</f>
        <v/>
      </c>
      <c r="S571" s="5" t="str">
        <f>IF(OR(TRIM($B571)="",$I571=""),"",IF(OR(ISNUMBER(SEARCH(_xlfn.CONCAT(CHAR(96),CHAR(34)),$I571)),ISNUMBER(SEARCH(_xlfn.CONCAT(CHAR(34),CHAR(39)),$I571))),_xlfn.CONCAT("* REVIEW REQUIRED: compound-quote delimiter in Derivation on Sheet 1 row ",571,"; edit the input before running."),_xlfn.CONCAT("char ",TRIM($B571),"[doc_derivation] ",CHAR(96),CHAR(34),SUBSTITUTE(SUBSTITUTE(SUBSTITUTE(SUBSTITUTE(SUBSTITUTE(SUBSTITUTE($I571,CHAR(13)," "),CHAR(10)," "),CHAR(9)," "),CHAR(92),_xlfn.CONCAT(CHAR(92),CHAR(92))),"$",_xlfn.CONCAT(CHAR(92),"$")),CHAR(96),_xlfn.CONCAT(CHAR(92),CHAR(96))),CHAR(34),CHAR(39))))</f>
        <v/>
      </c>
      <c r="T571" s="5" t="str">
        <f>IF(OR(TRIM($B571)="",$J571=""),"",IF(OR(ISNUMBER(SEARCH(_xlfn.CONCAT(CHAR(96),CHAR(34)),$J571)),ISNUMBER(SEARCH(_xlfn.CONCAT(CHAR(34),CHAR(39)),$J571))),_xlfn.CONCAT("* REVIEW REQUIRED: compound-quote delimiter in Notes on Sheet 1 row ",571,"; edit the input before running."),_xlfn.CONCAT("char ",TRIM($B571),"[doc_notes] ",CHAR(96),CHAR(34),SUBSTITUTE(SUBSTITUTE(SUBSTITUTE(SUBSTITUTE(SUBSTITUTE(SUBSTITUTE($J571,CHAR(13)," "),CHAR(10)," "),CHAR(9)," "),CHAR(92),_xlfn.CONCAT(CHAR(92),CHAR(92))),"$",_xlfn.CONCAT(CHAR(92),"$")),CHAR(96),_xlfn.CONCAT(CHAR(92),CHAR(96))),CHAR(34),CHAR(39))))</f>
        <v/>
      </c>
      <c r="U571" s="5">
        <f t="shared" si="17"/>
        <v>0</v>
      </c>
    </row>
    <row r="572" spans="3:21" ht="30" customHeight="1" x14ac:dyDescent="0.2">
      <c r="C572" s="4"/>
      <c r="K572" s="5">
        <f t="shared" si="16"/>
        <v>0</v>
      </c>
      <c r="L572" s="5" t="str">
        <f>IF(OR(TRIM($B572)="",$A572=""),"",IF(OR(ISNUMBER(SEARCH(_xlfn.CONCAT(CHAR(96),CHAR(34)),$A572)),ISNUMBER(SEARCH(_xlfn.CONCAT(CHAR(34),CHAR(39)),$A572))),_xlfn.CONCAT("* REVIEW REQUIRED: compound-quote delimiter in Codebook Section on Sheet 1 row ",572,"; edit the input before running."),_xlfn.CONCAT("char ",TRIM($B572),"[doc_section] ",CHAR(96),CHAR(34),SUBSTITUTE(SUBSTITUTE(SUBSTITUTE(SUBSTITUTE(SUBSTITUTE(SUBSTITUTE($A572,CHAR(13)," "),CHAR(10)," "),CHAR(9)," "),CHAR(92),_xlfn.CONCAT(CHAR(92),CHAR(92))),"$",_xlfn.CONCAT(CHAR(92),"$")),CHAR(96),_xlfn.CONCAT(CHAR(92),CHAR(96))),CHAR(34),CHAR(39))))</f>
        <v/>
      </c>
      <c r="M572" s="5" t="str">
        <f>IF(OR(TRIM($B572)="",$C572=""),"",IF(IFERROR(MATCH(TRIM($C572),{"Quantitative","Continuous","Discrete","Categorical","Nominal","Ordinal","Identifier"},0),0)=0,_xlfn.CONCAT("* REVIEW REQUIRED: invalid Variable Type on Sheet 1 row ",572,"."),_xlfn.CONCAT("char ",TRIM($B572),"[doc_vartype] ",CHAR(96),CHAR(34),SUBSTITUTE(SUBSTITUTE(SUBSTITUTE(SUBSTITUTE(SUBSTITUTE(SUBSTITUTE(LOWER(TRIM($C572)),CHAR(13)," "),CHAR(10)," "),CHAR(9)," "),CHAR(92),_xlfn.CONCAT(CHAR(92),CHAR(92))),"$",_xlfn.CONCAT(CHAR(92),"$")),CHAR(96),_xlfn.CONCAT(CHAR(92),CHAR(96))),CHAR(34),CHAR(39))))</f>
        <v/>
      </c>
      <c r="N572" s="5" t="str">
        <f>IF(OR(TRIM($B572)="",$D572=""),"",IF(OR(ISNUMBER(SEARCH(_xlfn.CONCAT(CHAR(96),CHAR(34)),$D572)),ISNUMBER(SEARCH(_xlfn.CONCAT(CHAR(34),CHAR(39)),$D572))),_xlfn.CONCAT("* REVIEW REQUIRED: compound-quote delimiter in Item Number on Sheet 1 row ",572,"; edit the input before running."),_xlfn.CONCAT("char ",TRIM($B572),"[doc_itemnum] ",CHAR(96),CHAR(34),SUBSTITUTE(SUBSTITUTE(SUBSTITUTE(SUBSTITUTE(SUBSTITUTE(SUBSTITUTE($D572,CHAR(13)," "),CHAR(10)," "),CHAR(9)," "),CHAR(92),_xlfn.CONCAT(CHAR(92),CHAR(92))),"$",_xlfn.CONCAT(CHAR(92),"$")),CHAR(96),_xlfn.CONCAT(CHAR(92),CHAR(96))),CHAR(34),CHAR(39))))</f>
        <v/>
      </c>
      <c r="O572" s="5" t="str">
        <f>IF(OR(TRIM($B572)="",$E572=""),"",IF(OR(ISNUMBER(SEARCH(_xlfn.CONCAT(CHAR(96),CHAR(34)),$E572)),ISNUMBER(SEARCH(_xlfn.CONCAT(CHAR(34),CHAR(39)),$E572))),_xlfn.CONCAT("* REVIEW REQUIRED: compound-quote delimiter in Question Wording on Sheet 1 row ",572,"; edit the input before running."),_xlfn.CONCAT("char ",TRIM($B572),"[doc_question] ",CHAR(96),CHAR(34),SUBSTITUTE(SUBSTITUTE(SUBSTITUTE(SUBSTITUTE(SUBSTITUTE(SUBSTITUTE($E572,CHAR(13)," "),CHAR(10)," "),CHAR(9)," "),CHAR(92),_xlfn.CONCAT(CHAR(92),CHAR(92))),"$",_xlfn.CONCAT(CHAR(92),"$")),CHAR(96),_xlfn.CONCAT(CHAR(92),CHAR(96))),CHAR(34),CHAR(39))))</f>
        <v/>
      </c>
      <c r="P572" s="5" t="str">
        <f>IF(OR(TRIM($B572)="",$F572=""),"",IF(OR(ISNUMBER(SEARCH(_xlfn.CONCAT(CHAR(96),CHAR(34)),$F572)),ISNUMBER(SEARCH(_xlfn.CONCAT(CHAR(34),CHAR(39)),$F572))),_xlfn.CONCAT("* REVIEW REQUIRED: compound-quote delimiter in Units on Sheet 1 row ",572,"; edit the input before running."),_xlfn.CONCAT("char ",TRIM($B572),"[doc_units] ",CHAR(96),CHAR(34),SUBSTITUTE(SUBSTITUTE(SUBSTITUTE(SUBSTITUTE(SUBSTITUTE(SUBSTITUTE($F572,CHAR(13)," "),CHAR(10)," "),CHAR(9)," "),CHAR(92),_xlfn.CONCAT(CHAR(92),CHAR(92))),"$",_xlfn.CONCAT(CHAR(92),"$")),CHAR(96),_xlfn.CONCAT(CHAR(92),CHAR(96))),CHAR(34),CHAR(39))))</f>
        <v/>
      </c>
      <c r="Q572" s="5" t="str">
        <f>IF(OR(TRIM($B572)="",$G572=""),"",IF(OR(ISNUMBER(SEARCH(_xlfn.CONCAT(CHAR(96),CHAR(34)),$G572)),ISNUMBER(SEARCH(_xlfn.CONCAT(CHAR(34),CHAR(39)),$G572))),_xlfn.CONCAT("* REVIEW REQUIRED: compound-quote delimiter in Universe on Sheet 1 row ",572,"; edit the input before running."),_xlfn.CONCAT("char ",TRIM($B572),"[doc_universe] ",CHAR(96),CHAR(34),SUBSTITUTE(SUBSTITUTE(SUBSTITUTE(SUBSTITUTE(SUBSTITUTE(SUBSTITUTE($G572,CHAR(13)," "),CHAR(10)," "),CHAR(9)," "),CHAR(92),_xlfn.CONCAT(CHAR(92),CHAR(92))),"$",_xlfn.CONCAT(CHAR(92),"$")),CHAR(96),_xlfn.CONCAT(CHAR(92),CHAR(96))),CHAR(34),CHAR(39))))</f>
        <v/>
      </c>
      <c r="R572" s="5" t="str">
        <f>IF(OR(TRIM($B572)="",$H572=""),"",IF(OR(ISNUMBER(SEARCH(_xlfn.CONCAT(CHAR(96),CHAR(34)),$H572)),ISNUMBER(SEARCH(_xlfn.CONCAT(CHAR(34),CHAR(39)),$H572))),_xlfn.CONCAT("* REVIEW REQUIRED: compound-quote delimiter in Source on Sheet 1 row ",572,"; edit the input before running."),_xlfn.CONCAT("char ",TRIM($B572),"[doc_source] ",CHAR(96),CHAR(34),SUBSTITUTE(SUBSTITUTE(SUBSTITUTE(SUBSTITUTE(SUBSTITUTE(SUBSTITUTE($H572,CHAR(13)," "),CHAR(10)," "),CHAR(9)," "),CHAR(92),_xlfn.CONCAT(CHAR(92),CHAR(92))),"$",_xlfn.CONCAT(CHAR(92),"$")),CHAR(96),_xlfn.CONCAT(CHAR(92),CHAR(96))),CHAR(34),CHAR(39))))</f>
        <v/>
      </c>
      <c r="S572" s="5" t="str">
        <f>IF(OR(TRIM($B572)="",$I572=""),"",IF(OR(ISNUMBER(SEARCH(_xlfn.CONCAT(CHAR(96),CHAR(34)),$I572)),ISNUMBER(SEARCH(_xlfn.CONCAT(CHAR(34),CHAR(39)),$I572))),_xlfn.CONCAT("* REVIEW REQUIRED: compound-quote delimiter in Derivation on Sheet 1 row ",572,"; edit the input before running."),_xlfn.CONCAT("char ",TRIM($B572),"[doc_derivation] ",CHAR(96),CHAR(34),SUBSTITUTE(SUBSTITUTE(SUBSTITUTE(SUBSTITUTE(SUBSTITUTE(SUBSTITUTE($I572,CHAR(13)," "),CHAR(10)," "),CHAR(9)," "),CHAR(92),_xlfn.CONCAT(CHAR(92),CHAR(92))),"$",_xlfn.CONCAT(CHAR(92),"$")),CHAR(96),_xlfn.CONCAT(CHAR(92),CHAR(96))),CHAR(34),CHAR(39))))</f>
        <v/>
      </c>
      <c r="T572" s="5" t="str">
        <f>IF(OR(TRIM($B572)="",$J572=""),"",IF(OR(ISNUMBER(SEARCH(_xlfn.CONCAT(CHAR(96),CHAR(34)),$J572)),ISNUMBER(SEARCH(_xlfn.CONCAT(CHAR(34),CHAR(39)),$J572))),_xlfn.CONCAT("* REVIEW REQUIRED: compound-quote delimiter in Notes on Sheet 1 row ",572,"; edit the input before running."),_xlfn.CONCAT("char ",TRIM($B572),"[doc_notes] ",CHAR(96),CHAR(34),SUBSTITUTE(SUBSTITUTE(SUBSTITUTE(SUBSTITUTE(SUBSTITUTE(SUBSTITUTE($J572,CHAR(13)," "),CHAR(10)," "),CHAR(9)," "),CHAR(92),_xlfn.CONCAT(CHAR(92),CHAR(92))),"$",_xlfn.CONCAT(CHAR(92),"$")),CHAR(96),_xlfn.CONCAT(CHAR(92),CHAR(96))),CHAR(34),CHAR(39))))</f>
        <v/>
      </c>
      <c r="U572" s="5">
        <f t="shared" si="17"/>
        <v>0</v>
      </c>
    </row>
    <row r="573" spans="3:21" ht="30" customHeight="1" x14ac:dyDescent="0.2">
      <c r="C573" s="4"/>
      <c r="K573" s="5">
        <f t="shared" si="16"/>
        <v>0</v>
      </c>
      <c r="L573" s="5" t="str">
        <f>IF(OR(TRIM($B573)="",$A573=""),"",IF(OR(ISNUMBER(SEARCH(_xlfn.CONCAT(CHAR(96),CHAR(34)),$A573)),ISNUMBER(SEARCH(_xlfn.CONCAT(CHAR(34),CHAR(39)),$A573))),_xlfn.CONCAT("* REVIEW REQUIRED: compound-quote delimiter in Codebook Section on Sheet 1 row ",573,"; edit the input before running."),_xlfn.CONCAT("char ",TRIM($B573),"[doc_section] ",CHAR(96),CHAR(34),SUBSTITUTE(SUBSTITUTE(SUBSTITUTE(SUBSTITUTE(SUBSTITUTE(SUBSTITUTE($A573,CHAR(13)," "),CHAR(10)," "),CHAR(9)," "),CHAR(92),_xlfn.CONCAT(CHAR(92),CHAR(92))),"$",_xlfn.CONCAT(CHAR(92),"$")),CHAR(96),_xlfn.CONCAT(CHAR(92),CHAR(96))),CHAR(34),CHAR(39))))</f>
        <v/>
      </c>
      <c r="M573" s="5" t="str">
        <f>IF(OR(TRIM($B573)="",$C573=""),"",IF(IFERROR(MATCH(TRIM($C573),{"Quantitative","Continuous","Discrete","Categorical","Nominal","Ordinal","Identifier"},0),0)=0,_xlfn.CONCAT("* REVIEW REQUIRED: invalid Variable Type on Sheet 1 row ",573,"."),_xlfn.CONCAT("char ",TRIM($B573),"[doc_vartype] ",CHAR(96),CHAR(34),SUBSTITUTE(SUBSTITUTE(SUBSTITUTE(SUBSTITUTE(SUBSTITUTE(SUBSTITUTE(LOWER(TRIM($C573)),CHAR(13)," "),CHAR(10)," "),CHAR(9)," "),CHAR(92),_xlfn.CONCAT(CHAR(92),CHAR(92))),"$",_xlfn.CONCAT(CHAR(92),"$")),CHAR(96),_xlfn.CONCAT(CHAR(92),CHAR(96))),CHAR(34),CHAR(39))))</f>
        <v/>
      </c>
      <c r="N573" s="5" t="str">
        <f>IF(OR(TRIM($B573)="",$D573=""),"",IF(OR(ISNUMBER(SEARCH(_xlfn.CONCAT(CHAR(96),CHAR(34)),$D573)),ISNUMBER(SEARCH(_xlfn.CONCAT(CHAR(34),CHAR(39)),$D573))),_xlfn.CONCAT("* REVIEW REQUIRED: compound-quote delimiter in Item Number on Sheet 1 row ",573,"; edit the input before running."),_xlfn.CONCAT("char ",TRIM($B573),"[doc_itemnum] ",CHAR(96),CHAR(34),SUBSTITUTE(SUBSTITUTE(SUBSTITUTE(SUBSTITUTE(SUBSTITUTE(SUBSTITUTE($D573,CHAR(13)," "),CHAR(10)," "),CHAR(9)," "),CHAR(92),_xlfn.CONCAT(CHAR(92),CHAR(92))),"$",_xlfn.CONCAT(CHAR(92),"$")),CHAR(96),_xlfn.CONCAT(CHAR(92),CHAR(96))),CHAR(34),CHAR(39))))</f>
        <v/>
      </c>
      <c r="O573" s="5" t="str">
        <f>IF(OR(TRIM($B573)="",$E573=""),"",IF(OR(ISNUMBER(SEARCH(_xlfn.CONCAT(CHAR(96),CHAR(34)),$E573)),ISNUMBER(SEARCH(_xlfn.CONCAT(CHAR(34),CHAR(39)),$E573))),_xlfn.CONCAT("* REVIEW REQUIRED: compound-quote delimiter in Question Wording on Sheet 1 row ",573,"; edit the input before running."),_xlfn.CONCAT("char ",TRIM($B573),"[doc_question] ",CHAR(96),CHAR(34),SUBSTITUTE(SUBSTITUTE(SUBSTITUTE(SUBSTITUTE(SUBSTITUTE(SUBSTITUTE($E573,CHAR(13)," "),CHAR(10)," "),CHAR(9)," "),CHAR(92),_xlfn.CONCAT(CHAR(92),CHAR(92))),"$",_xlfn.CONCAT(CHAR(92),"$")),CHAR(96),_xlfn.CONCAT(CHAR(92),CHAR(96))),CHAR(34),CHAR(39))))</f>
        <v/>
      </c>
      <c r="P573" s="5" t="str">
        <f>IF(OR(TRIM($B573)="",$F573=""),"",IF(OR(ISNUMBER(SEARCH(_xlfn.CONCAT(CHAR(96),CHAR(34)),$F573)),ISNUMBER(SEARCH(_xlfn.CONCAT(CHAR(34),CHAR(39)),$F573))),_xlfn.CONCAT("* REVIEW REQUIRED: compound-quote delimiter in Units on Sheet 1 row ",573,"; edit the input before running."),_xlfn.CONCAT("char ",TRIM($B573),"[doc_units] ",CHAR(96),CHAR(34),SUBSTITUTE(SUBSTITUTE(SUBSTITUTE(SUBSTITUTE(SUBSTITUTE(SUBSTITUTE($F573,CHAR(13)," "),CHAR(10)," "),CHAR(9)," "),CHAR(92),_xlfn.CONCAT(CHAR(92),CHAR(92))),"$",_xlfn.CONCAT(CHAR(92),"$")),CHAR(96),_xlfn.CONCAT(CHAR(92),CHAR(96))),CHAR(34),CHAR(39))))</f>
        <v/>
      </c>
      <c r="Q573" s="5" t="str">
        <f>IF(OR(TRIM($B573)="",$G573=""),"",IF(OR(ISNUMBER(SEARCH(_xlfn.CONCAT(CHAR(96),CHAR(34)),$G573)),ISNUMBER(SEARCH(_xlfn.CONCAT(CHAR(34),CHAR(39)),$G573))),_xlfn.CONCAT("* REVIEW REQUIRED: compound-quote delimiter in Universe on Sheet 1 row ",573,"; edit the input before running."),_xlfn.CONCAT("char ",TRIM($B573),"[doc_universe] ",CHAR(96),CHAR(34),SUBSTITUTE(SUBSTITUTE(SUBSTITUTE(SUBSTITUTE(SUBSTITUTE(SUBSTITUTE($G573,CHAR(13)," "),CHAR(10)," "),CHAR(9)," "),CHAR(92),_xlfn.CONCAT(CHAR(92),CHAR(92))),"$",_xlfn.CONCAT(CHAR(92),"$")),CHAR(96),_xlfn.CONCAT(CHAR(92),CHAR(96))),CHAR(34),CHAR(39))))</f>
        <v/>
      </c>
      <c r="R573" s="5" t="str">
        <f>IF(OR(TRIM($B573)="",$H573=""),"",IF(OR(ISNUMBER(SEARCH(_xlfn.CONCAT(CHAR(96),CHAR(34)),$H573)),ISNUMBER(SEARCH(_xlfn.CONCAT(CHAR(34),CHAR(39)),$H573))),_xlfn.CONCAT("* REVIEW REQUIRED: compound-quote delimiter in Source on Sheet 1 row ",573,"; edit the input before running."),_xlfn.CONCAT("char ",TRIM($B573),"[doc_source] ",CHAR(96),CHAR(34),SUBSTITUTE(SUBSTITUTE(SUBSTITUTE(SUBSTITUTE(SUBSTITUTE(SUBSTITUTE($H573,CHAR(13)," "),CHAR(10)," "),CHAR(9)," "),CHAR(92),_xlfn.CONCAT(CHAR(92),CHAR(92))),"$",_xlfn.CONCAT(CHAR(92),"$")),CHAR(96),_xlfn.CONCAT(CHAR(92),CHAR(96))),CHAR(34),CHAR(39))))</f>
        <v/>
      </c>
      <c r="S573" s="5" t="str">
        <f>IF(OR(TRIM($B573)="",$I573=""),"",IF(OR(ISNUMBER(SEARCH(_xlfn.CONCAT(CHAR(96),CHAR(34)),$I573)),ISNUMBER(SEARCH(_xlfn.CONCAT(CHAR(34),CHAR(39)),$I573))),_xlfn.CONCAT("* REVIEW REQUIRED: compound-quote delimiter in Derivation on Sheet 1 row ",573,"; edit the input before running."),_xlfn.CONCAT("char ",TRIM($B573),"[doc_derivation] ",CHAR(96),CHAR(34),SUBSTITUTE(SUBSTITUTE(SUBSTITUTE(SUBSTITUTE(SUBSTITUTE(SUBSTITUTE($I573,CHAR(13)," "),CHAR(10)," "),CHAR(9)," "),CHAR(92),_xlfn.CONCAT(CHAR(92),CHAR(92))),"$",_xlfn.CONCAT(CHAR(92),"$")),CHAR(96),_xlfn.CONCAT(CHAR(92),CHAR(96))),CHAR(34),CHAR(39))))</f>
        <v/>
      </c>
      <c r="T573" s="5" t="str">
        <f>IF(OR(TRIM($B573)="",$J573=""),"",IF(OR(ISNUMBER(SEARCH(_xlfn.CONCAT(CHAR(96),CHAR(34)),$J573)),ISNUMBER(SEARCH(_xlfn.CONCAT(CHAR(34),CHAR(39)),$J573))),_xlfn.CONCAT("* REVIEW REQUIRED: compound-quote delimiter in Notes on Sheet 1 row ",573,"; edit the input before running."),_xlfn.CONCAT("char ",TRIM($B573),"[doc_notes] ",CHAR(96),CHAR(34),SUBSTITUTE(SUBSTITUTE(SUBSTITUTE(SUBSTITUTE(SUBSTITUTE(SUBSTITUTE($J573,CHAR(13)," "),CHAR(10)," "),CHAR(9)," "),CHAR(92),_xlfn.CONCAT(CHAR(92),CHAR(92))),"$",_xlfn.CONCAT(CHAR(92),"$")),CHAR(96),_xlfn.CONCAT(CHAR(92),CHAR(96))),CHAR(34),CHAR(39))))</f>
        <v/>
      </c>
      <c r="U573" s="5">
        <f t="shared" si="17"/>
        <v>0</v>
      </c>
    </row>
    <row r="574" spans="3:21" ht="30" customHeight="1" x14ac:dyDescent="0.2">
      <c r="C574" s="4"/>
      <c r="K574" s="5">
        <f t="shared" si="16"/>
        <v>0</v>
      </c>
      <c r="L574" s="5" t="str">
        <f>IF(OR(TRIM($B574)="",$A574=""),"",IF(OR(ISNUMBER(SEARCH(_xlfn.CONCAT(CHAR(96),CHAR(34)),$A574)),ISNUMBER(SEARCH(_xlfn.CONCAT(CHAR(34),CHAR(39)),$A574))),_xlfn.CONCAT("* REVIEW REQUIRED: compound-quote delimiter in Codebook Section on Sheet 1 row ",574,"; edit the input before running."),_xlfn.CONCAT("char ",TRIM($B574),"[doc_section] ",CHAR(96),CHAR(34),SUBSTITUTE(SUBSTITUTE(SUBSTITUTE(SUBSTITUTE(SUBSTITUTE(SUBSTITUTE($A574,CHAR(13)," "),CHAR(10)," "),CHAR(9)," "),CHAR(92),_xlfn.CONCAT(CHAR(92),CHAR(92))),"$",_xlfn.CONCAT(CHAR(92),"$")),CHAR(96),_xlfn.CONCAT(CHAR(92),CHAR(96))),CHAR(34),CHAR(39))))</f>
        <v/>
      </c>
      <c r="M574" s="5" t="str">
        <f>IF(OR(TRIM($B574)="",$C574=""),"",IF(IFERROR(MATCH(TRIM($C574),{"Quantitative","Continuous","Discrete","Categorical","Nominal","Ordinal","Identifier"},0),0)=0,_xlfn.CONCAT("* REVIEW REQUIRED: invalid Variable Type on Sheet 1 row ",574,"."),_xlfn.CONCAT("char ",TRIM($B574),"[doc_vartype] ",CHAR(96),CHAR(34),SUBSTITUTE(SUBSTITUTE(SUBSTITUTE(SUBSTITUTE(SUBSTITUTE(SUBSTITUTE(LOWER(TRIM($C574)),CHAR(13)," "),CHAR(10)," "),CHAR(9)," "),CHAR(92),_xlfn.CONCAT(CHAR(92),CHAR(92))),"$",_xlfn.CONCAT(CHAR(92),"$")),CHAR(96),_xlfn.CONCAT(CHAR(92),CHAR(96))),CHAR(34),CHAR(39))))</f>
        <v/>
      </c>
      <c r="N574" s="5" t="str">
        <f>IF(OR(TRIM($B574)="",$D574=""),"",IF(OR(ISNUMBER(SEARCH(_xlfn.CONCAT(CHAR(96),CHAR(34)),$D574)),ISNUMBER(SEARCH(_xlfn.CONCAT(CHAR(34),CHAR(39)),$D574))),_xlfn.CONCAT("* REVIEW REQUIRED: compound-quote delimiter in Item Number on Sheet 1 row ",574,"; edit the input before running."),_xlfn.CONCAT("char ",TRIM($B574),"[doc_itemnum] ",CHAR(96),CHAR(34),SUBSTITUTE(SUBSTITUTE(SUBSTITUTE(SUBSTITUTE(SUBSTITUTE(SUBSTITUTE($D574,CHAR(13)," "),CHAR(10)," "),CHAR(9)," "),CHAR(92),_xlfn.CONCAT(CHAR(92),CHAR(92))),"$",_xlfn.CONCAT(CHAR(92),"$")),CHAR(96),_xlfn.CONCAT(CHAR(92),CHAR(96))),CHAR(34),CHAR(39))))</f>
        <v/>
      </c>
      <c r="O574" s="5" t="str">
        <f>IF(OR(TRIM($B574)="",$E574=""),"",IF(OR(ISNUMBER(SEARCH(_xlfn.CONCAT(CHAR(96),CHAR(34)),$E574)),ISNUMBER(SEARCH(_xlfn.CONCAT(CHAR(34),CHAR(39)),$E574))),_xlfn.CONCAT("* REVIEW REQUIRED: compound-quote delimiter in Question Wording on Sheet 1 row ",574,"; edit the input before running."),_xlfn.CONCAT("char ",TRIM($B574),"[doc_question] ",CHAR(96),CHAR(34),SUBSTITUTE(SUBSTITUTE(SUBSTITUTE(SUBSTITUTE(SUBSTITUTE(SUBSTITUTE($E574,CHAR(13)," "),CHAR(10)," "),CHAR(9)," "),CHAR(92),_xlfn.CONCAT(CHAR(92),CHAR(92))),"$",_xlfn.CONCAT(CHAR(92),"$")),CHAR(96),_xlfn.CONCAT(CHAR(92),CHAR(96))),CHAR(34),CHAR(39))))</f>
        <v/>
      </c>
      <c r="P574" s="5" t="str">
        <f>IF(OR(TRIM($B574)="",$F574=""),"",IF(OR(ISNUMBER(SEARCH(_xlfn.CONCAT(CHAR(96),CHAR(34)),$F574)),ISNUMBER(SEARCH(_xlfn.CONCAT(CHAR(34),CHAR(39)),$F574))),_xlfn.CONCAT("* REVIEW REQUIRED: compound-quote delimiter in Units on Sheet 1 row ",574,"; edit the input before running."),_xlfn.CONCAT("char ",TRIM($B574),"[doc_units] ",CHAR(96),CHAR(34),SUBSTITUTE(SUBSTITUTE(SUBSTITUTE(SUBSTITUTE(SUBSTITUTE(SUBSTITUTE($F574,CHAR(13)," "),CHAR(10)," "),CHAR(9)," "),CHAR(92),_xlfn.CONCAT(CHAR(92),CHAR(92))),"$",_xlfn.CONCAT(CHAR(92),"$")),CHAR(96),_xlfn.CONCAT(CHAR(92),CHAR(96))),CHAR(34),CHAR(39))))</f>
        <v/>
      </c>
      <c r="Q574" s="5" t="str">
        <f>IF(OR(TRIM($B574)="",$G574=""),"",IF(OR(ISNUMBER(SEARCH(_xlfn.CONCAT(CHAR(96),CHAR(34)),$G574)),ISNUMBER(SEARCH(_xlfn.CONCAT(CHAR(34),CHAR(39)),$G574))),_xlfn.CONCAT("* REVIEW REQUIRED: compound-quote delimiter in Universe on Sheet 1 row ",574,"; edit the input before running."),_xlfn.CONCAT("char ",TRIM($B574),"[doc_universe] ",CHAR(96),CHAR(34),SUBSTITUTE(SUBSTITUTE(SUBSTITUTE(SUBSTITUTE(SUBSTITUTE(SUBSTITUTE($G574,CHAR(13)," "),CHAR(10)," "),CHAR(9)," "),CHAR(92),_xlfn.CONCAT(CHAR(92),CHAR(92))),"$",_xlfn.CONCAT(CHAR(92),"$")),CHAR(96),_xlfn.CONCAT(CHAR(92),CHAR(96))),CHAR(34),CHAR(39))))</f>
        <v/>
      </c>
      <c r="R574" s="5" t="str">
        <f>IF(OR(TRIM($B574)="",$H574=""),"",IF(OR(ISNUMBER(SEARCH(_xlfn.CONCAT(CHAR(96),CHAR(34)),$H574)),ISNUMBER(SEARCH(_xlfn.CONCAT(CHAR(34),CHAR(39)),$H574))),_xlfn.CONCAT("* REVIEW REQUIRED: compound-quote delimiter in Source on Sheet 1 row ",574,"; edit the input before running."),_xlfn.CONCAT("char ",TRIM($B574),"[doc_source] ",CHAR(96),CHAR(34),SUBSTITUTE(SUBSTITUTE(SUBSTITUTE(SUBSTITUTE(SUBSTITUTE(SUBSTITUTE($H574,CHAR(13)," "),CHAR(10)," "),CHAR(9)," "),CHAR(92),_xlfn.CONCAT(CHAR(92),CHAR(92))),"$",_xlfn.CONCAT(CHAR(92),"$")),CHAR(96),_xlfn.CONCAT(CHAR(92),CHAR(96))),CHAR(34),CHAR(39))))</f>
        <v/>
      </c>
      <c r="S574" s="5" t="str">
        <f>IF(OR(TRIM($B574)="",$I574=""),"",IF(OR(ISNUMBER(SEARCH(_xlfn.CONCAT(CHAR(96),CHAR(34)),$I574)),ISNUMBER(SEARCH(_xlfn.CONCAT(CHAR(34),CHAR(39)),$I574))),_xlfn.CONCAT("* REVIEW REQUIRED: compound-quote delimiter in Derivation on Sheet 1 row ",574,"; edit the input before running."),_xlfn.CONCAT("char ",TRIM($B574),"[doc_derivation] ",CHAR(96),CHAR(34),SUBSTITUTE(SUBSTITUTE(SUBSTITUTE(SUBSTITUTE(SUBSTITUTE(SUBSTITUTE($I574,CHAR(13)," "),CHAR(10)," "),CHAR(9)," "),CHAR(92),_xlfn.CONCAT(CHAR(92),CHAR(92))),"$",_xlfn.CONCAT(CHAR(92),"$")),CHAR(96),_xlfn.CONCAT(CHAR(92),CHAR(96))),CHAR(34),CHAR(39))))</f>
        <v/>
      </c>
      <c r="T574" s="5" t="str">
        <f>IF(OR(TRIM($B574)="",$J574=""),"",IF(OR(ISNUMBER(SEARCH(_xlfn.CONCAT(CHAR(96),CHAR(34)),$J574)),ISNUMBER(SEARCH(_xlfn.CONCAT(CHAR(34),CHAR(39)),$J574))),_xlfn.CONCAT("* REVIEW REQUIRED: compound-quote delimiter in Notes on Sheet 1 row ",574,"; edit the input before running."),_xlfn.CONCAT("char ",TRIM($B574),"[doc_notes] ",CHAR(96),CHAR(34),SUBSTITUTE(SUBSTITUTE(SUBSTITUTE(SUBSTITUTE(SUBSTITUTE(SUBSTITUTE($J574,CHAR(13)," "),CHAR(10)," "),CHAR(9)," "),CHAR(92),_xlfn.CONCAT(CHAR(92),CHAR(92))),"$",_xlfn.CONCAT(CHAR(92),"$")),CHAR(96),_xlfn.CONCAT(CHAR(92),CHAR(96))),CHAR(34),CHAR(39))))</f>
        <v/>
      </c>
      <c r="U574" s="5">
        <f t="shared" si="17"/>
        <v>0</v>
      </c>
    </row>
    <row r="575" spans="3:21" ht="30" customHeight="1" x14ac:dyDescent="0.2">
      <c r="C575" s="4"/>
      <c r="K575" s="5">
        <f t="shared" si="16"/>
        <v>0</v>
      </c>
      <c r="L575" s="5" t="str">
        <f>IF(OR(TRIM($B575)="",$A575=""),"",IF(OR(ISNUMBER(SEARCH(_xlfn.CONCAT(CHAR(96),CHAR(34)),$A575)),ISNUMBER(SEARCH(_xlfn.CONCAT(CHAR(34),CHAR(39)),$A575))),_xlfn.CONCAT("* REVIEW REQUIRED: compound-quote delimiter in Codebook Section on Sheet 1 row ",575,"; edit the input before running."),_xlfn.CONCAT("char ",TRIM($B575),"[doc_section] ",CHAR(96),CHAR(34),SUBSTITUTE(SUBSTITUTE(SUBSTITUTE(SUBSTITUTE(SUBSTITUTE(SUBSTITUTE($A575,CHAR(13)," "),CHAR(10)," "),CHAR(9)," "),CHAR(92),_xlfn.CONCAT(CHAR(92),CHAR(92))),"$",_xlfn.CONCAT(CHAR(92),"$")),CHAR(96),_xlfn.CONCAT(CHAR(92),CHAR(96))),CHAR(34),CHAR(39))))</f>
        <v/>
      </c>
      <c r="M575" s="5" t="str">
        <f>IF(OR(TRIM($B575)="",$C575=""),"",IF(IFERROR(MATCH(TRIM($C575),{"Quantitative","Continuous","Discrete","Categorical","Nominal","Ordinal","Identifier"},0),0)=0,_xlfn.CONCAT("* REVIEW REQUIRED: invalid Variable Type on Sheet 1 row ",575,"."),_xlfn.CONCAT("char ",TRIM($B575),"[doc_vartype] ",CHAR(96),CHAR(34),SUBSTITUTE(SUBSTITUTE(SUBSTITUTE(SUBSTITUTE(SUBSTITUTE(SUBSTITUTE(LOWER(TRIM($C575)),CHAR(13)," "),CHAR(10)," "),CHAR(9)," "),CHAR(92),_xlfn.CONCAT(CHAR(92),CHAR(92))),"$",_xlfn.CONCAT(CHAR(92),"$")),CHAR(96),_xlfn.CONCAT(CHAR(92),CHAR(96))),CHAR(34),CHAR(39))))</f>
        <v/>
      </c>
      <c r="N575" s="5" t="str">
        <f>IF(OR(TRIM($B575)="",$D575=""),"",IF(OR(ISNUMBER(SEARCH(_xlfn.CONCAT(CHAR(96),CHAR(34)),$D575)),ISNUMBER(SEARCH(_xlfn.CONCAT(CHAR(34),CHAR(39)),$D575))),_xlfn.CONCAT("* REVIEW REQUIRED: compound-quote delimiter in Item Number on Sheet 1 row ",575,"; edit the input before running."),_xlfn.CONCAT("char ",TRIM($B575),"[doc_itemnum] ",CHAR(96),CHAR(34),SUBSTITUTE(SUBSTITUTE(SUBSTITUTE(SUBSTITUTE(SUBSTITUTE(SUBSTITUTE($D575,CHAR(13)," "),CHAR(10)," "),CHAR(9)," "),CHAR(92),_xlfn.CONCAT(CHAR(92),CHAR(92))),"$",_xlfn.CONCAT(CHAR(92),"$")),CHAR(96),_xlfn.CONCAT(CHAR(92),CHAR(96))),CHAR(34),CHAR(39))))</f>
        <v/>
      </c>
      <c r="O575" s="5" t="str">
        <f>IF(OR(TRIM($B575)="",$E575=""),"",IF(OR(ISNUMBER(SEARCH(_xlfn.CONCAT(CHAR(96),CHAR(34)),$E575)),ISNUMBER(SEARCH(_xlfn.CONCAT(CHAR(34),CHAR(39)),$E575))),_xlfn.CONCAT("* REVIEW REQUIRED: compound-quote delimiter in Question Wording on Sheet 1 row ",575,"; edit the input before running."),_xlfn.CONCAT("char ",TRIM($B575),"[doc_question] ",CHAR(96),CHAR(34),SUBSTITUTE(SUBSTITUTE(SUBSTITUTE(SUBSTITUTE(SUBSTITUTE(SUBSTITUTE($E575,CHAR(13)," "),CHAR(10)," "),CHAR(9)," "),CHAR(92),_xlfn.CONCAT(CHAR(92),CHAR(92))),"$",_xlfn.CONCAT(CHAR(92),"$")),CHAR(96),_xlfn.CONCAT(CHAR(92),CHAR(96))),CHAR(34),CHAR(39))))</f>
        <v/>
      </c>
      <c r="P575" s="5" t="str">
        <f>IF(OR(TRIM($B575)="",$F575=""),"",IF(OR(ISNUMBER(SEARCH(_xlfn.CONCAT(CHAR(96),CHAR(34)),$F575)),ISNUMBER(SEARCH(_xlfn.CONCAT(CHAR(34),CHAR(39)),$F575))),_xlfn.CONCAT("* REVIEW REQUIRED: compound-quote delimiter in Units on Sheet 1 row ",575,"; edit the input before running."),_xlfn.CONCAT("char ",TRIM($B575),"[doc_units] ",CHAR(96),CHAR(34),SUBSTITUTE(SUBSTITUTE(SUBSTITUTE(SUBSTITUTE(SUBSTITUTE(SUBSTITUTE($F575,CHAR(13)," "),CHAR(10)," "),CHAR(9)," "),CHAR(92),_xlfn.CONCAT(CHAR(92),CHAR(92))),"$",_xlfn.CONCAT(CHAR(92),"$")),CHAR(96),_xlfn.CONCAT(CHAR(92),CHAR(96))),CHAR(34),CHAR(39))))</f>
        <v/>
      </c>
      <c r="Q575" s="5" t="str">
        <f>IF(OR(TRIM($B575)="",$G575=""),"",IF(OR(ISNUMBER(SEARCH(_xlfn.CONCAT(CHAR(96),CHAR(34)),$G575)),ISNUMBER(SEARCH(_xlfn.CONCAT(CHAR(34),CHAR(39)),$G575))),_xlfn.CONCAT("* REVIEW REQUIRED: compound-quote delimiter in Universe on Sheet 1 row ",575,"; edit the input before running."),_xlfn.CONCAT("char ",TRIM($B575),"[doc_universe] ",CHAR(96),CHAR(34),SUBSTITUTE(SUBSTITUTE(SUBSTITUTE(SUBSTITUTE(SUBSTITUTE(SUBSTITUTE($G575,CHAR(13)," "),CHAR(10)," "),CHAR(9)," "),CHAR(92),_xlfn.CONCAT(CHAR(92),CHAR(92))),"$",_xlfn.CONCAT(CHAR(92),"$")),CHAR(96),_xlfn.CONCAT(CHAR(92),CHAR(96))),CHAR(34),CHAR(39))))</f>
        <v/>
      </c>
      <c r="R575" s="5" t="str">
        <f>IF(OR(TRIM($B575)="",$H575=""),"",IF(OR(ISNUMBER(SEARCH(_xlfn.CONCAT(CHAR(96),CHAR(34)),$H575)),ISNUMBER(SEARCH(_xlfn.CONCAT(CHAR(34),CHAR(39)),$H575))),_xlfn.CONCAT("* REVIEW REQUIRED: compound-quote delimiter in Source on Sheet 1 row ",575,"; edit the input before running."),_xlfn.CONCAT("char ",TRIM($B575),"[doc_source] ",CHAR(96),CHAR(34),SUBSTITUTE(SUBSTITUTE(SUBSTITUTE(SUBSTITUTE(SUBSTITUTE(SUBSTITUTE($H575,CHAR(13)," "),CHAR(10)," "),CHAR(9)," "),CHAR(92),_xlfn.CONCAT(CHAR(92),CHAR(92))),"$",_xlfn.CONCAT(CHAR(92),"$")),CHAR(96),_xlfn.CONCAT(CHAR(92),CHAR(96))),CHAR(34),CHAR(39))))</f>
        <v/>
      </c>
      <c r="S575" s="5" t="str">
        <f>IF(OR(TRIM($B575)="",$I575=""),"",IF(OR(ISNUMBER(SEARCH(_xlfn.CONCAT(CHAR(96),CHAR(34)),$I575)),ISNUMBER(SEARCH(_xlfn.CONCAT(CHAR(34),CHAR(39)),$I575))),_xlfn.CONCAT("* REVIEW REQUIRED: compound-quote delimiter in Derivation on Sheet 1 row ",575,"; edit the input before running."),_xlfn.CONCAT("char ",TRIM($B575),"[doc_derivation] ",CHAR(96),CHAR(34),SUBSTITUTE(SUBSTITUTE(SUBSTITUTE(SUBSTITUTE(SUBSTITUTE(SUBSTITUTE($I575,CHAR(13)," "),CHAR(10)," "),CHAR(9)," "),CHAR(92),_xlfn.CONCAT(CHAR(92),CHAR(92))),"$",_xlfn.CONCAT(CHAR(92),"$")),CHAR(96),_xlfn.CONCAT(CHAR(92),CHAR(96))),CHAR(34),CHAR(39))))</f>
        <v/>
      </c>
      <c r="T575" s="5" t="str">
        <f>IF(OR(TRIM($B575)="",$J575=""),"",IF(OR(ISNUMBER(SEARCH(_xlfn.CONCAT(CHAR(96),CHAR(34)),$J575)),ISNUMBER(SEARCH(_xlfn.CONCAT(CHAR(34),CHAR(39)),$J575))),_xlfn.CONCAT("* REVIEW REQUIRED: compound-quote delimiter in Notes on Sheet 1 row ",575,"; edit the input before running."),_xlfn.CONCAT("char ",TRIM($B575),"[doc_notes] ",CHAR(96),CHAR(34),SUBSTITUTE(SUBSTITUTE(SUBSTITUTE(SUBSTITUTE(SUBSTITUTE(SUBSTITUTE($J575,CHAR(13)," "),CHAR(10)," "),CHAR(9)," "),CHAR(92),_xlfn.CONCAT(CHAR(92),CHAR(92))),"$",_xlfn.CONCAT(CHAR(92),"$")),CHAR(96),_xlfn.CONCAT(CHAR(92),CHAR(96))),CHAR(34),CHAR(39))))</f>
        <v/>
      </c>
      <c r="U575" s="5">
        <f t="shared" si="17"/>
        <v>0</v>
      </c>
    </row>
    <row r="576" spans="3:21" ht="30" customHeight="1" x14ac:dyDescent="0.2">
      <c r="C576" s="4"/>
      <c r="K576" s="5">
        <f t="shared" si="16"/>
        <v>0</v>
      </c>
      <c r="L576" s="5" t="str">
        <f>IF(OR(TRIM($B576)="",$A576=""),"",IF(OR(ISNUMBER(SEARCH(_xlfn.CONCAT(CHAR(96),CHAR(34)),$A576)),ISNUMBER(SEARCH(_xlfn.CONCAT(CHAR(34),CHAR(39)),$A576))),_xlfn.CONCAT("* REVIEW REQUIRED: compound-quote delimiter in Codebook Section on Sheet 1 row ",576,"; edit the input before running."),_xlfn.CONCAT("char ",TRIM($B576),"[doc_section] ",CHAR(96),CHAR(34),SUBSTITUTE(SUBSTITUTE(SUBSTITUTE(SUBSTITUTE(SUBSTITUTE(SUBSTITUTE($A576,CHAR(13)," "),CHAR(10)," "),CHAR(9)," "),CHAR(92),_xlfn.CONCAT(CHAR(92),CHAR(92))),"$",_xlfn.CONCAT(CHAR(92),"$")),CHAR(96),_xlfn.CONCAT(CHAR(92),CHAR(96))),CHAR(34),CHAR(39))))</f>
        <v/>
      </c>
      <c r="M576" s="5" t="str">
        <f>IF(OR(TRIM($B576)="",$C576=""),"",IF(IFERROR(MATCH(TRIM($C576),{"Quantitative","Continuous","Discrete","Categorical","Nominal","Ordinal","Identifier"},0),0)=0,_xlfn.CONCAT("* REVIEW REQUIRED: invalid Variable Type on Sheet 1 row ",576,"."),_xlfn.CONCAT("char ",TRIM($B576),"[doc_vartype] ",CHAR(96),CHAR(34),SUBSTITUTE(SUBSTITUTE(SUBSTITUTE(SUBSTITUTE(SUBSTITUTE(SUBSTITUTE(LOWER(TRIM($C576)),CHAR(13)," "),CHAR(10)," "),CHAR(9)," "),CHAR(92),_xlfn.CONCAT(CHAR(92),CHAR(92))),"$",_xlfn.CONCAT(CHAR(92),"$")),CHAR(96),_xlfn.CONCAT(CHAR(92),CHAR(96))),CHAR(34),CHAR(39))))</f>
        <v/>
      </c>
      <c r="N576" s="5" t="str">
        <f>IF(OR(TRIM($B576)="",$D576=""),"",IF(OR(ISNUMBER(SEARCH(_xlfn.CONCAT(CHAR(96),CHAR(34)),$D576)),ISNUMBER(SEARCH(_xlfn.CONCAT(CHAR(34),CHAR(39)),$D576))),_xlfn.CONCAT("* REVIEW REQUIRED: compound-quote delimiter in Item Number on Sheet 1 row ",576,"; edit the input before running."),_xlfn.CONCAT("char ",TRIM($B576),"[doc_itemnum] ",CHAR(96),CHAR(34),SUBSTITUTE(SUBSTITUTE(SUBSTITUTE(SUBSTITUTE(SUBSTITUTE(SUBSTITUTE($D576,CHAR(13)," "),CHAR(10)," "),CHAR(9)," "),CHAR(92),_xlfn.CONCAT(CHAR(92),CHAR(92))),"$",_xlfn.CONCAT(CHAR(92),"$")),CHAR(96),_xlfn.CONCAT(CHAR(92),CHAR(96))),CHAR(34),CHAR(39))))</f>
        <v/>
      </c>
      <c r="O576" s="5" t="str">
        <f>IF(OR(TRIM($B576)="",$E576=""),"",IF(OR(ISNUMBER(SEARCH(_xlfn.CONCAT(CHAR(96),CHAR(34)),$E576)),ISNUMBER(SEARCH(_xlfn.CONCAT(CHAR(34),CHAR(39)),$E576))),_xlfn.CONCAT("* REVIEW REQUIRED: compound-quote delimiter in Question Wording on Sheet 1 row ",576,"; edit the input before running."),_xlfn.CONCAT("char ",TRIM($B576),"[doc_question] ",CHAR(96),CHAR(34),SUBSTITUTE(SUBSTITUTE(SUBSTITUTE(SUBSTITUTE(SUBSTITUTE(SUBSTITUTE($E576,CHAR(13)," "),CHAR(10)," "),CHAR(9)," "),CHAR(92),_xlfn.CONCAT(CHAR(92),CHAR(92))),"$",_xlfn.CONCAT(CHAR(92),"$")),CHAR(96),_xlfn.CONCAT(CHAR(92),CHAR(96))),CHAR(34),CHAR(39))))</f>
        <v/>
      </c>
      <c r="P576" s="5" t="str">
        <f>IF(OR(TRIM($B576)="",$F576=""),"",IF(OR(ISNUMBER(SEARCH(_xlfn.CONCAT(CHAR(96),CHAR(34)),$F576)),ISNUMBER(SEARCH(_xlfn.CONCAT(CHAR(34),CHAR(39)),$F576))),_xlfn.CONCAT("* REVIEW REQUIRED: compound-quote delimiter in Units on Sheet 1 row ",576,"; edit the input before running."),_xlfn.CONCAT("char ",TRIM($B576),"[doc_units] ",CHAR(96),CHAR(34),SUBSTITUTE(SUBSTITUTE(SUBSTITUTE(SUBSTITUTE(SUBSTITUTE(SUBSTITUTE($F576,CHAR(13)," "),CHAR(10)," "),CHAR(9)," "),CHAR(92),_xlfn.CONCAT(CHAR(92),CHAR(92))),"$",_xlfn.CONCAT(CHAR(92),"$")),CHAR(96),_xlfn.CONCAT(CHAR(92),CHAR(96))),CHAR(34),CHAR(39))))</f>
        <v/>
      </c>
      <c r="Q576" s="5" t="str">
        <f>IF(OR(TRIM($B576)="",$G576=""),"",IF(OR(ISNUMBER(SEARCH(_xlfn.CONCAT(CHAR(96),CHAR(34)),$G576)),ISNUMBER(SEARCH(_xlfn.CONCAT(CHAR(34),CHAR(39)),$G576))),_xlfn.CONCAT("* REVIEW REQUIRED: compound-quote delimiter in Universe on Sheet 1 row ",576,"; edit the input before running."),_xlfn.CONCAT("char ",TRIM($B576),"[doc_universe] ",CHAR(96),CHAR(34),SUBSTITUTE(SUBSTITUTE(SUBSTITUTE(SUBSTITUTE(SUBSTITUTE(SUBSTITUTE($G576,CHAR(13)," "),CHAR(10)," "),CHAR(9)," "),CHAR(92),_xlfn.CONCAT(CHAR(92),CHAR(92))),"$",_xlfn.CONCAT(CHAR(92),"$")),CHAR(96),_xlfn.CONCAT(CHAR(92),CHAR(96))),CHAR(34),CHAR(39))))</f>
        <v/>
      </c>
      <c r="R576" s="5" t="str">
        <f>IF(OR(TRIM($B576)="",$H576=""),"",IF(OR(ISNUMBER(SEARCH(_xlfn.CONCAT(CHAR(96),CHAR(34)),$H576)),ISNUMBER(SEARCH(_xlfn.CONCAT(CHAR(34),CHAR(39)),$H576))),_xlfn.CONCAT("* REVIEW REQUIRED: compound-quote delimiter in Source on Sheet 1 row ",576,"; edit the input before running."),_xlfn.CONCAT("char ",TRIM($B576),"[doc_source] ",CHAR(96),CHAR(34),SUBSTITUTE(SUBSTITUTE(SUBSTITUTE(SUBSTITUTE(SUBSTITUTE(SUBSTITUTE($H576,CHAR(13)," "),CHAR(10)," "),CHAR(9)," "),CHAR(92),_xlfn.CONCAT(CHAR(92),CHAR(92))),"$",_xlfn.CONCAT(CHAR(92),"$")),CHAR(96),_xlfn.CONCAT(CHAR(92),CHAR(96))),CHAR(34),CHAR(39))))</f>
        <v/>
      </c>
      <c r="S576" s="5" t="str">
        <f>IF(OR(TRIM($B576)="",$I576=""),"",IF(OR(ISNUMBER(SEARCH(_xlfn.CONCAT(CHAR(96),CHAR(34)),$I576)),ISNUMBER(SEARCH(_xlfn.CONCAT(CHAR(34),CHAR(39)),$I576))),_xlfn.CONCAT("* REVIEW REQUIRED: compound-quote delimiter in Derivation on Sheet 1 row ",576,"; edit the input before running."),_xlfn.CONCAT("char ",TRIM($B576),"[doc_derivation] ",CHAR(96),CHAR(34),SUBSTITUTE(SUBSTITUTE(SUBSTITUTE(SUBSTITUTE(SUBSTITUTE(SUBSTITUTE($I576,CHAR(13)," "),CHAR(10)," "),CHAR(9)," "),CHAR(92),_xlfn.CONCAT(CHAR(92),CHAR(92))),"$",_xlfn.CONCAT(CHAR(92),"$")),CHAR(96),_xlfn.CONCAT(CHAR(92),CHAR(96))),CHAR(34),CHAR(39))))</f>
        <v/>
      </c>
      <c r="T576" s="5" t="str">
        <f>IF(OR(TRIM($B576)="",$J576=""),"",IF(OR(ISNUMBER(SEARCH(_xlfn.CONCAT(CHAR(96),CHAR(34)),$J576)),ISNUMBER(SEARCH(_xlfn.CONCAT(CHAR(34),CHAR(39)),$J576))),_xlfn.CONCAT("* REVIEW REQUIRED: compound-quote delimiter in Notes on Sheet 1 row ",576,"; edit the input before running."),_xlfn.CONCAT("char ",TRIM($B576),"[doc_notes] ",CHAR(96),CHAR(34),SUBSTITUTE(SUBSTITUTE(SUBSTITUTE(SUBSTITUTE(SUBSTITUTE(SUBSTITUTE($J576,CHAR(13)," "),CHAR(10)," "),CHAR(9)," "),CHAR(92),_xlfn.CONCAT(CHAR(92),CHAR(92))),"$",_xlfn.CONCAT(CHAR(92),"$")),CHAR(96),_xlfn.CONCAT(CHAR(92),CHAR(96))),CHAR(34),CHAR(39))))</f>
        <v/>
      </c>
      <c r="U576" s="5">
        <f t="shared" si="17"/>
        <v>0</v>
      </c>
    </row>
    <row r="577" spans="3:21" ht="30" customHeight="1" x14ac:dyDescent="0.2">
      <c r="C577" s="4"/>
      <c r="K577" s="5">
        <f t="shared" si="16"/>
        <v>0</v>
      </c>
      <c r="L577" s="5" t="str">
        <f>IF(OR(TRIM($B577)="",$A577=""),"",IF(OR(ISNUMBER(SEARCH(_xlfn.CONCAT(CHAR(96),CHAR(34)),$A577)),ISNUMBER(SEARCH(_xlfn.CONCAT(CHAR(34),CHAR(39)),$A577))),_xlfn.CONCAT("* REVIEW REQUIRED: compound-quote delimiter in Codebook Section on Sheet 1 row ",577,"; edit the input before running."),_xlfn.CONCAT("char ",TRIM($B577),"[doc_section] ",CHAR(96),CHAR(34),SUBSTITUTE(SUBSTITUTE(SUBSTITUTE(SUBSTITUTE(SUBSTITUTE(SUBSTITUTE($A577,CHAR(13)," "),CHAR(10)," "),CHAR(9)," "),CHAR(92),_xlfn.CONCAT(CHAR(92),CHAR(92))),"$",_xlfn.CONCAT(CHAR(92),"$")),CHAR(96),_xlfn.CONCAT(CHAR(92),CHAR(96))),CHAR(34),CHAR(39))))</f>
        <v/>
      </c>
      <c r="M577" s="5" t="str">
        <f>IF(OR(TRIM($B577)="",$C577=""),"",IF(IFERROR(MATCH(TRIM($C577),{"Quantitative","Continuous","Discrete","Categorical","Nominal","Ordinal","Identifier"},0),0)=0,_xlfn.CONCAT("* REVIEW REQUIRED: invalid Variable Type on Sheet 1 row ",577,"."),_xlfn.CONCAT("char ",TRIM($B577),"[doc_vartype] ",CHAR(96),CHAR(34),SUBSTITUTE(SUBSTITUTE(SUBSTITUTE(SUBSTITUTE(SUBSTITUTE(SUBSTITUTE(LOWER(TRIM($C577)),CHAR(13)," "),CHAR(10)," "),CHAR(9)," "),CHAR(92),_xlfn.CONCAT(CHAR(92),CHAR(92))),"$",_xlfn.CONCAT(CHAR(92),"$")),CHAR(96),_xlfn.CONCAT(CHAR(92),CHAR(96))),CHAR(34),CHAR(39))))</f>
        <v/>
      </c>
      <c r="N577" s="5" t="str">
        <f>IF(OR(TRIM($B577)="",$D577=""),"",IF(OR(ISNUMBER(SEARCH(_xlfn.CONCAT(CHAR(96),CHAR(34)),$D577)),ISNUMBER(SEARCH(_xlfn.CONCAT(CHAR(34),CHAR(39)),$D577))),_xlfn.CONCAT("* REVIEW REQUIRED: compound-quote delimiter in Item Number on Sheet 1 row ",577,"; edit the input before running."),_xlfn.CONCAT("char ",TRIM($B577),"[doc_itemnum] ",CHAR(96),CHAR(34),SUBSTITUTE(SUBSTITUTE(SUBSTITUTE(SUBSTITUTE(SUBSTITUTE(SUBSTITUTE($D577,CHAR(13)," "),CHAR(10)," "),CHAR(9)," "),CHAR(92),_xlfn.CONCAT(CHAR(92),CHAR(92))),"$",_xlfn.CONCAT(CHAR(92),"$")),CHAR(96),_xlfn.CONCAT(CHAR(92),CHAR(96))),CHAR(34),CHAR(39))))</f>
        <v/>
      </c>
      <c r="O577" s="5" t="str">
        <f>IF(OR(TRIM($B577)="",$E577=""),"",IF(OR(ISNUMBER(SEARCH(_xlfn.CONCAT(CHAR(96),CHAR(34)),$E577)),ISNUMBER(SEARCH(_xlfn.CONCAT(CHAR(34),CHAR(39)),$E577))),_xlfn.CONCAT("* REVIEW REQUIRED: compound-quote delimiter in Question Wording on Sheet 1 row ",577,"; edit the input before running."),_xlfn.CONCAT("char ",TRIM($B577),"[doc_question] ",CHAR(96),CHAR(34),SUBSTITUTE(SUBSTITUTE(SUBSTITUTE(SUBSTITUTE(SUBSTITUTE(SUBSTITUTE($E577,CHAR(13)," "),CHAR(10)," "),CHAR(9)," "),CHAR(92),_xlfn.CONCAT(CHAR(92),CHAR(92))),"$",_xlfn.CONCAT(CHAR(92),"$")),CHAR(96),_xlfn.CONCAT(CHAR(92),CHAR(96))),CHAR(34),CHAR(39))))</f>
        <v/>
      </c>
      <c r="P577" s="5" t="str">
        <f>IF(OR(TRIM($B577)="",$F577=""),"",IF(OR(ISNUMBER(SEARCH(_xlfn.CONCAT(CHAR(96),CHAR(34)),$F577)),ISNUMBER(SEARCH(_xlfn.CONCAT(CHAR(34),CHAR(39)),$F577))),_xlfn.CONCAT("* REVIEW REQUIRED: compound-quote delimiter in Units on Sheet 1 row ",577,"; edit the input before running."),_xlfn.CONCAT("char ",TRIM($B577),"[doc_units] ",CHAR(96),CHAR(34),SUBSTITUTE(SUBSTITUTE(SUBSTITUTE(SUBSTITUTE(SUBSTITUTE(SUBSTITUTE($F577,CHAR(13)," "),CHAR(10)," "),CHAR(9)," "),CHAR(92),_xlfn.CONCAT(CHAR(92),CHAR(92))),"$",_xlfn.CONCAT(CHAR(92),"$")),CHAR(96),_xlfn.CONCAT(CHAR(92),CHAR(96))),CHAR(34),CHAR(39))))</f>
        <v/>
      </c>
      <c r="Q577" s="5" t="str">
        <f>IF(OR(TRIM($B577)="",$G577=""),"",IF(OR(ISNUMBER(SEARCH(_xlfn.CONCAT(CHAR(96),CHAR(34)),$G577)),ISNUMBER(SEARCH(_xlfn.CONCAT(CHAR(34),CHAR(39)),$G577))),_xlfn.CONCAT("* REVIEW REQUIRED: compound-quote delimiter in Universe on Sheet 1 row ",577,"; edit the input before running."),_xlfn.CONCAT("char ",TRIM($B577),"[doc_universe] ",CHAR(96),CHAR(34),SUBSTITUTE(SUBSTITUTE(SUBSTITUTE(SUBSTITUTE(SUBSTITUTE(SUBSTITUTE($G577,CHAR(13)," "),CHAR(10)," "),CHAR(9)," "),CHAR(92),_xlfn.CONCAT(CHAR(92),CHAR(92))),"$",_xlfn.CONCAT(CHAR(92),"$")),CHAR(96),_xlfn.CONCAT(CHAR(92),CHAR(96))),CHAR(34),CHAR(39))))</f>
        <v/>
      </c>
      <c r="R577" s="5" t="str">
        <f>IF(OR(TRIM($B577)="",$H577=""),"",IF(OR(ISNUMBER(SEARCH(_xlfn.CONCAT(CHAR(96),CHAR(34)),$H577)),ISNUMBER(SEARCH(_xlfn.CONCAT(CHAR(34),CHAR(39)),$H577))),_xlfn.CONCAT("* REVIEW REQUIRED: compound-quote delimiter in Source on Sheet 1 row ",577,"; edit the input before running."),_xlfn.CONCAT("char ",TRIM($B577),"[doc_source] ",CHAR(96),CHAR(34),SUBSTITUTE(SUBSTITUTE(SUBSTITUTE(SUBSTITUTE(SUBSTITUTE(SUBSTITUTE($H577,CHAR(13)," "),CHAR(10)," "),CHAR(9)," "),CHAR(92),_xlfn.CONCAT(CHAR(92),CHAR(92))),"$",_xlfn.CONCAT(CHAR(92),"$")),CHAR(96),_xlfn.CONCAT(CHAR(92),CHAR(96))),CHAR(34),CHAR(39))))</f>
        <v/>
      </c>
      <c r="S577" s="5" t="str">
        <f>IF(OR(TRIM($B577)="",$I577=""),"",IF(OR(ISNUMBER(SEARCH(_xlfn.CONCAT(CHAR(96),CHAR(34)),$I577)),ISNUMBER(SEARCH(_xlfn.CONCAT(CHAR(34),CHAR(39)),$I577))),_xlfn.CONCAT("* REVIEW REQUIRED: compound-quote delimiter in Derivation on Sheet 1 row ",577,"; edit the input before running."),_xlfn.CONCAT("char ",TRIM($B577),"[doc_derivation] ",CHAR(96),CHAR(34),SUBSTITUTE(SUBSTITUTE(SUBSTITUTE(SUBSTITUTE(SUBSTITUTE(SUBSTITUTE($I577,CHAR(13)," "),CHAR(10)," "),CHAR(9)," "),CHAR(92),_xlfn.CONCAT(CHAR(92),CHAR(92))),"$",_xlfn.CONCAT(CHAR(92),"$")),CHAR(96),_xlfn.CONCAT(CHAR(92),CHAR(96))),CHAR(34),CHAR(39))))</f>
        <v/>
      </c>
      <c r="T577" s="5" t="str">
        <f>IF(OR(TRIM($B577)="",$J577=""),"",IF(OR(ISNUMBER(SEARCH(_xlfn.CONCAT(CHAR(96),CHAR(34)),$J577)),ISNUMBER(SEARCH(_xlfn.CONCAT(CHAR(34),CHAR(39)),$J577))),_xlfn.CONCAT("* REVIEW REQUIRED: compound-quote delimiter in Notes on Sheet 1 row ",577,"; edit the input before running."),_xlfn.CONCAT("char ",TRIM($B577),"[doc_notes] ",CHAR(96),CHAR(34),SUBSTITUTE(SUBSTITUTE(SUBSTITUTE(SUBSTITUTE(SUBSTITUTE(SUBSTITUTE($J577,CHAR(13)," "),CHAR(10)," "),CHAR(9)," "),CHAR(92),_xlfn.CONCAT(CHAR(92),CHAR(92))),"$",_xlfn.CONCAT(CHAR(92),"$")),CHAR(96),_xlfn.CONCAT(CHAR(92),CHAR(96))),CHAR(34),CHAR(39))))</f>
        <v/>
      </c>
      <c r="U577" s="5">
        <f t="shared" si="17"/>
        <v>0</v>
      </c>
    </row>
    <row r="578" spans="3:21" ht="30" customHeight="1" x14ac:dyDescent="0.2">
      <c r="C578" s="4"/>
      <c r="K578" s="5">
        <f t="shared" si="16"/>
        <v>0</v>
      </c>
      <c r="L578" s="5" t="str">
        <f>IF(OR(TRIM($B578)="",$A578=""),"",IF(OR(ISNUMBER(SEARCH(_xlfn.CONCAT(CHAR(96),CHAR(34)),$A578)),ISNUMBER(SEARCH(_xlfn.CONCAT(CHAR(34),CHAR(39)),$A578))),_xlfn.CONCAT("* REVIEW REQUIRED: compound-quote delimiter in Codebook Section on Sheet 1 row ",578,"; edit the input before running."),_xlfn.CONCAT("char ",TRIM($B578),"[doc_section] ",CHAR(96),CHAR(34),SUBSTITUTE(SUBSTITUTE(SUBSTITUTE(SUBSTITUTE(SUBSTITUTE(SUBSTITUTE($A578,CHAR(13)," "),CHAR(10)," "),CHAR(9)," "),CHAR(92),_xlfn.CONCAT(CHAR(92),CHAR(92))),"$",_xlfn.CONCAT(CHAR(92),"$")),CHAR(96),_xlfn.CONCAT(CHAR(92),CHAR(96))),CHAR(34),CHAR(39))))</f>
        <v/>
      </c>
      <c r="M578" s="5" t="str">
        <f>IF(OR(TRIM($B578)="",$C578=""),"",IF(IFERROR(MATCH(TRIM($C578),{"Quantitative","Continuous","Discrete","Categorical","Nominal","Ordinal","Identifier"},0),0)=0,_xlfn.CONCAT("* REVIEW REQUIRED: invalid Variable Type on Sheet 1 row ",578,"."),_xlfn.CONCAT("char ",TRIM($B578),"[doc_vartype] ",CHAR(96),CHAR(34),SUBSTITUTE(SUBSTITUTE(SUBSTITUTE(SUBSTITUTE(SUBSTITUTE(SUBSTITUTE(LOWER(TRIM($C578)),CHAR(13)," "),CHAR(10)," "),CHAR(9)," "),CHAR(92),_xlfn.CONCAT(CHAR(92),CHAR(92))),"$",_xlfn.CONCAT(CHAR(92),"$")),CHAR(96),_xlfn.CONCAT(CHAR(92),CHAR(96))),CHAR(34),CHAR(39))))</f>
        <v/>
      </c>
      <c r="N578" s="5" t="str">
        <f>IF(OR(TRIM($B578)="",$D578=""),"",IF(OR(ISNUMBER(SEARCH(_xlfn.CONCAT(CHAR(96),CHAR(34)),$D578)),ISNUMBER(SEARCH(_xlfn.CONCAT(CHAR(34),CHAR(39)),$D578))),_xlfn.CONCAT("* REVIEW REQUIRED: compound-quote delimiter in Item Number on Sheet 1 row ",578,"; edit the input before running."),_xlfn.CONCAT("char ",TRIM($B578),"[doc_itemnum] ",CHAR(96),CHAR(34),SUBSTITUTE(SUBSTITUTE(SUBSTITUTE(SUBSTITUTE(SUBSTITUTE(SUBSTITUTE($D578,CHAR(13)," "),CHAR(10)," "),CHAR(9)," "),CHAR(92),_xlfn.CONCAT(CHAR(92),CHAR(92))),"$",_xlfn.CONCAT(CHAR(92),"$")),CHAR(96),_xlfn.CONCAT(CHAR(92),CHAR(96))),CHAR(34),CHAR(39))))</f>
        <v/>
      </c>
      <c r="O578" s="5" t="str">
        <f>IF(OR(TRIM($B578)="",$E578=""),"",IF(OR(ISNUMBER(SEARCH(_xlfn.CONCAT(CHAR(96),CHAR(34)),$E578)),ISNUMBER(SEARCH(_xlfn.CONCAT(CHAR(34),CHAR(39)),$E578))),_xlfn.CONCAT("* REVIEW REQUIRED: compound-quote delimiter in Question Wording on Sheet 1 row ",578,"; edit the input before running."),_xlfn.CONCAT("char ",TRIM($B578),"[doc_question] ",CHAR(96),CHAR(34),SUBSTITUTE(SUBSTITUTE(SUBSTITUTE(SUBSTITUTE(SUBSTITUTE(SUBSTITUTE($E578,CHAR(13)," "),CHAR(10)," "),CHAR(9)," "),CHAR(92),_xlfn.CONCAT(CHAR(92),CHAR(92))),"$",_xlfn.CONCAT(CHAR(92),"$")),CHAR(96),_xlfn.CONCAT(CHAR(92),CHAR(96))),CHAR(34),CHAR(39))))</f>
        <v/>
      </c>
      <c r="P578" s="5" t="str">
        <f>IF(OR(TRIM($B578)="",$F578=""),"",IF(OR(ISNUMBER(SEARCH(_xlfn.CONCAT(CHAR(96),CHAR(34)),$F578)),ISNUMBER(SEARCH(_xlfn.CONCAT(CHAR(34),CHAR(39)),$F578))),_xlfn.CONCAT("* REVIEW REQUIRED: compound-quote delimiter in Units on Sheet 1 row ",578,"; edit the input before running."),_xlfn.CONCAT("char ",TRIM($B578),"[doc_units] ",CHAR(96),CHAR(34),SUBSTITUTE(SUBSTITUTE(SUBSTITUTE(SUBSTITUTE(SUBSTITUTE(SUBSTITUTE($F578,CHAR(13)," "),CHAR(10)," "),CHAR(9)," "),CHAR(92),_xlfn.CONCAT(CHAR(92),CHAR(92))),"$",_xlfn.CONCAT(CHAR(92),"$")),CHAR(96),_xlfn.CONCAT(CHAR(92),CHAR(96))),CHAR(34),CHAR(39))))</f>
        <v/>
      </c>
      <c r="Q578" s="5" t="str">
        <f>IF(OR(TRIM($B578)="",$G578=""),"",IF(OR(ISNUMBER(SEARCH(_xlfn.CONCAT(CHAR(96),CHAR(34)),$G578)),ISNUMBER(SEARCH(_xlfn.CONCAT(CHAR(34),CHAR(39)),$G578))),_xlfn.CONCAT("* REVIEW REQUIRED: compound-quote delimiter in Universe on Sheet 1 row ",578,"; edit the input before running."),_xlfn.CONCAT("char ",TRIM($B578),"[doc_universe] ",CHAR(96),CHAR(34),SUBSTITUTE(SUBSTITUTE(SUBSTITUTE(SUBSTITUTE(SUBSTITUTE(SUBSTITUTE($G578,CHAR(13)," "),CHAR(10)," "),CHAR(9)," "),CHAR(92),_xlfn.CONCAT(CHAR(92),CHAR(92))),"$",_xlfn.CONCAT(CHAR(92),"$")),CHAR(96),_xlfn.CONCAT(CHAR(92),CHAR(96))),CHAR(34),CHAR(39))))</f>
        <v/>
      </c>
      <c r="R578" s="5" t="str">
        <f>IF(OR(TRIM($B578)="",$H578=""),"",IF(OR(ISNUMBER(SEARCH(_xlfn.CONCAT(CHAR(96),CHAR(34)),$H578)),ISNUMBER(SEARCH(_xlfn.CONCAT(CHAR(34),CHAR(39)),$H578))),_xlfn.CONCAT("* REVIEW REQUIRED: compound-quote delimiter in Source on Sheet 1 row ",578,"; edit the input before running."),_xlfn.CONCAT("char ",TRIM($B578),"[doc_source] ",CHAR(96),CHAR(34),SUBSTITUTE(SUBSTITUTE(SUBSTITUTE(SUBSTITUTE(SUBSTITUTE(SUBSTITUTE($H578,CHAR(13)," "),CHAR(10)," "),CHAR(9)," "),CHAR(92),_xlfn.CONCAT(CHAR(92),CHAR(92))),"$",_xlfn.CONCAT(CHAR(92),"$")),CHAR(96),_xlfn.CONCAT(CHAR(92),CHAR(96))),CHAR(34),CHAR(39))))</f>
        <v/>
      </c>
      <c r="S578" s="5" t="str">
        <f>IF(OR(TRIM($B578)="",$I578=""),"",IF(OR(ISNUMBER(SEARCH(_xlfn.CONCAT(CHAR(96),CHAR(34)),$I578)),ISNUMBER(SEARCH(_xlfn.CONCAT(CHAR(34),CHAR(39)),$I578))),_xlfn.CONCAT("* REVIEW REQUIRED: compound-quote delimiter in Derivation on Sheet 1 row ",578,"; edit the input before running."),_xlfn.CONCAT("char ",TRIM($B578),"[doc_derivation] ",CHAR(96),CHAR(34),SUBSTITUTE(SUBSTITUTE(SUBSTITUTE(SUBSTITUTE(SUBSTITUTE(SUBSTITUTE($I578,CHAR(13)," "),CHAR(10)," "),CHAR(9)," "),CHAR(92),_xlfn.CONCAT(CHAR(92),CHAR(92))),"$",_xlfn.CONCAT(CHAR(92),"$")),CHAR(96),_xlfn.CONCAT(CHAR(92),CHAR(96))),CHAR(34),CHAR(39))))</f>
        <v/>
      </c>
      <c r="T578" s="5" t="str">
        <f>IF(OR(TRIM($B578)="",$J578=""),"",IF(OR(ISNUMBER(SEARCH(_xlfn.CONCAT(CHAR(96),CHAR(34)),$J578)),ISNUMBER(SEARCH(_xlfn.CONCAT(CHAR(34),CHAR(39)),$J578))),_xlfn.CONCAT("* REVIEW REQUIRED: compound-quote delimiter in Notes on Sheet 1 row ",578,"; edit the input before running."),_xlfn.CONCAT("char ",TRIM($B578),"[doc_notes] ",CHAR(96),CHAR(34),SUBSTITUTE(SUBSTITUTE(SUBSTITUTE(SUBSTITUTE(SUBSTITUTE(SUBSTITUTE($J578,CHAR(13)," "),CHAR(10)," "),CHAR(9)," "),CHAR(92),_xlfn.CONCAT(CHAR(92),CHAR(92))),"$",_xlfn.CONCAT(CHAR(92),"$")),CHAR(96),_xlfn.CONCAT(CHAR(92),CHAR(96))),CHAR(34),CHAR(39))))</f>
        <v/>
      </c>
      <c r="U578" s="5">
        <f t="shared" si="17"/>
        <v>0</v>
      </c>
    </row>
    <row r="579" spans="3:21" ht="30" customHeight="1" x14ac:dyDescent="0.2">
      <c r="C579" s="4"/>
      <c r="K579" s="5">
        <f t="shared" si="16"/>
        <v>0</v>
      </c>
      <c r="L579" s="5" t="str">
        <f>IF(OR(TRIM($B579)="",$A579=""),"",IF(OR(ISNUMBER(SEARCH(_xlfn.CONCAT(CHAR(96),CHAR(34)),$A579)),ISNUMBER(SEARCH(_xlfn.CONCAT(CHAR(34),CHAR(39)),$A579))),_xlfn.CONCAT("* REVIEW REQUIRED: compound-quote delimiter in Codebook Section on Sheet 1 row ",579,"; edit the input before running."),_xlfn.CONCAT("char ",TRIM($B579),"[doc_section] ",CHAR(96),CHAR(34),SUBSTITUTE(SUBSTITUTE(SUBSTITUTE(SUBSTITUTE(SUBSTITUTE(SUBSTITUTE($A579,CHAR(13)," "),CHAR(10)," "),CHAR(9)," "),CHAR(92),_xlfn.CONCAT(CHAR(92),CHAR(92))),"$",_xlfn.CONCAT(CHAR(92),"$")),CHAR(96),_xlfn.CONCAT(CHAR(92),CHAR(96))),CHAR(34),CHAR(39))))</f>
        <v/>
      </c>
      <c r="M579" s="5" t="str">
        <f>IF(OR(TRIM($B579)="",$C579=""),"",IF(IFERROR(MATCH(TRIM($C579),{"Quantitative","Continuous","Discrete","Categorical","Nominal","Ordinal","Identifier"},0),0)=0,_xlfn.CONCAT("* REVIEW REQUIRED: invalid Variable Type on Sheet 1 row ",579,"."),_xlfn.CONCAT("char ",TRIM($B579),"[doc_vartype] ",CHAR(96),CHAR(34),SUBSTITUTE(SUBSTITUTE(SUBSTITUTE(SUBSTITUTE(SUBSTITUTE(SUBSTITUTE(LOWER(TRIM($C579)),CHAR(13)," "),CHAR(10)," "),CHAR(9)," "),CHAR(92),_xlfn.CONCAT(CHAR(92),CHAR(92))),"$",_xlfn.CONCAT(CHAR(92),"$")),CHAR(96),_xlfn.CONCAT(CHAR(92),CHAR(96))),CHAR(34),CHAR(39))))</f>
        <v/>
      </c>
      <c r="N579" s="5" t="str">
        <f>IF(OR(TRIM($B579)="",$D579=""),"",IF(OR(ISNUMBER(SEARCH(_xlfn.CONCAT(CHAR(96),CHAR(34)),$D579)),ISNUMBER(SEARCH(_xlfn.CONCAT(CHAR(34),CHAR(39)),$D579))),_xlfn.CONCAT("* REVIEW REQUIRED: compound-quote delimiter in Item Number on Sheet 1 row ",579,"; edit the input before running."),_xlfn.CONCAT("char ",TRIM($B579),"[doc_itemnum] ",CHAR(96),CHAR(34),SUBSTITUTE(SUBSTITUTE(SUBSTITUTE(SUBSTITUTE(SUBSTITUTE(SUBSTITUTE($D579,CHAR(13)," "),CHAR(10)," "),CHAR(9)," "),CHAR(92),_xlfn.CONCAT(CHAR(92),CHAR(92))),"$",_xlfn.CONCAT(CHAR(92),"$")),CHAR(96),_xlfn.CONCAT(CHAR(92),CHAR(96))),CHAR(34),CHAR(39))))</f>
        <v/>
      </c>
      <c r="O579" s="5" t="str">
        <f>IF(OR(TRIM($B579)="",$E579=""),"",IF(OR(ISNUMBER(SEARCH(_xlfn.CONCAT(CHAR(96),CHAR(34)),$E579)),ISNUMBER(SEARCH(_xlfn.CONCAT(CHAR(34),CHAR(39)),$E579))),_xlfn.CONCAT("* REVIEW REQUIRED: compound-quote delimiter in Question Wording on Sheet 1 row ",579,"; edit the input before running."),_xlfn.CONCAT("char ",TRIM($B579),"[doc_question] ",CHAR(96),CHAR(34),SUBSTITUTE(SUBSTITUTE(SUBSTITUTE(SUBSTITUTE(SUBSTITUTE(SUBSTITUTE($E579,CHAR(13)," "),CHAR(10)," "),CHAR(9)," "),CHAR(92),_xlfn.CONCAT(CHAR(92),CHAR(92))),"$",_xlfn.CONCAT(CHAR(92),"$")),CHAR(96),_xlfn.CONCAT(CHAR(92),CHAR(96))),CHAR(34),CHAR(39))))</f>
        <v/>
      </c>
      <c r="P579" s="5" t="str">
        <f>IF(OR(TRIM($B579)="",$F579=""),"",IF(OR(ISNUMBER(SEARCH(_xlfn.CONCAT(CHAR(96),CHAR(34)),$F579)),ISNUMBER(SEARCH(_xlfn.CONCAT(CHAR(34),CHAR(39)),$F579))),_xlfn.CONCAT("* REVIEW REQUIRED: compound-quote delimiter in Units on Sheet 1 row ",579,"; edit the input before running."),_xlfn.CONCAT("char ",TRIM($B579),"[doc_units] ",CHAR(96),CHAR(34),SUBSTITUTE(SUBSTITUTE(SUBSTITUTE(SUBSTITUTE(SUBSTITUTE(SUBSTITUTE($F579,CHAR(13)," "),CHAR(10)," "),CHAR(9)," "),CHAR(92),_xlfn.CONCAT(CHAR(92),CHAR(92))),"$",_xlfn.CONCAT(CHAR(92),"$")),CHAR(96),_xlfn.CONCAT(CHAR(92),CHAR(96))),CHAR(34),CHAR(39))))</f>
        <v/>
      </c>
      <c r="Q579" s="5" t="str">
        <f>IF(OR(TRIM($B579)="",$G579=""),"",IF(OR(ISNUMBER(SEARCH(_xlfn.CONCAT(CHAR(96),CHAR(34)),$G579)),ISNUMBER(SEARCH(_xlfn.CONCAT(CHAR(34),CHAR(39)),$G579))),_xlfn.CONCAT("* REVIEW REQUIRED: compound-quote delimiter in Universe on Sheet 1 row ",579,"; edit the input before running."),_xlfn.CONCAT("char ",TRIM($B579),"[doc_universe] ",CHAR(96),CHAR(34),SUBSTITUTE(SUBSTITUTE(SUBSTITUTE(SUBSTITUTE(SUBSTITUTE(SUBSTITUTE($G579,CHAR(13)," "),CHAR(10)," "),CHAR(9)," "),CHAR(92),_xlfn.CONCAT(CHAR(92),CHAR(92))),"$",_xlfn.CONCAT(CHAR(92),"$")),CHAR(96),_xlfn.CONCAT(CHAR(92),CHAR(96))),CHAR(34),CHAR(39))))</f>
        <v/>
      </c>
      <c r="R579" s="5" t="str">
        <f>IF(OR(TRIM($B579)="",$H579=""),"",IF(OR(ISNUMBER(SEARCH(_xlfn.CONCAT(CHAR(96),CHAR(34)),$H579)),ISNUMBER(SEARCH(_xlfn.CONCAT(CHAR(34),CHAR(39)),$H579))),_xlfn.CONCAT("* REVIEW REQUIRED: compound-quote delimiter in Source on Sheet 1 row ",579,"; edit the input before running."),_xlfn.CONCAT("char ",TRIM($B579),"[doc_source] ",CHAR(96),CHAR(34),SUBSTITUTE(SUBSTITUTE(SUBSTITUTE(SUBSTITUTE(SUBSTITUTE(SUBSTITUTE($H579,CHAR(13)," "),CHAR(10)," "),CHAR(9)," "),CHAR(92),_xlfn.CONCAT(CHAR(92),CHAR(92))),"$",_xlfn.CONCAT(CHAR(92),"$")),CHAR(96),_xlfn.CONCAT(CHAR(92),CHAR(96))),CHAR(34),CHAR(39))))</f>
        <v/>
      </c>
      <c r="S579" s="5" t="str">
        <f>IF(OR(TRIM($B579)="",$I579=""),"",IF(OR(ISNUMBER(SEARCH(_xlfn.CONCAT(CHAR(96),CHAR(34)),$I579)),ISNUMBER(SEARCH(_xlfn.CONCAT(CHAR(34),CHAR(39)),$I579))),_xlfn.CONCAT("* REVIEW REQUIRED: compound-quote delimiter in Derivation on Sheet 1 row ",579,"; edit the input before running."),_xlfn.CONCAT("char ",TRIM($B579),"[doc_derivation] ",CHAR(96),CHAR(34),SUBSTITUTE(SUBSTITUTE(SUBSTITUTE(SUBSTITUTE(SUBSTITUTE(SUBSTITUTE($I579,CHAR(13)," "),CHAR(10)," "),CHAR(9)," "),CHAR(92),_xlfn.CONCAT(CHAR(92),CHAR(92))),"$",_xlfn.CONCAT(CHAR(92),"$")),CHAR(96),_xlfn.CONCAT(CHAR(92),CHAR(96))),CHAR(34),CHAR(39))))</f>
        <v/>
      </c>
      <c r="T579" s="5" t="str">
        <f>IF(OR(TRIM($B579)="",$J579=""),"",IF(OR(ISNUMBER(SEARCH(_xlfn.CONCAT(CHAR(96),CHAR(34)),$J579)),ISNUMBER(SEARCH(_xlfn.CONCAT(CHAR(34),CHAR(39)),$J579))),_xlfn.CONCAT("* REVIEW REQUIRED: compound-quote delimiter in Notes on Sheet 1 row ",579,"; edit the input before running."),_xlfn.CONCAT("char ",TRIM($B579),"[doc_notes] ",CHAR(96),CHAR(34),SUBSTITUTE(SUBSTITUTE(SUBSTITUTE(SUBSTITUTE(SUBSTITUTE(SUBSTITUTE($J579,CHAR(13)," "),CHAR(10)," "),CHAR(9)," "),CHAR(92),_xlfn.CONCAT(CHAR(92),CHAR(92))),"$",_xlfn.CONCAT(CHAR(92),"$")),CHAR(96),_xlfn.CONCAT(CHAR(92),CHAR(96))),CHAR(34),CHAR(39))))</f>
        <v/>
      </c>
      <c r="U579" s="5">
        <f t="shared" si="17"/>
        <v>0</v>
      </c>
    </row>
    <row r="580" spans="3:21" ht="30" customHeight="1" x14ac:dyDescent="0.2">
      <c r="C580" s="4"/>
      <c r="K580" s="5">
        <f t="shared" si="16"/>
        <v>0</v>
      </c>
      <c r="L580" s="5" t="str">
        <f>IF(OR(TRIM($B580)="",$A580=""),"",IF(OR(ISNUMBER(SEARCH(_xlfn.CONCAT(CHAR(96),CHAR(34)),$A580)),ISNUMBER(SEARCH(_xlfn.CONCAT(CHAR(34),CHAR(39)),$A580))),_xlfn.CONCAT("* REVIEW REQUIRED: compound-quote delimiter in Codebook Section on Sheet 1 row ",580,"; edit the input before running."),_xlfn.CONCAT("char ",TRIM($B580),"[doc_section] ",CHAR(96),CHAR(34),SUBSTITUTE(SUBSTITUTE(SUBSTITUTE(SUBSTITUTE(SUBSTITUTE(SUBSTITUTE($A580,CHAR(13)," "),CHAR(10)," "),CHAR(9)," "),CHAR(92),_xlfn.CONCAT(CHAR(92),CHAR(92))),"$",_xlfn.CONCAT(CHAR(92),"$")),CHAR(96),_xlfn.CONCAT(CHAR(92),CHAR(96))),CHAR(34),CHAR(39))))</f>
        <v/>
      </c>
      <c r="M580" s="5" t="str">
        <f>IF(OR(TRIM($B580)="",$C580=""),"",IF(IFERROR(MATCH(TRIM($C580),{"Quantitative","Continuous","Discrete","Categorical","Nominal","Ordinal","Identifier"},0),0)=0,_xlfn.CONCAT("* REVIEW REQUIRED: invalid Variable Type on Sheet 1 row ",580,"."),_xlfn.CONCAT("char ",TRIM($B580),"[doc_vartype] ",CHAR(96),CHAR(34),SUBSTITUTE(SUBSTITUTE(SUBSTITUTE(SUBSTITUTE(SUBSTITUTE(SUBSTITUTE(LOWER(TRIM($C580)),CHAR(13)," "),CHAR(10)," "),CHAR(9)," "),CHAR(92),_xlfn.CONCAT(CHAR(92),CHAR(92))),"$",_xlfn.CONCAT(CHAR(92),"$")),CHAR(96),_xlfn.CONCAT(CHAR(92),CHAR(96))),CHAR(34),CHAR(39))))</f>
        <v/>
      </c>
      <c r="N580" s="5" t="str">
        <f>IF(OR(TRIM($B580)="",$D580=""),"",IF(OR(ISNUMBER(SEARCH(_xlfn.CONCAT(CHAR(96),CHAR(34)),$D580)),ISNUMBER(SEARCH(_xlfn.CONCAT(CHAR(34),CHAR(39)),$D580))),_xlfn.CONCAT("* REVIEW REQUIRED: compound-quote delimiter in Item Number on Sheet 1 row ",580,"; edit the input before running."),_xlfn.CONCAT("char ",TRIM($B580),"[doc_itemnum] ",CHAR(96),CHAR(34),SUBSTITUTE(SUBSTITUTE(SUBSTITUTE(SUBSTITUTE(SUBSTITUTE(SUBSTITUTE($D580,CHAR(13)," "),CHAR(10)," "),CHAR(9)," "),CHAR(92),_xlfn.CONCAT(CHAR(92),CHAR(92))),"$",_xlfn.CONCAT(CHAR(92),"$")),CHAR(96),_xlfn.CONCAT(CHAR(92),CHAR(96))),CHAR(34),CHAR(39))))</f>
        <v/>
      </c>
      <c r="O580" s="5" t="str">
        <f>IF(OR(TRIM($B580)="",$E580=""),"",IF(OR(ISNUMBER(SEARCH(_xlfn.CONCAT(CHAR(96),CHAR(34)),$E580)),ISNUMBER(SEARCH(_xlfn.CONCAT(CHAR(34),CHAR(39)),$E580))),_xlfn.CONCAT("* REVIEW REQUIRED: compound-quote delimiter in Question Wording on Sheet 1 row ",580,"; edit the input before running."),_xlfn.CONCAT("char ",TRIM($B580),"[doc_question] ",CHAR(96),CHAR(34),SUBSTITUTE(SUBSTITUTE(SUBSTITUTE(SUBSTITUTE(SUBSTITUTE(SUBSTITUTE($E580,CHAR(13)," "),CHAR(10)," "),CHAR(9)," "),CHAR(92),_xlfn.CONCAT(CHAR(92),CHAR(92))),"$",_xlfn.CONCAT(CHAR(92),"$")),CHAR(96),_xlfn.CONCAT(CHAR(92),CHAR(96))),CHAR(34),CHAR(39))))</f>
        <v/>
      </c>
      <c r="P580" s="5" t="str">
        <f>IF(OR(TRIM($B580)="",$F580=""),"",IF(OR(ISNUMBER(SEARCH(_xlfn.CONCAT(CHAR(96),CHAR(34)),$F580)),ISNUMBER(SEARCH(_xlfn.CONCAT(CHAR(34),CHAR(39)),$F580))),_xlfn.CONCAT("* REVIEW REQUIRED: compound-quote delimiter in Units on Sheet 1 row ",580,"; edit the input before running."),_xlfn.CONCAT("char ",TRIM($B580),"[doc_units] ",CHAR(96),CHAR(34),SUBSTITUTE(SUBSTITUTE(SUBSTITUTE(SUBSTITUTE(SUBSTITUTE(SUBSTITUTE($F580,CHAR(13)," "),CHAR(10)," "),CHAR(9)," "),CHAR(92),_xlfn.CONCAT(CHAR(92),CHAR(92))),"$",_xlfn.CONCAT(CHAR(92),"$")),CHAR(96),_xlfn.CONCAT(CHAR(92),CHAR(96))),CHAR(34),CHAR(39))))</f>
        <v/>
      </c>
      <c r="Q580" s="5" t="str">
        <f>IF(OR(TRIM($B580)="",$G580=""),"",IF(OR(ISNUMBER(SEARCH(_xlfn.CONCAT(CHAR(96),CHAR(34)),$G580)),ISNUMBER(SEARCH(_xlfn.CONCAT(CHAR(34),CHAR(39)),$G580))),_xlfn.CONCAT("* REVIEW REQUIRED: compound-quote delimiter in Universe on Sheet 1 row ",580,"; edit the input before running."),_xlfn.CONCAT("char ",TRIM($B580),"[doc_universe] ",CHAR(96),CHAR(34),SUBSTITUTE(SUBSTITUTE(SUBSTITUTE(SUBSTITUTE(SUBSTITUTE(SUBSTITUTE($G580,CHAR(13)," "),CHAR(10)," "),CHAR(9)," "),CHAR(92),_xlfn.CONCAT(CHAR(92),CHAR(92))),"$",_xlfn.CONCAT(CHAR(92),"$")),CHAR(96),_xlfn.CONCAT(CHAR(92),CHAR(96))),CHAR(34),CHAR(39))))</f>
        <v/>
      </c>
      <c r="R580" s="5" t="str">
        <f>IF(OR(TRIM($B580)="",$H580=""),"",IF(OR(ISNUMBER(SEARCH(_xlfn.CONCAT(CHAR(96),CHAR(34)),$H580)),ISNUMBER(SEARCH(_xlfn.CONCAT(CHAR(34),CHAR(39)),$H580))),_xlfn.CONCAT("* REVIEW REQUIRED: compound-quote delimiter in Source on Sheet 1 row ",580,"; edit the input before running."),_xlfn.CONCAT("char ",TRIM($B580),"[doc_source] ",CHAR(96),CHAR(34),SUBSTITUTE(SUBSTITUTE(SUBSTITUTE(SUBSTITUTE(SUBSTITUTE(SUBSTITUTE($H580,CHAR(13)," "),CHAR(10)," "),CHAR(9)," "),CHAR(92),_xlfn.CONCAT(CHAR(92),CHAR(92))),"$",_xlfn.CONCAT(CHAR(92),"$")),CHAR(96),_xlfn.CONCAT(CHAR(92),CHAR(96))),CHAR(34),CHAR(39))))</f>
        <v/>
      </c>
      <c r="S580" s="5" t="str">
        <f>IF(OR(TRIM($B580)="",$I580=""),"",IF(OR(ISNUMBER(SEARCH(_xlfn.CONCAT(CHAR(96),CHAR(34)),$I580)),ISNUMBER(SEARCH(_xlfn.CONCAT(CHAR(34),CHAR(39)),$I580))),_xlfn.CONCAT("* REVIEW REQUIRED: compound-quote delimiter in Derivation on Sheet 1 row ",580,"; edit the input before running."),_xlfn.CONCAT("char ",TRIM($B580),"[doc_derivation] ",CHAR(96),CHAR(34),SUBSTITUTE(SUBSTITUTE(SUBSTITUTE(SUBSTITUTE(SUBSTITUTE(SUBSTITUTE($I580,CHAR(13)," "),CHAR(10)," "),CHAR(9)," "),CHAR(92),_xlfn.CONCAT(CHAR(92),CHAR(92))),"$",_xlfn.CONCAT(CHAR(92),"$")),CHAR(96),_xlfn.CONCAT(CHAR(92),CHAR(96))),CHAR(34),CHAR(39))))</f>
        <v/>
      </c>
      <c r="T580" s="5" t="str">
        <f>IF(OR(TRIM($B580)="",$J580=""),"",IF(OR(ISNUMBER(SEARCH(_xlfn.CONCAT(CHAR(96),CHAR(34)),$J580)),ISNUMBER(SEARCH(_xlfn.CONCAT(CHAR(34),CHAR(39)),$J580))),_xlfn.CONCAT("* REVIEW REQUIRED: compound-quote delimiter in Notes on Sheet 1 row ",580,"; edit the input before running."),_xlfn.CONCAT("char ",TRIM($B580),"[doc_notes] ",CHAR(96),CHAR(34),SUBSTITUTE(SUBSTITUTE(SUBSTITUTE(SUBSTITUTE(SUBSTITUTE(SUBSTITUTE($J580,CHAR(13)," "),CHAR(10)," "),CHAR(9)," "),CHAR(92),_xlfn.CONCAT(CHAR(92),CHAR(92))),"$",_xlfn.CONCAT(CHAR(92),"$")),CHAR(96),_xlfn.CONCAT(CHAR(92),CHAR(96))),CHAR(34),CHAR(39))))</f>
        <v/>
      </c>
      <c r="U580" s="5">
        <f t="shared" si="17"/>
        <v>0</v>
      </c>
    </row>
    <row r="581" spans="3:21" ht="30" customHeight="1" x14ac:dyDescent="0.2">
      <c r="C581" s="4"/>
      <c r="K581" s="5">
        <f t="shared" si="16"/>
        <v>0</v>
      </c>
      <c r="L581" s="5" t="str">
        <f>IF(OR(TRIM($B581)="",$A581=""),"",IF(OR(ISNUMBER(SEARCH(_xlfn.CONCAT(CHAR(96),CHAR(34)),$A581)),ISNUMBER(SEARCH(_xlfn.CONCAT(CHAR(34),CHAR(39)),$A581))),_xlfn.CONCAT("* REVIEW REQUIRED: compound-quote delimiter in Codebook Section on Sheet 1 row ",581,"; edit the input before running."),_xlfn.CONCAT("char ",TRIM($B581),"[doc_section] ",CHAR(96),CHAR(34),SUBSTITUTE(SUBSTITUTE(SUBSTITUTE(SUBSTITUTE(SUBSTITUTE(SUBSTITUTE($A581,CHAR(13)," "),CHAR(10)," "),CHAR(9)," "),CHAR(92),_xlfn.CONCAT(CHAR(92),CHAR(92))),"$",_xlfn.CONCAT(CHAR(92),"$")),CHAR(96),_xlfn.CONCAT(CHAR(92),CHAR(96))),CHAR(34),CHAR(39))))</f>
        <v/>
      </c>
      <c r="M581" s="5" t="str">
        <f>IF(OR(TRIM($B581)="",$C581=""),"",IF(IFERROR(MATCH(TRIM($C581),{"Quantitative","Continuous","Discrete","Categorical","Nominal","Ordinal","Identifier"},0),0)=0,_xlfn.CONCAT("* REVIEW REQUIRED: invalid Variable Type on Sheet 1 row ",581,"."),_xlfn.CONCAT("char ",TRIM($B581),"[doc_vartype] ",CHAR(96),CHAR(34),SUBSTITUTE(SUBSTITUTE(SUBSTITUTE(SUBSTITUTE(SUBSTITUTE(SUBSTITUTE(LOWER(TRIM($C581)),CHAR(13)," "),CHAR(10)," "),CHAR(9)," "),CHAR(92),_xlfn.CONCAT(CHAR(92),CHAR(92))),"$",_xlfn.CONCAT(CHAR(92),"$")),CHAR(96),_xlfn.CONCAT(CHAR(92),CHAR(96))),CHAR(34),CHAR(39))))</f>
        <v/>
      </c>
      <c r="N581" s="5" t="str">
        <f>IF(OR(TRIM($B581)="",$D581=""),"",IF(OR(ISNUMBER(SEARCH(_xlfn.CONCAT(CHAR(96),CHAR(34)),$D581)),ISNUMBER(SEARCH(_xlfn.CONCAT(CHAR(34),CHAR(39)),$D581))),_xlfn.CONCAT("* REVIEW REQUIRED: compound-quote delimiter in Item Number on Sheet 1 row ",581,"; edit the input before running."),_xlfn.CONCAT("char ",TRIM($B581),"[doc_itemnum] ",CHAR(96),CHAR(34),SUBSTITUTE(SUBSTITUTE(SUBSTITUTE(SUBSTITUTE(SUBSTITUTE(SUBSTITUTE($D581,CHAR(13)," "),CHAR(10)," "),CHAR(9)," "),CHAR(92),_xlfn.CONCAT(CHAR(92),CHAR(92))),"$",_xlfn.CONCAT(CHAR(92),"$")),CHAR(96),_xlfn.CONCAT(CHAR(92),CHAR(96))),CHAR(34),CHAR(39))))</f>
        <v/>
      </c>
      <c r="O581" s="5" t="str">
        <f>IF(OR(TRIM($B581)="",$E581=""),"",IF(OR(ISNUMBER(SEARCH(_xlfn.CONCAT(CHAR(96),CHAR(34)),$E581)),ISNUMBER(SEARCH(_xlfn.CONCAT(CHAR(34),CHAR(39)),$E581))),_xlfn.CONCAT("* REVIEW REQUIRED: compound-quote delimiter in Question Wording on Sheet 1 row ",581,"; edit the input before running."),_xlfn.CONCAT("char ",TRIM($B581),"[doc_question] ",CHAR(96),CHAR(34),SUBSTITUTE(SUBSTITUTE(SUBSTITUTE(SUBSTITUTE(SUBSTITUTE(SUBSTITUTE($E581,CHAR(13)," "),CHAR(10)," "),CHAR(9)," "),CHAR(92),_xlfn.CONCAT(CHAR(92),CHAR(92))),"$",_xlfn.CONCAT(CHAR(92),"$")),CHAR(96),_xlfn.CONCAT(CHAR(92),CHAR(96))),CHAR(34),CHAR(39))))</f>
        <v/>
      </c>
      <c r="P581" s="5" t="str">
        <f>IF(OR(TRIM($B581)="",$F581=""),"",IF(OR(ISNUMBER(SEARCH(_xlfn.CONCAT(CHAR(96),CHAR(34)),$F581)),ISNUMBER(SEARCH(_xlfn.CONCAT(CHAR(34),CHAR(39)),$F581))),_xlfn.CONCAT("* REVIEW REQUIRED: compound-quote delimiter in Units on Sheet 1 row ",581,"; edit the input before running."),_xlfn.CONCAT("char ",TRIM($B581),"[doc_units] ",CHAR(96),CHAR(34),SUBSTITUTE(SUBSTITUTE(SUBSTITUTE(SUBSTITUTE(SUBSTITUTE(SUBSTITUTE($F581,CHAR(13)," "),CHAR(10)," "),CHAR(9)," "),CHAR(92),_xlfn.CONCAT(CHAR(92),CHAR(92))),"$",_xlfn.CONCAT(CHAR(92),"$")),CHAR(96),_xlfn.CONCAT(CHAR(92),CHAR(96))),CHAR(34),CHAR(39))))</f>
        <v/>
      </c>
      <c r="Q581" s="5" t="str">
        <f>IF(OR(TRIM($B581)="",$G581=""),"",IF(OR(ISNUMBER(SEARCH(_xlfn.CONCAT(CHAR(96),CHAR(34)),$G581)),ISNUMBER(SEARCH(_xlfn.CONCAT(CHAR(34),CHAR(39)),$G581))),_xlfn.CONCAT("* REVIEW REQUIRED: compound-quote delimiter in Universe on Sheet 1 row ",581,"; edit the input before running."),_xlfn.CONCAT("char ",TRIM($B581),"[doc_universe] ",CHAR(96),CHAR(34),SUBSTITUTE(SUBSTITUTE(SUBSTITUTE(SUBSTITUTE(SUBSTITUTE(SUBSTITUTE($G581,CHAR(13)," "),CHAR(10)," "),CHAR(9)," "),CHAR(92),_xlfn.CONCAT(CHAR(92),CHAR(92))),"$",_xlfn.CONCAT(CHAR(92),"$")),CHAR(96),_xlfn.CONCAT(CHAR(92),CHAR(96))),CHAR(34),CHAR(39))))</f>
        <v/>
      </c>
      <c r="R581" s="5" t="str">
        <f>IF(OR(TRIM($B581)="",$H581=""),"",IF(OR(ISNUMBER(SEARCH(_xlfn.CONCAT(CHAR(96),CHAR(34)),$H581)),ISNUMBER(SEARCH(_xlfn.CONCAT(CHAR(34),CHAR(39)),$H581))),_xlfn.CONCAT("* REVIEW REQUIRED: compound-quote delimiter in Source on Sheet 1 row ",581,"; edit the input before running."),_xlfn.CONCAT("char ",TRIM($B581),"[doc_source] ",CHAR(96),CHAR(34),SUBSTITUTE(SUBSTITUTE(SUBSTITUTE(SUBSTITUTE(SUBSTITUTE(SUBSTITUTE($H581,CHAR(13)," "),CHAR(10)," "),CHAR(9)," "),CHAR(92),_xlfn.CONCAT(CHAR(92),CHAR(92))),"$",_xlfn.CONCAT(CHAR(92),"$")),CHAR(96),_xlfn.CONCAT(CHAR(92),CHAR(96))),CHAR(34),CHAR(39))))</f>
        <v/>
      </c>
      <c r="S581" s="5" t="str">
        <f>IF(OR(TRIM($B581)="",$I581=""),"",IF(OR(ISNUMBER(SEARCH(_xlfn.CONCAT(CHAR(96),CHAR(34)),$I581)),ISNUMBER(SEARCH(_xlfn.CONCAT(CHAR(34),CHAR(39)),$I581))),_xlfn.CONCAT("* REVIEW REQUIRED: compound-quote delimiter in Derivation on Sheet 1 row ",581,"; edit the input before running."),_xlfn.CONCAT("char ",TRIM($B581),"[doc_derivation] ",CHAR(96),CHAR(34),SUBSTITUTE(SUBSTITUTE(SUBSTITUTE(SUBSTITUTE(SUBSTITUTE(SUBSTITUTE($I581,CHAR(13)," "),CHAR(10)," "),CHAR(9)," "),CHAR(92),_xlfn.CONCAT(CHAR(92),CHAR(92))),"$",_xlfn.CONCAT(CHAR(92),"$")),CHAR(96),_xlfn.CONCAT(CHAR(92),CHAR(96))),CHAR(34),CHAR(39))))</f>
        <v/>
      </c>
      <c r="T581" s="5" t="str">
        <f>IF(OR(TRIM($B581)="",$J581=""),"",IF(OR(ISNUMBER(SEARCH(_xlfn.CONCAT(CHAR(96),CHAR(34)),$J581)),ISNUMBER(SEARCH(_xlfn.CONCAT(CHAR(34),CHAR(39)),$J581))),_xlfn.CONCAT("* REVIEW REQUIRED: compound-quote delimiter in Notes on Sheet 1 row ",581,"; edit the input before running."),_xlfn.CONCAT("char ",TRIM($B581),"[doc_notes] ",CHAR(96),CHAR(34),SUBSTITUTE(SUBSTITUTE(SUBSTITUTE(SUBSTITUTE(SUBSTITUTE(SUBSTITUTE($J581,CHAR(13)," "),CHAR(10)," "),CHAR(9)," "),CHAR(92),_xlfn.CONCAT(CHAR(92),CHAR(92))),"$",_xlfn.CONCAT(CHAR(92),"$")),CHAR(96),_xlfn.CONCAT(CHAR(92),CHAR(96))),CHAR(34),CHAR(39))))</f>
        <v/>
      </c>
      <c r="U581" s="5">
        <f t="shared" si="17"/>
        <v>0</v>
      </c>
    </row>
    <row r="582" spans="3:21" ht="30" customHeight="1" x14ac:dyDescent="0.2">
      <c r="C582" s="4"/>
      <c r="K582" s="5">
        <f t="shared" si="16"/>
        <v>0</v>
      </c>
      <c r="L582" s="5" t="str">
        <f>IF(OR(TRIM($B582)="",$A582=""),"",IF(OR(ISNUMBER(SEARCH(_xlfn.CONCAT(CHAR(96),CHAR(34)),$A582)),ISNUMBER(SEARCH(_xlfn.CONCAT(CHAR(34),CHAR(39)),$A582))),_xlfn.CONCAT("* REVIEW REQUIRED: compound-quote delimiter in Codebook Section on Sheet 1 row ",582,"; edit the input before running."),_xlfn.CONCAT("char ",TRIM($B582),"[doc_section] ",CHAR(96),CHAR(34),SUBSTITUTE(SUBSTITUTE(SUBSTITUTE(SUBSTITUTE(SUBSTITUTE(SUBSTITUTE($A582,CHAR(13)," "),CHAR(10)," "),CHAR(9)," "),CHAR(92),_xlfn.CONCAT(CHAR(92),CHAR(92))),"$",_xlfn.CONCAT(CHAR(92),"$")),CHAR(96),_xlfn.CONCAT(CHAR(92),CHAR(96))),CHAR(34),CHAR(39))))</f>
        <v/>
      </c>
      <c r="M582" s="5" t="str">
        <f>IF(OR(TRIM($B582)="",$C582=""),"",IF(IFERROR(MATCH(TRIM($C582),{"Quantitative","Continuous","Discrete","Categorical","Nominal","Ordinal","Identifier"},0),0)=0,_xlfn.CONCAT("* REVIEW REQUIRED: invalid Variable Type on Sheet 1 row ",582,"."),_xlfn.CONCAT("char ",TRIM($B582),"[doc_vartype] ",CHAR(96),CHAR(34),SUBSTITUTE(SUBSTITUTE(SUBSTITUTE(SUBSTITUTE(SUBSTITUTE(SUBSTITUTE(LOWER(TRIM($C582)),CHAR(13)," "),CHAR(10)," "),CHAR(9)," "),CHAR(92),_xlfn.CONCAT(CHAR(92),CHAR(92))),"$",_xlfn.CONCAT(CHAR(92),"$")),CHAR(96),_xlfn.CONCAT(CHAR(92),CHAR(96))),CHAR(34),CHAR(39))))</f>
        <v/>
      </c>
      <c r="N582" s="5" t="str">
        <f>IF(OR(TRIM($B582)="",$D582=""),"",IF(OR(ISNUMBER(SEARCH(_xlfn.CONCAT(CHAR(96),CHAR(34)),$D582)),ISNUMBER(SEARCH(_xlfn.CONCAT(CHAR(34),CHAR(39)),$D582))),_xlfn.CONCAT("* REVIEW REQUIRED: compound-quote delimiter in Item Number on Sheet 1 row ",582,"; edit the input before running."),_xlfn.CONCAT("char ",TRIM($B582),"[doc_itemnum] ",CHAR(96),CHAR(34),SUBSTITUTE(SUBSTITUTE(SUBSTITUTE(SUBSTITUTE(SUBSTITUTE(SUBSTITUTE($D582,CHAR(13)," "),CHAR(10)," "),CHAR(9)," "),CHAR(92),_xlfn.CONCAT(CHAR(92),CHAR(92))),"$",_xlfn.CONCAT(CHAR(92),"$")),CHAR(96),_xlfn.CONCAT(CHAR(92),CHAR(96))),CHAR(34),CHAR(39))))</f>
        <v/>
      </c>
      <c r="O582" s="5" t="str">
        <f>IF(OR(TRIM($B582)="",$E582=""),"",IF(OR(ISNUMBER(SEARCH(_xlfn.CONCAT(CHAR(96),CHAR(34)),$E582)),ISNUMBER(SEARCH(_xlfn.CONCAT(CHAR(34),CHAR(39)),$E582))),_xlfn.CONCAT("* REVIEW REQUIRED: compound-quote delimiter in Question Wording on Sheet 1 row ",582,"; edit the input before running."),_xlfn.CONCAT("char ",TRIM($B582),"[doc_question] ",CHAR(96),CHAR(34),SUBSTITUTE(SUBSTITUTE(SUBSTITUTE(SUBSTITUTE(SUBSTITUTE(SUBSTITUTE($E582,CHAR(13)," "),CHAR(10)," "),CHAR(9)," "),CHAR(92),_xlfn.CONCAT(CHAR(92),CHAR(92))),"$",_xlfn.CONCAT(CHAR(92),"$")),CHAR(96),_xlfn.CONCAT(CHAR(92),CHAR(96))),CHAR(34),CHAR(39))))</f>
        <v/>
      </c>
      <c r="P582" s="5" t="str">
        <f>IF(OR(TRIM($B582)="",$F582=""),"",IF(OR(ISNUMBER(SEARCH(_xlfn.CONCAT(CHAR(96),CHAR(34)),$F582)),ISNUMBER(SEARCH(_xlfn.CONCAT(CHAR(34),CHAR(39)),$F582))),_xlfn.CONCAT("* REVIEW REQUIRED: compound-quote delimiter in Units on Sheet 1 row ",582,"; edit the input before running."),_xlfn.CONCAT("char ",TRIM($B582),"[doc_units] ",CHAR(96),CHAR(34),SUBSTITUTE(SUBSTITUTE(SUBSTITUTE(SUBSTITUTE(SUBSTITUTE(SUBSTITUTE($F582,CHAR(13)," "),CHAR(10)," "),CHAR(9)," "),CHAR(92),_xlfn.CONCAT(CHAR(92),CHAR(92))),"$",_xlfn.CONCAT(CHAR(92),"$")),CHAR(96),_xlfn.CONCAT(CHAR(92),CHAR(96))),CHAR(34),CHAR(39))))</f>
        <v/>
      </c>
      <c r="Q582" s="5" t="str">
        <f>IF(OR(TRIM($B582)="",$G582=""),"",IF(OR(ISNUMBER(SEARCH(_xlfn.CONCAT(CHAR(96),CHAR(34)),$G582)),ISNUMBER(SEARCH(_xlfn.CONCAT(CHAR(34),CHAR(39)),$G582))),_xlfn.CONCAT("* REVIEW REQUIRED: compound-quote delimiter in Universe on Sheet 1 row ",582,"; edit the input before running."),_xlfn.CONCAT("char ",TRIM($B582),"[doc_universe] ",CHAR(96),CHAR(34),SUBSTITUTE(SUBSTITUTE(SUBSTITUTE(SUBSTITUTE(SUBSTITUTE(SUBSTITUTE($G582,CHAR(13)," "),CHAR(10)," "),CHAR(9)," "),CHAR(92),_xlfn.CONCAT(CHAR(92),CHAR(92))),"$",_xlfn.CONCAT(CHAR(92),"$")),CHAR(96),_xlfn.CONCAT(CHAR(92),CHAR(96))),CHAR(34),CHAR(39))))</f>
        <v/>
      </c>
      <c r="R582" s="5" t="str">
        <f>IF(OR(TRIM($B582)="",$H582=""),"",IF(OR(ISNUMBER(SEARCH(_xlfn.CONCAT(CHAR(96),CHAR(34)),$H582)),ISNUMBER(SEARCH(_xlfn.CONCAT(CHAR(34),CHAR(39)),$H582))),_xlfn.CONCAT("* REVIEW REQUIRED: compound-quote delimiter in Source on Sheet 1 row ",582,"; edit the input before running."),_xlfn.CONCAT("char ",TRIM($B582),"[doc_source] ",CHAR(96),CHAR(34),SUBSTITUTE(SUBSTITUTE(SUBSTITUTE(SUBSTITUTE(SUBSTITUTE(SUBSTITUTE($H582,CHAR(13)," "),CHAR(10)," "),CHAR(9)," "),CHAR(92),_xlfn.CONCAT(CHAR(92),CHAR(92))),"$",_xlfn.CONCAT(CHAR(92),"$")),CHAR(96),_xlfn.CONCAT(CHAR(92),CHAR(96))),CHAR(34),CHAR(39))))</f>
        <v/>
      </c>
      <c r="S582" s="5" t="str">
        <f>IF(OR(TRIM($B582)="",$I582=""),"",IF(OR(ISNUMBER(SEARCH(_xlfn.CONCAT(CHAR(96),CHAR(34)),$I582)),ISNUMBER(SEARCH(_xlfn.CONCAT(CHAR(34),CHAR(39)),$I582))),_xlfn.CONCAT("* REVIEW REQUIRED: compound-quote delimiter in Derivation on Sheet 1 row ",582,"; edit the input before running."),_xlfn.CONCAT("char ",TRIM($B582),"[doc_derivation] ",CHAR(96),CHAR(34),SUBSTITUTE(SUBSTITUTE(SUBSTITUTE(SUBSTITUTE(SUBSTITUTE(SUBSTITUTE($I582,CHAR(13)," "),CHAR(10)," "),CHAR(9)," "),CHAR(92),_xlfn.CONCAT(CHAR(92),CHAR(92))),"$",_xlfn.CONCAT(CHAR(92),"$")),CHAR(96),_xlfn.CONCAT(CHAR(92),CHAR(96))),CHAR(34),CHAR(39))))</f>
        <v/>
      </c>
      <c r="T582" s="5" t="str">
        <f>IF(OR(TRIM($B582)="",$J582=""),"",IF(OR(ISNUMBER(SEARCH(_xlfn.CONCAT(CHAR(96),CHAR(34)),$J582)),ISNUMBER(SEARCH(_xlfn.CONCAT(CHAR(34),CHAR(39)),$J582))),_xlfn.CONCAT("* REVIEW REQUIRED: compound-quote delimiter in Notes on Sheet 1 row ",582,"; edit the input before running."),_xlfn.CONCAT("char ",TRIM($B582),"[doc_notes] ",CHAR(96),CHAR(34),SUBSTITUTE(SUBSTITUTE(SUBSTITUTE(SUBSTITUTE(SUBSTITUTE(SUBSTITUTE($J582,CHAR(13)," "),CHAR(10)," "),CHAR(9)," "),CHAR(92),_xlfn.CONCAT(CHAR(92),CHAR(92))),"$",_xlfn.CONCAT(CHAR(92),"$")),CHAR(96),_xlfn.CONCAT(CHAR(92),CHAR(96))),CHAR(34),CHAR(39))))</f>
        <v/>
      </c>
      <c r="U582" s="5">
        <f t="shared" si="17"/>
        <v>0</v>
      </c>
    </row>
    <row r="583" spans="3:21" ht="30" customHeight="1" x14ac:dyDescent="0.2">
      <c r="C583" s="4"/>
      <c r="K583" s="5">
        <f t="shared" si="16"/>
        <v>0</v>
      </c>
      <c r="L583" s="5" t="str">
        <f>IF(OR(TRIM($B583)="",$A583=""),"",IF(OR(ISNUMBER(SEARCH(_xlfn.CONCAT(CHAR(96),CHAR(34)),$A583)),ISNUMBER(SEARCH(_xlfn.CONCAT(CHAR(34),CHAR(39)),$A583))),_xlfn.CONCAT("* REVIEW REQUIRED: compound-quote delimiter in Codebook Section on Sheet 1 row ",583,"; edit the input before running."),_xlfn.CONCAT("char ",TRIM($B583),"[doc_section] ",CHAR(96),CHAR(34),SUBSTITUTE(SUBSTITUTE(SUBSTITUTE(SUBSTITUTE(SUBSTITUTE(SUBSTITUTE($A583,CHAR(13)," "),CHAR(10)," "),CHAR(9)," "),CHAR(92),_xlfn.CONCAT(CHAR(92),CHAR(92))),"$",_xlfn.CONCAT(CHAR(92),"$")),CHAR(96),_xlfn.CONCAT(CHAR(92),CHAR(96))),CHAR(34),CHAR(39))))</f>
        <v/>
      </c>
      <c r="M583" s="5" t="str">
        <f>IF(OR(TRIM($B583)="",$C583=""),"",IF(IFERROR(MATCH(TRIM($C583),{"Quantitative","Continuous","Discrete","Categorical","Nominal","Ordinal","Identifier"},0),0)=0,_xlfn.CONCAT("* REVIEW REQUIRED: invalid Variable Type on Sheet 1 row ",583,"."),_xlfn.CONCAT("char ",TRIM($B583),"[doc_vartype] ",CHAR(96),CHAR(34),SUBSTITUTE(SUBSTITUTE(SUBSTITUTE(SUBSTITUTE(SUBSTITUTE(SUBSTITUTE(LOWER(TRIM($C583)),CHAR(13)," "),CHAR(10)," "),CHAR(9)," "),CHAR(92),_xlfn.CONCAT(CHAR(92),CHAR(92))),"$",_xlfn.CONCAT(CHAR(92),"$")),CHAR(96),_xlfn.CONCAT(CHAR(92),CHAR(96))),CHAR(34),CHAR(39))))</f>
        <v/>
      </c>
      <c r="N583" s="5" t="str">
        <f>IF(OR(TRIM($B583)="",$D583=""),"",IF(OR(ISNUMBER(SEARCH(_xlfn.CONCAT(CHAR(96),CHAR(34)),$D583)),ISNUMBER(SEARCH(_xlfn.CONCAT(CHAR(34),CHAR(39)),$D583))),_xlfn.CONCAT("* REVIEW REQUIRED: compound-quote delimiter in Item Number on Sheet 1 row ",583,"; edit the input before running."),_xlfn.CONCAT("char ",TRIM($B583),"[doc_itemnum] ",CHAR(96),CHAR(34),SUBSTITUTE(SUBSTITUTE(SUBSTITUTE(SUBSTITUTE(SUBSTITUTE(SUBSTITUTE($D583,CHAR(13)," "),CHAR(10)," "),CHAR(9)," "),CHAR(92),_xlfn.CONCAT(CHAR(92),CHAR(92))),"$",_xlfn.CONCAT(CHAR(92),"$")),CHAR(96),_xlfn.CONCAT(CHAR(92),CHAR(96))),CHAR(34),CHAR(39))))</f>
        <v/>
      </c>
      <c r="O583" s="5" t="str">
        <f>IF(OR(TRIM($B583)="",$E583=""),"",IF(OR(ISNUMBER(SEARCH(_xlfn.CONCAT(CHAR(96),CHAR(34)),$E583)),ISNUMBER(SEARCH(_xlfn.CONCAT(CHAR(34),CHAR(39)),$E583))),_xlfn.CONCAT("* REVIEW REQUIRED: compound-quote delimiter in Question Wording on Sheet 1 row ",583,"; edit the input before running."),_xlfn.CONCAT("char ",TRIM($B583),"[doc_question] ",CHAR(96),CHAR(34),SUBSTITUTE(SUBSTITUTE(SUBSTITUTE(SUBSTITUTE(SUBSTITUTE(SUBSTITUTE($E583,CHAR(13)," "),CHAR(10)," "),CHAR(9)," "),CHAR(92),_xlfn.CONCAT(CHAR(92),CHAR(92))),"$",_xlfn.CONCAT(CHAR(92),"$")),CHAR(96),_xlfn.CONCAT(CHAR(92),CHAR(96))),CHAR(34),CHAR(39))))</f>
        <v/>
      </c>
      <c r="P583" s="5" t="str">
        <f>IF(OR(TRIM($B583)="",$F583=""),"",IF(OR(ISNUMBER(SEARCH(_xlfn.CONCAT(CHAR(96),CHAR(34)),$F583)),ISNUMBER(SEARCH(_xlfn.CONCAT(CHAR(34),CHAR(39)),$F583))),_xlfn.CONCAT("* REVIEW REQUIRED: compound-quote delimiter in Units on Sheet 1 row ",583,"; edit the input before running."),_xlfn.CONCAT("char ",TRIM($B583),"[doc_units] ",CHAR(96),CHAR(34),SUBSTITUTE(SUBSTITUTE(SUBSTITUTE(SUBSTITUTE(SUBSTITUTE(SUBSTITUTE($F583,CHAR(13)," "),CHAR(10)," "),CHAR(9)," "),CHAR(92),_xlfn.CONCAT(CHAR(92),CHAR(92))),"$",_xlfn.CONCAT(CHAR(92),"$")),CHAR(96),_xlfn.CONCAT(CHAR(92),CHAR(96))),CHAR(34),CHAR(39))))</f>
        <v/>
      </c>
      <c r="Q583" s="5" t="str">
        <f>IF(OR(TRIM($B583)="",$G583=""),"",IF(OR(ISNUMBER(SEARCH(_xlfn.CONCAT(CHAR(96),CHAR(34)),$G583)),ISNUMBER(SEARCH(_xlfn.CONCAT(CHAR(34),CHAR(39)),$G583))),_xlfn.CONCAT("* REVIEW REQUIRED: compound-quote delimiter in Universe on Sheet 1 row ",583,"; edit the input before running."),_xlfn.CONCAT("char ",TRIM($B583),"[doc_universe] ",CHAR(96),CHAR(34),SUBSTITUTE(SUBSTITUTE(SUBSTITUTE(SUBSTITUTE(SUBSTITUTE(SUBSTITUTE($G583,CHAR(13)," "),CHAR(10)," "),CHAR(9)," "),CHAR(92),_xlfn.CONCAT(CHAR(92),CHAR(92))),"$",_xlfn.CONCAT(CHAR(92),"$")),CHAR(96),_xlfn.CONCAT(CHAR(92),CHAR(96))),CHAR(34),CHAR(39))))</f>
        <v/>
      </c>
      <c r="R583" s="5" t="str">
        <f>IF(OR(TRIM($B583)="",$H583=""),"",IF(OR(ISNUMBER(SEARCH(_xlfn.CONCAT(CHAR(96),CHAR(34)),$H583)),ISNUMBER(SEARCH(_xlfn.CONCAT(CHAR(34),CHAR(39)),$H583))),_xlfn.CONCAT("* REVIEW REQUIRED: compound-quote delimiter in Source on Sheet 1 row ",583,"; edit the input before running."),_xlfn.CONCAT("char ",TRIM($B583),"[doc_source] ",CHAR(96),CHAR(34),SUBSTITUTE(SUBSTITUTE(SUBSTITUTE(SUBSTITUTE(SUBSTITUTE(SUBSTITUTE($H583,CHAR(13)," "),CHAR(10)," "),CHAR(9)," "),CHAR(92),_xlfn.CONCAT(CHAR(92),CHAR(92))),"$",_xlfn.CONCAT(CHAR(92),"$")),CHAR(96),_xlfn.CONCAT(CHAR(92),CHAR(96))),CHAR(34),CHAR(39))))</f>
        <v/>
      </c>
      <c r="S583" s="5" t="str">
        <f>IF(OR(TRIM($B583)="",$I583=""),"",IF(OR(ISNUMBER(SEARCH(_xlfn.CONCAT(CHAR(96),CHAR(34)),$I583)),ISNUMBER(SEARCH(_xlfn.CONCAT(CHAR(34),CHAR(39)),$I583))),_xlfn.CONCAT("* REVIEW REQUIRED: compound-quote delimiter in Derivation on Sheet 1 row ",583,"; edit the input before running."),_xlfn.CONCAT("char ",TRIM($B583),"[doc_derivation] ",CHAR(96),CHAR(34),SUBSTITUTE(SUBSTITUTE(SUBSTITUTE(SUBSTITUTE(SUBSTITUTE(SUBSTITUTE($I583,CHAR(13)," "),CHAR(10)," "),CHAR(9)," "),CHAR(92),_xlfn.CONCAT(CHAR(92),CHAR(92))),"$",_xlfn.CONCAT(CHAR(92),"$")),CHAR(96),_xlfn.CONCAT(CHAR(92),CHAR(96))),CHAR(34),CHAR(39))))</f>
        <v/>
      </c>
      <c r="T583" s="5" t="str">
        <f>IF(OR(TRIM($B583)="",$J583=""),"",IF(OR(ISNUMBER(SEARCH(_xlfn.CONCAT(CHAR(96),CHAR(34)),$J583)),ISNUMBER(SEARCH(_xlfn.CONCAT(CHAR(34),CHAR(39)),$J583))),_xlfn.CONCAT("* REVIEW REQUIRED: compound-quote delimiter in Notes on Sheet 1 row ",583,"; edit the input before running."),_xlfn.CONCAT("char ",TRIM($B583),"[doc_notes] ",CHAR(96),CHAR(34),SUBSTITUTE(SUBSTITUTE(SUBSTITUTE(SUBSTITUTE(SUBSTITUTE(SUBSTITUTE($J583,CHAR(13)," "),CHAR(10)," "),CHAR(9)," "),CHAR(92),_xlfn.CONCAT(CHAR(92),CHAR(92))),"$",_xlfn.CONCAT(CHAR(92),"$")),CHAR(96),_xlfn.CONCAT(CHAR(92),CHAR(96))),CHAR(34),CHAR(39))))</f>
        <v/>
      </c>
      <c r="U583" s="5">
        <f t="shared" si="17"/>
        <v>0</v>
      </c>
    </row>
    <row r="584" spans="3:21" ht="30" customHeight="1" x14ac:dyDescent="0.2">
      <c r="C584" s="4"/>
      <c r="K584" s="5">
        <f t="shared" si="16"/>
        <v>0</v>
      </c>
      <c r="L584" s="5" t="str">
        <f>IF(OR(TRIM($B584)="",$A584=""),"",IF(OR(ISNUMBER(SEARCH(_xlfn.CONCAT(CHAR(96),CHAR(34)),$A584)),ISNUMBER(SEARCH(_xlfn.CONCAT(CHAR(34),CHAR(39)),$A584))),_xlfn.CONCAT("* REVIEW REQUIRED: compound-quote delimiter in Codebook Section on Sheet 1 row ",584,"; edit the input before running."),_xlfn.CONCAT("char ",TRIM($B584),"[doc_section] ",CHAR(96),CHAR(34),SUBSTITUTE(SUBSTITUTE(SUBSTITUTE(SUBSTITUTE(SUBSTITUTE(SUBSTITUTE($A584,CHAR(13)," "),CHAR(10)," "),CHAR(9)," "),CHAR(92),_xlfn.CONCAT(CHAR(92),CHAR(92))),"$",_xlfn.CONCAT(CHAR(92),"$")),CHAR(96),_xlfn.CONCAT(CHAR(92),CHAR(96))),CHAR(34),CHAR(39))))</f>
        <v/>
      </c>
      <c r="M584" s="5" t="str">
        <f>IF(OR(TRIM($B584)="",$C584=""),"",IF(IFERROR(MATCH(TRIM($C584),{"Quantitative","Continuous","Discrete","Categorical","Nominal","Ordinal","Identifier"},0),0)=0,_xlfn.CONCAT("* REVIEW REQUIRED: invalid Variable Type on Sheet 1 row ",584,"."),_xlfn.CONCAT("char ",TRIM($B584),"[doc_vartype] ",CHAR(96),CHAR(34),SUBSTITUTE(SUBSTITUTE(SUBSTITUTE(SUBSTITUTE(SUBSTITUTE(SUBSTITUTE(LOWER(TRIM($C584)),CHAR(13)," "),CHAR(10)," "),CHAR(9)," "),CHAR(92),_xlfn.CONCAT(CHAR(92),CHAR(92))),"$",_xlfn.CONCAT(CHAR(92),"$")),CHAR(96),_xlfn.CONCAT(CHAR(92),CHAR(96))),CHAR(34),CHAR(39))))</f>
        <v/>
      </c>
      <c r="N584" s="5" t="str">
        <f>IF(OR(TRIM($B584)="",$D584=""),"",IF(OR(ISNUMBER(SEARCH(_xlfn.CONCAT(CHAR(96),CHAR(34)),$D584)),ISNUMBER(SEARCH(_xlfn.CONCAT(CHAR(34),CHAR(39)),$D584))),_xlfn.CONCAT("* REVIEW REQUIRED: compound-quote delimiter in Item Number on Sheet 1 row ",584,"; edit the input before running."),_xlfn.CONCAT("char ",TRIM($B584),"[doc_itemnum] ",CHAR(96),CHAR(34),SUBSTITUTE(SUBSTITUTE(SUBSTITUTE(SUBSTITUTE(SUBSTITUTE(SUBSTITUTE($D584,CHAR(13)," "),CHAR(10)," "),CHAR(9)," "),CHAR(92),_xlfn.CONCAT(CHAR(92),CHAR(92))),"$",_xlfn.CONCAT(CHAR(92),"$")),CHAR(96),_xlfn.CONCAT(CHAR(92),CHAR(96))),CHAR(34),CHAR(39))))</f>
        <v/>
      </c>
      <c r="O584" s="5" t="str">
        <f>IF(OR(TRIM($B584)="",$E584=""),"",IF(OR(ISNUMBER(SEARCH(_xlfn.CONCAT(CHAR(96),CHAR(34)),$E584)),ISNUMBER(SEARCH(_xlfn.CONCAT(CHAR(34),CHAR(39)),$E584))),_xlfn.CONCAT("* REVIEW REQUIRED: compound-quote delimiter in Question Wording on Sheet 1 row ",584,"; edit the input before running."),_xlfn.CONCAT("char ",TRIM($B584),"[doc_question] ",CHAR(96),CHAR(34),SUBSTITUTE(SUBSTITUTE(SUBSTITUTE(SUBSTITUTE(SUBSTITUTE(SUBSTITUTE($E584,CHAR(13)," "),CHAR(10)," "),CHAR(9)," "),CHAR(92),_xlfn.CONCAT(CHAR(92),CHAR(92))),"$",_xlfn.CONCAT(CHAR(92),"$")),CHAR(96),_xlfn.CONCAT(CHAR(92),CHAR(96))),CHAR(34),CHAR(39))))</f>
        <v/>
      </c>
      <c r="P584" s="5" t="str">
        <f>IF(OR(TRIM($B584)="",$F584=""),"",IF(OR(ISNUMBER(SEARCH(_xlfn.CONCAT(CHAR(96),CHAR(34)),$F584)),ISNUMBER(SEARCH(_xlfn.CONCAT(CHAR(34),CHAR(39)),$F584))),_xlfn.CONCAT("* REVIEW REQUIRED: compound-quote delimiter in Units on Sheet 1 row ",584,"; edit the input before running."),_xlfn.CONCAT("char ",TRIM($B584),"[doc_units] ",CHAR(96),CHAR(34),SUBSTITUTE(SUBSTITUTE(SUBSTITUTE(SUBSTITUTE(SUBSTITUTE(SUBSTITUTE($F584,CHAR(13)," "),CHAR(10)," "),CHAR(9)," "),CHAR(92),_xlfn.CONCAT(CHAR(92),CHAR(92))),"$",_xlfn.CONCAT(CHAR(92),"$")),CHAR(96),_xlfn.CONCAT(CHAR(92),CHAR(96))),CHAR(34),CHAR(39))))</f>
        <v/>
      </c>
      <c r="Q584" s="5" t="str">
        <f>IF(OR(TRIM($B584)="",$G584=""),"",IF(OR(ISNUMBER(SEARCH(_xlfn.CONCAT(CHAR(96),CHAR(34)),$G584)),ISNUMBER(SEARCH(_xlfn.CONCAT(CHAR(34),CHAR(39)),$G584))),_xlfn.CONCAT("* REVIEW REQUIRED: compound-quote delimiter in Universe on Sheet 1 row ",584,"; edit the input before running."),_xlfn.CONCAT("char ",TRIM($B584),"[doc_universe] ",CHAR(96),CHAR(34),SUBSTITUTE(SUBSTITUTE(SUBSTITUTE(SUBSTITUTE(SUBSTITUTE(SUBSTITUTE($G584,CHAR(13)," "),CHAR(10)," "),CHAR(9)," "),CHAR(92),_xlfn.CONCAT(CHAR(92),CHAR(92))),"$",_xlfn.CONCAT(CHAR(92),"$")),CHAR(96),_xlfn.CONCAT(CHAR(92),CHAR(96))),CHAR(34),CHAR(39))))</f>
        <v/>
      </c>
      <c r="R584" s="5" t="str">
        <f>IF(OR(TRIM($B584)="",$H584=""),"",IF(OR(ISNUMBER(SEARCH(_xlfn.CONCAT(CHAR(96),CHAR(34)),$H584)),ISNUMBER(SEARCH(_xlfn.CONCAT(CHAR(34),CHAR(39)),$H584))),_xlfn.CONCAT("* REVIEW REQUIRED: compound-quote delimiter in Source on Sheet 1 row ",584,"; edit the input before running."),_xlfn.CONCAT("char ",TRIM($B584),"[doc_source] ",CHAR(96),CHAR(34),SUBSTITUTE(SUBSTITUTE(SUBSTITUTE(SUBSTITUTE(SUBSTITUTE(SUBSTITUTE($H584,CHAR(13)," "),CHAR(10)," "),CHAR(9)," "),CHAR(92),_xlfn.CONCAT(CHAR(92),CHAR(92))),"$",_xlfn.CONCAT(CHAR(92),"$")),CHAR(96),_xlfn.CONCAT(CHAR(92),CHAR(96))),CHAR(34),CHAR(39))))</f>
        <v/>
      </c>
      <c r="S584" s="5" t="str">
        <f>IF(OR(TRIM($B584)="",$I584=""),"",IF(OR(ISNUMBER(SEARCH(_xlfn.CONCAT(CHAR(96),CHAR(34)),$I584)),ISNUMBER(SEARCH(_xlfn.CONCAT(CHAR(34),CHAR(39)),$I584))),_xlfn.CONCAT("* REVIEW REQUIRED: compound-quote delimiter in Derivation on Sheet 1 row ",584,"; edit the input before running."),_xlfn.CONCAT("char ",TRIM($B584),"[doc_derivation] ",CHAR(96),CHAR(34),SUBSTITUTE(SUBSTITUTE(SUBSTITUTE(SUBSTITUTE(SUBSTITUTE(SUBSTITUTE($I584,CHAR(13)," "),CHAR(10)," "),CHAR(9)," "),CHAR(92),_xlfn.CONCAT(CHAR(92),CHAR(92))),"$",_xlfn.CONCAT(CHAR(92),"$")),CHAR(96),_xlfn.CONCAT(CHAR(92),CHAR(96))),CHAR(34),CHAR(39))))</f>
        <v/>
      </c>
      <c r="T584" s="5" t="str">
        <f>IF(OR(TRIM($B584)="",$J584=""),"",IF(OR(ISNUMBER(SEARCH(_xlfn.CONCAT(CHAR(96),CHAR(34)),$J584)),ISNUMBER(SEARCH(_xlfn.CONCAT(CHAR(34),CHAR(39)),$J584))),_xlfn.CONCAT("* REVIEW REQUIRED: compound-quote delimiter in Notes on Sheet 1 row ",584,"; edit the input before running."),_xlfn.CONCAT("char ",TRIM($B584),"[doc_notes] ",CHAR(96),CHAR(34),SUBSTITUTE(SUBSTITUTE(SUBSTITUTE(SUBSTITUTE(SUBSTITUTE(SUBSTITUTE($J584,CHAR(13)," "),CHAR(10)," "),CHAR(9)," "),CHAR(92),_xlfn.CONCAT(CHAR(92),CHAR(92))),"$",_xlfn.CONCAT(CHAR(92),"$")),CHAR(96),_xlfn.CONCAT(CHAR(92),CHAR(96))),CHAR(34),CHAR(39))))</f>
        <v/>
      </c>
      <c r="U584" s="5">
        <f t="shared" si="17"/>
        <v>0</v>
      </c>
    </row>
    <row r="585" spans="3:21" ht="30" customHeight="1" x14ac:dyDescent="0.2">
      <c r="C585" s="4"/>
      <c r="K585" s="5">
        <f t="shared" si="16"/>
        <v>0</v>
      </c>
      <c r="L585" s="5" t="str">
        <f>IF(OR(TRIM($B585)="",$A585=""),"",IF(OR(ISNUMBER(SEARCH(_xlfn.CONCAT(CHAR(96),CHAR(34)),$A585)),ISNUMBER(SEARCH(_xlfn.CONCAT(CHAR(34),CHAR(39)),$A585))),_xlfn.CONCAT("* REVIEW REQUIRED: compound-quote delimiter in Codebook Section on Sheet 1 row ",585,"; edit the input before running."),_xlfn.CONCAT("char ",TRIM($B585),"[doc_section] ",CHAR(96),CHAR(34),SUBSTITUTE(SUBSTITUTE(SUBSTITUTE(SUBSTITUTE(SUBSTITUTE(SUBSTITUTE($A585,CHAR(13)," "),CHAR(10)," "),CHAR(9)," "),CHAR(92),_xlfn.CONCAT(CHAR(92),CHAR(92))),"$",_xlfn.CONCAT(CHAR(92),"$")),CHAR(96),_xlfn.CONCAT(CHAR(92),CHAR(96))),CHAR(34),CHAR(39))))</f>
        <v/>
      </c>
      <c r="M585" s="5" t="str">
        <f>IF(OR(TRIM($B585)="",$C585=""),"",IF(IFERROR(MATCH(TRIM($C585),{"Quantitative","Continuous","Discrete","Categorical","Nominal","Ordinal","Identifier"},0),0)=0,_xlfn.CONCAT("* REVIEW REQUIRED: invalid Variable Type on Sheet 1 row ",585,"."),_xlfn.CONCAT("char ",TRIM($B585),"[doc_vartype] ",CHAR(96),CHAR(34),SUBSTITUTE(SUBSTITUTE(SUBSTITUTE(SUBSTITUTE(SUBSTITUTE(SUBSTITUTE(LOWER(TRIM($C585)),CHAR(13)," "),CHAR(10)," "),CHAR(9)," "),CHAR(92),_xlfn.CONCAT(CHAR(92),CHAR(92))),"$",_xlfn.CONCAT(CHAR(92),"$")),CHAR(96),_xlfn.CONCAT(CHAR(92),CHAR(96))),CHAR(34),CHAR(39))))</f>
        <v/>
      </c>
      <c r="N585" s="5" t="str">
        <f>IF(OR(TRIM($B585)="",$D585=""),"",IF(OR(ISNUMBER(SEARCH(_xlfn.CONCAT(CHAR(96),CHAR(34)),$D585)),ISNUMBER(SEARCH(_xlfn.CONCAT(CHAR(34),CHAR(39)),$D585))),_xlfn.CONCAT("* REVIEW REQUIRED: compound-quote delimiter in Item Number on Sheet 1 row ",585,"; edit the input before running."),_xlfn.CONCAT("char ",TRIM($B585),"[doc_itemnum] ",CHAR(96),CHAR(34),SUBSTITUTE(SUBSTITUTE(SUBSTITUTE(SUBSTITUTE(SUBSTITUTE(SUBSTITUTE($D585,CHAR(13)," "),CHAR(10)," "),CHAR(9)," "),CHAR(92),_xlfn.CONCAT(CHAR(92),CHAR(92))),"$",_xlfn.CONCAT(CHAR(92),"$")),CHAR(96),_xlfn.CONCAT(CHAR(92),CHAR(96))),CHAR(34),CHAR(39))))</f>
        <v/>
      </c>
      <c r="O585" s="5" t="str">
        <f>IF(OR(TRIM($B585)="",$E585=""),"",IF(OR(ISNUMBER(SEARCH(_xlfn.CONCAT(CHAR(96),CHAR(34)),$E585)),ISNUMBER(SEARCH(_xlfn.CONCAT(CHAR(34),CHAR(39)),$E585))),_xlfn.CONCAT("* REVIEW REQUIRED: compound-quote delimiter in Question Wording on Sheet 1 row ",585,"; edit the input before running."),_xlfn.CONCAT("char ",TRIM($B585),"[doc_question] ",CHAR(96),CHAR(34),SUBSTITUTE(SUBSTITUTE(SUBSTITUTE(SUBSTITUTE(SUBSTITUTE(SUBSTITUTE($E585,CHAR(13)," "),CHAR(10)," "),CHAR(9)," "),CHAR(92),_xlfn.CONCAT(CHAR(92),CHAR(92))),"$",_xlfn.CONCAT(CHAR(92),"$")),CHAR(96),_xlfn.CONCAT(CHAR(92),CHAR(96))),CHAR(34),CHAR(39))))</f>
        <v/>
      </c>
      <c r="P585" s="5" t="str">
        <f>IF(OR(TRIM($B585)="",$F585=""),"",IF(OR(ISNUMBER(SEARCH(_xlfn.CONCAT(CHAR(96),CHAR(34)),$F585)),ISNUMBER(SEARCH(_xlfn.CONCAT(CHAR(34),CHAR(39)),$F585))),_xlfn.CONCAT("* REVIEW REQUIRED: compound-quote delimiter in Units on Sheet 1 row ",585,"; edit the input before running."),_xlfn.CONCAT("char ",TRIM($B585),"[doc_units] ",CHAR(96),CHAR(34),SUBSTITUTE(SUBSTITUTE(SUBSTITUTE(SUBSTITUTE(SUBSTITUTE(SUBSTITUTE($F585,CHAR(13)," "),CHAR(10)," "),CHAR(9)," "),CHAR(92),_xlfn.CONCAT(CHAR(92),CHAR(92))),"$",_xlfn.CONCAT(CHAR(92),"$")),CHAR(96),_xlfn.CONCAT(CHAR(92),CHAR(96))),CHAR(34),CHAR(39))))</f>
        <v/>
      </c>
      <c r="Q585" s="5" t="str">
        <f>IF(OR(TRIM($B585)="",$G585=""),"",IF(OR(ISNUMBER(SEARCH(_xlfn.CONCAT(CHAR(96),CHAR(34)),$G585)),ISNUMBER(SEARCH(_xlfn.CONCAT(CHAR(34),CHAR(39)),$G585))),_xlfn.CONCAT("* REVIEW REQUIRED: compound-quote delimiter in Universe on Sheet 1 row ",585,"; edit the input before running."),_xlfn.CONCAT("char ",TRIM($B585),"[doc_universe] ",CHAR(96),CHAR(34),SUBSTITUTE(SUBSTITUTE(SUBSTITUTE(SUBSTITUTE(SUBSTITUTE(SUBSTITUTE($G585,CHAR(13)," "),CHAR(10)," "),CHAR(9)," "),CHAR(92),_xlfn.CONCAT(CHAR(92),CHAR(92))),"$",_xlfn.CONCAT(CHAR(92),"$")),CHAR(96),_xlfn.CONCAT(CHAR(92),CHAR(96))),CHAR(34),CHAR(39))))</f>
        <v/>
      </c>
      <c r="R585" s="5" t="str">
        <f>IF(OR(TRIM($B585)="",$H585=""),"",IF(OR(ISNUMBER(SEARCH(_xlfn.CONCAT(CHAR(96),CHAR(34)),$H585)),ISNUMBER(SEARCH(_xlfn.CONCAT(CHAR(34),CHAR(39)),$H585))),_xlfn.CONCAT("* REVIEW REQUIRED: compound-quote delimiter in Source on Sheet 1 row ",585,"; edit the input before running."),_xlfn.CONCAT("char ",TRIM($B585),"[doc_source] ",CHAR(96),CHAR(34),SUBSTITUTE(SUBSTITUTE(SUBSTITUTE(SUBSTITUTE(SUBSTITUTE(SUBSTITUTE($H585,CHAR(13)," "),CHAR(10)," "),CHAR(9)," "),CHAR(92),_xlfn.CONCAT(CHAR(92),CHAR(92))),"$",_xlfn.CONCAT(CHAR(92),"$")),CHAR(96),_xlfn.CONCAT(CHAR(92),CHAR(96))),CHAR(34),CHAR(39))))</f>
        <v/>
      </c>
      <c r="S585" s="5" t="str">
        <f>IF(OR(TRIM($B585)="",$I585=""),"",IF(OR(ISNUMBER(SEARCH(_xlfn.CONCAT(CHAR(96),CHAR(34)),$I585)),ISNUMBER(SEARCH(_xlfn.CONCAT(CHAR(34),CHAR(39)),$I585))),_xlfn.CONCAT("* REVIEW REQUIRED: compound-quote delimiter in Derivation on Sheet 1 row ",585,"; edit the input before running."),_xlfn.CONCAT("char ",TRIM($B585),"[doc_derivation] ",CHAR(96),CHAR(34),SUBSTITUTE(SUBSTITUTE(SUBSTITUTE(SUBSTITUTE(SUBSTITUTE(SUBSTITUTE($I585,CHAR(13)," "),CHAR(10)," "),CHAR(9)," "),CHAR(92),_xlfn.CONCAT(CHAR(92),CHAR(92))),"$",_xlfn.CONCAT(CHAR(92),"$")),CHAR(96),_xlfn.CONCAT(CHAR(92),CHAR(96))),CHAR(34),CHAR(39))))</f>
        <v/>
      </c>
      <c r="T585" s="5" t="str">
        <f>IF(OR(TRIM($B585)="",$J585=""),"",IF(OR(ISNUMBER(SEARCH(_xlfn.CONCAT(CHAR(96),CHAR(34)),$J585)),ISNUMBER(SEARCH(_xlfn.CONCAT(CHAR(34),CHAR(39)),$J585))),_xlfn.CONCAT("* REVIEW REQUIRED: compound-quote delimiter in Notes on Sheet 1 row ",585,"; edit the input before running."),_xlfn.CONCAT("char ",TRIM($B585),"[doc_notes] ",CHAR(96),CHAR(34),SUBSTITUTE(SUBSTITUTE(SUBSTITUTE(SUBSTITUTE(SUBSTITUTE(SUBSTITUTE($J585,CHAR(13)," "),CHAR(10)," "),CHAR(9)," "),CHAR(92),_xlfn.CONCAT(CHAR(92),CHAR(92))),"$",_xlfn.CONCAT(CHAR(92),"$")),CHAR(96),_xlfn.CONCAT(CHAR(92),CHAR(96))),CHAR(34),CHAR(39))))</f>
        <v/>
      </c>
      <c r="U585" s="5">
        <f t="shared" si="17"/>
        <v>0</v>
      </c>
    </row>
    <row r="586" spans="3:21" ht="30" customHeight="1" x14ac:dyDescent="0.2">
      <c r="C586" s="4"/>
      <c r="K586" s="5">
        <f t="shared" si="16"/>
        <v>0</v>
      </c>
      <c r="L586" s="5" t="str">
        <f>IF(OR(TRIM($B586)="",$A586=""),"",IF(OR(ISNUMBER(SEARCH(_xlfn.CONCAT(CHAR(96),CHAR(34)),$A586)),ISNUMBER(SEARCH(_xlfn.CONCAT(CHAR(34),CHAR(39)),$A586))),_xlfn.CONCAT("* REVIEW REQUIRED: compound-quote delimiter in Codebook Section on Sheet 1 row ",586,"; edit the input before running."),_xlfn.CONCAT("char ",TRIM($B586),"[doc_section] ",CHAR(96),CHAR(34),SUBSTITUTE(SUBSTITUTE(SUBSTITUTE(SUBSTITUTE(SUBSTITUTE(SUBSTITUTE($A586,CHAR(13)," "),CHAR(10)," "),CHAR(9)," "),CHAR(92),_xlfn.CONCAT(CHAR(92),CHAR(92))),"$",_xlfn.CONCAT(CHAR(92),"$")),CHAR(96),_xlfn.CONCAT(CHAR(92),CHAR(96))),CHAR(34),CHAR(39))))</f>
        <v/>
      </c>
      <c r="M586" s="5" t="str">
        <f>IF(OR(TRIM($B586)="",$C586=""),"",IF(IFERROR(MATCH(TRIM($C586),{"Quantitative","Continuous","Discrete","Categorical","Nominal","Ordinal","Identifier"},0),0)=0,_xlfn.CONCAT("* REVIEW REQUIRED: invalid Variable Type on Sheet 1 row ",586,"."),_xlfn.CONCAT("char ",TRIM($B586),"[doc_vartype] ",CHAR(96),CHAR(34),SUBSTITUTE(SUBSTITUTE(SUBSTITUTE(SUBSTITUTE(SUBSTITUTE(SUBSTITUTE(LOWER(TRIM($C586)),CHAR(13)," "),CHAR(10)," "),CHAR(9)," "),CHAR(92),_xlfn.CONCAT(CHAR(92),CHAR(92))),"$",_xlfn.CONCAT(CHAR(92),"$")),CHAR(96),_xlfn.CONCAT(CHAR(92),CHAR(96))),CHAR(34),CHAR(39))))</f>
        <v/>
      </c>
      <c r="N586" s="5" t="str">
        <f>IF(OR(TRIM($B586)="",$D586=""),"",IF(OR(ISNUMBER(SEARCH(_xlfn.CONCAT(CHAR(96),CHAR(34)),$D586)),ISNUMBER(SEARCH(_xlfn.CONCAT(CHAR(34),CHAR(39)),$D586))),_xlfn.CONCAT("* REVIEW REQUIRED: compound-quote delimiter in Item Number on Sheet 1 row ",586,"; edit the input before running."),_xlfn.CONCAT("char ",TRIM($B586),"[doc_itemnum] ",CHAR(96),CHAR(34),SUBSTITUTE(SUBSTITUTE(SUBSTITUTE(SUBSTITUTE(SUBSTITUTE(SUBSTITUTE($D586,CHAR(13)," "),CHAR(10)," "),CHAR(9)," "),CHAR(92),_xlfn.CONCAT(CHAR(92),CHAR(92))),"$",_xlfn.CONCAT(CHAR(92),"$")),CHAR(96),_xlfn.CONCAT(CHAR(92),CHAR(96))),CHAR(34),CHAR(39))))</f>
        <v/>
      </c>
      <c r="O586" s="5" t="str">
        <f>IF(OR(TRIM($B586)="",$E586=""),"",IF(OR(ISNUMBER(SEARCH(_xlfn.CONCAT(CHAR(96),CHAR(34)),$E586)),ISNUMBER(SEARCH(_xlfn.CONCAT(CHAR(34),CHAR(39)),$E586))),_xlfn.CONCAT("* REVIEW REQUIRED: compound-quote delimiter in Question Wording on Sheet 1 row ",586,"; edit the input before running."),_xlfn.CONCAT("char ",TRIM($B586),"[doc_question] ",CHAR(96),CHAR(34),SUBSTITUTE(SUBSTITUTE(SUBSTITUTE(SUBSTITUTE(SUBSTITUTE(SUBSTITUTE($E586,CHAR(13)," "),CHAR(10)," "),CHAR(9)," "),CHAR(92),_xlfn.CONCAT(CHAR(92),CHAR(92))),"$",_xlfn.CONCAT(CHAR(92),"$")),CHAR(96),_xlfn.CONCAT(CHAR(92),CHAR(96))),CHAR(34),CHAR(39))))</f>
        <v/>
      </c>
      <c r="P586" s="5" t="str">
        <f>IF(OR(TRIM($B586)="",$F586=""),"",IF(OR(ISNUMBER(SEARCH(_xlfn.CONCAT(CHAR(96),CHAR(34)),$F586)),ISNUMBER(SEARCH(_xlfn.CONCAT(CHAR(34),CHAR(39)),$F586))),_xlfn.CONCAT("* REVIEW REQUIRED: compound-quote delimiter in Units on Sheet 1 row ",586,"; edit the input before running."),_xlfn.CONCAT("char ",TRIM($B586),"[doc_units] ",CHAR(96),CHAR(34),SUBSTITUTE(SUBSTITUTE(SUBSTITUTE(SUBSTITUTE(SUBSTITUTE(SUBSTITUTE($F586,CHAR(13)," "),CHAR(10)," "),CHAR(9)," "),CHAR(92),_xlfn.CONCAT(CHAR(92),CHAR(92))),"$",_xlfn.CONCAT(CHAR(92),"$")),CHAR(96),_xlfn.CONCAT(CHAR(92),CHAR(96))),CHAR(34),CHAR(39))))</f>
        <v/>
      </c>
      <c r="Q586" s="5" t="str">
        <f>IF(OR(TRIM($B586)="",$G586=""),"",IF(OR(ISNUMBER(SEARCH(_xlfn.CONCAT(CHAR(96),CHAR(34)),$G586)),ISNUMBER(SEARCH(_xlfn.CONCAT(CHAR(34),CHAR(39)),$G586))),_xlfn.CONCAT("* REVIEW REQUIRED: compound-quote delimiter in Universe on Sheet 1 row ",586,"; edit the input before running."),_xlfn.CONCAT("char ",TRIM($B586),"[doc_universe] ",CHAR(96),CHAR(34),SUBSTITUTE(SUBSTITUTE(SUBSTITUTE(SUBSTITUTE(SUBSTITUTE(SUBSTITUTE($G586,CHAR(13)," "),CHAR(10)," "),CHAR(9)," "),CHAR(92),_xlfn.CONCAT(CHAR(92),CHAR(92))),"$",_xlfn.CONCAT(CHAR(92),"$")),CHAR(96),_xlfn.CONCAT(CHAR(92),CHAR(96))),CHAR(34),CHAR(39))))</f>
        <v/>
      </c>
      <c r="R586" s="5" t="str">
        <f>IF(OR(TRIM($B586)="",$H586=""),"",IF(OR(ISNUMBER(SEARCH(_xlfn.CONCAT(CHAR(96),CHAR(34)),$H586)),ISNUMBER(SEARCH(_xlfn.CONCAT(CHAR(34),CHAR(39)),$H586))),_xlfn.CONCAT("* REVIEW REQUIRED: compound-quote delimiter in Source on Sheet 1 row ",586,"; edit the input before running."),_xlfn.CONCAT("char ",TRIM($B586),"[doc_source] ",CHAR(96),CHAR(34),SUBSTITUTE(SUBSTITUTE(SUBSTITUTE(SUBSTITUTE(SUBSTITUTE(SUBSTITUTE($H586,CHAR(13)," "),CHAR(10)," "),CHAR(9)," "),CHAR(92),_xlfn.CONCAT(CHAR(92),CHAR(92))),"$",_xlfn.CONCAT(CHAR(92),"$")),CHAR(96),_xlfn.CONCAT(CHAR(92),CHAR(96))),CHAR(34),CHAR(39))))</f>
        <v/>
      </c>
      <c r="S586" s="5" t="str">
        <f>IF(OR(TRIM($B586)="",$I586=""),"",IF(OR(ISNUMBER(SEARCH(_xlfn.CONCAT(CHAR(96),CHAR(34)),$I586)),ISNUMBER(SEARCH(_xlfn.CONCAT(CHAR(34),CHAR(39)),$I586))),_xlfn.CONCAT("* REVIEW REQUIRED: compound-quote delimiter in Derivation on Sheet 1 row ",586,"; edit the input before running."),_xlfn.CONCAT("char ",TRIM($B586),"[doc_derivation] ",CHAR(96),CHAR(34),SUBSTITUTE(SUBSTITUTE(SUBSTITUTE(SUBSTITUTE(SUBSTITUTE(SUBSTITUTE($I586,CHAR(13)," "),CHAR(10)," "),CHAR(9)," "),CHAR(92),_xlfn.CONCAT(CHAR(92),CHAR(92))),"$",_xlfn.CONCAT(CHAR(92),"$")),CHAR(96),_xlfn.CONCAT(CHAR(92),CHAR(96))),CHAR(34),CHAR(39))))</f>
        <v/>
      </c>
      <c r="T586" s="5" t="str">
        <f>IF(OR(TRIM($B586)="",$J586=""),"",IF(OR(ISNUMBER(SEARCH(_xlfn.CONCAT(CHAR(96),CHAR(34)),$J586)),ISNUMBER(SEARCH(_xlfn.CONCAT(CHAR(34),CHAR(39)),$J586))),_xlfn.CONCAT("* REVIEW REQUIRED: compound-quote delimiter in Notes on Sheet 1 row ",586,"; edit the input before running."),_xlfn.CONCAT("char ",TRIM($B586),"[doc_notes] ",CHAR(96),CHAR(34),SUBSTITUTE(SUBSTITUTE(SUBSTITUTE(SUBSTITUTE(SUBSTITUTE(SUBSTITUTE($J586,CHAR(13)," "),CHAR(10)," "),CHAR(9)," "),CHAR(92),_xlfn.CONCAT(CHAR(92),CHAR(92))),"$",_xlfn.CONCAT(CHAR(92),"$")),CHAR(96),_xlfn.CONCAT(CHAR(92),CHAR(96))),CHAR(34),CHAR(39))))</f>
        <v/>
      </c>
      <c r="U586" s="5">
        <f t="shared" si="17"/>
        <v>0</v>
      </c>
    </row>
    <row r="587" spans="3:21" ht="30" customHeight="1" x14ac:dyDescent="0.2">
      <c r="C587" s="4"/>
      <c r="K587" s="5">
        <f t="shared" si="16"/>
        <v>0</v>
      </c>
      <c r="L587" s="5" t="str">
        <f>IF(OR(TRIM($B587)="",$A587=""),"",IF(OR(ISNUMBER(SEARCH(_xlfn.CONCAT(CHAR(96),CHAR(34)),$A587)),ISNUMBER(SEARCH(_xlfn.CONCAT(CHAR(34),CHAR(39)),$A587))),_xlfn.CONCAT("* REVIEW REQUIRED: compound-quote delimiter in Codebook Section on Sheet 1 row ",587,"; edit the input before running."),_xlfn.CONCAT("char ",TRIM($B587),"[doc_section] ",CHAR(96),CHAR(34),SUBSTITUTE(SUBSTITUTE(SUBSTITUTE(SUBSTITUTE(SUBSTITUTE(SUBSTITUTE($A587,CHAR(13)," "),CHAR(10)," "),CHAR(9)," "),CHAR(92),_xlfn.CONCAT(CHAR(92),CHAR(92))),"$",_xlfn.CONCAT(CHAR(92),"$")),CHAR(96),_xlfn.CONCAT(CHAR(92),CHAR(96))),CHAR(34),CHAR(39))))</f>
        <v/>
      </c>
      <c r="M587" s="5" t="str">
        <f>IF(OR(TRIM($B587)="",$C587=""),"",IF(IFERROR(MATCH(TRIM($C587),{"Quantitative","Continuous","Discrete","Categorical","Nominal","Ordinal","Identifier"},0),0)=0,_xlfn.CONCAT("* REVIEW REQUIRED: invalid Variable Type on Sheet 1 row ",587,"."),_xlfn.CONCAT("char ",TRIM($B587),"[doc_vartype] ",CHAR(96),CHAR(34),SUBSTITUTE(SUBSTITUTE(SUBSTITUTE(SUBSTITUTE(SUBSTITUTE(SUBSTITUTE(LOWER(TRIM($C587)),CHAR(13)," "),CHAR(10)," "),CHAR(9)," "),CHAR(92),_xlfn.CONCAT(CHAR(92),CHAR(92))),"$",_xlfn.CONCAT(CHAR(92),"$")),CHAR(96),_xlfn.CONCAT(CHAR(92),CHAR(96))),CHAR(34),CHAR(39))))</f>
        <v/>
      </c>
      <c r="N587" s="5" t="str">
        <f>IF(OR(TRIM($B587)="",$D587=""),"",IF(OR(ISNUMBER(SEARCH(_xlfn.CONCAT(CHAR(96),CHAR(34)),$D587)),ISNUMBER(SEARCH(_xlfn.CONCAT(CHAR(34),CHAR(39)),$D587))),_xlfn.CONCAT("* REVIEW REQUIRED: compound-quote delimiter in Item Number on Sheet 1 row ",587,"; edit the input before running."),_xlfn.CONCAT("char ",TRIM($B587),"[doc_itemnum] ",CHAR(96),CHAR(34),SUBSTITUTE(SUBSTITUTE(SUBSTITUTE(SUBSTITUTE(SUBSTITUTE(SUBSTITUTE($D587,CHAR(13)," "),CHAR(10)," "),CHAR(9)," "),CHAR(92),_xlfn.CONCAT(CHAR(92),CHAR(92))),"$",_xlfn.CONCAT(CHAR(92),"$")),CHAR(96),_xlfn.CONCAT(CHAR(92),CHAR(96))),CHAR(34),CHAR(39))))</f>
        <v/>
      </c>
      <c r="O587" s="5" t="str">
        <f>IF(OR(TRIM($B587)="",$E587=""),"",IF(OR(ISNUMBER(SEARCH(_xlfn.CONCAT(CHAR(96),CHAR(34)),$E587)),ISNUMBER(SEARCH(_xlfn.CONCAT(CHAR(34),CHAR(39)),$E587))),_xlfn.CONCAT("* REVIEW REQUIRED: compound-quote delimiter in Question Wording on Sheet 1 row ",587,"; edit the input before running."),_xlfn.CONCAT("char ",TRIM($B587),"[doc_question] ",CHAR(96),CHAR(34),SUBSTITUTE(SUBSTITUTE(SUBSTITUTE(SUBSTITUTE(SUBSTITUTE(SUBSTITUTE($E587,CHAR(13)," "),CHAR(10)," "),CHAR(9)," "),CHAR(92),_xlfn.CONCAT(CHAR(92),CHAR(92))),"$",_xlfn.CONCAT(CHAR(92),"$")),CHAR(96),_xlfn.CONCAT(CHAR(92),CHAR(96))),CHAR(34),CHAR(39))))</f>
        <v/>
      </c>
      <c r="P587" s="5" t="str">
        <f>IF(OR(TRIM($B587)="",$F587=""),"",IF(OR(ISNUMBER(SEARCH(_xlfn.CONCAT(CHAR(96),CHAR(34)),$F587)),ISNUMBER(SEARCH(_xlfn.CONCAT(CHAR(34),CHAR(39)),$F587))),_xlfn.CONCAT("* REVIEW REQUIRED: compound-quote delimiter in Units on Sheet 1 row ",587,"; edit the input before running."),_xlfn.CONCAT("char ",TRIM($B587),"[doc_units] ",CHAR(96),CHAR(34),SUBSTITUTE(SUBSTITUTE(SUBSTITUTE(SUBSTITUTE(SUBSTITUTE(SUBSTITUTE($F587,CHAR(13)," "),CHAR(10)," "),CHAR(9)," "),CHAR(92),_xlfn.CONCAT(CHAR(92),CHAR(92))),"$",_xlfn.CONCAT(CHAR(92),"$")),CHAR(96),_xlfn.CONCAT(CHAR(92),CHAR(96))),CHAR(34),CHAR(39))))</f>
        <v/>
      </c>
      <c r="Q587" s="5" t="str">
        <f>IF(OR(TRIM($B587)="",$G587=""),"",IF(OR(ISNUMBER(SEARCH(_xlfn.CONCAT(CHAR(96),CHAR(34)),$G587)),ISNUMBER(SEARCH(_xlfn.CONCAT(CHAR(34),CHAR(39)),$G587))),_xlfn.CONCAT("* REVIEW REQUIRED: compound-quote delimiter in Universe on Sheet 1 row ",587,"; edit the input before running."),_xlfn.CONCAT("char ",TRIM($B587),"[doc_universe] ",CHAR(96),CHAR(34),SUBSTITUTE(SUBSTITUTE(SUBSTITUTE(SUBSTITUTE(SUBSTITUTE(SUBSTITUTE($G587,CHAR(13)," "),CHAR(10)," "),CHAR(9)," "),CHAR(92),_xlfn.CONCAT(CHAR(92),CHAR(92))),"$",_xlfn.CONCAT(CHAR(92),"$")),CHAR(96),_xlfn.CONCAT(CHAR(92),CHAR(96))),CHAR(34),CHAR(39))))</f>
        <v/>
      </c>
      <c r="R587" s="5" t="str">
        <f>IF(OR(TRIM($B587)="",$H587=""),"",IF(OR(ISNUMBER(SEARCH(_xlfn.CONCAT(CHAR(96),CHAR(34)),$H587)),ISNUMBER(SEARCH(_xlfn.CONCAT(CHAR(34),CHAR(39)),$H587))),_xlfn.CONCAT("* REVIEW REQUIRED: compound-quote delimiter in Source on Sheet 1 row ",587,"; edit the input before running."),_xlfn.CONCAT("char ",TRIM($B587),"[doc_source] ",CHAR(96),CHAR(34),SUBSTITUTE(SUBSTITUTE(SUBSTITUTE(SUBSTITUTE(SUBSTITUTE(SUBSTITUTE($H587,CHAR(13)," "),CHAR(10)," "),CHAR(9)," "),CHAR(92),_xlfn.CONCAT(CHAR(92),CHAR(92))),"$",_xlfn.CONCAT(CHAR(92),"$")),CHAR(96),_xlfn.CONCAT(CHAR(92),CHAR(96))),CHAR(34),CHAR(39))))</f>
        <v/>
      </c>
      <c r="S587" s="5" t="str">
        <f>IF(OR(TRIM($B587)="",$I587=""),"",IF(OR(ISNUMBER(SEARCH(_xlfn.CONCAT(CHAR(96),CHAR(34)),$I587)),ISNUMBER(SEARCH(_xlfn.CONCAT(CHAR(34),CHAR(39)),$I587))),_xlfn.CONCAT("* REVIEW REQUIRED: compound-quote delimiter in Derivation on Sheet 1 row ",587,"; edit the input before running."),_xlfn.CONCAT("char ",TRIM($B587),"[doc_derivation] ",CHAR(96),CHAR(34),SUBSTITUTE(SUBSTITUTE(SUBSTITUTE(SUBSTITUTE(SUBSTITUTE(SUBSTITUTE($I587,CHAR(13)," "),CHAR(10)," "),CHAR(9)," "),CHAR(92),_xlfn.CONCAT(CHAR(92),CHAR(92))),"$",_xlfn.CONCAT(CHAR(92),"$")),CHAR(96),_xlfn.CONCAT(CHAR(92),CHAR(96))),CHAR(34),CHAR(39))))</f>
        <v/>
      </c>
      <c r="T587" s="5" t="str">
        <f>IF(OR(TRIM($B587)="",$J587=""),"",IF(OR(ISNUMBER(SEARCH(_xlfn.CONCAT(CHAR(96),CHAR(34)),$J587)),ISNUMBER(SEARCH(_xlfn.CONCAT(CHAR(34),CHAR(39)),$J587))),_xlfn.CONCAT("* REVIEW REQUIRED: compound-quote delimiter in Notes on Sheet 1 row ",587,"; edit the input before running."),_xlfn.CONCAT("char ",TRIM($B587),"[doc_notes] ",CHAR(96),CHAR(34),SUBSTITUTE(SUBSTITUTE(SUBSTITUTE(SUBSTITUTE(SUBSTITUTE(SUBSTITUTE($J587,CHAR(13)," "),CHAR(10)," "),CHAR(9)," "),CHAR(92),_xlfn.CONCAT(CHAR(92),CHAR(92))),"$",_xlfn.CONCAT(CHAR(92),"$")),CHAR(96),_xlfn.CONCAT(CHAR(92),CHAR(96))),CHAR(34),CHAR(39))))</f>
        <v/>
      </c>
      <c r="U587" s="5">
        <f t="shared" si="17"/>
        <v>0</v>
      </c>
    </row>
    <row r="588" spans="3:21" ht="30" customHeight="1" x14ac:dyDescent="0.2">
      <c r="C588" s="4"/>
      <c r="K588" s="5">
        <f t="shared" si="16"/>
        <v>0</v>
      </c>
      <c r="L588" s="5" t="str">
        <f>IF(OR(TRIM($B588)="",$A588=""),"",IF(OR(ISNUMBER(SEARCH(_xlfn.CONCAT(CHAR(96),CHAR(34)),$A588)),ISNUMBER(SEARCH(_xlfn.CONCAT(CHAR(34),CHAR(39)),$A588))),_xlfn.CONCAT("* REVIEW REQUIRED: compound-quote delimiter in Codebook Section on Sheet 1 row ",588,"; edit the input before running."),_xlfn.CONCAT("char ",TRIM($B588),"[doc_section] ",CHAR(96),CHAR(34),SUBSTITUTE(SUBSTITUTE(SUBSTITUTE(SUBSTITUTE(SUBSTITUTE(SUBSTITUTE($A588,CHAR(13)," "),CHAR(10)," "),CHAR(9)," "),CHAR(92),_xlfn.CONCAT(CHAR(92),CHAR(92))),"$",_xlfn.CONCAT(CHAR(92),"$")),CHAR(96),_xlfn.CONCAT(CHAR(92),CHAR(96))),CHAR(34),CHAR(39))))</f>
        <v/>
      </c>
      <c r="M588" s="5" t="str">
        <f>IF(OR(TRIM($B588)="",$C588=""),"",IF(IFERROR(MATCH(TRIM($C588),{"Quantitative","Continuous","Discrete","Categorical","Nominal","Ordinal","Identifier"},0),0)=0,_xlfn.CONCAT("* REVIEW REQUIRED: invalid Variable Type on Sheet 1 row ",588,"."),_xlfn.CONCAT("char ",TRIM($B588),"[doc_vartype] ",CHAR(96),CHAR(34),SUBSTITUTE(SUBSTITUTE(SUBSTITUTE(SUBSTITUTE(SUBSTITUTE(SUBSTITUTE(LOWER(TRIM($C588)),CHAR(13)," "),CHAR(10)," "),CHAR(9)," "),CHAR(92),_xlfn.CONCAT(CHAR(92),CHAR(92))),"$",_xlfn.CONCAT(CHAR(92),"$")),CHAR(96),_xlfn.CONCAT(CHAR(92),CHAR(96))),CHAR(34),CHAR(39))))</f>
        <v/>
      </c>
      <c r="N588" s="5" t="str">
        <f>IF(OR(TRIM($B588)="",$D588=""),"",IF(OR(ISNUMBER(SEARCH(_xlfn.CONCAT(CHAR(96),CHAR(34)),$D588)),ISNUMBER(SEARCH(_xlfn.CONCAT(CHAR(34),CHAR(39)),$D588))),_xlfn.CONCAT("* REVIEW REQUIRED: compound-quote delimiter in Item Number on Sheet 1 row ",588,"; edit the input before running."),_xlfn.CONCAT("char ",TRIM($B588),"[doc_itemnum] ",CHAR(96),CHAR(34),SUBSTITUTE(SUBSTITUTE(SUBSTITUTE(SUBSTITUTE(SUBSTITUTE(SUBSTITUTE($D588,CHAR(13)," "),CHAR(10)," "),CHAR(9)," "),CHAR(92),_xlfn.CONCAT(CHAR(92),CHAR(92))),"$",_xlfn.CONCAT(CHAR(92),"$")),CHAR(96),_xlfn.CONCAT(CHAR(92),CHAR(96))),CHAR(34),CHAR(39))))</f>
        <v/>
      </c>
      <c r="O588" s="5" t="str">
        <f>IF(OR(TRIM($B588)="",$E588=""),"",IF(OR(ISNUMBER(SEARCH(_xlfn.CONCAT(CHAR(96),CHAR(34)),$E588)),ISNUMBER(SEARCH(_xlfn.CONCAT(CHAR(34),CHAR(39)),$E588))),_xlfn.CONCAT("* REVIEW REQUIRED: compound-quote delimiter in Question Wording on Sheet 1 row ",588,"; edit the input before running."),_xlfn.CONCAT("char ",TRIM($B588),"[doc_question] ",CHAR(96),CHAR(34),SUBSTITUTE(SUBSTITUTE(SUBSTITUTE(SUBSTITUTE(SUBSTITUTE(SUBSTITUTE($E588,CHAR(13)," "),CHAR(10)," "),CHAR(9)," "),CHAR(92),_xlfn.CONCAT(CHAR(92),CHAR(92))),"$",_xlfn.CONCAT(CHAR(92),"$")),CHAR(96),_xlfn.CONCAT(CHAR(92),CHAR(96))),CHAR(34),CHAR(39))))</f>
        <v/>
      </c>
      <c r="P588" s="5" t="str">
        <f>IF(OR(TRIM($B588)="",$F588=""),"",IF(OR(ISNUMBER(SEARCH(_xlfn.CONCAT(CHAR(96),CHAR(34)),$F588)),ISNUMBER(SEARCH(_xlfn.CONCAT(CHAR(34),CHAR(39)),$F588))),_xlfn.CONCAT("* REVIEW REQUIRED: compound-quote delimiter in Units on Sheet 1 row ",588,"; edit the input before running."),_xlfn.CONCAT("char ",TRIM($B588),"[doc_units] ",CHAR(96),CHAR(34),SUBSTITUTE(SUBSTITUTE(SUBSTITUTE(SUBSTITUTE(SUBSTITUTE(SUBSTITUTE($F588,CHAR(13)," "),CHAR(10)," "),CHAR(9)," "),CHAR(92),_xlfn.CONCAT(CHAR(92),CHAR(92))),"$",_xlfn.CONCAT(CHAR(92),"$")),CHAR(96),_xlfn.CONCAT(CHAR(92),CHAR(96))),CHAR(34),CHAR(39))))</f>
        <v/>
      </c>
      <c r="Q588" s="5" t="str">
        <f>IF(OR(TRIM($B588)="",$G588=""),"",IF(OR(ISNUMBER(SEARCH(_xlfn.CONCAT(CHAR(96),CHAR(34)),$G588)),ISNUMBER(SEARCH(_xlfn.CONCAT(CHAR(34),CHAR(39)),$G588))),_xlfn.CONCAT("* REVIEW REQUIRED: compound-quote delimiter in Universe on Sheet 1 row ",588,"; edit the input before running."),_xlfn.CONCAT("char ",TRIM($B588),"[doc_universe] ",CHAR(96),CHAR(34),SUBSTITUTE(SUBSTITUTE(SUBSTITUTE(SUBSTITUTE(SUBSTITUTE(SUBSTITUTE($G588,CHAR(13)," "),CHAR(10)," "),CHAR(9)," "),CHAR(92),_xlfn.CONCAT(CHAR(92),CHAR(92))),"$",_xlfn.CONCAT(CHAR(92),"$")),CHAR(96),_xlfn.CONCAT(CHAR(92),CHAR(96))),CHAR(34),CHAR(39))))</f>
        <v/>
      </c>
      <c r="R588" s="5" t="str">
        <f>IF(OR(TRIM($B588)="",$H588=""),"",IF(OR(ISNUMBER(SEARCH(_xlfn.CONCAT(CHAR(96),CHAR(34)),$H588)),ISNUMBER(SEARCH(_xlfn.CONCAT(CHAR(34),CHAR(39)),$H588))),_xlfn.CONCAT("* REVIEW REQUIRED: compound-quote delimiter in Source on Sheet 1 row ",588,"; edit the input before running."),_xlfn.CONCAT("char ",TRIM($B588),"[doc_source] ",CHAR(96),CHAR(34),SUBSTITUTE(SUBSTITUTE(SUBSTITUTE(SUBSTITUTE(SUBSTITUTE(SUBSTITUTE($H588,CHAR(13)," "),CHAR(10)," "),CHAR(9)," "),CHAR(92),_xlfn.CONCAT(CHAR(92),CHAR(92))),"$",_xlfn.CONCAT(CHAR(92),"$")),CHAR(96),_xlfn.CONCAT(CHAR(92),CHAR(96))),CHAR(34),CHAR(39))))</f>
        <v/>
      </c>
      <c r="S588" s="5" t="str">
        <f>IF(OR(TRIM($B588)="",$I588=""),"",IF(OR(ISNUMBER(SEARCH(_xlfn.CONCAT(CHAR(96),CHAR(34)),$I588)),ISNUMBER(SEARCH(_xlfn.CONCAT(CHAR(34),CHAR(39)),$I588))),_xlfn.CONCAT("* REVIEW REQUIRED: compound-quote delimiter in Derivation on Sheet 1 row ",588,"; edit the input before running."),_xlfn.CONCAT("char ",TRIM($B588),"[doc_derivation] ",CHAR(96),CHAR(34),SUBSTITUTE(SUBSTITUTE(SUBSTITUTE(SUBSTITUTE(SUBSTITUTE(SUBSTITUTE($I588,CHAR(13)," "),CHAR(10)," "),CHAR(9)," "),CHAR(92),_xlfn.CONCAT(CHAR(92),CHAR(92))),"$",_xlfn.CONCAT(CHAR(92),"$")),CHAR(96),_xlfn.CONCAT(CHAR(92),CHAR(96))),CHAR(34),CHAR(39))))</f>
        <v/>
      </c>
      <c r="T588" s="5" t="str">
        <f>IF(OR(TRIM($B588)="",$J588=""),"",IF(OR(ISNUMBER(SEARCH(_xlfn.CONCAT(CHAR(96),CHAR(34)),$J588)),ISNUMBER(SEARCH(_xlfn.CONCAT(CHAR(34),CHAR(39)),$J588))),_xlfn.CONCAT("* REVIEW REQUIRED: compound-quote delimiter in Notes on Sheet 1 row ",588,"; edit the input before running."),_xlfn.CONCAT("char ",TRIM($B588),"[doc_notes] ",CHAR(96),CHAR(34),SUBSTITUTE(SUBSTITUTE(SUBSTITUTE(SUBSTITUTE(SUBSTITUTE(SUBSTITUTE($J588,CHAR(13)," "),CHAR(10)," "),CHAR(9)," "),CHAR(92),_xlfn.CONCAT(CHAR(92),CHAR(92))),"$",_xlfn.CONCAT(CHAR(92),"$")),CHAR(96),_xlfn.CONCAT(CHAR(92),CHAR(96))),CHAR(34),CHAR(39))))</f>
        <v/>
      </c>
      <c r="U588" s="5">
        <f t="shared" si="17"/>
        <v>0</v>
      </c>
    </row>
    <row r="589" spans="3:21" ht="30" customHeight="1" x14ac:dyDescent="0.2">
      <c r="C589" s="4"/>
      <c r="K589" s="5">
        <f t="shared" si="16"/>
        <v>0</v>
      </c>
      <c r="L589" s="5" t="str">
        <f>IF(OR(TRIM($B589)="",$A589=""),"",IF(OR(ISNUMBER(SEARCH(_xlfn.CONCAT(CHAR(96),CHAR(34)),$A589)),ISNUMBER(SEARCH(_xlfn.CONCAT(CHAR(34),CHAR(39)),$A589))),_xlfn.CONCAT("* REVIEW REQUIRED: compound-quote delimiter in Codebook Section on Sheet 1 row ",589,"; edit the input before running."),_xlfn.CONCAT("char ",TRIM($B589),"[doc_section] ",CHAR(96),CHAR(34),SUBSTITUTE(SUBSTITUTE(SUBSTITUTE(SUBSTITUTE(SUBSTITUTE(SUBSTITUTE($A589,CHAR(13)," "),CHAR(10)," "),CHAR(9)," "),CHAR(92),_xlfn.CONCAT(CHAR(92),CHAR(92))),"$",_xlfn.CONCAT(CHAR(92),"$")),CHAR(96),_xlfn.CONCAT(CHAR(92),CHAR(96))),CHAR(34),CHAR(39))))</f>
        <v/>
      </c>
      <c r="M589" s="5" t="str">
        <f>IF(OR(TRIM($B589)="",$C589=""),"",IF(IFERROR(MATCH(TRIM($C589),{"Quantitative","Continuous","Discrete","Categorical","Nominal","Ordinal","Identifier"},0),0)=0,_xlfn.CONCAT("* REVIEW REQUIRED: invalid Variable Type on Sheet 1 row ",589,"."),_xlfn.CONCAT("char ",TRIM($B589),"[doc_vartype] ",CHAR(96),CHAR(34),SUBSTITUTE(SUBSTITUTE(SUBSTITUTE(SUBSTITUTE(SUBSTITUTE(SUBSTITUTE(LOWER(TRIM($C589)),CHAR(13)," "),CHAR(10)," "),CHAR(9)," "),CHAR(92),_xlfn.CONCAT(CHAR(92),CHAR(92))),"$",_xlfn.CONCAT(CHAR(92),"$")),CHAR(96),_xlfn.CONCAT(CHAR(92),CHAR(96))),CHAR(34),CHAR(39))))</f>
        <v/>
      </c>
      <c r="N589" s="5" t="str">
        <f>IF(OR(TRIM($B589)="",$D589=""),"",IF(OR(ISNUMBER(SEARCH(_xlfn.CONCAT(CHAR(96),CHAR(34)),$D589)),ISNUMBER(SEARCH(_xlfn.CONCAT(CHAR(34),CHAR(39)),$D589))),_xlfn.CONCAT("* REVIEW REQUIRED: compound-quote delimiter in Item Number on Sheet 1 row ",589,"; edit the input before running."),_xlfn.CONCAT("char ",TRIM($B589),"[doc_itemnum] ",CHAR(96),CHAR(34),SUBSTITUTE(SUBSTITUTE(SUBSTITUTE(SUBSTITUTE(SUBSTITUTE(SUBSTITUTE($D589,CHAR(13)," "),CHAR(10)," "),CHAR(9)," "),CHAR(92),_xlfn.CONCAT(CHAR(92),CHAR(92))),"$",_xlfn.CONCAT(CHAR(92),"$")),CHAR(96),_xlfn.CONCAT(CHAR(92),CHAR(96))),CHAR(34),CHAR(39))))</f>
        <v/>
      </c>
      <c r="O589" s="5" t="str">
        <f>IF(OR(TRIM($B589)="",$E589=""),"",IF(OR(ISNUMBER(SEARCH(_xlfn.CONCAT(CHAR(96),CHAR(34)),$E589)),ISNUMBER(SEARCH(_xlfn.CONCAT(CHAR(34),CHAR(39)),$E589))),_xlfn.CONCAT("* REVIEW REQUIRED: compound-quote delimiter in Question Wording on Sheet 1 row ",589,"; edit the input before running."),_xlfn.CONCAT("char ",TRIM($B589),"[doc_question] ",CHAR(96),CHAR(34),SUBSTITUTE(SUBSTITUTE(SUBSTITUTE(SUBSTITUTE(SUBSTITUTE(SUBSTITUTE($E589,CHAR(13)," "),CHAR(10)," "),CHAR(9)," "),CHAR(92),_xlfn.CONCAT(CHAR(92),CHAR(92))),"$",_xlfn.CONCAT(CHAR(92),"$")),CHAR(96),_xlfn.CONCAT(CHAR(92),CHAR(96))),CHAR(34),CHAR(39))))</f>
        <v/>
      </c>
      <c r="P589" s="5" t="str">
        <f>IF(OR(TRIM($B589)="",$F589=""),"",IF(OR(ISNUMBER(SEARCH(_xlfn.CONCAT(CHAR(96),CHAR(34)),$F589)),ISNUMBER(SEARCH(_xlfn.CONCAT(CHAR(34),CHAR(39)),$F589))),_xlfn.CONCAT("* REVIEW REQUIRED: compound-quote delimiter in Units on Sheet 1 row ",589,"; edit the input before running."),_xlfn.CONCAT("char ",TRIM($B589),"[doc_units] ",CHAR(96),CHAR(34),SUBSTITUTE(SUBSTITUTE(SUBSTITUTE(SUBSTITUTE(SUBSTITUTE(SUBSTITUTE($F589,CHAR(13)," "),CHAR(10)," "),CHAR(9)," "),CHAR(92),_xlfn.CONCAT(CHAR(92),CHAR(92))),"$",_xlfn.CONCAT(CHAR(92),"$")),CHAR(96),_xlfn.CONCAT(CHAR(92),CHAR(96))),CHAR(34),CHAR(39))))</f>
        <v/>
      </c>
      <c r="Q589" s="5" t="str">
        <f>IF(OR(TRIM($B589)="",$G589=""),"",IF(OR(ISNUMBER(SEARCH(_xlfn.CONCAT(CHAR(96),CHAR(34)),$G589)),ISNUMBER(SEARCH(_xlfn.CONCAT(CHAR(34),CHAR(39)),$G589))),_xlfn.CONCAT("* REVIEW REQUIRED: compound-quote delimiter in Universe on Sheet 1 row ",589,"; edit the input before running."),_xlfn.CONCAT("char ",TRIM($B589),"[doc_universe] ",CHAR(96),CHAR(34),SUBSTITUTE(SUBSTITUTE(SUBSTITUTE(SUBSTITUTE(SUBSTITUTE(SUBSTITUTE($G589,CHAR(13)," "),CHAR(10)," "),CHAR(9)," "),CHAR(92),_xlfn.CONCAT(CHAR(92),CHAR(92))),"$",_xlfn.CONCAT(CHAR(92),"$")),CHAR(96),_xlfn.CONCAT(CHAR(92),CHAR(96))),CHAR(34),CHAR(39))))</f>
        <v/>
      </c>
      <c r="R589" s="5" t="str">
        <f>IF(OR(TRIM($B589)="",$H589=""),"",IF(OR(ISNUMBER(SEARCH(_xlfn.CONCAT(CHAR(96),CHAR(34)),$H589)),ISNUMBER(SEARCH(_xlfn.CONCAT(CHAR(34),CHAR(39)),$H589))),_xlfn.CONCAT("* REVIEW REQUIRED: compound-quote delimiter in Source on Sheet 1 row ",589,"; edit the input before running."),_xlfn.CONCAT("char ",TRIM($B589),"[doc_source] ",CHAR(96),CHAR(34),SUBSTITUTE(SUBSTITUTE(SUBSTITUTE(SUBSTITUTE(SUBSTITUTE(SUBSTITUTE($H589,CHAR(13)," "),CHAR(10)," "),CHAR(9)," "),CHAR(92),_xlfn.CONCAT(CHAR(92),CHAR(92))),"$",_xlfn.CONCAT(CHAR(92),"$")),CHAR(96),_xlfn.CONCAT(CHAR(92),CHAR(96))),CHAR(34),CHAR(39))))</f>
        <v/>
      </c>
      <c r="S589" s="5" t="str">
        <f>IF(OR(TRIM($B589)="",$I589=""),"",IF(OR(ISNUMBER(SEARCH(_xlfn.CONCAT(CHAR(96),CHAR(34)),$I589)),ISNUMBER(SEARCH(_xlfn.CONCAT(CHAR(34),CHAR(39)),$I589))),_xlfn.CONCAT("* REVIEW REQUIRED: compound-quote delimiter in Derivation on Sheet 1 row ",589,"; edit the input before running."),_xlfn.CONCAT("char ",TRIM($B589),"[doc_derivation] ",CHAR(96),CHAR(34),SUBSTITUTE(SUBSTITUTE(SUBSTITUTE(SUBSTITUTE(SUBSTITUTE(SUBSTITUTE($I589,CHAR(13)," "),CHAR(10)," "),CHAR(9)," "),CHAR(92),_xlfn.CONCAT(CHAR(92),CHAR(92))),"$",_xlfn.CONCAT(CHAR(92),"$")),CHAR(96),_xlfn.CONCAT(CHAR(92),CHAR(96))),CHAR(34),CHAR(39))))</f>
        <v/>
      </c>
      <c r="T589" s="5" t="str">
        <f>IF(OR(TRIM($B589)="",$J589=""),"",IF(OR(ISNUMBER(SEARCH(_xlfn.CONCAT(CHAR(96),CHAR(34)),$J589)),ISNUMBER(SEARCH(_xlfn.CONCAT(CHAR(34),CHAR(39)),$J589))),_xlfn.CONCAT("* REVIEW REQUIRED: compound-quote delimiter in Notes on Sheet 1 row ",589,"; edit the input before running."),_xlfn.CONCAT("char ",TRIM($B589),"[doc_notes] ",CHAR(96),CHAR(34),SUBSTITUTE(SUBSTITUTE(SUBSTITUTE(SUBSTITUTE(SUBSTITUTE(SUBSTITUTE($J589,CHAR(13)," "),CHAR(10)," "),CHAR(9)," "),CHAR(92),_xlfn.CONCAT(CHAR(92),CHAR(92))),"$",_xlfn.CONCAT(CHAR(92),"$")),CHAR(96),_xlfn.CONCAT(CHAR(92),CHAR(96))),CHAR(34),CHAR(39))))</f>
        <v/>
      </c>
      <c r="U589" s="5">
        <f t="shared" si="17"/>
        <v>0</v>
      </c>
    </row>
    <row r="590" spans="3:21" ht="30" customHeight="1" x14ac:dyDescent="0.2">
      <c r="C590" s="4"/>
      <c r="K590" s="5">
        <f t="shared" si="16"/>
        <v>0</v>
      </c>
      <c r="L590" s="5" t="str">
        <f>IF(OR(TRIM($B590)="",$A590=""),"",IF(OR(ISNUMBER(SEARCH(_xlfn.CONCAT(CHAR(96),CHAR(34)),$A590)),ISNUMBER(SEARCH(_xlfn.CONCAT(CHAR(34),CHAR(39)),$A590))),_xlfn.CONCAT("* REVIEW REQUIRED: compound-quote delimiter in Codebook Section on Sheet 1 row ",590,"; edit the input before running."),_xlfn.CONCAT("char ",TRIM($B590),"[doc_section] ",CHAR(96),CHAR(34),SUBSTITUTE(SUBSTITUTE(SUBSTITUTE(SUBSTITUTE(SUBSTITUTE(SUBSTITUTE($A590,CHAR(13)," "),CHAR(10)," "),CHAR(9)," "),CHAR(92),_xlfn.CONCAT(CHAR(92),CHAR(92))),"$",_xlfn.CONCAT(CHAR(92),"$")),CHAR(96),_xlfn.CONCAT(CHAR(92),CHAR(96))),CHAR(34),CHAR(39))))</f>
        <v/>
      </c>
      <c r="M590" s="5" t="str">
        <f>IF(OR(TRIM($B590)="",$C590=""),"",IF(IFERROR(MATCH(TRIM($C590),{"Quantitative","Continuous","Discrete","Categorical","Nominal","Ordinal","Identifier"},0),0)=0,_xlfn.CONCAT("* REVIEW REQUIRED: invalid Variable Type on Sheet 1 row ",590,"."),_xlfn.CONCAT("char ",TRIM($B590),"[doc_vartype] ",CHAR(96),CHAR(34),SUBSTITUTE(SUBSTITUTE(SUBSTITUTE(SUBSTITUTE(SUBSTITUTE(SUBSTITUTE(LOWER(TRIM($C590)),CHAR(13)," "),CHAR(10)," "),CHAR(9)," "),CHAR(92),_xlfn.CONCAT(CHAR(92),CHAR(92))),"$",_xlfn.CONCAT(CHAR(92),"$")),CHAR(96),_xlfn.CONCAT(CHAR(92),CHAR(96))),CHAR(34),CHAR(39))))</f>
        <v/>
      </c>
      <c r="N590" s="5" t="str">
        <f>IF(OR(TRIM($B590)="",$D590=""),"",IF(OR(ISNUMBER(SEARCH(_xlfn.CONCAT(CHAR(96),CHAR(34)),$D590)),ISNUMBER(SEARCH(_xlfn.CONCAT(CHAR(34),CHAR(39)),$D590))),_xlfn.CONCAT("* REVIEW REQUIRED: compound-quote delimiter in Item Number on Sheet 1 row ",590,"; edit the input before running."),_xlfn.CONCAT("char ",TRIM($B590),"[doc_itemnum] ",CHAR(96),CHAR(34),SUBSTITUTE(SUBSTITUTE(SUBSTITUTE(SUBSTITUTE(SUBSTITUTE(SUBSTITUTE($D590,CHAR(13)," "),CHAR(10)," "),CHAR(9)," "),CHAR(92),_xlfn.CONCAT(CHAR(92),CHAR(92))),"$",_xlfn.CONCAT(CHAR(92),"$")),CHAR(96),_xlfn.CONCAT(CHAR(92),CHAR(96))),CHAR(34),CHAR(39))))</f>
        <v/>
      </c>
      <c r="O590" s="5" t="str">
        <f>IF(OR(TRIM($B590)="",$E590=""),"",IF(OR(ISNUMBER(SEARCH(_xlfn.CONCAT(CHAR(96),CHAR(34)),$E590)),ISNUMBER(SEARCH(_xlfn.CONCAT(CHAR(34),CHAR(39)),$E590))),_xlfn.CONCAT("* REVIEW REQUIRED: compound-quote delimiter in Question Wording on Sheet 1 row ",590,"; edit the input before running."),_xlfn.CONCAT("char ",TRIM($B590),"[doc_question] ",CHAR(96),CHAR(34),SUBSTITUTE(SUBSTITUTE(SUBSTITUTE(SUBSTITUTE(SUBSTITUTE(SUBSTITUTE($E590,CHAR(13)," "),CHAR(10)," "),CHAR(9)," "),CHAR(92),_xlfn.CONCAT(CHAR(92),CHAR(92))),"$",_xlfn.CONCAT(CHAR(92),"$")),CHAR(96),_xlfn.CONCAT(CHAR(92),CHAR(96))),CHAR(34),CHAR(39))))</f>
        <v/>
      </c>
      <c r="P590" s="5" t="str">
        <f>IF(OR(TRIM($B590)="",$F590=""),"",IF(OR(ISNUMBER(SEARCH(_xlfn.CONCAT(CHAR(96),CHAR(34)),$F590)),ISNUMBER(SEARCH(_xlfn.CONCAT(CHAR(34),CHAR(39)),$F590))),_xlfn.CONCAT("* REVIEW REQUIRED: compound-quote delimiter in Units on Sheet 1 row ",590,"; edit the input before running."),_xlfn.CONCAT("char ",TRIM($B590),"[doc_units] ",CHAR(96),CHAR(34),SUBSTITUTE(SUBSTITUTE(SUBSTITUTE(SUBSTITUTE(SUBSTITUTE(SUBSTITUTE($F590,CHAR(13)," "),CHAR(10)," "),CHAR(9)," "),CHAR(92),_xlfn.CONCAT(CHAR(92),CHAR(92))),"$",_xlfn.CONCAT(CHAR(92),"$")),CHAR(96),_xlfn.CONCAT(CHAR(92),CHAR(96))),CHAR(34),CHAR(39))))</f>
        <v/>
      </c>
      <c r="Q590" s="5" t="str">
        <f>IF(OR(TRIM($B590)="",$G590=""),"",IF(OR(ISNUMBER(SEARCH(_xlfn.CONCAT(CHAR(96),CHAR(34)),$G590)),ISNUMBER(SEARCH(_xlfn.CONCAT(CHAR(34),CHAR(39)),$G590))),_xlfn.CONCAT("* REVIEW REQUIRED: compound-quote delimiter in Universe on Sheet 1 row ",590,"; edit the input before running."),_xlfn.CONCAT("char ",TRIM($B590),"[doc_universe] ",CHAR(96),CHAR(34),SUBSTITUTE(SUBSTITUTE(SUBSTITUTE(SUBSTITUTE(SUBSTITUTE(SUBSTITUTE($G590,CHAR(13)," "),CHAR(10)," "),CHAR(9)," "),CHAR(92),_xlfn.CONCAT(CHAR(92),CHAR(92))),"$",_xlfn.CONCAT(CHAR(92),"$")),CHAR(96),_xlfn.CONCAT(CHAR(92),CHAR(96))),CHAR(34),CHAR(39))))</f>
        <v/>
      </c>
      <c r="R590" s="5" t="str">
        <f>IF(OR(TRIM($B590)="",$H590=""),"",IF(OR(ISNUMBER(SEARCH(_xlfn.CONCAT(CHAR(96),CHAR(34)),$H590)),ISNUMBER(SEARCH(_xlfn.CONCAT(CHAR(34),CHAR(39)),$H590))),_xlfn.CONCAT("* REVIEW REQUIRED: compound-quote delimiter in Source on Sheet 1 row ",590,"; edit the input before running."),_xlfn.CONCAT("char ",TRIM($B590),"[doc_source] ",CHAR(96),CHAR(34),SUBSTITUTE(SUBSTITUTE(SUBSTITUTE(SUBSTITUTE(SUBSTITUTE(SUBSTITUTE($H590,CHAR(13)," "),CHAR(10)," "),CHAR(9)," "),CHAR(92),_xlfn.CONCAT(CHAR(92),CHAR(92))),"$",_xlfn.CONCAT(CHAR(92),"$")),CHAR(96),_xlfn.CONCAT(CHAR(92),CHAR(96))),CHAR(34),CHAR(39))))</f>
        <v/>
      </c>
      <c r="S590" s="5" t="str">
        <f>IF(OR(TRIM($B590)="",$I590=""),"",IF(OR(ISNUMBER(SEARCH(_xlfn.CONCAT(CHAR(96),CHAR(34)),$I590)),ISNUMBER(SEARCH(_xlfn.CONCAT(CHAR(34),CHAR(39)),$I590))),_xlfn.CONCAT("* REVIEW REQUIRED: compound-quote delimiter in Derivation on Sheet 1 row ",590,"; edit the input before running."),_xlfn.CONCAT("char ",TRIM($B590),"[doc_derivation] ",CHAR(96),CHAR(34),SUBSTITUTE(SUBSTITUTE(SUBSTITUTE(SUBSTITUTE(SUBSTITUTE(SUBSTITUTE($I590,CHAR(13)," "),CHAR(10)," "),CHAR(9)," "),CHAR(92),_xlfn.CONCAT(CHAR(92),CHAR(92))),"$",_xlfn.CONCAT(CHAR(92),"$")),CHAR(96),_xlfn.CONCAT(CHAR(92),CHAR(96))),CHAR(34),CHAR(39))))</f>
        <v/>
      </c>
      <c r="T590" s="5" t="str">
        <f>IF(OR(TRIM($B590)="",$J590=""),"",IF(OR(ISNUMBER(SEARCH(_xlfn.CONCAT(CHAR(96),CHAR(34)),$J590)),ISNUMBER(SEARCH(_xlfn.CONCAT(CHAR(34),CHAR(39)),$J590))),_xlfn.CONCAT("* REVIEW REQUIRED: compound-quote delimiter in Notes on Sheet 1 row ",590,"; edit the input before running."),_xlfn.CONCAT("char ",TRIM($B590),"[doc_notes] ",CHAR(96),CHAR(34),SUBSTITUTE(SUBSTITUTE(SUBSTITUTE(SUBSTITUTE(SUBSTITUTE(SUBSTITUTE($J590,CHAR(13)," "),CHAR(10)," "),CHAR(9)," "),CHAR(92),_xlfn.CONCAT(CHAR(92),CHAR(92))),"$",_xlfn.CONCAT(CHAR(92),"$")),CHAR(96),_xlfn.CONCAT(CHAR(92),CHAR(96))),CHAR(34),CHAR(39))))</f>
        <v/>
      </c>
      <c r="U590" s="5">
        <f t="shared" si="17"/>
        <v>0</v>
      </c>
    </row>
    <row r="591" spans="3:21" ht="30" customHeight="1" x14ac:dyDescent="0.2">
      <c r="C591" s="4"/>
      <c r="K591" s="5">
        <f t="shared" si="16"/>
        <v>0</v>
      </c>
      <c r="L591" s="5" t="str">
        <f>IF(OR(TRIM($B591)="",$A591=""),"",IF(OR(ISNUMBER(SEARCH(_xlfn.CONCAT(CHAR(96),CHAR(34)),$A591)),ISNUMBER(SEARCH(_xlfn.CONCAT(CHAR(34),CHAR(39)),$A591))),_xlfn.CONCAT("* REVIEW REQUIRED: compound-quote delimiter in Codebook Section on Sheet 1 row ",591,"; edit the input before running."),_xlfn.CONCAT("char ",TRIM($B591),"[doc_section] ",CHAR(96),CHAR(34),SUBSTITUTE(SUBSTITUTE(SUBSTITUTE(SUBSTITUTE(SUBSTITUTE(SUBSTITUTE($A591,CHAR(13)," "),CHAR(10)," "),CHAR(9)," "),CHAR(92),_xlfn.CONCAT(CHAR(92),CHAR(92))),"$",_xlfn.CONCAT(CHAR(92),"$")),CHAR(96),_xlfn.CONCAT(CHAR(92),CHAR(96))),CHAR(34),CHAR(39))))</f>
        <v/>
      </c>
      <c r="M591" s="5" t="str">
        <f>IF(OR(TRIM($B591)="",$C591=""),"",IF(IFERROR(MATCH(TRIM($C591),{"Quantitative","Continuous","Discrete","Categorical","Nominal","Ordinal","Identifier"},0),0)=0,_xlfn.CONCAT("* REVIEW REQUIRED: invalid Variable Type on Sheet 1 row ",591,"."),_xlfn.CONCAT("char ",TRIM($B591),"[doc_vartype] ",CHAR(96),CHAR(34),SUBSTITUTE(SUBSTITUTE(SUBSTITUTE(SUBSTITUTE(SUBSTITUTE(SUBSTITUTE(LOWER(TRIM($C591)),CHAR(13)," "),CHAR(10)," "),CHAR(9)," "),CHAR(92),_xlfn.CONCAT(CHAR(92),CHAR(92))),"$",_xlfn.CONCAT(CHAR(92),"$")),CHAR(96),_xlfn.CONCAT(CHAR(92),CHAR(96))),CHAR(34),CHAR(39))))</f>
        <v/>
      </c>
      <c r="N591" s="5" t="str">
        <f>IF(OR(TRIM($B591)="",$D591=""),"",IF(OR(ISNUMBER(SEARCH(_xlfn.CONCAT(CHAR(96),CHAR(34)),$D591)),ISNUMBER(SEARCH(_xlfn.CONCAT(CHAR(34),CHAR(39)),$D591))),_xlfn.CONCAT("* REVIEW REQUIRED: compound-quote delimiter in Item Number on Sheet 1 row ",591,"; edit the input before running."),_xlfn.CONCAT("char ",TRIM($B591),"[doc_itemnum] ",CHAR(96),CHAR(34),SUBSTITUTE(SUBSTITUTE(SUBSTITUTE(SUBSTITUTE(SUBSTITUTE(SUBSTITUTE($D591,CHAR(13)," "),CHAR(10)," "),CHAR(9)," "),CHAR(92),_xlfn.CONCAT(CHAR(92),CHAR(92))),"$",_xlfn.CONCAT(CHAR(92),"$")),CHAR(96),_xlfn.CONCAT(CHAR(92),CHAR(96))),CHAR(34),CHAR(39))))</f>
        <v/>
      </c>
      <c r="O591" s="5" t="str">
        <f>IF(OR(TRIM($B591)="",$E591=""),"",IF(OR(ISNUMBER(SEARCH(_xlfn.CONCAT(CHAR(96),CHAR(34)),$E591)),ISNUMBER(SEARCH(_xlfn.CONCAT(CHAR(34),CHAR(39)),$E591))),_xlfn.CONCAT("* REVIEW REQUIRED: compound-quote delimiter in Question Wording on Sheet 1 row ",591,"; edit the input before running."),_xlfn.CONCAT("char ",TRIM($B591),"[doc_question] ",CHAR(96),CHAR(34),SUBSTITUTE(SUBSTITUTE(SUBSTITUTE(SUBSTITUTE(SUBSTITUTE(SUBSTITUTE($E591,CHAR(13)," "),CHAR(10)," "),CHAR(9)," "),CHAR(92),_xlfn.CONCAT(CHAR(92),CHAR(92))),"$",_xlfn.CONCAT(CHAR(92),"$")),CHAR(96),_xlfn.CONCAT(CHAR(92),CHAR(96))),CHAR(34),CHAR(39))))</f>
        <v/>
      </c>
      <c r="P591" s="5" t="str">
        <f>IF(OR(TRIM($B591)="",$F591=""),"",IF(OR(ISNUMBER(SEARCH(_xlfn.CONCAT(CHAR(96),CHAR(34)),$F591)),ISNUMBER(SEARCH(_xlfn.CONCAT(CHAR(34),CHAR(39)),$F591))),_xlfn.CONCAT("* REVIEW REQUIRED: compound-quote delimiter in Units on Sheet 1 row ",591,"; edit the input before running."),_xlfn.CONCAT("char ",TRIM($B591),"[doc_units] ",CHAR(96),CHAR(34),SUBSTITUTE(SUBSTITUTE(SUBSTITUTE(SUBSTITUTE(SUBSTITUTE(SUBSTITUTE($F591,CHAR(13)," "),CHAR(10)," "),CHAR(9)," "),CHAR(92),_xlfn.CONCAT(CHAR(92),CHAR(92))),"$",_xlfn.CONCAT(CHAR(92),"$")),CHAR(96),_xlfn.CONCAT(CHAR(92),CHAR(96))),CHAR(34),CHAR(39))))</f>
        <v/>
      </c>
      <c r="Q591" s="5" t="str">
        <f>IF(OR(TRIM($B591)="",$G591=""),"",IF(OR(ISNUMBER(SEARCH(_xlfn.CONCAT(CHAR(96),CHAR(34)),$G591)),ISNUMBER(SEARCH(_xlfn.CONCAT(CHAR(34),CHAR(39)),$G591))),_xlfn.CONCAT("* REVIEW REQUIRED: compound-quote delimiter in Universe on Sheet 1 row ",591,"; edit the input before running."),_xlfn.CONCAT("char ",TRIM($B591),"[doc_universe] ",CHAR(96),CHAR(34),SUBSTITUTE(SUBSTITUTE(SUBSTITUTE(SUBSTITUTE(SUBSTITUTE(SUBSTITUTE($G591,CHAR(13)," "),CHAR(10)," "),CHAR(9)," "),CHAR(92),_xlfn.CONCAT(CHAR(92),CHAR(92))),"$",_xlfn.CONCAT(CHAR(92),"$")),CHAR(96),_xlfn.CONCAT(CHAR(92),CHAR(96))),CHAR(34),CHAR(39))))</f>
        <v/>
      </c>
      <c r="R591" s="5" t="str">
        <f>IF(OR(TRIM($B591)="",$H591=""),"",IF(OR(ISNUMBER(SEARCH(_xlfn.CONCAT(CHAR(96),CHAR(34)),$H591)),ISNUMBER(SEARCH(_xlfn.CONCAT(CHAR(34),CHAR(39)),$H591))),_xlfn.CONCAT("* REVIEW REQUIRED: compound-quote delimiter in Source on Sheet 1 row ",591,"; edit the input before running."),_xlfn.CONCAT("char ",TRIM($B591),"[doc_source] ",CHAR(96),CHAR(34),SUBSTITUTE(SUBSTITUTE(SUBSTITUTE(SUBSTITUTE(SUBSTITUTE(SUBSTITUTE($H591,CHAR(13)," "),CHAR(10)," "),CHAR(9)," "),CHAR(92),_xlfn.CONCAT(CHAR(92),CHAR(92))),"$",_xlfn.CONCAT(CHAR(92),"$")),CHAR(96),_xlfn.CONCAT(CHAR(92),CHAR(96))),CHAR(34),CHAR(39))))</f>
        <v/>
      </c>
      <c r="S591" s="5" t="str">
        <f>IF(OR(TRIM($B591)="",$I591=""),"",IF(OR(ISNUMBER(SEARCH(_xlfn.CONCAT(CHAR(96),CHAR(34)),$I591)),ISNUMBER(SEARCH(_xlfn.CONCAT(CHAR(34),CHAR(39)),$I591))),_xlfn.CONCAT("* REVIEW REQUIRED: compound-quote delimiter in Derivation on Sheet 1 row ",591,"; edit the input before running."),_xlfn.CONCAT("char ",TRIM($B591),"[doc_derivation] ",CHAR(96),CHAR(34),SUBSTITUTE(SUBSTITUTE(SUBSTITUTE(SUBSTITUTE(SUBSTITUTE(SUBSTITUTE($I591,CHAR(13)," "),CHAR(10)," "),CHAR(9)," "),CHAR(92),_xlfn.CONCAT(CHAR(92),CHAR(92))),"$",_xlfn.CONCAT(CHAR(92),"$")),CHAR(96),_xlfn.CONCAT(CHAR(92),CHAR(96))),CHAR(34),CHAR(39))))</f>
        <v/>
      </c>
      <c r="T591" s="5" t="str">
        <f>IF(OR(TRIM($B591)="",$J591=""),"",IF(OR(ISNUMBER(SEARCH(_xlfn.CONCAT(CHAR(96),CHAR(34)),$J591)),ISNUMBER(SEARCH(_xlfn.CONCAT(CHAR(34),CHAR(39)),$J591))),_xlfn.CONCAT("* REVIEW REQUIRED: compound-quote delimiter in Notes on Sheet 1 row ",591,"; edit the input before running."),_xlfn.CONCAT("char ",TRIM($B591),"[doc_notes] ",CHAR(96),CHAR(34),SUBSTITUTE(SUBSTITUTE(SUBSTITUTE(SUBSTITUTE(SUBSTITUTE(SUBSTITUTE($J591,CHAR(13)," "),CHAR(10)," "),CHAR(9)," "),CHAR(92),_xlfn.CONCAT(CHAR(92),CHAR(92))),"$",_xlfn.CONCAT(CHAR(92),"$")),CHAR(96),_xlfn.CONCAT(CHAR(92),CHAR(96))),CHAR(34),CHAR(39))))</f>
        <v/>
      </c>
      <c r="U591" s="5">
        <f t="shared" si="17"/>
        <v>0</v>
      </c>
    </row>
    <row r="592" spans="3:21" ht="30" customHeight="1" x14ac:dyDescent="0.2">
      <c r="C592" s="4"/>
      <c r="K592" s="5">
        <f t="shared" si="16"/>
        <v>0</v>
      </c>
      <c r="L592" s="5" t="str">
        <f>IF(OR(TRIM($B592)="",$A592=""),"",IF(OR(ISNUMBER(SEARCH(_xlfn.CONCAT(CHAR(96),CHAR(34)),$A592)),ISNUMBER(SEARCH(_xlfn.CONCAT(CHAR(34),CHAR(39)),$A592))),_xlfn.CONCAT("* REVIEW REQUIRED: compound-quote delimiter in Codebook Section on Sheet 1 row ",592,"; edit the input before running."),_xlfn.CONCAT("char ",TRIM($B592),"[doc_section] ",CHAR(96),CHAR(34),SUBSTITUTE(SUBSTITUTE(SUBSTITUTE(SUBSTITUTE(SUBSTITUTE(SUBSTITUTE($A592,CHAR(13)," "),CHAR(10)," "),CHAR(9)," "),CHAR(92),_xlfn.CONCAT(CHAR(92),CHAR(92))),"$",_xlfn.CONCAT(CHAR(92),"$")),CHAR(96),_xlfn.CONCAT(CHAR(92),CHAR(96))),CHAR(34),CHAR(39))))</f>
        <v/>
      </c>
      <c r="M592" s="5" t="str">
        <f>IF(OR(TRIM($B592)="",$C592=""),"",IF(IFERROR(MATCH(TRIM($C592),{"Quantitative","Continuous","Discrete","Categorical","Nominal","Ordinal","Identifier"},0),0)=0,_xlfn.CONCAT("* REVIEW REQUIRED: invalid Variable Type on Sheet 1 row ",592,"."),_xlfn.CONCAT("char ",TRIM($B592),"[doc_vartype] ",CHAR(96),CHAR(34),SUBSTITUTE(SUBSTITUTE(SUBSTITUTE(SUBSTITUTE(SUBSTITUTE(SUBSTITUTE(LOWER(TRIM($C592)),CHAR(13)," "),CHAR(10)," "),CHAR(9)," "),CHAR(92),_xlfn.CONCAT(CHAR(92),CHAR(92))),"$",_xlfn.CONCAT(CHAR(92),"$")),CHAR(96),_xlfn.CONCAT(CHAR(92),CHAR(96))),CHAR(34),CHAR(39))))</f>
        <v/>
      </c>
      <c r="N592" s="5" t="str">
        <f>IF(OR(TRIM($B592)="",$D592=""),"",IF(OR(ISNUMBER(SEARCH(_xlfn.CONCAT(CHAR(96),CHAR(34)),$D592)),ISNUMBER(SEARCH(_xlfn.CONCAT(CHAR(34),CHAR(39)),$D592))),_xlfn.CONCAT("* REVIEW REQUIRED: compound-quote delimiter in Item Number on Sheet 1 row ",592,"; edit the input before running."),_xlfn.CONCAT("char ",TRIM($B592),"[doc_itemnum] ",CHAR(96),CHAR(34),SUBSTITUTE(SUBSTITUTE(SUBSTITUTE(SUBSTITUTE(SUBSTITUTE(SUBSTITUTE($D592,CHAR(13)," "),CHAR(10)," "),CHAR(9)," "),CHAR(92),_xlfn.CONCAT(CHAR(92),CHAR(92))),"$",_xlfn.CONCAT(CHAR(92),"$")),CHAR(96),_xlfn.CONCAT(CHAR(92),CHAR(96))),CHAR(34),CHAR(39))))</f>
        <v/>
      </c>
      <c r="O592" s="5" t="str">
        <f>IF(OR(TRIM($B592)="",$E592=""),"",IF(OR(ISNUMBER(SEARCH(_xlfn.CONCAT(CHAR(96),CHAR(34)),$E592)),ISNUMBER(SEARCH(_xlfn.CONCAT(CHAR(34),CHAR(39)),$E592))),_xlfn.CONCAT("* REVIEW REQUIRED: compound-quote delimiter in Question Wording on Sheet 1 row ",592,"; edit the input before running."),_xlfn.CONCAT("char ",TRIM($B592),"[doc_question] ",CHAR(96),CHAR(34),SUBSTITUTE(SUBSTITUTE(SUBSTITUTE(SUBSTITUTE(SUBSTITUTE(SUBSTITUTE($E592,CHAR(13)," "),CHAR(10)," "),CHAR(9)," "),CHAR(92),_xlfn.CONCAT(CHAR(92),CHAR(92))),"$",_xlfn.CONCAT(CHAR(92),"$")),CHAR(96),_xlfn.CONCAT(CHAR(92),CHAR(96))),CHAR(34),CHAR(39))))</f>
        <v/>
      </c>
      <c r="P592" s="5" t="str">
        <f>IF(OR(TRIM($B592)="",$F592=""),"",IF(OR(ISNUMBER(SEARCH(_xlfn.CONCAT(CHAR(96),CHAR(34)),$F592)),ISNUMBER(SEARCH(_xlfn.CONCAT(CHAR(34),CHAR(39)),$F592))),_xlfn.CONCAT("* REVIEW REQUIRED: compound-quote delimiter in Units on Sheet 1 row ",592,"; edit the input before running."),_xlfn.CONCAT("char ",TRIM($B592),"[doc_units] ",CHAR(96),CHAR(34),SUBSTITUTE(SUBSTITUTE(SUBSTITUTE(SUBSTITUTE(SUBSTITUTE(SUBSTITUTE($F592,CHAR(13)," "),CHAR(10)," "),CHAR(9)," "),CHAR(92),_xlfn.CONCAT(CHAR(92),CHAR(92))),"$",_xlfn.CONCAT(CHAR(92),"$")),CHAR(96),_xlfn.CONCAT(CHAR(92),CHAR(96))),CHAR(34),CHAR(39))))</f>
        <v/>
      </c>
      <c r="Q592" s="5" t="str">
        <f>IF(OR(TRIM($B592)="",$G592=""),"",IF(OR(ISNUMBER(SEARCH(_xlfn.CONCAT(CHAR(96),CHAR(34)),$G592)),ISNUMBER(SEARCH(_xlfn.CONCAT(CHAR(34),CHAR(39)),$G592))),_xlfn.CONCAT("* REVIEW REQUIRED: compound-quote delimiter in Universe on Sheet 1 row ",592,"; edit the input before running."),_xlfn.CONCAT("char ",TRIM($B592),"[doc_universe] ",CHAR(96),CHAR(34),SUBSTITUTE(SUBSTITUTE(SUBSTITUTE(SUBSTITUTE(SUBSTITUTE(SUBSTITUTE($G592,CHAR(13)," "),CHAR(10)," "),CHAR(9)," "),CHAR(92),_xlfn.CONCAT(CHAR(92),CHAR(92))),"$",_xlfn.CONCAT(CHAR(92),"$")),CHAR(96),_xlfn.CONCAT(CHAR(92),CHAR(96))),CHAR(34),CHAR(39))))</f>
        <v/>
      </c>
      <c r="R592" s="5" t="str">
        <f>IF(OR(TRIM($B592)="",$H592=""),"",IF(OR(ISNUMBER(SEARCH(_xlfn.CONCAT(CHAR(96),CHAR(34)),$H592)),ISNUMBER(SEARCH(_xlfn.CONCAT(CHAR(34),CHAR(39)),$H592))),_xlfn.CONCAT("* REVIEW REQUIRED: compound-quote delimiter in Source on Sheet 1 row ",592,"; edit the input before running."),_xlfn.CONCAT("char ",TRIM($B592),"[doc_source] ",CHAR(96),CHAR(34),SUBSTITUTE(SUBSTITUTE(SUBSTITUTE(SUBSTITUTE(SUBSTITUTE(SUBSTITUTE($H592,CHAR(13)," "),CHAR(10)," "),CHAR(9)," "),CHAR(92),_xlfn.CONCAT(CHAR(92),CHAR(92))),"$",_xlfn.CONCAT(CHAR(92),"$")),CHAR(96),_xlfn.CONCAT(CHAR(92),CHAR(96))),CHAR(34),CHAR(39))))</f>
        <v/>
      </c>
      <c r="S592" s="5" t="str">
        <f>IF(OR(TRIM($B592)="",$I592=""),"",IF(OR(ISNUMBER(SEARCH(_xlfn.CONCAT(CHAR(96),CHAR(34)),$I592)),ISNUMBER(SEARCH(_xlfn.CONCAT(CHAR(34),CHAR(39)),$I592))),_xlfn.CONCAT("* REVIEW REQUIRED: compound-quote delimiter in Derivation on Sheet 1 row ",592,"; edit the input before running."),_xlfn.CONCAT("char ",TRIM($B592),"[doc_derivation] ",CHAR(96),CHAR(34),SUBSTITUTE(SUBSTITUTE(SUBSTITUTE(SUBSTITUTE(SUBSTITUTE(SUBSTITUTE($I592,CHAR(13)," "),CHAR(10)," "),CHAR(9)," "),CHAR(92),_xlfn.CONCAT(CHAR(92),CHAR(92))),"$",_xlfn.CONCAT(CHAR(92),"$")),CHAR(96),_xlfn.CONCAT(CHAR(92),CHAR(96))),CHAR(34),CHAR(39))))</f>
        <v/>
      </c>
      <c r="T592" s="5" t="str">
        <f>IF(OR(TRIM($B592)="",$J592=""),"",IF(OR(ISNUMBER(SEARCH(_xlfn.CONCAT(CHAR(96),CHAR(34)),$J592)),ISNUMBER(SEARCH(_xlfn.CONCAT(CHAR(34),CHAR(39)),$J592))),_xlfn.CONCAT("* REVIEW REQUIRED: compound-quote delimiter in Notes on Sheet 1 row ",592,"; edit the input before running."),_xlfn.CONCAT("char ",TRIM($B592),"[doc_notes] ",CHAR(96),CHAR(34),SUBSTITUTE(SUBSTITUTE(SUBSTITUTE(SUBSTITUTE(SUBSTITUTE(SUBSTITUTE($J592,CHAR(13)," "),CHAR(10)," "),CHAR(9)," "),CHAR(92),_xlfn.CONCAT(CHAR(92),CHAR(92))),"$",_xlfn.CONCAT(CHAR(92),"$")),CHAR(96),_xlfn.CONCAT(CHAR(92),CHAR(96))),CHAR(34),CHAR(39))))</f>
        <v/>
      </c>
      <c r="U592" s="5">
        <f t="shared" si="17"/>
        <v>0</v>
      </c>
    </row>
    <row r="593" spans="3:21" ht="30" customHeight="1" x14ac:dyDescent="0.2">
      <c r="C593" s="4"/>
      <c r="K593" s="5">
        <f t="shared" si="16"/>
        <v>0</v>
      </c>
      <c r="L593" s="5" t="str">
        <f>IF(OR(TRIM($B593)="",$A593=""),"",IF(OR(ISNUMBER(SEARCH(_xlfn.CONCAT(CHAR(96),CHAR(34)),$A593)),ISNUMBER(SEARCH(_xlfn.CONCAT(CHAR(34),CHAR(39)),$A593))),_xlfn.CONCAT("* REVIEW REQUIRED: compound-quote delimiter in Codebook Section on Sheet 1 row ",593,"; edit the input before running."),_xlfn.CONCAT("char ",TRIM($B593),"[doc_section] ",CHAR(96),CHAR(34),SUBSTITUTE(SUBSTITUTE(SUBSTITUTE(SUBSTITUTE(SUBSTITUTE(SUBSTITUTE($A593,CHAR(13)," "),CHAR(10)," "),CHAR(9)," "),CHAR(92),_xlfn.CONCAT(CHAR(92),CHAR(92))),"$",_xlfn.CONCAT(CHAR(92),"$")),CHAR(96),_xlfn.CONCAT(CHAR(92),CHAR(96))),CHAR(34),CHAR(39))))</f>
        <v/>
      </c>
      <c r="M593" s="5" t="str">
        <f>IF(OR(TRIM($B593)="",$C593=""),"",IF(IFERROR(MATCH(TRIM($C593),{"Quantitative","Continuous","Discrete","Categorical","Nominal","Ordinal","Identifier"},0),0)=0,_xlfn.CONCAT("* REVIEW REQUIRED: invalid Variable Type on Sheet 1 row ",593,"."),_xlfn.CONCAT("char ",TRIM($B593),"[doc_vartype] ",CHAR(96),CHAR(34),SUBSTITUTE(SUBSTITUTE(SUBSTITUTE(SUBSTITUTE(SUBSTITUTE(SUBSTITUTE(LOWER(TRIM($C593)),CHAR(13)," "),CHAR(10)," "),CHAR(9)," "),CHAR(92),_xlfn.CONCAT(CHAR(92),CHAR(92))),"$",_xlfn.CONCAT(CHAR(92),"$")),CHAR(96),_xlfn.CONCAT(CHAR(92),CHAR(96))),CHAR(34),CHAR(39))))</f>
        <v/>
      </c>
      <c r="N593" s="5" t="str">
        <f>IF(OR(TRIM($B593)="",$D593=""),"",IF(OR(ISNUMBER(SEARCH(_xlfn.CONCAT(CHAR(96),CHAR(34)),$D593)),ISNUMBER(SEARCH(_xlfn.CONCAT(CHAR(34),CHAR(39)),$D593))),_xlfn.CONCAT("* REVIEW REQUIRED: compound-quote delimiter in Item Number on Sheet 1 row ",593,"; edit the input before running."),_xlfn.CONCAT("char ",TRIM($B593),"[doc_itemnum] ",CHAR(96),CHAR(34),SUBSTITUTE(SUBSTITUTE(SUBSTITUTE(SUBSTITUTE(SUBSTITUTE(SUBSTITUTE($D593,CHAR(13)," "),CHAR(10)," "),CHAR(9)," "),CHAR(92),_xlfn.CONCAT(CHAR(92),CHAR(92))),"$",_xlfn.CONCAT(CHAR(92),"$")),CHAR(96),_xlfn.CONCAT(CHAR(92),CHAR(96))),CHAR(34),CHAR(39))))</f>
        <v/>
      </c>
      <c r="O593" s="5" t="str">
        <f>IF(OR(TRIM($B593)="",$E593=""),"",IF(OR(ISNUMBER(SEARCH(_xlfn.CONCAT(CHAR(96),CHAR(34)),$E593)),ISNUMBER(SEARCH(_xlfn.CONCAT(CHAR(34),CHAR(39)),$E593))),_xlfn.CONCAT("* REVIEW REQUIRED: compound-quote delimiter in Question Wording on Sheet 1 row ",593,"; edit the input before running."),_xlfn.CONCAT("char ",TRIM($B593),"[doc_question] ",CHAR(96),CHAR(34),SUBSTITUTE(SUBSTITUTE(SUBSTITUTE(SUBSTITUTE(SUBSTITUTE(SUBSTITUTE($E593,CHAR(13)," "),CHAR(10)," "),CHAR(9)," "),CHAR(92),_xlfn.CONCAT(CHAR(92),CHAR(92))),"$",_xlfn.CONCAT(CHAR(92),"$")),CHAR(96),_xlfn.CONCAT(CHAR(92),CHAR(96))),CHAR(34),CHAR(39))))</f>
        <v/>
      </c>
      <c r="P593" s="5" t="str">
        <f>IF(OR(TRIM($B593)="",$F593=""),"",IF(OR(ISNUMBER(SEARCH(_xlfn.CONCAT(CHAR(96),CHAR(34)),$F593)),ISNUMBER(SEARCH(_xlfn.CONCAT(CHAR(34),CHAR(39)),$F593))),_xlfn.CONCAT("* REVIEW REQUIRED: compound-quote delimiter in Units on Sheet 1 row ",593,"; edit the input before running."),_xlfn.CONCAT("char ",TRIM($B593),"[doc_units] ",CHAR(96),CHAR(34),SUBSTITUTE(SUBSTITUTE(SUBSTITUTE(SUBSTITUTE(SUBSTITUTE(SUBSTITUTE($F593,CHAR(13)," "),CHAR(10)," "),CHAR(9)," "),CHAR(92),_xlfn.CONCAT(CHAR(92),CHAR(92))),"$",_xlfn.CONCAT(CHAR(92),"$")),CHAR(96),_xlfn.CONCAT(CHAR(92),CHAR(96))),CHAR(34),CHAR(39))))</f>
        <v/>
      </c>
      <c r="Q593" s="5" t="str">
        <f>IF(OR(TRIM($B593)="",$G593=""),"",IF(OR(ISNUMBER(SEARCH(_xlfn.CONCAT(CHAR(96),CHAR(34)),$G593)),ISNUMBER(SEARCH(_xlfn.CONCAT(CHAR(34),CHAR(39)),$G593))),_xlfn.CONCAT("* REVIEW REQUIRED: compound-quote delimiter in Universe on Sheet 1 row ",593,"; edit the input before running."),_xlfn.CONCAT("char ",TRIM($B593),"[doc_universe] ",CHAR(96),CHAR(34),SUBSTITUTE(SUBSTITUTE(SUBSTITUTE(SUBSTITUTE(SUBSTITUTE(SUBSTITUTE($G593,CHAR(13)," "),CHAR(10)," "),CHAR(9)," "),CHAR(92),_xlfn.CONCAT(CHAR(92),CHAR(92))),"$",_xlfn.CONCAT(CHAR(92),"$")),CHAR(96),_xlfn.CONCAT(CHAR(92),CHAR(96))),CHAR(34),CHAR(39))))</f>
        <v/>
      </c>
      <c r="R593" s="5" t="str">
        <f>IF(OR(TRIM($B593)="",$H593=""),"",IF(OR(ISNUMBER(SEARCH(_xlfn.CONCAT(CHAR(96),CHAR(34)),$H593)),ISNUMBER(SEARCH(_xlfn.CONCAT(CHAR(34),CHAR(39)),$H593))),_xlfn.CONCAT("* REVIEW REQUIRED: compound-quote delimiter in Source on Sheet 1 row ",593,"; edit the input before running."),_xlfn.CONCAT("char ",TRIM($B593),"[doc_source] ",CHAR(96),CHAR(34),SUBSTITUTE(SUBSTITUTE(SUBSTITUTE(SUBSTITUTE(SUBSTITUTE(SUBSTITUTE($H593,CHAR(13)," "),CHAR(10)," "),CHAR(9)," "),CHAR(92),_xlfn.CONCAT(CHAR(92),CHAR(92))),"$",_xlfn.CONCAT(CHAR(92),"$")),CHAR(96),_xlfn.CONCAT(CHAR(92),CHAR(96))),CHAR(34),CHAR(39))))</f>
        <v/>
      </c>
      <c r="S593" s="5" t="str">
        <f>IF(OR(TRIM($B593)="",$I593=""),"",IF(OR(ISNUMBER(SEARCH(_xlfn.CONCAT(CHAR(96),CHAR(34)),$I593)),ISNUMBER(SEARCH(_xlfn.CONCAT(CHAR(34),CHAR(39)),$I593))),_xlfn.CONCAT("* REVIEW REQUIRED: compound-quote delimiter in Derivation on Sheet 1 row ",593,"; edit the input before running."),_xlfn.CONCAT("char ",TRIM($B593),"[doc_derivation] ",CHAR(96),CHAR(34),SUBSTITUTE(SUBSTITUTE(SUBSTITUTE(SUBSTITUTE(SUBSTITUTE(SUBSTITUTE($I593,CHAR(13)," "),CHAR(10)," "),CHAR(9)," "),CHAR(92),_xlfn.CONCAT(CHAR(92),CHAR(92))),"$",_xlfn.CONCAT(CHAR(92),"$")),CHAR(96),_xlfn.CONCAT(CHAR(92),CHAR(96))),CHAR(34),CHAR(39))))</f>
        <v/>
      </c>
      <c r="T593" s="5" t="str">
        <f>IF(OR(TRIM($B593)="",$J593=""),"",IF(OR(ISNUMBER(SEARCH(_xlfn.CONCAT(CHAR(96),CHAR(34)),$J593)),ISNUMBER(SEARCH(_xlfn.CONCAT(CHAR(34),CHAR(39)),$J593))),_xlfn.CONCAT("* REVIEW REQUIRED: compound-quote delimiter in Notes on Sheet 1 row ",593,"; edit the input before running."),_xlfn.CONCAT("char ",TRIM($B593),"[doc_notes] ",CHAR(96),CHAR(34),SUBSTITUTE(SUBSTITUTE(SUBSTITUTE(SUBSTITUTE(SUBSTITUTE(SUBSTITUTE($J593,CHAR(13)," "),CHAR(10)," "),CHAR(9)," "),CHAR(92),_xlfn.CONCAT(CHAR(92),CHAR(92))),"$",_xlfn.CONCAT(CHAR(92),"$")),CHAR(96),_xlfn.CONCAT(CHAR(92),CHAR(96))),CHAR(34),CHAR(39))))</f>
        <v/>
      </c>
      <c r="U593" s="5">
        <f t="shared" si="17"/>
        <v>0</v>
      </c>
    </row>
    <row r="594" spans="3:21" ht="30" customHeight="1" x14ac:dyDescent="0.2">
      <c r="C594" s="4"/>
      <c r="K594" s="5">
        <f t="shared" si="16"/>
        <v>0</v>
      </c>
      <c r="L594" s="5" t="str">
        <f>IF(OR(TRIM($B594)="",$A594=""),"",IF(OR(ISNUMBER(SEARCH(_xlfn.CONCAT(CHAR(96),CHAR(34)),$A594)),ISNUMBER(SEARCH(_xlfn.CONCAT(CHAR(34),CHAR(39)),$A594))),_xlfn.CONCAT("* REVIEW REQUIRED: compound-quote delimiter in Codebook Section on Sheet 1 row ",594,"; edit the input before running."),_xlfn.CONCAT("char ",TRIM($B594),"[doc_section] ",CHAR(96),CHAR(34),SUBSTITUTE(SUBSTITUTE(SUBSTITUTE(SUBSTITUTE(SUBSTITUTE(SUBSTITUTE($A594,CHAR(13)," "),CHAR(10)," "),CHAR(9)," "),CHAR(92),_xlfn.CONCAT(CHAR(92),CHAR(92))),"$",_xlfn.CONCAT(CHAR(92),"$")),CHAR(96),_xlfn.CONCAT(CHAR(92),CHAR(96))),CHAR(34),CHAR(39))))</f>
        <v/>
      </c>
      <c r="M594" s="5" t="str">
        <f>IF(OR(TRIM($B594)="",$C594=""),"",IF(IFERROR(MATCH(TRIM($C594),{"Quantitative","Continuous","Discrete","Categorical","Nominal","Ordinal","Identifier"},0),0)=0,_xlfn.CONCAT("* REVIEW REQUIRED: invalid Variable Type on Sheet 1 row ",594,"."),_xlfn.CONCAT("char ",TRIM($B594),"[doc_vartype] ",CHAR(96),CHAR(34),SUBSTITUTE(SUBSTITUTE(SUBSTITUTE(SUBSTITUTE(SUBSTITUTE(SUBSTITUTE(LOWER(TRIM($C594)),CHAR(13)," "),CHAR(10)," "),CHAR(9)," "),CHAR(92),_xlfn.CONCAT(CHAR(92),CHAR(92))),"$",_xlfn.CONCAT(CHAR(92),"$")),CHAR(96),_xlfn.CONCAT(CHAR(92),CHAR(96))),CHAR(34),CHAR(39))))</f>
        <v/>
      </c>
      <c r="N594" s="5" t="str">
        <f>IF(OR(TRIM($B594)="",$D594=""),"",IF(OR(ISNUMBER(SEARCH(_xlfn.CONCAT(CHAR(96),CHAR(34)),$D594)),ISNUMBER(SEARCH(_xlfn.CONCAT(CHAR(34),CHAR(39)),$D594))),_xlfn.CONCAT("* REVIEW REQUIRED: compound-quote delimiter in Item Number on Sheet 1 row ",594,"; edit the input before running."),_xlfn.CONCAT("char ",TRIM($B594),"[doc_itemnum] ",CHAR(96),CHAR(34),SUBSTITUTE(SUBSTITUTE(SUBSTITUTE(SUBSTITUTE(SUBSTITUTE(SUBSTITUTE($D594,CHAR(13)," "),CHAR(10)," "),CHAR(9)," "),CHAR(92),_xlfn.CONCAT(CHAR(92),CHAR(92))),"$",_xlfn.CONCAT(CHAR(92),"$")),CHAR(96),_xlfn.CONCAT(CHAR(92),CHAR(96))),CHAR(34),CHAR(39))))</f>
        <v/>
      </c>
      <c r="O594" s="5" t="str">
        <f>IF(OR(TRIM($B594)="",$E594=""),"",IF(OR(ISNUMBER(SEARCH(_xlfn.CONCAT(CHAR(96),CHAR(34)),$E594)),ISNUMBER(SEARCH(_xlfn.CONCAT(CHAR(34),CHAR(39)),$E594))),_xlfn.CONCAT("* REVIEW REQUIRED: compound-quote delimiter in Question Wording on Sheet 1 row ",594,"; edit the input before running."),_xlfn.CONCAT("char ",TRIM($B594),"[doc_question] ",CHAR(96),CHAR(34),SUBSTITUTE(SUBSTITUTE(SUBSTITUTE(SUBSTITUTE(SUBSTITUTE(SUBSTITUTE($E594,CHAR(13)," "),CHAR(10)," "),CHAR(9)," "),CHAR(92),_xlfn.CONCAT(CHAR(92),CHAR(92))),"$",_xlfn.CONCAT(CHAR(92),"$")),CHAR(96),_xlfn.CONCAT(CHAR(92),CHAR(96))),CHAR(34),CHAR(39))))</f>
        <v/>
      </c>
      <c r="P594" s="5" t="str">
        <f>IF(OR(TRIM($B594)="",$F594=""),"",IF(OR(ISNUMBER(SEARCH(_xlfn.CONCAT(CHAR(96),CHAR(34)),$F594)),ISNUMBER(SEARCH(_xlfn.CONCAT(CHAR(34),CHAR(39)),$F594))),_xlfn.CONCAT("* REVIEW REQUIRED: compound-quote delimiter in Units on Sheet 1 row ",594,"; edit the input before running."),_xlfn.CONCAT("char ",TRIM($B594),"[doc_units] ",CHAR(96),CHAR(34),SUBSTITUTE(SUBSTITUTE(SUBSTITUTE(SUBSTITUTE(SUBSTITUTE(SUBSTITUTE($F594,CHAR(13)," "),CHAR(10)," "),CHAR(9)," "),CHAR(92),_xlfn.CONCAT(CHAR(92),CHAR(92))),"$",_xlfn.CONCAT(CHAR(92),"$")),CHAR(96),_xlfn.CONCAT(CHAR(92),CHAR(96))),CHAR(34),CHAR(39))))</f>
        <v/>
      </c>
      <c r="Q594" s="5" t="str">
        <f>IF(OR(TRIM($B594)="",$G594=""),"",IF(OR(ISNUMBER(SEARCH(_xlfn.CONCAT(CHAR(96),CHAR(34)),$G594)),ISNUMBER(SEARCH(_xlfn.CONCAT(CHAR(34),CHAR(39)),$G594))),_xlfn.CONCAT("* REVIEW REQUIRED: compound-quote delimiter in Universe on Sheet 1 row ",594,"; edit the input before running."),_xlfn.CONCAT("char ",TRIM($B594),"[doc_universe] ",CHAR(96),CHAR(34),SUBSTITUTE(SUBSTITUTE(SUBSTITUTE(SUBSTITUTE(SUBSTITUTE(SUBSTITUTE($G594,CHAR(13)," "),CHAR(10)," "),CHAR(9)," "),CHAR(92),_xlfn.CONCAT(CHAR(92),CHAR(92))),"$",_xlfn.CONCAT(CHAR(92),"$")),CHAR(96),_xlfn.CONCAT(CHAR(92),CHAR(96))),CHAR(34),CHAR(39))))</f>
        <v/>
      </c>
      <c r="R594" s="5" t="str">
        <f>IF(OR(TRIM($B594)="",$H594=""),"",IF(OR(ISNUMBER(SEARCH(_xlfn.CONCAT(CHAR(96),CHAR(34)),$H594)),ISNUMBER(SEARCH(_xlfn.CONCAT(CHAR(34),CHAR(39)),$H594))),_xlfn.CONCAT("* REVIEW REQUIRED: compound-quote delimiter in Source on Sheet 1 row ",594,"; edit the input before running."),_xlfn.CONCAT("char ",TRIM($B594),"[doc_source] ",CHAR(96),CHAR(34),SUBSTITUTE(SUBSTITUTE(SUBSTITUTE(SUBSTITUTE(SUBSTITUTE(SUBSTITUTE($H594,CHAR(13)," "),CHAR(10)," "),CHAR(9)," "),CHAR(92),_xlfn.CONCAT(CHAR(92),CHAR(92))),"$",_xlfn.CONCAT(CHAR(92),"$")),CHAR(96),_xlfn.CONCAT(CHAR(92),CHAR(96))),CHAR(34),CHAR(39))))</f>
        <v/>
      </c>
      <c r="S594" s="5" t="str">
        <f>IF(OR(TRIM($B594)="",$I594=""),"",IF(OR(ISNUMBER(SEARCH(_xlfn.CONCAT(CHAR(96),CHAR(34)),$I594)),ISNUMBER(SEARCH(_xlfn.CONCAT(CHAR(34),CHAR(39)),$I594))),_xlfn.CONCAT("* REVIEW REQUIRED: compound-quote delimiter in Derivation on Sheet 1 row ",594,"; edit the input before running."),_xlfn.CONCAT("char ",TRIM($B594),"[doc_derivation] ",CHAR(96),CHAR(34),SUBSTITUTE(SUBSTITUTE(SUBSTITUTE(SUBSTITUTE(SUBSTITUTE(SUBSTITUTE($I594,CHAR(13)," "),CHAR(10)," "),CHAR(9)," "),CHAR(92),_xlfn.CONCAT(CHAR(92),CHAR(92))),"$",_xlfn.CONCAT(CHAR(92),"$")),CHAR(96),_xlfn.CONCAT(CHAR(92),CHAR(96))),CHAR(34),CHAR(39))))</f>
        <v/>
      </c>
      <c r="T594" s="5" t="str">
        <f>IF(OR(TRIM($B594)="",$J594=""),"",IF(OR(ISNUMBER(SEARCH(_xlfn.CONCAT(CHAR(96),CHAR(34)),$J594)),ISNUMBER(SEARCH(_xlfn.CONCAT(CHAR(34),CHAR(39)),$J594))),_xlfn.CONCAT("* REVIEW REQUIRED: compound-quote delimiter in Notes on Sheet 1 row ",594,"; edit the input before running."),_xlfn.CONCAT("char ",TRIM($B594),"[doc_notes] ",CHAR(96),CHAR(34),SUBSTITUTE(SUBSTITUTE(SUBSTITUTE(SUBSTITUTE(SUBSTITUTE(SUBSTITUTE($J594,CHAR(13)," "),CHAR(10)," "),CHAR(9)," "),CHAR(92),_xlfn.CONCAT(CHAR(92),CHAR(92))),"$",_xlfn.CONCAT(CHAR(92),"$")),CHAR(96),_xlfn.CONCAT(CHAR(92),CHAR(96))),CHAR(34),CHAR(39))))</f>
        <v/>
      </c>
      <c r="U594" s="5">
        <f t="shared" si="17"/>
        <v>0</v>
      </c>
    </row>
    <row r="595" spans="3:21" ht="30" customHeight="1" x14ac:dyDescent="0.2">
      <c r="C595" s="4"/>
      <c r="K595" s="5">
        <f t="shared" si="16"/>
        <v>0</v>
      </c>
      <c r="L595" s="5" t="str">
        <f>IF(OR(TRIM($B595)="",$A595=""),"",IF(OR(ISNUMBER(SEARCH(_xlfn.CONCAT(CHAR(96),CHAR(34)),$A595)),ISNUMBER(SEARCH(_xlfn.CONCAT(CHAR(34),CHAR(39)),$A595))),_xlfn.CONCAT("* REVIEW REQUIRED: compound-quote delimiter in Codebook Section on Sheet 1 row ",595,"; edit the input before running."),_xlfn.CONCAT("char ",TRIM($B595),"[doc_section] ",CHAR(96),CHAR(34),SUBSTITUTE(SUBSTITUTE(SUBSTITUTE(SUBSTITUTE(SUBSTITUTE(SUBSTITUTE($A595,CHAR(13)," "),CHAR(10)," "),CHAR(9)," "),CHAR(92),_xlfn.CONCAT(CHAR(92),CHAR(92))),"$",_xlfn.CONCAT(CHAR(92),"$")),CHAR(96),_xlfn.CONCAT(CHAR(92),CHAR(96))),CHAR(34),CHAR(39))))</f>
        <v/>
      </c>
      <c r="M595" s="5" t="str">
        <f>IF(OR(TRIM($B595)="",$C595=""),"",IF(IFERROR(MATCH(TRIM($C595),{"Quantitative","Continuous","Discrete","Categorical","Nominal","Ordinal","Identifier"},0),0)=0,_xlfn.CONCAT("* REVIEW REQUIRED: invalid Variable Type on Sheet 1 row ",595,"."),_xlfn.CONCAT("char ",TRIM($B595),"[doc_vartype] ",CHAR(96),CHAR(34),SUBSTITUTE(SUBSTITUTE(SUBSTITUTE(SUBSTITUTE(SUBSTITUTE(SUBSTITUTE(LOWER(TRIM($C595)),CHAR(13)," "),CHAR(10)," "),CHAR(9)," "),CHAR(92),_xlfn.CONCAT(CHAR(92),CHAR(92))),"$",_xlfn.CONCAT(CHAR(92),"$")),CHAR(96),_xlfn.CONCAT(CHAR(92),CHAR(96))),CHAR(34),CHAR(39))))</f>
        <v/>
      </c>
      <c r="N595" s="5" t="str">
        <f>IF(OR(TRIM($B595)="",$D595=""),"",IF(OR(ISNUMBER(SEARCH(_xlfn.CONCAT(CHAR(96),CHAR(34)),$D595)),ISNUMBER(SEARCH(_xlfn.CONCAT(CHAR(34),CHAR(39)),$D595))),_xlfn.CONCAT("* REVIEW REQUIRED: compound-quote delimiter in Item Number on Sheet 1 row ",595,"; edit the input before running."),_xlfn.CONCAT("char ",TRIM($B595),"[doc_itemnum] ",CHAR(96),CHAR(34),SUBSTITUTE(SUBSTITUTE(SUBSTITUTE(SUBSTITUTE(SUBSTITUTE(SUBSTITUTE($D595,CHAR(13)," "),CHAR(10)," "),CHAR(9)," "),CHAR(92),_xlfn.CONCAT(CHAR(92),CHAR(92))),"$",_xlfn.CONCAT(CHAR(92),"$")),CHAR(96),_xlfn.CONCAT(CHAR(92),CHAR(96))),CHAR(34),CHAR(39))))</f>
        <v/>
      </c>
      <c r="O595" s="5" t="str">
        <f>IF(OR(TRIM($B595)="",$E595=""),"",IF(OR(ISNUMBER(SEARCH(_xlfn.CONCAT(CHAR(96),CHAR(34)),$E595)),ISNUMBER(SEARCH(_xlfn.CONCAT(CHAR(34),CHAR(39)),$E595))),_xlfn.CONCAT("* REVIEW REQUIRED: compound-quote delimiter in Question Wording on Sheet 1 row ",595,"; edit the input before running."),_xlfn.CONCAT("char ",TRIM($B595),"[doc_question] ",CHAR(96),CHAR(34),SUBSTITUTE(SUBSTITUTE(SUBSTITUTE(SUBSTITUTE(SUBSTITUTE(SUBSTITUTE($E595,CHAR(13)," "),CHAR(10)," "),CHAR(9)," "),CHAR(92),_xlfn.CONCAT(CHAR(92),CHAR(92))),"$",_xlfn.CONCAT(CHAR(92),"$")),CHAR(96),_xlfn.CONCAT(CHAR(92),CHAR(96))),CHAR(34),CHAR(39))))</f>
        <v/>
      </c>
      <c r="P595" s="5" t="str">
        <f>IF(OR(TRIM($B595)="",$F595=""),"",IF(OR(ISNUMBER(SEARCH(_xlfn.CONCAT(CHAR(96),CHAR(34)),$F595)),ISNUMBER(SEARCH(_xlfn.CONCAT(CHAR(34),CHAR(39)),$F595))),_xlfn.CONCAT("* REVIEW REQUIRED: compound-quote delimiter in Units on Sheet 1 row ",595,"; edit the input before running."),_xlfn.CONCAT("char ",TRIM($B595),"[doc_units] ",CHAR(96),CHAR(34),SUBSTITUTE(SUBSTITUTE(SUBSTITUTE(SUBSTITUTE(SUBSTITUTE(SUBSTITUTE($F595,CHAR(13)," "),CHAR(10)," "),CHAR(9)," "),CHAR(92),_xlfn.CONCAT(CHAR(92),CHAR(92))),"$",_xlfn.CONCAT(CHAR(92),"$")),CHAR(96),_xlfn.CONCAT(CHAR(92),CHAR(96))),CHAR(34),CHAR(39))))</f>
        <v/>
      </c>
      <c r="Q595" s="5" t="str">
        <f>IF(OR(TRIM($B595)="",$G595=""),"",IF(OR(ISNUMBER(SEARCH(_xlfn.CONCAT(CHAR(96),CHAR(34)),$G595)),ISNUMBER(SEARCH(_xlfn.CONCAT(CHAR(34),CHAR(39)),$G595))),_xlfn.CONCAT("* REVIEW REQUIRED: compound-quote delimiter in Universe on Sheet 1 row ",595,"; edit the input before running."),_xlfn.CONCAT("char ",TRIM($B595),"[doc_universe] ",CHAR(96),CHAR(34),SUBSTITUTE(SUBSTITUTE(SUBSTITUTE(SUBSTITUTE(SUBSTITUTE(SUBSTITUTE($G595,CHAR(13)," "),CHAR(10)," "),CHAR(9)," "),CHAR(92),_xlfn.CONCAT(CHAR(92),CHAR(92))),"$",_xlfn.CONCAT(CHAR(92),"$")),CHAR(96),_xlfn.CONCAT(CHAR(92),CHAR(96))),CHAR(34),CHAR(39))))</f>
        <v/>
      </c>
      <c r="R595" s="5" t="str">
        <f>IF(OR(TRIM($B595)="",$H595=""),"",IF(OR(ISNUMBER(SEARCH(_xlfn.CONCAT(CHAR(96),CHAR(34)),$H595)),ISNUMBER(SEARCH(_xlfn.CONCAT(CHAR(34),CHAR(39)),$H595))),_xlfn.CONCAT("* REVIEW REQUIRED: compound-quote delimiter in Source on Sheet 1 row ",595,"; edit the input before running."),_xlfn.CONCAT("char ",TRIM($B595),"[doc_source] ",CHAR(96),CHAR(34),SUBSTITUTE(SUBSTITUTE(SUBSTITUTE(SUBSTITUTE(SUBSTITUTE(SUBSTITUTE($H595,CHAR(13)," "),CHAR(10)," "),CHAR(9)," "),CHAR(92),_xlfn.CONCAT(CHAR(92),CHAR(92))),"$",_xlfn.CONCAT(CHAR(92),"$")),CHAR(96),_xlfn.CONCAT(CHAR(92),CHAR(96))),CHAR(34),CHAR(39))))</f>
        <v/>
      </c>
      <c r="S595" s="5" t="str">
        <f>IF(OR(TRIM($B595)="",$I595=""),"",IF(OR(ISNUMBER(SEARCH(_xlfn.CONCAT(CHAR(96),CHAR(34)),$I595)),ISNUMBER(SEARCH(_xlfn.CONCAT(CHAR(34),CHAR(39)),$I595))),_xlfn.CONCAT("* REVIEW REQUIRED: compound-quote delimiter in Derivation on Sheet 1 row ",595,"; edit the input before running."),_xlfn.CONCAT("char ",TRIM($B595),"[doc_derivation] ",CHAR(96),CHAR(34),SUBSTITUTE(SUBSTITUTE(SUBSTITUTE(SUBSTITUTE(SUBSTITUTE(SUBSTITUTE($I595,CHAR(13)," "),CHAR(10)," "),CHAR(9)," "),CHAR(92),_xlfn.CONCAT(CHAR(92),CHAR(92))),"$",_xlfn.CONCAT(CHAR(92),"$")),CHAR(96),_xlfn.CONCAT(CHAR(92),CHAR(96))),CHAR(34),CHAR(39))))</f>
        <v/>
      </c>
      <c r="T595" s="5" t="str">
        <f>IF(OR(TRIM($B595)="",$J595=""),"",IF(OR(ISNUMBER(SEARCH(_xlfn.CONCAT(CHAR(96),CHAR(34)),$J595)),ISNUMBER(SEARCH(_xlfn.CONCAT(CHAR(34),CHAR(39)),$J595))),_xlfn.CONCAT("* REVIEW REQUIRED: compound-quote delimiter in Notes on Sheet 1 row ",595,"; edit the input before running."),_xlfn.CONCAT("char ",TRIM($B595),"[doc_notes] ",CHAR(96),CHAR(34),SUBSTITUTE(SUBSTITUTE(SUBSTITUTE(SUBSTITUTE(SUBSTITUTE(SUBSTITUTE($J595,CHAR(13)," "),CHAR(10)," "),CHAR(9)," "),CHAR(92),_xlfn.CONCAT(CHAR(92),CHAR(92))),"$",_xlfn.CONCAT(CHAR(92),"$")),CHAR(96),_xlfn.CONCAT(CHAR(92),CHAR(96))),CHAR(34),CHAR(39))))</f>
        <v/>
      </c>
      <c r="U595" s="5">
        <f t="shared" si="17"/>
        <v>0</v>
      </c>
    </row>
    <row r="596" spans="3:21" ht="30" customHeight="1" x14ac:dyDescent="0.2">
      <c r="C596" s="4"/>
      <c r="K596" s="5">
        <f t="shared" ref="K596:K659" si="18">COUNTIF(L596:T596,"?*")</f>
        <v>0</v>
      </c>
      <c r="L596" s="5" t="str">
        <f>IF(OR(TRIM($B596)="",$A596=""),"",IF(OR(ISNUMBER(SEARCH(_xlfn.CONCAT(CHAR(96),CHAR(34)),$A596)),ISNUMBER(SEARCH(_xlfn.CONCAT(CHAR(34),CHAR(39)),$A596))),_xlfn.CONCAT("* REVIEW REQUIRED: compound-quote delimiter in Codebook Section on Sheet 1 row ",596,"; edit the input before running."),_xlfn.CONCAT("char ",TRIM($B596),"[doc_section] ",CHAR(96),CHAR(34),SUBSTITUTE(SUBSTITUTE(SUBSTITUTE(SUBSTITUTE(SUBSTITUTE(SUBSTITUTE($A596,CHAR(13)," "),CHAR(10)," "),CHAR(9)," "),CHAR(92),_xlfn.CONCAT(CHAR(92),CHAR(92))),"$",_xlfn.CONCAT(CHAR(92),"$")),CHAR(96),_xlfn.CONCAT(CHAR(92),CHAR(96))),CHAR(34),CHAR(39))))</f>
        <v/>
      </c>
      <c r="M596" s="5" t="str">
        <f>IF(OR(TRIM($B596)="",$C596=""),"",IF(IFERROR(MATCH(TRIM($C596),{"Quantitative","Continuous","Discrete","Categorical","Nominal","Ordinal","Identifier"},0),0)=0,_xlfn.CONCAT("* REVIEW REQUIRED: invalid Variable Type on Sheet 1 row ",596,"."),_xlfn.CONCAT("char ",TRIM($B596),"[doc_vartype] ",CHAR(96),CHAR(34),SUBSTITUTE(SUBSTITUTE(SUBSTITUTE(SUBSTITUTE(SUBSTITUTE(SUBSTITUTE(LOWER(TRIM($C596)),CHAR(13)," "),CHAR(10)," "),CHAR(9)," "),CHAR(92),_xlfn.CONCAT(CHAR(92),CHAR(92))),"$",_xlfn.CONCAT(CHAR(92),"$")),CHAR(96),_xlfn.CONCAT(CHAR(92),CHAR(96))),CHAR(34),CHAR(39))))</f>
        <v/>
      </c>
      <c r="N596" s="5" t="str">
        <f>IF(OR(TRIM($B596)="",$D596=""),"",IF(OR(ISNUMBER(SEARCH(_xlfn.CONCAT(CHAR(96),CHAR(34)),$D596)),ISNUMBER(SEARCH(_xlfn.CONCAT(CHAR(34),CHAR(39)),$D596))),_xlfn.CONCAT("* REVIEW REQUIRED: compound-quote delimiter in Item Number on Sheet 1 row ",596,"; edit the input before running."),_xlfn.CONCAT("char ",TRIM($B596),"[doc_itemnum] ",CHAR(96),CHAR(34),SUBSTITUTE(SUBSTITUTE(SUBSTITUTE(SUBSTITUTE(SUBSTITUTE(SUBSTITUTE($D596,CHAR(13)," "),CHAR(10)," "),CHAR(9)," "),CHAR(92),_xlfn.CONCAT(CHAR(92),CHAR(92))),"$",_xlfn.CONCAT(CHAR(92),"$")),CHAR(96),_xlfn.CONCAT(CHAR(92),CHAR(96))),CHAR(34),CHAR(39))))</f>
        <v/>
      </c>
      <c r="O596" s="5" t="str">
        <f>IF(OR(TRIM($B596)="",$E596=""),"",IF(OR(ISNUMBER(SEARCH(_xlfn.CONCAT(CHAR(96),CHAR(34)),$E596)),ISNUMBER(SEARCH(_xlfn.CONCAT(CHAR(34),CHAR(39)),$E596))),_xlfn.CONCAT("* REVIEW REQUIRED: compound-quote delimiter in Question Wording on Sheet 1 row ",596,"; edit the input before running."),_xlfn.CONCAT("char ",TRIM($B596),"[doc_question] ",CHAR(96),CHAR(34),SUBSTITUTE(SUBSTITUTE(SUBSTITUTE(SUBSTITUTE(SUBSTITUTE(SUBSTITUTE($E596,CHAR(13)," "),CHAR(10)," "),CHAR(9)," "),CHAR(92),_xlfn.CONCAT(CHAR(92),CHAR(92))),"$",_xlfn.CONCAT(CHAR(92),"$")),CHAR(96),_xlfn.CONCAT(CHAR(92),CHAR(96))),CHAR(34),CHAR(39))))</f>
        <v/>
      </c>
      <c r="P596" s="5" t="str">
        <f>IF(OR(TRIM($B596)="",$F596=""),"",IF(OR(ISNUMBER(SEARCH(_xlfn.CONCAT(CHAR(96),CHAR(34)),$F596)),ISNUMBER(SEARCH(_xlfn.CONCAT(CHAR(34),CHAR(39)),$F596))),_xlfn.CONCAT("* REVIEW REQUIRED: compound-quote delimiter in Units on Sheet 1 row ",596,"; edit the input before running."),_xlfn.CONCAT("char ",TRIM($B596),"[doc_units] ",CHAR(96),CHAR(34),SUBSTITUTE(SUBSTITUTE(SUBSTITUTE(SUBSTITUTE(SUBSTITUTE(SUBSTITUTE($F596,CHAR(13)," "),CHAR(10)," "),CHAR(9)," "),CHAR(92),_xlfn.CONCAT(CHAR(92),CHAR(92))),"$",_xlfn.CONCAT(CHAR(92),"$")),CHAR(96),_xlfn.CONCAT(CHAR(92),CHAR(96))),CHAR(34),CHAR(39))))</f>
        <v/>
      </c>
      <c r="Q596" s="5" t="str">
        <f>IF(OR(TRIM($B596)="",$G596=""),"",IF(OR(ISNUMBER(SEARCH(_xlfn.CONCAT(CHAR(96),CHAR(34)),$G596)),ISNUMBER(SEARCH(_xlfn.CONCAT(CHAR(34),CHAR(39)),$G596))),_xlfn.CONCAT("* REVIEW REQUIRED: compound-quote delimiter in Universe on Sheet 1 row ",596,"; edit the input before running."),_xlfn.CONCAT("char ",TRIM($B596),"[doc_universe] ",CHAR(96),CHAR(34),SUBSTITUTE(SUBSTITUTE(SUBSTITUTE(SUBSTITUTE(SUBSTITUTE(SUBSTITUTE($G596,CHAR(13)," "),CHAR(10)," "),CHAR(9)," "),CHAR(92),_xlfn.CONCAT(CHAR(92),CHAR(92))),"$",_xlfn.CONCAT(CHAR(92),"$")),CHAR(96),_xlfn.CONCAT(CHAR(92),CHAR(96))),CHAR(34),CHAR(39))))</f>
        <v/>
      </c>
      <c r="R596" s="5" t="str">
        <f>IF(OR(TRIM($B596)="",$H596=""),"",IF(OR(ISNUMBER(SEARCH(_xlfn.CONCAT(CHAR(96),CHAR(34)),$H596)),ISNUMBER(SEARCH(_xlfn.CONCAT(CHAR(34),CHAR(39)),$H596))),_xlfn.CONCAT("* REVIEW REQUIRED: compound-quote delimiter in Source on Sheet 1 row ",596,"; edit the input before running."),_xlfn.CONCAT("char ",TRIM($B596),"[doc_source] ",CHAR(96),CHAR(34),SUBSTITUTE(SUBSTITUTE(SUBSTITUTE(SUBSTITUTE(SUBSTITUTE(SUBSTITUTE($H596,CHAR(13)," "),CHAR(10)," "),CHAR(9)," "),CHAR(92),_xlfn.CONCAT(CHAR(92),CHAR(92))),"$",_xlfn.CONCAT(CHAR(92),"$")),CHAR(96),_xlfn.CONCAT(CHAR(92),CHAR(96))),CHAR(34),CHAR(39))))</f>
        <v/>
      </c>
      <c r="S596" s="5" t="str">
        <f>IF(OR(TRIM($B596)="",$I596=""),"",IF(OR(ISNUMBER(SEARCH(_xlfn.CONCAT(CHAR(96),CHAR(34)),$I596)),ISNUMBER(SEARCH(_xlfn.CONCAT(CHAR(34),CHAR(39)),$I596))),_xlfn.CONCAT("* REVIEW REQUIRED: compound-quote delimiter in Derivation on Sheet 1 row ",596,"; edit the input before running."),_xlfn.CONCAT("char ",TRIM($B596),"[doc_derivation] ",CHAR(96),CHAR(34),SUBSTITUTE(SUBSTITUTE(SUBSTITUTE(SUBSTITUTE(SUBSTITUTE(SUBSTITUTE($I596,CHAR(13)," "),CHAR(10)," "),CHAR(9)," "),CHAR(92),_xlfn.CONCAT(CHAR(92),CHAR(92))),"$",_xlfn.CONCAT(CHAR(92),"$")),CHAR(96),_xlfn.CONCAT(CHAR(92),CHAR(96))),CHAR(34),CHAR(39))))</f>
        <v/>
      </c>
      <c r="T596" s="5" t="str">
        <f>IF(OR(TRIM($B596)="",$J596=""),"",IF(OR(ISNUMBER(SEARCH(_xlfn.CONCAT(CHAR(96),CHAR(34)),$J596)),ISNUMBER(SEARCH(_xlfn.CONCAT(CHAR(34),CHAR(39)),$J596))),_xlfn.CONCAT("* REVIEW REQUIRED: compound-quote delimiter in Notes on Sheet 1 row ",596,"; edit the input before running."),_xlfn.CONCAT("char ",TRIM($B596),"[doc_notes] ",CHAR(96),CHAR(34),SUBSTITUTE(SUBSTITUTE(SUBSTITUTE(SUBSTITUTE(SUBSTITUTE(SUBSTITUTE($J596,CHAR(13)," "),CHAR(10)," "),CHAR(9)," "),CHAR(92),_xlfn.CONCAT(CHAR(92),CHAR(92))),"$",_xlfn.CONCAT(CHAR(92),"$")),CHAR(96),_xlfn.CONCAT(CHAR(92),CHAR(96))),CHAR(34),CHAR(39))))</f>
        <v/>
      </c>
      <c r="U596" s="5">
        <f t="shared" ref="U596:U659" si="19">COUNTIF(L596:T596,"*REVIEW REQUIRED*")</f>
        <v>0</v>
      </c>
    </row>
    <row r="597" spans="3:21" ht="30" customHeight="1" x14ac:dyDescent="0.2">
      <c r="C597" s="4"/>
      <c r="K597" s="5">
        <f t="shared" si="18"/>
        <v>0</v>
      </c>
      <c r="L597" s="5" t="str">
        <f>IF(OR(TRIM($B597)="",$A597=""),"",IF(OR(ISNUMBER(SEARCH(_xlfn.CONCAT(CHAR(96),CHAR(34)),$A597)),ISNUMBER(SEARCH(_xlfn.CONCAT(CHAR(34),CHAR(39)),$A597))),_xlfn.CONCAT("* REVIEW REQUIRED: compound-quote delimiter in Codebook Section on Sheet 1 row ",597,"; edit the input before running."),_xlfn.CONCAT("char ",TRIM($B597),"[doc_section] ",CHAR(96),CHAR(34),SUBSTITUTE(SUBSTITUTE(SUBSTITUTE(SUBSTITUTE(SUBSTITUTE(SUBSTITUTE($A597,CHAR(13)," "),CHAR(10)," "),CHAR(9)," "),CHAR(92),_xlfn.CONCAT(CHAR(92),CHAR(92))),"$",_xlfn.CONCAT(CHAR(92),"$")),CHAR(96),_xlfn.CONCAT(CHAR(92),CHAR(96))),CHAR(34),CHAR(39))))</f>
        <v/>
      </c>
      <c r="M597" s="5" t="str">
        <f>IF(OR(TRIM($B597)="",$C597=""),"",IF(IFERROR(MATCH(TRIM($C597),{"Quantitative","Continuous","Discrete","Categorical","Nominal","Ordinal","Identifier"},0),0)=0,_xlfn.CONCAT("* REVIEW REQUIRED: invalid Variable Type on Sheet 1 row ",597,"."),_xlfn.CONCAT("char ",TRIM($B597),"[doc_vartype] ",CHAR(96),CHAR(34),SUBSTITUTE(SUBSTITUTE(SUBSTITUTE(SUBSTITUTE(SUBSTITUTE(SUBSTITUTE(LOWER(TRIM($C597)),CHAR(13)," "),CHAR(10)," "),CHAR(9)," "),CHAR(92),_xlfn.CONCAT(CHAR(92),CHAR(92))),"$",_xlfn.CONCAT(CHAR(92),"$")),CHAR(96),_xlfn.CONCAT(CHAR(92),CHAR(96))),CHAR(34),CHAR(39))))</f>
        <v/>
      </c>
      <c r="N597" s="5" t="str">
        <f>IF(OR(TRIM($B597)="",$D597=""),"",IF(OR(ISNUMBER(SEARCH(_xlfn.CONCAT(CHAR(96),CHAR(34)),$D597)),ISNUMBER(SEARCH(_xlfn.CONCAT(CHAR(34),CHAR(39)),$D597))),_xlfn.CONCAT("* REVIEW REQUIRED: compound-quote delimiter in Item Number on Sheet 1 row ",597,"; edit the input before running."),_xlfn.CONCAT("char ",TRIM($B597),"[doc_itemnum] ",CHAR(96),CHAR(34),SUBSTITUTE(SUBSTITUTE(SUBSTITUTE(SUBSTITUTE(SUBSTITUTE(SUBSTITUTE($D597,CHAR(13)," "),CHAR(10)," "),CHAR(9)," "),CHAR(92),_xlfn.CONCAT(CHAR(92),CHAR(92))),"$",_xlfn.CONCAT(CHAR(92),"$")),CHAR(96),_xlfn.CONCAT(CHAR(92),CHAR(96))),CHAR(34),CHAR(39))))</f>
        <v/>
      </c>
      <c r="O597" s="5" t="str">
        <f>IF(OR(TRIM($B597)="",$E597=""),"",IF(OR(ISNUMBER(SEARCH(_xlfn.CONCAT(CHAR(96),CHAR(34)),$E597)),ISNUMBER(SEARCH(_xlfn.CONCAT(CHAR(34),CHAR(39)),$E597))),_xlfn.CONCAT("* REVIEW REQUIRED: compound-quote delimiter in Question Wording on Sheet 1 row ",597,"; edit the input before running."),_xlfn.CONCAT("char ",TRIM($B597),"[doc_question] ",CHAR(96),CHAR(34),SUBSTITUTE(SUBSTITUTE(SUBSTITUTE(SUBSTITUTE(SUBSTITUTE(SUBSTITUTE($E597,CHAR(13)," "),CHAR(10)," "),CHAR(9)," "),CHAR(92),_xlfn.CONCAT(CHAR(92),CHAR(92))),"$",_xlfn.CONCAT(CHAR(92),"$")),CHAR(96),_xlfn.CONCAT(CHAR(92),CHAR(96))),CHAR(34),CHAR(39))))</f>
        <v/>
      </c>
      <c r="P597" s="5" t="str">
        <f>IF(OR(TRIM($B597)="",$F597=""),"",IF(OR(ISNUMBER(SEARCH(_xlfn.CONCAT(CHAR(96),CHAR(34)),$F597)),ISNUMBER(SEARCH(_xlfn.CONCAT(CHAR(34),CHAR(39)),$F597))),_xlfn.CONCAT("* REVIEW REQUIRED: compound-quote delimiter in Units on Sheet 1 row ",597,"; edit the input before running."),_xlfn.CONCAT("char ",TRIM($B597),"[doc_units] ",CHAR(96),CHAR(34),SUBSTITUTE(SUBSTITUTE(SUBSTITUTE(SUBSTITUTE(SUBSTITUTE(SUBSTITUTE($F597,CHAR(13)," "),CHAR(10)," "),CHAR(9)," "),CHAR(92),_xlfn.CONCAT(CHAR(92),CHAR(92))),"$",_xlfn.CONCAT(CHAR(92),"$")),CHAR(96),_xlfn.CONCAT(CHAR(92),CHAR(96))),CHAR(34),CHAR(39))))</f>
        <v/>
      </c>
      <c r="Q597" s="5" t="str">
        <f>IF(OR(TRIM($B597)="",$G597=""),"",IF(OR(ISNUMBER(SEARCH(_xlfn.CONCAT(CHAR(96),CHAR(34)),$G597)),ISNUMBER(SEARCH(_xlfn.CONCAT(CHAR(34),CHAR(39)),$G597))),_xlfn.CONCAT("* REVIEW REQUIRED: compound-quote delimiter in Universe on Sheet 1 row ",597,"; edit the input before running."),_xlfn.CONCAT("char ",TRIM($B597),"[doc_universe] ",CHAR(96),CHAR(34),SUBSTITUTE(SUBSTITUTE(SUBSTITUTE(SUBSTITUTE(SUBSTITUTE(SUBSTITUTE($G597,CHAR(13)," "),CHAR(10)," "),CHAR(9)," "),CHAR(92),_xlfn.CONCAT(CHAR(92),CHAR(92))),"$",_xlfn.CONCAT(CHAR(92),"$")),CHAR(96),_xlfn.CONCAT(CHAR(92),CHAR(96))),CHAR(34),CHAR(39))))</f>
        <v/>
      </c>
      <c r="R597" s="5" t="str">
        <f>IF(OR(TRIM($B597)="",$H597=""),"",IF(OR(ISNUMBER(SEARCH(_xlfn.CONCAT(CHAR(96),CHAR(34)),$H597)),ISNUMBER(SEARCH(_xlfn.CONCAT(CHAR(34),CHAR(39)),$H597))),_xlfn.CONCAT("* REVIEW REQUIRED: compound-quote delimiter in Source on Sheet 1 row ",597,"; edit the input before running."),_xlfn.CONCAT("char ",TRIM($B597),"[doc_source] ",CHAR(96),CHAR(34),SUBSTITUTE(SUBSTITUTE(SUBSTITUTE(SUBSTITUTE(SUBSTITUTE(SUBSTITUTE($H597,CHAR(13)," "),CHAR(10)," "),CHAR(9)," "),CHAR(92),_xlfn.CONCAT(CHAR(92),CHAR(92))),"$",_xlfn.CONCAT(CHAR(92),"$")),CHAR(96),_xlfn.CONCAT(CHAR(92),CHAR(96))),CHAR(34),CHAR(39))))</f>
        <v/>
      </c>
      <c r="S597" s="5" t="str">
        <f>IF(OR(TRIM($B597)="",$I597=""),"",IF(OR(ISNUMBER(SEARCH(_xlfn.CONCAT(CHAR(96),CHAR(34)),$I597)),ISNUMBER(SEARCH(_xlfn.CONCAT(CHAR(34),CHAR(39)),$I597))),_xlfn.CONCAT("* REVIEW REQUIRED: compound-quote delimiter in Derivation on Sheet 1 row ",597,"; edit the input before running."),_xlfn.CONCAT("char ",TRIM($B597),"[doc_derivation] ",CHAR(96),CHAR(34),SUBSTITUTE(SUBSTITUTE(SUBSTITUTE(SUBSTITUTE(SUBSTITUTE(SUBSTITUTE($I597,CHAR(13)," "),CHAR(10)," "),CHAR(9)," "),CHAR(92),_xlfn.CONCAT(CHAR(92),CHAR(92))),"$",_xlfn.CONCAT(CHAR(92),"$")),CHAR(96),_xlfn.CONCAT(CHAR(92),CHAR(96))),CHAR(34),CHAR(39))))</f>
        <v/>
      </c>
      <c r="T597" s="5" t="str">
        <f>IF(OR(TRIM($B597)="",$J597=""),"",IF(OR(ISNUMBER(SEARCH(_xlfn.CONCAT(CHAR(96),CHAR(34)),$J597)),ISNUMBER(SEARCH(_xlfn.CONCAT(CHAR(34),CHAR(39)),$J597))),_xlfn.CONCAT("* REVIEW REQUIRED: compound-quote delimiter in Notes on Sheet 1 row ",597,"; edit the input before running."),_xlfn.CONCAT("char ",TRIM($B597),"[doc_notes] ",CHAR(96),CHAR(34),SUBSTITUTE(SUBSTITUTE(SUBSTITUTE(SUBSTITUTE(SUBSTITUTE(SUBSTITUTE($J597,CHAR(13)," "),CHAR(10)," "),CHAR(9)," "),CHAR(92),_xlfn.CONCAT(CHAR(92),CHAR(92))),"$",_xlfn.CONCAT(CHAR(92),"$")),CHAR(96),_xlfn.CONCAT(CHAR(92),CHAR(96))),CHAR(34),CHAR(39))))</f>
        <v/>
      </c>
      <c r="U597" s="5">
        <f t="shared" si="19"/>
        <v>0</v>
      </c>
    </row>
    <row r="598" spans="3:21" ht="30" customHeight="1" x14ac:dyDescent="0.2">
      <c r="C598" s="4"/>
      <c r="K598" s="5">
        <f t="shared" si="18"/>
        <v>0</v>
      </c>
      <c r="L598" s="5" t="str">
        <f>IF(OR(TRIM($B598)="",$A598=""),"",IF(OR(ISNUMBER(SEARCH(_xlfn.CONCAT(CHAR(96),CHAR(34)),$A598)),ISNUMBER(SEARCH(_xlfn.CONCAT(CHAR(34),CHAR(39)),$A598))),_xlfn.CONCAT("* REVIEW REQUIRED: compound-quote delimiter in Codebook Section on Sheet 1 row ",598,"; edit the input before running."),_xlfn.CONCAT("char ",TRIM($B598),"[doc_section] ",CHAR(96),CHAR(34),SUBSTITUTE(SUBSTITUTE(SUBSTITUTE(SUBSTITUTE(SUBSTITUTE(SUBSTITUTE($A598,CHAR(13)," "),CHAR(10)," "),CHAR(9)," "),CHAR(92),_xlfn.CONCAT(CHAR(92),CHAR(92))),"$",_xlfn.CONCAT(CHAR(92),"$")),CHAR(96),_xlfn.CONCAT(CHAR(92),CHAR(96))),CHAR(34),CHAR(39))))</f>
        <v/>
      </c>
      <c r="M598" s="5" t="str">
        <f>IF(OR(TRIM($B598)="",$C598=""),"",IF(IFERROR(MATCH(TRIM($C598),{"Quantitative","Continuous","Discrete","Categorical","Nominal","Ordinal","Identifier"},0),0)=0,_xlfn.CONCAT("* REVIEW REQUIRED: invalid Variable Type on Sheet 1 row ",598,"."),_xlfn.CONCAT("char ",TRIM($B598),"[doc_vartype] ",CHAR(96),CHAR(34),SUBSTITUTE(SUBSTITUTE(SUBSTITUTE(SUBSTITUTE(SUBSTITUTE(SUBSTITUTE(LOWER(TRIM($C598)),CHAR(13)," "),CHAR(10)," "),CHAR(9)," "),CHAR(92),_xlfn.CONCAT(CHAR(92),CHAR(92))),"$",_xlfn.CONCAT(CHAR(92),"$")),CHAR(96),_xlfn.CONCAT(CHAR(92),CHAR(96))),CHAR(34),CHAR(39))))</f>
        <v/>
      </c>
      <c r="N598" s="5" t="str">
        <f>IF(OR(TRIM($B598)="",$D598=""),"",IF(OR(ISNUMBER(SEARCH(_xlfn.CONCAT(CHAR(96),CHAR(34)),$D598)),ISNUMBER(SEARCH(_xlfn.CONCAT(CHAR(34),CHAR(39)),$D598))),_xlfn.CONCAT("* REVIEW REQUIRED: compound-quote delimiter in Item Number on Sheet 1 row ",598,"; edit the input before running."),_xlfn.CONCAT("char ",TRIM($B598),"[doc_itemnum] ",CHAR(96),CHAR(34),SUBSTITUTE(SUBSTITUTE(SUBSTITUTE(SUBSTITUTE(SUBSTITUTE(SUBSTITUTE($D598,CHAR(13)," "),CHAR(10)," "),CHAR(9)," "),CHAR(92),_xlfn.CONCAT(CHAR(92),CHAR(92))),"$",_xlfn.CONCAT(CHAR(92),"$")),CHAR(96),_xlfn.CONCAT(CHAR(92),CHAR(96))),CHAR(34),CHAR(39))))</f>
        <v/>
      </c>
      <c r="O598" s="5" t="str">
        <f>IF(OR(TRIM($B598)="",$E598=""),"",IF(OR(ISNUMBER(SEARCH(_xlfn.CONCAT(CHAR(96),CHAR(34)),$E598)),ISNUMBER(SEARCH(_xlfn.CONCAT(CHAR(34),CHAR(39)),$E598))),_xlfn.CONCAT("* REVIEW REQUIRED: compound-quote delimiter in Question Wording on Sheet 1 row ",598,"; edit the input before running."),_xlfn.CONCAT("char ",TRIM($B598),"[doc_question] ",CHAR(96),CHAR(34),SUBSTITUTE(SUBSTITUTE(SUBSTITUTE(SUBSTITUTE(SUBSTITUTE(SUBSTITUTE($E598,CHAR(13)," "),CHAR(10)," "),CHAR(9)," "),CHAR(92),_xlfn.CONCAT(CHAR(92),CHAR(92))),"$",_xlfn.CONCAT(CHAR(92),"$")),CHAR(96),_xlfn.CONCAT(CHAR(92),CHAR(96))),CHAR(34),CHAR(39))))</f>
        <v/>
      </c>
      <c r="P598" s="5" t="str">
        <f>IF(OR(TRIM($B598)="",$F598=""),"",IF(OR(ISNUMBER(SEARCH(_xlfn.CONCAT(CHAR(96),CHAR(34)),$F598)),ISNUMBER(SEARCH(_xlfn.CONCAT(CHAR(34),CHAR(39)),$F598))),_xlfn.CONCAT("* REVIEW REQUIRED: compound-quote delimiter in Units on Sheet 1 row ",598,"; edit the input before running."),_xlfn.CONCAT("char ",TRIM($B598),"[doc_units] ",CHAR(96),CHAR(34),SUBSTITUTE(SUBSTITUTE(SUBSTITUTE(SUBSTITUTE(SUBSTITUTE(SUBSTITUTE($F598,CHAR(13)," "),CHAR(10)," "),CHAR(9)," "),CHAR(92),_xlfn.CONCAT(CHAR(92),CHAR(92))),"$",_xlfn.CONCAT(CHAR(92),"$")),CHAR(96),_xlfn.CONCAT(CHAR(92),CHAR(96))),CHAR(34),CHAR(39))))</f>
        <v/>
      </c>
      <c r="Q598" s="5" t="str">
        <f>IF(OR(TRIM($B598)="",$G598=""),"",IF(OR(ISNUMBER(SEARCH(_xlfn.CONCAT(CHAR(96),CHAR(34)),$G598)),ISNUMBER(SEARCH(_xlfn.CONCAT(CHAR(34),CHAR(39)),$G598))),_xlfn.CONCAT("* REVIEW REQUIRED: compound-quote delimiter in Universe on Sheet 1 row ",598,"; edit the input before running."),_xlfn.CONCAT("char ",TRIM($B598),"[doc_universe] ",CHAR(96),CHAR(34),SUBSTITUTE(SUBSTITUTE(SUBSTITUTE(SUBSTITUTE(SUBSTITUTE(SUBSTITUTE($G598,CHAR(13)," "),CHAR(10)," "),CHAR(9)," "),CHAR(92),_xlfn.CONCAT(CHAR(92),CHAR(92))),"$",_xlfn.CONCAT(CHAR(92),"$")),CHAR(96),_xlfn.CONCAT(CHAR(92),CHAR(96))),CHAR(34),CHAR(39))))</f>
        <v/>
      </c>
      <c r="R598" s="5" t="str">
        <f>IF(OR(TRIM($B598)="",$H598=""),"",IF(OR(ISNUMBER(SEARCH(_xlfn.CONCAT(CHAR(96),CHAR(34)),$H598)),ISNUMBER(SEARCH(_xlfn.CONCAT(CHAR(34),CHAR(39)),$H598))),_xlfn.CONCAT("* REVIEW REQUIRED: compound-quote delimiter in Source on Sheet 1 row ",598,"; edit the input before running."),_xlfn.CONCAT("char ",TRIM($B598),"[doc_source] ",CHAR(96),CHAR(34),SUBSTITUTE(SUBSTITUTE(SUBSTITUTE(SUBSTITUTE(SUBSTITUTE(SUBSTITUTE($H598,CHAR(13)," "),CHAR(10)," "),CHAR(9)," "),CHAR(92),_xlfn.CONCAT(CHAR(92),CHAR(92))),"$",_xlfn.CONCAT(CHAR(92),"$")),CHAR(96),_xlfn.CONCAT(CHAR(92),CHAR(96))),CHAR(34),CHAR(39))))</f>
        <v/>
      </c>
      <c r="S598" s="5" t="str">
        <f>IF(OR(TRIM($B598)="",$I598=""),"",IF(OR(ISNUMBER(SEARCH(_xlfn.CONCAT(CHAR(96),CHAR(34)),$I598)),ISNUMBER(SEARCH(_xlfn.CONCAT(CHAR(34),CHAR(39)),$I598))),_xlfn.CONCAT("* REVIEW REQUIRED: compound-quote delimiter in Derivation on Sheet 1 row ",598,"; edit the input before running."),_xlfn.CONCAT("char ",TRIM($B598),"[doc_derivation] ",CHAR(96),CHAR(34),SUBSTITUTE(SUBSTITUTE(SUBSTITUTE(SUBSTITUTE(SUBSTITUTE(SUBSTITUTE($I598,CHAR(13)," "),CHAR(10)," "),CHAR(9)," "),CHAR(92),_xlfn.CONCAT(CHAR(92),CHAR(92))),"$",_xlfn.CONCAT(CHAR(92),"$")),CHAR(96),_xlfn.CONCAT(CHAR(92),CHAR(96))),CHAR(34),CHAR(39))))</f>
        <v/>
      </c>
      <c r="T598" s="5" t="str">
        <f>IF(OR(TRIM($B598)="",$J598=""),"",IF(OR(ISNUMBER(SEARCH(_xlfn.CONCAT(CHAR(96),CHAR(34)),$J598)),ISNUMBER(SEARCH(_xlfn.CONCAT(CHAR(34),CHAR(39)),$J598))),_xlfn.CONCAT("* REVIEW REQUIRED: compound-quote delimiter in Notes on Sheet 1 row ",598,"; edit the input before running."),_xlfn.CONCAT("char ",TRIM($B598),"[doc_notes] ",CHAR(96),CHAR(34),SUBSTITUTE(SUBSTITUTE(SUBSTITUTE(SUBSTITUTE(SUBSTITUTE(SUBSTITUTE($J598,CHAR(13)," "),CHAR(10)," "),CHAR(9)," "),CHAR(92),_xlfn.CONCAT(CHAR(92),CHAR(92))),"$",_xlfn.CONCAT(CHAR(92),"$")),CHAR(96),_xlfn.CONCAT(CHAR(92),CHAR(96))),CHAR(34),CHAR(39))))</f>
        <v/>
      </c>
      <c r="U598" s="5">
        <f t="shared" si="19"/>
        <v>0</v>
      </c>
    </row>
    <row r="599" spans="3:21" ht="30" customHeight="1" x14ac:dyDescent="0.2">
      <c r="C599" s="4"/>
      <c r="K599" s="5">
        <f t="shared" si="18"/>
        <v>0</v>
      </c>
      <c r="L599" s="5" t="str">
        <f>IF(OR(TRIM($B599)="",$A599=""),"",IF(OR(ISNUMBER(SEARCH(_xlfn.CONCAT(CHAR(96),CHAR(34)),$A599)),ISNUMBER(SEARCH(_xlfn.CONCAT(CHAR(34),CHAR(39)),$A599))),_xlfn.CONCAT("* REVIEW REQUIRED: compound-quote delimiter in Codebook Section on Sheet 1 row ",599,"; edit the input before running."),_xlfn.CONCAT("char ",TRIM($B599),"[doc_section] ",CHAR(96),CHAR(34),SUBSTITUTE(SUBSTITUTE(SUBSTITUTE(SUBSTITUTE(SUBSTITUTE(SUBSTITUTE($A599,CHAR(13)," "),CHAR(10)," "),CHAR(9)," "),CHAR(92),_xlfn.CONCAT(CHAR(92),CHAR(92))),"$",_xlfn.CONCAT(CHAR(92),"$")),CHAR(96),_xlfn.CONCAT(CHAR(92),CHAR(96))),CHAR(34),CHAR(39))))</f>
        <v/>
      </c>
      <c r="M599" s="5" t="str">
        <f>IF(OR(TRIM($B599)="",$C599=""),"",IF(IFERROR(MATCH(TRIM($C599),{"Quantitative","Continuous","Discrete","Categorical","Nominal","Ordinal","Identifier"},0),0)=0,_xlfn.CONCAT("* REVIEW REQUIRED: invalid Variable Type on Sheet 1 row ",599,"."),_xlfn.CONCAT("char ",TRIM($B599),"[doc_vartype] ",CHAR(96),CHAR(34),SUBSTITUTE(SUBSTITUTE(SUBSTITUTE(SUBSTITUTE(SUBSTITUTE(SUBSTITUTE(LOWER(TRIM($C599)),CHAR(13)," "),CHAR(10)," "),CHAR(9)," "),CHAR(92),_xlfn.CONCAT(CHAR(92),CHAR(92))),"$",_xlfn.CONCAT(CHAR(92),"$")),CHAR(96),_xlfn.CONCAT(CHAR(92),CHAR(96))),CHAR(34),CHAR(39))))</f>
        <v/>
      </c>
      <c r="N599" s="5" t="str">
        <f>IF(OR(TRIM($B599)="",$D599=""),"",IF(OR(ISNUMBER(SEARCH(_xlfn.CONCAT(CHAR(96),CHAR(34)),$D599)),ISNUMBER(SEARCH(_xlfn.CONCAT(CHAR(34),CHAR(39)),$D599))),_xlfn.CONCAT("* REVIEW REQUIRED: compound-quote delimiter in Item Number on Sheet 1 row ",599,"; edit the input before running."),_xlfn.CONCAT("char ",TRIM($B599),"[doc_itemnum] ",CHAR(96),CHAR(34),SUBSTITUTE(SUBSTITUTE(SUBSTITUTE(SUBSTITUTE(SUBSTITUTE(SUBSTITUTE($D599,CHAR(13)," "),CHAR(10)," "),CHAR(9)," "),CHAR(92),_xlfn.CONCAT(CHAR(92),CHAR(92))),"$",_xlfn.CONCAT(CHAR(92),"$")),CHAR(96),_xlfn.CONCAT(CHAR(92),CHAR(96))),CHAR(34),CHAR(39))))</f>
        <v/>
      </c>
      <c r="O599" s="5" t="str">
        <f>IF(OR(TRIM($B599)="",$E599=""),"",IF(OR(ISNUMBER(SEARCH(_xlfn.CONCAT(CHAR(96),CHAR(34)),$E599)),ISNUMBER(SEARCH(_xlfn.CONCAT(CHAR(34),CHAR(39)),$E599))),_xlfn.CONCAT("* REVIEW REQUIRED: compound-quote delimiter in Question Wording on Sheet 1 row ",599,"; edit the input before running."),_xlfn.CONCAT("char ",TRIM($B599),"[doc_question] ",CHAR(96),CHAR(34),SUBSTITUTE(SUBSTITUTE(SUBSTITUTE(SUBSTITUTE(SUBSTITUTE(SUBSTITUTE($E599,CHAR(13)," "),CHAR(10)," "),CHAR(9)," "),CHAR(92),_xlfn.CONCAT(CHAR(92),CHAR(92))),"$",_xlfn.CONCAT(CHAR(92),"$")),CHAR(96),_xlfn.CONCAT(CHAR(92),CHAR(96))),CHAR(34),CHAR(39))))</f>
        <v/>
      </c>
      <c r="P599" s="5" t="str">
        <f>IF(OR(TRIM($B599)="",$F599=""),"",IF(OR(ISNUMBER(SEARCH(_xlfn.CONCAT(CHAR(96),CHAR(34)),$F599)),ISNUMBER(SEARCH(_xlfn.CONCAT(CHAR(34),CHAR(39)),$F599))),_xlfn.CONCAT("* REVIEW REQUIRED: compound-quote delimiter in Units on Sheet 1 row ",599,"; edit the input before running."),_xlfn.CONCAT("char ",TRIM($B599),"[doc_units] ",CHAR(96),CHAR(34),SUBSTITUTE(SUBSTITUTE(SUBSTITUTE(SUBSTITUTE(SUBSTITUTE(SUBSTITUTE($F599,CHAR(13)," "),CHAR(10)," "),CHAR(9)," "),CHAR(92),_xlfn.CONCAT(CHAR(92),CHAR(92))),"$",_xlfn.CONCAT(CHAR(92),"$")),CHAR(96),_xlfn.CONCAT(CHAR(92),CHAR(96))),CHAR(34),CHAR(39))))</f>
        <v/>
      </c>
      <c r="Q599" s="5" t="str">
        <f>IF(OR(TRIM($B599)="",$G599=""),"",IF(OR(ISNUMBER(SEARCH(_xlfn.CONCAT(CHAR(96),CHAR(34)),$G599)),ISNUMBER(SEARCH(_xlfn.CONCAT(CHAR(34),CHAR(39)),$G599))),_xlfn.CONCAT("* REVIEW REQUIRED: compound-quote delimiter in Universe on Sheet 1 row ",599,"; edit the input before running."),_xlfn.CONCAT("char ",TRIM($B599),"[doc_universe] ",CHAR(96),CHAR(34),SUBSTITUTE(SUBSTITUTE(SUBSTITUTE(SUBSTITUTE(SUBSTITUTE(SUBSTITUTE($G599,CHAR(13)," "),CHAR(10)," "),CHAR(9)," "),CHAR(92),_xlfn.CONCAT(CHAR(92),CHAR(92))),"$",_xlfn.CONCAT(CHAR(92),"$")),CHAR(96),_xlfn.CONCAT(CHAR(92),CHAR(96))),CHAR(34),CHAR(39))))</f>
        <v/>
      </c>
      <c r="R599" s="5" t="str">
        <f>IF(OR(TRIM($B599)="",$H599=""),"",IF(OR(ISNUMBER(SEARCH(_xlfn.CONCAT(CHAR(96),CHAR(34)),$H599)),ISNUMBER(SEARCH(_xlfn.CONCAT(CHAR(34),CHAR(39)),$H599))),_xlfn.CONCAT("* REVIEW REQUIRED: compound-quote delimiter in Source on Sheet 1 row ",599,"; edit the input before running."),_xlfn.CONCAT("char ",TRIM($B599),"[doc_source] ",CHAR(96),CHAR(34),SUBSTITUTE(SUBSTITUTE(SUBSTITUTE(SUBSTITUTE(SUBSTITUTE(SUBSTITUTE($H599,CHAR(13)," "),CHAR(10)," "),CHAR(9)," "),CHAR(92),_xlfn.CONCAT(CHAR(92),CHAR(92))),"$",_xlfn.CONCAT(CHAR(92),"$")),CHAR(96),_xlfn.CONCAT(CHAR(92),CHAR(96))),CHAR(34),CHAR(39))))</f>
        <v/>
      </c>
      <c r="S599" s="5" t="str">
        <f>IF(OR(TRIM($B599)="",$I599=""),"",IF(OR(ISNUMBER(SEARCH(_xlfn.CONCAT(CHAR(96),CHAR(34)),$I599)),ISNUMBER(SEARCH(_xlfn.CONCAT(CHAR(34),CHAR(39)),$I599))),_xlfn.CONCAT("* REVIEW REQUIRED: compound-quote delimiter in Derivation on Sheet 1 row ",599,"; edit the input before running."),_xlfn.CONCAT("char ",TRIM($B599),"[doc_derivation] ",CHAR(96),CHAR(34),SUBSTITUTE(SUBSTITUTE(SUBSTITUTE(SUBSTITUTE(SUBSTITUTE(SUBSTITUTE($I599,CHAR(13)," "),CHAR(10)," "),CHAR(9)," "),CHAR(92),_xlfn.CONCAT(CHAR(92),CHAR(92))),"$",_xlfn.CONCAT(CHAR(92),"$")),CHAR(96),_xlfn.CONCAT(CHAR(92),CHAR(96))),CHAR(34),CHAR(39))))</f>
        <v/>
      </c>
      <c r="T599" s="5" t="str">
        <f>IF(OR(TRIM($B599)="",$J599=""),"",IF(OR(ISNUMBER(SEARCH(_xlfn.CONCAT(CHAR(96),CHAR(34)),$J599)),ISNUMBER(SEARCH(_xlfn.CONCAT(CHAR(34),CHAR(39)),$J599))),_xlfn.CONCAT("* REVIEW REQUIRED: compound-quote delimiter in Notes on Sheet 1 row ",599,"; edit the input before running."),_xlfn.CONCAT("char ",TRIM($B599),"[doc_notes] ",CHAR(96),CHAR(34),SUBSTITUTE(SUBSTITUTE(SUBSTITUTE(SUBSTITUTE(SUBSTITUTE(SUBSTITUTE($J599,CHAR(13)," "),CHAR(10)," "),CHAR(9)," "),CHAR(92),_xlfn.CONCAT(CHAR(92),CHAR(92))),"$",_xlfn.CONCAT(CHAR(92),"$")),CHAR(96),_xlfn.CONCAT(CHAR(92),CHAR(96))),CHAR(34),CHAR(39))))</f>
        <v/>
      </c>
      <c r="U599" s="5">
        <f t="shared" si="19"/>
        <v>0</v>
      </c>
    </row>
    <row r="600" spans="3:21" ht="30" customHeight="1" x14ac:dyDescent="0.2">
      <c r="C600" s="4"/>
      <c r="K600" s="5">
        <f t="shared" si="18"/>
        <v>0</v>
      </c>
      <c r="L600" s="5" t="str">
        <f>IF(OR(TRIM($B600)="",$A600=""),"",IF(OR(ISNUMBER(SEARCH(_xlfn.CONCAT(CHAR(96),CHAR(34)),$A600)),ISNUMBER(SEARCH(_xlfn.CONCAT(CHAR(34),CHAR(39)),$A600))),_xlfn.CONCAT("* REVIEW REQUIRED: compound-quote delimiter in Codebook Section on Sheet 1 row ",600,"; edit the input before running."),_xlfn.CONCAT("char ",TRIM($B600),"[doc_section] ",CHAR(96),CHAR(34),SUBSTITUTE(SUBSTITUTE(SUBSTITUTE(SUBSTITUTE(SUBSTITUTE(SUBSTITUTE($A600,CHAR(13)," "),CHAR(10)," "),CHAR(9)," "),CHAR(92),_xlfn.CONCAT(CHAR(92),CHAR(92))),"$",_xlfn.CONCAT(CHAR(92),"$")),CHAR(96),_xlfn.CONCAT(CHAR(92),CHAR(96))),CHAR(34),CHAR(39))))</f>
        <v/>
      </c>
      <c r="M600" s="5" t="str">
        <f>IF(OR(TRIM($B600)="",$C600=""),"",IF(IFERROR(MATCH(TRIM($C600),{"Quantitative","Continuous","Discrete","Categorical","Nominal","Ordinal","Identifier"},0),0)=0,_xlfn.CONCAT("* REVIEW REQUIRED: invalid Variable Type on Sheet 1 row ",600,"."),_xlfn.CONCAT("char ",TRIM($B600),"[doc_vartype] ",CHAR(96),CHAR(34),SUBSTITUTE(SUBSTITUTE(SUBSTITUTE(SUBSTITUTE(SUBSTITUTE(SUBSTITUTE(LOWER(TRIM($C600)),CHAR(13)," "),CHAR(10)," "),CHAR(9)," "),CHAR(92),_xlfn.CONCAT(CHAR(92),CHAR(92))),"$",_xlfn.CONCAT(CHAR(92),"$")),CHAR(96),_xlfn.CONCAT(CHAR(92),CHAR(96))),CHAR(34),CHAR(39))))</f>
        <v/>
      </c>
      <c r="N600" s="5" t="str">
        <f>IF(OR(TRIM($B600)="",$D600=""),"",IF(OR(ISNUMBER(SEARCH(_xlfn.CONCAT(CHAR(96),CHAR(34)),$D600)),ISNUMBER(SEARCH(_xlfn.CONCAT(CHAR(34),CHAR(39)),$D600))),_xlfn.CONCAT("* REVIEW REQUIRED: compound-quote delimiter in Item Number on Sheet 1 row ",600,"; edit the input before running."),_xlfn.CONCAT("char ",TRIM($B600),"[doc_itemnum] ",CHAR(96),CHAR(34),SUBSTITUTE(SUBSTITUTE(SUBSTITUTE(SUBSTITUTE(SUBSTITUTE(SUBSTITUTE($D600,CHAR(13)," "),CHAR(10)," "),CHAR(9)," "),CHAR(92),_xlfn.CONCAT(CHAR(92),CHAR(92))),"$",_xlfn.CONCAT(CHAR(92),"$")),CHAR(96),_xlfn.CONCAT(CHAR(92),CHAR(96))),CHAR(34),CHAR(39))))</f>
        <v/>
      </c>
      <c r="O600" s="5" t="str">
        <f>IF(OR(TRIM($B600)="",$E600=""),"",IF(OR(ISNUMBER(SEARCH(_xlfn.CONCAT(CHAR(96),CHAR(34)),$E600)),ISNUMBER(SEARCH(_xlfn.CONCAT(CHAR(34),CHAR(39)),$E600))),_xlfn.CONCAT("* REVIEW REQUIRED: compound-quote delimiter in Question Wording on Sheet 1 row ",600,"; edit the input before running."),_xlfn.CONCAT("char ",TRIM($B600),"[doc_question] ",CHAR(96),CHAR(34),SUBSTITUTE(SUBSTITUTE(SUBSTITUTE(SUBSTITUTE(SUBSTITUTE(SUBSTITUTE($E600,CHAR(13)," "),CHAR(10)," "),CHAR(9)," "),CHAR(92),_xlfn.CONCAT(CHAR(92),CHAR(92))),"$",_xlfn.CONCAT(CHAR(92),"$")),CHAR(96),_xlfn.CONCAT(CHAR(92),CHAR(96))),CHAR(34),CHAR(39))))</f>
        <v/>
      </c>
      <c r="P600" s="5" t="str">
        <f>IF(OR(TRIM($B600)="",$F600=""),"",IF(OR(ISNUMBER(SEARCH(_xlfn.CONCAT(CHAR(96),CHAR(34)),$F600)),ISNUMBER(SEARCH(_xlfn.CONCAT(CHAR(34),CHAR(39)),$F600))),_xlfn.CONCAT("* REVIEW REQUIRED: compound-quote delimiter in Units on Sheet 1 row ",600,"; edit the input before running."),_xlfn.CONCAT("char ",TRIM($B600),"[doc_units] ",CHAR(96),CHAR(34),SUBSTITUTE(SUBSTITUTE(SUBSTITUTE(SUBSTITUTE(SUBSTITUTE(SUBSTITUTE($F600,CHAR(13)," "),CHAR(10)," "),CHAR(9)," "),CHAR(92),_xlfn.CONCAT(CHAR(92),CHAR(92))),"$",_xlfn.CONCAT(CHAR(92),"$")),CHAR(96),_xlfn.CONCAT(CHAR(92),CHAR(96))),CHAR(34),CHAR(39))))</f>
        <v/>
      </c>
      <c r="Q600" s="5" t="str">
        <f>IF(OR(TRIM($B600)="",$G600=""),"",IF(OR(ISNUMBER(SEARCH(_xlfn.CONCAT(CHAR(96),CHAR(34)),$G600)),ISNUMBER(SEARCH(_xlfn.CONCAT(CHAR(34),CHAR(39)),$G600))),_xlfn.CONCAT("* REVIEW REQUIRED: compound-quote delimiter in Universe on Sheet 1 row ",600,"; edit the input before running."),_xlfn.CONCAT("char ",TRIM($B600),"[doc_universe] ",CHAR(96),CHAR(34),SUBSTITUTE(SUBSTITUTE(SUBSTITUTE(SUBSTITUTE(SUBSTITUTE(SUBSTITUTE($G600,CHAR(13)," "),CHAR(10)," "),CHAR(9)," "),CHAR(92),_xlfn.CONCAT(CHAR(92),CHAR(92))),"$",_xlfn.CONCAT(CHAR(92),"$")),CHAR(96),_xlfn.CONCAT(CHAR(92),CHAR(96))),CHAR(34),CHAR(39))))</f>
        <v/>
      </c>
      <c r="R600" s="5" t="str">
        <f>IF(OR(TRIM($B600)="",$H600=""),"",IF(OR(ISNUMBER(SEARCH(_xlfn.CONCAT(CHAR(96),CHAR(34)),$H600)),ISNUMBER(SEARCH(_xlfn.CONCAT(CHAR(34),CHAR(39)),$H600))),_xlfn.CONCAT("* REVIEW REQUIRED: compound-quote delimiter in Source on Sheet 1 row ",600,"; edit the input before running."),_xlfn.CONCAT("char ",TRIM($B600),"[doc_source] ",CHAR(96),CHAR(34),SUBSTITUTE(SUBSTITUTE(SUBSTITUTE(SUBSTITUTE(SUBSTITUTE(SUBSTITUTE($H600,CHAR(13)," "),CHAR(10)," "),CHAR(9)," "),CHAR(92),_xlfn.CONCAT(CHAR(92),CHAR(92))),"$",_xlfn.CONCAT(CHAR(92),"$")),CHAR(96),_xlfn.CONCAT(CHAR(92),CHAR(96))),CHAR(34),CHAR(39))))</f>
        <v/>
      </c>
      <c r="S600" s="5" t="str">
        <f>IF(OR(TRIM($B600)="",$I600=""),"",IF(OR(ISNUMBER(SEARCH(_xlfn.CONCAT(CHAR(96),CHAR(34)),$I600)),ISNUMBER(SEARCH(_xlfn.CONCAT(CHAR(34),CHAR(39)),$I600))),_xlfn.CONCAT("* REVIEW REQUIRED: compound-quote delimiter in Derivation on Sheet 1 row ",600,"; edit the input before running."),_xlfn.CONCAT("char ",TRIM($B600),"[doc_derivation] ",CHAR(96),CHAR(34),SUBSTITUTE(SUBSTITUTE(SUBSTITUTE(SUBSTITUTE(SUBSTITUTE(SUBSTITUTE($I600,CHAR(13)," "),CHAR(10)," "),CHAR(9)," "),CHAR(92),_xlfn.CONCAT(CHAR(92),CHAR(92))),"$",_xlfn.CONCAT(CHAR(92),"$")),CHAR(96),_xlfn.CONCAT(CHAR(92),CHAR(96))),CHAR(34),CHAR(39))))</f>
        <v/>
      </c>
      <c r="T600" s="5" t="str">
        <f>IF(OR(TRIM($B600)="",$J600=""),"",IF(OR(ISNUMBER(SEARCH(_xlfn.CONCAT(CHAR(96),CHAR(34)),$J600)),ISNUMBER(SEARCH(_xlfn.CONCAT(CHAR(34),CHAR(39)),$J600))),_xlfn.CONCAT("* REVIEW REQUIRED: compound-quote delimiter in Notes on Sheet 1 row ",600,"; edit the input before running."),_xlfn.CONCAT("char ",TRIM($B600),"[doc_notes] ",CHAR(96),CHAR(34),SUBSTITUTE(SUBSTITUTE(SUBSTITUTE(SUBSTITUTE(SUBSTITUTE(SUBSTITUTE($J600,CHAR(13)," "),CHAR(10)," "),CHAR(9)," "),CHAR(92),_xlfn.CONCAT(CHAR(92),CHAR(92))),"$",_xlfn.CONCAT(CHAR(92),"$")),CHAR(96),_xlfn.CONCAT(CHAR(92),CHAR(96))),CHAR(34),CHAR(39))))</f>
        <v/>
      </c>
      <c r="U600" s="5">
        <f t="shared" si="19"/>
        <v>0</v>
      </c>
    </row>
    <row r="601" spans="3:21" ht="30" customHeight="1" x14ac:dyDescent="0.2">
      <c r="C601" s="4"/>
      <c r="K601" s="5">
        <f t="shared" si="18"/>
        <v>0</v>
      </c>
      <c r="L601" s="5" t="str">
        <f>IF(OR(TRIM($B601)="",$A601=""),"",IF(OR(ISNUMBER(SEARCH(_xlfn.CONCAT(CHAR(96),CHAR(34)),$A601)),ISNUMBER(SEARCH(_xlfn.CONCAT(CHAR(34),CHAR(39)),$A601))),_xlfn.CONCAT("* REVIEW REQUIRED: compound-quote delimiter in Codebook Section on Sheet 1 row ",601,"; edit the input before running."),_xlfn.CONCAT("char ",TRIM($B601),"[doc_section] ",CHAR(96),CHAR(34),SUBSTITUTE(SUBSTITUTE(SUBSTITUTE(SUBSTITUTE(SUBSTITUTE(SUBSTITUTE($A601,CHAR(13)," "),CHAR(10)," "),CHAR(9)," "),CHAR(92),_xlfn.CONCAT(CHAR(92),CHAR(92))),"$",_xlfn.CONCAT(CHAR(92),"$")),CHAR(96),_xlfn.CONCAT(CHAR(92),CHAR(96))),CHAR(34),CHAR(39))))</f>
        <v/>
      </c>
      <c r="M601" s="5" t="str">
        <f>IF(OR(TRIM($B601)="",$C601=""),"",IF(IFERROR(MATCH(TRIM($C601),{"Quantitative","Continuous","Discrete","Categorical","Nominal","Ordinal","Identifier"},0),0)=0,_xlfn.CONCAT("* REVIEW REQUIRED: invalid Variable Type on Sheet 1 row ",601,"."),_xlfn.CONCAT("char ",TRIM($B601),"[doc_vartype] ",CHAR(96),CHAR(34),SUBSTITUTE(SUBSTITUTE(SUBSTITUTE(SUBSTITUTE(SUBSTITUTE(SUBSTITUTE(LOWER(TRIM($C601)),CHAR(13)," "),CHAR(10)," "),CHAR(9)," "),CHAR(92),_xlfn.CONCAT(CHAR(92),CHAR(92))),"$",_xlfn.CONCAT(CHAR(92),"$")),CHAR(96),_xlfn.CONCAT(CHAR(92),CHAR(96))),CHAR(34),CHAR(39))))</f>
        <v/>
      </c>
      <c r="N601" s="5" t="str">
        <f>IF(OR(TRIM($B601)="",$D601=""),"",IF(OR(ISNUMBER(SEARCH(_xlfn.CONCAT(CHAR(96),CHAR(34)),$D601)),ISNUMBER(SEARCH(_xlfn.CONCAT(CHAR(34),CHAR(39)),$D601))),_xlfn.CONCAT("* REVIEW REQUIRED: compound-quote delimiter in Item Number on Sheet 1 row ",601,"; edit the input before running."),_xlfn.CONCAT("char ",TRIM($B601),"[doc_itemnum] ",CHAR(96),CHAR(34),SUBSTITUTE(SUBSTITUTE(SUBSTITUTE(SUBSTITUTE(SUBSTITUTE(SUBSTITUTE($D601,CHAR(13)," "),CHAR(10)," "),CHAR(9)," "),CHAR(92),_xlfn.CONCAT(CHAR(92),CHAR(92))),"$",_xlfn.CONCAT(CHAR(92),"$")),CHAR(96),_xlfn.CONCAT(CHAR(92),CHAR(96))),CHAR(34),CHAR(39))))</f>
        <v/>
      </c>
      <c r="O601" s="5" t="str">
        <f>IF(OR(TRIM($B601)="",$E601=""),"",IF(OR(ISNUMBER(SEARCH(_xlfn.CONCAT(CHAR(96),CHAR(34)),$E601)),ISNUMBER(SEARCH(_xlfn.CONCAT(CHAR(34),CHAR(39)),$E601))),_xlfn.CONCAT("* REVIEW REQUIRED: compound-quote delimiter in Question Wording on Sheet 1 row ",601,"; edit the input before running."),_xlfn.CONCAT("char ",TRIM($B601),"[doc_question] ",CHAR(96),CHAR(34),SUBSTITUTE(SUBSTITUTE(SUBSTITUTE(SUBSTITUTE(SUBSTITUTE(SUBSTITUTE($E601,CHAR(13)," "),CHAR(10)," "),CHAR(9)," "),CHAR(92),_xlfn.CONCAT(CHAR(92),CHAR(92))),"$",_xlfn.CONCAT(CHAR(92),"$")),CHAR(96),_xlfn.CONCAT(CHAR(92),CHAR(96))),CHAR(34),CHAR(39))))</f>
        <v/>
      </c>
      <c r="P601" s="5" t="str">
        <f>IF(OR(TRIM($B601)="",$F601=""),"",IF(OR(ISNUMBER(SEARCH(_xlfn.CONCAT(CHAR(96),CHAR(34)),$F601)),ISNUMBER(SEARCH(_xlfn.CONCAT(CHAR(34),CHAR(39)),$F601))),_xlfn.CONCAT("* REVIEW REQUIRED: compound-quote delimiter in Units on Sheet 1 row ",601,"; edit the input before running."),_xlfn.CONCAT("char ",TRIM($B601),"[doc_units] ",CHAR(96),CHAR(34),SUBSTITUTE(SUBSTITUTE(SUBSTITUTE(SUBSTITUTE(SUBSTITUTE(SUBSTITUTE($F601,CHAR(13)," "),CHAR(10)," "),CHAR(9)," "),CHAR(92),_xlfn.CONCAT(CHAR(92),CHAR(92))),"$",_xlfn.CONCAT(CHAR(92),"$")),CHAR(96),_xlfn.CONCAT(CHAR(92),CHAR(96))),CHAR(34),CHAR(39))))</f>
        <v/>
      </c>
      <c r="Q601" s="5" t="str">
        <f>IF(OR(TRIM($B601)="",$G601=""),"",IF(OR(ISNUMBER(SEARCH(_xlfn.CONCAT(CHAR(96),CHAR(34)),$G601)),ISNUMBER(SEARCH(_xlfn.CONCAT(CHAR(34),CHAR(39)),$G601))),_xlfn.CONCAT("* REVIEW REQUIRED: compound-quote delimiter in Universe on Sheet 1 row ",601,"; edit the input before running."),_xlfn.CONCAT("char ",TRIM($B601),"[doc_universe] ",CHAR(96),CHAR(34),SUBSTITUTE(SUBSTITUTE(SUBSTITUTE(SUBSTITUTE(SUBSTITUTE(SUBSTITUTE($G601,CHAR(13)," "),CHAR(10)," "),CHAR(9)," "),CHAR(92),_xlfn.CONCAT(CHAR(92),CHAR(92))),"$",_xlfn.CONCAT(CHAR(92),"$")),CHAR(96),_xlfn.CONCAT(CHAR(92),CHAR(96))),CHAR(34),CHAR(39))))</f>
        <v/>
      </c>
      <c r="R601" s="5" t="str">
        <f>IF(OR(TRIM($B601)="",$H601=""),"",IF(OR(ISNUMBER(SEARCH(_xlfn.CONCAT(CHAR(96),CHAR(34)),$H601)),ISNUMBER(SEARCH(_xlfn.CONCAT(CHAR(34),CHAR(39)),$H601))),_xlfn.CONCAT("* REVIEW REQUIRED: compound-quote delimiter in Source on Sheet 1 row ",601,"; edit the input before running."),_xlfn.CONCAT("char ",TRIM($B601),"[doc_source] ",CHAR(96),CHAR(34),SUBSTITUTE(SUBSTITUTE(SUBSTITUTE(SUBSTITUTE(SUBSTITUTE(SUBSTITUTE($H601,CHAR(13)," "),CHAR(10)," "),CHAR(9)," "),CHAR(92),_xlfn.CONCAT(CHAR(92),CHAR(92))),"$",_xlfn.CONCAT(CHAR(92),"$")),CHAR(96),_xlfn.CONCAT(CHAR(92),CHAR(96))),CHAR(34),CHAR(39))))</f>
        <v/>
      </c>
      <c r="S601" s="5" t="str">
        <f>IF(OR(TRIM($B601)="",$I601=""),"",IF(OR(ISNUMBER(SEARCH(_xlfn.CONCAT(CHAR(96),CHAR(34)),$I601)),ISNUMBER(SEARCH(_xlfn.CONCAT(CHAR(34),CHAR(39)),$I601))),_xlfn.CONCAT("* REVIEW REQUIRED: compound-quote delimiter in Derivation on Sheet 1 row ",601,"; edit the input before running."),_xlfn.CONCAT("char ",TRIM($B601),"[doc_derivation] ",CHAR(96),CHAR(34),SUBSTITUTE(SUBSTITUTE(SUBSTITUTE(SUBSTITUTE(SUBSTITUTE(SUBSTITUTE($I601,CHAR(13)," "),CHAR(10)," "),CHAR(9)," "),CHAR(92),_xlfn.CONCAT(CHAR(92),CHAR(92))),"$",_xlfn.CONCAT(CHAR(92),"$")),CHAR(96),_xlfn.CONCAT(CHAR(92),CHAR(96))),CHAR(34),CHAR(39))))</f>
        <v/>
      </c>
      <c r="T601" s="5" t="str">
        <f>IF(OR(TRIM($B601)="",$J601=""),"",IF(OR(ISNUMBER(SEARCH(_xlfn.CONCAT(CHAR(96),CHAR(34)),$J601)),ISNUMBER(SEARCH(_xlfn.CONCAT(CHAR(34),CHAR(39)),$J601))),_xlfn.CONCAT("* REVIEW REQUIRED: compound-quote delimiter in Notes on Sheet 1 row ",601,"; edit the input before running."),_xlfn.CONCAT("char ",TRIM($B601),"[doc_notes] ",CHAR(96),CHAR(34),SUBSTITUTE(SUBSTITUTE(SUBSTITUTE(SUBSTITUTE(SUBSTITUTE(SUBSTITUTE($J601,CHAR(13)," "),CHAR(10)," "),CHAR(9)," "),CHAR(92),_xlfn.CONCAT(CHAR(92),CHAR(92))),"$",_xlfn.CONCAT(CHAR(92),"$")),CHAR(96),_xlfn.CONCAT(CHAR(92),CHAR(96))),CHAR(34),CHAR(39))))</f>
        <v/>
      </c>
      <c r="U601" s="5">
        <f t="shared" si="19"/>
        <v>0</v>
      </c>
    </row>
    <row r="602" spans="3:21" ht="30" customHeight="1" x14ac:dyDescent="0.2">
      <c r="C602" s="4"/>
      <c r="K602" s="5">
        <f t="shared" si="18"/>
        <v>0</v>
      </c>
      <c r="L602" s="5" t="str">
        <f>IF(OR(TRIM($B602)="",$A602=""),"",IF(OR(ISNUMBER(SEARCH(_xlfn.CONCAT(CHAR(96),CHAR(34)),$A602)),ISNUMBER(SEARCH(_xlfn.CONCAT(CHAR(34),CHAR(39)),$A602))),_xlfn.CONCAT("* REVIEW REQUIRED: compound-quote delimiter in Codebook Section on Sheet 1 row ",602,"; edit the input before running."),_xlfn.CONCAT("char ",TRIM($B602),"[doc_section] ",CHAR(96),CHAR(34),SUBSTITUTE(SUBSTITUTE(SUBSTITUTE(SUBSTITUTE(SUBSTITUTE(SUBSTITUTE($A602,CHAR(13)," "),CHAR(10)," "),CHAR(9)," "),CHAR(92),_xlfn.CONCAT(CHAR(92),CHAR(92))),"$",_xlfn.CONCAT(CHAR(92),"$")),CHAR(96),_xlfn.CONCAT(CHAR(92),CHAR(96))),CHAR(34),CHAR(39))))</f>
        <v/>
      </c>
      <c r="M602" s="5" t="str">
        <f>IF(OR(TRIM($B602)="",$C602=""),"",IF(IFERROR(MATCH(TRIM($C602),{"Quantitative","Continuous","Discrete","Categorical","Nominal","Ordinal","Identifier"},0),0)=0,_xlfn.CONCAT("* REVIEW REQUIRED: invalid Variable Type on Sheet 1 row ",602,"."),_xlfn.CONCAT("char ",TRIM($B602),"[doc_vartype] ",CHAR(96),CHAR(34),SUBSTITUTE(SUBSTITUTE(SUBSTITUTE(SUBSTITUTE(SUBSTITUTE(SUBSTITUTE(LOWER(TRIM($C602)),CHAR(13)," "),CHAR(10)," "),CHAR(9)," "),CHAR(92),_xlfn.CONCAT(CHAR(92),CHAR(92))),"$",_xlfn.CONCAT(CHAR(92),"$")),CHAR(96),_xlfn.CONCAT(CHAR(92),CHAR(96))),CHAR(34),CHAR(39))))</f>
        <v/>
      </c>
      <c r="N602" s="5" t="str">
        <f>IF(OR(TRIM($B602)="",$D602=""),"",IF(OR(ISNUMBER(SEARCH(_xlfn.CONCAT(CHAR(96),CHAR(34)),$D602)),ISNUMBER(SEARCH(_xlfn.CONCAT(CHAR(34),CHAR(39)),$D602))),_xlfn.CONCAT("* REVIEW REQUIRED: compound-quote delimiter in Item Number on Sheet 1 row ",602,"; edit the input before running."),_xlfn.CONCAT("char ",TRIM($B602),"[doc_itemnum] ",CHAR(96),CHAR(34),SUBSTITUTE(SUBSTITUTE(SUBSTITUTE(SUBSTITUTE(SUBSTITUTE(SUBSTITUTE($D602,CHAR(13)," "),CHAR(10)," "),CHAR(9)," "),CHAR(92),_xlfn.CONCAT(CHAR(92),CHAR(92))),"$",_xlfn.CONCAT(CHAR(92),"$")),CHAR(96),_xlfn.CONCAT(CHAR(92),CHAR(96))),CHAR(34),CHAR(39))))</f>
        <v/>
      </c>
      <c r="O602" s="5" t="str">
        <f>IF(OR(TRIM($B602)="",$E602=""),"",IF(OR(ISNUMBER(SEARCH(_xlfn.CONCAT(CHAR(96),CHAR(34)),$E602)),ISNUMBER(SEARCH(_xlfn.CONCAT(CHAR(34),CHAR(39)),$E602))),_xlfn.CONCAT("* REVIEW REQUIRED: compound-quote delimiter in Question Wording on Sheet 1 row ",602,"; edit the input before running."),_xlfn.CONCAT("char ",TRIM($B602),"[doc_question] ",CHAR(96),CHAR(34),SUBSTITUTE(SUBSTITUTE(SUBSTITUTE(SUBSTITUTE(SUBSTITUTE(SUBSTITUTE($E602,CHAR(13)," "),CHAR(10)," "),CHAR(9)," "),CHAR(92),_xlfn.CONCAT(CHAR(92),CHAR(92))),"$",_xlfn.CONCAT(CHAR(92),"$")),CHAR(96),_xlfn.CONCAT(CHAR(92),CHAR(96))),CHAR(34),CHAR(39))))</f>
        <v/>
      </c>
      <c r="P602" s="5" t="str">
        <f>IF(OR(TRIM($B602)="",$F602=""),"",IF(OR(ISNUMBER(SEARCH(_xlfn.CONCAT(CHAR(96),CHAR(34)),$F602)),ISNUMBER(SEARCH(_xlfn.CONCAT(CHAR(34),CHAR(39)),$F602))),_xlfn.CONCAT("* REVIEW REQUIRED: compound-quote delimiter in Units on Sheet 1 row ",602,"; edit the input before running."),_xlfn.CONCAT("char ",TRIM($B602),"[doc_units] ",CHAR(96),CHAR(34),SUBSTITUTE(SUBSTITUTE(SUBSTITUTE(SUBSTITUTE(SUBSTITUTE(SUBSTITUTE($F602,CHAR(13)," "),CHAR(10)," "),CHAR(9)," "),CHAR(92),_xlfn.CONCAT(CHAR(92),CHAR(92))),"$",_xlfn.CONCAT(CHAR(92),"$")),CHAR(96),_xlfn.CONCAT(CHAR(92),CHAR(96))),CHAR(34),CHAR(39))))</f>
        <v/>
      </c>
      <c r="Q602" s="5" t="str">
        <f>IF(OR(TRIM($B602)="",$G602=""),"",IF(OR(ISNUMBER(SEARCH(_xlfn.CONCAT(CHAR(96),CHAR(34)),$G602)),ISNUMBER(SEARCH(_xlfn.CONCAT(CHAR(34),CHAR(39)),$G602))),_xlfn.CONCAT("* REVIEW REQUIRED: compound-quote delimiter in Universe on Sheet 1 row ",602,"; edit the input before running."),_xlfn.CONCAT("char ",TRIM($B602),"[doc_universe] ",CHAR(96),CHAR(34),SUBSTITUTE(SUBSTITUTE(SUBSTITUTE(SUBSTITUTE(SUBSTITUTE(SUBSTITUTE($G602,CHAR(13)," "),CHAR(10)," "),CHAR(9)," "),CHAR(92),_xlfn.CONCAT(CHAR(92),CHAR(92))),"$",_xlfn.CONCAT(CHAR(92),"$")),CHAR(96),_xlfn.CONCAT(CHAR(92),CHAR(96))),CHAR(34),CHAR(39))))</f>
        <v/>
      </c>
      <c r="R602" s="5" t="str">
        <f>IF(OR(TRIM($B602)="",$H602=""),"",IF(OR(ISNUMBER(SEARCH(_xlfn.CONCAT(CHAR(96),CHAR(34)),$H602)),ISNUMBER(SEARCH(_xlfn.CONCAT(CHAR(34),CHAR(39)),$H602))),_xlfn.CONCAT("* REVIEW REQUIRED: compound-quote delimiter in Source on Sheet 1 row ",602,"; edit the input before running."),_xlfn.CONCAT("char ",TRIM($B602),"[doc_source] ",CHAR(96),CHAR(34),SUBSTITUTE(SUBSTITUTE(SUBSTITUTE(SUBSTITUTE(SUBSTITUTE(SUBSTITUTE($H602,CHAR(13)," "),CHAR(10)," "),CHAR(9)," "),CHAR(92),_xlfn.CONCAT(CHAR(92),CHAR(92))),"$",_xlfn.CONCAT(CHAR(92),"$")),CHAR(96),_xlfn.CONCAT(CHAR(92),CHAR(96))),CHAR(34),CHAR(39))))</f>
        <v/>
      </c>
      <c r="S602" s="5" t="str">
        <f>IF(OR(TRIM($B602)="",$I602=""),"",IF(OR(ISNUMBER(SEARCH(_xlfn.CONCAT(CHAR(96),CHAR(34)),$I602)),ISNUMBER(SEARCH(_xlfn.CONCAT(CHAR(34),CHAR(39)),$I602))),_xlfn.CONCAT("* REVIEW REQUIRED: compound-quote delimiter in Derivation on Sheet 1 row ",602,"; edit the input before running."),_xlfn.CONCAT("char ",TRIM($B602),"[doc_derivation] ",CHAR(96),CHAR(34),SUBSTITUTE(SUBSTITUTE(SUBSTITUTE(SUBSTITUTE(SUBSTITUTE(SUBSTITUTE($I602,CHAR(13)," "),CHAR(10)," "),CHAR(9)," "),CHAR(92),_xlfn.CONCAT(CHAR(92),CHAR(92))),"$",_xlfn.CONCAT(CHAR(92),"$")),CHAR(96),_xlfn.CONCAT(CHAR(92),CHAR(96))),CHAR(34),CHAR(39))))</f>
        <v/>
      </c>
      <c r="T602" s="5" t="str">
        <f>IF(OR(TRIM($B602)="",$J602=""),"",IF(OR(ISNUMBER(SEARCH(_xlfn.CONCAT(CHAR(96),CHAR(34)),$J602)),ISNUMBER(SEARCH(_xlfn.CONCAT(CHAR(34),CHAR(39)),$J602))),_xlfn.CONCAT("* REVIEW REQUIRED: compound-quote delimiter in Notes on Sheet 1 row ",602,"; edit the input before running."),_xlfn.CONCAT("char ",TRIM($B602),"[doc_notes] ",CHAR(96),CHAR(34),SUBSTITUTE(SUBSTITUTE(SUBSTITUTE(SUBSTITUTE(SUBSTITUTE(SUBSTITUTE($J602,CHAR(13)," "),CHAR(10)," "),CHAR(9)," "),CHAR(92),_xlfn.CONCAT(CHAR(92),CHAR(92))),"$",_xlfn.CONCAT(CHAR(92),"$")),CHAR(96),_xlfn.CONCAT(CHAR(92),CHAR(96))),CHAR(34),CHAR(39))))</f>
        <v/>
      </c>
      <c r="U602" s="5">
        <f t="shared" si="19"/>
        <v>0</v>
      </c>
    </row>
    <row r="603" spans="3:21" ht="30" customHeight="1" x14ac:dyDescent="0.2">
      <c r="C603" s="4"/>
      <c r="K603" s="5">
        <f t="shared" si="18"/>
        <v>0</v>
      </c>
      <c r="L603" s="5" t="str">
        <f>IF(OR(TRIM($B603)="",$A603=""),"",IF(OR(ISNUMBER(SEARCH(_xlfn.CONCAT(CHAR(96),CHAR(34)),$A603)),ISNUMBER(SEARCH(_xlfn.CONCAT(CHAR(34),CHAR(39)),$A603))),_xlfn.CONCAT("* REVIEW REQUIRED: compound-quote delimiter in Codebook Section on Sheet 1 row ",603,"; edit the input before running."),_xlfn.CONCAT("char ",TRIM($B603),"[doc_section] ",CHAR(96),CHAR(34),SUBSTITUTE(SUBSTITUTE(SUBSTITUTE(SUBSTITUTE(SUBSTITUTE(SUBSTITUTE($A603,CHAR(13)," "),CHAR(10)," "),CHAR(9)," "),CHAR(92),_xlfn.CONCAT(CHAR(92),CHAR(92))),"$",_xlfn.CONCAT(CHAR(92),"$")),CHAR(96),_xlfn.CONCAT(CHAR(92),CHAR(96))),CHAR(34),CHAR(39))))</f>
        <v/>
      </c>
      <c r="M603" s="5" t="str">
        <f>IF(OR(TRIM($B603)="",$C603=""),"",IF(IFERROR(MATCH(TRIM($C603),{"Quantitative","Continuous","Discrete","Categorical","Nominal","Ordinal","Identifier"},0),0)=0,_xlfn.CONCAT("* REVIEW REQUIRED: invalid Variable Type on Sheet 1 row ",603,"."),_xlfn.CONCAT("char ",TRIM($B603),"[doc_vartype] ",CHAR(96),CHAR(34),SUBSTITUTE(SUBSTITUTE(SUBSTITUTE(SUBSTITUTE(SUBSTITUTE(SUBSTITUTE(LOWER(TRIM($C603)),CHAR(13)," "),CHAR(10)," "),CHAR(9)," "),CHAR(92),_xlfn.CONCAT(CHAR(92),CHAR(92))),"$",_xlfn.CONCAT(CHAR(92),"$")),CHAR(96),_xlfn.CONCAT(CHAR(92),CHAR(96))),CHAR(34),CHAR(39))))</f>
        <v/>
      </c>
      <c r="N603" s="5" t="str">
        <f>IF(OR(TRIM($B603)="",$D603=""),"",IF(OR(ISNUMBER(SEARCH(_xlfn.CONCAT(CHAR(96),CHAR(34)),$D603)),ISNUMBER(SEARCH(_xlfn.CONCAT(CHAR(34),CHAR(39)),$D603))),_xlfn.CONCAT("* REVIEW REQUIRED: compound-quote delimiter in Item Number on Sheet 1 row ",603,"; edit the input before running."),_xlfn.CONCAT("char ",TRIM($B603),"[doc_itemnum] ",CHAR(96),CHAR(34),SUBSTITUTE(SUBSTITUTE(SUBSTITUTE(SUBSTITUTE(SUBSTITUTE(SUBSTITUTE($D603,CHAR(13)," "),CHAR(10)," "),CHAR(9)," "),CHAR(92),_xlfn.CONCAT(CHAR(92),CHAR(92))),"$",_xlfn.CONCAT(CHAR(92),"$")),CHAR(96),_xlfn.CONCAT(CHAR(92),CHAR(96))),CHAR(34),CHAR(39))))</f>
        <v/>
      </c>
      <c r="O603" s="5" t="str">
        <f>IF(OR(TRIM($B603)="",$E603=""),"",IF(OR(ISNUMBER(SEARCH(_xlfn.CONCAT(CHAR(96),CHAR(34)),$E603)),ISNUMBER(SEARCH(_xlfn.CONCAT(CHAR(34),CHAR(39)),$E603))),_xlfn.CONCAT("* REVIEW REQUIRED: compound-quote delimiter in Question Wording on Sheet 1 row ",603,"; edit the input before running."),_xlfn.CONCAT("char ",TRIM($B603),"[doc_question] ",CHAR(96),CHAR(34),SUBSTITUTE(SUBSTITUTE(SUBSTITUTE(SUBSTITUTE(SUBSTITUTE(SUBSTITUTE($E603,CHAR(13)," "),CHAR(10)," "),CHAR(9)," "),CHAR(92),_xlfn.CONCAT(CHAR(92),CHAR(92))),"$",_xlfn.CONCAT(CHAR(92),"$")),CHAR(96),_xlfn.CONCAT(CHAR(92),CHAR(96))),CHAR(34),CHAR(39))))</f>
        <v/>
      </c>
      <c r="P603" s="5" t="str">
        <f>IF(OR(TRIM($B603)="",$F603=""),"",IF(OR(ISNUMBER(SEARCH(_xlfn.CONCAT(CHAR(96),CHAR(34)),$F603)),ISNUMBER(SEARCH(_xlfn.CONCAT(CHAR(34),CHAR(39)),$F603))),_xlfn.CONCAT("* REVIEW REQUIRED: compound-quote delimiter in Units on Sheet 1 row ",603,"; edit the input before running."),_xlfn.CONCAT("char ",TRIM($B603),"[doc_units] ",CHAR(96),CHAR(34),SUBSTITUTE(SUBSTITUTE(SUBSTITUTE(SUBSTITUTE(SUBSTITUTE(SUBSTITUTE($F603,CHAR(13)," "),CHAR(10)," "),CHAR(9)," "),CHAR(92),_xlfn.CONCAT(CHAR(92),CHAR(92))),"$",_xlfn.CONCAT(CHAR(92),"$")),CHAR(96),_xlfn.CONCAT(CHAR(92),CHAR(96))),CHAR(34),CHAR(39))))</f>
        <v/>
      </c>
      <c r="Q603" s="5" t="str">
        <f>IF(OR(TRIM($B603)="",$G603=""),"",IF(OR(ISNUMBER(SEARCH(_xlfn.CONCAT(CHAR(96),CHAR(34)),$G603)),ISNUMBER(SEARCH(_xlfn.CONCAT(CHAR(34),CHAR(39)),$G603))),_xlfn.CONCAT("* REVIEW REQUIRED: compound-quote delimiter in Universe on Sheet 1 row ",603,"; edit the input before running."),_xlfn.CONCAT("char ",TRIM($B603),"[doc_universe] ",CHAR(96),CHAR(34),SUBSTITUTE(SUBSTITUTE(SUBSTITUTE(SUBSTITUTE(SUBSTITUTE(SUBSTITUTE($G603,CHAR(13)," "),CHAR(10)," "),CHAR(9)," "),CHAR(92),_xlfn.CONCAT(CHAR(92),CHAR(92))),"$",_xlfn.CONCAT(CHAR(92),"$")),CHAR(96),_xlfn.CONCAT(CHAR(92),CHAR(96))),CHAR(34),CHAR(39))))</f>
        <v/>
      </c>
      <c r="R603" s="5" t="str">
        <f>IF(OR(TRIM($B603)="",$H603=""),"",IF(OR(ISNUMBER(SEARCH(_xlfn.CONCAT(CHAR(96),CHAR(34)),$H603)),ISNUMBER(SEARCH(_xlfn.CONCAT(CHAR(34),CHAR(39)),$H603))),_xlfn.CONCAT("* REVIEW REQUIRED: compound-quote delimiter in Source on Sheet 1 row ",603,"; edit the input before running."),_xlfn.CONCAT("char ",TRIM($B603),"[doc_source] ",CHAR(96),CHAR(34),SUBSTITUTE(SUBSTITUTE(SUBSTITUTE(SUBSTITUTE(SUBSTITUTE(SUBSTITUTE($H603,CHAR(13)," "),CHAR(10)," "),CHAR(9)," "),CHAR(92),_xlfn.CONCAT(CHAR(92),CHAR(92))),"$",_xlfn.CONCAT(CHAR(92),"$")),CHAR(96),_xlfn.CONCAT(CHAR(92),CHAR(96))),CHAR(34),CHAR(39))))</f>
        <v/>
      </c>
      <c r="S603" s="5" t="str">
        <f>IF(OR(TRIM($B603)="",$I603=""),"",IF(OR(ISNUMBER(SEARCH(_xlfn.CONCAT(CHAR(96),CHAR(34)),$I603)),ISNUMBER(SEARCH(_xlfn.CONCAT(CHAR(34),CHAR(39)),$I603))),_xlfn.CONCAT("* REVIEW REQUIRED: compound-quote delimiter in Derivation on Sheet 1 row ",603,"; edit the input before running."),_xlfn.CONCAT("char ",TRIM($B603),"[doc_derivation] ",CHAR(96),CHAR(34),SUBSTITUTE(SUBSTITUTE(SUBSTITUTE(SUBSTITUTE(SUBSTITUTE(SUBSTITUTE($I603,CHAR(13)," "),CHAR(10)," "),CHAR(9)," "),CHAR(92),_xlfn.CONCAT(CHAR(92),CHAR(92))),"$",_xlfn.CONCAT(CHAR(92),"$")),CHAR(96),_xlfn.CONCAT(CHAR(92),CHAR(96))),CHAR(34),CHAR(39))))</f>
        <v/>
      </c>
      <c r="T603" s="5" t="str">
        <f>IF(OR(TRIM($B603)="",$J603=""),"",IF(OR(ISNUMBER(SEARCH(_xlfn.CONCAT(CHAR(96),CHAR(34)),$J603)),ISNUMBER(SEARCH(_xlfn.CONCAT(CHAR(34),CHAR(39)),$J603))),_xlfn.CONCAT("* REVIEW REQUIRED: compound-quote delimiter in Notes on Sheet 1 row ",603,"; edit the input before running."),_xlfn.CONCAT("char ",TRIM($B603),"[doc_notes] ",CHAR(96),CHAR(34),SUBSTITUTE(SUBSTITUTE(SUBSTITUTE(SUBSTITUTE(SUBSTITUTE(SUBSTITUTE($J603,CHAR(13)," "),CHAR(10)," "),CHAR(9)," "),CHAR(92),_xlfn.CONCAT(CHAR(92),CHAR(92))),"$",_xlfn.CONCAT(CHAR(92),"$")),CHAR(96),_xlfn.CONCAT(CHAR(92),CHAR(96))),CHAR(34),CHAR(39))))</f>
        <v/>
      </c>
      <c r="U603" s="5">
        <f t="shared" si="19"/>
        <v>0</v>
      </c>
    </row>
    <row r="604" spans="3:21" ht="30" customHeight="1" x14ac:dyDescent="0.2">
      <c r="C604" s="4"/>
      <c r="K604" s="5">
        <f t="shared" si="18"/>
        <v>0</v>
      </c>
      <c r="L604" s="5" t="str">
        <f>IF(OR(TRIM($B604)="",$A604=""),"",IF(OR(ISNUMBER(SEARCH(_xlfn.CONCAT(CHAR(96),CHAR(34)),$A604)),ISNUMBER(SEARCH(_xlfn.CONCAT(CHAR(34),CHAR(39)),$A604))),_xlfn.CONCAT("* REVIEW REQUIRED: compound-quote delimiter in Codebook Section on Sheet 1 row ",604,"; edit the input before running."),_xlfn.CONCAT("char ",TRIM($B604),"[doc_section] ",CHAR(96),CHAR(34),SUBSTITUTE(SUBSTITUTE(SUBSTITUTE(SUBSTITUTE(SUBSTITUTE(SUBSTITUTE($A604,CHAR(13)," "),CHAR(10)," "),CHAR(9)," "),CHAR(92),_xlfn.CONCAT(CHAR(92),CHAR(92))),"$",_xlfn.CONCAT(CHAR(92),"$")),CHAR(96),_xlfn.CONCAT(CHAR(92),CHAR(96))),CHAR(34),CHAR(39))))</f>
        <v/>
      </c>
      <c r="M604" s="5" t="str">
        <f>IF(OR(TRIM($B604)="",$C604=""),"",IF(IFERROR(MATCH(TRIM($C604),{"Quantitative","Continuous","Discrete","Categorical","Nominal","Ordinal","Identifier"},0),0)=0,_xlfn.CONCAT("* REVIEW REQUIRED: invalid Variable Type on Sheet 1 row ",604,"."),_xlfn.CONCAT("char ",TRIM($B604),"[doc_vartype] ",CHAR(96),CHAR(34),SUBSTITUTE(SUBSTITUTE(SUBSTITUTE(SUBSTITUTE(SUBSTITUTE(SUBSTITUTE(LOWER(TRIM($C604)),CHAR(13)," "),CHAR(10)," "),CHAR(9)," "),CHAR(92),_xlfn.CONCAT(CHAR(92),CHAR(92))),"$",_xlfn.CONCAT(CHAR(92),"$")),CHAR(96),_xlfn.CONCAT(CHAR(92),CHAR(96))),CHAR(34),CHAR(39))))</f>
        <v/>
      </c>
      <c r="N604" s="5" t="str">
        <f>IF(OR(TRIM($B604)="",$D604=""),"",IF(OR(ISNUMBER(SEARCH(_xlfn.CONCAT(CHAR(96),CHAR(34)),$D604)),ISNUMBER(SEARCH(_xlfn.CONCAT(CHAR(34),CHAR(39)),$D604))),_xlfn.CONCAT("* REVIEW REQUIRED: compound-quote delimiter in Item Number on Sheet 1 row ",604,"; edit the input before running."),_xlfn.CONCAT("char ",TRIM($B604),"[doc_itemnum] ",CHAR(96),CHAR(34),SUBSTITUTE(SUBSTITUTE(SUBSTITUTE(SUBSTITUTE(SUBSTITUTE(SUBSTITUTE($D604,CHAR(13)," "),CHAR(10)," "),CHAR(9)," "),CHAR(92),_xlfn.CONCAT(CHAR(92),CHAR(92))),"$",_xlfn.CONCAT(CHAR(92),"$")),CHAR(96),_xlfn.CONCAT(CHAR(92),CHAR(96))),CHAR(34),CHAR(39))))</f>
        <v/>
      </c>
      <c r="O604" s="5" t="str">
        <f>IF(OR(TRIM($B604)="",$E604=""),"",IF(OR(ISNUMBER(SEARCH(_xlfn.CONCAT(CHAR(96),CHAR(34)),$E604)),ISNUMBER(SEARCH(_xlfn.CONCAT(CHAR(34),CHAR(39)),$E604))),_xlfn.CONCAT("* REVIEW REQUIRED: compound-quote delimiter in Question Wording on Sheet 1 row ",604,"; edit the input before running."),_xlfn.CONCAT("char ",TRIM($B604),"[doc_question] ",CHAR(96),CHAR(34),SUBSTITUTE(SUBSTITUTE(SUBSTITUTE(SUBSTITUTE(SUBSTITUTE(SUBSTITUTE($E604,CHAR(13)," "),CHAR(10)," "),CHAR(9)," "),CHAR(92),_xlfn.CONCAT(CHAR(92),CHAR(92))),"$",_xlfn.CONCAT(CHAR(92),"$")),CHAR(96),_xlfn.CONCAT(CHAR(92),CHAR(96))),CHAR(34),CHAR(39))))</f>
        <v/>
      </c>
      <c r="P604" s="5" t="str">
        <f>IF(OR(TRIM($B604)="",$F604=""),"",IF(OR(ISNUMBER(SEARCH(_xlfn.CONCAT(CHAR(96),CHAR(34)),$F604)),ISNUMBER(SEARCH(_xlfn.CONCAT(CHAR(34),CHAR(39)),$F604))),_xlfn.CONCAT("* REVIEW REQUIRED: compound-quote delimiter in Units on Sheet 1 row ",604,"; edit the input before running."),_xlfn.CONCAT("char ",TRIM($B604),"[doc_units] ",CHAR(96),CHAR(34),SUBSTITUTE(SUBSTITUTE(SUBSTITUTE(SUBSTITUTE(SUBSTITUTE(SUBSTITUTE($F604,CHAR(13)," "),CHAR(10)," "),CHAR(9)," "),CHAR(92),_xlfn.CONCAT(CHAR(92),CHAR(92))),"$",_xlfn.CONCAT(CHAR(92),"$")),CHAR(96),_xlfn.CONCAT(CHAR(92),CHAR(96))),CHAR(34),CHAR(39))))</f>
        <v/>
      </c>
      <c r="Q604" s="5" t="str">
        <f>IF(OR(TRIM($B604)="",$G604=""),"",IF(OR(ISNUMBER(SEARCH(_xlfn.CONCAT(CHAR(96),CHAR(34)),$G604)),ISNUMBER(SEARCH(_xlfn.CONCAT(CHAR(34),CHAR(39)),$G604))),_xlfn.CONCAT("* REVIEW REQUIRED: compound-quote delimiter in Universe on Sheet 1 row ",604,"; edit the input before running."),_xlfn.CONCAT("char ",TRIM($B604),"[doc_universe] ",CHAR(96),CHAR(34),SUBSTITUTE(SUBSTITUTE(SUBSTITUTE(SUBSTITUTE(SUBSTITUTE(SUBSTITUTE($G604,CHAR(13)," "),CHAR(10)," "),CHAR(9)," "),CHAR(92),_xlfn.CONCAT(CHAR(92),CHAR(92))),"$",_xlfn.CONCAT(CHAR(92),"$")),CHAR(96),_xlfn.CONCAT(CHAR(92),CHAR(96))),CHAR(34),CHAR(39))))</f>
        <v/>
      </c>
      <c r="R604" s="5" t="str">
        <f>IF(OR(TRIM($B604)="",$H604=""),"",IF(OR(ISNUMBER(SEARCH(_xlfn.CONCAT(CHAR(96),CHAR(34)),$H604)),ISNUMBER(SEARCH(_xlfn.CONCAT(CHAR(34),CHAR(39)),$H604))),_xlfn.CONCAT("* REVIEW REQUIRED: compound-quote delimiter in Source on Sheet 1 row ",604,"; edit the input before running."),_xlfn.CONCAT("char ",TRIM($B604),"[doc_source] ",CHAR(96),CHAR(34),SUBSTITUTE(SUBSTITUTE(SUBSTITUTE(SUBSTITUTE(SUBSTITUTE(SUBSTITUTE($H604,CHAR(13)," "),CHAR(10)," "),CHAR(9)," "),CHAR(92),_xlfn.CONCAT(CHAR(92),CHAR(92))),"$",_xlfn.CONCAT(CHAR(92),"$")),CHAR(96),_xlfn.CONCAT(CHAR(92),CHAR(96))),CHAR(34),CHAR(39))))</f>
        <v/>
      </c>
      <c r="S604" s="5" t="str">
        <f>IF(OR(TRIM($B604)="",$I604=""),"",IF(OR(ISNUMBER(SEARCH(_xlfn.CONCAT(CHAR(96),CHAR(34)),$I604)),ISNUMBER(SEARCH(_xlfn.CONCAT(CHAR(34),CHAR(39)),$I604))),_xlfn.CONCAT("* REVIEW REQUIRED: compound-quote delimiter in Derivation on Sheet 1 row ",604,"; edit the input before running."),_xlfn.CONCAT("char ",TRIM($B604),"[doc_derivation] ",CHAR(96),CHAR(34),SUBSTITUTE(SUBSTITUTE(SUBSTITUTE(SUBSTITUTE(SUBSTITUTE(SUBSTITUTE($I604,CHAR(13)," "),CHAR(10)," "),CHAR(9)," "),CHAR(92),_xlfn.CONCAT(CHAR(92),CHAR(92))),"$",_xlfn.CONCAT(CHAR(92),"$")),CHAR(96),_xlfn.CONCAT(CHAR(92),CHAR(96))),CHAR(34),CHAR(39))))</f>
        <v/>
      </c>
      <c r="T604" s="5" t="str">
        <f>IF(OR(TRIM($B604)="",$J604=""),"",IF(OR(ISNUMBER(SEARCH(_xlfn.CONCAT(CHAR(96),CHAR(34)),$J604)),ISNUMBER(SEARCH(_xlfn.CONCAT(CHAR(34),CHAR(39)),$J604))),_xlfn.CONCAT("* REVIEW REQUIRED: compound-quote delimiter in Notes on Sheet 1 row ",604,"; edit the input before running."),_xlfn.CONCAT("char ",TRIM($B604),"[doc_notes] ",CHAR(96),CHAR(34),SUBSTITUTE(SUBSTITUTE(SUBSTITUTE(SUBSTITUTE(SUBSTITUTE(SUBSTITUTE($J604,CHAR(13)," "),CHAR(10)," "),CHAR(9)," "),CHAR(92),_xlfn.CONCAT(CHAR(92),CHAR(92))),"$",_xlfn.CONCAT(CHAR(92),"$")),CHAR(96),_xlfn.CONCAT(CHAR(92),CHAR(96))),CHAR(34),CHAR(39))))</f>
        <v/>
      </c>
      <c r="U604" s="5">
        <f t="shared" si="19"/>
        <v>0</v>
      </c>
    </row>
    <row r="605" spans="3:21" ht="30" customHeight="1" x14ac:dyDescent="0.2">
      <c r="C605" s="4"/>
      <c r="K605" s="5">
        <f t="shared" si="18"/>
        <v>0</v>
      </c>
      <c r="L605" s="5" t="str">
        <f>IF(OR(TRIM($B605)="",$A605=""),"",IF(OR(ISNUMBER(SEARCH(_xlfn.CONCAT(CHAR(96),CHAR(34)),$A605)),ISNUMBER(SEARCH(_xlfn.CONCAT(CHAR(34),CHAR(39)),$A605))),_xlfn.CONCAT("* REVIEW REQUIRED: compound-quote delimiter in Codebook Section on Sheet 1 row ",605,"; edit the input before running."),_xlfn.CONCAT("char ",TRIM($B605),"[doc_section] ",CHAR(96),CHAR(34),SUBSTITUTE(SUBSTITUTE(SUBSTITUTE(SUBSTITUTE(SUBSTITUTE(SUBSTITUTE($A605,CHAR(13)," "),CHAR(10)," "),CHAR(9)," "),CHAR(92),_xlfn.CONCAT(CHAR(92),CHAR(92))),"$",_xlfn.CONCAT(CHAR(92),"$")),CHAR(96),_xlfn.CONCAT(CHAR(92),CHAR(96))),CHAR(34),CHAR(39))))</f>
        <v/>
      </c>
      <c r="M605" s="5" t="str">
        <f>IF(OR(TRIM($B605)="",$C605=""),"",IF(IFERROR(MATCH(TRIM($C605),{"Quantitative","Continuous","Discrete","Categorical","Nominal","Ordinal","Identifier"},0),0)=0,_xlfn.CONCAT("* REVIEW REQUIRED: invalid Variable Type on Sheet 1 row ",605,"."),_xlfn.CONCAT("char ",TRIM($B605),"[doc_vartype] ",CHAR(96),CHAR(34),SUBSTITUTE(SUBSTITUTE(SUBSTITUTE(SUBSTITUTE(SUBSTITUTE(SUBSTITUTE(LOWER(TRIM($C605)),CHAR(13)," "),CHAR(10)," "),CHAR(9)," "),CHAR(92),_xlfn.CONCAT(CHAR(92),CHAR(92))),"$",_xlfn.CONCAT(CHAR(92),"$")),CHAR(96),_xlfn.CONCAT(CHAR(92),CHAR(96))),CHAR(34),CHAR(39))))</f>
        <v/>
      </c>
      <c r="N605" s="5" t="str">
        <f>IF(OR(TRIM($B605)="",$D605=""),"",IF(OR(ISNUMBER(SEARCH(_xlfn.CONCAT(CHAR(96),CHAR(34)),$D605)),ISNUMBER(SEARCH(_xlfn.CONCAT(CHAR(34),CHAR(39)),$D605))),_xlfn.CONCAT("* REVIEW REQUIRED: compound-quote delimiter in Item Number on Sheet 1 row ",605,"; edit the input before running."),_xlfn.CONCAT("char ",TRIM($B605),"[doc_itemnum] ",CHAR(96),CHAR(34),SUBSTITUTE(SUBSTITUTE(SUBSTITUTE(SUBSTITUTE(SUBSTITUTE(SUBSTITUTE($D605,CHAR(13)," "),CHAR(10)," "),CHAR(9)," "),CHAR(92),_xlfn.CONCAT(CHAR(92),CHAR(92))),"$",_xlfn.CONCAT(CHAR(92),"$")),CHAR(96),_xlfn.CONCAT(CHAR(92),CHAR(96))),CHAR(34),CHAR(39))))</f>
        <v/>
      </c>
      <c r="O605" s="5" t="str">
        <f>IF(OR(TRIM($B605)="",$E605=""),"",IF(OR(ISNUMBER(SEARCH(_xlfn.CONCAT(CHAR(96),CHAR(34)),$E605)),ISNUMBER(SEARCH(_xlfn.CONCAT(CHAR(34),CHAR(39)),$E605))),_xlfn.CONCAT("* REVIEW REQUIRED: compound-quote delimiter in Question Wording on Sheet 1 row ",605,"; edit the input before running."),_xlfn.CONCAT("char ",TRIM($B605),"[doc_question] ",CHAR(96),CHAR(34),SUBSTITUTE(SUBSTITUTE(SUBSTITUTE(SUBSTITUTE(SUBSTITUTE(SUBSTITUTE($E605,CHAR(13)," "),CHAR(10)," "),CHAR(9)," "),CHAR(92),_xlfn.CONCAT(CHAR(92),CHAR(92))),"$",_xlfn.CONCAT(CHAR(92),"$")),CHAR(96),_xlfn.CONCAT(CHAR(92),CHAR(96))),CHAR(34),CHAR(39))))</f>
        <v/>
      </c>
      <c r="P605" s="5" t="str">
        <f>IF(OR(TRIM($B605)="",$F605=""),"",IF(OR(ISNUMBER(SEARCH(_xlfn.CONCAT(CHAR(96),CHAR(34)),$F605)),ISNUMBER(SEARCH(_xlfn.CONCAT(CHAR(34),CHAR(39)),$F605))),_xlfn.CONCAT("* REVIEW REQUIRED: compound-quote delimiter in Units on Sheet 1 row ",605,"; edit the input before running."),_xlfn.CONCAT("char ",TRIM($B605),"[doc_units] ",CHAR(96),CHAR(34),SUBSTITUTE(SUBSTITUTE(SUBSTITUTE(SUBSTITUTE(SUBSTITUTE(SUBSTITUTE($F605,CHAR(13)," "),CHAR(10)," "),CHAR(9)," "),CHAR(92),_xlfn.CONCAT(CHAR(92),CHAR(92))),"$",_xlfn.CONCAT(CHAR(92),"$")),CHAR(96),_xlfn.CONCAT(CHAR(92),CHAR(96))),CHAR(34),CHAR(39))))</f>
        <v/>
      </c>
      <c r="Q605" s="5" t="str">
        <f>IF(OR(TRIM($B605)="",$G605=""),"",IF(OR(ISNUMBER(SEARCH(_xlfn.CONCAT(CHAR(96),CHAR(34)),$G605)),ISNUMBER(SEARCH(_xlfn.CONCAT(CHAR(34),CHAR(39)),$G605))),_xlfn.CONCAT("* REVIEW REQUIRED: compound-quote delimiter in Universe on Sheet 1 row ",605,"; edit the input before running."),_xlfn.CONCAT("char ",TRIM($B605),"[doc_universe] ",CHAR(96),CHAR(34),SUBSTITUTE(SUBSTITUTE(SUBSTITUTE(SUBSTITUTE(SUBSTITUTE(SUBSTITUTE($G605,CHAR(13)," "),CHAR(10)," "),CHAR(9)," "),CHAR(92),_xlfn.CONCAT(CHAR(92),CHAR(92))),"$",_xlfn.CONCAT(CHAR(92),"$")),CHAR(96),_xlfn.CONCAT(CHAR(92),CHAR(96))),CHAR(34),CHAR(39))))</f>
        <v/>
      </c>
      <c r="R605" s="5" t="str">
        <f>IF(OR(TRIM($B605)="",$H605=""),"",IF(OR(ISNUMBER(SEARCH(_xlfn.CONCAT(CHAR(96),CHAR(34)),$H605)),ISNUMBER(SEARCH(_xlfn.CONCAT(CHAR(34),CHAR(39)),$H605))),_xlfn.CONCAT("* REVIEW REQUIRED: compound-quote delimiter in Source on Sheet 1 row ",605,"; edit the input before running."),_xlfn.CONCAT("char ",TRIM($B605),"[doc_source] ",CHAR(96),CHAR(34),SUBSTITUTE(SUBSTITUTE(SUBSTITUTE(SUBSTITUTE(SUBSTITUTE(SUBSTITUTE($H605,CHAR(13)," "),CHAR(10)," "),CHAR(9)," "),CHAR(92),_xlfn.CONCAT(CHAR(92),CHAR(92))),"$",_xlfn.CONCAT(CHAR(92),"$")),CHAR(96),_xlfn.CONCAT(CHAR(92),CHAR(96))),CHAR(34),CHAR(39))))</f>
        <v/>
      </c>
      <c r="S605" s="5" t="str">
        <f>IF(OR(TRIM($B605)="",$I605=""),"",IF(OR(ISNUMBER(SEARCH(_xlfn.CONCAT(CHAR(96),CHAR(34)),$I605)),ISNUMBER(SEARCH(_xlfn.CONCAT(CHAR(34),CHAR(39)),$I605))),_xlfn.CONCAT("* REVIEW REQUIRED: compound-quote delimiter in Derivation on Sheet 1 row ",605,"; edit the input before running."),_xlfn.CONCAT("char ",TRIM($B605),"[doc_derivation] ",CHAR(96),CHAR(34),SUBSTITUTE(SUBSTITUTE(SUBSTITUTE(SUBSTITUTE(SUBSTITUTE(SUBSTITUTE($I605,CHAR(13)," "),CHAR(10)," "),CHAR(9)," "),CHAR(92),_xlfn.CONCAT(CHAR(92),CHAR(92))),"$",_xlfn.CONCAT(CHAR(92),"$")),CHAR(96),_xlfn.CONCAT(CHAR(92),CHAR(96))),CHAR(34),CHAR(39))))</f>
        <v/>
      </c>
      <c r="T605" s="5" t="str">
        <f>IF(OR(TRIM($B605)="",$J605=""),"",IF(OR(ISNUMBER(SEARCH(_xlfn.CONCAT(CHAR(96),CHAR(34)),$J605)),ISNUMBER(SEARCH(_xlfn.CONCAT(CHAR(34),CHAR(39)),$J605))),_xlfn.CONCAT("* REVIEW REQUIRED: compound-quote delimiter in Notes on Sheet 1 row ",605,"; edit the input before running."),_xlfn.CONCAT("char ",TRIM($B605),"[doc_notes] ",CHAR(96),CHAR(34),SUBSTITUTE(SUBSTITUTE(SUBSTITUTE(SUBSTITUTE(SUBSTITUTE(SUBSTITUTE($J605,CHAR(13)," "),CHAR(10)," "),CHAR(9)," "),CHAR(92),_xlfn.CONCAT(CHAR(92),CHAR(92))),"$",_xlfn.CONCAT(CHAR(92),"$")),CHAR(96),_xlfn.CONCAT(CHAR(92),CHAR(96))),CHAR(34),CHAR(39))))</f>
        <v/>
      </c>
      <c r="U605" s="5">
        <f t="shared" si="19"/>
        <v>0</v>
      </c>
    </row>
    <row r="606" spans="3:21" ht="30" customHeight="1" x14ac:dyDescent="0.2">
      <c r="C606" s="4"/>
      <c r="K606" s="5">
        <f t="shared" si="18"/>
        <v>0</v>
      </c>
      <c r="L606" s="5" t="str">
        <f>IF(OR(TRIM($B606)="",$A606=""),"",IF(OR(ISNUMBER(SEARCH(_xlfn.CONCAT(CHAR(96),CHAR(34)),$A606)),ISNUMBER(SEARCH(_xlfn.CONCAT(CHAR(34),CHAR(39)),$A606))),_xlfn.CONCAT("* REVIEW REQUIRED: compound-quote delimiter in Codebook Section on Sheet 1 row ",606,"; edit the input before running."),_xlfn.CONCAT("char ",TRIM($B606),"[doc_section] ",CHAR(96),CHAR(34),SUBSTITUTE(SUBSTITUTE(SUBSTITUTE(SUBSTITUTE(SUBSTITUTE(SUBSTITUTE($A606,CHAR(13)," "),CHAR(10)," "),CHAR(9)," "),CHAR(92),_xlfn.CONCAT(CHAR(92),CHAR(92))),"$",_xlfn.CONCAT(CHAR(92),"$")),CHAR(96),_xlfn.CONCAT(CHAR(92),CHAR(96))),CHAR(34),CHAR(39))))</f>
        <v/>
      </c>
      <c r="M606" s="5" t="str">
        <f>IF(OR(TRIM($B606)="",$C606=""),"",IF(IFERROR(MATCH(TRIM($C606),{"Quantitative","Continuous","Discrete","Categorical","Nominal","Ordinal","Identifier"},0),0)=0,_xlfn.CONCAT("* REVIEW REQUIRED: invalid Variable Type on Sheet 1 row ",606,"."),_xlfn.CONCAT("char ",TRIM($B606),"[doc_vartype] ",CHAR(96),CHAR(34),SUBSTITUTE(SUBSTITUTE(SUBSTITUTE(SUBSTITUTE(SUBSTITUTE(SUBSTITUTE(LOWER(TRIM($C606)),CHAR(13)," "),CHAR(10)," "),CHAR(9)," "),CHAR(92),_xlfn.CONCAT(CHAR(92),CHAR(92))),"$",_xlfn.CONCAT(CHAR(92),"$")),CHAR(96),_xlfn.CONCAT(CHAR(92),CHAR(96))),CHAR(34),CHAR(39))))</f>
        <v/>
      </c>
      <c r="N606" s="5" t="str">
        <f>IF(OR(TRIM($B606)="",$D606=""),"",IF(OR(ISNUMBER(SEARCH(_xlfn.CONCAT(CHAR(96),CHAR(34)),$D606)),ISNUMBER(SEARCH(_xlfn.CONCAT(CHAR(34),CHAR(39)),$D606))),_xlfn.CONCAT("* REVIEW REQUIRED: compound-quote delimiter in Item Number on Sheet 1 row ",606,"; edit the input before running."),_xlfn.CONCAT("char ",TRIM($B606),"[doc_itemnum] ",CHAR(96),CHAR(34),SUBSTITUTE(SUBSTITUTE(SUBSTITUTE(SUBSTITUTE(SUBSTITUTE(SUBSTITUTE($D606,CHAR(13)," "),CHAR(10)," "),CHAR(9)," "),CHAR(92),_xlfn.CONCAT(CHAR(92),CHAR(92))),"$",_xlfn.CONCAT(CHAR(92),"$")),CHAR(96),_xlfn.CONCAT(CHAR(92),CHAR(96))),CHAR(34),CHAR(39))))</f>
        <v/>
      </c>
      <c r="O606" s="5" t="str">
        <f>IF(OR(TRIM($B606)="",$E606=""),"",IF(OR(ISNUMBER(SEARCH(_xlfn.CONCAT(CHAR(96),CHAR(34)),$E606)),ISNUMBER(SEARCH(_xlfn.CONCAT(CHAR(34),CHAR(39)),$E606))),_xlfn.CONCAT("* REVIEW REQUIRED: compound-quote delimiter in Question Wording on Sheet 1 row ",606,"; edit the input before running."),_xlfn.CONCAT("char ",TRIM($B606),"[doc_question] ",CHAR(96),CHAR(34),SUBSTITUTE(SUBSTITUTE(SUBSTITUTE(SUBSTITUTE(SUBSTITUTE(SUBSTITUTE($E606,CHAR(13)," "),CHAR(10)," "),CHAR(9)," "),CHAR(92),_xlfn.CONCAT(CHAR(92),CHAR(92))),"$",_xlfn.CONCAT(CHAR(92),"$")),CHAR(96),_xlfn.CONCAT(CHAR(92),CHAR(96))),CHAR(34),CHAR(39))))</f>
        <v/>
      </c>
      <c r="P606" s="5" t="str">
        <f>IF(OR(TRIM($B606)="",$F606=""),"",IF(OR(ISNUMBER(SEARCH(_xlfn.CONCAT(CHAR(96),CHAR(34)),$F606)),ISNUMBER(SEARCH(_xlfn.CONCAT(CHAR(34),CHAR(39)),$F606))),_xlfn.CONCAT("* REVIEW REQUIRED: compound-quote delimiter in Units on Sheet 1 row ",606,"; edit the input before running."),_xlfn.CONCAT("char ",TRIM($B606),"[doc_units] ",CHAR(96),CHAR(34),SUBSTITUTE(SUBSTITUTE(SUBSTITUTE(SUBSTITUTE(SUBSTITUTE(SUBSTITUTE($F606,CHAR(13)," "),CHAR(10)," "),CHAR(9)," "),CHAR(92),_xlfn.CONCAT(CHAR(92),CHAR(92))),"$",_xlfn.CONCAT(CHAR(92),"$")),CHAR(96),_xlfn.CONCAT(CHAR(92),CHAR(96))),CHAR(34),CHAR(39))))</f>
        <v/>
      </c>
      <c r="Q606" s="5" t="str">
        <f>IF(OR(TRIM($B606)="",$G606=""),"",IF(OR(ISNUMBER(SEARCH(_xlfn.CONCAT(CHAR(96),CHAR(34)),$G606)),ISNUMBER(SEARCH(_xlfn.CONCAT(CHAR(34),CHAR(39)),$G606))),_xlfn.CONCAT("* REVIEW REQUIRED: compound-quote delimiter in Universe on Sheet 1 row ",606,"; edit the input before running."),_xlfn.CONCAT("char ",TRIM($B606),"[doc_universe] ",CHAR(96),CHAR(34),SUBSTITUTE(SUBSTITUTE(SUBSTITUTE(SUBSTITUTE(SUBSTITUTE(SUBSTITUTE($G606,CHAR(13)," "),CHAR(10)," "),CHAR(9)," "),CHAR(92),_xlfn.CONCAT(CHAR(92),CHAR(92))),"$",_xlfn.CONCAT(CHAR(92),"$")),CHAR(96),_xlfn.CONCAT(CHAR(92),CHAR(96))),CHAR(34),CHAR(39))))</f>
        <v/>
      </c>
      <c r="R606" s="5" t="str">
        <f>IF(OR(TRIM($B606)="",$H606=""),"",IF(OR(ISNUMBER(SEARCH(_xlfn.CONCAT(CHAR(96),CHAR(34)),$H606)),ISNUMBER(SEARCH(_xlfn.CONCAT(CHAR(34),CHAR(39)),$H606))),_xlfn.CONCAT("* REVIEW REQUIRED: compound-quote delimiter in Source on Sheet 1 row ",606,"; edit the input before running."),_xlfn.CONCAT("char ",TRIM($B606),"[doc_source] ",CHAR(96),CHAR(34),SUBSTITUTE(SUBSTITUTE(SUBSTITUTE(SUBSTITUTE(SUBSTITUTE(SUBSTITUTE($H606,CHAR(13)," "),CHAR(10)," "),CHAR(9)," "),CHAR(92),_xlfn.CONCAT(CHAR(92),CHAR(92))),"$",_xlfn.CONCAT(CHAR(92),"$")),CHAR(96),_xlfn.CONCAT(CHAR(92),CHAR(96))),CHAR(34),CHAR(39))))</f>
        <v/>
      </c>
      <c r="S606" s="5" t="str">
        <f>IF(OR(TRIM($B606)="",$I606=""),"",IF(OR(ISNUMBER(SEARCH(_xlfn.CONCAT(CHAR(96),CHAR(34)),$I606)),ISNUMBER(SEARCH(_xlfn.CONCAT(CHAR(34),CHAR(39)),$I606))),_xlfn.CONCAT("* REVIEW REQUIRED: compound-quote delimiter in Derivation on Sheet 1 row ",606,"; edit the input before running."),_xlfn.CONCAT("char ",TRIM($B606),"[doc_derivation] ",CHAR(96),CHAR(34),SUBSTITUTE(SUBSTITUTE(SUBSTITUTE(SUBSTITUTE(SUBSTITUTE(SUBSTITUTE($I606,CHAR(13)," "),CHAR(10)," "),CHAR(9)," "),CHAR(92),_xlfn.CONCAT(CHAR(92),CHAR(92))),"$",_xlfn.CONCAT(CHAR(92),"$")),CHAR(96),_xlfn.CONCAT(CHAR(92),CHAR(96))),CHAR(34),CHAR(39))))</f>
        <v/>
      </c>
      <c r="T606" s="5" t="str">
        <f>IF(OR(TRIM($B606)="",$J606=""),"",IF(OR(ISNUMBER(SEARCH(_xlfn.CONCAT(CHAR(96),CHAR(34)),$J606)),ISNUMBER(SEARCH(_xlfn.CONCAT(CHAR(34),CHAR(39)),$J606))),_xlfn.CONCAT("* REVIEW REQUIRED: compound-quote delimiter in Notes on Sheet 1 row ",606,"; edit the input before running."),_xlfn.CONCAT("char ",TRIM($B606),"[doc_notes] ",CHAR(96),CHAR(34),SUBSTITUTE(SUBSTITUTE(SUBSTITUTE(SUBSTITUTE(SUBSTITUTE(SUBSTITUTE($J606,CHAR(13)," "),CHAR(10)," "),CHAR(9)," "),CHAR(92),_xlfn.CONCAT(CHAR(92),CHAR(92))),"$",_xlfn.CONCAT(CHAR(92),"$")),CHAR(96),_xlfn.CONCAT(CHAR(92),CHAR(96))),CHAR(34),CHAR(39))))</f>
        <v/>
      </c>
      <c r="U606" s="5">
        <f t="shared" si="19"/>
        <v>0</v>
      </c>
    </row>
    <row r="607" spans="3:21" ht="30" customHeight="1" x14ac:dyDescent="0.2">
      <c r="C607" s="4"/>
      <c r="K607" s="5">
        <f t="shared" si="18"/>
        <v>0</v>
      </c>
      <c r="L607" s="5" t="str">
        <f>IF(OR(TRIM($B607)="",$A607=""),"",IF(OR(ISNUMBER(SEARCH(_xlfn.CONCAT(CHAR(96),CHAR(34)),$A607)),ISNUMBER(SEARCH(_xlfn.CONCAT(CHAR(34),CHAR(39)),$A607))),_xlfn.CONCAT("* REVIEW REQUIRED: compound-quote delimiter in Codebook Section on Sheet 1 row ",607,"; edit the input before running."),_xlfn.CONCAT("char ",TRIM($B607),"[doc_section] ",CHAR(96),CHAR(34),SUBSTITUTE(SUBSTITUTE(SUBSTITUTE(SUBSTITUTE(SUBSTITUTE(SUBSTITUTE($A607,CHAR(13)," "),CHAR(10)," "),CHAR(9)," "),CHAR(92),_xlfn.CONCAT(CHAR(92),CHAR(92))),"$",_xlfn.CONCAT(CHAR(92),"$")),CHAR(96),_xlfn.CONCAT(CHAR(92),CHAR(96))),CHAR(34),CHAR(39))))</f>
        <v/>
      </c>
      <c r="M607" s="5" t="str">
        <f>IF(OR(TRIM($B607)="",$C607=""),"",IF(IFERROR(MATCH(TRIM($C607),{"Quantitative","Continuous","Discrete","Categorical","Nominal","Ordinal","Identifier"},0),0)=0,_xlfn.CONCAT("* REVIEW REQUIRED: invalid Variable Type on Sheet 1 row ",607,"."),_xlfn.CONCAT("char ",TRIM($B607),"[doc_vartype] ",CHAR(96),CHAR(34),SUBSTITUTE(SUBSTITUTE(SUBSTITUTE(SUBSTITUTE(SUBSTITUTE(SUBSTITUTE(LOWER(TRIM($C607)),CHAR(13)," "),CHAR(10)," "),CHAR(9)," "),CHAR(92),_xlfn.CONCAT(CHAR(92),CHAR(92))),"$",_xlfn.CONCAT(CHAR(92),"$")),CHAR(96),_xlfn.CONCAT(CHAR(92),CHAR(96))),CHAR(34),CHAR(39))))</f>
        <v/>
      </c>
      <c r="N607" s="5" t="str">
        <f>IF(OR(TRIM($B607)="",$D607=""),"",IF(OR(ISNUMBER(SEARCH(_xlfn.CONCAT(CHAR(96),CHAR(34)),$D607)),ISNUMBER(SEARCH(_xlfn.CONCAT(CHAR(34),CHAR(39)),$D607))),_xlfn.CONCAT("* REVIEW REQUIRED: compound-quote delimiter in Item Number on Sheet 1 row ",607,"; edit the input before running."),_xlfn.CONCAT("char ",TRIM($B607),"[doc_itemnum] ",CHAR(96),CHAR(34),SUBSTITUTE(SUBSTITUTE(SUBSTITUTE(SUBSTITUTE(SUBSTITUTE(SUBSTITUTE($D607,CHAR(13)," "),CHAR(10)," "),CHAR(9)," "),CHAR(92),_xlfn.CONCAT(CHAR(92),CHAR(92))),"$",_xlfn.CONCAT(CHAR(92),"$")),CHAR(96),_xlfn.CONCAT(CHAR(92),CHAR(96))),CHAR(34),CHAR(39))))</f>
        <v/>
      </c>
      <c r="O607" s="5" t="str">
        <f>IF(OR(TRIM($B607)="",$E607=""),"",IF(OR(ISNUMBER(SEARCH(_xlfn.CONCAT(CHAR(96),CHAR(34)),$E607)),ISNUMBER(SEARCH(_xlfn.CONCAT(CHAR(34),CHAR(39)),$E607))),_xlfn.CONCAT("* REVIEW REQUIRED: compound-quote delimiter in Question Wording on Sheet 1 row ",607,"; edit the input before running."),_xlfn.CONCAT("char ",TRIM($B607),"[doc_question] ",CHAR(96),CHAR(34),SUBSTITUTE(SUBSTITUTE(SUBSTITUTE(SUBSTITUTE(SUBSTITUTE(SUBSTITUTE($E607,CHAR(13)," "),CHAR(10)," "),CHAR(9)," "),CHAR(92),_xlfn.CONCAT(CHAR(92),CHAR(92))),"$",_xlfn.CONCAT(CHAR(92),"$")),CHAR(96),_xlfn.CONCAT(CHAR(92),CHAR(96))),CHAR(34),CHAR(39))))</f>
        <v/>
      </c>
      <c r="P607" s="5" t="str">
        <f>IF(OR(TRIM($B607)="",$F607=""),"",IF(OR(ISNUMBER(SEARCH(_xlfn.CONCAT(CHAR(96),CHAR(34)),$F607)),ISNUMBER(SEARCH(_xlfn.CONCAT(CHAR(34),CHAR(39)),$F607))),_xlfn.CONCAT("* REVIEW REQUIRED: compound-quote delimiter in Units on Sheet 1 row ",607,"; edit the input before running."),_xlfn.CONCAT("char ",TRIM($B607),"[doc_units] ",CHAR(96),CHAR(34),SUBSTITUTE(SUBSTITUTE(SUBSTITUTE(SUBSTITUTE(SUBSTITUTE(SUBSTITUTE($F607,CHAR(13)," "),CHAR(10)," "),CHAR(9)," "),CHAR(92),_xlfn.CONCAT(CHAR(92),CHAR(92))),"$",_xlfn.CONCAT(CHAR(92),"$")),CHAR(96),_xlfn.CONCAT(CHAR(92),CHAR(96))),CHAR(34),CHAR(39))))</f>
        <v/>
      </c>
      <c r="Q607" s="5" t="str">
        <f>IF(OR(TRIM($B607)="",$G607=""),"",IF(OR(ISNUMBER(SEARCH(_xlfn.CONCAT(CHAR(96),CHAR(34)),$G607)),ISNUMBER(SEARCH(_xlfn.CONCAT(CHAR(34),CHAR(39)),$G607))),_xlfn.CONCAT("* REVIEW REQUIRED: compound-quote delimiter in Universe on Sheet 1 row ",607,"; edit the input before running."),_xlfn.CONCAT("char ",TRIM($B607),"[doc_universe] ",CHAR(96),CHAR(34),SUBSTITUTE(SUBSTITUTE(SUBSTITUTE(SUBSTITUTE(SUBSTITUTE(SUBSTITUTE($G607,CHAR(13)," "),CHAR(10)," "),CHAR(9)," "),CHAR(92),_xlfn.CONCAT(CHAR(92),CHAR(92))),"$",_xlfn.CONCAT(CHAR(92),"$")),CHAR(96),_xlfn.CONCAT(CHAR(92),CHAR(96))),CHAR(34),CHAR(39))))</f>
        <v/>
      </c>
      <c r="R607" s="5" t="str">
        <f>IF(OR(TRIM($B607)="",$H607=""),"",IF(OR(ISNUMBER(SEARCH(_xlfn.CONCAT(CHAR(96),CHAR(34)),$H607)),ISNUMBER(SEARCH(_xlfn.CONCAT(CHAR(34),CHAR(39)),$H607))),_xlfn.CONCAT("* REVIEW REQUIRED: compound-quote delimiter in Source on Sheet 1 row ",607,"; edit the input before running."),_xlfn.CONCAT("char ",TRIM($B607),"[doc_source] ",CHAR(96),CHAR(34),SUBSTITUTE(SUBSTITUTE(SUBSTITUTE(SUBSTITUTE(SUBSTITUTE(SUBSTITUTE($H607,CHAR(13)," "),CHAR(10)," "),CHAR(9)," "),CHAR(92),_xlfn.CONCAT(CHAR(92),CHAR(92))),"$",_xlfn.CONCAT(CHAR(92),"$")),CHAR(96),_xlfn.CONCAT(CHAR(92),CHAR(96))),CHAR(34),CHAR(39))))</f>
        <v/>
      </c>
      <c r="S607" s="5" t="str">
        <f>IF(OR(TRIM($B607)="",$I607=""),"",IF(OR(ISNUMBER(SEARCH(_xlfn.CONCAT(CHAR(96),CHAR(34)),$I607)),ISNUMBER(SEARCH(_xlfn.CONCAT(CHAR(34),CHAR(39)),$I607))),_xlfn.CONCAT("* REVIEW REQUIRED: compound-quote delimiter in Derivation on Sheet 1 row ",607,"; edit the input before running."),_xlfn.CONCAT("char ",TRIM($B607),"[doc_derivation] ",CHAR(96),CHAR(34),SUBSTITUTE(SUBSTITUTE(SUBSTITUTE(SUBSTITUTE(SUBSTITUTE(SUBSTITUTE($I607,CHAR(13)," "),CHAR(10)," "),CHAR(9)," "),CHAR(92),_xlfn.CONCAT(CHAR(92),CHAR(92))),"$",_xlfn.CONCAT(CHAR(92),"$")),CHAR(96),_xlfn.CONCAT(CHAR(92),CHAR(96))),CHAR(34),CHAR(39))))</f>
        <v/>
      </c>
      <c r="T607" s="5" t="str">
        <f>IF(OR(TRIM($B607)="",$J607=""),"",IF(OR(ISNUMBER(SEARCH(_xlfn.CONCAT(CHAR(96),CHAR(34)),$J607)),ISNUMBER(SEARCH(_xlfn.CONCAT(CHAR(34),CHAR(39)),$J607))),_xlfn.CONCAT("* REVIEW REQUIRED: compound-quote delimiter in Notes on Sheet 1 row ",607,"; edit the input before running."),_xlfn.CONCAT("char ",TRIM($B607),"[doc_notes] ",CHAR(96),CHAR(34),SUBSTITUTE(SUBSTITUTE(SUBSTITUTE(SUBSTITUTE(SUBSTITUTE(SUBSTITUTE($J607,CHAR(13)," "),CHAR(10)," "),CHAR(9)," "),CHAR(92),_xlfn.CONCAT(CHAR(92),CHAR(92))),"$",_xlfn.CONCAT(CHAR(92),"$")),CHAR(96),_xlfn.CONCAT(CHAR(92),CHAR(96))),CHAR(34),CHAR(39))))</f>
        <v/>
      </c>
      <c r="U607" s="5">
        <f t="shared" si="19"/>
        <v>0</v>
      </c>
    </row>
    <row r="608" spans="3:21" ht="30" customHeight="1" x14ac:dyDescent="0.2">
      <c r="C608" s="4"/>
      <c r="K608" s="5">
        <f t="shared" si="18"/>
        <v>0</v>
      </c>
      <c r="L608" s="5" t="str">
        <f>IF(OR(TRIM($B608)="",$A608=""),"",IF(OR(ISNUMBER(SEARCH(_xlfn.CONCAT(CHAR(96),CHAR(34)),$A608)),ISNUMBER(SEARCH(_xlfn.CONCAT(CHAR(34),CHAR(39)),$A608))),_xlfn.CONCAT("* REVIEW REQUIRED: compound-quote delimiter in Codebook Section on Sheet 1 row ",608,"; edit the input before running."),_xlfn.CONCAT("char ",TRIM($B608),"[doc_section] ",CHAR(96),CHAR(34),SUBSTITUTE(SUBSTITUTE(SUBSTITUTE(SUBSTITUTE(SUBSTITUTE(SUBSTITUTE($A608,CHAR(13)," "),CHAR(10)," "),CHAR(9)," "),CHAR(92),_xlfn.CONCAT(CHAR(92),CHAR(92))),"$",_xlfn.CONCAT(CHAR(92),"$")),CHAR(96),_xlfn.CONCAT(CHAR(92),CHAR(96))),CHAR(34),CHAR(39))))</f>
        <v/>
      </c>
      <c r="M608" s="5" t="str">
        <f>IF(OR(TRIM($B608)="",$C608=""),"",IF(IFERROR(MATCH(TRIM($C608),{"Quantitative","Continuous","Discrete","Categorical","Nominal","Ordinal","Identifier"},0),0)=0,_xlfn.CONCAT("* REVIEW REQUIRED: invalid Variable Type on Sheet 1 row ",608,"."),_xlfn.CONCAT("char ",TRIM($B608),"[doc_vartype] ",CHAR(96),CHAR(34),SUBSTITUTE(SUBSTITUTE(SUBSTITUTE(SUBSTITUTE(SUBSTITUTE(SUBSTITUTE(LOWER(TRIM($C608)),CHAR(13)," "),CHAR(10)," "),CHAR(9)," "),CHAR(92),_xlfn.CONCAT(CHAR(92),CHAR(92))),"$",_xlfn.CONCAT(CHAR(92),"$")),CHAR(96),_xlfn.CONCAT(CHAR(92),CHAR(96))),CHAR(34),CHAR(39))))</f>
        <v/>
      </c>
      <c r="N608" s="5" t="str">
        <f>IF(OR(TRIM($B608)="",$D608=""),"",IF(OR(ISNUMBER(SEARCH(_xlfn.CONCAT(CHAR(96),CHAR(34)),$D608)),ISNUMBER(SEARCH(_xlfn.CONCAT(CHAR(34),CHAR(39)),$D608))),_xlfn.CONCAT("* REVIEW REQUIRED: compound-quote delimiter in Item Number on Sheet 1 row ",608,"; edit the input before running."),_xlfn.CONCAT("char ",TRIM($B608),"[doc_itemnum] ",CHAR(96),CHAR(34),SUBSTITUTE(SUBSTITUTE(SUBSTITUTE(SUBSTITUTE(SUBSTITUTE(SUBSTITUTE($D608,CHAR(13)," "),CHAR(10)," "),CHAR(9)," "),CHAR(92),_xlfn.CONCAT(CHAR(92),CHAR(92))),"$",_xlfn.CONCAT(CHAR(92),"$")),CHAR(96),_xlfn.CONCAT(CHAR(92),CHAR(96))),CHAR(34),CHAR(39))))</f>
        <v/>
      </c>
      <c r="O608" s="5" t="str">
        <f>IF(OR(TRIM($B608)="",$E608=""),"",IF(OR(ISNUMBER(SEARCH(_xlfn.CONCAT(CHAR(96),CHAR(34)),$E608)),ISNUMBER(SEARCH(_xlfn.CONCAT(CHAR(34),CHAR(39)),$E608))),_xlfn.CONCAT("* REVIEW REQUIRED: compound-quote delimiter in Question Wording on Sheet 1 row ",608,"; edit the input before running."),_xlfn.CONCAT("char ",TRIM($B608),"[doc_question] ",CHAR(96),CHAR(34),SUBSTITUTE(SUBSTITUTE(SUBSTITUTE(SUBSTITUTE(SUBSTITUTE(SUBSTITUTE($E608,CHAR(13)," "),CHAR(10)," "),CHAR(9)," "),CHAR(92),_xlfn.CONCAT(CHAR(92),CHAR(92))),"$",_xlfn.CONCAT(CHAR(92),"$")),CHAR(96),_xlfn.CONCAT(CHAR(92),CHAR(96))),CHAR(34),CHAR(39))))</f>
        <v/>
      </c>
      <c r="P608" s="5" t="str">
        <f>IF(OR(TRIM($B608)="",$F608=""),"",IF(OR(ISNUMBER(SEARCH(_xlfn.CONCAT(CHAR(96),CHAR(34)),$F608)),ISNUMBER(SEARCH(_xlfn.CONCAT(CHAR(34),CHAR(39)),$F608))),_xlfn.CONCAT("* REVIEW REQUIRED: compound-quote delimiter in Units on Sheet 1 row ",608,"; edit the input before running."),_xlfn.CONCAT("char ",TRIM($B608),"[doc_units] ",CHAR(96),CHAR(34),SUBSTITUTE(SUBSTITUTE(SUBSTITUTE(SUBSTITUTE(SUBSTITUTE(SUBSTITUTE($F608,CHAR(13)," "),CHAR(10)," "),CHAR(9)," "),CHAR(92),_xlfn.CONCAT(CHAR(92),CHAR(92))),"$",_xlfn.CONCAT(CHAR(92),"$")),CHAR(96),_xlfn.CONCAT(CHAR(92),CHAR(96))),CHAR(34),CHAR(39))))</f>
        <v/>
      </c>
      <c r="Q608" s="5" t="str">
        <f>IF(OR(TRIM($B608)="",$G608=""),"",IF(OR(ISNUMBER(SEARCH(_xlfn.CONCAT(CHAR(96),CHAR(34)),$G608)),ISNUMBER(SEARCH(_xlfn.CONCAT(CHAR(34),CHAR(39)),$G608))),_xlfn.CONCAT("* REVIEW REQUIRED: compound-quote delimiter in Universe on Sheet 1 row ",608,"; edit the input before running."),_xlfn.CONCAT("char ",TRIM($B608),"[doc_universe] ",CHAR(96),CHAR(34),SUBSTITUTE(SUBSTITUTE(SUBSTITUTE(SUBSTITUTE(SUBSTITUTE(SUBSTITUTE($G608,CHAR(13)," "),CHAR(10)," "),CHAR(9)," "),CHAR(92),_xlfn.CONCAT(CHAR(92),CHAR(92))),"$",_xlfn.CONCAT(CHAR(92),"$")),CHAR(96),_xlfn.CONCAT(CHAR(92),CHAR(96))),CHAR(34),CHAR(39))))</f>
        <v/>
      </c>
      <c r="R608" s="5" t="str">
        <f>IF(OR(TRIM($B608)="",$H608=""),"",IF(OR(ISNUMBER(SEARCH(_xlfn.CONCAT(CHAR(96),CHAR(34)),$H608)),ISNUMBER(SEARCH(_xlfn.CONCAT(CHAR(34),CHAR(39)),$H608))),_xlfn.CONCAT("* REVIEW REQUIRED: compound-quote delimiter in Source on Sheet 1 row ",608,"; edit the input before running."),_xlfn.CONCAT("char ",TRIM($B608),"[doc_source] ",CHAR(96),CHAR(34),SUBSTITUTE(SUBSTITUTE(SUBSTITUTE(SUBSTITUTE(SUBSTITUTE(SUBSTITUTE($H608,CHAR(13)," "),CHAR(10)," "),CHAR(9)," "),CHAR(92),_xlfn.CONCAT(CHAR(92),CHAR(92))),"$",_xlfn.CONCAT(CHAR(92),"$")),CHAR(96),_xlfn.CONCAT(CHAR(92),CHAR(96))),CHAR(34),CHAR(39))))</f>
        <v/>
      </c>
      <c r="S608" s="5" t="str">
        <f>IF(OR(TRIM($B608)="",$I608=""),"",IF(OR(ISNUMBER(SEARCH(_xlfn.CONCAT(CHAR(96),CHAR(34)),$I608)),ISNUMBER(SEARCH(_xlfn.CONCAT(CHAR(34),CHAR(39)),$I608))),_xlfn.CONCAT("* REVIEW REQUIRED: compound-quote delimiter in Derivation on Sheet 1 row ",608,"; edit the input before running."),_xlfn.CONCAT("char ",TRIM($B608),"[doc_derivation] ",CHAR(96),CHAR(34),SUBSTITUTE(SUBSTITUTE(SUBSTITUTE(SUBSTITUTE(SUBSTITUTE(SUBSTITUTE($I608,CHAR(13)," "),CHAR(10)," "),CHAR(9)," "),CHAR(92),_xlfn.CONCAT(CHAR(92),CHAR(92))),"$",_xlfn.CONCAT(CHAR(92),"$")),CHAR(96),_xlfn.CONCAT(CHAR(92),CHAR(96))),CHAR(34),CHAR(39))))</f>
        <v/>
      </c>
      <c r="T608" s="5" t="str">
        <f>IF(OR(TRIM($B608)="",$J608=""),"",IF(OR(ISNUMBER(SEARCH(_xlfn.CONCAT(CHAR(96),CHAR(34)),$J608)),ISNUMBER(SEARCH(_xlfn.CONCAT(CHAR(34),CHAR(39)),$J608))),_xlfn.CONCAT("* REVIEW REQUIRED: compound-quote delimiter in Notes on Sheet 1 row ",608,"; edit the input before running."),_xlfn.CONCAT("char ",TRIM($B608),"[doc_notes] ",CHAR(96),CHAR(34),SUBSTITUTE(SUBSTITUTE(SUBSTITUTE(SUBSTITUTE(SUBSTITUTE(SUBSTITUTE($J608,CHAR(13)," "),CHAR(10)," "),CHAR(9)," "),CHAR(92),_xlfn.CONCAT(CHAR(92),CHAR(92))),"$",_xlfn.CONCAT(CHAR(92),"$")),CHAR(96),_xlfn.CONCAT(CHAR(92),CHAR(96))),CHAR(34),CHAR(39))))</f>
        <v/>
      </c>
      <c r="U608" s="5">
        <f t="shared" si="19"/>
        <v>0</v>
      </c>
    </row>
    <row r="609" spans="3:21" ht="30" customHeight="1" x14ac:dyDescent="0.2">
      <c r="C609" s="4"/>
      <c r="K609" s="5">
        <f t="shared" si="18"/>
        <v>0</v>
      </c>
      <c r="L609" s="5" t="str">
        <f>IF(OR(TRIM($B609)="",$A609=""),"",IF(OR(ISNUMBER(SEARCH(_xlfn.CONCAT(CHAR(96),CHAR(34)),$A609)),ISNUMBER(SEARCH(_xlfn.CONCAT(CHAR(34),CHAR(39)),$A609))),_xlfn.CONCAT("* REVIEW REQUIRED: compound-quote delimiter in Codebook Section on Sheet 1 row ",609,"; edit the input before running."),_xlfn.CONCAT("char ",TRIM($B609),"[doc_section] ",CHAR(96),CHAR(34),SUBSTITUTE(SUBSTITUTE(SUBSTITUTE(SUBSTITUTE(SUBSTITUTE(SUBSTITUTE($A609,CHAR(13)," "),CHAR(10)," "),CHAR(9)," "),CHAR(92),_xlfn.CONCAT(CHAR(92),CHAR(92))),"$",_xlfn.CONCAT(CHAR(92),"$")),CHAR(96),_xlfn.CONCAT(CHAR(92),CHAR(96))),CHAR(34),CHAR(39))))</f>
        <v/>
      </c>
      <c r="M609" s="5" t="str">
        <f>IF(OR(TRIM($B609)="",$C609=""),"",IF(IFERROR(MATCH(TRIM($C609),{"Quantitative","Continuous","Discrete","Categorical","Nominal","Ordinal","Identifier"},0),0)=0,_xlfn.CONCAT("* REVIEW REQUIRED: invalid Variable Type on Sheet 1 row ",609,"."),_xlfn.CONCAT("char ",TRIM($B609),"[doc_vartype] ",CHAR(96),CHAR(34),SUBSTITUTE(SUBSTITUTE(SUBSTITUTE(SUBSTITUTE(SUBSTITUTE(SUBSTITUTE(LOWER(TRIM($C609)),CHAR(13)," "),CHAR(10)," "),CHAR(9)," "),CHAR(92),_xlfn.CONCAT(CHAR(92),CHAR(92))),"$",_xlfn.CONCAT(CHAR(92),"$")),CHAR(96),_xlfn.CONCAT(CHAR(92),CHAR(96))),CHAR(34),CHAR(39))))</f>
        <v/>
      </c>
      <c r="N609" s="5" t="str">
        <f>IF(OR(TRIM($B609)="",$D609=""),"",IF(OR(ISNUMBER(SEARCH(_xlfn.CONCAT(CHAR(96),CHAR(34)),$D609)),ISNUMBER(SEARCH(_xlfn.CONCAT(CHAR(34),CHAR(39)),$D609))),_xlfn.CONCAT("* REVIEW REQUIRED: compound-quote delimiter in Item Number on Sheet 1 row ",609,"; edit the input before running."),_xlfn.CONCAT("char ",TRIM($B609),"[doc_itemnum] ",CHAR(96),CHAR(34),SUBSTITUTE(SUBSTITUTE(SUBSTITUTE(SUBSTITUTE(SUBSTITUTE(SUBSTITUTE($D609,CHAR(13)," "),CHAR(10)," "),CHAR(9)," "),CHAR(92),_xlfn.CONCAT(CHAR(92),CHAR(92))),"$",_xlfn.CONCAT(CHAR(92),"$")),CHAR(96),_xlfn.CONCAT(CHAR(92),CHAR(96))),CHAR(34),CHAR(39))))</f>
        <v/>
      </c>
      <c r="O609" s="5" t="str">
        <f>IF(OR(TRIM($B609)="",$E609=""),"",IF(OR(ISNUMBER(SEARCH(_xlfn.CONCAT(CHAR(96),CHAR(34)),$E609)),ISNUMBER(SEARCH(_xlfn.CONCAT(CHAR(34),CHAR(39)),$E609))),_xlfn.CONCAT("* REVIEW REQUIRED: compound-quote delimiter in Question Wording on Sheet 1 row ",609,"; edit the input before running."),_xlfn.CONCAT("char ",TRIM($B609),"[doc_question] ",CHAR(96),CHAR(34),SUBSTITUTE(SUBSTITUTE(SUBSTITUTE(SUBSTITUTE(SUBSTITUTE(SUBSTITUTE($E609,CHAR(13)," "),CHAR(10)," "),CHAR(9)," "),CHAR(92),_xlfn.CONCAT(CHAR(92),CHAR(92))),"$",_xlfn.CONCAT(CHAR(92),"$")),CHAR(96),_xlfn.CONCAT(CHAR(92),CHAR(96))),CHAR(34),CHAR(39))))</f>
        <v/>
      </c>
      <c r="P609" s="5" t="str">
        <f>IF(OR(TRIM($B609)="",$F609=""),"",IF(OR(ISNUMBER(SEARCH(_xlfn.CONCAT(CHAR(96),CHAR(34)),$F609)),ISNUMBER(SEARCH(_xlfn.CONCAT(CHAR(34),CHAR(39)),$F609))),_xlfn.CONCAT("* REVIEW REQUIRED: compound-quote delimiter in Units on Sheet 1 row ",609,"; edit the input before running."),_xlfn.CONCAT("char ",TRIM($B609),"[doc_units] ",CHAR(96),CHAR(34),SUBSTITUTE(SUBSTITUTE(SUBSTITUTE(SUBSTITUTE(SUBSTITUTE(SUBSTITUTE($F609,CHAR(13)," "),CHAR(10)," "),CHAR(9)," "),CHAR(92),_xlfn.CONCAT(CHAR(92),CHAR(92))),"$",_xlfn.CONCAT(CHAR(92),"$")),CHAR(96),_xlfn.CONCAT(CHAR(92),CHAR(96))),CHAR(34),CHAR(39))))</f>
        <v/>
      </c>
      <c r="Q609" s="5" t="str">
        <f>IF(OR(TRIM($B609)="",$G609=""),"",IF(OR(ISNUMBER(SEARCH(_xlfn.CONCAT(CHAR(96),CHAR(34)),$G609)),ISNUMBER(SEARCH(_xlfn.CONCAT(CHAR(34),CHAR(39)),$G609))),_xlfn.CONCAT("* REVIEW REQUIRED: compound-quote delimiter in Universe on Sheet 1 row ",609,"; edit the input before running."),_xlfn.CONCAT("char ",TRIM($B609),"[doc_universe] ",CHAR(96),CHAR(34),SUBSTITUTE(SUBSTITUTE(SUBSTITUTE(SUBSTITUTE(SUBSTITUTE(SUBSTITUTE($G609,CHAR(13)," "),CHAR(10)," "),CHAR(9)," "),CHAR(92),_xlfn.CONCAT(CHAR(92),CHAR(92))),"$",_xlfn.CONCAT(CHAR(92),"$")),CHAR(96),_xlfn.CONCAT(CHAR(92),CHAR(96))),CHAR(34),CHAR(39))))</f>
        <v/>
      </c>
      <c r="R609" s="5" t="str">
        <f>IF(OR(TRIM($B609)="",$H609=""),"",IF(OR(ISNUMBER(SEARCH(_xlfn.CONCAT(CHAR(96),CHAR(34)),$H609)),ISNUMBER(SEARCH(_xlfn.CONCAT(CHAR(34),CHAR(39)),$H609))),_xlfn.CONCAT("* REVIEW REQUIRED: compound-quote delimiter in Source on Sheet 1 row ",609,"; edit the input before running."),_xlfn.CONCAT("char ",TRIM($B609),"[doc_source] ",CHAR(96),CHAR(34),SUBSTITUTE(SUBSTITUTE(SUBSTITUTE(SUBSTITUTE(SUBSTITUTE(SUBSTITUTE($H609,CHAR(13)," "),CHAR(10)," "),CHAR(9)," "),CHAR(92),_xlfn.CONCAT(CHAR(92),CHAR(92))),"$",_xlfn.CONCAT(CHAR(92),"$")),CHAR(96),_xlfn.CONCAT(CHAR(92),CHAR(96))),CHAR(34),CHAR(39))))</f>
        <v/>
      </c>
      <c r="S609" s="5" t="str">
        <f>IF(OR(TRIM($B609)="",$I609=""),"",IF(OR(ISNUMBER(SEARCH(_xlfn.CONCAT(CHAR(96),CHAR(34)),$I609)),ISNUMBER(SEARCH(_xlfn.CONCAT(CHAR(34),CHAR(39)),$I609))),_xlfn.CONCAT("* REVIEW REQUIRED: compound-quote delimiter in Derivation on Sheet 1 row ",609,"; edit the input before running."),_xlfn.CONCAT("char ",TRIM($B609),"[doc_derivation] ",CHAR(96),CHAR(34),SUBSTITUTE(SUBSTITUTE(SUBSTITUTE(SUBSTITUTE(SUBSTITUTE(SUBSTITUTE($I609,CHAR(13)," "),CHAR(10)," "),CHAR(9)," "),CHAR(92),_xlfn.CONCAT(CHAR(92),CHAR(92))),"$",_xlfn.CONCAT(CHAR(92),"$")),CHAR(96),_xlfn.CONCAT(CHAR(92),CHAR(96))),CHAR(34),CHAR(39))))</f>
        <v/>
      </c>
      <c r="T609" s="5" t="str">
        <f>IF(OR(TRIM($B609)="",$J609=""),"",IF(OR(ISNUMBER(SEARCH(_xlfn.CONCAT(CHAR(96),CHAR(34)),$J609)),ISNUMBER(SEARCH(_xlfn.CONCAT(CHAR(34),CHAR(39)),$J609))),_xlfn.CONCAT("* REVIEW REQUIRED: compound-quote delimiter in Notes on Sheet 1 row ",609,"; edit the input before running."),_xlfn.CONCAT("char ",TRIM($B609),"[doc_notes] ",CHAR(96),CHAR(34),SUBSTITUTE(SUBSTITUTE(SUBSTITUTE(SUBSTITUTE(SUBSTITUTE(SUBSTITUTE($J609,CHAR(13)," "),CHAR(10)," "),CHAR(9)," "),CHAR(92),_xlfn.CONCAT(CHAR(92),CHAR(92))),"$",_xlfn.CONCAT(CHAR(92),"$")),CHAR(96),_xlfn.CONCAT(CHAR(92),CHAR(96))),CHAR(34),CHAR(39))))</f>
        <v/>
      </c>
      <c r="U609" s="5">
        <f t="shared" si="19"/>
        <v>0</v>
      </c>
    </row>
    <row r="610" spans="3:21" ht="30" customHeight="1" x14ac:dyDescent="0.2">
      <c r="C610" s="4"/>
      <c r="K610" s="5">
        <f t="shared" si="18"/>
        <v>0</v>
      </c>
      <c r="L610" s="5" t="str">
        <f>IF(OR(TRIM($B610)="",$A610=""),"",IF(OR(ISNUMBER(SEARCH(_xlfn.CONCAT(CHAR(96),CHAR(34)),$A610)),ISNUMBER(SEARCH(_xlfn.CONCAT(CHAR(34),CHAR(39)),$A610))),_xlfn.CONCAT("* REVIEW REQUIRED: compound-quote delimiter in Codebook Section on Sheet 1 row ",610,"; edit the input before running."),_xlfn.CONCAT("char ",TRIM($B610),"[doc_section] ",CHAR(96),CHAR(34),SUBSTITUTE(SUBSTITUTE(SUBSTITUTE(SUBSTITUTE(SUBSTITUTE(SUBSTITUTE($A610,CHAR(13)," "),CHAR(10)," "),CHAR(9)," "),CHAR(92),_xlfn.CONCAT(CHAR(92),CHAR(92))),"$",_xlfn.CONCAT(CHAR(92),"$")),CHAR(96),_xlfn.CONCAT(CHAR(92),CHAR(96))),CHAR(34),CHAR(39))))</f>
        <v/>
      </c>
      <c r="M610" s="5" t="str">
        <f>IF(OR(TRIM($B610)="",$C610=""),"",IF(IFERROR(MATCH(TRIM($C610),{"Quantitative","Continuous","Discrete","Categorical","Nominal","Ordinal","Identifier"},0),0)=0,_xlfn.CONCAT("* REVIEW REQUIRED: invalid Variable Type on Sheet 1 row ",610,"."),_xlfn.CONCAT("char ",TRIM($B610),"[doc_vartype] ",CHAR(96),CHAR(34),SUBSTITUTE(SUBSTITUTE(SUBSTITUTE(SUBSTITUTE(SUBSTITUTE(SUBSTITUTE(LOWER(TRIM($C610)),CHAR(13)," "),CHAR(10)," "),CHAR(9)," "),CHAR(92),_xlfn.CONCAT(CHAR(92),CHAR(92))),"$",_xlfn.CONCAT(CHAR(92),"$")),CHAR(96),_xlfn.CONCAT(CHAR(92),CHAR(96))),CHAR(34),CHAR(39))))</f>
        <v/>
      </c>
      <c r="N610" s="5" t="str">
        <f>IF(OR(TRIM($B610)="",$D610=""),"",IF(OR(ISNUMBER(SEARCH(_xlfn.CONCAT(CHAR(96),CHAR(34)),$D610)),ISNUMBER(SEARCH(_xlfn.CONCAT(CHAR(34),CHAR(39)),$D610))),_xlfn.CONCAT("* REVIEW REQUIRED: compound-quote delimiter in Item Number on Sheet 1 row ",610,"; edit the input before running."),_xlfn.CONCAT("char ",TRIM($B610),"[doc_itemnum] ",CHAR(96),CHAR(34),SUBSTITUTE(SUBSTITUTE(SUBSTITUTE(SUBSTITUTE(SUBSTITUTE(SUBSTITUTE($D610,CHAR(13)," "),CHAR(10)," "),CHAR(9)," "),CHAR(92),_xlfn.CONCAT(CHAR(92),CHAR(92))),"$",_xlfn.CONCAT(CHAR(92),"$")),CHAR(96),_xlfn.CONCAT(CHAR(92),CHAR(96))),CHAR(34),CHAR(39))))</f>
        <v/>
      </c>
      <c r="O610" s="5" t="str">
        <f>IF(OR(TRIM($B610)="",$E610=""),"",IF(OR(ISNUMBER(SEARCH(_xlfn.CONCAT(CHAR(96),CHAR(34)),$E610)),ISNUMBER(SEARCH(_xlfn.CONCAT(CHAR(34),CHAR(39)),$E610))),_xlfn.CONCAT("* REVIEW REQUIRED: compound-quote delimiter in Question Wording on Sheet 1 row ",610,"; edit the input before running."),_xlfn.CONCAT("char ",TRIM($B610),"[doc_question] ",CHAR(96),CHAR(34),SUBSTITUTE(SUBSTITUTE(SUBSTITUTE(SUBSTITUTE(SUBSTITUTE(SUBSTITUTE($E610,CHAR(13)," "),CHAR(10)," "),CHAR(9)," "),CHAR(92),_xlfn.CONCAT(CHAR(92),CHAR(92))),"$",_xlfn.CONCAT(CHAR(92),"$")),CHAR(96),_xlfn.CONCAT(CHAR(92),CHAR(96))),CHAR(34),CHAR(39))))</f>
        <v/>
      </c>
      <c r="P610" s="5" t="str">
        <f>IF(OR(TRIM($B610)="",$F610=""),"",IF(OR(ISNUMBER(SEARCH(_xlfn.CONCAT(CHAR(96),CHAR(34)),$F610)),ISNUMBER(SEARCH(_xlfn.CONCAT(CHAR(34),CHAR(39)),$F610))),_xlfn.CONCAT("* REVIEW REQUIRED: compound-quote delimiter in Units on Sheet 1 row ",610,"; edit the input before running."),_xlfn.CONCAT("char ",TRIM($B610),"[doc_units] ",CHAR(96),CHAR(34),SUBSTITUTE(SUBSTITUTE(SUBSTITUTE(SUBSTITUTE(SUBSTITUTE(SUBSTITUTE($F610,CHAR(13)," "),CHAR(10)," "),CHAR(9)," "),CHAR(92),_xlfn.CONCAT(CHAR(92),CHAR(92))),"$",_xlfn.CONCAT(CHAR(92),"$")),CHAR(96),_xlfn.CONCAT(CHAR(92),CHAR(96))),CHAR(34),CHAR(39))))</f>
        <v/>
      </c>
      <c r="Q610" s="5" t="str">
        <f>IF(OR(TRIM($B610)="",$G610=""),"",IF(OR(ISNUMBER(SEARCH(_xlfn.CONCAT(CHAR(96),CHAR(34)),$G610)),ISNUMBER(SEARCH(_xlfn.CONCAT(CHAR(34),CHAR(39)),$G610))),_xlfn.CONCAT("* REVIEW REQUIRED: compound-quote delimiter in Universe on Sheet 1 row ",610,"; edit the input before running."),_xlfn.CONCAT("char ",TRIM($B610),"[doc_universe] ",CHAR(96),CHAR(34),SUBSTITUTE(SUBSTITUTE(SUBSTITUTE(SUBSTITUTE(SUBSTITUTE(SUBSTITUTE($G610,CHAR(13)," "),CHAR(10)," "),CHAR(9)," "),CHAR(92),_xlfn.CONCAT(CHAR(92),CHAR(92))),"$",_xlfn.CONCAT(CHAR(92),"$")),CHAR(96),_xlfn.CONCAT(CHAR(92),CHAR(96))),CHAR(34),CHAR(39))))</f>
        <v/>
      </c>
      <c r="R610" s="5" t="str">
        <f>IF(OR(TRIM($B610)="",$H610=""),"",IF(OR(ISNUMBER(SEARCH(_xlfn.CONCAT(CHAR(96),CHAR(34)),$H610)),ISNUMBER(SEARCH(_xlfn.CONCAT(CHAR(34),CHAR(39)),$H610))),_xlfn.CONCAT("* REVIEW REQUIRED: compound-quote delimiter in Source on Sheet 1 row ",610,"; edit the input before running."),_xlfn.CONCAT("char ",TRIM($B610),"[doc_source] ",CHAR(96),CHAR(34),SUBSTITUTE(SUBSTITUTE(SUBSTITUTE(SUBSTITUTE(SUBSTITUTE(SUBSTITUTE($H610,CHAR(13)," "),CHAR(10)," "),CHAR(9)," "),CHAR(92),_xlfn.CONCAT(CHAR(92),CHAR(92))),"$",_xlfn.CONCAT(CHAR(92),"$")),CHAR(96),_xlfn.CONCAT(CHAR(92),CHAR(96))),CHAR(34),CHAR(39))))</f>
        <v/>
      </c>
      <c r="S610" s="5" t="str">
        <f>IF(OR(TRIM($B610)="",$I610=""),"",IF(OR(ISNUMBER(SEARCH(_xlfn.CONCAT(CHAR(96),CHAR(34)),$I610)),ISNUMBER(SEARCH(_xlfn.CONCAT(CHAR(34),CHAR(39)),$I610))),_xlfn.CONCAT("* REVIEW REQUIRED: compound-quote delimiter in Derivation on Sheet 1 row ",610,"; edit the input before running."),_xlfn.CONCAT("char ",TRIM($B610),"[doc_derivation] ",CHAR(96),CHAR(34),SUBSTITUTE(SUBSTITUTE(SUBSTITUTE(SUBSTITUTE(SUBSTITUTE(SUBSTITUTE($I610,CHAR(13)," "),CHAR(10)," "),CHAR(9)," "),CHAR(92),_xlfn.CONCAT(CHAR(92),CHAR(92))),"$",_xlfn.CONCAT(CHAR(92),"$")),CHAR(96),_xlfn.CONCAT(CHAR(92),CHAR(96))),CHAR(34),CHAR(39))))</f>
        <v/>
      </c>
      <c r="T610" s="5" t="str">
        <f>IF(OR(TRIM($B610)="",$J610=""),"",IF(OR(ISNUMBER(SEARCH(_xlfn.CONCAT(CHAR(96),CHAR(34)),$J610)),ISNUMBER(SEARCH(_xlfn.CONCAT(CHAR(34),CHAR(39)),$J610))),_xlfn.CONCAT("* REVIEW REQUIRED: compound-quote delimiter in Notes on Sheet 1 row ",610,"; edit the input before running."),_xlfn.CONCAT("char ",TRIM($B610),"[doc_notes] ",CHAR(96),CHAR(34),SUBSTITUTE(SUBSTITUTE(SUBSTITUTE(SUBSTITUTE(SUBSTITUTE(SUBSTITUTE($J610,CHAR(13)," "),CHAR(10)," "),CHAR(9)," "),CHAR(92),_xlfn.CONCAT(CHAR(92),CHAR(92))),"$",_xlfn.CONCAT(CHAR(92),"$")),CHAR(96),_xlfn.CONCAT(CHAR(92),CHAR(96))),CHAR(34),CHAR(39))))</f>
        <v/>
      </c>
      <c r="U610" s="5">
        <f t="shared" si="19"/>
        <v>0</v>
      </c>
    </row>
    <row r="611" spans="3:21" ht="30" customHeight="1" x14ac:dyDescent="0.2">
      <c r="C611" s="4"/>
      <c r="K611" s="5">
        <f t="shared" si="18"/>
        <v>0</v>
      </c>
      <c r="L611" s="5" t="str">
        <f>IF(OR(TRIM($B611)="",$A611=""),"",IF(OR(ISNUMBER(SEARCH(_xlfn.CONCAT(CHAR(96),CHAR(34)),$A611)),ISNUMBER(SEARCH(_xlfn.CONCAT(CHAR(34),CHAR(39)),$A611))),_xlfn.CONCAT("* REVIEW REQUIRED: compound-quote delimiter in Codebook Section on Sheet 1 row ",611,"; edit the input before running."),_xlfn.CONCAT("char ",TRIM($B611),"[doc_section] ",CHAR(96),CHAR(34),SUBSTITUTE(SUBSTITUTE(SUBSTITUTE(SUBSTITUTE(SUBSTITUTE(SUBSTITUTE($A611,CHAR(13)," "),CHAR(10)," "),CHAR(9)," "),CHAR(92),_xlfn.CONCAT(CHAR(92),CHAR(92))),"$",_xlfn.CONCAT(CHAR(92),"$")),CHAR(96),_xlfn.CONCAT(CHAR(92),CHAR(96))),CHAR(34),CHAR(39))))</f>
        <v/>
      </c>
      <c r="M611" s="5" t="str">
        <f>IF(OR(TRIM($B611)="",$C611=""),"",IF(IFERROR(MATCH(TRIM($C611),{"Quantitative","Continuous","Discrete","Categorical","Nominal","Ordinal","Identifier"},0),0)=0,_xlfn.CONCAT("* REVIEW REQUIRED: invalid Variable Type on Sheet 1 row ",611,"."),_xlfn.CONCAT("char ",TRIM($B611),"[doc_vartype] ",CHAR(96),CHAR(34),SUBSTITUTE(SUBSTITUTE(SUBSTITUTE(SUBSTITUTE(SUBSTITUTE(SUBSTITUTE(LOWER(TRIM($C611)),CHAR(13)," "),CHAR(10)," "),CHAR(9)," "),CHAR(92),_xlfn.CONCAT(CHAR(92),CHAR(92))),"$",_xlfn.CONCAT(CHAR(92),"$")),CHAR(96),_xlfn.CONCAT(CHAR(92),CHAR(96))),CHAR(34),CHAR(39))))</f>
        <v/>
      </c>
      <c r="N611" s="5" t="str">
        <f>IF(OR(TRIM($B611)="",$D611=""),"",IF(OR(ISNUMBER(SEARCH(_xlfn.CONCAT(CHAR(96),CHAR(34)),$D611)),ISNUMBER(SEARCH(_xlfn.CONCAT(CHAR(34),CHAR(39)),$D611))),_xlfn.CONCAT("* REVIEW REQUIRED: compound-quote delimiter in Item Number on Sheet 1 row ",611,"; edit the input before running."),_xlfn.CONCAT("char ",TRIM($B611),"[doc_itemnum] ",CHAR(96),CHAR(34),SUBSTITUTE(SUBSTITUTE(SUBSTITUTE(SUBSTITUTE(SUBSTITUTE(SUBSTITUTE($D611,CHAR(13)," "),CHAR(10)," "),CHAR(9)," "),CHAR(92),_xlfn.CONCAT(CHAR(92),CHAR(92))),"$",_xlfn.CONCAT(CHAR(92),"$")),CHAR(96),_xlfn.CONCAT(CHAR(92),CHAR(96))),CHAR(34),CHAR(39))))</f>
        <v/>
      </c>
      <c r="O611" s="5" t="str">
        <f>IF(OR(TRIM($B611)="",$E611=""),"",IF(OR(ISNUMBER(SEARCH(_xlfn.CONCAT(CHAR(96),CHAR(34)),$E611)),ISNUMBER(SEARCH(_xlfn.CONCAT(CHAR(34),CHAR(39)),$E611))),_xlfn.CONCAT("* REVIEW REQUIRED: compound-quote delimiter in Question Wording on Sheet 1 row ",611,"; edit the input before running."),_xlfn.CONCAT("char ",TRIM($B611),"[doc_question] ",CHAR(96),CHAR(34),SUBSTITUTE(SUBSTITUTE(SUBSTITUTE(SUBSTITUTE(SUBSTITUTE(SUBSTITUTE($E611,CHAR(13)," "),CHAR(10)," "),CHAR(9)," "),CHAR(92),_xlfn.CONCAT(CHAR(92),CHAR(92))),"$",_xlfn.CONCAT(CHAR(92),"$")),CHAR(96),_xlfn.CONCAT(CHAR(92),CHAR(96))),CHAR(34),CHAR(39))))</f>
        <v/>
      </c>
      <c r="P611" s="5" t="str">
        <f>IF(OR(TRIM($B611)="",$F611=""),"",IF(OR(ISNUMBER(SEARCH(_xlfn.CONCAT(CHAR(96),CHAR(34)),$F611)),ISNUMBER(SEARCH(_xlfn.CONCAT(CHAR(34),CHAR(39)),$F611))),_xlfn.CONCAT("* REVIEW REQUIRED: compound-quote delimiter in Units on Sheet 1 row ",611,"; edit the input before running."),_xlfn.CONCAT("char ",TRIM($B611),"[doc_units] ",CHAR(96),CHAR(34),SUBSTITUTE(SUBSTITUTE(SUBSTITUTE(SUBSTITUTE(SUBSTITUTE(SUBSTITUTE($F611,CHAR(13)," "),CHAR(10)," "),CHAR(9)," "),CHAR(92),_xlfn.CONCAT(CHAR(92),CHAR(92))),"$",_xlfn.CONCAT(CHAR(92),"$")),CHAR(96),_xlfn.CONCAT(CHAR(92),CHAR(96))),CHAR(34),CHAR(39))))</f>
        <v/>
      </c>
      <c r="Q611" s="5" t="str">
        <f>IF(OR(TRIM($B611)="",$G611=""),"",IF(OR(ISNUMBER(SEARCH(_xlfn.CONCAT(CHAR(96),CHAR(34)),$G611)),ISNUMBER(SEARCH(_xlfn.CONCAT(CHAR(34),CHAR(39)),$G611))),_xlfn.CONCAT("* REVIEW REQUIRED: compound-quote delimiter in Universe on Sheet 1 row ",611,"; edit the input before running."),_xlfn.CONCAT("char ",TRIM($B611),"[doc_universe] ",CHAR(96),CHAR(34),SUBSTITUTE(SUBSTITUTE(SUBSTITUTE(SUBSTITUTE(SUBSTITUTE(SUBSTITUTE($G611,CHAR(13)," "),CHAR(10)," "),CHAR(9)," "),CHAR(92),_xlfn.CONCAT(CHAR(92),CHAR(92))),"$",_xlfn.CONCAT(CHAR(92),"$")),CHAR(96),_xlfn.CONCAT(CHAR(92),CHAR(96))),CHAR(34),CHAR(39))))</f>
        <v/>
      </c>
      <c r="R611" s="5" t="str">
        <f>IF(OR(TRIM($B611)="",$H611=""),"",IF(OR(ISNUMBER(SEARCH(_xlfn.CONCAT(CHAR(96),CHAR(34)),$H611)),ISNUMBER(SEARCH(_xlfn.CONCAT(CHAR(34),CHAR(39)),$H611))),_xlfn.CONCAT("* REVIEW REQUIRED: compound-quote delimiter in Source on Sheet 1 row ",611,"; edit the input before running."),_xlfn.CONCAT("char ",TRIM($B611),"[doc_source] ",CHAR(96),CHAR(34),SUBSTITUTE(SUBSTITUTE(SUBSTITUTE(SUBSTITUTE(SUBSTITUTE(SUBSTITUTE($H611,CHAR(13)," "),CHAR(10)," "),CHAR(9)," "),CHAR(92),_xlfn.CONCAT(CHAR(92),CHAR(92))),"$",_xlfn.CONCAT(CHAR(92),"$")),CHAR(96),_xlfn.CONCAT(CHAR(92),CHAR(96))),CHAR(34),CHAR(39))))</f>
        <v/>
      </c>
      <c r="S611" s="5" t="str">
        <f>IF(OR(TRIM($B611)="",$I611=""),"",IF(OR(ISNUMBER(SEARCH(_xlfn.CONCAT(CHAR(96),CHAR(34)),$I611)),ISNUMBER(SEARCH(_xlfn.CONCAT(CHAR(34),CHAR(39)),$I611))),_xlfn.CONCAT("* REVIEW REQUIRED: compound-quote delimiter in Derivation on Sheet 1 row ",611,"; edit the input before running."),_xlfn.CONCAT("char ",TRIM($B611),"[doc_derivation] ",CHAR(96),CHAR(34),SUBSTITUTE(SUBSTITUTE(SUBSTITUTE(SUBSTITUTE(SUBSTITUTE(SUBSTITUTE($I611,CHAR(13)," "),CHAR(10)," "),CHAR(9)," "),CHAR(92),_xlfn.CONCAT(CHAR(92),CHAR(92))),"$",_xlfn.CONCAT(CHAR(92),"$")),CHAR(96),_xlfn.CONCAT(CHAR(92),CHAR(96))),CHAR(34),CHAR(39))))</f>
        <v/>
      </c>
      <c r="T611" s="5" t="str">
        <f>IF(OR(TRIM($B611)="",$J611=""),"",IF(OR(ISNUMBER(SEARCH(_xlfn.CONCAT(CHAR(96),CHAR(34)),$J611)),ISNUMBER(SEARCH(_xlfn.CONCAT(CHAR(34),CHAR(39)),$J611))),_xlfn.CONCAT("* REVIEW REQUIRED: compound-quote delimiter in Notes on Sheet 1 row ",611,"; edit the input before running."),_xlfn.CONCAT("char ",TRIM($B611),"[doc_notes] ",CHAR(96),CHAR(34),SUBSTITUTE(SUBSTITUTE(SUBSTITUTE(SUBSTITUTE(SUBSTITUTE(SUBSTITUTE($J611,CHAR(13)," "),CHAR(10)," "),CHAR(9)," "),CHAR(92),_xlfn.CONCAT(CHAR(92),CHAR(92))),"$",_xlfn.CONCAT(CHAR(92),"$")),CHAR(96),_xlfn.CONCAT(CHAR(92),CHAR(96))),CHAR(34),CHAR(39))))</f>
        <v/>
      </c>
      <c r="U611" s="5">
        <f t="shared" si="19"/>
        <v>0</v>
      </c>
    </row>
    <row r="612" spans="3:21" ht="30" customHeight="1" x14ac:dyDescent="0.2">
      <c r="C612" s="4"/>
      <c r="K612" s="5">
        <f t="shared" si="18"/>
        <v>0</v>
      </c>
      <c r="L612" s="5" t="str">
        <f>IF(OR(TRIM($B612)="",$A612=""),"",IF(OR(ISNUMBER(SEARCH(_xlfn.CONCAT(CHAR(96),CHAR(34)),$A612)),ISNUMBER(SEARCH(_xlfn.CONCAT(CHAR(34),CHAR(39)),$A612))),_xlfn.CONCAT("* REVIEW REQUIRED: compound-quote delimiter in Codebook Section on Sheet 1 row ",612,"; edit the input before running."),_xlfn.CONCAT("char ",TRIM($B612),"[doc_section] ",CHAR(96),CHAR(34),SUBSTITUTE(SUBSTITUTE(SUBSTITUTE(SUBSTITUTE(SUBSTITUTE(SUBSTITUTE($A612,CHAR(13)," "),CHAR(10)," "),CHAR(9)," "),CHAR(92),_xlfn.CONCAT(CHAR(92),CHAR(92))),"$",_xlfn.CONCAT(CHAR(92),"$")),CHAR(96),_xlfn.CONCAT(CHAR(92),CHAR(96))),CHAR(34),CHAR(39))))</f>
        <v/>
      </c>
      <c r="M612" s="5" t="str">
        <f>IF(OR(TRIM($B612)="",$C612=""),"",IF(IFERROR(MATCH(TRIM($C612),{"Quantitative","Continuous","Discrete","Categorical","Nominal","Ordinal","Identifier"},0),0)=0,_xlfn.CONCAT("* REVIEW REQUIRED: invalid Variable Type on Sheet 1 row ",612,"."),_xlfn.CONCAT("char ",TRIM($B612),"[doc_vartype] ",CHAR(96),CHAR(34),SUBSTITUTE(SUBSTITUTE(SUBSTITUTE(SUBSTITUTE(SUBSTITUTE(SUBSTITUTE(LOWER(TRIM($C612)),CHAR(13)," "),CHAR(10)," "),CHAR(9)," "),CHAR(92),_xlfn.CONCAT(CHAR(92),CHAR(92))),"$",_xlfn.CONCAT(CHAR(92),"$")),CHAR(96),_xlfn.CONCAT(CHAR(92),CHAR(96))),CHAR(34),CHAR(39))))</f>
        <v/>
      </c>
      <c r="N612" s="5" t="str">
        <f>IF(OR(TRIM($B612)="",$D612=""),"",IF(OR(ISNUMBER(SEARCH(_xlfn.CONCAT(CHAR(96),CHAR(34)),$D612)),ISNUMBER(SEARCH(_xlfn.CONCAT(CHAR(34),CHAR(39)),$D612))),_xlfn.CONCAT("* REVIEW REQUIRED: compound-quote delimiter in Item Number on Sheet 1 row ",612,"; edit the input before running."),_xlfn.CONCAT("char ",TRIM($B612),"[doc_itemnum] ",CHAR(96),CHAR(34),SUBSTITUTE(SUBSTITUTE(SUBSTITUTE(SUBSTITUTE(SUBSTITUTE(SUBSTITUTE($D612,CHAR(13)," "),CHAR(10)," "),CHAR(9)," "),CHAR(92),_xlfn.CONCAT(CHAR(92),CHAR(92))),"$",_xlfn.CONCAT(CHAR(92),"$")),CHAR(96),_xlfn.CONCAT(CHAR(92),CHAR(96))),CHAR(34),CHAR(39))))</f>
        <v/>
      </c>
      <c r="O612" s="5" t="str">
        <f>IF(OR(TRIM($B612)="",$E612=""),"",IF(OR(ISNUMBER(SEARCH(_xlfn.CONCAT(CHAR(96),CHAR(34)),$E612)),ISNUMBER(SEARCH(_xlfn.CONCAT(CHAR(34),CHAR(39)),$E612))),_xlfn.CONCAT("* REVIEW REQUIRED: compound-quote delimiter in Question Wording on Sheet 1 row ",612,"; edit the input before running."),_xlfn.CONCAT("char ",TRIM($B612),"[doc_question] ",CHAR(96),CHAR(34),SUBSTITUTE(SUBSTITUTE(SUBSTITUTE(SUBSTITUTE(SUBSTITUTE(SUBSTITUTE($E612,CHAR(13)," "),CHAR(10)," "),CHAR(9)," "),CHAR(92),_xlfn.CONCAT(CHAR(92),CHAR(92))),"$",_xlfn.CONCAT(CHAR(92),"$")),CHAR(96),_xlfn.CONCAT(CHAR(92),CHAR(96))),CHAR(34),CHAR(39))))</f>
        <v/>
      </c>
      <c r="P612" s="5" t="str">
        <f>IF(OR(TRIM($B612)="",$F612=""),"",IF(OR(ISNUMBER(SEARCH(_xlfn.CONCAT(CHAR(96),CHAR(34)),$F612)),ISNUMBER(SEARCH(_xlfn.CONCAT(CHAR(34),CHAR(39)),$F612))),_xlfn.CONCAT("* REVIEW REQUIRED: compound-quote delimiter in Units on Sheet 1 row ",612,"; edit the input before running."),_xlfn.CONCAT("char ",TRIM($B612),"[doc_units] ",CHAR(96),CHAR(34),SUBSTITUTE(SUBSTITUTE(SUBSTITUTE(SUBSTITUTE(SUBSTITUTE(SUBSTITUTE($F612,CHAR(13)," "),CHAR(10)," "),CHAR(9)," "),CHAR(92),_xlfn.CONCAT(CHAR(92),CHAR(92))),"$",_xlfn.CONCAT(CHAR(92),"$")),CHAR(96),_xlfn.CONCAT(CHAR(92),CHAR(96))),CHAR(34),CHAR(39))))</f>
        <v/>
      </c>
      <c r="Q612" s="5" t="str">
        <f>IF(OR(TRIM($B612)="",$G612=""),"",IF(OR(ISNUMBER(SEARCH(_xlfn.CONCAT(CHAR(96),CHAR(34)),$G612)),ISNUMBER(SEARCH(_xlfn.CONCAT(CHAR(34),CHAR(39)),$G612))),_xlfn.CONCAT("* REVIEW REQUIRED: compound-quote delimiter in Universe on Sheet 1 row ",612,"; edit the input before running."),_xlfn.CONCAT("char ",TRIM($B612),"[doc_universe] ",CHAR(96),CHAR(34),SUBSTITUTE(SUBSTITUTE(SUBSTITUTE(SUBSTITUTE(SUBSTITUTE(SUBSTITUTE($G612,CHAR(13)," "),CHAR(10)," "),CHAR(9)," "),CHAR(92),_xlfn.CONCAT(CHAR(92),CHAR(92))),"$",_xlfn.CONCAT(CHAR(92),"$")),CHAR(96),_xlfn.CONCAT(CHAR(92),CHAR(96))),CHAR(34),CHAR(39))))</f>
        <v/>
      </c>
      <c r="R612" s="5" t="str">
        <f>IF(OR(TRIM($B612)="",$H612=""),"",IF(OR(ISNUMBER(SEARCH(_xlfn.CONCAT(CHAR(96),CHAR(34)),$H612)),ISNUMBER(SEARCH(_xlfn.CONCAT(CHAR(34),CHAR(39)),$H612))),_xlfn.CONCAT("* REVIEW REQUIRED: compound-quote delimiter in Source on Sheet 1 row ",612,"; edit the input before running."),_xlfn.CONCAT("char ",TRIM($B612),"[doc_source] ",CHAR(96),CHAR(34),SUBSTITUTE(SUBSTITUTE(SUBSTITUTE(SUBSTITUTE(SUBSTITUTE(SUBSTITUTE($H612,CHAR(13)," "),CHAR(10)," "),CHAR(9)," "),CHAR(92),_xlfn.CONCAT(CHAR(92),CHAR(92))),"$",_xlfn.CONCAT(CHAR(92),"$")),CHAR(96),_xlfn.CONCAT(CHAR(92),CHAR(96))),CHAR(34),CHAR(39))))</f>
        <v/>
      </c>
      <c r="S612" s="5" t="str">
        <f>IF(OR(TRIM($B612)="",$I612=""),"",IF(OR(ISNUMBER(SEARCH(_xlfn.CONCAT(CHAR(96),CHAR(34)),$I612)),ISNUMBER(SEARCH(_xlfn.CONCAT(CHAR(34),CHAR(39)),$I612))),_xlfn.CONCAT("* REVIEW REQUIRED: compound-quote delimiter in Derivation on Sheet 1 row ",612,"; edit the input before running."),_xlfn.CONCAT("char ",TRIM($B612),"[doc_derivation] ",CHAR(96),CHAR(34),SUBSTITUTE(SUBSTITUTE(SUBSTITUTE(SUBSTITUTE(SUBSTITUTE(SUBSTITUTE($I612,CHAR(13)," "),CHAR(10)," "),CHAR(9)," "),CHAR(92),_xlfn.CONCAT(CHAR(92),CHAR(92))),"$",_xlfn.CONCAT(CHAR(92),"$")),CHAR(96),_xlfn.CONCAT(CHAR(92),CHAR(96))),CHAR(34),CHAR(39))))</f>
        <v/>
      </c>
      <c r="T612" s="5" t="str">
        <f>IF(OR(TRIM($B612)="",$J612=""),"",IF(OR(ISNUMBER(SEARCH(_xlfn.CONCAT(CHAR(96),CHAR(34)),$J612)),ISNUMBER(SEARCH(_xlfn.CONCAT(CHAR(34),CHAR(39)),$J612))),_xlfn.CONCAT("* REVIEW REQUIRED: compound-quote delimiter in Notes on Sheet 1 row ",612,"; edit the input before running."),_xlfn.CONCAT("char ",TRIM($B612),"[doc_notes] ",CHAR(96),CHAR(34),SUBSTITUTE(SUBSTITUTE(SUBSTITUTE(SUBSTITUTE(SUBSTITUTE(SUBSTITUTE($J612,CHAR(13)," "),CHAR(10)," "),CHAR(9)," "),CHAR(92),_xlfn.CONCAT(CHAR(92),CHAR(92))),"$",_xlfn.CONCAT(CHAR(92),"$")),CHAR(96),_xlfn.CONCAT(CHAR(92),CHAR(96))),CHAR(34),CHAR(39))))</f>
        <v/>
      </c>
      <c r="U612" s="5">
        <f t="shared" si="19"/>
        <v>0</v>
      </c>
    </row>
    <row r="613" spans="3:21" ht="30" customHeight="1" x14ac:dyDescent="0.2">
      <c r="C613" s="4"/>
      <c r="K613" s="5">
        <f t="shared" si="18"/>
        <v>0</v>
      </c>
      <c r="L613" s="5" t="str">
        <f>IF(OR(TRIM($B613)="",$A613=""),"",IF(OR(ISNUMBER(SEARCH(_xlfn.CONCAT(CHAR(96),CHAR(34)),$A613)),ISNUMBER(SEARCH(_xlfn.CONCAT(CHAR(34),CHAR(39)),$A613))),_xlfn.CONCAT("* REVIEW REQUIRED: compound-quote delimiter in Codebook Section on Sheet 1 row ",613,"; edit the input before running."),_xlfn.CONCAT("char ",TRIM($B613),"[doc_section] ",CHAR(96),CHAR(34),SUBSTITUTE(SUBSTITUTE(SUBSTITUTE(SUBSTITUTE(SUBSTITUTE(SUBSTITUTE($A613,CHAR(13)," "),CHAR(10)," "),CHAR(9)," "),CHAR(92),_xlfn.CONCAT(CHAR(92),CHAR(92))),"$",_xlfn.CONCAT(CHAR(92),"$")),CHAR(96),_xlfn.CONCAT(CHAR(92),CHAR(96))),CHAR(34),CHAR(39))))</f>
        <v/>
      </c>
      <c r="M613" s="5" t="str">
        <f>IF(OR(TRIM($B613)="",$C613=""),"",IF(IFERROR(MATCH(TRIM($C613),{"Quantitative","Continuous","Discrete","Categorical","Nominal","Ordinal","Identifier"},0),0)=0,_xlfn.CONCAT("* REVIEW REQUIRED: invalid Variable Type on Sheet 1 row ",613,"."),_xlfn.CONCAT("char ",TRIM($B613),"[doc_vartype] ",CHAR(96),CHAR(34),SUBSTITUTE(SUBSTITUTE(SUBSTITUTE(SUBSTITUTE(SUBSTITUTE(SUBSTITUTE(LOWER(TRIM($C613)),CHAR(13)," "),CHAR(10)," "),CHAR(9)," "),CHAR(92),_xlfn.CONCAT(CHAR(92),CHAR(92))),"$",_xlfn.CONCAT(CHAR(92),"$")),CHAR(96),_xlfn.CONCAT(CHAR(92),CHAR(96))),CHAR(34),CHAR(39))))</f>
        <v/>
      </c>
      <c r="N613" s="5" t="str">
        <f>IF(OR(TRIM($B613)="",$D613=""),"",IF(OR(ISNUMBER(SEARCH(_xlfn.CONCAT(CHAR(96),CHAR(34)),$D613)),ISNUMBER(SEARCH(_xlfn.CONCAT(CHAR(34),CHAR(39)),$D613))),_xlfn.CONCAT("* REVIEW REQUIRED: compound-quote delimiter in Item Number on Sheet 1 row ",613,"; edit the input before running."),_xlfn.CONCAT("char ",TRIM($B613),"[doc_itemnum] ",CHAR(96),CHAR(34),SUBSTITUTE(SUBSTITUTE(SUBSTITUTE(SUBSTITUTE(SUBSTITUTE(SUBSTITUTE($D613,CHAR(13)," "),CHAR(10)," "),CHAR(9)," "),CHAR(92),_xlfn.CONCAT(CHAR(92),CHAR(92))),"$",_xlfn.CONCAT(CHAR(92),"$")),CHAR(96),_xlfn.CONCAT(CHAR(92),CHAR(96))),CHAR(34),CHAR(39))))</f>
        <v/>
      </c>
      <c r="O613" s="5" t="str">
        <f>IF(OR(TRIM($B613)="",$E613=""),"",IF(OR(ISNUMBER(SEARCH(_xlfn.CONCAT(CHAR(96),CHAR(34)),$E613)),ISNUMBER(SEARCH(_xlfn.CONCAT(CHAR(34),CHAR(39)),$E613))),_xlfn.CONCAT("* REVIEW REQUIRED: compound-quote delimiter in Question Wording on Sheet 1 row ",613,"; edit the input before running."),_xlfn.CONCAT("char ",TRIM($B613),"[doc_question] ",CHAR(96),CHAR(34),SUBSTITUTE(SUBSTITUTE(SUBSTITUTE(SUBSTITUTE(SUBSTITUTE(SUBSTITUTE($E613,CHAR(13)," "),CHAR(10)," "),CHAR(9)," "),CHAR(92),_xlfn.CONCAT(CHAR(92),CHAR(92))),"$",_xlfn.CONCAT(CHAR(92),"$")),CHAR(96),_xlfn.CONCAT(CHAR(92),CHAR(96))),CHAR(34),CHAR(39))))</f>
        <v/>
      </c>
      <c r="P613" s="5" t="str">
        <f>IF(OR(TRIM($B613)="",$F613=""),"",IF(OR(ISNUMBER(SEARCH(_xlfn.CONCAT(CHAR(96),CHAR(34)),$F613)),ISNUMBER(SEARCH(_xlfn.CONCAT(CHAR(34),CHAR(39)),$F613))),_xlfn.CONCAT("* REVIEW REQUIRED: compound-quote delimiter in Units on Sheet 1 row ",613,"; edit the input before running."),_xlfn.CONCAT("char ",TRIM($B613),"[doc_units] ",CHAR(96),CHAR(34),SUBSTITUTE(SUBSTITUTE(SUBSTITUTE(SUBSTITUTE(SUBSTITUTE(SUBSTITUTE($F613,CHAR(13)," "),CHAR(10)," "),CHAR(9)," "),CHAR(92),_xlfn.CONCAT(CHAR(92),CHAR(92))),"$",_xlfn.CONCAT(CHAR(92),"$")),CHAR(96),_xlfn.CONCAT(CHAR(92),CHAR(96))),CHAR(34),CHAR(39))))</f>
        <v/>
      </c>
      <c r="Q613" s="5" t="str">
        <f>IF(OR(TRIM($B613)="",$G613=""),"",IF(OR(ISNUMBER(SEARCH(_xlfn.CONCAT(CHAR(96),CHAR(34)),$G613)),ISNUMBER(SEARCH(_xlfn.CONCAT(CHAR(34),CHAR(39)),$G613))),_xlfn.CONCAT("* REVIEW REQUIRED: compound-quote delimiter in Universe on Sheet 1 row ",613,"; edit the input before running."),_xlfn.CONCAT("char ",TRIM($B613),"[doc_universe] ",CHAR(96),CHAR(34),SUBSTITUTE(SUBSTITUTE(SUBSTITUTE(SUBSTITUTE(SUBSTITUTE(SUBSTITUTE($G613,CHAR(13)," "),CHAR(10)," "),CHAR(9)," "),CHAR(92),_xlfn.CONCAT(CHAR(92),CHAR(92))),"$",_xlfn.CONCAT(CHAR(92),"$")),CHAR(96),_xlfn.CONCAT(CHAR(92),CHAR(96))),CHAR(34),CHAR(39))))</f>
        <v/>
      </c>
      <c r="R613" s="5" t="str">
        <f>IF(OR(TRIM($B613)="",$H613=""),"",IF(OR(ISNUMBER(SEARCH(_xlfn.CONCAT(CHAR(96),CHAR(34)),$H613)),ISNUMBER(SEARCH(_xlfn.CONCAT(CHAR(34),CHAR(39)),$H613))),_xlfn.CONCAT("* REVIEW REQUIRED: compound-quote delimiter in Source on Sheet 1 row ",613,"; edit the input before running."),_xlfn.CONCAT("char ",TRIM($B613),"[doc_source] ",CHAR(96),CHAR(34),SUBSTITUTE(SUBSTITUTE(SUBSTITUTE(SUBSTITUTE(SUBSTITUTE(SUBSTITUTE($H613,CHAR(13)," "),CHAR(10)," "),CHAR(9)," "),CHAR(92),_xlfn.CONCAT(CHAR(92),CHAR(92))),"$",_xlfn.CONCAT(CHAR(92),"$")),CHAR(96),_xlfn.CONCAT(CHAR(92),CHAR(96))),CHAR(34),CHAR(39))))</f>
        <v/>
      </c>
      <c r="S613" s="5" t="str">
        <f>IF(OR(TRIM($B613)="",$I613=""),"",IF(OR(ISNUMBER(SEARCH(_xlfn.CONCAT(CHAR(96),CHAR(34)),$I613)),ISNUMBER(SEARCH(_xlfn.CONCAT(CHAR(34),CHAR(39)),$I613))),_xlfn.CONCAT("* REVIEW REQUIRED: compound-quote delimiter in Derivation on Sheet 1 row ",613,"; edit the input before running."),_xlfn.CONCAT("char ",TRIM($B613),"[doc_derivation] ",CHAR(96),CHAR(34),SUBSTITUTE(SUBSTITUTE(SUBSTITUTE(SUBSTITUTE(SUBSTITUTE(SUBSTITUTE($I613,CHAR(13)," "),CHAR(10)," "),CHAR(9)," "),CHAR(92),_xlfn.CONCAT(CHAR(92),CHAR(92))),"$",_xlfn.CONCAT(CHAR(92),"$")),CHAR(96),_xlfn.CONCAT(CHAR(92),CHAR(96))),CHAR(34),CHAR(39))))</f>
        <v/>
      </c>
      <c r="T613" s="5" t="str">
        <f>IF(OR(TRIM($B613)="",$J613=""),"",IF(OR(ISNUMBER(SEARCH(_xlfn.CONCAT(CHAR(96),CHAR(34)),$J613)),ISNUMBER(SEARCH(_xlfn.CONCAT(CHAR(34),CHAR(39)),$J613))),_xlfn.CONCAT("* REVIEW REQUIRED: compound-quote delimiter in Notes on Sheet 1 row ",613,"; edit the input before running."),_xlfn.CONCAT("char ",TRIM($B613),"[doc_notes] ",CHAR(96),CHAR(34),SUBSTITUTE(SUBSTITUTE(SUBSTITUTE(SUBSTITUTE(SUBSTITUTE(SUBSTITUTE($J613,CHAR(13)," "),CHAR(10)," "),CHAR(9)," "),CHAR(92),_xlfn.CONCAT(CHAR(92),CHAR(92))),"$",_xlfn.CONCAT(CHAR(92),"$")),CHAR(96),_xlfn.CONCAT(CHAR(92),CHAR(96))),CHAR(34),CHAR(39))))</f>
        <v/>
      </c>
      <c r="U613" s="5">
        <f t="shared" si="19"/>
        <v>0</v>
      </c>
    </row>
    <row r="614" spans="3:21" ht="30" customHeight="1" x14ac:dyDescent="0.2">
      <c r="C614" s="4"/>
      <c r="K614" s="5">
        <f t="shared" si="18"/>
        <v>0</v>
      </c>
      <c r="L614" s="5" t="str">
        <f>IF(OR(TRIM($B614)="",$A614=""),"",IF(OR(ISNUMBER(SEARCH(_xlfn.CONCAT(CHAR(96),CHAR(34)),$A614)),ISNUMBER(SEARCH(_xlfn.CONCAT(CHAR(34),CHAR(39)),$A614))),_xlfn.CONCAT("* REVIEW REQUIRED: compound-quote delimiter in Codebook Section on Sheet 1 row ",614,"; edit the input before running."),_xlfn.CONCAT("char ",TRIM($B614),"[doc_section] ",CHAR(96),CHAR(34),SUBSTITUTE(SUBSTITUTE(SUBSTITUTE(SUBSTITUTE(SUBSTITUTE(SUBSTITUTE($A614,CHAR(13)," "),CHAR(10)," "),CHAR(9)," "),CHAR(92),_xlfn.CONCAT(CHAR(92),CHAR(92))),"$",_xlfn.CONCAT(CHAR(92),"$")),CHAR(96),_xlfn.CONCAT(CHAR(92),CHAR(96))),CHAR(34),CHAR(39))))</f>
        <v/>
      </c>
      <c r="M614" s="5" t="str">
        <f>IF(OR(TRIM($B614)="",$C614=""),"",IF(IFERROR(MATCH(TRIM($C614),{"Quantitative","Continuous","Discrete","Categorical","Nominal","Ordinal","Identifier"},0),0)=0,_xlfn.CONCAT("* REVIEW REQUIRED: invalid Variable Type on Sheet 1 row ",614,"."),_xlfn.CONCAT("char ",TRIM($B614),"[doc_vartype] ",CHAR(96),CHAR(34),SUBSTITUTE(SUBSTITUTE(SUBSTITUTE(SUBSTITUTE(SUBSTITUTE(SUBSTITUTE(LOWER(TRIM($C614)),CHAR(13)," "),CHAR(10)," "),CHAR(9)," "),CHAR(92),_xlfn.CONCAT(CHAR(92),CHAR(92))),"$",_xlfn.CONCAT(CHAR(92),"$")),CHAR(96),_xlfn.CONCAT(CHAR(92),CHAR(96))),CHAR(34),CHAR(39))))</f>
        <v/>
      </c>
      <c r="N614" s="5" t="str">
        <f>IF(OR(TRIM($B614)="",$D614=""),"",IF(OR(ISNUMBER(SEARCH(_xlfn.CONCAT(CHAR(96),CHAR(34)),$D614)),ISNUMBER(SEARCH(_xlfn.CONCAT(CHAR(34),CHAR(39)),$D614))),_xlfn.CONCAT("* REVIEW REQUIRED: compound-quote delimiter in Item Number on Sheet 1 row ",614,"; edit the input before running."),_xlfn.CONCAT("char ",TRIM($B614),"[doc_itemnum] ",CHAR(96),CHAR(34),SUBSTITUTE(SUBSTITUTE(SUBSTITUTE(SUBSTITUTE(SUBSTITUTE(SUBSTITUTE($D614,CHAR(13)," "),CHAR(10)," "),CHAR(9)," "),CHAR(92),_xlfn.CONCAT(CHAR(92),CHAR(92))),"$",_xlfn.CONCAT(CHAR(92),"$")),CHAR(96),_xlfn.CONCAT(CHAR(92),CHAR(96))),CHAR(34),CHAR(39))))</f>
        <v/>
      </c>
      <c r="O614" s="5" t="str">
        <f>IF(OR(TRIM($B614)="",$E614=""),"",IF(OR(ISNUMBER(SEARCH(_xlfn.CONCAT(CHAR(96),CHAR(34)),$E614)),ISNUMBER(SEARCH(_xlfn.CONCAT(CHAR(34),CHAR(39)),$E614))),_xlfn.CONCAT("* REVIEW REQUIRED: compound-quote delimiter in Question Wording on Sheet 1 row ",614,"; edit the input before running."),_xlfn.CONCAT("char ",TRIM($B614),"[doc_question] ",CHAR(96),CHAR(34),SUBSTITUTE(SUBSTITUTE(SUBSTITUTE(SUBSTITUTE(SUBSTITUTE(SUBSTITUTE($E614,CHAR(13)," "),CHAR(10)," "),CHAR(9)," "),CHAR(92),_xlfn.CONCAT(CHAR(92),CHAR(92))),"$",_xlfn.CONCAT(CHAR(92),"$")),CHAR(96),_xlfn.CONCAT(CHAR(92),CHAR(96))),CHAR(34),CHAR(39))))</f>
        <v/>
      </c>
      <c r="P614" s="5" t="str">
        <f>IF(OR(TRIM($B614)="",$F614=""),"",IF(OR(ISNUMBER(SEARCH(_xlfn.CONCAT(CHAR(96),CHAR(34)),$F614)),ISNUMBER(SEARCH(_xlfn.CONCAT(CHAR(34),CHAR(39)),$F614))),_xlfn.CONCAT("* REVIEW REQUIRED: compound-quote delimiter in Units on Sheet 1 row ",614,"; edit the input before running."),_xlfn.CONCAT("char ",TRIM($B614),"[doc_units] ",CHAR(96),CHAR(34),SUBSTITUTE(SUBSTITUTE(SUBSTITUTE(SUBSTITUTE(SUBSTITUTE(SUBSTITUTE($F614,CHAR(13)," "),CHAR(10)," "),CHAR(9)," "),CHAR(92),_xlfn.CONCAT(CHAR(92),CHAR(92))),"$",_xlfn.CONCAT(CHAR(92),"$")),CHAR(96),_xlfn.CONCAT(CHAR(92),CHAR(96))),CHAR(34),CHAR(39))))</f>
        <v/>
      </c>
      <c r="Q614" s="5" t="str">
        <f>IF(OR(TRIM($B614)="",$G614=""),"",IF(OR(ISNUMBER(SEARCH(_xlfn.CONCAT(CHAR(96),CHAR(34)),$G614)),ISNUMBER(SEARCH(_xlfn.CONCAT(CHAR(34),CHAR(39)),$G614))),_xlfn.CONCAT("* REVIEW REQUIRED: compound-quote delimiter in Universe on Sheet 1 row ",614,"; edit the input before running."),_xlfn.CONCAT("char ",TRIM($B614),"[doc_universe] ",CHAR(96),CHAR(34),SUBSTITUTE(SUBSTITUTE(SUBSTITUTE(SUBSTITUTE(SUBSTITUTE(SUBSTITUTE($G614,CHAR(13)," "),CHAR(10)," "),CHAR(9)," "),CHAR(92),_xlfn.CONCAT(CHAR(92),CHAR(92))),"$",_xlfn.CONCAT(CHAR(92),"$")),CHAR(96),_xlfn.CONCAT(CHAR(92),CHAR(96))),CHAR(34),CHAR(39))))</f>
        <v/>
      </c>
      <c r="R614" s="5" t="str">
        <f>IF(OR(TRIM($B614)="",$H614=""),"",IF(OR(ISNUMBER(SEARCH(_xlfn.CONCAT(CHAR(96),CHAR(34)),$H614)),ISNUMBER(SEARCH(_xlfn.CONCAT(CHAR(34),CHAR(39)),$H614))),_xlfn.CONCAT("* REVIEW REQUIRED: compound-quote delimiter in Source on Sheet 1 row ",614,"; edit the input before running."),_xlfn.CONCAT("char ",TRIM($B614),"[doc_source] ",CHAR(96),CHAR(34),SUBSTITUTE(SUBSTITUTE(SUBSTITUTE(SUBSTITUTE(SUBSTITUTE(SUBSTITUTE($H614,CHAR(13)," "),CHAR(10)," "),CHAR(9)," "),CHAR(92),_xlfn.CONCAT(CHAR(92),CHAR(92))),"$",_xlfn.CONCAT(CHAR(92),"$")),CHAR(96),_xlfn.CONCAT(CHAR(92),CHAR(96))),CHAR(34),CHAR(39))))</f>
        <v/>
      </c>
      <c r="S614" s="5" t="str">
        <f>IF(OR(TRIM($B614)="",$I614=""),"",IF(OR(ISNUMBER(SEARCH(_xlfn.CONCAT(CHAR(96),CHAR(34)),$I614)),ISNUMBER(SEARCH(_xlfn.CONCAT(CHAR(34),CHAR(39)),$I614))),_xlfn.CONCAT("* REVIEW REQUIRED: compound-quote delimiter in Derivation on Sheet 1 row ",614,"; edit the input before running."),_xlfn.CONCAT("char ",TRIM($B614),"[doc_derivation] ",CHAR(96),CHAR(34),SUBSTITUTE(SUBSTITUTE(SUBSTITUTE(SUBSTITUTE(SUBSTITUTE(SUBSTITUTE($I614,CHAR(13)," "),CHAR(10)," "),CHAR(9)," "),CHAR(92),_xlfn.CONCAT(CHAR(92),CHAR(92))),"$",_xlfn.CONCAT(CHAR(92),"$")),CHAR(96),_xlfn.CONCAT(CHAR(92),CHAR(96))),CHAR(34),CHAR(39))))</f>
        <v/>
      </c>
      <c r="T614" s="5" t="str">
        <f>IF(OR(TRIM($B614)="",$J614=""),"",IF(OR(ISNUMBER(SEARCH(_xlfn.CONCAT(CHAR(96),CHAR(34)),$J614)),ISNUMBER(SEARCH(_xlfn.CONCAT(CHAR(34),CHAR(39)),$J614))),_xlfn.CONCAT("* REVIEW REQUIRED: compound-quote delimiter in Notes on Sheet 1 row ",614,"; edit the input before running."),_xlfn.CONCAT("char ",TRIM($B614),"[doc_notes] ",CHAR(96),CHAR(34),SUBSTITUTE(SUBSTITUTE(SUBSTITUTE(SUBSTITUTE(SUBSTITUTE(SUBSTITUTE($J614,CHAR(13)," "),CHAR(10)," "),CHAR(9)," "),CHAR(92),_xlfn.CONCAT(CHAR(92),CHAR(92))),"$",_xlfn.CONCAT(CHAR(92),"$")),CHAR(96),_xlfn.CONCAT(CHAR(92),CHAR(96))),CHAR(34),CHAR(39))))</f>
        <v/>
      </c>
      <c r="U614" s="5">
        <f t="shared" si="19"/>
        <v>0</v>
      </c>
    </row>
    <row r="615" spans="3:21" ht="30" customHeight="1" x14ac:dyDescent="0.2">
      <c r="C615" s="4"/>
      <c r="K615" s="5">
        <f t="shared" si="18"/>
        <v>0</v>
      </c>
      <c r="L615" s="5" t="str">
        <f>IF(OR(TRIM($B615)="",$A615=""),"",IF(OR(ISNUMBER(SEARCH(_xlfn.CONCAT(CHAR(96),CHAR(34)),$A615)),ISNUMBER(SEARCH(_xlfn.CONCAT(CHAR(34),CHAR(39)),$A615))),_xlfn.CONCAT("* REVIEW REQUIRED: compound-quote delimiter in Codebook Section on Sheet 1 row ",615,"; edit the input before running."),_xlfn.CONCAT("char ",TRIM($B615),"[doc_section] ",CHAR(96),CHAR(34),SUBSTITUTE(SUBSTITUTE(SUBSTITUTE(SUBSTITUTE(SUBSTITUTE(SUBSTITUTE($A615,CHAR(13)," "),CHAR(10)," "),CHAR(9)," "),CHAR(92),_xlfn.CONCAT(CHAR(92),CHAR(92))),"$",_xlfn.CONCAT(CHAR(92),"$")),CHAR(96),_xlfn.CONCAT(CHAR(92),CHAR(96))),CHAR(34),CHAR(39))))</f>
        <v/>
      </c>
      <c r="M615" s="5" t="str">
        <f>IF(OR(TRIM($B615)="",$C615=""),"",IF(IFERROR(MATCH(TRIM($C615),{"Quantitative","Continuous","Discrete","Categorical","Nominal","Ordinal","Identifier"},0),0)=0,_xlfn.CONCAT("* REVIEW REQUIRED: invalid Variable Type on Sheet 1 row ",615,"."),_xlfn.CONCAT("char ",TRIM($B615),"[doc_vartype] ",CHAR(96),CHAR(34),SUBSTITUTE(SUBSTITUTE(SUBSTITUTE(SUBSTITUTE(SUBSTITUTE(SUBSTITUTE(LOWER(TRIM($C615)),CHAR(13)," "),CHAR(10)," "),CHAR(9)," "),CHAR(92),_xlfn.CONCAT(CHAR(92),CHAR(92))),"$",_xlfn.CONCAT(CHAR(92),"$")),CHAR(96),_xlfn.CONCAT(CHAR(92),CHAR(96))),CHAR(34),CHAR(39))))</f>
        <v/>
      </c>
      <c r="N615" s="5" t="str">
        <f>IF(OR(TRIM($B615)="",$D615=""),"",IF(OR(ISNUMBER(SEARCH(_xlfn.CONCAT(CHAR(96),CHAR(34)),$D615)),ISNUMBER(SEARCH(_xlfn.CONCAT(CHAR(34),CHAR(39)),$D615))),_xlfn.CONCAT("* REVIEW REQUIRED: compound-quote delimiter in Item Number on Sheet 1 row ",615,"; edit the input before running."),_xlfn.CONCAT("char ",TRIM($B615),"[doc_itemnum] ",CHAR(96),CHAR(34),SUBSTITUTE(SUBSTITUTE(SUBSTITUTE(SUBSTITUTE(SUBSTITUTE(SUBSTITUTE($D615,CHAR(13)," "),CHAR(10)," "),CHAR(9)," "),CHAR(92),_xlfn.CONCAT(CHAR(92),CHAR(92))),"$",_xlfn.CONCAT(CHAR(92),"$")),CHAR(96),_xlfn.CONCAT(CHAR(92),CHAR(96))),CHAR(34),CHAR(39))))</f>
        <v/>
      </c>
      <c r="O615" s="5" t="str">
        <f>IF(OR(TRIM($B615)="",$E615=""),"",IF(OR(ISNUMBER(SEARCH(_xlfn.CONCAT(CHAR(96),CHAR(34)),$E615)),ISNUMBER(SEARCH(_xlfn.CONCAT(CHAR(34),CHAR(39)),$E615))),_xlfn.CONCAT("* REVIEW REQUIRED: compound-quote delimiter in Question Wording on Sheet 1 row ",615,"; edit the input before running."),_xlfn.CONCAT("char ",TRIM($B615),"[doc_question] ",CHAR(96),CHAR(34),SUBSTITUTE(SUBSTITUTE(SUBSTITUTE(SUBSTITUTE(SUBSTITUTE(SUBSTITUTE($E615,CHAR(13)," "),CHAR(10)," "),CHAR(9)," "),CHAR(92),_xlfn.CONCAT(CHAR(92),CHAR(92))),"$",_xlfn.CONCAT(CHAR(92),"$")),CHAR(96),_xlfn.CONCAT(CHAR(92),CHAR(96))),CHAR(34),CHAR(39))))</f>
        <v/>
      </c>
      <c r="P615" s="5" t="str">
        <f>IF(OR(TRIM($B615)="",$F615=""),"",IF(OR(ISNUMBER(SEARCH(_xlfn.CONCAT(CHAR(96),CHAR(34)),$F615)),ISNUMBER(SEARCH(_xlfn.CONCAT(CHAR(34),CHAR(39)),$F615))),_xlfn.CONCAT("* REVIEW REQUIRED: compound-quote delimiter in Units on Sheet 1 row ",615,"; edit the input before running."),_xlfn.CONCAT("char ",TRIM($B615),"[doc_units] ",CHAR(96),CHAR(34),SUBSTITUTE(SUBSTITUTE(SUBSTITUTE(SUBSTITUTE(SUBSTITUTE(SUBSTITUTE($F615,CHAR(13)," "),CHAR(10)," "),CHAR(9)," "),CHAR(92),_xlfn.CONCAT(CHAR(92),CHAR(92))),"$",_xlfn.CONCAT(CHAR(92),"$")),CHAR(96),_xlfn.CONCAT(CHAR(92),CHAR(96))),CHAR(34),CHAR(39))))</f>
        <v/>
      </c>
      <c r="Q615" s="5" t="str">
        <f>IF(OR(TRIM($B615)="",$G615=""),"",IF(OR(ISNUMBER(SEARCH(_xlfn.CONCAT(CHAR(96),CHAR(34)),$G615)),ISNUMBER(SEARCH(_xlfn.CONCAT(CHAR(34),CHAR(39)),$G615))),_xlfn.CONCAT("* REVIEW REQUIRED: compound-quote delimiter in Universe on Sheet 1 row ",615,"; edit the input before running."),_xlfn.CONCAT("char ",TRIM($B615),"[doc_universe] ",CHAR(96),CHAR(34),SUBSTITUTE(SUBSTITUTE(SUBSTITUTE(SUBSTITUTE(SUBSTITUTE(SUBSTITUTE($G615,CHAR(13)," "),CHAR(10)," "),CHAR(9)," "),CHAR(92),_xlfn.CONCAT(CHAR(92),CHAR(92))),"$",_xlfn.CONCAT(CHAR(92),"$")),CHAR(96),_xlfn.CONCAT(CHAR(92),CHAR(96))),CHAR(34),CHAR(39))))</f>
        <v/>
      </c>
      <c r="R615" s="5" t="str">
        <f>IF(OR(TRIM($B615)="",$H615=""),"",IF(OR(ISNUMBER(SEARCH(_xlfn.CONCAT(CHAR(96),CHAR(34)),$H615)),ISNUMBER(SEARCH(_xlfn.CONCAT(CHAR(34),CHAR(39)),$H615))),_xlfn.CONCAT("* REVIEW REQUIRED: compound-quote delimiter in Source on Sheet 1 row ",615,"; edit the input before running."),_xlfn.CONCAT("char ",TRIM($B615),"[doc_source] ",CHAR(96),CHAR(34),SUBSTITUTE(SUBSTITUTE(SUBSTITUTE(SUBSTITUTE(SUBSTITUTE(SUBSTITUTE($H615,CHAR(13)," "),CHAR(10)," "),CHAR(9)," "),CHAR(92),_xlfn.CONCAT(CHAR(92),CHAR(92))),"$",_xlfn.CONCAT(CHAR(92),"$")),CHAR(96),_xlfn.CONCAT(CHAR(92),CHAR(96))),CHAR(34),CHAR(39))))</f>
        <v/>
      </c>
      <c r="S615" s="5" t="str">
        <f>IF(OR(TRIM($B615)="",$I615=""),"",IF(OR(ISNUMBER(SEARCH(_xlfn.CONCAT(CHAR(96),CHAR(34)),$I615)),ISNUMBER(SEARCH(_xlfn.CONCAT(CHAR(34),CHAR(39)),$I615))),_xlfn.CONCAT("* REVIEW REQUIRED: compound-quote delimiter in Derivation on Sheet 1 row ",615,"; edit the input before running."),_xlfn.CONCAT("char ",TRIM($B615),"[doc_derivation] ",CHAR(96),CHAR(34),SUBSTITUTE(SUBSTITUTE(SUBSTITUTE(SUBSTITUTE(SUBSTITUTE(SUBSTITUTE($I615,CHAR(13)," "),CHAR(10)," "),CHAR(9)," "),CHAR(92),_xlfn.CONCAT(CHAR(92),CHAR(92))),"$",_xlfn.CONCAT(CHAR(92),"$")),CHAR(96),_xlfn.CONCAT(CHAR(92),CHAR(96))),CHAR(34),CHAR(39))))</f>
        <v/>
      </c>
      <c r="T615" s="5" t="str">
        <f>IF(OR(TRIM($B615)="",$J615=""),"",IF(OR(ISNUMBER(SEARCH(_xlfn.CONCAT(CHAR(96),CHAR(34)),$J615)),ISNUMBER(SEARCH(_xlfn.CONCAT(CHAR(34),CHAR(39)),$J615))),_xlfn.CONCAT("* REVIEW REQUIRED: compound-quote delimiter in Notes on Sheet 1 row ",615,"; edit the input before running."),_xlfn.CONCAT("char ",TRIM($B615),"[doc_notes] ",CHAR(96),CHAR(34),SUBSTITUTE(SUBSTITUTE(SUBSTITUTE(SUBSTITUTE(SUBSTITUTE(SUBSTITUTE($J615,CHAR(13)," "),CHAR(10)," "),CHAR(9)," "),CHAR(92),_xlfn.CONCAT(CHAR(92),CHAR(92))),"$",_xlfn.CONCAT(CHAR(92),"$")),CHAR(96),_xlfn.CONCAT(CHAR(92),CHAR(96))),CHAR(34),CHAR(39))))</f>
        <v/>
      </c>
      <c r="U615" s="5">
        <f t="shared" si="19"/>
        <v>0</v>
      </c>
    </row>
    <row r="616" spans="3:21" ht="30" customHeight="1" x14ac:dyDescent="0.2">
      <c r="C616" s="4"/>
      <c r="K616" s="5">
        <f t="shared" si="18"/>
        <v>0</v>
      </c>
      <c r="L616" s="5" t="str">
        <f>IF(OR(TRIM($B616)="",$A616=""),"",IF(OR(ISNUMBER(SEARCH(_xlfn.CONCAT(CHAR(96),CHAR(34)),$A616)),ISNUMBER(SEARCH(_xlfn.CONCAT(CHAR(34),CHAR(39)),$A616))),_xlfn.CONCAT("* REVIEW REQUIRED: compound-quote delimiter in Codebook Section on Sheet 1 row ",616,"; edit the input before running."),_xlfn.CONCAT("char ",TRIM($B616),"[doc_section] ",CHAR(96),CHAR(34),SUBSTITUTE(SUBSTITUTE(SUBSTITUTE(SUBSTITUTE(SUBSTITUTE(SUBSTITUTE($A616,CHAR(13)," "),CHAR(10)," "),CHAR(9)," "),CHAR(92),_xlfn.CONCAT(CHAR(92),CHAR(92))),"$",_xlfn.CONCAT(CHAR(92),"$")),CHAR(96),_xlfn.CONCAT(CHAR(92),CHAR(96))),CHAR(34),CHAR(39))))</f>
        <v/>
      </c>
      <c r="M616" s="5" t="str">
        <f>IF(OR(TRIM($B616)="",$C616=""),"",IF(IFERROR(MATCH(TRIM($C616),{"Quantitative","Continuous","Discrete","Categorical","Nominal","Ordinal","Identifier"},0),0)=0,_xlfn.CONCAT("* REVIEW REQUIRED: invalid Variable Type on Sheet 1 row ",616,"."),_xlfn.CONCAT("char ",TRIM($B616),"[doc_vartype] ",CHAR(96),CHAR(34),SUBSTITUTE(SUBSTITUTE(SUBSTITUTE(SUBSTITUTE(SUBSTITUTE(SUBSTITUTE(LOWER(TRIM($C616)),CHAR(13)," "),CHAR(10)," "),CHAR(9)," "),CHAR(92),_xlfn.CONCAT(CHAR(92),CHAR(92))),"$",_xlfn.CONCAT(CHAR(92),"$")),CHAR(96),_xlfn.CONCAT(CHAR(92),CHAR(96))),CHAR(34),CHAR(39))))</f>
        <v/>
      </c>
      <c r="N616" s="5" t="str">
        <f>IF(OR(TRIM($B616)="",$D616=""),"",IF(OR(ISNUMBER(SEARCH(_xlfn.CONCAT(CHAR(96),CHAR(34)),$D616)),ISNUMBER(SEARCH(_xlfn.CONCAT(CHAR(34),CHAR(39)),$D616))),_xlfn.CONCAT("* REVIEW REQUIRED: compound-quote delimiter in Item Number on Sheet 1 row ",616,"; edit the input before running."),_xlfn.CONCAT("char ",TRIM($B616),"[doc_itemnum] ",CHAR(96),CHAR(34),SUBSTITUTE(SUBSTITUTE(SUBSTITUTE(SUBSTITUTE(SUBSTITUTE(SUBSTITUTE($D616,CHAR(13)," "),CHAR(10)," "),CHAR(9)," "),CHAR(92),_xlfn.CONCAT(CHAR(92),CHAR(92))),"$",_xlfn.CONCAT(CHAR(92),"$")),CHAR(96),_xlfn.CONCAT(CHAR(92),CHAR(96))),CHAR(34),CHAR(39))))</f>
        <v/>
      </c>
      <c r="O616" s="5" t="str">
        <f>IF(OR(TRIM($B616)="",$E616=""),"",IF(OR(ISNUMBER(SEARCH(_xlfn.CONCAT(CHAR(96),CHAR(34)),$E616)),ISNUMBER(SEARCH(_xlfn.CONCAT(CHAR(34),CHAR(39)),$E616))),_xlfn.CONCAT("* REVIEW REQUIRED: compound-quote delimiter in Question Wording on Sheet 1 row ",616,"; edit the input before running."),_xlfn.CONCAT("char ",TRIM($B616),"[doc_question] ",CHAR(96),CHAR(34),SUBSTITUTE(SUBSTITUTE(SUBSTITUTE(SUBSTITUTE(SUBSTITUTE(SUBSTITUTE($E616,CHAR(13)," "),CHAR(10)," "),CHAR(9)," "),CHAR(92),_xlfn.CONCAT(CHAR(92),CHAR(92))),"$",_xlfn.CONCAT(CHAR(92),"$")),CHAR(96),_xlfn.CONCAT(CHAR(92),CHAR(96))),CHAR(34),CHAR(39))))</f>
        <v/>
      </c>
      <c r="P616" s="5" t="str">
        <f>IF(OR(TRIM($B616)="",$F616=""),"",IF(OR(ISNUMBER(SEARCH(_xlfn.CONCAT(CHAR(96),CHAR(34)),$F616)),ISNUMBER(SEARCH(_xlfn.CONCAT(CHAR(34),CHAR(39)),$F616))),_xlfn.CONCAT("* REVIEW REQUIRED: compound-quote delimiter in Units on Sheet 1 row ",616,"; edit the input before running."),_xlfn.CONCAT("char ",TRIM($B616),"[doc_units] ",CHAR(96),CHAR(34),SUBSTITUTE(SUBSTITUTE(SUBSTITUTE(SUBSTITUTE(SUBSTITUTE(SUBSTITUTE($F616,CHAR(13)," "),CHAR(10)," "),CHAR(9)," "),CHAR(92),_xlfn.CONCAT(CHAR(92),CHAR(92))),"$",_xlfn.CONCAT(CHAR(92),"$")),CHAR(96),_xlfn.CONCAT(CHAR(92),CHAR(96))),CHAR(34),CHAR(39))))</f>
        <v/>
      </c>
      <c r="Q616" s="5" t="str">
        <f>IF(OR(TRIM($B616)="",$G616=""),"",IF(OR(ISNUMBER(SEARCH(_xlfn.CONCAT(CHAR(96),CHAR(34)),$G616)),ISNUMBER(SEARCH(_xlfn.CONCAT(CHAR(34),CHAR(39)),$G616))),_xlfn.CONCAT("* REVIEW REQUIRED: compound-quote delimiter in Universe on Sheet 1 row ",616,"; edit the input before running."),_xlfn.CONCAT("char ",TRIM($B616),"[doc_universe] ",CHAR(96),CHAR(34),SUBSTITUTE(SUBSTITUTE(SUBSTITUTE(SUBSTITUTE(SUBSTITUTE(SUBSTITUTE($G616,CHAR(13)," "),CHAR(10)," "),CHAR(9)," "),CHAR(92),_xlfn.CONCAT(CHAR(92),CHAR(92))),"$",_xlfn.CONCAT(CHAR(92),"$")),CHAR(96),_xlfn.CONCAT(CHAR(92),CHAR(96))),CHAR(34),CHAR(39))))</f>
        <v/>
      </c>
      <c r="R616" s="5" t="str">
        <f>IF(OR(TRIM($B616)="",$H616=""),"",IF(OR(ISNUMBER(SEARCH(_xlfn.CONCAT(CHAR(96),CHAR(34)),$H616)),ISNUMBER(SEARCH(_xlfn.CONCAT(CHAR(34),CHAR(39)),$H616))),_xlfn.CONCAT("* REVIEW REQUIRED: compound-quote delimiter in Source on Sheet 1 row ",616,"; edit the input before running."),_xlfn.CONCAT("char ",TRIM($B616),"[doc_source] ",CHAR(96),CHAR(34),SUBSTITUTE(SUBSTITUTE(SUBSTITUTE(SUBSTITUTE(SUBSTITUTE(SUBSTITUTE($H616,CHAR(13)," "),CHAR(10)," "),CHAR(9)," "),CHAR(92),_xlfn.CONCAT(CHAR(92),CHAR(92))),"$",_xlfn.CONCAT(CHAR(92),"$")),CHAR(96),_xlfn.CONCAT(CHAR(92),CHAR(96))),CHAR(34),CHAR(39))))</f>
        <v/>
      </c>
      <c r="S616" s="5" t="str">
        <f>IF(OR(TRIM($B616)="",$I616=""),"",IF(OR(ISNUMBER(SEARCH(_xlfn.CONCAT(CHAR(96),CHAR(34)),$I616)),ISNUMBER(SEARCH(_xlfn.CONCAT(CHAR(34),CHAR(39)),$I616))),_xlfn.CONCAT("* REVIEW REQUIRED: compound-quote delimiter in Derivation on Sheet 1 row ",616,"; edit the input before running."),_xlfn.CONCAT("char ",TRIM($B616),"[doc_derivation] ",CHAR(96),CHAR(34),SUBSTITUTE(SUBSTITUTE(SUBSTITUTE(SUBSTITUTE(SUBSTITUTE(SUBSTITUTE($I616,CHAR(13)," "),CHAR(10)," "),CHAR(9)," "),CHAR(92),_xlfn.CONCAT(CHAR(92),CHAR(92))),"$",_xlfn.CONCAT(CHAR(92),"$")),CHAR(96),_xlfn.CONCAT(CHAR(92),CHAR(96))),CHAR(34),CHAR(39))))</f>
        <v/>
      </c>
      <c r="T616" s="5" t="str">
        <f>IF(OR(TRIM($B616)="",$J616=""),"",IF(OR(ISNUMBER(SEARCH(_xlfn.CONCAT(CHAR(96),CHAR(34)),$J616)),ISNUMBER(SEARCH(_xlfn.CONCAT(CHAR(34),CHAR(39)),$J616))),_xlfn.CONCAT("* REVIEW REQUIRED: compound-quote delimiter in Notes on Sheet 1 row ",616,"; edit the input before running."),_xlfn.CONCAT("char ",TRIM($B616),"[doc_notes] ",CHAR(96),CHAR(34),SUBSTITUTE(SUBSTITUTE(SUBSTITUTE(SUBSTITUTE(SUBSTITUTE(SUBSTITUTE($J616,CHAR(13)," "),CHAR(10)," "),CHAR(9)," "),CHAR(92),_xlfn.CONCAT(CHAR(92),CHAR(92))),"$",_xlfn.CONCAT(CHAR(92),"$")),CHAR(96),_xlfn.CONCAT(CHAR(92),CHAR(96))),CHAR(34),CHAR(39))))</f>
        <v/>
      </c>
      <c r="U616" s="5">
        <f t="shared" si="19"/>
        <v>0</v>
      </c>
    </row>
    <row r="617" spans="3:21" ht="30" customHeight="1" x14ac:dyDescent="0.2">
      <c r="C617" s="4"/>
      <c r="K617" s="5">
        <f t="shared" si="18"/>
        <v>0</v>
      </c>
      <c r="L617" s="5" t="str">
        <f>IF(OR(TRIM($B617)="",$A617=""),"",IF(OR(ISNUMBER(SEARCH(_xlfn.CONCAT(CHAR(96),CHAR(34)),$A617)),ISNUMBER(SEARCH(_xlfn.CONCAT(CHAR(34),CHAR(39)),$A617))),_xlfn.CONCAT("* REVIEW REQUIRED: compound-quote delimiter in Codebook Section on Sheet 1 row ",617,"; edit the input before running."),_xlfn.CONCAT("char ",TRIM($B617),"[doc_section] ",CHAR(96),CHAR(34),SUBSTITUTE(SUBSTITUTE(SUBSTITUTE(SUBSTITUTE(SUBSTITUTE(SUBSTITUTE($A617,CHAR(13)," "),CHAR(10)," "),CHAR(9)," "),CHAR(92),_xlfn.CONCAT(CHAR(92),CHAR(92))),"$",_xlfn.CONCAT(CHAR(92),"$")),CHAR(96),_xlfn.CONCAT(CHAR(92),CHAR(96))),CHAR(34),CHAR(39))))</f>
        <v/>
      </c>
      <c r="M617" s="5" t="str">
        <f>IF(OR(TRIM($B617)="",$C617=""),"",IF(IFERROR(MATCH(TRIM($C617),{"Quantitative","Continuous","Discrete","Categorical","Nominal","Ordinal","Identifier"},0),0)=0,_xlfn.CONCAT("* REVIEW REQUIRED: invalid Variable Type on Sheet 1 row ",617,"."),_xlfn.CONCAT("char ",TRIM($B617),"[doc_vartype] ",CHAR(96),CHAR(34),SUBSTITUTE(SUBSTITUTE(SUBSTITUTE(SUBSTITUTE(SUBSTITUTE(SUBSTITUTE(LOWER(TRIM($C617)),CHAR(13)," "),CHAR(10)," "),CHAR(9)," "),CHAR(92),_xlfn.CONCAT(CHAR(92),CHAR(92))),"$",_xlfn.CONCAT(CHAR(92),"$")),CHAR(96),_xlfn.CONCAT(CHAR(92),CHAR(96))),CHAR(34),CHAR(39))))</f>
        <v/>
      </c>
      <c r="N617" s="5" t="str">
        <f>IF(OR(TRIM($B617)="",$D617=""),"",IF(OR(ISNUMBER(SEARCH(_xlfn.CONCAT(CHAR(96),CHAR(34)),$D617)),ISNUMBER(SEARCH(_xlfn.CONCAT(CHAR(34),CHAR(39)),$D617))),_xlfn.CONCAT("* REVIEW REQUIRED: compound-quote delimiter in Item Number on Sheet 1 row ",617,"; edit the input before running."),_xlfn.CONCAT("char ",TRIM($B617),"[doc_itemnum] ",CHAR(96),CHAR(34),SUBSTITUTE(SUBSTITUTE(SUBSTITUTE(SUBSTITUTE(SUBSTITUTE(SUBSTITUTE($D617,CHAR(13)," "),CHAR(10)," "),CHAR(9)," "),CHAR(92),_xlfn.CONCAT(CHAR(92),CHAR(92))),"$",_xlfn.CONCAT(CHAR(92),"$")),CHAR(96),_xlfn.CONCAT(CHAR(92),CHAR(96))),CHAR(34),CHAR(39))))</f>
        <v/>
      </c>
      <c r="O617" s="5" t="str">
        <f>IF(OR(TRIM($B617)="",$E617=""),"",IF(OR(ISNUMBER(SEARCH(_xlfn.CONCAT(CHAR(96),CHAR(34)),$E617)),ISNUMBER(SEARCH(_xlfn.CONCAT(CHAR(34),CHAR(39)),$E617))),_xlfn.CONCAT("* REVIEW REQUIRED: compound-quote delimiter in Question Wording on Sheet 1 row ",617,"; edit the input before running."),_xlfn.CONCAT("char ",TRIM($B617),"[doc_question] ",CHAR(96),CHAR(34),SUBSTITUTE(SUBSTITUTE(SUBSTITUTE(SUBSTITUTE(SUBSTITUTE(SUBSTITUTE($E617,CHAR(13)," "),CHAR(10)," "),CHAR(9)," "),CHAR(92),_xlfn.CONCAT(CHAR(92),CHAR(92))),"$",_xlfn.CONCAT(CHAR(92),"$")),CHAR(96),_xlfn.CONCAT(CHAR(92),CHAR(96))),CHAR(34),CHAR(39))))</f>
        <v/>
      </c>
      <c r="P617" s="5" t="str">
        <f>IF(OR(TRIM($B617)="",$F617=""),"",IF(OR(ISNUMBER(SEARCH(_xlfn.CONCAT(CHAR(96),CHAR(34)),$F617)),ISNUMBER(SEARCH(_xlfn.CONCAT(CHAR(34),CHAR(39)),$F617))),_xlfn.CONCAT("* REVIEW REQUIRED: compound-quote delimiter in Units on Sheet 1 row ",617,"; edit the input before running."),_xlfn.CONCAT("char ",TRIM($B617),"[doc_units] ",CHAR(96),CHAR(34),SUBSTITUTE(SUBSTITUTE(SUBSTITUTE(SUBSTITUTE(SUBSTITUTE(SUBSTITUTE($F617,CHAR(13)," "),CHAR(10)," "),CHAR(9)," "),CHAR(92),_xlfn.CONCAT(CHAR(92),CHAR(92))),"$",_xlfn.CONCAT(CHAR(92),"$")),CHAR(96),_xlfn.CONCAT(CHAR(92),CHAR(96))),CHAR(34),CHAR(39))))</f>
        <v/>
      </c>
      <c r="Q617" s="5" t="str">
        <f>IF(OR(TRIM($B617)="",$G617=""),"",IF(OR(ISNUMBER(SEARCH(_xlfn.CONCAT(CHAR(96),CHAR(34)),$G617)),ISNUMBER(SEARCH(_xlfn.CONCAT(CHAR(34),CHAR(39)),$G617))),_xlfn.CONCAT("* REVIEW REQUIRED: compound-quote delimiter in Universe on Sheet 1 row ",617,"; edit the input before running."),_xlfn.CONCAT("char ",TRIM($B617),"[doc_universe] ",CHAR(96),CHAR(34),SUBSTITUTE(SUBSTITUTE(SUBSTITUTE(SUBSTITUTE(SUBSTITUTE(SUBSTITUTE($G617,CHAR(13)," "),CHAR(10)," "),CHAR(9)," "),CHAR(92),_xlfn.CONCAT(CHAR(92),CHAR(92))),"$",_xlfn.CONCAT(CHAR(92),"$")),CHAR(96),_xlfn.CONCAT(CHAR(92),CHAR(96))),CHAR(34),CHAR(39))))</f>
        <v/>
      </c>
      <c r="R617" s="5" t="str">
        <f>IF(OR(TRIM($B617)="",$H617=""),"",IF(OR(ISNUMBER(SEARCH(_xlfn.CONCAT(CHAR(96),CHAR(34)),$H617)),ISNUMBER(SEARCH(_xlfn.CONCAT(CHAR(34),CHAR(39)),$H617))),_xlfn.CONCAT("* REVIEW REQUIRED: compound-quote delimiter in Source on Sheet 1 row ",617,"; edit the input before running."),_xlfn.CONCAT("char ",TRIM($B617),"[doc_source] ",CHAR(96),CHAR(34),SUBSTITUTE(SUBSTITUTE(SUBSTITUTE(SUBSTITUTE(SUBSTITUTE(SUBSTITUTE($H617,CHAR(13)," "),CHAR(10)," "),CHAR(9)," "),CHAR(92),_xlfn.CONCAT(CHAR(92),CHAR(92))),"$",_xlfn.CONCAT(CHAR(92),"$")),CHAR(96),_xlfn.CONCAT(CHAR(92),CHAR(96))),CHAR(34),CHAR(39))))</f>
        <v/>
      </c>
      <c r="S617" s="5" t="str">
        <f>IF(OR(TRIM($B617)="",$I617=""),"",IF(OR(ISNUMBER(SEARCH(_xlfn.CONCAT(CHAR(96),CHAR(34)),$I617)),ISNUMBER(SEARCH(_xlfn.CONCAT(CHAR(34),CHAR(39)),$I617))),_xlfn.CONCAT("* REVIEW REQUIRED: compound-quote delimiter in Derivation on Sheet 1 row ",617,"; edit the input before running."),_xlfn.CONCAT("char ",TRIM($B617),"[doc_derivation] ",CHAR(96),CHAR(34),SUBSTITUTE(SUBSTITUTE(SUBSTITUTE(SUBSTITUTE(SUBSTITUTE(SUBSTITUTE($I617,CHAR(13)," "),CHAR(10)," "),CHAR(9)," "),CHAR(92),_xlfn.CONCAT(CHAR(92),CHAR(92))),"$",_xlfn.CONCAT(CHAR(92),"$")),CHAR(96),_xlfn.CONCAT(CHAR(92),CHAR(96))),CHAR(34),CHAR(39))))</f>
        <v/>
      </c>
      <c r="T617" s="5" t="str">
        <f>IF(OR(TRIM($B617)="",$J617=""),"",IF(OR(ISNUMBER(SEARCH(_xlfn.CONCAT(CHAR(96),CHAR(34)),$J617)),ISNUMBER(SEARCH(_xlfn.CONCAT(CHAR(34),CHAR(39)),$J617))),_xlfn.CONCAT("* REVIEW REQUIRED: compound-quote delimiter in Notes on Sheet 1 row ",617,"; edit the input before running."),_xlfn.CONCAT("char ",TRIM($B617),"[doc_notes] ",CHAR(96),CHAR(34),SUBSTITUTE(SUBSTITUTE(SUBSTITUTE(SUBSTITUTE(SUBSTITUTE(SUBSTITUTE($J617,CHAR(13)," "),CHAR(10)," "),CHAR(9)," "),CHAR(92),_xlfn.CONCAT(CHAR(92),CHAR(92))),"$",_xlfn.CONCAT(CHAR(92),"$")),CHAR(96),_xlfn.CONCAT(CHAR(92),CHAR(96))),CHAR(34),CHAR(39))))</f>
        <v/>
      </c>
      <c r="U617" s="5">
        <f t="shared" si="19"/>
        <v>0</v>
      </c>
    </row>
    <row r="618" spans="3:21" ht="30" customHeight="1" x14ac:dyDescent="0.2">
      <c r="C618" s="4"/>
      <c r="K618" s="5">
        <f t="shared" si="18"/>
        <v>0</v>
      </c>
      <c r="L618" s="5" t="str">
        <f>IF(OR(TRIM($B618)="",$A618=""),"",IF(OR(ISNUMBER(SEARCH(_xlfn.CONCAT(CHAR(96),CHAR(34)),$A618)),ISNUMBER(SEARCH(_xlfn.CONCAT(CHAR(34),CHAR(39)),$A618))),_xlfn.CONCAT("* REVIEW REQUIRED: compound-quote delimiter in Codebook Section on Sheet 1 row ",618,"; edit the input before running."),_xlfn.CONCAT("char ",TRIM($B618),"[doc_section] ",CHAR(96),CHAR(34),SUBSTITUTE(SUBSTITUTE(SUBSTITUTE(SUBSTITUTE(SUBSTITUTE(SUBSTITUTE($A618,CHAR(13)," "),CHAR(10)," "),CHAR(9)," "),CHAR(92),_xlfn.CONCAT(CHAR(92),CHAR(92))),"$",_xlfn.CONCAT(CHAR(92),"$")),CHAR(96),_xlfn.CONCAT(CHAR(92),CHAR(96))),CHAR(34),CHAR(39))))</f>
        <v/>
      </c>
      <c r="M618" s="5" t="str">
        <f>IF(OR(TRIM($B618)="",$C618=""),"",IF(IFERROR(MATCH(TRIM($C618),{"Quantitative","Continuous","Discrete","Categorical","Nominal","Ordinal","Identifier"},0),0)=0,_xlfn.CONCAT("* REVIEW REQUIRED: invalid Variable Type on Sheet 1 row ",618,"."),_xlfn.CONCAT("char ",TRIM($B618),"[doc_vartype] ",CHAR(96),CHAR(34),SUBSTITUTE(SUBSTITUTE(SUBSTITUTE(SUBSTITUTE(SUBSTITUTE(SUBSTITUTE(LOWER(TRIM($C618)),CHAR(13)," "),CHAR(10)," "),CHAR(9)," "),CHAR(92),_xlfn.CONCAT(CHAR(92),CHAR(92))),"$",_xlfn.CONCAT(CHAR(92),"$")),CHAR(96),_xlfn.CONCAT(CHAR(92),CHAR(96))),CHAR(34),CHAR(39))))</f>
        <v/>
      </c>
      <c r="N618" s="5" t="str">
        <f>IF(OR(TRIM($B618)="",$D618=""),"",IF(OR(ISNUMBER(SEARCH(_xlfn.CONCAT(CHAR(96),CHAR(34)),$D618)),ISNUMBER(SEARCH(_xlfn.CONCAT(CHAR(34),CHAR(39)),$D618))),_xlfn.CONCAT("* REVIEW REQUIRED: compound-quote delimiter in Item Number on Sheet 1 row ",618,"; edit the input before running."),_xlfn.CONCAT("char ",TRIM($B618),"[doc_itemnum] ",CHAR(96),CHAR(34),SUBSTITUTE(SUBSTITUTE(SUBSTITUTE(SUBSTITUTE(SUBSTITUTE(SUBSTITUTE($D618,CHAR(13)," "),CHAR(10)," "),CHAR(9)," "),CHAR(92),_xlfn.CONCAT(CHAR(92),CHAR(92))),"$",_xlfn.CONCAT(CHAR(92),"$")),CHAR(96),_xlfn.CONCAT(CHAR(92),CHAR(96))),CHAR(34),CHAR(39))))</f>
        <v/>
      </c>
      <c r="O618" s="5" t="str">
        <f>IF(OR(TRIM($B618)="",$E618=""),"",IF(OR(ISNUMBER(SEARCH(_xlfn.CONCAT(CHAR(96),CHAR(34)),$E618)),ISNUMBER(SEARCH(_xlfn.CONCAT(CHAR(34),CHAR(39)),$E618))),_xlfn.CONCAT("* REVIEW REQUIRED: compound-quote delimiter in Question Wording on Sheet 1 row ",618,"; edit the input before running."),_xlfn.CONCAT("char ",TRIM($B618),"[doc_question] ",CHAR(96),CHAR(34),SUBSTITUTE(SUBSTITUTE(SUBSTITUTE(SUBSTITUTE(SUBSTITUTE(SUBSTITUTE($E618,CHAR(13)," "),CHAR(10)," "),CHAR(9)," "),CHAR(92),_xlfn.CONCAT(CHAR(92),CHAR(92))),"$",_xlfn.CONCAT(CHAR(92),"$")),CHAR(96),_xlfn.CONCAT(CHAR(92),CHAR(96))),CHAR(34),CHAR(39))))</f>
        <v/>
      </c>
      <c r="P618" s="5" t="str">
        <f>IF(OR(TRIM($B618)="",$F618=""),"",IF(OR(ISNUMBER(SEARCH(_xlfn.CONCAT(CHAR(96),CHAR(34)),$F618)),ISNUMBER(SEARCH(_xlfn.CONCAT(CHAR(34),CHAR(39)),$F618))),_xlfn.CONCAT("* REVIEW REQUIRED: compound-quote delimiter in Units on Sheet 1 row ",618,"; edit the input before running."),_xlfn.CONCAT("char ",TRIM($B618),"[doc_units] ",CHAR(96),CHAR(34),SUBSTITUTE(SUBSTITUTE(SUBSTITUTE(SUBSTITUTE(SUBSTITUTE(SUBSTITUTE($F618,CHAR(13)," "),CHAR(10)," "),CHAR(9)," "),CHAR(92),_xlfn.CONCAT(CHAR(92),CHAR(92))),"$",_xlfn.CONCAT(CHAR(92),"$")),CHAR(96),_xlfn.CONCAT(CHAR(92),CHAR(96))),CHAR(34),CHAR(39))))</f>
        <v/>
      </c>
      <c r="Q618" s="5" t="str">
        <f>IF(OR(TRIM($B618)="",$G618=""),"",IF(OR(ISNUMBER(SEARCH(_xlfn.CONCAT(CHAR(96),CHAR(34)),$G618)),ISNUMBER(SEARCH(_xlfn.CONCAT(CHAR(34),CHAR(39)),$G618))),_xlfn.CONCAT("* REVIEW REQUIRED: compound-quote delimiter in Universe on Sheet 1 row ",618,"; edit the input before running."),_xlfn.CONCAT("char ",TRIM($B618),"[doc_universe] ",CHAR(96),CHAR(34),SUBSTITUTE(SUBSTITUTE(SUBSTITUTE(SUBSTITUTE(SUBSTITUTE(SUBSTITUTE($G618,CHAR(13)," "),CHAR(10)," "),CHAR(9)," "),CHAR(92),_xlfn.CONCAT(CHAR(92),CHAR(92))),"$",_xlfn.CONCAT(CHAR(92),"$")),CHAR(96),_xlfn.CONCAT(CHAR(92),CHAR(96))),CHAR(34),CHAR(39))))</f>
        <v/>
      </c>
      <c r="R618" s="5" t="str">
        <f>IF(OR(TRIM($B618)="",$H618=""),"",IF(OR(ISNUMBER(SEARCH(_xlfn.CONCAT(CHAR(96),CHAR(34)),$H618)),ISNUMBER(SEARCH(_xlfn.CONCAT(CHAR(34),CHAR(39)),$H618))),_xlfn.CONCAT("* REVIEW REQUIRED: compound-quote delimiter in Source on Sheet 1 row ",618,"; edit the input before running."),_xlfn.CONCAT("char ",TRIM($B618),"[doc_source] ",CHAR(96),CHAR(34),SUBSTITUTE(SUBSTITUTE(SUBSTITUTE(SUBSTITUTE(SUBSTITUTE(SUBSTITUTE($H618,CHAR(13)," "),CHAR(10)," "),CHAR(9)," "),CHAR(92),_xlfn.CONCAT(CHAR(92),CHAR(92))),"$",_xlfn.CONCAT(CHAR(92),"$")),CHAR(96),_xlfn.CONCAT(CHAR(92),CHAR(96))),CHAR(34),CHAR(39))))</f>
        <v/>
      </c>
      <c r="S618" s="5" t="str">
        <f>IF(OR(TRIM($B618)="",$I618=""),"",IF(OR(ISNUMBER(SEARCH(_xlfn.CONCAT(CHAR(96),CHAR(34)),$I618)),ISNUMBER(SEARCH(_xlfn.CONCAT(CHAR(34),CHAR(39)),$I618))),_xlfn.CONCAT("* REVIEW REQUIRED: compound-quote delimiter in Derivation on Sheet 1 row ",618,"; edit the input before running."),_xlfn.CONCAT("char ",TRIM($B618),"[doc_derivation] ",CHAR(96),CHAR(34),SUBSTITUTE(SUBSTITUTE(SUBSTITUTE(SUBSTITUTE(SUBSTITUTE(SUBSTITUTE($I618,CHAR(13)," "),CHAR(10)," "),CHAR(9)," "),CHAR(92),_xlfn.CONCAT(CHAR(92),CHAR(92))),"$",_xlfn.CONCAT(CHAR(92),"$")),CHAR(96),_xlfn.CONCAT(CHAR(92),CHAR(96))),CHAR(34),CHAR(39))))</f>
        <v/>
      </c>
      <c r="T618" s="5" t="str">
        <f>IF(OR(TRIM($B618)="",$J618=""),"",IF(OR(ISNUMBER(SEARCH(_xlfn.CONCAT(CHAR(96),CHAR(34)),$J618)),ISNUMBER(SEARCH(_xlfn.CONCAT(CHAR(34),CHAR(39)),$J618))),_xlfn.CONCAT("* REVIEW REQUIRED: compound-quote delimiter in Notes on Sheet 1 row ",618,"; edit the input before running."),_xlfn.CONCAT("char ",TRIM($B618),"[doc_notes] ",CHAR(96),CHAR(34),SUBSTITUTE(SUBSTITUTE(SUBSTITUTE(SUBSTITUTE(SUBSTITUTE(SUBSTITUTE($J618,CHAR(13)," "),CHAR(10)," "),CHAR(9)," "),CHAR(92),_xlfn.CONCAT(CHAR(92),CHAR(92))),"$",_xlfn.CONCAT(CHAR(92),"$")),CHAR(96),_xlfn.CONCAT(CHAR(92),CHAR(96))),CHAR(34),CHAR(39))))</f>
        <v/>
      </c>
      <c r="U618" s="5">
        <f t="shared" si="19"/>
        <v>0</v>
      </c>
    </row>
    <row r="619" spans="3:21" ht="30" customHeight="1" x14ac:dyDescent="0.2">
      <c r="C619" s="4"/>
      <c r="K619" s="5">
        <f t="shared" si="18"/>
        <v>0</v>
      </c>
      <c r="L619" s="5" t="str">
        <f>IF(OR(TRIM($B619)="",$A619=""),"",IF(OR(ISNUMBER(SEARCH(_xlfn.CONCAT(CHAR(96),CHAR(34)),$A619)),ISNUMBER(SEARCH(_xlfn.CONCAT(CHAR(34),CHAR(39)),$A619))),_xlfn.CONCAT("* REVIEW REQUIRED: compound-quote delimiter in Codebook Section on Sheet 1 row ",619,"; edit the input before running."),_xlfn.CONCAT("char ",TRIM($B619),"[doc_section] ",CHAR(96),CHAR(34),SUBSTITUTE(SUBSTITUTE(SUBSTITUTE(SUBSTITUTE(SUBSTITUTE(SUBSTITUTE($A619,CHAR(13)," "),CHAR(10)," "),CHAR(9)," "),CHAR(92),_xlfn.CONCAT(CHAR(92),CHAR(92))),"$",_xlfn.CONCAT(CHAR(92),"$")),CHAR(96),_xlfn.CONCAT(CHAR(92),CHAR(96))),CHAR(34),CHAR(39))))</f>
        <v/>
      </c>
      <c r="M619" s="5" t="str">
        <f>IF(OR(TRIM($B619)="",$C619=""),"",IF(IFERROR(MATCH(TRIM($C619),{"Quantitative","Continuous","Discrete","Categorical","Nominal","Ordinal","Identifier"},0),0)=0,_xlfn.CONCAT("* REVIEW REQUIRED: invalid Variable Type on Sheet 1 row ",619,"."),_xlfn.CONCAT("char ",TRIM($B619),"[doc_vartype] ",CHAR(96),CHAR(34),SUBSTITUTE(SUBSTITUTE(SUBSTITUTE(SUBSTITUTE(SUBSTITUTE(SUBSTITUTE(LOWER(TRIM($C619)),CHAR(13)," "),CHAR(10)," "),CHAR(9)," "),CHAR(92),_xlfn.CONCAT(CHAR(92),CHAR(92))),"$",_xlfn.CONCAT(CHAR(92),"$")),CHAR(96),_xlfn.CONCAT(CHAR(92),CHAR(96))),CHAR(34),CHAR(39))))</f>
        <v/>
      </c>
      <c r="N619" s="5" t="str">
        <f>IF(OR(TRIM($B619)="",$D619=""),"",IF(OR(ISNUMBER(SEARCH(_xlfn.CONCAT(CHAR(96),CHAR(34)),$D619)),ISNUMBER(SEARCH(_xlfn.CONCAT(CHAR(34),CHAR(39)),$D619))),_xlfn.CONCAT("* REVIEW REQUIRED: compound-quote delimiter in Item Number on Sheet 1 row ",619,"; edit the input before running."),_xlfn.CONCAT("char ",TRIM($B619),"[doc_itemnum] ",CHAR(96),CHAR(34),SUBSTITUTE(SUBSTITUTE(SUBSTITUTE(SUBSTITUTE(SUBSTITUTE(SUBSTITUTE($D619,CHAR(13)," "),CHAR(10)," "),CHAR(9)," "),CHAR(92),_xlfn.CONCAT(CHAR(92),CHAR(92))),"$",_xlfn.CONCAT(CHAR(92),"$")),CHAR(96),_xlfn.CONCAT(CHAR(92),CHAR(96))),CHAR(34),CHAR(39))))</f>
        <v/>
      </c>
      <c r="O619" s="5" t="str">
        <f>IF(OR(TRIM($B619)="",$E619=""),"",IF(OR(ISNUMBER(SEARCH(_xlfn.CONCAT(CHAR(96),CHAR(34)),$E619)),ISNUMBER(SEARCH(_xlfn.CONCAT(CHAR(34),CHAR(39)),$E619))),_xlfn.CONCAT("* REVIEW REQUIRED: compound-quote delimiter in Question Wording on Sheet 1 row ",619,"; edit the input before running."),_xlfn.CONCAT("char ",TRIM($B619),"[doc_question] ",CHAR(96),CHAR(34),SUBSTITUTE(SUBSTITUTE(SUBSTITUTE(SUBSTITUTE(SUBSTITUTE(SUBSTITUTE($E619,CHAR(13)," "),CHAR(10)," "),CHAR(9)," "),CHAR(92),_xlfn.CONCAT(CHAR(92),CHAR(92))),"$",_xlfn.CONCAT(CHAR(92),"$")),CHAR(96),_xlfn.CONCAT(CHAR(92),CHAR(96))),CHAR(34),CHAR(39))))</f>
        <v/>
      </c>
      <c r="P619" s="5" t="str">
        <f>IF(OR(TRIM($B619)="",$F619=""),"",IF(OR(ISNUMBER(SEARCH(_xlfn.CONCAT(CHAR(96),CHAR(34)),$F619)),ISNUMBER(SEARCH(_xlfn.CONCAT(CHAR(34),CHAR(39)),$F619))),_xlfn.CONCAT("* REVIEW REQUIRED: compound-quote delimiter in Units on Sheet 1 row ",619,"; edit the input before running."),_xlfn.CONCAT("char ",TRIM($B619),"[doc_units] ",CHAR(96),CHAR(34),SUBSTITUTE(SUBSTITUTE(SUBSTITUTE(SUBSTITUTE(SUBSTITUTE(SUBSTITUTE($F619,CHAR(13)," "),CHAR(10)," "),CHAR(9)," "),CHAR(92),_xlfn.CONCAT(CHAR(92),CHAR(92))),"$",_xlfn.CONCAT(CHAR(92),"$")),CHAR(96),_xlfn.CONCAT(CHAR(92),CHAR(96))),CHAR(34),CHAR(39))))</f>
        <v/>
      </c>
      <c r="Q619" s="5" t="str">
        <f>IF(OR(TRIM($B619)="",$G619=""),"",IF(OR(ISNUMBER(SEARCH(_xlfn.CONCAT(CHAR(96),CHAR(34)),$G619)),ISNUMBER(SEARCH(_xlfn.CONCAT(CHAR(34),CHAR(39)),$G619))),_xlfn.CONCAT("* REVIEW REQUIRED: compound-quote delimiter in Universe on Sheet 1 row ",619,"; edit the input before running."),_xlfn.CONCAT("char ",TRIM($B619),"[doc_universe] ",CHAR(96),CHAR(34),SUBSTITUTE(SUBSTITUTE(SUBSTITUTE(SUBSTITUTE(SUBSTITUTE(SUBSTITUTE($G619,CHAR(13)," "),CHAR(10)," "),CHAR(9)," "),CHAR(92),_xlfn.CONCAT(CHAR(92),CHAR(92))),"$",_xlfn.CONCAT(CHAR(92),"$")),CHAR(96),_xlfn.CONCAT(CHAR(92),CHAR(96))),CHAR(34),CHAR(39))))</f>
        <v/>
      </c>
      <c r="R619" s="5" t="str">
        <f>IF(OR(TRIM($B619)="",$H619=""),"",IF(OR(ISNUMBER(SEARCH(_xlfn.CONCAT(CHAR(96),CHAR(34)),$H619)),ISNUMBER(SEARCH(_xlfn.CONCAT(CHAR(34),CHAR(39)),$H619))),_xlfn.CONCAT("* REVIEW REQUIRED: compound-quote delimiter in Source on Sheet 1 row ",619,"; edit the input before running."),_xlfn.CONCAT("char ",TRIM($B619),"[doc_source] ",CHAR(96),CHAR(34),SUBSTITUTE(SUBSTITUTE(SUBSTITUTE(SUBSTITUTE(SUBSTITUTE(SUBSTITUTE($H619,CHAR(13)," "),CHAR(10)," "),CHAR(9)," "),CHAR(92),_xlfn.CONCAT(CHAR(92),CHAR(92))),"$",_xlfn.CONCAT(CHAR(92),"$")),CHAR(96),_xlfn.CONCAT(CHAR(92),CHAR(96))),CHAR(34),CHAR(39))))</f>
        <v/>
      </c>
      <c r="S619" s="5" t="str">
        <f>IF(OR(TRIM($B619)="",$I619=""),"",IF(OR(ISNUMBER(SEARCH(_xlfn.CONCAT(CHAR(96),CHAR(34)),$I619)),ISNUMBER(SEARCH(_xlfn.CONCAT(CHAR(34),CHAR(39)),$I619))),_xlfn.CONCAT("* REVIEW REQUIRED: compound-quote delimiter in Derivation on Sheet 1 row ",619,"; edit the input before running."),_xlfn.CONCAT("char ",TRIM($B619),"[doc_derivation] ",CHAR(96),CHAR(34),SUBSTITUTE(SUBSTITUTE(SUBSTITUTE(SUBSTITUTE(SUBSTITUTE(SUBSTITUTE($I619,CHAR(13)," "),CHAR(10)," "),CHAR(9)," "),CHAR(92),_xlfn.CONCAT(CHAR(92),CHAR(92))),"$",_xlfn.CONCAT(CHAR(92),"$")),CHAR(96),_xlfn.CONCAT(CHAR(92),CHAR(96))),CHAR(34),CHAR(39))))</f>
        <v/>
      </c>
      <c r="T619" s="5" t="str">
        <f>IF(OR(TRIM($B619)="",$J619=""),"",IF(OR(ISNUMBER(SEARCH(_xlfn.CONCAT(CHAR(96),CHAR(34)),$J619)),ISNUMBER(SEARCH(_xlfn.CONCAT(CHAR(34),CHAR(39)),$J619))),_xlfn.CONCAT("* REVIEW REQUIRED: compound-quote delimiter in Notes on Sheet 1 row ",619,"; edit the input before running."),_xlfn.CONCAT("char ",TRIM($B619),"[doc_notes] ",CHAR(96),CHAR(34),SUBSTITUTE(SUBSTITUTE(SUBSTITUTE(SUBSTITUTE(SUBSTITUTE(SUBSTITUTE($J619,CHAR(13)," "),CHAR(10)," "),CHAR(9)," "),CHAR(92),_xlfn.CONCAT(CHAR(92),CHAR(92))),"$",_xlfn.CONCAT(CHAR(92),"$")),CHAR(96),_xlfn.CONCAT(CHAR(92),CHAR(96))),CHAR(34),CHAR(39))))</f>
        <v/>
      </c>
      <c r="U619" s="5">
        <f t="shared" si="19"/>
        <v>0</v>
      </c>
    </row>
    <row r="620" spans="3:21" ht="30" customHeight="1" x14ac:dyDescent="0.2">
      <c r="C620" s="4"/>
      <c r="K620" s="5">
        <f t="shared" si="18"/>
        <v>0</v>
      </c>
      <c r="L620" s="5" t="str">
        <f>IF(OR(TRIM($B620)="",$A620=""),"",IF(OR(ISNUMBER(SEARCH(_xlfn.CONCAT(CHAR(96),CHAR(34)),$A620)),ISNUMBER(SEARCH(_xlfn.CONCAT(CHAR(34),CHAR(39)),$A620))),_xlfn.CONCAT("* REVIEW REQUIRED: compound-quote delimiter in Codebook Section on Sheet 1 row ",620,"; edit the input before running."),_xlfn.CONCAT("char ",TRIM($B620),"[doc_section] ",CHAR(96),CHAR(34),SUBSTITUTE(SUBSTITUTE(SUBSTITUTE(SUBSTITUTE(SUBSTITUTE(SUBSTITUTE($A620,CHAR(13)," "),CHAR(10)," "),CHAR(9)," "),CHAR(92),_xlfn.CONCAT(CHAR(92),CHAR(92))),"$",_xlfn.CONCAT(CHAR(92),"$")),CHAR(96),_xlfn.CONCAT(CHAR(92),CHAR(96))),CHAR(34),CHAR(39))))</f>
        <v/>
      </c>
      <c r="M620" s="5" t="str">
        <f>IF(OR(TRIM($B620)="",$C620=""),"",IF(IFERROR(MATCH(TRIM($C620),{"Quantitative","Continuous","Discrete","Categorical","Nominal","Ordinal","Identifier"},0),0)=0,_xlfn.CONCAT("* REVIEW REQUIRED: invalid Variable Type on Sheet 1 row ",620,"."),_xlfn.CONCAT("char ",TRIM($B620),"[doc_vartype] ",CHAR(96),CHAR(34),SUBSTITUTE(SUBSTITUTE(SUBSTITUTE(SUBSTITUTE(SUBSTITUTE(SUBSTITUTE(LOWER(TRIM($C620)),CHAR(13)," "),CHAR(10)," "),CHAR(9)," "),CHAR(92),_xlfn.CONCAT(CHAR(92),CHAR(92))),"$",_xlfn.CONCAT(CHAR(92),"$")),CHAR(96),_xlfn.CONCAT(CHAR(92),CHAR(96))),CHAR(34),CHAR(39))))</f>
        <v/>
      </c>
      <c r="N620" s="5" t="str">
        <f>IF(OR(TRIM($B620)="",$D620=""),"",IF(OR(ISNUMBER(SEARCH(_xlfn.CONCAT(CHAR(96),CHAR(34)),$D620)),ISNUMBER(SEARCH(_xlfn.CONCAT(CHAR(34),CHAR(39)),$D620))),_xlfn.CONCAT("* REVIEW REQUIRED: compound-quote delimiter in Item Number on Sheet 1 row ",620,"; edit the input before running."),_xlfn.CONCAT("char ",TRIM($B620),"[doc_itemnum] ",CHAR(96),CHAR(34),SUBSTITUTE(SUBSTITUTE(SUBSTITUTE(SUBSTITUTE(SUBSTITUTE(SUBSTITUTE($D620,CHAR(13)," "),CHAR(10)," "),CHAR(9)," "),CHAR(92),_xlfn.CONCAT(CHAR(92),CHAR(92))),"$",_xlfn.CONCAT(CHAR(92),"$")),CHAR(96),_xlfn.CONCAT(CHAR(92),CHAR(96))),CHAR(34),CHAR(39))))</f>
        <v/>
      </c>
      <c r="O620" s="5" t="str">
        <f>IF(OR(TRIM($B620)="",$E620=""),"",IF(OR(ISNUMBER(SEARCH(_xlfn.CONCAT(CHAR(96),CHAR(34)),$E620)),ISNUMBER(SEARCH(_xlfn.CONCAT(CHAR(34),CHAR(39)),$E620))),_xlfn.CONCAT("* REVIEW REQUIRED: compound-quote delimiter in Question Wording on Sheet 1 row ",620,"; edit the input before running."),_xlfn.CONCAT("char ",TRIM($B620),"[doc_question] ",CHAR(96),CHAR(34),SUBSTITUTE(SUBSTITUTE(SUBSTITUTE(SUBSTITUTE(SUBSTITUTE(SUBSTITUTE($E620,CHAR(13)," "),CHAR(10)," "),CHAR(9)," "),CHAR(92),_xlfn.CONCAT(CHAR(92),CHAR(92))),"$",_xlfn.CONCAT(CHAR(92),"$")),CHAR(96),_xlfn.CONCAT(CHAR(92),CHAR(96))),CHAR(34),CHAR(39))))</f>
        <v/>
      </c>
      <c r="P620" s="5" t="str">
        <f>IF(OR(TRIM($B620)="",$F620=""),"",IF(OR(ISNUMBER(SEARCH(_xlfn.CONCAT(CHAR(96),CHAR(34)),$F620)),ISNUMBER(SEARCH(_xlfn.CONCAT(CHAR(34),CHAR(39)),$F620))),_xlfn.CONCAT("* REVIEW REQUIRED: compound-quote delimiter in Units on Sheet 1 row ",620,"; edit the input before running."),_xlfn.CONCAT("char ",TRIM($B620),"[doc_units] ",CHAR(96),CHAR(34),SUBSTITUTE(SUBSTITUTE(SUBSTITUTE(SUBSTITUTE(SUBSTITUTE(SUBSTITUTE($F620,CHAR(13)," "),CHAR(10)," "),CHAR(9)," "),CHAR(92),_xlfn.CONCAT(CHAR(92),CHAR(92))),"$",_xlfn.CONCAT(CHAR(92),"$")),CHAR(96),_xlfn.CONCAT(CHAR(92),CHAR(96))),CHAR(34),CHAR(39))))</f>
        <v/>
      </c>
      <c r="Q620" s="5" t="str">
        <f>IF(OR(TRIM($B620)="",$G620=""),"",IF(OR(ISNUMBER(SEARCH(_xlfn.CONCAT(CHAR(96),CHAR(34)),$G620)),ISNUMBER(SEARCH(_xlfn.CONCAT(CHAR(34),CHAR(39)),$G620))),_xlfn.CONCAT("* REVIEW REQUIRED: compound-quote delimiter in Universe on Sheet 1 row ",620,"; edit the input before running."),_xlfn.CONCAT("char ",TRIM($B620),"[doc_universe] ",CHAR(96),CHAR(34),SUBSTITUTE(SUBSTITUTE(SUBSTITUTE(SUBSTITUTE(SUBSTITUTE(SUBSTITUTE($G620,CHAR(13)," "),CHAR(10)," "),CHAR(9)," "),CHAR(92),_xlfn.CONCAT(CHAR(92),CHAR(92))),"$",_xlfn.CONCAT(CHAR(92),"$")),CHAR(96),_xlfn.CONCAT(CHAR(92),CHAR(96))),CHAR(34),CHAR(39))))</f>
        <v/>
      </c>
      <c r="R620" s="5" t="str">
        <f>IF(OR(TRIM($B620)="",$H620=""),"",IF(OR(ISNUMBER(SEARCH(_xlfn.CONCAT(CHAR(96),CHAR(34)),$H620)),ISNUMBER(SEARCH(_xlfn.CONCAT(CHAR(34),CHAR(39)),$H620))),_xlfn.CONCAT("* REVIEW REQUIRED: compound-quote delimiter in Source on Sheet 1 row ",620,"; edit the input before running."),_xlfn.CONCAT("char ",TRIM($B620),"[doc_source] ",CHAR(96),CHAR(34),SUBSTITUTE(SUBSTITUTE(SUBSTITUTE(SUBSTITUTE(SUBSTITUTE(SUBSTITUTE($H620,CHAR(13)," "),CHAR(10)," "),CHAR(9)," "),CHAR(92),_xlfn.CONCAT(CHAR(92),CHAR(92))),"$",_xlfn.CONCAT(CHAR(92),"$")),CHAR(96),_xlfn.CONCAT(CHAR(92),CHAR(96))),CHAR(34),CHAR(39))))</f>
        <v/>
      </c>
      <c r="S620" s="5" t="str">
        <f>IF(OR(TRIM($B620)="",$I620=""),"",IF(OR(ISNUMBER(SEARCH(_xlfn.CONCAT(CHAR(96),CHAR(34)),$I620)),ISNUMBER(SEARCH(_xlfn.CONCAT(CHAR(34),CHAR(39)),$I620))),_xlfn.CONCAT("* REVIEW REQUIRED: compound-quote delimiter in Derivation on Sheet 1 row ",620,"; edit the input before running."),_xlfn.CONCAT("char ",TRIM($B620),"[doc_derivation] ",CHAR(96),CHAR(34),SUBSTITUTE(SUBSTITUTE(SUBSTITUTE(SUBSTITUTE(SUBSTITUTE(SUBSTITUTE($I620,CHAR(13)," "),CHAR(10)," "),CHAR(9)," "),CHAR(92),_xlfn.CONCAT(CHAR(92),CHAR(92))),"$",_xlfn.CONCAT(CHAR(92),"$")),CHAR(96),_xlfn.CONCAT(CHAR(92),CHAR(96))),CHAR(34),CHAR(39))))</f>
        <v/>
      </c>
      <c r="T620" s="5" t="str">
        <f>IF(OR(TRIM($B620)="",$J620=""),"",IF(OR(ISNUMBER(SEARCH(_xlfn.CONCAT(CHAR(96),CHAR(34)),$J620)),ISNUMBER(SEARCH(_xlfn.CONCAT(CHAR(34),CHAR(39)),$J620))),_xlfn.CONCAT("* REVIEW REQUIRED: compound-quote delimiter in Notes on Sheet 1 row ",620,"; edit the input before running."),_xlfn.CONCAT("char ",TRIM($B620),"[doc_notes] ",CHAR(96),CHAR(34),SUBSTITUTE(SUBSTITUTE(SUBSTITUTE(SUBSTITUTE(SUBSTITUTE(SUBSTITUTE($J620,CHAR(13)," "),CHAR(10)," "),CHAR(9)," "),CHAR(92),_xlfn.CONCAT(CHAR(92),CHAR(92))),"$",_xlfn.CONCAT(CHAR(92),"$")),CHAR(96),_xlfn.CONCAT(CHAR(92),CHAR(96))),CHAR(34),CHAR(39))))</f>
        <v/>
      </c>
      <c r="U620" s="5">
        <f t="shared" si="19"/>
        <v>0</v>
      </c>
    </row>
    <row r="621" spans="3:21" ht="30" customHeight="1" x14ac:dyDescent="0.2">
      <c r="C621" s="4"/>
      <c r="K621" s="5">
        <f t="shared" si="18"/>
        <v>0</v>
      </c>
      <c r="L621" s="5" t="str">
        <f>IF(OR(TRIM($B621)="",$A621=""),"",IF(OR(ISNUMBER(SEARCH(_xlfn.CONCAT(CHAR(96),CHAR(34)),$A621)),ISNUMBER(SEARCH(_xlfn.CONCAT(CHAR(34),CHAR(39)),$A621))),_xlfn.CONCAT("* REVIEW REQUIRED: compound-quote delimiter in Codebook Section on Sheet 1 row ",621,"; edit the input before running."),_xlfn.CONCAT("char ",TRIM($B621),"[doc_section] ",CHAR(96),CHAR(34),SUBSTITUTE(SUBSTITUTE(SUBSTITUTE(SUBSTITUTE(SUBSTITUTE(SUBSTITUTE($A621,CHAR(13)," "),CHAR(10)," "),CHAR(9)," "),CHAR(92),_xlfn.CONCAT(CHAR(92),CHAR(92))),"$",_xlfn.CONCAT(CHAR(92),"$")),CHAR(96),_xlfn.CONCAT(CHAR(92),CHAR(96))),CHAR(34),CHAR(39))))</f>
        <v/>
      </c>
      <c r="M621" s="5" t="str">
        <f>IF(OR(TRIM($B621)="",$C621=""),"",IF(IFERROR(MATCH(TRIM($C621),{"Quantitative","Continuous","Discrete","Categorical","Nominal","Ordinal","Identifier"},0),0)=0,_xlfn.CONCAT("* REVIEW REQUIRED: invalid Variable Type on Sheet 1 row ",621,"."),_xlfn.CONCAT("char ",TRIM($B621),"[doc_vartype] ",CHAR(96),CHAR(34),SUBSTITUTE(SUBSTITUTE(SUBSTITUTE(SUBSTITUTE(SUBSTITUTE(SUBSTITUTE(LOWER(TRIM($C621)),CHAR(13)," "),CHAR(10)," "),CHAR(9)," "),CHAR(92),_xlfn.CONCAT(CHAR(92),CHAR(92))),"$",_xlfn.CONCAT(CHAR(92),"$")),CHAR(96),_xlfn.CONCAT(CHAR(92),CHAR(96))),CHAR(34),CHAR(39))))</f>
        <v/>
      </c>
      <c r="N621" s="5" t="str">
        <f>IF(OR(TRIM($B621)="",$D621=""),"",IF(OR(ISNUMBER(SEARCH(_xlfn.CONCAT(CHAR(96),CHAR(34)),$D621)),ISNUMBER(SEARCH(_xlfn.CONCAT(CHAR(34),CHAR(39)),$D621))),_xlfn.CONCAT("* REVIEW REQUIRED: compound-quote delimiter in Item Number on Sheet 1 row ",621,"; edit the input before running."),_xlfn.CONCAT("char ",TRIM($B621),"[doc_itemnum] ",CHAR(96),CHAR(34),SUBSTITUTE(SUBSTITUTE(SUBSTITUTE(SUBSTITUTE(SUBSTITUTE(SUBSTITUTE($D621,CHAR(13)," "),CHAR(10)," "),CHAR(9)," "),CHAR(92),_xlfn.CONCAT(CHAR(92),CHAR(92))),"$",_xlfn.CONCAT(CHAR(92),"$")),CHAR(96),_xlfn.CONCAT(CHAR(92),CHAR(96))),CHAR(34),CHAR(39))))</f>
        <v/>
      </c>
      <c r="O621" s="5" t="str">
        <f>IF(OR(TRIM($B621)="",$E621=""),"",IF(OR(ISNUMBER(SEARCH(_xlfn.CONCAT(CHAR(96),CHAR(34)),$E621)),ISNUMBER(SEARCH(_xlfn.CONCAT(CHAR(34),CHAR(39)),$E621))),_xlfn.CONCAT("* REVIEW REQUIRED: compound-quote delimiter in Question Wording on Sheet 1 row ",621,"; edit the input before running."),_xlfn.CONCAT("char ",TRIM($B621),"[doc_question] ",CHAR(96),CHAR(34),SUBSTITUTE(SUBSTITUTE(SUBSTITUTE(SUBSTITUTE(SUBSTITUTE(SUBSTITUTE($E621,CHAR(13)," "),CHAR(10)," "),CHAR(9)," "),CHAR(92),_xlfn.CONCAT(CHAR(92),CHAR(92))),"$",_xlfn.CONCAT(CHAR(92),"$")),CHAR(96),_xlfn.CONCAT(CHAR(92),CHAR(96))),CHAR(34),CHAR(39))))</f>
        <v/>
      </c>
      <c r="P621" s="5" t="str">
        <f>IF(OR(TRIM($B621)="",$F621=""),"",IF(OR(ISNUMBER(SEARCH(_xlfn.CONCAT(CHAR(96),CHAR(34)),$F621)),ISNUMBER(SEARCH(_xlfn.CONCAT(CHAR(34),CHAR(39)),$F621))),_xlfn.CONCAT("* REVIEW REQUIRED: compound-quote delimiter in Units on Sheet 1 row ",621,"; edit the input before running."),_xlfn.CONCAT("char ",TRIM($B621),"[doc_units] ",CHAR(96),CHAR(34),SUBSTITUTE(SUBSTITUTE(SUBSTITUTE(SUBSTITUTE(SUBSTITUTE(SUBSTITUTE($F621,CHAR(13)," "),CHAR(10)," "),CHAR(9)," "),CHAR(92),_xlfn.CONCAT(CHAR(92),CHAR(92))),"$",_xlfn.CONCAT(CHAR(92),"$")),CHAR(96),_xlfn.CONCAT(CHAR(92),CHAR(96))),CHAR(34),CHAR(39))))</f>
        <v/>
      </c>
      <c r="Q621" s="5" t="str">
        <f>IF(OR(TRIM($B621)="",$G621=""),"",IF(OR(ISNUMBER(SEARCH(_xlfn.CONCAT(CHAR(96),CHAR(34)),$G621)),ISNUMBER(SEARCH(_xlfn.CONCAT(CHAR(34),CHAR(39)),$G621))),_xlfn.CONCAT("* REVIEW REQUIRED: compound-quote delimiter in Universe on Sheet 1 row ",621,"; edit the input before running."),_xlfn.CONCAT("char ",TRIM($B621),"[doc_universe] ",CHAR(96),CHAR(34),SUBSTITUTE(SUBSTITUTE(SUBSTITUTE(SUBSTITUTE(SUBSTITUTE(SUBSTITUTE($G621,CHAR(13)," "),CHAR(10)," "),CHAR(9)," "),CHAR(92),_xlfn.CONCAT(CHAR(92),CHAR(92))),"$",_xlfn.CONCAT(CHAR(92),"$")),CHAR(96),_xlfn.CONCAT(CHAR(92),CHAR(96))),CHAR(34),CHAR(39))))</f>
        <v/>
      </c>
      <c r="R621" s="5" t="str">
        <f>IF(OR(TRIM($B621)="",$H621=""),"",IF(OR(ISNUMBER(SEARCH(_xlfn.CONCAT(CHAR(96),CHAR(34)),$H621)),ISNUMBER(SEARCH(_xlfn.CONCAT(CHAR(34),CHAR(39)),$H621))),_xlfn.CONCAT("* REVIEW REQUIRED: compound-quote delimiter in Source on Sheet 1 row ",621,"; edit the input before running."),_xlfn.CONCAT("char ",TRIM($B621),"[doc_source] ",CHAR(96),CHAR(34),SUBSTITUTE(SUBSTITUTE(SUBSTITUTE(SUBSTITUTE(SUBSTITUTE(SUBSTITUTE($H621,CHAR(13)," "),CHAR(10)," "),CHAR(9)," "),CHAR(92),_xlfn.CONCAT(CHAR(92),CHAR(92))),"$",_xlfn.CONCAT(CHAR(92),"$")),CHAR(96),_xlfn.CONCAT(CHAR(92),CHAR(96))),CHAR(34),CHAR(39))))</f>
        <v/>
      </c>
      <c r="S621" s="5" t="str">
        <f>IF(OR(TRIM($B621)="",$I621=""),"",IF(OR(ISNUMBER(SEARCH(_xlfn.CONCAT(CHAR(96),CHAR(34)),$I621)),ISNUMBER(SEARCH(_xlfn.CONCAT(CHAR(34),CHAR(39)),$I621))),_xlfn.CONCAT("* REVIEW REQUIRED: compound-quote delimiter in Derivation on Sheet 1 row ",621,"; edit the input before running."),_xlfn.CONCAT("char ",TRIM($B621),"[doc_derivation] ",CHAR(96),CHAR(34),SUBSTITUTE(SUBSTITUTE(SUBSTITUTE(SUBSTITUTE(SUBSTITUTE(SUBSTITUTE($I621,CHAR(13)," "),CHAR(10)," "),CHAR(9)," "),CHAR(92),_xlfn.CONCAT(CHAR(92),CHAR(92))),"$",_xlfn.CONCAT(CHAR(92),"$")),CHAR(96),_xlfn.CONCAT(CHAR(92),CHAR(96))),CHAR(34),CHAR(39))))</f>
        <v/>
      </c>
      <c r="T621" s="5" t="str">
        <f>IF(OR(TRIM($B621)="",$J621=""),"",IF(OR(ISNUMBER(SEARCH(_xlfn.CONCAT(CHAR(96),CHAR(34)),$J621)),ISNUMBER(SEARCH(_xlfn.CONCAT(CHAR(34),CHAR(39)),$J621))),_xlfn.CONCAT("* REVIEW REQUIRED: compound-quote delimiter in Notes on Sheet 1 row ",621,"; edit the input before running."),_xlfn.CONCAT("char ",TRIM($B621),"[doc_notes] ",CHAR(96),CHAR(34),SUBSTITUTE(SUBSTITUTE(SUBSTITUTE(SUBSTITUTE(SUBSTITUTE(SUBSTITUTE($J621,CHAR(13)," "),CHAR(10)," "),CHAR(9)," "),CHAR(92),_xlfn.CONCAT(CHAR(92),CHAR(92))),"$",_xlfn.CONCAT(CHAR(92),"$")),CHAR(96),_xlfn.CONCAT(CHAR(92),CHAR(96))),CHAR(34),CHAR(39))))</f>
        <v/>
      </c>
      <c r="U621" s="5">
        <f t="shared" si="19"/>
        <v>0</v>
      </c>
    </row>
    <row r="622" spans="3:21" ht="30" customHeight="1" x14ac:dyDescent="0.2">
      <c r="C622" s="4"/>
      <c r="K622" s="5">
        <f t="shared" si="18"/>
        <v>0</v>
      </c>
      <c r="L622" s="5" t="str">
        <f>IF(OR(TRIM($B622)="",$A622=""),"",IF(OR(ISNUMBER(SEARCH(_xlfn.CONCAT(CHAR(96),CHAR(34)),$A622)),ISNUMBER(SEARCH(_xlfn.CONCAT(CHAR(34),CHAR(39)),$A622))),_xlfn.CONCAT("* REVIEW REQUIRED: compound-quote delimiter in Codebook Section on Sheet 1 row ",622,"; edit the input before running."),_xlfn.CONCAT("char ",TRIM($B622),"[doc_section] ",CHAR(96),CHAR(34),SUBSTITUTE(SUBSTITUTE(SUBSTITUTE(SUBSTITUTE(SUBSTITUTE(SUBSTITUTE($A622,CHAR(13)," "),CHAR(10)," "),CHAR(9)," "),CHAR(92),_xlfn.CONCAT(CHAR(92),CHAR(92))),"$",_xlfn.CONCAT(CHAR(92),"$")),CHAR(96),_xlfn.CONCAT(CHAR(92),CHAR(96))),CHAR(34),CHAR(39))))</f>
        <v/>
      </c>
      <c r="M622" s="5" t="str">
        <f>IF(OR(TRIM($B622)="",$C622=""),"",IF(IFERROR(MATCH(TRIM($C622),{"Quantitative","Continuous","Discrete","Categorical","Nominal","Ordinal","Identifier"},0),0)=0,_xlfn.CONCAT("* REVIEW REQUIRED: invalid Variable Type on Sheet 1 row ",622,"."),_xlfn.CONCAT("char ",TRIM($B622),"[doc_vartype] ",CHAR(96),CHAR(34),SUBSTITUTE(SUBSTITUTE(SUBSTITUTE(SUBSTITUTE(SUBSTITUTE(SUBSTITUTE(LOWER(TRIM($C622)),CHAR(13)," "),CHAR(10)," "),CHAR(9)," "),CHAR(92),_xlfn.CONCAT(CHAR(92),CHAR(92))),"$",_xlfn.CONCAT(CHAR(92),"$")),CHAR(96),_xlfn.CONCAT(CHAR(92),CHAR(96))),CHAR(34),CHAR(39))))</f>
        <v/>
      </c>
      <c r="N622" s="5" t="str">
        <f>IF(OR(TRIM($B622)="",$D622=""),"",IF(OR(ISNUMBER(SEARCH(_xlfn.CONCAT(CHAR(96),CHAR(34)),$D622)),ISNUMBER(SEARCH(_xlfn.CONCAT(CHAR(34),CHAR(39)),$D622))),_xlfn.CONCAT("* REVIEW REQUIRED: compound-quote delimiter in Item Number on Sheet 1 row ",622,"; edit the input before running."),_xlfn.CONCAT("char ",TRIM($B622),"[doc_itemnum] ",CHAR(96),CHAR(34),SUBSTITUTE(SUBSTITUTE(SUBSTITUTE(SUBSTITUTE(SUBSTITUTE(SUBSTITUTE($D622,CHAR(13)," "),CHAR(10)," "),CHAR(9)," "),CHAR(92),_xlfn.CONCAT(CHAR(92),CHAR(92))),"$",_xlfn.CONCAT(CHAR(92),"$")),CHAR(96),_xlfn.CONCAT(CHAR(92),CHAR(96))),CHAR(34),CHAR(39))))</f>
        <v/>
      </c>
      <c r="O622" s="5" t="str">
        <f>IF(OR(TRIM($B622)="",$E622=""),"",IF(OR(ISNUMBER(SEARCH(_xlfn.CONCAT(CHAR(96),CHAR(34)),$E622)),ISNUMBER(SEARCH(_xlfn.CONCAT(CHAR(34),CHAR(39)),$E622))),_xlfn.CONCAT("* REVIEW REQUIRED: compound-quote delimiter in Question Wording on Sheet 1 row ",622,"; edit the input before running."),_xlfn.CONCAT("char ",TRIM($B622),"[doc_question] ",CHAR(96),CHAR(34),SUBSTITUTE(SUBSTITUTE(SUBSTITUTE(SUBSTITUTE(SUBSTITUTE(SUBSTITUTE($E622,CHAR(13)," "),CHAR(10)," "),CHAR(9)," "),CHAR(92),_xlfn.CONCAT(CHAR(92),CHAR(92))),"$",_xlfn.CONCAT(CHAR(92),"$")),CHAR(96),_xlfn.CONCAT(CHAR(92),CHAR(96))),CHAR(34),CHAR(39))))</f>
        <v/>
      </c>
      <c r="P622" s="5" t="str">
        <f>IF(OR(TRIM($B622)="",$F622=""),"",IF(OR(ISNUMBER(SEARCH(_xlfn.CONCAT(CHAR(96),CHAR(34)),$F622)),ISNUMBER(SEARCH(_xlfn.CONCAT(CHAR(34),CHAR(39)),$F622))),_xlfn.CONCAT("* REVIEW REQUIRED: compound-quote delimiter in Units on Sheet 1 row ",622,"; edit the input before running."),_xlfn.CONCAT("char ",TRIM($B622),"[doc_units] ",CHAR(96),CHAR(34),SUBSTITUTE(SUBSTITUTE(SUBSTITUTE(SUBSTITUTE(SUBSTITUTE(SUBSTITUTE($F622,CHAR(13)," "),CHAR(10)," "),CHAR(9)," "),CHAR(92),_xlfn.CONCAT(CHAR(92),CHAR(92))),"$",_xlfn.CONCAT(CHAR(92),"$")),CHAR(96),_xlfn.CONCAT(CHAR(92),CHAR(96))),CHAR(34),CHAR(39))))</f>
        <v/>
      </c>
      <c r="Q622" s="5" t="str">
        <f>IF(OR(TRIM($B622)="",$G622=""),"",IF(OR(ISNUMBER(SEARCH(_xlfn.CONCAT(CHAR(96),CHAR(34)),$G622)),ISNUMBER(SEARCH(_xlfn.CONCAT(CHAR(34),CHAR(39)),$G622))),_xlfn.CONCAT("* REVIEW REQUIRED: compound-quote delimiter in Universe on Sheet 1 row ",622,"; edit the input before running."),_xlfn.CONCAT("char ",TRIM($B622),"[doc_universe] ",CHAR(96),CHAR(34),SUBSTITUTE(SUBSTITUTE(SUBSTITUTE(SUBSTITUTE(SUBSTITUTE(SUBSTITUTE($G622,CHAR(13)," "),CHAR(10)," "),CHAR(9)," "),CHAR(92),_xlfn.CONCAT(CHAR(92),CHAR(92))),"$",_xlfn.CONCAT(CHAR(92),"$")),CHAR(96),_xlfn.CONCAT(CHAR(92),CHAR(96))),CHAR(34),CHAR(39))))</f>
        <v/>
      </c>
      <c r="R622" s="5" t="str">
        <f>IF(OR(TRIM($B622)="",$H622=""),"",IF(OR(ISNUMBER(SEARCH(_xlfn.CONCAT(CHAR(96),CHAR(34)),$H622)),ISNUMBER(SEARCH(_xlfn.CONCAT(CHAR(34),CHAR(39)),$H622))),_xlfn.CONCAT("* REVIEW REQUIRED: compound-quote delimiter in Source on Sheet 1 row ",622,"; edit the input before running."),_xlfn.CONCAT("char ",TRIM($B622),"[doc_source] ",CHAR(96),CHAR(34),SUBSTITUTE(SUBSTITUTE(SUBSTITUTE(SUBSTITUTE(SUBSTITUTE(SUBSTITUTE($H622,CHAR(13)," "),CHAR(10)," "),CHAR(9)," "),CHAR(92),_xlfn.CONCAT(CHAR(92),CHAR(92))),"$",_xlfn.CONCAT(CHAR(92),"$")),CHAR(96),_xlfn.CONCAT(CHAR(92),CHAR(96))),CHAR(34),CHAR(39))))</f>
        <v/>
      </c>
      <c r="S622" s="5" t="str">
        <f>IF(OR(TRIM($B622)="",$I622=""),"",IF(OR(ISNUMBER(SEARCH(_xlfn.CONCAT(CHAR(96),CHAR(34)),$I622)),ISNUMBER(SEARCH(_xlfn.CONCAT(CHAR(34),CHAR(39)),$I622))),_xlfn.CONCAT("* REVIEW REQUIRED: compound-quote delimiter in Derivation on Sheet 1 row ",622,"; edit the input before running."),_xlfn.CONCAT("char ",TRIM($B622),"[doc_derivation] ",CHAR(96),CHAR(34),SUBSTITUTE(SUBSTITUTE(SUBSTITUTE(SUBSTITUTE(SUBSTITUTE(SUBSTITUTE($I622,CHAR(13)," "),CHAR(10)," "),CHAR(9)," "),CHAR(92),_xlfn.CONCAT(CHAR(92),CHAR(92))),"$",_xlfn.CONCAT(CHAR(92),"$")),CHAR(96),_xlfn.CONCAT(CHAR(92),CHAR(96))),CHAR(34),CHAR(39))))</f>
        <v/>
      </c>
      <c r="T622" s="5" t="str">
        <f>IF(OR(TRIM($B622)="",$J622=""),"",IF(OR(ISNUMBER(SEARCH(_xlfn.CONCAT(CHAR(96),CHAR(34)),$J622)),ISNUMBER(SEARCH(_xlfn.CONCAT(CHAR(34),CHAR(39)),$J622))),_xlfn.CONCAT("* REVIEW REQUIRED: compound-quote delimiter in Notes on Sheet 1 row ",622,"; edit the input before running."),_xlfn.CONCAT("char ",TRIM($B622),"[doc_notes] ",CHAR(96),CHAR(34),SUBSTITUTE(SUBSTITUTE(SUBSTITUTE(SUBSTITUTE(SUBSTITUTE(SUBSTITUTE($J622,CHAR(13)," "),CHAR(10)," "),CHAR(9)," "),CHAR(92),_xlfn.CONCAT(CHAR(92),CHAR(92))),"$",_xlfn.CONCAT(CHAR(92),"$")),CHAR(96),_xlfn.CONCAT(CHAR(92),CHAR(96))),CHAR(34),CHAR(39))))</f>
        <v/>
      </c>
      <c r="U622" s="5">
        <f t="shared" si="19"/>
        <v>0</v>
      </c>
    </row>
    <row r="623" spans="3:21" ht="30" customHeight="1" x14ac:dyDescent="0.2">
      <c r="C623" s="4"/>
      <c r="K623" s="5">
        <f t="shared" si="18"/>
        <v>0</v>
      </c>
      <c r="L623" s="5" t="str">
        <f>IF(OR(TRIM($B623)="",$A623=""),"",IF(OR(ISNUMBER(SEARCH(_xlfn.CONCAT(CHAR(96),CHAR(34)),$A623)),ISNUMBER(SEARCH(_xlfn.CONCAT(CHAR(34),CHAR(39)),$A623))),_xlfn.CONCAT("* REVIEW REQUIRED: compound-quote delimiter in Codebook Section on Sheet 1 row ",623,"; edit the input before running."),_xlfn.CONCAT("char ",TRIM($B623),"[doc_section] ",CHAR(96),CHAR(34),SUBSTITUTE(SUBSTITUTE(SUBSTITUTE(SUBSTITUTE(SUBSTITUTE(SUBSTITUTE($A623,CHAR(13)," "),CHAR(10)," "),CHAR(9)," "),CHAR(92),_xlfn.CONCAT(CHAR(92),CHAR(92))),"$",_xlfn.CONCAT(CHAR(92),"$")),CHAR(96),_xlfn.CONCAT(CHAR(92),CHAR(96))),CHAR(34),CHAR(39))))</f>
        <v/>
      </c>
      <c r="M623" s="5" t="str">
        <f>IF(OR(TRIM($B623)="",$C623=""),"",IF(IFERROR(MATCH(TRIM($C623),{"Quantitative","Continuous","Discrete","Categorical","Nominal","Ordinal","Identifier"},0),0)=0,_xlfn.CONCAT("* REVIEW REQUIRED: invalid Variable Type on Sheet 1 row ",623,"."),_xlfn.CONCAT("char ",TRIM($B623),"[doc_vartype] ",CHAR(96),CHAR(34),SUBSTITUTE(SUBSTITUTE(SUBSTITUTE(SUBSTITUTE(SUBSTITUTE(SUBSTITUTE(LOWER(TRIM($C623)),CHAR(13)," "),CHAR(10)," "),CHAR(9)," "),CHAR(92),_xlfn.CONCAT(CHAR(92),CHAR(92))),"$",_xlfn.CONCAT(CHAR(92),"$")),CHAR(96),_xlfn.CONCAT(CHAR(92),CHAR(96))),CHAR(34),CHAR(39))))</f>
        <v/>
      </c>
      <c r="N623" s="5" t="str">
        <f>IF(OR(TRIM($B623)="",$D623=""),"",IF(OR(ISNUMBER(SEARCH(_xlfn.CONCAT(CHAR(96),CHAR(34)),$D623)),ISNUMBER(SEARCH(_xlfn.CONCAT(CHAR(34),CHAR(39)),$D623))),_xlfn.CONCAT("* REVIEW REQUIRED: compound-quote delimiter in Item Number on Sheet 1 row ",623,"; edit the input before running."),_xlfn.CONCAT("char ",TRIM($B623),"[doc_itemnum] ",CHAR(96),CHAR(34),SUBSTITUTE(SUBSTITUTE(SUBSTITUTE(SUBSTITUTE(SUBSTITUTE(SUBSTITUTE($D623,CHAR(13)," "),CHAR(10)," "),CHAR(9)," "),CHAR(92),_xlfn.CONCAT(CHAR(92),CHAR(92))),"$",_xlfn.CONCAT(CHAR(92),"$")),CHAR(96),_xlfn.CONCAT(CHAR(92),CHAR(96))),CHAR(34),CHAR(39))))</f>
        <v/>
      </c>
      <c r="O623" s="5" t="str">
        <f>IF(OR(TRIM($B623)="",$E623=""),"",IF(OR(ISNUMBER(SEARCH(_xlfn.CONCAT(CHAR(96),CHAR(34)),$E623)),ISNUMBER(SEARCH(_xlfn.CONCAT(CHAR(34),CHAR(39)),$E623))),_xlfn.CONCAT("* REVIEW REQUIRED: compound-quote delimiter in Question Wording on Sheet 1 row ",623,"; edit the input before running."),_xlfn.CONCAT("char ",TRIM($B623),"[doc_question] ",CHAR(96),CHAR(34),SUBSTITUTE(SUBSTITUTE(SUBSTITUTE(SUBSTITUTE(SUBSTITUTE(SUBSTITUTE($E623,CHAR(13)," "),CHAR(10)," "),CHAR(9)," "),CHAR(92),_xlfn.CONCAT(CHAR(92),CHAR(92))),"$",_xlfn.CONCAT(CHAR(92),"$")),CHAR(96),_xlfn.CONCAT(CHAR(92),CHAR(96))),CHAR(34),CHAR(39))))</f>
        <v/>
      </c>
      <c r="P623" s="5" t="str">
        <f>IF(OR(TRIM($B623)="",$F623=""),"",IF(OR(ISNUMBER(SEARCH(_xlfn.CONCAT(CHAR(96),CHAR(34)),$F623)),ISNUMBER(SEARCH(_xlfn.CONCAT(CHAR(34),CHAR(39)),$F623))),_xlfn.CONCAT("* REVIEW REQUIRED: compound-quote delimiter in Units on Sheet 1 row ",623,"; edit the input before running."),_xlfn.CONCAT("char ",TRIM($B623),"[doc_units] ",CHAR(96),CHAR(34),SUBSTITUTE(SUBSTITUTE(SUBSTITUTE(SUBSTITUTE(SUBSTITUTE(SUBSTITUTE($F623,CHAR(13)," "),CHAR(10)," "),CHAR(9)," "),CHAR(92),_xlfn.CONCAT(CHAR(92),CHAR(92))),"$",_xlfn.CONCAT(CHAR(92),"$")),CHAR(96),_xlfn.CONCAT(CHAR(92),CHAR(96))),CHAR(34),CHAR(39))))</f>
        <v/>
      </c>
      <c r="Q623" s="5" t="str">
        <f>IF(OR(TRIM($B623)="",$G623=""),"",IF(OR(ISNUMBER(SEARCH(_xlfn.CONCAT(CHAR(96),CHAR(34)),$G623)),ISNUMBER(SEARCH(_xlfn.CONCAT(CHAR(34),CHAR(39)),$G623))),_xlfn.CONCAT("* REVIEW REQUIRED: compound-quote delimiter in Universe on Sheet 1 row ",623,"; edit the input before running."),_xlfn.CONCAT("char ",TRIM($B623),"[doc_universe] ",CHAR(96),CHAR(34),SUBSTITUTE(SUBSTITUTE(SUBSTITUTE(SUBSTITUTE(SUBSTITUTE(SUBSTITUTE($G623,CHAR(13)," "),CHAR(10)," "),CHAR(9)," "),CHAR(92),_xlfn.CONCAT(CHAR(92),CHAR(92))),"$",_xlfn.CONCAT(CHAR(92),"$")),CHAR(96),_xlfn.CONCAT(CHAR(92),CHAR(96))),CHAR(34),CHAR(39))))</f>
        <v/>
      </c>
      <c r="R623" s="5" t="str">
        <f>IF(OR(TRIM($B623)="",$H623=""),"",IF(OR(ISNUMBER(SEARCH(_xlfn.CONCAT(CHAR(96),CHAR(34)),$H623)),ISNUMBER(SEARCH(_xlfn.CONCAT(CHAR(34),CHAR(39)),$H623))),_xlfn.CONCAT("* REVIEW REQUIRED: compound-quote delimiter in Source on Sheet 1 row ",623,"; edit the input before running."),_xlfn.CONCAT("char ",TRIM($B623),"[doc_source] ",CHAR(96),CHAR(34),SUBSTITUTE(SUBSTITUTE(SUBSTITUTE(SUBSTITUTE(SUBSTITUTE(SUBSTITUTE($H623,CHAR(13)," "),CHAR(10)," "),CHAR(9)," "),CHAR(92),_xlfn.CONCAT(CHAR(92),CHAR(92))),"$",_xlfn.CONCAT(CHAR(92),"$")),CHAR(96),_xlfn.CONCAT(CHAR(92),CHAR(96))),CHAR(34),CHAR(39))))</f>
        <v/>
      </c>
      <c r="S623" s="5" t="str">
        <f>IF(OR(TRIM($B623)="",$I623=""),"",IF(OR(ISNUMBER(SEARCH(_xlfn.CONCAT(CHAR(96),CHAR(34)),$I623)),ISNUMBER(SEARCH(_xlfn.CONCAT(CHAR(34),CHAR(39)),$I623))),_xlfn.CONCAT("* REVIEW REQUIRED: compound-quote delimiter in Derivation on Sheet 1 row ",623,"; edit the input before running."),_xlfn.CONCAT("char ",TRIM($B623),"[doc_derivation] ",CHAR(96),CHAR(34),SUBSTITUTE(SUBSTITUTE(SUBSTITUTE(SUBSTITUTE(SUBSTITUTE(SUBSTITUTE($I623,CHAR(13)," "),CHAR(10)," "),CHAR(9)," "),CHAR(92),_xlfn.CONCAT(CHAR(92),CHAR(92))),"$",_xlfn.CONCAT(CHAR(92),"$")),CHAR(96),_xlfn.CONCAT(CHAR(92),CHAR(96))),CHAR(34),CHAR(39))))</f>
        <v/>
      </c>
      <c r="T623" s="5" t="str">
        <f>IF(OR(TRIM($B623)="",$J623=""),"",IF(OR(ISNUMBER(SEARCH(_xlfn.CONCAT(CHAR(96),CHAR(34)),$J623)),ISNUMBER(SEARCH(_xlfn.CONCAT(CHAR(34),CHAR(39)),$J623))),_xlfn.CONCAT("* REVIEW REQUIRED: compound-quote delimiter in Notes on Sheet 1 row ",623,"; edit the input before running."),_xlfn.CONCAT("char ",TRIM($B623),"[doc_notes] ",CHAR(96),CHAR(34),SUBSTITUTE(SUBSTITUTE(SUBSTITUTE(SUBSTITUTE(SUBSTITUTE(SUBSTITUTE($J623,CHAR(13)," "),CHAR(10)," "),CHAR(9)," "),CHAR(92),_xlfn.CONCAT(CHAR(92),CHAR(92))),"$",_xlfn.CONCAT(CHAR(92),"$")),CHAR(96),_xlfn.CONCAT(CHAR(92),CHAR(96))),CHAR(34),CHAR(39))))</f>
        <v/>
      </c>
      <c r="U623" s="5">
        <f t="shared" si="19"/>
        <v>0</v>
      </c>
    </row>
    <row r="624" spans="3:21" ht="30" customHeight="1" x14ac:dyDescent="0.2">
      <c r="C624" s="4"/>
      <c r="K624" s="5">
        <f t="shared" si="18"/>
        <v>0</v>
      </c>
      <c r="L624" s="5" t="str">
        <f>IF(OR(TRIM($B624)="",$A624=""),"",IF(OR(ISNUMBER(SEARCH(_xlfn.CONCAT(CHAR(96),CHAR(34)),$A624)),ISNUMBER(SEARCH(_xlfn.CONCAT(CHAR(34),CHAR(39)),$A624))),_xlfn.CONCAT("* REVIEW REQUIRED: compound-quote delimiter in Codebook Section on Sheet 1 row ",624,"; edit the input before running."),_xlfn.CONCAT("char ",TRIM($B624),"[doc_section] ",CHAR(96),CHAR(34),SUBSTITUTE(SUBSTITUTE(SUBSTITUTE(SUBSTITUTE(SUBSTITUTE(SUBSTITUTE($A624,CHAR(13)," "),CHAR(10)," "),CHAR(9)," "),CHAR(92),_xlfn.CONCAT(CHAR(92),CHAR(92))),"$",_xlfn.CONCAT(CHAR(92),"$")),CHAR(96),_xlfn.CONCAT(CHAR(92),CHAR(96))),CHAR(34),CHAR(39))))</f>
        <v/>
      </c>
      <c r="M624" s="5" t="str">
        <f>IF(OR(TRIM($B624)="",$C624=""),"",IF(IFERROR(MATCH(TRIM($C624),{"Quantitative","Continuous","Discrete","Categorical","Nominal","Ordinal","Identifier"},0),0)=0,_xlfn.CONCAT("* REVIEW REQUIRED: invalid Variable Type on Sheet 1 row ",624,"."),_xlfn.CONCAT("char ",TRIM($B624),"[doc_vartype] ",CHAR(96),CHAR(34),SUBSTITUTE(SUBSTITUTE(SUBSTITUTE(SUBSTITUTE(SUBSTITUTE(SUBSTITUTE(LOWER(TRIM($C624)),CHAR(13)," "),CHAR(10)," "),CHAR(9)," "),CHAR(92),_xlfn.CONCAT(CHAR(92),CHAR(92))),"$",_xlfn.CONCAT(CHAR(92),"$")),CHAR(96),_xlfn.CONCAT(CHAR(92),CHAR(96))),CHAR(34),CHAR(39))))</f>
        <v/>
      </c>
      <c r="N624" s="5" t="str">
        <f>IF(OR(TRIM($B624)="",$D624=""),"",IF(OR(ISNUMBER(SEARCH(_xlfn.CONCAT(CHAR(96),CHAR(34)),$D624)),ISNUMBER(SEARCH(_xlfn.CONCAT(CHAR(34),CHAR(39)),$D624))),_xlfn.CONCAT("* REVIEW REQUIRED: compound-quote delimiter in Item Number on Sheet 1 row ",624,"; edit the input before running."),_xlfn.CONCAT("char ",TRIM($B624),"[doc_itemnum] ",CHAR(96),CHAR(34),SUBSTITUTE(SUBSTITUTE(SUBSTITUTE(SUBSTITUTE(SUBSTITUTE(SUBSTITUTE($D624,CHAR(13)," "),CHAR(10)," "),CHAR(9)," "),CHAR(92),_xlfn.CONCAT(CHAR(92),CHAR(92))),"$",_xlfn.CONCAT(CHAR(92),"$")),CHAR(96),_xlfn.CONCAT(CHAR(92),CHAR(96))),CHAR(34),CHAR(39))))</f>
        <v/>
      </c>
      <c r="O624" s="5" t="str">
        <f>IF(OR(TRIM($B624)="",$E624=""),"",IF(OR(ISNUMBER(SEARCH(_xlfn.CONCAT(CHAR(96),CHAR(34)),$E624)),ISNUMBER(SEARCH(_xlfn.CONCAT(CHAR(34),CHAR(39)),$E624))),_xlfn.CONCAT("* REVIEW REQUIRED: compound-quote delimiter in Question Wording on Sheet 1 row ",624,"; edit the input before running."),_xlfn.CONCAT("char ",TRIM($B624),"[doc_question] ",CHAR(96),CHAR(34),SUBSTITUTE(SUBSTITUTE(SUBSTITUTE(SUBSTITUTE(SUBSTITUTE(SUBSTITUTE($E624,CHAR(13)," "),CHAR(10)," "),CHAR(9)," "),CHAR(92),_xlfn.CONCAT(CHAR(92),CHAR(92))),"$",_xlfn.CONCAT(CHAR(92),"$")),CHAR(96),_xlfn.CONCAT(CHAR(92),CHAR(96))),CHAR(34),CHAR(39))))</f>
        <v/>
      </c>
      <c r="P624" s="5" t="str">
        <f>IF(OR(TRIM($B624)="",$F624=""),"",IF(OR(ISNUMBER(SEARCH(_xlfn.CONCAT(CHAR(96),CHAR(34)),$F624)),ISNUMBER(SEARCH(_xlfn.CONCAT(CHAR(34),CHAR(39)),$F624))),_xlfn.CONCAT("* REVIEW REQUIRED: compound-quote delimiter in Units on Sheet 1 row ",624,"; edit the input before running."),_xlfn.CONCAT("char ",TRIM($B624),"[doc_units] ",CHAR(96),CHAR(34),SUBSTITUTE(SUBSTITUTE(SUBSTITUTE(SUBSTITUTE(SUBSTITUTE(SUBSTITUTE($F624,CHAR(13)," "),CHAR(10)," "),CHAR(9)," "),CHAR(92),_xlfn.CONCAT(CHAR(92),CHAR(92))),"$",_xlfn.CONCAT(CHAR(92),"$")),CHAR(96),_xlfn.CONCAT(CHAR(92),CHAR(96))),CHAR(34),CHAR(39))))</f>
        <v/>
      </c>
      <c r="Q624" s="5" t="str">
        <f>IF(OR(TRIM($B624)="",$G624=""),"",IF(OR(ISNUMBER(SEARCH(_xlfn.CONCAT(CHAR(96),CHAR(34)),$G624)),ISNUMBER(SEARCH(_xlfn.CONCAT(CHAR(34),CHAR(39)),$G624))),_xlfn.CONCAT("* REVIEW REQUIRED: compound-quote delimiter in Universe on Sheet 1 row ",624,"; edit the input before running."),_xlfn.CONCAT("char ",TRIM($B624),"[doc_universe] ",CHAR(96),CHAR(34),SUBSTITUTE(SUBSTITUTE(SUBSTITUTE(SUBSTITUTE(SUBSTITUTE(SUBSTITUTE($G624,CHAR(13)," "),CHAR(10)," "),CHAR(9)," "),CHAR(92),_xlfn.CONCAT(CHAR(92),CHAR(92))),"$",_xlfn.CONCAT(CHAR(92),"$")),CHAR(96),_xlfn.CONCAT(CHAR(92),CHAR(96))),CHAR(34),CHAR(39))))</f>
        <v/>
      </c>
      <c r="R624" s="5" t="str">
        <f>IF(OR(TRIM($B624)="",$H624=""),"",IF(OR(ISNUMBER(SEARCH(_xlfn.CONCAT(CHAR(96),CHAR(34)),$H624)),ISNUMBER(SEARCH(_xlfn.CONCAT(CHAR(34),CHAR(39)),$H624))),_xlfn.CONCAT("* REVIEW REQUIRED: compound-quote delimiter in Source on Sheet 1 row ",624,"; edit the input before running."),_xlfn.CONCAT("char ",TRIM($B624),"[doc_source] ",CHAR(96),CHAR(34),SUBSTITUTE(SUBSTITUTE(SUBSTITUTE(SUBSTITUTE(SUBSTITUTE(SUBSTITUTE($H624,CHAR(13)," "),CHAR(10)," "),CHAR(9)," "),CHAR(92),_xlfn.CONCAT(CHAR(92),CHAR(92))),"$",_xlfn.CONCAT(CHAR(92),"$")),CHAR(96),_xlfn.CONCAT(CHAR(92),CHAR(96))),CHAR(34),CHAR(39))))</f>
        <v/>
      </c>
      <c r="S624" s="5" t="str">
        <f>IF(OR(TRIM($B624)="",$I624=""),"",IF(OR(ISNUMBER(SEARCH(_xlfn.CONCAT(CHAR(96),CHAR(34)),$I624)),ISNUMBER(SEARCH(_xlfn.CONCAT(CHAR(34),CHAR(39)),$I624))),_xlfn.CONCAT("* REVIEW REQUIRED: compound-quote delimiter in Derivation on Sheet 1 row ",624,"; edit the input before running."),_xlfn.CONCAT("char ",TRIM($B624),"[doc_derivation] ",CHAR(96),CHAR(34),SUBSTITUTE(SUBSTITUTE(SUBSTITUTE(SUBSTITUTE(SUBSTITUTE(SUBSTITUTE($I624,CHAR(13)," "),CHAR(10)," "),CHAR(9)," "),CHAR(92),_xlfn.CONCAT(CHAR(92),CHAR(92))),"$",_xlfn.CONCAT(CHAR(92),"$")),CHAR(96),_xlfn.CONCAT(CHAR(92),CHAR(96))),CHAR(34),CHAR(39))))</f>
        <v/>
      </c>
      <c r="T624" s="5" t="str">
        <f>IF(OR(TRIM($B624)="",$J624=""),"",IF(OR(ISNUMBER(SEARCH(_xlfn.CONCAT(CHAR(96),CHAR(34)),$J624)),ISNUMBER(SEARCH(_xlfn.CONCAT(CHAR(34),CHAR(39)),$J624))),_xlfn.CONCAT("* REVIEW REQUIRED: compound-quote delimiter in Notes on Sheet 1 row ",624,"; edit the input before running."),_xlfn.CONCAT("char ",TRIM($B624),"[doc_notes] ",CHAR(96),CHAR(34),SUBSTITUTE(SUBSTITUTE(SUBSTITUTE(SUBSTITUTE(SUBSTITUTE(SUBSTITUTE($J624,CHAR(13)," "),CHAR(10)," "),CHAR(9)," "),CHAR(92),_xlfn.CONCAT(CHAR(92),CHAR(92))),"$",_xlfn.CONCAT(CHAR(92),"$")),CHAR(96),_xlfn.CONCAT(CHAR(92),CHAR(96))),CHAR(34),CHAR(39))))</f>
        <v/>
      </c>
      <c r="U624" s="5">
        <f t="shared" si="19"/>
        <v>0</v>
      </c>
    </row>
    <row r="625" spans="3:21" ht="30" customHeight="1" x14ac:dyDescent="0.2">
      <c r="C625" s="4"/>
      <c r="K625" s="5">
        <f t="shared" si="18"/>
        <v>0</v>
      </c>
      <c r="L625" s="5" t="str">
        <f>IF(OR(TRIM($B625)="",$A625=""),"",IF(OR(ISNUMBER(SEARCH(_xlfn.CONCAT(CHAR(96),CHAR(34)),$A625)),ISNUMBER(SEARCH(_xlfn.CONCAT(CHAR(34),CHAR(39)),$A625))),_xlfn.CONCAT("* REVIEW REQUIRED: compound-quote delimiter in Codebook Section on Sheet 1 row ",625,"; edit the input before running."),_xlfn.CONCAT("char ",TRIM($B625),"[doc_section] ",CHAR(96),CHAR(34),SUBSTITUTE(SUBSTITUTE(SUBSTITUTE(SUBSTITUTE(SUBSTITUTE(SUBSTITUTE($A625,CHAR(13)," "),CHAR(10)," "),CHAR(9)," "),CHAR(92),_xlfn.CONCAT(CHAR(92),CHAR(92))),"$",_xlfn.CONCAT(CHAR(92),"$")),CHAR(96),_xlfn.CONCAT(CHAR(92),CHAR(96))),CHAR(34),CHAR(39))))</f>
        <v/>
      </c>
      <c r="M625" s="5" t="str">
        <f>IF(OR(TRIM($B625)="",$C625=""),"",IF(IFERROR(MATCH(TRIM($C625),{"Quantitative","Continuous","Discrete","Categorical","Nominal","Ordinal","Identifier"},0),0)=0,_xlfn.CONCAT("* REVIEW REQUIRED: invalid Variable Type on Sheet 1 row ",625,"."),_xlfn.CONCAT("char ",TRIM($B625),"[doc_vartype] ",CHAR(96),CHAR(34),SUBSTITUTE(SUBSTITUTE(SUBSTITUTE(SUBSTITUTE(SUBSTITUTE(SUBSTITUTE(LOWER(TRIM($C625)),CHAR(13)," "),CHAR(10)," "),CHAR(9)," "),CHAR(92),_xlfn.CONCAT(CHAR(92),CHAR(92))),"$",_xlfn.CONCAT(CHAR(92),"$")),CHAR(96),_xlfn.CONCAT(CHAR(92),CHAR(96))),CHAR(34),CHAR(39))))</f>
        <v/>
      </c>
      <c r="N625" s="5" t="str">
        <f>IF(OR(TRIM($B625)="",$D625=""),"",IF(OR(ISNUMBER(SEARCH(_xlfn.CONCAT(CHAR(96),CHAR(34)),$D625)),ISNUMBER(SEARCH(_xlfn.CONCAT(CHAR(34),CHAR(39)),$D625))),_xlfn.CONCAT("* REVIEW REQUIRED: compound-quote delimiter in Item Number on Sheet 1 row ",625,"; edit the input before running."),_xlfn.CONCAT("char ",TRIM($B625),"[doc_itemnum] ",CHAR(96),CHAR(34),SUBSTITUTE(SUBSTITUTE(SUBSTITUTE(SUBSTITUTE(SUBSTITUTE(SUBSTITUTE($D625,CHAR(13)," "),CHAR(10)," "),CHAR(9)," "),CHAR(92),_xlfn.CONCAT(CHAR(92),CHAR(92))),"$",_xlfn.CONCAT(CHAR(92),"$")),CHAR(96),_xlfn.CONCAT(CHAR(92),CHAR(96))),CHAR(34),CHAR(39))))</f>
        <v/>
      </c>
      <c r="O625" s="5" t="str">
        <f>IF(OR(TRIM($B625)="",$E625=""),"",IF(OR(ISNUMBER(SEARCH(_xlfn.CONCAT(CHAR(96),CHAR(34)),$E625)),ISNUMBER(SEARCH(_xlfn.CONCAT(CHAR(34),CHAR(39)),$E625))),_xlfn.CONCAT("* REVIEW REQUIRED: compound-quote delimiter in Question Wording on Sheet 1 row ",625,"; edit the input before running."),_xlfn.CONCAT("char ",TRIM($B625),"[doc_question] ",CHAR(96),CHAR(34),SUBSTITUTE(SUBSTITUTE(SUBSTITUTE(SUBSTITUTE(SUBSTITUTE(SUBSTITUTE($E625,CHAR(13)," "),CHAR(10)," "),CHAR(9)," "),CHAR(92),_xlfn.CONCAT(CHAR(92),CHAR(92))),"$",_xlfn.CONCAT(CHAR(92),"$")),CHAR(96),_xlfn.CONCAT(CHAR(92),CHAR(96))),CHAR(34),CHAR(39))))</f>
        <v/>
      </c>
      <c r="P625" s="5" t="str">
        <f>IF(OR(TRIM($B625)="",$F625=""),"",IF(OR(ISNUMBER(SEARCH(_xlfn.CONCAT(CHAR(96),CHAR(34)),$F625)),ISNUMBER(SEARCH(_xlfn.CONCAT(CHAR(34),CHAR(39)),$F625))),_xlfn.CONCAT("* REVIEW REQUIRED: compound-quote delimiter in Units on Sheet 1 row ",625,"; edit the input before running."),_xlfn.CONCAT("char ",TRIM($B625),"[doc_units] ",CHAR(96),CHAR(34),SUBSTITUTE(SUBSTITUTE(SUBSTITUTE(SUBSTITUTE(SUBSTITUTE(SUBSTITUTE($F625,CHAR(13)," "),CHAR(10)," "),CHAR(9)," "),CHAR(92),_xlfn.CONCAT(CHAR(92),CHAR(92))),"$",_xlfn.CONCAT(CHAR(92),"$")),CHAR(96),_xlfn.CONCAT(CHAR(92),CHAR(96))),CHAR(34),CHAR(39))))</f>
        <v/>
      </c>
      <c r="Q625" s="5" t="str">
        <f>IF(OR(TRIM($B625)="",$G625=""),"",IF(OR(ISNUMBER(SEARCH(_xlfn.CONCAT(CHAR(96),CHAR(34)),$G625)),ISNUMBER(SEARCH(_xlfn.CONCAT(CHAR(34),CHAR(39)),$G625))),_xlfn.CONCAT("* REVIEW REQUIRED: compound-quote delimiter in Universe on Sheet 1 row ",625,"; edit the input before running."),_xlfn.CONCAT("char ",TRIM($B625),"[doc_universe] ",CHAR(96),CHAR(34),SUBSTITUTE(SUBSTITUTE(SUBSTITUTE(SUBSTITUTE(SUBSTITUTE(SUBSTITUTE($G625,CHAR(13)," "),CHAR(10)," "),CHAR(9)," "),CHAR(92),_xlfn.CONCAT(CHAR(92),CHAR(92))),"$",_xlfn.CONCAT(CHAR(92),"$")),CHAR(96),_xlfn.CONCAT(CHAR(92),CHAR(96))),CHAR(34),CHAR(39))))</f>
        <v/>
      </c>
      <c r="R625" s="5" t="str">
        <f>IF(OR(TRIM($B625)="",$H625=""),"",IF(OR(ISNUMBER(SEARCH(_xlfn.CONCAT(CHAR(96),CHAR(34)),$H625)),ISNUMBER(SEARCH(_xlfn.CONCAT(CHAR(34),CHAR(39)),$H625))),_xlfn.CONCAT("* REVIEW REQUIRED: compound-quote delimiter in Source on Sheet 1 row ",625,"; edit the input before running."),_xlfn.CONCAT("char ",TRIM($B625),"[doc_source] ",CHAR(96),CHAR(34),SUBSTITUTE(SUBSTITUTE(SUBSTITUTE(SUBSTITUTE(SUBSTITUTE(SUBSTITUTE($H625,CHAR(13)," "),CHAR(10)," "),CHAR(9)," "),CHAR(92),_xlfn.CONCAT(CHAR(92),CHAR(92))),"$",_xlfn.CONCAT(CHAR(92),"$")),CHAR(96),_xlfn.CONCAT(CHAR(92),CHAR(96))),CHAR(34),CHAR(39))))</f>
        <v/>
      </c>
      <c r="S625" s="5" t="str">
        <f>IF(OR(TRIM($B625)="",$I625=""),"",IF(OR(ISNUMBER(SEARCH(_xlfn.CONCAT(CHAR(96),CHAR(34)),$I625)),ISNUMBER(SEARCH(_xlfn.CONCAT(CHAR(34),CHAR(39)),$I625))),_xlfn.CONCAT("* REVIEW REQUIRED: compound-quote delimiter in Derivation on Sheet 1 row ",625,"; edit the input before running."),_xlfn.CONCAT("char ",TRIM($B625),"[doc_derivation] ",CHAR(96),CHAR(34),SUBSTITUTE(SUBSTITUTE(SUBSTITUTE(SUBSTITUTE(SUBSTITUTE(SUBSTITUTE($I625,CHAR(13)," "),CHAR(10)," "),CHAR(9)," "),CHAR(92),_xlfn.CONCAT(CHAR(92),CHAR(92))),"$",_xlfn.CONCAT(CHAR(92),"$")),CHAR(96),_xlfn.CONCAT(CHAR(92),CHAR(96))),CHAR(34),CHAR(39))))</f>
        <v/>
      </c>
      <c r="T625" s="5" t="str">
        <f>IF(OR(TRIM($B625)="",$J625=""),"",IF(OR(ISNUMBER(SEARCH(_xlfn.CONCAT(CHAR(96),CHAR(34)),$J625)),ISNUMBER(SEARCH(_xlfn.CONCAT(CHAR(34),CHAR(39)),$J625))),_xlfn.CONCAT("* REVIEW REQUIRED: compound-quote delimiter in Notes on Sheet 1 row ",625,"; edit the input before running."),_xlfn.CONCAT("char ",TRIM($B625),"[doc_notes] ",CHAR(96),CHAR(34),SUBSTITUTE(SUBSTITUTE(SUBSTITUTE(SUBSTITUTE(SUBSTITUTE(SUBSTITUTE($J625,CHAR(13)," "),CHAR(10)," "),CHAR(9)," "),CHAR(92),_xlfn.CONCAT(CHAR(92),CHAR(92))),"$",_xlfn.CONCAT(CHAR(92),"$")),CHAR(96),_xlfn.CONCAT(CHAR(92),CHAR(96))),CHAR(34),CHAR(39))))</f>
        <v/>
      </c>
      <c r="U625" s="5">
        <f t="shared" si="19"/>
        <v>0</v>
      </c>
    </row>
    <row r="626" spans="3:21" ht="30" customHeight="1" x14ac:dyDescent="0.2">
      <c r="C626" s="4"/>
      <c r="K626" s="5">
        <f t="shared" si="18"/>
        <v>0</v>
      </c>
      <c r="L626" s="5" t="str">
        <f>IF(OR(TRIM($B626)="",$A626=""),"",IF(OR(ISNUMBER(SEARCH(_xlfn.CONCAT(CHAR(96),CHAR(34)),$A626)),ISNUMBER(SEARCH(_xlfn.CONCAT(CHAR(34),CHAR(39)),$A626))),_xlfn.CONCAT("* REVIEW REQUIRED: compound-quote delimiter in Codebook Section on Sheet 1 row ",626,"; edit the input before running."),_xlfn.CONCAT("char ",TRIM($B626),"[doc_section] ",CHAR(96),CHAR(34),SUBSTITUTE(SUBSTITUTE(SUBSTITUTE(SUBSTITUTE(SUBSTITUTE(SUBSTITUTE($A626,CHAR(13)," "),CHAR(10)," "),CHAR(9)," "),CHAR(92),_xlfn.CONCAT(CHAR(92),CHAR(92))),"$",_xlfn.CONCAT(CHAR(92),"$")),CHAR(96),_xlfn.CONCAT(CHAR(92),CHAR(96))),CHAR(34),CHAR(39))))</f>
        <v/>
      </c>
      <c r="M626" s="5" t="str">
        <f>IF(OR(TRIM($B626)="",$C626=""),"",IF(IFERROR(MATCH(TRIM($C626),{"Quantitative","Continuous","Discrete","Categorical","Nominal","Ordinal","Identifier"},0),0)=0,_xlfn.CONCAT("* REVIEW REQUIRED: invalid Variable Type on Sheet 1 row ",626,"."),_xlfn.CONCAT("char ",TRIM($B626),"[doc_vartype] ",CHAR(96),CHAR(34),SUBSTITUTE(SUBSTITUTE(SUBSTITUTE(SUBSTITUTE(SUBSTITUTE(SUBSTITUTE(LOWER(TRIM($C626)),CHAR(13)," "),CHAR(10)," "),CHAR(9)," "),CHAR(92),_xlfn.CONCAT(CHAR(92),CHAR(92))),"$",_xlfn.CONCAT(CHAR(92),"$")),CHAR(96),_xlfn.CONCAT(CHAR(92),CHAR(96))),CHAR(34),CHAR(39))))</f>
        <v/>
      </c>
      <c r="N626" s="5" t="str">
        <f>IF(OR(TRIM($B626)="",$D626=""),"",IF(OR(ISNUMBER(SEARCH(_xlfn.CONCAT(CHAR(96),CHAR(34)),$D626)),ISNUMBER(SEARCH(_xlfn.CONCAT(CHAR(34),CHAR(39)),$D626))),_xlfn.CONCAT("* REVIEW REQUIRED: compound-quote delimiter in Item Number on Sheet 1 row ",626,"; edit the input before running."),_xlfn.CONCAT("char ",TRIM($B626),"[doc_itemnum] ",CHAR(96),CHAR(34),SUBSTITUTE(SUBSTITUTE(SUBSTITUTE(SUBSTITUTE(SUBSTITUTE(SUBSTITUTE($D626,CHAR(13)," "),CHAR(10)," "),CHAR(9)," "),CHAR(92),_xlfn.CONCAT(CHAR(92),CHAR(92))),"$",_xlfn.CONCAT(CHAR(92),"$")),CHAR(96),_xlfn.CONCAT(CHAR(92),CHAR(96))),CHAR(34),CHAR(39))))</f>
        <v/>
      </c>
      <c r="O626" s="5" t="str">
        <f>IF(OR(TRIM($B626)="",$E626=""),"",IF(OR(ISNUMBER(SEARCH(_xlfn.CONCAT(CHAR(96),CHAR(34)),$E626)),ISNUMBER(SEARCH(_xlfn.CONCAT(CHAR(34),CHAR(39)),$E626))),_xlfn.CONCAT("* REVIEW REQUIRED: compound-quote delimiter in Question Wording on Sheet 1 row ",626,"; edit the input before running."),_xlfn.CONCAT("char ",TRIM($B626),"[doc_question] ",CHAR(96),CHAR(34),SUBSTITUTE(SUBSTITUTE(SUBSTITUTE(SUBSTITUTE(SUBSTITUTE(SUBSTITUTE($E626,CHAR(13)," "),CHAR(10)," "),CHAR(9)," "),CHAR(92),_xlfn.CONCAT(CHAR(92),CHAR(92))),"$",_xlfn.CONCAT(CHAR(92),"$")),CHAR(96),_xlfn.CONCAT(CHAR(92),CHAR(96))),CHAR(34),CHAR(39))))</f>
        <v/>
      </c>
      <c r="P626" s="5" t="str">
        <f>IF(OR(TRIM($B626)="",$F626=""),"",IF(OR(ISNUMBER(SEARCH(_xlfn.CONCAT(CHAR(96),CHAR(34)),$F626)),ISNUMBER(SEARCH(_xlfn.CONCAT(CHAR(34),CHAR(39)),$F626))),_xlfn.CONCAT("* REVIEW REQUIRED: compound-quote delimiter in Units on Sheet 1 row ",626,"; edit the input before running."),_xlfn.CONCAT("char ",TRIM($B626),"[doc_units] ",CHAR(96),CHAR(34),SUBSTITUTE(SUBSTITUTE(SUBSTITUTE(SUBSTITUTE(SUBSTITUTE(SUBSTITUTE($F626,CHAR(13)," "),CHAR(10)," "),CHAR(9)," "),CHAR(92),_xlfn.CONCAT(CHAR(92),CHAR(92))),"$",_xlfn.CONCAT(CHAR(92),"$")),CHAR(96),_xlfn.CONCAT(CHAR(92),CHAR(96))),CHAR(34),CHAR(39))))</f>
        <v/>
      </c>
      <c r="Q626" s="5" t="str">
        <f>IF(OR(TRIM($B626)="",$G626=""),"",IF(OR(ISNUMBER(SEARCH(_xlfn.CONCAT(CHAR(96),CHAR(34)),$G626)),ISNUMBER(SEARCH(_xlfn.CONCAT(CHAR(34),CHAR(39)),$G626))),_xlfn.CONCAT("* REVIEW REQUIRED: compound-quote delimiter in Universe on Sheet 1 row ",626,"; edit the input before running."),_xlfn.CONCAT("char ",TRIM($B626),"[doc_universe] ",CHAR(96),CHAR(34),SUBSTITUTE(SUBSTITUTE(SUBSTITUTE(SUBSTITUTE(SUBSTITUTE(SUBSTITUTE($G626,CHAR(13)," "),CHAR(10)," "),CHAR(9)," "),CHAR(92),_xlfn.CONCAT(CHAR(92),CHAR(92))),"$",_xlfn.CONCAT(CHAR(92),"$")),CHAR(96),_xlfn.CONCAT(CHAR(92),CHAR(96))),CHAR(34),CHAR(39))))</f>
        <v/>
      </c>
      <c r="R626" s="5" t="str">
        <f>IF(OR(TRIM($B626)="",$H626=""),"",IF(OR(ISNUMBER(SEARCH(_xlfn.CONCAT(CHAR(96),CHAR(34)),$H626)),ISNUMBER(SEARCH(_xlfn.CONCAT(CHAR(34),CHAR(39)),$H626))),_xlfn.CONCAT("* REVIEW REQUIRED: compound-quote delimiter in Source on Sheet 1 row ",626,"; edit the input before running."),_xlfn.CONCAT("char ",TRIM($B626),"[doc_source] ",CHAR(96),CHAR(34),SUBSTITUTE(SUBSTITUTE(SUBSTITUTE(SUBSTITUTE(SUBSTITUTE(SUBSTITUTE($H626,CHAR(13)," "),CHAR(10)," "),CHAR(9)," "),CHAR(92),_xlfn.CONCAT(CHAR(92),CHAR(92))),"$",_xlfn.CONCAT(CHAR(92),"$")),CHAR(96),_xlfn.CONCAT(CHAR(92),CHAR(96))),CHAR(34),CHAR(39))))</f>
        <v/>
      </c>
      <c r="S626" s="5" t="str">
        <f>IF(OR(TRIM($B626)="",$I626=""),"",IF(OR(ISNUMBER(SEARCH(_xlfn.CONCAT(CHAR(96),CHAR(34)),$I626)),ISNUMBER(SEARCH(_xlfn.CONCAT(CHAR(34),CHAR(39)),$I626))),_xlfn.CONCAT("* REVIEW REQUIRED: compound-quote delimiter in Derivation on Sheet 1 row ",626,"; edit the input before running."),_xlfn.CONCAT("char ",TRIM($B626),"[doc_derivation] ",CHAR(96),CHAR(34),SUBSTITUTE(SUBSTITUTE(SUBSTITUTE(SUBSTITUTE(SUBSTITUTE(SUBSTITUTE($I626,CHAR(13)," "),CHAR(10)," "),CHAR(9)," "),CHAR(92),_xlfn.CONCAT(CHAR(92),CHAR(92))),"$",_xlfn.CONCAT(CHAR(92),"$")),CHAR(96),_xlfn.CONCAT(CHAR(92),CHAR(96))),CHAR(34),CHAR(39))))</f>
        <v/>
      </c>
      <c r="T626" s="5" t="str">
        <f>IF(OR(TRIM($B626)="",$J626=""),"",IF(OR(ISNUMBER(SEARCH(_xlfn.CONCAT(CHAR(96),CHAR(34)),$J626)),ISNUMBER(SEARCH(_xlfn.CONCAT(CHAR(34),CHAR(39)),$J626))),_xlfn.CONCAT("* REVIEW REQUIRED: compound-quote delimiter in Notes on Sheet 1 row ",626,"; edit the input before running."),_xlfn.CONCAT("char ",TRIM($B626),"[doc_notes] ",CHAR(96),CHAR(34),SUBSTITUTE(SUBSTITUTE(SUBSTITUTE(SUBSTITUTE(SUBSTITUTE(SUBSTITUTE($J626,CHAR(13)," "),CHAR(10)," "),CHAR(9)," "),CHAR(92),_xlfn.CONCAT(CHAR(92),CHAR(92))),"$",_xlfn.CONCAT(CHAR(92),"$")),CHAR(96),_xlfn.CONCAT(CHAR(92),CHAR(96))),CHAR(34),CHAR(39))))</f>
        <v/>
      </c>
      <c r="U626" s="5">
        <f t="shared" si="19"/>
        <v>0</v>
      </c>
    </row>
    <row r="627" spans="3:21" ht="30" customHeight="1" x14ac:dyDescent="0.2">
      <c r="C627" s="4"/>
      <c r="K627" s="5">
        <f t="shared" si="18"/>
        <v>0</v>
      </c>
      <c r="L627" s="5" t="str">
        <f>IF(OR(TRIM($B627)="",$A627=""),"",IF(OR(ISNUMBER(SEARCH(_xlfn.CONCAT(CHAR(96),CHAR(34)),$A627)),ISNUMBER(SEARCH(_xlfn.CONCAT(CHAR(34),CHAR(39)),$A627))),_xlfn.CONCAT("* REVIEW REQUIRED: compound-quote delimiter in Codebook Section on Sheet 1 row ",627,"; edit the input before running."),_xlfn.CONCAT("char ",TRIM($B627),"[doc_section] ",CHAR(96),CHAR(34),SUBSTITUTE(SUBSTITUTE(SUBSTITUTE(SUBSTITUTE(SUBSTITUTE(SUBSTITUTE($A627,CHAR(13)," "),CHAR(10)," "),CHAR(9)," "),CHAR(92),_xlfn.CONCAT(CHAR(92),CHAR(92))),"$",_xlfn.CONCAT(CHAR(92),"$")),CHAR(96),_xlfn.CONCAT(CHAR(92),CHAR(96))),CHAR(34),CHAR(39))))</f>
        <v/>
      </c>
      <c r="M627" s="5" t="str">
        <f>IF(OR(TRIM($B627)="",$C627=""),"",IF(IFERROR(MATCH(TRIM($C627),{"Quantitative","Continuous","Discrete","Categorical","Nominal","Ordinal","Identifier"},0),0)=0,_xlfn.CONCAT("* REVIEW REQUIRED: invalid Variable Type on Sheet 1 row ",627,"."),_xlfn.CONCAT("char ",TRIM($B627),"[doc_vartype] ",CHAR(96),CHAR(34),SUBSTITUTE(SUBSTITUTE(SUBSTITUTE(SUBSTITUTE(SUBSTITUTE(SUBSTITUTE(LOWER(TRIM($C627)),CHAR(13)," "),CHAR(10)," "),CHAR(9)," "),CHAR(92),_xlfn.CONCAT(CHAR(92),CHAR(92))),"$",_xlfn.CONCAT(CHAR(92),"$")),CHAR(96),_xlfn.CONCAT(CHAR(92),CHAR(96))),CHAR(34),CHAR(39))))</f>
        <v/>
      </c>
      <c r="N627" s="5" t="str">
        <f>IF(OR(TRIM($B627)="",$D627=""),"",IF(OR(ISNUMBER(SEARCH(_xlfn.CONCAT(CHAR(96),CHAR(34)),$D627)),ISNUMBER(SEARCH(_xlfn.CONCAT(CHAR(34),CHAR(39)),$D627))),_xlfn.CONCAT("* REVIEW REQUIRED: compound-quote delimiter in Item Number on Sheet 1 row ",627,"; edit the input before running."),_xlfn.CONCAT("char ",TRIM($B627),"[doc_itemnum] ",CHAR(96),CHAR(34),SUBSTITUTE(SUBSTITUTE(SUBSTITUTE(SUBSTITUTE(SUBSTITUTE(SUBSTITUTE($D627,CHAR(13)," "),CHAR(10)," "),CHAR(9)," "),CHAR(92),_xlfn.CONCAT(CHAR(92),CHAR(92))),"$",_xlfn.CONCAT(CHAR(92),"$")),CHAR(96),_xlfn.CONCAT(CHAR(92),CHAR(96))),CHAR(34),CHAR(39))))</f>
        <v/>
      </c>
      <c r="O627" s="5" t="str">
        <f>IF(OR(TRIM($B627)="",$E627=""),"",IF(OR(ISNUMBER(SEARCH(_xlfn.CONCAT(CHAR(96),CHAR(34)),$E627)),ISNUMBER(SEARCH(_xlfn.CONCAT(CHAR(34),CHAR(39)),$E627))),_xlfn.CONCAT("* REVIEW REQUIRED: compound-quote delimiter in Question Wording on Sheet 1 row ",627,"; edit the input before running."),_xlfn.CONCAT("char ",TRIM($B627),"[doc_question] ",CHAR(96),CHAR(34),SUBSTITUTE(SUBSTITUTE(SUBSTITUTE(SUBSTITUTE(SUBSTITUTE(SUBSTITUTE($E627,CHAR(13)," "),CHAR(10)," "),CHAR(9)," "),CHAR(92),_xlfn.CONCAT(CHAR(92),CHAR(92))),"$",_xlfn.CONCAT(CHAR(92),"$")),CHAR(96),_xlfn.CONCAT(CHAR(92),CHAR(96))),CHAR(34),CHAR(39))))</f>
        <v/>
      </c>
      <c r="P627" s="5" t="str">
        <f>IF(OR(TRIM($B627)="",$F627=""),"",IF(OR(ISNUMBER(SEARCH(_xlfn.CONCAT(CHAR(96),CHAR(34)),$F627)),ISNUMBER(SEARCH(_xlfn.CONCAT(CHAR(34),CHAR(39)),$F627))),_xlfn.CONCAT("* REVIEW REQUIRED: compound-quote delimiter in Units on Sheet 1 row ",627,"; edit the input before running."),_xlfn.CONCAT("char ",TRIM($B627),"[doc_units] ",CHAR(96),CHAR(34),SUBSTITUTE(SUBSTITUTE(SUBSTITUTE(SUBSTITUTE(SUBSTITUTE(SUBSTITUTE($F627,CHAR(13)," "),CHAR(10)," "),CHAR(9)," "),CHAR(92),_xlfn.CONCAT(CHAR(92),CHAR(92))),"$",_xlfn.CONCAT(CHAR(92),"$")),CHAR(96),_xlfn.CONCAT(CHAR(92),CHAR(96))),CHAR(34),CHAR(39))))</f>
        <v/>
      </c>
      <c r="Q627" s="5" t="str">
        <f>IF(OR(TRIM($B627)="",$G627=""),"",IF(OR(ISNUMBER(SEARCH(_xlfn.CONCAT(CHAR(96),CHAR(34)),$G627)),ISNUMBER(SEARCH(_xlfn.CONCAT(CHAR(34),CHAR(39)),$G627))),_xlfn.CONCAT("* REVIEW REQUIRED: compound-quote delimiter in Universe on Sheet 1 row ",627,"; edit the input before running."),_xlfn.CONCAT("char ",TRIM($B627),"[doc_universe] ",CHAR(96),CHAR(34),SUBSTITUTE(SUBSTITUTE(SUBSTITUTE(SUBSTITUTE(SUBSTITUTE(SUBSTITUTE($G627,CHAR(13)," "),CHAR(10)," "),CHAR(9)," "),CHAR(92),_xlfn.CONCAT(CHAR(92),CHAR(92))),"$",_xlfn.CONCAT(CHAR(92),"$")),CHAR(96),_xlfn.CONCAT(CHAR(92),CHAR(96))),CHAR(34),CHAR(39))))</f>
        <v/>
      </c>
      <c r="R627" s="5" t="str">
        <f>IF(OR(TRIM($B627)="",$H627=""),"",IF(OR(ISNUMBER(SEARCH(_xlfn.CONCAT(CHAR(96),CHAR(34)),$H627)),ISNUMBER(SEARCH(_xlfn.CONCAT(CHAR(34),CHAR(39)),$H627))),_xlfn.CONCAT("* REVIEW REQUIRED: compound-quote delimiter in Source on Sheet 1 row ",627,"; edit the input before running."),_xlfn.CONCAT("char ",TRIM($B627),"[doc_source] ",CHAR(96),CHAR(34),SUBSTITUTE(SUBSTITUTE(SUBSTITUTE(SUBSTITUTE(SUBSTITUTE(SUBSTITUTE($H627,CHAR(13)," "),CHAR(10)," "),CHAR(9)," "),CHAR(92),_xlfn.CONCAT(CHAR(92),CHAR(92))),"$",_xlfn.CONCAT(CHAR(92),"$")),CHAR(96),_xlfn.CONCAT(CHAR(92),CHAR(96))),CHAR(34),CHAR(39))))</f>
        <v/>
      </c>
      <c r="S627" s="5" t="str">
        <f>IF(OR(TRIM($B627)="",$I627=""),"",IF(OR(ISNUMBER(SEARCH(_xlfn.CONCAT(CHAR(96),CHAR(34)),$I627)),ISNUMBER(SEARCH(_xlfn.CONCAT(CHAR(34),CHAR(39)),$I627))),_xlfn.CONCAT("* REVIEW REQUIRED: compound-quote delimiter in Derivation on Sheet 1 row ",627,"; edit the input before running."),_xlfn.CONCAT("char ",TRIM($B627),"[doc_derivation] ",CHAR(96),CHAR(34),SUBSTITUTE(SUBSTITUTE(SUBSTITUTE(SUBSTITUTE(SUBSTITUTE(SUBSTITUTE($I627,CHAR(13)," "),CHAR(10)," "),CHAR(9)," "),CHAR(92),_xlfn.CONCAT(CHAR(92),CHAR(92))),"$",_xlfn.CONCAT(CHAR(92),"$")),CHAR(96),_xlfn.CONCAT(CHAR(92),CHAR(96))),CHAR(34),CHAR(39))))</f>
        <v/>
      </c>
      <c r="T627" s="5" t="str">
        <f>IF(OR(TRIM($B627)="",$J627=""),"",IF(OR(ISNUMBER(SEARCH(_xlfn.CONCAT(CHAR(96),CHAR(34)),$J627)),ISNUMBER(SEARCH(_xlfn.CONCAT(CHAR(34),CHAR(39)),$J627))),_xlfn.CONCAT("* REVIEW REQUIRED: compound-quote delimiter in Notes on Sheet 1 row ",627,"; edit the input before running."),_xlfn.CONCAT("char ",TRIM($B627),"[doc_notes] ",CHAR(96),CHAR(34),SUBSTITUTE(SUBSTITUTE(SUBSTITUTE(SUBSTITUTE(SUBSTITUTE(SUBSTITUTE($J627,CHAR(13)," "),CHAR(10)," "),CHAR(9)," "),CHAR(92),_xlfn.CONCAT(CHAR(92),CHAR(92))),"$",_xlfn.CONCAT(CHAR(92),"$")),CHAR(96),_xlfn.CONCAT(CHAR(92),CHAR(96))),CHAR(34),CHAR(39))))</f>
        <v/>
      </c>
      <c r="U627" s="5">
        <f t="shared" si="19"/>
        <v>0</v>
      </c>
    </row>
    <row r="628" spans="3:21" ht="30" customHeight="1" x14ac:dyDescent="0.2">
      <c r="C628" s="4"/>
      <c r="K628" s="5">
        <f t="shared" si="18"/>
        <v>0</v>
      </c>
      <c r="L628" s="5" t="str">
        <f>IF(OR(TRIM($B628)="",$A628=""),"",IF(OR(ISNUMBER(SEARCH(_xlfn.CONCAT(CHAR(96),CHAR(34)),$A628)),ISNUMBER(SEARCH(_xlfn.CONCAT(CHAR(34),CHAR(39)),$A628))),_xlfn.CONCAT("* REVIEW REQUIRED: compound-quote delimiter in Codebook Section on Sheet 1 row ",628,"; edit the input before running."),_xlfn.CONCAT("char ",TRIM($B628),"[doc_section] ",CHAR(96),CHAR(34),SUBSTITUTE(SUBSTITUTE(SUBSTITUTE(SUBSTITUTE(SUBSTITUTE(SUBSTITUTE($A628,CHAR(13)," "),CHAR(10)," "),CHAR(9)," "),CHAR(92),_xlfn.CONCAT(CHAR(92),CHAR(92))),"$",_xlfn.CONCAT(CHAR(92),"$")),CHAR(96),_xlfn.CONCAT(CHAR(92),CHAR(96))),CHAR(34),CHAR(39))))</f>
        <v/>
      </c>
      <c r="M628" s="5" t="str">
        <f>IF(OR(TRIM($B628)="",$C628=""),"",IF(IFERROR(MATCH(TRIM($C628),{"Quantitative","Continuous","Discrete","Categorical","Nominal","Ordinal","Identifier"},0),0)=0,_xlfn.CONCAT("* REVIEW REQUIRED: invalid Variable Type on Sheet 1 row ",628,"."),_xlfn.CONCAT("char ",TRIM($B628),"[doc_vartype] ",CHAR(96),CHAR(34),SUBSTITUTE(SUBSTITUTE(SUBSTITUTE(SUBSTITUTE(SUBSTITUTE(SUBSTITUTE(LOWER(TRIM($C628)),CHAR(13)," "),CHAR(10)," "),CHAR(9)," "),CHAR(92),_xlfn.CONCAT(CHAR(92),CHAR(92))),"$",_xlfn.CONCAT(CHAR(92),"$")),CHAR(96),_xlfn.CONCAT(CHAR(92),CHAR(96))),CHAR(34),CHAR(39))))</f>
        <v/>
      </c>
      <c r="N628" s="5" t="str">
        <f>IF(OR(TRIM($B628)="",$D628=""),"",IF(OR(ISNUMBER(SEARCH(_xlfn.CONCAT(CHAR(96),CHAR(34)),$D628)),ISNUMBER(SEARCH(_xlfn.CONCAT(CHAR(34),CHAR(39)),$D628))),_xlfn.CONCAT("* REVIEW REQUIRED: compound-quote delimiter in Item Number on Sheet 1 row ",628,"; edit the input before running."),_xlfn.CONCAT("char ",TRIM($B628),"[doc_itemnum] ",CHAR(96),CHAR(34),SUBSTITUTE(SUBSTITUTE(SUBSTITUTE(SUBSTITUTE(SUBSTITUTE(SUBSTITUTE($D628,CHAR(13)," "),CHAR(10)," "),CHAR(9)," "),CHAR(92),_xlfn.CONCAT(CHAR(92),CHAR(92))),"$",_xlfn.CONCAT(CHAR(92),"$")),CHAR(96),_xlfn.CONCAT(CHAR(92),CHAR(96))),CHAR(34),CHAR(39))))</f>
        <v/>
      </c>
      <c r="O628" s="5" t="str">
        <f>IF(OR(TRIM($B628)="",$E628=""),"",IF(OR(ISNUMBER(SEARCH(_xlfn.CONCAT(CHAR(96),CHAR(34)),$E628)),ISNUMBER(SEARCH(_xlfn.CONCAT(CHAR(34),CHAR(39)),$E628))),_xlfn.CONCAT("* REVIEW REQUIRED: compound-quote delimiter in Question Wording on Sheet 1 row ",628,"; edit the input before running."),_xlfn.CONCAT("char ",TRIM($B628),"[doc_question] ",CHAR(96),CHAR(34),SUBSTITUTE(SUBSTITUTE(SUBSTITUTE(SUBSTITUTE(SUBSTITUTE(SUBSTITUTE($E628,CHAR(13)," "),CHAR(10)," "),CHAR(9)," "),CHAR(92),_xlfn.CONCAT(CHAR(92),CHAR(92))),"$",_xlfn.CONCAT(CHAR(92),"$")),CHAR(96),_xlfn.CONCAT(CHAR(92),CHAR(96))),CHAR(34),CHAR(39))))</f>
        <v/>
      </c>
      <c r="P628" s="5" t="str">
        <f>IF(OR(TRIM($B628)="",$F628=""),"",IF(OR(ISNUMBER(SEARCH(_xlfn.CONCAT(CHAR(96),CHAR(34)),$F628)),ISNUMBER(SEARCH(_xlfn.CONCAT(CHAR(34),CHAR(39)),$F628))),_xlfn.CONCAT("* REVIEW REQUIRED: compound-quote delimiter in Units on Sheet 1 row ",628,"; edit the input before running."),_xlfn.CONCAT("char ",TRIM($B628),"[doc_units] ",CHAR(96),CHAR(34),SUBSTITUTE(SUBSTITUTE(SUBSTITUTE(SUBSTITUTE(SUBSTITUTE(SUBSTITUTE($F628,CHAR(13)," "),CHAR(10)," "),CHAR(9)," "),CHAR(92),_xlfn.CONCAT(CHAR(92),CHAR(92))),"$",_xlfn.CONCAT(CHAR(92),"$")),CHAR(96),_xlfn.CONCAT(CHAR(92),CHAR(96))),CHAR(34),CHAR(39))))</f>
        <v/>
      </c>
      <c r="Q628" s="5" t="str">
        <f>IF(OR(TRIM($B628)="",$G628=""),"",IF(OR(ISNUMBER(SEARCH(_xlfn.CONCAT(CHAR(96),CHAR(34)),$G628)),ISNUMBER(SEARCH(_xlfn.CONCAT(CHAR(34),CHAR(39)),$G628))),_xlfn.CONCAT("* REVIEW REQUIRED: compound-quote delimiter in Universe on Sheet 1 row ",628,"; edit the input before running."),_xlfn.CONCAT("char ",TRIM($B628),"[doc_universe] ",CHAR(96),CHAR(34),SUBSTITUTE(SUBSTITUTE(SUBSTITUTE(SUBSTITUTE(SUBSTITUTE(SUBSTITUTE($G628,CHAR(13)," "),CHAR(10)," "),CHAR(9)," "),CHAR(92),_xlfn.CONCAT(CHAR(92),CHAR(92))),"$",_xlfn.CONCAT(CHAR(92),"$")),CHAR(96),_xlfn.CONCAT(CHAR(92),CHAR(96))),CHAR(34),CHAR(39))))</f>
        <v/>
      </c>
      <c r="R628" s="5" t="str">
        <f>IF(OR(TRIM($B628)="",$H628=""),"",IF(OR(ISNUMBER(SEARCH(_xlfn.CONCAT(CHAR(96),CHAR(34)),$H628)),ISNUMBER(SEARCH(_xlfn.CONCAT(CHAR(34),CHAR(39)),$H628))),_xlfn.CONCAT("* REVIEW REQUIRED: compound-quote delimiter in Source on Sheet 1 row ",628,"; edit the input before running."),_xlfn.CONCAT("char ",TRIM($B628),"[doc_source] ",CHAR(96),CHAR(34),SUBSTITUTE(SUBSTITUTE(SUBSTITUTE(SUBSTITUTE(SUBSTITUTE(SUBSTITUTE($H628,CHAR(13)," "),CHAR(10)," "),CHAR(9)," "),CHAR(92),_xlfn.CONCAT(CHAR(92),CHAR(92))),"$",_xlfn.CONCAT(CHAR(92),"$")),CHAR(96),_xlfn.CONCAT(CHAR(92),CHAR(96))),CHAR(34),CHAR(39))))</f>
        <v/>
      </c>
      <c r="S628" s="5" t="str">
        <f>IF(OR(TRIM($B628)="",$I628=""),"",IF(OR(ISNUMBER(SEARCH(_xlfn.CONCAT(CHAR(96),CHAR(34)),$I628)),ISNUMBER(SEARCH(_xlfn.CONCAT(CHAR(34),CHAR(39)),$I628))),_xlfn.CONCAT("* REVIEW REQUIRED: compound-quote delimiter in Derivation on Sheet 1 row ",628,"; edit the input before running."),_xlfn.CONCAT("char ",TRIM($B628),"[doc_derivation] ",CHAR(96),CHAR(34),SUBSTITUTE(SUBSTITUTE(SUBSTITUTE(SUBSTITUTE(SUBSTITUTE(SUBSTITUTE($I628,CHAR(13)," "),CHAR(10)," "),CHAR(9)," "),CHAR(92),_xlfn.CONCAT(CHAR(92),CHAR(92))),"$",_xlfn.CONCAT(CHAR(92),"$")),CHAR(96),_xlfn.CONCAT(CHAR(92),CHAR(96))),CHAR(34),CHAR(39))))</f>
        <v/>
      </c>
      <c r="T628" s="5" t="str">
        <f>IF(OR(TRIM($B628)="",$J628=""),"",IF(OR(ISNUMBER(SEARCH(_xlfn.CONCAT(CHAR(96),CHAR(34)),$J628)),ISNUMBER(SEARCH(_xlfn.CONCAT(CHAR(34),CHAR(39)),$J628))),_xlfn.CONCAT("* REVIEW REQUIRED: compound-quote delimiter in Notes on Sheet 1 row ",628,"; edit the input before running."),_xlfn.CONCAT("char ",TRIM($B628),"[doc_notes] ",CHAR(96),CHAR(34),SUBSTITUTE(SUBSTITUTE(SUBSTITUTE(SUBSTITUTE(SUBSTITUTE(SUBSTITUTE($J628,CHAR(13)," "),CHAR(10)," "),CHAR(9)," "),CHAR(92),_xlfn.CONCAT(CHAR(92),CHAR(92))),"$",_xlfn.CONCAT(CHAR(92),"$")),CHAR(96),_xlfn.CONCAT(CHAR(92),CHAR(96))),CHAR(34),CHAR(39))))</f>
        <v/>
      </c>
      <c r="U628" s="5">
        <f t="shared" si="19"/>
        <v>0</v>
      </c>
    </row>
    <row r="629" spans="3:21" ht="30" customHeight="1" x14ac:dyDescent="0.2">
      <c r="C629" s="4"/>
      <c r="K629" s="5">
        <f t="shared" si="18"/>
        <v>0</v>
      </c>
      <c r="L629" s="5" t="str">
        <f>IF(OR(TRIM($B629)="",$A629=""),"",IF(OR(ISNUMBER(SEARCH(_xlfn.CONCAT(CHAR(96),CHAR(34)),$A629)),ISNUMBER(SEARCH(_xlfn.CONCAT(CHAR(34),CHAR(39)),$A629))),_xlfn.CONCAT("* REVIEW REQUIRED: compound-quote delimiter in Codebook Section on Sheet 1 row ",629,"; edit the input before running."),_xlfn.CONCAT("char ",TRIM($B629),"[doc_section] ",CHAR(96),CHAR(34),SUBSTITUTE(SUBSTITUTE(SUBSTITUTE(SUBSTITUTE(SUBSTITUTE(SUBSTITUTE($A629,CHAR(13)," "),CHAR(10)," "),CHAR(9)," "),CHAR(92),_xlfn.CONCAT(CHAR(92),CHAR(92))),"$",_xlfn.CONCAT(CHAR(92),"$")),CHAR(96),_xlfn.CONCAT(CHAR(92),CHAR(96))),CHAR(34),CHAR(39))))</f>
        <v/>
      </c>
      <c r="M629" s="5" t="str">
        <f>IF(OR(TRIM($B629)="",$C629=""),"",IF(IFERROR(MATCH(TRIM($C629),{"Quantitative","Continuous","Discrete","Categorical","Nominal","Ordinal","Identifier"},0),0)=0,_xlfn.CONCAT("* REVIEW REQUIRED: invalid Variable Type on Sheet 1 row ",629,"."),_xlfn.CONCAT("char ",TRIM($B629),"[doc_vartype] ",CHAR(96),CHAR(34),SUBSTITUTE(SUBSTITUTE(SUBSTITUTE(SUBSTITUTE(SUBSTITUTE(SUBSTITUTE(LOWER(TRIM($C629)),CHAR(13)," "),CHAR(10)," "),CHAR(9)," "),CHAR(92),_xlfn.CONCAT(CHAR(92),CHAR(92))),"$",_xlfn.CONCAT(CHAR(92),"$")),CHAR(96),_xlfn.CONCAT(CHAR(92),CHAR(96))),CHAR(34),CHAR(39))))</f>
        <v/>
      </c>
      <c r="N629" s="5" t="str">
        <f>IF(OR(TRIM($B629)="",$D629=""),"",IF(OR(ISNUMBER(SEARCH(_xlfn.CONCAT(CHAR(96),CHAR(34)),$D629)),ISNUMBER(SEARCH(_xlfn.CONCAT(CHAR(34),CHAR(39)),$D629))),_xlfn.CONCAT("* REVIEW REQUIRED: compound-quote delimiter in Item Number on Sheet 1 row ",629,"; edit the input before running."),_xlfn.CONCAT("char ",TRIM($B629),"[doc_itemnum] ",CHAR(96),CHAR(34),SUBSTITUTE(SUBSTITUTE(SUBSTITUTE(SUBSTITUTE(SUBSTITUTE(SUBSTITUTE($D629,CHAR(13)," "),CHAR(10)," "),CHAR(9)," "),CHAR(92),_xlfn.CONCAT(CHAR(92),CHAR(92))),"$",_xlfn.CONCAT(CHAR(92),"$")),CHAR(96),_xlfn.CONCAT(CHAR(92),CHAR(96))),CHAR(34),CHAR(39))))</f>
        <v/>
      </c>
      <c r="O629" s="5" t="str">
        <f>IF(OR(TRIM($B629)="",$E629=""),"",IF(OR(ISNUMBER(SEARCH(_xlfn.CONCAT(CHAR(96),CHAR(34)),$E629)),ISNUMBER(SEARCH(_xlfn.CONCAT(CHAR(34),CHAR(39)),$E629))),_xlfn.CONCAT("* REVIEW REQUIRED: compound-quote delimiter in Question Wording on Sheet 1 row ",629,"; edit the input before running."),_xlfn.CONCAT("char ",TRIM($B629),"[doc_question] ",CHAR(96),CHAR(34),SUBSTITUTE(SUBSTITUTE(SUBSTITUTE(SUBSTITUTE(SUBSTITUTE(SUBSTITUTE($E629,CHAR(13)," "),CHAR(10)," "),CHAR(9)," "),CHAR(92),_xlfn.CONCAT(CHAR(92),CHAR(92))),"$",_xlfn.CONCAT(CHAR(92),"$")),CHAR(96),_xlfn.CONCAT(CHAR(92),CHAR(96))),CHAR(34),CHAR(39))))</f>
        <v/>
      </c>
      <c r="P629" s="5" t="str">
        <f>IF(OR(TRIM($B629)="",$F629=""),"",IF(OR(ISNUMBER(SEARCH(_xlfn.CONCAT(CHAR(96),CHAR(34)),$F629)),ISNUMBER(SEARCH(_xlfn.CONCAT(CHAR(34),CHAR(39)),$F629))),_xlfn.CONCAT("* REVIEW REQUIRED: compound-quote delimiter in Units on Sheet 1 row ",629,"; edit the input before running."),_xlfn.CONCAT("char ",TRIM($B629),"[doc_units] ",CHAR(96),CHAR(34),SUBSTITUTE(SUBSTITUTE(SUBSTITUTE(SUBSTITUTE(SUBSTITUTE(SUBSTITUTE($F629,CHAR(13)," "),CHAR(10)," "),CHAR(9)," "),CHAR(92),_xlfn.CONCAT(CHAR(92),CHAR(92))),"$",_xlfn.CONCAT(CHAR(92),"$")),CHAR(96),_xlfn.CONCAT(CHAR(92),CHAR(96))),CHAR(34),CHAR(39))))</f>
        <v/>
      </c>
      <c r="Q629" s="5" t="str">
        <f>IF(OR(TRIM($B629)="",$G629=""),"",IF(OR(ISNUMBER(SEARCH(_xlfn.CONCAT(CHAR(96),CHAR(34)),$G629)),ISNUMBER(SEARCH(_xlfn.CONCAT(CHAR(34),CHAR(39)),$G629))),_xlfn.CONCAT("* REVIEW REQUIRED: compound-quote delimiter in Universe on Sheet 1 row ",629,"; edit the input before running."),_xlfn.CONCAT("char ",TRIM($B629),"[doc_universe] ",CHAR(96),CHAR(34),SUBSTITUTE(SUBSTITUTE(SUBSTITUTE(SUBSTITUTE(SUBSTITUTE(SUBSTITUTE($G629,CHAR(13)," "),CHAR(10)," "),CHAR(9)," "),CHAR(92),_xlfn.CONCAT(CHAR(92),CHAR(92))),"$",_xlfn.CONCAT(CHAR(92),"$")),CHAR(96),_xlfn.CONCAT(CHAR(92),CHAR(96))),CHAR(34),CHAR(39))))</f>
        <v/>
      </c>
      <c r="R629" s="5" t="str">
        <f>IF(OR(TRIM($B629)="",$H629=""),"",IF(OR(ISNUMBER(SEARCH(_xlfn.CONCAT(CHAR(96),CHAR(34)),$H629)),ISNUMBER(SEARCH(_xlfn.CONCAT(CHAR(34),CHAR(39)),$H629))),_xlfn.CONCAT("* REVIEW REQUIRED: compound-quote delimiter in Source on Sheet 1 row ",629,"; edit the input before running."),_xlfn.CONCAT("char ",TRIM($B629),"[doc_source] ",CHAR(96),CHAR(34),SUBSTITUTE(SUBSTITUTE(SUBSTITUTE(SUBSTITUTE(SUBSTITUTE(SUBSTITUTE($H629,CHAR(13)," "),CHAR(10)," "),CHAR(9)," "),CHAR(92),_xlfn.CONCAT(CHAR(92),CHAR(92))),"$",_xlfn.CONCAT(CHAR(92),"$")),CHAR(96),_xlfn.CONCAT(CHAR(92),CHAR(96))),CHAR(34),CHAR(39))))</f>
        <v/>
      </c>
      <c r="S629" s="5" t="str">
        <f>IF(OR(TRIM($B629)="",$I629=""),"",IF(OR(ISNUMBER(SEARCH(_xlfn.CONCAT(CHAR(96),CHAR(34)),$I629)),ISNUMBER(SEARCH(_xlfn.CONCAT(CHAR(34),CHAR(39)),$I629))),_xlfn.CONCAT("* REVIEW REQUIRED: compound-quote delimiter in Derivation on Sheet 1 row ",629,"; edit the input before running."),_xlfn.CONCAT("char ",TRIM($B629),"[doc_derivation] ",CHAR(96),CHAR(34),SUBSTITUTE(SUBSTITUTE(SUBSTITUTE(SUBSTITUTE(SUBSTITUTE(SUBSTITUTE($I629,CHAR(13)," "),CHAR(10)," "),CHAR(9)," "),CHAR(92),_xlfn.CONCAT(CHAR(92),CHAR(92))),"$",_xlfn.CONCAT(CHAR(92),"$")),CHAR(96),_xlfn.CONCAT(CHAR(92),CHAR(96))),CHAR(34),CHAR(39))))</f>
        <v/>
      </c>
      <c r="T629" s="5" t="str">
        <f>IF(OR(TRIM($B629)="",$J629=""),"",IF(OR(ISNUMBER(SEARCH(_xlfn.CONCAT(CHAR(96),CHAR(34)),$J629)),ISNUMBER(SEARCH(_xlfn.CONCAT(CHAR(34),CHAR(39)),$J629))),_xlfn.CONCAT("* REVIEW REQUIRED: compound-quote delimiter in Notes on Sheet 1 row ",629,"; edit the input before running."),_xlfn.CONCAT("char ",TRIM($B629),"[doc_notes] ",CHAR(96),CHAR(34),SUBSTITUTE(SUBSTITUTE(SUBSTITUTE(SUBSTITUTE(SUBSTITUTE(SUBSTITUTE($J629,CHAR(13)," "),CHAR(10)," "),CHAR(9)," "),CHAR(92),_xlfn.CONCAT(CHAR(92),CHAR(92))),"$",_xlfn.CONCAT(CHAR(92),"$")),CHAR(96),_xlfn.CONCAT(CHAR(92),CHAR(96))),CHAR(34),CHAR(39))))</f>
        <v/>
      </c>
      <c r="U629" s="5">
        <f t="shared" si="19"/>
        <v>0</v>
      </c>
    </row>
    <row r="630" spans="3:21" ht="30" customHeight="1" x14ac:dyDescent="0.2">
      <c r="C630" s="4"/>
      <c r="K630" s="5">
        <f t="shared" si="18"/>
        <v>0</v>
      </c>
      <c r="L630" s="5" t="str">
        <f>IF(OR(TRIM($B630)="",$A630=""),"",IF(OR(ISNUMBER(SEARCH(_xlfn.CONCAT(CHAR(96),CHAR(34)),$A630)),ISNUMBER(SEARCH(_xlfn.CONCAT(CHAR(34),CHAR(39)),$A630))),_xlfn.CONCAT("* REVIEW REQUIRED: compound-quote delimiter in Codebook Section on Sheet 1 row ",630,"; edit the input before running."),_xlfn.CONCAT("char ",TRIM($B630),"[doc_section] ",CHAR(96),CHAR(34),SUBSTITUTE(SUBSTITUTE(SUBSTITUTE(SUBSTITUTE(SUBSTITUTE(SUBSTITUTE($A630,CHAR(13)," "),CHAR(10)," "),CHAR(9)," "),CHAR(92),_xlfn.CONCAT(CHAR(92),CHAR(92))),"$",_xlfn.CONCAT(CHAR(92),"$")),CHAR(96),_xlfn.CONCAT(CHAR(92),CHAR(96))),CHAR(34),CHAR(39))))</f>
        <v/>
      </c>
      <c r="M630" s="5" t="str">
        <f>IF(OR(TRIM($B630)="",$C630=""),"",IF(IFERROR(MATCH(TRIM($C630),{"Quantitative","Continuous","Discrete","Categorical","Nominal","Ordinal","Identifier"},0),0)=0,_xlfn.CONCAT("* REVIEW REQUIRED: invalid Variable Type on Sheet 1 row ",630,"."),_xlfn.CONCAT("char ",TRIM($B630),"[doc_vartype] ",CHAR(96),CHAR(34),SUBSTITUTE(SUBSTITUTE(SUBSTITUTE(SUBSTITUTE(SUBSTITUTE(SUBSTITUTE(LOWER(TRIM($C630)),CHAR(13)," "),CHAR(10)," "),CHAR(9)," "),CHAR(92),_xlfn.CONCAT(CHAR(92),CHAR(92))),"$",_xlfn.CONCAT(CHAR(92),"$")),CHAR(96),_xlfn.CONCAT(CHAR(92),CHAR(96))),CHAR(34),CHAR(39))))</f>
        <v/>
      </c>
      <c r="N630" s="5" t="str">
        <f>IF(OR(TRIM($B630)="",$D630=""),"",IF(OR(ISNUMBER(SEARCH(_xlfn.CONCAT(CHAR(96),CHAR(34)),$D630)),ISNUMBER(SEARCH(_xlfn.CONCAT(CHAR(34),CHAR(39)),$D630))),_xlfn.CONCAT("* REVIEW REQUIRED: compound-quote delimiter in Item Number on Sheet 1 row ",630,"; edit the input before running."),_xlfn.CONCAT("char ",TRIM($B630),"[doc_itemnum] ",CHAR(96),CHAR(34),SUBSTITUTE(SUBSTITUTE(SUBSTITUTE(SUBSTITUTE(SUBSTITUTE(SUBSTITUTE($D630,CHAR(13)," "),CHAR(10)," "),CHAR(9)," "),CHAR(92),_xlfn.CONCAT(CHAR(92),CHAR(92))),"$",_xlfn.CONCAT(CHAR(92),"$")),CHAR(96),_xlfn.CONCAT(CHAR(92),CHAR(96))),CHAR(34),CHAR(39))))</f>
        <v/>
      </c>
      <c r="O630" s="5" t="str">
        <f>IF(OR(TRIM($B630)="",$E630=""),"",IF(OR(ISNUMBER(SEARCH(_xlfn.CONCAT(CHAR(96),CHAR(34)),$E630)),ISNUMBER(SEARCH(_xlfn.CONCAT(CHAR(34),CHAR(39)),$E630))),_xlfn.CONCAT("* REVIEW REQUIRED: compound-quote delimiter in Question Wording on Sheet 1 row ",630,"; edit the input before running."),_xlfn.CONCAT("char ",TRIM($B630),"[doc_question] ",CHAR(96),CHAR(34),SUBSTITUTE(SUBSTITUTE(SUBSTITUTE(SUBSTITUTE(SUBSTITUTE(SUBSTITUTE($E630,CHAR(13)," "),CHAR(10)," "),CHAR(9)," "),CHAR(92),_xlfn.CONCAT(CHAR(92),CHAR(92))),"$",_xlfn.CONCAT(CHAR(92),"$")),CHAR(96),_xlfn.CONCAT(CHAR(92),CHAR(96))),CHAR(34),CHAR(39))))</f>
        <v/>
      </c>
      <c r="P630" s="5" t="str">
        <f>IF(OR(TRIM($B630)="",$F630=""),"",IF(OR(ISNUMBER(SEARCH(_xlfn.CONCAT(CHAR(96),CHAR(34)),$F630)),ISNUMBER(SEARCH(_xlfn.CONCAT(CHAR(34),CHAR(39)),$F630))),_xlfn.CONCAT("* REVIEW REQUIRED: compound-quote delimiter in Units on Sheet 1 row ",630,"; edit the input before running."),_xlfn.CONCAT("char ",TRIM($B630),"[doc_units] ",CHAR(96),CHAR(34),SUBSTITUTE(SUBSTITUTE(SUBSTITUTE(SUBSTITUTE(SUBSTITUTE(SUBSTITUTE($F630,CHAR(13)," "),CHAR(10)," "),CHAR(9)," "),CHAR(92),_xlfn.CONCAT(CHAR(92),CHAR(92))),"$",_xlfn.CONCAT(CHAR(92),"$")),CHAR(96),_xlfn.CONCAT(CHAR(92),CHAR(96))),CHAR(34),CHAR(39))))</f>
        <v/>
      </c>
      <c r="Q630" s="5" t="str">
        <f>IF(OR(TRIM($B630)="",$G630=""),"",IF(OR(ISNUMBER(SEARCH(_xlfn.CONCAT(CHAR(96),CHAR(34)),$G630)),ISNUMBER(SEARCH(_xlfn.CONCAT(CHAR(34),CHAR(39)),$G630))),_xlfn.CONCAT("* REVIEW REQUIRED: compound-quote delimiter in Universe on Sheet 1 row ",630,"; edit the input before running."),_xlfn.CONCAT("char ",TRIM($B630),"[doc_universe] ",CHAR(96),CHAR(34),SUBSTITUTE(SUBSTITUTE(SUBSTITUTE(SUBSTITUTE(SUBSTITUTE(SUBSTITUTE($G630,CHAR(13)," "),CHAR(10)," "),CHAR(9)," "),CHAR(92),_xlfn.CONCAT(CHAR(92),CHAR(92))),"$",_xlfn.CONCAT(CHAR(92),"$")),CHAR(96),_xlfn.CONCAT(CHAR(92),CHAR(96))),CHAR(34),CHAR(39))))</f>
        <v/>
      </c>
      <c r="R630" s="5" t="str">
        <f>IF(OR(TRIM($B630)="",$H630=""),"",IF(OR(ISNUMBER(SEARCH(_xlfn.CONCAT(CHAR(96),CHAR(34)),$H630)),ISNUMBER(SEARCH(_xlfn.CONCAT(CHAR(34),CHAR(39)),$H630))),_xlfn.CONCAT("* REVIEW REQUIRED: compound-quote delimiter in Source on Sheet 1 row ",630,"; edit the input before running."),_xlfn.CONCAT("char ",TRIM($B630),"[doc_source] ",CHAR(96),CHAR(34),SUBSTITUTE(SUBSTITUTE(SUBSTITUTE(SUBSTITUTE(SUBSTITUTE(SUBSTITUTE($H630,CHAR(13)," "),CHAR(10)," "),CHAR(9)," "),CHAR(92),_xlfn.CONCAT(CHAR(92),CHAR(92))),"$",_xlfn.CONCAT(CHAR(92),"$")),CHAR(96),_xlfn.CONCAT(CHAR(92),CHAR(96))),CHAR(34),CHAR(39))))</f>
        <v/>
      </c>
      <c r="S630" s="5" t="str">
        <f>IF(OR(TRIM($B630)="",$I630=""),"",IF(OR(ISNUMBER(SEARCH(_xlfn.CONCAT(CHAR(96),CHAR(34)),$I630)),ISNUMBER(SEARCH(_xlfn.CONCAT(CHAR(34),CHAR(39)),$I630))),_xlfn.CONCAT("* REVIEW REQUIRED: compound-quote delimiter in Derivation on Sheet 1 row ",630,"; edit the input before running."),_xlfn.CONCAT("char ",TRIM($B630),"[doc_derivation] ",CHAR(96),CHAR(34),SUBSTITUTE(SUBSTITUTE(SUBSTITUTE(SUBSTITUTE(SUBSTITUTE(SUBSTITUTE($I630,CHAR(13)," "),CHAR(10)," "),CHAR(9)," "),CHAR(92),_xlfn.CONCAT(CHAR(92),CHAR(92))),"$",_xlfn.CONCAT(CHAR(92),"$")),CHAR(96),_xlfn.CONCAT(CHAR(92),CHAR(96))),CHAR(34),CHAR(39))))</f>
        <v/>
      </c>
      <c r="T630" s="5" t="str">
        <f>IF(OR(TRIM($B630)="",$J630=""),"",IF(OR(ISNUMBER(SEARCH(_xlfn.CONCAT(CHAR(96),CHAR(34)),$J630)),ISNUMBER(SEARCH(_xlfn.CONCAT(CHAR(34),CHAR(39)),$J630))),_xlfn.CONCAT("* REVIEW REQUIRED: compound-quote delimiter in Notes on Sheet 1 row ",630,"; edit the input before running."),_xlfn.CONCAT("char ",TRIM($B630),"[doc_notes] ",CHAR(96),CHAR(34),SUBSTITUTE(SUBSTITUTE(SUBSTITUTE(SUBSTITUTE(SUBSTITUTE(SUBSTITUTE($J630,CHAR(13)," "),CHAR(10)," "),CHAR(9)," "),CHAR(92),_xlfn.CONCAT(CHAR(92),CHAR(92))),"$",_xlfn.CONCAT(CHAR(92),"$")),CHAR(96),_xlfn.CONCAT(CHAR(92),CHAR(96))),CHAR(34),CHAR(39))))</f>
        <v/>
      </c>
      <c r="U630" s="5">
        <f t="shared" si="19"/>
        <v>0</v>
      </c>
    </row>
    <row r="631" spans="3:21" ht="30" customHeight="1" x14ac:dyDescent="0.2">
      <c r="C631" s="4"/>
      <c r="K631" s="5">
        <f t="shared" si="18"/>
        <v>0</v>
      </c>
      <c r="L631" s="5" t="str">
        <f>IF(OR(TRIM($B631)="",$A631=""),"",IF(OR(ISNUMBER(SEARCH(_xlfn.CONCAT(CHAR(96),CHAR(34)),$A631)),ISNUMBER(SEARCH(_xlfn.CONCAT(CHAR(34),CHAR(39)),$A631))),_xlfn.CONCAT("* REVIEW REQUIRED: compound-quote delimiter in Codebook Section on Sheet 1 row ",631,"; edit the input before running."),_xlfn.CONCAT("char ",TRIM($B631),"[doc_section] ",CHAR(96),CHAR(34),SUBSTITUTE(SUBSTITUTE(SUBSTITUTE(SUBSTITUTE(SUBSTITUTE(SUBSTITUTE($A631,CHAR(13)," "),CHAR(10)," "),CHAR(9)," "),CHAR(92),_xlfn.CONCAT(CHAR(92),CHAR(92))),"$",_xlfn.CONCAT(CHAR(92),"$")),CHAR(96),_xlfn.CONCAT(CHAR(92),CHAR(96))),CHAR(34),CHAR(39))))</f>
        <v/>
      </c>
      <c r="M631" s="5" t="str">
        <f>IF(OR(TRIM($B631)="",$C631=""),"",IF(IFERROR(MATCH(TRIM($C631),{"Quantitative","Continuous","Discrete","Categorical","Nominal","Ordinal","Identifier"},0),0)=0,_xlfn.CONCAT("* REVIEW REQUIRED: invalid Variable Type on Sheet 1 row ",631,"."),_xlfn.CONCAT("char ",TRIM($B631),"[doc_vartype] ",CHAR(96),CHAR(34),SUBSTITUTE(SUBSTITUTE(SUBSTITUTE(SUBSTITUTE(SUBSTITUTE(SUBSTITUTE(LOWER(TRIM($C631)),CHAR(13)," "),CHAR(10)," "),CHAR(9)," "),CHAR(92),_xlfn.CONCAT(CHAR(92),CHAR(92))),"$",_xlfn.CONCAT(CHAR(92),"$")),CHAR(96),_xlfn.CONCAT(CHAR(92),CHAR(96))),CHAR(34),CHAR(39))))</f>
        <v/>
      </c>
      <c r="N631" s="5" t="str">
        <f>IF(OR(TRIM($B631)="",$D631=""),"",IF(OR(ISNUMBER(SEARCH(_xlfn.CONCAT(CHAR(96),CHAR(34)),$D631)),ISNUMBER(SEARCH(_xlfn.CONCAT(CHAR(34),CHAR(39)),$D631))),_xlfn.CONCAT("* REVIEW REQUIRED: compound-quote delimiter in Item Number on Sheet 1 row ",631,"; edit the input before running."),_xlfn.CONCAT("char ",TRIM($B631),"[doc_itemnum] ",CHAR(96),CHAR(34),SUBSTITUTE(SUBSTITUTE(SUBSTITUTE(SUBSTITUTE(SUBSTITUTE(SUBSTITUTE($D631,CHAR(13)," "),CHAR(10)," "),CHAR(9)," "),CHAR(92),_xlfn.CONCAT(CHAR(92),CHAR(92))),"$",_xlfn.CONCAT(CHAR(92),"$")),CHAR(96),_xlfn.CONCAT(CHAR(92),CHAR(96))),CHAR(34),CHAR(39))))</f>
        <v/>
      </c>
      <c r="O631" s="5" t="str">
        <f>IF(OR(TRIM($B631)="",$E631=""),"",IF(OR(ISNUMBER(SEARCH(_xlfn.CONCAT(CHAR(96),CHAR(34)),$E631)),ISNUMBER(SEARCH(_xlfn.CONCAT(CHAR(34),CHAR(39)),$E631))),_xlfn.CONCAT("* REVIEW REQUIRED: compound-quote delimiter in Question Wording on Sheet 1 row ",631,"; edit the input before running."),_xlfn.CONCAT("char ",TRIM($B631),"[doc_question] ",CHAR(96),CHAR(34),SUBSTITUTE(SUBSTITUTE(SUBSTITUTE(SUBSTITUTE(SUBSTITUTE(SUBSTITUTE($E631,CHAR(13)," "),CHAR(10)," "),CHAR(9)," "),CHAR(92),_xlfn.CONCAT(CHAR(92),CHAR(92))),"$",_xlfn.CONCAT(CHAR(92),"$")),CHAR(96),_xlfn.CONCAT(CHAR(92),CHAR(96))),CHAR(34),CHAR(39))))</f>
        <v/>
      </c>
      <c r="P631" s="5" t="str">
        <f>IF(OR(TRIM($B631)="",$F631=""),"",IF(OR(ISNUMBER(SEARCH(_xlfn.CONCAT(CHAR(96),CHAR(34)),$F631)),ISNUMBER(SEARCH(_xlfn.CONCAT(CHAR(34),CHAR(39)),$F631))),_xlfn.CONCAT("* REVIEW REQUIRED: compound-quote delimiter in Units on Sheet 1 row ",631,"; edit the input before running."),_xlfn.CONCAT("char ",TRIM($B631),"[doc_units] ",CHAR(96),CHAR(34),SUBSTITUTE(SUBSTITUTE(SUBSTITUTE(SUBSTITUTE(SUBSTITUTE(SUBSTITUTE($F631,CHAR(13)," "),CHAR(10)," "),CHAR(9)," "),CHAR(92),_xlfn.CONCAT(CHAR(92),CHAR(92))),"$",_xlfn.CONCAT(CHAR(92),"$")),CHAR(96),_xlfn.CONCAT(CHAR(92),CHAR(96))),CHAR(34),CHAR(39))))</f>
        <v/>
      </c>
      <c r="Q631" s="5" t="str">
        <f>IF(OR(TRIM($B631)="",$G631=""),"",IF(OR(ISNUMBER(SEARCH(_xlfn.CONCAT(CHAR(96),CHAR(34)),$G631)),ISNUMBER(SEARCH(_xlfn.CONCAT(CHAR(34),CHAR(39)),$G631))),_xlfn.CONCAT("* REVIEW REQUIRED: compound-quote delimiter in Universe on Sheet 1 row ",631,"; edit the input before running."),_xlfn.CONCAT("char ",TRIM($B631),"[doc_universe] ",CHAR(96),CHAR(34),SUBSTITUTE(SUBSTITUTE(SUBSTITUTE(SUBSTITUTE(SUBSTITUTE(SUBSTITUTE($G631,CHAR(13)," "),CHAR(10)," "),CHAR(9)," "),CHAR(92),_xlfn.CONCAT(CHAR(92),CHAR(92))),"$",_xlfn.CONCAT(CHAR(92),"$")),CHAR(96),_xlfn.CONCAT(CHAR(92),CHAR(96))),CHAR(34),CHAR(39))))</f>
        <v/>
      </c>
      <c r="R631" s="5" t="str">
        <f>IF(OR(TRIM($B631)="",$H631=""),"",IF(OR(ISNUMBER(SEARCH(_xlfn.CONCAT(CHAR(96),CHAR(34)),$H631)),ISNUMBER(SEARCH(_xlfn.CONCAT(CHAR(34),CHAR(39)),$H631))),_xlfn.CONCAT("* REVIEW REQUIRED: compound-quote delimiter in Source on Sheet 1 row ",631,"; edit the input before running."),_xlfn.CONCAT("char ",TRIM($B631),"[doc_source] ",CHAR(96),CHAR(34),SUBSTITUTE(SUBSTITUTE(SUBSTITUTE(SUBSTITUTE(SUBSTITUTE(SUBSTITUTE($H631,CHAR(13)," "),CHAR(10)," "),CHAR(9)," "),CHAR(92),_xlfn.CONCAT(CHAR(92),CHAR(92))),"$",_xlfn.CONCAT(CHAR(92),"$")),CHAR(96),_xlfn.CONCAT(CHAR(92),CHAR(96))),CHAR(34),CHAR(39))))</f>
        <v/>
      </c>
      <c r="S631" s="5" t="str">
        <f>IF(OR(TRIM($B631)="",$I631=""),"",IF(OR(ISNUMBER(SEARCH(_xlfn.CONCAT(CHAR(96),CHAR(34)),$I631)),ISNUMBER(SEARCH(_xlfn.CONCAT(CHAR(34),CHAR(39)),$I631))),_xlfn.CONCAT("* REVIEW REQUIRED: compound-quote delimiter in Derivation on Sheet 1 row ",631,"; edit the input before running."),_xlfn.CONCAT("char ",TRIM($B631),"[doc_derivation] ",CHAR(96),CHAR(34),SUBSTITUTE(SUBSTITUTE(SUBSTITUTE(SUBSTITUTE(SUBSTITUTE(SUBSTITUTE($I631,CHAR(13)," "),CHAR(10)," "),CHAR(9)," "),CHAR(92),_xlfn.CONCAT(CHAR(92),CHAR(92))),"$",_xlfn.CONCAT(CHAR(92),"$")),CHAR(96),_xlfn.CONCAT(CHAR(92),CHAR(96))),CHAR(34),CHAR(39))))</f>
        <v/>
      </c>
      <c r="T631" s="5" t="str">
        <f>IF(OR(TRIM($B631)="",$J631=""),"",IF(OR(ISNUMBER(SEARCH(_xlfn.CONCAT(CHAR(96),CHAR(34)),$J631)),ISNUMBER(SEARCH(_xlfn.CONCAT(CHAR(34),CHAR(39)),$J631))),_xlfn.CONCAT("* REVIEW REQUIRED: compound-quote delimiter in Notes on Sheet 1 row ",631,"; edit the input before running."),_xlfn.CONCAT("char ",TRIM($B631),"[doc_notes] ",CHAR(96),CHAR(34),SUBSTITUTE(SUBSTITUTE(SUBSTITUTE(SUBSTITUTE(SUBSTITUTE(SUBSTITUTE($J631,CHAR(13)," "),CHAR(10)," "),CHAR(9)," "),CHAR(92),_xlfn.CONCAT(CHAR(92),CHAR(92))),"$",_xlfn.CONCAT(CHAR(92),"$")),CHAR(96),_xlfn.CONCAT(CHAR(92),CHAR(96))),CHAR(34),CHAR(39))))</f>
        <v/>
      </c>
      <c r="U631" s="5">
        <f t="shared" si="19"/>
        <v>0</v>
      </c>
    </row>
    <row r="632" spans="3:21" ht="30" customHeight="1" x14ac:dyDescent="0.2">
      <c r="C632" s="4"/>
      <c r="K632" s="5">
        <f t="shared" si="18"/>
        <v>0</v>
      </c>
      <c r="L632" s="5" t="str">
        <f>IF(OR(TRIM($B632)="",$A632=""),"",IF(OR(ISNUMBER(SEARCH(_xlfn.CONCAT(CHAR(96),CHAR(34)),$A632)),ISNUMBER(SEARCH(_xlfn.CONCAT(CHAR(34),CHAR(39)),$A632))),_xlfn.CONCAT("* REVIEW REQUIRED: compound-quote delimiter in Codebook Section on Sheet 1 row ",632,"; edit the input before running."),_xlfn.CONCAT("char ",TRIM($B632),"[doc_section] ",CHAR(96),CHAR(34),SUBSTITUTE(SUBSTITUTE(SUBSTITUTE(SUBSTITUTE(SUBSTITUTE(SUBSTITUTE($A632,CHAR(13)," "),CHAR(10)," "),CHAR(9)," "),CHAR(92),_xlfn.CONCAT(CHAR(92),CHAR(92))),"$",_xlfn.CONCAT(CHAR(92),"$")),CHAR(96),_xlfn.CONCAT(CHAR(92),CHAR(96))),CHAR(34),CHAR(39))))</f>
        <v/>
      </c>
      <c r="M632" s="5" t="str">
        <f>IF(OR(TRIM($B632)="",$C632=""),"",IF(IFERROR(MATCH(TRIM($C632),{"Quantitative","Continuous","Discrete","Categorical","Nominal","Ordinal","Identifier"},0),0)=0,_xlfn.CONCAT("* REVIEW REQUIRED: invalid Variable Type on Sheet 1 row ",632,"."),_xlfn.CONCAT("char ",TRIM($B632),"[doc_vartype] ",CHAR(96),CHAR(34),SUBSTITUTE(SUBSTITUTE(SUBSTITUTE(SUBSTITUTE(SUBSTITUTE(SUBSTITUTE(LOWER(TRIM($C632)),CHAR(13)," "),CHAR(10)," "),CHAR(9)," "),CHAR(92),_xlfn.CONCAT(CHAR(92),CHAR(92))),"$",_xlfn.CONCAT(CHAR(92),"$")),CHAR(96),_xlfn.CONCAT(CHAR(92),CHAR(96))),CHAR(34),CHAR(39))))</f>
        <v/>
      </c>
      <c r="N632" s="5" t="str">
        <f>IF(OR(TRIM($B632)="",$D632=""),"",IF(OR(ISNUMBER(SEARCH(_xlfn.CONCAT(CHAR(96),CHAR(34)),$D632)),ISNUMBER(SEARCH(_xlfn.CONCAT(CHAR(34),CHAR(39)),$D632))),_xlfn.CONCAT("* REVIEW REQUIRED: compound-quote delimiter in Item Number on Sheet 1 row ",632,"; edit the input before running."),_xlfn.CONCAT("char ",TRIM($B632),"[doc_itemnum] ",CHAR(96),CHAR(34),SUBSTITUTE(SUBSTITUTE(SUBSTITUTE(SUBSTITUTE(SUBSTITUTE(SUBSTITUTE($D632,CHAR(13)," "),CHAR(10)," "),CHAR(9)," "),CHAR(92),_xlfn.CONCAT(CHAR(92),CHAR(92))),"$",_xlfn.CONCAT(CHAR(92),"$")),CHAR(96),_xlfn.CONCAT(CHAR(92),CHAR(96))),CHAR(34),CHAR(39))))</f>
        <v/>
      </c>
      <c r="O632" s="5" t="str">
        <f>IF(OR(TRIM($B632)="",$E632=""),"",IF(OR(ISNUMBER(SEARCH(_xlfn.CONCAT(CHAR(96),CHAR(34)),$E632)),ISNUMBER(SEARCH(_xlfn.CONCAT(CHAR(34),CHAR(39)),$E632))),_xlfn.CONCAT("* REVIEW REQUIRED: compound-quote delimiter in Question Wording on Sheet 1 row ",632,"; edit the input before running."),_xlfn.CONCAT("char ",TRIM($B632),"[doc_question] ",CHAR(96),CHAR(34),SUBSTITUTE(SUBSTITUTE(SUBSTITUTE(SUBSTITUTE(SUBSTITUTE(SUBSTITUTE($E632,CHAR(13)," "),CHAR(10)," "),CHAR(9)," "),CHAR(92),_xlfn.CONCAT(CHAR(92),CHAR(92))),"$",_xlfn.CONCAT(CHAR(92),"$")),CHAR(96),_xlfn.CONCAT(CHAR(92),CHAR(96))),CHAR(34),CHAR(39))))</f>
        <v/>
      </c>
      <c r="P632" s="5" t="str">
        <f>IF(OR(TRIM($B632)="",$F632=""),"",IF(OR(ISNUMBER(SEARCH(_xlfn.CONCAT(CHAR(96),CHAR(34)),$F632)),ISNUMBER(SEARCH(_xlfn.CONCAT(CHAR(34),CHAR(39)),$F632))),_xlfn.CONCAT("* REVIEW REQUIRED: compound-quote delimiter in Units on Sheet 1 row ",632,"; edit the input before running."),_xlfn.CONCAT("char ",TRIM($B632),"[doc_units] ",CHAR(96),CHAR(34),SUBSTITUTE(SUBSTITUTE(SUBSTITUTE(SUBSTITUTE(SUBSTITUTE(SUBSTITUTE($F632,CHAR(13)," "),CHAR(10)," "),CHAR(9)," "),CHAR(92),_xlfn.CONCAT(CHAR(92),CHAR(92))),"$",_xlfn.CONCAT(CHAR(92),"$")),CHAR(96),_xlfn.CONCAT(CHAR(92),CHAR(96))),CHAR(34),CHAR(39))))</f>
        <v/>
      </c>
      <c r="Q632" s="5" t="str">
        <f>IF(OR(TRIM($B632)="",$G632=""),"",IF(OR(ISNUMBER(SEARCH(_xlfn.CONCAT(CHAR(96),CHAR(34)),$G632)),ISNUMBER(SEARCH(_xlfn.CONCAT(CHAR(34),CHAR(39)),$G632))),_xlfn.CONCAT("* REVIEW REQUIRED: compound-quote delimiter in Universe on Sheet 1 row ",632,"; edit the input before running."),_xlfn.CONCAT("char ",TRIM($B632),"[doc_universe] ",CHAR(96),CHAR(34),SUBSTITUTE(SUBSTITUTE(SUBSTITUTE(SUBSTITUTE(SUBSTITUTE(SUBSTITUTE($G632,CHAR(13)," "),CHAR(10)," "),CHAR(9)," "),CHAR(92),_xlfn.CONCAT(CHAR(92),CHAR(92))),"$",_xlfn.CONCAT(CHAR(92),"$")),CHAR(96),_xlfn.CONCAT(CHAR(92),CHAR(96))),CHAR(34),CHAR(39))))</f>
        <v/>
      </c>
      <c r="R632" s="5" t="str">
        <f>IF(OR(TRIM($B632)="",$H632=""),"",IF(OR(ISNUMBER(SEARCH(_xlfn.CONCAT(CHAR(96),CHAR(34)),$H632)),ISNUMBER(SEARCH(_xlfn.CONCAT(CHAR(34),CHAR(39)),$H632))),_xlfn.CONCAT("* REVIEW REQUIRED: compound-quote delimiter in Source on Sheet 1 row ",632,"; edit the input before running."),_xlfn.CONCAT("char ",TRIM($B632),"[doc_source] ",CHAR(96),CHAR(34),SUBSTITUTE(SUBSTITUTE(SUBSTITUTE(SUBSTITUTE(SUBSTITUTE(SUBSTITUTE($H632,CHAR(13)," "),CHAR(10)," "),CHAR(9)," "),CHAR(92),_xlfn.CONCAT(CHAR(92),CHAR(92))),"$",_xlfn.CONCAT(CHAR(92),"$")),CHAR(96),_xlfn.CONCAT(CHAR(92),CHAR(96))),CHAR(34),CHAR(39))))</f>
        <v/>
      </c>
      <c r="S632" s="5" t="str">
        <f>IF(OR(TRIM($B632)="",$I632=""),"",IF(OR(ISNUMBER(SEARCH(_xlfn.CONCAT(CHAR(96),CHAR(34)),$I632)),ISNUMBER(SEARCH(_xlfn.CONCAT(CHAR(34),CHAR(39)),$I632))),_xlfn.CONCAT("* REVIEW REQUIRED: compound-quote delimiter in Derivation on Sheet 1 row ",632,"; edit the input before running."),_xlfn.CONCAT("char ",TRIM($B632),"[doc_derivation] ",CHAR(96),CHAR(34),SUBSTITUTE(SUBSTITUTE(SUBSTITUTE(SUBSTITUTE(SUBSTITUTE(SUBSTITUTE($I632,CHAR(13)," "),CHAR(10)," "),CHAR(9)," "),CHAR(92),_xlfn.CONCAT(CHAR(92),CHAR(92))),"$",_xlfn.CONCAT(CHAR(92),"$")),CHAR(96),_xlfn.CONCAT(CHAR(92),CHAR(96))),CHAR(34),CHAR(39))))</f>
        <v/>
      </c>
      <c r="T632" s="5" t="str">
        <f>IF(OR(TRIM($B632)="",$J632=""),"",IF(OR(ISNUMBER(SEARCH(_xlfn.CONCAT(CHAR(96),CHAR(34)),$J632)),ISNUMBER(SEARCH(_xlfn.CONCAT(CHAR(34),CHAR(39)),$J632))),_xlfn.CONCAT("* REVIEW REQUIRED: compound-quote delimiter in Notes on Sheet 1 row ",632,"; edit the input before running."),_xlfn.CONCAT("char ",TRIM($B632),"[doc_notes] ",CHAR(96),CHAR(34),SUBSTITUTE(SUBSTITUTE(SUBSTITUTE(SUBSTITUTE(SUBSTITUTE(SUBSTITUTE($J632,CHAR(13)," "),CHAR(10)," "),CHAR(9)," "),CHAR(92),_xlfn.CONCAT(CHAR(92),CHAR(92))),"$",_xlfn.CONCAT(CHAR(92),"$")),CHAR(96),_xlfn.CONCAT(CHAR(92),CHAR(96))),CHAR(34),CHAR(39))))</f>
        <v/>
      </c>
      <c r="U632" s="5">
        <f t="shared" si="19"/>
        <v>0</v>
      </c>
    </row>
    <row r="633" spans="3:21" ht="30" customHeight="1" x14ac:dyDescent="0.2">
      <c r="C633" s="4"/>
      <c r="K633" s="5">
        <f t="shared" si="18"/>
        <v>0</v>
      </c>
      <c r="L633" s="5" t="str">
        <f>IF(OR(TRIM($B633)="",$A633=""),"",IF(OR(ISNUMBER(SEARCH(_xlfn.CONCAT(CHAR(96),CHAR(34)),$A633)),ISNUMBER(SEARCH(_xlfn.CONCAT(CHAR(34),CHAR(39)),$A633))),_xlfn.CONCAT("* REVIEW REQUIRED: compound-quote delimiter in Codebook Section on Sheet 1 row ",633,"; edit the input before running."),_xlfn.CONCAT("char ",TRIM($B633),"[doc_section] ",CHAR(96),CHAR(34),SUBSTITUTE(SUBSTITUTE(SUBSTITUTE(SUBSTITUTE(SUBSTITUTE(SUBSTITUTE($A633,CHAR(13)," "),CHAR(10)," "),CHAR(9)," "),CHAR(92),_xlfn.CONCAT(CHAR(92),CHAR(92))),"$",_xlfn.CONCAT(CHAR(92),"$")),CHAR(96),_xlfn.CONCAT(CHAR(92),CHAR(96))),CHAR(34),CHAR(39))))</f>
        <v/>
      </c>
      <c r="M633" s="5" t="str">
        <f>IF(OR(TRIM($B633)="",$C633=""),"",IF(IFERROR(MATCH(TRIM($C633),{"Quantitative","Continuous","Discrete","Categorical","Nominal","Ordinal","Identifier"},0),0)=0,_xlfn.CONCAT("* REVIEW REQUIRED: invalid Variable Type on Sheet 1 row ",633,"."),_xlfn.CONCAT("char ",TRIM($B633),"[doc_vartype] ",CHAR(96),CHAR(34),SUBSTITUTE(SUBSTITUTE(SUBSTITUTE(SUBSTITUTE(SUBSTITUTE(SUBSTITUTE(LOWER(TRIM($C633)),CHAR(13)," "),CHAR(10)," "),CHAR(9)," "),CHAR(92),_xlfn.CONCAT(CHAR(92),CHAR(92))),"$",_xlfn.CONCAT(CHAR(92),"$")),CHAR(96),_xlfn.CONCAT(CHAR(92),CHAR(96))),CHAR(34),CHAR(39))))</f>
        <v/>
      </c>
      <c r="N633" s="5" t="str">
        <f>IF(OR(TRIM($B633)="",$D633=""),"",IF(OR(ISNUMBER(SEARCH(_xlfn.CONCAT(CHAR(96),CHAR(34)),$D633)),ISNUMBER(SEARCH(_xlfn.CONCAT(CHAR(34),CHAR(39)),$D633))),_xlfn.CONCAT("* REVIEW REQUIRED: compound-quote delimiter in Item Number on Sheet 1 row ",633,"; edit the input before running."),_xlfn.CONCAT("char ",TRIM($B633),"[doc_itemnum] ",CHAR(96),CHAR(34),SUBSTITUTE(SUBSTITUTE(SUBSTITUTE(SUBSTITUTE(SUBSTITUTE(SUBSTITUTE($D633,CHAR(13)," "),CHAR(10)," "),CHAR(9)," "),CHAR(92),_xlfn.CONCAT(CHAR(92),CHAR(92))),"$",_xlfn.CONCAT(CHAR(92),"$")),CHAR(96),_xlfn.CONCAT(CHAR(92),CHAR(96))),CHAR(34),CHAR(39))))</f>
        <v/>
      </c>
      <c r="O633" s="5" t="str">
        <f>IF(OR(TRIM($B633)="",$E633=""),"",IF(OR(ISNUMBER(SEARCH(_xlfn.CONCAT(CHAR(96),CHAR(34)),$E633)),ISNUMBER(SEARCH(_xlfn.CONCAT(CHAR(34),CHAR(39)),$E633))),_xlfn.CONCAT("* REVIEW REQUIRED: compound-quote delimiter in Question Wording on Sheet 1 row ",633,"; edit the input before running."),_xlfn.CONCAT("char ",TRIM($B633),"[doc_question] ",CHAR(96),CHAR(34),SUBSTITUTE(SUBSTITUTE(SUBSTITUTE(SUBSTITUTE(SUBSTITUTE(SUBSTITUTE($E633,CHAR(13)," "),CHAR(10)," "),CHAR(9)," "),CHAR(92),_xlfn.CONCAT(CHAR(92),CHAR(92))),"$",_xlfn.CONCAT(CHAR(92),"$")),CHAR(96),_xlfn.CONCAT(CHAR(92),CHAR(96))),CHAR(34),CHAR(39))))</f>
        <v/>
      </c>
      <c r="P633" s="5" t="str">
        <f>IF(OR(TRIM($B633)="",$F633=""),"",IF(OR(ISNUMBER(SEARCH(_xlfn.CONCAT(CHAR(96),CHAR(34)),$F633)),ISNUMBER(SEARCH(_xlfn.CONCAT(CHAR(34),CHAR(39)),$F633))),_xlfn.CONCAT("* REVIEW REQUIRED: compound-quote delimiter in Units on Sheet 1 row ",633,"; edit the input before running."),_xlfn.CONCAT("char ",TRIM($B633),"[doc_units] ",CHAR(96),CHAR(34),SUBSTITUTE(SUBSTITUTE(SUBSTITUTE(SUBSTITUTE(SUBSTITUTE(SUBSTITUTE($F633,CHAR(13)," "),CHAR(10)," "),CHAR(9)," "),CHAR(92),_xlfn.CONCAT(CHAR(92),CHAR(92))),"$",_xlfn.CONCAT(CHAR(92),"$")),CHAR(96),_xlfn.CONCAT(CHAR(92),CHAR(96))),CHAR(34),CHAR(39))))</f>
        <v/>
      </c>
      <c r="Q633" s="5" t="str">
        <f>IF(OR(TRIM($B633)="",$G633=""),"",IF(OR(ISNUMBER(SEARCH(_xlfn.CONCAT(CHAR(96),CHAR(34)),$G633)),ISNUMBER(SEARCH(_xlfn.CONCAT(CHAR(34),CHAR(39)),$G633))),_xlfn.CONCAT("* REVIEW REQUIRED: compound-quote delimiter in Universe on Sheet 1 row ",633,"; edit the input before running."),_xlfn.CONCAT("char ",TRIM($B633),"[doc_universe] ",CHAR(96),CHAR(34),SUBSTITUTE(SUBSTITUTE(SUBSTITUTE(SUBSTITUTE(SUBSTITUTE(SUBSTITUTE($G633,CHAR(13)," "),CHAR(10)," "),CHAR(9)," "),CHAR(92),_xlfn.CONCAT(CHAR(92),CHAR(92))),"$",_xlfn.CONCAT(CHAR(92),"$")),CHAR(96),_xlfn.CONCAT(CHAR(92),CHAR(96))),CHAR(34),CHAR(39))))</f>
        <v/>
      </c>
      <c r="R633" s="5" t="str">
        <f>IF(OR(TRIM($B633)="",$H633=""),"",IF(OR(ISNUMBER(SEARCH(_xlfn.CONCAT(CHAR(96),CHAR(34)),$H633)),ISNUMBER(SEARCH(_xlfn.CONCAT(CHAR(34),CHAR(39)),$H633))),_xlfn.CONCAT("* REVIEW REQUIRED: compound-quote delimiter in Source on Sheet 1 row ",633,"; edit the input before running."),_xlfn.CONCAT("char ",TRIM($B633),"[doc_source] ",CHAR(96),CHAR(34),SUBSTITUTE(SUBSTITUTE(SUBSTITUTE(SUBSTITUTE(SUBSTITUTE(SUBSTITUTE($H633,CHAR(13)," "),CHAR(10)," "),CHAR(9)," "),CHAR(92),_xlfn.CONCAT(CHAR(92),CHAR(92))),"$",_xlfn.CONCAT(CHAR(92),"$")),CHAR(96),_xlfn.CONCAT(CHAR(92),CHAR(96))),CHAR(34),CHAR(39))))</f>
        <v/>
      </c>
      <c r="S633" s="5" t="str">
        <f>IF(OR(TRIM($B633)="",$I633=""),"",IF(OR(ISNUMBER(SEARCH(_xlfn.CONCAT(CHAR(96),CHAR(34)),$I633)),ISNUMBER(SEARCH(_xlfn.CONCAT(CHAR(34),CHAR(39)),$I633))),_xlfn.CONCAT("* REVIEW REQUIRED: compound-quote delimiter in Derivation on Sheet 1 row ",633,"; edit the input before running."),_xlfn.CONCAT("char ",TRIM($B633),"[doc_derivation] ",CHAR(96),CHAR(34),SUBSTITUTE(SUBSTITUTE(SUBSTITUTE(SUBSTITUTE(SUBSTITUTE(SUBSTITUTE($I633,CHAR(13)," "),CHAR(10)," "),CHAR(9)," "),CHAR(92),_xlfn.CONCAT(CHAR(92),CHAR(92))),"$",_xlfn.CONCAT(CHAR(92),"$")),CHAR(96),_xlfn.CONCAT(CHAR(92),CHAR(96))),CHAR(34),CHAR(39))))</f>
        <v/>
      </c>
      <c r="T633" s="5" t="str">
        <f>IF(OR(TRIM($B633)="",$J633=""),"",IF(OR(ISNUMBER(SEARCH(_xlfn.CONCAT(CHAR(96),CHAR(34)),$J633)),ISNUMBER(SEARCH(_xlfn.CONCAT(CHAR(34),CHAR(39)),$J633))),_xlfn.CONCAT("* REVIEW REQUIRED: compound-quote delimiter in Notes on Sheet 1 row ",633,"; edit the input before running."),_xlfn.CONCAT("char ",TRIM($B633),"[doc_notes] ",CHAR(96),CHAR(34),SUBSTITUTE(SUBSTITUTE(SUBSTITUTE(SUBSTITUTE(SUBSTITUTE(SUBSTITUTE($J633,CHAR(13)," "),CHAR(10)," "),CHAR(9)," "),CHAR(92),_xlfn.CONCAT(CHAR(92),CHAR(92))),"$",_xlfn.CONCAT(CHAR(92),"$")),CHAR(96),_xlfn.CONCAT(CHAR(92),CHAR(96))),CHAR(34),CHAR(39))))</f>
        <v/>
      </c>
      <c r="U633" s="5">
        <f t="shared" si="19"/>
        <v>0</v>
      </c>
    </row>
    <row r="634" spans="3:21" ht="30" customHeight="1" x14ac:dyDescent="0.2">
      <c r="C634" s="4"/>
      <c r="K634" s="5">
        <f t="shared" si="18"/>
        <v>0</v>
      </c>
      <c r="L634" s="5" t="str">
        <f>IF(OR(TRIM($B634)="",$A634=""),"",IF(OR(ISNUMBER(SEARCH(_xlfn.CONCAT(CHAR(96),CHAR(34)),$A634)),ISNUMBER(SEARCH(_xlfn.CONCAT(CHAR(34),CHAR(39)),$A634))),_xlfn.CONCAT("* REVIEW REQUIRED: compound-quote delimiter in Codebook Section on Sheet 1 row ",634,"; edit the input before running."),_xlfn.CONCAT("char ",TRIM($B634),"[doc_section] ",CHAR(96),CHAR(34),SUBSTITUTE(SUBSTITUTE(SUBSTITUTE(SUBSTITUTE(SUBSTITUTE(SUBSTITUTE($A634,CHAR(13)," "),CHAR(10)," "),CHAR(9)," "),CHAR(92),_xlfn.CONCAT(CHAR(92),CHAR(92))),"$",_xlfn.CONCAT(CHAR(92),"$")),CHAR(96),_xlfn.CONCAT(CHAR(92),CHAR(96))),CHAR(34),CHAR(39))))</f>
        <v/>
      </c>
      <c r="M634" s="5" t="str">
        <f>IF(OR(TRIM($B634)="",$C634=""),"",IF(IFERROR(MATCH(TRIM($C634),{"Quantitative","Continuous","Discrete","Categorical","Nominal","Ordinal","Identifier"},0),0)=0,_xlfn.CONCAT("* REVIEW REQUIRED: invalid Variable Type on Sheet 1 row ",634,"."),_xlfn.CONCAT("char ",TRIM($B634),"[doc_vartype] ",CHAR(96),CHAR(34),SUBSTITUTE(SUBSTITUTE(SUBSTITUTE(SUBSTITUTE(SUBSTITUTE(SUBSTITUTE(LOWER(TRIM($C634)),CHAR(13)," "),CHAR(10)," "),CHAR(9)," "),CHAR(92),_xlfn.CONCAT(CHAR(92),CHAR(92))),"$",_xlfn.CONCAT(CHAR(92),"$")),CHAR(96),_xlfn.CONCAT(CHAR(92),CHAR(96))),CHAR(34),CHAR(39))))</f>
        <v/>
      </c>
      <c r="N634" s="5" t="str">
        <f>IF(OR(TRIM($B634)="",$D634=""),"",IF(OR(ISNUMBER(SEARCH(_xlfn.CONCAT(CHAR(96),CHAR(34)),$D634)),ISNUMBER(SEARCH(_xlfn.CONCAT(CHAR(34),CHAR(39)),$D634))),_xlfn.CONCAT("* REVIEW REQUIRED: compound-quote delimiter in Item Number on Sheet 1 row ",634,"; edit the input before running."),_xlfn.CONCAT("char ",TRIM($B634),"[doc_itemnum] ",CHAR(96),CHAR(34),SUBSTITUTE(SUBSTITUTE(SUBSTITUTE(SUBSTITUTE(SUBSTITUTE(SUBSTITUTE($D634,CHAR(13)," "),CHAR(10)," "),CHAR(9)," "),CHAR(92),_xlfn.CONCAT(CHAR(92),CHAR(92))),"$",_xlfn.CONCAT(CHAR(92),"$")),CHAR(96),_xlfn.CONCAT(CHAR(92),CHAR(96))),CHAR(34),CHAR(39))))</f>
        <v/>
      </c>
      <c r="O634" s="5" t="str">
        <f>IF(OR(TRIM($B634)="",$E634=""),"",IF(OR(ISNUMBER(SEARCH(_xlfn.CONCAT(CHAR(96),CHAR(34)),$E634)),ISNUMBER(SEARCH(_xlfn.CONCAT(CHAR(34),CHAR(39)),$E634))),_xlfn.CONCAT("* REVIEW REQUIRED: compound-quote delimiter in Question Wording on Sheet 1 row ",634,"; edit the input before running."),_xlfn.CONCAT("char ",TRIM($B634),"[doc_question] ",CHAR(96),CHAR(34),SUBSTITUTE(SUBSTITUTE(SUBSTITUTE(SUBSTITUTE(SUBSTITUTE(SUBSTITUTE($E634,CHAR(13)," "),CHAR(10)," "),CHAR(9)," "),CHAR(92),_xlfn.CONCAT(CHAR(92),CHAR(92))),"$",_xlfn.CONCAT(CHAR(92),"$")),CHAR(96),_xlfn.CONCAT(CHAR(92),CHAR(96))),CHAR(34),CHAR(39))))</f>
        <v/>
      </c>
      <c r="P634" s="5" t="str">
        <f>IF(OR(TRIM($B634)="",$F634=""),"",IF(OR(ISNUMBER(SEARCH(_xlfn.CONCAT(CHAR(96),CHAR(34)),$F634)),ISNUMBER(SEARCH(_xlfn.CONCAT(CHAR(34),CHAR(39)),$F634))),_xlfn.CONCAT("* REVIEW REQUIRED: compound-quote delimiter in Units on Sheet 1 row ",634,"; edit the input before running."),_xlfn.CONCAT("char ",TRIM($B634),"[doc_units] ",CHAR(96),CHAR(34),SUBSTITUTE(SUBSTITUTE(SUBSTITUTE(SUBSTITUTE(SUBSTITUTE(SUBSTITUTE($F634,CHAR(13)," "),CHAR(10)," "),CHAR(9)," "),CHAR(92),_xlfn.CONCAT(CHAR(92),CHAR(92))),"$",_xlfn.CONCAT(CHAR(92),"$")),CHAR(96),_xlfn.CONCAT(CHAR(92),CHAR(96))),CHAR(34),CHAR(39))))</f>
        <v/>
      </c>
      <c r="Q634" s="5" t="str">
        <f>IF(OR(TRIM($B634)="",$G634=""),"",IF(OR(ISNUMBER(SEARCH(_xlfn.CONCAT(CHAR(96),CHAR(34)),$G634)),ISNUMBER(SEARCH(_xlfn.CONCAT(CHAR(34),CHAR(39)),$G634))),_xlfn.CONCAT("* REVIEW REQUIRED: compound-quote delimiter in Universe on Sheet 1 row ",634,"; edit the input before running."),_xlfn.CONCAT("char ",TRIM($B634),"[doc_universe] ",CHAR(96),CHAR(34),SUBSTITUTE(SUBSTITUTE(SUBSTITUTE(SUBSTITUTE(SUBSTITUTE(SUBSTITUTE($G634,CHAR(13)," "),CHAR(10)," "),CHAR(9)," "),CHAR(92),_xlfn.CONCAT(CHAR(92),CHAR(92))),"$",_xlfn.CONCAT(CHAR(92),"$")),CHAR(96),_xlfn.CONCAT(CHAR(92),CHAR(96))),CHAR(34),CHAR(39))))</f>
        <v/>
      </c>
      <c r="R634" s="5" t="str">
        <f>IF(OR(TRIM($B634)="",$H634=""),"",IF(OR(ISNUMBER(SEARCH(_xlfn.CONCAT(CHAR(96),CHAR(34)),$H634)),ISNUMBER(SEARCH(_xlfn.CONCAT(CHAR(34),CHAR(39)),$H634))),_xlfn.CONCAT("* REVIEW REQUIRED: compound-quote delimiter in Source on Sheet 1 row ",634,"; edit the input before running."),_xlfn.CONCAT("char ",TRIM($B634),"[doc_source] ",CHAR(96),CHAR(34),SUBSTITUTE(SUBSTITUTE(SUBSTITUTE(SUBSTITUTE(SUBSTITUTE(SUBSTITUTE($H634,CHAR(13)," "),CHAR(10)," "),CHAR(9)," "),CHAR(92),_xlfn.CONCAT(CHAR(92),CHAR(92))),"$",_xlfn.CONCAT(CHAR(92),"$")),CHAR(96),_xlfn.CONCAT(CHAR(92),CHAR(96))),CHAR(34),CHAR(39))))</f>
        <v/>
      </c>
      <c r="S634" s="5" t="str">
        <f>IF(OR(TRIM($B634)="",$I634=""),"",IF(OR(ISNUMBER(SEARCH(_xlfn.CONCAT(CHAR(96),CHAR(34)),$I634)),ISNUMBER(SEARCH(_xlfn.CONCAT(CHAR(34),CHAR(39)),$I634))),_xlfn.CONCAT("* REVIEW REQUIRED: compound-quote delimiter in Derivation on Sheet 1 row ",634,"; edit the input before running."),_xlfn.CONCAT("char ",TRIM($B634),"[doc_derivation] ",CHAR(96),CHAR(34),SUBSTITUTE(SUBSTITUTE(SUBSTITUTE(SUBSTITUTE(SUBSTITUTE(SUBSTITUTE($I634,CHAR(13)," "),CHAR(10)," "),CHAR(9)," "),CHAR(92),_xlfn.CONCAT(CHAR(92),CHAR(92))),"$",_xlfn.CONCAT(CHAR(92),"$")),CHAR(96),_xlfn.CONCAT(CHAR(92),CHAR(96))),CHAR(34),CHAR(39))))</f>
        <v/>
      </c>
      <c r="T634" s="5" t="str">
        <f>IF(OR(TRIM($B634)="",$J634=""),"",IF(OR(ISNUMBER(SEARCH(_xlfn.CONCAT(CHAR(96),CHAR(34)),$J634)),ISNUMBER(SEARCH(_xlfn.CONCAT(CHAR(34),CHAR(39)),$J634))),_xlfn.CONCAT("* REVIEW REQUIRED: compound-quote delimiter in Notes on Sheet 1 row ",634,"; edit the input before running."),_xlfn.CONCAT("char ",TRIM($B634),"[doc_notes] ",CHAR(96),CHAR(34),SUBSTITUTE(SUBSTITUTE(SUBSTITUTE(SUBSTITUTE(SUBSTITUTE(SUBSTITUTE($J634,CHAR(13)," "),CHAR(10)," "),CHAR(9)," "),CHAR(92),_xlfn.CONCAT(CHAR(92),CHAR(92))),"$",_xlfn.CONCAT(CHAR(92),"$")),CHAR(96),_xlfn.CONCAT(CHAR(92),CHAR(96))),CHAR(34),CHAR(39))))</f>
        <v/>
      </c>
      <c r="U634" s="5">
        <f t="shared" si="19"/>
        <v>0</v>
      </c>
    </row>
    <row r="635" spans="3:21" ht="30" customHeight="1" x14ac:dyDescent="0.2">
      <c r="C635" s="4"/>
      <c r="K635" s="5">
        <f t="shared" si="18"/>
        <v>0</v>
      </c>
      <c r="L635" s="5" t="str">
        <f>IF(OR(TRIM($B635)="",$A635=""),"",IF(OR(ISNUMBER(SEARCH(_xlfn.CONCAT(CHAR(96),CHAR(34)),$A635)),ISNUMBER(SEARCH(_xlfn.CONCAT(CHAR(34),CHAR(39)),$A635))),_xlfn.CONCAT("* REVIEW REQUIRED: compound-quote delimiter in Codebook Section on Sheet 1 row ",635,"; edit the input before running."),_xlfn.CONCAT("char ",TRIM($B635),"[doc_section] ",CHAR(96),CHAR(34),SUBSTITUTE(SUBSTITUTE(SUBSTITUTE(SUBSTITUTE(SUBSTITUTE(SUBSTITUTE($A635,CHAR(13)," "),CHAR(10)," "),CHAR(9)," "),CHAR(92),_xlfn.CONCAT(CHAR(92),CHAR(92))),"$",_xlfn.CONCAT(CHAR(92),"$")),CHAR(96),_xlfn.CONCAT(CHAR(92),CHAR(96))),CHAR(34),CHAR(39))))</f>
        <v/>
      </c>
      <c r="M635" s="5" t="str">
        <f>IF(OR(TRIM($B635)="",$C635=""),"",IF(IFERROR(MATCH(TRIM($C635),{"Quantitative","Continuous","Discrete","Categorical","Nominal","Ordinal","Identifier"},0),0)=0,_xlfn.CONCAT("* REVIEW REQUIRED: invalid Variable Type on Sheet 1 row ",635,"."),_xlfn.CONCAT("char ",TRIM($B635),"[doc_vartype] ",CHAR(96),CHAR(34),SUBSTITUTE(SUBSTITUTE(SUBSTITUTE(SUBSTITUTE(SUBSTITUTE(SUBSTITUTE(LOWER(TRIM($C635)),CHAR(13)," "),CHAR(10)," "),CHAR(9)," "),CHAR(92),_xlfn.CONCAT(CHAR(92),CHAR(92))),"$",_xlfn.CONCAT(CHAR(92),"$")),CHAR(96),_xlfn.CONCAT(CHAR(92),CHAR(96))),CHAR(34),CHAR(39))))</f>
        <v/>
      </c>
      <c r="N635" s="5" t="str">
        <f>IF(OR(TRIM($B635)="",$D635=""),"",IF(OR(ISNUMBER(SEARCH(_xlfn.CONCAT(CHAR(96),CHAR(34)),$D635)),ISNUMBER(SEARCH(_xlfn.CONCAT(CHAR(34),CHAR(39)),$D635))),_xlfn.CONCAT("* REVIEW REQUIRED: compound-quote delimiter in Item Number on Sheet 1 row ",635,"; edit the input before running."),_xlfn.CONCAT("char ",TRIM($B635),"[doc_itemnum] ",CHAR(96),CHAR(34),SUBSTITUTE(SUBSTITUTE(SUBSTITUTE(SUBSTITUTE(SUBSTITUTE(SUBSTITUTE($D635,CHAR(13)," "),CHAR(10)," "),CHAR(9)," "),CHAR(92),_xlfn.CONCAT(CHAR(92),CHAR(92))),"$",_xlfn.CONCAT(CHAR(92),"$")),CHAR(96),_xlfn.CONCAT(CHAR(92),CHAR(96))),CHAR(34),CHAR(39))))</f>
        <v/>
      </c>
      <c r="O635" s="5" t="str">
        <f>IF(OR(TRIM($B635)="",$E635=""),"",IF(OR(ISNUMBER(SEARCH(_xlfn.CONCAT(CHAR(96),CHAR(34)),$E635)),ISNUMBER(SEARCH(_xlfn.CONCAT(CHAR(34),CHAR(39)),$E635))),_xlfn.CONCAT("* REVIEW REQUIRED: compound-quote delimiter in Question Wording on Sheet 1 row ",635,"; edit the input before running."),_xlfn.CONCAT("char ",TRIM($B635),"[doc_question] ",CHAR(96),CHAR(34),SUBSTITUTE(SUBSTITUTE(SUBSTITUTE(SUBSTITUTE(SUBSTITUTE(SUBSTITUTE($E635,CHAR(13)," "),CHAR(10)," "),CHAR(9)," "),CHAR(92),_xlfn.CONCAT(CHAR(92),CHAR(92))),"$",_xlfn.CONCAT(CHAR(92),"$")),CHAR(96),_xlfn.CONCAT(CHAR(92),CHAR(96))),CHAR(34),CHAR(39))))</f>
        <v/>
      </c>
      <c r="P635" s="5" t="str">
        <f>IF(OR(TRIM($B635)="",$F635=""),"",IF(OR(ISNUMBER(SEARCH(_xlfn.CONCAT(CHAR(96),CHAR(34)),$F635)),ISNUMBER(SEARCH(_xlfn.CONCAT(CHAR(34),CHAR(39)),$F635))),_xlfn.CONCAT("* REVIEW REQUIRED: compound-quote delimiter in Units on Sheet 1 row ",635,"; edit the input before running."),_xlfn.CONCAT("char ",TRIM($B635),"[doc_units] ",CHAR(96),CHAR(34),SUBSTITUTE(SUBSTITUTE(SUBSTITUTE(SUBSTITUTE(SUBSTITUTE(SUBSTITUTE($F635,CHAR(13)," "),CHAR(10)," "),CHAR(9)," "),CHAR(92),_xlfn.CONCAT(CHAR(92),CHAR(92))),"$",_xlfn.CONCAT(CHAR(92),"$")),CHAR(96),_xlfn.CONCAT(CHAR(92),CHAR(96))),CHAR(34),CHAR(39))))</f>
        <v/>
      </c>
      <c r="Q635" s="5" t="str">
        <f>IF(OR(TRIM($B635)="",$G635=""),"",IF(OR(ISNUMBER(SEARCH(_xlfn.CONCAT(CHAR(96),CHAR(34)),$G635)),ISNUMBER(SEARCH(_xlfn.CONCAT(CHAR(34),CHAR(39)),$G635))),_xlfn.CONCAT("* REVIEW REQUIRED: compound-quote delimiter in Universe on Sheet 1 row ",635,"; edit the input before running."),_xlfn.CONCAT("char ",TRIM($B635),"[doc_universe] ",CHAR(96),CHAR(34),SUBSTITUTE(SUBSTITUTE(SUBSTITUTE(SUBSTITUTE(SUBSTITUTE(SUBSTITUTE($G635,CHAR(13)," "),CHAR(10)," "),CHAR(9)," "),CHAR(92),_xlfn.CONCAT(CHAR(92),CHAR(92))),"$",_xlfn.CONCAT(CHAR(92),"$")),CHAR(96),_xlfn.CONCAT(CHAR(92),CHAR(96))),CHAR(34),CHAR(39))))</f>
        <v/>
      </c>
      <c r="R635" s="5" t="str">
        <f>IF(OR(TRIM($B635)="",$H635=""),"",IF(OR(ISNUMBER(SEARCH(_xlfn.CONCAT(CHAR(96),CHAR(34)),$H635)),ISNUMBER(SEARCH(_xlfn.CONCAT(CHAR(34),CHAR(39)),$H635))),_xlfn.CONCAT("* REVIEW REQUIRED: compound-quote delimiter in Source on Sheet 1 row ",635,"; edit the input before running."),_xlfn.CONCAT("char ",TRIM($B635),"[doc_source] ",CHAR(96),CHAR(34),SUBSTITUTE(SUBSTITUTE(SUBSTITUTE(SUBSTITUTE(SUBSTITUTE(SUBSTITUTE($H635,CHAR(13)," "),CHAR(10)," "),CHAR(9)," "),CHAR(92),_xlfn.CONCAT(CHAR(92),CHAR(92))),"$",_xlfn.CONCAT(CHAR(92),"$")),CHAR(96),_xlfn.CONCAT(CHAR(92),CHAR(96))),CHAR(34),CHAR(39))))</f>
        <v/>
      </c>
      <c r="S635" s="5" t="str">
        <f>IF(OR(TRIM($B635)="",$I635=""),"",IF(OR(ISNUMBER(SEARCH(_xlfn.CONCAT(CHAR(96),CHAR(34)),$I635)),ISNUMBER(SEARCH(_xlfn.CONCAT(CHAR(34),CHAR(39)),$I635))),_xlfn.CONCAT("* REVIEW REQUIRED: compound-quote delimiter in Derivation on Sheet 1 row ",635,"; edit the input before running."),_xlfn.CONCAT("char ",TRIM($B635),"[doc_derivation] ",CHAR(96),CHAR(34),SUBSTITUTE(SUBSTITUTE(SUBSTITUTE(SUBSTITUTE(SUBSTITUTE(SUBSTITUTE($I635,CHAR(13)," "),CHAR(10)," "),CHAR(9)," "),CHAR(92),_xlfn.CONCAT(CHAR(92),CHAR(92))),"$",_xlfn.CONCAT(CHAR(92),"$")),CHAR(96),_xlfn.CONCAT(CHAR(92),CHAR(96))),CHAR(34),CHAR(39))))</f>
        <v/>
      </c>
      <c r="T635" s="5" t="str">
        <f>IF(OR(TRIM($B635)="",$J635=""),"",IF(OR(ISNUMBER(SEARCH(_xlfn.CONCAT(CHAR(96),CHAR(34)),$J635)),ISNUMBER(SEARCH(_xlfn.CONCAT(CHAR(34),CHAR(39)),$J635))),_xlfn.CONCAT("* REVIEW REQUIRED: compound-quote delimiter in Notes on Sheet 1 row ",635,"; edit the input before running."),_xlfn.CONCAT("char ",TRIM($B635),"[doc_notes] ",CHAR(96),CHAR(34),SUBSTITUTE(SUBSTITUTE(SUBSTITUTE(SUBSTITUTE(SUBSTITUTE(SUBSTITUTE($J635,CHAR(13)," "),CHAR(10)," "),CHAR(9)," "),CHAR(92),_xlfn.CONCAT(CHAR(92),CHAR(92))),"$",_xlfn.CONCAT(CHAR(92),"$")),CHAR(96),_xlfn.CONCAT(CHAR(92),CHAR(96))),CHAR(34),CHAR(39))))</f>
        <v/>
      </c>
      <c r="U635" s="5">
        <f t="shared" si="19"/>
        <v>0</v>
      </c>
    </row>
    <row r="636" spans="3:21" ht="30" customHeight="1" x14ac:dyDescent="0.2">
      <c r="C636" s="4"/>
      <c r="K636" s="5">
        <f t="shared" si="18"/>
        <v>0</v>
      </c>
      <c r="L636" s="5" t="str">
        <f>IF(OR(TRIM($B636)="",$A636=""),"",IF(OR(ISNUMBER(SEARCH(_xlfn.CONCAT(CHAR(96),CHAR(34)),$A636)),ISNUMBER(SEARCH(_xlfn.CONCAT(CHAR(34),CHAR(39)),$A636))),_xlfn.CONCAT("* REVIEW REQUIRED: compound-quote delimiter in Codebook Section on Sheet 1 row ",636,"; edit the input before running."),_xlfn.CONCAT("char ",TRIM($B636),"[doc_section] ",CHAR(96),CHAR(34),SUBSTITUTE(SUBSTITUTE(SUBSTITUTE(SUBSTITUTE(SUBSTITUTE(SUBSTITUTE($A636,CHAR(13)," "),CHAR(10)," "),CHAR(9)," "),CHAR(92),_xlfn.CONCAT(CHAR(92),CHAR(92))),"$",_xlfn.CONCAT(CHAR(92),"$")),CHAR(96),_xlfn.CONCAT(CHAR(92),CHAR(96))),CHAR(34),CHAR(39))))</f>
        <v/>
      </c>
      <c r="M636" s="5" t="str">
        <f>IF(OR(TRIM($B636)="",$C636=""),"",IF(IFERROR(MATCH(TRIM($C636),{"Quantitative","Continuous","Discrete","Categorical","Nominal","Ordinal","Identifier"},0),0)=0,_xlfn.CONCAT("* REVIEW REQUIRED: invalid Variable Type on Sheet 1 row ",636,"."),_xlfn.CONCAT("char ",TRIM($B636),"[doc_vartype] ",CHAR(96),CHAR(34),SUBSTITUTE(SUBSTITUTE(SUBSTITUTE(SUBSTITUTE(SUBSTITUTE(SUBSTITUTE(LOWER(TRIM($C636)),CHAR(13)," "),CHAR(10)," "),CHAR(9)," "),CHAR(92),_xlfn.CONCAT(CHAR(92),CHAR(92))),"$",_xlfn.CONCAT(CHAR(92),"$")),CHAR(96),_xlfn.CONCAT(CHAR(92),CHAR(96))),CHAR(34),CHAR(39))))</f>
        <v/>
      </c>
      <c r="N636" s="5" t="str">
        <f>IF(OR(TRIM($B636)="",$D636=""),"",IF(OR(ISNUMBER(SEARCH(_xlfn.CONCAT(CHAR(96),CHAR(34)),$D636)),ISNUMBER(SEARCH(_xlfn.CONCAT(CHAR(34),CHAR(39)),$D636))),_xlfn.CONCAT("* REVIEW REQUIRED: compound-quote delimiter in Item Number on Sheet 1 row ",636,"; edit the input before running."),_xlfn.CONCAT("char ",TRIM($B636),"[doc_itemnum] ",CHAR(96),CHAR(34),SUBSTITUTE(SUBSTITUTE(SUBSTITUTE(SUBSTITUTE(SUBSTITUTE(SUBSTITUTE($D636,CHAR(13)," "),CHAR(10)," "),CHAR(9)," "),CHAR(92),_xlfn.CONCAT(CHAR(92),CHAR(92))),"$",_xlfn.CONCAT(CHAR(92),"$")),CHAR(96),_xlfn.CONCAT(CHAR(92),CHAR(96))),CHAR(34),CHAR(39))))</f>
        <v/>
      </c>
      <c r="O636" s="5" t="str">
        <f>IF(OR(TRIM($B636)="",$E636=""),"",IF(OR(ISNUMBER(SEARCH(_xlfn.CONCAT(CHAR(96),CHAR(34)),$E636)),ISNUMBER(SEARCH(_xlfn.CONCAT(CHAR(34),CHAR(39)),$E636))),_xlfn.CONCAT("* REVIEW REQUIRED: compound-quote delimiter in Question Wording on Sheet 1 row ",636,"; edit the input before running."),_xlfn.CONCAT("char ",TRIM($B636),"[doc_question] ",CHAR(96),CHAR(34),SUBSTITUTE(SUBSTITUTE(SUBSTITUTE(SUBSTITUTE(SUBSTITUTE(SUBSTITUTE($E636,CHAR(13)," "),CHAR(10)," "),CHAR(9)," "),CHAR(92),_xlfn.CONCAT(CHAR(92),CHAR(92))),"$",_xlfn.CONCAT(CHAR(92),"$")),CHAR(96),_xlfn.CONCAT(CHAR(92),CHAR(96))),CHAR(34),CHAR(39))))</f>
        <v/>
      </c>
      <c r="P636" s="5" t="str">
        <f>IF(OR(TRIM($B636)="",$F636=""),"",IF(OR(ISNUMBER(SEARCH(_xlfn.CONCAT(CHAR(96),CHAR(34)),$F636)),ISNUMBER(SEARCH(_xlfn.CONCAT(CHAR(34),CHAR(39)),$F636))),_xlfn.CONCAT("* REVIEW REQUIRED: compound-quote delimiter in Units on Sheet 1 row ",636,"; edit the input before running."),_xlfn.CONCAT("char ",TRIM($B636),"[doc_units] ",CHAR(96),CHAR(34),SUBSTITUTE(SUBSTITUTE(SUBSTITUTE(SUBSTITUTE(SUBSTITUTE(SUBSTITUTE($F636,CHAR(13)," "),CHAR(10)," "),CHAR(9)," "),CHAR(92),_xlfn.CONCAT(CHAR(92),CHAR(92))),"$",_xlfn.CONCAT(CHAR(92),"$")),CHAR(96),_xlfn.CONCAT(CHAR(92),CHAR(96))),CHAR(34),CHAR(39))))</f>
        <v/>
      </c>
      <c r="Q636" s="5" t="str">
        <f>IF(OR(TRIM($B636)="",$G636=""),"",IF(OR(ISNUMBER(SEARCH(_xlfn.CONCAT(CHAR(96),CHAR(34)),$G636)),ISNUMBER(SEARCH(_xlfn.CONCAT(CHAR(34),CHAR(39)),$G636))),_xlfn.CONCAT("* REVIEW REQUIRED: compound-quote delimiter in Universe on Sheet 1 row ",636,"; edit the input before running."),_xlfn.CONCAT("char ",TRIM($B636),"[doc_universe] ",CHAR(96),CHAR(34),SUBSTITUTE(SUBSTITUTE(SUBSTITUTE(SUBSTITUTE(SUBSTITUTE(SUBSTITUTE($G636,CHAR(13)," "),CHAR(10)," "),CHAR(9)," "),CHAR(92),_xlfn.CONCAT(CHAR(92),CHAR(92))),"$",_xlfn.CONCAT(CHAR(92),"$")),CHAR(96),_xlfn.CONCAT(CHAR(92),CHAR(96))),CHAR(34),CHAR(39))))</f>
        <v/>
      </c>
      <c r="R636" s="5" t="str">
        <f>IF(OR(TRIM($B636)="",$H636=""),"",IF(OR(ISNUMBER(SEARCH(_xlfn.CONCAT(CHAR(96),CHAR(34)),$H636)),ISNUMBER(SEARCH(_xlfn.CONCAT(CHAR(34),CHAR(39)),$H636))),_xlfn.CONCAT("* REVIEW REQUIRED: compound-quote delimiter in Source on Sheet 1 row ",636,"; edit the input before running."),_xlfn.CONCAT("char ",TRIM($B636),"[doc_source] ",CHAR(96),CHAR(34),SUBSTITUTE(SUBSTITUTE(SUBSTITUTE(SUBSTITUTE(SUBSTITUTE(SUBSTITUTE($H636,CHAR(13)," "),CHAR(10)," "),CHAR(9)," "),CHAR(92),_xlfn.CONCAT(CHAR(92),CHAR(92))),"$",_xlfn.CONCAT(CHAR(92),"$")),CHAR(96),_xlfn.CONCAT(CHAR(92),CHAR(96))),CHAR(34),CHAR(39))))</f>
        <v/>
      </c>
      <c r="S636" s="5" t="str">
        <f>IF(OR(TRIM($B636)="",$I636=""),"",IF(OR(ISNUMBER(SEARCH(_xlfn.CONCAT(CHAR(96),CHAR(34)),$I636)),ISNUMBER(SEARCH(_xlfn.CONCAT(CHAR(34),CHAR(39)),$I636))),_xlfn.CONCAT("* REVIEW REQUIRED: compound-quote delimiter in Derivation on Sheet 1 row ",636,"; edit the input before running."),_xlfn.CONCAT("char ",TRIM($B636),"[doc_derivation] ",CHAR(96),CHAR(34),SUBSTITUTE(SUBSTITUTE(SUBSTITUTE(SUBSTITUTE(SUBSTITUTE(SUBSTITUTE($I636,CHAR(13)," "),CHAR(10)," "),CHAR(9)," "),CHAR(92),_xlfn.CONCAT(CHAR(92),CHAR(92))),"$",_xlfn.CONCAT(CHAR(92),"$")),CHAR(96),_xlfn.CONCAT(CHAR(92),CHAR(96))),CHAR(34),CHAR(39))))</f>
        <v/>
      </c>
      <c r="T636" s="5" t="str">
        <f>IF(OR(TRIM($B636)="",$J636=""),"",IF(OR(ISNUMBER(SEARCH(_xlfn.CONCAT(CHAR(96),CHAR(34)),$J636)),ISNUMBER(SEARCH(_xlfn.CONCAT(CHAR(34),CHAR(39)),$J636))),_xlfn.CONCAT("* REVIEW REQUIRED: compound-quote delimiter in Notes on Sheet 1 row ",636,"; edit the input before running."),_xlfn.CONCAT("char ",TRIM($B636),"[doc_notes] ",CHAR(96),CHAR(34),SUBSTITUTE(SUBSTITUTE(SUBSTITUTE(SUBSTITUTE(SUBSTITUTE(SUBSTITUTE($J636,CHAR(13)," "),CHAR(10)," "),CHAR(9)," "),CHAR(92),_xlfn.CONCAT(CHAR(92),CHAR(92))),"$",_xlfn.CONCAT(CHAR(92),"$")),CHAR(96),_xlfn.CONCAT(CHAR(92),CHAR(96))),CHAR(34),CHAR(39))))</f>
        <v/>
      </c>
      <c r="U636" s="5">
        <f t="shared" si="19"/>
        <v>0</v>
      </c>
    </row>
    <row r="637" spans="3:21" ht="30" customHeight="1" x14ac:dyDescent="0.2">
      <c r="C637" s="4"/>
      <c r="K637" s="5">
        <f t="shared" si="18"/>
        <v>0</v>
      </c>
      <c r="L637" s="5" t="str">
        <f>IF(OR(TRIM($B637)="",$A637=""),"",IF(OR(ISNUMBER(SEARCH(_xlfn.CONCAT(CHAR(96),CHAR(34)),$A637)),ISNUMBER(SEARCH(_xlfn.CONCAT(CHAR(34),CHAR(39)),$A637))),_xlfn.CONCAT("* REVIEW REQUIRED: compound-quote delimiter in Codebook Section on Sheet 1 row ",637,"; edit the input before running."),_xlfn.CONCAT("char ",TRIM($B637),"[doc_section] ",CHAR(96),CHAR(34),SUBSTITUTE(SUBSTITUTE(SUBSTITUTE(SUBSTITUTE(SUBSTITUTE(SUBSTITUTE($A637,CHAR(13)," "),CHAR(10)," "),CHAR(9)," "),CHAR(92),_xlfn.CONCAT(CHAR(92),CHAR(92))),"$",_xlfn.CONCAT(CHAR(92),"$")),CHAR(96),_xlfn.CONCAT(CHAR(92),CHAR(96))),CHAR(34),CHAR(39))))</f>
        <v/>
      </c>
      <c r="M637" s="5" t="str">
        <f>IF(OR(TRIM($B637)="",$C637=""),"",IF(IFERROR(MATCH(TRIM($C637),{"Quantitative","Continuous","Discrete","Categorical","Nominal","Ordinal","Identifier"},0),0)=0,_xlfn.CONCAT("* REVIEW REQUIRED: invalid Variable Type on Sheet 1 row ",637,"."),_xlfn.CONCAT("char ",TRIM($B637),"[doc_vartype] ",CHAR(96),CHAR(34),SUBSTITUTE(SUBSTITUTE(SUBSTITUTE(SUBSTITUTE(SUBSTITUTE(SUBSTITUTE(LOWER(TRIM($C637)),CHAR(13)," "),CHAR(10)," "),CHAR(9)," "),CHAR(92),_xlfn.CONCAT(CHAR(92),CHAR(92))),"$",_xlfn.CONCAT(CHAR(92),"$")),CHAR(96),_xlfn.CONCAT(CHAR(92),CHAR(96))),CHAR(34),CHAR(39))))</f>
        <v/>
      </c>
      <c r="N637" s="5" t="str">
        <f>IF(OR(TRIM($B637)="",$D637=""),"",IF(OR(ISNUMBER(SEARCH(_xlfn.CONCAT(CHAR(96),CHAR(34)),$D637)),ISNUMBER(SEARCH(_xlfn.CONCAT(CHAR(34),CHAR(39)),$D637))),_xlfn.CONCAT("* REVIEW REQUIRED: compound-quote delimiter in Item Number on Sheet 1 row ",637,"; edit the input before running."),_xlfn.CONCAT("char ",TRIM($B637),"[doc_itemnum] ",CHAR(96),CHAR(34),SUBSTITUTE(SUBSTITUTE(SUBSTITUTE(SUBSTITUTE(SUBSTITUTE(SUBSTITUTE($D637,CHAR(13)," "),CHAR(10)," "),CHAR(9)," "),CHAR(92),_xlfn.CONCAT(CHAR(92),CHAR(92))),"$",_xlfn.CONCAT(CHAR(92),"$")),CHAR(96),_xlfn.CONCAT(CHAR(92),CHAR(96))),CHAR(34),CHAR(39))))</f>
        <v/>
      </c>
      <c r="O637" s="5" t="str">
        <f>IF(OR(TRIM($B637)="",$E637=""),"",IF(OR(ISNUMBER(SEARCH(_xlfn.CONCAT(CHAR(96),CHAR(34)),$E637)),ISNUMBER(SEARCH(_xlfn.CONCAT(CHAR(34),CHAR(39)),$E637))),_xlfn.CONCAT("* REVIEW REQUIRED: compound-quote delimiter in Question Wording on Sheet 1 row ",637,"; edit the input before running."),_xlfn.CONCAT("char ",TRIM($B637),"[doc_question] ",CHAR(96),CHAR(34),SUBSTITUTE(SUBSTITUTE(SUBSTITUTE(SUBSTITUTE(SUBSTITUTE(SUBSTITUTE($E637,CHAR(13)," "),CHAR(10)," "),CHAR(9)," "),CHAR(92),_xlfn.CONCAT(CHAR(92),CHAR(92))),"$",_xlfn.CONCAT(CHAR(92),"$")),CHAR(96),_xlfn.CONCAT(CHAR(92),CHAR(96))),CHAR(34),CHAR(39))))</f>
        <v/>
      </c>
      <c r="P637" s="5" t="str">
        <f>IF(OR(TRIM($B637)="",$F637=""),"",IF(OR(ISNUMBER(SEARCH(_xlfn.CONCAT(CHAR(96),CHAR(34)),$F637)),ISNUMBER(SEARCH(_xlfn.CONCAT(CHAR(34),CHAR(39)),$F637))),_xlfn.CONCAT("* REVIEW REQUIRED: compound-quote delimiter in Units on Sheet 1 row ",637,"; edit the input before running."),_xlfn.CONCAT("char ",TRIM($B637),"[doc_units] ",CHAR(96),CHAR(34),SUBSTITUTE(SUBSTITUTE(SUBSTITUTE(SUBSTITUTE(SUBSTITUTE(SUBSTITUTE($F637,CHAR(13)," "),CHAR(10)," "),CHAR(9)," "),CHAR(92),_xlfn.CONCAT(CHAR(92),CHAR(92))),"$",_xlfn.CONCAT(CHAR(92),"$")),CHAR(96),_xlfn.CONCAT(CHAR(92),CHAR(96))),CHAR(34),CHAR(39))))</f>
        <v/>
      </c>
      <c r="Q637" s="5" t="str">
        <f>IF(OR(TRIM($B637)="",$G637=""),"",IF(OR(ISNUMBER(SEARCH(_xlfn.CONCAT(CHAR(96),CHAR(34)),$G637)),ISNUMBER(SEARCH(_xlfn.CONCAT(CHAR(34),CHAR(39)),$G637))),_xlfn.CONCAT("* REVIEW REQUIRED: compound-quote delimiter in Universe on Sheet 1 row ",637,"; edit the input before running."),_xlfn.CONCAT("char ",TRIM($B637),"[doc_universe] ",CHAR(96),CHAR(34),SUBSTITUTE(SUBSTITUTE(SUBSTITUTE(SUBSTITUTE(SUBSTITUTE(SUBSTITUTE($G637,CHAR(13)," "),CHAR(10)," "),CHAR(9)," "),CHAR(92),_xlfn.CONCAT(CHAR(92),CHAR(92))),"$",_xlfn.CONCAT(CHAR(92),"$")),CHAR(96),_xlfn.CONCAT(CHAR(92),CHAR(96))),CHAR(34),CHAR(39))))</f>
        <v/>
      </c>
      <c r="R637" s="5" t="str">
        <f>IF(OR(TRIM($B637)="",$H637=""),"",IF(OR(ISNUMBER(SEARCH(_xlfn.CONCAT(CHAR(96),CHAR(34)),$H637)),ISNUMBER(SEARCH(_xlfn.CONCAT(CHAR(34),CHAR(39)),$H637))),_xlfn.CONCAT("* REVIEW REQUIRED: compound-quote delimiter in Source on Sheet 1 row ",637,"; edit the input before running."),_xlfn.CONCAT("char ",TRIM($B637),"[doc_source] ",CHAR(96),CHAR(34),SUBSTITUTE(SUBSTITUTE(SUBSTITUTE(SUBSTITUTE(SUBSTITUTE(SUBSTITUTE($H637,CHAR(13)," "),CHAR(10)," "),CHAR(9)," "),CHAR(92),_xlfn.CONCAT(CHAR(92),CHAR(92))),"$",_xlfn.CONCAT(CHAR(92),"$")),CHAR(96),_xlfn.CONCAT(CHAR(92),CHAR(96))),CHAR(34),CHAR(39))))</f>
        <v/>
      </c>
      <c r="S637" s="5" t="str">
        <f>IF(OR(TRIM($B637)="",$I637=""),"",IF(OR(ISNUMBER(SEARCH(_xlfn.CONCAT(CHAR(96),CHAR(34)),$I637)),ISNUMBER(SEARCH(_xlfn.CONCAT(CHAR(34),CHAR(39)),$I637))),_xlfn.CONCAT("* REVIEW REQUIRED: compound-quote delimiter in Derivation on Sheet 1 row ",637,"; edit the input before running."),_xlfn.CONCAT("char ",TRIM($B637),"[doc_derivation] ",CHAR(96),CHAR(34),SUBSTITUTE(SUBSTITUTE(SUBSTITUTE(SUBSTITUTE(SUBSTITUTE(SUBSTITUTE($I637,CHAR(13)," "),CHAR(10)," "),CHAR(9)," "),CHAR(92),_xlfn.CONCAT(CHAR(92),CHAR(92))),"$",_xlfn.CONCAT(CHAR(92),"$")),CHAR(96),_xlfn.CONCAT(CHAR(92),CHAR(96))),CHAR(34),CHAR(39))))</f>
        <v/>
      </c>
      <c r="T637" s="5" t="str">
        <f>IF(OR(TRIM($B637)="",$J637=""),"",IF(OR(ISNUMBER(SEARCH(_xlfn.CONCAT(CHAR(96),CHAR(34)),$J637)),ISNUMBER(SEARCH(_xlfn.CONCAT(CHAR(34),CHAR(39)),$J637))),_xlfn.CONCAT("* REVIEW REQUIRED: compound-quote delimiter in Notes on Sheet 1 row ",637,"; edit the input before running."),_xlfn.CONCAT("char ",TRIM($B637),"[doc_notes] ",CHAR(96),CHAR(34),SUBSTITUTE(SUBSTITUTE(SUBSTITUTE(SUBSTITUTE(SUBSTITUTE(SUBSTITUTE($J637,CHAR(13)," "),CHAR(10)," "),CHAR(9)," "),CHAR(92),_xlfn.CONCAT(CHAR(92),CHAR(92))),"$",_xlfn.CONCAT(CHAR(92),"$")),CHAR(96),_xlfn.CONCAT(CHAR(92),CHAR(96))),CHAR(34),CHAR(39))))</f>
        <v/>
      </c>
      <c r="U637" s="5">
        <f t="shared" si="19"/>
        <v>0</v>
      </c>
    </row>
    <row r="638" spans="3:21" ht="30" customHeight="1" x14ac:dyDescent="0.2">
      <c r="C638" s="4"/>
      <c r="K638" s="5">
        <f t="shared" si="18"/>
        <v>0</v>
      </c>
      <c r="L638" s="5" t="str">
        <f>IF(OR(TRIM($B638)="",$A638=""),"",IF(OR(ISNUMBER(SEARCH(_xlfn.CONCAT(CHAR(96),CHAR(34)),$A638)),ISNUMBER(SEARCH(_xlfn.CONCAT(CHAR(34),CHAR(39)),$A638))),_xlfn.CONCAT("* REVIEW REQUIRED: compound-quote delimiter in Codebook Section on Sheet 1 row ",638,"; edit the input before running."),_xlfn.CONCAT("char ",TRIM($B638),"[doc_section] ",CHAR(96),CHAR(34),SUBSTITUTE(SUBSTITUTE(SUBSTITUTE(SUBSTITUTE(SUBSTITUTE(SUBSTITUTE($A638,CHAR(13)," "),CHAR(10)," "),CHAR(9)," "),CHAR(92),_xlfn.CONCAT(CHAR(92),CHAR(92))),"$",_xlfn.CONCAT(CHAR(92),"$")),CHAR(96),_xlfn.CONCAT(CHAR(92),CHAR(96))),CHAR(34),CHAR(39))))</f>
        <v/>
      </c>
      <c r="M638" s="5" t="str">
        <f>IF(OR(TRIM($B638)="",$C638=""),"",IF(IFERROR(MATCH(TRIM($C638),{"Quantitative","Continuous","Discrete","Categorical","Nominal","Ordinal","Identifier"},0),0)=0,_xlfn.CONCAT("* REVIEW REQUIRED: invalid Variable Type on Sheet 1 row ",638,"."),_xlfn.CONCAT("char ",TRIM($B638),"[doc_vartype] ",CHAR(96),CHAR(34),SUBSTITUTE(SUBSTITUTE(SUBSTITUTE(SUBSTITUTE(SUBSTITUTE(SUBSTITUTE(LOWER(TRIM($C638)),CHAR(13)," "),CHAR(10)," "),CHAR(9)," "),CHAR(92),_xlfn.CONCAT(CHAR(92),CHAR(92))),"$",_xlfn.CONCAT(CHAR(92),"$")),CHAR(96),_xlfn.CONCAT(CHAR(92),CHAR(96))),CHAR(34),CHAR(39))))</f>
        <v/>
      </c>
      <c r="N638" s="5" t="str">
        <f>IF(OR(TRIM($B638)="",$D638=""),"",IF(OR(ISNUMBER(SEARCH(_xlfn.CONCAT(CHAR(96),CHAR(34)),$D638)),ISNUMBER(SEARCH(_xlfn.CONCAT(CHAR(34),CHAR(39)),$D638))),_xlfn.CONCAT("* REVIEW REQUIRED: compound-quote delimiter in Item Number on Sheet 1 row ",638,"; edit the input before running."),_xlfn.CONCAT("char ",TRIM($B638),"[doc_itemnum] ",CHAR(96),CHAR(34),SUBSTITUTE(SUBSTITUTE(SUBSTITUTE(SUBSTITUTE(SUBSTITUTE(SUBSTITUTE($D638,CHAR(13)," "),CHAR(10)," "),CHAR(9)," "),CHAR(92),_xlfn.CONCAT(CHAR(92),CHAR(92))),"$",_xlfn.CONCAT(CHAR(92),"$")),CHAR(96),_xlfn.CONCAT(CHAR(92),CHAR(96))),CHAR(34),CHAR(39))))</f>
        <v/>
      </c>
      <c r="O638" s="5" t="str">
        <f>IF(OR(TRIM($B638)="",$E638=""),"",IF(OR(ISNUMBER(SEARCH(_xlfn.CONCAT(CHAR(96),CHAR(34)),$E638)),ISNUMBER(SEARCH(_xlfn.CONCAT(CHAR(34),CHAR(39)),$E638))),_xlfn.CONCAT("* REVIEW REQUIRED: compound-quote delimiter in Question Wording on Sheet 1 row ",638,"; edit the input before running."),_xlfn.CONCAT("char ",TRIM($B638),"[doc_question] ",CHAR(96),CHAR(34),SUBSTITUTE(SUBSTITUTE(SUBSTITUTE(SUBSTITUTE(SUBSTITUTE(SUBSTITUTE($E638,CHAR(13)," "),CHAR(10)," "),CHAR(9)," "),CHAR(92),_xlfn.CONCAT(CHAR(92),CHAR(92))),"$",_xlfn.CONCAT(CHAR(92),"$")),CHAR(96),_xlfn.CONCAT(CHAR(92),CHAR(96))),CHAR(34),CHAR(39))))</f>
        <v/>
      </c>
      <c r="P638" s="5" t="str">
        <f>IF(OR(TRIM($B638)="",$F638=""),"",IF(OR(ISNUMBER(SEARCH(_xlfn.CONCAT(CHAR(96),CHAR(34)),$F638)),ISNUMBER(SEARCH(_xlfn.CONCAT(CHAR(34),CHAR(39)),$F638))),_xlfn.CONCAT("* REVIEW REQUIRED: compound-quote delimiter in Units on Sheet 1 row ",638,"; edit the input before running."),_xlfn.CONCAT("char ",TRIM($B638),"[doc_units] ",CHAR(96),CHAR(34),SUBSTITUTE(SUBSTITUTE(SUBSTITUTE(SUBSTITUTE(SUBSTITUTE(SUBSTITUTE($F638,CHAR(13)," "),CHAR(10)," "),CHAR(9)," "),CHAR(92),_xlfn.CONCAT(CHAR(92),CHAR(92))),"$",_xlfn.CONCAT(CHAR(92),"$")),CHAR(96),_xlfn.CONCAT(CHAR(92),CHAR(96))),CHAR(34),CHAR(39))))</f>
        <v/>
      </c>
      <c r="Q638" s="5" t="str">
        <f>IF(OR(TRIM($B638)="",$G638=""),"",IF(OR(ISNUMBER(SEARCH(_xlfn.CONCAT(CHAR(96),CHAR(34)),$G638)),ISNUMBER(SEARCH(_xlfn.CONCAT(CHAR(34),CHAR(39)),$G638))),_xlfn.CONCAT("* REVIEW REQUIRED: compound-quote delimiter in Universe on Sheet 1 row ",638,"; edit the input before running."),_xlfn.CONCAT("char ",TRIM($B638),"[doc_universe] ",CHAR(96),CHAR(34),SUBSTITUTE(SUBSTITUTE(SUBSTITUTE(SUBSTITUTE(SUBSTITUTE(SUBSTITUTE($G638,CHAR(13)," "),CHAR(10)," "),CHAR(9)," "),CHAR(92),_xlfn.CONCAT(CHAR(92),CHAR(92))),"$",_xlfn.CONCAT(CHAR(92),"$")),CHAR(96),_xlfn.CONCAT(CHAR(92),CHAR(96))),CHAR(34),CHAR(39))))</f>
        <v/>
      </c>
      <c r="R638" s="5" t="str">
        <f>IF(OR(TRIM($B638)="",$H638=""),"",IF(OR(ISNUMBER(SEARCH(_xlfn.CONCAT(CHAR(96),CHAR(34)),$H638)),ISNUMBER(SEARCH(_xlfn.CONCAT(CHAR(34),CHAR(39)),$H638))),_xlfn.CONCAT("* REVIEW REQUIRED: compound-quote delimiter in Source on Sheet 1 row ",638,"; edit the input before running."),_xlfn.CONCAT("char ",TRIM($B638),"[doc_source] ",CHAR(96),CHAR(34),SUBSTITUTE(SUBSTITUTE(SUBSTITUTE(SUBSTITUTE(SUBSTITUTE(SUBSTITUTE($H638,CHAR(13)," "),CHAR(10)," "),CHAR(9)," "),CHAR(92),_xlfn.CONCAT(CHAR(92),CHAR(92))),"$",_xlfn.CONCAT(CHAR(92),"$")),CHAR(96),_xlfn.CONCAT(CHAR(92),CHAR(96))),CHAR(34),CHAR(39))))</f>
        <v/>
      </c>
      <c r="S638" s="5" t="str">
        <f>IF(OR(TRIM($B638)="",$I638=""),"",IF(OR(ISNUMBER(SEARCH(_xlfn.CONCAT(CHAR(96),CHAR(34)),$I638)),ISNUMBER(SEARCH(_xlfn.CONCAT(CHAR(34),CHAR(39)),$I638))),_xlfn.CONCAT("* REVIEW REQUIRED: compound-quote delimiter in Derivation on Sheet 1 row ",638,"; edit the input before running."),_xlfn.CONCAT("char ",TRIM($B638),"[doc_derivation] ",CHAR(96),CHAR(34),SUBSTITUTE(SUBSTITUTE(SUBSTITUTE(SUBSTITUTE(SUBSTITUTE(SUBSTITUTE($I638,CHAR(13)," "),CHAR(10)," "),CHAR(9)," "),CHAR(92),_xlfn.CONCAT(CHAR(92),CHAR(92))),"$",_xlfn.CONCAT(CHAR(92),"$")),CHAR(96),_xlfn.CONCAT(CHAR(92),CHAR(96))),CHAR(34),CHAR(39))))</f>
        <v/>
      </c>
      <c r="T638" s="5" t="str">
        <f>IF(OR(TRIM($B638)="",$J638=""),"",IF(OR(ISNUMBER(SEARCH(_xlfn.CONCAT(CHAR(96),CHAR(34)),$J638)),ISNUMBER(SEARCH(_xlfn.CONCAT(CHAR(34),CHAR(39)),$J638))),_xlfn.CONCAT("* REVIEW REQUIRED: compound-quote delimiter in Notes on Sheet 1 row ",638,"; edit the input before running."),_xlfn.CONCAT("char ",TRIM($B638),"[doc_notes] ",CHAR(96),CHAR(34),SUBSTITUTE(SUBSTITUTE(SUBSTITUTE(SUBSTITUTE(SUBSTITUTE(SUBSTITUTE($J638,CHAR(13)," "),CHAR(10)," "),CHAR(9)," "),CHAR(92),_xlfn.CONCAT(CHAR(92),CHAR(92))),"$",_xlfn.CONCAT(CHAR(92),"$")),CHAR(96),_xlfn.CONCAT(CHAR(92),CHAR(96))),CHAR(34),CHAR(39))))</f>
        <v/>
      </c>
      <c r="U638" s="5">
        <f t="shared" si="19"/>
        <v>0</v>
      </c>
    </row>
    <row r="639" spans="3:21" ht="30" customHeight="1" x14ac:dyDescent="0.2">
      <c r="C639" s="4"/>
      <c r="K639" s="5">
        <f t="shared" si="18"/>
        <v>0</v>
      </c>
      <c r="L639" s="5" t="str">
        <f>IF(OR(TRIM($B639)="",$A639=""),"",IF(OR(ISNUMBER(SEARCH(_xlfn.CONCAT(CHAR(96),CHAR(34)),$A639)),ISNUMBER(SEARCH(_xlfn.CONCAT(CHAR(34),CHAR(39)),$A639))),_xlfn.CONCAT("* REVIEW REQUIRED: compound-quote delimiter in Codebook Section on Sheet 1 row ",639,"; edit the input before running."),_xlfn.CONCAT("char ",TRIM($B639),"[doc_section] ",CHAR(96),CHAR(34),SUBSTITUTE(SUBSTITUTE(SUBSTITUTE(SUBSTITUTE(SUBSTITUTE(SUBSTITUTE($A639,CHAR(13)," "),CHAR(10)," "),CHAR(9)," "),CHAR(92),_xlfn.CONCAT(CHAR(92),CHAR(92))),"$",_xlfn.CONCAT(CHAR(92),"$")),CHAR(96),_xlfn.CONCAT(CHAR(92),CHAR(96))),CHAR(34),CHAR(39))))</f>
        <v/>
      </c>
      <c r="M639" s="5" t="str">
        <f>IF(OR(TRIM($B639)="",$C639=""),"",IF(IFERROR(MATCH(TRIM($C639),{"Quantitative","Continuous","Discrete","Categorical","Nominal","Ordinal","Identifier"},0),0)=0,_xlfn.CONCAT("* REVIEW REQUIRED: invalid Variable Type on Sheet 1 row ",639,"."),_xlfn.CONCAT("char ",TRIM($B639),"[doc_vartype] ",CHAR(96),CHAR(34),SUBSTITUTE(SUBSTITUTE(SUBSTITUTE(SUBSTITUTE(SUBSTITUTE(SUBSTITUTE(LOWER(TRIM($C639)),CHAR(13)," "),CHAR(10)," "),CHAR(9)," "),CHAR(92),_xlfn.CONCAT(CHAR(92),CHAR(92))),"$",_xlfn.CONCAT(CHAR(92),"$")),CHAR(96),_xlfn.CONCAT(CHAR(92),CHAR(96))),CHAR(34),CHAR(39))))</f>
        <v/>
      </c>
      <c r="N639" s="5" t="str">
        <f>IF(OR(TRIM($B639)="",$D639=""),"",IF(OR(ISNUMBER(SEARCH(_xlfn.CONCAT(CHAR(96),CHAR(34)),$D639)),ISNUMBER(SEARCH(_xlfn.CONCAT(CHAR(34),CHAR(39)),$D639))),_xlfn.CONCAT("* REVIEW REQUIRED: compound-quote delimiter in Item Number on Sheet 1 row ",639,"; edit the input before running."),_xlfn.CONCAT("char ",TRIM($B639),"[doc_itemnum] ",CHAR(96),CHAR(34),SUBSTITUTE(SUBSTITUTE(SUBSTITUTE(SUBSTITUTE(SUBSTITUTE(SUBSTITUTE($D639,CHAR(13)," "),CHAR(10)," "),CHAR(9)," "),CHAR(92),_xlfn.CONCAT(CHAR(92),CHAR(92))),"$",_xlfn.CONCAT(CHAR(92),"$")),CHAR(96),_xlfn.CONCAT(CHAR(92),CHAR(96))),CHAR(34),CHAR(39))))</f>
        <v/>
      </c>
      <c r="O639" s="5" t="str">
        <f>IF(OR(TRIM($B639)="",$E639=""),"",IF(OR(ISNUMBER(SEARCH(_xlfn.CONCAT(CHAR(96),CHAR(34)),$E639)),ISNUMBER(SEARCH(_xlfn.CONCAT(CHAR(34),CHAR(39)),$E639))),_xlfn.CONCAT("* REVIEW REQUIRED: compound-quote delimiter in Question Wording on Sheet 1 row ",639,"; edit the input before running."),_xlfn.CONCAT("char ",TRIM($B639),"[doc_question] ",CHAR(96),CHAR(34),SUBSTITUTE(SUBSTITUTE(SUBSTITUTE(SUBSTITUTE(SUBSTITUTE(SUBSTITUTE($E639,CHAR(13)," "),CHAR(10)," "),CHAR(9)," "),CHAR(92),_xlfn.CONCAT(CHAR(92),CHAR(92))),"$",_xlfn.CONCAT(CHAR(92),"$")),CHAR(96),_xlfn.CONCAT(CHAR(92),CHAR(96))),CHAR(34),CHAR(39))))</f>
        <v/>
      </c>
      <c r="P639" s="5" t="str">
        <f>IF(OR(TRIM($B639)="",$F639=""),"",IF(OR(ISNUMBER(SEARCH(_xlfn.CONCAT(CHAR(96),CHAR(34)),$F639)),ISNUMBER(SEARCH(_xlfn.CONCAT(CHAR(34),CHAR(39)),$F639))),_xlfn.CONCAT("* REVIEW REQUIRED: compound-quote delimiter in Units on Sheet 1 row ",639,"; edit the input before running."),_xlfn.CONCAT("char ",TRIM($B639),"[doc_units] ",CHAR(96),CHAR(34),SUBSTITUTE(SUBSTITUTE(SUBSTITUTE(SUBSTITUTE(SUBSTITUTE(SUBSTITUTE($F639,CHAR(13)," "),CHAR(10)," "),CHAR(9)," "),CHAR(92),_xlfn.CONCAT(CHAR(92),CHAR(92))),"$",_xlfn.CONCAT(CHAR(92),"$")),CHAR(96),_xlfn.CONCAT(CHAR(92),CHAR(96))),CHAR(34),CHAR(39))))</f>
        <v/>
      </c>
      <c r="Q639" s="5" t="str">
        <f>IF(OR(TRIM($B639)="",$G639=""),"",IF(OR(ISNUMBER(SEARCH(_xlfn.CONCAT(CHAR(96),CHAR(34)),$G639)),ISNUMBER(SEARCH(_xlfn.CONCAT(CHAR(34),CHAR(39)),$G639))),_xlfn.CONCAT("* REVIEW REQUIRED: compound-quote delimiter in Universe on Sheet 1 row ",639,"; edit the input before running."),_xlfn.CONCAT("char ",TRIM($B639),"[doc_universe] ",CHAR(96),CHAR(34),SUBSTITUTE(SUBSTITUTE(SUBSTITUTE(SUBSTITUTE(SUBSTITUTE(SUBSTITUTE($G639,CHAR(13)," "),CHAR(10)," "),CHAR(9)," "),CHAR(92),_xlfn.CONCAT(CHAR(92),CHAR(92))),"$",_xlfn.CONCAT(CHAR(92),"$")),CHAR(96),_xlfn.CONCAT(CHAR(92),CHAR(96))),CHAR(34),CHAR(39))))</f>
        <v/>
      </c>
      <c r="R639" s="5" t="str">
        <f>IF(OR(TRIM($B639)="",$H639=""),"",IF(OR(ISNUMBER(SEARCH(_xlfn.CONCAT(CHAR(96),CHAR(34)),$H639)),ISNUMBER(SEARCH(_xlfn.CONCAT(CHAR(34),CHAR(39)),$H639))),_xlfn.CONCAT("* REVIEW REQUIRED: compound-quote delimiter in Source on Sheet 1 row ",639,"; edit the input before running."),_xlfn.CONCAT("char ",TRIM($B639),"[doc_source] ",CHAR(96),CHAR(34),SUBSTITUTE(SUBSTITUTE(SUBSTITUTE(SUBSTITUTE(SUBSTITUTE(SUBSTITUTE($H639,CHAR(13)," "),CHAR(10)," "),CHAR(9)," "),CHAR(92),_xlfn.CONCAT(CHAR(92),CHAR(92))),"$",_xlfn.CONCAT(CHAR(92),"$")),CHAR(96),_xlfn.CONCAT(CHAR(92),CHAR(96))),CHAR(34),CHAR(39))))</f>
        <v/>
      </c>
      <c r="S639" s="5" t="str">
        <f>IF(OR(TRIM($B639)="",$I639=""),"",IF(OR(ISNUMBER(SEARCH(_xlfn.CONCAT(CHAR(96),CHAR(34)),$I639)),ISNUMBER(SEARCH(_xlfn.CONCAT(CHAR(34),CHAR(39)),$I639))),_xlfn.CONCAT("* REVIEW REQUIRED: compound-quote delimiter in Derivation on Sheet 1 row ",639,"; edit the input before running."),_xlfn.CONCAT("char ",TRIM($B639),"[doc_derivation] ",CHAR(96),CHAR(34),SUBSTITUTE(SUBSTITUTE(SUBSTITUTE(SUBSTITUTE(SUBSTITUTE(SUBSTITUTE($I639,CHAR(13)," "),CHAR(10)," "),CHAR(9)," "),CHAR(92),_xlfn.CONCAT(CHAR(92),CHAR(92))),"$",_xlfn.CONCAT(CHAR(92),"$")),CHAR(96),_xlfn.CONCAT(CHAR(92),CHAR(96))),CHAR(34),CHAR(39))))</f>
        <v/>
      </c>
      <c r="T639" s="5" t="str">
        <f>IF(OR(TRIM($B639)="",$J639=""),"",IF(OR(ISNUMBER(SEARCH(_xlfn.CONCAT(CHAR(96),CHAR(34)),$J639)),ISNUMBER(SEARCH(_xlfn.CONCAT(CHAR(34),CHAR(39)),$J639))),_xlfn.CONCAT("* REVIEW REQUIRED: compound-quote delimiter in Notes on Sheet 1 row ",639,"; edit the input before running."),_xlfn.CONCAT("char ",TRIM($B639),"[doc_notes] ",CHAR(96),CHAR(34),SUBSTITUTE(SUBSTITUTE(SUBSTITUTE(SUBSTITUTE(SUBSTITUTE(SUBSTITUTE($J639,CHAR(13)," "),CHAR(10)," "),CHAR(9)," "),CHAR(92),_xlfn.CONCAT(CHAR(92),CHAR(92))),"$",_xlfn.CONCAT(CHAR(92),"$")),CHAR(96),_xlfn.CONCAT(CHAR(92),CHAR(96))),CHAR(34),CHAR(39))))</f>
        <v/>
      </c>
      <c r="U639" s="5">
        <f t="shared" si="19"/>
        <v>0</v>
      </c>
    </row>
    <row r="640" spans="3:21" ht="30" customHeight="1" x14ac:dyDescent="0.2">
      <c r="C640" s="4"/>
      <c r="K640" s="5">
        <f t="shared" si="18"/>
        <v>0</v>
      </c>
      <c r="L640" s="5" t="str">
        <f>IF(OR(TRIM($B640)="",$A640=""),"",IF(OR(ISNUMBER(SEARCH(_xlfn.CONCAT(CHAR(96),CHAR(34)),$A640)),ISNUMBER(SEARCH(_xlfn.CONCAT(CHAR(34),CHAR(39)),$A640))),_xlfn.CONCAT("* REVIEW REQUIRED: compound-quote delimiter in Codebook Section on Sheet 1 row ",640,"; edit the input before running."),_xlfn.CONCAT("char ",TRIM($B640),"[doc_section] ",CHAR(96),CHAR(34),SUBSTITUTE(SUBSTITUTE(SUBSTITUTE(SUBSTITUTE(SUBSTITUTE(SUBSTITUTE($A640,CHAR(13)," "),CHAR(10)," "),CHAR(9)," "),CHAR(92),_xlfn.CONCAT(CHAR(92),CHAR(92))),"$",_xlfn.CONCAT(CHAR(92),"$")),CHAR(96),_xlfn.CONCAT(CHAR(92),CHAR(96))),CHAR(34),CHAR(39))))</f>
        <v/>
      </c>
      <c r="M640" s="5" t="str">
        <f>IF(OR(TRIM($B640)="",$C640=""),"",IF(IFERROR(MATCH(TRIM($C640),{"Quantitative","Continuous","Discrete","Categorical","Nominal","Ordinal","Identifier"},0),0)=0,_xlfn.CONCAT("* REVIEW REQUIRED: invalid Variable Type on Sheet 1 row ",640,"."),_xlfn.CONCAT("char ",TRIM($B640),"[doc_vartype] ",CHAR(96),CHAR(34),SUBSTITUTE(SUBSTITUTE(SUBSTITUTE(SUBSTITUTE(SUBSTITUTE(SUBSTITUTE(LOWER(TRIM($C640)),CHAR(13)," "),CHAR(10)," "),CHAR(9)," "),CHAR(92),_xlfn.CONCAT(CHAR(92),CHAR(92))),"$",_xlfn.CONCAT(CHAR(92),"$")),CHAR(96),_xlfn.CONCAT(CHAR(92),CHAR(96))),CHAR(34),CHAR(39))))</f>
        <v/>
      </c>
      <c r="N640" s="5" t="str">
        <f>IF(OR(TRIM($B640)="",$D640=""),"",IF(OR(ISNUMBER(SEARCH(_xlfn.CONCAT(CHAR(96),CHAR(34)),$D640)),ISNUMBER(SEARCH(_xlfn.CONCAT(CHAR(34),CHAR(39)),$D640))),_xlfn.CONCAT("* REVIEW REQUIRED: compound-quote delimiter in Item Number on Sheet 1 row ",640,"; edit the input before running."),_xlfn.CONCAT("char ",TRIM($B640),"[doc_itemnum] ",CHAR(96),CHAR(34),SUBSTITUTE(SUBSTITUTE(SUBSTITUTE(SUBSTITUTE(SUBSTITUTE(SUBSTITUTE($D640,CHAR(13)," "),CHAR(10)," "),CHAR(9)," "),CHAR(92),_xlfn.CONCAT(CHAR(92),CHAR(92))),"$",_xlfn.CONCAT(CHAR(92),"$")),CHAR(96),_xlfn.CONCAT(CHAR(92),CHAR(96))),CHAR(34),CHAR(39))))</f>
        <v/>
      </c>
      <c r="O640" s="5" t="str">
        <f>IF(OR(TRIM($B640)="",$E640=""),"",IF(OR(ISNUMBER(SEARCH(_xlfn.CONCAT(CHAR(96),CHAR(34)),$E640)),ISNUMBER(SEARCH(_xlfn.CONCAT(CHAR(34),CHAR(39)),$E640))),_xlfn.CONCAT("* REVIEW REQUIRED: compound-quote delimiter in Question Wording on Sheet 1 row ",640,"; edit the input before running."),_xlfn.CONCAT("char ",TRIM($B640),"[doc_question] ",CHAR(96),CHAR(34),SUBSTITUTE(SUBSTITUTE(SUBSTITUTE(SUBSTITUTE(SUBSTITUTE(SUBSTITUTE($E640,CHAR(13)," "),CHAR(10)," "),CHAR(9)," "),CHAR(92),_xlfn.CONCAT(CHAR(92),CHAR(92))),"$",_xlfn.CONCAT(CHAR(92),"$")),CHAR(96),_xlfn.CONCAT(CHAR(92),CHAR(96))),CHAR(34),CHAR(39))))</f>
        <v/>
      </c>
      <c r="P640" s="5" t="str">
        <f>IF(OR(TRIM($B640)="",$F640=""),"",IF(OR(ISNUMBER(SEARCH(_xlfn.CONCAT(CHAR(96),CHAR(34)),$F640)),ISNUMBER(SEARCH(_xlfn.CONCAT(CHAR(34),CHAR(39)),$F640))),_xlfn.CONCAT("* REVIEW REQUIRED: compound-quote delimiter in Units on Sheet 1 row ",640,"; edit the input before running."),_xlfn.CONCAT("char ",TRIM($B640),"[doc_units] ",CHAR(96),CHAR(34),SUBSTITUTE(SUBSTITUTE(SUBSTITUTE(SUBSTITUTE(SUBSTITUTE(SUBSTITUTE($F640,CHAR(13)," "),CHAR(10)," "),CHAR(9)," "),CHAR(92),_xlfn.CONCAT(CHAR(92),CHAR(92))),"$",_xlfn.CONCAT(CHAR(92),"$")),CHAR(96),_xlfn.CONCAT(CHAR(92),CHAR(96))),CHAR(34),CHAR(39))))</f>
        <v/>
      </c>
      <c r="Q640" s="5" t="str">
        <f>IF(OR(TRIM($B640)="",$G640=""),"",IF(OR(ISNUMBER(SEARCH(_xlfn.CONCAT(CHAR(96),CHAR(34)),$G640)),ISNUMBER(SEARCH(_xlfn.CONCAT(CHAR(34),CHAR(39)),$G640))),_xlfn.CONCAT("* REVIEW REQUIRED: compound-quote delimiter in Universe on Sheet 1 row ",640,"; edit the input before running."),_xlfn.CONCAT("char ",TRIM($B640),"[doc_universe] ",CHAR(96),CHAR(34),SUBSTITUTE(SUBSTITUTE(SUBSTITUTE(SUBSTITUTE(SUBSTITUTE(SUBSTITUTE($G640,CHAR(13)," "),CHAR(10)," "),CHAR(9)," "),CHAR(92),_xlfn.CONCAT(CHAR(92),CHAR(92))),"$",_xlfn.CONCAT(CHAR(92),"$")),CHAR(96),_xlfn.CONCAT(CHAR(92),CHAR(96))),CHAR(34),CHAR(39))))</f>
        <v/>
      </c>
      <c r="R640" s="5" t="str">
        <f>IF(OR(TRIM($B640)="",$H640=""),"",IF(OR(ISNUMBER(SEARCH(_xlfn.CONCAT(CHAR(96),CHAR(34)),$H640)),ISNUMBER(SEARCH(_xlfn.CONCAT(CHAR(34),CHAR(39)),$H640))),_xlfn.CONCAT("* REVIEW REQUIRED: compound-quote delimiter in Source on Sheet 1 row ",640,"; edit the input before running."),_xlfn.CONCAT("char ",TRIM($B640),"[doc_source] ",CHAR(96),CHAR(34),SUBSTITUTE(SUBSTITUTE(SUBSTITUTE(SUBSTITUTE(SUBSTITUTE(SUBSTITUTE($H640,CHAR(13)," "),CHAR(10)," "),CHAR(9)," "),CHAR(92),_xlfn.CONCAT(CHAR(92),CHAR(92))),"$",_xlfn.CONCAT(CHAR(92),"$")),CHAR(96),_xlfn.CONCAT(CHAR(92),CHAR(96))),CHAR(34),CHAR(39))))</f>
        <v/>
      </c>
      <c r="S640" s="5" t="str">
        <f>IF(OR(TRIM($B640)="",$I640=""),"",IF(OR(ISNUMBER(SEARCH(_xlfn.CONCAT(CHAR(96),CHAR(34)),$I640)),ISNUMBER(SEARCH(_xlfn.CONCAT(CHAR(34),CHAR(39)),$I640))),_xlfn.CONCAT("* REVIEW REQUIRED: compound-quote delimiter in Derivation on Sheet 1 row ",640,"; edit the input before running."),_xlfn.CONCAT("char ",TRIM($B640),"[doc_derivation] ",CHAR(96),CHAR(34),SUBSTITUTE(SUBSTITUTE(SUBSTITUTE(SUBSTITUTE(SUBSTITUTE(SUBSTITUTE($I640,CHAR(13)," "),CHAR(10)," "),CHAR(9)," "),CHAR(92),_xlfn.CONCAT(CHAR(92),CHAR(92))),"$",_xlfn.CONCAT(CHAR(92),"$")),CHAR(96),_xlfn.CONCAT(CHAR(92),CHAR(96))),CHAR(34),CHAR(39))))</f>
        <v/>
      </c>
      <c r="T640" s="5" t="str">
        <f>IF(OR(TRIM($B640)="",$J640=""),"",IF(OR(ISNUMBER(SEARCH(_xlfn.CONCAT(CHAR(96),CHAR(34)),$J640)),ISNUMBER(SEARCH(_xlfn.CONCAT(CHAR(34),CHAR(39)),$J640))),_xlfn.CONCAT("* REVIEW REQUIRED: compound-quote delimiter in Notes on Sheet 1 row ",640,"; edit the input before running."),_xlfn.CONCAT("char ",TRIM($B640),"[doc_notes] ",CHAR(96),CHAR(34),SUBSTITUTE(SUBSTITUTE(SUBSTITUTE(SUBSTITUTE(SUBSTITUTE(SUBSTITUTE($J640,CHAR(13)," "),CHAR(10)," "),CHAR(9)," "),CHAR(92),_xlfn.CONCAT(CHAR(92),CHAR(92))),"$",_xlfn.CONCAT(CHAR(92),"$")),CHAR(96),_xlfn.CONCAT(CHAR(92),CHAR(96))),CHAR(34),CHAR(39))))</f>
        <v/>
      </c>
      <c r="U640" s="5">
        <f t="shared" si="19"/>
        <v>0</v>
      </c>
    </row>
    <row r="641" spans="3:21" ht="30" customHeight="1" x14ac:dyDescent="0.2">
      <c r="C641" s="4"/>
      <c r="K641" s="5">
        <f t="shared" si="18"/>
        <v>0</v>
      </c>
      <c r="L641" s="5" t="str">
        <f>IF(OR(TRIM($B641)="",$A641=""),"",IF(OR(ISNUMBER(SEARCH(_xlfn.CONCAT(CHAR(96),CHAR(34)),$A641)),ISNUMBER(SEARCH(_xlfn.CONCAT(CHAR(34),CHAR(39)),$A641))),_xlfn.CONCAT("* REVIEW REQUIRED: compound-quote delimiter in Codebook Section on Sheet 1 row ",641,"; edit the input before running."),_xlfn.CONCAT("char ",TRIM($B641),"[doc_section] ",CHAR(96),CHAR(34),SUBSTITUTE(SUBSTITUTE(SUBSTITUTE(SUBSTITUTE(SUBSTITUTE(SUBSTITUTE($A641,CHAR(13)," "),CHAR(10)," "),CHAR(9)," "),CHAR(92),_xlfn.CONCAT(CHAR(92),CHAR(92))),"$",_xlfn.CONCAT(CHAR(92),"$")),CHAR(96),_xlfn.CONCAT(CHAR(92),CHAR(96))),CHAR(34),CHAR(39))))</f>
        <v/>
      </c>
      <c r="M641" s="5" t="str">
        <f>IF(OR(TRIM($B641)="",$C641=""),"",IF(IFERROR(MATCH(TRIM($C641),{"Quantitative","Continuous","Discrete","Categorical","Nominal","Ordinal","Identifier"},0),0)=0,_xlfn.CONCAT("* REVIEW REQUIRED: invalid Variable Type on Sheet 1 row ",641,"."),_xlfn.CONCAT("char ",TRIM($B641),"[doc_vartype] ",CHAR(96),CHAR(34),SUBSTITUTE(SUBSTITUTE(SUBSTITUTE(SUBSTITUTE(SUBSTITUTE(SUBSTITUTE(LOWER(TRIM($C641)),CHAR(13)," "),CHAR(10)," "),CHAR(9)," "),CHAR(92),_xlfn.CONCAT(CHAR(92),CHAR(92))),"$",_xlfn.CONCAT(CHAR(92),"$")),CHAR(96),_xlfn.CONCAT(CHAR(92),CHAR(96))),CHAR(34),CHAR(39))))</f>
        <v/>
      </c>
      <c r="N641" s="5" t="str">
        <f>IF(OR(TRIM($B641)="",$D641=""),"",IF(OR(ISNUMBER(SEARCH(_xlfn.CONCAT(CHAR(96),CHAR(34)),$D641)),ISNUMBER(SEARCH(_xlfn.CONCAT(CHAR(34),CHAR(39)),$D641))),_xlfn.CONCAT("* REVIEW REQUIRED: compound-quote delimiter in Item Number on Sheet 1 row ",641,"; edit the input before running."),_xlfn.CONCAT("char ",TRIM($B641),"[doc_itemnum] ",CHAR(96),CHAR(34),SUBSTITUTE(SUBSTITUTE(SUBSTITUTE(SUBSTITUTE(SUBSTITUTE(SUBSTITUTE($D641,CHAR(13)," "),CHAR(10)," "),CHAR(9)," "),CHAR(92),_xlfn.CONCAT(CHAR(92),CHAR(92))),"$",_xlfn.CONCAT(CHAR(92),"$")),CHAR(96),_xlfn.CONCAT(CHAR(92),CHAR(96))),CHAR(34),CHAR(39))))</f>
        <v/>
      </c>
      <c r="O641" s="5" t="str">
        <f>IF(OR(TRIM($B641)="",$E641=""),"",IF(OR(ISNUMBER(SEARCH(_xlfn.CONCAT(CHAR(96),CHAR(34)),$E641)),ISNUMBER(SEARCH(_xlfn.CONCAT(CHAR(34),CHAR(39)),$E641))),_xlfn.CONCAT("* REVIEW REQUIRED: compound-quote delimiter in Question Wording on Sheet 1 row ",641,"; edit the input before running."),_xlfn.CONCAT("char ",TRIM($B641),"[doc_question] ",CHAR(96),CHAR(34),SUBSTITUTE(SUBSTITUTE(SUBSTITUTE(SUBSTITUTE(SUBSTITUTE(SUBSTITUTE($E641,CHAR(13)," "),CHAR(10)," "),CHAR(9)," "),CHAR(92),_xlfn.CONCAT(CHAR(92),CHAR(92))),"$",_xlfn.CONCAT(CHAR(92),"$")),CHAR(96),_xlfn.CONCAT(CHAR(92),CHAR(96))),CHAR(34),CHAR(39))))</f>
        <v/>
      </c>
      <c r="P641" s="5" t="str">
        <f>IF(OR(TRIM($B641)="",$F641=""),"",IF(OR(ISNUMBER(SEARCH(_xlfn.CONCAT(CHAR(96),CHAR(34)),$F641)),ISNUMBER(SEARCH(_xlfn.CONCAT(CHAR(34),CHAR(39)),$F641))),_xlfn.CONCAT("* REVIEW REQUIRED: compound-quote delimiter in Units on Sheet 1 row ",641,"; edit the input before running."),_xlfn.CONCAT("char ",TRIM($B641),"[doc_units] ",CHAR(96),CHAR(34),SUBSTITUTE(SUBSTITUTE(SUBSTITUTE(SUBSTITUTE(SUBSTITUTE(SUBSTITUTE($F641,CHAR(13)," "),CHAR(10)," "),CHAR(9)," "),CHAR(92),_xlfn.CONCAT(CHAR(92),CHAR(92))),"$",_xlfn.CONCAT(CHAR(92),"$")),CHAR(96),_xlfn.CONCAT(CHAR(92),CHAR(96))),CHAR(34),CHAR(39))))</f>
        <v/>
      </c>
      <c r="Q641" s="5" t="str">
        <f>IF(OR(TRIM($B641)="",$G641=""),"",IF(OR(ISNUMBER(SEARCH(_xlfn.CONCAT(CHAR(96),CHAR(34)),$G641)),ISNUMBER(SEARCH(_xlfn.CONCAT(CHAR(34),CHAR(39)),$G641))),_xlfn.CONCAT("* REVIEW REQUIRED: compound-quote delimiter in Universe on Sheet 1 row ",641,"; edit the input before running."),_xlfn.CONCAT("char ",TRIM($B641),"[doc_universe] ",CHAR(96),CHAR(34),SUBSTITUTE(SUBSTITUTE(SUBSTITUTE(SUBSTITUTE(SUBSTITUTE(SUBSTITUTE($G641,CHAR(13)," "),CHAR(10)," "),CHAR(9)," "),CHAR(92),_xlfn.CONCAT(CHAR(92),CHAR(92))),"$",_xlfn.CONCAT(CHAR(92),"$")),CHAR(96),_xlfn.CONCAT(CHAR(92),CHAR(96))),CHAR(34),CHAR(39))))</f>
        <v/>
      </c>
      <c r="R641" s="5" t="str">
        <f>IF(OR(TRIM($B641)="",$H641=""),"",IF(OR(ISNUMBER(SEARCH(_xlfn.CONCAT(CHAR(96),CHAR(34)),$H641)),ISNUMBER(SEARCH(_xlfn.CONCAT(CHAR(34),CHAR(39)),$H641))),_xlfn.CONCAT("* REVIEW REQUIRED: compound-quote delimiter in Source on Sheet 1 row ",641,"; edit the input before running."),_xlfn.CONCAT("char ",TRIM($B641),"[doc_source] ",CHAR(96),CHAR(34),SUBSTITUTE(SUBSTITUTE(SUBSTITUTE(SUBSTITUTE(SUBSTITUTE(SUBSTITUTE($H641,CHAR(13)," "),CHAR(10)," "),CHAR(9)," "),CHAR(92),_xlfn.CONCAT(CHAR(92),CHAR(92))),"$",_xlfn.CONCAT(CHAR(92),"$")),CHAR(96),_xlfn.CONCAT(CHAR(92),CHAR(96))),CHAR(34),CHAR(39))))</f>
        <v/>
      </c>
      <c r="S641" s="5" t="str">
        <f>IF(OR(TRIM($B641)="",$I641=""),"",IF(OR(ISNUMBER(SEARCH(_xlfn.CONCAT(CHAR(96),CHAR(34)),$I641)),ISNUMBER(SEARCH(_xlfn.CONCAT(CHAR(34),CHAR(39)),$I641))),_xlfn.CONCAT("* REVIEW REQUIRED: compound-quote delimiter in Derivation on Sheet 1 row ",641,"; edit the input before running."),_xlfn.CONCAT("char ",TRIM($B641),"[doc_derivation] ",CHAR(96),CHAR(34),SUBSTITUTE(SUBSTITUTE(SUBSTITUTE(SUBSTITUTE(SUBSTITUTE(SUBSTITUTE($I641,CHAR(13)," "),CHAR(10)," "),CHAR(9)," "),CHAR(92),_xlfn.CONCAT(CHAR(92),CHAR(92))),"$",_xlfn.CONCAT(CHAR(92),"$")),CHAR(96),_xlfn.CONCAT(CHAR(92),CHAR(96))),CHAR(34),CHAR(39))))</f>
        <v/>
      </c>
      <c r="T641" s="5" t="str">
        <f>IF(OR(TRIM($B641)="",$J641=""),"",IF(OR(ISNUMBER(SEARCH(_xlfn.CONCAT(CHAR(96),CHAR(34)),$J641)),ISNUMBER(SEARCH(_xlfn.CONCAT(CHAR(34),CHAR(39)),$J641))),_xlfn.CONCAT("* REVIEW REQUIRED: compound-quote delimiter in Notes on Sheet 1 row ",641,"; edit the input before running."),_xlfn.CONCAT("char ",TRIM($B641),"[doc_notes] ",CHAR(96),CHAR(34),SUBSTITUTE(SUBSTITUTE(SUBSTITUTE(SUBSTITUTE(SUBSTITUTE(SUBSTITUTE($J641,CHAR(13)," "),CHAR(10)," "),CHAR(9)," "),CHAR(92),_xlfn.CONCAT(CHAR(92),CHAR(92))),"$",_xlfn.CONCAT(CHAR(92),"$")),CHAR(96),_xlfn.CONCAT(CHAR(92),CHAR(96))),CHAR(34),CHAR(39))))</f>
        <v/>
      </c>
      <c r="U641" s="5">
        <f t="shared" si="19"/>
        <v>0</v>
      </c>
    </row>
    <row r="642" spans="3:21" ht="30" customHeight="1" x14ac:dyDescent="0.2">
      <c r="C642" s="4"/>
      <c r="K642" s="5">
        <f t="shared" si="18"/>
        <v>0</v>
      </c>
      <c r="L642" s="5" t="str">
        <f>IF(OR(TRIM($B642)="",$A642=""),"",IF(OR(ISNUMBER(SEARCH(_xlfn.CONCAT(CHAR(96),CHAR(34)),$A642)),ISNUMBER(SEARCH(_xlfn.CONCAT(CHAR(34),CHAR(39)),$A642))),_xlfn.CONCAT("* REVIEW REQUIRED: compound-quote delimiter in Codebook Section on Sheet 1 row ",642,"; edit the input before running."),_xlfn.CONCAT("char ",TRIM($B642),"[doc_section] ",CHAR(96),CHAR(34),SUBSTITUTE(SUBSTITUTE(SUBSTITUTE(SUBSTITUTE(SUBSTITUTE(SUBSTITUTE($A642,CHAR(13)," "),CHAR(10)," "),CHAR(9)," "),CHAR(92),_xlfn.CONCAT(CHAR(92),CHAR(92))),"$",_xlfn.CONCAT(CHAR(92),"$")),CHAR(96),_xlfn.CONCAT(CHAR(92),CHAR(96))),CHAR(34),CHAR(39))))</f>
        <v/>
      </c>
      <c r="M642" s="5" t="str">
        <f>IF(OR(TRIM($B642)="",$C642=""),"",IF(IFERROR(MATCH(TRIM($C642),{"Quantitative","Continuous","Discrete","Categorical","Nominal","Ordinal","Identifier"},0),0)=0,_xlfn.CONCAT("* REVIEW REQUIRED: invalid Variable Type on Sheet 1 row ",642,"."),_xlfn.CONCAT("char ",TRIM($B642),"[doc_vartype] ",CHAR(96),CHAR(34),SUBSTITUTE(SUBSTITUTE(SUBSTITUTE(SUBSTITUTE(SUBSTITUTE(SUBSTITUTE(LOWER(TRIM($C642)),CHAR(13)," "),CHAR(10)," "),CHAR(9)," "),CHAR(92),_xlfn.CONCAT(CHAR(92),CHAR(92))),"$",_xlfn.CONCAT(CHAR(92),"$")),CHAR(96),_xlfn.CONCAT(CHAR(92),CHAR(96))),CHAR(34),CHAR(39))))</f>
        <v/>
      </c>
      <c r="N642" s="5" t="str">
        <f>IF(OR(TRIM($B642)="",$D642=""),"",IF(OR(ISNUMBER(SEARCH(_xlfn.CONCAT(CHAR(96),CHAR(34)),$D642)),ISNUMBER(SEARCH(_xlfn.CONCAT(CHAR(34),CHAR(39)),$D642))),_xlfn.CONCAT("* REVIEW REQUIRED: compound-quote delimiter in Item Number on Sheet 1 row ",642,"; edit the input before running."),_xlfn.CONCAT("char ",TRIM($B642),"[doc_itemnum] ",CHAR(96),CHAR(34),SUBSTITUTE(SUBSTITUTE(SUBSTITUTE(SUBSTITUTE(SUBSTITUTE(SUBSTITUTE($D642,CHAR(13)," "),CHAR(10)," "),CHAR(9)," "),CHAR(92),_xlfn.CONCAT(CHAR(92),CHAR(92))),"$",_xlfn.CONCAT(CHAR(92),"$")),CHAR(96),_xlfn.CONCAT(CHAR(92),CHAR(96))),CHAR(34),CHAR(39))))</f>
        <v/>
      </c>
      <c r="O642" s="5" t="str">
        <f>IF(OR(TRIM($B642)="",$E642=""),"",IF(OR(ISNUMBER(SEARCH(_xlfn.CONCAT(CHAR(96),CHAR(34)),$E642)),ISNUMBER(SEARCH(_xlfn.CONCAT(CHAR(34),CHAR(39)),$E642))),_xlfn.CONCAT("* REVIEW REQUIRED: compound-quote delimiter in Question Wording on Sheet 1 row ",642,"; edit the input before running."),_xlfn.CONCAT("char ",TRIM($B642),"[doc_question] ",CHAR(96),CHAR(34),SUBSTITUTE(SUBSTITUTE(SUBSTITUTE(SUBSTITUTE(SUBSTITUTE(SUBSTITUTE($E642,CHAR(13)," "),CHAR(10)," "),CHAR(9)," "),CHAR(92),_xlfn.CONCAT(CHAR(92),CHAR(92))),"$",_xlfn.CONCAT(CHAR(92),"$")),CHAR(96),_xlfn.CONCAT(CHAR(92),CHAR(96))),CHAR(34),CHAR(39))))</f>
        <v/>
      </c>
      <c r="P642" s="5" t="str">
        <f>IF(OR(TRIM($B642)="",$F642=""),"",IF(OR(ISNUMBER(SEARCH(_xlfn.CONCAT(CHAR(96),CHAR(34)),$F642)),ISNUMBER(SEARCH(_xlfn.CONCAT(CHAR(34),CHAR(39)),$F642))),_xlfn.CONCAT("* REVIEW REQUIRED: compound-quote delimiter in Units on Sheet 1 row ",642,"; edit the input before running."),_xlfn.CONCAT("char ",TRIM($B642),"[doc_units] ",CHAR(96),CHAR(34),SUBSTITUTE(SUBSTITUTE(SUBSTITUTE(SUBSTITUTE(SUBSTITUTE(SUBSTITUTE($F642,CHAR(13)," "),CHAR(10)," "),CHAR(9)," "),CHAR(92),_xlfn.CONCAT(CHAR(92),CHAR(92))),"$",_xlfn.CONCAT(CHAR(92),"$")),CHAR(96),_xlfn.CONCAT(CHAR(92),CHAR(96))),CHAR(34),CHAR(39))))</f>
        <v/>
      </c>
      <c r="Q642" s="5" t="str">
        <f>IF(OR(TRIM($B642)="",$G642=""),"",IF(OR(ISNUMBER(SEARCH(_xlfn.CONCAT(CHAR(96),CHAR(34)),$G642)),ISNUMBER(SEARCH(_xlfn.CONCAT(CHAR(34),CHAR(39)),$G642))),_xlfn.CONCAT("* REVIEW REQUIRED: compound-quote delimiter in Universe on Sheet 1 row ",642,"; edit the input before running."),_xlfn.CONCAT("char ",TRIM($B642),"[doc_universe] ",CHAR(96),CHAR(34),SUBSTITUTE(SUBSTITUTE(SUBSTITUTE(SUBSTITUTE(SUBSTITUTE(SUBSTITUTE($G642,CHAR(13)," "),CHAR(10)," "),CHAR(9)," "),CHAR(92),_xlfn.CONCAT(CHAR(92),CHAR(92))),"$",_xlfn.CONCAT(CHAR(92),"$")),CHAR(96),_xlfn.CONCAT(CHAR(92),CHAR(96))),CHAR(34),CHAR(39))))</f>
        <v/>
      </c>
      <c r="R642" s="5" t="str">
        <f>IF(OR(TRIM($B642)="",$H642=""),"",IF(OR(ISNUMBER(SEARCH(_xlfn.CONCAT(CHAR(96),CHAR(34)),$H642)),ISNUMBER(SEARCH(_xlfn.CONCAT(CHAR(34),CHAR(39)),$H642))),_xlfn.CONCAT("* REVIEW REQUIRED: compound-quote delimiter in Source on Sheet 1 row ",642,"; edit the input before running."),_xlfn.CONCAT("char ",TRIM($B642),"[doc_source] ",CHAR(96),CHAR(34),SUBSTITUTE(SUBSTITUTE(SUBSTITUTE(SUBSTITUTE(SUBSTITUTE(SUBSTITUTE($H642,CHAR(13)," "),CHAR(10)," "),CHAR(9)," "),CHAR(92),_xlfn.CONCAT(CHAR(92),CHAR(92))),"$",_xlfn.CONCAT(CHAR(92),"$")),CHAR(96),_xlfn.CONCAT(CHAR(92),CHAR(96))),CHAR(34),CHAR(39))))</f>
        <v/>
      </c>
      <c r="S642" s="5" t="str">
        <f>IF(OR(TRIM($B642)="",$I642=""),"",IF(OR(ISNUMBER(SEARCH(_xlfn.CONCAT(CHAR(96),CHAR(34)),$I642)),ISNUMBER(SEARCH(_xlfn.CONCAT(CHAR(34),CHAR(39)),$I642))),_xlfn.CONCAT("* REVIEW REQUIRED: compound-quote delimiter in Derivation on Sheet 1 row ",642,"; edit the input before running."),_xlfn.CONCAT("char ",TRIM($B642),"[doc_derivation] ",CHAR(96),CHAR(34),SUBSTITUTE(SUBSTITUTE(SUBSTITUTE(SUBSTITUTE(SUBSTITUTE(SUBSTITUTE($I642,CHAR(13)," "),CHAR(10)," "),CHAR(9)," "),CHAR(92),_xlfn.CONCAT(CHAR(92),CHAR(92))),"$",_xlfn.CONCAT(CHAR(92),"$")),CHAR(96),_xlfn.CONCAT(CHAR(92),CHAR(96))),CHAR(34),CHAR(39))))</f>
        <v/>
      </c>
      <c r="T642" s="5" t="str">
        <f>IF(OR(TRIM($B642)="",$J642=""),"",IF(OR(ISNUMBER(SEARCH(_xlfn.CONCAT(CHAR(96),CHAR(34)),$J642)),ISNUMBER(SEARCH(_xlfn.CONCAT(CHAR(34),CHAR(39)),$J642))),_xlfn.CONCAT("* REVIEW REQUIRED: compound-quote delimiter in Notes on Sheet 1 row ",642,"; edit the input before running."),_xlfn.CONCAT("char ",TRIM($B642),"[doc_notes] ",CHAR(96),CHAR(34),SUBSTITUTE(SUBSTITUTE(SUBSTITUTE(SUBSTITUTE(SUBSTITUTE(SUBSTITUTE($J642,CHAR(13)," "),CHAR(10)," "),CHAR(9)," "),CHAR(92),_xlfn.CONCAT(CHAR(92),CHAR(92))),"$",_xlfn.CONCAT(CHAR(92),"$")),CHAR(96),_xlfn.CONCAT(CHAR(92),CHAR(96))),CHAR(34),CHAR(39))))</f>
        <v/>
      </c>
      <c r="U642" s="5">
        <f t="shared" si="19"/>
        <v>0</v>
      </c>
    </row>
    <row r="643" spans="3:21" ht="30" customHeight="1" x14ac:dyDescent="0.2">
      <c r="C643" s="4"/>
      <c r="K643" s="5">
        <f t="shared" si="18"/>
        <v>0</v>
      </c>
      <c r="L643" s="5" t="str">
        <f>IF(OR(TRIM($B643)="",$A643=""),"",IF(OR(ISNUMBER(SEARCH(_xlfn.CONCAT(CHAR(96),CHAR(34)),$A643)),ISNUMBER(SEARCH(_xlfn.CONCAT(CHAR(34),CHAR(39)),$A643))),_xlfn.CONCAT("* REVIEW REQUIRED: compound-quote delimiter in Codebook Section on Sheet 1 row ",643,"; edit the input before running."),_xlfn.CONCAT("char ",TRIM($B643),"[doc_section] ",CHAR(96),CHAR(34),SUBSTITUTE(SUBSTITUTE(SUBSTITUTE(SUBSTITUTE(SUBSTITUTE(SUBSTITUTE($A643,CHAR(13)," "),CHAR(10)," "),CHAR(9)," "),CHAR(92),_xlfn.CONCAT(CHAR(92),CHAR(92))),"$",_xlfn.CONCAT(CHAR(92),"$")),CHAR(96),_xlfn.CONCAT(CHAR(92),CHAR(96))),CHAR(34),CHAR(39))))</f>
        <v/>
      </c>
      <c r="M643" s="5" t="str">
        <f>IF(OR(TRIM($B643)="",$C643=""),"",IF(IFERROR(MATCH(TRIM($C643),{"Quantitative","Continuous","Discrete","Categorical","Nominal","Ordinal","Identifier"},0),0)=0,_xlfn.CONCAT("* REVIEW REQUIRED: invalid Variable Type on Sheet 1 row ",643,"."),_xlfn.CONCAT("char ",TRIM($B643),"[doc_vartype] ",CHAR(96),CHAR(34),SUBSTITUTE(SUBSTITUTE(SUBSTITUTE(SUBSTITUTE(SUBSTITUTE(SUBSTITUTE(LOWER(TRIM($C643)),CHAR(13)," "),CHAR(10)," "),CHAR(9)," "),CHAR(92),_xlfn.CONCAT(CHAR(92),CHAR(92))),"$",_xlfn.CONCAT(CHAR(92),"$")),CHAR(96),_xlfn.CONCAT(CHAR(92),CHAR(96))),CHAR(34),CHAR(39))))</f>
        <v/>
      </c>
      <c r="N643" s="5" t="str">
        <f>IF(OR(TRIM($B643)="",$D643=""),"",IF(OR(ISNUMBER(SEARCH(_xlfn.CONCAT(CHAR(96),CHAR(34)),$D643)),ISNUMBER(SEARCH(_xlfn.CONCAT(CHAR(34),CHAR(39)),$D643))),_xlfn.CONCAT("* REVIEW REQUIRED: compound-quote delimiter in Item Number on Sheet 1 row ",643,"; edit the input before running."),_xlfn.CONCAT("char ",TRIM($B643),"[doc_itemnum] ",CHAR(96),CHAR(34),SUBSTITUTE(SUBSTITUTE(SUBSTITUTE(SUBSTITUTE(SUBSTITUTE(SUBSTITUTE($D643,CHAR(13)," "),CHAR(10)," "),CHAR(9)," "),CHAR(92),_xlfn.CONCAT(CHAR(92),CHAR(92))),"$",_xlfn.CONCAT(CHAR(92),"$")),CHAR(96),_xlfn.CONCAT(CHAR(92),CHAR(96))),CHAR(34),CHAR(39))))</f>
        <v/>
      </c>
      <c r="O643" s="5" t="str">
        <f>IF(OR(TRIM($B643)="",$E643=""),"",IF(OR(ISNUMBER(SEARCH(_xlfn.CONCAT(CHAR(96),CHAR(34)),$E643)),ISNUMBER(SEARCH(_xlfn.CONCAT(CHAR(34),CHAR(39)),$E643))),_xlfn.CONCAT("* REVIEW REQUIRED: compound-quote delimiter in Question Wording on Sheet 1 row ",643,"; edit the input before running."),_xlfn.CONCAT("char ",TRIM($B643),"[doc_question] ",CHAR(96),CHAR(34),SUBSTITUTE(SUBSTITUTE(SUBSTITUTE(SUBSTITUTE(SUBSTITUTE(SUBSTITUTE($E643,CHAR(13)," "),CHAR(10)," "),CHAR(9)," "),CHAR(92),_xlfn.CONCAT(CHAR(92),CHAR(92))),"$",_xlfn.CONCAT(CHAR(92),"$")),CHAR(96),_xlfn.CONCAT(CHAR(92),CHAR(96))),CHAR(34),CHAR(39))))</f>
        <v/>
      </c>
      <c r="P643" s="5" t="str">
        <f>IF(OR(TRIM($B643)="",$F643=""),"",IF(OR(ISNUMBER(SEARCH(_xlfn.CONCAT(CHAR(96),CHAR(34)),$F643)),ISNUMBER(SEARCH(_xlfn.CONCAT(CHAR(34),CHAR(39)),$F643))),_xlfn.CONCAT("* REVIEW REQUIRED: compound-quote delimiter in Units on Sheet 1 row ",643,"; edit the input before running."),_xlfn.CONCAT("char ",TRIM($B643),"[doc_units] ",CHAR(96),CHAR(34),SUBSTITUTE(SUBSTITUTE(SUBSTITUTE(SUBSTITUTE(SUBSTITUTE(SUBSTITUTE($F643,CHAR(13)," "),CHAR(10)," "),CHAR(9)," "),CHAR(92),_xlfn.CONCAT(CHAR(92),CHAR(92))),"$",_xlfn.CONCAT(CHAR(92),"$")),CHAR(96),_xlfn.CONCAT(CHAR(92),CHAR(96))),CHAR(34),CHAR(39))))</f>
        <v/>
      </c>
      <c r="Q643" s="5" t="str">
        <f>IF(OR(TRIM($B643)="",$G643=""),"",IF(OR(ISNUMBER(SEARCH(_xlfn.CONCAT(CHAR(96),CHAR(34)),$G643)),ISNUMBER(SEARCH(_xlfn.CONCAT(CHAR(34),CHAR(39)),$G643))),_xlfn.CONCAT("* REVIEW REQUIRED: compound-quote delimiter in Universe on Sheet 1 row ",643,"; edit the input before running."),_xlfn.CONCAT("char ",TRIM($B643),"[doc_universe] ",CHAR(96),CHAR(34),SUBSTITUTE(SUBSTITUTE(SUBSTITUTE(SUBSTITUTE(SUBSTITUTE(SUBSTITUTE($G643,CHAR(13)," "),CHAR(10)," "),CHAR(9)," "),CHAR(92),_xlfn.CONCAT(CHAR(92),CHAR(92))),"$",_xlfn.CONCAT(CHAR(92),"$")),CHAR(96),_xlfn.CONCAT(CHAR(92),CHAR(96))),CHAR(34),CHAR(39))))</f>
        <v/>
      </c>
      <c r="R643" s="5" t="str">
        <f>IF(OR(TRIM($B643)="",$H643=""),"",IF(OR(ISNUMBER(SEARCH(_xlfn.CONCAT(CHAR(96),CHAR(34)),$H643)),ISNUMBER(SEARCH(_xlfn.CONCAT(CHAR(34),CHAR(39)),$H643))),_xlfn.CONCAT("* REVIEW REQUIRED: compound-quote delimiter in Source on Sheet 1 row ",643,"; edit the input before running."),_xlfn.CONCAT("char ",TRIM($B643),"[doc_source] ",CHAR(96),CHAR(34),SUBSTITUTE(SUBSTITUTE(SUBSTITUTE(SUBSTITUTE(SUBSTITUTE(SUBSTITUTE($H643,CHAR(13)," "),CHAR(10)," "),CHAR(9)," "),CHAR(92),_xlfn.CONCAT(CHAR(92),CHAR(92))),"$",_xlfn.CONCAT(CHAR(92),"$")),CHAR(96),_xlfn.CONCAT(CHAR(92),CHAR(96))),CHAR(34),CHAR(39))))</f>
        <v/>
      </c>
      <c r="S643" s="5" t="str">
        <f>IF(OR(TRIM($B643)="",$I643=""),"",IF(OR(ISNUMBER(SEARCH(_xlfn.CONCAT(CHAR(96),CHAR(34)),$I643)),ISNUMBER(SEARCH(_xlfn.CONCAT(CHAR(34),CHAR(39)),$I643))),_xlfn.CONCAT("* REVIEW REQUIRED: compound-quote delimiter in Derivation on Sheet 1 row ",643,"; edit the input before running."),_xlfn.CONCAT("char ",TRIM($B643),"[doc_derivation] ",CHAR(96),CHAR(34),SUBSTITUTE(SUBSTITUTE(SUBSTITUTE(SUBSTITUTE(SUBSTITUTE(SUBSTITUTE($I643,CHAR(13)," "),CHAR(10)," "),CHAR(9)," "),CHAR(92),_xlfn.CONCAT(CHAR(92),CHAR(92))),"$",_xlfn.CONCAT(CHAR(92),"$")),CHAR(96),_xlfn.CONCAT(CHAR(92),CHAR(96))),CHAR(34),CHAR(39))))</f>
        <v/>
      </c>
      <c r="T643" s="5" t="str">
        <f>IF(OR(TRIM($B643)="",$J643=""),"",IF(OR(ISNUMBER(SEARCH(_xlfn.CONCAT(CHAR(96),CHAR(34)),$J643)),ISNUMBER(SEARCH(_xlfn.CONCAT(CHAR(34),CHAR(39)),$J643))),_xlfn.CONCAT("* REVIEW REQUIRED: compound-quote delimiter in Notes on Sheet 1 row ",643,"; edit the input before running."),_xlfn.CONCAT("char ",TRIM($B643),"[doc_notes] ",CHAR(96),CHAR(34),SUBSTITUTE(SUBSTITUTE(SUBSTITUTE(SUBSTITUTE(SUBSTITUTE(SUBSTITUTE($J643,CHAR(13)," "),CHAR(10)," "),CHAR(9)," "),CHAR(92),_xlfn.CONCAT(CHAR(92),CHAR(92))),"$",_xlfn.CONCAT(CHAR(92),"$")),CHAR(96),_xlfn.CONCAT(CHAR(92),CHAR(96))),CHAR(34),CHAR(39))))</f>
        <v/>
      </c>
      <c r="U643" s="5">
        <f t="shared" si="19"/>
        <v>0</v>
      </c>
    </row>
    <row r="644" spans="3:21" ht="30" customHeight="1" x14ac:dyDescent="0.2">
      <c r="C644" s="4"/>
      <c r="K644" s="5">
        <f t="shared" si="18"/>
        <v>0</v>
      </c>
      <c r="L644" s="5" t="str">
        <f>IF(OR(TRIM($B644)="",$A644=""),"",IF(OR(ISNUMBER(SEARCH(_xlfn.CONCAT(CHAR(96),CHAR(34)),$A644)),ISNUMBER(SEARCH(_xlfn.CONCAT(CHAR(34),CHAR(39)),$A644))),_xlfn.CONCAT("* REVIEW REQUIRED: compound-quote delimiter in Codebook Section on Sheet 1 row ",644,"; edit the input before running."),_xlfn.CONCAT("char ",TRIM($B644),"[doc_section] ",CHAR(96),CHAR(34),SUBSTITUTE(SUBSTITUTE(SUBSTITUTE(SUBSTITUTE(SUBSTITUTE(SUBSTITUTE($A644,CHAR(13)," "),CHAR(10)," "),CHAR(9)," "),CHAR(92),_xlfn.CONCAT(CHAR(92),CHAR(92))),"$",_xlfn.CONCAT(CHAR(92),"$")),CHAR(96),_xlfn.CONCAT(CHAR(92),CHAR(96))),CHAR(34),CHAR(39))))</f>
        <v/>
      </c>
      <c r="M644" s="5" t="str">
        <f>IF(OR(TRIM($B644)="",$C644=""),"",IF(IFERROR(MATCH(TRIM($C644),{"Quantitative","Continuous","Discrete","Categorical","Nominal","Ordinal","Identifier"},0),0)=0,_xlfn.CONCAT("* REVIEW REQUIRED: invalid Variable Type on Sheet 1 row ",644,"."),_xlfn.CONCAT("char ",TRIM($B644),"[doc_vartype] ",CHAR(96),CHAR(34),SUBSTITUTE(SUBSTITUTE(SUBSTITUTE(SUBSTITUTE(SUBSTITUTE(SUBSTITUTE(LOWER(TRIM($C644)),CHAR(13)," "),CHAR(10)," "),CHAR(9)," "),CHAR(92),_xlfn.CONCAT(CHAR(92),CHAR(92))),"$",_xlfn.CONCAT(CHAR(92),"$")),CHAR(96),_xlfn.CONCAT(CHAR(92),CHAR(96))),CHAR(34),CHAR(39))))</f>
        <v/>
      </c>
      <c r="N644" s="5" t="str">
        <f>IF(OR(TRIM($B644)="",$D644=""),"",IF(OR(ISNUMBER(SEARCH(_xlfn.CONCAT(CHAR(96),CHAR(34)),$D644)),ISNUMBER(SEARCH(_xlfn.CONCAT(CHAR(34),CHAR(39)),$D644))),_xlfn.CONCAT("* REVIEW REQUIRED: compound-quote delimiter in Item Number on Sheet 1 row ",644,"; edit the input before running."),_xlfn.CONCAT("char ",TRIM($B644),"[doc_itemnum] ",CHAR(96),CHAR(34),SUBSTITUTE(SUBSTITUTE(SUBSTITUTE(SUBSTITUTE(SUBSTITUTE(SUBSTITUTE($D644,CHAR(13)," "),CHAR(10)," "),CHAR(9)," "),CHAR(92),_xlfn.CONCAT(CHAR(92),CHAR(92))),"$",_xlfn.CONCAT(CHAR(92),"$")),CHAR(96),_xlfn.CONCAT(CHAR(92),CHAR(96))),CHAR(34),CHAR(39))))</f>
        <v/>
      </c>
      <c r="O644" s="5" t="str">
        <f>IF(OR(TRIM($B644)="",$E644=""),"",IF(OR(ISNUMBER(SEARCH(_xlfn.CONCAT(CHAR(96),CHAR(34)),$E644)),ISNUMBER(SEARCH(_xlfn.CONCAT(CHAR(34),CHAR(39)),$E644))),_xlfn.CONCAT("* REVIEW REQUIRED: compound-quote delimiter in Question Wording on Sheet 1 row ",644,"; edit the input before running."),_xlfn.CONCAT("char ",TRIM($B644),"[doc_question] ",CHAR(96),CHAR(34),SUBSTITUTE(SUBSTITUTE(SUBSTITUTE(SUBSTITUTE(SUBSTITUTE(SUBSTITUTE($E644,CHAR(13)," "),CHAR(10)," "),CHAR(9)," "),CHAR(92),_xlfn.CONCAT(CHAR(92),CHAR(92))),"$",_xlfn.CONCAT(CHAR(92),"$")),CHAR(96),_xlfn.CONCAT(CHAR(92),CHAR(96))),CHAR(34),CHAR(39))))</f>
        <v/>
      </c>
      <c r="P644" s="5" t="str">
        <f>IF(OR(TRIM($B644)="",$F644=""),"",IF(OR(ISNUMBER(SEARCH(_xlfn.CONCAT(CHAR(96),CHAR(34)),$F644)),ISNUMBER(SEARCH(_xlfn.CONCAT(CHAR(34),CHAR(39)),$F644))),_xlfn.CONCAT("* REVIEW REQUIRED: compound-quote delimiter in Units on Sheet 1 row ",644,"; edit the input before running."),_xlfn.CONCAT("char ",TRIM($B644),"[doc_units] ",CHAR(96),CHAR(34),SUBSTITUTE(SUBSTITUTE(SUBSTITUTE(SUBSTITUTE(SUBSTITUTE(SUBSTITUTE($F644,CHAR(13)," "),CHAR(10)," "),CHAR(9)," "),CHAR(92),_xlfn.CONCAT(CHAR(92),CHAR(92))),"$",_xlfn.CONCAT(CHAR(92),"$")),CHAR(96),_xlfn.CONCAT(CHAR(92),CHAR(96))),CHAR(34),CHAR(39))))</f>
        <v/>
      </c>
      <c r="Q644" s="5" t="str">
        <f>IF(OR(TRIM($B644)="",$G644=""),"",IF(OR(ISNUMBER(SEARCH(_xlfn.CONCAT(CHAR(96),CHAR(34)),$G644)),ISNUMBER(SEARCH(_xlfn.CONCAT(CHAR(34),CHAR(39)),$G644))),_xlfn.CONCAT("* REVIEW REQUIRED: compound-quote delimiter in Universe on Sheet 1 row ",644,"; edit the input before running."),_xlfn.CONCAT("char ",TRIM($B644),"[doc_universe] ",CHAR(96),CHAR(34),SUBSTITUTE(SUBSTITUTE(SUBSTITUTE(SUBSTITUTE(SUBSTITUTE(SUBSTITUTE($G644,CHAR(13)," "),CHAR(10)," "),CHAR(9)," "),CHAR(92),_xlfn.CONCAT(CHAR(92),CHAR(92))),"$",_xlfn.CONCAT(CHAR(92),"$")),CHAR(96),_xlfn.CONCAT(CHAR(92),CHAR(96))),CHAR(34),CHAR(39))))</f>
        <v/>
      </c>
      <c r="R644" s="5" t="str">
        <f>IF(OR(TRIM($B644)="",$H644=""),"",IF(OR(ISNUMBER(SEARCH(_xlfn.CONCAT(CHAR(96),CHAR(34)),$H644)),ISNUMBER(SEARCH(_xlfn.CONCAT(CHAR(34),CHAR(39)),$H644))),_xlfn.CONCAT("* REVIEW REQUIRED: compound-quote delimiter in Source on Sheet 1 row ",644,"; edit the input before running."),_xlfn.CONCAT("char ",TRIM($B644),"[doc_source] ",CHAR(96),CHAR(34),SUBSTITUTE(SUBSTITUTE(SUBSTITUTE(SUBSTITUTE(SUBSTITUTE(SUBSTITUTE($H644,CHAR(13)," "),CHAR(10)," "),CHAR(9)," "),CHAR(92),_xlfn.CONCAT(CHAR(92),CHAR(92))),"$",_xlfn.CONCAT(CHAR(92),"$")),CHAR(96),_xlfn.CONCAT(CHAR(92),CHAR(96))),CHAR(34),CHAR(39))))</f>
        <v/>
      </c>
      <c r="S644" s="5" t="str">
        <f>IF(OR(TRIM($B644)="",$I644=""),"",IF(OR(ISNUMBER(SEARCH(_xlfn.CONCAT(CHAR(96),CHAR(34)),$I644)),ISNUMBER(SEARCH(_xlfn.CONCAT(CHAR(34),CHAR(39)),$I644))),_xlfn.CONCAT("* REVIEW REQUIRED: compound-quote delimiter in Derivation on Sheet 1 row ",644,"; edit the input before running."),_xlfn.CONCAT("char ",TRIM($B644),"[doc_derivation] ",CHAR(96),CHAR(34),SUBSTITUTE(SUBSTITUTE(SUBSTITUTE(SUBSTITUTE(SUBSTITUTE(SUBSTITUTE($I644,CHAR(13)," "),CHAR(10)," "),CHAR(9)," "),CHAR(92),_xlfn.CONCAT(CHAR(92),CHAR(92))),"$",_xlfn.CONCAT(CHAR(92),"$")),CHAR(96),_xlfn.CONCAT(CHAR(92),CHAR(96))),CHAR(34),CHAR(39))))</f>
        <v/>
      </c>
      <c r="T644" s="5" t="str">
        <f>IF(OR(TRIM($B644)="",$J644=""),"",IF(OR(ISNUMBER(SEARCH(_xlfn.CONCAT(CHAR(96),CHAR(34)),$J644)),ISNUMBER(SEARCH(_xlfn.CONCAT(CHAR(34),CHAR(39)),$J644))),_xlfn.CONCAT("* REVIEW REQUIRED: compound-quote delimiter in Notes on Sheet 1 row ",644,"; edit the input before running."),_xlfn.CONCAT("char ",TRIM($B644),"[doc_notes] ",CHAR(96),CHAR(34),SUBSTITUTE(SUBSTITUTE(SUBSTITUTE(SUBSTITUTE(SUBSTITUTE(SUBSTITUTE($J644,CHAR(13)," "),CHAR(10)," "),CHAR(9)," "),CHAR(92),_xlfn.CONCAT(CHAR(92),CHAR(92))),"$",_xlfn.CONCAT(CHAR(92),"$")),CHAR(96),_xlfn.CONCAT(CHAR(92),CHAR(96))),CHAR(34),CHAR(39))))</f>
        <v/>
      </c>
      <c r="U644" s="5">
        <f t="shared" si="19"/>
        <v>0</v>
      </c>
    </row>
    <row r="645" spans="3:21" ht="30" customHeight="1" x14ac:dyDescent="0.2">
      <c r="C645" s="4"/>
      <c r="K645" s="5">
        <f t="shared" si="18"/>
        <v>0</v>
      </c>
      <c r="L645" s="5" t="str">
        <f>IF(OR(TRIM($B645)="",$A645=""),"",IF(OR(ISNUMBER(SEARCH(_xlfn.CONCAT(CHAR(96),CHAR(34)),$A645)),ISNUMBER(SEARCH(_xlfn.CONCAT(CHAR(34),CHAR(39)),$A645))),_xlfn.CONCAT("* REVIEW REQUIRED: compound-quote delimiter in Codebook Section on Sheet 1 row ",645,"; edit the input before running."),_xlfn.CONCAT("char ",TRIM($B645),"[doc_section] ",CHAR(96),CHAR(34),SUBSTITUTE(SUBSTITUTE(SUBSTITUTE(SUBSTITUTE(SUBSTITUTE(SUBSTITUTE($A645,CHAR(13)," "),CHAR(10)," "),CHAR(9)," "),CHAR(92),_xlfn.CONCAT(CHAR(92),CHAR(92))),"$",_xlfn.CONCAT(CHAR(92),"$")),CHAR(96),_xlfn.CONCAT(CHAR(92),CHAR(96))),CHAR(34),CHAR(39))))</f>
        <v/>
      </c>
      <c r="M645" s="5" t="str">
        <f>IF(OR(TRIM($B645)="",$C645=""),"",IF(IFERROR(MATCH(TRIM($C645),{"Quantitative","Continuous","Discrete","Categorical","Nominal","Ordinal","Identifier"},0),0)=0,_xlfn.CONCAT("* REVIEW REQUIRED: invalid Variable Type on Sheet 1 row ",645,"."),_xlfn.CONCAT("char ",TRIM($B645),"[doc_vartype] ",CHAR(96),CHAR(34),SUBSTITUTE(SUBSTITUTE(SUBSTITUTE(SUBSTITUTE(SUBSTITUTE(SUBSTITUTE(LOWER(TRIM($C645)),CHAR(13)," "),CHAR(10)," "),CHAR(9)," "),CHAR(92),_xlfn.CONCAT(CHAR(92),CHAR(92))),"$",_xlfn.CONCAT(CHAR(92),"$")),CHAR(96),_xlfn.CONCAT(CHAR(92),CHAR(96))),CHAR(34),CHAR(39))))</f>
        <v/>
      </c>
      <c r="N645" s="5" t="str">
        <f>IF(OR(TRIM($B645)="",$D645=""),"",IF(OR(ISNUMBER(SEARCH(_xlfn.CONCAT(CHAR(96),CHAR(34)),$D645)),ISNUMBER(SEARCH(_xlfn.CONCAT(CHAR(34),CHAR(39)),$D645))),_xlfn.CONCAT("* REVIEW REQUIRED: compound-quote delimiter in Item Number on Sheet 1 row ",645,"; edit the input before running."),_xlfn.CONCAT("char ",TRIM($B645),"[doc_itemnum] ",CHAR(96),CHAR(34),SUBSTITUTE(SUBSTITUTE(SUBSTITUTE(SUBSTITUTE(SUBSTITUTE(SUBSTITUTE($D645,CHAR(13)," "),CHAR(10)," "),CHAR(9)," "),CHAR(92),_xlfn.CONCAT(CHAR(92),CHAR(92))),"$",_xlfn.CONCAT(CHAR(92),"$")),CHAR(96),_xlfn.CONCAT(CHAR(92),CHAR(96))),CHAR(34),CHAR(39))))</f>
        <v/>
      </c>
      <c r="O645" s="5" t="str">
        <f>IF(OR(TRIM($B645)="",$E645=""),"",IF(OR(ISNUMBER(SEARCH(_xlfn.CONCAT(CHAR(96),CHAR(34)),$E645)),ISNUMBER(SEARCH(_xlfn.CONCAT(CHAR(34),CHAR(39)),$E645))),_xlfn.CONCAT("* REVIEW REQUIRED: compound-quote delimiter in Question Wording on Sheet 1 row ",645,"; edit the input before running."),_xlfn.CONCAT("char ",TRIM($B645),"[doc_question] ",CHAR(96),CHAR(34),SUBSTITUTE(SUBSTITUTE(SUBSTITUTE(SUBSTITUTE(SUBSTITUTE(SUBSTITUTE($E645,CHAR(13)," "),CHAR(10)," "),CHAR(9)," "),CHAR(92),_xlfn.CONCAT(CHAR(92),CHAR(92))),"$",_xlfn.CONCAT(CHAR(92),"$")),CHAR(96),_xlfn.CONCAT(CHAR(92),CHAR(96))),CHAR(34),CHAR(39))))</f>
        <v/>
      </c>
      <c r="P645" s="5" t="str">
        <f>IF(OR(TRIM($B645)="",$F645=""),"",IF(OR(ISNUMBER(SEARCH(_xlfn.CONCAT(CHAR(96),CHAR(34)),$F645)),ISNUMBER(SEARCH(_xlfn.CONCAT(CHAR(34),CHAR(39)),$F645))),_xlfn.CONCAT("* REVIEW REQUIRED: compound-quote delimiter in Units on Sheet 1 row ",645,"; edit the input before running."),_xlfn.CONCAT("char ",TRIM($B645),"[doc_units] ",CHAR(96),CHAR(34),SUBSTITUTE(SUBSTITUTE(SUBSTITUTE(SUBSTITUTE(SUBSTITUTE(SUBSTITUTE($F645,CHAR(13)," "),CHAR(10)," "),CHAR(9)," "),CHAR(92),_xlfn.CONCAT(CHAR(92),CHAR(92))),"$",_xlfn.CONCAT(CHAR(92),"$")),CHAR(96),_xlfn.CONCAT(CHAR(92),CHAR(96))),CHAR(34),CHAR(39))))</f>
        <v/>
      </c>
      <c r="Q645" s="5" t="str">
        <f>IF(OR(TRIM($B645)="",$G645=""),"",IF(OR(ISNUMBER(SEARCH(_xlfn.CONCAT(CHAR(96),CHAR(34)),$G645)),ISNUMBER(SEARCH(_xlfn.CONCAT(CHAR(34),CHAR(39)),$G645))),_xlfn.CONCAT("* REVIEW REQUIRED: compound-quote delimiter in Universe on Sheet 1 row ",645,"; edit the input before running."),_xlfn.CONCAT("char ",TRIM($B645),"[doc_universe] ",CHAR(96),CHAR(34),SUBSTITUTE(SUBSTITUTE(SUBSTITUTE(SUBSTITUTE(SUBSTITUTE(SUBSTITUTE($G645,CHAR(13)," "),CHAR(10)," "),CHAR(9)," "),CHAR(92),_xlfn.CONCAT(CHAR(92),CHAR(92))),"$",_xlfn.CONCAT(CHAR(92),"$")),CHAR(96),_xlfn.CONCAT(CHAR(92),CHAR(96))),CHAR(34),CHAR(39))))</f>
        <v/>
      </c>
      <c r="R645" s="5" t="str">
        <f>IF(OR(TRIM($B645)="",$H645=""),"",IF(OR(ISNUMBER(SEARCH(_xlfn.CONCAT(CHAR(96),CHAR(34)),$H645)),ISNUMBER(SEARCH(_xlfn.CONCAT(CHAR(34),CHAR(39)),$H645))),_xlfn.CONCAT("* REVIEW REQUIRED: compound-quote delimiter in Source on Sheet 1 row ",645,"; edit the input before running."),_xlfn.CONCAT("char ",TRIM($B645),"[doc_source] ",CHAR(96),CHAR(34),SUBSTITUTE(SUBSTITUTE(SUBSTITUTE(SUBSTITUTE(SUBSTITUTE(SUBSTITUTE($H645,CHAR(13)," "),CHAR(10)," "),CHAR(9)," "),CHAR(92),_xlfn.CONCAT(CHAR(92),CHAR(92))),"$",_xlfn.CONCAT(CHAR(92),"$")),CHAR(96),_xlfn.CONCAT(CHAR(92),CHAR(96))),CHAR(34),CHAR(39))))</f>
        <v/>
      </c>
      <c r="S645" s="5" t="str">
        <f>IF(OR(TRIM($B645)="",$I645=""),"",IF(OR(ISNUMBER(SEARCH(_xlfn.CONCAT(CHAR(96),CHAR(34)),$I645)),ISNUMBER(SEARCH(_xlfn.CONCAT(CHAR(34),CHAR(39)),$I645))),_xlfn.CONCAT("* REVIEW REQUIRED: compound-quote delimiter in Derivation on Sheet 1 row ",645,"; edit the input before running."),_xlfn.CONCAT("char ",TRIM($B645),"[doc_derivation] ",CHAR(96),CHAR(34),SUBSTITUTE(SUBSTITUTE(SUBSTITUTE(SUBSTITUTE(SUBSTITUTE(SUBSTITUTE($I645,CHAR(13)," "),CHAR(10)," "),CHAR(9)," "),CHAR(92),_xlfn.CONCAT(CHAR(92),CHAR(92))),"$",_xlfn.CONCAT(CHAR(92),"$")),CHAR(96),_xlfn.CONCAT(CHAR(92),CHAR(96))),CHAR(34),CHAR(39))))</f>
        <v/>
      </c>
      <c r="T645" s="5" t="str">
        <f>IF(OR(TRIM($B645)="",$J645=""),"",IF(OR(ISNUMBER(SEARCH(_xlfn.CONCAT(CHAR(96),CHAR(34)),$J645)),ISNUMBER(SEARCH(_xlfn.CONCAT(CHAR(34),CHAR(39)),$J645))),_xlfn.CONCAT("* REVIEW REQUIRED: compound-quote delimiter in Notes on Sheet 1 row ",645,"; edit the input before running."),_xlfn.CONCAT("char ",TRIM($B645),"[doc_notes] ",CHAR(96),CHAR(34),SUBSTITUTE(SUBSTITUTE(SUBSTITUTE(SUBSTITUTE(SUBSTITUTE(SUBSTITUTE($J645,CHAR(13)," "),CHAR(10)," "),CHAR(9)," "),CHAR(92),_xlfn.CONCAT(CHAR(92),CHAR(92))),"$",_xlfn.CONCAT(CHAR(92),"$")),CHAR(96),_xlfn.CONCAT(CHAR(92),CHAR(96))),CHAR(34),CHAR(39))))</f>
        <v/>
      </c>
      <c r="U645" s="5">
        <f t="shared" si="19"/>
        <v>0</v>
      </c>
    </row>
    <row r="646" spans="3:21" ht="30" customHeight="1" x14ac:dyDescent="0.2">
      <c r="C646" s="4"/>
      <c r="K646" s="5">
        <f t="shared" si="18"/>
        <v>0</v>
      </c>
      <c r="L646" s="5" t="str">
        <f>IF(OR(TRIM($B646)="",$A646=""),"",IF(OR(ISNUMBER(SEARCH(_xlfn.CONCAT(CHAR(96),CHAR(34)),$A646)),ISNUMBER(SEARCH(_xlfn.CONCAT(CHAR(34),CHAR(39)),$A646))),_xlfn.CONCAT("* REVIEW REQUIRED: compound-quote delimiter in Codebook Section on Sheet 1 row ",646,"; edit the input before running."),_xlfn.CONCAT("char ",TRIM($B646),"[doc_section] ",CHAR(96),CHAR(34),SUBSTITUTE(SUBSTITUTE(SUBSTITUTE(SUBSTITUTE(SUBSTITUTE(SUBSTITUTE($A646,CHAR(13)," "),CHAR(10)," "),CHAR(9)," "),CHAR(92),_xlfn.CONCAT(CHAR(92),CHAR(92))),"$",_xlfn.CONCAT(CHAR(92),"$")),CHAR(96),_xlfn.CONCAT(CHAR(92),CHAR(96))),CHAR(34),CHAR(39))))</f>
        <v/>
      </c>
      <c r="M646" s="5" t="str">
        <f>IF(OR(TRIM($B646)="",$C646=""),"",IF(IFERROR(MATCH(TRIM($C646),{"Quantitative","Continuous","Discrete","Categorical","Nominal","Ordinal","Identifier"},0),0)=0,_xlfn.CONCAT("* REVIEW REQUIRED: invalid Variable Type on Sheet 1 row ",646,"."),_xlfn.CONCAT("char ",TRIM($B646),"[doc_vartype] ",CHAR(96),CHAR(34),SUBSTITUTE(SUBSTITUTE(SUBSTITUTE(SUBSTITUTE(SUBSTITUTE(SUBSTITUTE(LOWER(TRIM($C646)),CHAR(13)," "),CHAR(10)," "),CHAR(9)," "),CHAR(92),_xlfn.CONCAT(CHAR(92),CHAR(92))),"$",_xlfn.CONCAT(CHAR(92),"$")),CHAR(96),_xlfn.CONCAT(CHAR(92),CHAR(96))),CHAR(34),CHAR(39))))</f>
        <v/>
      </c>
      <c r="N646" s="5" t="str">
        <f>IF(OR(TRIM($B646)="",$D646=""),"",IF(OR(ISNUMBER(SEARCH(_xlfn.CONCAT(CHAR(96),CHAR(34)),$D646)),ISNUMBER(SEARCH(_xlfn.CONCAT(CHAR(34),CHAR(39)),$D646))),_xlfn.CONCAT("* REVIEW REQUIRED: compound-quote delimiter in Item Number on Sheet 1 row ",646,"; edit the input before running."),_xlfn.CONCAT("char ",TRIM($B646),"[doc_itemnum] ",CHAR(96),CHAR(34),SUBSTITUTE(SUBSTITUTE(SUBSTITUTE(SUBSTITUTE(SUBSTITUTE(SUBSTITUTE($D646,CHAR(13)," "),CHAR(10)," "),CHAR(9)," "),CHAR(92),_xlfn.CONCAT(CHAR(92),CHAR(92))),"$",_xlfn.CONCAT(CHAR(92),"$")),CHAR(96),_xlfn.CONCAT(CHAR(92),CHAR(96))),CHAR(34),CHAR(39))))</f>
        <v/>
      </c>
      <c r="O646" s="5" t="str">
        <f>IF(OR(TRIM($B646)="",$E646=""),"",IF(OR(ISNUMBER(SEARCH(_xlfn.CONCAT(CHAR(96),CHAR(34)),$E646)),ISNUMBER(SEARCH(_xlfn.CONCAT(CHAR(34),CHAR(39)),$E646))),_xlfn.CONCAT("* REVIEW REQUIRED: compound-quote delimiter in Question Wording on Sheet 1 row ",646,"; edit the input before running."),_xlfn.CONCAT("char ",TRIM($B646),"[doc_question] ",CHAR(96),CHAR(34),SUBSTITUTE(SUBSTITUTE(SUBSTITUTE(SUBSTITUTE(SUBSTITUTE(SUBSTITUTE($E646,CHAR(13)," "),CHAR(10)," "),CHAR(9)," "),CHAR(92),_xlfn.CONCAT(CHAR(92),CHAR(92))),"$",_xlfn.CONCAT(CHAR(92),"$")),CHAR(96),_xlfn.CONCAT(CHAR(92),CHAR(96))),CHAR(34),CHAR(39))))</f>
        <v/>
      </c>
      <c r="P646" s="5" t="str">
        <f>IF(OR(TRIM($B646)="",$F646=""),"",IF(OR(ISNUMBER(SEARCH(_xlfn.CONCAT(CHAR(96),CHAR(34)),$F646)),ISNUMBER(SEARCH(_xlfn.CONCAT(CHAR(34),CHAR(39)),$F646))),_xlfn.CONCAT("* REVIEW REQUIRED: compound-quote delimiter in Units on Sheet 1 row ",646,"; edit the input before running."),_xlfn.CONCAT("char ",TRIM($B646),"[doc_units] ",CHAR(96),CHAR(34),SUBSTITUTE(SUBSTITUTE(SUBSTITUTE(SUBSTITUTE(SUBSTITUTE(SUBSTITUTE($F646,CHAR(13)," "),CHAR(10)," "),CHAR(9)," "),CHAR(92),_xlfn.CONCAT(CHAR(92),CHAR(92))),"$",_xlfn.CONCAT(CHAR(92),"$")),CHAR(96),_xlfn.CONCAT(CHAR(92),CHAR(96))),CHAR(34),CHAR(39))))</f>
        <v/>
      </c>
      <c r="Q646" s="5" t="str">
        <f>IF(OR(TRIM($B646)="",$G646=""),"",IF(OR(ISNUMBER(SEARCH(_xlfn.CONCAT(CHAR(96),CHAR(34)),$G646)),ISNUMBER(SEARCH(_xlfn.CONCAT(CHAR(34),CHAR(39)),$G646))),_xlfn.CONCAT("* REVIEW REQUIRED: compound-quote delimiter in Universe on Sheet 1 row ",646,"; edit the input before running."),_xlfn.CONCAT("char ",TRIM($B646),"[doc_universe] ",CHAR(96),CHAR(34),SUBSTITUTE(SUBSTITUTE(SUBSTITUTE(SUBSTITUTE(SUBSTITUTE(SUBSTITUTE($G646,CHAR(13)," "),CHAR(10)," "),CHAR(9)," "),CHAR(92),_xlfn.CONCAT(CHAR(92),CHAR(92))),"$",_xlfn.CONCAT(CHAR(92),"$")),CHAR(96),_xlfn.CONCAT(CHAR(92),CHAR(96))),CHAR(34),CHAR(39))))</f>
        <v/>
      </c>
      <c r="R646" s="5" t="str">
        <f>IF(OR(TRIM($B646)="",$H646=""),"",IF(OR(ISNUMBER(SEARCH(_xlfn.CONCAT(CHAR(96),CHAR(34)),$H646)),ISNUMBER(SEARCH(_xlfn.CONCAT(CHAR(34),CHAR(39)),$H646))),_xlfn.CONCAT("* REVIEW REQUIRED: compound-quote delimiter in Source on Sheet 1 row ",646,"; edit the input before running."),_xlfn.CONCAT("char ",TRIM($B646),"[doc_source] ",CHAR(96),CHAR(34),SUBSTITUTE(SUBSTITUTE(SUBSTITUTE(SUBSTITUTE(SUBSTITUTE(SUBSTITUTE($H646,CHAR(13)," "),CHAR(10)," "),CHAR(9)," "),CHAR(92),_xlfn.CONCAT(CHAR(92),CHAR(92))),"$",_xlfn.CONCAT(CHAR(92),"$")),CHAR(96),_xlfn.CONCAT(CHAR(92),CHAR(96))),CHAR(34),CHAR(39))))</f>
        <v/>
      </c>
      <c r="S646" s="5" t="str">
        <f>IF(OR(TRIM($B646)="",$I646=""),"",IF(OR(ISNUMBER(SEARCH(_xlfn.CONCAT(CHAR(96),CHAR(34)),$I646)),ISNUMBER(SEARCH(_xlfn.CONCAT(CHAR(34),CHAR(39)),$I646))),_xlfn.CONCAT("* REVIEW REQUIRED: compound-quote delimiter in Derivation on Sheet 1 row ",646,"; edit the input before running."),_xlfn.CONCAT("char ",TRIM($B646),"[doc_derivation] ",CHAR(96),CHAR(34),SUBSTITUTE(SUBSTITUTE(SUBSTITUTE(SUBSTITUTE(SUBSTITUTE(SUBSTITUTE($I646,CHAR(13)," "),CHAR(10)," "),CHAR(9)," "),CHAR(92),_xlfn.CONCAT(CHAR(92),CHAR(92))),"$",_xlfn.CONCAT(CHAR(92),"$")),CHAR(96),_xlfn.CONCAT(CHAR(92),CHAR(96))),CHAR(34),CHAR(39))))</f>
        <v/>
      </c>
      <c r="T646" s="5" t="str">
        <f>IF(OR(TRIM($B646)="",$J646=""),"",IF(OR(ISNUMBER(SEARCH(_xlfn.CONCAT(CHAR(96),CHAR(34)),$J646)),ISNUMBER(SEARCH(_xlfn.CONCAT(CHAR(34),CHAR(39)),$J646))),_xlfn.CONCAT("* REVIEW REQUIRED: compound-quote delimiter in Notes on Sheet 1 row ",646,"; edit the input before running."),_xlfn.CONCAT("char ",TRIM($B646),"[doc_notes] ",CHAR(96),CHAR(34),SUBSTITUTE(SUBSTITUTE(SUBSTITUTE(SUBSTITUTE(SUBSTITUTE(SUBSTITUTE($J646,CHAR(13)," "),CHAR(10)," "),CHAR(9)," "),CHAR(92),_xlfn.CONCAT(CHAR(92),CHAR(92))),"$",_xlfn.CONCAT(CHAR(92),"$")),CHAR(96),_xlfn.CONCAT(CHAR(92),CHAR(96))),CHAR(34),CHAR(39))))</f>
        <v/>
      </c>
      <c r="U646" s="5">
        <f t="shared" si="19"/>
        <v>0</v>
      </c>
    </row>
    <row r="647" spans="3:21" ht="30" customHeight="1" x14ac:dyDescent="0.2">
      <c r="C647" s="4"/>
      <c r="K647" s="5">
        <f t="shared" si="18"/>
        <v>0</v>
      </c>
      <c r="L647" s="5" t="str">
        <f>IF(OR(TRIM($B647)="",$A647=""),"",IF(OR(ISNUMBER(SEARCH(_xlfn.CONCAT(CHAR(96),CHAR(34)),$A647)),ISNUMBER(SEARCH(_xlfn.CONCAT(CHAR(34),CHAR(39)),$A647))),_xlfn.CONCAT("* REVIEW REQUIRED: compound-quote delimiter in Codebook Section on Sheet 1 row ",647,"; edit the input before running."),_xlfn.CONCAT("char ",TRIM($B647),"[doc_section] ",CHAR(96),CHAR(34),SUBSTITUTE(SUBSTITUTE(SUBSTITUTE(SUBSTITUTE(SUBSTITUTE(SUBSTITUTE($A647,CHAR(13)," "),CHAR(10)," "),CHAR(9)," "),CHAR(92),_xlfn.CONCAT(CHAR(92),CHAR(92))),"$",_xlfn.CONCAT(CHAR(92),"$")),CHAR(96),_xlfn.CONCAT(CHAR(92),CHAR(96))),CHAR(34),CHAR(39))))</f>
        <v/>
      </c>
      <c r="M647" s="5" t="str">
        <f>IF(OR(TRIM($B647)="",$C647=""),"",IF(IFERROR(MATCH(TRIM($C647),{"Quantitative","Continuous","Discrete","Categorical","Nominal","Ordinal","Identifier"},0),0)=0,_xlfn.CONCAT("* REVIEW REQUIRED: invalid Variable Type on Sheet 1 row ",647,"."),_xlfn.CONCAT("char ",TRIM($B647),"[doc_vartype] ",CHAR(96),CHAR(34),SUBSTITUTE(SUBSTITUTE(SUBSTITUTE(SUBSTITUTE(SUBSTITUTE(SUBSTITUTE(LOWER(TRIM($C647)),CHAR(13)," "),CHAR(10)," "),CHAR(9)," "),CHAR(92),_xlfn.CONCAT(CHAR(92),CHAR(92))),"$",_xlfn.CONCAT(CHAR(92),"$")),CHAR(96),_xlfn.CONCAT(CHAR(92),CHAR(96))),CHAR(34),CHAR(39))))</f>
        <v/>
      </c>
      <c r="N647" s="5" t="str">
        <f>IF(OR(TRIM($B647)="",$D647=""),"",IF(OR(ISNUMBER(SEARCH(_xlfn.CONCAT(CHAR(96),CHAR(34)),$D647)),ISNUMBER(SEARCH(_xlfn.CONCAT(CHAR(34),CHAR(39)),$D647))),_xlfn.CONCAT("* REVIEW REQUIRED: compound-quote delimiter in Item Number on Sheet 1 row ",647,"; edit the input before running."),_xlfn.CONCAT("char ",TRIM($B647),"[doc_itemnum] ",CHAR(96),CHAR(34),SUBSTITUTE(SUBSTITUTE(SUBSTITUTE(SUBSTITUTE(SUBSTITUTE(SUBSTITUTE($D647,CHAR(13)," "),CHAR(10)," "),CHAR(9)," "),CHAR(92),_xlfn.CONCAT(CHAR(92),CHAR(92))),"$",_xlfn.CONCAT(CHAR(92),"$")),CHAR(96),_xlfn.CONCAT(CHAR(92),CHAR(96))),CHAR(34),CHAR(39))))</f>
        <v/>
      </c>
      <c r="O647" s="5" t="str">
        <f>IF(OR(TRIM($B647)="",$E647=""),"",IF(OR(ISNUMBER(SEARCH(_xlfn.CONCAT(CHAR(96),CHAR(34)),$E647)),ISNUMBER(SEARCH(_xlfn.CONCAT(CHAR(34),CHAR(39)),$E647))),_xlfn.CONCAT("* REVIEW REQUIRED: compound-quote delimiter in Question Wording on Sheet 1 row ",647,"; edit the input before running."),_xlfn.CONCAT("char ",TRIM($B647),"[doc_question] ",CHAR(96),CHAR(34),SUBSTITUTE(SUBSTITUTE(SUBSTITUTE(SUBSTITUTE(SUBSTITUTE(SUBSTITUTE($E647,CHAR(13)," "),CHAR(10)," "),CHAR(9)," "),CHAR(92),_xlfn.CONCAT(CHAR(92),CHAR(92))),"$",_xlfn.CONCAT(CHAR(92),"$")),CHAR(96),_xlfn.CONCAT(CHAR(92),CHAR(96))),CHAR(34),CHAR(39))))</f>
        <v/>
      </c>
      <c r="P647" s="5" t="str">
        <f>IF(OR(TRIM($B647)="",$F647=""),"",IF(OR(ISNUMBER(SEARCH(_xlfn.CONCAT(CHAR(96),CHAR(34)),$F647)),ISNUMBER(SEARCH(_xlfn.CONCAT(CHAR(34),CHAR(39)),$F647))),_xlfn.CONCAT("* REVIEW REQUIRED: compound-quote delimiter in Units on Sheet 1 row ",647,"; edit the input before running."),_xlfn.CONCAT("char ",TRIM($B647),"[doc_units] ",CHAR(96),CHAR(34),SUBSTITUTE(SUBSTITUTE(SUBSTITUTE(SUBSTITUTE(SUBSTITUTE(SUBSTITUTE($F647,CHAR(13)," "),CHAR(10)," "),CHAR(9)," "),CHAR(92),_xlfn.CONCAT(CHAR(92),CHAR(92))),"$",_xlfn.CONCAT(CHAR(92),"$")),CHAR(96),_xlfn.CONCAT(CHAR(92),CHAR(96))),CHAR(34),CHAR(39))))</f>
        <v/>
      </c>
      <c r="Q647" s="5" t="str">
        <f>IF(OR(TRIM($B647)="",$G647=""),"",IF(OR(ISNUMBER(SEARCH(_xlfn.CONCAT(CHAR(96),CHAR(34)),$G647)),ISNUMBER(SEARCH(_xlfn.CONCAT(CHAR(34),CHAR(39)),$G647))),_xlfn.CONCAT("* REVIEW REQUIRED: compound-quote delimiter in Universe on Sheet 1 row ",647,"; edit the input before running."),_xlfn.CONCAT("char ",TRIM($B647),"[doc_universe] ",CHAR(96),CHAR(34),SUBSTITUTE(SUBSTITUTE(SUBSTITUTE(SUBSTITUTE(SUBSTITUTE(SUBSTITUTE($G647,CHAR(13)," "),CHAR(10)," "),CHAR(9)," "),CHAR(92),_xlfn.CONCAT(CHAR(92),CHAR(92))),"$",_xlfn.CONCAT(CHAR(92),"$")),CHAR(96),_xlfn.CONCAT(CHAR(92),CHAR(96))),CHAR(34),CHAR(39))))</f>
        <v/>
      </c>
      <c r="R647" s="5" t="str">
        <f>IF(OR(TRIM($B647)="",$H647=""),"",IF(OR(ISNUMBER(SEARCH(_xlfn.CONCAT(CHAR(96),CHAR(34)),$H647)),ISNUMBER(SEARCH(_xlfn.CONCAT(CHAR(34),CHAR(39)),$H647))),_xlfn.CONCAT("* REVIEW REQUIRED: compound-quote delimiter in Source on Sheet 1 row ",647,"; edit the input before running."),_xlfn.CONCAT("char ",TRIM($B647),"[doc_source] ",CHAR(96),CHAR(34),SUBSTITUTE(SUBSTITUTE(SUBSTITUTE(SUBSTITUTE(SUBSTITUTE(SUBSTITUTE($H647,CHAR(13)," "),CHAR(10)," "),CHAR(9)," "),CHAR(92),_xlfn.CONCAT(CHAR(92),CHAR(92))),"$",_xlfn.CONCAT(CHAR(92),"$")),CHAR(96),_xlfn.CONCAT(CHAR(92),CHAR(96))),CHAR(34),CHAR(39))))</f>
        <v/>
      </c>
      <c r="S647" s="5" t="str">
        <f>IF(OR(TRIM($B647)="",$I647=""),"",IF(OR(ISNUMBER(SEARCH(_xlfn.CONCAT(CHAR(96),CHAR(34)),$I647)),ISNUMBER(SEARCH(_xlfn.CONCAT(CHAR(34),CHAR(39)),$I647))),_xlfn.CONCAT("* REVIEW REQUIRED: compound-quote delimiter in Derivation on Sheet 1 row ",647,"; edit the input before running."),_xlfn.CONCAT("char ",TRIM($B647),"[doc_derivation] ",CHAR(96),CHAR(34),SUBSTITUTE(SUBSTITUTE(SUBSTITUTE(SUBSTITUTE(SUBSTITUTE(SUBSTITUTE($I647,CHAR(13)," "),CHAR(10)," "),CHAR(9)," "),CHAR(92),_xlfn.CONCAT(CHAR(92),CHAR(92))),"$",_xlfn.CONCAT(CHAR(92),"$")),CHAR(96),_xlfn.CONCAT(CHAR(92),CHAR(96))),CHAR(34),CHAR(39))))</f>
        <v/>
      </c>
      <c r="T647" s="5" t="str">
        <f>IF(OR(TRIM($B647)="",$J647=""),"",IF(OR(ISNUMBER(SEARCH(_xlfn.CONCAT(CHAR(96),CHAR(34)),$J647)),ISNUMBER(SEARCH(_xlfn.CONCAT(CHAR(34),CHAR(39)),$J647))),_xlfn.CONCAT("* REVIEW REQUIRED: compound-quote delimiter in Notes on Sheet 1 row ",647,"; edit the input before running."),_xlfn.CONCAT("char ",TRIM($B647),"[doc_notes] ",CHAR(96),CHAR(34),SUBSTITUTE(SUBSTITUTE(SUBSTITUTE(SUBSTITUTE(SUBSTITUTE(SUBSTITUTE($J647,CHAR(13)," "),CHAR(10)," "),CHAR(9)," "),CHAR(92),_xlfn.CONCAT(CHAR(92),CHAR(92))),"$",_xlfn.CONCAT(CHAR(92),"$")),CHAR(96),_xlfn.CONCAT(CHAR(92),CHAR(96))),CHAR(34),CHAR(39))))</f>
        <v/>
      </c>
      <c r="U647" s="5">
        <f t="shared" si="19"/>
        <v>0</v>
      </c>
    </row>
    <row r="648" spans="3:21" ht="30" customHeight="1" x14ac:dyDescent="0.2">
      <c r="C648" s="4"/>
      <c r="K648" s="5">
        <f t="shared" si="18"/>
        <v>0</v>
      </c>
      <c r="L648" s="5" t="str">
        <f>IF(OR(TRIM($B648)="",$A648=""),"",IF(OR(ISNUMBER(SEARCH(_xlfn.CONCAT(CHAR(96),CHAR(34)),$A648)),ISNUMBER(SEARCH(_xlfn.CONCAT(CHAR(34),CHAR(39)),$A648))),_xlfn.CONCAT("* REVIEW REQUIRED: compound-quote delimiter in Codebook Section on Sheet 1 row ",648,"; edit the input before running."),_xlfn.CONCAT("char ",TRIM($B648),"[doc_section] ",CHAR(96),CHAR(34),SUBSTITUTE(SUBSTITUTE(SUBSTITUTE(SUBSTITUTE(SUBSTITUTE(SUBSTITUTE($A648,CHAR(13)," "),CHAR(10)," "),CHAR(9)," "),CHAR(92),_xlfn.CONCAT(CHAR(92),CHAR(92))),"$",_xlfn.CONCAT(CHAR(92),"$")),CHAR(96),_xlfn.CONCAT(CHAR(92),CHAR(96))),CHAR(34),CHAR(39))))</f>
        <v/>
      </c>
      <c r="M648" s="5" t="str">
        <f>IF(OR(TRIM($B648)="",$C648=""),"",IF(IFERROR(MATCH(TRIM($C648),{"Quantitative","Continuous","Discrete","Categorical","Nominal","Ordinal","Identifier"},0),0)=0,_xlfn.CONCAT("* REVIEW REQUIRED: invalid Variable Type on Sheet 1 row ",648,"."),_xlfn.CONCAT("char ",TRIM($B648),"[doc_vartype] ",CHAR(96),CHAR(34),SUBSTITUTE(SUBSTITUTE(SUBSTITUTE(SUBSTITUTE(SUBSTITUTE(SUBSTITUTE(LOWER(TRIM($C648)),CHAR(13)," "),CHAR(10)," "),CHAR(9)," "),CHAR(92),_xlfn.CONCAT(CHAR(92),CHAR(92))),"$",_xlfn.CONCAT(CHAR(92),"$")),CHAR(96),_xlfn.CONCAT(CHAR(92),CHAR(96))),CHAR(34),CHAR(39))))</f>
        <v/>
      </c>
      <c r="N648" s="5" t="str">
        <f>IF(OR(TRIM($B648)="",$D648=""),"",IF(OR(ISNUMBER(SEARCH(_xlfn.CONCAT(CHAR(96),CHAR(34)),$D648)),ISNUMBER(SEARCH(_xlfn.CONCAT(CHAR(34),CHAR(39)),$D648))),_xlfn.CONCAT("* REVIEW REQUIRED: compound-quote delimiter in Item Number on Sheet 1 row ",648,"; edit the input before running."),_xlfn.CONCAT("char ",TRIM($B648),"[doc_itemnum] ",CHAR(96),CHAR(34),SUBSTITUTE(SUBSTITUTE(SUBSTITUTE(SUBSTITUTE(SUBSTITUTE(SUBSTITUTE($D648,CHAR(13)," "),CHAR(10)," "),CHAR(9)," "),CHAR(92),_xlfn.CONCAT(CHAR(92),CHAR(92))),"$",_xlfn.CONCAT(CHAR(92),"$")),CHAR(96),_xlfn.CONCAT(CHAR(92),CHAR(96))),CHAR(34),CHAR(39))))</f>
        <v/>
      </c>
      <c r="O648" s="5" t="str">
        <f>IF(OR(TRIM($B648)="",$E648=""),"",IF(OR(ISNUMBER(SEARCH(_xlfn.CONCAT(CHAR(96),CHAR(34)),$E648)),ISNUMBER(SEARCH(_xlfn.CONCAT(CHAR(34),CHAR(39)),$E648))),_xlfn.CONCAT("* REVIEW REQUIRED: compound-quote delimiter in Question Wording on Sheet 1 row ",648,"; edit the input before running."),_xlfn.CONCAT("char ",TRIM($B648),"[doc_question] ",CHAR(96),CHAR(34),SUBSTITUTE(SUBSTITUTE(SUBSTITUTE(SUBSTITUTE(SUBSTITUTE(SUBSTITUTE($E648,CHAR(13)," "),CHAR(10)," "),CHAR(9)," "),CHAR(92),_xlfn.CONCAT(CHAR(92),CHAR(92))),"$",_xlfn.CONCAT(CHAR(92),"$")),CHAR(96),_xlfn.CONCAT(CHAR(92),CHAR(96))),CHAR(34),CHAR(39))))</f>
        <v/>
      </c>
      <c r="P648" s="5" t="str">
        <f>IF(OR(TRIM($B648)="",$F648=""),"",IF(OR(ISNUMBER(SEARCH(_xlfn.CONCAT(CHAR(96),CHAR(34)),$F648)),ISNUMBER(SEARCH(_xlfn.CONCAT(CHAR(34),CHAR(39)),$F648))),_xlfn.CONCAT("* REVIEW REQUIRED: compound-quote delimiter in Units on Sheet 1 row ",648,"; edit the input before running."),_xlfn.CONCAT("char ",TRIM($B648),"[doc_units] ",CHAR(96),CHAR(34),SUBSTITUTE(SUBSTITUTE(SUBSTITUTE(SUBSTITUTE(SUBSTITUTE(SUBSTITUTE($F648,CHAR(13)," "),CHAR(10)," "),CHAR(9)," "),CHAR(92),_xlfn.CONCAT(CHAR(92),CHAR(92))),"$",_xlfn.CONCAT(CHAR(92),"$")),CHAR(96),_xlfn.CONCAT(CHAR(92),CHAR(96))),CHAR(34),CHAR(39))))</f>
        <v/>
      </c>
      <c r="Q648" s="5" t="str">
        <f>IF(OR(TRIM($B648)="",$G648=""),"",IF(OR(ISNUMBER(SEARCH(_xlfn.CONCAT(CHAR(96),CHAR(34)),$G648)),ISNUMBER(SEARCH(_xlfn.CONCAT(CHAR(34),CHAR(39)),$G648))),_xlfn.CONCAT("* REVIEW REQUIRED: compound-quote delimiter in Universe on Sheet 1 row ",648,"; edit the input before running."),_xlfn.CONCAT("char ",TRIM($B648),"[doc_universe] ",CHAR(96),CHAR(34),SUBSTITUTE(SUBSTITUTE(SUBSTITUTE(SUBSTITUTE(SUBSTITUTE(SUBSTITUTE($G648,CHAR(13)," "),CHAR(10)," "),CHAR(9)," "),CHAR(92),_xlfn.CONCAT(CHAR(92),CHAR(92))),"$",_xlfn.CONCAT(CHAR(92),"$")),CHAR(96),_xlfn.CONCAT(CHAR(92),CHAR(96))),CHAR(34),CHAR(39))))</f>
        <v/>
      </c>
      <c r="R648" s="5" t="str">
        <f>IF(OR(TRIM($B648)="",$H648=""),"",IF(OR(ISNUMBER(SEARCH(_xlfn.CONCAT(CHAR(96),CHAR(34)),$H648)),ISNUMBER(SEARCH(_xlfn.CONCAT(CHAR(34),CHAR(39)),$H648))),_xlfn.CONCAT("* REVIEW REQUIRED: compound-quote delimiter in Source on Sheet 1 row ",648,"; edit the input before running."),_xlfn.CONCAT("char ",TRIM($B648),"[doc_source] ",CHAR(96),CHAR(34),SUBSTITUTE(SUBSTITUTE(SUBSTITUTE(SUBSTITUTE(SUBSTITUTE(SUBSTITUTE($H648,CHAR(13)," "),CHAR(10)," "),CHAR(9)," "),CHAR(92),_xlfn.CONCAT(CHAR(92),CHAR(92))),"$",_xlfn.CONCAT(CHAR(92),"$")),CHAR(96),_xlfn.CONCAT(CHAR(92),CHAR(96))),CHAR(34),CHAR(39))))</f>
        <v/>
      </c>
      <c r="S648" s="5" t="str">
        <f>IF(OR(TRIM($B648)="",$I648=""),"",IF(OR(ISNUMBER(SEARCH(_xlfn.CONCAT(CHAR(96),CHAR(34)),$I648)),ISNUMBER(SEARCH(_xlfn.CONCAT(CHAR(34),CHAR(39)),$I648))),_xlfn.CONCAT("* REVIEW REQUIRED: compound-quote delimiter in Derivation on Sheet 1 row ",648,"; edit the input before running."),_xlfn.CONCAT("char ",TRIM($B648),"[doc_derivation] ",CHAR(96),CHAR(34),SUBSTITUTE(SUBSTITUTE(SUBSTITUTE(SUBSTITUTE(SUBSTITUTE(SUBSTITUTE($I648,CHAR(13)," "),CHAR(10)," "),CHAR(9)," "),CHAR(92),_xlfn.CONCAT(CHAR(92),CHAR(92))),"$",_xlfn.CONCAT(CHAR(92),"$")),CHAR(96),_xlfn.CONCAT(CHAR(92),CHAR(96))),CHAR(34),CHAR(39))))</f>
        <v/>
      </c>
      <c r="T648" s="5" t="str">
        <f>IF(OR(TRIM($B648)="",$J648=""),"",IF(OR(ISNUMBER(SEARCH(_xlfn.CONCAT(CHAR(96),CHAR(34)),$J648)),ISNUMBER(SEARCH(_xlfn.CONCAT(CHAR(34),CHAR(39)),$J648))),_xlfn.CONCAT("* REVIEW REQUIRED: compound-quote delimiter in Notes on Sheet 1 row ",648,"; edit the input before running."),_xlfn.CONCAT("char ",TRIM($B648),"[doc_notes] ",CHAR(96),CHAR(34),SUBSTITUTE(SUBSTITUTE(SUBSTITUTE(SUBSTITUTE(SUBSTITUTE(SUBSTITUTE($J648,CHAR(13)," "),CHAR(10)," "),CHAR(9)," "),CHAR(92),_xlfn.CONCAT(CHAR(92),CHAR(92))),"$",_xlfn.CONCAT(CHAR(92),"$")),CHAR(96),_xlfn.CONCAT(CHAR(92),CHAR(96))),CHAR(34),CHAR(39))))</f>
        <v/>
      </c>
      <c r="U648" s="5">
        <f t="shared" si="19"/>
        <v>0</v>
      </c>
    </row>
    <row r="649" spans="3:21" ht="30" customHeight="1" x14ac:dyDescent="0.2">
      <c r="C649" s="4"/>
      <c r="K649" s="5">
        <f t="shared" si="18"/>
        <v>0</v>
      </c>
      <c r="L649" s="5" t="str">
        <f>IF(OR(TRIM($B649)="",$A649=""),"",IF(OR(ISNUMBER(SEARCH(_xlfn.CONCAT(CHAR(96),CHAR(34)),$A649)),ISNUMBER(SEARCH(_xlfn.CONCAT(CHAR(34),CHAR(39)),$A649))),_xlfn.CONCAT("* REVIEW REQUIRED: compound-quote delimiter in Codebook Section on Sheet 1 row ",649,"; edit the input before running."),_xlfn.CONCAT("char ",TRIM($B649),"[doc_section] ",CHAR(96),CHAR(34),SUBSTITUTE(SUBSTITUTE(SUBSTITUTE(SUBSTITUTE(SUBSTITUTE(SUBSTITUTE($A649,CHAR(13)," "),CHAR(10)," "),CHAR(9)," "),CHAR(92),_xlfn.CONCAT(CHAR(92),CHAR(92))),"$",_xlfn.CONCAT(CHAR(92),"$")),CHAR(96),_xlfn.CONCAT(CHAR(92),CHAR(96))),CHAR(34),CHAR(39))))</f>
        <v/>
      </c>
      <c r="M649" s="5" t="str">
        <f>IF(OR(TRIM($B649)="",$C649=""),"",IF(IFERROR(MATCH(TRIM($C649),{"Quantitative","Continuous","Discrete","Categorical","Nominal","Ordinal","Identifier"},0),0)=0,_xlfn.CONCAT("* REVIEW REQUIRED: invalid Variable Type on Sheet 1 row ",649,"."),_xlfn.CONCAT("char ",TRIM($B649),"[doc_vartype] ",CHAR(96),CHAR(34),SUBSTITUTE(SUBSTITUTE(SUBSTITUTE(SUBSTITUTE(SUBSTITUTE(SUBSTITUTE(LOWER(TRIM($C649)),CHAR(13)," "),CHAR(10)," "),CHAR(9)," "),CHAR(92),_xlfn.CONCAT(CHAR(92),CHAR(92))),"$",_xlfn.CONCAT(CHAR(92),"$")),CHAR(96),_xlfn.CONCAT(CHAR(92),CHAR(96))),CHAR(34),CHAR(39))))</f>
        <v/>
      </c>
      <c r="N649" s="5" t="str">
        <f>IF(OR(TRIM($B649)="",$D649=""),"",IF(OR(ISNUMBER(SEARCH(_xlfn.CONCAT(CHAR(96),CHAR(34)),$D649)),ISNUMBER(SEARCH(_xlfn.CONCAT(CHAR(34),CHAR(39)),$D649))),_xlfn.CONCAT("* REVIEW REQUIRED: compound-quote delimiter in Item Number on Sheet 1 row ",649,"; edit the input before running."),_xlfn.CONCAT("char ",TRIM($B649),"[doc_itemnum] ",CHAR(96),CHAR(34),SUBSTITUTE(SUBSTITUTE(SUBSTITUTE(SUBSTITUTE(SUBSTITUTE(SUBSTITUTE($D649,CHAR(13)," "),CHAR(10)," "),CHAR(9)," "),CHAR(92),_xlfn.CONCAT(CHAR(92),CHAR(92))),"$",_xlfn.CONCAT(CHAR(92),"$")),CHAR(96),_xlfn.CONCAT(CHAR(92),CHAR(96))),CHAR(34),CHAR(39))))</f>
        <v/>
      </c>
      <c r="O649" s="5" t="str">
        <f>IF(OR(TRIM($B649)="",$E649=""),"",IF(OR(ISNUMBER(SEARCH(_xlfn.CONCAT(CHAR(96),CHAR(34)),$E649)),ISNUMBER(SEARCH(_xlfn.CONCAT(CHAR(34),CHAR(39)),$E649))),_xlfn.CONCAT("* REVIEW REQUIRED: compound-quote delimiter in Question Wording on Sheet 1 row ",649,"; edit the input before running."),_xlfn.CONCAT("char ",TRIM($B649),"[doc_question] ",CHAR(96),CHAR(34),SUBSTITUTE(SUBSTITUTE(SUBSTITUTE(SUBSTITUTE(SUBSTITUTE(SUBSTITUTE($E649,CHAR(13)," "),CHAR(10)," "),CHAR(9)," "),CHAR(92),_xlfn.CONCAT(CHAR(92),CHAR(92))),"$",_xlfn.CONCAT(CHAR(92),"$")),CHAR(96),_xlfn.CONCAT(CHAR(92),CHAR(96))),CHAR(34),CHAR(39))))</f>
        <v/>
      </c>
      <c r="P649" s="5" t="str">
        <f>IF(OR(TRIM($B649)="",$F649=""),"",IF(OR(ISNUMBER(SEARCH(_xlfn.CONCAT(CHAR(96),CHAR(34)),$F649)),ISNUMBER(SEARCH(_xlfn.CONCAT(CHAR(34),CHAR(39)),$F649))),_xlfn.CONCAT("* REVIEW REQUIRED: compound-quote delimiter in Units on Sheet 1 row ",649,"; edit the input before running."),_xlfn.CONCAT("char ",TRIM($B649),"[doc_units] ",CHAR(96),CHAR(34),SUBSTITUTE(SUBSTITUTE(SUBSTITUTE(SUBSTITUTE(SUBSTITUTE(SUBSTITUTE($F649,CHAR(13)," "),CHAR(10)," "),CHAR(9)," "),CHAR(92),_xlfn.CONCAT(CHAR(92),CHAR(92))),"$",_xlfn.CONCAT(CHAR(92),"$")),CHAR(96),_xlfn.CONCAT(CHAR(92),CHAR(96))),CHAR(34),CHAR(39))))</f>
        <v/>
      </c>
      <c r="Q649" s="5" t="str">
        <f>IF(OR(TRIM($B649)="",$G649=""),"",IF(OR(ISNUMBER(SEARCH(_xlfn.CONCAT(CHAR(96),CHAR(34)),$G649)),ISNUMBER(SEARCH(_xlfn.CONCAT(CHAR(34),CHAR(39)),$G649))),_xlfn.CONCAT("* REVIEW REQUIRED: compound-quote delimiter in Universe on Sheet 1 row ",649,"; edit the input before running."),_xlfn.CONCAT("char ",TRIM($B649),"[doc_universe] ",CHAR(96),CHAR(34),SUBSTITUTE(SUBSTITUTE(SUBSTITUTE(SUBSTITUTE(SUBSTITUTE(SUBSTITUTE($G649,CHAR(13)," "),CHAR(10)," "),CHAR(9)," "),CHAR(92),_xlfn.CONCAT(CHAR(92),CHAR(92))),"$",_xlfn.CONCAT(CHAR(92),"$")),CHAR(96),_xlfn.CONCAT(CHAR(92),CHAR(96))),CHAR(34),CHAR(39))))</f>
        <v/>
      </c>
      <c r="R649" s="5" t="str">
        <f>IF(OR(TRIM($B649)="",$H649=""),"",IF(OR(ISNUMBER(SEARCH(_xlfn.CONCAT(CHAR(96),CHAR(34)),$H649)),ISNUMBER(SEARCH(_xlfn.CONCAT(CHAR(34),CHAR(39)),$H649))),_xlfn.CONCAT("* REVIEW REQUIRED: compound-quote delimiter in Source on Sheet 1 row ",649,"; edit the input before running."),_xlfn.CONCAT("char ",TRIM($B649),"[doc_source] ",CHAR(96),CHAR(34),SUBSTITUTE(SUBSTITUTE(SUBSTITUTE(SUBSTITUTE(SUBSTITUTE(SUBSTITUTE($H649,CHAR(13)," "),CHAR(10)," "),CHAR(9)," "),CHAR(92),_xlfn.CONCAT(CHAR(92),CHAR(92))),"$",_xlfn.CONCAT(CHAR(92),"$")),CHAR(96),_xlfn.CONCAT(CHAR(92),CHAR(96))),CHAR(34),CHAR(39))))</f>
        <v/>
      </c>
      <c r="S649" s="5" t="str">
        <f>IF(OR(TRIM($B649)="",$I649=""),"",IF(OR(ISNUMBER(SEARCH(_xlfn.CONCAT(CHAR(96),CHAR(34)),$I649)),ISNUMBER(SEARCH(_xlfn.CONCAT(CHAR(34),CHAR(39)),$I649))),_xlfn.CONCAT("* REVIEW REQUIRED: compound-quote delimiter in Derivation on Sheet 1 row ",649,"; edit the input before running."),_xlfn.CONCAT("char ",TRIM($B649),"[doc_derivation] ",CHAR(96),CHAR(34),SUBSTITUTE(SUBSTITUTE(SUBSTITUTE(SUBSTITUTE(SUBSTITUTE(SUBSTITUTE($I649,CHAR(13)," "),CHAR(10)," "),CHAR(9)," "),CHAR(92),_xlfn.CONCAT(CHAR(92),CHAR(92))),"$",_xlfn.CONCAT(CHAR(92),"$")),CHAR(96),_xlfn.CONCAT(CHAR(92),CHAR(96))),CHAR(34),CHAR(39))))</f>
        <v/>
      </c>
      <c r="T649" s="5" t="str">
        <f>IF(OR(TRIM($B649)="",$J649=""),"",IF(OR(ISNUMBER(SEARCH(_xlfn.CONCAT(CHAR(96),CHAR(34)),$J649)),ISNUMBER(SEARCH(_xlfn.CONCAT(CHAR(34),CHAR(39)),$J649))),_xlfn.CONCAT("* REVIEW REQUIRED: compound-quote delimiter in Notes on Sheet 1 row ",649,"; edit the input before running."),_xlfn.CONCAT("char ",TRIM($B649),"[doc_notes] ",CHAR(96),CHAR(34),SUBSTITUTE(SUBSTITUTE(SUBSTITUTE(SUBSTITUTE(SUBSTITUTE(SUBSTITUTE($J649,CHAR(13)," "),CHAR(10)," "),CHAR(9)," "),CHAR(92),_xlfn.CONCAT(CHAR(92),CHAR(92))),"$",_xlfn.CONCAT(CHAR(92),"$")),CHAR(96),_xlfn.CONCAT(CHAR(92),CHAR(96))),CHAR(34),CHAR(39))))</f>
        <v/>
      </c>
      <c r="U649" s="5">
        <f t="shared" si="19"/>
        <v>0</v>
      </c>
    </row>
    <row r="650" spans="3:21" ht="30" customHeight="1" x14ac:dyDescent="0.2">
      <c r="C650" s="4"/>
      <c r="K650" s="5">
        <f t="shared" si="18"/>
        <v>0</v>
      </c>
      <c r="L650" s="5" t="str">
        <f>IF(OR(TRIM($B650)="",$A650=""),"",IF(OR(ISNUMBER(SEARCH(_xlfn.CONCAT(CHAR(96),CHAR(34)),$A650)),ISNUMBER(SEARCH(_xlfn.CONCAT(CHAR(34),CHAR(39)),$A650))),_xlfn.CONCAT("* REVIEW REQUIRED: compound-quote delimiter in Codebook Section on Sheet 1 row ",650,"; edit the input before running."),_xlfn.CONCAT("char ",TRIM($B650),"[doc_section] ",CHAR(96),CHAR(34),SUBSTITUTE(SUBSTITUTE(SUBSTITUTE(SUBSTITUTE(SUBSTITUTE(SUBSTITUTE($A650,CHAR(13)," "),CHAR(10)," "),CHAR(9)," "),CHAR(92),_xlfn.CONCAT(CHAR(92),CHAR(92))),"$",_xlfn.CONCAT(CHAR(92),"$")),CHAR(96),_xlfn.CONCAT(CHAR(92),CHAR(96))),CHAR(34),CHAR(39))))</f>
        <v/>
      </c>
      <c r="M650" s="5" t="str">
        <f>IF(OR(TRIM($B650)="",$C650=""),"",IF(IFERROR(MATCH(TRIM($C650),{"Quantitative","Continuous","Discrete","Categorical","Nominal","Ordinal","Identifier"},0),0)=0,_xlfn.CONCAT("* REVIEW REQUIRED: invalid Variable Type on Sheet 1 row ",650,"."),_xlfn.CONCAT("char ",TRIM($B650),"[doc_vartype] ",CHAR(96),CHAR(34),SUBSTITUTE(SUBSTITUTE(SUBSTITUTE(SUBSTITUTE(SUBSTITUTE(SUBSTITUTE(LOWER(TRIM($C650)),CHAR(13)," "),CHAR(10)," "),CHAR(9)," "),CHAR(92),_xlfn.CONCAT(CHAR(92),CHAR(92))),"$",_xlfn.CONCAT(CHAR(92),"$")),CHAR(96),_xlfn.CONCAT(CHAR(92),CHAR(96))),CHAR(34),CHAR(39))))</f>
        <v/>
      </c>
      <c r="N650" s="5" t="str">
        <f>IF(OR(TRIM($B650)="",$D650=""),"",IF(OR(ISNUMBER(SEARCH(_xlfn.CONCAT(CHAR(96),CHAR(34)),$D650)),ISNUMBER(SEARCH(_xlfn.CONCAT(CHAR(34),CHAR(39)),$D650))),_xlfn.CONCAT("* REVIEW REQUIRED: compound-quote delimiter in Item Number on Sheet 1 row ",650,"; edit the input before running."),_xlfn.CONCAT("char ",TRIM($B650),"[doc_itemnum] ",CHAR(96),CHAR(34),SUBSTITUTE(SUBSTITUTE(SUBSTITUTE(SUBSTITUTE(SUBSTITUTE(SUBSTITUTE($D650,CHAR(13)," "),CHAR(10)," "),CHAR(9)," "),CHAR(92),_xlfn.CONCAT(CHAR(92),CHAR(92))),"$",_xlfn.CONCAT(CHAR(92),"$")),CHAR(96),_xlfn.CONCAT(CHAR(92),CHAR(96))),CHAR(34),CHAR(39))))</f>
        <v/>
      </c>
      <c r="O650" s="5" t="str">
        <f>IF(OR(TRIM($B650)="",$E650=""),"",IF(OR(ISNUMBER(SEARCH(_xlfn.CONCAT(CHAR(96),CHAR(34)),$E650)),ISNUMBER(SEARCH(_xlfn.CONCAT(CHAR(34),CHAR(39)),$E650))),_xlfn.CONCAT("* REVIEW REQUIRED: compound-quote delimiter in Question Wording on Sheet 1 row ",650,"; edit the input before running."),_xlfn.CONCAT("char ",TRIM($B650),"[doc_question] ",CHAR(96),CHAR(34),SUBSTITUTE(SUBSTITUTE(SUBSTITUTE(SUBSTITUTE(SUBSTITUTE(SUBSTITUTE($E650,CHAR(13)," "),CHAR(10)," "),CHAR(9)," "),CHAR(92),_xlfn.CONCAT(CHAR(92),CHAR(92))),"$",_xlfn.CONCAT(CHAR(92),"$")),CHAR(96),_xlfn.CONCAT(CHAR(92),CHAR(96))),CHAR(34),CHAR(39))))</f>
        <v/>
      </c>
      <c r="P650" s="5" t="str">
        <f>IF(OR(TRIM($B650)="",$F650=""),"",IF(OR(ISNUMBER(SEARCH(_xlfn.CONCAT(CHAR(96),CHAR(34)),$F650)),ISNUMBER(SEARCH(_xlfn.CONCAT(CHAR(34),CHAR(39)),$F650))),_xlfn.CONCAT("* REVIEW REQUIRED: compound-quote delimiter in Units on Sheet 1 row ",650,"; edit the input before running."),_xlfn.CONCAT("char ",TRIM($B650),"[doc_units] ",CHAR(96),CHAR(34),SUBSTITUTE(SUBSTITUTE(SUBSTITUTE(SUBSTITUTE(SUBSTITUTE(SUBSTITUTE($F650,CHAR(13)," "),CHAR(10)," "),CHAR(9)," "),CHAR(92),_xlfn.CONCAT(CHAR(92),CHAR(92))),"$",_xlfn.CONCAT(CHAR(92),"$")),CHAR(96),_xlfn.CONCAT(CHAR(92),CHAR(96))),CHAR(34),CHAR(39))))</f>
        <v/>
      </c>
      <c r="Q650" s="5" t="str">
        <f>IF(OR(TRIM($B650)="",$G650=""),"",IF(OR(ISNUMBER(SEARCH(_xlfn.CONCAT(CHAR(96),CHAR(34)),$G650)),ISNUMBER(SEARCH(_xlfn.CONCAT(CHAR(34),CHAR(39)),$G650))),_xlfn.CONCAT("* REVIEW REQUIRED: compound-quote delimiter in Universe on Sheet 1 row ",650,"; edit the input before running."),_xlfn.CONCAT("char ",TRIM($B650),"[doc_universe] ",CHAR(96),CHAR(34),SUBSTITUTE(SUBSTITUTE(SUBSTITUTE(SUBSTITUTE(SUBSTITUTE(SUBSTITUTE($G650,CHAR(13)," "),CHAR(10)," "),CHAR(9)," "),CHAR(92),_xlfn.CONCAT(CHAR(92),CHAR(92))),"$",_xlfn.CONCAT(CHAR(92),"$")),CHAR(96),_xlfn.CONCAT(CHAR(92),CHAR(96))),CHAR(34),CHAR(39))))</f>
        <v/>
      </c>
      <c r="R650" s="5" t="str">
        <f>IF(OR(TRIM($B650)="",$H650=""),"",IF(OR(ISNUMBER(SEARCH(_xlfn.CONCAT(CHAR(96),CHAR(34)),$H650)),ISNUMBER(SEARCH(_xlfn.CONCAT(CHAR(34),CHAR(39)),$H650))),_xlfn.CONCAT("* REVIEW REQUIRED: compound-quote delimiter in Source on Sheet 1 row ",650,"; edit the input before running."),_xlfn.CONCAT("char ",TRIM($B650),"[doc_source] ",CHAR(96),CHAR(34),SUBSTITUTE(SUBSTITUTE(SUBSTITUTE(SUBSTITUTE(SUBSTITUTE(SUBSTITUTE($H650,CHAR(13)," "),CHAR(10)," "),CHAR(9)," "),CHAR(92),_xlfn.CONCAT(CHAR(92),CHAR(92))),"$",_xlfn.CONCAT(CHAR(92),"$")),CHAR(96),_xlfn.CONCAT(CHAR(92),CHAR(96))),CHAR(34),CHAR(39))))</f>
        <v/>
      </c>
      <c r="S650" s="5" t="str">
        <f>IF(OR(TRIM($B650)="",$I650=""),"",IF(OR(ISNUMBER(SEARCH(_xlfn.CONCAT(CHAR(96),CHAR(34)),$I650)),ISNUMBER(SEARCH(_xlfn.CONCAT(CHAR(34),CHAR(39)),$I650))),_xlfn.CONCAT("* REVIEW REQUIRED: compound-quote delimiter in Derivation on Sheet 1 row ",650,"; edit the input before running."),_xlfn.CONCAT("char ",TRIM($B650),"[doc_derivation] ",CHAR(96),CHAR(34),SUBSTITUTE(SUBSTITUTE(SUBSTITUTE(SUBSTITUTE(SUBSTITUTE(SUBSTITUTE($I650,CHAR(13)," "),CHAR(10)," "),CHAR(9)," "),CHAR(92),_xlfn.CONCAT(CHAR(92),CHAR(92))),"$",_xlfn.CONCAT(CHAR(92),"$")),CHAR(96),_xlfn.CONCAT(CHAR(92),CHAR(96))),CHAR(34),CHAR(39))))</f>
        <v/>
      </c>
      <c r="T650" s="5" t="str">
        <f>IF(OR(TRIM($B650)="",$J650=""),"",IF(OR(ISNUMBER(SEARCH(_xlfn.CONCAT(CHAR(96),CHAR(34)),$J650)),ISNUMBER(SEARCH(_xlfn.CONCAT(CHAR(34),CHAR(39)),$J650))),_xlfn.CONCAT("* REVIEW REQUIRED: compound-quote delimiter in Notes on Sheet 1 row ",650,"; edit the input before running."),_xlfn.CONCAT("char ",TRIM($B650),"[doc_notes] ",CHAR(96),CHAR(34),SUBSTITUTE(SUBSTITUTE(SUBSTITUTE(SUBSTITUTE(SUBSTITUTE(SUBSTITUTE($J650,CHAR(13)," "),CHAR(10)," "),CHAR(9)," "),CHAR(92),_xlfn.CONCAT(CHAR(92),CHAR(92))),"$",_xlfn.CONCAT(CHAR(92),"$")),CHAR(96),_xlfn.CONCAT(CHAR(92),CHAR(96))),CHAR(34),CHAR(39))))</f>
        <v/>
      </c>
      <c r="U650" s="5">
        <f t="shared" si="19"/>
        <v>0</v>
      </c>
    </row>
    <row r="651" spans="3:21" ht="30" customHeight="1" x14ac:dyDescent="0.2">
      <c r="C651" s="4"/>
      <c r="K651" s="5">
        <f t="shared" si="18"/>
        <v>0</v>
      </c>
      <c r="L651" s="5" t="str">
        <f>IF(OR(TRIM($B651)="",$A651=""),"",IF(OR(ISNUMBER(SEARCH(_xlfn.CONCAT(CHAR(96),CHAR(34)),$A651)),ISNUMBER(SEARCH(_xlfn.CONCAT(CHAR(34),CHAR(39)),$A651))),_xlfn.CONCAT("* REVIEW REQUIRED: compound-quote delimiter in Codebook Section on Sheet 1 row ",651,"; edit the input before running."),_xlfn.CONCAT("char ",TRIM($B651),"[doc_section] ",CHAR(96),CHAR(34),SUBSTITUTE(SUBSTITUTE(SUBSTITUTE(SUBSTITUTE(SUBSTITUTE(SUBSTITUTE($A651,CHAR(13)," "),CHAR(10)," "),CHAR(9)," "),CHAR(92),_xlfn.CONCAT(CHAR(92),CHAR(92))),"$",_xlfn.CONCAT(CHAR(92),"$")),CHAR(96),_xlfn.CONCAT(CHAR(92),CHAR(96))),CHAR(34),CHAR(39))))</f>
        <v/>
      </c>
      <c r="M651" s="5" t="str">
        <f>IF(OR(TRIM($B651)="",$C651=""),"",IF(IFERROR(MATCH(TRIM($C651),{"Quantitative","Continuous","Discrete","Categorical","Nominal","Ordinal","Identifier"},0),0)=0,_xlfn.CONCAT("* REVIEW REQUIRED: invalid Variable Type on Sheet 1 row ",651,"."),_xlfn.CONCAT("char ",TRIM($B651),"[doc_vartype] ",CHAR(96),CHAR(34),SUBSTITUTE(SUBSTITUTE(SUBSTITUTE(SUBSTITUTE(SUBSTITUTE(SUBSTITUTE(LOWER(TRIM($C651)),CHAR(13)," "),CHAR(10)," "),CHAR(9)," "),CHAR(92),_xlfn.CONCAT(CHAR(92),CHAR(92))),"$",_xlfn.CONCAT(CHAR(92),"$")),CHAR(96),_xlfn.CONCAT(CHAR(92),CHAR(96))),CHAR(34),CHAR(39))))</f>
        <v/>
      </c>
      <c r="N651" s="5" t="str">
        <f>IF(OR(TRIM($B651)="",$D651=""),"",IF(OR(ISNUMBER(SEARCH(_xlfn.CONCAT(CHAR(96),CHAR(34)),$D651)),ISNUMBER(SEARCH(_xlfn.CONCAT(CHAR(34),CHAR(39)),$D651))),_xlfn.CONCAT("* REVIEW REQUIRED: compound-quote delimiter in Item Number on Sheet 1 row ",651,"; edit the input before running."),_xlfn.CONCAT("char ",TRIM($B651),"[doc_itemnum] ",CHAR(96),CHAR(34),SUBSTITUTE(SUBSTITUTE(SUBSTITUTE(SUBSTITUTE(SUBSTITUTE(SUBSTITUTE($D651,CHAR(13)," "),CHAR(10)," "),CHAR(9)," "),CHAR(92),_xlfn.CONCAT(CHAR(92),CHAR(92))),"$",_xlfn.CONCAT(CHAR(92),"$")),CHAR(96),_xlfn.CONCAT(CHAR(92),CHAR(96))),CHAR(34),CHAR(39))))</f>
        <v/>
      </c>
      <c r="O651" s="5" t="str">
        <f>IF(OR(TRIM($B651)="",$E651=""),"",IF(OR(ISNUMBER(SEARCH(_xlfn.CONCAT(CHAR(96),CHAR(34)),$E651)),ISNUMBER(SEARCH(_xlfn.CONCAT(CHAR(34),CHAR(39)),$E651))),_xlfn.CONCAT("* REVIEW REQUIRED: compound-quote delimiter in Question Wording on Sheet 1 row ",651,"; edit the input before running."),_xlfn.CONCAT("char ",TRIM($B651),"[doc_question] ",CHAR(96),CHAR(34),SUBSTITUTE(SUBSTITUTE(SUBSTITUTE(SUBSTITUTE(SUBSTITUTE(SUBSTITUTE($E651,CHAR(13)," "),CHAR(10)," "),CHAR(9)," "),CHAR(92),_xlfn.CONCAT(CHAR(92),CHAR(92))),"$",_xlfn.CONCAT(CHAR(92),"$")),CHAR(96),_xlfn.CONCAT(CHAR(92),CHAR(96))),CHAR(34),CHAR(39))))</f>
        <v/>
      </c>
      <c r="P651" s="5" t="str">
        <f>IF(OR(TRIM($B651)="",$F651=""),"",IF(OR(ISNUMBER(SEARCH(_xlfn.CONCAT(CHAR(96),CHAR(34)),$F651)),ISNUMBER(SEARCH(_xlfn.CONCAT(CHAR(34),CHAR(39)),$F651))),_xlfn.CONCAT("* REVIEW REQUIRED: compound-quote delimiter in Units on Sheet 1 row ",651,"; edit the input before running."),_xlfn.CONCAT("char ",TRIM($B651),"[doc_units] ",CHAR(96),CHAR(34),SUBSTITUTE(SUBSTITUTE(SUBSTITUTE(SUBSTITUTE(SUBSTITUTE(SUBSTITUTE($F651,CHAR(13)," "),CHAR(10)," "),CHAR(9)," "),CHAR(92),_xlfn.CONCAT(CHAR(92),CHAR(92))),"$",_xlfn.CONCAT(CHAR(92),"$")),CHAR(96),_xlfn.CONCAT(CHAR(92),CHAR(96))),CHAR(34),CHAR(39))))</f>
        <v/>
      </c>
      <c r="Q651" s="5" t="str">
        <f>IF(OR(TRIM($B651)="",$G651=""),"",IF(OR(ISNUMBER(SEARCH(_xlfn.CONCAT(CHAR(96),CHAR(34)),$G651)),ISNUMBER(SEARCH(_xlfn.CONCAT(CHAR(34),CHAR(39)),$G651))),_xlfn.CONCAT("* REVIEW REQUIRED: compound-quote delimiter in Universe on Sheet 1 row ",651,"; edit the input before running."),_xlfn.CONCAT("char ",TRIM($B651),"[doc_universe] ",CHAR(96),CHAR(34),SUBSTITUTE(SUBSTITUTE(SUBSTITUTE(SUBSTITUTE(SUBSTITUTE(SUBSTITUTE($G651,CHAR(13)," "),CHAR(10)," "),CHAR(9)," "),CHAR(92),_xlfn.CONCAT(CHAR(92),CHAR(92))),"$",_xlfn.CONCAT(CHAR(92),"$")),CHAR(96),_xlfn.CONCAT(CHAR(92),CHAR(96))),CHAR(34),CHAR(39))))</f>
        <v/>
      </c>
      <c r="R651" s="5" t="str">
        <f>IF(OR(TRIM($B651)="",$H651=""),"",IF(OR(ISNUMBER(SEARCH(_xlfn.CONCAT(CHAR(96),CHAR(34)),$H651)),ISNUMBER(SEARCH(_xlfn.CONCAT(CHAR(34),CHAR(39)),$H651))),_xlfn.CONCAT("* REVIEW REQUIRED: compound-quote delimiter in Source on Sheet 1 row ",651,"; edit the input before running."),_xlfn.CONCAT("char ",TRIM($B651),"[doc_source] ",CHAR(96),CHAR(34),SUBSTITUTE(SUBSTITUTE(SUBSTITUTE(SUBSTITUTE(SUBSTITUTE(SUBSTITUTE($H651,CHAR(13)," "),CHAR(10)," "),CHAR(9)," "),CHAR(92),_xlfn.CONCAT(CHAR(92),CHAR(92))),"$",_xlfn.CONCAT(CHAR(92),"$")),CHAR(96),_xlfn.CONCAT(CHAR(92),CHAR(96))),CHAR(34),CHAR(39))))</f>
        <v/>
      </c>
      <c r="S651" s="5" t="str">
        <f>IF(OR(TRIM($B651)="",$I651=""),"",IF(OR(ISNUMBER(SEARCH(_xlfn.CONCAT(CHAR(96),CHAR(34)),$I651)),ISNUMBER(SEARCH(_xlfn.CONCAT(CHAR(34),CHAR(39)),$I651))),_xlfn.CONCAT("* REVIEW REQUIRED: compound-quote delimiter in Derivation on Sheet 1 row ",651,"; edit the input before running."),_xlfn.CONCAT("char ",TRIM($B651),"[doc_derivation] ",CHAR(96),CHAR(34),SUBSTITUTE(SUBSTITUTE(SUBSTITUTE(SUBSTITUTE(SUBSTITUTE(SUBSTITUTE($I651,CHAR(13)," "),CHAR(10)," "),CHAR(9)," "),CHAR(92),_xlfn.CONCAT(CHAR(92),CHAR(92))),"$",_xlfn.CONCAT(CHAR(92),"$")),CHAR(96),_xlfn.CONCAT(CHAR(92),CHAR(96))),CHAR(34),CHAR(39))))</f>
        <v/>
      </c>
      <c r="T651" s="5" t="str">
        <f>IF(OR(TRIM($B651)="",$J651=""),"",IF(OR(ISNUMBER(SEARCH(_xlfn.CONCAT(CHAR(96),CHAR(34)),$J651)),ISNUMBER(SEARCH(_xlfn.CONCAT(CHAR(34),CHAR(39)),$J651))),_xlfn.CONCAT("* REVIEW REQUIRED: compound-quote delimiter in Notes on Sheet 1 row ",651,"; edit the input before running."),_xlfn.CONCAT("char ",TRIM($B651),"[doc_notes] ",CHAR(96),CHAR(34),SUBSTITUTE(SUBSTITUTE(SUBSTITUTE(SUBSTITUTE(SUBSTITUTE(SUBSTITUTE($J651,CHAR(13)," "),CHAR(10)," "),CHAR(9)," "),CHAR(92),_xlfn.CONCAT(CHAR(92),CHAR(92))),"$",_xlfn.CONCAT(CHAR(92),"$")),CHAR(96),_xlfn.CONCAT(CHAR(92),CHAR(96))),CHAR(34),CHAR(39))))</f>
        <v/>
      </c>
      <c r="U651" s="5">
        <f t="shared" si="19"/>
        <v>0</v>
      </c>
    </row>
    <row r="652" spans="3:21" ht="30" customHeight="1" x14ac:dyDescent="0.2">
      <c r="C652" s="4"/>
      <c r="K652" s="5">
        <f t="shared" si="18"/>
        <v>0</v>
      </c>
      <c r="L652" s="5" t="str">
        <f>IF(OR(TRIM($B652)="",$A652=""),"",IF(OR(ISNUMBER(SEARCH(_xlfn.CONCAT(CHAR(96),CHAR(34)),$A652)),ISNUMBER(SEARCH(_xlfn.CONCAT(CHAR(34),CHAR(39)),$A652))),_xlfn.CONCAT("* REVIEW REQUIRED: compound-quote delimiter in Codebook Section on Sheet 1 row ",652,"; edit the input before running."),_xlfn.CONCAT("char ",TRIM($B652),"[doc_section] ",CHAR(96),CHAR(34),SUBSTITUTE(SUBSTITUTE(SUBSTITUTE(SUBSTITUTE(SUBSTITUTE(SUBSTITUTE($A652,CHAR(13)," "),CHAR(10)," "),CHAR(9)," "),CHAR(92),_xlfn.CONCAT(CHAR(92),CHAR(92))),"$",_xlfn.CONCAT(CHAR(92),"$")),CHAR(96),_xlfn.CONCAT(CHAR(92),CHAR(96))),CHAR(34),CHAR(39))))</f>
        <v/>
      </c>
      <c r="M652" s="5" t="str">
        <f>IF(OR(TRIM($B652)="",$C652=""),"",IF(IFERROR(MATCH(TRIM($C652),{"Quantitative","Continuous","Discrete","Categorical","Nominal","Ordinal","Identifier"},0),0)=0,_xlfn.CONCAT("* REVIEW REQUIRED: invalid Variable Type on Sheet 1 row ",652,"."),_xlfn.CONCAT("char ",TRIM($B652),"[doc_vartype] ",CHAR(96),CHAR(34),SUBSTITUTE(SUBSTITUTE(SUBSTITUTE(SUBSTITUTE(SUBSTITUTE(SUBSTITUTE(LOWER(TRIM($C652)),CHAR(13)," "),CHAR(10)," "),CHAR(9)," "),CHAR(92),_xlfn.CONCAT(CHAR(92),CHAR(92))),"$",_xlfn.CONCAT(CHAR(92),"$")),CHAR(96),_xlfn.CONCAT(CHAR(92),CHAR(96))),CHAR(34),CHAR(39))))</f>
        <v/>
      </c>
      <c r="N652" s="5" t="str">
        <f>IF(OR(TRIM($B652)="",$D652=""),"",IF(OR(ISNUMBER(SEARCH(_xlfn.CONCAT(CHAR(96),CHAR(34)),$D652)),ISNUMBER(SEARCH(_xlfn.CONCAT(CHAR(34),CHAR(39)),$D652))),_xlfn.CONCAT("* REVIEW REQUIRED: compound-quote delimiter in Item Number on Sheet 1 row ",652,"; edit the input before running."),_xlfn.CONCAT("char ",TRIM($B652),"[doc_itemnum] ",CHAR(96),CHAR(34),SUBSTITUTE(SUBSTITUTE(SUBSTITUTE(SUBSTITUTE(SUBSTITUTE(SUBSTITUTE($D652,CHAR(13)," "),CHAR(10)," "),CHAR(9)," "),CHAR(92),_xlfn.CONCAT(CHAR(92),CHAR(92))),"$",_xlfn.CONCAT(CHAR(92),"$")),CHAR(96),_xlfn.CONCAT(CHAR(92),CHAR(96))),CHAR(34),CHAR(39))))</f>
        <v/>
      </c>
      <c r="O652" s="5" t="str">
        <f>IF(OR(TRIM($B652)="",$E652=""),"",IF(OR(ISNUMBER(SEARCH(_xlfn.CONCAT(CHAR(96),CHAR(34)),$E652)),ISNUMBER(SEARCH(_xlfn.CONCAT(CHAR(34),CHAR(39)),$E652))),_xlfn.CONCAT("* REVIEW REQUIRED: compound-quote delimiter in Question Wording on Sheet 1 row ",652,"; edit the input before running."),_xlfn.CONCAT("char ",TRIM($B652),"[doc_question] ",CHAR(96),CHAR(34),SUBSTITUTE(SUBSTITUTE(SUBSTITUTE(SUBSTITUTE(SUBSTITUTE(SUBSTITUTE($E652,CHAR(13)," "),CHAR(10)," "),CHAR(9)," "),CHAR(92),_xlfn.CONCAT(CHAR(92),CHAR(92))),"$",_xlfn.CONCAT(CHAR(92),"$")),CHAR(96),_xlfn.CONCAT(CHAR(92),CHAR(96))),CHAR(34),CHAR(39))))</f>
        <v/>
      </c>
      <c r="P652" s="5" t="str">
        <f>IF(OR(TRIM($B652)="",$F652=""),"",IF(OR(ISNUMBER(SEARCH(_xlfn.CONCAT(CHAR(96),CHAR(34)),$F652)),ISNUMBER(SEARCH(_xlfn.CONCAT(CHAR(34),CHAR(39)),$F652))),_xlfn.CONCAT("* REVIEW REQUIRED: compound-quote delimiter in Units on Sheet 1 row ",652,"; edit the input before running."),_xlfn.CONCAT("char ",TRIM($B652),"[doc_units] ",CHAR(96),CHAR(34),SUBSTITUTE(SUBSTITUTE(SUBSTITUTE(SUBSTITUTE(SUBSTITUTE(SUBSTITUTE($F652,CHAR(13)," "),CHAR(10)," "),CHAR(9)," "),CHAR(92),_xlfn.CONCAT(CHAR(92),CHAR(92))),"$",_xlfn.CONCAT(CHAR(92),"$")),CHAR(96),_xlfn.CONCAT(CHAR(92),CHAR(96))),CHAR(34),CHAR(39))))</f>
        <v/>
      </c>
      <c r="Q652" s="5" t="str">
        <f>IF(OR(TRIM($B652)="",$G652=""),"",IF(OR(ISNUMBER(SEARCH(_xlfn.CONCAT(CHAR(96),CHAR(34)),$G652)),ISNUMBER(SEARCH(_xlfn.CONCAT(CHAR(34),CHAR(39)),$G652))),_xlfn.CONCAT("* REVIEW REQUIRED: compound-quote delimiter in Universe on Sheet 1 row ",652,"; edit the input before running."),_xlfn.CONCAT("char ",TRIM($B652),"[doc_universe] ",CHAR(96),CHAR(34),SUBSTITUTE(SUBSTITUTE(SUBSTITUTE(SUBSTITUTE(SUBSTITUTE(SUBSTITUTE($G652,CHAR(13)," "),CHAR(10)," "),CHAR(9)," "),CHAR(92),_xlfn.CONCAT(CHAR(92),CHAR(92))),"$",_xlfn.CONCAT(CHAR(92),"$")),CHAR(96),_xlfn.CONCAT(CHAR(92),CHAR(96))),CHAR(34),CHAR(39))))</f>
        <v/>
      </c>
      <c r="R652" s="5" t="str">
        <f>IF(OR(TRIM($B652)="",$H652=""),"",IF(OR(ISNUMBER(SEARCH(_xlfn.CONCAT(CHAR(96),CHAR(34)),$H652)),ISNUMBER(SEARCH(_xlfn.CONCAT(CHAR(34),CHAR(39)),$H652))),_xlfn.CONCAT("* REVIEW REQUIRED: compound-quote delimiter in Source on Sheet 1 row ",652,"; edit the input before running."),_xlfn.CONCAT("char ",TRIM($B652),"[doc_source] ",CHAR(96),CHAR(34),SUBSTITUTE(SUBSTITUTE(SUBSTITUTE(SUBSTITUTE(SUBSTITUTE(SUBSTITUTE($H652,CHAR(13)," "),CHAR(10)," "),CHAR(9)," "),CHAR(92),_xlfn.CONCAT(CHAR(92),CHAR(92))),"$",_xlfn.CONCAT(CHAR(92),"$")),CHAR(96),_xlfn.CONCAT(CHAR(92),CHAR(96))),CHAR(34),CHAR(39))))</f>
        <v/>
      </c>
      <c r="S652" s="5" t="str">
        <f>IF(OR(TRIM($B652)="",$I652=""),"",IF(OR(ISNUMBER(SEARCH(_xlfn.CONCAT(CHAR(96),CHAR(34)),$I652)),ISNUMBER(SEARCH(_xlfn.CONCAT(CHAR(34),CHAR(39)),$I652))),_xlfn.CONCAT("* REVIEW REQUIRED: compound-quote delimiter in Derivation on Sheet 1 row ",652,"; edit the input before running."),_xlfn.CONCAT("char ",TRIM($B652),"[doc_derivation] ",CHAR(96),CHAR(34),SUBSTITUTE(SUBSTITUTE(SUBSTITUTE(SUBSTITUTE(SUBSTITUTE(SUBSTITUTE($I652,CHAR(13)," "),CHAR(10)," "),CHAR(9)," "),CHAR(92),_xlfn.CONCAT(CHAR(92),CHAR(92))),"$",_xlfn.CONCAT(CHAR(92),"$")),CHAR(96),_xlfn.CONCAT(CHAR(92),CHAR(96))),CHAR(34),CHAR(39))))</f>
        <v/>
      </c>
      <c r="T652" s="5" t="str">
        <f>IF(OR(TRIM($B652)="",$J652=""),"",IF(OR(ISNUMBER(SEARCH(_xlfn.CONCAT(CHAR(96),CHAR(34)),$J652)),ISNUMBER(SEARCH(_xlfn.CONCAT(CHAR(34),CHAR(39)),$J652))),_xlfn.CONCAT("* REVIEW REQUIRED: compound-quote delimiter in Notes on Sheet 1 row ",652,"; edit the input before running."),_xlfn.CONCAT("char ",TRIM($B652),"[doc_notes] ",CHAR(96),CHAR(34),SUBSTITUTE(SUBSTITUTE(SUBSTITUTE(SUBSTITUTE(SUBSTITUTE(SUBSTITUTE($J652,CHAR(13)," "),CHAR(10)," "),CHAR(9)," "),CHAR(92),_xlfn.CONCAT(CHAR(92),CHAR(92))),"$",_xlfn.CONCAT(CHAR(92),"$")),CHAR(96),_xlfn.CONCAT(CHAR(92),CHAR(96))),CHAR(34),CHAR(39))))</f>
        <v/>
      </c>
      <c r="U652" s="5">
        <f t="shared" si="19"/>
        <v>0</v>
      </c>
    </row>
    <row r="653" spans="3:21" ht="30" customHeight="1" x14ac:dyDescent="0.2">
      <c r="C653" s="4"/>
      <c r="K653" s="5">
        <f t="shared" si="18"/>
        <v>0</v>
      </c>
      <c r="L653" s="5" t="str">
        <f>IF(OR(TRIM($B653)="",$A653=""),"",IF(OR(ISNUMBER(SEARCH(_xlfn.CONCAT(CHAR(96),CHAR(34)),$A653)),ISNUMBER(SEARCH(_xlfn.CONCAT(CHAR(34),CHAR(39)),$A653))),_xlfn.CONCAT("* REVIEW REQUIRED: compound-quote delimiter in Codebook Section on Sheet 1 row ",653,"; edit the input before running."),_xlfn.CONCAT("char ",TRIM($B653),"[doc_section] ",CHAR(96),CHAR(34),SUBSTITUTE(SUBSTITUTE(SUBSTITUTE(SUBSTITUTE(SUBSTITUTE(SUBSTITUTE($A653,CHAR(13)," "),CHAR(10)," "),CHAR(9)," "),CHAR(92),_xlfn.CONCAT(CHAR(92),CHAR(92))),"$",_xlfn.CONCAT(CHAR(92),"$")),CHAR(96),_xlfn.CONCAT(CHAR(92),CHAR(96))),CHAR(34),CHAR(39))))</f>
        <v/>
      </c>
      <c r="M653" s="5" t="str">
        <f>IF(OR(TRIM($B653)="",$C653=""),"",IF(IFERROR(MATCH(TRIM($C653),{"Quantitative","Continuous","Discrete","Categorical","Nominal","Ordinal","Identifier"},0),0)=0,_xlfn.CONCAT("* REVIEW REQUIRED: invalid Variable Type on Sheet 1 row ",653,"."),_xlfn.CONCAT("char ",TRIM($B653),"[doc_vartype] ",CHAR(96),CHAR(34),SUBSTITUTE(SUBSTITUTE(SUBSTITUTE(SUBSTITUTE(SUBSTITUTE(SUBSTITUTE(LOWER(TRIM($C653)),CHAR(13)," "),CHAR(10)," "),CHAR(9)," "),CHAR(92),_xlfn.CONCAT(CHAR(92),CHAR(92))),"$",_xlfn.CONCAT(CHAR(92),"$")),CHAR(96),_xlfn.CONCAT(CHAR(92),CHAR(96))),CHAR(34),CHAR(39))))</f>
        <v/>
      </c>
      <c r="N653" s="5" t="str">
        <f>IF(OR(TRIM($B653)="",$D653=""),"",IF(OR(ISNUMBER(SEARCH(_xlfn.CONCAT(CHAR(96),CHAR(34)),$D653)),ISNUMBER(SEARCH(_xlfn.CONCAT(CHAR(34),CHAR(39)),$D653))),_xlfn.CONCAT("* REVIEW REQUIRED: compound-quote delimiter in Item Number on Sheet 1 row ",653,"; edit the input before running."),_xlfn.CONCAT("char ",TRIM($B653),"[doc_itemnum] ",CHAR(96),CHAR(34),SUBSTITUTE(SUBSTITUTE(SUBSTITUTE(SUBSTITUTE(SUBSTITUTE(SUBSTITUTE($D653,CHAR(13)," "),CHAR(10)," "),CHAR(9)," "),CHAR(92),_xlfn.CONCAT(CHAR(92),CHAR(92))),"$",_xlfn.CONCAT(CHAR(92),"$")),CHAR(96),_xlfn.CONCAT(CHAR(92),CHAR(96))),CHAR(34),CHAR(39))))</f>
        <v/>
      </c>
      <c r="O653" s="5" t="str">
        <f>IF(OR(TRIM($B653)="",$E653=""),"",IF(OR(ISNUMBER(SEARCH(_xlfn.CONCAT(CHAR(96),CHAR(34)),$E653)),ISNUMBER(SEARCH(_xlfn.CONCAT(CHAR(34),CHAR(39)),$E653))),_xlfn.CONCAT("* REVIEW REQUIRED: compound-quote delimiter in Question Wording on Sheet 1 row ",653,"; edit the input before running."),_xlfn.CONCAT("char ",TRIM($B653),"[doc_question] ",CHAR(96),CHAR(34),SUBSTITUTE(SUBSTITUTE(SUBSTITUTE(SUBSTITUTE(SUBSTITUTE(SUBSTITUTE($E653,CHAR(13)," "),CHAR(10)," "),CHAR(9)," "),CHAR(92),_xlfn.CONCAT(CHAR(92),CHAR(92))),"$",_xlfn.CONCAT(CHAR(92),"$")),CHAR(96),_xlfn.CONCAT(CHAR(92),CHAR(96))),CHAR(34),CHAR(39))))</f>
        <v/>
      </c>
      <c r="P653" s="5" t="str">
        <f>IF(OR(TRIM($B653)="",$F653=""),"",IF(OR(ISNUMBER(SEARCH(_xlfn.CONCAT(CHAR(96),CHAR(34)),$F653)),ISNUMBER(SEARCH(_xlfn.CONCAT(CHAR(34),CHAR(39)),$F653))),_xlfn.CONCAT("* REVIEW REQUIRED: compound-quote delimiter in Units on Sheet 1 row ",653,"; edit the input before running."),_xlfn.CONCAT("char ",TRIM($B653),"[doc_units] ",CHAR(96),CHAR(34),SUBSTITUTE(SUBSTITUTE(SUBSTITUTE(SUBSTITUTE(SUBSTITUTE(SUBSTITUTE($F653,CHAR(13)," "),CHAR(10)," "),CHAR(9)," "),CHAR(92),_xlfn.CONCAT(CHAR(92),CHAR(92))),"$",_xlfn.CONCAT(CHAR(92),"$")),CHAR(96),_xlfn.CONCAT(CHAR(92),CHAR(96))),CHAR(34),CHAR(39))))</f>
        <v/>
      </c>
      <c r="Q653" s="5" t="str">
        <f>IF(OR(TRIM($B653)="",$G653=""),"",IF(OR(ISNUMBER(SEARCH(_xlfn.CONCAT(CHAR(96),CHAR(34)),$G653)),ISNUMBER(SEARCH(_xlfn.CONCAT(CHAR(34),CHAR(39)),$G653))),_xlfn.CONCAT("* REVIEW REQUIRED: compound-quote delimiter in Universe on Sheet 1 row ",653,"; edit the input before running."),_xlfn.CONCAT("char ",TRIM($B653),"[doc_universe] ",CHAR(96),CHAR(34),SUBSTITUTE(SUBSTITUTE(SUBSTITUTE(SUBSTITUTE(SUBSTITUTE(SUBSTITUTE($G653,CHAR(13)," "),CHAR(10)," "),CHAR(9)," "),CHAR(92),_xlfn.CONCAT(CHAR(92),CHAR(92))),"$",_xlfn.CONCAT(CHAR(92),"$")),CHAR(96),_xlfn.CONCAT(CHAR(92),CHAR(96))),CHAR(34),CHAR(39))))</f>
        <v/>
      </c>
      <c r="R653" s="5" t="str">
        <f>IF(OR(TRIM($B653)="",$H653=""),"",IF(OR(ISNUMBER(SEARCH(_xlfn.CONCAT(CHAR(96),CHAR(34)),$H653)),ISNUMBER(SEARCH(_xlfn.CONCAT(CHAR(34),CHAR(39)),$H653))),_xlfn.CONCAT("* REVIEW REQUIRED: compound-quote delimiter in Source on Sheet 1 row ",653,"; edit the input before running."),_xlfn.CONCAT("char ",TRIM($B653),"[doc_source] ",CHAR(96),CHAR(34),SUBSTITUTE(SUBSTITUTE(SUBSTITUTE(SUBSTITUTE(SUBSTITUTE(SUBSTITUTE($H653,CHAR(13)," "),CHAR(10)," "),CHAR(9)," "),CHAR(92),_xlfn.CONCAT(CHAR(92),CHAR(92))),"$",_xlfn.CONCAT(CHAR(92),"$")),CHAR(96),_xlfn.CONCAT(CHAR(92),CHAR(96))),CHAR(34),CHAR(39))))</f>
        <v/>
      </c>
      <c r="S653" s="5" t="str">
        <f>IF(OR(TRIM($B653)="",$I653=""),"",IF(OR(ISNUMBER(SEARCH(_xlfn.CONCAT(CHAR(96),CHAR(34)),$I653)),ISNUMBER(SEARCH(_xlfn.CONCAT(CHAR(34),CHAR(39)),$I653))),_xlfn.CONCAT("* REVIEW REQUIRED: compound-quote delimiter in Derivation on Sheet 1 row ",653,"; edit the input before running."),_xlfn.CONCAT("char ",TRIM($B653),"[doc_derivation] ",CHAR(96),CHAR(34),SUBSTITUTE(SUBSTITUTE(SUBSTITUTE(SUBSTITUTE(SUBSTITUTE(SUBSTITUTE($I653,CHAR(13)," "),CHAR(10)," "),CHAR(9)," "),CHAR(92),_xlfn.CONCAT(CHAR(92),CHAR(92))),"$",_xlfn.CONCAT(CHAR(92),"$")),CHAR(96),_xlfn.CONCAT(CHAR(92),CHAR(96))),CHAR(34),CHAR(39))))</f>
        <v/>
      </c>
      <c r="T653" s="5" t="str">
        <f>IF(OR(TRIM($B653)="",$J653=""),"",IF(OR(ISNUMBER(SEARCH(_xlfn.CONCAT(CHAR(96),CHAR(34)),$J653)),ISNUMBER(SEARCH(_xlfn.CONCAT(CHAR(34),CHAR(39)),$J653))),_xlfn.CONCAT("* REVIEW REQUIRED: compound-quote delimiter in Notes on Sheet 1 row ",653,"; edit the input before running."),_xlfn.CONCAT("char ",TRIM($B653),"[doc_notes] ",CHAR(96),CHAR(34),SUBSTITUTE(SUBSTITUTE(SUBSTITUTE(SUBSTITUTE(SUBSTITUTE(SUBSTITUTE($J653,CHAR(13)," "),CHAR(10)," "),CHAR(9)," "),CHAR(92),_xlfn.CONCAT(CHAR(92),CHAR(92))),"$",_xlfn.CONCAT(CHAR(92),"$")),CHAR(96),_xlfn.CONCAT(CHAR(92),CHAR(96))),CHAR(34),CHAR(39))))</f>
        <v/>
      </c>
      <c r="U653" s="5">
        <f t="shared" si="19"/>
        <v>0</v>
      </c>
    </row>
    <row r="654" spans="3:21" ht="30" customHeight="1" x14ac:dyDescent="0.2">
      <c r="C654" s="4"/>
      <c r="K654" s="5">
        <f t="shared" si="18"/>
        <v>0</v>
      </c>
      <c r="L654" s="5" t="str">
        <f>IF(OR(TRIM($B654)="",$A654=""),"",IF(OR(ISNUMBER(SEARCH(_xlfn.CONCAT(CHAR(96),CHAR(34)),$A654)),ISNUMBER(SEARCH(_xlfn.CONCAT(CHAR(34),CHAR(39)),$A654))),_xlfn.CONCAT("* REVIEW REQUIRED: compound-quote delimiter in Codebook Section on Sheet 1 row ",654,"; edit the input before running."),_xlfn.CONCAT("char ",TRIM($B654),"[doc_section] ",CHAR(96),CHAR(34),SUBSTITUTE(SUBSTITUTE(SUBSTITUTE(SUBSTITUTE(SUBSTITUTE(SUBSTITUTE($A654,CHAR(13)," "),CHAR(10)," "),CHAR(9)," "),CHAR(92),_xlfn.CONCAT(CHAR(92),CHAR(92))),"$",_xlfn.CONCAT(CHAR(92),"$")),CHAR(96),_xlfn.CONCAT(CHAR(92),CHAR(96))),CHAR(34),CHAR(39))))</f>
        <v/>
      </c>
      <c r="M654" s="5" t="str">
        <f>IF(OR(TRIM($B654)="",$C654=""),"",IF(IFERROR(MATCH(TRIM($C654),{"Quantitative","Continuous","Discrete","Categorical","Nominal","Ordinal","Identifier"},0),0)=0,_xlfn.CONCAT("* REVIEW REQUIRED: invalid Variable Type on Sheet 1 row ",654,"."),_xlfn.CONCAT("char ",TRIM($B654),"[doc_vartype] ",CHAR(96),CHAR(34),SUBSTITUTE(SUBSTITUTE(SUBSTITUTE(SUBSTITUTE(SUBSTITUTE(SUBSTITUTE(LOWER(TRIM($C654)),CHAR(13)," "),CHAR(10)," "),CHAR(9)," "),CHAR(92),_xlfn.CONCAT(CHAR(92),CHAR(92))),"$",_xlfn.CONCAT(CHAR(92),"$")),CHAR(96),_xlfn.CONCAT(CHAR(92),CHAR(96))),CHAR(34),CHAR(39))))</f>
        <v/>
      </c>
      <c r="N654" s="5" t="str">
        <f>IF(OR(TRIM($B654)="",$D654=""),"",IF(OR(ISNUMBER(SEARCH(_xlfn.CONCAT(CHAR(96),CHAR(34)),$D654)),ISNUMBER(SEARCH(_xlfn.CONCAT(CHAR(34),CHAR(39)),$D654))),_xlfn.CONCAT("* REVIEW REQUIRED: compound-quote delimiter in Item Number on Sheet 1 row ",654,"; edit the input before running."),_xlfn.CONCAT("char ",TRIM($B654),"[doc_itemnum] ",CHAR(96),CHAR(34),SUBSTITUTE(SUBSTITUTE(SUBSTITUTE(SUBSTITUTE(SUBSTITUTE(SUBSTITUTE($D654,CHAR(13)," "),CHAR(10)," "),CHAR(9)," "),CHAR(92),_xlfn.CONCAT(CHAR(92),CHAR(92))),"$",_xlfn.CONCAT(CHAR(92),"$")),CHAR(96),_xlfn.CONCAT(CHAR(92),CHAR(96))),CHAR(34),CHAR(39))))</f>
        <v/>
      </c>
      <c r="O654" s="5" t="str">
        <f>IF(OR(TRIM($B654)="",$E654=""),"",IF(OR(ISNUMBER(SEARCH(_xlfn.CONCAT(CHAR(96),CHAR(34)),$E654)),ISNUMBER(SEARCH(_xlfn.CONCAT(CHAR(34),CHAR(39)),$E654))),_xlfn.CONCAT("* REVIEW REQUIRED: compound-quote delimiter in Question Wording on Sheet 1 row ",654,"; edit the input before running."),_xlfn.CONCAT("char ",TRIM($B654),"[doc_question] ",CHAR(96),CHAR(34),SUBSTITUTE(SUBSTITUTE(SUBSTITUTE(SUBSTITUTE(SUBSTITUTE(SUBSTITUTE($E654,CHAR(13)," "),CHAR(10)," "),CHAR(9)," "),CHAR(92),_xlfn.CONCAT(CHAR(92),CHAR(92))),"$",_xlfn.CONCAT(CHAR(92),"$")),CHAR(96),_xlfn.CONCAT(CHAR(92),CHAR(96))),CHAR(34),CHAR(39))))</f>
        <v/>
      </c>
      <c r="P654" s="5" t="str">
        <f>IF(OR(TRIM($B654)="",$F654=""),"",IF(OR(ISNUMBER(SEARCH(_xlfn.CONCAT(CHAR(96),CHAR(34)),$F654)),ISNUMBER(SEARCH(_xlfn.CONCAT(CHAR(34),CHAR(39)),$F654))),_xlfn.CONCAT("* REVIEW REQUIRED: compound-quote delimiter in Units on Sheet 1 row ",654,"; edit the input before running."),_xlfn.CONCAT("char ",TRIM($B654),"[doc_units] ",CHAR(96),CHAR(34),SUBSTITUTE(SUBSTITUTE(SUBSTITUTE(SUBSTITUTE(SUBSTITUTE(SUBSTITUTE($F654,CHAR(13)," "),CHAR(10)," "),CHAR(9)," "),CHAR(92),_xlfn.CONCAT(CHAR(92),CHAR(92))),"$",_xlfn.CONCAT(CHAR(92),"$")),CHAR(96),_xlfn.CONCAT(CHAR(92),CHAR(96))),CHAR(34),CHAR(39))))</f>
        <v/>
      </c>
      <c r="Q654" s="5" t="str">
        <f>IF(OR(TRIM($B654)="",$G654=""),"",IF(OR(ISNUMBER(SEARCH(_xlfn.CONCAT(CHAR(96),CHAR(34)),$G654)),ISNUMBER(SEARCH(_xlfn.CONCAT(CHAR(34),CHAR(39)),$G654))),_xlfn.CONCAT("* REVIEW REQUIRED: compound-quote delimiter in Universe on Sheet 1 row ",654,"; edit the input before running."),_xlfn.CONCAT("char ",TRIM($B654),"[doc_universe] ",CHAR(96),CHAR(34),SUBSTITUTE(SUBSTITUTE(SUBSTITUTE(SUBSTITUTE(SUBSTITUTE(SUBSTITUTE($G654,CHAR(13)," "),CHAR(10)," "),CHAR(9)," "),CHAR(92),_xlfn.CONCAT(CHAR(92),CHAR(92))),"$",_xlfn.CONCAT(CHAR(92),"$")),CHAR(96),_xlfn.CONCAT(CHAR(92),CHAR(96))),CHAR(34),CHAR(39))))</f>
        <v/>
      </c>
      <c r="R654" s="5" t="str">
        <f>IF(OR(TRIM($B654)="",$H654=""),"",IF(OR(ISNUMBER(SEARCH(_xlfn.CONCAT(CHAR(96),CHAR(34)),$H654)),ISNUMBER(SEARCH(_xlfn.CONCAT(CHAR(34),CHAR(39)),$H654))),_xlfn.CONCAT("* REVIEW REQUIRED: compound-quote delimiter in Source on Sheet 1 row ",654,"; edit the input before running."),_xlfn.CONCAT("char ",TRIM($B654),"[doc_source] ",CHAR(96),CHAR(34),SUBSTITUTE(SUBSTITUTE(SUBSTITUTE(SUBSTITUTE(SUBSTITUTE(SUBSTITUTE($H654,CHAR(13)," "),CHAR(10)," "),CHAR(9)," "),CHAR(92),_xlfn.CONCAT(CHAR(92),CHAR(92))),"$",_xlfn.CONCAT(CHAR(92),"$")),CHAR(96),_xlfn.CONCAT(CHAR(92),CHAR(96))),CHAR(34),CHAR(39))))</f>
        <v/>
      </c>
      <c r="S654" s="5" t="str">
        <f>IF(OR(TRIM($B654)="",$I654=""),"",IF(OR(ISNUMBER(SEARCH(_xlfn.CONCAT(CHAR(96),CHAR(34)),$I654)),ISNUMBER(SEARCH(_xlfn.CONCAT(CHAR(34),CHAR(39)),$I654))),_xlfn.CONCAT("* REVIEW REQUIRED: compound-quote delimiter in Derivation on Sheet 1 row ",654,"; edit the input before running."),_xlfn.CONCAT("char ",TRIM($B654),"[doc_derivation] ",CHAR(96),CHAR(34),SUBSTITUTE(SUBSTITUTE(SUBSTITUTE(SUBSTITUTE(SUBSTITUTE(SUBSTITUTE($I654,CHAR(13)," "),CHAR(10)," "),CHAR(9)," "),CHAR(92),_xlfn.CONCAT(CHAR(92),CHAR(92))),"$",_xlfn.CONCAT(CHAR(92),"$")),CHAR(96),_xlfn.CONCAT(CHAR(92),CHAR(96))),CHAR(34),CHAR(39))))</f>
        <v/>
      </c>
      <c r="T654" s="5" t="str">
        <f>IF(OR(TRIM($B654)="",$J654=""),"",IF(OR(ISNUMBER(SEARCH(_xlfn.CONCAT(CHAR(96),CHAR(34)),$J654)),ISNUMBER(SEARCH(_xlfn.CONCAT(CHAR(34),CHAR(39)),$J654))),_xlfn.CONCAT("* REVIEW REQUIRED: compound-quote delimiter in Notes on Sheet 1 row ",654,"; edit the input before running."),_xlfn.CONCAT("char ",TRIM($B654),"[doc_notes] ",CHAR(96),CHAR(34),SUBSTITUTE(SUBSTITUTE(SUBSTITUTE(SUBSTITUTE(SUBSTITUTE(SUBSTITUTE($J654,CHAR(13)," "),CHAR(10)," "),CHAR(9)," "),CHAR(92),_xlfn.CONCAT(CHAR(92),CHAR(92))),"$",_xlfn.CONCAT(CHAR(92),"$")),CHAR(96),_xlfn.CONCAT(CHAR(92),CHAR(96))),CHAR(34),CHAR(39))))</f>
        <v/>
      </c>
      <c r="U654" s="5">
        <f t="shared" si="19"/>
        <v>0</v>
      </c>
    </row>
    <row r="655" spans="3:21" ht="30" customHeight="1" x14ac:dyDescent="0.2">
      <c r="C655" s="4"/>
      <c r="K655" s="5">
        <f t="shared" si="18"/>
        <v>0</v>
      </c>
      <c r="L655" s="5" t="str">
        <f>IF(OR(TRIM($B655)="",$A655=""),"",IF(OR(ISNUMBER(SEARCH(_xlfn.CONCAT(CHAR(96),CHAR(34)),$A655)),ISNUMBER(SEARCH(_xlfn.CONCAT(CHAR(34),CHAR(39)),$A655))),_xlfn.CONCAT("* REVIEW REQUIRED: compound-quote delimiter in Codebook Section on Sheet 1 row ",655,"; edit the input before running."),_xlfn.CONCAT("char ",TRIM($B655),"[doc_section] ",CHAR(96),CHAR(34),SUBSTITUTE(SUBSTITUTE(SUBSTITUTE(SUBSTITUTE(SUBSTITUTE(SUBSTITUTE($A655,CHAR(13)," "),CHAR(10)," "),CHAR(9)," "),CHAR(92),_xlfn.CONCAT(CHAR(92),CHAR(92))),"$",_xlfn.CONCAT(CHAR(92),"$")),CHAR(96),_xlfn.CONCAT(CHAR(92),CHAR(96))),CHAR(34),CHAR(39))))</f>
        <v/>
      </c>
      <c r="M655" s="5" t="str">
        <f>IF(OR(TRIM($B655)="",$C655=""),"",IF(IFERROR(MATCH(TRIM($C655),{"Quantitative","Continuous","Discrete","Categorical","Nominal","Ordinal","Identifier"},0),0)=0,_xlfn.CONCAT("* REVIEW REQUIRED: invalid Variable Type on Sheet 1 row ",655,"."),_xlfn.CONCAT("char ",TRIM($B655),"[doc_vartype] ",CHAR(96),CHAR(34),SUBSTITUTE(SUBSTITUTE(SUBSTITUTE(SUBSTITUTE(SUBSTITUTE(SUBSTITUTE(LOWER(TRIM($C655)),CHAR(13)," "),CHAR(10)," "),CHAR(9)," "),CHAR(92),_xlfn.CONCAT(CHAR(92),CHAR(92))),"$",_xlfn.CONCAT(CHAR(92),"$")),CHAR(96),_xlfn.CONCAT(CHAR(92),CHAR(96))),CHAR(34),CHAR(39))))</f>
        <v/>
      </c>
      <c r="N655" s="5" t="str">
        <f>IF(OR(TRIM($B655)="",$D655=""),"",IF(OR(ISNUMBER(SEARCH(_xlfn.CONCAT(CHAR(96),CHAR(34)),$D655)),ISNUMBER(SEARCH(_xlfn.CONCAT(CHAR(34),CHAR(39)),$D655))),_xlfn.CONCAT("* REVIEW REQUIRED: compound-quote delimiter in Item Number on Sheet 1 row ",655,"; edit the input before running."),_xlfn.CONCAT("char ",TRIM($B655),"[doc_itemnum] ",CHAR(96),CHAR(34),SUBSTITUTE(SUBSTITUTE(SUBSTITUTE(SUBSTITUTE(SUBSTITUTE(SUBSTITUTE($D655,CHAR(13)," "),CHAR(10)," "),CHAR(9)," "),CHAR(92),_xlfn.CONCAT(CHAR(92),CHAR(92))),"$",_xlfn.CONCAT(CHAR(92),"$")),CHAR(96),_xlfn.CONCAT(CHAR(92),CHAR(96))),CHAR(34),CHAR(39))))</f>
        <v/>
      </c>
      <c r="O655" s="5" t="str">
        <f>IF(OR(TRIM($B655)="",$E655=""),"",IF(OR(ISNUMBER(SEARCH(_xlfn.CONCAT(CHAR(96),CHAR(34)),$E655)),ISNUMBER(SEARCH(_xlfn.CONCAT(CHAR(34),CHAR(39)),$E655))),_xlfn.CONCAT("* REVIEW REQUIRED: compound-quote delimiter in Question Wording on Sheet 1 row ",655,"; edit the input before running."),_xlfn.CONCAT("char ",TRIM($B655),"[doc_question] ",CHAR(96),CHAR(34),SUBSTITUTE(SUBSTITUTE(SUBSTITUTE(SUBSTITUTE(SUBSTITUTE(SUBSTITUTE($E655,CHAR(13)," "),CHAR(10)," "),CHAR(9)," "),CHAR(92),_xlfn.CONCAT(CHAR(92),CHAR(92))),"$",_xlfn.CONCAT(CHAR(92),"$")),CHAR(96),_xlfn.CONCAT(CHAR(92),CHAR(96))),CHAR(34),CHAR(39))))</f>
        <v/>
      </c>
      <c r="P655" s="5" t="str">
        <f>IF(OR(TRIM($B655)="",$F655=""),"",IF(OR(ISNUMBER(SEARCH(_xlfn.CONCAT(CHAR(96),CHAR(34)),$F655)),ISNUMBER(SEARCH(_xlfn.CONCAT(CHAR(34),CHAR(39)),$F655))),_xlfn.CONCAT("* REVIEW REQUIRED: compound-quote delimiter in Units on Sheet 1 row ",655,"; edit the input before running."),_xlfn.CONCAT("char ",TRIM($B655),"[doc_units] ",CHAR(96),CHAR(34),SUBSTITUTE(SUBSTITUTE(SUBSTITUTE(SUBSTITUTE(SUBSTITUTE(SUBSTITUTE($F655,CHAR(13)," "),CHAR(10)," "),CHAR(9)," "),CHAR(92),_xlfn.CONCAT(CHAR(92),CHAR(92))),"$",_xlfn.CONCAT(CHAR(92),"$")),CHAR(96),_xlfn.CONCAT(CHAR(92),CHAR(96))),CHAR(34),CHAR(39))))</f>
        <v/>
      </c>
      <c r="Q655" s="5" t="str">
        <f>IF(OR(TRIM($B655)="",$G655=""),"",IF(OR(ISNUMBER(SEARCH(_xlfn.CONCAT(CHAR(96),CHAR(34)),$G655)),ISNUMBER(SEARCH(_xlfn.CONCAT(CHAR(34),CHAR(39)),$G655))),_xlfn.CONCAT("* REVIEW REQUIRED: compound-quote delimiter in Universe on Sheet 1 row ",655,"; edit the input before running."),_xlfn.CONCAT("char ",TRIM($B655),"[doc_universe] ",CHAR(96),CHAR(34),SUBSTITUTE(SUBSTITUTE(SUBSTITUTE(SUBSTITUTE(SUBSTITUTE(SUBSTITUTE($G655,CHAR(13)," "),CHAR(10)," "),CHAR(9)," "),CHAR(92),_xlfn.CONCAT(CHAR(92),CHAR(92))),"$",_xlfn.CONCAT(CHAR(92),"$")),CHAR(96),_xlfn.CONCAT(CHAR(92),CHAR(96))),CHAR(34),CHAR(39))))</f>
        <v/>
      </c>
      <c r="R655" s="5" t="str">
        <f>IF(OR(TRIM($B655)="",$H655=""),"",IF(OR(ISNUMBER(SEARCH(_xlfn.CONCAT(CHAR(96),CHAR(34)),$H655)),ISNUMBER(SEARCH(_xlfn.CONCAT(CHAR(34),CHAR(39)),$H655))),_xlfn.CONCAT("* REVIEW REQUIRED: compound-quote delimiter in Source on Sheet 1 row ",655,"; edit the input before running."),_xlfn.CONCAT("char ",TRIM($B655),"[doc_source] ",CHAR(96),CHAR(34),SUBSTITUTE(SUBSTITUTE(SUBSTITUTE(SUBSTITUTE(SUBSTITUTE(SUBSTITUTE($H655,CHAR(13)," "),CHAR(10)," "),CHAR(9)," "),CHAR(92),_xlfn.CONCAT(CHAR(92),CHAR(92))),"$",_xlfn.CONCAT(CHAR(92),"$")),CHAR(96),_xlfn.CONCAT(CHAR(92),CHAR(96))),CHAR(34),CHAR(39))))</f>
        <v/>
      </c>
      <c r="S655" s="5" t="str">
        <f>IF(OR(TRIM($B655)="",$I655=""),"",IF(OR(ISNUMBER(SEARCH(_xlfn.CONCAT(CHAR(96),CHAR(34)),$I655)),ISNUMBER(SEARCH(_xlfn.CONCAT(CHAR(34),CHAR(39)),$I655))),_xlfn.CONCAT("* REVIEW REQUIRED: compound-quote delimiter in Derivation on Sheet 1 row ",655,"; edit the input before running."),_xlfn.CONCAT("char ",TRIM($B655),"[doc_derivation] ",CHAR(96),CHAR(34),SUBSTITUTE(SUBSTITUTE(SUBSTITUTE(SUBSTITUTE(SUBSTITUTE(SUBSTITUTE($I655,CHAR(13)," "),CHAR(10)," "),CHAR(9)," "),CHAR(92),_xlfn.CONCAT(CHAR(92),CHAR(92))),"$",_xlfn.CONCAT(CHAR(92),"$")),CHAR(96),_xlfn.CONCAT(CHAR(92),CHAR(96))),CHAR(34),CHAR(39))))</f>
        <v/>
      </c>
      <c r="T655" s="5" t="str">
        <f>IF(OR(TRIM($B655)="",$J655=""),"",IF(OR(ISNUMBER(SEARCH(_xlfn.CONCAT(CHAR(96),CHAR(34)),$J655)),ISNUMBER(SEARCH(_xlfn.CONCAT(CHAR(34),CHAR(39)),$J655))),_xlfn.CONCAT("* REVIEW REQUIRED: compound-quote delimiter in Notes on Sheet 1 row ",655,"; edit the input before running."),_xlfn.CONCAT("char ",TRIM($B655),"[doc_notes] ",CHAR(96),CHAR(34),SUBSTITUTE(SUBSTITUTE(SUBSTITUTE(SUBSTITUTE(SUBSTITUTE(SUBSTITUTE($J655,CHAR(13)," "),CHAR(10)," "),CHAR(9)," "),CHAR(92),_xlfn.CONCAT(CHAR(92),CHAR(92))),"$",_xlfn.CONCAT(CHAR(92),"$")),CHAR(96),_xlfn.CONCAT(CHAR(92),CHAR(96))),CHAR(34),CHAR(39))))</f>
        <v/>
      </c>
      <c r="U655" s="5">
        <f t="shared" si="19"/>
        <v>0</v>
      </c>
    </row>
    <row r="656" spans="3:21" ht="30" customHeight="1" x14ac:dyDescent="0.2">
      <c r="C656" s="4"/>
      <c r="K656" s="5">
        <f t="shared" si="18"/>
        <v>0</v>
      </c>
      <c r="L656" s="5" t="str">
        <f>IF(OR(TRIM($B656)="",$A656=""),"",IF(OR(ISNUMBER(SEARCH(_xlfn.CONCAT(CHAR(96),CHAR(34)),$A656)),ISNUMBER(SEARCH(_xlfn.CONCAT(CHAR(34),CHAR(39)),$A656))),_xlfn.CONCAT("* REVIEW REQUIRED: compound-quote delimiter in Codebook Section on Sheet 1 row ",656,"; edit the input before running."),_xlfn.CONCAT("char ",TRIM($B656),"[doc_section] ",CHAR(96),CHAR(34),SUBSTITUTE(SUBSTITUTE(SUBSTITUTE(SUBSTITUTE(SUBSTITUTE(SUBSTITUTE($A656,CHAR(13)," "),CHAR(10)," "),CHAR(9)," "),CHAR(92),_xlfn.CONCAT(CHAR(92),CHAR(92))),"$",_xlfn.CONCAT(CHAR(92),"$")),CHAR(96),_xlfn.CONCAT(CHAR(92),CHAR(96))),CHAR(34),CHAR(39))))</f>
        <v/>
      </c>
      <c r="M656" s="5" t="str">
        <f>IF(OR(TRIM($B656)="",$C656=""),"",IF(IFERROR(MATCH(TRIM($C656),{"Quantitative","Continuous","Discrete","Categorical","Nominal","Ordinal","Identifier"},0),0)=0,_xlfn.CONCAT("* REVIEW REQUIRED: invalid Variable Type on Sheet 1 row ",656,"."),_xlfn.CONCAT("char ",TRIM($B656),"[doc_vartype] ",CHAR(96),CHAR(34),SUBSTITUTE(SUBSTITUTE(SUBSTITUTE(SUBSTITUTE(SUBSTITUTE(SUBSTITUTE(LOWER(TRIM($C656)),CHAR(13)," "),CHAR(10)," "),CHAR(9)," "),CHAR(92),_xlfn.CONCAT(CHAR(92),CHAR(92))),"$",_xlfn.CONCAT(CHAR(92),"$")),CHAR(96),_xlfn.CONCAT(CHAR(92),CHAR(96))),CHAR(34),CHAR(39))))</f>
        <v/>
      </c>
      <c r="N656" s="5" t="str">
        <f>IF(OR(TRIM($B656)="",$D656=""),"",IF(OR(ISNUMBER(SEARCH(_xlfn.CONCAT(CHAR(96),CHAR(34)),$D656)),ISNUMBER(SEARCH(_xlfn.CONCAT(CHAR(34),CHAR(39)),$D656))),_xlfn.CONCAT("* REVIEW REQUIRED: compound-quote delimiter in Item Number on Sheet 1 row ",656,"; edit the input before running."),_xlfn.CONCAT("char ",TRIM($B656),"[doc_itemnum] ",CHAR(96),CHAR(34),SUBSTITUTE(SUBSTITUTE(SUBSTITUTE(SUBSTITUTE(SUBSTITUTE(SUBSTITUTE($D656,CHAR(13)," "),CHAR(10)," "),CHAR(9)," "),CHAR(92),_xlfn.CONCAT(CHAR(92),CHAR(92))),"$",_xlfn.CONCAT(CHAR(92),"$")),CHAR(96),_xlfn.CONCAT(CHAR(92),CHAR(96))),CHAR(34),CHAR(39))))</f>
        <v/>
      </c>
      <c r="O656" s="5" t="str">
        <f>IF(OR(TRIM($B656)="",$E656=""),"",IF(OR(ISNUMBER(SEARCH(_xlfn.CONCAT(CHAR(96),CHAR(34)),$E656)),ISNUMBER(SEARCH(_xlfn.CONCAT(CHAR(34),CHAR(39)),$E656))),_xlfn.CONCAT("* REVIEW REQUIRED: compound-quote delimiter in Question Wording on Sheet 1 row ",656,"; edit the input before running."),_xlfn.CONCAT("char ",TRIM($B656),"[doc_question] ",CHAR(96),CHAR(34),SUBSTITUTE(SUBSTITUTE(SUBSTITUTE(SUBSTITUTE(SUBSTITUTE(SUBSTITUTE($E656,CHAR(13)," "),CHAR(10)," "),CHAR(9)," "),CHAR(92),_xlfn.CONCAT(CHAR(92),CHAR(92))),"$",_xlfn.CONCAT(CHAR(92),"$")),CHAR(96),_xlfn.CONCAT(CHAR(92),CHAR(96))),CHAR(34),CHAR(39))))</f>
        <v/>
      </c>
      <c r="P656" s="5" t="str">
        <f>IF(OR(TRIM($B656)="",$F656=""),"",IF(OR(ISNUMBER(SEARCH(_xlfn.CONCAT(CHAR(96),CHAR(34)),$F656)),ISNUMBER(SEARCH(_xlfn.CONCAT(CHAR(34),CHAR(39)),$F656))),_xlfn.CONCAT("* REVIEW REQUIRED: compound-quote delimiter in Units on Sheet 1 row ",656,"; edit the input before running."),_xlfn.CONCAT("char ",TRIM($B656),"[doc_units] ",CHAR(96),CHAR(34),SUBSTITUTE(SUBSTITUTE(SUBSTITUTE(SUBSTITUTE(SUBSTITUTE(SUBSTITUTE($F656,CHAR(13)," "),CHAR(10)," "),CHAR(9)," "),CHAR(92),_xlfn.CONCAT(CHAR(92),CHAR(92))),"$",_xlfn.CONCAT(CHAR(92),"$")),CHAR(96),_xlfn.CONCAT(CHAR(92),CHAR(96))),CHAR(34),CHAR(39))))</f>
        <v/>
      </c>
      <c r="Q656" s="5" t="str">
        <f>IF(OR(TRIM($B656)="",$G656=""),"",IF(OR(ISNUMBER(SEARCH(_xlfn.CONCAT(CHAR(96),CHAR(34)),$G656)),ISNUMBER(SEARCH(_xlfn.CONCAT(CHAR(34),CHAR(39)),$G656))),_xlfn.CONCAT("* REVIEW REQUIRED: compound-quote delimiter in Universe on Sheet 1 row ",656,"; edit the input before running."),_xlfn.CONCAT("char ",TRIM($B656),"[doc_universe] ",CHAR(96),CHAR(34),SUBSTITUTE(SUBSTITUTE(SUBSTITUTE(SUBSTITUTE(SUBSTITUTE(SUBSTITUTE($G656,CHAR(13)," "),CHAR(10)," "),CHAR(9)," "),CHAR(92),_xlfn.CONCAT(CHAR(92),CHAR(92))),"$",_xlfn.CONCAT(CHAR(92),"$")),CHAR(96),_xlfn.CONCAT(CHAR(92),CHAR(96))),CHAR(34),CHAR(39))))</f>
        <v/>
      </c>
      <c r="R656" s="5" t="str">
        <f>IF(OR(TRIM($B656)="",$H656=""),"",IF(OR(ISNUMBER(SEARCH(_xlfn.CONCAT(CHAR(96),CHAR(34)),$H656)),ISNUMBER(SEARCH(_xlfn.CONCAT(CHAR(34),CHAR(39)),$H656))),_xlfn.CONCAT("* REVIEW REQUIRED: compound-quote delimiter in Source on Sheet 1 row ",656,"; edit the input before running."),_xlfn.CONCAT("char ",TRIM($B656),"[doc_source] ",CHAR(96),CHAR(34),SUBSTITUTE(SUBSTITUTE(SUBSTITUTE(SUBSTITUTE(SUBSTITUTE(SUBSTITUTE($H656,CHAR(13)," "),CHAR(10)," "),CHAR(9)," "),CHAR(92),_xlfn.CONCAT(CHAR(92),CHAR(92))),"$",_xlfn.CONCAT(CHAR(92),"$")),CHAR(96),_xlfn.CONCAT(CHAR(92),CHAR(96))),CHAR(34),CHAR(39))))</f>
        <v/>
      </c>
      <c r="S656" s="5" t="str">
        <f>IF(OR(TRIM($B656)="",$I656=""),"",IF(OR(ISNUMBER(SEARCH(_xlfn.CONCAT(CHAR(96),CHAR(34)),$I656)),ISNUMBER(SEARCH(_xlfn.CONCAT(CHAR(34),CHAR(39)),$I656))),_xlfn.CONCAT("* REVIEW REQUIRED: compound-quote delimiter in Derivation on Sheet 1 row ",656,"; edit the input before running."),_xlfn.CONCAT("char ",TRIM($B656),"[doc_derivation] ",CHAR(96),CHAR(34),SUBSTITUTE(SUBSTITUTE(SUBSTITUTE(SUBSTITUTE(SUBSTITUTE(SUBSTITUTE($I656,CHAR(13)," "),CHAR(10)," "),CHAR(9)," "),CHAR(92),_xlfn.CONCAT(CHAR(92),CHAR(92))),"$",_xlfn.CONCAT(CHAR(92),"$")),CHAR(96),_xlfn.CONCAT(CHAR(92),CHAR(96))),CHAR(34),CHAR(39))))</f>
        <v/>
      </c>
      <c r="T656" s="5" t="str">
        <f>IF(OR(TRIM($B656)="",$J656=""),"",IF(OR(ISNUMBER(SEARCH(_xlfn.CONCAT(CHAR(96),CHAR(34)),$J656)),ISNUMBER(SEARCH(_xlfn.CONCAT(CHAR(34),CHAR(39)),$J656))),_xlfn.CONCAT("* REVIEW REQUIRED: compound-quote delimiter in Notes on Sheet 1 row ",656,"; edit the input before running."),_xlfn.CONCAT("char ",TRIM($B656),"[doc_notes] ",CHAR(96),CHAR(34),SUBSTITUTE(SUBSTITUTE(SUBSTITUTE(SUBSTITUTE(SUBSTITUTE(SUBSTITUTE($J656,CHAR(13)," "),CHAR(10)," "),CHAR(9)," "),CHAR(92),_xlfn.CONCAT(CHAR(92),CHAR(92))),"$",_xlfn.CONCAT(CHAR(92),"$")),CHAR(96),_xlfn.CONCAT(CHAR(92),CHAR(96))),CHAR(34),CHAR(39))))</f>
        <v/>
      </c>
      <c r="U656" s="5">
        <f t="shared" si="19"/>
        <v>0</v>
      </c>
    </row>
    <row r="657" spans="3:21" ht="30" customHeight="1" x14ac:dyDescent="0.2">
      <c r="C657" s="4"/>
      <c r="K657" s="5">
        <f t="shared" si="18"/>
        <v>0</v>
      </c>
      <c r="L657" s="5" t="str">
        <f>IF(OR(TRIM($B657)="",$A657=""),"",IF(OR(ISNUMBER(SEARCH(_xlfn.CONCAT(CHAR(96),CHAR(34)),$A657)),ISNUMBER(SEARCH(_xlfn.CONCAT(CHAR(34),CHAR(39)),$A657))),_xlfn.CONCAT("* REVIEW REQUIRED: compound-quote delimiter in Codebook Section on Sheet 1 row ",657,"; edit the input before running."),_xlfn.CONCAT("char ",TRIM($B657),"[doc_section] ",CHAR(96),CHAR(34),SUBSTITUTE(SUBSTITUTE(SUBSTITUTE(SUBSTITUTE(SUBSTITUTE(SUBSTITUTE($A657,CHAR(13)," "),CHAR(10)," "),CHAR(9)," "),CHAR(92),_xlfn.CONCAT(CHAR(92),CHAR(92))),"$",_xlfn.CONCAT(CHAR(92),"$")),CHAR(96),_xlfn.CONCAT(CHAR(92),CHAR(96))),CHAR(34),CHAR(39))))</f>
        <v/>
      </c>
      <c r="M657" s="5" t="str">
        <f>IF(OR(TRIM($B657)="",$C657=""),"",IF(IFERROR(MATCH(TRIM($C657),{"Quantitative","Continuous","Discrete","Categorical","Nominal","Ordinal","Identifier"},0),0)=0,_xlfn.CONCAT("* REVIEW REQUIRED: invalid Variable Type on Sheet 1 row ",657,"."),_xlfn.CONCAT("char ",TRIM($B657),"[doc_vartype] ",CHAR(96),CHAR(34),SUBSTITUTE(SUBSTITUTE(SUBSTITUTE(SUBSTITUTE(SUBSTITUTE(SUBSTITUTE(LOWER(TRIM($C657)),CHAR(13)," "),CHAR(10)," "),CHAR(9)," "),CHAR(92),_xlfn.CONCAT(CHAR(92),CHAR(92))),"$",_xlfn.CONCAT(CHAR(92),"$")),CHAR(96),_xlfn.CONCAT(CHAR(92),CHAR(96))),CHAR(34),CHAR(39))))</f>
        <v/>
      </c>
      <c r="N657" s="5" t="str">
        <f>IF(OR(TRIM($B657)="",$D657=""),"",IF(OR(ISNUMBER(SEARCH(_xlfn.CONCAT(CHAR(96),CHAR(34)),$D657)),ISNUMBER(SEARCH(_xlfn.CONCAT(CHAR(34),CHAR(39)),$D657))),_xlfn.CONCAT("* REVIEW REQUIRED: compound-quote delimiter in Item Number on Sheet 1 row ",657,"; edit the input before running."),_xlfn.CONCAT("char ",TRIM($B657),"[doc_itemnum] ",CHAR(96),CHAR(34),SUBSTITUTE(SUBSTITUTE(SUBSTITUTE(SUBSTITUTE(SUBSTITUTE(SUBSTITUTE($D657,CHAR(13)," "),CHAR(10)," "),CHAR(9)," "),CHAR(92),_xlfn.CONCAT(CHAR(92),CHAR(92))),"$",_xlfn.CONCAT(CHAR(92),"$")),CHAR(96),_xlfn.CONCAT(CHAR(92),CHAR(96))),CHAR(34),CHAR(39))))</f>
        <v/>
      </c>
      <c r="O657" s="5" t="str">
        <f>IF(OR(TRIM($B657)="",$E657=""),"",IF(OR(ISNUMBER(SEARCH(_xlfn.CONCAT(CHAR(96),CHAR(34)),$E657)),ISNUMBER(SEARCH(_xlfn.CONCAT(CHAR(34),CHAR(39)),$E657))),_xlfn.CONCAT("* REVIEW REQUIRED: compound-quote delimiter in Question Wording on Sheet 1 row ",657,"; edit the input before running."),_xlfn.CONCAT("char ",TRIM($B657),"[doc_question] ",CHAR(96),CHAR(34),SUBSTITUTE(SUBSTITUTE(SUBSTITUTE(SUBSTITUTE(SUBSTITUTE(SUBSTITUTE($E657,CHAR(13)," "),CHAR(10)," "),CHAR(9)," "),CHAR(92),_xlfn.CONCAT(CHAR(92),CHAR(92))),"$",_xlfn.CONCAT(CHAR(92),"$")),CHAR(96),_xlfn.CONCAT(CHAR(92),CHAR(96))),CHAR(34),CHAR(39))))</f>
        <v/>
      </c>
      <c r="P657" s="5" t="str">
        <f>IF(OR(TRIM($B657)="",$F657=""),"",IF(OR(ISNUMBER(SEARCH(_xlfn.CONCAT(CHAR(96),CHAR(34)),$F657)),ISNUMBER(SEARCH(_xlfn.CONCAT(CHAR(34),CHAR(39)),$F657))),_xlfn.CONCAT("* REVIEW REQUIRED: compound-quote delimiter in Units on Sheet 1 row ",657,"; edit the input before running."),_xlfn.CONCAT("char ",TRIM($B657),"[doc_units] ",CHAR(96),CHAR(34),SUBSTITUTE(SUBSTITUTE(SUBSTITUTE(SUBSTITUTE(SUBSTITUTE(SUBSTITUTE($F657,CHAR(13)," "),CHAR(10)," "),CHAR(9)," "),CHAR(92),_xlfn.CONCAT(CHAR(92),CHAR(92))),"$",_xlfn.CONCAT(CHAR(92),"$")),CHAR(96),_xlfn.CONCAT(CHAR(92),CHAR(96))),CHAR(34),CHAR(39))))</f>
        <v/>
      </c>
      <c r="Q657" s="5" t="str">
        <f>IF(OR(TRIM($B657)="",$G657=""),"",IF(OR(ISNUMBER(SEARCH(_xlfn.CONCAT(CHAR(96),CHAR(34)),$G657)),ISNUMBER(SEARCH(_xlfn.CONCAT(CHAR(34),CHAR(39)),$G657))),_xlfn.CONCAT("* REVIEW REQUIRED: compound-quote delimiter in Universe on Sheet 1 row ",657,"; edit the input before running."),_xlfn.CONCAT("char ",TRIM($B657),"[doc_universe] ",CHAR(96),CHAR(34),SUBSTITUTE(SUBSTITUTE(SUBSTITUTE(SUBSTITUTE(SUBSTITUTE(SUBSTITUTE($G657,CHAR(13)," "),CHAR(10)," "),CHAR(9)," "),CHAR(92),_xlfn.CONCAT(CHAR(92),CHAR(92))),"$",_xlfn.CONCAT(CHAR(92),"$")),CHAR(96),_xlfn.CONCAT(CHAR(92),CHAR(96))),CHAR(34),CHAR(39))))</f>
        <v/>
      </c>
      <c r="R657" s="5" t="str">
        <f>IF(OR(TRIM($B657)="",$H657=""),"",IF(OR(ISNUMBER(SEARCH(_xlfn.CONCAT(CHAR(96),CHAR(34)),$H657)),ISNUMBER(SEARCH(_xlfn.CONCAT(CHAR(34),CHAR(39)),$H657))),_xlfn.CONCAT("* REVIEW REQUIRED: compound-quote delimiter in Source on Sheet 1 row ",657,"; edit the input before running."),_xlfn.CONCAT("char ",TRIM($B657),"[doc_source] ",CHAR(96),CHAR(34),SUBSTITUTE(SUBSTITUTE(SUBSTITUTE(SUBSTITUTE(SUBSTITUTE(SUBSTITUTE($H657,CHAR(13)," "),CHAR(10)," "),CHAR(9)," "),CHAR(92),_xlfn.CONCAT(CHAR(92),CHAR(92))),"$",_xlfn.CONCAT(CHAR(92),"$")),CHAR(96),_xlfn.CONCAT(CHAR(92),CHAR(96))),CHAR(34),CHAR(39))))</f>
        <v/>
      </c>
      <c r="S657" s="5" t="str">
        <f>IF(OR(TRIM($B657)="",$I657=""),"",IF(OR(ISNUMBER(SEARCH(_xlfn.CONCAT(CHAR(96),CHAR(34)),$I657)),ISNUMBER(SEARCH(_xlfn.CONCAT(CHAR(34),CHAR(39)),$I657))),_xlfn.CONCAT("* REVIEW REQUIRED: compound-quote delimiter in Derivation on Sheet 1 row ",657,"; edit the input before running."),_xlfn.CONCAT("char ",TRIM($B657),"[doc_derivation] ",CHAR(96),CHAR(34),SUBSTITUTE(SUBSTITUTE(SUBSTITUTE(SUBSTITUTE(SUBSTITUTE(SUBSTITUTE($I657,CHAR(13)," "),CHAR(10)," "),CHAR(9)," "),CHAR(92),_xlfn.CONCAT(CHAR(92),CHAR(92))),"$",_xlfn.CONCAT(CHAR(92),"$")),CHAR(96),_xlfn.CONCAT(CHAR(92),CHAR(96))),CHAR(34),CHAR(39))))</f>
        <v/>
      </c>
      <c r="T657" s="5" t="str">
        <f>IF(OR(TRIM($B657)="",$J657=""),"",IF(OR(ISNUMBER(SEARCH(_xlfn.CONCAT(CHAR(96),CHAR(34)),$J657)),ISNUMBER(SEARCH(_xlfn.CONCAT(CHAR(34),CHAR(39)),$J657))),_xlfn.CONCAT("* REVIEW REQUIRED: compound-quote delimiter in Notes on Sheet 1 row ",657,"; edit the input before running."),_xlfn.CONCAT("char ",TRIM($B657),"[doc_notes] ",CHAR(96),CHAR(34),SUBSTITUTE(SUBSTITUTE(SUBSTITUTE(SUBSTITUTE(SUBSTITUTE(SUBSTITUTE($J657,CHAR(13)," "),CHAR(10)," "),CHAR(9)," "),CHAR(92),_xlfn.CONCAT(CHAR(92),CHAR(92))),"$",_xlfn.CONCAT(CHAR(92),"$")),CHAR(96),_xlfn.CONCAT(CHAR(92),CHAR(96))),CHAR(34),CHAR(39))))</f>
        <v/>
      </c>
      <c r="U657" s="5">
        <f t="shared" si="19"/>
        <v>0</v>
      </c>
    </row>
    <row r="658" spans="3:21" ht="30" customHeight="1" x14ac:dyDescent="0.2">
      <c r="C658" s="4"/>
      <c r="K658" s="5">
        <f t="shared" si="18"/>
        <v>0</v>
      </c>
      <c r="L658" s="5" t="str">
        <f>IF(OR(TRIM($B658)="",$A658=""),"",IF(OR(ISNUMBER(SEARCH(_xlfn.CONCAT(CHAR(96),CHAR(34)),$A658)),ISNUMBER(SEARCH(_xlfn.CONCAT(CHAR(34),CHAR(39)),$A658))),_xlfn.CONCAT("* REVIEW REQUIRED: compound-quote delimiter in Codebook Section on Sheet 1 row ",658,"; edit the input before running."),_xlfn.CONCAT("char ",TRIM($B658),"[doc_section] ",CHAR(96),CHAR(34),SUBSTITUTE(SUBSTITUTE(SUBSTITUTE(SUBSTITUTE(SUBSTITUTE(SUBSTITUTE($A658,CHAR(13)," "),CHAR(10)," "),CHAR(9)," "),CHAR(92),_xlfn.CONCAT(CHAR(92),CHAR(92))),"$",_xlfn.CONCAT(CHAR(92),"$")),CHAR(96),_xlfn.CONCAT(CHAR(92),CHAR(96))),CHAR(34),CHAR(39))))</f>
        <v/>
      </c>
      <c r="M658" s="5" t="str">
        <f>IF(OR(TRIM($B658)="",$C658=""),"",IF(IFERROR(MATCH(TRIM($C658),{"Quantitative","Continuous","Discrete","Categorical","Nominal","Ordinal","Identifier"},0),0)=0,_xlfn.CONCAT("* REVIEW REQUIRED: invalid Variable Type on Sheet 1 row ",658,"."),_xlfn.CONCAT("char ",TRIM($B658),"[doc_vartype] ",CHAR(96),CHAR(34),SUBSTITUTE(SUBSTITUTE(SUBSTITUTE(SUBSTITUTE(SUBSTITUTE(SUBSTITUTE(LOWER(TRIM($C658)),CHAR(13)," "),CHAR(10)," "),CHAR(9)," "),CHAR(92),_xlfn.CONCAT(CHAR(92),CHAR(92))),"$",_xlfn.CONCAT(CHAR(92),"$")),CHAR(96),_xlfn.CONCAT(CHAR(92),CHAR(96))),CHAR(34),CHAR(39))))</f>
        <v/>
      </c>
      <c r="N658" s="5" t="str">
        <f>IF(OR(TRIM($B658)="",$D658=""),"",IF(OR(ISNUMBER(SEARCH(_xlfn.CONCAT(CHAR(96),CHAR(34)),$D658)),ISNUMBER(SEARCH(_xlfn.CONCAT(CHAR(34),CHAR(39)),$D658))),_xlfn.CONCAT("* REVIEW REQUIRED: compound-quote delimiter in Item Number on Sheet 1 row ",658,"; edit the input before running."),_xlfn.CONCAT("char ",TRIM($B658),"[doc_itemnum] ",CHAR(96),CHAR(34),SUBSTITUTE(SUBSTITUTE(SUBSTITUTE(SUBSTITUTE(SUBSTITUTE(SUBSTITUTE($D658,CHAR(13)," "),CHAR(10)," "),CHAR(9)," "),CHAR(92),_xlfn.CONCAT(CHAR(92),CHAR(92))),"$",_xlfn.CONCAT(CHAR(92),"$")),CHAR(96),_xlfn.CONCAT(CHAR(92),CHAR(96))),CHAR(34),CHAR(39))))</f>
        <v/>
      </c>
      <c r="O658" s="5" t="str">
        <f>IF(OR(TRIM($B658)="",$E658=""),"",IF(OR(ISNUMBER(SEARCH(_xlfn.CONCAT(CHAR(96),CHAR(34)),$E658)),ISNUMBER(SEARCH(_xlfn.CONCAT(CHAR(34),CHAR(39)),$E658))),_xlfn.CONCAT("* REVIEW REQUIRED: compound-quote delimiter in Question Wording on Sheet 1 row ",658,"; edit the input before running."),_xlfn.CONCAT("char ",TRIM($B658),"[doc_question] ",CHAR(96),CHAR(34),SUBSTITUTE(SUBSTITUTE(SUBSTITUTE(SUBSTITUTE(SUBSTITUTE(SUBSTITUTE($E658,CHAR(13)," "),CHAR(10)," "),CHAR(9)," "),CHAR(92),_xlfn.CONCAT(CHAR(92),CHAR(92))),"$",_xlfn.CONCAT(CHAR(92),"$")),CHAR(96),_xlfn.CONCAT(CHAR(92),CHAR(96))),CHAR(34),CHAR(39))))</f>
        <v/>
      </c>
      <c r="P658" s="5" t="str">
        <f>IF(OR(TRIM($B658)="",$F658=""),"",IF(OR(ISNUMBER(SEARCH(_xlfn.CONCAT(CHAR(96),CHAR(34)),$F658)),ISNUMBER(SEARCH(_xlfn.CONCAT(CHAR(34),CHAR(39)),$F658))),_xlfn.CONCAT("* REVIEW REQUIRED: compound-quote delimiter in Units on Sheet 1 row ",658,"; edit the input before running."),_xlfn.CONCAT("char ",TRIM($B658),"[doc_units] ",CHAR(96),CHAR(34),SUBSTITUTE(SUBSTITUTE(SUBSTITUTE(SUBSTITUTE(SUBSTITUTE(SUBSTITUTE($F658,CHAR(13)," "),CHAR(10)," "),CHAR(9)," "),CHAR(92),_xlfn.CONCAT(CHAR(92),CHAR(92))),"$",_xlfn.CONCAT(CHAR(92),"$")),CHAR(96),_xlfn.CONCAT(CHAR(92),CHAR(96))),CHAR(34),CHAR(39))))</f>
        <v/>
      </c>
      <c r="Q658" s="5" t="str">
        <f>IF(OR(TRIM($B658)="",$G658=""),"",IF(OR(ISNUMBER(SEARCH(_xlfn.CONCAT(CHAR(96),CHAR(34)),$G658)),ISNUMBER(SEARCH(_xlfn.CONCAT(CHAR(34),CHAR(39)),$G658))),_xlfn.CONCAT("* REVIEW REQUIRED: compound-quote delimiter in Universe on Sheet 1 row ",658,"; edit the input before running."),_xlfn.CONCAT("char ",TRIM($B658),"[doc_universe] ",CHAR(96),CHAR(34),SUBSTITUTE(SUBSTITUTE(SUBSTITUTE(SUBSTITUTE(SUBSTITUTE(SUBSTITUTE($G658,CHAR(13)," "),CHAR(10)," "),CHAR(9)," "),CHAR(92),_xlfn.CONCAT(CHAR(92),CHAR(92))),"$",_xlfn.CONCAT(CHAR(92),"$")),CHAR(96),_xlfn.CONCAT(CHAR(92),CHAR(96))),CHAR(34),CHAR(39))))</f>
        <v/>
      </c>
      <c r="R658" s="5" t="str">
        <f>IF(OR(TRIM($B658)="",$H658=""),"",IF(OR(ISNUMBER(SEARCH(_xlfn.CONCAT(CHAR(96),CHAR(34)),$H658)),ISNUMBER(SEARCH(_xlfn.CONCAT(CHAR(34),CHAR(39)),$H658))),_xlfn.CONCAT("* REVIEW REQUIRED: compound-quote delimiter in Source on Sheet 1 row ",658,"; edit the input before running."),_xlfn.CONCAT("char ",TRIM($B658),"[doc_source] ",CHAR(96),CHAR(34),SUBSTITUTE(SUBSTITUTE(SUBSTITUTE(SUBSTITUTE(SUBSTITUTE(SUBSTITUTE($H658,CHAR(13)," "),CHAR(10)," "),CHAR(9)," "),CHAR(92),_xlfn.CONCAT(CHAR(92),CHAR(92))),"$",_xlfn.CONCAT(CHAR(92),"$")),CHAR(96),_xlfn.CONCAT(CHAR(92),CHAR(96))),CHAR(34),CHAR(39))))</f>
        <v/>
      </c>
      <c r="S658" s="5" t="str">
        <f>IF(OR(TRIM($B658)="",$I658=""),"",IF(OR(ISNUMBER(SEARCH(_xlfn.CONCAT(CHAR(96),CHAR(34)),$I658)),ISNUMBER(SEARCH(_xlfn.CONCAT(CHAR(34),CHAR(39)),$I658))),_xlfn.CONCAT("* REVIEW REQUIRED: compound-quote delimiter in Derivation on Sheet 1 row ",658,"; edit the input before running."),_xlfn.CONCAT("char ",TRIM($B658),"[doc_derivation] ",CHAR(96),CHAR(34),SUBSTITUTE(SUBSTITUTE(SUBSTITUTE(SUBSTITUTE(SUBSTITUTE(SUBSTITUTE($I658,CHAR(13)," "),CHAR(10)," "),CHAR(9)," "),CHAR(92),_xlfn.CONCAT(CHAR(92),CHAR(92))),"$",_xlfn.CONCAT(CHAR(92),"$")),CHAR(96),_xlfn.CONCAT(CHAR(92),CHAR(96))),CHAR(34),CHAR(39))))</f>
        <v/>
      </c>
      <c r="T658" s="5" t="str">
        <f>IF(OR(TRIM($B658)="",$J658=""),"",IF(OR(ISNUMBER(SEARCH(_xlfn.CONCAT(CHAR(96),CHAR(34)),$J658)),ISNUMBER(SEARCH(_xlfn.CONCAT(CHAR(34),CHAR(39)),$J658))),_xlfn.CONCAT("* REVIEW REQUIRED: compound-quote delimiter in Notes on Sheet 1 row ",658,"; edit the input before running."),_xlfn.CONCAT("char ",TRIM($B658),"[doc_notes] ",CHAR(96),CHAR(34),SUBSTITUTE(SUBSTITUTE(SUBSTITUTE(SUBSTITUTE(SUBSTITUTE(SUBSTITUTE($J658,CHAR(13)," "),CHAR(10)," "),CHAR(9)," "),CHAR(92),_xlfn.CONCAT(CHAR(92),CHAR(92))),"$",_xlfn.CONCAT(CHAR(92),"$")),CHAR(96),_xlfn.CONCAT(CHAR(92),CHAR(96))),CHAR(34),CHAR(39))))</f>
        <v/>
      </c>
      <c r="U658" s="5">
        <f t="shared" si="19"/>
        <v>0</v>
      </c>
    </row>
    <row r="659" spans="3:21" ht="30" customHeight="1" x14ac:dyDescent="0.2">
      <c r="C659" s="4"/>
      <c r="K659" s="5">
        <f t="shared" si="18"/>
        <v>0</v>
      </c>
      <c r="L659" s="5" t="str">
        <f>IF(OR(TRIM($B659)="",$A659=""),"",IF(OR(ISNUMBER(SEARCH(_xlfn.CONCAT(CHAR(96),CHAR(34)),$A659)),ISNUMBER(SEARCH(_xlfn.CONCAT(CHAR(34),CHAR(39)),$A659))),_xlfn.CONCAT("* REVIEW REQUIRED: compound-quote delimiter in Codebook Section on Sheet 1 row ",659,"; edit the input before running."),_xlfn.CONCAT("char ",TRIM($B659),"[doc_section] ",CHAR(96),CHAR(34),SUBSTITUTE(SUBSTITUTE(SUBSTITUTE(SUBSTITUTE(SUBSTITUTE(SUBSTITUTE($A659,CHAR(13)," "),CHAR(10)," "),CHAR(9)," "),CHAR(92),_xlfn.CONCAT(CHAR(92),CHAR(92))),"$",_xlfn.CONCAT(CHAR(92),"$")),CHAR(96),_xlfn.CONCAT(CHAR(92),CHAR(96))),CHAR(34),CHAR(39))))</f>
        <v/>
      </c>
      <c r="M659" s="5" t="str">
        <f>IF(OR(TRIM($B659)="",$C659=""),"",IF(IFERROR(MATCH(TRIM($C659),{"Quantitative","Continuous","Discrete","Categorical","Nominal","Ordinal","Identifier"},0),0)=0,_xlfn.CONCAT("* REVIEW REQUIRED: invalid Variable Type on Sheet 1 row ",659,"."),_xlfn.CONCAT("char ",TRIM($B659),"[doc_vartype] ",CHAR(96),CHAR(34),SUBSTITUTE(SUBSTITUTE(SUBSTITUTE(SUBSTITUTE(SUBSTITUTE(SUBSTITUTE(LOWER(TRIM($C659)),CHAR(13)," "),CHAR(10)," "),CHAR(9)," "),CHAR(92),_xlfn.CONCAT(CHAR(92),CHAR(92))),"$",_xlfn.CONCAT(CHAR(92),"$")),CHAR(96),_xlfn.CONCAT(CHAR(92),CHAR(96))),CHAR(34),CHAR(39))))</f>
        <v/>
      </c>
      <c r="N659" s="5" t="str">
        <f>IF(OR(TRIM($B659)="",$D659=""),"",IF(OR(ISNUMBER(SEARCH(_xlfn.CONCAT(CHAR(96),CHAR(34)),$D659)),ISNUMBER(SEARCH(_xlfn.CONCAT(CHAR(34),CHAR(39)),$D659))),_xlfn.CONCAT("* REVIEW REQUIRED: compound-quote delimiter in Item Number on Sheet 1 row ",659,"; edit the input before running."),_xlfn.CONCAT("char ",TRIM($B659),"[doc_itemnum] ",CHAR(96),CHAR(34),SUBSTITUTE(SUBSTITUTE(SUBSTITUTE(SUBSTITUTE(SUBSTITUTE(SUBSTITUTE($D659,CHAR(13)," "),CHAR(10)," "),CHAR(9)," "),CHAR(92),_xlfn.CONCAT(CHAR(92),CHAR(92))),"$",_xlfn.CONCAT(CHAR(92),"$")),CHAR(96),_xlfn.CONCAT(CHAR(92),CHAR(96))),CHAR(34),CHAR(39))))</f>
        <v/>
      </c>
      <c r="O659" s="5" t="str">
        <f>IF(OR(TRIM($B659)="",$E659=""),"",IF(OR(ISNUMBER(SEARCH(_xlfn.CONCAT(CHAR(96),CHAR(34)),$E659)),ISNUMBER(SEARCH(_xlfn.CONCAT(CHAR(34),CHAR(39)),$E659))),_xlfn.CONCAT("* REVIEW REQUIRED: compound-quote delimiter in Question Wording on Sheet 1 row ",659,"; edit the input before running."),_xlfn.CONCAT("char ",TRIM($B659),"[doc_question] ",CHAR(96),CHAR(34),SUBSTITUTE(SUBSTITUTE(SUBSTITUTE(SUBSTITUTE(SUBSTITUTE(SUBSTITUTE($E659,CHAR(13)," "),CHAR(10)," "),CHAR(9)," "),CHAR(92),_xlfn.CONCAT(CHAR(92),CHAR(92))),"$",_xlfn.CONCAT(CHAR(92),"$")),CHAR(96),_xlfn.CONCAT(CHAR(92),CHAR(96))),CHAR(34),CHAR(39))))</f>
        <v/>
      </c>
      <c r="P659" s="5" t="str">
        <f>IF(OR(TRIM($B659)="",$F659=""),"",IF(OR(ISNUMBER(SEARCH(_xlfn.CONCAT(CHAR(96),CHAR(34)),$F659)),ISNUMBER(SEARCH(_xlfn.CONCAT(CHAR(34),CHAR(39)),$F659))),_xlfn.CONCAT("* REVIEW REQUIRED: compound-quote delimiter in Units on Sheet 1 row ",659,"; edit the input before running."),_xlfn.CONCAT("char ",TRIM($B659),"[doc_units] ",CHAR(96),CHAR(34),SUBSTITUTE(SUBSTITUTE(SUBSTITUTE(SUBSTITUTE(SUBSTITUTE(SUBSTITUTE($F659,CHAR(13)," "),CHAR(10)," "),CHAR(9)," "),CHAR(92),_xlfn.CONCAT(CHAR(92),CHAR(92))),"$",_xlfn.CONCAT(CHAR(92),"$")),CHAR(96),_xlfn.CONCAT(CHAR(92),CHAR(96))),CHAR(34),CHAR(39))))</f>
        <v/>
      </c>
      <c r="Q659" s="5" t="str">
        <f>IF(OR(TRIM($B659)="",$G659=""),"",IF(OR(ISNUMBER(SEARCH(_xlfn.CONCAT(CHAR(96),CHAR(34)),$G659)),ISNUMBER(SEARCH(_xlfn.CONCAT(CHAR(34),CHAR(39)),$G659))),_xlfn.CONCAT("* REVIEW REQUIRED: compound-quote delimiter in Universe on Sheet 1 row ",659,"; edit the input before running."),_xlfn.CONCAT("char ",TRIM($B659),"[doc_universe] ",CHAR(96),CHAR(34),SUBSTITUTE(SUBSTITUTE(SUBSTITUTE(SUBSTITUTE(SUBSTITUTE(SUBSTITUTE($G659,CHAR(13)," "),CHAR(10)," "),CHAR(9)," "),CHAR(92),_xlfn.CONCAT(CHAR(92),CHAR(92))),"$",_xlfn.CONCAT(CHAR(92),"$")),CHAR(96),_xlfn.CONCAT(CHAR(92),CHAR(96))),CHAR(34),CHAR(39))))</f>
        <v/>
      </c>
      <c r="R659" s="5" t="str">
        <f>IF(OR(TRIM($B659)="",$H659=""),"",IF(OR(ISNUMBER(SEARCH(_xlfn.CONCAT(CHAR(96),CHAR(34)),$H659)),ISNUMBER(SEARCH(_xlfn.CONCAT(CHAR(34),CHAR(39)),$H659))),_xlfn.CONCAT("* REVIEW REQUIRED: compound-quote delimiter in Source on Sheet 1 row ",659,"; edit the input before running."),_xlfn.CONCAT("char ",TRIM($B659),"[doc_source] ",CHAR(96),CHAR(34),SUBSTITUTE(SUBSTITUTE(SUBSTITUTE(SUBSTITUTE(SUBSTITUTE(SUBSTITUTE($H659,CHAR(13)," "),CHAR(10)," "),CHAR(9)," "),CHAR(92),_xlfn.CONCAT(CHAR(92),CHAR(92))),"$",_xlfn.CONCAT(CHAR(92),"$")),CHAR(96),_xlfn.CONCAT(CHAR(92),CHAR(96))),CHAR(34),CHAR(39))))</f>
        <v/>
      </c>
      <c r="S659" s="5" t="str">
        <f>IF(OR(TRIM($B659)="",$I659=""),"",IF(OR(ISNUMBER(SEARCH(_xlfn.CONCAT(CHAR(96),CHAR(34)),$I659)),ISNUMBER(SEARCH(_xlfn.CONCAT(CHAR(34),CHAR(39)),$I659))),_xlfn.CONCAT("* REVIEW REQUIRED: compound-quote delimiter in Derivation on Sheet 1 row ",659,"; edit the input before running."),_xlfn.CONCAT("char ",TRIM($B659),"[doc_derivation] ",CHAR(96),CHAR(34),SUBSTITUTE(SUBSTITUTE(SUBSTITUTE(SUBSTITUTE(SUBSTITUTE(SUBSTITUTE($I659,CHAR(13)," "),CHAR(10)," "),CHAR(9)," "),CHAR(92),_xlfn.CONCAT(CHAR(92),CHAR(92))),"$",_xlfn.CONCAT(CHAR(92),"$")),CHAR(96),_xlfn.CONCAT(CHAR(92),CHAR(96))),CHAR(34),CHAR(39))))</f>
        <v/>
      </c>
      <c r="T659" s="5" t="str">
        <f>IF(OR(TRIM($B659)="",$J659=""),"",IF(OR(ISNUMBER(SEARCH(_xlfn.CONCAT(CHAR(96),CHAR(34)),$J659)),ISNUMBER(SEARCH(_xlfn.CONCAT(CHAR(34),CHAR(39)),$J659))),_xlfn.CONCAT("* REVIEW REQUIRED: compound-quote delimiter in Notes on Sheet 1 row ",659,"; edit the input before running."),_xlfn.CONCAT("char ",TRIM($B659),"[doc_notes] ",CHAR(96),CHAR(34),SUBSTITUTE(SUBSTITUTE(SUBSTITUTE(SUBSTITUTE(SUBSTITUTE(SUBSTITUTE($J659,CHAR(13)," "),CHAR(10)," "),CHAR(9)," "),CHAR(92),_xlfn.CONCAT(CHAR(92),CHAR(92))),"$",_xlfn.CONCAT(CHAR(92),"$")),CHAR(96),_xlfn.CONCAT(CHAR(92),CHAR(96))),CHAR(34),CHAR(39))))</f>
        <v/>
      </c>
      <c r="U659" s="5">
        <f t="shared" si="19"/>
        <v>0</v>
      </c>
    </row>
    <row r="660" spans="3:21" ht="30" customHeight="1" x14ac:dyDescent="0.2">
      <c r="C660" s="4"/>
      <c r="K660" s="5">
        <f t="shared" ref="K660:K723" si="20">COUNTIF(L660:T660,"?*")</f>
        <v>0</v>
      </c>
      <c r="L660" s="5" t="str">
        <f>IF(OR(TRIM($B660)="",$A660=""),"",IF(OR(ISNUMBER(SEARCH(_xlfn.CONCAT(CHAR(96),CHAR(34)),$A660)),ISNUMBER(SEARCH(_xlfn.CONCAT(CHAR(34),CHAR(39)),$A660))),_xlfn.CONCAT("* REVIEW REQUIRED: compound-quote delimiter in Codebook Section on Sheet 1 row ",660,"; edit the input before running."),_xlfn.CONCAT("char ",TRIM($B660),"[doc_section] ",CHAR(96),CHAR(34),SUBSTITUTE(SUBSTITUTE(SUBSTITUTE(SUBSTITUTE(SUBSTITUTE(SUBSTITUTE($A660,CHAR(13)," "),CHAR(10)," "),CHAR(9)," "),CHAR(92),_xlfn.CONCAT(CHAR(92),CHAR(92))),"$",_xlfn.CONCAT(CHAR(92),"$")),CHAR(96),_xlfn.CONCAT(CHAR(92),CHAR(96))),CHAR(34),CHAR(39))))</f>
        <v/>
      </c>
      <c r="M660" s="5" t="str">
        <f>IF(OR(TRIM($B660)="",$C660=""),"",IF(IFERROR(MATCH(TRIM($C660),{"Quantitative","Continuous","Discrete","Categorical","Nominal","Ordinal","Identifier"},0),0)=0,_xlfn.CONCAT("* REVIEW REQUIRED: invalid Variable Type on Sheet 1 row ",660,"."),_xlfn.CONCAT("char ",TRIM($B660),"[doc_vartype] ",CHAR(96),CHAR(34),SUBSTITUTE(SUBSTITUTE(SUBSTITUTE(SUBSTITUTE(SUBSTITUTE(SUBSTITUTE(LOWER(TRIM($C660)),CHAR(13)," "),CHAR(10)," "),CHAR(9)," "),CHAR(92),_xlfn.CONCAT(CHAR(92),CHAR(92))),"$",_xlfn.CONCAT(CHAR(92),"$")),CHAR(96),_xlfn.CONCAT(CHAR(92),CHAR(96))),CHAR(34),CHAR(39))))</f>
        <v/>
      </c>
      <c r="N660" s="5" t="str">
        <f>IF(OR(TRIM($B660)="",$D660=""),"",IF(OR(ISNUMBER(SEARCH(_xlfn.CONCAT(CHAR(96),CHAR(34)),$D660)),ISNUMBER(SEARCH(_xlfn.CONCAT(CHAR(34),CHAR(39)),$D660))),_xlfn.CONCAT("* REVIEW REQUIRED: compound-quote delimiter in Item Number on Sheet 1 row ",660,"; edit the input before running."),_xlfn.CONCAT("char ",TRIM($B660),"[doc_itemnum] ",CHAR(96),CHAR(34),SUBSTITUTE(SUBSTITUTE(SUBSTITUTE(SUBSTITUTE(SUBSTITUTE(SUBSTITUTE($D660,CHAR(13)," "),CHAR(10)," "),CHAR(9)," "),CHAR(92),_xlfn.CONCAT(CHAR(92),CHAR(92))),"$",_xlfn.CONCAT(CHAR(92),"$")),CHAR(96),_xlfn.CONCAT(CHAR(92),CHAR(96))),CHAR(34),CHAR(39))))</f>
        <v/>
      </c>
      <c r="O660" s="5" t="str">
        <f>IF(OR(TRIM($B660)="",$E660=""),"",IF(OR(ISNUMBER(SEARCH(_xlfn.CONCAT(CHAR(96),CHAR(34)),$E660)),ISNUMBER(SEARCH(_xlfn.CONCAT(CHAR(34),CHAR(39)),$E660))),_xlfn.CONCAT("* REVIEW REQUIRED: compound-quote delimiter in Question Wording on Sheet 1 row ",660,"; edit the input before running."),_xlfn.CONCAT("char ",TRIM($B660),"[doc_question] ",CHAR(96),CHAR(34),SUBSTITUTE(SUBSTITUTE(SUBSTITUTE(SUBSTITUTE(SUBSTITUTE(SUBSTITUTE($E660,CHAR(13)," "),CHAR(10)," "),CHAR(9)," "),CHAR(92),_xlfn.CONCAT(CHAR(92),CHAR(92))),"$",_xlfn.CONCAT(CHAR(92),"$")),CHAR(96),_xlfn.CONCAT(CHAR(92),CHAR(96))),CHAR(34),CHAR(39))))</f>
        <v/>
      </c>
      <c r="P660" s="5" t="str">
        <f>IF(OR(TRIM($B660)="",$F660=""),"",IF(OR(ISNUMBER(SEARCH(_xlfn.CONCAT(CHAR(96),CHAR(34)),$F660)),ISNUMBER(SEARCH(_xlfn.CONCAT(CHAR(34),CHAR(39)),$F660))),_xlfn.CONCAT("* REVIEW REQUIRED: compound-quote delimiter in Units on Sheet 1 row ",660,"; edit the input before running."),_xlfn.CONCAT("char ",TRIM($B660),"[doc_units] ",CHAR(96),CHAR(34),SUBSTITUTE(SUBSTITUTE(SUBSTITUTE(SUBSTITUTE(SUBSTITUTE(SUBSTITUTE($F660,CHAR(13)," "),CHAR(10)," "),CHAR(9)," "),CHAR(92),_xlfn.CONCAT(CHAR(92),CHAR(92))),"$",_xlfn.CONCAT(CHAR(92),"$")),CHAR(96),_xlfn.CONCAT(CHAR(92),CHAR(96))),CHAR(34),CHAR(39))))</f>
        <v/>
      </c>
      <c r="Q660" s="5" t="str">
        <f>IF(OR(TRIM($B660)="",$G660=""),"",IF(OR(ISNUMBER(SEARCH(_xlfn.CONCAT(CHAR(96),CHAR(34)),$G660)),ISNUMBER(SEARCH(_xlfn.CONCAT(CHAR(34),CHAR(39)),$G660))),_xlfn.CONCAT("* REVIEW REQUIRED: compound-quote delimiter in Universe on Sheet 1 row ",660,"; edit the input before running."),_xlfn.CONCAT("char ",TRIM($B660),"[doc_universe] ",CHAR(96),CHAR(34),SUBSTITUTE(SUBSTITUTE(SUBSTITUTE(SUBSTITUTE(SUBSTITUTE(SUBSTITUTE($G660,CHAR(13)," "),CHAR(10)," "),CHAR(9)," "),CHAR(92),_xlfn.CONCAT(CHAR(92),CHAR(92))),"$",_xlfn.CONCAT(CHAR(92),"$")),CHAR(96),_xlfn.CONCAT(CHAR(92),CHAR(96))),CHAR(34),CHAR(39))))</f>
        <v/>
      </c>
      <c r="R660" s="5" t="str">
        <f>IF(OR(TRIM($B660)="",$H660=""),"",IF(OR(ISNUMBER(SEARCH(_xlfn.CONCAT(CHAR(96),CHAR(34)),$H660)),ISNUMBER(SEARCH(_xlfn.CONCAT(CHAR(34),CHAR(39)),$H660))),_xlfn.CONCAT("* REVIEW REQUIRED: compound-quote delimiter in Source on Sheet 1 row ",660,"; edit the input before running."),_xlfn.CONCAT("char ",TRIM($B660),"[doc_source] ",CHAR(96),CHAR(34),SUBSTITUTE(SUBSTITUTE(SUBSTITUTE(SUBSTITUTE(SUBSTITUTE(SUBSTITUTE($H660,CHAR(13)," "),CHAR(10)," "),CHAR(9)," "),CHAR(92),_xlfn.CONCAT(CHAR(92),CHAR(92))),"$",_xlfn.CONCAT(CHAR(92),"$")),CHAR(96),_xlfn.CONCAT(CHAR(92),CHAR(96))),CHAR(34),CHAR(39))))</f>
        <v/>
      </c>
      <c r="S660" s="5" t="str">
        <f>IF(OR(TRIM($B660)="",$I660=""),"",IF(OR(ISNUMBER(SEARCH(_xlfn.CONCAT(CHAR(96),CHAR(34)),$I660)),ISNUMBER(SEARCH(_xlfn.CONCAT(CHAR(34),CHAR(39)),$I660))),_xlfn.CONCAT("* REVIEW REQUIRED: compound-quote delimiter in Derivation on Sheet 1 row ",660,"; edit the input before running."),_xlfn.CONCAT("char ",TRIM($B660),"[doc_derivation] ",CHAR(96),CHAR(34),SUBSTITUTE(SUBSTITUTE(SUBSTITUTE(SUBSTITUTE(SUBSTITUTE(SUBSTITUTE($I660,CHAR(13)," "),CHAR(10)," "),CHAR(9)," "),CHAR(92),_xlfn.CONCAT(CHAR(92),CHAR(92))),"$",_xlfn.CONCAT(CHAR(92),"$")),CHAR(96),_xlfn.CONCAT(CHAR(92),CHAR(96))),CHAR(34),CHAR(39))))</f>
        <v/>
      </c>
      <c r="T660" s="5" t="str">
        <f>IF(OR(TRIM($B660)="",$J660=""),"",IF(OR(ISNUMBER(SEARCH(_xlfn.CONCAT(CHAR(96),CHAR(34)),$J660)),ISNUMBER(SEARCH(_xlfn.CONCAT(CHAR(34),CHAR(39)),$J660))),_xlfn.CONCAT("* REVIEW REQUIRED: compound-quote delimiter in Notes on Sheet 1 row ",660,"; edit the input before running."),_xlfn.CONCAT("char ",TRIM($B660),"[doc_notes] ",CHAR(96),CHAR(34),SUBSTITUTE(SUBSTITUTE(SUBSTITUTE(SUBSTITUTE(SUBSTITUTE(SUBSTITUTE($J660,CHAR(13)," "),CHAR(10)," "),CHAR(9)," "),CHAR(92),_xlfn.CONCAT(CHAR(92),CHAR(92))),"$",_xlfn.CONCAT(CHAR(92),"$")),CHAR(96),_xlfn.CONCAT(CHAR(92),CHAR(96))),CHAR(34),CHAR(39))))</f>
        <v/>
      </c>
      <c r="U660" s="5">
        <f t="shared" ref="U660:U723" si="21">COUNTIF(L660:T660,"*REVIEW REQUIRED*")</f>
        <v>0</v>
      </c>
    </row>
    <row r="661" spans="3:21" ht="30" customHeight="1" x14ac:dyDescent="0.2">
      <c r="C661" s="4"/>
      <c r="K661" s="5">
        <f t="shared" si="20"/>
        <v>0</v>
      </c>
      <c r="L661" s="5" t="str">
        <f>IF(OR(TRIM($B661)="",$A661=""),"",IF(OR(ISNUMBER(SEARCH(_xlfn.CONCAT(CHAR(96),CHAR(34)),$A661)),ISNUMBER(SEARCH(_xlfn.CONCAT(CHAR(34),CHAR(39)),$A661))),_xlfn.CONCAT("* REVIEW REQUIRED: compound-quote delimiter in Codebook Section on Sheet 1 row ",661,"; edit the input before running."),_xlfn.CONCAT("char ",TRIM($B661),"[doc_section] ",CHAR(96),CHAR(34),SUBSTITUTE(SUBSTITUTE(SUBSTITUTE(SUBSTITUTE(SUBSTITUTE(SUBSTITUTE($A661,CHAR(13)," "),CHAR(10)," "),CHAR(9)," "),CHAR(92),_xlfn.CONCAT(CHAR(92),CHAR(92))),"$",_xlfn.CONCAT(CHAR(92),"$")),CHAR(96),_xlfn.CONCAT(CHAR(92),CHAR(96))),CHAR(34),CHAR(39))))</f>
        <v/>
      </c>
      <c r="M661" s="5" t="str">
        <f>IF(OR(TRIM($B661)="",$C661=""),"",IF(IFERROR(MATCH(TRIM($C661),{"Quantitative","Continuous","Discrete","Categorical","Nominal","Ordinal","Identifier"},0),0)=0,_xlfn.CONCAT("* REVIEW REQUIRED: invalid Variable Type on Sheet 1 row ",661,"."),_xlfn.CONCAT("char ",TRIM($B661),"[doc_vartype] ",CHAR(96),CHAR(34),SUBSTITUTE(SUBSTITUTE(SUBSTITUTE(SUBSTITUTE(SUBSTITUTE(SUBSTITUTE(LOWER(TRIM($C661)),CHAR(13)," "),CHAR(10)," "),CHAR(9)," "),CHAR(92),_xlfn.CONCAT(CHAR(92),CHAR(92))),"$",_xlfn.CONCAT(CHAR(92),"$")),CHAR(96),_xlfn.CONCAT(CHAR(92),CHAR(96))),CHAR(34),CHAR(39))))</f>
        <v/>
      </c>
      <c r="N661" s="5" t="str">
        <f>IF(OR(TRIM($B661)="",$D661=""),"",IF(OR(ISNUMBER(SEARCH(_xlfn.CONCAT(CHAR(96),CHAR(34)),$D661)),ISNUMBER(SEARCH(_xlfn.CONCAT(CHAR(34),CHAR(39)),$D661))),_xlfn.CONCAT("* REVIEW REQUIRED: compound-quote delimiter in Item Number on Sheet 1 row ",661,"; edit the input before running."),_xlfn.CONCAT("char ",TRIM($B661),"[doc_itemnum] ",CHAR(96),CHAR(34),SUBSTITUTE(SUBSTITUTE(SUBSTITUTE(SUBSTITUTE(SUBSTITUTE(SUBSTITUTE($D661,CHAR(13)," "),CHAR(10)," "),CHAR(9)," "),CHAR(92),_xlfn.CONCAT(CHAR(92),CHAR(92))),"$",_xlfn.CONCAT(CHAR(92),"$")),CHAR(96),_xlfn.CONCAT(CHAR(92),CHAR(96))),CHAR(34),CHAR(39))))</f>
        <v/>
      </c>
      <c r="O661" s="5" t="str">
        <f>IF(OR(TRIM($B661)="",$E661=""),"",IF(OR(ISNUMBER(SEARCH(_xlfn.CONCAT(CHAR(96),CHAR(34)),$E661)),ISNUMBER(SEARCH(_xlfn.CONCAT(CHAR(34),CHAR(39)),$E661))),_xlfn.CONCAT("* REVIEW REQUIRED: compound-quote delimiter in Question Wording on Sheet 1 row ",661,"; edit the input before running."),_xlfn.CONCAT("char ",TRIM($B661),"[doc_question] ",CHAR(96),CHAR(34),SUBSTITUTE(SUBSTITUTE(SUBSTITUTE(SUBSTITUTE(SUBSTITUTE(SUBSTITUTE($E661,CHAR(13)," "),CHAR(10)," "),CHAR(9)," "),CHAR(92),_xlfn.CONCAT(CHAR(92),CHAR(92))),"$",_xlfn.CONCAT(CHAR(92),"$")),CHAR(96),_xlfn.CONCAT(CHAR(92),CHAR(96))),CHAR(34),CHAR(39))))</f>
        <v/>
      </c>
      <c r="P661" s="5" t="str">
        <f>IF(OR(TRIM($B661)="",$F661=""),"",IF(OR(ISNUMBER(SEARCH(_xlfn.CONCAT(CHAR(96),CHAR(34)),$F661)),ISNUMBER(SEARCH(_xlfn.CONCAT(CHAR(34),CHAR(39)),$F661))),_xlfn.CONCAT("* REVIEW REQUIRED: compound-quote delimiter in Units on Sheet 1 row ",661,"; edit the input before running."),_xlfn.CONCAT("char ",TRIM($B661),"[doc_units] ",CHAR(96),CHAR(34),SUBSTITUTE(SUBSTITUTE(SUBSTITUTE(SUBSTITUTE(SUBSTITUTE(SUBSTITUTE($F661,CHAR(13)," "),CHAR(10)," "),CHAR(9)," "),CHAR(92),_xlfn.CONCAT(CHAR(92),CHAR(92))),"$",_xlfn.CONCAT(CHAR(92),"$")),CHAR(96),_xlfn.CONCAT(CHAR(92),CHAR(96))),CHAR(34),CHAR(39))))</f>
        <v/>
      </c>
      <c r="Q661" s="5" t="str">
        <f>IF(OR(TRIM($B661)="",$G661=""),"",IF(OR(ISNUMBER(SEARCH(_xlfn.CONCAT(CHAR(96),CHAR(34)),$G661)),ISNUMBER(SEARCH(_xlfn.CONCAT(CHAR(34),CHAR(39)),$G661))),_xlfn.CONCAT("* REVIEW REQUIRED: compound-quote delimiter in Universe on Sheet 1 row ",661,"; edit the input before running."),_xlfn.CONCAT("char ",TRIM($B661),"[doc_universe] ",CHAR(96),CHAR(34),SUBSTITUTE(SUBSTITUTE(SUBSTITUTE(SUBSTITUTE(SUBSTITUTE(SUBSTITUTE($G661,CHAR(13)," "),CHAR(10)," "),CHAR(9)," "),CHAR(92),_xlfn.CONCAT(CHAR(92),CHAR(92))),"$",_xlfn.CONCAT(CHAR(92),"$")),CHAR(96),_xlfn.CONCAT(CHAR(92),CHAR(96))),CHAR(34),CHAR(39))))</f>
        <v/>
      </c>
      <c r="R661" s="5" t="str">
        <f>IF(OR(TRIM($B661)="",$H661=""),"",IF(OR(ISNUMBER(SEARCH(_xlfn.CONCAT(CHAR(96),CHAR(34)),$H661)),ISNUMBER(SEARCH(_xlfn.CONCAT(CHAR(34),CHAR(39)),$H661))),_xlfn.CONCAT("* REVIEW REQUIRED: compound-quote delimiter in Source on Sheet 1 row ",661,"; edit the input before running."),_xlfn.CONCAT("char ",TRIM($B661),"[doc_source] ",CHAR(96),CHAR(34),SUBSTITUTE(SUBSTITUTE(SUBSTITUTE(SUBSTITUTE(SUBSTITUTE(SUBSTITUTE($H661,CHAR(13)," "),CHAR(10)," "),CHAR(9)," "),CHAR(92),_xlfn.CONCAT(CHAR(92),CHAR(92))),"$",_xlfn.CONCAT(CHAR(92),"$")),CHAR(96),_xlfn.CONCAT(CHAR(92),CHAR(96))),CHAR(34),CHAR(39))))</f>
        <v/>
      </c>
      <c r="S661" s="5" t="str">
        <f>IF(OR(TRIM($B661)="",$I661=""),"",IF(OR(ISNUMBER(SEARCH(_xlfn.CONCAT(CHAR(96),CHAR(34)),$I661)),ISNUMBER(SEARCH(_xlfn.CONCAT(CHAR(34),CHAR(39)),$I661))),_xlfn.CONCAT("* REVIEW REQUIRED: compound-quote delimiter in Derivation on Sheet 1 row ",661,"; edit the input before running."),_xlfn.CONCAT("char ",TRIM($B661),"[doc_derivation] ",CHAR(96),CHAR(34),SUBSTITUTE(SUBSTITUTE(SUBSTITUTE(SUBSTITUTE(SUBSTITUTE(SUBSTITUTE($I661,CHAR(13)," "),CHAR(10)," "),CHAR(9)," "),CHAR(92),_xlfn.CONCAT(CHAR(92),CHAR(92))),"$",_xlfn.CONCAT(CHAR(92),"$")),CHAR(96),_xlfn.CONCAT(CHAR(92),CHAR(96))),CHAR(34),CHAR(39))))</f>
        <v/>
      </c>
      <c r="T661" s="5" t="str">
        <f>IF(OR(TRIM($B661)="",$J661=""),"",IF(OR(ISNUMBER(SEARCH(_xlfn.CONCAT(CHAR(96),CHAR(34)),$J661)),ISNUMBER(SEARCH(_xlfn.CONCAT(CHAR(34),CHAR(39)),$J661))),_xlfn.CONCAT("* REVIEW REQUIRED: compound-quote delimiter in Notes on Sheet 1 row ",661,"; edit the input before running."),_xlfn.CONCAT("char ",TRIM($B661),"[doc_notes] ",CHAR(96),CHAR(34),SUBSTITUTE(SUBSTITUTE(SUBSTITUTE(SUBSTITUTE(SUBSTITUTE(SUBSTITUTE($J661,CHAR(13)," "),CHAR(10)," "),CHAR(9)," "),CHAR(92),_xlfn.CONCAT(CHAR(92),CHAR(92))),"$",_xlfn.CONCAT(CHAR(92),"$")),CHAR(96),_xlfn.CONCAT(CHAR(92),CHAR(96))),CHAR(34),CHAR(39))))</f>
        <v/>
      </c>
      <c r="U661" s="5">
        <f t="shared" si="21"/>
        <v>0</v>
      </c>
    </row>
    <row r="662" spans="3:21" ht="30" customHeight="1" x14ac:dyDescent="0.2">
      <c r="C662" s="4"/>
      <c r="K662" s="5">
        <f t="shared" si="20"/>
        <v>0</v>
      </c>
      <c r="L662" s="5" t="str">
        <f>IF(OR(TRIM($B662)="",$A662=""),"",IF(OR(ISNUMBER(SEARCH(_xlfn.CONCAT(CHAR(96),CHAR(34)),$A662)),ISNUMBER(SEARCH(_xlfn.CONCAT(CHAR(34),CHAR(39)),$A662))),_xlfn.CONCAT("* REVIEW REQUIRED: compound-quote delimiter in Codebook Section on Sheet 1 row ",662,"; edit the input before running."),_xlfn.CONCAT("char ",TRIM($B662),"[doc_section] ",CHAR(96),CHAR(34),SUBSTITUTE(SUBSTITUTE(SUBSTITUTE(SUBSTITUTE(SUBSTITUTE(SUBSTITUTE($A662,CHAR(13)," "),CHAR(10)," "),CHAR(9)," "),CHAR(92),_xlfn.CONCAT(CHAR(92),CHAR(92))),"$",_xlfn.CONCAT(CHAR(92),"$")),CHAR(96),_xlfn.CONCAT(CHAR(92),CHAR(96))),CHAR(34),CHAR(39))))</f>
        <v/>
      </c>
      <c r="M662" s="5" t="str">
        <f>IF(OR(TRIM($B662)="",$C662=""),"",IF(IFERROR(MATCH(TRIM($C662),{"Quantitative","Continuous","Discrete","Categorical","Nominal","Ordinal","Identifier"},0),0)=0,_xlfn.CONCAT("* REVIEW REQUIRED: invalid Variable Type on Sheet 1 row ",662,"."),_xlfn.CONCAT("char ",TRIM($B662),"[doc_vartype] ",CHAR(96),CHAR(34),SUBSTITUTE(SUBSTITUTE(SUBSTITUTE(SUBSTITUTE(SUBSTITUTE(SUBSTITUTE(LOWER(TRIM($C662)),CHAR(13)," "),CHAR(10)," "),CHAR(9)," "),CHAR(92),_xlfn.CONCAT(CHAR(92),CHAR(92))),"$",_xlfn.CONCAT(CHAR(92),"$")),CHAR(96),_xlfn.CONCAT(CHAR(92),CHAR(96))),CHAR(34),CHAR(39))))</f>
        <v/>
      </c>
      <c r="N662" s="5" t="str">
        <f>IF(OR(TRIM($B662)="",$D662=""),"",IF(OR(ISNUMBER(SEARCH(_xlfn.CONCAT(CHAR(96),CHAR(34)),$D662)),ISNUMBER(SEARCH(_xlfn.CONCAT(CHAR(34),CHAR(39)),$D662))),_xlfn.CONCAT("* REVIEW REQUIRED: compound-quote delimiter in Item Number on Sheet 1 row ",662,"; edit the input before running."),_xlfn.CONCAT("char ",TRIM($B662),"[doc_itemnum] ",CHAR(96),CHAR(34),SUBSTITUTE(SUBSTITUTE(SUBSTITUTE(SUBSTITUTE(SUBSTITUTE(SUBSTITUTE($D662,CHAR(13)," "),CHAR(10)," "),CHAR(9)," "),CHAR(92),_xlfn.CONCAT(CHAR(92),CHAR(92))),"$",_xlfn.CONCAT(CHAR(92),"$")),CHAR(96),_xlfn.CONCAT(CHAR(92),CHAR(96))),CHAR(34),CHAR(39))))</f>
        <v/>
      </c>
      <c r="O662" s="5" t="str">
        <f>IF(OR(TRIM($B662)="",$E662=""),"",IF(OR(ISNUMBER(SEARCH(_xlfn.CONCAT(CHAR(96),CHAR(34)),$E662)),ISNUMBER(SEARCH(_xlfn.CONCAT(CHAR(34),CHAR(39)),$E662))),_xlfn.CONCAT("* REVIEW REQUIRED: compound-quote delimiter in Question Wording on Sheet 1 row ",662,"; edit the input before running."),_xlfn.CONCAT("char ",TRIM($B662),"[doc_question] ",CHAR(96),CHAR(34),SUBSTITUTE(SUBSTITUTE(SUBSTITUTE(SUBSTITUTE(SUBSTITUTE(SUBSTITUTE($E662,CHAR(13)," "),CHAR(10)," "),CHAR(9)," "),CHAR(92),_xlfn.CONCAT(CHAR(92),CHAR(92))),"$",_xlfn.CONCAT(CHAR(92),"$")),CHAR(96),_xlfn.CONCAT(CHAR(92),CHAR(96))),CHAR(34),CHAR(39))))</f>
        <v/>
      </c>
      <c r="P662" s="5" t="str">
        <f>IF(OR(TRIM($B662)="",$F662=""),"",IF(OR(ISNUMBER(SEARCH(_xlfn.CONCAT(CHAR(96),CHAR(34)),$F662)),ISNUMBER(SEARCH(_xlfn.CONCAT(CHAR(34),CHAR(39)),$F662))),_xlfn.CONCAT("* REVIEW REQUIRED: compound-quote delimiter in Units on Sheet 1 row ",662,"; edit the input before running."),_xlfn.CONCAT("char ",TRIM($B662),"[doc_units] ",CHAR(96),CHAR(34),SUBSTITUTE(SUBSTITUTE(SUBSTITUTE(SUBSTITUTE(SUBSTITUTE(SUBSTITUTE($F662,CHAR(13)," "),CHAR(10)," "),CHAR(9)," "),CHAR(92),_xlfn.CONCAT(CHAR(92),CHAR(92))),"$",_xlfn.CONCAT(CHAR(92),"$")),CHAR(96),_xlfn.CONCAT(CHAR(92),CHAR(96))),CHAR(34),CHAR(39))))</f>
        <v/>
      </c>
      <c r="Q662" s="5" t="str">
        <f>IF(OR(TRIM($B662)="",$G662=""),"",IF(OR(ISNUMBER(SEARCH(_xlfn.CONCAT(CHAR(96),CHAR(34)),$G662)),ISNUMBER(SEARCH(_xlfn.CONCAT(CHAR(34),CHAR(39)),$G662))),_xlfn.CONCAT("* REVIEW REQUIRED: compound-quote delimiter in Universe on Sheet 1 row ",662,"; edit the input before running."),_xlfn.CONCAT("char ",TRIM($B662),"[doc_universe] ",CHAR(96),CHAR(34),SUBSTITUTE(SUBSTITUTE(SUBSTITUTE(SUBSTITUTE(SUBSTITUTE(SUBSTITUTE($G662,CHAR(13)," "),CHAR(10)," "),CHAR(9)," "),CHAR(92),_xlfn.CONCAT(CHAR(92),CHAR(92))),"$",_xlfn.CONCAT(CHAR(92),"$")),CHAR(96),_xlfn.CONCAT(CHAR(92),CHAR(96))),CHAR(34),CHAR(39))))</f>
        <v/>
      </c>
      <c r="R662" s="5" t="str">
        <f>IF(OR(TRIM($B662)="",$H662=""),"",IF(OR(ISNUMBER(SEARCH(_xlfn.CONCAT(CHAR(96),CHAR(34)),$H662)),ISNUMBER(SEARCH(_xlfn.CONCAT(CHAR(34),CHAR(39)),$H662))),_xlfn.CONCAT("* REVIEW REQUIRED: compound-quote delimiter in Source on Sheet 1 row ",662,"; edit the input before running."),_xlfn.CONCAT("char ",TRIM($B662),"[doc_source] ",CHAR(96),CHAR(34),SUBSTITUTE(SUBSTITUTE(SUBSTITUTE(SUBSTITUTE(SUBSTITUTE(SUBSTITUTE($H662,CHAR(13)," "),CHAR(10)," "),CHAR(9)," "),CHAR(92),_xlfn.CONCAT(CHAR(92),CHAR(92))),"$",_xlfn.CONCAT(CHAR(92),"$")),CHAR(96),_xlfn.CONCAT(CHAR(92),CHAR(96))),CHAR(34),CHAR(39))))</f>
        <v/>
      </c>
      <c r="S662" s="5" t="str">
        <f>IF(OR(TRIM($B662)="",$I662=""),"",IF(OR(ISNUMBER(SEARCH(_xlfn.CONCAT(CHAR(96),CHAR(34)),$I662)),ISNUMBER(SEARCH(_xlfn.CONCAT(CHAR(34),CHAR(39)),$I662))),_xlfn.CONCAT("* REVIEW REQUIRED: compound-quote delimiter in Derivation on Sheet 1 row ",662,"; edit the input before running."),_xlfn.CONCAT("char ",TRIM($B662),"[doc_derivation] ",CHAR(96),CHAR(34),SUBSTITUTE(SUBSTITUTE(SUBSTITUTE(SUBSTITUTE(SUBSTITUTE(SUBSTITUTE($I662,CHAR(13)," "),CHAR(10)," "),CHAR(9)," "),CHAR(92),_xlfn.CONCAT(CHAR(92),CHAR(92))),"$",_xlfn.CONCAT(CHAR(92),"$")),CHAR(96),_xlfn.CONCAT(CHAR(92),CHAR(96))),CHAR(34),CHAR(39))))</f>
        <v/>
      </c>
      <c r="T662" s="5" t="str">
        <f>IF(OR(TRIM($B662)="",$J662=""),"",IF(OR(ISNUMBER(SEARCH(_xlfn.CONCAT(CHAR(96),CHAR(34)),$J662)),ISNUMBER(SEARCH(_xlfn.CONCAT(CHAR(34),CHAR(39)),$J662))),_xlfn.CONCAT("* REVIEW REQUIRED: compound-quote delimiter in Notes on Sheet 1 row ",662,"; edit the input before running."),_xlfn.CONCAT("char ",TRIM($B662),"[doc_notes] ",CHAR(96),CHAR(34),SUBSTITUTE(SUBSTITUTE(SUBSTITUTE(SUBSTITUTE(SUBSTITUTE(SUBSTITUTE($J662,CHAR(13)," "),CHAR(10)," "),CHAR(9)," "),CHAR(92),_xlfn.CONCAT(CHAR(92),CHAR(92))),"$",_xlfn.CONCAT(CHAR(92),"$")),CHAR(96),_xlfn.CONCAT(CHAR(92),CHAR(96))),CHAR(34),CHAR(39))))</f>
        <v/>
      </c>
      <c r="U662" s="5">
        <f t="shared" si="21"/>
        <v>0</v>
      </c>
    </row>
    <row r="663" spans="3:21" ht="30" customHeight="1" x14ac:dyDescent="0.2">
      <c r="C663" s="4"/>
      <c r="K663" s="5">
        <f t="shared" si="20"/>
        <v>0</v>
      </c>
      <c r="L663" s="5" t="str">
        <f>IF(OR(TRIM($B663)="",$A663=""),"",IF(OR(ISNUMBER(SEARCH(_xlfn.CONCAT(CHAR(96),CHAR(34)),$A663)),ISNUMBER(SEARCH(_xlfn.CONCAT(CHAR(34),CHAR(39)),$A663))),_xlfn.CONCAT("* REVIEW REQUIRED: compound-quote delimiter in Codebook Section on Sheet 1 row ",663,"; edit the input before running."),_xlfn.CONCAT("char ",TRIM($B663),"[doc_section] ",CHAR(96),CHAR(34),SUBSTITUTE(SUBSTITUTE(SUBSTITUTE(SUBSTITUTE(SUBSTITUTE(SUBSTITUTE($A663,CHAR(13)," "),CHAR(10)," "),CHAR(9)," "),CHAR(92),_xlfn.CONCAT(CHAR(92),CHAR(92))),"$",_xlfn.CONCAT(CHAR(92),"$")),CHAR(96),_xlfn.CONCAT(CHAR(92),CHAR(96))),CHAR(34),CHAR(39))))</f>
        <v/>
      </c>
      <c r="M663" s="5" t="str">
        <f>IF(OR(TRIM($B663)="",$C663=""),"",IF(IFERROR(MATCH(TRIM($C663),{"Quantitative","Continuous","Discrete","Categorical","Nominal","Ordinal","Identifier"},0),0)=0,_xlfn.CONCAT("* REVIEW REQUIRED: invalid Variable Type on Sheet 1 row ",663,"."),_xlfn.CONCAT("char ",TRIM($B663),"[doc_vartype] ",CHAR(96),CHAR(34),SUBSTITUTE(SUBSTITUTE(SUBSTITUTE(SUBSTITUTE(SUBSTITUTE(SUBSTITUTE(LOWER(TRIM($C663)),CHAR(13)," "),CHAR(10)," "),CHAR(9)," "),CHAR(92),_xlfn.CONCAT(CHAR(92),CHAR(92))),"$",_xlfn.CONCAT(CHAR(92),"$")),CHAR(96),_xlfn.CONCAT(CHAR(92),CHAR(96))),CHAR(34),CHAR(39))))</f>
        <v/>
      </c>
      <c r="N663" s="5" t="str">
        <f>IF(OR(TRIM($B663)="",$D663=""),"",IF(OR(ISNUMBER(SEARCH(_xlfn.CONCAT(CHAR(96),CHAR(34)),$D663)),ISNUMBER(SEARCH(_xlfn.CONCAT(CHAR(34),CHAR(39)),$D663))),_xlfn.CONCAT("* REVIEW REQUIRED: compound-quote delimiter in Item Number on Sheet 1 row ",663,"; edit the input before running."),_xlfn.CONCAT("char ",TRIM($B663),"[doc_itemnum] ",CHAR(96),CHAR(34),SUBSTITUTE(SUBSTITUTE(SUBSTITUTE(SUBSTITUTE(SUBSTITUTE(SUBSTITUTE($D663,CHAR(13)," "),CHAR(10)," "),CHAR(9)," "),CHAR(92),_xlfn.CONCAT(CHAR(92),CHAR(92))),"$",_xlfn.CONCAT(CHAR(92),"$")),CHAR(96),_xlfn.CONCAT(CHAR(92),CHAR(96))),CHAR(34),CHAR(39))))</f>
        <v/>
      </c>
      <c r="O663" s="5" t="str">
        <f>IF(OR(TRIM($B663)="",$E663=""),"",IF(OR(ISNUMBER(SEARCH(_xlfn.CONCAT(CHAR(96),CHAR(34)),$E663)),ISNUMBER(SEARCH(_xlfn.CONCAT(CHAR(34),CHAR(39)),$E663))),_xlfn.CONCAT("* REVIEW REQUIRED: compound-quote delimiter in Question Wording on Sheet 1 row ",663,"; edit the input before running."),_xlfn.CONCAT("char ",TRIM($B663),"[doc_question] ",CHAR(96),CHAR(34),SUBSTITUTE(SUBSTITUTE(SUBSTITUTE(SUBSTITUTE(SUBSTITUTE(SUBSTITUTE($E663,CHAR(13)," "),CHAR(10)," "),CHAR(9)," "),CHAR(92),_xlfn.CONCAT(CHAR(92),CHAR(92))),"$",_xlfn.CONCAT(CHAR(92),"$")),CHAR(96),_xlfn.CONCAT(CHAR(92),CHAR(96))),CHAR(34),CHAR(39))))</f>
        <v/>
      </c>
      <c r="P663" s="5" t="str">
        <f>IF(OR(TRIM($B663)="",$F663=""),"",IF(OR(ISNUMBER(SEARCH(_xlfn.CONCAT(CHAR(96),CHAR(34)),$F663)),ISNUMBER(SEARCH(_xlfn.CONCAT(CHAR(34),CHAR(39)),$F663))),_xlfn.CONCAT("* REVIEW REQUIRED: compound-quote delimiter in Units on Sheet 1 row ",663,"; edit the input before running."),_xlfn.CONCAT("char ",TRIM($B663),"[doc_units] ",CHAR(96),CHAR(34),SUBSTITUTE(SUBSTITUTE(SUBSTITUTE(SUBSTITUTE(SUBSTITUTE(SUBSTITUTE($F663,CHAR(13)," "),CHAR(10)," "),CHAR(9)," "),CHAR(92),_xlfn.CONCAT(CHAR(92),CHAR(92))),"$",_xlfn.CONCAT(CHAR(92),"$")),CHAR(96),_xlfn.CONCAT(CHAR(92),CHAR(96))),CHAR(34),CHAR(39))))</f>
        <v/>
      </c>
      <c r="Q663" s="5" t="str">
        <f>IF(OR(TRIM($B663)="",$G663=""),"",IF(OR(ISNUMBER(SEARCH(_xlfn.CONCAT(CHAR(96),CHAR(34)),$G663)),ISNUMBER(SEARCH(_xlfn.CONCAT(CHAR(34),CHAR(39)),$G663))),_xlfn.CONCAT("* REVIEW REQUIRED: compound-quote delimiter in Universe on Sheet 1 row ",663,"; edit the input before running."),_xlfn.CONCAT("char ",TRIM($B663),"[doc_universe] ",CHAR(96),CHAR(34),SUBSTITUTE(SUBSTITUTE(SUBSTITUTE(SUBSTITUTE(SUBSTITUTE(SUBSTITUTE($G663,CHAR(13)," "),CHAR(10)," "),CHAR(9)," "),CHAR(92),_xlfn.CONCAT(CHAR(92),CHAR(92))),"$",_xlfn.CONCAT(CHAR(92),"$")),CHAR(96),_xlfn.CONCAT(CHAR(92),CHAR(96))),CHAR(34),CHAR(39))))</f>
        <v/>
      </c>
      <c r="R663" s="5" t="str">
        <f>IF(OR(TRIM($B663)="",$H663=""),"",IF(OR(ISNUMBER(SEARCH(_xlfn.CONCAT(CHAR(96),CHAR(34)),$H663)),ISNUMBER(SEARCH(_xlfn.CONCAT(CHAR(34),CHAR(39)),$H663))),_xlfn.CONCAT("* REVIEW REQUIRED: compound-quote delimiter in Source on Sheet 1 row ",663,"; edit the input before running."),_xlfn.CONCAT("char ",TRIM($B663),"[doc_source] ",CHAR(96),CHAR(34),SUBSTITUTE(SUBSTITUTE(SUBSTITUTE(SUBSTITUTE(SUBSTITUTE(SUBSTITUTE($H663,CHAR(13)," "),CHAR(10)," "),CHAR(9)," "),CHAR(92),_xlfn.CONCAT(CHAR(92),CHAR(92))),"$",_xlfn.CONCAT(CHAR(92),"$")),CHAR(96),_xlfn.CONCAT(CHAR(92),CHAR(96))),CHAR(34),CHAR(39))))</f>
        <v/>
      </c>
      <c r="S663" s="5" t="str">
        <f>IF(OR(TRIM($B663)="",$I663=""),"",IF(OR(ISNUMBER(SEARCH(_xlfn.CONCAT(CHAR(96),CHAR(34)),$I663)),ISNUMBER(SEARCH(_xlfn.CONCAT(CHAR(34),CHAR(39)),$I663))),_xlfn.CONCAT("* REVIEW REQUIRED: compound-quote delimiter in Derivation on Sheet 1 row ",663,"; edit the input before running."),_xlfn.CONCAT("char ",TRIM($B663),"[doc_derivation] ",CHAR(96),CHAR(34),SUBSTITUTE(SUBSTITUTE(SUBSTITUTE(SUBSTITUTE(SUBSTITUTE(SUBSTITUTE($I663,CHAR(13)," "),CHAR(10)," "),CHAR(9)," "),CHAR(92),_xlfn.CONCAT(CHAR(92),CHAR(92))),"$",_xlfn.CONCAT(CHAR(92),"$")),CHAR(96),_xlfn.CONCAT(CHAR(92),CHAR(96))),CHAR(34),CHAR(39))))</f>
        <v/>
      </c>
      <c r="T663" s="5" t="str">
        <f>IF(OR(TRIM($B663)="",$J663=""),"",IF(OR(ISNUMBER(SEARCH(_xlfn.CONCAT(CHAR(96),CHAR(34)),$J663)),ISNUMBER(SEARCH(_xlfn.CONCAT(CHAR(34),CHAR(39)),$J663))),_xlfn.CONCAT("* REVIEW REQUIRED: compound-quote delimiter in Notes on Sheet 1 row ",663,"; edit the input before running."),_xlfn.CONCAT("char ",TRIM($B663),"[doc_notes] ",CHAR(96),CHAR(34),SUBSTITUTE(SUBSTITUTE(SUBSTITUTE(SUBSTITUTE(SUBSTITUTE(SUBSTITUTE($J663,CHAR(13)," "),CHAR(10)," "),CHAR(9)," "),CHAR(92),_xlfn.CONCAT(CHAR(92),CHAR(92))),"$",_xlfn.CONCAT(CHAR(92),"$")),CHAR(96),_xlfn.CONCAT(CHAR(92),CHAR(96))),CHAR(34),CHAR(39))))</f>
        <v/>
      </c>
      <c r="U663" s="5">
        <f t="shared" si="21"/>
        <v>0</v>
      </c>
    </row>
    <row r="664" spans="3:21" ht="30" customHeight="1" x14ac:dyDescent="0.2">
      <c r="C664" s="4"/>
      <c r="K664" s="5">
        <f t="shared" si="20"/>
        <v>0</v>
      </c>
      <c r="L664" s="5" t="str">
        <f>IF(OR(TRIM($B664)="",$A664=""),"",IF(OR(ISNUMBER(SEARCH(_xlfn.CONCAT(CHAR(96),CHAR(34)),$A664)),ISNUMBER(SEARCH(_xlfn.CONCAT(CHAR(34),CHAR(39)),$A664))),_xlfn.CONCAT("* REVIEW REQUIRED: compound-quote delimiter in Codebook Section on Sheet 1 row ",664,"; edit the input before running."),_xlfn.CONCAT("char ",TRIM($B664),"[doc_section] ",CHAR(96),CHAR(34),SUBSTITUTE(SUBSTITUTE(SUBSTITUTE(SUBSTITUTE(SUBSTITUTE(SUBSTITUTE($A664,CHAR(13)," "),CHAR(10)," "),CHAR(9)," "),CHAR(92),_xlfn.CONCAT(CHAR(92),CHAR(92))),"$",_xlfn.CONCAT(CHAR(92),"$")),CHAR(96),_xlfn.CONCAT(CHAR(92),CHAR(96))),CHAR(34),CHAR(39))))</f>
        <v/>
      </c>
      <c r="M664" s="5" t="str">
        <f>IF(OR(TRIM($B664)="",$C664=""),"",IF(IFERROR(MATCH(TRIM($C664),{"Quantitative","Continuous","Discrete","Categorical","Nominal","Ordinal","Identifier"},0),0)=0,_xlfn.CONCAT("* REVIEW REQUIRED: invalid Variable Type on Sheet 1 row ",664,"."),_xlfn.CONCAT("char ",TRIM($B664),"[doc_vartype] ",CHAR(96),CHAR(34),SUBSTITUTE(SUBSTITUTE(SUBSTITUTE(SUBSTITUTE(SUBSTITUTE(SUBSTITUTE(LOWER(TRIM($C664)),CHAR(13)," "),CHAR(10)," "),CHAR(9)," "),CHAR(92),_xlfn.CONCAT(CHAR(92),CHAR(92))),"$",_xlfn.CONCAT(CHAR(92),"$")),CHAR(96),_xlfn.CONCAT(CHAR(92),CHAR(96))),CHAR(34),CHAR(39))))</f>
        <v/>
      </c>
      <c r="N664" s="5" t="str">
        <f>IF(OR(TRIM($B664)="",$D664=""),"",IF(OR(ISNUMBER(SEARCH(_xlfn.CONCAT(CHAR(96),CHAR(34)),$D664)),ISNUMBER(SEARCH(_xlfn.CONCAT(CHAR(34),CHAR(39)),$D664))),_xlfn.CONCAT("* REVIEW REQUIRED: compound-quote delimiter in Item Number on Sheet 1 row ",664,"; edit the input before running."),_xlfn.CONCAT("char ",TRIM($B664),"[doc_itemnum] ",CHAR(96),CHAR(34),SUBSTITUTE(SUBSTITUTE(SUBSTITUTE(SUBSTITUTE(SUBSTITUTE(SUBSTITUTE($D664,CHAR(13)," "),CHAR(10)," "),CHAR(9)," "),CHAR(92),_xlfn.CONCAT(CHAR(92),CHAR(92))),"$",_xlfn.CONCAT(CHAR(92),"$")),CHAR(96),_xlfn.CONCAT(CHAR(92),CHAR(96))),CHAR(34),CHAR(39))))</f>
        <v/>
      </c>
      <c r="O664" s="5" t="str">
        <f>IF(OR(TRIM($B664)="",$E664=""),"",IF(OR(ISNUMBER(SEARCH(_xlfn.CONCAT(CHAR(96),CHAR(34)),$E664)),ISNUMBER(SEARCH(_xlfn.CONCAT(CHAR(34),CHAR(39)),$E664))),_xlfn.CONCAT("* REVIEW REQUIRED: compound-quote delimiter in Question Wording on Sheet 1 row ",664,"; edit the input before running."),_xlfn.CONCAT("char ",TRIM($B664),"[doc_question] ",CHAR(96),CHAR(34),SUBSTITUTE(SUBSTITUTE(SUBSTITUTE(SUBSTITUTE(SUBSTITUTE(SUBSTITUTE($E664,CHAR(13)," "),CHAR(10)," "),CHAR(9)," "),CHAR(92),_xlfn.CONCAT(CHAR(92),CHAR(92))),"$",_xlfn.CONCAT(CHAR(92),"$")),CHAR(96),_xlfn.CONCAT(CHAR(92),CHAR(96))),CHAR(34),CHAR(39))))</f>
        <v/>
      </c>
      <c r="P664" s="5" t="str">
        <f>IF(OR(TRIM($B664)="",$F664=""),"",IF(OR(ISNUMBER(SEARCH(_xlfn.CONCAT(CHAR(96),CHAR(34)),$F664)),ISNUMBER(SEARCH(_xlfn.CONCAT(CHAR(34),CHAR(39)),$F664))),_xlfn.CONCAT("* REVIEW REQUIRED: compound-quote delimiter in Units on Sheet 1 row ",664,"; edit the input before running."),_xlfn.CONCAT("char ",TRIM($B664),"[doc_units] ",CHAR(96),CHAR(34),SUBSTITUTE(SUBSTITUTE(SUBSTITUTE(SUBSTITUTE(SUBSTITUTE(SUBSTITUTE($F664,CHAR(13)," "),CHAR(10)," "),CHAR(9)," "),CHAR(92),_xlfn.CONCAT(CHAR(92),CHAR(92))),"$",_xlfn.CONCAT(CHAR(92),"$")),CHAR(96),_xlfn.CONCAT(CHAR(92),CHAR(96))),CHAR(34),CHAR(39))))</f>
        <v/>
      </c>
      <c r="Q664" s="5" t="str">
        <f>IF(OR(TRIM($B664)="",$G664=""),"",IF(OR(ISNUMBER(SEARCH(_xlfn.CONCAT(CHAR(96),CHAR(34)),$G664)),ISNUMBER(SEARCH(_xlfn.CONCAT(CHAR(34),CHAR(39)),$G664))),_xlfn.CONCAT("* REVIEW REQUIRED: compound-quote delimiter in Universe on Sheet 1 row ",664,"; edit the input before running."),_xlfn.CONCAT("char ",TRIM($B664),"[doc_universe] ",CHAR(96),CHAR(34),SUBSTITUTE(SUBSTITUTE(SUBSTITUTE(SUBSTITUTE(SUBSTITUTE(SUBSTITUTE($G664,CHAR(13)," "),CHAR(10)," "),CHAR(9)," "),CHAR(92),_xlfn.CONCAT(CHAR(92),CHAR(92))),"$",_xlfn.CONCAT(CHAR(92),"$")),CHAR(96),_xlfn.CONCAT(CHAR(92),CHAR(96))),CHAR(34),CHAR(39))))</f>
        <v/>
      </c>
      <c r="R664" s="5" t="str">
        <f>IF(OR(TRIM($B664)="",$H664=""),"",IF(OR(ISNUMBER(SEARCH(_xlfn.CONCAT(CHAR(96),CHAR(34)),$H664)),ISNUMBER(SEARCH(_xlfn.CONCAT(CHAR(34),CHAR(39)),$H664))),_xlfn.CONCAT("* REVIEW REQUIRED: compound-quote delimiter in Source on Sheet 1 row ",664,"; edit the input before running."),_xlfn.CONCAT("char ",TRIM($B664),"[doc_source] ",CHAR(96),CHAR(34),SUBSTITUTE(SUBSTITUTE(SUBSTITUTE(SUBSTITUTE(SUBSTITUTE(SUBSTITUTE($H664,CHAR(13)," "),CHAR(10)," "),CHAR(9)," "),CHAR(92),_xlfn.CONCAT(CHAR(92),CHAR(92))),"$",_xlfn.CONCAT(CHAR(92),"$")),CHAR(96),_xlfn.CONCAT(CHAR(92),CHAR(96))),CHAR(34),CHAR(39))))</f>
        <v/>
      </c>
      <c r="S664" s="5" t="str">
        <f>IF(OR(TRIM($B664)="",$I664=""),"",IF(OR(ISNUMBER(SEARCH(_xlfn.CONCAT(CHAR(96),CHAR(34)),$I664)),ISNUMBER(SEARCH(_xlfn.CONCAT(CHAR(34),CHAR(39)),$I664))),_xlfn.CONCAT("* REVIEW REQUIRED: compound-quote delimiter in Derivation on Sheet 1 row ",664,"; edit the input before running."),_xlfn.CONCAT("char ",TRIM($B664),"[doc_derivation] ",CHAR(96),CHAR(34),SUBSTITUTE(SUBSTITUTE(SUBSTITUTE(SUBSTITUTE(SUBSTITUTE(SUBSTITUTE($I664,CHAR(13)," "),CHAR(10)," "),CHAR(9)," "),CHAR(92),_xlfn.CONCAT(CHAR(92),CHAR(92))),"$",_xlfn.CONCAT(CHAR(92),"$")),CHAR(96),_xlfn.CONCAT(CHAR(92),CHAR(96))),CHAR(34),CHAR(39))))</f>
        <v/>
      </c>
      <c r="T664" s="5" t="str">
        <f>IF(OR(TRIM($B664)="",$J664=""),"",IF(OR(ISNUMBER(SEARCH(_xlfn.CONCAT(CHAR(96),CHAR(34)),$J664)),ISNUMBER(SEARCH(_xlfn.CONCAT(CHAR(34),CHAR(39)),$J664))),_xlfn.CONCAT("* REVIEW REQUIRED: compound-quote delimiter in Notes on Sheet 1 row ",664,"; edit the input before running."),_xlfn.CONCAT("char ",TRIM($B664),"[doc_notes] ",CHAR(96),CHAR(34),SUBSTITUTE(SUBSTITUTE(SUBSTITUTE(SUBSTITUTE(SUBSTITUTE(SUBSTITUTE($J664,CHAR(13)," "),CHAR(10)," "),CHAR(9)," "),CHAR(92),_xlfn.CONCAT(CHAR(92),CHAR(92))),"$",_xlfn.CONCAT(CHAR(92),"$")),CHAR(96),_xlfn.CONCAT(CHAR(92),CHAR(96))),CHAR(34),CHAR(39))))</f>
        <v/>
      </c>
      <c r="U664" s="5">
        <f t="shared" si="21"/>
        <v>0</v>
      </c>
    </row>
    <row r="665" spans="3:21" ht="30" customHeight="1" x14ac:dyDescent="0.2">
      <c r="C665" s="4"/>
      <c r="K665" s="5">
        <f t="shared" si="20"/>
        <v>0</v>
      </c>
      <c r="L665" s="5" t="str">
        <f>IF(OR(TRIM($B665)="",$A665=""),"",IF(OR(ISNUMBER(SEARCH(_xlfn.CONCAT(CHAR(96),CHAR(34)),$A665)),ISNUMBER(SEARCH(_xlfn.CONCAT(CHAR(34),CHAR(39)),$A665))),_xlfn.CONCAT("* REVIEW REQUIRED: compound-quote delimiter in Codebook Section on Sheet 1 row ",665,"; edit the input before running."),_xlfn.CONCAT("char ",TRIM($B665),"[doc_section] ",CHAR(96),CHAR(34),SUBSTITUTE(SUBSTITUTE(SUBSTITUTE(SUBSTITUTE(SUBSTITUTE(SUBSTITUTE($A665,CHAR(13)," "),CHAR(10)," "),CHAR(9)," "),CHAR(92),_xlfn.CONCAT(CHAR(92),CHAR(92))),"$",_xlfn.CONCAT(CHAR(92),"$")),CHAR(96),_xlfn.CONCAT(CHAR(92),CHAR(96))),CHAR(34),CHAR(39))))</f>
        <v/>
      </c>
      <c r="M665" s="5" t="str">
        <f>IF(OR(TRIM($B665)="",$C665=""),"",IF(IFERROR(MATCH(TRIM($C665),{"Quantitative","Continuous","Discrete","Categorical","Nominal","Ordinal","Identifier"},0),0)=0,_xlfn.CONCAT("* REVIEW REQUIRED: invalid Variable Type on Sheet 1 row ",665,"."),_xlfn.CONCAT("char ",TRIM($B665),"[doc_vartype] ",CHAR(96),CHAR(34),SUBSTITUTE(SUBSTITUTE(SUBSTITUTE(SUBSTITUTE(SUBSTITUTE(SUBSTITUTE(LOWER(TRIM($C665)),CHAR(13)," "),CHAR(10)," "),CHAR(9)," "),CHAR(92),_xlfn.CONCAT(CHAR(92),CHAR(92))),"$",_xlfn.CONCAT(CHAR(92),"$")),CHAR(96),_xlfn.CONCAT(CHAR(92),CHAR(96))),CHAR(34),CHAR(39))))</f>
        <v/>
      </c>
      <c r="N665" s="5" t="str">
        <f>IF(OR(TRIM($B665)="",$D665=""),"",IF(OR(ISNUMBER(SEARCH(_xlfn.CONCAT(CHAR(96),CHAR(34)),$D665)),ISNUMBER(SEARCH(_xlfn.CONCAT(CHAR(34),CHAR(39)),$D665))),_xlfn.CONCAT("* REVIEW REQUIRED: compound-quote delimiter in Item Number on Sheet 1 row ",665,"; edit the input before running."),_xlfn.CONCAT("char ",TRIM($B665),"[doc_itemnum] ",CHAR(96),CHAR(34),SUBSTITUTE(SUBSTITUTE(SUBSTITUTE(SUBSTITUTE(SUBSTITUTE(SUBSTITUTE($D665,CHAR(13)," "),CHAR(10)," "),CHAR(9)," "),CHAR(92),_xlfn.CONCAT(CHAR(92),CHAR(92))),"$",_xlfn.CONCAT(CHAR(92),"$")),CHAR(96),_xlfn.CONCAT(CHAR(92),CHAR(96))),CHAR(34),CHAR(39))))</f>
        <v/>
      </c>
      <c r="O665" s="5" t="str">
        <f>IF(OR(TRIM($B665)="",$E665=""),"",IF(OR(ISNUMBER(SEARCH(_xlfn.CONCAT(CHAR(96),CHAR(34)),$E665)),ISNUMBER(SEARCH(_xlfn.CONCAT(CHAR(34),CHAR(39)),$E665))),_xlfn.CONCAT("* REVIEW REQUIRED: compound-quote delimiter in Question Wording on Sheet 1 row ",665,"; edit the input before running."),_xlfn.CONCAT("char ",TRIM($B665),"[doc_question] ",CHAR(96),CHAR(34),SUBSTITUTE(SUBSTITUTE(SUBSTITUTE(SUBSTITUTE(SUBSTITUTE(SUBSTITUTE($E665,CHAR(13)," "),CHAR(10)," "),CHAR(9)," "),CHAR(92),_xlfn.CONCAT(CHAR(92),CHAR(92))),"$",_xlfn.CONCAT(CHAR(92),"$")),CHAR(96),_xlfn.CONCAT(CHAR(92),CHAR(96))),CHAR(34),CHAR(39))))</f>
        <v/>
      </c>
      <c r="P665" s="5" t="str">
        <f>IF(OR(TRIM($B665)="",$F665=""),"",IF(OR(ISNUMBER(SEARCH(_xlfn.CONCAT(CHAR(96),CHAR(34)),$F665)),ISNUMBER(SEARCH(_xlfn.CONCAT(CHAR(34),CHAR(39)),$F665))),_xlfn.CONCAT("* REVIEW REQUIRED: compound-quote delimiter in Units on Sheet 1 row ",665,"; edit the input before running."),_xlfn.CONCAT("char ",TRIM($B665),"[doc_units] ",CHAR(96),CHAR(34),SUBSTITUTE(SUBSTITUTE(SUBSTITUTE(SUBSTITUTE(SUBSTITUTE(SUBSTITUTE($F665,CHAR(13)," "),CHAR(10)," "),CHAR(9)," "),CHAR(92),_xlfn.CONCAT(CHAR(92),CHAR(92))),"$",_xlfn.CONCAT(CHAR(92),"$")),CHAR(96),_xlfn.CONCAT(CHAR(92),CHAR(96))),CHAR(34),CHAR(39))))</f>
        <v/>
      </c>
      <c r="Q665" s="5" t="str">
        <f>IF(OR(TRIM($B665)="",$G665=""),"",IF(OR(ISNUMBER(SEARCH(_xlfn.CONCAT(CHAR(96),CHAR(34)),$G665)),ISNUMBER(SEARCH(_xlfn.CONCAT(CHAR(34),CHAR(39)),$G665))),_xlfn.CONCAT("* REVIEW REQUIRED: compound-quote delimiter in Universe on Sheet 1 row ",665,"; edit the input before running."),_xlfn.CONCAT("char ",TRIM($B665),"[doc_universe] ",CHAR(96),CHAR(34),SUBSTITUTE(SUBSTITUTE(SUBSTITUTE(SUBSTITUTE(SUBSTITUTE(SUBSTITUTE($G665,CHAR(13)," "),CHAR(10)," "),CHAR(9)," "),CHAR(92),_xlfn.CONCAT(CHAR(92),CHAR(92))),"$",_xlfn.CONCAT(CHAR(92),"$")),CHAR(96),_xlfn.CONCAT(CHAR(92),CHAR(96))),CHAR(34),CHAR(39))))</f>
        <v/>
      </c>
      <c r="R665" s="5" t="str">
        <f>IF(OR(TRIM($B665)="",$H665=""),"",IF(OR(ISNUMBER(SEARCH(_xlfn.CONCAT(CHAR(96),CHAR(34)),$H665)),ISNUMBER(SEARCH(_xlfn.CONCAT(CHAR(34),CHAR(39)),$H665))),_xlfn.CONCAT("* REVIEW REQUIRED: compound-quote delimiter in Source on Sheet 1 row ",665,"; edit the input before running."),_xlfn.CONCAT("char ",TRIM($B665),"[doc_source] ",CHAR(96),CHAR(34),SUBSTITUTE(SUBSTITUTE(SUBSTITUTE(SUBSTITUTE(SUBSTITUTE(SUBSTITUTE($H665,CHAR(13)," "),CHAR(10)," "),CHAR(9)," "),CHAR(92),_xlfn.CONCAT(CHAR(92),CHAR(92))),"$",_xlfn.CONCAT(CHAR(92),"$")),CHAR(96),_xlfn.CONCAT(CHAR(92),CHAR(96))),CHAR(34),CHAR(39))))</f>
        <v/>
      </c>
      <c r="S665" s="5" t="str">
        <f>IF(OR(TRIM($B665)="",$I665=""),"",IF(OR(ISNUMBER(SEARCH(_xlfn.CONCAT(CHAR(96),CHAR(34)),$I665)),ISNUMBER(SEARCH(_xlfn.CONCAT(CHAR(34),CHAR(39)),$I665))),_xlfn.CONCAT("* REVIEW REQUIRED: compound-quote delimiter in Derivation on Sheet 1 row ",665,"; edit the input before running."),_xlfn.CONCAT("char ",TRIM($B665),"[doc_derivation] ",CHAR(96),CHAR(34),SUBSTITUTE(SUBSTITUTE(SUBSTITUTE(SUBSTITUTE(SUBSTITUTE(SUBSTITUTE($I665,CHAR(13)," "),CHAR(10)," "),CHAR(9)," "),CHAR(92),_xlfn.CONCAT(CHAR(92),CHAR(92))),"$",_xlfn.CONCAT(CHAR(92),"$")),CHAR(96),_xlfn.CONCAT(CHAR(92),CHAR(96))),CHAR(34),CHAR(39))))</f>
        <v/>
      </c>
      <c r="T665" s="5" t="str">
        <f>IF(OR(TRIM($B665)="",$J665=""),"",IF(OR(ISNUMBER(SEARCH(_xlfn.CONCAT(CHAR(96),CHAR(34)),$J665)),ISNUMBER(SEARCH(_xlfn.CONCAT(CHAR(34),CHAR(39)),$J665))),_xlfn.CONCAT("* REVIEW REQUIRED: compound-quote delimiter in Notes on Sheet 1 row ",665,"; edit the input before running."),_xlfn.CONCAT("char ",TRIM($B665),"[doc_notes] ",CHAR(96),CHAR(34),SUBSTITUTE(SUBSTITUTE(SUBSTITUTE(SUBSTITUTE(SUBSTITUTE(SUBSTITUTE($J665,CHAR(13)," "),CHAR(10)," "),CHAR(9)," "),CHAR(92),_xlfn.CONCAT(CHAR(92),CHAR(92))),"$",_xlfn.CONCAT(CHAR(92),"$")),CHAR(96),_xlfn.CONCAT(CHAR(92),CHAR(96))),CHAR(34),CHAR(39))))</f>
        <v/>
      </c>
      <c r="U665" s="5">
        <f t="shared" si="21"/>
        <v>0</v>
      </c>
    </row>
    <row r="666" spans="3:21" ht="30" customHeight="1" x14ac:dyDescent="0.2">
      <c r="C666" s="4"/>
      <c r="K666" s="5">
        <f t="shared" si="20"/>
        <v>0</v>
      </c>
      <c r="L666" s="5" t="str">
        <f>IF(OR(TRIM($B666)="",$A666=""),"",IF(OR(ISNUMBER(SEARCH(_xlfn.CONCAT(CHAR(96),CHAR(34)),$A666)),ISNUMBER(SEARCH(_xlfn.CONCAT(CHAR(34),CHAR(39)),$A666))),_xlfn.CONCAT("* REVIEW REQUIRED: compound-quote delimiter in Codebook Section on Sheet 1 row ",666,"; edit the input before running."),_xlfn.CONCAT("char ",TRIM($B666),"[doc_section] ",CHAR(96),CHAR(34),SUBSTITUTE(SUBSTITUTE(SUBSTITUTE(SUBSTITUTE(SUBSTITUTE(SUBSTITUTE($A666,CHAR(13)," "),CHAR(10)," "),CHAR(9)," "),CHAR(92),_xlfn.CONCAT(CHAR(92),CHAR(92))),"$",_xlfn.CONCAT(CHAR(92),"$")),CHAR(96),_xlfn.CONCAT(CHAR(92),CHAR(96))),CHAR(34),CHAR(39))))</f>
        <v/>
      </c>
      <c r="M666" s="5" t="str">
        <f>IF(OR(TRIM($B666)="",$C666=""),"",IF(IFERROR(MATCH(TRIM($C666),{"Quantitative","Continuous","Discrete","Categorical","Nominal","Ordinal","Identifier"},0),0)=0,_xlfn.CONCAT("* REVIEW REQUIRED: invalid Variable Type on Sheet 1 row ",666,"."),_xlfn.CONCAT("char ",TRIM($B666),"[doc_vartype] ",CHAR(96),CHAR(34),SUBSTITUTE(SUBSTITUTE(SUBSTITUTE(SUBSTITUTE(SUBSTITUTE(SUBSTITUTE(LOWER(TRIM($C666)),CHAR(13)," "),CHAR(10)," "),CHAR(9)," "),CHAR(92),_xlfn.CONCAT(CHAR(92),CHAR(92))),"$",_xlfn.CONCAT(CHAR(92),"$")),CHAR(96),_xlfn.CONCAT(CHAR(92),CHAR(96))),CHAR(34),CHAR(39))))</f>
        <v/>
      </c>
      <c r="N666" s="5" t="str">
        <f>IF(OR(TRIM($B666)="",$D666=""),"",IF(OR(ISNUMBER(SEARCH(_xlfn.CONCAT(CHAR(96),CHAR(34)),$D666)),ISNUMBER(SEARCH(_xlfn.CONCAT(CHAR(34),CHAR(39)),$D666))),_xlfn.CONCAT("* REVIEW REQUIRED: compound-quote delimiter in Item Number on Sheet 1 row ",666,"; edit the input before running."),_xlfn.CONCAT("char ",TRIM($B666),"[doc_itemnum] ",CHAR(96),CHAR(34),SUBSTITUTE(SUBSTITUTE(SUBSTITUTE(SUBSTITUTE(SUBSTITUTE(SUBSTITUTE($D666,CHAR(13)," "),CHAR(10)," "),CHAR(9)," "),CHAR(92),_xlfn.CONCAT(CHAR(92),CHAR(92))),"$",_xlfn.CONCAT(CHAR(92),"$")),CHAR(96),_xlfn.CONCAT(CHAR(92),CHAR(96))),CHAR(34),CHAR(39))))</f>
        <v/>
      </c>
      <c r="O666" s="5" t="str">
        <f>IF(OR(TRIM($B666)="",$E666=""),"",IF(OR(ISNUMBER(SEARCH(_xlfn.CONCAT(CHAR(96),CHAR(34)),$E666)),ISNUMBER(SEARCH(_xlfn.CONCAT(CHAR(34),CHAR(39)),$E666))),_xlfn.CONCAT("* REVIEW REQUIRED: compound-quote delimiter in Question Wording on Sheet 1 row ",666,"; edit the input before running."),_xlfn.CONCAT("char ",TRIM($B666),"[doc_question] ",CHAR(96),CHAR(34),SUBSTITUTE(SUBSTITUTE(SUBSTITUTE(SUBSTITUTE(SUBSTITUTE(SUBSTITUTE($E666,CHAR(13)," "),CHAR(10)," "),CHAR(9)," "),CHAR(92),_xlfn.CONCAT(CHAR(92),CHAR(92))),"$",_xlfn.CONCAT(CHAR(92),"$")),CHAR(96),_xlfn.CONCAT(CHAR(92),CHAR(96))),CHAR(34),CHAR(39))))</f>
        <v/>
      </c>
      <c r="P666" s="5" t="str">
        <f>IF(OR(TRIM($B666)="",$F666=""),"",IF(OR(ISNUMBER(SEARCH(_xlfn.CONCAT(CHAR(96),CHAR(34)),$F666)),ISNUMBER(SEARCH(_xlfn.CONCAT(CHAR(34),CHAR(39)),$F666))),_xlfn.CONCAT("* REVIEW REQUIRED: compound-quote delimiter in Units on Sheet 1 row ",666,"; edit the input before running."),_xlfn.CONCAT("char ",TRIM($B666),"[doc_units] ",CHAR(96),CHAR(34),SUBSTITUTE(SUBSTITUTE(SUBSTITUTE(SUBSTITUTE(SUBSTITUTE(SUBSTITUTE($F666,CHAR(13)," "),CHAR(10)," "),CHAR(9)," "),CHAR(92),_xlfn.CONCAT(CHAR(92),CHAR(92))),"$",_xlfn.CONCAT(CHAR(92),"$")),CHAR(96),_xlfn.CONCAT(CHAR(92),CHAR(96))),CHAR(34),CHAR(39))))</f>
        <v/>
      </c>
      <c r="Q666" s="5" t="str">
        <f>IF(OR(TRIM($B666)="",$G666=""),"",IF(OR(ISNUMBER(SEARCH(_xlfn.CONCAT(CHAR(96),CHAR(34)),$G666)),ISNUMBER(SEARCH(_xlfn.CONCAT(CHAR(34),CHAR(39)),$G666))),_xlfn.CONCAT("* REVIEW REQUIRED: compound-quote delimiter in Universe on Sheet 1 row ",666,"; edit the input before running."),_xlfn.CONCAT("char ",TRIM($B666),"[doc_universe] ",CHAR(96),CHAR(34),SUBSTITUTE(SUBSTITUTE(SUBSTITUTE(SUBSTITUTE(SUBSTITUTE(SUBSTITUTE($G666,CHAR(13)," "),CHAR(10)," "),CHAR(9)," "),CHAR(92),_xlfn.CONCAT(CHAR(92),CHAR(92))),"$",_xlfn.CONCAT(CHAR(92),"$")),CHAR(96),_xlfn.CONCAT(CHAR(92),CHAR(96))),CHAR(34),CHAR(39))))</f>
        <v/>
      </c>
      <c r="R666" s="5" t="str">
        <f>IF(OR(TRIM($B666)="",$H666=""),"",IF(OR(ISNUMBER(SEARCH(_xlfn.CONCAT(CHAR(96),CHAR(34)),$H666)),ISNUMBER(SEARCH(_xlfn.CONCAT(CHAR(34),CHAR(39)),$H666))),_xlfn.CONCAT("* REVIEW REQUIRED: compound-quote delimiter in Source on Sheet 1 row ",666,"; edit the input before running."),_xlfn.CONCAT("char ",TRIM($B666),"[doc_source] ",CHAR(96),CHAR(34),SUBSTITUTE(SUBSTITUTE(SUBSTITUTE(SUBSTITUTE(SUBSTITUTE(SUBSTITUTE($H666,CHAR(13)," "),CHAR(10)," "),CHAR(9)," "),CHAR(92),_xlfn.CONCAT(CHAR(92),CHAR(92))),"$",_xlfn.CONCAT(CHAR(92),"$")),CHAR(96),_xlfn.CONCAT(CHAR(92),CHAR(96))),CHAR(34),CHAR(39))))</f>
        <v/>
      </c>
      <c r="S666" s="5" t="str">
        <f>IF(OR(TRIM($B666)="",$I666=""),"",IF(OR(ISNUMBER(SEARCH(_xlfn.CONCAT(CHAR(96),CHAR(34)),$I666)),ISNUMBER(SEARCH(_xlfn.CONCAT(CHAR(34),CHAR(39)),$I666))),_xlfn.CONCAT("* REVIEW REQUIRED: compound-quote delimiter in Derivation on Sheet 1 row ",666,"; edit the input before running."),_xlfn.CONCAT("char ",TRIM($B666),"[doc_derivation] ",CHAR(96),CHAR(34),SUBSTITUTE(SUBSTITUTE(SUBSTITUTE(SUBSTITUTE(SUBSTITUTE(SUBSTITUTE($I666,CHAR(13)," "),CHAR(10)," "),CHAR(9)," "),CHAR(92),_xlfn.CONCAT(CHAR(92),CHAR(92))),"$",_xlfn.CONCAT(CHAR(92),"$")),CHAR(96),_xlfn.CONCAT(CHAR(92),CHAR(96))),CHAR(34),CHAR(39))))</f>
        <v/>
      </c>
      <c r="T666" s="5" t="str">
        <f>IF(OR(TRIM($B666)="",$J666=""),"",IF(OR(ISNUMBER(SEARCH(_xlfn.CONCAT(CHAR(96),CHAR(34)),$J666)),ISNUMBER(SEARCH(_xlfn.CONCAT(CHAR(34),CHAR(39)),$J666))),_xlfn.CONCAT("* REVIEW REQUIRED: compound-quote delimiter in Notes on Sheet 1 row ",666,"; edit the input before running."),_xlfn.CONCAT("char ",TRIM($B666),"[doc_notes] ",CHAR(96),CHAR(34),SUBSTITUTE(SUBSTITUTE(SUBSTITUTE(SUBSTITUTE(SUBSTITUTE(SUBSTITUTE($J666,CHAR(13)," "),CHAR(10)," "),CHAR(9)," "),CHAR(92),_xlfn.CONCAT(CHAR(92),CHAR(92))),"$",_xlfn.CONCAT(CHAR(92),"$")),CHAR(96),_xlfn.CONCAT(CHAR(92),CHAR(96))),CHAR(34),CHAR(39))))</f>
        <v/>
      </c>
      <c r="U666" s="5">
        <f t="shared" si="21"/>
        <v>0</v>
      </c>
    </row>
    <row r="667" spans="3:21" ht="30" customHeight="1" x14ac:dyDescent="0.2">
      <c r="C667" s="4"/>
      <c r="K667" s="5">
        <f t="shared" si="20"/>
        <v>0</v>
      </c>
      <c r="L667" s="5" t="str">
        <f>IF(OR(TRIM($B667)="",$A667=""),"",IF(OR(ISNUMBER(SEARCH(_xlfn.CONCAT(CHAR(96),CHAR(34)),$A667)),ISNUMBER(SEARCH(_xlfn.CONCAT(CHAR(34),CHAR(39)),$A667))),_xlfn.CONCAT("* REVIEW REQUIRED: compound-quote delimiter in Codebook Section on Sheet 1 row ",667,"; edit the input before running."),_xlfn.CONCAT("char ",TRIM($B667),"[doc_section] ",CHAR(96),CHAR(34),SUBSTITUTE(SUBSTITUTE(SUBSTITUTE(SUBSTITUTE(SUBSTITUTE(SUBSTITUTE($A667,CHAR(13)," "),CHAR(10)," "),CHAR(9)," "),CHAR(92),_xlfn.CONCAT(CHAR(92),CHAR(92))),"$",_xlfn.CONCAT(CHAR(92),"$")),CHAR(96),_xlfn.CONCAT(CHAR(92),CHAR(96))),CHAR(34),CHAR(39))))</f>
        <v/>
      </c>
      <c r="M667" s="5" t="str">
        <f>IF(OR(TRIM($B667)="",$C667=""),"",IF(IFERROR(MATCH(TRIM($C667),{"Quantitative","Continuous","Discrete","Categorical","Nominal","Ordinal","Identifier"},0),0)=0,_xlfn.CONCAT("* REVIEW REQUIRED: invalid Variable Type on Sheet 1 row ",667,"."),_xlfn.CONCAT("char ",TRIM($B667),"[doc_vartype] ",CHAR(96),CHAR(34),SUBSTITUTE(SUBSTITUTE(SUBSTITUTE(SUBSTITUTE(SUBSTITUTE(SUBSTITUTE(LOWER(TRIM($C667)),CHAR(13)," "),CHAR(10)," "),CHAR(9)," "),CHAR(92),_xlfn.CONCAT(CHAR(92),CHAR(92))),"$",_xlfn.CONCAT(CHAR(92),"$")),CHAR(96),_xlfn.CONCAT(CHAR(92),CHAR(96))),CHAR(34),CHAR(39))))</f>
        <v/>
      </c>
      <c r="N667" s="5" t="str">
        <f>IF(OR(TRIM($B667)="",$D667=""),"",IF(OR(ISNUMBER(SEARCH(_xlfn.CONCAT(CHAR(96),CHAR(34)),$D667)),ISNUMBER(SEARCH(_xlfn.CONCAT(CHAR(34),CHAR(39)),$D667))),_xlfn.CONCAT("* REVIEW REQUIRED: compound-quote delimiter in Item Number on Sheet 1 row ",667,"; edit the input before running."),_xlfn.CONCAT("char ",TRIM($B667),"[doc_itemnum] ",CHAR(96),CHAR(34),SUBSTITUTE(SUBSTITUTE(SUBSTITUTE(SUBSTITUTE(SUBSTITUTE(SUBSTITUTE($D667,CHAR(13)," "),CHAR(10)," "),CHAR(9)," "),CHAR(92),_xlfn.CONCAT(CHAR(92),CHAR(92))),"$",_xlfn.CONCAT(CHAR(92),"$")),CHAR(96),_xlfn.CONCAT(CHAR(92),CHAR(96))),CHAR(34),CHAR(39))))</f>
        <v/>
      </c>
      <c r="O667" s="5" t="str">
        <f>IF(OR(TRIM($B667)="",$E667=""),"",IF(OR(ISNUMBER(SEARCH(_xlfn.CONCAT(CHAR(96),CHAR(34)),$E667)),ISNUMBER(SEARCH(_xlfn.CONCAT(CHAR(34),CHAR(39)),$E667))),_xlfn.CONCAT("* REVIEW REQUIRED: compound-quote delimiter in Question Wording on Sheet 1 row ",667,"; edit the input before running."),_xlfn.CONCAT("char ",TRIM($B667),"[doc_question] ",CHAR(96),CHAR(34),SUBSTITUTE(SUBSTITUTE(SUBSTITUTE(SUBSTITUTE(SUBSTITUTE(SUBSTITUTE($E667,CHAR(13)," "),CHAR(10)," "),CHAR(9)," "),CHAR(92),_xlfn.CONCAT(CHAR(92),CHAR(92))),"$",_xlfn.CONCAT(CHAR(92),"$")),CHAR(96),_xlfn.CONCAT(CHAR(92),CHAR(96))),CHAR(34),CHAR(39))))</f>
        <v/>
      </c>
      <c r="P667" s="5" t="str">
        <f>IF(OR(TRIM($B667)="",$F667=""),"",IF(OR(ISNUMBER(SEARCH(_xlfn.CONCAT(CHAR(96),CHAR(34)),$F667)),ISNUMBER(SEARCH(_xlfn.CONCAT(CHAR(34),CHAR(39)),$F667))),_xlfn.CONCAT("* REVIEW REQUIRED: compound-quote delimiter in Units on Sheet 1 row ",667,"; edit the input before running."),_xlfn.CONCAT("char ",TRIM($B667),"[doc_units] ",CHAR(96),CHAR(34),SUBSTITUTE(SUBSTITUTE(SUBSTITUTE(SUBSTITUTE(SUBSTITUTE(SUBSTITUTE($F667,CHAR(13)," "),CHAR(10)," "),CHAR(9)," "),CHAR(92),_xlfn.CONCAT(CHAR(92),CHAR(92))),"$",_xlfn.CONCAT(CHAR(92),"$")),CHAR(96),_xlfn.CONCAT(CHAR(92),CHAR(96))),CHAR(34),CHAR(39))))</f>
        <v/>
      </c>
      <c r="Q667" s="5" t="str">
        <f>IF(OR(TRIM($B667)="",$G667=""),"",IF(OR(ISNUMBER(SEARCH(_xlfn.CONCAT(CHAR(96),CHAR(34)),$G667)),ISNUMBER(SEARCH(_xlfn.CONCAT(CHAR(34),CHAR(39)),$G667))),_xlfn.CONCAT("* REVIEW REQUIRED: compound-quote delimiter in Universe on Sheet 1 row ",667,"; edit the input before running."),_xlfn.CONCAT("char ",TRIM($B667),"[doc_universe] ",CHAR(96),CHAR(34),SUBSTITUTE(SUBSTITUTE(SUBSTITUTE(SUBSTITUTE(SUBSTITUTE(SUBSTITUTE($G667,CHAR(13)," "),CHAR(10)," "),CHAR(9)," "),CHAR(92),_xlfn.CONCAT(CHAR(92),CHAR(92))),"$",_xlfn.CONCAT(CHAR(92),"$")),CHAR(96),_xlfn.CONCAT(CHAR(92),CHAR(96))),CHAR(34),CHAR(39))))</f>
        <v/>
      </c>
      <c r="R667" s="5" t="str">
        <f>IF(OR(TRIM($B667)="",$H667=""),"",IF(OR(ISNUMBER(SEARCH(_xlfn.CONCAT(CHAR(96),CHAR(34)),$H667)),ISNUMBER(SEARCH(_xlfn.CONCAT(CHAR(34),CHAR(39)),$H667))),_xlfn.CONCAT("* REVIEW REQUIRED: compound-quote delimiter in Source on Sheet 1 row ",667,"; edit the input before running."),_xlfn.CONCAT("char ",TRIM($B667),"[doc_source] ",CHAR(96),CHAR(34),SUBSTITUTE(SUBSTITUTE(SUBSTITUTE(SUBSTITUTE(SUBSTITUTE(SUBSTITUTE($H667,CHAR(13)," "),CHAR(10)," "),CHAR(9)," "),CHAR(92),_xlfn.CONCAT(CHAR(92),CHAR(92))),"$",_xlfn.CONCAT(CHAR(92),"$")),CHAR(96),_xlfn.CONCAT(CHAR(92),CHAR(96))),CHAR(34),CHAR(39))))</f>
        <v/>
      </c>
      <c r="S667" s="5" t="str">
        <f>IF(OR(TRIM($B667)="",$I667=""),"",IF(OR(ISNUMBER(SEARCH(_xlfn.CONCAT(CHAR(96),CHAR(34)),$I667)),ISNUMBER(SEARCH(_xlfn.CONCAT(CHAR(34),CHAR(39)),$I667))),_xlfn.CONCAT("* REVIEW REQUIRED: compound-quote delimiter in Derivation on Sheet 1 row ",667,"; edit the input before running."),_xlfn.CONCAT("char ",TRIM($B667),"[doc_derivation] ",CHAR(96),CHAR(34),SUBSTITUTE(SUBSTITUTE(SUBSTITUTE(SUBSTITUTE(SUBSTITUTE(SUBSTITUTE($I667,CHAR(13)," "),CHAR(10)," "),CHAR(9)," "),CHAR(92),_xlfn.CONCAT(CHAR(92),CHAR(92))),"$",_xlfn.CONCAT(CHAR(92),"$")),CHAR(96),_xlfn.CONCAT(CHAR(92),CHAR(96))),CHAR(34),CHAR(39))))</f>
        <v/>
      </c>
      <c r="T667" s="5" t="str">
        <f>IF(OR(TRIM($B667)="",$J667=""),"",IF(OR(ISNUMBER(SEARCH(_xlfn.CONCAT(CHAR(96),CHAR(34)),$J667)),ISNUMBER(SEARCH(_xlfn.CONCAT(CHAR(34),CHAR(39)),$J667))),_xlfn.CONCAT("* REVIEW REQUIRED: compound-quote delimiter in Notes on Sheet 1 row ",667,"; edit the input before running."),_xlfn.CONCAT("char ",TRIM($B667),"[doc_notes] ",CHAR(96),CHAR(34),SUBSTITUTE(SUBSTITUTE(SUBSTITUTE(SUBSTITUTE(SUBSTITUTE(SUBSTITUTE($J667,CHAR(13)," "),CHAR(10)," "),CHAR(9)," "),CHAR(92),_xlfn.CONCAT(CHAR(92),CHAR(92))),"$",_xlfn.CONCAT(CHAR(92),"$")),CHAR(96),_xlfn.CONCAT(CHAR(92),CHAR(96))),CHAR(34),CHAR(39))))</f>
        <v/>
      </c>
      <c r="U667" s="5">
        <f t="shared" si="21"/>
        <v>0</v>
      </c>
    </row>
    <row r="668" spans="3:21" ht="30" customHeight="1" x14ac:dyDescent="0.2">
      <c r="C668" s="4"/>
      <c r="K668" s="5">
        <f t="shared" si="20"/>
        <v>0</v>
      </c>
      <c r="L668" s="5" t="str">
        <f>IF(OR(TRIM($B668)="",$A668=""),"",IF(OR(ISNUMBER(SEARCH(_xlfn.CONCAT(CHAR(96),CHAR(34)),$A668)),ISNUMBER(SEARCH(_xlfn.CONCAT(CHAR(34),CHAR(39)),$A668))),_xlfn.CONCAT("* REVIEW REQUIRED: compound-quote delimiter in Codebook Section on Sheet 1 row ",668,"; edit the input before running."),_xlfn.CONCAT("char ",TRIM($B668),"[doc_section] ",CHAR(96),CHAR(34),SUBSTITUTE(SUBSTITUTE(SUBSTITUTE(SUBSTITUTE(SUBSTITUTE(SUBSTITUTE($A668,CHAR(13)," "),CHAR(10)," "),CHAR(9)," "),CHAR(92),_xlfn.CONCAT(CHAR(92),CHAR(92))),"$",_xlfn.CONCAT(CHAR(92),"$")),CHAR(96),_xlfn.CONCAT(CHAR(92),CHAR(96))),CHAR(34),CHAR(39))))</f>
        <v/>
      </c>
      <c r="M668" s="5" t="str">
        <f>IF(OR(TRIM($B668)="",$C668=""),"",IF(IFERROR(MATCH(TRIM($C668),{"Quantitative","Continuous","Discrete","Categorical","Nominal","Ordinal","Identifier"},0),0)=0,_xlfn.CONCAT("* REVIEW REQUIRED: invalid Variable Type on Sheet 1 row ",668,"."),_xlfn.CONCAT("char ",TRIM($B668),"[doc_vartype] ",CHAR(96),CHAR(34),SUBSTITUTE(SUBSTITUTE(SUBSTITUTE(SUBSTITUTE(SUBSTITUTE(SUBSTITUTE(LOWER(TRIM($C668)),CHAR(13)," "),CHAR(10)," "),CHAR(9)," "),CHAR(92),_xlfn.CONCAT(CHAR(92),CHAR(92))),"$",_xlfn.CONCAT(CHAR(92),"$")),CHAR(96),_xlfn.CONCAT(CHAR(92),CHAR(96))),CHAR(34),CHAR(39))))</f>
        <v/>
      </c>
      <c r="N668" s="5" t="str">
        <f>IF(OR(TRIM($B668)="",$D668=""),"",IF(OR(ISNUMBER(SEARCH(_xlfn.CONCAT(CHAR(96),CHAR(34)),$D668)),ISNUMBER(SEARCH(_xlfn.CONCAT(CHAR(34),CHAR(39)),$D668))),_xlfn.CONCAT("* REVIEW REQUIRED: compound-quote delimiter in Item Number on Sheet 1 row ",668,"; edit the input before running."),_xlfn.CONCAT("char ",TRIM($B668),"[doc_itemnum] ",CHAR(96),CHAR(34),SUBSTITUTE(SUBSTITUTE(SUBSTITUTE(SUBSTITUTE(SUBSTITUTE(SUBSTITUTE($D668,CHAR(13)," "),CHAR(10)," "),CHAR(9)," "),CHAR(92),_xlfn.CONCAT(CHAR(92),CHAR(92))),"$",_xlfn.CONCAT(CHAR(92),"$")),CHAR(96),_xlfn.CONCAT(CHAR(92),CHAR(96))),CHAR(34),CHAR(39))))</f>
        <v/>
      </c>
      <c r="O668" s="5" t="str">
        <f>IF(OR(TRIM($B668)="",$E668=""),"",IF(OR(ISNUMBER(SEARCH(_xlfn.CONCAT(CHAR(96),CHAR(34)),$E668)),ISNUMBER(SEARCH(_xlfn.CONCAT(CHAR(34),CHAR(39)),$E668))),_xlfn.CONCAT("* REVIEW REQUIRED: compound-quote delimiter in Question Wording on Sheet 1 row ",668,"; edit the input before running."),_xlfn.CONCAT("char ",TRIM($B668),"[doc_question] ",CHAR(96),CHAR(34),SUBSTITUTE(SUBSTITUTE(SUBSTITUTE(SUBSTITUTE(SUBSTITUTE(SUBSTITUTE($E668,CHAR(13)," "),CHAR(10)," "),CHAR(9)," "),CHAR(92),_xlfn.CONCAT(CHAR(92),CHAR(92))),"$",_xlfn.CONCAT(CHAR(92),"$")),CHAR(96),_xlfn.CONCAT(CHAR(92),CHAR(96))),CHAR(34),CHAR(39))))</f>
        <v/>
      </c>
      <c r="P668" s="5" t="str">
        <f>IF(OR(TRIM($B668)="",$F668=""),"",IF(OR(ISNUMBER(SEARCH(_xlfn.CONCAT(CHAR(96),CHAR(34)),$F668)),ISNUMBER(SEARCH(_xlfn.CONCAT(CHAR(34),CHAR(39)),$F668))),_xlfn.CONCAT("* REVIEW REQUIRED: compound-quote delimiter in Units on Sheet 1 row ",668,"; edit the input before running."),_xlfn.CONCAT("char ",TRIM($B668),"[doc_units] ",CHAR(96),CHAR(34),SUBSTITUTE(SUBSTITUTE(SUBSTITUTE(SUBSTITUTE(SUBSTITUTE(SUBSTITUTE($F668,CHAR(13)," "),CHAR(10)," "),CHAR(9)," "),CHAR(92),_xlfn.CONCAT(CHAR(92),CHAR(92))),"$",_xlfn.CONCAT(CHAR(92),"$")),CHAR(96),_xlfn.CONCAT(CHAR(92),CHAR(96))),CHAR(34),CHAR(39))))</f>
        <v/>
      </c>
      <c r="Q668" s="5" t="str">
        <f>IF(OR(TRIM($B668)="",$G668=""),"",IF(OR(ISNUMBER(SEARCH(_xlfn.CONCAT(CHAR(96),CHAR(34)),$G668)),ISNUMBER(SEARCH(_xlfn.CONCAT(CHAR(34),CHAR(39)),$G668))),_xlfn.CONCAT("* REVIEW REQUIRED: compound-quote delimiter in Universe on Sheet 1 row ",668,"; edit the input before running."),_xlfn.CONCAT("char ",TRIM($B668),"[doc_universe] ",CHAR(96),CHAR(34),SUBSTITUTE(SUBSTITUTE(SUBSTITUTE(SUBSTITUTE(SUBSTITUTE(SUBSTITUTE($G668,CHAR(13)," "),CHAR(10)," "),CHAR(9)," "),CHAR(92),_xlfn.CONCAT(CHAR(92),CHAR(92))),"$",_xlfn.CONCAT(CHAR(92),"$")),CHAR(96),_xlfn.CONCAT(CHAR(92),CHAR(96))),CHAR(34),CHAR(39))))</f>
        <v/>
      </c>
      <c r="R668" s="5" t="str">
        <f>IF(OR(TRIM($B668)="",$H668=""),"",IF(OR(ISNUMBER(SEARCH(_xlfn.CONCAT(CHAR(96),CHAR(34)),$H668)),ISNUMBER(SEARCH(_xlfn.CONCAT(CHAR(34),CHAR(39)),$H668))),_xlfn.CONCAT("* REVIEW REQUIRED: compound-quote delimiter in Source on Sheet 1 row ",668,"; edit the input before running."),_xlfn.CONCAT("char ",TRIM($B668),"[doc_source] ",CHAR(96),CHAR(34),SUBSTITUTE(SUBSTITUTE(SUBSTITUTE(SUBSTITUTE(SUBSTITUTE(SUBSTITUTE($H668,CHAR(13)," "),CHAR(10)," "),CHAR(9)," "),CHAR(92),_xlfn.CONCAT(CHAR(92),CHAR(92))),"$",_xlfn.CONCAT(CHAR(92),"$")),CHAR(96),_xlfn.CONCAT(CHAR(92),CHAR(96))),CHAR(34),CHAR(39))))</f>
        <v/>
      </c>
      <c r="S668" s="5" t="str">
        <f>IF(OR(TRIM($B668)="",$I668=""),"",IF(OR(ISNUMBER(SEARCH(_xlfn.CONCAT(CHAR(96),CHAR(34)),$I668)),ISNUMBER(SEARCH(_xlfn.CONCAT(CHAR(34),CHAR(39)),$I668))),_xlfn.CONCAT("* REVIEW REQUIRED: compound-quote delimiter in Derivation on Sheet 1 row ",668,"; edit the input before running."),_xlfn.CONCAT("char ",TRIM($B668),"[doc_derivation] ",CHAR(96),CHAR(34),SUBSTITUTE(SUBSTITUTE(SUBSTITUTE(SUBSTITUTE(SUBSTITUTE(SUBSTITUTE($I668,CHAR(13)," "),CHAR(10)," "),CHAR(9)," "),CHAR(92),_xlfn.CONCAT(CHAR(92),CHAR(92))),"$",_xlfn.CONCAT(CHAR(92),"$")),CHAR(96),_xlfn.CONCAT(CHAR(92),CHAR(96))),CHAR(34),CHAR(39))))</f>
        <v/>
      </c>
      <c r="T668" s="5" t="str">
        <f>IF(OR(TRIM($B668)="",$J668=""),"",IF(OR(ISNUMBER(SEARCH(_xlfn.CONCAT(CHAR(96),CHAR(34)),$J668)),ISNUMBER(SEARCH(_xlfn.CONCAT(CHAR(34),CHAR(39)),$J668))),_xlfn.CONCAT("* REVIEW REQUIRED: compound-quote delimiter in Notes on Sheet 1 row ",668,"; edit the input before running."),_xlfn.CONCAT("char ",TRIM($B668),"[doc_notes] ",CHAR(96),CHAR(34),SUBSTITUTE(SUBSTITUTE(SUBSTITUTE(SUBSTITUTE(SUBSTITUTE(SUBSTITUTE($J668,CHAR(13)," "),CHAR(10)," "),CHAR(9)," "),CHAR(92),_xlfn.CONCAT(CHAR(92),CHAR(92))),"$",_xlfn.CONCAT(CHAR(92),"$")),CHAR(96),_xlfn.CONCAT(CHAR(92),CHAR(96))),CHAR(34),CHAR(39))))</f>
        <v/>
      </c>
      <c r="U668" s="5">
        <f t="shared" si="21"/>
        <v>0</v>
      </c>
    </row>
    <row r="669" spans="3:21" ht="30" customHeight="1" x14ac:dyDescent="0.2">
      <c r="C669" s="4"/>
      <c r="K669" s="5">
        <f t="shared" si="20"/>
        <v>0</v>
      </c>
      <c r="L669" s="5" t="str">
        <f>IF(OR(TRIM($B669)="",$A669=""),"",IF(OR(ISNUMBER(SEARCH(_xlfn.CONCAT(CHAR(96),CHAR(34)),$A669)),ISNUMBER(SEARCH(_xlfn.CONCAT(CHAR(34),CHAR(39)),$A669))),_xlfn.CONCAT("* REVIEW REQUIRED: compound-quote delimiter in Codebook Section on Sheet 1 row ",669,"; edit the input before running."),_xlfn.CONCAT("char ",TRIM($B669),"[doc_section] ",CHAR(96),CHAR(34),SUBSTITUTE(SUBSTITUTE(SUBSTITUTE(SUBSTITUTE(SUBSTITUTE(SUBSTITUTE($A669,CHAR(13)," "),CHAR(10)," "),CHAR(9)," "),CHAR(92),_xlfn.CONCAT(CHAR(92),CHAR(92))),"$",_xlfn.CONCAT(CHAR(92),"$")),CHAR(96),_xlfn.CONCAT(CHAR(92),CHAR(96))),CHAR(34),CHAR(39))))</f>
        <v/>
      </c>
      <c r="M669" s="5" t="str">
        <f>IF(OR(TRIM($B669)="",$C669=""),"",IF(IFERROR(MATCH(TRIM($C669),{"Quantitative","Continuous","Discrete","Categorical","Nominal","Ordinal","Identifier"},0),0)=0,_xlfn.CONCAT("* REVIEW REQUIRED: invalid Variable Type on Sheet 1 row ",669,"."),_xlfn.CONCAT("char ",TRIM($B669),"[doc_vartype] ",CHAR(96),CHAR(34),SUBSTITUTE(SUBSTITUTE(SUBSTITUTE(SUBSTITUTE(SUBSTITUTE(SUBSTITUTE(LOWER(TRIM($C669)),CHAR(13)," "),CHAR(10)," "),CHAR(9)," "),CHAR(92),_xlfn.CONCAT(CHAR(92),CHAR(92))),"$",_xlfn.CONCAT(CHAR(92),"$")),CHAR(96),_xlfn.CONCAT(CHAR(92),CHAR(96))),CHAR(34),CHAR(39))))</f>
        <v/>
      </c>
      <c r="N669" s="5" t="str">
        <f>IF(OR(TRIM($B669)="",$D669=""),"",IF(OR(ISNUMBER(SEARCH(_xlfn.CONCAT(CHAR(96),CHAR(34)),$D669)),ISNUMBER(SEARCH(_xlfn.CONCAT(CHAR(34),CHAR(39)),$D669))),_xlfn.CONCAT("* REVIEW REQUIRED: compound-quote delimiter in Item Number on Sheet 1 row ",669,"; edit the input before running."),_xlfn.CONCAT("char ",TRIM($B669),"[doc_itemnum] ",CHAR(96),CHAR(34),SUBSTITUTE(SUBSTITUTE(SUBSTITUTE(SUBSTITUTE(SUBSTITUTE(SUBSTITUTE($D669,CHAR(13)," "),CHAR(10)," "),CHAR(9)," "),CHAR(92),_xlfn.CONCAT(CHAR(92),CHAR(92))),"$",_xlfn.CONCAT(CHAR(92),"$")),CHAR(96),_xlfn.CONCAT(CHAR(92),CHAR(96))),CHAR(34),CHAR(39))))</f>
        <v/>
      </c>
      <c r="O669" s="5" t="str">
        <f>IF(OR(TRIM($B669)="",$E669=""),"",IF(OR(ISNUMBER(SEARCH(_xlfn.CONCAT(CHAR(96),CHAR(34)),$E669)),ISNUMBER(SEARCH(_xlfn.CONCAT(CHAR(34),CHAR(39)),$E669))),_xlfn.CONCAT("* REVIEW REQUIRED: compound-quote delimiter in Question Wording on Sheet 1 row ",669,"; edit the input before running."),_xlfn.CONCAT("char ",TRIM($B669),"[doc_question] ",CHAR(96),CHAR(34),SUBSTITUTE(SUBSTITUTE(SUBSTITUTE(SUBSTITUTE(SUBSTITUTE(SUBSTITUTE($E669,CHAR(13)," "),CHAR(10)," "),CHAR(9)," "),CHAR(92),_xlfn.CONCAT(CHAR(92),CHAR(92))),"$",_xlfn.CONCAT(CHAR(92),"$")),CHAR(96),_xlfn.CONCAT(CHAR(92),CHAR(96))),CHAR(34),CHAR(39))))</f>
        <v/>
      </c>
      <c r="P669" s="5" t="str">
        <f>IF(OR(TRIM($B669)="",$F669=""),"",IF(OR(ISNUMBER(SEARCH(_xlfn.CONCAT(CHAR(96),CHAR(34)),$F669)),ISNUMBER(SEARCH(_xlfn.CONCAT(CHAR(34),CHAR(39)),$F669))),_xlfn.CONCAT("* REVIEW REQUIRED: compound-quote delimiter in Units on Sheet 1 row ",669,"; edit the input before running."),_xlfn.CONCAT("char ",TRIM($B669),"[doc_units] ",CHAR(96),CHAR(34),SUBSTITUTE(SUBSTITUTE(SUBSTITUTE(SUBSTITUTE(SUBSTITUTE(SUBSTITUTE($F669,CHAR(13)," "),CHAR(10)," "),CHAR(9)," "),CHAR(92),_xlfn.CONCAT(CHAR(92),CHAR(92))),"$",_xlfn.CONCAT(CHAR(92),"$")),CHAR(96),_xlfn.CONCAT(CHAR(92),CHAR(96))),CHAR(34),CHAR(39))))</f>
        <v/>
      </c>
      <c r="Q669" s="5" t="str">
        <f>IF(OR(TRIM($B669)="",$G669=""),"",IF(OR(ISNUMBER(SEARCH(_xlfn.CONCAT(CHAR(96),CHAR(34)),$G669)),ISNUMBER(SEARCH(_xlfn.CONCAT(CHAR(34),CHAR(39)),$G669))),_xlfn.CONCAT("* REVIEW REQUIRED: compound-quote delimiter in Universe on Sheet 1 row ",669,"; edit the input before running."),_xlfn.CONCAT("char ",TRIM($B669),"[doc_universe] ",CHAR(96),CHAR(34),SUBSTITUTE(SUBSTITUTE(SUBSTITUTE(SUBSTITUTE(SUBSTITUTE(SUBSTITUTE($G669,CHAR(13)," "),CHAR(10)," "),CHAR(9)," "),CHAR(92),_xlfn.CONCAT(CHAR(92),CHAR(92))),"$",_xlfn.CONCAT(CHAR(92),"$")),CHAR(96),_xlfn.CONCAT(CHAR(92),CHAR(96))),CHAR(34),CHAR(39))))</f>
        <v/>
      </c>
      <c r="R669" s="5" t="str">
        <f>IF(OR(TRIM($B669)="",$H669=""),"",IF(OR(ISNUMBER(SEARCH(_xlfn.CONCAT(CHAR(96),CHAR(34)),$H669)),ISNUMBER(SEARCH(_xlfn.CONCAT(CHAR(34),CHAR(39)),$H669))),_xlfn.CONCAT("* REVIEW REQUIRED: compound-quote delimiter in Source on Sheet 1 row ",669,"; edit the input before running."),_xlfn.CONCAT("char ",TRIM($B669),"[doc_source] ",CHAR(96),CHAR(34),SUBSTITUTE(SUBSTITUTE(SUBSTITUTE(SUBSTITUTE(SUBSTITUTE(SUBSTITUTE($H669,CHAR(13)," "),CHAR(10)," "),CHAR(9)," "),CHAR(92),_xlfn.CONCAT(CHAR(92),CHAR(92))),"$",_xlfn.CONCAT(CHAR(92),"$")),CHAR(96),_xlfn.CONCAT(CHAR(92),CHAR(96))),CHAR(34),CHAR(39))))</f>
        <v/>
      </c>
      <c r="S669" s="5" t="str">
        <f>IF(OR(TRIM($B669)="",$I669=""),"",IF(OR(ISNUMBER(SEARCH(_xlfn.CONCAT(CHAR(96),CHAR(34)),$I669)),ISNUMBER(SEARCH(_xlfn.CONCAT(CHAR(34),CHAR(39)),$I669))),_xlfn.CONCAT("* REVIEW REQUIRED: compound-quote delimiter in Derivation on Sheet 1 row ",669,"; edit the input before running."),_xlfn.CONCAT("char ",TRIM($B669),"[doc_derivation] ",CHAR(96),CHAR(34),SUBSTITUTE(SUBSTITUTE(SUBSTITUTE(SUBSTITUTE(SUBSTITUTE(SUBSTITUTE($I669,CHAR(13)," "),CHAR(10)," "),CHAR(9)," "),CHAR(92),_xlfn.CONCAT(CHAR(92),CHAR(92))),"$",_xlfn.CONCAT(CHAR(92),"$")),CHAR(96),_xlfn.CONCAT(CHAR(92),CHAR(96))),CHAR(34),CHAR(39))))</f>
        <v/>
      </c>
      <c r="T669" s="5" t="str">
        <f>IF(OR(TRIM($B669)="",$J669=""),"",IF(OR(ISNUMBER(SEARCH(_xlfn.CONCAT(CHAR(96),CHAR(34)),$J669)),ISNUMBER(SEARCH(_xlfn.CONCAT(CHAR(34),CHAR(39)),$J669))),_xlfn.CONCAT("* REVIEW REQUIRED: compound-quote delimiter in Notes on Sheet 1 row ",669,"; edit the input before running."),_xlfn.CONCAT("char ",TRIM($B669),"[doc_notes] ",CHAR(96),CHAR(34),SUBSTITUTE(SUBSTITUTE(SUBSTITUTE(SUBSTITUTE(SUBSTITUTE(SUBSTITUTE($J669,CHAR(13)," "),CHAR(10)," "),CHAR(9)," "),CHAR(92),_xlfn.CONCAT(CHAR(92),CHAR(92))),"$",_xlfn.CONCAT(CHAR(92),"$")),CHAR(96),_xlfn.CONCAT(CHAR(92),CHAR(96))),CHAR(34),CHAR(39))))</f>
        <v/>
      </c>
      <c r="U669" s="5">
        <f t="shared" si="21"/>
        <v>0</v>
      </c>
    </row>
    <row r="670" spans="3:21" ht="30" customHeight="1" x14ac:dyDescent="0.2">
      <c r="C670" s="4"/>
      <c r="K670" s="5">
        <f t="shared" si="20"/>
        <v>0</v>
      </c>
      <c r="L670" s="5" t="str">
        <f>IF(OR(TRIM($B670)="",$A670=""),"",IF(OR(ISNUMBER(SEARCH(_xlfn.CONCAT(CHAR(96),CHAR(34)),$A670)),ISNUMBER(SEARCH(_xlfn.CONCAT(CHAR(34),CHAR(39)),$A670))),_xlfn.CONCAT("* REVIEW REQUIRED: compound-quote delimiter in Codebook Section on Sheet 1 row ",670,"; edit the input before running."),_xlfn.CONCAT("char ",TRIM($B670),"[doc_section] ",CHAR(96),CHAR(34),SUBSTITUTE(SUBSTITUTE(SUBSTITUTE(SUBSTITUTE(SUBSTITUTE(SUBSTITUTE($A670,CHAR(13)," "),CHAR(10)," "),CHAR(9)," "),CHAR(92),_xlfn.CONCAT(CHAR(92),CHAR(92))),"$",_xlfn.CONCAT(CHAR(92),"$")),CHAR(96),_xlfn.CONCAT(CHAR(92),CHAR(96))),CHAR(34),CHAR(39))))</f>
        <v/>
      </c>
      <c r="M670" s="5" t="str">
        <f>IF(OR(TRIM($B670)="",$C670=""),"",IF(IFERROR(MATCH(TRIM($C670),{"Quantitative","Continuous","Discrete","Categorical","Nominal","Ordinal","Identifier"},0),0)=0,_xlfn.CONCAT("* REVIEW REQUIRED: invalid Variable Type on Sheet 1 row ",670,"."),_xlfn.CONCAT("char ",TRIM($B670),"[doc_vartype] ",CHAR(96),CHAR(34),SUBSTITUTE(SUBSTITUTE(SUBSTITUTE(SUBSTITUTE(SUBSTITUTE(SUBSTITUTE(LOWER(TRIM($C670)),CHAR(13)," "),CHAR(10)," "),CHAR(9)," "),CHAR(92),_xlfn.CONCAT(CHAR(92),CHAR(92))),"$",_xlfn.CONCAT(CHAR(92),"$")),CHAR(96),_xlfn.CONCAT(CHAR(92),CHAR(96))),CHAR(34),CHAR(39))))</f>
        <v/>
      </c>
      <c r="N670" s="5" t="str">
        <f>IF(OR(TRIM($B670)="",$D670=""),"",IF(OR(ISNUMBER(SEARCH(_xlfn.CONCAT(CHAR(96),CHAR(34)),$D670)),ISNUMBER(SEARCH(_xlfn.CONCAT(CHAR(34),CHAR(39)),$D670))),_xlfn.CONCAT("* REVIEW REQUIRED: compound-quote delimiter in Item Number on Sheet 1 row ",670,"; edit the input before running."),_xlfn.CONCAT("char ",TRIM($B670),"[doc_itemnum] ",CHAR(96),CHAR(34),SUBSTITUTE(SUBSTITUTE(SUBSTITUTE(SUBSTITUTE(SUBSTITUTE(SUBSTITUTE($D670,CHAR(13)," "),CHAR(10)," "),CHAR(9)," "),CHAR(92),_xlfn.CONCAT(CHAR(92),CHAR(92))),"$",_xlfn.CONCAT(CHAR(92),"$")),CHAR(96),_xlfn.CONCAT(CHAR(92),CHAR(96))),CHAR(34),CHAR(39))))</f>
        <v/>
      </c>
      <c r="O670" s="5" t="str">
        <f>IF(OR(TRIM($B670)="",$E670=""),"",IF(OR(ISNUMBER(SEARCH(_xlfn.CONCAT(CHAR(96),CHAR(34)),$E670)),ISNUMBER(SEARCH(_xlfn.CONCAT(CHAR(34),CHAR(39)),$E670))),_xlfn.CONCAT("* REVIEW REQUIRED: compound-quote delimiter in Question Wording on Sheet 1 row ",670,"; edit the input before running."),_xlfn.CONCAT("char ",TRIM($B670),"[doc_question] ",CHAR(96),CHAR(34),SUBSTITUTE(SUBSTITUTE(SUBSTITUTE(SUBSTITUTE(SUBSTITUTE(SUBSTITUTE($E670,CHAR(13)," "),CHAR(10)," "),CHAR(9)," "),CHAR(92),_xlfn.CONCAT(CHAR(92),CHAR(92))),"$",_xlfn.CONCAT(CHAR(92),"$")),CHAR(96),_xlfn.CONCAT(CHAR(92),CHAR(96))),CHAR(34),CHAR(39))))</f>
        <v/>
      </c>
      <c r="P670" s="5" t="str">
        <f>IF(OR(TRIM($B670)="",$F670=""),"",IF(OR(ISNUMBER(SEARCH(_xlfn.CONCAT(CHAR(96),CHAR(34)),$F670)),ISNUMBER(SEARCH(_xlfn.CONCAT(CHAR(34),CHAR(39)),$F670))),_xlfn.CONCAT("* REVIEW REQUIRED: compound-quote delimiter in Units on Sheet 1 row ",670,"; edit the input before running."),_xlfn.CONCAT("char ",TRIM($B670),"[doc_units] ",CHAR(96),CHAR(34),SUBSTITUTE(SUBSTITUTE(SUBSTITUTE(SUBSTITUTE(SUBSTITUTE(SUBSTITUTE($F670,CHAR(13)," "),CHAR(10)," "),CHAR(9)," "),CHAR(92),_xlfn.CONCAT(CHAR(92),CHAR(92))),"$",_xlfn.CONCAT(CHAR(92),"$")),CHAR(96),_xlfn.CONCAT(CHAR(92),CHAR(96))),CHAR(34),CHAR(39))))</f>
        <v/>
      </c>
      <c r="Q670" s="5" t="str">
        <f>IF(OR(TRIM($B670)="",$G670=""),"",IF(OR(ISNUMBER(SEARCH(_xlfn.CONCAT(CHAR(96),CHAR(34)),$G670)),ISNUMBER(SEARCH(_xlfn.CONCAT(CHAR(34),CHAR(39)),$G670))),_xlfn.CONCAT("* REVIEW REQUIRED: compound-quote delimiter in Universe on Sheet 1 row ",670,"; edit the input before running."),_xlfn.CONCAT("char ",TRIM($B670),"[doc_universe] ",CHAR(96),CHAR(34),SUBSTITUTE(SUBSTITUTE(SUBSTITUTE(SUBSTITUTE(SUBSTITUTE(SUBSTITUTE($G670,CHAR(13)," "),CHAR(10)," "),CHAR(9)," "),CHAR(92),_xlfn.CONCAT(CHAR(92),CHAR(92))),"$",_xlfn.CONCAT(CHAR(92),"$")),CHAR(96),_xlfn.CONCAT(CHAR(92),CHAR(96))),CHAR(34),CHAR(39))))</f>
        <v/>
      </c>
      <c r="R670" s="5" t="str">
        <f>IF(OR(TRIM($B670)="",$H670=""),"",IF(OR(ISNUMBER(SEARCH(_xlfn.CONCAT(CHAR(96),CHAR(34)),$H670)),ISNUMBER(SEARCH(_xlfn.CONCAT(CHAR(34),CHAR(39)),$H670))),_xlfn.CONCAT("* REVIEW REQUIRED: compound-quote delimiter in Source on Sheet 1 row ",670,"; edit the input before running."),_xlfn.CONCAT("char ",TRIM($B670),"[doc_source] ",CHAR(96),CHAR(34),SUBSTITUTE(SUBSTITUTE(SUBSTITUTE(SUBSTITUTE(SUBSTITUTE(SUBSTITUTE($H670,CHAR(13)," "),CHAR(10)," "),CHAR(9)," "),CHAR(92),_xlfn.CONCAT(CHAR(92),CHAR(92))),"$",_xlfn.CONCAT(CHAR(92),"$")),CHAR(96),_xlfn.CONCAT(CHAR(92),CHAR(96))),CHAR(34),CHAR(39))))</f>
        <v/>
      </c>
      <c r="S670" s="5" t="str">
        <f>IF(OR(TRIM($B670)="",$I670=""),"",IF(OR(ISNUMBER(SEARCH(_xlfn.CONCAT(CHAR(96),CHAR(34)),$I670)),ISNUMBER(SEARCH(_xlfn.CONCAT(CHAR(34),CHAR(39)),$I670))),_xlfn.CONCAT("* REVIEW REQUIRED: compound-quote delimiter in Derivation on Sheet 1 row ",670,"; edit the input before running."),_xlfn.CONCAT("char ",TRIM($B670),"[doc_derivation] ",CHAR(96),CHAR(34),SUBSTITUTE(SUBSTITUTE(SUBSTITUTE(SUBSTITUTE(SUBSTITUTE(SUBSTITUTE($I670,CHAR(13)," "),CHAR(10)," "),CHAR(9)," "),CHAR(92),_xlfn.CONCAT(CHAR(92),CHAR(92))),"$",_xlfn.CONCAT(CHAR(92),"$")),CHAR(96),_xlfn.CONCAT(CHAR(92),CHAR(96))),CHAR(34),CHAR(39))))</f>
        <v/>
      </c>
      <c r="T670" s="5" t="str">
        <f>IF(OR(TRIM($B670)="",$J670=""),"",IF(OR(ISNUMBER(SEARCH(_xlfn.CONCAT(CHAR(96),CHAR(34)),$J670)),ISNUMBER(SEARCH(_xlfn.CONCAT(CHAR(34),CHAR(39)),$J670))),_xlfn.CONCAT("* REVIEW REQUIRED: compound-quote delimiter in Notes on Sheet 1 row ",670,"; edit the input before running."),_xlfn.CONCAT("char ",TRIM($B670),"[doc_notes] ",CHAR(96),CHAR(34),SUBSTITUTE(SUBSTITUTE(SUBSTITUTE(SUBSTITUTE(SUBSTITUTE(SUBSTITUTE($J670,CHAR(13)," "),CHAR(10)," "),CHAR(9)," "),CHAR(92),_xlfn.CONCAT(CHAR(92),CHAR(92))),"$",_xlfn.CONCAT(CHAR(92),"$")),CHAR(96),_xlfn.CONCAT(CHAR(92),CHAR(96))),CHAR(34),CHAR(39))))</f>
        <v/>
      </c>
      <c r="U670" s="5">
        <f t="shared" si="21"/>
        <v>0</v>
      </c>
    </row>
    <row r="671" spans="3:21" ht="30" customHeight="1" x14ac:dyDescent="0.2">
      <c r="C671" s="4"/>
      <c r="K671" s="5">
        <f t="shared" si="20"/>
        <v>0</v>
      </c>
      <c r="L671" s="5" t="str">
        <f>IF(OR(TRIM($B671)="",$A671=""),"",IF(OR(ISNUMBER(SEARCH(_xlfn.CONCAT(CHAR(96),CHAR(34)),$A671)),ISNUMBER(SEARCH(_xlfn.CONCAT(CHAR(34),CHAR(39)),$A671))),_xlfn.CONCAT("* REVIEW REQUIRED: compound-quote delimiter in Codebook Section on Sheet 1 row ",671,"; edit the input before running."),_xlfn.CONCAT("char ",TRIM($B671),"[doc_section] ",CHAR(96),CHAR(34),SUBSTITUTE(SUBSTITUTE(SUBSTITUTE(SUBSTITUTE(SUBSTITUTE(SUBSTITUTE($A671,CHAR(13)," "),CHAR(10)," "),CHAR(9)," "),CHAR(92),_xlfn.CONCAT(CHAR(92),CHAR(92))),"$",_xlfn.CONCAT(CHAR(92),"$")),CHAR(96),_xlfn.CONCAT(CHAR(92),CHAR(96))),CHAR(34),CHAR(39))))</f>
        <v/>
      </c>
      <c r="M671" s="5" t="str">
        <f>IF(OR(TRIM($B671)="",$C671=""),"",IF(IFERROR(MATCH(TRIM($C671),{"Quantitative","Continuous","Discrete","Categorical","Nominal","Ordinal","Identifier"},0),0)=0,_xlfn.CONCAT("* REVIEW REQUIRED: invalid Variable Type on Sheet 1 row ",671,"."),_xlfn.CONCAT("char ",TRIM($B671),"[doc_vartype] ",CHAR(96),CHAR(34),SUBSTITUTE(SUBSTITUTE(SUBSTITUTE(SUBSTITUTE(SUBSTITUTE(SUBSTITUTE(LOWER(TRIM($C671)),CHAR(13)," "),CHAR(10)," "),CHAR(9)," "),CHAR(92),_xlfn.CONCAT(CHAR(92),CHAR(92))),"$",_xlfn.CONCAT(CHAR(92),"$")),CHAR(96),_xlfn.CONCAT(CHAR(92),CHAR(96))),CHAR(34),CHAR(39))))</f>
        <v/>
      </c>
      <c r="N671" s="5" t="str">
        <f>IF(OR(TRIM($B671)="",$D671=""),"",IF(OR(ISNUMBER(SEARCH(_xlfn.CONCAT(CHAR(96),CHAR(34)),$D671)),ISNUMBER(SEARCH(_xlfn.CONCAT(CHAR(34),CHAR(39)),$D671))),_xlfn.CONCAT("* REVIEW REQUIRED: compound-quote delimiter in Item Number on Sheet 1 row ",671,"; edit the input before running."),_xlfn.CONCAT("char ",TRIM($B671),"[doc_itemnum] ",CHAR(96),CHAR(34),SUBSTITUTE(SUBSTITUTE(SUBSTITUTE(SUBSTITUTE(SUBSTITUTE(SUBSTITUTE($D671,CHAR(13)," "),CHAR(10)," "),CHAR(9)," "),CHAR(92),_xlfn.CONCAT(CHAR(92),CHAR(92))),"$",_xlfn.CONCAT(CHAR(92),"$")),CHAR(96),_xlfn.CONCAT(CHAR(92),CHAR(96))),CHAR(34),CHAR(39))))</f>
        <v/>
      </c>
      <c r="O671" s="5" t="str">
        <f>IF(OR(TRIM($B671)="",$E671=""),"",IF(OR(ISNUMBER(SEARCH(_xlfn.CONCAT(CHAR(96),CHAR(34)),$E671)),ISNUMBER(SEARCH(_xlfn.CONCAT(CHAR(34),CHAR(39)),$E671))),_xlfn.CONCAT("* REVIEW REQUIRED: compound-quote delimiter in Question Wording on Sheet 1 row ",671,"; edit the input before running."),_xlfn.CONCAT("char ",TRIM($B671),"[doc_question] ",CHAR(96),CHAR(34),SUBSTITUTE(SUBSTITUTE(SUBSTITUTE(SUBSTITUTE(SUBSTITUTE(SUBSTITUTE($E671,CHAR(13)," "),CHAR(10)," "),CHAR(9)," "),CHAR(92),_xlfn.CONCAT(CHAR(92),CHAR(92))),"$",_xlfn.CONCAT(CHAR(92),"$")),CHAR(96),_xlfn.CONCAT(CHAR(92),CHAR(96))),CHAR(34),CHAR(39))))</f>
        <v/>
      </c>
      <c r="P671" s="5" t="str">
        <f>IF(OR(TRIM($B671)="",$F671=""),"",IF(OR(ISNUMBER(SEARCH(_xlfn.CONCAT(CHAR(96),CHAR(34)),$F671)),ISNUMBER(SEARCH(_xlfn.CONCAT(CHAR(34),CHAR(39)),$F671))),_xlfn.CONCAT("* REVIEW REQUIRED: compound-quote delimiter in Units on Sheet 1 row ",671,"; edit the input before running."),_xlfn.CONCAT("char ",TRIM($B671),"[doc_units] ",CHAR(96),CHAR(34),SUBSTITUTE(SUBSTITUTE(SUBSTITUTE(SUBSTITUTE(SUBSTITUTE(SUBSTITUTE($F671,CHAR(13)," "),CHAR(10)," "),CHAR(9)," "),CHAR(92),_xlfn.CONCAT(CHAR(92),CHAR(92))),"$",_xlfn.CONCAT(CHAR(92),"$")),CHAR(96),_xlfn.CONCAT(CHAR(92),CHAR(96))),CHAR(34),CHAR(39))))</f>
        <v/>
      </c>
      <c r="Q671" s="5" t="str">
        <f>IF(OR(TRIM($B671)="",$G671=""),"",IF(OR(ISNUMBER(SEARCH(_xlfn.CONCAT(CHAR(96),CHAR(34)),$G671)),ISNUMBER(SEARCH(_xlfn.CONCAT(CHAR(34),CHAR(39)),$G671))),_xlfn.CONCAT("* REVIEW REQUIRED: compound-quote delimiter in Universe on Sheet 1 row ",671,"; edit the input before running."),_xlfn.CONCAT("char ",TRIM($B671),"[doc_universe] ",CHAR(96),CHAR(34),SUBSTITUTE(SUBSTITUTE(SUBSTITUTE(SUBSTITUTE(SUBSTITUTE(SUBSTITUTE($G671,CHAR(13)," "),CHAR(10)," "),CHAR(9)," "),CHAR(92),_xlfn.CONCAT(CHAR(92),CHAR(92))),"$",_xlfn.CONCAT(CHAR(92),"$")),CHAR(96),_xlfn.CONCAT(CHAR(92),CHAR(96))),CHAR(34),CHAR(39))))</f>
        <v/>
      </c>
      <c r="R671" s="5" t="str">
        <f>IF(OR(TRIM($B671)="",$H671=""),"",IF(OR(ISNUMBER(SEARCH(_xlfn.CONCAT(CHAR(96),CHAR(34)),$H671)),ISNUMBER(SEARCH(_xlfn.CONCAT(CHAR(34),CHAR(39)),$H671))),_xlfn.CONCAT("* REVIEW REQUIRED: compound-quote delimiter in Source on Sheet 1 row ",671,"; edit the input before running."),_xlfn.CONCAT("char ",TRIM($B671),"[doc_source] ",CHAR(96),CHAR(34),SUBSTITUTE(SUBSTITUTE(SUBSTITUTE(SUBSTITUTE(SUBSTITUTE(SUBSTITUTE($H671,CHAR(13)," "),CHAR(10)," "),CHAR(9)," "),CHAR(92),_xlfn.CONCAT(CHAR(92),CHAR(92))),"$",_xlfn.CONCAT(CHAR(92),"$")),CHAR(96),_xlfn.CONCAT(CHAR(92),CHAR(96))),CHAR(34),CHAR(39))))</f>
        <v/>
      </c>
      <c r="S671" s="5" t="str">
        <f>IF(OR(TRIM($B671)="",$I671=""),"",IF(OR(ISNUMBER(SEARCH(_xlfn.CONCAT(CHAR(96),CHAR(34)),$I671)),ISNUMBER(SEARCH(_xlfn.CONCAT(CHAR(34),CHAR(39)),$I671))),_xlfn.CONCAT("* REVIEW REQUIRED: compound-quote delimiter in Derivation on Sheet 1 row ",671,"; edit the input before running."),_xlfn.CONCAT("char ",TRIM($B671),"[doc_derivation] ",CHAR(96),CHAR(34),SUBSTITUTE(SUBSTITUTE(SUBSTITUTE(SUBSTITUTE(SUBSTITUTE(SUBSTITUTE($I671,CHAR(13)," "),CHAR(10)," "),CHAR(9)," "),CHAR(92),_xlfn.CONCAT(CHAR(92),CHAR(92))),"$",_xlfn.CONCAT(CHAR(92),"$")),CHAR(96),_xlfn.CONCAT(CHAR(92),CHAR(96))),CHAR(34),CHAR(39))))</f>
        <v/>
      </c>
      <c r="T671" s="5" t="str">
        <f>IF(OR(TRIM($B671)="",$J671=""),"",IF(OR(ISNUMBER(SEARCH(_xlfn.CONCAT(CHAR(96),CHAR(34)),$J671)),ISNUMBER(SEARCH(_xlfn.CONCAT(CHAR(34),CHAR(39)),$J671))),_xlfn.CONCAT("* REVIEW REQUIRED: compound-quote delimiter in Notes on Sheet 1 row ",671,"; edit the input before running."),_xlfn.CONCAT("char ",TRIM($B671),"[doc_notes] ",CHAR(96),CHAR(34),SUBSTITUTE(SUBSTITUTE(SUBSTITUTE(SUBSTITUTE(SUBSTITUTE(SUBSTITUTE($J671,CHAR(13)," "),CHAR(10)," "),CHAR(9)," "),CHAR(92),_xlfn.CONCAT(CHAR(92),CHAR(92))),"$",_xlfn.CONCAT(CHAR(92),"$")),CHAR(96),_xlfn.CONCAT(CHAR(92),CHAR(96))),CHAR(34),CHAR(39))))</f>
        <v/>
      </c>
      <c r="U671" s="5">
        <f t="shared" si="21"/>
        <v>0</v>
      </c>
    </row>
    <row r="672" spans="3:21" ht="30" customHeight="1" x14ac:dyDescent="0.2">
      <c r="C672" s="4"/>
      <c r="K672" s="5">
        <f t="shared" si="20"/>
        <v>0</v>
      </c>
      <c r="L672" s="5" t="str">
        <f>IF(OR(TRIM($B672)="",$A672=""),"",IF(OR(ISNUMBER(SEARCH(_xlfn.CONCAT(CHAR(96),CHAR(34)),$A672)),ISNUMBER(SEARCH(_xlfn.CONCAT(CHAR(34),CHAR(39)),$A672))),_xlfn.CONCAT("* REVIEW REQUIRED: compound-quote delimiter in Codebook Section on Sheet 1 row ",672,"; edit the input before running."),_xlfn.CONCAT("char ",TRIM($B672),"[doc_section] ",CHAR(96),CHAR(34),SUBSTITUTE(SUBSTITUTE(SUBSTITUTE(SUBSTITUTE(SUBSTITUTE(SUBSTITUTE($A672,CHAR(13)," "),CHAR(10)," "),CHAR(9)," "),CHAR(92),_xlfn.CONCAT(CHAR(92),CHAR(92))),"$",_xlfn.CONCAT(CHAR(92),"$")),CHAR(96),_xlfn.CONCAT(CHAR(92),CHAR(96))),CHAR(34),CHAR(39))))</f>
        <v/>
      </c>
      <c r="M672" s="5" t="str">
        <f>IF(OR(TRIM($B672)="",$C672=""),"",IF(IFERROR(MATCH(TRIM($C672),{"Quantitative","Continuous","Discrete","Categorical","Nominal","Ordinal","Identifier"},0),0)=0,_xlfn.CONCAT("* REVIEW REQUIRED: invalid Variable Type on Sheet 1 row ",672,"."),_xlfn.CONCAT("char ",TRIM($B672),"[doc_vartype] ",CHAR(96),CHAR(34),SUBSTITUTE(SUBSTITUTE(SUBSTITUTE(SUBSTITUTE(SUBSTITUTE(SUBSTITUTE(LOWER(TRIM($C672)),CHAR(13)," "),CHAR(10)," "),CHAR(9)," "),CHAR(92),_xlfn.CONCAT(CHAR(92),CHAR(92))),"$",_xlfn.CONCAT(CHAR(92),"$")),CHAR(96),_xlfn.CONCAT(CHAR(92),CHAR(96))),CHAR(34),CHAR(39))))</f>
        <v/>
      </c>
      <c r="N672" s="5" t="str">
        <f>IF(OR(TRIM($B672)="",$D672=""),"",IF(OR(ISNUMBER(SEARCH(_xlfn.CONCAT(CHAR(96),CHAR(34)),$D672)),ISNUMBER(SEARCH(_xlfn.CONCAT(CHAR(34),CHAR(39)),$D672))),_xlfn.CONCAT("* REVIEW REQUIRED: compound-quote delimiter in Item Number on Sheet 1 row ",672,"; edit the input before running."),_xlfn.CONCAT("char ",TRIM($B672),"[doc_itemnum] ",CHAR(96),CHAR(34),SUBSTITUTE(SUBSTITUTE(SUBSTITUTE(SUBSTITUTE(SUBSTITUTE(SUBSTITUTE($D672,CHAR(13)," "),CHAR(10)," "),CHAR(9)," "),CHAR(92),_xlfn.CONCAT(CHAR(92),CHAR(92))),"$",_xlfn.CONCAT(CHAR(92),"$")),CHAR(96),_xlfn.CONCAT(CHAR(92),CHAR(96))),CHAR(34),CHAR(39))))</f>
        <v/>
      </c>
      <c r="O672" s="5" t="str">
        <f>IF(OR(TRIM($B672)="",$E672=""),"",IF(OR(ISNUMBER(SEARCH(_xlfn.CONCAT(CHAR(96),CHAR(34)),$E672)),ISNUMBER(SEARCH(_xlfn.CONCAT(CHAR(34),CHAR(39)),$E672))),_xlfn.CONCAT("* REVIEW REQUIRED: compound-quote delimiter in Question Wording on Sheet 1 row ",672,"; edit the input before running."),_xlfn.CONCAT("char ",TRIM($B672),"[doc_question] ",CHAR(96),CHAR(34),SUBSTITUTE(SUBSTITUTE(SUBSTITUTE(SUBSTITUTE(SUBSTITUTE(SUBSTITUTE($E672,CHAR(13)," "),CHAR(10)," "),CHAR(9)," "),CHAR(92),_xlfn.CONCAT(CHAR(92),CHAR(92))),"$",_xlfn.CONCAT(CHAR(92),"$")),CHAR(96),_xlfn.CONCAT(CHAR(92),CHAR(96))),CHAR(34),CHAR(39))))</f>
        <v/>
      </c>
      <c r="P672" s="5" t="str">
        <f>IF(OR(TRIM($B672)="",$F672=""),"",IF(OR(ISNUMBER(SEARCH(_xlfn.CONCAT(CHAR(96),CHAR(34)),$F672)),ISNUMBER(SEARCH(_xlfn.CONCAT(CHAR(34),CHAR(39)),$F672))),_xlfn.CONCAT("* REVIEW REQUIRED: compound-quote delimiter in Units on Sheet 1 row ",672,"; edit the input before running."),_xlfn.CONCAT("char ",TRIM($B672),"[doc_units] ",CHAR(96),CHAR(34),SUBSTITUTE(SUBSTITUTE(SUBSTITUTE(SUBSTITUTE(SUBSTITUTE(SUBSTITUTE($F672,CHAR(13)," "),CHAR(10)," "),CHAR(9)," "),CHAR(92),_xlfn.CONCAT(CHAR(92),CHAR(92))),"$",_xlfn.CONCAT(CHAR(92),"$")),CHAR(96),_xlfn.CONCAT(CHAR(92),CHAR(96))),CHAR(34),CHAR(39))))</f>
        <v/>
      </c>
      <c r="Q672" s="5" t="str">
        <f>IF(OR(TRIM($B672)="",$G672=""),"",IF(OR(ISNUMBER(SEARCH(_xlfn.CONCAT(CHAR(96),CHAR(34)),$G672)),ISNUMBER(SEARCH(_xlfn.CONCAT(CHAR(34),CHAR(39)),$G672))),_xlfn.CONCAT("* REVIEW REQUIRED: compound-quote delimiter in Universe on Sheet 1 row ",672,"; edit the input before running."),_xlfn.CONCAT("char ",TRIM($B672),"[doc_universe] ",CHAR(96),CHAR(34),SUBSTITUTE(SUBSTITUTE(SUBSTITUTE(SUBSTITUTE(SUBSTITUTE(SUBSTITUTE($G672,CHAR(13)," "),CHAR(10)," "),CHAR(9)," "),CHAR(92),_xlfn.CONCAT(CHAR(92),CHAR(92))),"$",_xlfn.CONCAT(CHAR(92),"$")),CHAR(96),_xlfn.CONCAT(CHAR(92),CHAR(96))),CHAR(34),CHAR(39))))</f>
        <v/>
      </c>
      <c r="R672" s="5" t="str">
        <f>IF(OR(TRIM($B672)="",$H672=""),"",IF(OR(ISNUMBER(SEARCH(_xlfn.CONCAT(CHAR(96),CHAR(34)),$H672)),ISNUMBER(SEARCH(_xlfn.CONCAT(CHAR(34),CHAR(39)),$H672))),_xlfn.CONCAT("* REVIEW REQUIRED: compound-quote delimiter in Source on Sheet 1 row ",672,"; edit the input before running."),_xlfn.CONCAT("char ",TRIM($B672),"[doc_source] ",CHAR(96),CHAR(34),SUBSTITUTE(SUBSTITUTE(SUBSTITUTE(SUBSTITUTE(SUBSTITUTE(SUBSTITUTE($H672,CHAR(13)," "),CHAR(10)," "),CHAR(9)," "),CHAR(92),_xlfn.CONCAT(CHAR(92),CHAR(92))),"$",_xlfn.CONCAT(CHAR(92),"$")),CHAR(96),_xlfn.CONCAT(CHAR(92),CHAR(96))),CHAR(34),CHAR(39))))</f>
        <v/>
      </c>
      <c r="S672" s="5" t="str">
        <f>IF(OR(TRIM($B672)="",$I672=""),"",IF(OR(ISNUMBER(SEARCH(_xlfn.CONCAT(CHAR(96),CHAR(34)),$I672)),ISNUMBER(SEARCH(_xlfn.CONCAT(CHAR(34),CHAR(39)),$I672))),_xlfn.CONCAT("* REVIEW REQUIRED: compound-quote delimiter in Derivation on Sheet 1 row ",672,"; edit the input before running."),_xlfn.CONCAT("char ",TRIM($B672),"[doc_derivation] ",CHAR(96),CHAR(34),SUBSTITUTE(SUBSTITUTE(SUBSTITUTE(SUBSTITUTE(SUBSTITUTE(SUBSTITUTE($I672,CHAR(13)," "),CHAR(10)," "),CHAR(9)," "),CHAR(92),_xlfn.CONCAT(CHAR(92),CHAR(92))),"$",_xlfn.CONCAT(CHAR(92),"$")),CHAR(96),_xlfn.CONCAT(CHAR(92),CHAR(96))),CHAR(34),CHAR(39))))</f>
        <v/>
      </c>
      <c r="T672" s="5" t="str">
        <f>IF(OR(TRIM($B672)="",$J672=""),"",IF(OR(ISNUMBER(SEARCH(_xlfn.CONCAT(CHAR(96),CHAR(34)),$J672)),ISNUMBER(SEARCH(_xlfn.CONCAT(CHAR(34),CHAR(39)),$J672))),_xlfn.CONCAT("* REVIEW REQUIRED: compound-quote delimiter in Notes on Sheet 1 row ",672,"; edit the input before running."),_xlfn.CONCAT("char ",TRIM($B672),"[doc_notes] ",CHAR(96),CHAR(34),SUBSTITUTE(SUBSTITUTE(SUBSTITUTE(SUBSTITUTE(SUBSTITUTE(SUBSTITUTE($J672,CHAR(13)," "),CHAR(10)," "),CHAR(9)," "),CHAR(92),_xlfn.CONCAT(CHAR(92),CHAR(92))),"$",_xlfn.CONCAT(CHAR(92),"$")),CHAR(96),_xlfn.CONCAT(CHAR(92),CHAR(96))),CHAR(34),CHAR(39))))</f>
        <v/>
      </c>
      <c r="U672" s="5">
        <f t="shared" si="21"/>
        <v>0</v>
      </c>
    </row>
    <row r="673" spans="3:21" ht="30" customHeight="1" x14ac:dyDescent="0.2">
      <c r="C673" s="4"/>
      <c r="K673" s="5">
        <f t="shared" si="20"/>
        <v>0</v>
      </c>
      <c r="L673" s="5" t="str">
        <f>IF(OR(TRIM($B673)="",$A673=""),"",IF(OR(ISNUMBER(SEARCH(_xlfn.CONCAT(CHAR(96),CHAR(34)),$A673)),ISNUMBER(SEARCH(_xlfn.CONCAT(CHAR(34),CHAR(39)),$A673))),_xlfn.CONCAT("* REVIEW REQUIRED: compound-quote delimiter in Codebook Section on Sheet 1 row ",673,"; edit the input before running."),_xlfn.CONCAT("char ",TRIM($B673),"[doc_section] ",CHAR(96),CHAR(34),SUBSTITUTE(SUBSTITUTE(SUBSTITUTE(SUBSTITUTE(SUBSTITUTE(SUBSTITUTE($A673,CHAR(13)," "),CHAR(10)," "),CHAR(9)," "),CHAR(92),_xlfn.CONCAT(CHAR(92),CHAR(92))),"$",_xlfn.CONCAT(CHAR(92),"$")),CHAR(96),_xlfn.CONCAT(CHAR(92),CHAR(96))),CHAR(34),CHAR(39))))</f>
        <v/>
      </c>
      <c r="M673" s="5" t="str">
        <f>IF(OR(TRIM($B673)="",$C673=""),"",IF(IFERROR(MATCH(TRIM($C673),{"Quantitative","Continuous","Discrete","Categorical","Nominal","Ordinal","Identifier"},0),0)=0,_xlfn.CONCAT("* REVIEW REQUIRED: invalid Variable Type on Sheet 1 row ",673,"."),_xlfn.CONCAT("char ",TRIM($B673),"[doc_vartype] ",CHAR(96),CHAR(34),SUBSTITUTE(SUBSTITUTE(SUBSTITUTE(SUBSTITUTE(SUBSTITUTE(SUBSTITUTE(LOWER(TRIM($C673)),CHAR(13)," "),CHAR(10)," "),CHAR(9)," "),CHAR(92),_xlfn.CONCAT(CHAR(92),CHAR(92))),"$",_xlfn.CONCAT(CHAR(92),"$")),CHAR(96),_xlfn.CONCAT(CHAR(92),CHAR(96))),CHAR(34),CHAR(39))))</f>
        <v/>
      </c>
      <c r="N673" s="5" t="str">
        <f>IF(OR(TRIM($B673)="",$D673=""),"",IF(OR(ISNUMBER(SEARCH(_xlfn.CONCAT(CHAR(96),CHAR(34)),$D673)),ISNUMBER(SEARCH(_xlfn.CONCAT(CHAR(34),CHAR(39)),$D673))),_xlfn.CONCAT("* REVIEW REQUIRED: compound-quote delimiter in Item Number on Sheet 1 row ",673,"; edit the input before running."),_xlfn.CONCAT("char ",TRIM($B673),"[doc_itemnum] ",CHAR(96),CHAR(34),SUBSTITUTE(SUBSTITUTE(SUBSTITUTE(SUBSTITUTE(SUBSTITUTE(SUBSTITUTE($D673,CHAR(13)," "),CHAR(10)," "),CHAR(9)," "),CHAR(92),_xlfn.CONCAT(CHAR(92),CHAR(92))),"$",_xlfn.CONCAT(CHAR(92),"$")),CHAR(96),_xlfn.CONCAT(CHAR(92),CHAR(96))),CHAR(34),CHAR(39))))</f>
        <v/>
      </c>
      <c r="O673" s="5" t="str">
        <f>IF(OR(TRIM($B673)="",$E673=""),"",IF(OR(ISNUMBER(SEARCH(_xlfn.CONCAT(CHAR(96),CHAR(34)),$E673)),ISNUMBER(SEARCH(_xlfn.CONCAT(CHAR(34),CHAR(39)),$E673))),_xlfn.CONCAT("* REVIEW REQUIRED: compound-quote delimiter in Question Wording on Sheet 1 row ",673,"; edit the input before running."),_xlfn.CONCAT("char ",TRIM($B673),"[doc_question] ",CHAR(96),CHAR(34),SUBSTITUTE(SUBSTITUTE(SUBSTITUTE(SUBSTITUTE(SUBSTITUTE(SUBSTITUTE($E673,CHAR(13)," "),CHAR(10)," "),CHAR(9)," "),CHAR(92),_xlfn.CONCAT(CHAR(92),CHAR(92))),"$",_xlfn.CONCAT(CHAR(92),"$")),CHAR(96),_xlfn.CONCAT(CHAR(92),CHAR(96))),CHAR(34),CHAR(39))))</f>
        <v/>
      </c>
      <c r="P673" s="5" t="str">
        <f>IF(OR(TRIM($B673)="",$F673=""),"",IF(OR(ISNUMBER(SEARCH(_xlfn.CONCAT(CHAR(96),CHAR(34)),$F673)),ISNUMBER(SEARCH(_xlfn.CONCAT(CHAR(34),CHAR(39)),$F673))),_xlfn.CONCAT("* REVIEW REQUIRED: compound-quote delimiter in Units on Sheet 1 row ",673,"; edit the input before running."),_xlfn.CONCAT("char ",TRIM($B673),"[doc_units] ",CHAR(96),CHAR(34),SUBSTITUTE(SUBSTITUTE(SUBSTITUTE(SUBSTITUTE(SUBSTITUTE(SUBSTITUTE($F673,CHAR(13)," "),CHAR(10)," "),CHAR(9)," "),CHAR(92),_xlfn.CONCAT(CHAR(92),CHAR(92))),"$",_xlfn.CONCAT(CHAR(92),"$")),CHAR(96),_xlfn.CONCAT(CHAR(92),CHAR(96))),CHAR(34),CHAR(39))))</f>
        <v/>
      </c>
      <c r="Q673" s="5" t="str">
        <f>IF(OR(TRIM($B673)="",$G673=""),"",IF(OR(ISNUMBER(SEARCH(_xlfn.CONCAT(CHAR(96),CHAR(34)),$G673)),ISNUMBER(SEARCH(_xlfn.CONCAT(CHAR(34),CHAR(39)),$G673))),_xlfn.CONCAT("* REVIEW REQUIRED: compound-quote delimiter in Universe on Sheet 1 row ",673,"; edit the input before running."),_xlfn.CONCAT("char ",TRIM($B673),"[doc_universe] ",CHAR(96),CHAR(34),SUBSTITUTE(SUBSTITUTE(SUBSTITUTE(SUBSTITUTE(SUBSTITUTE(SUBSTITUTE($G673,CHAR(13)," "),CHAR(10)," "),CHAR(9)," "),CHAR(92),_xlfn.CONCAT(CHAR(92),CHAR(92))),"$",_xlfn.CONCAT(CHAR(92),"$")),CHAR(96),_xlfn.CONCAT(CHAR(92),CHAR(96))),CHAR(34),CHAR(39))))</f>
        <v/>
      </c>
      <c r="R673" s="5" t="str">
        <f>IF(OR(TRIM($B673)="",$H673=""),"",IF(OR(ISNUMBER(SEARCH(_xlfn.CONCAT(CHAR(96),CHAR(34)),$H673)),ISNUMBER(SEARCH(_xlfn.CONCAT(CHAR(34),CHAR(39)),$H673))),_xlfn.CONCAT("* REVIEW REQUIRED: compound-quote delimiter in Source on Sheet 1 row ",673,"; edit the input before running."),_xlfn.CONCAT("char ",TRIM($B673),"[doc_source] ",CHAR(96),CHAR(34),SUBSTITUTE(SUBSTITUTE(SUBSTITUTE(SUBSTITUTE(SUBSTITUTE(SUBSTITUTE($H673,CHAR(13)," "),CHAR(10)," "),CHAR(9)," "),CHAR(92),_xlfn.CONCAT(CHAR(92),CHAR(92))),"$",_xlfn.CONCAT(CHAR(92),"$")),CHAR(96),_xlfn.CONCAT(CHAR(92),CHAR(96))),CHAR(34),CHAR(39))))</f>
        <v/>
      </c>
      <c r="S673" s="5" t="str">
        <f>IF(OR(TRIM($B673)="",$I673=""),"",IF(OR(ISNUMBER(SEARCH(_xlfn.CONCAT(CHAR(96),CHAR(34)),$I673)),ISNUMBER(SEARCH(_xlfn.CONCAT(CHAR(34),CHAR(39)),$I673))),_xlfn.CONCAT("* REVIEW REQUIRED: compound-quote delimiter in Derivation on Sheet 1 row ",673,"; edit the input before running."),_xlfn.CONCAT("char ",TRIM($B673),"[doc_derivation] ",CHAR(96),CHAR(34),SUBSTITUTE(SUBSTITUTE(SUBSTITUTE(SUBSTITUTE(SUBSTITUTE(SUBSTITUTE($I673,CHAR(13)," "),CHAR(10)," "),CHAR(9)," "),CHAR(92),_xlfn.CONCAT(CHAR(92),CHAR(92))),"$",_xlfn.CONCAT(CHAR(92),"$")),CHAR(96),_xlfn.CONCAT(CHAR(92),CHAR(96))),CHAR(34),CHAR(39))))</f>
        <v/>
      </c>
      <c r="T673" s="5" t="str">
        <f>IF(OR(TRIM($B673)="",$J673=""),"",IF(OR(ISNUMBER(SEARCH(_xlfn.CONCAT(CHAR(96),CHAR(34)),$J673)),ISNUMBER(SEARCH(_xlfn.CONCAT(CHAR(34),CHAR(39)),$J673))),_xlfn.CONCAT("* REVIEW REQUIRED: compound-quote delimiter in Notes on Sheet 1 row ",673,"; edit the input before running."),_xlfn.CONCAT("char ",TRIM($B673),"[doc_notes] ",CHAR(96),CHAR(34),SUBSTITUTE(SUBSTITUTE(SUBSTITUTE(SUBSTITUTE(SUBSTITUTE(SUBSTITUTE($J673,CHAR(13)," "),CHAR(10)," "),CHAR(9)," "),CHAR(92),_xlfn.CONCAT(CHAR(92),CHAR(92))),"$",_xlfn.CONCAT(CHAR(92),"$")),CHAR(96),_xlfn.CONCAT(CHAR(92),CHAR(96))),CHAR(34),CHAR(39))))</f>
        <v/>
      </c>
      <c r="U673" s="5">
        <f t="shared" si="21"/>
        <v>0</v>
      </c>
    </row>
    <row r="674" spans="3:21" ht="30" customHeight="1" x14ac:dyDescent="0.2">
      <c r="C674" s="4"/>
      <c r="K674" s="5">
        <f t="shared" si="20"/>
        <v>0</v>
      </c>
      <c r="L674" s="5" t="str">
        <f>IF(OR(TRIM($B674)="",$A674=""),"",IF(OR(ISNUMBER(SEARCH(_xlfn.CONCAT(CHAR(96),CHAR(34)),$A674)),ISNUMBER(SEARCH(_xlfn.CONCAT(CHAR(34),CHAR(39)),$A674))),_xlfn.CONCAT("* REVIEW REQUIRED: compound-quote delimiter in Codebook Section on Sheet 1 row ",674,"; edit the input before running."),_xlfn.CONCAT("char ",TRIM($B674),"[doc_section] ",CHAR(96),CHAR(34),SUBSTITUTE(SUBSTITUTE(SUBSTITUTE(SUBSTITUTE(SUBSTITUTE(SUBSTITUTE($A674,CHAR(13)," "),CHAR(10)," "),CHAR(9)," "),CHAR(92),_xlfn.CONCAT(CHAR(92),CHAR(92))),"$",_xlfn.CONCAT(CHAR(92),"$")),CHAR(96),_xlfn.CONCAT(CHAR(92),CHAR(96))),CHAR(34),CHAR(39))))</f>
        <v/>
      </c>
      <c r="M674" s="5" t="str">
        <f>IF(OR(TRIM($B674)="",$C674=""),"",IF(IFERROR(MATCH(TRIM($C674),{"Quantitative","Continuous","Discrete","Categorical","Nominal","Ordinal","Identifier"},0),0)=0,_xlfn.CONCAT("* REVIEW REQUIRED: invalid Variable Type on Sheet 1 row ",674,"."),_xlfn.CONCAT("char ",TRIM($B674),"[doc_vartype] ",CHAR(96),CHAR(34),SUBSTITUTE(SUBSTITUTE(SUBSTITUTE(SUBSTITUTE(SUBSTITUTE(SUBSTITUTE(LOWER(TRIM($C674)),CHAR(13)," "),CHAR(10)," "),CHAR(9)," "),CHAR(92),_xlfn.CONCAT(CHAR(92),CHAR(92))),"$",_xlfn.CONCAT(CHAR(92),"$")),CHAR(96),_xlfn.CONCAT(CHAR(92),CHAR(96))),CHAR(34),CHAR(39))))</f>
        <v/>
      </c>
      <c r="N674" s="5" t="str">
        <f>IF(OR(TRIM($B674)="",$D674=""),"",IF(OR(ISNUMBER(SEARCH(_xlfn.CONCAT(CHAR(96),CHAR(34)),$D674)),ISNUMBER(SEARCH(_xlfn.CONCAT(CHAR(34),CHAR(39)),$D674))),_xlfn.CONCAT("* REVIEW REQUIRED: compound-quote delimiter in Item Number on Sheet 1 row ",674,"; edit the input before running."),_xlfn.CONCAT("char ",TRIM($B674),"[doc_itemnum] ",CHAR(96),CHAR(34),SUBSTITUTE(SUBSTITUTE(SUBSTITUTE(SUBSTITUTE(SUBSTITUTE(SUBSTITUTE($D674,CHAR(13)," "),CHAR(10)," "),CHAR(9)," "),CHAR(92),_xlfn.CONCAT(CHAR(92),CHAR(92))),"$",_xlfn.CONCAT(CHAR(92),"$")),CHAR(96),_xlfn.CONCAT(CHAR(92),CHAR(96))),CHAR(34),CHAR(39))))</f>
        <v/>
      </c>
      <c r="O674" s="5" t="str">
        <f>IF(OR(TRIM($B674)="",$E674=""),"",IF(OR(ISNUMBER(SEARCH(_xlfn.CONCAT(CHAR(96),CHAR(34)),$E674)),ISNUMBER(SEARCH(_xlfn.CONCAT(CHAR(34),CHAR(39)),$E674))),_xlfn.CONCAT("* REVIEW REQUIRED: compound-quote delimiter in Question Wording on Sheet 1 row ",674,"; edit the input before running."),_xlfn.CONCAT("char ",TRIM($B674),"[doc_question] ",CHAR(96),CHAR(34),SUBSTITUTE(SUBSTITUTE(SUBSTITUTE(SUBSTITUTE(SUBSTITUTE(SUBSTITUTE($E674,CHAR(13)," "),CHAR(10)," "),CHAR(9)," "),CHAR(92),_xlfn.CONCAT(CHAR(92),CHAR(92))),"$",_xlfn.CONCAT(CHAR(92),"$")),CHAR(96),_xlfn.CONCAT(CHAR(92),CHAR(96))),CHAR(34),CHAR(39))))</f>
        <v/>
      </c>
      <c r="P674" s="5" t="str">
        <f>IF(OR(TRIM($B674)="",$F674=""),"",IF(OR(ISNUMBER(SEARCH(_xlfn.CONCAT(CHAR(96),CHAR(34)),$F674)),ISNUMBER(SEARCH(_xlfn.CONCAT(CHAR(34),CHAR(39)),$F674))),_xlfn.CONCAT("* REVIEW REQUIRED: compound-quote delimiter in Units on Sheet 1 row ",674,"; edit the input before running."),_xlfn.CONCAT("char ",TRIM($B674),"[doc_units] ",CHAR(96),CHAR(34),SUBSTITUTE(SUBSTITUTE(SUBSTITUTE(SUBSTITUTE(SUBSTITUTE(SUBSTITUTE($F674,CHAR(13)," "),CHAR(10)," "),CHAR(9)," "),CHAR(92),_xlfn.CONCAT(CHAR(92),CHAR(92))),"$",_xlfn.CONCAT(CHAR(92),"$")),CHAR(96),_xlfn.CONCAT(CHAR(92),CHAR(96))),CHAR(34),CHAR(39))))</f>
        <v/>
      </c>
      <c r="Q674" s="5" t="str">
        <f>IF(OR(TRIM($B674)="",$G674=""),"",IF(OR(ISNUMBER(SEARCH(_xlfn.CONCAT(CHAR(96),CHAR(34)),$G674)),ISNUMBER(SEARCH(_xlfn.CONCAT(CHAR(34),CHAR(39)),$G674))),_xlfn.CONCAT("* REVIEW REQUIRED: compound-quote delimiter in Universe on Sheet 1 row ",674,"; edit the input before running."),_xlfn.CONCAT("char ",TRIM($B674),"[doc_universe] ",CHAR(96),CHAR(34),SUBSTITUTE(SUBSTITUTE(SUBSTITUTE(SUBSTITUTE(SUBSTITUTE(SUBSTITUTE($G674,CHAR(13)," "),CHAR(10)," "),CHAR(9)," "),CHAR(92),_xlfn.CONCAT(CHAR(92),CHAR(92))),"$",_xlfn.CONCAT(CHAR(92),"$")),CHAR(96),_xlfn.CONCAT(CHAR(92),CHAR(96))),CHAR(34),CHAR(39))))</f>
        <v/>
      </c>
      <c r="R674" s="5" t="str">
        <f>IF(OR(TRIM($B674)="",$H674=""),"",IF(OR(ISNUMBER(SEARCH(_xlfn.CONCAT(CHAR(96),CHAR(34)),$H674)),ISNUMBER(SEARCH(_xlfn.CONCAT(CHAR(34),CHAR(39)),$H674))),_xlfn.CONCAT("* REVIEW REQUIRED: compound-quote delimiter in Source on Sheet 1 row ",674,"; edit the input before running."),_xlfn.CONCAT("char ",TRIM($B674),"[doc_source] ",CHAR(96),CHAR(34),SUBSTITUTE(SUBSTITUTE(SUBSTITUTE(SUBSTITUTE(SUBSTITUTE(SUBSTITUTE($H674,CHAR(13)," "),CHAR(10)," "),CHAR(9)," "),CHAR(92),_xlfn.CONCAT(CHAR(92),CHAR(92))),"$",_xlfn.CONCAT(CHAR(92),"$")),CHAR(96),_xlfn.CONCAT(CHAR(92),CHAR(96))),CHAR(34),CHAR(39))))</f>
        <v/>
      </c>
      <c r="S674" s="5" t="str">
        <f>IF(OR(TRIM($B674)="",$I674=""),"",IF(OR(ISNUMBER(SEARCH(_xlfn.CONCAT(CHAR(96),CHAR(34)),$I674)),ISNUMBER(SEARCH(_xlfn.CONCAT(CHAR(34),CHAR(39)),$I674))),_xlfn.CONCAT("* REVIEW REQUIRED: compound-quote delimiter in Derivation on Sheet 1 row ",674,"; edit the input before running."),_xlfn.CONCAT("char ",TRIM($B674),"[doc_derivation] ",CHAR(96),CHAR(34),SUBSTITUTE(SUBSTITUTE(SUBSTITUTE(SUBSTITUTE(SUBSTITUTE(SUBSTITUTE($I674,CHAR(13)," "),CHAR(10)," "),CHAR(9)," "),CHAR(92),_xlfn.CONCAT(CHAR(92),CHAR(92))),"$",_xlfn.CONCAT(CHAR(92),"$")),CHAR(96),_xlfn.CONCAT(CHAR(92),CHAR(96))),CHAR(34),CHAR(39))))</f>
        <v/>
      </c>
      <c r="T674" s="5" t="str">
        <f>IF(OR(TRIM($B674)="",$J674=""),"",IF(OR(ISNUMBER(SEARCH(_xlfn.CONCAT(CHAR(96),CHAR(34)),$J674)),ISNUMBER(SEARCH(_xlfn.CONCAT(CHAR(34),CHAR(39)),$J674))),_xlfn.CONCAT("* REVIEW REQUIRED: compound-quote delimiter in Notes on Sheet 1 row ",674,"; edit the input before running."),_xlfn.CONCAT("char ",TRIM($B674),"[doc_notes] ",CHAR(96),CHAR(34),SUBSTITUTE(SUBSTITUTE(SUBSTITUTE(SUBSTITUTE(SUBSTITUTE(SUBSTITUTE($J674,CHAR(13)," "),CHAR(10)," "),CHAR(9)," "),CHAR(92),_xlfn.CONCAT(CHAR(92),CHAR(92))),"$",_xlfn.CONCAT(CHAR(92),"$")),CHAR(96),_xlfn.CONCAT(CHAR(92),CHAR(96))),CHAR(34),CHAR(39))))</f>
        <v/>
      </c>
      <c r="U674" s="5">
        <f t="shared" si="21"/>
        <v>0</v>
      </c>
    </row>
    <row r="675" spans="3:21" ht="30" customHeight="1" x14ac:dyDescent="0.2">
      <c r="C675" s="4"/>
      <c r="K675" s="5">
        <f t="shared" si="20"/>
        <v>0</v>
      </c>
      <c r="L675" s="5" t="str">
        <f>IF(OR(TRIM($B675)="",$A675=""),"",IF(OR(ISNUMBER(SEARCH(_xlfn.CONCAT(CHAR(96),CHAR(34)),$A675)),ISNUMBER(SEARCH(_xlfn.CONCAT(CHAR(34),CHAR(39)),$A675))),_xlfn.CONCAT("* REVIEW REQUIRED: compound-quote delimiter in Codebook Section on Sheet 1 row ",675,"; edit the input before running."),_xlfn.CONCAT("char ",TRIM($B675),"[doc_section] ",CHAR(96),CHAR(34),SUBSTITUTE(SUBSTITUTE(SUBSTITUTE(SUBSTITUTE(SUBSTITUTE(SUBSTITUTE($A675,CHAR(13)," "),CHAR(10)," "),CHAR(9)," "),CHAR(92),_xlfn.CONCAT(CHAR(92),CHAR(92))),"$",_xlfn.CONCAT(CHAR(92),"$")),CHAR(96),_xlfn.CONCAT(CHAR(92),CHAR(96))),CHAR(34),CHAR(39))))</f>
        <v/>
      </c>
      <c r="M675" s="5" t="str">
        <f>IF(OR(TRIM($B675)="",$C675=""),"",IF(IFERROR(MATCH(TRIM($C675),{"Quantitative","Continuous","Discrete","Categorical","Nominal","Ordinal","Identifier"},0),0)=0,_xlfn.CONCAT("* REVIEW REQUIRED: invalid Variable Type on Sheet 1 row ",675,"."),_xlfn.CONCAT("char ",TRIM($B675),"[doc_vartype] ",CHAR(96),CHAR(34),SUBSTITUTE(SUBSTITUTE(SUBSTITUTE(SUBSTITUTE(SUBSTITUTE(SUBSTITUTE(LOWER(TRIM($C675)),CHAR(13)," "),CHAR(10)," "),CHAR(9)," "),CHAR(92),_xlfn.CONCAT(CHAR(92),CHAR(92))),"$",_xlfn.CONCAT(CHAR(92),"$")),CHAR(96),_xlfn.CONCAT(CHAR(92),CHAR(96))),CHAR(34),CHAR(39))))</f>
        <v/>
      </c>
      <c r="N675" s="5" t="str">
        <f>IF(OR(TRIM($B675)="",$D675=""),"",IF(OR(ISNUMBER(SEARCH(_xlfn.CONCAT(CHAR(96),CHAR(34)),$D675)),ISNUMBER(SEARCH(_xlfn.CONCAT(CHAR(34),CHAR(39)),$D675))),_xlfn.CONCAT("* REVIEW REQUIRED: compound-quote delimiter in Item Number on Sheet 1 row ",675,"; edit the input before running."),_xlfn.CONCAT("char ",TRIM($B675),"[doc_itemnum] ",CHAR(96),CHAR(34),SUBSTITUTE(SUBSTITUTE(SUBSTITUTE(SUBSTITUTE(SUBSTITUTE(SUBSTITUTE($D675,CHAR(13)," "),CHAR(10)," "),CHAR(9)," "),CHAR(92),_xlfn.CONCAT(CHAR(92),CHAR(92))),"$",_xlfn.CONCAT(CHAR(92),"$")),CHAR(96),_xlfn.CONCAT(CHAR(92),CHAR(96))),CHAR(34),CHAR(39))))</f>
        <v/>
      </c>
      <c r="O675" s="5" t="str">
        <f>IF(OR(TRIM($B675)="",$E675=""),"",IF(OR(ISNUMBER(SEARCH(_xlfn.CONCAT(CHAR(96),CHAR(34)),$E675)),ISNUMBER(SEARCH(_xlfn.CONCAT(CHAR(34),CHAR(39)),$E675))),_xlfn.CONCAT("* REVIEW REQUIRED: compound-quote delimiter in Question Wording on Sheet 1 row ",675,"; edit the input before running."),_xlfn.CONCAT("char ",TRIM($B675),"[doc_question] ",CHAR(96),CHAR(34),SUBSTITUTE(SUBSTITUTE(SUBSTITUTE(SUBSTITUTE(SUBSTITUTE(SUBSTITUTE($E675,CHAR(13)," "),CHAR(10)," "),CHAR(9)," "),CHAR(92),_xlfn.CONCAT(CHAR(92),CHAR(92))),"$",_xlfn.CONCAT(CHAR(92),"$")),CHAR(96),_xlfn.CONCAT(CHAR(92),CHAR(96))),CHAR(34),CHAR(39))))</f>
        <v/>
      </c>
      <c r="P675" s="5" t="str">
        <f>IF(OR(TRIM($B675)="",$F675=""),"",IF(OR(ISNUMBER(SEARCH(_xlfn.CONCAT(CHAR(96),CHAR(34)),$F675)),ISNUMBER(SEARCH(_xlfn.CONCAT(CHAR(34),CHAR(39)),$F675))),_xlfn.CONCAT("* REVIEW REQUIRED: compound-quote delimiter in Units on Sheet 1 row ",675,"; edit the input before running."),_xlfn.CONCAT("char ",TRIM($B675),"[doc_units] ",CHAR(96),CHAR(34),SUBSTITUTE(SUBSTITUTE(SUBSTITUTE(SUBSTITUTE(SUBSTITUTE(SUBSTITUTE($F675,CHAR(13)," "),CHAR(10)," "),CHAR(9)," "),CHAR(92),_xlfn.CONCAT(CHAR(92),CHAR(92))),"$",_xlfn.CONCAT(CHAR(92),"$")),CHAR(96),_xlfn.CONCAT(CHAR(92),CHAR(96))),CHAR(34),CHAR(39))))</f>
        <v/>
      </c>
      <c r="Q675" s="5" t="str">
        <f>IF(OR(TRIM($B675)="",$G675=""),"",IF(OR(ISNUMBER(SEARCH(_xlfn.CONCAT(CHAR(96),CHAR(34)),$G675)),ISNUMBER(SEARCH(_xlfn.CONCAT(CHAR(34),CHAR(39)),$G675))),_xlfn.CONCAT("* REVIEW REQUIRED: compound-quote delimiter in Universe on Sheet 1 row ",675,"; edit the input before running."),_xlfn.CONCAT("char ",TRIM($B675),"[doc_universe] ",CHAR(96),CHAR(34),SUBSTITUTE(SUBSTITUTE(SUBSTITUTE(SUBSTITUTE(SUBSTITUTE(SUBSTITUTE($G675,CHAR(13)," "),CHAR(10)," "),CHAR(9)," "),CHAR(92),_xlfn.CONCAT(CHAR(92),CHAR(92))),"$",_xlfn.CONCAT(CHAR(92),"$")),CHAR(96),_xlfn.CONCAT(CHAR(92),CHAR(96))),CHAR(34),CHAR(39))))</f>
        <v/>
      </c>
      <c r="R675" s="5" t="str">
        <f>IF(OR(TRIM($B675)="",$H675=""),"",IF(OR(ISNUMBER(SEARCH(_xlfn.CONCAT(CHAR(96),CHAR(34)),$H675)),ISNUMBER(SEARCH(_xlfn.CONCAT(CHAR(34),CHAR(39)),$H675))),_xlfn.CONCAT("* REVIEW REQUIRED: compound-quote delimiter in Source on Sheet 1 row ",675,"; edit the input before running."),_xlfn.CONCAT("char ",TRIM($B675),"[doc_source] ",CHAR(96),CHAR(34),SUBSTITUTE(SUBSTITUTE(SUBSTITUTE(SUBSTITUTE(SUBSTITUTE(SUBSTITUTE($H675,CHAR(13)," "),CHAR(10)," "),CHAR(9)," "),CHAR(92),_xlfn.CONCAT(CHAR(92),CHAR(92))),"$",_xlfn.CONCAT(CHAR(92),"$")),CHAR(96),_xlfn.CONCAT(CHAR(92),CHAR(96))),CHAR(34),CHAR(39))))</f>
        <v/>
      </c>
      <c r="S675" s="5" t="str">
        <f>IF(OR(TRIM($B675)="",$I675=""),"",IF(OR(ISNUMBER(SEARCH(_xlfn.CONCAT(CHAR(96),CHAR(34)),$I675)),ISNUMBER(SEARCH(_xlfn.CONCAT(CHAR(34),CHAR(39)),$I675))),_xlfn.CONCAT("* REVIEW REQUIRED: compound-quote delimiter in Derivation on Sheet 1 row ",675,"; edit the input before running."),_xlfn.CONCAT("char ",TRIM($B675),"[doc_derivation] ",CHAR(96),CHAR(34),SUBSTITUTE(SUBSTITUTE(SUBSTITUTE(SUBSTITUTE(SUBSTITUTE(SUBSTITUTE($I675,CHAR(13)," "),CHAR(10)," "),CHAR(9)," "),CHAR(92),_xlfn.CONCAT(CHAR(92),CHAR(92))),"$",_xlfn.CONCAT(CHAR(92),"$")),CHAR(96),_xlfn.CONCAT(CHAR(92),CHAR(96))),CHAR(34),CHAR(39))))</f>
        <v/>
      </c>
      <c r="T675" s="5" t="str">
        <f>IF(OR(TRIM($B675)="",$J675=""),"",IF(OR(ISNUMBER(SEARCH(_xlfn.CONCAT(CHAR(96),CHAR(34)),$J675)),ISNUMBER(SEARCH(_xlfn.CONCAT(CHAR(34),CHAR(39)),$J675))),_xlfn.CONCAT("* REVIEW REQUIRED: compound-quote delimiter in Notes on Sheet 1 row ",675,"; edit the input before running."),_xlfn.CONCAT("char ",TRIM($B675),"[doc_notes] ",CHAR(96),CHAR(34),SUBSTITUTE(SUBSTITUTE(SUBSTITUTE(SUBSTITUTE(SUBSTITUTE(SUBSTITUTE($J675,CHAR(13)," "),CHAR(10)," "),CHAR(9)," "),CHAR(92),_xlfn.CONCAT(CHAR(92),CHAR(92))),"$",_xlfn.CONCAT(CHAR(92),"$")),CHAR(96),_xlfn.CONCAT(CHAR(92),CHAR(96))),CHAR(34),CHAR(39))))</f>
        <v/>
      </c>
      <c r="U675" s="5">
        <f t="shared" si="21"/>
        <v>0</v>
      </c>
    </row>
    <row r="676" spans="3:21" ht="30" customHeight="1" x14ac:dyDescent="0.2">
      <c r="C676" s="4"/>
      <c r="K676" s="5">
        <f t="shared" si="20"/>
        <v>0</v>
      </c>
      <c r="L676" s="5" t="str">
        <f>IF(OR(TRIM($B676)="",$A676=""),"",IF(OR(ISNUMBER(SEARCH(_xlfn.CONCAT(CHAR(96),CHAR(34)),$A676)),ISNUMBER(SEARCH(_xlfn.CONCAT(CHAR(34),CHAR(39)),$A676))),_xlfn.CONCAT("* REVIEW REQUIRED: compound-quote delimiter in Codebook Section on Sheet 1 row ",676,"; edit the input before running."),_xlfn.CONCAT("char ",TRIM($B676),"[doc_section] ",CHAR(96),CHAR(34),SUBSTITUTE(SUBSTITUTE(SUBSTITUTE(SUBSTITUTE(SUBSTITUTE(SUBSTITUTE($A676,CHAR(13)," "),CHAR(10)," "),CHAR(9)," "),CHAR(92),_xlfn.CONCAT(CHAR(92),CHAR(92))),"$",_xlfn.CONCAT(CHAR(92),"$")),CHAR(96),_xlfn.CONCAT(CHAR(92),CHAR(96))),CHAR(34),CHAR(39))))</f>
        <v/>
      </c>
      <c r="M676" s="5" t="str">
        <f>IF(OR(TRIM($B676)="",$C676=""),"",IF(IFERROR(MATCH(TRIM($C676),{"Quantitative","Continuous","Discrete","Categorical","Nominal","Ordinal","Identifier"},0),0)=0,_xlfn.CONCAT("* REVIEW REQUIRED: invalid Variable Type on Sheet 1 row ",676,"."),_xlfn.CONCAT("char ",TRIM($B676),"[doc_vartype] ",CHAR(96),CHAR(34),SUBSTITUTE(SUBSTITUTE(SUBSTITUTE(SUBSTITUTE(SUBSTITUTE(SUBSTITUTE(LOWER(TRIM($C676)),CHAR(13)," "),CHAR(10)," "),CHAR(9)," "),CHAR(92),_xlfn.CONCAT(CHAR(92),CHAR(92))),"$",_xlfn.CONCAT(CHAR(92),"$")),CHAR(96),_xlfn.CONCAT(CHAR(92),CHAR(96))),CHAR(34),CHAR(39))))</f>
        <v/>
      </c>
      <c r="N676" s="5" t="str">
        <f>IF(OR(TRIM($B676)="",$D676=""),"",IF(OR(ISNUMBER(SEARCH(_xlfn.CONCAT(CHAR(96),CHAR(34)),$D676)),ISNUMBER(SEARCH(_xlfn.CONCAT(CHAR(34),CHAR(39)),$D676))),_xlfn.CONCAT("* REVIEW REQUIRED: compound-quote delimiter in Item Number on Sheet 1 row ",676,"; edit the input before running."),_xlfn.CONCAT("char ",TRIM($B676),"[doc_itemnum] ",CHAR(96),CHAR(34),SUBSTITUTE(SUBSTITUTE(SUBSTITUTE(SUBSTITUTE(SUBSTITUTE(SUBSTITUTE($D676,CHAR(13)," "),CHAR(10)," "),CHAR(9)," "),CHAR(92),_xlfn.CONCAT(CHAR(92),CHAR(92))),"$",_xlfn.CONCAT(CHAR(92),"$")),CHAR(96),_xlfn.CONCAT(CHAR(92),CHAR(96))),CHAR(34),CHAR(39))))</f>
        <v/>
      </c>
      <c r="O676" s="5" t="str">
        <f>IF(OR(TRIM($B676)="",$E676=""),"",IF(OR(ISNUMBER(SEARCH(_xlfn.CONCAT(CHAR(96),CHAR(34)),$E676)),ISNUMBER(SEARCH(_xlfn.CONCAT(CHAR(34),CHAR(39)),$E676))),_xlfn.CONCAT("* REVIEW REQUIRED: compound-quote delimiter in Question Wording on Sheet 1 row ",676,"; edit the input before running."),_xlfn.CONCAT("char ",TRIM($B676),"[doc_question] ",CHAR(96),CHAR(34),SUBSTITUTE(SUBSTITUTE(SUBSTITUTE(SUBSTITUTE(SUBSTITUTE(SUBSTITUTE($E676,CHAR(13)," "),CHAR(10)," "),CHAR(9)," "),CHAR(92),_xlfn.CONCAT(CHAR(92),CHAR(92))),"$",_xlfn.CONCAT(CHAR(92),"$")),CHAR(96),_xlfn.CONCAT(CHAR(92),CHAR(96))),CHAR(34),CHAR(39))))</f>
        <v/>
      </c>
      <c r="P676" s="5" t="str">
        <f>IF(OR(TRIM($B676)="",$F676=""),"",IF(OR(ISNUMBER(SEARCH(_xlfn.CONCAT(CHAR(96),CHAR(34)),$F676)),ISNUMBER(SEARCH(_xlfn.CONCAT(CHAR(34),CHAR(39)),$F676))),_xlfn.CONCAT("* REVIEW REQUIRED: compound-quote delimiter in Units on Sheet 1 row ",676,"; edit the input before running."),_xlfn.CONCAT("char ",TRIM($B676),"[doc_units] ",CHAR(96),CHAR(34),SUBSTITUTE(SUBSTITUTE(SUBSTITUTE(SUBSTITUTE(SUBSTITUTE(SUBSTITUTE($F676,CHAR(13)," "),CHAR(10)," "),CHAR(9)," "),CHAR(92),_xlfn.CONCAT(CHAR(92),CHAR(92))),"$",_xlfn.CONCAT(CHAR(92),"$")),CHAR(96),_xlfn.CONCAT(CHAR(92),CHAR(96))),CHAR(34),CHAR(39))))</f>
        <v/>
      </c>
      <c r="Q676" s="5" t="str">
        <f>IF(OR(TRIM($B676)="",$G676=""),"",IF(OR(ISNUMBER(SEARCH(_xlfn.CONCAT(CHAR(96),CHAR(34)),$G676)),ISNUMBER(SEARCH(_xlfn.CONCAT(CHAR(34),CHAR(39)),$G676))),_xlfn.CONCAT("* REVIEW REQUIRED: compound-quote delimiter in Universe on Sheet 1 row ",676,"; edit the input before running."),_xlfn.CONCAT("char ",TRIM($B676),"[doc_universe] ",CHAR(96),CHAR(34),SUBSTITUTE(SUBSTITUTE(SUBSTITUTE(SUBSTITUTE(SUBSTITUTE(SUBSTITUTE($G676,CHAR(13)," "),CHAR(10)," "),CHAR(9)," "),CHAR(92),_xlfn.CONCAT(CHAR(92),CHAR(92))),"$",_xlfn.CONCAT(CHAR(92),"$")),CHAR(96),_xlfn.CONCAT(CHAR(92),CHAR(96))),CHAR(34),CHAR(39))))</f>
        <v/>
      </c>
      <c r="R676" s="5" t="str">
        <f>IF(OR(TRIM($B676)="",$H676=""),"",IF(OR(ISNUMBER(SEARCH(_xlfn.CONCAT(CHAR(96),CHAR(34)),$H676)),ISNUMBER(SEARCH(_xlfn.CONCAT(CHAR(34),CHAR(39)),$H676))),_xlfn.CONCAT("* REVIEW REQUIRED: compound-quote delimiter in Source on Sheet 1 row ",676,"; edit the input before running."),_xlfn.CONCAT("char ",TRIM($B676),"[doc_source] ",CHAR(96),CHAR(34),SUBSTITUTE(SUBSTITUTE(SUBSTITUTE(SUBSTITUTE(SUBSTITUTE(SUBSTITUTE($H676,CHAR(13)," "),CHAR(10)," "),CHAR(9)," "),CHAR(92),_xlfn.CONCAT(CHAR(92),CHAR(92))),"$",_xlfn.CONCAT(CHAR(92),"$")),CHAR(96),_xlfn.CONCAT(CHAR(92),CHAR(96))),CHAR(34),CHAR(39))))</f>
        <v/>
      </c>
      <c r="S676" s="5" t="str">
        <f>IF(OR(TRIM($B676)="",$I676=""),"",IF(OR(ISNUMBER(SEARCH(_xlfn.CONCAT(CHAR(96),CHAR(34)),$I676)),ISNUMBER(SEARCH(_xlfn.CONCAT(CHAR(34),CHAR(39)),$I676))),_xlfn.CONCAT("* REVIEW REQUIRED: compound-quote delimiter in Derivation on Sheet 1 row ",676,"; edit the input before running."),_xlfn.CONCAT("char ",TRIM($B676),"[doc_derivation] ",CHAR(96),CHAR(34),SUBSTITUTE(SUBSTITUTE(SUBSTITUTE(SUBSTITUTE(SUBSTITUTE(SUBSTITUTE($I676,CHAR(13)," "),CHAR(10)," "),CHAR(9)," "),CHAR(92),_xlfn.CONCAT(CHAR(92),CHAR(92))),"$",_xlfn.CONCAT(CHAR(92),"$")),CHAR(96),_xlfn.CONCAT(CHAR(92),CHAR(96))),CHAR(34),CHAR(39))))</f>
        <v/>
      </c>
      <c r="T676" s="5" t="str">
        <f>IF(OR(TRIM($B676)="",$J676=""),"",IF(OR(ISNUMBER(SEARCH(_xlfn.CONCAT(CHAR(96),CHAR(34)),$J676)),ISNUMBER(SEARCH(_xlfn.CONCAT(CHAR(34),CHAR(39)),$J676))),_xlfn.CONCAT("* REVIEW REQUIRED: compound-quote delimiter in Notes on Sheet 1 row ",676,"; edit the input before running."),_xlfn.CONCAT("char ",TRIM($B676),"[doc_notes] ",CHAR(96),CHAR(34),SUBSTITUTE(SUBSTITUTE(SUBSTITUTE(SUBSTITUTE(SUBSTITUTE(SUBSTITUTE($J676,CHAR(13)," "),CHAR(10)," "),CHAR(9)," "),CHAR(92),_xlfn.CONCAT(CHAR(92),CHAR(92))),"$",_xlfn.CONCAT(CHAR(92),"$")),CHAR(96),_xlfn.CONCAT(CHAR(92),CHAR(96))),CHAR(34),CHAR(39))))</f>
        <v/>
      </c>
      <c r="U676" s="5">
        <f t="shared" si="21"/>
        <v>0</v>
      </c>
    </row>
    <row r="677" spans="3:21" ht="30" customHeight="1" x14ac:dyDescent="0.2">
      <c r="C677" s="4"/>
      <c r="K677" s="5">
        <f t="shared" si="20"/>
        <v>0</v>
      </c>
      <c r="L677" s="5" t="str">
        <f>IF(OR(TRIM($B677)="",$A677=""),"",IF(OR(ISNUMBER(SEARCH(_xlfn.CONCAT(CHAR(96),CHAR(34)),$A677)),ISNUMBER(SEARCH(_xlfn.CONCAT(CHAR(34),CHAR(39)),$A677))),_xlfn.CONCAT("* REVIEW REQUIRED: compound-quote delimiter in Codebook Section on Sheet 1 row ",677,"; edit the input before running."),_xlfn.CONCAT("char ",TRIM($B677),"[doc_section] ",CHAR(96),CHAR(34),SUBSTITUTE(SUBSTITUTE(SUBSTITUTE(SUBSTITUTE(SUBSTITUTE(SUBSTITUTE($A677,CHAR(13)," "),CHAR(10)," "),CHAR(9)," "),CHAR(92),_xlfn.CONCAT(CHAR(92),CHAR(92))),"$",_xlfn.CONCAT(CHAR(92),"$")),CHAR(96),_xlfn.CONCAT(CHAR(92),CHAR(96))),CHAR(34),CHAR(39))))</f>
        <v/>
      </c>
      <c r="M677" s="5" t="str">
        <f>IF(OR(TRIM($B677)="",$C677=""),"",IF(IFERROR(MATCH(TRIM($C677),{"Quantitative","Continuous","Discrete","Categorical","Nominal","Ordinal","Identifier"},0),0)=0,_xlfn.CONCAT("* REVIEW REQUIRED: invalid Variable Type on Sheet 1 row ",677,"."),_xlfn.CONCAT("char ",TRIM($B677),"[doc_vartype] ",CHAR(96),CHAR(34),SUBSTITUTE(SUBSTITUTE(SUBSTITUTE(SUBSTITUTE(SUBSTITUTE(SUBSTITUTE(LOWER(TRIM($C677)),CHAR(13)," "),CHAR(10)," "),CHAR(9)," "),CHAR(92),_xlfn.CONCAT(CHAR(92),CHAR(92))),"$",_xlfn.CONCAT(CHAR(92),"$")),CHAR(96),_xlfn.CONCAT(CHAR(92),CHAR(96))),CHAR(34),CHAR(39))))</f>
        <v/>
      </c>
      <c r="N677" s="5" t="str">
        <f>IF(OR(TRIM($B677)="",$D677=""),"",IF(OR(ISNUMBER(SEARCH(_xlfn.CONCAT(CHAR(96),CHAR(34)),$D677)),ISNUMBER(SEARCH(_xlfn.CONCAT(CHAR(34),CHAR(39)),$D677))),_xlfn.CONCAT("* REVIEW REQUIRED: compound-quote delimiter in Item Number on Sheet 1 row ",677,"; edit the input before running."),_xlfn.CONCAT("char ",TRIM($B677),"[doc_itemnum] ",CHAR(96),CHAR(34),SUBSTITUTE(SUBSTITUTE(SUBSTITUTE(SUBSTITUTE(SUBSTITUTE(SUBSTITUTE($D677,CHAR(13)," "),CHAR(10)," "),CHAR(9)," "),CHAR(92),_xlfn.CONCAT(CHAR(92),CHAR(92))),"$",_xlfn.CONCAT(CHAR(92),"$")),CHAR(96),_xlfn.CONCAT(CHAR(92),CHAR(96))),CHAR(34),CHAR(39))))</f>
        <v/>
      </c>
      <c r="O677" s="5" t="str">
        <f>IF(OR(TRIM($B677)="",$E677=""),"",IF(OR(ISNUMBER(SEARCH(_xlfn.CONCAT(CHAR(96),CHAR(34)),$E677)),ISNUMBER(SEARCH(_xlfn.CONCAT(CHAR(34),CHAR(39)),$E677))),_xlfn.CONCAT("* REVIEW REQUIRED: compound-quote delimiter in Question Wording on Sheet 1 row ",677,"; edit the input before running."),_xlfn.CONCAT("char ",TRIM($B677),"[doc_question] ",CHAR(96),CHAR(34),SUBSTITUTE(SUBSTITUTE(SUBSTITUTE(SUBSTITUTE(SUBSTITUTE(SUBSTITUTE($E677,CHAR(13)," "),CHAR(10)," "),CHAR(9)," "),CHAR(92),_xlfn.CONCAT(CHAR(92),CHAR(92))),"$",_xlfn.CONCAT(CHAR(92),"$")),CHAR(96),_xlfn.CONCAT(CHAR(92),CHAR(96))),CHAR(34),CHAR(39))))</f>
        <v/>
      </c>
      <c r="P677" s="5" t="str">
        <f>IF(OR(TRIM($B677)="",$F677=""),"",IF(OR(ISNUMBER(SEARCH(_xlfn.CONCAT(CHAR(96),CHAR(34)),$F677)),ISNUMBER(SEARCH(_xlfn.CONCAT(CHAR(34),CHAR(39)),$F677))),_xlfn.CONCAT("* REVIEW REQUIRED: compound-quote delimiter in Units on Sheet 1 row ",677,"; edit the input before running."),_xlfn.CONCAT("char ",TRIM($B677),"[doc_units] ",CHAR(96),CHAR(34),SUBSTITUTE(SUBSTITUTE(SUBSTITUTE(SUBSTITUTE(SUBSTITUTE(SUBSTITUTE($F677,CHAR(13)," "),CHAR(10)," "),CHAR(9)," "),CHAR(92),_xlfn.CONCAT(CHAR(92),CHAR(92))),"$",_xlfn.CONCAT(CHAR(92),"$")),CHAR(96),_xlfn.CONCAT(CHAR(92),CHAR(96))),CHAR(34),CHAR(39))))</f>
        <v/>
      </c>
      <c r="Q677" s="5" t="str">
        <f>IF(OR(TRIM($B677)="",$G677=""),"",IF(OR(ISNUMBER(SEARCH(_xlfn.CONCAT(CHAR(96),CHAR(34)),$G677)),ISNUMBER(SEARCH(_xlfn.CONCAT(CHAR(34),CHAR(39)),$G677))),_xlfn.CONCAT("* REVIEW REQUIRED: compound-quote delimiter in Universe on Sheet 1 row ",677,"; edit the input before running."),_xlfn.CONCAT("char ",TRIM($B677),"[doc_universe] ",CHAR(96),CHAR(34),SUBSTITUTE(SUBSTITUTE(SUBSTITUTE(SUBSTITUTE(SUBSTITUTE(SUBSTITUTE($G677,CHAR(13)," "),CHAR(10)," "),CHAR(9)," "),CHAR(92),_xlfn.CONCAT(CHAR(92),CHAR(92))),"$",_xlfn.CONCAT(CHAR(92),"$")),CHAR(96),_xlfn.CONCAT(CHAR(92),CHAR(96))),CHAR(34),CHAR(39))))</f>
        <v/>
      </c>
      <c r="R677" s="5" t="str">
        <f>IF(OR(TRIM($B677)="",$H677=""),"",IF(OR(ISNUMBER(SEARCH(_xlfn.CONCAT(CHAR(96),CHAR(34)),$H677)),ISNUMBER(SEARCH(_xlfn.CONCAT(CHAR(34),CHAR(39)),$H677))),_xlfn.CONCAT("* REVIEW REQUIRED: compound-quote delimiter in Source on Sheet 1 row ",677,"; edit the input before running."),_xlfn.CONCAT("char ",TRIM($B677),"[doc_source] ",CHAR(96),CHAR(34),SUBSTITUTE(SUBSTITUTE(SUBSTITUTE(SUBSTITUTE(SUBSTITUTE(SUBSTITUTE($H677,CHAR(13)," "),CHAR(10)," "),CHAR(9)," "),CHAR(92),_xlfn.CONCAT(CHAR(92),CHAR(92))),"$",_xlfn.CONCAT(CHAR(92),"$")),CHAR(96),_xlfn.CONCAT(CHAR(92),CHAR(96))),CHAR(34),CHAR(39))))</f>
        <v/>
      </c>
      <c r="S677" s="5" t="str">
        <f>IF(OR(TRIM($B677)="",$I677=""),"",IF(OR(ISNUMBER(SEARCH(_xlfn.CONCAT(CHAR(96),CHAR(34)),$I677)),ISNUMBER(SEARCH(_xlfn.CONCAT(CHAR(34),CHAR(39)),$I677))),_xlfn.CONCAT("* REVIEW REQUIRED: compound-quote delimiter in Derivation on Sheet 1 row ",677,"; edit the input before running."),_xlfn.CONCAT("char ",TRIM($B677),"[doc_derivation] ",CHAR(96),CHAR(34),SUBSTITUTE(SUBSTITUTE(SUBSTITUTE(SUBSTITUTE(SUBSTITUTE(SUBSTITUTE($I677,CHAR(13)," "),CHAR(10)," "),CHAR(9)," "),CHAR(92),_xlfn.CONCAT(CHAR(92),CHAR(92))),"$",_xlfn.CONCAT(CHAR(92),"$")),CHAR(96),_xlfn.CONCAT(CHAR(92),CHAR(96))),CHAR(34),CHAR(39))))</f>
        <v/>
      </c>
      <c r="T677" s="5" t="str">
        <f>IF(OR(TRIM($B677)="",$J677=""),"",IF(OR(ISNUMBER(SEARCH(_xlfn.CONCAT(CHAR(96),CHAR(34)),$J677)),ISNUMBER(SEARCH(_xlfn.CONCAT(CHAR(34),CHAR(39)),$J677))),_xlfn.CONCAT("* REVIEW REQUIRED: compound-quote delimiter in Notes on Sheet 1 row ",677,"; edit the input before running."),_xlfn.CONCAT("char ",TRIM($B677),"[doc_notes] ",CHAR(96),CHAR(34),SUBSTITUTE(SUBSTITUTE(SUBSTITUTE(SUBSTITUTE(SUBSTITUTE(SUBSTITUTE($J677,CHAR(13)," "),CHAR(10)," "),CHAR(9)," "),CHAR(92),_xlfn.CONCAT(CHAR(92),CHAR(92))),"$",_xlfn.CONCAT(CHAR(92),"$")),CHAR(96),_xlfn.CONCAT(CHAR(92),CHAR(96))),CHAR(34),CHAR(39))))</f>
        <v/>
      </c>
      <c r="U677" s="5">
        <f t="shared" si="21"/>
        <v>0</v>
      </c>
    </row>
    <row r="678" spans="3:21" ht="30" customHeight="1" x14ac:dyDescent="0.2">
      <c r="C678" s="4"/>
      <c r="K678" s="5">
        <f t="shared" si="20"/>
        <v>0</v>
      </c>
      <c r="L678" s="5" t="str">
        <f>IF(OR(TRIM($B678)="",$A678=""),"",IF(OR(ISNUMBER(SEARCH(_xlfn.CONCAT(CHAR(96),CHAR(34)),$A678)),ISNUMBER(SEARCH(_xlfn.CONCAT(CHAR(34),CHAR(39)),$A678))),_xlfn.CONCAT("* REVIEW REQUIRED: compound-quote delimiter in Codebook Section on Sheet 1 row ",678,"; edit the input before running."),_xlfn.CONCAT("char ",TRIM($B678),"[doc_section] ",CHAR(96),CHAR(34),SUBSTITUTE(SUBSTITUTE(SUBSTITUTE(SUBSTITUTE(SUBSTITUTE(SUBSTITUTE($A678,CHAR(13)," "),CHAR(10)," "),CHAR(9)," "),CHAR(92),_xlfn.CONCAT(CHAR(92),CHAR(92))),"$",_xlfn.CONCAT(CHAR(92),"$")),CHAR(96),_xlfn.CONCAT(CHAR(92),CHAR(96))),CHAR(34),CHAR(39))))</f>
        <v/>
      </c>
      <c r="M678" s="5" t="str">
        <f>IF(OR(TRIM($B678)="",$C678=""),"",IF(IFERROR(MATCH(TRIM($C678),{"Quantitative","Continuous","Discrete","Categorical","Nominal","Ordinal","Identifier"},0),0)=0,_xlfn.CONCAT("* REVIEW REQUIRED: invalid Variable Type on Sheet 1 row ",678,"."),_xlfn.CONCAT("char ",TRIM($B678),"[doc_vartype] ",CHAR(96),CHAR(34),SUBSTITUTE(SUBSTITUTE(SUBSTITUTE(SUBSTITUTE(SUBSTITUTE(SUBSTITUTE(LOWER(TRIM($C678)),CHAR(13)," "),CHAR(10)," "),CHAR(9)," "),CHAR(92),_xlfn.CONCAT(CHAR(92),CHAR(92))),"$",_xlfn.CONCAT(CHAR(92),"$")),CHAR(96),_xlfn.CONCAT(CHAR(92),CHAR(96))),CHAR(34),CHAR(39))))</f>
        <v/>
      </c>
      <c r="N678" s="5" t="str">
        <f>IF(OR(TRIM($B678)="",$D678=""),"",IF(OR(ISNUMBER(SEARCH(_xlfn.CONCAT(CHAR(96),CHAR(34)),$D678)),ISNUMBER(SEARCH(_xlfn.CONCAT(CHAR(34),CHAR(39)),$D678))),_xlfn.CONCAT("* REVIEW REQUIRED: compound-quote delimiter in Item Number on Sheet 1 row ",678,"; edit the input before running."),_xlfn.CONCAT("char ",TRIM($B678),"[doc_itemnum] ",CHAR(96),CHAR(34),SUBSTITUTE(SUBSTITUTE(SUBSTITUTE(SUBSTITUTE(SUBSTITUTE(SUBSTITUTE($D678,CHAR(13)," "),CHAR(10)," "),CHAR(9)," "),CHAR(92),_xlfn.CONCAT(CHAR(92),CHAR(92))),"$",_xlfn.CONCAT(CHAR(92),"$")),CHAR(96),_xlfn.CONCAT(CHAR(92),CHAR(96))),CHAR(34),CHAR(39))))</f>
        <v/>
      </c>
      <c r="O678" s="5" t="str">
        <f>IF(OR(TRIM($B678)="",$E678=""),"",IF(OR(ISNUMBER(SEARCH(_xlfn.CONCAT(CHAR(96),CHAR(34)),$E678)),ISNUMBER(SEARCH(_xlfn.CONCAT(CHAR(34),CHAR(39)),$E678))),_xlfn.CONCAT("* REVIEW REQUIRED: compound-quote delimiter in Question Wording on Sheet 1 row ",678,"; edit the input before running."),_xlfn.CONCAT("char ",TRIM($B678),"[doc_question] ",CHAR(96),CHAR(34),SUBSTITUTE(SUBSTITUTE(SUBSTITUTE(SUBSTITUTE(SUBSTITUTE(SUBSTITUTE($E678,CHAR(13)," "),CHAR(10)," "),CHAR(9)," "),CHAR(92),_xlfn.CONCAT(CHAR(92),CHAR(92))),"$",_xlfn.CONCAT(CHAR(92),"$")),CHAR(96),_xlfn.CONCAT(CHAR(92),CHAR(96))),CHAR(34),CHAR(39))))</f>
        <v/>
      </c>
      <c r="P678" s="5" t="str">
        <f>IF(OR(TRIM($B678)="",$F678=""),"",IF(OR(ISNUMBER(SEARCH(_xlfn.CONCAT(CHAR(96),CHAR(34)),$F678)),ISNUMBER(SEARCH(_xlfn.CONCAT(CHAR(34),CHAR(39)),$F678))),_xlfn.CONCAT("* REVIEW REQUIRED: compound-quote delimiter in Units on Sheet 1 row ",678,"; edit the input before running."),_xlfn.CONCAT("char ",TRIM($B678),"[doc_units] ",CHAR(96),CHAR(34),SUBSTITUTE(SUBSTITUTE(SUBSTITUTE(SUBSTITUTE(SUBSTITUTE(SUBSTITUTE($F678,CHAR(13)," "),CHAR(10)," "),CHAR(9)," "),CHAR(92),_xlfn.CONCAT(CHAR(92),CHAR(92))),"$",_xlfn.CONCAT(CHAR(92),"$")),CHAR(96),_xlfn.CONCAT(CHAR(92),CHAR(96))),CHAR(34),CHAR(39))))</f>
        <v/>
      </c>
      <c r="Q678" s="5" t="str">
        <f>IF(OR(TRIM($B678)="",$G678=""),"",IF(OR(ISNUMBER(SEARCH(_xlfn.CONCAT(CHAR(96),CHAR(34)),$G678)),ISNUMBER(SEARCH(_xlfn.CONCAT(CHAR(34),CHAR(39)),$G678))),_xlfn.CONCAT("* REVIEW REQUIRED: compound-quote delimiter in Universe on Sheet 1 row ",678,"; edit the input before running."),_xlfn.CONCAT("char ",TRIM($B678),"[doc_universe] ",CHAR(96),CHAR(34),SUBSTITUTE(SUBSTITUTE(SUBSTITUTE(SUBSTITUTE(SUBSTITUTE(SUBSTITUTE($G678,CHAR(13)," "),CHAR(10)," "),CHAR(9)," "),CHAR(92),_xlfn.CONCAT(CHAR(92),CHAR(92))),"$",_xlfn.CONCAT(CHAR(92),"$")),CHAR(96),_xlfn.CONCAT(CHAR(92),CHAR(96))),CHAR(34),CHAR(39))))</f>
        <v/>
      </c>
      <c r="R678" s="5" t="str">
        <f>IF(OR(TRIM($B678)="",$H678=""),"",IF(OR(ISNUMBER(SEARCH(_xlfn.CONCAT(CHAR(96),CHAR(34)),$H678)),ISNUMBER(SEARCH(_xlfn.CONCAT(CHAR(34),CHAR(39)),$H678))),_xlfn.CONCAT("* REVIEW REQUIRED: compound-quote delimiter in Source on Sheet 1 row ",678,"; edit the input before running."),_xlfn.CONCAT("char ",TRIM($B678),"[doc_source] ",CHAR(96),CHAR(34),SUBSTITUTE(SUBSTITUTE(SUBSTITUTE(SUBSTITUTE(SUBSTITUTE(SUBSTITUTE($H678,CHAR(13)," "),CHAR(10)," "),CHAR(9)," "),CHAR(92),_xlfn.CONCAT(CHAR(92),CHAR(92))),"$",_xlfn.CONCAT(CHAR(92),"$")),CHAR(96),_xlfn.CONCAT(CHAR(92),CHAR(96))),CHAR(34),CHAR(39))))</f>
        <v/>
      </c>
      <c r="S678" s="5" t="str">
        <f>IF(OR(TRIM($B678)="",$I678=""),"",IF(OR(ISNUMBER(SEARCH(_xlfn.CONCAT(CHAR(96),CHAR(34)),$I678)),ISNUMBER(SEARCH(_xlfn.CONCAT(CHAR(34),CHAR(39)),$I678))),_xlfn.CONCAT("* REVIEW REQUIRED: compound-quote delimiter in Derivation on Sheet 1 row ",678,"; edit the input before running."),_xlfn.CONCAT("char ",TRIM($B678),"[doc_derivation] ",CHAR(96),CHAR(34),SUBSTITUTE(SUBSTITUTE(SUBSTITUTE(SUBSTITUTE(SUBSTITUTE(SUBSTITUTE($I678,CHAR(13)," "),CHAR(10)," "),CHAR(9)," "),CHAR(92),_xlfn.CONCAT(CHAR(92),CHAR(92))),"$",_xlfn.CONCAT(CHAR(92),"$")),CHAR(96),_xlfn.CONCAT(CHAR(92),CHAR(96))),CHAR(34),CHAR(39))))</f>
        <v/>
      </c>
      <c r="T678" s="5" t="str">
        <f>IF(OR(TRIM($B678)="",$J678=""),"",IF(OR(ISNUMBER(SEARCH(_xlfn.CONCAT(CHAR(96),CHAR(34)),$J678)),ISNUMBER(SEARCH(_xlfn.CONCAT(CHAR(34),CHAR(39)),$J678))),_xlfn.CONCAT("* REVIEW REQUIRED: compound-quote delimiter in Notes on Sheet 1 row ",678,"; edit the input before running."),_xlfn.CONCAT("char ",TRIM($B678),"[doc_notes] ",CHAR(96),CHAR(34),SUBSTITUTE(SUBSTITUTE(SUBSTITUTE(SUBSTITUTE(SUBSTITUTE(SUBSTITUTE($J678,CHAR(13)," "),CHAR(10)," "),CHAR(9)," "),CHAR(92),_xlfn.CONCAT(CHAR(92),CHAR(92))),"$",_xlfn.CONCAT(CHAR(92),"$")),CHAR(96),_xlfn.CONCAT(CHAR(92),CHAR(96))),CHAR(34),CHAR(39))))</f>
        <v/>
      </c>
      <c r="U678" s="5">
        <f t="shared" si="21"/>
        <v>0</v>
      </c>
    </row>
    <row r="679" spans="3:21" ht="30" customHeight="1" x14ac:dyDescent="0.2">
      <c r="C679" s="4"/>
      <c r="K679" s="5">
        <f t="shared" si="20"/>
        <v>0</v>
      </c>
      <c r="L679" s="5" t="str">
        <f>IF(OR(TRIM($B679)="",$A679=""),"",IF(OR(ISNUMBER(SEARCH(_xlfn.CONCAT(CHAR(96),CHAR(34)),$A679)),ISNUMBER(SEARCH(_xlfn.CONCAT(CHAR(34),CHAR(39)),$A679))),_xlfn.CONCAT("* REVIEW REQUIRED: compound-quote delimiter in Codebook Section on Sheet 1 row ",679,"; edit the input before running."),_xlfn.CONCAT("char ",TRIM($B679),"[doc_section] ",CHAR(96),CHAR(34),SUBSTITUTE(SUBSTITUTE(SUBSTITUTE(SUBSTITUTE(SUBSTITUTE(SUBSTITUTE($A679,CHAR(13)," "),CHAR(10)," "),CHAR(9)," "),CHAR(92),_xlfn.CONCAT(CHAR(92),CHAR(92))),"$",_xlfn.CONCAT(CHAR(92),"$")),CHAR(96),_xlfn.CONCAT(CHAR(92),CHAR(96))),CHAR(34),CHAR(39))))</f>
        <v/>
      </c>
      <c r="M679" s="5" t="str">
        <f>IF(OR(TRIM($B679)="",$C679=""),"",IF(IFERROR(MATCH(TRIM($C679),{"Quantitative","Continuous","Discrete","Categorical","Nominal","Ordinal","Identifier"},0),0)=0,_xlfn.CONCAT("* REVIEW REQUIRED: invalid Variable Type on Sheet 1 row ",679,"."),_xlfn.CONCAT("char ",TRIM($B679),"[doc_vartype] ",CHAR(96),CHAR(34),SUBSTITUTE(SUBSTITUTE(SUBSTITUTE(SUBSTITUTE(SUBSTITUTE(SUBSTITUTE(LOWER(TRIM($C679)),CHAR(13)," "),CHAR(10)," "),CHAR(9)," "),CHAR(92),_xlfn.CONCAT(CHAR(92),CHAR(92))),"$",_xlfn.CONCAT(CHAR(92),"$")),CHAR(96),_xlfn.CONCAT(CHAR(92),CHAR(96))),CHAR(34),CHAR(39))))</f>
        <v/>
      </c>
      <c r="N679" s="5" t="str">
        <f>IF(OR(TRIM($B679)="",$D679=""),"",IF(OR(ISNUMBER(SEARCH(_xlfn.CONCAT(CHAR(96),CHAR(34)),$D679)),ISNUMBER(SEARCH(_xlfn.CONCAT(CHAR(34),CHAR(39)),$D679))),_xlfn.CONCAT("* REVIEW REQUIRED: compound-quote delimiter in Item Number on Sheet 1 row ",679,"; edit the input before running."),_xlfn.CONCAT("char ",TRIM($B679),"[doc_itemnum] ",CHAR(96),CHAR(34),SUBSTITUTE(SUBSTITUTE(SUBSTITUTE(SUBSTITUTE(SUBSTITUTE(SUBSTITUTE($D679,CHAR(13)," "),CHAR(10)," "),CHAR(9)," "),CHAR(92),_xlfn.CONCAT(CHAR(92),CHAR(92))),"$",_xlfn.CONCAT(CHAR(92),"$")),CHAR(96),_xlfn.CONCAT(CHAR(92),CHAR(96))),CHAR(34),CHAR(39))))</f>
        <v/>
      </c>
      <c r="O679" s="5" t="str">
        <f>IF(OR(TRIM($B679)="",$E679=""),"",IF(OR(ISNUMBER(SEARCH(_xlfn.CONCAT(CHAR(96),CHAR(34)),$E679)),ISNUMBER(SEARCH(_xlfn.CONCAT(CHAR(34),CHAR(39)),$E679))),_xlfn.CONCAT("* REVIEW REQUIRED: compound-quote delimiter in Question Wording on Sheet 1 row ",679,"; edit the input before running."),_xlfn.CONCAT("char ",TRIM($B679),"[doc_question] ",CHAR(96),CHAR(34),SUBSTITUTE(SUBSTITUTE(SUBSTITUTE(SUBSTITUTE(SUBSTITUTE(SUBSTITUTE($E679,CHAR(13)," "),CHAR(10)," "),CHAR(9)," "),CHAR(92),_xlfn.CONCAT(CHAR(92),CHAR(92))),"$",_xlfn.CONCAT(CHAR(92),"$")),CHAR(96),_xlfn.CONCAT(CHAR(92),CHAR(96))),CHAR(34),CHAR(39))))</f>
        <v/>
      </c>
      <c r="P679" s="5" t="str">
        <f>IF(OR(TRIM($B679)="",$F679=""),"",IF(OR(ISNUMBER(SEARCH(_xlfn.CONCAT(CHAR(96),CHAR(34)),$F679)),ISNUMBER(SEARCH(_xlfn.CONCAT(CHAR(34),CHAR(39)),$F679))),_xlfn.CONCAT("* REVIEW REQUIRED: compound-quote delimiter in Units on Sheet 1 row ",679,"; edit the input before running."),_xlfn.CONCAT("char ",TRIM($B679),"[doc_units] ",CHAR(96),CHAR(34),SUBSTITUTE(SUBSTITUTE(SUBSTITUTE(SUBSTITUTE(SUBSTITUTE(SUBSTITUTE($F679,CHAR(13)," "),CHAR(10)," "),CHAR(9)," "),CHAR(92),_xlfn.CONCAT(CHAR(92),CHAR(92))),"$",_xlfn.CONCAT(CHAR(92),"$")),CHAR(96),_xlfn.CONCAT(CHAR(92),CHAR(96))),CHAR(34),CHAR(39))))</f>
        <v/>
      </c>
      <c r="Q679" s="5" t="str">
        <f>IF(OR(TRIM($B679)="",$G679=""),"",IF(OR(ISNUMBER(SEARCH(_xlfn.CONCAT(CHAR(96),CHAR(34)),$G679)),ISNUMBER(SEARCH(_xlfn.CONCAT(CHAR(34),CHAR(39)),$G679))),_xlfn.CONCAT("* REVIEW REQUIRED: compound-quote delimiter in Universe on Sheet 1 row ",679,"; edit the input before running."),_xlfn.CONCAT("char ",TRIM($B679),"[doc_universe] ",CHAR(96),CHAR(34),SUBSTITUTE(SUBSTITUTE(SUBSTITUTE(SUBSTITUTE(SUBSTITUTE(SUBSTITUTE($G679,CHAR(13)," "),CHAR(10)," "),CHAR(9)," "),CHAR(92),_xlfn.CONCAT(CHAR(92),CHAR(92))),"$",_xlfn.CONCAT(CHAR(92),"$")),CHAR(96),_xlfn.CONCAT(CHAR(92),CHAR(96))),CHAR(34),CHAR(39))))</f>
        <v/>
      </c>
      <c r="R679" s="5" t="str">
        <f>IF(OR(TRIM($B679)="",$H679=""),"",IF(OR(ISNUMBER(SEARCH(_xlfn.CONCAT(CHAR(96),CHAR(34)),$H679)),ISNUMBER(SEARCH(_xlfn.CONCAT(CHAR(34),CHAR(39)),$H679))),_xlfn.CONCAT("* REVIEW REQUIRED: compound-quote delimiter in Source on Sheet 1 row ",679,"; edit the input before running."),_xlfn.CONCAT("char ",TRIM($B679),"[doc_source] ",CHAR(96),CHAR(34),SUBSTITUTE(SUBSTITUTE(SUBSTITUTE(SUBSTITUTE(SUBSTITUTE(SUBSTITUTE($H679,CHAR(13)," "),CHAR(10)," "),CHAR(9)," "),CHAR(92),_xlfn.CONCAT(CHAR(92),CHAR(92))),"$",_xlfn.CONCAT(CHAR(92),"$")),CHAR(96),_xlfn.CONCAT(CHAR(92),CHAR(96))),CHAR(34),CHAR(39))))</f>
        <v/>
      </c>
      <c r="S679" s="5" t="str">
        <f>IF(OR(TRIM($B679)="",$I679=""),"",IF(OR(ISNUMBER(SEARCH(_xlfn.CONCAT(CHAR(96),CHAR(34)),$I679)),ISNUMBER(SEARCH(_xlfn.CONCAT(CHAR(34),CHAR(39)),$I679))),_xlfn.CONCAT("* REVIEW REQUIRED: compound-quote delimiter in Derivation on Sheet 1 row ",679,"; edit the input before running."),_xlfn.CONCAT("char ",TRIM($B679),"[doc_derivation] ",CHAR(96),CHAR(34),SUBSTITUTE(SUBSTITUTE(SUBSTITUTE(SUBSTITUTE(SUBSTITUTE(SUBSTITUTE($I679,CHAR(13)," "),CHAR(10)," "),CHAR(9)," "),CHAR(92),_xlfn.CONCAT(CHAR(92),CHAR(92))),"$",_xlfn.CONCAT(CHAR(92),"$")),CHAR(96),_xlfn.CONCAT(CHAR(92),CHAR(96))),CHAR(34),CHAR(39))))</f>
        <v/>
      </c>
      <c r="T679" s="5" t="str">
        <f>IF(OR(TRIM($B679)="",$J679=""),"",IF(OR(ISNUMBER(SEARCH(_xlfn.CONCAT(CHAR(96),CHAR(34)),$J679)),ISNUMBER(SEARCH(_xlfn.CONCAT(CHAR(34),CHAR(39)),$J679))),_xlfn.CONCAT("* REVIEW REQUIRED: compound-quote delimiter in Notes on Sheet 1 row ",679,"; edit the input before running."),_xlfn.CONCAT("char ",TRIM($B679),"[doc_notes] ",CHAR(96),CHAR(34),SUBSTITUTE(SUBSTITUTE(SUBSTITUTE(SUBSTITUTE(SUBSTITUTE(SUBSTITUTE($J679,CHAR(13)," "),CHAR(10)," "),CHAR(9)," "),CHAR(92),_xlfn.CONCAT(CHAR(92),CHAR(92))),"$",_xlfn.CONCAT(CHAR(92),"$")),CHAR(96),_xlfn.CONCAT(CHAR(92),CHAR(96))),CHAR(34),CHAR(39))))</f>
        <v/>
      </c>
      <c r="U679" s="5">
        <f t="shared" si="21"/>
        <v>0</v>
      </c>
    </row>
    <row r="680" spans="3:21" ht="30" customHeight="1" x14ac:dyDescent="0.2">
      <c r="C680" s="4"/>
      <c r="K680" s="5">
        <f t="shared" si="20"/>
        <v>0</v>
      </c>
      <c r="L680" s="5" t="str">
        <f>IF(OR(TRIM($B680)="",$A680=""),"",IF(OR(ISNUMBER(SEARCH(_xlfn.CONCAT(CHAR(96),CHAR(34)),$A680)),ISNUMBER(SEARCH(_xlfn.CONCAT(CHAR(34),CHAR(39)),$A680))),_xlfn.CONCAT("* REVIEW REQUIRED: compound-quote delimiter in Codebook Section on Sheet 1 row ",680,"; edit the input before running."),_xlfn.CONCAT("char ",TRIM($B680),"[doc_section] ",CHAR(96),CHAR(34),SUBSTITUTE(SUBSTITUTE(SUBSTITUTE(SUBSTITUTE(SUBSTITUTE(SUBSTITUTE($A680,CHAR(13)," "),CHAR(10)," "),CHAR(9)," "),CHAR(92),_xlfn.CONCAT(CHAR(92),CHAR(92))),"$",_xlfn.CONCAT(CHAR(92),"$")),CHAR(96),_xlfn.CONCAT(CHAR(92),CHAR(96))),CHAR(34),CHAR(39))))</f>
        <v/>
      </c>
      <c r="M680" s="5" t="str">
        <f>IF(OR(TRIM($B680)="",$C680=""),"",IF(IFERROR(MATCH(TRIM($C680),{"Quantitative","Continuous","Discrete","Categorical","Nominal","Ordinal","Identifier"},0),0)=0,_xlfn.CONCAT("* REVIEW REQUIRED: invalid Variable Type on Sheet 1 row ",680,"."),_xlfn.CONCAT("char ",TRIM($B680),"[doc_vartype] ",CHAR(96),CHAR(34),SUBSTITUTE(SUBSTITUTE(SUBSTITUTE(SUBSTITUTE(SUBSTITUTE(SUBSTITUTE(LOWER(TRIM($C680)),CHAR(13)," "),CHAR(10)," "),CHAR(9)," "),CHAR(92),_xlfn.CONCAT(CHAR(92),CHAR(92))),"$",_xlfn.CONCAT(CHAR(92),"$")),CHAR(96),_xlfn.CONCAT(CHAR(92),CHAR(96))),CHAR(34),CHAR(39))))</f>
        <v/>
      </c>
      <c r="N680" s="5" t="str">
        <f>IF(OR(TRIM($B680)="",$D680=""),"",IF(OR(ISNUMBER(SEARCH(_xlfn.CONCAT(CHAR(96),CHAR(34)),$D680)),ISNUMBER(SEARCH(_xlfn.CONCAT(CHAR(34),CHAR(39)),$D680))),_xlfn.CONCAT("* REVIEW REQUIRED: compound-quote delimiter in Item Number on Sheet 1 row ",680,"; edit the input before running."),_xlfn.CONCAT("char ",TRIM($B680),"[doc_itemnum] ",CHAR(96),CHAR(34),SUBSTITUTE(SUBSTITUTE(SUBSTITUTE(SUBSTITUTE(SUBSTITUTE(SUBSTITUTE($D680,CHAR(13)," "),CHAR(10)," "),CHAR(9)," "),CHAR(92),_xlfn.CONCAT(CHAR(92),CHAR(92))),"$",_xlfn.CONCAT(CHAR(92),"$")),CHAR(96),_xlfn.CONCAT(CHAR(92),CHAR(96))),CHAR(34),CHAR(39))))</f>
        <v/>
      </c>
      <c r="O680" s="5" t="str">
        <f>IF(OR(TRIM($B680)="",$E680=""),"",IF(OR(ISNUMBER(SEARCH(_xlfn.CONCAT(CHAR(96),CHAR(34)),$E680)),ISNUMBER(SEARCH(_xlfn.CONCAT(CHAR(34),CHAR(39)),$E680))),_xlfn.CONCAT("* REVIEW REQUIRED: compound-quote delimiter in Question Wording on Sheet 1 row ",680,"; edit the input before running."),_xlfn.CONCAT("char ",TRIM($B680),"[doc_question] ",CHAR(96),CHAR(34),SUBSTITUTE(SUBSTITUTE(SUBSTITUTE(SUBSTITUTE(SUBSTITUTE(SUBSTITUTE($E680,CHAR(13)," "),CHAR(10)," "),CHAR(9)," "),CHAR(92),_xlfn.CONCAT(CHAR(92),CHAR(92))),"$",_xlfn.CONCAT(CHAR(92),"$")),CHAR(96),_xlfn.CONCAT(CHAR(92),CHAR(96))),CHAR(34),CHAR(39))))</f>
        <v/>
      </c>
      <c r="P680" s="5" t="str">
        <f>IF(OR(TRIM($B680)="",$F680=""),"",IF(OR(ISNUMBER(SEARCH(_xlfn.CONCAT(CHAR(96),CHAR(34)),$F680)),ISNUMBER(SEARCH(_xlfn.CONCAT(CHAR(34),CHAR(39)),$F680))),_xlfn.CONCAT("* REVIEW REQUIRED: compound-quote delimiter in Units on Sheet 1 row ",680,"; edit the input before running."),_xlfn.CONCAT("char ",TRIM($B680),"[doc_units] ",CHAR(96),CHAR(34),SUBSTITUTE(SUBSTITUTE(SUBSTITUTE(SUBSTITUTE(SUBSTITUTE(SUBSTITUTE($F680,CHAR(13)," "),CHAR(10)," "),CHAR(9)," "),CHAR(92),_xlfn.CONCAT(CHAR(92),CHAR(92))),"$",_xlfn.CONCAT(CHAR(92),"$")),CHAR(96),_xlfn.CONCAT(CHAR(92),CHAR(96))),CHAR(34),CHAR(39))))</f>
        <v/>
      </c>
      <c r="Q680" s="5" t="str">
        <f>IF(OR(TRIM($B680)="",$G680=""),"",IF(OR(ISNUMBER(SEARCH(_xlfn.CONCAT(CHAR(96),CHAR(34)),$G680)),ISNUMBER(SEARCH(_xlfn.CONCAT(CHAR(34),CHAR(39)),$G680))),_xlfn.CONCAT("* REVIEW REQUIRED: compound-quote delimiter in Universe on Sheet 1 row ",680,"; edit the input before running."),_xlfn.CONCAT("char ",TRIM($B680),"[doc_universe] ",CHAR(96),CHAR(34),SUBSTITUTE(SUBSTITUTE(SUBSTITUTE(SUBSTITUTE(SUBSTITUTE(SUBSTITUTE($G680,CHAR(13)," "),CHAR(10)," "),CHAR(9)," "),CHAR(92),_xlfn.CONCAT(CHAR(92),CHAR(92))),"$",_xlfn.CONCAT(CHAR(92),"$")),CHAR(96),_xlfn.CONCAT(CHAR(92),CHAR(96))),CHAR(34),CHAR(39))))</f>
        <v/>
      </c>
      <c r="R680" s="5" t="str">
        <f>IF(OR(TRIM($B680)="",$H680=""),"",IF(OR(ISNUMBER(SEARCH(_xlfn.CONCAT(CHAR(96),CHAR(34)),$H680)),ISNUMBER(SEARCH(_xlfn.CONCAT(CHAR(34),CHAR(39)),$H680))),_xlfn.CONCAT("* REVIEW REQUIRED: compound-quote delimiter in Source on Sheet 1 row ",680,"; edit the input before running."),_xlfn.CONCAT("char ",TRIM($B680),"[doc_source] ",CHAR(96),CHAR(34),SUBSTITUTE(SUBSTITUTE(SUBSTITUTE(SUBSTITUTE(SUBSTITUTE(SUBSTITUTE($H680,CHAR(13)," "),CHAR(10)," "),CHAR(9)," "),CHAR(92),_xlfn.CONCAT(CHAR(92),CHAR(92))),"$",_xlfn.CONCAT(CHAR(92),"$")),CHAR(96),_xlfn.CONCAT(CHAR(92),CHAR(96))),CHAR(34),CHAR(39))))</f>
        <v/>
      </c>
      <c r="S680" s="5" t="str">
        <f>IF(OR(TRIM($B680)="",$I680=""),"",IF(OR(ISNUMBER(SEARCH(_xlfn.CONCAT(CHAR(96),CHAR(34)),$I680)),ISNUMBER(SEARCH(_xlfn.CONCAT(CHAR(34),CHAR(39)),$I680))),_xlfn.CONCAT("* REVIEW REQUIRED: compound-quote delimiter in Derivation on Sheet 1 row ",680,"; edit the input before running."),_xlfn.CONCAT("char ",TRIM($B680),"[doc_derivation] ",CHAR(96),CHAR(34),SUBSTITUTE(SUBSTITUTE(SUBSTITUTE(SUBSTITUTE(SUBSTITUTE(SUBSTITUTE($I680,CHAR(13)," "),CHAR(10)," "),CHAR(9)," "),CHAR(92),_xlfn.CONCAT(CHAR(92),CHAR(92))),"$",_xlfn.CONCAT(CHAR(92),"$")),CHAR(96),_xlfn.CONCAT(CHAR(92),CHAR(96))),CHAR(34),CHAR(39))))</f>
        <v/>
      </c>
      <c r="T680" s="5" t="str">
        <f>IF(OR(TRIM($B680)="",$J680=""),"",IF(OR(ISNUMBER(SEARCH(_xlfn.CONCAT(CHAR(96),CHAR(34)),$J680)),ISNUMBER(SEARCH(_xlfn.CONCAT(CHAR(34),CHAR(39)),$J680))),_xlfn.CONCAT("* REVIEW REQUIRED: compound-quote delimiter in Notes on Sheet 1 row ",680,"; edit the input before running."),_xlfn.CONCAT("char ",TRIM($B680),"[doc_notes] ",CHAR(96),CHAR(34),SUBSTITUTE(SUBSTITUTE(SUBSTITUTE(SUBSTITUTE(SUBSTITUTE(SUBSTITUTE($J680,CHAR(13)," "),CHAR(10)," "),CHAR(9)," "),CHAR(92),_xlfn.CONCAT(CHAR(92),CHAR(92))),"$",_xlfn.CONCAT(CHAR(92),"$")),CHAR(96),_xlfn.CONCAT(CHAR(92),CHAR(96))),CHAR(34),CHAR(39))))</f>
        <v/>
      </c>
      <c r="U680" s="5">
        <f t="shared" si="21"/>
        <v>0</v>
      </c>
    </row>
    <row r="681" spans="3:21" ht="30" customHeight="1" x14ac:dyDescent="0.2">
      <c r="C681" s="4"/>
      <c r="K681" s="5">
        <f t="shared" si="20"/>
        <v>0</v>
      </c>
      <c r="L681" s="5" t="str">
        <f>IF(OR(TRIM($B681)="",$A681=""),"",IF(OR(ISNUMBER(SEARCH(_xlfn.CONCAT(CHAR(96),CHAR(34)),$A681)),ISNUMBER(SEARCH(_xlfn.CONCAT(CHAR(34),CHAR(39)),$A681))),_xlfn.CONCAT("* REVIEW REQUIRED: compound-quote delimiter in Codebook Section on Sheet 1 row ",681,"; edit the input before running."),_xlfn.CONCAT("char ",TRIM($B681),"[doc_section] ",CHAR(96),CHAR(34),SUBSTITUTE(SUBSTITUTE(SUBSTITUTE(SUBSTITUTE(SUBSTITUTE(SUBSTITUTE($A681,CHAR(13)," "),CHAR(10)," "),CHAR(9)," "),CHAR(92),_xlfn.CONCAT(CHAR(92),CHAR(92))),"$",_xlfn.CONCAT(CHAR(92),"$")),CHAR(96),_xlfn.CONCAT(CHAR(92),CHAR(96))),CHAR(34),CHAR(39))))</f>
        <v/>
      </c>
      <c r="M681" s="5" t="str">
        <f>IF(OR(TRIM($B681)="",$C681=""),"",IF(IFERROR(MATCH(TRIM($C681),{"Quantitative","Continuous","Discrete","Categorical","Nominal","Ordinal","Identifier"},0),0)=0,_xlfn.CONCAT("* REVIEW REQUIRED: invalid Variable Type on Sheet 1 row ",681,"."),_xlfn.CONCAT("char ",TRIM($B681),"[doc_vartype] ",CHAR(96),CHAR(34),SUBSTITUTE(SUBSTITUTE(SUBSTITUTE(SUBSTITUTE(SUBSTITUTE(SUBSTITUTE(LOWER(TRIM($C681)),CHAR(13)," "),CHAR(10)," "),CHAR(9)," "),CHAR(92),_xlfn.CONCAT(CHAR(92),CHAR(92))),"$",_xlfn.CONCAT(CHAR(92),"$")),CHAR(96),_xlfn.CONCAT(CHAR(92),CHAR(96))),CHAR(34),CHAR(39))))</f>
        <v/>
      </c>
      <c r="N681" s="5" t="str">
        <f>IF(OR(TRIM($B681)="",$D681=""),"",IF(OR(ISNUMBER(SEARCH(_xlfn.CONCAT(CHAR(96),CHAR(34)),$D681)),ISNUMBER(SEARCH(_xlfn.CONCAT(CHAR(34),CHAR(39)),$D681))),_xlfn.CONCAT("* REVIEW REQUIRED: compound-quote delimiter in Item Number on Sheet 1 row ",681,"; edit the input before running."),_xlfn.CONCAT("char ",TRIM($B681),"[doc_itemnum] ",CHAR(96),CHAR(34),SUBSTITUTE(SUBSTITUTE(SUBSTITUTE(SUBSTITUTE(SUBSTITUTE(SUBSTITUTE($D681,CHAR(13)," "),CHAR(10)," "),CHAR(9)," "),CHAR(92),_xlfn.CONCAT(CHAR(92),CHAR(92))),"$",_xlfn.CONCAT(CHAR(92),"$")),CHAR(96),_xlfn.CONCAT(CHAR(92),CHAR(96))),CHAR(34),CHAR(39))))</f>
        <v/>
      </c>
      <c r="O681" s="5" t="str">
        <f>IF(OR(TRIM($B681)="",$E681=""),"",IF(OR(ISNUMBER(SEARCH(_xlfn.CONCAT(CHAR(96),CHAR(34)),$E681)),ISNUMBER(SEARCH(_xlfn.CONCAT(CHAR(34),CHAR(39)),$E681))),_xlfn.CONCAT("* REVIEW REQUIRED: compound-quote delimiter in Question Wording on Sheet 1 row ",681,"; edit the input before running."),_xlfn.CONCAT("char ",TRIM($B681),"[doc_question] ",CHAR(96),CHAR(34),SUBSTITUTE(SUBSTITUTE(SUBSTITUTE(SUBSTITUTE(SUBSTITUTE(SUBSTITUTE($E681,CHAR(13)," "),CHAR(10)," "),CHAR(9)," "),CHAR(92),_xlfn.CONCAT(CHAR(92),CHAR(92))),"$",_xlfn.CONCAT(CHAR(92),"$")),CHAR(96),_xlfn.CONCAT(CHAR(92),CHAR(96))),CHAR(34),CHAR(39))))</f>
        <v/>
      </c>
      <c r="P681" s="5" t="str">
        <f>IF(OR(TRIM($B681)="",$F681=""),"",IF(OR(ISNUMBER(SEARCH(_xlfn.CONCAT(CHAR(96),CHAR(34)),$F681)),ISNUMBER(SEARCH(_xlfn.CONCAT(CHAR(34),CHAR(39)),$F681))),_xlfn.CONCAT("* REVIEW REQUIRED: compound-quote delimiter in Units on Sheet 1 row ",681,"; edit the input before running."),_xlfn.CONCAT("char ",TRIM($B681),"[doc_units] ",CHAR(96),CHAR(34),SUBSTITUTE(SUBSTITUTE(SUBSTITUTE(SUBSTITUTE(SUBSTITUTE(SUBSTITUTE($F681,CHAR(13)," "),CHAR(10)," "),CHAR(9)," "),CHAR(92),_xlfn.CONCAT(CHAR(92),CHAR(92))),"$",_xlfn.CONCAT(CHAR(92),"$")),CHAR(96),_xlfn.CONCAT(CHAR(92),CHAR(96))),CHAR(34),CHAR(39))))</f>
        <v/>
      </c>
      <c r="Q681" s="5" t="str">
        <f>IF(OR(TRIM($B681)="",$G681=""),"",IF(OR(ISNUMBER(SEARCH(_xlfn.CONCAT(CHAR(96),CHAR(34)),$G681)),ISNUMBER(SEARCH(_xlfn.CONCAT(CHAR(34),CHAR(39)),$G681))),_xlfn.CONCAT("* REVIEW REQUIRED: compound-quote delimiter in Universe on Sheet 1 row ",681,"; edit the input before running."),_xlfn.CONCAT("char ",TRIM($B681),"[doc_universe] ",CHAR(96),CHAR(34),SUBSTITUTE(SUBSTITUTE(SUBSTITUTE(SUBSTITUTE(SUBSTITUTE(SUBSTITUTE($G681,CHAR(13)," "),CHAR(10)," "),CHAR(9)," "),CHAR(92),_xlfn.CONCAT(CHAR(92),CHAR(92))),"$",_xlfn.CONCAT(CHAR(92),"$")),CHAR(96),_xlfn.CONCAT(CHAR(92),CHAR(96))),CHAR(34),CHAR(39))))</f>
        <v/>
      </c>
      <c r="R681" s="5" t="str">
        <f>IF(OR(TRIM($B681)="",$H681=""),"",IF(OR(ISNUMBER(SEARCH(_xlfn.CONCAT(CHAR(96),CHAR(34)),$H681)),ISNUMBER(SEARCH(_xlfn.CONCAT(CHAR(34),CHAR(39)),$H681))),_xlfn.CONCAT("* REVIEW REQUIRED: compound-quote delimiter in Source on Sheet 1 row ",681,"; edit the input before running."),_xlfn.CONCAT("char ",TRIM($B681),"[doc_source] ",CHAR(96),CHAR(34),SUBSTITUTE(SUBSTITUTE(SUBSTITUTE(SUBSTITUTE(SUBSTITUTE(SUBSTITUTE($H681,CHAR(13)," "),CHAR(10)," "),CHAR(9)," "),CHAR(92),_xlfn.CONCAT(CHAR(92),CHAR(92))),"$",_xlfn.CONCAT(CHAR(92),"$")),CHAR(96),_xlfn.CONCAT(CHAR(92),CHAR(96))),CHAR(34),CHAR(39))))</f>
        <v/>
      </c>
      <c r="S681" s="5" t="str">
        <f>IF(OR(TRIM($B681)="",$I681=""),"",IF(OR(ISNUMBER(SEARCH(_xlfn.CONCAT(CHAR(96),CHAR(34)),$I681)),ISNUMBER(SEARCH(_xlfn.CONCAT(CHAR(34),CHAR(39)),$I681))),_xlfn.CONCAT("* REVIEW REQUIRED: compound-quote delimiter in Derivation on Sheet 1 row ",681,"; edit the input before running."),_xlfn.CONCAT("char ",TRIM($B681),"[doc_derivation] ",CHAR(96),CHAR(34),SUBSTITUTE(SUBSTITUTE(SUBSTITUTE(SUBSTITUTE(SUBSTITUTE(SUBSTITUTE($I681,CHAR(13)," "),CHAR(10)," "),CHAR(9)," "),CHAR(92),_xlfn.CONCAT(CHAR(92),CHAR(92))),"$",_xlfn.CONCAT(CHAR(92),"$")),CHAR(96),_xlfn.CONCAT(CHAR(92),CHAR(96))),CHAR(34),CHAR(39))))</f>
        <v/>
      </c>
      <c r="T681" s="5" t="str">
        <f>IF(OR(TRIM($B681)="",$J681=""),"",IF(OR(ISNUMBER(SEARCH(_xlfn.CONCAT(CHAR(96),CHAR(34)),$J681)),ISNUMBER(SEARCH(_xlfn.CONCAT(CHAR(34),CHAR(39)),$J681))),_xlfn.CONCAT("* REVIEW REQUIRED: compound-quote delimiter in Notes on Sheet 1 row ",681,"; edit the input before running."),_xlfn.CONCAT("char ",TRIM($B681),"[doc_notes] ",CHAR(96),CHAR(34),SUBSTITUTE(SUBSTITUTE(SUBSTITUTE(SUBSTITUTE(SUBSTITUTE(SUBSTITUTE($J681,CHAR(13)," "),CHAR(10)," "),CHAR(9)," "),CHAR(92),_xlfn.CONCAT(CHAR(92),CHAR(92))),"$",_xlfn.CONCAT(CHAR(92),"$")),CHAR(96),_xlfn.CONCAT(CHAR(92),CHAR(96))),CHAR(34),CHAR(39))))</f>
        <v/>
      </c>
      <c r="U681" s="5">
        <f t="shared" si="21"/>
        <v>0</v>
      </c>
    </row>
    <row r="682" spans="3:21" ht="30" customHeight="1" x14ac:dyDescent="0.2">
      <c r="C682" s="4"/>
      <c r="K682" s="5">
        <f t="shared" si="20"/>
        <v>0</v>
      </c>
      <c r="L682" s="5" t="str">
        <f>IF(OR(TRIM($B682)="",$A682=""),"",IF(OR(ISNUMBER(SEARCH(_xlfn.CONCAT(CHAR(96),CHAR(34)),$A682)),ISNUMBER(SEARCH(_xlfn.CONCAT(CHAR(34),CHAR(39)),$A682))),_xlfn.CONCAT("* REVIEW REQUIRED: compound-quote delimiter in Codebook Section on Sheet 1 row ",682,"; edit the input before running."),_xlfn.CONCAT("char ",TRIM($B682),"[doc_section] ",CHAR(96),CHAR(34),SUBSTITUTE(SUBSTITUTE(SUBSTITUTE(SUBSTITUTE(SUBSTITUTE(SUBSTITUTE($A682,CHAR(13)," "),CHAR(10)," "),CHAR(9)," "),CHAR(92),_xlfn.CONCAT(CHAR(92),CHAR(92))),"$",_xlfn.CONCAT(CHAR(92),"$")),CHAR(96),_xlfn.CONCAT(CHAR(92),CHAR(96))),CHAR(34),CHAR(39))))</f>
        <v/>
      </c>
      <c r="M682" s="5" t="str">
        <f>IF(OR(TRIM($B682)="",$C682=""),"",IF(IFERROR(MATCH(TRIM($C682),{"Quantitative","Continuous","Discrete","Categorical","Nominal","Ordinal","Identifier"},0),0)=0,_xlfn.CONCAT("* REVIEW REQUIRED: invalid Variable Type on Sheet 1 row ",682,"."),_xlfn.CONCAT("char ",TRIM($B682),"[doc_vartype] ",CHAR(96),CHAR(34),SUBSTITUTE(SUBSTITUTE(SUBSTITUTE(SUBSTITUTE(SUBSTITUTE(SUBSTITUTE(LOWER(TRIM($C682)),CHAR(13)," "),CHAR(10)," "),CHAR(9)," "),CHAR(92),_xlfn.CONCAT(CHAR(92),CHAR(92))),"$",_xlfn.CONCAT(CHAR(92),"$")),CHAR(96),_xlfn.CONCAT(CHAR(92),CHAR(96))),CHAR(34),CHAR(39))))</f>
        <v/>
      </c>
      <c r="N682" s="5" t="str">
        <f>IF(OR(TRIM($B682)="",$D682=""),"",IF(OR(ISNUMBER(SEARCH(_xlfn.CONCAT(CHAR(96),CHAR(34)),$D682)),ISNUMBER(SEARCH(_xlfn.CONCAT(CHAR(34),CHAR(39)),$D682))),_xlfn.CONCAT("* REVIEW REQUIRED: compound-quote delimiter in Item Number on Sheet 1 row ",682,"; edit the input before running."),_xlfn.CONCAT("char ",TRIM($B682),"[doc_itemnum] ",CHAR(96),CHAR(34),SUBSTITUTE(SUBSTITUTE(SUBSTITUTE(SUBSTITUTE(SUBSTITUTE(SUBSTITUTE($D682,CHAR(13)," "),CHAR(10)," "),CHAR(9)," "),CHAR(92),_xlfn.CONCAT(CHAR(92),CHAR(92))),"$",_xlfn.CONCAT(CHAR(92),"$")),CHAR(96),_xlfn.CONCAT(CHAR(92),CHAR(96))),CHAR(34),CHAR(39))))</f>
        <v/>
      </c>
      <c r="O682" s="5" t="str">
        <f>IF(OR(TRIM($B682)="",$E682=""),"",IF(OR(ISNUMBER(SEARCH(_xlfn.CONCAT(CHAR(96),CHAR(34)),$E682)),ISNUMBER(SEARCH(_xlfn.CONCAT(CHAR(34),CHAR(39)),$E682))),_xlfn.CONCAT("* REVIEW REQUIRED: compound-quote delimiter in Question Wording on Sheet 1 row ",682,"; edit the input before running."),_xlfn.CONCAT("char ",TRIM($B682),"[doc_question] ",CHAR(96),CHAR(34),SUBSTITUTE(SUBSTITUTE(SUBSTITUTE(SUBSTITUTE(SUBSTITUTE(SUBSTITUTE($E682,CHAR(13)," "),CHAR(10)," "),CHAR(9)," "),CHAR(92),_xlfn.CONCAT(CHAR(92),CHAR(92))),"$",_xlfn.CONCAT(CHAR(92),"$")),CHAR(96),_xlfn.CONCAT(CHAR(92),CHAR(96))),CHAR(34),CHAR(39))))</f>
        <v/>
      </c>
      <c r="P682" s="5" t="str">
        <f>IF(OR(TRIM($B682)="",$F682=""),"",IF(OR(ISNUMBER(SEARCH(_xlfn.CONCAT(CHAR(96),CHAR(34)),$F682)),ISNUMBER(SEARCH(_xlfn.CONCAT(CHAR(34),CHAR(39)),$F682))),_xlfn.CONCAT("* REVIEW REQUIRED: compound-quote delimiter in Units on Sheet 1 row ",682,"; edit the input before running."),_xlfn.CONCAT("char ",TRIM($B682),"[doc_units] ",CHAR(96),CHAR(34),SUBSTITUTE(SUBSTITUTE(SUBSTITUTE(SUBSTITUTE(SUBSTITUTE(SUBSTITUTE($F682,CHAR(13)," "),CHAR(10)," "),CHAR(9)," "),CHAR(92),_xlfn.CONCAT(CHAR(92),CHAR(92))),"$",_xlfn.CONCAT(CHAR(92),"$")),CHAR(96),_xlfn.CONCAT(CHAR(92),CHAR(96))),CHAR(34),CHAR(39))))</f>
        <v/>
      </c>
      <c r="Q682" s="5" t="str">
        <f>IF(OR(TRIM($B682)="",$G682=""),"",IF(OR(ISNUMBER(SEARCH(_xlfn.CONCAT(CHAR(96),CHAR(34)),$G682)),ISNUMBER(SEARCH(_xlfn.CONCAT(CHAR(34),CHAR(39)),$G682))),_xlfn.CONCAT("* REVIEW REQUIRED: compound-quote delimiter in Universe on Sheet 1 row ",682,"; edit the input before running."),_xlfn.CONCAT("char ",TRIM($B682),"[doc_universe] ",CHAR(96),CHAR(34),SUBSTITUTE(SUBSTITUTE(SUBSTITUTE(SUBSTITUTE(SUBSTITUTE(SUBSTITUTE($G682,CHAR(13)," "),CHAR(10)," "),CHAR(9)," "),CHAR(92),_xlfn.CONCAT(CHAR(92),CHAR(92))),"$",_xlfn.CONCAT(CHAR(92),"$")),CHAR(96),_xlfn.CONCAT(CHAR(92),CHAR(96))),CHAR(34),CHAR(39))))</f>
        <v/>
      </c>
      <c r="R682" s="5" t="str">
        <f>IF(OR(TRIM($B682)="",$H682=""),"",IF(OR(ISNUMBER(SEARCH(_xlfn.CONCAT(CHAR(96),CHAR(34)),$H682)),ISNUMBER(SEARCH(_xlfn.CONCAT(CHAR(34),CHAR(39)),$H682))),_xlfn.CONCAT("* REVIEW REQUIRED: compound-quote delimiter in Source on Sheet 1 row ",682,"; edit the input before running."),_xlfn.CONCAT("char ",TRIM($B682),"[doc_source] ",CHAR(96),CHAR(34),SUBSTITUTE(SUBSTITUTE(SUBSTITUTE(SUBSTITUTE(SUBSTITUTE(SUBSTITUTE($H682,CHAR(13)," "),CHAR(10)," "),CHAR(9)," "),CHAR(92),_xlfn.CONCAT(CHAR(92),CHAR(92))),"$",_xlfn.CONCAT(CHAR(92),"$")),CHAR(96),_xlfn.CONCAT(CHAR(92),CHAR(96))),CHAR(34),CHAR(39))))</f>
        <v/>
      </c>
      <c r="S682" s="5" t="str">
        <f>IF(OR(TRIM($B682)="",$I682=""),"",IF(OR(ISNUMBER(SEARCH(_xlfn.CONCAT(CHAR(96),CHAR(34)),$I682)),ISNUMBER(SEARCH(_xlfn.CONCAT(CHAR(34),CHAR(39)),$I682))),_xlfn.CONCAT("* REVIEW REQUIRED: compound-quote delimiter in Derivation on Sheet 1 row ",682,"; edit the input before running."),_xlfn.CONCAT("char ",TRIM($B682),"[doc_derivation] ",CHAR(96),CHAR(34),SUBSTITUTE(SUBSTITUTE(SUBSTITUTE(SUBSTITUTE(SUBSTITUTE(SUBSTITUTE($I682,CHAR(13)," "),CHAR(10)," "),CHAR(9)," "),CHAR(92),_xlfn.CONCAT(CHAR(92),CHAR(92))),"$",_xlfn.CONCAT(CHAR(92),"$")),CHAR(96),_xlfn.CONCAT(CHAR(92),CHAR(96))),CHAR(34),CHAR(39))))</f>
        <v/>
      </c>
      <c r="T682" s="5" t="str">
        <f>IF(OR(TRIM($B682)="",$J682=""),"",IF(OR(ISNUMBER(SEARCH(_xlfn.CONCAT(CHAR(96),CHAR(34)),$J682)),ISNUMBER(SEARCH(_xlfn.CONCAT(CHAR(34),CHAR(39)),$J682))),_xlfn.CONCAT("* REVIEW REQUIRED: compound-quote delimiter in Notes on Sheet 1 row ",682,"; edit the input before running."),_xlfn.CONCAT("char ",TRIM($B682),"[doc_notes] ",CHAR(96),CHAR(34),SUBSTITUTE(SUBSTITUTE(SUBSTITUTE(SUBSTITUTE(SUBSTITUTE(SUBSTITUTE($J682,CHAR(13)," "),CHAR(10)," "),CHAR(9)," "),CHAR(92),_xlfn.CONCAT(CHAR(92),CHAR(92))),"$",_xlfn.CONCAT(CHAR(92),"$")),CHAR(96),_xlfn.CONCAT(CHAR(92),CHAR(96))),CHAR(34),CHAR(39))))</f>
        <v/>
      </c>
      <c r="U682" s="5">
        <f t="shared" si="21"/>
        <v>0</v>
      </c>
    </row>
    <row r="683" spans="3:21" ht="30" customHeight="1" x14ac:dyDescent="0.2">
      <c r="C683" s="4"/>
      <c r="K683" s="5">
        <f t="shared" si="20"/>
        <v>0</v>
      </c>
      <c r="L683" s="5" t="str">
        <f>IF(OR(TRIM($B683)="",$A683=""),"",IF(OR(ISNUMBER(SEARCH(_xlfn.CONCAT(CHAR(96),CHAR(34)),$A683)),ISNUMBER(SEARCH(_xlfn.CONCAT(CHAR(34),CHAR(39)),$A683))),_xlfn.CONCAT("* REVIEW REQUIRED: compound-quote delimiter in Codebook Section on Sheet 1 row ",683,"; edit the input before running."),_xlfn.CONCAT("char ",TRIM($B683),"[doc_section] ",CHAR(96),CHAR(34),SUBSTITUTE(SUBSTITUTE(SUBSTITUTE(SUBSTITUTE(SUBSTITUTE(SUBSTITUTE($A683,CHAR(13)," "),CHAR(10)," "),CHAR(9)," "),CHAR(92),_xlfn.CONCAT(CHAR(92),CHAR(92))),"$",_xlfn.CONCAT(CHAR(92),"$")),CHAR(96),_xlfn.CONCAT(CHAR(92),CHAR(96))),CHAR(34),CHAR(39))))</f>
        <v/>
      </c>
      <c r="M683" s="5" t="str">
        <f>IF(OR(TRIM($B683)="",$C683=""),"",IF(IFERROR(MATCH(TRIM($C683),{"Quantitative","Continuous","Discrete","Categorical","Nominal","Ordinal","Identifier"},0),0)=0,_xlfn.CONCAT("* REVIEW REQUIRED: invalid Variable Type on Sheet 1 row ",683,"."),_xlfn.CONCAT("char ",TRIM($B683),"[doc_vartype] ",CHAR(96),CHAR(34),SUBSTITUTE(SUBSTITUTE(SUBSTITUTE(SUBSTITUTE(SUBSTITUTE(SUBSTITUTE(LOWER(TRIM($C683)),CHAR(13)," "),CHAR(10)," "),CHAR(9)," "),CHAR(92),_xlfn.CONCAT(CHAR(92),CHAR(92))),"$",_xlfn.CONCAT(CHAR(92),"$")),CHAR(96),_xlfn.CONCAT(CHAR(92),CHAR(96))),CHAR(34),CHAR(39))))</f>
        <v/>
      </c>
      <c r="N683" s="5" t="str">
        <f>IF(OR(TRIM($B683)="",$D683=""),"",IF(OR(ISNUMBER(SEARCH(_xlfn.CONCAT(CHAR(96),CHAR(34)),$D683)),ISNUMBER(SEARCH(_xlfn.CONCAT(CHAR(34),CHAR(39)),$D683))),_xlfn.CONCAT("* REVIEW REQUIRED: compound-quote delimiter in Item Number on Sheet 1 row ",683,"; edit the input before running."),_xlfn.CONCAT("char ",TRIM($B683),"[doc_itemnum] ",CHAR(96),CHAR(34),SUBSTITUTE(SUBSTITUTE(SUBSTITUTE(SUBSTITUTE(SUBSTITUTE(SUBSTITUTE($D683,CHAR(13)," "),CHAR(10)," "),CHAR(9)," "),CHAR(92),_xlfn.CONCAT(CHAR(92),CHAR(92))),"$",_xlfn.CONCAT(CHAR(92),"$")),CHAR(96),_xlfn.CONCAT(CHAR(92),CHAR(96))),CHAR(34),CHAR(39))))</f>
        <v/>
      </c>
      <c r="O683" s="5" t="str">
        <f>IF(OR(TRIM($B683)="",$E683=""),"",IF(OR(ISNUMBER(SEARCH(_xlfn.CONCAT(CHAR(96),CHAR(34)),$E683)),ISNUMBER(SEARCH(_xlfn.CONCAT(CHAR(34),CHAR(39)),$E683))),_xlfn.CONCAT("* REVIEW REQUIRED: compound-quote delimiter in Question Wording on Sheet 1 row ",683,"; edit the input before running."),_xlfn.CONCAT("char ",TRIM($B683),"[doc_question] ",CHAR(96),CHAR(34),SUBSTITUTE(SUBSTITUTE(SUBSTITUTE(SUBSTITUTE(SUBSTITUTE(SUBSTITUTE($E683,CHAR(13)," "),CHAR(10)," "),CHAR(9)," "),CHAR(92),_xlfn.CONCAT(CHAR(92),CHAR(92))),"$",_xlfn.CONCAT(CHAR(92),"$")),CHAR(96),_xlfn.CONCAT(CHAR(92),CHAR(96))),CHAR(34),CHAR(39))))</f>
        <v/>
      </c>
      <c r="P683" s="5" t="str">
        <f>IF(OR(TRIM($B683)="",$F683=""),"",IF(OR(ISNUMBER(SEARCH(_xlfn.CONCAT(CHAR(96),CHAR(34)),$F683)),ISNUMBER(SEARCH(_xlfn.CONCAT(CHAR(34),CHAR(39)),$F683))),_xlfn.CONCAT("* REVIEW REQUIRED: compound-quote delimiter in Units on Sheet 1 row ",683,"; edit the input before running."),_xlfn.CONCAT("char ",TRIM($B683),"[doc_units] ",CHAR(96),CHAR(34),SUBSTITUTE(SUBSTITUTE(SUBSTITUTE(SUBSTITUTE(SUBSTITUTE(SUBSTITUTE($F683,CHAR(13)," "),CHAR(10)," "),CHAR(9)," "),CHAR(92),_xlfn.CONCAT(CHAR(92),CHAR(92))),"$",_xlfn.CONCAT(CHAR(92),"$")),CHAR(96),_xlfn.CONCAT(CHAR(92),CHAR(96))),CHAR(34),CHAR(39))))</f>
        <v/>
      </c>
      <c r="Q683" s="5" t="str">
        <f>IF(OR(TRIM($B683)="",$G683=""),"",IF(OR(ISNUMBER(SEARCH(_xlfn.CONCAT(CHAR(96),CHAR(34)),$G683)),ISNUMBER(SEARCH(_xlfn.CONCAT(CHAR(34),CHAR(39)),$G683))),_xlfn.CONCAT("* REVIEW REQUIRED: compound-quote delimiter in Universe on Sheet 1 row ",683,"; edit the input before running."),_xlfn.CONCAT("char ",TRIM($B683),"[doc_universe] ",CHAR(96),CHAR(34),SUBSTITUTE(SUBSTITUTE(SUBSTITUTE(SUBSTITUTE(SUBSTITUTE(SUBSTITUTE($G683,CHAR(13)," "),CHAR(10)," "),CHAR(9)," "),CHAR(92),_xlfn.CONCAT(CHAR(92),CHAR(92))),"$",_xlfn.CONCAT(CHAR(92),"$")),CHAR(96),_xlfn.CONCAT(CHAR(92),CHAR(96))),CHAR(34),CHAR(39))))</f>
        <v/>
      </c>
      <c r="R683" s="5" t="str">
        <f>IF(OR(TRIM($B683)="",$H683=""),"",IF(OR(ISNUMBER(SEARCH(_xlfn.CONCAT(CHAR(96),CHAR(34)),$H683)),ISNUMBER(SEARCH(_xlfn.CONCAT(CHAR(34),CHAR(39)),$H683))),_xlfn.CONCAT("* REVIEW REQUIRED: compound-quote delimiter in Source on Sheet 1 row ",683,"; edit the input before running."),_xlfn.CONCAT("char ",TRIM($B683),"[doc_source] ",CHAR(96),CHAR(34),SUBSTITUTE(SUBSTITUTE(SUBSTITUTE(SUBSTITUTE(SUBSTITUTE(SUBSTITUTE($H683,CHAR(13)," "),CHAR(10)," "),CHAR(9)," "),CHAR(92),_xlfn.CONCAT(CHAR(92),CHAR(92))),"$",_xlfn.CONCAT(CHAR(92),"$")),CHAR(96),_xlfn.CONCAT(CHAR(92),CHAR(96))),CHAR(34),CHAR(39))))</f>
        <v/>
      </c>
      <c r="S683" s="5" t="str">
        <f>IF(OR(TRIM($B683)="",$I683=""),"",IF(OR(ISNUMBER(SEARCH(_xlfn.CONCAT(CHAR(96),CHAR(34)),$I683)),ISNUMBER(SEARCH(_xlfn.CONCAT(CHAR(34),CHAR(39)),$I683))),_xlfn.CONCAT("* REVIEW REQUIRED: compound-quote delimiter in Derivation on Sheet 1 row ",683,"; edit the input before running."),_xlfn.CONCAT("char ",TRIM($B683),"[doc_derivation] ",CHAR(96),CHAR(34),SUBSTITUTE(SUBSTITUTE(SUBSTITUTE(SUBSTITUTE(SUBSTITUTE(SUBSTITUTE($I683,CHAR(13)," "),CHAR(10)," "),CHAR(9)," "),CHAR(92),_xlfn.CONCAT(CHAR(92),CHAR(92))),"$",_xlfn.CONCAT(CHAR(92),"$")),CHAR(96),_xlfn.CONCAT(CHAR(92),CHAR(96))),CHAR(34),CHAR(39))))</f>
        <v/>
      </c>
      <c r="T683" s="5" t="str">
        <f>IF(OR(TRIM($B683)="",$J683=""),"",IF(OR(ISNUMBER(SEARCH(_xlfn.CONCAT(CHAR(96),CHAR(34)),$J683)),ISNUMBER(SEARCH(_xlfn.CONCAT(CHAR(34),CHAR(39)),$J683))),_xlfn.CONCAT("* REVIEW REQUIRED: compound-quote delimiter in Notes on Sheet 1 row ",683,"; edit the input before running."),_xlfn.CONCAT("char ",TRIM($B683),"[doc_notes] ",CHAR(96),CHAR(34),SUBSTITUTE(SUBSTITUTE(SUBSTITUTE(SUBSTITUTE(SUBSTITUTE(SUBSTITUTE($J683,CHAR(13)," "),CHAR(10)," "),CHAR(9)," "),CHAR(92),_xlfn.CONCAT(CHAR(92),CHAR(92))),"$",_xlfn.CONCAT(CHAR(92),"$")),CHAR(96),_xlfn.CONCAT(CHAR(92),CHAR(96))),CHAR(34),CHAR(39))))</f>
        <v/>
      </c>
      <c r="U683" s="5">
        <f t="shared" si="21"/>
        <v>0</v>
      </c>
    </row>
    <row r="684" spans="3:21" ht="30" customHeight="1" x14ac:dyDescent="0.2">
      <c r="C684" s="4"/>
      <c r="K684" s="5">
        <f t="shared" si="20"/>
        <v>0</v>
      </c>
      <c r="L684" s="5" t="str">
        <f>IF(OR(TRIM($B684)="",$A684=""),"",IF(OR(ISNUMBER(SEARCH(_xlfn.CONCAT(CHAR(96),CHAR(34)),$A684)),ISNUMBER(SEARCH(_xlfn.CONCAT(CHAR(34),CHAR(39)),$A684))),_xlfn.CONCAT("* REVIEW REQUIRED: compound-quote delimiter in Codebook Section on Sheet 1 row ",684,"; edit the input before running."),_xlfn.CONCAT("char ",TRIM($B684),"[doc_section] ",CHAR(96),CHAR(34),SUBSTITUTE(SUBSTITUTE(SUBSTITUTE(SUBSTITUTE(SUBSTITUTE(SUBSTITUTE($A684,CHAR(13)," "),CHAR(10)," "),CHAR(9)," "),CHAR(92),_xlfn.CONCAT(CHAR(92),CHAR(92))),"$",_xlfn.CONCAT(CHAR(92),"$")),CHAR(96),_xlfn.CONCAT(CHAR(92),CHAR(96))),CHAR(34),CHAR(39))))</f>
        <v/>
      </c>
      <c r="M684" s="5" t="str">
        <f>IF(OR(TRIM($B684)="",$C684=""),"",IF(IFERROR(MATCH(TRIM($C684),{"Quantitative","Continuous","Discrete","Categorical","Nominal","Ordinal","Identifier"},0),0)=0,_xlfn.CONCAT("* REVIEW REQUIRED: invalid Variable Type on Sheet 1 row ",684,"."),_xlfn.CONCAT("char ",TRIM($B684),"[doc_vartype] ",CHAR(96),CHAR(34),SUBSTITUTE(SUBSTITUTE(SUBSTITUTE(SUBSTITUTE(SUBSTITUTE(SUBSTITUTE(LOWER(TRIM($C684)),CHAR(13)," "),CHAR(10)," "),CHAR(9)," "),CHAR(92),_xlfn.CONCAT(CHAR(92),CHAR(92))),"$",_xlfn.CONCAT(CHAR(92),"$")),CHAR(96),_xlfn.CONCAT(CHAR(92),CHAR(96))),CHAR(34),CHAR(39))))</f>
        <v/>
      </c>
      <c r="N684" s="5" t="str">
        <f>IF(OR(TRIM($B684)="",$D684=""),"",IF(OR(ISNUMBER(SEARCH(_xlfn.CONCAT(CHAR(96),CHAR(34)),$D684)),ISNUMBER(SEARCH(_xlfn.CONCAT(CHAR(34),CHAR(39)),$D684))),_xlfn.CONCAT("* REVIEW REQUIRED: compound-quote delimiter in Item Number on Sheet 1 row ",684,"; edit the input before running."),_xlfn.CONCAT("char ",TRIM($B684),"[doc_itemnum] ",CHAR(96),CHAR(34),SUBSTITUTE(SUBSTITUTE(SUBSTITUTE(SUBSTITUTE(SUBSTITUTE(SUBSTITUTE($D684,CHAR(13)," "),CHAR(10)," "),CHAR(9)," "),CHAR(92),_xlfn.CONCAT(CHAR(92),CHAR(92))),"$",_xlfn.CONCAT(CHAR(92),"$")),CHAR(96),_xlfn.CONCAT(CHAR(92),CHAR(96))),CHAR(34),CHAR(39))))</f>
        <v/>
      </c>
      <c r="O684" s="5" t="str">
        <f>IF(OR(TRIM($B684)="",$E684=""),"",IF(OR(ISNUMBER(SEARCH(_xlfn.CONCAT(CHAR(96),CHAR(34)),$E684)),ISNUMBER(SEARCH(_xlfn.CONCAT(CHAR(34),CHAR(39)),$E684))),_xlfn.CONCAT("* REVIEW REQUIRED: compound-quote delimiter in Question Wording on Sheet 1 row ",684,"; edit the input before running."),_xlfn.CONCAT("char ",TRIM($B684),"[doc_question] ",CHAR(96),CHAR(34),SUBSTITUTE(SUBSTITUTE(SUBSTITUTE(SUBSTITUTE(SUBSTITUTE(SUBSTITUTE($E684,CHAR(13)," "),CHAR(10)," "),CHAR(9)," "),CHAR(92),_xlfn.CONCAT(CHAR(92),CHAR(92))),"$",_xlfn.CONCAT(CHAR(92),"$")),CHAR(96),_xlfn.CONCAT(CHAR(92),CHAR(96))),CHAR(34),CHAR(39))))</f>
        <v/>
      </c>
      <c r="P684" s="5" t="str">
        <f>IF(OR(TRIM($B684)="",$F684=""),"",IF(OR(ISNUMBER(SEARCH(_xlfn.CONCAT(CHAR(96),CHAR(34)),$F684)),ISNUMBER(SEARCH(_xlfn.CONCAT(CHAR(34),CHAR(39)),$F684))),_xlfn.CONCAT("* REVIEW REQUIRED: compound-quote delimiter in Units on Sheet 1 row ",684,"; edit the input before running."),_xlfn.CONCAT("char ",TRIM($B684),"[doc_units] ",CHAR(96),CHAR(34),SUBSTITUTE(SUBSTITUTE(SUBSTITUTE(SUBSTITUTE(SUBSTITUTE(SUBSTITUTE($F684,CHAR(13)," "),CHAR(10)," "),CHAR(9)," "),CHAR(92),_xlfn.CONCAT(CHAR(92),CHAR(92))),"$",_xlfn.CONCAT(CHAR(92),"$")),CHAR(96),_xlfn.CONCAT(CHAR(92),CHAR(96))),CHAR(34),CHAR(39))))</f>
        <v/>
      </c>
      <c r="Q684" s="5" t="str">
        <f>IF(OR(TRIM($B684)="",$G684=""),"",IF(OR(ISNUMBER(SEARCH(_xlfn.CONCAT(CHAR(96),CHAR(34)),$G684)),ISNUMBER(SEARCH(_xlfn.CONCAT(CHAR(34),CHAR(39)),$G684))),_xlfn.CONCAT("* REVIEW REQUIRED: compound-quote delimiter in Universe on Sheet 1 row ",684,"; edit the input before running."),_xlfn.CONCAT("char ",TRIM($B684),"[doc_universe] ",CHAR(96),CHAR(34),SUBSTITUTE(SUBSTITUTE(SUBSTITUTE(SUBSTITUTE(SUBSTITUTE(SUBSTITUTE($G684,CHAR(13)," "),CHAR(10)," "),CHAR(9)," "),CHAR(92),_xlfn.CONCAT(CHAR(92),CHAR(92))),"$",_xlfn.CONCAT(CHAR(92),"$")),CHAR(96),_xlfn.CONCAT(CHAR(92),CHAR(96))),CHAR(34),CHAR(39))))</f>
        <v/>
      </c>
      <c r="R684" s="5" t="str">
        <f>IF(OR(TRIM($B684)="",$H684=""),"",IF(OR(ISNUMBER(SEARCH(_xlfn.CONCAT(CHAR(96),CHAR(34)),$H684)),ISNUMBER(SEARCH(_xlfn.CONCAT(CHAR(34),CHAR(39)),$H684))),_xlfn.CONCAT("* REVIEW REQUIRED: compound-quote delimiter in Source on Sheet 1 row ",684,"; edit the input before running."),_xlfn.CONCAT("char ",TRIM($B684),"[doc_source] ",CHAR(96),CHAR(34),SUBSTITUTE(SUBSTITUTE(SUBSTITUTE(SUBSTITUTE(SUBSTITUTE(SUBSTITUTE($H684,CHAR(13)," "),CHAR(10)," "),CHAR(9)," "),CHAR(92),_xlfn.CONCAT(CHAR(92),CHAR(92))),"$",_xlfn.CONCAT(CHAR(92),"$")),CHAR(96),_xlfn.CONCAT(CHAR(92),CHAR(96))),CHAR(34),CHAR(39))))</f>
        <v/>
      </c>
      <c r="S684" s="5" t="str">
        <f>IF(OR(TRIM($B684)="",$I684=""),"",IF(OR(ISNUMBER(SEARCH(_xlfn.CONCAT(CHAR(96),CHAR(34)),$I684)),ISNUMBER(SEARCH(_xlfn.CONCAT(CHAR(34),CHAR(39)),$I684))),_xlfn.CONCAT("* REVIEW REQUIRED: compound-quote delimiter in Derivation on Sheet 1 row ",684,"; edit the input before running."),_xlfn.CONCAT("char ",TRIM($B684),"[doc_derivation] ",CHAR(96),CHAR(34),SUBSTITUTE(SUBSTITUTE(SUBSTITUTE(SUBSTITUTE(SUBSTITUTE(SUBSTITUTE($I684,CHAR(13)," "),CHAR(10)," "),CHAR(9)," "),CHAR(92),_xlfn.CONCAT(CHAR(92),CHAR(92))),"$",_xlfn.CONCAT(CHAR(92),"$")),CHAR(96),_xlfn.CONCAT(CHAR(92),CHAR(96))),CHAR(34),CHAR(39))))</f>
        <v/>
      </c>
      <c r="T684" s="5" t="str">
        <f>IF(OR(TRIM($B684)="",$J684=""),"",IF(OR(ISNUMBER(SEARCH(_xlfn.CONCAT(CHAR(96),CHAR(34)),$J684)),ISNUMBER(SEARCH(_xlfn.CONCAT(CHAR(34),CHAR(39)),$J684))),_xlfn.CONCAT("* REVIEW REQUIRED: compound-quote delimiter in Notes on Sheet 1 row ",684,"; edit the input before running."),_xlfn.CONCAT("char ",TRIM($B684),"[doc_notes] ",CHAR(96),CHAR(34),SUBSTITUTE(SUBSTITUTE(SUBSTITUTE(SUBSTITUTE(SUBSTITUTE(SUBSTITUTE($J684,CHAR(13)," "),CHAR(10)," "),CHAR(9)," "),CHAR(92),_xlfn.CONCAT(CHAR(92),CHAR(92))),"$",_xlfn.CONCAT(CHAR(92),"$")),CHAR(96),_xlfn.CONCAT(CHAR(92),CHAR(96))),CHAR(34),CHAR(39))))</f>
        <v/>
      </c>
      <c r="U684" s="5">
        <f t="shared" si="21"/>
        <v>0</v>
      </c>
    </row>
    <row r="685" spans="3:21" ht="30" customHeight="1" x14ac:dyDescent="0.2">
      <c r="C685" s="4"/>
      <c r="K685" s="5">
        <f t="shared" si="20"/>
        <v>0</v>
      </c>
      <c r="L685" s="5" t="str">
        <f>IF(OR(TRIM($B685)="",$A685=""),"",IF(OR(ISNUMBER(SEARCH(_xlfn.CONCAT(CHAR(96),CHAR(34)),$A685)),ISNUMBER(SEARCH(_xlfn.CONCAT(CHAR(34),CHAR(39)),$A685))),_xlfn.CONCAT("* REVIEW REQUIRED: compound-quote delimiter in Codebook Section on Sheet 1 row ",685,"; edit the input before running."),_xlfn.CONCAT("char ",TRIM($B685),"[doc_section] ",CHAR(96),CHAR(34),SUBSTITUTE(SUBSTITUTE(SUBSTITUTE(SUBSTITUTE(SUBSTITUTE(SUBSTITUTE($A685,CHAR(13)," "),CHAR(10)," "),CHAR(9)," "),CHAR(92),_xlfn.CONCAT(CHAR(92),CHAR(92))),"$",_xlfn.CONCAT(CHAR(92),"$")),CHAR(96),_xlfn.CONCAT(CHAR(92),CHAR(96))),CHAR(34),CHAR(39))))</f>
        <v/>
      </c>
      <c r="M685" s="5" t="str">
        <f>IF(OR(TRIM($B685)="",$C685=""),"",IF(IFERROR(MATCH(TRIM($C685),{"Quantitative","Continuous","Discrete","Categorical","Nominal","Ordinal","Identifier"},0),0)=0,_xlfn.CONCAT("* REVIEW REQUIRED: invalid Variable Type on Sheet 1 row ",685,"."),_xlfn.CONCAT("char ",TRIM($B685),"[doc_vartype] ",CHAR(96),CHAR(34),SUBSTITUTE(SUBSTITUTE(SUBSTITUTE(SUBSTITUTE(SUBSTITUTE(SUBSTITUTE(LOWER(TRIM($C685)),CHAR(13)," "),CHAR(10)," "),CHAR(9)," "),CHAR(92),_xlfn.CONCAT(CHAR(92),CHAR(92))),"$",_xlfn.CONCAT(CHAR(92),"$")),CHAR(96),_xlfn.CONCAT(CHAR(92),CHAR(96))),CHAR(34),CHAR(39))))</f>
        <v/>
      </c>
      <c r="N685" s="5" t="str">
        <f>IF(OR(TRIM($B685)="",$D685=""),"",IF(OR(ISNUMBER(SEARCH(_xlfn.CONCAT(CHAR(96),CHAR(34)),$D685)),ISNUMBER(SEARCH(_xlfn.CONCAT(CHAR(34),CHAR(39)),$D685))),_xlfn.CONCAT("* REVIEW REQUIRED: compound-quote delimiter in Item Number on Sheet 1 row ",685,"; edit the input before running."),_xlfn.CONCAT("char ",TRIM($B685),"[doc_itemnum] ",CHAR(96),CHAR(34),SUBSTITUTE(SUBSTITUTE(SUBSTITUTE(SUBSTITUTE(SUBSTITUTE(SUBSTITUTE($D685,CHAR(13)," "),CHAR(10)," "),CHAR(9)," "),CHAR(92),_xlfn.CONCAT(CHAR(92),CHAR(92))),"$",_xlfn.CONCAT(CHAR(92),"$")),CHAR(96),_xlfn.CONCAT(CHAR(92),CHAR(96))),CHAR(34),CHAR(39))))</f>
        <v/>
      </c>
      <c r="O685" s="5" t="str">
        <f>IF(OR(TRIM($B685)="",$E685=""),"",IF(OR(ISNUMBER(SEARCH(_xlfn.CONCAT(CHAR(96),CHAR(34)),$E685)),ISNUMBER(SEARCH(_xlfn.CONCAT(CHAR(34),CHAR(39)),$E685))),_xlfn.CONCAT("* REVIEW REQUIRED: compound-quote delimiter in Question Wording on Sheet 1 row ",685,"; edit the input before running."),_xlfn.CONCAT("char ",TRIM($B685),"[doc_question] ",CHAR(96),CHAR(34),SUBSTITUTE(SUBSTITUTE(SUBSTITUTE(SUBSTITUTE(SUBSTITUTE(SUBSTITUTE($E685,CHAR(13)," "),CHAR(10)," "),CHAR(9)," "),CHAR(92),_xlfn.CONCAT(CHAR(92),CHAR(92))),"$",_xlfn.CONCAT(CHAR(92),"$")),CHAR(96),_xlfn.CONCAT(CHAR(92),CHAR(96))),CHAR(34),CHAR(39))))</f>
        <v/>
      </c>
      <c r="P685" s="5" t="str">
        <f>IF(OR(TRIM($B685)="",$F685=""),"",IF(OR(ISNUMBER(SEARCH(_xlfn.CONCAT(CHAR(96),CHAR(34)),$F685)),ISNUMBER(SEARCH(_xlfn.CONCAT(CHAR(34),CHAR(39)),$F685))),_xlfn.CONCAT("* REVIEW REQUIRED: compound-quote delimiter in Units on Sheet 1 row ",685,"; edit the input before running."),_xlfn.CONCAT("char ",TRIM($B685),"[doc_units] ",CHAR(96),CHAR(34),SUBSTITUTE(SUBSTITUTE(SUBSTITUTE(SUBSTITUTE(SUBSTITUTE(SUBSTITUTE($F685,CHAR(13)," "),CHAR(10)," "),CHAR(9)," "),CHAR(92),_xlfn.CONCAT(CHAR(92),CHAR(92))),"$",_xlfn.CONCAT(CHAR(92),"$")),CHAR(96),_xlfn.CONCAT(CHAR(92),CHAR(96))),CHAR(34),CHAR(39))))</f>
        <v/>
      </c>
      <c r="Q685" s="5" t="str">
        <f>IF(OR(TRIM($B685)="",$G685=""),"",IF(OR(ISNUMBER(SEARCH(_xlfn.CONCAT(CHAR(96),CHAR(34)),$G685)),ISNUMBER(SEARCH(_xlfn.CONCAT(CHAR(34),CHAR(39)),$G685))),_xlfn.CONCAT("* REVIEW REQUIRED: compound-quote delimiter in Universe on Sheet 1 row ",685,"; edit the input before running."),_xlfn.CONCAT("char ",TRIM($B685),"[doc_universe] ",CHAR(96),CHAR(34),SUBSTITUTE(SUBSTITUTE(SUBSTITUTE(SUBSTITUTE(SUBSTITUTE(SUBSTITUTE($G685,CHAR(13)," "),CHAR(10)," "),CHAR(9)," "),CHAR(92),_xlfn.CONCAT(CHAR(92),CHAR(92))),"$",_xlfn.CONCAT(CHAR(92),"$")),CHAR(96),_xlfn.CONCAT(CHAR(92),CHAR(96))),CHAR(34),CHAR(39))))</f>
        <v/>
      </c>
      <c r="R685" s="5" t="str">
        <f>IF(OR(TRIM($B685)="",$H685=""),"",IF(OR(ISNUMBER(SEARCH(_xlfn.CONCAT(CHAR(96),CHAR(34)),$H685)),ISNUMBER(SEARCH(_xlfn.CONCAT(CHAR(34),CHAR(39)),$H685))),_xlfn.CONCAT("* REVIEW REQUIRED: compound-quote delimiter in Source on Sheet 1 row ",685,"; edit the input before running."),_xlfn.CONCAT("char ",TRIM($B685),"[doc_source] ",CHAR(96),CHAR(34),SUBSTITUTE(SUBSTITUTE(SUBSTITUTE(SUBSTITUTE(SUBSTITUTE(SUBSTITUTE($H685,CHAR(13)," "),CHAR(10)," "),CHAR(9)," "),CHAR(92),_xlfn.CONCAT(CHAR(92),CHAR(92))),"$",_xlfn.CONCAT(CHAR(92),"$")),CHAR(96),_xlfn.CONCAT(CHAR(92),CHAR(96))),CHAR(34),CHAR(39))))</f>
        <v/>
      </c>
      <c r="S685" s="5" t="str">
        <f>IF(OR(TRIM($B685)="",$I685=""),"",IF(OR(ISNUMBER(SEARCH(_xlfn.CONCAT(CHAR(96),CHAR(34)),$I685)),ISNUMBER(SEARCH(_xlfn.CONCAT(CHAR(34),CHAR(39)),$I685))),_xlfn.CONCAT("* REVIEW REQUIRED: compound-quote delimiter in Derivation on Sheet 1 row ",685,"; edit the input before running."),_xlfn.CONCAT("char ",TRIM($B685),"[doc_derivation] ",CHAR(96),CHAR(34),SUBSTITUTE(SUBSTITUTE(SUBSTITUTE(SUBSTITUTE(SUBSTITUTE(SUBSTITUTE($I685,CHAR(13)," "),CHAR(10)," "),CHAR(9)," "),CHAR(92),_xlfn.CONCAT(CHAR(92),CHAR(92))),"$",_xlfn.CONCAT(CHAR(92),"$")),CHAR(96),_xlfn.CONCAT(CHAR(92),CHAR(96))),CHAR(34),CHAR(39))))</f>
        <v/>
      </c>
      <c r="T685" s="5" t="str">
        <f>IF(OR(TRIM($B685)="",$J685=""),"",IF(OR(ISNUMBER(SEARCH(_xlfn.CONCAT(CHAR(96),CHAR(34)),$J685)),ISNUMBER(SEARCH(_xlfn.CONCAT(CHAR(34),CHAR(39)),$J685))),_xlfn.CONCAT("* REVIEW REQUIRED: compound-quote delimiter in Notes on Sheet 1 row ",685,"; edit the input before running."),_xlfn.CONCAT("char ",TRIM($B685),"[doc_notes] ",CHAR(96),CHAR(34),SUBSTITUTE(SUBSTITUTE(SUBSTITUTE(SUBSTITUTE(SUBSTITUTE(SUBSTITUTE($J685,CHAR(13)," "),CHAR(10)," "),CHAR(9)," "),CHAR(92),_xlfn.CONCAT(CHAR(92),CHAR(92))),"$",_xlfn.CONCAT(CHAR(92),"$")),CHAR(96),_xlfn.CONCAT(CHAR(92),CHAR(96))),CHAR(34),CHAR(39))))</f>
        <v/>
      </c>
      <c r="U685" s="5">
        <f t="shared" si="21"/>
        <v>0</v>
      </c>
    </row>
    <row r="686" spans="3:21" ht="30" customHeight="1" x14ac:dyDescent="0.2">
      <c r="C686" s="4"/>
      <c r="K686" s="5">
        <f t="shared" si="20"/>
        <v>0</v>
      </c>
      <c r="L686" s="5" t="str">
        <f>IF(OR(TRIM($B686)="",$A686=""),"",IF(OR(ISNUMBER(SEARCH(_xlfn.CONCAT(CHAR(96),CHAR(34)),$A686)),ISNUMBER(SEARCH(_xlfn.CONCAT(CHAR(34),CHAR(39)),$A686))),_xlfn.CONCAT("* REVIEW REQUIRED: compound-quote delimiter in Codebook Section on Sheet 1 row ",686,"; edit the input before running."),_xlfn.CONCAT("char ",TRIM($B686),"[doc_section] ",CHAR(96),CHAR(34),SUBSTITUTE(SUBSTITUTE(SUBSTITUTE(SUBSTITUTE(SUBSTITUTE(SUBSTITUTE($A686,CHAR(13)," "),CHAR(10)," "),CHAR(9)," "),CHAR(92),_xlfn.CONCAT(CHAR(92),CHAR(92))),"$",_xlfn.CONCAT(CHAR(92),"$")),CHAR(96),_xlfn.CONCAT(CHAR(92),CHAR(96))),CHAR(34),CHAR(39))))</f>
        <v/>
      </c>
      <c r="M686" s="5" t="str">
        <f>IF(OR(TRIM($B686)="",$C686=""),"",IF(IFERROR(MATCH(TRIM($C686),{"Quantitative","Continuous","Discrete","Categorical","Nominal","Ordinal","Identifier"},0),0)=0,_xlfn.CONCAT("* REVIEW REQUIRED: invalid Variable Type on Sheet 1 row ",686,"."),_xlfn.CONCAT("char ",TRIM($B686),"[doc_vartype] ",CHAR(96),CHAR(34),SUBSTITUTE(SUBSTITUTE(SUBSTITUTE(SUBSTITUTE(SUBSTITUTE(SUBSTITUTE(LOWER(TRIM($C686)),CHAR(13)," "),CHAR(10)," "),CHAR(9)," "),CHAR(92),_xlfn.CONCAT(CHAR(92),CHAR(92))),"$",_xlfn.CONCAT(CHAR(92),"$")),CHAR(96),_xlfn.CONCAT(CHAR(92),CHAR(96))),CHAR(34),CHAR(39))))</f>
        <v/>
      </c>
      <c r="N686" s="5" t="str">
        <f>IF(OR(TRIM($B686)="",$D686=""),"",IF(OR(ISNUMBER(SEARCH(_xlfn.CONCAT(CHAR(96),CHAR(34)),$D686)),ISNUMBER(SEARCH(_xlfn.CONCAT(CHAR(34),CHAR(39)),$D686))),_xlfn.CONCAT("* REVIEW REQUIRED: compound-quote delimiter in Item Number on Sheet 1 row ",686,"; edit the input before running."),_xlfn.CONCAT("char ",TRIM($B686),"[doc_itemnum] ",CHAR(96),CHAR(34),SUBSTITUTE(SUBSTITUTE(SUBSTITUTE(SUBSTITUTE(SUBSTITUTE(SUBSTITUTE($D686,CHAR(13)," "),CHAR(10)," "),CHAR(9)," "),CHAR(92),_xlfn.CONCAT(CHAR(92),CHAR(92))),"$",_xlfn.CONCAT(CHAR(92),"$")),CHAR(96),_xlfn.CONCAT(CHAR(92),CHAR(96))),CHAR(34),CHAR(39))))</f>
        <v/>
      </c>
      <c r="O686" s="5" t="str">
        <f>IF(OR(TRIM($B686)="",$E686=""),"",IF(OR(ISNUMBER(SEARCH(_xlfn.CONCAT(CHAR(96),CHAR(34)),$E686)),ISNUMBER(SEARCH(_xlfn.CONCAT(CHAR(34),CHAR(39)),$E686))),_xlfn.CONCAT("* REVIEW REQUIRED: compound-quote delimiter in Question Wording on Sheet 1 row ",686,"; edit the input before running."),_xlfn.CONCAT("char ",TRIM($B686),"[doc_question] ",CHAR(96),CHAR(34),SUBSTITUTE(SUBSTITUTE(SUBSTITUTE(SUBSTITUTE(SUBSTITUTE(SUBSTITUTE($E686,CHAR(13)," "),CHAR(10)," "),CHAR(9)," "),CHAR(92),_xlfn.CONCAT(CHAR(92),CHAR(92))),"$",_xlfn.CONCAT(CHAR(92),"$")),CHAR(96),_xlfn.CONCAT(CHAR(92),CHAR(96))),CHAR(34),CHAR(39))))</f>
        <v/>
      </c>
      <c r="P686" s="5" t="str">
        <f>IF(OR(TRIM($B686)="",$F686=""),"",IF(OR(ISNUMBER(SEARCH(_xlfn.CONCAT(CHAR(96),CHAR(34)),$F686)),ISNUMBER(SEARCH(_xlfn.CONCAT(CHAR(34),CHAR(39)),$F686))),_xlfn.CONCAT("* REVIEW REQUIRED: compound-quote delimiter in Units on Sheet 1 row ",686,"; edit the input before running."),_xlfn.CONCAT("char ",TRIM($B686),"[doc_units] ",CHAR(96),CHAR(34),SUBSTITUTE(SUBSTITUTE(SUBSTITUTE(SUBSTITUTE(SUBSTITUTE(SUBSTITUTE($F686,CHAR(13)," "),CHAR(10)," "),CHAR(9)," "),CHAR(92),_xlfn.CONCAT(CHAR(92),CHAR(92))),"$",_xlfn.CONCAT(CHAR(92),"$")),CHAR(96),_xlfn.CONCAT(CHAR(92),CHAR(96))),CHAR(34),CHAR(39))))</f>
        <v/>
      </c>
      <c r="Q686" s="5" t="str">
        <f>IF(OR(TRIM($B686)="",$G686=""),"",IF(OR(ISNUMBER(SEARCH(_xlfn.CONCAT(CHAR(96),CHAR(34)),$G686)),ISNUMBER(SEARCH(_xlfn.CONCAT(CHAR(34),CHAR(39)),$G686))),_xlfn.CONCAT("* REVIEW REQUIRED: compound-quote delimiter in Universe on Sheet 1 row ",686,"; edit the input before running."),_xlfn.CONCAT("char ",TRIM($B686),"[doc_universe] ",CHAR(96),CHAR(34),SUBSTITUTE(SUBSTITUTE(SUBSTITUTE(SUBSTITUTE(SUBSTITUTE(SUBSTITUTE($G686,CHAR(13)," "),CHAR(10)," "),CHAR(9)," "),CHAR(92),_xlfn.CONCAT(CHAR(92),CHAR(92))),"$",_xlfn.CONCAT(CHAR(92),"$")),CHAR(96),_xlfn.CONCAT(CHAR(92),CHAR(96))),CHAR(34),CHAR(39))))</f>
        <v/>
      </c>
      <c r="R686" s="5" t="str">
        <f>IF(OR(TRIM($B686)="",$H686=""),"",IF(OR(ISNUMBER(SEARCH(_xlfn.CONCAT(CHAR(96),CHAR(34)),$H686)),ISNUMBER(SEARCH(_xlfn.CONCAT(CHAR(34),CHAR(39)),$H686))),_xlfn.CONCAT("* REVIEW REQUIRED: compound-quote delimiter in Source on Sheet 1 row ",686,"; edit the input before running."),_xlfn.CONCAT("char ",TRIM($B686),"[doc_source] ",CHAR(96),CHAR(34),SUBSTITUTE(SUBSTITUTE(SUBSTITUTE(SUBSTITUTE(SUBSTITUTE(SUBSTITUTE($H686,CHAR(13)," "),CHAR(10)," "),CHAR(9)," "),CHAR(92),_xlfn.CONCAT(CHAR(92),CHAR(92))),"$",_xlfn.CONCAT(CHAR(92),"$")),CHAR(96),_xlfn.CONCAT(CHAR(92),CHAR(96))),CHAR(34),CHAR(39))))</f>
        <v/>
      </c>
      <c r="S686" s="5" t="str">
        <f>IF(OR(TRIM($B686)="",$I686=""),"",IF(OR(ISNUMBER(SEARCH(_xlfn.CONCAT(CHAR(96),CHAR(34)),$I686)),ISNUMBER(SEARCH(_xlfn.CONCAT(CHAR(34),CHAR(39)),$I686))),_xlfn.CONCAT("* REVIEW REQUIRED: compound-quote delimiter in Derivation on Sheet 1 row ",686,"; edit the input before running."),_xlfn.CONCAT("char ",TRIM($B686),"[doc_derivation] ",CHAR(96),CHAR(34),SUBSTITUTE(SUBSTITUTE(SUBSTITUTE(SUBSTITUTE(SUBSTITUTE(SUBSTITUTE($I686,CHAR(13)," "),CHAR(10)," "),CHAR(9)," "),CHAR(92),_xlfn.CONCAT(CHAR(92),CHAR(92))),"$",_xlfn.CONCAT(CHAR(92),"$")),CHAR(96),_xlfn.CONCAT(CHAR(92),CHAR(96))),CHAR(34),CHAR(39))))</f>
        <v/>
      </c>
      <c r="T686" s="5" t="str">
        <f>IF(OR(TRIM($B686)="",$J686=""),"",IF(OR(ISNUMBER(SEARCH(_xlfn.CONCAT(CHAR(96),CHAR(34)),$J686)),ISNUMBER(SEARCH(_xlfn.CONCAT(CHAR(34),CHAR(39)),$J686))),_xlfn.CONCAT("* REVIEW REQUIRED: compound-quote delimiter in Notes on Sheet 1 row ",686,"; edit the input before running."),_xlfn.CONCAT("char ",TRIM($B686),"[doc_notes] ",CHAR(96),CHAR(34),SUBSTITUTE(SUBSTITUTE(SUBSTITUTE(SUBSTITUTE(SUBSTITUTE(SUBSTITUTE($J686,CHAR(13)," "),CHAR(10)," "),CHAR(9)," "),CHAR(92),_xlfn.CONCAT(CHAR(92),CHAR(92))),"$",_xlfn.CONCAT(CHAR(92),"$")),CHAR(96),_xlfn.CONCAT(CHAR(92),CHAR(96))),CHAR(34),CHAR(39))))</f>
        <v/>
      </c>
      <c r="U686" s="5">
        <f t="shared" si="21"/>
        <v>0</v>
      </c>
    </row>
    <row r="687" spans="3:21" ht="30" customHeight="1" x14ac:dyDescent="0.2">
      <c r="C687" s="4"/>
      <c r="K687" s="5">
        <f t="shared" si="20"/>
        <v>0</v>
      </c>
      <c r="L687" s="5" t="str">
        <f>IF(OR(TRIM($B687)="",$A687=""),"",IF(OR(ISNUMBER(SEARCH(_xlfn.CONCAT(CHAR(96),CHAR(34)),$A687)),ISNUMBER(SEARCH(_xlfn.CONCAT(CHAR(34),CHAR(39)),$A687))),_xlfn.CONCAT("* REVIEW REQUIRED: compound-quote delimiter in Codebook Section on Sheet 1 row ",687,"; edit the input before running."),_xlfn.CONCAT("char ",TRIM($B687),"[doc_section] ",CHAR(96),CHAR(34),SUBSTITUTE(SUBSTITUTE(SUBSTITUTE(SUBSTITUTE(SUBSTITUTE(SUBSTITUTE($A687,CHAR(13)," "),CHAR(10)," "),CHAR(9)," "),CHAR(92),_xlfn.CONCAT(CHAR(92),CHAR(92))),"$",_xlfn.CONCAT(CHAR(92),"$")),CHAR(96),_xlfn.CONCAT(CHAR(92),CHAR(96))),CHAR(34),CHAR(39))))</f>
        <v/>
      </c>
      <c r="M687" s="5" t="str">
        <f>IF(OR(TRIM($B687)="",$C687=""),"",IF(IFERROR(MATCH(TRIM($C687),{"Quantitative","Continuous","Discrete","Categorical","Nominal","Ordinal","Identifier"},0),0)=0,_xlfn.CONCAT("* REVIEW REQUIRED: invalid Variable Type on Sheet 1 row ",687,"."),_xlfn.CONCAT("char ",TRIM($B687),"[doc_vartype] ",CHAR(96),CHAR(34),SUBSTITUTE(SUBSTITUTE(SUBSTITUTE(SUBSTITUTE(SUBSTITUTE(SUBSTITUTE(LOWER(TRIM($C687)),CHAR(13)," "),CHAR(10)," "),CHAR(9)," "),CHAR(92),_xlfn.CONCAT(CHAR(92),CHAR(92))),"$",_xlfn.CONCAT(CHAR(92),"$")),CHAR(96),_xlfn.CONCAT(CHAR(92),CHAR(96))),CHAR(34),CHAR(39))))</f>
        <v/>
      </c>
      <c r="N687" s="5" t="str">
        <f>IF(OR(TRIM($B687)="",$D687=""),"",IF(OR(ISNUMBER(SEARCH(_xlfn.CONCAT(CHAR(96),CHAR(34)),$D687)),ISNUMBER(SEARCH(_xlfn.CONCAT(CHAR(34),CHAR(39)),$D687))),_xlfn.CONCAT("* REVIEW REQUIRED: compound-quote delimiter in Item Number on Sheet 1 row ",687,"; edit the input before running."),_xlfn.CONCAT("char ",TRIM($B687),"[doc_itemnum] ",CHAR(96),CHAR(34),SUBSTITUTE(SUBSTITUTE(SUBSTITUTE(SUBSTITUTE(SUBSTITUTE(SUBSTITUTE($D687,CHAR(13)," "),CHAR(10)," "),CHAR(9)," "),CHAR(92),_xlfn.CONCAT(CHAR(92),CHAR(92))),"$",_xlfn.CONCAT(CHAR(92),"$")),CHAR(96),_xlfn.CONCAT(CHAR(92),CHAR(96))),CHAR(34),CHAR(39))))</f>
        <v/>
      </c>
      <c r="O687" s="5" t="str">
        <f>IF(OR(TRIM($B687)="",$E687=""),"",IF(OR(ISNUMBER(SEARCH(_xlfn.CONCAT(CHAR(96),CHAR(34)),$E687)),ISNUMBER(SEARCH(_xlfn.CONCAT(CHAR(34),CHAR(39)),$E687))),_xlfn.CONCAT("* REVIEW REQUIRED: compound-quote delimiter in Question Wording on Sheet 1 row ",687,"; edit the input before running."),_xlfn.CONCAT("char ",TRIM($B687),"[doc_question] ",CHAR(96),CHAR(34),SUBSTITUTE(SUBSTITUTE(SUBSTITUTE(SUBSTITUTE(SUBSTITUTE(SUBSTITUTE($E687,CHAR(13)," "),CHAR(10)," "),CHAR(9)," "),CHAR(92),_xlfn.CONCAT(CHAR(92),CHAR(92))),"$",_xlfn.CONCAT(CHAR(92),"$")),CHAR(96),_xlfn.CONCAT(CHAR(92),CHAR(96))),CHAR(34),CHAR(39))))</f>
        <v/>
      </c>
      <c r="P687" s="5" t="str">
        <f>IF(OR(TRIM($B687)="",$F687=""),"",IF(OR(ISNUMBER(SEARCH(_xlfn.CONCAT(CHAR(96),CHAR(34)),$F687)),ISNUMBER(SEARCH(_xlfn.CONCAT(CHAR(34),CHAR(39)),$F687))),_xlfn.CONCAT("* REVIEW REQUIRED: compound-quote delimiter in Units on Sheet 1 row ",687,"; edit the input before running."),_xlfn.CONCAT("char ",TRIM($B687),"[doc_units] ",CHAR(96),CHAR(34),SUBSTITUTE(SUBSTITUTE(SUBSTITUTE(SUBSTITUTE(SUBSTITUTE(SUBSTITUTE($F687,CHAR(13)," "),CHAR(10)," "),CHAR(9)," "),CHAR(92),_xlfn.CONCAT(CHAR(92),CHAR(92))),"$",_xlfn.CONCAT(CHAR(92),"$")),CHAR(96),_xlfn.CONCAT(CHAR(92),CHAR(96))),CHAR(34),CHAR(39))))</f>
        <v/>
      </c>
      <c r="Q687" s="5" t="str">
        <f>IF(OR(TRIM($B687)="",$G687=""),"",IF(OR(ISNUMBER(SEARCH(_xlfn.CONCAT(CHAR(96),CHAR(34)),$G687)),ISNUMBER(SEARCH(_xlfn.CONCAT(CHAR(34),CHAR(39)),$G687))),_xlfn.CONCAT("* REVIEW REQUIRED: compound-quote delimiter in Universe on Sheet 1 row ",687,"; edit the input before running."),_xlfn.CONCAT("char ",TRIM($B687),"[doc_universe] ",CHAR(96),CHAR(34),SUBSTITUTE(SUBSTITUTE(SUBSTITUTE(SUBSTITUTE(SUBSTITUTE(SUBSTITUTE($G687,CHAR(13)," "),CHAR(10)," "),CHAR(9)," "),CHAR(92),_xlfn.CONCAT(CHAR(92),CHAR(92))),"$",_xlfn.CONCAT(CHAR(92),"$")),CHAR(96),_xlfn.CONCAT(CHAR(92),CHAR(96))),CHAR(34),CHAR(39))))</f>
        <v/>
      </c>
      <c r="R687" s="5" t="str">
        <f>IF(OR(TRIM($B687)="",$H687=""),"",IF(OR(ISNUMBER(SEARCH(_xlfn.CONCAT(CHAR(96),CHAR(34)),$H687)),ISNUMBER(SEARCH(_xlfn.CONCAT(CHAR(34),CHAR(39)),$H687))),_xlfn.CONCAT("* REVIEW REQUIRED: compound-quote delimiter in Source on Sheet 1 row ",687,"; edit the input before running."),_xlfn.CONCAT("char ",TRIM($B687),"[doc_source] ",CHAR(96),CHAR(34),SUBSTITUTE(SUBSTITUTE(SUBSTITUTE(SUBSTITUTE(SUBSTITUTE(SUBSTITUTE($H687,CHAR(13)," "),CHAR(10)," "),CHAR(9)," "),CHAR(92),_xlfn.CONCAT(CHAR(92),CHAR(92))),"$",_xlfn.CONCAT(CHAR(92),"$")),CHAR(96),_xlfn.CONCAT(CHAR(92),CHAR(96))),CHAR(34),CHAR(39))))</f>
        <v/>
      </c>
      <c r="S687" s="5" t="str">
        <f>IF(OR(TRIM($B687)="",$I687=""),"",IF(OR(ISNUMBER(SEARCH(_xlfn.CONCAT(CHAR(96),CHAR(34)),$I687)),ISNUMBER(SEARCH(_xlfn.CONCAT(CHAR(34),CHAR(39)),$I687))),_xlfn.CONCAT("* REVIEW REQUIRED: compound-quote delimiter in Derivation on Sheet 1 row ",687,"; edit the input before running."),_xlfn.CONCAT("char ",TRIM($B687),"[doc_derivation] ",CHAR(96),CHAR(34),SUBSTITUTE(SUBSTITUTE(SUBSTITUTE(SUBSTITUTE(SUBSTITUTE(SUBSTITUTE($I687,CHAR(13)," "),CHAR(10)," "),CHAR(9)," "),CHAR(92),_xlfn.CONCAT(CHAR(92),CHAR(92))),"$",_xlfn.CONCAT(CHAR(92),"$")),CHAR(96),_xlfn.CONCAT(CHAR(92),CHAR(96))),CHAR(34),CHAR(39))))</f>
        <v/>
      </c>
      <c r="T687" s="5" t="str">
        <f>IF(OR(TRIM($B687)="",$J687=""),"",IF(OR(ISNUMBER(SEARCH(_xlfn.CONCAT(CHAR(96),CHAR(34)),$J687)),ISNUMBER(SEARCH(_xlfn.CONCAT(CHAR(34),CHAR(39)),$J687))),_xlfn.CONCAT("* REVIEW REQUIRED: compound-quote delimiter in Notes on Sheet 1 row ",687,"; edit the input before running."),_xlfn.CONCAT("char ",TRIM($B687),"[doc_notes] ",CHAR(96),CHAR(34),SUBSTITUTE(SUBSTITUTE(SUBSTITUTE(SUBSTITUTE(SUBSTITUTE(SUBSTITUTE($J687,CHAR(13)," "),CHAR(10)," "),CHAR(9)," "),CHAR(92),_xlfn.CONCAT(CHAR(92),CHAR(92))),"$",_xlfn.CONCAT(CHAR(92),"$")),CHAR(96),_xlfn.CONCAT(CHAR(92),CHAR(96))),CHAR(34),CHAR(39))))</f>
        <v/>
      </c>
      <c r="U687" s="5">
        <f t="shared" si="21"/>
        <v>0</v>
      </c>
    </row>
    <row r="688" spans="3:21" ht="30" customHeight="1" x14ac:dyDescent="0.2">
      <c r="C688" s="4"/>
      <c r="K688" s="5">
        <f t="shared" si="20"/>
        <v>0</v>
      </c>
      <c r="L688" s="5" t="str">
        <f>IF(OR(TRIM($B688)="",$A688=""),"",IF(OR(ISNUMBER(SEARCH(_xlfn.CONCAT(CHAR(96),CHAR(34)),$A688)),ISNUMBER(SEARCH(_xlfn.CONCAT(CHAR(34),CHAR(39)),$A688))),_xlfn.CONCAT("* REVIEW REQUIRED: compound-quote delimiter in Codebook Section on Sheet 1 row ",688,"; edit the input before running."),_xlfn.CONCAT("char ",TRIM($B688),"[doc_section] ",CHAR(96),CHAR(34),SUBSTITUTE(SUBSTITUTE(SUBSTITUTE(SUBSTITUTE(SUBSTITUTE(SUBSTITUTE($A688,CHAR(13)," "),CHAR(10)," "),CHAR(9)," "),CHAR(92),_xlfn.CONCAT(CHAR(92),CHAR(92))),"$",_xlfn.CONCAT(CHAR(92),"$")),CHAR(96),_xlfn.CONCAT(CHAR(92),CHAR(96))),CHAR(34),CHAR(39))))</f>
        <v/>
      </c>
      <c r="M688" s="5" t="str">
        <f>IF(OR(TRIM($B688)="",$C688=""),"",IF(IFERROR(MATCH(TRIM($C688),{"Quantitative","Continuous","Discrete","Categorical","Nominal","Ordinal","Identifier"},0),0)=0,_xlfn.CONCAT("* REVIEW REQUIRED: invalid Variable Type on Sheet 1 row ",688,"."),_xlfn.CONCAT("char ",TRIM($B688),"[doc_vartype] ",CHAR(96),CHAR(34),SUBSTITUTE(SUBSTITUTE(SUBSTITUTE(SUBSTITUTE(SUBSTITUTE(SUBSTITUTE(LOWER(TRIM($C688)),CHAR(13)," "),CHAR(10)," "),CHAR(9)," "),CHAR(92),_xlfn.CONCAT(CHAR(92),CHAR(92))),"$",_xlfn.CONCAT(CHAR(92),"$")),CHAR(96),_xlfn.CONCAT(CHAR(92),CHAR(96))),CHAR(34),CHAR(39))))</f>
        <v/>
      </c>
      <c r="N688" s="5" t="str">
        <f>IF(OR(TRIM($B688)="",$D688=""),"",IF(OR(ISNUMBER(SEARCH(_xlfn.CONCAT(CHAR(96),CHAR(34)),$D688)),ISNUMBER(SEARCH(_xlfn.CONCAT(CHAR(34),CHAR(39)),$D688))),_xlfn.CONCAT("* REVIEW REQUIRED: compound-quote delimiter in Item Number on Sheet 1 row ",688,"; edit the input before running."),_xlfn.CONCAT("char ",TRIM($B688),"[doc_itemnum] ",CHAR(96),CHAR(34),SUBSTITUTE(SUBSTITUTE(SUBSTITUTE(SUBSTITUTE(SUBSTITUTE(SUBSTITUTE($D688,CHAR(13)," "),CHAR(10)," "),CHAR(9)," "),CHAR(92),_xlfn.CONCAT(CHAR(92),CHAR(92))),"$",_xlfn.CONCAT(CHAR(92),"$")),CHAR(96),_xlfn.CONCAT(CHAR(92),CHAR(96))),CHAR(34),CHAR(39))))</f>
        <v/>
      </c>
      <c r="O688" s="5" t="str">
        <f>IF(OR(TRIM($B688)="",$E688=""),"",IF(OR(ISNUMBER(SEARCH(_xlfn.CONCAT(CHAR(96),CHAR(34)),$E688)),ISNUMBER(SEARCH(_xlfn.CONCAT(CHAR(34),CHAR(39)),$E688))),_xlfn.CONCAT("* REVIEW REQUIRED: compound-quote delimiter in Question Wording on Sheet 1 row ",688,"; edit the input before running."),_xlfn.CONCAT("char ",TRIM($B688),"[doc_question] ",CHAR(96),CHAR(34),SUBSTITUTE(SUBSTITUTE(SUBSTITUTE(SUBSTITUTE(SUBSTITUTE(SUBSTITUTE($E688,CHAR(13)," "),CHAR(10)," "),CHAR(9)," "),CHAR(92),_xlfn.CONCAT(CHAR(92),CHAR(92))),"$",_xlfn.CONCAT(CHAR(92),"$")),CHAR(96),_xlfn.CONCAT(CHAR(92),CHAR(96))),CHAR(34),CHAR(39))))</f>
        <v/>
      </c>
      <c r="P688" s="5" t="str">
        <f>IF(OR(TRIM($B688)="",$F688=""),"",IF(OR(ISNUMBER(SEARCH(_xlfn.CONCAT(CHAR(96),CHAR(34)),$F688)),ISNUMBER(SEARCH(_xlfn.CONCAT(CHAR(34),CHAR(39)),$F688))),_xlfn.CONCAT("* REVIEW REQUIRED: compound-quote delimiter in Units on Sheet 1 row ",688,"; edit the input before running."),_xlfn.CONCAT("char ",TRIM($B688),"[doc_units] ",CHAR(96),CHAR(34),SUBSTITUTE(SUBSTITUTE(SUBSTITUTE(SUBSTITUTE(SUBSTITUTE(SUBSTITUTE($F688,CHAR(13)," "),CHAR(10)," "),CHAR(9)," "),CHAR(92),_xlfn.CONCAT(CHAR(92),CHAR(92))),"$",_xlfn.CONCAT(CHAR(92),"$")),CHAR(96),_xlfn.CONCAT(CHAR(92),CHAR(96))),CHAR(34),CHAR(39))))</f>
        <v/>
      </c>
      <c r="Q688" s="5" t="str">
        <f>IF(OR(TRIM($B688)="",$G688=""),"",IF(OR(ISNUMBER(SEARCH(_xlfn.CONCAT(CHAR(96),CHAR(34)),$G688)),ISNUMBER(SEARCH(_xlfn.CONCAT(CHAR(34),CHAR(39)),$G688))),_xlfn.CONCAT("* REVIEW REQUIRED: compound-quote delimiter in Universe on Sheet 1 row ",688,"; edit the input before running."),_xlfn.CONCAT("char ",TRIM($B688),"[doc_universe] ",CHAR(96),CHAR(34),SUBSTITUTE(SUBSTITUTE(SUBSTITUTE(SUBSTITUTE(SUBSTITUTE(SUBSTITUTE($G688,CHAR(13)," "),CHAR(10)," "),CHAR(9)," "),CHAR(92),_xlfn.CONCAT(CHAR(92),CHAR(92))),"$",_xlfn.CONCAT(CHAR(92),"$")),CHAR(96),_xlfn.CONCAT(CHAR(92),CHAR(96))),CHAR(34),CHAR(39))))</f>
        <v/>
      </c>
      <c r="R688" s="5" t="str">
        <f>IF(OR(TRIM($B688)="",$H688=""),"",IF(OR(ISNUMBER(SEARCH(_xlfn.CONCAT(CHAR(96),CHAR(34)),$H688)),ISNUMBER(SEARCH(_xlfn.CONCAT(CHAR(34),CHAR(39)),$H688))),_xlfn.CONCAT("* REVIEW REQUIRED: compound-quote delimiter in Source on Sheet 1 row ",688,"; edit the input before running."),_xlfn.CONCAT("char ",TRIM($B688),"[doc_source] ",CHAR(96),CHAR(34),SUBSTITUTE(SUBSTITUTE(SUBSTITUTE(SUBSTITUTE(SUBSTITUTE(SUBSTITUTE($H688,CHAR(13)," "),CHAR(10)," "),CHAR(9)," "),CHAR(92),_xlfn.CONCAT(CHAR(92),CHAR(92))),"$",_xlfn.CONCAT(CHAR(92),"$")),CHAR(96),_xlfn.CONCAT(CHAR(92),CHAR(96))),CHAR(34),CHAR(39))))</f>
        <v/>
      </c>
      <c r="S688" s="5" t="str">
        <f>IF(OR(TRIM($B688)="",$I688=""),"",IF(OR(ISNUMBER(SEARCH(_xlfn.CONCAT(CHAR(96),CHAR(34)),$I688)),ISNUMBER(SEARCH(_xlfn.CONCAT(CHAR(34),CHAR(39)),$I688))),_xlfn.CONCAT("* REVIEW REQUIRED: compound-quote delimiter in Derivation on Sheet 1 row ",688,"; edit the input before running."),_xlfn.CONCAT("char ",TRIM($B688),"[doc_derivation] ",CHAR(96),CHAR(34),SUBSTITUTE(SUBSTITUTE(SUBSTITUTE(SUBSTITUTE(SUBSTITUTE(SUBSTITUTE($I688,CHAR(13)," "),CHAR(10)," "),CHAR(9)," "),CHAR(92),_xlfn.CONCAT(CHAR(92),CHAR(92))),"$",_xlfn.CONCAT(CHAR(92),"$")),CHAR(96),_xlfn.CONCAT(CHAR(92),CHAR(96))),CHAR(34),CHAR(39))))</f>
        <v/>
      </c>
      <c r="T688" s="5" t="str">
        <f>IF(OR(TRIM($B688)="",$J688=""),"",IF(OR(ISNUMBER(SEARCH(_xlfn.CONCAT(CHAR(96),CHAR(34)),$J688)),ISNUMBER(SEARCH(_xlfn.CONCAT(CHAR(34),CHAR(39)),$J688))),_xlfn.CONCAT("* REVIEW REQUIRED: compound-quote delimiter in Notes on Sheet 1 row ",688,"; edit the input before running."),_xlfn.CONCAT("char ",TRIM($B688),"[doc_notes] ",CHAR(96),CHAR(34),SUBSTITUTE(SUBSTITUTE(SUBSTITUTE(SUBSTITUTE(SUBSTITUTE(SUBSTITUTE($J688,CHAR(13)," "),CHAR(10)," "),CHAR(9)," "),CHAR(92),_xlfn.CONCAT(CHAR(92),CHAR(92))),"$",_xlfn.CONCAT(CHAR(92),"$")),CHAR(96),_xlfn.CONCAT(CHAR(92),CHAR(96))),CHAR(34),CHAR(39))))</f>
        <v/>
      </c>
      <c r="U688" s="5">
        <f t="shared" si="21"/>
        <v>0</v>
      </c>
    </row>
    <row r="689" spans="3:21" ht="30" customHeight="1" x14ac:dyDescent="0.2">
      <c r="C689" s="4"/>
      <c r="K689" s="5">
        <f t="shared" si="20"/>
        <v>0</v>
      </c>
      <c r="L689" s="5" t="str">
        <f>IF(OR(TRIM($B689)="",$A689=""),"",IF(OR(ISNUMBER(SEARCH(_xlfn.CONCAT(CHAR(96),CHAR(34)),$A689)),ISNUMBER(SEARCH(_xlfn.CONCAT(CHAR(34),CHAR(39)),$A689))),_xlfn.CONCAT("* REVIEW REQUIRED: compound-quote delimiter in Codebook Section on Sheet 1 row ",689,"; edit the input before running."),_xlfn.CONCAT("char ",TRIM($B689),"[doc_section] ",CHAR(96),CHAR(34),SUBSTITUTE(SUBSTITUTE(SUBSTITUTE(SUBSTITUTE(SUBSTITUTE(SUBSTITUTE($A689,CHAR(13)," "),CHAR(10)," "),CHAR(9)," "),CHAR(92),_xlfn.CONCAT(CHAR(92),CHAR(92))),"$",_xlfn.CONCAT(CHAR(92),"$")),CHAR(96),_xlfn.CONCAT(CHAR(92),CHAR(96))),CHAR(34),CHAR(39))))</f>
        <v/>
      </c>
      <c r="M689" s="5" t="str">
        <f>IF(OR(TRIM($B689)="",$C689=""),"",IF(IFERROR(MATCH(TRIM($C689),{"Quantitative","Continuous","Discrete","Categorical","Nominal","Ordinal","Identifier"},0),0)=0,_xlfn.CONCAT("* REVIEW REQUIRED: invalid Variable Type on Sheet 1 row ",689,"."),_xlfn.CONCAT("char ",TRIM($B689),"[doc_vartype] ",CHAR(96),CHAR(34),SUBSTITUTE(SUBSTITUTE(SUBSTITUTE(SUBSTITUTE(SUBSTITUTE(SUBSTITUTE(LOWER(TRIM($C689)),CHAR(13)," "),CHAR(10)," "),CHAR(9)," "),CHAR(92),_xlfn.CONCAT(CHAR(92),CHAR(92))),"$",_xlfn.CONCAT(CHAR(92),"$")),CHAR(96),_xlfn.CONCAT(CHAR(92),CHAR(96))),CHAR(34),CHAR(39))))</f>
        <v/>
      </c>
      <c r="N689" s="5" t="str">
        <f>IF(OR(TRIM($B689)="",$D689=""),"",IF(OR(ISNUMBER(SEARCH(_xlfn.CONCAT(CHAR(96),CHAR(34)),$D689)),ISNUMBER(SEARCH(_xlfn.CONCAT(CHAR(34),CHAR(39)),$D689))),_xlfn.CONCAT("* REVIEW REQUIRED: compound-quote delimiter in Item Number on Sheet 1 row ",689,"; edit the input before running."),_xlfn.CONCAT("char ",TRIM($B689),"[doc_itemnum] ",CHAR(96),CHAR(34),SUBSTITUTE(SUBSTITUTE(SUBSTITUTE(SUBSTITUTE(SUBSTITUTE(SUBSTITUTE($D689,CHAR(13)," "),CHAR(10)," "),CHAR(9)," "),CHAR(92),_xlfn.CONCAT(CHAR(92),CHAR(92))),"$",_xlfn.CONCAT(CHAR(92),"$")),CHAR(96),_xlfn.CONCAT(CHAR(92),CHAR(96))),CHAR(34),CHAR(39))))</f>
        <v/>
      </c>
      <c r="O689" s="5" t="str">
        <f>IF(OR(TRIM($B689)="",$E689=""),"",IF(OR(ISNUMBER(SEARCH(_xlfn.CONCAT(CHAR(96),CHAR(34)),$E689)),ISNUMBER(SEARCH(_xlfn.CONCAT(CHAR(34),CHAR(39)),$E689))),_xlfn.CONCAT("* REVIEW REQUIRED: compound-quote delimiter in Question Wording on Sheet 1 row ",689,"; edit the input before running."),_xlfn.CONCAT("char ",TRIM($B689),"[doc_question] ",CHAR(96),CHAR(34),SUBSTITUTE(SUBSTITUTE(SUBSTITUTE(SUBSTITUTE(SUBSTITUTE(SUBSTITUTE($E689,CHAR(13)," "),CHAR(10)," "),CHAR(9)," "),CHAR(92),_xlfn.CONCAT(CHAR(92),CHAR(92))),"$",_xlfn.CONCAT(CHAR(92),"$")),CHAR(96),_xlfn.CONCAT(CHAR(92),CHAR(96))),CHAR(34),CHAR(39))))</f>
        <v/>
      </c>
      <c r="P689" s="5" t="str">
        <f>IF(OR(TRIM($B689)="",$F689=""),"",IF(OR(ISNUMBER(SEARCH(_xlfn.CONCAT(CHAR(96),CHAR(34)),$F689)),ISNUMBER(SEARCH(_xlfn.CONCAT(CHAR(34),CHAR(39)),$F689))),_xlfn.CONCAT("* REVIEW REQUIRED: compound-quote delimiter in Units on Sheet 1 row ",689,"; edit the input before running."),_xlfn.CONCAT("char ",TRIM($B689),"[doc_units] ",CHAR(96),CHAR(34),SUBSTITUTE(SUBSTITUTE(SUBSTITUTE(SUBSTITUTE(SUBSTITUTE(SUBSTITUTE($F689,CHAR(13)," "),CHAR(10)," "),CHAR(9)," "),CHAR(92),_xlfn.CONCAT(CHAR(92),CHAR(92))),"$",_xlfn.CONCAT(CHAR(92),"$")),CHAR(96),_xlfn.CONCAT(CHAR(92),CHAR(96))),CHAR(34),CHAR(39))))</f>
        <v/>
      </c>
      <c r="Q689" s="5" t="str">
        <f>IF(OR(TRIM($B689)="",$G689=""),"",IF(OR(ISNUMBER(SEARCH(_xlfn.CONCAT(CHAR(96),CHAR(34)),$G689)),ISNUMBER(SEARCH(_xlfn.CONCAT(CHAR(34),CHAR(39)),$G689))),_xlfn.CONCAT("* REVIEW REQUIRED: compound-quote delimiter in Universe on Sheet 1 row ",689,"; edit the input before running."),_xlfn.CONCAT("char ",TRIM($B689),"[doc_universe] ",CHAR(96),CHAR(34),SUBSTITUTE(SUBSTITUTE(SUBSTITUTE(SUBSTITUTE(SUBSTITUTE(SUBSTITUTE($G689,CHAR(13)," "),CHAR(10)," "),CHAR(9)," "),CHAR(92),_xlfn.CONCAT(CHAR(92),CHAR(92))),"$",_xlfn.CONCAT(CHAR(92),"$")),CHAR(96),_xlfn.CONCAT(CHAR(92),CHAR(96))),CHAR(34),CHAR(39))))</f>
        <v/>
      </c>
      <c r="R689" s="5" t="str">
        <f>IF(OR(TRIM($B689)="",$H689=""),"",IF(OR(ISNUMBER(SEARCH(_xlfn.CONCAT(CHAR(96),CHAR(34)),$H689)),ISNUMBER(SEARCH(_xlfn.CONCAT(CHAR(34),CHAR(39)),$H689))),_xlfn.CONCAT("* REVIEW REQUIRED: compound-quote delimiter in Source on Sheet 1 row ",689,"; edit the input before running."),_xlfn.CONCAT("char ",TRIM($B689),"[doc_source] ",CHAR(96),CHAR(34),SUBSTITUTE(SUBSTITUTE(SUBSTITUTE(SUBSTITUTE(SUBSTITUTE(SUBSTITUTE($H689,CHAR(13)," "),CHAR(10)," "),CHAR(9)," "),CHAR(92),_xlfn.CONCAT(CHAR(92),CHAR(92))),"$",_xlfn.CONCAT(CHAR(92),"$")),CHAR(96),_xlfn.CONCAT(CHAR(92),CHAR(96))),CHAR(34),CHAR(39))))</f>
        <v/>
      </c>
      <c r="S689" s="5" t="str">
        <f>IF(OR(TRIM($B689)="",$I689=""),"",IF(OR(ISNUMBER(SEARCH(_xlfn.CONCAT(CHAR(96),CHAR(34)),$I689)),ISNUMBER(SEARCH(_xlfn.CONCAT(CHAR(34),CHAR(39)),$I689))),_xlfn.CONCAT("* REVIEW REQUIRED: compound-quote delimiter in Derivation on Sheet 1 row ",689,"; edit the input before running."),_xlfn.CONCAT("char ",TRIM($B689),"[doc_derivation] ",CHAR(96),CHAR(34),SUBSTITUTE(SUBSTITUTE(SUBSTITUTE(SUBSTITUTE(SUBSTITUTE(SUBSTITUTE($I689,CHAR(13)," "),CHAR(10)," "),CHAR(9)," "),CHAR(92),_xlfn.CONCAT(CHAR(92),CHAR(92))),"$",_xlfn.CONCAT(CHAR(92),"$")),CHAR(96),_xlfn.CONCAT(CHAR(92),CHAR(96))),CHAR(34),CHAR(39))))</f>
        <v/>
      </c>
      <c r="T689" s="5" t="str">
        <f>IF(OR(TRIM($B689)="",$J689=""),"",IF(OR(ISNUMBER(SEARCH(_xlfn.CONCAT(CHAR(96),CHAR(34)),$J689)),ISNUMBER(SEARCH(_xlfn.CONCAT(CHAR(34),CHAR(39)),$J689))),_xlfn.CONCAT("* REVIEW REQUIRED: compound-quote delimiter in Notes on Sheet 1 row ",689,"; edit the input before running."),_xlfn.CONCAT("char ",TRIM($B689),"[doc_notes] ",CHAR(96),CHAR(34),SUBSTITUTE(SUBSTITUTE(SUBSTITUTE(SUBSTITUTE(SUBSTITUTE(SUBSTITUTE($J689,CHAR(13)," "),CHAR(10)," "),CHAR(9)," "),CHAR(92),_xlfn.CONCAT(CHAR(92),CHAR(92))),"$",_xlfn.CONCAT(CHAR(92),"$")),CHAR(96),_xlfn.CONCAT(CHAR(92),CHAR(96))),CHAR(34),CHAR(39))))</f>
        <v/>
      </c>
      <c r="U689" s="5">
        <f t="shared" si="21"/>
        <v>0</v>
      </c>
    </row>
    <row r="690" spans="3:21" ht="30" customHeight="1" x14ac:dyDescent="0.2">
      <c r="C690" s="4"/>
      <c r="K690" s="5">
        <f t="shared" si="20"/>
        <v>0</v>
      </c>
      <c r="L690" s="5" t="str">
        <f>IF(OR(TRIM($B690)="",$A690=""),"",IF(OR(ISNUMBER(SEARCH(_xlfn.CONCAT(CHAR(96),CHAR(34)),$A690)),ISNUMBER(SEARCH(_xlfn.CONCAT(CHAR(34),CHAR(39)),$A690))),_xlfn.CONCAT("* REVIEW REQUIRED: compound-quote delimiter in Codebook Section on Sheet 1 row ",690,"; edit the input before running."),_xlfn.CONCAT("char ",TRIM($B690),"[doc_section] ",CHAR(96),CHAR(34),SUBSTITUTE(SUBSTITUTE(SUBSTITUTE(SUBSTITUTE(SUBSTITUTE(SUBSTITUTE($A690,CHAR(13)," "),CHAR(10)," "),CHAR(9)," "),CHAR(92),_xlfn.CONCAT(CHAR(92),CHAR(92))),"$",_xlfn.CONCAT(CHAR(92),"$")),CHAR(96),_xlfn.CONCAT(CHAR(92),CHAR(96))),CHAR(34),CHAR(39))))</f>
        <v/>
      </c>
      <c r="M690" s="5" t="str">
        <f>IF(OR(TRIM($B690)="",$C690=""),"",IF(IFERROR(MATCH(TRIM($C690),{"Quantitative","Continuous","Discrete","Categorical","Nominal","Ordinal","Identifier"},0),0)=0,_xlfn.CONCAT("* REVIEW REQUIRED: invalid Variable Type on Sheet 1 row ",690,"."),_xlfn.CONCAT("char ",TRIM($B690),"[doc_vartype] ",CHAR(96),CHAR(34),SUBSTITUTE(SUBSTITUTE(SUBSTITUTE(SUBSTITUTE(SUBSTITUTE(SUBSTITUTE(LOWER(TRIM($C690)),CHAR(13)," "),CHAR(10)," "),CHAR(9)," "),CHAR(92),_xlfn.CONCAT(CHAR(92),CHAR(92))),"$",_xlfn.CONCAT(CHAR(92),"$")),CHAR(96),_xlfn.CONCAT(CHAR(92),CHAR(96))),CHAR(34),CHAR(39))))</f>
        <v/>
      </c>
      <c r="N690" s="5" t="str">
        <f>IF(OR(TRIM($B690)="",$D690=""),"",IF(OR(ISNUMBER(SEARCH(_xlfn.CONCAT(CHAR(96),CHAR(34)),$D690)),ISNUMBER(SEARCH(_xlfn.CONCAT(CHAR(34),CHAR(39)),$D690))),_xlfn.CONCAT("* REVIEW REQUIRED: compound-quote delimiter in Item Number on Sheet 1 row ",690,"; edit the input before running."),_xlfn.CONCAT("char ",TRIM($B690),"[doc_itemnum] ",CHAR(96),CHAR(34),SUBSTITUTE(SUBSTITUTE(SUBSTITUTE(SUBSTITUTE(SUBSTITUTE(SUBSTITUTE($D690,CHAR(13)," "),CHAR(10)," "),CHAR(9)," "),CHAR(92),_xlfn.CONCAT(CHAR(92),CHAR(92))),"$",_xlfn.CONCAT(CHAR(92),"$")),CHAR(96),_xlfn.CONCAT(CHAR(92),CHAR(96))),CHAR(34),CHAR(39))))</f>
        <v/>
      </c>
      <c r="O690" s="5" t="str">
        <f>IF(OR(TRIM($B690)="",$E690=""),"",IF(OR(ISNUMBER(SEARCH(_xlfn.CONCAT(CHAR(96),CHAR(34)),$E690)),ISNUMBER(SEARCH(_xlfn.CONCAT(CHAR(34),CHAR(39)),$E690))),_xlfn.CONCAT("* REVIEW REQUIRED: compound-quote delimiter in Question Wording on Sheet 1 row ",690,"; edit the input before running."),_xlfn.CONCAT("char ",TRIM($B690),"[doc_question] ",CHAR(96),CHAR(34),SUBSTITUTE(SUBSTITUTE(SUBSTITUTE(SUBSTITUTE(SUBSTITUTE(SUBSTITUTE($E690,CHAR(13)," "),CHAR(10)," "),CHAR(9)," "),CHAR(92),_xlfn.CONCAT(CHAR(92),CHAR(92))),"$",_xlfn.CONCAT(CHAR(92),"$")),CHAR(96),_xlfn.CONCAT(CHAR(92),CHAR(96))),CHAR(34),CHAR(39))))</f>
        <v/>
      </c>
      <c r="P690" s="5" t="str">
        <f>IF(OR(TRIM($B690)="",$F690=""),"",IF(OR(ISNUMBER(SEARCH(_xlfn.CONCAT(CHAR(96),CHAR(34)),$F690)),ISNUMBER(SEARCH(_xlfn.CONCAT(CHAR(34),CHAR(39)),$F690))),_xlfn.CONCAT("* REVIEW REQUIRED: compound-quote delimiter in Units on Sheet 1 row ",690,"; edit the input before running."),_xlfn.CONCAT("char ",TRIM($B690),"[doc_units] ",CHAR(96),CHAR(34),SUBSTITUTE(SUBSTITUTE(SUBSTITUTE(SUBSTITUTE(SUBSTITUTE(SUBSTITUTE($F690,CHAR(13)," "),CHAR(10)," "),CHAR(9)," "),CHAR(92),_xlfn.CONCAT(CHAR(92),CHAR(92))),"$",_xlfn.CONCAT(CHAR(92),"$")),CHAR(96),_xlfn.CONCAT(CHAR(92),CHAR(96))),CHAR(34),CHAR(39))))</f>
        <v/>
      </c>
      <c r="Q690" s="5" t="str">
        <f>IF(OR(TRIM($B690)="",$G690=""),"",IF(OR(ISNUMBER(SEARCH(_xlfn.CONCAT(CHAR(96),CHAR(34)),$G690)),ISNUMBER(SEARCH(_xlfn.CONCAT(CHAR(34),CHAR(39)),$G690))),_xlfn.CONCAT("* REVIEW REQUIRED: compound-quote delimiter in Universe on Sheet 1 row ",690,"; edit the input before running."),_xlfn.CONCAT("char ",TRIM($B690),"[doc_universe] ",CHAR(96),CHAR(34),SUBSTITUTE(SUBSTITUTE(SUBSTITUTE(SUBSTITUTE(SUBSTITUTE(SUBSTITUTE($G690,CHAR(13)," "),CHAR(10)," "),CHAR(9)," "),CHAR(92),_xlfn.CONCAT(CHAR(92),CHAR(92))),"$",_xlfn.CONCAT(CHAR(92),"$")),CHAR(96),_xlfn.CONCAT(CHAR(92),CHAR(96))),CHAR(34),CHAR(39))))</f>
        <v/>
      </c>
      <c r="R690" s="5" t="str">
        <f>IF(OR(TRIM($B690)="",$H690=""),"",IF(OR(ISNUMBER(SEARCH(_xlfn.CONCAT(CHAR(96),CHAR(34)),$H690)),ISNUMBER(SEARCH(_xlfn.CONCAT(CHAR(34),CHAR(39)),$H690))),_xlfn.CONCAT("* REVIEW REQUIRED: compound-quote delimiter in Source on Sheet 1 row ",690,"; edit the input before running."),_xlfn.CONCAT("char ",TRIM($B690),"[doc_source] ",CHAR(96),CHAR(34),SUBSTITUTE(SUBSTITUTE(SUBSTITUTE(SUBSTITUTE(SUBSTITUTE(SUBSTITUTE($H690,CHAR(13)," "),CHAR(10)," "),CHAR(9)," "),CHAR(92),_xlfn.CONCAT(CHAR(92),CHAR(92))),"$",_xlfn.CONCAT(CHAR(92),"$")),CHAR(96),_xlfn.CONCAT(CHAR(92),CHAR(96))),CHAR(34),CHAR(39))))</f>
        <v/>
      </c>
      <c r="S690" s="5" t="str">
        <f>IF(OR(TRIM($B690)="",$I690=""),"",IF(OR(ISNUMBER(SEARCH(_xlfn.CONCAT(CHAR(96),CHAR(34)),$I690)),ISNUMBER(SEARCH(_xlfn.CONCAT(CHAR(34),CHAR(39)),$I690))),_xlfn.CONCAT("* REVIEW REQUIRED: compound-quote delimiter in Derivation on Sheet 1 row ",690,"; edit the input before running."),_xlfn.CONCAT("char ",TRIM($B690),"[doc_derivation] ",CHAR(96),CHAR(34),SUBSTITUTE(SUBSTITUTE(SUBSTITUTE(SUBSTITUTE(SUBSTITUTE(SUBSTITUTE($I690,CHAR(13)," "),CHAR(10)," "),CHAR(9)," "),CHAR(92),_xlfn.CONCAT(CHAR(92),CHAR(92))),"$",_xlfn.CONCAT(CHAR(92),"$")),CHAR(96),_xlfn.CONCAT(CHAR(92),CHAR(96))),CHAR(34),CHAR(39))))</f>
        <v/>
      </c>
      <c r="T690" s="5" t="str">
        <f>IF(OR(TRIM($B690)="",$J690=""),"",IF(OR(ISNUMBER(SEARCH(_xlfn.CONCAT(CHAR(96),CHAR(34)),$J690)),ISNUMBER(SEARCH(_xlfn.CONCAT(CHAR(34),CHAR(39)),$J690))),_xlfn.CONCAT("* REVIEW REQUIRED: compound-quote delimiter in Notes on Sheet 1 row ",690,"; edit the input before running."),_xlfn.CONCAT("char ",TRIM($B690),"[doc_notes] ",CHAR(96),CHAR(34),SUBSTITUTE(SUBSTITUTE(SUBSTITUTE(SUBSTITUTE(SUBSTITUTE(SUBSTITUTE($J690,CHAR(13)," "),CHAR(10)," "),CHAR(9)," "),CHAR(92),_xlfn.CONCAT(CHAR(92),CHAR(92))),"$",_xlfn.CONCAT(CHAR(92),"$")),CHAR(96),_xlfn.CONCAT(CHAR(92),CHAR(96))),CHAR(34),CHAR(39))))</f>
        <v/>
      </c>
      <c r="U690" s="5">
        <f t="shared" si="21"/>
        <v>0</v>
      </c>
    </row>
    <row r="691" spans="3:21" ht="30" customHeight="1" x14ac:dyDescent="0.2">
      <c r="C691" s="4"/>
      <c r="K691" s="5">
        <f t="shared" si="20"/>
        <v>0</v>
      </c>
      <c r="L691" s="5" t="str">
        <f>IF(OR(TRIM($B691)="",$A691=""),"",IF(OR(ISNUMBER(SEARCH(_xlfn.CONCAT(CHAR(96),CHAR(34)),$A691)),ISNUMBER(SEARCH(_xlfn.CONCAT(CHAR(34),CHAR(39)),$A691))),_xlfn.CONCAT("* REVIEW REQUIRED: compound-quote delimiter in Codebook Section on Sheet 1 row ",691,"; edit the input before running."),_xlfn.CONCAT("char ",TRIM($B691),"[doc_section] ",CHAR(96),CHAR(34),SUBSTITUTE(SUBSTITUTE(SUBSTITUTE(SUBSTITUTE(SUBSTITUTE(SUBSTITUTE($A691,CHAR(13)," "),CHAR(10)," "),CHAR(9)," "),CHAR(92),_xlfn.CONCAT(CHAR(92),CHAR(92))),"$",_xlfn.CONCAT(CHAR(92),"$")),CHAR(96),_xlfn.CONCAT(CHAR(92),CHAR(96))),CHAR(34),CHAR(39))))</f>
        <v/>
      </c>
      <c r="M691" s="5" t="str">
        <f>IF(OR(TRIM($B691)="",$C691=""),"",IF(IFERROR(MATCH(TRIM($C691),{"Quantitative","Continuous","Discrete","Categorical","Nominal","Ordinal","Identifier"},0),0)=0,_xlfn.CONCAT("* REVIEW REQUIRED: invalid Variable Type on Sheet 1 row ",691,"."),_xlfn.CONCAT("char ",TRIM($B691),"[doc_vartype] ",CHAR(96),CHAR(34),SUBSTITUTE(SUBSTITUTE(SUBSTITUTE(SUBSTITUTE(SUBSTITUTE(SUBSTITUTE(LOWER(TRIM($C691)),CHAR(13)," "),CHAR(10)," "),CHAR(9)," "),CHAR(92),_xlfn.CONCAT(CHAR(92),CHAR(92))),"$",_xlfn.CONCAT(CHAR(92),"$")),CHAR(96),_xlfn.CONCAT(CHAR(92),CHAR(96))),CHAR(34),CHAR(39))))</f>
        <v/>
      </c>
      <c r="N691" s="5" t="str">
        <f>IF(OR(TRIM($B691)="",$D691=""),"",IF(OR(ISNUMBER(SEARCH(_xlfn.CONCAT(CHAR(96),CHAR(34)),$D691)),ISNUMBER(SEARCH(_xlfn.CONCAT(CHAR(34),CHAR(39)),$D691))),_xlfn.CONCAT("* REVIEW REQUIRED: compound-quote delimiter in Item Number on Sheet 1 row ",691,"; edit the input before running."),_xlfn.CONCAT("char ",TRIM($B691),"[doc_itemnum] ",CHAR(96),CHAR(34),SUBSTITUTE(SUBSTITUTE(SUBSTITUTE(SUBSTITUTE(SUBSTITUTE(SUBSTITUTE($D691,CHAR(13)," "),CHAR(10)," "),CHAR(9)," "),CHAR(92),_xlfn.CONCAT(CHAR(92),CHAR(92))),"$",_xlfn.CONCAT(CHAR(92),"$")),CHAR(96),_xlfn.CONCAT(CHAR(92),CHAR(96))),CHAR(34),CHAR(39))))</f>
        <v/>
      </c>
      <c r="O691" s="5" t="str">
        <f>IF(OR(TRIM($B691)="",$E691=""),"",IF(OR(ISNUMBER(SEARCH(_xlfn.CONCAT(CHAR(96),CHAR(34)),$E691)),ISNUMBER(SEARCH(_xlfn.CONCAT(CHAR(34),CHAR(39)),$E691))),_xlfn.CONCAT("* REVIEW REQUIRED: compound-quote delimiter in Question Wording on Sheet 1 row ",691,"; edit the input before running."),_xlfn.CONCAT("char ",TRIM($B691),"[doc_question] ",CHAR(96),CHAR(34),SUBSTITUTE(SUBSTITUTE(SUBSTITUTE(SUBSTITUTE(SUBSTITUTE(SUBSTITUTE($E691,CHAR(13)," "),CHAR(10)," "),CHAR(9)," "),CHAR(92),_xlfn.CONCAT(CHAR(92),CHAR(92))),"$",_xlfn.CONCAT(CHAR(92),"$")),CHAR(96),_xlfn.CONCAT(CHAR(92),CHAR(96))),CHAR(34),CHAR(39))))</f>
        <v/>
      </c>
      <c r="P691" s="5" t="str">
        <f>IF(OR(TRIM($B691)="",$F691=""),"",IF(OR(ISNUMBER(SEARCH(_xlfn.CONCAT(CHAR(96),CHAR(34)),$F691)),ISNUMBER(SEARCH(_xlfn.CONCAT(CHAR(34),CHAR(39)),$F691))),_xlfn.CONCAT("* REVIEW REQUIRED: compound-quote delimiter in Units on Sheet 1 row ",691,"; edit the input before running."),_xlfn.CONCAT("char ",TRIM($B691),"[doc_units] ",CHAR(96),CHAR(34),SUBSTITUTE(SUBSTITUTE(SUBSTITUTE(SUBSTITUTE(SUBSTITUTE(SUBSTITUTE($F691,CHAR(13)," "),CHAR(10)," "),CHAR(9)," "),CHAR(92),_xlfn.CONCAT(CHAR(92),CHAR(92))),"$",_xlfn.CONCAT(CHAR(92),"$")),CHAR(96),_xlfn.CONCAT(CHAR(92),CHAR(96))),CHAR(34),CHAR(39))))</f>
        <v/>
      </c>
      <c r="Q691" s="5" t="str">
        <f>IF(OR(TRIM($B691)="",$G691=""),"",IF(OR(ISNUMBER(SEARCH(_xlfn.CONCAT(CHAR(96),CHAR(34)),$G691)),ISNUMBER(SEARCH(_xlfn.CONCAT(CHAR(34),CHAR(39)),$G691))),_xlfn.CONCAT("* REVIEW REQUIRED: compound-quote delimiter in Universe on Sheet 1 row ",691,"; edit the input before running."),_xlfn.CONCAT("char ",TRIM($B691),"[doc_universe] ",CHAR(96),CHAR(34),SUBSTITUTE(SUBSTITUTE(SUBSTITUTE(SUBSTITUTE(SUBSTITUTE(SUBSTITUTE($G691,CHAR(13)," "),CHAR(10)," "),CHAR(9)," "),CHAR(92),_xlfn.CONCAT(CHAR(92),CHAR(92))),"$",_xlfn.CONCAT(CHAR(92),"$")),CHAR(96),_xlfn.CONCAT(CHAR(92),CHAR(96))),CHAR(34),CHAR(39))))</f>
        <v/>
      </c>
      <c r="R691" s="5" t="str">
        <f>IF(OR(TRIM($B691)="",$H691=""),"",IF(OR(ISNUMBER(SEARCH(_xlfn.CONCAT(CHAR(96),CHAR(34)),$H691)),ISNUMBER(SEARCH(_xlfn.CONCAT(CHAR(34),CHAR(39)),$H691))),_xlfn.CONCAT("* REVIEW REQUIRED: compound-quote delimiter in Source on Sheet 1 row ",691,"; edit the input before running."),_xlfn.CONCAT("char ",TRIM($B691),"[doc_source] ",CHAR(96),CHAR(34),SUBSTITUTE(SUBSTITUTE(SUBSTITUTE(SUBSTITUTE(SUBSTITUTE(SUBSTITUTE($H691,CHAR(13)," "),CHAR(10)," "),CHAR(9)," "),CHAR(92),_xlfn.CONCAT(CHAR(92),CHAR(92))),"$",_xlfn.CONCAT(CHAR(92),"$")),CHAR(96),_xlfn.CONCAT(CHAR(92),CHAR(96))),CHAR(34),CHAR(39))))</f>
        <v/>
      </c>
      <c r="S691" s="5" t="str">
        <f>IF(OR(TRIM($B691)="",$I691=""),"",IF(OR(ISNUMBER(SEARCH(_xlfn.CONCAT(CHAR(96),CHAR(34)),$I691)),ISNUMBER(SEARCH(_xlfn.CONCAT(CHAR(34),CHAR(39)),$I691))),_xlfn.CONCAT("* REVIEW REQUIRED: compound-quote delimiter in Derivation on Sheet 1 row ",691,"; edit the input before running."),_xlfn.CONCAT("char ",TRIM($B691),"[doc_derivation] ",CHAR(96),CHAR(34),SUBSTITUTE(SUBSTITUTE(SUBSTITUTE(SUBSTITUTE(SUBSTITUTE(SUBSTITUTE($I691,CHAR(13)," "),CHAR(10)," "),CHAR(9)," "),CHAR(92),_xlfn.CONCAT(CHAR(92),CHAR(92))),"$",_xlfn.CONCAT(CHAR(92),"$")),CHAR(96),_xlfn.CONCAT(CHAR(92),CHAR(96))),CHAR(34),CHAR(39))))</f>
        <v/>
      </c>
      <c r="T691" s="5" t="str">
        <f>IF(OR(TRIM($B691)="",$J691=""),"",IF(OR(ISNUMBER(SEARCH(_xlfn.CONCAT(CHAR(96),CHAR(34)),$J691)),ISNUMBER(SEARCH(_xlfn.CONCAT(CHAR(34),CHAR(39)),$J691))),_xlfn.CONCAT("* REVIEW REQUIRED: compound-quote delimiter in Notes on Sheet 1 row ",691,"; edit the input before running."),_xlfn.CONCAT("char ",TRIM($B691),"[doc_notes] ",CHAR(96),CHAR(34),SUBSTITUTE(SUBSTITUTE(SUBSTITUTE(SUBSTITUTE(SUBSTITUTE(SUBSTITUTE($J691,CHAR(13)," "),CHAR(10)," "),CHAR(9)," "),CHAR(92),_xlfn.CONCAT(CHAR(92),CHAR(92))),"$",_xlfn.CONCAT(CHAR(92),"$")),CHAR(96),_xlfn.CONCAT(CHAR(92),CHAR(96))),CHAR(34),CHAR(39))))</f>
        <v/>
      </c>
      <c r="U691" s="5">
        <f t="shared" si="21"/>
        <v>0</v>
      </c>
    </row>
    <row r="692" spans="3:21" ht="30" customHeight="1" x14ac:dyDescent="0.2">
      <c r="C692" s="4"/>
      <c r="K692" s="5">
        <f t="shared" si="20"/>
        <v>0</v>
      </c>
      <c r="L692" s="5" t="str">
        <f>IF(OR(TRIM($B692)="",$A692=""),"",IF(OR(ISNUMBER(SEARCH(_xlfn.CONCAT(CHAR(96),CHAR(34)),$A692)),ISNUMBER(SEARCH(_xlfn.CONCAT(CHAR(34),CHAR(39)),$A692))),_xlfn.CONCAT("* REVIEW REQUIRED: compound-quote delimiter in Codebook Section on Sheet 1 row ",692,"; edit the input before running."),_xlfn.CONCAT("char ",TRIM($B692),"[doc_section] ",CHAR(96),CHAR(34),SUBSTITUTE(SUBSTITUTE(SUBSTITUTE(SUBSTITUTE(SUBSTITUTE(SUBSTITUTE($A692,CHAR(13)," "),CHAR(10)," "),CHAR(9)," "),CHAR(92),_xlfn.CONCAT(CHAR(92),CHAR(92))),"$",_xlfn.CONCAT(CHAR(92),"$")),CHAR(96),_xlfn.CONCAT(CHAR(92),CHAR(96))),CHAR(34),CHAR(39))))</f>
        <v/>
      </c>
      <c r="M692" s="5" t="str">
        <f>IF(OR(TRIM($B692)="",$C692=""),"",IF(IFERROR(MATCH(TRIM($C692),{"Quantitative","Continuous","Discrete","Categorical","Nominal","Ordinal","Identifier"},0),0)=0,_xlfn.CONCAT("* REVIEW REQUIRED: invalid Variable Type on Sheet 1 row ",692,"."),_xlfn.CONCAT("char ",TRIM($B692),"[doc_vartype] ",CHAR(96),CHAR(34),SUBSTITUTE(SUBSTITUTE(SUBSTITUTE(SUBSTITUTE(SUBSTITUTE(SUBSTITUTE(LOWER(TRIM($C692)),CHAR(13)," "),CHAR(10)," "),CHAR(9)," "),CHAR(92),_xlfn.CONCAT(CHAR(92),CHAR(92))),"$",_xlfn.CONCAT(CHAR(92),"$")),CHAR(96),_xlfn.CONCAT(CHAR(92),CHAR(96))),CHAR(34),CHAR(39))))</f>
        <v/>
      </c>
      <c r="N692" s="5" t="str">
        <f>IF(OR(TRIM($B692)="",$D692=""),"",IF(OR(ISNUMBER(SEARCH(_xlfn.CONCAT(CHAR(96),CHAR(34)),$D692)),ISNUMBER(SEARCH(_xlfn.CONCAT(CHAR(34),CHAR(39)),$D692))),_xlfn.CONCAT("* REVIEW REQUIRED: compound-quote delimiter in Item Number on Sheet 1 row ",692,"; edit the input before running."),_xlfn.CONCAT("char ",TRIM($B692),"[doc_itemnum] ",CHAR(96),CHAR(34),SUBSTITUTE(SUBSTITUTE(SUBSTITUTE(SUBSTITUTE(SUBSTITUTE(SUBSTITUTE($D692,CHAR(13)," "),CHAR(10)," "),CHAR(9)," "),CHAR(92),_xlfn.CONCAT(CHAR(92),CHAR(92))),"$",_xlfn.CONCAT(CHAR(92),"$")),CHAR(96),_xlfn.CONCAT(CHAR(92),CHAR(96))),CHAR(34),CHAR(39))))</f>
        <v/>
      </c>
      <c r="O692" s="5" t="str">
        <f>IF(OR(TRIM($B692)="",$E692=""),"",IF(OR(ISNUMBER(SEARCH(_xlfn.CONCAT(CHAR(96),CHAR(34)),$E692)),ISNUMBER(SEARCH(_xlfn.CONCAT(CHAR(34),CHAR(39)),$E692))),_xlfn.CONCAT("* REVIEW REQUIRED: compound-quote delimiter in Question Wording on Sheet 1 row ",692,"; edit the input before running."),_xlfn.CONCAT("char ",TRIM($B692),"[doc_question] ",CHAR(96),CHAR(34),SUBSTITUTE(SUBSTITUTE(SUBSTITUTE(SUBSTITUTE(SUBSTITUTE(SUBSTITUTE($E692,CHAR(13)," "),CHAR(10)," "),CHAR(9)," "),CHAR(92),_xlfn.CONCAT(CHAR(92),CHAR(92))),"$",_xlfn.CONCAT(CHAR(92),"$")),CHAR(96),_xlfn.CONCAT(CHAR(92),CHAR(96))),CHAR(34),CHAR(39))))</f>
        <v/>
      </c>
      <c r="P692" s="5" t="str">
        <f>IF(OR(TRIM($B692)="",$F692=""),"",IF(OR(ISNUMBER(SEARCH(_xlfn.CONCAT(CHAR(96),CHAR(34)),$F692)),ISNUMBER(SEARCH(_xlfn.CONCAT(CHAR(34),CHAR(39)),$F692))),_xlfn.CONCAT("* REVIEW REQUIRED: compound-quote delimiter in Units on Sheet 1 row ",692,"; edit the input before running."),_xlfn.CONCAT("char ",TRIM($B692),"[doc_units] ",CHAR(96),CHAR(34),SUBSTITUTE(SUBSTITUTE(SUBSTITUTE(SUBSTITUTE(SUBSTITUTE(SUBSTITUTE($F692,CHAR(13)," "),CHAR(10)," "),CHAR(9)," "),CHAR(92),_xlfn.CONCAT(CHAR(92),CHAR(92))),"$",_xlfn.CONCAT(CHAR(92),"$")),CHAR(96),_xlfn.CONCAT(CHAR(92),CHAR(96))),CHAR(34),CHAR(39))))</f>
        <v/>
      </c>
      <c r="Q692" s="5" t="str">
        <f>IF(OR(TRIM($B692)="",$G692=""),"",IF(OR(ISNUMBER(SEARCH(_xlfn.CONCAT(CHAR(96),CHAR(34)),$G692)),ISNUMBER(SEARCH(_xlfn.CONCAT(CHAR(34),CHAR(39)),$G692))),_xlfn.CONCAT("* REVIEW REQUIRED: compound-quote delimiter in Universe on Sheet 1 row ",692,"; edit the input before running."),_xlfn.CONCAT("char ",TRIM($B692),"[doc_universe] ",CHAR(96),CHAR(34),SUBSTITUTE(SUBSTITUTE(SUBSTITUTE(SUBSTITUTE(SUBSTITUTE(SUBSTITUTE($G692,CHAR(13)," "),CHAR(10)," "),CHAR(9)," "),CHAR(92),_xlfn.CONCAT(CHAR(92),CHAR(92))),"$",_xlfn.CONCAT(CHAR(92),"$")),CHAR(96),_xlfn.CONCAT(CHAR(92),CHAR(96))),CHAR(34),CHAR(39))))</f>
        <v/>
      </c>
      <c r="R692" s="5" t="str">
        <f>IF(OR(TRIM($B692)="",$H692=""),"",IF(OR(ISNUMBER(SEARCH(_xlfn.CONCAT(CHAR(96),CHAR(34)),$H692)),ISNUMBER(SEARCH(_xlfn.CONCAT(CHAR(34),CHAR(39)),$H692))),_xlfn.CONCAT("* REVIEW REQUIRED: compound-quote delimiter in Source on Sheet 1 row ",692,"; edit the input before running."),_xlfn.CONCAT("char ",TRIM($B692),"[doc_source] ",CHAR(96),CHAR(34),SUBSTITUTE(SUBSTITUTE(SUBSTITUTE(SUBSTITUTE(SUBSTITUTE(SUBSTITUTE($H692,CHAR(13)," "),CHAR(10)," "),CHAR(9)," "),CHAR(92),_xlfn.CONCAT(CHAR(92),CHAR(92))),"$",_xlfn.CONCAT(CHAR(92),"$")),CHAR(96),_xlfn.CONCAT(CHAR(92),CHAR(96))),CHAR(34),CHAR(39))))</f>
        <v/>
      </c>
      <c r="S692" s="5" t="str">
        <f>IF(OR(TRIM($B692)="",$I692=""),"",IF(OR(ISNUMBER(SEARCH(_xlfn.CONCAT(CHAR(96),CHAR(34)),$I692)),ISNUMBER(SEARCH(_xlfn.CONCAT(CHAR(34),CHAR(39)),$I692))),_xlfn.CONCAT("* REVIEW REQUIRED: compound-quote delimiter in Derivation on Sheet 1 row ",692,"; edit the input before running."),_xlfn.CONCAT("char ",TRIM($B692),"[doc_derivation] ",CHAR(96),CHAR(34),SUBSTITUTE(SUBSTITUTE(SUBSTITUTE(SUBSTITUTE(SUBSTITUTE(SUBSTITUTE($I692,CHAR(13)," "),CHAR(10)," "),CHAR(9)," "),CHAR(92),_xlfn.CONCAT(CHAR(92),CHAR(92))),"$",_xlfn.CONCAT(CHAR(92),"$")),CHAR(96),_xlfn.CONCAT(CHAR(92),CHAR(96))),CHAR(34),CHAR(39))))</f>
        <v/>
      </c>
      <c r="T692" s="5" t="str">
        <f>IF(OR(TRIM($B692)="",$J692=""),"",IF(OR(ISNUMBER(SEARCH(_xlfn.CONCAT(CHAR(96),CHAR(34)),$J692)),ISNUMBER(SEARCH(_xlfn.CONCAT(CHAR(34),CHAR(39)),$J692))),_xlfn.CONCAT("* REVIEW REQUIRED: compound-quote delimiter in Notes on Sheet 1 row ",692,"; edit the input before running."),_xlfn.CONCAT("char ",TRIM($B692),"[doc_notes] ",CHAR(96),CHAR(34),SUBSTITUTE(SUBSTITUTE(SUBSTITUTE(SUBSTITUTE(SUBSTITUTE(SUBSTITUTE($J692,CHAR(13)," "),CHAR(10)," "),CHAR(9)," "),CHAR(92),_xlfn.CONCAT(CHAR(92),CHAR(92))),"$",_xlfn.CONCAT(CHAR(92),"$")),CHAR(96),_xlfn.CONCAT(CHAR(92),CHAR(96))),CHAR(34),CHAR(39))))</f>
        <v/>
      </c>
      <c r="U692" s="5">
        <f t="shared" si="21"/>
        <v>0</v>
      </c>
    </row>
    <row r="693" spans="3:21" ht="30" customHeight="1" x14ac:dyDescent="0.2">
      <c r="C693" s="4"/>
      <c r="K693" s="5">
        <f t="shared" si="20"/>
        <v>0</v>
      </c>
      <c r="L693" s="5" t="str">
        <f>IF(OR(TRIM($B693)="",$A693=""),"",IF(OR(ISNUMBER(SEARCH(_xlfn.CONCAT(CHAR(96),CHAR(34)),$A693)),ISNUMBER(SEARCH(_xlfn.CONCAT(CHAR(34),CHAR(39)),$A693))),_xlfn.CONCAT("* REVIEW REQUIRED: compound-quote delimiter in Codebook Section on Sheet 1 row ",693,"; edit the input before running."),_xlfn.CONCAT("char ",TRIM($B693),"[doc_section] ",CHAR(96),CHAR(34),SUBSTITUTE(SUBSTITUTE(SUBSTITUTE(SUBSTITUTE(SUBSTITUTE(SUBSTITUTE($A693,CHAR(13)," "),CHAR(10)," "),CHAR(9)," "),CHAR(92),_xlfn.CONCAT(CHAR(92),CHAR(92))),"$",_xlfn.CONCAT(CHAR(92),"$")),CHAR(96),_xlfn.CONCAT(CHAR(92),CHAR(96))),CHAR(34),CHAR(39))))</f>
        <v/>
      </c>
      <c r="M693" s="5" t="str">
        <f>IF(OR(TRIM($B693)="",$C693=""),"",IF(IFERROR(MATCH(TRIM($C693),{"Quantitative","Continuous","Discrete","Categorical","Nominal","Ordinal","Identifier"},0),0)=0,_xlfn.CONCAT("* REVIEW REQUIRED: invalid Variable Type on Sheet 1 row ",693,"."),_xlfn.CONCAT("char ",TRIM($B693),"[doc_vartype] ",CHAR(96),CHAR(34),SUBSTITUTE(SUBSTITUTE(SUBSTITUTE(SUBSTITUTE(SUBSTITUTE(SUBSTITUTE(LOWER(TRIM($C693)),CHAR(13)," "),CHAR(10)," "),CHAR(9)," "),CHAR(92),_xlfn.CONCAT(CHAR(92),CHAR(92))),"$",_xlfn.CONCAT(CHAR(92),"$")),CHAR(96),_xlfn.CONCAT(CHAR(92),CHAR(96))),CHAR(34),CHAR(39))))</f>
        <v/>
      </c>
      <c r="N693" s="5" t="str">
        <f>IF(OR(TRIM($B693)="",$D693=""),"",IF(OR(ISNUMBER(SEARCH(_xlfn.CONCAT(CHAR(96),CHAR(34)),$D693)),ISNUMBER(SEARCH(_xlfn.CONCAT(CHAR(34),CHAR(39)),$D693))),_xlfn.CONCAT("* REVIEW REQUIRED: compound-quote delimiter in Item Number on Sheet 1 row ",693,"; edit the input before running."),_xlfn.CONCAT("char ",TRIM($B693),"[doc_itemnum] ",CHAR(96),CHAR(34),SUBSTITUTE(SUBSTITUTE(SUBSTITUTE(SUBSTITUTE(SUBSTITUTE(SUBSTITUTE($D693,CHAR(13)," "),CHAR(10)," "),CHAR(9)," "),CHAR(92),_xlfn.CONCAT(CHAR(92),CHAR(92))),"$",_xlfn.CONCAT(CHAR(92),"$")),CHAR(96),_xlfn.CONCAT(CHAR(92),CHAR(96))),CHAR(34),CHAR(39))))</f>
        <v/>
      </c>
      <c r="O693" s="5" t="str">
        <f>IF(OR(TRIM($B693)="",$E693=""),"",IF(OR(ISNUMBER(SEARCH(_xlfn.CONCAT(CHAR(96),CHAR(34)),$E693)),ISNUMBER(SEARCH(_xlfn.CONCAT(CHAR(34),CHAR(39)),$E693))),_xlfn.CONCAT("* REVIEW REQUIRED: compound-quote delimiter in Question Wording on Sheet 1 row ",693,"; edit the input before running."),_xlfn.CONCAT("char ",TRIM($B693),"[doc_question] ",CHAR(96),CHAR(34),SUBSTITUTE(SUBSTITUTE(SUBSTITUTE(SUBSTITUTE(SUBSTITUTE(SUBSTITUTE($E693,CHAR(13)," "),CHAR(10)," "),CHAR(9)," "),CHAR(92),_xlfn.CONCAT(CHAR(92),CHAR(92))),"$",_xlfn.CONCAT(CHAR(92),"$")),CHAR(96),_xlfn.CONCAT(CHAR(92),CHAR(96))),CHAR(34),CHAR(39))))</f>
        <v/>
      </c>
      <c r="P693" s="5" t="str">
        <f>IF(OR(TRIM($B693)="",$F693=""),"",IF(OR(ISNUMBER(SEARCH(_xlfn.CONCAT(CHAR(96),CHAR(34)),$F693)),ISNUMBER(SEARCH(_xlfn.CONCAT(CHAR(34),CHAR(39)),$F693))),_xlfn.CONCAT("* REVIEW REQUIRED: compound-quote delimiter in Units on Sheet 1 row ",693,"; edit the input before running."),_xlfn.CONCAT("char ",TRIM($B693),"[doc_units] ",CHAR(96),CHAR(34),SUBSTITUTE(SUBSTITUTE(SUBSTITUTE(SUBSTITUTE(SUBSTITUTE(SUBSTITUTE($F693,CHAR(13)," "),CHAR(10)," "),CHAR(9)," "),CHAR(92),_xlfn.CONCAT(CHAR(92),CHAR(92))),"$",_xlfn.CONCAT(CHAR(92),"$")),CHAR(96),_xlfn.CONCAT(CHAR(92),CHAR(96))),CHAR(34),CHAR(39))))</f>
        <v/>
      </c>
      <c r="Q693" s="5" t="str">
        <f>IF(OR(TRIM($B693)="",$G693=""),"",IF(OR(ISNUMBER(SEARCH(_xlfn.CONCAT(CHAR(96),CHAR(34)),$G693)),ISNUMBER(SEARCH(_xlfn.CONCAT(CHAR(34),CHAR(39)),$G693))),_xlfn.CONCAT("* REVIEW REQUIRED: compound-quote delimiter in Universe on Sheet 1 row ",693,"; edit the input before running."),_xlfn.CONCAT("char ",TRIM($B693),"[doc_universe] ",CHAR(96),CHAR(34),SUBSTITUTE(SUBSTITUTE(SUBSTITUTE(SUBSTITUTE(SUBSTITUTE(SUBSTITUTE($G693,CHAR(13)," "),CHAR(10)," "),CHAR(9)," "),CHAR(92),_xlfn.CONCAT(CHAR(92),CHAR(92))),"$",_xlfn.CONCAT(CHAR(92),"$")),CHAR(96),_xlfn.CONCAT(CHAR(92),CHAR(96))),CHAR(34),CHAR(39))))</f>
        <v/>
      </c>
      <c r="R693" s="5" t="str">
        <f>IF(OR(TRIM($B693)="",$H693=""),"",IF(OR(ISNUMBER(SEARCH(_xlfn.CONCAT(CHAR(96),CHAR(34)),$H693)),ISNUMBER(SEARCH(_xlfn.CONCAT(CHAR(34),CHAR(39)),$H693))),_xlfn.CONCAT("* REVIEW REQUIRED: compound-quote delimiter in Source on Sheet 1 row ",693,"; edit the input before running."),_xlfn.CONCAT("char ",TRIM($B693),"[doc_source] ",CHAR(96),CHAR(34),SUBSTITUTE(SUBSTITUTE(SUBSTITUTE(SUBSTITUTE(SUBSTITUTE(SUBSTITUTE($H693,CHAR(13)," "),CHAR(10)," "),CHAR(9)," "),CHAR(92),_xlfn.CONCAT(CHAR(92),CHAR(92))),"$",_xlfn.CONCAT(CHAR(92),"$")),CHAR(96),_xlfn.CONCAT(CHAR(92),CHAR(96))),CHAR(34),CHAR(39))))</f>
        <v/>
      </c>
      <c r="S693" s="5" t="str">
        <f>IF(OR(TRIM($B693)="",$I693=""),"",IF(OR(ISNUMBER(SEARCH(_xlfn.CONCAT(CHAR(96),CHAR(34)),$I693)),ISNUMBER(SEARCH(_xlfn.CONCAT(CHAR(34),CHAR(39)),$I693))),_xlfn.CONCAT("* REVIEW REQUIRED: compound-quote delimiter in Derivation on Sheet 1 row ",693,"; edit the input before running."),_xlfn.CONCAT("char ",TRIM($B693),"[doc_derivation] ",CHAR(96),CHAR(34),SUBSTITUTE(SUBSTITUTE(SUBSTITUTE(SUBSTITUTE(SUBSTITUTE(SUBSTITUTE($I693,CHAR(13)," "),CHAR(10)," "),CHAR(9)," "),CHAR(92),_xlfn.CONCAT(CHAR(92),CHAR(92))),"$",_xlfn.CONCAT(CHAR(92),"$")),CHAR(96),_xlfn.CONCAT(CHAR(92),CHAR(96))),CHAR(34),CHAR(39))))</f>
        <v/>
      </c>
      <c r="T693" s="5" t="str">
        <f>IF(OR(TRIM($B693)="",$J693=""),"",IF(OR(ISNUMBER(SEARCH(_xlfn.CONCAT(CHAR(96),CHAR(34)),$J693)),ISNUMBER(SEARCH(_xlfn.CONCAT(CHAR(34),CHAR(39)),$J693))),_xlfn.CONCAT("* REVIEW REQUIRED: compound-quote delimiter in Notes on Sheet 1 row ",693,"; edit the input before running."),_xlfn.CONCAT("char ",TRIM($B693),"[doc_notes] ",CHAR(96),CHAR(34),SUBSTITUTE(SUBSTITUTE(SUBSTITUTE(SUBSTITUTE(SUBSTITUTE(SUBSTITUTE($J693,CHAR(13)," "),CHAR(10)," "),CHAR(9)," "),CHAR(92),_xlfn.CONCAT(CHAR(92),CHAR(92))),"$",_xlfn.CONCAT(CHAR(92),"$")),CHAR(96),_xlfn.CONCAT(CHAR(92),CHAR(96))),CHAR(34),CHAR(39))))</f>
        <v/>
      </c>
      <c r="U693" s="5">
        <f t="shared" si="21"/>
        <v>0</v>
      </c>
    </row>
    <row r="694" spans="3:21" ht="30" customHeight="1" x14ac:dyDescent="0.2">
      <c r="C694" s="4"/>
      <c r="K694" s="5">
        <f t="shared" si="20"/>
        <v>0</v>
      </c>
      <c r="L694" s="5" t="str">
        <f>IF(OR(TRIM($B694)="",$A694=""),"",IF(OR(ISNUMBER(SEARCH(_xlfn.CONCAT(CHAR(96),CHAR(34)),$A694)),ISNUMBER(SEARCH(_xlfn.CONCAT(CHAR(34),CHAR(39)),$A694))),_xlfn.CONCAT("* REVIEW REQUIRED: compound-quote delimiter in Codebook Section on Sheet 1 row ",694,"; edit the input before running."),_xlfn.CONCAT("char ",TRIM($B694),"[doc_section] ",CHAR(96),CHAR(34),SUBSTITUTE(SUBSTITUTE(SUBSTITUTE(SUBSTITUTE(SUBSTITUTE(SUBSTITUTE($A694,CHAR(13)," "),CHAR(10)," "),CHAR(9)," "),CHAR(92),_xlfn.CONCAT(CHAR(92),CHAR(92))),"$",_xlfn.CONCAT(CHAR(92),"$")),CHAR(96),_xlfn.CONCAT(CHAR(92),CHAR(96))),CHAR(34),CHAR(39))))</f>
        <v/>
      </c>
      <c r="M694" s="5" t="str">
        <f>IF(OR(TRIM($B694)="",$C694=""),"",IF(IFERROR(MATCH(TRIM($C694),{"Quantitative","Continuous","Discrete","Categorical","Nominal","Ordinal","Identifier"},0),0)=0,_xlfn.CONCAT("* REVIEW REQUIRED: invalid Variable Type on Sheet 1 row ",694,"."),_xlfn.CONCAT("char ",TRIM($B694),"[doc_vartype] ",CHAR(96),CHAR(34),SUBSTITUTE(SUBSTITUTE(SUBSTITUTE(SUBSTITUTE(SUBSTITUTE(SUBSTITUTE(LOWER(TRIM($C694)),CHAR(13)," "),CHAR(10)," "),CHAR(9)," "),CHAR(92),_xlfn.CONCAT(CHAR(92),CHAR(92))),"$",_xlfn.CONCAT(CHAR(92),"$")),CHAR(96),_xlfn.CONCAT(CHAR(92),CHAR(96))),CHAR(34),CHAR(39))))</f>
        <v/>
      </c>
      <c r="N694" s="5" t="str">
        <f>IF(OR(TRIM($B694)="",$D694=""),"",IF(OR(ISNUMBER(SEARCH(_xlfn.CONCAT(CHAR(96),CHAR(34)),$D694)),ISNUMBER(SEARCH(_xlfn.CONCAT(CHAR(34),CHAR(39)),$D694))),_xlfn.CONCAT("* REVIEW REQUIRED: compound-quote delimiter in Item Number on Sheet 1 row ",694,"; edit the input before running."),_xlfn.CONCAT("char ",TRIM($B694),"[doc_itemnum] ",CHAR(96),CHAR(34),SUBSTITUTE(SUBSTITUTE(SUBSTITUTE(SUBSTITUTE(SUBSTITUTE(SUBSTITUTE($D694,CHAR(13)," "),CHAR(10)," "),CHAR(9)," "),CHAR(92),_xlfn.CONCAT(CHAR(92),CHAR(92))),"$",_xlfn.CONCAT(CHAR(92),"$")),CHAR(96),_xlfn.CONCAT(CHAR(92),CHAR(96))),CHAR(34),CHAR(39))))</f>
        <v/>
      </c>
      <c r="O694" s="5" t="str">
        <f>IF(OR(TRIM($B694)="",$E694=""),"",IF(OR(ISNUMBER(SEARCH(_xlfn.CONCAT(CHAR(96),CHAR(34)),$E694)),ISNUMBER(SEARCH(_xlfn.CONCAT(CHAR(34),CHAR(39)),$E694))),_xlfn.CONCAT("* REVIEW REQUIRED: compound-quote delimiter in Question Wording on Sheet 1 row ",694,"; edit the input before running."),_xlfn.CONCAT("char ",TRIM($B694),"[doc_question] ",CHAR(96),CHAR(34),SUBSTITUTE(SUBSTITUTE(SUBSTITUTE(SUBSTITUTE(SUBSTITUTE(SUBSTITUTE($E694,CHAR(13)," "),CHAR(10)," "),CHAR(9)," "),CHAR(92),_xlfn.CONCAT(CHAR(92),CHAR(92))),"$",_xlfn.CONCAT(CHAR(92),"$")),CHAR(96),_xlfn.CONCAT(CHAR(92),CHAR(96))),CHAR(34),CHAR(39))))</f>
        <v/>
      </c>
      <c r="P694" s="5" t="str">
        <f>IF(OR(TRIM($B694)="",$F694=""),"",IF(OR(ISNUMBER(SEARCH(_xlfn.CONCAT(CHAR(96),CHAR(34)),$F694)),ISNUMBER(SEARCH(_xlfn.CONCAT(CHAR(34),CHAR(39)),$F694))),_xlfn.CONCAT("* REVIEW REQUIRED: compound-quote delimiter in Units on Sheet 1 row ",694,"; edit the input before running."),_xlfn.CONCAT("char ",TRIM($B694),"[doc_units] ",CHAR(96),CHAR(34),SUBSTITUTE(SUBSTITUTE(SUBSTITUTE(SUBSTITUTE(SUBSTITUTE(SUBSTITUTE($F694,CHAR(13)," "),CHAR(10)," "),CHAR(9)," "),CHAR(92),_xlfn.CONCAT(CHAR(92),CHAR(92))),"$",_xlfn.CONCAT(CHAR(92),"$")),CHAR(96),_xlfn.CONCAT(CHAR(92),CHAR(96))),CHAR(34),CHAR(39))))</f>
        <v/>
      </c>
      <c r="Q694" s="5" t="str">
        <f>IF(OR(TRIM($B694)="",$G694=""),"",IF(OR(ISNUMBER(SEARCH(_xlfn.CONCAT(CHAR(96),CHAR(34)),$G694)),ISNUMBER(SEARCH(_xlfn.CONCAT(CHAR(34),CHAR(39)),$G694))),_xlfn.CONCAT("* REVIEW REQUIRED: compound-quote delimiter in Universe on Sheet 1 row ",694,"; edit the input before running."),_xlfn.CONCAT("char ",TRIM($B694),"[doc_universe] ",CHAR(96),CHAR(34),SUBSTITUTE(SUBSTITUTE(SUBSTITUTE(SUBSTITUTE(SUBSTITUTE(SUBSTITUTE($G694,CHAR(13)," "),CHAR(10)," "),CHAR(9)," "),CHAR(92),_xlfn.CONCAT(CHAR(92),CHAR(92))),"$",_xlfn.CONCAT(CHAR(92),"$")),CHAR(96),_xlfn.CONCAT(CHAR(92),CHAR(96))),CHAR(34),CHAR(39))))</f>
        <v/>
      </c>
      <c r="R694" s="5" t="str">
        <f>IF(OR(TRIM($B694)="",$H694=""),"",IF(OR(ISNUMBER(SEARCH(_xlfn.CONCAT(CHAR(96),CHAR(34)),$H694)),ISNUMBER(SEARCH(_xlfn.CONCAT(CHAR(34),CHAR(39)),$H694))),_xlfn.CONCAT("* REVIEW REQUIRED: compound-quote delimiter in Source on Sheet 1 row ",694,"; edit the input before running."),_xlfn.CONCAT("char ",TRIM($B694),"[doc_source] ",CHAR(96),CHAR(34),SUBSTITUTE(SUBSTITUTE(SUBSTITUTE(SUBSTITUTE(SUBSTITUTE(SUBSTITUTE($H694,CHAR(13)," "),CHAR(10)," "),CHAR(9)," "),CHAR(92),_xlfn.CONCAT(CHAR(92),CHAR(92))),"$",_xlfn.CONCAT(CHAR(92),"$")),CHAR(96),_xlfn.CONCAT(CHAR(92),CHAR(96))),CHAR(34),CHAR(39))))</f>
        <v/>
      </c>
      <c r="S694" s="5" t="str">
        <f>IF(OR(TRIM($B694)="",$I694=""),"",IF(OR(ISNUMBER(SEARCH(_xlfn.CONCAT(CHAR(96),CHAR(34)),$I694)),ISNUMBER(SEARCH(_xlfn.CONCAT(CHAR(34),CHAR(39)),$I694))),_xlfn.CONCAT("* REVIEW REQUIRED: compound-quote delimiter in Derivation on Sheet 1 row ",694,"; edit the input before running."),_xlfn.CONCAT("char ",TRIM($B694),"[doc_derivation] ",CHAR(96),CHAR(34),SUBSTITUTE(SUBSTITUTE(SUBSTITUTE(SUBSTITUTE(SUBSTITUTE(SUBSTITUTE($I694,CHAR(13)," "),CHAR(10)," "),CHAR(9)," "),CHAR(92),_xlfn.CONCAT(CHAR(92),CHAR(92))),"$",_xlfn.CONCAT(CHAR(92),"$")),CHAR(96),_xlfn.CONCAT(CHAR(92),CHAR(96))),CHAR(34),CHAR(39))))</f>
        <v/>
      </c>
      <c r="T694" s="5" t="str">
        <f>IF(OR(TRIM($B694)="",$J694=""),"",IF(OR(ISNUMBER(SEARCH(_xlfn.CONCAT(CHAR(96),CHAR(34)),$J694)),ISNUMBER(SEARCH(_xlfn.CONCAT(CHAR(34),CHAR(39)),$J694))),_xlfn.CONCAT("* REVIEW REQUIRED: compound-quote delimiter in Notes on Sheet 1 row ",694,"; edit the input before running."),_xlfn.CONCAT("char ",TRIM($B694),"[doc_notes] ",CHAR(96),CHAR(34),SUBSTITUTE(SUBSTITUTE(SUBSTITUTE(SUBSTITUTE(SUBSTITUTE(SUBSTITUTE($J694,CHAR(13)," "),CHAR(10)," "),CHAR(9)," "),CHAR(92),_xlfn.CONCAT(CHAR(92),CHAR(92))),"$",_xlfn.CONCAT(CHAR(92),"$")),CHAR(96),_xlfn.CONCAT(CHAR(92),CHAR(96))),CHAR(34),CHAR(39))))</f>
        <v/>
      </c>
      <c r="U694" s="5">
        <f t="shared" si="21"/>
        <v>0</v>
      </c>
    </row>
    <row r="695" spans="3:21" ht="30" customHeight="1" x14ac:dyDescent="0.2">
      <c r="C695" s="4"/>
      <c r="K695" s="5">
        <f t="shared" si="20"/>
        <v>0</v>
      </c>
      <c r="L695" s="5" t="str">
        <f>IF(OR(TRIM($B695)="",$A695=""),"",IF(OR(ISNUMBER(SEARCH(_xlfn.CONCAT(CHAR(96),CHAR(34)),$A695)),ISNUMBER(SEARCH(_xlfn.CONCAT(CHAR(34),CHAR(39)),$A695))),_xlfn.CONCAT("* REVIEW REQUIRED: compound-quote delimiter in Codebook Section on Sheet 1 row ",695,"; edit the input before running."),_xlfn.CONCAT("char ",TRIM($B695),"[doc_section] ",CHAR(96),CHAR(34),SUBSTITUTE(SUBSTITUTE(SUBSTITUTE(SUBSTITUTE(SUBSTITUTE(SUBSTITUTE($A695,CHAR(13)," "),CHAR(10)," "),CHAR(9)," "),CHAR(92),_xlfn.CONCAT(CHAR(92),CHAR(92))),"$",_xlfn.CONCAT(CHAR(92),"$")),CHAR(96),_xlfn.CONCAT(CHAR(92),CHAR(96))),CHAR(34),CHAR(39))))</f>
        <v/>
      </c>
      <c r="M695" s="5" t="str">
        <f>IF(OR(TRIM($B695)="",$C695=""),"",IF(IFERROR(MATCH(TRIM($C695),{"Quantitative","Continuous","Discrete","Categorical","Nominal","Ordinal","Identifier"},0),0)=0,_xlfn.CONCAT("* REVIEW REQUIRED: invalid Variable Type on Sheet 1 row ",695,"."),_xlfn.CONCAT("char ",TRIM($B695),"[doc_vartype] ",CHAR(96),CHAR(34),SUBSTITUTE(SUBSTITUTE(SUBSTITUTE(SUBSTITUTE(SUBSTITUTE(SUBSTITUTE(LOWER(TRIM($C695)),CHAR(13)," "),CHAR(10)," "),CHAR(9)," "),CHAR(92),_xlfn.CONCAT(CHAR(92),CHAR(92))),"$",_xlfn.CONCAT(CHAR(92),"$")),CHAR(96),_xlfn.CONCAT(CHAR(92),CHAR(96))),CHAR(34),CHAR(39))))</f>
        <v/>
      </c>
      <c r="N695" s="5" t="str">
        <f>IF(OR(TRIM($B695)="",$D695=""),"",IF(OR(ISNUMBER(SEARCH(_xlfn.CONCAT(CHAR(96),CHAR(34)),$D695)),ISNUMBER(SEARCH(_xlfn.CONCAT(CHAR(34),CHAR(39)),$D695))),_xlfn.CONCAT("* REVIEW REQUIRED: compound-quote delimiter in Item Number on Sheet 1 row ",695,"; edit the input before running."),_xlfn.CONCAT("char ",TRIM($B695),"[doc_itemnum] ",CHAR(96),CHAR(34),SUBSTITUTE(SUBSTITUTE(SUBSTITUTE(SUBSTITUTE(SUBSTITUTE(SUBSTITUTE($D695,CHAR(13)," "),CHAR(10)," "),CHAR(9)," "),CHAR(92),_xlfn.CONCAT(CHAR(92),CHAR(92))),"$",_xlfn.CONCAT(CHAR(92),"$")),CHAR(96),_xlfn.CONCAT(CHAR(92),CHAR(96))),CHAR(34),CHAR(39))))</f>
        <v/>
      </c>
      <c r="O695" s="5" t="str">
        <f>IF(OR(TRIM($B695)="",$E695=""),"",IF(OR(ISNUMBER(SEARCH(_xlfn.CONCAT(CHAR(96),CHAR(34)),$E695)),ISNUMBER(SEARCH(_xlfn.CONCAT(CHAR(34),CHAR(39)),$E695))),_xlfn.CONCAT("* REVIEW REQUIRED: compound-quote delimiter in Question Wording on Sheet 1 row ",695,"; edit the input before running."),_xlfn.CONCAT("char ",TRIM($B695),"[doc_question] ",CHAR(96),CHAR(34),SUBSTITUTE(SUBSTITUTE(SUBSTITUTE(SUBSTITUTE(SUBSTITUTE(SUBSTITUTE($E695,CHAR(13)," "),CHAR(10)," "),CHAR(9)," "),CHAR(92),_xlfn.CONCAT(CHAR(92),CHAR(92))),"$",_xlfn.CONCAT(CHAR(92),"$")),CHAR(96),_xlfn.CONCAT(CHAR(92),CHAR(96))),CHAR(34),CHAR(39))))</f>
        <v/>
      </c>
      <c r="P695" s="5" t="str">
        <f>IF(OR(TRIM($B695)="",$F695=""),"",IF(OR(ISNUMBER(SEARCH(_xlfn.CONCAT(CHAR(96),CHAR(34)),$F695)),ISNUMBER(SEARCH(_xlfn.CONCAT(CHAR(34),CHAR(39)),$F695))),_xlfn.CONCAT("* REVIEW REQUIRED: compound-quote delimiter in Units on Sheet 1 row ",695,"; edit the input before running."),_xlfn.CONCAT("char ",TRIM($B695),"[doc_units] ",CHAR(96),CHAR(34),SUBSTITUTE(SUBSTITUTE(SUBSTITUTE(SUBSTITUTE(SUBSTITUTE(SUBSTITUTE($F695,CHAR(13)," "),CHAR(10)," "),CHAR(9)," "),CHAR(92),_xlfn.CONCAT(CHAR(92),CHAR(92))),"$",_xlfn.CONCAT(CHAR(92),"$")),CHAR(96),_xlfn.CONCAT(CHAR(92),CHAR(96))),CHAR(34),CHAR(39))))</f>
        <v/>
      </c>
      <c r="Q695" s="5" t="str">
        <f>IF(OR(TRIM($B695)="",$G695=""),"",IF(OR(ISNUMBER(SEARCH(_xlfn.CONCAT(CHAR(96),CHAR(34)),$G695)),ISNUMBER(SEARCH(_xlfn.CONCAT(CHAR(34),CHAR(39)),$G695))),_xlfn.CONCAT("* REVIEW REQUIRED: compound-quote delimiter in Universe on Sheet 1 row ",695,"; edit the input before running."),_xlfn.CONCAT("char ",TRIM($B695),"[doc_universe] ",CHAR(96),CHAR(34),SUBSTITUTE(SUBSTITUTE(SUBSTITUTE(SUBSTITUTE(SUBSTITUTE(SUBSTITUTE($G695,CHAR(13)," "),CHAR(10)," "),CHAR(9)," "),CHAR(92),_xlfn.CONCAT(CHAR(92),CHAR(92))),"$",_xlfn.CONCAT(CHAR(92),"$")),CHAR(96),_xlfn.CONCAT(CHAR(92),CHAR(96))),CHAR(34),CHAR(39))))</f>
        <v/>
      </c>
      <c r="R695" s="5" t="str">
        <f>IF(OR(TRIM($B695)="",$H695=""),"",IF(OR(ISNUMBER(SEARCH(_xlfn.CONCAT(CHAR(96),CHAR(34)),$H695)),ISNUMBER(SEARCH(_xlfn.CONCAT(CHAR(34),CHAR(39)),$H695))),_xlfn.CONCAT("* REVIEW REQUIRED: compound-quote delimiter in Source on Sheet 1 row ",695,"; edit the input before running."),_xlfn.CONCAT("char ",TRIM($B695),"[doc_source] ",CHAR(96),CHAR(34),SUBSTITUTE(SUBSTITUTE(SUBSTITUTE(SUBSTITUTE(SUBSTITUTE(SUBSTITUTE($H695,CHAR(13)," "),CHAR(10)," "),CHAR(9)," "),CHAR(92),_xlfn.CONCAT(CHAR(92),CHAR(92))),"$",_xlfn.CONCAT(CHAR(92),"$")),CHAR(96),_xlfn.CONCAT(CHAR(92),CHAR(96))),CHAR(34),CHAR(39))))</f>
        <v/>
      </c>
      <c r="S695" s="5" t="str">
        <f>IF(OR(TRIM($B695)="",$I695=""),"",IF(OR(ISNUMBER(SEARCH(_xlfn.CONCAT(CHAR(96),CHAR(34)),$I695)),ISNUMBER(SEARCH(_xlfn.CONCAT(CHAR(34),CHAR(39)),$I695))),_xlfn.CONCAT("* REVIEW REQUIRED: compound-quote delimiter in Derivation on Sheet 1 row ",695,"; edit the input before running."),_xlfn.CONCAT("char ",TRIM($B695),"[doc_derivation] ",CHAR(96),CHAR(34),SUBSTITUTE(SUBSTITUTE(SUBSTITUTE(SUBSTITUTE(SUBSTITUTE(SUBSTITUTE($I695,CHAR(13)," "),CHAR(10)," "),CHAR(9)," "),CHAR(92),_xlfn.CONCAT(CHAR(92),CHAR(92))),"$",_xlfn.CONCAT(CHAR(92),"$")),CHAR(96),_xlfn.CONCAT(CHAR(92),CHAR(96))),CHAR(34),CHAR(39))))</f>
        <v/>
      </c>
      <c r="T695" s="5" t="str">
        <f>IF(OR(TRIM($B695)="",$J695=""),"",IF(OR(ISNUMBER(SEARCH(_xlfn.CONCAT(CHAR(96),CHAR(34)),$J695)),ISNUMBER(SEARCH(_xlfn.CONCAT(CHAR(34),CHAR(39)),$J695))),_xlfn.CONCAT("* REVIEW REQUIRED: compound-quote delimiter in Notes on Sheet 1 row ",695,"; edit the input before running."),_xlfn.CONCAT("char ",TRIM($B695),"[doc_notes] ",CHAR(96),CHAR(34),SUBSTITUTE(SUBSTITUTE(SUBSTITUTE(SUBSTITUTE(SUBSTITUTE(SUBSTITUTE($J695,CHAR(13)," "),CHAR(10)," "),CHAR(9)," "),CHAR(92),_xlfn.CONCAT(CHAR(92),CHAR(92))),"$",_xlfn.CONCAT(CHAR(92),"$")),CHAR(96),_xlfn.CONCAT(CHAR(92),CHAR(96))),CHAR(34),CHAR(39))))</f>
        <v/>
      </c>
      <c r="U695" s="5">
        <f t="shared" si="21"/>
        <v>0</v>
      </c>
    </row>
    <row r="696" spans="3:21" ht="30" customHeight="1" x14ac:dyDescent="0.2">
      <c r="C696" s="4"/>
      <c r="K696" s="5">
        <f t="shared" si="20"/>
        <v>0</v>
      </c>
      <c r="L696" s="5" t="str">
        <f>IF(OR(TRIM($B696)="",$A696=""),"",IF(OR(ISNUMBER(SEARCH(_xlfn.CONCAT(CHAR(96),CHAR(34)),$A696)),ISNUMBER(SEARCH(_xlfn.CONCAT(CHAR(34),CHAR(39)),$A696))),_xlfn.CONCAT("* REVIEW REQUIRED: compound-quote delimiter in Codebook Section on Sheet 1 row ",696,"; edit the input before running."),_xlfn.CONCAT("char ",TRIM($B696),"[doc_section] ",CHAR(96),CHAR(34),SUBSTITUTE(SUBSTITUTE(SUBSTITUTE(SUBSTITUTE(SUBSTITUTE(SUBSTITUTE($A696,CHAR(13)," "),CHAR(10)," "),CHAR(9)," "),CHAR(92),_xlfn.CONCAT(CHAR(92),CHAR(92))),"$",_xlfn.CONCAT(CHAR(92),"$")),CHAR(96),_xlfn.CONCAT(CHAR(92),CHAR(96))),CHAR(34),CHAR(39))))</f>
        <v/>
      </c>
      <c r="M696" s="5" t="str">
        <f>IF(OR(TRIM($B696)="",$C696=""),"",IF(IFERROR(MATCH(TRIM($C696),{"Quantitative","Continuous","Discrete","Categorical","Nominal","Ordinal","Identifier"},0),0)=0,_xlfn.CONCAT("* REVIEW REQUIRED: invalid Variable Type on Sheet 1 row ",696,"."),_xlfn.CONCAT("char ",TRIM($B696),"[doc_vartype] ",CHAR(96),CHAR(34),SUBSTITUTE(SUBSTITUTE(SUBSTITUTE(SUBSTITUTE(SUBSTITUTE(SUBSTITUTE(LOWER(TRIM($C696)),CHAR(13)," "),CHAR(10)," "),CHAR(9)," "),CHAR(92),_xlfn.CONCAT(CHAR(92),CHAR(92))),"$",_xlfn.CONCAT(CHAR(92),"$")),CHAR(96),_xlfn.CONCAT(CHAR(92),CHAR(96))),CHAR(34),CHAR(39))))</f>
        <v/>
      </c>
      <c r="N696" s="5" t="str">
        <f>IF(OR(TRIM($B696)="",$D696=""),"",IF(OR(ISNUMBER(SEARCH(_xlfn.CONCAT(CHAR(96),CHAR(34)),$D696)),ISNUMBER(SEARCH(_xlfn.CONCAT(CHAR(34),CHAR(39)),$D696))),_xlfn.CONCAT("* REVIEW REQUIRED: compound-quote delimiter in Item Number on Sheet 1 row ",696,"; edit the input before running."),_xlfn.CONCAT("char ",TRIM($B696),"[doc_itemnum] ",CHAR(96),CHAR(34),SUBSTITUTE(SUBSTITUTE(SUBSTITUTE(SUBSTITUTE(SUBSTITUTE(SUBSTITUTE($D696,CHAR(13)," "),CHAR(10)," "),CHAR(9)," "),CHAR(92),_xlfn.CONCAT(CHAR(92),CHAR(92))),"$",_xlfn.CONCAT(CHAR(92),"$")),CHAR(96),_xlfn.CONCAT(CHAR(92),CHAR(96))),CHAR(34),CHAR(39))))</f>
        <v/>
      </c>
      <c r="O696" s="5" t="str">
        <f>IF(OR(TRIM($B696)="",$E696=""),"",IF(OR(ISNUMBER(SEARCH(_xlfn.CONCAT(CHAR(96),CHAR(34)),$E696)),ISNUMBER(SEARCH(_xlfn.CONCAT(CHAR(34),CHAR(39)),$E696))),_xlfn.CONCAT("* REVIEW REQUIRED: compound-quote delimiter in Question Wording on Sheet 1 row ",696,"; edit the input before running."),_xlfn.CONCAT("char ",TRIM($B696),"[doc_question] ",CHAR(96),CHAR(34),SUBSTITUTE(SUBSTITUTE(SUBSTITUTE(SUBSTITUTE(SUBSTITUTE(SUBSTITUTE($E696,CHAR(13)," "),CHAR(10)," "),CHAR(9)," "),CHAR(92),_xlfn.CONCAT(CHAR(92),CHAR(92))),"$",_xlfn.CONCAT(CHAR(92),"$")),CHAR(96),_xlfn.CONCAT(CHAR(92),CHAR(96))),CHAR(34),CHAR(39))))</f>
        <v/>
      </c>
      <c r="P696" s="5" t="str">
        <f>IF(OR(TRIM($B696)="",$F696=""),"",IF(OR(ISNUMBER(SEARCH(_xlfn.CONCAT(CHAR(96),CHAR(34)),$F696)),ISNUMBER(SEARCH(_xlfn.CONCAT(CHAR(34),CHAR(39)),$F696))),_xlfn.CONCAT("* REVIEW REQUIRED: compound-quote delimiter in Units on Sheet 1 row ",696,"; edit the input before running."),_xlfn.CONCAT("char ",TRIM($B696),"[doc_units] ",CHAR(96),CHAR(34),SUBSTITUTE(SUBSTITUTE(SUBSTITUTE(SUBSTITUTE(SUBSTITUTE(SUBSTITUTE($F696,CHAR(13)," "),CHAR(10)," "),CHAR(9)," "),CHAR(92),_xlfn.CONCAT(CHAR(92),CHAR(92))),"$",_xlfn.CONCAT(CHAR(92),"$")),CHAR(96),_xlfn.CONCAT(CHAR(92),CHAR(96))),CHAR(34),CHAR(39))))</f>
        <v/>
      </c>
      <c r="Q696" s="5" t="str">
        <f>IF(OR(TRIM($B696)="",$G696=""),"",IF(OR(ISNUMBER(SEARCH(_xlfn.CONCAT(CHAR(96),CHAR(34)),$G696)),ISNUMBER(SEARCH(_xlfn.CONCAT(CHAR(34),CHAR(39)),$G696))),_xlfn.CONCAT("* REVIEW REQUIRED: compound-quote delimiter in Universe on Sheet 1 row ",696,"; edit the input before running."),_xlfn.CONCAT("char ",TRIM($B696),"[doc_universe] ",CHAR(96),CHAR(34),SUBSTITUTE(SUBSTITUTE(SUBSTITUTE(SUBSTITUTE(SUBSTITUTE(SUBSTITUTE($G696,CHAR(13)," "),CHAR(10)," "),CHAR(9)," "),CHAR(92),_xlfn.CONCAT(CHAR(92),CHAR(92))),"$",_xlfn.CONCAT(CHAR(92),"$")),CHAR(96),_xlfn.CONCAT(CHAR(92),CHAR(96))),CHAR(34),CHAR(39))))</f>
        <v/>
      </c>
      <c r="R696" s="5" t="str">
        <f>IF(OR(TRIM($B696)="",$H696=""),"",IF(OR(ISNUMBER(SEARCH(_xlfn.CONCAT(CHAR(96),CHAR(34)),$H696)),ISNUMBER(SEARCH(_xlfn.CONCAT(CHAR(34),CHAR(39)),$H696))),_xlfn.CONCAT("* REVIEW REQUIRED: compound-quote delimiter in Source on Sheet 1 row ",696,"; edit the input before running."),_xlfn.CONCAT("char ",TRIM($B696),"[doc_source] ",CHAR(96),CHAR(34),SUBSTITUTE(SUBSTITUTE(SUBSTITUTE(SUBSTITUTE(SUBSTITUTE(SUBSTITUTE($H696,CHAR(13)," "),CHAR(10)," "),CHAR(9)," "),CHAR(92),_xlfn.CONCAT(CHAR(92),CHAR(92))),"$",_xlfn.CONCAT(CHAR(92),"$")),CHAR(96),_xlfn.CONCAT(CHAR(92),CHAR(96))),CHAR(34),CHAR(39))))</f>
        <v/>
      </c>
      <c r="S696" s="5" t="str">
        <f>IF(OR(TRIM($B696)="",$I696=""),"",IF(OR(ISNUMBER(SEARCH(_xlfn.CONCAT(CHAR(96),CHAR(34)),$I696)),ISNUMBER(SEARCH(_xlfn.CONCAT(CHAR(34),CHAR(39)),$I696))),_xlfn.CONCAT("* REVIEW REQUIRED: compound-quote delimiter in Derivation on Sheet 1 row ",696,"; edit the input before running."),_xlfn.CONCAT("char ",TRIM($B696),"[doc_derivation] ",CHAR(96),CHAR(34),SUBSTITUTE(SUBSTITUTE(SUBSTITUTE(SUBSTITUTE(SUBSTITUTE(SUBSTITUTE($I696,CHAR(13)," "),CHAR(10)," "),CHAR(9)," "),CHAR(92),_xlfn.CONCAT(CHAR(92),CHAR(92))),"$",_xlfn.CONCAT(CHAR(92),"$")),CHAR(96),_xlfn.CONCAT(CHAR(92),CHAR(96))),CHAR(34),CHAR(39))))</f>
        <v/>
      </c>
      <c r="T696" s="5" t="str">
        <f>IF(OR(TRIM($B696)="",$J696=""),"",IF(OR(ISNUMBER(SEARCH(_xlfn.CONCAT(CHAR(96),CHAR(34)),$J696)),ISNUMBER(SEARCH(_xlfn.CONCAT(CHAR(34),CHAR(39)),$J696))),_xlfn.CONCAT("* REVIEW REQUIRED: compound-quote delimiter in Notes on Sheet 1 row ",696,"; edit the input before running."),_xlfn.CONCAT("char ",TRIM($B696),"[doc_notes] ",CHAR(96),CHAR(34),SUBSTITUTE(SUBSTITUTE(SUBSTITUTE(SUBSTITUTE(SUBSTITUTE(SUBSTITUTE($J696,CHAR(13)," "),CHAR(10)," "),CHAR(9)," "),CHAR(92),_xlfn.CONCAT(CHAR(92),CHAR(92))),"$",_xlfn.CONCAT(CHAR(92),"$")),CHAR(96),_xlfn.CONCAT(CHAR(92),CHAR(96))),CHAR(34),CHAR(39))))</f>
        <v/>
      </c>
      <c r="U696" s="5">
        <f t="shared" si="21"/>
        <v>0</v>
      </c>
    </row>
    <row r="697" spans="3:21" ht="30" customHeight="1" x14ac:dyDescent="0.2">
      <c r="C697" s="4"/>
      <c r="K697" s="5">
        <f t="shared" si="20"/>
        <v>0</v>
      </c>
      <c r="L697" s="5" t="str">
        <f>IF(OR(TRIM($B697)="",$A697=""),"",IF(OR(ISNUMBER(SEARCH(_xlfn.CONCAT(CHAR(96),CHAR(34)),$A697)),ISNUMBER(SEARCH(_xlfn.CONCAT(CHAR(34),CHAR(39)),$A697))),_xlfn.CONCAT("* REVIEW REQUIRED: compound-quote delimiter in Codebook Section on Sheet 1 row ",697,"; edit the input before running."),_xlfn.CONCAT("char ",TRIM($B697),"[doc_section] ",CHAR(96),CHAR(34),SUBSTITUTE(SUBSTITUTE(SUBSTITUTE(SUBSTITUTE(SUBSTITUTE(SUBSTITUTE($A697,CHAR(13)," "),CHAR(10)," "),CHAR(9)," "),CHAR(92),_xlfn.CONCAT(CHAR(92),CHAR(92))),"$",_xlfn.CONCAT(CHAR(92),"$")),CHAR(96),_xlfn.CONCAT(CHAR(92),CHAR(96))),CHAR(34),CHAR(39))))</f>
        <v/>
      </c>
      <c r="M697" s="5" t="str">
        <f>IF(OR(TRIM($B697)="",$C697=""),"",IF(IFERROR(MATCH(TRIM($C697),{"Quantitative","Continuous","Discrete","Categorical","Nominal","Ordinal","Identifier"},0),0)=0,_xlfn.CONCAT("* REVIEW REQUIRED: invalid Variable Type on Sheet 1 row ",697,"."),_xlfn.CONCAT("char ",TRIM($B697),"[doc_vartype] ",CHAR(96),CHAR(34),SUBSTITUTE(SUBSTITUTE(SUBSTITUTE(SUBSTITUTE(SUBSTITUTE(SUBSTITUTE(LOWER(TRIM($C697)),CHAR(13)," "),CHAR(10)," "),CHAR(9)," "),CHAR(92),_xlfn.CONCAT(CHAR(92),CHAR(92))),"$",_xlfn.CONCAT(CHAR(92),"$")),CHAR(96),_xlfn.CONCAT(CHAR(92),CHAR(96))),CHAR(34),CHAR(39))))</f>
        <v/>
      </c>
      <c r="N697" s="5" t="str">
        <f>IF(OR(TRIM($B697)="",$D697=""),"",IF(OR(ISNUMBER(SEARCH(_xlfn.CONCAT(CHAR(96),CHAR(34)),$D697)),ISNUMBER(SEARCH(_xlfn.CONCAT(CHAR(34),CHAR(39)),$D697))),_xlfn.CONCAT("* REVIEW REQUIRED: compound-quote delimiter in Item Number on Sheet 1 row ",697,"; edit the input before running."),_xlfn.CONCAT("char ",TRIM($B697),"[doc_itemnum] ",CHAR(96),CHAR(34),SUBSTITUTE(SUBSTITUTE(SUBSTITUTE(SUBSTITUTE(SUBSTITUTE(SUBSTITUTE($D697,CHAR(13)," "),CHAR(10)," "),CHAR(9)," "),CHAR(92),_xlfn.CONCAT(CHAR(92),CHAR(92))),"$",_xlfn.CONCAT(CHAR(92),"$")),CHAR(96),_xlfn.CONCAT(CHAR(92),CHAR(96))),CHAR(34),CHAR(39))))</f>
        <v/>
      </c>
      <c r="O697" s="5" t="str">
        <f>IF(OR(TRIM($B697)="",$E697=""),"",IF(OR(ISNUMBER(SEARCH(_xlfn.CONCAT(CHAR(96),CHAR(34)),$E697)),ISNUMBER(SEARCH(_xlfn.CONCAT(CHAR(34),CHAR(39)),$E697))),_xlfn.CONCAT("* REVIEW REQUIRED: compound-quote delimiter in Question Wording on Sheet 1 row ",697,"; edit the input before running."),_xlfn.CONCAT("char ",TRIM($B697),"[doc_question] ",CHAR(96),CHAR(34),SUBSTITUTE(SUBSTITUTE(SUBSTITUTE(SUBSTITUTE(SUBSTITUTE(SUBSTITUTE($E697,CHAR(13)," "),CHAR(10)," "),CHAR(9)," "),CHAR(92),_xlfn.CONCAT(CHAR(92),CHAR(92))),"$",_xlfn.CONCAT(CHAR(92),"$")),CHAR(96),_xlfn.CONCAT(CHAR(92),CHAR(96))),CHAR(34),CHAR(39))))</f>
        <v/>
      </c>
      <c r="P697" s="5" t="str">
        <f>IF(OR(TRIM($B697)="",$F697=""),"",IF(OR(ISNUMBER(SEARCH(_xlfn.CONCAT(CHAR(96),CHAR(34)),$F697)),ISNUMBER(SEARCH(_xlfn.CONCAT(CHAR(34),CHAR(39)),$F697))),_xlfn.CONCAT("* REVIEW REQUIRED: compound-quote delimiter in Units on Sheet 1 row ",697,"; edit the input before running."),_xlfn.CONCAT("char ",TRIM($B697),"[doc_units] ",CHAR(96),CHAR(34),SUBSTITUTE(SUBSTITUTE(SUBSTITUTE(SUBSTITUTE(SUBSTITUTE(SUBSTITUTE($F697,CHAR(13)," "),CHAR(10)," "),CHAR(9)," "),CHAR(92),_xlfn.CONCAT(CHAR(92),CHAR(92))),"$",_xlfn.CONCAT(CHAR(92),"$")),CHAR(96),_xlfn.CONCAT(CHAR(92),CHAR(96))),CHAR(34),CHAR(39))))</f>
        <v/>
      </c>
      <c r="Q697" s="5" t="str">
        <f>IF(OR(TRIM($B697)="",$G697=""),"",IF(OR(ISNUMBER(SEARCH(_xlfn.CONCAT(CHAR(96),CHAR(34)),$G697)),ISNUMBER(SEARCH(_xlfn.CONCAT(CHAR(34),CHAR(39)),$G697))),_xlfn.CONCAT("* REVIEW REQUIRED: compound-quote delimiter in Universe on Sheet 1 row ",697,"; edit the input before running."),_xlfn.CONCAT("char ",TRIM($B697),"[doc_universe] ",CHAR(96),CHAR(34),SUBSTITUTE(SUBSTITUTE(SUBSTITUTE(SUBSTITUTE(SUBSTITUTE(SUBSTITUTE($G697,CHAR(13)," "),CHAR(10)," "),CHAR(9)," "),CHAR(92),_xlfn.CONCAT(CHAR(92),CHAR(92))),"$",_xlfn.CONCAT(CHAR(92),"$")),CHAR(96),_xlfn.CONCAT(CHAR(92),CHAR(96))),CHAR(34),CHAR(39))))</f>
        <v/>
      </c>
      <c r="R697" s="5" t="str">
        <f>IF(OR(TRIM($B697)="",$H697=""),"",IF(OR(ISNUMBER(SEARCH(_xlfn.CONCAT(CHAR(96),CHAR(34)),$H697)),ISNUMBER(SEARCH(_xlfn.CONCAT(CHAR(34),CHAR(39)),$H697))),_xlfn.CONCAT("* REVIEW REQUIRED: compound-quote delimiter in Source on Sheet 1 row ",697,"; edit the input before running."),_xlfn.CONCAT("char ",TRIM($B697),"[doc_source] ",CHAR(96),CHAR(34),SUBSTITUTE(SUBSTITUTE(SUBSTITUTE(SUBSTITUTE(SUBSTITUTE(SUBSTITUTE($H697,CHAR(13)," "),CHAR(10)," "),CHAR(9)," "),CHAR(92),_xlfn.CONCAT(CHAR(92),CHAR(92))),"$",_xlfn.CONCAT(CHAR(92),"$")),CHAR(96),_xlfn.CONCAT(CHAR(92),CHAR(96))),CHAR(34),CHAR(39))))</f>
        <v/>
      </c>
      <c r="S697" s="5" t="str">
        <f>IF(OR(TRIM($B697)="",$I697=""),"",IF(OR(ISNUMBER(SEARCH(_xlfn.CONCAT(CHAR(96),CHAR(34)),$I697)),ISNUMBER(SEARCH(_xlfn.CONCAT(CHAR(34),CHAR(39)),$I697))),_xlfn.CONCAT("* REVIEW REQUIRED: compound-quote delimiter in Derivation on Sheet 1 row ",697,"; edit the input before running."),_xlfn.CONCAT("char ",TRIM($B697),"[doc_derivation] ",CHAR(96),CHAR(34),SUBSTITUTE(SUBSTITUTE(SUBSTITUTE(SUBSTITUTE(SUBSTITUTE(SUBSTITUTE($I697,CHAR(13)," "),CHAR(10)," "),CHAR(9)," "),CHAR(92),_xlfn.CONCAT(CHAR(92),CHAR(92))),"$",_xlfn.CONCAT(CHAR(92),"$")),CHAR(96),_xlfn.CONCAT(CHAR(92),CHAR(96))),CHAR(34),CHAR(39))))</f>
        <v/>
      </c>
      <c r="T697" s="5" t="str">
        <f>IF(OR(TRIM($B697)="",$J697=""),"",IF(OR(ISNUMBER(SEARCH(_xlfn.CONCAT(CHAR(96),CHAR(34)),$J697)),ISNUMBER(SEARCH(_xlfn.CONCAT(CHAR(34),CHAR(39)),$J697))),_xlfn.CONCAT("* REVIEW REQUIRED: compound-quote delimiter in Notes on Sheet 1 row ",697,"; edit the input before running."),_xlfn.CONCAT("char ",TRIM($B697),"[doc_notes] ",CHAR(96),CHAR(34),SUBSTITUTE(SUBSTITUTE(SUBSTITUTE(SUBSTITUTE(SUBSTITUTE(SUBSTITUTE($J697,CHAR(13)," "),CHAR(10)," "),CHAR(9)," "),CHAR(92),_xlfn.CONCAT(CHAR(92),CHAR(92))),"$",_xlfn.CONCAT(CHAR(92),"$")),CHAR(96),_xlfn.CONCAT(CHAR(92),CHAR(96))),CHAR(34),CHAR(39))))</f>
        <v/>
      </c>
      <c r="U697" s="5">
        <f t="shared" si="21"/>
        <v>0</v>
      </c>
    </row>
    <row r="698" spans="3:21" ht="30" customHeight="1" x14ac:dyDescent="0.2">
      <c r="C698" s="4"/>
      <c r="K698" s="5">
        <f t="shared" si="20"/>
        <v>0</v>
      </c>
      <c r="L698" s="5" t="str">
        <f>IF(OR(TRIM($B698)="",$A698=""),"",IF(OR(ISNUMBER(SEARCH(_xlfn.CONCAT(CHAR(96),CHAR(34)),$A698)),ISNUMBER(SEARCH(_xlfn.CONCAT(CHAR(34),CHAR(39)),$A698))),_xlfn.CONCAT("* REVIEW REQUIRED: compound-quote delimiter in Codebook Section on Sheet 1 row ",698,"; edit the input before running."),_xlfn.CONCAT("char ",TRIM($B698),"[doc_section] ",CHAR(96),CHAR(34),SUBSTITUTE(SUBSTITUTE(SUBSTITUTE(SUBSTITUTE(SUBSTITUTE(SUBSTITUTE($A698,CHAR(13)," "),CHAR(10)," "),CHAR(9)," "),CHAR(92),_xlfn.CONCAT(CHAR(92),CHAR(92))),"$",_xlfn.CONCAT(CHAR(92),"$")),CHAR(96),_xlfn.CONCAT(CHAR(92),CHAR(96))),CHAR(34),CHAR(39))))</f>
        <v/>
      </c>
      <c r="M698" s="5" t="str">
        <f>IF(OR(TRIM($B698)="",$C698=""),"",IF(IFERROR(MATCH(TRIM($C698),{"Quantitative","Continuous","Discrete","Categorical","Nominal","Ordinal","Identifier"},0),0)=0,_xlfn.CONCAT("* REVIEW REQUIRED: invalid Variable Type on Sheet 1 row ",698,"."),_xlfn.CONCAT("char ",TRIM($B698),"[doc_vartype] ",CHAR(96),CHAR(34),SUBSTITUTE(SUBSTITUTE(SUBSTITUTE(SUBSTITUTE(SUBSTITUTE(SUBSTITUTE(LOWER(TRIM($C698)),CHAR(13)," "),CHAR(10)," "),CHAR(9)," "),CHAR(92),_xlfn.CONCAT(CHAR(92),CHAR(92))),"$",_xlfn.CONCAT(CHAR(92),"$")),CHAR(96),_xlfn.CONCAT(CHAR(92),CHAR(96))),CHAR(34),CHAR(39))))</f>
        <v/>
      </c>
      <c r="N698" s="5" t="str">
        <f>IF(OR(TRIM($B698)="",$D698=""),"",IF(OR(ISNUMBER(SEARCH(_xlfn.CONCAT(CHAR(96),CHAR(34)),$D698)),ISNUMBER(SEARCH(_xlfn.CONCAT(CHAR(34),CHAR(39)),$D698))),_xlfn.CONCAT("* REVIEW REQUIRED: compound-quote delimiter in Item Number on Sheet 1 row ",698,"; edit the input before running."),_xlfn.CONCAT("char ",TRIM($B698),"[doc_itemnum] ",CHAR(96),CHAR(34),SUBSTITUTE(SUBSTITUTE(SUBSTITUTE(SUBSTITUTE(SUBSTITUTE(SUBSTITUTE($D698,CHAR(13)," "),CHAR(10)," "),CHAR(9)," "),CHAR(92),_xlfn.CONCAT(CHAR(92),CHAR(92))),"$",_xlfn.CONCAT(CHAR(92),"$")),CHAR(96),_xlfn.CONCAT(CHAR(92),CHAR(96))),CHAR(34),CHAR(39))))</f>
        <v/>
      </c>
      <c r="O698" s="5" t="str">
        <f>IF(OR(TRIM($B698)="",$E698=""),"",IF(OR(ISNUMBER(SEARCH(_xlfn.CONCAT(CHAR(96),CHAR(34)),$E698)),ISNUMBER(SEARCH(_xlfn.CONCAT(CHAR(34),CHAR(39)),$E698))),_xlfn.CONCAT("* REVIEW REQUIRED: compound-quote delimiter in Question Wording on Sheet 1 row ",698,"; edit the input before running."),_xlfn.CONCAT("char ",TRIM($B698),"[doc_question] ",CHAR(96),CHAR(34),SUBSTITUTE(SUBSTITUTE(SUBSTITUTE(SUBSTITUTE(SUBSTITUTE(SUBSTITUTE($E698,CHAR(13)," "),CHAR(10)," "),CHAR(9)," "),CHAR(92),_xlfn.CONCAT(CHAR(92),CHAR(92))),"$",_xlfn.CONCAT(CHAR(92),"$")),CHAR(96),_xlfn.CONCAT(CHAR(92),CHAR(96))),CHAR(34),CHAR(39))))</f>
        <v/>
      </c>
      <c r="P698" s="5" t="str">
        <f>IF(OR(TRIM($B698)="",$F698=""),"",IF(OR(ISNUMBER(SEARCH(_xlfn.CONCAT(CHAR(96),CHAR(34)),$F698)),ISNUMBER(SEARCH(_xlfn.CONCAT(CHAR(34),CHAR(39)),$F698))),_xlfn.CONCAT("* REVIEW REQUIRED: compound-quote delimiter in Units on Sheet 1 row ",698,"; edit the input before running."),_xlfn.CONCAT("char ",TRIM($B698),"[doc_units] ",CHAR(96),CHAR(34),SUBSTITUTE(SUBSTITUTE(SUBSTITUTE(SUBSTITUTE(SUBSTITUTE(SUBSTITUTE($F698,CHAR(13)," "),CHAR(10)," "),CHAR(9)," "),CHAR(92),_xlfn.CONCAT(CHAR(92),CHAR(92))),"$",_xlfn.CONCAT(CHAR(92),"$")),CHAR(96),_xlfn.CONCAT(CHAR(92),CHAR(96))),CHAR(34),CHAR(39))))</f>
        <v/>
      </c>
      <c r="Q698" s="5" t="str">
        <f>IF(OR(TRIM($B698)="",$G698=""),"",IF(OR(ISNUMBER(SEARCH(_xlfn.CONCAT(CHAR(96),CHAR(34)),$G698)),ISNUMBER(SEARCH(_xlfn.CONCAT(CHAR(34),CHAR(39)),$G698))),_xlfn.CONCAT("* REVIEW REQUIRED: compound-quote delimiter in Universe on Sheet 1 row ",698,"; edit the input before running."),_xlfn.CONCAT("char ",TRIM($B698),"[doc_universe] ",CHAR(96),CHAR(34),SUBSTITUTE(SUBSTITUTE(SUBSTITUTE(SUBSTITUTE(SUBSTITUTE(SUBSTITUTE($G698,CHAR(13)," "),CHAR(10)," "),CHAR(9)," "),CHAR(92),_xlfn.CONCAT(CHAR(92),CHAR(92))),"$",_xlfn.CONCAT(CHAR(92),"$")),CHAR(96),_xlfn.CONCAT(CHAR(92),CHAR(96))),CHAR(34),CHAR(39))))</f>
        <v/>
      </c>
      <c r="R698" s="5" t="str">
        <f>IF(OR(TRIM($B698)="",$H698=""),"",IF(OR(ISNUMBER(SEARCH(_xlfn.CONCAT(CHAR(96),CHAR(34)),$H698)),ISNUMBER(SEARCH(_xlfn.CONCAT(CHAR(34),CHAR(39)),$H698))),_xlfn.CONCAT("* REVIEW REQUIRED: compound-quote delimiter in Source on Sheet 1 row ",698,"; edit the input before running."),_xlfn.CONCAT("char ",TRIM($B698),"[doc_source] ",CHAR(96),CHAR(34),SUBSTITUTE(SUBSTITUTE(SUBSTITUTE(SUBSTITUTE(SUBSTITUTE(SUBSTITUTE($H698,CHAR(13)," "),CHAR(10)," "),CHAR(9)," "),CHAR(92),_xlfn.CONCAT(CHAR(92),CHAR(92))),"$",_xlfn.CONCAT(CHAR(92),"$")),CHAR(96),_xlfn.CONCAT(CHAR(92),CHAR(96))),CHAR(34),CHAR(39))))</f>
        <v/>
      </c>
      <c r="S698" s="5" t="str">
        <f>IF(OR(TRIM($B698)="",$I698=""),"",IF(OR(ISNUMBER(SEARCH(_xlfn.CONCAT(CHAR(96),CHAR(34)),$I698)),ISNUMBER(SEARCH(_xlfn.CONCAT(CHAR(34),CHAR(39)),$I698))),_xlfn.CONCAT("* REVIEW REQUIRED: compound-quote delimiter in Derivation on Sheet 1 row ",698,"; edit the input before running."),_xlfn.CONCAT("char ",TRIM($B698),"[doc_derivation] ",CHAR(96),CHAR(34),SUBSTITUTE(SUBSTITUTE(SUBSTITUTE(SUBSTITUTE(SUBSTITUTE(SUBSTITUTE($I698,CHAR(13)," "),CHAR(10)," "),CHAR(9)," "),CHAR(92),_xlfn.CONCAT(CHAR(92),CHAR(92))),"$",_xlfn.CONCAT(CHAR(92),"$")),CHAR(96),_xlfn.CONCAT(CHAR(92),CHAR(96))),CHAR(34),CHAR(39))))</f>
        <v/>
      </c>
      <c r="T698" s="5" t="str">
        <f>IF(OR(TRIM($B698)="",$J698=""),"",IF(OR(ISNUMBER(SEARCH(_xlfn.CONCAT(CHAR(96),CHAR(34)),$J698)),ISNUMBER(SEARCH(_xlfn.CONCAT(CHAR(34),CHAR(39)),$J698))),_xlfn.CONCAT("* REVIEW REQUIRED: compound-quote delimiter in Notes on Sheet 1 row ",698,"; edit the input before running."),_xlfn.CONCAT("char ",TRIM($B698),"[doc_notes] ",CHAR(96),CHAR(34),SUBSTITUTE(SUBSTITUTE(SUBSTITUTE(SUBSTITUTE(SUBSTITUTE(SUBSTITUTE($J698,CHAR(13)," "),CHAR(10)," "),CHAR(9)," "),CHAR(92),_xlfn.CONCAT(CHAR(92),CHAR(92))),"$",_xlfn.CONCAT(CHAR(92),"$")),CHAR(96),_xlfn.CONCAT(CHAR(92),CHAR(96))),CHAR(34),CHAR(39))))</f>
        <v/>
      </c>
      <c r="U698" s="5">
        <f t="shared" si="21"/>
        <v>0</v>
      </c>
    </row>
    <row r="699" spans="3:21" ht="30" customHeight="1" x14ac:dyDescent="0.2">
      <c r="C699" s="4"/>
      <c r="K699" s="5">
        <f t="shared" si="20"/>
        <v>0</v>
      </c>
      <c r="L699" s="5" t="str">
        <f>IF(OR(TRIM($B699)="",$A699=""),"",IF(OR(ISNUMBER(SEARCH(_xlfn.CONCAT(CHAR(96),CHAR(34)),$A699)),ISNUMBER(SEARCH(_xlfn.CONCAT(CHAR(34),CHAR(39)),$A699))),_xlfn.CONCAT("* REVIEW REQUIRED: compound-quote delimiter in Codebook Section on Sheet 1 row ",699,"; edit the input before running."),_xlfn.CONCAT("char ",TRIM($B699),"[doc_section] ",CHAR(96),CHAR(34),SUBSTITUTE(SUBSTITUTE(SUBSTITUTE(SUBSTITUTE(SUBSTITUTE(SUBSTITUTE($A699,CHAR(13)," "),CHAR(10)," "),CHAR(9)," "),CHAR(92),_xlfn.CONCAT(CHAR(92),CHAR(92))),"$",_xlfn.CONCAT(CHAR(92),"$")),CHAR(96),_xlfn.CONCAT(CHAR(92),CHAR(96))),CHAR(34),CHAR(39))))</f>
        <v/>
      </c>
      <c r="M699" s="5" t="str">
        <f>IF(OR(TRIM($B699)="",$C699=""),"",IF(IFERROR(MATCH(TRIM($C699),{"Quantitative","Continuous","Discrete","Categorical","Nominal","Ordinal","Identifier"},0),0)=0,_xlfn.CONCAT("* REVIEW REQUIRED: invalid Variable Type on Sheet 1 row ",699,"."),_xlfn.CONCAT("char ",TRIM($B699),"[doc_vartype] ",CHAR(96),CHAR(34),SUBSTITUTE(SUBSTITUTE(SUBSTITUTE(SUBSTITUTE(SUBSTITUTE(SUBSTITUTE(LOWER(TRIM($C699)),CHAR(13)," "),CHAR(10)," "),CHAR(9)," "),CHAR(92),_xlfn.CONCAT(CHAR(92),CHAR(92))),"$",_xlfn.CONCAT(CHAR(92),"$")),CHAR(96),_xlfn.CONCAT(CHAR(92),CHAR(96))),CHAR(34),CHAR(39))))</f>
        <v/>
      </c>
      <c r="N699" s="5" t="str">
        <f>IF(OR(TRIM($B699)="",$D699=""),"",IF(OR(ISNUMBER(SEARCH(_xlfn.CONCAT(CHAR(96),CHAR(34)),$D699)),ISNUMBER(SEARCH(_xlfn.CONCAT(CHAR(34),CHAR(39)),$D699))),_xlfn.CONCAT("* REVIEW REQUIRED: compound-quote delimiter in Item Number on Sheet 1 row ",699,"; edit the input before running."),_xlfn.CONCAT("char ",TRIM($B699),"[doc_itemnum] ",CHAR(96),CHAR(34),SUBSTITUTE(SUBSTITUTE(SUBSTITUTE(SUBSTITUTE(SUBSTITUTE(SUBSTITUTE($D699,CHAR(13)," "),CHAR(10)," "),CHAR(9)," "),CHAR(92),_xlfn.CONCAT(CHAR(92),CHAR(92))),"$",_xlfn.CONCAT(CHAR(92),"$")),CHAR(96),_xlfn.CONCAT(CHAR(92),CHAR(96))),CHAR(34),CHAR(39))))</f>
        <v/>
      </c>
      <c r="O699" s="5" t="str">
        <f>IF(OR(TRIM($B699)="",$E699=""),"",IF(OR(ISNUMBER(SEARCH(_xlfn.CONCAT(CHAR(96),CHAR(34)),$E699)),ISNUMBER(SEARCH(_xlfn.CONCAT(CHAR(34),CHAR(39)),$E699))),_xlfn.CONCAT("* REVIEW REQUIRED: compound-quote delimiter in Question Wording on Sheet 1 row ",699,"; edit the input before running."),_xlfn.CONCAT("char ",TRIM($B699),"[doc_question] ",CHAR(96),CHAR(34),SUBSTITUTE(SUBSTITUTE(SUBSTITUTE(SUBSTITUTE(SUBSTITUTE(SUBSTITUTE($E699,CHAR(13)," "),CHAR(10)," "),CHAR(9)," "),CHAR(92),_xlfn.CONCAT(CHAR(92),CHAR(92))),"$",_xlfn.CONCAT(CHAR(92),"$")),CHAR(96),_xlfn.CONCAT(CHAR(92),CHAR(96))),CHAR(34),CHAR(39))))</f>
        <v/>
      </c>
      <c r="P699" s="5" t="str">
        <f>IF(OR(TRIM($B699)="",$F699=""),"",IF(OR(ISNUMBER(SEARCH(_xlfn.CONCAT(CHAR(96),CHAR(34)),$F699)),ISNUMBER(SEARCH(_xlfn.CONCAT(CHAR(34),CHAR(39)),$F699))),_xlfn.CONCAT("* REVIEW REQUIRED: compound-quote delimiter in Units on Sheet 1 row ",699,"; edit the input before running."),_xlfn.CONCAT("char ",TRIM($B699),"[doc_units] ",CHAR(96),CHAR(34),SUBSTITUTE(SUBSTITUTE(SUBSTITUTE(SUBSTITUTE(SUBSTITUTE(SUBSTITUTE($F699,CHAR(13)," "),CHAR(10)," "),CHAR(9)," "),CHAR(92),_xlfn.CONCAT(CHAR(92),CHAR(92))),"$",_xlfn.CONCAT(CHAR(92),"$")),CHAR(96),_xlfn.CONCAT(CHAR(92),CHAR(96))),CHAR(34),CHAR(39))))</f>
        <v/>
      </c>
      <c r="Q699" s="5" t="str">
        <f>IF(OR(TRIM($B699)="",$G699=""),"",IF(OR(ISNUMBER(SEARCH(_xlfn.CONCAT(CHAR(96),CHAR(34)),$G699)),ISNUMBER(SEARCH(_xlfn.CONCAT(CHAR(34),CHAR(39)),$G699))),_xlfn.CONCAT("* REVIEW REQUIRED: compound-quote delimiter in Universe on Sheet 1 row ",699,"; edit the input before running."),_xlfn.CONCAT("char ",TRIM($B699),"[doc_universe] ",CHAR(96),CHAR(34),SUBSTITUTE(SUBSTITUTE(SUBSTITUTE(SUBSTITUTE(SUBSTITUTE(SUBSTITUTE($G699,CHAR(13)," "),CHAR(10)," "),CHAR(9)," "),CHAR(92),_xlfn.CONCAT(CHAR(92),CHAR(92))),"$",_xlfn.CONCAT(CHAR(92),"$")),CHAR(96),_xlfn.CONCAT(CHAR(92),CHAR(96))),CHAR(34),CHAR(39))))</f>
        <v/>
      </c>
      <c r="R699" s="5" t="str">
        <f>IF(OR(TRIM($B699)="",$H699=""),"",IF(OR(ISNUMBER(SEARCH(_xlfn.CONCAT(CHAR(96),CHAR(34)),$H699)),ISNUMBER(SEARCH(_xlfn.CONCAT(CHAR(34),CHAR(39)),$H699))),_xlfn.CONCAT("* REVIEW REQUIRED: compound-quote delimiter in Source on Sheet 1 row ",699,"; edit the input before running."),_xlfn.CONCAT("char ",TRIM($B699),"[doc_source] ",CHAR(96),CHAR(34),SUBSTITUTE(SUBSTITUTE(SUBSTITUTE(SUBSTITUTE(SUBSTITUTE(SUBSTITUTE($H699,CHAR(13)," "),CHAR(10)," "),CHAR(9)," "),CHAR(92),_xlfn.CONCAT(CHAR(92),CHAR(92))),"$",_xlfn.CONCAT(CHAR(92),"$")),CHAR(96),_xlfn.CONCAT(CHAR(92),CHAR(96))),CHAR(34),CHAR(39))))</f>
        <v/>
      </c>
      <c r="S699" s="5" t="str">
        <f>IF(OR(TRIM($B699)="",$I699=""),"",IF(OR(ISNUMBER(SEARCH(_xlfn.CONCAT(CHAR(96),CHAR(34)),$I699)),ISNUMBER(SEARCH(_xlfn.CONCAT(CHAR(34),CHAR(39)),$I699))),_xlfn.CONCAT("* REVIEW REQUIRED: compound-quote delimiter in Derivation on Sheet 1 row ",699,"; edit the input before running."),_xlfn.CONCAT("char ",TRIM($B699),"[doc_derivation] ",CHAR(96),CHAR(34),SUBSTITUTE(SUBSTITUTE(SUBSTITUTE(SUBSTITUTE(SUBSTITUTE(SUBSTITUTE($I699,CHAR(13)," "),CHAR(10)," "),CHAR(9)," "),CHAR(92),_xlfn.CONCAT(CHAR(92),CHAR(92))),"$",_xlfn.CONCAT(CHAR(92),"$")),CHAR(96),_xlfn.CONCAT(CHAR(92),CHAR(96))),CHAR(34),CHAR(39))))</f>
        <v/>
      </c>
      <c r="T699" s="5" t="str">
        <f>IF(OR(TRIM($B699)="",$J699=""),"",IF(OR(ISNUMBER(SEARCH(_xlfn.CONCAT(CHAR(96),CHAR(34)),$J699)),ISNUMBER(SEARCH(_xlfn.CONCAT(CHAR(34),CHAR(39)),$J699))),_xlfn.CONCAT("* REVIEW REQUIRED: compound-quote delimiter in Notes on Sheet 1 row ",699,"; edit the input before running."),_xlfn.CONCAT("char ",TRIM($B699),"[doc_notes] ",CHAR(96),CHAR(34),SUBSTITUTE(SUBSTITUTE(SUBSTITUTE(SUBSTITUTE(SUBSTITUTE(SUBSTITUTE($J699,CHAR(13)," "),CHAR(10)," "),CHAR(9)," "),CHAR(92),_xlfn.CONCAT(CHAR(92),CHAR(92))),"$",_xlfn.CONCAT(CHAR(92),"$")),CHAR(96),_xlfn.CONCAT(CHAR(92),CHAR(96))),CHAR(34),CHAR(39))))</f>
        <v/>
      </c>
      <c r="U699" s="5">
        <f t="shared" si="21"/>
        <v>0</v>
      </c>
    </row>
    <row r="700" spans="3:21" ht="30" customHeight="1" x14ac:dyDescent="0.2">
      <c r="C700" s="4"/>
      <c r="K700" s="5">
        <f t="shared" si="20"/>
        <v>0</v>
      </c>
      <c r="L700" s="5" t="str">
        <f>IF(OR(TRIM($B700)="",$A700=""),"",IF(OR(ISNUMBER(SEARCH(_xlfn.CONCAT(CHAR(96),CHAR(34)),$A700)),ISNUMBER(SEARCH(_xlfn.CONCAT(CHAR(34),CHAR(39)),$A700))),_xlfn.CONCAT("* REVIEW REQUIRED: compound-quote delimiter in Codebook Section on Sheet 1 row ",700,"; edit the input before running."),_xlfn.CONCAT("char ",TRIM($B700),"[doc_section] ",CHAR(96),CHAR(34),SUBSTITUTE(SUBSTITUTE(SUBSTITUTE(SUBSTITUTE(SUBSTITUTE(SUBSTITUTE($A700,CHAR(13)," "),CHAR(10)," "),CHAR(9)," "),CHAR(92),_xlfn.CONCAT(CHAR(92),CHAR(92))),"$",_xlfn.CONCAT(CHAR(92),"$")),CHAR(96),_xlfn.CONCAT(CHAR(92),CHAR(96))),CHAR(34),CHAR(39))))</f>
        <v/>
      </c>
      <c r="M700" s="5" t="str">
        <f>IF(OR(TRIM($B700)="",$C700=""),"",IF(IFERROR(MATCH(TRIM($C700),{"Quantitative","Continuous","Discrete","Categorical","Nominal","Ordinal","Identifier"},0),0)=0,_xlfn.CONCAT("* REVIEW REQUIRED: invalid Variable Type on Sheet 1 row ",700,"."),_xlfn.CONCAT("char ",TRIM($B700),"[doc_vartype] ",CHAR(96),CHAR(34),SUBSTITUTE(SUBSTITUTE(SUBSTITUTE(SUBSTITUTE(SUBSTITUTE(SUBSTITUTE(LOWER(TRIM($C700)),CHAR(13)," "),CHAR(10)," "),CHAR(9)," "),CHAR(92),_xlfn.CONCAT(CHAR(92),CHAR(92))),"$",_xlfn.CONCAT(CHAR(92),"$")),CHAR(96),_xlfn.CONCAT(CHAR(92),CHAR(96))),CHAR(34),CHAR(39))))</f>
        <v/>
      </c>
      <c r="N700" s="5" t="str">
        <f>IF(OR(TRIM($B700)="",$D700=""),"",IF(OR(ISNUMBER(SEARCH(_xlfn.CONCAT(CHAR(96),CHAR(34)),$D700)),ISNUMBER(SEARCH(_xlfn.CONCAT(CHAR(34),CHAR(39)),$D700))),_xlfn.CONCAT("* REVIEW REQUIRED: compound-quote delimiter in Item Number on Sheet 1 row ",700,"; edit the input before running."),_xlfn.CONCAT("char ",TRIM($B700),"[doc_itemnum] ",CHAR(96),CHAR(34),SUBSTITUTE(SUBSTITUTE(SUBSTITUTE(SUBSTITUTE(SUBSTITUTE(SUBSTITUTE($D700,CHAR(13)," "),CHAR(10)," "),CHAR(9)," "),CHAR(92),_xlfn.CONCAT(CHAR(92),CHAR(92))),"$",_xlfn.CONCAT(CHAR(92),"$")),CHAR(96),_xlfn.CONCAT(CHAR(92),CHAR(96))),CHAR(34),CHAR(39))))</f>
        <v/>
      </c>
      <c r="O700" s="5" t="str">
        <f>IF(OR(TRIM($B700)="",$E700=""),"",IF(OR(ISNUMBER(SEARCH(_xlfn.CONCAT(CHAR(96),CHAR(34)),$E700)),ISNUMBER(SEARCH(_xlfn.CONCAT(CHAR(34),CHAR(39)),$E700))),_xlfn.CONCAT("* REVIEW REQUIRED: compound-quote delimiter in Question Wording on Sheet 1 row ",700,"; edit the input before running."),_xlfn.CONCAT("char ",TRIM($B700),"[doc_question] ",CHAR(96),CHAR(34),SUBSTITUTE(SUBSTITUTE(SUBSTITUTE(SUBSTITUTE(SUBSTITUTE(SUBSTITUTE($E700,CHAR(13)," "),CHAR(10)," "),CHAR(9)," "),CHAR(92),_xlfn.CONCAT(CHAR(92),CHAR(92))),"$",_xlfn.CONCAT(CHAR(92),"$")),CHAR(96),_xlfn.CONCAT(CHAR(92),CHAR(96))),CHAR(34),CHAR(39))))</f>
        <v/>
      </c>
      <c r="P700" s="5" t="str">
        <f>IF(OR(TRIM($B700)="",$F700=""),"",IF(OR(ISNUMBER(SEARCH(_xlfn.CONCAT(CHAR(96),CHAR(34)),$F700)),ISNUMBER(SEARCH(_xlfn.CONCAT(CHAR(34),CHAR(39)),$F700))),_xlfn.CONCAT("* REVIEW REQUIRED: compound-quote delimiter in Units on Sheet 1 row ",700,"; edit the input before running."),_xlfn.CONCAT("char ",TRIM($B700),"[doc_units] ",CHAR(96),CHAR(34),SUBSTITUTE(SUBSTITUTE(SUBSTITUTE(SUBSTITUTE(SUBSTITUTE(SUBSTITUTE($F700,CHAR(13)," "),CHAR(10)," "),CHAR(9)," "),CHAR(92),_xlfn.CONCAT(CHAR(92),CHAR(92))),"$",_xlfn.CONCAT(CHAR(92),"$")),CHAR(96),_xlfn.CONCAT(CHAR(92),CHAR(96))),CHAR(34),CHAR(39))))</f>
        <v/>
      </c>
      <c r="Q700" s="5" t="str">
        <f>IF(OR(TRIM($B700)="",$G700=""),"",IF(OR(ISNUMBER(SEARCH(_xlfn.CONCAT(CHAR(96),CHAR(34)),$G700)),ISNUMBER(SEARCH(_xlfn.CONCAT(CHAR(34),CHAR(39)),$G700))),_xlfn.CONCAT("* REVIEW REQUIRED: compound-quote delimiter in Universe on Sheet 1 row ",700,"; edit the input before running."),_xlfn.CONCAT("char ",TRIM($B700),"[doc_universe] ",CHAR(96),CHAR(34),SUBSTITUTE(SUBSTITUTE(SUBSTITUTE(SUBSTITUTE(SUBSTITUTE(SUBSTITUTE($G700,CHAR(13)," "),CHAR(10)," "),CHAR(9)," "),CHAR(92),_xlfn.CONCAT(CHAR(92),CHAR(92))),"$",_xlfn.CONCAT(CHAR(92),"$")),CHAR(96),_xlfn.CONCAT(CHAR(92),CHAR(96))),CHAR(34),CHAR(39))))</f>
        <v/>
      </c>
      <c r="R700" s="5" t="str">
        <f>IF(OR(TRIM($B700)="",$H700=""),"",IF(OR(ISNUMBER(SEARCH(_xlfn.CONCAT(CHAR(96),CHAR(34)),$H700)),ISNUMBER(SEARCH(_xlfn.CONCAT(CHAR(34),CHAR(39)),$H700))),_xlfn.CONCAT("* REVIEW REQUIRED: compound-quote delimiter in Source on Sheet 1 row ",700,"; edit the input before running."),_xlfn.CONCAT("char ",TRIM($B700),"[doc_source] ",CHAR(96),CHAR(34),SUBSTITUTE(SUBSTITUTE(SUBSTITUTE(SUBSTITUTE(SUBSTITUTE(SUBSTITUTE($H700,CHAR(13)," "),CHAR(10)," "),CHAR(9)," "),CHAR(92),_xlfn.CONCAT(CHAR(92),CHAR(92))),"$",_xlfn.CONCAT(CHAR(92),"$")),CHAR(96),_xlfn.CONCAT(CHAR(92),CHAR(96))),CHAR(34),CHAR(39))))</f>
        <v/>
      </c>
      <c r="S700" s="5" t="str">
        <f>IF(OR(TRIM($B700)="",$I700=""),"",IF(OR(ISNUMBER(SEARCH(_xlfn.CONCAT(CHAR(96),CHAR(34)),$I700)),ISNUMBER(SEARCH(_xlfn.CONCAT(CHAR(34),CHAR(39)),$I700))),_xlfn.CONCAT("* REVIEW REQUIRED: compound-quote delimiter in Derivation on Sheet 1 row ",700,"; edit the input before running."),_xlfn.CONCAT("char ",TRIM($B700),"[doc_derivation] ",CHAR(96),CHAR(34),SUBSTITUTE(SUBSTITUTE(SUBSTITUTE(SUBSTITUTE(SUBSTITUTE(SUBSTITUTE($I700,CHAR(13)," "),CHAR(10)," "),CHAR(9)," "),CHAR(92),_xlfn.CONCAT(CHAR(92),CHAR(92))),"$",_xlfn.CONCAT(CHAR(92),"$")),CHAR(96),_xlfn.CONCAT(CHAR(92),CHAR(96))),CHAR(34),CHAR(39))))</f>
        <v/>
      </c>
      <c r="T700" s="5" t="str">
        <f>IF(OR(TRIM($B700)="",$J700=""),"",IF(OR(ISNUMBER(SEARCH(_xlfn.CONCAT(CHAR(96),CHAR(34)),$J700)),ISNUMBER(SEARCH(_xlfn.CONCAT(CHAR(34),CHAR(39)),$J700))),_xlfn.CONCAT("* REVIEW REQUIRED: compound-quote delimiter in Notes on Sheet 1 row ",700,"; edit the input before running."),_xlfn.CONCAT("char ",TRIM($B700),"[doc_notes] ",CHAR(96),CHAR(34),SUBSTITUTE(SUBSTITUTE(SUBSTITUTE(SUBSTITUTE(SUBSTITUTE(SUBSTITUTE($J700,CHAR(13)," "),CHAR(10)," "),CHAR(9)," "),CHAR(92),_xlfn.CONCAT(CHAR(92),CHAR(92))),"$",_xlfn.CONCAT(CHAR(92),"$")),CHAR(96),_xlfn.CONCAT(CHAR(92),CHAR(96))),CHAR(34),CHAR(39))))</f>
        <v/>
      </c>
      <c r="U700" s="5">
        <f t="shared" si="21"/>
        <v>0</v>
      </c>
    </row>
    <row r="701" spans="3:21" ht="30" customHeight="1" x14ac:dyDescent="0.2">
      <c r="C701" s="4"/>
      <c r="K701" s="5">
        <f t="shared" si="20"/>
        <v>0</v>
      </c>
      <c r="L701" s="5" t="str">
        <f>IF(OR(TRIM($B701)="",$A701=""),"",IF(OR(ISNUMBER(SEARCH(_xlfn.CONCAT(CHAR(96),CHAR(34)),$A701)),ISNUMBER(SEARCH(_xlfn.CONCAT(CHAR(34),CHAR(39)),$A701))),_xlfn.CONCAT("* REVIEW REQUIRED: compound-quote delimiter in Codebook Section on Sheet 1 row ",701,"; edit the input before running."),_xlfn.CONCAT("char ",TRIM($B701),"[doc_section] ",CHAR(96),CHAR(34),SUBSTITUTE(SUBSTITUTE(SUBSTITUTE(SUBSTITUTE(SUBSTITUTE(SUBSTITUTE($A701,CHAR(13)," "),CHAR(10)," "),CHAR(9)," "),CHAR(92),_xlfn.CONCAT(CHAR(92),CHAR(92))),"$",_xlfn.CONCAT(CHAR(92),"$")),CHAR(96),_xlfn.CONCAT(CHAR(92),CHAR(96))),CHAR(34),CHAR(39))))</f>
        <v/>
      </c>
      <c r="M701" s="5" t="str">
        <f>IF(OR(TRIM($B701)="",$C701=""),"",IF(IFERROR(MATCH(TRIM($C701),{"Quantitative","Continuous","Discrete","Categorical","Nominal","Ordinal","Identifier"},0),0)=0,_xlfn.CONCAT("* REVIEW REQUIRED: invalid Variable Type on Sheet 1 row ",701,"."),_xlfn.CONCAT("char ",TRIM($B701),"[doc_vartype] ",CHAR(96),CHAR(34),SUBSTITUTE(SUBSTITUTE(SUBSTITUTE(SUBSTITUTE(SUBSTITUTE(SUBSTITUTE(LOWER(TRIM($C701)),CHAR(13)," "),CHAR(10)," "),CHAR(9)," "),CHAR(92),_xlfn.CONCAT(CHAR(92),CHAR(92))),"$",_xlfn.CONCAT(CHAR(92),"$")),CHAR(96),_xlfn.CONCAT(CHAR(92),CHAR(96))),CHAR(34),CHAR(39))))</f>
        <v/>
      </c>
      <c r="N701" s="5" t="str">
        <f>IF(OR(TRIM($B701)="",$D701=""),"",IF(OR(ISNUMBER(SEARCH(_xlfn.CONCAT(CHAR(96),CHAR(34)),$D701)),ISNUMBER(SEARCH(_xlfn.CONCAT(CHAR(34),CHAR(39)),$D701))),_xlfn.CONCAT("* REVIEW REQUIRED: compound-quote delimiter in Item Number on Sheet 1 row ",701,"; edit the input before running."),_xlfn.CONCAT("char ",TRIM($B701),"[doc_itemnum] ",CHAR(96),CHAR(34),SUBSTITUTE(SUBSTITUTE(SUBSTITUTE(SUBSTITUTE(SUBSTITUTE(SUBSTITUTE($D701,CHAR(13)," "),CHAR(10)," "),CHAR(9)," "),CHAR(92),_xlfn.CONCAT(CHAR(92),CHAR(92))),"$",_xlfn.CONCAT(CHAR(92),"$")),CHAR(96),_xlfn.CONCAT(CHAR(92),CHAR(96))),CHAR(34),CHAR(39))))</f>
        <v/>
      </c>
      <c r="O701" s="5" t="str">
        <f>IF(OR(TRIM($B701)="",$E701=""),"",IF(OR(ISNUMBER(SEARCH(_xlfn.CONCAT(CHAR(96),CHAR(34)),$E701)),ISNUMBER(SEARCH(_xlfn.CONCAT(CHAR(34),CHAR(39)),$E701))),_xlfn.CONCAT("* REVIEW REQUIRED: compound-quote delimiter in Question Wording on Sheet 1 row ",701,"; edit the input before running."),_xlfn.CONCAT("char ",TRIM($B701),"[doc_question] ",CHAR(96),CHAR(34),SUBSTITUTE(SUBSTITUTE(SUBSTITUTE(SUBSTITUTE(SUBSTITUTE(SUBSTITUTE($E701,CHAR(13)," "),CHAR(10)," "),CHAR(9)," "),CHAR(92),_xlfn.CONCAT(CHAR(92),CHAR(92))),"$",_xlfn.CONCAT(CHAR(92),"$")),CHAR(96),_xlfn.CONCAT(CHAR(92),CHAR(96))),CHAR(34),CHAR(39))))</f>
        <v/>
      </c>
      <c r="P701" s="5" t="str">
        <f>IF(OR(TRIM($B701)="",$F701=""),"",IF(OR(ISNUMBER(SEARCH(_xlfn.CONCAT(CHAR(96),CHAR(34)),$F701)),ISNUMBER(SEARCH(_xlfn.CONCAT(CHAR(34),CHAR(39)),$F701))),_xlfn.CONCAT("* REVIEW REQUIRED: compound-quote delimiter in Units on Sheet 1 row ",701,"; edit the input before running."),_xlfn.CONCAT("char ",TRIM($B701),"[doc_units] ",CHAR(96),CHAR(34),SUBSTITUTE(SUBSTITUTE(SUBSTITUTE(SUBSTITUTE(SUBSTITUTE(SUBSTITUTE($F701,CHAR(13)," "),CHAR(10)," "),CHAR(9)," "),CHAR(92),_xlfn.CONCAT(CHAR(92),CHAR(92))),"$",_xlfn.CONCAT(CHAR(92),"$")),CHAR(96),_xlfn.CONCAT(CHAR(92),CHAR(96))),CHAR(34),CHAR(39))))</f>
        <v/>
      </c>
      <c r="Q701" s="5" t="str">
        <f>IF(OR(TRIM($B701)="",$G701=""),"",IF(OR(ISNUMBER(SEARCH(_xlfn.CONCAT(CHAR(96),CHAR(34)),$G701)),ISNUMBER(SEARCH(_xlfn.CONCAT(CHAR(34),CHAR(39)),$G701))),_xlfn.CONCAT("* REVIEW REQUIRED: compound-quote delimiter in Universe on Sheet 1 row ",701,"; edit the input before running."),_xlfn.CONCAT("char ",TRIM($B701),"[doc_universe] ",CHAR(96),CHAR(34),SUBSTITUTE(SUBSTITUTE(SUBSTITUTE(SUBSTITUTE(SUBSTITUTE(SUBSTITUTE($G701,CHAR(13)," "),CHAR(10)," "),CHAR(9)," "),CHAR(92),_xlfn.CONCAT(CHAR(92),CHAR(92))),"$",_xlfn.CONCAT(CHAR(92),"$")),CHAR(96),_xlfn.CONCAT(CHAR(92),CHAR(96))),CHAR(34),CHAR(39))))</f>
        <v/>
      </c>
      <c r="R701" s="5" t="str">
        <f>IF(OR(TRIM($B701)="",$H701=""),"",IF(OR(ISNUMBER(SEARCH(_xlfn.CONCAT(CHAR(96),CHAR(34)),$H701)),ISNUMBER(SEARCH(_xlfn.CONCAT(CHAR(34),CHAR(39)),$H701))),_xlfn.CONCAT("* REVIEW REQUIRED: compound-quote delimiter in Source on Sheet 1 row ",701,"; edit the input before running."),_xlfn.CONCAT("char ",TRIM($B701),"[doc_source] ",CHAR(96),CHAR(34),SUBSTITUTE(SUBSTITUTE(SUBSTITUTE(SUBSTITUTE(SUBSTITUTE(SUBSTITUTE($H701,CHAR(13)," "),CHAR(10)," "),CHAR(9)," "),CHAR(92),_xlfn.CONCAT(CHAR(92),CHAR(92))),"$",_xlfn.CONCAT(CHAR(92),"$")),CHAR(96),_xlfn.CONCAT(CHAR(92),CHAR(96))),CHAR(34),CHAR(39))))</f>
        <v/>
      </c>
      <c r="S701" s="5" t="str">
        <f>IF(OR(TRIM($B701)="",$I701=""),"",IF(OR(ISNUMBER(SEARCH(_xlfn.CONCAT(CHAR(96),CHAR(34)),$I701)),ISNUMBER(SEARCH(_xlfn.CONCAT(CHAR(34),CHAR(39)),$I701))),_xlfn.CONCAT("* REVIEW REQUIRED: compound-quote delimiter in Derivation on Sheet 1 row ",701,"; edit the input before running."),_xlfn.CONCAT("char ",TRIM($B701),"[doc_derivation] ",CHAR(96),CHAR(34),SUBSTITUTE(SUBSTITUTE(SUBSTITUTE(SUBSTITUTE(SUBSTITUTE(SUBSTITUTE($I701,CHAR(13)," "),CHAR(10)," "),CHAR(9)," "),CHAR(92),_xlfn.CONCAT(CHAR(92),CHAR(92))),"$",_xlfn.CONCAT(CHAR(92),"$")),CHAR(96),_xlfn.CONCAT(CHAR(92),CHAR(96))),CHAR(34),CHAR(39))))</f>
        <v/>
      </c>
      <c r="T701" s="5" t="str">
        <f>IF(OR(TRIM($B701)="",$J701=""),"",IF(OR(ISNUMBER(SEARCH(_xlfn.CONCAT(CHAR(96),CHAR(34)),$J701)),ISNUMBER(SEARCH(_xlfn.CONCAT(CHAR(34),CHAR(39)),$J701))),_xlfn.CONCAT("* REVIEW REQUIRED: compound-quote delimiter in Notes on Sheet 1 row ",701,"; edit the input before running."),_xlfn.CONCAT("char ",TRIM($B701),"[doc_notes] ",CHAR(96),CHAR(34),SUBSTITUTE(SUBSTITUTE(SUBSTITUTE(SUBSTITUTE(SUBSTITUTE(SUBSTITUTE($J701,CHAR(13)," "),CHAR(10)," "),CHAR(9)," "),CHAR(92),_xlfn.CONCAT(CHAR(92),CHAR(92))),"$",_xlfn.CONCAT(CHAR(92),"$")),CHAR(96),_xlfn.CONCAT(CHAR(92),CHAR(96))),CHAR(34),CHAR(39))))</f>
        <v/>
      </c>
      <c r="U701" s="5">
        <f t="shared" si="21"/>
        <v>0</v>
      </c>
    </row>
    <row r="702" spans="3:21" ht="30" customHeight="1" x14ac:dyDescent="0.2">
      <c r="C702" s="4"/>
      <c r="K702" s="5">
        <f t="shared" si="20"/>
        <v>0</v>
      </c>
      <c r="L702" s="5" t="str">
        <f>IF(OR(TRIM($B702)="",$A702=""),"",IF(OR(ISNUMBER(SEARCH(_xlfn.CONCAT(CHAR(96),CHAR(34)),$A702)),ISNUMBER(SEARCH(_xlfn.CONCAT(CHAR(34),CHAR(39)),$A702))),_xlfn.CONCAT("* REVIEW REQUIRED: compound-quote delimiter in Codebook Section on Sheet 1 row ",702,"; edit the input before running."),_xlfn.CONCAT("char ",TRIM($B702),"[doc_section] ",CHAR(96),CHAR(34),SUBSTITUTE(SUBSTITUTE(SUBSTITUTE(SUBSTITUTE(SUBSTITUTE(SUBSTITUTE($A702,CHAR(13)," "),CHAR(10)," "),CHAR(9)," "),CHAR(92),_xlfn.CONCAT(CHAR(92),CHAR(92))),"$",_xlfn.CONCAT(CHAR(92),"$")),CHAR(96),_xlfn.CONCAT(CHAR(92),CHAR(96))),CHAR(34),CHAR(39))))</f>
        <v/>
      </c>
      <c r="M702" s="5" t="str">
        <f>IF(OR(TRIM($B702)="",$C702=""),"",IF(IFERROR(MATCH(TRIM($C702),{"Quantitative","Continuous","Discrete","Categorical","Nominal","Ordinal","Identifier"},0),0)=0,_xlfn.CONCAT("* REVIEW REQUIRED: invalid Variable Type on Sheet 1 row ",702,"."),_xlfn.CONCAT("char ",TRIM($B702),"[doc_vartype] ",CHAR(96),CHAR(34),SUBSTITUTE(SUBSTITUTE(SUBSTITUTE(SUBSTITUTE(SUBSTITUTE(SUBSTITUTE(LOWER(TRIM($C702)),CHAR(13)," "),CHAR(10)," "),CHAR(9)," "),CHAR(92),_xlfn.CONCAT(CHAR(92),CHAR(92))),"$",_xlfn.CONCAT(CHAR(92),"$")),CHAR(96),_xlfn.CONCAT(CHAR(92),CHAR(96))),CHAR(34),CHAR(39))))</f>
        <v/>
      </c>
      <c r="N702" s="5" t="str">
        <f>IF(OR(TRIM($B702)="",$D702=""),"",IF(OR(ISNUMBER(SEARCH(_xlfn.CONCAT(CHAR(96),CHAR(34)),$D702)),ISNUMBER(SEARCH(_xlfn.CONCAT(CHAR(34),CHAR(39)),$D702))),_xlfn.CONCAT("* REVIEW REQUIRED: compound-quote delimiter in Item Number on Sheet 1 row ",702,"; edit the input before running."),_xlfn.CONCAT("char ",TRIM($B702),"[doc_itemnum] ",CHAR(96),CHAR(34),SUBSTITUTE(SUBSTITUTE(SUBSTITUTE(SUBSTITUTE(SUBSTITUTE(SUBSTITUTE($D702,CHAR(13)," "),CHAR(10)," "),CHAR(9)," "),CHAR(92),_xlfn.CONCAT(CHAR(92),CHAR(92))),"$",_xlfn.CONCAT(CHAR(92),"$")),CHAR(96),_xlfn.CONCAT(CHAR(92),CHAR(96))),CHAR(34),CHAR(39))))</f>
        <v/>
      </c>
      <c r="O702" s="5" t="str">
        <f>IF(OR(TRIM($B702)="",$E702=""),"",IF(OR(ISNUMBER(SEARCH(_xlfn.CONCAT(CHAR(96),CHAR(34)),$E702)),ISNUMBER(SEARCH(_xlfn.CONCAT(CHAR(34),CHAR(39)),$E702))),_xlfn.CONCAT("* REVIEW REQUIRED: compound-quote delimiter in Question Wording on Sheet 1 row ",702,"; edit the input before running."),_xlfn.CONCAT("char ",TRIM($B702),"[doc_question] ",CHAR(96),CHAR(34),SUBSTITUTE(SUBSTITUTE(SUBSTITUTE(SUBSTITUTE(SUBSTITUTE(SUBSTITUTE($E702,CHAR(13)," "),CHAR(10)," "),CHAR(9)," "),CHAR(92),_xlfn.CONCAT(CHAR(92),CHAR(92))),"$",_xlfn.CONCAT(CHAR(92),"$")),CHAR(96),_xlfn.CONCAT(CHAR(92),CHAR(96))),CHAR(34),CHAR(39))))</f>
        <v/>
      </c>
      <c r="P702" s="5" t="str">
        <f>IF(OR(TRIM($B702)="",$F702=""),"",IF(OR(ISNUMBER(SEARCH(_xlfn.CONCAT(CHAR(96),CHAR(34)),$F702)),ISNUMBER(SEARCH(_xlfn.CONCAT(CHAR(34),CHAR(39)),$F702))),_xlfn.CONCAT("* REVIEW REQUIRED: compound-quote delimiter in Units on Sheet 1 row ",702,"; edit the input before running."),_xlfn.CONCAT("char ",TRIM($B702),"[doc_units] ",CHAR(96),CHAR(34),SUBSTITUTE(SUBSTITUTE(SUBSTITUTE(SUBSTITUTE(SUBSTITUTE(SUBSTITUTE($F702,CHAR(13)," "),CHAR(10)," "),CHAR(9)," "),CHAR(92),_xlfn.CONCAT(CHAR(92),CHAR(92))),"$",_xlfn.CONCAT(CHAR(92),"$")),CHAR(96),_xlfn.CONCAT(CHAR(92),CHAR(96))),CHAR(34),CHAR(39))))</f>
        <v/>
      </c>
      <c r="Q702" s="5" t="str">
        <f>IF(OR(TRIM($B702)="",$G702=""),"",IF(OR(ISNUMBER(SEARCH(_xlfn.CONCAT(CHAR(96),CHAR(34)),$G702)),ISNUMBER(SEARCH(_xlfn.CONCAT(CHAR(34),CHAR(39)),$G702))),_xlfn.CONCAT("* REVIEW REQUIRED: compound-quote delimiter in Universe on Sheet 1 row ",702,"; edit the input before running."),_xlfn.CONCAT("char ",TRIM($B702),"[doc_universe] ",CHAR(96),CHAR(34),SUBSTITUTE(SUBSTITUTE(SUBSTITUTE(SUBSTITUTE(SUBSTITUTE(SUBSTITUTE($G702,CHAR(13)," "),CHAR(10)," "),CHAR(9)," "),CHAR(92),_xlfn.CONCAT(CHAR(92),CHAR(92))),"$",_xlfn.CONCAT(CHAR(92),"$")),CHAR(96),_xlfn.CONCAT(CHAR(92),CHAR(96))),CHAR(34),CHAR(39))))</f>
        <v/>
      </c>
      <c r="R702" s="5" t="str">
        <f>IF(OR(TRIM($B702)="",$H702=""),"",IF(OR(ISNUMBER(SEARCH(_xlfn.CONCAT(CHAR(96),CHAR(34)),$H702)),ISNUMBER(SEARCH(_xlfn.CONCAT(CHAR(34),CHAR(39)),$H702))),_xlfn.CONCAT("* REVIEW REQUIRED: compound-quote delimiter in Source on Sheet 1 row ",702,"; edit the input before running."),_xlfn.CONCAT("char ",TRIM($B702),"[doc_source] ",CHAR(96),CHAR(34),SUBSTITUTE(SUBSTITUTE(SUBSTITUTE(SUBSTITUTE(SUBSTITUTE(SUBSTITUTE($H702,CHAR(13)," "),CHAR(10)," "),CHAR(9)," "),CHAR(92),_xlfn.CONCAT(CHAR(92),CHAR(92))),"$",_xlfn.CONCAT(CHAR(92),"$")),CHAR(96),_xlfn.CONCAT(CHAR(92),CHAR(96))),CHAR(34),CHAR(39))))</f>
        <v/>
      </c>
      <c r="S702" s="5" t="str">
        <f>IF(OR(TRIM($B702)="",$I702=""),"",IF(OR(ISNUMBER(SEARCH(_xlfn.CONCAT(CHAR(96),CHAR(34)),$I702)),ISNUMBER(SEARCH(_xlfn.CONCAT(CHAR(34),CHAR(39)),$I702))),_xlfn.CONCAT("* REVIEW REQUIRED: compound-quote delimiter in Derivation on Sheet 1 row ",702,"; edit the input before running."),_xlfn.CONCAT("char ",TRIM($B702),"[doc_derivation] ",CHAR(96),CHAR(34),SUBSTITUTE(SUBSTITUTE(SUBSTITUTE(SUBSTITUTE(SUBSTITUTE(SUBSTITUTE($I702,CHAR(13)," "),CHAR(10)," "),CHAR(9)," "),CHAR(92),_xlfn.CONCAT(CHAR(92),CHAR(92))),"$",_xlfn.CONCAT(CHAR(92),"$")),CHAR(96),_xlfn.CONCAT(CHAR(92),CHAR(96))),CHAR(34),CHAR(39))))</f>
        <v/>
      </c>
      <c r="T702" s="5" t="str">
        <f>IF(OR(TRIM($B702)="",$J702=""),"",IF(OR(ISNUMBER(SEARCH(_xlfn.CONCAT(CHAR(96),CHAR(34)),$J702)),ISNUMBER(SEARCH(_xlfn.CONCAT(CHAR(34),CHAR(39)),$J702))),_xlfn.CONCAT("* REVIEW REQUIRED: compound-quote delimiter in Notes on Sheet 1 row ",702,"; edit the input before running."),_xlfn.CONCAT("char ",TRIM($B702),"[doc_notes] ",CHAR(96),CHAR(34),SUBSTITUTE(SUBSTITUTE(SUBSTITUTE(SUBSTITUTE(SUBSTITUTE(SUBSTITUTE($J702,CHAR(13)," "),CHAR(10)," "),CHAR(9)," "),CHAR(92),_xlfn.CONCAT(CHAR(92),CHAR(92))),"$",_xlfn.CONCAT(CHAR(92),"$")),CHAR(96),_xlfn.CONCAT(CHAR(92),CHAR(96))),CHAR(34),CHAR(39))))</f>
        <v/>
      </c>
      <c r="U702" s="5">
        <f t="shared" si="21"/>
        <v>0</v>
      </c>
    </row>
    <row r="703" spans="3:21" ht="30" customHeight="1" x14ac:dyDescent="0.2">
      <c r="C703" s="4"/>
      <c r="K703" s="5">
        <f t="shared" si="20"/>
        <v>0</v>
      </c>
      <c r="L703" s="5" t="str">
        <f>IF(OR(TRIM($B703)="",$A703=""),"",IF(OR(ISNUMBER(SEARCH(_xlfn.CONCAT(CHAR(96),CHAR(34)),$A703)),ISNUMBER(SEARCH(_xlfn.CONCAT(CHAR(34),CHAR(39)),$A703))),_xlfn.CONCAT("* REVIEW REQUIRED: compound-quote delimiter in Codebook Section on Sheet 1 row ",703,"; edit the input before running."),_xlfn.CONCAT("char ",TRIM($B703),"[doc_section] ",CHAR(96),CHAR(34),SUBSTITUTE(SUBSTITUTE(SUBSTITUTE(SUBSTITUTE(SUBSTITUTE(SUBSTITUTE($A703,CHAR(13)," "),CHAR(10)," "),CHAR(9)," "),CHAR(92),_xlfn.CONCAT(CHAR(92),CHAR(92))),"$",_xlfn.CONCAT(CHAR(92),"$")),CHAR(96),_xlfn.CONCAT(CHAR(92),CHAR(96))),CHAR(34),CHAR(39))))</f>
        <v/>
      </c>
      <c r="M703" s="5" t="str">
        <f>IF(OR(TRIM($B703)="",$C703=""),"",IF(IFERROR(MATCH(TRIM($C703),{"Quantitative","Continuous","Discrete","Categorical","Nominal","Ordinal","Identifier"},0),0)=0,_xlfn.CONCAT("* REVIEW REQUIRED: invalid Variable Type on Sheet 1 row ",703,"."),_xlfn.CONCAT("char ",TRIM($B703),"[doc_vartype] ",CHAR(96),CHAR(34),SUBSTITUTE(SUBSTITUTE(SUBSTITUTE(SUBSTITUTE(SUBSTITUTE(SUBSTITUTE(LOWER(TRIM($C703)),CHAR(13)," "),CHAR(10)," "),CHAR(9)," "),CHAR(92),_xlfn.CONCAT(CHAR(92),CHAR(92))),"$",_xlfn.CONCAT(CHAR(92),"$")),CHAR(96),_xlfn.CONCAT(CHAR(92),CHAR(96))),CHAR(34),CHAR(39))))</f>
        <v/>
      </c>
      <c r="N703" s="5" t="str">
        <f>IF(OR(TRIM($B703)="",$D703=""),"",IF(OR(ISNUMBER(SEARCH(_xlfn.CONCAT(CHAR(96),CHAR(34)),$D703)),ISNUMBER(SEARCH(_xlfn.CONCAT(CHAR(34),CHAR(39)),$D703))),_xlfn.CONCAT("* REVIEW REQUIRED: compound-quote delimiter in Item Number on Sheet 1 row ",703,"; edit the input before running."),_xlfn.CONCAT("char ",TRIM($B703),"[doc_itemnum] ",CHAR(96),CHAR(34),SUBSTITUTE(SUBSTITUTE(SUBSTITUTE(SUBSTITUTE(SUBSTITUTE(SUBSTITUTE($D703,CHAR(13)," "),CHAR(10)," "),CHAR(9)," "),CHAR(92),_xlfn.CONCAT(CHAR(92),CHAR(92))),"$",_xlfn.CONCAT(CHAR(92),"$")),CHAR(96),_xlfn.CONCAT(CHAR(92),CHAR(96))),CHAR(34),CHAR(39))))</f>
        <v/>
      </c>
      <c r="O703" s="5" t="str">
        <f>IF(OR(TRIM($B703)="",$E703=""),"",IF(OR(ISNUMBER(SEARCH(_xlfn.CONCAT(CHAR(96),CHAR(34)),$E703)),ISNUMBER(SEARCH(_xlfn.CONCAT(CHAR(34),CHAR(39)),$E703))),_xlfn.CONCAT("* REVIEW REQUIRED: compound-quote delimiter in Question Wording on Sheet 1 row ",703,"; edit the input before running."),_xlfn.CONCAT("char ",TRIM($B703),"[doc_question] ",CHAR(96),CHAR(34),SUBSTITUTE(SUBSTITUTE(SUBSTITUTE(SUBSTITUTE(SUBSTITUTE(SUBSTITUTE($E703,CHAR(13)," "),CHAR(10)," "),CHAR(9)," "),CHAR(92),_xlfn.CONCAT(CHAR(92),CHAR(92))),"$",_xlfn.CONCAT(CHAR(92),"$")),CHAR(96),_xlfn.CONCAT(CHAR(92),CHAR(96))),CHAR(34),CHAR(39))))</f>
        <v/>
      </c>
      <c r="P703" s="5" t="str">
        <f>IF(OR(TRIM($B703)="",$F703=""),"",IF(OR(ISNUMBER(SEARCH(_xlfn.CONCAT(CHAR(96),CHAR(34)),$F703)),ISNUMBER(SEARCH(_xlfn.CONCAT(CHAR(34),CHAR(39)),$F703))),_xlfn.CONCAT("* REVIEW REQUIRED: compound-quote delimiter in Units on Sheet 1 row ",703,"; edit the input before running."),_xlfn.CONCAT("char ",TRIM($B703),"[doc_units] ",CHAR(96),CHAR(34),SUBSTITUTE(SUBSTITUTE(SUBSTITUTE(SUBSTITUTE(SUBSTITUTE(SUBSTITUTE($F703,CHAR(13)," "),CHAR(10)," "),CHAR(9)," "),CHAR(92),_xlfn.CONCAT(CHAR(92),CHAR(92))),"$",_xlfn.CONCAT(CHAR(92),"$")),CHAR(96),_xlfn.CONCAT(CHAR(92),CHAR(96))),CHAR(34),CHAR(39))))</f>
        <v/>
      </c>
      <c r="Q703" s="5" t="str">
        <f>IF(OR(TRIM($B703)="",$G703=""),"",IF(OR(ISNUMBER(SEARCH(_xlfn.CONCAT(CHAR(96),CHAR(34)),$G703)),ISNUMBER(SEARCH(_xlfn.CONCAT(CHAR(34),CHAR(39)),$G703))),_xlfn.CONCAT("* REVIEW REQUIRED: compound-quote delimiter in Universe on Sheet 1 row ",703,"; edit the input before running."),_xlfn.CONCAT("char ",TRIM($B703),"[doc_universe] ",CHAR(96),CHAR(34),SUBSTITUTE(SUBSTITUTE(SUBSTITUTE(SUBSTITUTE(SUBSTITUTE(SUBSTITUTE($G703,CHAR(13)," "),CHAR(10)," "),CHAR(9)," "),CHAR(92),_xlfn.CONCAT(CHAR(92),CHAR(92))),"$",_xlfn.CONCAT(CHAR(92),"$")),CHAR(96),_xlfn.CONCAT(CHAR(92),CHAR(96))),CHAR(34),CHAR(39))))</f>
        <v/>
      </c>
      <c r="R703" s="5" t="str">
        <f>IF(OR(TRIM($B703)="",$H703=""),"",IF(OR(ISNUMBER(SEARCH(_xlfn.CONCAT(CHAR(96),CHAR(34)),$H703)),ISNUMBER(SEARCH(_xlfn.CONCAT(CHAR(34),CHAR(39)),$H703))),_xlfn.CONCAT("* REVIEW REQUIRED: compound-quote delimiter in Source on Sheet 1 row ",703,"; edit the input before running."),_xlfn.CONCAT("char ",TRIM($B703),"[doc_source] ",CHAR(96),CHAR(34),SUBSTITUTE(SUBSTITUTE(SUBSTITUTE(SUBSTITUTE(SUBSTITUTE(SUBSTITUTE($H703,CHAR(13)," "),CHAR(10)," "),CHAR(9)," "),CHAR(92),_xlfn.CONCAT(CHAR(92),CHAR(92))),"$",_xlfn.CONCAT(CHAR(92),"$")),CHAR(96),_xlfn.CONCAT(CHAR(92),CHAR(96))),CHAR(34),CHAR(39))))</f>
        <v/>
      </c>
      <c r="S703" s="5" t="str">
        <f>IF(OR(TRIM($B703)="",$I703=""),"",IF(OR(ISNUMBER(SEARCH(_xlfn.CONCAT(CHAR(96),CHAR(34)),$I703)),ISNUMBER(SEARCH(_xlfn.CONCAT(CHAR(34),CHAR(39)),$I703))),_xlfn.CONCAT("* REVIEW REQUIRED: compound-quote delimiter in Derivation on Sheet 1 row ",703,"; edit the input before running."),_xlfn.CONCAT("char ",TRIM($B703),"[doc_derivation] ",CHAR(96),CHAR(34),SUBSTITUTE(SUBSTITUTE(SUBSTITUTE(SUBSTITUTE(SUBSTITUTE(SUBSTITUTE($I703,CHAR(13)," "),CHAR(10)," "),CHAR(9)," "),CHAR(92),_xlfn.CONCAT(CHAR(92),CHAR(92))),"$",_xlfn.CONCAT(CHAR(92),"$")),CHAR(96),_xlfn.CONCAT(CHAR(92),CHAR(96))),CHAR(34),CHAR(39))))</f>
        <v/>
      </c>
      <c r="T703" s="5" t="str">
        <f>IF(OR(TRIM($B703)="",$J703=""),"",IF(OR(ISNUMBER(SEARCH(_xlfn.CONCAT(CHAR(96),CHAR(34)),$J703)),ISNUMBER(SEARCH(_xlfn.CONCAT(CHAR(34),CHAR(39)),$J703))),_xlfn.CONCAT("* REVIEW REQUIRED: compound-quote delimiter in Notes on Sheet 1 row ",703,"; edit the input before running."),_xlfn.CONCAT("char ",TRIM($B703),"[doc_notes] ",CHAR(96),CHAR(34),SUBSTITUTE(SUBSTITUTE(SUBSTITUTE(SUBSTITUTE(SUBSTITUTE(SUBSTITUTE($J703,CHAR(13)," "),CHAR(10)," "),CHAR(9)," "),CHAR(92),_xlfn.CONCAT(CHAR(92),CHAR(92))),"$",_xlfn.CONCAT(CHAR(92),"$")),CHAR(96),_xlfn.CONCAT(CHAR(92),CHAR(96))),CHAR(34),CHAR(39))))</f>
        <v/>
      </c>
      <c r="U703" s="5">
        <f t="shared" si="21"/>
        <v>0</v>
      </c>
    </row>
    <row r="704" spans="3:21" ht="30" customHeight="1" x14ac:dyDescent="0.2">
      <c r="C704" s="4"/>
      <c r="K704" s="5">
        <f t="shared" si="20"/>
        <v>0</v>
      </c>
      <c r="L704" s="5" t="str">
        <f>IF(OR(TRIM($B704)="",$A704=""),"",IF(OR(ISNUMBER(SEARCH(_xlfn.CONCAT(CHAR(96),CHAR(34)),$A704)),ISNUMBER(SEARCH(_xlfn.CONCAT(CHAR(34),CHAR(39)),$A704))),_xlfn.CONCAT("* REVIEW REQUIRED: compound-quote delimiter in Codebook Section on Sheet 1 row ",704,"; edit the input before running."),_xlfn.CONCAT("char ",TRIM($B704),"[doc_section] ",CHAR(96),CHAR(34),SUBSTITUTE(SUBSTITUTE(SUBSTITUTE(SUBSTITUTE(SUBSTITUTE(SUBSTITUTE($A704,CHAR(13)," "),CHAR(10)," "),CHAR(9)," "),CHAR(92),_xlfn.CONCAT(CHAR(92),CHAR(92))),"$",_xlfn.CONCAT(CHAR(92),"$")),CHAR(96),_xlfn.CONCAT(CHAR(92),CHAR(96))),CHAR(34),CHAR(39))))</f>
        <v/>
      </c>
      <c r="M704" s="5" t="str">
        <f>IF(OR(TRIM($B704)="",$C704=""),"",IF(IFERROR(MATCH(TRIM($C704),{"Quantitative","Continuous","Discrete","Categorical","Nominal","Ordinal","Identifier"},0),0)=0,_xlfn.CONCAT("* REVIEW REQUIRED: invalid Variable Type on Sheet 1 row ",704,"."),_xlfn.CONCAT("char ",TRIM($B704),"[doc_vartype] ",CHAR(96),CHAR(34),SUBSTITUTE(SUBSTITUTE(SUBSTITUTE(SUBSTITUTE(SUBSTITUTE(SUBSTITUTE(LOWER(TRIM($C704)),CHAR(13)," "),CHAR(10)," "),CHAR(9)," "),CHAR(92),_xlfn.CONCAT(CHAR(92),CHAR(92))),"$",_xlfn.CONCAT(CHAR(92),"$")),CHAR(96),_xlfn.CONCAT(CHAR(92),CHAR(96))),CHAR(34),CHAR(39))))</f>
        <v/>
      </c>
      <c r="N704" s="5" t="str">
        <f>IF(OR(TRIM($B704)="",$D704=""),"",IF(OR(ISNUMBER(SEARCH(_xlfn.CONCAT(CHAR(96),CHAR(34)),$D704)),ISNUMBER(SEARCH(_xlfn.CONCAT(CHAR(34),CHAR(39)),$D704))),_xlfn.CONCAT("* REVIEW REQUIRED: compound-quote delimiter in Item Number on Sheet 1 row ",704,"; edit the input before running."),_xlfn.CONCAT("char ",TRIM($B704),"[doc_itemnum] ",CHAR(96),CHAR(34),SUBSTITUTE(SUBSTITUTE(SUBSTITUTE(SUBSTITUTE(SUBSTITUTE(SUBSTITUTE($D704,CHAR(13)," "),CHAR(10)," "),CHAR(9)," "),CHAR(92),_xlfn.CONCAT(CHAR(92),CHAR(92))),"$",_xlfn.CONCAT(CHAR(92),"$")),CHAR(96),_xlfn.CONCAT(CHAR(92),CHAR(96))),CHAR(34),CHAR(39))))</f>
        <v/>
      </c>
      <c r="O704" s="5" t="str">
        <f>IF(OR(TRIM($B704)="",$E704=""),"",IF(OR(ISNUMBER(SEARCH(_xlfn.CONCAT(CHAR(96),CHAR(34)),$E704)),ISNUMBER(SEARCH(_xlfn.CONCAT(CHAR(34),CHAR(39)),$E704))),_xlfn.CONCAT("* REVIEW REQUIRED: compound-quote delimiter in Question Wording on Sheet 1 row ",704,"; edit the input before running."),_xlfn.CONCAT("char ",TRIM($B704),"[doc_question] ",CHAR(96),CHAR(34),SUBSTITUTE(SUBSTITUTE(SUBSTITUTE(SUBSTITUTE(SUBSTITUTE(SUBSTITUTE($E704,CHAR(13)," "),CHAR(10)," "),CHAR(9)," "),CHAR(92),_xlfn.CONCAT(CHAR(92),CHAR(92))),"$",_xlfn.CONCAT(CHAR(92),"$")),CHAR(96),_xlfn.CONCAT(CHAR(92),CHAR(96))),CHAR(34),CHAR(39))))</f>
        <v/>
      </c>
      <c r="P704" s="5" t="str">
        <f>IF(OR(TRIM($B704)="",$F704=""),"",IF(OR(ISNUMBER(SEARCH(_xlfn.CONCAT(CHAR(96),CHAR(34)),$F704)),ISNUMBER(SEARCH(_xlfn.CONCAT(CHAR(34),CHAR(39)),$F704))),_xlfn.CONCAT("* REVIEW REQUIRED: compound-quote delimiter in Units on Sheet 1 row ",704,"; edit the input before running."),_xlfn.CONCAT("char ",TRIM($B704),"[doc_units] ",CHAR(96),CHAR(34),SUBSTITUTE(SUBSTITUTE(SUBSTITUTE(SUBSTITUTE(SUBSTITUTE(SUBSTITUTE($F704,CHAR(13)," "),CHAR(10)," "),CHAR(9)," "),CHAR(92),_xlfn.CONCAT(CHAR(92),CHAR(92))),"$",_xlfn.CONCAT(CHAR(92),"$")),CHAR(96),_xlfn.CONCAT(CHAR(92),CHAR(96))),CHAR(34),CHAR(39))))</f>
        <v/>
      </c>
      <c r="Q704" s="5" t="str">
        <f>IF(OR(TRIM($B704)="",$G704=""),"",IF(OR(ISNUMBER(SEARCH(_xlfn.CONCAT(CHAR(96),CHAR(34)),$G704)),ISNUMBER(SEARCH(_xlfn.CONCAT(CHAR(34),CHAR(39)),$G704))),_xlfn.CONCAT("* REVIEW REQUIRED: compound-quote delimiter in Universe on Sheet 1 row ",704,"; edit the input before running."),_xlfn.CONCAT("char ",TRIM($B704),"[doc_universe] ",CHAR(96),CHAR(34),SUBSTITUTE(SUBSTITUTE(SUBSTITUTE(SUBSTITUTE(SUBSTITUTE(SUBSTITUTE($G704,CHAR(13)," "),CHAR(10)," "),CHAR(9)," "),CHAR(92),_xlfn.CONCAT(CHAR(92),CHAR(92))),"$",_xlfn.CONCAT(CHAR(92),"$")),CHAR(96),_xlfn.CONCAT(CHAR(92),CHAR(96))),CHAR(34),CHAR(39))))</f>
        <v/>
      </c>
      <c r="R704" s="5" t="str">
        <f>IF(OR(TRIM($B704)="",$H704=""),"",IF(OR(ISNUMBER(SEARCH(_xlfn.CONCAT(CHAR(96),CHAR(34)),$H704)),ISNUMBER(SEARCH(_xlfn.CONCAT(CHAR(34),CHAR(39)),$H704))),_xlfn.CONCAT("* REVIEW REQUIRED: compound-quote delimiter in Source on Sheet 1 row ",704,"; edit the input before running."),_xlfn.CONCAT("char ",TRIM($B704),"[doc_source] ",CHAR(96),CHAR(34),SUBSTITUTE(SUBSTITUTE(SUBSTITUTE(SUBSTITUTE(SUBSTITUTE(SUBSTITUTE($H704,CHAR(13)," "),CHAR(10)," "),CHAR(9)," "),CHAR(92),_xlfn.CONCAT(CHAR(92),CHAR(92))),"$",_xlfn.CONCAT(CHAR(92),"$")),CHAR(96),_xlfn.CONCAT(CHAR(92),CHAR(96))),CHAR(34),CHAR(39))))</f>
        <v/>
      </c>
      <c r="S704" s="5" t="str">
        <f>IF(OR(TRIM($B704)="",$I704=""),"",IF(OR(ISNUMBER(SEARCH(_xlfn.CONCAT(CHAR(96),CHAR(34)),$I704)),ISNUMBER(SEARCH(_xlfn.CONCAT(CHAR(34),CHAR(39)),$I704))),_xlfn.CONCAT("* REVIEW REQUIRED: compound-quote delimiter in Derivation on Sheet 1 row ",704,"; edit the input before running."),_xlfn.CONCAT("char ",TRIM($B704),"[doc_derivation] ",CHAR(96),CHAR(34),SUBSTITUTE(SUBSTITUTE(SUBSTITUTE(SUBSTITUTE(SUBSTITUTE(SUBSTITUTE($I704,CHAR(13)," "),CHAR(10)," "),CHAR(9)," "),CHAR(92),_xlfn.CONCAT(CHAR(92),CHAR(92))),"$",_xlfn.CONCAT(CHAR(92),"$")),CHAR(96),_xlfn.CONCAT(CHAR(92),CHAR(96))),CHAR(34),CHAR(39))))</f>
        <v/>
      </c>
      <c r="T704" s="5" t="str">
        <f>IF(OR(TRIM($B704)="",$J704=""),"",IF(OR(ISNUMBER(SEARCH(_xlfn.CONCAT(CHAR(96),CHAR(34)),$J704)),ISNUMBER(SEARCH(_xlfn.CONCAT(CHAR(34),CHAR(39)),$J704))),_xlfn.CONCAT("* REVIEW REQUIRED: compound-quote delimiter in Notes on Sheet 1 row ",704,"; edit the input before running."),_xlfn.CONCAT("char ",TRIM($B704),"[doc_notes] ",CHAR(96),CHAR(34),SUBSTITUTE(SUBSTITUTE(SUBSTITUTE(SUBSTITUTE(SUBSTITUTE(SUBSTITUTE($J704,CHAR(13)," "),CHAR(10)," "),CHAR(9)," "),CHAR(92),_xlfn.CONCAT(CHAR(92),CHAR(92))),"$",_xlfn.CONCAT(CHAR(92),"$")),CHAR(96),_xlfn.CONCAT(CHAR(92),CHAR(96))),CHAR(34),CHAR(39))))</f>
        <v/>
      </c>
      <c r="U704" s="5">
        <f t="shared" si="21"/>
        <v>0</v>
      </c>
    </row>
    <row r="705" spans="3:21" ht="30" customHeight="1" x14ac:dyDescent="0.2">
      <c r="C705" s="4"/>
      <c r="K705" s="5">
        <f t="shared" si="20"/>
        <v>0</v>
      </c>
      <c r="L705" s="5" t="str">
        <f>IF(OR(TRIM($B705)="",$A705=""),"",IF(OR(ISNUMBER(SEARCH(_xlfn.CONCAT(CHAR(96),CHAR(34)),$A705)),ISNUMBER(SEARCH(_xlfn.CONCAT(CHAR(34),CHAR(39)),$A705))),_xlfn.CONCAT("* REVIEW REQUIRED: compound-quote delimiter in Codebook Section on Sheet 1 row ",705,"; edit the input before running."),_xlfn.CONCAT("char ",TRIM($B705),"[doc_section] ",CHAR(96),CHAR(34),SUBSTITUTE(SUBSTITUTE(SUBSTITUTE(SUBSTITUTE(SUBSTITUTE(SUBSTITUTE($A705,CHAR(13)," "),CHAR(10)," "),CHAR(9)," "),CHAR(92),_xlfn.CONCAT(CHAR(92),CHAR(92))),"$",_xlfn.CONCAT(CHAR(92),"$")),CHAR(96),_xlfn.CONCAT(CHAR(92),CHAR(96))),CHAR(34),CHAR(39))))</f>
        <v/>
      </c>
      <c r="M705" s="5" t="str">
        <f>IF(OR(TRIM($B705)="",$C705=""),"",IF(IFERROR(MATCH(TRIM($C705),{"Quantitative","Continuous","Discrete","Categorical","Nominal","Ordinal","Identifier"},0),0)=0,_xlfn.CONCAT("* REVIEW REQUIRED: invalid Variable Type on Sheet 1 row ",705,"."),_xlfn.CONCAT("char ",TRIM($B705),"[doc_vartype] ",CHAR(96),CHAR(34),SUBSTITUTE(SUBSTITUTE(SUBSTITUTE(SUBSTITUTE(SUBSTITUTE(SUBSTITUTE(LOWER(TRIM($C705)),CHAR(13)," "),CHAR(10)," "),CHAR(9)," "),CHAR(92),_xlfn.CONCAT(CHAR(92),CHAR(92))),"$",_xlfn.CONCAT(CHAR(92),"$")),CHAR(96),_xlfn.CONCAT(CHAR(92),CHAR(96))),CHAR(34),CHAR(39))))</f>
        <v/>
      </c>
      <c r="N705" s="5" t="str">
        <f>IF(OR(TRIM($B705)="",$D705=""),"",IF(OR(ISNUMBER(SEARCH(_xlfn.CONCAT(CHAR(96),CHAR(34)),$D705)),ISNUMBER(SEARCH(_xlfn.CONCAT(CHAR(34),CHAR(39)),$D705))),_xlfn.CONCAT("* REVIEW REQUIRED: compound-quote delimiter in Item Number on Sheet 1 row ",705,"; edit the input before running."),_xlfn.CONCAT("char ",TRIM($B705),"[doc_itemnum] ",CHAR(96),CHAR(34),SUBSTITUTE(SUBSTITUTE(SUBSTITUTE(SUBSTITUTE(SUBSTITUTE(SUBSTITUTE($D705,CHAR(13)," "),CHAR(10)," "),CHAR(9)," "),CHAR(92),_xlfn.CONCAT(CHAR(92),CHAR(92))),"$",_xlfn.CONCAT(CHAR(92),"$")),CHAR(96),_xlfn.CONCAT(CHAR(92),CHAR(96))),CHAR(34),CHAR(39))))</f>
        <v/>
      </c>
      <c r="O705" s="5" t="str">
        <f>IF(OR(TRIM($B705)="",$E705=""),"",IF(OR(ISNUMBER(SEARCH(_xlfn.CONCAT(CHAR(96),CHAR(34)),$E705)),ISNUMBER(SEARCH(_xlfn.CONCAT(CHAR(34),CHAR(39)),$E705))),_xlfn.CONCAT("* REVIEW REQUIRED: compound-quote delimiter in Question Wording on Sheet 1 row ",705,"; edit the input before running."),_xlfn.CONCAT("char ",TRIM($B705),"[doc_question] ",CHAR(96),CHAR(34),SUBSTITUTE(SUBSTITUTE(SUBSTITUTE(SUBSTITUTE(SUBSTITUTE(SUBSTITUTE($E705,CHAR(13)," "),CHAR(10)," "),CHAR(9)," "),CHAR(92),_xlfn.CONCAT(CHAR(92),CHAR(92))),"$",_xlfn.CONCAT(CHAR(92),"$")),CHAR(96),_xlfn.CONCAT(CHAR(92),CHAR(96))),CHAR(34),CHAR(39))))</f>
        <v/>
      </c>
      <c r="P705" s="5" t="str">
        <f>IF(OR(TRIM($B705)="",$F705=""),"",IF(OR(ISNUMBER(SEARCH(_xlfn.CONCAT(CHAR(96),CHAR(34)),$F705)),ISNUMBER(SEARCH(_xlfn.CONCAT(CHAR(34),CHAR(39)),$F705))),_xlfn.CONCAT("* REVIEW REQUIRED: compound-quote delimiter in Units on Sheet 1 row ",705,"; edit the input before running."),_xlfn.CONCAT("char ",TRIM($B705),"[doc_units] ",CHAR(96),CHAR(34),SUBSTITUTE(SUBSTITUTE(SUBSTITUTE(SUBSTITUTE(SUBSTITUTE(SUBSTITUTE($F705,CHAR(13)," "),CHAR(10)," "),CHAR(9)," "),CHAR(92),_xlfn.CONCAT(CHAR(92),CHAR(92))),"$",_xlfn.CONCAT(CHAR(92),"$")),CHAR(96),_xlfn.CONCAT(CHAR(92),CHAR(96))),CHAR(34),CHAR(39))))</f>
        <v/>
      </c>
      <c r="Q705" s="5" t="str">
        <f>IF(OR(TRIM($B705)="",$G705=""),"",IF(OR(ISNUMBER(SEARCH(_xlfn.CONCAT(CHAR(96),CHAR(34)),$G705)),ISNUMBER(SEARCH(_xlfn.CONCAT(CHAR(34),CHAR(39)),$G705))),_xlfn.CONCAT("* REVIEW REQUIRED: compound-quote delimiter in Universe on Sheet 1 row ",705,"; edit the input before running."),_xlfn.CONCAT("char ",TRIM($B705),"[doc_universe] ",CHAR(96),CHAR(34),SUBSTITUTE(SUBSTITUTE(SUBSTITUTE(SUBSTITUTE(SUBSTITUTE(SUBSTITUTE($G705,CHAR(13)," "),CHAR(10)," "),CHAR(9)," "),CHAR(92),_xlfn.CONCAT(CHAR(92),CHAR(92))),"$",_xlfn.CONCAT(CHAR(92),"$")),CHAR(96),_xlfn.CONCAT(CHAR(92),CHAR(96))),CHAR(34),CHAR(39))))</f>
        <v/>
      </c>
      <c r="R705" s="5" t="str">
        <f>IF(OR(TRIM($B705)="",$H705=""),"",IF(OR(ISNUMBER(SEARCH(_xlfn.CONCAT(CHAR(96),CHAR(34)),$H705)),ISNUMBER(SEARCH(_xlfn.CONCAT(CHAR(34),CHAR(39)),$H705))),_xlfn.CONCAT("* REVIEW REQUIRED: compound-quote delimiter in Source on Sheet 1 row ",705,"; edit the input before running."),_xlfn.CONCAT("char ",TRIM($B705),"[doc_source] ",CHAR(96),CHAR(34),SUBSTITUTE(SUBSTITUTE(SUBSTITUTE(SUBSTITUTE(SUBSTITUTE(SUBSTITUTE($H705,CHAR(13)," "),CHAR(10)," "),CHAR(9)," "),CHAR(92),_xlfn.CONCAT(CHAR(92),CHAR(92))),"$",_xlfn.CONCAT(CHAR(92),"$")),CHAR(96),_xlfn.CONCAT(CHAR(92),CHAR(96))),CHAR(34),CHAR(39))))</f>
        <v/>
      </c>
      <c r="S705" s="5" t="str">
        <f>IF(OR(TRIM($B705)="",$I705=""),"",IF(OR(ISNUMBER(SEARCH(_xlfn.CONCAT(CHAR(96),CHAR(34)),$I705)),ISNUMBER(SEARCH(_xlfn.CONCAT(CHAR(34),CHAR(39)),$I705))),_xlfn.CONCAT("* REVIEW REQUIRED: compound-quote delimiter in Derivation on Sheet 1 row ",705,"; edit the input before running."),_xlfn.CONCAT("char ",TRIM($B705),"[doc_derivation] ",CHAR(96),CHAR(34),SUBSTITUTE(SUBSTITUTE(SUBSTITUTE(SUBSTITUTE(SUBSTITUTE(SUBSTITUTE($I705,CHAR(13)," "),CHAR(10)," "),CHAR(9)," "),CHAR(92),_xlfn.CONCAT(CHAR(92),CHAR(92))),"$",_xlfn.CONCAT(CHAR(92),"$")),CHAR(96),_xlfn.CONCAT(CHAR(92),CHAR(96))),CHAR(34),CHAR(39))))</f>
        <v/>
      </c>
      <c r="T705" s="5" t="str">
        <f>IF(OR(TRIM($B705)="",$J705=""),"",IF(OR(ISNUMBER(SEARCH(_xlfn.CONCAT(CHAR(96),CHAR(34)),$J705)),ISNUMBER(SEARCH(_xlfn.CONCAT(CHAR(34),CHAR(39)),$J705))),_xlfn.CONCAT("* REVIEW REQUIRED: compound-quote delimiter in Notes on Sheet 1 row ",705,"; edit the input before running."),_xlfn.CONCAT("char ",TRIM($B705),"[doc_notes] ",CHAR(96),CHAR(34),SUBSTITUTE(SUBSTITUTE(SUBSTITUTE(SUBSTITUTE(SUBSTITUTE(SUBSTITUTE($J705,CHAR(13)," "),CHAR(10)," "),CHAR(9)," "),CHAR(92),_xlfn.CONCAT(CHAR(92),CHAR(92))),"$",_xlfn.CONCAT(CHAR(92),"$")),CHAR(96),_xlfn.CONCAT(CHAR(92),CHAR(96))),CHAR(34),CHAR(39))))</f>
        <v/>
      </c>
      <c r="U705" s="5">
        <f t="shared" si="21"/>
        <v>0</v>
      </c>
    </row>
    <row r="706" spans="3:21" ht="30" customHeight="1" x14ac:dyDescent="0.2">
      <c r="C706" s="4"/>
      <c r="K706" s="5">
        <f t="shared" si="20"/>
        <v>0</v>
      </c>
      <c r="L706" s="5" t="str">
        <f>IF(OR(TRIM($B706)="",$A706=""),"",IF(OR(ISNUMBER(SEARCH(_xlfn.CONCAT(CHAR(96),CHAR(34)),$A706)),ISNUMBER(SEARCH(_xlfn.CONCAT(CHAR(34),CHAR(39)),$A706))),_xlfn.CONCAT("* REVIEW REQUIRED: compound-quote delimiter in Codebook Section on Sheet 1 row ",706,"; edit the input before running."),_xlfn.CONCAT("char ",TRIM($B706),"[doc_section] ",CHAR(96),CHAR(34),SUBSTITUTE(SUBSTITUTE(SUBSTITUTE(SUBSTITUTE(SUBSTITUTE(SUBSTITUTE($A706,CHAR(13)," "),CHAR(10)," "),CHAR(9)," "),CHAR(92),_xlfn.CONCAT(CHAR(92),CHAR(92))),"$",_xlfn.CONCAT(CHAR(92),"$")),CHAR(96),_xlfn.CONCAT(CHAR(92),CHAR(96))),CHAR(34),CHAR(39))))</f>
        <v/>
      </c>
      <c r="M706" s="5" t="str">
        <f>IF(OR(TRIM($B706)="",$C706=""),"",IF(IFERROR(MATCH(TRIM($C706),{"Quantitative","Continuous","Discrete","Categorical","Nominal","Ordinal","Identifier"},0),0)=0,_xlfn.CONCAT("* REVIEW REQUIRED: invalid Variable Type on Sheet 1 row ",706,"."),_xlfn.CONCAT("char ",TRIM($B706),"[doc_vartype] ",CHAR(96),CHAR(34),SUBSTITUTE(SUBSTITUTE(SUBSTITUTE(SUBSTITUTE(SUBSTITUTE(SUBSTITUTE(LOWER(TRIM($C706)),CHAR(13)," "),CHAR(10)," "),CHAR(9)," "),CHAR(92),_xlfn.CONCAT(CHAR(92),CHAR(92))),"$",_xlfn.CONCAT(CHAR(92),"$")),CHAR(96),_xlfn.CONCAT(CHAR(92),CHAR(96))),CHAR(34),CHAR(39))))</f>
        <v/>
      </c>
      <c r="N706" s="5" t="str">
        <f>IF(OR(TRIM($B706)="",$D706=""),"",IF(OR(ISNUMBER(SEARCH(_xlfn.CONCAT(CHAR(96),CHAR(34)),$D706)),ISNUMBER(SEARCH(_xlfn.CONCAT(CHAR(34),CHAR(39)),$D706))),_xlfn.CONCAT("* REVIEW REQUIRED: compound-quote delimiter in Item Number on Sheet 1 row ",706,"; edit the input before running."),_xlfn.CONCAT("char ",TRIM($B706),"[doc_itemnum] ",CHAR(96),CHAR(34),SUBSTITUTE(SUBSTITUTE(SUBSTITUTE(SUBSTITUTE(SUBSTITUTE(SUBSTITUTE($D706,CHAR(13)," "),CHAR(10)," "),CHAR(9)," "),CHAR(92),_xlfn.CONCAT(CHAR(92),CHAR(92))),"$",_xlfn.CONCAT(CHAR(92),"$")),CHAR(96),_xlfn.CONCAT(CHAR(92),CHAR(96))),CHAR(34),CHAR(39))))</f>
        <v/>
      </c>
      <c r="O706" s="5" t="str">
        <f>IF(OR(TRIM($B706)="",$E706=""),"",IF(OR(ISNUMBER(SEARCH(_xlfn.CONCAT(CHAR(96),CHAR(34)),$E706)),ISNUMBER(SEARCH(_xlfn.CONCAT(CHAR(34),CHAR(39)),$E706))),_xlfn.CONCAT("* REVIEW REQUIRED: compound-quote delimiter in Question Wording on Sheet 1 row ",706,"; edit the input before running."),_xlfn.CONCAT("char ",TRIM($B706),"[doc_question] ",CHAR(96),CHAR(34),SUBSTITUTE(SUBSTITUTE(SUBSTITUTE(SUBSTITUTE(SUBSTITUTE(SUBSTITUTE($E706,CHAR(13)," "),CHAR(10)," "),CHAR(9)," "),CHAR(92),_xlfn.CONCAT(CHAR(92),CHAR(92))),"$",_xlfn.CONCAT(CHAR(92),"$")),CHAR(96),_xlfn.CONCAT(CHAR(92),CHAR(96))),CHAR(34),CHAR(39))))</f>
        <v/>
      </c>
      <c r="P706" s="5" t="str">
        <f>IF(OR(TRIM($B706)="",$F706=""),"",IF(OR(ISNUMBER(SEARCH(_xlfn.CONCAT(CHAR(96),CHAR(34)),$F706)),ISNUMBER(SEARCH(_xlfn.CONCAT(CHAR(34),CHAR(39)),$F706))),_xlfn.CONCAT("* REVIEW REQUIRED: compound-quote delimiter in Units on Sheet 1 row ",706,"; edit the input before running."),_xlfn.CONCAT("char ",TRIM($B706),"[doc_units] ",CHAR(96),CHAR(34),SUBSTITUTE(SUBSTITUTE(SUBSTITUTE(SUBSTITUTE(SUBSTITUTE(SUBSTITUTE($F706,CHAR(13)," "),CHAR(10)," "),CHAR(9)," "),CHAR(92),_xlfn.CONCAT(CHAR(92),CHAR(92))),"$",_xlfn.CONCAT(CHAR(92),"$")),CHAR(96),_xlfn.CONCAT(CHAR(92),CHAR(96))),CHAR(34),CHAR(39))))</f>
        <v/>
      </c>
      <c r="Q706" s="5" t="str">
        <f>IF(OR(TRIM($B706)="",$G706=""),"",IF(OR(ISNUMBER(SEARCH(_xlfn.CONCAT(CHAR(96),CHAR(34)),$G706)),ISNUMBER(SEARCH(_xlfn.CONCAT(CHAR(34),CHAR(39)),$G706))),_xlfn.CONCAT("* REVIEW REQUIRED: compound-quote delimiter in Universe on Sheet 1 row ",706,"; edit the input before running."),_xlfn.CONCAT("char ",TRIM($B706),"[doc_universe] ",CHAR(96),CHAR(34),SUBSTITUTE(SUBSTITUTE(SUBSTITUTE(SUBSTITUTE(SUBSTITUTE(SUBSTITUTE($G706,CHAR(13)," "),CHAR(10)," "),CHAR(9)," "),CHAR(92),_xlfn.CONCAT(CHAR(92),CHAR(92))),"$",_xlfn.CONCAT(CHAR(92),"$")),CHAR(96),_xlfn.CONCAT(CHAR(92),CHAR(96))),CHAR(34),CHAR(39))))</f>
        <v/>
      </c>
      <c r="R706" s="5" t="str">
        <f>IF(OR(TRIM($B706)="",$H706=""),"",IF(OR(ISNUMBER(SEARCH(_xlfn.CONCAT(CHAR(96),CHAR(34)),$H706)),ISNUMBER(SEARCH(_xlfn.CONCAT(CHAR(34),CHAR(39)),$H706))),_xlfn.CONCAT("* REVIEW REQUIRED: compound-quote delimiter in Source on Sheet 1 row ",706,"; edit the input before running."),_xlfn.CONCAT("char ",TRIM($B706),"[doc_source] ",CHAR(96),CHAR(34),SUBSTITUTE(SUBSTITUTE(SUBSTITUTE(SUBSTITUTE(SUBSTITUTE(SUBSTITUTE($H706,CHAR(13)," "),CHAR(10)," "),CHAR(9)," "),CHAR(92),_xlfn.CONCAT(CHAR(92),CHAR(92))),"$",_xlfn.CONCAT(CHAR(92),"$")),CHAR(96),_xlfn.CONCAT(CHAR(92),CHAR(96))),CHAR(34),CHAR(39))))</f>
        <v/>
      </c>
      <c r="S706" s="5" t="str">
        <f>IF(OR(TRIM($B706)="",$I706=""),"",IF(OR(ISNUMBER(SEARCH(_xlfn.CONCAT(CHAR(96),CHAR(34)),$I706)),ISNUMBER(SEARCH(_xlfn.CONCAT(CHAR(34),CHAR(39)),$I706))),_xlfn.CONCAT("* REVIEW REQUIRED: compound-quote delimiter in Derivation on Sheet 1 row ",706,"; edit the input before running."),_xlfn.CONCAT("char ",TRIM($B706),"[doc_derivation] ",CHAR(96),CHAR(34),SUBSTITUTE(SUBSTITUTE(SUBSTITUTE(SUBSTITUTE(SUBSTITUTE(SUBSTITUTE($I706,CHAR(13)," "),CHAR(10)," "),CHAR(9)," "),CHAR(92),_xlfn.CONCAT(CHAR(92),CHAR(92))),"$",_xlfn.CONCAT(CHAR(92),"$")),CHAR(96),_xlfn.CONCAT(CHAR(92),CHAR(96))),CHAR(34),CHAR(39))))</f>
        <v/>
      </c>
      <c r="T706" s="5" t="str">
        <f>IF(OR(TRIM($B706)="",$J706=""),"",IF(OR(ISNUMBER(SEARCH(_xlfn.CONCAT(CHAR(96),CHAR(34)),$J706)),ISNUMBER(SEARCH(_xlfn.CONCAT(CHAR(34),CHAR(39)),$J706))),_xlfn.CONCAT("* REVIEW REQUIRED: compound-quote delimiter in Notes on Sheet 1 row ",706,"; edit the input before running."),_xlfn.CONCAT("char ",TRIM($B706),"[doc_notes] ",CHAR(96),CHAR(34),SUBSTITUTE(SUBSTITUTE(SUBSTITUTE(SUBSTITUTE(SUBSTITUTE(SUBSTITUTE($J706,CHAR(13)," "),CHAR(10)," "),CHAR(9)," "),CHAR(92),_xlfn.CONCAT(CHAR(92),CHAR(92))),"$",_xlfn.CONCAT(CHAR(92),"$")),CHAR(96),_xlfn.CONCAT(CHAR(92),CHAR(96))),CHAR(34),CHAR(39))))</f>
        <v/>
      </c>
      <c r="U706" s="5">
        <f t="shared" si="21"/>
        <v>0</v>
      </c>
    </row>
    <row r="707" spans="3:21" ht="30" customHeight="1" x14ac:dyDescent="0.2">
      <c r="C707" s="4"/>
      <c r="K707" s="5">
        <f t="shared" si="20"/>
        <v>0</v>
      </c>
      <c r="L707" s="5" t="str">
        <f>IF(OR(TRIM($B707)="",$A707=""),"",IF(OR(ISNUMBER(SEARCH(_xlfn.CONCAT(CHAR(96),CHAR(34)),$A707)),ISNUMBER(SEARCH(_xlfn.CONCAT(CHAR(34),CHAR(39)),$A707))),_xlfn.CONCAT("* REVIEW REQUIRED: compound-quote delimiter in Codebook Section on Sheet 1 row ",707,"; edit the input before running."),_xlfn.CONCAT("char ",TRIM($B707),"[doc_section] ",CHAR(96),CHAR(34),SUBSTITUTE(SUBSTITUTE(SUBSTITUTE(SUBSTITUTE(SUBSTITUTE(SUBSTITUTE($A707,CHAR(13)," "),CHAR(10)," "),CHAR(9)," "),CHAR(92),_xlfn.CONCAT(CHAR(92),CHAR(92))),"$",_xlfn.CONCAT(CHAR(92),"$")),CHAR(96),_xlfn.CONCAT(CHAR(92),CHAR(96))),CHAR(34),CHAR(39))))</f>
        <v/>
      </c>
      <c r="M707" s="5" t="str">
        <f>IF(OR(TRIM($B707)="",$C707=""),"",IF(IFERROR(MATCH(TRIM($C707),{"Quantitative","Continuous","Discrete","Categorical","Nominal","Ordinal","Identifier"},0),0)=0,_xlfn.CONCAT("* REVIEW REQUIRED: invalid Variable Type on Sheet 1 row ",707,"."),_xlfn.CONCAT("char ",TRIM($B707),"[doc_vartype] ",CHAR(96),CHAR(34),SUBSTITUTE(SUBSTITUTE(SUBSTITUTE(SUBSTITUTE(SUBSTITUTE(SUBSTITUTE(LOWER(TRIM($C707)),CHAR(13)," "),CHAR(10)," "),CHAR(9)," "),CHAR(92),_xlfn.CONCAT(CHAR(92),CHAR(92))),"$",_xlfn.CONCAT(CHAR(92),"$")),CHAR(96),_xlfn.CONCAT(CHAR(92),CHAR(96))),CHAR(34),CHAR(39))))</f>
        <v/>
      </c>
      <c r="N707" s="5" t="str">
        <f>IF(OR(TRIM($B707)="",$D707=""),"",IF(OR(ISNUMBER(SEARCH(_xlfn.CONCAT(CHAR(96),CHAR(34)),$D707)),ISNUMBER(SEARCH(_xlfn.CONCAT(CHAR(34),CHAR(39)),$D707))),_xlfn.CONCAT("* REVIEW REQUIRED: compound-quote delimiter in Item Number on Sheet 1 row ",707,"; edit the input before running."),_xlfn.CONCAT("char ",TRIM($B707),"[doc_itemnum] ",CHAR(96),CHAR(34),SUBSTITUTE(SUBSTITUTE(SUBSTITUTE(SUBSTITUTE(SUBSTITUTE(SUBSTITUTE($D707,CHAR(13)," "),CHAR(10)," "),CHAR(9)," "),CHAR(92),_xlfn.CONCAT(CHAR(92),CHAR(92))),"$",_xlfn.CONCAT(CHAR(92),"$")),CHAR(96),_xlfn.CONCAT(CHAR(92),CHAR(96))),CHAR(34),CHAR(39))))</f>
        <v/>
      </c>
      <c r="O707" s="5" t="str">
        <f>IF(OR(TRIM($B707)="",$E707=""),"",IF(OR(ISNUMBER(SEARCH(_xlfn.CONCAT(CHAR(96),CHAR(34)),$E707)),ISNUMBER(SEARCH(_xlfn.CONCAT(CHAR(34),CHAR(39)),$E707))),_xlfn.CONCAT("* REVIEW REQUIRED: compound-quote delimiter in Question Wording on Sheet 1 row ",707,"; edit the input before running."),_xlfn.CONCAT("char ",TRIM($B707),"[doc_question] ",CHAR(96),CHAR(34),SUBSTITUTE(SUBSTITUTE(SUBSTITUTE(SUBSTITUTE(SUBSTITUTE(SUBSTITUTE($E707,CHAR(13)," "),CHAR(10)," "),CHAR(9)," "),CHAR(92),_xlfn.CONCAT(CHAR(92),CHAR(92))),"$",_xlfn.CONCAT(CHAR(92),"$")),CHAR(96),_xlfn.CONCAT(CHAR(92),CHAR(96))),CHAR(34),CHAR(39))))</f>
        <v/>
      </c>
      <c r="P707" s="5" t="str">
        <f>IF(OR(TRIM($B707)="",$F707=""),"",IF(OR(ISNUMBER(SEARCH(_xlfn.CONCAT(CHAR(96),CHAR(34)),$F707)),ISNUMBER(SEARCH(_xlfn.CONCAT(CHAR(34),CHAR(39)),$F707))),_xlfn.CONCAT("* REVIEW REQUIRED: compound-quote delimiter in Units on Sheet 1 row ",707,"; edit the input before running."),_xlfn.CONCAT("char ",TRIM($B707),"[doc_units] ",CHAR(96),CHAR(34),SUBSTITUTE(SUBSTITUTE(SUBSTITUTE(SUBSTITUTE(SUBSTITUTE(SUBSTITUTE($F707,CHAR(13)," "),CHAR(10)," "),CHAR(9)," "),CHAR(92),_xlfn.CONCAT(CHAR(92),CHAR(92))),"$",_xlfn.CONCAT(CHAR(92),"$")),CHAR(96),_xlfn.CONCAT(CHAR(92),CHAR(96))),CHAR(34),CHAR(39))))</f>
        <v/>
      </c>
      <c r="Q707" s="5" t="str">
        <f>IF(OR(TRIM($B707)="",$G707=""),"",IF(OR(ISNUMBER(SEARCH(_xlfn.CONCAT(CHAR(96),CHAR(34)),$G707)),ISNUMBER(SEARCH(_xlfn.CONCAT(CHAR(34),CHAR(39)),$G707))),_xlfn.CONCAT("* REVIEW REQUIRED: compound-quote delimiter in Universe on Sheet 1 row ",707,"; edit the input before running."),_xlfn.CONCAT("char ",TRIM($B707),"[doc_universe] ",CHAR(96),CHAR(34),SUBSTITUTE(SUBSTITUTE(SUBSTITUTE(SUBSTITUTE(SUBSTITUTE(SUBSTITUTE($G707,CHAR(13)," "),CHAR(10)," "),CHAR(9)," "),CHAR(92),_xlfn.CONCAT(CHAR(92),CHAR(92))),"$",_xlfn.CONCAT(CHAR(92),"$")),CHAR(96),_xlfn.CONCAT(CHAR(92),CHAR(96))),CHAR(34),CHAR(39))))</f>
        <v/>
      </c>
      <c r="R707" s="5" t="str">
        <f>IF(OR(TRIM($B707)="",$H707=""),"",IF(OR(ISNUMBER(SEARCH(_xlfn.CONCAT(CHAR(96),CHAR(34)),$H707)),ISNUMBER(SEARCH(_xlfn.CONCAT(CHAR(34),CHAR(39)),$H707))),_xlfn.CONCAT("* REVIEW REQUIRED: compound-quote delimiter in Source on Sheet 1 row ",707,"; edit the input before running."),_xlfn.CONCAT("char ",TRIM($B707),"[doc_source] ",CHAR(96),CHAR(34),SUBSTITUTE(SUBSTITUTE(SUBSTITUTE(SUBSTITUTE(SUBSTITUTE(SUBSTITUTE($H707,CHAR(13)," "),CHAR(10)," "),CHAR(9)," "),CHAR(92),_xlfn.CONCAT(CHAR(92),CHAR(92))),"$",_xlfn.CONCAT(CHAR(92),"$")),CHAR(96),_xlfn.CONCAT(CHAR(92),CHAR(96))),CHAR(34),CHAR(39))))</f>
        <v/>
      </c>
      <c r="S707" s="5" t="str">
        <f>IF(OR(TRIM($B707)="",$I707=""),"",IF(OR(ISNUMBER(SEARCH(_xlfn.CONCAT(CHAR(96),CHAR(34)),$I707)),ISNUMBER(SEARCH(_xlfn.CONCAT(CHAR(34),CHAR(39)),$I707))),_xlfn.CONCAT("* REVIEW REQUIRED: compound-quote delimiter in Derivation on Sheet 1 row ",707,"; edit the input before running."),_xlfn.CONCAT("char ",TRIM($B707),"[doc_derivation] ",CHAR(96),CHAR(34),SUBSTITUTE(SUBSTITUTE(SUBSTITUTE(SUBSTITUTE(SUBSTITUTE(SUBSTITUTE($I707,CHAR(13)," "),CHAR(10)," "),CHAR(9)," "),CHAR(92),_xlfn.CONCAT(CHAR(92),CHAR(92))),"$",_xlfn.CONCAT(CHAR(92),"$")),CHAR(96),_xlfn.CONCAT(CHAR(92),CHAR(96))),CHAR(34),CHAR(39))))</f>
        <v/>
      </c>
      <c r="T707" s="5" t="str">
        <f>IF(OR(TRIM($B707)="",$J707=""),"",IF(OR(ISNUMBER(SEARCH(_xlfn.CONCAT(CHAR(96),CHAR(34)),$J707)),ISNUMBER(SEARCH(_xlfn.CONCAT(CHAR(34),CHAR(39)),$J707))),_xlfn.CONCAT("* REVIEW REQUIRED: compound-quote delimiter in Notes on Sheet 1 row ",707,"; edit the input before running."),_xlfn.CONCAT("char ",TRIM($B707),"[doc_notes] ",CHAR(96),CHAR(34),SUBSTITUTE(SUBSTITUTE(SUBSTITUTE(SUBSTITUTE(SUBSTITUTE(SUBSTITUTE($J707,CHAR(13)," "),CHAR(10)," "),CHAR(9)," "),CHAR(92),_xlfn.CONCAT(CHAR(92),CHAR(92))),"$",_xlfn.CONCAT(CHAR(92),"$")),CHAR(96),_xlfn.CONCAT(CHAR(92),CHAR(96))),CHAR(34),CHAR(39))))</f>
        <v/>
      </c>
      <c r="U707" s="5">
        <f t="shared" si="21"/>
        <v>0</v>
      </c>
    </row>
    <row r="708" spans="3:21" ht="30" customHeight="1" x14ac:dyDescent="0.2">
      <c r="C708" s="4"/>
      <c r="K708" s="5">
        <f t="shared" si="20"/>
        <v>0</v>
      </c>
      <c r="L708" s="5" t="str">
        <f>IF(OR(TRIM($B708)="",$A708=""),"",IF(OR(ISNUMBER(SEARCH(_xlfn.CONCAT(CHAR(96),CHAR(34)),$A708)),ISNUMBER(SEARCH(_xlfn.CONCAT(CHAR(34),CHAR(39)),$A708))),_xlfn.CONCAT("* REVIEW REQUIRED: compound-quote delimiter in Codebook Section on Sheet 1 row ",708,"; edit the input before running."),_xlfn.CONCAT("char ",TRIM($B708),"[doc_section] ",CHAR(96),CHAR(34),SUBSTITUTE(SUBSTITUTE(SUBSTITUTE(SUBSTITUTE(SUBSTITUTE(SUBSTITUTE($A708,CHAR(13)," "),CHAR(10)," "),CHAR(9)," "),CHAR(92),_xlfn.CONCAT(CHAR(92),CHAR(92))),"$",_xlfn.CONCAT(CHAR(92),"$")),CHAR(96),_xlfn.CONCAT(CHAR(92),CHAR(96))),CHAR(34),CHAR(39))))</f>
        <v/>
      </c>
      <c r="M708" s="5" t="str">
        <f>IF(OR(TRIM($B708)="",$C708=""),"",IF(IFERROR(MATCH(TRIM($C708),{"Quantitative","Continuous","Discrete","Categorical","Nominal","Ordinal","Identifier"},0),0)=0,_xlfn.CONCAT("* REVIEW REQUIRED: invalid Variable Type on Sheet 1 row ",708,"."),_xlfn.CONCAT("char ",TRIM($B708),"[doc_vartype] ",CHAR(96),CHAR(34),SUBSTITUTE(SUBSTITUTE(SUBSTITUTE(SUBSTITUTE(SUBSTITUTE(SUBSTITUTE(LOWER(TRIM($C708)),CHAR(13)," "),CHAR(10)," "),CHAR(9)," "),CHAR(92),_xlfn.CONCAT(CHAR(92),CHAR(92))),"$",_xlfn.CONCAT(CHAR(92),"$")),CHAR(96),_xlfn.CONCAT(CHAR(92),CHAR(96))),CHAR(34),CHAR(39))))</f>
        <v/>
      </c>
      <c r="N708" s="5" t="str">
        <f>IF(OR(TRIM($B708)="",$D708=""),"",IF(OR(ISNUMBER(SEARCH(_xlfn.CONCAT(CHAR(96),CHAR(34)),$D708)),ISNUMBER(SEARCH(_xlfn.CONCAT(CHAR(34),CHAR(39)),$D708))),_xlfn.CONCAT("* REVIEW REQUIRED: compound-quote delimiter in Item Number on Sheet 1 row ",708,"; edit the input before running."),_xlfn.CONCAT("char ",TRIM($B708),"[doc_itemnum] ",CHAR(96),CHAR(34),SUBSTITUTE(SUBSTITUTE(SUBSTITUTE(SUBSTITUTE(SUBSTITUTE(SUBSTITUTE($D708,CHAR(13)," "),CHAR(10)," "),CHAR(9)," "),CHAR(92),_xlfn.CONCAT(CHAR(92),CHAR(92))),"$",_xlfn.CONCAT(CHAR(92),"$")),CHAR(96),_xlfn.CONCAT(CHAR(92),CHAR(96))),CHAR(34),CHAR(39))))</f>
        <v/>
      </c>
      <c r="O708" s="5" t="str">
        <f>IF(OR(TRIM($B708)="",$E708=""),"",IF(OR(ISNUMBER(SEARCH(_xlfn.CONCAT(CHAR(96),CHAR(34)),$E708)),ISNUMBER(SEARCH(_xlfn.CONCAT(CHAR(34),CHAR(39)),$E708))),_xlfn.CONCAT("* REVIEW REQUIRED: compound-quote delimiter in Question Wording on Sheet 1 row ",708,"; edit the input before running."),_xlfn.CONCAT("char ",TRIM($B708),"[doc_question] ",CHAR(96),CHAR(34),SUBSTITUTE(SUBSTITUTE(SUBSTITUTE(SUBSTITUTE(SUBSTITUTE(SUBSTITUTE($E708,CHAR(13)," "),CHAR(10)," "),CHAR(9)," "),CHAR(92),_xlfn.CONCAT(CHAR(92),CHAR(92))),"$",_xlfn.CONCAT(CHAR(92),"$")),CHAR(96),_xlfn.CONCAT(CHAR(92),CHAR(96))),CHAR(34),CHAR(39))))</f>
        <v/>
      </c>
      <c r="P708" s="5" t="str">
        <f>IF(OR(TRIM($B708)="",$F708=""),"",IF(OR(ISNUMBER(SEARCH(_xlfn.CONCAT(CHAR(96),CHAR(34)),$F708)),ISNUMBER(SEARCH(_xlfn.CONCAT(CHAR(34),CHAR(39)),$F708))),_xlfn.CONCAT("* REVIEW REQUIRED: compound-quote delimiter in Units on Sheet 1 row ",708,"; edit the input before running."),_xlfn.CONCAT("char ",TRIM($B708),"[doc_units] ",CHAR(96),CHAR(34),SUBSTITUTE(SUBSTITUTE(SUBSTITUTE(SUBSTITUTE(SUBSTITUTE(SUBSTITUTE($F708,CHAR(13)," "),CHAR(10)," "),CHAR(9)," "),CHAR(92),_xlfn.CONCAT(CHAR(92),CHAR(92))),"$",_xlfn.CONCAT(CHAR(92),"$")),CHAR(96),_xlfn.CONCAT(CHAR(92),CHAR(96))),CHAR(34),CHAR(39))))</f>
        <v/>
      </c>
      <c r="Q708" s="5" t="str">
        <f>IF(OR(TRIM($B708)="",$G708=""),"",IF(OR(ISNUMBER(SEARCH(_xlfn.CONCAT(CHAR(96),CHAR(34)),$G708)),ISNUMBER(SEARCH(_xlfn.CONCAT(CHAR(34),CHAR(39)),$G708))),_xlfn.CONCAT("* REVIEW REQUIRED: compound-quote delimiter in Universe on Sheet 1 row ",708,"; edit the input before running."),_xlfn.CONCAT("char ",TRIM($B708),"[doc_universe] ",CHAR(96),CHAR(34),SUBSTITUTE(SUBSTITUTE(SUBSTITUTE(SUBSTITUTE(SUBSTITUTE(SUBSTITUTE($G708,CHAR(13)," "),CHAR(10)," "),CHAR(9)," "),CHAR(92),_xlfn.CONCAT(CHAR(92),CHAR(92))),"$",_xlfn.CONCAT(CHAR(92),"$")),CHAR(96),_xlfn.CONCAT(CHAR(92),CHAR(96))),CHAR(34),CHAR(39))))</f>
        <v/>
      </c>
      <c r="R708" s="5" t="str">
        <f>IF(OR(TRIM($B708)="",$H708=""),"",IF(OR(ISNUMBER(SEARCH(_xlfn.CONCAT(CHAR(96),CHAR(34)),$H708)),ISNUMBER(SEARCH(_xlfn.CONCAT(CHAR(34),CHAR(39)),$H708))),_xlfn.CONCAT("* REVIEW REQUIRED: compound-quote delimiter in Source on Sheet 1 row ",708,"; edit the input before running."),_xlfn.CONCAT("char ",TRIM($B708),"[doc_source] ",CHAR(96),CHAR(34),SUBSTITUTE(SUBSTITUTE(SUBSTITUTE(SUBSTITUTE(SUBSTITUTE(SUBSTITUTE($H708,CHAR(13)," "),CHAR(10)," "),CHAR(9)," "),CHAR(92),_xlfn.CONCAT(CHAR(92),CHAR(92))),"$",_xlfn.CONCAT(CHAR(92),"$")),CHAR(96),_xlfn.CONCAT(CHAR(92),CHAR(96))),CHAR(34),CHAR(39))))</f>
        <v/>
      </c>
      <c r="S708" s="5" t="str">
        <f>IF(OR(TRIM($B708)="",$I708=""),"",IF(OR(ISNUMBER(SEARCH(_xlfn.CONCAT(CHAR(96),CHAR(34)),$I708)),ISNUMBER(SEARCH(_xlfn.CONCAT(CHAR(34),CHAR(39)),$I708))),_xlfn.CONCAT("* REVIEW REQUIRED: compound-quote delimiter in Derivation on Sheet 1 row ",708,"; edit the input before running."),_xlfn.CONCAT("char ",TRIM($B708),"[doc_derivation] ",CHAR(96),CHAR(34),SUBSTITUTE(SUBSTITUTE(SUBSTITUTE(SUBSTITUTE(SUBSTITUTE(SUBSTITUTE($I708,CHAR(13)," "),CHAR(10)," "),CHAR(9)," "),CHAR(92),_xlfn.CONCAT(CHAR(92),CHAR(92))),"$",_xlfn.CONCAT(CHAR(92),"$")),CHAR(96),_xlfn.CONCAT(CHAR(92),CHAR(96))),CHAR(34),CHAR(39))))</f>
        <v/>
      </c>
      <c r="T708" s="5" t="str">
        <f>IF(OR(TRIM($B708)="",$J708=""),"",IF(OR(ISNUMBER(SEARCH(_xlfn.CONCAT(CHAR(96),CHAR(34)),$J708)),ISNUMBER(SEARCH(_xlfn.CONCAT(CHAR(34),CHAR(39)),$J708))),_xlfn.CONCAT("* REVIEW REQUIRED: compound-quote delimiter in Notes on Sheet 1 row ",708,"; edit the input before running."),_xlfn.CONCAT("char ",TRIM($B708),"[doc_notes] ",CHAR(96),CHAR(34),SUBSTITUTE(SUBSTITUTE(SUBSTITUTE(SUBSTITUTE(SUBSTITUTE(SUBSTITUTE($J708,CHAR(13)," "),CHAR(10)," "),CHAR(9)," "),CHAR(92),_xlfn.CONCAT(CHAR(92),CHAR(92))),"$",_xlfn.CONCAT(CHAR(92),"$")),CHAR(96),_xlfn.CONCAT(CHAR(92),CHAR(96))),CHAR(34),CHAR(39))))</f>
        <v/>
      </c>
      <c r="U708" s="5">
        <f t="shared" si="21"/>
        <v>0</v>
      </c>
    </row>
    <row r="709" spans="3:21" ht="30" customHeight="1" x14ac:dyDescent="0.2">
      <c r="C709" s="4"/>
      <c r="K709" s="5">
        <f t="shared" si="20"/>
        <v>0</v>
      </c>
      <c r="L709" s="5" t="str">
        <f>IF(OR(TRIM($B709)="",$A709=""),"",IF(OR(ISNUMBER(SEARCH(_xlfn.CONCAT(CHAR(96),CHAR(34)),$A709)),ISNUMBER(SEARCH(_xlfn.CONCAT(CHAR(34),CHAR(39)),$A709))),_xlfn.CONCAT("* REVIEW REQUIRED: compound-quote delimiter in Codebook Section on Sheet 1 row ",709,"; edit the input before running."),_xlfn.CONCAT("char ",TRIM($B709),"[doc_section] ",CHAR(96),CHAR(34),SUBSTITUTE(SUBSTITUTE(SUBSTITUTE(SUBSTITUTE(SUBSTITUTE(SUBSTITUTE($A709,CHAR(13)," "),CHAR(10)," "),CHAR(9)," "),CHAR(92),_xlfn.CONCAT(CHAR(92),CHAR(92))),"$",_xlfn.CONCAT(CHAR(92),"$")),CHAR(96),_xlfn.CONCAT(CHAR(92),CHAR(96))),CHAR(34),CHAR(39))))</f>
        <v/>
      </c>
      <c r="M709" s="5" t="str">
        <f>IF(OR(TRIM($B709)="",$C709=""),"",IF(IFERROR(MATCH(TRIM($C709),{"Quantitative","Continuous","Discrete","Categorical","Nominal","Ordinal","Identifier"},0),0)=0,_xlfn.CONCAT("* REVIEW REQUIRED: invalid Variable Type on Sheet 1 row ",709,"."),_xlfn.CONCAT("char ",TRIM($B709),"[doc_vartype] ",CHAR(96),CHAR(34),SUBSTITUTE(SUBSTITUTE(SUBSTITUTE(SUBSTITUTE(SUBSTITUTE(SUBSTITUTE(LOWER(TRIM($C709)),CHAR(13)," "),CHAR(10)," "),CHAR(9)," "),CHAR(92),_xlfn.CONCAT(CHAR(92),CHAR(92))),"$",_xlfn.CONCAT(CHAR(92),"$")),CHAR(96),_xlfn.CONCAT(CHAR(92),CHAR(96))),CHAR(34),CHAR(39))))</f>
        <v/>
      </c>
      <c r="N709" s="5" t="str">
        <f>IF(OR(TRIM($B709)="",$D709=""),"",IF(OR(ISNUMBER(SEARCH(_xlfn.CONCAT(CHAR(96),CHAR(34)),$D709)),ISNUMBER(SEARCH(_xlfn.CONCAT(CHAR(34),CHAR(39)),$D709))),_xlfn.CONCAT("* REVIEW REQUIRED: compound-quote delimiter in Item Number on Sheet 1 row ",709,"; edit the input before running."),_xlfn.CONCAT("char ",TRIM($B709),"[doc_itemnum] ",CHAR(96),CHAR(34),SUBSTITUTE(SUBSTITUTE(SUBSTITUTE(SUBSTITUTE(SUBSTITUTE(SUBSTITUTE($D709,CHAR(13)," "),CHAR(10)," "),CHAR(9)," "),CHAR(92),_xlfn.CONCAT(CHAR(92),CHAR(92))),"$",_xlfn.CONCAT(CHAR(92),"$")),CHAR(96),_xlfn.CONCAT(CHAR(92),CHAR(96))),CHAR(34),CHAR(39))))</f>
        <v/>
      </c>
      <c r="O709" s="5" t="str">
        <f>IF(OR(TRIM($B709)="",$E709=""),"",IF(OR(ISNUMBER(SEARCH(_xlfn.CONCAT(CHAR(96),CHAR(34)),$E709)),ISNUMBER(SEARCH(_xlfn.CONCAT(CHAR(34),CHAR(39)),$E709))),_xlfn.CONCAT("* REVIEW REQUIRED: compound-quote delimiter in Question Wording on Sheet 1 row ",709,"; edit the input before running."),_xlfn.CONCAT("char ",TRIM($B709),"[doc_question] ",CHAR(96),CHAR(34),SUBSTITUTE(SUBSTITUTE(SUBSTITUTE(SUBSTITUTE(SUBSTITUTE(SUBSTITUTE($E709,CHAR(13)," "),CHAR(10)," "),CHAR(9)," "),CHAR(92),_xlfn.CONCAT(CHAR(92),CHAR(92))),"$",_xlfn.CONCAT(CHAR(92),"$")),CHAR(96),_xlfn.CONCAT(CHAR(92),CHAR(96))),CHAR(34),CHAR(39))))</f>
        <v/>
      </c>
      <c r="P709" s="5" t="str">
        <f>IF(OR(TRIM($B709)="",$F709=""),"",IF(OR(ISNUMBER(SEARCH(_xlfn.CONCAT(CHAR(96),CHAR(34)),$F709)),ISNUMBER(SEARCH(_xlfn.CONCAT(CHAR(34),CHAR(39)),$F709))),_xlfn.CONCAT("* REVIEW REQUIRED: compound-quote delimiter in Units on Sheet 1 row ",709,"; edit the input before running."),_xlfn.CONCAT("char ",TRIM($B709),"[doc_units] ",CHAR(96),CHAR(34),SUBSTITUTE(SUBSTITUTE(SUBSTITUTE(SUBSTITUTE(SUBSTITUTE(SUBSTITUTE($F709,CHAR(13)," "),CHAR(10)," "),CHAR(9)," "),CHAR(92),_xlfn.CONCAT(CHAR(92),CHAR(92))),"$",_xlfn.CONCAT(CHAR(92),"$")),CHAR(96),_xlfn.CONCAT(CHAR(92),CHAR(96))),CHAR(34),CHAR(39))))</f>
        <v/>
      </c>
      <c r="Q709" s="5" t="str">
        <f>IF(OR(TRIM($B709)="",$G709=""),"",IF(OR(ISNUMBER(SEARCH(_xlfn.CONCAT(CHAR(96),CHAR(34)),$G709)),ISNUMBER(SEARCH(_xlfn.CONCAT(CHAR(34),CHAR(39)),$G709))),_xlfn.CONCAT("* REVIEW REQUIRED: compound-quote delimiter in Universe on Sheet 1 row ",709,"; edit the input before running."),_xlfn.CONCAT("char ",TRIM($B709),"[doc_universe] ",CHAR(96),CHAR(34),SUBSTITUTE(SUBSTITUTE(SUBSTITUTE(SUBSTITUTE(SUBSTITUTE(SUBSTITUTE($G709,CHAR(13)," "),CHAR(10)," "),CHAR(9)," "),CHAR(92),_xlfn.CONCAT(CHAR(92),CHAR(92))),"$",_xlfn.CONCAT(CHAR(92),"$")),CHAR(96),_xlfn.CONCAT(CHAR(92),CHAR(96))),CHAR(34),CHAR(39))))</f>
        <v/>
      </c>
      <c r="R709" s="5" t="str">
        <f>IF(OR(TRIM($B709)="",$H709=""),"",IF(OR(ISNUMBER(SEARCH(_xlfn.CONCAT(CHAR(96),CHAR(34)),$H709)),ISNUMBER(SEARCH(_xlfn.CONCAT(CHAR(34),CHAR(39)),$H709))),_xlfn.CONCAT("* REVIEW REQUIRED: compound-quote delimiter in Source on Sheet 1 row ",709,"; edit the input before running."),_xlfn.CONCAT("char ",TRIM($B709),"[doc_source] ",CHAR(96),CHAR(34),SUBSTITUTE(SUBSTITUTE(SUBSTITUTE(SUBSTITUTE(SUBSTITUTE(SUBSTITUTE($H709,CHAR(13)," "),CHAR(10)," "),CHAR(9)," "),CHAR(92),_xlfn.CONCAT(CHAR(92),CHAR(92))),"$",_xlfn.CONCAT(CHAR(92),"$")),CHAR(96),_xlfn.CONCAT(CHAR(92),CHAR(96))),CHAR(34),CHAR(39))))</f>
        <v/>
      </c>
      <c r="S709" s="5" t="str">
        <f>IF(OR(TRIM($B709)="",$I709=""),"",IF(OR(ISNUMBER(SEARCH(_xlfn.CONCAT(CHAR(96),CHAR(34)),$I709)),ISNUMBER(SEARCH(_xlfn.CONCAT(CHAR(34),CHAR(39)),$I709))),_xlfn.CONCAT("* REVIEW REQUIRED: compound-quote delimiter in Derivation on Sheet 1 row ",709,"; edit the input before running."),_xlfn.CONCAT("char ",TRIM($B709),"[doc_derivation] ",CHAR(96),CHAR(34),SUBSTITUTE(SUBSTITUTE(SUBSTITUTE(SUBSTITUTE(SUBSTITUTE(SUBSTITUTE($I709,CHAR(13)," "),CHAR(10)," "),CHAR(9)," "),CHAR(92),_xlfn.CONCAT(CHAR(92),CHAR(92))),"$",_xlfn.CONCAT(CHAR(92),"$")),CHAR(96),_xlfn.CONCAT(CHAR(92),CHAR(96))),CHAR(34),CHAR(39))))</f>
        <v/>
      </c>
      <c r="T709" s="5" t="str">
        <f>IF(OR(TRIM($B709)="",$J709=""),"",IF(OR(ISNUMBER(SEARCH(_xlfn.CONCAT(CHAR(96),CHAR(34)),$J709)),ISNUMBER(SEARCH(_xlfn.CONCAT(CHAR(34),CHAR(39)),$J709))),_xlfn.CONCAT("* REVIEW REQUIRED: compound-quote delimiter in Notes on Sheet 1 row ",709,"; edit the input before running."),_xlfn.CONCAT("char ",TRIM($B709),"[doc_notes] ",CHAR(96),CHAR(34),SUBSTITUTE(SUBSTITUTE(SUBSTITUTE(SUBSTITUTE(SUBSTITUTE(SUBSTITUTE($J709,CHAR(13)," "),CHAR(10)," "),CHAR(9)," "),CHAR(92),_xlfn.CONCAT(CHAR(92),CHAR(92))),"$",_xlfn.CONCAT(CHAR(92),"$")),CHAR(96),_xlfn.CONCAT(CHAR(92),CHAR(96))),CHAR(34),CHAR(39))))</f>
        <v/>
      </c>
      <c r="U709" s="5">
        <f t="shared" si="21"/>
        <v>0</v>
      </c>
    </row>
    <row r="710" spans="3:21" ht="30" customHeight="1" x14ac:dyDescent="0.2">
      <c r="C710" s="4"/>
      <c r="K710" s="5">
        <f t="shared" si="20"/>
        <v>0</v>
      </c>
      <c r="L710" s="5" t="str">
        <f>IF(OR(TRIM($B710)="",$A710=""),"",IF(OR(ISNUMBER(SEARCH(_xlfn.CONCAT(CHAR(96),CHAR(34)),$A710)),ISNUMBER(SEARCH(_xlfn.CONCAT(CHAR(34),CHAR(39)),$A710))),_xlfn.CONCAT("* REVIEW REQUIRED: compound-quote delimiter in Codebook Section on Sheet 1 row ",710,"; edit the input before running."),_xlfn.CONCAT("char ",TRIM($B710),"[doc_section] ",CHAR(96),CHAR(34),SUBSTITUTE(SUBSTITUTE(SUBSTITUTE(SUBSTITUTE(SUBSTITUTE(SUBSTITUTE($A710,CHAR(13)," "),CHAR(10)," "),CHAR(9)," "),CHAR(92),_xlfn.CONCAT(CHAR(92),CHAR(92))),"$",_xlfn.CONCAT(CHAR(92),"$")),CHAR(96),_xlfn.CONCAT(CHAR(92),CHAR(96))),CHAR(34),CHAR(39))))</f>
        <v/>
      </c>
      <c r="M710" s="5" t="str">
        <f>IF(OR(TRIM($B710)="",$C710=""),"",IF(IFERROR(MATCH(TRIM($C710),{"Quantitative","Continuous","Discrete","Categorical","Nominal","Ordinal","Identifier"},0),0)=0,_xlfn.CONCAT("* REVIEW REQUIRED: invalid Variable Type on Sheet 1 row ",710,"."),_xlfn.CONCAT("char ",TRIM($B710),"[doc_vartype] ",CHAR(96),CHAR(34),SUBSTITUTE(SUBSTITUTE(SUBSTITUTE(SUBSTITUTE(SUBSTITUTE(SUBSTITUTE(LOWER(TRIM($C710)),CHAR(13)," "),CHAR(10)," "),CHAR(9)," "),CHAR(92),_xlfn.CONCAT(CHAR(92),CHAR(92))),"$",_xlfn.CONCAT(CHAR(92),"$")),CHAR(96),_xlfn.CONCAT(CHAR(92),CHAR(96))),CHAR(34),CHAR(39))))</f>
        <v/>
      </c>
      <c r="N710" s="5" t="str">
        <f>IF(OR(TRIM($B710)="",$D710=""),"",IF(OR(ISNUMBER(SEARCH(_xlfn.CONCAT(CHAR(96),CHAR(34)),$D710)),ISNUMBER(SEARCH(_xlfn.CONCAT(CHAR(34),CHAR(39)),$D710))),_xlfn.CONCAT("* REVIEW REQUIRED: compound-quote delimiter in Item Number on Sheet 1 row ",710,"; edit the input before running."),_xlfn.CONCAT("char ",TRIM($B710),"[doc_itemnum] ",CHAR(96),CHAR(34),SUBSTITUTE(SUBSTITUTE(SUBSTITUTE(SUBSTITUTE(SUBSTITUTE(SUBSTITUTE($D710,CHAR(13)," "),CHAR(10)," "),CHAR(9)," "),CHAR(92),_xlfn.CONCAT(CHAR(92),CHAR(92))),"$",_xlfn.CONCAT(CHAR(92),"$")),CHAR(96),_xlfn.CONCAT(CHAR(92),CHAR(96))),CHAR(34),CHAR(39))))</f>
        <v/>
      </c>
      <c r="O710" s="5" t="str">
        <f>IF(OR(TRIM($B710)="",$E710=""),"",IF(OR(ISNUMBER(SEARCH(_xlfn.CONCAT(CHAR(96),CHAR(34)),$E710)),ISNUMBER(SEARCH(_xlfn.CONCAT(CHAR(34),CHAR(39)),$E710))),_xlfn.CONCAT("* REVIEW REQUIRED: compound-quote delimiter in Question Wording on Sheet 1 row ",710,"; edit the input before running."),_xlfn.CONCAT("char ",TRIM($B710),"[doc_question] ",CHAR(96),CHAR(34),SUBSTITUTE(SUBSTITUTE(SUBSTITUTE(SUBSTITUTE(SUBSTITUTE(SUBSTITUTE($E710,CHAR(13)," "),CHAR(10)," "),CHAR(9)," "),CHAR(92),_xlfn.CONCAT(CHAR(92),CHAR(92))),"$",_xlfn.CONCAT(CHAR(92),"$")),CHAR(96),_xlfn.CONCAT(CHAR(92),CHAR(96))),CHAR(34),CHAR(39))))</f>
        <v/>
      </c>
      <c r="P710" s="5" t="str">
        <f>IF(OR(TRIM($B710)="",$F710=""),"",IF(OR(ISNUMBER(SEARCH(_xlfn.CONCAT(CHAR(96),CHAR(34)),$F710)),ISNUMBER(SEARCH(_xlfn.CONCAT(CHAR(34),CHAR(39)),$F710))),_xlfn.CONCAT("* REVIEW REQUIRED: compound-quote delimiter in Units on Sheet 1 row ",710,"; edit the input before running."),_xlfn.CONCAT("char ",TRIM($B710),"[doc_units] ",CHAR(96),CHAR(34),SUBSTITUTE(SUBSTITUTE(SUBSTITUTE(SUBSTITUTE(SUBSTITUTE(SUBSTITUTE($F710,CHAR(13)," "),CHAR(10)," "),CHAR(9)," "),CHAR(92),_xlfn.CONCAT(CHAR(92),CHAR(92))),"$",_xlfn.CONCAT(CHAR(92),"$")),CHAR(96),_xlfn.CONCAT(CHAR(92),CHAR(96))),CHAR(34),CHAR(39))))</f>
        <v/>
      </c>
      <c r="Q710" s="5" t="str">
        <f>IF(OR(TRIM($B710)="",$G710=""),"",IF(OR(ISNUMBER(SEARCH(_xlfn.CONCAT(CHAR(96),CHAR(34)),$G710)),ISNUMBER(SEARCH(_xlfn.CONCAT(CHAR(34),CHAR(39)),$G710))),_xlfn.CONCAT("* REVIEW REQUIRED: compound-quote delimiter in Universe on Sheet 1 row ",710,"; edit the input before running."),_xlfn.CONCAT("char ",TRIM($B710),"[doc_universe] ",CHAR(96),CHAR(34),SUBSTITUTE(SUBSTITUTE(SUBSTITUTE(SUBSTITUTE(SUBSTITUTE(SUBSTITUTE($G710,CHAR(13)," "),CHAR(10)," "),CHAR(9)," "),CHAR(92),_xlfn.CONCAT(CHAR(92),CHAR(92))),"$",_xlfn.CONCAT(CHAR(92),"$")),CHAR(96),_xlfn.CONCAT(CHAR(92),CHAR(96))),CHAR(34),CHAR(39))))</f>
        <v/>
      </c>
      <c r="R710" s="5" t="str">
        <f>IF(OR(TRIM($B710)="",$H710=""),"",IF(OR(ISNUMBER(SEARCH(_xlfn.CONCAT(CHAR(96),CHAR(34)),$H710)),ISNUMBER(SEARCH(_xlfn.CONCAT(CHAR(34),CHAR(39)),$H710))),_xlfn.CONCAT("* REVIEW REQUIRED: compound-quote delimiter in Source on Sheet 1 row ",710,"; edit the input before running."),_xlfn.CONCAT("char ",TRIM($B710),"[doc_source] ",CHAR(96),CHAR(34),SUBSTITUTE(SUBSTITUTE(SUBSTITUTE(SUBSTITUTE(SUBSTITUTE(SUBSTITUTE($H710,CHAR(13)," "),CHAR(10)," "),CHAR(9)," "),CHAR(92),_xlfn.CONCAT(CHAR(92),CHAR(92))),"$",_xlfn.CONCAT(CHAR(92),"$")),CHAR(96),_xlfn.CONCAT(CHAR(92),CHAR(96))),CHAR(34),CHAR(39))))</f>
        <v/>
      </c>
      <c r="S710" s="5" t="str">
        <f>IF(OR(TRIM($B710)="",$I710=""),"",IF(OR(ISNUMBER(SEARCH(_xlfn.CONCAT(CHAR(96),CHAR(34)),$I710)),ISNUMBER(SEARCH(_xlfn.CONCAT(CHAR(34),CHAR(39)),$I710))),_xlfn.CONCAT("* REVIEW REQUIRED: compound-quote delimiter in Derivation on Sheet 1 row ",710,"; edit the input before running."),_xlfn.CONCAT("char ",TRIM($B710),"[doc_derivation] ",CHAR(96),CHAR(34),SUBSTITUTE(SUBSTITUTE(SUBSTITUTE(SUBSTITUTE(SUBSTITUTE(SUBSTITUTE($I710,CHAR(13)," "),CHAR(10)," "),CHAR(9)," "),CHAR(92),_xlfn.CONCAT(CHAR(92),CHAR(92))),"$",_xlfn.CONCAT(CHAR(92),"$")),CHAR(96),_xlfn.CONCAT(CHAR(92),CHAR(96))),CHAR(34),CHAR(39))))</f>
        <v/>
      </c>
      <c r="T710" s="5" t="str">
        <f>IF(OR(TRIM($B710)="",$J710=""),"",IF(OR(ISNUMBER(SEARCH(_xlfn.CONCAT(CHAR(96),CHAR(34)),$J710)),ISNUMBER(SEARCH(_xlfn.CONCAT(CHAR(34),CHAR(39)),$J710))),_xlfn.CONCAT("* REVIEW REQUIRED: compound-quote delimiter in Notes on Sheet 1 row ",710,"; edit the input before running."),_xlfn.CONCAT("char ",TRIM($B710),"[doc_notes] ",CHAR(96),CHAR(34),SUBSTITUTE(SUBSTITUTE(SUBSTITUTE(SUBSTITUTE(SUBSTITUTE(SUBSTITUTE($J710,CHAR(13)," "),CHAR(10)," "),CHAR(9)," "),CHAR(92),_xlfn.CONCAT(CHAR(92),CHAR(92))),"$",_xlfn.CONCAT(CHAR(92),"$")),CHAR(96),_xlfn.CONCAT(CHAR(92),CHAR(96))),CHAR(34),CHAR(39))))</f>
        <v/>
      </c>
      <c r="U710" s="5">
        <f t="shared" si="21"/>
        <v>0</v>
      </c>
    </row>
    <row r="711" spans="3:21" ht="30" customHeight="1" x14ac:dyDescent="0.2">
      <c r="C711" s="4"/>
      <c r="K711" s="5">
        <f t="shared" si="20"/>
        <v>0</v>
      </c>
      <c r="L711" s="5" t="str">
        <f>IF(OR(TRIM($B711)="",$A711=""),"",IF(OR(ISNUMBER(SEARCH(_xlfn.CONCAT(CHAR(96),CHAR(34)),$A711)),ISNUMBER(SEARCH(_xlfn.CONCAT(CHAR(34),CHAR(39)),$A711))),_xlfn.CONCAT("* REVIEW REQUIRED: compound-quote delimiter in Codebook Section on Sheet 1 row ",711,"; edit the input before running."),_xlfn.CONCAT("char ",TRIM($B711),"[doc_section] ",CHAR(96),CHAR(34),SUBSTITUTE(SUBSTITUTE(SUBSTITUTE(SUBSTITUTE(SUBSTITUTE(SUBSTITUTE($A711,CHAR(13)," "),CHAR(10)," "),CHAR(9)," "),CHAR(92),_xlfn.CONCAT(CHAR(92),CHAR(92))),"$",_xlfn.CONCAT(CHAR(92),"$")),CHAR(96),_xlfn.CONCAT(CHAR(92),CHAR(96))),CHAR(34),CHAR(39))))</f>
        <v/>
      </c>
      <c r="M711" s="5" t="str">
        <f>IF(OR(TRIM($B711)="",$C711=""),"",IF(IFERROR(MATCH(TRIM($C711),{"Quantitative","Continuous","Discrete","Categorical","Nominal","Ordinal","Identifier"},0),0)=0,_xlfn.CONCAT("* REVIEW REQUIRED: invalid Variable Type on Sheet 1 row ",711,"."),_xlfn.CONCAT("char ",TRIM($B711),"[doc_vartype] ",CHAR(96),CHAR(34),SUBSTITUTE(SUBSTITUTE(SUBSTITUTE(SUBSTITUTE(SUBSTITUTE(SUBSTITUTE(LOWER(TRIM($C711)),CHAR(13)," "),CHAR(10)," "),CHAR(9)," "),CHAR(92),_xlfn.CONCAT(CHAR(92),CHAR(92))),"$",_xlfn.CONCAT(CHAR(92),"$")),CHAR(96),_xlfn.CONCAT(CHAR(92),CHAR(96))),CHAR(34),CHAR(39))))</f>
        <v/>
      </c>
      <c r="N711" s="5" t="str">
        <f>IF(OR(TRIM($B711)="",$D711=""),"",IF(OR(ISNUMBER(SEARCH(_xlfn.CONCAT(CHAR(96),CHAR(34)),$D711)),ISNUMBER(SEARCH(_xlfn.CONCAT(CHAR(34),CHAR(39)),$D711))),_xlfn.CONCAT("* REVIEW REQUIRED: compound-quote delimiter in Item Number on Sheet 1 row ",711,"; edit the input before running."),_xlfn.CONCAT("char ",TRIM($B711),"[doc_itemnum] ",CHAR(96),CHAR(34),SUBSTITUTE(SUBSTITUTE(SUBSTITUTE(SUBSTITUTE(SUBSTITUTE(SUBSTITUTE($D711,CHAR(13)," "),CHAR(10)," "),CHAR(9)," "),CHAR(92),_xlfn.CONCAT(CHAR(92),CHAR(92))),"$",_xlfn.CONCAT(CHAR(92),"$")),CHAR(96),_xlfn.CONCAT(CHAR(92),CHAR(96))),CHAR(34),CHAR(39))))</f>
        <v/>
      </c>
      <c r="O711" s="5" t="str">
        <f>IF(OR(TRIM($B711)="",$E711=""),"",IF(OR(ISNUMBER(SEARCH(_xlfn.CONCAT(CHAR(96),CHAR(34)),$E711)),ISNUMBER(SEARCH(_xlfn.CONCAT(CHAR(34),CHAR(39)),$E711))),_xlfn.CONCAT("* REVIEW REQUIRED: compound-quote delimiter in Question Wording on Sheet 1 row ",711,"; edit the input before running."),_xlfn.CONCAT("char ",TRIM($B711),"[doc_question] ",CHAR(96),CHAR(34),SUBSTITUTE(SUBSTITUTE(SUBSTITUTE(SUBSTITUTE(SUBSTITUTE(SUBSTITUTE($E711,CHAR(13)," "),CHAR(10)," "),CHAR(9)," "),CHAR(92),_xlfn.CONCAT(CHAR(92),CHAR(92))),"$",_xlfn.CONCAT(CHAR(92),"$")),CHAR(96),_xlfn.CONCAT(CHAR(92),CHAR(96))),CHAR(34),CHAR(39))))</f>
        <v/>
      </c>
      <c r="P711" s="5" t="str">
        <f>IF(OR(TRIM($B711)="",$F711=""),"",IF(OR(ISNUMBER(SEARCH(_xlfn.CONCAT(CHAR(96),CHAR(34)),$F711)),ISNUMBER(SEARCH(_xlfn.CONCAT(CHAR(34),CHAR(39)),$F711))),_xlfn.CONCAT("* REVIEW REQUIRED: compound-quote delimiter in Units on Sheet 1 row ",711,"; edit the input before running."),_xlfn.CONCAT("char ",TRIM($B711),"[doc_units] ",CHAR(96),CHAR(34),SUBSTITUTE(SUBSTITUTE(SUBSTITUTE(SUBSTITUTE(SUBSTITUTE(SUBSTITUTE($F711,CHAR(13)," "),CHAR(10)," "),CHAR(9)," "),CHAR(92),_xlfn.CONCAT(CHAR(92),CHAR(92))),"$",_xlfn.CONCAT(CHAR(92),"$")),CHAR(96),_xlfn.CONCAT(CHAR(92),CHAR(96))),CHAR(34),CHAR(39))))</f>
        <v/>
      </c>
      <c r="Q711" s="5" t="str">
        <f>IF(OR(TRIM($B711)="",$G711=""),"",IF(OR(ISNUMBER(SEARCH(_xlfn.CONCAT(CHAR(96),CHAR(34)),$G711)),ISNUMBER(SEARCH(_xlfn.CONCAT(CHAR(34),CHAR(39)),$G711))),_xlfn.CONCAT("* REVIEW REQUIRED: compound-quote delimiter in Universe on Sheet 1 row ",711,"; edit the input before running."),_xlfn.CONCAT("char ",TRIM($B711),"[doc_universe] ",CHAR(96),CHAR(34),SUBSTITUTE(SUBSTITUTE(SUBSTITUTE(SUBSTITUTE(SUBSTITUTE(SUBSTITUTE($G711,CHAR(13)," "),CHAR(10)," "),CHAR(9)," "),CHAR(92),_xlfn.CONCAT(CHAR(92),CHAR(92))),"$",_xlfn.CONCAT(CHAR(92),"$")),CHAR(96),_xlfn.CONCAT(CHAR(92),CHAR(96))),CHAR(34),CHAR(39))))</f>
        <v/>
      </c>
      <c r="R711" s="5" t="str">
        <f>IF(OR(TRIM($B711)="",$H711=""),"",IF(OR(ISNUMBER(SEARCH(_xlfn.CONCAT(CHAR(96),CHAR(34)),$H711)),ISNUMBER(SEARCH(_xlfn.CONCAT(CHAR(34),CHAR(39)),$H711))),_xlfn.CONCAT("* REVIEW REQUIRED: compound-quote delimiter in Source on Sheet 1 row ",711,"; edit the input before running."),_xlfn.CONCAT("char ",TRIM($B711),"[doc_source] ",CHAR(96),CHAR(34),SUBSTITUTE(SUBSTITUTE(SUBSTITUTE(SUBSTITUTE(SUBSTITUTE(SUBSTITUTE($H711,CHAR(13)," "),CHAR(10)," "),CHAR(9)," "),CHAR(92),_xlfn.CONCAT(CHAR(92),CHAR(92))),"$",_xlfn.CONCAT(CHAR(92),"$")),CHAR(96),_xlfn.CONCAT(CHAR(92),CHAR(96))),CHAR(34),CHAR(39))))</f>
        <v/>
      </c>
      <c r="S711" s="5" t="str">
        <f>IF(OR(TRIM($B711)="",$I711=""),"",IF(OR(ISNUMBER(SEARCH(_xlfn.CONCAT(CHAR(96),CHAR(34)),$I711)),ISNUMBER(SEARCH(_xlfn.CONCAT(CHAR(34),CHAR(39)),$I711))),_xlfn.CONCAT("* REVIEW REQUIRED: compound-quote delimiter in Derivation on Sheet 1 row ",711,"; edit the input before running."),_xlfn.CONCAT("char ",TRIM($B711),"[doc_derivation] ",CHAR(96),CHAR(34),SUBSTITUTE(SUBSTITUTE(SUBSTITUTE(SUBSTITUTE(SUBSTITUTE(SUBSTITUTE($I711,CHAR(13)," "),CHAR(10)," "),CHAR(9)," "),CHAR(92),_xlfn.CONCAT(CHAR(92),CHAR(92))),"$",_xlfn.CONCAT(CHAR(92),"$")),CHAR(96),_xlfn.CONCAT(CHAR(92),CHAR(96))),CHAR(34),CHAR(39))))</f>
        <v/>
      </c>
      <c r="T711" s="5" t="str">
        <f>IF(OR(TRIM($B711)="",$J711=""),"",IF(OR(ISNUMBER(SEARCH(_xlfn.CONCAT(CHAR(96),CHAR(34)),$J711)),ISNUMBER(SEARCH(_xlfn.CONCAT(CHAR(34),CHAR(39)),$J711))),_xlfn.CONCAT("* REVIEW REQUIRED: compound-quote delimiter in Notes on Sheet 1 row ",711,"; edit the input before running."),_xlfn.CONCAT("char ",TRIM($B711),"[doc_notes] ",CHAR(96),CHAR(34),SUBSTITUTE(SUBSTITUTE(SUBSTITUTE(SUBSTITUTE(SUBSTITUTE(SUBSTITUTE($J711,CHAR(13)," "),CHAR(10)," "),CHAR(9)," "),CHAR(92),_xlfn.CONCAT(CHAR(92),CHAR(92))),"$",_xlfn.CONCAT(CHAR(92),"$")),CHAR(96),_xlfn.CONCAT(CHAR(92),CHAR(96))),CHAR(34),CHAR(39))))</f>
        <v/>
      </c>
      <c r="U711" s="5">
        <f t="shared" si="21"/>
        <v>0</v>
      </c>
    </row>
    <row r="712" spans="3:21" ht="30" customHeight="1" x14ac:dyDescent="0.2">
      <c r="C712" s="4"/>
      <c r="K712" s="5">
        <f t="shared" si="20"/>
        <v>0</v>
      </c>
      <c r="L712" s="5" t="str">
        <f>IF(OR(TRIM($B712)="",$A712=""),"",IF(OR(ISNUMBER(SEARCH(_xlfn.CONCAT(CHAR(96),CHAR(34)),$A712)),ISNUMBER(SEARCH(_xlfn.CONCAT(CHAR(34),CHAR(39)),$A712))),_xlfn.CONCAT("* REVIEW REQUIRED: compound-quote delimiter in Codebook Section on Sheet 1 row ",712,"; edit the input before running."),_xlfn.CONCAT("char ",TRIM($B712),"[doc_section] ",CHAR(96),CHAR(34),SUBSTITUTE(SUBSTITUTE(SUBSTITUTE(SUBSTITUTE(SUBSTITUTE(SUBSTITUTE($A712,CHAR(13)," "),CHAR(10)," "),CHAR(9)," "),CHAR(92),_xlfn.CONCAT(CHAR(92),CHAR(92))),"$",_xlfn.CONCAT(CHAR(92),"$")),CHAR(96),_xlfn.CONCAT(CHAR(92),CHAR(96))),CHAR(34),CHAR(39))))</f>
        <v/>
      </c>
      <c r="M712" s="5" t="str">
        <f>IF(OR(TRIM($B712)="",$C712=""),"",IF(IFERROR(MATCH(TRIM($C712),{"Quantitative","Continuous","Discrete","Categorical","Nominal","Ordinal","Identifier"},0),0)=0,_xlfn.CONCAT("* REVIEW REQUIRED: invalid Variable Type on Sheet 1 row ",712,"."),_xlfn.CONCAT("char ",TRIM($B712),"[doc_vartype] ",CHAR(96),CHAR(34),SUBSTITUTE(SUBSTITUTE(SUBSTITUTE(SUBSTITUTE(SUBSTITUTE(SUBSTITUTE(LOWER(TRIM($C712)),CHAR(13)," "),CHAR(10)," "),CHAR(9)," "),CHAR(92),_xlfn.CONCAT(CHAR(92),CHAR(92))),"$",_xlfn.CONCAT(CHAR(92),"$")),CHAR(96),_xlfn.CONCAT(CHAR(92),CHAR(96))),CHAR(34),CHAR(39))))</f>
        <v/>
      </c>
      <c r="N712" s="5" t="str">
        <f>IF(OR(TRIM($B712)="",$D712=""),"",IF(OR(ISNUMBER(SEARCH(_xlfn.CONCAT(CHAR(96),CHAR(34)),$D712)),ISNUMBER(SEARCH(_xlfn.CONCAT(CHAR(34),CHAR(39)),$D712))),_xlfn.CONCAT("* REVIEW REQUIRED: compound-quote delimiter in Item Number on Sheet 1 row ",712,"; edit the input before running."),_xlfn.CONCAT("char ",TRIM($B712),"[doc_itemnum] ",CHAR(96),CHAR(34),SUBSTITUTE(SUBSTITUTE(SUBSTITUTE(SUBSTITUTE(SUBSTITUTE(SUBSTITUTE($D712,CHAR(13)," "),CHAR(10)," "),CHAR(9)," "),CHAR(92),_xlfn.CONCAT(CHAR(92),CHAR(92))),"$",_xlfn.CONCAT(CHAR(92),"$")),CHAR(96),_xlfn.CONCAT(CHAR(92),CHAR(96))),CHAR(34),CHAR(39))))</f>
        <v/>
      </c>
      <c r="O712" s="5" t="str">
        <f>IF(OR(TRIM($B712)="",$E712=""),"",IF(OR(ISNUMBER(SEARCH(_xlfn.CONCAT(CHAR(96),CHAR(34)),$E712)),ISNUMBER(SEARCH(_xlfn.CONCAT(CHAR(34),CHAR(39)),$E712))),_xlfn.CONCAT("* REVIEW REQUIRED: compound-quote delimiter in Question Wording on Sheet 1 row ",712,"; edit the input before running."),_xlfn.CONCAT("char ",TRIM($B712),"[doc_question] ",CHAR(96),CHAR(34),SUBSTITUTE(SUBSTITUTE(SUBSTITUTE(SUBSTITUTE(SUBSTITUTE(SUBSTITUTE($E712,CHAR(13)," "),CHAR(10)," "),CHAR(9)," "),CHAR(92),_xlfn.CONCAT(CHAR(92),CHAR(92))),"$",_xlfn.CONCAT(CHAR(92),"$")),CHAR(96),_xlfn.CONCAT(CHAR(92),CHAR(96))),CHAR(34),CHAR(39))))</f>
        <v/>
      </c>
      <c r="P712" s="5" t="str">
        <f>IF(OR(TRIM($B712)="",$F712=""),"",IF(OR(ISNUMBER(SEARCH(_xlfn.CONCAT(CHAR(96),CHAR(34)),$F712)),ISNUMBER(SEARCH(_xlfn.CONCAT(CHAR(34),CHAR(39)),$F712))),_xlfn.CONCAT("* REVIEW REQUIRED: compound-quote delimiter in Units on Sheet 1 row ",712,"; edit the input before running."),_xlfn.CONCAT("char ",TRIM($B712),"[doc_units] ",CHAR(96),CHAR(34),SUBSTITUTE(SUBSTITUTE(SUBSTITUTE(SUBSTITUTE(SUBSTITUTE(SUBSTITUTE($F712,CHAR(13)," "),CHAR(10)," "),CHAR(9)," "),CHAR(92),_xlfn.CONCAT(CHAR(92),CHAR(92))),"$",_xlfn.CONCAT(CHAR(92),"$")),CHAR(96),_xlfn.CONCAT(CHAR(92),CHAR(96))),CHAR(34),CHAR(39))))</f>
        <v/>
      </c>
      <c r="Q712" s="5" t="str">
        <f>IF(OR(TRIM($B712)="",$G712=""),"",IF(OR(ISNUMBER(SEARCH(_xlfn.CONCAT(CHAR(96),CHAR(34)),$G712)),ISNUMBER(SEARCH(_xlfn.CONCAT(CHAR(34),CHAR(39)),$G712))),_xlfn.CONCAT("* REVIEW REQUIRED: compound-quote delimiter in Universe on Sheet 1 row ",712,"; edit the input before running."),_xlfn.CONCAT("char ",TRIM($B712),"[doc_universe] ",CHAR(96),CHAR(34),SUBSTITUTE(SUBSTITUTE(SUBSTITUTE(SUBSTITUTE(SUBSTITUTE(SUBSTITUTE($G712,CHAR(13)," "),CHAR(10)," "),CHAR(9)," "),CHAR(92),_xlfn.CONCAT(CHAR(92),CHAR(92))),"$",_xlfn.CONCAT(CHAR(92),"$")),CHAR(96),_xlfn.CONCAT(CHAR(92),CHAR(96))),CHAR(34),CHAR(39))))</f>
        <v/>
      </c>
      <c r="R712" s="5" t="str">
        <f>IF(OR(TRIM($B712)="",$H712=""),"",IF(OR(ISNUMBER(SEARCH(_xlfn.CONCAT(CHAR(96),CHAR(34)),$H712)),ISNUMBER(SEARCH(_xlfn.CONCAT(CHAR(34),CHAR(39)),$H712))),_xlfn.CONCAT("* REVIEW REQUIRED: compound-quote delimiter in Source on Sheet 1 row ",712,"; edit the input before running."),_xlfn.CONCAT("char ",TRIM($B712),"[doc_source] ",CHAR(96),CHAR(34),SUBSTITUTE(SUBSTITUTE(SUBSTITUTE(SUBSTITUTE(SUBSTITUTE(SUBSTITUTE($H712,CHAR(13)," "),CHAR(10)," "),CHAR(9)," "),CHAR(92),_xlfn.CONCAT(CHAR(92),CHAR(92))),"$",_xlfn.CONCAT(CHAR(92),"$")),CHAR(96),_xlfn.CONCAT(CHAR(92),CHAR(96))),CHAR(34),CHAR(39))))</f>
        <v/>
      </c>
      <c r="S712" s="5" t="str">
        <f>IF(OR(TRIM($B712)="",$I712=""),"",IF(OR(ISNUMBER(SEARCH(_xlfn.CONCAT(CHAR(96),CHAR(34)),$I712)),ISNUMBER(SEARCH(_xlfn.CONCAT(CHAR(34),CHAR(39)),$I712))),_xlfn.CONCAT("* REVIEW REQUIRED: compound-quote delimiter in Derivation on Sheet 1 row ",712,"; edit the input before running."),_xlfn.CONCAT("char ",TRIM($B712),"[doc_derivation] ",CHAR(96),CHAR(34),SUBSTITUTE(SUBSTITUTE(SUBSTITUTE(SUBSTITUTE(SUBSTITUTE(SUBSTITUTE($I712,CHAR(13)," "),CHAR(10)," "),CHAR(9)," "),CHAR(92),_xlfn.CONCAT(CHAR(92),CHAR(92))),"$",_xlfn.CONCAT(CHAR(92),"$")),CHAR(96),_xlfn.CONCAT(CHAR(92),CHAR(96))),CHAR(34),CHAR(39))))</f>
        <v/>
      </c>
      <c r="T712" s="5" t="str">
        <f>IF(OR(TRIM($B712)="",$J712=""),"",IF(OR(ISNUMBER(SEARCH(_xlfn.CONCAT(CHAR(96),CHAR(34)),$J712)),ISNUMBER(SEARCH(_xlfn.CONCAT(CHAR(34),CHAR(39)),$J712))),_xlfn.CONCAT("* REVIEW REQUIRED: compound-quote delimiter in Notes on Sheet 1 row ",712,"; edit the input before running."),_xlfn.CONCAT("char ",TRIM($B712),"[doc_notes] ",CHAR(96),CHAR(34),SUBSTITUTE(SUBSTITUTE(SUBSTITUTE(SUBSTITUTE(SUBSTITUTE(SUBSTITUTE($J712,CHAR(13)," "),CHAR(10)," "),CHAR(9)," "),CHAR(92),_xlfn.CONCAT(CHAR(92),CHAR(92))),"$",_xlfn.CONCAT(CHAR(92),"$")),CHAR(96),_xlfn.CONCAT(CHAR(92),CHAR(96))),CHAR(34),CHAR(39))))</f>
        <v/>
      </c>
      <c r="U712" s="5">
        <f t="shared" si="21"/>
        <v>0</v>
      </c>
    </row>
    <row r="713" spans="3:21" ht="30" customHeight="1" x14ac:dyDescent="0.2">
      <c r="C713" s="4"/>
      <c r="K713" s="5">
        <f t="shared" si="20"/>
        <v>0</v>
      </c>
      <c r="L713" s="5" t="str">
        <f>IF(OR(TRIM($B713)="",$A713=""),"",IF(OR(ISNUMBER(SEARCH(_xlfn.CONCAT(CHAR(96),CHAR(34)),$A713)),ISNUMBER(SEARCH(_xlfn.CONCAT(CHAR(34),CHAR(39)),$A713))),_xlfn.CONCAT("* REVIEW REQUIRED: compound-quote delimiter in Codebook Section on Sheet 1 row ",713,"; edit the input before running."),_xlfn.CONCAT("char ",TRIM($B713),"[doc_section] ",CHAR(96),CHAR(34),SUBSTITUTE(SUBSTITUTE(SUBSTITUTE(SUBSTITUTE(SUBSTITUTE(SUBSTITUTE($A713,CHAR(13)," "),CHAR(10)," "),CHAR(9)," "),CHAR(92),_xlfn.CONCAT(CHAR(92),CHAR(92))),"$",_xlfn.CONCAT(CHAR(92),"$")),CHAR(96),_xlfn.CONCAT(CHAR(92),CHAR(96))),CHAR(34),CHAR(39))))</f>
        <v/>
      </c>
      <c r="M713" s="5" t="str">
        <f>IF(OR(TRIM($B713)="",$C713=""),"",IF(IFERROR(MATCH(TRIM($C713),{"Quantitative","Continuous","Discrete","Categorical","Nominal","Ordinal","Identifier"},0),0)=0,_xlfn.CONCAT("* REVIEW REQUIRED: invalid Variable Type on Sheet 1 row ",713,"."),_xlfn.CONCAT("char ",TRIM($B713),"[doc_vartype] ",CHAR(96),CHAR(34),SUBSTITUTE(SUBSTITUTE(SUBSTITUTE(SUBSTITUTE(SUBSTITUTE(SUBSTITUTE(LOWER(TRIM($C713)),CHAR(13)," "),CHAR(10)," "),CHAR(9)," "),CHAR(92),_xlfn.CONCAT(CHAR(92),CHAR(92))),"$",_xlfn.CONCAT(CHAR(92),"$")),CHAR(96),_xlfn.CONCAT(CHAR(92),CHAR(96))),CHAR(34),CHAR(39))))</f>
        <v/>
      </c>
      <c r="N713" s="5" t="str">
        <f>IF(OR(TRIM($B713)="",$D713=""),"",IF(OR(ISNUMBER(SEARCH(_xlfn.CONCAT(CHAR(96),CHAR(34)),$D713)),ISNUMBER(SEARCH(_xlfn.CONCAT(CHAR(34),CHAR(39)),$D713))),_xlfn.CONCAT("* REVIEW REQUIRED: compound-quote delimiter in Item Number on Sheet 1 row ",713,"; edit the input before running."),_xlfn.CONCAT("char ",TRIM($B713),"[doc_itemnum] ",CHAR(96),CHAR(34),SUBSTITUTE(SUBSTITUTE(SUBSTITUTE(SUBSTITUTE(SUBSTITUTE(SUBSTITUTE($D713,CHAR(13)," "),CHAR(10)," "),CHAR(9)," "),CHAR(92),_xlfn.CONCAT(CHAR(92),CHAR(92))),"$",_xlfn.CONCAT(CHAR(92),"$")),CHAR(96),_xlfn.CONCAT(CHAR(92),CHAR(96))),CHAR(34),CHAR(39))))</f>
        <v/>
      </c>
      <c r="O713" s="5" t="str">
        <f>IF(OR(TRIM($B713)="",$E713=""),"",IF(OR(ISNUMBER(SEARCH(_xlfn.CONCAT(CHAR(96),CHAR(34)),$E713)),ISNUMBER(SEARCH(_xlfn.CONCAT(CHAR(34),CHAR(39)),$E713))),_xlfn.CONCAT("* REVIEW REQUIRED: compound-quote delimiter in Question Wording on Sheet 1 row ",713,"; edit the input before running."),_xlfn.CONCAT("char ",TRIM($B713),"[doc_question] ",CHAR(96),CHAR(34),SUBSTITUTE(SUBSTITUTE(SUBSTITUTE(SUBSTITUTE(SUBSTITUTE(SUBSTITUTE($E713,CHAR(13)," "),CHAR(10)," "),CHAR(9)," "),CHAR(92),_xlfn.CONCAT(CHAR(92),CHAR(92))),"$",_xlfn.CONCAT(CHAR(92),"$")),CHAR(96),_xlfn.CONCAT(CHAR(92),CHAR(96))),CHAR(34),CHAR(39))))</f>
        <v/>
      </c>
      <c r="P713" s="5" t="str">
        <f>IF(OR(TRIM($B713)="",$F713=""),"",IF(OR(ISNUMBER(SEARCH(_xlfn.CONCAT(CHAR(96),CHAR(34)),$F713)),ISNUMBER(SEARCH(_xlfn.CONCAT(CHAR(34),CHAR(39)),$F713))),_xlfn.CONCAT("* REVIEW REQUIRED: compound-quote delimiter in Units on Sheet 1 row ",713,"; edit the input before running."),_xlfn.CONCAT("char ",TRIM($B713),"[doc_units] ",CHAR(96),CHAR(34),SUBSTITUTE(SUBSTITUTE(SUBSTITUTE(SUBSTITUTE(SUBSTITUTE(SUBSTITUTE($F713,CHAR(13)," "),CHAR(10)," "),CHAR(9)," "),CHAR(92),_xlfn.CONCAT(CHAR(92),CHAR(92))),"$",_xlfn.CONCAT(CHAR(92),"$")),CHAR(96),_xlfn.CONCAT(CHAR(92),CHAR(96))),CHAR(34),CHAR(39))))</f>
        <v/>
      </c>
      <c r="Q713" s="5" t="str">
        <f>IF(OR(TRIM($B713)="",$G713=""),"",IF(OR(ISNUMBER(SEARCH(_xlfn.CONCAT(CHAR(96),CHAR(34)),$G713)),ISNUMBER(SEARCH(_xlfn.CONCAT(CHAR(34),CHAR(39)),$G713))),_xlfn.CONCAT("* REVIEW REQUIRED: compound-quote delimiter in Universe on Sheet 1 row ",713,"; edit the input before running."),_xlfn.CONCAT("char ",TRIM($B713),"[doc_universe] ",CHAR(96),CHAR(34),SUBSTITUTE(SUBSTITUTE(SUBSTITUTE(SUBSTITUTE(SUBSTITUTE(SUBSTITUTE($G713,CHAR(13)," "),CHAR(10)," "),CHAR(9)," "),CHAR(92),_xlfn.CONCAT(CHAR(92),CHAR(92))),"$",_xlfn.CONCAT(CHAR(92),"$")),CHAR(96),_xlfn.CONCAT(CHAR(92),CHAR(96))),CHAR(34),CHAR(39))))</f>
        <v/>
      </c>
      <c r="R713" s="5" t="str">
        <f>IF(OR(TRIM($B713)="",$H713=""),"",IF(OR(ISNUMBER(SEARCH(_xlfn.CONCAT(CHAR(96),CHAR(34)),$H713)),ISNUMBER(SEARCH(_xlfn.CONCAT(CHAR(34),CHAR(39)),$H713))),_xlfn.CONCAT("* REVIEW REQUIRED: compound-quote delimiter in Source on Sheet 1 row ",713,"; edit the input before running."),_xlfn.CONCAT("char ",TRIM($B713),"[doc_source] ",CHAR(96),CHAR(34),SUBSTITUTE(SUBSTITUTE(SUBSTITUTE(SUBSTITUTE(SUBSTITUTE(SUBSTITUTE($H713,CHAR(13)," "),CHAR(10)," "),CHAR(9)," "),CHAR(92),_xlfn.CONCAT(CHAR(92),CHAR(92))),"$",_xlfn.CONCAT(CHAR(92),"$")),CHAR(96),_xlfn.CONCAT(CHAR(92),CHAR(96))),CHAR(34),CHAR(39))))</f>
        <v/>
      </c>
      <c r="S713" s="5" t="str">
        <f>IF(OR(TRIM($B713)="",$I713=""),"",IF(OR(ISNUMBER(SEARCH(_xlfn.CONCAT(CHAR(96),CHAR(34)),$I713)),ISNUMBER(SEARCH(_xlfn.CONCAT(CHAR(34),CHAR(39)),$I713))),_xlfn.CONCAT("* REVIEW REQUIRED: compound-quote delimiter in Derivation on Sheet 1 row ",713,"; edit the input before running."),_xlfn.CONCAT("char ",TRIM($B713),"[doc_derivation] ",CHAR(96),CHAR(34),SUBSTITUTE(SUBSTITUTE(SUBSTITUTE(SUBSTITUTE(SUBSTITUTE(SUBSTITUTE($I713,CHAR(13)," "),CHAR(10)," "),CHAR(9)," "),CHAR(92),_xlfn.CONCAT(CHAR(92),CHAR(92))),"$",_xlfn.CONCAT(CHAR(92),"$")),CHAR(96),_xlfn.CONCAT(CHAR(92),CHAR(96))),CHAR(34),CHAR(39))))</f>
        <v/>
      </c>
      <c r="T713" s="5" t="str">
        <f>IF(OR(TRIM($B713)="",$J713=""),"",IF(OR(ISNUMBER(SEARCH(_xlfn.CONCAT(CHAR(96),CHAR(34)),$J713)),ISNUMBER(SEARCH(_xlfn.CONCAT(CHAR(34),CHAR(39)),$J713))),_xlfn.CONCAT("* REVIEW REQUIRED: compound-quote delimiter in Notes on Sheet 1 row ",713,"; edit the input before running."),_xlfn.CONCAT("char ",TRIM($B713),"[doc_notes] ",CHAR(96),CHAR(34),SUBSTITUTE(SUBSTITUTE(SUBSTITUTE(SUBSTITUTE(SUBSTITUTE(SUBSTITUTE($J713,CHAR(13)," "),CHAR(10)," "),CHAR(9)," "),CHAR(92),_xlfn.CONCAT(CHAR(92),CHAR(92))),"$",_xlfn.CONCAT(CHAR(92),"$")),CHAR(96),_xlfn.CONCAT(CHAR(92),CHAR(96))),CHAR(34),CHAR(39))))</f>
        <v/>
      </c>
      <c r="U713" s="5">
        <f t="shared" si="21"/>
        <v>0</v>
      </c>
    </row>
    <row r="714" spans="3:21" ht="30" customHeight="1" x14ac:dyDescent="0.2">
      <c r="C714" s="4"/>
      <c r="K714" s="5">
        <f t="shared" si="20"/>
        <v>0</v>
      </c>
      <c r="L714" s="5" t="str">
        <f>IF(OR(TRIM($B714)="",$A714=""),"",IF(OR(ISNUMBER(SEARCH(_xlfn.CONCAT(CHAR(96),CHAR(34)),$A714)),ISNUMBER(SEARCH(_xlfn.CONCAT(CHAR(34),CHAR(39)),$A714))),_xlfn.CONCAT("* REVIEW REQUIRED: compound-quote delimiter in Codebook Section on Sheet 1 row ",714,"; edit the input before running."),_xlfn.CONCAT("char ",TRIM($B714),"[doc_section] ",CHAR(96),CHAR(34),SUBSTITUTE(SUBSTITUTE(SUBSTITUTE(SUBSTITUTE(SUBSTITUTE(SUBSTITUTE($A714,CHAR(13)," "),CHAR(10)," "),CHAR(9)," "),CHAR(92),_xlfn.CONCAT(CHAR(92),CHAR(92))),"$",_xlfn.CONCAT(CHAR(92),"$")),CHAR(96),_xlfn.CONCAT(CHAR(92),CHAR(96))),CHAR(34),CHAR(39))))</f>
        <v/>
      </c>
      <c r="M714" s="5" t="str">
        <f>IF(OR(TRIM($B714)="",$C714=""),"",IF(IFERROR(MATCH(TRIM($C714),{"Quantitative","Continuous","Discrete","Categorical","Nominal","Ordinal","Identifier"},0),0)=0,_xlfn.CONCAT("* REVIEW REQUIRED: invalid Variable Type on Sheet 1 row ",714,"."),_xlfn.CONCAT("char ",TRIM($B714),"[doc_vartype] ",CHAR(96),CHAR(34),SUBSTITUTE(SUBSTITUTE(SUBSTITUTE(SUBSTITUTE(SUBSTITUTE(SUBSTITUTE(LOWER(TRIM($C714)),CHAR(13)," "),CHAR(10)," "),CHAR(9)," "),CHAR(92),_xlfn.CONCAT(CHAR(92),CHAR(92))),"$",_xlfn.CONCAT(CHAR(92),"$")),CHAR(96),_xlfn.CONCAT(CHAR(92),CHAR(96))),CHAR(34),CHAR(39))))</f>
        <v/>
      </c>
      <c r="N714" s="5" t="str">
        <f>IF(OR(TRIM($B714)="",$D714=""),"",IF(OR(ISNUMBER(SEARCH(_xlfn.CONCAT(CHAR(96),CHAR(34)),$D714)),ISNUMBER(SEARCH(_xlfn.CONCAT(CHAR(34),CHAR(39)),$D714))),_xlfn.CONCAT("* REVIEW REQUIRED: compound-quote delimiter in Item Number on Sheet 1 row ",714,"; edit the input before running."),_xlfn.CONCAT("char ",TRIM($B714),"[doc_itemnum] ",CHAR(96),CHAR(34),SUBSTITUTE(SUBSTITUTE(SUBSTITUTE(SUBSTITUTE(SUBSTITUTE(SUBSTITUTE($D714,CHAR(13)," "),CHAR(10)," "),CHAR(9)," "),CHAR(92),_xlfn.CONCAT(CHAR(92),CHAR(92))),"$",_xlfn.CONCAT(CHAR(92),"$")),CHAR(96),_xlfn.CONCAT(CHAR(92),CHAR(96))),CHAR(34),CHAR(39))))</f>
        <v/>
      </c>
      <c r="O714" s="5" t="str">
        <f>IF(OR(TRIM($B714)="",$E714=""),"",IF(OR(ISNUMBER(SEARCH(_xlfn.CONCAT(CHAR(96),CHAR(34)),$E714)),ISNUMBER(SEARCH(_xlfn.CONCAT(CHAR(34),CHAR(39)),$E714))),_xlfn.CONCAT("* REVIEW REQUIRED: compound-quote delimiter in Question Wording on Sheet 1 row ",714,"; edit the input before running."),_xlfn.CONCAT("char ",TRIM($B714),"[doc_question] ",CHAR(96),CHAR(34),SUBSTITUTE(SUBSTITUTE(SUBSTITUTE(SUBSTITUTE(SUBSTITUTE(SUBSTITUTE($E714,CHAR(13)," "),CHAR(10)," "),CHAR(9)," "),CHAR(92),_xlfn.CONCAT(CHAR(92),CHAR(92))),"$",_xlfn.CONCAT(CHAR(92),"$")),CHAR(96),_xlfn.CONCAT(CHAR(92),CHAR(96))),CHAR(34),CHAR(39))))</f>
        <v/>
      </c>
      <c r="P714" s="5" t="str">
        <f>IF(OR(TRIM($B714)="",$F714=""),"",IF(OR(ISNUMBER(SEARCH(_xlfn.CONCAT(CHAR(96),CHAR(34)),$F714)),ISNUMBER(SEARCH(_xlfn.CONCAT(CHAR(34),CHAR(39)),$F714))),_xlfn.CONCAT("* REVIEW REQUIRED: compound-quote delimiter in Units on Sheet 1 row ",714,"; edit the input before running."),_xlfn.CONCAT("char ",TRIM($B714),"[doc_units] ",CHAR(96),CHAR(34),SUBSTITUTE(SUBSTITUTE(SUBSTITUTE(SUBSTITUTE(SUBSTITUTE(SUBSTITUTE($F714,CHAR(13)," "),CHAR(10)," "),CHAR(9)," "),CHAR(92),_xlfn.CONCAT(CHAR(92),CHAR(92))),"$",_xlfn.CONCAT(CHAR(92),"$")),CHAR(96),_xlfn.CONCAT(CHAR(92),CHAR(96))),CHAR(34),CHAR(39))))</f>
        <v/>
      </c>
      <c r="Q714" s="5" t="str">
        <f>IF(OR(TRIM($B714)="",$G714=""),"",IF(OR(ISNUMBER(SEARCH(_xlfn.CONCAT(CHAR(96),CHAR(34)),$G714)),ISNUMBER(SEARCH(_xlfn.CONCAT(CHAR(34),CHAR(39)),$G714))),_xlfn.CONCAT("* REVIEW REQUIRED: compound-quote delimiter in Universe on Sheet 1 row ",714,"; edit the input before running."),_xlfn.CONCAT("char ",TRIM($B714),"[doc_universe] ",CHAR(96),CHAR(34),SUBSTITUTE(SUBSTITUTE(SUBSTITUTE(SUBSTITUTE(SUBSTITUTE(SUBSTITUTE($G714,CHAR(13)," "),CHAR(10)," "),CHAR(9)," "),CHAR(92),_xlfn.CONCAT(CHAR(92),CHAR(92))),"$",_xlfn.CONCAT(CHAR(92),"$")),CHAR(96),_xlfn.CONCAT(CHAR(92),CHAR(96))),CHAR(34),CHAR(39))))</f>
        <v/>
      </c>
      <c r="R714" s="5" t="str">
        <f>IF(OR(TRIM($B714)="",$H714=""),"",IF(OR(ISNUMBER(SEARCH(_xlfn.CONCAT(CHAR(96),CHAR(34)),$H714)),ISNUMBER(SEARCH(_xlfn.CONCAT(CHAR(34),CHAR(39)),$H714))),_xlfn.CONCAT("* REVIEW REQUIRED: compound-quote delimiter in Source on Sheet 1 row ",714,"; edit the input before running."),_xlfn.CONCAT("char ",TRIM($B714),"[doc_source] ",CHAR(96),CHAR(34),SUBSTITUTE(SUBSTITUTE(SUBSTITUTE(SUBSTITUTE(SUBSTITUTE(SUBSTITUTE($H714,CHAR(13)," "),CHAR(10)," "),CHAR(9)," "),CHAR(92),_xlfn.CONCAT(CHAR(92),CHAR(92))),"$",_xlfn.CONCAT(CHAR(92),"$")),CHAR(96),_xlfn.CONCAT(CHAR(92),CHAR(96))),CHAR(34),CHAR(39))))</f>
        <v/>
      </c>
      <c r="S714" s="5" t="str">
        <f>IF(OR(TRIM($B714)="",$I714=""),"",IF(OR(ISNUMBER(SEARCH(_xlfn.CONCAT(CHAR(96),CHAR(34)),$I714)),ISNUMBER(SEARCH(_xlfn.CONCAT(CHAR(34),CHAR(39)),$I714))),_xlfn.CONCAT("* REVIEW REQUIRED: compound-quote delimiter in Derivation on Sheet 1 row ",714,"; edit the input before running."),_xlfn.CONCAT("char ",TRIM($B714),"[doc_derivation] ",CHAR(96),CHAR(34),SUBSTITUTE(SUBSTITUTE(SUBSTITUTE(SUBSTITUTE(SUBSTITUTE(SUBSTITUTE($I714,CHAR(13)," "),CHAR(10)," "),CHAR(9)," "),CHAR(92),_xlfn.CONCAT(CHAR(92),CHAR(92))),"$",_xlfn.CONCAT(CHAR(92),"$")),CHAR(96),_xlfn.CONCAT(CHAR(92),CHAR(96))),CHAR(34),CHAR(39))))</f>
        <v/>
      </c>
      <c r="T714" s="5" t="str">
        <f>IF(OR(TRIM($B714)="",$J714=""),"",IF(OR(ISNUMBER(SEARCH(_xlfn.CONCAT(CHAR(96),CHAR(34)),$J714)),ISNUMBER(SEARCH(_xlfn.CONCAT(CHAR(34),CHAR(39)),$J714))),_xlfn.CONCAT("* REVIEW REQUIRED: compound-quote delimiter in Notes on Sheet 1 row ",714,"; edit the input before running."),_xlfn.CONCAT("char ",TRIM($B714),"[doc_notes] ",CHAR(96),CHAR(34),SUBSTITUTE(SUBSTITUTE(SUBSTITUTE(SUBSTITUTE(SUBSTITUTE(SUBSTITUTE($J714,CHAR(13)," "),CHAR(10)," "),CHAR(9)," "),CHAR(92),_xlfn.CONCAT(CHAR(92),CHAR(92))),"$",_xlfn.CONCAT(CHAR(92),"$")),CHAR(96),_xlfn.CONCAT(CHAR(92),CHAR(96))),CHAR(34),CHAR(39))))</f>
        <v/>
      </c>
      <c r="U714" s="5">
        <f t="shared" si="21"/>
        <v>0</v>
      </c>
    </row>
    <row r="715" spans="3:21" ht="30" customHeight="1" x14ac:dyDescent="0.2">
      <c r="C715" s="4"/>
      <c r="K715" s="5">
        <f t="shared" si="20"/>
        <v>0</v>
      </c>
      <c r="L715" s="5" t="str">
        <f>IF(OR(TRIM($B715)="",$A715=""),"",IF(OR(ISNUMBER(SEARCH(_xlfn.CONCAT(CHAR(96),CHAR(34)),$A715)),ISNUMBER(SEARCH(_xlfn.CONCAT(CHAR(34),CHAR(39)),$A715))),_xlfn.CONCAT("* REVIEW REQUIRED: compound-quote delimiter in Codebook Section on Sheet 1 row ",715,"; edit the input before running."),_xlfn.CONCAT("char ",TRIM($B715),"[doc_section] ",CHAR(96),CHAR(34),SUBSTITUTE(SUBSTITUTE(SUBSTITUTE(SUBSTITUTE(SUBSTITUTE(SUBSTITUTE($A715,CHAR(13)," "),CHAR(10)," "),CHAR(9)," "),CHAR(92),_xlfn.CONCAT(CHAR(92),CHAR(92))),"$",_xlfn.CONCAT(CHAR(92),"$")),CHAR(96),_xlfn.CONCAT(CHAR(92),CHAR(96))),CHAR(34),CHAR(39))))</f>
        <v/>
      </c>
      <c r="M715" s="5" t="str">
        <f>IF(OR(TRIM($B715)="",$C715=""),"",IF(IFERROR(MATCH(TRIM($C715),{"Quantitative","Continuous","Discrete","Categorical","Nominal","Ordinal","Identifier"},0),0)=0,_xlfn.CONCAT("* REVIEW REQUIRED: invalid Variable Type on Sheet 1 row ",715,"."),_xlfn.CONCAT("char ",TRIM($B715),"[doc_vartype] ",CHAR(96),CHAR(34),SUBSTITUTE(SUBSTITUTE(SUBSTITUTE(SUBSTITUTE(SUBSTITUTE(SUBSTITUTE(LOWER(TRIM($C715)),CHAR(13)," "),CHAR(10)," "),CHAR(9)," "),CHAR(92),_xlfn.CONCAT(CHAR(92),CHAR(92))),"$",_xlfn.CONCAT(CHAR(92),"$")),CHAR(96),_xlfn.CONCAT(CHAR(92),CHAR(96))),CHAR(34),CHAR(39))))</f>
        <v/>
      </c>
      <c r="N715" s="5" t="str">
        <f>IF(OR(TRIM($B715)="",$D715=""),"",IF(OR(ISNUMBER(SEARCH(_xlfn.CONCAT(CHAR(96),CHAR(34)),$D715)),ISNUMBER(SEARCH(_xlfn.CONCAT(CHAR(34),CHAR(39)),$D715))),_xlfn.CONCAT("* REVIEW REQUIRED: compound-quote delimiter in Item Number on Sheet 1 row ",715,"; edit the input before running."),_xlfn.CONCAT("char ",TRIM($B715),"[doc_itemnum] ",CHAR(96),CHAR(34),SUBSTITUTE(SUBSTITUTE(SUBSTITUTE(SUBSTITUTE(SUBSTITUTE(SUBSTITUTE($D715,CHAR(13)," "),CHAR(10)," "),CHAR(9)," "),CHAR(92),_xlfn.CONCAT(CHAR(92),CHAR(92))),"$",_xlfn.CONCAT(CHAR(92),"$")),CHAR(96),_xlfn.CONCAT(CHAR(92),CHAR(96))),CHAR(34),CHAR(39))))</f>
        <v/>
      </c>
      <c r="O715" s="5" t="str">
        <f>IF(OR(TRIM($B715)="",$E715=""),"",IF(OR(ISNUMBER(SEARCH(_xlfn.CONCAT(CHAR(96),CHAR(34)),$E715)),ISNUMBER(SEARCH(_xlfn.CONCAT(CHAR(34),CHAR(39)),$E715))),_xlfn.CONCAT("* REVIEW REQUIRED: compound-quote delimiter in Question Wording on Sheet 1 row ",715,"; edit the input before running."),_xlfn.CONCAT("char ",TRIM($B715),"[doc_question] ",CHAR(96),CHAR(34),SUBSTITUTE(SUBSTITUTE(SUBSTITUTE(SUBSTITUTE(SUBSTITUTE(SUBSTITUTE($E715,CHAR(13)," "),CHAR(10)," "),CHAR(9)," "),CHAR(92),_xlfn.CONCAT(CHAR(92),CHAR(92))),"$",_xlfn.CONCAT(CHAR(92),"$")),CHAR(96),_xlfn.CONCAT(CHAR(92),CHAR(96))),CHAR(34),CHAR(39))))</f>
        <v/>
      </c>
      <c r="P715" s="5" t="str">
        <f>IF(OR(TRIM($B715)="",$F715=""),"",IF(OR(ISNUMBER(SEARCH(_xlfn.CONCAT(CHAR(96),CHAR(34)),$F715)),ISNUMBER(SEARCH(_xlfn.CONCAT(CHAR(34),CHAR(39)),$F715))),_xlfn.CONCAT("* REVIEW REQUIRED: compound-quote delimiter in Units on Sheet 1 row ",715,"; edit the input before running."),_xlfn.CONCAT("char ",TRIM($B715),"[doc_units] ",CHAR(96),CHAR(34),SUBSTITUTE(SUBSTITUTE(SUBSTITUTE(SUBSTITUTE(SUBSTITUTE(SUBSTITUTE($F715,CHAR(13)," "),CHAR(10)," "),CHAR(9)," "),CHAR(92),_xlfn.CONCAT(CHAR(92),CHAR(92))),"$",_xlfn.CONCAT(CHAR(92),"$")),CHAR(96),_xlfn.CONCAT(CHAR(92),CHAR(96))),CHAR(34),CHAR(39))))</f>
        <v/>
      </c>
      <c r="Q715" s="5" t="str">
        <f>IF(OR(TRIM($B715)="",$G715=""),"",IF(OR(ISNUMBER(SEARCH(_xlfn.CONCAT(CHAR(96),CHAR(34)),$G715)),ISNUMBER(SEARCH(_xlfn.CONCAT(CHAR(34),CHAR(39)),$G715))),_xlfn.CONCAT("* REVIEW REQUIRED: compound-quote delimiter in Universe on Sheet 1 row ",715,"; edit the input before running."),_xlfn.CONCAT("char ",TRIM($B715),"[doc_universe] ",CHAR(96),CHAR(34),SUBSTITUTE(SUBSTITUTE(SUBSTITUTE(SUBSTITUTE(SUBSTITUTE(SUBSTITUTE($G715,CHAR(13)," "),CHAR(10)," "),CHAR(9)," "),CHAR(92),_xlfn.CONCAT(CHAR(92),CHAR(92))),"$",_xlfn.CONCAT(CHAR(92),"$")),CHAR(96),_xlfn.CONCAT(CHAR(92),CHAR(96))),CHAR(34),CHAR(39))))</f>
        <v/>
      </c>
      <c r="R715" s="5" t="str">
        <f>IF(OR(TRIM($B715)="",$H715=""),"",IF(OR(ISNUMBER(SEARCH(_xlfn.CONCAT(CHAR(96),CHAR(34)),$H715)),ISNUMBER(SEARCH(_xlfn.CONCAT(CHAR(34),CHAR(39)),$H715))),_xlfn.CONCAT("* REVIEW REQUIRED: compound-quote delimiter in Source on Sheet 1 row ",715,"; edit the input before running."),_xlfn.CONCAT("char ",TRIM($B715),"[doc_source] ",CHAR(96),CHAR(34),SUBSTITUTE(SUBSTITUTE(SUBSTITUTE(SUBSTITUTE(SUBSTITUTE(SUBSTITUTE($H715,CHAR(13)," "),CHAR(10)," "),CHAR(9)," "),CHAR(92),_xlfn.CONCAT(CHAR(92),CHAR(92))),"$",_xlfn.CONCAT(CHAR(92),"$")),CHAR(96),_xlfn.CONCAT(CHAR(92),CHAR(96))),CHAR(34),CHAR(39))))</f>
        <v/>
      </c>
      <c r="S715" s="5" t="str">
        <f>IF(OR(TRIM($B715)="",$I715=""),"",IF(OR(ISNUMBER(SEARCH(_xlfn.CONCAT(CHAR(96),CHAR(34)),$I715)),ISNUMBER(SEARCH(_xlfn.CONCAT(CHAR(34),CHAR(39)),$I715))),_xlfn.CONCAT("* REVIEW REQUIRED: compound-quote delimiter in Derivation on Sheet 1 row ",715,"; edit the input before running."),_xlfn.CONCAT("char ",TRIM($B715),"[doc_derivation] ",CHAR(96),CHAR(34),SUBSTITUTE(SUBSTITUTE(SUBSTITUTE(SUBSTITUTE(SUBSTITUTE(SUBSTITUTE($I715,CHAR(13)," "),CHAR(10)," "),CHAR(9)," "),CHAR(92),_xlfn.CONCAT(CHAR(92),CHAR(92))),"$",_xlfn.CONCAT(CHAR(92),"$")),CHAR(96),_xlfn.CONCAT(CHAR(92),CHAR(96))),CHAR(34),CHAR(39))))</f>
        <v/>
      </c>
      <c r="T715" s="5" t="str">
        <f>IF(OR(TRIM($B715)="",$J715=""),"",IF(OR(ISNUMBER(SEARCH(_xlfn.CONCAT(CHAR(96),CHAR(34)),$J715)),ISNUMBER(SEARCH(_xlfn.CONCAT(CHAR(34),CHAR(39)),$J715))),_xlfn.CONCAT("* REVIEW REQUIRED: compound-quote delimiter in Notes on Sheet 1 row ",715,"; edit the input before running."),_xlfn.CONCAT("char ",TRIM($B715),"[doc_notes] ",CHAR(96),CHAR(34),SUBSTITUTE(SUBSTITUTE(SUBSTITUTE(SUBSTITUTE(SUBSTITUTE(SUBSTITUTE($J715,CHAR(13)," "),CHAR(10)," "),CHAR(9)," "),CHAR(92),_xlfn.CONCAT(CHAR(92),CHAR(92))),"$",_xlfn.CONCAT(CHAR(92),"$")),CHAR(96),_xlfn.CONCAT(CHAR(92),CHAR(96))),CHAR(34),CHAR(39))))</f>
        <v/>
      </c>
      <c r="U715" s="5">
        <f t="shared" si="21"/>
        <v>0</v>
      </c>
    </row>
    <row r="716" spans="3:21" ht="30" customHeight="1" x14ac:dyDescent="0.2">
      <c r="C716" s="4"/>
      <c r="K716" s="5">
        <f t="shared" si="20"/>
        <v>0</v>
      </c>
      <c r="L716" s="5" t="str">
        <f>IF(OR(TRIM($B716)="",$A716=""),"",IF(OR(ISNUMBER(SEARCH(_xlfn.CONCAT(CHAR(96),CHAR(34)),$A716)),ISNUMBER(SEARCH(_xlfn.CONCAT(CHAR(34),CHAR(39)),$A716))),_xlfn.CONCAT("* REVIEW REQUIRED: compound-quote delimiter in Codebook Section on Sheet 1 row ",716,"; edit the input before running."),_xlfn.CONCAT("char ",TRIM($B716),"[doc_section] ",CHAR(96),CHAR(34),SUBSTITUTE(SUBSTITUTE(SUBSTITUTE(SUBSTITUTE(SUBSTITUTE(SUBSTITUTE($A716,CHAR(13)," "),CHAR(10)," "),CHAR(9)," "),CHAR(92),_xlfn.CONCAT(CHAR(92),CHAR(92))),"$",_xlfn.CONCAT(CHAR(92),"$")),CHAR(96),_xlfn.CONCAT(CHAR(92),CHAR(96))),CHAR(34),CHAR(39))))</f>
        <v/>
      </c>
      <c r="M716" s="5" t="str">
        <f>IF(OR(TRIM($B716)="",$C716=""),"",IF(IFERROR(MATCH(TRIM($C716),{"Quantitative","Continuous","Discrete","Categorical","Nominal","Ordinal","Identifier"},0),0)=0,_xlfn.CONCAT("* REVIEW REQUIRED: invalid Variable Type on Sheet 1 row ",716,"."),_xlfn.CONCAT("char ",TRIM($B716),"[doc_vartype] ",CHAR(96),CHAR(34),SUBSTITUTE(SUBSTITUTE(SUBSTITUTE(SUBSTITUTE(SUBSTITUTE(SUBSTITUTE(LOWER(TRIM($C716)),CHAR(13)," "),CHAR(10)," "),CHAR(9)," "),CHAR(92),_xlfn.CONCAT(CHAR(92),CHAR(92))),"$",_xlfn.CONCAT(CHAR(92),"$")),CHAR(96),_xlfn.CONCAT(CHAR(92),CHAR(96))),CHAR(34),CHAR(39))))</f>
        <v/>
      </c>
      <c r="N716" s="5" t="str">
        <f>IF(OR(TRIM($B716)="",$D716=""),"",IF(OR(ISNUMBER(SEARCH(_xlfn.CONCAT(CHAR(96),CHAR(34)),$D716)),ISNUMBER(SEARCH(_xlfn.CONCAT(CHAR(34),CHAR(39)),$D716))),_xlfn.CONCAT("* REVIEW REQUIRED: compound-quote delimiter in Item Number on Sheet 1 row ",716,"; edit the input before running."),_xlfn.CONCAT("char ",TRIM($B716),"[doc_itemnum] ",CHAR(96),CHAR(34),SUBSTITUTE(SUBSTITUTE(SUBSTITUTE(SUBSTITUTE(SUBSTITUTE(SUBSTITUTE($D716,CHAR(13)," "),CHAR(10)," "),CHAR(9)," "),CHAR(92),_xlfn.CONCAT(CHAR(92),CHAR(92))),"$",_xlfn.CONCAT(CHAR(92),"$")),CHAR(96),_xlfn.CONCAT(CHAR(92),CHAR(96))),CHAR(34),CHAR(39))))</f>
        <v/>
      </c>
      <c r="O716" s="5" t="str">
        <f>IF(OR(TRIM($B716)="",$E716=""),"",IF(OR(ISNUMBER(SEARCH(_xlfn.CONCAT(CHAR(96),CHAR(34)),$E716)),ISNUMBER(SEARCH(_xlfn.CONCAT(CHAR(34),CHAR(39)),$E716))),_xlfn.CONCAT("* REVIEW REQUIRED: compound-quote delimiter in Question Wording on Sheet 1 row ",716,"; edit the input before running."),_xlfn.CONCAT("char ",TRIM($B716),"[doc_question] ",CHAR(96),CHAR(34),SUBSTITUTE(SUBSTITUTE(SUBSTITUTE(SUBSTITUTE(SUBSTITUTE(SUBSTITUTE($E716,CHAR(13)," "),CHAR(10)," "),CHAR(9)," "),CHAR(92),_xlfn.CONCAT(CHAR(92),CHAR(92))),"$",_xlfn.CONCAT(CHAR(92),"$")),CHAR(96),_xlfn.CONCAT(CHAR(92),CHAR(96))),CHAR(34),CHAR(39))))</f>
        <v/>
      </c>
      <c r="P716" s="5" t="str">
        <f>IF(OR(TRIM($B716)="",$F716=""),"",IF(OR(ISNUMBER(SEARCH(_xlfn.CONCAT(CHAR(96),CHAR(34)),$F716)),ISNUMBER(SEARCH(_xlfn.CONCAT(CHAR(34),CHAR(39)),$F716))),_xlfn.CONCAT("* REVIEW REQUIRED: compound-quote delimiter in Units on Sheet 1 row ",716,"; edit the input before running."),_xlfn.CONCAT("char ",TRIM($B716),"[doc_units] ",CHAR(96),CHAR(34),SUBSTITUTE(SUBSTITUTE(SUBSTITUTE(SUBSTITUTE(SUBSTITUTE(SUBSTITUTE($F716,CHAR(13)," "),CHAR(10)," "),CHAR(9)," "),CHAR(92),_xlfn.CONCAT(CHAR(92),CHAR(92))),"$",_xlfn.CONCAT(CHAR(92),"$")),CHAR(96),_xlfn.CONCAT(CHAR(92),CHAR(96))),CHAR(34),CHAR(39))))</f>
        <v/>
      </c>
      <c r="Q716" s="5" t="str">
        <f>IF(OR(TRIM($B716)="",$G716=""),"",IF(OR(ISNUMBER(SEARCH(_xlfn.CONCAT(CHAR(96),CHAR(34)),$G716)),ISNUMBER(SEARCH(_xlfn.CONCAT(CHAR(34),CHAR(39)),$G716))),_xlfn.CONCAT("* REVIEW REQUIRED: compound-quote delimiter in Universe on Sheet 1 row ",716,"; edit the input before running."),_xlfn.CONCAT("char ",TRIM($B716),"[doc_universe] ",CHAR(96),CHAR(34),SUBSTITUTE(SUBSTITUTE(SUBSTITUTE(SUBSTITUTE(SUBSTITUTE(SUBSTITUTE($G716,CHAR(13)," "),CHAR(10)," "),CHAR(9)," "),CHAR(92),_xlfn.CONCAT(CHAR(92),CHAR(92))),"$",_xlfn.CONCAT(CHAR(92),"$")),CHAR(96),_xlfn.CONCAT(CHAR(92),CHAR(96))),CHAR(34),CHAR(39))))</f>
        <v/>
      </c>
      <c r="R716" s="5" t="str">
        <f>IF(OR(TRIM($B716)="",$H716=""),"",IF(OR(ISNUMBER(SEARCH(_xlfn.CONCAT(CHAR(96),CHAR(34)),$H716)),ISNUMBER(SEARCH(_xlfn.CONCAT(CHAR(34),CHAR(39)),$H716))),_xlfn.CONCAT("* REVIEW REQUIRED: compound-quote delimiter in Source on Sheet 1 row ",716,"; edit the input before running."),_xlfn.CONCAT("char ",TRIM($B716),"[doc_source] ",CHAR(96),CHAR(34),SUBSTITUTE(SUBSTITUTE(SUBSTITUTE(SUBSTITUTE(SUBSTITUTE(SUBSTITUTE($H716,CHAR(13)," "),CHAR(10)," "),CHAR(9)," "),CHAR(92),_xlfn.CONCAT(CHAR(92),CHAR(92))),"$",_xlfn.CONCAT(CHAR(92),"$")),CHAR(96),_xlfn.CONCAT(CHAR(92),CHAR(96))),CHAR(34),CHAR(39))))</f>
        <v/>
      </c>
      <c r="S716" s="5" t="str">
        <f>IF(OR(TRIM($B716)="",$I716=""),"",IF(OR(ISNUMBER(SEARCH(_xlfn.CONCAT(CHAR(96),CHAR(34)),$I716)),ISNUMBER(SEARCH(_xlfn.CONCAT(CHAR(34),CHAR(39)),$I716))),_xlfn.CONCAT("* REVIEW REQUIRED: compound-quote delimiter in Derivation on Sheet 1 row ",716,"; edit the input before running."),_xlfn.CONCAT("char ",TRIM($B716),"[doc_derivation] ",CHAR(96),CHAR(34),SUBSTITUTE(SUBSTITUTE(SUBSTITUTE(SUBSTITUTE(SUBSTITUTE(SUBSTITUTE($I716,CHAR(13)," "),CHAR(10)," "),CHAR(9)," "),CHAR(92),_xlfn.CONCAT(CHAR(92),CHAR(92))),"$",_xlfn.CONCAT(CHAR(92),"$")),CHAR(96),_xlfn.CONCAT(CHAR(92),CHAR(96))),CHAR(34),CHAR(39))))</f>
        <v/>
      </c>
      <c r="T716" s="5" t="str">
        <f>IF(OR(TRIM($B716)="",$J716=""),"",IF(OR(ISNUMBER(SEARCH(_xlfn.CONCAT(CHAR(96),CHAR(34)),$J716)),ISNUMBER(SEARCH(_xlfn.CONCAT(CHAR(34),CHAR(39)),$J716))),_xlfn.CONCAT("* REVIEW REQUIRED: compound-quote delimiter in Notes on Sheet 1 row ",716,"; edit the input before running."),_xlfn.CONCAT("char ",TRIM($B716),"[doc_notes] ",CHAR(96),CHAR(34),SUBSTITUTE(SUBSTITUTE(SUBSTITUTE(SUBSTITUTE(SUBSTITUTE(SUBSTITUTE($J716,CHAR(13)," "),CHAR(10)," "),CHAR(9)," "),CHAR(92),_xlfn.CONCAT(CHAR(92),CHAR(92))),"$",_xlfn.CONCAT(CHAR(92),"$")),CHAR(96),_xlfn.CONCAT(CHAR(92),CHAR(96))),CHAR(34),CHAR(39))))</f>
        <v/>
      </c>
      <c r="U716" s="5">
        <f t="shared" si="21"/>
        <v>0</v>
      </c>
    </row>
    <row r="717" spans="3:21" ht="30" customHeight="1" x14ac:dyDescent="0.2">
      <c r="C717" s="4"/>
      <c r="K717" s="5">
        <f t="shared" si="20"/>
        <v>0</v>
      </c>
      <c r="L717" s="5" t="str">
        <f>IF(OR(TRIM($B717)="",$A717=""),"",IF(OR(ISNUMBER(SEARCH(_xlfn.CONCAT(CHAR(96),CHAR(34)),$A717)),ISNUMBER(SEARCH(_xlfn.CONCAT(CHAR(34),CHAR(39)),$A717))),_xlfn.CONCAT("* REVIEW REQUIRED: compound-quote delimiter in Codebook Section on Sheet 1 row ",717,"; edit the input before running."),_xlfn.CONCAT("char ",TRIM($B717),"[doc_section] ",CHAR(96),CHAR(34),SUBSTITUTE(SUBSTITUTE(SUBSTITUTE(SUBSTITUTE(SUBSTITUTE(SUBSTITUTE($A717,CHAR(13)," "),CHAR(10)," "),CHAR(9)," "),CHAR(92),_xlfn.CONCAT(CHAR(92),CHAR(92))),"$",_xlfn.CONCAT(CHAR(92),"$")),CHAR(96),_xlfn.CONCAT(CHAR(92),CHAR(96))),CHAR(34),CHAR(39))))</f>
        <v/>
      </c>
      <c r="M717" s="5" t="str">
        <f>IF(OR(TRIM($B717)="",$C717=""),"",IF(IFERROR(MATCH(TRIM($C717),{"Quantitative","Continuous","Discrete","Categorical","Nominal","Ordinal","Identifier"},0),0)=0,_xlfn.CONCAT("* REVIEW REQUIRED: invalid Variable Type on Sheet 1 row ",717,"."),_xlfn.CONCAT("char ",TRIM($B717),"[doc_vartype] ",CHAR(96),CHAR(34),SUBSTITUTE(SUBSTITUTE(SUBSTITUTE(SUBSTITUTE(SUBSTITUTE(SUBSTITUTE(LOWER(TRIM($C717)),CHAR(13)," "),CHAR(10)," "),CHAR(9)," "),CHAR(92),_xlfn.CONCAT(CHAR(92),CHAR(92))),"$",_xlfn.CONCAT(CHAR(92),"$")),CHAR(96),_xlfn.CONCAT(CHAR(92),CHAR(96))),CHAR(34),CHAR(39))))</f>
        <v/>
      </c>
      <c r="N717" s="5" t="str">
        <f>IF(OR(TRIM($B717)="",$D717=""),"",IF(OR(ISNUMBER(SEARCH(_xlfn.CONCAT(CHAR(96),CHAR(34)),$D717)),ISNUMBER(SEARCH(_xlfn.CONCAT(CHAR(34),CHAR(39)),$D717))),_xlfn.CONCAT("* REVIEW REQUIRED: compound-quote delimiter in Item Number on Sheet 1 row ",717,"; edit the input before running."),_xlfn.CONCAT("char ",TRIM($B717),"[doc_itemnum] ",CHAR(96),CHAR(34),SUBSTITUTE(SUBSTITUTE(SUBSTITUTE(SUBSTITUTE(SUBSTITUTE(SUBSTITUTE($D717,CHAR(13)," "),CHAR(10)," "),CHAR(9)," "),CHAR(92),_xlfn.CONCAT(CHAR(92),CHAR(92))),"$",_xlfn.CONCAT(CHAR(92),"$")),CHAR(96),_xlfn.CONCAT(CHAR(92),CHAR(96))),CHAR(34),CHAR(39))))</f>
        <v/>
      </c>
      <c r="O717" s="5" t="str">
        <f>IF(OR(TRIM($B717)="",$E717=""),"",IF(OR(ISNUMBER(SEARCH(_xlfn.CONCAT(CHAR(96),CHAR(34)),$E717)),ISNUMBER(SEARCH(_xlfn.CONCAT(CHAR(34),CHAR(39)),$E717))),_xlfn.CONCAT("* REVIEW REQUIRED: compound-quote delimiter in Question Wording on Sheet 1 row ",717,"; edit the input before running."),_xlfn.CONCAT("char ",TRIM($B717),"[doc_question] ",CHAR(96),CHAR(34),SUBSTITUTE(SUBSTITUTE(SUBSTITUTE(SUBSTITUTE(SUBSTITUTE(SUBSTITUTE($E717,CHAR(13)," "),CHAR(10)," "),CHAR(9)," "),CHAR(92),_xlfn.CONCAT(CHAR(92),CHAR(92))),"$",_xlfn.CONCAT(CHAR(92),"$")),CHAR(96),_xlfn.CONCAT(CHAR(92),CHAR(96))),CHAR(34),CHAR(39))))</f>
        <v/>
      </c>
      <c r="P717" s="5" t="str">
        <f>IF(OR(TRIM($B717)="",$F717=""),"",IF(OR(ISNUMBER(SEARCH(_xlfn.CONCAT(CHAR(96),CHAR(34)),$F717)),ISNUMBER(SEARCH(_xlfn.CONCAT(CHAR(34),CHAR(39)),$F717))),_xlfn.CONCAT("* REVIEW REQUIRED: compound-quote delimiter in Units on Sheet 1 row ",717,"; edit the input before running."),_xlfn.CONCAT("char ",TRIM($B717),"[doc_units] ",CHAR(96),CHAR(34),SUBSTITUTE(SUBSTITUTE(SUBSTITUTE(SUBSTITUTE(SUBSTITUTE(SUBSTITUTE($F717,CHAR(13)," "),CHAR(10)," "),CHAR(9)," "),CHAR(92),_xlfn.CONCAT(CHAR(92),CHAR(92))),"$",_xlfn.CONCAT(CHAR(92),"$")),CHAR(96),_xlfn.CONCAT(CHAR(92),CHAR(96))),CHAR(34),CHAR(39))))</f>
        <v/>
      </c>
      <c r="Q717" s="5" t="str">
        <f>IF(OR(TRIM($B717)="",$G717=""),"",IF(OR(ISNUMBER(SEARCH(_xlfn.CONCAT(CHAR(96),CHAR(34)),$G717)),ISNUMBER(SEARCH(_xlfn.CONCAT(CHAR(34),CHAR(39)),$G717))),_xlfn.CONCAT("* REVIEW REQUIRED: compound-quote delimiter in Universe on Sheet 1 row ",717,"; edit the input before running."),_xlfn.CONCAT("char ",TRIM($B717),"[doc_universe] ",CHAR(96),CHAR(34),SUBSTITUTE(SUBSTITUTE(SUBSTITUTE(SUBSTITUTE(SUBSTITUTE(SUBSTITUTE($G717,CHAR(13)," "),CHAR(10)," "),CHAR(9)," "),CHAR(92),_xlfn.CONCAT(CHAR(92),CHAR(92))),"$",_xlfn.CONCAT(CHAR(92),"$")),CHAR(96),_xlfn.CONCAT(CHAR(92),CHAR(96))),CHAR(34),CHAR(39))))</f>
        <v/>
      </c>
      <c r="R717" s="5" t="str">
        <f>IF(OR(TRIM($B717)="",$H717=""),"",IF(OR(ISNUMBER(SEARCH(_xlfn.CONCAT(CHAR(96),CHAR(34)),$H717)),ISNUMBER(SEARCH(_xlfn.CONCAT(CHAR(34),CHAR(39)),$H717))),_xlfn.CONCAT("* REVIEW REQUIRED: compound-quote delimiter in Source on Sheet 1 row ",717,"; edit the input before running."),_xlfn.CONCAT("char ",TRIM($B717),"[doc_source] ",CHAR(96),CHAR(34),SUBSTITUTE(SUBSTITUTE(SUBSTITUTE(SUBSTITUTE(SUBSTITUTE(SUBSTITUTE($H717,CHAR(13)," "),CHAR(10)," "),CHAR(9)," "),CHAR(92),_xlfn.CONCAT(CHAR(92),CHAR(92))),"$",_xlfn.CONCAT(CHAR(92),"$")),CHAR(96),_xlfn.CONCAT(CHAR(92),CHAR(96))),CHAR(34),CHAR(39))))</f>
        <v/>
      </c>
      <c r="S717" s="5" t="str">
        <f>IF(OR(TRIM($B717)="",$I717=""),"",IF(OR(ISNUMBER(SEARCH(_xlfn.CONCAT(CHAR(96),CHAR(34)),$I717)),ISNUMBER(SEARCH(_xlfn.CONCAT(CHAR(34),CHAR(39)),$I717))),_xlfn.CONCAT("* REVIEW REQUIRED: compound-quote delimiter in Derivation on Sheet 1 row ",717,"; edit the input before running."),_xlfn.CONCAT("char ",TRIM($B717),"[doc_derivation] ",CHAR(96),CHAR(34),SUBSTITUTE(SUBSTITUTE(SUBSTITUTE(SUBSTITUTE(SUBSTITUTE(SUBSTITUTE($I717,CHAR(13)," "),CHAR(10)," "),CHAR(9)," "),CHAR(92),_xlfn.CONCAT(CHAR(92),CHAR(92))),"$",_xlfn.CONCAT(CHAR(92),"$")),CHAR(96),_xlfn.CONCAT(CHAR(92),CHAR(96))),CHAR(34),CHAR(39))))</f>
        <v/>
      </c>
      <c r="T717" s="5" t="str">
        <f>IF(OR(TRIM($B717)="",$J717=""),"",IF(OR(ISNUMBER(SEARCH(_xlfn.CONCAT(CHAR(96),CHAR(34)),$J717)),ISNUMBER(SEARCH(_xlfn.CONCAT(CHAR(34),CHAR(39)),$J717))),_xlfn.CONCAT("* REVIEW REQUIRED: compound-quote delimiter in Notes on Sheet 1 row ",717,"; edit the input before running."),_xlfn.CONCAT("char ",TRIM($B717),"[doc_notes] ",CHAR(96),CHAR(34),SUBSTITUTE(SUBSTITUTE(SUBSTITUTE(SUBSTITUTE(SUBSTITUTE(SUBSTITUTE($J717,CHAR(13)," "),CHAR(10)," "),CHAR(9)," "),CHAR(92),_xlfn.CONCAT(CHAR(92),CHAR(92))),"$",_xlfn.CONCAT(CHAR(92),"$")),CHAR(96),_xlfn.CONCAT(CHAR(92),CHAR(96))),CHAR(34),CHAR(39))))</f>
        <v/>
      </c>
      <c r="U717" s="5">
        <f t="shared" si="21"/>
        <v>0</v>
      </c>
    </row>
    <row r="718" spans="3:21" ht="30" customHeight="1" x14ac:dyDescent="0.2">
      <c r="C718" s="4"/>
      <c r="K718" s="5">
        <f t="shared" si="20"/>
        <v>0</v>
      </c>
      <c r="L718" s="5" t="str">
        <f>IF(OR(TRIM($B718)="",$A718=""),"",IF(OR(ISNUMBER(SEARCH(_xlfn.CONCAT(CHAR(96),CHAR(34)),$A718)),ISNUMBER(SEARCH(_xlfn.CONCAT(CHAR(34),CHAR(39)),$A718))),_xlfn.CONCAT("* REVIEW REQUIRED: compound-quote delimiter in Codebook Section on Sheet 1 row ",718,"; edit the input before running."),_xlfn.CONCAT("char ",TRIM($B718),"[doc_section] ",CHAR(96),CHAR(34),SUBSTITUTE(SUBSTITUTE(SUBSTITUTE(SUBSTITUTE(SUBSTITUTE(SUBSTITUTE($A718,CHAR(13)," "),CHAR(10)," "),CHAR(9)," "),CHAR(92),_xlfn.CONCAT(CHAR(92),CHAR(92))),"$",_xlfn.CONCAT(CHAR(92),"$")),CHAR(96),_xlfn.CONCAT(CHAR(92),CHAR(96))),CHAR(34),CHAR(39))))</f>
        <v/>
      </c>
      <c r="M718" s="5" t="str">
        <f>IF(OR(TRIM($B718)="",$C718=""),"",IF(IFERROR(MATCH(TRIM($C718),{"Quantitative","Continuous","Discrete","Categorical","Nominal","Ordinal","Identifier"},0),0)=0,_xlfn.CONCAT("* REVIEW REQUIRED: invalid Variable Type on Sheet 1 row ",718,"."),_xlfn.CONCAT("char ",TRIM($B718),"[doc_vartype] ",CHAR(96),CHAR(34),SUBSTITUTE(SUBSTITUTE(SUBSTITUTE(SUBSTITUTE(SUBSTITUTE(SUBSTITUTE(LOWER(TRIM($C718)),CHAR(13)," "),CHAR(10)," "),CHAR(9)," "),CHAR(92),_xlfn.CONCAT(CHAR(92),CHAR(92))),"$",_xlfn.CONCAT(CHAR(92),"$")),CHAR(96),_xlfn.CONCAT(CHAR(92),CHAR(96))),CHAR(34),CHAR(39))))</f>
        <v/>
      </c>
      <c r="N718" s="5" t="str">
        <f>IF(OR(TRIM($B718)="",$D718=""),"",IF(OR(ISNUMBER(SEARCH(_xlfn.CONCAT(CHAR(96),CHAR(34)),$D718)),ISNUMBER(SEARCH(_xlfn.CONCAT(CHAR(34),CHAR(39)),$D718))),_xlfn.CONCAT("* REVIEW REQUIRED: compound-quote delimiter in Item Number on Sheet 1 row ",718,"; edit the input before running."),_xlfn.CONCAT("char ",TRIM($B718),"[doc_itemnum] ",CHAR(96),CHAR(34),SUBSTITUTE(SUBSTITUTE(SUBSTITUTE(SUBSTITUTE(SUBSTITUTE(SUBSTITUTE($D718,CHAR(13)," "),CHAR(10)," "),CHAR(9)," "),CHAR(92),_xlfn.CONCAT(CHAR(92),CHAR(92))),"$",_xlfn.CONCAT(CHAR(92),"$")),CHAR(96),_xlfn.CONCAT(CHAR(92),CHAR(96))),CHAR(34),CHAR(39))))</f>
        <v/>
      </c>
      <c r="O718" s="5" t="str">
        <f>IF(OR(TRIM($B718)="",$E718=""),"",IF(OR(ISNUMBER(SEARCH(_xlfn.CONCAT(CHAR(96),CHAR(34)),$E718)),ISNUMBER(SEARCH(_xlfn.CONCAT(CHAR(34),CHAR(39)),$E718))),_xlfn.CONCAT("* REVIEW REQUIRED: compound-quote delimiter in Question Wording on Sheet 1 row ",718,"; edit the input before running."),_xlfn.CONCAT("char ",TRIM($B718),"[doc_question] ",CHAR(96),CHAR(34),SUBSTITUTE(SUBSTITUTE(SUBSTITUTE(SUBSTITUTE(SUBSTITUTE(SUBSTITUTE($E718,CHAR(13)," "),CHAR(10)," "),CHAR(9)," "),CHAR(92),_xlfn.CONCAT(CHAR(92),CHAR(92))),"$",_xlfn.CONCAT(CHAR(92),"$")),CHAR(96),_xlfn.CONCAT(CHAR(92),CHAR(96))),CHAR(34),CHAR(39))))</f>
        <v/>
      </c>
      <c r="P718" s="5" t="str">
        <f>IF(OR(TRIM($B718)="",$F718=""),"",IF(OR(ISNUMBER(SEARCH(_xlfn.CONCAT(CHAR(96),CHAR(34)),$F718)),ISNUMBER(SEARCH(_xlfn.CONCAT(CHAR(34),CHAR(39)),$F718))),_xlfn.CONCAT("* REVIEW REQUIRED: compound-quote delimiter in Units on Sheet 1 row ",718,"; edit the input before running."),_xlfn.CONCAT("char ",TRIM($B718),"[doc_units] ",CHAR(96),CHAR(34),SUBSTITUTE(SUBSTITUTE(SUBSTITUTE(SUBSTITUTE(SUBSTITUTE(SUBSTITUTE($F718,CHAR(13)," "),CHAR(10)," "),CHAR(9)," "),CHAR(92),_xlfn.CONCAT(CHAR(92),CHAR(92))),"$",_xlfn.CONCAT(CHAR(92),"$")),CHAR(96),_xlfn.CONCAT(CHAR(92),CHAR(96))),CHAR(34),CHAR(39))))</f>
        <v/>
      </c>
      <c r="Q718" s="5" t="str">
        <f>IF(OR(TRIM($B718)="",$G718=""),"",IF(OR(ISNUMBER(SEARCH(_xlfn.CONCAT(CHAR(96),CHAR(34)),$G718)),ISNUMBER(SEARCH(_xlfn.CONCAT(CHAR(34),CHAR(39)),$G718))),_xlfn.CONCAT("* REVIEW REQUIRED: compound-quote delimiter in Universe on Sheet 1 row ",718,"; edit the input before running."),_xlfn.CONCAT("char ",TRIM($B718),"[doc_universe] ",CHAR(96),CHAR(34),SUBSTITUTE(SUBSTITUTE(SUBSTITUTE(SUBSTITUTE(SUBSTITUTE(SUBSTITUTE($G718,CHAR(13)," "),CHAR(10)," "),CHAR(9)," "),CHAR(92),_xlfn.CONCAT(CHAR(92),CHAR(92))),"$",_xlfn.CONCAT(CHAR(92),"$")),CHAR(96),_xlfn.CONCAT(CHAR(92),CHAR(96))),CHAR(34),CHAR(39))))</f>
        <v/>
      </c>
      <c r="R718" s="5" t="str">
        <f>IF(OR(TRIM($B718)="",$H718=""),"",IF(OR(ISNUMBER(SEARCH(_xlfn.CONCAT(CHAR(96),CHAR(34)),$H718)),ISNUMBER(SEARCH(_xlfn.CONCAT(CHAR(34),CHAR(39)),$H718))),_xlfn.CONCAT("* REVIEW REQUIRED: compound-quote delimiter in Source on Sheet 1 row ",718,"; edit the input before running."),_xlfn.CONCAT("char ",TRIM($B718),"[doc_source] ",CHAR(96),CHAR(34),SUBSTITUTE(SUBSTITUTE(SUBSTITUTE(SUBSTITUTE(SUBSTITUTE(SUBSTITUTE($H718,CHAR(13)," "),CHAR(10)," "),CHAR(9)," "),CHAR(92),_xlfn.CONCAT(CHAR(92),CHAR(92))),"$",_xlfn.CONCAT(CHAR(92),"$")),CHAR(96),_xlfn.CONCAT(CHAR(92),CHAR(96))),CHAR(34),CHAR(39))))</f>
        <v/>
      </c>
      <c r="S718" s="5" t="str">
        <f>IF(OR(TRIM($B718)="",$I718=""),"",IF(OR(ISNUMBER(SEARCH(_xlfn.CONCAT(CHAR(96),CHAR(34)),$I718)),ISNUMBER(SEARCH(_xlfn.CONCAT(CHAR(34),CHAR(39)),$I718))),_xlfn.CONCAT("* REVIEW REQUIRED: compound-quote delimiter in Derivation on Sheet 1 row ",718,"; edit the input before running."),_xlfn.CONCAT("char ",TRIM($B718),"[doc_derivation] ",CHAR(96),CHAR(34),SUBSTITUTE(SUBSTITUTE(SUBSTITUTE(SUBSTITUTE(SUBSTITUTE(SUBSTITUTE($I718,CHAR(13)," "),CHAR(10)," "),CHAR(9)," "),CHAR(92),_xlfn.CONCAT(CHAR(92),CHAR(92))),"$",_xlfn.CONCAT(CHAR(92),"$")),CHAR(96),_xlfn.CONCAT(CHAR(92),CHAR(96))),CHAR(34),CHAR(39))))</f>
        <v/>
      </c>
      <c r="T718" s="5" t="str">
        <f>IF(OR(TRIM($B718)="",$J718=""),"",IF(OR(ISNUMBER(SEARCH(_xlfn.CONCAT(CHAR(96),CHAR(34)),$J718)),ISNUMBER(SEARCH(_xlfn.CONCAT(CHAR(34),CHAR(39)),$J718))),_xlfn.CONCAT("* REVIEW REQUIRED: compound-quote delimiter in Notes on Sheet 1 row ",718,"; edit the input before running."),_xlfn.CONCAT("char ",TRIM($B718),"[doc_notes] ",CHAR(96),CHAR(34),SUBSTITUTE(SUBSTITUTE(SUBSTITUTE(SUBSTITUTE(SUBSTITUTE(SUBSTITUTE($J718,CHAR(13)," "),CHAR(10)," "),CHAR(9)," "),CHAR(92),_xlfn.CONCAT(CHAR(92),CHAR(92))),"$",_xlfn.CONCAT(CHAR(92),"$")),CHAR(96),_xlfn.CONCAT(CHAR(92),CHAR(96))),CHAR(34),CHAR(39))))</f>
        <v/>
      </c>
      <c r="U718" s="5">
        <f t="shared" si="21"/>
        <v>0</v>
      </c>
    </row>
    <row r="719" spans="3:21" ht="30" customHeight="1" x14ac:dyDescent="0.2">
      <c r="C719" s="4"/>
      <c r="K719" s="5">
        <f t="shared" si="20"/>
        <v>0</v>
      </c>
      <c r="L719" s="5" t="str">
        <f>IF(OR(TRIM($B719)="",$A719=""),"",IF(OR(ISNUMBER(SEARCH(_xlfn.CONCAT(CHAR(96),CHAR(34)),$A719)),ISNUMBER(SEARCH(_xlfn.CONCAT(CHAR(34),CHAR(39)),$A719))),_xlfn.CONCAT("* REVIEW REQUIRED: compound-quote delimiter in Codebook Section on Sheet 1 row ",719,"; edit the input before running."),_xlfn.CONCAT("char ",TRIM($B719),"[doc_section] ",CHAR(96),CHAR(34),SUBSTITUTE(SUBSTITUTE(SUBSTITUTE(SUBSTITUTE(SUBSTITUTE(SUBSTITUTE($A719,CHAR(13)," "),CHAR(10)," "),CHAR(9)," "),CHAR(92),_xlfn.CONCAT(CHAR(92),CHAR(92))),"$",_xlfn.CONCAT(CHAR(92),"$")),CHAR(96),_xlfn.CONCAT(CHAR(92),CHAR(96))),CHAR(34),CHAR(39))))</f>
        <v/>
      </c>
      <c r="M719" s="5" t="str">
        <f>IF(OR(TRIM($B719)="",$C719=""),"",IF(IFERROR(MATCH(TRIM($C719),{"Quantitative","Continuous","Discrete","Categorical","Nominal","Ordinal","Identifier"},0),0)=0,_xlfn.CONCAT("* REVIEW REQUIRED: invalid Variable Type on Sheet 1 row ",719,"."),_xlfn.CONCAT("char ",TRIM($B719),"[doc_vartype] ",CHAR(96),CHAR(34),SUBSTITUTE(SUBSTITUTE(SUBSTITUTE(SUBSTITUTE(SUBSTITUTE(SUBSTITUTE(LOWER(TRIM($C719)),CHAR(13)," "),CHAR(10)," "),CHAR(9)," "),CHAR(92),_xlfn.CONCAT(CHAR(92),CHAR(92))),"$",_xlfn.CONCAT(CHAR(92),"$")),CHAR(96),_xlfn.CONCAT(CHAR(92),CHAR(96))),CHAR(34),CHAR(39))))</f>
        <v/>
      </c>
      <c r="N719" s="5" t="str">
        <f>IF(OR(TRIM($B719)="",$D719=""),"",IF(OR(ISNUMBER(SEARCH(_xlfn.CONCAT(CHAR(96),CHAR(34)),$D719)),ISNUMBER(SEARCH(_xlfn.CONCAT(CHAR(34),CHAR(39)),$D719))),_xlfn.CONCAT("* REVIEW REQUIRED: compound-quote delimiter in Item Number on Sheet 1 row ",719,"; edit the input before running."),_xlfn.CONCAT("char ",TRIM($B719),"[doc_itemnum] ",CHAR(96),CHAR(34),SUBSTITUTE(SUBSTITUTE(SUBSTITUTE(SUBSTITUTE(SUBSTITUTE(SUBSTITUTE($D719,CHAR(13)," "),CHAR(10)," "),CHAR(9)," "),CHAR(92),_xlfn.CONCAT(CHAR(92),CHAR(92))),"$",_xlfn.CONCAT(CHAR(92),"$")),CHAR(96),_xlfn.CONCAT(CHAR(92),CHAR(96))),CHAR(34),CHAR(39))))</f>
        <v/>
      </c>
      <c r="O719" s="5" t="str">
        <f>IF(OR(TRIM($B719)="",$E719=""),"",IF(OR(ISNUMBER(SEARCH(_xlfn.CONCAT(CHAR(96),CHAR(34)),$E719)),ISNUMBER(SEARCH(_xlfn.CONCAT(CHAR(34),CHAR(39)),$E719))),_xlfn.CONCAT("* REVIEW REQUIRED: compound-quote delimiter in Question Wording on Sheet 1 row ",719,"; edit the input before running."),_xlfn.CONCAT("char ",TRIM($B719),"[doc_question] ",CHAR(96),CHAR(34),SUBSTITUTE(SUBSTITUTE(SUBSTITUTE(SUBSTITUTE(SUBSTITUTE(SUBSTITUTE($E719,CHAR(13)," "),CHAR(10)," "),CHAR(9)," "),CHAR(92),_xlfn.CONCAT(CHAR(92),CHAR(92))),"$",_xlfn.CONCAT(CHAR(92),"$")),CHAR(96),_xlfn.CONCAT(CHAR(92),CHAR(96))),CHAR(34),CHAR(39))))</f>
        <v/>
      </c>
      <c r="P719" s="5" t="str">
        <f>IF(OR(TRIM($B719)="",$F719=""),"",IF(OR(ISNUMBER(SEARCH(_xlfn.CONCAT(CHAR(96),CHAR(34)),$F719)),ISNUMBER(SEARCH(_xlfn.CONCAT(CHAR(34),CHAR(39)),$F719))),_xlfn.CONCAT("* REVIEW REQUIRED: compound-quote delimiter in Units on Sheet 1 row ",719,"; edit the input before running."),_xlfn.CONCAT("char ",TRIM($B719),"[doc_units] ",CHAR(96),CHAR(34),SUBSTITUTE(SUBSTITUTE(SUBSTITUTE(SUBSTITUTE(SUBSTITUTE(SUBSTITUTE($F719,CHAR(13)," "),CHAR(10)," "),CHAR(9)," "),CHAR(92),_xlfn.CONCAT(CHAR(92),CHAR(92))),"$",_xlfn.CONCAT(CHAR(92),"$")),CHAR(96),_xlfn.CONCAT(CHAR(92),CHAR(96))),CHAR(34),CHAR(39))))</f>
        <v/>
      </c>
      <c r="Q719" s="5" t="str">
        <f>IF(OR(TRIM($B719)="",$G719=""),"",IF(OR(ISNUMBER(SEARCH(_xlfn.CONCAT(CHAR(96),CHAR(34)),$G719)),ISNUMBER(SEARCH(_xlfn.CONCAT(CHAR(34),CHAR(39)),$G719))),_xlfn.CONCAT("* REVIEW REQUIRED: compound-quote delimiter in Universe on Sheet 1 row ",719,"; edit the input before running."),_xlfn.CONCAT("char ",TRIM($B719),"[doc_universe] ",CHAR(96),CHAR(34),SUBSTITUTE(SUBSTITUTE(SUBSTITUTE(SUBSTITUTE(SUBSTITUTE(SUBSTITUTE($G719,CHAR(13)," "),CHAR(10)," "),CHAR(9)," "),CHAR(92),_xlfn.CONCAT(CHAR(92),CHAR(92))),"$",_xlfn.CONCAT(CHAR(92),"$")),CHAR(96),_xlfn.CONCAT(CHAR(92),CHAR(96))),CHAR(34),CHAR(39))))</f>
        <v/>
      </c>
      <c r="R719" s="5" t="str">
        <f>IF(OR(TRIM($B719)="",$H719=""),"",IF(OR(ISNUMBER(SEARCH(_xlfn.CONCAT(CHAR(96),CHAR(34)),$H719)),ISNUMBER(SEARCH(_xlfn.CONCAT(CHAR(34),CHAR(39)),$H719))),_xlfn.CONCAT("* REVIEW REQUIRED: compound-quote delimiter in Source on Sheet 1 row ",719,"; edit the input before running."),_xlfn.CONCAT("char ",TRIM($B719),"[doc_source] ",CHAR(96),CHAR(34),SUBSTITUTE(SUBSTITUTE(SUBSTITUTE(SUBSTITUTE(SUBSTITUTE(SUBSTITUTE($H719,CHAR(13)," "),CHAR(10)," "),CHAR(9)," "),CHAR(92),_xlfn.CONCAT(CHAR(92),CHAR(92))),"$",_xlfn.CONCAT(CHAR(92),"$")),CHAR(96),_xlfn.CONCAT(CHAR(92),CHAR(96))),CHAR(34),CHAR(39))))</f>
        <v/>
      </c>
      <c r="S719" s="5" t="str">
        <f>IF(OR(TRIM($B719)="",$I719=""),"",IF(OR(ISNUMBER(SEARCH(_xlfn.CONCAT(CHAR(96),CHAR(34)),$I719)),ISNUMBER(SEARCH(_xlfn.CONCAT(CHAR(34),CHAR(39)),$I719))),_xlfn.CONCAT("* REVIEW REQUIRED: compound-quote delimiter in Derivation on Sheet 1 row ",719,"; edit the input before running."),_xlfn.CONCAT("char ",TRIM($B719),"[doc_derivation] ",CHAR(96),CHAR(34),SUBSTITUTE(SUBSTITUTE(SUBSTITUTE(SUBSTITUTE(SUBSTITUTE(SUBSTITUTE($I719,CHAR(13)," "),CHAR(10)," "),CHAR(9)," "),CHAR(92),_xlfn.CONCAT(CHAR(92),CHAR(92))),"$",_xlfn.CONCAT(CHAR(92),"$")),CHAR(96),_xlfn.CONCAT(CHAR(92),CHAR(96))),CHAR(34),CHAR(39))))</f>
        <v/>
      </c>
      <c r="T719" s="5" t="str">
        <f>IF(OR(TRIM($B719)="",$J719=""),"",IF(OR(ISNUMBER(SEARCH(_xlfn.CONCAT(CHAR(96),CHAR(34)),$J719)),ISNUMBER(SEARCH(_xlfn.CONCAT(CHAR(34),CHAR(39)),$J719))),_xlfn.CONCAT("* REVIEW REQUIRED: compound-quote delimiter in Notes on Sheet 1 row ",719,"; edit the input before running."),_xlfn.CONCAT("char ",TRIM($B719),"[doc_notes] ",CHAR(96),CHAR(34),SUBSTITUTE(SUBSTITUTE(SUBSTITUTE(SUBSTITUTE(SUBSTITUTE(SUBSTITUTE($J719,CHAR(13)," "),CHAR(10)," "),CHAR(9)," "),CHAR(92),_xlfn.CONCAT(CHAR(92),CHAR(92))),"$",_xlfn.CONCAT(CHAR(92),"$")),CHAR(96),_xlfn.CONCAT(CHAR(92),CHAR(96))),CHAR(34),CHAR(39))))</f>
        <v/>
      </c>
      <c r="U719" s="5">
        <f t="shared" si="21"/>
        <v>0</v>
      </c>
    </row>
    <row r="720" spans="3:21" ht="30" customHeight="1" x14ac:dyDescent="0.2">
      <c r="C720" s="4"/>
      <c r="K720" s="5">
        <f t="shared" si="20"/>
        <v>0</v>
      </c>
      <c r="L720" s="5" t="str">
        <f>IF(OR(TRIM($B720)="",$A720=""),"",IF(OR(ISNUMBER(SEARCH(_xlfn.CONCAT(CHAR(96),CHAR(34)),$A720)),ISNUMBER(SEARCH(_xlfn.CONCAT(CHAR(34),CHAR(39)),$A720))),_xlfn.CONCAT("* REVIEW REQUIRED: compound-quote delimiter in Codebook Section on Sheet 1 row ",720,"; edit the input before running."),_xlfn.CONCAT("char ",TRIM($B720),"[doc_section] ",CHAR(96),CHAR(34),SUBSTITUTE(SUBSTITUTE(SUBSTITUTE(SUBSTITUTE(SUBSTITUTE(SUBSTITUTE($A720,CHAR(13)," "),CHAR(10)," "),CHAR(9)," "),CHAR(92),_xlfn.CONCAT(CHAR(92),CHAR(92))),"$",_xlfn.CONCAT(CHAR(92),"$")),CHAR(96),_xlfn.CONCAT(CHAR(92),CHAR(96))),CHAR(34),CHAR(39))))</f>
        <v/>
      </c>
      <c r="M720" s="5" t="str">
        <f>IF(OR(TRIM($B720)="",$C720=""),"",IF(IFERROR(MATCH(TRIM($C720),{"Quantitative","Continuous","Discrete","Categorical","Nominal","Ordinal","Identifier"},0),0)=0,_xlfn.CONCAT("* REVIEW REQUIRED: invalid Variable Type on Sheet 1 row ",720,"."),_xlfn.CONCAT("char ",TRIM($B720),"[doc_vartype] ",CHAR(96),CHAR(34),SUBSTITUTE(SUBSTITUTE(SUBSTITUTE(SUBSTITUTE(SUBSTITUTE(SUBSTITUTE(LOWER(TRIM($C720)),CHAR(13)," "),CHAR(10)," "),CHAR(9)," "),CHAR(92),_xlfn.CONCAT(CHAR(92),CHAR(92))),"$",_xlfn.CONCAT(CHAR(92),"$")),CHAR(96),_xlfn.CONCAT(CHAR(92),CHAR(96))),CHAR(34),CHAR(39))))</f>
        <v/>
      </c>
      <c r="N720" s="5" t="str">
        <f>IF(OR(TRIM($B720)="",$D720=""),"",IF(OR(ISNUMBER(SEARCH(_xlfn.CONCAT(CHAR(96),CHAR(34)),$D720)),ISNUMBER(SEARCH(_xlfn.CONCAT(CHAR(34),CHAR(39)),$D720))),_xlfn.CONCAT("* REVIEW REQUIRED: compound-quote delimiter in Item Number on Sheet 1 row ",720,"; edit the input before running."),_xlfn.CONCAT("char ",TRIM($B720),"[doc_itemnum] ",CHAR(96),CHAR(34),SUBSTITUTE(SUBSTITUTE(SUBSTITUTE(SUBSTITUTE(SUBSTITUTE(SUBSTITUTE($D720,CHAR(13)," "),CHAR(10)," "),CHAR(9)," "),CHAR(92),_xlfn.CONCAT(CHAR(92),CHAR(92))),"$",_xlfn.CONCAT(CHAR(92),"$")),CHAR(96),_xlfn.CONCAT(CHAR(92),CHAR(96))),CHAR(34),CHAR(39))))</f>
        <v/>
      </c>
      <c r="O720" s="5" t="str">
        <f>IF(OR(TRIM($B720)="",$E720=""),"",IF(OR(ISNUMBER(SEARCH(_xlfn.CONCAT(CHAR(96),CHAR(34)),$E720)),ISNUMBER(SEARCH(_xlfn.CONCAT(CHAR(34),CHAR(39)),$E720))),_xlfn.CONCAT("* REVIEW REQUIRED: compound-quote delimiter in Question Wording on Sheet 1 row ",720,"; edit the input before running."),_xlfn.CONCAT("char ",TRIM($B720),"[doc_question] ",CHAR(96),CHAR(34),SUBSTITUTE(SUBSTITUTE(SUBSTITUTE(SUBSTITUTE(SUBSTITUTE(SUBSTITUTE($E720,CHAR(13)," "),CHAR(10)," "),CHAR(9)," "),CHAR(92),_xlfn.CONCAT(CHAR(92),CHAR(92))),"$",_xlfn.CONCAT(CHAR(92),"$")),CHAR(96),_xlfn.CONCAT(CHAR(92),CHAR(96))),CHAR(34),CHAR(39))))</f>
        <v/>
      </c>
      <c r="P720" s="5" t="str">
        <f>IF(OR(TRIM($B720)="",$F720=""),"",IF(OR(ISNUMBER(SEARCH(_xlfn.CONCAT(CHAR(96),CHAR(34)),$F720)),ISNUMBER(SEARCH(_xlfn.CONCAT(CHAR(34),CHAR(39)),$F720))),_xlfn.CONCAT("* REVIEW REQUIRED: compound-quote delimiter in Units on Sheet 1 row ",720,"; edit the input before running."),_xlfn.CONCAT("char ",TRIM($B720),"[doc_units] ",CHAR(96),CHAR(34),SUBSTITUTE(SUBSTITUTE(SUBSTITUTE(SUBSTITUTE(SUBSTITUTE(SUBSTITUTE($F720,CHAR(13)," "),CHAR(10)," "),CHAR(9)," "),CHAR(92),_xlfn.CONCAT(CHAR(92),CHAR(92))),"$",_xlfn.CONCAT(CHAR(92),"$")),CHAR(96),_xlfn.CONCAT(CHAR(92),CHAR(96))),CHAR(34),CHAR(39))))</f>
        <v/>
      </c>
      <c r="Q720" s="5" t="str">
        <f>IF(OR(TRIM($B720)="",$G720=""),"",IF(OR(ISNUMBER(SEARCH(_xlfn.CONCAT(CHAR(96),CHAR(34)),$G720)),ISNUMBER(SEARCH(_xlfn.CONCAT(CHAR(34),CHAR(39)),$G720))),_xlfn.CONCAT("* REVIEW REQUIRED: compound-quote delimiter in Universe on Sheet 1 row ",720,"; edit the input before running."),_xlfn.CONCAT("char ",TRIM($B720),"[doc_universe] ",CHAR(96),CHAR(34),SUBSTITUTE(SUBSTITUTE(SUBSTITUTE(SUBSTITUTE(SUBSTITUTE(SUBSTITUTE($G720,CHAR(13)," "),CHAR(10)," "),CHAR(9)," "),CHAR(92),_xlfn.CONCAT(CHAR(92),CHAR(92))),"$",_xlfn.CONCAT(CHAR(92),"$")),CHAR(96),_xlfn.CONCAT(CHAR(92),CHAR(96))),CHAR(34),CHAR(39))))</f>
        <v/>
      </c>
      <c r="R720" s="5" t="str">
        <f>IF(OR(TRIM($B720)="",$H720=""),"",IF(OR(ISNUMBER(SEARCH(_xlfn.CONCAT(CHAR(96),CHAR(34)),$H720)),ISNUMBER(SEARCH(_xlfn.CONCAT(CHAR(34),CHAR(39)),$H720))),_xlfn.CONCAT("* REVIEW REQUIRED: compound-quote delimiter in Source on Sheet 1 row ",720,"; edit the input before running."),_xlfn.CONCAT("char ",TRIM($B720),"[doc_source] ",CHAR(96),CHAR(34),SUBSTITUTE(SUBSTITUTE(SUBSTITUTE(SUBSTITUTE(SUBSTITUTE(SUBSTITUTE($H720,CHAR(13)," "),CHAR(10)," "),CHAR(9)," "),CHAR(92),_xlfn.CONCAT(CHAR(92),CHAR(92))),"$",_xlfn.CONCAT(CHAR(92),"$")),CHAR(96),_xlfn.CONCAT(CHAR(92),CHAR(96))),CHAR(34),CHAR(39))))</f>
        <v/>
      </c>
      <c r="S720" s="5" t="str">
        <f>IF(OR(TRIM($B720)="",$I720=""),"",IF(OR(ISNUMBER(SEARCH(_xlfn.CONCAT(CHAR(96),CHAR(34)),$I720)),ISNUMBER(SEARCH(_xlfn.CONCAT(CHAR(34),CHAR(39)),$I720))),_xlfn.CONCAT("* REVIEW REQUIRED: compound-quote delimiter in Derivation on Sheet 1 row ",720,"; edit the input before running."),_xlfn.CONCAT("char ",TRIM($B720),"[doc_derivation] ",CHAR(96),CHAR(34),SUBSTITUTE(SUBSTITUTE(SUBSTITUTE(SUBSTITUTE(SUBSTITUTE(SUBSTITUTE($I720,CHAR(13)," "),CHAR(10)," "),CHAR(9)," "),CHAR(92),_xlfn.CONCAT(CHAR(92),CHAR(92))),"$",_xlfn.CONCAT(CHAR(92),"$")),CHAR(96),_xlfn.CONCAT(CHAR(92),CHAR(96))),CHAR(34),CHAR(39))))</f>
        <v/>
      </c>
      <c r="T720" s="5" t="str">
        <f>IF(OR(TRIM($B720)="",$J720=""),"",IF(OR(ISNUMBER(SEARCH(_xlfn.CONCAT(CHAR(96),CHAR(34)),$J720)),ISNUMBER(SEARCH(_xlfn.CONCAT(CHAR(34),CHAR(39)),$J720))),_xlfn.CONCAT("* REVIEW REQUIRED: compound-quote delimiter in Notes on Sheet 1 row ",720,"; edit the input before running."),_xlfn.CONCAT("char ",TRIM($B720),"[doc_notes] ",CHAR(96),CHAR(34),SUBSTITUTE(SUBSTITUTE(SUBSTITUTE(SUBSTITUTE(SUBSTITUTE(SUBSTITUTE($J720,CHAR(13)," "),CHAR(10)," "),CHAR(9)," "),CHAR(92),_xlfn.CONCAT(CHAR(92),CHAR(92))),"$",_xlfn.CONCAT(CHAR(92),"$")),CHAR(96),_xlfn.CONCAT(CHAR(92),CHAR(96))),CHAR(34),CHAR(39))))</f>
        <v/>
      </c>
      <c r="U720" s="5">
        <f t="shared" si="21"/>
        <v>0</v>
      </c>
    </row>
    <row r="721" spans="3:21" ht="30" customHeight="1" x14ac:dyDescent="0.2">
      <c r="C721" s="4"/>
      <c r="K721" s="5">
        <f t="shared" si="20"/>
        <v>0</v>
      </c>
      <c r="L721" s="5" t="str">
        <f>IF(OR(TRIM($B721)="",$A721=""),"",IF(OR(ISNUMBER(SEARCH(_xlfn.CONCAT(CHAR(96),CHAR(34)),$A721)),ISNUMBER(SEARCH(_xlfn.CONCAT(CHAR(34),CHAR(39)),$A721))),_xlfn.CONCAT("* REVIEW REQUIRED: compound-quote delimiter in Codebook Section on Sheet 1 row ",721,"; edit the input before running."),_xlfn.CONCAT("char ",TRIM($B721),"[doc_section] ",CHAR(96),CHAR(34),SUBSTITUTE(SUBSTITUTE(SUBSTITUTE(SUBSTITUTE(SUBSTITUTE(SUBSTITUTE($A721,CHAR(13)," "),CHAR(10)," "),CHAR(9)," "),CHAR(92),_xlfn.CONCAT(CHAR(92),CHAR(92))),"$",_xlfn.CONCAT(CHAR(92),"$")),CHAR(96),_xlfn.CONCAT(CHAR(92),CHAR(96))),CHAR(34),CHAR(39))))</f>
        <v/>
      </c>
      <c r="M721" s="5" t="str">
        <f>IF(OR(TRIM($B721)="",$C721=""),"",IF(IFERROR(MATCH(TRIM($C721),{"Quantitative","Continuous","Discrete","Categorical","Nominal","Ordinal","Identifier"},0),0)=0,_xlfn.CONCAT("* REVIEW REQUIRED: invalid Variable Type on Sheet 1 row ",721,"."),_xlfn.CONCAT("char ",TRIM($B721),"[doc_vartype] ",CHAR(96),CHAR(34),SUBSTITUTE(SUBSTITUTE(SUBSTITUTE(SUBSTITUTE(SUBSTITUTE(SUBSTITUTE(LOWER(TRIM($C721)),CHAR(13)," "),CHAR(10)," "),CHAR(9)," "),CHAR(92),_xlfn.CONCAT(CHAR(92),CHAR(92))),"$",_xlfn.CONCAT(CHAR(92),"$")),CHAR(96),_xlfn.CONCAT(CHAR(92),CHAR(96))),CHAR(34),CHAR(39))))</f>
        <v/>
      </c>
      <c r="N721" s="5" t="str">
        <f>IF(OR(TRIM($B721)="",$D721=""),"",IF(OR(ISNUMBER(SEARCH(_xlfn.CONCAT(CHAR(96),CHAR(34)),$D721)),ISNUMBER(SEARCH(_xlfn.CONCAT(CHAR(34),CHAR(39)),$D721))),_xlfn.CONCAT("* REVIEW REQUIRED: compound-quote delimiter in Item Number on Sheet 1 row ",721,"; edit the input before running."),_xlfn.CONCAT("char ",TRIM($B721),"[doc_itemnum] ",CHAR(96),CHAR(34),SUBSTITUTE(SUBSTITUTE(SUBSTITUTE(SUBSTITUTE(SUBSTITUTE(SUBSTITUTE($D721,CHAR(13)," "),CHAR(10)," "),CHAR(9)," "),CHAR(92),_xlfn.CONCAT(CHAR(92),CHAR(92))),"$",_xlfn.CONCAT(CHAR(92),"$")),CHAR(96),_xlfn.CONCAT(CHAR(92),CHAR(96))),CHAR(34),CHAR(39))))</f>
        <v/>
      </c>
      <c r="O721" s="5" t="str">
        <f>IF(OR(TRIM($B721)="",$E721=""),"",IF(OR(ISNUMBER(SEARCH(_xlfn.CONCAT(CHAR(96),CHAR(34)),$E721)),ISNUMBER(SEARCH(_xlfn.CONCAT(CHAR(34),CHAR(39)),$E721))),_xlfn.CONCAT("* REVIEW REQUIRED: compound-quote delimiter in Question Wording on Sheet 1 row ",721,"; edit the input before running."),_xlfn.CONCAT("char ",TRIM($B721),"[doc_question] ",CHAR(96),CHAR(34),SUBSTITUTE(SUBSTITUTE(SUBSTITUTE(SUBSTITUTE(SUBSTITUTE(SUBSTITUTE($E721,CHAR(13)," "),CHAR(10)," "),CHAR(9)," "),CHAR(92),_xlfn.CONCAT(CHAR(92),CHAR(92))),"$",_xlfn.CONCAT(CHAR(92),"$")),CHAR(96),_xlfn.CONCAT(CHAR(92),CHAR(96))),CHAR(34),CHAR(39))))</f>
        <v/>
      </c>
      <c r="P721" s="5" t="str">
        <f>IF(OR(TRIM($B721)="",$F721=""),"",IF(OR(ISNUMBER(SEARCH(_xlfn.CONCAT(CHAR(96),CHAR(34)),$F721)),ISNUMBER(SEARCH(_xlfn.CONCAT(CHAR(34),CHAR(39)),$F721))),_xlfn.CONCAT("* REVIEW REQUIRED: compound-quote delimiter in Units on Sheet 1 row ",721,"; edit the input before running."),_xlfn.CONCAT("char ",TRIM($B721),"[doc_units] ",CHAR(96),CHAR(34),SUBSTITUTE(SUBSTITUTE(SUBSTITUTE(SUBSTITUTE(SUBSTITUTE(SUBSTITUTE($F721,CHAR(13)," "),CHAR(10)," "),CHAR(9)," "),CHAR(92),_xlfn.CONCAT(CHAR(92),CHAR(92))),"$",_xlfn.CONCAT(CHAR(92),"$")),CHAR(96),_xlfn.CONCAT(CHAR(92),CHAR(96))),CHAR(34),CHAR(39))))</f>
        <v/>
      </c>
      <c r="Q721" s="5" t="str">
        <f>IF(OR(TRIM($B721)="",$G721=""),"",IF(OR(ISNUMBER(SEARCH(_xlfn.CONCAT(CHAR(96),CHAR(34)),$G721)),ISNUMBER(SEARCH(_xlfn.CONCAT(CHAR(34),CHAR(39)),$G721))),_xlfn.CONCAT("* REVIEW REQUIRED: compound-quote delimiter in Universe on Sheet 1 row ",721,"; edit the input before running."),_xlfn.CONCAT("char ",TRIM($B721),"[doc_universe] ",CHAR(96),CHAR(34),SUBSTITUTE(SUBSTITUTE(SUBSTITUTE(SUBSTITUTE(SUBSTITUTE(SUBSTITUTE($G721,CHAR(13)," "),CHAR(10)," "),CHAR(9)," "),CHAR(92),_xlfn.CONCAT(CHAR(92),CHAR(92))),"$",_xlfn.CONCAT(CHAR(92),"$")),CHAR(96),_xlfn.CONCAT(CHAR(92),CHAR(96))),CHAR(34),CHAR(39))))</f>
        <v/>
      </c>
      <c r="R721" s="5" t="str">
        <f>IF(OR(TRIM($B721)="",$H721=""),"",IF(OR(ISNUMBER(SEARCH(_xlfn.CONCAT(CHAR(96),CHAR(34)),$H721)),ISNUMBER(SEARCH(_xlfn.CONCAT(CHAR(34),CHAR(39)),$H721))),_xlfn.CONCAT("* REVIEW REQUIRED: compound-quote delimiter in Source on Sheet 1 row ",721,"; edit the input before running."),_xlfn.CONCAT("char ",TRIM($B721),"[doc_source] ",CHAR(96),CHAR(34),SUBSTITUTE(SUBSTITUTE(SUBSTITUTE(SUBSTITUTE(SUBSTITUTE(SUBSTITUTE($H721,CHAR(13)," "),CHAR(10)," "),CHAR(9)," "),CHAR(92),_xlfn.CONCAT(CHAR(92),CHAR(92))),"$",_xlfn.CONCAT(CHAR(92),"$")),CHAR(96),_xlfn.CONCAT(CHAR(92),CHAR(96))),CHAR(34),CHAR(39))))</f>
        <v/>
      </c>
      <c r="S721" s="5" t="str">
        <f>IF(OR(TRIM($B721)="",$I721=""),"",IF(OR(ISNUMBER(SEARCH(_xlfn.CONCAT(CHAR(96),CHAR(34)),$I721)),ISNUMBER(SEARCH(_xlfn.CONCAT(CHAR(34),CHAR(39)),$I721))),_xlfn.CONCAT("* REVIEW REQUIRED: compound-quote delimiter in Derivation on Sheet 1 row ",721,"; edit the input before running."),_xlfn.CONCAT("char ",TRIM($B721),"[doc_derivation] ",CHAR(96),CHAR(34),SUBSTITUTE(SUBSTITUTE(SUBSTITUTE(SUBSTITUTE(SUBSTITUTE(SUBSTITUTE($I721,CHAR(13)," "),CHAR(10)," "),CHAR(9)," "),CHAR(92),_xlfn.CONCAT(CHAR(92),CHAR(92))),"$",_xlfn.CONCAT(CHAR(92),"$")),CHAR(96),_xlfn.CONCAT(CHAR(92),CHAR(96))),CHAR(34),CHAR(39))))</f>
        <v/>
      </c>
      <c r="T721" s="5" t="str">
        <f>IF(OR(TRIM($B721)="",$J721=""),"",IF(OR(ISNUMBER(SEARCH(_xlfn.CONCAT(CHAR(96),CHAR(34)),$J721)),ISNUMBER(SEARCH(_xlfn.CONCAT(CHAR(34),CHAR(39)),$J721))),_xlfn.CONCAT("* REVIEW REQUIRED: compound-quote delimiter in Notes on Sheet 1 row ",721,"; edit the input before running."),_xlfn.CONCAT("char ",TRIM($B721),"[doc_notes] ",CHAR(96),CHAR(34),SUBSTITUTE(SUBSTITUTE(SUBSTITUTE(SUBSTITUTE(SUBSTITUTE(SUBSTITUTE($J721,CHAR(13)," "),CHAR(10)," "),CHAR(9)," "),CHAR(92),_xlfn.CONCAT(CHAR(92),CHAR(92))),"$",_xlfn.CONCAT(CHAR(92),"$")),CHAR(96),_xlfn.CONCAT(CHAR(92),CHAR(96))),CHAR(34),CHAR(39))))</f>
        <v/>
      </c>
      <c r="U721" s="5">
        <f t="shared" si="21"/>
        <v>0</v>
      </c>
    </row>
    <row r="722" spans="3:21" ht="30" customHeight="1" x14ac:dyDescent="0.2">
      <c r="C722" s="4"/>
      <c r="K722" s="5">
        <f t="shared" si="20"/>
        <v>0</v>
      </c>
      <c r="L722" s="5" t="str">
        <f>IF(OR(TRIM($B722)="",$A722=""),"",IF(OR(ISNUMBER(SEARCH(_xlfn.CONCAT(CHAR(96),CHAR(34)),$A722)),ISNUMBER(SEARCH(_xlfn.CONCAT(CHAR(34),CHAR(39)),$A722))),_xlfn.CONCAT("* REVIEW REQUIRED: compound-quote delimiter in Codebook Section on Sheet 1 row ",722,"; edit the input before running."),_xlfn.CONCAT("char ",TRIM($B722),"[doc_section] ",CHAR(96),CHAR(34),SUBSTITUTE(SUBSTITUTE(SUBSTITUTE(SUBSTITUTE(SUBSTITUTE(SUBSTITUTE($A722,CHAR(13)," "),CHAR(10)," "),CHAR(9)," "),CHAR(92),_xlfn.CONCAT(CHAR(92),CHAR(92))),"$",_xlfn.CONCAT(CHAR(92),"$")),CHAR(96),_xlfn.CONCAT(CHAR(92),CHAR(96))),CHAR(34),CHAR(39))))</f>
        <v/>
      </c>
      <c r="M722" s="5" t="str">
        <f>IF(OR(TRIM($B722)="",$C722=""),"",IF(IFERROR(MATCH(TRIM($C722),{"Quantitative","Continuous","Discrete","Categorical","Nominal","Ordinal","Identifier"},0),0)=0,_xlfn.CONCAT("* REVIEW REQUIRED: invalid Variable Type on Sheet 1 row ",722,"."),_xlfn.CONCAT("char ",TRIM($B722),"[doc_vartype] ",CHAR(96),CHAR(34),SUBSTITUTE(SUBSTITUTE(SUBSTITUTE(SUBSTITUTE(SUBSTITUTE(SUBSTITUTE(LOWER(TRIM($C722)),CHAR(13)," "),CHAR(10)," "),CHAR(9)," "),CHAR(92),_xlfn.CONCAT(CHAR(92),CHAR(92))),"$",_xlfn.CONCAT(CHAR(92),"$")),CHAR(96),_xlfn.CONCAT(CHAR(92),CHAR(96))),CHAR(34),CHAR(39))))</f>
        <v/>
      </c>
      <c r="N722" s="5" t="str">
        <f>IF(OR(TRIM($B722)="",$D722=""),"",IF(OR(ISNUMBER(SEARCH(_xlfn.CONCAT(CHAR(96),CHAR(34)),$D722)),ISNUMBER(SEARCH(_xlfn.CONCAT(CHAR(34),CHAR(39)),$D722))),_xlfn.CONCAT("* REVIEW REQUIRED: compound-quote delimiter in Item Number on Sheet 1 row ",722,"; edit the input before running."),_xlfn.CONCAT("char ",TRIM($B722),"[doc_itemnum] ",CHAR(96),CHAR(34),SUBSTITUTE(SUBSTITUTE(SUBSTITUTE(SUBSTITUTE(SUBSTITUTE(SUBSTITUTE($D722,CHAR(13)," "),CHAR(10)," "),CHAR(9)," "),CHAR(92),_xlfn.CONCAT(CHAR(92),CHAR(92))),"$",_xlfn.CONCAT(CHAR(92),"$")),CHAR(96),_xlfn.CONCAT(CHAR(92),CHAR(96))),CHAR(34),CHAR(39))))</f>
        <v/>
      </c>
      <c r="O722" s="5" t="str">
        <f>IF(OR(TRIM($B722)="",$E722=""),"",IF(OR(ISNUMBER(SEARCH(_xlfn.CONCAT(CHAR(96),CHAR(34)),$E722)),ISNUMBER(SEARCH(_xlfn.CONCAT(CHAR(34),CHAR(39)),$E722))),_xlfn.CONCAT("* REVIEW REQUIRED: compound-quote delimiter in Question Wording on Sheet 1 row ",722,"; edit the input before running."),_xlfn.CONCAT("char ",TRIM($B722),"[doc_question] ",CHAR(96),CHAR(34),SUBSTITUTE(SUBSTITUTE(SUBSTITUTE(SUBSTITUTE(SUBSTITUTE(SUBSTITUTE($E722,CHAR(13)," "),CHAR(10)," "),CHAR(9)," "),CHAR(92),_xlfn.CONCAT(CHAR(92),CHAR(92))),"$",_xlfn.CONCAT(CHAR(92),"$")),CHAR(96),_xlfn.CONCAT(CHAR(92),CHAR(96))),CHAR(34),CHAR(39))))</f>
        <v/>
      </c>
      <c r="P722" s="5" t="str">
        <f>IF(OR(TRIM($B722)="",$F722=""),"",IF(OR(ISNUMBER(SEARCH(_xlfn.CONCAT(CHAR(96),CHAR(34)),$F722)),ISNUMBER(SEARCH(_xlfn.CONCAT(CHAR(34),CHAR(39)),$F722))),_xlfn.CONCAT("* REVIEW REQUIRED: compound-quote delimiter in Units on Sheet 1 row ",722,"; edit the input before running."),_xlfn.CONCAT("char ",TRIM($B722),"[doc_units] ",CHAR(96),CHAR(34),SUBSTITUTE(SUBSTITUTE(SUBSTITUTE(SUBSTITUTE(SUBSTITUTE(SUBSTITUTE($F722,CHAR(13)," "),CHAR(10)," "),CHAR(9)," "),CHAR(92),_xlfn.CONCAT(CHAR(92),CHAR(92))),"$",_xlfn.CONCAT(CHAR(92),"$")),CHAR(96),_xlfn.CONCAT(CHAR(92),CHAR(96))),CHAR(34),CHAR(39))))</f>
        <v/>
      </c>
      <c r="Q722" s="5" t="str">
        <f>IF(OR(TRIM($B722)="",$G722=""),"",IF(OR(ISNUMBER(SEARCH(_xlfn.CONCAT(CHAR(96),CHAR(34)),$G722)),ISNUMBER(SEARCH(_xlfn.CONCAT(CHAR(34),CHAR(39)),$G722))),_xlfn.CONCAT("* REVIEW REQUIRED: compound-quote delimiter in Universe on Sheet 1 row ",722,"; edit the input before running."),_xlfn.CONCAT("char ",TRIM($B722),"[doc_universe] ",CHAR(96),CHAR(34),SUBSTITUTE(SUBSTITUTE(SUBSTITUTE(SUBSTITUTE(SUBSTITUTE(SUBSTITUTE($G722,CHAR(13)," "),CHAR(10)," "),CHAR(9)," "),CHAR(92),_xlfn.CONCAT(CHAR(92),CHAR(92))),"$",_xlfn.CONCAT(CHAR(92),"$")),CHAR(96),_xlfn.CONCAT(CHAR(92),CHAR(96))),CHAR(34),CHAR(39))))</f>
        <v/>
      </c>
      <c r="R722" s="5" t="str">
        <f>IF(OR(TRIM($B722)="",$H722=""),"",IF(OR(ISNUMBER(SEARCH(_xlfn.CONCAT(CHAR(96),CHAR(34)),$H722)),ISNUMBER(SEARCH(_xlfn.CONCAT(CHAR(34),CHAR(39)),$H722))),_xlfn.CONCAT("* REVIEW REQUIRED: compound-quote delimiter in Source on Sheet 1 row ",722,"; edit the input before running."),_xlfn.CONCAT("char ",TRIM($B722),"[doc_source] ",CHAR(96),CHAR(34),SUBSTITUTE(SUBSTITUTE(SUBSTITUTE(SUBSTITUTE(SUBSTITUTE(SUBSTITUTE($H722,CHAR(13)," "),CHAR(10)," "),CHAR(9)," "),CHAR(92),_xlfn.CONCAT(CHAR(92),CHAR(92))),"$",_xlfn.CONCAT(CHAR(92),"$")),CHAR(96),_xlfn.CONCAT(CHAR(92),CHAR(96))),CHAR(34),CHAR(39))))</f>
        <v/>
      </c>
      <c r="S722" s="5" t="str">
        <f>IF(OR(TRIM($B722)="",$I722=""),"",IF(OR(ISNUMBER(SEARCH(_xlfn.CONCAT(CHAR(96),CHAR(34)),$I722)),ISNUMBER(SEARCH(_xlfn.CONCAT(CHAR(34),CHAR(39)),$I722))),_xlfn.CONCAT("* REVIEW REQUIRED: compound-quote delimiter in Derivation on Sheet 1 row ",722,"; edit the input before running."),_xlfn.CONCAT("char ",TRIM($B722),"[doc_derivation] ",CHAR(96),CHAR(34),SUBSTITUTE(SUBSTITUTE(SUBSTITUTE(SUBSTITUTE(SUBSTITUTE(SUBSTITUTE($I722,CHAR(13)," "),CHAR(10)," "),CHAR(9)," "),CHAR(92),_xlfn.CONCAT(CHAR(92),CHAR(92))),"$",_xlfn.CONCAT(CHAR(92),"$")),CHAR(96),_xlfn.CONCAT(CHAR(92),CHAR(96))),CHAR(34),CHAR(39))))</f>
        <v/>
      </c>
      <c r="T722" s="5" t="str">
        <f>IF(OR(TRIM($B722)="",$J722=""),"",IF(OR(ISNUMBER(SEARCH(_xlfn.CONCAT(CHAR(96),CHAR(34)),$J722)),ISNUMBER(SEARCH(_xlfn.CONCAT(CHAR(34),CHAR(39)),$J722))),_xlfn.CONCAT("* REVIEW REQUIRED: compound-quote delimiter in Notes on Sheet 1 row ",722,"; edit the input before running."),_xlfn.CONCAT("char ",TRIM($B722),"[doc_notes] ",CHAR(96),CHAR(34),SUBSTITUTE(SUBSTITUTE(SUBSTITUTE(SUBSTITUTE(SUBSTITUTE(SUBSTITUTE($J722,CHAR(13)," "),CHAR(10)," "),CHAR(9)," "),CHAR(92),_xlfn.CONCAT(CHAR(92),CHAR(92))),"$",_xlfn.CONCAT(CHAR(92),"$")),CHAR(96),_xlfn.CONCAT(CHAR(92),CHAR(96))),CHAR(34),CHAR(39))))</f>
        <v/>
      </c>
      <c r="U722" s="5">
        <f t="shared" si="21"/>
        <v>0</v>
      </c>
    </row>
    <row r="723" spans="3:21" ht="30" customHeight="1" x14ac:dyDescent="0.2">
      <c r="C723" s="4"/>
      <c r="K723" s="5">
        <f t="shared" si="20"/>
        <v>0</v>
      </c>
      <c r="L723" s="5" t="str">
        <f>IF(OR(TRIM($B723)="",$A723=""),"",IF(OR(ISNUMBER(SEARCH(_xlfn.CONCAT(CHAR(96),CHAR(34)),$A723)),ISNUMBER(SEARCH(_xlfn.CONCAT(CHAR(34),CHAR(39)),$A723))),_xlfn.CONCAT("* REVIEW REQUIRED: compound-quote delimiter in Codebook Section on Sheet 1 row ",723,"; edit the input before running."),_xlfn.CONCAT("char ",TRIM($B723),"[doc_section] ",CHAR(96),CHAR(34),SUBSTITUTE(SUBSTITUTE(SUBSTITUTE(SUBSTITUTE(SUBSTITUTE(SUBSTITUTE($A723,CHAR(13)," "),CHAR(10)," "),CHAR(9)," "),CHAR(92),_xlfn.CONCAT(CHAR(92),CHAR(92))),"$",_xlfn.CONCAT(CHAR(92),"$")),CHAR(96),_xlfn.CONCAT(CHAR(92),CHAR(96))),CHAR(34),CHAR(39))))</f>
        <v/>
      </c>
      <c r="M723" s="5" t="str">
        <f>IF(OR(TRIM($B723)="",$C723=""),"",IF(IFERROR(MATCH(TRIM($C723),{"Quantitative","Continuous","Discrete","Categorical","Nominal","Ordinal","Identifier"},0),0)=0,_xlfn.CONCAT("* REVIEW REQUIRED: invalid Variable Type on Sheet 1 row ",723,"."),_xlfn.CONCAT("char ",TRIM($B723),"[doc_vartype] ",CHAR(96),CHAR(34),SUBSTITUTE(SUBSTITUTE(SUBSTITUTE(SUBSTITUTE(SUBSTITUTE(SUBSTITUTE(LOWER(TRIM($C723)),CHAR(13)," "),CHAR(10)," "),CHAR(9)," "),CHAR(92),_xlfn.CONCAT(CHAR(92),CHAR(92))),"$",_xlfn.CONCAT(CHAR(92),"$")),CHAR(96),_xlfn.CONCAT(CHAR(92),CHAR(96))),CHAR(34),CHAR(39))))</f>
        <v/>
      </c>
      <c r="N723" s="5" t="str">
        <f>IF(OR(TRIM($B723)="",$D723=""),"",IF(OR(ISNUMBER(SEARCH(_xlfn.CONCAT(CHAR(96),CHAR(34)),$D723)),ISNUMBER(SEARCH(_xlfn.CONCAT(CHAR(34),CHAR(39)),$D723))),_xlfn.CONCAT("* REVIEW REQUIRED: compound-quote delimiter in Item Number on Sheet 1 row ",723,"; edit the input before running."),_xlfn.CONCAT("char ",TRIM($B723),"[doc_itemnum] ",CHAR(96),CHAR(34),SUBSTITUTE(SUBSTITUTE(SUBSTITUTE(SUBSTITUTE(SUBSTITUTE(SUBSTITUTE($D723,CHAR(13)," "),CHAR(10)," "),CHAR(9)," "),CHAR(92),_xlfn.CONCAT(CHAR(92),CHAR(92))),"$",_xlfn.CONCAT(CHAR(92),"$")),CHAR(96),_xlfn.CONCAT(CHAR(92),CHAR(96))),CHAR(34),CHAR(39))))</f>
        <v/>
      </c>
      <c r="O723" s="5" t="str">
        <f>IF(OR(TRIM($B723)="",$E723=""),"",IF(OR(ISNUMBER(SEARCH(_xlfn.CONCAT(CHAR(96),CHAR(34)),$E723)),ISNUMBER(SEARCH(_xlfn.CONCAT(CHAR(34),CHAR(39)),$E723))),_xlfn.CONCAT("* REVIEW REQUIRED: compound-quote delimiter in Question Wording on Sheet 1 row ",723,"; edit the input before running."),_xlfn.CONCAT("char ",TRIM($B723),"[doc_question] ",CHAR(96),CHAR(34),SUBSTITUTE(SUBSTITUTE(SUBSTITUTE(SUBSTITUTE(SUBSTITUTE(SUBSTITUTE($E723,CHAR(13)," "),CHAR(10)," "),CHAR(9)," "),CHAR(92),_xlfn.CONCAT(CHAR(92),CHAR(92))),"$",_xlfn.CONCAT(CHAR(92),"$")),CHAR(96),_xlfn.CONCAT(CHAR(92),CHAR(96))),CHAR(34),CHAR(39))))</f>
        <v/>
      </c>
      <c r="P723" s="5" t="str">
        <f>IF(OR(TRIM($B723)="",$F723=""),"",IF(OR(ISNUMBER(SEARCH(_xlfn.CONCAT(CHAR(96),CHAR(34)),$F723)),ISNUMBER(SEARCH(_xlfn.CONCAT(CHAR(34),CHAR(39)),$F723))),_xlfn.CONCAT("* REVIEW REQUIRED: compound-quote delimiter in Units on Sheet 1 row ",723,"; edit the input before running."),_xlfn.CONCAT("char ",TRIM($B723),"[doc_units] ",CHAR(96),CHAR(34),SUBSTITUTE(SUBSTITUTE(SUBSTITUTE(SUBSTITUTE(SUBSTITUTE(SUBSTITUTE($F723,CHAR(13)," "),CHAR(10)," "),CHAR(9)," "),CHAR(92),_xlfn.CONCAT(CHAR(92),CHAR(92))),"$",_xlfn.CONCAT(CHAR(92),"$")),CHAR(96),_xlfn.CONCAT(CHAR(92),CHAR(96))),CHAR(34),CHAR(39))))</f>
        <v/>
      </c>
      <c r="Q723" s="5" t="str">
        <f>IF(OR(TRIM($B723)="",$G723=""),"",IF(OR(ISNUMBER(SEARCH(_xlfn.CONCAT(CHAR(96),CHAR(34)),$G723)),ISNUMBER(SEARCH(_xlfn.CONCAT(CHAR(34),CHAR(39)),$G723))),_xlfn.CONCAT("* REVIEW REQUIRED: compound-quote delimiter in Universe on Sheet 1 row ",723,"; edit the input before running."),_xlfn.CONCAT("char ",TRIM($B723),"[doc_universe] ",CHAR(96),CHAR(34),SUBSTITUTE(SUBSTITUTE(SUBSTITUTE(SUBSTITUTE(SUBSTITUTE(SUBSTITUTE($G723,CHAR(13)," "),CHAR(10)," "),CHAR(9)," "),CHAR(92),_xlfn.CONCAT(CHAR(92),CHAR(92))),"$",_xlfn.CONCAT(CHAR(92),"$")),CHAR(96),_xlfn.CONCAT(CHAR(92),CHAR(96))),CHAR(34),CHAR(39))))</f>
        <v/>
      </c>
      <c r="R723" s="5" t="str">
        <f>IF(OR(TRIM($B723)="",$H723=""),"",IF(OR(ISNUMBER(SEARCH(_xlfn.CONCAT(CHAR(96),CHAR(34)),$H723)),ISNUMBER(SEARCH(_xlfn.CONCAT(CHAR(34),CHAR(39)),$H723))),_xlfn.CONCAT("* REVIEW REQUIRED: compound-quote delimiter in Source on Sheet 1 row ",723,"; edit the input before running."),_xlfn.CONCAT("char ",TRIM($B723),"[doc_source] ",CHAR(96),CHAR(34),SUBSTITUTE(SUBSTITUTE(SUBSTITUTE(SUBSTITUTE(SUBSTITUTE(SUBSTITUTE($H723,CHAR(13)," "),CHAR(10)," "),CHAR(9)," "),CHAR(92),_xlfn.CONCAT(CHAR(92),CHAR(92))),"$",_xlfn.CONCAT(CHAR(92),"$")),CHAR(96),_xlfn.CONCAT(CHAR(92),CHAR(96))),CHAR(34),CHAR(39))))</f>
        <v/>
      </c>
      <c r="S723" s="5" t="str">
        <f>IF(OR(TRIM($B723)="",$I723=""),"",IF(OR(ISNUMBER(SEARCH(_xlfn.CONCAT(CHAR(96),CHAR(34)),$I723)),ISNUMBER(SEARCH(_xlfn.CONCAT(CHAR(34),CHAR(39)),$I723))),_xlfn.CONCAT("* REVIEW REQUIRED: compound-quote delimiter in Derivation on Sheet 1 row ",723,"; edit the input before running."),_xlfn.CONCAT("char ",TRIM($B723),"[doc_derivation] ",CHAR(96),CHAR(34),SUBSTITUTE(SUBSTITUTE(SUBSTITUTE(SUBSTITUTE(SUBSTITUTE(SUBSTITUTE($I723,CHAR(13)," "),CHAR(10)," "),CHAR(9)," "),CHAR(92),_xlfn.CONCAT(CHAR(92),CHAR(92))),"$",_xlfn.CONCAT(CHAR(92),"$")),CHAR(96),_xlfn.CONCAT(CHAR(92),CHAR(96))),CHAR(34),CHAR(39))))</f>
        <v/>
      </c>
      <c r="T723" s="5" t="str">
        <f>IF(OR(TRIM($B723)="",$J723=""),"",IF(OR(ISNUMBER(SEARCH(_xlfn.CONCAT(CHAR(96),CHAR(34)),$J723)),ISNUMBER(SEARCH(_xlfn.CONCAT(CHAR(34),CHAR(39)),$J723))),_xlfn.CONCAT("* REVIEW REQUIRED: compound-quote delimiter in Notes on Sheet 1 row ",723,"; edit the input before running."),_xlfn.CONCAT("char ",TRIM($B723),"[doc_notes] ",CHAR(96),CHAR(34),SUBSTITUTE(SUBSTITUTE(SUBSTITUTE(SUBSTITUTE(SUBSTITUTE(SUBSTITUTE($J723,CHAR(13)," "),CHAR(10)," "),CHAR(9)," "),CHAR(92),_xlfn.CONCAT(CHAR(92),CHAR(92))),"$",_xlfn.CONCAT(CHAR(92),"$")),CHAR(96),_xlfn.CONCAT(CHAR(92),CHAR(96))),CHAR(34),CHAR(39))))</f>
        <v/>
      </c>
      <c r="U723" s="5">
        <f t="shared" si="21"/>
        <v>0</v>
      </c>
    </row>
    <row r="724" spans="3:21" ht="30" customHeight="1" x14ac:dyDescent="0.2">
      <c r="C724" s="4"/>
      <c r="K724" s="5">
        <f t="shared" ref="K724:K787" si="22">COUNTIF(L724:T724,"?*")</f>
        <v>0</v>
      </c>
      <c r="L724" s="5" t="str">
        <f>IF(OR(TRIM($B724)="",$A724=""),"",IF(OR(ISNUMBER(SEARCH(_xlfn.CONCAT(CHAR(96),CHAR(34)),$A724)),ISNUMBER(SEARCH(_xlfn.CONCAT(CHAR(34),CHAR(39)),$A724))),_xlfn.CONCAT("* REVIEW REQUIRED: compound-quote delimiter in Codebook Section on Sheet 1 row ",724,"; edit the input before running."),_xlfn.CONCAT("char ",TRIM($B724),"[doc_section] ",CHAR(96),CHAR(34),SUBSTITUTE(SUBSTITUTE(SUBSTITUTE(SUBSTITUTE(SUBSTITUTE(SUBSTITUTE($A724,CHAR(13)," "),CHAR(10)," "),CHAR(9)," "),CHAR(92),_xlfn.CONCAT(CHAR(92),CHAR(92))),"$",_xlfn.CONCAT(CHAR(92),"$")),CHAR(96),_xlfn.CONCAT(CHAR(92),CHAR(96))),CHAR(34),CHAR(39))))</f>
        <v/>
      </c>
      <c r="M724" s="5" t="str">
        <f>IF(OR(TRIM($B724)="",$C724=""),"",IF(IFERROR(MATCH(TRIM($C724),{"Quantitative","Continuous","Discrete","Categorical","Nominal","Ordinal","Identifier"},0),0)=0,_xlfn.CONCAT("* REVIEW REQUIRED: invalid Variable Type on Sheet 1 row ",724,"."),_xlfn.CONCAT("char ",TRIM($B724),"[doc_vartype] ",CHAR(96),CHAR(34),SUBSTITUTE(SUBSTITUTE(SUBSTITUTE(SUBSTITUTE(SUBSTITUTE(SUBSTITUTE(LOWER(TRIM($C724)),CHAR(13)," "),CHAR(10)," "),CHAR(9)," "),CHAR(92),_xlfn.CONCAT(CHAR(92),CHAR(92))),"$",_xlfn.CONCAT(CHAR(92),"$")),CHAR(96),_xlfn.CONCAT(CHAR(92),CHAR(96))),CHAR(34),CHAR(39))))</f>
        <v/>
      </c>
      <c r="N724" s="5" t="str">
        <f>IF(OR(TRIM($B724)="",$D724=""),"",IF(OR(ISNUMBER(SEARCH(_xlfn.CONCAT(CHAR(96),CHAR(34)),$D724)),ISNUMBER(SEARCH(_xlfn.CONCAT(CHAR(34),CHAR(39)),$D724))),_xlfn.CONCAT("* REVIEW REQUIRED: compound-quote delimiter in Item Number on Sheet 1 row ",724,"; edit the input before running."),_xlfn.CONCAT("char ",TRIM($B724),"[doc_itemnum] ",CHAR(96),CHAR(34),SUBSTITUTE(SUBSTITUTE(SUBSTITUTE(SUBSTITUTE(SUBSTITUTE(SUBSTITUTE($D724,CHAR(13)," "),CHAR(10)," "),CHAR(9)," "),CHAR(92),_xlfn.CONCAT(CHAR(92),CHAR(92))),"$",_xlfn.CONCAT(CHAR(92),"$")),CHAR(96),_xlfn.CONCAT(CHAR(92),CHAR(96))),CHAR(34),CHAR(39))))</f>
        <v/>
      </c>
      <c r="O724" s="5" t="str">
        <f>IF(OR(TRIM($B724)="",$E724=""),"",IF(OR(ISNUMBER(SEARCH(_xlfn.CONCAT(CHAR(96),CHAR(34)),$E724)),ISNUMBER(SEARCH(_xlfn.CONCAT(CHAR(34),CHAR(39)),$E724))),_xlfn.CONCAT("* REVIEW REQUIRED: compound-quote delimiter in Question Wording on Sheet 1 row ",724,"; edit the input before running."),_xlfn.CONCAT("char ",TRIM($B724),"[doc_question] ",CHAR(96),CHAR(34),SUBSTITUTE(SUBSTITUTE(SUBSTITUTE(SUBSTITUTE(SUBSTITUTE(SUBSTITUTE($E724,CHAR(13)," "),CHAR(10)," "),CHAR(9)," "),CHAR(92),_xlfn.CONCAT(CHAR(92),CHAR(92))),"$",_xlfn.CONCAT(CHAR(92),"$")),CHAR(96),_xlfn.CONCAT(CHAR(92),CHAR(96))),CHAR(34),CHAR(39))))</f>
        <v/>
      </c>
      <c r="P724" s="5" t="str">
        <f>IF(OR(TRIM($B724)="",$F724=""),"",IF(OR(ISNUMBER(SEARCH(_xlfn.CONCAT(CHAR(96),CHAR(34)),$F724)),ISNUMBER(SEARCH(_xlfn.CONCAT(CHAR(34),CHAR(39)),$F724))),_xlfn.CONCAT("* REVIEW REQUIRED: compound-quote delimiter in Units on Sheet 1 row ",724,"; edit the input before running."),_xlfn.CONCAT("char ",TRIM($B724),"[doc_units] ",CHAR(96),CHAR(34),SUBSTITUTE(SUBSTITUTE(SUBSTITUTE(SUBSTITUTE(SUBSTITUTE(SUBSTITUTE($F724,CHAR(13)," "),CHAR(10)," "),CHAR(9)," "),CHAR(92),_xlfn.CONCAT(CHAR(92),CHAR(92))),"$",_xlfn.CONCAT(CHAR(92),"$")),CHAR(96),_xlfn.CONCAT(CHAR(92),CHAR(96))),CHAR(34),CHAR(39))))</f>
        <v/>
      </c>
      <c r="Q724" s="5" t="str">
        <f>IF(OR(TRIM($B724)="",$G724=""),"",IF(OR(ISNUMBER(SEARCH(_xlfn.CONCAT(CHAR(96),CHAR(34)),$G724)),ISNUMBER(SEARCH(_xlfn.CONCAT(CHAR(34),CHAR(39)),$G724))),_xlfn.CONCAT("* REVIEW REQUIRED: compound-quote delimiter in Universe on Sheet 1 row ",724,"; edit the input before running."),_xlfn.CONCAT("char ",TRIM($B724),"[doc_universe] ",CHAR(96),CHAR(34),SUBSTITUTE(SUBSTITUTE(SUBSTITUTE(SUBSTITUTE(SUBSTITUTE(SUBSTITUTE($G724,CHAR(13)," "),CHAR(10)," "),CHAR(9)," "),CHAR(92),_xlfn.CONCAT(CHAR(92),CHAR(92))),"$",_xlfn.CONCAT(CHAR(92),"$")),CHAR(96),_xlfn.CONCAT(CHAR(92),CHAR(96))),CHAR(34),CHAR(39))))</f>
        <v/>
      </c>
      <c r="R724" s="5" t="str">
        <f>IF(OR(TRIM($B724)="",$H724=""),"",IF(OR(ISNUMBER(SEARCH(_xlfn.CONCAT(CHAR(96),CHAR(34)),$H724)),ISNUMBER(SEARCH(_xlfn.CONCAT(CHAR(34),CHAR(39)),$H724))),_xlfn.CONCAT("* REVIEW REQUIRED: compound-quote delimiter in Source on Sheet 1 row ",724,"; edit the input before running."),_xlfn.CONCAT("char ",TRIM($B724),"[doc_source] ",CHAR(96),CHAR(34),SUBSTITUTE(SUBSTITUTE(SUBSTITUTE(SUBSTITUTE(SUBSTITUTE(SUBSTITUTE($H724,CHAR(13)," "),CHAR(10)," "),CHAR(9)," "),CHAR(92),_xlfn.CONCAT(CHAR(92),CHAR(92))),"$",_xlfn.CONCAT(CHAR(92),"$")),CHAR(96),_xlfn.CONCAT(CHAR(92),CHAR(96))),CHAR(34),CHAR(39))))</f>
        <v/>
      </c>
      <c r="S724" s="5" t="str">
        <f>IF(OR(TRIM($B724)="",$I724=""),"",IF(OR(ISNUMBER(SEARCH(_xlfn.CONCAT(CHAR(96),CHAR(34)),$I724)),ISNUMBER(SEARCH(_xlfn.CONCAT(CHAR(34),CHAR(39)),$I724))),_xlfn.CONCAT("* REVIEW REQUIRED: compound-quote delimiter in Derivation on Sheet 1 row ",724,"; edit the input before running."),_xlfn.CONCAT("char ",TRIM($B724),"[doc_derivation] ",CHAR(96),CHAR(34),SUBSTITUTE(SUBSTITUTE(SUBSTITUTE(SUBSTITUTE(SUBSTITUTE(SUBSTITUTE($I724,CHAR(13)," "),CHAR(10)," "),CHAR(9)," "),CHAR(92),_xlfn.CONCAT(CHAR(92),CHAR(92))),"$",_xlfn.CONCAT(CHAR(92),"$")),CHAR(96),_xlfn.CONCAT(CHAR(92),CHAR(96))),CHAR(34),CHAR(39))))</f>
        <v/>
      </c>
      <c r="T724" s="5" t="str">
        <f>IF(OR(TRIM($B724)="",$J724=""),"",IF(OR(ISNUMBER(SEARCH(_xlfn.CONCAT(CHAR(96),CHAR(34)),$J724)),ISNUMBER(SEARCH(_xlfn.CONCAT(CHAR(34),CHAR(39)),$J724))),_xlfn.CONCAT("* REVIEW REQUIRED: compound-quote delimiter in Notes on Sheet 1 row ",724,"; edit the input before running."),_xlfn.CONCAT("char ",TRIM($B724),"[doc_notes] ",CHAR(96),CHAR(34),SUBSTITUTE(SUBSTITUTE(SUBSTITUTE(SUBSTITUTE(SUBSTITUTE(SUBSTITUTE($J724,CHAR(13)," "),CHAR(10)," "),CHAR(9)," "),CHAR(92),_xlfn.CONCAT(CHAR(92),CHAR(92))),"$",_xlfn.CONCAT(CHAR(92),"$")),CHAR(96),_xlfn.CONCAT(CHAR(92),CHAR(96))),CHAR(34),CHAR(39))))</f>
        <v/>
      </c>
      <c r="U724" s="5">
        <f t="shared" ref="U724:U787" si="23">COUNTIF(L724:T724,"*REVIEW REQUIRED*")</f>
        <v>0</v>
      </c>
    </row>
    <row r="725" spans="3:21" ht="30" customHeight="1" x14ac:dyDescent="0.2">
      <c r="C725" s="4"/>
      <c r="K725" s="5">
        <f t="shared" si="22"/>
        <v>0</v>
      </c>
      <c r="L725" s="5" t="str">
        <f>IF(OR(TRIM($B725)="",$A725=""),"",IF(OR(ISNUMBER(SEARCH(_xlfn.CONCAT(CHAR(96),CHAR(34)),$A725)),ISNUMBER(SEARCH(_xlfn.CONCAT(CHAR(34),CHAR(39)),$A725))),_xlfn.CONCAT("* REVIEW REQUIRED: compound-quote delimiter in Codebook Section on Sheet 1 row ",725,"; edit the input before running."),_xlfn.CONCAT("char ",TRIM($B725),"[doc_section] ",CHAR(96),CHAR(34),SUBSTITUTE(SUBSTITUTE(SUBSTITUTE(SUBSTITUTE(SUBSTITUTE(SUBSTITUTE($A725,CHAR(13)," "),CHAR(10)," "),CHAR(9)," "),CHAR(92),_xlfn.CONCAT(CHAR(92),CHAR(92))),"$",_xlfn.CONCAT(CHAR(92),"$")),CHAR(96),_xlfn.CONCAT(CHAR(92),CHAR(96))),CHAR(34),CHAR(39))))</f>
        <v/>
      </c>
      <c r="M725" s="5" t="str">
        <f>IF(OR(TRIM($B725)="",$C725=""),"",IF(IFERROR(MATCH(TRIM($C725),{"Quantitative","Continuous","Discrete","Categorical","Nominal","Ordinal","Identifier"},0),0)=0,_xlfn.CONCAT("* REVIEW REQUIRED: invalid Variable Type on Sheet 1 row ",725,"."),_xlfn.CONCAT("char ",TRIM($B725),"[doc_vartype] ",CHAR(96),CHAR(34),SUBSTITUTE(SUBSTITUTE(SUBSTITUTE(SUBSTITUTE(SUBSTITUTE(SUBSTITUTE(LOWER(TRIM($C725)),CHAR(13)," "),CHAR(10)," "),CHAR(9)," "),CHAR(92),_xlfn.CONCAT(CHAR(92),CHAR(92))),"$",_xlfn.CONCAT(CHAR(92),"$")),CHAR(96),_xlfn.CONCAT(CHAR(92),CHAR(96))),CHAR(34),CHAR(39))))</f>
        <v/>
      </c>
      <c r="N725" s="5" t="str">
        <f>IF(OR(TRIM($B725)="",$D725=""),"",IF(OR(ISNUMBER(SEARCH(_xlfn.CONCAT(CHAR(96),CHAR(34)),$D725)),ISNUMBER(SEARCH(_xlfn.CONCAT(CHAR(34),CHAR(39)),$D725))),_xlfn.CONCAT("* REVIEW REQUIRED: compound-quote delimiter in Item Number on Sheet 1 row ",725,"; edit the input before running."),_xlfn.CONCAT("char ",TRIM($B725),"[doc_itemnum] ",CHAR(96),CHAR(34),SUBSTITUTE(SUBSTITUTE(SUBSTITUTE(SUBSTITUTE(SUBSTITUTE(SUBSTITUTE($D725,CHAR(13)," "),CHAR(10)," "),CHAR(9)," "),CHAR(92),_xlfn.CONCAT(CHAR(92),CHAR(92))),"$",_xlfn.CONCAT(CHAR(92),"$")),CHAR(96),_xlfn.CONCAT(CHAR(92),CHAR(96))),CHAR(34),CHAR(39))))</f>
        <v/>
      </c>
      <c r="O725" s="5" t="str">
        <f>IF(OR(TRIM($B725)="",$E725=""),"",IF(OR(ISNUMBER(SEARCH(_xlfn.CONCAT(CHAR(96),CHAR(34)),$E725)),ISNUMBER(SEARCH(_xlfn.CONCAT(CHAR(34),CHAR(39)),$E725))),_xlfn.CONCAT("* REVIEW REQUIRED: compound-quote delimiter in Question Wording on Sheet 1 row ",725,"; edit the input before running."),_xlfn.CONCAT("char ",TRIM($B725),"[doc_question] ",CHAR(96),CHAR(34),SUBSTITUTE(SUBSTITUTE(SUBSTITUTE(SUBSTITUTE(SUBSTITUTE(SUBSTITUTE($E725,CHAR(13)," "),CHAR(10)," "),CHAR(9)," "),CHAR(92),_xlfn.CONCAT(CHAR(92),CHAR(92))),"$",_xlfn.CONCAT(CHAR(92),"$")),CHAR(96),_xlfn.CONCAT(CHAR(92),CHAR(96))),CHAR(34),CHAR(39))))</f>
        <v/>
      </c>
      <c r="P725" s="5" t="str">
        <f>IF(OR(TRIM($B725)="",$F725=""),"",IF(OR(ISNUMBER(SEARCH(_xlfn.CONCAT(CHAR(96),CHAR(34)),$F725)),ISNUMBER(SEARCH(_xlfn.CONCAT(CHAR(34),CHAR(39)),$F725))),_xlfn.CONCAT("* REVIEW REQUIRED: compound-quote delimiter in Units on Sheet 1 row ",725,"; edit the input before running."),_xlfn.CONCAT("char ",TRIM($B725),"[doc_units] ",CHAR(96),CHAR(34),SUBSTITUTE(SUBSTITUTE(SUBSTITUTE(SUBSTITUTE(SUBSTITUTE(SUBSTITUTE($F725,CHAR(13)," "),CHAR(10)," "),CHAR(9)," "),CHAR(92),_xlfn.CONCAT(CHAR(92),CHAR(92))),"$",_xlfn.CONCAT(CHAR(92),"$")),CHAR(96),_xlfn.CONCAT(CHAR(92),CHAR(96))),CHAR(34),CHAR(39))))</f>
        <v/>
      </c>
      <c r="Q725" s="5" t="str">
        <f>IF(OR(TRIM($B725)="",$G725=""),"",IF(OR(ISNUMBER(SEARCH(_xlfn.CONCAT(CHAR(96),CHAR(34)),$G725)),ISNUMBER(SEARCH(_xlfn.CONCAT(CHAR(34),CHAR(39)),$G725))),_xlfn.CONCAT("* REVIEW REQUIRED: compound-quote delimiter in Universe on Sheet 1 row ",725,"; edit the input before running."),_xlfn.CONCAT("char ",TRIM($B725),"[doc_universe] ",CHAR(96),CHAR(34),SUBSTITUTE(SUBSTITUTE(SUBSTITUTE(SUBSTITUTE(SUBSTITUTE(SUBSTITUTE($G725,CHAR(13)," "),CHAR(10)," "),CHAR(9)," "),CHAR(92),_xlfn.CONCAT(CHAR(92),CHAR(92))),"$",_xlfn.CONCAT(CHAR(92),"$")),CHAR(96),_xlfn.CONCAT(CHAR(92),CHAR(96))),CHAR(34),CHAR(39))))</f>
        <v/>
      </c>
      <c r="R725" s="5" t="str">
        <f>IF(OR(TRIM($B725)="",$H725=""),"",IF(OR(ISNUMBER(SEARCH(_xlfn.CONCAT(CHAR(96),CHAR(34)),$H725)),ISNUMBER(SEARCH(_xlfn.CONCAT(CHAR(34),CHAR(39)),$H725))),_xlfn.CONCAT("* REVIEW REQUIRED: compound-quote delimiter in Source on Sheet 1 row ",725,"; edit the input before running."),_xlfn.CONCAT("char ",TRIM($B725),"[doc_source] ",CHAR(96),CHAR(34),SUBSTITUTE(SUBSTITUTE(SUBSTITUTE(SUBSTITUTE(SUBSTITUTE(SUBSTITUTE($H725,CHAR(13)," "),CHAR(10)," "),CHAR(9)," "),CHAR(92),_xlfn.CONCAT(CHAR(92),CHAR(92))),"$",_xlfn.CONCAT(CHAR(92),"$")),CHAR(96),_xlfn.CONCAT(CHAR(92),CHAR(96))),CHAR(34),CHAR(39))))</f>
        <v/>
      </c>
      <c r="S725" s="5" t="str">
        <f>IF(OR(TRIM($B725)="",$I725=""),"",IF(OR(ISNUMBER(SEARCH(_xlfn.CONCAT(CHAR(96),CHAR(34)),$I725)),ISNUMBER(SEARCH(_xlfn.CONCAT(CHAR(34),CHAR(39)),$I725))),_xlfn.CONCAT("* REVIEW REQUIRED: compound-quote delimiter in Derivation on Sheet 1 row ",725,"; edit the input before running."),_xlfn.CONCAT("char ",TRIM($B725),"[doc_derivation] ",CHAR(96),CHAR(34),SUBSTITUTE(SUBSTITUTE(SUBSTITUTE(SUBSTITUTE(SUBSTITUTE(SUBSTITUTE($I725,CHAR(13)," "),CHAR(10)," "),CHAR(9)," "),CHAR(92),_xlfn.CONCAT(CHAR(92),CHAR(92))),"$",_xlfn.CONCAT(CHAR(92),"$")),CHAR(96),_xlfn.CONCAT(CHAR(92),CHAR(96))),CHAR(34),CHAR(39))))</f>
        <v/>
      </c>
      <c r="T725" s="5" t="str">
        <f>IF(OR(TRIM($B725)="",$J725=""),"",IF(OR(ISNUMBER(SEARCH(_xlfn.CONCAT(CHAR(96),CHAR(34)),$J725)),ISNUMBER(SEARCH(_xlfn.CONCAT(CHAR(34),CHAR(39)),$J725))),_xlfn.CONCAT("* REVIEW REQUIRED: compound-quote delimiter in Notes on Sheet 1 row ",725,"; edit the input before running."),_xlfn.CONCAT("char ",TRIM($B725),"[doc_notes] ",CHAR(96),CHAR(34),SUBSTITUTE(SUBSTITUTE(SUBSTITUTE(SUBSTITUTE(SUBSTITUTE(SUBSTITUTE($J725,CHAR(13)," "),CHAR(10)," "),CHAR(9)," "),CHAR(92),_xlfn.CONCAT(CHAR(92),CHAR(92))),"$",_xlfn.CONCAT(CHAR(92),"$")),CHAR(96),_xlfn.CONCAT(CHAR(92),CHAR(96))),CHAR(34),CHAR(39))))</f>
        <v/>
      </c>
      <c r="U725" s="5">
        <f t="shared" si="23"/>
        <v>0</v>
      </c>
    </row>
    <row r="726" spans="3:21" ht="30" customHeight="1" x14ac:dyDescent="0.2">
      <c r="C726" s="4"/>
      <c r="K726" s="5">
        <f t="shared" si="22"/>
        <v>0</v>
      </c>
      <c r="L726" s="5" t="str">
        <f>IF(OR(TRIM($B726)="",$A726=""),"",IF(OR(ISNUMBER(SEARCH(_xlfn.CONCAT(CHAR(96),CHAR(34)),$A726)),ISNUMBER(SEARCH(_xlfn.CONCAT(CHAR(34),CHAR(39)),$A726))),_xlfn.CONCAT("* REVIEW REQUIRED: compound-quote delimiter in Codebook Section on Sheet 1 row ",726,"; edit the input before running."),_xlfn.CONCAT("char ",TRIM($B726),"[doc_section] ",CHAR(96),CHAR(34),SUBSTITUTE(SUBSTITUTE(SUBSTITUTE(SUBSTITUTE(SUBSTITUTE(SUBSTITUTE($A726,CHAR(13)," "),CHAR(10)," "),CHAR(9)," "),CHAR(92),_xlfn.CONCAT(CHAR(92),CHAR(92))),"$",_xlfn.CONCAT(CHAR(92),"$")),CHAR(96),_xlfn.CONCAT(CHAR(92),CHAR(96))),CHAR(34),CHAR(39))))</f>
        <v/>
      </c>
      <c r="M726" s="5" t="str">
        <f>IF(OR(TRIM($B726)="",$C726=""),"",IF(IFERROR(MATCH(TRIM($C726),{"Quantitative","Continuous","Discrete","Categorical","Nominal","Ordinal","Identifier"},0),0)=0,_xlfn.CONCAT("* REVIEW REQUIRED: invalid Variable Type on Sheet 1 row ",726,"."),_xlfn.CONCAT("char ",TRIM($B726),"[doc_vartype] ",CHAR(96),CHAR(34),SUBSTITUTE(SUBSTITUTE(SUBSTITUTE(SUBSTITUTE(SUBSTITUTE(SUBSTITUTE(LOWER(TRIM($C726)),CHAR(13)," "),CHAR(10)," "),CHAR(9)," "),CHAR(92),_xlfn.CONCAT(CHAR(92),CHAR(92))),"$",_xlfn.CONCAT(CHAR(92),"$")),CHAR(96),_xlfn.CONCAT(CHAR(92),CHAR(96))),CHAR(34),CHAR(39))))</f>
        <v/>
      </c>
      <c r="N726" s="5" t="str">
        <f>IF(OR(TRIM($B726)="",$D726=""),"",IF(OR(ISNUMBER(SEARCH(_xlfn.CONCAT(CHAR(96),CHAR(34)),$D726)),ISNUMBER(SEARCH(_xlfn.CONCAT(CHAR(34),CHAR(39)),$D726))),_xlfn.CONCAT("* REVIEW REQUIRED: compound-quote delimiter in Item Number on Sheet 1 row ",726,"; edit the input before running."),_xlfn.CONCAT("char ",TRIM($B726),"[doc_itemnum] ",CHAR(96),CHAR(34),SUBSTITUTE(SUBSTITUTE(SUBSTITUTE(SUBSTITUTE(SUBSTITUTE(SUBSTITUTE($D726,CHAR(13)," "),CHAR(10)," "),CHAR(9)," "),CHAR(92),_xlfn.CONCAT(CHAR(92),CHAR(92))),"$",_xlfn.CONCAT(CHAR(92),"$")),CHAR(96),_xlfn.CONCAT(CHAR(92),CHAR(96))),CHAR(34),CHAR(39))))</f>
        <v/>
      </c>
      <c r="O726" s="5" t="str">
        <f>IF(OR(TRIM($B726)="",$E726=""),"",IF(OR(ISNUMBER(SEARCH(_xlfn.CONCAT(CHAR(96),CHAR(34)),$E726)),ISNUMBER(SEARCH(_xlfn.CONCAT(CHAR(34),CHAR(39)),$E726))),_xlfn.CONCAT("* REVIEW REQUIRED: compound-quote delimiter in Question Wording on Sheet 1 row ",726,"; edit the input before running."),_xlfn.CONCAT("char ",TRIM($B726),"[doc_question] ",CHAR(96),CHAR(34),SUBSTITUTE(SUBSTITUTE(SUBSTITUTE(SUBSTITUTE(SUBSTITUTE(SUBSTITUTE($E726,CHAR(13)," "),CHAR(10)," "),CHAR(9)," "),CHAR(92),_xlfn.CONCAT(CHAR(92),CHAR(92))),"$",_xlfn.CONCAT(CHAR(92),"$")),CHAR(96),_xlfn.CONCAT(CHAR(92),CHAR(96))),CHAR(34),CHAR(39))))</f>
        <v/>
      </c>
      <c r="P726" s="5" t="str">
        <f>IF(OR(TRIM($B726)="",$F726=""),"",IF(OR(ISNUMBER(SEARCH(_xlfn.CONCAT(CHAR(96),CHAR(34)),$F726)),ISNUMBER(SEARCH(_xlfn.CONCAT(CHAR(34),CHAR(39)),$F726))),_xlfn.CONCAT("* REVIEW REQUIRED: compound-quote delimiter in Units on Sheet 1 row ",726,"; edit the input before running."),_xlfn.CONCAT("char ",TRIM($B726),"[doc_units] ",CHAR(96),CHAR(34),SUBSTITUTE(SUBSTITUTE(SUBSTITUTE(SUBSTITUTE(SUBSTITUTE(SUBSTITUTE($F726,CHAR(13)," "),CHAR(10)," "),CHAR(9)," "),CHAR(92),_xlfn.CONCAT(CHAR(92),CHAR(92))),"$",_xlfn.CONCAT(CHAR(92),"$")),CHAR(96),_xlfn.CONCAT(CHAR(92),CHAR(96))),CHAR(34),CHAR(39))))</f>
        <v/>
      </c>
      <c r="Q726" s="5" t="str">
        <f>IF(OR(TRIM($B726)="",$G726=""),"",IF(OR(ISNUMBER(SEARCH(_xlfn.CONCAT(CHAR(96),CHAR(34)),$G726)),ISNUMBER(SEARCH(_xlfn.CONCAT(CHAR(34),CHAR(39)),$G726))),_xlfn.CONCAT("* REVIEW REQUIRED: compound-quote delimiter in Universe on Sheet 1 row ",726,"; edit the input before running."),_xlfn.CONCAT("char ",TRIM($B726),"[doc_universe] ",CHAR(96),CHAR(34),SUBSTITUTE(SUBSTITUTE(SUBSTITUTE(SUBSTITUTE(SUBSTITUTE(SUBSTITUTE($G726,CHAR(13)," "),CHAR(10)," "),CHAR(9)," "),CHAR(92),_xlfn.CONCAT(CHAR(92),CHAR(92))),"$",_xlfn.CONCAT(CHAR(92),"$")),CHAR(96),_xlfn.CONCAT(CHAR(92),CHAR(96))),CHAR(34),CHAR(39))))</f>
        <v/>
      </c>
      <c r="R726" s="5" t="str">
        <f>IF(OR(TRIM($B726)="",$H726=""),"",IF(OR(ISNUMBER(SEARCH(_xlfn.CONCAT(CHAR(96),CHAR(34)),$H726)),ISNUMBER(SEARCH(_xlfn.CONCAT(CHAR(34),CHAR(39)),$H726))),_xlfn.CONCAT("* REVIEW REQUIRED: compound-quote delimiter in Source on Sheet 1 row ",726,"; edit the input before running."),_xlfn.CONCAT("char ",TRIM($B726),"[doc_source] ",CHAR(96),CHAR(34),SUBSTITUTE(SUBSTITUTE(SUBSTITUTE(SUBSTITUTE(SUBSTITUTE(SUBSTITUTE($H726,CHAR(13)," "),CHAR(10)," "),CHAR(9)," "),CHAR(92),_xlfn.CONCAT(CHAR(92),CHAR(92))),"$",_xlfn.CONCAT(CHAR(92),"$")),CHAR(96),_xlfn.CONCAT(CHAR(92),CHAR(96))),CHAR(34),CHAR(39))))</f>
        <v/>
      </c>
      <c r="S726" s="5" t="str">
        <f>IF(OR(TRIM($B726)="",$I726=""),"",IF(OR(ISNUMBER(SEARCH(_xlfn.CONCAT(CHAR(96),CHAR(34)),$I726)),ISNUMBER(SEARCH(_xlfn.CONCAT(CHAR(34),CHAR(39)),$I726))),_xlfn.CONCAT("* REVIEW REQUIRED: compound-quote delimiter in Derivation on Sheet 1 row ",726,"; edit the input before running."),_xlfn.CONCAT("char ",TRIM($B726),"[doc_derivation] ",CHAR(96),CHAR(34),SUBSTITUTE(SUBSTITUTE(SUBSTITUTE(SUBSTITUTE(SUBSTITUTE(SUBSTITUTE($I726,CHAR(13)," "),CHAR(10)," "),CHAR(9)," "),CHAR(92),_xlfn.CONCAT(CHAR(92),CHAR(92))),"$",_xlfn.CONCAT(CHAR(92),"$")),CHAR(96),_xlfn.CONCAT(CHAR(92),CHAR(96))),CHAR(34),CHAR(39))))</f>
        <v/>
      </c>
      <c r="T726" s="5" t="str">
        <f>IF(OR(TRIM($B726)="",$J726=""),"",IF(OR(ISNUMBER(SEARCH(_xlfn.CONCAT(CHAR(96),CHAR(34)),$J726)),ISNUMBER(SEARCH(_xlfn.CONCAT(CHAR(34),CHAR(39)),$J726))),_xlfn.CONCAT("* REVIEW REQUIRED: compound-quote delimiter in Notes on Sheet 1 row ",726,"; edit the input before running."),_xlfn.CONCAT("char ",TRIM($B726),"[doc_notes] ",CHAR(96),CHAR(34),SUBSTITUTE(SUBSTITUTE(SUBSTITUTE(SUBSTITUTE(SUBSTITUTE(SUBSTITUTE($J726,CHAR(13)," "),CHAR(10)," "),CHAR(9)," "),CHAR(92),_xlfn.CONCAT(CHAR(92),CHAR(92))),"$",_xlfn.CONCAT(CHAR(92),"$")),CHAR(96),_xlfn.CONCAT(CHAR(92),CHAR(96))),CHAR(34),CHAR(39))))</f>
        <v/>
      </c>
      <c r="U726" s="5">
        <f t="shared" si="23"/>
        <v>0</v>
      </c>
    </row>
    <row r="727" spans="3:21" ht="30" customHeight="1" x14ac:dyDescent="0.2">
      <c r="C727" s="4"/>
      <c r="K727" s="5">
        <f t="shared" si="22"/>
        <v>0</v>
      </c>
      <c r="L727" s="5" t="str">
        <f>IF(OR(TRIM($B727)="",$A727=""),"",IF(OR(ISNUMBER(SEARCH(_xlfn.CONCAT(CHAR(96),CHAR(34)),$A727)),ISNUMBER(SEARCH(_xlfn.CONCAT(CHAR(34),CHAR(39)),$A727))),_xlfn.CONCAT("* REVIEW REQUIRED: compound-quote delimiter in Codebook Section on Sheet 1 row ",727,"; edit the input before running."),_xlfn.CONCAT("char ",TRIM($B727),"[doc_section] ",CHAR(96),CHAR(34),SUBSTITUTE(SUBSTITUTE(SUBSTITUTE(SUBSTITUTE(SUBSTITUTE(SUBSTITUTE($A727,CHAR(13)," "),CHAR(10)," "),CHAR(9)," "),CHAR(92),_xlfn.CONCAT(CHAR(92),CHAR(92))),"$",_xlfn.CONCAT(CHAR(92),"$")),CHAR(96),_xlfn.CONCAT(CHAR(92),CHAR(96))),CHAR(34),CHAR(39))))</f>
        <v/>
      </c>
      <c r="M727" s="5" t="str">
        <f>IF(OR(TRIM($B727)="",$C727=""),"",IF(IFERROR(MATCH(TRIM($C727),{"Quantitative","Continuous","Discrete","Categorical","Nominal","Ordinal","Identifier"},0),0)=0,_xlfn.CONCAT("* REVIEW REQUIRED: invalid Variable Type on Sheet 1 row ",727,"."),_xlfn.CONCAT("char ",TRIM($B727),"[doc_vartype] ",CHAR(96),CHAR(34),SUBSTITUTE(SUBSTITUTE(SUBSTITUTE(SUBSTITUTE(SUBSTITUTE(SUBSTITUTE(LOWER(TRIM($C727)),CHAR(13)," "),CHAR(10)," "),CHAR(9)," "),CHAR(92),_xlfn.CONCAT(CHAR(92),CHAR(92))),"$",_xlfn.CONCAT(CHAR(92),"$")),CHAR(96),_xlfn.CONCAT(CHAR(92),CHAR(96))),CHAR(34),CHAR(39))))</f>
        <v/>
      </c>
      <c r="N727" s="5" t="str">
        <f>IF(OR(TRIM($B727)="",$D727=""),"",IF(OR(ISNUMBER(SEARCH(_xlfn.CONCAT(CHAR(96),CHAR(34)),$D727)),ISNUMBER(SEARCH(_xlfn.CONCAT(CHAR(34),CHAR(39)),$D727))),_xlfn.CONCAT("* REVIEW REQUIRED: compound-quote delimiter in Item Number on Sheet 1 row ",727,"; edit the input before running."),_xlfn.CONCAT("char ",TRIM($B727),"[doc_itemnum] ",CHAR(96),CHAR(34),SUBSTITUTE(SUBSTITUTE(SUBSTITUTE(SUBSTITUTE(SUBSTITUTE(SUBSTITUTE($D727,CHAR(13)," "),CHAR(10)," "),CHAR(9)," "),CHAR(92),_xlfn.CONCAT(CHAR(92),CHAR(92))),"$",_xlfn.CONCAT(CHAR(92),"$")),CHAR(96),_xlfn.CONCAT(CHAR(92),CHAR(96))),CHAR(34),CHAR(39))))</f>
        <v/>
      </c>
      <c r="O727" s="5" t="str">
        <f>IF(OR(TRIM($B727)="",$E727=""),"",IF(OR(ISNUMBER(SEARCH(_xlfn.CONCAT(CHAR(96),CHAR(34)),$E727)),ISNUMBER(SEARCH(_xlfn.CONCAT(CHAR(34),CHAR(39)),$E727))),_xlfn.CONCAT("* REVIEW REQUIRED: compound-quote delimiter in Question Wording on Sheet 1 row ",727,"; edit the input before running."),_xlfn.CONCAT("char ",TRIM($B727),"[doc_question] ",CHAR(96),CHAR(34),SUBSTITUTE(SUBSTITUTE(SUBSTITUTE(SUBSTITUTE(SUBSTITUTE(SUBSTITUTE($E727,CHAR(13)," "),CHAR(10)," "),CHAR(9)," "),CHAR(92),_xlfn.CONCAT(CHAR(92),CHAR(92))),"$",_xlfn.CONCAT(CHAR(92),"$")),CHAR(96),_xlfn.CONCAT(CHAR(92),CHAR(96))),CHAR(34),CHAR(39))))</f>
        <v/>
      </c>
      <c r="P727" s="5" t="str">
        <f>IF(OR(TRIM($B727)="",$F727=""),"",IF(OR(ISNUMBER(SEARCH(_xlfn.CONCAT(CHAR(96),CHAR(34)),$F727)),ISNUMBER(SEARCH(_xlfn.CONCAT(CHAR(34),CHAR(39)),$F727))),_xlfn.CONCAT("* REVIEW REQUIRED: compound-quote delimiter in Units on Sheet 1 row ",727,"; edit the input before running."),_xlfn.CONCAT("char ",TRIM($B727),"[doc_units] ",CHAR(96),CHAR(34),SUBSTITUTE(SUBSTITUTE(SUBSTITUTE(SUBSTITUTE(SUBSTITUTE(SUBSTITUTE($F727,CHAR(13)," "),CHAR(10)," "),CHAR(9)," "),CHAR(92),_xlfn.CONCAT(CHAR(92),CHAR(92))),"$",_xlfn.CONCAT(CHAR(92),"$")),CHAR(96),_xlfn.CONCAT(CHAR(92),CHAR(96))),CHAR(34),CHAR(39))))</f>
        <v/>
      </c>
      <c r="Q727" s="5" t="str">
        <f>IF(OR(TRIM($B727)="",$G727=""),"",IF(OR(ISNUMBER(SEARCH(_xlfn.CONCAT(CHAR(96),CHAR(34)),$G727)),ISNUMBER(SEARCH(_xlfn.CONCAT(CHAR(34),CHAR(39)),$G727))),_xlfn.CONCAT("* REVIEW REQUIRED: compound-quote delimiter in Universe on Sheet 1 row ",727,"; edit the input before running."),_xlfn.CONCAT("char ",TRIM($B727),"[doc_universe] ",CHAR(96),CHAR(34),SUBSTITUTE(SUBSTITUTE(SUBSTITUTE(SUBSTITUTE(SUBSTITUTE(SUBSTITUTE($G727,CHAR(13)," "),CHAR(10)," "),CHAR(9)," "),CHAR(92),_xlfn.CONCAT(CHAR(92),CHAR(92))),"$",_xlfn.CONCAT(CHAR(92),"$")),CHAR(96),_xlfn.CONCAT(CHAR(92),CHAR(96))),CHAR(34),CHAR(39))))</f>
        <v/>
      </c>
      <c r="R727" s="5" t="str">
        <f>IF(OR(TRIM($B727)="",$H727=""),"",IF(OR(ISNUMBER(SEARCH(_xlfn.CONCAT(CHAR(96),CHAR(34)),$H727)),ISNUMBER(SEARCH(_xlfn.CONCAT(CHAR(34),CHAR(39)),$H727))),_xlfn.CONCAT("* REVIEW REQUIRED: compound-quote delimiter in Source on Sheet 1 row ",727,"; edit the input before running."),_xlfn.CONCAT("char ",TRIM($B727),"[doc_source] ",CHAR(96),CHAR(34),SUBSTITUTE(SUBSTITUTE(SUBSTITUTE(SUBSTITUTE(SUBSTITUTE(SUBSTITUTE($H727,CHAR(13)," "),CHAR(10)," "),CHAR(9)," "),CHAR(92),_xlfn.CONCAT(CHAR(92),CHAR(92))),"$",_xlfn.CONCAT(CHAR(92),"$")),CHAR(96),_xlfn.CONCAT(CHAR(92),CHAR(96))),CHAR(34),CHAR(39))))</f>
        <v/>
      </c>
      <c r="S727" s="5" t="str">
        <f>IF(OR(TRIM($B727)="",$I727=""),"",IF(OR(ISNUMBER(SEARCH(_xlfn.CONCAT(CHAR(96),CHAR(34)),$I727)),ISNUMBER(SEARCH(_xlfn.CONCAT(CHAR(34),CHAR(39)),$I727))),_xlfn.CONCAT("* REVIEW REQUIRED: compound-quote delimiter in Derivation on Sheet 1 row ",727,"; edit the input before running."),_xlfn.CONCAT("char ",TRIM($B727),"[doc_derivation] ",CHAR(96),CHAR(34),SUBSTITUTE(SUBSTITUTE(SUBSTITUTE(SUBSTITUTE(SUBSTITUTE(SUBSTITUTE($I727,CHAR(13)," "),CHAR(10)," "),CHAR(9)," "),CHAR(92),_xlfn.CONCAT(CHAR(92),CHAR(92))),"$",_xlfn.CONCAT(CHAR(92),"$")),CHAR(96),_xlfn.CONCAT(CHAR(92),CHAR(96))),CHAR(34),CHAR(39))))</f>
        <v/>
      </c>
      <c r="T727" s="5" t="str">
        <f>IF(OR(TRIM($B727)="",$J727=""),"",IF(OR(ISNUMBER(SEARCH(_xlfn.CONCAT(CHAR(96),CHAR(34)),$J727)),ISNUMBER(SEARCH(_xlfn.CONCAT(CHAR(34),CHAR(39)),$J727))),_xlfn.CONCAT("* REVIEW REQUIRED: compound-quote delimiter in Notes on Sheet 1 row ",727,"; edit the input before running."),_xlfn.CONCAT("char ",TRIM($B727),"[doc_notes] ",CHAR(96),CHAR(34),SUBSTITUTE(SUBSTITUTE(SUBSTITUTE(SUBSTITUTE(SUBSTITUTE(SUBSTITUTE($J727,CHAR(13)," "),CHAR(10)," "),CHAR(9)," "),CHAR(92),_xlfn.CONCAT(CHAR(92),CHAR(92))),"$",_xlfn.CONCAT(CHAR(92),"$")),CHAR(96),_xlfn.CONCAT(CHAR(92),CHAR(96))),CHAR(34),CHAR(39))))</f>
        <v/>
      </c>
      <c r="U727" s="5">
        <f t="shared" si="23"/>
        <v>0</v>
      </c>
    </row>
    <row r="728" spans="3:21" ht="30" customHeight="1" x14ac:dyDescent="0.2">
      <c r="C728" s="4"/>
      <c r="K728" s="5">
        <f t="shared" si="22"/>
        <v>0</v>
      </c>
      <c r="L728" s="5" t="str">
        <f>IF(OR(TRIM($B728)="",$A728=""),"",IF(OR(ISNUMBER(SEARCH(_xlfn.CONCAT(CHAR(96),CHAR(34)),$A728)),ISNUMBER(SEARCH(_xlfn.CONCAT(CHAR(34),CHAR(39)),$A728))),_xlfn.CONCAT("* REVIEW REQUIRED: compound-quote delimiter in Codebook Section on Sheet 1 row ",728,"; edit the input before running."),_xlfn.CONCAT("char ",TRIM($B728),"[doc_section] ",CHAR(96),CHAR(34),SUBSTITUTE(SUBSTITUTE(SUBSTITUTE(SUBSTITUTE(SUBSTITUTE(SUBSTITUTE($A728,CHAR(13)," "),CHAR(10)," "),CHAR(9)," "),CHAR(92),_xlfn.CONCAT(CHAR(92),CHAR(92))),"$",_xlfn.CONCAT(CHAR(92),"$")),CHAR(96),_xlfn.CONCAT(CHAR(92),CHAR(96))),CHAR(34),CHAR(39))))</f>
        <v/>
      </c>
      <c r="M728" s="5" t="str">
        <f>IF(OR(TRIM($B728)="",$C728=""),"",IF(IFERROR(MATCH(TRIM($C728),{"Quantitative","Continuous","Discrete","Categorical","Nominal","Ordinal","Identifier"},0),0)=0,_xlfn.CONCAT("* REVIEW REQUIRED: invalid Variable Type on Sheet 1 row ",728,"."),_xlfn.CONCAT("char ",TRIM($B728),"[doc_vartype] ",CHAR(96),CHAR(34),SUBSTITUTE(SUBSTITUTE(SUBSTITUTE(SUBSTITUTE(SUBSTITUTE(SUBSTITUTE(LOWER(TRIM($C728)),CHAR(13)," "),CHAR(10)," "),CHAR(9)," "),CHAR(92),_xlfn.CONCAT(CHAR(92),CHAR(92))),"$",_xlfn.CONCAT(CHAR(92),"$")),CHAR(96),_xlfn.CONCAT(CHAR(92),CHAR(96))),CHAR(34),CHAR(39))))</f>
        <v/>
      </c>
      <c r="N728" s="5" t="str">
        <f>IF(OR(TRIM($B728)="",$D728=""),"",IF(OR(ISNUMBER(SEARCH(_xlfn.CONCAT(CHAR(96),CHAR(34)),$D728)),ISNUMBER(SEARCH(_xlfn.CONCAT(CHAR(34),CHAR(39)),$D728))),_xlfn.CONCAT("* REVIEW REQUIRED: compound-quote delimiter in Item Number on Sheet 1 row ",728,"; edit the input before running."),_xlfn.CONCAT("char ",TRIM($B728),"[doc_itemnum] ",CHAR(96),CHAR(34),SUBSTITUTE(SUBSTITUTE(SUBSTITUTE(SUBSTITUTE(SUBSTITUTE(SUBSTITUTE($D728,CHAR(13)," "),CHAR(10)," "),CHAR(9)," "),CHAR(92),_xlfn.CONCAT(CHAR(92),CHAR(92))),"$",_xlfn.CONCAT(CHAR(92),"$")),CHAR(96),_xlfn.CONCAT(CHAR(92),CHAR(96))),CHAR(34),CHAR(39))))</f>
        <v/>
      </c>
      <c r="O728" s="5" t="str">
        <f>IF(OR(TRIM($B728)="",$E728=""),"",IF(OR(ISNUMBER(SEARCH(_xlfn.CONCAT(CHAR(96),CHAR(34)),$E728)),ISNUMBER(SEARCH(_xlfn.CONCAT(CHAR(34),CHAR(39)),$E728))),_xlfn.CONCAT("* REVIEW REQUIRED: compound-quote delimiter in Question Wording on Sheet 1 row ",728,"; edit the input before running."),_xlfn.CONCAT("char ",TRIM($B728),"[doc_question] ",CHAR(96),CHAR(34),SUBSTITUTE(SUBSTITUTE(SUBSTITUTE(SUBSTITUTE(SUBSTITUTE(SUBSTITUTE($E728,CHAR(13)," "),CHAR(10)," "),CHAR(9)," "),CHAR(92),_xlfn.CONCAT(CHAR(92),CHAR(92))),"$",_xlfn.CONCAT(CHAR(92),"$")),CHAR(96),_xlfn.CONCAT(CHAR(92),CHAR(96))),CHAR(34),CHAR(39))))</f>
        <v/>
      </c>
      <c r="P728" s="5" t="str">
        <f>IF(OR(TRIM($B728)="",$F728=""),"",IF(OR(ISNUMBER(SEARCH(_xlfn.CONCAT(CHAR(96),CHAR(34)),$F728)),ISNUMBER(SEARCH(_xlfn.CONCAT(CHAR(34),CHAR(39)),$F728))),_xlfn.CONCAT("* REVIEW REQUIRED: compound-quote delimiter in Units on Sheet 1 row ",728,"; edit the input before running."),_xlfn.CONCAT("char ",TRIM($B728),"[doc_units] ",CHAR(96),CHAR(34),SUBSTITUTE(SUBSTITUTE(SUBSTITUTE(SUBSTITUTE(SUBSTITUTE(SUBSTITUTE($F728,CHAR(13)," "),CHAR(10)," "),CHAR(9)," "),CHAR(92),_xlfn.CONCAT(CHAR(92),CHAR(92))),"$",_xlfn.CONCAT(CHAR(92),"$")),CHAR(96),_xlfn.CONCAT(CHAR(92),CHAR(96))),CHAR(34),CHAR(39))))</f>
        <v/>
      </c>
      <c r="Q728" s="5" t="str">
        <f>IF(OR(TRIM($B728)="",$G728=""),"",IF(OR(ISNUMBER(SEARCH(_xlfn.CONCAT(CHAR(96),CHAR(34)),$G728)),ISNUMBER(SEARCH(_xlfn.CONCAT(CHAR(34),CHAR(39)),$G728))),_xlfn.CONCAT("* REVIEW REQUIRED: compound-quote delimiter in Universe on Sheet 1 row ",728,"; edit the input before running."),_xlfn.CONCAT("char ",TRIM($B728),"[doc_universe] ",CHAR(96),CHAR(34),SUBSTITUTE(SUBSTITUTE(SUBSTITUTE(SUBSTITUTE(SUBSTITUTE(SUBSTITUTE($G728,CHAR(13)," "),CHAR(10)," "),CHAR(9)," "),CHAR(92),_xlfn.CONCAT(CHAR(92),CHAR(92))),"$",_xlfn.CONCAT(CHAR(92),"$")),CHAR(96),_xlfn.CONCAT(CHAR(92),CHAR(96))),CHAR(34),CHAR(39))))</f>
        <v/>
      </c>
      <c r="R728" s="5" t="str">
        <f>IF(OR(TRIM($B728)="",$H728=""),"",IF(OR(ISNUMBER(SEARCH(_xlfn.CONCAT(CHAR(96),CHAR(34)),$H728)),ISNUMBER(SEARCH(_xlfn.CONCAT(CHAR(34),CHAR(39)),$H728))),_xlfn.CONCAT("* REVIEW REQUIRED: compound-quote delimiter in Source on Sheet 1 row ",728,"; edit the input before running."),_xlfn.CONCAT("char ",TRIM($B728),"[doc_source] ",CHAR(96),CHAR(34),SUBSTITUTE(SUBSTITUTE(SUBSTITUTE(SUBSTITUTE(SUBSTITUTE(SUBSTITUTE($H728,CHAR(13)," "),CHAR(10)," "),CHAR(9)," "),CHAR(92),_xlfn.CONCAT(CHAR(92),CHAR(92))),"$",_xlfn.CONCAT(CHAR(92),"$")),CHAR(96),_xlfn.CONCAT(CHAR(92),CHAR(96))),CHAR(34),CHAR(39))))</f>
        <v/>
      </c>
      <c r="S728" s="5" t="str">
        <f>IF(OR(TRIM($B728)="",$I728=""),"",IF(OR(ISNUMBER(SEARCH(_xlfn.CONCAT(CHAR(96),CHAR(34)),$I728)),ISNUMBER(SEARCH(_xlfn.CONCAT(CHAR(34),CHAR(39)),$I728))),_xlfn.CONCAT("* REVIEW REQUIRED: compound-quote delimiter in Derivation on Sheet 1 row ",728,"; edit the input before running."),_xlfn.CONCAT("char ",TRIM($B728),"[doc_derivation] ",CHAR(96),CHAR(34),SUBSTITUTE(SUBSTITUTE(SUBSTITUTE(SUBSTITUTE(SUBSTITUTE(SUBSTITUTE($I728,CHAR(13)," "),CHAR(10)," "),CHAR(9)," "),CHAR(92),_xlfn.CONCAT(CHAR(92),CHAR(92))),"$",_xlfn.CONCAT(CHAR(92),"$")),CHAR(96),_xlfn.CONCAT(CHAR(92),CHAR(96))),CHAR(34),CHAR(39))))</f>
        <v/>
      </c>
      <c r="T728" s="5" t="str">
        <f>IF(OR(TRIM($B728)="",$J728=""),"",IF(OR(ISNUMBER(SEARCH(_xlfn.CONCAT(CHAR(96),CHAR(34)),$J728)),ISNUMBER(SEARCH(_xlfn.CONCAT(CHAR(34),CHAR(39)),$J728))),_xlfn.CONCAT("* REVIEW REQUIRED: compound-quote delimiter in Notes on Sheet 1 row ",728,"; edit the input before running."),_xlfn.CONCAT("char ",TRIM($B728),"[doc_notes] ",CHAR(96),CHAR(34),SUBSTITUTE(SUBSTITUTE(SUBSTITUTE(SUBSTITUTE(SUBSTITUTE(SUBSTITUTE($J728,CHAR(13)," "),CHAR(10)," "),CHAR(9)," "),CHAR(92),_xlfn.CONCAT(CHAR(92),CHAR(92))),"$",_xlfn.CONCAT(CHAR(92),"$")),CHAR(96),_xlfn.CONCAT(CHAR(92),CHAR(96))),CHAR(34),CHAR(39))))</f>
        <v/>
      </c>
      <c r="U728" s="5">
        <f t="shared" si="23"/>
        <v>0</v>
      </c>
    </row>
    <row r="729" spans="3:21" ht="30" customHeight="1" x14ac:dyDescent="0.2">
      <c r="C729" s="4"/>
      <c r="K729" s="5">
        <f t="shared" si="22"/>
        <v>0</v>
      </c>
      <c r="L729" s="5" t="str">
        <f>IF(OR(TRIM($B729)="",$A729=""),"",IF(OR(ISNUMBER(SEARCH(_xlfn.CONCAT(CHAR(96),CHAR(34)),$A729)),ISNUMBER(SEARCH(_xlfn.CONCAT(CHAR(34),CHAR(39)),$A729))),_xlfn.CONCAT("* REVIEW REQUIRED: compound-quote delimiter in Codebook Section on Sheet 1 row ",729,"; edit the input before running."),_xlfn.CONCAT("char ",TRIM($B729),"[doc_section] ",CHAR(96),CHAR(34),SUBSTITUTE(SUBSTITUTE(SUBSTITUTE(SUBSTITUTE(SUBSTITUTE(SUBSTITUTE($A729,CHAR(13)," "),CHAR(10)," "),CHAR(9)," "),CHAR(92),_xlfn.CONCAT(CHAR(92),CHAR(92))),"$",_xlfn.CONCAT(CHAR(92),"$")),CHAR(96),_xlfn.CONCAT(CHAR(92),CHAR(96))),CHAR(34),CHAR(39))))</f>
        <v/>
      </c>
      <c r="M729" s="5" t="str">
        <f>IF(OR(TRIM($B729)="",$C729=""),"",IF(IFERROR(MATCH(TRIM($C729),{"Quantitative","Continuous","Discrete","Categorical","Nominal","Ordinal","Identifier"},0),0)=0,_xlfn.CONCAT("* REVIEW REQUIRED: invalid Variable Type on Sheet 1 row ",729,"."),_xlfn.CONCAT("char ",TRIM($B729),"[doc_vartype] ",CHAR(96),CHAR(34),SUBSTITUTE(SUBSTITUTE(SUBSTITUTE(SUBSTITUTE(SUBSTITUTE(SUBSTITUTE(LOWER(TRIM($C729)),CHAR(13)," "),CHAR(10)," "),CHAR(9)," "),CHAR(92),_xlfn.CONCAT(CHAR(92),CHAR(92))),"$",_xlfn.CONCAT(CHAR(92),"$")),CHAR(96),_xlfn.CONCAT(CHAR(92),CHAR(96))),CHAR(34),CHAR(39))))</f>
        <v/>
      </c>
      <c r="N729" s="5" t="str">
        <f>IF(OR(TRIM($B729)="",$D729=""),"",IF(OR(ISNUMBER(SEARCH(_xlfn.CONCAT(CHAR(96),CHAR(34)),$D729)),ISNUMBER(SEARCH(_xlfn.CONCAT(CHAR(34),CHAR(39)),$D729))),_xlfn.CONCAT("* REVIEW REQUIRED: compound-quote delimiter in Item Number on Sheet 1 row ",729,"; edit the input before running."),_xlfn.CONCAT("char ",TRIM($B729),"[doc_itemnum] ",CHAR(96),CHAR(34),SUBSTITUTE(SUBSTITUTE(SUBSTITUTE(SUBSTITUTE(SUBSTITUTE(SUBSTITUTE($D729,CHAR(13)," "),CHAR(10)," "),CHAR(9)," "),CHAR(92),_xlfn.CONCAT(CHAR(92),CHAR(92))),"$",_xlfn.CONCAT(CHAR(92),"$")),CHAR(96),_xlfn.CONCAT(CHAR(92),CHAR(96))),CHAR(34),CHAR(39))))</f>
        <v/>
      </c>
      <c r="O729" s="5" t="str">
        <f>IF(OR(TRIM($B729)="",$E729=""),"",IF(OR(ISNUMBER(SEARCH(_xlfn.CONCAT(CHAR(96),CHAR(34)),$E729)),ISNUMBER(SEARCH(_xlfn.CONCAT(CHAR(34),CHAR(39)),$E729))),_xlfn.CONCAT("* REVIEW REQUIRED: compound-quote delimiter in Question Wording on Sheet 1 row ",729,"; edit the input before running."),_xlfn.CONCAT("char ",TRIM($B729),"[doc_question] ",CHAR(96),CHAR(34),SUBSTITUTE(SUBSTITUTE(SUBSTITUTE(SUBSTITUTE(SUBSTITUTE(SUBSTITUTE($E729,CHAR(13)," "),CHAR(10)," "),CHAR(9)," "),CHAR(92),_xlfn.CONCAT(CHAR(92),CHAR(92))),"$",_xlfn.CONCAT(CHAR(92),"$")),CHAR(96),_xlfn.CONCAT(CHAR(92),CHAR(96))),CHAR(34),CHAR(39))))</f>
        <v/>
      </c>
      <c r="P729" s="5" t="str">
        <f>IF(OR(TRIM($B729)="",$F729=""),"",IF(OR(ISNUMBER(SEARCH(_xlfn.CONCAT(CHAR(96),CHAR(34)),$F729)),ISNUMBER(SEARCH(_xlfn.CONCAT(CHAR(34),CHAR(39)),$F729))),_xlfn.CONCAT("* REVIEW REQUIRED: compound-quote delimiter in Units on Sheet 1 row ",729,"; edit the input before running."),_xlfn.CONCAT("char ",TRIM($B729),"[doc_units] ",CHAR(96),CHAR(34),SUBSTITUTE(SUBSTITUTE(SUBSTITUTE(SUBSTITUTE(SUBSTITUTE(SUBSTITUTE($F729,CHAR(13)," "),CHAR(10)," "),CHAR(9)," "),CHAR(92),_xlfn.CONCAT(CHAR(92),CHAR(92))),"$",_xlfn.CONCAT(CHAR(92),"$")),CHAR(96),_xlfn.CONCAT(CHAR(92),CHAR(96))),CHAR(34),CHAR(39))))</f>
        <v/>
      </c>
      <c r="Q729" s="5" t="str">
        <f>IF(OR(TRIM($B729)="",$G729=""),"",IF(OR(ISNUMBER(SEARCH(_xlfn.CONCAT(CHAR(96),CHAR(34)),$G729)),ISNUMBER(SEARCH(_xlfn.CONCAT(CHAR(34),CHAR(39)),$G729))),_xlfn.CONCAT("* REVIEW REQUIRED: compound-quote delimiter in Universe on Sheet 1 row ",729,"; edit the input before running."),_xlfn.CONCAT("char ",TRIM($B729),"[doc_universe] ",CHAR(96),CHAR(34),SUBSTITUTE(SUBSTITUTE(SUBSTITUTE(SUBSTITUTE(SUBSTITUTE(SUBSTITUTE($G729,CHAR(13)," "),CHAR(10)," "),CHAR(9)," "),CHAR(92),_xlfn.CONCAT(CHAR(92),CHAR(92))),"$",_xlfn.CONCAT(CHAR(92),"$")),CHAR(96),_xlfn.CONCAT(CHAR(92),CHAR(96))),CHAR(34),CHAR(39))))</f>
        <v/>
      </c>
      <c r="R729" s="5" t="str">
        <f>IF(OR(TRIM($B729)="",$H729=""),"",IF(OR(ISNUMBER(SEARCH(_xlfn.CONCAT(CHAR(96),CHAR(34)),$H729)),ISNUMBER(SEARCH(_xlfn.CONCAT(CHAR(34),CHAR(39)),$H729))),_xlfn.CONCAT("* REVIEW REQUIRED: compound-quote delimiter in Source on Sheet 1 row ",729,"; edit the input before running."),_xlfn.CONCAT("char ",TRIM($B729),"[doc_source] ",CHAR(96),CHAR(34),SUBSTITUTE(SUBSTITUTE(SUBSTITUTE(SUBSTITUTE(SUBSTITUTE(SUBSTITUTE($H729,CHAR(13)," "),CHAR(10)," "),CHAR(9)," "),CHAR(92),_xlfn.CONCAT(CHAR(92),CHAR(92))),"$",_xlfn.CONCAT(CHAR(92),"$")),CHAR(96),_xlfn.CONCAT(CHAR(92),CHAR(96))),CHAR(34),CHAR(39))))</f>
        <v/>
      </c>
      <c r="S729" s="5" t="str">
        <f>IF(OR(TRIM($B729)="",$I729=""),"",IF(OR(ISNUMBER(SEARCH(_xlfn.CONCAT(CHAR(96),CHAR(34)),$I729)),ISNUMBER(SEARCH(_xlfn.CONCAT(CHAR(34),CHAR(39)),$I729))),_xlfn.CONCAT("* REVIEW REQUIRED: compound-quote delimiter in Derivation on Sheet 1 row ",729,"; edit the input before running."),_xlfn.CONCAT("char ",TRIM($B729),"[doc_derivation] ",CHAR(96),CHAR(34),SUBSTITUTE(SUBSTITUTE(SUBSTITUTE(SUBSTITUTE(SUBSTITUTE(SUBSTITUTE($I729,CHAR(13)," "),CHAR(10)," "),CHAR(9)," "),CHAR(92),_xlfn.CONCAT(CHAR(92),CHAR(92))),"$",_xlfn.CONCAT(CHAR(92),"$")),CHAR(96),_xlfn.CONCAT(CHAR(92),CHAR(96))),CHAR(34),CHAR(39))))</f>
        <v/>
      </c>
      <c r="T729" s="5" t="str">
        <f>IF(OR(TRIM($B729)="",$J729=""),"",IF(OR(ISNUMBER(SEARCH(_xlfn.CONCAT(CHAR(96),CHAR(34)),$J729)),ISNUMBER(SEARCH(_xlfn.CONCAT(CHAR(34),CHAR(39)),$J729))),_xlfn.CONCAT("* REVIEW REQUIRED: compound-quote delimiter in Notes on Sheet 1 row ",729,"; edit the input before running."),_xlfn.CONCAT("char ",TRIM($B729),"[doc_notes] ",CHAR(96),CHAR(34),SUBSTITUTE(SUBSTITUTE(SUBSTITUTE(SUBSTITUTE(SUBSTITUTE(SUBSTITUTE($J729,CHAR(13)," "),CHAR(10)," "),CHAR(9)," "),CHAR(92),_xlfn.CONCAT(CHAR(92),CHAR(92))),"$",_xlfn.CONCAT(CHAR(92),"$")),CHAR(96),_xlfn.CONCAT(CHAR(92),CHAR(96))),CHAR(34),CHAR(39))))</f>
        <v/>
      </c>
      <c r="U729" s="5">
        <f t="shared" si="23"/>
        <v>0</v>
      </c>
    </row>
    <row r="730" spans="3:21" ht="30" customHeight="1" x14ac:dyDescent="0.2">
      <c r="C730" s="4"/>
      <c r="K730" s="5">
        <f t="shared" si="22"/>
        <v>0</v>
      </c>
      <c r="L730" s="5" t="str">
        <f>IF(OR(TRIM($B730)="",$A730=""),"",IF(OR(ISNUMBER(SEARCH(_xlfn.CONCAT(CHAR(96),CHAR(34)),$A730)),ISNUMBER(SEARCH(_xlfn.CONCAT(CHAR(34),CHAR(39)),$A730))),_xlfn.CONCAT("* REVIEW REQUIRED: compound-quote delimiter in Codebook Section on Sheet 1 row ",730,"; edit the input before running."),_xlfn.CONCAT("char ",TRIM($B730),"[doc_section] ",CHAR(96),CHAR(34),SUBSTITUTE(SUBSTITUTE(SUBSTITUTE(SUBSTITUTE(SUBSTITUTE(SUBSTITUTE($A730,CHAR(13)," "),CHAR(10)," "),CHAR(9)," "),CHAR(92),_xlfn.CONCAT(CHAR(92),CHAR(92))),"$",_xlfn.CONCAT(CHAR(92),"$")),CHAR(96),_xlfn.CONCAT(CHAR(92),CHAR(96))),CHAR(34),CHAR(39))))</f>
        <v/>
      </c>
      <c r="M730" s="5" t="str">
        <f>IF(OR(TRIM($B730)="",$C730=""),"",IF(IFERROR(MATCH(TRIM($C730),{"Quantitative","Continuous","Discrete","Categorical","Nominal","Ordinal","Identifier"},0),0)=0,_xlfn.CONCAT("* REVIEW REQUIRED: invalid Variable Type on Sheet 1 row ",730,"."),_xlfn.CONCAT("char ",TRIM($B730),"[doc_vartype] ",CHAR(96),CHAR(34),SUBSTITUTE(SUBSTITUTE(SUBSTITUTE(SUBSTITUTE(SUBSTITUTE(SUBSTITUTE(LOWER(TRIM($C730)),CHAR(13)," "),CHAR(10)," "),CHAR(9)," "),CHAR(92),_xlfn.CONCAT(CHAR(92),CHAR(92))),"$",_xlfn.CONCAT(CHAR(92),"$")),CHAR(96),_xlfn.CONCAT(CHAR(92),CHAR(96))),CHAR(34),CHAR(39))))</f>
        <v/>
      </c>
      <c r="N730" s="5" t="str">
        <f>IF(OR(TRIM($B730)="",$D730=""),"",IF(OR(ISNUMBER(SEARCH(_xlfn.CONCAT(CHAR(96),CHAR(34)),$D730)),ISNUMBER(SEARCH(_xlfn.CONCAT(CHAR(34),CHAR(39)),$D730))),_xlfn.CONCAT("* REVIEW REQUIRED: compound-quote delimiter in Item Number on Sheet 1 row ",730,"; edit the input before running."),_xlfn.CONCAT("char ",TRIM($B730),"[doc_itemnum] ",CHAR(96),CHAR(34),SUBSTITUTE(SUBSTITUTE(SUBSTITUTE(SUBSTITUTE(SUBSTITUTE(SUBSTITUTE($D730,CHAR(13)," "),CHAR(10)," "),CHAR(9)," "),CHAR(92),_xlfn.CONCAT(CHAR(92),CHAR(92))),"$",_xlfn.CONCAT(CHAR(92),"$")),CHAR(96),_xlfn.CONCAT(CHAR(92),CHAR(96))),CHAR(34),CHAR(39))))</f>
        <v/>
      </c>
      <c r="O730" s="5" t="str">
        <f>IF(OR(TRIM($B730)="",$E730=""),"",IF(OR(ISNUMBER(SEARCH(_xlfn.CONCAT(CHAR(96),CHAR(34)),$E730)),ISNUMBER(SEARCH(_xlfn.CONCAT(CHAR(34),CHAR(39)),$E730))),_xlfn.CONCAT("* REVIEW REQUIRED: compound-quote delimiter in Question Wording on Sheet 1 row ",730,"; edit the input before running."),_xlfn.CONCAT("char ",TRIM($B730),"[doc_question] ",CHAR(96),CHAR(34),SUBSTITUTE(SUBSTITUTE(SUBSTITUTE(SUBSTITUTE(SUBSTITUTE(SUBSTITUTE($E730,CHAR(13)," "),CHAR(10)," "),CHAR(9)," "),CHAR(92),_xlfn.CONCAT(CHAR(92),CHAR(92))),"$",_xlfn.CONCAT(CHAR(92),"$")),CHAR(96),_xlfn.CONCAT(CHAR(92),CHAR(96))),CHAR(34),CHAR(39))))</f>
        <v/>
      </c>
      <c r="P730" s="5" t="str">
        <f>IF(OR(TRIM($B730)="",$F730=""),"",IF(OR(ISNUMBER(SEARCH(_xlfn.CONCAT(CHAR(96),CHAR(34)),$F730)),ISNUMBER(SEARCH(_xlfn.CONCAT(CHAR(34),CHAR(39)),$F730))),_xlfn.CONCAT("* REVIEW REQUIRED: compound-quote delimiter in Units on Sheet 1 row ",730,"; edit the input before running."),_xlfn.CONCAT("char ",TRIM($B730),"[doc_units] ",CHAR(96),CHAR(34),SUBSTITUTE(SUBSTITUTE(SUBSTITUTE(SUBSTITUTE(SUBSTITUTE(SUBSTITUTE($F730,CHAR(13)," "),CHAR(10)," "),CHAR(9)," "),CHAR(92),_xlfn.CONCAT(CHAR(92),CHAR(92))),"$",_xlfn.CONCAT(CHAR(92),"$")),CHAR(96),_xlfn.CONCAT(CHAR(92),CHAR(96))),CHAR(34),CHAR(39))))</f>
        <v/>
      </c>
      <c r="Q730" s="5" t="str">
        <f>IF(OR(TRIM($B730)="",$G730=""),"",IF(OR(ISNUMBER(SEARCH(_xlfn.CONCAT(CHAR(96),CHAR(34)),$G730)),ISNUMBER(SEARCH(_xlfn.CONCAT(CHAR(34),CHAR(39)),$G730))),_xlfn.CONCAT("* REVIEW REQUIRED: compound-quote delimiter in Universe on Sheet 1 row ",730,"; edit the input before running."),_xlfn.CONCAT("char ",TRIM($B730),"[doc_universe] ",CHAR(96),CHAR(34),SUBSTITUTE(SUBSTITUTE(SUBSTITUTE(SUBSTITUTE(SUBSTITUTE(SUBSTITUTE($G730,CHAR(13)," "),CHAR(10)," "),CHAR(9)," "),CHAR(92),_xlfn.CONCAT(CHAR(92),CHAR(92))),"$",_xlfn.CONCAT(CHAR(92),"$")),CHAR(96),_xlfn.CONCAT(CHAR(92),CHAR(96))),CHAR(34),CHAR(39))))</f>
        <v/>
      </c>
      <c r="R730" s="5" t="str">
        <f>IF(OR(TRIM($B730)="",$H730=""),"",IF(OR(ISNUMBER(SEARCH(_xlfn.CONCAT(CHAR(96),CHAR(34)),$H730)),ISNUMBER(SEARCH(_xlfn.CONCAT(CHAR(34),CHAR(39)),$H730))),_xlfn.CONCAT("* REVIEW REQUIRED: compound-quote delimiter in Source on Sheet 1 row ",730,"; edit the input before running."),_xlfn.CONCAT("char ",TRIM($B730),"[doc_source] ",CHAR(96),CHAR(34),SUBSTITUTE(SUBSTITUTE(SUBSTITUTE(SUBSTITUTE(SUBSTITUTE(SUBSTITUTE($H730,CHAR(13)," "),CHAR(10)," "),CHAR(9)," "),CHAR(92),_xlfn.CONCAT(CHAR(92),CHAR(92))),"$",_xlfn.CONCAT(CHAR(92),"$")),CHAR(96),_xlfn.CONCAT(CHAR(92),CHAR(96))),CHAR(34),CHAR(39))))</f>
        <v/>
      </c>
      <c r="S730" s="5" t="str">
        <f>IF(OR(TRIM($B730)="",$I730=""),"",IF(OR(ISNUMBER(SEARCH(_xlfn.CONCAT(CHAR(96),CHAR(34)),$I730)),ISNUMBER(SEARCH(_xlfn.CONCAT(CHAR(34),CHAR(39)),$I730))),_xlfn.CONCAT("* REVIEW REQUIRED: compound-quote delimiter in Derivation on Sheet 1 row ",730,"; edit the input before running."),_xlfn.CONCAT("char ",TRIM($B730),"[doc_derivation] ",CHAR(96),CHAR(34),SUBSTITUTE(SUBSTITUTE(SUBSTITUTE(SUBSTITUTE(SUBSTITUTE(SUBSTITUTE($I730,CHAR(13)," "),CHAR(10)," "),CHAR(9)," "),CHAR(92),_xlfn.CONCAT(CHAR(92),CHAR(92))),"$",_xlfn.CONCAT(CHAR(92),"$")),CHAR(96),_xlfn.CONCAT(CHAR(92),CHAR(96))),CHAR(34),CHAR(39))))</f>
        <v/>
      </c>
      <c r="T730" s="5" t="str">
        <f>IF(OR(TRIM($B730)="",$J730=""),"",IF(OR(ISNUMBER(SEARCH(_xlfn.CONCAT(CHAR(96),CHAR(34)),$J730)),ISNUMBER(SEARCH(_xlfn.CONCAT(CHAR(34),CHAR(39)),$J730))),_xlfn.CONCAT("* REVIEW REQUIRED: compound-quote delimiter in Notes on Sheet 1 row ",730,"; edit the input before running."),_xlfn.CONCAT("char ",TRIM($B730),"[doc_notes] ",CHAR(96),CHAR(34),SUBSTITUTE(SUBSTITUTE(SUBSTITUTE(SUBSTITUTE(SUBSTITUTE(SUBSTITUTE($J730,CHAR(13)," "),CHAR(10)," "),CHAR(9)," "),CHAR(92),_xlfn.CONCAT(CHAR(92),CHAR(92))),"$",_xlfn.CONCAT(CHAR(92),"$")),CHAR(96),_xlfn.CONCAT(CHAR(92),CHAR(96))),CHAR(34),CHAR(39))))</f>
        <v/>
      </c>
      <c r="U730" s="5">
        <f t="shared" si="23"/>
        <v>0</v>
      </c>
    </row>
    <row r="731" spans="3:21" ht="30" customHeight="1" x14ac:dyDescent="0.2">
      <c r="C731" s="4"/>
      <c r="K731" s="5">
        <f t="shared" si="22"/>
        <v>0</v>
      </c>
      <c r="L731" s="5" t="str">
        <f>IF(OR(TRIM($B731)="",$A731=""),"",IF(OR(ISNUMBER(SEARCH(_xlfn.CONCAT(CHAR(96),CHAR(34)),$A731)),ISNUMBER(SEARCH(_xlfn.CONCAT(CHAR(34),CHAR(39)),$A731))),_xlfn.CONCAT("* REVIEW REQUIRED: compound-quote delimiter in Codebook Section on Sheet 1 row ",731,"; edit the input before running."),_xlfn.CONCAT("char ",TRIM($B731),"[doc_section] ",CHAR(96),CHAR(34),SUBSTITUTE(SUBSTITUTE(SUBSTITUTE(SUBSTITUTE(SUBSTITUTE(SUBSTITUTE($A731,CHAR(13)," "),CHAR(10)," "),CHAR(9)," "),CHAR(92),_xlfn.CONCAT(CHAR(92),CHAR(92))),"$",_xlfn.CONCAT(CHAR(92),"$")),CHAR(96),_xlfn.CONCAT(CHAR(92),CHAR(96))),CHAR(34),CHAR(39))))</f>
        <v/>
      </c>
      <c r="M731" s="5" t="str">
        <f>IF(OR(TRIM($B731)="",$C731=""),"",IF(IFERROR(MATCH(TRIM($C731),{"Quantitative","Continuous","Discrete","Categorical","Nominal","Ordinal","Identifier"},0),0)=0,_xlfn.CONCAT("* REVIEW REQUIRED: invalid Variable Type on Sheet 1 row ",731,"."),_xlfn.CONCAT("char ",TRIM($B731),"[doc_vartype] ",CHAR(96),CHAR(34),SUBSTITUTE(SUBSTITUTE(SUBSTITUTE(SUBSTITUTE(SUBSTITUTE(SUBSTITUTE(LOWER(TRIM($C731)),CHAR(13)," "),CHAR(10)," "),CHAR(9)," "),CHAR(92),_xlfn.CONCAT(CHAR(92),CHAR(92))),"$",_xlfn.CONCAT(CHAR(92),"$")),CHAR(96),_xlfn.CONCAT(CHAR(92),CHAR(96))),CHAR(34),CHAR(39))))</f>
        <v/>
      </c>
      <c r="N731" s="5" t="str">
        <f>IF(OR(TRIM($B731)="",$D731=""),"",IF(OR(ISNUMBER(SEARCH(_xlfn.CONCAT(CHAR(96),CHAR(34)),$D731)),ISNUMBER(SEARCH(_xlfn.CONCAT(CHAR(34),CHAR(39)),$D731))),_xlfn.CONCAT("* REVIEW REQUIRED: compound-quote delimiter in Item Number on Sheet 1 row ",731,"; edit the input before running."),_xlfn.CONCAT("char ",TRIM($B731),"[doc_itemnum] ",CHAR(96),CHAR(34),SUBSTITUTE(SUBSTITUTE(SUBSTITUTE(SUBSTITUTE(SUBSTITUTE(SUBSTITUTE($D731,CHAR(13)," "),CHAR(10)," "),CHAR(9)," "),CHAR(92),_xlfn.CONCAT(CHAR(92),CHAR(92))),"$",_xlfn.CONCAT(CHAR(92),"$")),CHAR(96),_xlfn.CONCAT(CHAR(92),CHAR(96))),CHAR(34),CHAR(39))))</f>
        <v/>
      </c>
      <c r="O731" s="5" t="str">
        <f>IF(OR(TRIM($B731)="",$E731=""),"",IF(OR(ISNUMBER(SEARCH(_xlfn.CONCAT(CHAR(96),CHAR(34)),$E731)),ISNUMBER(SEARCH(_xlfn.CONCAT(CHAR(34),CHAR(39)),$E731))),_xlfn.CONCAT("* REVIEW REQUIRED: compound-quote delimiter in Question Wording on Sheet 1 row ",731,"; edit the input before running."),_xlfn.CONCAT("char ",TRIM($B731),"[doc_question] ",CHAR(96),CHAR(34),SUBSTITUTE(SUBSTITUTE(SUBSTITUTE(SUBSTITUTE(SUBSTITUTE(SUBSTITUTE($E731,CHAR(13)," "),CHAR(10)," "),CHAR(9)," "),CHAR(92),_xlfn.CONCAT(CHAR(92),CHAR(92))),"$",_xlfn.CONCAT(CHAR(92),"$")),CHAR(96),_xlfn.CONCAT(CHAR(92),CHAR(96))),CHAR(34),CHAR(39))))</f>
        <v/>
      </c>
      <c r="P731" s="5" t="str">
        <f>IF(OR(TRIM($B731)="",$F731=""),"",IF(OR(ISNUMBER(SEARCH(_xlfn.CONCAT(CHAR(96),CHAR(34)),$F731)),ISNUMBER(SEARCH(_xlfn.CONCAT(CHAR(34),CHAR(39)),$F731))),_xlfn.CONCAT("* REVIEW REQUIRED: compound-quote delimiter in Units on Sheet 1 row ",731,"; edit the input before running."),_xlfn.CONCAT("char ",TRIM($B731),"[doc_units] ",CHAR(96),CHAR(34),SUBSTITUTE(SUBSTITUTE(SUBSTITUTE(SUBSTITUTE(SUBSTITUTE(SUBSTITUTE($F731,CHAR(13)," "),CHAR(10)," "),CHAR(9)," "),CHAR(92),_xlfn.CONCAT(CHAR(92),CHAR(92))),"$",_xlfn.CONCAT(CHAR(92),"$")),CHAR(96),_xlfn.CONCAT(CHAR(92),CHAR(96))),CHAR(34),CHAR(39))))</f>
        <v/>
      </c>
      <c r="Q731" s="5" t="str">
        <f>IF(OR(TRIM($B731)="",$G731=""),"",IF(OR(ISNUMBER(SEARCH(_xlfn.CONCAT(CHAR(96),CHAR(34)),$G731)),ISNUMBER(SEARCH(_xlfn.CONCAT(CHAR(34),CHAR(39)),$G731))),_xlfn.CONCAT("* REVIEW REQUIRED: compound-quote delimiter in Universe on Sheet 1 row ",731,"; edit the input before running."),_xlfn.CONCAT("char ",TRIM($B731),"[doc_universe] ",CHAR(96),CHAR(34),SUBSTITUTE(SUBSTITUTE(SUBSTITUTE(SUBSTITUTE(SUBSTITUTE(SUBSTITUTE($G731,CHAR(13)," "),CHAR(10)," "),CHAR(9)," "),CHAR(92),_xlfn.CONCAT(CHAR(92),CHAR(92))),"$",_xlfn.CONCAT(CHAR(92),"$")),CHAR(96),_xlfn.CONCAT(CHAR(92),CHAR(96))),CHAR(34),CHAR(39))))</f>
        <v/>
      </c>
      <c r="R731" s="5" t="str">
        <f>IF(OR(TRIM($B731)="",$H731=""),"",IF(OR(ISNUMBER(SEARCH(_xlfn.CONCAT(CHAR(96),CHAR(34)),$H731)),ISNUMBER(SEARCH(_xlfn.CONCAT(CHAR(34),CHAR(39)),$H731))),_xlfn.CONCAT("* REVIEW REQUIRED: compound-quote delimiter in Source on Sheet 1 row ",731,"; edit the input before running."),_xlfn.CONCAT("char ",TRIM($B731),"[doc_source] ",CHAR(96),CHAR(34),SUBSTITUTE(SUBSTITUTE(SUBSTITUTE(SUBSTITUTE(SUBSTITUTE(SUBSTITUTE($H731,CHAR(13)," "),CHAR(10)," "),CHAR(9)," "),CHAR(92),_xlfn.CONCAT(CHAR(92),CHAR(92))),"$",_xlfn.CONCAT(CHAR(92),"$")),CHAR(96),_xlfn.CONCAT(CHAR(92),CHAR(96))),CHAR(34),CHAR(39))))</f>
        <v/>
      </c>
      <c r="S731" s="5" t="str">
        <f>IF(OR(TRIM($B731)="",$I731=""),"",IF(OR(ISNUMBER(SEARCH(_xlfn.CONCAT(CHAR(96),CHAR(34)),$I731)),ISNUMBER(SEARCH(_xlfn.CONCAT(CHAR(34),CHAR(39)),$I731))),_xlfn.CONCAT("* REVIEW REQUIRED: compound-quote delimiter in Derivation on Sheet 1 row ",731,"; edit the input before running."),_xlfn.CONCAT("char ",TRIM($B731),"[doc_derivation] ",CHAR(96),CHAR(34),SUBSTITUTE(SUBSTITUTE(SUBSTITUTE(SUBSTITUTE(SUBSTITUTE(SUBSTITUTE($I731,CHAR(13)," "),CHAR(10)," "),CHAR(9)," "),CHAR(92),_xlfn.CONCAT(CHAR(92),CHAR(92))),"$",_xlfn.CONCAT(CHAR(92),"$")),CHAR(96),_xlfn.CONCAT(CHAR(92),CHAR(96))),CHAR(34),CHAR(39))))</f>
        <v/>
      </c>
      <c r="T731" s="5" t="str">
        <f>IF(OR(TRIM($B731)="",$J731=""),"",IF(OR(ISNUMBER(SEARCH(_xlfn.CONCAT(CHAR(96),CHAR(34)),$J731)),ISNUMBER(SEARCH(_xlfn.CONCAT(CHAR(34),CHAR(39)),$J731))),_xlfn.CONCAT("* REVIEW REQUIRED: compound-quote delimiter in Notes on Sheet 1 row ",731,"; edit the input before running."),_xlfn.CONCAT("char ",TRIM($B731),"[doc_notes] ",CHAR(96),CHAR(34),SUBSTITUTE(SUBSTITUTE(SUBSTITUTE(SUBSTITUTE(SUBSTITUTE(SUBSTITUTE($J731,CHAR(13)," "),CHAR(10)," "),CHAR(9)," "),CHAR(92),_xlfn.CONCAT(CHAR(92),CHAR(92))),"$",_xlfn.CONCAT(CHAR(92),"$")),CHAR(96),_xlfn.CONCAT(CHAR(92),CHAR(96))),CHAR(34),CHAR(39))))</f>
        <v/>
      </c>
      <c r="U731" s="5">
        <f t="shared" si="23"/>
        <v>0</v>
      </c>
    </row>
    <row r="732" spans="3:21" ht="30" customHeight="1" x14ac:dyDescent="0.2">
      <c r="C732" s="4"/>
      <c r="K732" s="5">
        <f t="shared" si="22"/>
        <v>0</v>
      </c>
      <c r="L732" s="5" t="str">
        <f>IF(OR(TRIM($B732)="",$A732=""),"",IF(OR(ISNUMBER(SEARCH(_xlfn.CONCAT(CHAR(96),CHAR(34)),$A732)),ISNUMBER(SEARCH(_xlfn.CONCAT(CHAR(34),CHAR(39)),$A732))),_xlfn.CONCAT("* REVIEW REQUIRED: compound-quote delimiter in Codebook Section on Sheet 1 row ",732,"; edit the input before running."),_xlfn.CONCAT("char ",TRIM($B732),"[doc_section] ",CHAR(96),CHAR(34),SUBSTITUTE(SUBSTITUTE(SUBSTITUTE(SUBSTITUTE(SUBSTITUTE(SUBSTITUTE($A732,CHAR(13)," "),CHAR(10)," "),CHAR(9)," "),CHAR(92),_xlfn.CONCAT(CHAR(92),CHAR(92))),"$",_xlfn.CONCAT(CHAR(92),"$")),CHAR(96),_xlfn.CONCAT(CHAR(92),CHAR(96))),CHAR(34),CHAR(39))))</f>
        <v/>
      </c>
      <c r="M732" s="5" t="str">
        <f>IF(OR(TRIM($B732)="",$C732=""),"",IF(IFERROR(MATCH(TRIM($C732),{"Quantitative","Continuous","Discrete","Categorical","Nominal","Ordinal","Identifier"},0),0)=0,_xlfn.CONCAT("* REVIEW REQUIRED: invalid Variable Type on Sheet 1 row ",732,"."),_xlfn.CONCAT("char ",TRIM($B732),"[doc_vartype] ",CHAR(96),CHAR(34),SUBSTITUTE(SUBSTITUTE(SUBSTITUTE(SUBSTITUTE(SUBSTITUTE(SUBSTITUTE(LOWER(TRIM($C732)),CHAR(13)," "),CHAR(10)," "),CHAR(9)," "),CHAR(92),_xlfn.CONCAT(CHAR(92),CHAR(92))),"$",_xlfn.CONCAT(CHAR(92),"$")),CHAR(96),_xlfn.CONCAT(CHAR(92),CHAR(96))),CHAR(34),CHAR(39))))</f>
        <v/>
      </c>
      <c r="N732" s="5" t="str">
        <f>IF(OR(TRIM($B732)="",$D732=""),"",IF(OR(ISNUMBER(SEARCH(_xlfn.CONCAT(CHAR(96),CHAR(34)),$D732)),ISNUMBER(SEARCH(_xlfn.CONCAT(CHAR(34),CHAR(39)),$D732))),_xlfn.CONCAT("* REVIEW REQUIRED: compound-quote delimiter in Item Number on Sheet 1 row ",732,"; edit the input before running."),_xlfn.CONCAT("char ",TRIM($B732),"[doc_itemnum] ",CHAR(96),CHAR(34),SUBSTITUTE(SUBSTITUTE(SUBSTITUTE(SUBSTITUTE(SUBSTITUTE(SUBSTITUTE($D732,CHAR(13)," "),CHAR(10)," "),CHAR(9)," "),CHAR(92),_xlfn.CONCAT(CHAR(92),CHAR(92))),"$",_xlfn.CONCAT(CHAR(92),"$")),CHAR(96),_xlfn.CONCAT(CHAR(92),CHAR(96))),CHAR(34),CHAR(39))))</f>
        <v/>
      </c>
      <c r="O732" s="5" t="str">
        <f>IF(OR(TRIM($B732)="",$E732=""),"",IF(OR(ISNUMBER(SEARCH(_xlfn.CONCAT(CHAR(96),CHAR(34)),$E732)),ISNUMBER(SEARCH(_xlfn.CONCAT(CHAR(34),CHAR(39)),$E732))),_xlfn.CONCAT("* REVIEW REQUIRED: compound-quote delimiter in Question Wording on Sheet 1 row ",732,"; edit the input before running."),_xlfn.CONCAT("char ",TRIM($B732),"[doc_question] ",CHAR(96),CHAR(34),SUBSTITUTE(SUBSTITUTE(SUBSTITUTE(SUBSTITUTE(SUBSTITUTE(SUBSTITUTE($E732,CHAR(13)," "),CHAR(10)," "),CHAR(9)," "),CHAR(92),_xlfn.CONCAT(CHAR(92),CHAR(92))),"$",_xlfn.CONCAT(CHAR(92),"$")),CHAR(96),_xlfn.CONCAT(CHAR(92),CHAR(96))),CHAR(34),CHAR(39))))</f>
        <v/>
      </c>
      <c r="P732" s="5" t="str">
        <f>IF(OR(TRIM($B732)="",$F732=""),"",IF(OR(ISNUMBER(SEARCH(_xlfn.CONCAT(CHAR(96),CHAR(34)),$F732)),ISNUMBER(SEARCH(_xlfn.CONCAT(CHAR(34),CHAR(39)),$F732))),_xlfn.CONCAT("* REVIEW REQUIRED: compound-quote delimiter in Units on Sheet 1 row ",732,"; edit the input before running."),_xlfn.CONCAT("char ",TRIM($B732),"[doc_units] ",CHAR(96),CHAR(34),SUBSTITUTE(SUBSTITUTE(SUBSTITUTE(SUBSTITUTE(SUBSTITUTE(SUBSTITUTE($F732,CHAR(13)," "),CHAR(10)," "),CHAR(9)," "),CHAR(92),_xlfn.CONCAT(CHAR(92),CHAR(92))),"$",_xlfn.CONCAT(CHAR(92),"$")),CHAR(96),_xlfn.CONCAT(CHAR(92),CHAR(96))),CHAR(34),CHAR(39))))</f>
        <v/>
      </c>
      <c r="Q732" s="5" t="str">
        <f>IF(OR(TRIM($B732)="",$G732=""),"",IF(OR(ISNUMBER(SEARCH(_xlfn.CONCAT(CHAR(96),CHAR(34)),$G732)),ISNUMBER(SEARCH(_xlfn.CONCAT(CHAR(34),CHAR(39)),$G732))),_xlfn.CONCAT("* REVIEW REQUIRED: compound-quote delimiter in Universe on Sheet 1 row ",732,"; edit the input before running."),_xlfn.CONCAT("char ",TRIM($B732),"[doc_universe] ",CHAR(96),CHAR(34),SUBSTITUTE(SUBSTITUTE(SUBSTITUTE(SUBSTITUTE(SUBSTITUTE(SUBSTITUTE($G732,CHAR(13)," "),CHAR(10)," "),CHAR(9)," "),CHAR(92),_xlfn.CONCAT(CHAR(92),CHAR(92))),"$",_xlfn.CONCAT(CHAR(92),"$")),CHAR(96),_xlfn.CONCAT(CHAR(92),CHAR(96))),CHAR(34),CHAR(39))))</f>
        <v/>
      </c>
      <c r="R732" s="5" t="str">
        <f>IF(OR(TRIM($B732)="",$H732=""),"",IF(OR(ISNUMBER(SEARCH(_xlfn.CONCAT(CHAR(96),CHAR(34)),$H732)),ISNUMBER(SEARCH(_xlfn.CONCAT(CHAR(34),CHAR(39)),$H732))),_xlfn.CONCAT("* REVIEW REQUIRED: compound-quote delimiter in Source on Sheet 1 row ",732,"; edit the input before running."),_xlfn.CONCAT("char ",TRIM($B732),"[doc_source] ",CHAR(96),CHAR(34),SUBSTITUTE(SUBSTITUTE(SUBSTITUTE(SUBSTITUTE(SUBSTITUTE(SUBSTITUTE($H732,CHAR(13)," "),CHAR(10)," "),CHAR(9)," "),CHAR(92),_xlfn.CONCAT(CHAR(92),CHAR(92))),"$",_xlfn.CONCAT(CHAR(92),"$")),CHAR(96),_xlfn.CONCAT(CHAR(92),CHAR(96))),CHAR(34),CHAR(39))))</f>
        <v/>
      </c>
      <c r="S732" s="5" t="str">
        <f>IF(OR(TRIM($B732)="",$I732=""),"",IF(OR(ISNUMBER(SEARCH(_xlfn.CONCAT(CHAR(96),CHAR(34)),$I732)),ISNUMBER(SEARCH(_xlfn.CONCAT(CHAR(34),CHAR(39)),$I732))),_xlfn.CONCAT("* REVIEW REQUIRED: compound-quote delimiter in Derivation on Sheet 1 row ",732,"; edit the input before running."),_xlfn.CONCAT("char ",TRIM($B732),"[doc_derivation] ",CHAR(96),CHAR(34),SUBSTITUTE(SUBSTITUTE(SUBSTITUTE(SUBSTITUTE(SUBSTITUTE(SUBSTITUTE($I732,CHAR(13)," "),CHAR(10)," "),CHAR(9)," "),CHAR(92),_xlfn.CONCAT(CHAR(92),CHAR(92))),"$",_xlfn.CONCAT(CHAR(92),"$")),CHAR(96),_xlfn.CONCAT(CHAR(92),CHAR(96))),CHAR(34),CHAR(39))))</f>
        <v/>
      </c>
      <c r="T732" s="5" t="str">
        <f>IF(OR(TRIM($B732)="",$J732=""),"",IF(OR(ISNUMBER(SEARCH(_xlfn.CONCAT(CHAR(96),CHAR(34)),$J732)),ISNUMBER(SEARCH(_xlfn.CONCAT(CHAR(34),CHAR(39)),$J732))),_xlfn.CONCAT("* REVIEW REQUIRED: compound-quote delimiter in Notes on Sheet 1 row ",732,"; edit the input before running."),_xlfn.CONCAT("char ",TRIM($B732),"[doc_notes] ",CHAR(96),CHAR(34),SUBSTITUTE(SUBSTITUTE(SUBSTITUTE(SUBSTITUTE(SUBSTITUTE(SUBSTITUTE($J732,CHAR(13)," "),CHAR(10)," "),CHAR(9)," "),CHAR(92),_xlfn.CONCAT(CHAR(92),CHAR(92))),"$",_xlfn.CONCAT(CHAR(92),"$")),CHAR(96),_xlfn.CONCAT(CHAR(92),CHAR(96))),CHAR(34),CHAR(39))))</f>
        <v/>
      </c>
      <c r="U732" s="5">
        <f t="shared" si="23"/>
        <v>0</v>
      </c>
    </row>
    <row r="733" spans="3:21" ht="30" customHeight="1" x14ac:dyDescent="0.2">
      <c r="C733" s="4"/>
      <c r="K733" s="5">
        <f t="shared" si="22"/>
        <v>0</v>
      </c>
      <c r="L733" s="5" t="str">
        <f>IF(OR(TRIM($B733)="",$A733=""),"",IF(OR(ISNUMBER(SEARCH(_xlfn.CONCAT(CHAR(96),CHAR(34)),$A733)),ISNUMBER(SEARCH(_xlfn.CONCAT(CHAR(34),CHAR(39)),$A733))),_xlfn.CONCAT("* REVIEW REQUIRED: compound-quote delimiter in Codebook Section on Sheet 1 row ",733,"; edit the input before running."),_xlfn.CONCAT("char ",TRIM($B733),"[doc_section] ",CHAR(96),CHAR(34),SUBSTITUTE(SUBSTITUTE(SUBSTITUTE(SUBSTITUTE(SUBSTITUTE(SUBSTITUTE($A733,CHAR(13)," "),CHAR(10)," "),CHAR(9)," "),CHAR(92),_xlfn.CONCAT(CHAR(92),CHAR(92))),"$",_xlfn.CONCAT(CHAR(92),"$")),CHAR(96),_xlfn.CONCAT(CHAR(92),CHAR(96))),CHAR(34),CHAR(39))))</f>
        <v/>
      </c>
      <c r="M733" s="5" t="str">
        <f>IF(OR(TRIM($B733)="",$C733=""),"",IF(IFERROR(MATCH(TRIM($C733),{"Quantitative","Continuous","Discrete","Categorical","Nominal","Ordinal","Identifier"},0),0)=0,_xlfn.CONCAT("* REVIEW REQUIRED: invalid Variable Type on Sheet 1 row ",733,"."),_xlfn.CONCAT("char ",TRIM($B733),"[doc_vartype] ",CHAR(96),CHAR(34),SUBSTITUTE(SUBSTITUTE(SUBSTITUTE(SUBSTITUTE(SUBSTITUTE(SUBSTITUTE(LOWER(TRIM($C733)),CHAR(13)," "),CHAR(10)," "),CHAR(9)," "),CHAR(92),_xlfn.CONCAT(CHAR(92),CHAR(92))),"$",_xlfn.CONCAT(CHAR(92),"$")),CHAR(96),_xlfn.CONCAT(CHAR(92),CHAR(96))),CHAR(34),CHAR(39))))</f>
        <v/>
      </c>
      <c r="N733" s="5" t="str">
        <f>IF(OR(TRIM($B733)="",$D733=""),"",IF(OR(ISNUMBER(SEARCH(_xlfn.CONCAT(CHAR(96),CHAR(34)),$D733)),ISNUMBER(SEARCH(_xlfn.CONCAT(CHAR(34),CHAR(39)),$D733))),_xlfn.CONCAT("* REVIEW REQUIRED: compound-quote delimiter in Item Number on Sheet 1 row ",733,"; edit the input before running."),_xlfn.CONCAT("char ",TRIM($B733),"[doc_itemnum] ",CHAR(96),CHAR(34),SUBSTITUTE(SUBSTITUTE(SUBSTITUTE(SUBSTITUTE(SUBSTITUTE(SUBSTITUTE($D733,CHAR(13)," "),CHAR(10)," "),CHAR(9)," "),CHAR(92),_xlfn.CONCAT(CHAR(92),CHAR(92))),"$",_xlfn.CONCAT(CHAR(92),"$")),CHAR(96),_xlfn.CONCAT(CHAR(92),CHAR(96))),CHAR(34),CHAR(39))))</f>
        <v/>
      </c>
      <c r="O733" s="5" t="str">
        <f>IF(OR(TRIM($B733)="",$E733=""),"",IF(OR(ISNUMBER(SEARCH(_xlfn.CONCAT(CHAR(96),CHAR(34)),$E733)),ISNUMBER(SEARCH(_xlfn.CONCAT(CHAR(34),CHAR(39)),$E733))),_xlfn.CONCAT("* REVIEW REQUIRED: compound-quote delimiter in Question Wording on Sheet 1 row ",733,"; edit the input before running."),_xlfn.CONCAT("char ",TRIM($B733),"[doc_question] ",CHAR(96),CHAR(34),SUBSTITUTE(SUBSTITUTE(SUBSTITUTE(SUBSTITUTE(SUBSTITUTE(SUBSTITUTE($E733,CHAR(13)," "),CHAR(10)," "),CHAR(9)," "),CHAR(92),_xlfn.CONCAT(CHAR(92),CHAR(92))),"$",_xlfn.CONCAT(CHAR(92),"$")),CHAR(96),_xlfn.CONCAT(CHAR(92),CHAR(96))),CHAR(34),CHAR(39))))</f>
        <v/>
      </c>
      <c r="P733" s="5" t="str">
        <f>IF(OR(TRIM($B733)="",$F733=""),"",IF(OR(ISNUMBER(SEARCH(_xlfn.CONCAT(CHAR(96),CHAR(34)),$F733)),ISNUMBER(SEARCH(_xlfn.CONCAT(CHAR(34),CHAR(39)),$F733))),_xlfn.CONCAT("* REVIEW REQUIRED: compound-quote delimiter in Units on Sheet 1 row ",733,"; edit the input before running."),_xlfn.CONCAT("char ",TRIM($B733),"[doc_units] ",CHAR(96),CHAR(34),SUBSTITUTE(SUBSTITUTE(SUBSTITUTE(SUBSTITUTE(SUBSTITUTE(SUBSTITUTE($F733,CHAR(13)," "),CHAR(10)," "),CHAR(9)," "),CHAR(92),_xlfn.CONCAT(CHAR(92),CHAR(92))),"$",_xlfn.CONCAT(CHAR(92),"$")),CHAR(96),_xlfn.CONCAT(CHAR(92),CHAR(96))),CHAR(34),CHAR(39))))</f>
        <v/>
      </c>
      <c r="Q733" s="5" t="str">
        <f>IF(OR(TRIM($B733)="",$G733=""),"",IF(OR(ISNUMBER(SEARCH(_xlfn.CONCAT(CHAR(96),CHAR(34)),$G733)),ISNUMBER(SEARCH(_xlfn.CONCAT(CHAR(34),CHAR(39)),$G733))),_xlfn.CONCAT("* REVIEW REQUIRED: compound-quote delimiter in Universe on Sheet 1 row ",733,"; edit the input before running."),_xlfn.CONCAT("char ",TRIM($B733),"[doc_universe] ",CHAR(96),CHAR(34),SUBSTITUTE(SUBSTITUTE(SUBSTITUTE(SUBSTITUTE(SUBSTITUTE(SUBSTITUTE($G733,CHAR(13)," "),CHAR(10)," "),CHAR(9)," "),CHAR(92),_xlfn.CONCAT(CHAR(92),CHAR(92))),"$",_xlfn.CONCAT(CHAR(92),"$")),CHAR(96),_xlfn.CONCAT(CHAR(92),CHAR(96))),CHAR(34),CHAR(39))))</f>
        <v/>
      </c>
      <c r="R733" s="5" t="str">
        <f>IF(OR(TRIM($B733)="",$H733=""),"",IF(OR(ISNUMBER(SEARCH(_xlfn.CONCAT(CHAR(96),CHAR(34)),$H733)),ISNUMBER(SEARCH(_xlfn.CONCAT(CHAR(34),CHAR(39)),$H733))),_xlfn.CONCAT("* REVIEW REQUIRED: compound-quote delimiter in Source on Sheet 1 row ",733,"; edit the input before running."),_xlfn.CONCAT("char ",TRIM($B733),"[doc_source] ",CHAR(96),CHAR(34),SUBSTITUTE(SUBSTITUTE(SUBSTITUTE(SUBSTITUTE(SUBSTITUTE(SUBSTITUTE($H733,CHAR(13)," "),CHAR(10)," "),CHAR(9)," "),CHAR(92),_xlfn.CONCAT(CHAR(92),CHAR(92))),"$",_xlfn.CONCAT(CHAR(92),"$")),CHAR(96),_xlfn.CONCAT(CHAR(92),CHAR(96))),CHAR(34),CHAR(39))))</f>
        <v/>
      </c>
      <c r="S733" s="5" t="str">
        <f>IF(OR(TRIM($B733)="",$I733=""),"",IF(OR(ISNUMBER(SEARCH(_xlfn.CONCAT(CHAR(96),CHAR(34)),$I733)),ISNUMBER(SEARCH(_xlfn.CONCAT(CHAR(34),CHAR(39)),$I733))),_xlfn.CONCAT("* REVIEW REQUIRED: compound-quote delimiter in Derivation on Sheet 1 row ",733,"; edit the input before running."),_xlfn.CONCAT("char ",TRIM($B733),"[doc_derivation] ",CHAR(96),CHAR(34),SUBSTITUTE(SUBSTITUTE(SUBSTITUTE(SUBSTITUTE(SUBSTITUTE(SUBSTITUTE($I733,CHAR(13)," "),CHAR(10)," "),CHAR(9)," "),CHAR(92),_xlfn.CONCAT(CHAR(92),CHAR(92))),"$",_xlfn.CONCAT(CHAR(92),"$")),CHAR(96),_xlfn.CONCAT(CHAR(92),CHAR(96))),CHAR(34),CHAR(39))))</f>
        <v/>
      </c>
      <c r="T733" s="5" t="str">
        <f>IF(OR(TRIM($B733)="",$J733=""),"",IF(OR(ISNUMBER(SEARCH(_xlfn.CONCAT(CHAR(96),CHAR(34)),$J733)),ISNUMBER(SEARCH(_xlfn.CONCAT(CHAR(34),CHAR(39)),$J733))),_xlfn.CONCAT("* REVIEW REQUIRED: compound-quote delimiter in Notes on Sheet 1 row ",733,"; edit the input before running."),_xlfn.CONCAT("char ",TRIM($B733),"[doc_notes] ",CHAR(96),CHAR(34),SUBSTITUTE(SUBSTITUTE(SUBSTITUTE(SUBSTITUTE(SUBSTITUTE(SUBSTITUTE($J733,CHAR(13)," "),CHAR(10)," "),CHAR(9)," "),CHAR(92),_xlfn.CONCAT(CHAR(92),CHAR(92))),"$",_xlfn.CONCAT(CHAR(92),"$")),CHAR(96),_xlfn.CONCAT(CHAR(92),CHAR(96))),CHAR(34),CHAR(39))))</f>
        <v/>
      </c>
      <c r="U733" s="5">
        <f t="shared" si="23"/>
        <v>0</v>
      </c>
    </row>
    <row r="734" spans="3:21" ht="30" customHeight="1" x14ac:dyDescent="0.2">
      <c r="C734" s="4"/>
      <c r="K734" s="5">
        <f t="shared" si="22"/>
        <v>0</v>
      </c>
      <c r="L734" s="5" t="str">
        <f>IF(OR(TRIM($B734)="",$A734=""),"",IF(OR(ISNUMBER(SEARCH(_xlfn.CONCAT(CHAR(96),CHAR(34)),$A734)),ISNUMBER(SEARCH(_xlfn.CONCAT(CHAR(34),CHAR(39)),$A734))),_xlfn.CONCAT("* REVIEW REQUIRED: compound-quote delimiter in Codebook Section on Sheet 1 row ",734,"; edit the input before running."),_xlfn.CONCAT("char ",TRIM($B734),"[doc_section] ",CHAR(96),CHAR(34),SUBSTITUTE(SUBSTITUTE(SUBSTITUTE(SUBSTITUTE(SUBSTITUTE(SUBSTITUTE($A734,CHAR(13)," "),CHAR(10)," "),CHAR(9)," "),CHAR(92),_xlfn.CONCAT(CHAR(92),CHAR(92))),"$",_xlfn.CONCAT(CHAR(92),"$")),CHAR(96),_xlfn.CONCAT(CHAR(92),CHAR(96))),CHAR(34),CHAR(39))))</f>
        <v/>
      </c>
      <c r="M734" s="5" t="str">
        <f>IF(OR(TRIM($B734)="",$C734=""),"",IF(IFERROR(MATCH(TRIM($C734),{"Quantitative","Continuous","Discrete","Categorical","Nominal","Ordinal","Identifier"},0),0)=0,_xlfn.CONCAT("* REVIEW REQUIRED: invalid Variable Type on Sheet 1 row ",734,"."),_xlfn.CONCAT("char ",TRIM($B734),"[doc_vartype] ",CHAR(96),CHAR(34),SUBSTITUTE(SUBSTITUTE(SUBSTITUTE(SUBSTITUTE(SUBSTITUTE(SUBSTITUTE(LOWER(TRIM($C734)),CHAR(13)," "),CHAR(10)," "),CHAR(9)," "),CHAR(92),_xlfn.CONCAT(CHAR(92),CHAR(92))),"$",_xlfn.CONCAT(CHAR(92),"$")),CHAR(96),_xlfn.CONCAT(CHAR(92),CHAR(96))),CHAR(34),CHAR(39))))</f>
        <v/>
      </c>
      <c r="N734" s="5" t="str">
        <f>IF(OR(TRIM($B734)="",$D734=""),"",IF(OR(ISNUMBER(SEARCH(_xlfn.CONCAT(CHAR(96),CHAR(34)),$D734)),ISNUMBER(SEARCH(_xlfn.CONCAT(CHAR(34),CHAR(39)),$D734))),_xlfn.CONCAT("* REVIEW REQUIRED: compound-quote delimiter in Item Number on Sheet 1 row ",734,"; edit the input before running."),_xlfn.CONCAT("char ",TRIM($B734),"[doc_itemnum] ",CHAR(96),CHAR(34),SUBSTITUTE(SUBSTITUTE(SUBSTITUTE(SUBSTITUTE(SUBSTITUTE(SUBSTITUTE($D734,CHAR(13)," "),CHAR(10)," "),CHAR(9)," "),CHAR(92),_xlfn.CONCAT(CHAR(92),CHAR(92))),"$",_xlfn.CONCAT(CHAR(92),"$")),CHAR(96),_xlfn.CONCAT(CHAR(92),CHAR(96))),CHAR(34),CHAR(39))))</f>
        <v/>
      </c>
      <c r="O734" s="5" t="str">
        <f>IF(OR(TRIM($B734)="",$E734=""),"",IF(OR(ISNUMBER(SEARCH(_xlfn.CONCAT(CHAR(96),CHAR(34)),$E734)),ISNUMBER(SEARCH(_xlfn.CONCAT(CHAR(34),CHAR(39)),$E734))),_xlfn.CONCAT("* REVIEW REQUIRED: compound-quote delimiter in Question Wording on Sheet 1 row ",734,"; edit the input before running."),_xlfn.CONCAT("char ",TRIM($B734),"[doc_question] ",CHAR(96),CHAR(34),SUBSTITUTE(SUBSTITUTE(SUBSTITUTE(SUBSTITUTE(SUBSTITUTE(SUBSTITUTE($E734,CHAR(13)," "),CHAR(10)," "),CHAR(9)," "),CHAR(92),_xlfn.CONCAT(CHAR(92),CHAR(92))),"$",_xlfn.CONCAT(CHAR(92),"$")),CHAR(96),_xlfn.CONCAT(CHAR(92),CHAR(96))),CHAR(34),CHAR(39))))</f>
        <v/>
      </c>
      <c r="P734" s="5" t="str">
        <f>IF(OR(TRIM($B734)="",$F734=""),"",IF(OR(ISNUMBER(SEARCH(_xlfn.CONCAT(CHAR(96),CHAR(34)),$F734)),ISNUMBER(SEARCH(_xlfn.CONCAT(CHAR(34),CHAR(39)),$F734))),_xlfn.CONCAT("* REVIEW REQUIRED: compound-quote delimiter in Units on Sheet 1 row ",734,"; edit the input before running."),_xlfn.CONCAT("char ",TRIM($B734),"[doc_units] ",CHAR(96),CHAR(34),SUBSTITUTE(SUBSTITUTE(SUBSTITUTE(SUBSTITUTE(SUBSTITUTE(SUBSTITUTE($F734,CHAR(13)," "),CHAR(10)," "),CHAR(9)," "),CHAR(92),_xlfn.CONCAT(CHAR(92),CHAR(92))),"$",_xlfn.CONCAT(CHAR(92),"$")),CHAR(96),_xlfn.CONCAT(CHAR(92),CHAR(96))),CHAR(34),CHAR(39))))</f>
        <v/>
      </c>
      <c r="Q734" s="5" t="str">
        <f>IF(OR(TRIM($B734)="",$G734=""),"",IF(OR(ISNUMBER(SEARCH(_xlfn.CONCAT(CHAR(96),CHAR(34)),$G734)),ISNUMBER(SEARCH(_xlfn.CONCAT(CHAR(34),CHAR(39)),$G734))),_xlfn.CONCAT("* REVIEW REQUIRED: compound-quote delimiter in Universe on Sheet 1 row ",734,"; edit the input before running."),_xlfn.CONCAT("char ",TRIM($B734),"[doc_universe] ",CHAR(96),CHAR(34),SUBSTITUTE(SUBSTITUTE(SUBSTITUTE(SUBSTITUTE(SUBSTITUTE(SUBSTITUTE($G734,CHAR(13)," "),CHAR(10)," "),CHAR(9)," "),CHAR(92),_xlfn.CONCAT(CHAR(92),CHAR(92))),"$",_xlfn.CONCAT(CHAR(92),"$")),CHAR(96),_xlfn.CONCAT(CHAR(92),CHAR(96))),CHAR(34),CHAR(39))))</f>
        <v/>
      </c>
      <c r="R734" s="5" t="str">
        <f>IF(OR(TRIM($B734)="",$H734=""),"",IF(OR(ISNUMBER(SEARCH(_xlfn.CONCAT(CHAR(96),CHAR(34)),$H734)),ISNUMBER(SEARCH(_xlfn.CONCAT(CHAR(34),CHAR(39)),$H734))),_xlfn.CONCAT("* REVIEW REQUIRED: compound-quote delimiter in Source on Sheet 1 row ",734,"; edit the input before running."),_xlfn.CONCAT("char ",TRIM($B734),"[doc_source] ",CHAR(96),CHAR(34),SUBSTITUTE(SUBSTITUTE(SUBSTITUTE(SUBSTITUTE(SUBSTITUTE(SUBSTITUTE($H734,CHAR(13)," "),CHAR(10)," "),CHAR(9)," "),CHAR(92),_xlfn.CONCAT(CHAR(92),CHAR(92))),"$",_xlfn.CONCAT(CHAR(92),"$")),CHAR(96),_xlfn.CONCAT(CHAR(92),CHAR(96))),CHAR(34),CHAR(39))))</f>
        <v/>
      </c>
      <c r="S734" s="5" t="str">
        <f>IF(OR(TRIM($B734)="",$I734=""),"",IF(OR(ISNUMBER(SEARCH(_xlfn.CONCAT(CHAR(96),CHAR(34)),$I734)),ISNUMBER(SEARCH(_xlfn.CONCAT(CHAR(34),CHAR(39)),$I734))),_xlfn.CONCAT("* REVIEW REQUIRED: compound-quote delimiter in Derivation on Sheet 1 row ",734,"; edit the input before running."),_xlfn.CONCAT("char ",TRIM($B734),"[doc_derivation] ",CHAR(96),CHAR(34),SUBSTITUTE(SUBSTITUTE(SUBSTITUTE(SUBSTITUTE(SUBSTITUTE(SUBSTITUTE($I734,CHAR(13)," "),CHAR(10)," "),CHAR(9)," "),CHAR(92),_xlfn.CONCAT(CHAR(92),CHAR(92))),"$",_xlfn.CONCAT(CHAR(92),"$")),CHAR(96),_xlfn.CONCAT(CHAR(92),CHAR(96))),CHAR(34),CHAR(39))))</f>
        <v/>
      </c>
      <c r="T734" s="5" t="str">
        <f>IF(OR(TRIM($B734)="",$J734=""),"",IF(OR(ISNUMBER(SEARCH(_xlfn.CONCAT(CHAR(96),CHAR(34)),$J734)),ISNUMBER(SEARCH(_xlfn.CONCAT(CHAR(34),CHAR(39)),$J734))),_xlfn.CONCAT("* REVIEW REQUIRED: compound-quote delimiter in Notes on Sheet 1 row ",734,"; edit the input before running."),_xlfn.CONCAT("char ",TRIM($B734),"[doc_notes] ",CHAR(96),CHAR(34),SUBSTITUTE(SUBSTITUTE(SUBSTITUTE(SUBSTITUTE(SUBSTITUTE(SUBSTITUTE($J734,CHAR(13)," "),CHAR(10)," "),CHAR(9)," "),CHAR(92),_xlfn.CONCAT(CHAR(92),CHAR(92))),"$",_xlfn.CONCAT(CHAR(92),"$")),CHAR(96),_xlfn.CONCAT(CHAR(92),CHAR(96))),CHAR(34),CHAR(39))))</f>
        <v/>
      </c>
      <c r="U734" s="5">
        <f t="shared" si="23"/>
        <v>0</v>
      </c>
    </row>
    <row r="735" spans="3:21" ht="30" customHeight="1" x14ac:dyDescent="0.2">
      <c r="C735" s="4"/>
      <c r="K735" s="5">
        <f t="shared" si="22"/>
        <v>0</v>
      </c>
      <c r="L735" s="5" t="str">
        <f>IF(OR(TRIM($B735)="",$A735=""),"",IF(OR(ISNUMBER(SEARCH(_xlfn.CONCAT(CHAR(96),CHAR(34)),$A735)),ISNUMBER(SEARCH(_xlfn.CONCAT(CHAR(34),CHAR(39)),$A735))),_xlfn.CONCAT("* REVIEW REQUIRED: compound-quote delimiter in Codebook Section on Sheet 1 row ",735,"; edit the input before running."),_xlfn.CONCAT("char ",TRIM($B735),"[doc_section] ",CHAR(96),CHAR(34),SUBSTITUTE(SUBSTITUTE(SUBSTITUTE(SUBSTITUTE(SUBSTITUTE(SUBSTITUTE($A735,CHAR(13)," "),CHAR(10)," "),CHAR(9)," "),CHAR(92),_xlfn.CONCAT(CHAR(92),CHAR(92))),"$",_xlfn.CONCAT(CHAR(92),"$")),CHAR(96),_xlfn.CONCAT(CHAR(92),CHAR(96))),CHAR(34),CHAR(39))))</f>
        <v/>
      </c>
      <c r="M735" s="5" t="str">
        <f>IF(OR(TRIM($B735)="",$C735=""),"",IF(IFERROR(MATCH(TRIM($C735),{"Quantitative","Continuous","Discrete","Categorical","Nominal","Ordinal","Identifier"},0),0)=0,_xlfn.CONCAT("* REVIEW REQUIRED: invalid Variable Type on Sheet 1 row ",735,"."),_xlfn.CONCAT("char ",TRIM($B735),"[doc_vartype] ",CHAR(96),CHAR(34),SUBSTITUTE(SUBSTITUTE(SUBSTITUTE(SUBSTITUTE(SUBSTITUTE(SUBSTITUTE(LOWER(TRIM($C735)),CHAR(13)," "),CHAR(10)," "),CHAR(9)," "),CHAR(92),_xlfn.CONCAT(CHAR(92),CHAR(92))),"$",_xlfn.CONCAT(CHAR(92),"$")),CHAR(96),_xlfn.CONCAT(CHAR(92),CHAR(96))),CHAR(34),CHAR(39))))</f>
        <v/>
      </c>
      <c r="N735" s="5" t="str">
        <f>IF(OR(TRIM($B735)="",$D735=""),"",IF(OR(ISNUMBER(SEARCH(_xlfn.CONCAT(CHAR(96),CHAR(34)),$D735)),ISNUMBER(SEARCH(_xlfn.CONCAT(CHAR(34),CHAR(39)),$D735))),_xlfn.CONCAT("* REVIEW REQUIRED: compound-quote delimiter in Item Number on Sheet 1 row ",735,"; edit the input before running."),_xlfn.CONCAT("char ",TRIM($B735),"[doc_itemnum] ",CHAR(96),CHAR(34),SUBSTITUTE(SUBSTITUTE(SUBSTITUTE(SUBSTITUTE(SUBSTITUTE(SUBSTITUTE($D735,CHAR(13)," "),CHAR(10)," "),CHAR(9)," "),CHAR(92),_xlfn.CONCAT(CHAR(92),CHAR(92))),"$",_xlfn.CONCAT(CHAR(92),"$")),CHAR(96),_xlfn.CONCAT(CHAR(92),CHAR(96))),CHAR(34),CHAR(39))))</f>
        <v/>
      </c>
      <c r="O735" s="5" t="str">
        <f>IF(OR(TRIM($B735)="",$E735=""),"",IF(OR(ISNUMBER(SEARCH(_xlfn.CONCAT(CHAR(96),CHAR(34)),$E735)),ISNUMBER(SEARCH(_xlfn.CONCAT(CHAR(34),CHAR(39)),$E735))),_xlfn.CONCAT("* REVIEW REQUIRED: compound-quote delimiter in Question Wording on Sheet 1 row ",735,"; edit the input before running."),_xlfn.CONCAT("char ",TRIM($B735),"[doc_question] ",CHAR(96),CHAR(34),SUBSTITUTE(SUBSTITUTE(SUBSTITUTE(SUBSTITUTE(SUBSTITUTE(SUBSTITUTE($E735,CHAR(13)," "),CHAR(10)," "),CHAR(9)," "),CHAR(92),_xlfn.CONCAT(CHAR(92),CHAR(92))),"$",_xlfn.CONCAT(CHAR(92),"$")),CHAR(96),_xlfn.CONCAT(CHAR(92),CHAR(96))),CHAR(34),CHAR(39))))</f>
        <v/>
      </c>
      <c r="P735" s="5" t="str">
        <f>IF(OR(TRIM($B735)="",$F735=""),"",IF(OR(ISNUMBER(SEARCH(_xlfn.CONCAT(CHAR(96),CHAR(34)),$F735)),ISNUMBER(SEARCH(_xlfn.CONCAT(CHAR(34),CHAR(39)),$F735))),_xlfn.CONCAT("* REVIEW REQUIRED: compound-quote delimiter in Units on Sheet 1 row ",735,"; edit the input before running."),_xlfn.CONCAT("char ",TRIM($B735),"[doc_units] ",CHAR(96),CHAR(34),SUBSTITUTE(SUBSTITUTE(SUBSTITUTE(SUBSTITUTE(SUBSTITUTE(SUBSTITUTE($F735,CHAR(13)," "),CHAR(10)," "),CHAR(9)," "),CHAR(92),_xlfn.CONCAT(CHAR(92),CHAR(92))),"$",_xlfn.CONCAT(CHAR(92),"$")),CHAR(96),_xlfn.CONCAT(CHAR(92),CHAR(96))),CHAR(34),CHAR(39))))</f>
        <v/>
      </c>
      <c r="Q735" s="5" t="str">
        <f>IF(OR(TRIM($B735)="",$G735=""),"",IF(OR(ISNUMBER(SEARCH(_xlfn.CONCAT(CHAR(96),CHAR(34)),$G735)),ISNUMBER(SEARCH(_xlfn.CONCAT(CHAR(34),CHAR(39)),$G735))),_xlfn.CONCAT("* REVIEW REQUIRED: compound-quote delimiter in Universe on Sheet 1 row ",735,"; edit the input before running."),_xlfn.CONCAT("char ",TRIM($B735),"[doc_universe] ",CHAR(96),CHAR(34),SUBSTITUTE(SUBSTITUTE(SUBSTITUTE(SUBSTITUTE(SUBSTITUTE(SUBSTITUTE($G735,CHAR(13)," "),CHAR(10)," "),CHAR(9)," "),CHAR(92),_xlfn.CONCAT(CHAR(92),CHAR(92))),"$",_xlfn.CONCAT(CHAR(92),"$")),CHAR(96),_xlfn.CONCAT(CHAR(92),CHAR(96))),CHAR(34),CHAR(39))))</f>
        <v/>
      </c>
      <c r="R735" s="5" t="str">
        <f>IF(OR(TRIM($B735)="",$H735=""),"",IF(OR(ISNUMBER(SEARCH(_xlfn.CONCAT(CHAR(96),CHAR(34)),$H735)),ISNUMBER(SEARCH(_xlfn.CONCAT(CHAR(34),CHAR(39)),$H735))),_xlfn.CONCAT("* REVIEW REQUIRED: compound-quote delimiter in Source on Sheet 1 row ",735,"; edit the input before running."),_xlfn.CONCAT("char ",TRIM($B735),"[doc_source] ",CHAR(96),CHAR(34),SUBSTITUTE(SUBSTITUTE(SUBSTITUTE(SUBSTITUTE(SUBSTITUTE(SUBSTITUTE($H735,CHAR(13)," "),CHAR(10)," "),CHAR(9)," "),CHAR(92),_xlfn.CONCAT(CHAR(92),CHAR(92))),"$",_xlfn.CONCAT(CHAR(92),"$")),CHAR(96),_xlfn.CONCAT(CHAR(92),CHAR(96))),CHAR(34),CHAR(39))))</f>
        <v/>
      </c>
      <c r="S735" s="5" t="str">
        <f>IF(OR(TRIM($B735)="",$I735=""),"",IF(OR(ISNUMBER(SEARCH(_xlfn.CONCAT(CHAR(96),CHAR(34)),$I735)),ISNUMBER(SEARCH(_xlfn.CONCAT(CHAR(34),CHAR(39)),$I735))),_xlfn.CONCAT("* REVIEW REQUIRED: compound-quote delimiter in Derivation on Sheet 1 row ",735,"; edit the input before running."),_xlfn.CONCAT("char ",TRIM($B735),"[doc_derivation] ",CHAR(96),CHAR(34),SUBSTITUTE(SUBSTITUTE(SUBSTITUTE(SUBSTITUTE(SUBSTITUTE(SUBSTITUTE($I735,CHAR(13)," "),CHAR(10)," "),CHAR(9)," "),CHAR(92),_xlfn.CONCAT(CHAR(92),CHAR(92))),"$",_xlfn.CONCAT(CHAR(92),"$")),CHAR(96),_xlfn.CONCAT(CHAR(92),CHAR(96))),CHAR(34),CHAR(39))))</f>
        <v/>
      </c>
      <c r="T735" s="5" t="str">
        <f>IF(OR(TRIM($B735)="",$J735=""),"",IF(OR(ISNUMBER(SEARCH(_xlfn.CONCAT(CHAR(96),CHAR(34)),$J735)),ISNUMBER(SEARCH(_xlfn.CONCAT(CHAR(34),CHAR(39)),$J735))),_xlfn.CONCAT("* REVIEW REQUIRED: compound-quote delimiter in Notes on Sheet 1 row ",735,"; edit the input before running."),_xlfn.CONCAT("char ",TRIM($B735),"[doc_notes] ",CHAR(96),CHAR(34),SUBSTITUTE(SUBSTITUTE(SUBSTITUTE(SUBSTITUTE(SUBSTITUTE(SUBSTITUTE($J735,CHAR(13)," "),CHAR(10)," "),CHAR(9)," "),CHAR(92),_xlfn.CONCAT(CHAR(92),CHAR(92))),"$",_xlfn.CONCAT(CHAR(92),"$")),CHAR(96),_xlfn.CONCAT(CHAR(92),CHAR(96))),CHAR(34),CHAR(39))))</f>
        <v/>
      </c>
      <c r="U735" s="5">
        <f t="shared" si="23"/>
        <v>0</v>
      </c>
    </row>
    <row r="736" spans="3:21" ht="30" customHeight="1" x14ac:dyDescent="0.2">
      <c r="C736" s="4"/>
      <c r="K736" s="5">
        <f t="shared" si="22"/>
        <v>0</v>
      </c>
      <c r="L736" s="5" t="str">
        <f>IF(OR(TRIM($B736)="",$A736=""),"",IF(OR(ISNUMBER(SEARCH(_xlfn.CONCAT(CHAR(96),CHAR(34)),$A736)),ISNUMBER(SEARCH(_xlfn.CONCAT(CHAR(34),CHAR(39)),$A736))),_xlfn.CONCAT("* REVIEW REQUIRED: compound-quote delimiter in Codebook Section on Sheet 1 row ",736,"; edit the input before running."),_xlfn.CONCAT("char ",TRIM($B736),"[doc_section] ",CHAR(96),CHAR(34),SUBSTITUTE(SUBSTITUTE(SUBSTITUTE(SUBSTITUTE(SUBSTITUTE(SUBSTITUTE($A736,CHAR(13)," "),CHAR(10)," "),CHAR(9)," "),CHAR(92),_xlfn.CONCAT(CHAR(92),CHAR(92))),"$",_xlfn.CONCAT(CHAR(92),"$")),CHAR(96),_xlfn.CONCAT(CHAR(92),CHAR(96))),CHAR(34),CHAR(39))))</f>
        <v/>
      </c>
      <c r="M736" s="5" t="str">
        <f>IF(OR(TRIM($B736)="",$C736=""),"",IF(IFERROR(MATCH(TRIM($C736),{"Quantitative","Continuous","Discrete","Categorical","Nominal","Ordinal","Identifier"},0),0)=0,_xlfn.CONCAT("* REVIEW REQUIRED: invalid Variable Type on Sheet 1 row ",736,"."),_xlfn.CONCAT("char ",TRIM($B736),"[doc_vartype] ",CHAR(96),CHAR(34),SUBSTITUTE(SUBSTITUTE(SUBSTITUTE(SUBSTITUTE(SUBSTITUTE(SUBSTITUTE(LOWER(TRIM($C736)),CHAR(13)," "),CHAR(10)," "),CHAR(9)," "),CHAR(92),_xlfn.CONCAT(CHAR(92),CHAR(92))),"$",_xlfn.CONCAT(CHAR(92),"$")),CHAR(96),_xlfn.CONCAT(CHAR(92),CHAR(96))),CHAR(34),CHAR(39))))</f>
        <v/>
      </c>
      <c r="N736" s="5" t="str">
        <f>IF(OR(TRIM($B736)="",$D736=""),"",IF(OR(ISNUMBER(SEARCH(_xlfn.CONCAT(CHAR(96),CHAR(34)),$D736)),ISNUMBER(SEARCH(_xlfn.CONCAT(CHAR(34),CHAR(39)),$D736))),_xlfn.CONCAT("* REVIEW REQUIRED: compound-quote delimiter in Item Number on Sheet 1 row ",736,"; edit the input before running."),_xlfn.CONCAT("char ",TRIM($B736),"[doc_itemnum] ",CHAR(96),CHAR(34),SUBSTITUTE(SUBSTITUTE(SUBSTITUTE(SUBSTITUTE(SUBSTITUTE(SUBSTITUTE($D736,CHAR(13)," "),CHAR(10)," "),CHAR(9)," "),CHAR(92),_xlfn.CONCAT(CHAR(92),CHAR(92))),"$",_xlfn.CONCAT(CHAR(92),"$")),CHAR(96),_xlfn.CONCAT(CHAR(92),CHAR(96))),CHAR(34),CHAR(39))))</f>
        <v/>
      </c>
      <c r="O736" s="5" t="str">
        <f>IF(OR(TRIM($B736)="",$E736=""),"",IF(OR(ISNUMBER(SEARCH(_xlfn.CONCAT(CHAR(96),CHAR(34)),$E736)),ISNUMBER(SEARCH(_xlfn.CONCAT(CHAR(34),CHAR(39)),$E736))),_xlfn.CONCAT("* REVIEW REQUIRED: compound-quote delimiter in Question Wording on Sheet 1 row ",736,"; edit the input before running."),_xlfn.CONCAT("char ",TRIM($B736),"[doc_question] ",CHAR(96),CHAR(34),SUBSTITUTE(SUBSTITUTE(SUBSTITUTE(SUBSTITUTE(SUBSTITUTE(SUBSTITUTE($E736,CHAR(13)," "),CHAR(10)," "),CHAR(9)," "),CHAR(92),_xlfn.CONCAT(CHAR(92),CHAR(92))),"$",_xlfn.CONCAT(CHAR(92),"$")),CHAR(96),_xlfn.CONCAT(CHAR(92),CHAR(96))),CHAR(34),CHAR(39))))</f>
        <v/>
      </c>
      <c r="P736" s="5" t="str">
        <f>IF(OR(TRIM($B736)="",$F736=""),"",IF(OR(ISNUMBER(SEARCH(_xlfn.CONCAT(CHAR(96),CHAR(34)),$F736)),ISNUMBER(SEARCH(_xlfn.CONCAT(CHAR(34),CHAR(39)),$F736))),_xlfn.CONCAT("* REVIEW REQUIRED: compound-quote delimiter in Units on Sheet 1 row ",736,"; edit the input before running."),_xlfn.CONCAT("char ",TRIM($B736),"[doc_units] ",CHAR(96),CHAR(34),SUBSTITUTE(SUBSTITUTE(SUBSTITUTE(SUBSTITUTE(SUBSTITUTE(SUBSTITUTE($F736,CHAR(13)," "),CHAR(10)," "),CHAR(9)," "),CHAR(92),_xlfn.CONCAT(CHAR(92),CHAR(92))),"$",_xlfn.CONCAT(CHAR(92),"$")),CHAR(96),_xlfn.CONCAT(CHAR(92),CHAR(96))),CHAR(34),CHAR(39))))</f>
        <v/>
      </c>
      <c r="Q736" s="5" t="str">
        <f>IF(OR(TRIM($B736)="",$G736=""),"",IF(OR(ISNUMBER(SEARCH(_xlfn.CONCAT(CHAR(96),CHAR(34)),$G736)),ISNUMBER(SEARCH(_xlfn.CONCAT(CHAR(34),CHAR(39)),$G736))),_xlfn.CONCAT("* REVIEW REQUIRED: compound-quote delimiter in Universe on Sheet 1 row ",736,"; edit the input before running."),_xlfn.CONCAT("char ",TRIM($B736),"[doc_universe] ",CHAR(96),CHAR(34),SUBSTITUTE(SUBSTITUTE(SUBSTITUTE(SUBSTITUTE(SUBSTITUTE(SUBSTITUTE($G736,CHAR(13)," "),CHAR(10)," "),CHAR(9)," "),CHAR(92),_xlfn.CONCAT(CHAR(92),CHAR(92))),"$",_xlfn.CONCAT(CHAR(92),"$")),CHAR(96),_xlfn.CONCAT(CHAR(92),CHAR(96))),CHAR(34),CHAR(39))))</f>
        <v/>
      </c>
      <c r="R736" s="5" t="str">
        <f>IF(OR(TRIM($B736)="",$H736=""),"",IF(OR(ISNUMBER(SEARCH(_xlfn.CONCAT(CHAR(96),CHAR(34)),$H736)),ISNUMBER(SEARCH(_xlfn.CONCAT(CHAR(34),CHAR(39)),$H736))),_xlfn.CONCAT("* REVIEW REQUIRED: compound-quote delimiter in Source on Sheet 1 row ",736,"; edit the input before running."),_xlfn.CONCAT("char ",TRIM($B736),"[doc_source] ",CHAR(96),CHAR(34),SUBSTITUTE(SUBSTITUTE(SUBSTITUTE(SUBSTITUTE(SUBSTITUTE(SUBSTITUTE($H736,CHAR(13)," "),CHAR(10)," "),CHAR(9)," "),CHAR(92),_xlfn.CONCAT(CHAR(92),CHAR(92))),"$",_xlfn.CONCAT(CHAR(92),"$")),CHAR(96),_xlfn.CONCAT(CHAR(92),CHAR(96))),CHAR(34),CHAR(39))))</f>
        <v/>
      </c>
      <c r="S736" s="5" t="str">
        <f>IF(OR(TRIM($B736)="",$I736=""),"",IF(OR(ISNUMBER(SEARCH(_xlfn.CONCAT(CHAR(96),CHAR(34)),$I736)),ISNUMBER(SEARCH(_xlfn.CONCAT(CHAR(34),CHAR(39)),$I736))),_xlfn.CONCAT("* REVIEW REQUIRED: compound-quote delimiter in Derivation on Sheet 1 row ",736,"; edit the input before running."),_xlfn.CONCAT("char ",TRIM($B736),"[doc_derivation] ",CHAR(96),CHAR(34),SUBSTITUTE(SUBSTITUTE(SUBSTITUTE(SUBSTITUTE(SUBSTITUTE(SUBSTITUTE($I736,CHAR(13)," "),CHAR(10)," "),CHAR(9)," "),CHAR(92),_xlfn.CONCAT(CHAR(92),CHAR(92))),"$",_xlfn.CONCAT(CHAR(92),"$")),CHAR(96),_xlfn.CONCAT(CHAR(92),CHAR(96))),CHAR(34),CHAR(39))))</f>
        <v/>
      </c>
      <c r="T736" s="5" t="str">
        <f>IF(OR(TRIM($B736)="",$J736=""),"",IF(OR(ISNUMBER(SEARCH(_xlfn.CONCAT(CHAR(96),CHAR(34)),$J736)),ISNUMBER(SEARCH(_xlfn.CONCAT(CHAR(34),CHAR(39)),$J736))),_xlfn.CONCAT("* REVIEW REQUIRED: compound-quote delimiter in Notes on Sheet 1 row ",736,"; edit the input before running."),_xlfn.CONCAT("char ",TRIM($B736),"[doc_notes] ",CHAR(96),CHAR(34),SUBSTITUTE(SUBSTITUTE(SUBSTITUTE(SUBSTITUTE(SUBSTITUTE(SUBSTITUTE($J736,CHAR(13)," "),CHAR(10)," "),CHAR(9)," "),CHAR(92),_xlfn.CONCAT(CHAR(92),CHAR(92))),"$",_xlfn.CONCAT(CHAR(92),"$")),CHAR(96),_xlfn.CONCAT(CHAR(92),CHAR(96))),CHAR(34),CHAR(39))))</f>
        <v/>
      </c>
      <c r="U736" s="5">
        <f t="shared" si="23"/>
        <v>0</v>
      </c>
    </row>
    <row r="737" spans="3:21" ht="30" customHeight="1" x14ac:dyDescent="0.2">
      <c r="C737" s="4"/>
      <c r="K737" s="5">
        <f t="shared" si="22"/>
        <v>0</v>
      </c>
      <c r="L737" s="5" t="str">
        <f>IF(OR(TRIM($B737)="",$A737=""),"",IF(OR(ISNUMBER(SEARCH(_xlfn.CONCAT(CHAR(96),CHAR(34)),$A737)),ISNUMBER(SEARCH(_xlfn.CONCAT(CHAR(34),CHAR(39)),$A737))),_xlfn.CONCAT("* REVIEW REQUIRED: compound-quote delimiter in Codebook Section on Sheet 1 row ",737,"; edit the input before running."),_xlfn.CONCAT("char ",TRIM($B737),"[doc_section] ",CHAR(96),CHAR(34),SUBSTITUTE(SUBSTITUTE(SUBSTITUTE(SUBSTITUTE(SUBSTITUTE(SUBSTITUTE($A737,CHAR(13)," "),CHAR(10)," "),CHAR(9)," "),CHAR(92),_xlfn.CONCAT(CHAR(92),CHAR(92))),"$",_xlfn.CONCAT(CHAR(92),"$")),CHAR(96),_xlfn.CONCAT(CHAR(92),CHAR(96))),CHAR(34),CHAR(39))))</f>
        <v/>
      </c>
      <c r="M737" s="5" t="str">
        <f>IF(OR(TRIM($B737)="",$C737=""),"",IF(IFERROR(MATCH(TRIM($C737),{"Quantitative","Continuous","Discrete","Categorical","Nominal","Ordinal","Identifier"},0),0)=0,_xlfn.CONCAT("* REVIEW REQUIRED: invalid Variable Type on Sheet 1 row ",737,"."),_xlfn.CONCAT("char ",TRIM($B737),"[doc_vartype] ",CHAR(96),CHAR(34),SUBSTITUTE(SUBSTITUTE(SUBSTITUTE(SUBSTITUTE(SUBSTITUTE(SUBSTITUTE(LOWER(TRIM($C737)),CHAR(13)," "),CHAR(10)," "),CHAR(9)," "),CHAR(92),_xlfn.CONCAT(CHAR(92),CHAR(92))),"$",_xlfn.CONCAT(CHAR(92),"$")),CHAR(96),_xlfn.CONCAT(CHAR(92),CHAR(96))),CHAR(34),CHAR(39))))</f>
        <v/>
      </c>
      <c r="N737" s="5" t="str">
        <f>IF(OR(TRIM($B737)="",$D737=""),"",IF(OR(ISNUMBER(SEARCH(_xlfn.CONCAT(CHAR(96),CHAR(34)),$D737)),ISNUMBER(SEARCH(_xlfn.CONCAT(CHAR(34),CHAR(39)),$D737))),_xlfn.CONCAT("* REVIEW REQUIRED: compound-quote delimiter in Item Number on Sheet 1 row ",737,"; edit the input before running."),_xlfn.CONCAT("char ",TRIM($B737),"[doc_itemnum] ",CHAR(96),CHAR(34),SUBSTITUTE(SUBSTITUTE(SUBSTITUTE(SUBSTITUTE(SUBSTITUTE(SUBSTITUTE($D737,CHAR(13)," "),CHAR(10)," "),CHAR(9)," "),CHAR(92),_xlfn.CONCAT(CHAR(92),CHAR(92))),"$",_xlfn.CONCAT(CHAR(92),"$")),CHAR(96),_xlfn.CONCAT(CHAR(92),CHAR(96))),CHAR(34),CHAR(39))))</f>
        <v/>
      </c>
      <c r="O737" s="5" t="str">
        <f>IF(OR(TRIM($B737)="",$E737=""),"",IF(OR(ISNUMBER(SEARCH(_xlfn.CONCAT(CHAR(96),CHAR(34)),$E737)),ISNUMBER(SEARCH(_xlfn.CONCAT(CHAR(34),CHAR(39)),$E737))),_xlfn.CONCAT("* REVIEW REQUIRED: compound-quote delimiter in Question Wording on Sheet 1 row ",737,"; edit the input before running."),_xlfn.CONCAT("char ",TRIM($B737),"[doc_question] ",CHAR(96),CHAR(34),SUBSTITUTE(SUBSTITUTE(SUBSTITUTE(SUBSTITUTE(SUBSTITUTE(SUBSTITUTE($E737,CHAR(13)," "),CHAR(10)," "),CHAR(9)," "),CHAR(92),_xlfn.CONCAT(CHAR(92),CHAR(92))),"$",_xlfn.CONCAT(CHAR(92),"$")),CHAR(96),_xlfn.CONCAT(CHAR(92),CHAR(96))),CHAR(34),CHAR(39))))</f>
        <v/>
      </c>
      <c r="P737" s="5" t="str">
        <f>IF(OR(TRIM($B737)="",$F737=""),"",IF(OR(ISNUMBER(SEARCH(_xlfn.CONCAT(CHAR(96),CHAR(34)),$F737)),ISNUMBER(SEARCH(_xlfn.CONCAT(CHAR(34),CHAR(39)),$F737))),_xlfn.CONCAT("* REVIEW REQUIRED: compound-quote delimiter in Units on Sheet 1 row ",737,"; edit the input before running."),_xlfn.CONCAT("char ",TRIM($B737),"[doc_units] ",CHAR(96),CHAR(34),SUBSTITUTE(SUBSTITUTE(SUBSTITUTE(SUBSTITUTE(SUBSTITUTE(SUBSTITUTE($F737,CHAR(13)," "),CHAR(10)," "),CHAR(9)," "),CHAR(92),_xlfn.CONCAT(CHAR(92),CHAR(92))),"$",_xlfn.CONCAT(CHAR(92),"$")),CHAR(96),_xlfn.CONCAT(CHAR(92),CHAR(96))),CHAR(34),CHAR(39))))</f>
        <v/>
      </c>
      <c r="Q737" s="5" t="str">
        <f>IF(OR(TRIM($B737)="",$G737=""),"",IF(OR(ISNUMBER(SEARCH(_xlfn.CONCAT(CHAR(96),CHAR(34)),$G737)),ISNUMBER(SEARCH(_xlfn.CONCAT(CHAR(34),CHAR(39)),$G737))),_xlfn.CONCAT("* REVIEW REQUIRED: compound-quote delimiter in Universe on Sheet 1 row ",737,"; edit the input before running."),_xlfn.CONCAT("char ",TRIM($B737),"[doc_universe] ",CHAR(96),CHAR(34),SUBSTITUTE(SUBSTITUTE(SUBSTITUTE(SUBSTITUTE(SUBSTITUTE(SUBSTITUTE($G737,CHAR(13)," "),CHAR(10)," "),CHAR(9)," "),CHAR(92),_xlfn.CONCAT(CHAR(92),CHAR(92))),"$",_xlfn.CONCAT(CHAR(92),"$")),CHAR(96),_xlfn.CONCAT(CHAR(92),CHAR(96))),CHAR(34),CHAR(39))))</f>
        <v/>
      </c>
      <c r="R737" s="5" t="str">
        <f>IF(OR(TRIM($B737)="",$H737=""),"",IF(OR(ISNUMBER(SEARCH(_xlfn.CONCAT(CHAR(96),CHAR(34)),$H737)),ISNUMBER(SEARCH(_xlfn.CONCAT(CHAR(34),CHAR(39)),$H737))),_xlfn.CONCAT("* REVIEW REQUIRED: compound-quote delimiter in Source on Sheet 1 row ",737,"; edit the input before running."),_xlfn.CONCAT("char ",TRIM($B737),"[doc_source] ",CHAR(96),CHAR(34),SUBSTITUTE(SUBSTITUTE(SUBSTITUTE(SUBSTITUTE(SUBSTITUTE(SUBSTITUTE($H737,CHAR(13)," "),CHAR(10)," "),CHAR(9)," "),CHAR(92),_xlfn.CONCAT(CHAR(92),CHAR(92))),"$",_xlfn.CONCAT(CHAR(92),"$")),CHAR(96),_xlfn.CONCAT(CHAR(92),CHAR(96))),CHAR(34),CHAR(39))))</f>
        <v/>
      </c>
      <c r="S737" s="5" t="str">
        <f>IF(OR(TRIM($B737)="",$I737=""),"",IF(OR(ISNUMBER(SEARCH(_xlfn.CONCAT(CHAR(96),CHAR(34)),$I737)),ISNUMBER(SEARCH(_xlfn.CONCAT(CHAR(34),CHAR(39)),$I737))),_xlfn.CONCAT("* REVIEW REQUIRED: compound-quote delimiter in Derivation on Sheet 1 row ",737,"; edit the input before running."),_xlfn.CONCAT("char ",TRIM($B737),"[doc_derivation] ",CHAR(96),CHAR(34),SUBSTITUTE(SUBSTITUTE(SUBSTITUTE(SUBSTITUTE(SUBSTITUTE(SUBSTITUTE($I737,CHAR(13)," "),CHAR(10)," "),CHAR(9)," "),CHAR(92),_xlfn.CONCAT(CHAR(92),CHAR(92))),"$",_xlfn.CONCAT(CHAR(92),"$")),CHAR(96),_xlfn.CONCAT(CHAR(92),CHAR(96))),CHAR(34),CHAR(39))))</f>
        <v/>
      </c>
      <c r="T737" s="5" t="str">
        <f>IF(OR(TRIM($B737)="",$J737=""),"",IF(OR(ISNUMBER(SEARCH(_xlfn.CONCAT(CHAR(96),CHAR(34)),$J737)),ISNUMBER(SEARCH(_xlfn.CONCAT(CHAR(34),CHAR(39)),$J737))),_xlfn.CONCAT("* REVIEW REQUIRED: compound-quote delimiter in Notes on Sheet 1 row ",737,"; edit the input before running."),_xlfn.CONCAT("char ",TRIM($B737),"[doc_notes] ",CHAR(96),CHAR(34),SUBSTITUTE(SUBSTITUTE(SUBSTITUTE(SUBSTITUTE(SUBSTITUTE(SUBSTITUTE($J737,CHAR(13)," "),CHAR(10)," "),CHAR(9)," "),CHAR(92),_xlfn.CONCAT(CHAR(92),CHAR(92))),"$",_xlfn.CONCAT(CHAR(92),"$")),CHAR(96),_xlfn.CONCAT(CHAR(92),CHAR(96))),CHAR(34),CHAR(39))))</f>
        <v/>
      </c>
      <c r="U737" s="5">
        <f t="shared" si="23"/>
        <v>0</v>
      </c>
    </row>
    <row r="738" spans="3:21" ht="30" customHeight="1" x14ac:dyDescent="0.2">
      <c r="C738" s="4"/>
      <c r="K738" s="5">
        <f t="shared" si="22"/>
        <v>0</v>
      </c>
      <c r="L738" s="5" t="str">
        <f>IF(OR(TRIM($B738)="",$A738=""),"",IF(OR(ISNUMBER(SEARCH(_xlfn.CONCAT(CHAR(96),CHAR(34)),$A738)),ISNUMBER(SEARCH(_xlfn.CONCAT(CHAR(34),CHAR(39)),$A738))),_xlfn.CONCAT("* REVIEW REQUIRED: compound-quote delimiter in Codebook Section on Sheet 1 row ",738,"; edit the input before running."),_xlfn.CONCAT("char ",TRIM($B738),"[doc_section] ",CHAR(96),CHAR(34),SUBSTITUTE(SUBSTITUTE(SUBSTITUTE(SUBSTITUTE(SUBSTITUTE(SUBSTITUTE($A738,CHAR(13)," "),CHAR(10)," "),CHAR(9)," "),CHAR(92),_xlfn.CONCAT(CHAR(92),CHAR(92))),"$",_xlfn.CONCAT(CHAR(92),"$")),CHAR(96),_xlfn.CONCAT(CHAR(92),CHAR(96))),CHAR(34),CHAR(39))))</f>
        <v/>
      </c>
      <c r="M738" s="5" t="str">
        <f>IF(OR(TRIM($B738)="",$C738=""),"",IF(IFERROR(MATCH(TRIM($C738),{"Quantitative","Continuous","Discrete","Categorical","Nominal","Ordinal","Identifier"},0),0)=0,_xlfn.CONCAT("* REVIEW REQUIRED: invalid Variable Type on Sheet 1 row ",738,"."),_xlfn.CONCAT("char ",TRIM($B738),"[doc_vartype] ",CHAR(96),CHAR(34),SUBSTITUTE(SUBSTITUTE(SUBSTITUTE(SUBSTITUTE(SUBSTITUTE(SUBSTITUTE(LOWER(TRIM($C738)),CHAR(13)," "),CHAR(10)," "),CHAR(9)," "),CHAR(92),_xlfn.CONCAT(CHAR(92),CHAR(92))),"$",_xlfn.CONCAT(CHAR(92),"$")),CHAR(96),_xlfn.CONCAT(CHAR(92),CHAR(96))),CHAR(34),CHAR(39))))</f>
        <v/>
      </c>
      <c r="N738" s="5" t="str">
        <f>IF(OR(TRIM($B738)="",$D738=""),"",IF(OR(ISNUMBER(SEARCH(_xlfn.CONCAT(CHAR(96),CHAR(34)),$D738)),ISNUMBER(SEARCH(_xlfn.CONCAT(CHAR(34),CHAR(39)),$D738))),_xlfn.CONCAT("* REVIEW REQUIRED: compound-quote delimiter in Item Number on Sheet 1 row ",738,"; edit the input before running."),_xlfn.CONCAT("char ",TRIM($B738),"[doc_itemnum] ",CHAR(96),CHAR(34),SUBSTITUTE(SUBSTITUTE(SUBSTITUTE(SUBSTITUTE(SUBSTITUTE(SUBSTITUTE($D738,CHAR(13)," "),CHAR(10)," "),CHAR(9)," "),CHAR(92),_xlfn.CONCAT(CHAR(92),CHAR(92))),"$",_xlfn.CONCAT(CHAR(92),"$")),CHAR(96),_xlfn.CONCAT(CHAR(92),CHAR(96))),CHAR(34),CHAR(39))))</f>
        <v/>
      </c>
      <c r="O738" s="5" t="str">
        <f>IF(OR(TRIM($B738)="",$E738=""),"",IF(OR(ISNUMBER(SEARCH(_xlfn.CONCAT(CHAR(96),CHAR(34)),$E738)),ISNUMBER(SEARCH(_xlfn.CONCAT(CHAR(34),CHAR(39)),$E738))),_xlfn.CONCAT("* REVIEW REQUIRED: compound-quote delimiter in Question Wording on Sheet 1 row ",738,"; edit the input before running."),_xlfn.CONCAT("char ",TRIM($B738),"[doc_question] ",CHAR(96),CHAR(34),SUBSTITUTE(SUBSTITUTE(SUBSTITUTE(SUBSTITUTE(SUBSTITUTE(SUBSTITUTE($E738,CHAR(13)," "),CHAR(10)," "),CHAR(9)," "),CHAR(92),_xlfn.CONCAT(CHAR(92),CHAR(92))),"$",_xlfn.CONCAT(CHAR(92),"$")),CHAR(96),_xlfn.CONCAT(CHAR(92),CHAR(96))),CHAR(34),CHAR(39))))</f>
        <v/>
      </c>
      <c r="P738" s="5" t="str">
        <f>IF(OR(TRIM($B738)="",$F738=""),"",IF(OR(ISNUMBER(SEARCH(_xlfn.CONCAT(CHAR(96),CHAR(34)),$F738)),ISNUMBER(SEARCH(_xlfn.CONCAT(CHAR(34),CHAR(39)),$F738))),_xlfn.CONCAT("* REVIEW REQUIRED: compound-quote delimiter in Units on Sheet 1 row ",738,"; edit the input before running."),_xlfn.CONCAT("char ",TRIM($B738),"[doc_units] ",CHAR(96),CHAR(34),SUBSTITUTE(SUBSTITUTE(SUBSTITUTE(SUBSTITUTE(SUBSTITUTE(SUBSTITUTE($F738,CHAR(13)," "),CHAR(10)," "),CHAR(9)," "),CHAR(92),_xlfn.CONCAT(CHAR(92),CHAR(92))),"$",_xlfn.CONCAT(CHAR(92),"$")),CHAR(96),_xlfn.CONCAT(CHAR(92),CHAR(96))),CHAR(34),CHAR(39))))</f>
        <v/>
      </c>
      <c r="Q738" s="5" t="str">
        <f>IF(OR(TRIM($B738)="",$G738=""),"",IF(OR(ISNUMBER(SEARCH(_xlfn.CONCAT(CHAR(96),CHAR(34)),$G738)),ISNUMBER(SEARCH(_xlfn.CONCAT(CHAR(34),CHAR(39)),$G738))),_xlfn.CONCAT("* REVIEW REQUIRED: compound-quote delimiter in Universe on Sheet 1 row ",738,"; edit the input before running."),_xlfn.CONCAT("char ",TRIM($B738),"[doc_universe] ",CHAR(96),CHAR(34),SUBSTITUTE(SUBSTITUTE(SUBSTITUTE(SUBSTITUTE(SUBSTITUTE(SUBSTITUTE($G738,CHAR(13)," "),CHAR(10)," "),CHAR(9)," "),CHAR(92),_xlfn.CONCAT(CHAR(92),CHAR(92))),"$",_xlfn.CONCAT(CHAR(92),"$")),CHAR(96),_xlfn.CONCAT(CHAR(92),CHAR(96))),CHAR(34),CHAR(39))))</f>
        <v/>
      </c>
      <c r="R738" s="5" t="str">
        <f>IF(OR(TRIM($B738)="",$H738=""),"",IF(OR(ISNUMBER(SEARCH(_xlfn.CONCAT(CHAR(96),CHAR(34)),$H738)),ISNUMBER(SEARCH(_xlfn.CONCAT(CHAR(34),CHAR(39)),$H738))),_xlfn.CONCAT("* REVIEW REQUIRED: compound-quote delimiter in Source on Sheet 1 row ",738,"; edit the input before running."),_xlfn.CONCAT("char ",TRIM($B738),"[doc_source] ",CHAR(96),CHAR(34),SUBSTITUTE(SUBSTITUTE(SUBSTITUTE(SUBSTITUTE(SUBSTITUTE(SUBSTITUTE($H738,CHAR(13)," "),CHAR(10)," "),CHAR(9)," "),CHAR(92),_xlfn.CONCAT(CHAR(92),CHAR(92))),"$",_xlfn.CONCAT(CHAR(92),"$")),CHAR(96),_xlfn.CONCAT(CHAR(92),CHAR(96))),CHAR(34),CHAR(39))))</f>
        <v/>
      </c>
      <c r="S738" s="5" t="str">
        <f>IF(OR(TRIM($B738)="",$I738=""),"",IF(OR(ISNUMBER(SEARCH(_xlfn.CONCAT(CHAR(96),CHAR(34)),$I738)),ISNUMBER(SEARCH(_xlfn.CONCAT(CHAR(34),CHAR(39)),$I738))),_xlfn.CONCAT("* REVIEW REQUIRED: compound-quote delimiter in Derivation on Sheet 1 row ",738,"; edit the input before running."),_xlfn.CONCAT("char ",TRIM($B738),"[doc_derivation] ",CHAR(96),CHAR(34),SUBSTITUTE(SUBSTITUTE(SUBSTITUTE(SUBSTITUTE(SUBSTITUTE(SUBSTITUTE($I738,CHAR(13)," "),CHAR(10)," "),CHAR(9)," "),CHAR(92),_xlfn.CONCAT(CHAR(92),CHAR(92))),"$",_xlfn.CONCAT(CHAR(92),"$")),CHAR(96),_xlfn.CONCAT(CHAR(92),CHAR(96))),CHAR(34),CHAR(39))))</f>
        <v/>
      </c>
      <c r="T738" s="5" t="str">
        <f>IF(OR(TRIM($B738)="",$J738=""),"",IF(OR(ISNUMBER(SEARCH(_xlfn.CONCAT(CHAR(96),CHAR(34)),$J738)),ISNUMBER(SEARCH(_xlfn.CONCAT(CHAR(34),CHAR(39)),$J738))),_xlfn.CONCAT("* REVIEW REQUIRED: compound-quote delimiter in Notes on Sheet 1 row ",738,"; edit the input before running."),_xlfn.CONCAT("char ",TRIM($B738),"[doc_notes] ",CHAR(96),CHAR(34),SUBSTITUTE(SUBSTITUTE(SUBSTITUTE(SUBSTITUTE(SUBSTITUTE(SUBSTITUTE($J738,CHAR(13)," "),CHAR(10)," "),CHAR(9)," "),CHAR(92),_xlfn.CONCAT(CHAR(92),CHAR(92))),"$",_xlfn.CONCAT(CHAR(92),"$")),CHAR(96),_xlfn.CONCAT(CHAR(92),CHAR(96))),CHAR(34),CHAR(39))))</f>
        <v/>
      </c>
      <c r="U738" s="5">
        <f t="shared" si="23"/>
        <v>0</v>
      </c>
    </row>
    <row r="739" spans="3:21" ht="30" customHeight="1" x14ac:dyDescent="0.2">
      <c r="C739" s="4"/>
      <c r="K739" s="5">
        <f t="shared" si="22"/>
        <v>0</v>
      </c>
      <c r="L739" s="5" t="str">
        <f>IF(OR(TRIM($B739)="",$A739=""),"",IF(OR(ISNUMBER(SEARCH(_xlfn.CONCAT(CHAR(96),CHAR(34)),$A739)),ISNUMBER(SEARCH(_xlfn.CONCAT(CHAR(34),CHAR(39)),$A739))),_xlfn.CONCAT("* REVIEW REQUIRED: compound-quote delimiter in Codebook Section on Sheet 1 row ",739,"; edit the input before running."),_xlfn.CONCAT("char ",TRIM($B739),"[doc_section] ",CHAR(96),CHAR(34),SUBSTITUTE(SUBSTITUTE(SUBSTITUTE(SUBSTITUTE(SUBSTITUTE(SUBSTITUTE($A739,CHAR(13)," "),CHAR(10)," "),CHAR(9)," "),CHAR(92),_xlfn.CONCAT(CHAR(92),CHAR(92))),"$",_xlfn.CONCAT(CHAR(92),"$")),CHAR(96),_xlfn.CONCAT(CHAR(92),CHAR(96))),CHAR(34),CHAR(39))))</f>
        <v/>
      </c>
      <c r="M739" s="5" t="str">
        <f>IF(OR(TRIM($B739)="",$C739=""),"",IF(IFERROR(MATCH(TRIM($C739),{"Quantitative","Continuous","Discrete","Categorical","Nominal","Ordinal","Identifier"},0),0)=0,_xlfn.CONCAT("* REVIEW REQUIRED: invalid Variable Type on Sheet 1 row ",739,"."),_xlfn.CONCAT("char ",TRIM($B739),"[doc_vartype] ",CHAR(96),CHAR(34),SUBSTITUTE(SUBSTITUTE(SUBSTITUTE(SUBSTITUTE(SUBSTITUTE(SUBSTITUTE(LOWER(TRIM($C739)),CHAR(13)," "),CHAR(10)," "),CHAR(9)," "),CHAR(92),_xlfn.CONCAT(CHAR(92),CHAR(92))),"$",_xlfn.CONCAT(CHAR(92),"$")),CHAR(96),_xlfn.CONCAT(CHAR(92),CHAR(96))),CHAR(34),CHAR(39))))</f>
        <v/>
      </c>
      <c r="N739" s="5" t="str">
        <f>IF(OR(TRIM($B739)="",$D739=""),"",IF(OR(ISNUMBER(SEARCH(_xlfn.CONCAT(CHAR(96),CHAR(34)),$D739)),ISNUMBER(SEARCH(_xlfn.CONCAT(CHAR(34),CHAR(39)),$D739))),_xlfn.CONCAT("* REVIEW REQUIRED: compound-quote delimiter in Item Number on Sheet 1 row ",739,"; edit the input before running."),_xlfn.CONCAT("char ",TRIM($B739),"[doc_itemnum] ",CHAR(96),CHAR(34),SUBSTITUTE(SUBSTITUTE(SUBSTITUTE(SUBSTITUTE(SUBSTITUTE(SUBSTITUTE($D739,CHAR(13)," "),CHAR(10)," "),CHAR(9)," "),CHAR(92),_xlfn.CONCAT(CHAR(92),CHAR(92))),"$",_xlfn.CONCAT(CHAR(92),"$")),CHAR(96),_xlfn.CONCAT(CHAR(92),CHAR(96))),CHAR(34),CHAR(39))))</f>
        <v/>
      </c>
      <c r="O739" s="5" t="str">
        <f>IF(OR(TRIM($B739)="",$E739=""),"",IF(OR(ISNUMBER(SEARCH(_xlfn.CONCAT(CHAR(96),CHAR(34)),$E739)),ISNUMBER(SEARCH(_xlfn.CONCAT(CHAR(34),CHAR(39)),$E739))),_xlfn.CONCAT("* REVIEW REQUIRED: compound-quote delimiter in Question Wording on Sheet 1 row ",739,"; edit the input before running."),_xlfn.CONCAT("char ",TRIM($B739),"[doc_question] ",CHAR(96),CHAR(34),SUBSTITUTE(SUBSTITUTE(SUBSTITUTE(SUBSTITUTE(SUBSTITUTE(SUBSTITUTE($E739,CHAR(13)," "),CHAR(10)," "),CHAR(9)," "),CHAR(92),_xlfn.CONCAT(CHAR(92),CHAR(92))),"$",_xlfn.CONCAT(CHAR(92),"$")),CHAR(96),_xlfn.CONCAT(CHAR(92),CHAR(96))),CHAR(34),CHAR(39))))</f>
        <v/>
      </c>
      <c r="P739" s="5" t="str">
        <f>IF(OR(TRIM($B739)="",$F739=""),"",IF(OR(ISNUMBER(SEARCH(_xlfn.CONCAT(CHAR(96),CHAR(34)),$F739)),ISNUMBER(SEARCH(_xlfn.CONCAT(CHAR(34),CHAR(39)),$F739))),_xlfn.CONCAT("* REVIEW REQUIRED: compound-quote delimiter in Units on Sheet 1 row ",739,"; edit the input before running."),_xlfn.CONCAT("char ",TRIM($B739),"[doc_units] ",CHAR(96),CHAR(34),SUBSTITUTE(SUBSTITUTE(SUBSTITUTE(SUBSTITUTE(SUBSTITUTE(SUBSTITUTE($F739,CHAR(13)," "),CHAR(10)," "),CHAR(9)," "),CHAR(92),_xlfn.CONCAT(CHAR(92),CHAR(92))),"$",_xlfn.CONCAT(CHAR(92),"$")),CHAR(96),_xlfn.CONCAT(CHAR(92),CHAR(96))),CHAR(34),CHAR(39))))</f>
        <v/>
      </c>
      <c r="Q739" s="5" t="str">
        <f>IF(OR(TRIM($B739)="",$G739=""),"",IF(OR(ISNUMBER(SEARCH(_xlfn.CONCAT(CHAR(96),CHAR(34)),$G739)),ISNUMBER(SEARCH(_xlfn.CONCAT(CHAR(34),CHAR(39)),$G739))),_xlfn.CONCAT("* REVIEW REQUIRED: compound-quote delimiter in Universe on Sheet 1 row ",739,"; edit the input before running."),_xlfn.CONCAT("char ",TRIM($B739),"[doc_universe] ",CHAR(96),CHAR(34),SUBSTITUTE(SUBSTITUTE(SUBSTITUTE(SUBSTITUTE(SUBSTITUTE(SUBSTITUTE($G739,CHAR(13)," "),CHAR(10)," "),CHAR(9)," "),CHAR(92),_xlfn.CONCAT(CHAR(92),CHAR(92))),"$",_xlfn.CONCAT(CHAR(92),"$")),CHAR(96),_xlfn.CONCAT(CHAR(92),CHAR(96))),CHAR(34),CHAR(39))))</f>
        <v/>
      </c>
      <c r="R739" s="5" t="str">
        <f>IF(OR(TRIM($B739)="",$H739=""),"",IF(OR(ISNUMBER(SEARCH(_xlfn.CONCAT(CHAR(96),CHAR(34)),$H739)),ISNUMBER(SEARCH(_xlfn.CONCAT(CHAR(34),CHAR(39)),$H739))),_xlfn.CONCAT("* REVIEW REQUIRED: compound-quote delimiter in Source on Sheet 1 row ",739,"; edit the input before running."),_xlfn.CONCAT("char ",TRIM($B739),"[doc_source] ",CHAR(96),CHAR(34),SUBSTITUTE(SUBSTITUTE(SUBSTITUTE(SUBSTITUTE(SUBSTITUTE(SUBSTITUTE($H739,CHAR(13)," "),CHAR(10)," "),CHAR(9)," "),CHAR(92),_xlfn.CONCAT(CHAR(92),CHAR(92))),"$",_xlfn.CONCAT(CHAR(92),"$")),CHAR(96),_xlfn.CONCAT(CHAR(92),CHAR(96))),CHAR(34),CHAR(39))))</f>
        <v/>
      </c>
      <c r="S739" s="5" t="str">
        <f>IF(OR(TRIM($B739)="",$I739=""),"",IF(OR(ISNUMBER(SEARCH(_xlfn.CONCAT(CHAR(96),CHAR(34)),$I739)),ISNUMBER(SEARCH(_xlfn.CONCAT(CHAR(34),CHAR(39)),$I739))),_xlfn.CONCAT("* REVIEW REQUIRED: compound-quote delimiter in Derivation on Sheet 1 row ",739,"; edit the input before running."),_xlfn.CONCAT("char ",TRIM($B739),"[doc_derivation] ",CHAR(96),CHAR(34),SUBSTITUTE(SUBSTITUTE(SUBSTITUTE(SUBSTITUTE(SUBSTITUTE(SUBSTITUTE($I739,CHAR(13)," "),CHAR(10)," "),CHAR(9)," "),CHAR(92),_xlfn.CONCAT(CHAR(92),CHAR(92))),"$",_xlfn.CONCAT(CHAR(92),"$")),CHAR(96),_xlfn.CONCAT(CHAR(92),CHAR(96))),CHAR(34),CHAR(39))))</f>
        <v/>
      </c>
      <c r="T739" s="5" t="str">
        <f>IF(OR(TRIM($B739)="",$J739=""),"",IF(OR(ISNUMBER(SEARCH(_xlfn.CONCAT(CHAR(96),CHAR(34)),$J739)),ISNUMBER(SEARCH(_xlfn.CONCAT(CHAR(34),CHAR(39)),$J739))),_xlfn.CONCAT("* REVIEW REQUIRED: compound-quote delimiter in Notes on Sheet 1 row ",739,"; edit the input before running."),_xlfn.CONCAT("char ",TRIM($B739),"[doc_notes] ",CHAR(96),CHAR(34),SUBSTITUTE(SUBSTITUTE(SUBSTITUTE(SUBSTITUTE(SUBSTITUTE(SUBSTITUTE($J739,CHAR(13)," "),CHAR(10)," "),CHAR(9)," "),CHAR(92),_xlfn.CONCAT(CHAR(92),CHAR(92))),"$",_xlfn.CONCAT(CHAR(92),"$")),CHAR(96),_xlfn.CONCAT(CHAR(92),CHAR(96))),CHAR(34),CHAR(39))))</f>
        <v/>
      </c>
      <c r="U739" s="5">
        <f t="shared" si="23"/>
        <v>0</v>
      </c>
    </row>
    <row r="740" spans="3:21" ht="30" customHeight="1" x14ac:dyDescent="0.2">
      <c r="C740" s="4"/>
      <c r="K740" s="5">
        <f t="shared" si="22"/>
        <v>0</v>
      </c>
      <c r="L740" s="5" t="str">
        <f>IF(OR(TRIM($B740)="",$A740=""),"",IF(OR(ISNUMBER(SEARCH(_xlfn.CONCAT(CHAR(96),CHAR(34)),$A740)),ISNUMBER(SEARCH(_xlfn.CONCAT(CHAR(34),CHAR(39)),$A740))),_xlfn.CONCAT("* REVIEW REQUIRED: compound-quote delimiter in Codebook Section on Sheet 1 row ",740,"; edit the input before running."),_xlfn.CONCAT("char ",TRIM($B740),"[doc_section] ",CHAR(96),CHAR(34),SUBSTITUTE(SUBSTITUTE(SUBSTITUTE(SUBSTITUTE(SUBSTITUTE(SUBSTITUTE($A740,CHAR(13)," "),CHAR(10)," "),CHAR(9)," "),CHAR(92),_xlfn.CONCAT(CHAR(92),CHAR(92))),"$",_xlfn.CONCAT(CHAR(92),"$")),CHAR(96),_xlfn.CONCAT(CHAR(92),CHAR(96))),CHAR(34),CHAR(39))))</f>
        <v/>
      </c>
      <c r="M740" s="5" t="str">
        <f>IF(OR(TRIM($B740)="",$C740=""),"",IF(IFERROR(MATCH(TRIM($C740),{"Quantitative","Continuous","Discrete","Categorical","Nominal","Ordinal","Identifier"},0),0)=0,_xlfn.CONCAT("* REVIEW REQUIRED: invalid Variable Type on Sheet 1 row ",740,"."),_xlfn.CONCAT("char ",TRIM($B740),"[doc_vartype] ",CHAR(96),CHAR(34),SUBSTITUTE(SUBSTITUTE(SUBSTITUTE(SUBSTITUTE(SUBSTITUTE(SUBSTITUTE(LOWER(TRIM($C740)),CHAR(13)," "),CHAR(10)," "),CHAR(9)," "),CHAR(92),_xlfn.CONCAT(CHAR(92),CHAR(92))),"$",_xlfn.CONCAT(CHAR(92),"$")),CHAR(96),_xlfn.CONCAT(CHAR(92),CHAR(96))),CHAR(34),CHAR(39))))</f>
        <v/>
      </c>
      <c r="N740" s="5" t="str">
        <f>IF(OR(TRIM($B740)="",$D740=""),"",IF(OR(ISNUMBER(SEARCH(_xlfn.CONCAT(CHAR(96),CHAR(34)),$D740)),ISNUMBER(SEARCH(_xlfn.CONCAT(CHAR(34),CHAR(39)),$D740))),_xlfn.CONCAT("* REVIEW REQUIRED: compound-quote delimiter in Item Number on Sheet 1 row ",740,"; edit the input before running."),_xlfn.CONCAT("char ",TRIM($B740),"[doc_itemnum] ",CHAR(96),CHAR(34),SUBSTITUTE(SUBSTITUTE(SUBSTITUTE(SUBSTITUTE(SUBSTITUTE(SUBSTITUTE($D740,CHAR(13)," "),CHAR(10)," "),CHAR(9)," "),CHAR(92),_xlfn.CONCAT(CHAR(92),CHAR(92))),"$",_xlfn.CONCAT(CHAR(92),"$")),CHAR(96),_xlfn.CONCAT(CHAR(92),CHAR(96))),CHAR(34),CHAR(39))))</f>
        <v/>
      </c>
      <c r="O740" s="5" t="str">
        <f>IF(OR(TRIM($B740)="",$E740=""),"",IF(OR(ISNUMBER(SEARCH(_xlfn.CONCAT(CHAR(96),CHAR(34)),$E740)),ISNUMBER(SEARCH(_xlfn.CONCAT(CHAR(34),CHAR(39)),$E740))),_xlfn.CONCAT("* REVIEW REQUIRED: compound-quote delimiter in Question Wording on Sheet 1 row ",740,"; edit the input before running."),_xlfn.CONCAT("char ",TRIM($B740),"[doc_question] ",CHAR(96),CHAR(34),SUBSTITUTE(SUBSTITUTE(SUBSTITUTE(SUBSTITUTE(SUBSTITUTE(SUBSTITUTE($E740,CHAR(13)," "),CHAR(10)," "),CHAR(9)," "),CHAR(92),_xlfn.CONCAT(CHAR(92),CHAR(92))),"$",_xlfn.CONCAT(CHAR(92),"$")),CHAR(96),_xlfn.CONCAT(CHAR(92),CHAR(96))),CHAR(34),CHAR(39))))</f>
        <v/>
      </c>
      <c r="P740" s="5" t="str">
        <f>IF(OR(TRIM($B740)="",$F740=""),"",IF(OR(ISNUMBER(SEARCH(_xlfn.CONCAT(CHAR(96),CHAR(34)),$F740)),ISNUMBER(SEARCH(_xlfn.CONCAT(CHAR(34),CHAR(39)),$F740))),_xlfn.CONCAT("* REVIEW REQUIRED: compound-quote delimiter in Units on Sheet 1 row ",740,"; edit the input before running."),_xlfn.CONCAT("char ",TRIM($B740),"[doc_units] ",CHAR(96),CHAR(34),SUBSTITUTE(SUBSTITUTE(SUBSTITUTE(SUBSTITUTE(SUBSTITUTE(SUBSTITUTE($F740,CHAR(13)," "),CHAR(10)," "),CHAR(9)," "),CHAR(92),_xlfn.CONCAT(CHAR(92),CHAR(92))),"$",_xlfn.CONCAT(CHAR(92),"$")),CHAR(96),_xlfn.CONCAT(CHAR(92),CHAR(96))),CHAR(34),CHAR(39))))</f>
        <v/>
      </c>
      <c r="Q740" s="5" t="str">
        <f>IF(OR(TRIM($B740)="",$G740=""),"",IF(OR(ISNUMBER(SEARCH(_xlfn.CONCAT(CHAR(96),CHAR(34)),$G740)),ISNUMBER(SEARCH(_xlfn.CONCAT(CHAR(34),CHAR(39)),$G740))),_xlfn.CONCAT("* REVIEW REQUIRED: compound-quote delimiter in Universe on Sheet 1 row ",740,"; edit the input before running."),_xlfn.CONCAT("char ",TRIM($B740),"[doc_universe] ",CHAR(96),CHAR(34),SUBSTITUTE(SUBSTITUTE(SUBSTITUTE(SUBSTITUTE(SUBSTITUTE(SUBSTITUTE($G740,CHAR(13)," "),CHAR(10)," "),CHAR(9)," "),CHAR(92),_xlfn.CONCAT(CHAR(92),CHAR(92))),"$",_xlfn.CONCAT(CHAR(92),"$")),CHAR(96),_xlfn.CONCAT(CHAR(92),CHAR(96))),CHAR(34),CHAR(39))))</f>
        <v/>
      </c>
      <c r="R740" s="5" t="str">
        <f>IF(OR(TRIM($B740)="",$H740=""),"",IF(OR(ISNUMBER(SEARCH(_xlfn.CONCAT(CHAR(96),CHAR(34)),$H740)),ISNUMBER(SEARCH(_xlfn.CONCAT(CHAR(34),CHAR(39)),$H740))),_xlfn.CONCAT("* REVIEW REQUIRED: compound-quote delimiter in Source on Sheet 1 row ",740,"; edit the input before running."),_xlfn.CONCAT("char ",TRIM($B740),"[doc_source] ",CHAR(96),CHAR(34),SUBSTITUTE(SUBSTITUTE(SUBSTITUTE(SUBSTITUTE(SUBSTITUTE(SUBSTITUTE($H740,CHAR(13)," "),CHAR(10)," "),CHAR(9)," "),CHAR(92),_xlfn.CONCAT(CHAR(92),CHAR(92))),"$",_xlfn.CONCAT(CHAR(92),"$")),CHAR(96),_xlfn.CONCAT(CHAR(92),CHAR(96))),CHAR(34),CHAR(39))))</f>
        <v/>
      </c>
      <c r="S740" s="5" t="str">
        <f>IF(OR(TRIM($B740)="",$I740=""),"",IF(OR(ISNUMBER(SEARCH(_xlfn.CONCAT(CHAR(96),CHAR(34)),$I740)),ISNUMBER(SEARCH(_xlfn.CONCAT(CHAR(34),CHAR(39)),$I740))),_xlfn.CONCAT("* REVIEW REQUIRED: compound-quote delimiter in Derivation on Sheet 1 row ",740,"; edit the input before running."),_xlfn.CONCAT("char ",TRIM($B740),"[doc_derivation] ",CHAR(96),CHAR(34),SUBSTITUTE(SUBSTITUTE(SUBSTITUTE(SUBSTITUTE(SUBSTITUTE(SUBSTITUTE($I740,CHAR(13)," "),CHAR(10)," "),CHAR(9)," "),CHAR(92),_xlfn.CONCAT(CHAR(92),CHAR(92))),"$",_xlfn.CONCAT(CHAR(92),"$")),CHAR(96),_xlfn.CONCAT(CHAR(92),CHAR(96))),CHAR(34),CHAR(39))))</f>
        <v/>
      </c>
      <c r="T740" s="5" t="str">
        <f>IF(OR(TRIM($B740)="",$J740=""),"",IF(OR(ISNUMBER(SEARCH(_xlfn.CONCAT(CHAR(96),CHAR(34)),$J740)),ISNUMBER(SEARCH(_xlfn.CONCAT(CHAR(34),CHAR(39)),$J740))),_xlfn.CONCAT("* REVIEW REQUIRED: compound-quote delimiter in Notes on Sheet 1 row ",740,"; edit the input before running."),_xlfn.CONCAT("char ",TRIM($B740),"[doc_notes] ",CHAR(96),CHAR(34),SUBSTITUTE(SUBSTITUTE(SUBSTITUTE(SUBSTITUTE(SUBSTITUTE(SUBSTITUTE($J740,CHAR(13)," "),CHAR(10)," "),CHAR(9)," "),CHAR(92),_xlfn.CONCAT(CHAR(92),CHAR(92))),"$",_xlfn.CONCAT(CHAR(92),"$")),CHAR(96),_xlfn.CONCAT(CHAR(92),CHAR(96))),CHAR(34),CHAR(39))))</f>
        <v/>
      </c>
      <c r="U740" s="5">
        <f t="shared" si="23"/>
        <v>0</v>
      </c>
    </row>
    <row r="741" spans="3:21" ht="30" customHeight="1" x14ac:dyDescent="0.2">
      <c r="C741" s="4"/>
      <c r="K741" s="5">
        <f t="shared" si="22"/>
        <v>0</v>
      </c>
      <c r="L741" s="5" t="str">
        <f>IF(OR(TRIM($B741)="",$A741=""),"",IF(OR(ISNUMBER(SEARCH(_xlfn.CONCAT(CHAR(96),CHAR(34)),$A741)),ISNUMBER(SEARCH(_xlfn.CONCAT(CHAR(34),CHAR(39)),$A741))),_xlfn.CONCAT("* REVIEW REQUIRED: compound-quote delimiter in Codebook Section on Sheet 1 row ",741,"; edit the input before running."),_xlfn.CONCAT("char ",TRIM($B741),"[doc_section] ",CHAR(96),CHAR(34),SUBSTITUTE(SUBSTITUTE(SUBSTITUTE(SUBSTITUTE(SUBSTITUTE(SUBSTITUTE($A741,CHAR(13)," "),CHAR(10)," "),CHAR(9)," "),CHAR(92),_xlfn.CONCAT(CHAR(92),CHAR(92))),"$",_xlfn.CONCAT(CHAR(92),"$")),CHAR(96),_xlfn.CONCAT(CHAR(92),CHAR(96))),CHAR(34),CHAR(39))))</f>
        <v/>
      </c>
      <c r="M741" s="5" t="str">
        <f>IF(OR(TRIM($B741)="",$C741=""),"",IF(IFERROR(MATCH(TRIM($C741),{"Quantitative","Continuous","Discrete","Categorical","Nominal","Ordinal","Identifier"},0),0)=0,_xlfn.CONCAT("* REVIEW REQUIRED: invalid Variable Type on Sheet 1 row ",741,"."),_xlfn.CONCAT("char ",TRIM($B741),"[doc_vartype] ",CHAR(96),CHAR(34),SUBSTITUTE(SUBSTITUTE(SUBSTITUTE(SUBSTITUTE(SUBSTITUTE(SUBSTITUTE(LOWER(TRIM($C741)),CHAR(13)," "),CHAR(10)," "),CHAR(9)," "),CHAR(92),_xlfn.CONCAT(CHAR(92),CHAR(92))),"$",_xlfn.CONCAT(CHAR(92),"$")),CHAR(96),_xlfn.CONCAT(CHAR(92),CHAR(96))),CHAR(34),CHAR(39))))</f>
        <v/>
      </c>
      <c r="N741" s="5" t="str">
        <f>IF(OR(TRIM($B741)="",$D741=""),"",IF(OR(ISNUMBER(SEARCH(_xlfn.CONCAT(CHAR(96),CHAR(34)),$D741)),ISNUMBER(SEARCH(_xlfn.CONCAT(CHAR(34),CHAR(39)),$D741))),_xlfn.CONCAT("* REVIEW REQUIRED: compound-quote delimiter in Item Number on Sheet 1 row ",741,"; edit the input before running."),_xlfn.CONCAT("char ",TRIM($B741),"[doc_itemnum] ",CHAR(96),CHAR(34),SUBSTITUTE(SUBSTITUTE(SUBSTITUTE(SUBSTITUTE(SUBSTITUTE(SUBSTITUTE($D741,CHAR(13)," "),CHAR(10)," "),CHAR(9)," "),CHAR(92),_xlfn.CONCAT(CHAR(92),CHAR(92))),"$",_xlfn.CONCAT(CHAR(92),"$")),CHAR(96),_xlfn.CONCAT(CHAR(92),CHAR(96))),CHAR(34),CHAR(39))))</f>
        <v/>
      </c>
      <c r="O741" s="5" t="str">
        <f>IF(OR(TRIM($B741)="",$E741=""),"",IF(OR(ISNUMBER(SEARCH(_xlfn.CONCAT(CHAR(96),CHAR(34)),$E741)),ISNUMBER(SEARCH(_xlfn.CONCAT(CHAR(34),CHAR(39)),$E741))),_xlfn.CONCAT("* REVIEW REQUIRED: compound-quote delimiter in Question Wording on Sheet 1 row ",741,"; edit the input before running."),_xlfn.CONCAT("char ",TRIM($B741),"[doc_question] ",CHAR(96),CHAR(34),SUBSTITUTE(SUBSTITUTE(SUBSTITUTE(SUBSTITUTE(SUBSTITUTE(SUBSTITUTE($E741,CHAR(13)," "),CHAR(10)," "),CHAR(9)," "),CHAR(92),_xlfn.CONCAT(CHAR(92),CHAR(92))),"$",_xlfn.CONCAT(CHAR(92),"$")),CHAR(96),_xlfn.CONCAT(CHAR(92),CHAR(96))),CHAR(34),CHAR(39))))</f>
        <v/>
      </c>
      <c r="P741" s="5" t="str">
        <f>IF(OR(TRIM($B741)="",$F741=""),"",IF(OR(ISNUMBER(SEARCH(_xlfn.CONCAT(CHAR(96),CHAR(34)),$F741)),ISNUMBER(SEARCH(_xlfn.CONCAT(CHAR(34),CHAR(39)),$F741))),_xlfn.CONCAT("* REVIEW REQUIRED: compound-quote delimiter in Units on Sheet 1 row ",741,"; edit the input before running."),_xlfn.CONCAT("char ",TRIM($B741),"[doc_units] ",CHAR(96),CHAR(34),SUBSTITUTE(SUBSTITUTE(SUBSTITUTE(SUBSTITUTE(SUBSTITUTE(SUBSTITUTE($F741,CHAR(13)," "),CHAR(10)," "),CHAR(9)," "),CHAR(92),_xlfn.CONCAT(CHAR(92),CHAR(92))),"$",_xlfn.CONCAT(CHAR(92),"$")),CHAR(96),_xlfn.CONCAT(CHAR(92),CHAR(96))),CHAR(34),CHAR(39))))</f>
        <v/>
      </c>
      <c r="Q741" s="5" t="str">
        <f>IF(OR(TRIM($B741)="",$G741=""),"",IF(OR(ISNUMBER(SEARCH(_xlfn.CONCAT(CHAR(96),CHAR(34)),$G741)),ISNUMBER(SEARCH(_xlfn.CONCAT(CHAR(34),CHAR(39)),$G741))),_xlfn.CONCAT("* REVIEW REQUIRED: compound-quote delimiter in Universe on Sheet 1 row ",741,"; edit the input before running."),_xlfn.CONCAT("char ",TRIM($B741),"[doc_universe] ",CHAR(96),CHAR(34),SUBSTITUTE(SUBSTITUTE(SUBSTITUTE(SUBSTITUTE(SUBSTITUTE(SUBSTITUTE($G741,CHAR(13)," "),CHAR(10)," "),CHAR(9)," "),CHAR(92),_xlfn.CONCAT(CHAR(92),CHAR(92))),"$",_xlfn.CONCAT(CHAR(92),"$")),CHAR(96),_xlfn.CONCAT(CHAR(92),CHAR(96))),CHAR(34),CHAR(39))))</f>
        <v/>
      </c>
      <c r="R741" s="5" t="str">
        <f>IF(OR(TRIM($B741)="",$H741=""),"",IF(OR(ISNUMBER(SEARCH(_xlfn.CONCAT(CHAR(96),CHAR(34)),$H741)),ISNUMBER(SEARCH(_xlfn.CONCAT(CHAR(34),CHAR(39)),$H741))),_xlfn.CONCAT("* REVIEW REQUIRED: compound-quote delimiter in Source on Sheet 1 row ",741,"; edit the input before running."),_xlfn.CONCAT("char ",TRIM($B741),"[doc_source] ",CHAR(96),CHAR(34),SUBSTITUTE(SUBSTITUTE(SUBSTITUTE(SUBSTITUTE(SUBSTITUTE(SUBSTITUTE($H741,CHAR(13)," "),CHAR(10)," "),CHAR(9)," "),CHAR(92),_xlfn.CONCAT(CHAR(92),CHAR(92))),"$",_xlfn.CONCAT(CHAR(92),"$")),CHAR(96),_xlfn.CONCAT(CHAR(92),CHAR(96))),CHAR(34),CHAR(39))))</f>
        <v/>
      </c>
      <c r="S741" s="5" t="str">
        <f>IF(OR(TRIM($B741)="",$I741=""),"",IF(OR(ISNUMBER(SEARCH(_xlfn.CONCAT(CHAR(96),CHAR(34)),$I741)),ISNUMBER(SEARCH(_xlfn.CONCAT(CHAR(34),CHAR(39)),$I741))),_xlfn.CONCAT("* REVIEW REQUIRED: compound-quote delimiter in Derivation on Sheet 1 row ",741,"; edit the input before running."),_xlfn.CONCAT("char ",TRIM($B741),"[doc_derivation] ",CHAR(96),CHAR(34),SUBSTITUTE(SUBSTITUTE(SUBSTITUTE(SUBSTITUTE(SUBSTITUTE(SUBSTITUTE($I741,CHAR(13)," "),CHAR(10)," "),CHAR(9)," "),CHAR(92),_xlfn.CONCAT(CHAR(92),CHAR(92))),"$",_xlfn.CONCAT(CHAR(92),"$")),CHAR(96),_xlfn.CONCAT(CHAR(92),CHAR(96))),CHAR(34),CHAR(39))))</f>
        <v/>
      </c>
      <c r="T741" s="5" t="str">
        <f>IF(OR(TRIM($B741)="",$J741=""),"",IF(OR(ISNUMBER(SEARCH(_xlfn.CONCAT(CHAR(96),CHAR(34)),$J741)),ISNUMBER(SEARCH(_xlfn.CONCAT(CHAR(34),CHAR(39)),$J741))),_xlfn.CONCAT("* REVIEW REQUIRED: compound-quote delimiter in Notes on Sheet 1 row ",741,"; edit the input before running."),_xlfn.CONCAT("char ",TRIM($B741),"[doc_notes] ",CHAR(96),CHAR(34),SUBSTITUTE(SUBSTITUTE(SUBSTITUTE(SUBSTITUTE(SUBSTITUTE(SUBSTITUTE($J741,CHAR(13)," "),CHAR(10)," "),CHAR(9)," "),CHAR(92),_xlfn.CONCAT(CHAR(92),CHAR(92))),"$",_xlfn.CONCAT(CHAR(92),"$")),CHAR(96),_xlfn.CONCAT(CHAR(92),CHAR(96))),CHAR(34),CHAR(39))))</f>
        <v/>
      </c>
      <c r="U741" s="5">
        <f t="shared" si="23"/>
        <v>0</v>
      </c>
    </row>
    <row r="742" spans="3:21" ht="30" customHeight="1" x14ac:dyDescent="0.2">
      <c r="C742" s="4"/>
      <c r="K742" s="5">
        <f t="shared" si="22"/>
        <v>0</v>
      </c>
      <c r="L742" s="5" t="str">
        <f>IF(OR(TRIM($B742)="",$A742=""),"",IF(OR(ISNUMBER(SEARCH(_xlfn.CONCAT(CHAR(96),CHAR(34)),$A742)),ISNUMBER(SEARCH(_xlfn.CONCAT(CHAR(34),CHAR(39)),$A742))),_xlfn.CONCAT("* REVIEW REQUIRED: compound-quote delimiter in Codebook Section on Sheet 1 row ",742,"; edit the input before running."),_xlfn.CONCAT("char ",TRIM($B742),"[doc_section] ",CHAR(96),CHAR(34),SUBSTITUTE(SUBSTITUTE(SUBSTITUTE(SUBSTITUTE(SUBSTITUTE(SUBSTITUTE($A742,CHAR(13)," "),CHAR(10)," "),CHAR(9)," "),CHAR(92),_xlfn.CONCAT(CHAR(92),CHAR(92))),"$",_xlfn.CONCAT(CHAR(92),"$")),CHAR(96),_xlfn.CONCAT(CHAR(92),CHAR(96))),CHAR(34),CHAR(39))))</f>
        <v/>
      </c>
      <c r="M742" s="5" t="str">
        <f>IF(OR(TRIM($B742)="",$C742=""),"",IF(IFERROR(MATCH(TRIM($C742),{"Quantitative","Continuous","Discrete","Categorical","Nominal","Ordinal","Identifier"},0),0)=0,_xlfn.CONCAT("* REVIEW REQUIRED: invalid Variable Type on Sheet 1 row ",742,"."),_xlfn.CONCAT("char ",TRIM($B742),"[doc_vartype] ",CHAR(96),CHAR(34),SUBSTITUTE(SUBSTITUTE(SUBSTITUTE(SUBSTITUTE(SUBSTITUTE(SUBSTITUTE(LOWER(TRIM($C742)),CHAR(13)," "),CHAR(10)," "),CHAR(9)," "),CHAR(92),_xlfn.CONCAT(CHAR(92),CHAR(92))),"$",_xlfn.CONCAT(CHAR(92),"$")),CHAR(96),_xlfn.CONCAT(CHAR(92),CHAR(96))),CHAR(34),CHAR(39))))</f>
        <v/>
      </c>
      <c r="N742" s="5" t="str">
        <f>IF(OR(TRIM($B742)="",$D742=""),"",IF(OR(ISNUMBER(SEARCH(_xlfn.CONCAT(CHAR(96),CHAR(34)),$D742)),ISNUMBER(SEARCH(_xlfn.CONCAT(CHAR(34),CHAR(39)),$D742))),_xlfn.CONCAT("* REVIEW REQUIRED: compound-quote delimiter in Item Number on Sheet 1 row ",742,"; edit the input before running."),_xlfn.CONCAT("char ",TRIM($B742),"[doc_itemnum] ",CHAR(96),CHAR(34),SUBSTITUTE(SUBSTITUTE(SUBSTITUTE(SUBSTITUTE(SUBSTITUTE(SUBSTITUTE($D742,CHAR(13)," "),CHAR(10)," "),CHAR(9)," "),CHAR(92),_xlfn.CONCAT(CHAR(92),CHAR(92))),"$",_xlfn.CONCAT(CHAR(92),"$")),CHAR(96),_xlfn.CONCAT(CHAR(92),CHAR(96))),CHAR(34),CHAR(39))))</f>
        <v/>
      </c>
      <c r="O742" s="5" t="str">
        <f>IF(OR(TRIM($B742)="",$E742=""),"",IF(OR(ISNUMBER(SEARCH(_xlfn.CONCAT(CHAR(96),CHAR(34)),$E742)),ISNUMBER(SEARCH(_xlfn.CONCAT(CHAR(34),CHAR(39)),$E742))),_xlfn.CONCAT("* REVIEW REQUIRED: compound-quote delimiter in Question Wording on Sheet 1 row ",742,"; edit the input before running."),_xlfn.CONCAT("char ",TRIM($B742),"[doc_question] ",CHAR(96),CHAR(34),SUBSTITUTE(SUBSTITUTE(SUBSTITUTE(SUBSTITUTE(SUBSTITUTE(SUBSTITUTE($E742,CHAR(13)," "),CHAR(10)," "),CHAR(9)," "),CHAR(92),_xlfn.CONCAT(CHAR(92),CHAR(92))),"$",_xlfn.CONCAT(CHAR(92),"$")),CHAR(96),_xlfn.CONCAT(CHAR(92),CHAR(96))),CHAR(34),CHAR(39))))</f>
        <v/>
      </c>
      <c r="P742" s="5" t="str">
        <f>IF(OR(TRIM($B742)="",$F742=""),"",IF(OR(ISNUMBER(SEARCH(_xlfn.CONCAT(CHAR(96),CHAR(34)),$F742)),ISNUMBER(SEARCH(_xlfn.CONCAT(CHAR(34),CHAR(39)),$F742))),_xlfn.CONCAT("* REVIEW REQUIRED: compound-quote delimiter in Units on Sheet 1 row ",742,"; edit the input before running."),_xlfn.CONCAT("char ",TRIM($B742),"[doc_units] ",CHAR(96),CHAR(34),SUBSTITUTE(SUBSTITUTE(SUBSTITUTE(SUBSTITUTE(SUBSTITUTE(SUBSTITUTE($F742,CHAR(13)," "),CHAR(10)," "),CHAR(9)," "),CHAR(92),_xlfn.CONCAT(CHAR(92),CHAR(92))),"$",_xlfn.CONCAT(CHAR(92),"$")),CHAR(96),_xlfn.CONCAT(CHAR(92),CHAR(96))),CHAR(34),CHAR(39))))</f>
        <v/>
      </c>
      <c r="Q742" s="5" t="str">
        <f>IF(OR(TRIM($B742)="",$G742=""),"",IF(OR(ISNUMBER(SEARCH(_xlfn.CONCAT(CHAR(96),CHAR(34)),$G742)),ISNUMBER(SEARCH(_xlfn.CONCAT(CHAR(34),CHAR(39)),$G742))),_xlfn.CONCAT("* REVIEW REQUIRED: compound-quote delimiter in Universe on Sheet 1 row ",742,"; edit the input before running."),_xlfn.CONCAT("char ",TRIM($B742),"[doc_universe] ",CHAR(96),CHAR(34),SUBSTITUTE(SUBSTITUTE(SUBSTITUTE(SUBSTITUTE(SUBSTITUTE(SUBSTITUTE($G742,CHAR(13)," "),CHAR(10)," "),CHAR(9)," "),CHAR(92),_xlfn.CONCAT(CHAR(92),CHAR(92))),"$",_xlfn.CONCAT(CHAR(92),"$")),CHAR(96),_xlfn.CONCAT(CHAR(92),CHAR(96))),CHAR(34),CHAR(39))))</f>
        <v/>
      </c>
      <c r="R742" s="5" t="str">
        <f>IF(OR(TRIM($B742)="",$H742=""),"",IF(OR(ISNUMBER(SEARCH(_xlfn.CONCAT(CHAR(96),CHAR(34)),$H742)),ISNUMBER(SEARCH(_xlfn.CONCAT(CHAR(34),CHAR(39)),$H742))),_xlfn.CONCAT("* REVIEW REQUIRED: compound-quote delimiter in Source on Sheet 1 row ",742,"; edit the input before running."),_xlfn.CONCAT("char ",TRIM($B742),"[doc_source] ",CHAR(96),CHAR(34),SUBSTITUTE(SUBSTITUTE(SUBSTITUTE(SUBSTITUTE(SUBSTITUTE(SUBSTITUTE($H742,CHAR(13)," "),CHAR(10)," "),CHAR(9)," "),CHAR(92),_xlfn.CONCAT(CHAR(92),CHAR(92))),"$",_xlfn.CONCAT(CHAR(92),"$")),CHAR(96),_xlfn.CONCAT(CHAR(92),CHAR(96))),CHAR(34),CHAR(39))))</f>
        <v/>
      </c>
      <c r="S742" s="5" t="str">
        <f>IF(OR(TRIM($B742)="",$I742=""),"",IF(OR(ISNUMBER(SEARCH(_xlfn.CONCAT(CHAR(96),CHAR(34)),$I742)),ISNUMBER(SEARCH(_xlfn.CONCAT(CHAR(34),CHAR(39)),$I742))),_xlfn.CONCAT("* REVIEW REQUIRED: compound-quote delimiter in Derivation on Sheet 1 row ",742,"; edit the input before running."),_xlfn.CONCAT("char ",TRIM($B742),"[doc_derivation] ",CHAR(96),CHAR(34),SUBSTITUTE(SUBSTITUTE(SUBSTITUTE(SUBSTITUTE(SUBSTITUTE(SUBSTITUTE($I742,CHAR(13)," "),CHAR(10)," "),CHAR(9)," "),CHAR(92),_xlfn.CONCAT(CHAR(92),CHAR(92))),"$",_xlfn.CONCAT(CHAR(92),"$")),CHAR(96),_xlfn.CONCAT(CHAR(92),CHAR(96))),CHAR(34),CHAR(39))))</f>
        <v/>
      </c>
      <c r="T742" s="5" t="str">
        <f>IF(OR(TRIM($B742)="",$J742=""),"",IF(OR(ISNUMBER(SEARCH(_xlfn.CONCAT(CHAR(96),CHAR(34)),$J742)),ISNUMBER(SEARCH(_xlfn.CONCAT(CHAR(34),CHAR(39)),$J742))),_xlfn.CONCAT("* REVIEW REQUIRED: compound-quote delimiter in Notes on Sheet 1 row ",742,"; edit the input before running."),_xlfn.CONCAT("char ",TRIM($B742),"[doc_notes] ",CHAR(96),CHAR(34),SUBSTITUTE(SUBSTITUTE(SUBSTITUTE(SUBSTITUTE(SUBSTITUTE(SUBSTITUTE($J742,CHAR(13)," "),CHAR(10)," "),CHAR(9)," "),CHAR(92),_xlfn.CONCAT(CHAR(92),CHAR(92))),"$",_xlfn.CONCAT(CHAR(92),"$")),CHAR(96),_xlfn.CONCAT(CHAR(92),CHAR(96))),CHAR(34),CHAR(39))))</f>
        <v/>
      </c>
      <c r="U742" s="5">
        <f t="shared" si="23"/>
        <v>0</v>
      </c>
    </row>
    <row r="743" spans="3:21" ht="30" customHeight="1" x14ac:dyDescent="0.2">
      <c r="C743" s="4"/>
      <c r="K743" s="5">
        <f t="shared" si="22"/>
        <v>0</v>
      </c>
      <c r="L743" s="5" t="str">
        <f>IF(OR(TRIM($B743)="",$A743=""),"",IF(OR(ISNUMBER(SEARCH(_xlfn.CONCAT(CHAR(96),CHAR(34)),$A743)),ISNUMBER(SEARCH(_xlfn.CONCAT(CHAR(34),CHAR(39)),$A743))),_xlfn.CONCAT("* REVIEW REQUIRED: compound-quote delimiter in Codebook Section on Sheet 1 row ",743,"; edit the input before running."),_xlfn.CONCAT("char ",TRIM($B743),"[doc_section] ",CHAR(96),CHAR(34),SUBSTITUTE(SUBSTITUTE(SUBSTITUTE(SUBSTITUTE(SUBSTITUTE(SUBSTITUTE($A743,CHAR(13)," "),CHAR(10)," "),CHAR(9)," "),CHAR(92),_xlfn.CONCAT(CHAR(92),CHAR(92))),"$",_xlfn.CONCAT(CHAR(92),"$")),CHAR(96),_xlfn.CONCAT(CHAR(92),CHAR(96))),CHAR(34),CHAR(39))))</f>
        <v/>
      </c>
      <c r="M743" s="5" t="str">
        <f>IF(OR(TRIM($B743)="",$C743=""),"",IF(IFERROR(MATCH(TRIM($C743),{"Quantitative","Continuous","Discrete","Categorical","Nominal","Ordinal","Identifier"},0),0)=0,_xlfn.CONCAT("* REVIEW REQUIRED: invalid Variable Type on Sheet 1 row ",743,"."),_xlfn.CONCAT("char ",TRIM($B743),"[doc_vartype] ",CHAR(96),CHAR(34),SUBSTITUTE(SUBSTITUTE(SUBSTITUTE(SUBSTITUTE(SUBSTITUTE(SUBSTITUTE(LOWER(TRIM($C743)),CHAR(13)," "),CHAR(10)," "),CHAR(9)," "),CHAR(92),_xlfn.CONCAT(CHAR(92),CHAR(92))),"$",_xlfn.CONCAT(CHAR(92),"$")),CHAR(96),_xlfn.CONCAT(CHAR(92),CHAR(96))),CHAR(34),CHAR(39))))</f>
        <v/>
      </c>
      <c r="N743" s="5" t="str">
        <f>IF(OR(TRIM($B743)="",$D743=""),"",IF(OR(ISNUMBER(SEARCH(_xlfn.CONCAT(CHAR(96),CHAR(34)),$D743)),ISNUMBER(SEARCH(_xlfn.CONCAT(CHAR(34),CHAR(39)),$D743))),_xlfn.CONCAT("* REVIEW REQUIRED: compound-quote delimiter in Item Number on Sheet 1 row ",743,"; edit the input before running."),_xlfn.CONCAT("char ",TRIM($B743),"[doc_itemnum] ",CHAR(96),CHAR(34),SUBSTITUTE(SUBSTITUTE(SUBSTITUTE(SUBSTITUTE(SUBSTITUTE(SUBSTITUTE($D743,CHAR(13)," "),CHAR(10)," "),CHAR(9)," "),CHAR(92),_xlfn.CONCAT(CHAR(92),CHAR(92))),"$",_xlfn.CONCAT(CHAR(92),"$")),CHAR(96),_xlfn.CONCAT(CHAR(92),CHAR(96))),CHAR(34),CHAR(39))))</f>
        <v/>
      </c>
      <c r="O743" s="5" t="str">
        <f>IF(OR(TRIM($B743)="",$E743=""),"",IF(OR(ISNUMBER(SEARCH(_xlfn.CONCAT(CHAR(96),CHAR(34)),$E743)),ISNUMBER(SEARCH(_xlfn.CONCAT(CHAR(34),CHAR(39)),$E743))),_xlfn.CONCAT("* REVIEW REQUIRED: compound-quote delimiter in Question Wording on Sheet 1 row ",743,"; edit the input before running."),_xlfn.CONCAT("char ",TRIM($B743),"[doc_question] ",CHAR(96),CHAR(34),SUBSTITUTE(SUBSTITUTE(SUBSTITUTE(SUBSTITUTE(SUBSTITUTE(SUBSTITUTE($E743,CHAR(13)," "),CHAR(10)," "),CHAR(9)," "),CHAR(92),_xlfn.CONCAT(CHAR(92),CHAR(92))),"$",_xlfn.CONCAT(CHAR(92),"$")),CHAR(96),_xlfn.CONCAT(CHAR(92),CHAR(96))),CHAR(34),CHAR(39))))</f>
        <v/>
      </c>
      <c r="P743" s="5" t="str">
        <f>IF(OR(TRIM($B743)="",$F743=""),"",IF(OR(ISNUMBER(SEARCH(_xlfn.CONCAT(CHAR(96),CHAR(34)),$F743)),ISNUMBER(SEARCH(_xlfn.CONCAT(CHAR(34),CHAR(39)),$F743))),_xlfn.CONCAT("* REVIEW REQUIRED: compound-quote delimiter in Units on Sheet 1 row ",743,"; edit the input before running."),_xlfn.CONCAT("char ",TRIM($B743),"[doc_units] ",CHAR(96),CHAR(34),SUBSTITUTE(SUBSTITUTE(SUBSTITUTE(SUBSTITUTE(SUBSTITUTE(SUBSTITUTE($F743,CHAR(13)," "),CHAR(10)," "),CHAR(9)," "),CHAR(92),_xlfn.CONCAT(CHAR(92),CHAR(92))),"$",_xlfn.CONCAT(CHAR(92),"$")),CHAR(96),_xlfn.CONCAT(CHAR(92),CHAR(96))),CHAR(34),CHAR(39))))</f>
        <v/>
      </c>
      <c r="Q743" s="5" t="str">
        <f>IF(OR(TRIM($B743)="",$G743=""),"",IF(OR(ISNUMBER(SEARCH(_xlfn.CONCAT(CHAR(96),CHAR(34)),$G743)),ISNUMBER(SEARCH(_xlfn.CONCAT(CHAR(34),CHAR(39)),$G743))),_xlfn.CONCAT("* REVIEW REQUIRED: compound-quote delimiter in Universe on Sheet 1 row ",743,"; edit the input before running."),_xlfn.CONCAT("char ",TRIM($B743),"[doc_universe] ",CHAR(96),CHAR(34),SUBSTITUTE(SUBSTITUTE(SUBSTITUTE(SUBSTITUTE(SUBSTITUTE(SUBSTITUTE($G743,CHAR(13)," "),CHAR(10)," "),CHAR(9)," "),CHAR(92),_xlfn.CONCAT(CHAR(92),CHAR(92))),"$",_xlfn.CONCAT(CHAR(92),"$")),CHAR(96),_xlfn.CONCAT(CHAR(92),CHAR(96))),CHAR(34),CHAR(39))))</f>
        <v/>
      </c>
      <c r="R743" s="5" t="str">
        <f>IF(OR(TRIM($B743)="",$H743=""),"",IF(OR(ISNUMBER(SEARCH(_xlfn.CONCAT(CHAR(96),CHAR(34)),$H743)),ISNUMBER(SEARCH(_xlfn.CONCAT(CHAR(34),CHAR(39)),$H743))),_xlfn.CONCAT("* REVIEW REQUIRED: compound-quote delimiter in Source on Sheet 1 row ",743,"; edit the input before running."),_xlfn.CONCAT("char ",TRIM($B743),"[doc_source] ",CHAR(96),CHAR(34),SUBSTITUTE(SUBSTITUTE(SUBSTITUTE(SUBSTITUTE(SUBSTITUTE(SUBSTITUTE($H743,CHAR(13)," "),CHAR(10)," "),CHAR(9)," "),CHAR(92),_xlfn.CONCAT(CHAR(92),CHAR(92))),"$",_xlfn.CONCAT(CHAR(92),"$")),CHAR(96),_xlfn.CONCAT(CHAR(92),CHAR(96))),CHAR(34),CHAR(39))))</f>
        <v/>
      </c>
      <c r="S743" s="5" t="str">
        <f>IF(OR(TRIM($B743)="",$I743=""),"",IF(OR(ISNUMBER(SEARCH(_xlfn.CONCAT(CHAR(96),CHAR(34)),$I743)),ISNUMBER(SEARCH(_xlfn.CONCAT(CHAR(34),CHAR(39)),$I743))),_xlfn.CONCAT("* REVIEW REQUIRED: compound-quote delimiter in Derivation on Sheet 1 row ",743,"; edit the input before running."),_xlfn.CONCAT("char ",TRIM($B743),"[doc_derivation] ",CHAR(96),CHAR(34),SUBSTITUTE(SUBSTITUTE(SUBSTITUTE(SUBSTITUTE(SUBSTITUTE(SUBSTITUTE($I743,CHAR(13)," "),CHAR(10)," "),CHAR(9)," "),CHAR(92),_xlfn.CONCAT(CHAR(92),CHAR(92))),"$",_xlfn.CONCAT(CHAR(92),"$")),CHAR(96),_xlfn.CONCAT(CHAR(92),CHAR(96))),CHAR(34),CHAR(39))))</f>
        <v/>
      </c>
      <c r="T743" s="5" t="str">
        <f>IF(OR(TRIM($B743)="",$J743=""),"",IF(OR(ISNUMBER(SEARCH(_xlfn.CONCAT(CHAR(96),CHAR(34)),$J743)),ISNUMBER(SEARCH(_xlfn.CONCAT(CHAR(34),CHAR(39)),$J743))),_xlfn.CONCAT("* REVIEW REQUIRED: compound-quote delimiter in Notes on Sheet 1 row ",743,"; edit the input before running."),_xlfn.CONCAT("char ",TRIM($B743),"[doc_notes] ",CHAR(96),CHAR(34),SUBSTITUTE(SUBSTITUTE(SUBSTITUTE(SUBSTITUTE(SUBSTITUTE(SUBSTITUTE($J743,CHAR(13)," "),CHAR(10)," "),CHAR(9)," "),CHAR(92),_xlfn.CONCAT(CHAR(92),CHAR(92))),"$",_xlfn.CONCAT(CHAR(92),"$")),CHAR(96),_xlfn.CONCAT(CHAR(92),CHAR(96))),CHAR(34),CHAR(39))))</f>
        <v/>
      </c>
      <c r="U743" s="5">
        <f t="shared" si="23"/>
        <v>0</v>
      </c>
    </row>
    <row r="744" spans="3:21" ht="30" customHeight="1" x14ac:dyDescent="0.2">
      <c r="C744" s="4"/>
      <c r="K744" s="5">
        <f t="shared" si="22"/>
        <v>0</v>
      </c>
      <c r="L744" s="5" t="str">
        <f>IF(OR(TRIM($B744)="",$A744=""),"",IF(OR(ISNUMBER(SEARCH(_xlfn.CONCAT(CHAR(96),CHAR(34)),$A744)),ISNUMBER(SEARCH(_xlfn.CONCAT(CHAR(34),CHAR(39)),$A744))),_xlfn.CONCAT("* REVIEW REQUIRED: compound-quote delimiter in Codebook Section on Sheet 1 row ",744,"; edit the input before running."),_xlfn.CONCAT("char ",TRIM($B744),"[doc_section] ",CHAR(96),CHAR(34),SUBSTITUTE(SUBSTITUTE(SUBSTITUTE(SUBSTITUTE(SUBSTITUTE(SUBSTITUTE($A744,CHAR(13)," "),CHAR(10)," "),CHAR(9)," "),CHAR(92),_xlfn.CONCAT(CHAR(92),CHAR(92))),"$",_xlfn.CONCAT(CHAR(92),"$")),CHAR(96),_xlfn.CONCAT(CHAR(92),CHAR(96))),CHAR(34),CHAR(39))))</f>
        <v/>
      </c>
      <c r="M744" s="5" t="str">
        <f>IF(OR(TRIM($B744)="",$C744=""),"",IF(IFERROR(MATCH(TRIM($C744),{"Quantitative","Continuous","Discrete","Categorical","Nominal","Ordinal","Identifier"},0),0)=0,_xlfn.CONCAT("* REVIEW REQUIRED: invalid Variable Type on Sheet 1 row ",744,"."),_xlfn.CONCAT("char ",TRIM($B744),"[doc_vartype] ",CHAR(96),CHAR(34),SUBSTITUTE(SUBSTITUTE(SUBSTITUTE(SUBSTITUTE(SUBSTITUTE(SUBSTITUTE(LOWER(TRIM($C744)),CHAR(13)," "),CHAR(10)," "),CHAR(9)," "),CHAR(92),_xlfn.CONCAT(CHAR(92),CHAR(92))),"$",_xlfn.CONCAT(CHAR(92),"$")),CHAR(96),_xlfn.CONCAT(CHAR(92),CHAR(96))),CHAR(34),CHAR(39))))</f>
        <v/>
      </c>
      <c r="N744" s="5" t="str">
        <f>IF(OR(TRIM($B744)="",$D744=""),"",IF(OR(ISNUMBER(SEARCH(_xlfn.CONCAT(CHAR(96),CHAR(34)),$D744)),ISNUMBER(SEARCH(_xlfn.CONCAT(CHAR(34),CHAR(39)),$D744))),_xlfn.CONCAT("* REVIEW REQUIRED: compound-quote delimiter in Item Number on Sheet 1 row ",744,"; edit the input before running."),_xlfn.CONCAT("char ",TRIM($B744),"[doc_itemnum] ",CHAR(96),CHAR(34),SUBSTITUTE(SUBSTITUTE(SUBSTITUTE(SUBSTITUTE(SUBSTITUTE(SUBSTITUTE($D744,CHAR(13)," "),CHAR(10)," "),CHAR(9)," "),CHAR(92),_xlfn.CONCAT(CHAR(92),CHAR(92))),"$",_xlfn.CONCAT(CHAR(92),"$")),CHAR(96),_xlfn.CONCAT(CHAR(92),CHAR(96))),CHAR(34),CHAR(39))))</f>
        <v/>
      </c>
      <c r="O744" s="5" t="str">
        <f>IF(OR(TRIM($B744)="",$E744=""),"",IF(OR(ISNUMBER(SEARCH(_xlfn.CONCAT(CHAR(96),CHAR(34)),$E744)),ISNUMBER(SEARCH(_xlfn.CONCAT(CHAR(34),CHAR(39)),$E744))),_xlfn.CONCAT("* REVIEW REQUIRED: compound-quote delimiter in Question Wording on Sheet 1 row ",744,"; edit the input before running."),_xlfn.CONCAT("char ",TRIM($B744),"[doc_question] ",CHAR(96),CHAR(34),SUBSTITUTE(SUBSTITUTE(SUBSTITUTE(SUBSTITUTE(SUBSTITUTE(SUBSTITUTE($E744,CHAR(13)," "),CHAR(10)," "),CHAR(9)," "),CHAR(92),_xlfn.CONCAT(CHAR(92),CHAR(92))),"$",_xlfn.CONCAT(CHAR(92),"$")),CHAR(96),_xlfn.CONCAT(CHAR(92),CHAR(96))),CHAR(34),CHAR(39))))</f>
        <v/>
      </c>
      <c r="P744" s="5" t="str">
        <f>IF(OR(TRIM($B744)="",$F744=""),"",IF(OR(ISNUMBER(SEARCH(_xlfn.CONCAT(CHAR(96),CHAR(34)),$F744)),ISNUMBER(SEARCH(_xlfn.CONCAT(CHAR(34),CHAR(39)),$F744))),_xlfn.CONCAT("* REVIEW REQUIRED: compound-quote delimiter in Units on Sheet 1 row ",744,"; edit the input before running."),_xlfn.CONCAT("char ",TRIM($B744),"[doc_units] ",CHAR(96),CHAR(34),SUBSTITUTE(SUBSTITUTE(SUBSTITUTE(SUBSTITUTE(SUBSTITUTE(SUBSTITUTE($F744,CHAR(13)," "),CHAR(10)," "),CHAR(9)," "),CHAR(92),_xlfn.CONCAT(CHAR(92),CHAR(92))),"$",_xlfn.CONCAT(CHAR(92),"$")),CHAR(96),_xlfn.CONCAT(CHAR(92),CHAR(96))),CHAR(34),CHAR(39))))</f>
        <v/>
      </c>
      <c r="Q744" s="5" t="str">
        <f>IF(OR(TRIM($B744)="",$G744=""),"",IF(OR(ISNUMBER(SEARCH(_xlfn.CONCAT(CHAR(96),CHAR(34)),$G744)),ISNUMBER(SEARCH(_xlfn.CONCAT(CHAR(34),CHAR(39)),$G744))),_xlfn.CONCAT("* REVIEW REQUIRED: compound-quote delimiter in Universe on Sheet 1 row ",744,"; edit the input before running."),_xlfn.CONCAT("char ",TRIM($B744),"[doc_universe] ",CHAR(96),CHAR(34),SUBSTITUTE(SUBSTITUTE(SUBSTITUTE(SUBSTITUTE(SUBSTITUTE(SUBSTITUTE($G744,CHAR(13)," "),CHAR(10)," "),CHAR(9)," "),CHAR(92),_xlfn.CONCAT(CHAR(92),CHAR(92))),"$",_xlfn.CONCAT(CHAR(92),"$")),CHAR(96),_xlfn.CONCAT(CHAR(92),CHAR(96))),CHAR(34),CHAR(39))))</f>
        <v/>
      </c>
      <c r="R744" s="5" t="str">
        <f>IF(OR(TRIM($B744)="",$H744=""),"",IF(OR(ISNUMBER(SEARCH(_xlfn.CONCAT(CHAR(96),CHAR(34)),$H744)),ISNUMBER(SEARCH(_xlfn.CONCAT(CHAR(34),CHAR(39)),$H744))),_xlfn.CONCAT("* REVIEW REQUIRED: compound-quote delimiter in Source on Sheet 1 row ",744,"; edit the input before running."),_xlfn.CONCAT("char ",TRIM($B744),"[doc_source] ",CHAR(96),CHAR(34),SUBSTITUTE(SUBSTITUTE(SUBSTITUTE(SUBSTITUTE(SUBSTITUTE(SUBSTITUTE($H744,CHAR(13)," "),CHAR(10)," "),CHAR(9)," "),CHAR(92),_xlfn.CONCAT(CHAR(92),CHAR(92))),"$",_xlfn.CONCAT(CHAR(92),"$")),CHAR(96),_xlfn.CONCAT(CHAR(92),CHAR(96))),CHAR(34),CHAR(39))))</f>
        <v/>
      </c>
      <c r="S744" s="5" t="str">
        <f>IF(OR(TRIM($B744)="",$I744=""),"",IF(OR(ISNUMBER(SEARCH(_xlfn.CONCAT(CHAR(96),CHAR(34)),$I744)),ISNUMBER(SEARCH(_xlfn.CONCAT(CHAR(34),CHAR(39)),$I744))),_xlfn.CONCAT("* REVIEW REQUIRED: compound-quote delimiter in Derivation on Sheet 1 row ",744,"; edit the input before running."),_xlfn.CONCAT("char ",TRIM($B744),"[doc_derivation] ",CHAR(96),CHAR(34),SUBSTITUTE(SUBSTITUTE(SUBSTITUTE(SUBSTITUTE(SUBSTITUTE(SUBSTITUTE($I744,CHAR(13)," "),CHAR(10)," "),CHAR(9)," "),CHAR(92),_xlfn.CONCAT(CHAR(92),CHAR(92))),"$",_xlfn.CONCAT(CHAR(92),"$")),CHAR(96),_xlfn.CONCAT(CHAR(92),CHAR(96))),CHAR(34),CHAR(39))))</f>
        <v/>
      </c>
      <c r="T744" s="5" t="str">
        <f>IF(OR(TRIM($B744)="",$J744=""),"",IF(OR(ISNUMBER(SEARCH(_xlfn.CONCAT(CHAR(96),CHAR(34)),$J744)),ISNUMBER(SEARCH(_xlfn.CONCAT(CHAR(34),CHAR(39)),$J744))),_xlfn.CONCAT("* REVIEW REQUIRED: compound-quote delimiter in Notes on Sheet 1 row ",744,"; edit the input before running."),_xlfn.CONCAT("char ",TRIM($B744),"[doc_notes] ",CHAR(96),CHAR(34),SUBSTITUTE(SUBSTITUTE(SUBSTITUTE(SUBSTITUTE(SUBSTITUTE(SUBSTITUTE($J744,CHAR(13)," "),CHAR(10)," "),CHAR(9)," "),CHAR(92),_xlfn.CONCAT(CHAR(92),CHAR(92))),"$",_xlfn.CONCAT(CHAR(92),"$")),CHAR(96),_xlfn.CONCAT(CHAR(92),CHAR(96))),CHAR(34),CHAR(39))))</f>
        <v/>
      </c>
      <c r="U744" s="5">
        <f t="shared" si="23"/>
        <v>0</v>
      </c>
    </row>
    <row r="745" spans="3:21" ht="30" customHeight="1" x14ac:dyDescent="0.2">
      <c r="C745" s="4"/>
      <c r="K745" s="5">
        <f t="shared" si="22"/>
        <v>0</v>
      </c>
      <c r="L745" s="5" t="str">
        <f>IF(OR(TRIM($B745)="",$A745=""),"",IF(OR(ISNUMBER(SEARCH(_xlfn.CONCAT(CHAR(96),CHAR(34)),$A745)),ISNUMBER(SEARCH(_xlfn.CONCAT(CHAR(34),CHAR(39)),$A745))),_xlfn.CONCAT("* REVIEW REQUIRED: compound-quote delimiter in Codebook Section on Sheet 1 row ",745,"; edit the input before running."),_xlfn.CONCAT("char ",TRIM($B745),"[doc_section] ",CHAR(96),CHAR(34),SUBSTITUTE(SUBSTITUTE(SUBSTITUTE(SUBSTITUTE(SUBSTITUTE(SUBSTITUTE($A745,CHAR(13)," "),CHAR(10)," "),CHAR(9)," "),CHAR(92),_xlfn.CONCAT(CHAR(92),CHAR(92))),"$",_xlfn.CONCAT(CHAR(92),"$")),CHAR(96),_xlfn.CONCAT(CHAR(92),CHAR(96))),CHAR(34),CHAR(39))))</f>
        <v/>
      </c>
      <c r="M745" s="5" t="str">
        <f>IF(OR(TRIM($B745)="",$C745=""),"",IF(IFERROR(MATCH(TRIM($C745),{"Quantitative","Continuous","Discrete","Categorical","Nominal","Ordinal","Identifier"},0),0)=0,_xlfn.CONCAT("* REVIEW REQUIRED: invalid Variable Type on Sheet 1 row ",745,"."),_xlfn.CONCAT("char ",TRIM($B745),"[doc_vartype] ",CHAR(96),CHAR(34),SUBSTITUTE(SUBSTITUTE(SUBSTITUTE(SUBSTITUTE(SUBSTITUTE(SUBSTITUTE(LOWER(TRIM($C745)),CHAR(13)," "),CHAR(10)," "),CHAR(9)," "),CHAR(92),_xlfn.CONCAT(CHAR(92),CHAR(92))),"$",_xlfn.CONCAT(CHAR(92),"$")),CHAR(96),_xlfn.CONCAT(CHAR(92),CHAR(96))),CHAR(34),CHAR(39))))</f>
        <v/>
      </c>
      <c r="N745" s="5" t="str">
        <f>IF(OR(TRIM($B745)="",$D745=""),"",IF(OR(ISNUMBER(SEARCH(_xlfn.CONCAT(CHAR(96),CHAR(34)),$D745)),ISNUMBER(SEARCH(_xlfn.CONCAT(CHAR(34),CHAR(39)),$D745))),_xlfn.CONCAT("* REVIEW REQUIRED: compound-quote delimiter in Item Number on Sheet 1 row ",745,"; edit the input before running."),_xlfn.CONCAT("char ",TRIM($B745),"[doc_itemnum] ",CHAR(96),CHAR(34),SUBSTITUTE(SUBSTITUTE(SUBSTITUTE(SUBSTITUTE(SUBSTITUTE(SUBSTITUTE($D745,CHAR(13)," "),CHAR(10)," "),CHAR(9)," "),CHAR(92),_xlfn.CONCAT(CHAR(92),CHAR(92))),"$",_xlfn.CONCAT(CHAR(92),"$")),CHAR(96),_xlfn.CONCAT(CHAR(92),CHAR(96))),CHAR(34),CHAR(39))))</f>
        <v/>
      </c>
      <c r="O745" s="5" t="str">
        <f>IF(OR(TRIM($B745)="",$E745=""),"",IF(OR(ISNUMBER(SEARCH(_xlfn.CONCAT(CHAR(96),CHAR(34)),$E745)),ISNUMBER(SEARCH(_xlfn.CONCAT(CHAR(34),CHAR(39)),$E745))),_xlfn.CONCAT("* REVIEW REQUIRED: compound-quote delimiter in Question Wording on Sheet 1 row ",745,"; edit the input before running."),_xlfn.CONCAT("char ",TRIM($B745),"[doc_question] ",CHAR(96),CHAR(34),SUBSTITUTE(SUBSTITUTE(SUBSTITUTE(SUBSTITUTE(SUBSTITUTE(SUBSTITUTE($E745,CHAR(13)," "),CHAR(10)," "),CHAR(9)," "),CHAR(92),_xlfn.CONCAT(CHAR(92),CHAR(92))),"$",_xlfn.CONCAT(CHAR(92),"$")),CHAR(96),_xlfn.CONCAT(CHAR(92),CHAR(96))),CHAR(34),CHAR(39))))</f>
        <v/>
      </c>
      <c r="P745" s="5" t="str">
        <f>IF(OR(TRIM($B745)="",$F745=""),"",IF(OR(ISNUMBER(SEARCH(_xlfn.CONCAT(CHAR(96),CHAR(34)),$F745)),ISNUMBER(SEARCH(_xlfn.CONCAT(CHAR(34),CHAR(39)),$F745))),_xlfn.CONCAT("* REVIEW REQUIRED: compound-quote delimiter in Units on Sheet 1 row ",745,"; edit the input before running."),_xlfn.CONCAT("char ",TRIM($B745),"[doc_units] ",CHAR(96),CHAR(34),SUBSTITUTE(SUBSTITUTE(SUBSTITUTE(SUBSTITUTE(SUBSTITUTE(SUBSTITUTE($F745,CHAR(13)," "),CHAR(10)," "),CHAR(9)," "),CHAR(92),_xlfn.CONCAT(CHAR(92),CHAR(92))),"$",_xlfn.CONCAT(CHAR(92),"$")),CHAR(96),_xlfn.CONCAT(CHAR(92),CHAR(96))),CHAR(34),CHAR(39))))</f>
        <v/>
      </c>
      <c r="Q745" s="5" t="str">
        <f>IF(OR(TRIM($B745)="",$G745=""),"",IF(OR(ISNUMBER(SEARCH(_xlfn.CONCAT(CHAR(96),CHAR(34)),$G745)),ISNUMBER(SEARCH(_xlfn.CONCAT(CHAR(34),CHAR(39)),$G745))),_xlfn.CONCAT("* REVIEW REQUIRED: compound-quote delimiter in Universe on Sheet 1 row ",745,"; edit the input before running."),_xlfn.CONCAT("char ",TRIM($B745),"[doc_universe] ",CHAR(96),CHAR(34),SUBSTITUTE(SUBSTITUTE(SUBSTITUTE(SUBSTITUTE(SUBSTITUTE(SUBSTITUTE($G745,CHAR(13)," "),CHAR(10)," "),CHAR(9)," "),CHAR(92),_xlfn.CONCAT(CHAR(92),CHAR(92))),"$",_xlfn.CONCAT(CHAR(92),"$")),CHAR(96),_xlfn.CONCAT(CHAR(92),CHAR(96))),CHAR(34),CHAR(39))))</f>
        <v/>
      </c>
      <c r="R745" s="5" t="str">
        <f>IF(OR(TRIM($B745)="",$H745=""),"",IF(OR(ISNUMBER(SEARCH(_xlfn.CONCAT(CHAR(96),CHAR(34)),$H745)),ISNUMBER(SEARCH(_xlfn.CONCAT(CHAR(34),CHAR(39)),$H745))),_xlfn.CONCAT("* REVIEW REQUIRED: compound-quote delimiter in Source on Sheet 1 row ",745,"; edit the input before running."),_xlfn.CONCAT("char ",TRIM($B745),"[doc_source] ",CHAR(96),CHAR(34),SUBSTITUTE(SUBSTITUTE(SUBSTITUTE(SUBSTITUTE(SUBSTITUTE(SUBSTITUTE($H745,CHAR(13)," "),CHAR(10)," "),CHAR(9)," "),CHAR(92),_xlfn.CONCAT(CHAR(92),CHAR(92))),"$",_xlfn.CONCAT(CHAR(92),"$")),CHAR(96),_xlfn.CONCAT(CHAR(92),CHAR(96))),CHAR(34),CHAR(39))))</f>
        <v/>
      </c>
      <c r="S745" s="5" t="str">
        <f>IF(OR(TRIM($B745)="",$I745=""),"",IF(OR(ISNUMBER(SEARCH(_xlfn.CONCAT(CHAR(96),CHAR(34)),$I745)),ISNUMBER(SEARCH(_xlfn.CONCAT(CHAR(34),CHAR(39)),$I745))),_xlfn.CONCAT("* REVIEW REQUIRED: compound-quote delimiter in Derivation on Sheet 1 row ",745,"; edit the input before running."),_xlfn.CONCAT("char ",TRIM($B745),"[doc_derivation] ",CHAR(96),CHAR(34),SUBSTITUTE(SUBSTITUTE(SUBSTITUTE(SUBSTITUTE(SUBSTITUTE(SUBSTITUTE($I745,CHAR(13)," "),CHAR(10)," "),CHAR(9)," "),CHAR(92),_xlfn.CONCAT(CHAR(92),CHAR(92))),"$",_xlfn.CONCAT(CHAR(92),"$")),CHAR(96),_xlfn.CONCAT(CHAR(92),CHAR(96))),CHAR(34),CHAR(39))))</f>
        <v/>
      </c>
      <c r="T745" s="5" t="str">
        <f>IF(OR(TRIM($B745)="",$J745=""),"",IF(OR(ISNUMBER(SEARCH(_xlfn.CONCAT(CHAR(96),CHAR(34)),$J745)),ISNUMBER(SEARCH(_xlfn.CONCAT(CHAR(34),CHAR(39)),$J745))),_xlfn.CONCAT("* REVIEW REQUIRED: compound-quote delimiter in Notes on Sheet 1 row ",745,"; edit the input before running."),_xlfn.CONCAT("char ",TRIM($B745),"[doc_notes] ",CHAR(96),CHAR(34),SUBSTITUTE(SUBSTITUTE(SUBSTITUTE(SUBSTITUTE(SUBSTITUTE(SUBSTITUTE($J745,CHAR(13)," "),CHAR(10)," "),CHAR(9)," "),CHAR(92),_xlfn.CONCAT(CHAR(92),CHAR(92))),"$",_xlfn.CONCAT(CHAR(92),"$")),CHAR(96),_xlfn.CONCAT(CHAR(92),CHAR(96))),CHAR(34),CHAR(39))))</f>
        <v/>
      </c>
      <c r="U745" s="5">
        <f t="shared" si="23"/>
        <v>0</v>
      </c>
    </row>
    <row r="746" spans="3:21" ht="30" customHeight="1" x14ac:dyDescent="0.2">
      <c r="C746" s="4"/>
      <c r="K746" s="5">
        <f t="shared" si="22"/>
        <v>0</v>
      </c>
      <c r="L746" s="5" t="str">
        <f>IF(OR(TRIM($B746)="",$A746=""),"",IF(OR(ISNUMBER(SEARCH(_xlfn.CONCAT(CHAR(96),CHAR(34)),$A746)),ISNUMBER(SEARCH(_xlfn.CONCAT(CHAR(34),CHAR(39)),$A746))),_xlfn.CONCAT("* REVIEW REQUIRED: compound-quote delimiter in Codebook Section on Sheet 1 row ",746,"; edit the input before running."),_xlfn.CONCAT("char ",TRIM($B746),"[doc_section] ",CHAR(96),CHAR(34),SUBSTITUTE(SUBSTITUTE(SUBSTITUTE(SUBSTITUTE(SUBSTITUTE(SUBSTITUTE($A746,CHAR(13)," "),CHAR(10)," "),CHAR(9)," "),CHAR(92),_xlfn.CONCAT(CHAR(92),CHAR(92))),"$",_xlfn.CONCAT(CHAR(92),"$")),CHAR(96),_xlfn.CONCAT(CHAR(92),CHAR(96))),CHAR(34),CHAR(39))))</f>
        <v/>
      </c>
      <c r="M746" s="5" t="str">
        <f>IF(OR(TRIM($B746)="",$C746=""),"",IF(IFERROR(MATCH(TRIM($C746),{"Quantitative","Continuous","Discrete","Categorical","Nominal","Ordinal","Identifier"},0),0)=0,_xlfn.CONCAT("* REVIEW REQUIRED: invalid Variable Type on Sheet 1 row ",746,"."),_xlfn.CONCAT("char ",TRIM($B746),"[doc_vartype] ",CHAR(96),CHAR(34),SUBSTITUTE(SUBSTITUTE(SUBSTITUTE(SUBSTITUTE(SUBSTITUTE(SUBSTITUTE(LOWER(TRIM($C746)),CHAR(13)," "),CHAR(10)," "),CHAR(9)," "),CHAR(92),_xlfn.CONCAT(CHAR(92),CHAR(92))),"$",_xlfn.CONCAT(CHAR(92),"$")),CHAR(96),_xlfn.CONCAT(CHAR(92),CHAR(96))),CHAR(34),CHAR(39))))</f>
        <v/>
      </c>
      <c r="N746" s="5" t="str">
        <f>IF(OR(TRIM($B746)="",$D746=""),"",IF(OR(ISNUMBER(SEARCH(_xlfn.CONCAT(CHAR(96),CHAR(34)),$D746)),ISNUMBER(SEARCH(_xlfn.CONCAT(CHAR(34),CHAR(39)),$D746))),_xlfn.CONCAT("* REVIEW REQUIRED: compound-quote delimiter in Item Number on Sheet 1 row ",746,"; edit the input before running."),_xlfn.CONCAT("char ",TRIM($B746),"[doc_itemnum] ",CHAR(96),CHAR(34),SUBSTITUTE(SUBSTITUTE(SUBSTITUTE(SUBSTITUTE(SUBSTITUTE(SUBSTITUTE($D746,CHAR(13)," "),CHAR(10)," "),CHAR(9)," "),CHAR(92),_xlfn.CONCAT(CHAR(92),CHAR(92))),"$",_xlfn.CONCAT(CHAR(92),"$")),CHAR(96),_xlfn.CONCAT(CHAR(92),CHAR(96))),CHAR(34),CHAR(39))))</f>
        <v/>
      </c>
      <c r="O746" s="5" t="str">
        <f>IF(OR(TRIM($B746)="",$E746=""),"",IF(OR(ISNUMBER(SEARCH(_xlfn.CONCAT(CHAR(96),CHAR(34)),$E746)),ISNUMBER(SEARCH(_xlfn.CONCAT(CHAR(34),CHAR(39)),$E746))),_xlfn.CONCAT("* REVIEW REQUIRED: compound-quote delimiter in Question Wording on Sheet 1 row ",746,"; edit the input before running."),_xlfn.CONCAT("char ",TRIM($B746),"[doc_question] ",CHAR(96),CHAR(34),SUBSTITUTE(SUBSTITUTE(SUBSTITUTE(SUBSTITUTE(SUBSTITUTE(SUBSTITUTE($E746,CHAR(13)," "),CHAR(10)," "),CHAR(9)," "),CHAR(92),_xlfn.CONCAT(CHAR(92),CHAR(92))),"$",_xlfn.CONCAT(CHAR(92),"$")),CHAR(96),_xlfn.CONCAT(CHAR(92),CHAR(96))),CHAR(34),CHAR(39))))</f>
        <v/>
      </c>
      <c r="P746" s="5" t="str">
        <f>IF(OR(TRIM($B746)="",$F746=""),"",IF(OR(ISNUMBER(SEARCH(_xlfn.CONCAT(CHAR(96),CHAR(34)),$F746)),ISNUMBER(SEARCH(_xlfn.CONCAT(CHAR(34),CHAR(39)),$F746))),_xlfn.CONCAT("* REVIEW REQUIRED: compound-quote delimiter in Units on Sheet 1 row ",746,"; edit the input before running."),_xlfn.CONCAT("char ",TRIM($B746),"[doc_units] ",CHAR(96),CHAR(34),SUBSTITUTE(SUBSTITUTE(SUBSTITUTE(SUBSTITUTE(SUBSTITUTE(SUBSTITUTE($F746,CHAR(13)," "),CHAR(10)," "),CHAR(9)," "),CHAR(92),_xlfn.CONCAT(CHAR(92),CHAR(92))),"$",_xlfn.CONCAT(CHAR(92),"$")),CHAR(96),_xlfn.CONCAT(CHAR(92),CHAR(96))),CHAR(34),CHAR(39))))</f>
        <v/>
      </c>
      <c r="Q746" s="5" t="str">
        <f>IF(OR(TRIM($B746)="",$G746=""),"",IF(OR(ISNUMBER(SEARCH(_xlfn.CONCAT(CHAR(96),CHAR(34)),$G746)),ISNUMBER(SEARCH(_xlfn.CONCAT(CHAR(34),CHAR(39)),$G746))),_xlfn.CONCAT("* REVIEW REQUIRED: compound-quote delimiter in Universe on Sheet 1 row ",746,"; edit the input before running."),_xlfn.CONCAT("char ",TRIM($B746),"[doc_universe] ",CHAR(96),CHAR(34),SUBSTITUTE(SUBSTITUTE(SUBSTITUTE(SUBSTITUTE(SUBSTITUTE(SUBSTITUTE($G746,CHAR(13)," "),CHAR(10)," "),CHAR(9)," "),CHAR(92),_xlfn.CONCAT(CHAR(92),CHAR(92))),"$",_xlfn.CONCAT(CHAR(92),"$")),CHAR(96),_xlfn.CONCAT(CHAR(92),CHAR(96))),CHAR(34),CHAR(39))))</f>
        <v/>
      </c>
      <c r="R746" s="5" t="str">
        <f>IF(OR(TRIM($B746)="",$H746=""),"",IF(OR(ISNUMBER(SEARCH(_xlfn.CONCAT(CHAR(96),CHAR(34)),$H746)),ISNUMBER(SEARCH(_xlfn.CONCAT(CHAR(34),CHAR(39)),$H746))),_xlfn.CONCAT("* REVIEW REQUIRED: compound-quote delimiter in Source on Sheet 1 row ",746,"; edit the input before running."),_xlfn.CONCAT("char ",TRIM($B746),"[doc_source] ",CHAR(96),CHAR(34),SUBSTITUTE(SUBSTITUTE(SUBSTITUTE(SUBSTITUTE(SUBSTITUTE(SUBSTITUTE($H746,CHAR(13)," "),CHAR(10)," "),CHAR(9)," "),CHAR(92),_xlfn.CONCAT(CHAR(92),CHAR(92))),"$",_xlfn.CONCAT(CHAR(92),"$")),CHAR(96),_xlfn.CONCAT(CHAR(92),CHAR(96))),CHAR(34),CHAR(39))))</f>
        <v/>
      </c>
      <c r="S746" s="5" t="str">
        <f>IF(OR(TRIM($B746)="",$I746=""),"",IF(OR(ISNUMBER(SEARCH(_xlfn.CONCAT(CHAR(96),CHAR(34)),$I746)),ISNUMBER(SEARCH(_xlfn.CONCAT(CHAR(34),CHAR(39)),$I746))),_xlfn.CONCAT("* REVIEW REQUIRED: compound-quote delimiter in Derivation on Sheet 1 row ",746,"; edit the input before running."),_xlfn.CONCAT("char ",TRIM($B746),"[doc_derivation] ",CHAR(96),CHAR(34),SUBSTITUTE(SUBSTITUTE(SUBSTITUTE(SUBSTITUTE(SUBSTITUTE(SUBSTITUTE($I746,CHAR(13)," "),CHAR(10)," "),CHAR(9)," "),CHAR(92),_xlfn.CONCAT(CHAR(92),CHAR(92))),"$",_xlfn.CONCAT(CHAR(92),"$")),CHAR(96),_xlfn.CONCAT(CHAR(92),CHAR(96))),CHAR(34),CHAR(39))))</f>
        <v/>
      </c>
      <c r="T746" s="5" t="str">
        <f>IF(OR(TRIM($B746)="",$J746=""),"",IF(OR(ISNUMBER(SEARCH(_xlfn.CONCAT(CHAR(96),CHAR(34)),$J746)),ISNUMBER(SEARCH(_xlfn.CONCAT(CHAR(34),CHAR(39)),$J746))),_xlfn.CONCAT("* REVIEW REQUIRED: compound-quote delimiter in Notes on Sheet 1 row ",746,"; edit the input before running."),_xlfn.CONCAT("char ",TRIM($B746),"[doc_notes] ",CHAR(96),CHAR(34),SUBSTITUTE(SUBSTITUTE(SUBSTITUTE(SUBSTITUTE(SUBSTITUTE(SUBSTITUTE($J746,CHAR(13)," "),CHAR(10)," "),CHAR(9)," "),CHAR(92),_xlfn.CONCAT(CHAR(92),CHAR(92))),"$",_xlfn.CONCAT(CHAR(92),"$")),CHAR(96),_xlfn.CONCAT(CHAR(92),CHAR(96))),CHAR(34),CHAR(39))))</f>
        <v/>
      </c>
      <c r="U746" s="5">
        <f t="shared" si="23"/>
        <v>0</v>
      </c>
    </row>
    <row r="747" spans="3:21" ht="30" customHeight="1" x14ac:dyDescent="0.2">
      <c r="C747" s="4"/>
      <c r="K747" s="5">
        <f t="shared" si="22"/>
        <v>0</v>
      </c>
      <c r="L747" s="5" t="str">
        <f>IF(OR(TRIM($B747)="",$A747=""),"",IF(OR(ISNUMBER(SEARCH(_xlfn.CONCAT(CHAR(96),CHAR(34)),$A747)),ISNUMBER(SEARCH(_xlfn.CONCAT(CHAR(34),CHAR(39)),$A747))),_xlfn.CONCAT("* REVIEW REQUIRED: compound-quote delimiter in Codebook Section on Sheet 1 row ",747,"; edit the input before running."),_xlfn.CONCAT("char ",TRIM($B747),"[doc_section] ",CHAR(96),CHAR(34),SUBSTITUTE(SUBSTITUTE(SUBSTITUTE(SUBSTITUTE(SUBSTITUTE(SUBSTITUTE($A747,CHAR(13)," "),CHAR(10)," "),CHAR(9)," "),CHAR(92),_xlfn.CONCAT(CHAR(92),CHAR(92))),"$",_xlfn.CONCAT(CHAR(92),"$")),CHAR(96),_xlfn.CONCAT(CHAR(92),CHAR(96))),CHAR(34),CHAR(39))))</f>
        <v/>
      </c>
      <c r="M747" s="5" t="str">
        <f>IF(OR(TRIM($B747)="",$C747=""),"",IF(IFERROR(MATCH(TRIM($C747),{"Quantitative","Continuous","Discrete","Categorical","Nominal","Ordinal","Identifier"},0),0)=0,_xlfn.CONCAT("* REVIEW REQUIRED: invalid Variable Type on Sheet 1 row ",747,"."),_xlfn.CONCAT("char ",TRIM($B747),"[doc_vartype] ",CHAR(96),CHAR(34),SUBSTITUTE(SUBSTITUTE(SUBSTITUTE(SUBSTITUTE(SUBSTITUTE(SUBSTITUTE(LOWER(TRIM($C747)),CHAR(13)," "),CHAR(10)," "),CHAR(9)," "),CHAR(92),_xlfn.CONCAT(CHAR(92),CHAR(92))),"$",_xlfn.CONCAT(CHAR(92),"$")),CHAR(96),_xlfn.CONCAT(CHAR(92),CHAR(96))),CHAR(34),CHAR(39))))</f>
        <v/>
      </c>
      <c r="N747" s="5" t="str">
        <f>IF(OR(TRIM($B747)="",$D747=""),"",IF(OR(ISNUMBER(SEARCH(_xlfn.CONCAT(CHAR(96),CHAR(34)),$D747)),ISNUMBER(SEARCH(_xlfn.CONCAT(CHAR(34),CHAR(39)),$D747))),_xlfn.CONCAT("* REVIEW REQUIRED: compound-quote delimiter in Item Number on Sheet 1 row ",747,"; edit the input before running."),_xlfn.CONCAT("char ",TRIM($B747),"[doc_itemnum] ",CHAR(96),CHAR(34),SUBSTITUTE(SUBSTITUTE(SUBSTITUTE(SUBSTITUTE(SUBSTITUTE(SUBSTITUTE($D747,CHAR(13)," "),CHAR(10)," "),CHAR(9)," "),CHAR(92),_xlfn.CONCAT(CHAR(92),CHAR(92))),"$",_xlfn.CONCAT(CHAR(92),"$")),CHAR(96),_xlfn.CONCAT(CHAR(92),CHAR(96))),CHAR(34),CHAR(39))))</f>
        <v/>
      </c>
      <c r="O747" s="5" t="str">
        <f>IF(OR(TRIM($B747)="",$E747=""),"",IF(OR(ISNUMBER(SEARCH(_xlfn.CONCAT(CHAR(96),CHAR(34)),$E747)),ISNUMBER(SEARCH(_xlfn.CONCAT(CHAR(34),CHAR(39)),$E747))),_xlfn.CONCAT("* REVIEW REQUIRED: compound-quote delimiter in Question Wording on Sheet 1 row ",747,"; edit the input before running."),_xlfn.CONCAT("char ",TRIM($B747),"[doc_question] ",CHAR(96),CHAR(34),SUBSTITUTE(SUBSTITUTE(SUBSTITUTE(SUBSTITUTE(SUBSTITUTE(SUBSTITUTE($E747,CHAR(13)," "),CHAR(10)," "),CHAR(9)," "),CHAR(92),_xlfn.CONCAT(CHAR(92),CHAR(92))),"$",_xlfn.CONCAT(CHAR(92),"$")),CHAR(96),_xlfn.CONCAT(CHAR(92),CHAR(96))),CHAR(34),CHAR(39))))</f>
        <v/>
      </c>
      <c r="P747" s="5" t="str">
        <f>IF(OR(TRIM($B747)="",$F747=""),"",IF(OR(ISNUMBER(SEARCH(_xlfn.CONCAT(CHAR(96),CHAR(34)),$F747)),ISNUMBER(SEARCH(_xlfn.CONCAT(CHAR(34),CHAR(39)),$F747))),_xlfn.CONCAT("* REVIEW REQUIRED: compound-quote delimiter in Units on Sheet 1 row ",747,"; edit the input before running."),_xlfn.CONCAT("char ",TRIM($B747),"[doc_units] ",CHAR(96),CHAR(34),SUBSTITUTE(SUBSTITUTE(SUBSTITUTE(SUBSTITUTE(SUBSTITUTE(SUBSTITUTE($F747,CHAR(13)," "),CHAR(10)," "),CHAR(9)," "),CHAR(92),_xlfn.CONCAT(CHAR(92),CHAR(92))),"$",_xlfn.CONCAT(CHAR(92),"$")),CHAR(96),_xlfn.CONCAT(CHAR(92),CHAR(96))),CHAR(34),CHAR(39))))</f>
        <v/>
      </c>
      <c r="Q747" s="5" t="str">
        <f>IF(OR(TRIM($B747)="",$G747=""),"",IF(OR(ISNUMBER(SEARCH(_xlfn.CONCAT(CHAR(96),CHAR(34)),$G747)),ISNUMBER(SEARCH(_xlfn.CONCAT(CHAR(34),CHAR(39)),$G747))),_xlfn.CONCAT("* REVIEW REQUIRED: compound-quote delimiter in Universe on Sheet 1 row ",747,"; edit the input before running."),_xlfn.CONCAT("char ",TRIM($B747),"[doc_universe] ",CHAR(96),CHAR(34),SUBSTITUTE(SUBSTITUTE(SUBSTITUTE(SUBSTITUTE(SUBSTITUTE(SUBSTITUTE($G747,CHAR(13)," "),CHAR(10)," "),CHAR(9)," "),CHAR(92),_xlfn.CONCAT(CHAR(92),CHAR(92))),"$",_xlfn.CONCAT(CHAR(92),"$")),CHAR(96),_xlfn.CONCAT(CHAR(92),CHAR(96))),CHAR(34),CHAR(39))))</f>
        <v/>
      </c>
      <c r="R747" s="5" t="str">
        <f>IF(OR(TRIM($B747)="",$H747=""),"",IF(OR(ISNUMBER(SEARCH(_xlfn.CONCAT(CHAR(96),CHAR(34)),$H747)),ISNUMBER(SEARCH(_xlfn.CONCAT(CHAR(34),CHAR(39)),$H747))),_xlfn.CONCAT("* REVIEW REQUIRED: compound-quote delimiter in Source on Sheet 1 row ",747,"; edit the input before running."),_xlfn.CONCAT("char ",TRIM($B747),"[doc_source] ",CHAR(96),CHAR(34),SUBSTITUTE(SUBSTITUTE(SUBSTITUTE(SUBSTITUTE(SUBSTITUTE(SUBSTITUTE($H747,CHAR(13)," "),CHAR(10)," "),CHAR(9)," "),CHAR(92),_xlfn.CONCAT(CHAR(92),CHAR(92))),"$",_xlfn.CONCAT(CHAR(92),"$")),CHAR(96),_xlfn.CONCAT(CHAR(92),CHAR(96))),CHAR(34),CHAR(39))))</f>
        <v/>
      </c>
      <c r="S747" s="5" t="str">
        <f>IF(OR(TRIM($B747)="",$I747=""),"",IF(OR(ISNUMBER(SEARCH(_xlfn.CONCAT(CHAR(96),CHAR(34)),$I747)),ISNUMBER(SEARCH(_xlfn.CONCAT(CHAR(34),CHAR(39)),$I747))),_xlfn.CONCAT("* REVIEW REQUIRED: compound-quote delimiter in Derivation on Sheet 1 row ",747,"; edit the input before running."),_xlfn.CONCAT("char ",TRIM($B747),"[doc_derivation] ",CHAR(96),CHAR(34),SUBSTITUTE(SUBSTITUTE(SUBSTITUTE(SUBSTITUTE(SUBSTITUTE(SUBSTITUTE($I747,CHAR(13)," "),CHAR(10)," "),CHAR(9)," "),CHAR(92),_xlfn.CONCAT(CHAR(92),CHAR(92))),"$",_xlfn.CONCAT(CHAR(92),"$")),CHAR(96),_xlfn.CONCAT(CHAR(92),CHAR(96))),CHAR(34),CHAR(39))))</f>
        <v/>
      </c>
      <c r="T747" s="5" t="str">
        <f>IF(OR(TRIM($B747)="",$J747=""),"",IF(OR(ISNUMBER(SEARCH(_xlfn.CONCAT(CHAR(96),CHAR(34)),$J747)),ISNUMBER(SEARCH(_xlfn.CONCAT(CHAR(34),CHAR(39)),$J747))),_xlfn.CONCAT("* REVIEW REQUIRED: compound-quote delimiter in Notes on Sheet 1 row ",747,"; edit the input before running."),_xlfn.CONCAT("char ",TRIM($B747),"[doc_notes] ",CHAR(96),CHAR(34),SUBSTITUTE(SUBSTITUTE(SUBSTITUTE(SUBSTITUTE(SUBSTITUTE(SUBSTITUTE($J747,CHAR(13)," "),CHAR(10)," "),CHAR(9)," "),CHAR(92),_xlfn.CONCAT(CHAR(92),CHAR(92))),"$",_xlfn.CONCAT(CHAR(92),"$")),CHAR(96),_xlfn.CONCAT(CHAR(92),CHAR(96))),CHAR(34),CHAR(39))))</f>
        <v/>
      </c>
      <c r="U747" s="5">
        <f t="shared" si="23"/>
        <v>0</v>
      </c>
    </row>
    <row r="748" spans="3:21" ht="30" customHeight="1" x14ac:dyDescent="0.2">
      <c r="C748" s="4"/>
      <c r="K748" s="5">
        <f t="shared" si="22"/>
        <v>0</v>
      </c>
      <c r="L748" s="5" t="str">
        <f>IF(OR(TRIM($B748)="",$A748=""),"",IF(OR(ISNUMBER(SEARCH(_xlfn.CONCAT(CHAR(96),CHAR(34)),$A748)),ISNUMBER(SEARCH(_xlfn.CONCAT(CHAR(34),CHAR(39)),$A748))),_xlfn.CONCAT("* REVIEW REQUIRED: compound-quote delimiter in Codebook Section on Sheet 1 row ",748,"; edit the input before running."),_xlfn.CONCAT("char ",TRIM($B748),"[doc_section] ",CHAR(96),CHAR(34),SUBSTITUTE(SUBSTITUTE(SUBSTITUTE(SUBSTITUTE(SUBSTITUTE(SUBSTITUTE($A748,CHAR(13)," "),CHAR(10)," "),CHAR(9)," "),CHAR(92),_xlfn.CONCAT(CHAR(92),CHAR(92))),"$",_xlfn.CONCAT(CHAR(92),"$")),CHAR(96),_xlfn.CONCAT(CHAR(92),CHAR(96))),CHAR(34),CHAR(39))))</f>
        <v/>
      </c>
      <c r="M748" s="5" t="str">
        <f>IF(OR(TRIM($B748)="",$C748=""),"",IF(IFERROR(MATCH(TRIM($C748),{"Quantitative","Continuous","Discrete","Categorical","Nominal","Ordinal","Identifier"},0),0)=0,_xlfn.CONCAT("* REVIEW REQUIRED: invalid Variable Type on Sheet 1 row ",748,"."),_xlfn.CONCAT("char ",TRIM($B748),"[doc_vartype] ",CHAR(96),CHAR(34),SUBSTITUTE(SUBSTITUTE(SUBSTITUTE(SUBSTITUTE(SUBSTITUTE(SUBSTITUTE(LOWER(TRIM($C748)),CHAR(13)," "),CHAR(10)," "),CHAR(9)," "),CHAR(92),_xlfn.CONCAT(CHAR(92),CHAR(92))),"$",_xlfn.CONCAT(CHAR(92),"$")),CHAR(96),_xlfn.CONCAT(CHAR(92),CHAR(96))),CHAR(34),CHAR(39))))</f>
        <v/>
      </c>
      <c r="N748" s="5" t="str">
        <f>IF(OR(TRIM($B748)="",$D748=""),"",IF(OR(ISNUMBER(SEARCH(_xlfn.CONCAT(CHAR(96),CHAR(34)),$D748)),ISNUMBER(SEARCH(_xlfn.CONCAT(CHAR(34),CHAR(39)),$D748))),_xlfn.CONCAT("* REVIEW REQUIRED: compound-quote delimiter in Item Number on Sheet 1 row ",748,"; edit the input before running."),_xlfn.CONCAT("char ",TRIM($B748),"[doc_itemnum] ",CHAR(96),CHAR(34),SUBSTITUTE(SUBSTITUTE(SUBSTITUTE(SUBSTITUTE(SUBSTITUTE(SUBSTITUTE($D748,CHAR(13)," "),CHAR(10)," "),CHAR(9)," "),CHAR(92),_xlfn.CONCAT(CHAR(92),CHAR(92))),"$",_xlfn.CONCAT(CHAR(92),"$")),CHAR(96),_xlfn.CONCAT(CHAR(92),CHAR(96))),CHAR(34),CHAR(39))))</f>
        <v/>
      </c>
      <c r="O748" s="5" t="str">
        <f>IF(OR(TRIM($B748)="",$E748=""),"",IF(OR(ISNUMBER(SEARCH(_xlfn.CONCAT(CHAR(96),CHAR(34)),$E748)),ISNUMBER(SEARCH(_xlfn.CONCAT(CHAR(34),CHAR(39)),$E748))),_xlfn.CONCAT("* REVIEW REQUIRED: compound-quote delimiter in Question Wording on Sheet 1 row ",748,"; edit the input before running."),_xlfn.CONCAT("char ",TRIM($B748),"[doc_question] ",CHAR(96),CHAR(34),SUBSTITUTE(SUBSTITUTE(SUBSTITUTE(SUBSTITUTE(SUBSTITUTE(SUBSTITUTE($E748,CHAR(13)," "),CHAR(10)," "),CHAR(9)," "),CHAR(92),_xlfn.CONCAT(CHAR(92),CHAR(92))),"$",_xlfn.CONCAT(CHAR(92),"$")),CHAR(96),_xlfn.CONCAT(CHAR(92),CHAR(96))),CHAR(34),CHAR(39))))</f>
        <v/>
      </c>
      <c r="P748" s="5" t="str">
        <f>IF(OR(TRIM($B748)="",$F748=""),"",IF(OR(ISNUMBER(SEARCH(_xlfn.CONCAT(CHAR(96),CHAR(34)),$F748)),ISNUMBER(SEARCH(_xlfn.CONCAT(CHAR(34),CHAR(39)),$F748))),_xlfn.CONCAT("* REVIEW REQUIRED: compound-quote delimiter in Units on Sheet 1 row ",748,"; edit the input before running."),_xlfn.CONCAT("char ",TRIM($B748),"[doc_units] ",CHAR(96),CHAR(34),SUBSTITUTE(SUBSTITUTE(SUBSTITUTE(SUBSTITUTE(SUBSTITUTE(SUBSTITUTE($F748,CHAR(13)," "),CHAR(10)," "),CHAR(9)," "),CHAR(92),_xlfn.CONCAT(CHAR(92),CHAR(92))),"$",_xlfn.CONCAT(CHAR(92),"$")),CHAR(96),_xlfn.CONCAT(CHAR(92),CHAR(96))),CHAR(34),CHAR(39))))</f>
        <v/>
      </c>
      <c r="Q748" s="5" t="str">
        <f>IF(OR(TRIM($B748)="",$G748=""),"",IF(OR(ISNUMBER(SEARCH(_xlfn.CONCAT(CHAR(96),CHAR(34)),$G748)),ISNUMBER(SEARCH(_xlfn.CONCAT(CHAR(34),CHAR(39)),$G748))),_xlfn.CONCAT("* REVIEW REQUIRED: compound-quote delimiter in Universe on Sheet 1 row ",748,"; edit the input before running."),_xlfn.CONCAT("char ",TRIM($B748),"[doc_universe] ",CHAR(96),CHAR(34),SUBSTITUTE(SUBSTITUTE(SUBSTITUTE(SUBSTITUTE(SUBSTITUTE(SUBSTITUTE($G748,CHAR(13)," "),CHAR(10)," "),CHAR(9)," "),CHAR(92),_xlfn.CONCAT(CHAR(92),CHAR(92))),"$",_xlfn.CONCAT(CHAR(92),"$")),CHAR(96),_xlfn.CONCAT(CHAR(92),CHAR(96))),CHAR(34),CHAR(39))))</f>
        <v/>
      </c>
      <c r="R748" s="5" t="str">
        <f>IF(OR(TRIM($B748)="",$H748=""),"",IF(OR(ISNUMBER(SEARCH(_xlfn.CONCAT(CHAR(96),CHAR(34)),$H748)),ISNUMBER(SEARCH(_xlfn.CONCAT(CHAR(34),CHAR(39)),$H748))),_xlfn.CONCAT("* REVIEW REQUIRED: compound-quote delimiter in Source on Sheet 1 row ",748,"; edit the input before running."),_xlfn.CONCAT("char ",TRIM($B748),"[doc_source] ",CHAR(96),CHAR(34),SUBSTITUTE(SUBSTITUTE(SUBSTITUTE(SUBSTITUTE(SUBSTITUTE(SUBSTITUTE($H748,CHAR(13)," "),CHAR(10)," "),CHAR(9)," "),CHAR(92),_xlfn.CONCAT(CHAR(92),CHAR(92))),"$",_xlfn.CONCAT(CHAR(92),"$")),CHAR(96),_xlfn.CONCAT(CHAR(92),CHAR(96))),CHAR(34),CHAR(39))))</f>
        <v/>
      </c>
      <c r="S748" s="5" t="str">
        <f>IF(OR(TRIM($B748)="",$I748=""),"",IF(OR(ISNUMBER(SEARCH(_xlfn.CONCAT(CHAR(96),CHAR(34)),$I748)),ISNUMBER(SEARCH(_xlfn.CONCAT(CHAR(34),CHAR(39)),$I748))),_xlfn.CONCAT("* REVIEW REQUIRED: compound-quote delimiter in Derivation on Sheet 1 row ",748,"; edit the input before running."),_xlfn.CONCAT("char ",TRIM($B748),"[doc_derivation] ",CHAR(96),CHAR(34),SUBSTITUTE(SUBSTITUTE(SUBSTITUTE(SUBSTITUTE(SUBSTITUTE(SUBSTITUTE($I748,CHAR(13)," "),CHAR(10)," "),CHAR(9)," "),CHAR(92),_xlfn.CONCAT(CHAR(92),CHAR(92))),"$",_xlfn.CONCAT(CHAR(92),"$")),CHAR(96),_xlfn.CONCAT(CHAR(92),CHAR(96))),CHAR(34),CHAR(39))))</f>
        <v/>
      </c>
      <c r="T748" s="5" t="str">
        <f>IF(OR(TRIM($B748)="",$J748=""),"",IF(OR(ISNUMBER(SEARCH(_xlfn.CONCAT(CHAR(96),CHAR(34)),$J748)),ISNUMBER(SEARCH(_xlfn.CONCAT(CHAR(34),CHAR(39)),$J748))),_xlfn.CONCAT("* REVIEW REQUIRED: compound-quote delimiter in Notes on Sheet 1 row ",748,"; edit the input before running."),_xlfn.CONCAT("char ",TRIM($B748),"[doc_notes] ",CHAR(96),CHAR(34),SUBSTITUTE(SUBSTITUTE(SUBSTITUTE(SUBSTITUTE(SUBSTITUTE(SUBSTITUTE($J748,CHAR(13)," "),CHAR(10)," "),CHAR(9)," "),CHAR(92),_xlfn.CONCAT(CHAR(92),CHAR(92))),"$",_xlfn.CONCAT(CHAR(92),"$")),CHAR(96),_xlfn.CONCAT(CHAR(92),CHAR(96))),CHAR(34),CHAR(39))))</f>
        <v/>
      </c>
      <c r="U748" s="5">
        <f t="shared" si="23"/>
        <v>0</v>
      </c>
    </row>
    <row r="749" spans="3:21" ht="30" customHeight="1" x14ac:dyDescent="0.2">
      <c r="C749" s="4"/>
      <c r="K749" s="5">
        <f t="shared" si="22"/>
        <v>0</v>
      </c>
      <c r="L749" s="5" t="str">
        <f>IF(OR(TRIM($B749)="",$A749=""),"",IF(OR(ISNUMBER(SEARCH(_xlfn.CONCAT(CHAR(96),CHAR(34)),$A749)),ISNUMBER(SEARCH(_xlfn.CONCAT(CHAR(34),CHAR(39)),$A749))),_xlfn.CONCAT("* REVIEW REQUIRED: compound-quote delimiter in Codebook Section on Sheet 1 row ",749,"; edit the input before running."),_xlfn.CONCAT("char ",TRIM($B749),"[doc_section] ",CHAR(96),CHAR(34),SUBSTITUTE(SUBSTITUTE(SUBSTITUTE(SUBSTITUTE(SUBSTITUTE(SUBSTITUTE($A749,CHAR(13)," "),CHAR(10)," "),CHAR(9)," "),CHAR(92),_xlfn.CONCAT(CHAR(92),CHAR(92))),"$",_xlfn.CONCAT(CHAR(92),"$")),CHAR(96),_xlfn.CONCAT(CHAR(92),CHAR(96))),CHAR(34),CHAR(39))))</f>
        <v/>
      </c>
      <c r="M749" s="5" t="str">
        <f>IF(OR(TRIM($B749)="",$C749=""),"",IF(IFERROR(MATCH(TRIM($C749),{"Quantitative","Continuous","Discrete","Categorical","Nominal","Ordinal","Identifier"},0),0)=0,_xlfn.CONCAT("* REVIEW REQUIRED: invalid Variable Type on Sheet 1 row ",749,"."),_xlfn.CONCAT("char ",TRIM($B749),"[doc_vartype] ",CHAR(96),CHAR(34),SUBSTITUTE(SUBSTITUTE(SUBSTITUTE(SUBSTITUTE(SUBSTITUTE(SUBSTITUTE(LOWER(TRIM($C749)),CHAR(13)," "),CHAR(10)," "),CHAR(9)," "),CHAR(92),_xlfn.CONCAT(CHAR(92),CHAR(92))),"$",_xlfn.CONCAT(CHAR(92),"$")),CHAR(96),_xlfn.CONCAT(CHAR(92),CHAR(96))),CHAR(34),CHAR(39))))</f>
        <v/>
      </c>
      <c r="N749" s="5" t="str">
        <f>IF(OR(TRIM($B749)="",$D749=""),"",IF(OR(ISNUMBER(SEARCH(_xlfn.CONCAT(CHAR(96),CHAR(34)),$D749)),ISNUMBER(SEARCH(_xlfn.CONCAT(CHAR(34),CHAR(39)),$D749))),_xlfn.CONCAT("* REVIEW REQUIRED: compound-quote delimiter in Item Number on Sheet 1 row ",749,"; edit the input before running."),_xlfn.CONCAT("char ",TRIM($B749),"[doc_itemnum] ",CHAR(96),CHAR(34),SUBSTITUTE(SUBSTITUTE(SUBSTITUTE(SUBSTITUTE(SUBSTITUTE(SUBSTITUTE($D749,CHAR(13)," "),CHAR(10)," "),CHAR(9)," "),CHAR(92),_xlfn.CONCAT(CHAR(92),CHAR(92))),"$",_xlfn.CONCAT(CHAR(92),"$")),CHAR(96),_xlfn.CONCAT(CHAR(92),CHAR(96))),CHAR(34),CHAR(39))))</f>
        <v/>
      </c>
      <c r="O749" s="5" t="str">
        <f>IF(OR(TRIM($B749)="",$E749=""),"",IF(OR(ISNUMBER(SEARCH(_xlfn.CONCAT(CHAR(96),CHAR(34)),$E749)),ISNUMBER(SEARCH(_xlfn.CONCAT(CHAR(34),CHAR(39)),$E749))),_xlfn.CONCAT("* REVIEW REQUIRED: compound-quote delimiter in Question Wording on Sheet 1 row ",749,"; edit the input before running."),_xlfn.CONCAT("char ",TRIM($B749),"[doc_question] ",CHAR(96),CHAR(34),SUBSTITUTE(SUBSTITUTE(SUBSTITUTE(SUBSTITUTE(SUBSTITUTE(SUBSTITUTE($E749,CHAR(13)," "),CHAR(10)," "),CHAR(9)," "),CHAR(92),_xlfn.CONCAT(CHAR(92),CHAR(92))),"$",_xlfn.CONCAT(CHAR(92),"$")),CHAR(96),_xlfn.CONCAT(CHAR(92),CHAR(96))),CHAR(34),CHAR(39))))</f>
        <v/>
      </c>
      <c r="P749" s="5" t="str">
        <f>IF(OR(TRIM($B749)="",$F749=""),"",IF(OR(ISNUMBER(SEARCH(_xlfn.CONCAT(CHAR(96),CHAR(34)),$F749)),ISNUMBER(SEARCH(_xlfn.CONCAT(CHAR(34),CHAR(39)),$F749))),_xlfn.CONCAT("* REVIEW REQUIRED: compound-quote delimiter in Units on Sheet 1 row ",749,"; edit the input before running."),_xlfn.CONCAT("char ",TRIM($B749),"[doc_units] ",CHAR(96),CHAR(34),SUBSTITUTE(SUBSTITUTE(SUBSTITUTE(SUBSTITUTE(SUBSTITUTE(SUBSTITUTE($F749,CHAR(13)," "),CHAR(10)," "),CHAR(9)," "),CHAR(92),_xlfn.CONCAT(CHAR(92),CHAR(92))),"$",_xlfn.CONCAT(CHAR(92),"$")),CHAR(96),_xlfn.CONCAT(CHAR(92),CHAR(96))),CHAR(34),CHAR(39))))</f>
        <v/>
      </c>
      <c r="Q749" s="5" t="str">
        <f>IF(OR(TRIM($B749)="",$G749=""),"",IF(OR(ISNUMBER(SEARCH(_xlfn.CONCAT(CHAR(96),CHAR(34)),$G749)),ISNUMBER(SEARCH(_xlfn.CONCAT(CHAR(34),CHAR(39)),$G749))),_xlfn.CONCAT("* REVIEW REQUIRED: compound-quote delimiter in Universe on Sheet 1 row ",749,"; edit the input before running."),_xlfn.CONCAT("char ",TRIM($B749),"[doc_universe] ",CHAR(96),CHAR(34),SUBSTITUTE(SUBSTITUTE(SUBSTITUTE(SUBSTITUTE(SUBSTITUTE(SUBSTITUTE($G749,CHAR(13)," "),CHAR(10)," "),CHAR(9)," "),CHAR(92),_xlfn.CONCAT(CHAR(92),CHAR(92))),"$",_xlfn.CONCAT(CHAR(92),"$")),CHAR(96),_xlfn.CONCAT(CHAR(92),CHAR(96))),CHAR(34),CHAR(39))))</f>
        <v/>
      </c>
      <c r="R749" s="5" t="str">
        <f>IF(OR(TRIM($B749)="",$H749=""),"",IF(OR(ISNUMBER(SEARCH(_xlfn.CONCAT(CHAR(96),CHAR(34)),$H749)),ISNUMBER(SEARCH(_xlfn.CONCAT(CHAR(34),CHAR(39)),$H749))),_xlfn.CONCAT("* REVIEW REQUIRED: compound-quote delimiter in Source on Sheet 1 row ",749,"; edit the input before running."),_xlfn.CONCAT("char ",TRIM($B749),"[doc_source] ",CHAR(96),CHAR(34),SUBSTITUTE(SUBSTITUTE(SUBSTITUTE(SUBSTITUTE(SUBSTITUTE(SUBSTITUTE($H749,CHAR(13)," "),CHAR(10)," "),CHAR(9)," "),CHAR(92),_xlfn.CONCAT(CHAR(92),CHAR(92))),"$",_xlfn.CONCAT(CHAR(92),"$")),CHAR(96),_xlfn.CONCAT(CHAR(92),CHAR(96))),CHAR(34),CHAR(39))))</f>
        <v/>
      </c>
      <c r="S749" s="5" t="str">
        <f>IF(OR(TRIM($B749)="",$I749=""),"",IF(OR(ISNUMBER(SEARCH(_xlfn.CONCAT(CHAR(96),CHAR(34)),$I749)),ISNUMBER(SEARCH(_xlfn.CONCAT(CHAR(34),CHAR(39)),$I749))),_xlfn.CONCAT("* REVIEW REQUIRED: compound-quote delimiter in Derivation on Sheet 1 row ",749,"; edit the input before running."),_xlfn.CONCAT("char ",TRIM($B749),"[doc_derivation] ",CHAR(96),CHAR(34),SUBSTITUTE(SUBSTITUTE(SUBSTITUTE(SUBSTITUTE(SUBSTITUTE(SUBSTITUTE($I749,CHAR(13)," "),CHAR(10)," "),CHAR(9)," "),CHAR(92),_xlfn.CONCAT(CHAR(92),CHAR(92))),"$",_xlfn.CONCAT(CHAR(92),"$")),CHAR(96),_xlfn.CONCAT(CHAR(92),CHAR(96))),CHAR(34),CHAR(39))))</f>
        <v/>
      </c>
      <c r="T749" s="5" t="str">
        <f>IF(OR(TRIM($B749)="",$J749=""),"",IF(OR(ISNUMBER(SEARCH(_xlfn.CONCAT(CHAR(96),CHAR(34)),$J749)),ISNUMBER(SEARCH(_xlfn.CONCAT(CHAR(34),CHAR(39)),$J749))),_xlfn.CONCAT("* REVIEW REQUIRED: compound-quote delimiter in Notes on Sheet 1 row ",749,"; edit the input before running."),_xlfn.CONCAT("char ",TRIM($B749),"[doc_notes] ",CHAR(96),CHAR(34),SUBSTITUTE(SUBSTITUTE(SUBSTITUTE(SUBSTITUTE(SUBSTITUTE(SUBSTITUTE($J749,CHAR(13)," "),CHAR(10)," "),CHAR(9)," "),CHAR(92),_xlfn.CONCAT(CHAR(92),CHAR(92))),"$",_xlfn.CONCAT(CHAR(92),"$")),CHAR(96),_xlfn.CONCAT(CHAR(92),CHAR(96))),CHAR(34),CHAR(39))))</f>
        <v/>
      </c>
      <c r="U749" s="5">
        <f t="shared" si="23"/>
        <v>0</v>
      </c>
    </row>
    <row r="750" spans="3:21" ht="30" customHeight="1" x14ac:dyDescent="0.2">
      <c r="C750" s="4"/>
      <c r="K750" s="5">
        <f t="shared" si="22"/>
        <v>0</v>
      </c>
      <c r="L750" s="5" t="str">
        <f>IF(OR(TRIM($B750)="",$A750=""),"",IF(OR(ISNUMBER(SEARCH(_xlfn.CONCAT(CHAR(96),CHAR(34)),$A750)),ISNUMBER(SEARCH(_xlfn.CONCAT(CHAR(34),CHAR(39)),$A750))),_xlfn.CONCAT("* REVIEW REQUIRED: compound-quote delimiter in Codebook Section on Sheet 1 row ",750,"; edit the input before running."),_xlfn.CONCAT("char ",TRIM($B750),"[doc_section] ",CHAR(96),CHAR(34),SUBSTITUTE(SUBSTITUTE(SUBSTITUTE(SUBSTITUTE(SUBSTITUTE(SUBSTITUTE($A750,CHAR(13)," "),CHAR(10)," "),CHAR(9)," "),CHAR(92),_xlfn.CONCAT(CHAR(92),CHAR(92))),"$",_xlfn.CONCAT(CHAR(92),"$")),CHAR(96),_xlfn.CONCAT(CHAR(92),CHAR(96))),CHAR(34),CHAR(39))))</f>
        <v/>
      </c>
      <c r="M750" s="5" t="str">
        <f>IF(OR(TRIM($B750)="",$C750=""),"",IF(IFERROR(MATCH(TRIM($C750),{"Quantitative","Continuous","Discrete","Categorical","Nominal","Ordinal","Identifier"},0),0)=0,_xlfn.CONCAT("* REVIEW REQUIRED: invalid Variable Type on Sheet 1 row ",750,"."),_xlfn.CONCAT("char ",TRIM($B750),"[doc_vartype] ",CHAR(96),CHAR(34),SUBSTITUTE(SUBSTITUTE(SUBSTITUTE(SUBSTITUTE(SUBSTITUTE(SUBSTITUTE(LOWER(TRIM($C750)),CHAR(13)," "),CHAR(10)," "),CHAR(9)," "),CHAR(92),_xlfn.CONCAT(CHAR(92),CHAR(92))),"$",_xlfn.CONCAT(CHAR(92),"$")),CHAR(96),_xlfn.CONCAT(CHAR(92),CHAR(96))),CHAR(34),CHAR(39))))</f>
        <v/>
      </c>
      <c r="N750" s="5" t="str">
        <f>IF(OR(TRIM($B750)="",$D750=""),"",IF(OR(ISNUMBER(SEARCH(_xlfn.CONCAT(CHAR(96),CHAR(34)),$D750)),ISNUMBER(SEARCH(_xlfn.CONCAT(CHAR(34),CHAR(39)),$D750))),_xlfn.CONCAT("* REVIEW REQUIRED: compound-quote delimiter in Item Number on Sheet 1 row ",750,"; edit the input before running."),_xlfn.CONCAT("char ",TRIM($B750),"[doc_itemnum] ",CHAR(96),CHAR(34),SUBSTITUTE(SUBSTITUTE(SUBSTITUTE(SUBSTITUTE(SUBSTITUTE(SUBSTITUTE($D750,CHAR(13)," "),CHAR(10)," "),CHAR(9)," "),CHAR(92),_xlfn.CONCAT(CHAR(92),CHAR(92))),"$",_xlfn.CONCAT(CHAR(92),"$")),CHAR(96),_xlfn.CONCAT(CHAR(92),CHAR(96))),CHAR(34),CHAR(39))))</f>
        <v/>
      </c>
      <c r="O750" s="5" t="str">
        <f>IF(OR(TRIM($B750)="",$E750=""),"",IF(OR(ISNUMBER(SEARCH(_xlfn.CONCAT(CHAR(96),CHAR(34)),$E750)),ISNUMBER(SEARCH(_xlfn.CONCAT(CHAR(34),CHAR(39)),$E750))),_xlfn.CONCAT("* REVIEW REQUIRED: compound-quote delimiter in Question Wording on Sheet 1 row ",750,"; edit the input before running."),_xlfn.CONCAT("char ",TRIM($B750),"[doc_question] ",CHAR(96),CHAR(34),SUBSTITUTE(SUBSTITUTE(SUBSTITUTE(SUBSTITUTE(SUBSTITUTE(SUBSTITUTE($E750,CHAR(13)," "),CHAR(10)," "),CHAR(9)," "),CHAR(92),_xlfn.CONCAT(CHAR(92),CHAR(92))),"$",_xlfn.CONCAT(CHAR(92),"$")),CHAR(96),_xlfn.CONCAT(CHAR(92),CHAR(96))),CHAR(34),CHAR(39))))</f>
        <v/>
      </c>
      <c r="P750" s="5" t="str">
        <f>IF(OR(TRIM($B750)="",$F750=""),"",IF(OR(ISNUMBER(SEARCH(_xlfn.CONCAT(CHAR(96),CHAR(34)),$F750)),ISNUMBER(SEARCH(_xlfn.CONCAT(CHAR(34),CHAR(39)),$F750))),_xlfn.CONCAT("* REVIEW REQUIRED: compound-quote delimiter in Units on Sheet 1 row ",750,"; edit the input before running."),_xlfn.CONCAT("char ",TRIM($B750),"[doc_units] ",CHAR(96),CHAR(34),SUBSTITUTE(SUBSTITUTE(SUBSTITUTE(SUBSTITUTE(SUBSTITUTE(SUBSTITUTE($F750,CHAR(13)," "),CHAR(10)," "),CHAR(9)," "),CHAR(92),_xlfn.CONCAT(CHAR(92),CHAR(92))),"$",_xlfn.CONCAT(CHAR(92),"$")),CHAR(96),_xlfn.CONCAT(CHAR(92),CHAR(96))),CHAR(34),CHAR(39))))</f>
        <v/>
      </c>
      <c r="Q750" s="5" t="str">
        <f>IF(OR(TRIM($B750)="",$G750=""),"",IF(OR(ISNUMBER(SEARCH(_xlfn.CONCAT(CHAR(96),CHAR(34)),$G750)),ISNUMBER(SEARCH(_xlfn.CONCAT(CHAR(34),CHAR(39)),$G750))),_xlfn.CONCAT("* REVIEW REQUIRED: compound-quote delimiter in Universe on Sheet 1 row ",750,"; edit the input before running."),_xlfn.CONCAT("char ",TRIM($B750),"[doc_universe] ",CHAR(96),CHAR(34),SUBSTITUTE(SUBSTITUTE(SUBSTITUTE(SUBSTITUTE(SUBSTITUTE(SUBSTITUTE($G750,CHAR(13)," "),CHAR(10)," "),CHAR(9)," "),CHAR(92),_xlfn.CONCAT(CHAR(92),CHAR(92))),"$",_xlfn.CONCAT(CHAR(92),"$")),CHAR(96),_xlfn.CONCAT(CHAR(92),CHAR(96))),CHAR(34),CHAR(39))))</f>
        <v/>
      </c>
      <c r="R750" s="5" t="str">
        <f>IF(OR(TRIM($B750)="",$H750=""),"",IF(OR(ISNUMBER(SEARCH(_xlfn.CONCAT(CHAR(96),CHAR(34)),$H750)),ISNUMBER(SEARCH(_xlfn.CONCAT(CHAR(34),CHAR(39)),$H750))),_xlfn.CONCAT("* REVIEW REQUIRED: compound-quote delimiter in Source on Sheet 1 row ",750,"; edit the input before running."),_xlfn.CONCAT("char ",TRIM($B750),"[doc_source] ",CHAR(96),CHAR(34),SUBSTITUTE(SUBSTITUTE(SUBSTITUTE(SUBSTITUTE(SUBSTITUTE(SUBSTITUTE($H750,CHAR(13)," "),CHAR(10)," "),CHAR(9)," "),CHAR(92),_xlfn.CONCAT(CHAR(92),CHAR(92))),"$",_xlfn.CONCAT(CHAR(92),"$")),CHAR(96),_xlfn.CONCAT(CHAR(92),CHAR(96))),CHAR(34),CHAR(39))))</f>
        <v/>
      </c>
      <c r="S750" s="5" t="str">
        <f>IF(OR(TRIM($B750)="",$I750=""),"",IF(OR(ISNUMBER(SEARCH(_xlfn.CONCAT(CHAR(96),CHAR(34)),$I750)),ISNUMBER(SEARCH(_xlfn.CONCAT(CHAR(34),CHAR(39)),$I750))),_xlfn.CONCAT("* REVIEW REQUIRED: compound-quote delimiter in Derivation on Sheet 1 row ",750,"; edit the input before running."),_xlfn.CONCAT("char ",TRIM($B750),"[doc_derivation] ",CHAR(96),CHAR(34),SUBSTITUTE(SUBSTITUTE(SUBSTITUTE(SUBSTITUTE(SUBSTITUTE(SUBSTITUTE($I750,CHAR(13)," "),CHAR(10)," "),CHAR(9)," "),CHAR(92),_xlfn.CONCAT(CHAR(92),CHAR(92))),"$",_xlfn.CONCAT(CHAR(92),"$")),CHAR(96),_xlfn.CONCAT(CHAR(92),CHAR(96))),CHAR(34),CHAR(39))))</f>
        <v/>
      </c>
      <c r="T750" s="5" t="str">
        <f>IF(OR(TRIM($B750)="",$J750=""),"",IF(OR(ISNUMBER(SEARCH(_xlfn.CONCAT(CHAR(96),CHAR(34)),$J750)),ISNUMBER(SEARCH(_xlfn.CONCAT(CHAR(34),CHAR(39)),$J750))),_xlfn.CONCAT("* REVIEW REQUIRED: compound-quote delimiter in Notes on Sheet 1 row ",750,"; edit the input before running."),_xlfn.CONCAT("char ",TRIM($B750),"[doc_notes] ",CHAR(96),CHAR(34),SUBSTITUTE(SUBSTITUTE(SUBSTITUTE(SUBSTITUTE(SUBSTITUTE(SUBSTITUTE($J750,CHAR(13)," "),CHAR(10)," "),CHAR(9)," "),CHAR(92),_xlfn.CONCAT(CHAR(92),CHAR(92))),"$",_xlfn.CONCAT(CHAR(92),"$")),CHAR(96),_xlfn.CONCAT(CHAR(92),CHAR(96))),CHAR(34),CHAR(39))))</f>
        <v/>
      </c>
      <c r="U750" s="5">
        <f t="shared" si="23"/>
        <v>0</v>
      </c>
    </row>
    <row r="751" spans="3:21" ht="30" customHeight="1" x14ac:dyDescent="0.2">
      <c r="C751" s="4"/>
      <c r="K751" s="5">
        <f t="shared" si="22"/>
        <v>0</v>
      </c>
      <c r="L751" s="5" t="str">
        <f>IF(OR(TRIM($B751)="",$A751=""),"",IF(OR(ISNUMBER(SEARCH(_xlfn.CONCAT(CHAR(96),CHAR(34)),$A751)),ISNUMBER(SEARCH(_xlfn.CONCAT(CHAR(34),CHAR(39)),$A751))),_xlfn.CONCAT("* REVIEW REQUIRED: compound-quote delimiter in Codebook Section on Sheet 1 row ",751,"; edit the input before running."),_xlfn.CONCAT("char ",TRIM($B751),"[doc_section] ",CHAR(96),CHAR(34),SUBSTITUTE(SUBSTITUTE(SUBSTITUTE(SUBSTITUTE(SUBSTITUTE(SUBSTITUTE($A751,CHAR(13)," "),CHAR(10)," "),CHAR(9)," "),CHAR(92),_xlfn.CONCAT(CHAR(92),CHAR(92))),"$",_xlfn.CONCAT(CHAR(92),"$")),CHAR(96),_xlfn.CONCAT(CHAR(92),CHAR(96))),CHAR(34),CHAR(39))))</f>
        <v/>
      </c>
      <c r="M751" s="5" t="str">
        <f>IF(OR(TRIM($B751)="",$C751=""),"",IF(IFERROR(MATCH(TRIM($C751),{"Quantitative","Continuous","Discrete","Categorical","Nominal","Ordinal","Identifier"},0),0)=0,_xlfn.CONCAT("* REVIEW REQUIRED: invalid Variable Type on Sheet 1 row ",751,"."),_xlfn.CONCAT("char ",TRIM($B751),"[doc_vartype] ",CHAR(96),CHAR(34),SUBSTITUTE(SUBSTITUTE(SUBSTITUTE(SUBSTITUTE(SUBSTITUTE(SUBSTITUTE(LOWER(TRIM($C751)),CHAR(13)," "),CHAR(10)," "),CHAR(9)," "),CHAR(92),_xlfn.CONCAT(CHAR(92),CHAR(92))),"$",_xlfn.CONCAT(CHAR(92),"$")),CHAR(96),_xlfn.CONCAT(CHAR(92),CHAR(96))),CHAR(34),CHAR(39))))</f>
        <v/>
      </c>
      <c r="N751" s="5" t="str">
        <f>IF(OR(TRIM($B751)="",$D751=""),"",IF(OR(ISNUMBER(SEARCH(_xlfn.CONCAT(CHAR(96),CHAR(34)),$D751)),ISNUMBER(SEARCH(_xlfn.CONCAT(CHAR(34),CHAR(39)),$D751))),_xlfn.CONCAT("* REVIEW REQUIRED: compound-quote delimiter in Item Number on Sheet 1 row ",751,"; edit the input before running."),_xlfn.CONCAT("char ",TRIM($B751),"[doc_itemnum] ",CHAR(96),CHAR(34),SUBSTITUTE(SUBSTITUTE(SUBSTITUTE(SUBSTITUTE(SUBSTITUTE(SUBSTITUTE($D751,CHAR(13)," "),CHAR(10)," "),CHAR(9)," "),CHAR(92),_xlfn.CONCAT(CHAR(92),CHAR(92))),"$",_xlfn.CONCAT(CHAR(92),"$")),CHAR(96),_xlfn.CONCAT(CHAR(92),CHAR(96))),CHAR(34),CHAR(39))))</f>
        <v/>
      </c>
      <c r="O751" s="5" t="str">
        <f>IF(OR(TRIM($B751)="",$E751=""),"",IF(OR(ISNUMBER(SEARCH(_xlfn.CONCAT(CHAR(96),CHAR(34)),$E751)),ISNUMBER(SEARCH(_xlfn.CONCAT(CHAR(34),CHAR(39)),$E751))),_xlfn.CONCAT("* REVIEW REQUIRED: compound-quote delimiter in Question Wording on Sheet 1 row ",751,"; edit the input before running."),_xlfn.CONCAT("char ",TRIM($B751),"[doc_question] ",CHAR(96),CHAR(34),SUBSTITUTE(SUBSTITUTE(SUBSTITUTE(SUBSTITUTE(SUBSTITUTE(SUBSTITUTE($E751,CHAR(13)," "),CHAR(10)," "),CHAR(9)," "),CHAR(92),_xlfn.CONCAT(CHAR(92),CHAR(92))),"$",_xlfn.CONCAT(CHAR(92),"$")),CHAR(96),_xlfn.CONCAT(CHAR(92),CHAR(96))),CHAR(34),CHAR(39))))</f>
        <v/>
      </c>
      <c r="P751" s="5" t="str">
        <f>IF(OR(TRIM($B751)="",$F751=""),"",IF(OR(ISNUMBER(SEARCH(_xlfn.CONCAT(CHAR(96),CHAR(34)),$F751)),ISNUMBER(SEARCH(_xlfn.CONCAT(CHAR(34),CHAR(39)),$F751))),_xlfn.CONCAT("* REVIEW REQUIRED: compound-quote delimiter in Units on Sheet 1 row ",751,"; edit the input before running."),_xlfn.CONCAT("char ",TRIM($B751),"[doc_units] ",CHAR(96),CHAR(34),SUBSTITUTE(SUBSTITUTE(SUBSTITUTE(SUBSTITUTE(SUBSTITUTE(SUBSTITUTE($F751,CHAR(13)," "),CHAR(10)," "),CHAR(9)," "),CHAR(92),_xlfn.CONCAT(CHAR(92),CHAR(92))),"$",_xlfn.CONCAT(CHAR(92),"$")),CHAR(96),_xlfn.CONCAT(CHAR(92),CHAR(96))),CHAR(34),CHAR(39))))</f>
        <v/>
      </c>
      <c r="Q751" s="5" t="str">
        <f>IF(OR(TRIM($B751)="",$G751=""),"",IF(OR(ISNUMBER(SEARCH(_xlfn.CONCAT(CHAR(96),CHAR(34)),$G751)),ISNUMBER(SEARCH(_xlfn.CONCAT(CHAR(34),CHAR(39)),$G751))),_xlfn.CONCAT("* REVIEW REQUIRED: compound-quote delimiter in Universe on Sheet 1 row ",751,"; edit the input before running."),_xlfn.CONCAT("char ",TRIM($B751),"[doc_universe] ",CHAR(96),CHAR(34),SUBSTITUTE(SUBSTITUTE(SUBSTITUTE(SUBSTITUTE(SUBSTITUTE(SUBSTITUTE($G751,CHAR(13)," "),CHAR(10)," "),CHAR(9)," "),CHAR(92),_xlfn.CONCAT(CHAR(92),CHAR(92))),"$",_xlfn.CONCAT(CHAR(92),"$")),CHAR(96),_xlfn.CONCAT(CHAR(92),CHAR(96))),CHAR(34),CHAR(39))))</f>
        <v/>
      </c>
      <c r="R751" s="5" t="str">
        <f>IF(OR(TRIM($B751)="",$H751=""),"",IF(OR(ISNUMBER(SEARCH(_xlfn.CONCAT(CHAR(96),CHAR(34)),$H751)),ISNUMBER(SEARCH(_xlfn.CONCAT(CHAR(34),CHAR(39)),$H751))),_xlfn.CONCAT("* REVIEW REQUIRED: compound-quote delimiter in Source on Sheet 1 row ",751,"; edit the input before running."),_xlfn.CONCAT("char ",TRIM($B751),"[doc_source] ",CHAR(96),CHAR(34),SUBSTITUTE(SUBSTITUTE(SUBSTITUTE(SUBSTITUTE(SUBSTITUTE(SUBSTITUTE($H751,CHAR(13)," "),CHAR(10)," "),CHAR(9)," "),CHAR(92),_xlfn.CONCAT(CHAR(92),CHAR(92))),"$",_xlfn.CONCAT(CHAR(92),"$")),CHAR(96),_xlfn.CONCAT(CHAR(92),CHAR(96))),CHAR(34),CHAR(39))))</f>
        <v/>
      </c>
      <c r="S751" s="5" t="str">
        <f>IF(OR(TRIM($B751)="",$I751=""),"",IF(OR(ISNUMBER(SEARCH(_xlfn.CONCAT(CHAR(96),CHAR(34)),$I751)),ISNUMBER(SEARCH(_xlfn.CONCAT(CHAR(34),CHAR(39)),$I751))),_xlfn.CONCAT("* REVIEW REQUIRED: compound-quote delimiter in Derivation on Sheet 1 row ",751,"; edit the input before running."),_xlfn.CONCAT("char ",TRIM($B751),"[doc_derivation] ",CHAR(96),CHAR(34),SUBSTITUTE(SUBSTITUTE(SUBSTITUTE(SUBSTITUTE(SUBSTITUTE(SUBSTITUTE($I751,CHAR(13)," "),CHAR(10)," "),CHAR(9)," "),CHAR(92),_xlfn.CONCAT(CHAR(92),CHAR(92))),"$",_xlfn.CONCAT(CHAR(92),"$")),CHAR(96),_xlfn.CONCAT(CHAR(92),CHAR(96))),CHAR(34),CHAR(39))))</f>
        <v/>
      </c>
      <c r="T751" s="5" t="str">
        <f>IF(OR(TRIM($B751)="",$J751=""),"",IF(OR(ISNUMBER(SEARCH(_xlfn.CONCAT(CHAR(96),CHAR(34)),$J751)),ISNUMBER(SEARCH(_xlfn.CONCAT(CHAR(34),CHAR(39)),$J751))),_xlfn.CONCAT("* REVIEW REQUIRED: compound-quote delimiter in Notes on Sheet 1 row ",751,"; edit the input before running."),_xlfn.CONCAT("char ",TRIM($B751),"[doc_notes] ",CHAR(96),CHAR(34),SUBSTITUTE(SUBSTITUTE(SUBSTITUTE(SUBSTITUTE(SUBSTITUTE(SUBSTITUTE($J751,CHAR(13)," "),CHAR(10)," "),CHAR(9)," "),CHAR(92),_xlfn.CONCAT(CHAR(92),CHAR(92))),"$",_xlfn.CONCAT(CHAR(92),"$")),CHAR(96),_xlfn.CONCAT(CHAR(92),CHAR(96))),CHAR(34),CHAR(39))))</f>
        <v/>
      </c>
      <c r="U751" s="5">
        <f t="shared" si="23"/>
        <v>0</v>
      </c>
    </row>
    <row r="752" spans="3:21" ht="30" customHeight="1" x14ac:dyDescent="0.2">
      <c r="C752" s="4"/>
      <c r="K752" s="5">
        <f t="shared" si="22"/>
        <v>0</v>
      </c>
      <c r="L752" s="5" t="str">
        <f>IF(OR(TRIM($B752)="",$A752=""),"",IF(OR(ISNUMBER(SEARCH(_xlfn.CONCAT(CHAR(96),CHAR(34)),$A752)),ISNUMBER(SEARCH(_xlfn.CONCAT(CHAR(34),CHAR(39)),$A752))),_xlfn.CONCAT("* REVIEW REQUIRED: compound-quote delimiter in Codebook Section on Sheet 1 row ",752,"; edit the input before running."),_xlfn.CONCAT("char ",TRIM($B752),"[doc_section] ",CHAR(96),CHAR(34),SUBSTITUTE(SUBSTITUTE(SUBSTITUTE(SUBSTITUTE(SUBSTITUTE(SUBSTITUTE($A752,CHAR(13)," "),CHAR(10)," "),CHAR(9)," "),CHAR(92),_xlfn.CONCAT(CHAR(92),CHAR(92))),"$",_xlfn.CONCAT(CHAR(92),"$")),CHAR(96),_xlfn.CONCAT(CHAR(92),CHAR(96))),CHAR(34),CHAR(39))))</f>
        <v/>
      </c>
      <c r="M752" s="5" t="str">
        <f>IF(OR(TRIM($B752)="",$C752=""),"",IF(IFERROR(MATCH(TRIM($C752),{"Quantitative","Continuous","Discrete","Categorical","Nominal","Ordinal","Identifier"},0),0)=0,_xlfn.CONCAT("* REVIEW REQUIRED: invalid Variable Type on Sheet 1 row ",752,"."),_xlfn.CONCAT("char ",TRIM($B752),"[doc_vartype] ",CHAR(96),CHAR(34),SUBSTITUTE(SUBSTITUTE(SUBSTITUTE(SUBSTITUTE(SUBSTITUTE(SUBSTITUTE(LOWER(TRIM($C752)),CHAR(13)," "),CHAR(10)," "),CHAR(9)," "),CHAR(92),_xlfn.CONCAT(CHAR(92),CHAR(92))),"$",_xlfn.CONCAT(CHAR(92),"$")),CHAR(96),_xlfn.CONCAT(CHAR(92),CHAR(96))),CHAR(34),CHAR(39))))</f>
        <v/>
      </c>
      <c r="N752" s="5" t="str">
        <f>IF(OR(TRIM($B752)="",$D752=""),"",IF(OR(ISNUMBER(SEARCH(_xlfn.CONCAT(CHAR(96),CHAR(34)),$D752)),ISNUMBER(SEARCH(_xlfn.CONCAT(CHAR(34),CHAR(39)),$D752))),_xlfn.CONCAT("* REVIEW REQUIRED: compound-quote delimiter in Item Number on Sheet 1 row ",752,"; edit the input before running."),_xlfn.CONCAT("char ",TRIM($B752),"[doc_itemnum] ",CHAR(96),CHAR(34),SUBSTITUTE(SUBSTITUTE(SUBSTITUTE(SUBSTITUTE(SUBSTITUTE(SUBSTITUTE($D752,CHAR(13)," "),CHAR(10)," "),CHAR(9)," "),CHAR(92),_xlfn.CONCAT(CHAR(92),CHAR(92))),"$",_xlfn.CONCAT(CHAR(92),"$")),CHAR(96),_xlfn.CONCAT(CHAR(92),CHAR(96))),CHAR(34),CHAR(39))))</f>
        <v/>
      </c>
      <c r="O752" s="5" t="str">
        <f>IF(OR(TRIM($B752)="",$E752=""),"",IF(OR(ISNUMBER(SEARCH(_xlfn.CONCAT(CHAR(96),CHAR(34)),$E752)),ISNUMBER(SEARCH(_xlfn.CONCAT(CHAR(34),CHAR(39)),$E752))),_xlfn.CONCAT("* REVIEW REQUIRED: compound-quote delimiter in Question Wording on Sheet 1 row ",752,"; edit the input before running."),_xlfn.CONCAT("char ",TRIM($B752),"[doc_question] ",CHAR(96),CHAR(34),SUBSTITUTE(SUBSTITUTE(SUBSTITUTE(SUBSTITUTE(SUBSTITUTE(SUBSTITUTE($E752,CHAR(13)," "),CHAR(10)," "),CHAR(9)," "),CHAR(92),_xlfn.CONCAT(CHAR(92),CHAR(92))),"$",_xlfn.CONCAT(CHAR(92),"$")),CHAR(96),_xlfn.CONCAT(CHAR(92),CHAR(96))),CHAR(34),CHAR(39))))</f>
        <v/>
      </c>
      <c r="P752" s="5" t="str">
        <f>IF(OR(TRIM($B752)="",$F752=""),"",IF(OR(ISNUMBER(SEARCH(_xlfn.CONCAT(CHAR(96),CHAR(34)),$F752)),ISNUMBER(SEARCH(_xlfn.CONCAT(CHAR(34),CHAR(39)),$F752))),_xlfn.CONCAT("* REVIEW REQUIRED: compound-quote delimiter in Units on Sheet 1 row ",752,"; edit the input before running."),_xlfn.CONCAT("char ",TRIM($B752),"[doc_units] ",CHAR(96),CHAR(34),SUBSTITUTE(SUBSTITUTE(SUBSTITUTE(SUBSTITUTE(SUBSTITUTE(SUBSTITUTE($F752,CHAR(13)," "),CHAR(10)," "),CHAR(9)," "),CHAR(92),_xlfn.CONCAT(CHAR(92),CHAR(92))),"$",_xlfn.CONCAT(CHAR(92),"$")),CHAR(96),_xlfn.CONCAT(CHAR(92),CHAR(96))),CHAR(34),CHAR(39))))</f>
        <v/>
      </c>
      <c r="Q752" s="5" t="str">
        <f>IF(OR(TRIM($B752)="",$G752=""),"",IF(OR(ISNUMBER(SEARCH(_xlfn.CONCAT(CHAR(96),CHAR(34)),$G752)),ISNUMBER(SEARCH(_xlfn.CONCAT(CHAR(34),CHAR(39)),$G752))),_xlfn.CONCAT("* REVIEW REQUIRED: compound-quote delimiter in Universe on Sheet 1 row ",752,"; edit the input before running."),_xlfn.CONCAT("char ",TRIM($B752),"[doc_universe] ",CHAR(96),CHAR(34),SUBSTITUTE(SUBSTITUTE(SUBSTITUTE(SUBSTITUTE(SUBSTITUTE(SUBSTITUTE($G752,CHAR(13)," "),CHAR(10)," "),CHAR(9)," "),CHAR(92),_xlfn.CONCAT(CHAR(92),CHAR(92))),"$",_xlfn.CONCAT(CHAR(92),"$")),CHAR(96),_xlfn.CONCAT(CHAR(92),CHAR(96))),CHAR(34),CHAR(39))))</f>
        <v/>
      </c>
      <c r="R752" s="5" t="str">
        <f>IF(OR(TRIM($B752)="",$H752=""),"",IF(OR(ISNUMBER(SEARCH(_xlfn.CONCAT(CHAR(96),CHAR(34)),$H752)),ISNUMBER(SEARCH(_xlfn.CONCAT(CHAR(34),CHAR(39)),$H752))),_xlfn.CONCAT("* REVIEW REQUIRED: compound-quote delimiter in Source on Sheet 1 row ",752,"; edit the input before running."),_xlfn.CONCAT("char ",TRIM($B752),"[doc_source] ",CHAR(96),CHAR(34),SUBSTITUTE(SUBSTITUTE(SUBSTITUTE(SUBSTITUTE(SUBSTITUTE(SUBSTITUTE($H752,CHAR(13)," "),CHAR(10)," "),CHAR(9)," "),CHAR(92),_xlfn.CONCAT(CHAR(92),CHAR(92))),"$",_xlfn.CONCAT(CHAR(92),"$")),CHAR(96),_xlfn.CONCAT(CHAR(92),CHAR(96))),CHAR(34),CHAR(39))))</f>
        <v/>
      </c>
      <c r="S752" s="5" t="str">
        <f>IF(OR(TRIM($B752)="",$I752=""),"",IF(OR(ISNUMBER(SEARCH(_xlfn.CONCAT(CHAR(96),CHAR(34)),$I752)),ISNUMBER(SEARCH(_xlfn.CONCAT(CHAR(34),CHAR(39)),$I752))),_xlfn.CONCAT("* REVIEW REQUIRED: compound-quote delimiter in Derivation on Sheet 1 row ",752,"; edit the input before running."),_xlfn.CONCAT("char ",TRIM($B752),"[doc_derivation] ",CHAR(96),CHAR(34),SUBSTITUTE(SUBSTITUTE(SUBSTITUTE(SUBSTITUTE(SUBSTITUTE(SUBSTITUTE($I752,CHAR(13)," "),CHAR(10)," "),CHAR(9)," "),CHAR(92),_xlfn.CONCAT(CHAR(92),CHAR(92))),"$",_xlfn.CONCAT(CHAR(92),"$")),CHAR(96),_xlfn.CONCAT(CHAR(92),CHAR(96))),CHAR(34),CHAR(39))))</f>
        <v/>
      </c>
      <c r="T752" s="5" t="str">
        <f>IF(OR(TRIM($B752)="",$J752=""),"",IF(OR(ISNUMBER(SEARCH(_xlfn.CONCAT(CHAR(96),CHAR(34)),$J752)),ISNUMBER(SEARCH(_xlfn.CONCAT(CHAR(34),CHAR(39)),$J752))),_xlfn.CONCAT("* REVIEW REQUIRED: compound-quote delimiter in Notes on Sheet 1 row ",752,"; edit the input before running."),_xlfn.CONCAT("char ",TRIM($B752),"[doc_notes] ",CHAR(96),CHAR(34),SUBSTITUTE(SUBSTITUTE(SUBSTITUTE(SUBSTITUTE(SUBSTITUTE(SUBSTITUTE($J752,CHAR(13)," "),CHAR(10)," "),CHAR(9)," "),CHAR(92),_xlfn.CONCAT(CHAR(92),CHAR(92))),"$",_xlfn.CONCAT(CHAR(92),"$")),CHAR(96),_xlfn.CONCAT(CHAR(92),CHAR(96))),CHAR(34),CHAR(39))))</f>
        <v/>
      </c>
      <c r="U752" s="5">
        <f t="shared" si="23"/>
        <v>0</v>
      </c>
    </row>
    <row r="753" spans="3:21" ht="30" customHeight="1" x14ac:dyDescent="0.2">
      <c r="C753" s="4"/>
      <c r="K753" s="5">
        <f t="shared" si="22"/>
        <v>0</v>
      </c>
      <c r="L753" s="5" t="str">
        <f>IF(OR(TRIM($B753)="",$A753=""),"",IF(OR(ISNUMBER(SEARCH(_xlfn.CONCAT(CHAR(96),CHAR(34)),$A753)),ISNUMBER(SEARCH(_xlfn.CONCAT(CHAR(34),CHAR(39)),$A753))),_xlfn.CONCAT("* REVIEW REQUIRED: compound-quote delimiter in Codebook Section on Sheet 1 row ",753,"; edit the input before running."),_xlfn.CONCAT("char ",TRIM($B753),"[doc_section] ",CHAR(96),CHAR(34),SUBSTITUTE(SUBSTITUTE(SUBSTITUTE(SUBSTITUTE(SUBSTITUTE(SUBSTITUTE($A753,CHAR(13)," "),CHAR(10)," "),CHAR(9)," "),CHAR(92),_xlfn.CONCAT(CHAR(92),CHAR(92))),"$",_xlfn.CONCAT(CHAR(92),"$")),CHAR(96),_xlfn.CONCAT(CHAR(92),CHAR(96))),CHAR(34),CHAR(39))))</f>
        <v/>
      </c>
      <c r="M753" s="5" t="str">
        <f>IF(OR(TRIM($B753)="",$C753=""),"",IF(IFERROR(MATCH(TRIM($C753),{"Quantitative","Continuous","Discrete","Categorical","Nominal","Ordinal","Identifier"},0),0)=0,_xlfn.CONCAT("* REVIEW REQUIRED: invalid Variable Type on Sheet 1 row ",753,"."),_xlfn.CONCAT("char ",TRIM($B753),"[doc_vartype] ",CHAR(96),CHAR(34),SUBSTITUTE(SUBSTITUTE(SUBSTITUTE(SUBSTITUTE(SUBSTITUTE(SUBSTITUTE(LOWER(TRIM($C753)),CHAR(13)," "),CHAR(10)," "),CHAR(9)," "),CHAR(92),_xlfn.CONCAT(CHAR(92),CHAR(92))),"$",_xlfn.CONCAT(CHAR(92),"$")),CHAR(96),_xlfn.CONCAT(CHAR(92),CHAR(96))),CHAR(34),CHAR(39))))</f>
        <v/>
      </c>
      <c r="N753" s="5" t="str">
        <f>IF(OR(TRIM($B753)="",$D753=""),"",IF(OR(ISNUMBER(SEARCH(_xlfn.CONCAT(CHAR(96),CHAR(34)),$D753)),ISNUMBER(SEARCH(_xlfn.CONCAT(CHAR(34),CHAR(39)),$D753))),_xlfn.CONCAT("* REVIEW REQUIRED: compound-quote delimiter in Item Number on Sheet 1 row ",753,"; edit the input before running."),_xlfn.CONCAT("char ",TRIM($B753),"[doc_itemnum] ",CHAR(96),CHAR(34),SUBSTITUTE(SUBSTITUTE(SUBSTITUTE(SUBSTITUTE(SUBSTITUTE(SUBSTITUTE($D753,CHAR(13)," "),CHAR(10)," "),CHAR(9)," "),CHAR(92),_xlfn.CONCAT(CHAR(92),CHAR(92))),"$",_xlfn.CONCAT(CHAR(92),"$")),CHAR(96),_xlfn.CONCAT(CHAR(92),CHAR(96))),CHAR(34),CHAR(39))))</f>
        <v/>
      </c>
      <c r="O753" s="5" t="str">
        <f>IF(OR(TRIM($B753)="",$E753=""),"",IF(OR(ISNUMBER(SEARCH(_xlfn.CONCAT(CHAR(96),CHAR(34)),$E753)),ISNUMBER(SEARCH(_xlfn.CONCAT(CHAR(34),CHAR(39)),$E753))),_xlfn.CONCAT("* REVIEW REQUIRED: compound-quote delimiter in Question Wording on Sheet 1 row ",753,"; edit the input before running."),_xlfn.CONCAT("char ",TRIM($B753),"[doc_question] ",CHAR(96),CHAR(34),SUBSTITUTE(SUBSTITUTE(SUBSTITUTE(SUBSTITUTE(SUBSTITUTE(SUBSTITUTE($E753,CHAR(13)," "),CHAR(10)," "),CHAR(9)," "),CHAR(92),_xlfn.CONCAT(CHAR(92),CHAR(92))),"$",_xlfn.CONCAT(CHAR(92),"$")),CHAR(96),_xlfn.CONCAT(CHAR(92),CHAR(96))),CHAR(34),CHAR(39))))</f>
        <v/>
      </c>
      <c r="P753" s="5" t="str">
        <f>IF(OR(TRIM($B753)="",$F753=""),"",IF(OR(ISNUMBER(SEARCH(_xlfn.CONCAT(CHAR(96),CHAR(34)),$F753)),ISNUMBER(SEARCH(_xlfn.CONCAT(CHAR(34),CHAR(39)),$F753))),_xlfn.CONCAT("* REVIEW REQUIRED: compound-quote delimiter in Units on Sheet 1 row ",753,"; edit the input before running."),_xlfn.CONCAT("char ",TRIM($B753),"[doc_units] ",CHAR(96),CHAR(34),SUBSTITUTE(SUBSTITUTE(SUBSTITUTE(SUBSTITUTE(SUBSTITUTE(SUBSTITUTE($F753,CHAR(13)," "),CHAR(10)," "),CHAR(9)," "),CHAR(92),_xlfn.CONCAT(CHAR(92),CHAR(92))),"$",_xlfn.CONCAT(CHAR(92),"$")),CHAR(96),_xlfn.CONCAT(CHAR(92),CHAR(96))),CHAR(34),CHAR(39))))</f>
        <v/>
      </c>
      <c r="Q753" s="5" t="str">
        <f>IF(OR(TRIM($B753)="",$G753=""),"",IF(OR(ISNUMBER(SEARCH(_xlfn.CONCAT(CHAR(96),CHAR(34)),$G753)),ISNUMBER(SEARCH(_xlfn.CONCAT(CHAR(34),CHAR(39)),$G753))),_xlfn.CONCAT("* REVIEW REQUIRED: compound-quote delimiter in Universe on Sheet 1 row ",753,"; edit the input before running."),_xlfn.CONCAT("char ",TRIM($B753),"[doc_universe] ",CHAR(96),CHAR(34),SUBSTITUTE(SUBSTITUTE(SUBSTITUTE(SUBSTITUTE(SUBSTITUTE(SUBSTITUTE($G753,CHAR(13)," "),CHAR(10)," "),CHAR(9)," "),CHAR(92),_xlfn.CONCAT(CHAR(92),CHAR(92))),"$",_xlfn.CONCAT(CHAR(92),"$")),CHAR(96),_xlfn.CONCAT(CHAR(92),CHAR(96))),CHAR(34),CHAR(39))))</f>
        <v/>
      </c>
      <c r="R753" s="5" t="str">
        <f>IF(OR(TRIM($B753)="",$H753=""),"",IF(OR(ISNUMBER(SEARCH(_xlfn.CONCAT(CHAR(96),CHAR(34)),$H753)),ISNUMBER(SEARCH(_xlfn.CONCAT(CHAR(34),CHAR(39)),$H753))),_xlfn.CONCAT("* REVIEW REQUIRED: compound-quote delimiter in Source on Sheet 1 row ",753,"; edit the input before running."),_xlfn.CONCAT("char ",TRIM($B753),"[doc_source] ",CHAR(96),CHAR(34),SUBSTITUTE(SUBSTITUTE(SUBSTITUTE(SUBSTITUTE(SUBSTITUTE(SUBSTITUTE($H753,CHAR(13)," "),CHAR(10)," "),CHAR(9)," "),CHAR(92),_xlfn.CONCAT(CHAR(92),CHAR(92))),"$",_xlfn.CONCAT(CHAR(92),"$")),CHAR(96),_xlfn.CONCAT(CHAR(92),CHAR(96))),CHAR(34),CHAR(39))))</f>
        <v/>
      </c>
      <c r="S753" s="5" t="str">
        <f>IF(OR(TRIM($B753)="",$I753=""),"",IF(OR(ISNUMBER(SEARCH(_xlfn.CONCAT(CHAR(96),CHAR(34)),$I753)),ISNUMBER(SEARCH(_xlfn.CONCAT(CHAR(34),CHAR(39)),$I753))),_xlfn.CONCAT("* REVIEW REQUIRED: compound-quote delimiter in Derivation on Sheet 1 row ",753,"; edit the input before running."),_xlfn.CONCAT("char ",TRIM($B753),"[doc_derivation] ",CHAR(96),CHAR(34),SUBSTITUTE(SUBSTITUTE(SUBSTITUTE(SUBSTITUTE(SUBSTITUTE(SUBSTITUTE($I753,CHAR(13)," "),CHAR(10)," "),CHAR(9)," "),CHAR(92),_xlfn.CONCAT(CHAR(92),CHAR(92))),"$",_xlfn.CONCAT(CHAR(92),"$")),CHAR(96),_xlfn.CONCAT(CHAR(92),CHAR(96))),CHAR(34),CHAR(39))))</f>
        <v/>
      </c>
      <c r="T753" s="5" t="str">
        <f>IF(OR(TRIM($B753)="",$J753=""),"",IF(OR(ISNUMBER(SEARCH(_xlfn.CONCAT(CHAR(96),CHAR(34)),$J753)),ISNUMBER(SEARCH(_xlfn.CONCAT(CHAR(34),CHAR(39)),$J753))),_xlfn.CONCAT("* REVIEW REQUIRED: compound-quote delimiter in Notes on Sheet 1 row ",753,"; edit the input before running."),_xlfn.CONCAT("char ",TRIM($B753),"[doc_notes] ",CHAR(96),CHAR(34),SUBSTITUTE(SUBSTITUTE(SUBSTITUTE(SUBSTITUTE(SUBSTITUTE(SUBSTITUTE($J753,CHAR(13)," "),CHAR(10)," "),CHAR(9)," "),CHAR(92),_xlfn.CONCAT(CHAR(92),CHAR(92))),"$",_xlfn.CONCAT(CHAR(92),"$")),CHAR(96),_xlfn.CONCAT(CHAR(92),CHAR(96))),CHAR(34),CHAR(39))))</f>
        <v/>
      </c>
      <c r="U753" s="5">
        <f t="shared" si="23"/>
        <v>0</v>
      </c>
    </row>
    <row r="754" spans="3:21" ht="30" customHeight="1" x14ac:dyDescent="0.2">
      <c r="C754" s="4"/>
      <c r="K754" s="5">
        <f t="shared" si="22"/>
        <v>0</v>
      </c>
      <c r="L754" s="5" t="str">
        <f>IF(OR(TRIM($B754)="",$A754=""),"",IF(OR(ISNUMBER(SEARCH(_xlfn.CONCAT(CHAR(96),CHAR(34)),$A754)),ISNUMBER(SEARCH(_xlfn.CONCAT(CHAR(34),CHAR(39)),$A754))),_xlfn.CONCAT("* REVIEW REQUIRED: compound-quote delimiter in Codebook Section on Sheet 1 row ",754,"; edit the input before running."),_xlfn.CONCAT("char ",TRIM($B754),"[doc_section] ",CHAR(96),CHAR(34),SUBSTITUTE(SUBSTITUTE(SUBSTITUTE(SUBSTITUTE(SUBSTITUTE(SUBSTITUTE($A754,CHAR(13)," "),CHAR(10)," "),CHAR(9)," "),CHAR(92),_xlfn.CONCAT(CHAR(92),CHAR(92))),"$",_xlfn.CONCAT(CHAR(92),"$")),CHAR(96),_xlfn.CONCAT(CHAR(92),CHAR(96))),CHAR(34),CHAR(39))))</f>
        <v/>
      </c>
      <c r="M754" s="5" t="str">
        <f>IF(OR(TRIM($B754)="",$C754=""),"",IF(IFERROR(MATCH(TRIM($C754),{"Quantitative","Continuous","Discrete","Categorical","Nominal","Ordinal","Identifier"},0),0)=0,_xlfn.CONCAT("* REVIEW REQUIRED: invalid Variable Type on Sheet 1 row ",754,"."),_xlfn.CONCAT("char ",TRIM($B754),"[doc_vartype] ",CHAR(96),CHAR(34),SUBSTITUTE(SUBSTITUTE(SUBSTITUTE(SUBSTITUTE(SUBSTITUTE(SUBSTITUTE(LOWER(TRIM($C754)),CHAR(13)," "),CHAR(10)," "),CHAR(9)," "),CHAR(92),_xlfn.CONCAT(CHAR(92),CHAR(92))),"$",_xlfn.CONCAT(CHAR(92),"$")),CHAR(96),_xlfn.CONCAT(CHAR(92),CHAR(96))),CHAR(34),CHAR(39))))</f>
        <v/>
      </c>
      <c r="N754" s="5" t="str">
        <f>IF(OR(TRIM($B754)="",$D754=""),"",IF(OR(ISNUMBER(SEARCH(_xlfn.CONCAT(CHAR(96),CHAR(34)),$D754)),ISNUMBER(SEARCH(_xlfn.CONCAT(CHAR(34),CHAR(39)),$D754))),_xlfn.CONCAT("* REVIEW REQUIRED: compound-quote delimiter in Item Number on Sheet 1 row ",754,"; edit the input before running."),_xlfn.CONCAT("char ",TRIM($B754),"[doc_itemnum] ",CHAR(96),CHAR(34),SUBSTITUTE(SUBSTITUTE(SUBSTITUTE(SUBSTITUTE(SUBSTITUTE(SUBSTITUTE($D754,CHAR(13)," "),CHAR(10)," "),CHAR(9)," "),CHAR(92),_xlfn.CONCAT(CHAR(92),CHAR(92))),"$",_xlfn.CONCAT(CHAR(92),"$")),CHAR(96),_xlfn.CONCAT(CHAR(92),CHAR(96))),CHAR(34),CHAR(39))))</f>
        <v/>
      </c>
      <c r="O754" s="5" t="str">
        <f>IF(OR(TRIM($B754)="",$E754=""),"",IF(OR(ISNUMBER(SEARCH(_xlfn.CONCAT(CHAR(96),CHAR(34)),$E754)),ISNUMBER(SEARCH(_xlfn.CONCAT(CHAR(34),CHAR(39)),$E754))),_xlfn.CONCAT("* REVIEW REQUIRED: compound-quote delimiter in Question Wording on Sheet 1 row ",754,"; edit the input before running."),_xlfn.CONCAT("char ",TRIM($B754),"[doc_question] ",CHAR(96),CHAR(34),SUBSTITUTE(SUBSTITUTE(SUBSTITUTE(SUBSTITUTE(SUBSTITUTE(SUBSTITUTE($E754,CHAR(13)," "),CHAR(10)," "),CHAR(9)," "),CHAR(92),_xlfn.CONCAT(CHAR(92),CHAR(92))),"$",_xlfn.CONCAT(CHAR(92),"$")),CHAR(96),_xlfn.CONCAT(CHAR(92),CHAR(96))),CHAR(34),CHAR(39))))</f>
        <v/>
      </c>
      <c r="P754" s="5" t="str">
        <f>IF(OR(TRIM($B754)="",$F754=""),"",IF(OR(ISNUMBER(SEARCH(_xlfn.CONCAT(CHAR(96),CHAR(34)),$F754)),ISNUMBER(SEARCH(_xlfn.CONCAT(CHAR(34),CHAR(39)),$F754))),_xlfn.CONCAT("* REVIEW REQUIRED: compound-quote delimiter in Units on Sheet 1 row ",754,"; edit the input before running."),_xlfn.CONCAT("char ",TRIM($B754),"[doc_units] ",CHAR(96),CHAR(34),SUBSTITUTE(SUBSTITUTE(SUBSTITUTE(SUBSTITUTE(SUBSTITUTE(SUBSTITUTE($F754,CHAR(13)," "),CHAR(10)," "),CHAR(9)," "),CHAR(92),_xlfn.CONCAT(CHAR(92),CHAR(92))),"$",_xlfn.CONCAT(CHAR(92),"$")),CHAR(96),_xlfn.CONCAT(CHAR(92),CHAR(96))),CHAR(34),CHAR(39))))</f>
        <v/>
      </c>
      <c r="Q754" s="5" t="str">
        <f>IF(OR(TRIM($B754)="",$G754=""),"",IF(OR(ISNUMBER(SEARCH(_xlfn.CONCAT(CHAR(96),CHAR(34)),$G754)),ISNUMBER(SEARCH(_xlfn.CONCAT(CHAR(34),CHAR(39)),$G754))),_xlfn.CONCAT("* REVIEW REQUIRED: compound-quote delimiter in Universe on Sheet 1 row ",754,"; edit the input before running."),_xlfn.CONCAT("char ",TRIM($B754),"[doc_universe] ",CHAR(96),CHAR(34),SUBSTITUTE(SUBSTITUTE(SUBSTITUTE(SUBSTITUTE(SUBSTITUTE(SUBSTITUTE($G754,CHAR(13)," "),CHAR(10)," "),CHAR(9)," "),CHAR(92),_xlfn.CONCAT(CHAR(92),CHAR(92))),"$",_xlfn.CONCAT(CHAR(92),"$")),CHAR(96),_xlfn.CONCAT(CHAR(92),CHAR(96))),CHAR(34),CHAR(39))))</f>
        <v/>
      </c>
      <c r="R754" s="5" t="str">
        <f>IF(OR(TRIM($B754)="",$H754=""),"",IF(OR(ISNUMBER(SEARCH(_xlfn.CONCAT(CHAR(96),CHAR(34)),$H754)),ISNUMBER(SEARCH(_xlfn.CONCAT(CHAR(34),CHAR(39)),$H754))),_xlfn.CONCAT("* REVIEW REQUIRED: compound-quote delimiter in Source on Sheet 1 row ",754,"; edit the input before running."),_xlfn.CONCAT("char ",TRIM($B754),"[doc_source] ",CHAR(96),CHAR(34),SUBSTITUTE(SUBSTITUTE(SUBSTITUTE(SUBSTITUTE(SUBSTITUTE(SUBSTITUTE($H754,CHAR(13)," "),CHAR(10)," "),CHAR(9)," "),CHAR(92),_xlfn.CONCAT(CHAR(92),CHAR(92))),"$",_xlfn.CONCAT(CHAR(92),"$")),CHAR(96),_xlfn.CONCAT(CHAR(92),CHAR(96))),CHAR(34),CHAR(39))))</f>
        <v/>
      </c>
      <c r="S754" s="5" t="str">
        <f>IF(OR(TRIM($B754)="",$I754=""),"",IF(OR(ISNUMBER(SEARCH(_xlfn.CONCAT(CHAR(96),CHAR(34)),$I754)),ISNUMBER(SEARCH(_xlfn.CONCAT(CHAR(34),CHAR(39)),$I754))),_xlfn.CONCAT("* REVIEW REQUIRED: compound-quote delimiter in Derivation on Sheet 1 row ",754,"; edit the input before running."),_xlfn.CONCAT("char ",TRIM($B754),"[doc_derivation] ",CHAR(96),CHAR(34),SUBSTITUTE(SUBSTITUTE(SUBSTITUTE(SUBSTITUTE(SUBSTITUTE(SUBSTITUTE($I754,CHAR(13)," "),CHAR(10)," "),CHAR(9)," "),CHAR(92),_xlfn.CONCAT(CHAR(92),CHAR(92))),"$",_xlfn.CONCAT(CHAR(92),"$")),CHAR(96),_xlfn.CONCAT(CHAR(92),CHAR(96))),CHAR(34),CHAR(39))))</f>
        <v/>
      </c>
      <c r="T754" s="5" t="str">
        <f>IF(OR(TRIM($B754)="",$J754=""),"",IF(OR(ISNUMBER(SEARCH(_xlfn.CONCAT(CHAR(96),CHAR(34)),$J754)),ISNUMBER(SEARCH(_xlfn.CONCAT(CHAR(34),CHAR(39)),$J754))),_xlfn.CONCAT("* REVIEW REQUIRED: compound-quote delimiter in Notes on Sheet 1 row ",754,"; edit the input before running."),_xlfn.CONCAT("char ",TRIM($B754),"[doc_notes] ",CHAR(96),CHAR(34),SUBSTITUTE(SUBSTITUTE(SUBSTITUTE(SUBSTITUTE(SUBSTITUTE(SUBSTITUTE($J754,CHAR(13)," "),CHAR(10)," "),CHAR(9)," "),CHAR(92),_xlfn.CONCAT(CHAR(92),CHAR(92))),"$",_xlfn.CONCAT(CHAR(92),"$")),CHAR(96),_xlfn.CONCAT(CHAR(92),CHAR(96))),CHAR(34),CHAR(39))))</f>
        <v/>
      </c>
      <c r="U754" s="5">
        <f t="shared" si="23"/>
        <v>0</v>
      </c>
    </row>
    <row r="755" spans="3:21" ht="30" customHeight="1" x14ac:dyDescent="0.2">
      <c r="C755" s="4"/>
      <c r="K755" s="5">
        <f t="shared" si="22"/>
        <v>0</v>
      </c>
      <c r="L755" s="5" t="str">
        <f>IF(OR(TRIM($B755)="",$A755=""),"",IF(OR(ISNUMBER(SEARCH(_xlfn.CONCAT(CHAR(96),CHAR(34)),$A755)),ISNUMBER(SEARCH(_xlfn.CONCAT(CHAR(34),CHAR(39)),$A755))),_xlfn.CONCAT("* REVIEW REQUIRED: compound-quote delimiter in Codebook Section on Sheet 1 row ",755,"; edit the input before running."),_xlfn.CONCAT("char ",TRIM($B755),"[doc_section] ",CHAR(96),CHAR(34),SUBSTITUTE(SUBSTITUTE(SUBSTITUTE(SUBSTITUTE(SUBSTITUTE(SUBSTITUTE($A755,CHAR(13)," "),CHAR(10)," "),CHAR(9)," "),CHAR(92),_xlfn.CONCAT(CHAR(92),CHAR(92))),"$",_xlfn.CONCAT(CHAR(92),"$")),CHAR(96),_xlfn.CONCAT(CHAR(92),CHAR(96))),CHAR(34),CHAR(39))))</f>
        <v/>
      </c>
      <c r="M755" s="5" t="str">
        <f>IF(OR(TRIM($B755)="",$C755=""),"",IF(IFERROR(MATCH(TRIM($C755),{"Quantitative","Continuous","Discrete","Categorical","Nominal","Ordinal","Identifier"},0),0)=0,_xlfn.CONCAT("* REVIEW REQUIRED: invalid Variable Type on Sheet 1 row ",755,"."),_xlfn.CONCAT("char ",TRIM($B755),"[doc_vartype] ",CHAR(96),CHAR(34),SUBSTITUTE(SUBSTITUTE(SUBSTITUTE(SUBSTITUTE(SUBSTITUTE(SUBSTITUTE(LOWER(TRIM($C755)),CHAR(13)," "),CHAR(10)," "),CHAR(9)," "),CHAR(92),_xlfn.CONCAT(CHAR(92),CHAR(92))),"$",_xlfn.CONCAT(CHAR(92),"$")),CHAR(96),_xlfn.CONCAT(CHAR(92),CHAR(96))),CHAR(34),CHAR(39))))</f>
        <v/>
      </c>
      <c r="N755" s="5" t="str">
        <f>IF(OR(TRIM($B755)="",$D755=""),"",IF(OR(ISNUMBER(SEARCH(_xlfn.CONCAT(CHAR(96),CHAR(34)),$D755)),ISNUMBER(SEARCH(_xlfn.CONCAT(CHAR(34),CHAR(39)),$D755))),_xlfn.CONCAT("* REVIEW REQUIRED: compound-quote delimiter in Item Number on Sheet 1 row ",755,"; edit the input before running."),_xlfn.CONCAT("char ",TRIM($B755),"[doc_itemnum] ",CHAR(96),CHAR(34),SUBSTITUTE(SUBSTITUTE(SUBSTITUTE(SUBSTITUTE(SUBSTITUTE(SUBSTITUTE($D755,CHAR(13)," "),CHAR(10)," "),CHAR(9)," "),CHAR(92),_xlfn.CONCAT(CHAR(92),CHAR(92))),"$",_xlfn.CONCAT(CHAR(92),"$")),CHAR(96),_xlfn.CONCAT(CHAR(92),CHAR(96))),CHAR(34),CHAR(39))))</f>
        <v/>
      </c>
      <c r="O755" s="5" t="str">
        <f>IF(OR(TRIM($B755)="",$E755=""),"",IF(OR(ISNUMBER(SEARCH(_xlfn.CONCAT(CHAR(96),CHAR(34)),$E755)),ISNUMBER(SEARCH(_xlfn.CONCAT(CHAR(34),CHAR(39)),$E755))),_xlfn.CONCAT("* REVIEW REQUIRED: compound-quote delimiter in Question Wording on Sheet 1 row ",755,"; edit the input before running."),_xlfn.CONCAT("char ",TRIM($B755),"[doc_question] ",CHAR(96),CHAR(34),SUBSTITUTE(SUBSTITUTE(SUBSTITUTE(SUBSTITUTE(SUBSTITUTE(SUBSTITUTE($E755,CHAR(13)," "),CHAR(10)," "),CHAR(9)," "),CHAR(92),_xlfn.CONCAT(CHAR(92),CHAR(92))),"$",_xlfn.CONCAT(CHAR(92),"$")),CHAR(96),_xlfn.CONCAT(CHAR(92),CHAR(96))),CHAR(34),CHAR(39))))</f>
        <v/>
      </c>
      <c r="P755" s="5" t="str">
        <f>IF(OR(TRIM($B755)="",$F755=""),"",IF(OR(ISNUMBER(SEARCH(_xlfn.CONCAT(CHAR(96),CHAR(34)),$F755)),ISNUMBER(SEARCH(_xlfn.CONCAT(CHAR(34),CHAR(39)),$F755))),_xlfn.CONCAT("* REVIEW REQUIRED: compound-quote delimiter in Units on Sheet 1 row ",755,"; edit the input before running."),_xlfn.CONCAT("char ",TRIM($B755),"[doc_units] ",CHAR(96),CHAR(34),SUBSTITUTE(SUBSTITUTE(SUBSTITUTE(SUBSTITUTE(SUBSTITUTE(SUBSTITUTE($F755,CHAR(13)," "),CHAR(10)," "),CHAR(9)," "),CHAR(92),_xlfn.CONCAT(CHAR(92),CHAR(92))),"$",_xlfn.CONCAT(CHAR(92),"$")),CHAR(96),_xlfn.CONCAT(CHAR(92),CHAR(96))),CHAR(34),CHAR(39))))</f>
        <v/>
      </c>
      <c r="Q755" s="5" t="str">
        <f>IF(OR(TRIM($B755)="",$G755=""),"",IF(OR(ISNUMBER(SEARCH(_xlfn.CONCAT(CHAR(96),CHAR(34)),$G755)),ISNUMBER(SEARCH(_xlfn.CONCAT(CHAR(34),CHAR(39)),$G755))),_xlfn.CONCAT("* REVIEW REQUIRED: compound-quote delimiter in Universe on Sheet 1 row ",755,"; edit the input before running."),_xlfn.CONCAT("char ",TRIM($B755),"[doc_universe] ",CHAR(96),CHAR(34),SUBSTITUTE(SUBSTITUTE(SUBSTITUTE(SUBSTITUTE(SUBSTITUTE(SUBSTITUTE($G755,CHAR(13)," "),CHAR(10)," "),CHAR(9)," "),CHAR(92),_xlfn.CONCAT(CHAR(92),CHAR(92))),"$",_xlfn.CONCAT(CHAR(92),"$")),CHAR(96),_xlfn.CONCAT(CHAR(92),CHAR(96))),CHAR(34),CHAR(39))))</f>
        <v/>
      </c>
      <c r="R755" s="5" t="str">
        <f>IF(OR(TRIM($B755)="",$H755=""),"",IF(OR(ISNUMBER(SEARCH(_xlfn.CONCAT(CHAR(96),CHAR(34)),$H755)),ISNUMBER(SEARCH(_xlfn.CONCAT(CHAR(34),CHAR(39)),$H755))),_xlfn.CONCAT("* REVIEW REQUIRED: compound-quote delimiter in Source on Sheet 1 row ",755,"; edit the input before running."),_xlfn.CONCAT("char ",TRIM($B755),"[doc_source] ",CHAR(96),CHAR(34),SUBSTITUTE(SUBSTITUTE(SUBSTITUTE(SUBSTITUTE(SUBSTITUTE(SUBSTITUTE($H755,CHAR(13)," "),CHAR(10)," "),CHAR(9)," "),CHAR(92),_xlfn.CONCAT(CHAR(92),CHAR(92))),"$",_xlfn.CONCAT(CHAR(92),"$")),CHAR(96),_xlfn.CONCAT(CHAR(92),CHAR(96))),CHAR(34),CHAR(39))))</f>
        <v/>
      </c>
      <c r="S755" s="5" t="str">
        <f>IF(OR(TRIM($B755)="",$I755=""),"",IF(OR(ISNUMBER(SEARCH(_xlfn.CONCAT(CHAR(96),CHAR(34)),$I755)),ISNUMBER(SEARCH(_xlfn.CONCAT(CHAR(34),CHAR(39)),$I755))),_xlfn.CONCAT("* REVIEW REQUIRED: compound-quote delimiter in Derivation on Sheet 1 row ",755,"; edit the input before running."),_xlfn.CONCAT("char ",TRIM($B755),"[doc_derivation] ",CHAR(96),CHAR(34),SUBSTITUTE(SUBSTITUTE(SUBSTITUTE(SUBSTITUTE(SUBSTITUTE(SUBSTITUTE($I755,CHAR(13)," "),CHAR(10)," "),CHAR(9)," "),CHAR(92),_xlfn.CONCAT(CHAR(92),CHAR(92))),"$",_xlfn.CONCAT(CHAR(92),"$")),CHAR(96),_xlfn.CONCAT(CHAR(92),CHAR(96))),CHAR(34),CHAR(39))))</f>
        <v/>
      </c>
      <c r="T755" s="5" t="str">
        <f>IF(OR(TRIM($B755)="",$J755=""),"",IF(OR(ISNUMBER(SEARCH(_xlfn.CONCAT(CHAR(96),CHAR(34)),$J755)),ISNUMBER(SEARCH(_xlfn.CONCAT(CHAR(34),CHAR(39)),$J755))),_xlfn.CONCAT("* REVIEW REQUIRED: compound-quote delimiter in Notes on Sheet 1 row ",755,"; edit the input before running."),_xlfn.CONCAT("char ",TRIM($B755),"[doc_notes] ",CHAR(96),CHAR(34),SUBSTITUTE(SUBSTITUTE(SUBSTITUTE(SUBSTITUTE(SUBSTITUTE(SUBSTITUTE($J755,CHAR(13)," "),CHAR(10)," "),CHAR(9)," "),CHAR(92),_xlfn.CONCAT(CHAR(92),CHAR(92))),"$",_xlfn.CONCAT(CHAR(92),"$")),CHAR(96),_xlfn.CONCAT(CHAR(92),CHAR(96))),CHAR(34),CHAR(39))))</f>
        <v/>
      </c>
      <c r="U755" s="5">
        <f t="shared" si="23"/>
        <v>0</v>
      </c>
    </row>
    <row r="756" spans="3:21" ht="30" customHeight="1" x14ac:dyDescent="0.2">
      <c r="C756" s="4"/>
      <c r="K756" s="5">
        <f t="shared" si="22"/>
        <v>0</v>
      </c>
      <c r="L756" s="5" t="str">
        <f>IF(OR(TRIM($B756)="",$A756=""),"",IF(OR(ISNUMBER(SEARCH(_xlfn.CONCAT(CHAR(96),CHAR(34)),$A756)),ISNUMBER(SEARCH(_xlfn.CONCAT(CHAR(34),CHAR(39)),$A756))),_xlfn.CONCAT("* REVIEW REQUIRED: compound-quote delimiter in Codebook Section on Sheet 1 row ",756,"; edit the input before running."),_xlfn.CONCAT("char ",TRIM($B756),"[doc_section] ",CHAR(96),CHAR(34),SUBSTITUTE(SUBSTITUTE(SUBSTITUTE(SUBSTITUTE(SUBSTITUTE(SUBSTITUTE($A756,CHAR(13)," "),CHAR(10)," "),CHAR(9)," "),CHAR(92),_xlfn.CONCAT(CHAR(92),CHAR(92))),"$",_xlfn.CONCAT(CHAR(92),"$")),CHAR(96),_xlfn.CONCAT(CHAR(92),CHAR(96))),CHAR(34),CHAR(39))))</f>
        <v/>
      </c>
      <c r="M756" s="5" t="str">
        <f>IF(OR(TRIM($B756)="",$C756=""),"",IF(IFERROR(MATCH(TRIM($C756),{"Quantitative","Continuous","Discrete","Categorical","Nominal","Ordinal","Identifier"},0),0)=0,_xlfn.CONCAT("* REVIEW REQUIRED: invalid Variable Type on Sheet 1 row ",756,"."),_xlfn.CONCAT("char ",TRIM($B756),"[doc_vartype] ",CHAR(96),CHAR(34),SUBSTITUTE(SUBSTITUTE(SUBSTITUTE(SUBSTITUTE(SUBSTITUTE(SUBSTITUTE(LOWER(TRIM($C756)),CHAR(13)," "),CHAR(10)," "),CHAR(9)," "),CHAR(92),_xlfn.CONCAT(CHAR(92),CHAR(92))),"$",_xlfn.CONCAT(CHAR(92),"$")),CHAR(96),_xlfn.CONCAT(CHAR(92),CHAR(96))),CHAR(34),CHAR(39))))</f>
        <v/>
      </c>
      <c r="N756" s="5" t="str">
        <f>IF(OR(TRIM($B756)="",$D756=""),"",IF(OR(ISNUMBER(SEARCH(_xlfn.CONCAT(CHAR(96),CHAR(34)),$D756)),ISNUMBER(SEARCH(_xlfn.CONCAT(CHAR(34),CHAR(39)),$D756))),_xlfn.CONCAT("* REVIEW REQUIRED: compound-quote delimiter in Item Number on Sheet 1 row ",756,"; edit the input before running."),_xlfn.CONCAT("char ",TRIM($B756),"[doc_itemnum] ",CHAR(96),CHAR(34),SUBSTITUTE(SUBSTITUTE(SUBSTITUTE(SUBSTITUTE(SUBSTITUTE(SUBSTITUTE($D756,CHAR(13)," "),CHAR(10)," "),CHAR(9)," "),CHAR(92),_xlfn.CONCAT(CHAR(92),CHAR(92))),"$",_xlfn.CONCAT(CHAR(92),"$")),CHAR(96),_xlfn.CONCAT(CHAR(92),CHAR(96))),CHAR(34),CHAR(39))))</f>
        <v/>
      </c>
      <c r="O756" s="5" t="str">
        <f>IF(OR(TRIM($B756)="",$E756=""),"",IF(OR(ISNUMBER(SEARCH(_xlfn.CONCAT(CHAR(96),CHAR(34)),$E756)),ISNUMBER(SEARCH(_xlfn.CONCAT(CHAR(34),CHAR(39)),$E756))),_xlfn.CONCAT("* REVIEW REQUIRED: compound-quote delimiter in Question Wording on Sheet 1 row ",756,"; edit the input before running."),_xlfn.CONCAT("char ",TRIM($B756),"[doc_question] ",CHAR(96),CHAR(34),SUBSTITUTE(SUBSTITUTE(SUBSTITUTE(SUBSTITUTE(SUBSTITUTE(SUBSTITUTE($E756,CHAR(13)," "),CHAR(10)," "),CHAR(9)," "),CHAR(92),_xlfn.CONCAT(CHAR(92),CHAR(92))),"$",_xlfn.CONCAT(CHAR(92),"$")),CHAR(96),_xlfn.CONCAT(CHAR(92),CHAR(96))),CHAR(34),CHAR(39))))</f>
        <v/>
      </c>
      <c r="P756" s="5" t="str">
        <f>IF(OR(TRIM($B756)="",$F756=""),"",IF(OR(ISNUMBER(SEARCH(_xlfn.CONCAT(CHAR(96),CHAR(34)),$F756)),ISNUMBER(SEARCH(_xlfn.CONCAT(CHAR(34),CHAR(39)),$F756))),_xlfn.CONCAT("* REVIEW REQUIRED: compound-quote delimiter in Units on Sheet 1 row ",756,"; edit the input before running."),_xlfn.CONCAT("char ",TRIM($B756),"[doc_units] ",CHAR(96),CHAR(34),SUBSTITUTE(SUBSTITUTE(SUBSTITUTE(SUBSTITUTE(SUBSTITUTE(SUBSTITUTE($F756,CHAR(13)," "),CHAR(10)," "),CHAR(9)," "),CHAR(92),_xlfn.CONCAT(CHAR(92),CHAR(92))),"$",_xlfn.CONCAT(CHAR(92),"$")),CHAR(96),_xlfn.CONCAT(CHAR(92),CHAR(96))),CHAR(34),CHAR(39))))</f>
        <v/>
      </c>
      <c r="Q756" s="5" t="str">
        <f>IF(OR(TRIM($B756)="",$G756=""),"",IF(OR(ISNUMBER(SEARCH(_xlfn.CONCAT(CHAR(96),CHAR(34)),$G756)),ISNUMBER(SEARCH(_xlfn.CONCAT(CHAR(34),CHAR(39)),$G756))),_xlfn.CONCAT("* REVIEW REQUIRED: compound-quote delimiter in Universe on Sheet 1 row ",756,"; edit the input before running."),_xlfn.CONCAT("char ",TRIM($B756),"[doc_universe] ",CHAR(96),CHAR(34),SUBSTITUTE(SUBSTITUTE(SUBSTITUTE(SUBSTITUTE(SUBSTITUTE(SUBSTITUTE($G756,CHAR(13)," "),CHAR(10)," "),CHAR(9)," "),CHAR(92),_xlfn.CONCAT(CHAR(92),CHAR(92))),"$",_xlfn.CONCAT(CHAR(92),"$")),CHAR(96),_xlfn.CONCAT(CHAR(92),CHAR(96))),CHAR(34),CHAR(39))))</f>
        <v/>
      </c>
      <c r="R756" s="5" t="str">
        <f>IF(OR(TRIM($B756)="",$H756=""),"",IF(OR(ISNUMBER(SEARCH(_xlfn.CONCAT(CHAR(96),CHAR(34)),$H756)),ISNUMBER(SEARCH(_xlfn.CONCAT(CHAR(34),CHAR(39)),$H756))),_xlfn.CONCAT("* REVIEW REQUIRED: compound-quote delimiter in Source on Sheet 1 row ",756,"; edit the input before running."),_xlfn.CONCAT("char ",TRIM($B756),"[doc_source] ",CHAR(96),CHAR(34),SUBSTITUTE(SUBSTITUTE(SUBSTITUTE(SUBSTITUTE(SUBSTITUTE(SUBSTITUTE($H756,CHAR(13)," "),CHAR(10)," "),CHAR(9)," "),CHAR(92),_xlfn.CONCAT(CHAR(92),CHAR(92))),"$",_xlfn.CONCAT(CHAR(92),"$")),CHAR(96),_xlfn.CONCAT(CHAR(92),CHAR(96))),CHAR(34),CHAR(39))))</f>
        <v/>
      </c>
      <c r="S756" s="5" t="str">
        <f>IF(OR(TRIM($B756)="",$I756=""),"",IF(OR(ISNUMBER(SEARCH(_xlfn.CONCAT(CHAR(96),CHAR(34)),$I756)),ISNUMBER(SEARCH(_xlfn.CONCAT(CHAR(34),CHAR(39)),$I756))),_xlfn.CONCAT("* REVIEW REQUIRED: compound-quote delimiter in Derivation on Sheet 1 row ",756,"; edit the input before running."),_xlfn.CONCAT("char ",TRIM($B756),"[doc_derivation] ",CHAR(96),CHAR(34),SUBSTITUTE(SUBSTITUTE(SUBSTITUTE(SUBSTITUTE(SUBSTITUTE(SUBSTITUTE($I756,CHAR(13)," "),CHAR(10)," "),CHAR(9)," "),CHAR(92),_xlfn.CONCAT(CHAR(92),CHAR(92))),"$",_xlfn.CONCAT(CHAR(92),"$")),CHAR(96),_xlfn.CONCAT(CHAR(92),CHAR(96))),CHAR(34),CHAR(39))))</f>
        <v/>
      </c>
      <c r="T756" s="5" t="str">
        <f>IF(OR(TRIM($B756)="",$J756=""),"",IF(OR(ISNUMBER(SEARCH(_xlfn.CONCAT(CHAR(96),CHAR(34)),$J756)),ISNUMBER(SEARCH(_xlfn.CONCAT(CHAR(34),CHAR(39)),$J756))),_xlfn.CONCAT("* REVIEW REQUIRED: compound-quote delimiter in Notes on Sheet 1 row ",756,"; edit the input before running."),_xlfn.CONCAT("char ",TRIM($B756),"[doc_notes] ",CHAR(96),CHAR(34),SUBSTITUTE(SUBSTITUTE(SUBSTITUTE(SUBSTITUTE(SUBSTITUTE(SUBSTITUTE($J756,CHAR(13)," "),CHAR(10)," "),CHAR(9)," "),CHAR(92),_xlfn.CONCAT(CHAR(92),CHAR(92))),"$",_xlfn.CONCAT(CHAR(92),"$")),CHAR(96),_xlfn.CONCAT(CHAR(92),CHAR(96))),CHAR(34),CHAR(39))))</f>
        <v/>
      </c>
      <c r="U756" s="5">
        <f t="shared" si="23"/>
        <v>0</v>
      </c>
    </row>
    <row r="757" spans="3:21" ht="30" customHeight="1" x14ac:dyDescent="0.2">
      <c r="C757" s="4"/>
      <c r="K757" s="5">
        <f t="shared" si="22"/>
        <v>0</v>
      </c>
      <c r="L757" s="5" t="str">
        <f>IF(OR(TRIM($B757)="",$A757=""),"",IF(OR(ISNUMBER(SEARCH(_xlfn.CONCAT(CHAR(96),CHAR(34)),$A757)),ISNUMBER(SEARCH(_xlfn.CONCAT(CHAR(34),CHAR(39)),$A757))),_xlfn.CONCAT("* REVIEW REQUIRED: compound-quote delimiter in Codebook Section on Sheet 1 row ",757,"; edit the input before running."),_xlfn.CONCAT("char ",TRIM($B757),"[doc_section] ",CHAR(96),CHAR(34),SUBSTITUTE(SUBSTITUTE(SUBSTITUTE(SUBSTITUTE(SUBSTITUTE(SUBSTITUTE($A757,CHAR(13)," "),CHAR(10)," "),CHAR(9)," "),CHAR(92),_xlfn.CONCAT(CHAR(92),CHAR(92))),"$",_xlfn.CONCAT(CHAR(92),"$")),CHAR(96),_xlfn.CONCAT(CHAR(92),CHAR(96))),CHAR(34),CHAR(39))))</f>
        <v/>
      </c>
      <c r="M757" s="5" t="str">
        <f>IF(OR(TRIM($B757)="",$C757=""),"",IF(IFERROR(MATCH(TRIM($C757),{"Quantitative","Continuous","Discrete","Categorical","Nominal","Ordinal","Identifier"},0),0)=0,_xlfn.CONCAT("* REVIEW REQUIRED: invalid Variable Type on Sheet 1 row ",757,"."),_xlfn.CONCAT("char ",TRIM($B757),"[doc_vartype] ",CHAR(96),CHAR(34),SUBSTITUTE(SUBSTITUTE(SUBSTITUTE(SUBSTITUTE(SUBSTITUTE(SUBSTITUTE(LOWER(TRIM($C757)),CHAR(13)," "),CHAR(10)," "),CHAR(9)," "),CHAR(92),_xlfn.CONCAT(CHAR(92),CHAR(92))),"$",_xlfn.CONCAT(CHAR(92),"$")),CHAR(96),_xlfn.CONCAT(CHAR(92),CHAR(96))),CHAR(34),CHAR(39))))</f>
        <v/>
      </c>
      <c r="N757" s="5" t="str">
        <f>IF(OR(TRIM($B757)="",$D757=""),"",IF(OR(ISNUMBER(SEARCH(_xlfn.CONCAT(CHAR(96),CHAR(34)),$D757)),ISNUMBER(SEARCH(_xlfn.CONCAT(CHAR(34),CHAR(39)),$D757))),_xlfn.CONCAT("* REVIEW REQUIRED: compound-quote delimiter in Item Number on Sheet 1 row ",757,"; edit the input before running."),_xlfn.CONCAT("char ",TRIM($B757),"[doc_itemnum] ",CHAR(96),CHAR(34),SUBSTITUTE(SUBSTITUTE(SUBSTITUTE(SUBSTITUTE(SUBSTITUTE(SUBSTITUTE($D757,CHAR(13)," "),CHAR(10)," "),CHAR(9)," "),CHAR(92),_xlfn.CONCAT(CHAR(92),CHAR(92))),"$",_xlfn.CONCAT(CHAR(92),"$")),CHAR(96),_xlfn.CONCAT(CHAR(92),CHAR(96))),CHAR(34),CHAR(39))))</f>
        <v/>
      </c>
      <c r="O757" s="5" t="str">
        <f>IF(OR(TRIM($B757)="",$E757=""),"",IF(OR(ISNUMBER(SEARCH(_xlfn.CONCAT(CHAR(96),CHAR(34)),$E757)),ISNUMBER(SEARCH(_xlfn.CONCAT(CHAR(34),CHAR(39)),$E757))),_xlfn.CONCAT("* REVIEW REQUIRED: compound-quote delimiter in Question Wording on Sheet 1 row ",757,"; edit the input before running."),_xlfn.CONCAT("char ",TRIM($B757),"[doc_question] ",CHAR(96),CHAR(34),SUBSTITUTE(SUBSTITUTE(SUBSTITUTE(SUBSTITUTE(SUBSTITUTE(SUBSTITUTE($E757,CHAR(13)," "),CHAR(10)," "),CHAR(9)," "),CHAR(92),_xlfn.CONCAT(CHAR(92),CHAR(92))),"$",_xlfn.CONCAT(CHAR(92),"$")),CHAR(96),_xlfn.CONCAT(CHAR(92),CHAR(96))),CHAR(34),CHAR(39))))</f>
        <v/>
      </c>
      <c r="P757" s="5" t="str">
        <f>IF(OR(TRIM($B757)="",$F757=""),"",IF(OR(ISNUMBER(SEARCH(_xlfn.CONCAT(CHAR(96),CHAR(34)),$F757)),ISNUMBER(SEARCH(_xlfn.CONCAT(CHAR(34),CHAR(39)),$F757))),_xlfn.CONCAT("* REVIEW REQUIRED: compound-quote delimiter in Units on Sheet 1 row ",757,"; edit the input before running."),_xlfn.CONCAT("char ",TRIM($B757),"[doc_units] ",CHAR(96),CHAR(34),SUBSTITUTE(SUBSTITUTE(SUBSTITUTE(SUBSTITUTE(SUBSTITUTE(SUBSTITUTE($F757,CHAR(13)," "),CHAR(10)," "),CHAR(9)," "),CHAR(92),_xlfn.CONCAT(CHAR(92),CHAR(92))),"$",_xlfn.CONCAT(CHAR(92),"$")),CHAR(96),_xlfn.CONCAT(CHAR(92),CHAR(96))),CHAR(34),CHAR(39))))</f>
        <v/>
      </c>
      <c r="Q757" s="5" t="str">
        <f>IF(OR(TRIM($B757)="",$G757=""),"",IF(OR(ISNUMBER(SEARCH(_xlfn.CONCAT(CHAR(96),CHAR(34)),$G757)),ISNUMBER(SEARCH(_xlfn.CONCAT(CHAR(34),CHAR(39)),$G757))),_xlfn.CONCAT("* REVIEW REQUIRED: compound-quote delimiter in Universe on Sheet 1 row ",757,"; edit the input before running."),_xlfn.CONCAT("char ",TRIM($B757),"[doc_universe] ",CHAR(96),CHAR(34),SUBSTITUTE(SUBSTITUTE(SUBSTITUTE(SUBSTITUTE(SUBSTITUTE(SUBSTITUTE($G757,CHAR(13)," "),CHAR(10)," "),CHAR(9)," "),CHAR(92),_xlfn.CONCAT(CHAR(92),CHAR(92))),"$",_xlfn.CONCAT(CHAR(92),"$")),CHAR(96),_xlfn.CONCAT(CHAR(92),CHAR(96))),CHAR(34),CHAR(39))))</f>
        <v/>
      </c>
      <c r="R757" s="5" t="str">
        <f>IF(OR(TRIM($B757)="",$H757=""),"",IF(OR(ISNUMBER(SEARCH(_xlfn.CONCAT(CHAR(96),CHAR(34)),$H757)),ISNUMBER(SEARCH(_xlfn.CONCAT(CHAR(34),CHAR(39)),$H757))),_xlfn.CONCAT("* REVIEW REQUIRED: compound-quote delimiter in Source on Sheet 1 row ",757,"; edit the input before running."),_xlfn.CONCAT("char ",TRIM($B757),"[doc_source] ",CHAR(96),CHAR(34),SUBSTITUTE(SUBSTITUTE(SUBSTITUTE(SUBSTITUTE(SUBSTITUTE(SUBSTITUTE($H757,CHAR(13)," "),CHAR(10)," "),CHAR(9)," "),CHAR(92),_xlfn.CONCAT(CHAR(92),CHAR(92))),"$",_xlfn.CONCAT(CHAR(92),"$")),CHAR(96),_xlfn.CONCAT(CHAR(92),CHAR(96))),CHAR(34),CHAR(39))))</f>
        <v/>
      </c>
      <c r="S757" s="5" t="str">
        <f>IF(OR(TRIM($B757)="",$I757=""),"",IF(OR(ISNUMBER(SEARCH(_xlfn.CONCAT(CHAR(96),CHAR(34)),$I757)),ISNUMBER(SEARCH(_xlfn.CONCAT(CHAR(34),CHAR(39)),$I757))),_xlfn.CONCAT("* REVIEW REQUIRED: compound-quote delimiter in Derivation on Sheet 1 row ",757,"; edit the input before running."),_xlfn.CONCAT("char ",TRIM($B757),"[doc_derivation] ",CHAR(96),CHAR(34),SUBSTITUTE(SUBSTITUTE(SUBSTITUTE(SUBSTITUTE(SUBSTITUTE(SUBSTITUTE($I757,CHAR(13)," "),CHAR(10)," "),CHAR(9)," "),CHAR(92),_xlfn.CONCAT(CHAR(92),CHAR(92))),"$",_xlfn.CONCAT(CHAR(92),"$")),CHAR(96),_xlfn.CONCAT(CHAR(92),CHAR(96))),CHAR(34),CHAR(39))))</f>
        <v/>
      </c>
      <c r="T757" s="5" t="str">
        <f>IF(OR(TRIM($B757)="",$J757=""),"",IF(OR(ISNUMBER(SEARCH(_xlfn.CONCAT(CHAR(96),CHAR(34)),$J757)),ISNUMBER(SEARCH(_xlfn.CONCAT(CHAR(34),CHAR(39)),$J757))),_xlfn.CONCAT("* REVIEW REQUIRED: compound-quote delimiter in Notes on Sheet 1 row ",757,"; edit the input before running."),_xlfn.CONCAT("char ",TRIM($B757),"[doc_notes] ",CHAR(96),CHAR(34),SUBSTITUTE(SUBSTITUTE(SUBSTITUTE(SUBSTITUTE(SUBSTITUTE(SUBSTITUTE($J757,CHAR(13)," "),CHAR(10)," "),CHAR(9)," "),CHAR(92),_xlfn.CONCAT(CHAR(92),CHAR(92))),"$",_xlfn.CONCAT(CHAR(92),"$")),CHAR(96),_xlfn.CONCAT(CHAR(92),CHAR(96))),CHAR(34),CHAR(39))))</f>
        <v/>
      </c>
      <c r="U757" s="5">
        <f t="shared" si="23"/>
        <v>0</v>
      </c>
    </row>
    <row r="758" spans="3:21" ht="30" customHeight="1" x14ac:dyDescent="0.2">
      <c r="C758" s="4"/>
      <c r="K758" s="5">
        <f t="shared" si="22"/>
        <v>0</v>
      </c>
      <c r="L758" s="5" t="str">
        <f>IF(OR(TRIM($B758)="",$A758=""),"",IF(OR(ISNUMBER(SEARCH(_xlfn.CONCAT(CHAR(96),CHAR(34)),$A758)),ISNUMBER(SEARCH(_xlfn.CONCAT(CHAR(34),CHAR(39)),$A758))),_xlfn.CONCAT("* REVIEW REQUIRED: compound-quote delimiter in Codebook Section on Sheet 1 row ",758,"; edit the input before running."),_xlfn.CONCAT("char ",TRIM($B758),"[doc_section] ",CHAR(96),CHAR(34),SUBSTITUTE(SUBSTITUTE(SUBSTITUTE(SUBSTITUTE(SUBSTITUTE(SUBSTITUTE($A758,CHAR(13)," "),CHAR(10)," "),CHAR(9)," "),CHAR(92),_xlfn.CONCAT(CHAR(92),CHAR(92))),"$",_xlfn.CONCAT(CHAR(92),"$")),CHAR(96),_xlfn.CONCAT(CHAR(92),CHAR(96))),CHAR(34),CHAR(39))))</f>
        <v/>
      </c>
      <c r="M758" s="5" t="str">
        <f>IF(OR(TRIM($B758)="",$C758=""),"",IF(IFERROR(MATCH(TRIM($C758),{"Quantitative","Continuous","Discrete","Categorical","Nominal","Ordinal","Identifier"},0),0)=0,_xlfn.CONCAT("* REVIEW REQUIRED: invalid Variable Type on Sheet 1 row ",758,"."),_xlfn.CONCAT("char ",TRIM($B758),"[doc_vartype] ",CHAR(96),CHAR(34),SUBSTITUTE(SUBSTITUTE(SUBSTITUTE(SUBSTITUTE(SUBSTITUTE(SUBSTITUTE(LOWER(TRIM($C758)),CHAR(13)," "),CHAR(10)," "),CHAR(9)," "),CHAR(92),_xlfn.CONCAT(CHAR(92),CHAR(92))),"$",_xlfn.CONCAT(CHAR(92),"$")),CHAR(96),_xlfn.CONCAT(CHAR(92),CHAR(96))),CHAR(34),CHAR(39))))</f>
        <v/>
      </c>
      <c r="N758" s="5" t="str">
        <f>IF(OR(TRIM($B758)="",$D758=""),"",IF(OR(ISNUMBER(SEARCH(_xlfn.CONCAT(CHAR(96),CHAR(34)),$D758)),ISNUMBER(SEARCH(_xlfn.CONCAT(CHAR(34),CHAR(39)),$D758))),_xlfn.CONCAT("* REVIEW REQUIRED: compound-quote delimiter in Item Number on Sheet 1 row ",758,"; edit the input before running."),_xlfn.CONCAT("char ",TRIM($B758),"[doc_itemnum] ",CHAR(96),CHAR(34),SUBSTITUTE(SUBSTITUTE(SUBSTITUTE(SUBSTITUTE(SUBSTITUTE(SUBSTITUTE($D758,CHAR(13)," "),CHAR(10)," "),CHAR(9)," "),CHAR(92),_xlfn.CONCAT(CHAR(92),CHAR(92))),"$",_xlfn.CONCAT(CHAR(92),"$")),CHAR(96),_xlfn.CONCAT(CHAR(92),CHAR(96))),CHAR(34),CHAR(39))))</f>
        <v/>
      </c>
      <c r="O758" s="5" t="str">
        <f>IF(OR(TRIM($B758)="",$E758=""),"",IF(OR(ISNUMBER(SEARCH(_xlfn.CONCAT(CHAR(96),CHAR(34)),$E758)),ISNUMBER(SEARCH(_xlfn.CONCAT(CHAR(34),CHAR(39)),$E758))),_xlfn.CONCAT("* REVIEW REQUIRED: compound-quote delimiter in Question Wording on Sheet 1 row ",758,"; edit the input before running."),_xlfn.CONCAT("char ",TRIM($B758),"[doc_question] ",CHAR(96),CHAR(34),SUBSTITUTE(SUBSTITUTE(SUBSTITUTE(SUBSTITUTE(SUBSTITUTE(SUBSTITUTE($E758,CHAR(13)," "),CHAR(10)," "),CHAR(9)," "),CHAR(92),_xlfn.CONCAT(CHAR(92),CHAR(92))),"$",_xlfn.CONCAT(CHAR(92),"$")),CHAR(96),_xlfn.CONCAT(CHAR(92),CHAR(96))),CHAR(34),CHAR(39))))</f>
        <v/>
      </c>
      <c r="P758" s="5" t="str">
        <f>IF(OR(TRIM($B758)="",$F758=""),"",IF(OR(ISNUMBER(SEARCH(_xlfn.CONCAT(CHAR(96),CHAR(34)),$F758)),ISNUMBER(SEARCH(_xlfn.CONCAT(CHAR(34),CHAR(39)),$F758))),_xlfn.CONCAT("* REVIEW REQUIRED: compound-quote delimiter in Units on Sheet 1 row ",758,"; edit the input before running."),_xlfn.CONCAT("char ",TRIM($B758),"[doc_units] ",CHAR(96),CHAR(34),SUBSTITUTE(SUBSTITUTE(SUBSTITUTE(SUBSTITUTE(SUBSTITUTE(SUBSTITUTE($F758,CHAR(13)," "),CHAR(10)," "),CHAR(9)," "),CHAR(92),_xlfn.CONCAT(CHAR(92),CHAR(92))),"$",_xlfn.CONCAT(CHAR(92),"$")),CHAR(96),_xlfn.CONCAT(CHAR(92),CHAR(96))),CHAR(34),CHAR(39))))</f>
        <v/>
      </c>
      <c r="Q758" s="5" t="str">
        <f>IF(OR(TRIM($B758)="",$G758=""),"",IF(OR(ISNUMBER(SEARCH(_xlfn.CONCAT(CHAR(96),CHAR(34)),$G758)),ISNUMBER(SEARCH(_xlfn.CONCAT(CHAR(34),CHAR(39)),$G758))),_xlfn.CONCAT("* REVIEW REQUIRED: compound-quote delimiter in Universe on Sheet 1 row ",758,"; edit the input before running."),_xlfn.CONCAT("char ",TRIM($B758),"[doc_universe] ",CHAR(96),CHAR(34),SUBSTITUTE(SUBSTITUTE(SUBSTITUTE(SUBSTITUTE(SUBSTITUTE(SUBSTITUTE($G758,CHAR(13)," "),CHAR(10)," "),CHAR(9)," "),CHAR(92),_xlfn.CONCAT(CHAR(92),CHAR(92))),"$",_xlfn.CONCAT(CHAR(92),"$")),CHAR(96),_xlfn.CONCAT(CHAR(92),CHAR(96))),CHAR(34),CHAR(39))))</f>
        <v/>
      </c>
      <c r="R758" s="5" t="str">
        <f>IF(OR(TRIM($B758)="",$H758=""),"",IF(OR(ISNUMBER(SEARCH(_xlfn.CONCAT(CHAR(96),CHAR(34)),$H758)),ISNUMBER(SEARCH(_xlfn.CONCAT(CHAR(34),CHAR(39)),$H758))),_xlfn.CONCAT("* REVIEW REQUIRED: compound-quote delimiter in Source on Sheet 1 row ",758,"; edit the input before running."),_xlfn.CONCAT("char ",TRIM($B758),"[doc_source] ",CHAR(96),CHAR(34),SUBSTITUTE(SUBSTITUTE(SUBSTITUTE(SUBSTITUTE(SUBSTITUTE(SUBSTITUTE($H758,CHAR(13)," "),CHAR(10)," "),CHAR(9)," "),CHAR(92),_xlfn.CONCAT(CHAR(92),CHAR(92))),"$",_xlfn.CONCAT(CHAR(92),"$")),CHAR(96),_xlfn.CONCAT(CHAR(92),CHAR(96))),CHAR(34),CHAR(39))))</f>
        <v/>
      </c>
      <c r="S758" s="5" t="str">
        <f>IF(OR(TRIM($B758)="",$I758=""),"",IF(OR(ISNUMBER(SEARCH(_xlfn.CONCAT(CHAR(96),CHAR(34)),$I758)),ISNUMBER(SEARCH(_xlfn.CONCAT(CHAR(34),CHAR(39)),$I758))),_xlfn.CONCAT("* REVIEW REQUIRED: compound-quote delimiter in Derivation on Sheet 1 row ",758,"; edit the input before running."),_xlfn.CONCAT("char ",TRIM($B758),"[doc_derivation] ",CHAR(96),CHAR(34),SUBSTITUTE(SUBSTITUTE(SUBSTITUTE(SUBSTITUTE(SUBSTITUTE(SUBSTITUTE($I758,CHAR(13)," "),CHAR(10)," "),CHAR(9)," "),CHAR(92),_xlfn.CONCAT(CHAR(92),CHAR(92))),"$",_xlfn.CONCAT(CHAR(92),"$")),CHAR(96),_xlfn.CONCAT(CHAR(92),CHAR(96))),CHAR(34),CHAR(39))))</f>
        <v/>
      </c>
      <c r="T758" s="5" t="str">
        <f>IF(OR(TRIM($B758)="",$J758=""),"",IF(OR(ISNUMBER(SEARCH(_xlfn.CONCAT(CHAR(96),CHAR(34)),$J758)),ISNUMBER(SEARCH(_xlfn.CONCAT(CHAR(34),CHAR(39)),$J758))),_xlfn.CONCAT("* REVIEW REQUIRED: compound-quote delimiter in Notes on Sheet 1 row ",758,"; edit the input before running."),_xlfn.CONCAT("char ",TRIM($B758),"[doc_notes] ",CHAR(96),CHAR(34),SUBSTITUTE(SUBSTITUTE(SUBSTITUTE(SUBSTITUTE(SUBSTITUTE(SUBSTITUTE($J758,CHAR(13)," "),CHAR(10)," "),CHAR(9)," "),CHAR(92),_xlfn.CONCAT(CHAR(92),CHAR(92))),"$",_xlfn.CONCAT(CHAR(92),"$")),CHAR(96),_xlfn.CONCAT(CHAR(92),CHAR(96))),CHAR(34),CHAR(39))))</f>
        <v/>
      </c>
      <c r="U758" s="5">
        <f t="shared" si="23"/>
        <v>0</v>
      </c>
    </row>
    <row r="759" spans="3:21" ht="30" customHeight="1" x14ac:dyDescent="0.2">
      <c r="C759" s="4"/>
      <c r="K759" s="5">
        <f t="shared" si="22"/>
        <v>0</v>
      </c>
      <c r="L759" s="5" t="str">
        <f>IF(OR(TRIM($B759)="",$A759=""),"",IF(OR(ISNUMBER(SEARCH(_xlfn.CONCAT(CHAR(96),CHAR(34)),$A759)),ISNUMBER(SEARCH(_xlfn.CONCAT(CHAR(34),CHAR(39)),$A759))),_xlfn.CONCAT("* REVIEW REQUIRED: compound-quote delimiter in Codebook Section on Sheet 1 row ",759,"; edit the input before running."),_xlfn.CONCAT("char ",TRIM($B759),"[doc_section] ",CHAR(96),CHAR(34),SUBSTITUTE(SUBSTITUTE(SUBSTITUTE(SUBSTITUTE(SUBSTITUTE(SUBSTITUTE($A759,CHAR(13)," "),CHAR(10)," "),CHAR(9)," "),CHAR(92),_xlfn.CONCAT(CHAR(92),CHAR(92))),"$",_xlfn.CONCAT(CHAR(92),"$")),CHAR(96),_xlfn.CONCAT(CHAR(92),CHAR(96))),CHAR(34),CHAR(39))))</f>
        <v/>
      </c>
      <c r="M759" s="5" t="str">
        <f>IF(OR(TRIM($B759)="",$C759=""),"",IF(IFERROR(MATCH(TRIM($C759),{"Quantitative","Continuous","Discrete","Categorical","Nominal","Ordinal","Identifier"},0),0)=0,_xlfn.CONCAT("* REVIEW REQUIRED: invalid Variable Type on Sheet 1 row ",759,"."),_xlfn.CONCAT("char ",TRIM($B759),"[doc_vartype] ",CHAR(96),CHAR(34),SUBSTITUTE(SUBSTITUTE(SUBSTITUTE(SUBSTITUTE(SUBSTITUTE(SUBSTITUTE(LOWER(TRIM($C759)),CHAR(13)," "),CHAR(10)," "),CHAR(9)," "),CHAR(92),_xlfn.CONCAT(CHAR(92),CHAR(92))),"$",_xlfn.CONCAT(CHAR(92),"$")),CHAR(96),_xlfn.CONCAT(CHAR(92),CHAR(96))),CHAR(34),CHAR(39))))</f>
        <v/>
      </c>
      <c r="N759" s="5" t="str">
        <f>IF(OR(TRIM($B759)="",$D759=""),"",IF(OR(ISNUMBER(SEARCH(_xlfn.CONCAT(CHAR(96),CHAR(34)),$D759)),ISNUMBER(SEARCH(_xlfn.CONCAT(CHAR(34),CHAR(39)),$D759))),_xlfn.CONCAT("* REVIEW REQUIRED: compound-quote delimiter in Item Number on Sheet 1 row ",759,"; edit the input before running."),_xlfn.CONCAT("char ",TRIM($B759),"[doc_itemnum] ",CHAR(96),CHAR(34),SUBSTITUTE(SUBSTITUTE(SUBSTITUTE(SUBSTITUTE(SUBSTITUTE(SUBSTITUTE($D759,CHAR(13)," "),CHAR(10)," "),CHAR(9)," "),CHAR(92),_xlfn.CONCAT(CHAR(92),CHAR(92))),"$",_xlfn.CONCAT(CHAR(92),"$")),CHAR(96),_xlfn.CONCAT(CHAR(92),CHAR(96))),CHAR(34),CHAR(39))))</f>
        <v/>
      </c>
      <c r="O759" s="5" t="str">
        <f>IF(OR(TRIM($B759)="",$E759=""),"",IF(OR(ISNUMBER(SEARCH(_xlfn.CONCAT(CHAR(96),CHAR(34)),$E759)),ISNUMBER(SEARCH(_xlfn.CONCAT(CHAR(34),CHAR(39)),$E759))),_xlfn.CONCAT("* REVIEW REQUIRED: compound-quote delimiter in Question Wording on Sheet 1 row ",759,"; edit the input before running."),_xlfn.CONCAT("char ",TRIM($B759),"[doc_question] ",CHAR(96),CHAR(34),SUBSTITUTE(SUBSTITUTE(SUBSTITUTE(SUBSTITUTE(SUBSTITUTE(SUBSTITUTE($E759,CHAR(13)," "),CHAR(10)," "),CHAR(9)," "),CHAR(92),_xlfn.CONCAT(CHAR(92),CHAR(92))),"$",_xlfn.CONCAT(CHAR(92),"$")),CHAR(96),_xlfn.CONCAT(CHAR(92),CHAR(96))),CHAR(34),CHAR(39))))</f>
        <v/>
      </c>
      <c r="P759" s="5" t="str">
        <f>IF(OR(TRIM($B759)="",$F759=""),"",IF(OR(ISNUMBER(SEARCH(_xlfn.CONCAT(CHAR(96),CHAR(34)),$F759)),ISNUMBER(SEARCH(_xlfn.CONCAT(CHAR(34),CHAR(39)),$F759))),_xlfn.CONCAT("* REVIEW REQUIRED: compound-quote delimiter in Units on Sheet 1 row ",759,"; edit the input before running."),_xlfn.CONCAT("char ",TRIM($B759),"[doc_units] ",CHAR(96),CHAR(34),SUBSTITUTE(SUBSTITUTE(SUBSTITUTE(SUBSTITUTE(SUBSTITUTE(SUBSTITUTE($F759,CHAR(13)," "),CHAR(10)," "),CHAR(9)," "),CHAR(92),_xlfn.CONCAT(CHAR(92),CHAR(92))),"$",_xlfn.CONCAT(CHAR(92),"$")),CHAR(96),_xlfn.CONCAT(CHAR(92),CHAR(96))),CHAR(34),CHAR(39))))</f>
        <v/>
      </c>
      <c r="Q759" s="5" t="str">
        <f>IF(OR(TRIM($B759)="",$G759=""),"",IF(OR(ISNUMBER(SEARCH(_xlfn.CONCAT(CHAR(96),CHAR(34)),$G759)),ISNUMBER(SEARCH(_xlfn.CONCAT(CHAR(34),CHAR(39)),$G759))),_xlfn.CONCAT("* REVIEW REQUIRED: compound-quote delimiter in Universe on Sheet 1 row ",759,"; edit the input before running."),_xlfn.CONCAT("char ",TRIM($B759),"[doc_universe] ",CHAR(96),CHAR(34),SUBSTITUTE(SUBSTITUTE(SUBSTITUTE(SUBSTITUTE(SUBSTITUTE(SUBSTITUTE($G759,CHAR(13)," "),CHAR(10)," "),CHAR(9)," "),CHAR(92),_xlfn.CONCAT(CHAR(92),CHAR(92))),"$",_xlfn.CONCAT(CHAR(92),"$")),CHAR(96),_xlfn.CONCAT(CHAR(92),CHAR(96))),CHAR(34),CHAR(39))))</f>
        <v/>
      </c>
      <c r="R759" s="5" t="str">
        <f>IF(OR(TRIM($B759)="",$H759=""),"",IF(OR(ISNUMBER(SEARCH(_xlfn.CONCAT(CHAR(96),CHAR(34)),$H759)),ISNUMBER(SEARCH(_xlfn.CONCAT(CHAR(34),CHAR(39)),$H759))),_xlfn.CONCAT("* REVIEW REQUIRED: compound-quote delimiter in Source on Sheet 1 row ",759,"; edit the input before running."),_xlfn.CONCAT("char ",TRIM($B759),"[doc_source] ",CHAR(96),CHAR(34),SUBSTITUTE(SUBSTITUTE(SUBSTITUTE(SUBSTITUTE(SUBSTITUTE(SUBSTITUTE($H759,CHAR(13)," "),CHAR(10)," "),CHAR(9)," "),CHAR(92),_xlfn.CONCAT(CHAR(92),CHAR(92))),"$",_xlfn.CONCAT(CHAR(92),"$")),CHAR(96),_xlfn.CONCAT(CHAR(92),CHAR(96))),CHAR(34),CHAR(39))))</f>
        <v/>
      </c>
      <c r="S759" s="5" t="str">
        <f>IF(OR(TRIM($B759)="",$I759=""),"",IF(OR(ISNUMBER(SEARCH(_xlfn.CONCAT(CHAR(96),CHAR(34)),$I759)),ISNUMBER(SEARCH(_xlfn.CONCAT(CHAR(34),CHAR(39)),$I759))),_xlfn.CONCAT("* REVIEW REQUIRED: compound-quote delimiter in Derivation on Sheet 1 row ",759,"; edit the input before running."),_xlfn.CONCAT("char ",TRIM($B759),"[doc_derivation] ",CHAR(96),CHAR(34),SUBSTITUTE(SUBSTITUTE(SUBSTITUTE(SUBSTITUTE(SUBSTITUTE(SUBSTITUTE($I759,CHAR(13)," "),CHAR(10)," "),CHAR(9)," "),CHAR(92),_xlfn.CONCAT(CHAR(92),CHAR(92))),"$",_xlfn.CONCAT(CHAR(92),"$")),CHAR(96),_xlfn.CONCAT(CHAR(92),CHAR(96))),CHAR(34),CHAR(39))))</f>
        <v/>
      </c>
      <c r="T759" s="5" t="str">
        <f>IF(OR(TRIM($B759)="",$J759=""),"",IF(OR(ISNUMBER(SEARCH(_xlfn.CONCAT(CHAR(96),CHAR(34)),$J759)),ISNUMBER(SEARCH(_xlfn.CONCAT(CHAR(34),CHAR(39)),$J759))),_xlfn.CONCAT("* REVIEW REQUIRED: compound-quote delimiter in Notes on Sheet 1 row ",759,"; edit the input before running."),_xlfn.CONCAT("char ",TRIM($B759),"[doc_notes] ",CHAR(96),CHAR(34),SUBSTITUTE(SUBSTITUTE(SUBSTITUTE(SUBSTITUTE(SUBSTITUTE(SUBSTITUTE($J759,CHAR(13)," "),CHAR(10)," "),CHAR(9)," "),CHAR(92),_xlfn.CONCAT(CHAR(92),CHAR(92))),"$",_xlfn.CONCAT(CHAR(92),"$")),CHAR(96),_xlfn.CONCAT(CHAR(92),CHAR(96))),CHAR(34),CHAR(39))))</f>
        <v/>
      </c>
      <c r="U759" s="5">
        <f t="shared" si="23"/>
        <v>0</v>
      </c>
    </row>
    <row r="760" spans="3:21" ht="30" customHeight="1" x14ac:dyDescent="0.2">
      <c r="C760" s="4"/>
      <c r="K760" s="5">
        <f t="shared" si="22"/>
        <v>0</v>
      </c>
      <c r="L760" s="5" t="str">
        <f>IF(OR(TRIM($B760)="",$A760=""),"",IF(OR(ISNUMBER(SEARCH(_xlfn.CONCAT(CHAR(96),CHAR(34)),$A760)),ISNUMBER(SEARCH(_xlfn.CONCAT(CHAR(34),CHAR(39)),$A760))),_xlfn.CONCAT("* REVIEW REQUIRED: compound-quote delimiter in Codebook Section on Sheet 1 row ",760,"; edit the input before running."),_xlfn.CONCAT("char ",TRIM($B760),"[doc_section] ",CHAR(96),CHAR(34),SUBSTITUTE(SUBSTITUTE(SUBSTITUTE(SUBSTITUTE(SUBSTITUTE(SUBSTITUTE($A760,CHAR(13)," "),CHAR(10)," "),CHAR(9)," "),CHAR(92),_xlfn.CONCAT(CHAR(92),CHAR(92))),"$",_xlfn.CONCAT(CHAR(92),"$")),CHAR(96),_xlfn.CONCAT(CHAR(92),CHAR(96))),CHAR(34),CHAR(39))))</f>
        <v/>
      </c>
      <c r="M760" s="5" t="str">
        <f>IF(OR(TRIM($B760)="",$C760=""),"",IF(IFERROR(MATCH(TRIM($C760),{"Quantitative","Continuous","Discrete","Categorical","Nominal","Ordinal","Identifier"},0),0)=0,_xlfn.CONCAT("* REVIEW REQUIRED: invalid Variable Type on Sheet 1 row ",760,"."),_xlfn.CONCAT("char ",TRIM($B760),"[doc_vartype] ",CHAR(96),CHAR(34),SUBSTITUTE(SUBSTITUTE(SUBSTITUTE(SUBSTITUTE(SUBSTITUTE(SUBSTITUTE(LOWER(TRIM($C760)),CHAR(13)," "),CHAR(10)," "),CHAR(9)," "),CHAR(92),_xlfn.CONCAT(CHAR(92),CHAR(92))),"$",_xlfn.CONCAT(CHAR(92),"$")),CHAR(96),_xlfn.CONCAT(CHAR(92),CHAR(96))),CHAR(34),CHAR(39))))</f>
        <v/>
      </c>
      <c r="N760" s="5" t="str">
        <f>IF(OR(TRIM($B760)="",$D760=""),"",IF(OR(ISNUMBER(SEARCH(_xlfn.CONCAT(CHAR(96),CHAR(34)),$D760)),ISNUMBER(SEARCH(_xlfn.CONCAT(CHAR(34),CHAR(39)),$D760))),_xlfn.CONCAT("* REVIEW REQUIRED: compound-quote delimiter in Item Number on Sheet 1 row ",760,"; edit the input before running."),_xlfn.CONCAT("char ",TRIM($B760),"[doc_itemnum] ",CHAR(96),CHAR(34),SUBSTITUTE(SUBSTITUTE(SUBSTITUTE(SUBSTITUTE(SUBSTITUTE(SUBSTITUTE($D760,CHAR(13)," "),CHAR(10)," "),CHAR(9)," "),CHAR(92),_xlfn.CONCAT(CHAR(92),CHAR(92))),"$",_xlfn.CONCAT(CHAR(92),"$")),CHAR(96),_xlfn.CONCAT(CHAR(92),CHAR(96))),CHAR(34),CHAR(39))))</f>
        <v/>
      </c>
      <c r="O760" s="5" t="str">
        <f>IF(OR(TRIM($B760)="",$E760=""),"",IF(OR(ISNUMBER(SEARCH(_xlfn.CONCAT(CHAR(96),CHAR(34)),$E760)),ISNUMBER(SEARCH(_xlfn.CONCAT(CHAR(34),CHAR(39)),$E760))),_xlfn.CONCAT("* REVIEW REQUIRED: compound-quote delimiter in Question Wording on Sheet 1 row ",760,"; edit the input before running."),_xlfn.CONCAT("char ",TRIM($B760),"[doc_question] ",CHAR(96),CHAR(34),SUBSTITUTE(SUBSTITUTE(SUBSTITUTE(SUBSTITUTE(SUBSTITUTE(SUBSTITUTE($E760,CHAR(13)," "),CHAR(10)," "),CHAR(9)," "),CHAR(92),_xlfn.CONCAT(CHAR(92),CHAR(92))),"$",_xlfn.CONCAT(CHAR(92),"$")),CHAR(96),_xlfn.CONCAT(CHAR(92),CHAR(96))),CHAR(34),CHAR(39))))</f>
        <v/>
      </c>
      <c r="P760" s="5" t="str">
        <f>IF(OR(TRIM($B760)="",$F760=""),"",IF(OR(ISNUMBER(SEARCH(_xlfn.CONCAT(CHAR(96),CHAR(34)),$F760)),ISNUMBER(SEARCH(_xlfn.CONCAT(CHAR(34),CHAR(39)),$F760))),_xlfn.CONCAT("* REVIEW REQUIRED: compound-quote delimiter in Units on Sheet 1 row ",760,"; edit the input before running."),_xlfn.CONCAT("char ",TRIM($B760),"[doc_units] ",CHAR(96),CHAR(34),SUBSTITUTE(SUBSTITUTE(SUBSTITUTE(SUBSTITUTE(SUBSTITUTE(SUBSTITUTE($F760,CHAR(13)," "),CHAR(10)," "),CHAR(9)," "),CHAR(92),_xlfn.CONCAT(CHAR(92),CHAR(92))),"$",_xlfn.CONCAT(CHAR(92),"$")),CHAR(96),_xlfn.CONCAT(CHAR(92),CHAR(96))),CHAR(34),CHAR(39))))</f>
        <v/>
      </c>
      <c r="Q760" s="5" t="str">
        <f>IF(OR(TRIM($B760)="",$G760=""),"",IF(OR(ISNUMBER(SEARCH(_xlfn.CONCAT(CHAR(96),CHAR(34)),$G760)),ISNUMBER(SEARCH(_xlfn.CONCAT(CHAR(34),CHAR(39)),$G760))),_xlfn.CONCAT("* REVIEW REQUIRED: compound-quote delimiter in Universe on Sheet 1 row ",760,"; edit the input before running."),_xlfn.CONCAT("char ",TRIM($B760),"[doc_universe] ",CHAR(96),CHAR(34),SUBSTITUTE(SUBSTITUTE(SUBSTITUTE(SUBSTITUTE(SUBSTITUTE(SUBSTITUTE($G760,CHAR(13)," "),CHAR(10)," "),CHAR(9)," "),CHAR(92),_xlfn.CONCAT(CHAR(92),CHAR(92))),"$",_xlfn.CONCAT(CHAR(92),"$")),CHAR(96),_xlfn.CONCAT(CHAR(92),CHAR(96))),CHAR(34),CHAR(39))))</f>
        <v/>
      </c>
      <c r="R760" s="5" t="str">
        <f>IF(OR(TRIM($B760)="",$H760=""),"",IF(OR(ISNUMBER(SEARCH(_xlfn.CONCAT(CHAR(96),CHAR(34)),$H760)),ISNUMBER(SEARCH(_xlfn.CONCAT(CHAR(34),CHAR(39)),$H760))),_xlfn.CONCAT("* REVIEW REQUIRED: compound-quote delimiter in Source on Sheet 1 row ",760,"; edit the input before running."),_xlfn.CONCAT("char ",TRIM($B760),"[doc_source] ",CHAR(96),CHAR(34),SUBSTITUTE(SUBSTITUTE(SUBSTITUTE(SUBSTITUTE(SUBSTITUTE(SUBSTITUTE($H760,CHAR(13)," "),CHAR(10)," "),CHAR(9)," "),CHAR(92),_xlfn.CONCAT(CHAR(92),CHAR(92))),"$",_xlfn.CONCAT(CHAR(92),"$")),CHAR(96),_xlfn.CONCAT(CHAR(92),CHAR(96))),CHAR(34),CHAR(39))))</f>
        <v/>
      </c>
      <c r="S760" s="5" t="str">
        <f>IF(OR(TRIM($B760)="",$I760=""),"",IF(OR(ISNUMBER(SEARCH(_xlfn.CONCAT(CHAR(96),CHAR(34)),$I760)),ISNUMBER(SEARCH(_xlfn.CONCAT(CHAR(34),CHAR(39)),$I760))),_xlfn.CONCAT("* REVIEW REQUIRED: compound-quote delimiter in Derivation on Sheet 1 row ",760,"; edit the input before running."),_xlfn.CONCAT("char ",TRIM($B760),"[doc_derivation] ",CHAR(96),CHAR(34),SUBSTITUTE(SUBSTITUTE(SUBSTITUTE(SUBSTITUTE(SUBSTITUTE(SUBSTITUTE($I760,CHAR(13)," "),CHAR(10)," "),CHAR(9)," "),CHAR(92),_xlfn.CONCAT(CHAR(92),CHAR(92))),"$",_xlfn.CONCAT(CHAR(92),"$")),CHAR(96),_xlfn.CONCAT(CHAR(92),CHAR(96))),CHAR(34),CHAR(39))))</f>
        <v/>
      </c>
      <c r="T760" s="5" t="str">
        <f>IF(OR(TRIM($B760)="",$J760=""),"",IF(OR(ISNUMBER(SEARCH(_xlfn.CONCAT(CHAR(96),CHAR(34)),$J760)),ISNUMBER(SEARCH(_xlfn.CONCAT(CHAR(34),CHAR(39)),$J760))),_xlfn.CONCAT("* REVIEW REQUIRED: compound-quote delimiter in Notes on Sheet 1 row ",760,"; edit the input before running."),_xlfn.CONCAT("char ",TRIM($B760),"[doc_notes] ",CHAR(96),CHAR(34),SUBSTITUTE(SUBSTITUTE(SUBSTITUTE(SUBSTITUTE(SUBSTITUTE(SUBSTITUTE($J760,CHAR(13)," "),CHAR(10)," "),CHAR(9)," "),CHAR(92),_xlfn.CONCAT(CHAR(92),CHAR(92))),"$",_xlfn.CONCAT(CHAR(92),"$")),CHAR(96),_xlfn.CONCAT(CHAR(92),CHAR(96))),CHAR(34),CHAR(39))))</f>
        <v/>
      </c>
      <c r="U760" s="5">
        <f t="shared" si="23"/>
        <v>0</v>
      </c>
    </row>
    <row r="761" spans="3:21" ht="30" customHeight="1" x14ac:dyDescent="0.2">
      <c r="C761" s="4"/>
      <c r="K761" s="5">
        <f t="shared" si="22"/>
        <v>0</v>
      </c>
      <c r="L761" s="5" t="str">
        <f>IF(OR(TRIM($B761)="",$A761=""),"",IF(OR(ISNUMBER(SEARCH(_xlfn.CONCAT(CHAR(96),CHAR(34)),$A761)),ISNUMBER(SEARCH(_xlfn.CONCAT(CHAR(34),CHAR(39)),$A761))),_xlfn.CONCAT("* REVIEW REQUIRED: compound-quote delimiter in Codebook Section on Sheet 1 row ",761,"; edit the input before running."),_xlfn.CONCAT("char ",TRIM($B761),"[doc_section] ",CHAR(96),CHAR(34),SUBSTITUTE(SUBSTITUTE(SUBSTITUTE(SUBSTITUTE(SUBSTITUTE(SUBSTITUTE($A761,CHAR(13)," "),CHAR(10)," "),CHAR(9)," "),CHAR(92),_xlfn.CONCAT(CHAR(92),CHAR(92))),"$",_xlfn.CONCAT(CHAR(92),"$")),CHAR(96),_xlfn.CONCAT(CHAR(92),CHAR(96))),CHAR(34),CHAR(39))))</f>
        <v/>
      </c>
      <c r="M761" s="5" t="str">
        <f>IF(OR(TRIM($B761)="",$C761=""),"",IF(IFERROR(MATCH(TRIM($C761),{"Quantitative","Continuous","Discrete","Categorical","Nominal","Ordinal","Identifier"},0),0)=0,_xlfn.CONCAT("* REVIEW REQUIRED: invalid Variable Type on Sheet 1 row ",761,"."),_xlfn.CONCAT("char ",TRIM($B761),"[doc_vartype] ",CHAR(96),CHAR(34),SUBSTITUTE(SUBSTITUTE(SUBSTITUTE(SUBSTITUTE(SUBSTITUTE(SUBSTITUTE(LOWER(TRIM($C761)),CHAR(13)," "),CHAR(10)," "),CHAR(9)," "),CHAR(92),_xlfn.CONCAT(CHAR(92),CHAR(92))),"$",_xlfn.CONCAT(CHAR(92),"$")),CHAR(96),_xlfn.CONCAT(CHAR(92),CHAR(96))),CHAR(34),CHAR(39))))</f>
        <v/>
      </c>
      <c r="N761" s="5" t="str">
        <f>IF(OR(TRIM($B761)="",$D761=""),"",IF(OR(ISNUMBER(SEARCH(_xlfn.CONCAT(CHAR(96),CHAR(34)),$D761)),ISNUMBER(SEARCH(_xlfn.CONCAT(CHAR(34),CHAR(39)),$D761))),_xlfn.CONCAT("* REVIEW REQUIRED: compound-quote delimiter in Item Number on Sheet 1 row ",761,"; edit the input before running."),_xlfn.CONCAT("char ",TRIM($B761),"[doc_itemnum] ",CHAR(96),CHAR(34),SUBSTITUTE(SUBSTITUTE(SUBSTITUTE(SUBSTITUTE(SUBSTITUTE(SUBSTITUTE($D761,CHAR(13)," "),CHAR(10)," "),CHAR(9)," "),CHAR(92),_xlfn.CONCAT(CHAR(92),CHAR(92))),"$",_xlfn.CONCAT(CHAR(92),"$")),CHAR(96),_xlfn.CONCAT(CHAR(92),CHAR(96))),CHAR(34),CHAR(39))))</f>
        <v/>
      </c>
      <c r="O761" s="5" t="str">
        <f>IF(OR(TRIM($B761)="",$E761=""),"",IF(OR(ISNUMBER(SEARCH(_xlfn.CONCAT(CHAR(96),CHAR(34)),$E761)),ISNUMBER(SEARCH(_xlfn.CONCAT(CHAR(34),CHAR(39)),$E761))),_xlfn.CONCAT("* REVIEW REQUIRED: compound-quote delimiter in Question Wording on Sheet 1 row ",761,"; edit the input before running."),_xlfn.CONCAT("char ",TRIM($B761),"[doc_question] ",CHAR(96),CHAR(34),SUBSTITUTE(SUBSTITUTE(SUBSTITUTE(SUBSTITUTE(SUBSTITUTE(SUBSTITUTE($E761,CHAR(13)," "),CHAR(10)," "),CHAR(9)," "),CHAR(92),_xlfn.CONCAT(CHAR(92),CHAR(92))),"$",_xlfn.CONCAT(CHAR(92),"$")),CHAR(96),_xlfn.CONCAT(CHAR(92),CHAR(96))),CHAR(34),CHAR(39))))</f>
        <v/>
      </c>
      <c r="P761" s="5" t="str">
        <f>IF(OR(TRIM($B761)="",$F761=""),"",IF(OR(ISNUMBER(SEARCH(_xlfn.CONCAT(CHAR(96),CHAR(34)),$F761)),ISNUMBER(SEARCH(_xlfn.CONCAT(CHAR(34),CHAR(39)),$F761))),_xlfn.CONCAT("* REVIEW REQUIRED: compound-quote delimiter in Units on Sheet 1 row ",761,"; edit the input before running."),_xlfn.CONCAT("char ",TRIM($B761),"[doc_units] ",CHAR(96),CHAR(34),SUBSTITUTE(SUBSTITUTE(SUBSTITUTE(SUBSTITUTE(SUBSTITUTE(SUBSTITUTE($F761,CHAR(13)," "),CHAR(10)," "),CHAR(9)," "),CHAR(92),_xlfn.CONCAT(CHAR(92),CHAR(92))),"$",_xlfn.CONCAT(CHAR(92),"$")),CHAR(96),_xlfn.CONCAT(CHAR(92),CHAR(96))),CHAR(34),CHAR(39))))</f>
        <v/>
      </c>
      <c r="Q761" s="5" t="str">
        <f>IF(OR(TRIM($B761)="",$G761=""),"",IF(OR(ISNUMBER(SEARCH(_xlfn.CONCAT(CHAR(96),CHAR(34)),$G761)),ISNUMBER(SEARCH(_xlfn.CONCAT(CHAR(34),CHAR(39)),$G761))),_xlfn.CONCAT("* REVIEW REQUIRED: compound-quote delimiter in Universe on Sheet 1 row ",761,"; edit the input before running."),_xlfn.CONCAT("char ",TRIM($B761),"[doc_universe] ",CHAR(96),CHAR(34),SUBSTITUTE(SUBSTITUTE(SUBSTITUTE(SUBSTITUTE(SUBSTITUTE(SUBSTITUTE($G761,CHAR(13)," "),CHAR(10)," "),CHAR(9)," "),CHAR(92),_xlfn.CONCAT(CHAR(92),CHAR(92))),"$",_xlfn.CONCAT(CHAR(92),"$")),CHAR(96),_xlfn.CONCAT(CHAR(92),CHAR(96))),CHAR(34),CHAR(39))))</f>
        <v/>
      </c>
      <c r="R761" s="5" t="str">
        <f>IF(OR(TRIM($B761)="",$H761=""),"",IF(OR(ISNUMBER(SEARCH(_xlfn.CONCAT(CHAR(96),CHAR(34)),$H761)),ISNUMBER(SEARCH(_xlfn.CONCAT(CHAR(34),CHAR(39)),$H761))),_xlfn.CONCAT("* REVIEW REQUIRED: compound-quote delimiter in Source on Sheet 1 row ",761,"; edit the input before running."),_xlfn.CONCAT("char ",TRIM($B761),"[doc_source] ",CHAR(96),CHAR(34),SUBSTITUTE(SUBSTITUTE(SUBSTITUTE(SUBSTITUTE(SUBSTITUTE(SUBSTITUTE($H761,CHAR(13)," "),CHAR(10)," "),CHAR(9)," "),CHAR(92),_xlfn.CONCAT(CHAR(92),CHAR(92))),"$",_xlfn.CONCAT(CHAR(92),"$")),CHAR(96),_xlfn.CONCAT(CHAR(92),CHAR(96))),CHAR(34),CHAR(39))))</f>
        <v/>
      </c>
      <c r="S761" s="5" t="str">
        <f>IF(OR(TRIM($B761)="",$I761=""),"",IF(OR(ISNUMBER(SEARCH(_xlfn.CONCAT(CHAR(96),CHAR(34)),$I761)),ISNUMBER(SEARCH(_xlfn.CONCAT(CHAR(34),CHAR(39)),$I761))),_xlfn.CONCAT("* REVIEW REQUIRED: compound-quote delimiter in Derivation on Sheet 1 row ",761,"; edit the input before running."),_xlfn.CONCAT("char ",TRIM($B761),"[doc_derivation] ",CHAR(96),CHAR(34),SUBSTITUTE(SUBSTITUTE(SUBSTITUTE(SUBSTITUTE(SUBSTITUTE(SUBSTITUTE($I761,CHAR(13)," "),CHAR(10)," "),CHAR(9)," "),CHAR(92),_xlfn.CONCAT(CHAR(92),CHAR(92))),"$",_xlfn.CONCAT(CHAR(92),"$")),CHAR(96),_xlfn.CONCAT(CHAR(92),CHAR(96))),CHAR(34),CHAR(39))))</f>
        <v/>
      </c>
      <c r="T761" s="5" t="str">
        <f>IF(OR(TRIM($B761)="",$J761=""),"",IF(OR(ISNUMBER(SEARCH(_xlfn.CONCAT(CHAR(96),CHAR(34)),$J761)),ISNUMBER(SEARCH(_xlfn.CONCAT(CHAR(34),CHAR(39)),$J761))),_xlfn.CONCAT("* REVIEW REQUIRED: compound-quote delimiter in Notes on Sheet 1 row ",761,"; edit the input before running."),_xlfn.CONCAT("char ",TRIM($B761),"[doc_notes] ",CHAR(96),CHAR(34),SUBSTITUTE(SUBSTITUTE(SUBSTITUTE(SUBSTITUTE(SUBSTITUTE(SUBSTITUTE($J761,CHAR(13)," "),CHAR(10)," "),CHAR(9)," "),CHAR(92),_xlfn.CONCAT(CHAR(92),CHAR(92))),"$",_xlfn.CONCAT(CHAR(92),"$")),CHAR(96),_xlfn.CONCAT(CHAR(92),CHAR(96))),CHAR(34),CHAR(39))))</f>
        <v/>
      </c>
      <c r="U761" s="5">
        <f t="shared" si="23"/>
        <v>0</v>
      </c>
    </row>
    <row r="762" spans="3:21" ht="30" customHeight="1" x14ac:dyDescent="0.2">
      <c r="C762" s="4"/>
      <c r="K762" s="5">
        <f t="shared" si="22"/>
        <v>0</v>
      </c>
      <c r="L762" s="5" t="str">
        <f>IF(OR(TRIM($B762)="",$A762=""),"",IF(OR(ISNUMBER(SEARCH(_xlfn.CONCAT(CHAR(96),CHAR(34)),$A762)),ISNUMBER(SEARCH(_xlfn.CONCAT(CHAR(34),CHAR(39)),$A762))),_xlfn.CONCAT("* REVIEW REQUIRED: compound-quote delimiter in Codebook Section on Sheet 1 row ",762,"; edit the input before running."),_xlfn.CONCAT("char ",TRIM($B762),"[doc_section] ",CHAR(96),CHAR(34),SUBSTITUTE(SUBSTITUTE(SUBSTITUTE(SUBSTITUTE(SUBSTITUTE(SUBSTITUTE($A762,CHAR(13)," "),CHAR(10)," "),CHAR(9)," "),CHAR(92),_xlfn.CONCAT(CHAR(92),CHAR(92))),"$",_xlfn.CONCAT(CHAR(92),"$")),CHAR(96),_xlfn.CONCAT(CHAR(92),CHAR(96))),CHAR(34),CHAR(39))))</f>
        <v/>
      </c>
      <c r="M762" s="5" t="str">
        <f>IF(OR(TRIM($B762)="",$C762=""),"",IF(IFERROR(MATCH(TRIM($C762),{"Quantitative","Continuous","Discrete","Categorical","Nominal","Ordinal","Identifier"},0),0)=0,_xlfn.CONCAT("* REVIEW REQUIRED: invalid Variable Type on Sheet 1 row ",762,"."),_xlfn.CONCAT("char ",TRIM($B762),"[doc_vartype] ",CHAR(96),CHAR(34),SUBSTITUTE(SUBSTITUTE(SUBSTITUTE(SUBSTITUTE(SUBSTITUTE(SUBSTITUTE(LOWER(TRIM($C762)),CHAR(13)," "),CHAR(10)," "),CHAR(9)," "),CHAR(92),_xlfn.CONCAT(CHAR(92),CHAR(92))),"$",_xlfn.CONCAT(CHAR(92),"$")),CHAR(96),_xlfn.CONCAT(CHAR(92),CHAR(96))),CHAR(34),CHAR(39))))</f>
        <v/>
      </c>
      <c r="N762" s="5" t="str">
        <f>IF(OR(TRIM($B762)="",$D762=""),"",IF(OR(ISNUMBER(SEARCH(_xlfn.CONCAT(CHAR(96),CHAR(34)),$D762)),ISNUMBER(SEARCH(_xlfn.CONCAT(CHAR(34),CHAR(39)),$D762))),_xlfn.CONCAT("* REVIEW REQUIRED: compound-quote delimiter in Item Number on Sheet 1 row ",762,"; edit the input before running."),_xlfn.CONCAT("char ",TRIM($B762),"[doc_itemnum] ",CHAR(96),CHAR(34),SUBSTITUTE(SUBSTITUTE(SUBSTITUTE(SUBSTITUTE(SUBSTITUTE(SUBSTITUTE($D762,CHAR(13)," "),CHAR(10)," "),CHAR(9)," "),CHAR(92),_xlfn.CONCAT(CHAR(92),CHAR(92))),"$",_xlfn.CONCAT(CHAR(92),"$")),CHAR(96),_xlfn.CONCAT(CHAR(92),CHAR(96))),CHAR(34),CHAR(39))))</f>
        <v/>
      </c>
      <c r="O762" s="5" t="str">
        <f>IF(OR(TRIM($B762)="",$E762=""),"",IF(OR(ISNUMBER(SEARCH(_xlfn.CONCAT(CHAR(96),CHAR(34)),$E762)),ISNUMBER(SEARCH(_xlfn.CONCAT(CHAR(34),CHAR(39)),$E762))),_xlfn.CONCAT("* REVIEW REQUIRED: compound-quote delimiter in Question Wording on Sheet 1 row ",762,"; edit the input before running."),_xlfn.CONCAT("char ",TRIM($B762),"[doc_question] ",CHAR(96),CHAR(34),SUBSTITUTE(SUBSTITUTE(SUBSTITUTE(SUBSTITUTE(SUBSTITUTE(SUBSTITUTE($E762,CHAR(13)," "),CHAR(10)," "),CHAR(9)," "),CHAR(92),_xlfn.CONCAT(CHAR(92),CHAR(92))),"$",_xlfn.CONCAT(CHAR(92),"$")),CHAR(96),_xlfn.CONCAT(CHAR(92),CHAR(96))),CHAR(34),CHAR(39))))</f>
        <v/>
      </c>
      <c r="P762" s="5" t="str">
        <f>IF(OR(TRIM($B762)="",$F762=""),"",IF(OR(ISNUMBER(SEARCH(_xlfn.CONCAT(CHAR(96),CHAR(34)),$F762)),ISNUMBER(SEARCH(_xlfn.CONCAT(CHAR(34),CHAR(39)),$F762))),_xlfn.CONCAT("* REVIEW REQUIRED: compound-quote delimiter in Units on Sheet 1 row ",762,"; edit the input before running."),_xlfn.CONCAT("char ",TRIM($B762),"[doc_units] ",CHAR(96),CHAR(34),SUBSTITUTE(SUBSTITUTE(SUBSTITUTE(SUBSTITUTE(SUBSTITUTE(SUBSTITUTE($F762,CHAR(13)," "),CHAR(10)," "),CHAR(9)," "),CHAR(92),_xlfn.CONCAT(CHAR(92),CHAR(92))),"$",_xlfn.CONCAT(CHAR(92),"$")),CHAR(96),_xlfn.CONCAT(CHAR(92),CHAR(96))),CHAR(34),CHAR(39))))</f>
        <v/>
      </c>
      <c r="Q762" s="5" t="str">
        <f>IF(OR(TRIM($B762)="",$G762=""),"",IF(OR(ISNUMBER(SEARCH(_xlfn.CONCAT(CHAR(96),CHAR(34)),$G762)),ISNUMBER(SEARCH(_xlfn.CONCAT(CHAR(34),CHAR(39)),$G762))),_xlfn.CONCAT("* REVIEW REQUIRED: compound-quote delimiter in Universe on Sheet 1 row ",762,"; edit the input before running."),_xlfn.CONCAT("char ",TRIM($B762),"[doc_universe] ",CHAR(96),CHAR(34),SUBSTITUTE(SUBSTITUTE(SUBSTITUTE(SUBSTITUTE(SUBSTITUTE(SUBSTITUTE($G762,CHAR(13)," "),CHAR(10)," "),CHAR(9)," "),CHAR(92),_xlfn.CONCAT(CHAR(92),CHAR(92))),"$",_xlfn.CONCAT(CHAR(92),"$")),CHAR(96),_xlfn.CONCAT(CHAR(92),CHAR(96))),CHAR(34),CHAR(39))))</f>
        <v/>
      </c>
      <c r="R762" s="5" t="str">
        <f>IF(OR(TRIM($B762)="",$H762=""),"",IF(OR(ISNUMBER(SEARCH(_xlfn.CONCAT(CHAR(96),CHAR(34)),$H762)),ISNUMBER(SEARCH(_xlfn.CONCAT(CHAR(34),CHAR(39)),$H762))),_xlfn.CONCAT("* REVIEW REQUIRED: compound-quote delimiter in Source on Sheet 1 row ",762,"; edit the input before running."),_xlfn.CONCAT("char ",TRIM($B762),"[doc_source] ",CHAR(96),CHAR(34),SUBSTITUTE(SUBSTITUTE(SUBSTITUTE(SUBSTITUTE(SUBSTITUTE(SUBSTITUTE($H762,CHAR(13)," "),CHAR(10)," "),CHAR(9)," "),CHAR(92),_xlfn.CONCAT(CHAR(92),CHAR(92))),"$",_xlfn.CONCAT(CHAR(92),"$")),CHAR(96),_xlfn.CONCAT(CHAR(92),CHAR(96))),CHAR(34),CHAR(39))))</f>
        <v/>
      </c>
      <c r="S762" s="5" t="str">
        <f>IF(OR(TRIM($B762)="",$I762=""),"",IF(OR(ISNUMBER(SEARCH(_xlfn.CONCAT(CHAR(96),CHAR(34)),$I762)),ISNUMBER(SEARCH(_xlfn.CONCAT(CHAR(34),CHAR(39)),$I762))),_xlfn.CONCAT("* REVIEW REQUIRED: compound-quote delimiter in Derivation on Sheet 1 row ",762,"; edit the input before running."),_xlfn.CONCAT("char ",TRIM($B762),"[doc_derivation] ",CHAR(96),CHAR(34),SUBSTITUTE(SUBSTITUTE(SUBSTITUTE(SUBSTITUTE(SUBSTITUTE(SUBSTITUTE($I762,CHAR(13)," "),CHAR(10)," "),CHAR(9)," "),CHAR(92),_xlfn.CONCAT(CHAR(92),CHAR(92))),"$",_xlfn.CONCAT(CHAR(92),"$")),CHAR(96),_xlfn.CONCAT(CHAR(92),CHAR(96))),CHAR(34),CHAR(39))))</f>
        <v/>
      </c>
      <c r="T762" s="5" t="str">
        <f>IF(OR(TRIM($B762)="",$J762=""),"",IF(OR(ISNUMBER(SEARCH(_xlfn.CONCAT(CHAR(96),CHAR(34)),$J762)),ISNUMBER(SEARCH(_xlfn.CONCAT(CHAR(34),CHAR(39)),$J762))),_xlfn.CONCAT("* REVIEW REQUIRED: compound-quote delimiter in Notes on Sheet 1 row ",762,"; edit the input before running."),_xlfn.CONCAT("char ",TRIM($B762),"[doc_notes] ",CHAR(96),CHAR(34),SUBSTITUTE(SUBSTITUTE(SUBSTITUTE(SUBSTITUTE(SUBSTITUTE(SUBSTITUTE($J762,CHAR(13)," "),CHAR(10)," "),CHAR(9)," "),CHAR(92),_xlfn.CONCAT(CHAR(92),CHAR(92))),"$",_xlfn.CONCAT(CHAR(92),"$")),CHAR(96),_xlfn.CONCAT(CHAR(92),CHAR(96))),CHAR(34),CHAR(39))))</f>
        <v/>
      </c>
      <c r="U762" s="5">
        <f t="shared" si="23"/>
        <v>0</v>
      </c>
    </row>
    <row r="763" spans="3:21" ht="30" customHeight="1" x14ac:dyDescent="0.2">
      <c r="C763" s="4"/>
      <c r="K763" s="5">
        <f t="shared" si="22"/>
        <v>0</v>
      </c>
      <c r="L763" s="5" t="str">
        <f>IF(OR(TRIM($B763)="",$A763=""),"",IF(OR(ISNUMBER(SEARCH(_xlfn.CONCAT(CHAR(96),CHAR(34)),$A763)),ISNUMBER(SEARCH(_xlfn.CONCAT(CHAR(34),CHAR(39)),$A763))),_xlfn.CONCAT("* REVIEW REQUIRED: compound-quote delimiter in Codebook Section on Sheet 1 row ",763,"; edit the input before running."),_xlfn.CONCAT("char ",TRIM($B763),"[doc_section] ",CHAR(96),CHAR(34),SUBSTITUTE(SUBSTITUTE(SUBSTITUTE(SUBSTITUTE(SUBSTITUTE(SUBSTITUTE($A763,CHAR(13)," "),CHAR(10)," "),CHAR(9)," "),CHAR(92),_xlfn.CONCAT(CHAR(92),CHAR(92))),"$",_xlfn.CONCAT(CHAR(92),"$")),CHAR(96),_xlfn.CONCAT(CHAR(92),CHAR(96))),CHAR(34),CHAR(39))))</f>
        <v/>
      </c>
      <c r="M763" s="5" t="str">
        <f>IF(OR(TRIM($B763)="",$C763=""),"",IF(IFERROR(MATCH(TRIM($C763),{"Quantitative","Continuous","Discrete","Categorical","Nominal","Ordinal","Identifier"},0),0)=0,_xlfn.CONCAT("* REVIEW REQUIRED: invalid Variable Type on Sheet 1 row ",763,"."),_xlfn.CONCAT("char ",TRIM($B763),"[doc_vartype] ",CHAR(96),CHAR(34),SUBSTITUTE(SUBSTITUTE(SUBSTITUTE(SUBSTITUTE(SUBSTITUTE(SUBSTITUTE(LOWER(TRIM($C763)),CHAR(13)," "),CHAR(10)," "),CHAR(9)," "),CHAR(92),_xlfn.CONCAT(CHAR(92),CHAR(92))),"$",_xlfn.CONCAT(CHAR(92),"$")),CHAR(96),_xlfn.CONCAT(CHAR(92),CHAR(96))),CHAR(34),CHAR(39))))</f>
        <v/>
      </c>
      <c r="N763" s="5" t="str">
        <f>IF(OR(TRIM($B763)="",$D763=""),"",IF(OR(ISNUMBER(SEARCH(_xlfn.CONCAT(CHAR(96),CHAR(34)),$D763)),ISNUMBER(SEARCH(_xlfn.CONCAT(CHAR(34),CHAR(39)),$D763))),_xlfn.CONCAT("* REVIEW REQUIRED: compound-quote delimiter in Item Number on Sheet 1 row ",763,"; edit the input before running."),_xlfn.CONCAT("char ",TRIM($B763),"[doc_itemnum] ",CHAR(96),CHAR(34),SUBSTITUTE(SUBSTITUTE(SUBSTITUTE(SUBSTITUTE(SUBSTITUTE(SUBSTITUTE($D763,CHAR(13)," "),CHAR(10)," "),CHAR(9)," "),CHAR(92),_xlfn.CONCAT(CHAR(92),CHAR(92))),"$",_xlfn.CONCAT(CHAR(92),"$")),CHAR(96),_xlfn.CONCAT(CHAR(92),CHAR(96))),CHAR(34),CHAR(39))))</f>
        <v/>
      </c>
      <c r="O763" s="5" t="str">
        <f>IF(OR(TRIM($B763)="",$E763=""),"",IF(OR(ISNUMBER(SEARCH(_xlfn.CONCAT(CHAR(96),CHAR(34)),$E763)),ISNUMBER(SEARCH(_xlfn.CONCAT(CHAR(34),CHAR(39)),$E763))),_xlfn.CONCAT("* REVIEW REQUIRED: compound-quote delimiter in Question Wording on Sheet 1 row ",763,"; edit the input before running."),_xlfn.CONCAT("char ",TRIM($B763),"[doc_question] ",CHAR(96),CHAR(34),SUBSTITUTE(SUBSTITUTE(SUBSTITUTE(SUBSTITUTE(SUBSTITUTE(SUBSTITUTE($E763,CHAR(13)," "),CHAR(10)," "),CHAR(9)," "),CHAR(92),_xlfn.CONCAT(CHAR(92),CHAR(92))),"$",_xlfn.CONCAT(CHAR(92),"$")),CHAR(96),_xlfn.CONCAT(CHAR(92),CHAR(96))),CHAR(34),CHAR(39))))</f>
        <v/>
      </c>
      <c r="P763" s="5" t="str">
        <f>IF(OR(TRIM($B763)="",$F763=""),"",IF(OR(ISNUMBER(SEARCH(_xlfn.CONCAT(CHAR(96),CHAR(34)),$F763)),ISNUMBER(SEARCH(_xlfn.CONCAT(CHAR(34),CHAR(39)),$F763))),_xlfn.CONCAT("* REVIEW REQUIRED: compound-quote delimiter in Units on Sheet 1 row ",763,"; edit the input before running."),_xlfn.CONCAT("char ",TRIM($B763),"[doc_units] ",CHAR(96),CHAR(34),SUBSTITUTE(SUBSTITUTE(SUBSTITUTE(SUBSTITUTE(SUBSTITUTE(SUBSTITUTE($F763,CHAR(13)," "),CHAR(10)," "),CHAR(9)," "),CHAR(92),_xlfn.CONCAT(CHAR(92),CHAR(92))),"$",_xlfn.CONCAT(CHAR(92),"$")),CHAR(96),_xlfn.CONCAT(CHAR(92),CHAR(96))),CHAR(34),CHAR(39))))</f>
        <v/>
      </c>
      <c r="Q763" s="5" t="str">
        <f>IF(OR(TRIM($B763)="",$G763=""),"",IF(OR(ISNUMBER(SEARCH(_xlfn.CONCAT(CHAR(96),CHAR(34)),$G763)),ISNUMBER(SEARCH(_xlfn.CONCAT(CHAR(34),CHAR(39)),$G763))),_xlfn.CONCAT("* REVIEW REQUIRED: compound-quote delimiter in Universe on Sheet 1 row ",763,"; edit the input before running."),_xlfn.CONCAT("char ",TRIM($B763),"[doc_universe] ",CHAR(96),CHAR(34),SUBSTITUTE(SUBSTITUTE(SUBSTITUTE(SUBSTITUTE(SUBSTITUTE(SUBSTITUTE($G763,CHAR(13)," "),CHAR(10)," "),CHAR(9)," "),CHAR(92),_xlfn.CONCAT(CHAR(92),CHAR(92))),"$",_xlfn.CONCAT(CHAR(92),"$")),CHAR(96),_xlfn.CONCAT(CHAR(92),CHAR(96))),CHAR(34),CHAR(39))))</f>
        <v/>
      </c>
      <c r="R763" s="5" t="str">
        <f>IF(OR(TRIM($B763)="",$H763=""),"",IF(OR(ISNUMBER(SEARCH(_xlfn.CONCAT(CHAR(96),CHAR(34)),$H763)),ISNUMBER(SEARCH(_xlfn.CONCAT(CHAR(34),CHAR(39)),$H763))),_xlfn.CONCAT("* REVIEW REQUIRED: compound-quote delimiter in Source on Sheet 1 row ",763,"; edit the input before running."),_xlfn.CONCAT("char ",TRIM($B763),"[doc_source] ",CHAR(96),CHAR(34),SUBSTITUTE(SUBSTITUTE(SUBSTITUTE(SUBSTITUTE(SUBSTITUTE(SUBSTITUTE($H763,CHAR(13)," "),CHAR(10)," "),CHAR(9)," "),CHAR(92),_xlfn.CONCAT(CHAR(92),CHAR(92))),"$",_xlfn.CONCAT(CHAR(92),"$")),CHAR(96),_xlfn.CONCAT(CHAR(92),CHAR(96))),CHAR(34),CHAR(39))))</f>
        <v/>
      </c>
      <c r="S763" s="5" t="str">
        <f>IF(OR(TRIM($B763)="",$I763=""),"",IF(OR(ISNUMBER(SEARCH(_xlfn.CONCAT(CHAR(96),CHAR(34)),$I763)),ISNUMBER(SEARCH(_xlfn.CONCAT(CHAR(34),CHAR(39)),$I763))),_xlfn.CONCAT("* REVIEW REQUIRED: compound-quote delimiter in Derivation on Sheet 1 row ",763,"; edit the input before running."),_xlfn.CONCAT("char ",TRIM($B763),"[doc_derivation] ",CHAR(96),CHAR(34),SUBSTITUTE(SUBSTITUTE(SUBSTITUTE(SUBSTITUTE(SUBSTITUTE(SUBSTITUTE($I763,CHAR(13)," "),CHAR(10)," "),CHAR(9)," "),CHAR(92),_xlfn.CONCAT(CHAR(92),CHAR(92))),"$",_xlfn.CONCAT(CHAR(92),"$")),CHAR(96),_xlfn.CONCAT(CHAR(92),CHAR(96))),CHAR(34),CHAR(39))))</f>
        <v/>
      </c>
      <c r="T763" s="5" t="str">
        <f>IF(OR(TRIM($B763)="",$J763=""),"",IF(OR(ISNUMBER(SEARCH(_xlfn.CONCAT(CHAR(96),CHAR(34)),$J763)),ISNUMBER(SEARCH(_xlfn.CONCAT(CHAR(34),CHAR(39)),$J763))),_xlfn.CONCAT("* REVIEW REQUIRED: compound-quote delimiter in Notes on Sheet 1 row ",763,"; edit the input before running."),_xlfn.CONCAT("char ",TRIM($B763),"[doc_notes] ",CHAR(96),CHAR(34),SUBSTITUTE(SUBSTITUTE(SUBSTITUTE(SUBSTITUTE(SUBSTITUTE(SUBSTITUTE($J763,CHAR(13)," "),CHAR(10)," "),CHAR(9)," "),CHAR(92),_xlfn.CONCAT(CHAR(92),CHAR(92))),"$",_xlfn.CONCAT(CHAR(92),"$")),CHAR(96),_xlfn.CONCAT(CHAR(92),CHAR(96))),CHAR(34),CHAR(39))))</f>
        <v/>
      </c>
      <c r="U763" s="5">
        <f t="shared" si="23"/>
        <v>0</v>
      </c>
    </row>
    <row r="764" spans="3:21" ht="30" customHeight="1" x14ac:dyDescent="0.2">
      <c r="C764" s="4"/>
      <c r="K764" s="5">
        <f t="shared" si="22"/>
        <v>0</v>
      </c>
      <c r="L764" s="5" t="str">
        <f>IF(OR(TRIM($B764)="",$A764=""),"",IF(OR(ISNUMBER(SEARCH(_xlfn.CONCAT(CHAR(96),CHAR(34)),$A764)),ISNUMBER(SEARCH(_xlfn.CONCAT(CHAR(34),CHAR(39)),$A764))),_xlfn.CONCAT("* REVIEW REQUIRED: compound-quote delimiter in Codebook Section on Sheet 1 row ",764,"; edit the input before running."),_xlfn.CONCAT("char ",TRIM($B764),"[doc_section] ",CHAR(96),CHAR(34),SUBSTITUTE(SUBSTITUTE(SUBSTITUTE(SUBSTITUTE(SUBSTITUTE(SUBSTITUTE($A764,CHAR(13)," "),CHAR(10)," "),CHAR(9)," "),CHAR(92),_xlfn.CONCAT(CHAR(92),CHAR(92))),"$",_xlfn.CONCAT(CHAR(92),"$")),CHAR(96),_xlfn.CONCAT(CHAR(92),CHAR(96))),CHAR(34),CHAR(39))))</f>
        <v/>
      </c>
      <c r="M764" s="5" t="str">
        <f>IF(OR(TRIM($B764)="",$C764=""),"",IF(IFERROR(MATCH(TRIM($C764),{"Quantitative","Continuous","Discrete","Categorical","Nominal","Ordinal","Identifier"},0),0)=0,_xlfn.CONCAT("* REVIEW REQUIRED: invalid Variable Type on Sheet 1 row ",764,"."),_xlfn.CONCAT("char ",TRIM($B764),"[doc_vartype] ",CHAR(96),CHAR(34),SUBSTITUTE(SUBSTITUTE(SUBSTITUTE(SUBSTITUTE(SUBSTITUTE(SUBSTITUTE(LOWER(TRIM($C764)),CHAR(13)," "),CHAR(10)," "),CHAR(9)," "),CHAR(92),_xlfn.CONCAT(CHAR(92),CHAR(92))),"$",_xlfn.CONCAT(CHAR(92),"$")),CHAR(96),_xlfn.CONCAT(CHAR(92),CHAR(96))),CHAR(34),CHAR(39))))</f>
        <v/>
      </c>
      <c r="N764" s="5" t="str">
        <f>IF(OR(TRIM($B764)="",$D764=""),"",IF(OR(ISNUMBER(SEARCH(_xlfn.CONCAT(CHAR(96),CHAR(34)),$D764)),ISNUMBER(SEARCH(_xlfn.CONCAT(CHAR(34),CHAR(39)),$D764))),_xlfn.CONCAT("* REVIEW REQUIRED: compound-quote delimiter in Item Number on Sheet 1 row ",764,"; edit the input before running."),_xlfn.CONCAT("char ",TRIM($B764),"[doc_itemnum] ",CHAR(96),CHAR(34),SUBSTITUTE(SUBSTITUTE(SUBSTITUTE(SUBSTITUTE(SUBSTITUTE(SUBSTITUTE($D764,CHAR(13)," "),CHAR(10)," "),CHAR(9)," "),CHAR(92),_xlfn.CONCAT(CHAR(92),CHAR(92))),"$",_xlfn.CONCAT(CHAR(92),"$")),CHAR(96),_xlfn.CONCAT(CHAR(92),CHAR(96))),CHAR(34),CHAR(39))))</f>
        <v/>
      </c>
      <c r="O764" s="5" t="str">
        <f>IF(OR(TRIM($B764)="",$E764=""),"",IF(OR(ISNUMBER(SEARCH(_xlfn.CONCAT(CHAR(96),CHAR(34)),$E764)),ISNUMBER(SEARCH(_xlfn.CONCAT(CHAR(34),CHAR(39)),$E764))),_xlfn.CONCAT("* REVIEW REQUIRED: compound-quote delimiter in Question Wording on Sheet 1 row ",764,"; edit the input before running."),_xlfn.CONCAT("char ",TRIM($B764),"[doc_question] ",CHAR(96),CHAR(34),SUBSTITUTE(SUBSTITUTE(SUBSTITUTE(SUBSTITUTE(SUBSTITUTE(SUBSTITUTE($E764,CHAR(13)," "),CHAR(10)," "),CHAR(9)," "),CHAR(92),_xlfn.CONCAT(CHAR(92),CHAR(92))),"$",_xlfn.CONCAT(CHAR(92),"$")),CHAR(96),_xlfn.CONCAT(CHAR(92),CHAR(96))),CHAR(34),CHAR(39))))</f>
        <v/>
      </c>
      <c r="P764" s="5" t="str">
        <f>IF(OR(TRIM($B764)="",$F764=""),"",IF(OR(ISNUMBER(SEARCH(_xlfn.CONCAT(CHAR(96),CHAR(34)),$F764)),ISNUMBER(SEARCH(_xlfn.CONCAT(CHAR(34),CHAR(39)),$F764))),_xlfn.CONCAT("* REVIEW REQUIRED: compound-quote delimiter in Units on Sheet 1 row ",764,"; edit the input before running."),_xlfn.CONCAT("char ",TRIM($B764),"[doc_units] ",CHAR(96),CHAR(34),SUBSTITUTE(SUBSTITUTE(SUBSTITUTE(SUBSTITUTE(SUBSTITUTE(SUBSTITUTE($F764,CHAR(13)," "),CHAR(10)," "),CHAR(9)," "),CHAR(92),_xlfn.CONCAT(CHAR(92),CHAR(92))),"$",_xlfn.CONCAT(CHAR(92),"$")),CHAR(96),_xlfn.CONCAT(CHAR(92),CHAR(96))),CHAR(34),CHAR(39))))</f>
        <v/>
      </c>
      <c r="Q764" s="5" t="str">
        <f>IF(OR(TRIM($B764)="",$G764=""),"",IF(OR(ISNUMBER(SEARCH(_xlfn.CONCAT(CHAR(96),CHAR(34)),$G764)),ISNUMBER(SEARCH(_xlfn.CONCAT(CHAR(34),CHAR(39)),$G764))),_xlfn.CONCAT("* REVIEW REQUIRED: compound-quote delimiter in Universe on Sheet 1 row ",764,"; edit the input before running."),_xlfn.CONCAT("char ",TRIM($B764),"[doc_universe] ",CHAR(96),CHAR(34),SUBSTITUTE(SUBSTITUTE(SUBSTITUTE(SUBSTITUTE(SUBSTITUTE(SUBSTITUTE($G764,CHAR(13)," "),CHAR(10)," "),CHAR(9)," "),CHAR(92),_xlfn.CONCAT(CHAR(92),CHAR(92))),"$",_xlfn.CONCAT(CHAR(92),"$")),CHAR(96),_xlfn.CONCAT(CHAR(92),CHAR(96))),CHAR(34),CHAR(39))))</f>
        <v/>
      </c>
      <c r="R764" s="5" t="str">
        <f>IF(OR(TRIM($B764)="",$H764=""),"",IF(OR(ISNUMBER(SEARCH(_xlfn.CONCAT(CHAR(96),CHAR(34)),$H764)),ISNUMBER(SEARCH(_xlfn.CONCAT(CHAR(34),CHAR(39)),$H764))),_xlfn.CONCAT("* REVIEW REQUIRED: compound-quote delimiter in Source on Sheet 1 row ",764,"; edit the input before running."),_xlfn.CONCAT("char ",TRIM($B764),"[doc_source] ",CHAR(96),CHAR(34),SUBSTITUTE(SUBSTITUTE(SUBSTITUTE(SUBSTITUTE(SUBSTITUTE(SUBSTITUTE($H764,CHAR(13)," "),CHAR(10)," "),CHAR(9)," "),CHAR(92),_xlfn.CONCAT(CHAR(92),CHAR(92))),"$",_xlfn.CONCAT(CHAR(92),"$")),CHAR(96),_xlfn.CONCAT(CHAR(92),CHAR(96))),CHAR(34),CHAR(39))))</f>
        <v/>
      </c>
      <c r="S764" s="5" t="str">
        <f>IF(OR(TRIM($B764)="",$I764=""),"",IF(OR(ISNUMBER(SEARCH(_xlfn.CONCAT(CHAR(96),CHAR(34)),$I764)),ISNUMBER(SEARCH(_xlfn.CONCAT(CHAR(34),CHAR(39)),$I764))),_xlfn.CONCAT("* REVIEW REQUIRED: compound-quote delimiter in Derivation on Sheet 1 row ",764,"; edit the input before running."),_xlfn.CONCAT("char ",TRIM($B764),"[doc_derivation] ",CHAR(96),CHAR(34),SUBSTITUTE(SUBSTITUTE(SUBSTITUTE(SUBSTITUTE(SUBSTITUTE(SUBSTITUTE($I764,CHAR(13)," "),CHAR(10)," "),CHAR(9)," "),CHAR(92),_xlfn.CONCAT(CHAR(92),CHAR(92))),"$",_xlfn.CONCAT(CHAR(92),"$")),CHAR(96),_xlfn.CONCAT(CHAR(92),CHAR(96))),CHAR(34),CHAR(39))))</f>
        <v/>
      </c>
      <c r="T764" s="5" t="str">
        <f>IF(OR(TRIM($B764)="",$J764=""),"",IF(OR(ISNUMBER(SEARCH(_xlfn.CONCAT(CHAR(96),CHAR(34)),$J764)),ISNUMBER(SEARCH(_xlfn.CONCAT(CHAR(34),CHAR(39)),$J764))),_xlfn.CONCAT("* REVIEW REQUIRED: compound-quote delimiter in Notes on Sheet 1 row ",764,"; edit the input before running."),_xlfn.CONCAT("char ",TRIM($B764),"[doc_notes] ",CHAR(96),CHAR(34),SUBSTITUTE(SUBSTITUTE(SUBSTITUTE(SUBSTITUTE(SUBSTITUTE(SUBSTITUTE($J764,CHAR(13)," "),CHAR(10)," "),CHAR(9)," "),CHAR(92),_xlfn.CONCAT(CHAR(92),CHAR(92))),"$",_xlfn.CONCAT(CHAR(92),"$")),CHAR(96),_xlfn.CONCAT(CHAR(92),CHAR(96))),CHAR(34),CHAR(39))))</f>
        <v/>
      </c>
      <c r="U764" s="5">
        <f t="shared" si="23"/>
        <v>0</v>
      </c>
    </row>
    <row r="765" spans="3:21" ht="30" customHeight="1" x14ac:dyDescent="0.2">
      <c r="C765" s="4"/>
      <c r="K765" s="5">
        <f t="shared" si="22"/>
        <v>0</v>
      </c>
      <c r="L765" s="5" t="str">
        <f>IF(OR(TRIM($B765)="",$A765=""),"",IF(OR(ISNUMBER(SEARCH(_xlfn.CONCAT(CHAR(96),CHAR(34)),$A765)),ISNUMBER(SEARCH(_xlfn.CONCAT(CHAR(34),CHAR(39)),$A765))),_xlfn.CONCAT("* REVIEW REQUIRED: compound-quote delimiter in Codebook Section on Sheet 1 row ",765,"; edit the input before running."),_xlfn.CONCAT("char ",TRIM($B765),"[doc_section] ",CHAR(96),CHAR(34),SUBSTITUTE(SUBSTITUTE(SUBSTITUTE(SUBSTITUTE(SUBSTITUTE(SUBSTITUTE($A765,CHAR(13)," "),CHAR(10)," "),CHAR(9)," "),CHAR(92),_xlfn.CONCAT(CHAR(92),CHAR(92))),"$",_xlfn.CONCAT(CHAR(92),"$")),CHAR(96),_xlfn.CONCAT(CHAR(92),CHAR(96))),CHAR(34),CHAR(39))))</f>
        <v/>
      </c>
      <c r="M765" s="5" t="str">
        <f>IF(OR(TRIM($B765)="",$C765=""),"",IF(IFERROR(MATCH(TRIM($C765),{"Quantitative","Continuous","Discrete","Categorical","Nominal","Ordinal","Identifier"},0),0)=0,_xlfn.CONCAT("* REVIEW REQUIRED: invalid Variable Type on Sheet 1 row ",765,"."),_xlfn.CONCAT("char ",TRIM($B765),"[doc_vartype] ",CHAR(96),CHAR(34),SUBSTITUTE(SUBSTITUTE(SUBSTITUTE(SUBSTITUTE(SUBSTITUTE(SUBSTITUTE(LOWER(TRIM($C765)),CHAR(13)," "),CHAR(10)," "),CHAR(9)," "),CHAR(92),_xlfn.CONCAT(CHAR(92),CHAR(92))),"$",_xlfn.CONCAT(CHAR(92),"$")),CHAR(96),_xlfn.CONCAT(CHAR(92),CHAR(96))),CHAR(34),CHAR(39))))</f>
        <v/>
      </c>
      <c r="N765" s="5" t="str">
        <f>IF(OR(TRIM($B765)="",$D765=""),"",IF(OR(ISNUMBER(SEARCH(_xlfn.CONCAT(CHAR(96),CHAR(34)),$D765)),ISNUMBER(SEARCH(_xlfn.CONCAT(CHAR(34),CHAR(39)),$D765))),_xlfn.CONCAT("* REVIEW REQUIRED: compound-quote delimiter in Item Number on Sheet 1 row ",765,"; edit the input before running."),_xlfn.CONCAT("char ",TRIM($B765),"[doc_itemnum] ",CHAR(96),CHAR(34),SUBSTITUTE(SUBSTITUTE(SUBSTITUTE(SUBSTITUTE(SUBSTITUTE(SUBSTITUTE($D765,CHAR(13)," "),CHAR(10)," "),CHAR(9)," "),CHAR(92),_xlfn.CONCAT(CHAR(92),CHAR(92))),"$",_xlfn.CONCAT(CHAR(92),"$")),CHAR(96),_xlfn.CONCAT(CHAR(92),CHAR(96))),CHAR(34),CHAR(39))))</f>
        <v/>
      </c>
      <c r="O765" s="5" t="str">
        <f>IF(OR(TRIM($B765)="",$E765=""),"",IF(OR(ISNUMBER(SEARCH(_xlfn.CONCAT(CHAR(96),CHAR(34)),$E765)),ISNUMBER(SEARCH(_xlfn.CONCAT(CHAR(34),CHAR(39)),$E765))),_xlfn.CONCAT("* REVIEW REQUIRED: compound-quote delimiter in Question Wording on Sheet 1 row ",765,"; edit the input before running."),_xlfn.CONCAT("char ",TRIM($B765),"[doc_question] ",CHAR(96),CHAR(34),SUBSTITUTE(SUBSTITUTE(SUBSTITUTE(SUBSTITUTE(SUBSTITUTE(SUBSTITUTE($E765,CHAR(13)," "),CHAR(10)," "),CHAR(9)," "),CHAR(92),_xlfn.CONCAT(CHAR(92),CHAR(92))),"$",_xlfn.CONCAT(CHAR(92),"$")),CHAR(96),_xlfn.CONCAT(CHAR(92),CHAR(96))),CHAR(34),CHAR(39))))</f>
        <v/>
      </c>
      <c r="P765" s="5" t="str">
        <f>IF(OR(TRIM($B765)="",$F765=""),"",IF(OR(ISNUMBER(SEARCH(_xlfn.CONCAT(CHAR(96),CHAR(34)),$F765)),ISNUMBER(SEARCH(_xlfn.CONCAT(CHAR(34),CHAR(39)),$F765))),_xlfn.CONCAT("* REVIEW REQUIRED: compound-quote delimiter in Units on Sheet 1 row ",765,"; edit the input before running."),_xlfn.CONCAT("char ",TRIM($B765),"[doc_units] ",CHAR(96),CHAR(34),SUBSTITUTE(SUBSTITUTE(SUBSTITUTE(SUBSTITUTE(SUBSTITUTE(SUBSTITUTE($F765,CHAR(13)," "),CHAR(10)," "),CHAR(9)," "),CHAR(92),_xlfn.CONCAT(CHAR(92),CHAR(92))),"$",_xlfn.CONCAT(CHAR(92),"$")),CHAR(96),_xlfn.CONCAT(CHAR(92),CHAR(96))),CHAR(34),CHAR(39))))</f>
        <v/>
      </c>
      <c r="Q765" s="5" t="str">
        <f>IF(OR(TRIM($B765)="",$G765=""),"",IF(OR(ISNUMBER(SEARCH(_xlfn.CONCAT(CHAR(96),CHAR(34)),$G765)),ISNUMBER(SEARCH(_xlfn.CONCAT(CHAR(34),CHAR(39)),$G765))),_xlfn.CONCAT("* REVIEW REQUIRED: compound-quote delimiter in Universe on Sheet 1 row ",765,"; edit the input before running."),_xlfn.CONCAT("char ",TRIM($B765),"[doc_universe] ",CHAR(96),CHAR(34),SUBSTITUTE(SUBSTITUTE(SUBSTITUTE(SUBSTITUTE(SUBSTITUTE(SUBSTITUTE($G765,CHAR(13)," "),CHAR(10)," "),CHAR(9)," "),CHAR(92),_xlfn.CONCAT(CHAR(92),CHAR(92))),"$",_xlfn.CONCAT(CHAR(92),"$")),CHAR(96),_xlfn.CONCAT(CHAR(92),CHAR(96))),CHAR(34),CHAR(39))))</f>
        <v/>
      </c>
      <c r="R765" s="5" t="str">
        <f>IF(OR(TRIM($B765)="",$H765=""),"",IF(OR(ISNUMBER(SEARCH(_xlfn.CONCAT(CHAR(96),CHAR(34)),$H765)),ISNUMBER(SEARCH(_xlfn.CONCAT(CHAR(34),CHAR(39)),$H765))),_xlfn.CONCAT("* REVIEW REQUIRED: compound-quote delimiter in Source on Sheet 1 row ",765,"; edit the input before running."),_xlfn.CONCAT("char ",TRIM($B765),"[doc_source] ",CHAR(96),CHAR(34),SUBSTITUTE(SUBSTITUTE(SUBSTITUTE(SUBSTITUTE(SUBSTITUTE(SUBSTITUTE($H765,CHAR(13)," "),CHAR(10)," "),CHAR(9)," "),CHAR(92),_xlfn.CONCAT(CHAR(92),CHAR(92))),"$",_xlfn.CONCAT(CHAR(92),"$")),CHAR(96),_xlfn.CONCAT(CHAR(92),CHAR(96))),CHAR(34),CHAR(39))))</f>
        <v/>
      </c>
      <c r="S765" s="5" t="str">
        <f>IF(OR(TRIM($B765)="",$I765=""),"",IF(OR(ISNUMBER(SEARCH(_xlfn.CONCAT(CHAR(96),CHAR(34)),$I765)),ISNUMBER(SEARCH(_xlfn.CONCAT(CHAR(34),CHAR(39)),$I765))),_xlfn.CONCAT("* REVIEW REQUIRED: compound-quote delimiter in Derivation on Sheet 1 row ",765,"; edit the input before running."),_xlfn.CONCAT("char ",TRIM($B765),"[doc_derivation] ",CHAR(96),CHAR(34),SUBSTITUTE(SUBSTITUTE(SUBSTITUTE(SUBSTITUTE(SUBSTITUTE(SUBSTITUTE($I765,CHAR(13)," "),CHAR(10)," "),CHAR(9)," "),CHAR(92),_xlfn.CONCAT(CHAR(92),CHAR(92))),"$",_xlfn.CONCAT(CHAR(92),"$")),CHAR(96),_xlfn.CONCAT(CHAR(92),CHAR(96))),CHAR(34),CHAR(39))))</f>
        <v/>
      </c>
      <c r="T765" s="5" t="str">
        <f>IF(OR(TRIM($B765)="",$J765=""),"",IF(OR(ISNUMBER(SEARCH(_xlfn.CONCAT(CHAR(96),CHAR(34)),$J765)),ISNUMBER(SEARCH(_xlfn.CONCAT(CHAR(34),CHAR(39)),$J765))),_xlfn.CONCAT("* REVIEW REQUIRED: compound-quote delimiter in Notes on Sheet 1 row ",765,"; edit the input before running."),_xlfn.CONCAT("char ",TRIM($B765),"[doc_notes] ",CHAR(96),CHAR(34),SUBSTITUTE(SUBSTITUTE(SUBSTITUTE(SUBSTITUTE(SUBSTITUTE(SUBSTITUTE($J765,CHAR(13)," "),CHAR(10)," "),CHAR(9)," "),CHAR(92),_xlfn.CONCAT(CHAR(92),CHAR(92))),"$",_xlfn.CONCAT(CHAR(92),"$")),CHAR(96),_xlfn.CONCAT(CHAR(92),CHAR(96))),CHAR(34),CHAR(39))))</f>
        <v/>
      </c>
      <c r="U765" s="5">
        <f t="shared" si="23"/>
        <v>0</v>
      </c>
    </row>
    <row r="766" spans="3:21" ht="30" customHeight="1" x14ac:dyDescent="0.2">
      <c r="C766" s="4"/>
      <c r="K766" s="5">
        <f t="shared" si="22"/>
        <v>0</v>
      </c>
      <c r="L766" s="5" t="str">
        <f>IF(OR(TRIM($B766)="",$A766=""),"",IF(OR(ISNUMBER(SEARCH(_xlfn.CONCAT(CHAR(96),CHAR(34)),$A766)),ISNUMBER(SEARCH(_xlfn.CONCAT(CHAR(34),CHAR(39)),$A766))),_xlfn.CONCAT("* REVIEW REQUIRED: compound-quote delimiter in Codebook Section on Sheet 1 row ",766,"; edit the input before running."),_xlfn.CONCAT("char ",TRIM($B766),"[doc_section] ",CHAR(96),CHAR(34),SUBSTITUTE(SUBSTITUTE(SUBSTITUTE(SUBSTITUTE(SUBSTITUTE(SUBSTITUTE($A766,CHAR(13)," "),CHAR(10)," "),CHAR(9)," "),CHAR(92),_xlfn.CONCAT(CHAR(92),CHAR(92))),"$",_xlfn.CONCAT(CHAR(92),"$")),CHAR(96),_xlfn.CONCAT(CHAR(92),CHAR(96))),CHAR(34),CHAR(39))))</f>
        <v/>
      </c>
      <c r="M766" s="5" t="str">
        <f>IF(OR(TRIM($B766)="",$C766=""),"",IF(IFERROR(MATCH(TRIM($C766),{"Quantitative","Continuous","Discrete","Categorical","Nominal","Ordinal","Identifier"},0),0)=0,_xlfn.CONCAT("* REVIEW REQUIRED: invalid Variable Type on Sheet 1 row ",766,"."),_xlfn.CONCAT("char ",TRIM($B766),"[doc_vartype] ",CHAR(96),CHAR(34),SUBSTITUTE(SUBSTITUTE(SUBSTITUTE(SUBSTITUTE(SUBSTITUTE(SUBSTITUTE(LOWER(TRIM($C766)),CHAR(13)," "),CHAR(10)," "),CHAR(9)," "),CHAR(92),_xlfn.CONCAT(CHAR(92),CHAR(92))),"$",_xlfn.CONCAT(CHAR(92),"$")),CHAR(96),_xlfn.CONCAT(CHAR(92),CHAR(96))),CHAR(34),CHAR(39))))</f>
        <v/>
      </c>
      <c r="N766" s="5" t="str">
        <f>IF(OR(TRIM($B766)="",$D766=""),"",IF(OR(ISNUMBER(SEARCH(_xlfn.CONCAT(CHAR(96),CHAR(34)),$D766)),ISNUMBER(SEARCH(_xlfn.CONCAT(CHAR(34),CHAR(39)),$D766))),_xlfn.CONCAT("* REVIEW REQUIRED: compound-quote delimiter in Item Number on Sheet 1 row ",766,"; edit the input before running."),_xlfn.CONCAT("char ",TRIM($B766),"[doc_itemnum] ",CHAR(96),CHAR(34),SUBSTITUTE(SUBSTITUTE(SUBSTITUTE(SUBSTITUTE(SUBSTITUTE(SUBSTITUTE($D766,CHAR(13)," "),CHAR(10)," "),CHAR(9)," "),CHAR(92),_xlfn.CONCAT(CHAR(92),CHAR(92))),"$",_xlfn.CONCAT(CHAR(92),"$")),CHAR(96),_xlfn.CONCAT(CHAR(92),CHAR(96))),CHAR(34),CHAR(39))))</f>
        <v/>
      </c>
      <c r="O766" s="5" t="str">
        <f>IF(OR(TRIM($B766)="",$E766=""),"",IF(OR(ISNUMBER(SEARCH(_xlfn.CONCAT(CHAR(96),CHAR(34)),$E766)),ISNUMBER(SEARCH(_xlfn.CONCAT(CHAR(34),CHAR(39)),$E766))),_xlfn.CONCAT("* REVIEW REQUIRED: compound-quote delimiter in Question Wording on Sheet 1 row ",766,"; edit the input before running."),_xlfn.CONCAT("char ",TRIM($B766),"[doc_question] ",CHAR(96),CHAR(34),SUBSTITUTE(SUBSTITUTE(SUBSTITUTE(SUBSTITUTE(SUBSTITUTE(SUBSTITUTE($E766,CHAR(13)," "),CHAR(10)," "),CHAR(9)," "),CHAR(92),_xlfn.CONCAT(CHAR(92),CHAR(92))),"$",_xlfn.CONCAT(CHAR(92),"$")),CHAR(96),_xlfn.CONCAT(CHAR(92),CHAR(96))),CHAR(34),CHAR(39))))</f>
        <v/>
      </c>
      <c r="P766" s="5" t="str">
        <f>IF(OR(TRIM($B766)="",$F766=""),"",IF(OR(ISNUMBER(SEARCH(_xlfn.CONCAT(CHAR(96),CHAR(34)),$F766)),ISNUMBER(SEARCH(_xlfn.CONCAT(CHAR(34),CHAR(39)),$F766))),_xlfn.CONCAT("* REVIEW REQUIRED: compound-quote delimiter in Units on Sheet 1 row ",766,"; edit the input before running."),_xlfn.CONCAT("char ",TRIM($B766),"[doc_units] ",CHAR(96),CHAR(34),SUBSTITUTE(SUBSTITUTE(SUBSTITUTE(SUBSTITUTE(SUBSTITUTE(SUBSTITUTE($F766,CHAR(13)," "),CHAR(10)," "),CHAR(9)," "),CHAR(92),_xlfn.CONCAT(CHAR(92),CHAR(92))),"$",_xlfn.CONCAT(CHAR(92),"$")),CHAR(96),_xlfn.CONCAT(CHAR(92),CHAR(96))),CHAR(34),CHAR(39))))</f>
        <v/>
      </c>
      <c r="Q766" s="5" t="str">
        <f>IF(OR(TRIM($B766)="",$G766=""),"",IF(OR(ISNUMBER(SEARCH(_xlfn.CONCAT(CHAR(96),CHAR(34)),$G766)),ISNUMBER(SEARCH(_xlfn.CONCAT(CHAR(34),CHAR(39)),$G766))),_xlfn.CONCAT("* REVIEW REQUIRED: compound-quote delimiter in Universe on Sheet 1 row ",766,"; edit the input before running."),_xlfn.CONCAT("char ",TRIM($B766),"[doc_universe] ",CHAR(96),CHAR(34),SUBSTITUTE(SUBSTITUTE(SUBSTITUTE(SUBSTITUTE(SUBSTITUTE(SUBSTITUTE($G766,CHAR(13)," "),CHAR(10)," "),CHAR(9)," "),CHAR(92),_xlfn.CONCAT(CHAR(92),CHAR(92))),"$",_xlfn.CONCAT(CHAR(92),"$")),CHAR(96),_xlfn.CONCAT(CHAR(92),CHAR(96))),CHAR(34),CHAR(39))))</f>
        <v/>
      </c>
      <c r="R766" s="5" t="str">
        <f>IF(OR(TRIM($B766)="",$H766=""),"",IF(OR(ISNUMBER(SEARCH(_xlfn.CONCAT(CHAR(96),CHAR(34)),$H766)),ISNUMBER(SEARCH(_xlfn.CONCAT(CHAR(34),CHAR(39)),$H766))),_xlfn.CONCAT("* REVIEW REQUIRED: compound-quote delimiter in Source on Sheet 1 row ",766,"; edit the input before running."),_xlfn.CONCAT("char ",TRIM($B766),"[doc_source] ",CHAR(96),CHAR(34),SUBSTITUTE(SUBSTITUTE(SUBSTITUTE(SUBSTITUTE(SUBSTITUTE(SUBSTITUTE($H766,CHAR(13)," "),CHAR(10)," "),CHAR(9)," "),CHAR(92),_xlfn.CONCAT(CHAR(92),CHAR(92))),"$",_xlfn.CONCAT(CHAR(92),"$")),CHAR(96),_xlfn.CONCAT(CHAR(92),CHAR(96))),CHAR(34),CHAR(39))))</f>
        <v/>
      </c>
      <c r="S766" s="5" t="str">
        <f>IF(OR(TRIM($B766)="",$I766=""),"",IF(OR(ISNUMBER(SEARCH(_xlfn.CONCAT(CHAR(96),CHAR(34)),$I766)),ISNUMBER(SEARCH(_xlfn.CONCAT(CHAR(34),CHAR(39)),$I766))),_xlfn.CONCAT("* REVIEW REQUIRED: compound-quote delimiter in Derivation on Sheet 1 row ",766,"; edit the input before running."),_xlfn.CONCAT("char ",TRIM($B766),"[doc_derivation] ",CHAR(96),CHAR(34),SUBSTITUTE(SUBSTITUTE(SUBSTITUTE(SUBSTITUTE(SUBSTITUTE(SUBSTITUTE($I766,CHAR(13)," "),CHAR(10)," "),CHAR(9)," "),CHAR(92),_xlfn.CONCAT(CHAR(92),CHAR(92))),"$",_xlfn.CONCAT(CHAR(92),"$")),CHAR(96),_xlfn.CONCAT(CHAR(92),CHAR(96))),CHAR(34),CHAR(39))))</f>
        <v/>
      </c>
      <c r="T766" s="5" t="str">
        <f>IF(OR(TRIM($B766)="",$J766=""),"",IF(OR(ISNUMBER(SEARCH(_xlfn.CONCAT(CHAR(96),CHAR(34)),$J766)),ISNUMBER(SEARCH(_xlfn.CONCAT(CHAR(34),CHAR(39)),$J766))),_xlfn.CONCAT("* REVIEW REQUIRED: compound-quote delimiter in Notes on Sheet 1 row ",766,"; edit the input before running."),_xlfn.CONCAT("char ",TRIM($B766),"[doc_notes] ",CHAR(96),CHAR(34),SUBSTITUTE(SUBSTITUTE(SUBSTITUTE(SUBSTITUTE(SUBSTITUTE(SUBSTITUTE($J766,CHAR(13)," "),CHAR(10)," "),CHAR(9)," "),CHAR(92),_xlfn.CONCAT(CHAR(92),CHAR(92))),"$",_xlfn.CONCAT(CHAR(92),"$")),CHAR(96),_xlfn.CONCAT(CHAR(92),CHAR(96))),CHAR(34),CHAR(39))))</f>
        <v/>
      </c>
      <c r="U766" s="5">
        <f t="shared" si="23"/>
        <v>0</v>
      </c>
    </row>
    <row r="767" spans="3:21" ht="30" customHeight="1" x14ac:dyDescent="0.2">
      <c r="C767" s="4"/>
      <c r="K767" s="5">
        <f t="shared" si="22"/>
        <v>0</v>
      </c>
      <c r="L767" s="5" t="str">
        <f>IF(OR(TRIM($B767)="",$A767=""),"",IF(OR(ISNUMBER(SEARCH(_xlfn.CONCAT(CHAR(96),CHAR(34)),$A767)),ISNUMBER(SEARCH(_xlfn.CONCAT(CHAR(34),CHAR(39)),$A767))),_xlfn.CONCAT("* REVIEW REQUIRED: compound-quote delimiter in Codebook Section on Sheet 1 row ",767,"; edit the input before running."),_xlfn.CONCAT("char ",TRIM($B767),"[doc_section] ",CHAR(96),CHAR(34),SUBSTITUTE(SUBSTITUTE(SUBSTITUTE(SUBSTITUTE(SUBSTITUTE(SUBSTITUTE($A767,CHAR(13)," "),CHAR(10)," "),CHAR(9)," "),CHAR(92),_xlfn.CONCAT(CHAR(92),CHAR(92))),"$",_xlfn.CONCAT(CHAR(92),"$")),CHAR(96),_xlfn.CONCAT(CHAR(92),CHAR(96))),CHAR(34),CHAR(39))))</f>
        <v/>
      </c>
      <c r="M767" s="5" t="str">
        <f>IF(OR(TRIM($B767)="",$C767=""),"",IF(IFERROR(MATCH(TRIM($C767),{"Quantitative","Continuous","Discrete","Categorical","Nominal","Ordinal","Identifier"},0),0)=0,_xlfn.CONCAT("* REVIEW REQUIRED: invalid Variable Type on Sheet 1 row ",767,"."),_xlfn.CONCAT("char ",TRIM($B767),"[doc_vartype] ",CHAR(96),CHAR(34),SUBSTITUTE(SUBSTITUTE(SUBSTITUTE(SUBSTITUTE(SUBSTITUTE(SUBSTITUTE(LOWER(TRIM($C767)),CHAR(13)," "),CHAR(10)," "),CHAR(9)," "),CHAR(92),_xlfn.CONCAT(CHAR(92),CHAR(92))),"$",_xlfn.CONCAT(CHAR(92),"$")),CHAR(96),_xlfn.CONCAT(CHAR(92),CHAR(96))),CHAR(34),CHAR(39))))</f>
        <v/>
      </c>
      <c r="N767" s="5" t="str">
        <f>IF(OR(TRIM($B767)="",$D767=""),"",IF(OR(ISNUMBER(SEARCH(_xlfn.CONCAT(CHAR(96),CHAR(34)),$D767)),ISNUMBER(SEARCH(_xlfn.CONCAT(CHAR(34),CHAR(39)),$D767))),_xlfn.CONCAT("* REVIEW REQUIRED: compound-quote delimiter in Item Number on Sheet 1 row ",767,"; edit the input before running."),_xlfn.CONCAT("char ",TRIM($B767),"[doc_itemnum] ",CHAR(96),CHAR(34),SUBSTITUTE(SUBSTITUTE(SUBSTITUTE(SUBSTITUTE(SUBSTITUTE(SUBSTITUTE($D767,CHAR(13)," "),CHAR(10)," "),CHAR(9)," "),CHAR(92),_xlfn.CONCAT(CHAR(92),CHAR(92))),"$",_xlfn.CONCAT(CHAR(92),"$")),CHAR(96),_xlfn.CONCAT(CHAR(92),CHAR(96))),CHAR(34),CHAR(39))))</f>
        <v/>
      </c>
      <c r="O767" s="5" t="str">
        <f>IF(OR(TRIM($B767)="",$E767=""),"",IF(OR(ISNUMBER(SEARCH(_xlfn.CONCAT(CHAR(96),CHAR(34)),$E767)),ISNUMBER(SEARCH(_xlfn.CONCAT(CHAR(34),CHAR(39)),$E767))),_xlfn.CONCAT("* REVIEW REQUIRED: compound-quote delimiter in Question Wording on Sheet 1 row ",767,"; edit the input before running."),_xlfn.CONCAT("char ",TRIM($B767),"[doc_question] ",CHAR(96),CHAR(34),SUBSTITUTE(SUBSTITUTE(SUBSTITUTE(SUBSTITUTE(SUBSTITUTE(SUBSTITUTE($E767,CHAR(13)," "),CHAR(10)," "),CHAR(9)," "),CHAR(92),_xlfn.CONCAT(CHAR(92),CHAR(92))),"$",_xlfn.CONCAT(CHAR(92),"$")),CHAR(96),_xlfn.CONCAT(CHAR(92),CHAR(96))),CHAR(34),CHAR(39))))</f>
        <v/>
      </c>
      <c r="P767" s="5" t="str">
        <f>IF(OR(TRIM($B767)="",$F767=""),"",IF(OR(ISNUMBER(SEARCH(_xlfn.CONCAT(CHAR(96),CHAR(34)),$F767)),ISNUMBER(SEARCH(_xlfn.CONCAT(CHAR(34),CHAR(39)),$F767))),_xlfn.CONCAT("* REVIEW REQUIRED: compound-quote delimiter in Units on Sheet 1 row ",767,"; edit the input before running."),_xlfn.CONCAT("char ",TRIM($B767),"[doc_units] ",CHAR(96),CHAR(34),SUBSTITUTE(SUBSTITUTE(SUBSTITUTE(SUBSTITUTE(SUBSTITUTE(SUBSTITUTE($F767,CHAR(13)," "),CHAR(10)," "),CHAR(9)," "),CHAR(92),_xlfn.CONCAT(CHAR(92),CHAR(92))),"$",_xlfn.CONCAT(CHAR(92),"$")),CHAR(96),_xlfn.CONCAT(CHAR(92),CHAR(96))),CHAR(34),CHAR(39))))</f>
        <v/>
      </c>
      <c r="Q767" s="5" t="str">
        <f>IF(OR(TRIM($B767)="",$G767=""),"",IF(OR(ISNUMBER(SEARCH(_xlfn.CONCAT(CHAR(96),CHAR(34)),$G767)),ISNUMBER(SEARCH(_xlfn.CONCAT(CHAR(34),CHAR(39)),$G767))),_xlfn.CONCAT("* REVIEW REQUIRED: compound-quote delimiter in Universe on Sheet 1 row ",767,"; edit the input before running."),_xlfn.CONCAT("char ",TRIM($B767),"[doc_universe] ",CHAR(96),CHAR(34),SUBSTITUTE(SUBSTITUTE(SUBSTITUTE(SUBSTITUTE(SUBSTITUTE(SUBSTITUTE($G767,CHAR(13)," "),CHAR(10)," "),CHAR(9)," "),CHAR(92),_xlfn.CONCAT(CHAR(92),CHAR(92))),"$",_xlfn.CONCAT(CHAR(92),"$")),CHAR(96),_xlfn.CONCAT(CHAR(92),CHAR(96))),CHAR(34),CHAR(39))))</f>
        <v/>
      </c>
      <c r="R767" s="5" t="str">
        <f>IF(OR(TRIM($B767)="",$H767=""),"",IF(OR(ISNUMBER(SEARCH(_xlfn.CONCAT(CHAR(96),CHAR(34)),$H767)),ISNUMBER(SEARCH(_xlfn.CONCAT(CHAR(34),CHAR(39)),$H767))),_xlfn.CONCAT("* REVIEW REQUIRED: compound-quote delimiter in Source on Sheet 1 row ",767,"; edit the input before running."),_xlfn.CONCAT("char ",TRIM($B767),"[doc_source] ",CHAR(96),CHAR(34),SUBSTITUTE(SUBSTITUTE(SUBSTITUTE(SUBSTITUTE(SUBSTITUTE(SUBSTITUTE($H767,CHAR(13)," "),CHAR(10)," "),CHAR(9)," "),CHAR(92),_xlfn.CONCAT(CHAR(92),CHAR(92))),"$",_xlfn.CONCAT(CHAR(92),"$")),CHAR(96),_xlfn.CONCAT(CHAR(92),CHAR(96))),CHAR(34),CHAR(39))))</f>
        <v/>
      </c>
      <c r="S767" s="5" t="str">
        <f>IF(OR(TRIM($B767)="",$I767=""),"",IF(OR(ISNUMBER(SEARCH(_xlfn.CONCAT(CHAR(96),CHAR(34)),$I767)),ISNUMBER(SEARCH(_xlfn.CONCAT(CHAR(34),CHAR(39)),$I767))),_xlfn.CONCAT("* REVIEW REQUIRED: compound-quote delimiter in Derivation on Sheet 1 row ",767,"; edit the input before running."),_xlfn.CONCAT("char ",TRIM($B767),"[doc_derivation] ",CHAR(96),CHAR(34),SUBSTITUTE(SUBSTITUTE(SUBSTITUTE(SUBSTITUTE(SUBSTITUTE(SUBSTITUTE($I767,CHAR(13)," "),CHAR(10)," "),CHAR(9)," "),CHAR(92),_xlfn.CONCAT(CHAR(92),CHAR(92))),"$",_xlfn.CONCAT(CHAR(92),"$")),CHAR(96),_xlfn.CONCAT(CHAR(92),CHAR(96))),CHAR(34),CHAR(39))))</f>
        <v/>
      </c>
      <c r="T767" s="5" t="str">
        <f>IF(OR(TRIM($B767)="",$J767=""),"",IF(OR(ISNUMBER(SEARCH(_xlfn.CONCAT(CHAR(96),CHAR(34)),$J767)),ISNUMBER(SEARCH(_xlfn.CONCAT(CHAR(34),CHAR(39)),$J767))),_xlfn.CONCAT("* REVIEW REQUIRED: compound-quote delimiter in Notes on Sheet 1 row ",767,"; edit the input before running."),_xlfn.CONCAT("char ",TRIM($B767),"[doc_notes] ",CHAR(96),CHAR(34),SUBSTITUTE(SUBSTITUTE(SUBSTITUTE(SUBSTITUTE(SUBSTITUTE(SUBSTITUTE($J767,CHAR(13)," "),CHAR(10)," "),CHAR(9)," "),CHAR(92),_xlfn.CONCAT(CHAR(92),CHAR(92))),"$",_xlfn.CONCAT(CHAR(92),"$")),CHAR(96),_xlfn.CONCAT(CHAR(92),CHAR(96))),CHAR(34),CHAR(39))))</f>
        <v/>
      </c>
      <c r="U767" s="5">
        <f t="shared" si="23"/>
        <v>0</v>
      </c>
    </row>
    <row r="768" spans="3:21" ht="30" customHeight="1" x14ac:dyDescent="0.2">
      <c r="C768" s="4"/>
      <c r="K768" s="5">
        <f t="shared" si="22"/>
        <v>0</v>
      </c>
      <c r="L768" s="5" t="str">
        <f>IF(OR(TRIM($B768)="",$A768=""),"",IF(OR(ISNUMBER(SEARCH(_xlfn.CONCAT(CHAR(96),CHAR(34)),$A768)),ISNUMBER(SEARCH(_xlfn.CONCAT(CHAR(34),CHAR(39)),$A768))),_xlfn.CONCAT("* REVIEW REQUIRED: compound-quote delimiter in Codebook Section on Sheet 1 row ",768,"; edit the input before running."),_xlfn.CONCAT("char ",TRIM($B768),"[doc_section] ",CHAR(96),CHAR(34),SUBSTITUTE(SUBSTITUTE(SUBSTITUTE(SUBSTITUTE(SUBSTITUTE(SUBSTITUTE($A768,CHAR(13)," "),CHAR(10)," "),CHAR(9)," "),CHAR(92),_xlfn.CONCAT(CHAR(92),CHAR(92))),"$",_xlfn.CONCAT(CHAR(92),"$")),CHAR(96),_xlfn.CONCAT(CHAR(92),CHAR(96))),CHAR(34),CHAR(39))))</f>
        <v/>
      </c>
      <c r="M768" s="5" t="str">
        <f>IF(OR(TRIM($B768)="",$C768=""),"",IF(IFERROR(MATCH(TRIM($C768),{"Quantitative","Continuous","Discrete","Categorical","Nominal","Ordinal","Identifier"},0),0)=0,_xlfn.CONCAT("* REVIEW REQUIRED: invalid Variable Type on Sheet 1 row ",768,"."),_xlfn.CONCAT("char ",TRIM($B768),"[doc_vartype] ",CHAR(96),CHAR(34),SUBSTITUTE(SUBSTITUTE(SUBSTITUTE(SUBSTITUTE(SUBSTITUTE(SUBSTITUTE(LOWER(TRIM($C768)),CHAR(13)," "),CHAR(10)," "),CHAR(9)," "),CHAR(92),_xlfn.CONCAT(CHAR(92),CHAR(92))),"$",_xlfn.CONCAT(CHAR(92),"$")),CHAR(96),_xlfn.CONCAT(CHAR(92),CHAR(96))),CHAR(34),CHAR(39))))</f>
        <v/>
      </c>
      <c r="N768" s="5" t="str">
        <f>IF(OR(TRIM($B768)="",$D768=""),"",IF(OR(ISNUMBER(SEARCH(_xlfn.CONCAT(CHAR(96),CHAR(34)),$D768)),ISNUMBER(SEARCH(_xlfn.CONCAT(CHAR(34),CHAR(39)),$D768))),_xlfn.CONCAT("* REVIEW REQUIRED: compound-quote delimiter in Item Number on Sheet 1 row ",768,"; edit the input before running."),_xlfn.CONCAT("char ",TRIM($B768),"[doc_itemnum] ",CHAR(96),CHAR(34),SUBSTITUTE(SUBSTITUTE(SUBSTITUTE(SUBSTITUTE(SUBSTITUTE(SUBSTITUTE($D768,CHAR(13)," "),CHAR(10)," "),CHAR(9)," "),CHAR(92),_xlfn.CONCAT(CHAR(92),CHAR(92))),"$",_xlfn.CONCAT(CHAR(92),"$")),CHAR(96),_xlfn.CONCAT(CHAR(92),CHAR(96))),CHAR(34),CHAR(39))))</f>
        <v/>
      </c>
      <c r="O768" s="5" t="str">
        <f>IF(OR(TRIM($B768)="",$E768=""),"",IF(OR(ISNUMBER(SEARCH(_xlfn.CONCAT(CHAR(96),CHAR(34)),$E768)),ISNUMBER(SEARCH(_xlfn.CONCAT(CHAR(34),CHAR(39)),$E768))),_xlfn.CONCAT("* REVIEW REQUIRED: compound-quote delimiter in Question Wording on Sheet 1 row ",768,"; edit the input before running."),_xlfn.CONCAT("char ",TRIM($B768),"[doc_question] ",CHAR(96),CHAR(34),SUBSTITUTE(SUBSTITUTE(SUBSTITUTE(SUBSTITUTE(SUBSTITUTE(SUBSTITUTE($E768,CHAR(13)," "),CHAR(10)," "),CHAR(9)," "),CHAR(92),_xlfn.CONCAT(CHAR(92),CHAR(92))),"$",_xlfn.CONCAT(CHAR(92),"$")),CHAR(96),_xlfn.CONCAT(CHAR(92),CHAR(96))),CHAR(34),CHAR(39))))</f>
        <v/>
      </c>
      <c r="P768" s="5" t="str">
        <f>IF(OR(TRIM($B768)="",$F768=""),"",IF(OR(ISNUMBER(SEARCH(_xlfn.CONCAT(CHAR(96),CHAR(34)),$F768)),ISNUMBER(SEARCH(_xlfn.CONCAT(CHAR(34),CHAR(39)),$F768))),_xlfn.CONCAT("* REVIEW REQUIRED: compound-quote delimiter in Units on Sheet 1 row ",768,"; edit the input before running."),_xlfn.CONCAT("char ",TRIM($B768),"[doc_units] ",CHAR(96),CHAR(34),SUBSTITUTE(SUBSTITUTE(SUBSTITUTE(SUBSTITUTE(SUBSTITUTE(SUBSTITUTE($F768,CHAR(13)," "),CHAR(10)," "),CHAR(9)," "),CHAR(92),_xlfn.CONCAT(CHAR(92),CHAR(92))),"$",_xlfn.CONCAT(CHAR(92),"$")),CHAR(96),_xlfn.CONCAT(CHAR(92),CHAR(96))),CHAR(34),CHAR(39))))</f>
        <v/>
      </c>
      <c r="Q768" s="5" t="str">
        <f>IF(OR(TRIM($B768)="",$G768=""),"",IF(OR(ISNUMBER(SEARCH(_xlfn.CONCAT(CHAR(96),CHAR(34)),$G768)),ISNUMBER(SEARCH(_xlfn.CONCAT(CHAR(34),CHAR(39)),$G768))),_xlfn.CONCAT("* REVIEW REQUIRED: compound-quote delimiter in Universe on Sheet 1 row ",768,"; edit the input before running."),_xlfn.CONCAT("char ",TRIM($B768),"[doc_universe] ",CHAR(96),CHAR(34),SUBSTITUTE(SUBSTITUTE(SUBSTITUTE(SUBSTITUTE(SUBSTITUTE(SUBSTITUTE($G768,CHAR(13)," "),CHAR(10)," "),CHAR(9)," "),CHAR(92),_xlfn.CONCAT(CHAR(92),CHAR(92))),"$",_xlfn.CONCAT(CHAR(92),"$")),CHAR(96),_xlfn.CONCAT(CHAR(92),CHAR(96))),CHAR(34),CHAR(39))))</f>
        <v/>
      </c>
      <c r="R768" s="5" t="str">
        <f>IF(OR(TRIM($B768)="",$H768=""),"",IF(OR(ISNUMBER(SEARCH(_xlfn.CONCAT(CHAR(96),CHAR(34)),$H768)),ISNUMBER(SEARCH(_xlfn.CONCAT(CHAR(34),CHAR(39)),$H768))),_xlfn.CONCAT("* REVIEW REQUIRED: compound-quote delimiter in Source on Sheet 1 row ",768,"; edit the input before running."),_xlfn.CONCAT("char ",TRIM($B768),"[doc_source] ",CHAR(96),CHAR(34),SUBSTITUTE(SUBSTITUTE(SUBSTITUTE(SUBSTITUTE(SUBSTITUTE(SUBSTITUTE($H768,CHAR(13)," "),CHAR(10)," "),CHAR(9)," "),CHAR(92),_xlfn.CONCAT(CHAR(92),CHAR(92))),"$",_xlfn.CONCAT(CHAR(92),"$")),CHAR(96),_xlfn.CONCAT(CHAR(92),CHAR(96))),CHAR(34),CHAR(39))))</f>
        <v/>
      </c>
      <c r="S768" s="5" t="str">
        <f>IF(OR(TRIM($B768)="",$I768=""),"",IF(OR(ISNUMBER(SEARCH(_xlfn.CONCAT(CHAR(96),CHAR(34)),$I768)),ISNUMBER(SEARCH(_xlfn.CONCAT(CHAR(34),CHAR(39)),$I768))),_xlfn.CONCAT("* REVIEW REQUIRED: compound-quote delimiter in Derivation on Sheet 1 row ",768,"; edit the input before running."),_xlfn.CONCAT("char ",TRIM($B768),"[doc_derivation] ",CHAR(96),CHAR(34),SUBSTITUTE(SUBSTITUTE(SUBSTITUTE(SUBSTITUTE(SUBSTITUTE(SUBSTITUTE($I768,CHAR(13)," "),CHAR(10)," "),CHAR(9)," "),CHAR(92),_xlfn.CONCAT(CHAR(92),CHAR(92))),"$",_xlfn.CONCAT(CHAR(92),"$")),CHAR(96),_xlfn.CONCAT(CHAR(92),CHAR(96))),CHAR(34),CHAR(39))))</f>
        <v/>
      </c>
      <c r="T768" s="5" t="str">
        <f>IF(OR(TRIM($B768)="",$J768=""),"",IF(OR(ISNUMBER(SEARCH(_xlfn.CONCAT(CHAR(96),CHAR(34)),$J768)),ISNUMBER(SEARCH(_xlfn.CONCAT(CHAR(34),CHAR(39)),$J768))),_xlfn.CONCAT("* REVIEW REQUIRED: compound-quote delimiter in Notes on Sheet 1 row ",768,"; edit the input before running."),_xlfn.CONCAT("char ",TRIM($B768),"[doc_notes] ",CHAR(96),CHAR(34),SUBSTITUTE(SUBSTITUTE(SUBSTITUTE(SUBSTITUTE(SUBSTITUTE(SUBSTITUTE($J768,CHAR(13)," "),CHAR(10)," "),CHAR(9)," "),CHAR(92),_xlfn.CONCAT(CHAR(92),CHAR(92))),"$",_xlfn.CONCAT(CHAR(92),"$")),CHAR(96),_xlfn.CONCAT(CHAR(92),CHAR(96))),CHAR(34),CHAR(39))))</f>
        <v/>
      </c>
      <c r="U768" s="5">
        <f t="shared" si="23"/>
        <v>0</v>
      </c>
    </row>
    <row r="769" spans="3:21" ht="30" customHeight="1" x14ac:dyDescent="0.2">
      <c r="C769" s="4"/>
      <c r="K769" s="5">
        <f t="shared" si="22"/>
        <v>0</v>
      </c>
      <c r="L769" s="5" t="str">
        <f>IF(OR(TRIM($B769)="",$A769=""),"",IF(OR(ISNUMBER(SEARCH(_xlfn.CONCAT(CHAR(96),CHAR(34)),$A769)),ISNUMBER(SEARCH(_xlfn.CONCAT(CHAR(34),CHAR(39)),$A769))),_xlfn.CONCAT("* REVIEW REQUIRED: compound-quote delimiter in Codebook Section on Sheet 1 row ",769,"; edit the input before running."),_xlfn.CONCAT("char ",TRIM($B769),"[doc_section] ",CHAR(96),CHAR(34),SUBSTITUTE(SUBSTITUTE(SUBSTITUTE(SUBSTITUTE(SUBSTITUTE(SUBSTITUTE($A769,CHAR(13)," "),CHAR(10)," "),CHAR(9)," "),CHAR(92),_xlfn.CONCAT(CHAR(92),CHAR(92))),"$",_xlfn.CONCAT(CHAR(92),"$")),CHAR(96),_xlfn.CONCAT(CHAR(92),CHAR(96))),CHAR(34),CHAR(39))))</f>
        <v/>
      </c>
      <c r="M769" s="5" t="str">
        <f>IF(OR(TRIM($B769)="",$C769=""),"",IF(IFERROR(MATCH(TRIM($C769),{"Quantitative","Continuous","Discrete","Categorical","Nominal","Ordinal","Identifier"},0),0)=0,_xlfn.CONCAT("* REVIEW REQUIRED: invalid Variable Type on Sheet 1 row ",769,"."),_xlfn.CONCAT("char ",TRIM($B769),"[doc_vartype] ",CHAR(96),CHAR(34),SUBSTITUTE(SUBSTITUTE(SUBSTITUTE(SUBSTITUTE(SUBSTITUTE(SUBSTITUTE(LOWER(TRIM($C769)),CHAR(13)," "),CHAR(10)," "),CHAR(9)," "),CHAR(92),_xlfn.CONCAT(CHAR(92),CHAR(92))),"$",_xlfn.CONCAT(CHAR(92),"$")),CHAR(96),_xlfn.CONCAT(CHAR(92),CHAR(96))),CHAR(34),CHAR(39))))</f>
        <v/>
      </c>
      <c r="N769" s="5" t="str">
        <f>IF(OR(TRIM($B769)="",$D769=""),"",IF(OR(ISNUMBER(SEARCH(_xlfn.CONCAT(CHAR(96),CHAR(34)),$D769)),ISNUMBER(SEARCH(_xlfn.CONCAT(CHAR(34),CHAR(39)),$D769))),_xlfn.CONCAT("* REVIEW REQUIRED: compound-quote delimiter in Item Number on Sheet 1 row ",769,"; edit the input before running."),_xlfn.CONCAT("char ",TRIM($B769),"[doc_itemnum] ",CHAR(96),CHAR(34),SUBSTITUTE(SUBSTITUTE(SUBSTITUTE(SUBSTITUTE(SUBSTITUTE(SUBSTITUTE($D769,CHAR(13)," "),CHAR(10)," "),CHAR(9)," "),CHAR(92),_xlfn.CONCAT(CHAR(92),CHAR(92))),"$",_xlfn.CONCAT(CHAR(92),"$")),CHAR(96),_xlfn.CONCAT(CHAR(92),CHAR(96))),CHAR(34),CHAR(39))))</f>
        <v/>
      </c>
      <c r="O769" s="5" t="str">
        <f>IF(OR(TRIM($B769)="",$E769=""),"",IF(OR(ISNUMBER(SEARCH(_xlfn.CONCAT(CHAR(96),CHAR(34)),$E769)),ISNUMBER(SEARCH(_xlfn.CONCAT(CHAR(34),CHAR(39)),$E769))),_xlfn.CONCAT("* REVIEW REQUIRED: compound-quote delimiter in Question Wording on Sheet 1 row ",769,"; edit the input before running."),_xlfn.CONCAT("char ",TRIM($B769),"[doc_question] ",CHAR(96),CHAR(34),SUBSTITUTE(SUBSTITUTE(SUBSTITUTE(SUBSTITUTE(SUBSTITUTE(SUBSTITUTE($E769,CHAR(13)," "),CHAR(10)," "),CHAR(9)," "),CHAR(92),_xlfn.CONCAT(CHAR(92),CHAR(92))),"$",_xlfn.CONCAT(CHAR(92),"$")),CHAR(96),_xlfn.CONCAT(CHAR(92),CHAR(96))),CHAR(34),CHAR(39))))</f>
        <v/>
      </c>
      <c r="P769" s="5" t="str">
        <f>IF(OR(TRIM($B769)="",$F769=""),"",IF(OR(ISNUMBER(SEARCH(_xlfn.CONCAT(CHAR(96),CHAR(34)),$F769)),ISNUMBER(SEARCH(_xlfn.CONCAT(CHAR(34),CHAR(39)),$F769))),_xlfn.CONCAT("* REVIEW REQUIRED: compound-quote delimiter in Units on Sheet 1 row ",769,"; edit the input before running."),_xlfn.CONCAT("char ",TRIM($B769),"[doc_units] ",CHAR(96),CHAR(34),SUBSTITUTE(SUBSTITUTE(SUBSTITUTE(SUBSTITUTE(SUBSTITUTE(SUBSTITUTE($F769,CHAR(13)," "),CHAR(10)," "),CHAR(9)," "),CHAR(92),_xlfn.CONCAT(CHAR(92),CHAR(92))),"$",_xlfn.CONCAT(CHAR(92),"$")),CHAR(96),_xlfn.CONCAT(CHAR(92),CHAR(96))),CHAR(34),CHAR(39))))</f>
        <v/>
      </c>
      <c r="Q769" s="5" t="str">
        <f>IF(OR(TRIM($B769)="",$G769=""),"",IF(OR(ISNUMBER(SEARCH(_xlfn.CONCAT(CHAR(96),CHAR(34)),$G769)),ISNUMBER(SEARCH(_xlfn.CONCAT(CHAR(34),CHAR(39)),$G769))),_xlfn.CONCAT("* REVIEW REQUIRED: compound-quote delimiter in Universe on Sheet 1 row ",769,"; edit the input before running."),_xlfn.CONCAT("char ",TRIM($B769),"[doc_universe] ",CHAR(96),CHAR(34),SUBSTITUTE(SUBSTITUTE(SUBSTITUTE(SUBSTITUTE(SUBSTITUTE(SUBSTITUTE($G769,CHAR(13)," "),CHAR(10)," "),CHAR(9)," "),CHAR(92),_xlfn.CONCAT(CHAR(92),CHAR(92))),"$",_xlfn.CONCAT(CHAR(92),"$")),CHAR(96),_xlfn.CONCAT(CHAR(92),CHAR(96))),CHAR(34),CHAR(39))))</f>
        <v/>
      </c>
      <c r="R769" s="5" t="str">
        <f>IF(OR(TRIM($B769)="",$H769=""),"",IF(OR(ISNUMBER(SEARCH(_xlfn.CONCAT(CHAR(96),CHAR(34)),$H769)),ISNUMBER(SEARCH(_xlfn.CONCAT(CHAR(34),CHAR(39)),$H769))),_xlfn.CONCAT("* REVIEW REQUIRED: compound-quote delimiter in Source on Sheet 1 row ",769,"; edit the input before running."),_xlfn.CONCAT("char ",TRIM($B769),"[doc_source] ",CHAR(96),CHAR(34),SUBSTITUTE(SUBSTITUTE(SUBSTITUTE(SUBSTITUTE(SUBSTITUTE(SUBSTITUTE($H769,CHAR(13)," "),CHAR(10)," "),CHAR(9)," "),CHAR(92),_xlfn.CONCAT(CHAR(92),CHAR(92))),"$",_xlfn.CONCAT(CHAR(92),"$")),CHAR(96),_xlfn.CONCAT(CHAR(92),CHAR(96))),CHAR(34),CHAR(39))))</f>
        <v/>
      </c>
      <c r="S769" s="5" t="str">
        <f>IF(OR(TRIM($B769)="",$I769=""),"",IF(OR(ISNUMBER(SEARCH(_xlfn.CONCAT(CHAR(96),CHAR(34)),$I769)),ISNUMBER(SEARCH(_xlfn.CONCAT(CHAR(34),CHAR(39)),$I769))),_xlfn.CONCAT("* REVIEW REQUIRED: compound-quote delimiter in Derivation on Sheet 1 row ",769,"; edit the input before running."),_xlfn.CONCAT("char ",TRIM($B769),"[doc_derivation] ",CHAR(96),CHAR(34),SUBSTITUTE(SUBSTITUTE(SUBSTITUTE(SUBSTITUTE(SUBSTITUTE(SUBSTITUTE($I769,CHAR(13)," "),CHAR(10)," "),CHAR(9)," "),CHAR(92),_xlfn.CONCAT(CHAR(92),CHAR(92))),"$",_xlfn.CONCAT(CHAR(92),"$")),CHAR(96),_xlfn.CONCAT(CHAR(92),CHAR(96))),CHAR(34),CHAR(39))))</f>
        <v/>
      </c>
      <c r="T769" s="5" t="str">
        <f>IF(OR(TRIM($B769)="",$J769=""),"",IF(OR(ISNUMBER(SEARCH(_xlfn.CONCAT(CHAR(96),CHAR(34)),$J769)),ISNUMBER(SEARCH(_xlfn.CONCAT(CHAR(34),CHAR(39)),$J769))),_xlfn.CONCAT("* REVIEW REQUIRED: compound-quote delimiter in Notes on Sheet 1 row ",769,"; edit the input before running."),_xlfn.CONCAT("char ",TRIM($B769),"[doc_notes] ",CHAR(96),CHAR(34),SUBSTITUTE(SUBSTITUTE(SUBSTITUTE(SUBSTITUTE(SUBSTITUTE(SUBSTITUTE($J769,CHAR(13)," "),CHAR(10)," "),CHAR(9)," "),CHAR(92),_xlfn.CONCAT(CHAR(92),CHAR(92))),"$",_xlfn.CONCAT(CHAR(92),"$")),CHAR(96),_xlfn.CONCAT(CHAR(92),CHAR(96))),CHAR(34),CHAR(39))))</f>
        <v/>
      </c>
      <c r="U769" s="5">
        <f t="shared" si="23"/>
        <v>0</v>
      </c>
    </row>
    <row r="770" spans="3:21" ht="30" customHeight="1" x14ac:dyDescent="0.2">
      <c r="C770" s="4"/>
      <c r="K770" s="5">
        <f t="shared" si="22"/>
        <v>0</v>
      </c>
      <c r="L770" s="5" t="str">
        <f>IF(OR(TRIM($B770)="",$A770=""),"",IF(OR(ISNUMBER(SEARCH(_xlfn.CONCAT(CHAR(96),CHAR(34)),$A770)),ISNUMBER(SEARCH(_xlfn.CONCAT(CHAR(34),CHAR(39)),$A770))),_xlfn.CONCAT("* REVIEW REQUIRED: compound-quote delimiter in Codebook Section on Sheet 1 row ",770,"; edit the input before running."),_xlfn.CONCAT("char ",TRIM($B770),"[doc_section] ",CHAR(96),CHAR(34),SUBSTITUTE(SUBSTITUTE(SUBSTITUTE(SUBSTITUTE(SUBSTITUTE(SUBSTITUTE($A770,CHAR(13)," "),CHAR(10)," "),CHAR(9)," "),CHAR(92),_xlfn.CONCAT(CHAR(92),CHAR(92))),"$",_xlfn.CONCAT(CHAR(92),"$")),CHAR(96),_xlfn.CONCAT(CHAR(92),CHAR(96))),CHAR(34),CHAR(39))))</f>
        <v/>
      </c>
      <c r="M770" s="5" t="str">
        <f>IF(OR(TRIM($B770)="",$C770=""),"",IF(IFERROR(MATCH(TRIM($C770),{"Quantitative","Continuous","Discrete","Categorical","Nominal","Ordinal","Identifier"},0),0)=0,_xlfn.CONCAT("* REVIEW REQUIRED: invalid Variable Type on Sheet 1 row ",770,"."),_xlfn.CONCAT("char ",TRIM($B770),"[doc_vartype] ",CHAR(96),CHAR(34),SUBSTITUTE(SUBSTITUTE(SUBSTITUTE(SUBSTITUTE(SUBSTITUTE(SUBSTITUTE(LOWER(TRIM($C770)),CHAR(13)," "),CHAR(10)," "),CHAR(9)," "),CHAR(92),_xlfn.CONCAT(CHAR(92),CHAR(92))),"$",_xlfn.CONCAT(CHAR(92),"$")),CHAR(96),_xlfn.CONCAT(CHAR(92),CHAR(96))),CHAR(34),CHAR(39))))</f>
        <v/>
      </c>
      <c r="N770" s="5" t="str">
        <f>IF(OR(TRIM($B770)="",$D770=""),"",IF(OR(ISNUMBER(SEARCH(_xlfn.CONCAT(CHAR(96),CHAR(34)),$D770)),ISNUMBER(SEARCH(_xlfn.CONCAT(CHAR(34),CHAR(39)),$D770))),_xlfn.CONCAT("* REVIEW REQUIRED: compound-quote delimiter in Item Number on Sheet 1 row ",770,"; edit the input before running."),_xlfn.CONCAT("char ",TRIM($B770),"[doc_itemnum] ",CHAR(96),CHAR(34),SUBSTITUTE(SUBSTITUTE(SUBSTITUTE(SUBSTITUTE(SUBSTITUTE(SUBSTITUTE($D770,CHAR(13)," "),CHAR(10)," "),CHAR(9)," "),CHAR(92),_xlfn.CONCAT(CHAR(92),CHAR(92))),"$",_xlfn.CONCAT(CHAR(92),"$")),CHAR(96),_xlfn.CONCAT(CHAR(92),CHAR(96))),CHAR(34),CHAR(39))))</f>
        <v/>
      </c>
      <c r="O770" s="5" t="str">
        <f>IF(OR(TRIM($B770)="",$E770=""),"",IF(OR(ISNUMBER(SEARCH(_xlfn.CONCAT(CHAR(96),CHAR(34)),$E770)),ISNUMBER(SEARCH(_xlfn.CONCAT(CHAR(34),CHAR(39)),$E770))),_xlfn.CONCAT("* REVIEW REQUIRED: compound-quote delimiter in Question Wording on Sheet 1 row ",770,"; edit the input before running."),_xlfn.CONCAT("char ",TRIM($B770),"[doc_question] ",CHAR(96),CHAR(34),SUBSTITUTE(SUBSTITUTE(SUBSTITUTE(SUBSTITUTE(SUBSTITUTE(SUBSTITUTE($E770,CHAR(13)," "),CHAR(10)," "),CHAR(9)," "),CHAR(92),_xlfn.CONCAT(CHAR(92),CHAR(92))),"$",_xlfn.CONCAT(CHAR(92),"$")),CHAR(96),_xlfn.CONCAT(CHAR(92),CHAR(96))),CHAR(34),CHAR(39))))</f>
        <v/>
      </c>
      <c r="P770" s="5" t="str">
        <f>IF(OR(TRIM($B770)="",$F770=""),"",IF(OR(ISNUMBER(SEARCH(_xlfn.CONCAT(CHAR(96),CHAR(34)),$F770)),ISNUMBER(SEARCH(_xlfn.CONCAT(CHAR(34),CHAR(39)),$F770))),_xlfn.CONCAT("* REVIEW REQUIRED: compound-quote delimiter in Units on Sheet 1 row ",770,"; edit the input before running."),_xlfn.CONCAT("char ",TRIM($B770),"[doc_units] ",CHAR(96),CHAR(34),SUBSTITUTE(SUBSTITUTE(SUBSTITUTE(SUBSTITUTE(SUBSTITUTE(SUBSTITUTE($F770,CHAR(13)," "),CHAR(10)," "),CHAR(9)," "),CHAR(92),_xlfn.CONCAT(CHAR(92),CHAR(92))),"$",_xlfn.CONCAT(CHAR(92),"$")),CHAR(96),_xlfn.CONCAT(CHAR(92),CHAR(96))),CHAR(34),CHAR(39))))</f>
        <v/>
      </c>
      <c r="Q770" s="5" t="str">
        <f>IF(OR(TRIM($B770)="",$G770=""),"",IF(OR(ISNUMBER(SEARCH(_xlfn.CONCAT(CHAR(96),CHAR(34)),$G770)),ISNUMBER(SEARCH(_xlfn.CONCAT(CHAR(34),CHAR(39)),$G770))),_xlfn.CONCAT("* REVIEW REQUIRED: compound-quote delimiter in Universe on Sheet 1 row ",770,"; edit the input before running."),_xlfn.CONCAT("char ",TRIM($B770),"[doc_universe] ",CHAR(96),CHAR(34),SUBSTITUTE(SUBSTITUTE(SUBSTITUTE(SUBSTITUTE(SUBSTITUTE(SUBSTITUTE($G770,CHAR(13)," "),CHAR(10)," "),CHAR(9)," "),CHAR(92),_xlfn.CONCAT(CHAR(92),CHAR(92))),"$",_xlfn.CONCAT(CHAR(92),"$")),CHAR(96),_xlfn.CONCAT(CHAR(92),CHAR(96))),CHAR(34),CHAR(39))))</f>
        <v/>
      </c>
      <c r="R770" s="5" t="str">
        <f>IF(OR(TRIM($B770)="",$H770=""),"",IF(OR(ISNUMBER(SEARCH(_xlfn.CONCAT(CHAR(96),CHAR(34)),$H770)),ISNUMBER(SEARCH(_xlfn.CONCAT(CHAR(34),CHAR(39)),$H770))),_xlfn.CONCAT("* REVIEW REQUIRED: compound-quote delimiter in Source on Sheet 1 row ",770,"; edit the input before running."),_xlfn.CONCAT("char ",TRIM($B770),"[doc_source] ",CHAR(96),CHAR(34),SUBSTITUTE(SUBSTITUTE(SUBSTITUTE(SUBSTITUTE(SUBSTITUTE(SUBSTITUTE($H770,CHAR(13)," "),CHAR(10)," "),CHAR(9)," "),CHAR(92),_xlfn.CONCAT(CHAR(92),CHAR(92))),"$",_xlfn.CONCAT(CHAR(92),"$")),CHAR(96),_xlfn.CONCAT(CHAR(92),CHAR(96))),CHAR(34),CHAR(39))))</f>
        <v/>
      </c>
      <c r="S770" s="5" t="str">
        <f>IF(OR(TRIM($B770)="",$I770=""),"",IF(OR(ISNUMBER(SEARCH(_xlfn.CONCAT(CHAR(96),CHAR(34)),$I770)),ISNUMBER(SEARCH(_xlfn.CONCAT(CHAR(34),CHAR(39)),$I770))),_xlfn.CONCAT("* REVIEW REQUIRED: compound-quote delimiter in Derivation on Sheet 1 row ",770,"; edit the input before running."),_xlfn.CONCAT("char ",TRIM($B770),"[doc_derivation] ",CHAR(96),CHAR(34),SUBSTITUTE(SUBSTITUTE(SUBSTITUTE(SUBSTITUTE(SUBSTITUTE(SUBSTITUTE($I770,CHAR(13)," "),CHAR(10)," "),CHAR(9)," "),CHAR(92),_xlfn.CONCAT(CHAR(92),CHAR(92))),"$",_xlfn.CONCAT(CHAR(92),"$")),CHAR(96),_xlfn.CONCAT(CHAR(92),CHAR(96))),CHAR(34),CHAR(39))))</f>
        <v/>
      </c>
      <c r="T770" s="5" t="str">
        <f>IF(OR(TRIM($B770)="",$J770=""),"",IF(OR(ISNUMBER(SEARCH(_xlfn.CONCAT(CHAR(96),CHAR(34)),$J770)),ISNUMBER(SEARCH(_xlfn.CONCAT(CHAR(34),CHAR(39)),$J770))),_xlfn.CONCAT("* REVIEW REQUIRED: compound-quote delimiter in Notes on Sheet 1 row ",770,"; edit the input before running."),_xlfn.CONCAT("char ",TRIM($B770),"[doc_notes] ",CHAR(96),CHAR(34),SUBSTITUTE(SUBSTITUTE(SUBSTITUTE(SUBSTITUTE(SUBSTITUTE(SUBSTITUTE($J770,CHAR(13)," "),CHAR(10)," "),CHAR(9)," "),CHAR(92),_xlfn.CONCAT(CHAR(92),CHAR(92))),"$",_xlfn.CONCAT(CHAR(92),"$")),CHAR(96),_xlfn.CONCAT(CHAR(92),CHAR(96))),CHAR(34),CHAR(39))))</f>
        <v/>
      </c>
      <c r="U770" s="5">
        <f t="shared" si="23"/>
        <v>0</v>
      </c>
    </row>
    <row r="771" spans="3:21" ht="30" customHeight="1" x14ac:dyDescent="0.2">
      <c r="C771" s="4"/>
      <c r="K771" s="5">
        <f t="shared" si="22"/>
        <v>0</v>
      </c>
      <c r="L771" s="5" t="str">
        <f>IF(OR(TRIM($B771)="",$A771=""),"",IF(OR(ISNUMBER(SEARCH(_xlfn.CONCAT(CHAR(96),CHAR(34)),$A771)),ISNUMBER(SEARCH(_xlfn.CONCAT(CHAR(34),CHAR(39)),$A771))),_xlfn.CONCAT("* REVIEW REQUIRED: compound-quote delimiter in Codebook Section on Sheet 1 row ",771,"; edit the input before running."),_xlfn.CONCAT("char ",TRIM($B771),"[doc_section] ",CHAR(96),CHAR(34),SUBSTITUTE(SUBSTITUTE(SUBSTITUTE(SUBSTITUTE(SUBSTITUTE(SUBSTITUTE($A771,CHAR(13)," "),CHAR(10)," "),CHAR(9)," "),CHAR(92),_xlfn.CONCAT(CHAR(92),CHAR(92))),"$",_xlfn.CONCAT(CHAR(92),"$")),CHAR(96),_xlfn.CONCAT(CHAR(92),CHAR(96))),CHAR(34),CHAR(39))))</f>
        <v/>
      </c>
      <c r="M771" s="5" t="str">
        <f>IF(OR(TRIM($B771)="",$C771=""),"",IF(IFERROR(MATCH(TRIM($C771),{"Quantitative","Continuous","Discrete","Categorical","Nominal","Ordinal","Identifier"},0),0)=0,_xlfn.CONCAT("* REVIEW REQUIRED: invalid Variable Type on Sheet 1 row ",771,"."),_xlfn.CONCAT("char ",TRIM($B771),"[doc_vartype] ",CHAR(96),CHAR(34),SUBSTITUTE(SUBSTITUTE(SUBSTITUTE(SUBSTITUTE(SUBSTITUTE(SUBSTITUTE(LOWER(TRIM($C771)),CHAR(13)," "),CHAR(10)," "),CHAR(9)," "),CHAR(92),_xlfn.CONCAT(CHAR(92),CHAR(92))),"$",_xlfn.CONCAT(CHAR(92),"$")),CHAR(96),_xlfn.CONCAT(CHAR(92),CHAR(96))),CHAR(34),CHAR(39))))</f>
        <v/>
      </c>
      <c r="N771" s="5" t="str">
        <f>IF(OR(TRIM($B771)="",$D771=""),"",IF(OR(ISNUMBER(SEARCH(_xlfn.CONCAT(CHAR(96),CHAR(34)),$D771)),ISNUMBER(SEARCH(_xlfn.CONCAT(CHAR(34),CHAR(39)),$D771))),_xlfn.CONCAT("* REVIEW REQUIRED: compound-quote delimiter in Item Number on Sheet 1 row ",771,"; edit the input before running."),_xlfn.CONCAT("char ",TRIM($B771),"[doc_itemnum] ",CHAR(96),CHAR(34),SUBSTITUTE(SUBSTITUTE(SUBSTITUTE(SUBSTITUTE(SUBSTITUTE(SUBSTITUTE($D771,CHAR(13)," "),CHAR(10)," "),CHAR(9)," "),CHAR(92),_xlfn.CONCAT(CHAR(92),CHAR(92))),"$",_xlfn.CONCAT(CHAR(92),"$")),CHAR(96),_xlfn.CONCAT(CHAR(92),CHAR(96))),CHAR(34),CHAR(39))))</f>
        <v/>
      </c>
      <c r="O771" s="5" t="str">
        <f>IF(OR(TRIM($B771)="",$E771=""),"",IF(OR(ISNUMBER(SEARCH(_xlfn.CONCAT(CHAR(96),CHAR(34)),$E771)),ISNUMBER(SEARCH(_xlfn.CONCAT(CHAR(34),CHAR(39)),$E771))),_xlfn.CONCAT("* REVIEW REQUIRED: compound-quote delimiter in Question Wording on Sheet 1 row ",771,"; edit the input before running."),_xlfn.CONCAT("char ",TRIM($B771),"[doc_question] ",CHAR(96),CHAR(34),SUBSTITUTE(SUBSTITUTE(SUBSTITUTE(SUBSTITUTE(SUBSTITUTE(SUBSTITUTE($E771,CHAR(13)," "),CHAR(10)," "),CHAR(9)," "),CHAR(92),_xlfn.CONCAT(CHAR(92),CHAR(92))),"$",_xlfn.CONCAT(CHAR(92),"$")),CHAR(96),_xlfn.CONCAT(CHAR(92),CHAR(96))),CHAR(34),CHAR(39))))</f>
        <v/>
      </c>
      <c r="P771" s="5" t="str">
        <f>IF(OR(TRIM($B771)="",$F771=""),"",IF(OR(ISNUMBER(SEARCH(_xlfn.CONCAT(CHAR(96),CHAR(34)),$F771)),ISNUMBER(SEARCH(_xlfn.CONCAT(CHAR(34),CHAR(39)),$F771))),_xlfn.CONCAT("* REVIEW REQUIRED: compound-quote delimiter in Units on Sheet 1 row ",771,"; edit the input before running."),_xlfn.CONCAT("char ",TRIM($B771),"[doc_units] ",CHAR(96),CHAR(34),SUBSTITUTE(SUBSTITUTE(SUBSTITUTE(SUBSTITUTE(SUBSTITUTE(SUBSTITUTE($F771,CHAR(13)," "),CHAR(10)," "),CHAR(9)," "),CHAR(92),_xlfn.CONCAT(CHAR(92),CHAR(92))),"$",_xlfn.CONCAT(CHAR(92),"$")),CHAR(96),_xlfn.CONCAT(CHAR(92),CHAR(96))),CHAR(34),CHAR(39))))</f>
        <v/>
      </c>
      <c r="Q771" s="5" t="str">
        <f>IF(OR(TRIM($B771)="",$G771=""),"",IF(OR(ISNUMBER(SEARCH(_xlfn.CONCAT(CHAR(96),CHAR(34)),$G771)),ISNUMBER(SEARCH(_xlfn.CONCAT(CHAR(34),CHAR(39)),$G771))),_xlfn.CONCAT("* REVIEW REQUIRED: compound-quote delimiter in Universe on Sheet 1 row ",771,"; edit the input before running."),_xlfn.CONCAT("char ",TRIM($B771),"[doc_universe] ",CHAR(96),CHAR(34),SUBSTITUTE(SUBSTITUTE(SUBSTITUTE(SUBSTITUTE(SUBSTITUTE(SUBSTITUTE($G771,CHAR(13)," "),CHAR(10)," "),CHAR(9)," "),CHAR(92),_xlfn.CONCAT(CHAR(92),CHAR(92))),"$",_xlfn.CONCAT(CHAR(92),"$")),CHAR(96),_xlfn.CONCAT(CHAR(92),CHAR(96))),CHAR(34),CHAR(39))))</f>
        <v/>
      </c>
      <c r="R771" s="5" t="str">
        <f>IF(OR(TRIM($B771)="",$H771=""),"",IF(OR(ISNUMBER(SEARCH(_xlfn.CONCAT(CHAR(96),CHAR(34)),$H771)),ISNUMBER(SEARCH(_xlfn.CONCAT(CHAR(34),CHAR(39)),$H771))),_xlfn.CONCAT("* REVIEW REQUIRED: compound-quote delimiter in Source on Sheet 1 row ",771,"; edit the input before running."),_xlfn.CONCAT("char ",TRIM($B771),"[doc_source] ",CHAR(96),CHAR(34),SUBSTITUTE(SUBSTITUTE(SUBSTITUTE(SUBSTITUTE(SUBSTITUTE(SUBSTITUTE($H771,CHAR(13)," "),CHAR(10)," "),CHAR(9)," "),CHAR(92),_xlfn.CONCAT(CHAR(92),CHAR(92))),"$",_xlfn.CONCAT(CHAR(92),"$")),CHAR(96),_xlfn.CONCAT(CHAR(92),CHAR(96))),CHAR(34),CHAR(39))))</f>
        <v/>
      </c>
      <c r="S771" s="5" t="str">
        <f>IF(OR(TRIM($B771)="",$I771=""),"",IF(OR(ISNUMBER(SEARCH(_xlfn.CONCAT(CHAR(96),CHAR(34)),$I771)),ISNUMBER(SEARCH(_xlfn.CONCAT(CHAR(34),CHAR(39)),$I771))),_xlfn.CONCAT("* REVIEW REQUIRED: compound-quote delimiter in Derivation on Sheet 1 row ",771,"; edit the input before running."),_xlfn.CONCAT("char ",TRIM($B771),"[doc_derivation] ",CHAR(96),CHAR(34),SUBSTITUTE(SUBSTITUTE(SUBSTITUTE(SUBSTITUTE(SUBSTITUTE(SUBSTITUTE($I771,CHAR(13)," "),CHAR(10)," "),CHAR(9)," "),CHAR(92),_xlfn.CONCAT(CHAR(92),CHAR(92))),"$",_xlfn.CONCAT(CHAR(92),"$")),CHAR(96),_xlfn.CONCAT(CHAR(92),CHAR(96))),CHAR(34),CHAR(39))))</f>
        <v/>
      </c>
      <c r="T771" s="5" t="str">
        <f>IF(OR(TRIM($B771)="",$J771=""),"",IF(OR(ISNUMBER(SEARCH(_xlfn.CONCAT(CHAR(96),CHAR(34)),$J771)),ISNUMBER(SEARCH(_xlfn.CONCAT(CHAR(34),CHAR(39)),$J771))),_xlfn.CONCAT("* REVIEW REQUIRED: compound-quote delimiter in Notes on Sheet 1 row ",771,"; edit the input before running."),_xlfn.CONCAT("char ",TRIM($B771),"[doc_notes] ",CHAR(96),CHAR(34),SUBSTITUTE(SUBSTITUTE(SUBSTITUTE(SUBSTITUTE(SUBSTITUTE(SUBSTITUTE($J771,CHAR(13)," "),CHAR(10)," "),CHAR(9)," "),CHAR(92),_xlfn.CONCAT(CHAR(92),CHAR(92))),"$",_xlfn.CONCAT(CHAR(92),"$")),CHAR(96),_xlfn.CONCAT(CHAR(92),CHAR(96))),CHAR(34),CHAR(39))))</f>
        <v/>
      </c>
      <c r="U771" s="5">
        <f t="shared" si="23"/>
        <v>0</v>
      </c>
    </row>
    <row r="772" spans="3:21" ht="30" customHeight="1" x14ac:dyDescent="0.2">
      <c r="C772" s="4"/>
      <c r="K772" s="5">
        <f t="shared" si="22"/>
        <v>0</v>
      </c>
      <c r="L772" s="5" t="str">
        <f>IF(OR(TRIM($B772)="",$A772=""),"",IF(OR(ISNUMBER(SEARCH(_xlfn.CONCAT(CHAR(96),CHAR(34)),$A772)),ISNUMBER(SEARCH(_xlfn.CONCAT(CHAR(34),CHAR(39)),$A772))),_xlfn.CONCAT("* REVIEW REQUIRED: compound-quote delimiter in Codebook Section on Sheet 1 row ",772,"; edit the input before running."),_xlfn.CONCAT("char ",TRIM($B772),"[doc_section] ",CHAR(96),CHAR(34),SUBSTITUTE(SUBSTITUTE(SUBSTITUTE(SUBSTITUTE(SUBSTITUTE(SUBSTITUTE($A772,CHAR(13)," "),CHAR(10)," "),CHAR(9)," "),CHAR(92),_xlfn.CONCAT(CHAR(92),CHAR(92))),"$",_xlfn.CONCAT(CHAR(92),"$")),CHAR(96),_xlfn.CONCAT(CHAR(92),CHAR(96))),CHAR(34),CHAR(39))))</f>
        <v/>
      </c>
      <c r="M772" s="5" t="str">
        <f>IF(OR(TRIM($B772)="",$C772=""),"",IF(IFERROR(MATCH(TRIM($C772),{"Quantitative","Continuous","Discrete","Categorical","Nominal","Ordinal","Identifier"},0),0)=0,_xlfn.CONCAT("* REVIEW REQUIRED: invalid Variable Type on Sheet 1 row ",772,"."),_xlfn.CONCAT("char ",TRIM($B772),"[doc_vartype] ",CHAR(96),CHAR(34),SUBSTITUTE(SUBSTITUTE(SUBSTITUTE(SUBSTITUTE(SUBSTITUTE(SUBSTITUTE(LOWER(TRIM($C772)),CHAR(13)," "),CHAR(10)," "),CHAR(9)," "),CHAR(92),_xlfn.CONCAT(CHAR(92),CHAR(92))),"$",_xlfn.CONCAT(CHAR(92),"$")),CHAR(96),_xlfn.CONCAT(CHAR(92),CHAR(96))),CHAR(34),CHAR(39))))</f>
        <v/>
      </c>
      <c r="N772" s="5" t="str">
        <f>IF(OR(TRIM($B772)="",$D772=""),"",IF(OR(ISNUMBER(SEARCH(_xlfn.CONCAT(CHAR(96),CHAR(34)),$D772)),ISNUMBER(SEARCH(_xlfn.CONCAT(CHAR(34),CHAR(39)),$D772))),_xlfn.CONCAT("* REVIEW REQUIRED: compound-quote delimiter in Item Number on Sheet 1 row ",772,"; edit the input before running."),_xlfn.CONCAT("char ",TRIM($B772),"[doc_itemnum] ",CHAR(96),CHAR(34),SUBSTITUTE(SUBSTITUTE(SUBSTITUTE(SUBSTITUTE(SUBSTITUTE(SUBSTITUTE($D772,CHAR(13)," "),CHAR(10)," "),CHAR(9)," "),CHAR(92),_xlfn.CONCAT(CHAR(92),CHAR(92))),"$",_xlfn.CONCAT(CHAR(92),"$")),CHAR(96),_xlfn.CONCAT(CHAR(92),CHAR(96))),CHAR(34),CHAR(39))))</f>
        <v/>
      </c>
      <c r="O772" s="5" t="str">
        <f>IF(OR(TRIM($B772)="",$E772=""),"",IF(OR(ISNUMBER(SEARCH(_xlfn.CONCAT(CHAR(96),CHAR(34)),$E772)),ISNUMBER(SEARCH(_xlfn.CONCAT(CHAR(34),CHAR(39)),$E772))),_xlfn.CONCAT("* REVIEW REQUIRED: compound-quote delimiter in Question Wording on Sheet 1 row ",772,"; edit the input before running."),_xlfn.CONCAT("char ",TRIM($B772),"[doc_question] ",CHAR(96),CHAR(34),SUBSTITUTE(SUBSTITUTE(SUBSTITUTE(SUBSTITUTE(SUBSTITUTE(SUBSTITUTE($E772,CHAR(13)," "),CHAR(10)," "),CHAR(9)," "),CHAR(92),_xlfn.CONCAT(CHAR(92),CHAR(92))),"$",_xlfn.CONCAT(CHAR(92),"$")),CHAR(96),_xlfn.CONCAT(CHAR(92),CHAR(96))),CHAR(34),CHAR(39))))</f>
        <v/>
      </c>
      <c r="P772" s="5" t="str">
        <f>IF(OR(TRIM($B772)="",$F772=""),"",IF(OR(ISNUMBER(SEARCH(_xlfn.CONCAT(CHAR(96),CHAR(34)),$F772)),ISNUMBER(SEARCH(_xlfn.CONCAT(CHAR(34),CHAR(39)),$F772))),_xlfn.CONCAT("* REVIEW REQUIRED: compound-quote delimiter in Units on Sheet 1 row ",772,"; edit the input before running."),_xlfn.CONCAT("char ",TRIM($B772),"[doc_units] ",CHAR(96),CHAR(34),SUBSTITUTE(SUBSTITUTE(SUBSTITUTE(SUBSTITUTE(SUBSTITUTE(SUBSTITUTE($F772,CHAR(13)," "),CHAR(10)," "),CHAR(9)," "),CHAR(92),_xlfn.CONCAT(CHAR(92),CHAR(92))),"$",_xlfn.CONCAT(CHAR(92),"$")),CHAR(96),_xlfn.CONCAT(CHAR(92),CHAR(96))),CHAR(34),CHAR(39))))</f>
        <v/>
      </c>
      <c r="Q772" s="5" t="str">
        <f>IF(OR(TRIM($B772)="",$G772=""),"",IF(OR(ISNUMBER(SEARCH(_xlfn.CONCAT(CHAR(96),CHAR(34)),$G772)),ISNUMBER(SEARCH(_xlfn.CONCAT(CHAR(34),CHAR(39)),$G772))),_xlfn.CONCAT("* REVIEW REQUIRED: compound-quote delimiter in Universe on Sheet 1 row ",772,"; edit the input before running."),_xlfn.CONCAT("char ",TRIM($B772),"[doc_universe] ",CHAR(96),CHAR(34),SUBSTITUTE(SUBSTITUTE(SUBSTITUTE(SUBSTITUTE(SUBSTITUTE(SUBSTITUTE($G772,CHAR(13)," "),CHAR(10)," "),CHAR(9)," "),CHAR(92),_xlfn.CONCAT(CHAR(92),CHAR(92))),"$",_xlfn.CONCAT(CHAR(92),"$")),CHAR(96),_xlfn.CONCAT(CHAR(92),CHAR(96))),CHAR(34),CHAR(39))))</f>
        <v/>
      </c>
      <c r="R772" s="5" t="str">
        <f>IF(OR(TRIM($B772)="",$H772=""),"",IF(OR(ISNUMBER(SEARCH(_xlfn.CONCAT(CHAR(96),CHAR(34)),$H772)),ISNUMBER(SEARCH(_xlfn.CONCAT(CHAR(34),CHAR(39)),$H772))),_xlfn.CONCAT("* REVIEW REQUIRED: compound-quote delimiter in Source on Sheet 1 row ",772,"; edit the input before running."),_xlfn.CONCAT("char ",TRIM($B772),"[doc_source] ",CHAR(96),CHAR(34),SUBSTITUTE(SUBSTITUTE(SUBSTITUTE(SUBSTITUTE(SUBSTITUTE(SUBSTITUTE($H772,CHAR(13)," "),CHAR(10)," "),CHAR(9)," "),CHAR(92),_xlfn.CONCAT(CHAR(92),CHAR(92))),"$",_xlfn.CONCAT(CHAR(92),"$")),CHAR(96),_xlfn.CONCAT(CHAR(92),CHAR(96))),CHAR(34),CHAR(39))))</f>
        <v/>
      </c>
      <c r="S772" s="5" t="str">
        <f>IF(OR(TRIM($B772)="",$I772=""),"",IF(OR(ISNUMBER(SEARCH(_xlfn.CONCAT(CHAR(96),CHAR(34)),$I772)),ISNUMBER(SEARCH(_xlfn.CONCAT(CHAR(34),CHAR(39)),$I772))),_xlfn.CONCAT("* REVIEW REQUIRED: compound-quote delimiter in Derivation on Sheet 1 row ",772,"; edit the input before running."),_xlfn.CONCAT("char ",TRIM($B772),"[doc_derivation] ",CHAR(96),CHAR(34),SUBSTITUTE(SUBSTITUTE(SUBSTITUTE(SUBSTITUTE(SUBSTITUTE(SUBSTITUTE($I772,CHAR(13)," "),CHAR(10)," "),CHAR(9)," "),CHAR(92),_xlfn.CONCAT(CHAR(92),CHAR(92))),"$",_xlfn.CONCAT(CHAR(92),"$")),CHAR(96),_xlfn.CONCAT(CHAR(92),CHAR(96))),CHAR(34),CHAR(39))))</f>
        <v/>
      </c>
      <c r="T772" s="5" t="str">
        <f>IF(OR(TRIM($B772)="",$J772=""),"",IF(OR(ISNUMBER(SEARCH(_xlfn.CONCAT(CHAR(96),CHAR(34)),$J772)),ISNUMBER(SEARCH(_xlfn.CONCAT(CHAR(34),CHAR(39)),$J772))),_xlfn.CONCAT("* REVIEW REQUIRED: compound-quote delimiter in Notes on Sheet 1 row ",772,"; edit the input before running."),_xlfn.CONCAT("char ",TRIM($B772),"[doc_notes] ",CHAR(96),CHAR(34),SUBSTITUTE(SUBSTITUTE(SUBSTITUTE(SUBSTITUTE(SUBSTITUTE(SUBSTITUTE($J772,CHAR(13)," "),CHAR(10)," "),CHAR(9)," "),CHAR(92),_xlfn.CONCAT(CHAR(92),CHAR(92))),"$",_xlfn.CONCAT(CHAR(92),"$")),CHAR(96),_xlfn.CONCAT(CHAR(92),CHAR(96))),CHAR(34),CHAR(39))))</f>
        <v/>
      </c>
      <c r="U772" s="5">
        <f t="shared" si="23"/>
        <v>0</v>
      </c>
    </row>
    <row r="773" spans="3:21" ht="30" customHeight="1" x14ac:dyDescent="0.2">
      <c r="C773" s="4"/>
      <c r="K773" s="5">
        <f t="shared" si="22"/>
        <v>0</v>
      </c>
      <c r="L773" s="5" t="str">
        <f>IF(OR(TRIM($B773)="",$A773=""),"",IF(OR(ISNUMBER(SEARCH(_xlfn.CONCAT(CHAR(96),CHAR(34)),$A773)),ISNUMBER(SEARCH(_xlfn.CONCAT(CHAR(34),CHAR(39)),$A773))),_xlfn.CONCAT("* REVIEW REQUIRED: compound-quote delimiter in Codebook Section on Sheet 1 row ",773,"; edit the input before running."),_xlfn.CONCAT("char ",TRIM($B773),"[doc_section] ",CHAR(96),CHAR(34),SUBSTITUTE(SUBSTITUTE(SUBSTITUTE(SUBSTITUTE(SUBSTITUTE(SUBSTITUTE($A773,CHAR(13)," "),CHAR(10)," "),CHAR(9)," "),CHAR(92),_xlfn.CONCAT(CHAR(92),CHAR(92))),"$",_xlfn.CONCAT(CHAR(92),"$")),CHAR(96),_xlfn.CONCAT(CHAR(92),CHAR(96))),CHAR(34),CHAR(39))))</f>
        <v/>
      </c>
      <c r="M773" s="5" t="str">
        <f>IF(OR(TRIM($B773)="",$C773=""),"",IF(IFERROR(MATCH(TRIM($C773),{"Quantitative","Continuous","Discrete","Categorical","Nominal","Ordinal","Identifier"},0),0)=0,_xlfn.CONCAT("* REVIEW REQUIRED: invalid Variable Type on Sheet 1 row ",773,"."),_xlfn.CONCAT("char ",TRIM($B773),"[doc_vartype] ",CHAR(96),CHAR(34),SUBSTITUTE(SUBSTITUTE(SUBSTITUTE(SUBSTITUTE(SUBSTITUTE(SUBSTITUTE(LOWER(TRIM($C773)),CHAR(13)," "),CHAR(10)," "),CHAR(9)," "),CHAR(92),_xlfn.CONCAT(CHAR(92),CHAR(92))),"$",_xlfn.CONCAT(CHAR(92),"$")),CHAR(96),_xlfn.CONCAT(CHAR(92),CHAR(96))),CHAR(34),CHAR(39))))</f>
        <v/>
      </c>
      <c r="N773" s="5" t="str">
        <f>IF(OR(TRIM($B773)="",$D773=""),"",IF(OR(ISNUMBER(SEARCH(_xlfn.CONCAT(CHAR(96),CHAR(34)),$D773)),ISNUMBER(SEARCH(_xlfn.CONCAT(CHAR(34),CHAR(39)),$D773))),_xlfn.CONCAT("* REVIEW REQUIRED: compound-quote delimiter in Item Number on Sheet 1 row ",773,"; edit the input before running."),_xlfn.CONCAT("char ",TRIM($B773),"[doc_itemnum] ",CHAR(96),CHAR(34),SUBSTITUTE(SUBSTITUTE(SUBSTITUTE(SUBSTITUTE(SUBSTITUTE(SUBSTITUTE($D773,CHAR(13)," "),CHAR(10)," "),CHAR(9)," "),CHAR(92),_xlfn.CONCAT(CHAR(92),CHAR(92))),"$",_xlfn.CONCAT(CHAR(92),"$")),CHAR(96),_xlfn.CONCAT(CHAR(92),CHAR(96))),CHAR(34),CHAR(39))))</f>
        <v/>
      </c>
      <c r="O773" s="5" t="str">
        <f>IF(OR(TRIM($B773)="",$E773=""),"",IF(OR(ISNUMBER(SEARCH(_xlfn.CONCAT(CHAR(96),CHAR(34)),$E773)),ISNUMBER(SEARCH(_xlfn.CONCAT(CHAR(34),CHAR(39)),$E773))),_xlfn.CONCAT("* REVIEW REQUIRED: compound-quote delimiter in Question Wording on Sheet 1 row ",773,"; edit the input before running."),_xlfn.CONCAT("char ",TRIM($B773),"[doc_question] ",CHAR(96),CHAR(34),SUBSTITUTE(SUBSTITUTE(SUBSTITUTE(SUBSTITUTE(SUBSTITUTE(SUBSTITUTE($E773,CHAR(13)," "),CHAR(10)," "),CHAR(9)," "),CHAR(92),_xlfn.CONCAT(CHAR(92),CHAR(92))),"$",_xlfn.CONCAT(CHAR(92),"$")),CHAR(96),_xlfn.CONCAT(CHAR(92),CHAR(96))),CHAR(34),CHAR(39))))</f>
        <v/>
      </c>
      <c r="P773" s="5" t="str">
        <f>IF(OR(TRIM($B773)="",$F773=""),"",IF(OR(ISNUMBER(SEARCH(_xlfn.CONCAT(CHAR(96),CHAR(34)),$F773)),ISNUMBER(SEARCH(_xlfn.CONCAT(CHAR(34),CHAR(39)),$F773))),_xlfn.CONCAT("* REVIEW REQUIRED: compound-quote delimiter in Units on Sheet 1 row ",773,"; edit the input before running."),_xlfn.CONCAT("char ",TRIM($B773),"[doc_units] ",CHAR(96),CHAR(34),SUBSTITUTE(SUBSTITUTE(SUBSTITUTE(SUBSTITUTE(SUBSTITUTE(SUBSTITUTE($F773,CHAR(13)," "),CHAR(10)," "),CHAR(9)," "),CHAR(92),_xlfn.CONCAT(CHAR(92),CHAR(92))),"$",_xlfn.CONCAT(CHAR(92),"$")),CHAR(96),_xlfn.CONCAT(CHAR(92),CHAR(96))),CHAR(34),CHAR(39))))</f>
        <v/>
      </c>
      <c r="Q773" s="5" t="str">
        <f>IF(OR(TRIM($B773)="",$G773=""),"",IF(OR(ISNUMBER(SEARCH(_xlfn.CONCAT(CHAR(96),CHAR(34)),$G773)),ISNUMBER(SEARCH(_xlfn.CONCAT(CHAR(34),CHAR(39)),$G773))),_xlfn.CONCAT("* REVIEW REQUIRED: compound-quote delimiter in Universe on Sheet 1 row ",773,"; edit the input before running."),_xlfn.CONCAT("char ",TRIM($B773),"[doc_universe] ",CHAR(96),CHAR(34),SUBSTITUTE(SUBSTITUTE(SUBSTITUTE(SUBSTITUTE(SUBSTITUTE(SUBSTITUTE($G773,CHAR(13)," "),CHAR(10)," "),CHAR(9)," "),CHAR(92),_xlfn.CONCAT(CHAR(92),CHAR(92))),"$",_xlfn.CONCAT(CHAR(92),"$")),CHAR(96),_xlfn.CONCAT(CHAR(92),CHAR(96))),CHAR(34),CHAR(39))))</f>
        <v/>
      </c>
      <c r="R773" s="5" t="str">
        <f>IF(OR(TRIM($B773)="",$H773=""),"",IF(OR(ISNUMBER(SEARCH(_xlfn.CONCAT(CHAR(96),CHAR(34)),$H773)),ISNUMBER(SEARCH(_xlfn.CONCAT(CHAR(34),CHAR(39)),$H773))),_xlfn.CONCAT("* REVIEW REQUIRED: compound-quote delimiter in Source on Sheet 1 row ",773,"; edit the input before running."),_xlfn.CONCAT("char ",TRIM($B773),"[doc_source] ",CHAR(96),CHAR(34),SUBSTITUTE(SUBSTITUTE(SUBSTITUTE(SUBSTITUTE(SUBSTITUTE(SUBSTITUTE($H773,CHAR(13)," "),CHAR(10)," "),CHAR(9)," "),CHAR(92),_xlfn.CONCAT(CHAR(92),CHAR(92))),"$",_xlfn.CONCAT(CHAR(92),"$")),CHAR(96),_xlfn.CONCAT(CHAR(92),CHAR(96))),CHAR(34),CHAR(39))))</f>
        <v/>
      </c>
      <c r="S773" s="5" t="str">
        <f>IF(OR(TRIM($B773)="",$I773=""),"",IF(OR(ISNUMBER(SEARCH(_xlfn.CONCAT(CHAR(96),CHAR(34)),$I773)),ISNUMBER(SEARCH(_xlfn.CONCAT(CHAR(34),CHAR(39)),$I773))),_xlfn.CONCAT("* REVIEW REQUIRED: compound-quote delimiter in Derivation on Sheet 1 row ",773,"; edit the input before running."),_xlfn.CONCAT("char ",TRIM($B773),"[doc_derivation] ",CHAR(96),CHAR(34),SUBSTITUTE(SUBSTITUTE(SUBSTITUTE(SUBSTITUTE(SUBSTITUTE(SUBSTITUTE($I773,CHAR(13)," "),CHAR(10)," "),CHAR(9)," "),CHAR(92),_xlfn.CONCAT(CHAR(92),CHAR(92))),"$",_xlfn.CONCAT(CHAR(92),"$")),CHAR(96),_xlfn.CONCAT(CHAR(92),CHAR(96))),CHAR(34),CHAR(39))))</f>
        <v/>
      </c>
      <c r="T773" s="5" t="str">
        <f>IF(OR(TRIM($B773)="",$J773=""),"",IF(OR(ISNUMBER(SEARCH(_xlfn.CONCAT(CHAR(96),CHAR(34)),$J773)),ISNUMBER(SEARCH(_xlfn.CONCAT(CHAR(34),CHAR(39)),$J773))),_xlfn.CONCAT("* REVIEW REQUIRED: compound-quote delimiter in Notes on Sheet 1 row ",773,"; edit the input before running."),_xlfn.CONCAT("char ",TRIM($B773),"[doc_notes] ",CHAR(96),CHAR(34),SUBSTITUTE(SUBSTITUTE(SUBSTITUTE(SUBSTITUTE(SUBSTITUTE(SUBSTITUTE($J773,CHAR(13)," "),CHAR(10)," "),CHAR(9)," "),CHAR(92),_xlfn.CONCAT(CHAR(92),CHAR(92))),"$",_xlfn.CONCAT(CHAR(92),"$")),CHAR(96),_xlfn.CONCAT(CHAR(92),CHAR(96))),CHAR(34),CHAR(39))))</f>
        <v/>
      </c>
      <c r="U773" s="5">
        <f t="shared" si="23"/>
        <v>0</v>
      </c>
    </row>
    <row r="774" spans="3:21" ht="30" customHeight="1" x14ac:dyDescent="0.2">
      <c r="C774" s="4"/>
      <c r="K774" s="5">
        <f t="shared" si="22"/>
        <v>0</v>
      </c>
      <c r="L774" s="5" t="str">
        <f>IF(OR(TRIM($B774)="",$A774=""),"",IF(OR(ISNUMBER(SEARCH(_xlfn.CONCAT(CHAR(96),CHAR(34)),$A774)),ISNUMBER(SEARCH(_xlfn.CONCAT(CHAR(34),CHAR(39)),$A774))),_xlfn.CONCAT("* REVIEW REQUIRED: compound-quote delimiter in Codebook Section on Sheet 1 row ",774,"; edit the input before running."),_xlfn.CONCAT("char ",TRIM($B774),"[doc_section] ",CHAR(96),CHAR(34),SUBSTITUTE(SUBSTITUTE(SUBSTITUTE(SUBSTITUTE(SUBSTITUTE(SUBSTITUTE($A774,CHAR(13)," "),CHAR(10)," "),CHAR(9)," "),CHAR(92),_xlfn.CONCAT(CHAR(92),CHAR(92))),"$",_xlfn.CONCAT(CHAR(92),"$")),CHAR(96),_xlfn.CONCAT(CHAR(92),CHAR(96))),CHAR(34),CHAR(39))))</f>
        <v/>
      </c>
      <c r="M774" s="5" t="str">
        <f>IF(OR(TRIM($B774)="",$C774=""),"",IF(IFERROR(MATCH(TRIM($C774),{"Quantitative","Continuous","Discrete","Categorical","Nominal","Ordinal","Identifier"},0),0)=0,_xlfn.CONCAT("* REVIEW REQUIRED: invalid Variable Type on Sheet 1 row ",774,"."),_xlfn.CONCAT("char ",TRIM($B774),"[doc_vartype] ",CHAR(96),CHAR(34),SUBSTITUTE(SUBSTITUTE(SUBSTITUTE(SUBSTITUTE(SUBSTITUTE(SUBSTITUTE(LOWER(TRIM($C774)),CHAR(13)," "),CHAR(10)," "),CHAR(9)," "),CHAR(92),_xlfn.CONCAT(CHAR(92),CHAR(92))),"$",_xlfn.CONCAT(CHAR(92),"$")),CHAR(96),_xlfn.CONCAT(CHAR(92),CHAR(96))),CHAR(34),CHAR(39))))</f>
        <v/>
      </c>
      <c r="N774" s="5" t="str">
        <f>IF(OR(TRIM($B774)="",$D774=""),"",IF(OR(ISNUMBER(SEARCH(_xlfn.CONCAT(CHAR(96),CHAR(34)),$D774)),ISNUMBER(SEARCH(_xlfn.CONCAT(CHAR(34),CHAR(39)),$D774))),_xlfn.CONCAT("* REVIEW REQUIRED: compound-quote delimiter in Item Number on Sheet 1 row ",774,"; edit the input before running."),_xlfn.CONCAT("char ",TRIM($B774),"[doc_itemnum] ",CHAR(96),CHAR(34),SUBSTITUTE(SUBSTITUTE(SUBSTITUTE(SUBSTITUTE(SUBSTITUTE(SUBSTITUTE($D774,CHAR(13)," "),CHAR(10)," "),CHAR(9)," "),CHAR(92),_xlfn.CONCAT(CHAR(92),CHAR(92))),"$",_xlfn.CONCAT(CHAR(92),"$")),CHAR(96),_xlfn.CONCAT(CHAR(92),CHAR(96))),CHAR(34),CHAR(39))))</f>
        <v/>
      </c>
      <c r="O774" s="5" t="str">
        <f>IF(OR(TRIM($B774)="",$E774=""),"",IF(OR(ISNUMBER(SEARCH(_xlfn.CONCAT(CHAR(96),CHAR(34)),$E774)),ISNUMBER(SEARCH(_xlfn.CONCAT(CHAR(34),CHAR(39)),$E774))),_xlfn.CONCAT("* REVIEW REQUIRED: compound-quote delimiter in Question Wording on Sheet 1 row ",774,"; edit the input before running."),_xlfn.CONCAT("char ",TRIM($B774),"[doc_question] ",CHAR(96),CHAR(34),SUBSTITUTE(SUBSTITUTE(SUBSTITUTE(SUBSTITUTE(SUBSTITUTE(SUBSTITUTE($E774,CHAR(13)," "),CHAR(10)," "),CHAR(9)," "),CHAR(92),_xlfn.CONCAT(CHAR(92),CHAR(92))),"$",_xlfn.CONCAT(CHAR(92),"$")),CHAR(96),_xlfn.CONCAT(CHAR(92),CHAR(96))),CHAR(34),CHAR(39))))</f>
        <v/>
      </c>
      <c r="P774" s="5" t="str">
        <f>IF(OR(TRIM($B774)="",$F774=""),"",IF(OR(ISNUMBER(SEARCH(_xlfn.CONCAT(CHAR(96),CHAR(34)),$F774)),ISNUMBER(SEARCH(_xlfn.CONCAT(CHAR(34),CHAR(39)),$F774))),_xlfn.CONCAT("* REVIEW REQUIRED: compound-quote delimiter in Units on Sheet 1 row ",774,"; edit the input before running."),_xlfn.CONCAT("char ",TRIM($B774),"[doc_units] ",CHAR(96),CHAR(34),SUBSTITUTE(SUBSTITUTE(SUBSTITUTE(SUBSTITUTE(SUBSTITUTE(SUBSTITUTE($F774,CHAR(13)," "),CHAR(10)," "),CHAR(9)," "),CHAR(92),_xlfn.CONCAT(CHAR(92),CHAR(92))),"$",_xlfn.CONCAT(CHAR(92),"$")),CHAR(96),_xlfn.CONCAT(CHAR(92),CHAR(96))),CHAR(34),CHAR(39))))</f>
        <v/>
      </c>
      <c r="Q774" s="5" t="str">
        <f>IF(OR(TRIM($B774)="",$G774=""),"",IF(OR(ISNUMBER(SEARCH(_xlfn.CONCAT(CHAR(96),CHAR(34)),$G774)),ISNUMBER(SEARCH(_xlfn.CONCAT(CHAR(34),CHAR(39)),$G774))),_xlfn.CONCAT("* REVIEW REQUIRED: compound-quote delimiter in Universe on Sheet 1 row ",774,"; edit the input before running."),_xlfn.CONCAT("char ",TRIM($B774),"[doc_universe] ",CHAR(96),CHAR(34),SUBSTITUTE(SUBSTITUTE(SUBSTITUTE(SUBSTITUTE(SUBSTITUTE(SUBSTITUTE($G774,CHAR(13)," "),CHAR(10)," "),CHAR(9)," "),CHAR(92),_xlfn.CONCAT(CHAR(92),CHAR(92))),"$",_xlfn.CONCAT(CHAR(92),"$")),CHAR(96),_xlfn.CONCAT(CHAR(92),CHAR(96))),CHAR(34),CHAR(39))))</f>
        <v/>
      </c>
      <c r="R774" s="5" t="str">
        <f>IF(OR(TRIM($B774)="",$H774=""),"",IF(OR(ISNUMBER(SEARCH(_xlfn.CONCAT(CHAR(96),CHAR(34)),$H774)),ISNUMBER(SEARCH(_xlfn.CONCAT(CHAR(34),CHAR(39)),$H774))),_xlfn.CONCAT("* REVIEW REQUIRED: compound-quote delimiter in Source on Sheet 1 row ",774,"; edit the input before running."),_xlfn.CONCAT("char ",TRIM($B774),"[doc_source] ",CHAR(96),CHAR(34),SUBSTITUTE(SUBSTITUTE(SUBSTITUTE(SUBSTITUTE(SUBSTITUTE(SUBSTITUTE($H774,CHAR(13)," "),CHAR(10)," "),CHAR(9)," "),CHAR(92),_xlfn.CONCAT(CHAR(92),CHAR(92))),"$",_xlfn.CONCAT(CHAR(92),"$")),CHAR(96),_xlfn.CONCAT(CHAR(92),CHAR(96))),CHAR(34),CHAR(39))))</f>
        <v/>
      </c>
      <c r="S774" s="5" t="str">
        <f>IF(OR(TRIM($B774)="",$I774=""),"",IF(OR(ISNUMBER(SEARCH(_xlfn.CONCAT(CHAR(96),CHAR(34)),$I774)),ISNUMBER(SEARCH(_xlfn.CONCAT(CHAR(34),CHAR(39)),$I774))),_xlfn.CONCAT("* REVIEW REQUIRED: compound-quote delimiter in Derivation on Sheet 1 row ",774,"; edit the input before running."),_xlfn.CONCAT("char ",TRIM($B774),"[doc_derivation] ",CHAR(96),CHAR(34),SUBSTITUTE(SUBSTITUTE(SUBSTITUTE(SUBSTITUTE(SUBSTITUTE(SUBSTITUTE($I774,CHAR(13)," "),CHAR(10)," "),CHAR(9)," "),CHAR(92),_xlfn.CONCAT(CHAR(92),CHAR(92))),"$",_xlfn.CONCAT(CHAR(92),"$")),CHAR(96),_xlfn.CONCAT(CHAR(92),CHAR(96))),CHAR(34),CHAR(39))))</f>
        <v/>
      </c>
      <c r="T774" s="5" t="str">
        <f>IF(OR(TRIM($B774)="",$J774=""),"",IF(OR(ISNUMBER(SEARCH(_xlfn.CONCAT(CHAR(96),CHAR(34)),$J774)),ISNUMBER(SEARCH(_xlfn.CONCAT(CHAR(34),CHAR(39)),$J774))),_xlfn.CONCAT("* REVIEW REQUIRED: compound-quote delimiter in Notes on Sheet 1 row ",774,"; edit the input before running."),_xlfn.CONCAT("char ",TRIM($B774),"[doc_notes] ",CHAR(96),CHAR(34),SUBSTITUTE(SUBSTITUTE(SUBSTITUTE(SUBSTITUTE(SUBSTITUTE(SUBSTITUTE($J774,CHAR(13)," "),CHAR(10)," "),CHAR(9)," "),CHAR(92),_xlfn.CONCAT(CHAR(92),CHAR(92))),"$",_xlfn.CONCAT(CHAR(92),"$")),CHAR(96),_xlfn.CONCAT(CHAR(92),CHAR(96))),CHAR(34),CHAR(39))))</f>
        <v/>
      </c>
      <c r="U774" s="5">
        <f t="shared" si="23"/>
        <v>0</v>
      </c>
    </row>
    <row r="775" spans="3:21" ht="30" customHeight="1" x14ac:dyDescent="0.2">
      <c r="C775" s="4"/>
      <c r="K775" s="5">
        <f t="shared" si="22"/>
        <v>0</v>
      </c>
      <c r="L775" s="5" t="str">
        <f>IF(OR(TRIM($B775)="",$A775=""),"",IF(OR(ISNUMBER(SEARCH(_xlfn.CONCAT(CHAR(96),CHAR(34)),$A775)),ISNUMBER(SEARCH(_xlfn.CONCAT(CHAR(34),CHAR(39)),$A775))),_xlfn.CONCAT("* REVIEW REQUIRED: compound-quote delimiter in Codebook Section on Sheet 1 row ",775,"; edit the input before running."),_xlfn.CONCAT("char ",TRIM($B775),"[doc_section] ",CHAR(96),CHAR(34),SUBSTITUTE(SUBSTITUTE(SUBSTITUTE(SUBSTITUTE(SUBSTITUTE(SUBSTITUTE($A775,CHAR(13)," "),CHAR(10)," "),CHAR(9)," "),CHAR(92),_xlfn.CONCAT(CHAR(92),CHAR(92))),"$",_xlfn.CONCAT(CHAR(92),"$")),CHAR(96),_xlfn.CONCAT(CHAR(92),CHAR(96))),CHAR(34),CHAR(39))))</f>
        <v/>
      </c>
      <c r="M775" s="5" t="str">
        <f>IF(OR(TRIM($B775)="",$C775=""),"",IF(IFERROR(MATCH(TRIM($C775),{"Quantitative","Continuous","Discrete","Categorical","Nominal","Ordinal","Identifier"},0),0)=0,_xlfn.CONCAT("* REVIEW REQUIRED: invalid Variable Type on Sheet 1 row ",775,"."),_xlfn.CONCAT("char ",TRIM($B775),"[doc_vartype] ",CHAR(96),CHAR(34),SUBSTITUTE(SUBSTITUTE(SUBSTITUTE(SUBSTITUTE(SUBSTITUTE(SUBSTITUTE(LOWER(TRIM($C775)),CHAR(13)," "),CHAR(10)," "),CHAR(9)," "),CHAR(92),_xlfn.CONCAT(CHAR(92),CHAR(92))),"$",_xlfn.CONCAT(CHAR(92),"$")),CHAR(96),_xlfn.CONCAT(CHAR(92),CHAR(96))),CHAR(34),CHAR(39))))</f>
        <v/>
      </c>
      <c r="N775" s="5" t="str">
        <f>IF(OR(TRIM($B775)="",$D775=""),"",IF(OR(ISNUMBER(SEARCH(_xlfn.CONCAT(CHAR(96),CHAR(34)),$D775)),ISNUMBER(SEARCH(_xlfn.CONCAT(CHAR(34),CHAR(39)),$D775))),_xlfn.CONCAT("* REVIEW REQUIRED: compound-quote delimiter in Item Number on Sheet 1 row ",775,"; edit the input before running."),_xlfn.CONCAT("char ",TRIM($B775),"[doc_itemnum] ",CHAR(96),CHAR(34),SUBSTITUTE(SUBSTITUTE(SUBSTITUTE(SUBSTITUTE(SUBSTITUTE(SUBSTITUTE($D775,CHAR(13)," "),CHAR(10)," "),CHAR(9)," "),CHAR(92),_xlfn.CONCAT(CHAR(92),CHAR(92))),"$",_xlfn.CONCAT(CHAR(92),"$")),CHAR(96),_xlfn.CONCAT(CHAR(92),CHAR(96))),CHAR(34),CHAR(39))))</f>
        <v/>
      </c>
      <c r="O775" s="5" t="str">
        <f>IF(OR(TRIM($B775)="",$E775=""),"",IF(OR(ISNUMBER(SEARCH(_xlfn.CONCAT(CHAR(96),CHAR(34)),$E775)),ISNUMBER(SEARCH(_xlfn.CONCAT(CHAR(34),CHAR(39)),$E775))),_xlfn.CONCAT("* REVIEW REQUIRED: compound-quote delimiter in Question Wording on Sheet 1 row ",775,"; edit the input before running."),_xlfn.CONCAT("char ",TRIM($B775),"[doc_question] ",CHAR(96),CHAR(34),SUBSTITUTE(SUBSTITUTE(SUBSTITUTE(SUBSTITUTE(SUBSTITUTE(SUBSTITUTE($E775,CHAR(13)," "),CHAR(10)," "),CHAR(9)," "),CHAR(92),_xlfn.CONCAT(CHAR(92),CHAR(92))),"$",_xlfn.CONCAT(CHAR(92),"$")),CHAR(96),_xlfn.CONCAT(CHAR(92),CHAR(96))),CHAR(34),CHAR(39))))</f>
        <v/>
      </c>
      <c r="P775" s="5" t="str">
        <f>IF(OR(TRIM($B775)="",$F775=""),"",IF(OR(ISNUMBER(SEARCH(_xlfn.CONCAT(CHAR(96),CHAR(34)),$F775)),ISNUMBER(SEARCH(_xlfn.CONCAT(CHAR(34),CHAR(39)),$F775))),_xlfn.CONCAT("* REVIEW REQUIRED: compound-quote delimiter in Units on Sheet 1 row ",775,"; edit the input before running."),_xlfn.CONCAT("char ",TRIM($B775),"[doc_units] ",CHAR(96),CHAR(34),SUBSTITUTE(SUBSTITUTE(SUBSTITUTE(SUBSTITUTE(SUBSTITUTE(SUBSTITUTE($F775,CHAR(13)," "),CHAR(10)," "),CHAR(9)," "),CHAR(92),_xlfn.CONCAT(CHAR(92),CHAR(92))),"$",_xlfn.CONCAT(CHAR(92),"$")),CHAR(96),_xlfn.CONCAT(CHAR(92),CHAR(96))),CHAR(34),CHAR(39))))</f>
        <v/>
      </c>
      <c r="Q775" s="5" t="str">
        <f>IF(OR(TRIM($B775)="",$G775=""),"",IF(OR(ISNUMBER(SEARCH(_xlfn.CONCAT(CHAR(96),CHAR(34)),$G775)),ISNUMBER(SEARCH(_xlfn.CONCAT(CHAR(34),CHAR(39)),$G775))),_xlfn.CONCAT("* REVIEW REQUIRED: compound-quote delimiter in Universe on Sheet 1 row ",775,"; edit the input before running."),_xlfn.CONCAT("char ",TRIM($B775),"[doc_universe] ",CHAR(96),CHAR(34),SUBSTITUTE(SUBSTITUTE(SUBSTITUTE(SUBSTITUTE(SUBSTITUTE(SUBSTITUTE($G775,CHAR(13)," "),CHAR(10)," "),CHAR(9)," "),CHAR(92),_xlfn.CONCAT(CHAR(92),CHAR(92))),"$",_xlfn.CONCAT(CHAR(92),"$")),CHAR(96),_xlfn.CONCAT(CHAR(92),CHAR(96))),CHAR(34),CHAR(39))))</f>
        <v/>
      </c>
      <c r="R775" s="5" t="str">
        <f>IF(OR(TRIM($B775)="",$H775=""),"",IF(OR(ISNUMBER(SEARCH(_xlfn.CONCAT(CHAR(96),CHAR(34)),$H775)),ISNUMBER(SEARCH(_xlfn.CONCAT(CHAR(34),CHAR(39)),$H775))),_xlfn.CONCAT("* REVIEW REQUIRED: compound-quote delimiter in Source on Sheet 1 row ",775,"; edit the input before running."),_xlfn.CONCAT("char ",TRIM($B775),"[doc_source] ",CHAR(96),CHAR(34),SUBSTITUTE(SUBSTITUTE(SUBSTITUTE(SUBSTITUTE(SUBSTITUTE(SUBSTITUTE($H775,CHAR(13)," "),CHAR(10)," "),CHAR(9)," "),CHAR(92),_xlfn.CONCAT(CHAR(92),CHAR(92))),"$",_xlfn.CONCAT(CHAR(92),"$")),CHAR(96),_xlfn.CONCAT(CHAR(92),CHAR(96))),CHAR(34),CHAR(39))))</f>
        <v/>
      </c>
      <c r="S775" s="5" t="str">
        <f>IF(OR(TRIM($B775)="",$I775=""),"",IF(OR(ISNUMBER(SEARCH(_xlfn.CONCAT(CHAR(96),CHAR(34)),$I775)),ISNUMBER(SEARCH(_xlfn.CONCAT(CHAR(34),CHAR(39)),$I775))),_xlfn.CONCAT("* REVIEW REQUIRED: compound-quote delimiter in Derivation on Sheet 1 row ",775,"; edit the input before running."),_xlfn.CONCAT("char ",TRIM($B775),"[doc_derivation] ",CHAR(96),CHAR(34),SUBSTITUTE(SUBSTITUTE(SUBSTITUTE(SUBSTITUTE(SUBSTITUTE(SUBSTITUTE($I775,CHAR(13)," "),CHAR(10)," "),CHAR(9)," "),CHAR(92),_xlfn.CONCAT(CHAR(92),CHAR(92))),"$",_xlfn.CONCAT(CHAR(92),"$")),CHAR(96),_xlfn.CONCAT(CHAR(92),CHAR(96))),CHAR(34),CHAR(39))))</f>
        <v/>
      </c>
      <c r="T775" s="5" t="str">
        <f>IF(OR(TRIM($B775)="",$J775=""),"",IF(OR(ISNUMBER(SEARCH(_xlfn.CONCAT(CHAR(96),CHAR(34)),$J775)),ISNUMBER(SEARCH(_xlfn.CONCAT(CHAR(34),CHAR(39)),$J775))),_xlfn.CONCAT("* REVIEW REQUIRED: compound-quote delimiter in Notes on Sheet 1 row ",775,"; edit the input before running."),_xlfn.CONCAT("char ",TRIM($B775),"[doc_notes] ",CHAR(96),CHAR(34),SUBSTITUTE(SUBSTITUTE(SUBSTITUTE(SUBSTITUTE(SUBSTITUTE(SUBSTITUTE($J775,CHAR(13)," "),CHAR(10)," "),CHAR(9)," "),CHAR(92),_xlfn.CONCAT(CHAR(92),CHAR(92))),"$",_xlfn.CONCAT(CHAR(92),"$")),CHAR(96),_xlfn.CONCAT(CHAR(92),CHAR(96))),CHAR(34),CHAR(39))))</f>
        <v/>
      </c>
      <c r="U775" s="5">
        <f t="shared" si="23"/>
        <v>0</v>
      </c>
    </row>
    <row r="776" spans="3:21" ht="30" customHeight="1" x14ac:dyDescent="0.2">
      <c r="C776" s="4"/>
      <c r="K776" s="5">
        <f t="shared" si="22"/>
        <v>0</v>
      </c>
      <c r="L776" s="5" t="str">
        <f>IF(OR(TRIM($B776)="",$A776=""),"",IF(OR(ISNUMBER(SEARCH(_xlfn.CONCAT(CHAR(96),CHAR(34)),$A776)),ISNUMBER(SEARCH(_xlfn.CONCAT(CHAR(34),CHAR(39)),$A776))),_xlfn.CONCAT("* REVIEW REQUIRED: compound-quote delimiter in Codebook Section on Sheet 1 row ",776,"; edit the input before running."),_xlfn.CONCAT("char ",TRIM($B776),"[doc_section] ",CHAR(96),CHAR(34),SUBSTITUTE(SUBSTITUTE(SUBSTITUTE(SUBSTITUTE(SUBSTITUTE(SUBSTITUTE($A776,CHAR(13)," "),CHAR(10)," "),CHAR(9)," "),CHAR(92),_xlfn.CONCAT(CHAR(92),CHAR(92))),"$",_xlfn.CONCAT(CHAR(92),"$")),CHAR(96),_xlfn.CONCAT(CHAR(92),CHAR(96))),CHAR(34),CHAR(39))))</f>
        <v/>
      </c>
      <c r="M776" s="5" t="str">
        <f>IF(OR(TRIM($B776)="",$C776=""),"",IF(IFERROR(MATCH(TRIM($C776),{"Quantitative","Continuous","Discrete","Categorical","Nominal","Ordinal","Identifier"},0),0)=0,_xlfn.CONCAT("* REVIEW REQUIRED: invalid Variable Type on Sheet 1 row ",776,"."),_xlfn.CONCAT("char ",TRIM($B776),"[doc_vartype] ",CHAR(96),CHAR(34),SUBSTITUTE(SUBSTITUTE(SUBSTITUTE(SUBSTITUTE(SUBSTITUTE(SUBSTITUTE(LOWER(TRIM($C776)),CHAR(13)," "),CHAR(10)," "),CHAR(9)," "),CHAR(92),_xlfn.CONCAT(CHAR(92),CHAR(92))),"$",_xlfn.CONCAT(CHAR(92),"$")),CHAR(96),_xlfn.CONCAT(CHAR(92),CHAR(96))),CHAR(34),CHAR(39))))</f>
        <v/>
      </c>
      <c r="N776" s="5" t="str">
        <f>IF(OR(TRIM($B776)="",$D776=""),"",IF(OR(ISNUMBER(SEARCH(_xlfn.CONCAT(CHAR(96),CHAR(34)),$D776)),ISNUMBER(SEARCH(_xlfn.CONCAT(CHAR(34),CHAR(39)),$D776))),_xlfn.CONCAT("* REVIEW REQUIRED: compound-quote delimiter in Item Number on Sheet 1 row ",776,"; edit the input before running."),_xlfn.CONCAT("char ",TRIM($B776),"[doc_itemnum] ",CHAR(96),CHAR(34),SUBSTITUTE(SUBSTITUTE(SUBSTITUTE(SUBSTITUTE(SUBSTITUTE(SUBSTITUTE($D776,CHAR(13)," "),CHAR(10)," "),CHAR(9)," "),CHAR(92),_xlfn.CONCAT(CHAR(92),CHAR(92))),"$",_xlfn.CONCAT(CHAR(92),"$")),CHAR(96),_xlfn.CONCAT(CHAR(92),CHAR(96))),CHAR(34),CHAR(39))))</f>
        <v/>
      </c>
      <c r="O776" s="5" t="str">
        <f>IF(OR(TRIM($B776)="",$E776=""),"",IF(OR(ISNUMBER(SEARCH(_xlfn.CONCAT(CHAR(96),CHAR(34)),$E776)),ISNUMBER(SEARCH(_xlfn.CONCAT(CHAR(34),CHAR(39)),$E776))),_xlfn.CONCAT("* REVIEW REQUIRED: compound-quote delimiter in Question Wording on Sheet 1 row ",776,"; edit the input before running."),_xlfn.CONCAT("char ",TRIM($B776),"[doc_question] ",CHAR(96),CHAR(34),SUBSTITUTE(SUBSTITUTE(SUBSTITUTE(SUBSTITUTE(SUBSTITUTE(SUBSTITUTE($E776,CHAR(13)," "),CHAR(10)," "),CHAR(9)," "),CHAR(92),_xlfn.CONCAT(CHAR(92),CHAR(92))),"$",_xlfn.CONCAT(CHAR(92),"$")),CHAR(96),_xlfn.CONCAT(CHAR(92),CHAR(96))),CHAR(34),CHAR(39))))</f>
        <v/>
      </c>
      <c r="P776" s="5" t="str">
        <f>IF(OR(TRIM($B776)="",$F776=""),"",IF(OR(ISNUMBER(SEARCH(_xlfn.CONCAT(CHAR(96),CHAR(34)),$F776)),ISNUMBER(SEARCH(_xlfn.CONCAT(CHAR(34),CHAR(39)),$F776))),_xlfn.CONCAT("* REVIEW REQUIRED: compound-quote delimiter in Units on Sheet 1 row ",776,"; edit the input before running."),_xlfn.CONCAT("char ",TRIM($B776),"[doc_units] ",CHAR(96),CHAR(34),SUBSTITUTE(SUBSTITUTE(SUBSTITUTE(SUBSTITUTE(SUBSTITUTE(SUBSTITUTE($F776,CHAR(13)," "),CHAR(10)," "),CHAR(9)," "),CHAR(92),_xlfn.CONCAT(CHAR(92),CHAR(92))),"$",_xlfn.CONCAT(CHAR(92),"$")),CHAR(96),_xlfn.CONCAT(CHAR(92),CHAR(96))),CHAR(34),CHAR(39))))</f>
        <v/>
      </c>
      <c r="Q776" s="5" t="str">
        <f>IF(OR(TRIM($B776)="",$G776=""),"",IF(OR(ISNUMBER(SEARCH(_xlfn.CONCAT(CHAR(96),CHAR(34)),$G776)),ISNUMBER(SEARCH(_xlfn.CONCAT(CHAR(34),CHAR(39)),$G776))),_xlfn.CONCAT("* REVIEW REQUIRED: compound-quote delimiter in Universe on Sheet 1 row ",776,"; edit the input before running."),_xlfn.CONCAT("char ",TRIM($B776),"[doc_universe] ",CHAR(96),CHAR(34),SUBSTITUTE(SUBSTITUTE(SUBSTITUTE(SUBSTITUTE(SUBSTITUTE(SUBSTITUTE($G776,CHAR(13)," "),CHAR(10)," "),CHAR(9)," "),CHAR(92),_xlfn.CONCAT(CHAR(92),CHAR(92))),"$",_xlfn.CONCAT(CHAR(92),"$")),CHAR(96),_xlfn.CONCAT(CHAR(92),CHAR(96))),CHAR(34),CHAR(39))))</f>
        <v/>
      </c>
      <c r="R776" s="5" t="str">
        <f>IF(OR(TRIM($B776)="",$H776=""),"",IF(OR(ISNUMBER(SEARCH(_xlfn.CONCAT(CHAR(96),CHAR(34)),$H776)),ISNUMBER(SEARCH(_xlfn.CONCAT(CHAR(34),CHAR(39)),$H776))),_xlfn.CONCAT("* REVIEW REQUIRED: compound-quote delimiter in Source on Sheet 1 row ",776,"; edit the input before running."),_xlfn.CONCAT("char ",TRIM($B776),"[doc_source] ",CHAR(96),CHAR(34),SUBSTITUTE(SUBSTITUTE(SUBSTITUTE(SUBSTITUTE(SUBSTITUTE(SUBSTITUTE($H776,CHAR(13)," "),CHAR(10)," "),CHAR(9)," "),CHAR(92),_xlfn.CONCAT(CHAR(92),CHAR(92))),"$",_xlfn.CONCAT(CHAR(92),"$")),CHAR(96),_xlfn.CONCAT(CHAR(92),CHAR(96))),CHAR(34),CHAR(39))))</f>
        <v/>
      </c>
      <c r="S776" s="5" t="str">
        <f>IF(OR(TRIM($B776)="",$I776=""),"",IF(OR(ISNUMBER(SEARCH(_xlfn.CONCAT(CHAR(96),CHAR(34)),$I776)),ISNUMBER(SEARCH(_xlfn.CONCAT(CHAR(34),CHAR(39)),$I776))),_xlfn.CONCAT("* REVIEW REQUIRED: compound-quote delimiter in Derivation on Sheet 1 row ",776,"; edit the input before running."),_xlfn.CONCAT("char ",TRIM($B776),"[doc_derivation] ",CHAR(96),CHAR(34),SUBSTITUTE(SUBSTITUTE(SUBSTITUTE(SUBSTITUTE(SUBSTITUTE(SUBSTITUTE($I776,CHAR(13)," "),CHAR(10)," "),CHAR(9)," "),CHAR(92),_xlfn.CONCAT(CHAR(92),CHAR(92))),"$",_xlfn.CONCAT(CHAR(92),"$")),CHAR(96),_xlfn.CONCAT(CHAR(92),CHAR(96))),CHAR(34),CHAR(39))))</f>
        <v/>
      </c>
      <c r="T776" s="5" t="str">
        <f>IF(OR(TRIM($B776)="",$J776=""),"",IF(OR(ISNUMBER(SEARCH(_xlfn.CONCAT(CHAR(96),CHAR(34)),$J776)),ISNUMBER(SEARCH(_xlfn.CONCAT(CHAR(34),CHAR(39)),$J776))),_xlfn.CONCAT("* REVIEW REQUIRED: compound-quote delimiter in Notes on Sheet 1 row ",776,"; edit the input before running."),_xlfn.CONCAT("char ",TRIM($B776),"[doc_notes] ",CHAR(96),CHAR(34),SUBSTITUTE(SUBSTITUTE(SUBSTITUTE(SUBSTITUTE(SUBSTITUTE(SUBSTITUTE($J776,CHAR(13)," "),CHAR(10)," "),CHAR(9)," "),CHAR(92),_xlfn.CONCAT(CHAR(92),CHAR(92))),"$",_xlfn.CONCAT(CHAR(92),"$")),CHAR(96),_xlfn.CONCAT(CHAR(92),CHAR(96))),CHAR(34),CHAR(39))))</f>
        <v/>
      </c>
      <c r="U776" s="5">
        <f t="shared" si="23"/>
        <v>0</v>
      </c>
    </row>
    <row r="777" spans="3:21" ht="30" customHeight="1" x14ac:dyDescent="0.2">
      <c r="C777" s="4"/>
      <c r="K777" s="5">
        <f t="shared" si="22"/>
        <v>0</v>
      </c>
      <c r="L777" s="5" t="str">
        <f>IF(OR(TRIM($B777)="",$A777=""),"",IF(OR(ISNUMBER(SEARCH(_xlfn.CONCAT(CHAR(96),CHAR(34)),$A777)),ISNUMBER(SEARCH(_xlfn.CONCAT(CHAR(34),CHAR(39)),$A777))),_xlfn.CONCAT("* REVIEW REQUIRED: compound-quote delimiter in Codebook Section on Sheet 1 row ",777,"; edit the input before running."),_xlfn.CONCAT("char ",TRIM($B777),"[doc_section] ",CHAR(96),CHAR(34),SUBSTITUTE(SUBSTITUTE(SUBSTITUTE(SUBSTITUTE(SUBSTITUTE(SUBSTITUTE($A777,CHAR(13)," "),CHAR(10)," "),CHAR(9)," "),CHAR(92),_xlfn.CONCAT(CHAR(92),CHAR(92))),"$",_xlfn.CONCAT(CHAR(92),"$")),CHAR(96),_xlfn.CONCAT(CHAR(92),CHAR(96))),CHAR(34),CHAR(39))))</f>
        <v/>
      </c>
      <c r="M777" s="5" t="str">
        <f>IF(OR(TRIM($B777)="",$C777=""),"",IF(IFERROR(MATCH(TRIM($C777),{"Quantitative","Continuous","Discrete","Categorical","Nominal","Ordinal","Identifier"},0),0)=0,_xlfn.CONCAT("* REVIEW REQUIRED: invalid Variable Type on Sheet 1 row ",777,"."),_xlfn.CONCAT("char ",TRIM($B777),"[doc_vartype] ",CHAR(96),CHAR(34),SUBSTITUTE(SUBSTITUTE(SUBSTITUTE(SUBSTITUTE(SUBSTITUTE(SUBSTITUTE(LOWER(TRIM($C777)),CHAR(13)," "),CHAR(10)," "),CHAR(9)," "),CHAR(92),_xlfn.CONCAT(CHAR(92),CHAR(92))),"$",_xlfn.CONCAT(CHAR(92),"$")),CHAR(96),_xlfn.CONCAT(CHAR(92),CHAR(96))),CHAR(34),CHAR(39))))</f>
        <v/>
      </c>
      <c r="N777" s="5" t="str">
        <f>IF(OR(TRIM($B777)="",$D777=""),"",IF(OR(ISNUMBER(SEARCH(_xlfn.CONCAT(CHAR(96),CHAR(34)),$D777)),ISNUMBER(SEARCH(_xlfn.CONCAT(CHAR(34),CHAR(39)),$D777))),_xlfn.CONCAT("* REVIEW REQUIRED: compound-quote delimiter in Item Number on Sheet 1 row ",777,"; edit the input before running."),_xlfn.CONCAT("char ",TRIM($B777),"[doc_itemnum] ",CHAR(96),CHAR(34),SUBSTITUTE(SUBSTITUTE(SUBSTITUTE(SUBSTITUTE(SUBSTITUTE(SUBSTITUTE($D777,CHAR(13)," "),CHAR(10)," "),CHAR(9)," "),CHAR(92),_xlfn.CONCAT(CHAR(92),CHAR(92))),"$",_xlfn.CONCAT(CHAR(92),"$")),CHAR(96),_xlfn.CONCAT(CHAR(92),CHAR(96))),CHAR(34),CHAR(39))))</f>
        <v/>
      </c>
      <c r="O777" s="5" t="str">
        <f>IF(OR(TRIM($B777)="",$E777=""),"",IF(OR(ISNUMBER(SEARCH(_xlfn.CONCAT(CHAR(96),CHAR(34)),$E777)),ISNUMBER(SEARCH(_xlfn.CONCAT(CHAR(34),CHAR(39)),$E777))),_xlfn.CONCAT("* REVIEW REQUIRED: compound-quote delimiter in Question Wording on Sheet 1 row ",777,"; edit the input before running."),_xlfn.CONCAT("char ",TRIM($B777),"[doc_question] ",CHAR(96),CHAR(34),SUBSTITUTE(SUBSTITUTE(SUBSTITUTE(SUBSTITUTE(SUBSTITUTE(SUBSTITUTE($E777,CHAR(13)," "),CHAR(10)," "),CHAR(9)," "),CHAR(92),_xlfn.CONCAT(CHAR(92),CHAR(92))),"$",_xlfn.CONCAT(CHAR(92),"$")),CHAR(96),_xlfn.CONCAT(CHAR(92),CHAR(96))),CHAR(34),CHAR(39))))</f>
        <v/>
      </c>
      <c r="P777" s="5" t="str">
        <f>IF(OR(TRIM($B777)="",$F777=""),"",IF(OR(ISNUMBER(SEARCH(_xlfn.CONCAT(CHAR(96),CHAR(34)),$F777)),ISNUMBER(SEARCH(_xlfn.CONCAT(CHAR(34),CHAR(39)),$F777))),_xlfn.CONCAT("* REVIEW REQUIRED: compound-quote delimiter in Units on Sheet 1 row ",777,"; edit the input before running."),_xlfn.CONCAT("char ",TRIM($B777),"[doc_units] ",CHAR(96),CHAR(34),SUBSTITUTE(SUBSTITUTE(SUBSTITUTE(SUBSTITUTE(SUBSTITUTE(SUBSTITUTE($F777,CHAR(13)," "),CHAR(10)," "),CHAR(9)," "),CHAR(92),_xlfn.CONCAT(CHAR(92),CHAR(92))),"$",_xlfn.CONCAT(CHAR(92),"$")),CHAR(96),_xlfn.CONCAT(CHAR(92),CHAR(96))),CHAR(34),CHAR(39))))</f>
        <v/>
      </c>
      <c r="Q777" s="5" t="str">
        <f>IF(OR(TRIM($B777)="",$G777=""),"",IF(OR(ISNUMBER(SEARCH(_xlfn.CONCAT(CHAR(96),CHAR(34)),$G777)),ISNUMBER(SEARCH(_xlfn.CONCAT(CHAR(34),CHAR(39)),$G777))),_xlfn.CONCAT("* REVIEW REQUIRED: compound-quote delimiter in Universe on Sheet 1 row ",777,"; edit the input before running."),_xlfn.CONCAT("char ",TRIM($B777),"[doc_universe] ",CHAR(96),CHAR(34),SUBSTITUTE(SUBSTITUTE(SUBSTITUTE(SUBSTITUTE(SUBSTITUTE(SUBSTITUTE($G777,CHAR(13)," "),CHAR(10)," "),CHAR(9)," "),CHAR(92),_xlfn.CONCAT(CHAR(92),CHAR(92))),"$",_xlfn.CONCAT(CHAR(92),"$")),CHAR(96),_xlfn.CONCAT(CHAR(92),CHAR(96))),CHAR(34),CHAR(39))))</f>
        <v/>
      </c>
      <c r="R777" s="5" t="str">
        <f>IF(OR(TRIM($B777)="",$H777=""),"",IF(OR(ISNUMBER(SEARCH(_xlfn.CONCAT(CHAR(96),CHAR(34)),$H777)),ISNUMBER(SEARCH(_xlfn.CONCAT(CHAR(34),CHAR(39)),$H777))),_xlfn.CONCAT("* REVIEW REQUIRED: compound-quote delimiter in Source on Sheet 1 row ",777,"; edit the input before running."),_xlfn.CONCAT("char ",TRIM($B777),"[doc_source] ",CHAR(96),CHAR(34),SUBSTITUTE(SUBSTITUTE(SUBSTITUTE(SUBSTITUTE(SUBSTITUTE(SUBSTITUTE($H777,CHAR(13)," "),CHAR(10)," "),CHAR(9)," "),CHAR(92),_xlfn.CONCAT(CHAR(92),CHAR(92))),"$",_xlfn.CONCAT(CHAR(92),"$")),CHAR(96),_xlfn.CONCAT(CHAR(92),CHAR(96))),CHAR(34),CHAR(39))))</f>
        <v/>
      </c>
      <c r="S777" s="5" t="str">
        <f>IF(OR(TRIM($B777)="",$I777=""),"",IF(OR(ISNUMBER(SEARCH(_xlfn.CONCAT(CHAR(96),CHAR(34)),$I777)),ISNUMBER(SEARCH(_xlfn.CONCAT(CHAR(34),CHAR(39)),$I777))),_xlfn.CONCAT("* REVIEW REQUIRED: compound-quote delimiter in Derivation on Sheet 1 row ",777,"; edit the input before running."),_xlfn.CONCAT("char ",TRIM($B777),"[doc_derivation] ",CHAR(96),CHAR(34),SUBSTITUTE(SUBSTITUTE(SUBSTITUTE(SUBSTITUTE(SUBSTITUTE(SUBSTITUTE($I777,CHAR(13)," "),CHAR(10)," "),CHAR(9)," "),CHAR(92),_xlfn.CONCAT(CHAR(92),CHAR(92))),"$",_xlfn.CONCAT(CHAR(92),"$")),CHAR(96),_xlfn.CONCAT(CHAR(92),CHAR(96))),CHAR(34),CHAR(39))))</f>
        <v/>
      </c>
      <c r="T777" s="5" t="str">
        <f>IF(OR(TRIM($B777)="",$J777=""),"",IF(OR(ISNUMBER(SEARCH(_xlfn.CONCAT(CHAR(96),CHAR(34)),$J777)),ISNUMBER(SEARCH(_xlfn.CONCAT(CHAR(34),CHAR(39)),$J777))),_xlfn.CONCAT("* REVIEW REQUIRED: compound-quote delimiter in Notes on Sheet 1 row ",777,"; edit the input before running."),_xlfn.CONCAT("char ",TRIM($B777),"[doc_notes] ",CHAR(96),CHAR(34),SUBSTITUTE(SUBSTITUTE(SUBSTITUTE(SUBSTITUTE(SUBSTITUTE(SUBSTITUTE($J777,CHAR(13)," "),CHAR(10)," "),CHAR(9)," "),CHAR(92),_xlfn.CONCAT(CHAR(92),CHAR(92))),"$",_xlfn.CONCAT(CHAR(92),"$")),CHAR(96),_xlfn.CONCAT(CHAR(92),CHAR(96))),CHAR(34),CHAR(39))))</f>
        <v/>
      </c>
      <c r="U777" s="5">
        <f t="shared" si="23"/>
        <v>0</v>
      </c>
    </row>
    <row r="778" spans="3:21" ht="30" customHeight="1" x14ac:dyDescent="0.2">
      <c r="C778" s="4"/>
      <c r="K778" s="5">
        <f t="shared" si="22"/>
        <v>0</v>
      </c>
      <c r="L778" s="5" t="str">
        <f>IF(OR(TRIM($B778)="",$A778=""),"",IF(OR(ISNUMBER(SEARCH(_xlfn.CONCAT(CHAR(96),CHAR(34)),$A778)),ISNUMBER(SEARCH(_xlfn.CONCAT(CHAR(34),CHAR(39)),$A778))),_xlfn.CONCAT("* REVIEW REQUIRED: compound-quote delimiter in Codebook Section on Sheet 1 row ",778,"; edit the input before running."),_xlfn.CONCAT("char ",TRIM($B778),"[doc_section] ",CHAR(96),CHAR(34),SUBSTITUTE(SUBSTITUTE(SUBSTITUTE(SUBSTITUTE(SUBSTITUTE(SUBSTITUTE($A778,CHAR(13)," "),CHAR(10)," "),CHAR(9)," "),CHAR(92),_xlfn.CONCAT(CHAR(92),CHAR(92))),"$",_xlfn.CONCAT(CHAR(92),"$")),CHAR(96),_xlfn.CONCAT(CHAR(92),CHAR(96))),CHAR(34),CHAR(39))))</f>
        <v/>
      </c>
      <c r="M778" s="5" t="str">
        <f>IF(OR(TRIM($B778)="",$C778=""),"",IF(IFERROR(MATCH(TRIM($C778),{"Quantitative","Continuous","Discrete","Categorical","Nominal","Ordinal","Identifier"},0),0)=0,_xlfn.CONCAT("* REVIEW REQUIRED: invalid Variable Type on Sheet 1 row ",778,"."),_xlfn.CONCAT("char ",TRIM($B778),"[doc_vartype] ",CHAR(96),CHAR(34),SUBSTITUTE(SUBSTITUTE(SUBSTITUTE(SUBSTITUTE(SUBSTITUTE(SUBSTITUTE(LOWER(TRIM($C778)),CHAR(13)," "),CHAR(10)," "),CHAR(9)," "),CHAR(92),_xlfn.CONCAT(CHAR(92),CHAR(92))),"$",_xlfn.CONCAT(CHAR(92),"$")),CHAR(96),_xlfn.CONCAT(CHAR(92),CHAR(96))),CHAR(34),CHAR(39))))</f>
        <v/>
      </c>
      <c r="N778" s="5" t="str">
        <f>IF(OR(TRIM($B778)="",$D778=""),"",IF(OR(ISNUMBER(SEARCH(_xlfn.CONCAT(CHAR(96),CHAR(34)),$D778)),ISNUMBER(SEARCH(_xlfn.CONCAT(CHAR(34),CHAR(39)),$D778))),_xlfn.CONCAT("* REVIEW REQUIRED: compound-quote delimiter in Item Number on Sheet 1 row ",778,"; edit the input before running."),_xlfn.CONCAT("char ",TRIM($B778),"[doc_itemnum] ",CHAR(96),CHAR(34),SUBSTITUTE(SUBSTITUTE(SUBSTITUTE(SUBSTITUTE(SUBSTITUTE(SUBSTITUTE($D778,CHAR(13)," "),CHAR(10)," "),CHAR(9)," "),CHAR(92),_xlfn.CONCAT(CHAR(92),CHAR(92))),"$",_xlfn.CONCAT(CHAR(92),"$")),CHAR(96),_xlfn.CONCAT(CHAR(92),CHAR(96))),CHAR(34),CHAR(39))))</f>
        <v/>
      </c>
      <c r="O778" s="5" t="str">
        <f>IF(OR(TRIM($B778)="",$E778=""),"",IF(OR(ISNUMBER(SEARCH(_xlfn.CONCAT(CHAR(96),CHAR(34)),$E778)),ISNUMBER(SEARCH(_xlfn.CONCAT(CHAR(34),CHAR(39)),$E778))),_xlfn.CONCAT("* REVIEW REQUIRED: compound-quote delimiter in Question Wording on Sheet 1 row ",778,"; edit the input before running."),_xlfn.CONCAT("char ",TRIM($B778),"[doc_question] ",CHAR(96),CHAR(34),SUBSTITUTE(SUBSTITUTE(SUBSTITUTE(SUBSTITUTE(SUBSTITUTE(SUBSTITUTE($E778,CHAR(13)," "),CHAR(10)," "),CHAR(9)," "),CHAR(92),_xlfn.CONCAT(CHAR(92),CHAR(92))),"$",_xlfn.CONCAT(CHAR(92),"$")),CHAR(96),_xlfn.CONCAT(CHAR(92),CHAR(96))),CHAR(34),CHAR(39))))</f>
        <v/>
      </c>
      <c r="P778" s="5" t="str">
        <f>IF(OR(TRIM($B778)="",$F778=""),"",IF(OR(ISNUMBER(SEARCH(_xlfn.CONCAT(CHAR(96),CHAR(34)),$F778)),ISNUMBER(SEARCH(_xlfn.CONCAT(CHAR(34),CHAR(39)),$F778))),_xlfn.CONCAT("* REVIEW REQUIRED: compound-quote delimiter in Units on Sheet 1 row ",778,"; edit the input before running."),_xlfn.CONCAT("char ",TRIM($B778),"[doc_units] ",CHAR(96),CHAR(34),SUBSTITUTE(SUBSTITUTE(SUBSTITUTE(SUBSTITUTE(SUBSTITUTE(SUBSTITUTE($F778,CHAR(13)," "),CHAR(10)," "),CHAR(9)," "),CHAR(92),_xlfn.CONCAT(CHAR(92),CHAR(92))),"$",_xlfn.CONCAT(CHAR(92),"$")),CHAR(96),_xlfn.CONCAT(CHAR(92),CHAR(96))),CHAR(34),CHAR(39))))</f>
        <v/>
      </c>
      <c r="Q778" s="5" t="str">
        <f>IF(OR(TRIM($B778)="",$G778=""),"",IF(OR(ISNUMBER(SEARCH(_xlfn.CONCAT(CHAR(96),CHAR(34)),$G778)),ISNUMBER(SEARCH(_xlfn.CONCAT(CHAR(34),CHAR(39)),$G778))),_xlfn.CONCAT("* REVIEW REQUIRED: compound-quote delimiter in Universe on Sheet 1 row ",778,"; edit the input before running."),_xlfn.CONCAT("char ",TRIM($B778),"[doc_universe] ",CHAR(96),CHAR(34),SUBSTITUTE(SUBSTITUTE(SUBSTITUTE(SUBSTITUTE(SUBSTITUTE(SUBSTITUTE($G778,CHAR(13)," "),CHAR(10)," "),CHAR(9)," "),CHAR(92),_xlfn.CONCAT(CHAR(92),CHAR(92))),"$",_xlfn.CONCAT(CHAR(92),"$")),CHAR(96),_xlfn.CONCAT(CHAR(92),CHAR(96))),CHAR(34),CHAR(39))))</f>
        <v/>
      </c>
      <c r="R778" s="5" t="str">
        <f>IF(OR(TRIM($B778)="",$H778=""),"",IF(OR(ISNUMBER(SEARCH(_xlfn.CONCAT(CHAR(96),CHAR(34)),$H778)),ISNUMBER(SEARCH(_xlfn.CONCAT(CHAR(34),CHAR(39)),$H778))),_xlfn.CONCAT("* REVIEW REQUIRED: compound-quote delimiter in Source on Sheet 1 row ",778,"; edit the input before running."),_xlfn.CONCAT("char ",TRIM($B778),"[doc_source] ",CHAR(96),CHAR(34),SUBSTITUTE(SUBSTITUTE(SUBSTITUTE(SUBSTITUTE(SUBSTITUTE(SUBSTITUTE($H778,CHAR(13)," "),CHAR(10)," "),CHAR(9)," "),CHAR(92),_xlfn.CONCAT(CHAR(92),CHAR(92))),"$",_xlfn.CONCAT(CHAR(92),"$")),CHAR(96),_xlfn.CONCAT(CHAR(92),CHAR(96))),CHAR(34),CHAR(39))))</f>
        <v/>
      </c>
      <c r="S778" s="5" t="str">
        <f>IF(OR(TRIM($B778)="",$I778=""),"",IF(OR(ISNUMBER(SEARCH(_xlfn.CONCAT(CHAR(96),CHAR(34)),$I778)),ISNUMBER(SEARCH(_xlfn.CONCAT(CHAR(34),CHAR(39)),$I778))),_xlfn.CONCAT("* REVIEW REQUIRED: compound-quote delimiter in Derivation on Sheet 1 row ",778,"; edit the input before running."),_xlfn.CONCAT("char ",TRIM($B778),"[doc_derivation] ",CHAR(96),CHAR(34),SUBSTITUTE(SUBSTITUTE(SUBSTITUTE(SUBSTITUTE(SUBSTITUTE(SUBSTITUTE($I778,CHAR(13)," "),CHAR(10)," "),CHAR(9)," "),CHAR(92),_xlfn.CONCAT(CHAR(92),CHAR(92))),"$",_xlfn.CONCAT(CHAR(92),"$")),CHAR(96),_xlfn.CONCAT(CHAR(92),CHAR(96))),CHAR(34),CHAR(39))))</f>
        <v/>
      </c>
      <c r="T778" s="5" t="str">
        <f>IF(OR(TRIM($B778)="",$J778=""),"",IF(OR(ISNUMBER(SEARCH(_xlfn.CONCAT(CHAR(96),CHAR(34)),$J778)),ISNUMBER(SEARCH(_xlfn.CONCAT(CHAR(34),CHAR(39)),$J778))),_xlfn.CONCAT("* REVIEW REQUIRED: compound-quote delimiter in Notes on Sheet 1 row ",778,"; edit the input before running."),_xlfn.CONCAT("char ",TRIM($B778),"[doc_notes] ",CHAR(96),CHAR(34),SUBSTITUTE(SUBSTITUTE(SUBSTITUTE(SUBSTITUTE(SUBSTITUTE(SUBSTITUTE($J778,CHAR(13)," "),CHAR(10)," "),CHAR(9)," "),CHAR(92),_xlfn.CONCAT(CHAR(92),CHAR(92))),"$",_xlfn.CONCAT(CHAR(92),"$")),CHAR(96),_xlfn.CONCAT(CHAR(92),CHAR(96))),CHAR(34),CHAR(39))))</f>
        <v/>
      </c>
      <c r="U778" s="5">
        <f t="shared" si="23"/>
        <v>0</v>
      </c>
    </row>
    <row r="779" spans="3:21" ht="30" customHeight="1" x14ac:dyDescent="0.2">
      <c r="C779" s="4"/>
      <c r="K779" s="5">
        <f t="shared" si="22"/>
        <v>0</v>
      </c>
      <c r="L779" s="5" t="str">
        <f>IF(OR(TRIM($B779)="",$A779=""),"",IF(OR(ISNUMBER(SEARCH(_xlfn.CONCAT(CHAR(96),CHAR(34)),$A779)),ISNUMBER(SEARCH(_xlfn.CONCAT(CHAR(34),CHAR(39)),$A779))),_xlfn.CONCAT("* REVIEW REQUIRED: compound-quote delimiter in Codebook Section on Sheet 1 row ",779,"; edit the input before running."),_xlfn.CONCAT("char ",TRIM($B779),"[doc_section] ",CHAR(96),CHAR(34),SUBSTITUTE(SUBSTITUTE(SUBSTITUTE(SUBSTITUTE(SUBSTITUTE(SUBSTITUTE($A779,CHAR(13)," "),CHAR(10)," "),CHAR(9)," "),CHAR(92),_xlfn.CONCAT(CHAR(92),CHAR(92))),"$",_xlfn.CONCAT(CHAR(92),"$")),CHAR(96),_xlfn.CONCAT(CHAR(92),CHAR(96))),CHAR(34),CHAR(39))))</f>
        <v/>
      </c>
      <c r="M779" s="5" t="str">
        <f>IF(OR(TRIM($B779)="",$C779=""),"",IF(IFERROR(MATCH(TRIM($C779),{"Quantitative","Continuous","Discrete","Categorical","Nominal","Ordinal","Identifier"},0),0)=0,_xlfn.CONCAT("* REVIEW REQUIRED: invalid Variable Type on Sheet 1 row ",779,"."),_xlfn.CONCAT("char ",TRIM($B779),"[doc_vartype] ",CHAR(96),CHAR(34),SUBSTITUTE(SUBSTITUTE(SUBSTITUTE(SUBSTITUTE(SUBSTITUTE(SUBSTITUTE(LOWER(TRIM($C779)),CHAR(13)," "),CHAR(10)," "),CHAR(9)," "),CHAR(92),_xlfn.CONCAT(CHAR(92),CHAR(92))),"$",_xlfn.CONCAT(CHAR(92),"$")),CHAR(96),_xlfn.CONCAT(CHAR(92),CHAR(96))),CHAR(34),CHAR(39))))</f>
        <v/>
      </c>
      <c r="N779" s="5" t="str">
        <f>IF(OR(TRIM($B779)="",$D779=""),"",IF(OR(ISNUMBER(SEARCH(_xlfn.CONCAT(CHAR(96),CHAR(34)),$D779)),ISNUMBER(SEARCH(_xlfn.CONCAT(CHAR(34),CHAR(39)),$D779))),_xlfn.CONCAT("* REVIEW REQUIRED: compound-quote delimiter in Item Number on Sheet 1 row ",779,"; edit the input before running."),_xlfn.CONCAT("char ",TRIM($B779),"[doc_itemnum] ",CHAR(96),CHAR(34),SUBSTITUTE(SUBSTITUTE(SUBSTITUTE(SUBSTITUTE(SUBSTITUTE(SUBSTITUTE($D779,CHAR(13)," "),CHAR(10)," "),CHAR(9)," "),CHAR(92),_xlfn.CONCAT(CHAR(92),CHAR(92))),"$",_xlfn.CONCAT(CHAR(92),"$")),CHAR(96),_xlfn.CONCAT(CHAR(92),CHAR(96))),CHAR(34),CHAR(39))))</f>
        <v/>
      </c>
      <c r="O779" s="5" t="str">
        <f>IF(OR(TRIM($B779)="",$E779=""),"",IF(OR(ISNUMBER(SEARCH(_xlfn.CONCAT(CHAR(96),CHAR(34)),$E779)),ISNUMBER(SEARCH(_xlfn.CONCAT(CHAR(34),CHAR(39)),$E779))),_xlfn.CONCAT("* REVIEW REQUIRED: compound-quote delimiter in Question Wording on Sheet 1 row ",779,"; edit the input before running."),_xlfn.CONCAT("char ",TRIM($B779),"[doc_question] ",CHAR(96),CHAR(34),SUBSTITUTE(SUBSTITUTE(SUBSTITUTE(SUBSTITUTE(SUBSTITUTE(SUBSTITUTE($E779,CHAR(13)," "),CHAR(10)," "),CHAR(9)," "),CHAR(92),_xlfn.CONCAT(CHAR(92),CHAR(92))),"$",_xlfn.CONCAT(CHAR(92),"$")),CHAR(96),_xlfn.CONCAT(CHAR(92),CHAR(96))),CHAR(34),CHAR(39))))</f>
        <v/>
      </c>
      <c r="P779" s="5" t="str">
        <f>IF(OR(TRIM($B779)="",$F779=""),"",IF(OR(ISNUMBER(SEARCH(_xlfn.CONCAT(CHAR(96),CHAR(34)),$F779)),ISNUMBER(SEARCH(_xlfn.CONCAT(CHAR(34),CHAR(39)),$F779))),_xlfn.CONCAT("* REVIEW REQUIRED: compound-quote delimiter in Units on Sheet 1 row ",779,"; edit the input before running."),_xlfn.CONCAT("char ",TRIM($B779),"[doc_units] ",CHAR(96),CHAR(34),SUBSTITUTE(SUBSTITUTE(SUBSTITUTE(SUBSTITUTE(SUBSTITUTE(SUBSTITUTE($F779,CHAR(13)," "),CHAR(10)," "),CHAR(9)," "),CHAR(92),_xlfn.CONCAT(CHAR(92),CHAR(92))),"$",_xlfn.CONCAT(CHAR(92),"$")),CHAR(96),_xlfn.CONCAT(CHAR(92),CHAR(96))),CHAR(34),CHAR(39))))</f>
        <v/>
      </c>
      <c r="Q779" s="5" t="str">
        <f>IF(OR(TRIM($B779)="",$G779=""),"",IF(OR(ISNUMBER(SEARCH(_xlfn.CONCAT(CHAR(96),CHAR(34)),$G779)),ISNUMBER(SEARCH(_xlfn.CONCAT(CHAR(34),CHAR(39)),$G779))),_xlfn.CONCAT("* REVIEW REQUIRED: compound-quote delimiter in Universe on Sheet 1 row ",779,"; edit the input before running."),_xlfn.CONCAT("char ",TRIM($B779),"[doc_universe] ",CHAR(96),CHAR(34),SUBSTITUTE(SUBSTITUTE(SUBSTITUTE(SUBSTITUTE(SUBSTITUTE(SUBSTITUTE($G779,CHAR(13)," "),CHAR(10)," "),CHAR(9)," "),CHAR(92),_xlfn.CONCAT(CHAR(92),CHAR(92))),"$",_xlfn.CONCAT(CHAR(92),"$")),CHAR(96),_xlfn.CONCAT(CHAR(92),CHAR(96))),CHAR(34),CHAR(39))))</f>
        <v/>
      </c>
      <c r="R779" s="5" t="str">
        <f>IF(OR(TRIM($B779)="",$H779=""),"",IF(OR(ISNUMBER(SEARCH(_xlfn.CONCAT(CHAR(96),CHAR(34)),$H779)),ISNUMBER(SEARCH(_xlfn.CONCAT(CHAR(34),CHAR(39)),$H779))),_xlfn.CONCAT("* REVIEW REQUIRED: compound-quote delimiter in Source on Sheet 1 row ",779,"; edit the input before running."),_xlfn.CONCAT("char ",TRIM($B779),"[doc_source] ",CHAR(96),CHAR(34),SUBSTITUTE(SUBSTITUTE(SUBSTITUTE(SUBSTITUTE(SUBSTITUTE(SUBSTITUTE($H779,CHAR(13)," "),CHAR(10)," "),CHAR(9)," "),CHAR(92),_xlfn.CONCAT(CHAR(92),CHAR(92))),"$",_xlfn.CONCAT(CHAR(92),"$")),CHAR(96),_xlfn.CONCAT(CHAR(92),CHAR(96))),CHAR(34),CHAR(39))))</f>
        <v/>
      </c>
      <c r="S779" s="5" t="str">
        <f>IF(OR(TRIM($B779)="",$I779=""),"",IF(OR(ISNUMBER(SEARCH(_xlfn.CONCAT(CHAR(96),CHAR(34)),$I779)),ISNUMBER(SEARCH(_xlfn.CONCAT(CHAR(34),CHAR(39)),$I779))),_xlfn.CONCAT("* REVIEW REQUIRED: compound-quote delimiter in Derivation on Sheet 1 row ",779,"; edit the input before running."),_xlfn.CONCAT("char ",TRIM($B779),"[doc_derivation] ",CHAR(96),CHAR(34),SUBSTITUTE(SUBSTITUTE(SUBSTITUTE(SUBSTITUTE(SUBSTITUTE(SUBSTITUTE($I779,CHAR(13)," "),CHAR(10)," "),CHAR(9)," "),CHAR(92),_xlfn.CONCAT(CHAR(92),CHAR(92))),"$",_xlfn.CONCAT(CHAR(92),"$")),CHAR(96),_xlfn.CONCAT(CHAR(92),CHAR(96))),CHAR(34),CHAR(39))))</f>
        <v/>
      </c>
      <c r="T779" s="5" t="str">
        <f>IF(OR(TRIM($B779)="",$J779=""),"",IF(OR(ISNUMBER(SEARCH(_xlfn.CONCAT(CHAR(96),CHAR(34)),$J779)),ISNUMBER(SEARCH(_xlfn.CONCAT(CHAR(34),CHAR(39)),$J779))),_xlfn.CONCAT("* REVIEW REQUIRED: compound-quote delimiter in Notes on Sheet 1 row ",779,"; edit the input before running."),_xlfn.CONCAT("char ",TRIM($B779),"[doc_notes] ",CHAR(96),CHAR(34),SUBSTITUTE(SUBSTITUTE(SUBSTITUTE(SUBSTITUTE(SUBSTITUTE(SUBSTITUTE($J779,CHAR(13)," "),CHAR(10)," "),CHAR(9)," "),CHAR(92),_xlfn.CONCAT(CHAR(92),CHAR(92))),"$",_xlfn.CONCAT(CHAR(92),"$")),CHAR(96),_xlfn.CONCAT(CHAR(92),CHAR(96))),CHAR(34),CHAR(39))))</f>
        <v/>
      </c>
      <c r="U779" s="5">
        <f t="shared" si="23"/>
        <v>0</v>
      </c>
    </row>
    <row r="780" spans="3:21" ht="30" customHeight="1" x14ac:dyDescent="0.2">
      <c r="C780" s="4"/>
      <c r="K780" s="5">
        <f t="shared" si="22"/>
        <v>0</v>
      </c>
      <c r="L780" s="5" t="str">
        <f>IF(OR(TRIM($B780)="",$A780=""),"",IF(OR(ISNUMBER(SEARCH(_xlfn.CONCAT(CHAR(96),CHAR(34)),$A780)),ISNUMBER(SEARCH(_xlfn.CONCAT(CHAR(34),CHAR(39)),$A780))),_xlfn.CONCAT("* REVIEW REQUIRED: compound-quote delimiter in Codebook Section on Sheet 1 row ",780,"; edit the input before running."),_xlfn.CONCAT("char ",TRIM($B780),"[doc_section] ",CHAR(96),CHAR(34),SUBSTITUTE(SUBSTITUTE(SUBSTITUTE(SUBSTITUTE(SUBSTITUTE(SUBSTITUTE($A780,CHAR(13)," "),CHAR(10)," "),CHAR(9)," "),CHAR(92),_xlfn.CONCAT(CHAR(92),CHAR(92))),"$",_xlfn.CONCAT(CHAR(92),"$")),CHAR(96),_xlfn.CONCAT(CHAR(92),CHAR(96))),CHAR(34),CHAR(39))))</f>
        <v/>
      </c>
      <c r="M780" s="5" t="str">
        <f>IF(OR(TRIM($B780)="",$C780=""),"",IF(IFERROR(MATCH(TRIM($C780),{"Quantitative","Continuous","Discrete","Categorical","Nominal","Ordinal","Identifier"},0),0)=0,_xlfn.CONCAT("* REVIEW REQUIRED: invalid Variable Type on Sheet 1 row ",780,"."),_xlfn.CONCAT("char ",TRIM($B780),"[doc_vartype] ",CHAR(96),CHAR(34),SUBSTITUTE(SUBSTITUTE(SUBSTITUTE(SUBSTITUTE(SUBSTITUTE(SUBSTITUTE(LOWER(TRIM($C780)),CHAR(13)," "),CHAR(10)," "),CHAR(9)," "),CHAR(92),_xlfn.CONCAT(CHAR(92),CHAR(92))),"$",_xlfn.CONCAT(CHAR(92),"$")),CHAR(96),_xlfn.CONCAT(CHAR(92),CHAR(96))),CHAR(34),CHAR(39))))</f>
        <v/>
      </c>
      <c r="N780" s="5" t="str">
        <f>IF(OR(TRIM($B780)="",$D780=""),"",IF(OR(ISNUMBER(SEARCH(_xlfn.CONCAT(CHAR(96),CHAR(34)),$D780)),ISNUMBER(SEARCH(_xlfn.CONCAT(CHAR(34),CHAR(39)),$D780))),_xlfn.CONCAT("* REVIEW REQUIRED: compound-quote delimiter in Item Number on Sheet 1 row ",780,"; edit the input before running."),_xlfn.CONCAT("char ",TRIM($B780),"[doc_itemnum] ",CHAR(96),CHAR(34),SUBSTITUTE(SUBSTITUTE(SUBSTITUTE(SUBSTITUTE(SUBSTITUTE(SUBSTITUTE($D780,CHAR(13)," "),CHAR(10)," "),CHAR(9)," "),CHAR(92),_xlfn.CONCAT(CHAR(92),CHAR(92))),"$",_xlfn.CONCAT(CHAR(92),"$")),CHAR(96),_xlfn.CONCAT(CHAR(92),CHAR(96))),CHAR(34),CHAR(39))))</f>
        <v/>
      </c>
      <c r="O780" s="5" t="str">
        <f>IF(OR(TRIM($B780)="",$E780=""),"",IF(OR(ISNUMBER(SEARCH(_xlfn.CONCAT(CHAR(96),CHAR(34)),$E780)),ISNUMBER(SEARCH(_xlfn.CONCAT(CHAR(34),CHAR(39)),$E780))),_xlfn.CONCAT("* REVIEW REQUIRED: compound-quote delimiter in Question Wording on Sheet 1 row ",780,"; edit the input before running."),_xlfn.CONCAT("char ",TRIM($B780),"[doc_question] ",CHAR(96),CHAR(34),SUBSTITUTE(SUBSTITUTE(SUBSTITUTE(SUBSTITUTE(SUBSTITUTE(SUBSTITUTE($E780,CHAR(13)," "),CHAR(10)," "),CHAR(9)," "),CHAR(92),_xlfn.CONCAT(CHAR(92),CHAR(92))),"$",_xlfn.CONCAT(CHAR(92),"$")),CHAR(96),_xlfn.CONCAT(CHAR(92),CHAR(96))),CHAR(34),CHAR(39))))</f>
        <v/>
      </c>
      <c r="P780" s="5" t="str">
        <f>IF(OR(TRIM($B780)="",$F780=""),"",IF(OR(ISNUMBER(SEARCH(_xlfn.CONCAT(CHAR(96),CHAR(34)),$F780)),ISNUMBER(SEARCH(_xlfn.CONCAT(CHAR(34),CHAR(39)),$F780))),_xlfn.CONCAT("* REVIEW REQUIRED: compound-quote delimiter in Units on Sheet 1 row ",780,"; edit the input before running."),_xlfn.CONCAT("char ",TRIM($B780),"[doc_units] ",CHAR(96),CHAR(34),SUBSTITUTE(SUBSTITUTE(SUBSTITUTE(SUBSTITUTE(SUBSTITUTE(SUBSTITUTE($F780,CHAR(13)," "),CHAR(10)," "),CHAR(9)," "),CHAR(92),_xlfn.CONCAT(CHAR(92),CHAR(92))),"$",_xlfn.CONCAT(CHAR(92),"$")),CHAR(96),_xlfn.CONCAT(CHAR(92),CHAR(96))),CHAR(34),CHAR(39))))</f>
        <v/>
      </c>
      <c r="Q780" s="5" t="str">
        <f>IF(OR(TRIM($B780)="",$G780=""),"",IF(OR(ISNUMBER(SEARCH(_xlfn.CONCAT(CHAR(96),CHAR(34)),$G780)),ISNUMBER(SEARCH(_xlfn.CONCAT(CHAR(34),CHAR(39)),$G780))),_xlfn.CONCAT("* REVIEW REQUIRED: compound-quote delimiter in Universe on Sheet 1 row ",780,"; edit the input before running."),_xlfn.CONCAT("char ",TRIM($B780),"[doc_universe] ",CHAR(96),CHAR(34),SUBSTITUTE(SUBSTITUTE(SUBSTITUTE(SUBSTITUTE(SUBSTITUTE(SUBSTITUTE($G780,CHAR(13)," "),CHAR(10)," "),CHAR(9)," "),CHAR(92),_xlfn.CONCAT(CHAR(92),CHAR(92))),"$",_xlfn.CONCAT(CHAR(92),"$")),CHAR(96),_xlfn.CONCAT(CHAR(92),CHAR(96))),CHAR(34),CHAR(39))))</f>
        <v/>
      </c>
      <c r="R780" s="5" t="str">
        <f>IF(OR(TRIM($B780)="",$H780=""),"",IF(OR(ISNUMBER(SEARCH(_xlfn.CONCAT(CHAR(96),CHAR(34)),$H780)),ISNUMBER(SEARCH(_xlfn.CONCAT(CHAR(34),CHAR(39)),$H780))),_xlfn.CONCAT("* REVIEW REQUIRED: compound-quote delimiter in Source on Sheet 1 row ",780,"; edit the input before running."),_xlfn.CONCAT("char ",TRIM($B780),"[doc_source] ",CHAR(96),CHAR(34),SUBSTITUTE(SUBSTITUTE(SUBSTITUTE(SUBSTITUTE(SUBSTITUTE(SUBSTITUTE($H780,CHAR(13)," "),CHAR(10)," "),CHAR(9)," "),CHAR(92),_xlfn.CONCAT(CHAR(92),CHAR(92))),"$",_xlfn.CONCAT(CHAR(92),"$")),CHAR(96),_xlfn.CONCAT(CHAR(92),CHAR(96))),CHAR(34),CHAR(39))))</f>
        <v/>
      </c>
      <c r="S780" s="5" t="str">
        <f>IF(OR(TRIM($B780)="",$I780=""),"",IF(OR(ISNUMBER(SEARCH(_xlfn.CONCAT(CHAR(96),CHAR(34)),$I780)),ISNUMBER(SEARCH(_xlfn.CONCAT(CHAR(34),CHAR(39)),$I780))),_xlfn.CONCAT("* REVIEW REQUIRED: compound-quote delimiter in Derivation on Sheet 1 row ",780,"; edit the input before running."),_xlfn.CONCAT("char ",TRIM($B780),"[doc_derivation] ",CHAR(96),CHAR(34),SUBSTITUTE(SUBSTITUTE(SUBSTITUTE(SUBSTITUTE(SUBSTITUTE(SUBSTITUTE($I780,CHAR(13)," "),CHAR(10)," "),CHAR(9)," "),CHAR(92),_xlfn.CONCAT(CHAR(92),CHAR(92))),"$",_xlfn.CONCAT(CHAR(92),"$")),CHAR(96),_xlfn.CONCAT(CHAR(92),CHAR(96))),CHAR(34),CHAR(39))))</f>
        <v/>
      </c>
      <c r="T780" s="5" t="str">
        <f>IF(OR(TRIM($B780)="",$J780=""),"",IF(OR(ISNUMBER(SEARCH(_xlfn.CONCAT(CHAR(96),CHAR(34)),$J780)),ISNUMBER(SEARCH(_xlfn.CONCAT(CHAR(34),CHAR(39)),$J780))),_xlfn.CONCAT("* REVIEW REQUIRED: compound-quote delimiter in Notes on Sheet 1 row ",780,"; edit the input before running."),_xlfn.CONCAT("char ",TRIM($B780),"[doc_notes] ",CHAR(96),CHAR(34),SUBSTITUTE(SUBSTITUTE(SUBSTITUTE(SUBSTITUTE(SUBSTITUTE(SUBSTITUTE($J780,CHAR(13)," "),CHAR(10)," "),CHAR(9)," "),CHAR(92),_xlfn.CONCAT(CHAR(92),CHAR(92))),"$",_xlfn.CONCAT(CHAR(92),"$")),CHAR(96),_xlfn.CONCAT(CHAR(92),CHAR(96))),CHAR(34),CHAR(39))))</f>
        <v/>
      </c>
      <c r="U780" s="5">
        <f t="shared" si="23"/>
        <v>0</v>
      </c>
    </row>
    <row r="781" spans="3:21" ht="30" customHeight="1" x14ac:dyDescent="0.2">
      <c r="C781" s="4"/>
      <c r="K781" s="5">
        <f t="shared" si="22"/>
        <v>0</v>
      </c>
      <c r="L781" s="5" t="str">
        <f>IF(OR(TRIM($B781)="",$A781=""),"",IF(OR(ISNUMBER(SEARCH(_xlfn.CONCAT(CHAR(96),CHAR(34)),$A781)),ISNUMBER(SEARCH(_xlfn.CONCAT(CHAR(34),CHAR(39)),$A781))),_xlfn.CONCAT("* REVIEW REQUIRED: compound-quote delimiter in Codebook Section on Sheet 1 row ",781,"; edit the input before running."),_xlfn.CONCAT("char ",TRIM($B781),"[doc_section] ",CHAR(96),CHAR(34),SUBSTITUTE(SUBSTITUTE(SUBSTITUTE(SUBSTITUTE(SUBSTITUTE(SUBSTITUTE($A781,CHAR(13)," "),CHAR(10)," "),CHAR(9)," "),CHAR(92),_xlfn.CONCAT(CHAR(92),CHAR(92))),"$",_xlfn.CONCAT(CHAR(92),"$")),CHAR(96),_xlfn.CONCAT(CHAR(92),CHAR(96))),CHAR(34),CHAR(39))))</f>
        <v/>
      </c>
      <c r="M781" s="5" t="str">
        <f>IF(OR(TRIM($B781)="",$C781=""),"",IF(IFERROR(MATCH(TRIM($C781),{"Quantitative","Continuous","Discrete","Categorical","Nominal","Ordinal","Identifier"},0),0)=0,_xlfn.CONCAT("* REVIEW REQUIRED: invalid Variable Type on Sheet 1 row ",781,"."),_xlfn.CONCAT("char ",TRIM($B781),"[doc_vartype] ",CHAR(96),CHAR(34),SUBSTITUTE(SUBSTITUTE(SUBSTITUTE(SUBSTITUTE(SUBSTITUTE(SUBSTITUTE(LOWER(TRIM($C781)),CHAR(13)," "),CHAR(10)," "),CHAR(9)," "),CHAR(92),_xlfn.CONCAT(CHAR(92),CHAR(92))),"$",_xlfn.CONCAT(CHAR(92),"$")),CHAR(96),_xlfn.CONCAT(CHAR(92),CHAR(96))),CHAR(34),CHAR(39))))</f>
        <v/>
      </c>
      <c r="N781" s="5" t="str">
        <f>IF(OR(TRIM($B781)="",$D781=""),"",IF(OR(ISNUMBER(SEARCH(_xlfn.CONCAT(CHAR(96),CHAR(34)),$D781)),ISNUMBER(SEARCH(_xlfn.CONCAT(CHAR(34),CHAR(39)),$D781))),_xlfn.CONCAT("* REVIEW REQUIRED: compound-quote delimiter in Item Number on Sheet 1 row ",781,"; edit the input before running."),_xlfn.CONCAT("char ",TRIM($B781),"[doc_itemnum] ",CHAR(96),CHAR(34),SUBSTITUTE(SUBSTITUTE(SUBSTITUTE(SUBSTITUTE(SUBSTITUTE(SUBSTITUTE($D781,CHAR(13)," "),CHAR(10)," "),CHAR(9)," "),CHAR(92),_xlfn.CONCAT(CHAR(92),CHAR(92))),"$",_xlfn.CONCAT(CHAR(92),"$")),CHAR(96),_xlfn.CONCAT(CHAR(92),CHAR(96))),CHAR(34),CHAR(39))))</f>
        <v/>
      </c>
      <c r="O781" s="5" t="str">
        <f>IF(OR(TRIM($B781)="",$E781=""),"",IF(OR(ISNUMBER(SEARCH(_xlfn.CONCAT(CHAR(96),CHAR(34)),$E781)),ISNUMBER(SEARCH(_xlfn.CONCAT(CHAR(34),CHAR(39)),$E781))),_xlfn.CONCAT("* REVIEW REQUIRED: compound-quote delimiter in Question Wording on Sheet 1 row ",781,"; edit the input before running."),_xlfn.CONCAT("char ",TRIM($B781),"[doc_question] ",CHAR(96),CHAR(34),SUBSTITUTE(SUBSTITUTE(SUBSTITUTE(SUBSTITUTE(SUBSTITUTE(SUBSTITUTE($E781,CHAR(13)," "),CHAR(10)," "),CHAR(9)," "),CHAR(92),_xlfn.CONCAT(CHAR(92),CHAR(92))),"$",_xlfn.CONCAT(CHAR(92),"$")),CHAR(96),_xlfn.CONCAT(CHAR(92),CHAR(96))),CHAR(34),CHAR(39))))</f>
        <v/>
      </c>
      <c r="P781" s="5" t="str">
        <f>IF(OR(TRIM($B781)="",$F781=""),"",IF(OR(ISNUMBER(SEARCH(_xlfn.CONCAT(CHAR(96),CHAR(34)),$F781)),ISNUMBER(SEARCH(_xlfn.CONCAT(CHAR(34),CHAR(39)),$F781))),_xlfn.CONCAT("* REVIEW REQUIRED: compound-quote delimiter in Units on Sheet 1 row ",781,"; edit the input before running."),_xlfn.CONCAT("char ",TRIM($B781),"[doc_units] ",CHAR(96),CHAR(34),SUBSTITUTE(SUBSTITUTE(SUBSTITUTE(SUBSTITUTE(SUBSTITUTE(SUBSTITUTE($F781,CHAR(13)," "),CHAR(10)," "),CHAR(9)," "),CHAR(92),_xlfn.CONCAT(CHAR(92),CHAR(92))),"$",_xlfn.CONCAT(CHAR(92),"$")),CHAR(96),_xlfn.CONCAT(CHAR(92),CHAR(96))),CHAR(34),CHAR(39))))</f>
        <v/>
      </c>
      <c r="Q781" s="5" t="str">
        <f>IF(OR(TRIM($B781)="",$G781=""),"",IF(OR(ISNUMBER(SEARCH(_xlfn.CONCAT(CHAR(96),CHAR(34)),$G781)),ISNUMBER(SEARCH(_xlfn.CONCAT(CHAR(34),CHAR(39)),$G781))),_xlfn.CONCAT("* REVIEW REQUIRED: compound-quote delimiter in Universe on Sheet 1 row ",781,"; edit the input before running."),_xlfn.CONCAT("char ",TRIM($B781),"[doc_universe] ",CHAR(96),CHAR(34),SUBSTITUTE(SUBSTITUTE(SUBSTITUTE(SUBSTITUTE(SUBSTITUTE(SUBSTITUTE($G781,CHAR(13)," "),CHAR(10)," "),CHAR(9)," "),CHAR(92),_xlfn.CONCAT(CHAR(92),CHAR(92))),"$",_xlfn.CONCAT(CHAR(92),"$")),CHAR(96),_xlfn.CONCAT(CHAR(92),CHAR(96))),CHAR(34),CHAR(39))))</f>
        <v/>
      </c>
      <c r="R781" s="5" t="str">
        <f>IF(OR(TRIM($B781)="",$H781=""),"",IF(OR(ISNUMBER(SEARCH(_xlfn.CONCAT(CHAR(96),CHAR(34)),$H781)),ISNUMBER(SEARCH(_xlfn.CONCAT(CHAR(34),CHAR(39)),$H781))),_xlfn.CONCAT("* REVIEW REQUIRED: compound-quote delimiter in Source on Sheet 1 row ",781,"; edit the input before running."),_xlfn.CONCAT("char ",TRIM($B781),"[doc_source] ",CHAR(96),CHAR(34),SUBSTITUTE(SUBSTITUTE(SUBSTITUTE(SUBSTITUTE(SUBSTITUTE(SUBSTITUTE($H781,CHAR(13)," "),CHAR(10)," "),CHAR(9)," "),CHAR(92),_xlfn.CONCAT(CHAR(92),CHAR(92))),"$",_xlfn.CONCAT(CHAR(92),"$")),CHAR(96),_xlfn.CONCAT(CHAR(92),CHAR(96))),CHAR(34),CHAR(39))))</f>
        <v/>
      </c>
      <c r="S781" s="5" t="str">
        <f>IF(OR(TRIM($B781)="",$I781=""),"",IF(OR(ISNUMBER(SEARCH(_xlfn.CONCAT(CHAR(96),CHAR(34)),$I781)),ISNUMBER(SEARCH(_xlfn.CONCAT(CHAR(34),CHAR(39)),$I781))),_xlfn.CONCAT("* REVIEW REQUIRED: compound-quote delimiter in Derivation on Sheet 1 row ",781,"; edit the input before running."),_xlfn.CONCAT("char ",TRIM($B781),"[doc_derivation] ",CHAR(96),CHAR(34),SUBSTITUTE(SUBSTITUTE(SUBSTITUTE(SUBSTITUTE(SUBSTITUTE(SUBSTITUTE($I781,CHAR(13)," "),CHAR(10)," "),CHAR(9)," "),CHAR(92),_xlfn.CONCAT(CHAR(92),CHAR(92))),"$",_xlfn.CONCAT(CHAR(92),"$")),CHAR(96),_xlfn.CONCAT(CHAR(92),CHAR(96))),CHAR(34),CHAR(39))))</f>
        <v/>
      </c>
      <c r="T781" s="5" t="str">
        <f>IF(OR(TRIM($B781)="",$J781=""),"",IF(OR(ISNUMBER(SEARCH(_xlfn.CONCAT(CHAR(96),CHAR(34)),$J781)),ISNUMBER(SEARCH(_xlfn.CONCAT(CHAR(34),CHAR(39)),$J781))),_xlfn.CONCAT("* REVIEW REQUIRED: compound-quote delimiter in Notes on Sheet 1 row ",781,"; edit the input before running."),_xlfn.CONCAT("char ",TRIM($B781),"[doc_notes] ",CHAR(96),CHAR(34),SUBSTITUTE(SUBSTITUTE(SUBSTITUTE(SUBSTITUTE(SUBSTITUTE(SUBSTITUTE($J781,CHAR(13)," "),CHAR(10)," "),CHAR(9)," "),CHAR(92),_xlfn.CONCAT(CHAR(92),CHAR(92))),"$",_xlfn.CONCAT(CHAR(92),"$")),CHAR(96),_xlfn.CONCAT(CHAR(92),CHAR(96))),CHAR(34),CHAR(39))))</f>
        <v/>
      </c>
      <c r="U781" s="5">
        <f t="shared" si="23"/>
        <v>0</v>
      </c>
    </row>
    <row r="782" spans="3:21" ht="30" customHeight="1" x14ac:dyDescent="0.2">
      <c r="C782" s="4"/>
      <c r="K782" s="5">
        <f t="shared" si="22"/>
        <v>0</v>
      </c>
      <c r="L782" s="5" t="str">
        <f>IF(OR(TRIM($B782)="",$A782=""),"",IF(OR(ISNUMBER(SEARCH(_xlfn.CONCAT(CHAR(96),CHAR(34)),$A782)),ISNUMBER(SEARCH(_xlfn.CONCAT(CHAR(34),CHAR(39)),$A782))),_xlfn.CONCAT("* REVIEW REQUIRED: compound-quote delimiter in Codebook Section on Sheet 1 row ",782,"; edit the input before running."),_xlfn.CONCAT("char ",TRIM($B782),"[doc_section] ",CHAR(96),CHAR(34),SUBSTITUTE(SUBSTITUTE(SUBSTITUTE(SUBSTITUTE(SUBSTITUTE(SUBSTITUTE($A782,CHAR(13)," "),CHAR(10)," "),CHAR(9)," "),CHAR(92),_xlfn.CONCAT(CHAR(92),CHAR(92))),"$",_xlfn.CONCAT(CHAR(92),"$")),CHAR(96),_xlfn.CONCAT(CHAR(92),CHAR(96))),CHAR(34),CHAR(39))))</f>
        <v/>
      </c>
      <c r="M782" s="5" t="str">
        <f>IF(OR(TRIM($B782)="",$C782=""),"",IF(IFERROR(MATCH(TRIM($C782),{"Quantitative","Continuous","Discrete","Categorical","Nominal","Ordinal","Identifier"},0),0)=0,_xlfn.CONCAT("* REVIEW REQUIRED: invalid Variable Type on Sheet 1 row ",782,"."),_xlfn.CONCAT("char ",TRIM($B782),"[doc_vartype] ",CHAR(96),CHAR(34),SUBSTITUTE(SUBSTITUTE(SUBSTITUTE(SUBSTITUTE(SUBSTITUTE(SUBSTITUTE(LOWER(TRIM($C782)),CHAR(13)," "),CHAR(10)," "),CHAR(9)," "),CHAR(92),_xlfn.CONCAT(CHAR(92),CHAR(92))),"$",_xlfn.CONCAT(CHAR(92),"$")),CHAR(96),_xlfn.CONCAT(CHAR(92),CHAR(96))),CHAR(34),CHAR(39))))</f>
        <v/>
      </c>
      <c r="N782" s="5" t="str">
        <f>IF(OR(TRIM($B782)="",$D782=""),"",IF(OR(ISNUMBER(SEARCH(_xlfn.CONCAT(CHAR(96),CHAR(34)),$D782)),ISNUMBER(SEARCH(_xlfn.CONCAT(CHAR(34),CHAR(39)),$D782))),_xlfn.CONCAT("* REVIEW REQUIRED: compound-quote delimiter in Item Number on Sheet 1 row ",782,"; edit the input before running."),_xlfn.CONCAT("char ",TRIM($B782),"[doc_itemnum] ",CHAR(96),CHAR(34),SUBSTITUTE(SUBSTITUTE(SUBSTITUTE(SUBSTITUTE(SUBSTITUTE(SUBSTITUTE($D782,CHAR(13)," "),CHAR(10)," "),CHAR(9)," "),CHAR(92),_xlfn.CONCAT(CHAR(92),CHAR(92))),"$",_xlfn.CONCAT(CHAR(92),"$")),CHAR(96),_xlfn.CONCAT(CHAR(92),CHAR(96))),CHAR(34),CHAR(39))))</f>
        <v/>
      </c>
      <c r="O782" s="5" t="str">
        <f>IF(OR(TRIM($B782)="",$E782=""),"",IF(OR(ISNUMBER(SEARCH(_xlfn.CONCAT(CHAR(96),CHAR(34)),$E782)),ISNUMBER(SEARCH(_xlfn.CONCAT(CHAR(34),CHAR(39)),$E782))),_xlfn.CONCAT("* REVIEW REQUIRED: compound-quote delimiter in Question Wording on Sheet 1 row ",782,"; edit the input before running."),_xlfn.CONCAT("char ",TRIM($B782),"[doc_question] ",CHAR(96),CHAR(34),SUBSTITUTE(SUBSTITUTE(SUBSTITUTE(SUBSTITUTE(SUBSTITUTE(SUBSTITUTE($E782,CHAR(13)," "),CHAR(10)," "),CHAR(9)," "),CHAR(92),_xlfn.CONCAT(CHAR(92),CHAR(92))),"$",_xlfn.CONCAT(CHAR(92),"$")),CHAR(96),_xlfn.CONCAT(CHAR(92),CHAR(96))),CHAR(34),CHAR(39))))</f>
        <v/>
      </c>
      <c r="P782" s="5" t="str">
        <f>IF(OR(TRIM($B782)="",$F782=""),"",IF(OR(ISNUMBER(SEARCH(_xlfn.CONCAT(CHAR(96),CHAR(34)),$F782)),ISNUMBER(SEARCH(_xlfn.CONCAT(CHAR(34),CHAR(39)),$F782))),_xlfn.CONCAT("* REVIEW REQUIRED: compound-quote delimiter in Units on Sheet 1 row ",782,"; edit the input before running."),_xlfn.CONCAT("char ",TRIM($B782),"[doc_units] ",CHAR(96),CHAR(34),SUBSTITUTE(SUBSTITUTE(SUBSTITUTE(SUBSTITUTE(SUBSTITUTE(SUBSTITUTE($F782,CHAR(13)," "),CHAR(10)," "),CHAR(9)," "),CHAR(92),_xlfn.CONCAT(CHAR(92),CHAR(92))),"$",_xlfn.CONCAT(CHAR(92),"$")),CHAR(96),_xlfn.CONCAT(CHAR(92),CHAR(96))),CHAR(34),CHAR(39))))</f>
        <v/>
      </c>
      <c r="Q782" s="5" t="str">
        <f>IF(OR(TRIM($B782)="",$G782=""),"",IF(OR(ISNUMBER(SEARCH(_xlfn.CONCAT(CHAR(96),CHAR(34)),$G782)),ISNUMBER(SEARCH(_xlfn.CONCAT(CHAR(34),CHAR(39)),$G782))),_xlfn.CONCAT("* REVIEW REQUIRED: compound-quote delimiter in Universe on Sheet 1 row ",782,"; edit the input before running."),_xlfn.CONCAT("char ",TRIM($B782),"[doc_universe] ",CHAR(96),CHAR(34),SUBSTITUTE(SUBSTITUTE(SUBSTITUTE(SUBSTITUTE(SUBSTITUTE(SUBSTITUTE($G782,CHAR(13)," "),CHAR(10)," "),CHAR(9)," "),CHAR(92),_xlfn.CONCAT(CHAR(92),CHAR(92))),"$",_xlfn.CONCAT(CHAR(92),"$")),CHAR(96),_xlfn.CONCAT(CHAR(92),CHAR(96))),CHAR(34),CHAR(39))))</f>
        <v/>
      </c>
      <c r="R782" s="5" t="str">
        <f>IF(OR(TRIM($B782)="",$H782=""),"",IF(OR(ISNUMBER(SEARCH(_xlfn.CONCAT(CHAR(96),CHAR(34)),$H782)),ISNUMBER(SEARCH(_xlfn.CONCAT(CHAR(34),CHAR(39)),$H782))),_xlfn.CONCAT("* REVIEW REQUIRED: compound-quote delimiter in Source on Sheet 1 row ",782,"; edit the input before running."),_xlfn.CONCAT("char ",TRIM($B782),"[doc_source] ",CHAR(96),CHAR(34),SUBSTITUTE(SUBSTITUTE(SUBSTITUTE(SUBSTITUTE(SUBSTITUTE(SUBSTITUTE($H782,CHAR(13)," "),CHAR(10)," "),CHAR(9)," "),CHAR(92),_xlfn.CONCAT(CHAR(92),CHAR(92))),"$",_xlfn.CONCAT(CHAR(92),"$")),CHAR(96),_xlfn.CONCAT(CHAR(92),CHAR(96))),CHAR(34),CHAR(39))))</f>
        <v/>
      </c>
      <c r="S782" s="5" t="str">
        <f>IF(OR(TRIM($B782)="",$I782=""),"",IF(OR(ISNUMBER(SEARCH(_xlfn.CONCAT(CHAR(96),CHAR(34)),$I782)),ISNUMBER(SEARCH(_xlfn.CONCAT(CHAR(34),CHAR(39)),$I782))),_xlfn.CONCAT("* REVIEW REQUIRED: compound-quote delimiter in Derivation on Sheet 1 row ",782,"; edit the input before running."),_xlfn.CONCAT("char ",TRIM($B782),"[doc_derivation] ",CHAR(96),CHAR(34),SUBSTITUTE(SUBSTITUTE(SUBSTITUTE(SUBSTITUTE(SUBSTITUTE(SUBSTITUTE($I782,CHAR(13)," "),CHAR(10)," "),CHAR(9)," "),CHAR(92),_xlfn.CONCAT(CHAR(92),CHAR(92))),"$",_xlfn.CONCAT(CHAR(92),"$")),CHAR(96),_xlfn.CONCAT(CHAR(92),CHAR(96))),CHAR(34),CHAR(39))))</f>
        <v/>
      </c>
      <c r="T782" s="5" t="str">
        <f>IF(OR(TRIM($B782)="",$J782=""),"",IF(OR(ISNUMBER(SEARCH(_xlfn.CONCAT(CHAR(96),CHAR(34)),$J782)),ISNUMBER(SEARCH(_xlfn.CONCAT(CHAR(34),CHAR(39)),$J782))),_xlfn.CONCAT("* REVIEW REQUIRED: compound-quote delimiter in Notes on Sheet 1 row ",782,"; edit the input before running."),_xlfn.CONCAT("char ",TRIM($B782),"[doc_notes] ",CHAR(96),CHAR(34),SUBSTITUTE(SUBSTITUTE(SUBSTITUTE(SUBSTITUTE(SUBSTITUTE(SUBSTITUTE($J782,CHAR(13)," "),CHAR(10)," "),CHAR(9)," "),CHAR(92),_xlfn.CONCAT(CHAR(92),CHAR(92))),"$",_xlfn.CONCAT(CHAR(92),"$")),CHAR(96),_xlfn.CONCAT(CHAR(92),CHAR(96))),CHAR(34),CHAR(39))))</f>
        <v/>
      </c>
      <c r="U782" s="5">
        <f t="shared" si="23"/>
        <v>0</v>
      </c>
    </row>
    <row r="783" spans="3:21" ht="30" customHeight="1" x14ac:dyDescent="0.2">
      <c r="C783" s="4"/>
      <c r="K783" s="5">
        <f t="shared" si="22"/>
        <v>0</v>
      </c>
      <c r="L783" s="5" t="str">
        <f>IF(OR(TRIM($B783)="",$A783=""),"",IF(OR(ISNUMBER(SEARCH(_xlfn.CONCAT(CHAR(96),CHAR(34)),$A783)),ISNUMBER(SEARCH(_xlfn.CONCAT(CHAR(34),CHAR(39)),$A783))),_xlfn.CONCAT("* REVIEW REQUIRED: compound-quote delimiter in Codebook Section on Sheet 1 row ",783,"; edit the input before running."),_xlfn.CONCAT("char ",TRIM($B783),"[doc_section] ",CHAR(96),CHAR(34),SUBSTITUTE(SUBSTITUTE(SUBSTITUTE(SUBSTITUTE(SUBSTITUTE(SUBSTITUTE($A783,CHAR(13)," "),CHAR(10)," "),CHAR(9)," "),CHAR(92),_xlfn.CONCAT(CHAR(92),CHAR(92))),"$",_xlfn.CONCAT(CHAR(92),"$")),CHAR(96),_xlfn.CONCAT(CHAR(92),CHAR(96))),CHAR(34),CHAR(39))))</f>
        <v/>
      </c>
      <c r="M783" s="5" t="str">
        <f>IF(OR(TRIM($B783)="",$C783=""),"",IF(IFERROR(MATCH(TRIM($C783),{"Quantitative","Continuous","Discrete","Categorical","Nominal","Ordinal","Identifier"},0),0)=0,_xlfn.CONCAT("* REVIEW REQUIRED: invalid Variable Type on Sheet 1 row ",783,"."),_xlfn.CONCAT("char ",TRIM($B783),"[doc_vartype] ",CHAR(96),CHAR(34),SUBSTITUTE(SUBSTITUTE(SUBSTITUTE(SUBSTITUTE(SUBSTITUTE(SUBSTITUTE(LOWER(TRIM($C783)),CHAR(13)," "),CHAR(10)," "),CHAR(9)," "),CHAR(92),_xlfn.CONCAT(CHAR(92),CHAR(92))),"$",_xlfn.CONCAT(CHAR(92),"$")),CHAR(96),_xlfn.CONCAT(CHAR(92),CHAR(96))),CHAR(34),CHAR(39))))</f>
        <v/>
      </c>
      <c r="N783" s="5" t="str">
        <f>IF(OR(TRIM($B783)="",$D783=""),"",IF(OR(ISNUMBER(SEARCH(_xlfn.CONCAT(CHAR(96),CHAR(34)),$D783)),ISNUMBER(SEARCH(_xlfn.CONCAT(CHAR(34),CHAR(39)),$D783))),_xlfn.CONCAT("* REVIEW REQUIRED: compound-quote delimiter in Item Number on Sheet 1 row ",783,"; edit the input before running."),_xlfn.CONCAT("char ",TRIM($B783),"[doc_itemnum] ",CHAR(96),CHAR(34),SUBSTITUTE(SUBSTITUTE(SUBSTITUTE(SUBSTITUTE(SUBSTITUTE(SUBSTITUTE($D783,CHAR(13)," "),CHAR(10)," "),CHAR(9)," "),CHAR(92),_xlfn.CONCAT(CHAR(92),CHAR(92))),"$",_xlfn.CONCAT(CHAR(92),"$")),CHAR(96),_xlfn.CONCAT(CHAR(92),CHAR(96))),CHAR(34),CHAR(39))))</f>
        <v/>
      </c>
      <c r="O783" s="5" t="str">
        <f>IF(OR(TRIM($B783)="",$E783=""),"",IF(OR(ISNUMBER(SEARCH(_xlfn.CONCAT(CHAR(96),CHAR(34)),$E783)),ISNUMBER(SEARCH(_xlfn.CONCAT(CHAR(34),CHAR(39)),$E783))),_xlfn.CONCAT("* REVIEW REQUIRED: compound-quote delimiter in Question Wording on Sheet 1 row ",783,"; edit the input before running."),_xlfn.CONCAT("char ",TRIM($B783),"[doc_question] ",CHAR(96),CHAR(34),SUBSTITUTE(SUBSTITUTE(SUBSTITUTE(SUBSTITUTE(SUBSTITUTE(SUBSTITUTE($E783,CHAR(13)," "),CHAR(10)," "),CHAR(9)," "),CHAR(92),_xlfn.CONCAT(CHAR(92),CHAR(92))),"$",_xlfn.CONCAT(CHAR(92),"$")),CHAR(96),_xlfn.CONCAT(CHAR(92),CHAR(96))),CHAR(34),CHAR(39))))</f>
        <v/>
      </c>
      <c r="P783" s="5" t="str">
        <f>IF(OR(TRIM($B783)="",$F783=""),"",IF(OR(ISNUMBER(SEARCH(_xlfn.CONCAT(CHAR(96),CHAR(34)),$F783)),ISNUMBER(SEARCH(_xlfn.CONCAT(CHAR(34),CHAR(39)),$F783))),_xlfn.CONCAT("* REVIEW REQUIRED: compound-quote delimiter in Units on Sheet 1 row ",783,"; edit the input before running."),_xlfn.CONCAT("char ",TRIM($B783),"[doc_units] ",CHAR(96),CHAR(34),SUBSTITUTE(SUBSTITUTE(SUBSTITUTE(SUBSTITUTE(SUBSTITUTE(SUBSTITUTE($F783,CHAR(13)," "),CHAR(10)," "),CHAR(9)," "),CHAR(92),_xlfn.CONCAT(CHAR(92),CHAR(92))),"$",_xlfn.CONCAT(CHAR(92),"$")),CHAR(96),_xlfn.CONCAT(CHAR(92),CHAR(96))),CHAR(34),CHAR(39))))</f>
        <v/>
      </c>
      <c r="Q783" s="5" t="str">
        <f>IF(OR(TRIM($B783)="",$G783=""),"",IF(OR(ISNUMBER(SEARCH(_xlfn.CONCAT(CHAR(96),CHAR(34)),$G783)),ISNUMBER(SEARCH(_xlfn.CONCAT(CHAR(34),CHAR(39)),$G783))),_xlfn.CONCAT("* REVIEW REQUIRED: compound-quote delimiter in Universe on Sheet 1 row ",783,"; edit the input before running."),_xlfn.CONCAT("char ",TRIM($B783),"[doc_universe] ",CHAR(96),CHAR(34),SUBSTITUTE(SUBSTITUTE(SUBSTITUTE(SUBSTITUTE(SUBSTITUTE(SUBSTITUTE($G783,CHAR(13)," "),CHAR(10)," "),CHAR(9)," "),CHAR(92),_xlfn.CONCAT(CHAR(92),CHAR(92))),"$",_xlfn.CONCAT(CHAR(92),"$")),CHAR(96),_xlfn.CONCAT(CHAR(92),CHAR(96))),CHAR(34),CHAR(39))))</f>
        <v/>
      </c>
      <c r="R783" s="5" t="str">
        <f>IF(OR(TRIM($B783)="",$H783=""),"",IF(OR(ISNUMBER(SEARCH(_xlfn.CONCAT(CHAR(96),CHAR(34)),$H783)),ISNUMBER(SEARCH(_xlfn.CONCAT(CHAR(34),CHAR(39)),$H783))),_xlfn.CONCAT("* REVIEW REQUIRED: compound-quote delimiter in Source on Sheet 1 row ",783,"; edit the input before running."),_xlfn.CONCAT("char ",TRIM($B783),"[doc_source] ",CHAR(96),CHAR(34),SUBSTITUTE(SUBSTITUTE(SUBSTITUTE(SUBSTITUTE(SUBSTITUTE(SUBSTITUTE($H783,CHAR(13)," "),CHAR(10)," "),CHAR(9)," "),CHAR(92),_xlfn.CONCAT(CHAR(92),CHAR(92))),"$",_xlfn.CONCAT(CHAR(92),"$")),CHAR(96),_xlfn.CONCAT(CHAR(92),CHAR(96))),CHAR(34),CHAR(39))))</f>
        <v/>
      </c>
      <c r="S783" s="5" t="str">
        <f>IF(OR(TRIM($B783)="",$I783=""),"",IF(OR(ISNUMBER(SEARCH(_xlfn.CONCAT(CHAR(96),CHAR(34)),$I783)),ISNUMBER(SEARCH(_xlfn.CONCAT(CHAR(34),CHAR(39)),$I783))),_xlfn.CONCAT("* REVIEW REQUIRED: compound-quote delimiter in Derivation on Sheet 1 row ",783,"; edit the input before running."),_xlfn.CONCAT("char ",TRIM($B783),"[doc_derivation] ",CHAR(96),CHAR(34),SUBSTITUTE(SUBSTITUTE(SUBSTITUTE(SUBSTITUTE(SUBSTITUTE(SUBSTITUTE($I783,CHAR(13)," "),CHAR(10)," "),CHAR(9)," "),CHAR(92),_xlfn.CONCAT(CHAR(92),CHAR(92))),"$",_xlfn.CONCAT(CHAR(92),"$")),CHAR(96),_xlfn.CONCAT(CHAR(92),CHAR(96))),CHAR(34),CHAR(39))))</f>
        <v/>
      </c>
      <c r="T783" s="5" t="str">
        <f>IF(OR(TRIM($B783)="",$J783=""),"",IF(OR(ISNUMBER(SEARCH(_xlfn.CONCAT(CHAR(96),CHAR(34)),$J783)),ISNUMBER(SEARCH(_xlfn.CONCAT(CHAR(34),CHAR(39)),$J783))),_xlfn.CONCAT("* REVIEW REQUIRED: compound-quote delimiter in Notes on Sheet 1 row ",783,"; edit the input before running."),_xlfn.CONCAT("char ",TRIM($B783),"[doc_notes] ",CHAR(96),CHAR(34),SUBSTITUTE(SUBSTITUTE(SUBSTITUTE(SUBSTITUTE(SUBSTITUTE(SUBSTITUTE($J783,CHAR(13)," "),CHAR(10)," "),CHAR(9)," "),CHAR(92),_xlfn.CONCAT(CHAR(92),CHAR(92))),"$",_xlfn.CONCAT(CHAR(92),"$")),CHAR(96),_xlfn.CONCAT(CHAR(92),CHAR(96))),CHAR(34),CHAR(39))))</f>
        <v/>
      </c>
      <c r="U783" s="5">
        <f t="shared" si="23"/>
        <v>0</v>
      </c>
    </row>
    <row r="784" spans="3:21" ht="30" customHeight="1" x14ac:dyDescent="0.2">
      <c r="C784" s="4"/>
      <c r="K784" s="5">
        <f t="shared" si="22"/>
        <v>0</v>
      </c>
      <c r="L784" s="5" t="str">
        <f>IF(OR(TRIM($B784)="",$A784=""),"",IF(OR(ISNUMBER(SEARCH(_xlfn.CONCAT(CHAR(96),CHAR(34)),$A784)),ISNUMBER(SEARCH(_xlfn.CONCAT(CHAR(34),CHAR(39)),$A784))),_xlfn.CONCAT("* REVIEW REQUIRED: compound-quote delimiter in Codebook Section on Sheet 1 row ",784,"; edit the input before running."),_xlfn.CONCAT("char ",TRIM($B784),"[doc_section] ",CHAR(96),CHAR(34),SUBSTITUTE(SUBSTITUTE(SUBSTITUTE(SUBSTITUTE(SUBSTITUTE(SUBSTITUTE($A784,CHAR(13)," "),CHAR(10)," "),CHAR(9)," "),CHAR(92),_xlfn.CONCAT(CHAR(92),CHAR(92))),"$",_xlfn.CONCAT(CHAR(92),"$")),CHAR(96),_xlfn.CONCAT(CHAR(92),CHAR(96))),CHAR(34),CHAR(39))))</f>
        <v/>
      </c>
      <c r="M784" s="5" t="str">
        <f>IF(OR(TRIM($B784)="",$C784=""),"",IF(IFERROR(MATCH(TRIM($C784),{"Quantitative","Continuous","Discrete","Categorical","Nominal","Ordinal","Identifier"},0),0)=0,_xlfn.CONCAT("* REVIEW REQUIRED: invalid Variable Type on Sheet 1 row ",784,"."),_xlfn.CONCAT("char ",TRIM($B784),"[doc_vartype] ",CHAR(96),CHAR(34),SUBSTITUTE(SUBSTITUTE(SUBSTITUTE(SUBSTITUTE(SUBSTITUTE(SUBSTITUTE(LOWER(TRIM($C784)),CHAR(13)," "),CHAR(10)," "),CHAR(9)," "),CHAR(92),_xlfn.CONCAT(CHAR(92),CHAR(92))),"$",_xlfn.CONCAT(CHAR(92),"$")),CHAR(96),_xlfn.CONCAT(CHAR(92),CHAR(96))),CHAR(34),CHAR(39))))</f>
        <v/>
      </c>
      <c r="N784" s="5" t="str">
        <f>IF(OR(TRIM($B784)="",$D784=""),"",IF(OR(ISNUMBER(SEARCH(_xlfn.CONCAT(CHAR(96),CHAR(34)),$D784)),ISNUMBER(SEARCH(_xlfn.CONCAT(CHAR(34),CHAR(39)),$D784))),_xlfn.CONCAT("* REVIEW REQUIRED: compound-quote delimiter in Item Number on Sheet 1 row ",784,"; edit the input before running."),_xlfn.CONCAT("char ",TRIM($B784),"[doc_itemnum] ",CHAR(96),CHAR(34),SUBSTITUTE(SUBSTITUTE(SUBSTITUTE(SUBSTITUTE(SUBSTITUTE(SUBSTITUTE($D784,CHAR(13)," "),CHAR(10)," "),CHAR(9)," "),CHAR(92),_xlfn.CONCAT(CHAR(92),CHAR(92))),"$",_xlfn.CONCAT(CHAR(92),"$")),CHAR(96),_xlfn.CONCAT(CHAR(92),CHAR(96))),CHAR(34),CHAR(39))))</f>
        <v/>
      </c>
      <c r="O784" s="5" t="str">
        <f>IF(OR(TRIM($B784)="",$E784=""),"",IF(OR(ISNUMBER(SEARCH(_xlfn.CONCAT(CHAR(96),CHAR(34)),$E784)),ISNUMBER(SEARCH(_xlfn.CONCAT(CHAR(34),CHAR(39)),$E784))),_xlfn.CONCAT("* REVIEW REQUIRED: compound-quote delimiter in Question Wording on Sheet 1 row ",784,"; edit the input before running."),_xlfn.CONCAT("char ",TRIM($B784),"[doc_question] ",CHAR(96),CHAR(34),SUBSTITUTE(SUBSTITUTE(SUBSTITUTE(SUBSTITUTE(SUBSTITUTE(SUBSTITUTE($E784,CHAR(13)," "),CHAR(10)," "),CHAR(9)," "),CHAR(92),_xlfn.CONCAT(CHAR(92),CHAR(92))),"$",_xlfn.CONCAT(CHAR(92),"$")),CHAR(96),_xlfn.CONCAT(CHAR(92),CHAR(96))),CHAR(34),CHAR(39))))</f>
        <v/>
      </c>
      <c r="P784" s="5" t="str">
        <f>IF(OR(TRIM($B784)="",$F784=""),"",IF(OR(ISNUMBER(SEARCH(_xlfn.CONCAT(CHAR(96),CHAR(34)),$F784)),ISNUMBER(SEARCH(_xlfn.CONCAT(CHAR(34),CHAR(39)),$F784))),_xlfn.CONCAT("* REVIEW REQUIRED: compound-quote delimiter in Units on Sheet 1 row ",784,"; edit the input before running."),_xlfn.CONCAT("char ",TRIM($B784),"[doc_units] ",CHAR(96),CHAR(34),SUBSTITUTE(SUBSTITUTE(SUBSTITUTE(SUBSTITUTE(SUBSTITUTE(SUBSTITUTE($F784,CHAR(13)," "),CHAR(10)," "),CHAR(9)," "),CHAR(92),_xlfn.CONCAT(CHAR(92),CHAR(92))),"$",_xlfn.CONCAT(CHAR(92),"$")),CHAR(96),_xlfn.CONCAT(CHAR(92),CHAR(96))),CHAR(34),CHAR(39))))</f>
        <v/>
      </c>
      <c r="Q784" s="5" t="str">
        <f>IF(OR(TRIM($B784)="",$G784=""),"",IF(OR(ISNUMBER(SEARCH(_xlfn.CONCAT(CHAR(96),CHAR(34)),$G784)),ISNUMBER(SEARCH(_xlfn.CONCAT(CHAR(34),CHAR(39)),$G784))),_xlfn.CONCAT("* REVIEW REQUIRED: compound-quote delimiter in Universe on Sheet 1 row ",784,"; edit the input before running."),_xlfn.CONCAT("char ",TRIM($B784),"[doc_universe] ",CHAR(96),CHAR(34),SUBSTITUTE(SUBSTITUTE(SUBSTITUTE(SUBSTITUTE(SUBSTITUTE(SUBSTITUTE($G784,CHAR(13)," "),CHAR(10)," "),CHAR(9)," "),CHAR(92),_xlfn.CONCAT(CHAR(92),CHAR(92))),"$",_xlfn.CONCAT(CHAR(92),"$")),CHAR(96),_xlfn.CONCAT(CHAR(92),CHAR(96))),CHAR(34),CHAR(39))))</f>
        <v/>
      </c>
      <c r="R784" s="5" t="str">
        <f>IF(OR(TRIM($B784)="",$H784=""),"",IF(OR(ISNUMBER(SEARCH(_xlfn.CONCAT(CHAR(96),CHAR(34)),$H784)),ISNUMBER(SEARCH(_xlfn.CONCAT(CHAR(34),CHAR(39)),$H784))),_xlfn.CONCAT("* REVIEW REQUIRED: compound-quote delimiter in Source on Sheet 1 row ",784,"; edit the input before running."),_xlfn.CONCAT("char ",TRIM($B784),"[doc_source] ",CHAR(96),CHAR(34),SUBSTITUTE(SUBSTITUTE(SUBSTITUTE(SUBSTITUTE(SUBSTITUTE(SUBSTITUTE($H784,CHAR(13)," "),CHAR(10)," "),CHAR(9)," "),CHAR(92),_xlfn.CONCAT(CHAR(92),CHAR(92))),"$",_xlfn.CONCAT(CHAR(92),"$")),CHAR(96),_xlfn.CONCAT(CHAR(92),CHAR(96))),CHAR(34),CHAR(39))))</f>
        <v/>
      </c>
      <c r="S784" s="5" t="str">
        <f>IF(OR(TRIM($B784)="",$I784=""),"",IF(OR(ISNUMBER(SEARCH(_xlfn.CONCAT(CHAR(96),CHAR(34)),$I784)),ISNUMBER(SEARCH(_xlfn.CONCAT(CHAR(34),CHAR(39)),$I784))),_xlfn.CONCAT("* REVIEW REQUIRED: compound-quote delimiter in Derivation on Sheet 1 row ",784,"; edit the input before running."),_xlfn.CONCAT("char ",TRIM($B784),"[doc_derivation] ",CHAR(96),CHAR(34),SUBSTITUTE(SUBSTITUTE(SUBSTITUTE(SUBSTITUTE(SUBSTITUTE(SUBSTITUTE($I784,CHAR(13)," "),CHAR(10)," "),CHAR(9)," "),CHAR(92),_xlfn.CONCAT(CHAR(92),CHAR(92))),"$",_xlfn.CONCAT(CHAR(92),"$")),CHAR(96),_xlfn.CONCAT(CHAR(92),CHAR(96))),CHAR(34),CHAR(39))))</f>
        <v/>
      </c>
      <c r="T784" s="5" t="str">
        <f>IF(OR(TRIM($B784)="",$J784=""),"",IF(OR(ISNUMBER(SEARCH(_xlfn.CONCAT(CHAR(96),CHAR(34)),$J784)),ISNUMBER(SEARCH(_xlfn.CONCAT(CHAR(34),CHAR(39)),$J784))),_xlfn.CONCAT("* REVIEW REQUIRED: compound-quote delimiter in Notes on Sheet 1 row ",784,"; edit the input before running."),_xlfn.CONCAT("char ",TRIM($B784),"[doc_notes] ",CHAR(96),CHAR(34),SUBSTITUTE(SUBSTITUTE(SUBSTITUTE(SUBSTITUTE(SUBSTITUTE(SUBSTITUTE($J784,CHAR(13)," "),CHAR(10)," "),CHAR(9)," "),CHAR(92),_xlfn.CONCAT(CHAR(92),CHAR(92))),"$",_xlfn.CONCAT(CHAR(92),"$")),CHAR(96),_xlfn.CONCAT(CHAR(92),CHAR(96))),CHAR(34),CHAR(39))))</f>
        <v/>
      </c>
      <c r="U784" s="5">
        <f t="shared" si="23"/>
        <v>0</v>
      </c>
    </row>
    <row r="785" spans="3:21" ht="30" customHeight="1" x14ac:dyDescent="0.2">
      <c r="C785" s="4"/>
      <c r="K785" s="5">
        <f t="shared" si="22"/>
        <v>0</v>
      </c>
      <c r="L785" s="5" t="str">
        <f>IF(OR(TRIM($B785)="",$A785=""),"",IF(OR(ISNUMBER(SEARCH(_xlfn.CONCAT(CHAR(96),CHAR(34)),$A785)),ISNUMBER(SEARCH(_xlfn.CONCAT(CHAR(34),CHAR(39)),$A785))),_xlfn.CONCAT("* REVIEW REQUIRED: compound-quote delimiter in Codebook Section on Sheet 1 row ",785,"; edit the input before running."),_xlfn.CONCAT("char ",TRIM($B785),"[doc_section] ",CHAR(96),CHAR(34),SUBSTITUTE(SUBSTITUTE(SUBSTITUTE(SUBSTITUTE(SUBSTITUTE(SUBSTITUTE($A785,CHAR(13)," "),CHAR(10)," "),CHAR(9)," "),CHAR(92),_xlfn.CONCAT(CHAR(92),CHAR(92))),"$",_xlfn.CONCAT(CHAR(92),"$")),CHAR(96),_xlfn.CONCAT(CHAR(92),CHAR(96))),CHAR(34),CHAR(39))))</f>
        <v/>
      </c>
      <c r="M785" s="5" t="str">
        <f>IF(OR(TRIM($B785)="",$C785=""),"",IF(IFERROR(MATCH(TRIM($C785),{"Quantitative","Continuous","Discrete","Categorical","Nominal","Ordinal","Identifier"},0),0)=0,_xlfn.CONCAT("* REVIEW REQUIRED: invalid Variable Type on Sheet 1 row ",785,"."),_xlfn.CONCAT("char ",TRIM($B785),"[doc_vartype] ",CHAR(96),CHAR(34),SUBSTITUTE(SUBSTITUTE(SUBSTITUTE(SUBSTITUTE(SUBSTITUTE(SUBSTITUTE(LOWER(TRIM($C785)),CHAR(13)," "),CHAR(10)," "),CHAR(9)," "),CHAR(92),_xlfn.CONCAT(CHAR(92),CHAR(92))),"$",_xlfn.CONCAT(CHAR(92),"$")),CHAR(96),_xlfn.CONCAT(CHAR(92),CHAR(96))),CHAR(34),CHAR(39))))</f>
        <v/>
      </c>
      <c r="N785" s="5" t="str">
        <f>IF(OR(TRIM($B785)="",$D785=""),"",IF(OR(ISNUMBER(SEARCH(_xlfn.CONCAT(CHAR(96),CHAR(34)),$D785)),ISNUMBER(SEARCH(_xlfn.CONCAT(CHAR(34),CHAR(39)),$D785))),_xlfn.CONCAT("* REVIEW REQUIRED: compound-quote delimiter in Item Number on Sheet 1 row ",785,"; edit the input before running."),_xlfn.CONCAT("char ",TRIM($B785),"[doc_itemnum] ",CHAR(96),CHAR(34),SUBSTITUTE(SUBSTITUTE(SUBSTITUTE(SUBSTITUTE(SUBSTITUTE(SUBSTITUTE($D785,CHAR(13)," "),CHAR(10)," "),CHAR(9)," "),CHAR(92),_xlfn.CONCAT(CHAR(92),CHAR(92))),"$",_xlfn.CONCAT(CHAR(92),"$")),CHAR(96),_xlfn.CONCAT(CHAR(92),CHAR(96))),CHAR(34),CHAR(39))))</f>
        <v/>
      </c>
      <c r="O785" s="5" t="str">
        <f>IF(OR(TRIM($B785)="",$E785=""),"",IF(OR(ISNUMBER(SEARCH(_xlfn.CONCAT(CHAR(96),CHAR(34)),$E785)),ISNUMBER(SEARCH(_xlfn.CONCAT(CHAR(34),CHAR(39)),$E785))),_xlfn.CONCAT("* REVIEW REQUIRED: compound-quote delimiter in Question Wording on Sheet 1 row ",785,"; edit the input before running."),_xlfn.CONCAT("char ",TRIM($B785),"[doc_question] ",CHAR(96),CHAR(34),SUBSTITUTE(SUBSTITUTE(SUBSTITUTE(SUBSTITUTE(SUBSTITUTE(SUBSTITUTE($E785,CHAR(13)," "),CHAR(10)," "),CHAR(9)," "),CHAR(92),_xlfn.CONCAT(CHAR(92),CHAR(92))),"$",_xlfn.CONCAT(CHAR(92),"$")),CHAR(96),_xlfn.CONCAT(CHAR(92),CHAR(96))),CHAR(34),CHAR(39))))</f>
        <v/>
      </c>
      <c r="P785" s="5" t="str">
        <f>IF(OR(TRIM($B785)="",$F785=""),"",IF(OR(ISNUMBER(SEARCH(_xlfn.CONCAT(CHAR(96),CHAR(34)),$F785)),ISNUMBER(SEARCH(_xlfn.CONCAT(CHAR(34),CHAR(39)),$F785))),_xlfn.CONCAT("* REVIEW REQUIRED: compound-quote delimiter in Units on Sheet 1 row ",785,"; edit the input before running."),_xlfn.CONCAT("char ",TRIM($B785),"[doc_units] ",CHAR(96),CHAR(34),SUBSTITUTE(SUBSTITUTE(SUBSTITUTE(SUBSTITUTE(SUBSTITUTE(SUBSTITUTE($F785,CHAR(13)," "),CHAR(10)," "),CHAR(9)," "),CHAR(92),_xlfn.CONCAT(CHAR(92),CHAR(92))),"$",_xlfn.CONCAT(CHAR(92),"$")),CHAR(96),_xlfn.CONCAT(CHAR(92),CHAR(96))),CHAR(34),CHAR(39))))</f>
        <v/>
      </c>
      <c r="Q785" s="5" t="str">
        <f>IF(OR(TRIM($B785)="",$G785=""),"",IF(OR(ISNUMBER(SEARCH(_xlfn.CONCAT(CHAR(96),CHAR(34)),$G785)),ISNUMBER(SEARCH(_xlfn.CONCAT(CHAR(34),CHAR(39)),$G785))),_xlfn.CONCAT("* REVIEW REQUIRED: compound-quote delimiter in Universe on Sheet 1 row ",785,"; edit the input before running."),_xlfn.CONCAT("char ",TRIM($B785),"[doc_universe] ",CHAR(96),CHAR(34),SUBSTITUTE(SUBSTITUTE(SUBSTITUTE(SUBSTITUTE(SUBSTITUTE(SUBSTITUTE($G785,CHAR(13)," "),CHAR(10)," "),CHAR(9)," "),CHAR(92),_xlfn.CONCAT(CHAR(92),CHAR(92))),"$",_xlfn.CONCAT(CHAR(92),"$")),CHAR(96),_xlfn.CONCAT(CHAR(92),CHAR(96))),CHAR(34),CHAR(39))))</f>
        <v/>
      </c>
      <c r="R785" s="5" t="str">
        <f>IF(OR(TRIM($B785)="",$H785=""),"",IF(OR(ISNUMBER(SEARCH(_xlfn.CONCAT(CHAR(96),CHAR(34)),$H785)),ISNUMBER(SEARCH(_xlfn.CONCAT(CHAR(34),CHAR(39)),$H785))),_xlfn.CONCAT("* REVIEW REQUIRED: compound-quote delimiter in Source on Sheet 1 row ",785,"; edit the input before running."),_xlfn.CONCAT("char ",TRIM($B785),"[doc_source] ",CHAR(96),CHAR(34),SUBSTITUTE(SUBSTITUTE(SUBSTITUTE(SUBSTITUTE(SUBSTITUTE(SUBSTITUTE($H785,CHAR(13)," "),CHAR(10)," "),CHAR(9)," "),CHAR(92),_xlfn.CONCAT(CHAR(92),CHAR(92))),"$",_xlfn.CONCAT(CHAR(92),"$")),CHAR(96),_xlfn.CONCAT(CHAR(92),CHAR(96))),CHAR(34),CHAR(39))))</f>
        <v/>
      </c>
      <c r="S785" s="5" t="str">
        <f>IF(OR(TRIM($B785)="",$I785=""),"",IF(OR(ISNUMBER(SEARCH(_xlfn.CONCAT(CHAR(96),CHAR(34)),$I785)),ISNUMBER(SEARCH(_xlfn.CONCAT(CHAR(34),CHAR(39)),$I785))),_xlfn.CONCAT("* REVIEW REQUIRED: compound-quote delimiter in Derivation on Sheet 1 row ",785,"; edit the input before running."),_xlfn.CONCAT("char ",TRIM($B785),"[doc_derivation] ",CHAR(96),CHAR(34),SUBSTITUTE(SUBSTITUTE(SUBSTITUTE(SUBSTITUTE(SUBSTITUTE(SUBSTITUTE($I785,CHAR(13)," "),CHAR(10)," "),CHAR(9)," "),CHAR(92),_xlfn.CONCAT(CHAR(92),CHAR(92))),"$",_xlfn.CONCAT(CHAR(92),"$")),CHAR(96),_xlfn.CONCAT(CHAR(92),CHAR(96))),CHAR(34),CHAR(39))))</f>
        <v/>
      </c>
      <c r="T785" s="5" t="str">
        <f>IF(OR(TRIM($B785)="",$J785=""),"",IF(OR(ISNUMBER(SEARCH(_xlfn.CONCAT(CHAR(96),CHAR(34)),$J785)),ISNUMBER(SEARCH(_xlfn.CONCAT(CHAR(34),CHAR(39)),$J785))),_xlfn.CONCAT("* REVIEW REQUIRED: compound-quote delimiter in Notes on Sheet 1 row ",785,"; edit the input before running."),_xlfn.CONCAT("char ",TRIM($B785),"[doc_notes] ",CHAR(96),CHAR(34),SUBSTITUTE(SUBSTITUTE(SUBSTITUTE(SUBSTITUTE(SUBSTITUTE(SUBSTITUTE($J785,CHAR(13)," "),CHAR(10)," "),CHAR(9)," "),CHAR(92),_xlfn.CONCAT(CHAR(92),CHAR(92))),"$",_xlfn.CONCAT(CHAR(92),"$")),CHAR(96),_xlfn.CONCAT(CHAR(92),CHAR(96))),CHAR(34),CHAR(39))))</f>
        <v/>
      </c>
      <c r="U785" s="5">
        <f t="shared" si="23"/>
        <v>0</v>
      </c>
    </row>
    <row r="786" spans="3:21" ht="30" customHeight="1" x14ac:dyDescent="0.2">
      <c r="C786" s="4"/>
      <c r="K786" s="5">
        <f t="shared" si="22"/>
        <v>0</v>
      </c>
      <c r="L786" s="5" t="str">
        <f>IF(OR(TRIM($B786)="",$A786=""),"",IF(OR(ISNUMBER(SEARCH(_xlfn.CONCAT(CHAR(96),CHAR(34)),$A786)),ISNUMBER(SEARCH(_xlfn.CONCAT(CHAR(34),CHAR(39)),$A786))),_xlfn.CONCAT("* REVIEW REQUIRED: compound-quote delimiter in Codebook Section on Sheet 1 row ",786,"; edit the input before running."),_xlfn.CONCAT("char ",TRIM($B786),"[doc_section] ",CHAR(96),CHAR(34),SUBSTITUTE(SUBSTITUTE(SUBSTITUTE(SUBSTITUTE(SUBSTITUTE(SUBSTITUTE($A786,CHAR(13)," "),CHAR(10)," "),CHAR(9)," "),CHAR(92),_xlfn.CONCAT(CHAR(92),CHAR(92))),"$",_xlfn.CONCAT(CHAR(92),"$")),CHAR(96),_xlfn.CONCAT(CHAR(92),CHAR(96))),CHAR(34),CHAR(39))))</f>
        <v/>
      </c>
      <c r="M786" s="5" t="str">
        <f>IF(OR(TRIM($B786)="",$C786=""),"",IF(IFERROR(MATCH(TRIM($C786),{"Quantitative","Continuous","Discrete","Categorical","Nominal","Ordinal","Identifier"},0),0)=0,_xlfn.CONCAT("* REVIEW REQUIRED: invalid Variable Type on Sheet 1 row ",786,"."),_xlfn.CONCAT("char ",TRIM($B786),"[doc_vartype] ",CHAR(96),CHAR(34),SUBSTITUTE(SUBSTITUTE(SUBSTITUTE(SUBSTITUTE(SUBSTITUTE(SUBSTITUTE(LOWER(TRIM($C786)),CHAR(13)," "),CHAR(10)," "),CHAR(9)," "),CHAR(92),_xlfn.CONCAT(CHAR(92),CHAR(92))),"$",_xlfn.CONCAT(CHAR(92),"$")),CHAR(96),_xlfn.CONCAT(CHAR(92),CHAR(96))),CHAR(34),CHAR(39))))</f>
        <v/>
      </c>
      <c r="N786" s="5" t="str">
        <f>IF(OR(TRIM($B786)="",$D786=""),"",IF(OR(ISNUMBER(SEARCH(_xlfn.CONCAT(CHAR(96),CHAR(34)),$D786)),ISNUMBER(SEARCH(_xlfn.CONCAT(CHAR(34),CHAR(39)),$D786))),_xlfn.CONCAT("* REVIEW REQUIRED: compound-quote delimiter in Item Number on Sheet 1 row ",786,"; edit the input before running."),_xlfn.CONCAT("char ",TRIM($B786),"[doc_itemnum] ",CHAR(96),CHAR(34),SUBSTITUTE(SUBSTITUTE(SUBSTITUTE(SUBSTITUTE(SUBSTITUTE(SUBSTITUTE($D786,CHAR(13)," "),CHAR(10)," "),CHAR(9)," "),CHAR(92),_xlfn.CONCAT(CHAR(92),CHAR(92))),"$",_xlfn.CONCAT(CHAR(92),"$")),CHAR(96),_xlfn.CONCAT(CHAR(92),CHAR(96))),CHAR(34),CHAR(39))))</f>
        <v/>
      </c>
      <c r="O786" s="5" t="str">
        <f>IF(OR(TRIM($B786)="",$E786=""),"",IF(OR(ISNUMBER(SEARCH(_xlfn.CONCAT(CHAR(96),CHAR(34)),$E786)),ISNUMBER(SEARCH(_xlfn.CONCAT(CHAR(34),CHAR(39)),$E786))),_xlfn.CONCAT("* REVIEW REQUIRED: compound-quote delimiter in Question Wording on Sheet 1 row ",786,"; edit the input before running."),_xlfn.CONCAT("char ",TRIM($B786),"[doc_question] ",CHAR(96),CHAR(34),SUBSTITUTE(SUBSTITUTE(SUBSTITUTE(SUBSTITUTE(SUBSTITUTE(SUBSTITUTE($E786,CHAR(13)," "),CHAR(10)," "),CHAR(9)," "),CHAR(92),_xlfn.CONCAT(CHAR(92),CHAR(92))),"$",_xlfn.CONCAT(CHAR(92),"$")),CHAR(96),_xlfn.CONCAT(CHAR(92),CHAR(96))),CHAR(34),CHAR(39))))</f>
        <v/>
      </c>
      <c r="P786" s="5" t="str">
        <f>IF(OR(TRIM($B786)="",$F786=""),"",IF(OR(ISNUMBER(SEARCH(_xlfn.CONCAT(CHAR(96),CHAR(34)),$F786)),ISNUMBER(SEARCH(_xlfn.CONCAT(CHAR(34),CHAR(39)),$F786))),_xlfn.CONCAT("* REVIEW REQUIRED: compound-quote delimiter in Units on Sheet 1 row ",786,"; edit the input before running."),_xlfn.CONCAT("char ",TRIM($B786),"[doc_units] ",CHAR(96),CHAR(34),SUBSTITUTE(SUBSTITUTE(SUBSTITUTE(SUBSTITUTE(SUBSTITUTE(SUBSTITUTE($F786,CHAR(13)," "),CHAR(10)," "),CHAR(9)," "),CHAR(92),_xlfn.CONCAT(CHAR(92),CHAR(92))),"$",_xlfn.CONCAT(CHAR(92),"$")),CHAR(96),_xlfn.CONCAT(CHAR(92),CHAR(96))),CHAR(34),CHAR(39))))</f>
        <v/>
      </c>
      <c r="Q786" s="5" t="str">
        <f>IF(OR(TRIM($B786)="",$G786=""),"",IF(OR(ISNUMBER(SEARCH(_xlfn.CONCAT(CHAR(96),CHAR(34)),$G786)),ISNUMBER(SEARCH(_xlfn.CONCAT(CHAR(34),CHAR(39)),$G786))),_xlfn.CONCAT("* REVIEW REQUIRED: compound-quote delimiter in Universe on Sheet 1 row ",786,"; edit the input before running."),_xlfn.CONCAT("char ",TRIM($B786),"[doc_universe] ",CHAR(96),CHAR(34),SUBSTITUTE(SUBSTITUTE(SUBSTITUTE(SUBSTITUTE(SUBSTITUTE(SUBSTITUTE($G786,CHAR(13)," "),CHAR(10)," "),CHAR(9)," "),CHAR(92),_xlfn.CONCAT(CHAR(92),CHAR(92))),"$",_xlfn.CONCAT(CHAR(92),"$")),CHAR(96),_xlfn.CONCAT(CHAR(92),CHAR(96))),CHAR(34),CHAR(39))))</f>
        <v/>
      </c>
      <c r="R786" s="5" t="str">
        <f>IF(OR(TRIM($B786)="",$H786=""),"",IF(OR(ISNUMBER(SEARCH(_xlfn.CONCAT(CHAR(96),CHAR(34)),$H786)),ISNUMBER(SEARCH(_xlfn.CONCAT(CHAR(34),CHAR(39)),$H786))),_xlfn.CONCAT("* REVIEW REQUIRED: compound-quote delimiter in Source on Sheet 1 row ",786,"; edit the input before running."),_xlfn.CONCAT("char ",TRIM($B786),"[doc_source] ",CHAR(96),CHAR(34),SUBSTITUTE(SUBSTITUTE(SUBSTITUTE(SUBSTITUTE(SUBSTITUTE(SUBSTITUTE($H786,CHAR(13)," "),CHAR(10)," "),CHAR(9)," "),CHAR(92),_xlfn.CONCAT(CHAR(92),CHAR(92))),"$",_xlfn.CONCAT(CHAR(92),"$")),CHAR(96),_xlfn.CONCAT(CHAR(92),CHAR(96))),CHAR(34),CHAR(39))))</f>
        <v/>
      </c>
      <c r="S786" s="5" t="str">
        <f>IF(OR(TRIM($B786)="",$I786=""),"",IF(OR(ISNUMBER(SEARCH(_xlfn.CONCAT(CHAR(96),CHAR(34)),$I786)),ISNUMBER(SEARCH(_xlfn.CONCAT(CHAR(34),CHAR(39)),$I786))),_xlfn.CONCAT("* REVIEW REQUIRED: compound-quote delimiter in Derivation on Sheet 1 row ",786,"; edit the input before running."),_xlfn.CONCAT("char ",TRIM($B786),"[doc_derivation] ",CHAR(96),CHAR(34),SUBSTITUTE(SUBSTITUTE(SUBSTITUTE(SUBSTITUTE(SUBSTITUTE(SUBSTITUTE($I786,CHAR(13)," "),CHAR(10)," "),CHAR(9)," "),CHAR(92),_xlfn.CONCAT(CHAR(92),CHAR(92))),"$",_xlfn.CONCAT(CHAR(92),"$")),CHAR(96),_xlfn.CONCAT(CHAR(92),CHAR(96))),CHAR(34),CHAR(39))))</f>
        <v/>
      </c>
      <c r="T786" s="5" t="str">
        <f>IF(OR(TRIM($B786)="",$J786=""),"",IF(OR(ISNUMBER(SEARCH(_xlfn.CONCAT(CHAR(96),CHAR(34)),$J786)),ISNUMBER(SEARCH(_xlfn.CONCAT(CHAR(34),CHAR(39)),$J786))),_xlfn.CONCAT("* REVIEW REQUIRED: compound-quote delimiter in Notes on Sheet 1 row ",786,"; edit the input before running."),_xlfn.CONCAT("char ",TRIM($B786),"[doc_notes] ",CHAR(96),CHAR(34),SUBSTITUTE(SUBSTITUTE(SUBSTITUTE(SUBSTITUTE(SUBSTITUTE(SUBSTITUTE($J786,CHAR(13)," "),CHAR(10)," "),CHAR(9)," "),CHAR(92),_xlfn.CONCAT(CHAR(92),CHAR(92))),"$",_xlfn.CONCAT(CHAR(92),"$")),CHAR(96),_xlfn.CONCAT(CHAR(92),CHAR(96))),CHAR(34),CHAR(39))))</f>
        <v/>
      </c>
      <c r="U786" s="5">
        <f t="shared" si="23"/>
        <v>0</v>
      </c>
    </row>
    <row r="787" spans="3:21" ht="30" customHeight="1" x14ac:dyDescent="0.2">
      <c r="C787" s="4"/>
      <c r="K787" s="5">
        <f t="shared" si="22"/>
        <v>0</v>
      </c>
      <c r="L787" s="5" t="str">
        <f>IF(OR(TRIM($B787)="",$A787=""),"",IF(OR(ISNUMBER(SEARCH(_xlfn.CONCAT(CHAR(96),CHAR(34)),$A787)),ISNUMBER(SEARCH(_xlfn.CONCAT(CHAR(34),CHAR(39)),$A787))),_xlfn.CONCAT("* REVIEW REQUIRED: compound-quote delimiter in Codebook Section on Sheet 1 row ",787,"; edit the input before running."),_xlfn.CONCAT("char ",TRIM($B787),"[doc_section] ",CHAR(96),CHAR(34),SUBSTITUTE(SUBSTITUTE(SUBSTITUTE(SUBSTITUTE(SUBSTITUTE(SUBSTITUTE($A787,CHAR(13)," "),CHAR(10)," "),CHAR(9)," "),CHAR(92),_xlfn.CONCAT(CHAR(92),CHAR(92))),"$",_xlfn.CONCAT(CHAR(92),"$")),CHAR(96),_xlfn.CONCAT(CHAR(92),CHAR(96))),CHAR(34),CHAR(39))))</f>
        <v/>
      </c>
      <c r="M787" s="5" t="str">
        <f>IF(OR(TRIM($B787)="",$C787=""),"",IF(IFERROR(MATCH(TRIM($C787),{"Quantitative","Continuous","Discrete","Categorical","Nominal","Ordinal","Identifier"},0),0)=0,_xlfn.CONCAT("* REVIEW REQUIRED: invalid Variable Type on Sheet 1 row ",787,"."),_xlfn.CONCAT("char ",TRIM($B787),"[doc_vartype] ",CHAR(96),CHAR(34),SUBSTITUTE(SUBSTITUTE(SUBSTITUTE(SUBSTITUTE(SUBSTITUTE(SUBSTITUTE(LOWER(TRIM($C787)),CHAR(13)," "),CHAR(10)," "),CHAR(9)," "),CHAR(92),_xlfn.CONCAT(CHAR(92),CHAR(92))),"$",_xlfn.CONCAT(CHAR(92),"$")),CHAR(96),_xlfn.CONCAT(CHAR(92),CHAR(96))),CHAR(34),CHAR(39))))</f>
        <v/>
      </c>
      <c r="N787" s="5" t="str">
        <f>IF(OR(TRIM($B787)="",$D787=""),"",IF(OR(ISNUMBER(SEARCH(_xlfn.CONCAT(CHAR(96),CHAR(34)),$D787)),ISNUMBER(SEARCH(_xlfn.CONCAT(CHAR(34),CHAR(39)),$D787))),_xlfn.CONCAT("* REVIEW REQUIRED: compound-quote delimiter in Item Number on Sheet 1 row ",787,"; edit the input before running."),_xlfn.CONCAT("char ",TRIM($B787),"[doc_itemnum] ",CHAR(96),CHAR(34),SUBSTITUTE(SUBSTITUTE(SUBSTITUTE(SUBSTITUTE(SUBSTITUTE(SUBSTITUTE($D787,CHAR(13)," "),CHAR(10)," "),CHAR(9)," "),CHAR(92),_xlfn.CONCAT(CHAR(92),CHAR(92))),"$",_xlfn.CONCAT(CHAR(92),"$")),CHAR(96),_xlfn.CONCAT(CHAR(92),CHAR(96))),CHAR(34),CHAR(39))))</f>
        <v/>
      </c>
      <c r="O787" s="5" t="str">
        <f>IF(OR(TRIM($B787)="",$E787=""),"",IF(OR(ISNUMBER(SEARCH(_xlfn.CONCAT(CHAR(96),CHAR(34)),$E787)),ISNUMBER(SEARCH(_xlfn.CONCAT(CHAR(34),CHAR(39)),$E787))),_xlfn.CONCAT("* REVIEW REQUIRED: compound-quote delimiter in Question Wording on Sheet 1 row ",787,"; edit the input before running."),_xlfn.CONCAT("char ",TRIM($B787),"[doc_question] ",CHAR(96),CHAR(34),SUBSTITUTE(SUBSTITUTE(SUBSTITUTE(SUBSTITUTE(SUBSTITUTE(SUBSTITUTE($E787,CHAR(13)," "),CHAR(10)," "),CHAR(9)," "),CHAR(92),_xlfn.CONCAT(CHAR(92),CHAR(92))),"$",_xlfn.CONCAT(CHAR(92),"$")),CHAR(96),_xlfn.CONCAT(CHAR(92),CHAR(96))),CHAR(34),CHAR(39))))</f>
        <v/>
      </c>
      <c r="P787" s="5" t="str">
        <f>IF(OR(TRIM($B787)="",$F787=""),"",IF(OR(ISNUMBER(SEARCH(_xlfn.CONCAT(CHAR(96),CHAR(34)),$F787)),ISNUMBER(SEARCH(_xlfn.CONCAT(CHAR(34),CHAR(39)),$F787))),_xlfn.CONCAT("* REVIEW REQUIRED: compound-quote delimiter in Units on Sheet 1 row ",787,"; edit the input before running."),_xlfn.CONCAT("char ",TRIM($B787),"[doc_units] ",CHAR(96),CHAR(34),SUBSTITUTE(SUBSTITUTE(SUBSTITUTE(SUBSTITUTE(SUBSTITUTE(SUBSTITUTE($F787,CHAR(13)," "),CHAR(10)," "),CHAR(9)," "),CHAR(92),_xlfn.CONCAT(CHAR(92),CHAR(92))),"$",_xlfn.CONCAT(CHAR(92),"$")),CHAR(96),_xlfn.CONCAT(CHAR(92),CHAR(96))),CHAR(34),CHAR(39))))</f>
        <v/>
      </c>
      <c r="Q787" s="5" t="str">
        <f>IF(OR(TRIM($B787)="",$G787=""),"",IF(OR(ISNUMBER(SEARCH(_xlfn.CONCAT(CHAR(96),CHAR(34)),$G787)),ISNUMBER(SEARCH(_xlfn.CONCAT(CHAR(34),CHAR(39)),$G787))),_xlfn.CONCAT("* REVIEW REQUIRED: compound-quote delimiter in Universe on Sheet 1 row ",787,"; edit the input before running."),_xlfn.CONCAT("char ",TRIM($B787),"[doc_universe] ",CHAR(96),CHAR(34),SUBSTITUTE(SUBSTITUTE(SUBSTITUTE(SUBSTITUTE(SUBSTITUTE(SUBSTITUTE($G787,CHAR(13)," "),CHAR(10)," "),CHAR(9)," "),CHAR(92),_xlfn.CONCAT(CHAR(92),CHAR(92))),"$",_xlfn.CONCAT(CHAR(92),"$")),CHAR(96),_xlfn.CONCAT(CHAR(92),CHAR(96))),CHAR(34),CHAR(39))))</f>
        <v/>
      </c>
      <c r="R787" s="5" t="str">
        <f>IF(OR(TRIM($B787)="",$H787=""),"",IF(OR(ISNUMBER(SEARCH(_xlfn.CONCAT(CHAR(96),CHAR(34)),$H787)),ISNUMBER(SEARCH(_xlfn.CONCAT(CHAR(34),CHAR(39)),$H787))),_xlfn.CONCAT("* REVIEW REQUIRED: compound-quote delimiter in Source on Sheet 1 row ",787,"; edit the input before running."),_xlfn.CONCAT("char ",TRIM($B787),"[doc_source] ",CHAR(96),CHAR(34),SUBSTITUTE(SUBSTITUTE(SUBSTITUTE(SUBSTITUTE(SUBSTITUTE(SUBSTITUTE($H787,CHAR(13)," "),CHAR(10)," "),CHAR(9)," "),CHAR(92),_xlfn.CONCAT(CHAR(92),CHAR(92))),"$",_xlfn.CONCAT(CHAR(92),"$")),CHAR(96),_xlfn.CONCAT(CHAR(92),CHAR(96))),CHAR(34),CHAR(39))))</f>
        <v/>
      </c>
      <c r="S787" s="5" t="str">
        <f>IF(OR(TRIM($B787)="",$I787=""),"",IF(OR(ISNUMBER(SEARCH(_xlfn.CONCAT(CHAR(96),CHAR(34)),$I787)),ISNUMBER(SEARCH(_xlfn.CONCAT(CHAR(34),CHAR(39)),$I787))),_xlfn.CONCAT("* REVIEW REQUIRED: compound-quote delimiter in Derivation on Sheet 1 row ",787,"; edit the input before running."),_xlfn.CONCAT("char ",TRIM($B787),"[doc_derivation] ",CHAR(96),CHAR(34),SUBSTITUTE(SUBSTITUTE(SUBSTITUTE(SUBSTITUTE(SUBSTITUTE(SUBSTITUTE($I787,CHAR(13)," "),CHAR(10)," "),CHAR(9)," "),CHAR(92),_xlfn.CONCAT(CHAR(92),CHAR(92))),"$",_xlfn.CONCAT(CHAR(92),"$")),CHAR(96),_xlfn.CONCAT(CHAR(92),CHAR(96))),CHAR(34),CHAR(39))))</f>
        <v/>
      </c>
      <c r="T787" s="5" t="str">
        <f>IF(OR(TRIM($B787)="",$J787=""),"",IF(OR(ISNUMBER(SEARCH(_xlfn.CONCAT(CHAR(96),CHAR(34)),$J787)),ISNUMBER(SEARCH(_xlfn.CONCAT(CHAR(34),CHAR(39)),$J787))),_xlfn.CONCAT("* REVIEW REQUIRED: compound-quote delimiter in Notes on Sheet 1 row ",787,"; edit the input before running."),_xlfn.CONCAT("char ",TRIM($B787),"[doc_notes] ",CHAR(96),CHAR(34),SUBSTITUTE(SUBSTITUTE(SUBSTITUTE(SUBSTITUTE(SUBSTITUTE(SUBSTITUTE($J787,CHAR(13)," "),CHAR(10)," "),CHAR(9)," "),CHAR(92),_xlfn.CONCAT(CHAR(92),CHAR(92))),"$",_xlfn.CONCAT(CHAR(92),"$")),CHAR(96),_xlfn.CONCAT(CHAR(92),CHAR(96))),CHAR(34),CHAR(39))))</f>
        <v/>
      </c>
      <c r="U787" s="5">
        <f t="shared" si="23"/>
        <v>0</v>
      </c>
    </row>
    <row r="788" spans="3:21" ht="30" customHeight="1" x14ac:dyDescent="0.2">
      <c r="C788" s="4"/>
      <c r="K788" s="5">
        <f t="shared" ref="K788:K851" si="24">COUNTIF(L788:T788,"?*")</f>
        <v>0</v>
      </c>
      <c r="L788" s="5" t="str">
        <f>IF(OR(TRIM($B788)="",$A788=""),"",IF(OR(ISNUMBER(SEARCH(_xlfn.CONCAT(CHAR(96),CHAR(34)),$A788)),ISNUMBER(SEARCH(_xlfn.CONCAT(CHAR(34),CHAR(39)),$A788))),_xlfn.CONCAT("* REVIEW REQUIRED: compound-quote delimiter in Codebook Section on Sheet 1 row ",788,"; edit the input before running."),_xlfn.CONCAT("char ",TRIM($B788),"[doc_section] ",CHAR(96),CHAR(34),SUBSTITUTE(SUBSTITUTE(SUBSTITUTE(SUBSTITUTE(SUBSTITUTE(SUBSTITUTE($A788,CHAR(13)," "),CHAR(10)," "),CHAR(9)," "),CHAR(92),_xlfn.CONCAT(CHAR(92),CHAR(92))),"$",_xlfn.CONCAT(CHAR(92),"$")),CHAR(96),_xlfn.CONCAT(CHAR(92),CHAR(96))),CHAR(34),CHAR(39))))</f>
        <v/>
      </c>
      <c r="M788" s="5" t="str">
        <f>IF(OR(TRIM($B788)="",$C788=""),"",IF(IFERROR(MATCH(TRIM($C788),{"Quantitative","Continuous","Discrete","Categorical","Nominal","Ordinal","Identifier"},0),0)=0,_xlfn.CONCAT("* REVIEW REQUIRED: invalid Variable Type on Sheet 1 row ",788,"."),_xlfn.CONCAT("char ",TRIM($B788),"[doc_vartype] ",CHAR(96),CHAR(34),SUBSTITUTE(SUBSTITUTE(SUBSTITUTE(SUBSTITUTE(SUBSTITUTE(SUBSTITUTE(LOWER(TRIM($C788)),CHAR(13)," "),CHAR(10)," "),CHAR(9)," "),CHAR(92),_xlfn.CONCAT(CHAR(92),CHAR(92))),"$",_xlfn.CONCAT(CHAR(92),"$")),CHAR(96),_xlfn.CONCAT(CHAR(92),CHAR(96))),CHAR(34),CHAR(39))))</f>
        <v/>
      </c>
      <c r="N788" s="5" t="str">
        <f>IF(OR(TRIM($B788)="",$D788=""),"",IF(OR(ISNUMBER(SEARCH(_xlfn.CONCAT(CHAR(96),CHAR(34)),$D788)),ISNUMBER(SEARCH(_xlfn.CONCAT(CHAR(34),CHAR(39)),$D788))),_xlfn.CONCAT("* REVIEW REQUIRED: compound-quote delimiter in Item Number on Sheet 1 row ",788,"; edit the input before running."),_xlfn.CONCAT("char ",TRIM($B788),"[doc_itemnum] ",CHAR(96),CHAR(34),SUBSTITUTE(SUBSTITUTE(SUBSTITUTE(SUBSTITUTE(SUBSTITUTE(SUBSTITUTE($D788,CHAR(13)," "),CHAR(10)," "),CHAR(9)," "),CHAR(92),_xlfn.CONCAT(CHAR(92),CHAR(92))),"$",_xlfn.CONCAT(CHAR(92),"$")),CHAR(96),_xlfn.CONCAT(CHAR(92),CHAR(96))),CHAR(34),CHAR(39))))</f>
        <v/>
      </c>
      <c r="O788" s="5" t="str">
        <f>IF(OR(TRIM($B788)="",$E788=""),"",IF(OR(ISNUMBER(SEARCH(_xlfn.CONCAT(CHAR(96),CHAR(34)),$E788)),ISNUMBER(SEARCH(_xlfn.CONCAT(CHAR(34),CHAR(39)),$E788))),_xlfn.CONCAT("* REVIEW REQUIRED: compound-quote delimiter in Question Wording on Sheet 1 row ",788,"; edit the input before running."),_xlfn.CONCAT("char ",TRIM($B788),"[doc_question] ",CHAR(96),CHAR(34),SUBSTITUTE(SUBSTITUTE(SUBSTITUTE(SUBSTITUTE(SUBSTITUTE(SUBSTITUTE($E788,CHAR(13)," "),CHAR(10)," "),CHAR(9)," "),CHAR(92),_xlfn.CONCAT(CHAR(92),CHAR(92))),"$",_xlfn.CONCAT(CHAR(92),"$")),CHAR(96),_xlfn.CONCAT(CHAR(92),CHAR(96))),CHAR(34),CHAR(39))))</f>
        <v/>
      </c>
      <c r="P788" s="5" t="str">
        <f>IF(OR(TRIM($B788)="",$F788=""),"",IF(OR(ISNUMBER(SEARCH(_xlfn.CONCAT(CHAR(96),CHAR(34)),$F788)),ISNUMBER(SEARCH(_xlfn.CONCAT(CHAR(34),CHAR(39)),$F788))),_xlfn.CONCAT("* REVIEW REQUIRED: compound-quote delimiter in Units on Sheet 1 row ",788,"; edit the input before running."),_xlfn.CONCAT("char ",TRIM($B788),"[doc_units] ",CHAR(96),CHAR(34),SUBSTITUTE(SUBSTITUTE(SUBSTITUTE(SUBSTITUTE(SUBSTITUTE(SUBSTITUTE($F788,CHAR(13)," "),CHAR(10)," "),CHAR(9)," "),CHAR(92),_xlfn.CONCAT(CHAR(92),CHAR(92))),"$",_xlfn.CONCAT(CHAR(92),"$")),CHAR(96),_xlfn.CONCAT(CHAR(92),CHAR(96))),CHAR(34),CHAR(39))))</f>
        <v/>
      </c>
      <c r="Q788" s="5" t="str">
        <f>IF(OR(TRIM($B788)="",$G788=""),"",IF(OR(ISNUMBER(SEARCH(_xlfn.CONCAT(CHAR(96),CHAR(34)),$G788)),ISNUMBER(SEARCH(_xlfn.CONCAT(CHAR(34),CHAR(39)),$G788))),_xlfn.CONCAT("* REVIEW REQUIRED: compound-quote delimiter in Universe on Sheet 1 row ",788,"; edit the input before running."),_xlfn.CONCAT("char ",TRIM($B788),"[doc_universe] ",CHAR(96),CHAR(34),SUBSTITUTE(SUBSTITUTE(SUBSTITUTE(SUBSTITUTE(SUBSTITUTE(SUBSTITUTE($G788,CHAR(13)," "),CHAR(10)," "),CHAR(9)," "),CHAR(92),_xlfn.CONCAT(CHAR(92),CHAR(92))),"$",_xlfn.CONCAT(CHAR(92),"$")),CHAR(96),_xlfn.CONCAT(CHAR(92),CHAR(96))),CHAR(34),CHAR(39))))</f>
        <v/>
      </c>
      <c r="R788" s="5" t="str">
        <f>IF(OR(TRIM($B788)="",$H788=""),"",IF(OR(ISNUMBER(SEARCH(_xlfn.CONCAT(CHAR(96),CHAR(34)),$H788)),ISNUMBER(SEARCH(_xlfn.CONCAT(CHAR(34),CHAR(39)),$H788))),_xlfn.CONCAT("* REVIEW REQUIRED: compound-quote delimiter in Source on Sheet 1 row ",788,"; edit the input before running."),_xlfn.CONCAT("char ",TRIM($B788),"[doc_source] ",CHAR(96),CHAR(34),SUBSTITUTE(SUBSTITUTE(SUBSTITUTE(SUBSTITUTE(SUBSTITUTE(SUBSTITUTE($H788,CHAR(13)," "),CHAR(10)," "),CHAR(9)," "),CHAR(92),_xlfn.CONCAT(CHAR(92),CHAR(92))),"$",_xlfn.CONCAT(CHAR(92),"$")),CHAR(96),_xlfn.CONCAT(CHAR(92),CHAR(96))),CHAR(34),CHAR(39))))</f>
        <v/>
      </c>
      <c r="S788" s="5" t="str">
        <f>IF(OR(TRIM($B788)="",$I788=""),"",IF(OR(ISNUMBER(SEARCH(_xlfn.CONCAT(CHAR(96),CHAR(34)),$I788)),ISNUMBER(SEARCH(_xlfn.CONCAT(CHAR(34),CHAR(39)),$I788))),_xlfn.CONCAT("* REVIEW REQUIRED: compound-quote delimiter in Derivation on Sheet 1 row ",788,"; edit the input before running."),_xlfn.CONCAT("char ",TRIM($B788),"[doc_derivation] ",CHAR(96),CHAR(34),SUBSTITUTE(SUBSTITUTE(SUBSTITUTE(SUBSTITUTE(SUBSTITUTE(SUBSTITUTE($I788,CHAR(13)," "),CHAR(10)," "),CHAR(9)," "),CHAR(92),_xlfn.CONCAT(CHAR(92),CHAR(92))),"$",_xlfn.CONCAT(CHAR(92),"$")),CHAR(96),_xlfn.CONCAT(CHAR(92),CHAR(96))),CHAR(34),CHAR(39))))</f>
        <v/>
      </c>
      <c r="T788" s="5" t="str">
        <f>IF(OR(TRIM($B788)="",$J788=""),"",IF(OR(ISNUMBER(SEARCH(_xlfn.CONCAT(CHAR(96),CHAR(34)),$J788)),ISNUMBER(SEARCH(_xlfn.CONCAT(CHAR(34),CHAR(39)),$J788))),_xlfn.CONCAT("* REVIEW REQUIRED: compound-quote delimiter in Notes on Sheet 1 row ",788,"; edit the input before running."),_xlfn.CONCAT("char ",TRIM($B788),"[doc_notes] ",CHAR(96),CHAR(34),SUBSTITUTE(SUBSTITUTE(SUBSTITUTE(SUBSTITUTE(SUBSTITUTE(SUBSTITUTE($J788,CHAR(13)," "),CHAR(10)," "),CHAR(9)," "),CHAR(92),_xlfn.CONCAT(CHAR(92),CHAR(92))),"$",_xlfn.CONCAT(CHAR(92),"$")),CHAR(96),_xlfn.CONCAT(CHAR(92),CHAR(96))),CHAR(34),CHAR(39))))</f>
        <v/>
      </c>
      <c r="U788" s="5">
        <f t="shared" ref="U788:U851" si="25">COUNTIF(L788:T788,"*REVIEW REQUIRED*")</f>
        <v>0</v>
      </c>
    </row>
    <row r="789" spans="3:21" ht="30" customHeight="1" x14ac:dyDescent="0.2">
      <c r="C789" s="4"/>
      <c r="K789" s="5">
        <f t="shared" si="24"/>
        <v>0</v>
      </c>
      <c r="L789" s="5" t="str">
        <f>IF(OR(TRIM($B789)="",$A789=""),"",IF(OR(ISNUMBER(SEARCH(_xlfn.CONCAT(CHAR(96),CHAR(34)),$A789)),ISNUMBER(SEARCH(_xlfn.CONCAT(CHAR(34),CHAR(39)),$A789))),_xlfn.CONCAT("* REVIEW REQUIRED: compound-quote delimiter in Codebook Section on Sheet 1 row ",789,"; edit the input before running."),_xlfn.CONCAT("char ",TRIM($B789),"[doc_section] ",CHAR(96),CHAR(34),SUBSTITUTE(SUBSTITUTE(SUBSTITUTE(SUBSTITUTE(SUBSTITUTE(SUBSTITUTE($A789,CHAR(13)," "),CHAR(10)," "),CHAR(9)," "),CHAR(92),_xlfn.CONCAT(CHAR(92),CHAR(92))),"$",_xlfn.CONCAT(CHAR(92),"$")),CHAR(96),_xlfn.CONCAT(CHAR(92),CHAR(96))),CHAR(34),CHAR(39))))</f>
        <v/>
      </c>
      <c r="M789" s="5" t="str">
        <f>IF(OR(TRIM($B789)="",$C789=""),"",IF(IFERROR(MATCH(TRIM($C789),{"Quantitative","Continuous","Discrete","Categorical","Nominal","Ordinal","Identifier"},0),0)=0,_xlfn.CONCAT("* REVIEW REQUIRED: invalid Variable Type on Sheet 1 row ",789,"."),_xlfn.CONCAT("char ",TRIM($B789),"[doc_vartype] ",CHAR(96),CHAR(34),SUBSTITUTE(SUBSTITUTE(SUBSTITUTE(SUBSTITUTE(SUBSTITUTE(SUBSTITUTE(LOWER(TRIM($C789)),CHAR(13)," "),CHAR(10)," "),CHAR(9)," "),CHAR(92),_xlfn.CONCAT(CHAR(92),CHAR(92))),"$",_xlfn.CONCAT(CHAR(92),"$")),CHAR(96),_xlfn.CONCAT(CHAR(92),CHAR(96))),CHAR(34),CHAR(39))))</f>
        <v/>
      </c>
      <c r="N789" s="5" t="str">
        <f>IF(OR(TRIM($B789)="",$D789=""),"",IF(OR(ISNUMBER(SEARCH(_xlfn.CONCAT(CHAR(96),CHAR(34)),$D789)),ISNUMBER(SEARCH(_xlfn.CONCAT(CHAR(34),CHAR(39)),$D789))),_xlfn.CONCAT("* REVIEW REQUIRED: compound-quote delimiter in Item Number on Sheet 1 row ",789,"; edit the input before running."),_xlfn.CONCAT("char ",TRIM($B789),"[doc_itemnum] ",CHAR(96),CHAR(34),SUBSTITUTE(SUBSTITUTE(SUBSTITUTE(SUBSTITUTE(SUBSTITUTE(SUBSTITUTE($D789,CHAR(13)," "),CHAR(10)," "),CHAR(9)," "),CHAR(92),_xlfn.CONCAT(CHAR(92),CHAR(92))),"$",_xlfn.CONCAT(CHAR(92),"$")),CHAR(96),_xlfn.CONCAT(CHAR(92),CHAR(96))),CHAR(34),CHAR(39))))</f>
        <v/>
      </c>
      <c r="O789" s="5" t="str">
        <f>IF(OR(TRIM($B789)="",$E789=""),"",IF(OR(ISNUMBER(SEARCH(_xlfn.CONCAT(CHAR(96),CHAR(34)),$E789)),ISNUMBER(SEARCH(_xlfn.CONCAT(CHAR(34),CHAR(39)),$E789))),_xlfn.CONCAT("* REVIEW REQUIRED: compound-quote delimiter in Question Wording on Sheet 1 row ",789,"; edit the input before running."),_xlfn.CONCAT("char ",TRIM($B789),"[doc_question] ",CHAR(96),CHAR(34),SUBSTITUTE(SUBSTITUTE(SUBSTITUTE(SUBSTITUTE(SUBSTITUTE(SUBSTITUTE($E789,CHAR(13)," "),CHAR(10)," "),CHAR(9)," "),CHAR(92),_xlfn.CONCAT(CHAR(92),CHAR(92))),"$",_xlfn.CONCAT(CHAR(92),"$")),CHAR(96),_xlfn.CONCAT(CHAR(92),CHAR(96))),CHAR(34),CHAR(39))))</f>
        <v/>
      </c>
      <c r="P789" s="5" t="str">
        <f>IF(OR(TRIM($B789)="",$F789=""),"",IF(OR(ISNUMBER(SEARCH(_xlfn.CONCAT(CHAR(96),CHAR(34)),$F789)),ISNUMBER(SEARCH(_xlfn.CONCAT(CHAR(34),CHAR(39)),$F789))),_xlfn.CONCAT("* REVIEW REQUIRED: compound-quote delimiter in Units on Sheet 1 row ",789,"; edit the input before running."),_xlfn.CONCAT("char ",TRIM($B789),"[doc_units] ",CHAR(96),CHAR(34),SUBSTITUTE(SUBSTITUTE(SUBSTITUTE(SUBSTITUTE(SUBSTITUTE(SUBSTITUTE($F789,CHAR(13)," "),CHAR(10)," "),CHAR(9)," "),CHAR(92),_xlfn.CONCAT(CHAR(92),CHAR(92))),"$",_xlfn.CONCAT(CHAR(92),"$")),CHAR(96),_xlfn.CONCAT(CHAR(92),CHAR(96))),CHAR(34),CHAR(39))))</f>
        <v/>
      </c>
      <c r="Q789" s="5" t="str">
        <f>IF(OR(TRIM($B789)="",$G789=""),"",IF(OR(ISNUMBER(SEARCH(_xlfn.CONCAT(CHAR(96),CHAR(34)),$G789)),ISNUMBER(SEARCH(_xlfn.CONCAT(CHAR(34),CHAR(39)),$G789))),_xlfn.CONCAT("* REVIEW REQUIRED: compound-quote delimiter in Universe on Sheet 1 row ",789,"; edit the input before running."),_xlfn.CONCAT("char ",TRIM($B789),"[doc_universe] ",CHAR(96),CHAR(34),SUBSTITUTE(SUBSTITUTE(SUBSTITUTE(SUBSTITUTE(SUBSTITUTE(SUBSTITUTE($G789,CHAR(13)," "),CHAR(10)," "),CHAR(9)," "),CHAR(92),_xlfn.CONCAT(CHAR(92),CHAR(92))),"$",_xlfn.CONCAT(CHAR(92),"$")),CHAR(96),_xlfn.CONCAT(CHAR(92),CHAR(96))),CHAR(34),CHAR(39))))</f>
        <v/>
      </c>
      <c r="R789" s="5" t="str">
        <f>IF(OR(TRIM($B789)="",$H789=""),"",IF(OR(ISNUMBER(SEARCH(_xlfn.CONCAT(CHAR(96),CHAR(34)),$H789)),ISNUMBER(SEARCH(_xlfn.CONCAT(CHAR(34),CHAR(39)),$H789))),_xlfn.CONCAT("* REVIEW REQUIRED: compound-quote delimiter in Source on Sheet 1 row ",789,"; edit the input before running."),_xlfn.CONCAT("char ",TRIM($B789),"[doc_source] ",CHAR(96),CHAR(34),SUBSTITUTE(SUBSTITUTE(SUBSTITUTE(SUBSTITUTE(SUBSTITUTE(SUBSTITUTE($H789,CHAR(13)," "),CHAR(10)," "),CHAR(9)," "),CHAR(92),_xlfn.CONCAT(CHAR(92),CHAR(92))),"$",_xlfn.CONCAT(CHAR(92),"$")),CHAR(96),_xlfn.CONCAT(CHAR(92),CHAR(96))),CHAR(34),CHAR(39))))</f>
        <v/>
      </c>
      <c r="S789" s="5" t="str">
        <f>IF(OR(TRIM($B789)="",$I789=""),"",IF(OR(ISNUMBER(SEARCH(_xlfn.CONCAT(CHAR(96),CHAR(34)),$I789)),ISNUMBER(SEARCH(_xlfn.CONCAT(CHAR(34),CHAR(39)),$I789))),_xlfn.CONCAT("* REVIEW REQUIRED: compound-quote delimiter in Derivation on Sheet 1 row ",789,"; edit the input before running."),_xlfn.CONCAT("char ",TRIM($B789),"[doc_derivation] ",CHAR(96),CHAR(34),SUBSTITUTE(SUBSTITUTE(SUBSTITUTE(SUBSTITUTE(SUBSTITUTE(SUBSTITUTE($I789,CHAR(13)," "),CHAR(10)," "),CHAR(9)," "),CHAR(92),_xlfn.CONCAT(CHAR(92),CHAR(92))),"$",_xlfn.CONCAT(CHAR(92),"$")),CHAR(96),_xlfn.CONCAT(CHAR(92),CHAR(96))),CHAR(34),CHAR(39))))</f>
        <v/>
      </c>
      <c r="T789" s="5" t="str">
        <f>IF(OR(TRIM($B789)="",$J789=""),"",IF(OR(ISNUMBER(SEARCH(_xlfn.CONCAT(CHAR(96),CHAR(34)),$J789)),ISNUMBER(SEARCH(_xlfn.CONCAT(CHAR(34),CHAR(39)),$J789))),_xlfn.CONCAT("* REVIEW REQUIRED: compound-quote delimiter in Notes on Sheet 1 row ",789,"; edit the input before running."),_xlfn.CONCAT("char ",TRIM($B789),"[doc_notes] ",CHAR(96),CHAR(34),SUBSTITUTE(SUBSTITUTE(SUBSTITUTE(SUBSTITUTE(SUBSTITUTE(SUBSTITUTE($J789,CHAR(13)," "),CHAR(10)," "),CHAR(9)," "),CHAR(92),_xlfn.CONCAT(CHAR(92),CHAR(92))),"$",_xlfn.CONCAT(CHAR(92),"$")),CHAR(96),_xlfn.CONCAT(CHAR(92),CHAR(96))),CHAR(34),CHAR(39))))</f>
        <v/>
      </c>
      <c r="U789" s="5">
        <f t="shared" si="25"/>
        <v>0</v>
      </c>
    </row>
    <row r="790" spans="3:21" ht="30" customHeight="1" x14ac:dyDescent="0.2">
      <c r="C790" s="4"/>
      <c r="K790" s="5">
        <f t="shared" si="24"/>
        <v>0</v>
      </c>
      <c r="L790" s="5" t="str">
        <f>IF(OR(TRIM($B790)="",$A790=""),"",IF(OR(ISNUMBER(SEARCH(_xlfn.CONCAT(CHAR(96),CHAR(34)),$A790)),ISNUMBER(SEARCH(_xlfn.CONCAT(CHAR(34),CHAR(39)),$A790))),_xlfn.CONCAT("* REVIEW REQUIRED: compound-quote delimiter in Codebook Section on Sheet 1 row ",790,"; edit the input before running."),_xlfn.CONCAT("char ",TRIM($B790),"[doc_section] ",CHAR(96),CHAR(34),SUBSTITUTE(SUBSTITUTE(SUBSTITUTE(SUBSTITUTE(SUBSTITUTE(SUBSTITUTE($A790,CHAR(13)," "),CHAR(10)," "),CHAR(9)," "),CHAR(92),_xlfn.CONCAT(CHAR(92),CHAR(92))),"$",_xlfn.CONCAT(CHAR(92),"$")),CHAR(96),_xlfn.CONCAT(CHAR(92),CHAR(96))),CHAR(34),CHAR(39))))</f>
        <v/>
      </c>
      <c r="M790" s="5" t="str">
        <f>IF(OR(TRIM($B790)="",$C790=""),"",IF(IFERROR(MATCH(TRIM($C790),{"Quantitative","Continuous","Discrete","Categorical","Nominal","Ordinal","Identifier"},0),0)=0,_xlfn.CONCAT("* REVIEW REQUIRED: invalid Variable Type on Sheet 1 row ",790,"."),_xlfn.CONCAT("char ",TRIM($B790),"[doc_vartype] ",CHAR(96),CHAR(34),SUBSTITUTE(SUBSTITUTE(SUBSTITUTE(SUBSTITUTE(SUBSTITUTE(SUBSTITUTE(LOWER(TRIM($C790)),CHAR(13)," "),CHAR(10)," "),CHAR(9)," "),CHAR(92),_xlfn.CONCAT(CHAR(92),CHAR(92))),"$",_xlfn.CONCAT(CHAR(92),"$")),CHAR(96),_xlfn.CONCAT(CHAR(92),CHAR(96))),CHAR(34),CHAR(39))))</f>
        <v/>
      </c>
      <c r="N790" s="5" t="str">
        <f>IF(OR(TRIM($B790)="",$D790=""),"",IF(OR(ISNUMBER(SEARCH(_xlfn.CONCAT(CHAR(96),CHAR(34)),$D790)),ISNUMBER(SEARCH(_xlfn.CONCAT(CHAR(34),CHAR(39)),$D790))),_xlfn.CONCAT("* REVIEW REQUIRED: compound-quote delimiter in Item Number on Sheet 1 row ",790,"; edit the input before running."),_xlfn.CONCAT("char ",TRIM($B790),"[doc_itemnum] ",CHAR(96),CHAR(34),SUBSTITUTE(SUBSTITUTE(SUBSTITUTE(SUBSTITUTE(SUBSTITUTE(SUBSTITUTE($D790,CHAR(13)," "),CHAR(10)," "),CHAR(9)," "),CHAR(92),_xlfn.CONCAT(CHAR(92),CHAR(92))),"$",_xlfn.CONCAT(CHAR(92),"$")),CHAR(96),_xlfn.CONCAT(CHAR(92),CHAR(96))),CHAR(34),CHAR(39))))</f>
        <v/>
      </c>
      <c r="O790" s="5" t="str">
        <f>IF(OR(TRIM($B790)="",$E790=""),"",IF(OR(ISNUMBER(SEARCH(_xlfn.CONCAT(CHAR(96),CHAR(34)),$E790)),ISNUMBER(SEARCH(_xlfn.CONCAT(CHAR(34),CHAR(39)),$E790))),_xlfn.CONCAT("* REVIEW REQUIRED: compound-quote delimiter in Question Wording on Sheet 1 row ",790,"; edit the input before running."),_xlfn.CONCAT("char ",TRIM($B790),"[doc_question] ",CHAR(96),CHAR(34),SUBSTITUTE(SUBSTITUTE(SUBSTITUTE(SUBSTITUTE(SUBSTITUTE(SUBSTITUTE($E790,CHAR(13)," "),CHAR(10)," "),CHAR(9)," "),CHAR(92),_xlfn.CONCAT(CHAR(92),CHAR(92))),"$",_xlfn.CONCAT(CHAR(92),"$")),CHAR(96),_xlfn.CONCAT(CHAR(92),CHAR(96))),CHAR(34),CHAR(39))))</f>
        <v/>
      </c>
      <c r="P790" s="5" t="str">
        <f>IF(OR(TRIM($B790)="",$F790=""),"",IF(OR(ISNUMBER(SEARCH(_xlfn.CONCAT(CHAR(96),CHAR(34)),$F790)),ISNUMBER(SEARCH(_xlfn.CONCAT(CHAR(34),CHAR(39)),$F790))),_xlfn.CONCAT("* REVIEW REQUIRED: compound-quote delimiter in Units on Sheet 1 row ",790,"; edit the input before running."),_xlfn.CONCAT("char ",TRIM($B790),"[doc_units] ",CHAR(96),CHAR(34),SUBSTITUTE(SUBSTITUTE(SUBSTITUTE(SUBSTITUTE(SUBSTITUTE(SUBSTITUTE($F790,CHAR(13)," "),CHAR(10)," "),CHAR(9)," "),CHAR(92),_xlfn.CONCAT(CHAR(92),CHAR(92))),"$",_xlfn.CONCAT(CHAR(92),"$")),CHAR(96),_xlfn.CONCAT(CHAR(92),CHAR(96))),CHAR(34),CHAR(39))))</f>
        <v/>
      </c>
      <c r="Q790" s="5" t="str">
        <f>IF(OR(TRIM($B790)="",$G790=""),"",IF(OR(ISNUMBER(SEARCH(_xlfn.CONCAT(CHAR(96),CHAR(34)),$G790)),ISNUMBER(SEARCH(_xlfn.CONCAT(CHAR(34),CHAR(39)),$G790))),_xlfn.CONCAT("* REVIEW REQUIRED: compound-quote delimiter in Universe on Sheet 1 row ",790,"; edit the input before running."),_xlfn.CONCAT("char ",TRIM($B790),"[doc_universe] ",CHAR(96),CHAR(34),SUBSTITUTE(SUBSTITUTE(SUBSTITUTE(SUBSTITUTE(SUBSTITUTE(SUBSTITUTE($G790,CHAR(13)," "),CHAR(10)," "),CHAR(9)," "),CHAR(92),_xlfn.CONCAT(CHAR(92),CHAR(92))),"$",_xlfn.CONCAT(CHAR(92),"$")),CHAR(96),_xlfn.CONCAT(CHAR(92),CHAR(96))),CHAR(34),CHAR(39))))</f>
        <v/>
      </c>
      <c r="R790" s="5" t="str">
        <f>IF(OR(TRIM($B790)="",$H790=""),"",IF(OR(ISNUMBER(SEARCH(_xlfn.CONCAT(CHAR(96),CHAR(34)),$H790)),ISNUMBER(SEARCH(_xlfn.CONCAT(CHAR(34),CHAR(39)),$H790))),_xlfn.CONCAT("* REVIEW REQUIRED: compound-quote delimiter in Source on Sheet 1 row ",790,"; edit the input before running."),_xlfn.CONCAT("char ",TRIM($B790),"[doc_source] ",CHAR(96),CHAR(34),SUBSTITUTE(SUBSTITUTE(SUBSTITUTE(SUBSTITUTE(SUBSTITUTE(SUBSTITUTE($H790,CHAR(13)," "),CHAR(10)," "),CHAR(9)," "),CHAR(92),_xlfn.CONCAT(CHAR(92),CHAR(92))),"$",_xlfn.CONCAT(CHAR(92),"$")),CHAR(96),_xlfn.CONCAT(CHAR(92),CHAR(96))),CHAR(34),CHAR(39))))</f>
        <v/>
      </c>
      <c r="S790" s="5" t="str">
        <f>IF(OR(TRIM($B790)="",$I790=""),"",IF(OR(ISNUMBER(SEARCH(_xlfn.CONCAT(CHAR(96),CHAR(34)),$I790)),ISNUMBER(SEARCH(_xlfn.CONCAT(CHAR(34),CHAR(39)),$I790))),_xlfn.CONCAT("* REVIEW REQUIRED: compound-quote delimiter in Derivation on Sheet 1 row ",790,"; edit the input before running."),_xlfn.CONCAT("char ",TRIM($B790),"[doc_derivation] ",CHAR(96),CHAR(34),SUBSTITUTE(SUBSTITUTE(SUBSTITUTE(SUBSTITUTE(SUBSTITUTE(SUBSTITUTE($I790,CHAR(13)," "),CHAR(10)," "),CHAR(9)," "),CHAR(92),_xlfn.CONCAT(CHAR(92),CHAR(92))),"$",_xlfn.CONCAT(CHAR(92),"$")),CHAR(96),_xlfn.CONCAT(CHAR(92),CHAR(96))),CHAR(34),CHAR(39))))</f>
        <v/>
      </c>
      <c r="T790" s="5" t="str">
        <f>IF(OR(TRIM($B790)="",$J790=""),"",IF(OR(ISNUMBER(SEARCH(_xlfn.CONCAT(CHAR(96),CHAR(34)),$J790)),ISNUMBER(SEARCH(_xlfn.CONCAT(CHAR(34),CHAR(39)),$J790))),_xlfn.CONCAT("* REVIEW REQUIRED: compound-quote delimiter in Notes on Sheet 1 row ",790,"; edit the input before running."),_xlfn.CONCAT("char ",TRIM($B790),"[doc_notes] ",CHAR(96),CHAR(34),SUBSTITUTE(SUBSTITUTE(SUBSTITUTE(SUBSTITUTE(SUBSTITUTE(SUBSTITUTE($J790,CHAR(13)," "),CHAR(10)," "),CHAR(9)," "),CHAR(92),_xlfn.CONCAT(CHAR(92),CHAR(92))),"$",_xlfn.CONCAT(CHAR(92),"$")),CHAR(96),_xlfn.CONCAT(CHAR(92),CHAR(96))),CHAR(34),CHAR(39))))</f>
        <v/>
      </c>
      <c r="U790" s="5">
        <f t="shared" si="25"/>
        <v>0</v>
      </c>
    </row>
    <row r="791" spans="3:21" ht="30" customHeight="1" x14ac:dyDescent="0.2">
      <c r="C791" s="4"/>
      <c r="K791" s="5">
        <f t="shared" si="24"/>
        <v>0</v>
      </c>
      <c r="L791" s="5" t="str">
        <f>IF(OR(TRIM($B791)="",$A791=""),"",IF(OR(ISNUMBER(SEARCH(_xlfn.CONCAT(CHAR(96),CHAR(34)),$A791)),ISNUMBER(SEARCH(_xlfn.CONCAT(CHAR(34),CHAR(39)),$A791))),_xlfn.CONCAT("* REVIEW REQUIRED: compound-quote delimiter in Codebook Section on Sheet 1 row ",791,"; edit the input before running."),_xlfn.CONCAT("char ",TRIM($B791),"[doc_section] ",CHAR(96),CHAR(34),SUBSTITUTE(SUBSTITUTE(SUBSTITUTE(SUBSTITUTE(SUBSTITUTE(SUBSTITUTE($A791,CHAR(13)," "),CHAR(10)," "),CHAR(9)," "),CHAR(92),_xlfn.CONCAT(CHAR(92),CHAR(92))),"$",_xlfn.CONCAT(CHAR(92),"$")),CHAR(96),_xlfn.CONCAT(CHAR(92),CHAR(96))),CHAR(34),CHAR(39))))</f>
        <v/>
      </c>
      <c r="M791" s="5" t="str">
        <f>IF(OR(TRIM($B791)="",$C791=""),"",IF(IFERROR(MATCH(TRIM($C791),{"Quantitative","Continuous","Discrete","Categorical","Nominal","Ordinal","Identifier"},0),0)=0,_xlfn.CONCAT("* REVIEW REQUIRED: invalid Variable Type on Sheet 1 row ",791,"."),_xlfn.CONCAT("char ",TRIM($B791),"[doc_vartype] ",CHAR(96),CHAR(34),SUBSTITUTE(SUBSTITUTE(SUBSTITUTE(SUBSTITUTE(SUBSTITUTE(SUBSTITUTE(LOWER(TRIM($C791)),CHAR(13)," "),CHAR(10)," "),CHAR(9)," "),CHAR(92),_xlfn.CONCAT(CHAR(92),CHAR(92))),"$",_xlfn.CONCAT(CHAR(92),"$")),CHAR(96),_xlfn.CONCAT(CHAR(92),CHAR(96))),CHAR(34),CHAR(39))))</f>
        <v/>
      </c>
      <c r="N791" s="5" t="str">
        <f>IF(OR(TRIM($B791)="",$D791=""),"",IF(OR(ISNUMBER(SEARCH(_xlfn.CONCAT(CHAR(96),CHAR(34)),$D791)),ISNUMBER(SEARCH(_xlfn.CONCAT(CHAR(34),CHAR(39)),$D791))),_xlfn.CONCAT("* REVIEW REQUIRED: compound-quote delimiter in Item Number on Sheet 1 row ",791,"; edit the input before running."),_xlfn.CONCAT("char ",TRIM($B791),"[doc_itemnum] ",CHAR(96),CHAR(34),SUBSTITUTE(SUBSTITUTE(SUBSTITUTE(SUBSTITUTE(SUBSTITUTE(SUBSTITUTE($D791,CHAR(13)," "),CHAR(10)," "),CHAR(9)," "),CHAR(92),_xlfn.CONCAT(CHAR(92),CHAR(92))),"$",_xlfn.CONCAT(CHAR(92),"$")),CHAR(96),_xlfn.CONCAT(CHAR(92),CHAR(96))),CHAR(34),CHAR(39))))</f>
        <v/>
      </c>
      <c r="O791" s="5" t="str">
        <f>IF(OR(TRIM($B791)="",$E791=""),"",IF(OR(ISNUMBER(SEARCH(_xlfn.CONCAT(CHAR(96),CHAR(34)),$E791)),ISNUMBER(SEARCH(_xlfn.CONCAT(CHAR(34),CHAR(39)),$E791))),_xlfn.CONCAT("* REVIEW REQUIRED: compound-quote delimiter in Question Wording on Sheet 1 row ",791,"; edit the input before running."),_xlfn.CONCAT("char ",TRIM($B791),"[doc_question] ",CHAR(96),CHAR(34),SUBSTITUTE(SUBSTITUTE(SUBSTITUTE(SUBSTITUTE(SUBSTITUTE(SUBSTITUTE($E791,CHAR(13)," "),CHAR(10)," "),CHAR(9)," "),CHAR(92),_xlfn.CONCAT(CHAR(92),CHAR(92))),"$",_xlfn.CONCAT(CHAR(92),"$")),CHAR(96),_xlfn.CONCAT(CHAR(92),CHAR(96))),CHAR(34),CHAR(39))))</f>
        <v/>
      </c>
      <c r="P791" s="5" t="str">
        <f>IF(OR(TRIM($B791)="",$F791=""),"",IF(OR(ISNUMBER(SEARCH(_xlfn.CONCAT(CHAR(96),CHAR(34)),$F791)),ISNUMBER(SEARCH(_xlfn.CONCAT(CHAR(34),CHAR(39)),$F791))),_xlfn.CONCAT("* REVIEW REQUIRED: compound-quote delimiter in Units on Sheet 1 row ",791,"; edit the input before running."),_xlfn.CONCAT("char ",TRIM($B791),"[doc_units] ",CHAR(96),CHAR(34),SUBSTITUTE(SUBSTITUTE(SUBSTITUTE(SUBSTITUTE(SUBSTITUTE(SUBSTITUTE($F791,CHAR(13)," "),CHAR(10)," "),CHAR(9)," "),CHAR(92),_xlfn.CONCAT(CHAR(92),CHAR(92))),"$",_xlfn.CONCAT(CHAR(92),"$")),CHAR(96),_xlfn.CONCAT(CHAR(92),CHAR(96))),CHAR(34),CHAR(39))))</f>
        <v/>
      </c>
      <c r="Q791" s="5" t="str">
        <f>IF(OR(TRIM($B791)="",$G791=""),"",IF(OR(ISNUMBER(SEARCH(_xlfn.CONCAT(CHAR(96),CHAR(34)),$G791)),ISNUMBER(SEARCH(_xlfn.CONCAT(CHAR(34),CHAR(39)),$G791))),_xlfn.CONCAT("* REVIEW REQUIRED: compound-quote delimiter in Universe on Sheet 1 row ",791,"; edit the input before running."),_xlfn.CONCAT("char ",TRIM($B791),"[doc_universe] ",CHAR(96),CHAR(34),SUBSTITUTE(SUBSTITUTE(SUBSTITUTE(SUBSTITUTE(SUBSTITUTE(SUBSTITUTE($G791,CHAR(13)," "),CHAR(10)," "),CHAR(9)," "),CHAR(92),_xlfn.CONCAT(CHAR(92),CHAR(92))),"$",_xlfn.CONCAT(CHAR(92),"$")),CHAR(96),_xlfn.CONCAT(CHAR(92),CHAR(96))),CHAR(34),CHAR(39))))</f>
        <v/>
      </c>
      <c r="R791" s="5" t="str">
        <f>IF(OR(TRIM($B791)="",$H791=""),"",IF(OR(ISNUMBER(SEARCH(_xlfn.CONCAT(CHAR(96),CHAR(34)),$H791)),ISNUMBER(SEARCH(_xlfn.CONCAT(CHAR(34),CHAR(39)),$H791))),_xlfn.CONCAT("* REVIEW REQUIRED: compound-quote delimiter in Source on Sheet 1 row ",791,"; edit the input before running."),_xlfn.CONCAT("char ",TRIM($B791),"[doc_source] ",CHAR(96),CHAR(34),SUBSTITUTE(SUBSTITUTE(SUBSTITUTE(SUBSTITUTE(SUBSTITUTE(SUBSTITUTE($H791,CHAR(13)," "),CHAR(10)," "),CHAR(9)," "),CHAR(92),_xlfn.CONCAT(CHAR(92),CHAR(92))),"$",_xlfn.CONCAT(CHAR(92),"$")),CHAR(96),_xlfn.CONCAT(CHAR(92),CHAR(96))),CHAR(34),CHAR(39))))</f>
        <v/>
      </c>
      <c r="S791" s="5" t="str">
        <f>IF(OR(TRIM($B791)="",$I791=""),"",IF(OR(ISNUMBER(SEARCH(_xlfn.CONCAT(CHAR(96),CHAR(34)),$I791)),ISNUMBER(SEARCH(_xlfn.CONCAT(CHAR(34),CHAR(39)),$I791))),_xlfn.CONCAT("* REVIEW REQUIRED: compound-quote delimiter in Derivation on Sheet 1 row ",791,"; edit the input before running."),_xlfn.CONCAT("char ",TRIM($B791),"[doc_derivation] ",CHAR(96),CHAR(34),SUBSTITUTE(SUBSTITUTE(SUBSTITUTE(SUBSTITUTE(SUBSTITUTE(SUBSTITUTE($I791,CHAR(13)," "),CHAR(10)," "),CHAR(9)," "),CHAR(92),_xlfn.CONCAT(CHAR(92),CHAR(92))),"$",_xlfn.CONCAT(CHAR(92),"$")),CHAR(96),_xlfn.CONCAT(CHAR(92),CHAR(96))),CHAR(34),CHAR(39))))</f>
        <v/>
      </c>
      <c r="T791" s="5" t="str">
        <f>IF(OR(TRIM($B791)="",$J791=""),"",IF(OR(ISNUMBER(SEARCH(_xlfn.CONCAT(CHAR(96),CHAR(34)),$J791)),ISNUMBER(SEARCH(_xlfn.CONCAT(CHAR(34),CHAR(39)),$J791))),_xlfn.CONCAT("* REVIEW REQUIRED: compound-quote delimiter in Notes on Sheet 1 row ",791,"; edit the input before running."),_xlfn.CONCAT("char ",TRIM($B791),"[doc_notes] ",CHAR(96),CHAR(34),SUBSTITUTE(SUBSTITUTE(SUBSTITUTE(SUBSTITUTE(SUBSTITUTE(SUBSTITUTE($J791,CHAR(13)," "),CHAR(10)," "),CHAR(9)," "),CHAR(92),_xlfn.CONCAT(CHAR(92),CHAR(92))),"$",_xlfn.CONCAT(CHAR(92),"$")),CHAR(96),_xlfn.CONCAT(CHAR(92),CHAR(96))),CHAR(34),CHAR(39))))</f>
        <v/>
      </c>
      <c r="U791" s="5">
        <f t="shared" si="25"/>
        <v>0</v>
      </c>
    </row>
    <row r="792" spans="3:21" ht="30" customHeight="1" x14ac:dyDescent="0.2">
      <c r="C792" s="4"/>
      <c r="K792" s="5">
        <f t="shared" si="24"/>
        <v>0</v>
      </c>
      <c r="L792" s="5" t="str">
        <f>IF(OR(TRIM($B792)="",$A792=""),"",IF(OR(ISNUMBER(SEARCH(_xlfn.CONCAT(CHAR(96),CHAR(34)),$A792)),ISNUMBER(SEARCH(_xlfn.CONCAT(CHAR(34),CHAR(39)),$A792))),_xlfn.CONCAT("* REVIEW REQUIRED: compound-quote delimiter in Codebook Section on Sheet 1 row ",792,"; edit the input before running."),_xlfn.CONCAT("char ",TRIM($B792),"[doc_section] ",CHAR(96),CHAR(34),SUBSTITUTE(SUBSTITUTE(SUBSTITUTE(SUBSTITUTE(SUBSTITUTE(SUBSTITUTE($A792,CHAR(13)," "),CHAR(10)," "),CHAR(9)," "),CHAR(92),_xlfn.CONCAT(CHAR(92),CHAR(92))),"$",_xlfn.CONCAT(CHAR(92),"$")),CHAR(96),_xlfn.CONCAT(CHAR(92),CHAR(96))),CHAR(34),CHAR(39))))</f>
        <v/>
      </c>
      <c r="M792" s="5" t="str">
        <f>IF(OR(TRIM($B792)="",$C792=""),"",IF(IFERROR(MATCH(TRIM($C792),{"Quantitative","Continuous","Discrete","Categorical","Nominal","Ordinal","Identifier"},0),0)=0,_xlfn.CONCAT("* REVIEW REQUIRED: invalid Variable Type on Sheet 1 row ",792,"."),_xlfn.CONCAT("char ",TRIM($B792),"[doc_vartype] ",CHAR(96),CHAR(34),SUBSTITUTE(SUBSTITUTE(SUBSTITUTE(SUBSTITUTE(SUBSTITUTE(SUBSTITUTE(LOWER(TRIM($C792)),CHAR(13)," "),CHAR(10)," "),CHAR(9)," "),CHAR(92),_xlfn.CONCAT(CHAR(92),CHAR(92))),"$",_xlfn.CONCAT(CHAR(92),"$")),CHAR(96),_xlfn.CONCAT(CHAR(92),CHAR(96))),CHAR(34),CHAR(39))))</f>
        <v/>
      </c>
      <c r="N792" s="5" t="str">
        <f>IF(OR(TRIM($B792)="",$D792=""),"",IF(OR(ISNUMBER(SEARCH(_xlfn.CONCAT(CHAR(96),CHAR(34)),$D792)),ISNUMBER(SEARCH(_xlfn.CONCAT(CHAR(34),CHAR(39)),$D792))),_xlfn.CONCAT("* REVIEW REQUIRED: compound-quote delimiter in Item Number on Sheet 1 row ",792,"; edit the input before running."),_xlfn.CONCAT("char ",TRIM($B792),"[doc_itemnum] ",CHAR(96),CHAR(34),SUBSTITUTE(SUBSTITUTE(SUBSTITUTE(SUBSTITUTE(SUBSTITUTE(SUBSTITUTE($D792,CHAR(13)," "),CHAR(10)," "),CHAR(9)," "),CHAR(92),_xlfn.CONCAT(CHAR(92),CHAR(92))),"$",_xlfn.CONCAT(CHAR(92),"$")),CHAR(96),_xlfn.CONCAT(CHAR(92),CHAR(96))),CHAR(34),CHAR(39))))</f>
        <v/>
      </c>
      <c r="O792" s="5" t="str">
        <f>IF(OR(TRIM($B792)="",$E792=""),"",IF(OR(ISNUMBER(SEARCH(_xlfn.CONCAT(CHAR(96),CHAR(34)),$E792)),ISNUMBER(SEARCH(_xlfn.CONCAT(CHAR(34),CHAR(39)),$E792))),_xlfn.CONCAT("* REVIEW REQUIRED: compound-quote delimiter in Question Wording on Sheet 1 row ",792,"; edit the input before running."),_xlfn.CONCAT("char ",TRIM($B792),"[doc_question] ",CHAR(96),CHAR(34),SUBSTITUTE(SUBSTITUTE(SUBSTITUTE(SUBSTITUTE(SUBSTITUTE(SUBSTITUTE($E792,CHAR(13)," "),CHAR(10)," "),CHAR(9)," "),CHAR(92),_xlfn.CONCAT(CHAR(92),CHAR(92))),"$",_xlfn.CONCAT(CHAR(92),"$")),CHAR(96),_xlfn.CONCAT(CHAR(92),CHAR(96))),CHAR(34),CHAR(39))))</f>
        <v/>
      </c>
      <c r="P792" s="5" t="str">
        <f>IF(OR(TRIM($B792)="",$F792=""),"",IF(OR(ISNUMBER(SEARCH(_xlfn.CONCAT(CHAR(96),CHAR(34)),$F792)),ISNUMBER(SEARCH(_xlfn.CONCAT(CHAR(34),CHAR(39)),$F792))),_xlfn.CONCAT("* REVIEW REQUIRED: compound-quote delimiter in Units on Sheet 1 row ",792,"; edit the input before running."),_xlfn.CONCAT("char ",TRIM($B792),"[doc_units] ",CHAR(96),CHAR(34),SUBSTITUTE(SUBSTITUTE(SUBSTITUTE(SUBSTITUTE(SUBSTITUTE(SUBSTITUTE($F792,CHAR(13)," "),CHAR(10)," "),CHAR(9)," "),CHAR(92),_xlfn.CONCAT(CHAR(92),CHAR(92))),"$",_xlfn.CONCAT(CHAR(92),"$")),CHAR(96),_xlfn.CONCAT(CHAR(92),CHAR(96))),CHAR(34),CHAR(39))))</f>
        <v/>
      </c>
      <c r="Q792" s="5" t="str">
        <f>IF(OR(TRIM($B792)="",$G792=""),"",IF(OR(ISNUMBER(SEARCH(_xlfn.CONCAT(CHAR(96),CHAR(34)),$G792)),ISNUMBER(SEARCH(_xlfn.CONCAT(CHAR(34),CHAR(39)),$G792))),_xlfn.CONCAT("* REVIEW REQUIRED: compound-quote delimiter in Universe on Sheet 1 row ",792,"; edit the input before running."),_xlfn.CONCAT("char ",TRIM($B792),"[doc_universe] ",CHAR(96),CHAR(34),SUBSTITUTE(SUBSTITUTE(SUBSTITUTE(SUBSTITUTE(SUBSTITUTE(SUBSTITUTE($G792,CHAR(13)," "),CHAR(10)," "),CHAR(9)," "),CHAR(92),_xlfn.CONCAT(CHAR(92),CHAR(92))),"$",_xlfn.CONCAT(CHAR(92),"$")),CHAR(96),_xlfn.CONCAT(CHAR(92),CHAR(96))),CHAR(34),CHAR(39))))</f>
        <v/>
      </c>
      <c r="R792" s="5" t="str">
        <f>IF(OR(TRIM($B792)="",$H792=""),"",IF(OR(ISNUMBER(SEARCH(_xlfn.CONCAT(CHAR(96),CHAR(34)),$H792)),ISNUMBER(SEARCH(_xlfn.CONCAT(CHAR(34),CHAR(39)),$H792))),_xlfn.CONCAT("* REVIEW REQUIRED: compound-quote delimiter in Source on Sheet 1 row ",792,"; edit the input before running."),_xlfn.CONCAT("char ",TRIM($B792),"[doc_source] ",CHAR(96),CHAR(34),SUBSTITUTE(SUBSTITUTE(SUBSTITUTE(SUBSTITUTE(SUBSTITUTE(SUBSTITUTE($H792,CHAR(13)," "),CHAR(10)," "),CHAR(9)," "),CHAR(92),_xlfn.CONCAT(CHAR(92),CHAR(92))),"$",_xlfn.CONCAT(CHAR(92),"$")),CHAR(96),_xlfn.CONCAT(CHAR(92),CHAR(96))),CHAR(34),CHAR(39))))</f>
        <v/>
      </c>
      <c r="S792" s="5" t="str">
        <f>IF(OR(TRIM($B792)="",$I792=""),"",IF(OR(ISNUMBER(SEARCH(_xlfn.CONCAT(CHAR(96),CHAR(34)),$I792)),ISNUMBER(SEARCH(_xlfn.CONCAT(CHAR(34),CHAR(39)),$I792))),_xlfn.CONCAT("* REVIEW REQUIRED: compound-quote delimiter in Derivation on Sheet 1 row ",792,"; edit the input before running."),_xlfn.CONCAT("char ",TRIM($B792),"[doc_derivation] ",CHAR(96),CHAR(34),SUBSTITUTE(SUBSTITUTE(SUBSTITUTE(SUBSTITUTE(SUBSTITUTE(SUBSTITUTE($I792,CHAR(13)," "),CHAR(10)," "),CHAR(9)," "),CHAR(92),_xlfn.CONCAT(CHAR(92),CHAR(92))),"$",_xlfn.CONCAT(CHAR(92),"$")),CHAR(96),_xlfn.CONCAT(CHAR(92),CHAR(96))),CHAR(34),CHAR(39))))</f>
        <v/>
      </c>
      <c r="T792" s="5" t="str">
        <f>IF(OR(TRIM($B792)="",$J792=""),"",IF(OR(ISNUMBER(SEARCH(_xlfn.CONCAT(CHAR(96),CHAR(34)),$J792)),ISNUMBER(SEARCH(_xlfn.CONCAT(CHAR(34),CHAR(39)),$J792))),_xlfn.CONCAT("* REVIEW REQUIRED: compound-quote delimiter in Notes on Sheet 1 row ",792,"; edit the input before running."),_xlfn.CONCAT("char ",TRIM($B792),"[doc_notes] ",CHAR(96),CHAR(34),SUBSTITUTE(SUBSTITUTE(SUBSTITUTE(SUBSTITUTE(SUBSTITUTE(SUBSTITUTE($J792,CHAR(13)," "),CHAR(10)," "),CHAR(9)," "),CHAR(92),_xlfn.CONCAT(CHAR(92),CHAR(92))),"$",_xlfn.CONCAT(CHAR(92),"$")),CHAR(96),_xlfn.CONCAT(CHAR(92),CHAR(96))),CHAR(34),CHAR(39))))</f>
        <v/>
      </c>
      <c r="U792" s="5">
        <f t="shared" si="25"/>
        <v>0</v>
      </c>
    </row>
    <row r="793" spans="3:21" ht="30" customHeight="1" x14ac:dyDescent="0.2">
      <c r="C793" s="4"/>
      <c r="K793" s="5">
        <f t="shared" si="24"/>
        <v>0</v>
      </c>
      <c r="L793" s="5" t="str">
        <f>IF(OR(TRIM($B793)="",$A793=""),"",IF(OR(ISNUMBER(SEARCH(_xlfn.CONCAT(CHAR(96),CHAR(34)),$A793)),ISNUMBER(SEARCH(_xlfn.CONCAT(CHAR(34),CHAR(39)),$A793))),_xlfn.CONCAT("* REVIEW REQUIRED: compound-quote delimiter in Codebook Section on Sheet 1 row ",793,"; edit the input before running."),_xlfn.CONCAT("char ",TRIM($B793),"[doc_section] ",CHAR(96),CHAR(34),SUBSTITUTE(SUBSTITUTE(SUBSTITUTE(SUBSTITUTE(SUBSTITUTE(SUBSTITUTE($A793,CHAR(13)," "),CHAR(10)," "),CHAR(9)," "),CHAR(92),_xlfn.CONCAT(CHAR(92),CHAR(92))),"$",_xlfn.CONCAT(CHAR(92),"$")),CHAR(96),_xlfn.CONCAT(CHAR(92),CHAR(96))),CHAR(34),CHAR(39))))</f>
        <v/>
      </c>
      <c r="M793" s="5" t="str">
        <f>IF(OR(TRIM($B793)="",$C793=""),"",IF(IFERROR(MATCH(TRIM($C793),{"Quantitative","Continuous","Discrete","Categorical","Nominal","Ordinal","Identifier"},0),0)=0,_xlfn.CONCAT("* REVIEW REQUIRED: invalid Variable Type on Sheet 1 row ",793,"."),_xlfn.CONCAT("char ",TRIM($B793),"[doc_vartype] ",CHAR(96),CHAR(34),SUBSTITUTE(SUBSTITUTE(SUBSTITUTE(SUBSTITUTE(SUBSTITUTE(SUBSTITUTE(LOWER(TRIM($C793)),CHAR(13)," "),CHAR(10)," "),CHAR(9)," "),CHAR(92),_xlfn.CONCAT(CHAR(92),CHAR(92))),"$",_xlfn.CONCAT(CHAR(92),"$")),CHAR(96),_xlfn.CONCAT(CHAR(92),CHAR(96))),CHAR(34),CHAR(39))))</f>
        <v/>
      </c>
      <c r="N793" s="5" t="str">
        <f>IF(OR(TRIM($B793)="",$D793=""),"",IF(OR(ISNUMBER(SEARCH(_xlfn.CONCAT(CHAR(96),CHAR(34)),$D793)),ISNUMBER(SEARCH(_xlfn.CONCAT(CHAR(34),CHAR(39)),$D793))),_xlfn.CONCAT("* REVIEW REQUIRED: compound-quote delimiter in Item Number on Sheet 1 row ",793,"; edit the input before running."),_xlfn.CONCAT("char ",TRIM($B793),"[doc_itemnum] ",CHAR(96),CHAR(34),SUBSTITUTE(SUBSTITUTE(SUBSTITUTE(SUBSTITUTE(SUBSTITUTE(SUBSTITUTE($D793,CHAR(13)," "),CHAR(10)," "),CHAR(9)," "),CHAR(92),_xlfn.CONCAT(CHAR(92),CHAR(92))),"$",_xlfn.CONCAT(CHAR(92),"$")),CHAR(96),_xlfn.CONCAT(CHAR(92),CHAR(96))),CHAR(34),CHAR(39))))</f>
        <v/>
      </c>
      <c r="O793" s="5" t="str">
        <f>IF(OR(TRIM($B793)="",$E793=""),"",IF(OR(ISNUMBER(SEARCH(_xlfn.CONCAT(CHAR(96),CHAR(34)),$E793)),ISNUMBER(SEARCH(_xlfn.CONCAT(CHAR(34),CHAR(39)),$E793))),_xlfn.CONCAT("* REVIEW REQUIRED: compound-quote delimiter in Question Wording on Sheet 1 row ",793,"; edit the input before running."),_xlfn.CONCAT("char ",TRIM($B793),"[doc_question] ",CHAR(96),CHAR(34),SUBSTITUTE(SUBSTITUTE(SUBSTITUTE(SUBSTITUTE(SUBSTITUTE(SUBSTITUTE($E793,CHAR(13)," "),CHAR(10)," "),CHAR(9)," "),CHAR(92),_xlfn.CONCAT(CHAR(92),CHAR(92))),"$",_xlfn.CONCAT(CHAR(92),"$")),CHAR(96),_xlfn.CONCAT(CHAR(92),CHAR(96))),CHAR(34),CHAR(39))))</f>
        <v/>
      </c>
      <c r="P793" s="5" t="str">
        <f>IF(OR(TRIM($B793)="",$F793=""),"",IF(OR(ISNUMBER(SEARCH(_xlfn.CONCAT(CHAR(96),CHAR(34)),$F793)),ISNUMBER(SEARCH(_xlfn.CONCAT(CHAR(34),CHAR(39)),$F793))),_xlfn.CONCAT("* REVIEW REQUIRED: compound-quote delimiter in Units on Sheet 1 row ",793,"; edit the input before running."),_xlfn.CONCAT("char ",TRIM($B793),"[doc_units] ",CHAR(96),CHAR(34),SUBSTITUTE(SUBSTITUTE(SUBSTITUTE(SUBSTITUTE(SUBSTITUTE(SUBSTITUTE($F793,CHAR(13)," "),CHAR(10)," "),CHAR(9)," "),CHAR(92),_xlfn.CONCAT(CHAR(92),CHAR(92))),"$",_xlfn.CONCAT(CHAR(92),"$")),CHAR(96),_xlfn.CONCAT(CHAR(92),CHAR(96))),CHAR(34),CHAR(39))))</f>
        <v/>
      </c>
      <c r="Q793" s="5" t="str">
        <f>IF(OR(TRIM($B793)="",$G793=""),"",IF(OR(ISNUMBER(SEARCH(_xlfn.CONCAT(CHAR(96),CHAR(34)),$G793)),ISNUMBER(SEARCH(_xlfn.CONCAT(CHAR(34),CHAR(39)),$G793))),_xlfn.CONCAT("* REVIEW REQUIRED: compound-quote delimiter in Universe on Sheet 1 row ",793,"; edit the input before running."),_xlfn.CONCAT("char ",TRIM($B793),"[doc_universe] ",CHAR(96),CHAR(34),SUBSTITUTE(SUBSTITUTE(SUBSTITUTE(SUBSTITUTE(SUBSTITUTE(SUBSTITUTE($G793,CHAR(13)," "),CHAR(10)," "),CHAR(9)," "),CHAR(92),_xlfn.CONCAT(CHAR(92),CHAR(92))),"$",_xlfn.CONCAT(CHAR(92),"$")),CHAR(96),_xlfn.CONCAT(CHAR(92),CHAR(96))),CHAR(34),CHAR(39))))</f>
        <v/>
      </c>
      <c r="R793" s="5" t="str">
        <f>IF(OR(TRIM($B793)="",$H793=""),"",IF(OR(ISNUMBER(SEARCH(_xlfn.CONCAT(CHAR(96),CHAR(34)),$H793)),ISNUMBER(SEARCH(_xlfn.CONCAT(CHAR(34),CHAR(39)),$H793))),_xlfn.CONCAT("* REVIEW REQUIRED: compound-quote delimiter in Source on Sheet 1 row ",793,"; edit the input before running."),_xlfn.CONCAT("char ",TRIM($B793),"[doc_source] ",CHAR(96),CHAR(34),SUBSTITUTE(SUBSTITUTE(SUBSTITUTE(SUBSTITUTE(SUBSTITUTE(SUBSTITUTE($H793,CHAR(13)," "),CHAR(10)," "),CHAR(9)," "),CHAR(92),_xlfn.CONCAT(CHAR(92),CHAR(92))),"$",_xlfn.CONCAT(CHAR(92),"$")),CHAR(96),_xlfn.CONCAT(CHAR(92),CHAR(96))),CHAR(34),CHAR(39))))</f>
        <v/>
      </c>
      <c r="S793" s="5" t="str">
        <f>IF(OR(TRIM($B793)="",$I793=""),"",IF(OR(ISNUMBER(SEARCH(_xlfn.CONCAT(CHAR(96),CHAR(34)),$I793)),ISNUMBER(SEARCH(_xlfn.CONCAT(CHAR(34),CHAR(39)),$I793))),_xlfn.CONCAT("* REVIEW REQUIRED: compound-quote delimiter in Derivation on Sheet 1 row ",793,"; edit the input before running."),_xlfn.CONCAT("char ",TRIM($B793),"[doc_derivation] ",CHAR(96),CHAR(34),SUBSTITUTE(SUBSTITUTE(SUBSTITUTE(SUBSTITUTE(SUBSTITUTE(SUBSTITUTE($I793,CHAR(13)," "),CHAR(10)," "),CHAR(9)," "),CHAR(92),_xlfn.CONCAT(CHAR(92),CHAR(92))),"$",_xlfn.CONCAT(CHAR(92),"$")),CHAR(96),_xlfn.CONCAT(CHAR(92),CHAR(96))),CHAR(34),CHAR(39))))</f>
        <v/>
      </c>
      <c r="T793" s="5" t="str">
        <f>IF(OR(TRIM($B793)="",$J793=""),"",IF(OR(ISNUMBER(SEARCH(_xlfn.CONCAT(CHAR(96),CHAR(34)),$J793)),ISNUMBER(SEARCH(_xlfn.CONCAT(CHAR(34),CHAR(39)),$J793))),_xlfn.CONCAT("* REVIEW REQUIRED: compound-quote delimiter in Notes on Sheet 1 row ",793,"; edit the input before running."),_xlfn.CONCAT("char ",TRIM($B793),"[doc_notes] ",CHAR(96),CHAR(34),SUBSTITUTE(SUBSTITUTE(SUBSTITUTE(SUBSTITUTE(SUBSTITUTE(SUBSTITUTE($J793,CHAR(13)," "),CHAR(10)," "),CHAR(9)," "),CHAR(92),_xlfn.CONCAT(CHAR(92),CHAR(92))),"$",_xlfn.CONCAT(CHAR(92),"$")),CHAR(96),_xlfn.CONCAT(CHAR(92),CHAR(96))),CHAR(34),CHAR(39))))</f>
        <v/>
      </c>
      <c r="U793" s="5">
        <f t="shared" si="25"/>
        <v>0</v>
      </c>
    </row>
    <row r="794" spans="3:21" ht="30" customHeight="1" x14ac:dyDescent="0.2">
      <c r="C794" s="4"/>
      <c r="K794" s="5">
        <f t="shared" si="24"/>
        <v>0</v>
      </c>
      <c r="L794" s="5" t="str">
        <f>IF(OR(TRIM($B794)="",$A794=""),"",IF(OR(ISNUMBER(SEARCH(_xlfn.CONCAT(CHAR(96),CHAR(34)),$A794)),ISNUMBER(SEARCH(_xlfn.CONCAT(CHAR(34),CHAR(39)),$A794))),_xlfn.CONCAT("* REVIEW REQUIRED: compound-quote delimiter in Codebook Section on Sheet 1 row ",794,"; edit the input before running."),_xlfn.CONCAT("char ",TRIM($B794),"[doc_section] ",CHAR(96),CHAR(34),SUBSTITUTE(SUBSTITUTE(SUBSTITUTE(SUBSTITUTE(SUBSTITUTE(SUBSTITUTE($A794,CHAR(13)," "),CHAR(10)," "),CHAR(9)," "),CHAR(92),_xlfn.CONCAT(CHAR(92),CHAR(92))),"$",_xlfn.CONCAT(CHAR(92),"$")),CHAR(96),_xlfn.CONCAT(CHAR(92),CHAR(96))),CHAR(34),CHAR(39))))</f>
        <v/>
      </c>
      <c r="M794" s="5" t="str">
        <f>IF(OR(TRIM($B794)="",$C794=""),"",IF(IFERROR(MATCH(TRIM($C794),{"Quantitative","Continuous","Discrete","Categorical","Nominal","Ordinal","Identifier"},0),0)=0,_xlfn.CONCAT("* REVIEW REQUIRED: invalid Variable Type on Sheet 1 row ",794,"."),_xlfn.CONCAT("char ",TRIM($B794),"[doc_vartype] ",CHAR(96),CHAR(34),SUBSTITUTE(SUBSTITUTE(SUBSTITUTE(SUBSTITUTE(SUBSTITUTE(SUBSTITUTE(LOWER(TRIM($C794)),CHAR(13)," "),CHAR(10)," "),CHAR(9)," "),CHAR(92),_xlfn.CONCAT(CHAR(92),CHAR(92))),"$",_xlfn.CONCAT(CHAR(92),"$")),CHAR(96),_xlfn.CONCAT(CHAR(92),CHAR(96))),CHAR(34),CHAR(39))))</f>
        <v/>
      </c>
      <c r="N794" s="5" t="str">
        <f>IF(OR(TRIM($B794)="",$D794=""),"",IF(OR(ISNUMBER(SEARCH(_xlfn.CONCAT(CHAR(96),CHAR(34)),$D794)),ISNUMBER(SEARCH(_xlfn.CONCAT(CHAR(34),CHAR(39)),$D794))),_xlfn.CONCAT("* REVIEW REQUIRED: compound-quote delimiter in Item Number on Sheet 1 row ",794,"; edit the input before running."),_xlfn.CONCAT("char ",TRIM($B794),"[doc_itemnum] ",CHAR(96),CHAR(34),SUBSTITUTE(SUBSTITUTE(SUBSTITUTE(SUBSTITUTE(SUBSTITUTE(SUBSTITUTE($D794,CHAR(13)," "),CHAR(10)," "),CHAR(9)," "),CHAR(92),_xlfn.CONCAT(CHAR(92),CHAR(92))),"$",_xlfn.CONCAT(CHAR(92),"$")),CHAR(96),_xlfn.CONCAT(CHAR(92),CHAR(96))),CHAR(34),CHAR(39))))</f>
        <v/>
      </c>
      <c r="O794" s="5" t="str">
        <f>IF(OR(TRIM($B794)="",$E794=""),"",IF(OR(ISNUMBER(SEARCH(_xlfn.CONCAT(CHAR(96),CHAR(34)),$E794)),ISNUMBER(SEARCH(_xlfn.CONCAT(CHAR(34),CHAR(39)),$E794))),_xlfn.CONCAT("* REVIEW REQUIRED: compound-quote delimiter in Question Wording on Sheet 1 row ",794,"; edit the input before running."),_xlfn.CONCAT("char ",TRIM($B794),"[doc_question] ",CHAR(96),CHAR(34),SUBSTITUTE(SUBSTITUTE(SUBSTITUTE(SUBSTITUTE(SUBSTITUTE(SUBSTITUTE($E794,CHAR(13)," "),CHAR(10)," "),CHAR(9)," "),CHAR(92),_xlfn.CONCAT(CHAR(92),CHAR(92))),"$",_xlfn.CONCAT(CHAR(92),"$")),CHAR(96),_xlfn.CONCAT(CHAR(92),CHAR(96))),CHAR(34),CHAR(39))))</f>
        <v/>
      </c>
      <c r="P794" s="5" t="str">
        <f>IF(OR(TRIM($B794)="",$F794=""),"",IF(OR(ISNUMBER(SEARCH(_xlfn.CONCAT(CHAR(96),CHAR(34)),$F794)),ISNUMBER(SEARCH(_xlfn.CONCAT(CHAR(34),CHAR(39)),$F794))),_xlfn.CONCAT("* REVIEW REQUIRED: compound-quote delimiter in Units on Sheet 1 row ",794,"; edit the input before running."),_xlfn.CONCAT("char ",TRIM($B794),"[doc_units] ",CHAR(96),CHAR(34),SUBSTITUTE(SUBSTITUTE(SUBSTITUTE(SUBSTITUTE(SUBSTITUTE(SUBSTITUTE($F794,CHAR(13)," "),CHAR(10)," "),CHAR(9)," "),CHAR(92),_xlfn.CONCAT(CHAR(92),CHAR(92))),"$",_xlfn.CONCAT(CHAR(92),"$")),CHAR(96),_xlfn.CONCAT(CHAR(92),CHAR(96))),CHAR(34),CHAR(39))))</f>
        <v/>
      </c>
      <c r="Q794" s="5" t="str">
        <f>IF(OR(TRIM($B794)="",$G794=""),"",IF(OR(ISNUMBER(SEARCH(_xlfn.CONCAT(CHAR(96),CHAR(34)),$G794)),ISNUMBER(SEARCH(_xlfn.CONCAT(CHAR(34),CHAR(39)),$G794))),_xlfn.CONCAT("* REVIEW REQUIRED: compound-quote delimiter in Universe on Sheet 1 row ",794,"; edit the input before running."),_xlfn.CONCAT("char ",TRIM($B794),"[doc_universe] ",CHAR(96),CHAR(34),SUBSTITUTE(SUBSTITUTE(SUBSTITUTE(SUBSTITUTE(SUBSTITUTE(SUBSTITUTE($G794,CHAR(13)," "),CHAR(10)," "),CHAR(9)," "),CHAR(92),_xlfn.CONCAT(CHAR(92),CHAR(92))),"$",_xlfn.CONCAT(CHAR(92),"$")),CHAR(96),_xlfn.CONCAT(CHAR(92),CHAR(96))),CHAR(34),CHAR(39))))</f>
        <v/>
      </c>
      <c r="R794" s="5" t="str">
        <f>IF(OR(TRIM($B794)="",$H794=""),"",IF(OR(ISNUMBER(SEARCH(_xlfn.CONCAT(CHAR(96),CHAR(34)),$H794)),ISNUMBER(SEARCH(_xlfn.CONCAT(CHAR(34),CHAR(39)),$H794))),_xlfn.CONCAT("* REVIEW REQUIRED: compound-quote delimiter in Source on Sheet 1 row ",794,"; edit the input before running."),_xlfn.CONCAT("char ",TRIM($B794),"[doc_source] ",CHAR(96),CHAR(34),SUBSTITUTE(SUBSTITUTE(SUBSTITUTE(SUBSTITUTE(SUBSTITUTE(SUBSTITUTE($H794,CHAR(13)," "),CHAR(10)," "),CHAR(9)," "),CHAR(92),_xlfn.CONCAT(CHAR(92),CHAR(92))),"$",_xlfn.CONCAT(CHAR(92),"$")),CHAR(96),_xlfn.CONCAT(CHAR(92),CHAR(96))),CHAR(34),CHAR(39))))</f>
        <v/>
      </c>
      <c r="S794" s="5" t="str">
        <f>IF(OR(TRIM($B794)="",$I794=""),"",IF(OR(ISNUMBER(SEARCH(_xlfn.CONCAT(CHAR(96),CHAR(34)),$I794)),ISNUMBER(SEARCH(_xlfn.CONCAT(CHAR(34),CHAR(39)),$I794))),_xlfn.CONCAT("* REVIEW REQUIRED: compound-quote delimiter in Derivation on Sheet 1 row ",794,"; edit the input before running."),_xlfn.CONCAT("char ",TRIM($B794),"[doc_derivation] ",CHAR(96),CHAR(34),SUBSTITUTE(SUBSTITUTE(SUBSTITUTE(SUBSTITUTE(SUBSTITUTE(SUBSTITUTE($I794,CHAR(13)," "),CHAR(10)," "),CHAR(9)," "),CHAR(92),_xlfn.CONCAT(CHAR(92),CHAR(92))),"$",_xlfn.CONCAT(CHAR(92),"$")),CHAR(96),_xlfn.CONCAT(CHAR(92),CHAR(96))),CHAR(34),CHAR(39))))</f>
        <v/>
      </c>
      <c r="T794" s="5" t="str">
        <f>IF(OR(TRIM($B794)="",$J794=""),"",IF(OR(ISNUMBER(SEARCH(_xlfn.CONCAT(CHAR(96),CHAR(34)),$J794)),ISNUMBER(SEARCH(_xlfn.CONCAT(CHAR(34),CHAR(39)),$J794))),_xlfn.CONCAT("* REVIEW REQUIRED: compound-quote delimiter in Notes on Sheet 1 row ",794,"; edit the input before running."),_xlfn.CONCAT("char ",TRIM($B794),"[doc_notes] ",CHAR(96),CHAR(34),SUBSTITUTE(SUBSTITUTE(SUBSTITUTE(SUBSTITUTE(SUBSTITUTE(SUBSTITUTE($J794,CHAR(13)," "),CHAR(10)," "),CHAR(9)," "),CHAR(92),_xlfn.CONCAT(CHAR(92),CHAR(92))),"$",_xlfn.CONCAT(CHAR(92),"$")),CHAR(96),_xlfn.CONCAT(CHAR(92),CHAR(96))),CHAR(34),CHAR(39))))</f>
        <v/>
      </c>
      <c r="U794" s="5">
        <f t="shared" si="25"/>
        <v>0</v>
      </c>
    </row>
    <row r="795" spans="3:21" ht="30" customHeight="1" x14ac:dyDescent="0.2">
      <c r="C795" s="4"/>
      <c r="K795" s="5">
        <f t="shared" si="24"/>
        <v>0</v>
      </c>
      <c r="L795" s="5" t="str">
        <f>IF(OR(TRIM($B795)="",$A795=""),"",IF(OR(ISNUMBER(SEARCH(_xlfn.CONCAT(CHAR(96),CHAR(34)),$A795)),ISNUMBER(SEARCH(_xlfn.CONCAT(CHAR(34),CHAR(39)),$A795))),_xlfn.CONCAT("* REVIEW REQUIRED: compound-quote delimiter in Codebook Section on Sheet 1 row ",795,"; edit the input before running."),_xlfn.CONCAT("char ",TRIM($B795),"[doc_section] ",CHAR(96),CHAR(34),SUBSTITUTE(SUBSTITUTE(SUBSTITUTE(SUBSTITUTE(SUBSTITUTE(SUBSTITUTE($A795,CHAR(13)," "),CHAR(10)," "),CHAR(9)," "),CHAR(92),_xlfn.CONCAT(CHAR(92),CHAR(92))),"$",_xlfn.CONCAT(CHAR(92),"$")),CHAR(96),_xlfn.CONCAT(CHAR(92),CHAR(96))),CHAR(34),CHAR(39))))</f>
        <v/>
      </c>
      <c r="M795" s="5" t="str">
        <f>IF(OR(TRIM($B795)="",$C795=""),"",IF(IFERROR(MATCH(TRIM($C795),{"Quantitative","Continuous","Discrete","Categorical","Nominal","Ordinal","Identifier"},0),0)=0,_xlfn.CONCAT("* REVIEW REQUIRED: invalid Variable Type on Sheet 1 row ",795,"."),_xlfn.CONCAT("char ",TRIM($B795),"[doc_vartype] ",CHAR(96),CHAR(34),SUBSTITUTE(SUBSTITUTE(SUBSTITUTE(SUBSTITUTE(SUBSTITUTE(SUBSTITUTE(LOWER(TRIM($C795)),CHAR(13)," "),CHAR(10)," "),CHAR(9)," "),CHAR(92),_xlfn.CONCAT(CHAR(92),CHAR(92))),"$",_xlfn.CONCAT(CHAR(92),"$")),CHAR(96),_xlfn.CONCAT(CHAR(92),CHAR(96))),CHAR(34),CHAR(39))))</f>
        <v/>
      </c>
      <c r="N795" s="5" t="str">
        <f>IF(OR(TRIM($B795)="",$D795=""),"",IF(OR(ISNUMBER(SEARCH(_xlfn.CONCAT(CHAR(96),CHAR(34)),$D795)),ISNUMBER(SEARCH(_xlfn.CONCAT(CHAR(34),CHAR(39)),$D795))),_xlfn.CONCAT("* REVIEW REQUIRED: compound-quote delimiter in Item Number on Sheet 1 row ",795,"; edit the input before running."),_xlfn.CONCAT("char ",TRIM($B795),"[doc_itemnum] ",CHAR(96),CHAR(34),SUBSTITUTE(SUBSTITUTE(SUBSTITUTE(SUBSTITUTE(SUBSTITUTE(SUBSTITUTE($D795,CHAR(13)," "),CHAR(10)," "),CHAR(9)," "),CHAR(92),_xlfn.CONCAT(CHAR(92),CHAR(92))),"$",_xlfn.CONCAT(CHAR(92),"$")),CHAR(96),_xlfn.CONCAT(CHAR(92),CHAR(96))),CHAR(34),CHAR(39))))</f>
        <v/>
      </c>
      <c r="O795" s="5" t="str">
        <f>IF(OR(TRIM($B795)="",$E795=""),"",IF(OR(ISNUMBER(SEARCH(_xlfn.CONCAT(CHAR(96),CHAR(34)),$E795)),ISNUMBER(SEARCH(_xlfn.CONCAT(CHAR(34),CHAR(39)),$E795))),_xlfn.CONCAT("* REVIEW REQUIRED: compound-quote delimiter in Question Wording on Sheet 1 row ",795,"; edit the input before running."),_xlfn.CONCAT("char ",TRIM($B795),"[doc_question] ",CHAR(96),CHAR(34),SUBSTITUTE(SUBSTITUTE(SUBSTITUTE(SUBSTITUTE(SUBSTITUTE(SUBSTITUTE($E795,CHAR(13)," "),CHAR(10)," "),CHAR(9)," "),CHAR(92),_xlfn.CONCAT(CHAR(92),CHAR(92))),"$",_xlfn.CONCAT(CHAR(92),"$")),CHAR(96),_xlfn.CONCAT(CHAR(92),CHAR(96))),CHAR(34),CHAR(39))))</f>
        <v/>
      </c>
      <c r="P795" s="5" t="str">
        <f>IF(OR(TRIM($B795)="",$F795=""),"",IF(OR(ISNUMBER(SEARCH(_xlfn.CONCAT(CHAR(96),CHAR(34)),$F795)),ISNUMBER(SEARCH(_xlfn.CONCAT(CHAR(34),CHAR(39)),$F795))),_xlfn.CONCAT("* REVIEW REQUIRED: compound-quote delimiter in Units on Sheet 1 row ",795,"; edit the input before running."),_xlfn.CONCAT("char ",TRIM($B795),"[doc_units] ",CHAR(96),CHAR(34),SUBSTITUTE(SUBSTITUTE(SUBSTITUTE(SUBSTITUTE(SUBSTITUTE(SUBSTITUTE($F795,CHAR(13)," "),CHAR(10)," "),CHAR(9)," "),CHAR(92),_xlfn.CONCAT(CHAR(92),CHAR(92))),"$",_xlfn.CONCAT(CHAR(92),"$")),CHAR(96),_xlfn.CONCAT(CHAR(92),CHAR(96))),CHAR(34),CHAR(39))))</f>
        <v/>
      </c>
      <c r="Q795" s="5" t="str">
        <f>IF(OR(TRIM($B795)="",$G795=""),"",IF(OR(ISNUMBER(SEARCH(_xlfn.CONCAT(CHAR(96),CHAR(34)),$G795)),ISNUMBER(SEARCH(_xlfn.CONCAT(CHAR(34),CHAR(39)),$G795))),_xlfn.CONCAT("* REVIEW REQUIRED: compound-quote delimiter in Universe on Sheet 1 row ",795,"; edit the input before running."),_xlfn.CONCAT("char ",TRIM($B795),"[doc_universe] ",CHAR(96),CHAR(34),SUBSTITUTE(SUBSTITUTE(SUBSTITUTE(SUBSTITUTE(SUBSTITUTE(SUBSTITUTE($G795,CHAR(13)," "),CHAR(10)," "),CHAR(9)," "),CHAR(92),_xlfn.CONCAT(CHAR(92),CHAR(92))),"$",_xlfn.CONCAT(CHAR(92),"$")),CHAR(96),_xlfn.CONCAT(CHAR(92),CHAR(96))),CHAR(34),CHAR(39))))</f>
        <v/>
      </c>
      <c r="R795" s="5" t="str">
        <f>IF(OR(TRIM($B795)="",$H795=""),"",IF(OR(ISNUMBER(SEARCH(_xlfn.CONCAT(CHAR(96),CHAR(34)),$H795)),ISNUMBER(SEARCH(_xlfn.CONCAT(CHAR(34),CHAR(39)),$H795))),_xlfn.CONCAT("* REVIEW REQUIRED: compound-quote delimiter in Source on Sheet 1 row ",795,"; edit the input before running."),_xlfn.CONCAT("char ",TRIM($B795),"[doc_source] ",CHAR(96),CHAR(34),SUBSTITUTE(SUBSTITUTE(SUBSTITUTE(SUBSTITUTE(SUBSTITUTE(SUBSTITUTE($H795,CHAR(13)," "),CHAR(10)," "),CHAR(9)," "),CHAR(92),_xlfn.CONCAT(CHAR(92),CHAR(92))),"$",_xlfn.CONCAT(CHAR(92),"$")),CHAR(96),_xlfn.CONCAT(CHAR(92),CHAR(96))),CHAR(34),CHAR(39))))</f>
        <v/>
      </c>
      <c r="S795" s="5" t="str">
        <f>IF(OR(TRIM($B795)="",$I795=""),"",IF(OR(ISNUMBER(SEARCH(_xlfn.CONCAT(CHAR(96),CHAR(34)),$I795)),ISNUMBER(SEARCH(_xlfn.CONCAT(CHAR(34),CHAR(39)),$I795))),_xlfn.CONCAT("* REVIEW REQUIRED: compound-quote delimiter in Derivation on Sheet 1 row ",795,"; edit the input before running."),_xlfn.CONCAT("char ",TRIM($B795),"[doc_derivation] ",CHAR(96),CHAR(34),SUBSTITUTE(SUBSTITUTE(SUBSTITUTE(SUBSTITUTE(SUBSTITUTE(SUBSTITUTE($I795,CHAR(13)," "),CHAR(10)," "),CHAR(9)," "),CHAR(92),_xlfn.CONCAT(CHAR(92),CHAR(92))),"$",_xlfn.CONCAT(CHAR(92),"$")),CHAR(96),_xlfn.CONCAT(CHAR(92),CHAR(96))),CHAR(34),CHAR(39))))</f>
        <v/>
      </c>
      <c r="T795" s="5" t="str">
        <f>IF(OR(TRIM($B795)="",$J795=""),"",IF(OR(ISNUMBER(SEARCH(_xlfn.CONCAT(CHAR(96),CHAR(34)),$J795)),ISNUMBER(SEARCH(_xlfn.CONCAT(CHAR(34),CHAR(39)),$J795))),_xlfn.CONCAT("* REVIEW REQUIRED: compound-quote delimiter in Notes on Sheet 1 row ",795,"; edit the input before running."),_xlfn.CONCAT("char ",TRIM($B795),"[doc_notes] ",CHAR(96),CHAR(34),SUBSTITUTE(SUBSTITUTE(SUBSTITUTE(SUBSTITUTE(SUBSTITUTE(SUBSTITUTE($J795,CHAR(13)," "),CHAR(10)," "),CHAR(9)," "),CHAR(92),_xlfn.CONCAT(CHAR(92),CHAR(92))),"$",_xlfn.CONCAT(CHAR(92),"$")),CHAR(96),_xlfn.CONCAT(CHAR(92),CHAR(96))),CHAR(34),CHAR(39))))</f>
        <v/>
      </c>
      <c r="U795" s="5">
        <f t="shared" si="25"/>
        <v>0</v>
      </c>
    </row>
    <row r="796" spans="3:21" ht="30" customHeight="1" x14ac:dyDescent="0.2">
      <c r="C796" s="4"/>
      <c r="K796" s="5">
        <f t="shared" si="24"/>
        <v>0</v>
      </c>
      <c r="L796" s="5" t="str">
        <f>IF(OR(TRIM($B796)="",$A796=""),"",IF(OR(ISNUMBER(SEARCH(_xlfn.CONCAT(CHAR(96),CHAR(34)),$A796)),ISNUMBER(SEARCH(_xlfn.CONCAT(CHAR(34),CHAR(39)),$A796))),_xlfn.CONCAT("* REVIEW REQUIRED: compound-quote delimiter in Codebook Section on Sheet 1 row ",796,"; edit the input before running."),_xlfn.CONCAT("char ",TRIM($B796),"[doc_section] ",CHAR(96),CHAR(34),SUBSTITUTE(SUBSTITUTE(SUBSTITUTE(SUBSTITUTE(SUBSTITUTE(SUBSTITUTE($A796,CHAR(13)," "),CHAR(10)," "),CHAR(9)," "),CHAR(92),_xlfn.CONCAT(CHAR(92),CHAR(92))),"$",_xlfn.CONCAT(CHAR(92),"$")),CHAR(96),_xlfn.CONCAT(CHAR(92),CHAR(96))),CHAR(34),CHAR(39))))</f>
        <v/>
      </c>
      <c r="M796" s="5" t="str">
        <f>IF(OR(TRIM($B796)="",$C796=""),"",IF(IFERROR(MATCH(TRIM($C796),{"Quantitative","Continuous","Discrete","Categorical","Nominal","Ordinal","Identifier"},0),0)=0,_xlfn.CONCAT("* REVIEW REQUIRED: invalid Variable Type on Sheet 1 row ",796,"."),_xlfn.CONCAT("char ",TRIM($B796),"[doc_vartype] ",CHAR(96),CHAR(34),SUBSTITUTE(SUBSTITUTE(SUBSTITUTE(SUBSTITUTE(SUBSTITUTE(SUBSTITUTE(LOWER(TRIM($C796)),CHAR(13)," "),CHAR(10)," "),CHAR(9)," "),CHAR(92),_xlfn.CONCAT(CHAR(92),CHAR(92))),"$",_xlfn.CONCAT(CHAR(92),"$")),CHAR(96),_xlfn.CONCAT(CHAR(92),CHAR(96))),CHAR(34),CHAR(39))))</f>
        <v/>
      </c>
      <c r="N796" s="5" t="str">
        <f>IF(OR(TRIM($B796)="",$D796=""),"",IF(OR(ISNUMBER(SEARCH(_xlfn.CONCAT(CHAR(96),CHAR(34)),$D796)),ISNUMBER(SEARCH(_xlfn.CONCAT(CHAR(34),CHAR(39)),$D796))),_xlfn.CONCAT("* REVIEW REQUIRED: compound-quote delimiter in Item Number on Sheet 1 row ",796,"; edit the input before running."),_xlfn.CONCAT("char ",TRIM($B796),"[doc_itemnum] ",CHAR(96),CHAR(34),SUBSTITUTE(SUBSTITUTE(SUBSTITUTE(SUBSTITUTE(SUBSTITUTE(SUBSTITUTE($D796,CHAR(13)," "),CHAR(10)," "),CHAR(9)," "),CHAR(92),_xlfn.CONCAT(CHAR(92),CHAR(92))),"$",_xlfn.CONCAT(CHAR(92),"$")),CHAR(96),_xlfn.CONCAT(CHAR(92),CHAR(96))),CHAR(34),CHAR(39))))</f>
        <v/>
      </c>
      <c r="O796" s="5" t="str">
        <f>IF(OR(TRIM($B796)="",$E796=""),"",IF(OR(ISNUMBER(SEARCH(_xlfn.CONCAT(CHAR(96),CHAR(34)),$E796)),ISNUMBER(SEARCH(_xlfn.CONCAT(CHAR(34),CHAR(39)),$E796))),_xlfn.CONCAT("* REVIEW REQUIRED: compound-quote delimiter in Question Wording on Sheet 1 row ",796,"; edit the input before running."),_xlfn.CONCAT("char ",TRIM($B796),"[doc_question] ",CHAR(96),CHAR(34),SUBSTITUTE(SUBSTITUTE(SUBSTITUTE(SUBSTITUTE(SUBSTITUTE(SUBSTITUTE($E796,CHAR(13)," "),CHAR(10)," "),CHAR(9)," "),CHAR(92),_xlfn.CONCAT(CHAR(92),CHAR(92))),"$",_xlfn.CONCAT(CHAR(92),"$")),CHAR(96),_xlfn.CONCAT(CHAR(92),CHAR(96))),CHAR(34),CHAR(39))))</f>
        <v/>
      </c>
      <c r="P796" s="5" t="str">
        <f>IF(OR(TRIM($B796)="",$F796=""),"",IF(OR(ISNUMBER(SEARCH(_xlfn.CONCAT(CHAR(96),CHAR(34)),$F796)),ISNUMBER(SEARCH(_xlfn.CONCAT(CHAR(34),CHAR(39)),$F796))),_xlfn.CONCAT("* REVIEW REQUIRED: compound-quote delimiter in Units on Sheet 1 row ",796,"; edit the input before running."),_xlfn.CONCAT("char ",TRIM($B796),"[doc_units] ",CHAR(96),CHAR(34),SUBSTITUTE(SUBSTITUTE(SUBSTITUTE(SUBSTITUTE(SUBSTITUTE(SUBSTITUTE($F796,CHAR(13)," "),CHAR(10)," "),CHAR(9)," "),CHAR(92),_xlfn.CONCAT(CHAR(92),CHAR(92))),"$",_xlfn.CONCAT(CHAR(92),"$")),CHAR(96),_xlfn.CONCAT(CHAR(92),CHAR(96))),CHAR(34),CHAR(39))))</f>
        <v/>
      </c>
      <c r="Q796" s="5" t="str">
        <f>IF(OR(TRIM($B796)="",$G796=""),"",IF(OR(ISNUMBER(SEARCH(_xlfn.CONCAT(CHAR(96),CHAR(34)),$G796)),ISNUMBER(SEARCH(_xlfn.CONCAT(CHAR(34),CHAR(39)),$G796))),_xlfn.CONCAT("* REVIEW REQUIRED: compound-quote delimiter in Universe on Sheet 1 row ",796,"; edit the input before running."),_xlfn.CONCAT("char ",TRIM($B796),"[doc_universe] ",CHAR(96),CHAR(34),SUBSTITUTE(SUBSTITUTE(SUBSTITUTE(SUBSTITUTE(SUBSTITUTE(SUBSTITUTE($G796,CHAR(13)," "),CHAR(10)," "),CHAR(9)," "),CHAR(92),_xlfn.CONCAT(CHAR(92),CHAR(92))),"$",_xlfn.CONCAT(CHAR(92),"$")),CHAR(96),_xlfn.CONCAT(CHAR(92),CHAR(96))),CHAR(34),CHAR(39))))</f>
        <v/>
      </c>
      <c r="R796" s="5" t="str">
        <f>IF(OR(TRIM($B796)="",$H796=""),"",IF(OR(ISNUMBER(SEARCH(_xlfn.CONCAT(CHAR(96),CHAR(34)),$H796)),ISNUMBER(SEARCH(_xlfn.CONCAT(CHAR(34),CHAR(39)),$H796))),_xlfn.CONCAT("* REVIEW REQUIRED: compound-quote delimiter in Source on Sheet 1 row ",796,"; edit the input before running."),_xlfn.CONCAT("char ",TRIM($B796),"[doc_source] ",CHAR(96),CHAR(34),SUBSTITUTE(SUBSTITUTE(SUBSTITUTE(SUBSTITUTE(SUBSTITUTE(SUBSTITUTE($H796,CHAR(13)," "),CHAR(10)," "),CHAR(9)," "),CHAR(92),_xlfn.CONCAT(CHAR(92),CHAR(92))),"$",_xlfn.CONCAT(CHAR(92),"$")),CHAR(96),_xlfn.CONCAT(CHAR(92),CHAR(96))),CHAR(34),CHAR(39))))</f>
        <v/>
      </c>
      <c r="S796" s="5" t="str">
        <f>IF(OR(TRIM($B796)="",$I796=""),"",IF(OR(ISNUMBER(SEARCH(_xlfn.CONCAT(CHAR(96),CHAR(34)),$I796)),ISNUMBER(SEARCH(_xlfn.CONCAT(CHAR(34),CHAR(39)),$I796))),_xlfn.CONCAT("* REVIEW REQUIRED: compound-quote delimiter in Derivation on Sheet 1 row ",796,"; edit the input before running."),_xlfn.CONCAT("char ",TRIM($B796),"[doc_derivation] ",CHAR(96),CHAR(34),SUBSTITUTE(SUBSTITUTE(SUBSTITUTE(SUBSTITUTE(SUBSTITUTE(SUBSTITUTE($I796,CHAR(13)," "),CHAR(10)," "),CHAR(9)," "),CHAR(92),_xlfn.CONCAT(CHAR(92),CHAR(92))),"$",_xlfn.CONCAT(CHAR(92),"$")),CHAR(96),_xlfn.CONCAT(CHAR(92),CHAR(96))),CHAR(34),CHAR(39))))</f>
        <v/>
      </c>
      <c r="T796" s="5" t="str">
        <f>IF(OR(TRIM($B796)="",$J796=""),"",IF(OR(ISNUMBER(SEARCH(_xlfn.CONCAT(CHAR(96),CHAR(34)),$J796)),ISNUMBER(SEARCH(_xlfn.CONCAT(CHAR(34),CHAR(39)),$J796))),_xlfn.CONCAT("* REVIEW REQUIRED: compound-quote delimiter in Notes on Sheet 1 row ",796,"; edit the input before running."),_xlfn.CONCAT("char ",TRIM($B796),"[doc_notes] ",CHAR(96),CHAR(34),SUBSTITUTE(SUBSTITUTE(SUBSTITUTE(SUBSTITUTE(SUBSTITUTE(SUBSTITUTE($J796,CHAR(13)," "),CHAR(10)," "),CHAR(9)," "),CHAR(92),_xlfn.CONCAT(CHAR(92),CHAR(92))),"$",_xlfn.CONCAT(CHAR(92),"$")),CHAR(96),_xlfn.CONCAT(CHAR(92),CHAR(96))),CHAR(34),CHAR(39))))</f>
        <v/>
      </c>
      <c r="U796" s="5">
        <f t="shared" si="25"/>
        <v>0</v>
      </c>
    </row>
    <row r="797" spans="3:21" ht="30" customHeight="1" x14ac:dyDescent="0.2">
      <c r="C797" s="4"/>
      <c r="K797" s="5">
        <f t="shared" si="24"/>
        <v>0</v>
      </c>
      <c r="L797" s="5" t="str">
        <f>IF(OR(TRIM($B797)="",$A797=""),"",IF(OR(ISNUMBER(SEARCH(_xlfn.CONCAT(CHAR(96),CHAR(34)),$A797)),ISNUMBER(SEARCH(_xlfn.CONCAT(CHAR(34),CHAR(39)),$A797))),_xlfn.CONCAT("* REVIEW REQUIRED: compound-quote delimiter in Codebook Section on Sheet 1 row ",797,"; edit the input before running."),_xlfn.CONCAT("char ",TRIM($B797),"[doc_section] ",CHAR(96),CHAR(34),SUBSTITUTE(SUBSTITUTE(SUBSTITUTE(SUBSTITUTE(SUBSTITUTE(SUBSTITUTE($A797,CHAR(13)," "),CHAR(10)," "),CHAR(9)," "),CHAR(92),_xlfn.CONCAT(CHAR(92),CHAR(92))),"$",_xlfn.CONCAT(CHAR(92),"$")),CHAR(96),_xlfn.CONCAT(CHAR(92),CHAR(96))),CHAR(34),CHAR(39))))</f>
        <v/>
      </c>
      <c r="M797" s="5" t="str">
        <f>IF(OR(TRIM($B797)="",$C797=""),"",IF(IFERROR(MATCH(TRIM($C797),{"Quantitative","Continuous","Discrete","Categorical","Nominal","Ordinal","Identifier"},0),0)=0,_xlfn.CONCAT("* REVIEW REQUIRED: invalid Variable Type on Sheet 1 row ",797,"."),_xlfn.CONCAT("char ",TRIM($B797),"[doc_vartype] ",CHAR(96),CHAR(34),SUBSTITUTE(SUBSTITUTE(SUBSTITUTE(SUBSTITUTE(SUBSTITUTE(SUBSTITUTE(LOWER(TRIM($C797)),CHAR(13)," "),CHAR(10)," "),CHAR(9)," "),CHAR(92),_xlfn.CONCAT(CHAR(92),CHAR(92))),"$",_xlfn.CONCAT(CHAR(92),"$")),CHAR(96),_xlfn.CONCAT(CHAR(92),CHAR(96))),CHAR(34),CHAR(39))))</f>
        <v/>
      </c>
      <c r="N797" s="5" t="str">
        <f>IF(OR(TRIM($B797)="",$D797=""),"",IF(OR(ISNUMBER(SEARCH(_xlfn.CONCAT(CHAR(96),CHAR(34)),$D797)),ISNUMBER(SEARCH(_xlfn.CONCAT(CHAR(34),CHAR(39)),$D797))),_xlfn.CONCAT("* REVIEW REQUIRED: compound-quote delimiter in Item Number on Sheet 1 row ",797,"; edit the input before running."),_xlfn.CONCAT("char ",TRIM($B797),"[doc_itemnum] ",CHAR(96),CHAR(34),SUBSTITUTE(SUBSTITUTE(SUBSTITUTE(SUBSTITUTE(SUBSTITUTE(SUBSTITUTE($D797,CHAR(13)," "),CHAR(10)," "),CHAR(9)," "),CHAR(92),_xlfn.CONCAT(CHAR(92),CHAR(92))),"$",_xlfn.CONCAT(CHAR(92),"$")),CHAR(96),_xlfn.CONCAT(CHAR(92),CHAR(96))),CHAR(34),CHAR(39))))</f>
        <v/>
      </c>
      <c r="O797" s="5" t="str">
        <f>IF(OR(TRIM($B797)="",$E797=""),"",IF(OR(ISNUMBER(SEARCH(_xlfn.CONCAT(CHAR(96),CHAR(34)),$E797)),ISNUMBER(SEARCH(_xlfn.CONCAT(CHAR(34),CHAR(39)),$E797))),_xlfn.CONCAT("* REVIEW REQUIRED: compound-quote delimiter in Question Wording on Sheet 1 row ",797,"; edit the input before running."),_xlfn.CONCAT("char ",TRIM($B797),"[doc_question] ",CHAR(96),CHAR(34),SUBSTITUTE(SUBSTITUTE(SUBSTITUTE(SUBSTITUTE(SUBSTITUTE(SUBSTITUTE($E797,CHAR(13)," "),CHAR(10)," "),CHAR(9)," "),CHAR(92),_xlfn.CONCAT(CHAR(92),CHAR(92))),"$",_xlfn.CONCAT(CHAR(92),"$")),CHAR(96),_xlfn.CONCAT(CHAR(92),CHAR(96))),CHAR(34),CHAR(39))))</f>
        <v/>
      </c>
      <c r="P797" s="5" t="str">
        <f>IF(OR(TRIM($B797)="",$F797=""),"",IF(OR(ISNUMBER(SEARCH(_xlfn.CONCAT(CHAR(96),CHAR(34)),$F797)),ISNUMBER(SEARCH(_xlfn.CONCAT(CHAR(34),CHAR(39)),$F797))),_xlfn.CONCAT("* REVIEW REQUIRED: compound-quote delimiter in Units on Sheet 1 row ",797,"; edit the input before running."),_xlfn.CONCAT("char ",TRIM($B797),"[doc_units] ",CHAR(96),CHAR(34),SUBSTITUTE(SUBSTITUTE(SUBSTITUTE(SUBSTITUTE(SUBSTITUTE(SUBSTITUTE($F797,CHAR(13)," "),CHAR(10)," "),CHAR(9)," "),CHAR(92),_xlfn.CONCAT(CHAR(92),CHAR(92))),"$",_xlfn.CONCAT(CHAR(92),"$")),CHAR(96),_xlfn.CONCAT(CHAR(92),CHAR(96))),CHAR(34),CHAR(39))))</f>
        <v/>
      </c>
      <c r="Q797" s="5" t="str">
        <f>IF(OR(TRIM($B797)="",$G797=""),"",IF(OR(ISNUMBER(SEARCH(_xlfn.CONCAT(CHAR(96),CHAR(34)),$G797)),ISNUMBER(SEARCH(_xlfn.CONCAT(CHAR(34),CHAR(39)),$G797))),_xlfn.CONCAT("* REVIEW REQUIRED: compound-quote delimiter in Universe on Sheet 1 row ",797,"; edit the input before running."),_xlfn.CONCAT("char ",TRIM($B797),"[doc_universe] ",CHAR(96),CHAR(34),SUBSTITUTE(SUBSTITUTE(SUBSTITUTE(SUBSTITUTE(SUBSTITUTE(SUBSTITUTE($G797,CHAR(13)," "),CHAR(10)," "),CHAR(9)," "),CHAR(92),_xlfn.CONCAT(CHAR(92),CHAR(92))),"$",_xlfn.CONCAT(CHAR(92),"$")),CHAR(96),_xlfn.CONCAT(CHAR(92),CHAR(96))),CHAR(34),CHAR(39))))</f>
        <v/>
      </c>
      <c r="R797" s="5" t="str">
        <f>IF(OR(TRIM($B797)="",$H797=""),"",IF(OR(ISNUMBER(SEARCH(_xlfn.CONCAT(CHAR(96),CHAR(34)),$H797)),ISNUMBER(SEARCH(_xlfn.CONCAT(CHAR(34),CHAR(39)),$H797))),_xlfn.CONCAT("* REVIEW REQUIRED: compound-quote delimiter in Source on Sheet 1 row ",797,"; edit the input before running."),_xlfn.CONCAT("char ",TRIM($B797),"[doc_source] ",CHAR(96),CHAR(34),SUBSTITUTE(SUBSTITUTE(SUBSTITUTE(SUBSTITUTE(SUBSTITUTE(SUBSTITUTE($H797,CHAR(13)," "),CHAR(10)," "),CHAR(9)," "),CHAR(92),_xlfn.CONCAT(CHAR(92),CHAR(92))),"$",_xlfn.CONCAT(CHAR(92),"$")),CHAR(96),_xlfn.CONCAT(CHAR(92),CHAR(96))),CHAR(34),CHAR(39))))</f>
        <v/>
      </c>
      <c r="S797" s="5" t="str">
        <f>IF(OR(TRIM($B797)="",$I797=""),"",IF(OR(ISNUMBER(SEARCH(_xlfn.CONCAT(CHAR(96),CHAR(34)),$I797)),ISNUMBER(SEARCH(_xlfn.CONCAT(CHAR(34),CHAR(39)),$I797))),_xlfn.CONCAT("* REVIEW REQUIRED: compound-quote delimiter in Derivation on Sheet 1 row ",797,"; edit the input before running."),_xlfn.CONCAT("char ",TRIM($B797),"[doc_derivation] ",CHAR(96),CHAR(34),SUBSTITUTE(SUBSTITUTE(SUBSTITUTE(SUBSTITUTE(SUBSTITUTE(SUBSTITUTE($I797,CHAR(13)," "),CHAR(10)," "),CHAR(9)," "),CHAR(92),_xlfn.CONCAT(CHAR(92),CHAR(92))),"$",_xlfn.CONCAT(CHAR(92),"$")),CHAR(96),_xlfn.CONCAT(CHAR(92),CHAR(96))),CHAR(34),CHAR(39))))</f>
        <v/>
      </c>
      <c r="T797" s="5" t="str">
        <f>IF(OR(TRIM($B797)="",$J797=""),"",IF(OR(ISNUMBER(SEARCH(_xlfn.CONCAT(CHAR(96),CHAR(34)),$J797)),ISNUMBER(SEARCH(_xlfn.CONCAT(CHAR(34),CHAR(39)),$J797))),_xlfn.CONCAT("* REVIEW REQUIRED: compound-quote delimiter in Notes on Sheet 1 row ",797,"; edit the input before running."),_xlfn.CONCAT("char ",TRIM($B797),"[doc_notes] ",CHAR(96),CHAR(34),SUBSTITUTE(SUBSTITUTE(SUBSTITUTE(SUBSTITUTE(SUBSTITUTE(SUBSTITUTE($J797,CHAR(13)," "),CHAR(10)," "),CHAR(9)," "),CHAR(92),_xlfn.CONCAT(CHAR(92),CHAR(92))),"$",_xlfn.CONCAT(CHAR(92),"$")),CHAR(96),_xlfn.CONCAT(CHAR(92),CHAR(96))),CHAR(34),CHAR(39))))</f>
        <v/>
      </c>
      <c r="U797" s="5">
        <f t="shared" si="25"/>
        <v>0</v>
      </c>
    </row>
    <row r="798" spans="3:21" ht="30" customHeight="1" x14ac:dyDescent="0.2">
      <c r="C798" s="4"/>
      <c r="K798" s="5">
        <f t="shared" si="24"/>
        <v>0</v>
      </c>
      <c r="L798" s="5" t="str">
        <f>IF(OR(TRIM($B798)="",$A798=""),"",IF(OR(ISNUMBER(SEARCH(_xlfn.CONCAT(CHAR(96),CHAR(34)),$A798)),ISNUMBER(SEARCH(_xlfn.CONCAT(CHAR(34),CHAR(39)),$A798))),_xlfn.CONCAT("* REVIEW REQUIRED: compound-quote delimiter in Codebook Section on Sheet 1 row ",798,"; edit the input before running."),_xlfn.CONCAT("char ",TRIM($B798),"[doc_section] ",CHAR(96),CHAR(34),SUBSTITUTE(SUBSTITUTE(SUBSTITUTE(SUBSTITUTE(SUBSTITUTE(SUBSTITUTE($A798,CHAR(13)," "),CHAR(10)," "),CHAR(9)," "),CHAR(92),_xlfn.CONCAT(CHAR(92),CHAR(92))),"$",_xlfn.CONCAT(CHAR(92),"$")),CHAR(96),_xlfn.CONCAT(CHAR(92),CHAR(96))),CHAR(34),CHAR(39))))</f>
        <v/>
      </c>
      <c r="M798" s="5" t="str">
        <f>IF(OR(TRIM($B798)="",$C798=""),"",IF(IFERROR(MATCH(TRIM($C798),{"Quantitative","Continuous","Discrete","Categorical","Nominal","Ordinal","Identifier"},0),0)=0,_xlfn.CONCAT("* REVIEW REQUIRED: invalid Variable Type on Sheet 1 row ",798,"."),_xlfn.CONCAT("char ",TRIM($B798),"[doc_vartype] ",CHAR(96),CHAR(34),SUBSTITUTE(SUBSTITUTE(SUBSTITUTE(SUBSTITUTE(SUBSTITUTE(SUBSTITUTE(LOWER(TRIM($C798)),CHAR(13)," "),CHAR(10)," "),CHAR(9)," "),CHAR(92),_xlfn.CONCAT(CHAR(92),CHAR(92))),"$",_xlfn.CONCAT(CHAR(92),"$")),CHAR(96),_xlfn.CONCAT(CHAR(92),CHAR(96))),CHAR(34),CHAR(39))))</f>
        <v/>
      </c>
      <c r="N798" s="5" t="str">
        <f>IF(OR(TRIM($B798)="",$D798=""),"",IF(OR(ISNUMBER(SEARCH(_xlfn.CONCAT(CHAR(96),CHAR(34)),$D798)),ISNUMBER(SEARCH(_xlfn.CONCAT(CHAR(34),CHAR(39)),$D798))),_xlfn.CONCAT("* REVIEW REQUIRED: compound-quote delimiter in Item Number on Sheet 1 row ",798,"; edit the input before running."),_xlfn.CONCAT("char ",TRIM($B798),"[doc_itemnum] ",CHAR(96),CHAR(34),SUBSTITUTE(SUBSTITUTE(SUBSTITUTE(SUBSTITUTE(SUBSTITUTE(SUBSTITUTE($D798,CHAR(13)," "),CHAR(10)," "),CHAR(9)," "),CHAR(92),_xlfn.CONCAT(CHAR(92),CHAR(92))),"$",_xlfn.CONCAT(CHAR(92),"$")),CHAR(96),_xlfn.CONCAT(CHAR(92),CHAR(96))),CHAR(34),CHAR(39))))</f>
        <v/>
      </c>
      <c r="O798" s="5" t="str">
        <f>IF(OR(TRIM($B798)="",$E798=""),"",IF(OR(ISNUMBER(SEARCH(_xlfn.CONCAT(CHAR(96),CHAR(34)),$E798)),ISNUMBER(SEARCH(_xlfn.CONCAT(CHAR(34),CHAR(39)),$E798))),_xlfn.CONCAT("* REVIEW REQUIRED: compound-quote delimiter in Question Wording on Sheet 1 row ",798,"; edit the input before running."),_xlfn.CONCAT("char ",TRIM($B798),"[doc_question] ",CHAR(96),CHAR(34),SUBSTITUTE(SUBSTITUTE(SUBSTITUTE(SUBSTITUTE(SUBSTITUTE(SUBSTITUTE($E798,CHAR(13)," "),CHAR(10)," "),CHAR(9)," "),CHAR(92),_xlfn.CONCAT(CHAR(92),CHAR(92))),"$",_xlfn.CONCAT(CHAR(92),"$")),CHAR(96),_xlfn.CONCAT(CHAR(92),CHAR(96))),CHAR(34),CHAR(39))))</f>
        <v/>
      </c>
      <c r="P798" s="5" t="str">
        <f>IF(OR(TRIM($B798)="",$F798=""),"",IF(OR(ISNUMBER(SEARCH(_xlfn.CONCAT(CHAR(96),CHAR(34)),$F798)),ISNUMBER(SEARCH(_xlfn.CONCAT(CHAR(34),CHAR(39)),$F798))),_xlfn.CONCAT("* REVIEW REQUIRED: compound-quote delimiter in Units on Sheet 1 row ",798,"; edit the input before running."),_xlfn.CONCAT("char ",TRIM($B798),"[doc_units] ",CHAR(96),CHAR(34),SUBSTITUTE(SUBSTITUTE(SUBSTITUTE(SUBSTITUTE(SUBSTITUTE(SUBSTITUTE($F798,CHAR(13)," "),CHAR(10)," "),CHAR(9)," "),CHAR(92),_xlfn.CONCAT(CHAR(92),CHAR(92))),"$",_xlfn.CONCAT(CHAR(92),"$")),CHAR(96),_xlfn.CONCAT(CHAR(92),CHAR(96))),CHAR(34),CHAR(39))))</f>
        <v/>
      </c>
      <c r="Q798" s="5" t="str">
        <f>IF(OR(TRIM($B798)="",$G798=""),"",IF(OR(ISNUMBER(SEARCH(_xlfn.CONCAT(CHAR(96),CHAR(34)),$G798)),ISNUMBER(SEARCH(_xlfn.CONCAT(CHAR(34),CHAR(39)),$G798))),_xlfn.CONCAT("* REVIEW REQUIRED: compound-quote delimiter in Universe on Sheet 1 row ",798,"; edit the input before running."),_xlfn.CONCAT("char ",TRIM($B798),"[doc_universe] ",CHAR(96),CHAR(34),SUBSTITUTE(SUBSTITUTE(SUBSTITUTE(SUBSTITUTE(SUBSTITUTE(SUBSTITUTE($G798,CHAR(13)," "),CHAR(10)," "),CHAR(9)," "),CHAR(92),_xlfn.CONCAT(CHAR(92),CHAR(92))),"$",_xlfn.CONCAT(CHAR(92),"$")),CHAR(96),_xlfn.CONCAT(CHAR(92),CHAR(96))),CHAR(34),CHAR(39))))</f>
        <v/>
      </c>
      <c r="R798" s="5" t="str">
        <f>IF(OR(TRIM($B798)="",$H798=""),"",IF(OR(ISNUMBER(SEARCH(_xlfn.CONCAT(CHAR(96),CHAR(34)),$H798)),ISNUMBER(SEARCH(_xlfn.CONCAT(CHAR(34),CHAR(39)),$H798))),_xlfn.CONCAT("* REVIEW REQUIRED: compound-quote delimiter in Source on Sheet 1 row ",798,"; edit the input before running."),_xlfn.CONCAT("char ",TRIM($B798),"[doc_source] ",CHAR(96),CHAR(34),SUBSTITUTE(SUBSTITUTE(SUBSTITUTE(SUBSTITUTE(SUBSTITUTE(SUBSTITUTE($H798,CHAR(13)," "),CHAR(10)," "),CHAR(9)," "),CHAR(92),_xlfn.CONCAT(CHAR(92),CHAR(92))),"$",_xlfn.CONCAT(CHAR(92),"$")),CHAR(96),_xlfn.CONCAT(CHAR(92),CHAR(96))),CHAR(34),CHAR(39))))</f>
        <v/>
      </c>
      <c r="S798" s="5" t="str">
        <f>IF(OR(TRIM($B798)="",$I798=""),"",IF(OR(ISNUMBER(SEARCH(_xlfn.CONCAT(CHAR(96),CHAR(34)),$I798)),ISNUMBER(SEARCH(_xlfn.CONCAT(CHAR(34),CHAR(39)),$I798))),_xlfn.CONCAT("* REVIEW REQUIRED: compound-quote delimiter in Derivation on Sheet 1 row ",798,"; edit the input before running."),_xlfn.CONCAT("char ",TRIM($B798),"[doc_derivation] ",CHAR(96),CHAR(34),SUBSTITUTE(SUBSTITUTE(SUBSTITUTE(SUBSTITUTE(SUBSTITUTE(SUBSTITUTE($I798,CHAR(13)," "),CHAR(10)," "),CHAR(9)," "),CHAR(92),_xlfn.CONCAT(CHAR(92),CHAR(92))),"$",_xlfn.CONCAT(CHAR(92),"$")),CHAR(96),_xlfn.CONCAT(CHAR(92),CHAR(96))),CHAR(34),CHAR(39))))</f>
        <v/>
      </c>
      <c r="T798" s="5" t="str">
        <f>IF(OR(TRIM($B798)="",$J798=""),"",IF(OR(ISNUMBER(SEARCH(_xlfn.CONCAT(CHAR(96),CHAR(34)),$J798)),ISNUMBER(SEARCH(_xlfn.CONCAT(CHAR(34),CHAR(39)),$J798))),_xlfn.CONCAT("* REVIEW REQUIRED: compound-quote delimiter in Notes on Sheet 1 row ",798,"; edit the input before running."),_xlfn.CONCAT("char ",TRIM($B798),"[doc_notes] ",CHAR(96),CHAR(34),SUBSTITUTE(SUBSTITUTE(SUBSTITUTE(SUBSTITUTE(SUBSTITUTE(SUBSTITUTE($J798,CHAR(13)," "),CHAR(10)," "),CHAR(9)," "),CHAR(92),_xlfn.CONCAT(CHAR(92),CHAR(92))),"$",_xlfn.CONCAT(CHAR(92),"$")),CHAR(96),_xlfn.CONCAT(CHAR(92),CHAR(96))),CHAR(34),CHAR(39))))</f>
        <v/>
      </c>
      <c r="U798" s="5">
        <f t="shared" si="25"/>
        <v>0</v>
      </c>
    </row>
    <row r="799" spans="3:21" ht="30" customHeight="1" x14ac:dyDescent="0.2">
      <c r="C799" s="4"/>
      <c r="K799" s="5">
        <f t="shared" si="24"/>
        <v>0</v>
      </c>
      <c r="L799" s="5" t="str">
        <f>IF(OR(TRIM($B799)="",$A799=""),"",IF(OR(ISNUMBER(SEARCH(_xlfn.CONCAT(CHAR(96),CHAR(34)),$A799)),ISNUMBER(SEARCH(_xlfn.CONCAT(CHAR(34),CHAR(39)),$A799))),_xlfn.CONCAT("* REVIEW REQUIRED: compound-quote delimiter in Codebook Section on Sheet 1 row ",799,"; edit the input before running."),_xlfn.CONCAT("char ",TRIM($B799),"[doc_section] ",CHAR(96),CHAR(34),SUBSTITUTE(SUBSTITUTE(SUBSTITUTE(SUBSTITUTE(SUBSTITUTE(SUBSTITUTE($A799,CHAR(13)," "),CHAR(10)," "),CHAR(9)," "),CHAR(92),_xlfn.CONCAT(CHAR(92),CHAR(92))),"$",_xlfn.CONCAT(CHAR(92),"$")),CHAR(96),_xlfn.CONCAT(CHAR(92),CHAR(96))),CHAR(34),CHAR(39))))</f>
        <v/>
      </c>
      <c r="M799" s="5" t="str">
        <f>IF(OR(TRIM($B799)="",$C799=""),"",IF(IFERROR(MATCH(TRIM($C799),{"Quantitative","Continuous","Discrete","Categorical","Nominal","Ordinal","Identifier"},0),0)=0,_xlfn.CONCAT("* REVIEW REQUIRED: invalid Variable Type on Sheet 1 row ",799,"."),_xlfn.CONCAT("char ",TRIM($B799),"[doc_vartype] ",CHAR(96),CHAR(34),SUBSTITUTE(SUBSTITUTE(SUBSTITUTE(SUBSTITUTE(SUBSTITUTE(SUBSTITUTE(LOWER(TRIM($C799)),CHAR(13)," "),CHAR(10)," "),CHAR(9)," "),CHAR(92),_xlfn.CONCAT(CHAR(92),CHAR(92))),"$",_xlfn.CONCAT(CHAR(92),"$")),CHAR(96),_xlfn.CONCAT(CHAR(92),CHAR(96))),CHAR(34),CHAR(39))))</f>
        <v/>
      </c>
      <c r="N799" s="5" t="str">
        <f>IF(OR(TRIM($B799)="",$D799=""),"",IF(OR(ISNUMBER(SEARCH(_xlfn.CONCAT(CHAR(96),CHAR(34)),$D799)),ISNUMBER(SEARCH(_xlfn.CONCAT(CHAR(34),CHAR(39)),$D799))),_xlfn.CONCAT("* REVIEW REQUIRED: compound-quote delimiter in Item Number on Sheet 1 row ",799,"; edit the input before running."),_xlfn.CONCAT("char ",TRIM($B799),"[doc_itemnum] ",CHAR(96),CHAR(34),SUBSTITUTE(SUBSTITUTE(SUBSTITUTE(SUBSTITUTE(SUBSTITUTE(SUBSTITUTE($D799,CHAR(13)," "),CHAR(10)," "),CHAR(9)," "),CHAR(92),_xlfn.CONCAT(CHAR(92),CHAR(92))),"$",_xlfn.CONCAT(CHAR(92),"$")),CHAR(96),_xlfn.CONCAT(CHAR(92),CHAR(96))),CHAR(34),CHAR(39))))</f>
        <v/>
      </c>
      <c r="O799" s="5" t="str">
        <f>IF(OR(TRIM($B799)="",$E799=""),"",IF(OR(ISNUMBER(SEARCH(_xlfn.CONCAT(CHAR(96),CHAR(34)),$E799)),ISNUMBER(SEARCH(_xlfn.CONCAT(CHAR(34),CHAR(39)),$E799))),_xlfn.CONCAT("* REVIEW REQUIRED: compound-quote delimiter in Question Wording on Sheet 1 row ",799,"; edit the input before running."),_xlfn.CONCAT("char ",TRIM($B799),"[doc_question] ",CHAR(96),CHAR(34),SUBSTITUTE(SUBSTITUTE(SUBSTITUTE(SUBSTITUTE(SUBSTITUTE(SUBSTITUTE($E799,CHAR(13)," "),CHAR(10)," "),CHAR(9)," "),CHAR(92),_xlfn.CONCAT(CHAR(92),CHAR(92))),"$",_xlfn.CONCAT(CHAR(92),"$")),CHAR(96),_xlfn.CONCAT(CHAR(92),CHAR(96))),CHAR(34),CHAR(39))))</f>
        <v/>
      </c>
      <c r="P799" s="5" t="str">
        <f>IF(OR(TRIM($B799)="",$F799=""),"",IF(OR(ISNUMBER(SEARCH(_xlfn.CONCAT(CHAR(96),CHAR(34)),$F799)),ISNUMBER(SEARCH(_xlfn.CONCAT(CHAR(34),CHAR(39)),$F799))),_xlfn.CONCAT("* REVIEW REQUIRED: compound-quote delimiter in Units on Sheet 1 row ",799,"; edit the input before running."),_xlfn.CONCAT("char ",TRIM($B799),"[doc_units] ",CHAR(96),CHAR(34),SUBSTITUTE(SUBSTITUTE(SUBSTITUTE(SUBSTITUTE(SUBSTITUTE(SUBSTITUTE($F799,CHAR(13)," "),CHAR(10)," "),CHAR(9)," "),CHAR(92),_xlfn.CONCAT(CHAR(92),CHAR(92))),"$",_xlfn.CONCAT(CHAR(92),"$")),CHAR(96),_xlfn.CONCAT(CHAR(92),CHAR(96))),CHAR(34),CHAR(39))))</f>
        <v/>
      </c>
      <c r="Q799" s="5" t="str">
        <f>IF(OR(TRIM($B799)="",$G799=""),"",IF(OR(ISNUMBER(SEARCH(_xlfn.CONCAT(CHAR(96),CHAR(34)),$G799)),ISNUMBER(SEARCH(_xlfn.CONCAT(CHAR(34),CHAR(39)),$G799))),_xlfn.CONCAT("* REVIEW REQUIRED: compound-quote delimiter in Universe on Sheet 1 row ",799,"; edit the input before running."),_xlfn.CONCAT("char ",TRIM($B799),"[doc_universe] ",CHAR(96),CHAR(34),SUBSTITUTE(SUBSTITUTE(SUBSTITUTE(SUBSTITUTE(SUBSTITUTE(SUBSTITUTE($G799,CHAR(13)," "),CHAR(10)," "),CHAR(9)," "),CHAR(92),_xlfn.CONCAT(CHAR(92),CHAR(92))),"$",_xlfn.CONCAT(CHAR(92),"$")),CHAR(96),_xlfn.CONCAT(CHAR(92),CHAR(96))),CHAR(34),CHAR(39))))</f>
        <v/>
      </c>
      <c r="R799" s="5" t="str">
        <f>IF(OR(TRIM($B799)="",$H799=""),"",IF(OR(ISNUMBER(SEARCH(_xlfn.CONCAT(CHAR(96),CHAR(34)),$H799)),ISNUMBER(SEARCH(_xlfn.CONCAT(CHAR(34),CHAR(39)),$H799))),_xlfn.CONCAT("* REVIEW REQUIRED: compound-quote delimiter in Source on Sheet 1 row ",799,"; edit the input before running."),_xlfn.CONCAT("char ",TRIM($B799),"[doc_source] ",CHAR(96),CHAR(34),SUBSTITUTE(SUBSTITUTE(SUBSTITUTE(SUBSTITUTE(SUBSTITUTE(SUBSTITUTE($H799,CHAR(13)," "),CHAR(10)," "),CHAR(9)," "),CHAR(92),_xlfn.CONCAT(CHAR(92),CHAR(92))),"$",_xlfn.CONCAT(CHAR(92),"$")),CHAR(96),_xlfn.CONCAT(CHAR(92),CHAR(96))),CHAR(34),CHAR(39))))</f>
        <v/>
      </c>
      <c r="S799" s="5" t="str">
        <f>IF(OR(TRIM($B799)="",$I799=""),"",IF(OR(ISNUMBER(SEARCH(_xlfn.CONCAT(CHAR(96),CHAR(34)),$I799)),ISNUMBER(SEARCH(_xlfn.CONCAT(CHAR(34),CHAR(39)),$I799))),_xlfn.CONCAT("* REVIEW REQUIRED: compound-quote delimiter in Derivation on Sheet 1 row ",799,"; edit the input before running."),_xlfn.CONCAT("char ",TRIM($B799),"[doc_derivation] ",CHAR(96),CHAR(34),SUBSTITUTE(SUBSTITUTE(SUBSTITUTE(SUBSTITUTE(SUBSTITUTE(SUBSTITUTE($I799,CHAR(13)," "),CHAR(10)," "),CHAR(9)," "),CHAR(92),_xlfn.CONCAT(CHAR(92),CHAR(92))),"$",_xlfn.CONCAT(CHAR(92),"$")),CHAR(96),_xlfn.CONCAT(CHAR(92),CHAR(96))),CHAR(34),CHAR(39))))</f>
        <v/>
      </c>
      <c r="T799" s="5" t="str">
        <f>IF(OR(TRIM($B799)="",$J799=""),"",IF(OR(ISNUMBER(SEARCH(_xlfn.CONCAT(CHAR(96),CHAR(34)),$J799)),ISNUMBER(SEARCH(_xlfn.CONCAT(CHAR(34),CHAR(39)),$J799))),_xlfn.CONCAT("* REVIEW REQUIRED: compound-quote delimiter in Notes on Sheet 1 row ",799,"; edit the input before running."),_xlfn.CONCAT("char ",TRIM($B799),"[doc_notes] ",CHAR(96),CHAR(34),SUBSTITUTE(SUBSTITUTE(SUBSTITUTE(SUBSTITUTE(SUBSTITUTE(SUBSTITUTE($J799,CHAR(13)," "),CHAR(10)," "),CHAR(9)," "),CHAR(92),_xlfn.CONCAT(CHAR(92),CHAR(92))),"$",_xlfn.CONCAT(CHAR(92),"$")),CHAR(96),_xlfn.CONCAT(CHAR(92),CHAR(96))),CHAR(34),CHAR(39))))</f>
        <v/>
      </c>
      <c r="U799" s="5">
        <f t="shared" si="25"/>
        <v>0</v>
      </c>
    </row>
    <row r="800" spans="3:21" ht="30" customHeight="1" x14ac:dyDescent="0.2">
      <c r="C800" s="4"/>
      <c r="K800" s="5">
        <f t="shared" si="24"/>
        <v>0</v>
      </c>
      <c r="L800" s="5" t="str">
        <f>IF(OR(TRIM($B800)="",$A800=""),"",IF(OR(ISNUMBER(SEARCH(_xlfn.CONCAT(CHAR(96),CHAR(34)),$A800)),ISNUMBER(SEARCH(_xlfn.CONCAT(CHAR(34),CHAR(39)),$A800))),_xlfn.CONCAT("* REVIEW REQUIRED: compound-quote delimiter in Codebook Section on Sheet 1 row ",800,"; edit the input before running."),_xlfn.CONCAT("char ",TRIM($B800),"[doc_section] ",CHAR(96),CHAR(34),SUBSTITUTE(SUBSTITUTE(SUBSTITUTE(SUBSTITUTE(SUBSTITUTE(SUBSTITUTE($A800,CHAR(13)," "),CHAR(10)," "),CHAR(9)," "),CHAR(92),_xlfn.CONCAT(CHAR(92),CHAR(92))),"$",_xlfn.CONCAT(CHAR(92),"$")),CHAR(96),_xlfn.CONCAT(CHAR(92),CHAR(96))),CHAR(34),CHAR(39))))</f>
        <v/>
      </c>
      <c r="M800" s="5" t="str">
        <f>IF(OR(TRIM($B800)="",$C800=""),"",IF(IFERROR(MATCH(TRIM($C800),{"Quantitative","Continuous","Discrete","Categorical","Nominal","Ordinal","Identifier"},0),0)=0,_xlfn.CONCAT("* REVIEW REQUIRED: invalid Variable Type on Sheet 1 row ",800,"."),_xlfn.CONCAT("char ",TRIM($B800),"[doc_vartype] ",CHAR(96),CHAR(34),SUBSTITUTE(SUBSTITUTE(SUBSTITUTE(SUBSTITUTE(SUBSTITUTE(SUBSTITUTE(LOWER(TRIM($C800)),CHAR(13)," "),CHAR(10)," "),CHAR(9)," "),CHAR(92),_xlfn.CONCAT(CHAR(92),CHAR(92))),"$",_xlfn.CONCAT(CHAR(92),"$")),CHAR(96),_xlfn.CONCAT(CHAR(92),CHAR(96))),CHAR(34),CHAR(39))))</f>
        <v/>
      </c>
      <c r="N800" s="5" t="str">
        <f>IF(OR(TRIM($B800)="",$D800=""),"",IF(OR(ISNUMBER(SEARCH(_xlfn.CONCAT(CHAR(96),CHAR(34)),$D800)),ISNUMBER(SEARCH(_xlfn.CONCAT(CHAR(34),CHAR(39)),$D800))),_xlfn.CONCAT("* REVIEW REQUIRED: compound-quote delimiter in Item Number on Sheet 1 row ",800,"; edit the input before running."),_xlfn.CONCAT("char ",TRIM($B800),"[doc_itemnum] ",CHAR(96),CHAR(34),SUBSTITUTE(SUBSTITUTE(SUBSTITUTE(SUBSTITUTE(SUBSTITUTE(SUBSTITUTE($D800,CHAR(13)," "),CHAR(10)," "),CHAR(9)," "),CHAR(92),_xlfn.CONCAT(CHAR(92),CHAR(92))),"$",_xlfn.CONCAT(CHAR(92),"$")),CHAR(96),_xlfn.CONCAT(CHAR(92),CHAR(96))),CHAR(34),CHAR(39))))</f>
        <v/>
      </c>
      <c r="O800" s="5" t="str">
        <f>IF(OR(TRIM($B800)="",$E800=""),"",IF(OR(ISNUMBER(SEARCH(_xlfn.CONCAT(CHAR(96),CHAR(34)),$E800)),ISNUMBER(SEARCH(_xlfn.CONCAT(CHAR(34),CHAR(39)),$E800))),_xlfn.CONCAT("* REVIEW REQUIRED: compound-quote delimiter in Question Wording on Sheet 1 row ",800,"; edit the input before running."),_xlfn.CONCAT("char ",TRIM($B800),"[doc_question] ",CHAR(96),CHAR(34),SUBSTITUTE(SUBSTITUTE(SUBSTITUTE(SUBSTITUTE(SUBSTITUTE(SUBSTITUTE($E800,CHAR(13)," "),CHAR(10)," "),CHAR(9)," "),CHAR(92),_xlfn.CONCAT(CHAR(92),CHAR(92))),"$",_xlfn.CONCAT(CHAR(92),"$")),CHAR(96),_xlfn.CONCAT(CHAR(92),CHAR(96))),CHAR(34),CHAR(39))))</f>
        <v/>
      </c>
      <c r="P800" s="5" t="str">
        <f>IF(OR(TRIM($B800)="",$F800=""),"",IF(OR(ISNUMBER(SEARCH(_xlfn.CONCAT(CHAR(96),CHAR(34)),$F800)),ISNUMBER(SEARCH(_xlfn.CONCAT(CHAR(34),CHAR(39)),$F800))),_xlfn.CONCAT("* REVIEW REQUIRED: compound-quote delimiter in Units on Sheet 1 row ",800,"; edit the input before running."),_xlfn.CONCAT("char ",TRIM($B800),"[doc_units] ",CHAR(96),CHAR(34),SUBSTITUTE(SUBSTITUTE(SUBSTITUTE(SUBSTITUTE(SUBSTITUTE(SUBSTITUTE($F800,CHAR(13)," "),CHAR(10)," "),CHAR(9)," "),CHAR(92),_xlfn.CONCAT(CHAR(92),CHAR(92))),"$",_xlfn.CONCAT(CHAR(92),"$")),CHAR(96),_xlfn.CONCAT(CHAR(92),CHAR(96))),CHAR(34),CHAR(39))))</f>
        <v/>
      </c>
      <c r="Q800" s="5" t="str">
        <f>IF(OR(TRIM($B800)="",$G800=""),"",IF(OR(ISNUMBER(SEARCH(_xlfn.CONCAT(CHAR(96),CHAR(34)),$G800)),ISNUMBER(SEARCH(_xlfn.CONCAT(CHAR(34),CHAR(39)),$G800))),_xlfn.CONCAT("* REVIEW REQUIRED: compound-quote delimiter in Universe on Sheet 1 row ",800,"; edit the input before running."),_xlfn.CONCAT("char ",TRIM($B800),"[doc_universe] ",CHAR(96),CHAR(34),SUBSTITUTE(SUBSTITUTE(SUBSTITUTE(SUBSTITUTE(SUBSTITUTE(SUBSTITUTE($G800,CHAR(13)," "),CHAR(10)," "),CHAR(9)," "),CHAR(92),_xlfn.CONCAT(CHAR(92),CHAR(92))),"$",_xlfn.CONCAT(CHAR(92),"$")),CHAR(96),_xlfn.CONCAT(CHAR(92),CHAR(96))),CHAR(34),CHAR(39))))</f>
        <v/>
      </c>
      <c r="R800" s="5" t="str">
        <f>IF(OR(TRIM($B800)="",$H800=""),"",IF(OR(ISNUMBER(SEARCH(_xlfn.CONCAT(CHAR(96),CHAR(34)),$H800)),ISNUMBER(SEARCH(_xlfn.CONCAT(CHAR(34),CHAR(39)),$H800))),_xlfn.CONCAT("* REVIEW REQUIRED: compound-quote delimiter in Source on Sheet 1 row ",800,"; edit the input before running."),_xlfn.CONCAT("char ",TRIM($B800),"[doc_source] ",CHAR(96),CHAR(34),SUBSTITUTE(SUBSTITUTE(SUBSTITUTE(SUBSTITUTE(SUBSTITUTE(SUBSTITUTE($H800,CHAR(13)," "),CHAR(10)," "),CHAR(9)," "),CHAR(92),_xlfn.CONCAT(CHAR(92),CHAR(92))),"$",_xlfn.CONCAT(CHAR(92),"$")),CHAR(96),_xlfn.CONCAT(CHAR(92),CHAR(96))),CHAR(34),CHAR(39))))</f>
        <v/>
      </c>
      <c r="S800" s="5" t="str">
        <f>IF(OR(TRIM($B800)="",$I800=""),"",IF(OR(ISNUMBER(SEARCH(_xlfn.CONCAT(CHAR(96),CHAR(34)),$I800)),ISNUMBER(SEARCH(_xlfn.CONCAT(CHAR(34),CHAR(39)),$I800))),_xlfn.CONCAT("* REVIEW REQUIRED: compound-quote delimiter in Derivation on Sheet 1 row ",800,"; edit the input before running."),_xlfn.CONCAT("char ",TRIM($B800),"[doc_derivation] ",CHAR(96),CHAR(34),SUBSTITUTE(SUBSTITUTE(SUBSTITUTE(SUBSTITUTE(SUBSTITUTE(SUBSTITUTE($I800,CHAR(13)," "),CHAR(10)," "),CHAR(9)," "),CHAR(92),_xlfn.CONCAT(CHAR(92),CHAR(92))),"$",_xlfn.CONCAT(CHAR(92),"$")),CHAR(96),_xlfn.CONCAT(CHAR(92),CHAR(96))),CHAR(34),CHAR(39))))</f>
        <v/>
      </c>
      <c r="T800" s="5" t="str">
        <f>IF(OR(TRIM($B800)="",$J800=""),"",IF(OR(ISNUMBER(SEARCH(_xlfn.CONCAT(CHAR(96),CHAR(34)),$J800)),ISNUMBER(SEARCH(_xlfn.CONCAT(CHAR(34),CHAR(39)),$J800))),_xlfn.CONCAT("* REVIEW REQUIRED: compound-quote delimiter in Notes on Sheet 1 row ",800,"; edit the input before running."),_xlfn.CONCAT("char ",TRIM($B800),"[doc_notes] ",CHAR(96),CHAR(34),SUBSTITUTE(SUBSTITUTE(SUBSTITUTE(SUBSTITUTE(SUBSTITUTE(SUBSTITUTE($J800,CHAR(13)," "),CHAR(10)," "),CHAR(9)," "),CHAR(92),_xlfn.CONCAT(CHAR(92),CHAR(92))),"$",_xlfn.CONCAT(CHAR(92),"$")),CHAR(96),_xlfn.CONCAT(CHAR(92),CHAR(96))),CHAR(34),CHAR(39))))</f>
        <v/>
      </c>
      <c r="U800" s="5">
        <f t="shared" si="25"/>
        <v>0</v>
      </c>
    </row>
    <row r="801" spans="3:21" ht="30" customHeight="1" x14ac:dyDescent="0.2">
      <c r="C801" s="4"/>
      <c r="K801" s="5">
        <f t="shared" si="24"/>
        <v>0</v>
      </c>
      <c r="L801" s="5" t="str">
        <f>IF(OR(TRIM($B801)="",$A801=""),"",IF(OR(ISNUMBER(SEARCH(_xlfn.CONCAT(CHAR(96),CHAR(34)),$A801)),ISNUMBER(SEARCH(_xlfn.CONCAT(CHAR(34),CHAR(39)),$A801))),_xlfn.CONCAT("* REVIEW REQUIRED: compound-quote delimiter in Codebook Section on Sheet 1 row ",801,"; edit the input before running."),_xlfn.CONCAT("char ",TRIM($B801),"[doc_section] ",CHAR(96),CHAR(34),SUBSTITUTE(SUBSTITUTE(SUBSTITUTE(SUBSTITUTE(SUBSTITUTE(SUBSTITUTE($A801,CHAR(13)," "),CHAR(10)," "),CHAR(9)," "),CHAR(92),_xlfn.CONCAT(CHAR(92),CHAR(92))),"$",_xlfn.CONCAT(CHAR(92),"$")),CHAR(96),_xlfn.CONCAT(CHAR(92),CHAR(96))),CHAR(34),CHAR(39))))</f>
        <v/>
      </c>
      <c r="M801" s="5" t="str">
        <f>IF(OR(TRIM($B801)="",$C801=""),"",IF(IFERROR(MATCH(TRIM($C801),{"Quantitative","Continuous","Discrete","Categorical","Nominal","Ordinal","Identifier"},0),0)=0,_xlfn.CONCAT("* REVIEW REQUIRED: invalid Variable Type on Sheet 1 row ",801,"."),_xlfn.CONCAT("char ",TRIM($B801),"[doc_vartype] ",CHAR(96),CHAR(34),SUBSTITUTE(SUBSTITUTE(SUBSTITUTE(SUBSTITUTE(SUBSTITUTE(SUBSTITUTE(LOWER(TRIM($C801)),CHAR(13)," "),CHAR(10)," "),CHAR(9)," "),CHAR(92),_xlfn.CONCAT(CHAR(92),CHAR(92))),"$",_xlfn.CONCAT(CHAR(92),"$")),CHAR(96),_xlfn.CONCAT(CHAR(92),CHAR(96))),CHAR(34),CHAR(39))))</f>
        <v/>
      </c>
      <c r="N801" s="5" t="str">
        <f>IF(OR(TRIM($B801)="",$D801=""),"",IF(OR(ISNUMBER(SEARCH(_xlfn.CONCAT(CHAR(96),CHAR(34)),$D801)),ISNUMBER(SEARCH(_xlfn.CONCAT(CHAR(34),CHAR(39)),$D801))),_xlfn.CONCAT("* REVIEW REQUIRED: compound-quote delimiter in Item Number on Sheet 1 row ",801,"; edit the input before running."),_xlfn.CONCAT("char ",TRIM($B801),"[doc_itemnum] ",CHAR(96),CHAR(34),SUBSTITUTE(SUBSTITUTE(SUBSTITUTE(SUBSTITUTE(SUBSTITUTE(SUBSTITUTE($D801,CHAR(13)," "),CHAR(10)," "),CHAR(9)," "),CHAR(92),_xlfn.CONCAT(CHAR(92),CHAR(92))),"$",_xlfn.CONCAT(CHAR(92),"$")),CHAR(96),_xlfn.CONCAT(CHAR(92),CHAR(96))),CHAR(34),CHAR(39))))</f>
        <v/>
      </c>
      <c r="O801" s="5" t="str">
        <f>IF(OR(TRIM($B801)="",$E801=""),"",IF(OR(ISNUMBER(SEARCH(_xlfn.CONCAT(CHAR(96),CHAR(34)),$E801)),ISNUMBER(SEARCH(_xlfn.CONCAT(CHAR(34),CHAR(39)),$E801))),_xlfn.CONCAT("* REVIEW REQUIRED: compound-quote delimiter in Question Wording on Sheet 1 row ",801,"; edit the input before running."),_xlfn.CONCAT("char ",TRIM($B801),"[doc_question] ",CHAR(96),CHAR(34),SUBSTITUTE(SUBSTITUTE(SUBSTITUTE(SUBSTITUTE(SUBSTITUTE(SUBSTITUTE($E801,CHAR(13)," "),CHAR(10)," "),CHAR(9)," "),CHAR(92),_xlfn.CONCAT(CHAR(92),CHAR(92))),"$",_xlfn.CONCAT(CHAR(92),"$")),CHAR(96),_xlfn.CONCAT(CHAR(92),CHAR(96))),CHAR(34),CHAR(39))))</f>
        <v/>
      </c>
      <c r="P801" s="5" t="str">
        <f>IF(OR(TRIM($B801)="",$F801=""),"",IF(OR(ISNUMBER(SEARCH(_xlfn.CONCAT(CHAR(96),CHAR(34)),$F801)),ISNUMBER(SEARCH(_xlfn.CONCAT(CHAR(34),CHAR(39)),$F801))),_xlfn.CONCAT("* REVIEW REQUIRED: compound-quote delimiter in Units on Sheet 1 row ",801,"; edit the input before running."),_xlfn.CONCAT("char ",TRIM($B801),"[doc_units] ",CHAR(96),CHAR(34),SUBSTITUTE(SUBSTITUTE(SUBSTITUTE(SUBSTITUTE(SUBSTITUTE(SUBSTITUTE($F801,CHAR(13)," "),CHAR(10)," "),CHAR(9)," "),CHAR(92),_xlfn.CONCAT(CHAR(92),CHAR(92))),"$",_xlfn.CONCAT(CHAR(92),"$")),CHAR(96),_xlfn.CONCAT(CHAR(92),CHAR(96))),CHAR(34),CHAR(39))))</f>
        <v/>
      </c>
      <c r="Q801" s="5" t="str">
        <f>IF(OR(TRIM($B801)="",$G801=""),"",IF(OR(ISNUMBER(SEARCH(_xlfn.CONCAT(CHAR(96),CHAR(34)),$G801)),ISNUMBER(SEARCH(_xlfn.CONCAT(CHAR(34),CHAR(39)),$G801))),_xlfn.CONCAT("* REVIEW REQUIRED: compound-quote delimiter in Universe on Sheet 1 row ",801,"; edit the input before running."),_xlfn.CONCAT("char ",TRIM($B801),"[doc_universe] ",CHAR(96),CHAR(34),SUBSTITUTE(SUBSTITUTE(SUBSTITUTE(SUBSTITUTE(SUBSTITUTE(SUBSTITUTE($G801,CHAR(13)," "),CHAR(10)," "),CHAR(9)," "),CHAR(92),_xlfn.CONCAT(CHAR(92),CHAR(92))),"$",_xlfn.CONCAT(CHAR(92),"$")),CHAR(96),_xlfn.CONCAT(CHAR(92),CHAR(96))),CHAR(34),CHAR(39))))</f>
        <v/>
      </c>
      <c r="R801" s="5" t="str">
        <f>IF(OR(TRIM($B801)="",$H801=""),"",IF(OR(ISNUMBER(SEARCH(_xlfn.CONCAT(CHAR(96),CHAR(34)),$H801)),ISNUMBER(SEARCH(_xlfn.CONCAT(CHAR(34),CHAR(39)),$H801))),_xlfn.CONCAT("* REVIEW REQUIRED: compound-quote delimiter in Source on Sheet 1 row ",801,"; edit the input before running."),_xlfn.CONCAT("char ",TRIM($B801),"[doc_source] ",CHAR(96),CHAR(34),SUBSTITUTE(SUBSTITUTE(SUBSTITUTE(SUBSTITUTE(SUBSTITUTE(SUBSTITUTE($H801,CHAR(13)," "),CHAR(10)," "),CHAR(9)," "),CHAR(92),_xlfn.CONCAT(CHAR(92),CHAR(92))),"$",_xlfn.CONCAT(CHAR(92),"$")),CHAR(96),_xlfn.CONCAT(CHAR(92),CHAR(96))),CHAR(34),CHAR(39))))</f>
        <v/>
      </c>
      <c r="S801" s="5" t="str">
        <f>IF(OR(TRIM($B801)="",$I801=""),"",IF(OR(ISNUMBER(SEARCH(_xlfn.CONCAT(CHAR(96),CHAR(34)),$I801)),ISNUMBER(SEARCH(_xlfn.CONCAT(CHAR(34),CHAR(39)),$I801))),_xlfn.CONCAT("* REVIEW REQUIRED: compound-quote delimiter in Derivation on Sheet 1 row ",801,"; edit the input before running."),_xlfn.CONCAT("char ",TRIM($B801),"[doc_derivation] ",CHAR(96),CHAR(34),SUBSTITUTE(SUBSTITUTE(SUBSTITUTE(SUBSTITUTE(SUBSTITUTE(SUBSTITUTE($I801,CHAR(13)," "),CHAR(10)," "),CHAR(9)," "),CHAR(92),_xlfn.CONCAT(CHAR(92),CHAR(92))),"$",_xlfn.CONCAT(CHAR(92),"$")),CHAR(96),_xlfn.CONCAT(CHAR(92),CHAR(96))),CHAR(34),CHAR(39))))</f>
        <v/>
      </c>
      <c r="T801" s="5" t="str">
        <f>IF(OR(TRIM($B801)="",$J801=""),"",IF(OR(ISNUMBER(SEARCH(_xlfn.CONCAT(CHAR(96),CHAR(34)),$J801)),ISNUMBER(SEARCH(_xlfn.CONCAT(CHAR(34),CHAR(39)),$J801))),_xlfn.CONCAT("* REVIEW REQUIRED: compound-quote delimiter in Notes on Sheet 1 row ",801,"; edit the input before running."),_xlfn.CONCAT("char ",TRIM($B801),"[doc_notes] ",CHAR(96),CHAR(34),SUBSTITUTE(SUBSTITUTE(SUBSTITUTE(SUBSTITUTE(SUBSTITUTE(SUBSTITUTE($J801,CHAR(13)," "),CHAR(10)," "),CHAR(9)," "),CHAR(92),_xlfn.CONCAT(CHAR(92),CHAR(92))),"$",_xlfn.CONCAT(CHAR(92),"$")),CHAR(96),_xlfn.CONCAT(CHAR(92),CHAR(96))),CHAR(34),CHAR(39))))</f>
        <v/>
      </c>
      <c r="U801" s="5">
        <f t="shared" si="25"/>
        <v>0</v>
      </c>
    </row>
    <row r="802" spans="3:21" ht="30" customHeight="1" x14ac:dyDescent="0.2">
      <c r="C802" s="4"/>
      <c r="K802" s="5">
        <f t="shared" si="24"/>
        <v>0</v>
      </c>
      <c r="L802" s="5" t="str">
        <f>IF(OR(TRIM($B802)="",$A802=""),"",IF(OR(ISNUMBER(SEARCH(_xlfn.CONCAT(CHAR(96),CHAR(34)),$A802)),ISNUMBER(SEARCH(_xlfn.CONCAT(CHAR(34),CHAR(39)),$A802))),_xlfn.CONCAT("* REVIEW REQUIRED: compound-quote delimiter in Codebook Section on Sheet 1 row ",802,"; edit the input before running."),_xlfn.CONCAT("char ",TRIM($B802),"[doc_section] ",CHAR(96),CHAR(34),SUBSTITUTE(SUBSTITUTE(SUBSTITUTE(SUBSTITUTE(SUBSTITUTE(SUBSTITUTE($A802,CHAR(13)," "),CHAR(10)," "),CHAR(9)," "),CHAR(92),_xlfn.CONCAT(CHAR(92),CHAR(92))),"$",_xlfn.CONCAT(CHAR(92),"$")),CHAR(96),_xlfn.CONCAT(CHAR(92),CHAR(96))),CHAR(34),CHAR(39))))</f>
        <v/>
      </c>
      <c r="M802" s="5" t="str">
        <f>IF(OR(TRIM($B802)="",$C802=""),"",IF(IFERROR(MATCH(TRIM($C802),{"Quantitative","Continuous","Discrete","Categorical","Nominal","Ordinal","Identifier"},0),0)=0,_xlfn.CONCAT("* REVIEW REQUIRED: invalid Variable Type on Sheet 1 row ",802,"."),_xlfn.CONCAT("char ",TRIM($B802),"[doc_vartype] ",CHAR(96),CHAR(34),SUBSTITUTE(SUBSTITUTE(SUBSTITUTE(SUBSTITUTE(SUBSTITUTE(SUBSTITUTE(LOWER(TRIM($C802)),CHAR(13)," "),CHAR(10)," "),CHAR(9)," "),CHAR(92),_xlfn.CONCAT(CHAR(92),CHAR(92))),"$",_xlfn.CONCAT(CHAR(92),"$")),CHAR(96),_xlfn.CONCAT(CHAR(92),CHAR(96))),CHAR(34),CHAR(39))))</f>
        <v/>
      </c>
      <c r="N802" s="5" t="str">
        <f>IF(OR(TRIM($B802)="",$D802=""),"",IF(OR(ISNUMBER(SEARCH(_xlfn.CONCAT(CHAR(96),CHAR(34)),$D802)),ISNUMBER(SEARCH(_xlfn.CONCAT(CHAR(34),CHAR(39)),$D802))),_xlfn.CONCAT("* REVIEW REQUIRED: compound-quote delimiter in Item Number on Sheet 1 row ",802,"; edit the input before running."),_xlfn.CONCAT("char ",TRIM($B802),"[doc_itemnum] ",CHAR(96),CHAR(34),SUBSTITUTE(SUBSTITUTE(SUBSTITUTE(SUBSTITUTE(SUBSTITUTE(SUBSTITUTE($D802,CHAR(13)," "),CHAR(10)," "),CHAR(9)," "),CHAR(92),_xlfn.CONCAT(CHAR(92),CHAR(92))),"$",_xlfn.CONCAT(CHAR(92),"$")),CHAR(96),_xlfn.CONCAT(CHAR(92),CHAR(96))),CHAR(34),CHAR(39))))</f>
        <v/>
      </c>
      <c r="O802" s="5" t="str">
        <f>IF(OR(TRIM($B802)="",$E802=""),"",IF(OR(ISNUMBER(SEARCH(_xlfn.CONCAT(CHAR(96),CHAR(34)),$E802)),ISNUMBER(SEARCH(_xlfn.CONCAT(CHAR(34),CHAR(39)),$E802))),_xlfn.CONCAT("* REVIEW REQUIRED: compound-quote delimiter in Question Wording on Sheet 1 row ",802,"; edit the input before running."),_xlfn.CONCAT("char ",TRIM($B802),"[doc_question] ",CHAR(96),CHAR(34),SUBSTITUTE(SUBSTITUTE(SUBSTITUTE(SUBSTITUTE(SUBSTITUTE(SUBSTITUTE($E802,CHAR(13)," "),CHAR(10)," "),CHAR(9)," "),CHAR(92),_xlfn.CONCAT(CHAR(92),CHAR(92))),"$",_xlfn.CONCAT(CHAR(92),"$")),CHAR(96),_xlfn.CONCAT(CHAR(92),CHAR(96))),CHAR(34),CHAR(39))))</f>
        <v/>
      </c>
      <c r="P802" s="5" t="str">
        <f>IF(OR(TRIM($B802)="",$F802=""),"",IF(OR(ISNUMBER(SEARCH(_xlfn.CONCAT(CHAR(96),CHAR(34)),$F802)),ISNUMBER(SEARCH(_xlfn.CONCAT(CHAR(34),CHAR(39)),$F802))),_xlfn.CONCAT("* REVIEW REQUIRED: compound-quote delimiter in Units on Sheet 1 row ",802,"; edit the input before running."),_xlfn.CONCAT("char ",TRIM($B802),"[doc_units] ",CHAR(96),CHAR(34),SUBSTITUTE(SUBSTITUTE(SUBSTITUTE(SUBSTITUTE(SUBSTITUTE(SUBSTITUTE($F802,CHAR(13)," "),CHAR(10)," "),CHAR(9)," "),CHAR(92),_xlfn.CONCAT(CHAR(92),CHAR(92))),"$",_xlfn.CONCAT(CHAR(92),"$")),CHAR(96),_xlfn.CONCAT(CHAR(92),CHAR(96))),CHAR(34),CHAR(39))))</f>
        <v/>
      </c>
      <c r="Q802" s="5" t="str">
        <f>IF(OR(TRIM($B802)="",$G802=""),"",IF(OR(ISNUMBER(SEARCH(_xlfn.CONCAT(CHAR(96),CHAR(34)),$G802)),ISNUMBER(SEARCH(_xlfn.CONCAT(CHAR(34),CHAR(39)),$G802))),_xlfn.CONCAT("* REVIEW REQUIRED: compound-quote delimiter in Universe on Sheet 1 row ",802,"; edit the input before running."),_xlfn.CONCAT("char ",TRIM($B802),"[doc_universe] ",CHAR(96),CHAR(34),SUBSTITUTE(SUBSTITUTE(SUBSTITUTE(SUBSTITUTE(SUBSTITUTE(SUBSTITUTE($G802,CHAR(13)," "),CHAR(10)," "),CHAR(9)," "),CHAR(92),_xlfn.CONCAT(CHAR(92),CHAR(92))),"$",_xlfn.CONCAT(CHAR(92),"$")),CHAR(96),_xlfn.CONCAT(CHAR(92),CHAR(96))),CHAR(34),CHAR(39))))</f>
        <v/>
      </c>
      <c r="R802" s="5" t="str">
        <f>IF(OR(TRIM($B802)="",$H802=""),"",IF(OR(ISNUMBER(SEARCH(_xlfn.CONCAT(CHAR(96),CHAR(34)),$H802)),ISNUMBER(SEARCH(_xlfn.CONCAT(CHAR(34),CHAR(39)),$H802))),_xlfn.CONCAT("* REVIEW REQUIRED: compound-quote delimiter in Source on Sheet 1 row ",802,"; edit the input before running."),_xlfn.CONCAT("char ",TRIM($B802),"[doc_source] ",CHAR(96),CHAR(34),SUBSTITUTE(SUBSTITUTE(SUBSTITUTE(SUBSTITUTE(SUBSTITUTE(SUBSTITUTE($H802,CHAR(13)," "),CHAR(10)," "),CHAR(9)," "),CHAR(92),_xlfn.CONCAT(CHAR(92),CHAR(92))),"$",_xlfn.CONCAT(CHAR(92),"$")),CHAR(96),_xlfn.CONCAT(CHAR(92),CHAR(96))),CHAR(34),CHAR(39))))</f>
        <v/>
      </c>
      <c r="S802" s="5" t="str">
        <f>IF(OR(TRIM($B802)="",$I802=""),"",IF(OR(ISNUMBER(SEARCH(_xlfn.CONCAT(CHAR(96),CHAR(34)),$I802)),ISNUMBER(SEARCH(_xlfn.CONCAT(CHAR(34),CHAR(39)),$I802))),_xlfn.CONCAT("* REVIEW REQUIRED: compound-quote delimiter in Derivation on Sheet 1 row ",802,"; edit the input before running."),_xlfn.CONCAT("char ",TRIM($B802),"[doc_derivation] ",CHAR(96),CHAR(34),SUBSTITUTE(SUBSTITUTE(SUBSTITUTE(SUBSTITUTE(SUBSTITUTE(SUBSTITUTE($I802,CHAR(13)," "),CHAR(10)," "),CHAR(9)," "),CHAR(92),_xlfn.CONCAT(CHAR(92),CHAR(92))),"$",_xlfn.CONCAT(CHAR(92),"$")),CHAR(96),_xlfn.CONCAT(CHAR(92),CHAR(96))),CHAR(34),CHAR(39))))</f>
        <v/>
      </c>
      <c r="T802" s="5" t="str">
        <f>IF(OR(TRIM($B802)="",$J802=""),"",IF(OR(ISNUMBER(SEARCH(_xlfn.CONCAT(CHAR(96),CHAR(34)),$J802)),ISNUMBER(SEARCH(_xlfn.CONCAT(CHAR(34),CHAR(39)),$J802))),_xlfn.CONCAT("* REVIEW REQUIRED: compound-quote delimiter in Notes on Sheet 1 row ",802,"; edit the input before running."),_xlfn.CONCAT("char ",TRIM($B802),"[doc_notes] ",CHAR(96),CHAR(34),SUBSTITUTE(SUBSTITUTE(SUBSTITUTE(SUBSTITUTE(SUBSTITUTE(SUBSTITUTE($J802,CHAR(13)," "),CHAR(10)," "),CHAR(9)," "),CHAR(92),_xlfn.CONCAT(CHAR(92),CHAR(92))),"$",_xlfn.CONCAT(CHAR(92),"$")),CHAR(96),_xlfn.CONCAT(CHAR(92),CHAR(96))),CHAR(34),CHAR(39))))</f>
        <v/>
      </c>
      <c r="U802" s="5">
        <f t="shared" si="25"/>
        <v>0</v>
      </c>
    </row>
    <row r="803" spans="3:21" ht="30" customHeight="1" x14ac:dyDescent="0.2">
      <c r="C803" s="4"/>
      <c r="K803" s="5">
        <f t="shared" si="24"/>
        <v>0</v>
      </c>
      <c r="L803" s="5" t="str">
        <f>IF(OR(TRIM($B803)="",$A803=""),"",IF(OR(ISNUMBER(SEARCH(_xlfn.CONCAT(CHAR(96),CHAR(34)),$A803)),ISNUMBER(SEARCH(_xlfn.CONCAT(CHAR(34),CHAR(39)),$A803))),_xlfn.CONCAT("* REVIEW REQUIRED: compound-quote delimiter in Codebook Section on Sheet 1 row ",803,"; edit the input before running."),_xlfn.CONCAT("char ",TRIM($B803),"[doc_section] ",CHAR(96),CHAR(34),SUBSTITUTE(SUBSTITUTE(SUBSTITUTE(SUBSTITUTE(SUBSTITUTE(SUBSTITUTE($A803,CHAR(13)," "),CHAR(10)," "),CHAR(9)," "),CHAR(92),_xlfn.CONCAT(CHAR(92),CHAR(92))),"$",_xlfn.CONCAT(CHAR(92),"$")),CHAR(96),_xlfn.CONCAT(CHAR(92),CHAR(96))),CHAR(34),CHAR(39))))</f>
        <v/>
      </c>
      <c r="M803" s="5" t="str">
        <f>IF(OR(TRIM($B803)="",$C803=""),"",IF(IFERROR(MATCH(TRIM($C803),{"Quantitative","Continuous","Discrete","Categorical","Nominal","Ordinal","Identifier"},0),0)=0,_xlfn.CONCAT("* REVIEW REQUIRED: invalid Variable Type on Sheet 1 row ",803,"."),_xlfn.CONCAT("char ",TRIM($B803),"[doc_vartype] ",CHAR(96),CHAR(34),SUBSTITUTE(SUBSTITUTE(SUBSTITUTE(SUBSTITUTE(SUBSTITUTE(SUBSTITUTE(LOWER(TRIM($C803)),CHAR(13)," "),CHAR(10)," "),CHAR(9)," "),CHAR(92),_xlfn.CONCAT(CHAR(92),CHAR(92))),"$",_xlfn.CONCAT(CHAR(92),"$")),CHAR(96),_xlfn.CONCAT(CHAR(92),CHAR(96))),CHAR(34),CHAR(39))))</f>
        <v/>
      </c>
      <c r="N803" s="5" t="str">
        <f>IF(OR(TRIM($B803)="",$D803=""),"",IF(OR(ISNUMBER(SEARCH(_xlfn.CONCAT(CHAR(96),CHAR(34)),$D803)),ISNUMBER(SEARCH(_xlfn.CONCAT(CHAR(34),CHAR(39)),$D803))),_xlfn.CONCAT("* REVIEW REQUIRED: compound-quote delimiter in Item Number on Sheet 1 row ",803,"; edit the input before running."),_xlfn.CONCAT("char ",TRIM($B803),"[doc_itemnum] ",CHAR(96),CHAR(34),SUBSTITUTE(SUBSTITUTE(SUBSTITUTE(SUBSTITUTE(SUBSTITUTE(SUBSTITUTE($D803,CHAR(13)," "),CHAR(10)," "),CHAR(9)," "),CHAR(92),_xlfn.CONCAT(CHAR(92),CHAR(92))),"$",_xlfn.CONCAT(CHAR(92),"$")),CHAR(96),_xlfn.CONCAT(CHAR(92),CHAR(96))),CHAR(34),CHAR(39))))</f>
        <v/>
      </c>
      <c r="O803" s="5" t="str">
        <f>IF(OR(TRIM($B803)="",$E803=""),"",IF(OR(ISNUMBER(SEARCH(_xlfn.CONCAT(CHAR(96),CHAR(34)),$E803)),ISNUMBER(SEARCH(_xlfn.CONCAT(CHAR(34),CHAR(39)),$E803))),_xlfn.CONCAT("* REVIEW REQUIRED: compound-quote delimiter in Question Wording on Sheet 1 row ",803,"; edit the input before running."),_xlfn.CONCAT("char ",TRIM($B803),"[doc_question] ",CHAR(96),CHAR(34),SUBSTITUTE(SUBSTITUTE(SUBSTITUTE(SUBSTITUTE(SUBSTITUTE(SUBSTITUTE($E803,CHAR(13)," "),CHAR(10)," "),CHAR(9)," "),CHAR(92),_xlfn.CONCAT(CHAR(92),CHAR(92))),"$",_xlfn.CONCAT(CHAR(92),"$")),CHAR(96),_xlfn.CONCAT(CHAR(92),CHAR(96))),CHAR(34),CHAR(39))))</f>
        <v/>
      </c>
      <c r="P803" s="5" t="str">
        <f>IF(OR(TRIM($B803)="",$F803=""),"",IF(OR(ISNUMBER(SEARCH(_xlfn.CONCAT(CHAR(96),CHAR(34)),$F803)),ISNUMBER(SEARCH(_xlfn.CONCAT(CHAR(34),CHAR(39)),$F803))),_xlfn.CONCAT("* REVIEW REQUIRED: compound-quote delimiter in Units on Sheet 1 row ",803,"; edit the input before running."),_xlfn.CONCAT("char ",TRIM($B803),"[doc_units] ",CHAR(96),CHAR(34),SUBSTITUTE(SUBSTITUTE(SUBSTITUTE(SUBSTITUTE(SUBSTITUTE(SUBSTITUTE($F803,CHAR(13)," "),CHAR(10)," "),CHAR(9)," "),CHAR(92),_xlfn.CONCAT(CHAR(92),CHAR(92))),"$",_xlfn.CONCAT(CHAR(92),"$")),CHAR(96),_xlfn.CONCAT(CHAR(92),CHAR(96))),CHAR(34),CHAR(39))))</f>
        <v/>
      </c>
      <c r="Q803" s="5" t="str">
        <f>IF(OR(TRIM($B803)="",$G803=""),"",IF(OR(ISNUMBER(SEARCH(_xlfn.CONCAT(CHAR(96),CHAR(34)),$G803)),ISNUMBER(SEARCH(_xlfn.CONCAT(CHAR(34),CHAR(39)),$G803))),_xlfn.CONCAT("* REVIEW REQUIRED: compound-quote delimiter in Universe on Sheet 1 row ",803,"; edit the input before running."),_xlfn.CONCAT("char ",TRIM($B803),"[doc_universe] ",CHAR(96),CHAR(34),SUBSTITUTE(SUBSTITUTE(SUBSTITUTE(SUBSTITUTE(SUBSTITUTE(SUBSTITUTE($G803,CHAR(13)," "),CHAR(10)," "),CHAR(9)," "),CHAR(92),_xlfn.CONCAT(CHAR(92),CHAR(92))),"$",_xlfn.CONCAT(CHAR(92),"$")),CHAR(96),_xlfn.CONCAT(CHAR(92),CHAR(96))),CHAR(34),CHAR(39))))</f>
        <v/>
      </c>
      <c r="R803" s="5" t="str">
        <f>IF(OR(TRIM($B803)="",$H803=""),"",IF(OR(ISNUMBER(SEARCH(_xlfn.CONCAT(CHAR(96),CHAR(34)),$H803)),ISNUMBER(SEARCH(_xlfn.CONCAT(CHAR(34),CHAR(39)),$H803))),_xlfn.CONCAT("* REVIEW REQUIRED: compound-quote delimiter in Source on Sheet 1 row ",803,"; edit the input before running."),_xlfn.CONCAT("char ",TRIM($B803),"[doc_source] ",CHAR(96),CHAR(34),SUBSTITUTE(SUBSTITUTE(SUBSTITUTE(SUBSTITUTE(SUBSTITUTE(SUBSTITUTE($H803,CHAR(13)," "),CHAR(10)," "),CHAR(9)," "),CHAR(92),_xlfn.CONCAT(CHAR(92),CHAR(92))),"$",_xlfn.CONCAT(CHAR(92),"$")),CHAR(96),_xlfn.CONCAT(CHAR(92),CHAR(96))),CHAR(34),CHAR(39))))</f>
        <v/>
      </c>
      <c r="S803" s="5" t="str">
        <f>IF(OR(TRIM($B803)="",$I803=""),"",IF(OR(ISNUMBER(SEARCH(_xlfn.CONCAT(CHAR(96),CHAR(34)),$I803)),ISNUMBER(SEARCH(_xlfn.CONCAT(CHAR(34),CHAR(39)),$I803))),_xlfn.CONCAT("* REVIEW REQUIRED: compound-quote delimiter in Derivation on Sheet 1 row ",803,"; edit the input before running."),_xlfn.CONCAT("char ",TRIM($B803),"[doc_derivation] ",CHAR(96),CHAR(34),SUBSTITUTE(SUBSTITUTE(SUBSTITUTE(SUBSTITUTE(SUBSTITUTE(SUBSTITUTE($I803,CHAR(13)," "),CHAR(10)," "),CHAR(9)," "),CHAR(92),_xlfn.CONCAT(CHAR(92),CHAR(92))),"$",_xlfn.CONCAT(CHAR(92),"$")),CHAR(96),_xlfn.CONCAT(CHAR(92),CHAR(96))),CHAR(34),CHAR(39))))</f>
        <v/>
      </c>
      <c r="T803" s="5" t="str">
        <f>IF(OR(TRIM($B803)="",$J803=""),"",IF(OR(ISNUMBER(SEARCH(_xlfn.CONCAT(CHAR(96),CHAR(34)),$J803)),ISNUMBER(SEARCH(_xlfn.CONCAT(CHAR(34),CHAR(39)),$J803))),_xlfn.CONCAT("* REVIEW REQUIRED: compound-quote delimiter in Notes on Sheet 1 row ",803,"; edit the input before running."),_xlfn.CONCAT("char ",TRIM($B803),"[doc_notes] ",CHAR(96),CHAR(34),SUBSTITUTE(SUBSTITUTE(SUBSTITUTE(SUBSTITUTE(SUBSTITUTE(SUBSTITUTE($J803,CHAR(13)," "),CHAR(10)," "),CHAR(9)," "),CHAR(92),_xlfn.CONCAT(CHAR(92),CHAR(92))),"$",_xlfn.CONCAT(CHAR(92),"$")),CHAR(96),_xlfn.CONCAT(CHAR(92),CHAR(96))),CHAR(34),CHAR(39))))</f>
        <v/>
      </c>
      <c r="U803" s="5">
        <f t="shared" si="25"/>
        <v>0</v>
      </c>
    </row>
    <row r="804" spans="3:21" ht="30" customHeight="1" x14ac:dyDescent="0.2">
      <c r="C804" s="4"/>
      <c r="K804" s="5">
        <f t="shared" si="24"/>
        <v>0</v>
      </c>
      <c r="L804" s="5" t="str">
        <f>IF(OR(TRIM($B804)="",$A804=""),"",IF(OR(ISNUMBER(SEARCH(_xlfn.CONCAT(CHAR(96),CHAR(34)),$A804)),ISNUMBER(SEARCH(_xlfn.CONCAT(CHAR(34),CHAR(39)),$A804))),_xlfn.CONCAT("* REVIEW REQUIRED: compound-quote delimiter in Codebook Section on Sheet 1 row ",804,"; edit the input before running."),_xlfn.CONCAT("char ",TRIM($B804),"[doc_section] ",CHAR(96),CHAR(34),SUBSTITUTE(SUBSTITUTE(SUBSTITUTE(SUBSTITUTE(SUBSTITUTE(SUBSTITUTE($A804,CHAR(13)," "),CHAR(10)," "),CHAR(9)," "),CHAR(92),_xlfn.CONCAT(CHAR(92),CHAR(92))),"$",_xlfn.CONCAT(CHAR(92),"$")),CHAR(96),_xlfn.CONCAT(CHAR(92),CHAR(96))),CHAR(34),CHAR(39))))</f>
        <v/>
      </c>
      <c r="M804" s="5" t="str">
        <f>IF(OR(TRIM($B804)="",$C804=""),"",IF(IFERROR(MATCH(TRIM($C804),{"Quantitative","Continuous","Discrete","Categorical","Nominal","Ordinal","Identifier"},0),0)=0,_xlfn.CONCAT("* REVIEW REQUIRED: invalid Variable Type on Sheet 1 row ",804,"."),_xlfn.CONCAT("char ",TRIM($B804),"[doc_vartype] ",CHAR(96),CHAR(34),SUBSTITUTE(SUBSTITUTE(SUBSTITUTE(SUBSTITUTE(SUBSTITUTE(SUBSTITUTE(LOWER(TRIM($C804)),CHAR(13)," "),CHAR(10)," "),CHAR(9)," "),CHAR(92),_xlfn.CONCAT(CHAR(92),CHAR(92))),"$",_xlfn.CONCAT(CHAR(92),"$")),CHAR(96),_xlfn.CONCAT(CHAR(92),CHAR(96))),CHAR(34),CHAR(39))))</f>
        <v/>
      </c>
      <c r="N804" s="5" t="str">
        <f>IF(OR(TRIM($B804)="",$D804=""),"",IF(OR(ISNUMBER(SEARCH(_xlfn.CONCAT(CHAR(96),CHAR(34)),$D804)),ISNUMBER(SEARCH(_xlfn.CONCAT(CHAR(34),CHAR(39)),$D804))),_xlfn.CONCAT("* REVIEW REQUIRED: compound-quote delimiter in Item Number on Sheet 1 row ",804,"; edit the input before running."),_xlfn.CONCAT("char ",TRIM($B804),"[doc_itemnum] ",CHAR(96),CHAR(34),SUBSTITUTE(SUBSTITUTE(SUBSTITUTE(SUBSTITUTE(SUBSTITUTE(SUBSTITUTE($D804,CHAR(13)," "),CHAR(10)," "),CHAR(9)," "),CHAR(92),_xlfn.CONCAT(CHAR(92),CHAR(92))),"$",_xlfn.CONCAT(CHAR(92),"$")),CHAR(96),_xlfn.CONCAT(CHAR(92),CHAR(96))),CHAR(34),CHAR(39))))</f>
        <v/>
      </c>
      <c r="O804" s="5" t="str">
        <f>IF(OR(TRIM($B804)="",$E804=""),"",IF(OR(ISNUMBER(SEARCH(_xlfn.CONCAT(CHAR(96),CHAR(34)),$E804)),ISNUMBER(SEARCH(_xlfn.CONCAT(CHAR(34),CHAR(39)),$E804))),_xlfn.CONCAT("* REVIEW REQUIRED: compound-quote delimiter in Question Wording on Sheet 1 row ",804,"; edit the input before running."),_xlfn.CONCAT("char ",TRIM($B804),"[doc_question] ",CHAR(96),CHAR(34),SUBSTITUTE(SUBSTITUTE(SUBSTITUTE(SUBSTITUTE(SUBSTITUTE(SUBSTITUTE($E804,CHAR(13)," "),CHAR(10)," "),CHAR(9)," "),CHAR(92),_xlfn.CONCAT(CHAR(92),CHAR(92))),"$",_xlfn.CONCAT(CHAR(92),"$")),CHAR(96),_xlfn.CONCAT(CHAR(92),CHAR(96))),CHAR(34),CHAR(39))))</f>
        <v/>
      </c>
      <c r="P804" s="5" t="str">
        <f>IF(OR(TRIM($B804)="",$F804=""),"",IF(OR(ISNUMBER(SEARCH(_xlfn.CONCAT(CHAR(96),CHAR(34)),$F804)),ISNUMBER(SEARCH(_xlfn.CONCAT(CHAR(34),CHAR(39)),$F804))),_xlfn.CONCAT("* REVIEW REQUIRED: compound-quote delimiter in Units on Sheet 1 row ",804,"; edit the input before running."),_xlfn.CONCAT("char ",TRIM($B804),"[doc_units] ",CHAR(96),CHAR(34),SUBSTITUTE(SUBSTITUTE(SUBSTITUTE(SUBSTITUTE(SUBSTITUTE(SUBSTITUTE($F804,CHAR(13)," "),CHAR(10)," "),CHAR(9)," "),CHAR(92),_xlfn.CONCAT(CHAR(92),CHAR(92))),"$",_xlfn.CONCAT(CHAR(92),"$")),CHAR(96),_xlfn.CONCAT(CHAR(92),CHAR(96))),CHAR(34),CHAR(39))))</f>
        <v/>
      </c>
      <c r="Q804" s="5" t="str">
        <f>IF(OR(TRIM($B804)="",$G804=""),"",IF(OR(ISNUMBER(SEARCH(_xlfn.CONCAT(CHAR(96),CHAR(34)),$G804)),ISNUMBER(SEARCH(_xlfn.CONCAT(CHAR(34),CHAR(39)),$G804))),_xlfn.CONCAT("* REVIEW REQUIRED: compound-quote delimiter in Universe on Sheet 1 row ",804,"; edit the input before running."),_xlfn.CONCAT("char ",TRIM($B804),"[doc_universe] ",CHAR(96),CHAR(34),SUBSTITUTE(SUBSTITUTE(SUBSTITUTE(SUBSTITUTE(SUBSTITUTE(SUBSTITUTE($G804,CHAR(13)," "),CHAR(10)," "),CHAR(9)," "),CHAR(92),_xlfn.CONCAT(CHAR(92),CHAR(92))),"$",_xlfn.CONCAT(CHAR(92),"$")),CHAR(96),_xlfn.CONCAT(CHAR(92),CHAR(96))),CHAR(34),CHAR(39))))</f>
        <v/>
      </c>
      <c r="R804" s="5" t="str">
        <f>IF(OR(TRIM($B804)="",$H804=""),"",IF(OR(ISNUMBER(SEARCH(_xlfn.CONCAT(CHAR(96),CHAR(34)),$H804)),ISNUMBER(SEARCH(_xlfn.CONCAT(CHAR(34),CHAR(39)),$H804))),_xlfn.CONCAT("* REVIEW REQUIRED: compound-quote delimiter in Source on Sheet 1 row ",804,"; edit the input before running."),_xlfn.CONCAT("char ",TRIM($B804),"[doc_source] ",CHAR(96),CHAR(34),SUBSTITUTE(SUBSTITUTE(SUBSTITUTE(SUBSTITUTE(SUBSTITUTE(SUBSTITUTE($H804,CHAR(13)," "),CHAR(10)," "),CHAR(9)," "),CHAR(92),_xlfn.CONCAT(CHAR(92),CHAR(92))),"$",_xlfn.CONCAT(CHAR(92),"$")),CHAR(96),_xlfn.CONCAT(CHAR(92),CHAR(96))),CHAR(34),CHAR(39))))</f>
        <v/>
      </c>
      <c r="S804" s="5" t="str">
        <f>IF(OR(TRIM($B804)="",$I804=""),"",IF(OR(ISNUMBER(SEARCH(_xlfn.CONCAT(CHAR(96),CHAR(34)),$I804)),ISNUMBER(SEARCH(_xlfn.CONCAT(CHAR(34),CHAR(39)),$I804))),_xlfn.CONCAT("* REVIEW REQUIRED: compound-quote delimiter in Derivation on Sheet 1 row ",804,"; edit the input before running."),_xlfn.CONCAT("char ",TRIM($B804),"[doc_derivation] ",CHAR(96),CHAR(34),SUBSTITUTE(SUBSTITUTE(SUBSTITUTE(SUBSTITUTE(SUBSTITUTE(SUBSTITUTE($I804,CHAR(13)," "),CHAR(10)," "),CHAR(9)," "),CHAR(92),_xlfn.CONCAT(CHAR(92),CHAR(92))),"$",_xlfn.CONCAT(CHAR(92),"$")),CHAR(96),_xlfn.CONCAT(CHAR(92),CHAR(96))),CHAR(34),CHAR(39))))</f>
        <v/>
      </c>
      <c r="T804" s="5" t="str">
        <f>IF(OR(TRIM($B804)="",$J804=""),"",IF(OR(ISNUMBER(SEARCH(_xlfn.CONCAT(CHAR(96),CHAR(34)),$J804)),ISNUMBER(SEARCH(_xlfn.CONCAT(CHAR(34),CHAR(39)),$J804))),_xlfn.CONCAT("* REVIEW REQUIRED: compound-quote delimiter in Notes on Sheet 1 row ",804,"; edit the input before running."),_xlfn.CONCAT("char ",TRIM($B804),"[doc_notes] ",CHAR(96),CHAR(34),SUBSTITUTE(SUBSTITUTE(SUBSTITUTE(SUBSTITUTE(SUBSTITUTE(SUBSTITUTE($J804,CHAR(13)," "),CHAR(10)," "),CHAR(9)," "),CHAR(92),_xlfn.CONCAT(CHAR(92),CHAR(92))),"$",_xlfn.CONCAT(CHAR(92),"$")),CHAR(96),_xlfn.CONCAT(CHAR(92),CHAR(96))),CHAR(34),CHAR(39))))</f>
        <v/>
      </c>
      <c r="U804" s="5">
        <f t="shared" si="25"/>
        <v>0</v>
      </c>
    </row>
    <row r="805" spans="3:21" ht="30" customHeight="1" x14ac:dyDescent="0.2">
      <c r="C805" s="4"/>
      <c r="K805" s="5">
        <f t="shared" si="24"/>
        <v>0</v>
      </c>
      <c r="L805" s="5" t="str">
        <f>IF(OR(TRIM($B805)="",$A805=""),"",IF(OR(ISNUMBER(SEARCH(_xlfn.CONCAT(CHAR(96),CHAR(34)),$A805)),ISNUMBER(SEARCH(_xlfn.CONCAT(CHAR(34),CHAR(39)),$A805))),_xlfn.CONCAT("* REVIEW REQUIRED: compound-quote delimiter in Codebook Section on Sheet 1 row ",805,"; edit the input before running."),_xlfn.CONCAT("char ",TRIM($B805),"[doc_section] ",CHAR(96),CHAR(34),SUBSTITUTE(SUBSTITUTE(SUBSTITUTE(SUBSTITUTE(SUBSTITUTE(SUBSTITUTE($A805,CHAR(13)," "),CHAR(10)," "),CHAR(9)," "),CHAR(92),_xlfn.CONCAT(CHAR(92),CHAR(92))),"$",_xlfn.CONCAT(CHAR(92),"$")),CHAR(96),_xlfn.CONCAT(CHAR(92),CHAR(96))),CHAR(34),CHAR(39))))</f>
        <v/>
      </c>
      <c r="M805" s="5" t="str">
        <f>IF(OR(TRIM($B805)="",$C805=""),"",IF(IFERROR(MATCH(TRIM($C805),{"Quantitative","Continuous","Discrete","Categorical","Nominal","Ordinal","Identifier"},0),0)=0,_xlfn.CONCAT("* REVIEW REQUIRED: invalid Variable Type on Sheet 1 row ",805,"."),_xlfn.CONCAT("char ",TRIM($B805),"[doc_vartype] ",CHAR(96),CHAR(34),SUBSTITUTE(SUBSTITUTE(SUBSTITUTE(SUBSTITUTE(SUBSTITUTE(SUBSTITUTE(LOWER(TRIM($C805)),CHAR(13)," "),CHAR(10)," "),CHAR(9)," "),CHAR(92),_xlfn.CONCAT(CHAR(92),CHAR(92))),"$",_xlfn.CONCAT(CHAR(92),"$")),CHAR(96),_xlfn.CONCAT(CHAR(92),CHAR(96))),CHAR(34),CHAR(39))))</f>
        <v/>
      </c>
      <c r="N805" s="5" t="str">
        <f>IF(OR(TRIM($B805)="",$D805=""),"",IF(OR(ISNUMBER(SEARCH(_xlfn.CONCAT(CHAR(96),CHAR(34)),$D805)),ISNUMBER(SEARCH(_xlfn.CONCAT(CHAR(34),CHAR(39)),$D805))),_xlfn.CONCAT("* REVIEW REQUIRED: compound-quote delimiter in Item Number on Sheet 1 row ",805,"; edit the input before running."),_xlfn.CONCAT("char ",TRIM($B805),"[doc_itemnum] ",CHAR(96),CHAR(34),SUBSTITUTE(SUBSTITUTE(SUBSTITUTE(SUBSTITUTE(SUBSTITUTE(SUBSTITUTE($D805,CHAR(13)," "),CHAR(10)," "),CHAR(9)," "),CHAR(92),_xlfn.CONCAT(CHAR(92),CHAR(92))),"$",_xlfn.CONCAT(CHAR(92),"$")),CHAR(96),_xlfn.CONCAT(CHAR(92),CHAR(96))),CHAR(34),CHAR(39))))</f>
        <v/>
      </c>
      <c r="O805" s="5" t="str">
        <f>IF(OR(TRIM($B805)="",$E805=""),"",IF(OR(ISNUMBER(SEARCH(_xlfn.CONCAT(CHAR(96),CHAR(34)),$E805)),ISNUMBER(SEARCH(_xlfn.CONCAT(CHAR(34),CHAR(39)),$E805))),_xlfn.CONCAT("* REVIEW REQUIRED: compound-quote delimiter in Question Wording on Sheet 1 row ",805,"; edit the input before running."),_xlfn.CONCAT("char ",TRIM($B805),"[doc_question] ",CHAR(96),CHAR(34),SUBSTITUTE(SUBSTITUTE(SUBSTITUTE(SUBSTITUTE(SUBSTITUTE(SUBSTITUTE($E805,CHAR(13)," "),CHAR(10)," "),CHAR(9)," "),CHAR(92),_xlfn.CONCAT(CHAR(92),CHAR(92))),"$",_xlfn.CONCAT(CHAR(92),"$")),CHAR(96),_xlfn.CONCAT(CHAR(92),CHAR(96))),CHAR(34),CHAR(39))))</f>
        <v/>
      </c>
      <c r="P805" s="5" t="str">
        <f>IF(OR(TRIM($B805)="",$F805=""),"",IF(OR(ISNUMBER(SEARCH(_xlfn.CONCAT(CHAR(96),CHAR(34)),$F805)),ISNUMBER(SEARCH(_xlfn.CONCAT(CHAR(34),CHAR(39)),$F805))),_xlfn.CONCAT("* REVIEW REQUIRED: compound-quote delimiter in Units on Sheet 1 row ",805,"; edit the input before running."),_xlfn.CONCAT("char ",TRIM($B805),"[doc_units] ",CHAR(96),CHAR(34),SUBSTITUTE(SUBSTITUTE(SUBSTITUTE(SUBSTITUTE(SUBSTITUTE(SUBSTITUTE($F805,CHAR(13)," "),CHAR(10)," "),CHAR(9)," "),CHAR(92),_xlfn.CONCAT(CHAR(92),CHAR(92))),"$",_xlfn.CONCAT(CHAR(92),"$")),CHAR(96),_xlfn.CONCAT(CHAR(92),CHAR(96))),CHAR(34),CHAR(39))))</f>
        <v/>
      </c>
      <c r="Q805" s="5" t="str">
        <f>IF(OR(TRIM($B805)="",$G805=""),"",IF(OR(ISNUMBER(SEARCH(_xlfn.CONCAT(CHAR(96),CHAR(34)),$G805)),ISNUMBER(SEARCH(_xlfn.CONCAT(CHAR(34),CHAR(39)),$G805))),_xlfn.CONCAT("* REVIEW REQUIRED: compound-quote delimiter in Universe on Sheet 1 row ",805,"; edit the input before running."),_xlfn.CONCAT("char ",TRIM($B805),"[doc_universe] ",CHAR(96),CHAR(34),SUBSTITUTE(SUBSTITUTE(SUBSTITUTE(SUBSTITUTE(SUBSTITUTE(SUBSTITUTE($G805,CHAR(13)," "),CHAR(10)," "),CHAR(9)," "),CHAR(92),_xlfn.CONCAT(CHAR(92),CHAR(92))),"$",_xlfn.CONCAT(CHAR(92),"$")),CHAR(96),_xlfn.CONCAT(CHAR(92),CHAR(96))),CHAR(34),CHAR(39))))</f>
        <v/>
      </c>
      <c r="R805" s="5" t="str">
        <f>IF(OR(TRIM($B805)="",$H805=""),"",IF(OR(ISNUMBER(SEARCH(_xlfn.CONCAT(CHAR(96),CHAR(34)),$H805)),ISNUMBER(SEARCH(_xlfn.CONCAT(CHAR(34),CHAR(39)),$H805))),_xlfn.CONCAT("* REVIEW REQUIRED: compound-quote delimiter in Source on Sheet 1 row ",805,"; edit the input before running."),_xlfn.CONCAT("char ",TRIM($B805),"[doc_source] ",CHAR(96),CHAR(34),SUBSTITUTE(SUBSTITUTE(SUBSTITUTE(SUBSTITUTE(SUBSTITUTE(SUBSTITUTE($H805,CHAR(13)," "),CHAR(10)," "),CHAR(9)," "),CHAR(92),_xlfn.CONCAT(CHAR(92),CHAR(92))),"$",_xlfn.CONCAT(CHAR(92),"$")),CHAR(96),_xlfn.CONCAT(CHAR(92),CHAR(96))),CHAR(34),CHAR(39))))</f>
        <v/>
      </c>
      <c r="S805" s="5" t="str">
        <f>IF(OR(TRIM($B805)="",$I805=""),"",IF(OR(ISNUMBER(SEARCH(_xlfn.CONCAT(CHAR(96),CHAR(34)),$I805)),ISNUMBER(SEARCH(_xlfn.CONCAT(CHAR(34),CHAR(39)),$I805))),_xlfn.CONCAT("* REVIEW REQUIRED: compound-quote delimiter in Derivation on Sheet 1 row ",805,"; edit the input before running."),_xlfn.CONCAT("char ",TRIM($B805),"[doc_derivation] ",CHAR(96),CHAR(34),SUBSTITUTE(SUBSTITUTE(SUBSTITUTE(SUBSTITUTE(SUBSTITUTE(SUBSTITUTE($I805,CHAR(13)," "),CHAR(10)," "),CHAR(9)," "),CHAR(92),_xlfn.CONCAT(CHAR(92),CHAR(92))),"$",_xlfn.CONCAT(CHAR(92),"$")),CHAR(96),_xlfn.CONCAT(CHAR(92),CHAR(96))),CHAR(34),CHAR(39))))</f>
        <v/>
      </c>
      <c r="T805" s="5" t="str">
        <f>IF(OR(TRIM($B805)="",$J805=""),"",IF(OR(ISNUMBER(SEARCH(_xlfn.CONCAT(CHAR(96),CHAR(34)),$J805)),ISNUMBER(SEARCH(_xlfn.CONCAT(CHAR(34),CHAR(39)),$J805))),_xlfn.CONCAT("* REVIEW REQUIRED: compound-quote delimiter in Notes on Sheet 1 row ",805,"; edit the input before running."),_xlfn.CONCAT("char ",TRIM($B805),"[doc_notes] ",CHAR(96),CHAR(34),SUBSTITUTE(SUBSTITUTE(SUBSTITUTE(SUBSTITUTE(SUBSTITUTE(SUBSTITUTE($J805,CHAR(13)," "),CHAR(10)," "),CHAR(9)," "),CHAR(92),_xlfn.CONCAT(CHAR(92),CHAR(92))),"$",_xlfn.CONCAT(CHAR(92),"$")),CHAR(96),_xlfn.CONCAT(CHAR(92),CHAR(96))),CHAR(34),CHAR(39))))</f>
        <v/>
      </c>
      <c r="U805" s="5">
        <f t="shared" si="25"/>
        <v>0</v>
      </c>
    </row>
    <row r="806" spans="3:21" ht="30" customHeight="1" x14ac:dyDescent="0.2">
      <c r="C806" s="4"/>
      <c r="K806" s="5">
        <f t="shared" si="24"/>
        <v>0</v>
      </c>
      <c r="L806" s="5" t="str">
        <f>IF(OR(TRIM($B806)="",$A806=""),"",IF(OR(ISNUMBER(SEARCH(_xlfn.CONCAT(CHAR(96),CHAR(34)),$A806)),ISNUMBER(SEARCH(_xlfn.CONCAT(CHAR(34),CHAR(39)),$A806))),_xlfn.CONCAT("* REVIEW REQUIRED: compound-quote delimiter in Codebook Section on Sheet 1 row ",806,"; edit the input before running."),_xlfn.CONCAT("char ",TRIM($B806),"[doc_section] ",CHAR(96),CHAR(34),SUBSTITUTE(SUBSTITUTE(SUBSTITUTE(SUBSTITUTE(SUBSTITUTE(SUBSTITUTE($A806,CHAR(13)," "),CHAR(10)," "),CHAR(9)," "),CHAR(92),_xlfn.CONCAT(CHAR(92),CHAR(92))),"$",_xlfn.CONCAT(CHAR(92),"$")),CHAR(96),_xlfn.CONCAT(CHAR(92),CHAR(96))),CHAR(34),CHAR(39))))</f>
        <v/>
      </c>
      <c r="M806" s="5" t="str">
        <f>IF(OR(TRIM($B806)="",$C806=""),"",IF(IFERROR(MATCH(TRIM($C806),{"Quantitative","Continuous","Discrete","Categorical","Nominal","Ordinal","Identifier"},0),0)=0,_xlfn.CONCAT("* REVIEW REQUIRED: invalid Variable Type on Sheet 1 row ",806,"."),_xlfn.CONCAT("char ",TRIM($B806),"[doc_vartype] ",CHAR(96),CHAR(34),SUBSTITUTE(SUBSTITUTE(SUBSTITUTE(SUBSTITUTE(SUBSTITUTE(SUBSTITUTE(LOWER(TRIM($C806)),CHAR(13)," "),CHAR(10)," "),CHAR(9)," "),CHAR(92),_xlfn.CONCAT(CHAR(92),CHAR(92))),"$",_xlfn.CONCAT(CHAR(92),"$")),CHAR(96),_xlfn.CONCAT(CHAR(92),CHAR(96))),CHAR(34),CHAR(39))))</f>
        <v/>
      </c>
      <c r="N806" s="5" t="str">
        <f>IF(OR(TRIM($B806)="",$D806=""),"",IF(OR(ISNUMBER(SEARCH(_xlfn.CONCAT(CHAR(96),CHAR(34)),$D806)),ISNUMBER(SEARCH(_xlfn.CONCAT(CHAR(34),CHAR(39)),$D806))),_xlfn.CONCAT("* REVIEW REQUIRED: compound-quote delimiter in Item Number on Sheet 1 row ",806,"; edit the input before running."),_xlfn.CONCAT("char ",TRIM($B806),"[doc_itemnum] ",CHAR(96),CHAR(34),SUBSTITUTE(SUBSTITUTE(SUBSTITUTE(SUBSTITUTE(SUBSTITUTE(SUBSTITUTE($D806,CHAR(13)," "),CHAR(10)," "),CHAR(9)," "),CHAR(92),_xlfn.CONCAT(CHAR(92),CHAR(92))),"$",_xlfn.CONCAT(CHAR(92),"$")),CHAR(96),_xlfn.CONCAT(CHAR(92),CHAR(96))),CHAR(34),CHAR(39))))</f>
        <v/>
      </c>
      <c r="O806" s="5" t="str">
        <f>IF(OR(TRIM($B806)="",$E806=""),"",IF(OR(ISNUMBER(SEARCH(_xlfn.CONCAT(CHAR(96),CHAR(34)),$E806)),ISNUMBER(SEARCH(_xlfn.CONCAT(CHAR(34),CHAR(39)),$E806))),_xlfn.CONCAT("* REVIEW REQUIRED: compound-quote delimiter in Question Wording on Sheet 1 row ",806,"; edit the input before running."),_xlfn.CONCAT("char ",TRIM($B806),"[doc_question] ",CHAR(96),CHAR(34),SUBSTITUTE(SUBSTITUTE(SUBSTITUTE(SUBSTITUTE(SUBSTITUTE(SUBSTITUTE($E806,CHAR(13)," "),CHAR(10)," "),CHAR(9)," "),CHAR(92),_xlfn.CONCAT(CHAR(92),CHAR(92))),"$",_xlfn.CONCAT(CHAR(92),"$")),CHAR(96),_xlfn.CONCAT(CHAR(92),CHAR(96))),CHAR(34),CHAR(39))))</f>
        <v/>
      </c>
      <c r="P806" s="5" t="str">
        <f>IF(OR(TRIM($B806)="",$F806=""),"",IF(OR(ISNUMBER(SEARCH(_xlfn.CONCAT(CHAR(96),CHAR(34)),$F806)),ISNUMBER(SEARCH(_xlfn.CONCAT(CHAR(34),CHAR(39)),$F806))),_xlfn.CONCAT("* REVIEW REQUIRED: compound-quote delimiter in Units on Sheet 1 row ",806,"; edit the input before running."),_xlfn.CONCAT("char ",TRIM($B806),"[doc_units] ",CHAR(96),CHAR(34),SUBSTITUTE(SUBSTITUTE(SUBSTITUTE(SUBSTITUTE(SUBSTITUTE(SUBSTITUTE($F806,CHAR(13)," "),CHAR(10)," "),CHAR(9)," "),CHAR(92),_xlfn.CONCAT(CHAR(92),CHAR(92))),"$",_xlfn.CONCAT(CHAR(92),"$")),CHAR(96),_xlfn.CONCAT(CHAR(92),CHAR(96))),CHAR(34),CHAR(39))))</f>
        <v/>
      </c>
      <c r="Q806" s="5" t="str">
        <f>IF(OR(TRIM($B806)="",$G806=""),"",IF(OR(ISNUMBER(SEARCH(_xlfn.CONCAT(CHAR(96),CHAR(34)),$G806)),ISNUMBER(SEARCH(_xlfn.CONCAT(CHAR(34),CHAR(39)),$G806))),_xlfn.CONCAT("* REVIEW REQUIRED: compound-quote delimiter in Universe on Sheet 1 row ",806,"; edit the input before running."),_xlfn.CONCAT("char ",TRIM($B806),"[doc_universe] ",CHAR(96),CHAR(34),SUBSTITUTE(SUBSTITUTE(SUBSTITUTE(SUBSTITUTE(SUBSTITUTE(SUBSTITUTE($G806,CHAR(13)," "),CHAR(10)," "),CHAR(9)," "),CHAR(92),_xlfn.CONCAT(CHAR(92),CHAR(92))),"$",_xlfn.CONCAT(CHAR(92),"$")),CHAR(96),_xlfn.CONCAT(CHAR(92),CHAR(96))),CHAR(34),CHAR(39))))</f>
        <v/>
      </c>
      <c r="R806" s="5" t="str">
        <f>IF(OR(TRIM($B806)="",$H806=""),"",IF(OR(ISNUMBER(SEARCH(_xlfn.CONCAT(CHAR(96),CHAR(34)),$H806)),ISNUMBER(SEARCH(_xlfn.CONCAT(CHAR(34),CHAR(39)),$H806))),_xlfn.CONCAT("* REVIEW REQUIRED: compound-quote delimiter in Source on Sheet 1 row ",806,"; edit the input before running."),_xlfn.CONCAT("char ",TRIM($B806),"[doc_source] ",CHAR(96),CHAR(34),SUBSTITUTE(SUBSTITUTE(SUBSTITUTE(SUBSTITUTE(SUBSTITUTE(SUBSTITUTE($H806,CHAR(13)," "),CHAR(10)," "),CHAR(9)," "),CHAR(92),_xlfn.CONCAT(CHAR(92),CHAR(92))),"$",_xlfn.CONCAT(CHAR(92),"$")),CHAR(96),_xlfn.CONCAT(CHAR(92),CHAR(96))),CHAR(34),CHAR(39))))</f>
        <v/>
      </c>
      <c r="S806" s="5" t="str">
        <f>IF(OR(TRIM($B806)="",$I806=""),"",IF(OR(ISNUMBER(SEARCH(_xlfn.CONCAT(CHAR(96),CHAR(34)),$I806)),ISNUMBER(SEARCH(_xlfn.CONCAT(CHAR(34),CHAR(39)),$I806))),_xlfn.CONCAT("* REVIEW REQUIRED: compound-quote delimiter in Derivation on Sheet 1 row ",806,"; edit the input before running."),_xlfn.CONCAT("char ",TRIM($B806),"[doc_derivation] ",CHAR(96),CHAR(34),SUBSTITUTE(SUBSTITUTE(SUBSTITUTE(SUBSTITUTE(SUBSTITUTE(SUBSTITUTE($I806,CHAR(13)," "),CHAR(10)," "),CHAR(9)," "),CHAR(92),_xlfn.CONCAT(CHAR(92),CHAR(92))),"$",_xlfn.CONCAT(CHAR(92),"$")),CHAR(96),_xlfn.CONCAT(CHAR(92),CHAR(96))),CHAR(34),CHAR(39))))</f>
        <v/>
      </c>
      <c r="T806" s="5" t="str">
        <f>IF(OR(TRIM($B806)="",$J806=""),"",IF(OR(ISNUMBER(SEARCH(_xlfn.CONCAT(CHAR(96),CHAR(34)),$J806)),ISNUMBER(SEARCH(_xlfn.CONCAT(CHAR(34),CHAR(39)),$J806))),_xlfn.CONCAT("* REVIEW REQUIRED: compound-quote delimiter in Notes on Sheet 1 row ",806,"; edit the input before running."),_xlfn.CONCAT("char ",TRIM($B806),"[doc_notes] ",CHAR(96),CHAR(34),SUBSTITUTE(SUBSTITUTE(SUBSTITUTE(SUBSTITUTE(SUBSTITUTE(SUBSTITUTE($J806,CHAR(13)," "),CHAR(10)," "),CHAR(9)," "),CHAR(92),_xlfn.CONCAT(CHAR(92),CHAR(92))),"$",_xlfn.CONCAT(CHAR(92),"$")),CHAR(96),_xlfn.CONCAT(CHAR(92),CHAR(96))),CHAR(34),CHAR(39))))</f>
        <v/>
      </c>
      <c r="U806" s="5">
        <f t="shared" si="25"/>
        <v>0</v>
      </c>
    </row>
    <row r="807" spans="3:21" ht="30" customHeight="1" x14ac:dyDescent="0.2">
      <c r="C807" s="4"/>
      <c r="K807" s="5">
        <f t="shared" si="24"/>
        <v>0</v>
      </c>
      <c r="L807" s="5" t="str">
        <f>IF(OR(TRIM($B807)="",$A807=""),"",IF(OR(ISNUMBER(SEARCH(_xlfn.CONCAT(CHAR(96),CHAR(34)),$A807)),ISNUMBER(SEARCH(_xlfn.CONCAT(CHAR(34),CHAR(39)),$A807))),_xlfn.CONCAT("* REVIEW REQUIRED: compound-quote delimiter in Codebook Section on Sheet 1 row ",807,"; edit the input before running."),_xlfn.CONCAT("char ",TRIM($B807),"[doc_section] ",CHAR(96),CHAR(34),SUBSTITUTE(SUBSTITUTE(SUBSTITUTE(SUBSTITUTE(SUBSTITUTE(SUBSTITUTE($A807,CHAR(13)," "),CHAR(10)," "),CHAR(9)," "),CHAR(92),_xlfn.CONCAT(CHAR(92),CHAR(92))),"$",_xlfn.CONCAT(CHAR(92),"$")),CHAR(96),_xlfn.CONCAT(CHAR(92),CHAR(96))),CHAR(34),CHAR(39))))</f>
        <v/>
      </c>
      <c r="M807" s="5" t="str">
        <f>IF(OR(TRIM($B807)="",$C807=""),"",IF(IFERROR(MATCH(TRIM($C807),{"Quantitative","Continuous","Discrete","Categorical","Nominal","Ordinal","Identifier"},0),0)=0,_xlfn.CONCAT("* REVIEW REQUIRED: invalid Variable Type on Sheet 1 row ",807,"."),_xlfn.CONCAT("char ",TRIM($B807),"[doc_vartype] ",CHAR(96),CHAR(34),SUBSTITUTE(SUBSTITUTE(SUBSTITUTE(SUBSTITUTE(SUBSTITUTE(SUBSTITUTE(LOWER(TRIM($C807)),CHAR(13)," "),CHAR(10)," "),CHAR(9)," "),CHAR(92),_xlfn.CONCAT(CHAR(92),CHAR(92))),"$",_xlfn.CONCAT(CHAR(92),"$")),CHAR(96),_xlfn.CONCAT(CHAR(92),CHAR(96))),CHAR(34),CHAR(39))))</f>
        <v/>
      </c>
      <c r="N807" s="5" t="str">
        <f>IF(OR(TRIM($B807)="",$D807=""),"",IF(OR(ISNUMBER(SEARCH(_xlfn.CONCAT(CHAR(96),CHAR(34)),$D807)),ISNUMBER(SEARCH(_xlfn.CONCAT(CHAR(34),CHAR(39)),$D807))),_xlfn.CONCAT("* REVIEW REQUIRED: compound-quote delimiter in Item Number on Sheet 1 row ",807,"; edit the input before running."),_xlfn.CONCAT("char ",TRIM($B807),"[doc_itemnum] ",CHAR(96),CHAR(34),SUBSTITUTE(SUBSTITUTE(SUBSTITUTE(SUBSTITUTE(SUBSTITUTE(SUBSTITUTE($D807,CHAR(13)," "),CHAR(10)," "),CHAR(9)," "),CHAR(92),_xlfn.CONCAT(CHAR(92),CHAR(92))),"$",_xlfn.CONCAT(CHAR(92),"$")),CHAR(96),_xlfn.CONCAT(CHAR(92),CHAR(96))),CHAR(34),CHAR(39))))</f>
        <v/>
      </c>
      <c r="O807" s="5" t="str">
        <f>IF(OR(TRIM($B807)="",$E807=""),"",IF(OR(ISNUMBER(SEARCH(_xlfn.CONCAT(CHAR(96),CHAR(34)),$E807)),ISNUMBER(SEARCH(_xlfn.CONCAT(CHAR(34),CHAR(39)),$E807))),_xlfn.CONCAT("* REVIEW REQUIRED: compound-quote delimiter in Question Wording on Sheet 1 row ",807,"; edit the input before running."),_xlfn.CONCAT("char ",TRIM($B807),"[doc_question] ",CHAR(96),CHAR(34),SUBSTITUTE(SUBSTITUTE(SUBSTITUTE(SUBSTITUTE(SUBSTITUTE(SUBSTITUTE($E807,CHAR(13)," "),CHAR(10)," "),CHAR(9)," "),CHAR(92),_xlfn.CONCAT(CHAR(92),CHAR(92))),"$",_xlfn.CONCAT(CHAR(92),"$")),CHAR(96),_xlfn.CONCAT(CHAR(92),CHAR(96))),CHAR(34),CHAR(39))))</f>
        <v/>
      </c>
      <c r="P807" s="5" t="str">
        <f>IF(OR(TRIM($B807)="",$F807=""),"",IF(OR(ISNUMBER(SEARCH(_xlfn.CONCAT(CHAR(96),CHAR(34)),$F807)),ISNUMBER(SEARCH(_xlfn.CONCAT(CHAR(34),CHAR(39)),$F807))),_xlfn.CONCAT("* REVIEW REQUIRED: compound-quote delimiter in Units on Sheet 1 row ",807,"; edit the input before running."),_xlfn.CONCAT("char ",TRIM($B807),"[doc_units] ",CHAR(96),CHAR(34),SUBSTITUTE(SUBSTITUTE(SUBSTITUTE(SUBSTITUTE(SUBSTITUTE(SUBSTITUTE($F807,CHAR(13)," "),CHAR(10)," "),CHAR(9)," "),CHAR(92),_xlfn.CONCAT(CHAR(92),CHAR(92))),"$",_xlfn.CONCAT(CHAR(92),"$")),CHAR(96),_xlfn.CONCAT(CHAR(92),CHAR(96))),CHAR(34),CHAR(39))))</f>
        <v/>
      </c>
      <c r="Q807" s="5" t="str">
        <f>IF(OR(TRIM($B807)="",$G807=""),"",IF(OR(ISNUMBER(SEARCH(_xlfn.CONCAT(CHAR(96),CHAR(34)),$G807)),ISNUMBER(SEARCH(_xlfn.CONCAT(CHAR(34),CHAR(39)),$G807))),_xlfn.CONCAT("* REVIEW REQUIRED: compound-quote delimiter in Universe on Sheet 1 row ",807,"; edit the input before running."),_xlfn.CONCAT("char ",TRIM($B807),"[doc_universe] ",CHAR(96),CHAR(34),SUBSTITUTE(SUBSTITUTE(SUBSTITUTE(SUBSTITUTE(SUBSTITUTE(SUBSTITUTE($G807,CHAR(13)," "),CHAR(10)," "),CHAR(9)," "),CHAR(92),_xlfn.CONCAT(CHAR(92),CHAR(92))),"$",_xlfn.CONCAT(CHAR(92),"$")),CHAR(96),_xlfn.CONCAT(CHAR(92),CHAR(96))),CHAR(34),CHAR(39))))</f>
        <v/>
      </c>
      <c r="R807" s="5" t="str">
        <f>IF(OR(TRIM($B807)="",$H807=""),"",IF(OR(ISNUMBER(SEARCH(_xlfn.CONCAT(CHAR(96),CHAR(34)),$H807)),ISNUMBER(SEARCH(_xlfn.CONCAT(CHAR(34),CHAR(39)),$H807))),_xlfn.CONCAT("* REVIEW REQUIRED: compound-quote delimiter in Source on Sheet 1 row ",807,"; edit the input before running."),_xlfn.CONCAT("char ",TRIM($B807),"[doc_source] ",CHAR(96),CHAR(34),SUBSTITUTE(SUBSTITUTE(SUBSTITUTE(SUBSTITUTE(SUBSTITUTE(SUBSTITUTE($H807,CHAR(13)," "),CHAR(10)," "),CHAR(9)," "),CHAR(92),_xlfn.CONCAT(CHAR(92),CHAR(92))),"$",_xlfn.CONCAT(CHAR(92),"$")),CHAR(96),_xlfn.CONCAT(CHAR(92),CHAR(96))),CHAR(34),CHAR(39))))</f>
        <v/>
      </c>
      <c r="S807" s="5" t="str">
        <f>IF(OR(TRIM($B807)="",$I807=""),"",IF(OR(ISNUMBER(SEARCH(_xlfn.CONCAT(CHAR(96),CHAR(34)),$I807)),ISNUMBER(SEARCH(_xlfn.CONCAT(CHAR(34),CHAR(39)),$I807))),_xlfn.CONCAT("* REVIEW REQUIRED: compound-quote delimiter in Derivation on Sheet 1 row ",807,"; edit the input before running."),_xlfn.CONCAT("char ",TRIM($B807),"[doc_derivation] ",CHAR(96),CHAR(34),SUBSTITUTE(SUBSTITUTE(SUBSTITUTE(SUBSTITUTE(SUBSTITUTE(SUBSTITUTE($I807,CHAR(13)," "),CHAR(10)," "),CHAR(9)," "),CHAR(92),_xlfn.CONCAT(CHAR(92),CHAR(92))),"$",_xlfn.CONCAT(CHAR(92),"$")),CHAR(96),_xlfn.CONCAT(CHAR(92),CHAR(96))),CHAR(34),CHAR(39))))</f>
        <v/>
      </c>
      <c r="T807" s="5" t="str">
        <f>IF(OR(TRIM($B807)="",$J807=""),"",IF(OR(ISNUMBER(SEARCH(_xlfn.CONCAT(CHAR(96),CHAR(34)),$J807)),ISNUMBER(SEARCH(_xlfn.CONCAT(CHAR(34),CHAR(39)),$J807))),_xlfn.CONCAT("* REVIEW REQUIRED: compound-quote delimiter in Notes on Sheet 1 row ",807,"; edit the input before running."),_xlfn.CONCAT("char ",TRIM($B807),"[doc_notes] ",CHAR(96),CHAR(34),SUBSTITUTE(SUBSTITUTE(SUBSTITUTE(SUBSTITUTE(SUBSTITUTE(SUBSTITUTE($J807,CHAR(13)," "),CHAR(10)," "),CHAR(9)," "),CHAR(92),_xlfn.CONCAT(CHAR(92),CHAR(92))),"$",_xlfn.CONCAT(CHAR(92),"$")),CHAR(96),_xlfn.CONCAT(CHAR(92),CHAR(96))),CHAR(34),CHAR(39))))</f>
        <v/>
      </c>
      <c r="U807" s="5">
        <f t="shared" si="25"/>
        <v>0</v>
      </c>
    </row>
    <row r="808" spans="3:21" ht="30" customHeight="1" x14ac:dyDescent="0.2">
      <c r="C808" s="4"/>
      <c r="K808" s="5">
        <f t="shared" si="24"/>
        <v>0</v>
      </c>
      <c r="L808" s="5" t="str">
        <f>IF(OR(TRIM($B808)="",$A808=""),"",IF(OR(ISNUMBER(SEARCH(_xlfn.CONCAT(CHAR(96),CHAR(34)),$A808)),ISNUMBER(SEARCH(_xlfn.CONCAT(CHAR(34),CHAR(39)),$A808))),_xlfn.CONCAT("* REVIEW REQUIRED: compound-quote delimiter in Codebook Section on Sheet 1 row ",808,"; edit the input before running."),_xlfn.CONCAT("char ",TRIM($B808),"[doc_section] ",CHAR(96),CHAR(34),SUBSTITUTE(SUBSTITUTE(SUBSTITUTE(SUBSTITUTE(SUBSTITUTE(SUBSTITUTE($A808,CHAR(13)," "),CHAR(10)," "),CHAR(9)," "),CHAR(92),_xlfn.CONCAT(CHAR(92),CHAR(92))),"$",_xlfn.CONCAT(CHAR(92),"$")),CHAR(96),_xlfn.CONCAT(CHAR(92),CHAR(96))),CHAR(34),CHAR(39))))</f>
        <v/>
      </c>
      <c r="M808" s="5" t="str">
        <f>IF(OR(TRIM($B808)="",$C808=""),"",IF(IFERROR(MATCH(TRIM($C808),{"Quantitative","Continuous","Discrete","Categorical","Nominal","Ordinal","Identifier"},0),0)=0,_xlfn.CONCAT("* REVIEW REQUIRED: invalid Variable Type on Sheet 1 row ",808,"."),_xlfn.CONCAT("char ",TRIM($B808),"[doc_vartype] ",CHAR(96),CHAR(34),SUBSTITUTE(SUBSTITUTE(SUBSTITUTE(SUBSTITUTE(SUBSTITUTE(SUBSTITUTE(LOWER(TRIM($C808)),CHAR(13)," "),CHAR(10)," "),CHAR(9)," "),CHAR(92),_xlfn.CONCAT(CHAR(92),CHAR(92))),"$",_xlfn.CONCAT(CHAR(92),"$")),CHAR(96),_xlfn.CONCAT(CHAR(92),CHAR(96))),CHAR(34),CHAR(39))))</f>
        <v/>
      </c>
      <c r="N808" s="5" t="str">
        <f>IF(OR(TRIM($B808)="",$D808=""),"",IF(OR(ISNUMBER(SEARCH(_xlfn.CONCAT(CHAR(96),CHAR(34)),$D808)),ISNUMBER(SEARCH(_xlfn.CONCAT(CHAR(34),CHAR(39)),$D808))),_xlfn.CONCAT("* REVIEW REQUIRED: compound-quote delimiter in Item Number on Sheet 1 row ",808,"; edit the input before running."),_xlfn.CONCAT("char ",TRIM($B808),"[doc_itemnum] ",CHAR(96),CHAR(34),SUBSTITUTE(SUBSTITUTE(SUBSTITUTE(SUBSTITUTE(SUBSTITUTE(SUBSTITUTE($D808,CHAR(13)," "),CHAR(10)," "),CHAR(9)," "),CHAR(92),_xlfn.CONCAT(CHAR(92),CHAR(92))),"$",_xlfn.CONCAT(CHAR(92),"$")),CHAR(96),_xlfn.CONCAT(CHAR(92),CHAR(96))),CHAR(34),CHAR(39))))</f>
        <v/>
      </c>
      <c r="O808" s="5" t="str">
        <f>IF(OR(TRIM($B808)="",$E808=""),"",IF(OR(ISNUMBER(SEARCH(_xlfn.CONCAT(CHAR(96),CHAR(34)),$E808)),ISNUMBER(SEARCH(_xlfn.CONCAT(CHAR(34),CHAR(39)),$E808))),_xlfn.CONCAT("* REVIEW REQUIRED: compound-quote delimiter in Question Wording on Sheet 1 row ",808,"; edit the input before running."),_xlfn.CONCAT("char ",TRIM($B808),"[doc_question] ",CHAR(96),CHAR(34),SUBSTITUTE(SUBSTITUTE(SUBSTITUTE(SUBSTITUTE(SUBSTITUTE(SUBSTITUTE($E808,CHAR(13)," "),CHAR(10)," "),CHAR(9)," "),CHAR(92),_xlfn.CONCAT(CHAR(92),CHAR(92))),"$",_xlfn.CONCAT(CHAR(92),"$")),CHAR(96),_xlfn.CONCAT(CHAR(92),CHAR(96))),CHAR(34),CHAR(39))))</f>
        <v/>
      </c>
      <c r="P808" s="5" t="str">
        <f>IF(OR(TRIM($B808)="",$F808=""),"",IF(OR(ISNUMBER(SEARCH(_xlfn.CONCAT(CHAR(96),CHAR(34)),$F808)),ISNUMBER(SEARCH(_xlfn.CONCAT(CHAR(34),CHAR(39)),$F808))),_xlfn.CONCAT("* REVIEW REQUIRED: compound-quote delimiter in Units on Sheet 1 row ",808,"; edit the input before running."),_xlfn.CONCAT("char ",TRIM($B808),"[doc_units] ",CHAR(96),CHAR(34),SUBSTITUTE(SUBSTITUTE(SUBSTITUTE(SUBSTITUTE(SUBSTITUTE(SUBSTITUTE($F808,CHAR(13)," "),CHAR(10)," "),CHAR(9)," "),CHAR(92),_xlfn.CONCAT(CHAR(92),CHAR(92))),"$",_xlfn.CONCAT(CHAR(92),"$")),CHAR(96),_xlfn.CONCAT(CHAR(92),CHAR(96))),CHAR(34),CHAR(39))))</f>
        <v/>
      </c>
      <c r="Q808" s="5" t="str">
        <f>IF(OR(TRIM($B808)="",$G808=""),"",IF(OR(ISNUMBER(SEARCH(_xlfn.CONCAT(CHAR(96),CHAR(34)),$G808)),ISNUMBER(SEARCH(_xlfn.CONCAT(CHAR(34),CHAR(39)),$G808))),_xlfn.CONCAT("* REVIEW REQUIRED: compound-quote delimiter in Universe on Sheet 1 row ",808,"; edit the input before running."),_xlfn.CONCAT("char ",TRIM($B808),"[doc_universe] ",CHAR(96),CHAR(34),SUBSTITUTE(SUBSTITUTE(SUBSTITUTE(SUBSTITUTE(SUBSTITUTE(SUBSTITUTE($G808,CHAR(13)," "),CHAR(10)," "),CHAR(9)," "),CHAR(92),_xlfn.CONCAT(CHAR(92),CHAR(92))),"$",_xlfn.CONCAT(CHAR(92),"$")),CHAR(96),_xlfn.CONCAT(CHAR(92),CHAR(96))),CHAR(34),CHAR(39))))</f>
        <v/>
      </c>
      <c r="R808" s="5" t="str">
        <f>IF(OR(TRIM($B808)="",$H808=""),"",IF(OR(ISNUMBER(SEARCH(_xlfn.CONCAT(CHAR(96),CHAR(34)),$H808)),ISNUMBER(SEARCH(_xlfn.CONCAT(CHAR(34),CHAR(39)),$H808))),_xlfn.CONCAT("* REVIEW REQUIRED: compound-quote delimiter in Source on Sheet 1 row ",808,"; edit the input before running."),_xlfn.CONCAT("char ",TRIM($B808),"[doc_source] ",CHAR(96),CHAR(34),SUBSTITUTE(SUBSTITUTE(SUBSTITUTE(SUBSTITUTE(SUBSTITUTE(SUBSTITUTE($H808,CHAR(13)," "),CHAR(10)," "),CHAR(9)," "),CHAR(92),_xlfn.CONCAT(CHAR(92),CHAR(92))),"$",_xlfn.CONCAT(CHAR(92),"$")),CHAR(96),_xlfn.CONCAT(CHAR(92),CHAR(96))),CHAR(34),CHAR(39))))</f>
        <v/>
      </c>
      <c r="S808" s="5" t="str">
        <f>IF(OR(TRIM($B808)="",$I808=""),"",IF(OR(ISNUMBER(SEARCH(_xlfn.CONCAT(CHAR(96),CHAR(34)),$I808)),ISNUMBER(SEARCH(_xlfn.CONCAT(CHAR(34),CHAR(39)),$I808))),_xlfn.CONCAT("* REVIEW REQUIRED: compound-quote delimiter in Derivation on Sheet 1 row ",808,"; edit the input before running."),_xlfn.CONCAT("char ",TRIM($B808),"[doc_derivation] ",CHAR(96),CHAR(34),SUBSTITUTE(SUBSTITUTE(SUBSTITUTE(SUBSTITUTE(SUBSTITUTE(SUBSTITUTE($I808,CHAR(13)," "),CHAR(10)," "),CHAR(9)," "),CHAR(92),_xlfn.CONCAT(CHAR(92),CHAR(92))),"$",_xlfn.CONCAT(CHAR(92),"$")),CHAR(96),_xlfn.CONCAT(CHAR(92),CHAR(96))),CHAR(34),CHAR(39))))</f>
        <v/>
      </c>
      <c r="T808" s="5" t="str">
        <f>IF(OR(TRIM($B808)="",$J808=""),"",IF(OR(ISNUMBER(SEARCH(_xlfn.CONCAT(CHAR(96),CHAR(34)),$J808)),ISNUMBER(SEARCH(_xlfn.CONCAT(CHAR(34),CHAR(39)),$J808))),_xlfn.CONCAT("* REVIEW REQUIRED: compound-quote delimiter in Notes on Sheet 1 row ",808,"; edit the input before running."),_xlfn.CONCAT("char ",TRIM($B808),"[doc_notes] ",CHAR(96),CHAR(34),SUBSTITUTE(SUBSTITUTE(SUBSTITUTE(SUBSTITUTE(SUBSTITUTE(SUBSTITUTE($J808,CHAR(13)," "),CHAR(10)," "),CHAR(9)," "),CHAR(92),_xlfn.CONCAT(CHAR(92),CHAR(92))),"$",_xlfn.CONCAT(CHAR(92),"$")),CHAR(96),_xlfn.CONCAT(CHAR(92),CHAR(96))),CHAR(34),CHAR(39))))</f>
        <v/>
      </c>
      <c r="U808" s="5">
        <f t="shared" si="25"/>
        <v>0</v>
      </c>
    </row>
    <row r="809" spans="3:21" ht="30" customHeight="1" x14ac:dyDescent="0.2">
      <c r="C809" s="4"/>
      <c r="K809" s="5">
        <f t="shared" si="24"/>
        <v>0</v>
      </c>
      <c r="L809" s="5" t="str">
        <f>IF(OR(TRIM($B809)="",$A809=""),"",IF(OR(ISNUMBER(SEARCH(_xlfn.CONCAT(CHAR(96),CHAR(34)),$A809)),ISNUMBER(SEARCH(_xlfn.CONCAT(CHAR(34),CHAR(39)),$A809))),_xlfn.CONCAT("* REVIEW REQUIRED: compound-quote delimiter in Codebook Section on Sheet 1 row ",809,"; edit the input before running."),_xlfn.CONCAT("char ",TRIM($B809),"[doc_section] ",CHAR(96),CHAR(34),SUBSTITUTE(SUBSTITUTE(SUBSTITUTE(SUBSTITUTE(SUBSTITUTE(SUBSTITUTE($A809,CHAR(13)," "),CHAR(10)," "),CHAR(9)," "),CHAR(92),_xlfn.CONCAT(CHAR(92),CHAR(92))),"$",_xlfn.CONCAT(CHAR(92),"$")),CHAR(96),_xlfn.CONCAT(CHAR(92),CHAR(96))),CHAR(34),CHAR(39))))</f>
        <v/>
      </c>
      <c r="M809" s="5" t="str">
        <f>IF(OR(TRIM($B809)="",$C809=""),"",IF(IFERROR(MATCH(TRIM($C809),{"Quantitative","Continuous","Discrete","Categorical","Nominal","Ordinal","Identifier"},0),0)=0,_xlfn.CONCAT("* REVIEW REQUIRED: invalid Variable Type on Sheet 1 row ",809,"."),_xlfn.CONCAT("char ",TRIM($B809),"[doc_vartype] ",CHAR(96),CHAR(34),SUBSTITUTE(SUBSTITUTE(SUBSTITUTE(SUBSTITUTE(SUBSTITUTE(SUBSTITUTE(LOWER(TRIM($C809)),CHAR(13)," "),CHAR(10)," "),CHAR(9)," "),CHAR(92),_xlfn.CONCAT(CHAR(92),CHAR(92))),"$",_xlfn.CONCAT(CHAR(92),"$")),CHAR(96),_xlfn.CONCAT(CHAR(92),CHAR(96))),CHAR(34),CHAR(39))))</f>
        <v/>
      </c>
      <c r="N809" s="5" t="str">
        <f>IF(OR(TRIM($B809)="",$D809=""),"",IF(OR(ISNUMBER(SEARCH(_xlfn.CONCAT(CHAR(96),CHAR(34)),$D809)),ISNUMBER(SEARCH(_xlfn.CONCAT(CHAR(34),CHAR(39)),$D809))),_xlfn.CONCAT("* REVIEW REQUIRED: compound-quote delimiter in Item Number on Sheet 1 row ",809,"; edit the input before running."),_xlfn.CONCAT("char ",TRIM($B809),"[doc_itemnum] ",CHAR(96),CHAR(34),SUBSTITUTE(SUBSTITUTE(SUBSTITUTE(SUBSTITUTE(SUBSTITUTE(SUBSTITUTE($D809,CHAR(13)," "),CHAR(10)," "),CHAR(9)," "),CHAR(92),_xlfn.CONCAT(CHAR(92),CHAR(92))),"$",_xlfn.CONCAT(CHAR(92),"$")),CHAR(96),_xlfn.CONCAT(CHAR(92),CHAR(96))),CHAR(34),CHAR(39))))</f>
        <v/>
      </c>
      <c r="O809" s="5" t="str">
        <f>IF(OR(TRIM($B809)="",$E809=""),"",IF(OR(ISNUMBER(SEARCH(_xlfn.CONCAT(CHAR(96),CHAR(34)),$E809)),ISNUMBER(SEARCH(_xlfn.CONCAT(CHAR(34),CHAR(39)),$E809))),_xlfn.CONCAT("* REVIEW REQUIRED: compound-quote delimiter in Question Wording on Sheet 1 row ",809,"; edit the input before running."),_xlfn.CONCAT("char ",TRIM($B809),"[doc_question] ",CHAR(96),CHAR(34),SUBSTITUTE(SUBSTITUTE(SUBSTITUTE(SUBSTITUTE(SUBSTITUTE(SUBSTITUTE($E809,CHAR(13)," "),CHAR(10)," "),CHAR(9)," "),CHAR(92),_xlfn.CONCAT(CHAR(92),CHAR(92))),"$",_xlfn.CONCAT(CHAR(92),"$")),CHAR(96),_xlfn.CONCAT(CHAR(92),CHAR(96))),CHAR(34),CHAR(39))))</f>
        <v/>
      </c>
      <c r="P809" s="5" t="str">
        <f>IF(OR(TRIM($B809)="",$F809=""),"",IF(OR(ISNUMBER(SEARCH(_xlfn.CONCAT(CHAR(96),CHAR(34)),$F809)),ISNUMBER(SEARCH(_xlfn.CONCAT(CHAR(34),CHAR(39)),$F809))),_xlfn.CONCAT("* REVIEW REQUIRED: compound-quote delimiter in Units on Sheet 1 row ",809,"; edit the input before running."),_xlfn.CONCAT("char ",TRIM($B809),"[doc_units] ",CHAR(96),CHAR(34),SUBSTITUTE(SUBSTITUTE(SUBSTITUTE(SUBSTITUTE(SUBSTITUTE(SUBSTITUTE($F809,CHAR(13)," "),CHAR(10)," "),CHAR(9)," "),CHAR(92),_xlfn.CONCAT(CHAR(92),CHAR(92))),"$",_xlfn.CONCAT(CHAR(92),"$")),CHAR(96),_xlfn.CONCAT(CHAR(92),CHAR(96))),CHAR(34),CHAR(39))))</f>
        <v/>
      </c>
      <c r="Q809" s="5" t="str">
        <f>IF(OR(TRIM($B809)="",$G809=""),"",IF(OR(ISNUMBER(SEARCH(_xlfn.CONCAT(CHAR(96),CHAR(34)),$G809)),ISNUMBER(SEARCH(_xlfn.CONCAT(CHAR(34),CHAR(39)),$G809))),_xlfn.CONCAT("* REVIEW REQUIRED: compound-quote delimiter in Universe on Sheet 1 row ",809,"; edit the input before running."),_xlfn.CONCAT("char ",TRIM($B809),"[doc_universe] ",CHAR(96),CHAR(34),SUBSTITUTE(SUBSTITUTE(SUBSTITUTE(SUBSTITUTE(SUBSTITUTE(SUBSTITUTE($G809,CHAR(13)," "),CHAR(10)," "),CHAR(9)," "),CHAR(92),_xlfn.CONCAT(CHAR(92),CHAR(92))),"$",_xlfn.CONCAT(CHAR(92),"$")),CHAR(96),_xlfn.CONCAT(CHAR(92),CHAR(96))),CHAR(34),CHAR(39))))</f>
        <v/>
      </c>
      <c r="R809" s="5" t="str">
        <f>IF(OR(TRIM($B809)="",$H809=""),"",IF(OR(ISNUMBER(SEARCH(_xlfn.CONCAT(CHAR(96),CHAR(34)),$H809)),ISNUMBER(SEARCH(_xlfn.CONCAT(CHAR(34),CHAR(39)),$H809))),_xlfn.CONCAT("* REVIEW REQUIRED: compound-quote delimiter in Source on Sheet 1 row ",809,"; edit the input before running."),_xlfn.CONCAT("char ",TRIM($B809),"[doc_source] ",CHAR(96),CHAR(34),SUBSTITUTE(SUBSTITUTE(SUBSTITUTE(SUBSTITUTE(SUBSTITUTE(SUBSTITUTE($H809,CHAR(13)," "),CHAR(10)," "),CHAR(9)," "),CHAR(92),_xlfn.CONCAT(CHAR(92),CHAR(92))),"$",_xlfn.CONCAT(CHAR(92),"$")),CHAR(96),_xlfn.CONCAT(CHAR(92),CHAR(96))),CHAR(34),CHAR(39))))</f>
        <v/>
      </c>
      <c r="S809" s="5" t="str">
        <f>IF(OR(TRIM($B809)="",$I809=""),"",IF(OR(ISNUMBER(SEARCH(_xlfn.CONCAT(CHAR(96),CHAR(34)),$I809)),ISNUMBER(SEARCH(_xlfn.CONCAT(CHAR(34),CHAR(39)),$I809))),_xlfn.CONCAT("* REVIEW REQUIRED: compound-quote delimiter in Derivation on Sheet 1 row ",809,"; edit the input before running."),_xlfn.CONCAT("char ",TRIM($B809),"[doc_derivation] ",CHAR(96),CHAR(34),SUBSTITUTE(SUBSTITUTE(SUBSTITUTE(SUBSTITUTE(SUBSTITUTE(SUBSTITUTE($I809,CHAR(13)," "),CHAR(10)," "),CHAR(9)," "),CHAR(92),_xlfn.CONCAT(CHAR(92),CHAR(92))),"$",_xlfn.CONCAT(CHAR(92),"$")),CHAR(96),_xlfn.CONCAT(CHAR(92),CHAR(96))),CHAR(34),CHAR(39))))</f>
        <v/>
      </c>
      <c r="T809" s="5" t="str">
        <f>IF(OR(TRIM($B809)="",$J809=""),"",IF(OR(ISNUMBER(SEARCH(_xlfn.CONCAT(CHAR(96),CHAR(34)),$J809)),ISNUMBER(SEARCH(_xlfn.CONCAT(CHAR(34),CHAR(39)),$J809))),_xlfn.CONCAT("* REVIEW REQUIRED: compound-quote delimiter in Notes on Sheet 1 row ",809,"; edit the input before running."),_xlfn.CONCAT("char ",TRIM($B809),"[doc_notes] ",CHAR(96),CHAR(34),SUBSTITUTE(SUBSTITUTE(SUBSTITUTE(SUBSTITUTE(SUBSTITUTE(SUBSTITUTE($J809,CHAR(13)," "),CHAR(10)," "),CHAR(9)," "),CHAR(92),_xlfn.CONCAT(CHAR(92),CHAR(92))),"$",_xlfn.CONCAT(CHAR(92),"$")),CHAR(96),_xlfn.CONCAT(CHAR(92),CHAR(96))),CHAR(34),CHAR(39))))</f>
        <v/>
      </c>
      <c r="U809" s="5">
        <f t="shared" si="25"/>
        <v>0</v>
      </c>
    </row>
    <row r="810" spans="3:21" ht="30" customHeight="1" x14ac:dyDescent="0.2">
      <c r="C810" s="4"/>
      <c r="K810" s="5">
        <f t="shared" si="24"/>
        <v>0</v>
      </c>
      <c r="L810" s="5" t="str">
        <f>IF(OR(TRIM($B810)="",$A810=""),"",IF(OR(ISNUMBER(SEARCH(_xlfn.CONCAT(CHAR(96),CHAR(34)),$A810)),ISNUMBER(SEARCH(_xlfn.CONCAT(CHAR(34),CHAR(39)),$A810))),_xlfn.CONCAT("* REVIEW REQUIRED: compound-quote delimiter in Codebook Section on Sheet 1 row ",810,"; edit the input before running."),_xlfn.CONCAT("char ",TRIM($B810),"[doc_section] ",CHAR(96),CHAR(34),SUBSTITUTE(SUBSTITUTE(SUBSTITUTE(SUBSTITUTE(SUBSTITUTE(SUBSTITUTE($A810,CHAR(13)," "),CHAR(10)," "),CHAR(9)," "),CHAR(92),_xlfn.CONCAT(CHAR(92),CHAR(92))),"$",_xlfn.CONCAT(CHAR(92),"$")),CHAR(96),_xlfn.CONCAT(CHAR(92),CHAR(96))),CHAR(34),CHAR(39))))</f>
        <v/>
      </c>
      <c r="M810" s="5" t="str">
        <f>IF(OR(TRIM($B810)="",$C810=""),"",IF(IFERROR(MATCH(TRIM($C810),{"Quantitative","Continuous","Discrete","Categorical","Nominal","Ordinal","Identifier"},0),0)=0,_xlfn.CONCAT("* REVIEW REQUIRED: invalid Variable Type on Sheet 1 row ",810,"."),_xlfn.CONCAT("char ",TRIM($B810),"[doc_vartype] ",CHAR(96),CHAR(34),SUBSTITUTE(SUBSTITUTE(SUBSTITUTE(SUBSTITUTE(SUBSTITUTE(SUBSTITUTE(LOWER(TRIM($C810)),CHAR(13)," "),CHAR(10)," "),CHAR(9)," "),CHAR(92),_xlfn.CONCAT(CHAR(92),CHAR(92))),"$",_xlfn.CONCAT(CHAR(92),"$")),CHAR(96),_xlfn.CONCAT(CHAR(92),CHAR(96))),CHAR(34),CHAR(39))))</f>
        <v/>
      </c>
      <c r="N810" s="5" t="str">
        <f>IF(OR(TRIM($B810)="",$D810=""),"",IF(OR(ISNUMBER(SEARCH(_xlfn.CONCAT(CHAR(96),CHAR(34)),$D810)),ISNUMBER(SEARCH(_xlfn.CONCAT(CHAR(34),CHAR(39)),$D810))),_xlfn.CONCAT("* REVIEW REQUIRED: compound-quote delimiter in Item Number on Sheet 1 row ",810,"; edit the input before running."),_xlfn.CONCAT("char ",TRIM($B810),"[doc_itemnum] ",CHAR(96),CHAR(34),SUBSTITUTE(SUBSTITUTE(SUBSTITUTE(SUBSTITUTE(SUBSTITUTE(SUBSTITUTE($D810,CHAR(13)," "),CHAR(10)," "),CHAR(9)," "),CHAR(92),_xlfn.CONCAT(CHAR(92),CHAR(92))),"$",_xlfn.CONCAT(CHAR(92),"$")),CHAR(96),_xlfn.CONCAT(CHAR(92),CHAR(96))),CHAR(34),CHAR(39))))</f>
        <v/>
      </c>
      <c r="O810" s="5" t="str">
        <f>IF(OR(TRIM($B810)="",$E810=""),"",IF(OR(ISNUMBER(SEARCH(_xlfn.CONCAT(CHAR(96),CHAR(34)),$E810)),ISNUMBER(SEARCH(_xlfn.CONCAT(CHAR(34),CHAR(39)),$E810))),_xlfn.CONCAT("* REVIEW REQUIRED: compound-quote delimiter in Question Wording on Sheet 1 row ",810,"; edit the input before running."),_xlfn.CONCAT("char ",TRIM($B810),"[doc_question] ",CHAR(96),CHAR(34),SUBSTITUTE(SUBSTITUTE(SUBSTITUTE(SUBSTITUTE(SUBSTITUTE(SUBSTITUTE($E810,CHAR(13)," "),CHAR(10)," "),CHAR(9)," "),CHAR(92),_xlfn.CONCAT(CHAR(92),CHAR(92))),"$",_xlfn.CONCAT(CHAR(92),"$")),CHAR(96),_xlfn.CONCAT(CHAR(92),CHAR(96))),CHAR(34),CHAR(39))))</f>
        <v/>
      </c>
      <c r="P810" s="5" t="str">
        <f>IF(OR(TRIM($B810)="",$F810=""),"",IF(OR(ISNUMBER(SEARCH(_xlfn.CONCAT(CHAR(96),CHAR(34)),$F810)),ISNUMBER(SEARCH(_xlfn.CONCAT(CHAR(34),CHAR(39)),$F810))),_xlfn.CONCAT("* REVIEW REQUIRED: compound-quote delimiter in Units on Sheet 1 row ",810,"; edit the input before running."),_xlfn.CONCAT("char ",TRIM($B810),"[doc_units] ",CHAR(96),CHAR(34),SUBSTITUTE(SUBSTITUTE(SUBSTITUTE(SUBSTITUTE(SUBSTITUTE(SUBSTITUTE($F810,CHAR(13)," "),CHAR(10)," "),CHAR(9)," "),CHAR(92),_xlfn.CONCAT(CHAR(92),CHAR(92))),"$",_xlfn.CONCAT(CHAR(92),"$")),CHAR(96),_xlfn.CONCAT(CHAR(92),CHAR(96))),CHAR(34),CHAR(39))))</f>
        <v/>
      </c>
      <c r="Q810" s="5" t="str">
        <f>IF(OR(TRIM($B810)="",$G810=""),"",IF(OR(ISNUMBER(SEARCH(_xlfn.CONCAT(CHAR(96),CHAR(34)),$G810)),ISNUMBER(SEARCH(_xlfn.CONCAT(CHAR(34),CHAR(39)),$G810))),_xlfn.CONCAT("* REVIEW REQUIRED: compound-quote delimiter in Universe on Sheet 1 row ",810,"; edit the input before running."),_xlfn.CONCAT("char ",TRIM($B810),"[doc_universe] ",CHAR(96),CHAR(34),SUBSTITUTE(SUBSTITUTE(SUBSTITUTE(SUBSTITUTE(SUBSTITUTE(SUBSTITUTE($G810,CHAR(13)," "),CHAR(10)," "),CHAR(9)," "),CHAR(92),_xlfn.CONCAT(CHAR(92),CHAR(92))),"$",_xlfn.CONCAT(CHAR(92),"$")),CHAR(96),_xlfn.CONCAT(CHAR(92),CHAR(96))),CHAR(34),CHAR(39))))</f>
        <v/>
      </c>
      <c r="R810" s="5" t="str">
        <f>IF(OR(TRIM($B810)="",$H810=""),"",IF(OR(ISNUMBER(SEARCH(_xlfn.CONCAT(CHAR(96),CHAR(34)),$H810)),ISNUMBER(SEARCH(_xlfn.CONCAT(CHAR(34),CHAR(39)),$H810))),_xlfn.CONCAT("* REVIEW REQUIRED: compound-quote delimiter in Source on Sheet 1 row ",810,"; edit the input before running."),_xlfn.CONCAT("char ",TRIM($B810),"[doc_source] ",CHAR(96),CHAR(34),SUBSTITUTE(SUBSTITUTE(SUBSTITUTE(SUBSTITUTE(SUBSTITUTE(SUBSTITUTE($H810,CHAR(13)," "),CHAR(10)," "),CHAR(9)," "),CHAR(92),_xlfn.CONCAT(CHAR(92),CHAR(92))),"$",_xlfn.CONCAT(CHAR(92),"$")),CHAR(96),_xlfn.CONCAT(CHAR(92),CHAR(96))),CHAR(34),CHAR(39))))</f>
        <v/>
      </c>
      <c r="S810" s="5" t="str">
        <f>IF(OR(TRIM($B810)="",$I810=""),"",IF(OR(ISNUMBER(SEARCH(_xlfn.CONCAT(CHAR(96),CHAR(34)),$I810)),ISNUMBER(SEARCH(_xlfn.CONCAT(CHAR(34),CHAR(39)),$I810))),_xlfn.CONCAT("* REVIEW REQUIRED: compound-quote delimiter in Derivation on Sheet 1 row ",810,"; edit the input before running."),_xlfn.CONCAT("char ",TRIM($B810),"[doc_derivation] ",CHAR(96),CHAR(34),SUBSTITUTE(SUBSTITUTE(SUBSTITUTE(SUBSTITUTE(SUBSTITUTE(SUBSTITUTE($I810,CHAR(13)," "),CHAR(10)," "),CHAR(9)," "),CHAR(92),_xlfn.CONCAT(CHAR(92),CHAR(92))),"$",_xlfn.CONCAT(CHAR(92),"$")),CHAR(96),_xlfn.CONCAT(CHAR(92),CHAR(96))),CHAR(34),CHAR(39))))</f>
        <v/>
      </c>
      <c r="T810" s="5" t="str">
        <f>IF(OR(TRIM($B810)="",$J810=""),"",IF(OR(ISNUMBER(SEARCH(_xlfn.CONCAT(CHAR(96),CHAR(34)),$J810)),ISNUMBER(SEARCH(_xlfn.CONCAT(CHAR(34),CHAR(39)),$J810))),_xlfn.CONCAT("* REVIEW REQUIRED: compound-quote delimiter in Notes on Sheet 1 row ",810,"; edit the input before running."),_xlfn.CONCAT("char ",TRIM($B810),"[doc_notes] ",CHAR(96),CHAR(34),SUBSTITUTE(SUBSTITUTE(SUBSTITUTE(SUBSTITUTE(SUBSTITUTE(SUBSTITUTE($J810,CHAR(13)," "),CHAR(10)," "),CHAR(9)," "),CHAR(92),_xlfn.CONCAT(CHAR(92),CHAR(92))),"$",_xlfn.CONCAT(CHAR(92),"$")),CHAR(96),_xlfn.CONCAT(CHAR(92),CHAR(96))),CHAR(34),CHAR(39))))</f>
        <v/>
      </c>
      <c r="U810" s="5">
        <f t="shared" si="25"/>
        <v>0</v>
      </c>
    </row>
    <row r="811" spans="3:21" ht="30" customHeight="1" x14ac:dyDescent="0.2">
      <c r="C811" s="4"/>
      <c r="K811" s="5">
        <f t="shared" si="24"/>
        <v>0</v>
      </c>
      <c r="L811" s="5" t="str">
        <f>IF(OR(TRIM($B811)="",$A811=""),"",IF(OR(ISNUMBER(SEARCH(_xlfn.CONCAT(CHAR(96),CHAR(34)),$A811)),ISNUMBER(SEARCH(_xlfn.CONCAT(CHAR(34),CHAR(39)),$A811))),_xlfn.CONCAT("* REVIEW REQUIRED: compound-quote delimiter in Codebook Section on Sheet 1 row ",811,"; edit the input before running."),_xlfn.CONCAT("char ",TRIM($B811),"[doc_section] ",CHAR(96),CHAR(34),SUBSTITUTE(SUBSTITUTE(SUBSTITUTE(SUBSTITUTE(SUBSTITUTE(SUBSTITUTE($A811,CHAR(13)," "),CHAR(10)," "),CHAR(9)," "),CHAR(92),_xlfn.CONCAT(CHAR(92),CHAR(92))),"$",_xlfn.CONCAT(CHAR(92),"$")),CHAR(96),_xlfn.CONCAT(CHAR(92),CHAR(96))),CHAR(34),CHAR(39))))</f>
        <v/>
      </c>
      <c r="M811" s="5" t="str">
        <f>IF(OR(TRIM($B811)="",$C811=""),"",IF(IFERROR(MATCH(TRIM($C811),{"Quantitative","Continuous","Discrete","Categorical","Nominal","Ordinal","Identifier"},0),0)=0,_xlfn.CONCAT("* REVIEW REQUIRED: invalid Variable Type on Sheet 1 row ",811,"."),_xlfn.CONCAT("char ",TRIM($B811),"[doc_vartype] ",CHAR(96),CHAR(34),SUBSTITUTE(SUBSTITUTE(SUBSTITUTE(SUBSTITUTE(SUBSTITUTE(SUBSTITUTE(LOWER(TRIM($C811)),CHAR(13)," "),CHAR(10)," "),CHAR(9)," "),CHAR(92),_xlfn.CONCAT(CHAR(92),CHAR(92))),"$",_xlfn.CONCAT(CHAR(92),"$")),CHAR(96),_xlfn.CONCAT(CHAR(92),CHAR(96))),CHAR(34),CHAR(39))))</f>
        <v/>
      </c>
      <c r="N811" s="5" t="str">
        <f>IF(OR(TRIM($B811)="",$D811=""),"",IF(OR(ISNUMBER(SEARCH(_xlfn.CONCAT(CHAR(96),CHAR(34)),$D811)),ISNUMBER(SEARCH(_xlfn.CONCAT(CHAR(34),CHAR(39)),$D811))),_xlfn.CONCAT("* REVIEW REQUIRED: compound-quote delimiter in Item Number on Sheet 1 row ",811,"; edit the input before running."),_xlfn.CONCAT("char ",TRIM($B811),"[doc_itemnum] ",CHAR(96),CHAR(34),SUBSTITUTE(SUBSTITUTE(SUBSTITUTE(SUBSTITUTE(SUBSTITUTE(SUBSTITUTE($D811,CHAR(13)," "),CHAR(10)," "),CHAR(9)," "),CHAR(92),_xlfn.CONCAT(CHAR(92),CHAR(92))),"$",_xlfn.CONCAT(CHAR(92),"$")),CHAR(96),_xlfn.CONCAT(CHAR(92),CHAR(96))),CHAR(34),CHAR(39))))</f>
        <v/>
      </c>
      <c r="O811" s="5" t="str">
        <f>IF(OR(TRIM($B811)="",$E811=""),"",IF(OR(ISNUMBER(SEARCH(_xlfn.CONCAT(CHAR(96),CHAR(34)),$E811)),ISNUMBER(SEARCH(_xlfn.CONCAT(CHAR(34),CHAR(39)),$E811))),_xlfn.CONCAT("* REVIEW REQUIRED: compound-quote delimiter in Question Wording on Sheet 1 row ",811,"; edit the input before running."),_xlfn.CONCAT("char ",TRIM($B811),"[doc_question] ",CHAR(96),CHAR(34),SUBSTITUTE(SUBSTITUTE(SUBSTITUTE(SUBSTITUTE(SUBSTITUTE(SUBSTITUTE($E811,CHAR(13)," "),CHAR(10)," "),CHAR(9)," "),CHAR(92),_xlfn.CONCAT(CHAR(92),CHAR(92))),"$",_xlfn.CONCAT(CHAR(92),"$")),CHAR(96),_xlfn.CONCAT(CHAR(92),CHAR(96))),CHAR(34),CHAR(39))))</f>
        <v/>
      </c>
      <c r="P811" s="5" t="str">
        <f>IF(OR(TRIM($B811)="",$F811=""),"",IF(OR(ISNUMBER(SEARCH(_xlfn.CONCAT(CHAR(96),CHAR(34)),$F811)),ISNUMBER(SEARCH(_xlfn.CONCAT(CHAR(34),CHAR(39)),$F811))),_xlfn.CONCAT("* REVIEW REQUIRED: compound-quote delimiter in Units on Sheet 1 row ",811,"; edit the input before running."),_xlfn.CONCAT("char ",TRIM($B811),"[doc_units] ",CHAR(96),CHAR(34),SUBSTITUTE(SUBSTITUTE(SUBSTITUTE(SUBSTITUTE(SUBSTITUTE(SUBSTITUTE($F811,CHAR(13)," "),CHAR(10)," "),CHAR(9)," "),CHAR(92),_xlfn.CONCAT(CHAR(92),CHAR(92))),"$",_xlfn.CONCAT(CHAR(92),"$")),CHAR(96),_xlfn.CONCAT(CHAR(92),CHAR(96))),CHAR(34),CHAR(39))))</f>
        <v/>
      </c>
      <c r="Q811" s="5" t="str">
        <f>IF(OR(TRIM($B811)="",$G811=""),"",IF(OR(ISNUMBER(SEARCH(_xlfn.CONCAT(CHAR(96),CHAR(34)),$G811)),ISNUMBER(SEARCH(_xlfn.CONCAT(CHAR(34),CHAR(39)),$G811))),_xlfn.CONCAT("* REVIEW REQUIRED: compound-quote delimiter in Universe on Sheet 1 row ",811,"; edit the input before running."),_xlfn.CONCAT("char ",TRIM($B811),"[doc_universe] ",CHAR(96),CHAR(34),SUBSTITUTE(SUBSTITUTE(SUBSTITUTE(SUBSTITUTE(SUBSTITUTE(SUBSTITUTE($G811,CHAR(13)," "),CHAR(10)," "),CHAR(9)," "),CHAR(92),_xlfn.CONCAT(CHAR(92),CHAR(92))),"$",_xlfn.CONCAT(CHAR(92),"$")),CHAR(96),_xlfn.CONCAT(CHAR(92),CHAR(96))),CHAR(34),CHAR(39))))</f>
        <v/>
      </c>
      <c r="R811" s="5" t="str">
        <f>IF(OR(TRIM($B811)="",$H811=""),"",IF(OR(ISNUMBER(SEARCH(_xlfn.CONCAT(CHAR(96),CHAR(34)),$H811)),ISNUMBER(SEARCH(_xlfn.CONCAT(CHAR(34),CHAR(39)),$H811))),_xlfn.CONCAT("* REVIEW REQUIRED: compound-quote delimiter in Source on Sheet 1 row ",811,"; edit the input before running."),_xlfn.CONCAT("char ",TRIM($B811),"[doc_source] ",CHAR(96),CHAR(34),SUBSTITUTE(SUBSTITUTE(SUBSTITUTE(SUBSTITUTE(SUBSTITUTE(SUBSTITUTE($H811,CHAR(13)," "),CHAR(10)," "),CHAR(9)," "),CHAR(92),_xlfn.CONCAT(CHAR(92),CHAR(92))),"$",_xlfn.CONCAT(CHAR(92),"$")),CHAR(96),_xlfn.CONCAT(CHAR(92),CHAR(96))),CHAR(34),CHAR(39))))</f>
        <v/>
      </c>
      <c r="S811" s="5" t="str">
        <f>IF(OR(TRIM($B811)="",$I811=""),"",IF(OR(ISNUMBER(SEARCH(_xlfn.CONCAT(CHAR(96),CHAR(34)),$I811)),ISNUMBER(SEARCH(_xlfn.CONCAT(CHAR(34),CHAR(39)),$I811))),_xlfn.CONCAT("* REVIEW REQUIRED: compound-quote delimiter in Derivation on Sheet 1 row ",811,"; edit the input before running."),_xlfn.CONCAT("char ",TRIM($B811),"[doc_derivation] ",CHAR(96),CHAR(34),SUBSTITUTE(SUBSTITUTE(SUBSTITUTE(SUBSTITUTE(SUBSTITUTE(SUBSTITUTE($I811,CHAR(13)," "),CHAR(10)," "),CHAR(9)," "),CHAR(92),_xlfn.CONCAT(CHAR(92),CHAR(92))),"$",_xlfn.CONCAT(CHAR(92),"$")),CHAR(96),_xlfn.CONCAT(CHAR(92),CHAR(96))),CHAR(34),CHAR(39))))</f>
        <v/>
      </c>
      <c r="T811" s="5" t="str">
        <f>IF(OR(TRIM($B811)="",$J811=""),"",IF(OR(ISNUMBER(SEARCH(_xlfn.CONCAT(CHAR(96),CHAR(34)),$J811)),ISNUMBER(SEARCH(_xlfn.CONCAT(CHAR(34),CHAR(39)),$J811))),_xlfn.CONCAT("* REVIEW REQUIRED: compound-quote delimiter in Notes on Sheet 1 row ",811,"; edit the input before running."),_xlfn.CONCAT("char ",TRIM($B811),"[doc_notes] ",CHAR(96),CHAR(34),SUBSTITUTE(SUBSTITUTE(SUBSTITUTE(SUBSTITUTE(SUBSTITUTE(SUBSTITUTE($J811,CHAR(13)," "),CHAR(10)," "),CHAR(9)," "),CHAR(92),_xlfn.CONCAT(CHAR(92),CHAR(92))),"$",_xlfn.CONCAT(CHAR(92),"$")),CHAR(96),_xlfn.CONCAT(CHAR(92),CHAR(96))),CHAR(34),CHAR(39))))</f>
        <v/>
      </c>
      <c r="U811" s="5">
        <f t="shared" si="25"/>
        <v>0</v>
      </c>
    </row>
    <row r="812" spans="3:21" ht="30" customHeight="1" x14ac:dyDescent="0.2">
      <c r="C812" s="4"/>
      <c r="K812" s="5">
        <f t="shared" si="24"/>
        <v>0</v>
      </c>
      <c r="L812" s="5" t="str">
        <f>IF(OR(TRIM($B812)="",$A812=""),"",IF(OR(ISNUMBER(SEARCH(_xlfn.CONCAT(CHAR(96),CHAR(34)),$A812)),ISNUMBER(SEARCH(_xlfn.CONCAT(CHAR(34),CHAR(39)),$A812))),_xlfn.CONCAT("* REVIEW REQUIRED: compound-quote delimiter in Codebook Section on Sheet 1 row ",812,"; edit the input before running."),_xlfn.CONCAT("char ",TRIM($B812),"[doc_section] ",CHAR(96),CHAR(34),SUBSTITUTE(SUBSTITUTE(SUBSTITUTE(SUBSTITUTE(SUBSTITUTE(SUBSTITUTE($A812,CHAR(13)," "),CHAR(10)," "),CHAR(9)," "),CHAR(92),_xlfn.CONCAT(CHAR(92),CHAR(92))),"$",_xlfn.CONCAT(CHAR(92),"$")),CHAR(96),_xlfn.CONCAT(CHAR(92),CHAR(96))),CHAR(34),CHAR(39))))</f>
        <v/>
      </c>
      <c r="M812" s="5" t="str">
        <f>IF(OR(TRIM($B812)="",$C812=""),"",IF(IFERROR(MATCH(TRIM($C812),{"Quantitative","Continuous","Discrete","Categorical","Nominal","Ordinal","Identifier"},0),0)=0,_xlfn.CONCAT("* REVIEW REQUIRED: invalid Variable Type on Sheet 1 row ",812,"."),_xlfn.CONCAT("char ",TRIM($B812),"[doc_vartype] ",CHAR(96),CHAR(34),SUBSTITUTE(SUBSTITUTE(SUBSTITUTE(SUBSTITUTE(SUBSTITUTE(SUBSTITUTE(LOWER(TRIM($C812)),CHAR(13)," "),CHAR(10)," "),CHAR(9)," "),CHAR(92),_xlfn.CONCAT(CHAR(92),CHAR(92))),"$",_xlfn.CONCAT(CHAR(92),"$")),CHAR(96),_xlfn.CONCAT(CHAR(92),CHAR(96))),CHAR(34),CHAR(39))))</f>
        <v/>
      </c>
      <c r="N812" s="5" t="str">
        <f>IF(OR(TRIM($B812)="",$D812=""),"",IF(OR(ISNUMBER(SEARCH(_xlfn.CONCAT(CHAR(96),CHAR(34)),$D812)),ISNUMBER(SEARCH(_xlfn.CONCAT(CHAR(34),CHAR(39)),$D812))),_xlfn.CONCAT("* REVIEW REQUIRED: compound-quote delimiter in Item Number on Sheet 1 row ",812,"; edit the input before running."),_xlfn.CONCAT("char ",TRIM($B812),"[doc_itemnum] ",CHAR(96),CHAR(34),SUBSTITUTE(SUBSTITUTE(SUBSTITUTE(SUBSTITUTE(SUBSTITUTE(SUBSTITUTE($D812,CHAR(13)," "),CHAR(10)," "),CHAR(9)," "),CHAR(92),_xlfn.CONCAT(CHAR(92),CHAR(92))),"$",_xlfn.CONCAT(CHAR(92),"$")),CHAR(96),_xlfn.CONCAT(CHAR(92),CHAR(96))),CHAR(34),CHAR(39))))</f>
        <v/>
      </c>
      <c r="O812" s="5" t="str">
        <f>IF(OR(TRIM($B812)="",$E812=""),"",IF(OR(ISNUMBER(SEARCH(_xlfn.CONCAT(CHAR(96),CHAR(34)),$E812)),ISNUMBER(SEARCH(_xlfn.CONCAT(CHAR(34),CHAR(39)),$E812))),_xlfn.CONCAT("* REVIEW REQUIRED: compound-quote delimiter in Question Wording on Sheet 1 row ",812,"; edit the input before running."),_xlfn.CONCAT("char ",TRIM($B812),"[doc_question] ",CHAR(96),CHAR(34),SUBSTITUTE(SUBSTITUTE(SUBSTITUTE(SUBSTITUTE(SUBSTITUTE(SUBSTITUTE($E812,CHAR(13)," "),CHAR(10)," "),CHAR(9)," "),CHAR(92),_xlfn.CONCAT(CHAR(92),CHAR(92))),"$",_xlfn.CONCAT(CHAR(92),"$")),CHAR(96),_xlfn.CONCAT(CHAR(92),CHAR(96))),CHAR(34),CHAR(39))))</f>
        <v/>
      </c>
      <c r="P812" s="5" t="str">
        <f>IF(OR(TRIM($B812)="",$F812=""),"",IF(OR(ISNUMBER(SEARCH(_xlfn.CONCAT(CHAR(96),CHAR(34)),$F812)),ISNUMBER(SEARCH(_xlfn.CONCAT(CHAR(34),CHAR(39)),$F812))),_xlfn.CONCAT("* REVIEW REQUIRED: compound-quote delimiter in Units on Sheet 1 row ",812,"; edit the input before running."),_xlfn.CONCAT("char ",TRIM($B812),"[doc_units] ",CHAR(96),CHAR(34),SUBSTITUTE(SUBSTITUTE(SUBSTITUTE(SUBSTITUTE(SUBSTITUTE(SUBSTITUTE($F812,CHAR(13)," "),CHAR(10)," "),CHAR(9)," "),CHAR(92),_xlfn.CONCAT(CHAR(92),CHAR(92))),"$",_xlfn.CONCAT(CHAR(92),"$")),CHAR(96),_xlfn.CONCAT(CHAR(92),CHAR(96))),CHAR(34),CHAR(39))))</f>
        <v/>
      </c>
      <c r="Q812" s="5" t="str">
        <f>IF(OR(TRIM($B812)="",$G812=""),"",IF(OR(ISNUMBER(SEARCH(_xlfn.CONCAT(CHAR(96),CHAR(34)),$G812)),ISNUMBER(SEARCH(_xlfn.CONCAT(CHAR(34),CHAR(39)),$G812))),_xlfn.CONCAT("* REVIEW REQUIRED: compound-quote delimiter in Universe on Sheet 1 row ",812,"; edit the input before running."),_xlfn.CONCAT("char ",TRIM($B812),"[doc_universe] ",CHAR(96),CHAR(34),SUBSTITUTE(SUBSTITUTE(SUBSTITUTE(SUBSTITUTE(SUBSTITUTE(SUBSTITUTE($G812,CHAR(13)," "),CHAR(10)," "),CHAR(9)," "),CHAR(92),_xlfn.CONCAT(CHAR(92),CHAR(92))),"$",_xlfn.CONCAT(CHAR(92),"$")),CHAR(96),_xlfn.CONCAT(CHAR(92),CHAR(96))),CHAR(34),CHAR(39))))</f>
        <v/>
      </c>
      <c r="R812" s="5" t="str">
        <f>IF(OR(TRIM($B812)="",$H812=""),"",IF(OR(ISNUMBER(SEARCH(_xlfn.CONCAT(CHAR(96),CHAR(34)),$H812)),ISNUMBER(SEARCH(_xlfn.CONCAT(CHAR(34),CHAR(39)),$H812))),_xlfn.CONCAT("* REVIEW REQUIRED: compound-quote delimiter in Source on Sheet 1 row ",812,"; edit the input before running."),_xlfn.CONCAT("char ",TRIM($B812),"[doc_source] ",CHAR(96),CHAR(34),SUBSTITUTE(SUBSTITUTE(SUBSTITUTE(SUBSTITUTE(SUBSTITUTE(SUBSTITUTE($H812,CHAR(13)," "),CHAR(10)," "),CHAR(9)," "),CHAR(92),_xlfn.CONCAT(CHAR(92),CHAR(92))),"$",_xlfn.CONCAT(CHAR(92),"$")),CHAR(96),_xlfn.CONCAT(CHAR(92),CHAR(96))),CHAR(34),CHAR(39))))</f>
        <v/>
      </c>
      <c r="S812" s="5" t="str">
        <f>IF(OR(TRIM($B812)="",$I812=""),"",IF(OR(ISNUMBER(SEARCH(_xlfn.CONCAT(CHAR(96),CHAR(34)),$I812)),ISNUMBER(SEARCH(_xlfn.CONCAT(CHAR(34),CHAR(39)),$I812))),_xlfn.CONCAT("* REVIEW REQUIRED: compound-quote delimiter in Derivation on Sheet 1 row ",812,"; edit the input before running."),_xlfn.CONCAT("char ",TRIM($B812),"[doc_derivation] ",CHAR(96),CHAR(34),SUBSTITUTE(SUBSTITUTE(SUBSTITUTE(SUBSTITUTE(SUBSTITUTE(SUBSTITUTE($I812,CHAR(13)," "),CHAR(10)," "),CHAR(9)," "),CHAR(92),_xlfn.CONCAT(CHAR(92),CHAR(92))),"$",_xlfn.CONCAT(CHAR(92),"$")),CHAR(96),_xlfn.CONCAT(CHAR(92),CHAR(96))),CHAR(34),CHAR(39))))</f>
        <v/>
      </c>
      <c r="T812" s="5" t="str">
        <f>IF(OR(TRIM($B812)="",$J812=""),"",IF(OR(ISNUMBER(SEARCH(_xlfn.CONCAT(CHAR(96),CHAR(34)),$J812)),ISNUMBER(SEARCH(_xlfn.CONCAT(CHAR(34),CHAR(39)),$J812))),_xlfn.CONCAT("* REVIEW REQUIRED: compound-quote delimiter in Notes on Sheet 1 row ",812,"; edit the input before running."),_xlfn.CONCAT("char ",TRIM($B812),"[doc_notes] ",CHAR(96),CHAR(34),SUBSTITUTE(SUBSTITUTE(SUBSTITUTE(SUBSTITUTE(SUBSTITUTE(SUBSTITUTE($J812,CHAR(13)," "),CHAR(10)," "),CHAR(9)," "),CHAR(92),_xlfn.CONCAT(CHAR(92),CHAR(92))),"$",_xlfn.CONCAT(CHAR(92),"$")),CHAR(96),_xlfn.CONCAT(CHAR(92),CHAR(96))),CHAR(34),CHAR(39))))</f>
        <v/>
      </c>
      <c r="U812" s="5">
        <f t="shared" si="25"/>
        <v>0</v>
      </c>
    </row>
    <row r="813" spans="3:21" ht="30" customHeight="1" x14ac:dyDescent="0.2">
      <c r="C813" s="4"/>
      <c r="K813" s="5">
        <f t="shared" si="24"/>
        <v>0</v>
      </c>
      <c r="L813" s="5" t="str">
        <f>IF(OR(TRIM($B813)="",$A813=""),"",IF(OR(ISNUMBER(SEARCH(_xlfn.CONCAT(CHAR(96),CHAR(34)),$A813)),ISNUMBER(SEARCH(_xlfn.CONCAT(CHAR(34),CHAR(39)),$A813))),_xlfn.CONCAT("* REVIEW REQUIRED: compound-quote delimiter in Codebook Section on Sheet 1 row ",813,"; edit the input before running."),_xlfn.CONCAT("char ",TRIM($B813),"[doc_section] ",CHAR(96),CHAR(34),SUBSTITUTE(SUBSTITUTE(SUBSTITUTE(SUBSTITUTE(SUBSTITUTE(SUBSTITUTE($A813,CHAR(13)," "),CHAR(10)," "),CHAR(9)," "),CHAR(92),_xlfn.CONCAT(CHAR(92),CHAR(92))),"$",_xlfn.CONCAT(CHAR(92),"$")),CHAR(96),_xlfn.CONCAT(CHAR(92),CHAR(96))),CHAR(34),CHAR(39))))</f>
        <v/>
      </c>
      <c r="M813" s="5" t="str">
        <f>IF(OR(TRIM($B813)="",$C813=""),"",IF(IFERROR(MATCH(TRIM($C813),{"Quantitative","Continuous","Discrete","Categorical","Nominal","Ordinal","Identifier"},0),0)=0,_xlfn.CONCAT("* REVIEW REQUIRED: invalid Variable Type on Sheet 1 row ",813,"."),_xlfn.CONCAT("char ",TRIM($B813),"[doc_vartype] ",CHAR(96),CHAR(34),SUBSTITUTE(SUBSTITUTE(SUBSTITUTE(SUBSTITUTE(SUBSTITUTE(SUBSTITUTE(LOWER(TRIM($C813)),CHAR(13)," "),CHAR(10)," "),CHAR(9)," "),CHAR(92),_xlfn.CONCAT(CHAR(92),CHAR(92))),"$",_xlfn.CONCAT(CHAR(92),"$")),CHAR(96),_xlfn.CONCAT(CHAR(92),CHAR(96))),CHAR(34),CHAR(39))))</f>
        <v/>
      </c>
      <c r="N813" s="5" t="str">
        <f>IF(OR(TRIM($B813)="",$D813=""),"",IF(OR(ISNUMBER(SEARCH(_xlfn.CONCAT(CHAR(96),CHAR(34)),$D813)),ISNUMBER(SEARCH(_xlfn.CONCAT(CHAR(34),CHAR(39)),$D813))),_xlfn.CONCAT("* REVIEW REQUIRED: compound-quote delimiter in Item Number on Sheet 1 row ",813,"; edit the input before running."),_xlfn.CONCAT("char ",TRIM($B813),"[doc_itemnum] ",CHAR(96),CHAR(34),SUBSTITUTE(SUBSTITUTE(SUBSTITUTE(SUBSTITUTE(SUBSTITUTE(SUBSTITUTE($D813,CHAR(13)," "),CHAR(10)," "),CHAR(9)," "),CHAR(92),_xlfn.CONCAT(CHAR(92),CHAR(92))),"$",_xlfn.CONCAT(CHAR(92),"$")),CHAR(96),_xlfn.CONCAT(CHAR(92),CHAR(96))),CHAR(34),CHAR(39))))</f>
        <v/>
      </c>
      <c r="O813" s="5" t="str">
        <f>IF(OR(TRIM($B813)="",$E813=""),"",IF(OR(ISNUMBER(SEARCH(_xlfn.CONCAT(CHAR(96),CHAR(34)),$E813)),ISNUMBER(SEARCH(_xlfn.CONCAT(CHAR(34),CHAR(39)),$E813))),_xlfn.CONCAT("* REVIEW REQUIRED: compound-quote delimiter in Question Wording on Sheet 1 row ",813,"; edit the input before running."),_xlfn.CONCAT("char ",TRIM($B813),"[doc_question] ",CHAR(96),CHAR(34),SUBSTITUTE(SUBSTITUTE(SUBSTITUTE(SUBSTITUTE(SUBSTITUTE(SUBSTITUTE($E813,CHAR(13)," "),CHAR(10)," "),CHAR(9)," "),CHAR(92),_xlfn.CONCAT(CHAR(92),CHAR(92))),"$",_xlfn.CONCAT(CHAR(92),"$")),CHAR(96),_xlfn.CONCAT(CHAR(92),CHAR(96))),CHAR(34),CHAR(39))))</f>
        <v/>
      </c>
      <c r="P813" s="5" t="str">
        <f>IF(OR(TRIM($B813)="",$F813=""),"",IF(OR(ISNUMBER(SEARCH(_xlfn.CONCAT(CHAR(96),CHAR(34)),$F813)),ISNUMBER(SEARCH(_xlfn.CONCAT(CHAR(34),CHAR(39)),$F813))),_xlfn.CONCAT("* REVIEW REQUIRED: compound-quote delimiter in Units on Sheet 1 row ",813,"; edit the input before running."),_xlfn.CONCAT("char ",TRIM($B813),"[doc_units] ",CHAR(96),CHAR(34),SUBSTITUTE(SUBSTITUTE(SUBSTITUTE(SUBSTITUTE(SUBSTITUTE(SUBSTITUTE($F813,CHAR(13)," "),CHAR(10)," "),CHAR(9)," "),CHAR(92),_xlfn.CONCAT(CHAR(92),CHAR(92))),"$",_xlfn.CONCAT(CHAR(92),"$")),CHAR(96),_xlfn.CONCAT(CHAR(92),CHAR(96))),CHAR(34),CHAR(39))))</f>
        <v/>
      </c>
      <c r="Q813" s="5" t="str">
        <f>IF(OR(TRIM($B813)="",$G813=""),"",IF(OR(ISNUMBER(SEARCH(_xlfn.CONCAT(CHAR(96),CHAR(34)),$G813)),ISNUMBER(SEARCH(_xlfn.CONCAT(CHAR(34),CHAR(39)),$G813))),_xlfn.CONCAT("* REVIEW REQUIRED: compound-quote delimiter in Universe on Sheet 1 row ",813,"; edit the input before running."),_xlfn.CONCAT("char ",TRIM($B813),"[doc_universe] ",CHAR(96),CHAR(34),SUBSTITUTE(SUBSTITUTE(SUBSTITUTE(SUBSTITUTE(SUBSTITUTE(SUBSTITUTE($G813,CHAR(13)," "),CHAR(10)," "),CHAR(9)," "),CHAR(92),_xlfn.CONCAT(CHAR(92),CHAR(92))),"$",_xlfn.CONCAT(CHAR(92),"$")),CHAR(96),_xlfn.CONCAT(CHAR(92),CHAR(96))),CHAR(34),CHAR(39))))</f>
        <v/>
      </c>
      <c r="R813" s="5" t="str">
        <f>IF(OR(TRIM($B813)="",$H813=""),"",IF(OR(ISNUMBER(SEARCH(_xlfn.CONCAT(CHAR(96),CHAR(34)),$H813)),ISNUMBER(SEARCH(_xlfn.CONCAT(CHAR(34),CHAR(39)),$H813))),_xlfn.CONCAT("* REVIEW REQUIRED: compound-quote delimiter in Source on Sheet 1 row ",813,"; edit the input before running."),_xlfn.CONCAT("char ",TRIM($B813),"[doc_source] ",CHAR(96),CHAR(34),SUBSTITUTE(SUBSTITUTE(SUBSTITUTE(SUBSTITUTE(SUBSTITUTE(SUBSTITUTE($H813,CHAR(13)," "),CHAR(10)," "),CHAR(9)," "),CHAR(92),_xlfn.CONCAT(CHAR(92),CHAR(92))),"$",_xlfn.CONCAT(CHAR(92),"$")),CHAR(96),_xlfn.CONCAT(CHAR(92),CHAR(96))),CHAR(34),CHAR(39))))</f>
        <v/>
      </c>
      <c r="S813" s="5" t="str">
        <f>IF(OR(TRIM($B813)="",$I813=""),"",IF(OR(ISNUMBER(SEARCH(_xlfn.CONCAT(CHAR(96),CHAR(34)),$I813)),ISNUMBER(SEARCH(_xlfn.CONCAT(CHAR(34),CHAR(39)),$I813))),_xlfn.CONCAT("* REVIEW REQUIRED: compound-quote delimiter in Derivation on Sheet 1 row ",813,"; edit the input before running."),_xlfn.CONCAT("char ",TRIM($B813),"[doc_derivation] ",CHAR(96),CHAR(34),SUBSTITUTE(SUBSTITUTE(SUBSTITUTE(SUBSTITUTE(SUBSTITUTE(SUBSTITUTE($I813,CHAR(13)," "),CHAR(10)," "),CHAR(9)," "),CHAR(92),_xlfn.CONCAT(CHAR(92),CHAR(92))),"$",_xlfn.CONCAT(CHAR(92),"$")),CHAR(96),_xlfn.CONCAT(CHAR(92),CHAR(96))),CHAR(34),CHAR(39))))</f>
        <v/>
      </c>
      <c r="T813" s="5" t="str">
        <f>IF(OR(TRIM($B813)="",$J813=""),"",IF(OR(ISNUMBER(SEARCH(_xlfn.CONCAT(CHAR(96),CHAR(34)),$J813)),ISNUMBER(SEARCH(_xlfn.CONCAT(CHAR(34),CHAR(39)),$J813))),_xlfn.CONCAT("* REVIEW REQUIRED: compound-quote delimiter in Notes on Sheet 1 row ",813,"; edit the input before running."),_xlfn.CONCAT("char ",TRIM($B813),"[doc_notes] ",CHAR(96),CHAR(34),SUBSTITUTE(SUBSTITUTE(SUBSTITUTE(SUBSTITUTE(SUBSTITUTE(SUBSTITUTE($J813,CHAR(13)," "),CHAR(10)," "),CHAR(9)," "),CHAR(92),_xlfn.CONCAT(CHAR(92),CHAR(92))),"$",_xlfn.CONCAT(CHAR(92),"$")),CHAR(96),_xlfn.CONCAT(CHAR(92),CHAR(96))),CHAR(34),CHAR(39))))</f>
        <v/>
      </c>
      <c r="U813" s="5">
        <f t="shared" si="25"/>
        <v>0</v>
      </c>
    </row>
    <row r="814" spans="3:21" ht="30" customHeight="1" x14ac:dyDescent="0.2">
      <c r="C814" s="4"/>
      <c r="K814" s="5">
        <f t="shared" si="24"/>
        <v>0</v>
      </c>
      <c r="L814" s="5" t="str">
        <f>IF(OR(TRIM($B814)="",$A814=""),"",IF(OR(ISNUMBER(SEARCH(_xlfn.CONCAT(CHAR(96),CHAR(34)),$A814)),ISNUMBER(SEARCH(_xlfn.CONCAT(CHAR(34),CHAR(39)),$A814))),_xlfn.CONCAT("* REVIEW REQUIRED: compound-quote delimiter in Codebook Section on Sheet 1 row ",814,"; edit the input before running."),_xlfn.CONCAT("char ",TRIM($B814),"[doc_section] ",CHAR(96),CHAR(34),SUBSTITUTE(SUBSTITUTE(SUBSTITUTE(SUBSTITUTE(SUBSTITUTE(SUBSTITUTE($A814,CHAR(13)," "),CHAR(10)," "),CHAR(9)," "),CHAR(92),_xlfn.CONCAT(CHAR(92),CHAR(92))),"$",_xlfn.CONCAT(CHAR(92),"$")),CHAR(96),_xlfn.CONCAT(CHAR(92),CHAR(96))),CHAR(34),CHAR(39))))</f>
        <v/>
      </c>
      <c r="M814" s="5" t="str">
        <f>IF(OR(TRIM($B814)="",$C814=""),"",IF(IFERROR(MATCH(TRIM($C814),{"Quantitative","Continuous","Discrete","Categorical","Nominal","Ordinal","Identifier"},0),0)=0,_xlfn.CONCAT("* REVIEW REQUIRED: invalid Variable Type on Sheet 1 row ",814,"."),_xlfn.CONCAT("char ",TRIM($B814),"[doc_vartype] ",CHAR(96),CHAR(34),SUBSTITUTE(SUBSTITUTE(SUBSTITUTE(SUBSTITUTE(SUBSTITUTE(SUBSTITUTE(LOWER(TRIM($C814)),CHAR(13)," "),CHAR(10)," "),CHAR(9)," "),CHAR(92),_xlfn.CONCAT(CHAR(92),CHAR(92))),"$",_xlfn.CONCAT(CHAR(92),"$")),CHAR(96),_xlfn.CONCAT(CHAR(92),CHAR(96))),CHAR(34),CHAR(39))))</f>
        <v/>
      </c>
      <c r="N814" s="5" t="str">
        <f>IF(OR(TRIM($B814)="",$D814=""),"",IF(OR(ISNUMBER(SEARCH(_xlfn.CONCAT(CHAR(96),CHAR(34)),$D814)),ISNUMBER(SEARCH(_xlfn.CONCAT(CHAR(34),CHAR(39)),$D814))),_xlfn.CONCAT("* REVIEW REQUIRED: compound-quote delimiter in Item Number on Sheet 1 row ",814,"; edit the input before running."),_xlfn.CONCAT("char ",TRIM($B814),"[doc_itemnum] ",CHAR(96),CHAR(34),SUBSTITUTE(SUBSTITUTE(SUBSTITUTE(SUBSTITUTE(SUBSTITUTE(SUBSTITUTE($D814,CHAR(13)," "),CHAR(10)," "),CHAR(9)," "),CHAR(92),_xlfn.CONCAT(CHAR(92),CHAR(92))),"$",_xlfn.CONCAT(CHAR(92),"$")),CHAR(96),_xlfn.CONCAT(CHAR(92),CHAR(96))),CHAR(34),CHAR(39))))</f>
        <v/>
      </c>
      <c r="O814" s="5" t="str">
        <f>IF(OR(TRIM($B814)="",$E814=""),"",IF(OR(ISNUMBER(SEARCH(_xlfn.CONCAT(CHAR(96),CHAR(34)),$E814)),ISNUMBER(SEARCH(_xlfn.CONCAT(CHAR(34),CHAR(39)),$E814))),_xlfn.CONCAT("* REVIEW REQUIRED: compound-quote delimiter in Question Wording on Sheet 1 row ",814,"; edit the input before running."),_xlfn.CONCAT("char ",TRIM($B814),"[doc_question] ",CHAR(96),CHAR(34),SUBSTITUTE(SUBSTITUTE(SUBSTITUTE(SUBSTITUTE(SUBSTITUTE(SUBSTITUTE($E814,CHAR(13)," "),CHAR(10)," "),CHAR(9)," "),CHAR(92),_xlfn.CONCAT(CHAR(92),CHAR(92))),"$",_xlfn.CONCAT(CHAR(92),"$")),CHAR(96),_xlfn.CONCAT(CHAR(92),CHAR(96))),CHAR(34),CHAR(39))))</f>
        <v/>
      </c>
      <c r="P814" s="5" t="str">
        <f>IF(OR(TRIM($B814)="",$F814=""),"",IF(OR(ISNUMBER(SEARCH(_xlfn.CONCAT(CHAR(96),CHAR(34)),$F814)),ISNUMBER(SEARCH(_xlfn.CONCAT(CHAR(34),CHAR(39)),$F814))),_xlfn.CONCAT("* REVIEW REQUIRED: compound-quote delimiter in Units on Sheet 1 row ",814,"; edit the input before running."),_xlfn.CONCAT("char ",TRIM($B814),"[doc_units] ",CHAR(96),CHAR(34),SUBSTITUTE(SUBSTITUTE(SUBSTITUTE(SUBSTITUTE(SUBSTITUTE(SUBSTITUTE($F814,CHAR(13)," "),CHAR(10)," "),CHAR(9)," "),CHAR(92),_xlfn.CONCAT(CHAR(92),CHAR(92))),"$",_xlfn.CONCAT(CHAR(92),"$")),CHAR(96),_xlfn.CONCAT(CHAR(92),CHAR(96))),CHAR(34),CHAR(39))))</f>
        <v/>
      </c>
      <c r="Q814" s="5" t="str">
        <f>IF(OR(TRIM($B814)="",$G814=""),"",IF(OR(ISNUMBER(SEARCH(_xlfn.CONCAT(CHAR(96),CHAR(34)),$G814)),ISNUMBER(SEARCH(_xlfn.CONCAT(CHAR(34),CHAR(39)),$G814))),_xlfn.CONCAT("* REVIEW REQUIRED: compound-quote delimiter in Universe on Sheet 1 row ",814,"; edit the input before running."),_xlfn.CONCAT("char ",TRIM($B814),"[doc_universe] ",CHAR(96),CHAR(34),SUBSTITUTE(SUBSTITUTE(SUBSTITUTE(SUBSTITUTE(SUBSTITUTE(SUBSTITUTE($G814,CHAR(13)," "),CHAR(10)," "),CHAR(9)," "),CHAR(92),_xlfn.CONCAT(CHAR(92),CHAR(92))),"$",_xlfn.CONCAT(CHAR(92),"$")),CHAR(96),_xlfn.CONCAT(CHAR(92),CHAR(96))),CHAR(34),CHAR(39))))</f>
        <v/>
      </c>
      <c r="R814" s="5" t="str">
        <f>IF(OR(TRIM($B814)="",$H814=""),"",IF(OR(ISNUMBER(SEARCH(_xlfn.CONCAT(CHAR(96),CHAR(34)),$H814)),ISNUMBER(SEARCH(_xlfn.CONCAT(CHAR(34),CHAR(39)),$H814))),_xlfn.CONCAT("* REVIEW REQUIRED: compound-quote delimiter in Source on Sheet 1 row ",814,"; edit the input before running."),_xlfn.CONCAT("char ",TRIM($B814),"[doc_source] ",CHAR(96),CHAR(34),SUBSTITUTE(SUBSTITUTE(SUBSTITUTE(SUBSTITUTE(SUBSTITUTE(SUBSTITUTE($H814,CHAR(13)," "),CHAR(10)," "),CHAR(9)," "),CHAR(92),_xlfn.CONCAT(CHAR(92),CHAR(92))),"$",_xlfn.CONCAT(CHAR(92),"$")),CHAR(96),_xlfn.CONCAT(CHAR(92),CHAR(96))),CHAR(34),CHAR(39))))</f>
        <v/>
      </c>
      <c r="S814" s="5" t="str">
        <f>IF(OR(TRIM($B814)="",$I814=""),"",IF(OR(ISNUMBER(SEARCH(_xlfn.CONCAT(CHAR(96),CHAR(34)),$I814)),ISNUMBER(SEARCH(_xlfn.CONCAT(CHAR(34),CHAR(39)),$I814))),_xlfn.CONCAT("* REVIEW REQUIRED: compound-quote delimiter in Derivation on Sheet 1 row ",814,"; edit the input before running."),_xlfn.CONCAT("char ",TRIM($B814),"[doc_derivation] ",CHAR(96),CHAR(34),SUBSTITUTE(SUBSTITUTE(SUBSTITUTE(SUBSTITUTE(SUBSTITUTE(SUBSTITUTE($I814,CHAR(13)," "),CHAR(10)," "),CHAR(9)," "),CHAR(92),_xlfn.CONCAT(CHAR(92),CHAR(92))),"$",_xlfn.CONCAT(CHAR(92),"$")),CHAR(96),_xlfn.CONCAT(CHAR(92),CHAR(96))),CHAR(34),CHAR(39))))</f>
        <v/>
      </c>
      <c r="T814" s="5" t="str">
        <f>IF(OR(TRIM($B814)="",$J814=""),"",IF(OR(ISNUMBER(SEARCH(_xlfn.CONCAT(CHAR(96),CHAR(34)),$J814)),ISNUMBER(SEARCH(_xlfn.CONCAT(CHAR(34),CHAR(39)),$J814))),_xlfn.CONCAT("* REVIEW REQUIRED: compound-quote delimiter in Notes on Sheet 1 row ",814,"; edit the input before running."),_xlfn.CONCAT("char ",TRIM($B814),"[doc_notes] ",CHAR(96),CHAR(34),SUBSTITUTE(SUBSTITUTE(SUBSTITUTE(SUBSTITUTE(SUBSTITUTE(SUBSTITUTE($J814,CHAR(13)," "),CHAR(10)," "),CHAR(9)," "),CHAR(92),_xlfn.CONCAT(CHAR(92),CHAR(92))),"$",_xlfn.CONCAT(CHAR(92),"$")),CHAR(96),_xlfn.CONCAT(CHAR(92),CHAR(96))),CHAR(34),CHAR(39))))</f>
        <v/>
      </c>
      <c r="U814" s="5">
        <f t="shared" si="25"/>
        <v>0</v>
      </c>
    </row>
    <row r="815" spans="3:21" ht="30" customHeight="1" x14ac:dyDescent="0.2">
      <c r="C815" s="4"/>
      <c r="K815" s="5">
        <f t="shared" si="24"/>
        <v>0</v>
      </c>
      <c r="L815" s="5" t="str">
        <f>IF(OR(TRIM($B815)="",$A815=""),"",IF(OR(ISNUMBER(SEARCH(_xlfn.CONCAT(CHAR(96),CHAR(34)),$A815)),ISNUMBER(SEARCH(_xlfn.CONCAT(CHAR(34),CHAR(39)),$A815))),_xlfn.CONCAT("* REVIEW REQUIRED: compound-quote delimiter in Codebook Section on Sheet 1 row ",815,"; edit the input before running."),_xlfn.CONCAT("char ",TRIM($B815),"[doc_section] ",CHAR(96),CHAR(34),SUBSTITUTE(SUBSTITUTE(SUBSTITUTE(SUBSTITUTE(SUBSTITUTE(SUBSTITUTE($A815,CHAR(13)," "),CHAR(10)," "),CHAR(9)," "),CHAR(92),_xlfn.CONCAT(CHAR(92),CHAR(92))),"$",_xlfn.CONCAT(CHAR(92),"$")),CHAR(96),_xlfn.CONCAT(CHAR(92),CHAR(96))),CHAR(34),CHAR(39))))</f>
        <v/>
      </c>
      <c r="M815" s="5" t="str">
        <f>IF(OR(TRIM($B815)="",$C815=""),"",IF(IFERROR(MATCH(TRIM($C815),{"Quantitative","Continuous","Discrete","Categorical","Nominal","Ordinal","Identifier"},0),0)=0,_xlfn.CONCAT("* REVIEW REQUIRED: invalid Variable Type on Sheet 1 row ",815,"."),_xlfn.CONCAT("char ",TRIM($B815),"[doc_vartype] ",CHAR(96),CHAR(34),SUBSTITUTE(SUBSTITUTE(SUBSTITUTE(SUBSTITUTE(SUBSTITUTE(SUBSTITUTE(LOWER(TRIM($C815)),CHAR(13)," "),CHAR(10)," "),CHAR(9)," "),CHAR(92),_xlfn.CONCAT(CHAR(92),CHAR(92))),"$",_xlfn.CONCAT(CHAR(92),"$")),CHAR(96),_xlfn.CONCAT(CHAR(92),CHAR(96))),CHAR(34),CHAR(39))))</f>
        <v/>
      </c>
      <c r="N815" s="5" t="str">
        <f>IF(OR(TRIM($B815)="",$D815=""),"",IF(OR(ISNUMBER(SEARCH(_xlfn.CONCAT(CHAR(96),CHAR(34)),$D815)),ISNUMBER(SEARCH(_xlfn.CONCAT(CHAR(34),CHAR(39)),$D815))),_xlfn.CONCAT("* REVIEW REQUIRED: compound-quote delimiter in Item Number on Sheet 1 row ",815,"; edit the input before running."),_xlfn.CONCAT("char ",TRIM($B815),"[doc_itemnum] ",CHAR(96),CHAR(34),SUBSTITUTE(SUBSTITUTE(SUBSTITUTE(SUBSTITUTE(SUBSTITUTE(SUBSTITUTE($D815,CHAR(13)," "),CHAR(10)," "),CHAR(9)," "),CHAR(92),_xlfn.CONCAT(CHAR(92),CHAR(92))),"$",_xlfn.CONCAT(CHAR(92),"$")),CHAR(96),_xlfn.CONCAT(CHAR(92),CHAR(96))),CHAR(34),CHAR(39))))</f>
        <v/>
      </c>
      <c r="O815" s="5" t="str">
        <f>IF(OR(TRIM($B815)="",$E815=""),"",IF(OR(ISNUMBER(SEARCH(_xlfn.CONCAT(CHAR(96),CHAR(34)),$E815)),ISNUMBER(SEARCH(_xlfn.CONCAT(CHAR(34),CHAR(39)),$E815))),_xlfn.CONCAT("* REVIEW REQUIRED: compound-quote delimiter in Question Wording on Sheet 1 row ",815,"; edit the input before running."),_xlfn.CONCAT("char ",TRIM($B815),"[doc_question] ",CHAR(96),CHAR(34),SUBSTITUTE(SUBSTITUTE(SUBSTITUTE(SUBSTITUTE(SUBSTITUTE(SUBSTITUTE($E815,CHAR(13)," "),CHAR(10)," "),CHAR(9)," "),CHAR(92),_xlfn.CONCAT(CHAR(92),CHAR(92))),"$",_xlfn.CONCAT(CHAR(92),"$")),CHAR(96),_xlfn.CONCAT(CHAR(92),CHAR(96))),CHAR(34),CHAR(39))))</f>
        <v/>
      </c>
      <c r="P815" s="5" t="str">
        <f>IF(OR(TRIM($B815)="",$F815=""),"",IF(OR(ISNUMBER(SEARCH(_xlfn.CONCAT(CHAR(96),CHAR(34)),$F815)),ISNUMBER(SEARCH(_xlfn.CONCAT(CHAR(34),CHAR(39)),$F815))),_xlfn.CONCAT("* REVIEW REQUIRED: compound-quote delimiter in Units on Sheet 1 row ",815,"; edit the input before running."),_xlfn.CONCAT("char ",TRIM($B815),"[doc_units] ",CHAR(96),CHAR(34),SUBSTITUTE(SUBSTITUTE(SUBSTITUTE(SUBSTITUTE(SUBSTITUTE(SUBSTITUTE($F815,CHAR(13)," "),CHAR(10)," "),CHAR(9)," "),CHAR(92),_xlfn.CONCAT(CHAR(92),CHAR(92))),"$",_xlfn.CONCAT(CHAR(92),"$")),CHAR(96),_xlfn.CONCAT(CHAR(92),CHAR(96))),CHAR(34),CHAR(39))))</f>
        <v/>
      </c>
      <c r="Q815" s="5" t="str">
        <f>IF(OR(TRIM($B815)="",$G815=""),"",IF(OR(ISNUMBER(SEARCH(_xlfn.CONCAT(CHAR(96),CHAR(34)),$G815)),ISNUMBER(SEARCH(_xlfn.CONCAT(CHAR(34),CHAR(39)),$G815))),_xlfn.CONCAT("* REVIEW REQUIRED: compound-quote delimiter in Universe on Sheet 1 row ",815,"; edit the input before running."),_xlfn.CONCAT("char ",TRIM($B815),"[doc_universe] ",CHAR(96),CHAR(34),SUBSTITUTE(SUBSTITUTE(SUBSTITUTE(SUBSTITUTE(SUBSTITUTE(SUBSTITUTE($G815,CHAR(13)," "),CHAR(10)," "),CHAR(9)," "),CHAR(92),_xlfn.CONCAT(CHAR(92),CHAR(92))),"$",_xlfn.CONCAT(CHAR(92),"$")),CHAR(96),_xlfn.CONCAT(CHAR(92),CHAR(96))),CHAR(34),CHAR(39))))</f>
        <v/>
      </c>
      <c r="R815" s="5" t="str">
        <f>IF(OR(TRIM($B815)="",$H815=""),"",IF(OR(ISNUMBER(SEARCH(_xlfn.CONCAT(CHAR(96),CHAR(34)),$H815)),ISNUMBER(SEARCH(_xlfn.CONCAT(CHAR(34),CHAR(39)),$H815))),_xlfn.CONCAT("* REVIEW REQUIRED: compound-quote delimiter in Source on Sheet 1 row ",815,"; edit the input before running."),_xlfn.CONCAT("char ",TRIM($B815),"[doc_source] ",CHAR(96),CHAR(34),SUBSTITUTE(SUBSTITUTE(SUBSTITUTE(SUBSTITUTE(SUBSTITUTE(SUBSTITUTE($H815,CHAR(13)," "),CHAR(10)," "),CHAR(9)," "),CHAR(92),_xlfn.CONCAT(CHAR(92),CHAR(92))),"$",_xlfn.CONCAT(CHAR(92),"$")),CHAR(96),_xlfn.CONCAT(CHAR(92),CHAR(96))),CHAR(34),CHAR(39))))</f>
        <v/>
      </c>
      <c r="S815" s="5" t="str">
        <f>IF(OR(TRIM($B815)="",$I815=""),"",IF(OR(ISNUMBER(SEARCH(_xlfn.CONCAT(CHAR(96),CHAR(34)),$I815)),ISNUMBER(SEARCH(_xlfn.CONCAT(CHAR(34),CHAR(39)),$I815))),_xlfn.CONCAT("* REVIEW REQUIRED: compound-quote delimiter in Derivation on Sheet 1 row ",815,"; edit the input before running."),_xlfn.CONCAT("char ",TRIM($B815),"[doc_derivation] ",CHAR(96),CHAR(34),SUBSTITUTE(SUBSTITUTE(SUBSTITUTE(SUBSTITUTE(SUBSTITUTE(SUBSTITUTE($I815,CHAR(13)," "),CHAR(10)," "),CHAR(9)," "),CHAR(92),_xlfn.CONCAT(CHAR(92),CHAR(92))),"$",_xlfn.CONCAT(CHAR(92),"$")),CHAR(96),_xlfn.CONCAT(CHAR(92),CHAR(96))),CHAR(34),CHAR(39))))</f>
        <v/>
      </c>
      <c r="T815" s="5" t="str">
        <f>IF(OR(TRIM($B815)="",$J815=""),"",IF(OR(ISNUMBER(SEARCH(_xlfn.CONCAT(CHAR(96),CHAR(34)),$J815)),ISNUMBER(SEARCH(_xlfn.CONCAT(CHAR(34),CHAR(39)),$J815))),_xlfn.CONCAT("* REVIEW REQUIRED: compound-quote delimiter in Notes on Sheet 1 row ",815,"; edit the input before running."),_xlfn.CONCAT("char ",TRIM($B815),"[doc_notes] ",CHAR(96),CHAR(34),SUBSTITUTE(SUBSTITUTE(SUBSTITUTE(SUBSTITUTE(SUBSTITUTE(SUBSTITUTE($J815,CHAR(13)," "),CHAR(10)," "),CHAR(9)," "),CHAR(92),_xlfn.CONCAT(CHAR(92),CHAR(92))),"$",_xlfn.CONCAT(CHAR(92),"$")),CHAR(96),_xlfn.CONCAT(CHAR(92),CHAR(96))),CHAR(34),CHAR(39))))</f>
        <v/>
      </c>
      <c r="U815" s="5">
        <f t="shared" si="25"/>
        <v>0</v>
      </c>
    </row>
    <row r="816" spans="3:21" ht="30" customHeight="1" x14ac:dyDescent="0.2">
      <c r="C816" s="4"/>
      <c r="K816" s="5">
        <f t="shared" si="24"/>
        <v>0</v>
      </c>
      <c r="L816" s="5" t="str">
        <f>IF(OR(TRIM($B816)="",$A816=""),"",IF(OR(ISNUMBER(SEARCH(_xlfn.CONCAT(CHAR(96),CHAR(34)),$A816)),ISNUMBER(SEARCH(_xlfn.CONCAT(CHAR(34),CHAR(39)),$A816))),_xlfn.CONCAT("* REVIEW REQUIRED: compound-quote delimiter in Codebook Section on Sheet 1 row ",816,"; edit the input before running."),_xlfn.CONCAT("char ",TRIM($B816),"[doc_section] ",CHAR(96),CHAR(34),SUBSTITUTE(SUBSTITUTE(SUBSTITUTE(SUBSTITUTE(SUBSTITUTE(SUBSTITUTE($A816,CHAR(13)," "),CHAR(10)," "),CHAR(9)," "),CHAR(92),_xlfn.CONCAT(CHAR(92),CHAR(92))),"$",_xlfn.CONCAT(CHAR(92),"$")),CHAR(96),_xlfn.CONCAT(CHAR(92),CHAR(96))),CHAR(34),CHAR(39))))</f>
        <v/>
      </c>
      <c r="M816" s="5" t="str">
        <f>IF(OR(TRIM($B816)="",$C816=""),"",IF(IFERROR(MATCH(TRIM($C816),{"Quantitative","Continuous","Discrete","Categorical","Nominal","Ordinal","Identifier"},0),0)=0,_xlfn.CONCAT("* REVIEW REQUIRED: invalid Variable Type on Sheet 1 row ",816,"."),_xlfn.CONCAT("char ",TRIM($B816),"[doc_vartype] ",CHAR(96),CHAR(34),SUBSTITUTE(SUBSTITUTE(SUBSTITUTE(SUBSTITUTE(SUBSTITUTE(SUBSTITUTE(LOWER(TRIM($C816)),CHAR(13)," "),CHAR(10)," "),CHAR(9)," "),CHAR(92),_xlfn.CONCAT(CHAR(92),CHAR(92))),"$",_xlfn.CONCAT(CHAR(92),"$")),CHAR(96),_xlfn.CONCAT(CHAR(92),CHAR(96))),CHAR(34),CHAR(39))))</f>
        <v/>
      </c>
      <c r="N816" s="5" t="str">
        <f>IF(OR(TRIM($B816)="",$D816=""),"",IF(OR(ISNUMBER(SEARCH(_xlfn.CONCAT(CHAR(96),CHAR(34)),$D816)),ISNUMBER(SEARCH(_xlfn.CONCAT(CHAR(34),CHAR(39)),$D816))),_xlfn.CONCAT("* REVIEW REQUIRED: compound-quote delimiter in Item Number on Sheet 1 row ",816,"; edit the input before running."),_xlfn.CONCAT("char ",TRIM($B816),"[doc_itemnum] ",CHAR(96),CHAR(34),SUBSTITUTE(SUBSTITUTE(SUBSTITUTE(SUBSTITUTE(SUBSTITUTE(SUBSTITUTE($D816,CHAR(13)," "),CHAR(10)," "),CHAR(9)," "),CHAR(92),_xlfn.CONCAT(CHAR(92),CHAR(92))),"$",_xlfn.CONCAT(CHAR(92),"$")),CHAR(96),_xlfn.CONCAT(CHAR(92),CHAR(96))),CHAR(34),CHAR(39))))</f>
        <v/>
      </c>
      <c r="O816" s="5" t="str">
        <f>IF(OR(TRIM($B816)="",$E816=""),"",IF(OR(ISNUMBER(SEARCH(_xlfn.CONCAT(CHAR(96),CHAR(34)),$E816)),ISNUMBER(SEARCH(_xlfn.CONCAT(CHAR(34),CHAR(39)),$E816))),_xlfn.CONCAT("* REVIEW REQUIRED: compound-quote delimiter in Question Wording on Sheet 1 row ",816,"; edit the input before running."),_xlfn.CONCAT("char ",TRIM($B816),"[doc_question] ",CHAR(96),CHAR(34),SUBSTITUTE(SUBSTITUTE(SUBSTITUTE(SUBSTITUTE(SUBSTITUTE(SUBSTITUTE($E816,CHAR(13)," "),CHAR(10)," "),CHAR(9)," "),CHAR(92),_xlfn.CONCAT(CHAR(92),CHAR(92))),"$",_xlfn.CONCAT(CHAR(92),"$")),CHAR(96),_xlfn.CONCAT(CHAR(92),CHAR(96))),CHAR(34),CHAR(39))))</f>
        <v/>
      </c>
      <c r="P816" s="5" t="str">
        <f>IF(OR(TRIM($B816)="",$F816=""),"",IF(OR(ISNUMBER(SEARCH(_xlfn.CONCAT(CHAR(96),CHAR(34)),$F816)),ISNUMBER(SEARCH(_xlfn.CONCAT(CHAR(34),CHAR(39)),$F816))),_xlfn.CONCAT("* REVIEW REQUIRED: compound-quote delimiter in Units on Sheet 1 row ",816,"; edit the input before running."),_xlfn.CONCAT("char ",TRIM($B816),"[doc_units] ",CHAR(96),CHAR(34),SUBSTITUTE(SUBSTITUTE(SUBSTITUTE(SUBSTITUTE(SUBSTITUTE(SUBSTITUTE($F816,CHAR(13)," "),CHAR(10)," "),CHAR(9)," "),CHAR(92),_xlfn.CONCAT(CHAR(92),CHAR(92))),"$",_xlfn.CONCAT(CHAR(92),"$")),CHAR(96),_xlfn.CONCAT(CHAR(92),CHAR(96))),CHAR(34),CHAR(39))))</f>
        <v/>
      </c>
      <c r="Q816" s="5" t="str">
        <f>IF(OR(TRIM($B816)="",$G816=""),"",IF(OR(ISNUMBER(SEARCH(_xlfn.CONCAT(CHAR(96),CHAR(34)),$G816)),ISNUMBER(SEARCH(_xlfn.CONCAT(CHAR(34),CHAR(39)),$G816))),_xlfn.CONCAT("* REVIEW REQUIRED: compound-quote delimiter in Universe on Sheet 1 row ",816,"; edit the input before running."),_xlfn.CONCAT("char ",TRIM($B816),"[doc_universe] ",CHAR(96),CHAR(34),SUBSTITUTE(SUBSTITUTE(SUBSTITUTE(SUBSTITUTE(SUBSTITUTE(SUBSTITUTE($G816,CHAR(13)," "),CHAR(10)," "),CHAR(9)," "),CHAR(92),_xlfn.CONCAT(CHAR(92),CHAR(92))),"$",_xlfn.CONCAT(CHAR(92),"$")),CHAR(96),_xlfn.CONCAT(CHAR(92),CHAR(96))),CHAR(34),CHAR(39))))</f>
        <v/>
      </c>
      <c r="R816" s="5" t="str">
        <f>IF(OR(TRIM($B816)="",$H816=""),"",IF(OR(ISNUMBER(SEARCH(_xlfn.CONCAT(CHAR(96),CHAR(34)),$H816)),ISNUMBER(SEARCH(_xlfn.CONCAT(CHAR(34),CHAR(39)),$H816))),_xlfn.CONCAT("* REVIEW REQUIRED: compound-quote delimiter in Source on Sheet 1 row ",816,"; edit the input before running."),_xlfn.CONCAT("char ",TRIM($B816),"[doc_source] ",CHAR(96),CHAR(34),SUBSTITUTE(SUBSTITUTE(SUBSTITUTE(SUBSTITUTE(SUBSTITUTE(SUBSTITUTE($H816,CHAR(13)," "),CHAR(10)," "),CHAR(9)," "),CHAR(92),_xlfn.CONCAT(CHAR(92),CHAR(92))),"$",_xlfn.CONCAT(CHAR(92),"$")),CHAR(96),_xlfn.CONCAT(CHAR(92),CHAR(96))),CHAR(34),CHAR(39))))</f>
        <v/>
      </c>
      <c r="S816" s="5" t="str">
        <f>IF(OR(TRIM($B816)="",$I816=""),"",IF(OR(ISNUMBER(SEARCH(_xlfn.CONCAT(CHAR(96),CHAR(34)),$I816)),ISNUMBER(SEARCH(_xlfn.CONCAT(CHAR(34),CHAR(39)),$I816))),_xlfn.CONCAT("* REVIEW REQUIRED: compound-quote delimiter in Derivation on Sheet 1 row ",816,"; edit the input before running."),_xlfn.CONCAT("char ",TRIM($B816),"[doc_derivation] ",CHAR(96),CHAR(34),SUBSTITUTE(SUBSTITUTE(SUBSTITUTE(SUBSTITUTE(SUBSTITUTE(SUBSTITUTE($I816,CHAR(13)," "),CHAR(10)," "),CHAR(9)," "),CHAR(92),_xlfn.CONCAT(CHAR(92),CHAR(92))),"$",_xlfn.CONCAT(CHAR(92),"$")),CHAR(96),_xlfn.CONCAT(CHAR(92),CHAR(96))),CHAR(34),CHAR(39))))</f>
        <v/>
      </c>
      <c r="T816" s="5" t="str">
        <f>IF(OR(TRIM($B816)="",$J816=""),"",IF(OR(ISNUMBER(SEARCH(_xlfn.CONCAT(CHAR(96),CHAR(34)),$J816)),ISNUMBER(SEARCH(_xlfn.CONCAT(CHAR(34),CHAR(39)),$J816))),_xlfn.CONCAT("* REVIEW REQUIRED: compound-quote delimiter in Notes on Sheet 1 row ",816,"; edit the input before running."),_xlfn.CONCAT("char ",TRIM($B816),"[doc_notes] ",CHAR(96),CHAR(34),SUBSTITUTE(SUBSTITUTE(SUBSTITUTE(SUBSTITUTE(SUBSTITUTE(SUBSTITUTE($J816,CHAR(13)," "),CHAR(10)," "),CHAR(9)," "),CHAR(92),_xlfn.CONCAT(CHAR(92),CHAR(92))),"$",_xlfn.CONCAT(CHAR(92),"$")),CHAR(96),_xlfn.CONCAT(CHAR(92),CHAR(96))),CHAR(34),CHAR(39))))</f>
        <v/>
      </c>
      <c r="U816" s="5">
        <f t="shared" si="25"/>
        <v>0</v>
      </c>
    </row>
    <row r="817" spans="3:21" ht="30" customHeight="1" x14ac:dyDescent="0.2">
      <c r="C817" s="4"/>
      <c r="K817" s="5">
        <f t="shared" si="24"/>
        <v>0</v>
      </c>
      <c r="L817" s="5" t="str">
        <f>IF(OR(TRIM($B817)="",$A817=""),"",IF(OR(ISNUMBER(SEARCH(_xlfn.CONCAT(CHAR(96),CHAR(34)),$A817)),ISNUMBER(SEARCH(_xlfn.CONCAT(CHAR(34),CHAR(39)),$A817))),_xlfn.CONCAT("* REVIEW REQUIRED: compound-quote delimiter in Codebook Section on Sheet 1 row ",817,"; edit the input before running."),_xlfn.CONCAT("char ",TRIM($B817),"[doc_section] ",CHAR(96),CHAR(34),SUBSTITUTE(SUBSTITUTE(SUBSTITUTE(SUBSTITUTE(SUBSTITUTE(SUBSTITUTE($A817,CHAR(13)," "),CHAR(10)," "),CHAR(9)," "),CHAR(92),_xlfn.CONCAT(CHAR(92),CHAR(92))),"$",_xlfn.CONCAT(CHAR(92),"$")),CHAR(96),_xlfn.CONCAT(CHAR(92),CHAR(96))),CHAR(34),CHAR(39))))</f>
        <v/>
      </c>
      <c r="M817" s="5" t="str">
        <f>IF(OR(TRIM($B817)="",$C817=""),"",IF(IFERROR(MATCH(TRIM($C817),{"Quantitative","Continuous","Discrete","Categorical","Nominal","Ordinal","Identifier"},0),0)=0,_xlfn.CONCAT("* REVIEW REQUIRED: invalid Variable Type on Sheet 1 row ",817,"."),_xlfn.CONCAT("char ",TRIM($B817),"[doc_vartype] ",CHAR(96),CHAR(34),SUBSTITUTE(SUBSTITUTE(SUBSTITUTE(SUBSTITUTE(SUBSTITUTE(SUBSTITUTE(LOWER(TRIM($C817)),CHAR(13)," "),CHAR(10)," "),CHAR(9)," "),CHAR(92),_xlfn.CONCAT(CHAR(92),CHAR(92))),"$",_xlfn.CONCAT(CHAR(92),"$")),CHAR(96),_xlfn.CONCAT(CHAR(92),CHAR(96))),CHAR(34),CHAR(39))))</f>
        <v/>
      </c>
      <c r="N817" s="5" t="str">
        <f>IF(OR(TRIM($B817)="",$D817=""),"",IF(OR(ISNUMBER(SEARCH(_xlfn.CONCAT(CHAR(96),CHAR(34)),$D817)),ISNUMBER(SEARCH(_xlfn.CONCAT(CHAR(34),CHAR(39)),$D817))),_xlfn.CONCAT("* REVIEW REQUIRED: compound-quote delimiter in Item Number on Sheet 1 row ",817,"; edit the input before running."),_xlfn.CONCAT("char ",TRIM($B817),"[doc_itemnum] ",CHAR(96),CHAR(34),SUBSTITUTE(SUBSTITUTE(SUBSTITUTE(SUBSTITUTE(SUBSTITUTE(SUBSTITUTE($D817,CHAR(13)," "),CHAR(10)," "),CHAR(9)," "),CHAR(92),_xlfn.CONCAT(CHAR(92),CHAR(92))),"$",_xlfn.CONCAT(CHAR(92),"$")),CHAR(96),_xlfn.CONCAT(CHAR(92),CHAR(96))),CHAR(34),CHAR(39))))</f>
        <v/>
      </c>
      <c r="O817" s="5" t="str">
        <f>IF(OR(TRIM($B817)="",$E817=""),"",IF(OR(ISNUMBER(SEARCH(_xlfn.CONCAT(CHAR(96),CHAR(34)),$E817)),ISNUMBER(SEARCH(_xlfn.CONCAT(CHAR(34),CHAR(39)),$E817))),_xlfn.CONCAT("* REVIEW REQUIRED: compound-quote delimiter in Question Wording on Sheet 1 row ",817,"; edit the input before running."),_xlfn.CONCAT("char ",TRIM($B817),"[doc_question] ",CHAR(96),CHAR(34),SUBSTITUTE(SUBSTITUTE(SUBSTITUTE(SUBSTITUTE(SUBSTITUTE(SUBSTITUTE($E817,CHAR(13)," "),CHAR(10)," "),CHAR(9)," "),CHAR(92),_xlfn.CONCAT(CHAR(92),CHAR(92))),"$",_xlfn.CONCAT(CHAR(92),"$")),CHAR(96),_xlfn.CONCAT(CHAR(92),CHAR(96))),CHAR(34),CHAR(39))))</f>
        <v/>
      </c>
      <c r="P817" s="5" t="str">
        <f>IF(OR(TRIM($B817)="",$F817=""),"",IF(OR(ISNUMBER(SEARCH(_xlfn.CONCAT(CHAR(96),CHAR(34)),$F817)),ISNUMBER(SEARCH(_xlfn.CONCAT(CHAR(34),CHAR(39)),$F817))),_xlfn.CONCAT("* REVIEW REQUIRED: compound-quote delimiter in Units on Sheet 1 row ",817,"; edit the input before running."),_xlfn.CONCAT("char ",TRIM($B817),"[doc_units] ",CHAR(96),CHAR(34),SUBSTITUTE(SUBSTITUTE(SUBSTITUTE(SUBSTITUTE(SUBSTITUTE(SUBSTITUTE($F817,CHAR(13)," "),CHAR(10)," "),CHAR(9)," "),CHAR(92),_xlfn.CONCAT(CHAR(92),CHAR(92))),"$",_xlfn.CONCAT(CHAR(92),"$")),CHAR(96),_xlfn.CONCAT(CHAR(92),CHAR(96))),CHAR(34),CHAR(39))))</f>
        <v/>
      </c>
      <c r="Q817" s="5" t="str">
        <f>IF(OR(TRIM($B817)="",$G817=""),"",IF(OR(ISNUMBER(SEARCH(_xlfn.CONCAT(CHAR(96),CHAR(34)),$G817)),ISNUMBER(SEARCH(_xlfn.CONCAT(CHAR(34),CHAR(39)),$G817))),_xlfn.CONCAT("* REVIEW REQUIRED: compound-quote delimiter in Universe on Sheet 1 row ",817,"; edit the input before running."),_xlfn.CONCAT("char ",TRIM($B817),"[doc_universe] ",CHAR(96),CHAR(34),SUBSTITUTE(SUBSTITUTE(SUBSTITUTE(SUBSTITUTE(SUBSTITUTE(SUBSTITUTE($G817,CHAR(13)," "),CHAR(10)," "),CHAR(9)," "),CHAR(92),_xlfn.CONCAT(CHAR(92),CHAR(92))),"$",_xlfn.CONCAT(CHAR(92),"$")),CHAR(96),_xlfn.CONCAT(CHAR(92),CHAR(96))),CHAR(34),CHAR(39))))</f>
        <v/>
      </c>
      <c r="R817" s="5" t="str">
        <f>IF(OR(TRIM($B817)="",$H817=""),"",IF(OR(ISNUMBER(SEARCH(_xlfn.CONCAT(CHAR(96),CHAR(34)),$H817)),ISNUMBER(SEARCH(_xlfn.CONCAT(CHAR(34),CHAR(39)),$H817))),_xlfn.CONCAT("* REVIEW REQUIRED: compound-quote delimiter in Source on Sheet 1 row ",817,"; edit the input before running."),_xlfn.CONCAT("char ",TRIM($B817),"[doc_source] ",CHAR(96),CHAR(34),SUBSTITUTE(SUBSTITUTE(SUBSTITUTE(SUBSTITUTE(SUBSTITUTE(SUBSTITUTE($H817,CHAR(13)," "),CHAR(10)," "),CHAR(9)," "),CHAR(92),_xlfn.CONCAT(CHAR(92),CHAR(92))),"$",_xlfn.CONCAT(CHAR(92),"$")),CHAR(96),_xlfn.CONCAT(CHAR(92),CHAR(96))),CHAR(34),CHAR(39))))</f>
        <v/>
      </c>
      <c r="S817" s="5" t="str">
        <f>IF(OR(TRIM($B817)="",$I817=""),"",IF(OR(ISNUMBER(SEARCH(_xlfn.CONCAT(CHAR(96),CHAR(34)),$I817)),ISNUMBER(SEARCH(_xlfn.CONCAT(CHAR(34),CHAR(39)),$I817))),_xlfn.CONCAT("* REVIEW REQUIRED: compound-quote delimiter in Derivation on Sheet 1 row ",817,"; edit the input before running."),_xlfn.CONCAT("char ",TRIM($B817),"[doc_derivation] ",CHAR(96),CHAR(34),SUBSTITUTE(SUBSTITUTE(SUBSTITUTE(SUBSTITUTE(SUBSTITUTE(SUBSTITUTE($I817,CHAR(13)," "),CHAR(10)," "),CHAR(9)," "),CHAR(92),_xlfn.CONCAT(CHAR(92),CHAR(92))),"$",_xlfn.CONCAT(CHAR(92),"$")),CHAR(96),_xlfn.CONCAT(CHAR(92),CHAR(96))),CHAR(34),CHAR(39))))</f>
        <v/>
      </c>
      <c r="T817" s="5" t="str">
        <f>IF(OR(TRIM($B817)="",$J817=""),"",IF(OR(ISNUMBER(SEARCH(_xlfn.CONCAT(CHAR(96),CHAR(34)),$J817)),ISNUMBER(SEARCH(_xlfn.CONCAT(CHAR(34),CHAR(39)),$J817))),_xlfn.CONCAT("* REVIEW REQUIRED: compound-quote delimiter in Notes on Sheet 1 row ",817,"; edit the input before running."),_xlfn.CONCAT("char ",TRIM($B817),"[doc_notes] ",CHAR(96),CHAR(34),SUBSTITUTE(SUBSTITUTE(SUBSTITUTE(SUBSTITUTE(SUBSTITUTE(SUBSTITUTE($J817,CHAR(13)," "),CHAR(10)," "),CHAR(9)," "),CHAR(92),_xlfn.CONCAT(CHAR(92),CHAR(92))),"$",_xlfn.CONCAT(CHAR(92),"$")),CHAR(96),_xlfn.CONCAT(CHAR(92),CHAR(96))),CHAR(34),CHAR(39))))</f>
        <v/>
      </c>
      <c r="U817" s="5">
        <f t="shared" si="25"/>
        <v>0</v>
      </c>
    </row>
    <row r="818" spans="3:21" ht="30" customHeight="1" x14ac:dyDescent="0.2">
      <c r="C818" s="4"/>
      <c r="K818" s="5">
        <f t="shared" si="24"/>
        <v>0</v>
      </c>
      <c r="L818" s="5" t="str">
        <f>IF(OR(TRIM($B818)="",$A818=""),"",IF(OR(ISNUMBER(SEARCH(_xlfn.CONCAT(CHAR(96),CHAR(34)),$A818)),ISNUMBER(SEARCH(_xlfn.CONCAT(CHAR(34),CHAR(39)),$A818))),_xlfn.CONCAT("* REVIEW REQUIRED: compound-quote delimiter in Codebook Section on Sheet 1 row ",818,"; edit the input before running."),_xlfn.CONCAT("char ",TRIM($B818),"[doc_section] ",CHAR(96),CHAR(34),SUBSTITUTE(SUBSTITUTE(SUBSTITUTE(SUBSTITUTE(SUBSTITUTE(SUBSTITUTE($A818,CHAR(13)," "),CHAR(10)," "),CHAR(9)," "),CHAR(92),_xlfn.CONCAT(CHAR(92),CHAR(92))),"$",_xlfn.CONCAT(CHAR(92),"$")),CHAR(96),_xlfn.CONCAT(CHAR(92),CHAR(96))),CHAR(34),CHAR(39))))</f>
        <v/>
      </c>
      <c r="M818" s="5" t="str">
        <f>IF(OR(TRIM($B818)="",$C818=""),"",IF(IFERROR(MATCH(TRIM($C818),{"Quantitative","Continuous","Discrete","Categorical","Nominal","Ordinal","Identifier"},0),0)=0,_xlfn.CONCAT("* REVIEW REQUIRED: invalid Variable Type on Sheet 1 row ",818,"."),_xlfn.CONCAT("char ",TRIM($B818),"[doc_vartype] ",CHAR(96),CHAR(34),SUBSTITUTE(SUBSTITUTE(SUBSTITUTE(SUBSTITUTE(SUBSTITUTE(SUBSTITUTE(LOWER(TRIM($C818)),CHAR(13)," "),CHAR(10)," "),CHAR(9)," "),CHAR(92),_xlfn.CONCAT(CHAR(92),CHAR(92))),"$",_xlfn.CONCAT(CHAR(92),"$")),CHAR(96),_xlfn.CONCAT(CHAR(92),CHAR(96))),CHAR(34),CHAR(39))))</f>
        <v/>
      </c>
      <c r="N818" s="5" t="str">
        <f>IF(OR(TRIM($B818)="",$D818=""),"",IF(OR(ISNUMBER(SEARCH(_xlfn.CONCAT(CHAR(96),CHAR(34)),$D818)),ISNUMBER(SEARCH(_xlfn.CONCAT(CHAR(34),CHAR(39)),$D818))),_xlfn.CONCAT("* REVIEW REQUIRED: compound-quote delimiter in Item Number on Sheet 1 row ",818,"; edit the input before running."),_xlfn.CONCAT("char ",TRIM($B818),"[doc_itemnum] ",CHAR(96),CHAR(34),SUBSTITUTE(SUBSTITUTE(SUBSTITUTE(SUBSTITUTE(SUBSTITUTE(SUBSTITUTE($D818,CHAR(13)," "),CHAR(10)," "),CHAR(9)," "),CHAR(92),_xlfn.CONCAT(CHAR(92),CHAR(92))),"$",_xlfn.CONCAT(CHAR(92),"$")),CHAR(96),_xlfn.CONCAT(CHAR(92),CHAR(96))),CHAR(34),CHAR(39))))</f>
        <v/>
      </c>
      <c r="O818" s="5" t="str">
        <f>IF(OR(TRIM($B818)="",$E818=""),"",IF(OR(ISNUMBER(SEARCH(_xlfn.CONCAT(CHAR(96),CHAR(34)),$E818)),ISNUMBER(SEARCH(_xlfn.CONCAT(CHAR(34),CHAR(39)),$E818))),_xlfn.CONCAT("* REVIEW REQUIRED: compound-quote delimiter in Question Wording on Sheet 1 row ",818,"; edit the input before running."),_xlfn.CONCAT("char ",TRIM($B818),"[doc_question] ",CHAR(96),CHAR(34),SUBSTITUTE(SUBSTITUTE(SUBSTITUTE(SUBSTITUTE(SUBSTITUTE(SUBSTITUTE($E818,CHAR(13)," "),CHAR(10)," "),CHAR(9)," "),CHAR(92),_xlfn.CONCAT(CHAR(92),CHAR(92))),"$",_xlfn.CONCAT(CHAR(92),"$")),CHAR(96),_xlfn.CONCAT(CHAR(92),CHAR(96))),CHAR(34),CHAR(39))))</f>
        <v/>
      </c>
      <c r="P818" s="5" t="str">
        <f>IF(OR(TRIM($B818)="",$F818=""),"",IF(OR(ISNUMBER(SEARCH(_xlfn.CONCAT(CHAR(96),CHAR(34)),$F818)),ISNUMBER(SEARCH(_xlfn.CONCAT(CHAR(34),CHAR(39)),$F818))),_xlfn.CONCAT("* REVIEW REQUIRED: compound-quote delimiter in Units on Sheet 1 row ",818,"; edit the input before running."),_xlfn.CONCAT("char ",TRIM($B818),"[doc_units] ",CHAR(96),CHAR(34),SUBSTITUTE(SUBSTITUTE(SUBSTITUTE(SUBSTITUTE(SUBSTITUTE(SUBSTITUTE($F818,CHAR(13)," "),CHAR(10)," "),CHAR(9)," "),CHAR(92),_xlfn.CONCAT(CHAR(92),CHAR(92))),"$",_xlfn.CONCAT(CHAR(92),"$")),CHAR(96),_xlfn.CONCAT(CHAR(92),CHAR(96))),CHAR(34),CHAR(39))))</f>
        <v/>
      </c>
      <c r="Q818" s="5" t="str">
        <f>IF(OR(TRIM($B818)="",$G818=""),"",IF(OR(ISNUMBER(SEARCH(_xlfn.CONCAT(CHAR(96),CHAR(34)),$G818)),ISNUMBER(SEARCH(_xlfn.CONCAT(CHAR(34),CHAR(39)),$G818))),_xlfn.CONCAT("* REVIEW REQUIRED: compound-quote delimiter in Universe on Sheet 1 row ",818,"; edit the input before running."),_xlfn.CONCAT("char ",TRIM($B818),"[doc_universe] ",CHAR(96),CHAR(34),SUBSTITUTE(SUBSTITUTE(SUBSTITUTE(SUBSTITUTE(SUBSTITUTE(SUBSTITUTE($G818,CHAR(13)," "),CHAR(10)," "),CHAR(9)," "),CHAR(92),_xlfn.CONCAT(CHAR(92),CHAR(92))),"$",_xlfn.CONCAT(CHAR(92),"$")),CHAR(96),_xlfn.CONCAT(CHAR(92),CHAR(96))),CHAR(34),CHAR(39))))</f>
        <v/>
      </c>
      <c r="R818" s="5" t="str">
        <f>IF(OR(TRIM($B818)="",$H818=""),"",IF(OR(ISNUMBER(SEARCH(_xlfn.CONCAT(CHAR(96),CHAR(34)),$H818)),ISNUMBER(SEARCH(_xlfn.CONCAT(CHAR(34),CHAR(39)),$H818))),_xlfn.CONCAT("* REVIEW REQUIRED: compound-quote delimiter in Source on Sheet 1 row ",818,"; edit the input before running."),_xlfn.CONCAT("char ",TRIM($B818),"[doc_source] ",CHAR(96),CHAR(34),SUBSTITUTE(SUBSTITUTE(SUBSTITUTE(SUBSTITUTE(SUBSTITUTE(SUBSTITUTE($H818,CHAR(13)," "),CHAR(10)," "),CHAR(9)," "),CHAR(92),_xlfn.CONCAT(CHAR(92),CHAR(92))),"$",_xlfn.CONCAT(CHAR(92),"$")),CHAR(96),_xlfn.CONCAT(CHAR(92),CHAR(96))),CHAR(34),CHAR(39))))</f>
        <v/>
      </c>
      <c r="S818" s="5" t="str">
        <f>IF(OR(TRIM($B818)="",$I818=""),"",IF(OR(ISNUMBER(SEARCH(_xlfn.CONCAT(CHAR(96),CHAR(34)),$I818)),ISNUMBER(SEARCH(_xlfn.CONCAT(CHAR(34),CHAR(39)),$I818))),_xlfn.CONCAT("* REVIEW REQUIRED: compound-quote delimiter in Derivation on Sheet 1 row ",818,"; edit the input before running."),_xlfn.CONCAT("char ",TRIM($B818),"[doc_derivation] ",CHAR(96),CHAR(34),SUBSTITUTE(SUBSTITUTE(SUBSTITUTE(SUBSTITUTE(SUBSTITUTE(SUBSTITUTE($I818,CHAR(13)," "),CHAR(10)," "),CHAR(9)," "),CHAR(92),_xlfn.CONCAT(CHAR(92),CHAR(92))),"$",_xlfn.CONCAT(CHAR(92),"$")),CHAR(96),_xlfn.CONCAT(CHAR(92),CHAR(96))),CHAR(34),CHAR(39))))</f>
        <v/>
      </c>
      <c r="T818" s="5" t="str">
        <f>IF(OR(TRIM($B818)="",$J818=""),"",IF(OR(ISNUMBER(SEARCH(_xlfn.CONCAT(CHAR(96),CHAR(34)),$J818)),ISNUMBER(SEARCH(_xlfn.CONCAT(CHAR(34),CHAR(39)),$J818))),_xlfn.CONCAT("* REVIEW REQUIRED: compound-quote delimiter in Notes on Sheet 1 row ",818,"; edit the input before running."),_xlfn.CONCAT("char ",TRIM($B818),"[doc_notes] ",CHAR(96),CHAR(34),SUBSTITUTE(SUBSTITUTE(SUBSTITUTE(SUBSTITUTE(SUBSTITUTE(SUBSTITUTE($J818,CHAR(13)," "),CHAR(10)," "),CHAR(9)," "),CHAR(92),_xlfn.CONCAT(CHAR(92),CHAR(92))),"$",_xlfn.CONCAT(CHAR(92),"$")),CHAR(96),_xlfn.CONCAT(CHAR(92),CHAR(96))),CHAR(34),CHAR(39))))</f>
        <v/>
      </c>
      <c r="U818" s="5">
        <f t="shared" si="25"/>
        <v>0</v>
      </c>
    </row>
    <row r="819" spans="3:21" ht="30" customHeight="1" x14ac:dyDescent="0.2">
      <c r="C819" s="4"/>
      <c r="K819" s="5">
        <f t="shared" si="24"/>
        <v>0</v>
      </c>
      <c r="L819" s="5" t="str">
        <f>IF(OR(TRIM($B819)="",$A819=""),"",IF(OR(ISNUMBER(SEARCH(_xlfn.CONCAT(CHAR(96),CHAR(34)),$A819)),ISNUMBER(SEARCH(_xlfn.CONCAT(CHAR(34),CHAR(39)),$A819))),_xlfn.CONCAT("* REVIEW REQUIRED: compound-quote delimiter in Codebook Section on Sheet 1 row ",819,"; edit the input before running."),_xlfn.CONCAT("char ",TRIM($B819),"[doc_section] ",CHAR(96),CHAR(34),SUBSTITUTE(SUBSTITUTE(SUBSTITUTE(SUBSTITUTE(SUBSTITUTE(SUBSTITUTE($A819,CHAR(13)," "),CHAR(10)," "),CHAR(9)," "),CHAR(92),_xlfn.CONCAT(CHAR(92),CHAR(92))),"$",_xlfn.CONCAT(CHAR(92),"$")),CHAR(96),_xlfn.CONCAT(CHAR(92),CHAR(96))),CHAR(34),CHAR(39))))</f>
        <v/>
      </c>
      <c r="M819" s="5" t="str">
        <f>IF(OR(TRIM($B819)="",$C819=""),"",IF(IFERROR(MATCH(TRIM($C819),{"Quantitative","Continuous","Discrete","Categorical","Nominal","Ordinal","Identifier"},0),0)=0,_xlfn.CONCAT("* REVIEW REQUIRED: invalid Variable Type on Sheet 1 row ",819,"."),_xlfn.CONCAT("char ",TRIM($B819),"[doc_vartype] ",CHAR(96),CHAR(34),SUBSTITUTE(SUBSTITUTE(SUBSTITUTE(SUBSTITUTE(SUBSTITUTE(SUBSTITUTE(LOWER(TRIM($C819)),CHAR(13)," "),CHAR(10)," "),CHAR(9)," "),CHAR(92),_xlfn.CONCAT(CHAR(92),CHAR(92))),"$",_xlfn.CONCAT(CHAR(92),"$")),CHAR(96),_xlfn.CONCAT(CHAR(92),CHAR(96))),CHAR(34),CHAR(39))))</f>
        <v/>
      </c>
      <c r="N819" s="5" t="str">
        <f>IF(OR(TRIM($B819)="",$D819=""),"",IF(OR(ISNUMBER(SEARCH(_xlfn.CONCAT(CHAR(96),CHAR(34)),$D819)),ISNUMBER(SEARCH(_xlfn.CONCAT(CHAR(34),CHAR(39)),$D819))),_xlfn.CONCAT("* REVIEW REQUIRED: compound-quote delimiter in Item Number on Sheet 1 row ",819,"; edit the input before running."),_xlfn.CONCAT("char ",TRIM($B819),"[doc_itemnum] ",CHAR(96),CHAR(34),SUBSTITUTE(SUBSTITUTE(SUBSTITUTE(SUBSTITUTE(SUBSTITUTE(SUBSTITUTE($D819,CHAR(13)," "),CHAR(10)," "),CHAR(9)," "),CHAR(92),_xlfn.CONCAT(CHAR(92),CHAR(92))),"$",_xlfn.CONCAT(CHAR(92),"$")),CHAR(96),_xlfn.CONCAT(CHAR(92),CHAR(96))),CHAR(34),CHAR(39))))</f>
        <v/>
      </c>
      <c r="O819" s="5" t="str">
        <f>IF(OR(TRIM($B819)="",$E819=""),"",IF(OR(ISNUMBER(SEARCH(_xlfn.CONCAT(CHAR(96),CHAR(34)),$E819)),ISNUMBER(SEARCH(_xlfn.CONCAT(CHAR(34),CHAR(39)),$E819))),_xlfn.CONCAT("* REVIEW REQUIRED: compound-quote delimiter in Question Wording on Sheet 1 row ",819,"; edit the input before running."),_xlfn.CONCAT("char ",TRIM($B819),"[doc_question] ",CHAR(96),CHAR(34),SUBSTITUTE(SUBSTITUTE(SUBSTITUTE(SUBSTITUTE(SUBSTITUTE(SUBSTITUTE($E819,CHAR(13)," "),CHAR(10)," "),CHAR(9)," "),CHAR(92),_xlfn.CONCAT(CHAR(92),CHAR(92))),"$",_xlfn.CONCAT(CHAR(92),"$")),CHAR(96),_xlfn.CONCAT(CHAR(92),CHAR(96))),CHAR(34),CHAR(39))))</f>
        <v/>
      </c>
      <c r="P819" s="5" t="str">
        <f>IF(OR(TRIM($B819)="",$F819=""),"",IF(OR(ISNUMBER(SEARCH(_xlfn.CONCAT(CHAR(96),CHAR(34)),$F819)),ISNUMBER(SEARCH(_xlfn.CONCAT(CHAR(34),CHAR(39)),$F819))),_xlfn.CONCAT("* REVIEW REQUIRED: compound-quote delimiter in Units on Sheet 1 row ",819,"; edit the input before running."),_xlfn.CONCAT("char ",TRIM($B819),"[doc_units] ",CHAR(96),CHAR(34),SUBSTITUTE(SUBSTITUTE(SUBSTITUTE(SUBSTITUTE(SUBSTITUTE(SUBSTITUTE($F819,CHAR(13)," "),CHAR(10)," "),CHAR(9)," "),CHAR(92),_xlfn.CONCAT(CHAR(92),CHAR(92))),"$",_xlfn.CONCAT(CHAR(92),"$")),CHAR(96),_xlfn.CONCAT(CHAR(92),CHAR(96))),CHAR(34),CHAR(39))))</f>
        <v/>
      </c>
      <c r="Q819" s="5" t="str">
        <f>IF(OR(TRIM($B819)="",$G819=""),"",IF(OR(ISNUMBER(SEARCH(_xlfn.CONCAT(CHAR(96),CHAR(34)),$G819)),ISNUMBER(SEARCH(_xlfn.CONCAT(CHAR(34),CHAR(39)),$G819))),_xlfn.CONCAT("* REVIEW REQUIRED: compound-quote delimiter in Universe on Sheet 1 row ",819,"; edit the input before running."),_xlfn.CONCAT("char ",TRIM($B819),"[doc_universe] ",CHAR(96),CHAR(34),SUBSTITUTE(SUBSTITUTE(SUBSTITUTE(SUBSTITUTE(SUBSTITUTE(SUBSTITUTE($G819,CHAR(13)," "),CHAR(10)," "),CHAR(9)," "),CHAR(92),_xlfn.CONCAT(CHAR(92),CHAR(92))),"$",_xlfn.CONCAT(CHAR(92),"$")),CHAR(96),_xlfn.CONCAT(CHAR(92),CHAR(96))),CHAR(34),CHAR(39))))</f>
        <v/>
      </c>
      <c r="R819" s="5" t="str">
        <f>IF(OR(TRIM($B819)="",$H819=""),"",IF(OR(ISNUMBER(SEARCH(_xlfn.CONCAT(CHAR(96),CHAR(34)),$H819)),ISNUMBER(SEARCH(_xlfn.CONCAT(CHAR(34),CHAR(39)),$H819))),_xlfn.CONCAT("* REVIEW REQUIRED: compound-quote delimiter in Source on Sheet 1 row ",819,"; edit the input before running."),_xlfn.CONCAT("char ",TRIM($B819),"[doc_source] ",CHAR(96),CHAR(34),SUBSTITUTE(SUBSTITUTE(SUBSTITUTE(SUBSTITUTE(SUBSTITUTE(SUBSTITUTE($H819,CHAR(13)," "),CHAR(10)," "),CHAR(9)," "),CHAR(92),_xlfn.CONCAT(CHAR(92),CHAR(92))),"$",_xlfn.CONCAT(CHAR(92),"$")),CHAR(96),_xlfn.CONCAT(CHAR(92),CHAR(96))),CHAR(34),CHAR(39))))</f>
        <v/>
      </c>
      <c r="S819" s="5" t="str">
        <f>IF(OR(TRIM($B819)="",$I819=""),"",IF(OR(ISNUMBER(SEARCH(_xlfn.CONCAT(CHAR(96),CHAR(34)),$I819)),ISNUMBER(SEARCH(_xlfn.CONCAT(CHAR(34),CHAR(39)),$I819))),_xlfn.CONCAT("* REVIEW REQUIRED: compound-quote delimiter in Derivation on Sheet 1 row ",819,"; edit the input before running."),_xlfn.CONCAT("char ",TRIM($B819),"[doc_derivation] ",CHAR(96),CHAR(34),SUBSTITUTE(SUBSTITUTE(SUBSTITUTE(SUBSTITUTE(SUBSTITUTE(SUBSTITUTE($I819,CHAR(13)," "),CHAR(10)," "),CHAR(9)," "),CHAR(92),_xlfn.CONCAT(CHAR(92),CHAR(92))),"$",_xlfn.CONCAT(CHAR(92),"$")),CHAR(96),_xlfn.CONCAT(CHAR(92),CHAR(96))),CHAR(34),CHAR(39))))</f>
        <v/>
      </c>
      <c r="T819" s="5" t="str">
        <f>IF(OR(TRIM($B819)="",$J819=""),"",IF(OR(ISNUMBER(SEARCH(_xlfn.CONCAT(CHAR(96),CHAR(34)),$J819)),ISNUMBER(SEARCH(_xlfn.CONCAT(CHAR(34),CHAR(39)),$J819))),_xlfn.CONCAT("* REVIEW REQUIRED: compound-quote delimiter in Notes on Sheet 1 row ",819,"; edit the input before running."),_xlfn.CONCAT("char ",TRIM($B819),"[doc_notes] ",CHAR(96),CHAR(34),SUBSTITUTE(SUBSTITUTE(SUBSTITUTE(SUBSTITUTE(SUBSTITUTE(SUBSTITUTE($J819,CHAR(13)," "),CHAR(10)," "),CHAR(9)," "),CHAR(92),_xlfn.CONCAT(CHAR(92),CHAR(92))),"$",_xlfn.CONCAT(CHAR(92),"$")),CHAR(96),_xlfn.CONCAT(CHAR(92),CHAR(96))),CHAR(34),CHAR(39))))</f>
        <v/>
      </c>
      <c r="U819" s="5">
        <f t="shared" si="25"/>
        <v>0</v>
      </c>
    </row>
    <row r="820" spans="3:21" ht="30" customHeight="1" x14ac:dyDescent="0.2">
      <c r="C820" s="4"/>
      <c r="K820" s="5">
        <f t="shared" si="24"/>
        <v>0</v>
      </c>
      <c r="L820" s="5" t="str">
        <f>IF(OR(TRIM($B820)="",$A820=""),"",IF(OR(ISNUMBER(SEARCH(_xlfn.CONCAT(CHAR(96),CHAR(34)),$A820)),ISNUMBER(SEARCH(_xlfn.CONCAT(CHAR(34),CHAR(39)),$A820))),_xlfn.CONCAT("* REVIEW REQUIRED: compound-quote delimiter in Codebook Section on Sheet 1 row ",820,"; edit the input before running."),_xlfn.CONCAT("char ",TRIM($B820),"[doc_section] ",CHAR(96),CHAR(34),SUBSTITUTE(SUBSTITUTE(SUBSTITUTE(SUBSTITUTE(SUBSTITUTE(SUBSTITUTE($A820,CHAR(13)," "),CHAR(10)," "),CHAR(9)," "),CHAR(92),_xlfn.CONCAT(CHAR(92),CHAR(92))),"$",_xlfn.CONCAT(CHAR(92),"$")),CHAR(96),_xlfn.CONCAT(CHAR(92),CHAR(96))),CHAR(34),CHAR(39))))</f>
        <v/>
      </c>
      <c r="M820" s="5" t="str">
        <f>IF(OR(TRIM($B820)="",$C820=""),"",IF(IFERROR(MATCH(TRIM($C820),{"Quantitative","Continuous","Discrete","Categorical","Nominal","Ordinal","Identifier"},0),0)=0,_xlfn.CONCAT("* REVIEW REQUIRED: invalid Variable Type on Sheet 1 row ",820,"."),_xlfn.CONCAT("char ",TRIM($B820),"[doc_vartype] ",CHAR(96),CHAR(34),SUBSTITUTE(SUBSTITUTE(SUBSTITUTE(SUBSTITUTE(SUBSTITUTE(SUBSTITUTE(LOWER(TRIM($C820)),CHAR(13)," "),CHAR(10)," "),CHAR(9)," "),CHAR(92),_xlfn.CONCAT(CHAR(92),CHAR(92))),"$",_xlfn.CONCAT(CHAR(92),"$")),CHAR(96),_xlfn.CONCAT(CHAR(92),CHAR(96))),CHAR(34),CHAR(39))))</f>
        <v/>
      </c>
      <c r="N820" s="5" t="str">
        <f>IF(OR(TRIM($B820)="",$D820=""),"",IF(OR(ISNUMBER(SEARCH(_xlfn.CONCAT(CHAR(96),CHAR(34)),$D820)),ISNUMBER(SEARCH(_xlfn.CONCAT(CHAR(34),CHAR(39)),$D820))),_xlfn.CONCAT("* REVIEW REQUIRED: compound-quote delimiter in Item Number on Sheet 1 row ",820,"; edit the input before running."),_xlfn.CONCAT("char ",TRIM($B820),"[doc_itemnum] ",CHAR(96),CHAR(34),SUBSTITUTE(SUBSTITUTE(SUBSTITUTE(SUBSTITUTE(SUBSTITUTE(SUBSTITUTE($D820,CHAR(13)," "),CHAR(10)," "),CHAR(9)," "),CHAR(92),_xlfn.CONCAT(CHAR(92),CHAR(92))),"$",_xlfn.CONCAT(CHAR(92),"$")),CHAR(96),_xlfn.CONCAT(CHAR(92),CHAR(96))),CHAR(34),CHAR(39))))</f>
        <v/>
      </c>
      <c r="O820" s="5" t="str">
        <f>IF(OR(TRIM($B820)="",$E820=""),"",IF(OR(ISNUMBER(SEARCH(_xlfn.CONCAT(CHAR(96),CHAR(34)),$E820)),ISNUMBER(SEARCH(_xlfn.CONCAT(CHAR(34),CHAR(39)),$E820))),_xlfn.CONCAT("* REVIEW REQUIRED: compound-quote delimiter in Question Wording on Sheet 1 row ",820,"; edit the input before running."),_xlfn.CONCAT("char ",TRIM($B820),"[doc_question] ",CHAR(96),CHAR(34),SUBSTITUTE(SUBSTITUTE(SUBSTITUTE(SUBSTITUTE(SUBSTITUTE(SUBSTITUTE($E820,CHAR(13)," "),CHAR(10)," "),CHAR(9)," "),CHAR(92),_xlfn.CONCAT(CHAR(92),CHAR(92))),"$",_xlfn.CONCAT(CHAR(92),"$")),CHAR(96),_xlfn.CONCAT(CHAR(92),CHAR(96))),CHAR(34),CHAR(39))))</f>
        <v/>
      </c>
      <c r="P820" s="5" t="str">
        <f>IF(OR(TRIM($B820)="",$F820=""),"",IF(OR(ISNUMBER(SEARCH(_xlfn.CONCAT(CHAR(96),CHAR(34)),$F820)),ISNUMBER(SEARCH(_xlfn.CONCAT(CHAR(34),CHAR(39)),$F820))),_xlfn.CONCAT("* REVIEW REQUIRED: compound-quote delimiter in Units on Sheet 1 row ",820,"; edit the input before running."),_xlfn.CONCAT("char ",TRIM($B820),"[doc_units] ",CHAR(96),CHAR(34),SUBSTITUTE(SUBSTITUTE(SUBSTITUTE(SUBSTITUTE(SUBSTITUTE(SUBSTITUTE($F820,CHAR(13)," "),CHAR(10)," "),CHAR(9)," "),CHAR(92),_xlfn.CONCAT(CHAR(92),CHAR(92))),"$",_xlfn.CONCAT(CHAR(92),"$")),CHAR(96),_xlfn.CONCAT(CHAR(92),CHAR(96))),CHAR(34),CHAR(39))))</f>
        <v/>
      </c>
      <c r="Q820" s="5" t="str">
        <f>IF(OR(TRIM($B820)="",$G820=""),"",IF(OR(ISNUMBER(SEARCH(_xlfn.CONCAT(CHAR(96),CHAR(34)),$G820)),ISNUMBER(SEARCH(_xlfn.CONCAT(CHAR(34),CHAR(39)),$G820))),_xlfn.CONCAT("* REVIEW REQUIRED: compound-quote delimiter in Universe on Sheet 1 row ",820,"; edit the input before running."),_xlfn.CONCAT("char ",TRIM($B820),"[doc_universe] ",CHAR(96),CHAR(34),SUBSTITUTE(SUBSTITUTE(SUBSTITUTE(SUBSTITUTE(SUBSTITUTE(SUBSTITUTE($G820,CHAR(13)," "),CHAR(10)," "),CHAR(9)," "),CHAR(92),_xlfn.CONCAT(CHAR(92),CHAR(92))),"$",_xlfn.CONCAT(CHAR(92),"$")),CHAR(96),_xlfn.CONCAT(CHAR(92),CHAR(96))),CHAR(34),CHAR(39))))</f>
        <v/>
      </c>
      <c r="R820" s="5" t="str">
        <f>IF(OR(TRIM($B820)="",$H820=""),"",IF(OR(ISNUMBER(SEARCH(_xlfn.CONCAT(CHAR(96),CHAR(34)),$H820)),ISNUMBER(SEARCH(_xlfn.CONCAT(CHAR(34),CHAR(39)),$H820))),_xlfn.CONCAT("* REVIEW REQUIRED: compound-quote delimiter in Source on Sheet 1 row ",820,"; edit the input before running."),_xlfn.CONCAT("char ",TRIM($B820),"[doc_source] ",CHAR(96),CHAR(34),SUBSTITUTE(SUBSTITUTE(SUBSTITUTE(SUBSTITUTE(SUBSTITUTE(SUBSTITUTE($H820,CHAR(13)," "),CHAR(10)," "),CHAR(9)," "),CHAR(92),_xlfn.CONCAT(CHAR(92),CHAR(92))),"$",_xlfn.CONCAT(CHAR(92),"$")),CHAR(96),_xlfn.CONCAT(CHAR(92),CHAR(96))),CHAR(34),CHAR(39))))</f>
        <v/>
      </c>
      <c r="S820" s="5" t="str">
        <f>IF(OR(TRIM($B820)="",$I820=""),"",IF(OR(ISNUMBER(SEARCH(_xlfn.CONCAT(CHAR(96),CHAR(34)),$I820)),ISNUMBER(SEARCH(_xlfn.CONCAT(CHAR(34),CHAR(39)),$I820))),_xlfn.CONCAT("* REVIEW REQUIRED: compound-quote delimiter in Derivation on Sheet 1 row ",820,"; edit the input before running."),_xlfn.CONCAT("char ",TRIM($B820),"[doc_derivation] ",CHAR(96),CHAR(34),SUBSTITUTE(SUBSTITUTE(SUBSTITUTE(SUBSTITUTE(SUBSTITUTE(SUBSTITUTE($I820,CHAR(13)," "),CHAR(10)," "),CHAR(9)," "),CHAR(92),_xlfn.CONCAT(CHAR(92),CHAR(92))),"$",_xlfn.CONCAT(CHAR(92),"$")),CHAR(96),_xlfn.CONCAT(CHAR(92),CHAR(96))),CHAR(34),CHAR(39))))</f>
        <v/>
      </c>
      <c r="T820" s="5" t="str">
        <f>IF(OR(TRIM($B820)="",$J820=""),"",IF(OR(ISNUMBER(SEARCH(_xlfn.CONCAT(CHAR(96),CHAR(34)),$J820)),ISNUMBER(SEARCH(_xlfn.CONCAT(CHAR(34),CHAR(39)),$J820))),_xlfn.CONCAT("* REVIEW REQUIRED: compound-quote delimiter in Notes on Sheet 1 row ",820,"; edit the input before running."),_xlfn.CONCAT("char ",TRIM($B820),"[doc_notes] ",CHAR(96),CHAR(34),SUBSTITUTE(SUBSTITUTE(SUBSTITUTE(SUBSTITUTE(SUBSTITUTE(SUBSTITUTE($J820,CHAR(13)," "),CHAR(10)," "),CHAR(9)," "),CHAR(92),_xlfn.CONCAT(CHAR(92),CHAR(92))),"$",_xlfn.CONCAT(CHAR(92),"$")),CHAR(96),_xlfn.CONCAT(CHAR(92),CHAR(96))),CHAR(34),CHAR(39))))</f>
        <v/>
      </c>
      <c r="U820" s="5">
        <f t="shared" si="25"/>
        <v>0</v>
      </c>
    </row>
    <row r="821" spans="3:21" ht="30" customHeight="1" x14ac:dyDescent="0.2">
      <c r="C821" s="4"/>
      <c r="K821" s="5">
        <f t="shared" si="24"/>
        <v>0</v>
      </c>
      <c r="L821" s="5" t="str">
        <f>IF(OR(TRIM($B821)="",$A821=""),"",IF(OR(ISNUMBER(SEARCH(_xlfn.CONCAT(CHAR(96),CHAR(34)),$A821)),ISNUMBER(SEARCH(_xlfn.CONCAT(CHAR(34),CHAR(39)),$A821))),_xlfn.CONCAT("* REVIEW REQUIRED: compound-quote delimiter in Codebook Section on Sheet 1 row ",821,"; edit the input before running."),_xlfn.CONCAT("char ",TRIM($B821),"[doc_section] ",CHAR(96),CHAR(34),SUBSTITUTE(SUBSTITUTE(SUBSTITUTE(SUBSTITUTE(SUBSTITUTE(SUBSTITUTE($A821,CHAR(13)," "),CHAR(10)," "),CHAR(9)," "),CHAR(92),_xlfn.CONCAT(CHAR(92),CHAR(92))),"$",_xlfn.CONCAT(CHAR(92),"$")),CHAR(96),_xlfn.CONCAT(CHAR(92),CHAR(96))),CHAR(34),CHAR(39))))</f>
        <v/>
      </c>
      <c r="M821" s="5" t="str">
        <f>IF(OR(TRIM($B821)="",$C821=""),"",IF(IFERROR(MATCH(TRIM($C821),{"Quantitative","Continuous","Discrete","Categorical","Nominal","Ordinal","Identifier"},0),0)=0,_xlfn.CONCAT("* REVIEW REQUIRED: invalid Variable Type on Sheet 1 row ",821,"."),_xlfn.CONCAT("char ",TRIM($B821),"[doc_vartype] ",CHAR(96),CHAR(34),SUBSTITUTE(SUBSTITUTE(SUBSTITUTE(SUBSTITUTE(SUBSTITUTE(SUBSTITUTE(LOWER(TRIM($C821)),CHAR(13)," "),CHAR(10)," "),CHAR(9)," "),CHAR(92),_xlfn.CONCAT(CHAR(92),CHAR(92))),"$",_xlfn.CONCAT(CHAR(92),"$")),CHAR(96),_xlfn.CONCAT(CHAR(92),CHAR(96))),CHAR(34),CHAR(39))))</f>
        <v/>
      </c>
      <c r="N821" s="5" t="str">
        <f>IF(OR(TRIM($B821)="",$D821=""),"",IF(OR(ISNUMBER(SEARCH(_xlfn.CONCAT(CHAR(96),CHAR(34)),$D821)),ISNUMBER(SEARCH(_xlfn.CONCAT(CHAR(34),CHAR(39)),$D821))),_xlfn.CONCAT("* REVIEW REQUIRED: compound-quote delimiter in Item Number on Sheet 1 row ",821,"; edit the input before running."),_xlfn.CONCAT("char ",TRIM($B821),"[doc_itemnum] ",CHAR(96),CHAR(34),SUBSTITUTE(SUBSTITUTE(SUBSTITUTE(SUBSTITUTE(SUBSTITUTE(SUBSTITUTE($D821,CHAR(13)," "),CHAR(10)," "),CHAR(9)," "),CHAR(92),_xlfn.CONCAT(CHAR(92),CHAR(92))),"$",_xlfn.CONCAT(CHAR(92),"$")),CHAR(96),_xlfn.CONCAT(CHAR(92),CHAR(96))),CHAR(34),CHAR(39))))</f>
        <v/>
      </c>
      <c r="O821" s="5" t="str">
        <f>IF(OR(TRIM($B821)="",$E821=""),"",IF(OR(ISNUMBER(SEARCH(_xlfn.CONCAT(CHAR(96),CHAR(34)),$E821)),ISNUMBER(SEARCH(_xlfn.CONCAT(CHAR(34),CHAR(39)),$E821))),_xlfn.CONCAT("* REVIEW REQUIRED: compound-quote delimiter in Question Wording on Sheet 1 row ",821,"; edit the input before running."),_xlfn.CONCAT("char ",TRIM($B821),"[doc_question] ",CHAR(96),CHAR(34),SUBSTITUTE(SUBSTITUTE(SUBSTITUTE(SUBSTITUTE(SUBSTITUTE(SUBSTITUTE($E821,CHAR(13)," "),CHAR(10)," "),CHAR(9)," "),CHAR(92),_xlfn.CONCAT(CHAR(92),CHAR(92))),"$",_xlfn.CONCAT(CHAR(92),"$")),CHAR(96),_xlfn.CONCAT(CHAR(92),CHAR(96))),CHAR(34),CHAR(39))))</f>
        <v/>
      </c>
      <c r="P821" s="5" t="str">
        <f>IF(OR(TRIM($B821)="",$F821=""),"",IF(OR(ISNUMBER(SEARCH(_xlfn.CONCAT(CHAR(96),CHAR(34)),$F821)),ISNUMBER(SEARCH(_xlfn.CONCAT(CHAR(34),CHAR(39)),$F821))),_xlfn.CONCAT("* REVIEW REQUIRED: compound-quote delimiter in Units on Sheet 1 row ",821,"; edit the input before running."),_xlfn.CONCAT("char ",TRIM($B821),"[doc_units] ",CHAR(96),CHAR(34),SUBSTITUTE(SUBSTITUTE(SUBSTITUTE(SUBSTITUTE(SUBSTITUTE(SUBSTITUTE($F821,CHAR(13)," "),CHAR(10)," "),CHAR(9)," "),CHAR(92),_xlfn.CONCAT(CHAR(92),CHAR(92))),"$",_xlfn.CONCAT(CHAR(92),"$")),CHAR(96),_xlfn.CONCAT(CHAR(92),CHAR(96))),CHAR(34),CHAR(39))))</f>
        <v/>
      </c>
      <c r="Q821" s="5" t="str">
        <f>IF(OR(TRIM($B821)="",$G821=""),"",IF(OR(ISNUMBER(SEARCH(_xlfn.CONCAT(CHAR(96),CHAR(34)),$G821)),ISNUMBER(SEARCH(_xlfn.CONCAT(CHAR(34),CHAR(39)),$G821))),_xlfn.CONCAT("* REVIEW REQUIRED: compound-quote delimiter in Universe on Sheet 1 row ",821,"; edit the input before running."),_xlfn.CONCAT("char ",TRIM($B821),"[doc_universe] ",CHAR(96),CHAR(34),SUBSTITUTE(SUBSTITUTE(SUBSTITUTE(SUBSTITUTE(SUBSTITUTE(SUBSTITUTE($G821,CHAR(13)," "),CHAR(10)," "),CHAR(9)," "),CHAR(92),_xlfn.CONCAT(CHAR(92),CHAR(92))),"$",_xlfn.CONCAT(CHAR(92),"$")),CHAR(96),_xlfn.CONCAT(CHAR(92),CHAR(96))),CHAR(34),CHAR(39))))</f>
        <v/>
      </c>
      <c r="R821" s="5" t="str">
        <f>IF(OR(TRIM($B821)="",$H821=""),"",IF(OR(ISNUMBER(SEARCH(_xlfn.CONCAT(CHAR(96),CHAR(34)),$H821)),ISNUMBER(SEARCH(_xlfn.CONCAT(CHAR(34),CHAR(39)),$H821))),_xlfn.CONCAT("* REVIEW REQUIRED: compound-quote delimiter in Source on Sheet 1 row ",821,"; edit the input before running."),_xlfn.CONCAT("char ",TRIM($B821),"[doc_source] ",CHAR(96),CHAR(34),SUBSTITUTE(SUBSTITUTE(SUBSTITUTE(SUBSTITUTE(SUBSTITUTE(SUBSTITUTE($H821,CHAR(13)," "),CHAR(10)," "),CHAR(9)," "),CHAR(92),_xlfn.CONCAT(CHAR(92),CHAR(92))),"$",_xlfn.CONCAT(CHAR(92),"$")),CHAR(96),_xlfn.CONCAT(CHAR(92),CHAR(96))),CHAR(34),CHAR(39))))</f>
        <v/>
      </c>
      <c r="S821" s="5" t="str">
        <f>IF(OR(TRIM($B821)="",$I821=""),"",IF(OR(ISNUMBER(SEARCH(_xlfn.CONCAT(CHAR(96),CHAR(34)),$I821)),ISNUMBER(SEARCH(_xlfn.CONCAT(CHAR(34),CHAR(39)),$I821))),_xlfn.CONCAT("* REVIEW REQUIRED: compound-quote delimiter in Derivation on Sheet 1 row ",821,"; edit the input before running."),_xlfn.CONCAT("char ",TRIM($B821),"[doc_derivation] ",CHAR(96),CHAR(34),SUBSTITUTE(SUBSTITUTE(SUBSTITUTE(SUBSTITUTE(SUBSTITUTE(SUBSTITUTE($I821,CHAR(13)," "),CHAR(10)," "),CHAR(9)," "),CHAR(92),_xlfn.CONCAT(CHAR(92),CHAR(92))),"$",_xlfn.CONCAT(CHAR(92),"$")),CHAR(96),_xlfn.CONCAT(CHAR(92),CHAR(96))),CHAR(34),CHAR(39))))</f>
        <v/>
      </c>
      <c r="T821" s="5" t="str">
        <f>IF(OR(TRIM($B821)="",$J821=""),"",IF(OR(ISNUMBER(SEARCH(_xlfn.CONCAT(CHAR(96),CHAR(34)),$J821)),ISNUMBER(SEARCH(_xlfn.CONCAT(CHAR(34),CHAR(39)),$J821))),_xlfn.CONCAT("* REVIEW REQUIRED: compound-quote delimiter in Notes on Sheet 1 row ",821,"; edit the input before running."),_xlfn.CONCAT("char ",TRIM($B821),"[doc_notes] ",CHAR(96),CHAR(34),SUBSTITUTE(SUBSTITUTE(SUBSTITUTE(SUBSTITUTE(SUBSTITUTE(SUBSTITUTE($J821,CHAR(13)," "),CHAR(10)," "),CHAR(9)," "),CHAR(92),_xlfn.CONCAT(CHAR(92),CHAR(92))),"$",_xlfn.CONCAT(CHAR(92),"$")),CHAR(96),_xlfn.CONCAT(CHAR(92),CHAR(96))),CHAR(34),CHAR(39))))</f>
        <v/>
      </c>
      <c r="U821" s="5">
        <f t="shared" si="25"/>
        <v>0</v>
      </c>
    </row>
    <row r="822" spans="3:21" ht="30" customHeight="1" x14ac:dyDescent="0.2">
      <c r="C822" s="4"/>
      <c r="K822" s="5">
        <f t="shared" si="24"/>
        <v>0</v>
      </c>
      <c r="L822" s="5" t="str">
        <f>IF(OR(TRIM($B822)="",$A822=""),"",IF(OR(ISNUMBER(SEARCH(_xlfn.CONCAT(CHAR(96),CHAR(34)),$A822)),ISNUMBER(SEARCH(_xlfn.CONCAT(CHAR(34),CHAR(39)),$A822))),_xlfn.CONCAT("* REVIEW REQUIRED: compound-quote delimiter in Codebook Section on Sheet 1 row ",822,"; edit the input before running."),_xlfn.CONCAT("char ",TRIM($B822),"[doc_section] ",CHAR(96),CHAR(34),SUBSTITUTE(SUBSTITUTE(SUBSTITUTE(SUBSTITUTE(SUBSTITUTE(SUBSTITUTE($A822,CHAR(13)," "),CHAR(10)," "),CHAR(9)," "),CHAR(92),_xlfn.CONCAT(CHAR(92),CHAR(92))),"$",_xlfn.CONCAT(CHAR(92),"$")),CHAR(96),_xlfn.CONCAT(CHAR(92),CHAR(96))),CHAR(34),CHAR(39))))</f>
        <v/>
      </c>
      <c r="M822" s="5" t="str">
        <f>IF(OR(TRIM($B822)="",$C822=""),"",IF(IFERROR(MATCH(TRIM($C822),{"Quantitative","Continuous","Discrete","Categorical","Nominal","Ordinal","Identifier"},0),0)=0,_xlfn.CONCAT("* REVIEW REQUIRED: invalid Variable Type on Sheet 1 row ",822,"."),_xlfn.CONCAT("char ",TRIM($B822),"[doc_vartype] ",CHAR(96),CHAR(34),SUBSTITUTE(SUBSTITUTE(SUBSTITUTE(SUBSTITUTE(SUBSTITUTE(SUBSTITUTE(LOWER(TRIM($C822)),CHAR(13)," "),CHAR(10)," "),CHAR(9)," "),CHAR(92),_xlfn.CONCAT(CHAR(92),CHAR(92))),"$",_xlfn.CONCAT(CHAR(92),"$")),CHAR(96),_xlfn.CONCAT(CHAR(92),CHAR(96))),CHAR(34),CHAR(39))))</f>
        <v/>
      </c>
      <c r="N822" s="5" t="str">
        <f>IF(OR(TRIM($B822)="",$D822=""),"",IF(OR(ISNUMBER(SEARCH(_xlfn.CONCAT(CHAR(96),CHAR(34)),$D822)),ISNUMBER(SEARCH(_xlfn.CONCAT(CHAR(34),CHAR(39)),$D822))),_xlfn.CONCAT("* REVIEW REQUIRED: compound-quote delimiter in Item Number on Sheet 1 row ",822,"; edit the input before running."),_xlfn.CONCAT("char ",TRIM($B822),"[doc_itemnum] ",CHAR(96),CHAR(34),SUBSTITUTE(SUBSTITUTE(SUBSTITUTE(SUBSTITUTE(SUBSTITUTE(SUBSTITUTE($D822,CHAR(13)," "),CHAR(10)," "),CHAR(9)," "),CHAR(92),_xlfn.CONCAT(CHAR(92),CHAR(92))),"$",_xlfn.CONCAT(CHAR(92),"$")),CHAR(96),_xlfn.CONCAT(CHAR(92),CHAR(96))),CHAR(34),CHAR(39))))</f>
        <v/>
      </c>
      <c r="O822" s="5" t="str">
        <f>IF(OR(TRIM($B822)="",$E822=""),"",IF(OR(ISNUMBER(SEARCH(_xlfn.CONCAT(CHAR(96),CHAR(34)),$E822)),ISNUMBER(SEARCH(_xlfn.CONCAT(CHAR(34),CHAR(39)),$E822))),_xlfn.CONCAT("* REVIEW REQUIRED: compound-quote delimiter in Question Wording on Sheet 1 row ",822,"; edit the input before running."),_xlfn.CONCAT("char ",TRIM($B822),"[doc_question] ",CHAR(96),CHAR(34),SUBSTITUTE(SUBSTITUTE(SUBSTITUTE(SUBSTITUTE(SUBSTITUTE(SUBSTITUTE($E822,CHAR(13)," "),CHAR(10)," "),CHAR(9)," "),CHAR(92),_xlfn.CONCAT(CHAR(92),CHAR(92))),"$",_xlfn.CONCAT(CHAR(92),"$")),CHAR(96),_xlfn.CONCAT(CHAR(92),CHAR(96))),CHAR(34),CHAR(39))))</f>
        <v/>
      </c>
      <c r="P822" s="5" t="str">
        <f>IF(OR(TRIM($B822)="",$F822=""),"",IF(OR(ISNUMBER(SEARCH(_xlfn.CONCAT(CHAR(96),CHAR(34)),$F822)),ISNUMBER(SEARCH(_xlfn.CONCAT(CHAR(34),CHAR(39)),$F822))),_xlfn.CONCAT("* REVIEW REQUIRED: compound-quote delimiter in Units on Sheet 1 row ",822,"; edit the input before running."),_xlfn.CONCAT("char ",TRIM($B822),"[doc_units] ",CHAR(96),CHAR(34),SUBSTITUTE(SUBSTITUTE(SUBSTITUTE(SUBSTITUTE(SUBSTITUTE(SUBSTITUTE($F822,CHAR(13)," "),CHAR(10)," "),CHAR(9)," "),CHAR(92),_xlfn.CONCAT(CHAR(92),CHAR(92))),"$",_xlfn.CONCAT(CHAR(92),"$")),CHAR(96),_xlfn.CONCAT(CHAR(92),CHAR(96))),CHAR(34),CHAR(39))))</f>
        <v/>
      </c>
      <c r="Q822" s="5" t="str">
        <f>IF(OR(TRIM($B822)="",$G822=""),"",IF(OR(ISNUMBER(SEARCH(_xlfn.CONCAT(CHAR(96),CHAR(34)),$G822)),ISNUMBER(SEARCH(_xlfn.CONCAT(CHAR(34),CHAR(39)),$G822))),_xlfn.CONCAT("* REVIEW REQUIRED: compound-quote delimiter in Universe on Sheet 1 row ",822,"; edit the input before running."),_xlfn.CONCAT("char ",TRIM($B822),"[doc_universe] ",CHAR(96),CHAR(34),SUBSTITUTE(SUBSTITUTE(SUBSTITUTE(SUBSTITUTE(SUBSTITUTE(SUBSTITUTE($G822,CHAR(13)," "),CHAR(10)," "),CHAR(9)," "),CHAR(92),_xlfn.CONCAT(CHAR(92),CHAR(92))),"$",_xlfn.CONCAT(CHAR(92),"$")),CHAR(96),_xlfn.CONCAT(CHAR(92),CHAR(96))),CHAR(34),CHAR(39))))</f>
        <v/>
      </c>
      <c r="R822" s="5" t="str">
        <f>IF(OR(TRIM($B822)="",$H822=""),"",IF(OR(ISNUMBER(SEARCH(_xlfn.CONCAT(CHAR(96),CHAR(34)),$H822)),ISNUMBER(SEARCH(_xlfn.CONCAT(CHAR(34),CHAR(39)),$H822))),_xlfn.CONCAT("* REVIEW REQUIRED: compound-quote delimiter in Source on Sheet 1 row ",822,"; edit the input before running."),_xlfn.CONCAT("char ",TRIM($B822),"[doc_source] ",CHAR(96),CHAR(34),SUBSTITUTE(SUBSTITUTE(SUBSTITUTE(SUBSTITUTE(SUBSTITUTE(SUBSTITUTE($H822,CHAR(13)," "),CHAR(10)," "),CHAR(9)," "),CHAR(92),_xlfn.CONCAT(CHAR(92),CHAR(92))),"$",_xlfn.CONCAT(CHAR(92),"$")),CHAR(96),_xlfn.CONCAT(CHAR(92),CHAR(96))),CHAR(34),CHAR(39))))</f>
        <v/>
      </c>
      <c r="S822" s="5" t="str">
        <f>IF(OR(TRIM($B822)="",$I822=""),"",IF(OR(ISNUMBER(SEARCH(_xlfn.CONCAT(CHAR(96),CHAR(34)),$I822)),ISNUMBER(SEARCH(_xlfn.CONCAT(CHAR(34),CHAR(39)),$I822))),_xlfn.CONCAT("* REVIEW REQUIRED: compound-quote delimiter in Derivation on Sheet 1 row ",822,"; edit the input before running."),_xlfn.CONCAT("char ",TRIM($B822),"[doc_derivation] ",CHAR(96),CHAR(34),SUBSTITUTE(SUBSTITUTE(SUBSTITUTE(SUBSTITUTE(SUBSTITUTE(SUBSTITUTE($I822,CHAR(13)," "),CHAR(10)," "),CHAR(9)," "),CHAR(92),_xlfn.CONCAT(CHAR(92),CHAR(92))),"$",_xlfn.CONCAT(CHAR(92),"$")),CHAR(96),_xlfn.CONCAT(CHAR(92),CHAR(96))),CHAR(34),CHAR(39))))</f>
        <v/>
      </c>
      <c r="T822" s="5" t="str">
        <f>IF(OR(TRIM($B822)="",$J822=""),"",IF(OR(ISNUMBER(SEARCH(_xlfn.CONCAT(CHAR(96),CHAR(34)),$J822)),ISNUMBER(SEARCH(_xlfn.CONCAT(CHAR(34),CHAR(39)),$J822))),_xlfn.CONCAT("* REVIEW REQUIRED: compound-quote delimiter in Notes on Sheet 1 row ",822,"; edit the input before running."),_xlfn.CONCAT("char ",TRIM($B822),"[doc_notes] ",CHAR(96),CHAR(34),SUBSTITUTE(SUBSTITUTE(SUBSTITUTE(SUBSTITUTE(SUBSTITUTE(SUBSTITUTE($J822,CHAR(13)," "),CHAR(10)," "),CHAR(9)," "),CHAR(92),_xlfn.CONCAT(CHAR(92),CHAR(92))),"$",_xlfn.CONCAT(CHAR(92),"$")),CHAR(96),_xlfn.CONCAT(CHAR(92),CHAR(96))),CHAR(34),CHAR(39))))</f>
        <v/>
      </c>
      <c r="U822" s="5">
        <f t="shared" si="25"/>
        <v>0</v>
      </c>
    </row>
    <row r="823" spans="3:21" ht="30" customHeight="1" x14ac:dyDescent="0.2">
      <c r="C823" s="4"/>
      <c r="K823" s="5">
        <f t="shared" si="24"/>
        <v>0</v>
      </c>
      <c r="L823" s="5" t="str">
        <f>IF(OR(TRIM($B823)="",$A823=""),"",IF(OR(ISNUMBER(SEARCH(_xlfn.CONCAT(CHAR(96),CHAR(34)),$A823)),ISNUMBER(SEARCH(_xlfn.CONCAT(CHAR(34),CHAR(39)),$A823))),_xlfn.CONCAT("* REVIEW REQUIRED: compound-quote delimiter in Codebook Section on Sheet 1 row ",823,"; edit the input before running."),_xlfn.CONCAT("char ",TRIM($B823),"[doc_section] ",CHAR(96),CHAR(34),SUBSTITUTE(SUBSTITUTE(SUBSTITUTE(SUBSTITUTE(SUBSTITUTE(SUBSTITUTE($A823,CHAR(13)," "),CHAR(10)," "),CHAR(9)," "),CHAR(92),_xlfn.CONCAT(CHAR(92),CHAR(92))),"$",_xlfn.CONCAT(CHAR(92),"$")),CHAR(96),_xlfn.CONCAT(CHAR(92),CHAR(96))),CHAR(34),CHAR(39))))</f>
        <v/>
      </c>
      <c r="M823" s="5" t="str">
        <f>IF(OR(TRIM($B823)="",$C823=""),"",IF(IFERROR(MATCH(TRIM($C823),{"Quantitative","Continuous","Discrete","Categorical","Nominal","Ordinal","Identifier"},0),0)=0,_xlfn.CONCAT("* REVIEW REQUIRED: invalid Variable Type on Sheet 1 row ",823,"."),_xlfn.CONCAT("char ",TRIM($B823),"[doc_vartype] ",CHAR(96),CHAR(34),SUBSTITUTE(SUBSTITUTE(SUBSTITUTE(SUBSTITUTE(SUBSTITUTE(SUBSTITUTE(LOWER(TRIM($C823)),CHAR(13)," "),CHAR(10)," "),CHAR(9)," "),CHAR(92),_xlfn.CONCAT(CHAR(92),CHAR(92))),"$",_xlfn.CONCAT(CHAR(92),"$")),CHAR(96),_xlfn.CONCAT(CHAR(92),CHAR(96))),CHAR(34),CHAR(39))))</f>
        <v/>
      </c>
      <c r="N823" s="5" t="str">
        <f>IF(OR(TRIM($B823)="",$D823=""),"",IF(OR(ISNUMBER(SEARCH(_xlfn.CONCAT(CHAR(96),CHAR(34)),$D823)),ISNUMBER(SEARCH(_xlfn.CONCAT(CHAR(34),CHAR(39)),$D823))),_xlfn.CONCAT("* REVIEW REQUIRED: compound-quote delimiter in Item Number on Sheet 1 row ",823,"; edit the input before running."),_xlfn.CONCAT("char ",TRIM($B823),"[doc_itemnum] ",CHAR(96),CHAR(34),SUBSTITUTE(SUBSTITUTE(SUBSTITUTE(SUBSTITUTE(SUBSTITUTE(SUBSTITUTE($D823,CHAR(13)," "),CHAR(10)," "),CHAR(9)," "),CHAR(92),_xlfn.CONCAT(CHAR(92),CHAR(92))),"$",_xlfn.CONCAT(CHAR(92),"$")),CHAR(96),_xlfn.CONCAT(CHAR(92),CHAR(96))),CHAR(34),CHAR(39))))</f>
        <v/>
      </c>
      <c r="O823" s="5" t="str">
        <f>IF(OR(TRIM($B823)="",$E823=""),"",IF(OR(ISNUMBER(SEARCH(_xlfn.CONCAT(CHAR(96),CHAR(34)),$E823)),ISNUMBER(SEARCH(_xlfn.CONCAT(CHAR(34),CHAR(39)),$E823))),_xlfn.CONCAT("* REVIEW REQUIRED: compound-quote delimiter in Question Wording on Sheet 1 row ",823,"; edit the input before running."),_xlfn.CONCAT("char ",TRIM($B823),"[doc_question] ",CHAR(96),CHAR(34),SUBSTITUTE(SUBSTITUTE(SUBSTITUTE(SUBSTITUTE(SUBSTITUTE(SUBSTITUTE($E823,CHAR(13)," "),CHAR(10)," "),CHAR(9)," "),CHAR(92),_xlfn.CONCAT(CHAR(92),CHAR(92))),"$",_xlfn.CONCAT(CHAR(92),"$")),CHAR(96),_xlfn.CONCAT(CHAR(92),CHAR(96))),CHAR(34),CHAR(39))))</f>
        <v/>
      </c>
      <c r="P823" s="5" t="str">
        <f>IF(OR(TRIM($B823)="",$F823=""),"",IF(OR(ISNUMBER(SEARCH(_xlfn.CONCAT(CHAR(96),CHAR(34)),$F823)),ISNUMBER(SEARCH(_xlfn.CONCAT(CHAR(34),CHAR(39)),$F823))),_xlfn.CONCAT("* REVIEW REQUIRED: compound-quote delimiter in Units on Sheet 1 row ",823,"; edit the input before running."),_xlfn.CONCAT("char ",TRIM($B823),"[doc_units] ",CHAR(96),CHAR(34),SUBSTITUTE(SUBSTITUTE(SUBSTITUTE(SUBSTITUTE(SUBSTITUTE(SUBSTITUTE($F823,CHAR(13)," "),CHAR(10)," "),CHAR(9)," "),CHAR(92),_xlfn.CONCAT(CHAR(92),CHAR(92))),"$",_xlfn.CONCAT(CHAR(92),"$")),CHAR(96),_xlfn.CONCAT(CHAR(92),CHAR(96))),CHAR(34),CHAR(39))))</f>
        <v/>
      </c>
      <c r="Q823" s="5" t="str">
        <f>IF(OR(TRIM($B823)="",$G823=""),"",IF(OR(ISNUMBER(SEARCH(_xlfn.CONCAT(CHAR(96),CHAR(34)),$G823)),ISNUMBER(SEARCH(_xlfn.CONCAT(CHAR(34),CHAR(39)),$G823))),_xlfn.CONCAT("* REVIEW REQUIRED: compound-quote delimiter in Universe on Sheet 1 row ",823,"; edit the input before running."),_xlfn.CONCAT("char ",TRIM($B823),"[doc_universe] ",CHAR(96),CHAR(34),SUBSTITUTE(SUBSTITUTE(SUBSTITUTE(SUBSTITUTE(SUBSTITUTE(SUBSTITUTE($G823,CHAR(13)," "),CHAR(10)," "),CHAR(9)," "),CHAR(92),_xlfn.CONCAT(CHAR(92),CHAR(92))),"$",_xlfn.CONCAT(CHAR(92),"$")),CHAR(96),_xlfn.CONCAT(CHAR(92),CHAR(96))),CHAR(34),CHAR(39))))</f>
        <v/>
      </c>
      <c r="R823" s="5" t="str">
        <f>IF(OR(TRIM($B823)="",$H823=""),"",IF(OR(ISNUMBER(SEARCH(_xlfn.CONCAT(CHAR(96),CHAR(34)),$H823)),ISNUMBER(SEARCH(_xlfn.CONCAT(CHAR(34),CHAR(39)),$H823))),_xlfn.CONCAT("* REVIEW REQUIRED: compound-quote delimiter in Source on Sheet 1 row ",823,"; edit the input before running."),_xlfn.CONCAT("char ",TRIM($B823),"[doc_source] ",CHAR(96),CHAR(34),SUBSTITUTE(SUBSTITUTE(SUBSTITUTE(SUBSTITUTE(SUBSTITUTE(SUBSTITUTE($H823,CHAR(13)," "),CHAR(10)," "),CHAR(9)," "),CHAR(92),_xlfn.CONCAT(CHAR(92),CHAR(92))),"$",_xlfn.CONCAT(CHAR(92),"$")),CHAR(96),_xlfn.CONCAT(CHAR(92),CHAR(96))),CHAR(34),CHAR(39))))</f>
        <v/>
      </c>
      <c r="S823" s="5" t="str">
        <f>IF(OR(TRIM($B823)="",$I823=""),"",IF(OR(ISNUMBER(SEARCH(_xlfn.CONCAT(CHAR(96),CHAR(34)),$I823)),ISNUMBER(SEARCH(_xlfn.CONCAT(CHAR(34),CHAR(39)),$I823))),_xlfn.CONCAT("* REVIEW REQUIRED: compound-quote delimiter in Derivation on Sheet 1 row ",823,"; edit the input before running."),_xlfn.CONCAT("char ",TRIM($B823),"[doc_derivation] ",CHAR(96),CHAR(34),SUBSTITUTE(SUBSTITUTE(SUBSTITUTE(SUBSTITUTE(SUBSTITUTE(SUBSTITUTE($I823,CHAR(13)," "),CHAR(10)," "),CHAR(9)," "),CHAR(92),_xlfn.CONCAT(CHAR(92),CHAR(92))),"$",_xlfn.CONCAT(CHAR(92),"$")),CHAR(96),_xlfn.CONCAT(CHAR(92),CHAR(96))),CHAR(34),CHAR(39))))</f>
        <v/>
      </c>
      <c r="T823" s="5" t="str">
        <f>IF(OR(TRIM($B823)="",$J823=""),"",IF(OR(ISNUMBER(SEARCH(_xlfn.CONCAT(CHAR(96),CHAR(34)),$J823)),ISNUMBER(SEARCH(_xlfn.CONCAT(CHAR(34),CHAR(39)),$J823))),_xlfn.CONCAT("* REVIEW REQUIRED: compound-quote delimiter in Notes on Sheet 1 row ",823,"; edit the input before running."),_xlfn.CONCAT("char ",TRIM($B823),"[doc_notes] ",CHAR(96),CHAR(34),SUBSTITUTE(SUBSTITUTE(SUBSTITUTE(SUBSTITUTE(SUBSTITUTE(SUBSTITUTE($J823,CHAR(13)," "),CHAR(10)," "),CHAR(9)," "),CHAR(92),_xlfn.CONCAT(CHAR(92),CHAR(92))),"$",_xlfn.CONCAT(CHAR(92),"$")),CHAR(96),_xlfn.CONCAT(CHAR(92),CHAR(96))),CHAR(34),CHAR(39))))</f>
        <v/>
      </c>
      <c r="U823" s="5">
        <f t="shared" si="25"/>
        <v>0</v>
      </c>
    </row>
    <row r="824" spans="3:21" ht="30" customHeight="1" x14ac:dyDescent="0.2">
      <c r="C824" s="4"/>
      <c r="K824" s="5">
        <f t="shared" si="24"/>
        <v>0</v>
      </c>
      <c r="L824" s="5" t="str">
        <f>IF(OR(TRIM($B824)="",$A824=""),"",IF(OR(ISNUMBER(SEARCH(_xlfn.CONCAT(CHAR(96),CHAR(34)),$A824)),ISNUMBER(SEARCH(_xlfn.CONCAT(CHAR(34),CHAR(39)),$A824))),_xlfn.CONCAT("* REVIEW REQUIRED: compound-quote delimiter in Codebook Section on Sheet 1 row ",824,"; edit the input before running."),_xlfn.CONCAT("char ",TRIM($B824),"[doc_section] ",CHAR(96),CHAR(34),SUBSTITUTE(SUBSTITUTE(SUBSTITUTE(SUBSTITUTE(SUBSTITUTE(SUBSTITUTE($A824,CHAR(13)," "),CHAR(10)," "),CHAR(9)," "),CHAR(92),_xlfn.CONCAT(CHAR(92),CHAR(92))),"$",_xlfn.CONCAT(CHAR(92),"$")),CHAR(96),_xlfn.CONCAT(CHAR(92),CHAR(96))),CHAR(34),CHAR(39))))</f>
        <v/>
      </c>
      <c r="M824" s="5" t="str">
        <f>IF(OR(TRIM($B824)="",$C824=""),"",IF(IFERROR(MATCH(TRIM($C824),{"Quantitative","Continuous","Discrete","Categorical","Nominal","Ordinal","Identifier"},0),0)=0,_xlfn.CONCAT("* REVIEW REQUIRED: invalid Variable Type on Sheet 1 row ",824,"."),_xlfn.CONCAT("char ",TRIM($B824),"[doc_vartype] ",CHAR(96),CHAR(34),SUBSTITUTE(SUBSTITUTE(SUBSTITUTE(SUBSTITUTE(SUBSTITUTE(SUBSTITUTE(LOWER(TRIM($C824)),CHAR(13)," "),CHAR(10)," "),CHAR(9)," "),CHAR(92),_xlfn.CONCAT(CHAR(92),CHAR(92))),"$",_xlfn.CONCAT(CHAR(92),"$")),CHAR(96),_xlfn.CONCAT(CHAR(92),CHAR(96))),CHAR(34),CHAR(39))))</f>
        <v/>
      </c>
      <c r="N824" s="5" t="str">
        <f>IF(OR(TRIM($B824)="",$D824=""),"",IF(OR(ISNUMBER(SEARCH(_xlfn.CONCAT(CHAR(96),CHAR(34)),$D824)),ISNUMBER(SEARCH(_xlfn.CONCAT(CHAR(34),CHAR(39)),$D824))),_xlfn.CONCAT("* REVIEW REQUIRED: compound-quote delimiter in Item Number on Sheet 1 row ",824,"; edit the input before running."),_xlfn.CONCAT("char ",TRIM($B824),"[doc_itemnum] ",CHAR(96),CHAR(34),SUBSTITUTE(SUBSTITUTE(SUBSTITUTE(SUBSTITUTE(SUBSTITUTE(SUBSTITUTE($D824,CHAR(13)," "),CHAR(10)," "),CHAR(9)," "),CHAR(92),_xlfn.CONCAT(CHAR(92),CHAR(92))),"$",_xlfn.CONCAT(CHAR(92),"$")),CHAR(96),_xlfn.CONCAT(CHAR(92),CHAR(96))),CHAR(34),CHAR(39))))</f>
        <v/>
      </c>
      <c r="O824" s="5" t="str">
        <f>IF(OR(TRIM($B824)="",$E824=""),"",IF(OR(ISNUMBER(SEARCH(_xlfn.CONCAT(CHAR(96),CHAR(34)),$E824)),ISNUMBER(SEARCH(_xlfn.CONCAT(CHAR(34),CHAR(39)),$E824))),_xlfn.CONCAT("* REVIEW REQUIRED: compound-quote delimiter in Question Wording on Sheet 1 row ",824,"; edit the input before running."),_xlfn.CONCAT("char ",TRIM($B824),"[doc_question] ",CHAR(96),CHAR(34),SUBSTITUTE(SUBSTITUTE(SUBSTITUTE(SUBSTITUTE(SUBSTITUTE(SUBSTITUTE($E824,CHAR(13)," "),CHAR(10)," "),CHAR(9)," "),CHAR(92),_xlfn.CONCAT(CHAR(92),CHAR(92))),"$",_xlfn.CONCAT(CHAR(92),"$")),CHAR(96),_xlfn.CONCAT(CHAR(92),CHAR(96))),CHAR(34),CHAR(39))))</f>
        <v/>
      </c>
      <c r="P824" s="5" t="str">
        <f>IF(OR(TRIM($B824)="",$F824=""),"",IF(OR(ISNUMBER(SEARCH(_xlfn.CONCAT(CHAR(96),CHAR(34)),$F824)),ISNUMBER(SEARCH(_xlfn.CONCAT(CHAR(34),CHAR(39)),$F824))),_xlfn.CONCAT("* REVIEW REQUIRED: compound-quote delimiter in Units on Sheet 1 row ",824,"; edit the input before running."),_xlfn.CONCAT("char ",TRIM($B824),"[doc_units] ",CHAR(96),CHAR(34),SUBSTITUTE(SUBSTITUTE(SUBSTITUTE(SUBSTITUTE(SUBSTITUTE(SUBSTITUTE($F824,CHAR(13)," "),CHAR(10)," "),CHAR(9)," "),CHAR(92),_xlfn.CONCAT(CHAR(92),CHAR(92))),"$",_xlfn.CONCAT(CHAR(92),"$")),CHAR(96),_xlfn.CONCAT(CHAR(92),CHAR(96))),CHAR(34),CHAR(39))))</f>
        <v/>
      </c>
      <c r="Q824" s="5" t="str">
        <f>IF(OR(TRIM($B824)="",$G824=""),"",IF(OR(ISNUMBER(SEARCH(_xlfn.CONCAT(CHAR(96),CHAR(34)),$G824)),ISNUMBER(SEARCH(_xlfn.CONCAT(CHAR(34),CHAR(39)),$G824))),_xlfn.CONCAT("* REVIEW REQUIRED: compound-quote delimiter in Universe on Sheet 1 row ",824,"; edit the input before running."),_xlfn.CONCAT("char ",TRIM($B824),"[doc_universe] ",CHAR(96),CHAR(34),SUBSTITUTE(SUBSTITUTE(SUBSTITUTE(SUBSTITUTE(SUBSTITUTE(SUBSTITUTE($G824,CHAR(13)," "),CHAR(10)," "),CHAR(9)," "),CHAR(92),_xlfn.CONCAT(CHAR(92),CHAR(92))),"$",_xlfn.CONCAT(CHAR(92),"$")),CHAR(96),_xlfn.CONCAT(CHAR(92),CHAR(96))),CHAR(34),CHAR(39))))</f>
        <v/>
      </c>
      <c r="R824" s="5" t="str">
        <f>IF(OR(TRIM($B824)="",$H824=""),"",IF(OR(ISNUMBER(SEARCH(_xlfn.CONCAT(CHAR(96),CHAR(34)),$H824)),ISNUMBER(SEARCH(_xlfn.CONCAT(CHAR(34),CHAR(39)),$H824))),_xlfn.CONCAT("* REVIEW REQUIRED: compound-quote delimiter in Source on Sheet 1 row ",824,"; edit the input before running."),_xlfn.CONCAT("char ",TRIM($B824),"[doc_source] ",CHAR(96),CHAR(34),SUBSTITUTE(SUBSTITUTE(SUBSTITUTE(SUBSTITUTE(SUBSTITUTE(SUBSTITUTE($H824,CHAR(13)," "),CHAR(10)," "),CHAR(9)," "),CHAR(92),_xlfn.CONCAT(CHAR(92),CHAR(92))),"$",_xlfn.CONCAT(CHAR(92),"$")),CHAR(96),_xlfn.CONCAT(CHAR(92),CHAR(96))),CHAR(34),CHAR(39))))</f>
        <v/>
      </c>
      <c r="S824" s="5" t="str">
        <f>IF(OR(TRIM($B824)="",$I824=""),"",IF(OR(ISNUMBER(SEARCH(_xlfn.CONCAT(CHAR(96),CHAR(34)),$I824)),ISNUMBER(SEARCH(_xlfn.CONCAT(CHAR(34),CHAR(39)),$I824))),_xlfn.CONCAT("* REVIEW REQUIRED: compound-quote delimiter in Derivation on Sheet 1 row ",824,"; edit the input before running."),_xlfn.CONCAT("char ",TRIM($B824),"[doc_derivation] ",CHAR(96),CHAR(34),SUBSTITUTE(SUBSTITUTE(SUBSTITUTE(SUBSTITUTE(SUBSTITUTE(SUBSTITUTE($I824,CHAR(13)," "),CHAR(10)," "),CHAR(9)," "),CHAR(92),_xlfn.CONCAT(CHAR(92),CHAR(92))),"$",_xlfn.CONCAT(CHAR(92),"$")),CHAR(96),_xlfn.CONCAT(CHAR(92),CHAR(96))),CHAR(34),CHAR(39))))</f>
        <v/>
      </c>
      <c r="T824" s="5" t="str">
        <f>IF(OR(TRIM($B824)="",$J824=""),"",IF(OR(ISNUMBER(SEARCH(_xlfn.CONCAT(CHAR(96),CHAR(34)),$J824)),ISNUMBER(SEARCH(_xlfn.CONCAT(CHAR(34),CHAR(39)),$J824))),_xlfn.CONCAT("* REVIEW REQUIRED: compound-quote delimiter in Notes on Sheet 1 row ",824,"; edit the input before running."),_xlfn.CONCAT("char ",TRIM($B824),"[doc_notes] ",CHAR(96),CHAR(34),SUBSTITUTE(SUBSTITUTE(SUBSTITUTE(SUBSTITUTE(SUBSTITUTE(SUBSTITUTE($J824,CHAR(13)," "),CHAR(10)," "),CHAR(9)," "),CHAR(92),_xlfn.CONCAT(CHAR(92),CHAR(92))),"$",_xlfn.CONCAT(CHAR(92),"$")),CHAR(96),_xlfn.CONCAT(CHAR(92),CHAR(96))),CHAR(34),CHAR(39))))</f>
        <v/>
      </c>
      <c r="U824" s="5">
        <f t="shared" si="25"/>
        <v>0</v>
      </c>
    </row>
    <row r="825" spans="3:21" ht="30" customHeight="1" x14ac:dyDescent="0.2">
      <c r="C825" s="4"/>
      <c r="K825" s="5">
        <f t="shared" si="24"/>
        <v>0</v>
      </c>
      <c r="L825" s="5" t="str">
        <f>IF(OR(TRIM($B825)="",$A825=""),"",IF(OR(ISNUMBER(SEARCH(_xlfn.CONCAT(CHAR(96),CHAR(34)),$A825)),ISNUMBER(SEARCH(_xlfn.CONCAT(CHAR(34),CHAR(39)),$A825))),_xlfn.CONCAT("* REVIEW REQUIRED: compound-quote delimiter in Codebook Section on Sheet 1 row ",825,"; edit the input before running."),_xlfn.CONCAT("char ",TRIM($B825),"[doc_section] ",CHAR(96),CHAR(34),SUBSTITUTE(SUBSTITUTE(SUBSTITUTE(SUBSTITUTE(SUBSTITUTE(SUBSTITUTE($A825,CHAR(13)," "),CHAR(10)," "),CHAR(9)," "),CHAR(92),_xlfn.CONCAT(CHAR(92),CHAR(92))),"$",_xlfn.CONCAT(CHAR(92),"$")),CHAR(96),_xlfn.CONCAT(CHAR(92),CHAR(96))),CHAR(34),CHAR(39))))</f>
        <v/>
      </c>
      <c r="M825" s="5" t="str">
        <f>IF(OR(TRIM($B825)="",$C825=""),"",IF(IFERROR(MATCH(TRIM($C825),{"Quantitative","Continuous","Discrete","Categorical","Nominal","Ordinal","Identifier"},0),0)=0,_xlfn.CONCAT("* REVIEW REQUIRED: invalid Variable Type on Sheet 1 row ",825,"."),_xlfn.CONCAT("char ",TRIM($B825),"[doc_vartype] ",CHAR(96),CHAR(34),SUBSTITUTE(SUBSTITUTE(SUBSTITUTE(SUBSTITUTE(SUBSTITUTE(SUBSTITUTE(LOWER(TRIM($C825)),CHAR(13)," "),CHAR(10)," "),CHAR(9)," "),CHAR(92),_xlfn.CONCAT(CHAR(92),CHAR(92))),"$",_xlfn.CONCAT(CHAR(92),"$")),CHAR(96),_xlfn.CONCAT(CHAR(92),CHAR(96))),CHAR(34),CHAR(39))))</f>
        <v/>
      </c>
      <c r="N825" s="5" t="str">
        <f>IF(OR(TRIM($B825)="",$D825=""),"",IF(OR(ISNUMBER(SEARCH(_xlfn.CONCAT(CHAR(96),CHAR(34)),$D825)),ISNUMBER(SEARCH(_xlfn.CONCAT(CHAR(34),CHAR(39)),$D825))),_xlfn.CONCAT("* REVIEW REQUIRED: compound-quote delimiter in Item Number on Sheet 1 row ",825,"; edit the input before running."),_xlfn.CONCAT("char ",TRIM($B825),"[doc_itemnum] ",CHAR(96),CHAR(34),SUBSTITUTE(SUBSTITUTE(SUBSTITUTE(SUBSTITUTE(SUBSTITUTE(SUBSTITUTE($D825,CHAR(13)," "),CHAR(10)," "),CHAR(9)," "),CHAR(92),_xlfn.CONCAT(CHAR(92),CHAR(92))),"$",_xlfn.CONCAT(CHAR(92),"$")),CHAR(96),_xlfn.CONCAT(CHAR(92),CHAR(96))),CHAR(34),CHAR(39))))</f>
        <v/>
      </c>
      <c r="O825" s="5" t="str">
        <f>IF(OR(TRIM($B825)="",$E825=""),"",IF(OR(ISNUMBER(SEARCH(_xlfn.CONCAT(CHAR(96),CHAR(34)),$E825)),ISNUMBER(SEARCH(_xlfn.CONCAT(CHAR(34),CHAR(39)),$E825))),_xlfn.CONCAT("* REVIEW REQUIRED: compound-quote delimiter in Question Wording on Sheet 1 row ",825,"; edit the input before running."),_xlfn.CONCAT("char ",TRIM($B825),"[doc_question] ",CHAR(96),CHAR(34),SUBSTITUTE(SUBSTITUTE(SUBSTITUTE(SUBSTITUTE(SUBSTITUTE(SUBSTITUTE($E825,CHAR(13)," "),CHAR(10)," "),CHAR(9)," "),CHAR(92),_xlfn.CONCAT(CHAR(92),CHAR(92))),"$",_xlfn.CONCAT(CHAR(92),"$")),CHAR(96),_xlfn.CONCAT(CHAR(92),CHAR(96))),CHAR(34),CHAR(39))))</f>
        <v/>
      </c>
      <c r="P825" s="5" t="str">
        <f>IF(OR(TRIM($B825)="",$F825=""),"",IF(OR(ISNUMBER(SEARCH(_xlfn.CONCAT(CHAR(96),CHAR(34)),$F825)),ISNUMBER(SEARCH(_xlfn.CONCAT(CHAR(34),CHAR(39)),$F825))),_xlfn.CONCAT("* REVIEW REQUIRED: compound-quote delimiter in Units on Sheet 1 row ",825,"; edit the input before running."),_xlfn.CONCAT("char ",TRIM($B825),"[doc_units] ",CHAR(96),CHAR(34),SUBSTITUTE(SUBSTITUTE(SUBSTITUTE(SUBSTITUTE(SUBSTITUTE(SUBSTITUTE($F825,CHAR(13)," "),CHAR(10)," "),CHAR(9)," "),CHAR(92),_xlfn.CONCAT(CHAR(92),CHAR(92))),"$",_xlfn.CONCAT(CHAR(92),"$")),CHAR(96),_xlfn.CONCAT(CHAR(92),CHAR(96))),CHAR(34),CHAR(39))))</f>
        <v/>
      </c>
      <c r="Q825" s="5" t="str">
        <f>IF(OR(TRIM($B825)="",$G825=""),"",IF(OR(ISNUMBER(SEARCH(_xlfn.CONCAT(CHAR(96),CHAR(34)),$G825)),ISNUMBER(SEARCH(_xlfn.CONCAT(CHAR(34),CHAR(39)),$G825))),_xlfn.CONCAT("* REVIEW REQUIRED: compound-quote delimiter in Universe on Sheet 1 row ",825,"; edit the input before running."),_xlfn.CONCAT("char ",TRIM($B825),"[doc_universe] ",CHAR(96),CHAR(34),SUBSTITUTE(SUBSTITUTE(SUBSTITUTE(SUBSTITUTE(SUBSTITUTE(SUBSTITUTE($G825,CHAR(13)," "),CHAR(10)," "),CHAR(9)," "),CHAR(92),_xlfn.CONCAT(CHAR(92),CHAR(92))),"$",_xlfn.CONCAT(CHAR(92),"$")),CHAR(96),_xlfn.CONCAT(CHAR(92),CHAR(96))),CHAR(34),CHAR(39))))</f>
        <v/>
      </c>
      <c r="R825" s="5" t="str">
        <f>IF(OR(TRIM($B825)="",$H825=""),"",IF(OR(ISNUMBER(SEARCH(_xlfn.CONCAT(CHAR(96),CHAR(34)),$H825)),ISNUMBER(SEARCH(_xlfn.CONCAT(CHAR(34),CHAR(39)),$H825))),_xlfn.CONCAT("* REVIEW REQUIRED: compound-quote delimiter in Source on Sheet 1 row ",825,"; edit the input before running."),_xlfn.CONCAT("char ",TRIM($B825),"[doc_source] ",CHAR(96),CHAR(34),SUBSTITUTE(SUBSTITUTE(SUBSTITUTE(SUBSTITUTE(SUBSTITUTE(SUBSTITUTE($H825,CHAR(13)," "),CHAR(10)," "),CHAR(9)," "),CHAR(92),_xlfn.CONCAT(CHAR(92),CHAR(92))),"$",_xlfn.CONCAT(CHAR(92),"$")),CHAR(96),_xlfn.CONCAT(CHAR(92),CHAR(96))),CHAR(34),CHAR(39))))</f>
        <v/>
      </c>
      <c r="S825" s="5" t="str">
        <f>IF(OR(TRIM($B825)="",$I825=""),"",IF(OR(ISNUMBER(SEARCH(_xlfn.CONCAT(CHAR(96),CHAR(34)),$I825)),ISNUMBER(SEARCH(_xlfn.CONCAT(CHAR(34),CHAR(39)),$I825))),_xlfn.CONCAT("* REVIEW REQUIRED: compound-quote delimiter in Derivation on Sheet 1 row ",825,"; edit the input before running."),_xlfn.CONCAT("char ",TRIM($B825),"[doc_derivation] ",CHAR(96),CHAR(34),SUBSTITUTE(SUBSTITUTE(SUBSTITUTE(SUBSTITUTE(SUBSTITUTE(SUBSTITUTE($I825,CHAR(13)," "),CHAR(10)," "),CHAR(9)," "),CHAR(92),_xlfn.CONCAT(CHAR(92),CHAR(92))),"$",_xlfn.CONCAT(CHAR(92),"$")),CHAR(96),_xlfn.CONCAT(CHAR(92),CHAR(96))),CHAR(34),CHAR(39))))</f>
        <v/>
      </c>
      <c r="T825" s="5" t="str">
        <f>IF(OR(TRIM($B825)="",$J825=""),"",IF(OR(ISNUMBER(SEARCH(_xlfn.CONCAT(CHAR(96),CHAR(34)),$J825)),ISNUMBER(SEARCH(_xlfn.CONCAT(CHAR(34),CHAR(39)),$J825))),_xlfn.CONCAT("* REVIEW REQUIRED: compound-quote delimiter in Notes on Sheet 1 row ",825,"; edit the input before running."),_xlfn.CONCAT("char ",TRIM($B825),"[doc_notes] ",CHAR(96),CHAR(34),SUBSTITUTE(SUBSTITUTE(SUBSTITUTE(SUBSTITUTE(SUBSTITUTE(SUBSTITUTE($J825,CHAR(13)," "),CHAR(10)," "),CHAR(9)," "),CHAR(92),_xlfn.CONCAT(CHAR(92),CHAR(92))),"$",_xlfn.CONCAT(CHAR(92),"$")),CHAR(96),_xlfn.CONCAT(CHAR(92),CHAR(96))),CHAR(34),CHAR(39))))</f>
        <v/>
      </c>
      <c r="U825" s="5">
        <f t="shared" si="25"/>
        <v>0</v>
      </c>
    </row>
    <row r="826" spans="3:21" ht="30" customHeight="1" x14ac:dyDescent="0.2">
      <c r="C826" s="4"/>
      <c r="K826" s="5">
        <f t="shared" si="24"/>
        <v>0</v>
      </c>
      <c r="L826" s="5" t="str">
        <f>IF(OR(TRIM($B826)="",$A826=""),"",IF(OR(ISNUMBER(SEARCH(_xlfn.CONCAT(CHAR(96),CHAR(34)),$A826)),ISNUMBER(SEARCH(_xlfn.CONCAT(CHAR(34),CHAR(39)),$A826))),_xlfn.CONCAT("* REVIEW REQUIRED: compound-quote delimiter in Codebook Section on Sheet 1 row ",826,"; edit the input before running."),_xlfn.CONCAT("char ",TRIM($B826),"[doc_section] ",CHAR(96),CHAR(34),SUBSTITUTE(SUBSTITUTE(SUBSTITUTE(SUBSTITUTE(SUBSTITUTE(SUBSTITUTE($A826,CHAR(13)," "),CHAR(10)," "),CHAR(9)," "),CHAR(92),_xlfn.CONCAT(CHAR(92),CHAR(92))),"$",_xlfn.CONCAT(CHAR(92),"$")),CHAR(96),_xlfn.CONCAT(CHAR(92),CHAR(96))),CHAR(34),CHAR(39))))</f>
        <v/>
      </c>
      <c r="M826" s="5" t="str">
        <f>IF(OR(TRIM($B826)="",$C826=""),"",IF(IFERROR(MATCH(TRIM($C826),{"Quantitative","Continuous","Discrete","Categorical","Nominal","Ordinal","Identifier"},0),0)=0,_xlfn.CONCAT("* REVIEW REQUIRED: invalid Variable Type on Sheet 1 row ",826,"."),_xlfn.CONCAT("char ",TRIM($B826),"[doc_vartype] ",CHAR(96),CHAR(34),SUBSTITUTE(SUBSTITUTE(SUBSTITUTE(SUBSTITUTE(SUBSTITUTE(SUBSTITUTE(LOWER(TRIM($C826)),CHAR(13)," "),CHAR(10)," "),CHAR(9)," "),CHAR(92),_xlfn.CONCAT(CHAR(92),CHAR(92))),"$",_xlfn.CONCAT(CHAR(92),"$")),CHAR(96),_xlfn.CONCAT(CHAR(92),CHAR(96))),CHAR(34),CHAR(39))))</f>
        <v/>
      </c>
      <c r="N826" s="5" t="str">
        <f>IF(OR(TRIM($B826)="",$D826=""),"",IF(OR(ISNUMBER(SEARCH(_xlfn.CONCAT(CHAR(96),CHAR(34)),$D826)),ISNUMBER(SEARCH(_xlfn.CONCAT(CHAR(34),CHAR(39)),$D826))),_xlfn.CONCAT("* REVIEW REQUIRED: compound-quote delimiter in Item Number on Sheet 1 row ",826,"; edit the input before running."),_xlfn.CONCAT("char ",TRIM($B826),"[doc_itemnum] ",CHAR(96),CHAR(34),SUBSTITUTE(SUBSTITUTE(SUBSTITUTE(SUBSTITUTE(SUBSTITUTE(SUBSTITUTE($D826,CHAR(13)," "),CHAR(10)," "),CHAR(9)," "),CHAR(92),_xlfn.CONCAT(CHAR(92),CHAR(92))),"$",_xlfn.CONCAT(CHAR(92),"$")),CHAR(96),_xlfn.CONCAT(CHAR(92),CHAR(96))),CHAR(34),CHAR(39))))</f>
        <v/>
      </c>
      <c r="O826" s="5" t="str">
        <f>IF(OR(TRIM($B826)="",$E826=""),"",IF(OR(ISNUMBER(SEARCH(_xlfn.CONCAT(CHAR(96),CHAR(34)),$E826)),ISNUMBER(SEARCH(_xlfn.CONCAT(CHAR(34),CHAR(39)),$E826))),_xlfn.CONCAT("* REVIEW REQUIRED: compound-quote delimiter in Question Wording on Sheet 1 row ",826,"; edit the input before running."),_xlfn.CONCAT("char ",TRIM($B826),"[doc_question] ",CHAR(96),CHAR(34),SUBSTITUTE(SUBSTITUTE(SUBSTITUTE(SUBSTITUTE(SUBSTITUTE(SUBSTITUTE($E826,CHAR(13)," "),CHAR(10)," "),CHAR(9)," "),CHAR(92),_xlfn.CONCAT(CHAR(92),CHAR(92))),"$",_xlfn.CONCAT(CHAR(92),"$")),CHAR(96),_xlfn.CONCAT(CHAR(92),CHAR(96))),CHAR(34),CHAR(39))))</f>
        <v/>
      </c>
      <c r="P826" s="5" t="str">
        <f>IF(OR(TRIM($B826)="",$F826=""),"",IF(OR(ISNUMBER(SEARCH(_xlfn.CONCAT(CHAR(96),CHAR(34)),$F826)),ISNUMBER(SEARCH(_xlfn.CONCAT(CHAR(34),CHAR(39)),$F826))),_xlfn.CONCAT("* REVIEW REQUIRED: compound-quote delimiter in Units on Sheet 1 row ",826,"; edit the input before running."),_xlfn.CONCAT("char ",TRIM($B826),"[doc_units] ",CHAR(96),CHAR(34),SUBSTITUTE(SUBSTITUTE(SUBSTITUTE(SUBSTITUTE(SUBSTITUTE(SUBSTITUTE($F826,CHAR(13)," "),CHAR(10)," "),CHAR(9)," "),CHAR(92),_xlfn.CONCAT(CHAR(92),CHAR(92))),"$",_xlfn.CONCAT(CHAR(92),"$")),CHAR(96),_xlfn.CONCAT(CHAR(92),CHAR(96))),CHAR(34),CHAR(39))))</f>
        <v/>
      </c>
      <c r="Q826" s="5" t="str">
        <f>IF(OR(TRIM($B826)="",$G826=""),"",IF(OR(ISNUMBER(SEARCH(_xlfn.CONCAT(CHAR(96),CHAR(34)),$G826)),ISNUMBER(SEARCH(_xlfn.CONCAT(CHAR(34),CHAR(39)),$G826))),_xlfn.CONCAT("* REVIEW REQUIRED: compound-quote delimiter in Universe on Sheet 1 row ",826,"; edit the input before running."),_xlfn.CONCAT("char ",TRIM($B826),"[doc_universe] ",CHAR(96),CHAR(34),SUBSTITUTE(SUBSTITUTE(SUBSTITUTE(SUBSTITUTE(SUBSTITUTE(SUBSTITUTE($G826,CHAR(13)," "),CHAR(10)," "),CHAR(9)," "),CHAR(92),_xlfn.CONCAT(CHAR(92),CHAR(92))),"$",_xlfn.CONCAT(CHAR(92),"$")),CHAR(96),_xlfn.CONCAT(CHAR(92),CHAR(96))),CHAR(34),CHAR(39))))</f>
        <v/>
      </c>
      <c r="R826" s="5" t="str">
        <f>IF(OR(TRIM($B826)="",$H826=""),"",IF(OR(ISNUMBER(SEARCH(_xlfn.CONCAT(CHAR(96),CHAR(34)),$H826)),ISNUMBER(SEARCH(_xlfn.CONCAT(CHAR(34),CHAR(39)),$H826))),_xlfn.CONCAT("* REVIEW REQUIRED: compound-quote delimiter in Source on Sheet 1 row ",826,"; edit the input before running."),_xlfn.CONCAT("char ",TRIM($B826),"[doc_source] ",CHAR(96),CHAR(34),SUBSTITUTE(SUBSTITUTE(SUBSTITUTE(SUBSTITUTE(SUBSTITUTE(SUBSTITUTE($H826,CHAR(13)," "),CHAR(10)," "),CHAR(9)," "),CHAR(92),_xlfn.CONCAT(CHAR(92),CHAR(92))),"$",_xlfn.CONCAT(CHAR(92),"$")),CHAR(96),_xlfn.CONCAT(CHAR(92),CHAR(96))),CHAR(34),CHAR(39))))</f>
        <v/>
      </c>
      <c r="S826" s="5" t="str">
        <f>IF(OR(TRIM($B826)="",$I826=""),"",IF(OR(ISNUMBER(SEARCH(_xlfn.CONCAT(CHAR(96),CHAR(34)),$I826)),ISNUMBER(SEARCH(_xlfn.CONCAT(CHAR(34),CHAR(39)),$I826))),_xlfn.CONCAT("* REVIEW REQUIRED: compound-quote delimiter in Derivation on Sheet 1 row ",826,"; edit the input before running."),_xlfn.CONCAT("char ",TRIM($B826),"[doc_derivation] ",CHAR(96),CHAR(34),SUBSTITUTE(SUBSTITUTE(SUBSTITUTE(SUBSTITUTE(SUBSTITUTE(SUBSTITUTE($I826,CHAR(13)," "),CHAR(10)," "),CHAR(9)," "),CHAR(92),_xlfn.CONCAT(CHAR(92),CHAR(92))),"$",_xlfn.CONCAT(CHAR(92),"$")),CHAR(96),_xlfn.CONCAT(CHAR(92),CHAR(96))),CHAR(34),CHAR(39))))</f>
        <v/>
      </c>
      <c r="T826" s="5" t="str">
        <f>IF(OR(TRIM($B826)="",$J826=""),"",IF(OR(ISNUMBER(SEARCH(_xlfn.CONCAT(CHAR(96),CHAR(34)),$J826)),ISNUMBER(SEARCH(_xlfn.CONCAT(CHAR(34),CHAR(39)),$J826))),_xlfn.CONCAT("* REVIEW REQUIRED: compound-quote delimiter in Notes on Sheet 1 row ",826,"; edit the input before running."),_xlfn.CONCAT("char ",TRIM($B826),"[doc_notes] ",CHAR(96),CHAR(34),SUBSTITUTE(SUBSTITUTE(SUBSTITUTE(SUBSTITUTE(SUBSTITUTE(SUBSTITUTE($J826,CHAR(13)," "),CHAR(10)," "),CHAR(9)," "),CHAR(92),_xlfn.CONCAT(CHAR(92),CHAR(92))),"$",_xlfn.CONCAT(CHAR(92),"$")),CHAR(96),_xlfn.CONCAT(CHAR(92),CHAR(96))),CHAR(34),CHAR(39))))</f>
        <v/>
      </c>
      <c r="U826" s="5">
        <f t="shared" si="25"/>
        <v>0</v>
      </c>
    </row>
    <row r="827" spans="3:21" ht="30" customHeight="1" x14ac:dyDescent="0.2">
      <c r="C827" s="4"/>
      <c r="K827" s="5">
        <f t="shared" si="24"/>
        <v>0</v>
      </c>
      <c r="L827" s="5" t="str">
        <f>IF(OR(TRIM($B827)="",$A827=""),"",IF(OR(ISNUMBER(SEARCH(_xlfn.CONCAT(CHAR(96),CHAR(34)),$A827)),ISNUMBER(SEARCH(_xlfn.CONCAT(CHAR(34),CHAR(39)),$A827))),_xlfn.CONCAT("* REVIEW REQUIRED: compound-quote delimiter in Codebook Section on Sheet 1 row ",827,"; edit the input before running."),_xlfn.CONCAT("char ",TRIM($B827),"[doc_section] ",CHAR(96),CHAR(34),SUBSTITUTE(SUBSTITUTE(SUBSTITUTE(SUBSTITUTE(SUBSTITUTE(SUBSTITUTE($A827,CHAR(13)," "),CHAR(10)," "),CHAR(9)," "),CHAR(92),_xlfn.CONCAT(CHAR(92),CHAR(92))),"$",_xlfn.CONCAT(CHAR(92),"$")),CHAR(96),_xlfn.CONCAT(CHAR(92),CHAR(96))),CHAR(34),CHAR(39))))</f>
        <v/>
      </c>
      <c r="M827" s="5" t="str">
        <f>IF(OR(TRIM($B827)="",$C827=""),"",IF(IFERROR(MATCH(TRIM($C827),{"Quantitative","Continuous","Discrete","Categorical","Nominal","Ordinal","Identifier"},0),0)=0,_xlfn.CONCAT("* REVIEW REQUIRED: invalid Variable Type on Sheet 1 row ",827,"."),_xlfn.CONCAT("char ",TRIM($B827),"[doc_vartype] ",CHAR(96),CHAR(34),SUBSTITUTE(SUBSTITUTE(SUBSTITUTE(SUBSTITUTE(SUBSTITUTE(SUBSTITUTE(LOWER(TRIM($C827)),CHAR(13)," "),CHAR(10)," "),CHAR(9)," "),CHAR(92),_xlfn.CONCAT(CHAR(92),CHAR(92))),"$",_xlfn.CONCAT(CHAR(92),"$")),CHAR(96),_xlfn.CONCAT(CHAR(92),CHAR(96))),CHAR(34),CHAR(39))))</f>
        <v/>
      </c>
      <c r="N827" s="5" t="str">
        <f>IF(OR(TRIM($B827)="",$D827=""),"",IF(OR(ISNUMBER(SEARCH(_xlfn.CONCAT(CHAR(96),CHAR(34)),$D827)),ISNUMBER(SEARCH(_xlfn.CONCAT(CHAR(34),CHAR(39)),$D827))),_xlfn.CONCAT("* REVIEW REQUIRED: compound-quote delimiter in Item Number on Sheet 1 row ",827,"; edit the input before running."),_xlfn.CONCAT("char ",TRIM($B827),"[doc_itemnum] ",CHAR(96),CHAR(34),SUBSTITUTE(SUBSTITUTE(SUBSTITUTE(SUBSTITUTE(SUBSTITUTE(SUBSTITUTE($D827,CHAR(13)," "),CHAR(10)," "),CHAR(9)," "),CHAR(92),_xlfn.CONCAT(CHAR(92),CHAR(92))),"$",_xlfn.CONCAT(CHAR(92),"$")),CHAR(96),_xlfn.CONCAT(CHAR(92),CHAR(96))),CHAR(34),CHAR(39))))</f>
        <v/>
      </c>
      <c r="O827" s="5" t="str">
        <f>IF(OR(TRIM($B827)="",$E827=""),"",IF(OR(ISNUMBER(SEARCH(_xlfn.CONCAT(CHAR(96),CHAR(34)),$E827)),ISNUMBER(SEARCH(_xlfn.CONCAT(CHAR(34),CHAR(39)),$E827))),_xlfn.CONCAT("* REVIEW REQUIRED: compound-quote delimiter in Question Wording on Sheet 1 row ",827,"; edit the input before running."),_xlfn.CONCAT("char ",TRIM($B827),"[doc_question] ",CHAR(96),CHAR(34),SUBSTITUTE(SUBSTITUTE(SUBSTITUTE(SUBSTITUTE(SUBSTITUTE(SUBSTITUTE($E827,CHAR(13)," "),CHAR(10)," "),CHAR(9)," "),CHAR(92),_xlfn.CONCAT(CHAR(92),CHAR(92))),"$",_xlfn.CONCAT(CHAR(92),"$")),CHAR(96),_xlfn.CONCAT(CHAR(92),CHAR(96))),CHAR(34),CHAR(39))))</f>
        <v/>
      </c>
      <c r="P827" s="5" t="str">
        <f>IF(OR(TRIM($B827)="",$F827=""),"",IF(OR(ISNUMBER(SEARCH(_xlfn.CONCAT(CHAR(96),CHAR(34)),$F827)),ISNUMBER(SEARCH(_xlfn.CONCAT(CHAR(34),CHAR(39)),$F827))),_xlfn.CONCAT("* REVIEW REQUIRED: compound-quote delimiter in Units on Sheet 1 row ",827,"; edit the input before running."),_xlfn.CONCAT("char ",TRIM($B827),"[doc_units] ",CHAR(96),CHAR(34),SUBSTITUTE(SUBSTITUTE(SUBSTITUTE(SUBSTITUTE(SUBSTITUTE(SUBSTITUTE($F827,CHAR(13)," "),CHAR(10)," "),CHAR(9)," "),CHAR(92),_xlfn.CONCAT(CHAR(92),CHAR(92))),"$",_xlfn.CONCAT(CHAR(92),"$")),CHAR(96),_xlfn.CONCAT(CHAR(92),CHAR(96))),CHAR(34),CHAR(39))))</f>
        <v/>
      </c>
      <c r="Q827" s="5" t="str">
        <f>IF(OR(TRIM($B827)="",$G827=""),"",IF(OR(ISNUMBER(SEARCH(_xlfn.CONCAT(CHAR(96),CHAR(34)),$G827)),ISNUMBER(SEARCH(_xlfn.CONCAT(CHAR(34),CHAR(39)),$G827))),_xlfn.CONCAT("* REVIEW REQUIRED: compound-quote delimiter in Universe on Sheet 1 row ",827,"; edit the input before running."),_xlfn.CONCAT("char ",TRIM($B827),"[doc_universe] ",CHAR(96),CHAR(34),SUBSTITUTE(SUBSTITUTE(SUBSTITUTE(SUBSTITUTE(SUBSTITUTE(SUBSTITUTE($G827,CHAR(13)," "),CHAR(10)," "),CHAR(9)," "),CHAR(92),_xlfn.CONCAT(CHAR(92),CHAR(92))),"$",_xlfn.CONCAT(CHAR(92),"$")),CHAR(96),_xlfn.CONCAT(CHAR(92),CHAR(96))),CHAR(34),CHAR(39))))</f>
        <v/>
      </c>
      <c r="R827" s="5" t="str">
        <f>IF(OR(TRIM($B827)="",$H827=""),"",IF(OR(ISNUMBER(SEARCH(_xlfn.CONCAT(CHAR(96),CHAR(34)),$H827)),ISNUMBER(SEARCH(_xlfn.CONCAT(CHAR(34),CHAR(39)),$H827))),_xlfn.CONCAT("* REVIEW REQUIRED: compound-quote delimiter in Source on Sheet 1 row ",827,"; edit the input before running."),_xlfn.CONCAT("char ",TRIM($B827),"[doc_source] ",CHAR(96),CHAR(34),SUBSTITUTE(SUBSTITUTE(SUBSTITUTE(SUBSTITUTE(SUBSTITUTE(SUBSTITUTE($H827,CHAR(13)," "),CHAR(10)," "),CHAR(9)," "),CHAR(92),_xlfn.CONCAT(CHAR(92),CHAR(92))),"$",_xlfn.CONCAT(CHAR(92),"$")),CHAR(96),_xlfn.CONCAT(CHAR(92),CHAR(96))),CHAR(34),CHAR(39))))</f>
        <v/>
      </c>
      <c r="S827" s="5" t="str">
        <f>IF(OR(TRIM($B827)="",$I827=""),"",IF(OR(ISNUMBER(SEARCH(_xlfn.CONCAT(CHAR(96),CHAR(34)),$I827)),ISNUMBER(SEARCH(_xlfn.CONCAT(CHAR(34),CHAR(39)),$I827))),_xlfn.CONCAT("* REVIEW REQUIRED: compound-quote delimiter in Derivation on Sheet 1 row ",827,"; edit the input before running."),_xlfn.CONCAT("char ",TRIM($B827),"[doc_derivation] ",CHAR(96),CHAR(34),SUBSTITUTE(SUBSTITUTE(SUBSTITUTE(SUBSTITUTE(SUBSTITUTE(SUBSTITUTE($I827,CHAR(13)," "),CHAR(10)," "),CHAR(9)," "),CHAR(92),_xlfn.CONCAT(CHAR(92),CHAR(92))),"$",_xlfn.CONCAT(CHAR(92),"$")),CHAR(96),_xlfn.CONCAT(CHAR(92),CHAR(96))),CHAR(34),CHAR(39))))</f>
        <v/>
      </c>
      <c r="T827" s="5" t="str">
        <f>IF(OR(TRIM($B827)="",$J827=""),"",IF(OR(ISNUMBER(SEARCH(_xlfn.CONCAT(CHAR(96),CHAR(34)),$J827)),ISNUMBER(SEARCH(_xlfn.CONCAT(CHAR(34),CHAR(39)),$J827))),_xlfn.CONCAT("* REVIEW REQUIRED: compound-quote delimiter in Notes on Sheet 1 row ",827,"; edit the input before running."),_xlfn.CONCAT("char ",TRIM($B827),"[doc_notes] ",CHAR(96),CHAR(34),SUBSTITUTE(SUBSTITUTE(SUBSTITUTE(SUBSTITUTE(SUBSTITUTE(SUBSTITUTE($J827,CHAR(13)," "),CHAR(10)," "),CHAR(9)," "),CHAR(92),_xlfn.CONCAT(CHAR(92),CHAR(92))),"$",_xlfn.CONCAT(CHAR(92),"$")),CHAR(96),_xlfn.CONCAT(CHAR(92),CHAR(96))),CHAR(34),CHAR(39))))</f>
        <v/>
      </c>
      <c r="U827" s="5">
        <f t="shared" si="25"/>
        <v>0</v>
      </c>
    </row>
    <row r="828" spans="3:21" ht="30" customHeight="1" x14ac:dyDescent="0.2">
      <c r="C828" s="4"/>
      <c r="K828" s="5">
        <f t="shared" si="24"/>
        <v>0</v>
      </c>
      <c r="L828" s="5" t="str">
        <f>IF(OR(TRIM($B828)="",$A828=""),"",IF(OR(ISNUMBER(SEARCH(_xlfn.CONCAT(CHAR(96),CHAR(34)),$A828)),ISNUMBER(SEARCH(_xlfn.CONCAT(CHAR(34),CHAR(39)),$A828))),_xlfn.CONCAT("* REVIEW REQUIRED: compound-quote delimiter in Codebook Section on Sheet 1 row ",828,"; edit the input before running."),_xlfn.CONCAT("char ",TRIM($B828),"[doc_section] ",CHAR(96),CHAR(34),SUBSTITUTE(SUBSTITUTE(SUBSTITUTE(SUBSTITUTE(SUBSTITUTE(SUBSTITUTE($A828,CHAR(13)," "),CHAR(10)," "),CHAR(9)," "),CHAR(92),_xlfn.CONCAT(CHAR(92),CHAR(92))),"$",_xlfn.CONCAT(CHAR(92),"$")),CHAR(96),_xlfn.CONCAT(CHAR(92),CHAR(96))),CHAR(34),CHAR(39))))</f>
        <v/>
      </c>
      <c r="M828" s="5" t="str">
        <f>IF(OR(TRIM($B828)="",$C828=""),"",IF(IFERROR(MATCH(TRIM($C828),{"Quantitative","Continuous","Discrete","Categorical","Nominal","Ordinal","Identifier"},0),0)=0,_xlfn.CONCAT("* REVIEW REQUIRED: invalid Variable Type on Sheet 1 row ",828,"."),_xlfn.CONCAT("char ",TRIM($B828),"[doc_vartype] ",CHAR(96),CHAR(34),SUBSTITUTE(SUBSTITUTE(SUBSTITUTE(SUBSTITUTE(SUBSTITUTE(SUBSTITUTE(LOWER(TRIM($C828)),CHAR(13)," "),CHAR(10)," "),CHAR(9)," "),CHAR(92),_xlfn.CONCAT(CHAR(92),CHAR(92))),"$",_xlfn.CONCAT(CHAR(92),"$")),CHAR(96),_xlfn.CONCAT(CHAR(92),CHAR(96))),CHAR(34),CHAR(39))))</f>
        <v/>
      </c>
      <c r="N828" s="5" t="str">
        <f>IF(OR(TRIM($B828)="",$D828=""),"",IF(OR(ISNUMBER(SEARCH(_xlfn.CONCAT(CHAR(96),CHAR(34)),$D828)),ISNUMBER(SEARCH(_xlfn.CONCAT(CHAR(34),CHAR(39)),$D828))),_xlfn.CONCAT("* REVIEW REQUIRED: compound-quote delimiter in Item Number on Sheet 1 row ",828,"; edit the input before running."),_xlfn.CONCAT("char ",TRIM($B828),"[doc_itemnum] ",CHAR(96),CHAR(34),SUBSTITUTE(SUBSTITUTE(SUBSTITUTE(SUBSTITUTE(SUBSTITUTE(SUBSTITUTE($D828,CHAR(13)," "),CHAR(10)," "),CHAR(9)," "),CHAR(92),_xlfn.CONCAT(CHAR(92),CHAR(92))),"$",_xlfn.CONCAT(CHAR(92),"$")),CHAR(96),_xlfn.CONCAT(CHAR(92),CHAR(96))),CHAR(34),CHAR(39))))</f>
        <v/>
      </c>
      <c r="O828" s="5" t="str">
        <f>IF(OR(TRIM($B828)="",$E828=""),"",IF(OR(ISNUMBER(SEARCH(_xlfn.CONCAT(CHAR(96),CHAR(34)),$E828)),ISNUMBER(SEARCH(_xlfn.CONCAT(CHAR(34),CHAR(39)),$E828))),_xlfn.CONCAT("* REVIEW REQUIRED: compound-quote delimiter in Question Wording on Sheet 1 row ",828,"; edit the input before running."),_xlfn.CONCAT("char ",TRIM($B828),"[doc_question] ",CHAR(96),CHAR(34),SUBSTITUTE(SUBSTITUTE(SUBSTITUTE(SUBSTITUTE(SUBSTITUTE(SUBSTITUTE($E828,CHAR(13)," "),CHAR(10)," "),CHAR(9)," "),CHAR(92),_xlfn.CONCAT(CHAR(92),CHAR(92))),"$",_xlfn.CONCAT(CHAR(92),"$")),CHAR(96),_xlfn.CONCAT(CHAR(92),CHAR(96))),CHAR(34),CHAR(39))))</f>
        <v/>
      </c>
      <c r="P828" s="5" t="str">
        <f>IF(OR(TRIM($B828)="",$F828=""),"",IF(OR(ISNUMBER(SEARCH(_xlfn.CONCAT(CHAR(96),CHAR(34)),$F828)),ISNUMBER(SEARCH(_xlfn.CONCAT(CHAR(34),CHAR(39)),$F828))),_xlfn.CONCAT("* REVIEW REQUIRED: compound-quote delimiter in Units on Sheet 1 row ",828,"; edit the input before running."),_xlfn.CONCAT("char ",TRIM($B828),"[doc_units] ",CHAR(96),CHAR(34),SUBSTITUTE(SUBSTITUTE(SUBSTITUTE(SUBSTITUTE(SUBSTITUTE(SUBSTITUTE($F828,CHAR(13)," "),CHAR(10)," "),CHAR(9)," "),CHAR(92),_xlfn.CONCAT(CHAR(92),CHAR(92))),"$",_xlfn.CONCAT(CHAR(92),"$")),CHAR(96),_xlfn.CONCAT(CHAR(92),CHAR(96))),CHAR(34),CHAR(39))))</f>
        <v/>
      </c>
      <c r="Q828" s="5" t="str">
        <f>IF(OR(TRIM($B828)="",$G828=""),"",IF(OR(ISNUMBER(SEARCH(_xlfn.CONCAT(CHAR(96),CHAR(34)),$G828)),ISNUMBER(SEARCH(_xlfn.CONCAT(CHAR(34),CHAR(39)),$G828))),_xlfn.CONCAT("* REVIEW REQUIRED: compound-quote delimiter in Universe on Sheet 1 row ",828,"; edit the input before running."),_xlfn.CONCAT("char ",TRIM($B828),"[doc_universe] ",CHAR(96),CHAR(34),SUBSTITUTE(SUBSTITUTE(SUBSTITUTE(SUBSTITUTE(SUBSTITUTE(SUBSTITUTE($G828,CHAR(13)," "),CHAR(10)," "),CHAR(9)," "),CHAR(92),_xlfn.CONCAT(CHAR(92),CHAR(92))),"$",_xlfn.CONCAT(CHAR(92),"$")),CHAR(96),_xlfn.CONCAT(CHAR(92),CHAR(96))),CHAR(34),CHAR(39))))</f>
        <v/>
      </c>
      <c r="R828" s="5" t="str">
        <f>IF(OR(TRIM($B828)="",$H828=""),"",IF(OR(ISNUMBER(SEARCH(_xlfn.CONCAT(CHAR(96),CHAR(34)),$H828)),ISNUMBER(SEARCH(_xlfn.CONCAT(CHAR(34),CHAR(39)),$H828))),_xlfn.CONCAT("* REVIEW REQUIRED: compound-quote delimiter in Source on Sheet 1 row ",828,"; edit the input before running."),_xlfn.CONCAT("char ",TRIM($B828),"[doc_source] ",CHAR(96),CHAR(34),SUBSTITUTE(SUBSTITUTE(SUBSTITUTE(SUBSTITUTE(SUBSTITUTE(SUBSTITUTE($H828,CHAR(13)," "),CHAR(10)," "),CHAR(9)," "),CHAR(92),_xlfn.CONCAT(CHAR(92),CHAR(92))),"$",_xlfn.CONCAT(CHAR(92),"$")),CHAR(96),_xlfn.CONCAT(CHAR(92),CHAR(96))),CHAR(34),CHAR(39))))</f>
        <v/>
      </c>
      <c r="S828" s="5" t="str">
        <f>IF(OR(TRIM($B828)="",$I828=""),"",IF(OR(ISNUMBER(SEARCH(_xlfn.CONCAT(CHAR(96),CHAR(34)),$I828)),ISNUMBER(SEARCH(_xlfn.CONCAT(CHAR(34),CHAR(39)),$I828))),_xlfn.CONCAT("* REVIEW REQUIRED: compound-quote delimiter in Derivation on Sheet 1 row ",828,"; edit the input before running."),_xlfn.CONCAT("char ",TRIM($B828),"[doc_derivation] ",CHAR(96),CHAR(34),SUBSTITUTE(SUBSTITUTE(SUBSTITUTE(SUBSTITUTE(SUBSTITUTE(SUBSTITUTE($I828,CHAR(13)," "),CHAR(10)," "),CHAR(9)," "),CHAR(92),_xlfn.CONCAT(CHAR(92),CHAR(92))),"$",_xlfn.CONCAT(CHAR(92),"$")),CHAR(96),_xlfn.CONCAT(CHAR(92),CHAR(96))),CHAR(34),CHAR(39))))</f>
        <v/>
      </c>
      <c r="T828" s="5" t="str">
        <f>IF(OR(TRIM($B828)="",$J828=""),"",IF(OR(ISNUMBER(SEARCH(_xlfn.CONCAT(CHAR(96),CHAR(34)),$J828)),ISNUMBER(SEARCH(_xlfn.CONCAT(CHAR(34),CHAR(39)),$J828))),_xlfn.CONCAT("* REVIEW REQUIRED: compound-quote delimiter in Notes on Sheet 1 row ",828,"; edit the input before running."),_xlfn.CONCAT("char ",TRIM($B828),"[doc_notes] ",CHAR(96),CHAR(34),SUBSTITUTE(SUBSTITUTE(SUBSTITUTE(SUBSTITUTE(SUBSTITUTE(SUBSTITUTE($J828,CHAR(13)," "),CHAR(10)," "),CHAR(9)," "),CHAR(92),_xlfn.CONCAT(CHAR(92),CHAR(92))),"$",_xlfn.CONCAT(CHAR(92),"$")),CHAR(96),_xlfn.CONCAT(CHAR(92),CHAR(96))),CHAR(34),CHAR(39))))</f>
        <v/>
      </c>
      <c r="U828" s="5">
        <f t="shared" si="25"/>
        <v>0</v>
      </c>
    </row>
    <row r="829" spans="3:21" ht="30" customHeight="1" x14ac:dyDescent="0.2">
      <c r="C829" s="4"/>
      <c r="K829" s="5">
        <f t="shared" si="24"/>
        <v>0</v>
      </c>
      <c r="L829" s="5" t="str">
        <f>IF(OR(TRIM($B829)="",$A829=""),"",IF(OR(ISNUMBER(SEARCH(_xlfn.CONCAT(CHAR(96),CHAR(34)),$A829)),ISNUMBER(SEARCH(_xlfn.CONCAT(CHAR(34),CHAR(39)),$A829))),_xlfn.CONCAT("* REVIEW REQUIRED: compound-quote delimiter in Codebook Section on Sheet 1 row ",829,"; edit the input before running."),_xlfn.CONCAT("char ",TRIM($B829),"[doc_section] ",CHAR(96),CHAR(34),SUBSTITUTE(SUBSTITUTE(SUBSTITUTE(SUBSTITUTE(SUBSTITUTE(SUBSTITUTE($A829,CHAR(13)," "),CHAR(10)," "),CHAR(9)," "),CHAR(92),_xlfn.CONCAT(CHAR(92),CHAR(92))),"$",_xlfn.CONCAT(CHAR(92),"$")),CHAR(96),_xlfn.CONCAT(CHAR(92),CHAR(96))),CHAR(34),CHAR(39))))</f>
        <v/>
      </c>
      <c r="M829" s="5" t="str">
        <f>IF(OR(TRIM($B829)="",$C829=""),"",IF(IFERROR(MATCH(TRIM($C829),{"Quantitative","Continuous","Discrete","Categorical","Nominal","Ordinal","Identifier"},0),0)=0,_xlfn.CONCAT("* REVIEW REQUIRED: invalid Variable Type on Sheet 1 row ",829,"."),_xlfn.CONCAT("char ",TRIM($B829),"[doc_vartype] ",CHAR(96),CHAR(34),SUBSTITUTE(SUBSTITUTE(SUBSTITUTE(SUBSTITUTE(SUBSTITUTE(SUBSTITUTE(LOWER(TRIM($C829)),CHAR(13)," "),CHAR(10)," "),CHAR(9)," "),CHAR(92),_xlfn.CONCAT(CHAR(92),CHAR(92))),"$",_xlfn.CONCAT(CHAR(92),"$")),CHAR(96),_xlfn.CONCAT(CHAR(92),CHAR(96))),CHAR(34),CHAR(39))))</f>
        <v/>
      </c>
      <c r="N829" s="5" t="str">
        <f>IF(OR(TRIM($B829)="",$D829=""),"",IF(OR(ISNUMBER(SEARCH(_xlfn.CONCAT(CHAR(96),CHAR(34)),$D829)),ISNUMBER(SEARCH(_xlfn.CONCAT(CHAR(34),CHAR(39)),$D829))),_xlfn.CONCAT("* REVIEW REQUIRED: compound-quote delimiter in Item Number on Sheet 1 row ",829,"; edit the input before running."),_xlfn.CONCAT("char ",TRIM($B829),"[doc_itemnum] ",CHAR(96),CHAR(34),SUBSTITUTE(SUBSTITUTE(SUBSTITUTE(SUBSTITUTE(SUBSTITUTE(SUBSTITUTE($D829,CHAR(13)," "),CHAR(10)," "),CHAR(9)," "),CHAR(92),_xlfn.CONCAT(CHAR(92),CHAR(92))),"$",_xlfn.CONCAT(CHAR(92),"$")),CHAR(96),_xlfn.CONCAT(CHAR(92),CHAR(96))),CHAR(34),CHAR(39))))</f>
        <v/>
      </c>
      <c r="O829" s="5" t="str">
        <f>IF(OR(TRIM($B829)="",$E829=""),"",IF(OR(ISNUMBER(SEARCH(_xlfn.CONCAT(CHAR(96),CHAR(34)),$E829)),ISNUMBER(SEARCH(_xlfn.CONCAT(CHAR(34),CHAR(39)),$E829))),_xlfn.CONCAT("* REVIEW REQUIRED: compound-quote delimiter in Question Wording on Sheet 1 row ",829,"; edit the input before running."),_xlfn.CONCAT("char ",TRIM($B829),"[doc_question] ",CHAR(96),CHAR(34),SUBSTITUTE(SUBSTITUTE(SUBSTITUTE(SUBSTITUTE(SUBSTITUTE(SUBSTITUTE($E829,CHAR(13)," "),CHAR(10)," "),CHAR(9)," "),CHAR(92),_xlfn.CONCAT(CHAR(92),CHAR(92))),"$",_xlfn.CONCAT(CHAR(92),"$")),CHAR(96),_xlfn.CONCAT(CHAR(92),CHAR(96))),CHAR(34),CHAR(39))))</f>
        <v/>
      </c>
      <c r="P829" s="5" t="str">
        <f>IF(OR(TRIM($B829)="",$F829=""),"",IF(OR(ISNUMBER(SEARCH(_xlfn.CONCAT(CHAR(96),CHAR(34)),$F829)),ISNUMBER(SEARCH(_xlfn.CONCAT(CHAR(34),CHAR(39)),$F829))),_xlfn.CONCAT("* REVIEW REQUIRED: compound-quote delimiter in Units on Sheet 1 row ",829,"; edit the input before running."),_xlfn.CONCAT("char ",TRIM($B829),"[doc_units] ",CHAR(96),CHAR(34),SUBSTITUTE(SUBSTITUTE(SUBSTITUTE(SUBSTITUTE(SUBSTITUTE(SUBSTITUTE($F829,CHAR(13)," "),CHAR(10)," "),CHAR(9)," "),CHAR(92),_xlfn.CONCAT(CHAR(92),CHAR(92))),"$",_xlfn.CONCAT(CHAR(92),"$")),CHAR(96),_xlfn.CONCAT(CHAR(92),CHAR(96))),CHAR(34),CHAR(39))))</f>
        <v/>
      </c>
      <c r="Q829" s="5" t="str">
        <f>IF(OR(TRIM($B829)="",$G829=""),"",IF(OR(ISNUMBER(SEARCH(_xlfn.CONCAT(CHAR(96),CHAR(34)),$G829)),ISNUMBER(SEARCH(_xlfn.CONCAT(CHAR(34),CHAR(39)),$G829))),_xlfn.CONCAT("* REVIEW REQUIRED: compound-quote delimiter in Universe on Sheet 1 row ",829,"; edit the input before running."),_xlfn.CONCAT("char ",TRIM($B829),"[doc_universe] ",CHAR(96),CHAR(34),SUBSTITUTE(SUBSTITUTE(SUBSTITUTE(SUBSTITUTE(SUBSTITUTE(SUBSTITUTE($G829,CHAR(13)," "),CHAR(10)," "),CHAR(9)," "),CHAR(92),_xlfn.CONCAT(CHAR(92),CHAR(92))),"$",_xlfn.CONCAT(CHAR(92),"$")),CHAR(96),_xlfn.CONCAT(CHAR(92),CHAR(96))),CHAR(34),CHAR(39))))</f>
        <v/>
      </c>
      <c r="R829" s="5" t="str">
        <f>IF(OR(TRIM($B829)="",$H829=""),"",IF(OR(ISNUMBER(SEARCH(_xlfn.CONCAT(CHAR(96),CHAR(34)),$H829)),ISNUMBER(SEARCH(_xlfn.CONCAT(CHAR(34),CHAR(39)),$H829))),_xlfn.CONCAT("* REVIEW REQUIRED: compound-quote delimiter in Source on Sheet 1 row ",829,"; edit the input before running."),_xlfn.CONCAT("char ",TRIM($B829),"[doc_source] ",CHAR(96),CHAR(34),SUBSTITUTE(SUBSTITUTE(SUBSTITUTE(SUBSTITUTE(SUBSTITUTE(SUBSTITUTE($H829,CHAR(13)," "),CHAR(10)," "),CHAR(9)," "),CHAR(92),_xlfn.CONCAT(CHAR(92),CHAR(92))),"$",_xlfn.CONCAT(CHAR(92),"$")),CHAR(96),_xlfn.CONCAT(CHAR(92),CHAR(96))),CHAR(34),CHAR(39))))</f>
        <v/>
      </c>
      <c r="S829" s="5" t="str">
        <f>IF(OR(TRIM($B829)="",$I829=""),"",IF(OR(ISNUMBER(SEARCH(_xlfn.CONCAT(CHAR(96),CHAR(34)),$I829)),ISNUMBER(SEARCH(_xlfn.CONCAT(CHAR(34),CHAR(39)),$I829))),_xlfn.CONCAT("* REVIEW REQUIRED: compound-quote delimiter in Derivation on Sheet 1 row ",829,"; edit the input before running."),_xlfn.CONCAT("char ",TRIM($B829),"[doc_derivation] ",CHAR(96),CHAR(34),SUBSTITUTE(SUBSTITUTE(SUBSTITUTE(SUBSTITUTE(SUBSTITUTE(SUBSTITUTE($I829,CHAR(13)," "),CHAR(10)," "),CHAR(9)," "),CHAR(92),_xlfn.CONCAT(CHAR(92),CHAR(92))),"$",_xlfn.CONCAT(CHAR(92),"$")),CHAR(96),_xlfn.CONCAT(CHAR(92),CHAR(96))),CHAR(34),CHAR(39))))</f>
        <v/>
      </c>
      <c r="T829" s="5" t="str">
        <f>IF(OR(TRIM($B829)="",$J829=""),"",IF(OR(ISNUMBER(SEARCH(_xlfn.CONCAT(CHAR(96),CHAR(34)),$J829)),ISNUMBER(SEARCH(_xlfn.CONCAT(CHAR(34),CHAR(39)),$J829))),_xlfn.CONCAT("* REVIEW REQUIRED: compound-quote delimiter in Notes on Sheet 1 row ",829,"; edit the input before running."),_xlfn.CONCAT("char ",TRIM($B829),"[doc_notes] ",CHAR(96),CHAR(34),SUBSTITUTE(SUBSTITUTE(SUBSTITUTE(SUBSTITUTE(SUBSTITUTE(SUBSTITUTE($J829,CHAR(13)," "),CHAR(10)," "),CHAR(9)," "),CHAR(92),_xlfn.CONCAT(CHAR(92),CHAR(92))),"$",_xlfn.CONCAT(CHAR(92),"$")),CHAR(96),_xlfn.CONCAT(CHAR(92),CHAR(96))),CHAR(34),CHAR(39))))</f>
        <v/>
      </c>
      <c r="U829" s="5">
        <f t="shared" si="25"/>
        <v>0</v>
      </c>
    </row>
    <row r="830" spans="3:21" ht="30" customHeight="1" x14ac:dyDescent="0.2">
      <c r="C830" s="4"/>
      <c r="K830" s="5">
        <f t="shared" si="24"/>
        <v>0</v>
      </c>
      <c r="L830" s="5" t="str">
        <f>IF(OR(TRIM($B830)="",$A830=""),"",IF(OR(ISNUMBER(SEARCH(_xlfn.CONCAT(CHAR(96),CHAR(34)),$A830)),ISNUMBER(SEARCH(_xlfn.CONCAT(CHAR(34),CHAR(39)),$A830))),_xlfn.CONCAT("* REVIEW REQUIRED: compound-quote delimiter in Codebook Section on Sheet 1 row ",830,"; edit the input before running."),_xlfn.CONCAT("char ",TRIM($B830),"[doc_section] ",CHAR(96),CHAR(34),SUBSTITUTE(SUBSTITUTE(SUBSTITUTE(SUBSTITUTE(SUBSTITUTE(SUBSTITUTE($A830,CHAR(13)," "),CHAR(10)," "),CHAR(9)," "),CHAR(92),_xlfn.CONCAT(CHAR(92),CHAR(92))),"$",_xlfn.CONCAT(CHAR(92),"$")),CHAR(96),_xlfn.CONCAT(CHAR(92),CHAR(96))),CHAR(34),CHAR(39))))</f>
        <v/>
      </c>
      <c r="M830" s="5" t="str">
        <f>IF(OR(TRIM($B830)="",$C830=""),"",IF(IFERROR(MATCH(TRIM($C830),{"Quantitative","Continuous","Discrete","Categorical","Nominal","Ordinal","Identifier"},0),0)=0,_xlfn.CONCAT("* REVIEW REQUIRED: invalid Variable Type on Sheet 1 row ",830,"."),_xlfn.CONCAT("char ",TRIM($B830),"[doc_vartype] ",CHAR(96),CHAR(34),SUBSTITUTE(SUBSTITUTE(SUBSTITUTE(SUBSTITUTE(SUBSTITUTE(SUBSTITUTE(LOWER(TRIM($C830)),CHAR(13)," "),CHAR(10)," "),CHAR(9)," "),CHAR(92),_xlfn.CONCAT(CHAR(92),CHAR(92))),"$",_xlfn.CONCAT(CHAR(92),"$")),CHAR(96),_xlfn.CONCAT(CHAR(92),CHAR(96))),CHAR(34),CHAR(39))))</f>
        <v/>
      </c>
      <c r="N830" s="5" t="str">
        <f>IF(OR(TRIM($B830)="",$D830=""),"",IF(OR(ISNUMBER(SEARCH(_xlfn.CONCAT(CHAR(96),CHAR(34)),$D830)),ISNUMBER(SEARCH(_xlfn.CONCAT(CHAR(34),CHAR(39)),$D830))),_xlfn.CONCAT("* REVIEW REQUIRED: compound-quote delimiter in Item Number on Sheet 1 row ",830,"; edit the input before running."),_xlfn.CONCAT("char ",TRIM($B830),"[doc_itemnum] ",CHAR(96),CHAR(34),SUBSTITUTE(SUBSTITUTE(SUBSTITUTE(SUBSTITUTE(SUBSTITUTE(SUBSTITUTE($D830,CHAR(13)," "),CHAR(10)," "),CHAR(9)," "),CHAR(92),_xlfn.CONCAT(CHAR(92),CHAR(92))),"$",_xlfn.CONCAT(CHAR(92),"$")),CHAR(96),_xlfn.CONCAT(CHAR(92),CHAR(96))),CHAR(34),CHAR(39))))</f>
        <v/>
      </c>
      <c r="O830" s="5" t="str">
        <f>IF(OR(TRIM($B830)="",$E830=""),"",IF(OR(ISNUMBER(SEARCH(_xlfn.CONCAT(CHAR(96),CHAR(34)),$E830)),ISNUMBER(SEARCH(_xlfn.CONCAT(CHAR(34),CHAR(39)),$E830))),_xlfn.CONCAT("* REVIEW REQUIRED: compound-quote delimiter in Question Wording on Sheet 1 row ",830,"; edit the input before running."),_xlfn.CONCAT("char ",TRIM($B830),"[doc_question] ",CHAR(96),CHAR(34),SUBSTITUTE(SUBSTITUTE(SUBSTITUTE(SUBSTITUTE(SUBSTITUTE(SUBSTITUTE($E830,CHAR(13)," "),CHAR(10)," "),CHAR(9)," "),CHAR(92),_xlfn.CONCAT(CHAR(92),CHAR(92))),"$",_xlfn.CONCAT(CHAR(92),"$")),CHAR(96),_xlfn.CONCAT(CHAR(92),CHAR(96))),CHAR(34),CHAR(39))))</f>
        <v/>
      </c>
      <c r="P830" s="5" t="str">
        <f>IF(OR(TRIM($B830)="",$F830=""),"",IF(OR(ISNUMBER(SEARCH(_xlfn.CONCAT(CHAR(96),CHAR(34)),$F830)),ISNUMBER(SEARCH(_xlfn.CONCAT(CHAR(34),CHAR(39)),$F830))),_xlfn.CONCAT("* REVIEW REQUIRED: compound-quote delimiter in Units on Sheet 1 row ",830,"; edit the input before running."),_xlfn.CONCAT("char ",TRIM($B830),"[doc_units] ",CHAR(96),CHAR(34),SUBSTITUTE(SUBSTITUTE(SUBSTITUTE(SUBSTITUTE(SUBSTITUTE(SUBSTITUTE($F830,CHAR(13)," "),CHAR(10)," "),CHAR(9)," "),CHAR(92),_xlfn.CONCAT(CHAR(92),CHAR(92))),"$",_xlfn.CONCAT(CHAR(92),"$")),CHAR(96),_xlfn.CONCAT(CHAR(92),CHAR(96))),CHAR(34),CHAR(39))))</f>
        <v/>
      </c>
      <c r="Q830" s="5" t="str">
        <f>IF(OR(TRIM($B830)="",$G830=""),"",IF(OR(ISNUMBER(SEARCH(_xlfn.CONCAT(CHAR(96),CHAR(34)),$G830)),ISNUMBER(SEARCH(_xlfn.CONCAT(CHAR(34),CHAR(39)),$G830))),_xlfn.CONCAT("* REVIEW REQUIRED: compound-quote delimiter in Universe on Sheet 1 row ",830,"; edit the input before running."),_xlfn.CONCAT("char ",TRIM($B830),"[doc_universe] ",CHAR(96),CHAR(34),SUBSTITUTE(SUBSTITUTE(SUBSTITUTE(SUBSTITUTE(SUBSTITUTE(SUBSTITUTE($G830,CHAR(13)," "),CHAR(10)," "),CHAR(9)," "),CHAR(92),_xlfn.CONCAT(CHAR(92),CHAR(92))),"$",_xlfn.CONCAT(CHAR(92),"$")),CHAR(96),_xlfn.CONCAT(CHAR(92),CHAR(96))),CHAR(34),CHAR(39))))</f>
        <v/>
      </c>
      <c r="R830" s="5" t="str">
        <f>IF(OR(TRIM($B830)="",$H830=""),"",IF(OR(ISNUMBER(SEARCH(_xlfn.CONCAT(CHAR(96),CHAR(34)),$H830)),ISNUMBER(SEARCH(_xlfn.CONCAT(CHAR(34),CHAR(39)),$H830))),_xlfn.CONCAT("* REVIEW REQUIRED: compound-quote delimiter in Source on Sheet 1 row ",830,"; edit the input before running."),_xlfn.CONCAT("char ",TRIM($B830),"[doc_source] ",CHAR(96),CHAR(34),SUBSTITUTE(SUBSTITUTE(SUBSTITUTE(SUBSTITUTE(SUBSTITUTE(SUBSTITUTE($H830,CHAR(13)," "),CHAR(10)," "),CHAR(9)," "),CHAR(92),_xlfn.CONCAT(CHAR(92),CHAR(92))),"$",_xlfn.CONCAT(CHAR(92),"$")),CHAR(96),_xlfn.CONCAT(CHAR(92),CHAR(96))),CHAR(34),CHAR(39))))</f>
        <v/>
      </c>
      <c r="S830" s="5" t="str">
        <f>IF(OR(TRIM($B830)="",$I830=""),"",IF(OR(ISNUMBER(SEARCH(_xlfn.CONCAT(CHAR(96),CHAR(34)),$I830)),ISNUMBER(SEARCH(_xlfn.CONCAT(CHAR(34),CHAR(39)),$I830))),_xlfn.CONCAT("* REVIEW REQUIRED: compound-quote delimiter in Derivation on Sheet 1 row ",830,"; edit the input before running."),_xlfn.CONCAT("char ",TRIM($B830),"[doc_derivation] ",CHAR(96),CHAR(34),SUBSTITUTE(SUBSTITUTE(SUBSTITUTE(SUBSTITUTE(SUBSTITUTE(SUBSTITUTE($I830,CHAR(13)," "),CHAR(10)," "),CHAR(9)," "),CHAR(92),_xlfn.CONCAT(CHAR(92),CHAR(92))),"$",_xlfn.CONCAT(CHAR(92),"$")),CHAR(96),_xlfn.CONCAT(CHAR(92),CHAR(96))),CHAR(34),CHAR(39))))</f>
        <v/>
      </c>
      <c r="T830" s="5" t="str">
        <f>IF(OR(TRIM($B830)="",$J830=""),"",IF(OR(ISNUMBER(SEARCH(_xlfn.CONCAT(CHAR(96),CHAR(34)),$J830)),ISNUMBER(SEARCH(_xlfn.CONCAT(CHAR(34),CHAR(39)),$J830))),_xlfn.CONCAT("* REVIEW REQUIRED: compound-quote delimiter in Notes on Sheet 1 row ",830,"; edit the input before running."),_xlfn.CONCAT("char ",TRIM($B830),"[doc_notes] ",CHAR(96),CHAR(34),SUBSTITUTE(SUBSTITUTE(SUBSTITUTE(SUBSTITUTE(SUBSTITUTE(SUBSTITUTE($J830,CHAR(13)," "),CHAR(10)," "),CHAR(9)," "),CHAR(92),_xlfn.CONCAT(CHAR(92),CHAR(92))),"$",_xlfn.CONCAT(CHAR(92),"$")),CHAR(96),_xlfn.CONCAT(CHAR(92),CHAR(96))),CHAR(34),CHAR(39))))</f>
        <v/>
      </c>
      <c r="U830" s="5">
        <f t="shared" si="25"/>
        <v>0</v>
      </c>
    </row>
    <row r="831" spans="3:21" ht="30" customHeight="1" x14ac:dyDescent="0.2">
      <c r="C831" s="4"/>
      <c r="K831" s="5">
        <f t="shared" si="24"/>
        <v>0</v>
      </c>
      <c r="L831" s="5" t="str">
        <f>IF(OR(TRIM($B831)="",$A831=""),"",IF(OR(ISNUMBER(SEARCH(_xlfn.CONCAT(CHAR(96),CHAR(34)),$A831)),ISNUMBER(SEARCH(_xlfn.CONCAT(CHAR(34),CHAR(39)),$A831))),_xlfn.CONCAT("* REVIEW REQUIRED: compound-quote delimiter in Codebook Section on Sheet 1 row ",831,"; edit the input before running."),_xlfn.CONCAT("char ",TRIM($B831),"[doc_section] ",CHAR(96),CHAR(34),SUBSTITUTE(SUBSTITUTE(SUBSTITUTE(SUBSTITUTE(SUBSTITUTE(SUBSTITUTE($A831,CHAR(13)," "),CHAR(10)," "),CHAR(9)," "),CHAR(92),_xlfn.CONCAT(CHAR(92),CHAR(92))),"$",_xlfn.CONCAT(CHAR(92),"$")),CHAR(96),_xlfn.CONCAT(CHAR(92),CHAR(96))),CHAR(34),CHAR(39))))</f>
        <v/>
      </c>
      <c r="M831" s="5" t="str">
        <f>IF(OR(TRIM($B831)="",$C831=""),"",IF(IFERROR(MATCH(TRIM($C831),{"Quantitative","Continuous","Discrete","Categorical","Nominal","Ordinal","Identifier"},0),0)=0,_xlfn.CONCAT("* REVIEW REQUIRED: invalid Variable Type on Sheet 1 row ",831,"."),_xlfn.CONCAT("char ",TRIM($B831),"[doc_vartype] ",CHAR(96),CHAR(34),SUBSTITUTE(SUBSTITUTE(SUBSTITUTE(SUBSTITUTE(SUBSTITUTE(SUBSTITUTE(LOWER(TRIM($C831)),CHAR(13)," "),CHAR(10)," "),CHAR(9)," "),CHAR(92),_xlfn.CONCAT(CHAR(92),CHAR(92))),"$",_xlfn.CONCAT(CHAR(92),"$")),CHAR(96),_xlfn.CONCAT(CHAR(92),CHAR(96))),CHAR(34),CHAR(39))))</f>
        <v/>
      </c>
      <c r="N831" s="5" t="str">
        <f>IF(OR(TRIM($B831)="",$D831=""),"",IF(OR(ISNUMBER(SEARCH(_xlfn.CONCAT(CHAR(96),CHAR(34)),$D831)),ISNUMBER(SEARCH(_xlfn.CONCAT(CHAR(34),CHAR(39)),$D831))),_xlfn.CONCAT("* REVIEW REQUIRED: compound-quote delimiter in Item Number on Sheet 1 row ",831,"; edit the input before running."),_xlfn.CONCAT("char ",TRIM($B831),"[doc_itemnum] ",CHAR(96),CHAR(34),SUBSTITUTE(SUBSTITUTE(SUBSTITUTE(SUBSTITUTE(SUBSTITUTE(SUBSTITUTE($D831,CHAR(13)," "),CHAR(10)," "),CHAR(9)," "),CHAR(92),_xlfn.CONCAT(CHAR(92),CHAR(92))),"$",_xlfn.CONCAT(CHAR(92),"$")),CHAR(96),_xlfn.CONCAT(CHAR(92),CHAR(96))),CHAR(34),CHAR(39))))</f>
        <v/>
      </c>
      <c r="O831" s="5" t="str">
        <f>IF(OR(TRIM($B831)="",$E831=""),"",IF(OR(ISNUMBER(SEARCH(_xlfn.CONCAT(CHAR(96),CHAR(34)),$E831)),ISNUMBER(SEARCH(_xlfn.CONCAT(CHAR(34),CHAR(39)),$E831))),_xlfn.CONCAT("* REVIEW REQUIRED: compound-quote delimiter in Question Wording on Sheet 1 row ",831,"; edit the input before running."),_xlfn.CONCAT("char ",TRIM($B831),"[doc_question] ",CHAR(96),CHAR(34),SUBSTITUTE(SUBSTITUTE(SUBSTITUTE(SUBSTITUTE(SUBSTITUTE(SUBSTITUTE($E831,CHAR(13)," "),CHAR(10)," "),CHAR(9)," "),CHAR(92),_xlfn.CONCAT(CHAR(92),CHAR(92))),"$",_xlfn.CONCAT(CHAR(92),"$")),CHAR(96),_xlfn.CONCAT(CHAR(92),CHAR(96))),CHAR(34),CHAR(39))))</f>
        <v/>
      </c>
      <c r="P831" s="5" t="str">
        <f>IF(OR(TRIM($B831)="",$F831=""),"",IF(OR(ISNUMBER(SEARCH(_xlfn.CONCAT(CHAR(96),CHAR(34)),$F831)),ISNUMBER(SEARCH(_xlfn.CONCAT(CHAR(34),CHAR(39)),$F831))),_xlfn.CONCAT("* REVIEW REQUIRED: compound-quote delimiter in Units on Sheet 1 row ",831,"; edit the input before running."),_xlfn.CONCAT("char ",TRIM($B831),"[doc_units] ",CHAR(96),CHAR(34),SUBSTITUTE(SUBSTITUTE(SUBSTITUTE(SUBSTITUTE(SUBSTITUTE(SUBSTITUTE($F831,CHAR(13)," "),CHAR(10)," "),CHAR(9)," "),CHAR(92),_xlfn.CONCAT(CHAR(92),CHAR(92))),"$",_xlfn.CONCAT(CHAR(92),"$")),CHAR(96),_xlfn.CONCAT(CHAR(92),CHAR(96))),CHAR(34),CHAR(39))))</f>
        <v/>
      </c>
      <c r="Q831" s="5" t="str">
        <f>IF(OR(TRIM($B831)="",$G831=""),"",IF(OR(ISNUMBER(SEARCH(_xlfn.CONCAT(CHAR(96),CHAR(34)),$G831)),ISNUMBER(SEARCH(_xlfn.CONCAT(CHAR(34),CHAR(39)),$G831))),_xlfn.CONCAT("* REVIEW REQUIRED: compound-quote delimiter in Universe on Sheet 1 row ",831,"; edit the input before running."),_xlfn.CONCAT("char ",TRIM($B831),"[doc_universe] ",CHAR(96),CHAR(34),SUBSTITUTE(SUBSTITUTE(SUBSTITUTE(SUBSTITUTE(SUBSTITUTE(SUBSTITUTE($G831,CHAR(13)," "),CHAR(10)," "),CHAR(9)," "),CHAR(92),_xlfn.CONCAT(CHAR(92),CHAR(92))),"$",_xlfn.CONCAT(CHAR(92),"$")),CHAR(96),_xlfn.CONCAT(CHAR(92),CHAR(96))),CHAR(34),CHAR(39))))</f>
        <v/>
      </c>
      <c r="R831" s="5" t="str">
        <f>IF(OR(TRIM($B831)="",$H831=""),"",IF(OR(ISNUMBER(SEARCH(_xlfn.CONCAT(CHAR(96),CHAR(34)),$H831)),ISNUMBER(SEARCH(_xlfn.CONCAT(CHAR(34),CHAR(39)),$H831))),_xlfn.CONCAT("* REVIEW REQUIRED: compound-quote delimiter in Source on Sheet 1 row ",831,"; edit the input before running."),_xlfn.CONCAT("char ",TRIM($B831),"[doc_source] ",CHAR(96),CHAR(34),SUBSTITUTE(SUBSTITUTE(SUBSTITUTE(SUBSTITUTE(SUBSTITUTE(SUBSTITUTE($H831,CHAR(13)," "),CHAR(10)," "),CHAR(9)," "),CHAR(92),_xlfn.CONCAT(CHAR(92),CHAR(92))),"$",_xlfn.CONCAT(CHAR(92),"$")),CHAR(96),_xlfn.CONCAT(CHAR(92),CHAR(96))),CHAR(34),CHAR(39))))</f>
        <v/>
      </c>
      <c r="S831" s="5" t="str">
        <f>IF(OR(TRIM($B831)="",$I831=""),"",IF(OR(ISNUMBER(SEARCH(_xlfn.CONCAT(CHAR(96),CHAR(34)),$I831)),ISNUMBER(SEARCH(_xlfn.CONCAT(CHAR(34),CHAR(39)),$I831))),_xlfn.CONCAT("* REVIEW REQUIRED: compound-quote delimiter in Derivation on Sheet 1 row ",831,"; edit the input before running."),_xlfn.CONCAT("char ",TRIM($B831),"[doc_derivation] ",CHAR(96),CHAR(34),SUBSTITUTE(SUBSTITUTE(SUBSTITUTE(SUBSTITUTE(SUBSTITUTE(SUBSTITUTE($I831,CHAR(13)," "),CHAR(10)," "),CHAR(9)," "),CHAR(92),_xlfn.CONCAT(CHAR(92),CHAR(92))),"$",_xlfn.CONCAT(CHAR(92),"$")),CHAR(96),_xlfn.CONCAT(CHAR(92),CHAR(96))),CHAR(34),CHAR(39))))</f>
        <v/>
      </c>
      <c r="T831" s="5" t="str">
        <f>IF(OR(TRIM($B831)="",$J831=""),"",IF(OR(ISNUMBER(SEARCH(_xlfn.CONCAT(CHAR(96),CHAR(34)),$J831)),ISNUMBER(SEARCH(_xlfn.CONCAT(CHAR(34),CHAR(39)),$J831))),_xlfn.CONCAT("* REVIEW REQUIRED: compound-quote delimiter in Notes on Sheet 1 row ",831,"; edit the input before running."),_xlfn.CONCAT("char ",TRIM($B831),"[doc_notes] ",CHAR(96),CHAR(34),SUBSTITUTE(SUBSTITUTE(SUBSTITUTE(SUBSTITUTE(SUBSTITUTE(SUBSTITUTE($J831,CHAR(13)," "),CHAR(10)," "),CHAR(9)," "),CHAR(92),_xlfn.CONCAT(CHAR(92),CHAR(92))),"$",_xlfn.CONCAT(CHAR(92),"$")),CHAR(96),_xlfn.CONCAT(CHAR(92),CHAR(96))),CHAR(34),CHAR(39))))</f>
        <v/>
      </c>
      <c r="U831" s="5">
        <f t="shared" si="25"/>
        <v>0</v>
      </c>
    </row>
    <row r="832" spans="3:21" ht="30" customHeight="1" x14ac:dyDescent="0.2">
      <c r="C832" s="4"/>
      <c r="K832" s="5">
        <f t="shared" si="24"/>
        <v>0</v>
      </c>
      <c r="L832" s="5" t="str">
        <f>IF(OR(TRIM($B832)="",$A832=""),"",IF(OR(ISNUMBER(SEARCH(_xlfn.CONCAT(CHAR(96),CHAR(34)),$A832)),ISNUMBER(SEARCH(_xlfn.CONCAT(CHAR(34),CHAR(39)),$A832))),_xlfn.CONCAT("* REVIEW REQUIRED: compound-quote delimiter in Codebook Section on Sheet 1 row ",832,"; edit the input before running."),_xlfn.CONCAT("char ",TRIM($B832),"[doc_section] ",CHAR(96),CHAR(34),SUBSTITUTE(SUBSTITUTE(SUBSTITUTE(SUBSTITUTE(SUBSTITUTE(SUBSTITUTE($A832,CHAR(13)," "),CHAR(10)," "),CHAR(9)," "),CHAR(92),_xlfn.CONCAT(CHAR(92),CHAR(92))),"$",_xlfn.CONCAT(CHAR(92),"$")),CHAR(96),_xlfn.CONCAT(CHAR(92),CHAR(96))),CHAR(34),CHAR(39))))</f>
        <v/>
      </c>
      <c r="M832" s="5" t="str">
        <f>IF(OR(TRIM($B832)="",$C832=""),"",IF(IFERROR(MATCH(TRIM($C832),{"Quantitative","Continuous","Discrete","Categorical","Nominal","Ordinal","Identifier"},0),0)=0,_xlfn.CONCAT("* REVIEW REQUIRED: invalid Variable Type on Sheet 1 row ",832,"."),_xlfn.CONCAT("char ",TRIM($B832),"[doc_vartype] ",CHAR(96),CHAR(34),SUBSTITUTE(SUBSTITUTE(SUBSTITUTE(SUBSTITUTE(SUBSTITUTE(SUBSTITUTE(LOWER(TRIM($C832)),CHAR(13)," "),CHAR(10)," "),CHAR(9)," "),CHAR(92),_xlfn.CONCAT(CHAR(92),CHAR(92))),"$",_xlfn.CONCAT(CHAR(92),"$")),CHAR(96),_xlfn.CONCAT(CHAR(92),CHAR(96))),CHAR(34),CHAR(39))))</f>
        <v/>
      </c>
      <c r="N832" s="5" t="str">
        <f>IF(OR(TRIM($B832)="",$D832=""),"",IF(OR(ISNUMBER(SEARCH(_xlfn.CONCAT(CHAR(96),CHAR(34)),$D832)),ISNUMBER(SEARCH(_xlfn.CONCAT(CHAR(34),CHAR(39)),$D832))),_xlfn.CONCAT("* REVIEW REQUIRED: compound-quote delimiter in Item Number on Sheet 1 row ",832,"; edit the input before running."),_xlfn.CONCAT("char ",TRIM($B832),"[doc_itemnum] ",CHAR(96),CHAR(34),SUBSTITUTE(SUBSTITUTE(SUBSTITUTE(SUBSTITUTE(SUBSTITUTE(SUBSTITUTE($D832,CHAR(13)," "),CHAR(10)," "),CHAR(9)," "),CHAR(92),_xlfn.CONCAT(CHAR(92),CHAR(92))),"$",_xlfn.CONCAT(CHAR(92),"$")),CHAR(96),_xlfn.CONCAT(CHAR(92),CHAR(96))),CHAR(34),CHAR(39))))</f>
        <v/>
      </c>
      <c r="O832" s="5" t="str">
        <f>IF(OR(TRIM($B832)="",$E832=""),"",IF(OR(ISNUMBER(SEARCH(_xlfn.CONCAT(CHAR(96),CHAR(34)),$E832)),ISNUMBER(SEARCH(_xlfn.CONCAT(CHAR(34),CHAR(39)),$E832))),_xlfn.CONCAT("* REVIEW REQUIRED: compound-quote delimiter in Question Wording on Sheet 1 row ",832,"; edit the input before running."),_xlfn.CONCAT("char ",TRIM($B832),"[doc_question] ",CHAR(96),CHAR(34),SUBSTITUTE(SUBSTITUTE(SUBSTITUTE(SUBSTITUTE(SUBSTITUTE(SUBSTITUTE($E832,CHAR(13)," "),CHAR(10)," "),CHAR(9)," "),CHAR(92),_xlfn.CONCAT(CHAR(92),CHAR(92))),"$",_xlfn.CONCAT(CHAR(92),"$")),CHAR(96),_xlfn.CONCAT(CHAR(92),CHAR(96))),CHAR(34),CHAR(39))))</f>
        <v/>
      </c>
      <c r="P832" s="5" t="str">
        <f>IF(OR(TRIM($B832)="",$F832=""),"",IF(OR(ISNUMBER(SEARCH(_xlfn.CONCAT(CHAR(96),CHAR(34)),$F832)),ISNUMBER(SEARCH(_xlfn.CONCAT(CHAR(34),CHAR(39)),$F832))),_xlfn.CONCAT("* REVIEW REQUIRED: compound-quote delimiter in Units on Sheet 1 row ",832,"; edit the input before running."),_xlfn.CONCAT("char ",TRIM($B832),"[doc_units] ",CHAR(96),CHAR(34),SUBSTITUTE(SUBSTITUTE(SUBSTITUTE(SUBSTITUTE(SUBSTITUTE(SUBSTITUTE($F832,CHAR(13)," "),CHAR(10)," "),CHAR(9)," "),CHAR(92),_xlfn.CONCAT(CHAR(92),CHAR(92))),"$",_xlfn.CONCAT(CHAR(92),"$")),CHAR(96),_xlfn.CONCAT(CHAR(92),CHAR(96))),CHAR(34),CHAR(39))))</f>
        <v/>
      </c>
      <c r="Q832" s="5" t="str">
        <f>IF(OR(TRIM($B832)="",$G832=""),"",IF(OR(ISNUMBER(SEARCH(_xlfn.CONCAT(CHAR(96),CHAR(34)),$G832)),ISNUMBER(SEARCH(_xlfn.CONCAT(CHAR(34),CHAR(39)),$G832))),_xlfn.CONCAT("* REVIEW REQUIRED: compound-quote delimiter in Universe on Sheet 1 row ",832,"; edit the input before running."),_xlfn.CONCAT("char ",TRIM($B832),"[doc_universe] ",CHAR(96),CHAR(34),SUBSTITUTE(SUBSTITUTE(SUBSTITUTE(SUBSTITUTE(SUBSTITUTE(SUBSTITUTE($G832,CHAR(13)," "),CHAR(10)," "),CHAR(9)," "),CHAR(92),_xlfn.CONCAT(CHAR(92),CHAR(92))),"$",_xlfn.CONCAT(CHAR(92),"$")),CHAR(96),_xlfn.CONCAT(CHAR(92),CHAR(96))),CHAR(34),CHAR(39))))</f>
        <v/>
      </c>
      <c r="R832" s="5" t="str">
        <f>IF(OR(TRIM($B832)="",$H832=""),"",IF(OR(ISNUMBER(SEARCH(_xlfn.CONCAT(CHAR(96),CHAR(34)),$H832)),ISNUMBER(SEARCH(_xlfn.CONCAT(CHAR(34),CHAR(39)),$H832))),_xlfn.CONCAT("* REVIEW REQUIRED: compound-quote delimiter in Source on Sheet 1 row ",832,"; edit the input before running."),_xlfn.CONCAT("char ",TRIM($B832),"[doc_source] ",CHAR(96),CHAR(34),SUBSTITUTE(SUBSTITUTE(SUBSTITUTE(SUBSTITUTE(SUBSTITUTE(SUBSTITUTE($H832,CHAR(13)," "),CHAR(10)," "),CHAR(9)," "),CHAR(92),_xlfn.CONCAT(CHAR(92),CHAR(92))),"$",_xlfn.CONCAT(CHAR(92),"$")),CHAR(96),_xlfn.CONCAT(CHAR(92),CHAR(96))),CHAR(34),CHAR(39))))</f>
        <v/>
      </c>
      <c r="S832" s="5" t="str">
        <f>IF(OR(TRIM($B832)="",$I832=""),"",IF(OR(ISNUMBER(SEARCH(_xlfn.CONCAT(CHAR(96),CHAR(34)),$I832)),ISNUMBER(SEARCH(_xlfn.CONCAT(CHAR(34),CHAR(39)),$I832))),_xlfn.CONCAT("* REVIEW REQUIRED: compound-quote delimiter in Derivation on Sheet 1 row ",832,"; edit the input before running."),_xlfn.CONCAT("char ",TRIM($B832),"[doc_derivation] ",CHAR(96),CHAR(34),SUBSTITUTE(SUBSTITUTE(SUBSTITUTE(SUBSTITUTE(SUBSTITUTE(SUBSTITUTE($I832,CHAR(13)," "),CHAR(10)," "),CHAR(9)," "),CHAR(92),_xlfn.CONCAT(CHAR(92),CHAR(92))),"$",_xlfn.CONCAT(CHAR(92),"$")),CHAR(96),_xlfn.CONCAT(CHAR(92),CHAR(96))),CHAR(34),CHAR(39))))</f>
        <v/>
      </c>
      <c r="T832" s="5" t="str">
        <f>IF(OR(TRIM($B832)="",$J832=""),"",IF(OR(ISNUMBER(SEARCH(_xlfn.CONCAT(CHAR(96),CHAR(34)),$J832)),ISNUMBER(SEARCH(_xlfn.CONCAT(CHAR(34),CHAR(39)),$J832))),_xlfn.CONCAT("* REVIEW REQUIRED: compound-quote delimiter in Notes on Sheet 1 row ",832,"; edit the input before running."),_xlfn.CONCAT("char ",TRIM($B832),"[doc_notes] ",CHAR(96),CHAR(34),SUBSTITUTE(SUBSTITUTE(SUBSTITUTE(SUBSTITUTE(SUBSTITUTE(SUBSTITUTE($J832,CHAR(13)," "),CHAR(10)," "),CHAR(9)," "),CHAR(92),_xlfn.CONCAT(CHAR(92),CHAR(92))),"$",_xlfn.CONCAT(CHAR(92),"$")),CHAR(96),_xlfn.CONCAT(CHAR(92),CHAR(96))),CHAR(34),CHAR(39))))</f>
        <v/>
      </c>
      <c r="U832" s="5">
        <f t="shared" si="25"/>
        <v>0</v>
      </c>
    </row>
    <row r="833" spans="3:21" ht="30" customHeight="1" x14ac:dyDescent="0.2">
      <c r="C833" s="4"/>
      <c r="K833" s="5">
        <f t="shared" si="24"/>
        <v>0</v>
      </c>
      <c r="L833" s="5" t="str">
        <f>IF(OR(TRIM($B833)="",$A833=""),"",IF(OR(ISNUMBER(SEARCH(_xlfn.CONCAT(CHAR(96),CHAR(34)),$A833)),ISNUMBER(SEARCH(_xlfn.CONCAT(CHAR(34),CHAR(39)),$A833))),_xlfn.CONCAT("* REVIEW REQUIRED: compound-quote delimiter in Codebook Section on Sheet 1 row ",833,"; edit the input before running."),_xlfn.CONCAT("char ",TRIM($B833),"[doc_section] ",CHAR(96),CHAR(34),SUBSTITUTE(SUBSTITUTE(SUBSTITUTE(SUBSTITUTE(SUBSTITUTE(SUBSTITUTE($A833,CHAR(13)," "),CHAR(10)," "),CHAR(9)," "),CHAR(92),_xlfn.CONCAT(CHAR(92),CHAR(92))),"$",_xlfn.CONCAT(CHAR(92),"$")),CHAR(96),_xlfn.CONCAT(CHAR(92),CHAR(96))),CHAR(34),CHAR(39))))</f>
        <v/>
      </c>
      <c r="M833" s="5" t="str">
        <f>IF(OR(TRIM($B833)="",$C833=""),"",IF(IFERROR(MATCH(TRIM($C833),{"Quantitative","Continuous","Discrete","Categorical","Nominal","Ordinal","Identifier"},0),0)=0,_xlfn.CONCAT("* REVIEW REQUIRED: invalid Variable Type on Sheet 1 row ",833,"."),_xlfn.CONCAT("char ",TRIM($B833),"[doc_vartype] ",CHAR(96),CHAR(34),SUBSTITUTE(SUBSTITUTE(SUBSTITUTE(SUBSTITUTE(SUBSTITUTE(SUBSTITUTE(LOWER(TRIM($C833)),CHAR(13)," "),CHAR(10)," "),CHAR(9)," "),CHAR(92),_xlfn.CONCAT(CHAR(92),CHAR(92))),"$",_xlfn.CONCAT(CHAR(92),"$")),CHAR(96),_xlfn.CONCAT(CHAR(92),CHAR(96))),CHAR(34),CHAR(39))))</f>
        <v/>
      </c>
      <c r="N833" s="5" t="str">
        <f>IF(OR(TRIM($B833)="",$D833=""),"",IF(OR(ISNUMBER(SEARCH(_xlfn.CONCAT(CHAR(96),CHAR(34)),$D833)),ISNUMBER(SEARCH(_xlfn.CONCAT(CHAR(34),CHAR(39)),$D833))),_xlfn.CONCAT("* REVIEW REQUIRED: compound-quote delimiter in Item Number on Sheet 1 row ",833,"; edit the input before running."),_xlfn.CONCAT("char ",TRIM($B833),"[doc_itemnum] ",CHAR(96),CHAR(34),SUBSTITUTE(SUBSTITUTE(SUBSTITUTE(SUBSTITUTE(SUBSTITUTE(SUBSTITUTE($D833,CHAR(13)," "),CHAR(10)," "),CHAR(9)," "),CHAR(92),_xlfn.CONCAT(CHAR(92),CHAR(92))),"$",_xlfn.CONCAT(CHAR(92),"$")),CHAR(96),_xlfn.CONCAT(CHAR(92),CHAR(96))),CHAR(34),CHAR(39))))</f>
        <v/>
      </c>
      <c r="O833" s="5" t="str">
        <f>IF(OR(TRIM($B833)="",$E833=""),"",IF(OR(ISNUMBER(SEARCH(_xlfn.CONCAT(CHAR(96),CHAR(34)),$E833)),ISNUMBER(SEARCH(_xlfn.CONCAT(CHAR(34),CHAR(39)),$E833))),_xlfn.CONCAT("* REVIEW REQUIRED: compound-quote delimiter in Question Wording on Sheet 1 row ",833,"; edit the input before running."),_xlfn.CONCAT("char ",TRIM($B833),"[doc_question] ",CHAR(96),CHAR(34),SUBSTITUTE(SUBSTITUTE(SUBSTITUTE(SUBSTITUTE(SUBSTITUTE(SUBSTITUTE($E833,CHAR(13)," "),CHAR(10)," "),CHAR(9)," "),CHAR(92),_xlfn.CONCAT(CHAR(92),CHAR(92))),"$",_xlfn.CONCAT(CHAR(92),"$")),CHAR(96),_xlfn.CONCAT(CHAR(92),CHAR(96))),CHAR(34),CHAR(39))))</f>
        <v/>
      </c>
      <c r="P833" s="5" t="str">
        <f>IF(OR(TRIM($B833)="",$F833=""),"",IF(OR(ISNUMBER(SEARCH(_xlfn.CONCAT(CHAR(96),CHAR(34)),$F833)),ISNUMBER(SEARCH(_xlfn.CONCAT(CHAR(34),CHAR(39)),$F833))),_xlfn.CONCAT("* REVIEW REQUIRED: compound-quote delimiter in Units on Sheet 1 row ",833,"; edit the input before running."),_xlfn.CONCAT("char ",TRIM($B833),"[doc_units] ",CHAR(96),CHAR(34),SUBSTITUTE(SUBSTITUTE(SUBSTITUTE(SUBSTITUTE(SUBSTITUTE(SUBSTITUTE($F833,CHAR(13)," "),CHAR(10)," "),CHAR(9)," "),CHAR(92),_xlfn.CONCAT(CHAR(92),CHAR(92))),"$",_xlfn.CONCAT(CHAR(92),"$")),CHAR(96),_xlfn.CONCAT(CHAR(92),CHAR(96))),CHAR(34),CHAR(39))))</f>
        <v/>
      </c>
      <c r="Q833" s="5" t="str">
        <f>IF(OR(TRIM($B833)="",$G833=""),"",IF(OR(ISNUMBER(SEARCH(_xlfn.CONCAT(CHAR(96),CHAR(34)),$G833)),ISNUMBER(SEARCH(_xlfn.CONCAT(CHAR(34),CHAR(39)),$G833))),_xlfn.CONCAT("* REVIEW REQUIRED: compound-quote delimiter in Universe on Sheet 1 row ",833,"; edit the input before running."),_xlfn.CONCAT("char ",TRIM($B833),"[doc_universe] ",CHAR(96),CHAR(34),SUBSTITUTE(SUBSTITUTE(SUBSTITUTE(SUBSTITUTE(SUBSTITUTE(SUBSTITUTE($G833,CHAR(13)," "),CHAR(10)," "),CHAR(9)," "),CHAR(92),_xlfn.CONCAT(CHAR(92),CHAR(92))),"$",_xlfn.CONCAT(CHAR(92),"$")),CHAR(96),_xlfn.CONCAT(CHAR(92),CHAR(96))),CHAR(34),CHAR(39))))</f>
        <v/>
      </c>
      <c r="R833" s="5" t="str">
        <f>IF(OR(TRIM($B833)="",$H833=""),"",IF(OR(ISNUMBER(SEARCH(_xlfn.CONCAT(CHAR(96),CHAR(34)),$H833)),ISNUMBER(SEARCH(_xlfn.CONCAT(CHAR(34),CHAR(39)),$H833))),_xlfn.CONCAT("* REVIEW REQUIRED: compound-quote delimiter in Source on Sheet 1 row ",833,"; edit the input before running."),_xlfn.CONCAT("char ",TRIM($B833),"[doc_source] ",CHAR(96),CHAR(34),SUBSTITUTE(SUBSTITUTE(SUBSTITUTE(SUBSTITUTE(SUBSTITUTE(SUBSTITUTE($H833,CHAR(13)," "),CHAR(10)," "),CHAR(9)," "),CHAR(92),_xlfn.CONCAT(CHAR(92),CHAR(92))),"$",_xlfn.CONCAT(CHAR(92),"$")),CHAR(96),_xlfn.CONCAT(CHAR(92),CHAR(96))),CHAR(34),CHAR(39))))</f>
        <v/>
      </c>
      <c r="S833" s="5" t="str">
        <f>IF(OR(TRIM($B833)="",$I833=""),"",IF(OR(ISNUMBER(SEARCH(_xlfn.CONCAT(CHAR(96),CHAR(34)),$I833)),ISNUMBER(SEARCH(_xlfn.CONCAT(CHAR(34),CHAR(39)),$I833))),_xlfn.CONCAT("* REVIEW REQUIRED: compound-quote delimiter in Derivation on Sheet 1 row ",833,"; edit the input before running."),_xlfn.CONCAT("char ",TRIM($B833),"[doc_derivation] ",CHAR(96),CHAR(34),SUBSTITUTE(SUBSTITUTE(SUBSTITUTE(SUBSTITUTE(SUBSTITUTE(SUBSTITUTE($I833,CHAR(13)," "),CHAR(10)," "),CHAR(9)," "),CHAR(92),_xlfn.CONCAT(CHAR(92),CHAR(92))),"$",_xlfn.CONCAT(CHAR(92),"$")),CHAR(96),_xlfn.CONCAT(CHAR(92),CHAR(96))),CHAR(34),CHAR(39))))</f>
        <v/>
      </c>
      <c r="T833" s="5" t="str">
        <f>IF(OR(TRIM($B833)="",$J833=""),"",IF(OR(ISNUMBER(SEARCH(_xlfn.CONCAT(CHAR(96),CHAR(34)),$J833)),ISNUMBER(SEARCH(_xlfn.CONCAT(CHAR(34),CHAR(39)),$J833))),_xlfn.CONCAT("* REVIEW REQUIRED: compound-quote delimiter in Notes on Sheet 1 row ",833,"; edit the input before running."),_xlfn.CONCAT("char ",TRIM($B833),"[doc_notes] ",CHAR(96),CHAR(34),SUBSTITUTE(SUBSTITUTE(SUBSTITUTE(SUBSTITUTE(SUBSTITUTE(SUBSTITUTE($J833,CHAR(13)," "),CHAR(10)," "),CHAR(9)," "),CHAR(92),_xlfn.CONCAT(CHAR(92),CHAR(92))),"$",_xlfn.CONCAT(CHAR(92),"$")),CHAR(96),_xlfn.CONCAT(CHAR(92),CHAR(96))),CHAR(34),CHAR(39))))</f>
        <v/>
      </c>
      <c r="U833" s="5">
        <f t="shared" si="25"/>
        <v>0</v>
      </c>
    </row>
    <row r="834" spans="3:21" ht="30" customHeight="1" x14ac:dyDescent="0.2">
      <c r="C834" s="4"/>
      <c r="K834" s="5">
        <f t="shared" si="24"/>
        <v>0</v>
      </c>
      <c r="L834" s="5" t="str">
        <f>IF(OR(TRIM($B834)="",$A834=""),"",IF(OR(ISNUMBER(SEARCH(_xlfn.CONCAT(CHAR(96),CHAR(34)),$A834)),ISNUMBER(SEARCH(_xlfn.CONCAT(CHAR(34),CHAR(39)),$A834))),_xlfn.CONCAT("* REVIEW REQUIRED: compound-quote delimiter in Codebook Section on Sheet 1 row ",834,"; edit the input before running."),_xlfn.CONCAT("char ",TRIM($B834),"[doc_section] ",CHAR(96),CHAR(34),SUBSTITUTE(SUBSTITUTE(SUBSTITUTE(SUBSTITUTE(SUBSTITUTE(SUBSTITUTE($A834,CHAR(13)," "),CHAR(10)," "),CHAR(9)," "),CHAR(92),_xlfn.CONCAT(CHAR(92),CHAR(92))),"$",_xlfn.CONCAT(CHAR(92),"$")),CHAR(96),_xlfn.CONCAT(CHAR(92),CHAR(96))),CHAR(34),CHAR(39))))</f>
        <v/>
      </c>
      <c r="M834" s="5" t="str">
        <f>IF(OR(TRIM($B834)="",$C834=""),"",IF(IFERROR(MATCH(TRIM($C834),{"Quantitative","Continuous","Discrete","Categorical","Nominal","Ordinal","Identifier"},0),0)=0,_xlfn.CONCAT("* REVIEW REQUIRED: invalid Variable Type on Sheet 1 row ",834,"."),_xlfn.CONCAT("char ",TRIM($B834),"[doc_vartype] ",CHAR(96),CHAR(34),SUBSTITUTE(SUBSTITUTE(SUBSTITUTE(SUBSTITUTE(SUBSTITUTE(SUBSTITUTE(LOWER(TRIM($C834)),CHAR(13)," "),CHAR(10)," "),CHAR(9)," "),CHAR(92),_xlfn.CONCAT(CHAR(92),CHAR(92))),"$",_xlfn.CONCAT(CHAR(92),"$")),CHAR(96),_xlfn.CONCAT(CHAR(92),CHAR(96))),CHAR(34),CHAR(39))))</f>
        <v/>
      </c>
      <c r="N834" s="5" t="str">
        <f>IF(OR(TRIM($B834)="",$D834=""),"",IF(OR(ISNUMBER(SEARCH(_xlfn.CONCAT(CHAR(96),CHAR(34)),$D834)),ISNUMBER(SEARCH(_xlfn.CONCAT(CHAR(34),CHAR(39)),$D834))),_xlfn.CONCAT("* REVIEW REQUIRED: compound-quote delimiter in Item Number on Sheet 1 row ",834,"; edit the input before running."),_xlfn.CONCAT("char ",TRIM($B834),"[doc_itemnum] ",CHAR(96),CHAR(34),SUBSTITUTE(SUBSTITUTE(SUBSTITUTE(SUBSTITUTE(SUBSTITUTE(SUBSTITUTE($D834,CHAR(13)," "),CHAR(10)," "),CHAR(9)," "),CHAR(92),_xlfn.CONCAT(CHAR(92),CHAR(92))),"$",_xlfn.CONCAT(CHAR(92),"$")),CHAR(96),_xlfn.CONCAT(CHAR(92),CHAR(96))),CHAR(34),CHAR(39))))</f>
        <v/>
      </c>
      <c r="O834" s="5" t="str">
        <f>IF(OR(TRIM($B834)="",$E834=""),"",IF(OR(ISNUMBER(SEARCH(_xlfn.CONCAT(CHAR(96),CHAR(34)),$E834)),ISNUMBER(SEARCH(_xlfn.CONCAT(CHAR(34),CHAR(39)),$E834))),_xlfn.CONCAT("* REVIEW REQUIRED: compound-quote delimiter in Question Wording on Sheet 1 row ",834,"; edit the input before running."),_xlfn.CONCAT("char ",TRIM($B834),"[doc_question] ",CHAR(96),CHAR(34),SUBSTITUTE(SUBSTITUTE(SUBSTITUTE(SUBSTITUTE(SUBSTITUTE(SUBSTITUTE($E834,CHAR(13)," "),CHAR(10)," "),CHAR(9)," "),CHAR(92),_xlfn.CONCAT(CHAR(92),CHAR(92))),"$",_xlfn.CONCAT(CHAR(92),"$")),CHAR(96),_xlfn.CONCAT(CHAR(92),CHAR(96))),CHAR(34),CHAR(39))))</f>
        <v/>
      </c>
      <c r="P834" s="5" t="str">
        <f>IF(OR(TRIM($B834)="",$F834=""),"",IF(OR(ISNUMBER(SEARCH(_xlfn.CONCAT(CHAR(96),CHAR(34)),$F834)),ISNUMBER(SEARCH(_xlfn.CONCAT(CHAR(34),CHAR(39)),$F834))),_xlfn.CONCAT("* REVIEW REQUIRED: compound-quote delimiter in Units on Sheet 1 row ",834,"; edit the input before running."),_xlfn.CONCAT("char ",TRIM($B834),"[doc_units] ",CHAR(96),CHAR(34),SUBSTITUTE(SUBSTITUTE(SUBSTITUTE(SUBSTITUTE(SUBSTITUTE(SUBSTITUTE($F834,CHAR(13)," "),CHAR(10)," "),CHAR(9)," "),CHAR(92),_xlfn.CONCAT(CHAR(92),CHAR(92))),"$",_xlfn.CONCAT(CHAR(92),"$")),CHAR(96),_xlfn.CONCAT(CHAR(92),CHAR(96))),CHAR(34),CHAR(39))))</f>
        <v/>
      </c>
      <c r="Q834" s="5" t="str">
        <f>IF(OR(TRIM($B834)="",$G834=""),"",IF(OR(ISNUMBER(SEARCH(_xlfn.CONCAT(CHAR(96),CHAR(34)),$G834)),ISNUMBER(SEARCH(_xlfn.CONCAT(CHAR(34),CHAR(39)),$G834))),_xlfn.CONCAT("* REVIEW REQUIRED: compound-quote delimiter in Universe on Sheet 1 row ",834,"; edit the input before running."),_xlfn.CONCAT("char ",TRIM($B834),"[doc_universe] ",CHAR(96),CHAR(34),SUBSTITUTE(SUBSTITUTE(SUBSTITUTE(SUBSTITUTE(SUBSTITUTE(SUBSTITUTE($G834,CHAR(13)," "),CHAR(10)," "),CHAR(9)," "),CHAR(92),_xlfn.CONCAT(CHAR(92),CHAR(92))),"$",_xlfn.CONCAT(CHAR(92),"$")),CHAR(96),_xlfn.CONCAT(CHAR(92),CHAR(96))),CHAR(34),CHAR(39))))</f>
        <v/>
      </c>
      <c r="R834" s="5" t="str">
        <f>IF(OR(TRIM($B834)="",$H834=""),"",IF(OR(ISNUMBER(SEARCH(_xlfn.CONCAT(CHAR(96),CHAR(34)),$H834)),ISNUMBER(SEARCH(_xlfn.CONCAT(CHAR(34),CHAR(39)),$H834))),_xlfn.CONCAT("* REVIEW REQUIRED: compound-quote delimiter in Source on Sheet 1 row ",834,"; edit the input before running."),_xlfn.CONCAT("char ",TRIM($B834),"[doc_source] ",CHAR(96),CHAR(34),SUBSTITUTE(SUBSTITUTE(SUBSTITUTE(SUBSTITUTE(SUBSTITUTE(SUBSTITUTE($H834,CHAR(13)," "),CHAR(10)," "),CHAR(9)," "),CHAR(92),_xlfn.CONCAT(CHAR(92),CHAR(92))),"$",_xlfn.CONCAT(CHAR(92),"$")),CHAR(96),_xlfn.CONCAT(CHAR(92),CHAR(96))),CHAR(34),CHAR(39))))</f>
        <v/>
      </c>
      <c r="S834" s="5" t="str">
        <f>IF(OR(TRIM($B834)="",$I834=""),"",IF(OR(ISNUMBER(SEARCH(_xlfn.CONCAT(CHAR(96),CHAR(34)),$I834)),ISNUMBER(SEARCH(_xlfn.CONCAT(CHAR(34),CHAR(39)),$I834))),_xlfn.CONCAT("* REVIEW REQUIRED: compound-quote delimiter in Derivation on Sheet 1 row ",834,"; edit the input before running."),_xlfn.CONCAT("char ",TRIM($B834),"[doc_derivation] ",CHAR(96),CHAR(34),SUBSTITUTE(SUBSTITUTE(SUBSTITUTE(SUBSTITUTE(SUBSTITUTE(SUBSTITUTE($I834,CHAR(13)," "),CHAR(10)," "),CHAR(9)," "),CHAR(92),_xlfn.CONCAT(CHAR(92),CHAR(92))),"$",_xlfn.CONCAT(CHAR(92),"$")),CHAR(96),_xlfn.CONCAT(CHAR(92),CHAR(96))),CHAR(34),CHAR(39))))</f>
        <v/>
      </c>
      <c r="T834" s="5" t="str">
        <f>IF(OR(TRIM($B834)="",$J834=""),"",IF(OR(ISNUMBER(SEARCH(_xlfn.CONCAT(CHAR(96),CHAR(34)),$J834)),ISNUMBER(SEARCH(_xlfn.CONCAT(CHAR(34),CHAR(39)),$J834))),_xlfn.CONCAT("* REVIEW REQUIRED: compound-quote delimiter in Notes on Sheet 1 row ",834,"; edit the input before running."),_xlfn.CONCAT("char ",TRIM($B834),"[doc_notes] ",CHAR(96),CHAR(34),SUBSTITUTE(SUBSTITUTE(SUBSTITUTE(SUBSTITUTE(SUBSTITUTE(SUBSTITUTE($J834,CHAR(13)," "),CHAR(10)," "),CHAR(9)," "),CHAR(92),_xlfn.CONCAT(CHAR(92),CHAR(92))),"$",_xlfn.CONCAT(CHAR(92),"$")),CHAR(96),_xlfn.CONCAT(CHAR(92),CHAR(96))),CHAR(34),CHAR(39))))</f>
        <v/>
      </c>
      <c r="U834" s="5">
        <f t="shared" si="25"/>
        <v>0</v>
      </c>
    </row>
    <row r="835" spans="3:21" ht="30" customHeight="1" x14ac:dyDescent="0.2">
      <c r="C835" s="4"/>
      <c r="K835" s="5">
        <f t="shared" si="24"/>
        <v>0</v>
      </c>
      <c r="L835" s="5" t="str">
        <f>IF(OR(TRIM($B835)="",$A835=""),"",IF(OR(ISNUMBER(SEARCH(_xlfn.CONCAT(CHAR(96),CHAR(34)),$A835)),ISNUMBER(SEARCH(_xlfn.CONCAT(CHAR(34),CHAR(39)),$A835))),_xlfn.CONCAT("* REVIEW REQUIRED: compound-quote delimiter in Codebook Section on Sheet 1 row ",835,"; edit the input before running."),_xlfn.CONCAT("char ",TRIM($B835),"[doc_section] ",CHAR(96),CHAR(34),SUBSTITUTE(SUBSTITUTE(SUBSTITUTE(SUBSTITUTE(SUBSTITUTE(SUBSTITUTE($A835,CHAR(13)," "),CHAR(10)," "),CHAR(9)," "),CHAR(92),_xlfn.CONCAT(CHAR(92),CHAR(92))),"$",_xlfn.CONCAT(CHAR(92),"$")),CHAR(96),_xlfn.CONCAT(CHAR(92),CHAR(96))),CHAR(34),CHAR(39))))</f>
        <v/>
      </c>
      <c r="M835" s="5" t="str">
        <f>IF(OR(TRIM($B835)="",$C835=""),"",IF(IFERROR(MATCH(TRIM($C835),{"Quantitative","Continuous","Discrete","Categorical","Nominal","Ordinal","Identifier"},0),0)=0,_xlfn.CONCAT("* REVIEW REQUIRED: invalid Variable Type on Sheet 1 row ",835,"."),_xlfn.CONCAT("char ",TRIM($B835),"[doc_vartype] ",CHAR(96),CHAR(34),SUBSTITUTE(SUBSTITUTE(SUBSTITUTE(SUBSTITUTE(SUBSTITUTE(SUBSTITUTE(LOWER(TRIM($C835)),CHAR(13)," "),CHAR(10)," "),CHAR(9)," "),CHAR(92),_xlfn.CONCAT(CHAR(92),CHAR(92))),"$",_xlfn.CONCAT(CHAR(92),"$")),CHAR(96),_xlfn.CONCAT(CHAR(92),CHAR(96))),CHAR(34),CHAR(39))))</f>
        <v/>
      </c>
      <c r="N835" s="5" t="str">
        <f>IF(OR(TRIM($B835)="",$D835=""),"",IF(OR(ISNUMBER(SEARCH(_xlfn.CONCAT(CHAR(96),CHAR(34)),$D835)),ISNUMBER(SEARCH(_xlfn.CONCAT(CHAR(34),CHAR(39)),$D835))),_xlfn.CONCAT("* REVIEW REQUIRED: compound-quote delimiter in Item Number on Sheet 1 row ",835,"; edit the input before running."),_xlfn.CONCAT("char ",TRIM($B835),"[doc_itemnum] ",CHAR(96),CHAR(34),SUBSTITUTE(SUBSTITUTE(SUBSTITUTE(SUBSTITUTE(SUBSTITUTE(SUBSTITUTE($D835,CHAR(13)," "),CHAR(10)," "),CHAR(9)," "),CHAR(92),_xlfn.CONCAT(CHAR(92),CHAR(92))),"$",_xlfn.CONCAT(CHAR(92),"$")),CHAR(96),_xlfn.CONCAT(CHAR(92),CHAR(96))),CHAR(34),CHAR(39))))</f>
        <v/>
      </c>
      <c r="O835" s="5" t="str">
        <f>IF(OR(TRIM($B835)="",$E835=""),"",IF(OR(ISNUMBER(SEARCH(_xlfn.CONCAT(CHAR(96),CHAR(34)),$E835)),ISNUMBER(SEARCH(_xlfn.CONCAT(CHAR(34),CHAR(39)),$E835))),_xlfn.CONCAT("* REVIEW REQUIRED: compound-quote delimiter in Question Wording on Sheet 1 row ",835,"; edit the input before running."),_xlfn.CONCAT("char ",TRIM($B835),"[doc_question] ",CHAR(96),CHAR(34),SUBSTITUTE(SUBSTITUTE(SUBSTITUTE(SUBSTITUTE(SUBSTITUTE(SUBSTITUTE($E835,CHAR(13)," "),CHAR(10)," "),CHAR(9)," "),CHAR(92),_xlfn.CONCAT(CHAR(92),CHAR(92))),"$",_xlfn.CONCAT(CHAR(92),"$")),CHAR(96),_xlfn.CONCAT(CHAR(92),CHAR(96))),CHAR(34),CHAR(39))))</f>
        <v/>
      </c>
      <c r="P835" s="5" t="str">
        <f>IF(OR(TRIM($B835)="",$F835=""),"",IF(OR(ISNUMBER(SEARCH(_xlfn.CONCAT(CHAR(96),CHAR(34)),$F835)),ISNUMBER(SEARCH(_xlfn.CONCAT(CHAR(34),CHAR(39)),$F835))),_xlfn.CONCAT("* REVIEW REQUIRED: compound-quote delimiter in Units on Sheet 1 row ",835,"; edit the input before running."),_xlfn.CONCAT("char ",TRIM($B835),"[doc_units] ",CHAR(96),CHAR(34),SUBSTITUTE(SUBSTITUTE(SUBSTITUTE(SUBSTITUTE(SUBSTITUTE(SUBSTITUTE($F835,CHAR(13)," "),CHAR(10)," "),CHAR(9)," "),CHAR(92),_xlfn.CONCAT(CHAR(92),CHAR(92))),"$",_xlfn.CONCAT(CHAR(92),"$")),CHAR(96),_xlfn.CONCAT(CHAR(92),CHAR(96))),CHAR(34),CHAR(39))))</f>
        <v/>
      </c>
      <c r="Q835" s="5" t="str">
        <f>IF(OR(TRIM($B835)="",$G835=""),"",IF(OR(ISNUMBER(SEARCH(_xlfn.CONCAT(CHAR(96),CHAR(34)),$G835)),ISNUMBER(SEARCH(_xlfn.CONCAT(CHAR(34),CHAR(39)),$G835))),_xlfn.CONCAT("* REVIEW REQUIRED: compound-quote delimiter in Universe on Sheet 1 row ",835,"; edit the input before running."),_xlfn.CONCAT("char ",TRIM($B835),"[doc_universe] ",CHAR(96),CHAR(34),SUBSTITUTE(SUBSTITUTE(SUBSTITUTE(SUBSTITUTE(SUBSTITUTE(SUBSTITUTE($G835,CHAR(13)," "),CHAR(10)," "),CHAR(9)," "),CHAR(92),_xlfn.CONCAT(CHAR(92),CHAR(92))),"$",_xlfn.CONCAT(CHAR(92),"$")),CHAR(96),_xlfn.CONCAT(CHAR(92),CHAR(96))),CHAR(34),CHAR(39))))</f>
        <v/>
      </c>
      <c r="R835" s="5" t="str">
        <f>IF(OR(TRIM($B835)="",$H835=""),"",IF(OR(ISNUMBER(SEARCH(_xlfn.CONCAT(CHAR(96),CHAR(34)),$H835)),ISNUMBER(SEARCH(_xlfn.CONCAT(CHAR(34),CHAR(39)),$H835))),_xlfn.CONCAT("* REVIEW REQUIRED: compound-quote delimiter in Source on Sheet 1 row ",835,"; edit the input before running."),_xlfn.CONCAT("char ",TRIM($B835),"[doc_source] ",CHAR(96),CHAR(34),SUBSTITUTE(SUBSTITUTE(SUBSTITUTE(SUBSTITUTE(SUBSTITUTE(SUBSTITUTE($H835,CHAR(13)," "),CHAR(10)," "),CHAR(9)," "),CHAR(92),_xlfn.CONCAT(CHAR(92),CHAR(92))),"$",_xlfn.CONCAT(CHAR(92),"$")),CHAR(96),_xlfn.CONCAT(CHAR(92),CHAR(96))),CHAR(34),CHAR(39))))</f>
        <v/>
      </c>
      <c r="S835" s="5" t="str">
        <f>IF(OR(TRIM($B835)="",$I835=""),"",IF(OR(ISNUMBER(SEARCH(_xlfn.CONCAT(CHAR(96),CHAR(34)),$I835)),ISNUMBER(SEARCH(_xlfn.CONCAT(CHAR(34),CHAR(39)),$I835))),_xlfn.CONCAT("* REVIEW REQUIRED: compound-quote delimiter in Derivation on Sheet 1 row ",835,"; edit the input before running."),_xlfn.CONCAT("char ",TRIM($B835),"[doc_derivation] ",CHAR(96),CHAR(34),SUBSTITUTE(SUBSTITUTE(SUBSTITUTE(SUBSTITUTE(SUBSTITUTE(SUBSTITUTE($I835,CHAR(13)," "),CHAR(10)," "),CHAR(9)," "),CHAR(92),_xlfn.CONCAT(CHAR(92),CHAR(92))),"$",_xlfn.CONCAT(CHAR(92),"$")),CHAR(96),_xlfn.CONCAT(CHAR(92),CHAR(96))),CHAR(34),CHAR(39))))</f>
        <v/>
      </c>
      <c r="T835" s="5" t="str">
        <f>IF(OR(TRIM($B835)="",$J835=""),"",IF(OR(ISNUMBER(SEARCH(_xlfn.CONCAT(CHAR(96),CHAR(34)),$J835)),ISNUMBER(SEARCH(_xlfn.CONCAT(CHAR(34),CHAR(39)),$J835))),_xlfn.CONCAT("* REVIEW REQUIRED: compound-quote delimiter in Notes on Sheet 1 row ",835,"; edit the input before running."),_xlfn.CONCAT("char ",TRIM($B835),"[doc_notes] ",CHAR(96),CHAR(34),SUBSTITUTE(SUBSTITUTE(SUBSTITUTE(SUBSTITUTE(SUBSTITUTE(SUBSTITUTE($J835,CHAR(13)," "),CHAR(10)," "),CHAR(9)," "),CHAR(92),_xlfn.CONCAT(CHAR(92),CHAR(92))),"$",_xlfn.CONCAT(CHAR(92),"$")),CHAR(96),_xlfn.CONCAT(CHAR(92),CHAR(96))),CHAR(34),CHAR(39))))</f>
        <v/>
      </c>
      <c r="U835" s="5">
        <f t="shared" si="25"/>
        <v>0</v>
      </c>
    </row>
    <row r="836" spans="3:21" ht="30" customHeight="1" x14ac:dyDescent="0.2">
      <c r="C836" s="4"/>
      <c r="K836" s="5">
        <f t="shared" si="24"/>
        <v>0</v>
      </c>
      <c r="L836" s="5" t="str">
        <f>IF(OR(TRIM($B836)="",$A836=""),"",IF(OR(ISNUMBER(SEARCH(_xlfn.CONCAT(CHAR(96),CHAR(34)),$A836)),ISNUMBER(SEARCH(_xlfn.CONCAT(CHAR(34),CHAR(39)),$A836))),_xlfn.CONCAT("* REVIEW REQUIRED: compound-quote delimiter in Codebook Section on Sheet 1 row ",836,"; edit the input before running."),_xlfn.CONCAT("char ",TRIM($B836),"[doc_section] ",CHAR(96),CHAR(34),SUBSTITUTE(SUBSTITUTE(SUBSTITUTE(SUBSTITUTE(SUBSTITUTE(SUBSTITUTE($A836,CHAR(13)," "),CHAR(10)," "),CHAR(9)," "),CHAR(92),_xlfn.CONCAT(CHAR(92),CHAR(92))),"$",_xlfn.CONCAT(CHAR(92),"$")),CHAR(96),_xlfn.CONCAT(CHAR(92),CHAR(96))),CHAR(34),CHAR(39))))</f>
        <v/>
      </c>
      <c r="M836" s="5" t="str">
        <f>IF(OR(TRIM($B836)="",$C836=""),"",IF(IFERROR(MATCH(TRIM($C836),{"Quantitative","Continuous","Discrete","Categorical","Nominal","Ordinal","Identifier"},0),0)=0,_xlfn.CONCAT("* REVIEW REQUIRED: invalid Variable Type on Sheet 1 row ",836,"."),_xlfn.CONCAT("char ",TRIM($B836),"[doc_vartype] ",CHAR(96),CHAR(34),SUBSTITUTE(SUBSTITUTE(SUBSTITUTE(SUBSTITUTE(SUBSTITUTE(SUBSTITUTE(LOWER(TRIM($C836)),CHAR(13)," "),CHAR(10)," "),CHAR(9)," "),CHAR(92),_xlfn.CONCAT(CHAR(92),CHAR(92))),"$",_xlfn.CONCAT(CHAR(92),"$")),CHAR(96),_xlfn.CONCAT(CHAR(92),CHAR(96))),CHAR(34),CHAR(39))))</f>
        <v/>
      </c>
      <c r="N836" s="5" t="str">
        <f>IF(OR(TRIM($B836)="",$D836=""),"",IF(OR(ISNUMBER(SEARCH(_xlfn.CONCAT(CHAR(96),CHAR(34)),$D836)),ISNUMBER(SEARCH(_xlfn.CONCAT(CHAR(34),CHAR(39)),$D836))),_xlfn.CONCAT("* REVIEW REQUIRED: compound-quote delimiter in Item Number on Sheet 1 row ",836,"; edit the input before running."),_xlfn.CONCAT("char ",TRIM($B836),"[doc_itemnum] ",CHAR(96),CHAR(34),SUBSTITUTE(SUBSTITUTE(SUBSTITUTE(SUBSTITUTE(SUBSTITUTE(SUBSTITUTE($D836,CHAR(13)," "),CHAR(10)," "),CHAR(9)," "),CHAR(92),_xlfn.CONCAT(CHAR(92),CHAR(92))),"$",_xlfn.CONCAT(CHAR(92),"$")),CHAR(96),_xlfn.CONCAT(CHAR(92),CHAR(96))),CHAR(34),CHAR(39))))</f>
        <v/>
      </c>
      <c r="O836" s="5" t="str">
        <f>IF(OR(TRIM($B836)="",$E836=""),"",IF(OR(ISNUMBER(SEARCH(_xlfn.CONCAT(CHAR(96),CHAR(34)),$E836)),ISNUMBER(SEARCH(_xlfn.CONCAT(CHAR(34),CHAR(39)),$E836))),_xlfn.CONCAT("* REVIEW REQUIRED: compound-quote delimiter in Question Wording on Sheet 1 row ",836,"; edit the input before running."),_xlfn.CONCAT("char ",TRIM($B836),"[doc_question] ",CHAR(96),CHAR(34),SUBSTITUTE(SUBSTITUTE(SUBSTITUTE(SUBSTITUTE(SUBSTITUTE(SUBSTITUTE($E836,CHAR(13)," "),CHAR(10)," "),CHAR(9)," "),CHAR(92),_xlfn.CONCAT(CHAR(92),CHAR(92))),"$",_xlfn.CONCAT(CHAR(92),"$")),CHAR(96),_xlfn.CONCAT(CHAR(92),CHAR(96))),CHAR(34),CHAR(39))))</f>
        <v/>
      </c>
      <c r="P836" s="5" t="str">
        <f>IF(OR(TRIM($B836)="",$F836=""),"",IF(OR(ISNUMBER(SEARCH(_xlfn.CONCAT(CHAR(96),CHAR(34)),$F836)),ISNUMBER(SEARCH(_xlfn.CONCAT(CHAR(34),CHAR(39)),$F836))),_xlfn.CONCAT("* REVIEW REQUIRED: compound-quote delimiter in Units on Sheet 1 row ",836,"; edit the input before running."),_xlfn.CONCAT("char ",TRIM($B836),"[doc_units] ",CHAR(96),CHAR(34),SUBSTITUTE(SUBSTITUTE(SUBSTITUTE(SUBSTITUTE(SUBSTITUTE(SUBSTITUTE($F836,CHAR(13)," "),CHAR(10)," "),CHAR(9)," "),CHAR(92),_xlfn.CONCAT(CHAR(92),CHAR(92))),"$",_xlfn.CONCAT(CHAR(92),"$")),CHAR(96),_xlfn.CONCAT(CHAR(92),CHAR(96))),CHAR(34),CHAR(39))))</f>
        <v/>
      </c>
      <c r="Q836" s="5" t="str">
        <f>IF(OR(TRIM($B836)="",$G836=""),"",IF(OR(ISNUMBER(SEARCH(_xlfn.CONCAT(CHAR(96),CHAR(34)),$G836)),ISNUMBER(SEARCH(_xlfn.CONCAT(CHAR(34),CHAR(39)),$G836))),_xlfn.CONCAT("* REVIEW REQUIRED: compound-quote delimiter in Universe on Sheet 1 row ",836,"; edit the input before running."),_xlfn.CONCAT("char ",TRIM($B836),"[doc_universe] ",CHAR(96),CHAR(34),SUBSTITUTE(SUBSTITUTE(SUBSTITUTE(SUBSTITUTE(SUBSTITUTE(SUBSTITUTE($G836,CHAR(13)," "),CHAR(10)," "),CHAR(9)," "),CHAR(92),_xlfn.CONCAT(CHAR(92),CHAR(92))),"$",_xlfn.CONCAT(CHAR(92),"$")),CHAR(96),_xlfn.CONCAT(CHAR(92),CHAR(96))),CHAR(34),CHAR(39))))</f>
        <v/>
      </c>
      <c r="R836" s="5" t="str">
        <f>IF(OR(TRIM($B836)="",$H836=""),"",IF(OR(ISNUMBER(SEARCH(_xlfn.CONCAT(CHAR(96),CHAR(34)),$H836)),ISNUMBER(SEARCH(_xlfn.CONCAT(CHAR(34),CHAR(39)),$H836))),_xlfn.CONCAT("* REVIEW REQUIRED: compound-quote delimiter in Source on Sheet 1 row ",836,"; edit the input before running."),_xlfn.CONCAT("char ",TRIM($B836),"[doc_source] ",CHAR(96),CHAR(34),SUBSTITUTE(SUBSTITUTE(SUBSTITUTE(SUBSTITUTE(SUBSTITUTE(SUBSTITUTE($H836,CHAR(13)," "),CHAR(10)," "),CHAR(9)," "),CHAR(92),_xlfn.CONCAT(CHAR(92),CHAR(92))),"$",_xlfn.CONCAT(CHAR(92),"$")),CHAR(96),_xlfn.CONCAT(CHAR(92),CHAR(96))),CHAR(34),CHAR(39))))</f>
        <v/>
      </c>
      <c r="S836" s="5" t="str">
        <f>IF(OR(TRIM($B836)="",$I836=""),"",IF(OR(ISNUMBER(SEARCH(_xlfn.CONCAT(CHAR(96),CHAR(34)),$I836)),ISNUMBER(SEARCH(_xlfn.CONCAT(CHAR(34),CHAR(39)),$I836))),_xlfn.CONCAT("* REVIEW REQUIRED: compound-quote delimiter in Derivation on Sheet 1 row ",836,"; edit the input before running."),_xlfn.CONCAT("char ",TRIM($B836),"[doc_derivation] ",CHAR(96),CHAR(34),SUBSTITUTE(SUBSTITUTE(SUBSTITUTE(SUBSTITUTE(SUBSTITUTE(SUBSTITUTE($I836,CHAR(13)," "),CHAR(10)," "),CHAR(9)," "),CHAR(92),_xlfn.CONCAT(CHAR(92),CHAR(92))),"$",_xlfn.CONCAT(CHAR(92),"$")),CHAR(96),_xlfn.CONCAT(CHAR(92),CHAR(96))),CHAR(34),CHAR(39))))</f>
        <v/>
      </c>
      <c r="T836" s="5" t="str">
        <f>IF(OR(TRIM($B836)="",$J836=""),"",IF(OR(ISNUMBER(SEARCH(_xlfn.CONCAT(CHAR(96),CHAR(34)),$J836)),ISNUMBER(SEARCH(_xlfn.CONCAT(CHAR(34),CHAR(39)),$J836))),_xlfn.CONCAT("* REVIEW REQUIRED: compound-quote delimiter in Notes on Sheet 1 row ",836,"; edit the input before running."),_xlfn.CONCAT("char ",TRIM($B836),"[doc_notes] ",CHAR(96),CHAR(34),SUBSTITUTE(SUBSTITUTE(SUBSTITUTE(SUBSTITUTE(SUBSTITUTE(SUBSTITUTE($J836,CHAR(13)," "),CHAR(10)," "),CHAR(9)," "),CHAR(92),_xlfn.CONCAT(CHAR(92),CHAR(92))),"$",_xlfn.CONCAT(CHAR(92),"$")),CHAR(96),_xlfn.CONCAT(CHAR(92),CHAR(96))),CHAR(34),CHAR(39))))</f>
        <v/>
      </c>
      <c r="U836" s="5">
        <f t="shared" si="25"/>
        <v>0</v>
      </c>
    </row>
    <row r="837" spans="3:21" ht="30" customHeight="1" x14ac:dyDescent="0.2">
      <c r="C837" s="4"/>
      <c r="K837" s="5">
        <f t="shared" si="24"/>
        <v>0</v>
      </c>
      <c r="L837" s="5" t="str">
        <f>IF(OR(TRIM($B837)="",$A837=""),"",IF(OR(ISNUMBER(SEARCH(_xlfn.CONCAT(CHAR(96),CHAR(34)),$A837)),ISNUMBER(SEARCH(_xlfn.CONCAT(CHAR(34),CHAR(39)),$A837))),_xlfn.CONCAT("* REVIEW REQUIRED: compound-quote delimiter in Codebook Section on Sheet 1 row ",837,"; edit the input before running."),_xlfn.CONCAT("char ",TRIM($B837),"[doc_section] ",CHAR(96),CHAR(34),SUBSTITUTE(SUBSTITUTE(SUBSTITUTE(SUBSTITUTE(SUBSTITUTE(SUBSTITUTE($A837,CHAR(13)," "),CHAR(10)," "),CHAR(9)," "),CHAR(92),_xlfn.CONCAT(CHAR(92),CHAR(92))),"$",_xlfn.CONCAT(CHAR(92),"$")),CHAR(96),_xlfn.CONCAT(CHAR(92),CHAR(96))),CHAR(34),CHAR(39))))</f>
        <v/>
      </c>
      <c r="M837" s="5" t="str">
        <f>IF(OR(TRIM($B837)="",$C837=""),"",IF(IFERROR(MATCH(TRIM($C837),{"Quantitative","Continuous","Discrete","Categorical","Nominal","Ordinal","Identifier"},0),0)=0,_xlfn.CONCAT("* REVIEW REQUIRED: invalid Variable Type on Sheet 1 row ",837,"."),_xlfn.CONCAT("char ",TRIM($B837),"[doc_vartype] ",CHAR(96),CHAR(34),SUBSTITUTE(SUBSTITUTE(SUBSTITUTE(SUBSTITUTE(SUBSTITUTE(SUBSTITUTE(LOWER(TRIM($C837)),CHAR(13)," "),CHAR(10)," "),CHAR(9)," "),CHAR(92),_xlfn.CONCAT(CHAR(92),CHAR(92))),"$",_xlfn.CONCAT(CHAR(92),"$")),CHAR(96),_xlfn.CONCAT(CHAR(92),CHAR(96))),CHAR(34),CHAR(39))))</f>
        <v/>
      </c>
      <c r="N837" s="5" t="str">
        <f>IF(OR(TRIM($B837)="",$D837=""),"",IF(OR(ISNUMBER(SEARCH(_xlfn.CONCAT(CHAR(96),CHAR(34)),$D837)),ISNUMBER(SEARCH(_xlfn.CONCAT(CHAR(34),CHAR(39)),$D837))),_xlfn.CONCAT("* REVIEW REQUIRED: compound-quote delimiter in Item Number on Sheet 1 row ",837,"; edit the input before running."),_xlfn.CONCAT("char ",TRIM($B837),"[doc_itemnum] ",CHAR(96),CHAR(34),SUBSTITUTE(SUBSTITUTE(SUBSTITUTE(SUBSTITUTE(SUBSTITUTE(SUBSTITUTE($D837,CHAR(13)," "),CHAR(10)," "),CHAR(9)," "),CHAR(92),_xlfn.CONCAT(CHAR(92),CHAR(92))),"$",_xlfn.CONCAT(CHAR(92),"$")),CHAR(96),_xlfn.CONCAT(CHAR(92),CHAR(96))),CHAR(34),CHAR(39))))</f>
        <v/>
      </c>
      <c r="O837" s="5" t="str">
        <f>IF(OR(TRIM($B837)="",$E837=""),"",IF(OR(ISNUMBER(SEARCH(_xlfn.CONCAT(CHAR(96),CHAR(34)),$E837)),ISNUMBER(SEARCH(_xlfn.CONCAT(CHAR(34),CHAR(39)),$E837))),_xlfn.CONCAT("* REVIEW REQUIRED: compound-quote delimiter in Question Wording on Sheet 1 row ",837,"; edit the input before running."),_xlfn.CONCAT("char ",TRIM($B837),"[doc_question] ",CHAR(96),CHAR(34),SUBSTITUTE(SUBSTITUTE(SUBSTITUTE(SUBSTITUTE(SUBSTITUTE(SUBSTITUTE($E837,CHAR(13)," "),CHAR(10)," "),CHAR(9)," "),CHAR(92),_xlfn.CONCAT(CHAR(92),CHAR(92))),"$",_xlfn.CONCAT(CHAR(92),"$")),CHAR(96),_xlfn.CONCAT(CHAR(92),CHAR(96))),CHAR(34),CHAR(39))))</f>
        <v/>
      </c>
      <c r="P837" s="5" t="str">
        <f>IF(OR(TRIM($B837)="",$F837=""),"",IF(OR(ISNUMBER(SEARCH(_xlfn.CONCAT(CHAR(96),CHAR(34)),$F837)),ISNUMBER(SEARCH(_xlfn.CONCAT(CHAR(34),CHAR(39)),$F837))),_xlfn.CONCAT("* REVIEW REQUIRED: compound-quote delimiter in Units on Sheet 1 row ",837,"; edit the input before running."),_xlfn.CONCAT("char ",TRIM($B837),"[doc_units] ",CHAR(96),CHAR(34),SUBSTITUTE(SUBSTITUTE(SUBSTITUTE(SUBSTITUTE(SUBSTITUTE(SUBSTITUTE($F837,CHAR(13)," "),CHAR(10)," "),CHAR(9)," "),CHAR(92),_xlfn.CONCAT(CHAR(92),CHAR(92))),"$",_xlfn.CONCAT(CHAR(92),"$")),CHAR(96),_xlfn.CONCAT(CHAR(92),CHAR(96))),CHAR(34),CHAR(39))))</f>
        <v/>
      </c>
      <c r="Q837" s="5" t="str">
        <f>IF(OR(TRIM($B837)="",$G837=""),"",IF(OR(ISNUMBER(SEARCH(_xlfn.CONCAT(CHAR(96),CHAR(34)),$G837)),ISNUMBER(SEARCH(_xlfn.CONCAT(CHAR(34),CHAR(39)),$G837))),_xlfn.CONCAT("* REVIEW REQUIRED: compound-quote delimiter in Universe on Sheet 1 row ",837,"; edit the input before running."),_xlfn.CONCAT("char ",TRIM($B837),"[doc_universe] ",CHAR(96),CHAR(34),SUBSTITUTE(SUBSTITUTE(SUBSTITUTE(SUBSTITUTE(SUBSTITUTE(SUBSTITUTE($G837,CHAR(13)," "),CHAR(10)," "),CHAR(9)," "),CHAR(92),_xlfn.CONCAT(CHAR(92),CHAR(92))),"$",_xlfn.CONCAT(CHAR(92),"$")),CHAR(96),_xlfn.CONCAT(CHAR(92),CHAR(96))),CHAR(34),CHAR(39))))</f>
        <v/>
      </c>
      <c r="R837" s="5" t="str">
        <f>IF(OR(TRIM($B837)="",$H837=""),"",IF(OR(ISNUMBER(SEARCH(_xlfn.CONCAT(CHAR(96),CHAR(34)),$H837)),ISNUMBER(SEARCH(_xlfn.CONCAT(CHAR(34),CHAR(39)),$H837))),_xlfn.CONCAT("* REVIEW REQUIRED: compound-quote delimiter in Source on Sheet 1 row ",837,"; edit the input before running."),_xlfn.CONCAT("char ",TRIM($B837),"[doc_source] ",CHAR(96),CHAR(34),SUBSTITUTE(SUBSTITUTE(SUBSTITUTE(SUBSTITUTE(SUBSTITUTE(SUBSTITUTE($H837,CHAR(13)," "),CHAR(10)," "),CHAR(9)," "),CHAR(92),_xlfn.CONCAT(CHAR(92),CHAR(92))),"$",_xlfn.CONCAT(CHAR(92),"$")),CHAR(96),_xlfn.CONCAT(CHAR(92),CHAR(96))),CHAR(34),CHAR(39))))</f>
        <v/>
      </c>
      <c r="S837" s="5" t="str">
        <f>IF(OR(TRIM($B837)="",$I837=""),"",IF(OR(ISNUMBER(SEARCH(_xlfn.CONCAT(CHAR(96),CHAR(34)),$I837)),ISNUMBER(SEARCH(_xlfn.CONCAT(CHAR(34),CHAR(39)),$I837))),_xlfn.CONCAT("* REVIEW REQUIRED: compound-quote delimiter in Derivation on Sheet 1 row ",837,"; edit the input before running."),_xlfn.CONCAT("char ",TRIM($B837),"[doc_derivation] ",CHAR(96),CHAR(34),SUBSTITUTE(SUBSTITUTE(SUBSTITUTE(SUBSTITUTE(SUBSTITUTE(SUBSTITUTE($I837,CHAR(13)," "),CHAR(10)," "),CHAR(9)," "),CHAR(92),_xlfn.CONCAT(CHAR(92),CHAR(92))),"$",_xlfn.CONCAT(CHAR(92),"$")),CHAR(96),_xlfn.CONCAT(CHAR(92),CHAR(96))),CHAR(34),CHAR(39))))</f>
        <v/>
      </c>
      <c r="T837" s="5" t="str">
        <f>IF(OR(TRIM($B837)="",$J837=""),"",IF(OR(ISNUMBER(SEARCH(_xlfn.CONCAT(CHAR(96),CHAR(34)),$J837)),ISNUMBER(SEARCH(_xlfn.CONCAT(CHAR(34),CHAR(39)),$J837))),_xlfn.CONCAT("* REVIEW REQUIRED: compound-quote delimiter in Notes on Sheet 1 row ",837,"; edit the input before running."),_xlfn.CONCAT("char ",TRIM($B837),"[doc_notes] ",CHAR(96),CHAR(34),SUBSTITUTE(SUBSTITUTE(SUBSTITUTE(SUBSTITUTE(SUBSTITUTE(SUBSTITUTE($J837,CHAR(13)," "),CHAR(10)," "),CHAR(9)," "),CHAR(92),_xlfn.CONCAT(CHAR(92),CHAR(92))),"$",_xlfn.CONCAT(CHAR(92),"$")),CHAR(96),_xlfn.CONCAT(CHAR(92),CHAR(96))),CHAR(34),CHAR(39))))</f>
        <v/>
      </c>
      <c r="U837" s="5">
        <f t="shared" si="25"/>
        <v>0</v>
      </c>
    </row>
    <row r="838" spans="3:21" ht="30" customHeight="1" x14ac:dyDescent="0.2">
      <c r="C838" s="4"/>
      <c r="K838" s="5">
        <f t="shared" si="24"/>
        <v>0</v>
      </c>
      <c r="L838" s="5" t="str">
        <f>IF(OR(TRIM($B838)="",$A838=""),"",IF(OR(ISNUMBER(SEARCH(_xlfn.CONCAT(CHAR(96),CHAR(34)),$A838)),ISNUMBER(SEARCH(_xlfn.CONCAT(CHAR(34),CHAR(39)),$A838))),_xlfn.CONCAT("* REVIEW REQUIRED: compound-quote delimiter in Codebook Section on Sheet 1 row ",838,"; edit the input before running."),_xlfn.CONCAT("char ",TRIM($B838),"[doc_section] ",CHAR(96),CHAR(34),SUBSTITUTE(SUBSTITUTE(SUBSTITUTE(SUBSTITUTE(SUBSTITUTE(SUBSTITUTE($A838,CHAR(13)," "),CHAR(10)," "),CHAR(9)," "),CHAR(92),_xlfn.CONCAT(CHAR(92),CHAR(92))),"$",_xlfn.CONCAT(CHAR(92),"$")),CHAR(96),_xlfn.CONCAT(CHAR(92),CHAR(96))),CHAR(34),CHAR(39))))</f>
        <v/>
      </c>
      <c r="M838" s="5" t="str">
        <f>IF(OR(TRIM($B838)="",$C838=""),"",IF(IFERROR(MATCH(TRIM($C838),{"Quantitative","Continuous","Discrete","Categorical","Nominal","Ordinal","Identifier"},0),0)=0,_xlfn.CONCAT("* REVIEW REQUIRED: invalid Variable Type on Sheet 1 row ",838,"."),_xlfn.CONCAT("char ",TRIM($B838),"[doc_vartype] ",CHAR(96),CHAR(34),SUBSTITUTE(SUBSTITUTE(SUBSTITUTE(SUBSTITUTE(SUBSTITUTE(SUBSTITUTE(LOWER(TRIM($C838)),CHAR(13)," "),CHAR(10)," "),CHAR(9)," "),CHAR(92),_xlfn.CONCAT(CHAR(92),CHAR(92))),"$",_xlfn.CONCAT(CHAR(92),"$")),CHAR(96),_xlfn.CONCAT(CHAR(92),CHAR(96))),CHAR(34),CHAR(39))))</f>
        <v/>
      </c>
      <c r="N838" s="5" t="str">
        <f>IF(OR(TRIM($B838)="",$D838=""),"",IF(OR(ISNUMBER(SEARCH(_xlfn.CONCAT(CHAR(96),CHAR(34)),$D838)),ISNUMBER(SEARCH(_xlfn.CONCAT(CHAR(34),CHAR(39)),$D838))),_xlfn.CONCAT("* REVIEW REQUIRED: compound-quote delimiter in Item Number on Sheet 1 row ",838,"; edit the input before running."),_xlfn.CONCAT("char ",TRIM($B838),"[doc_itemnum] ",CHAR(96),CHAR(34),SUBSTITUTE(SUBSTITUTE(SUBSTITUTE(SUBSTITUTE(SUBSTITUTE(SUBSTITUTE($D838,CHAR(13)," "),CHAR(10)," "),CHAR(9)," "),CHAR(92),_xlfn.CONCAT(CHAR(92),CHAR(92))),"$",_xlfn.CONCAT(CHAR(92),"$")),CHAR(96),_xlfn.CONCAT(CHAR(92),CHAR(96))),CHAR(34),CHAR(39))))</f>
        <v/>
      </c>
      <c r="O838" s="5" t="str">
        <f>IF(OR(TRIM($B838)="",$E838=""),"",IF(OR(ISNUMBER(SEARCH(_xlfn.CONCAT(CHAR(96),CHAR(34)),$E838)),ISNUMBER(SEARCH(_xlfn.CONCAT(CHAR(34),CHAR(39)),$E838))),_xlfn.CONCAT("* REVIEW REQUIRED: compound-quote delimiter in Question Wording on Sheet 1 row ",838,"; edit the input before running."),_xlfn.CONCAT("char ",TRIM($B838),"[doc_question] ",CHAR(96),CHAR(34),SUBSTITUTE(SUBSTITUTE(SUBSTITUTE(SUBSTITUTE(SUBSTITUTE(SUBSTITUTE($E838,CHAR(13)," "),CHAR(10)," "),CHAR(9)," "),CHAR(92),_xlfn.CONCAT(CHAR(92),CHAR(92))),"$",_xlfn.CONCAT(CHAR(92),"$")),CHAR(96),_xlfn.CONCAT(CHAR(92),CHAR(96))),CHAR(34),CHAR(39))))</f>
        <v/>
      </c>
      <c r="P838" s="5" t="str">
        <f>IF(OR(TRIM($B838)="",$F838=""),"",IF(OR(ISNUMBER(SEARCH(_xlfn.CONCAT(CHAR(96),CHAR(34)),$F838)),ISNUMBER(SEARCH(_xlfn.CONCAT(CHAR(34),CHAR(39)),$F838))),_xlfn.CONCAT("* REVIEW REQUIRED: compound-quote delimiter in Units on Sheet 1 row ",838,"; edit the input before running."),_xlfn.CONCAT("char ",TRIM($B838),"[doc_units] ",CHAR(96),CHAR(34),SUBSTITUTE(SUBSTITUTE(SUBSTITUTE(SUBSTITUTE(SUBSTITUTE(SUBSTITUTE($F838,CHAR(13)," "),CHAR(10)," "),CHAR(9)," "),CHAR(92),_xlfn.CONCAT(CHAR(92),CHAR(92))),"$",_xlfn.CONCAT(CHAR(92),"$")),CHAR(96),_xlfn.CONCAT(CHAR(92),CHAR(96))),CHAR(34),CHAR(39))))</f>
        <v/>
      </c>
      <c r="Q838" s="5" t="str">
        <f>IF(OR(TRIM($B838)="",$G838=""),"",IF(OR(ISNUMBER(SEARCH(_xlfn.CONCAT(CHAR(96),CHAR(34)),$G838)),ISNUMBER(SEARCH(_xlfn.CONCAT(CHAR(34),CHAR(39)),$G838))),_xlfn.CONCAT("* REVIEW REQUIRED: compound-quote delimiter in Universe on Sheet 1 row ",838,"; edit the input before running."),_xlfn.CONCAT("char ",TRIM($B838),"[doc_universe] ",CHAR(96),CHAR(34),SUBSTITUTE(SUBSTITUTE(SUBSTITUTE(SUBSTITUTE(SUBSTITUTE(SUBSTITUTE($G838,CHAR(13)," "),CHAR(10)," "),CHAR(9)," "),CHAR(92),_xlfn.CONCAT(CHAR(92),CHAR(92))),"$",_xlfn.CONCAT(CHAR(92),"$")),CHAR(96),_xlfn.CONCAT(CHAR(92),CHAR(96))),CHAR(34),CHAR(39))))</f>
        <v/>
      </c>
      <c r="R838" s="5" t="str">
        <f>IF(OR(TRIM($B838)="",$H838=""),"",IF(OR(ISNUMBER(SEARCH(_xlfn.CONCAT(CHAR(96),CHAR(34)),$H838)),ISNUMBER(SEARCH(_xlfn.CONCAT(CHAR(34),CHAR(39)),$H838))),_xlfn.CONCAT("* REVIEW REQUIRED: compound-quote delimiter in Source on Sheet 1 row ",838,"; edit the input before running."),_xlfn.CONCAT("char ",TRIM($B838),"[doc_source] ",CHAR(96),CHAR(34),SUBSTITUTE(SUBSTITUTE(SUBSTITUTE(SUBSTITUTE(SUBSTITUTE(SUBSTITUTE($H838,CHAR(13)," "),CHAR(10)," "),CHAR(9)," "),CHAR(92),_xlfn.CONCAT(CHAR(92),CHAR(92))),"$",_xlfn.CONCAT(CHAR(92),"$")),CHAR(96),_xlfn.CONCAT(CHAR(92),CHAR(96))),CHAR(34),CHAR(39))))</f>
        <v/>
      </c>
      <c r="S838" s="5" t="str">
        <f>IF(OR(TRIM($B838)="",$I838=""),"",IF(OR(ISNUMBER(SEARCH(_xlfn.CONCAT(CHAR(96),CHAR(34)),$I838)),ISNUMBER(SEARCH(_xlfn.CONCAT(CHAR(34),CHAR(39)),$I838))),_xlfn.CONCAT("* REVIEW REQUIRED: compound-quote delimiter in Derivation on Sheet 1 row ",838,"; edit the input before running."),_xlfn.CONCAT("char ",TRIM($B838),"[doc_derivation] ",CHAR(96),CHAR(34),SUBSTITUTE(SUBSTITUTE(SUBSTITUTE(SUBSTITUTE(SUBSTITUTE(SUBSTITUTE($I838,CHAR(13)," "),CHAR(10)," "),CHAR(9)," "),CHAR(92),_xlfn.CONCAT(CHAR(92),CHAR(92))),"$",_xlfn.CONCAT(CHAR(92),"$")),CHAR(96),_xlfn.CONCAT(CHAR(92),CHAR(96))),CHAR(34),CHAR(39))))</f>
        <v/>
      </c>
      <c r="T838" s="5" t="str">
        <f>IF(OR(TRIM($B838)="",$J838=""),"",IF(OR(ISNUMBER(SEARCH(_xlfn.CONCAT(CHAR(96),CHAR(34)),$J838)),ISNUMBER(SEARCH(_xlfn.CONCAT(CHAR(34),CHAR(39)),$J838))),_xlfn.CONCAT("* REVIEW REQUIRED: compound-quote delimiter in Notes on Sheet 1 row ",838,"; edit the input before running."),_xlfn.CONCAT("char ",TRIM($B838),"[doc_notes] ",CHAR(96),CHAR(34),SUBSTITUTE(SUBSTITUTE(SUBSTITUTE(SUBSTITUTE(SUBSTITUTE(SUBSTITUTE($J838,CHAR(13)," "),CHAR(10)," "),CHAR(9)," "),CHAR(92),_xlfn.CONCAT(CHAR(92),CHAR(92))),"$",_xlfn.CONCAT(CHAR(92),"$")),CHAR(96),_xlfn.CONCAT(CHAR(92),CHAR(96))),CHAR(34),CHAR(39))))</f>
        <v/>
      </c>
      <c r="U838" s="5">
        <f t="shared" si="25"/>
        <v>0</v>
      </c>
    </row>
    <row r="839" spans="3:21" ht="30" customHeight="1" x14ac:dyDescent="0.2">
      <c r="C839" s="4"/>
      <c r="K839" s="5">
        <f t="shared" si="24"/>
        <v>0</v>
      </c>
      <c r="L839" s="5" t="str">
        <f>IF(OR(TRIM($B839)="",$A839=""),"",IF(OR(ISNUMBER(SEARCH(_xlfn.CONCAT(CHAR(96),CHAR(34)),$A839)),ISNUMBER(SEARCH(_xlfn.CONCAT(CHAR(34),CHAR(39)),$A839))),_xlfn.CONCAT("* REVIEW REQUIRED: compound-quote delimiter in Codebook Section on Sheet 1 row ",839,"; edit the input before running."),_xlfn.CONCAT("char ",TRIM($B839),"[doc_section] ",CHAR(96),CHAR(34),SUBSTITUTE(SUBSTITUTE(SUBSTITUTE(SUBSTITUTE(SUBSTITUTE(SUBSTITUTE($A839,CHAR(13)," "),CHAR(10)," "),CHAR(9)," "),CHAR(92),_xlfn.CONCAT(CHAR(92),CHAR(92))),"$",_xlfn.CONCAT(CHAR(92),"$")),CHAR(96),_xlfn.CONCAT(CHAR(92),CHAR(96))),CHAR(34),CHAR(39))))</f>
        <v/>
      </c>
      <c r="M839" s="5" t="str">
        <f>IF(OR(TRIM($B839)="",$C839=""),"",IF(IFERROR(MATCH(TRIM($C839),{"Quantitative","Continuous","Discrete","Categorical","Nominal","Ordinal","Identifier"},0),0)=0,_xlfn.CONCAT("* REVIEW REQUIRED: invalid Variable Type on Sheet 1 row ",839,"."),_xlfn.CONCAT("char ",TRIM($B839),"[doc_vartype] ",CHAR(96),CHAR(34),SUBSTITUTE(SUBSTITUTE(SUBSTITUTE(SUBSTITUTE(SUBSTITUTE(SUBSTITUTE(LOWER(TRIM($C839)),CHAR(13)," "),CHAR(10)," "),CHAR(9)," "),CHAR(92),_xlfn.CONCAT(CHAR(92),CHAR(92))),"$",_xlfn.CONCAT(CHAR(92),"$")),CHAR(96),_xlfn.CONCAT(CHAR(92),CHAR(96))),CHAR(34),CHAR(39))))</f>
        <v/>
      </c>
      <c r="N839" s="5" t="str">
        <f>IF(OR(TRIM($B839)="",$D839=""),"",IF(OR(ISNUMBER(SEARCH(_xlfn.CONCAT(CHAR(96),CHAR(34)),$D839)),ISNUMBER(SEARCH(_xlfn.CONCAT(CHAR(34),CHAR(39)),$D839))),_xlfn.CONCAT("* REVIEW REQUIRED: compound-quote delimiter in Item Number on Sheet 1 row ",839,"; edit the input before running."),_xlfn.CONCAT("char ",TRIM($B839),"[doc_itemnum] ",CHAR(96),CHAR(34),SUBSTITUTE(SUBSTITUTE(SUBSTITUTE(SUBSTITUTE(SUBSTITUTE(SUBSTITUTE($D839,CHAR(13)," "),CHAR(10)," "),CHAR(9)," "),CHAR(92),_xlfn.CONCAT(CHAR(92),CHAR(92))),"$",_xlfn.CONCAT(CHAR(92),"$")),CHAR(96),_xlfn.CONCAT(CHAR(92),CHAR(96))),CHAR(34),CHAR(39))))</f>
        <v/>
      </c>
      <c r="O839" s="5" t="str">
        <f>IF(OR(TRIM($B839)="",$E839=""),"",IF(OR(ISNUMBER(SEARCH(_xlfn.CONCAT(CHAR(96),CHAR(34)),$E839)),ISNUMBER(SEARCH(_xlfn.CONCAT(CHAR(34),CHAR(39)),$E839))),_xlfn.CONCAT("* REVIEW REQUIRED: compound-quote delimiter in Question Wording on Sheet 1 row ",839,"; edit the input before running."),_xlfn.CONCAT("char ",TRIM($B839),"[doc_question] ",CHAR(96),CHAR(34),SUBSTITUTE(SUBSTITUTE(SUBSTITUTE(SUBSTITUTE(SUBSTITUTE(SUBSTITUTE($E839,CHAR(13)," "),CHAR(10)," "),CHAR(9)," "),CHAR(92),_xlfn.CONCAT(CHAR(92),CHAR(92))),"$",_xlfn.CONCAT(CHAR(92),"$")),CHAR(96),_xlfn.CONCAT(CHAR(92),CHAR(96))),CHAR(34),CHAR(39))))</f>
        <v/>
      </c>
      <c r="P839" s="5" t="str">
        <f>IF(OR(TRIM($B839)="",$F839=""),"",IF(OR(ISNUMBER(SEARCH(_xlfn.CONCAT(CHAR(96),CHAR(34)),$F839)),ISNUMBER(SEARCH(_xlfn.CONCAT(CHAR(34),CHAR(39)),$F839))),_xlfn.CONCAT("* REVIEW REQUIRED: compound-quote delimiter in Units on Sheet 1 row ",839,"; edit the input before running."),_xlfn.CONCAT("char ",TRIM($B839),"[doc_units] ",CHAR(96),CHAR(34),SUBSTITUTE(SUBSTITUTE(SUBSTITUTE(SUBSTITUTE(SUBSTITUTE(SUBSTITUTE($F839,CHAR(13)," "),CHAR(10)," "),CHAR(9)," "),CHAR(92),_xlfn.CONCAT(CHAR(92),CHAR(92))),"$",_xlfn.CONCAT(CHAR(92),"$")),CHAR(96),_xlfn.CONCAT(CHAR(92),CHAR(96))),CHAR(34),CHAR(39))))</f>
        <v/>
      </c>
      <c r="Q839" s="5" t="str">
        <f>IF(OR(TRIM($B839)="",$G839=""),"",IF(OR(ISNUMBER(SEARCH(_xlfn.CONCAT(CHAR(96),CHAR(34)),$G839)),ISNUMBER(SEARCH(_xlfn.CONCAT(CHAR(34),CHAR(39)),$G839))),_xlfn.CONCAT("* REVIEW REQUIRED: compound-quote delimiter in Universe on Sheet 1 row ",839,"; edit the input before running."),_xlfn.CONCAT("char ",TRIM($B839),"[doc_universe] ",CHAR(96),CHAR(34),SUBSTITUTE(SUBSTITUTE(SUBSTITUTE(SUBSTITUTE(SUBSTITUTE(SUBSTITUTE($G839,CHAR(13)," "),CHAR(10)," "),CHAR(9)," "),CHAR(92),_xlfn.CONCAT(CHAR(92),CHAR(92))),"$",_xlfn.CONCAT(CHAR(92),"$")),CHAR(96),_xlfn.CONCAT(CHAR(92),CHAR(96))),CHAR(34),CHAR(39))))</f>
        <v/>
      </c>
      <c r="R839" s="5" t="str">
        <f>IF(OR(TRIM($B839)="",$H839=""),"",IF(OR(ISNUMBER(SEARCH(_xlfn.CONCAT(CHAR(96),CHAR(34)),$H839)),ISNUMBER(SEARCH(_xlfn.CONCAT(CHAR(34),CHAR(39)),$H839))),_xlfn.CONCAT("* REVIEW REQUIRED: compound-quote delimiter in Source on Sheet 1 row ",839,"; edit the input before running."),_xlfn.CONCAT("char ",TRIM($B839),"[doc_source] ",CHAR(96),CHAR(34),SUBSTITUTE(SUBSTITUTE(SUBSTITUTE(SUBSTITUTE(SUBSTITUTE(SUBSTITUTE($H839,CHAR(13)," "),CHAR(10)," "),CHAR(9)," "),CHAR(92),_xlfn.CONCAT(CHAR(92),CHAR(92))),"$",_xlfn.CONCAT(CHAR(92),"$")),CHAR(96),_xlfn.CONCAT(CHAR(92),CHAR(96))),CHAR(34),CHAR(39))))</f>
        <v/>
      </c>
      <c r="S839" s="5" t="str">
        <f>IF(OR(TRIM($B839)="",$I839=""),"",IF(OR(ISNUMBER(SEARCH(_xlfn.CONCAT(CHAR(96),CHAR(34)),$I839)),ISNUMBER(SEARCH(_xlfn.CONCAT(CHAR(34),CHAR(39)),$I839))),_xlfn.CONCAT("* REVIEW REQUIRED: compound-quote delimiter in Derivation on Sheet 1 row ",839,"; edit the input before running."),_xlfn.CONCAT("char ",TRIM($B839),"[doc_derivation] ",CHAR(96),CHAR(34),SUBSTITUTE(SUBSTITUTE(SUBSTITUTE(SUBSTITUTE(SUBSTITUTE(SUBSTITUTE($I839,CHAR(13)," "),CHAR(10)," "),CHAR(9)," "),CHAR(92),_xlfn.CONCAT(CHAR(92),CHAR(92))),"$",_xlfn.CONCAT(CHAR(92),"$")),CHAR(96),_xlfn.CONCAT(CHAR(92),CHAR(96))),CHAR(34),CHAR(39))))</f>
        <v/>
      </c>
      <c r="T839" s="5" t="str">
        <f>IF(OR(TRIM($B839)="",$J839=""),"",IF(OR(ISNUMBER(SEARCH(_xlfn.CONCAT(CHAR(96),CHAR(34)),$J839)),ISNUMBER(SEARCH(_xlfn.CONCAT(CHAR(34),CHAR(39)),$J839))),_xlfn.CONCAT("* REVIEW REQUIRED: compound-quote delimiter in Notes on Sheet 1 row ",839,"; edit the input before running."),_xlfn.CONCAT("char ",TRIM($B839),"[doc_notes] ",CHAR(96),CHAR(34),SUBSTITUTE(SUBSTITUTE(SUBSTITUTE(SUBSTITUTE(SUBSTITUTE(SUBSTITUTE($J839,CHAR(13)," "),CHAR(10)," "),CHAR(9)," "),CHAR(92),_xlfn.CONCAT(CHAR(92),CHAR(92))),"$",_xlfn.CONCAT(CHAR(92),"$")),CHAR(96),_xlfn.CONCAT(CHAR(92),CHAR(96))),CHAR(34),CHAR(39))))</f>
        <v/>
      </c>
      <c r="U839" s="5">
        <f t="shared" si="25"/>
        <v>0</v>
      </c>
    </row>
    <row r="840" spans="3:21" ht="30" customHeight="1" x14ac:dyDescent="0.2">
      <c r="C840" s="4"/>
      <c r="K840" s="5">
        <f t="shared" si="24"/>
        <v>0</v>
      </c>
      <c r="L840" s="5" t="str">
        <f>IF(OR(TRIM($B840)="",$A840=""),"",IF(OR(ISNUMBER(SEARCH(_xlfn.CONCAT(CHAR(96),CHAR(34)),$A840)),ISNUMBER(SEARCH(_xlfn.CONCAT(CHAR(34),CHAR(39)),$A840))),_xlfn.CONCAT("* REVIEW REQUIRED: compound-quote delimiter in Codebook Section on Sheet 1 row ",840,"; edit the input before running."),_xlfn.CONCAT("char ",TRIM($B840),"[doc_section] ",CHAR(96),CHAR(34),SUBSTITUTE(SUBSTITUTE(SUBSTITUTE(SUBSTITUTE(SUBSTITUTE(SUBSTITUTE($A840,CHAR(13)," "),CHAR(10)," "),CHAR(9)," "),CHAR(92),_xlfn.CONCAT(CHAR(92),CHAR(92))),"$",_xlfn.CONCAT(CHAR(92),"$")),CHAR(96),_xlfn.CONCAT(CHAR(92),CHAR(96))),CHAR(34),CHAR(39))))</f>
        <v/>
      </c>
      <c r="M840" s="5" t="str">
        <f>IF(OR(TRIM($B840)="",$C840=""),"",IF(IFERROR(MATCH(TRIM($C840),{"Quantitative","Continuous","Discrete","Categorical","Nominal","Ordinal","Identifier"},0),0)=0,_xlfn.CONCAT("* REVIEW REQUIRED: invalid Variable Type on Sheet 1 row ",840,"."),_xlfn.CONCAT("char ",TRIM($B840),"[doc_vartype] ",CHAR(96),CHAR(34),SUBSTITUTE(SUBSTITUTE(SUBSTITUTE(SUBSTITUTE(SUBSTITUTE(SUBSTITUTE(LOWER(TRIM($C840)),CHAR(13)," "),CHAR(10)," "),CHAR(9)," "),CHAR(92),_xlfn.CONCAT(CHAR(92),CHAR(92))),"$",_xlfn.CONCAT(CHAR(92),"$")),CHAR(96),_xlfn.CONCAT(CHAR(92),CHAR(96))),CHAR(34),CHAR(39))))</f>
        <v/>
      </c>
      <c r="N840" s="5" t="str">
        <f>IF(OR(TRIM($B840)="",$D840=""),"",IF(OR(ISNUMBER(SEARCH(_xlfn.CONCAT(CHAR(96),CHAR(34)),$D840)),ISNUMBER(SEARCH(_xlfn.CONCAT(CHAR(34),CHAR(39)),$D840))),_xlfn.CONCAT("* REVIEW REQUIRED: compound-quote delimiter in Item Number on Sheet 1 row ",840,"; edit the input before running."),_xlfn.CONCAT("char ",TRIM($B840),"[doc_itemnum] ",CHAR(96),CHAR(34),SUBSTITUTE(SUBSTITUTE(SUBSTITUTE(SUBSTITUTE(SUBSTITUTE(SUBSTITUTE($D840,CHAR(13)," "),CHAR(10)," "),CHAR(9)," "),CHAR(92),_xlfn.CONCAT(CHAR(92),CHAR(92))),"$",_xlfn.CONCAT(CHAR(92),"$")),CHAR(96),_xlfn.CONCAT(CHAR(92),CHAR(96))),CHAR(34),CHAR(39))))</f>
        <v/>
      </c>
      <c r="O840" s="5" t="str">
        <f>IF(OR(TRIM($B840)="",$E840=""),"",IF(OR(ISNUMBER(SEARCH(_xlfn.CONCAT(CHAR(96),CHAR(34)),$E840)),ISNUMBER(SEARCH(_xlfn.CONCAT(CHAR(34),CHAR(39)),$E840))),_xlfn.CONCAT("* REVIEW REQUIRED: compound-quote delimiter in Question Wording on Sheet 1 row ",840,"; edit the input before running."),_xlfn.CONCAT("char ",TRIM($B840),"[doc_question] ",CHAR(96),CHAR(34),SUBSTITUTE(SUBSTITUTE(SUBSTITUTE(SUBSTITUTE(SUBSTITUTE(SUBSTITUTE($E840,CHAR(13)," "),CHAR(10)," "),CHAR(9)," "),CHAR(92),_xlfn.CONCAT(CHAR(92),CHAR(92))),"$",_xlfn.CONCAT(CHAR(92),"$")),CHAR(96),_xlfn.CONCAT(CHAR(92),CHAR(96))),CHAR(34),CHAR(39))))</f>
        <v/>
      </c>
      <c r="P840" s="5" t="str">
        <f>IF(OR(TRIM($B840)="",$F840=""),"",IF(OR(ISNUMBER(SEARCH(_xlfn.CONCAT(CHAR(96),CHAR(34)),$F840)),ISNUMBER(SEARCH(_xlfn.CONCAT(CHAR(34),CHAR(39)),$F840))),_xlfn.CONCAT("* REVIEW REQUIRED: compound-quote delimiter in Units on Sheet 1 row ",840,"; edit the input before running."),_xlfn.CONCAT("char ",TRIM($B840),"[doc_units] ",CHAR(96),CHAR(34),SUBSTITUTE(SUBSTITUTE(SUBSTITUTE(SUBSTITUTE(SUBSTITUTE(SUBSTITUTE($F840,CHAR(13)," "),CHAR(10)," "),CHAR(9)," "),CHAR(92),_xlfn.CONCAT(CHAR(92),CHAR(92))),"$",_xlfn.CONCAT(CHAR(92),"$")),CHAR(96),_xlfn.CONCAT(CHAR(92),CHAR(96))),CHAR(34),CHAR(39))))</f>
        <v/>
      </c>
      <c r="Q840" s="5" t="str">
        <f>IF(OR(TRIM($B840)="",$G840=""),"",IF(OR(ISNUMBER(SEARCH(_xlfn.CONCAT(CHAR(96),CHAR(34)),$G840)),ISNUMBER(SEARCH(_xlfn.CONCAT(CHAR(34),CHAR(39)),$G840))),_xlfn.CONCAT("* REVIEW REQUIRED: compound-quote delimiter in Universe on Sheet 1 row ",840,"; edit the input before running."),_xlfn.CONCAT("char ",TRIM($B840),"[doc_universe] ",CHAR(96),CHAR(34),SUBSTITUTE(SUBSTITUTE(SUBSTITUTE(SUBSTITUTE(SUBSTITUTE(SUBSTITUTE($G840,CHAR(13)," "),CHAR(10)," "),CHAR(9)," "),CHAR(92),_xlfn.CONCAT(CHAR(92),CHAR(92))),"$",_xlfn.CONCAT(CHAR(92),"$")),CHAR(96),_xlfn.CONCAT(CHAR(92),CHAR(96))),CHAR(34),CHAR(39))))</f>
        <v/>
      </c>
      <c r="R840" s="5" t="str">
        <f>IF(OR(TRIM($B840)="",$H840=""),"",IF(OR(ISNUMBER(SEARCH(_xlfn.CONCAT(CHAR(96),CHAR(34)),$H840)),ISNUMBER(SEARCH(_xlfn.CONCAT(CHAR(34),CHAR(39)),$H840))),_xlfn.CONCAT("* REVIEW REQUIRED: compound-quote delimiter in Source on Sheet 1 row ",840,"; edit the input before running."),_xlfn.CONCAT("char ",TRIM($B840),"[doc_source] ",CHAR(96),CHAR(34),SUBSTITUTE(SUBSTITUTE(SUBSTITUTE(SUBSTITUTE(SUBSTITUTE(SUBSTITUTE($H840,CHAR(13)," "),CHAR(10)," "),CHAR(9)," "),CHAR(92),_xlfn.CONCAT(CHAR(92),CHAR(92))),"$",_xlfn.CONCAT(CHAR(92),"$")),CHAR(96),_xlfn.CONCAT(CHAR(92),CHAR(96))),CHAR(34),CHAR(39))))</f>
        <v/>
      </c>
      <c r="S840" s="5" t="str">
        <f>IF(OR(TRIM($B840)="",$I840=""),"",IF(OR(ISNUMBER(SEARCH(_xlfn.CONCAT(CHAR(96),CHAR(34)),$I840)),ISNUMBER(SEARCH(_xlfn.CONCAT(CHAR(34),CHAR(39)),$I840))),_xlfn.CONCAT("* REVIEW REQUIRED: compound-quote delimiter in Derivation on Sheet 1 row ",840,"; edit the input before running."),_xlfn.CONCAT("char ",TRIM($B840),"[doc_derivation] ",CHAR(96),CHAR(34),SUBSTITUTE(SUBSTITUTE(SUBSTITUTE(SUBSTITUTE(SUBSTITUTE(SUBSTITUTE($I840,CHAR(13)," "),CHAR(10)," "),CHAR(9)," "),CHAR(92),_xlfn.CONCAT(CHAR(92),CHAR(92))),"$",_xlfn.CONCAT(CHAR(92),"$")),CHAR(96),_xlfn.CONCAT(CHAR(92),CHAR(96))),CHAR(34),CHAR(39))))</f>
        <v/>
      </c>
      <c r="T840" s="5" t="str">
        <f>IF(OR(TRIM($B840)="",$J840=""),"",IF(OR(ISNUMBER(SEARCH(_xlfn.CONCAT(CHAR(96),CHAR(34)),$J840)),ISNUMBER(SEARCH(_xlfn.CONCAT(CHAR(34),CHAR(39)),$J840))),_xlfn.CONCAT("* REVIEW REQUIRED: compound-quote delimiter in Notes on Sheet 1 row ",840,"; edit the input before running."),_xlfn.CONCAT("char ",TRIM($B840),"[doc_notes] ",CHAR(96),CHAR(34),SUBSTITUTE(SUBSTITUTE(SUBSTITUTE(SUBSTITUTE(SUBSTITUTE(SUBSTITUTE($J840,CHAR(13)," "),CHAR(10)," "),CHAR(9)," "),CHAR(92),_xlfn.CONCAT(CHAR(92),CHAR(92))),"$",_xlfn.CONCAT(CHAR(92),"$")),CHAR(96),_xlfn.CONCAT(CHAR(92),CHAR(96))),CHAR(34),CHAR(39))))</f>
        <v/>
      </c>
      <c r="U840" s="5">
        <f t="shared" si="25"/>
        <v>0</v>
      </c>
    </row>
    <row r="841" spans="3:21" ht="30" customHeight="1" x14ac:dyDescent="0.2">
      <c r="C841" s="4"/>
      <c r="K841" s="5">
        <f t="shared" si="24"/>
        <v>0</v>
      </c>
      <c r="L841" s="5" t="str">
        <f>IF(OR(TRIM($B841)="",$A841=""),"",IF(OR(ISNUMBER(SEARCH(_xlfn.CONCAT(CHAR(96),CHAR(34)),$A841)),ISNUMBER(SEARCH(_xlfn.CONCAT(CHAR(34),CHAR(39)),$A841))),_xlfn.CONCAT("* REVIEW REQUIRED: compound-quote delimiter in Codebook Section on Sheet 1 row ",841,"; edit the input before running."),_xlfn.CONCAT("char ",TRIM($B841),"[doc_section] ",CHAR(96),CHAR(34),SUBSTITUTE(SUBSTITUTE(SUBSTITUTE(SUBSTITUTE(SUBSTITUTE(SUBSTITUTE($A841,CHAR(13)," "),CHAR(10)," "),CHAR(9)," "),CHAR(92),_xlfn.CONCAT(CHAR(92),CHAR(92))),"$",_xlfn.CONCAT(CHAR(92),"$")),CHAR(96),_xlfn.CONCAT(CHAR(92),CHAR(96))),CHAR(34),CHAR(39))))</f>
        <v/>
      </c>
      <c r="M841" s="5" t="str">
        <f>IF(OR(TRIM($B841)="",$C841=""),"",IF(IFERROR(MATCH(TRIM($C841),{"Quantitative","Continuous","Discrete","Categorical","Nominal","Ordinal","Identifier"},0),0)=0,_xlfn.CONCAT("* REVIEW REQUIRED: invalid Variable Type on Sheet 1 row ",841,"."),_xlfn.CONCAT("char ",TRIM($B841),"[doc_vartype] ",CHAR(96),CHAR(34),SUBSTITUTE(SUBSTITUTE(SUBSTITUTE(SUBSTITUTE(SUBSTITUTE(SUBSTITUTE(LOWER(TRIM($C841)),CHAR(13)," "),CHAR(10)," "),CHAR(9)," "),CHAR(92),_xlfn.CONCAT(CHAR(92),CHAR(92))),"$",_xlfn.CONCAT(CHAR(92),"$")),CHAR(96),_xlfn.CONCAT(CHAR(92),CHAR(96))),CHAR(34),CHAR(39))))</f>
        <v/>
      </c>
      <c r="N841" s="5" t="str">
        <f>IF(OR(TRIM($B841)="",$D841=""),"",IF(OR(ISNUMBER(SEARCH(_xlfn.CONCAT(CHAR(96),CHAR(34)),$D841)),ISNUMBER(SEARCH(_xlfn.CONCAT(CHAR(34),CHAR(39)),$D841))),_xlfn.CONCAT("* REVIEW REQUIRED: compound-quote delimiter in Item Number on Sheet 1 row ",841,"; edit the input before running."),_xlfn.CONCAT("char ",TRIM($B841),"[doc_itemnum] ",CHAR(96),CHAR(34),SUBSTITUTE(SUBSTITUTE(SUBSTITUTE(SUBSTITUTE(SUBSTITUTE(SUBSTITUTE($D841,CHAR(13)," "),CHAR(10)," "),CHAR(9)," "),CHAR(92),_xlfn.CONCAT(CHAR(92),CHAR(92))),"$",_xlfn.CONCAT(CHAR(92),"$")),CHAR(96),_xlfn.CONCAT(CHAR(92),CHAR(96))),CHAR(34),CHAR(39))))</f>
        <v/>
      </c>
      <c r="O841" s="5" t="str">
        <f>IF(OR(TRIM($B841)="",$E841=""),"",IF(OR(ISNUMBER(SEARCH(_xlfn.CONCAT(CHAR(96),CHAR(34)),$E841)),ISNUMBER(SEARCH(_xlfn.CONCAT(CHAR(34),CHAR(39)),$E841))),_xlfn.CONCAT("* REVIEW REQUIRED: compound-quote delimiter in Question Wording on Sheet 1 row ",841,"; edit the input before running."),_xlfn.CONCAT("char ",TRIM($B841),"[doc_question] ",CHAR(96),CHAR(34),SUBSTITUTE(SUBSTITUTE(SUBSTITUTE(SUBSTITUTE(SUBSTITUTE(SUBSTITUTE($E841,CHAR(13)," "),CHAR(10)," "),CHAR(9)," "),CHAR(92),_xlfn.CONCAT(CHAR(92),CHAR(92))),"$",_xlfn.CONCAT(CHAR(92),"$")),CHAR(96),_xlfn.CONCAT(CHAR(92),CHAR(96))),CHAR(34),CHAR(39))))</f>
        <v/>
      </c>
      <c r="P841" s="5" t="str">
        <f>IF(OR(TRIM($B841)="",$F841=""),"",IF(OR(ISNUMBER(SEARCH(_xlfn.CONCAT(CHAR(96),CHAR(34)),$F841)),ISNUMBER(SEARCH(_xlfn.CONCAT(CHAR(34),CHAR(39)),$F841))),_xlfn.CONCAT("* REVIEW REQUIRED: compound-quote delimiter in Units on Sheet 1 row ",841,"; edit the input before running."),_xlfn.CONCAT("char ",TRIM($B841),"[doc_units] ",CHAR(96),CHAR(34),SUBSTITUTE(SUBSTITUTE(SUBSTITUTE(SUBSTITUTE(SUBSTITUTE(SUBSTITUTE($F841,CHAR(13)," "),CHAR(10)," "),CHAR(9)," "),CHAR(92),_xlfn.CONCAT(CHAR(92),CHAR(92))),"$",_xlfn.CONCAT(CHAR(92),"$")),CHAR(96),_xlfn.CONCAT(CHAR(92),CHAR(96))),CHAR(34),CHAR(39))))</f>
        <v/>
      </c>
      <c r="Q841" s="5" t="str">
        <f>IF(OR(TRIM($B841)="",$G841=""),"",IF(OR(ISNUMBER(SEARCH(_xlfn.CONCAT(CHAR(96),CHAR(34)),$G841)),ISNUMBER(SEARCH(_xlfn.CONCAT(CHAR(34),CHAR(39)),$G841))),_xlfn.CONCAT("* REVIEW REQUIRED: compound-quote delimiter in Universe on Sheet 1 row ",841,"; edit the input before running."),_xlfn.CONCAT("char ",TRIM($B841),"[doc_universe] ",CHAR(96),CHAR(34),SUBSTITUTE(SUBSTITUTE(SUBSTITUTE(SUBSTITUTE(SUBSTITUTE(SUBSTITUTE($G841,CHAR(13)," "),CHAR(10)," "),CHAR(9)," "),CHAR(92),_xlfn.CONCAT(CHAR(92),CHAR(92))),"$",_xlfn.CONCAT(CHAR(92),"$")),CHAR(96),_xlfn.CONCAT(CHAR(92),CHAR(96))),CHAR(34),CHAR(39))))</f>
        <v/>
      </c>
      <c r="R841" s="5" t="str">
        <f>IF(OR(TRIM($B841)="",$H841=""),"",IF(OR(ISNUMBER(SEARCH(_xlfn.CONCAT(CHAR(96),CHAR(34)),$H841)),ISNUMBER(SEARCH(_xlfn.CONCAT(CHAR(34),CHAR(39)),$H841))),_xlfn.CONCAT("* REVIEW REQUIRED: compound-quote delimiter in Source on Sheet 1 row ",841,"; edit the input before running."),_xlfn.CONCAT("char ",TRIM($B841),"[doc_source] ",CHAR(96),CHAR(34),SUBSTITUTE(SUBSTITUTE(SUBSTITUTE(SUBSTITUTE(SUBSTITUTE(SUBSTITUTE($H841,CHAR(13)," "),CHAR(10)," "),CHAR(9)," "),CHAR(92),_xlfn.CONCAT(CHAR(92),CHAR(92))),"$",_xlfn.CONCAT(CHAR(92),"$")),CHAR(96),_xlfn.CONCAT(CHAR(92),CHAR(96))),CHAR(34),CHAR(39))))</f>
        <v/>
      </c>
      <c r="S841" s="5" t="str">
        <f>IF(OR(TRIM($B841)="",$I841=""),"",IF(OR(ISNUMBER(SEARCH(_xlfn.CONCAT(CHAR(96),CHAR(34)),$I841)),ISNUMBER(SEARCH(_xlfn.CONCAT(CHAR(34),CHAR(39)),$I841))),_xlfn.CONCAT("* REVIEW REQUIRED: compound-quote delimiter in Derivation on Sheet 1 row ",841,"; edit the input before running."),_xlfn.CONCAT("char ",TRIM($B841),"[doc_derivation] ",CHAR(96),CHAR(34),SUBSTITUTE(SUBSTITUTE(SUBSTITUTE(SUBSTITUTE(SUBSTITUTE(SUBSTITUTE($I841,CHAR(13)," "),CHAR(10)," "),CHAR(9)," "),CHAR(92),_xlfn.CONCAT(CHAR(92),CHAR(92))),"$",_xlfn.CONCAT(CHAR(92),"$")),CHAR(96),_xlfn.CONCAT(CHAR(92),CHAR(96))),CHAR(34),CHAR(39))))</f>
        <v/>
      </c>
      <c r="T841" s="5" t="str">
        <f>IF(OR(TRIM($B841)="",$J841=""),"",IF(OR(ISNUMBER(SEARCH(_xlfn.CONCAT(CHAR(96),CHAR(34)),$J841)),ISNUMBER(SEARCH(_xlfn.CONCAT(CHAR(34),CHAR(39)),$J841))),_xlfn.CONCAT("* REVIEW REQUIRED: compound-quote delimiter in Notes on Sheet 1 row ",841,"; edit the input before running."),_xlfn.CONCAT("char ",TRIM($B841),"[doc_notes] ",CHAR(96),CHAR(34),SUBSTITUTE(SUBSTITUTE(SUBSTITUTE(SUBSTITUTE(SUBSTITUTE(SUBSTITUTE($J841,CHAR(13)," "),CHAR(10)," "),CHAR(9)," "),CHAR(92),_xlfn.CONCAT(CHAR(92),CHAR(92))),"$",_xlfn.CONCAT(CHAR(92),"$")),CHAR(96),_xlfn.CONCAT(CHAR(92),CHAR(96))),CHAR(34),CHAR(39))))</f>
        <v/>
      </c>
      <c r="U841" s="5">
        <f t="shared" si="25"/>
        <v>0</v>
      </c>
    </row>
    <row r="842" spans="3:21" ht="30" customHeight="1" x14ac:dyDescent="0.2">
      <c r="C842" s="4"/>
      <c r="K842" s="5">
        <f t="shared" si="24"/>
        <v>0</v>
      </c>
      <c r="L842" s="5" t="str">
        <f>IF(OR(TRIM($B842)="",$A842=""),"",IF(OR(ISNUMBER(SEARCH(_xlfn.CONCAT(CHAR(96),CHAR(34)),$A842)),ISNUMBER(SEARCH(_xlfn.CONCAT(CHAR(34),CHAR(39)),$A842))),_xlfn.CONCAT("* REVIEW REQUIRED: compound-quote delimiter in Codebook Section on Sheet 1 row ",842,"; edit the input before running."),_xlfn.CONCAT("char ",TRIM($B842),"[doc_section] ",CHAR(96),CHAR(34),SUBSTITUTE(SUBSTITUTE(SUBSTITUTE(SUBSTITUTE(SUBSTITUTE(SUBSTITUTE($A842,CHAR(13)," "),CHAR(10)," "),CHAR(9)," "),CHAR(92),_xlfn.CONCAT(CHAR(92),CHAR(92))),"$",_xlfn.CONCAT(CHAR(92),"$")),CHAR(96),_xlfn.CONCAT(CHAR(92),CHAR(96))),CHAR(34),CHAR(39))))</f>
        <v/>
      </c>
      <c r="M842" s="5" t="str">
        <f>IF(OR(TRIM($B842)="",$C842=""),"",IF(IFERROR(MATCH(TRIM($C842),{"Quantitative","Continuous","Discrete","Categorical","Nominal","Ordinal","Identifier"},0),0)=0,_xlfn.CONCAT("* REVIEW REQUIRED: invalid Variable Type on Sheet 1 row ",842,"."),_xlfn.CONCAT("char ",TRIM($B842),"[doc_vartype] ",CHAR(96),CHAR(34),SUBSTITUTE(SUBSTITUTE(SUBSTITUTE(SUBSTITUTE(SUBSTITUTE(SUBSTITUTE(LOWER(TRIM($C842)),CHAR(13)," "),CHAR(10)," "),CHAR(9)," "),CHAR(92),_xlfn.CONCAT(CHAR(92),CHAR(92))),"$",_xlfn.CONCAT(CHAR(92),"$")),CHAR(96),_xlfn.CONCAT(CHAR(92),CHAR(96))),CHAR(34),CHAR(39))))</f>
        <v/>
      </c>
      <c r="N842" s="5" t="str">
        <f>IF(OR(TRIM($B842)="",$D842=""),"",IF(OR(ISNUMBER(SEARCH(_xlfn.CONCAT(CHAR(96),CHAR(34)),$D842)),ISNUMBER(SEARCH(_xlfn.CONCAT(CHAR(34),CHAR(39)),$D842))),_xlfn.CONCAT("* REVIEW REQUIRED: compound-quote delimiter in Item Number on Sheet 1 row ",842,"; edit the input before running."),_xlfn.CONCAT("char ",TRIM($B842),"[doc_itemnum] ",CHAR(96),CHAR(34),SUBSTITUTE(SUBSTITUTE(SUBSTITUTE(SUBSTITUTE(SUBSTITUTE(SUBSTITUTE($D842,CHAR(13)," "),CHAR(10)," "),CHAR(9)," "),CHAR(92),_xlfn.CONCAT(CHAR(92),CHAR(92))),"$",_xlfn.CONCAT(CHAR(92),"$")),CHAR(96),_xlfn.CONCAT(CHAR(92),CHAR(96))),CHAR(34),CHAR(39))))</f>
        <v/>
      </c>
      <c r="O842" s="5" t="str">
        <f>IF(OR(TRIM($B842)="",$E842=""),"",IF(OR(ISNUMBER(SEARCH(_xlfn.CONCAT(CHAR(96),CHAR(34)),$E842)),ISNUMBER(SEARCH(_xlfn.CONCAT(CHAR(34),CHAR(39)),$E842))),_xlfn.CONCAT("* REVIEW REQUIRED: compound-quote delimiter in Question Wording on Sheet 1 row ",842,"; edit the input before running."),_xlfn.CONCAT("char ",TRIM($B842),"[doc_question] ",CHAR(96),CHAR(34),SUBSTITUTE(SUBSTITUTE(SUBSTITUTE(SUBSTITUTE(SUBSTITUTE(SUBSTITUTE($E842,CHAR(13)," "),CHAR(10)," "),CHAR(9)," "),CHAR(92),_xlfn.CONCAT(CHAR(92),CHAR(92))),"$",_xlfn.CONCAT(CHAR(92),"$")),CHAR(96),_xlfn.CONCAT(CHAR(92),CHAR(96))),CHAR(34),CHAR(39))))</f>
        <v/>
      </c>
      <c r="P842" s="5" t="str">
        <f>IF(OR(TRIM($B842)="",$F842=""),"",IF(OR(ISNUMBER(SEARCH(_xlfn.CONCAT(CHAR(96),CHAR(34)),$F842)),ISNUMBER(SEARCH(_xlfn.CONCAT(CHAR(34),CHAR(39)),$F842))),_xlfn.CONCAT("* REVIEW REQUIRED: compound-quote delimiter in Units on Sheet 1 row ",842,"; edit the input before running."),_xlfn.CONCAT("char ",TRIM($B842),"[doc_units] ",CHAR(96),CHAR(34),SUBSTITUTE(SUBSTITUTE(SUBSTITUTE(SUBSTITUTE(SUBSTITUTE(SUBSTITUTE($F842,CHAR(13)," "),CHAR(10)," "),CHAR(9)," "),CHAR(92),_xlfn.CONCAT(CHAR(92),CHAR(92))),"$",_xlfn.CONCAT(CHAR(92),"$")),CHAR(96),_xlfn.CONCAT(CHAR(92),CHAR(96))),CHAR(34),CHAR(39))))</f>
        <v/>
      </c>
      <c r="Q842" s="5" t="str">
        <f>IF(OR(TRIM($B842)="",$G842=""),"",IF(OR(ISNUMBER(SEARCH(_xlfn.CONCAT(CHAR(96),CHAR(34)),$G842)),ISNUMBER(SEARCH(_xlfn.CONCAT(CHAR(34),CHAR(39)),$G842))),_xlfn.CONCAT("* REVIEW REQUIRED: compound-quote delimiter in Universe on Sheet 1 row ",842,"; edit the input before running."),_xlfn.CONCAT("char ",TRIM($B842),"[doc_universe] ",CHAR(96),CHAR(34),SUBSTITUTE(SUBSTITUTE(SUBSTITUTE(SUBSTITUTE(SUBSTITUTE(SUBSTITUTE($G842,CHAR(13)," "),CHAR(10)," "),CHAR(9)," "),CHAR(92),_xlfn.CONCAT(CHAR(92),CHAR(92))),"$",_xlfn.CONCAT(CHAR(92),"$")),CHAR(96),_xlfn.CONCAT(CHAR(92),CHAR(96))),CHAR(34),CHAR(39))))</f>
        <v/>
      </c>
      <c r="R842" s="5" t="str">
        <f>IF(OR(TRIM($B842)="",$H842=""),"",IF(OR(ISNUMBER(SEARCH(_xlfn.CONCAT(CHAR(96),CHAR(34)),$H842)),ISNUMBER(SEARCH(_xlfn.CONCAT(CHAR(34),CHAR(39)),$H842))),_xlfn.CONCAT("* REVIEW REQUIRED: compound-quote delimiter in Source on Sheet 1 row ",842,"; edit the input before running."),_xlfn.CONCAT("char ",TRIM($B842),"[doc_source] ",CHAR(96),CHAR(34),SUBSTITUTE(SUBSTITUTE(SUBSTITUTE(SUBSTITUTE(SUBSTITUTE(SUBSTITUTE($H842,CHAR(13)," "),CHAR(10)," "),CHAR(9)," "),CHAR(92),_xlfn.CONCAT(CHAR(92),CHAR(92))),"$",_xlfn.CONCAT(CHAR(92),"$")),CHAR(96),_xlfn.CONCAT(CHAR(92),CHAR(96))),CHAR(34),CHAR(39))))</f>
        <v/>
      </c>
      <c r="S842" s="5" t="str">
        <f>IF(OR(TRIM($B842)="",$I842=""),"",IF(OR(ISNUMBER(SEARCH(_xlfn.CONCAT(CHAR(96),CHAR(34)),$I842)),ISNUMBER(SEARCH(_xlfn.CONCAT(CHAR(34),CHAR(39)),$I842))),_xlfn.CONCAT("* REVIEW REQUIRED: compound-quote delimiter in Derivation on Sheet 1 row ",842,"; edit the input before running."),_xlfn.CONCAT("char ",TRIM($B842),"[doc_derivation] ",CHAR(96),CHAR(34),SUBSTITUTE(SUBSTITUTE(SUBSTITUTE(SUBSTITUTE(SUBSTITUTE(SUBSTITUTE($I842,CHAR(13)," "),CHAR(10)," "),CHAR(9)," "),CHAR(92),_xlfn.CONCAT(CHAR(92),CHAR(92))),"$",_xlfn.CONCAT(CHAR(92),"$")),CHAR(96),_xlfn.CONCAT(CHAR(92),CHAR(96))),CHAR(34),CHAR(39))))</f>
        <v/>
      </c>
      <c r="T842" s="5" t="str">
        <f>IF(OR(TRIM($B842)="",$J842=""),"",IF(OR(ISNUMBER(SEARCH(_xlfn.CONCAT(CHAR(96),CHAR(34)),$J842)),ISNUMBER(SEARCH(_xlfn.CONCAT(CHAR(34),CHAR(39)),$J842))),_xlfn.CONCAT("* REVIEW REQUIRED: compound-quote delimiter in Notes on Sheet 1 row ",842,"; edit the input before running."),_xlfn.CONCAT("char ",TRIM($B842),"[doc_notes] ",CHAR(96),CHAR(34),SUBSTITUTE(SUBSTITUTE(SUBSTITUTE(SUBSTITUTE(SUBSTITUTE(SUBSTITUTE($J842,CHAR(13)," "),CHAR(10)," "),CHAR(9)," "),CHAR(92),_xlfn.CONCAT(CHAR(92),CHAR(92))),"$",_xlfn.CONCAT(CHAR(92),"$")),CHAR(96),_xlfn.CONCAT(CHAR(92),CHAR(96))),CHAR(34),CHAR(39))))</f>
        <v/>
      </c>
      <c r="U842" s="5">
        <f t="shared" si="25"/>
        <v>0</v>
      </c>
    </row>
    <row r="843" spans="3:21" ht="30" customHeight="1" x14ac:dyDescent="0.2">
      <c r="C843" s="4"/>
      <c r="K843" s="5">
        <f t="shared" si="24"/>
        <v>0</v>
      </c>
      <c r="L843" s="5" t="str">
        <f>IF(OR(TRIM($B843)="",$A843=""),"",IF(OR(ISNUMBER(SEARCH(_xlfn.CONCAT(CHAR(96),CHAR(34)),$A843)),ISNUMBER(SEARCH(_xlfn.CONCAT(CHAR(34),CHAR(39)),$A843))),_xlfn.CONCAT("* REVIEW REQUIRED: compound-quote delimiter in Codebook Section on Sheet 1 row ",843,"; edit the input before running."),_xlfn.CONCAT("char ",TRIM($B843),"[doc_section] ",CHAR(96),CHAR(34),SUBSTITUTE(SUBSTITUTE(SUBSTITUTE(SUBSTITUTE(SUBSTITUTE(SUBSTITUTE($A843,CHAR(13)," "),CHAR(10)," "),CHAR(9)," "),CHAR(92),_xlfn.CONCAT(CHAR(92),CHAR(92))),"$",_xlfn.CONCAT(CHAR(92),"$")),CHAR(96),_xlfn.CONCAT(CHAR(92),CHAR(96))),CHAR(34),CHAR(39))))</f>
        <v/>
      </c>
      <c r="M843" s="5" t="str">
        <f>IF(OR(TRIM($B843)="",$C843=""),"",IF(IFERROR(MATCH(TRIM($C843),{"Quantitative","Continuous","Discrete","Categorical","Nominal","Ordinal","Identifier"},0),0)=0,_xlfn.CONCAT("* REVIEW REQUIRED: invalid Variable Type on Sheet 1 row ",843,"."),_xlfn.CONCAT("char ",TRIM($B843),"[doc_vartype] ",CHAR(96),CHAR(34),SUBSTITUTE(SUBSTITUTE(SUBSTITUTE(SUBSTITUTE(SUBSTITUTE(SUBSTITUTE(LOWER(TRIM($C843)),CHAR(13)," "),CHAR(10)," "),CHAR(9)," "),CHAR(92),_xlfn.CONCAT(CHAR(92),CHAR(92))),"$",_xlfn.CONCAT(CHAR(92),"$")),CHAR(96),_xlfn.CONCAT(CHAR(92),CHAR(96))),CHAR(34),CHAR(39))))</f>
        <v/>
      </c>
      <c r="N843" s="5" t="str">
        <f>IF(OR(TRIM($B843)="",$D843=""),"",IF(OR(ISNUMBER(SEARCH(_xlfn.CONCAT(CHAR(96),CHAR(34)),$D843)),ISNUMBER(SEARCH(_xlfn.CONCAT(CHAR(34),CHAR(39)),$D843))),_xlfn.CONCAT("* REVIEW REQUIRED: compound-quote delimiter in Item Number on Sheet 1 row ",843,"; edit the input before running."),_xlfn.CONCAT("char ",TRIM($B843),"[doc_itemnum] ",CHAR(96),CHAR(34),SUBSTITUTE(SUBSTITUTE(SUBSTITUTE(SUBSTITUTE(SUBSTITUTE(SUBSTITUTE($D843,CHAR(13)," "),CHAR(10)," "),CHAR(9)," "),CHAR(92),_xlfn.CONCAT(CHAR(92),CHAR(92))),"$",_xlfn.CONCAT(CHAR(92),"$")),CHAR(96),_xlfn.CONCAT(CHAR(92),CHAR(96))),CHAR(34),CHAR(39))))</f>
        <v/>
      </c>
      <c r="O843" s="5" t="str">
        <f>IF(OR(TRIM($B843)="",$E843=""),"",IF(OR(ISNUMBER(SEARCH(_xlfn.CONCAT(CHAR(96),CHAR(34)),$E843)),ISNUMBER(SEARCH(_xlfn.CONCAT(CHAR(34),CHAR(39)),$E843))),_xlfn.CONCAT("* REVIEW REQUIRED: compound-quote delimiter in Question Wording on Sheet 1 row ",843,"; edit the input before running."),_xlfn.CONCAT("char ",TRIM($B843),"[doc_question] ",CHAR(96),CHAR(34),SUBSTITUTE(SUBSTITUTE(SUBSTITUTE(SUBSTITUTE(SUBSTITUTE(SUBSTITUTE($E843,CHAR(13)," "),CHAR(10)," "),CHAR(9)," "),CHAR(92),_xlfn.CONCAT(CHAR(92),CHAR(92))),"$",_xlfn.CONCAT(CHAR(92),"$")),CHAR(96),_xlfn.CONCAT(CHAR(92),CHAR(96))),CHAR(34),CHAR(39))))</f>
        <v/>
      </c>
      <c r="P843" s="5" t="str">
        <f>IF(OR(TRIM($B843)="",$F843=""),"",IF(OR(ISNUMBER(SEARCH(_xlfn.CONCAT(CHAR(96),CHAR(34)),$F843)),ISNUMBER(SEARCH(_xlfn.CONCAT(CHAR(34),CHAR(39)),$F843))),_xlfn.CONCAT("* REVIEW REQUIRED: compound-quote delimiter in Units on Sheet 1 row ",843,"; edit the input before running."),_xlfn.CONCAT("char ",TRIM($B843),"[doc_units] ",CHAR(96),CHAR(34),SUBSTITUTE(SUBSTITUTE(SUBSTITUTE(SUBSTITUTE(SUBSTITUTE(SUBSTITUTE($F843,CHAR(13)," "),CHAR(10)," "),CHAR(9)," "),CHAR(92),_xlfn.CONCAT(CHAR(92),CHAR(92))),"$",_xlfn.CONCAT(CHAR(92),"$")),CHAR(96),_xlfn.CONCAT(CHAR(92),CHAR(96))),CHAR(34),CHAR(39))))</f>
        <v/>
      </c>
      <c r="Q843" s="5" t="str">
        <f>IF(OR(TRIM($B843)="",$G843=""),"",IF(OR(ISNUMBER(SEARCH(_xlfn.CONCAT(CHAR(96),CHAR(34)),$G843)),ISNUMBER(SEARCH(_xlfn.CONCAT(CHAR(34),CHAR(39)),$G843))),_xlfn.CONCAT("* REVIEW REQUIRED: compound-quote delimiter in Universe on Sheet 1 row ",843,"; edit the input before running."),_xlfn.CONCAT("char ",TRIM($B843),"[doc_universe] ",CHAR(96),CHAR(34),SUBSTITUTE(SUBSTITUTE(SUBSTITUTE(SUBSTITUTE(SUBSTITUTE(SUBSTITUTE($G843,CHAR(13)," "),CHAR(10)," "),CHAR(9)," "),CHAR(92),_xlfn.CONCAT(CHAR(92),CHAR(92))),"$",_xlfn.CONCAT(CHAR(92),"$")),CHAR(96),_xlfn.CONCAT(CHAR(92),CHAR(96))),CHAR(34),CHAR(39))))</f>
        <v/>
      </c>
      <c r="R843" s="5" t="str">
        <f>IF(OR(TRIM($B843)="",$H843=""),"",IF(OR(ISNUMBER(SEARCH(_xlfn.CONCAT(CHAR(96),CHAR(34)),$H843)),ISNUMBER(SEARCH(_xlfn.CONCAT(CHAR(34),CHAR(39)),$H843))),_xlfn.CONCAT("* REVIEW REQUIRED: compound-quote delimiter in Source on Sheet 1 row ",843,"; edit the input before running."),_xlfn.CONCAT("char ",TRIM($B843),"[doc_source] ",CHAR(96),CHAR(34),SUBSTITUTE(SUBSTITUTE(SUBSTITUTE(SUBSTITUTE(SUBSTITUTE(SUBSTITUTE($H843,CHAR(13)," "),CHAR(10)," "),CHAR(9)," "),CHAR(92),_xlfn.CONCAT(CHAR(92),CHAR(92))),"$",_xlfn.CONCAT(CHAR(92),"$")),CHAR(96),_xlfn.CONCAT(CHAR(92),CHAR(96))),CHAR(34),CHAR(39))))</f>
        <v/>
      </c>
      <c r="S843" s="5" t="str">
        <f>IF(OR(TRIM($B843)="",$I843=""),"",IF(OR(ISNUMBER(SEARCH(_xlfn.CONCAT(CHAR(96),CHAR(34)),$I843)),ISNUMBER(SEARCH(_xlfn.CONCAT(CHAR(34),CHAR(39)),$I843))),_xlfn.CONCAT("* REVIEW REQUIRED: compound-quote delimiter in Derivation on Sheet 1 row ",843,"; edit the input before running."),_xlfn.CONCAT("char ",TRIM($B843),"[doc_derivation] ",CHAR(96),CHAR(34),SUBSTITUTE(SUBSTITUTE(SUBSTITUTE(SUBSTITUTE(SUBSTITUTE(SUBSTITUTE($I843,CHAR(13)," "),CHAR(10)," "),CHAR(9)," "),CHAR(92),_xlfn.CONCAT(CHAR(92),CHAR(92))),"$",_xlfn.CONCAT(CHAR(92),"$")),CHAR(96),_xlfn.CONCAT(CHAR(92),CHAR(96))),CHAR(34),CHAR(39))))</f>
        <v/>
      </c>
      <c r="T843" s="5" t="str">
        <f>IF(OR(TRIM($B843)="",$J843=""),"",IF(OR(ISNUMBER(SEARCH(_xlfn.CONCAT(CHAR(96),CHAR(34)),$J843)),ISNUMBER(SEARCH(_xlfn.CONCAT(CHAR(34),CHAR(39)),$J843))),_xlfn.CONCAT("* REVIEW REQUIRED: compound-quote delimiter in Notes on Sheet 1 row ",843,"; edit the input before running."),_xlfn.CONCAT("char ",TRIM($B843),"[doc_notes] ",CHAR(96),CHAR(34),SUBSTITUTE(SUBSTITUTE(SUBSTITUTE(SUBSTITUTE(SUBSTITUTE(SUBSTITUTE($J843,CHAR(13)," "),CHAR(10)," "),CHAR(9)," "),CHAR(92),_xlfn.CONCAT(CHAR(92),CHAR(92))),"$",_xlfn.CONCAT(CHAR(92),"$")),CHAR(96),_xlfn.CONCAT(CHAR(92),CHAR(96))),CHAR(34),CHAR(39))))</f>
        <v/>
      </c>
      <c r="U843" s="5">
        <f t="shared" si="25"/>
        <v>0</v>
      </c>
    </row>
    <row r="844" spans="3:21" ht="30" customHeight="1" x14ac:dyDescent="0.2">
      <c r="C844" s="4"/>
      <c r="K844" s="5">
        <f t="shared" si="24"/>
        <v>0</v>
      </c>
      <c r="L844" s="5" t="str">
        <f>IF(OR(TRIM($B844)="",$A844=""),"",IF(OR(ISNUMBER(SEARCH(_xlfn.CONCAT(CHAR(96),CHAR(34)),$A844)),ISNUMBER(SEARCH(_xlfn.CONCAT(CHAR(34),CHAR(39)),$A844))),_xlfn.CONCAT("* REVIEW REQUIRED: compound-quote delimiter in Codebook Section on Sheet 1 row ",844,"; edit the input before running."),_xlfn.CONCAT("char ",TRIM($B844),"[doc_section] ",CHAR(96),CHAR(34),SUBSTITUTE(SUBSTITUTE(SUBSTITUTE(SUBSTITUTE(SUBSTITUTE(SUBSTITUTE($A844,CHAR(13)," "),CHAR(10)," "),CHAR(9)," "),CHAR(92),_xlfn.CONCAT(CHAR(92),CHAR(92))),"$",_xlfn.CONCAT(CHAR(92),"$")),CHAR(96),_xlfn.CONCAT(CHAR(92),CHAR(96))),CHAR(34),CHAR(39))))</f>
        <v/>
      </c>
      <c r="M844" s="5" t="str">
        <f>IF(OR(TRIM($B844)="",$C844=""),"",IF(IFERROR(MATCH(TRIM($C844),{"Quantitative","Continuous","Discrete","Categorical","Nominal","Ordinal","Identifier"},0),0)=0,_xlfn.CONCAT("* REVIEW REQUIRED: invalid Variable Type on Sheet 1 row ",844,"."),_xlfn.CONCAT("char ",TRIM($B844),"[doc_vartype] ",CHAR(96),CHAR(34),SUBSTITUTE(SUBSTITUTE(SUBSTITUTE(SUBSTITUTE(SUBSTITUTE(SUBSTITUTE(LOWER(TRIM($C844)),CHAR(13)," "),CHAR(10)," "),CHAR(9)," "),CHAR(92),_xlfn.CONCAT(CHAR(92),CHAR(92))),"$",_xlfn.CONCAT(CHAR(92),"$")),CHAR(96),_xlfn.CONCAT(CHAR(92),CHAR(96))),CHAR(34),CHAR(39))))</f>
        <v/>
      </c>
      <c r="N844" s="5" t="str">
        <f>IF(OR(TRIM($B844)="",$D844=""),"",IF(OR(ISNUMBER(SEARCH(_xlfn.CONCAT(CHAR(96),CHAR(34)),$D844)),ISNUMBER(SEARCH(_xlfn.CONCAT(CHAR(34),CHAR(39)),$D844))),_xlfn.CONCAT("* REVIEW REQUIRED: compound-quote delimiter in Item Number on Sheet 1 row ",844,"; edit the input before running."),_xlfn.CONCAT("char ",TRIM($B844),"[doc_itemnum] ",CHAR(96),CHAR(34),SUBSTITUTE(SUBSTITUTE(SUBSTITUTE(SUBSTITUTE(SUBSTITUTE(SUBSTITUTE($D844,CHAR(13)," "),CHAR(10)," "),CHAR(9)," "),CHAR(92),_xlfn.CONCAT(CHAR(92),CHAR(92))),"$",_xlfn.CONCAT(CHAR(92),"$")),CHAR(96),_xlfn.CONCAT(CHAR(92),CHAR(96))),CHAR(34),CHAR(39))))</f>
        <v/>
      </c>
      <c r="O844" s="5" t="str">
        <f>IF(OR(TRIM($B844)="",$E844=""),"",IF(OR(ISNUMBER(SEARCH(_xlfn.CONCAT(CHAR(96),CHAR(34)),$E844)),ISNUMBER(SEARCH(_xlfn.CONCAT(CHAR(34),CHAR(39)),$E844))),_xlfn.CONCAT("* REVIEW REQUIRED: compound-quote delimiter in Question Wording on Sheet 1 row ",844,"; edit the input before running."),_xlfn.CONCAT("char ",TRIM($B844),"[doc_question] ",CHAR(96),CHAR(34),SUBSTITUTE(SUBSTITUTE(SUBSTITUTE(SUBSTITUTE(SUBSTITUTE(SUBSTITUTE($E844,CHAR(13)," "),CHAR(10)," "),CHAR(9)," "),CHAR(92),_xlfn.CONCAT(CHAR(92),CHAR(92))),"$",_xlfn.CONCAT(CHAR(92),"$")),CHAR(96),_xlfn.CONCAT(CHAR(92),CHAR(96))),CHAR(34),CHAR(39))))</f>
        <v/>
      </c>
      <c r="P844" s="5" t="str">
        <f>IF(OR(TRIM($B844)="",$F844=""),"",IF(OR(ISNUMBER(SEARCH(_xlfn.CONCAT(CHAR(96),CHAR(34)),$F844)),ISNUMBER(SEARCH(_xlfn.CONCAT(CHAR(34),CHAR(39)),$F844))),_xlfn.CONCAT("* REVIEW REQUIRED: compound-quote delimiter in Units on Sheet 1 row ",844,"; edit the input before running."),_xlfn.CONCAT("char ",TRIM($B844),"[doc_units] ",CHAR(96),CHAR(34),SUBSTITUTE(SUBSTITUTE(SUBSTITUTE(SUBSTITUTE(SUBSTITUTE(SUBSTITUTE($F844,CHAR(13)," "),CHAR(10)," "),CHAR(9)," "),CHAR(92),_xlfn.CONCAT(CHAR(92),CHAR(92))),"$",_xlfn.CONCAT(CHAR(92),"$")),CHAR(96),_xlfn.CONCAT(CHAR(92),CHAR(96))),CHAR(34),CHAR(39))))</f>
        <v/>
      </c>
      <c r="Q844" s="5" t="str">
        <f>IF(OR(TRIM($B844)="",$G844=""),"",IF(OR(ISNUMBER(SEARCH(_xlfn.CONCAT(CHAR(96),CHAR(34)),$G844)),ISNUMBER(SEARCH(_xlfn.CONCAT(CHAR(34),CHAR(39)),$G844))),_xlfn.CONCAT("* REVIEW REQUIRED: compound-quote delimiter in Universe on Sheet 1 row ",844,"; edit the input before running."),_xlfn.CONCAT("char ",TRIM($B844),"[doc_universe] ",CHAR(96),CHAR(34),SUBSTITUTE(SUBSTITUTE(SUBSTITUTE(SUBSTITUTE(SUBSTITUTE(SUBSTITUTE($G844,CHAR(13)," "),CHAR(10)," "),CHAR(9)," "),CHAR(92),_xlfn.CONCAT(CHAR(92),CHAR(92))),"$",_xlfn.CONCAT(CHAR(92),"$")),CHAR(96),_xlfn.CONCAT(CHAR(92),CHAR(96))),CHAR(34),CHAR(39))))</f>
        <v/>
      </c>
      <c r="R844" s="5" t="str">
        <f>IF(OR(TRIM($B844)="",$H844=""),"",IF(OR(ISNUMBER(SEARCH(_xlfn.CONCAT(CHAR(96),CHAR(34)),$H844)),ISNUMBER(SEARCH(_xlfn.CONCAT(CHAR(34),CHAR(39)),$H844))),_xlfn.CONCAT("* REVIEW REQUIRED: compound-quote delimiter in Source on Sheet 1 row ",844,"; edit the input before running."),_xlfn.CONCAT("char ",TRIM($B844),"[doc_source] ",CHAR(96),CHAR(34),SUBSTITUTE(SUBSTITUTE(SUBSTITUTE(SUBSTITUTE(SUBSTITUTE(SUBSTITUTE($H844,CHAR(13)," "),CHAR(10)," "),CHAR(9)," "),CHAR(92),_xlfn.CONCAT(CHAR(92),CHAR(92))),"$",_xlfn.CONCAT(CHAR(92),"$")),CHAR(96),_xlfn.CONCAT(CHAR(92),CHAR(96))),CHAR(34),CHAR(39))))</f>
        <v/>
      </c>
      <c r="S844" s="5" t="str">
        <f>IF(OR(TRIM($B844)="",$I844=""),"",IF(OR(ISNUMBER(SEARCH(_xlfn.CONCAT(CHAR(96),CHAR(34)),$I844)),ISNUMBER(SEARCH(_xlfn.CONCAT(CHAR(34),CHAR(39)),$I844))),_xlfn.CONCAT("* REVIEW REQUIRED: compound-quote delimiter in Derivation on Sheet 1 row ",844,"; edit the input before running."),_xlfn.CONCAT("char ",TRIM($B844),"[doc_derivation] ",CHAR(96),CHAR(34),SUBSTITUTE(SUBSTITUTE(SUBSTITUTE(SUBSTITUTE(SUBSTITUTE(SUBSTITUTE($I844,CHAR(13)," "),CHAR(10)," "),CHAR(9)," "),CHAR(92),_xlfn.CONCAT(CHAR(92),CHAR(92))),"$",_xlfn.CONCAT(CHAR(92),"$")),CHAR(96),_xlfn.CONCAT(CHAR(92),CHAR(96))),CHAR(34),CHAR(39))))</f>
        <v/>
      </c>
      <c r="T844" s="5" t="str">
        <f>IF(OR(TRIM($B844)="",$J844=""),"",IF(OR(ISNUMBER(SEARCH(_xlfn.CONCAT(CHAR(96),CHAR(34)),$J844)),ISNUMBER(SEARCH(_xlfn.CONCAT(CHAR(34),CHAR(39)),$J844))),_xlfn.CONCAT("* REVIEW REQUIRED: compound-quote delimiter in Notes on Sheet 1 row ",844,"; edit the input before running."),_xlfn.CONCAT("char ",TRIM($B844),"[doc_notes] ",CHAR(96),CHAR(34),SUBSTITUTE(SUBSTITUTE(SUBSTITUTE(SUBSTITUTE(SUBSTITUTE(SUBSTITUTE($J844,CHAR(13)," "),CHAR(10)," "),CHAR(9)," "),CHAR(92),_xlfn.CONCAT(CHAR(92),CHAR(92))),"$",_xlfn.CONCAT(CHAR(92),"$")),CHAR(96),_xlfn.CONCAT(CHAR(92),CHAR(96))),CHAR(34),CHAR(39))))</f>
        <v/>
      </c>
      <c r="U844" s="5">
        <f t="shared" si="25"/>
        <v>0</v>
      </c>
    </row>
    <row r="845" spans="3:21" ht="30" customHeight="1" x14ac:dyDescent="0.2">
      <c r="C845" s="4"/>
      <c r="K845" s="5">
        <f t="shared" si="24"/>
        <v>0</v>
      </c>
      <c r="L845" s="5" t="str">
        <f>IF(OR(TRIM($B845)="",$A845=""),"",IF(OR(ISNUMBER(SEARCH(_xlfn.CONCAT(CHAR(96),CHAR(34)),$A845)),ISNUMBER(SEARCH(_xlfn.CONCAT(CHAR(34),CHAR(39)),$A845))),_xlfn.CONCAT("* REVIEW REQUIRED: compound-quote delimiter in Codebook Section on Sheet 1 row ",845,"; edit the input before running."),_xlfn.CONCAT("char ",TRIM($B845),"[doc_section] ",CHAR(96),CHAR(34),SUBSTITUTE(SUBSTITUTE(SUBSTITUTE(SUBSTITUTE(SUBSTITUTE(SUBSTITUTE($A845,CHAR(13)," "),CHAR(10)," "),CHAR(9)," "),CHAR(92),_xlfn.CONCAT(CHAR(92),CHAR(92))),"$",_xlfn.CONCAT(CHAR(92),"$")),CHAR(96),_xlfn.CONCAT(CHAR(92),CHAR(96))),CHAR(34),CHAR(39))))</f>
        <v/>
      </c>
      <c r="M845" s="5" t="str">
        <f>IF(OR(TRIM($B845)="",$C845=""),"",IF(IFERROR(MATCH(TRIM($C845),{"Quantitative","Continuous","Discrete","Categorical","Nominal","Ordinal","Identifier"},0),0)=0,_xlfn.CONCAT("* REVIEW REQUIRED: invalid Variable Type on Sheet 1 row ",845,"."),_xlfn.CONCAT("char ",TRIM($B845),"[doc_vartype] ",CHAR(96),CHAR(34),SUBSTITUTE(SUBSTITUTE(SUBSTITUTE(SUBSTITUTE(SUBSTITUTE(SUBSTITUTE(LOWER(TRIM($C845)),CHAR(13)," "),CHAR(10)," "),CHAR(9)," "),CHAR(92),_xlfn.CONCAT(CHAR(92),CHAR(92))),"$",_xlfn.CONCAT(CHAR(92),"$")),CHAR(96),_xlfn.CONCAT(CHAR(92),CHAR(96))),CHAR(34),CHAR(39))))</f>
        <v/>
      </c>
      <c r="N845" s="5" t="str">
        <f>IF(OR(TRIM($B845)="",$D845=""),"",IF(OR(ISNUMBER(SEARCH(_xlfn.CONCAT(CHAR(96),CHAR(34)),$D845)),ISNUMBER(SEARCH(_xlfn.CONCAT(CHAR(34),CHAR(39)),$D845))),_xlfn.CONCAT("* REVIEW REQUIRED: compound-quote delimiter in Item Number on Sheet 1 row ",845,"; edit the input before running."),_xlfn.CONCAT("char ",TRIM($B845),"[doc_itemnum] ",CHAR(96),CHAR(34),SUBSTITUTE(SUBSTITUTE(SUBSTITUTE(SUBSTITUTE(SUBSTITUTE(SUBSTITUTE($D845,CHAR(13)," "),CHAR(10)," "),CHAR(9)," "),CHAR(92),_xlfn.CONCAT(CHAR(92),CHAR(92))),"$",_xlfn.CONCAT(CHAR(92),"$")),CHAR(96),_xlfn.CONCAT(CHAR(92),CHAR(96))),CHAR(34),CHAR(39))))</f>
        <v/>
      </c>
      <c r="O845" s="5" t="str">
        <f>IF(OR(TRIM($B845)="",$E845=""),"",IF(OR(ISNUMBER(SEARCH(_xlfn.CONCAT(CHAR(96),CHAR(34)),$E845)),ISNUMBER(SEARCH(_xlfn.CONCAT(CHAR(34),CHAR(39)),$E845))),_xlfn.CONCAT("* REVIEW REQUIRED: compound-quote delimiter in Question Wording on Sheet 1 row ",845,"; edit the input before running."),_xlfn.CONCAT("char ",TRIM($B845),"[doc_question] ",CHAR(96),CHAR(34),SUBSTITUTE(SUBSTITUTE(SUBSTITUTE(SUBSTITUTE(SUBSTITUTE(SUBSTITUTE($E845,CHAR(13)," "),CHAR(10)," "),CHAR(9)," "),CHAR(92),_xlfn.CONCAT(CHAR(92),CHAR(92))),"$",_xlfn.CONCAT(CHAR(92),"$")),CHAR(96),_xlfn.CONCAT(CHAR(92),CHAR(96))),CHAR(34),CHAR(39))))</f>
        <v/>
      </c>
      <c r="P845" s="5" t="str">
        <f>IF(OR(TRIM($B845)="",$F845=""),"",IF(OR(ISNUMBER(SEARCH(_xlfn.CONCAT(CHAR(96),CHAR(34)),$F845)),ISNUMBER(SEARCH(_xlfn.CONCAT(CHAR(34),CHAR(39)),$F845))),_xlfn.CONCAT("* REVIEW REQUIRED: compound-quote delimiter in Units on Sheet 1 row ",845,"; edit the input before running."),_xlfn.CONCAT("char ",TRIM($B845),"[doc_units] ",CHAR(96),CHAR(34),SUBSTITUTE(SUBSTITUTE(SUBSTITUTE(SUBSTITUTE(SUBSTITUTE(SUBSTITUTE($F845,CHAR(13)," "),CHAR(10)," "),CHAR(9)," "),CHAR(92),_xlfn.CONCAT(CHAR(92),CHAR(92))),"$",_xlfn.CONCAT(CHAR(92),"$")),CHAR(96),_xlfn.CONCAT(CHAR(92),CHAR(96))),CHAR(34),CHAR(39))))</f>
        <v/>
      </c>
      <c r="Q845" s="5" t="str">
        <f>IF(OR(TRIM($B845)="",$G845=""),"",IF(OR(ISNUMBER(SEARCH(_xlfn.CONCAT(CHAR(96),CHAR(34)),$G845)),ISNUMBER(SEARCH(_xlfn.CONCAT(CHAR(34),CHAR(39)),$G845))),_xlfn.CONCAT("* REVIEW REQUIRED: compound-quote delimiter in Universe on Sheet 1 row ",845,"; edit the input before running."),_xlfn.CONCAT("char ",TRIM($B845),"[doc_universe] ",CHAR(96),CHAR(34),SUBSTITUTE(SUBSTITUTE(SUBSTITUTE(SUBSTITUTE(SUBSTITUTE(SUBSTITUTE($G845,CHAR(13)," "),CHAR(10)," "),CHAR(9)," "),CHAR(92),_xlfn.CONCAT(CHAR(92),CHAR(92))),"$",_xlfn.CONCAT(CHAR(92),"$")),CHAR(96),_xlfn.CONCAT(CHAR(92),CHAR(96))),CHAR(34),CHAR(39))))</f>
        <v/>
      </c>
      <c r="R845" s="5" t="str">
        <f>IF(OR(TRIM($B845)="",$H845=""),"",IF(OR(ISNUMBER(SEARCH(_xlfn.CONCAT(CHAR(96),CHAR(34)),$H845)),ISNUMBER(SEARCH(_xlfn.CONCAT(CHAR(34),CHAR(39)),$H845))),_xlfn.CONCAT("* REVIEW REQUIRED: compound-quote delimiter in Source on Sheet 1 row ",845,"; edit the input before running."),_xlfn.CONCAT("char ",TRIM($B845),"[doc_source] ",CHAR(96),CHAR(34),SUBSTITUTE(SUBSTITUTE(SUBSTITUTE(SUBSTITUTE(SUBSTITUTE(SUBSTITUTE($H845,CHAR(13)," "),CHAR(10)," "),CHAR(9)," "),CHAR(92),_xlfn.CONCAT(CHAR(92),CHAR(92))),"$",_xlfn.CONCAT(CHAR(92),"$")),CHAR(96),_xlfn.CONCAT(CHAR(92),CHAR(96))),CHAR(34),CHAR(39))))</f>
        <v/>
      </c>
      <c r="S845" s="5" t="str">
        <f>IF(OR(TRIM($B845)="",$I845=""),"",IF(OR(ISNUMBER(SEARCH(_xlfn.CONCAT(CHAR(96),CHAR(34)),$I845)),ISNUMBER(SEARCH(_xlfn.CONCAT(CHAR(34),CHAR(39)),$I845))),_xlfn.CONCAT("* REVIEW REQUIRED: compound-quote delimiter in Derivation on Sheet 1 row ",845,"; edit the input before running."),_xlfn.CONCAT("char ",TRIM($B845),"[doc_derivation] ",CHAR(96),CHAR(34),SUBSTITUTE(SUBSTITUTE(SUBSTITUTE(SUBSTITUTE(SUBSTITUTE(SUBSTITUTE($I845,CHAR(13)," "),CHAR(10)," "),CHAR(9)," "),CHAR(92),_xlfn.CONCAT(CHAR(92),CHAR(92))),"$",_xlfn.CONCAT(CHAR(92),"$")),CHAR(96),_xlfn.CONCAT(CHAR(92),CHAR(96))),CHAR(34),CHAR(39))))</f>
        <v/>
      </c>
      <c r="T845" s="5" t="str">
        <f>IF(OR(TRIM($B845)="",$J845=""),"",IF(OR(ISNUMBER(SEARCH(_xlfn.CONCAT(CHAR(96),CHAR(34)),$J845)),ISNUMBER(SEARCH(_xlfn.CONCAT(CHAR(34),CHAR(39)),$J845))),_xlfn.CONCAT("* REVIEW REQUIRED: compound-quote delimiter in Notes on Sheet 1 row ",845,"; edit the input before running."),_xlfn.CONCAT("char ",TRIM($B845),"[doc_notes] ",CHAR(96),CHAR(34),SUBSTITUTE(SUBSTITUTE(SUBSTITUTE(SUBSTITUTE(SUBSTITUTE(SUBSTITUTE($J845,CHAR(13)," "),CHAR(10)," "),CHAR(9)," "),CHAR(92),_xlfn.CONCAT(CHAR(92),CHAR(92))),"$",_xlfn.CONCAT(CHAR(92),"$")),CHAR(96),_xlfn.CONCAT(CHAR(92),CHAR(96))),CHAR(34),CHAR(39))))</f>
        <v/>
      </c>
      <c r="U845" s="5">
        <f t="shared" si="25"/>
        <v>0</v>
      </c>
    </row>
    <row r="846" spans="3:21" ht="30" customHeight="1" x14ac:dyDescent="0.2">
      <c r="C846" s="4"/>
      <c r="K846" s="5">
        <f t="shared" si="24"/>
        <v>0</v>
      </c>
      <c r="L846" s="5" t="str">
        <f>IF(OR(TRIM($B846)="",$A846=""),"",IF(OR(ISNUMBER(SEARCH(_xlfn.CONCAT(CHAR(96),CHAR(34)),$A846)),ISNUMBER(SEARCH(_xlfn.CONCAT(CHAR(34),CHAR(39)),$A846))),_xlfn.CONCAT("* REVIEW REQUIRED: compound-quote delimiter in Codebook Section on Sheet 1 row ",846,"; edit the input before running."),_xlfn.CONCAT("char ",TRIM($B846),"[doc_section] ",CHAR(96),CHAR(34),SUBSTITUTE(SUBSTITUTE(SUBSTITUTE(SUBSTITUTE(SUBSTITUTE(SUBSTITUTE($A846,CHAR(13)," "),CHAR(10)," "),CHAR(9)," "),CHAR(92),_xlfn.CONCAT(CHAR(92),CHAR(92))),"$",_xlfn.CONCAT(CHAR(92),"$")),CHAR(96),_xlfn.CONCAT(CHAR(92),CHAR(96))),CHAR(34),CHAR(39))))</f>
        <v/>
      </c>
      <c r="M846" s="5" t="str">
        <f>IF(OR(TRIM($B846)="",$C846=""),"",IF(IFERROR(MATCH(TRIM($C846),{"Quantitative","Continuous","Discrete","Categorical","Nominal","Ordinal","Identifier"},0),0)=0,_xlfn.CONCAT("* REVIEW REQUIRED: invalid Variable Type on Sheet 1 row ",846,"."),_xlfn.CONCAT("char ",TRIM($B846),"[doc_vartype] ",CHAR(96),CHAR(34),SUBSTITUTE(SUBSTITUTE(SUBSTITUTE(SUBSTITUTE(SUBSTITUTE(SUBSTITUTE(LOWER(TRIM($C846)),CHAR(13)," "),CHAR(10)," "),CHAR(9)," "),CHAR(92),_xlfn.CONCAT(CHAR(92),CHAR(92))),"$",_xlfn.CONCAT(CHAR(92),"$")),CHAR(96),_xlfn.CONCAT(CHAR(92),CHAR(96))),CHAR(34),CHAR(39))))</f>
        <v/>
      </c>
      <c r="N846" s="5" t="str">
        <f>IF(OR(TRIM($B846)="",$D846=""),"",IF(OR(ISNUMBER(SEARCH(_xlfn.CONCAT(CHAR(96),CHAR(34)),$D846)),ISNUMBER(SEARCH(_xlfn.CONCAT(CHAR(34),CHAR(39)),$D846))),_xlfn.CONCAT("* REVIEW REQUIRED: compound-quote delimiter in Item Number on Sheet 1 row ",846,"; edit the input before running."),_xlfn.CONCAT("char ",TRIM($B846),"[doc_itemnum] ",CHAR(96),CHAR(34),SUBSTITUTE(SUBSTITUTE(SUBSTITUTE(SUBSTITUTE(SUBSTITUTE(SUBSTITUTE($D846,CHAR(13)," "),CHAR(10)," "),CHAR(9)," "),CHAR(92),_xlfn.CONCAT(CHAR(92),CHAR(92))),"$",_xlfn.CONCAT(CHAR(92),"$")),CHAR(96),_xlfn.CONCAT(CHAR(92),CHAR(96))),CHAR(34),CHAR(39))))</f>
        <v/>
      </c>
      <c r="O846" s="5" t="str">
        <f>IF(OR(TRIM($B846)="",$E846=""),"",IF(OR(ISNUMBER(SEARCH(_xlfn.CONCAT(CHAR(96),CHAR(34)),$E846)),ISNUMBER(SEARCH(_xlfn.CONCAT(CHAR(34),CHAR(39)),$E846))),_xlfn.CONCAT("* REVIEW REQUIRED: compound-quote delimiter in Question Wording on Sheet 1 row ",846,"; edit the input before running."),_xlfn.CONCAT("char ",TRIM($B846),"[doc_question] ",CHAR(96),CHAR(34),SUBSTITUTE(SUBSTITUTE(SUBSTITUTE(SUBSTITUTE(SUBSTITUTE(SUBSTITUTE($E846,CHAR(13)," "),CHAR(10)," "),CHAR(9)," "),CHAR(92),_xlfn.CONCAT(CHAR(92),CHAR(92))),"$",_xlfn.CONCAT(CHAR(92),"$")),CHAR(96),_xlfn.CONCAT(CHAR(92),CHAR(96))),CHAR(34),CHAR(39))))</f>
        <v/>
      </c>
      <c r="P846" s="5" t="str">
        <f>IF(OR(TRIM($B846)="",$F846=""),"",IF(OR(ISNUMBER(SEARCH(_xlfn.CONCAT(CHAR(96),CHAR(34)),$F846)),ISNUMBER(SEARCH(_xlfn.CONCAT(CHAR(34),CHAR(39)),$F846))),_xlfn.CONCAT("* REVIEW REQUIRED: compound-quote delimiter in Units on Sheet 1 row ",846,"; edit the input before running."),_xlfn.CONCAT("char ",TRIM($B846),"[doc_units] ",CHAR(96),CHAR(34),SUBSTITUTE(SUBSTITUTE(SUBSTITUTE(SUBSTITUTE(SUBSTITUTE(SUBSTITUTE($F846,CHAR(13)," "),CHAR(10)," "),CHAR(9)," "),CHAR(92),_xlfn.CONCAT(CHAR(92),CHAR(92))),"$",_xlfn.CONCAT(CHAR(92),"$")),CHAR(96),_xlfn.CONCAT(CHAR(92),CHAR(96))),CHAR(34),CHAR(39))))</f>
        <v/>
      </c>
      <c r="Q846" s="5" t="str">
        <f>IF(OR(TRIM($B846)="",$G846=""),"",IF(OR(ISNUMBER(SEARCH(_xlfn.CONCAT(CHAR(96),CHAR(34)),$G846)),ISNUMBER(SEARCH(_xlfn.CONCAT(CHAR(34),CHAR(39)),$G846))),_xlfn.CONCAT("* REVIEW REQUIRED: compound-quote delimiter in Universe on Sheet 1 row ",846,"; edit the input before running."),_xlfn.CONCAT("char ",TRIM($B846),"[doc_universe] ",CHAR(96),CHAR(34),SUBSTITUTE(SUBSTITUTE(SUBSTITUTE(SUBSTITUTE(SUBSTITUTE(SUBSTITUTE($G846,CHAR(13)," "),CHAR(10)," "),CHAR(9)," "),CHAR(92),_xlfn.CONCAT(CHAR(92),CHAR(92))),"$",_xlfn.CONCAT(CHAR(92),"$")),CHAR(96),_xlfn.CONCAT(CHAR(92),CHAR(96))),CHAR(34),CHAR(39))))</f>
        <v/>
      </c>
      <c r="R846" s="5" t="str">
        <f>IF(OR(TRIM($B846)="",$H846=""),"",IF(OR(ISNUMBER(SEARCH(_xlfn.CONCAT(CHAR(96),CHAR(34)),$H846)),ISNUMBER(SEARCH(_xlfn.CONCAT(CHAR(34),CHAR(39)),$H846))),_xlfn.CONCAT("* REVIEW REQUIRED: compound-quote delimiter in Source on Sheet 1 row ",846,"; edit the input before running."),_xlfn.CONCAT("char ",TRIM($B846),"[doc_source] ",CHAR(96),CHAR(34),SUBSTITUTE(SUBSTITUTE(SUBSTITUTE(SUBSTITUTE(SUBSTITUTE(SUBSTITUTE($H846,CHAR(13)," "),CHAR(10)," "),CHAR(9)," "),CHAR(92),_xlfn.CONCAT(CHAR(92),CHAR(92))),"$",_xlfn.CONCAT(CHAR(92),"$")),CHAR(96),_xlfn.CONCAT(CHAR(92),CHAR(96))),CHAR(34),CHAR(39))))</f>
        <v/>
      </c>
      <c r="S846" s="5" t="str">
        <f>IF(OR(TRIM($B846)="",$I846=""),"",IF(OR(ISNUMBER(SEARCH(_xlfn.CONCAT(CHAR(96),CHAR(34)),$I846)),ISNUMBER(SEARCH(_xlfn.CONCAT(CHAR(34),CHAR(39)),$I846))),_xlfn.CONCAT("* REVIEW REQUIRED: compound-quote delimiter in Derivation on Sheet 1 row ",846,"; edit the input before running."),_xlfn.CONCAT("char ",TRIM($B846),"[doc_derivation] ",CHAR(96),CHAR(34),SUBSTITUTE(SUBSTITUTE(SUBSTITUTE(SUBSTITUTE(SUBSTITUTE(SUBSTITUTE($I846,CHAR(13)," "),CHAR(10)," "),CHAR(9)," "),CHAR(92),_xlfn.CONCAT(CHAR(92),CHAR(92))),"$",_xlfn.CONCAT(CHAR(92),"$")),CHAR(96),_xlfn.CONCAT(CHAR(92),CHAR(96))),CHAR(34),CHAR(39))))</f>
        <v/>
      </c>
      <c r="T846" s="5" t="str">
        <f>IF(OR(TRIM($B846)="",$J846=""),"",IF(OR(ISNUMBER(SEARCH(_xlfn.CONCAT(CHAR(96),CHAR(34)),$J846)),ISNUMBER(SEARCH(_xlfn.CONCAT(CHAR(34),CHAR(39)),$J846))),_xlfn.CONCAT("* REVIEW REQUIRED: compound-quote delimiter in Notes on Sheet 1 row ",846,"; edit the input before running."),_xlfn.CONCAT("char ",TRIM($B846),"[doc_notes] ",CHAR(96),CHAR(34),SUBSTITUTE(SUBSTITUTE(SUBSTITUTE(SUBSTITUTE(SUBSTITUTE(SUBSTITUTE($J846,CHAR(13)," "),CHAR(10)," "),CHAR(9)," "),CHAR(92),_xlfn.CONCAT(CHAR(92),CHAR(92))),"$",_xlfn.CONCAT(CHAR(92),"$")),CHAR(96),_xlfn.CONCAT(CHAR(92),CHAR(96))),CHAR(34),CHAR(39))))</f>
        <v/>
      </c>
      <c r="U846" s="5">
        <f t="shared" si="25"/>
        <v>0</v>
      </c>
    </row>
    <row r="847" spans="3:21" ht="30" customHeight="1" x14ac:dyDescent="0.2">
      <c r="C847" s="4"/>
      <c r="K847" s="5">
        <f t="shared" si="24"/>
        <v>0</v>
      </c>
      <c r="L847" s="5" t="str">
        <f>IF(OR(TRIM($B847)="",$A847=""),"",IF(OR(ISNUMBER(SEARCH(_xlfn.CONCAT(CHAR(96),CHAR(34)),$A847)),ISNUMBER(SEARCH(_xlfn.CONCAT(CHAR(34),CHAR(39)),$A847))),_xlfn.CONCAT("* REVIEW REQUIRED: compound-quote delimiter in Codebook Section on Sheet 1 row ",847,"; edit the input before running."),_xlfn.CONCAT("char ",TRIM($B847),"[doc_section] ",CHAR(96),CHAR(34),SUBSTITUTE(SUBSTITUTE(SUBSTITUTE(SUBSTITUTE(SUBSTITUTE(SUBSTITUTE($A847,CHAR(13)," "),CHAR(10)," "),CHAR(9)," "),CHAR(92),_xlfn.CONCAT(CHAR(92),CHAR(92))),"$",_xlfn.CONCAT(CHAR(92),"$")),CHAR(96),_xlfn.CONCAT(CHAR(92),CHAR(96))),CHAR(34),CHAR(39))))</f>
        <v/>
      </c>
      <c r="M847" s="5" t="str">
        <f>IF(OR(TRIM($B847)="",$C847=""),"",IF(IFERROR(MATCH(TRIM($C847),{"Quantitative","Continuous","Discrete","Categorical","Nominal","Ordinal","Identifier"},0),0)=0,_xlfn.CONCAT("* REVIEW REQUIRED: invalid Variable Type on Sheet 1 row ",847,"."),_xlfn.CONCAT("char ",TRIM($B847),"[doc_vartype] ",CHAR(96),CHAR(34),SUBSTITUTE(SUBSTITUTE(SUBSTITUTE(SUBSTITUTE(SUBSTITUTE(SUBSTITUTE(LOWER(TRIM($C847)),CHAR(13)," "),CHAR(10)," "),CHAR(9)," "),CHAR(92),_xlfn.CONCAT(CHAR(92),CHAR(92))),"$",_xlfn.CONCAT(CHAR(92),"$")),CHAR(96),_xlfn.CONCAT(CHAR(92),CHAR(96))),CHAR(34),CHAR(39))))</f>
        <v/>
      </c>
      <c r="N847" s="5" t="str">
        <f>IF(OR(TRIM($B847)="",$D847=""),"",IF(OR(ISNUMBER(SEARCH(_xlfn.CONCAT(CHAR(96),CHAR(34)),$D847)),ISNUMBER(SEARCH(_xlfn.CONCAT(CHAR(34),CHAR(39)),$D847))),_xlfn.CONCAT("* REVIEW REQUIRED: compound-quote delimiter in Item Number on Sheet 1 row ",847,"; edit the input before running."),_xlfn.CONCAT("char ",TRIM($B847),"[doc_itemnum] ",CHAR(96),CHAR(34),SUBSTITUTE(SUBSTITUTE(SUBSTITUTE(SUBSTITUTE(SUBSTITUTE(SUBSTITUTE($D847,CHAR(13)," "),CHAR(10)," "),CHAR(9)," "),CHAR(92),_xlfn.CONCAT(CHAR(92),CHAR(92))),"$",_xlfn.CONCAT(CHAR(92),"$")),CHAR(96),_xlfn.CONCAT(CHAR(92),CHAR(96))),CHAR(34),CHAR(39))))</f>
        <v/>
      </c>
      <c r="O847" s="5" t="str">
        <f>IF(OR(TRIM($B847)="",$E847=""),"",IF(OR(ISNUMBER(SEARCH(_xlfn.CONCAT(CHAR(96),CHAR(34)),$E847)),ISNUMBER(SEARCH(_xlfn.CONCAT(CHAR(34),CHAR(39)),$E847))),_xlfn.CONCAT("* REVIEW REQUIRED: compound-quote delimiter in Question Wording on Sheet 1 row ",847,"; edit the input before running."),_xlfn.CONCAT("char ",TRIM($B847),"[doc_question] ",CHAR(96),CHAR(34),SUBSTITUTE(SUBSTITUTE(SUBSTITUTE(SUBSTITUTE(SUBSTITUTE(SUBSTITUTE($E847,CHAR(13)," "),CHAR(10)," "),CHAR(9)," "),CHAR(92),_xlfn.CONCAT(CHAR(92),CHAR(92))),"$",_xlfn.CONCAT(CHAR(92),"$")),CHAR(96),_xlfn.CONCAT(CHAR(92),CHAR(96))),CHAR(34),CHAR(39))))</f>
        <v/>
      </c>
      <c r="P847" s="5" t="str">
        <f>IF(OR(TRIM($B847)="",$F847=""),"",IF(OR(ISNUMBER(SEARCH(_xlfn.CONCAT(CHAR(96),CHAR(34)),$F847)),ISNUMBER(SEARCH(_xlfn.CONCAT(CHAR(34),CHAR(39)),$F847))),_xlfn.CONCAT("* REVIEW REQUIRED: compound-quote delimiter in Units on Sheet 1 row ",847,"; edit the input before running."),_xlfn.CONCAT("char ",TRIM($B847),"[doc_units] ",CHAR(96),CHAR(34),SUBSTITUTE(SUBSTITUTE(SUBSTITUTE(SUBSTITUTE(SUBSTITUTE(SUBSTITUTE($F847,CHAR(13)," "),CHAR(10)," "),CHAR(9)," "),CHAR(92),_xlfn.CONCAT(CHAR(92),CHAR(92))),"$",_xlfn.CONCAT(CHAR(92),"$")),CHAR(96),_xlfn.CONCAT(CHAR(92),CHAR(96))),CHAR(34),CHAR(39))))</f>
        <v/>
      </c>
      <c r="Q847" s="5" t="str">
        <f>IF(OR(TRIM($B847)="",$G847=""),"",IF(OR(ISNUMBER(SEARCH(_xlfn.CONCAT(CHAR(96),CHAR(34)),$G847)),ISNUMBER(SEARCH(_xlfn.CONCAT(CHAR(34),CHAR(39)),$G847))),_xlfn.CONCAT("* REVIEW REQUIRED: compound-quote delimiter in Universe on Sheet 1 row ",847,"; edit the input before running."),_xlfn.CONCAT("char ",TRIM($B847),"[doc_universe] ",CHAR(96),CHAR(34),SUBSTITUTE(SUBSTITUTE(SUBSTITUTE(SUBSTITUTE(SUBSTITUTE(SUBSTITUTE($G847,CHAR(13)," "),CHAR(10)," "),CHAR(9)," "),CHAR(92),_xlfn.CONCAT(CHAR(92),CHAR(92))),"$",_xlfn.CONCAT(CHAR(92),"$")),CHAR(96),_xlfn.CONCAT(CHAR(92),CHAR(96))),CHAR(34),CHAR(39))))</f>
        <v/>
      </c>
      <c r="R847" s="5" t="str">
        <f>IF(OR(TRIM($B847)="",$H847=""),"",IF(OR(ISNUMBER(SEARCH(_xlfn.CONCAT(CHAR(96),CHAR(34)),$H847)),ISNUMBER(SEARCH(_xlfn.CONCAT(CHAR(34),CHAR(39)),$H847))),_xlfn.CONCAT("* REVIEW REQUIRED: compound-quote delimiter in Source on Sheet 1 row ",847,"; edit the input before running."),_xlfn.CONCAT("char ",TRIM($B847),"[doc_source] ",CHAR(96),CHAR(34),SUBSTITUTE(SUBSTITUTE(SUBSTITUTE(SUBSTITUTE(SUBSTITUTE(SUBSTITUTE($H847,CHAR(13)," "),CHAR(10)," "),CHAR(9)," "),CHAR(92),_xlfn.CONCAT(CHAR(92),CHAR(92))),"$",_xlfn.CONCAT(CHAR(92),"$")),CHAR(96),_xlfn.CONCAT(CHAR(92),CHAR(96))),CHAR(34),CHAR(39))))</f>
        <v/>
      </c>
      <c r="S847" s="5" t="str">
        <f>IF(OR(TRIM($B847)="",$I847=""),"",IF(OR(ISNUMBER(SEARCH(_xlfn.CONCAT(CHAR(96),CHAR(34)),$I847)),ISNUMBER(SEARCH(_xlfn.CONCAT(CHAR(34),CHAR(39)),$I847))),_xlfn.CONCAT("* REVIEW REQUIRED: compound-quote delimiter in Derivation on Sheet 1 row ",847,"; edit the input before running."),_xlfn.CONCAT("char ",TRIM($B847),"[doc_derivation] ",CHAR(96),CHAR(34),SUBSTITUTE(SUBSTITUTE(SUBSTITUTE(SUBSTITUTE(SUBSTITUTE(SUBSTITUTE($I847,CHAR(13)," "),CHAR(10)," "),CHAR(9)," "),CHAR(92),_xlfn.CONCAT(CHAR(92),CHAR(92))),"$",_xlfn.CONCAT(CHAR(92),"$")),CHAR(96),_xlfn.CONCAT(CHAR(92),CHAR(96))),CHAR(34),CHAR(39))))</f>
        <v/>
      </c>
      <c r="T847" s="5" t="str">
        <f>IF(OR(TRIM($B847)="",$J847=""),"",IF(OR(ISNUMBER(SEARCH(_xlfn.CONCAT(CHAR(96),CHAR(34)),$J847)),ISNUMBER(SEARCH(_xlfn.CONCAT(CHAR(34),CHAR(39)),$J847))),_xlfn.CONCAT("* REVIEW REQUIRED: compound-quote delimiter in Notes on Sheet 1 row ",847,"; edit the input before running."),_xlfn.CONCAT("char ",TRIM($B847),"[doc_notes] ",CHAR(96),CHAR(34),SUBSTITUTE(SUBSTITUTE(SUBSTITUTE(SUBSTITUTE(SUBSTITUTE(SUBSTITUTE($J847,CHAR(13)," "),CHAR(10)," "),CHAR(9)," "),CHAR(92),_xlfn.CONCAT(CHAR(92),CHAR(92))),"$",_xlfn.CONCAT(CHAR(92),"$")),CHAR(96),_xlfn.CONCAT(CHAR(92),CHAR(96))),CHAR(34),CHAR(39))))</f>
        <v/>
      </c>
      <c r="U847" s="5">
        <f t="shared" si="25"/>
        <v>0</v>
      </c>
    </row>
    <row r="848" spans="3:21" ht="30" customHeight="1" x14ac:dyDescent="0.2">
      <c r="C848" s="4"/>
      <c r="K848" s="5">
        <f t="shared" si="24"/>
        <v>0</v>
      </c>
      <c r="L848" s="5" t="str">
        <f>IF(OR(TRIM($B848)="",$A848=""),"",IF(OR(ISNUMBER(SEARCH(_xlfn.CONCAT(CHAR(96),CHAR(34)),$A848)),ISNUMBER(SEARCH(_xlfn.CONCAT(CHAR(34),CHAR(39)),$A848))),_xlfn.CONCAT("* REVIEW REQUIRED: compound-quote delimiter in Codebook Section on Sheet 1 row ",848,"; edit the input before running."),_xlfn.CONCAT("char ",TRIM($B848),"[doc_section] ",CHAR(96),CHAR(34),SUBSTITUTE(SUBSTITUTE(SUBSTITUTE(SUBSTITUTE(SUBSTITUTE(SUBSTITUTE($A848,CHAR(13)," "),CHAR(10)," "),CHAR(9)," "),CHAR(92),_xlfn.CONCAT(CHAR(92),CHAR(92))),"$",_xlfn.CONCAT(CHAR(92),"$")),CHAR(96),_xlfn.CONCAT(CHAR(92),CHAR(96))),CHAR(34),CHAR(39))))</f>
        <v/>
      </c>
      <c r="M848" s="5" t="str">
        <f>IF(OR(TRIM($B848)="",$C848=""),"",IF(IFERROR(MATCH(TRIM($C848),{"Quantitative","Continuous","Discrete","Categorical","Nominal","Ordinal","Identifier"},0),0)=0,_xlfn.CONCAT("* REVIEW REQUIRED: invalid Variable Type on Sheet 1 row ",848,"."),_xlfn.CONCAT("char ",TRIM($B848),"[doc_vartype] ",CHAR(96),CHAR(34),SUBSTITUTE(SUBSTITUTE(SUBSTITUTE(SUBSTITUTE(SUBSTITUTE(SUBSTITUTE(LOWER(TRIM($C848)),CHAR(13)," "),CHAR(10)," "),CHAR(9)," "),CHAR(92),_xlfn.CONCAT(CHAR(92),CHAR(92))),"$",_xlfn.CONCAT(CHAR(92),"$")),CHAR(96),_xlfn.CONCAT(CHAR(92),CHAR(96))),CHAR(34),CHAR(39))))</f>
        <v/>
      </c>
      <c r="N848" s="5" t="str">
        <f>IF(OR(TRIM($B848)="",$D848=""),"",IF(OR(ISNUMBER(SEARCH(_xlfn.CONCAT(CHAR(96),CHAR(34)),$D848)),ISNUMBER(SEARCH(_xlfn.CONCAT(CHAR(34),CHAR(39)),$D848))),_xlfn.CONCAT("* REVIEW REQUIRED: compound-quote delimiter in Item Number on Sheet 1 row ",848,"; edit the input before running."),_xlfn.CONCAT("char ",TRIM($B848),"[doc_itemnum] ",CHAR(96),CHAR(34),SUBSTITUTE(SUBSTITUTE(SUBSTITUTE(SUBSTITUTE(SUBSTITUTE(SUBSTITUTE($D848,CHAR(13)," "),CHAR(10)," "),CHAR(9)," "),CHAR(92),_xlfn.CONCAT(CHAR(92),CHAR(92))),"$",_xlfn.CONCAT(CHAR(92),"$")),CHAR(96),_xlfn.CONCAT(CHAR(92),CHAR(96))),CHAR(34),CHAR(39))))</f>
        <v/>
      </c>
      <c r="O848" s="5" t="str">
        <f>IF(OR(TRIM($B848)="",$E848=""),"",IF(OR(ISNUMBER(SEARCH(_xlfn.CONCAT(CHAR(96),CHAR(34)),$E848)),ISNUMBER(SEARCH(_xlfn.CONCAT(CHAR(34),CHAR(39)),$E848))),_xlfn.CONCAT("* REVIEW REQUIRED: compound-quote delimiter in Question Wording on Sheet 1 row ",848,"; edit the input before running."),_xlfn.CONCAT("char ",TRIM($B848),"[doc_question] ",CHAR(96),CHAR(34),SUBSTITUTE(SUBSTITUTE(SUBSTITUTE(SUBSTITUTE(SUBSTITUTE(SUBSTITUTE($E848,CHAR(13)," "),CHAR(10)," "),CHAR(9)," "),CHAR(92),_xlfn.CONCAT(CHAR(92),CHAR(92))),"$",_xlfn.CONCAT(CHAR(92),"$")),CHAR(96),_xlfn.CONCAT(CHAR(92),CHAR(96))),CHAR(34),CHAR(39))))</f>
        <v/>
      </c>
      <c r="P848" s="5" t="str">
        <f>IF(OR(TRIM($B848)="",$F848=""),"",IF(OR(ISNUMBER(SEARCH(_xlfn.CONCAT(CHAR(96),CHAR(34)),$F848)),ISNUMBER(SEARCH(_xlfn.CONCAT(CHAR(34),CHAR(39)),$F848))),_xlfn.CONCAT("* REVIEW REQUIRED: compound-quote delimiter in Units on Sheet 1 row ",848,"; edit the input before running."),_xlfn.CONCAT("char ",TRIM($B848),"[doc_units] ",CHAR(96),CHAR(34),SUBSTITUTE(SUBSTITUTE(SUBSTITUTE(SUBSTITUTE(SUBSTITUTE(SUBSTITUTE($F848,CHAR(13)," "),CHAR(10)," "),CHAR(9)," "),CHAR(92),_xlfn.CONCAT(CHAR(92),CHAR(92))),"$",_xlfn.CONCAT(CHAR(92),"$")),CHAR(96),_xlfn.CONCAT(CHAR(92),CHAR(96))),CHAR(34),CHAR(39))))</f>
        <v/>
      </c>
      <c r="Q848" s="5" t="str">
        <f>IF(OR(TRIM($B848)="",$G848=""),"",IF(OR(ISNUMBER(SEARCH(_xlfn.CONCAT(CHAR(96),CHAR(34)),$G848)),ISNUMBER(SEARCH(_xlfn.CONCAT(CHAR(34),CHAR(39)),$G848))),_xlfn.CONCAT("* REVIEW REQUIRED: compound-quote delimiter in Universe on Sheet 1 row ",848,"; edit the input before running."),_xlfn.CONCAT("char ",TRIM($B848),"[doc_universe] ",CHAR(96),CHAR(34),SUBSTITUTE(SUBSTITUTE(SUBSTITUTE(SUBSTITUTE(SUBSTITUTE(SUBSTITUTE($G848,CHAR(13)," "),CHAR(10)," "),CHAR(9)," "),CHAR(92),_xlfn.CONCAT(CHAR(92),CHAR(92))),"$",_xlfn.CONCAT(CHAR(92),"$")),CHAR(96),_xlfn.CONCAT(CHAR(92),CHAR(96))),CHAR(34),CHAR(39))))</f>
        <v/>
      </c>
      <c r="R848" s="5" t="str">
        <f>IF(OR(TRIM($B848)="",$H848=""),"",IF(OR(ISNUMBER(SEARCH(_xlfn.CONCAT(CHAR(96),CHAR(34)),$H848)),ISNUMBER(SEARCH(_xlfn.CONCAT(CHAR(34),CHAR(39)),$H848))),_xlfn.CONCAT("* REVIEW REQUIRED: compound-quote delimiter in Source on Sheet 1 row ",848,"; edit the input before running."),_xlfn.CONCAT("char ",TRIM($B848),"[doc_source] ",CHAR(96),CHAR(34),SUBSTITUTE(SUBSTITUTE(SUBSTITUTE(SUBSTITUTE(SUBSTITUTE(SUBSTITUTE($H848,CHAR(13)," "),CHAR(10)," "),CHAR(9)," "),CHAR(92),_xlfn.CONCAT(CHAR(92),CHAR(92))),"$",_xlfn.CONCAT(CHAR(92),"$")),CHAR(96),_xlfn.CONCAT(CHAR(92),CHAR(96))),CHAR(34),CHAR(39))))</f>
        <v/>
      </c>
      <c r="S848" s="5" t="str">
        <f>IF(OR(TRIM($B848)="",$I848=""),"",IF(OR(ISNUMBER(SEARCH(_xlfn.CONCAT(CHAR(96),CHAR(34)),$I848)),ISNUMBER(SEARCH(_xlfn.CONCAT(CHAR(34),CHAR(39)),$I848))),_xlfn.CONCAT("* REVIEW REQUIRED: compound-quote delimiter in Derivation on Sheet 1 row ",848,"; edit the input before running."),_xlfn.CONCAT("char ",TRIM($B848),"[doc_derivation] ",CHAR(96),CHAR(34),SUBSTITUTE(SUBSTITUTE(SUBSTITUTE(SUBSTITUTE(SUBSTITUTE(SUBSTITUTE($I848,CHAR(13)," "),CHAR(10)," "),CHAR(9)," "),CHAR(92),_xlfn.CONCAT(CHAR(92),CHAR(92))),"$",_xlfn.CONCAT(CHAR(92),"$")),CHAR(96),_xlfn.CONCAT(CHAR(92),CHAR(96))),CHAR(34),CHAR(39))))</f>
        <v/>
      </c>
      <c r="T848" s="5" t="str">
        <f>IF(OR(TRIM($B848)="",$J848=""),"",IF(OR(ISNUMBER(SEARCH(_xlfn.CONCAT(CHAR(96),CHAR(34)),$J848)),ISNUMBER(SEARCH(_xlfn.CONCAT(CHAR(34),CHAR(39)),$J848))),_xlfn.CONCAT("* REVIEW REQUIRED: compound-quote delimiter in Notes on Sheet 1 row ",848,"; edit the input before running."),_xlfn.CONCAT("char ",TRIM($B848),"[doc_notes] ",CHAR(96),CHAR(34),SUBSTITUTE(SUBSTITUTE(SUBSTITUTE(SUBSTITUTE(SUBSTITUTE(SUBSTITUTE($J848,CHAR(13)," "),CHAR(10)," "),CHAR(9)," "),CHAR(92),_xlfn.CONCAT(CHAR(92),CHAR(92))),"$",_xlfn.CONCAT(CHAR(92),"$")),CHAR(96),_xlfn.CONCAT(CHAR(92),CHAR(96))),CHAR(34),CHAR(39))))</f>
        <v/>
      </c>
      <c r="U848" s="5">
        <f t="shared" si="25"/>
        <v>0</v>
      </c>
    </row>
    <row r="849" spans="3:21" ht="30" customHeight="1" x14ac:dyDescent="0.2">
      <c r="C849" s="4"/>
      <c r="K849" s="5">
        <f t="shared" si="24"/>
        <v>0</v>
      </c>
      <c r="L849" s="5" t="str">
        <f>IF(OR(TRIM($B849)="",$A849=""),"",IF(OR(ISNUMBER(SEARCH(_xlfn.CONCAT(CHAR(96),CHAR(34)),$A849)),ISNUMBER(SEARCH(_xlfn.CONCAT(CHAR(34),CHAR(39)),$A849))),_xlfn.CONCAT("* REVIEW REQUIRED: compound-quote delimiter in Codebook Section on Sheet 1 row ",849,"; edit the input before running."),_xlfn.CONCAT("char ",TRIM($B849),"[doc_section] ",CHAR(96),CHAR(34),SUBSTITUTE(SUBSTITUTE(SUBSTITUTE(SUBSTITUTE(SUBSTITUTE(SUBSTITUTE($A849,CHAR(13)," "),CHAR(10)," "),CHAR(9)," "),CHAR(92),_xlfn.CONCAT(CHAR(92),CHAR(92))),"$",_xlfn.CONCAT(CHAR(92),"$")),CHAR(96),_xlfn.CONCAT(CHAR(92),CHAR(96))),CHAR(34),CHAR(39))))</f>
        <v/>
      </c>
      <c r="M849" s="5" t="str">
        <f>IF(OR(TRIM($B849)="",$C849=""),"",IF(IFERROR(MATCH(TRIM($C849),{"Quantitative","Continuous","Discrete","Categorical","Nominal","Ordinal","Identifier"},0),0)=0,_xlfn.CONCAT("* REVIEW REQUIRED: invalid Variable Type on Sheet 1 row ",849,"."),_xlfn.CONCAT("char ",TRIM($B849),"[doc_vartype] ",CHAR(96),CHAR(34),SUBSTITUTE(SUBSTITUTE(SUBSTITUTE(SUBSTITUTE(SUBSTITUTE(SUBSTITUTE(LOWER(TRIM($C849)),CHAR(13)," "),CHAR(10)," "),CHAR(9)," "),CHAR(92),_xlfn.CONCAT(CHAR(92),CHAR(92))),"$",_xlfn.CONCAT(CHAR(92),"$")),CHAR(96),_xlfn.CONCAT(CHAR(92),CHAR(96))),CHAR(34),CHAR(39))))</f>
        <v/>
      </c>
      <c r="N849" s="5" t="str">
        <f>IF(OR(TRIM($B849)="",$D849=""),"",IF(OR(ISNUMBER(SEARCH(_xlfn.CONCAT(CHAR(96),CHAR(34)),$D849)),ISNUMBER(SEARCH(_xlfn.CONCAT(CHAR(34),CHAR(39)),$D849))),_xlfn.CONCAT("* REVIEW REQUIRED: compound-quote delimiter in Item Number on Sheet 1 row ",849,"; edit the input before running."),_xlfn.CONCAT("char ",TRIM($B849),"[doc_itemnum] ",CHAR(96),CHAR(34),SUBSTITUTE(SUBSTITUTE(SUBSTITUTE(SUBSTITUTE(SUBSTITUTE(SUBSTITUTE($D849,CHAR(13)," "),CHAR(10)," "),CHAR(9)," "),CHAR(92),_xlfn.CONCAT(CHAR(92),CHAR(92))),"$",_xlfn.CONCAT(CHAR(92),"$")),CHAR(96),_xlfn.CONCAT(CHAR(92),CHAR(96))),CHAR(34),CHAR(39))))</f>
        <v/>
      </c>
      <c r="O849" s="5" t="str">
        <f>IF(OR(TRIM($B849)="",$E849=""),"",IF(OR(ISNUMBER(SEARCH(_xlfn.CONCAT(CHAR(96),CHAR(34)),$E849)),ISNUMBER(SEARCH(_xlfn.CONCAT(CHAR(34),CHAR(39)),$E849))),_xlfn.CONCAT("* REVIEW REQUIRED: compound-quote delimiter in Question Wording on Sheet 1 row ",849,"; edit the input before running."),_xlfn.CONCAT("char ",TRIM($B849),"[doc_question] ",CHAR(96),CHAR(34),SUBSTITUTE(SUBSTITUTE(SUBSTITUTE(SUBSTITUTE(SUBSTITUTE(SUBSTITUTE($E849,CHAR(13)," "),CHAR(10)," "),CHAR(9)," "),CHAR(92),_xlfn.CONCAT(CHAR(92),CHAR(92))),"$",_xlfn.CONCAT(CHAR(92),"$")),CHAR(96),_xlfn.CONCAT(CHAR(92),CHAR(96))),CHAR(34),CHAR(39))))</f>
        <v/>
      </c>
      <c r="P849" s="5" t="str">
        <f>IF(OR(TRIM($B849)="",$F849=""),"",IF(OR(ISNUMBER(SEARCH(_xlfn.CONCAT(CHAR(96),CHAR(34)),$F849)),ISNUMBER(SEARCH(_xlfn.CONCAT(CHAR(34),CHAR(39)),$F849))),_xlfn.CONCAT("* REVIEW REQUIRED: compound-quote delimiter in Units on Sheet 1 row ",849,"; edit the input before running."),_xlfn.CONCAT("char ",TRIM($B849),"[doc_units] ",CHAR(96),CHAR(34),SUBSTITUTE(SUBSTITUTE(SUBSTITUTE(SUBSTITUTE(SUBSTITUTE(SUBSTITUTE($F849,CHAR(13)," "),CHAR(10)," "),CHAR(9)," "),CHAR(92),_xlfn.CONCAT(CHAR(92),CHAR(92))),"$",_xlfn.CONCAT(CHAR(92),"$")),CHAR(96),_xlfn.CONCAT(CHAR(92),CHAR(96))),CHAR(34),CHAR(39))))</f>
        <v/>
      </c>
      <c r="Q849" s="5" t="str">
        <f>IF(OR(TRIM($B849)="",$G849=""),"",IF(OR(ISNUMBER(SEARCH(_xlfn.CONCAT(CHAR(96),CHAR(34)),$G849)),ISNUMBER(SEARCH(_xlfn.CONCAT(CHAR(34),CHAR(39)),$G849))),_xlfn.CONCAT("* REVIEW REQUIRED: compound-quote delimiter in Universe on Sheet 1 row ",849,"; edit the input before running."),_xlfn.CONCAT("char ",TRIM($B849),"[doc_universe] ",CHAR(96),CHAR(34),SUBSTITUTE(SUBSTITUTE(SUBSTITUTE(SUBSTITUTE(SUBSTITUTE(SUBSTITUTE($G849,CHAR(13)," "),CHAR(10)," "),CHAR(9)," "),CHAR(92),_xlfn.CONCAT(CHAR(92),CHAR(92))),"$",_xlfn.CONCAT(CHAR(92),"$")),CHAR(96),_xlfn.CONCAT(CHAR(92),CHAR(96))),CHAR(34),CHAR(39))))</f>
        <v/>
      </c>
      <c r="R849" s="5" t="str">
        <f>IF(OR(TRIM($B849)="",$H849=""),"",IF(OR(ISNUMBER(SEARCH(_xlfn.CONCAT(CHAR(96),CHAR(34)),$H849)),ISNUMBER(SEARCH(_xlfn.CONCAT(CHAR(34),CHAR(39)),$H849))),_xlfn.CONCAT("* REVIEW REQUIRED: compound-quote delimiter in Source on Sheet 1 row ",849,"; edit the input before running."),_xlfn.CONCAT("char ",TRIM($B849),"[doc_source] ",CHAR(96),CHAR(34),SUBSTITUTE(SUBSTITUTE(SUBSTITUTE(SUBSTITUTE(SUBSTITUTE(SUBSTITUTE($H849,CHAR(13)," "),CHAR(10)," "),CHAR(9)," "),CHAR(92),_xlfn.CONCAT(CHAR(92),CHAR(92))),"$",_xlfn.CONCAT(CHAR(92),"$")),CHAR(96),_xlfn.CONCAT(CHAR(92),CHAR(96))),CHAR(34),CHAR(39))))</f>
        <v/>
      </c>
      <c r="S849" s="5" t="str">
        <f>IF(OR(TRIM($B849)="",$I849=""),"",IF(OR(ISNUMBER(SEARCH(_xlfn.CONCAT(CHAR(96),CHAR(34)),$I849)),ISNUMBER(SEARCH(_xlfn.CONCAT(CHAR(34),CHAR(39)),$I849))),_xlfn.CONCAT("* REVIEW REQUIRED: compound-quote delimiter in Derivation on Sheet 1 row ",849,"; edit the input before running."),_xlfn.CONCAT("char ",TRIM($B849),"[doc_derivation] ",CHAR(96),CHAR(34),SUBSTITUTE(SUBSTITUTE(SUBSTITUTE(SUBSTITUTE(SUBSTITUTE(SUBSTITUTE($I849,CHAR(13)," "),CHAR(10)," "),CHAR(9)," "),CHAR(92),_xlfn.CONCAT(CHAR(92),CHAR(92))),"$",_xlfn.CONCAT(CHAR(92),"$")),CHAR(96),_xlfn.CONCAT(CHAR(92),CHAR(96))),CHAR(34),CHAR(39))))</f>
        <v/>
      </c>
      <c r="T849" s="5" t="str">
        <f>IF(OR(TRIM($B849)="",$J849=""),"",IF(OR(ISNUMBER(SEARCH(_xlfn.CONCAT(CHAR(96),CHAR(34)),$J849)),ISNUMBER(SEARCH(_xlfn.CONCAT(CHAR(34),CHAR(39)),$J849))),_xlfn.CONCAT("* REVIEW REQUIRED: compound-quote delimiter in Notes on Sheet 1 row ",849,"; edit the input before running."),_xlfn.CONCAT("char ",TRIM($B849),"[doc_notes] ",CHAR(96),CHAR(34),SUBSTITUTE(SUBSTITUTE(SUBSTITUTE(SUBSTITUTE(SUBSTITUTE(SUBSTITUTE($J849,CHAR(13)," "),CHAR(10)," "),CHAR(9)," "),CHAR(92),_xlfn.CONCAT(CHAR(92),CHAR(92))),"$",_xlfn.CONCAT(CHAR(92),"$")),CHAR(96),_xlfn.CONCAT(CHAR(92),CHAR(96))),CHAR(34),CHAR(39))))</f>
        <v/>
      </c>
      <c r="U849" s="5">
        <f t="shared" si="25"/>
        <v>0</v>
      </c>
    </row>
    <row r="850" spans="3:21" ht="30" customHeight="1" x14ac:dyDescent="0.2">
      <c r="C850" s="4"/>
      <c r="K850" s="5">
        <f t="shared" si="24"/>
        <v>0</v>
      </c>
      <c r="L850" s="5" t="str">
        <f>IF(OR(TRIM($B850)="",$A850=""),"",IF(OR(ISNUMBER(SEARCH(_xlfn.CONCAT(CHAR(96),CHAR(34)),$A850)),ISNUMBER(SEARCH(_xlfn.CONCAT(CHAR(34),CHAR(39)),$A850))),_xlfn.CONCAT("* REVIEW REQUIRED: compound-quote delimiter in Codebook Section on Sheet 1 row ",850,"; edit the input before running."),_xlfn.CONCAT("char ",TRIM($B850),"[doc_section] ",CHAR(96),CHAR(34),SUBSTITUTE(SUBSTITUTE(SUBSTITUTE(SUBSTITUTE(SUBSTITUTE(SUBSTITUTE($A850,CHAR(13)," "),CHAR(10)," "),CHAR(9)," "),CHAR(92),_xlfn.CONCAT(CHAR(92),CHAR(92))),"$",_xlfn.CONCAT(CHAR(92),"$")),CHAR(96),_xlfn.CONCAT(CHAR(92),CHAR(96))),CHAR(34),CHAR(39))))</f>
        <v/>
      </c>
      <c r="M850" s="5" t="str">
        <f>IF(OR(TRIM($B850)="",$C850=""),"",IF(IFERROR(MATCH(TRIM($C850),{"Quantitative","Continuous","Discrete","Categorical","Nominal","Ordinal","Identifier"},0),0)=0,_xlfn.CONCAT("* REVIEW REQUIRED: invalid Variable Type on Sheet 1 row ",850,"."),_xlfn.CONCAT("char ",TRIM($B850),"[doc_vartype] ",CHAR(96),CHAR(34),SUBSTITUTE(SUBSTITUTE(SUBSTITUTE(SUBSTITUTE(SUBSTITUTE(SUBSTITUTE(LOWER(TRIM($C850)),CHAR(13)," "),CHAR(10)," "),CHAR(9)," "),CHAR(92),_xlfn.CONCAT(CHAR(92),CHAR(92))),"$",_xlfn.CONCAT(CHAR(92),"$")),CHAR(96),_xlfn.CONCAT(CHAR(92),CHAR(96))),CHAR(34),CHAR(39))))</f>
        <v/>
      </c>
      <c r="N850" s="5" t="str">
        <f>IF(OR(TRIM($B850)="",$D850=""),"",IF(OR(ISNUMBER(SEARCH(_xlfn.CONCAT(CHAR(96),CHAR(34)),$D850)),ISNUMBER(SEARCH(_xlfn.CONCAT(CHAR(34),CHAR(39)),$D850))),_xlfn.CONCAT("* REVIEW REQUIRED: compound-quote delimiter in Item Number on Sheet 1 row ",850,"; edit the input before running."),_xlfn.CONCAT("char ",TRIM($B850),"[doc_itemnum] ",CHAR(96),CHAR(34),SUBSTITUTE(SUBSTITUTE(SUBSTITUTE(SUBSTITUTE(SUBSTITUTE(SUBSTITUTE($D850,CHAR(13)," "),CHAR(10)," "),CHAR(9)," "),CHAR(92),_xlfn.CONCAT(CHAR(92),CHAR(92))),"$",_xlfn.CONCAT(CHAR(92),"$")),CHAR(96),_xlfn.CONCAT(CHAR(92),CHAR(96))),CHAR(34),CHAR(39))))</f>
        <v/>
      </c>
      <c r="O850" s="5" t="str">
        <f>IF(OR(TRIM($B850)="",$E850=""),"",IF(OR(ISNUMBER(SEARCH(_xlfn.CONCAT(CHAR(96),CHAR(34)),$E850)),ISNUMBER(SEARCH(_xlfn.CONCAT(CHAR(34),CHAR(39)),$E850))),_xlfn.CONCAT("* REVIEW REQUIRED: compound-quote delimiter in Question Wording on Sheet 1 row ",850,"; edit the input before running."),_xlfn.CONCAT("char ",TRIM($B850),"[doc_question] ",CHAR(96),CHAR(34),SUBSTITUTE(SUBSTITUTE(SUBSTITUTE(SUBSTITUTE(SUBSTITUTE(SUBSTITUTE($E850,CHAR(13)," "),CHAR(10)," "),CHAR(9)," "),CHAR(92),_xlfn.CONCAT(CHAR(92),CHAR(92))),"$",_xlfn.CONCAT(CHAR(92),"$")),CHAR(96),_xlfn.CONCAT(CHAR(92),CHAR(96))),CHAR(34),CHAR(39))))</f>
        <v/>
      </c>
      <c r="P850" s="5" t="str">
        <f>IF(OR(TRIM($B850)="",$F850=""),"",IF(OR(ISNUMBER(SEARCH(_xlfn.CONCAT(CHAR(96),CHAR(34)),$F850)),ISNUMBER(SEARCH(_xlfn.CONCAT(CHAR(34),CHAR(39)),$F850))),_xlfn.CONCAT("* REVIEW REQUIRED: compound-quote delimiter in Units on Sheet 1 row ",850,"; edit the input before running."),_xlfn.CONCAT("char ",TRIM($B850),"[doc_units] ",CHAR(96),CHAR(34),SUBSTITUTE(SUBSTITUTE(SUBSTITUTE(SUBSTITUTE(SUBSTITUTE(SUBSTITUTE($F850,CHAR(13)," "),CHAR(10)," "),CHAR(9)," "),CHAR(92),_xlfn.CONCAT(CHAR(92),CHAR(92))),"$",_xlfn.CONCAT(CHAR(92),"$")),CHAR(96),_xlfn.CONCAT(CHAR(92),CHAR(96))),CHAR(34),CHAR(39))))</f>
        <v/>
      </c>
      <c r="Q850" s="5" t="str">
        <f>IF(OR(TRIM($B850)="",$G850=""),"",IF(OR(ISNUMBER(SEARCH(_xlfn.CONCAT(CHAR(96),CHAR(34)),$G850)),ISNUMBER(SEARCH(_xlfn.CONCAT(CHAR(34),CHAR(39)),$G850))),_xlfn.CONCAT("* REVIEW REQUIRED: compound-quote delimiter in Universe on Sheet 1 row ",850,"; edit the input before running."),_xlfn.CONCAT("char ",TRIM($B850),"[doc_universe] ",CHAR(96),CHAR(34),SUBSTITUTE(SUBSTITUTE(SUBSTITUTE(SUBSTITUTE(SUBSTITUTE(SUBSTITUTE($G850,CHAR(13)," "),CHAR(10)," "),CHAR(9)," "),CHAR(92),_xlfn.CONCAT(CHAR(92),CHAR(92))),"$",_xlfn.CONCAT(CHAR(92),"$")),CHAR(96),_xlfn.CONCAT(CHAR(92),CHAR(96))),CHAR(34),CHAR(39))))</f>
        <v/>
      </c>
      <c r="R850" s="5" t="str">
        <f>IF(OR(TRIM($B850)="",$H850=""),"",IF(OR(ISNUMBER(SEARCH(_xlfn.CONCAT(CHAR(96),CHAR(34)),$H850)),ISNUMBER(SEARCH(_xlfn.CONCAT(CHAR(34),CHAR(39)),$H850))),_xlfn.CONCAT("* REVIEW REQUIRED: compound-quote delimiter in Source on Sheet 1 row ",850,"; edit the input before running."),_xlfn.CONCAT("char ",TRIM($B850),"[doc_source] ",CHAR(96),CHAR(34),SUBSTITUTE(SUBSTITUTE(SUBSTITUTE(SUBSTITUTE(SUBSTITUTE(SUBSTITUTE($H850,CHAR(13)," "),CHAR(10)," "),CHAR(9)," "),CHAR(92),_xlfn.CONCAT(CHAR(92),CHAR(92))),"$",_xlfn.CONCAT(CHAR(92),"$")),CHAR(96),_xlfn.CONCAT(CHAR(92),CHAR(96))),CHAR(34),CHAR(39))))</f>
        <v/>
      </c>
      <c r="S850" s="5" t="str">
        <f>IF(OR(TRIM($B850)="",$I850=""),"",IF(OR(ISNUMBER(SEARCH(_xlfn.CONCAT(CHAR(96),CHAR(34)),$I850)),ISNUMBER(SEARCH(_xlfn.CONCAT(CHAR(34),CHAR(39)),$I850))),_xlfn.CONCAT("* REVIEW REQUIRED: compound-quote delimiter in Derivation on Sheet 1 row ",850,"; edit the input before running."),_xlfn.CONCAT("char ",TRIM($B850),"[doc_derivation] ",CHAR(96),CHAR(34),SUBSTITUTE(SUBSTITUTE(SUBSTITUTE(SUBSTITUTE(SUBSTITUTE(SUBSTITUTE($I850,CHAR(13)," "),CHAR(10)," "),CHAR(9)," "),CHAR(92),_xlfn.CONCAT(CHAR(92),CHAR(92))),"$",_xlfn.CONCAT(CHAR(92),"$")),CHAR(96),_xlfn.CONCAT(CHAR(92),CHAR(96))),CHAR(34),CHAR(39))))</f>
        <v/>
      </c>
      <c r="T850" s="5" t="str">
        <f>IF(OR(TRIM($B850)="",$J850=""),"",IF(OR(ISNUMBER(SEARCH(_xlfn.CONCAT(CHAR(96),CHAR(34)),$J850)),ISNUMBER(SEARCH(_xlfn.CONCAT(CHAR(34),CHAR(39)),$J850))),_xlfn.CONCAT("* REVIEW REQUIRED: compound-quote delimiter in Notes on Sheet 1 row ",850,"; edit the input before running."),_xlfn.CONCAT("char ",TRIM($B850),"[doc_notes] ",CHAR(96),CHAR(34),SUBSTITUTE(SUBSTITUTE(SUBSTITUTE(SUBSTITUTE(SUBSTITUTE(SUBSTITUTE($J850,CHAR(13)," "),CHAR(10)," "),CHAR(9)," "),CHAR(92),_xlfn.CONCAT(CHAR(92),CHAR(92))),"$",_xlfn.CONCAT(CHAR(92),"$")),CHAR(96),_xlfn.CONCAT(CHAR(92),CHAR(96))),CHAR(34),CHAR(39))))</f>
        <v/>
      </c>
      <c r="U850" s="5">
        <f t="shared" si="25"/>
        <v>0</v>
      </c>
    </row>
    <row r="851" spans="3:21" ht="30" customHeight="1" x14ac:dyDescent="0.2">
      <c r="C851" s="4"/>
      <c r="K851" s="5">
        <f t="shared" si="24"/>
        <v>0</v>
      </c>
      <c r="L851" s="5" t="str">
        <f>IF(OR(TRIM($B851)="",$A851=""),"",IF(OR(ISNUMBER(SEARCH(_xlfn.CONCAT(CHAR(96),CHAR(34)),$A851)),ISNUMBER(SEARCH(_xlfn.CONCAT(CHAR(34),CHAR(39)),$A851))),_xlfn.CONCAT("* REVIEW REQUIRED: compound-quote delimiter in Codebook Section on Sheet 1 row ",851,"; edit the input before running."),_xlfn.CONCAT("char ",TRIM($B851),"[doc_section] ",CHAR(96),CHAR(34),SUBSTITUTE(SUBSTITUTE(SUBSTITUTE(SUBSTITUTE(SUBSTITUTE(SUBSTITUTE($A851,CHAR(13)," "),CHAR(10)," "),CHAR(9)," "),CHAR(92),_xlfn.CONCAT(CHAR(92),CHAR(92))),"$",_xlfn.CONCAT(CHAR(92),"$")),CHAR(96),_xlfn.CONCAT(CHAR(92),CHAR(96))),CHAR(34),CHAR(39))))</f>
        <v/>
      </c>
      <c r="M851" s="5" t="str">
        <f>IF(OR(TRIM($B851)="",$C851=""),"",IF(IFERROR(MATCH(TRIM($C851),{"Quantitative","Continuous","Discrete","Categorical","Nominal","Ordinal","Identifier"},0),0)=0,_xlfn.CONCAT("* REVIEW REQUIRED: invalid Variable Type on Sheet 1 row ",851,"."),_xlfn.CONCAT("char ",TRIM($B851),"[doc_vartype] ",CHAR(96),CHAR(34),SUBSTITUTE(SUBSTITUTE(SUBSTITUTE(SUBSTITUTE(SUBSTITUTE(SUBSTITUTE(LOWER(TRIM($C851)),CHAR(13)," "),CHAR(10)," "),CHAR(9)," "),CHAR(92),_xlfn.CONCAT(CHAR(92),CHAR(92))),"$",_xlfn.CONCAT(CHAR(92),"$")),CHAR(96),_xlfn.CONCAT(CHAR(92),CHAR(96))),CHAR(34),CHAR(39))))</f>
        <v/>
      </c>
      <c r="N851" s="5" t="str">
        <f>IF(OR(TRIM($B851)="",$D851=""),"",IF(OR(ISNUMBER(SEARCH(_xlfn.CONCAT(CHAR(96),CHAR(34)),$D851)),ISNUMBER(SEARCH(_xlfn.CONCAT(CHAR(34),CHAR(39)),$D851))),_xlfn.CONCAT("* REVIEW REQUIRED: compound-quote delimiter in Item Number on Sheet 1 row ",851,"; edit the input before running."),_xlfn.CONCAT("char ",TRIM($B851),"[doc_itemnum] ",CHAR(96),CHAR(34),SUBSTITUTE(SUBSTITUTE(SUBSTITUTE(SUBSTITUTE(SUBSTITUTE(SUBSTITUTE($D851,CHAR(13)," "),CHAR(10)," "),CHAR(9)," "),CHAR(92),_xlfn.CONCAT(CHAR(92),CHAR(92))),"$",_xlfn.CONCAT(CHAR(92),"$")),CHAR(96),_xlfn.CONCAT(CHAR(92),CHAR(96))),CHAR(34),CHAR(39))))</f>
        <v/>
      </c>
      <c r="O851" s="5" t="str">
        <f>IF(OR(TRIM($B851)="",$E851=""),"",IF(OR(ISNUMBER(SEARCH(_xlfn.CONCAT(CHAR(96),CHAR(34)),$E851)),ISNUMBER(SEARCH(_xlfn.CONCAT(CHAR(34),CHAR(39)),$E851))),_xlfn.CONCAT("* REVIEW REQUIRED: compound-quote delimiter in Question Wording on Sheet 1 row ",851,"; edit the input before running."),_xlfn.CONCAT("char ",TRIM($B851),"[doc_question] ",CHAR(96),CHAR(34),SUBSTITUTE(SUBSTITUTE(SUBSTITUTE(SUBSTITUTE(SUBSTITUTE(SUBSTITUTE($E851,CHAR(13)," "),CHAR(10)," "),CHAR(9)," "),CHAR(92),_xlfn.CONCAT(CHAR(92),CHAR(92))),"$",_xlfn.CONCAT(CHAR(92),"$")),CHAR(96),_xlfn.CONCAT(CHAR(92),CHAR(96))),CHAR(34),CHAR(39))))</f>
        <v/>
      </c>
      <c r="P851" s="5" t="str">
        <f>IF(OR(TRIM($B851)="",$F851=""),"",IF(OR(ISNUMBER(SEARCH(_xlfn.CONCAT(CHAR(96),CHAR(34)),$F851)),ISNUMBER(SEARCH(_xlfn.CONCAT(CHAR(34),CHAR(39)),$F851))),_xlfn.CONCAT("* REVIEW REQUIRED: compound-quote delimiter in Units on Sheet 1 row ",851,"; edit the input before running."),_xlfn.CONCAT("char ",TRIM($B851),"[doc_units] ",CHAR(96),CHAR(34),SUBSTITUTE(SUBSTITUTE(SUBSTITUTE(SUBSTITUTE(SUBSTITUTE(SUBSTITUTE($F851,CHAR(13)," "),CHAR(10)," "),CHAR(9)," "),CHAR(92),_xlfn.CONCAT(CHAR(92),CHAR(92))),"$",_xlfn.CONCAT(CHAR(92),"$")),CHAR(96),_xlfn.CONCAT(CHAR(92),CHAR(96))),CHAR(34),CHAR(39))))</f>
        <v/>
      </c>
      <c r="Q851" s="5" t="str">
        <f>IF(OR(TRIM($B851)="",$G851=""),"",IF(OR(ISNUMBER(SEARCH(_xlfn.CONCAT(CHAR(96),CHAR(34)),$G851)),ISNUMBER(SEARCH(_xlfn.CONCAT(CHAR(34),CHAR(39)),$G851))),_xlfn.CONCAT("* REVIEW REQUIRED: compound-quote delimiter in Universe on Sheet 1 row ",851,"; edit the input before running."),_xlfn.CONCAT("char ",TRIM($B851),"[doc_universe] ",CHAR(96),CHAR(34),SUBSTITUTE(SUBSTITUTE(SUBSTITUTE(SUBSTITUTE(SUBSTITUTE(SUBSTITUTE($G851,CHAR(13)," "),CHAR(10)," "),CHAR(9)," "),CHAR(92),_xlfn.CONCAT(CHAR(92),CHAR(92))),"$",_xlfn.CONCAT(CHAR(92),"$")),CHAR(96),_xlfn.CONCAT(CHAR(92),CHAR(96))),CHAR(34),CHAR(39))))</f>
        <v/>
      </c>
      <c r="R851" s="5" t="str">
        <f>IF(OR(TRIM($B851)="",$H851=""),"",IF(OR(ISNUMBER(SEARCH(_xlfn.CONCAT(CHAR(96),CHAR(34)),$H851)),ISNUMBER(SEARCH(_xlfn.CONCAT(CHAR(34),CHAR(39)),$H851))),_xlfn.CONCAT("* REVIEW REQUIRED: compound-quote delimiter in Source on Sheet 1 row ",851,"; edit the input before running."),_xlfn.CONCAT("char ",TRIM($B851),"[doc_source] ",CHAR(96),CHAR(34),SUBSTITUTE(SUBSTITUTE(SUBSTITUTE(SUBSTITUTE(SUBSTITUTE(SUBSTITUTE($H851,CHAR(13)," "),CHAR(10)," "),CHAR(9)," "),CHAR(92),_xlfn.CONCAT(CHAR(92),CHAR(92))),"$",_xlfn.CONCAT(CHAR(92),"$")),CHAR(96),_xlfn.CONCAT(CHAR(92),CHAR(96))),CHAR(34),CHAR(39))))</f>
        <v/>
      </c>
      <c r="S851" s="5" t="str">
        <f>IF(OR(TRIM($B851)="",$I851=""),"",IF(OR(ISNUMBER(SEARCH(_xlfn.CONCAT(CHAR(96),CHAR(34)),$I851)),ISNUMBER(SEARCH(_xlfn.CONCAT(CHAR(34),CHAR(39)),$I851))),_xlfn.CONCAT("* REVIEW REQUIRED: compound-quote delimiter in Derivation on Sheet 1 row ",851,"; edit the input before running."),_xlfn.CONCAT("char ",TRIM($B851),"[doc_derivation] ",CHAR(96),CHAR(34),SUBSTITUTE(SUBSTITUTE(SUBSTITUTE(SUBSTITUTE(SUBSTITUTE(SUBSTITUTE($I851,CHAR(13)," "),CHAR(10)," "),CHAR(9)," "),CHAR(92),_xlfn.CONCAT(CHAR(92),CHAR(92))),"$",_xlfn.CONCAT(CHAR(92),"$")),CHAR(96),_xlfn.CONCAT(CHAR(92),CHAR(96))),CHAR(34),CHAR(39))))</f>
        <v/>
      </c>
      <c r="T851" s="5" t="str">
        <f>IF(OR(TRIM($B851)="",$J851=""),"",IF(OR(ISNUMBER(SEARCH(_xlfn.CONCAT(CHAR(96),CHAR(34)),$J851)),ISNUMBER(SEARCH(_xlfn.CONCAT(CHAR(34),CHAR(39)),$J851))),_xlfn.CONCAT("* REVIEW REQUIRED: compound-quote delimiter in Notes on Sheet 1 row ",851,"; edit the input before running."),_xlfn.CONCAT("char ",TRIM($B851),"[doc_notes] ",CHAR(96),CHAR(34),SUBSTITUTE(SUBSTITUTE(SUBSTITUTE(SUBSTITUTE(SUBSTITUTE(SUBSTITUTE($J851,CHAR(13)," "),CHAR(10)," "),CHAR(9)," "),CHAR(92),_xlfn.CONCAT(CHAR(92),CHAR(92))),"$",_xlfn.CONCAT(CHAR(92),"$")),CHAR(96),_xlfn.CONCAT(CHAR(92),CHAR(96))),CHAR(34),CHAR(39))))</f>
        <v/>
      </c>
      <c r="U851" s="5">
        <f t="shared" si="25"/>
        <v>0</v>
      </c>
    </row>
    <row r="852" spans="3:21" ht="30" customHeight="1" x14ac:dyDescent="0.2">
      <c r="C852" s="4"/>
      <c r="K852" s="5">
        <f t="shared" ref="K852:K915" si="26">COUNTIF(L852:T852,"?*")</f>
        <v>0</v>
      </c>
      <c r="L852" s="5" t="str">
        <f>IF(OR(TRIM($B852)="",$A852=""),"",IF(OR(ISNUMBER(SEARCH(_xlfn.CONCAT(CHAR(96),CHAR(34)),$A852)),ISNUMBER(SEARCH(_xlfn.CONCAT(CHAR(34),CHAR(39)),$A852))),_xlfn.CONCAT("* REVIEW REQUIRED: compound-quote delimiter in Codebook Section on Sheet 1 row ",852,"; edit the input before running."),_xlfn.CONCAT("char ",TRIM($B852),"[doc_section] ",CHAR(96),CHAR(34),SUBSTITUTE(SUBSTITUTE(SUBSTITUTE(SUBSTITUTE(SUBSTITUTE(SUBSTITUTE($A852,CHAR(13)," "),CHAR(10)," "),CHAR(9)," "),CHAR(92),_xlfn.CONCAT(CHAR(92),CHAR(92))),"$",_xlfn.CONCAT(CHAR(92),"$")),CHAR(96),_xlfn.CONCAT(CHAR(92),CHAR(96))),CHAR(34),CHAR(39))))</f>
        <v/>
      </c>
      <c r="M852" s="5" t="str">
        <f>IF(OR(TRIM($B852)="",$C852=""),"",IF(IFERROR(MATCH(TRIM($C852),{"Quantitative","Continuous","Discrete","Categorical","Nominal","Ordinal","Identifier"},0),0)=0,_xlfn.CONCAT("* REVIEW REQUIRED: invalid Variable Type on Sheet 1 row ",852,"."),_xlfn.CONCAT("char ",TRIM($B852),"[doc_vartype] ",CHAR(96),CHAR(34),SUBSTITUTE(SUBSTITUTE(SUBSTITUTE(SUBSTITUTE(SUBSTITUTE(SUBSTITUTE(LOWER(TRIM($C852)),CHAR(13)," "),CHAR(10)," "),CHAR(9)," "),CHAR(92),_xlfn.CONCAT(CHAR(92),CHAR(92))),"$",_xlfn.CONCAT(CHAR(92),"$")),CHAR(96),_xlfn.CONCAT(CHAR(92),CHAR(96))),CHAR(34),CHAR(39))))</f>
        <v/>
      </c>
      <c r="N852" s="5" t="str">
        <f>IF(OR(TRIM($B852)="",$D852=""),"",IF(OR(ISNUMBER(SEARCH(_xlfn.CONCAT(CHAR(96),CHAR(34)),$D852)),ISNUMBER(SEARCH(_xlfn.CONCAT(CHAR(34),CHAR(39)),$D852))),_xlfn.CONCAT("* REVIEW REQUIRED: compound-quote delimiter in Item Number on Sheet 1 row ",852,"; edit the input before running."),_xlfn.CONCAT("char ",TRIM($B852),"[doc_itemnum] ",CHAR(96),CHAR(34),SUBSTITUTE(SUBSTITUTE(SUBSTITUTE(SUBSTITUTE(SUBSTITUTE(SUBSTITUTE($D852,CHAR(13)," "),CHAR(10)," "),CHAR(9)," "),CHAR(92),_xlfn.CONCAT(CHAR(92),CHAR(92))),"$",_xlfn.CONCAT(CHAR(92),"$")),CHAR(96),_xlfn.CONCAT(CHAR(92),CHAR(96))),CHAR(34),CHAR(39))))</f>
        <v/>
      </c>
      <c r="O852" s="5" t="str">
        <f>IF(OR(TRIM($B852)="",$E852=""),"",IF(OR(ISNUMBER(SEARCH(_xlfn.CONCAT(CHAR(96),CHAR(34)),$E852)),ISNUMBER(SEARCH(_xlfn.CONCAT(CHAR(34),CHAR(39)),$E852))),_xlfn.CONCAT("* REVIEW REQUIRED: compound-quote delimiter in Question Wording on Sheet 1 row ",852,"; edit the input before running."),_xlfn.CONCAT("char ",TRIM($B852),"[doc_question] ",CHAR(96),CHAR(34),SUBSTITUTE(SUBSTITUTE(SUBSTITUTE(SUBSTITUTE(SUBSTITUTE(SUBSTITUTE($E852,CHAR(13)," "),CHAR(10)," "),CHAR(9)," "),CHAR(92),_xlfn.CONCAT(CHAR(92),CHAR(92))),"$",_xlfn.CONCAT(CHAR(92),"$")),CHAR(96),_xlfn.CONCAT(CHAR(92),CHAR(96))),CHAR(34),CHAR(39))))</f>
        <v/>
      </c>
      <c r="P852" s="5" t="str">
        <f>IF(OR(TRIM($B852)="",$F852=""),"",IF(OR(ISNUMBER(SEARCH(_xlfn.CONCAT(CHAR(96),CHAR(34)),$F852)),ISNUMBER(SEARCH(_xlfn.CONCAT(CHAR(34),CHAR(39)),$F852))),_xlfn.CONCAT("* REVIEW REQUIRED: compound-quote delimiter in Units on Sheet 1 row ",852,"; edit the input before running."),_xlfn.CONCAT("char ",TRIM($B852),"[doc_units] ",CHAR(96),CHAR(34),SUBSTITUTE(SUBSTITUTE(SUBSTITUTE(SUBSTITUTE(SUBSTITUTE(SUBSTITUTE($F852,CHAR(13)," "),CHAR(10)," "),CHAR(9)," "),CHAR(92),_xlfn.CONCAT(CHAR(92),CHAR(92))),"$",_xlfn.CONCAT(CHAR(92),"$")),CHAR(96),_xlfn.CONCAT(CHAR(92),CHAR(96))),CHAR(34),CHAR(39))))</f>
        <v/>
      </c>
      <c r="Q852" s="5" t="str">
        <f>IF(OR(TRIM($B852)="",$G852=""),"",IF(OR(ISNUMBER(SEARCH(_xlfn.CONCAT(CHAR(96),CHAR(34)),$G852)),ISNUMBER(SEARCH(_xlfn.CONCAT(CHAR(34),CHAR(39)),$G852))),_xlfn.CONCAT("* REVIEW REQUIRED: compound-quote delimiter in Universe on Sheet 1 row ",852,"; edit the input before running."),_xlfn.CONCAT("char ",TRIM($B852),"[doc_universe] ",CHAR(96),CHAR(34),SUBSTITUTE(SUBSTITUTE(SUBSTITUTE(SUBSTITUTE(SUBSTITUTE(SUBSTITUTE($G852,CHAR(13)," "),CHAR(10)," "),CHAR(9)," "),CHAR(92),_xlfn.CONCAT(CHAR(92),CHAR(92))),"$",_xlfn.CONCAT(CHAR(92),"$")),CHAR(96),_xlfn.CONCAT(CHAR(92),CHAR(96))),CHAR(34),CHAR(39))))</f>
        <v/>
      </c>
      <c r="R852" s="5" t="str">
        <f>IF(OR(TRIM($B852)="",$H852=""),"",IF(OR(ISNUMBER(SEARCH(_xlfn.CONCAT(CHAR(96),CHAR(34)),$H852)),ISNUMBER(SEARCH(_xlfn.CONCAT(CHAR(34),CHAR(39)),$H852))),_xlfn.CONCAT("* REVIEW REQUIRED: compound-quote delimiter in Source on Sheet 1 row ",852,"; edit the input before running."),_xlfn.CONCAT("char ",TRIM($B852),"[doc_source] ",CHAR(96),CHAR(34),SUBSTITUTE(SUBSTITUTE(SUBSTITUTE(SUBSTITUTE(SUBSTITUTE(SUBSTITUTE($H852,CHAR(13)," "),CHAR(10)," "),CHAR(9)," "),CHAR(92),_xlfn.CONCAT(CHAR(92),CHAR(92))),"$",_xlfn.CONCAT(CHAR(92),"$")),CHAR(96),_xlfn.CONCAT(CHAR(92),CHAR(96))),CHAR(34),CHAR(39))))</f>
        <v/>
      </c>
      <c r="S852" s="5" t="str">
        <f>IF(OR(TRIM($B852)="",$I852=""),"",IF(OR(ISNUMBER(SEARCH(_xlfn.CONCAT(CHAR(96),CHAR(34)),$I852)),ISNUMBER(SEARCH(_xlfn.CONCAT(CHAR(34),CHAR(39)),$I852))),_xlfn.CONCAT("* REVIEW REQUIRED: compound-quote delimiter in Derivation on Sheet 1 row ",852,"; edit the input before running."),_xlfn.CONCAT("char ",TRIM($B852),"[doc_derivation] ",CHAR(96),CHAR(34),SUBSTITUTE(SUBSTITUTE(SUBSTITUTE(SUBSTITUTE(SUBSTITUTE(SUBSTITUTE($I852,CHAR(13)," "),CHAR(10)," "),CHAR(9)," "),CHAR(92),_xlfn.CONCAT(CHAR(92),CHAR(92))),"$",_xlfn.CONCAT(CHAR(92),"$")),CHAR(96),_xlfn.CONCAT(CHAR(92),CHAR(96))),CHAR(34),CHAR(39))))</f>
        <v/>
      </c>
      <c r="T852" s="5" t="str">
        <f>IF(OR(TRIM($B852)="",$J852=""),"",IF(OR(ISNUMBER(SEARCH(_xlfn.CONCAT(CHAR(96),CHAR(34)),$J852)),ISNUMBER(SEARCH(_xlfn.CONCAT(CHAR(34),CHAR(39)),$J852))),_xlfn.CONCAT("* REVIEW REQUIRED: compound-quote delimiter in Notes on Sheet 1 row ",852,"; edit the input before running."),_xlfn.CONCAT("char ",TRIM($B852),"[doc_notes] ",CHAR(96),CHAR(34),SUBSTITUTE(SUBSTITUTE(SUBSTITUTE(SUBSTITUTE(SUBSTITUTE(SUBSTITUTE($J852,CHAR(13)," "),CHAR(10)," "),CHAR(9)," "),CHAR(92),_xlfn.CONCAT(CHAR(92),CHAR(92))),"$",_xlfn.CONCAT(CHAR(92),"$")),CHAR(96),_xlfn.CONCAT(CHAR(92),CHAR(96))),CHAR(34),CHAR(39))))</f>
        <v/>
      </c>
      <c r="U852" s="5">
        <f t="shared" ref="U852:U915" si="27">COUNTIF(L852:T852,"*REVIEW REQUIRED*")</f>
        <v>0</v>
      </c>
    </row>
    <row r="853" spans="3:21" ht="30" customHeight="1" x14ac:dyDescent="0.2">
      <c r="C853" s="4"/>
      <c r="K853" s="5">
        <f t="shared" si="26"/>
        <v>0</v>
      </c>
      <c r="L853" s="5" t="str">
        <f>IF(OR(TRIM($B853)="",$A853=""),"",IF(OR(ISNUMBER(SEARCH(_xlfn.CONCAT(CHAR(96),CHAR(34)),$A853)),ISNUMBER(SEARCH(_xlfn.CONCAT(CHAR(34),CHAR(39)),$A853))),_xlfn.CONCAT("* REVIEW REQUIRED: compound-quote delimiter in Codebook Section on Sheet 1 row ",853,"; edit the input before running."),_xlfn.CONCAT("char ",TRIM($B853),"[doc_section] ",CHAR(96),CHAR(34),SUBSTITUTE(SUBSTITUTE(SUBSTITUTE(SUBSTITUTE(SUBSTITUTE(SUBSTITUTE($A853,CHAR(13)," "),CHAR(10)," "),CHAR(9)," "),CHAR(92),_xlfn.CONCAT(CHAR(92),CHAR(92))),"$",_xlfn.CONCAT(CHAR(92),"$")),CHAR(96),_xlfn.CONCAT(CHAR(92),CHAR(96))),CHAR(34),CHAR(39))))</f>
        <v/>
      </c>
      <c r="M853" s="5" t="str">
        <f>IF(OR(TRIM($B853)="",$C853=""),"",IF(IFERROR(MATCH(TRIM($C853),{"Quantitative","Continuous","Discrete","Categorical","Nominal","Ordinal","Identifier"},0),0)=0,_xlfn.CONCAT("* REVIEW REQUIRED: invalid Variable Type on Sheet 1 row ",853,"."),_xlfn.CONCAT("char ",TRIM($B853),"[doc_vartype] ",CHAR(96),CHAR(34),SUBSTITUTE(SUBSTITUTE(SUBSTITUTE(SUBSTITUTE(SUBSTITUTE(SUBSTITUTE(LOWER(TRIM($C853)),CHAR(13)," "),CHAR(10)," "),CHAR(9)," "),CHAR(92),_xlfn.CONCAT(CHAR(92),CHAR(92))),"$",_xlfn.CONCAT(CHAR(92),"$")),CHAR(96),_xlfn.CONCAT(CHAR(92),CHAR(96))),CHAR(34),CHAR(39))))</f>
        <v/>
      </c>
      <c r="N853" s="5" t="str">
        <f>IF(OR(TRIM($B853)="",$D853=""),"",IF(OR(ISNUMBER(SEARCH(_xlfn.CONCAT(CHAR(96),CHAR(34)),$D853)),ISNUMBER(SEARCH(_xlfn.CONCAT(CHAR(34),CHAR(39)),$D853))),_xlfn.CONCAT("* REVIEW REQUIRED: compound-quote delimiter in Item Number on Sheet 1 row ",853,"; edit the input before running."),_xlfn.CONCAT("char ",TRIM($B853),"[doc_itemnum] ",CHAR(96),CHAR(34),SUBSTITUTE(SUBSTITUTE(SUBSTITUTE(SUBSTITUTE(SUBSTITUTE(SUBSTITUTE($D853,CHAR(13)," "),CHAR(10)," "),CHAR(9)," "),CHAR(92),_xlfn.CONCAT(CHAR(92),CHAR(92))),"$",_xlfn.CONCAT(CHAR(92),"$")),CHAR(96),_xlfn.CONCAT(CHAR(92),CHAR(96))),CHAR(34),CHAR(39))))</f>
        <v/>
      </c>
      <c r="O853" s="5" t="str">
        <f>IF(OR(TRIM($B853)="",$E853=""),"",IF(OR(ISNUMBER(SEARCH(_xlfn.CONCAT(CHAR(96),CHAR(34)),$E853)),ISNUMBER(SEARCH(_xlfn.CONCAT(CHAR(34),CHAR(39)),$E853))),_xlfn.CONCAT("* REVIEW REQUIRED: compound-quote delimiter in Question Wording on Sheet 1 row ",853,"; edit the input before running."),_xlfn.CONCAT("char ",TRIM($B853),"[doc_question] ",CHAR(96),CHAR(34),SUBSTITUTE(SUBSTITUTE(SUBSTITUTE(SUBSTITUTE(SUBSTITUTE(SUBSTITUTE($E853,CHAR(13)," "),CHAR(10)," "),CHAR(9)," "),CHAR(92),_xlfn.CONCAT(CHAR(92),CHAR(92))),"$",_xlfn.CONCAT(CHAR(92),"$")),CHAR(96),_xlfn.CONCAT(CHAR(92),CHAR(96))),CHAR(34),CHAR(39))))</f>
        <v/>
      </c>
      <c r="P853" s="5" t="str">
        <f>IF(OR(TRIM($B853)="",$F853=""),"",IF(OR(ISNUMBER(SEARCH(_xlfn.CONCAT(CHAR(96),CHAR(34)),$F853)),ISNUMBER(SEARCH(_xlfn.CONCAT(CHAR(34),CHAR(39)),$F853))),_xlfn.CONCAT("* REVIEW REQUIRED: compound-quote delimiter in Units on Sheet 1 row ",853,"; edit the input before running."),_xlfn.CONCAT("char ",TRIM($B853),"[doc_units] ",CHAR(96),CHAR(34),SUBSTITUTE(SUBSTITUTE(SUBSTITUTE(SUBSTITUTE(SUBSTITUTE(SUBSTITUTE($F853,CHAR(13)," "),CHAR(10)," "),CHAR(9)," "),CHAR(92),_xlfn.CONCAT(CHAR(92),CHAR(92))),"$",_xlfn.CONCAT(CHAR(92),"$")),CHAR(96),_xlfn.CONCAT(CHAR(92),CHAR(96))),CHAR(34),CHAR(39))))</f>
        <v/>
      </c>
      <c r="Q853" s="5" t="str">
        <f>IF(OR(TRIM($B853)="",$G853=""),"",IF(OR(ISNUMBER(SEARCH(_xlfn.CONCAT(CHAR(96),CHAR(34)),$G853)),ISNUMBER(SEARCH(_xlfn.CONCAT(CHAR(34),CHAR(39)),$G853))),_xlfn.CONCAT("* REVIEW REQUIRED: compound-quote delimiter in Universe on Sheet 1 row ",853,"; edit the input before running."),_xlfn.CONCAT("char ",TRIM($B853),"[doc_universe] ",CHAR(96),CHAR(34),SUBSTITUTE(SUBSTITUTE(SUBSTITUTE(SUBSTITUTE(SUBSTITUTE(SUBSTITUTE($G853,CHAR(13)," "),CHAR(10)," "),CHAR(9)," "),CHAR(92),_xlfn.CONCAT(CHAR(92),CHAR(92))),"$",_xlfn.CONCAT(CHAR(92),"$")),CHAR(96),_xlfn.CONCAT(CHAR(92),CHAR(96))),CHAR(34),CHAR(39))))</f>
        <v/>
      </c>
      <c r="R853" s="5" t="str">
        <f>IF(OR(TRIM($B853)="",$H853=""),"",IF(OR(ISNUMBER(SEARCH(_xlfn.CONCAT(CHAR(96),CHAR(34)),$H853)),ISNUMBER(SEARCH(_xlfn.CONCAT(CHAR(34),CHAR(39)),$H853))),_xlfn.CONCAT("* REVIEW REQUIRED: compound-quote delimiter in Source on Sheet 1 row ",853,"; edit the input before running."),_xlfn.CONCAT("char ",TRIM($B853),"[doc_source] ",CHAR(96),CHAR(34),SUBSTITUTE(SUBSTITUTE(SUBSTITUTE(SUBSTITUTE(SUBSTITUTE(SUBSTITUTE($H853,CHAR(13)," "),CHAR(10)," "),CHAR(9)," "),CHAR(92),_xlfn.CONCAT(CHAR(92),CHAR(92))),"$",_xlfn.CONCAT(CHAR(92),"$")),CHAR(96),_xlfn.CONCAT(CHAR(92),CHAR(96))),CHAR(34),CHAR(39))))</f>
        <v/>
      </c>
      <c r="S853" s="5" t="str">
        <f>IF(OR(TRIM($B853)="",$I853=""),"",IF(OR(ISNUMBER(SEARCH(_xlfn.CONCAT(CHAR(96),CHAR(34)),$I853)),ISNUMBER(SEARCH(_xlfn.CONCAT(CHAR(34),CHAR(39)),$I853))),_xlfn.CONCAT("* REVIEW REQUIRED: compound-quote delimiter in Derivation on Sheet 1 row ",853,"; edit the input before running."),_xlfn.CONCAT("char ",TRIM($B853),"[doc_derivation] ",CHAR(96),CHAR(34),SUBSTITUTE(SUBSTITUTE(SUBSTITUTE(SUBSTITUTE(SUBSTITUTE(SUBSTITUTE($I853,CHAR(13)," "),CHAR(10)," "),CHAR(9)," "),CHAR(92),_xlfn.CONCAT(CHAR(92),CHAR(92))),"$",_xlfn.CONCAT(CHAR(92),"$")),CHAR(96),_xlfn.CONCAT(CHAR(92),CHAR(96))),CHAR(34),CHAR(39))))</f>
        <v/>
      </c>
      <c r="T853" s="5" t="str">
        <f>IF(OR(TRIM($B853)="",$J853=""),"",IF(OR(ISNUMBER(SEARCH(_xlfn.CONCAT(CHAR(96),CHAR(34)),$J853)),ISNUMBER(SEARCH(_xlfn.CONCAT(CHAR(34),CHAR(39)),$J853))),_xlfn.CONCAT("* REVIEW REQUIRED: compound-quote delimiter in Notes on Sheet 1 row ",853,"; edit the input before running."),_xlfn.CONCAT("char ",TRIM($B853),"[doc_notes] ",CHAR(96),CHAR(34),SUBSTITUTE(SUBSTITUTE(SUBSTITUTE(SUBSTITUTE(SUBSTITUTE(SUBSTITUTE($J853,CHAR(13)," "),CHAR(10)," "),CHAR(9)," "),CHAR(92),_xlfn.CONCAT(CHAR(92),CHAR(92))),"$",_xlfn.CONCAT(CHAR(92),"$")),CHAR(96),_xlfn.CONCAT(CHAR(92),CHAR(96))),CHAR(34),CHAR(39))))</f>
        <v/>
      </c>
      <c r="U853" s="5">
        <f t="shared" si="27"/>
        <v>0</v>
      </c>
    </row>
    <row r="854" spans="3:21" ht="30" customHeight="1" x14ac:dyDescent="0.2">
      <c r="C854" s="4"/>
      <c r="K854" s="5">
        <f t="shared" si="26"/>
        <v>0</v>
      </c>
      <c r="L854" s="5" t="str">
        <f>IF(OR(TRIM($B854)="",$A854=""),"",IF(OR(ISNUMBER(SEARCH(_xlfn.CONCAT(CHAR(96),CHAR(34)),$A854)),ISNUMBER(SEARCH(_xlfn.CONCAT(CHAR(34),CHAR(39)),$A854))),_xlfn.CONCAT("* REVIEW REQUIRED: compound-quote delimiter in Codebook Section on Sheet 1 row ",854,"; edit the input before running."),_xlfn.CONCAT("char ",TRIM($B854),"[doc_section] ",CHAR(96),CHAR(34),SUBSTITUTE(SUBSTITUTE(SUBSTITUTE(SUBSTITUTE(SUBSTITUTE(SUBSTITUTE($A854,CHAR(13)," "),CHAR(10)," "),CHAR(9)," "),CHAR(92),_xlfn.CONCAT(CHAR(92),CHAR(92))),"$",_xlfn.CONCAT(CHAR(92),"$")),CHAR(96),_xlfn.CONCAT(CHAR(92),CHAR(96))),CHAR(34),CHAR(39))))</f>
        <v/>
      </c>
      <c r="M854" s="5" t="str">
        <f>IF(OR(TRIM($B854)="",$C854=""),"",IF(IFERROR(MATCH(TRIM($C854),{"Quantitative","Continuous","Discrete","Categorical","Nominal","Ordinal","Identifier"},0),0)=0,_xlfn.CONCAT("* REVIEW REQUIRED: invalid Variable Type on Sheet 1 row ",854,"."),_xlfn.CONCAT("char ",TRIM($B854),"[doc_vartype] ",CHAR(96),CHAR(34),SUBSTITUTE(SUBSTITUTE(SUBSTITUTE(SUBSTITUTE(SUBSTITUTE(SUBSTITUTE(LOWER(TRIM($C854)),CHAR(13)," "),CHAR(10)," "),CHAR(9)," "),CHAR(92),_xlfn.CONCAT(CHAR(92),CHAR(92))),"$",_xlfn.CONCAT(CHAR(92),"$")),CHAR(96),_xlfn.CONCAT(CHAR(92),CHAR(96))),CHAR(34),CHAR(39))))</f>
        <v/>
      </c>
      <c r="N854" s="5" t="str">
        <f>IF(OR(TRIM($B854)="",$D854=""),"",IF(OR(ISNUMBER(SEARCH(_xlfn.CONCAT(CHAR(96),CHAR(34)),$D854)),ISNUMBER(SEARCH(_xlfn.CONCAT(CHAR(34),CHAR(39)),$D854))),_xlfn.CONCAT("* REVIEW REQUIRED: compound-quote delimiter in Item Number on Sheet 1 row ",854,"; edit the input before running."),_xlfn.CONCAT("char ",TRIM($B854),"[doc_itemnum] ",CHAR(96),CHAR(34),SUBSTITUTE(SUBSTITUTE(SUBSTITUTE(SUBSTITUTE(SUBSTITUTE(SUBSTITUTE($D854,CHAR(13)," "),CHAR(10)," "),CHAR(9)," "),CHAR(92),_xlfn.CONCAT(CHAR(92),CHAR(92))),"$",_xlfn.CONCAT(CHAR(92),"$")),CHAR(96),_xlfn.CONCAT(CHAR(92),CHAR(96))),CHAR(34),CHAR(39))))</f>
        <v/>
      </c>
      <c r="O854" s="5" t="str">
        <f>IF(OR(TRIM($B854)="",$E854=""),"",IF(OR(ISNUMBER(SEARCH(_xlfn.CONCAT(CHAR(96),CHAR(34)),$E854)),ISNUMBER(SEARCH(_xlfn.CONCAT(CHAR(34),CHAR(39)),$E854))),_xlfn.CONCAT("* REVIEW REQUIRED: compound-quote delimiter in Question Wording on Sheet 1 row ",854,"; edit the input before running."),_xlfn.CONCAT("char ",TRIM($B854),"[doc_question] ",CHAR(96),CHAR(34),SUBSTITUTE(SUBSTITUTE(SUBSTITUTE(SUBSTITUTE(SUBSTITUTE(SUBSTITUTE($E854,CHAR(13)," "),CHAR(10)," "),CHAR(9)," "),CHAR(92),_xlfn.CONCAT(CHAR(92),CHAR(92))),"$",_xlfn.CONCAT(CHAR(92),"$")),CHAR(96),_xlfn.CONCAT(CHAR(92),CHAR(96))),CHAR(34),CHAR(39))))</f>
        <v/>
      </c>
      <c r="P854" s="5" t="str">
        <f>IF(OR(TRIM($B854)="",$F854=""),"",IF(OR(ISNUMBER(SEARCH(_xlfn.CONCAT(CHAR(96),CHAR(34)),$F854)),ISNUMBER(SEARCH(_xlfn.CONCAT(CHAR(34),CHAR(39)),$F854))),_xlfn.CONCAT("* REVIEW REQUIRED: compound-quote delimiter in Units on Sheet 1 row ",854,"; edit the input before running."),_xlfn.CONCAT("char ",TRIM($B854),"[doc_units] ",CHAR(96),CHAR(34),SUBSTITUTE(SUBSTITUTE(SUBSTITUTE(SUBSTITUTE(SUBSTITUTE(SUBSTITUTE($F854,CHAR(13)," "),CHAR(10)," "),CHAR(9)," "),CHAR(92),_xlfn.CONCAT(CHAR(92),CHAR(92))),"$",_xlfn.CONCAT(CHAR(92),"$")),CHAR(96),_xlfn.CONCAT(CHAR(92),CHAR(96))),CHAR(34),CHAR(39))))</f>
        <v/>
      </c>
      <c r="Q854" s="5" t="str">
        <f>IF(OR(TRIM($B854)="",$G854=""),"",IF(OR(ISNUMBER(SEARCH(_xlfn.CONCAT(CHAR(96),CHAR(34)),$G854)),ISNUMBER(SEARCH(_xlfn.CONCAT(CHAR(34),CHAR(39)),$G854))),_xlfn.CONCAT("* REVIEW REQUIRED: compound-quote delimiter in Universe on Sheet 1 row ",854,"; edit the input before running."),_xlfn.CONCAT("char ",TRIM($B854),"[doc_universe] ",CHAR(96),CHAR(34),SUBSTITUTE(SUBSTITUTE(SUBSTITUTE(SUBSTITUTE(SUBSTITUTE(SUBSTITUTE($G854,CHAR(13)," "),CHAR(10)," "),CHAR(9)," "),CHAR(92),_xlfn.CONCAT(CHAR(92),CHAR(92))),"$",_xlfn.CONCAT(CHAR(92),"$")),CHAR(96),_xlfn.CONCAT(CHAR(92),CHAR(96))),CHAR(34),CHAR(39))))</f>
        <v/>
      </c>
      <c r="R854" s="5" t="str">
        <f>IF(OR(TRIM($B854)="",$H854=""),"",IF(OR(ISNUMBER(SEARCH(_xlfn.CONCAT(CHAR(96),CHAR(34)),$H854)),ISNUMBER(SEARCH(_xlfn.CONCAT(CHAR(34),CHAR(39)),$H854))),_xlfn.CONCAT("* REVIEW REQUIRED: compound-quote delimiter in Source on Sheet 1 row ",854,"; edit the input before running."),_xlfn.CONCAT("char ",TRIM($B854),"[doc_source] ",CHAR(96),CHAR(34),SUBSTITUTE(SUBSTITUTE(SUBSTITUTE(SUBSTITUTE(SUBSTITUTE(SUBSTITUTE($H854,CHAR(13)," "),CHAR(10)," "),CHAR(9)," "),CHAR(92),_xlfn.CONCAT(CHAR(92),CHAR(92))),"$",_xlfn.CONCAT(CHAR(92),"$")),CHAR(96),_xlfn.CONCAT(CHAR(92),CHAR(96))),CHAR(34),CHAR(39))))</f>
        <v/>
      </c>
      <c r="S854" s="5" t="str">
        <f>IF(OR(TRIM($B854)="",$I854=""),"",IF(OR(ISNUMBER(SEARCH(_xlfn.CONCAT(CHAR(96),CHAR(34)),$I854)),ISNUMBER(SEARCH(_xlfn.CONCAT(CHAR(34),CHAR(39)),$I854))),_xlfn.CONCAT("* REVIEW REQUIRED: compound-quote delimiter in Derivation on Sheet 1 row ",854,"; edit the input before running."),_xlfn.CONCAT("char ",TRIM($B854),"[doc_derivation] ",CHAR(96),CHAR(34),SUBSTITUTE(SUBSTITUTE(SUBSTITUTE(SUBSTITUTE(SUBSTITUTE(SUBSTITUTE($I854,CHAR(13)," "),CHAR(10)," "),CHAR(9)," "),CHAR(92),_xlfn.CONCAT(CHAR(92),CHAR(92))),"$",_xlfn.CONCAT(CHAR(92),"$")),CHAR(96),_xlfn.CONCAT(CHAR(92),CHAR(96))),CHAR(34),CHAR(39))))</f>
        <v/>
      </c>
      <c r="T854" s="5" t="str">
        <f>IF(OR(TRIM($B854)="",$J854=""),"",IF(OR(ISNUMBER(SEARCH(_xlfn.CONCAT(CHAR(96),CHAR(34)),$J854)),ISNUMBER(SEARCH(_xlfn.CONCAT(CHAR(34),CHAR(39)),$J854))),_xlfn.CONCAT("* REVIEW REQUIRED: compound-quote delimiter in Notes on Sheet 1 row ",854,"; edit the input before running."),_xlfn.CONCAT("char ",TRIM($B854),"[doc_notes] ",CHAR(96),CHAR(34),SUBSTITUTE(SUBSTITUTE(SUBSTITUTE(SUBSTITUTE(SUBSTITUTE(SUBSTITUTE($J854,CHAR(13)," "),CHAR(10)," "),CHAR(9)," "),CHAR(92),_xlfn.CONCAT(CHAR(92),CHAR(92))),"$",_xlfn.CONCAT(CHAR(92),"$")),CHAR(96),_xlfn.CONCAT(CHAR(92),CHAR(96))),CHAR(34),CHAR(39))))</f>
        <v/>
      </c>
      <c r="U854" s="5">
        <f t="shared" si="27"/>
        <v>0</v>
      </c>
    </row>
    <row r="855" spans="3:21" ht="30" customHeight="1" x14ac:dyDescent="0.2">
      <c r="C855" s="4"/>
      <c r="K855" s="5">
        <f t="shared" si="26"/>
        <v>0</v>
      </c>
      <c r="L855" s="5" t="str">
        <f>IF(OR(TRIM($B855)="",$A855=""),"",IF(OR(ISNUMBER(SEARCH(_xlfn.CONCAT(CHAR(96),CHAR(34)),$A855)),ISNUMBER(SEARCH(_xlfn.CONCAT(CHAR(34),CHAR(39)),$A855))),_xlfn.CONCAT("* REVIEW REQUIRED: compound-quote delimiter in Codebook Section on Sheet 1 row ",855,"; edit the input before running."),_xlfn.CONCAT("char ",TRIM($B855),"[doc_section] ",CHAR(96),CHAR(34),SUBSTITUTE(SUBSTITUTE(SUBSTITUTE(SUBSTITUTE(SUBSTITUTE(SUBSTITUTE($A855,CHAR(13)," "),CHAR(10)," "),CHAR(9)," "),CHAR(92),_xlfn.CONCAT(CHAR(92),CHAR(92))),"$",_xlfn.CONCAT(CHAR(92),"$")),CHAR(96),_xlfn.CONCAT(CHAR(92),CHAR(96))),CHAR(34),CHAR(39))))</f>
        <v/>
      </c>
      <c r="M855" s="5" t="str">
        <f>IF(OR(TRIM($B855)="",$C855=""),"",IF(IFERROR(MATCH(TRIM($C855),{"Quantitative","Continuous","Discrete","Categorical","Nominal","Ordinal","Identifier"},0),0)=0,_xlfn.CONCAT("* REVIEW REQUIRED: invalid Variable Type on Sheet 1 row ",855,"."),_xlfn.CONCAT("char ",TRIM($B855),"[doc_vartype] ",CHAR(96),CHAR(34),SUBSTITUTE(SUBSTITUTE(SUBSTITUTE(SUBSTITUTE(SUBSTITUTE(SUBSTITUTE(LOWER(TRIM($C855)),CHAR(13)," "),CHAR(10)," "),CHAR(9)," "),CHAR(92),_xlfn.CONCAT(CHAR(92),CHAR(92))),"$",_xlfn.CONCAT(CHAR(92),"$")),CHAR(96),_xlfn.CONCAT(CHAR(92),CHAR(96))),CHAR(34),CHAR(39))))</f>
        <v/>
      </c>
      <c r="N855" s="5" t="str">
        <f>IF(OR(TRIM($B855)="",$D855=""),"",IF(OR(ISNUMBER(SEARCH(_xlfn.CONCAT(CHAR(96),CHAR(34)),$D855)),ISNUMBER(SEARCH(_xlfn.CONCAT(CHAR(34),CHAR(39)),$D855))),_xlfn.CONCAT("* REVIEW REQUIRED: compound-quote delimiter in Item Number on Sheet 1 row ",855,"; edit the input before running."),_xlfn.CONCAT("char ",TRIM($B855),"[doc_itemnum] ",CHAR(96),CHAR(34),SUBSTITUTE(SUBSTITUTE(SUBSTITUTE(SUBSTITUTE(SUBSTITUTE(SUBSTITUTE($D855,CHAR(13)," "),CHAR(10)," "),CHAR(9)," "),CHAR(92),_xlfn.CONCAT(CHAR(92),CHAR(92))),"$",_xlfn.CONCAT(CHAR(92),"$")),CHAR(96),_xlfn.CONCAT(CHAR(92),CHAR(96))),CHAR(34),CHAR(39))))</f>
        <v/>
      </c>
      <c r="O855" s="5" t="str">
        <f>IF(OR(TRIM($B855)="",$E855=""),"",IF(OR(ISNUMBER(SEARCH(_xlfn.CONCAT(CHAR(96),CHAR(34)),$E855)),ISNUMBER(SEARCH(_xlfn.CONCAT(CHAR(34),CHAR(39)),$E855))),_xlfn.CONCAT("* REVIEW REQUIRED: compound-quote delimiter in Question Wording on Sheet 1 row ",855,"; edit the input before running."),_xlfn.CONCAT("char ",TRIM($B855),"[doc_question] ",CHAR(96),CHAR(34),SUBSTITUTE(SUBSTITUTE(SUBSTITUTE(SUBSTITUTE(SUBSTITUTE(SUBSTITUTE($E855,CHAR(13)," "),CHAR(10)," "),CHAR(9)," "),CHAR(92),_xlfn.CONCAT(CHAR(92),CHAR(92))),"$",_xlfn.CONCAT(CHAR(92),"$")),CHAR(96),_xlfn.CONCAT(CHAR(92),CHAR(96))),CHAR(34),CHAR(39))))</f>
        <v/>
      </c>
      <c r="P855" s="5" t="str">
        <f>IF(OR(TRIM($B855)="",$F855=""),"",IF(OR(ISNUMBER(SEARCH(_xlfn.CONCAT(CHAR(96),CHAR(34)),$F855)),ISNUMBER(SEARCH(_xlfn.CONCAT(CHAR(34),CHAR(39)),$F855))),_xlfn.CONCAT("* REVIEW REQUIRED: compound-quote delimiter in Units on Sheet 1 row ",855,"; edit the input before running."),_xlfn.CONCAT("char ",TRIM($B855),"[doc_units] ",CHAR(96),CHAR(34),SUBSTITUTE(SUBSTITUTE(SUBSTITUTE(SUBSTITUTE(SUBSTITUTE(SUBSTITUTE($F855,CHAR(13)," "),CHAR(10)," "),CHAR(9)," "),CHAR(92),_xlfn.CONCAT(CHAR(92),CHAR(92))),"$",_xlfn.CONCAT(CHAR(92),"$")),CHAR(96),_xlfn.CONCAT(CHAR(92),CHAR(96))),CHAR(34),CHAR(39))))</f>
        <v/>
      </c>
      <c r="Q855" s="5" t="str">
        <f>IF(OR(TRIM($B855)="",$G855=""),"",IF(OR(ISNUMBER(SEARCH(_xlfn.CONCAT(CHAR(96),CHAR(34)),$G855)),ISNUMBER(SEARCH(_xlfn.CONCAT(CHAR(34),CHAR(39)),$G855))),_xlfn.CONCAT("* REVIEW REQUIRED: compound-quote delimiter in Universe on Sheet 1 row ",855,"; edit the input before running."),_xlfn.CONCAT("char ",TRIM($B855),"[doc_universe] ",CHAR(96),CHAR(34),SUBSTITUTE(SUBSTITUTE(SUBSTITUTE(SUBSTITUTE(SUBSTITUTE(SUBSTITUTE($G855,CHAR(13)," "),CHAR(10)," "),CHAR(9)," "),CHAR(92),_xlfn.CONCAT(CHAR(92),CHAR(92))),"$",_xlfn.CONCAT(CHAR(92),"$")),CHAR(96),_xlfn.CONCAT(CHAR(92),CHAR(96))),CHAR(34),CHAR(39))))</f>
        <v/>
      </c>
      <c r="R855" s="5" t="str">
        <f>IF(OR(TRIM($B855)="",$H855=""),"",IF(OR(ISNUMBER(SEARCH(_xlfn.CONCAT(CHAR(96),CHAR(34)),$H855)),ISNUMBER(SEARCH(_xlfn.CONCAT(CHAR(34),CHAR(39)),$H855))),_xlfn.CONCAT("* REVIEW REQUIRED: compound-quote delimiter in Source on Sheet 1 row ",855,"; edit the input before running."),_xlfn.CONCAT("char ",TRIM($B855),"[doc_source] ",CHAR(96),CHAR(34),SUBSTITUTE(SUBSTITUTE(SUBSTITUTE(SUBSTITUTE(SUBSTITUTE(SUBSTITUTE($H855,CHAR(13)," "),CHAR(10)," "),CHAR(9)," "),CHAR(92),_xlfn.CONCAT(CHAR(92),CHAR(92))),"$",_xlfn.CONCAT(CHAR(92),"$")),CHAR(96),_xlfn.CONCAT(CHAR(92),CHAR(96))),CHAR(34),CHAR(39))))</f>
        <v/>
      </c>
      <c r="S855" s="5" t="str">
        <f>IF(OR(TRIM($B855)="",$I855=""),"",IF(OR(ISNUMBER(SEARCH(_xlfn.CONCAT(CHAR(96),CHAR(34)),$I855)),ISNUMBER(SEARCH(_xlfn.CONCAT(CHAR(34),CHAR(39)),$I855))),_xlfn.CONCAT("* REVIEW REQUIRED: compound-quote delimiter in Derivation on Sheet 1 row ",855,"; edit the input before running."),_xlfn.CONCAT("char ",TRIM($B855),"[doc_derivation] ",CHAR(96),CHAR(34),SUBSTITUTE(SUBSTITUTE(SUBSTITUTE(SUBSTITUTE(SUBSTITUTE(SUBSTITUTE($I855,CHAR(13)," "),CHAR(10)," "),CHAR(9)," "),CHAR(92),_xlfn.CONCAT(CHAR(92),CHAR(92))),"$",_xlfn.CONCAT(CHAR(92),"$")),CHAR(96),_xlfn.CONCAT(CHAR(92),CHAR(96))),CHAR(34),CHAR(39))))</f>
        <v/>
      </c>
      <c r="T855" s="5" t="str">
        <f>IF(OR(TRIM($B855)="",$J855=""),"",IF(OR(ISNUMBER(SEARCH(_xlfn.CONCAT(CHAR(96),CHAR(34)),$J855)),ISNUMBER(SEARCH(_xlfn.CONCAT(CHAR(34),CHAR(39)),$J855))),_xlfn.CONCAT("* REVIEW REQUIRED: compound-quote delimiter in Notes on Sheet 1 row ",855,"; edit the input before running."),_xlfn.CONCAT("char ",TRIM($B855),"[doc_notes] ",CHAR(96),CHAR(34),SUBSTITUTE(SUBSTITUTE(SUBSTITUTE(SUBSTITUTE(SUBSTITUTE(SUBSTITUTE($J855,CHAR(13)," "),CHAR(10)," "),CHAR(9)," "),CHAR(92),_xlfn.CONCAT(CHAR(92),CHAR(92))),"$",_xlfn.CONCAT(CHAR(92),"$")),CHAR(96),_xlfn.CONCAT(CHAR(92),CHAR(96))),CHAR(34),CHAR(39))))</f>
        <v/>
      </c>
      <c r="U855" s="5">
        <f t="shared" si="27"/>
        <v>0</v>
      </c>
    </row>
    <row r="856" spans="3:21" ht="30" customHeight="1" x14ac:dyDescent="0.2">
      <c r="C856" s="4"/>
      <c r="K856" s="5">
        <f t="shared" si="26"/>
        <v>0</v>
      </c>
      <c r="L856" s="5" t="str">
        <f>IF(OR(TRIM($B856)="",$A856=""),"",IF(OR(ISNUMBER(SEARCH(_xlfn.CONCAT(CHAR(96),CHAR(34)),$A856)),ISNUMBER(SEARCH(_xlfn.CONCAT(CHAR(34),CHAR(39)),$A856))),_xlfn.CONCAT("* REVIEW REQUIRED: compound-quote delimiter in Codebook Section on Sheet 1 row ",856,"; edit the input before running."),_xlfn.CONCAT("char ",TRIM($B856),"[doc_section] ",CHAR(96),CHAR(34),SUBSTITUTE(SUBSTITUTE(SUBSTITUTE(SUBSTITUTE(SUBSTITUTE(SUBSTITUTE($A856,CHAR(13)," "),CHAR(10)," "),CHAR(9)," "),CHAR(92),_xlfn.CONCAT(CHAR(92),CHAR(92))),"$",_xlfn.CONCAT(CHAR(92),"$")),CHAR(96),_xlfn.CONCAT(CHAR(92),CHAR(96))),CHAR(34),CHAR(39))))</f>
        <v/>
      </c>
      <c r="M856" s="5" t="str">
        <f>IF(OR(TRIM($B856)="",$C856=""),"",IF(IFERROR(MATCH(TRIM($C856),{"Quantitative","Continuous","Discrete","Categorical","Nominal","Ordinal","Identifier"},0),0)=0,_xlfn.CONCAT("* REVIEW REQUIRED: invalid Variable Type on Sheet 1 row ",856,"."),_xlfn.CONCAT("char ",TRIM($B856),"[doc_vartype] ",CHAR(96),CHAR(34),SUBSTITUTE(SUBSTITUTE(SUBSTITUTE(SUBSTITUTE(SUBSTITUTE(SUBSTITUTE(LOWER(TRIM($C856)),CHAR(13)," "),CHAR(10)," "),CHAR(9)," "),CHAR(92),_xlfn.CONCAT(CHAR(92),CHAR(92))),"$",_xlfn.CONCAT(CHAR(92),"$")),CHAR(96),_xlfn.CONCAT(CHAR(92),CHAR(96))),CHAR(34),CHAR(39))))</f>
        <v/>
      </c>
      <c r="N856" s="5" t="str">
        <f>IF(OR(TRIM($B856)="",$D856=""),"",IF(OR(ISNUMBER(SEARCH(_xlfn.CONCAT(CHAR(96),CHAR(34)),$D856)),ISNUMBER(SEARCH(_xlfn.CONCAT(CHAR(34),CHAR(39)),$D856))),_xlfn.CONCAT("* REVIEW REQUIRED: compound-quote delimiter in Item Number on Sheet 1 row ",856,"; edit the input before running."),_xlfn.CONCAT("char ",TRIM($B856),"[doc_itemnum] ",CHAR(96),CHAR(34),SUBSTITUTE(SUBSTITUTE(SUBSTITUTE(SUBSTITUTE(SUBSTITUTE(SUBSTITUTE($D856,CHAR(13)," "),CHAR(10)," "),CHAR(9)," "),CHAR(92),_xlfn.CONCAT(CHAR(92),CHAR(92))),"$",_xlfn.CONCAT(CHAR(92),"$")),CHAR(96),_xlfn.CONCAT(CHAR(92),CHAR(96))),CHAR(34),CHAR(39))))</f>
        <v/>
      </c>
      <c r="O856" s="5" t="str">
        <f>IF(OR(TRIM($B856)="",$E856=""),"",IF(OR(ISNUMBER(SEARCH(_xlfn.CONCAT(CHAR(96),CHAR(34)),$E856)),ISNUMBER(SEARCH(_xlfn.CONCAT(CHAR(34),CHAR(39)),$E856))),_xlfn.CONCAT("* REVIEW REQUIRED: compound-quote delimiter in Question Wording on Sheet 1 row ",856,"; edit the input before running."),_xlfn.CONCAT("char ",TRIM($B856),"[doc_question] ",CHAR(96),CHAR(34),SUBSTITUTE(SUBSTITUTE(SUBSTITUTE(SUBSTITUTE(SUBSTITUTE(SUBSTITUTE($E856,CHAR(13)," "),CHAR(10)," "),CHAR(9)," "),CHAR(92),_xlfn.CONCAT(CHAR(92),CHAR(92))),"$",_xlfn.CONCAT(CHAR(92),"$")),CHAR(96),_xlfn.CONCAT(CHAR(92),CHAR(96))),CHAR(34),CHAR(39))))</f>
        <v/>
      </c>
      <c r="P856" s="5" t="str">
        <f>IF(OR(TRIM($B856)="",$F856=""),"",IF(OR(ISNUMBER(SEARCH(_xlfn.CONCAT(CHAR(96),CHAR(34)),$F856)),ISNUMBER(SEARCH(_xlfn.CONCAT(CHAR(34),CHAR(39)),$F856))),_xlfn.CONCAT("* REVIEW REQUIRED: compound-quote delimiter in Units on Sheet 1 row ",856,"; edit the input before running."),_xlfn.CONCAT("char ",TRIM($B856),"[doc_units] ",CHAR(96),CHAR(34),SUBSTITUTE(SUBSTITUTE(SUBSTITUTE(SUBSTITUTE(SUBSTITUTE(SUBSTITUTE($F856,CHAR(13)," "),CHAR(10)," "),CHAR(9)," "),CHAR(92),_xlfn.CONCAT(CHAR(92),CHAR(92))),"$",_xlfn.CONCAT(CHAR(92),"$")),CHAR(96),_xlfn.CONCAT(CHAR(92),CHAR(96))),CHAR(34),CHAR(39))))</f>
        <v/>
      </c>
      <c r="Q856" s="5" t="str">
        <f>IF(OR(TRIM($B856)="",$G856=""),"",IF(OR(ISNUMBER(SEARCH(_xlfn.CONCAT(CHAR(96),CHAR(34)),$G856)),ISNUMBER(SEARCH(_xlfn.CONCAT(CHAR(34),CHAR(39)),$G856))),_xlfn.CONCAT("* REVIEW REQUIRED: compound-quote delimiter in Universe on Sheet 1 row ",856,"; edit the input before running."),_xlfn.CONCAT("char ",TRIM($B856),"[doc_universe] ",CHAR(96),CHAR(34),SUBSTITUTE(SUBSTITUTE(SUBSTITUTE(SUBSTITUTE(SUBSTITUTE(SUBSTITUTE($G856,CHAR(13)," "),CHAR(10)," "),CHAR(9)," "),CHAR(92),_xlfn.CONCAT(CHAR(92),CHAR(92))),"$",_xlfn.CONCAT(CHAR(92),"$")),CHAR(96),_xlfn.CONCAT(CHAR(92),CHAR(96))),CHAR(34),CHAR(39))))</f>
        <v/>
      </c>
      <c r="R856" s="5" t="str">
        <f>IF(OR(TRIM($B856)="",$H856=""),"",IF(OR(ISNUMBER(SEARCH(_xlfn.CONCAT(CHAR(96),CHAR(34)),$H856)),ISNUMBER(SEARCH(_xlfn.CONCAT(CHAR(34),CHAR(39)),$H856))),_xlfn.CONCAT("* REVIEW REQUIRED: compound-quote delimiter in Source on Sheet 1 row ",856,"; edit the input before running."),_xlfn.CONCAT("char ",TRIM($B856),"[doc_source] ",CHAR(96),CHAR(34),SUBSTITUTE(SUBSTITUTE(SUBSTITUTE(SUBSTITUTE(SUBSTITUTE(SUBSTITUTE($H856,CHAR(13)," "),CHAR(10)," "),CHAR(9)," "),CHAR(92),_xlfn.CONCAT(CHAR(92),CHAR(92))),"$",_xlfn.CONCAT(CHAR(92),"$")),CHAR(96),_xlfn.CONCAT(CHAR(92),CHAR(96))),CHAR(34),CHAR(39))))</f>
        <v/>
      </c>
      <c r="S856" s="5" t="str">
        <f>IF(OR(TRIM($B856)="",$I856=""),"",IF(OR(ISNUMBER(SEARCH(_xlfn.CONCAT(CHAR(96),CHAR(34)),$I856)),ISNUMBER(SEARCH(_xlfn.CONCAT(CHAR(34),CHAR(39)),$I856))),_xlfn.CONCAT("* REVIEW REQUIRED: compound-quote delimiter in Derivation on Sheet 1 row ",856,"; edit the input before running."),_xlfn.CONCAT("char ",TRIM($B856),"[doc_derivation] ",CHAR(96),CHAR(34),SUBSTITUTE(SUBSTITUTE(SUBSTITUTE(SUBSTITUTE(SUBSTITUTE(SUBSTITUTE($I856,CHAR(13)," "),CHAR(10)," "),CHAR(9)," "),CHAR(92),_xlfn.CONCAT(CHAR(92),CHAR(92))),"$",_xlfn.CONCAT(CHAR(92),"$")),CHAR(96),_xlfn.CONCAT(CHAR(92),CHAR(96))),CHAR(34),CHAR(39))))</f>
        <v/>
      </c>
      <c r="T856" s="5" t="str">
        <f>IF(OR(TRIM($B856)="",$J856=""),"",IF(OR(ISNUMBER(SEARCH(_xlfn.CONCAT(CHAR(96),CHAR(34)),$J856)),ISNUMBER(SEARCH(_xlfn.CONCAT(CHAR(34),CHAR(39)),$J856))),_xlfn.CONCAT("* REVIEW REQUIRED: compound-quote delimiter in Notes on Sheet 1 row ",856,"; edit the input before running."),_xlfn.CONCAT("char ",TRIM($B856),"[doc_notes] ",CHAR(96),CHAR(34),SUBSTITUTE(SUBSTITUTE(SUBSTITUTE(SUBSTITUTE(SUBSTITUTE(SUBSTITUTE($J856,CHAR(13)," "),CHAR(10)," "),CHAR(9)," "),CHAR(92),_xlfn.CONCAT(CHAR(92),CHAR(92))),"$",_xlfn.CONCAT(CHAR(92),"$")),CHAR(96),_xlfn.CONCAT(CHAR(92),CHAR(96))),CHAR(34),CHAR(39))))</f>
        <v/>
      </c>
      <c r="U856" s="5">
        <f t="shared" si="27"/>
        <v>0</v>
      </c>
    </row>
    <row r="857" spans="3:21" ht="30" customHeight="1" x14ac:dyDescent="0.2">
      <c r="C857" s="4"/>
      <c r="K857" s="5">
        <f t="shared" si="26"/>
        <v>0</v>
      </c>
      <c r="L857" s="5" t="str">
        <f>IF(OR(TRIM($B857)="",$A857=""),"",IF(OR(ISNUMBER(SEARCH(_xlfn.CONCAT(CHAR(96),CHAR(34)),$A857)),ISNUMBER(SEARCH(_xlfn.CONCAT(CHAR(34),CHAR(39)),$A857))),_xlfn.CONCAT("* REVIEW REQUIRED: compound-quote delimiter in Codebook Section on Sheet 1 row ",857,"; edit the input before running."),_xlfn.CONCAT("char ",TRIM($B857),"[doc_section] ",CHAR(96),CHAR(34),SUBSTITUTE(SUBSTITUTE(SUBSTITUTE(SUBSTITUTE(SUBSTITUTE(SUBSTITUTE($A857,CHAR(13)," "),CHAR(10)," "),CHAR(9)," "),CHAR(92),_xlfn.CONCAT(CHAR(92),CHAR(92))),"$",_xlfn.CONCAT(CHAR(92),"$")),CHAR(96),_xlfn.CONCAT(CHAR(92),CHAR(96))),CHAR(34),CHAR(39))))</f>
        <v/>
      </c>
      <c r="M857" s="5" t="str">
        <f>IF(OR(TRIM($B857)="",$C857=""),"",IF(IFERROR(MATCH(TRIM($C857),{"Quantitative","Continuous","Discrete","Categorical","Nominal","Ordinal","Identifier"},0),0)=0,_xlfn.CONCAT("* REVIEW REQUIRED: invalid Variable Type on Sheet 1 row ",857,"."),_xlfn.CONCAT("char ",TRIM($B857),"[doc_vartype] ",CHAR(96),CHAR(34),SUBSTITUTE(SUBSTITUTE(SUBSTITUTE(SUBSTITUTE(SUBSTITUTE(SUBSTITUTE(LOWER(TRIM($C857)),CHAR(13)," "),CHAR(10)," "),CHAR(9)," "),CHAR(92),_xlfn.CONCAT(CHAR(92),CHAR(92))),"$",_xlfn.CONCAT(CHAR(92),"$")),CHAR(96),_xlfn.CONCAT(CHAR(92),CHAR(96))),CHAR(34),CHAR(39))))</f>
        <v/>
      </c>
      <c r="N857" s="5" t="str">
        <f>IF(OR(TRIM($B857)="",$D857=""),"",IF(OR(ISNUMBER(SEARCH(_xlfn.CONCAT(CHAR(96),CHAR(34)),$D857)),ISNUMBER(SEARCH(_xlfn.CONCAT(CHAR(34),CHAR(39)),$D857))),_xlfn.CONCAT("* REVIEW REQUIRED: compound-quote delimiter in Item Number on Sheet 1 row ",857,"; edit the input before running."),_xlfn.CONCAT("char ",TRIM($B857),"[doc_itemnum] ",CHAR(96),CHAR(34),SUBSTITUTE(SUBSTITUTE(SUBSTITUTE(SUBSTITUTE(SUBSTITUTE(SUBSTITUTE($D857,CHAR(13)," "),CHAR(10)," "),CHAR(9)," "),CHAR(92),_xlfn.CONCAT(CHAR(92),CHAR(92))),"$",_xlfn.CONCAT(CHAR(92),"$")),CHAR(96),_xlfn.CONCAT(CHAR(92),CHAR(96))),CHAR(34),CHAR(39))))</f>
        <v/>
      </c>
      <c r="O857" s="5" t="str">
        <f>IF(OR(TRIM($B857)="",$E857=""),"",IF(OR(ISNUMBER(SEARCH(_xlfn.CONCAT(CHAR(96),CHAR(34)),$E857)),ISNUMBER(SEARCH(_xlfn.CONCAT(CHAR(34),CHAR(39)),$E857))),_xlfn.CONCAT("* REVIEW REQUIRED: compound-quote delimiter in Question Wording on Sheet 1 row ",857,"; edit the input before running."),_xlfn.CONCAT("char ",TRIM($B857),"[doc_question] ",CHAR(96),CHAR(34),SUBSTITUTE(SUBSTITUTE(SUBSTITUTE(SUBSTITUTE(SUBSTITUTE(SUBSTITUTE($E857,CHAR(13)," "),CHAR(10)," "),CHAR(9)," "),CHAR(92),_xlfn.CONCAT(CHAR(92),CHAR(92))),"$",_xlfn.CONCAT(CHAR(92),"$")),CHAR(96),_xlfn.CONCAT(CHAR(92),CHAR(96))),CHAR(34),CHAR(39))))</f>
        <v/>
      </c>
      <c r="P857" s="5" t="str">
        <f>IF(OR(TRIM($B857)="",$F857=""),"",IF(OR(ISNUMBER(SEARCH(_xlfn.CONCAT(CHAR(96),CHAR(34)),$F857)),ISNUMBER(SEARCH(_xlfn.CONCAT(CHAR(34),CHAR(39)),$F857))),_xlfn.CONCAT("* REVIEW REQUIRED: compound-quote delimiter in Units on Sheet 1 row ",857,"; edit the input before running."),_xlfn.CONCAT("char ",TRIM($B857),"[doc_units] ",CHAR(96),CHAR(34),SUBSTITUTE(SUBSTITUTE(SUBSTITUTE(SUBSTITUTE(SUBSTITUTE(SUBSTITUTE($F857,CHAR(13)," "),CHAR(10)," "),CHAR(9)," "),CHAR(92),_xlfn.CONCAT(CHAR(92),CHAR(92))),"$",_xlfn.CONCAT(CHAR(92),"$")),CHAR(96),_xlfn.CONCAT(CHAR(92),CHAR(96))),CHAR(34),CHAR(39))))</f>
        <v/>
      </c>
      <c r="Q857" s="5" t="str">
        <f>IF(OR(TRIM($B857)="",$G857=""),"",IF(OR(ISNUMBER(SEARCH(_xlfn.CONCAT(CHAR(96),CHAR(34)),$G857)),ISNUMBER(SEARCH(_xlfn.CONCAT(CHAR(34),CHAR(39)),$G857))),_xlfn.CONCAT("* REVIEW REQUIRED: compound-quote delimiter in Universe on Sheet 1 row ",857,"; edit the input before running."),_xlfn.CONCAT("char ",TRIM($B857),"[doc_universe] ",CHAR(96),CHAR(34),SUBSTITUTE(SUBSTITUTE(SUBSTITUTE(SUBSTITUTE(SUBSTITUTE(SUBSTITUTE($G857,CHAR(13)," "),CHAR(10)," "),CHAR(9)," "),CHAR(92),_xlfn.CONCAT(CHAR(92),CHAR(92))),"$",_xlfn.CONCAT(CHAR(92),"$")),CHAR(96),_xlfn.CONCAT(CHAR(92),CHAR(96))),CHAR(34),CHAR(39))))</f>
        <v/>
      </c>
      <c r="R857" s="5" t="str">
        <f>IF(OR(TRIM($B857)="",$H857=""),"",IF(OR(ISNUMBER(SEARCH(_xlfn.CONCAT(CHAR(96),CHAR(34)),$H857)),ISNUMBER(SEARCH(_xlfn.CONCAT(CHAR(34),CHAR(39)),$H857))),_xlfn.CONCAT("* REVIEW REQUIRED: compound-quote delimiter in Source on Sheet 1 row ",857,"; edit the input before running."),_xlfn.CONCAT("char ",TRIM($B857),"[doc_source] ",CHAR(96),CHAR(34),SUBSTITUTE(SUBSTITUTE(SUBSTITUTE(SUBSTITUTE(SUBSTITUTE(SUBSTITUTE($H857,CHAR(13)," "),CHAR(10)," "),CHAR(9)," "),CHAR(92),_xlfn.CONCAT(CHAR(92),CHAR(92))),"$",_xlfn.CONCAT(CHAR(92),"$")),CHAR(96),_xlfn.CONCAT(CHAR(92),CHAR(96))),CHAR(34),CHAR(39))))</f>
        <v/>
      </c>
      <c r="S857" s="5" t="str">
        <f>IF(OR(TRIM($B857)="",$I857=""),"",IF(OR(ISNUMBER(SEARCH(_xlfn.CONCAT(CHAR(96),CHAR(34)),$I857)),ISNUMBER(SEARCH(_xlfn.CONCAT(CHAR(34),CHAR(39)),$I857))),_xlfn.CONCAT("* REVIEW REQUIRED: compound-quote delimiter in Derivation on Sheet 1 row ",857,"; edit the input before running."),_xlfn.CONCAT("char ",TRIM($B857),"[doc_derivation] ",CHAR(96),CHAR(34),SUBSTITUTE(SUBSTITUTE(SUBSTITUTE(SUBSTITUTE(SUBSTITUTE(SUBSTITUTE($I857,CHAR(13)," "),CHAR(10)," "),CHAR(9)," "),CHAR(92),_xlfn.CONCAT(CHAR(92),CHAR(92))),"$",_xlfn.CONCAT(CHAR(92),"$")),CHAR(96),_xlfn.CONCAT(CHAR(92),CHAR(96))),CHAR(34),CHAR(39))))</f>
        <v/>
      </c>
      <c r="T857" s="5" t="str">
        <f>IF(OR(TRIM($B857)="",$J857=""),"",IF(OR(ISNUMBER(SEARCH(_xlfn.CONCAT(CHAR(96),CHAR(34)),$J857)),ISNUMBER(SEARCH(_xlfn.CONCAT(CHAR(34),CHAR(39)),$J857))),_xlfn.CONCAT("* REVIEW REQUIRED: compound-quote delimiter in Notes on Sheet 1 row ",857,"; edit the input before running."),_xlfn.CONCAT("char ",TRIM($B857),"[doc_notes] ",CHAR(96),CHAR(34),SUBSTITUTE(SUBSTITUTE(SUBSTITUTE(SUBSTITUTE(SUBSTITUTE(SUBSTITUTE($J857,CHAR(13)," "),CHAR(10)," "),CHAR(9)," "),CHAR(92),_xlfn.CONCAT(CHAR(92),CHAR(92))),"$",_xlfn.CONCAT(CHAR(92),"$")),CHAR(96),_xlfn.CONCAT(CHAR(92),CHAR(96))),CHAR(34),CHAR(39))))</f>
        <v/>
      </c>
      <c r="U857" s="5">
        <f t="shared" si="27"/>
        <v>0</v>
      </c>
    </row>
    <row r="858" spans="3:21" ht="30" customHeight="1" x14ac:dyDescent="0.2">
      <c r="C858" s="4"/>
      <c r="K858" s="5">
        <f t="shared" si="26"/>
        <v>0</v>
      </c>
      <c r="L858" s="5" t="str">
        <f>IF(OR(TRIM($B858)="",$A858=""),"",IF(OR(ISNUMBER(SEARCH(_xlfn.CONCAT(CHAR(96),CHAR(34)),$A858)),ISNUMBER(SEARCH(_xlfn.CONCAT(CHAR(34),CHAR(39)),$A858))),_xlfn.CONCAT("* REVIEW REQUIRED: compound-quote delimiter in Codebook Section on Sheet 1 row ",858,"; edit the input before running."),_xlfn.CONCAT("char ",TRIM($B858),"[doc_section] ",CHAR(96),CHAR(34),SUBSTITUTE(SUBSTITUTE(SUBSTITUTE(SUBSTITUTE(SUBSTITUTE(SUBSTITUTE($A858,CHAR(13)," "),CHAR(10)," "),CHAR(9)," "),CHAR(92),_xlfn.CONCAT(CHAR(92),CHAR(92))),"$",_xlfn.CONCAT(CHAR(92),"$")),CHAR(96),_xlfn.CONCAT(CHAR(92),CHAR(96))),CHAR(34),CHAR(39))))</f>
        <v/>
      </c>
      <c r="M858" s="5" t="str">
        <f>IF(OR(TRIM($B858)="",$C858=""),"",IF(IFERROR(MATCH(TRIM($C858),{"Quantitative","Continuous","Discrete","Categorical","Nominal","Ordinal","Identifier"},0),0)=0,_xlfn.CONCAT("* REVIEW REQUIRED: invalid Variable Type on Sheet 1 row ",858,"."),_xlfn.CONCAT("char ",TRIM($B858),"[doc_vartype] ",CHAR(96),CHAR(34),SUBSTITUTE(SUBSTITUTE(SUBSTITUTE(SUBSTITUTE(SUBSTITUTE(SUBSTITUTE(LOWER(TRIM($C858)),CHAR(13)," "),CHAR(10)," "),CHAR(9)," "),CHAR(92),_xlfn.CONCAT(CHAR(92),CHAR(92))),"$",_xlfn.CONCAT(CHAR(92),"$")),CHAR(96),_xlfn.CONCAT(CHAR(92),CHAR(96))),CHAR(34),CHAR(39))))</f>
        <v/>
      </c>
      <c r="N858" s="5" t="str">
        <f>IF(OR(TRIM($B858)="",$D858=""),"",IF(OR(ISNUMBER(SEARCH(_xlfn.CONCAT(CHAR(96),CHAR(34)),$D858)),ISNUMBER(SEARCH(_xlfn.CONCAT(CHAR(34),CHAR(39)),$D858))),_xlfn.CONCAT("* REVIEW REQUIRED: compound-quote delimiter in Item Number on Sheet 1 row ",858,"; edit the input before running."),_xlfn.CONCAT("char ",TRIM($B858),"[doc_itemnum] ",CHAR(96),CHAR(34),SUBSTITUTE(SUBSTITUTE(SUBSTITUTE(SUBSTITUTE(SUBSTITUTE(SUBSTITUTE($D858,CHAR(13)," "),CHAR(10)," "),CHAR(9)," "),CHAR(92),_xlfn.CONCAT(CHAR(92),CHAR(92))),"$",_xlfn.CONCAT(CHAR(92),"$")),CHAR(96),_xlfn.CONCAT(CHAR(92),CHAR(96))),CHAR(34),CHAR(39))))</f>
        <v/>
      </c>
      <c r="O858" s="5" t="str">
        <f>IF(OR(TRIM($B858)="",$E858=""),"",IF(OR(ISNUMBER(SEARCH(_xlfn.CONCAT(CHAR(96),CHAR(34)),$E858)),ISNUMBER(SEARCH(_xlfn.CONCAT(CHAR(34),CHAR(39)),$E858))),_xlfn.CONCAT("* REVIEW REQUIRED: compound-quote delimiter in Question Wording on Sheet 1 row ",858,"; edit the input before running."),_xlfn.CONCAT("char ",TRIM($B858),"[doc_question] ",CHAR(96),CHAR(34),SUBSTITUTE(SUBSTITUTE(SUBSTITUTE(SUBSTITUTE(SUBSTITUTE(SUBSTITUTE($E858,CHAR(13)," "),CHAR(10)," "),CHAR(9)," "),CHAR(92),_xlfn.CONCAT(CHAR(92),CHAR(92))),"$",_xlfn.CONCAT(CHAR(92),"$")),CHAR(96),_xlfn.CONCAT(CHAR(92),CHAR(96))),CHAR(34),CHAR(39))))</f>
        <v/>
      </c>
      <c r="P858" s="5" t="str">
        <f>IF(OR(TRIM($B858)="",$F858=""),"",IF(OR(ISNUMBER(SEARCH(_xlfn.CONCAT(CHAR(96),CHAR(34)),$F858)),ISNUMBER(SEARCH(_xlfn.CONCAT(CHAR(34),CHAR(39)),$F858))),_xlfn.CONCAT("* REVIEW REQUIRED: compound-quote delimiter in Units on Sheet 1 row ",858,"; edit the input before running."),_xlfn.CONCAT("char ",TRIM($B858),"[doc_units] ",CHAR(96),CHAR(34),SUBSTITUTE(SUBSTITUTE(SUBSTITUTE(SUBSTITUTE(SUBSTITUTE(SUBSTITUTE($F858,CHAR(13)," "),CHAR(10)," "),CHAR(9)," "),CHAR(92),_xlfn.CONCAT(CHAR(92),CHAR(92))),"$",_xlfn.CONCAT(CHAR(92),"$")),CHAR(96),_xlfn.CONCAT(CHAR(92),CHAR(96))),CHAR(34),CHAR(39))))</f>
        <v/>
      </c>
      <c r="Q858" s="5" t="str">
        <f>IF(OR(TRIM($B858)="",$G858=""),"",IF(OR(ISNUMBER(SEARCH(_xlfn.CONCAT(CHAR(96),CHAR(34)),$G858)),ISNUMBER(SEARCH(_xlfn.CONCAT(CHAR(34),CHAR(39)),$G858))),_xlfn.CONCAT("* REVIEW REQUIRED: compound-quote delimiter in Universe on Sheet 1 row ",858,"; edit the input before running."),_xlfn.CONCAT("char ",TRIM($B858),"[doc_universe] ",CHAR(96),CHAR(34),SUBSTITUTE(SUBSTITUTE(SUBSTITUTE(SUBSTITUTE(SUBSTITUTE(SUBSTITUTE($G858,CHAR(13)," "),CHAR(10)," "),CHAR(9)," "),CHAR(92),_xlfn.CONCAT(CHAR(92),CHAR(92))),"$",_xlfn.CONCAT(CHAR(92),"$")),CHAR(96),_xlfn.CONCAT(CHAR(92),CHAR(96))),CHAR(34),CHAR(39))))</f>
        <v/>
      </c>
      <c r="R858" s="5" t="str">
        <f>IF(OR(TRIM($B858)="",$H858=""),"",IF(OR(ISNUMBER(SEARCH(_xlfn.CONCAT(CHAR(96),CHAR(34)),$H858)),ISNUMBER(SEARCH(_xlfn.CONCAT(CHAR(34),CHAR(39)),$H858))),_xlfn.CONCAT("* REVIEW REQUIRED: compound-quote delimiter in Source on Sheet 1 row ",858,"; edit the input before running."),_xlfn.CONCAT("char ",TRIM($B858),"[doc_source] ",CHAR(96),CHAR(34),SUBSTITUTE(SUBSTITUTE(SUBSTITUTE(SUBSTITUTE(SUBSTITUTE(SUBSTITUTE($H858,CHAR(13)," "),CHAR(10)," "),CHAR(9)," "),CHAR(92),_xlfn.CONCAT(CHAR(92),CHAR(92))),"$",_xlfn.CONCAT(CHAR(92),"$")),CHAR(96),_xlfn.CONCAT(CHAR(92),CHAR(96))),CHAR(34),CHAR(39))))</f>
        <v/>
      </c>
      <c r="S858" s="5" t="str">
        <f>IF(OR(TRIM($B858)="",$I858=""),"",IF(OR(ISNUMBER(SEARCH(_xlfn.CONCAT(CHAR(96),CHAR(34)),$I858)),ISNUMBER(SEARCH(_xlfn.CONCAT(CHAR(34),CHAR(39)),$I858))),_xlfn.CONCAT("* REVIEW REQUIRED: compound-quote delimiter in Derivation on Sheet 1 row ",858,"; edit the input before running."),_xlfn.CONCAT("char ",TRIM($B858),"[doc_derivation] ",CHAR(96),CHAR(34),SUBSTITUTE(SUBSTITUTE(SUBSTITUTE(SUBSTITUTE(SUBSTITUTE(SUBSTITUTE($I858,CHAR(13)," "),CHAR(10)," "),CHAR(9)," "),CHAR(92),_xlfn.CONCAT(CHAR(92),CHAR(92))),"$",_xlfn.CONCAT(CHAR(92),"$")),CHAR(96),_xlfn.CONCAT(CHAR(92),CHAR(96))),CHAR(34),CHAR(39))))</f>
        <v/>
      </c>
      <c r="T858" s="5" t="str">
        <f>IF(OR(TRIM($B858)="",$J858=""),"",IF(OR(ISNUMBER(SEARCH(_xlfn.CONCAT(CHAR(96),CHAR(34)),$J858)),ISNUMBER(SEARCH(_xlfn.CONCAT(CHAR(34),CHAR(39)),$J858))),_xlfn.CONCAT("* REVIEW REQUIRED: compound-quote delimiter in Notes on Sheet 1 row ",858,"; edit the input before running."),_xlfn.CONCAT("char ",TRIM($B858),"[doc_notes] ",CHAR(96),CHAR(34),SUBSTITUTE(SUBSTITUTE(SUBSTITUTE(SUBSTITUTE(SUBSTITUTE(SUBSTITUTE($J858,CHAR(13)," "),CHAR(10)," "),CHAR(9)," "),CHAR(92),_xlfn.CONCAT(CHAR(92),CHAR(92))),"$",_xlfn.CONCAT(CHAR(92),"$")),CHAR(96),_xlfn.CONCAT(CHAR(92),CHAR(96))),CHAR(34),CHAR(39))))</f>
        <v/>
      </c>
      <c r="U858" s="5">
        <f t="shared" si="27"/>
        <v>0</v>
      </c>
    </row>
    <row r="859" spans="3:21" ht="30" customHeight="1" x14ac:dyDescent="0.2">
      <c r="C859" s="4"/>
      <c r="K859" s="5">
        <f t="shared" si="26"/>
        <v>0</v>
      </c>
      <c r="L859" s="5" t="str">
        <f>IF(OR(TRIM($B859)="",$A859=""),"",IF(OR(ISNUMBER(SEARCH(_xlfn.CONCAT(CHAR(96),CHAR(34)),$A859)),ISNUMBER(SEARCH(_xlfn.CONCAT(CHAR(34),CHAR(39)),$A859))),_xlfn.CONCAT("* REVIEW REQUIRED: compound-quote delimiter in Codebook Section on Sheet 1 row ",859,"; edit the input before running."),_xlfn.CONCAT("char ",TRIM($B859),"[doc_section] ",CHAR(96),CHAR(34),SUBSTITUTE(SUBSTITUTE(SUBSTITUTE(SUBSTITUTE(SUBSTITUTE(SUBSTITUTE($A859,CHAR(13)," "),CHAR(10)," "),CHAR(9)," "),CHAR(92),_xlfn.CONCAT(CHAR(92),CHAR(92))),"$",_xlfn.CONCAT(CHAR(92),"$")),CHAR(96),_xlfn.CONCAT(CHAR(92),CHAR(96))),CHAR(34),CHAR(39))))</f>
        <v/>
      </c>
      <c r="M859" s="5" t="str">
        <f>IF(OR(TRIM($B859)="",$C859=""),"",IF(IFERROR(MATCH(TRIM($C859),{"Quantitative","Continuous","Discrete","Categorical","Nominal","Ordinal","Identifier"},0),0)=0,_xlfn.CONCAT("* REVIEW REQUIRED: invalid Variable Type on Sheet 1 row ",859,"."),_xlfn.CONCAT("char ",TRIM($B859),"[doc_vartype] ",CHAR(96),CHAR(34),SUBSTITUTE(SUBSTITUTE(SUBSTITUTE(SUBSTITUTE(SUBSTITUTE(SUBSTITUTE(LOWER(TRIM($C859)),CHAR(13)," "),CHAR(10)," "),CHAR(9)," "),CHAR(92),_xlfn.CONCAT(CHAR(92),CHAR(92))),"$",_xlfn.CONCAT(CHAR(92),"$")),CHAR(96),_xlfn.CONCAT(CHAR(92),CHAR(96))),CHAR(34),CHAR(39))))</f>
        <v/>
      </c>
      <c r="N859" s="5" t="str">
        <f>IF(OR(TRIM($B859)="",$D859=""),"",IF(OR(ISNUMBER(SEARCH(_xlfn.CONCAT(CHAR(96),CHAR(34)),$D859)),ISNUMBER(SEARCH(_xlfn.CONCAT(CHAR(34),CHAR(39)),$D859))),_xlfn.CONCAT("* REVIEW REQUIRED: compound-quote delimiter in Item Number on Sheet 1 row ",859,"; edit the input before running."),_xlfn.CONCAT("char ",TRIM($B859),"[doc_itemnum] ",CHAR(96),CHAR(34),SUBSTITUTE(SUBSTITUTE(SUBSTITUTE(SUBSTITUTE(SUBSTITUTE(SUBSTITUTE($D859,CHAR(13)," "),CHAR(10)," "),CHAR(9)," "),CHAR(92),_xlfn.CONCAT(CHAR(92),CHAR(92))),"$",_xlfn.CONCAT(CHAR(92),"$")),CHAR(96),_xlfn.CONCAT(CHAR(92),CHAR(96))),CHAR(34),CHAR(39))))</f>
        <v/>
      </c>
      <c r="O859" s="5" t="str">
        <f>IF(OR(TRIM($B859)="",$E859=""),"",IF(OR(ISNUMBER(SEARCH(_xlfn.CONCAT(CHAR(96),CHAR(34)),$E859)),ISNUMBER(SEARCH(_xlfn.CONCAT(CHAR(34),CHAR(39)),$E859))),_xlfn.CONCAT("* REVIEW REQUIRED: compound-quote delimiter in Question Wording on Sheet 1 row ",859,"; edit the input before running."),_xlfn.CONCAT("char ",TRIM($B859),"[doc_question] ",CHAR(96),CHAR(34),SUBSTITUTE(SUBSTITUTE(SUBSTITUTE(SUBSTITUTE(SUBSTITUTE(SUBSTITUTE($E859,CHAR(13)," "),CHAR(10)," "),CHAR(9)," "),CHAR(92),_xlfn.CONCAT(CHAR(92),CHAR(92))),"$",_xlfn.CONCAT(CHAR(92),"$")),CHAR(96),_xlfn.CONCAT(CHAR(92),CHAR(96))),CHAR(34),CHAR(39))))</f>
        <v/>
      </c>
      <c r="P859" s="5" t="str">
        <f>IF(OR(TRIM($B859)="",$F859=""),"",IF(OR(ISNUMBER(SEARCH(_xlfn.CONCAT(CHAR(96),CHAR(34)),$F859)),ISNUMBER(SEARCH(_xlfn.CONCAT(CHAR(34),CHAR(39)),$F859))),_xlfn.CONCAT("* REVIEW REQUIRED: compound-quote delimiter in Units on Sheet 1 row ",859,"; edit the input before running."),_xlfn.CONCAT("char ",TRIM($B859),"[doc_units] ",CHAR(96),CHAR(34),SUBSTITUTE(SUBSTITUTE(SUBSTITUTE(SUBSTITUTE(SUBSTITUTE(SUBSTITUTE($F859,CHAR(13)," "),CHAR(10)," "),CHAR(9)," "),CHAR(92),_xlfn.CONCAT(CHAR(92),CHAR(92))),"$",_xlfn.CONCAT(CHAR(92),"$")),CHAR(96),_xlfn.CONCAT(CHAR(92),CHAR(96))),CHAR(34),CHAR(39))))</f>
        <v/>
      </c>
      <c r="Q859" s="5" t="str">
        <f>IF(OR(TRIM($B859)="",$G859=""),"",IF(OR(ISNUMBER(SEARCH(_xlfn.CONCAT(CHAR(96),CHAR(34)),$G859)),ISNUMBER(SEARCH(_xlfn.CONCAT(CHAR(34),CHAR(39)),$G859))),_xlfn.CONCAT("* REVIEW REQUIRED: compound-quote delimiter in Universe on Sheet 1 row ",859,"; edit the input before running."),_xlfn.CONCAT("char ",TRIM($B859),"[doc_universe] ",CHAR(96),CHAR(34),SUBSTITUTE(SUBSTITUTE(SUBSTITUTE(SUBSTITUTE(SUBSTITUTE(SUBSTITUTE($G859,CHAR(13)," "),CHAR(10)," "),CHAR(9)," "),CHAR(92),_xlfn.CONCAT(CHAR(92),CHAR(92))),"$",_xlfn.CONCAT(CHAR(92),"$")),CHAR(96),_xlfn.CONCAT(CHAR(92),CHAR(96))),CHAR(34),CHAR(39))))</f>
        <v/>
      </c>
      <c r="R859" s="5" t="str">
        <f>IF(OR(TRIM($B859)="",$H859=""),"",IF(OR(ISNUMBER(SEARCH(_xlfn.CONCAT(CHAR(96),CHAR(34)),$H859)),ISNUMBER(SEARCH(_xlfn.CONCAT(CHAR(34),CHAR(39)),$H859))),_xlfn.CONCAT("* REVIEW REQUIRED: compound-quote delimiter in Source on Sheet 1 row ",859,"; edit the input before running."),_xlfn.CONCAT("char ",TRIM($B859),"[doc_source] ",CHAR(96),CHAR(34),SUBSTITUTE(SUBSTITUTE(SUBSTITUTE(SUBSTITUTE(SUBSTITUTE(SUBSTITUTE($H859,CHAR(13)," "),CHAR(10)," "),CHAR(9)," "),CHAR(92),_xlfn.CONCAT(CHAR(92),CHAR(92))),"$",_xlfn.CONCAT(CHAR(92),"$")),CHAR(96),_xlfn.CONCAT(CHAR(92),CHAR(96))),CHAR(34),CHAR(39))))</f>
        <v/>
      </c>
      <c r="S859" s="5" t="str">
        <f>IF(OR(TRIM($B859)="",$I859=""),"",IF(OR(ISNUMBER(SEARCH(_xlfn.CONCAT(CHAR(96),CHAR(34)),$I859)),ISNUMBER(SEARCH(_xlfn.CONCAT(CHAR(34),CHAR(39)),$I859))),_xlfn.CONCAT("* REVIEW REQUIRED: compound-quote delimiter in Derivation on Sheet 1 row ",859,"; edit the input before running."),_xlfn.CONCAT("char ",TRIM($B859),"[doc_derivation] ",CHAR(96),CHAR(34),SUBSTITUTE(SUBSTITUTE(SUBSTITUTE(SUBSTITUTE(SUBSTITUTE(SUBSTITUTE($I859,CHAR(13)," "),CHAR(10)," "),CHAR(9)," "),CHAR(92),_xlfn.CONCAT(CHAR(92),CHAR(92))),"$",_xlfn.CONCAT(CHAR(92),"$")),CHAR(96),_xlfn.CONCAT(CHAR(92),CHAR(96))),CHAR(34),CHAR(39))))</f>
        <v/>
      </c>
      <c r="T859" s="5" t="str">
        <f>IF(OR(TRIM($B859)="",$J859=""),"",IF(OR(ISNUMBER(SEARCH(_xlfn.CONCAT(CHAR(96),CHAR(34)),$J859)),ISNUMBER(SEARCH(_xlfn.CONCAT(CHAR(34),CHAR(39)),$J859))),_xlfn.CONCAT("* REVIEW REQUIRED: compound-quote delimiter in Notes on Sheet 1 row ",859,"; edit the input before running."),_xlfn.CONCAT("char ",TRIM($B859),"[doc_notes] ",CHAR(96),CHAR(34),SUBSTITUTE(SUBSTITUTE(SUBSTITUTE(SUBSTITUTE(SUBSTITUTE(SUBSTITUTE($J859,CHAR(13)," "),CHAR(10)," "),CHAR(9)," "),CHAR(92),_xlfn.CONCAT(CHAR(92),CHAR(92))),"$",_xlfn.CONCAT(CHAR(92),"$")),CHAR(96),_xlfn.CONCAT(CHAR(92),CHAR(96))),CHAR(34),CHAR(39))))</f>
        <v/>
      </c>
      <c r="U859" s="5">
        <f t="shared" si="27"/>
        <v>0</v>
      </c>
    </row>
    <row r="860" spans="3:21" ht="30" customHeight="1" x14ac:dyDescent="0.2">
      <c r="C860" s="4"/>
      <c r="K860" s="5">
        <f t="shared" si="26"/>
        <v>0</v>
      </c>
      <c r="L860" s="5" t="str">
        <f>IF(OR(TRIM($B860)="",$A860=""),"",IF(OR(ISNUMBER(SEARCH(_xlfn.CONCAT(CHAR(96),CHAR(34)),$A860)),ISNUMBER(SEARCH(_xlfn.CONCAT(CHAR(34),CHAR(39)),$A860))),_xlfn.CONCAT("* REVIEW REQUIRED: compound-quote delimiter in Codebook Section on Sheet 1 row ",860,"; edit the input before running."),_xlfn.CONCAT("char ",TRIM($B860),"[doc_section] ",CHAR(96),CHAR(34),SUBSTITUTE(SUBSTITUTE(SUBSTITUTE(SUBSTITUTE(SUBSTITUTE(SUBSTITUTE($A860,CHAR(13)," "),CHAR(10)," "),CHAR(9)," "),CHAR(92),_xlfn.CONCAT(CHAR(92),CHAR(92))),"$",_xlfn.CONCAT(CHAR(92),"$")),CHAR(96),_xlfn.CONCAT(CHAR(92),CHAR(96))),CHAR(34),CHAR(39))))</f>
        <v/>
      </c>
      <c r="M860" s="5" t="str">
        <f>IF(OR(TRIM($B860)="",$C860=""),"",IF(IFERROR(MATCH(TRIM($C860),{"Quantitative","Continuous","Discrete","Categorical","Nominal","Ordinal","Identifier"},0),0)=0,_xlfn.CONCAT("* REVIEW REQUIRED: invalid Variable Type on Sheet 1 row ",860,"."),_xlfn.CONCAT("char ",TRIM($B860),"[doc_vartype] ",CHAR(96),CHAR(34),SUBSTITUTE(SUBSTITUTE(SUBSTITUTE(SUBSTITUTE(SUBSTITUTE(SUBSTITUTE(LOWER(TRIM($C860)),CHAR(13)," "),CHAR(10)," "),CHAR(9)," "),CHAR(92),_xlfn.CONCAT(CHAR(92),CHAR(92))),"$",_xlfn.CONCAT(CHAR(92),"$")),CHAR(96),_xlfn.CONCAT(CHAR(92),CHAR(96))),CHAR(34),CHAR(39))))</f>
        <v/>
      </c>
      <c r="N860" s="5" t="str">
        <f>IF(OR(TRIM($B860)="",$D860=""),"",IF(OR(ISNUMBER(SEARCH(_xlfn.CONCAT(CHAR(96),CHAR(34)),$D860)),ISNUMBER(SEARCH(_xlfn.CONCAT(CHAR(34),CHAR(39)),$D860))),_xlfn.CONCAT("* REVIEW REQUIRED: compound-quote delimiter in Item Number on Sheet 1 row ",860,"; edit the input before running."),_xlfn.CONCAT("char ",TRIM($B860),"[doc_itemnum] ",CHAR(96),CHAR(34),SUBSTITUTE(SUBSTITUTE(SUBSTITUTE(SUBSTITUTE(SUBSTITUTE(SUBSTITUTE($D860,CHAR(13)," "),CHAR(10)," "),CHAR(9)," "),CHAR(92),_xlfn.CONCAT(CHAR(92),CHAR(92))),"$",_xlfn.CONCAT(CHAR(92),"$")),CHAR(96),_xlfn.CONCAT(CHAR(92),CHAR(96))),CHAR(34),CHAR(39))))</f>
        <v/>
      </c>
      <c r="O860" s="5" t="str">
        <f>IF(OR(TRIM($B860)="",$E860=""),"",IF(OR(ISNUMBER(SEARCH(_xlfn.CONCAT(CHAR(96),CHAR(34)),$E860)),ISNUMBER(SEARCH(_xlfn.CONCAT(CHAR(34),CHAR(39)),$E860))),_xlfn.CONCAT("* REVIEW REQUIRED: compound-quote delimiter in Question Wording on Sheet 1 row ",860,"; edit the input before running."),_xlfn.CONCAT("char ",TRIM($B860),"[doc_question] ",CHAR(96),CHAR(34),SUBSTITUTE(SUBSTITUTE(SUBSTITUTE(SUBSTITUTE(SUBSTITUTE(SUBSTITUTE($E860,CHAR(13)," "),CHAR(10)," "),CHAR(9)," "),CHAR(92),_xlfn.CONCAT(CHAR(92),CHAR(92))),"$",_xlfn.CONCAT(CHAR(92),"$")),CHAR(96),_xlfn.CONCAT(CHAR(92),CHAR(96))),CHAR(34),CHAR(39))))</f>
        <v/>
      </c>
      <c r="P860" s="5" t="str">
        <f>IF(OR(TRIM($B860)="",$F860=""),"",IF(OR(ISNUMBER(SEARCH(_xlfn.CONCAT(CHAR(96),CHAR(34)),$F860)),ISNUMBER(SEARCH(_xlfn.CONCAT(CHAR(34),CHAR(39)),$F860))),_xlfn.CONCAT("* REVIEW REQUIRED: compound-quote delimiter in Units on Sheet 1 row ",860,"; edit the input before running."),_xlfn.CONCAT("char ",TRIM($B860),"[doc_units] ",CHAR(96),CHAR(34),SUBSTITUTE(SUBSTITUTE(SUBSTITUTE(SUBSTITUTE(SUBSTITUTE(SUBSTITUTE($F860,CHAR(13)," "),CHAR(10)," "),CHAR(9)," "),CHAR(92),_xlfn.CONCAT(CHAR(92),CHAR(92))),"$",_xlfn.CONCAT(CHAR(92),"$")),CHAR(96),_xlfn.CONCAT(CHAR(92),CHAR(96))),CHAR(34),CHAR(39))))</f>
        <v/>
      </c>
      <c r="Q860" s="5" t="str">
        <f>IF(OR(TRIM($B860)="",$G860=""),"",IF(OR(ISNUMBER(SEARCH(_xlfn.CONCAT(CHAR(96),CHAR(34)),$G860)),ISNUMBER(SEARCH(_xlfn.CONCAT(CHAR(34),CHAR(39)),$G860))),_xlfn.CONCAT("* REVIEW REQUIRED: compound-quote delimiter in Universe on Sheet 1 row ",860,"; edit the input before running."),_xlfn.CONCAT("char ",TRIM($B860),"[doc_universe] ",CHAR(96),CHAR(34),SUBSTITUTE(SUBSTITUTE(SUBSTITUTE(SUBSTITUTE(SUBSTITUTE(SUBSTITUTE($G860,CHAR(13)," "),CHAR(10)," "),CHAR(9)," "),CHAR(92),_xlfn.CONCAT(CHAR(92),CHAR(92))),"$",_xlfn.CONCAT(CHAR(92),"$")),CHAR(96),_xlfn.CONCAT(CHAR(92),CHAR(96))),CHAR(34),CHAR(39))))</f>
        <v/>
      </c>
      <c r="R860" s="5" t="str">
        <f>IF(OR(TRIM($B860)="",$H860=""),"",IF(OR(ISNUMBER(SEARCH(_xlfn.CONCAT(CHAR(96),CHAR(34)),$H860)),ISNUMBER(SEARCH(_xlfn.CONCAT(CHAR(34),CHAR(39)),$H860))),_xlfn.CONCAT("* REVIEW REQUIRED: compound-quote delimiter in Source on Sheet 1 row ",860,"; edit the input before running."),_xlfn.CONCAT("char ",TRIM($B860),"[doc_source] ",CHAR(96),CHAR(34),SUBSTITUTE(SUBSTITUTE(SUBSTITUTE(SUBSTITUTE(SUBSTITUTE(SUBSTITUTE($H860,CHAR(13)," "),CHAR(10)," "),CHAR(9)," "),CHAR(92),_xlfn.CONCAT(CHAR(92),CHAR(92))),"$",_xlfn.CONCAT(CHAR(92),"$")),CHAR(96),_xlfn.CONCAT(CHAR(92),CHAR(96))),CHAR(34),CHAR(39))))</f>
        <v/>
      </c>
      <c r="S860" s="5" t="str">
        <f>IF(OR(TRIM($B860)="",$I860=""),"",IF(OR(ISNUMBER(SEARCH(_xlfn.CONCAT(CHAR(96),CHAR(34)),$I860)),ISNUMBER(SEARCH(_xlfn.CONCAT(CHAR(34),CHAR(39)),$I860))),_xlfn.CONCAT("* REVIEW REQUIRED: compound-quote delimiter in Derivation on Sheet 1 row ",860,"; edit the input before running."),_xlfn.CONCAT("char ",TRIM($B860),"[doc_derivation] ",CHAR(96),CHAR(34),SUBSTITUTE(SUBSTITUTE(SUBSTITUTE(SUBSTITUTE(SUBSTITUTE(SUBSTITUTE($I860,CHAR(13)," "),CHAR(10)," "),CHAR(9)," "),CHAR(92),_xlfn.CONCAT(CHAR(92),CHAR(92))),"$",_xlfn.CONCAT(CHAR(92),"$")),CHAR(96),_xlfn.CONCAT(CHAR(92),CHAR(96))),CHAR(34),CHAR(39))))</f>
        <v/>
      </c>
      <c r="T860" s="5" t="str">
        <f>IF(OR(TRIM($B860)="",$J860=""),"",IF(OR(ISNUMBER(SEARCH(_xlfn.CONCAT(CHAR(96),CHAR(34)),$J860)),ISNUMBER(SEARCH(_xlfn.CONCAT(CHAR(34),CHAR(39)),$J860))),_xlfn.CONCAT("* REVIEW REQUIRED: compound-quote delimiter in Notes on Sheet 1 row ",860,"; edit the input before running."),_xlfn.CONCAT("char ",TRIM($B860),"[doc_notes] ",CHAR(96),CHAR(34),SUBSTITUTE(SUBSTITUTE(SUBSTITUTE(SUBSTITUTE(SUBSTITUTE(SUBSTITUTE($J860,CHAR(13)," "),CHAR(10)," "),CHAR(9)," "),CHAR(92),_xlfn.CONCAT(CHAR(92),CHAR(92))),"$",_xlfn.CONCAT(CHAR(92),"$")),CHAR(96),_xlfn.CONCAT(CHAR(92),CHAR(96))),CHAR(34),CHAR(39))))</f>
        <v/>
      </c>
      <c r="U860" s="5">
        <f t="shared" si="27"/>
        <v>0</v>
      </c>
    </row>
    <row r="861" spans="3:21" ht="30" customHeight="1" x14ac:dyDescent="0.2">
      <c r="C861" s="4"/>
      <c r="K861" s="5">
        <f t="shared" si="26"/>
        <v>0</v>
      </c>
      <c r="L861" s="5" t="str">
        <f>IF(OR(TRIM($B861)="",$A861=""),"",IF(OR(ISNUMBER(SEARCH(_xlfn.CONCAT(CHAR(96),CHAR(34)),$A861)),ISNUMBER(SEARCH(_xlfn.CONCAT(CHAR(34),CHAR(39)),$A861))),_xlfn.CONCAT("* REVIEW REQUIRED: compound-quote delimiter in Codebook Section on Sheet 1 row ",861,"; edit the input before running."),_xlfn.CONCAT("char ",TRIM($B861),"[doc_section] ",CHAR(96),CHAR(34),SUBSTITUTE(SUBSTITUTE(SUBSTITUTE(SUBSTITUTE(SUBSTITUTE(SUBSTITUTE($A861,CHAR(13)," "),CHAR(10)," "),CHAR(9)," "),CHAR(92),_xlfn.CONCAT(CHAR(92),CHAR(92))),"$",_xlfn.CONCAT(CHAR(92),"$")),CHAR(96),_xlfn.CONCAT(CHAR(92),CHAR(96))),CHAR(34),CHAR(39))))</f>
        <v/>
      </c>
      <c r="M861" s="5" t="str">
        <f>IF(OR(TRIM($B861)="",$C861=""),"",IF(IFERROR(MATCH(TRIM($C861),{"Quantitative","Continuous","Discrete","Categorical","Nominal","Ordinal","Identifier"},0),0)=0,_xlfn.CONCAT("* REVIEW REQUIRED: invalid Variable Type on Sheet 1 row ",861,"."),_xlfn.CONCAT("char ",TRIM($B861),"[doc_vartype] ",CHAR(96),CHAR(34),SUBSTITUTE(SUBSTITUTE(SUBSTITUTE(SUBSTITUTE(SUBSTITUTE(SUBSTITUTE(LOWER(TRIM($C861)),CHAR(13)," "),CHAR(10)," "),CHAR(9)," "),CHAR(92),_xlfn.CONCAT(CHAR(92),CHAR(92))),"$",_xlfn.CONCAT(CHAR(92),"$")),CHAR(96),_xlfn.CONCAT(CHAR(92),CHAR(96))),CHAR(34),CHAR(39))))</f>
        <v/>
      </c>
      <c r="N861" s="5" t="str">
        <f>IF(OR(TRIM($B861)="",$D861=""),"",IF(OR(ISNUMBER(SEARCH(_xlfn.CONCAT(CHAR(96),CHAR(34)),$D861)),ISNUMBER(SEARCH(_xlfn.CONCAT(CHAR(34),CHAR(39)),$D861))),_xlfn.CONCAT("* REVIEW REQUIRED: compound-quote delimiter in Item Number on Sheet 1 row ",861,"; edit the input before running."),_xlfn.CONCAT("char ",TRIM($B861),"[doc_itemnum] ",CHAR(96),CHAR(34),SUBSTITUTE(SUBSTITUTE(SUBSTITUTE(SUBSTITUTE(SUBSTITUTE(SUBSTITUTE($D861,CHAR(13)," "),CHAR(10)," "),CHAR(9)," "),CHAR(92),_xlfn.CONCAT(CHAR(92),CHAR(92))),"$",_xlfn.CONCAT(CHAR(92),"$")),CHAR(96),_xlfn.CONCAT(CHAR(92),CHAR(96))),CHAR(34),CHAR(39))))</f>
        <v/>
      </c>
      <c r="O861" s="5" t="str">
        <f>IF(OR(TRIM($B861)="",$E861=""),"",IF(OR(ISNUMBER(SEARCH(_xlfn.CONCAT(CHAR(96),CHAR(34)),$E861)),ISNUMBER(SEARCH(_xlfn.CONCAT(CHAR(34),CHAR(39)),$E861))),_xlfn.CONCAT("* REVIEW REQUIRED: compound-quote delimiter in Question Wording on Sheet 1 row ",861,"; edit the input before running."),_xlfn.CONCAT("char ",TRIM($B861),"[doc_question] ",CHAR(96),CHAR(34),SUBSTITUTE(SUBSTITUTE(SUBSTITUTE(SUBSTITUTE(SUBSTITUTE(SUBSTITUTE($E861,CHAR(13)," "),CHAR(10)," "),CHAR(9)," "),CHAR(92),_xlfn.CONCAT(CHAR(92),CHAR(92))),"$",_xlfn.CONCAT(CHAR(92),"$")),CHAR(96),_xlfn.CONCAT(CHAR(92),CHAR(96))),CHAR(34),CHAR(39))))</f>
        <v/>
      </c>
      <c r="P861" s="5" t="str">
        <f>IF(OR(TRIM($B861)="",$F861=""),"",IF(OR(ISNUMBER(SEARCH(_xlfn.CONCAT(CHAR(96),CHAR(34)),$F861)),ISNUMBER(SEARCH(_xlfn.CONCAT(CHAR(34),CHAR(39)),$F861))),_xlfn.CONCAT("* REVIEW REQUIRED: compound-quote delimiter in Units on Sheet 1 row ",861,"; edit the input before running."),_xlfn.CONCAT("char ",TRIM($B861),"[doc_units] ",CHAR(96),CHAR(34),SUBSTITUTE(SUBSTITUTE(SUBSTITUTE(SUBSTITUTE(SUBSTITUTE(SUBSTITUTE($F861,CHAR(13)," "),CHAR(10)," "),CHAR(9)," "),CHAR(92),_xlfn.CONCAT(CHAR(92),CHAR(92))),"$",_xlfn.CONCAT(CHAR(92),"$")),CHAR(96),_xlfn.CONCAT(CHAR(92),CHAR(96))),CHAR(34),CHAR(39))))</f>
        <v/>
      </c>
      <c r="Q861" s="5" t="str">
        <f>IF(OR(TRIM($B861)="",$G861=""),"",IF(OR(ISNUMBER(SEARCH(_xlfn.CONCAT(CHAR(96),CHAR(34)),$G861)),ISNUMBER(SEARCH(_xlfn.CONCAT(CHAR(34),CHAR(39)),$G861))),_xlfn.CONCAT("* REVIEW REQUIRED: compound-quote delimiter in Universe on Sheet 1 row ",861,"; edit the input before running."),_xlfn.CONCAT("char ",TRIM($B861),"[doc_universe] ",CHAR(96),CHAR(34),SUBSTITUTE(SUBSTITUTE(SUBSTITUTE(SUBSTITUTE(SUBSTITUTE(SUBSTITUTE($G861,CHAR(13)," "),CHAR(10)," "),CHAR(9)," "),CHAR(92),_xlfn.CONCAT(CHAR(92),CHAR(92))),"$",_xlfn.CONCAT(CHAR(92),"$")),CHAR(96),_xlfn.CONCAT(CHAR(92),CHAR(96))),CHAR(34),CHAR(39))))</f>
        <v/>
      </c>
      <c r="R861" s="5" t="str">
        <f>IF(OR(TRIM($B861)="",$H861=""),"",IF(OR(ISNUMBER(SEARCH(_xlfn.CONCAT(CHAR(96),CHAR(34)),$H861)),ISNUMBER(SEARCH(_xlfn.CONCAT(CHAR(34),CHAR(39)),$H861))),_xlfn.CONCAT("* REVIEW REQUIRED: compound-quote delimiter in Source on Sheet 1 row ",861,"; edit the input before running."),_xlfn.CONCAT("char ",TRIM($B861),"[doc_source] ",CHAR(96),CHAR(34),SUBSTITUTE(SUBSTITUTE(SUBSTITUTE(SUBSTITUTE(SUBSTITUTE(SUBSTITUTE($H861,CHAR(13)," "),CHAR(10)," "),CHAR(9)," "),CHAR(92),_xlfn.CONCAT(CHAR(92),CHAR(92))),"$",_xlfn.CONCAT(CHAR(92),"$")),CHAR(96),_xlfn.CONCAT(CHAR(92),CHAR(96))),CHAR(34),CHAR(39))))</f>
        <v/>
      </c>
      <c r="S861" s="5" t="str">
        <f>IF(OR(TRIM($B861)="",$I861=""),"",IF(OR(ISNUMBER(SEARCH(_xlfn.CONCAT(CHAR(96),CHAR(34)),$I861)),ISNUMBER(SEARCH(_xlfn.CONCAT(CHAR(34),CHAR(39)),$I861))),_xlfn.CONCAT("* REVIEW REQUIRED: compound-quote delimiter in Derivation on Sheet 1 row ",861,"; edit the input before running."),_xlfn.CONCAT("char ",TRIM($B861),"[doc_derivation] ",CHAR(96),CHAR(34),SUBSTITUTE(SUBSTITUTE(SUBSTITUTE(SUBSTITUTE(SUBSTITUTE(SUBSTITUTE($I861,CHAR(13)," "),CHAR(10)," "),CHAR(9)," "),CHAR(92),_xlfn.CONCAT(CHAR(92),CHAR(92))),"$",_xlfn.CONCAT(CHAR(92),"$")),CHAR(96),_xlfn.CONCAT(CHAR(92),CHAR(96))),CHAR(34),CHAR(39))))</f>
        <v/>
      </c>
      <c r="T861" s="5" t="str">
        <f>IF(OR(TRIM($B861)="",$J861=""),"",IF(OR(ISNUMBER(SEARCH(_xlfn.CONCAT(CHAR(96),CHAR(34)),$J861)),ISNUMBER(SEARCH(_xlfn.CONCAT(CHAR(34),CHAR(39)),$J861))),_xlfn.CONCAT("* REVIEW REQUIRED: compound-quote delimiter in Notes on Sheet 1 row ",861,"; edit the input before running."),_xlfn.CONCAT("char ",TRIM($B861),"[doc_notes] ",CHAR(96),CHAR(34),SUBSTITUTE(SUBSTITUTE(SUBSTITUTE(SUBSTITUTE(SUBSTITUTE(SUBSTITUTE($J861,CHAR(13)," "),CHAR(10)," "),CHAR(9)," "),CHAR(92),_xlfn.CONCAT(CHAR(92),CHAR(92))),"$",_xlfn.CONCAT(CHAR(92),"$")),CHAR(96),_xlfn.CONCAT(CHAR(92),CHAR(96))),CHAR(34),CHAR(39))))</f>
        <v/>
      </c>
      <c r="U861" s="5">
        <f t="shared" si="27"/>
        <v>0</v>
      </c>
    </row>
    <row r="862" spans="3:21" ht="30" customHeight="1" x14ac:dyDescent="0.2">
      <c r="C862" s="4"/>
      <c r="K862" s="5">
        <f t="shared" si="26"/>
        <v>0</v>
      </c>
      <c r="L862" s="5" t="str">
        <f>IF(OR(TRIM($B862)="",$A862=""),"",IF(OR(ISNUMBER(SEARCH(_xlfn.CONCAT(CHAR(96),CHAR(34)),$A862)),ISNUMBER(SEARCH(_xlfn.CONCAT(CHAR(34),CHAR(39)),$A862))),_xlfn.CONCAT("* REVIEW REQUIRED: compound-quote delimiter in Codebook Section on Sheet 1 row ",862,"; edit the input before running."),_xlfn.CONCAT("char ",TRIM($B862),"[doc_section] ",CHAR(96),CHAR(34),SUBSTITUTE(SUBSTITUTE(SUBSTITUTE(SUBSTITUTE(SUBSTITUTE(SUBSTITUTE($A862,CHAR(13)," "),CHAR(10)," "),CHAR(9)," "),CHAR(92),_xlfn.CONCAT(CHAR(92),CHAR(92))),"$",_xlfn.CONCAT(CHAR(92),"$")),CHAR(96),_xlfn.CONCAT(CHAR(92),CHAR(96))),CHAR(34),CHAR(39))))</f>
        <v/>
      </c>
      <c r="M862" s="5" t="str">
        <f>IF(OR(TRIM($B862)="",$C862=""),"",IF(IFERROR(MATCH(TRIM($C862),{"Quantitative","Continuous","Discrete","Categorical","Nominal","Ordinal","Identifier"},0),0)=0,_xlfn.CONCAT("* REVIEW REQUIRED: invalid Variable Type on Sheet 1 row ",862,"."),_xlfn.CONCAT("char ",TRIM($B862),"[doc_vartype] ",CHAR(96),CHAR(34),SUBSTITUTE(SUBSTITUTE(SUBSTITUTE(SUBSTITUTE(SUBSTITUTE(SUBSTITUTE(LOWER(TRIM($C862)),CHAR(13)," "),CHAR(10)," "),CHAR(9)," "),CHAR(92),_xlfn.CONCAT(CHAR(92),CHAR(92))),"$",_xlfn.CONCAT(CHAR(92),"$")),CHAR(96),_xlfn.CONCAT(CHAR(92),CHAR(96))),CHAR(34),CHAR(39))))</f>
        <v/>
      </c>
      <c r="N862" s="5" t="str">
        <f>IF(OR(TRIM($B862)="",$D862=""),"",IF(OR(ISNUMBER(SEARCH(_xlfn.CONCAT(CHAR(96),CHAR(34)),$D862)),ISNUMBER(SEARCH(_xlfn.CONCAT(CHAR(34),CHAR(39)),$D862))),_xlfn.CONCAT("* REVIEW REQUIRED: compound-quote delimiter in Item Number on Sheet 1 row ",862,"; edit the input before running."),_xlfn.CONCAT("char ",TRIM($B862),"[doc_itemnum] ",CHAR(96),CHAR(34),SUBSTITUTE(SUBSTITUTE(SUBSTITUTE(SUBSTITUTE(SUBSTITUTE(SUBSTITUTE($D862,CHAR(13)," "),CHAR(10)," "),CHAR(9)," "),CHAR(92),_xlfn.CONCAT(CHAR(92),CHAR(92))),"$",_xlfn.CONCAT(CHAR(92),"$")),CHAR(96),_xlfn.CONCAT(CHAR(92),CHAR(96))),CHAR(34),CHAR(39))))</f>
        <v/>
      </c>
      <c r="O862" s="5" t="str">
        <f>IF(OR(TRIM($B862)="",$E862=""),"",IF(OR(ISNUMBER(SEARCH(_xlfn.CONCAT(CHAR(96),CHAR(34)),$E862)),ISNUMBER(SEARCH(_xlfn.CONCAT(CHAR(34),CHAR(39)),$E862))),_xlfn.CONCAT("* REVIEW REQUIRED: compound-quote delimiter in Question Wording on Sheet 1 row ",862,"; edit the input before running."),_xlfn.CONCAT("char ",TRIM($B862),"[doc_question] ",CHAR(96),CHAR(34),SUBSTITUTE(SUBSTITUTE(SUBSTITUTE(SUBSTITUTE(SUBSTITUTE(SUBSTITUTE($E862,CHAR(13)," "),CHAR(10)," "),CHAR(9)," "),CHAR(92),_xlfn.CONCAT(CHAR(92),CHAR(92))),"$",_xlfn.CONCAT(CHAR(92),"$")),CHAR(96),_xlfn.CONCAT(CHAR(92),CHAR(96))),CHAR(34),CHAR(39))))</f>
        <v/>
      </c>
      <c r="P862" s="5" t="str">
        <f>IF(OR(TRIM($B862)="",$F862=""),"",IF(OR(ISNUMBER(SEARCH(_xlfn.CONCAT(CHAR(96),CHAR(34)),$F862)),ISNUMBER(SEARCH(_xlfn.CONCAT(CHAR(34),CHAR(39)),$F862))),_xlfn.CONCAT("* REVIEW REQUIRED: compound-quote delimiter in Units on Sheet 1 row ",862,"; edit the input before running."),_xlfn.CONCAT("char ",TRIM($B862),"[doc_units] ",CHAR(96),CHAR(34),SUBSTITUTE(SUBSTITUTE(SUBSTITUTE(SUBSTITUTE(SUBSTITUTE(SUBSTITUTE($F862,CHAR(13)," "),CHAR(10)," "),CHAR(9)," "),CHAR(92),_xlfn.CONCAT(CHAR(92),CHAR(92))),"$",_xlfn.CONCAT(CHAR(92),"$")),CHAR(96),_xlfn.CONCAT(CHAR(92),CHAR(96))),CHAR(34),CHAR(39))))</f>
        <v/>
      </c>
      <c r="Q862" s="5" t="str">
        <f>IF(OR(TRIM($B862)="",$G862=""),"",IF(OR(ISNUMBER(SEARCH(_xlfn.CONCAT(CHAR(96),CHAR(34)),$G862)),ISNUMBER(SEARCH(_xlfn.CONCAT(CHAR(34),CHAR(39)),$G862))),_xlfn.CONCAT("* REVIEW REQUIRED: compound-quote delimiter in Universe on Sheet 1 row ",862,"; edit the input before running."),_xlfn.CONCAT("char ",TRIM($B862),"[doc_universe] ",CHAR(96),CHAR(34),SUBSTITUTE(SUBSTITUTE(SUBSTITUTE(SUBSTITUTE(SUBSTITUTE(SUBSTITUTE($G862,CHAR(13)," "),CHAR(10)," "),CHAR(9)," "),CHAR(92),_xlfn.CONCAT(CHAR(92),CHAR(92))),"$",_xlfn.CONCAT(CHAR(92),"$")),CHAR(96),_xlfn.CONCAT(CHAR(92),CHAR(96))),CHAR(34),CHAR(39))))</f>
        <v/>
      </c>
      <c r="R862" s="5" t="str">
        <f>IF(OR(TRIM($B862)="",$H862=""),"",IF(OR(ISNUMBER(SEARCH(_xlfn.CONCAT(CHAR(96),CHAR(34)),$H862)),ISNUMBER(SEARCH(_xlfn.CONCAT(CHAR(34),CHAR(39)),$H862))),_xlfn.CONCAT("* REVIEW REQUIRED: compound-quote delimiter in Source on Sheet 1 row ",862,"; edit the input before running."),_xlfn.CONCAT("char ",TRIM($B862),"[doc_source] ",CHAR(96),CHAR(34),SUBSTITUTE(SUBSTITUTE(SUBSTITUTE(SUBSTITUTE(SUBSTITUTE(SUBSTITUTE($H862,CHAR(13)," "),CHAR(10)," "),CHAR(9)," "),CHAR(92),_xlfn.CONCAT(CHAR(92),CHAR(92))),"$",_xlfn.CONCAT(CHAR(92),"$")),CHAR(96),_xlfn.CONCAT(CHAR(92),CHAR(96))),CHAR(34),CHAR(39))))</f>
        <v/>
      </c>
      <c r="S862" s="5" t="str">
        <f>IF(OR(TRIM($B862)="",$I862=""),"",IF(OR(ISNUMBER(SEARCH(_xlfn.CONCAT(CHAR(96),CHAR(34)),$I862)),ISNUMBER(SEARCH(_xlfn.CONCAT(CHAR(34),CHAR(39)),$I862))),_xlfn.CONCAT("* REVIEW REQUIRED: compound-quote delimiter in Derivation on Sheet 1 row ",862,"; edit the input before running."),_xlfn.CONCAT("char ",TRIM($B862),"[doc_derivation] ",CHAR(96),CHAR(34),SUBSTITUTE(SUBSTITUTE(SUBSTITUTE(SUBSTITUTE(SUBSTITUTE(SUBSTITUTE($I862,CHAR(13)," "),CHAR(10)," "),CHAR(9)," "),CHAR(92),_xlfn.CONCAT(CHAR(92),CHAR(92))),"$",_xlfn.CONCAT(CHAR(92),"$")),CHAR(96),_xlfn.CONCAT(CHAR(92),CHAR(96))),CHAR(34),CHAR(39))))</f>
        <v/>
      </c>
      <c r="T862" s="5" t="str">
        <f>IF(OR(TRIM($B862)="",$J862=""),"",IF(OR(ISNUMBER(SEARCH(_xlfn.CONCAT(CHAR(96),CHAR(34)),$J862)),ISNUMBER(SEARCH(_xlfn.CONCAT(CHAR(34),CHAR(39)),$J862))),_xlfn.CONCAT("* REVIEW REQUIRED: compound-quote delimiter in Notes on Sheet 1 row ",862,"; edit the input before running."),_xlfn.CONCAT("char ",TRIM($B862),"[doc_notes] ",CHAR(96),CHAR(34),SUBSTITUTE(SUBSTITUTE(SUBSTITUTE(SUBSTITUTE(SUBSTITUTE(SUBSTITUTE($J862,CHAR(13)," "),CHAR(10)," "),CHAR(9)," "),CHAR(92),_xlfn.CONCAT(CHAR(92),CHAR(92))),"$",_xlfn.CONCAT(CHAR(92),"$")),CHAR(96),_xlfn.CONCAT(CHAR(92),CHAR(96))),CHAR(34),CHAR(39))))</f>
        <v/>
      </c>
      <c r="U862" s="5">
        <f t="shared" si="27"/>
        <v>0</v>
      </c>
    </row>
    <row r="863" spans="3:21" ht="30" customHeight="1" x14ac:dyDescent="0.2">
      <c r="C863" s="4"/>
      <c r="K863" s="5">
        <f t="shared" si="26"/>
        <v>0</v>
      </c>
      <c r="L863" s="5" t="str">
        <f>IF(OR(TRIM($B863)="",$A863=""),"",IF(OR(ISNUMBER(SEARCH(_xlfn.CONCAT(CHAR(96),CHAR(34)),$A863)),ISNUMBER(SEARCH(_xlfn.CONCAT(CHAR(34),CHAR(39)),$A863))),_xlfn.CONCAT("* REVIEW REQUIRED: compound-quote delimiter in Codebook Section on Sheet 1 row ",863,"; edit the input before running."),_xlfn.CONCAT("char ",TRIM($B863),"[doc_section] ",CHAR(96),CHAR(34),SUBSTITUTE(SUBSTITUTE(SUBSTITUTE(SUBSTITUTE(SUBSTITUTE(SUBSTITUTE($A863,CHAR(13)," "),CHAR(10)," "),CHAR(9)," "),CHAR(92),_xlfn.CONCAT(CHAR(92),CHAR(92))),"$",_xlfn.CONCAT(CHAR(92),"$")),CHAR(96),_xlfn.CONCAT(CHAR(92),CHAR(96))),CHAR(34),CHAR(39))))</f>
        <v/>
      </c>
      <c r="M863" s="5" t="str">
        <f>IF(OR(TRIM($B863)="",$C863=""),"",IF(IFERROR(MATCH(TRIM($C863),{"Quantitative","Continuous","Discrete","Categorical","Nominal","Ordinal","Identifier"},0),0)=0,_xlfn.CONCAT("* REVIEW REQUIRED: invalid Variable Type on Sheet 1 row ",863,"."),_xlfn.CONCAT("char ",TRIM($B863),"[doc_vartype] ",CHAR(96),CHAR(34),SUBSTITUTE(SUBSTITUTE(SUBSTITUTE(SUBSTITUTE(SUBSTITUTE(SUBSTITUTE(LOWER(TRIM($C863)),CHAR(13)," "),CHAR(10)," "),CHAR(9)," "),CHAR(92),_xlfn.CONCAT(CHAR(92),CHAR(92))),"$",_xlfn.CONCAT(CHAR(92),"$")),CHAR(96),_xlfn.CONCAT(CHAR(92),CHAR(96))),CHAR(34),CHAR(39))))</f>
        <v/>
      </c>
      <c r="N863" s="5" t="str">
        <f>IF(OR(TRIM($B863)="",$D863=""),"",IF(OR(ISNUMBER(SEARCH(_xlfn.CONCAT(CHAR(96),CHAR(34)),$D863)),ISNUMBER(SEARCH(_xlfn.CONCAT(CHAR(34),CHAR(39)),$D863))),_xlfn.CONCAT("* REVIEW REQUIRED: compound-quote delimiter in Item Number on Sheet 1 row ",863,"; edit the input before running."),_xlfn.CONCAT("char ",TRIM($B863),"[doc_itemnum] ",CHAR(96),CHAR(34),SUBSTITUTE(SUBSTITUTE(SUBSTITUTE(SUBSTITUTE(SUBSTITUTE(SUBSTITUTE($D863,CHAR(13)," "),CHAR(10)," "),CHAR(9)," "),CHAR(92),_xlfn.CONCAT(CHAR(92),CHAR(92))),"$",_xlfn.CONCAT(CHAR(92),"$")),CHAR(96),_xlfn.CONCAT(CHAR(92),CHAR(96))),CHAR(34),CHAR(39))))</f>
        <v/>
      </c>
      <c r="O863" s="5" t="str">
        <f>IF(OR(TRIM($B863)="",$E863=""),"",IF(OR(ISNUMBER(SEARCH(_xlfn.CONCAT(CHAR(96),CHAR(34)),$E863)),ISNUMBER(SEARCH(_xlfn.CONCAT(CHAR(34),CHAR(39)),$E863))),_xlfn.CONCAT("* REVIEW REQUIRED: compound-quote delimiter in Question Wording on Sheet 1 row ",863,"; edit the input before running."),_xlfn.CONCAT("char ",TRIM($B863),"[doc_question] ",CHAR(96),CHAR(34),SUBSTITUTE(SUBSTITUTE(SUBSTITUTE(SUBSTITUTE(SUBSTITUTE(SUBSTITUTE($E863,CHAR(13)," "),CHAR(10)," "),CHAR(9)," "),CHAR(92),_xlfn.CONCAT(CHAR(92),CHAR(92))),"$",_xlfn.CONCAT(CHAR(92),"$")),CHAR(96),_xlfn.CONCAT(CHAR(92),CHAR(96))),CHAR(34),CHAR(39))))</f>
        <v/>
      </c>
      <c r="P863" s="5" t="str">
        <f>IF(OR(TRIM($B863)="",$F863=""),"",IF(OR(ISNUMBER(SEARCH(_xlfn.CONCAT(CHAR(96),CHAR(34)),$F863)),ISNUMBER(SEARCH(_xlfn.CONCAT(CHAR(34),CHAR(39)),$F863))),_xlfn.CONCAT("* REVIEW REQUIRED: compound-quote delimiter in Units on Sheet 1 row ",863,"; edit the input before running."),_xlfn.CONCAT("char ",TRIM($B863),"[doc_units] ",CHAR(96),CHAR(34),SUBSTITUTE(SUBSTITUTE(SUBSTITUTE(SUBSTITUTE(SUBSTITUTE(SUBSTITUTE($F863,CHAR(13)," "),CHAR(10)," "),CHAR(9)," "),CHAR(92),_xlfn.CONCAT(CHAR(92),CHAR(92))),"$",_xlfn.CONCAT(CHAR(92),"$")),CHAR(96),_xlfn.CONCAT(CHAR(92),CHAR(96))),CHAR(34),CHAR(39))))</f>
        <v/>
      </c>
      <c r="Q863" s="5" t="str">
        <f>IF(OR(TRIM($B863)="",$G863=""),"",IF(OR(ISNUMBER(SEARCH(_xlfn.CONCAT(CHAR(96),CHAR(34)),$G863)),ISNUMBER(SEARCH(_xlfn.CONCAT(CHAR(34),CHAR(39)),$G863))),_xlfn.CONCAT("* REVIEW REQUIRED: compound-quote delimiter in Universe on Sheet 1 row ",863,"; edit the input before running."),_xlfn.CONCAT("char ",TRIM($B863),"[doc_universe] ",CHAR(96),CHAR(34),SUBSTITUTE(SUBSTITUTE(SUBSTITUTE(SUBSTITUTE(SUBSTITUTE(SUBSTITUTE($G863,CHAR(13)," "),CHAR(10)," "),CHAR(9)," "),CHAR(92),_xlfn.CONCAT(CHAR(92),CHAR(92))),"$",_xlfn.CONCAT(CHAR(92),"$")),CHAR(96),_xlfn.CONCAT(CHAR(92),CHAR(96))),CHAR(34),CHAR(39))))</f>
        <v/>
      </c>
      <c r="R863" s="5" t="str">
        <f>IF(OR(TRIM($B863)="",$H863=""),"",IF(OR(ISNUMBER(SEARCH(_xlfn.CONCAT(CHAR(96),CHAR(34)),$H863)),ISNUMBER(SEARCH(_xlfn.CONCAT(CHAR(34),CHAR(39)),$H863))),_xlfn.CONCAT("* REVIEW REQUIRED: compound-quote delimiter in Source on Sheet 1 row ",863,"; edit the input before running."),_xlfn.CONCAT("char ",TRIM($B863),"[doc_source] ",CHAR(96),CHAR(34),SUBSTITUTE(SUBSTITUTE(SUBSTITUTE(SUBSTITUTE(SUBSTITUTE(SUBSTITUTE($H863,CHAR(13)," "),CHAR(10)," "),CHAR(9)," "),CHAR(92),_xlfn.CONCAT(CHAR(92),CHAR(92))),"$",_xlfn.CONCAT(CHAR(92),"$")),CHAR(96),_xlfn.CONCAT(CHAR(92),CHAR(96))),CHAR(34),CHAR(39))))</f>
        <v/>
      </c>
      <c r="S863" s="5" t="str">
        <f>IF(OR(TRIM($B863)="",$I863=""),"",IF(OR(ISNUMBER(SEARCH(_xlfn.CONCAT(CHAR(96),CHAR(34)),$I863)),ISNUMBER(SEARCH(_xlfn.CONCAT(CHAR(34),CHAR(39)),$I863))),_xlfn.CONCAT("* REVIEW REQUIRED: compound-quote delimiter in Derivation on Sheet 1 row ",863,"; edit the input before running."),_xlfn.CONCAT("char ",TRIM($B863),"[doc_derivation] ",CHAR(96),CHAR(34),SUBSTITUTE(SUBSTITUTE(SUBSTITUTE(SUBSTITUTE(SUBSTITUTE(SUBSTITUTE($I863,CHAR(13)," "),CHAR(10)," "),CHAR(9)," "),CHAR(92),_xlfn.CONCAT(CHAR(92),CHAR(92))),"$",_xlfn.CONCAT(CHAR(92),"$")),CHAR(96),_xlfn.CONCAT(CHAR(92),CHAR(96))),CHAR(34),CHAR(39))))</f>
        <v/>
      </c>
      <c r="T863" s="5" t="str">
        <f>IF(OR(TRIM($B863)="",$J863=""),"",IF(OR(ISNUMBER(SEARCH(_xlfn.CONCAT(CHAR(96),CHAR(34)),$J863)),ISNUMBER(SEARCH(_xlfn.CONCAT(CHAR(34),CHAR(39)),$J863))),_xlfn.CONCAT("* REVIEW REQUIRED: compound-quote delimiter in Notes on Sheet 1 row ",863,"; edit the input before running."),_xlfn.CONCAT("char ",TRIM($B863),"[doc_notes] ",CHAR(96),CHAR(34),SUBSTITUTE(SUBSTITUTE(SUBSTITUTE(SUBSTITUTE(SUBSTITUTE(SUBSTITUTE($J863,CHAR(13)," "),CHAR(10)," "),CHAR(9)," "),CHAR(92),_xlfn.CONCAT(CHAR(92),CHAR(92))),"$",_xlfn.CONCAT(CHAR(92),"$")),CHAR(96),_xlfn.CONCAT(CHAR(92),CHAR(96))),CHAR(34),CHAR(39))))</f>
        <v/>
      </c>
      <c r="U863" s="5">
        <f t="shared" si="27"/>
        <v>0</v>
      </c>
    </row>
    <row r="864" spans="3:21" ht="30" customHeight="1" x14ac:dyDescent="0.2">
      <c r="C864" s="4"/>
      <c r="K864" s="5">
        <f t="shared" si="26"/>
        <v>0</v>
      </c>
      <c r="L864" s="5" t="str">
        <f>IF(OR(TRIM($B864)="",$A864=""),"",IF(OR(ISNUMBER(SEARCH(_xlfn.CONCAT(CHAR(96),CHAR(34)),$A864)),ISNUMBER(SEARCH(_xlfn.CONCAT(CHAR(34),CHAR(39)),$A864))),_xlfn.CONCAT("* REVIEW REQUIRED: compound-quote delimiter in Codebook Section on Sheet 1 row ",864,"; edit the input before running."),_xlfn.CONCAT("char ",TRIM($B864),"[doc_section] ",CHAR(96),CHAR(34),SUBSTITUTE(SUBSTITUTE(SUBSTITUTE(SUBSTITUTE(SUBSTITUTE(SUBSTITUTE($A864,CHAR(13)," "),CHAR(10)," "),CHAR(9)," "),CHAR(92),_xlfn.CONCAT(CHAR(92),CHAR(92))),"$",_xlfn.CONCAT(CHAR(92),"$")),CHAR(96),_xlfn.CONCAT(CHAR(92),CHAR(96))),CHAR(34),CHAR(39))))</f>
        <v/>
      </c>
      <c r="M864" s="5" t="str">
        <f>IF(OR(TRIM($B864)="",$C864=""),"",IF(IFERROR(MATCH(TRIM($C864),{"Quantitative","Continuous","Discrete","Categorical","Nominal","Ordinal","Identifier"},0),0)=0,_xlfn.CONCAT("* REVIEW REQUIRED: invalid Variable Type on Sheet 1 row ",864,"."),_xlfn.CONCAT("char ",TRIM($B864),"[doc_vartype] ",CHAR(96),CHAR(34),SUBSTITUTE(SUBSTITUTE(SUBSTITUTE(SUBSTITUTE(SUBSTITUTE(SUBSTITUTE(LOWER(TRIM($C864)),CHAR(13)," "),CHAR(10)," "),CHAR(9)," "),CHAR(92),_xlfn.CONCAT(CHAR(92),CHAR(92))),"$",_xlfn.CONCAT(CHAR(92),"$")),CHAR(96),_xlfn.CONCAT(CHAR(92),CHAR(96))),CHAR(34),CHAR(39))))</f>
        <v/>
      </c>
      <c r="N864" s="5" t="str">
        <f>IF(OR(TRIM($B864)="",$D864=""),"",IF(OR(ISNUMBER(SEARCH(_xlfn.CONCAT(CHAR(96),CHAR(34)),$D864)),ISNUMBER(SEARCH(_xlfn.CONCAT(CHAR(34),CHAR(39)),$D864))),_xlfn.CONCAT("* REVIEW REQUIRED: compound-quote delimiter in Item Number on Sheet 1 row ",864,"; edit the input before running."),_xlfn.CONCAT("char ",TRIM($B864),"[doc_itemnum] ",CHAR(96),CHAR(34),SUBSTITUTE(SUBSTITUTE(SUBSTITUTE(SUBSTITUTE(SUBSTITUTE(SUBSTITUTE($D864,CHAR(13)," "),CHAR(10)," "),CHAR(9)," "),CHAR(92),_xlfn.CONCAT(CHAR(92),CHAR(92))),"$",_xlfn.CONCAT(CHAR(92),"$")),CHAR(96),_xlfn.CONCAT(CHAR(92),CHAR(96))),CHAR(34),CHAR(39))))</f>
        <v/>
      </c>
      <c r="O864" s="5" t="str">
        <f>IF(OR(TRIM($B864)="",$E864=""),"",IF(OR(ISNUMBER(SEARCH(_xlfn.CONCAT(CHAR(96),CHAR(34)),$E864)),ISNUMBER(SEARCH(_xlfn.CONCAT(CHAR(34),CHAR(39)),$E864))),_xlfn.CONCAT("* REVIEW REQUIRED: compound-quote delimiter in Question Wording on Sheet 1 row ",864,"; edit the input before running."),_xlfn.CONCAT("char ",TRIM($B864),"[doc_question] ",CHAR(96),CHAR(34),SUBSTITUTE(SUBSTITUTE(SUBSTITUTE(SUBSTITUTE(SUBSTITUTE(SUBSTITUTE($E864,CHAR(13)," "),CHAR(10)," "),CHAR(9)," "),CHAR(92),_xlfn.CONCAT(CHAR(92),CHAR(92))),"$",_xlfn.CONCAT(CHAR(92),"$")),CHAR(96),_xlfn.CONCAT(CHAR(92),CHAR(96))),CHAR(34),CHAR(39))))</f>
        <v/>
      </c>
      <c r="P864" s="5" t="str">
        <f>IF(OR(TRIM($B864)="",$F864=""),"",IF(OR(ISNUMBER(SEARCH(_xlfn.CONCAT(CHAR(96),CHAR(34)),$F864)),ISNUMBER(SEARCH(_xlfn.CONCAT(CHAR(34),CHAR(39)),$F864))),_xlfn.CONCAT("* REVIEW REQUIRED: compound-quote delimiter in Units on Sheet 1 row ",864,"; edit the input before running."),_xlfn.CONCAT("char ",TRIM($B864),"[doc_units] ",CHAR(96),CHAR(34),SUBSTITUTE(SUBSTITUTE(SUBSTITUTE(SUBSTITUTE(SUBSTITUTE(SUBSTITUTE($F864,CHAR(13)," "),CHAR(10)," "),CHAR(9)," "),CHAR(92),_xlfn.CONCAT(CHAR(92),CHAR(92))),"$",_xlfn.CONCAT(CHAR(92),"$")),CHAR(96),_xlfn.CONCAT(CHAR(92),CHAR(96))),CHAR(34),CHAR(39))))</f>
        <v/>
      </c>
      <c r="Q864" s="5" t="str">
        <f>IF(OR(TRIM($B864)="",$G864=""),"",IF(OR(ISNUMBER(SEARCH(_xlfn.CONCAT(CHAR(96),CHAR(34)),$G864)),ISNUMBER(SEARCH(_xlfn.CONCAT(CHAR(34),CHAR(39)),$G864))),_xlfn.CONCAT("* REVIEW REQUIRED: compound-quote delimiter in Universe on Sheet 1 row ",864,"; edit the input before running."),_xlfn.CONCAT("char ",TRIM($B864),"[doc_universe] ",CHAR(96),CHAR(34),SUBSTITUTE(SUBSTITUTE(SUBSTITUTE(SUBSTITUTE(SUBSTITUTE(SUBSTITUTE($G864,CHAR(13)," "),CHAR(10)," "),CHAR(9)," "),CHAR(92),_xlfn.CONCAT(CHAR(92),CHAR(92))),"$",_xlfn.CONCAT(CHAR(92),"$")),CHAR(96),_xlfn.CONCAT(CHAR(92),CHAR(96))),CHAR(34),CHAR(39))))</f>
        <v/>
      </c>
      <c r="R864" s="5" t="str">
        <f>IF(OR(TRIM($B864)="",$H864=""),"",IF(OR(ISNUMBER(SEARCH(_xlfn.CONCAT(CHAR(96),CHAR(34)),$H864)),ISNUMBER(SEARCH(_xlfn.CONCAT(CHAR(34),CHAR(39)),$H864))),_xlfn.CONCAT("* REVIEW REQUIRED: compound-quote delimiter in Source on Sheet 1 row ",864,"; edit the input before running."),_xlfn.CONCAT("char ",TRIM($B864),"[doc_source] ",CHAR(96),CHAR(34),SUBSTITUTE(SUBSTITUTE(SUBSTITUTE(SUBSTITUTE(SUBSTITUTE(SUBSTITUTE($H864,CHAR(13)," "),CHAR(10)," "),CHAR(9)," "),CHAR(92),_xlfn.CONCAT(CHAR(92),CHAR(92))),"$",_xlfn.CONCAT(CHAR(92),"$")),CHAR(96),_xlfn.CONCAT(CHAR(92),CHAR(96))),CHAR(34),CHAR(39))))</f>
        <v/>
      </c>
      <c r="S864" s="5" t="str">
        <f>IF(OR(TRIM($B864)="",$I864=""),"",IF(OR(ISNUMBER(SEARCH(_xlfn.CONCAT(CHAR(96),CHAR(34)),$I864)),ISNUMBER(SEARCH(_xlfn.CONCAT(CHAR(34),CHAR(39)),$I864))),_xlfn.CONCAT("* REVIEW REQUIRED: compound-quote delimiter in Derivation on Sheet 1 row ",864,"; edit the input before running."),_xlfn.CONCAT("char ",TRIM($B864),"[doc_derivation] ",CHAR(96),CHAR(34),SUBSTITUTE(SUBSTITUTE(SUBSTITUTE(SUBSTITUTE(SUBSTITUTE(SUBSTITUTE($I864,CHAR(13)," "),CHAR(10)," "),CHAR(9)," "),CHAR(92),_xlfn.CONCAT(CHAR(92),CHAR(92))),"$",_xlfn.CONCAT(CHAR(92),"$")),CHAR(96),_xlfn.CONCAT(CHAR(92),CHAR(96))),CHAR(34),CHAR(39))))</f>
        <v/>
      </c>
      <c r="T864" s="5" t="str">
        <f>IF(OR(TRIM($B864)="",$J864=""),"",IF(OR(ISNUMBER(SEARCH(_xlfn.CONCAT(CHAR(96),CHAR(34)),$J864)),ISNUMBER(SEARCH(_xlfn.CONCAT(CHAR(34),CHAR(39)),$J864))),_xlfn.CONCAT("* REVIEW REQUIRED: compound-quote delimiter in Notes on Sheet 1 row ",864,"; edit the input before running."),_xlfn.CONCAT("char ",TRIM($B864),"[doc_notes] ",CHAR(96),CHAR(34),SUBSTITUTE(SUBSTITUTE(SUBSTITUTE(SUBSTITUTE(SUBSTITUTE(SUBSTITUTE($J864,CHAR(13)," "),CHAR(10)," "),CHAR(9)," "),CHAR(92),_xlfn.CONCAT(CHAR(92),CHAR(92))),"$",_xlfn.CONCAT(CHAR(92),"$")),CHAR(96),_xlfn.CONCAT(CHAR(92),CHAR(96))),CHAR(34),CHAR(39))))</f>
        <v/>
      </c>
      <c r="U864" s="5">
        <f t="shared" si="27"/>
        <v>0</v>
      </c>
    </row>
    <row r="865" spans="3:21" ht="30" customHeight="1" x14ac:dyDescent="0.2">
      <c r="C865" s="4"/>
      <c r="K865" s="5">
        <f t="shared" si="26"/>
        <v>0</v>
      </c>
      <c r="L865" s="5" t="str">
        <f>IF(OR(TRIM($B865)="",$A865=""),"",IF(OR(ISNUMBER(SEARCH(_xlfn.CONCAT(CHAR(96),CHAR(34)),$A865)),ISNUMBER(SEARCH(_xlfn.CONCAT(CHAR(34),CHAR(39)),$A865))),_xlfn.CONCAT("* REVIEW REQUIRED: compound-quote delimiter in Codebook Section on Sheet 1 row ",865,"; edit the input before running."),_xlfn.CONCAT("char ",TRIM($B865),"[doc_section] ",CHAR(96),CHAR(34),SUBSTITUTE(SUBSTITUTE(SUBSTITUTE(SUBSTITUTE(SUBSTITUTE(SUBSTITUTE($A865,CHAR(13)," "),CHAR(10)," "),CHAR(9)," "),CHAR(92),_xlfn.CONCAT(CHAR(92),CHAR(92))),"$",_xlfn.CONCAT(CHAR(92),"$")),CHAR(96),_xlfn.CONCAT(CHAR(92),CHAR(96))),CHAR(34),CHAR(39))))</f>
        <v/>
      </c>
      <c r="M865" s="5" t="str">
        <f>IF(OR(TRIM($B865)="",$C865=""),"",IF(IFERROR(MATCH(TRIM($C865),{"Quantitative","Continuous","Discrete","Categorical","Nominal","Ordinal","Identifier"},0),0)=0,_xlfn.CONCAT("* REVIEW REQUIRED: invalid Variable Type on Sheet 1 row ",865,"."),_xlfn.CONCAT("char ",TRIM($B865),"[doc_vartype] ",CHAR(96),CHAR(34),SUBSTITUTE(SUBSTITUTE(SUBSTITUTE(SUBSTITUTE(SUBSTITUTE(SUBSTITUTE(LOWER(TRIM($C865)),CHAR(13)," "),CHAR(10)," "),CHAR(9)," "),CHAR(92),_xlfn.CONCAT(CHAR(92),CHAR(92))),"$",_xlfn.CONCAT(CHAR(92),"$")),CHAR(96),_xlfn.CONCAT(CHAR(92),CHAR(96))),CHAR(34),CHAR(39))))</f>
        <v/>
      </c>
      <c r="N865" s="5" t="str">
        <f>IF(OR(TRIM($B865)="",$D865=""),"",IF(OR(ISNUMBER(SEARCH(_xlfn.CONCAT(CHAR(96),CHAR(34)),$D865)),ISNUMBER(SEARCH(_xlfn.CONCAT(CHAR(34),CHAR(39)),$D865))),_xlfn.CONCAT("* REVIEW REQUIRED: compound-quote delimiter in Item Number on Sheet 1 row ",865,"; edit the input before running."),_xlfn.CONCAT("char ",TRIM($B865),"[doc_itemnum] ",CHAR(96),CHAR(34),SUBSTITUTE(SUBSTITUTE(SUBSTITUTE(SUBSTITUTE(SUBSTITUTE(SUBSTITUTE($D865,CHAR(13)," "),CHAR(10)," "),CHAR(9)," "),CHAR(92),_xlfn.CONCAT(CHAR(92),CHAR(92))),"$",_xlfn.CONCAT(CHAR(92),"$")),CHAR(96),_xlfn.CONCAT(CHAR(92),CHAR(96))),CHAR(34),CHAR(39))))</f>
        <v/>
      </c>
      <c r="O865" s="5" t="str">
        <f>IF(OR(TRIM($B865)="",$E865=""),"",IF(OR(ISNUMBER(SEARCH(_xlfn.CONCAT(CHAR(96),CHAR(34)),$E865)),ISNUMBER(SEARCH(_xlfn.CONCAT(CHAR(34),CHAR(39)),$E865))),_xlfn.CONCAT("* REVIEW REQUIRED: compound-quote delimiter in Question Wording on Sheet 1 row ",865,"; edit the input before running."),_xlfn.CONCAT("char ",TRIM($B865),"[doc_question] ",CHAR(96),CHAR(34),SUBSTITUTE(SUBSTITUTE(SUBSTITUTE(SUBSTITUTE(SUBSTITUTE(SUBSTITUTE($E865,CHAR(13)," "),CHAR(10)," "),CHAR(9)," "),CHAR(92),_xlfn.CONCAT(CHAR(92),CHAR(92))),"$",_xlfn.CONCAT(CHAR(92),"$")),CHAR(96),_xlfn.CONCAT(CHAR(92),CHAR(96))),CHAR(34),CHAR(39))))</f>
        <v/>
      </c>
      <c r="P865" s="5" t="str">
        <f>IF(OR(TRIM($B865)="",$F865=""),"",IF(OR(ISNUMBER(SEARCH(_xlfn.CONCAT(CHAR(96),CHAR(34)),$F865)),ISNUMBER(SEARCH(_xlfn.CONCAT(CHAR(34),CHAR(39)),$F865))),_xlfn.CONCAT("* REVIEW REQUIRED: compound-quote delimiter in Units on Sheet 1 row ",865,"; edit the input before running."),_xlfn.CONCAT("char ",TRIM($B865),"[doc_units] ",CHAR(96),CHAR(34),SUBSTITUTE(SUBSTITUTE(SUBSTITUTE(SUBSTITUTE(SUBSTITUTE(SUBSTITUTE($F865,CHAR(13)," "),CHAR(10)," "),CHAR(9)," "),CHAR(92),_xlfn.CONCAT(CHAR(92),CHAR(92))),"$",_xlfn.CONCAT(CHAR(92),"$")),CHAR(96),_xlfn.CONCAT(CHAR(92),CHAR(96))),CHAR(34),CHAR(39))))</f>
        <v/>
      </c>
      <c r="Q865" s="5" t="str">
        <f>IF(OR(TRIM($B865)="",$G865=""),"",IF(OR(ISNUMBER(SEARCH(_xlfn.CONCAT(CHAR(96),CHAR(34)),$G865)),ISNUMBER(SEARCH(_xlfn.CONCAT(CHAR(34),CHAR(39)),$G865))),_xlfn.CONCAT("* REVIEW REQUIRED: compound-quote delimiter in Universe on Sheet 1 row ",865,"; edit the input before running."),_xlfn.CONCAT("char ",TRIM($B865),"[doc_universe] ",CHAR(96),CHAR(34),SUBSTITUTE(SUBSTITUTE(SUBSTITUTE(SUBSTITUTE(SUBSTITUTE(SUBSTITUTE($G865,CHAR(13)," "),CHAR(10)," "),CHAR(9)," "),CHAR(92),_xlfn.CONCAT(CHAR(92),CHAR(92))),"$",_xlfn.CONCAT(CHAR(92),"$")),CHAR(96),_xlfn.CONCAT(CHAR(92),CHAR(96))),CHAR(34),CHAR(39))))</f>
        <v/>
      </c>
      <c r="R865" s="5" t="str">
        <f>IF(OR(TRIM($B865)="",$H865=""),"",IF(OR(ISNUMBER(SEARCH(_xlfn.CONCAT(CHAR(96),CHAR(34)),$H865)),ISNUMBER(SEARCH(_xlfn.CONCAT(CHAR(34),CHAR(39)),$H865))),_xlfn.CONCAT("* REVIEW REQUIRED: compound-quote delimiter in Source on Sheet 1 row ",865,"; edit the input before running."),_xlfn.CONCAT("char ",TRIM($B865),"[doc_source] ",CHAR(96),CHAR(34),SUBSTITUTE(SUBSTITUTE(SUBSTITUTE(SUBSTITUTE(SUBSTITUTE(SUBSTITUTE($H865,CHAR(13)," "),CHAR(10)," "),CHAR(9)," "),CHAR(92),_xlfn.CONCAT(CHAR(92),CHAR(92))),"$",_xlfn.CONCAT(CHAR(92),"$")),CHAR(96),_xlfn.CONCAT(CHAR(92),CHAR(96))),CHAR(34),CHAR(39))))</f>
        <v/>
      </c>
      <c r="S865" s="5" t="str">
        <f>IF(OR(TRIM($B865)="",$I865=""),"",IF(OR(ISNUMBER(SEARCH(_xlfn.CONCAT(CHAR(96),CHAR(34)),$I865)),ISNUMBER(SEARCH(_xlfn.CONCAT(CHAR(34),CHAR(39)),$I865))),_xlfn.CONCAT("* REVIEW REQUIRED: compound-quote delimiter in Derivation on Sheet 1 row ",865,"; edit the input before running."),_xlfn.CONCAT("char ",TRIM($B865),"[doc_derivation] ",CHAR(96),CHAR(34),SUBSTITUTE(SUBSTITUTE(SUBSTITUTE(SUBSTITUTE(SUBSTITUTE(SUBSTITUTE($I865,CHAR(13)," "),CHAR(10)," "),CHAR(9)," "),CHAR(92),_xlfn.CONCAT(CHAR(92),CHAR(92))),"$",_xlfn.CONCAT(CHAR(92),"$")),CHAR(96),_xlfn.CONCAT(CHAR(92),CHAR(96))),CHAR(34),CHAR(39))))</f>
        <v/>
      </c>
      <c r="T865" s="5" t="str">
        <f>IF(OR(TRIM($B865)="",$J865=""),"",IF(OR(ISNUMBER(SEARCH(_xlfn.CONCAT(CHAR(96),CHAR(34)),$J865)),ISNUMBER(SEARCH(_xlfn.CONCAT(CHAR(34),CHAR(39)),$J865))),_xlfn.CONCAT("* REVIEW REQUIRED: compound-quote delimiter in Notes on Sheet 1 row ",865,"; edit the input before running."),_xlfn.CONCAT("char ",TRIM($B865),"[doc_notes] ",CHAR(96),CHAR(34),SUBSTITUTE(SUBSTITUTE(SUBSTITUTE(SUBSTITUTE(SUBSTITUTE(SUBSTITUTE($J865,CHAR(13)," "),CHAR(10)," "),CHAR(9)," "),CHAR(92),_xlfn.CONCAT(CHAR(92),CHAR(92))),"$",_xlfn.CONCAT(CHAR(92),"$")),CHAR(96),_xlfn.CONCAT(CHAR(92),CHAR(96))),CHAR(34),CHAR(39))))</f>
        <v/>
      </c>
      <c r="U865" s="5">
        <f t="shared" si="27"/>
        <v>0</v>
      </c>
    </row>
    <row r="866" spans="3:21" ht="30" customHeight="1" x14ac:dyDescent="0.2">
      <c r="C866" s="4"/>
      <c r="K866" s="5">
        <f t="shared" si="26"/>
        <v>0</v>
      </c>
      <c r="L866" s="5" t="str">
        <f>IF(OR(TRIM($B866)="",$A866=""),"",IF(OR(ISNUMBER(SEARCH(_xlfn.CONCAT(CHAR(96),CHAR(34)),$A866)),ISNUMBER(SEARCH(_xlfn.CONCAT(CHAR(34),CHAR(39)),$A866))),_xlfn.CONCAT("* REVIEW REQUIRED: compound-quote delimiter in Codebook Section on Sheet 1 row ",866,"; edit the input before running."),_xlfn.CONCAT("char ",TRIM($B866),"[doc_section] ",CHAR(96),CHAR(34),SUBSTITUTE(SUBSTITUTE(SUBSTITUTE(SUBSTITUTE(SUBSTITUTE(SUBSTITUTE($A866,CHAR(13)," "),CHAR(10)," "),CHAR(9)," "),CHAR(92),_xlfn.CONCAT(CHAR(92),CHAR(92))),"$",_xlfn.CONCAT(CHAR(92),"$")),CHAR(96),_xlfn.CONCAT(CHAR(92),CHAR(96))),CHAR(34),CHAR(39))))</f>
        <v/>
      </c>
      <c r="M866" s="5" t="str">
        <f>IF(OR(TRIM($B866)="",$C866=""),"",IF(IFERROR(MATCH(TRIM($C866),{"Quantitative","Continuous","Discrete","Categorical","Nominal","Ordinal","Identifier"},0),0)=0,_xlfn.CONCAT("* REVIEW REQUIRED: invalid Variable Type on Sheet 1 row ",866,"."),_xlfn.CONCAT("char ",TRIM($B866),"[doc_vartype] ",CHAR(96),CHAR(34),SUBSTITUTE(SUBSTITUTE(SUBSTITUTE(SUBSTITUTE(SUBSTITUTE(SUBSTITUTE(LOWER(TRIM($C866)),CHAR(13)," "),CHAR(10)," "),CHAR(9)," "),CHAR(92),_xlfn.CONCAT(CHAR(92),CHAR(92))),"$",_xlfn.CONCAT(CHAR(92),"$")),CHAR(96),_xlfn.CONCAT(CHAR(92),CHAR(96))),CHAR(34),CHAR(39))))</f>
        <v/>
      </c>
      <c r="N866" s="5" t="str">
        <f>IF(OR(TRIM($B866)="",$D866=""),"",IF(OR(ISNUMBER(SEARCH(_xlfn.CONCAT(CHAR(96),CHAR(34)),$D866)),ISNUMBER(SEARCH(_xlfn.CONCAT(CHAR(34),CHAR(39)),$D866))),_xlfn.CONCAT("* REVIEW REQUIRED: compound-quote delimiter in Item Number on Sheet 1 row ",866,"; edit the input before running."),_xlfn.CONCAT("char ",TRIM($B866),"[doc_itemnum] ",CHAR(96),CHAR(34),SUBSTITUTE(SUBSTITUTE(SUBSTITUTE(SUBSTITUTE(SUBSTITUTE(SUBSTITUTE($D866,CHAR(13)," "),CHAR(10)," "),CHAR(9)," "),CHAR(92),_xlfn.CONCAT(CHAR(92),CHAR(92))),"$",_xlfn.CONCAT(CHAR(92),"$")),CHAR(96),_xlfn.CONCAT(CHAR(92),CHAR(96))),CHAR(34),CHAR(39))))</f>
        <v/>
      </c>
      <c r="O866" s="5" t="str">
        <f>IF(OR(TRIM($B866)="",$E866=""),"",IF(OR(ISNUMBER(SEARCH(_xlfn.CONCAT(CHAR(96),CHAR(34)),$E866)),ISNUMBER(SEARCH(_xlfn.CONCAT(CHAR(34),CHAR(39)),$E866))),_xlfn.CONCAT("* REVIEW REQUIRED: compound-quote delimiter in Question Wording on Sheet 1 row ",866,"; edit the input before running."),_xlfn.CONCAT("char ",TRIM($B866),"[doc_question] ",CHAR(96),CHAR(34),SUBSTITUTE(SUBSTITUTE(SUBSTITUTE(SUBSTITUTE(SUBSTITUTE(SUBSTITUTE($E866,CHAR(13)," "),CHAR(10)," "),CHAR(9)," "),CHAR(92),_xlfn.CONCAT(CHAR(92),CHAR(92))),"$",_xlfn.CONCAT(CHAR(92),"$")),CHAR(96),_xlfn.CONCAT(CHAR(92),CHAR(96))),CHAR(34),CHAR(39))))</f>
        <v/>
      </c>
      <c r="P866" s="5" t="str">
        <f>IF(OR(TRIM($B866)="",$F866=""),"",IF(OR(ISNUMBER(SEARCH(_xlfn.CONCAT(CHAR(96),CHAR(34)),$F866)),ISNUMBER(SEARCH(_xlfn.CONCAT(CHAR(34),CHAR(39)),$F866))),_xlfn.CONCAT("* REVIEW REQUIRED: compound-quote delimiter in Units on Sheet 1 row ",866,"; edit the input before running."),_xlfn.CONCAT("char ",TRIM($B866),"[doc_units] ",CHAR(96),CHAR(34),SUBSTITUTE(SUBSTITUTE(SUBSTITUTE(SUBSTITUTE(SUBSTITUTE(SUBSTITUTE($F866,CHAR(13)," "),CHAR(10)," "),CHAR(9)," "),CHAR(92),_xlfn.CONCAT(CHAR(92),CHAR(92))),"$",_xlfn.CONCAT(CHAR(92),"$")),CHAR(96),_xlfn.CONCAT(CHAR(92),CHAR(96))),CHAR(34),CHAR(39))))</f>
        <v/>
      </c>
      <c r="Q866" s="5" t="str">
        <f>IF(OR(TRIM($B866)="",$G866=""),"",IF(OR(ISNUMBER(SEARCH(_xlfn.CONCAT(CHAR(96),CHAR(34)),$G866)),ISNUMBER(SEARCH(_xlfn.CONCAT(CHAR(34),CHAR(39)),$G866))),_xlfn.CONCAT("* REVIEW REQUIRED: compound-quote delimiter in Universe on Sheet 1 row ",866,"; edit the input before running."),_xlfn.CONCAT("char ",TRIM($B866),"[doc_universe] ",CHAR(96),CHAR(34),SUBSTITUTE(SUBSTITUTE(SUBSTITUTE(SUBSTITUTE(SUBSTITUTE(SUBSTITUTE($G866,CHAR(13)," "),CHAR(10)," "),CHAR(9)," "),CHAR(92),_xlfn.CONCAT(CHAR(92),CHAR(92))),"$",_xlfn.CONCAT(CHAR(92),"$")),CHAR(96),_xlfn.CONCAT(CHAR(92),CHAR(96))),CHAR(34),CHAR(39))))</f>
        <v/>
      </c>
      <c r="R866" s="5" t="str">
        <f>IF(OR(TRIM($B866)="",$H866=""),"",IF(OR(ISNUMBER(SEARCH(_xlfn.CONCAT(CHAR(96),CHAR(34)),$H866)),ISNUMBER(SEARCH(_xlfn.CONCAT(CHAR(34),CHAR(39)),$H866))),_xlfn.CONCAT("* REVIEW REQUIRED: compound-quote delimiter in Source on Sheet 1 row ",866,"; edit the input before running."),_xlfn.CONCAT("char ",TRIM($B866),"[doc_source] ",CHAR(96),CHAR(34),SUBSTITUTE(SUBSTITUTE(SUBSTITUTE(SUBSTITUTE(SUBSTITUTE(SUBSTITUTE($H866,CHAR(13)," "),CHAR(10)," "),CHAR(9)," "),CHAR(92),_xlfn.CONCAT(CHAR(92),CHAR(92))),"$",_xlfn.CONCAT(CHAR(92),"$")),CHAR(96),_xlfn.CONCAT(CHAR(92),CHAR(96))),CHAR(34),CHAR(39))))</f>
        <v/>
      </c>
      <c r="S866" s="5" t="str">
        <f>IF(OR(TRIM($B866)="",$I866=""),"",IF(OR(ISNUMBER(SEARCH(_xlfn.CONCAT(CHAR(96),CHAR(34)),$I866)),ISNUMBER(SEARCH(_xlfn.CONCAT(CHAR(34),CHAR(39)),$I866))),_xlfn.CONCAT("* REVIEW REQUIRED: compound-quote delimiter in Derivation on Sheet 1 row ",866,"; edit the input before running."),_xlfn.CONCAT("char ",TRIM($B866),"[doc_derivation] ",CHAR(96),CHAR(34),SUBSTITUTE(SUBSTITUTE(SUBSTITUTE(SUBSTITUTE(SUBSTITUTE(SUBSTITUTE($I866,CHAR(13)," "),CHAR(10)," "),CHAR(9)," "),CHAR(92),_xlfn.CONCAT(CHAR(92),CHAR(92))),"$",_xlfn.CONCAT(CHAR(92),"$")),CHAR(96),_xlfn.CONCAT(CHAR(92),CHAR(96))),CHAR(34),CHAR(39))))</f>
        <v/>
      </c>
      <c r="T866" s="5" t="str">
        <f>IF(OR(TRIM($B866)="",$J866=""),"",IF(OR(ISNUMBER(SEARCH(_xlfn.CONCAT(CHAR(96),CHAR(34)),$J866)),ISNUMBER(SEARCH(_xlfn.CONCAT(CHAR(34),CHAR(39)),$J866))),_xlfn.CONCAT("* REVIEW REQUIRED: compound-quote delimiter in Notes on Sheet 1 row ",866,"; edit the input before running."),_xlfn.CONCAT("char ",TRIM($B866),"[doc_notes] ",CHAR(96),CHAR(34),SUBSTITUTE(SUBSTITUTE(SUBSTITUTE(SUBSTITUTE(SUBSTITUTE(SUBSTITUTE($J866,CHAR(13)," "),CHAR(10)," "),CHAR(9)," "),CHAR(92),_xlfn.CONCAT(CHAR(92),CHAR(92))),"$",_xlfn.CONCAT(CHAR(92),"$")),CHAR(96),_xlfn.CONCAT(CHAR(92),CHAR(96))),CHAR(34),CHAR(39))))</f>
        <v/>
      </c>
      <c r="U866" s="5">
        <f t="shared" si="27"/>
        <v>0</v>
      </c>
    </row>
    <row r="867" spans="3:21" ht="30" customHeight="1" x14ac:dyDescent="0.2">
      <c r="C867" s="4"/>
      <c r="K867" s="5">
        <f t="shared" si="26"/>
        <v>0</v>
      </c>
      <c r="L867" s="5" t="str">
        <f>IF(OR(TRIM($B867)="",$A867=""),"",IF(OR(ISNUMBER(SEARCH(_xlfn.CONCAT(CHAR(96),CHAR(34)),$A867)),ISNUMBER(SEARCH(_xlfn.CONCAT(CHAR(34),CHAR(39)),$A867))),_xlfn.CONCAT("* REVIEW REQUIRED: compound-quote delimiter in Codebook Section on Sheet 1 row ",867,"; edit the input before running."),_xlfn.CONCAT("char ",TRIM($B867),"[doc_section] ",CHAR(96),CHAR(34),SUBSTITUTE(SUBSTITUTE(SUBSTITUTE(SUBSTITUTE(SUBSTITUTE(SUBSTITUTE($A867,CHAR(13)," "),CHAR(10)," "),CHAR(9)," "),CHAR(92),_xlfn.CONCAT(CHAR(92),CHAR(92))),"$",_xlfn.CONCAT(CHAR(92),"$")),CHAR(96),_xlfn.CONCAT(CHAR(92),CHAR(96))),CHAR(34),CHAR(39))))</f>
        <v/>
      </c>
      <c r="M867" s="5" t="str">
        <f>IF(OR(TRIM($B867)="",$C867=""),"",IF(IFERROR(MATCH(TRIM($C867),{"Quantitative","Continuous","Discrete","Categorical","Nominal","Ordinal","Identifier"},0),0)=0,_xlfn.CONCAT("* REVIEW REQUIRED: invalid Variable Type on Sheet 1 row ",867,"."),_xlfn.CONCAT("char ",TRIM($B867),"[doc_vartype] ",CHAR(96),CHAR(34),SUBSTITUTE(SUBSTITUTE(SUBSTITUTE(SUBSTITUTE(SUBSTITUTE(SUBSTITUTE(LOWER(TRIM($C867)),CHAR(13)," "),CHAR(10)," "),CHAR(9)," "),CHAR(92),_xlfn.CONCAT(CHAR(92),CHAR(92))),"$",_xlfn.CONCAT(CHAR(92),"$")),CHAR(96),_xlfn.CONCAT(CHAR(92),CHAR(96))),CHAR(34),CHAR(39))))</f>
        <v/>
      </c>
      <c r="N867" s="5" t="str">
        <f>IF(OR(TRIM($B867)="",$D867=""),"",IF(OR(ISNUMBER(SEARCH(_xlfn.CONCAT(CHAR(96),CHAR(34)),$D867)),ISNUMBER(SEARCH(_xlfn.CONCAT(CHAR(34),CHAR(39)),$D867))),_xlfn.CONCAT("* REVIEW REQUIRED: compound-quote delimiter in Item Number on Sheet 1 row ",867,"; edit the input before running."),_xlfn.CONCAT("char ",TRIM($B867),"[doc_itemnum] ",CHAR(96),CHAR(34),SUBSTITUTE(SUBSTITUTE(SUBSTITUTE(SUBSTITUTE(SUBSTITUTE(SUBSTITUTE($D867,CHAR(13)," "),CHAR(10)," "),CHAR(9)," "),CHAR(92),_xlfn.CONCAT(CHAR(92),CHAR(92))),"$",_xlfn.CONCAT(CHAR(92),"$")),CHAR(96),_xlfn.CONCAT(CHAR(92),CHAR(96))),CHAR(34),CHAR(39))))</f>
        <v/>
      </c>
      <c r="O867" s="5" t="str">
        <f>IF(OR(TRIM($B867)="",$E867=""),"",IF(OR(ISNUMBER(SEARCH(_xlfn.CONCAT(CHAR(96),CHAR(34)),$E867)),ISNUMBER(SEARCH(_xlfn.CONCAT(CHAR(34),CHAR(39)),$E867))),_xlfn.CONCAT("* REVIEW REQUIRED: compound-quote delimiter in Question Wording on Sheet 1 row ",867,"; edit the input before running."),_xlfn.CONCAT("char ",TRIM($B867),"[doc_question] ",CHAR(96),CHAR(34),SUBSTITUTE(SUBSTITUTE(SUBSTITUTE(SUBSTITUTE(SUBSTITUTE(SUBSTITUTE($E867,CHAR(13)," "),CHAR(10)," "),CHAR(9)," "),CHAR(92),_xlfn.CONCAT(CHAR(92),CHAR(92))),"$",_xlfn.CONCAT(CHAR(92),"$")),CHAR(96),_xlfn.CONCAT(CHAR(92),CHAR(96))),CHAR(34),CHAR(39))))</f>
        <v/>
      </c>
      <c r="P867" s="5" t="str">
        <f>IF(OR(TRIM($B867)="",$F867=""),"",IF(OR(ISNUMBER(SEARCH(_xlfn.CONCAT(CHAR(96),CHAR(34)),$F867)),ISNUMBER(SEARCH(_xlfn.CONCAT(CHAR(34),CHAR(39)),$F867))),_xlfn.CONCAT("* REVIEW REQUIRED: compound-quote delimiter in Units on Sheet 1 row ",867,"; edit the input before running."),_xlfn.CONCAT("char ",TRIM($B867),"[doc_units] ",CHAR(96),CHAR(34),SUBSTITUTE(SUBSTITUTE(SUBSTITUTE(SUBSTITUTE(SUBSTITUTE(SUBSTITUTE($F867,CHAR(13)," "),CHAR(10)," "),CHAR(9)," "),CHAR(92),_xlfn.CONCAT(CHAR(92),CHAR(92))),"$",_xlfn.CONCAT(CHAR(92),"$")),CHAR(96),_xlfn.CONCAT(CHAR(92),CHAR(96))),CHAR(34),CHAR(39))))</f>
        <v/>
      </c>
      <c r="Q867" s="5" t="str">
        <f>IF(OR(TRIM($B867)="",$G867=""),"",IF(OR(ISNUMBER(SEARCH(_xlfn.CONCAT(CHAR(96),CHAR(34)),$G867)),ISNUMBER(SEARCH(_xlfn.CONCAT(CHAR(34),CHAR(39)),$G867))),_xlfn.CONCAT("* REVIEW REQUIRED: compound-quote delimiter in Universe on Sheet 1 row ",867,"; edit the input before running."),_xlfn.CONCAT("char ",TRIM($B867),"[doc_universe] ",CHAR(96),CHAR(34),SUBSTITUTE(SUBSTITUTE(SUBSTITUTE(SUBSTITUTE(SUBSTITUTE(SUBSTITUTE($G867,CHAR(13)," "),CHAR(10)," "),CHAR(9)," "),CHAR(92),_xlfn.CONCAT(CHAR(92),CHAR(92))),"$",_xlfn.CONCAT(CHAR(92),"$")),CHAR(96),_xlfn.CONCAT(CHAR(92),CHAR(96))),CHAR(34),CHAR(39))))</f>
        <v/>
      </c>
      <c r="R867" s="5" t="str">
        <f>IF(OR(TRIM($B867)="",$H867=""),"",IF(OR(ISNUMBER(SEARCH(_xlfn.CONCAT(CHAR(96),CHAR(34)),$H867)),ISNUMBER(SEARCH(_xlfn.CONCAT(CHAR(34),CHAR(39)),$H867))),_xlfn.CONCAT("* REVIEW REQUIRED: compound-quote delimiter in Source on Sheet 1 row ",867,"; edit the input before running."),_xlfn.CONCAT("char ",TRIM($B867),"[doc_source] ",CHAR(96),CHAR(34),SUBSTITUTE(SUBSTITUTE(SUBSTITUTE(SUBSTITUTE(SUBSTITUTE(SUBSTITUTE($H867,CHAR(13)," "),CHAR(10)," "),CHAR(9)," "),CHAR(92),_xlfn.CONCAT(CHAR(92),CHAR(92))),"$",_xlfn.CONCAT(CHAR(92),"$")),CHAR(96),_xlfn.CONCAT(CHAR(92),CHAR(96))),CHAR(34),CHAR(39))))</f>
        <v/>
      </c>
      <c r="S867" s="5" t="str">
        <f>IF(OR(TRIM($B867)="",$I867=""),"",IF(OR(ISNUMBER(SEARCH(_xlfn.CONCAT(CHAR(96),CHAR(34)),$I867)),ISNUMBER(SEARCH(_xlfn.CONCAT(CHAR(34),CHAR(39)),$I867))),_xlfn.CONCAT("* REVIEW REQUIRED: compound-quote delimiter in Derivation on Sheet 1 row ",867,"; edit the input before running."),_xlfn.CONCAT("char ",TRIM($B867),"[doc_derivation] ",CHAR(96),CHAR(34),SUBSTITUTE(SUBSTITUTE(SUBSTITUTE(SUBSTITUTE(SUBSTITUTE(SUBSTITUTE($I867,CHAR(13)," "),CHAR(10)," "),CHAR(9)," "),CHAR(92),_xlfn.CONCAT(CHAR(92),CHAR(92))),"$",_xlfn.CONCAT(CHAR(92),"$")),CHAR(96),_xlfn.CONCAT(CHAR(92),CHAR(96))),CHAR(34),CHAR(39))))</f>
        <v/>
      </c>
      <c r="T867" s="5" t="str">
        <f>IF(OR(TRIM($B867)="",$J867=""),"",IF(OR(ISNUMBER(SEARCH(_xlfn.CONCAT(CHAR(96),CHAR(34)),$J867)),ISNUMBER(SEARCH(_xlfn.CONCAT(CHAR(34),CHAR(39)),$J867))),_xlfn.CONCAT("* REVIEW REQUIRED: compound-quote delimiter in Notes on Sheet 1 row ",867,"; edit the input before running."),_xlfn.CONCAT("char ",TRIM($B867),"[doc_notes] ",CHAR(96),CHAR(34),SUBSTITUTE(SUBSTITUTE(SUBSTITUTE(SUBSTITUTE(SUBSTITUTE(SUBSTITUTE($J867,CHAR(13)," "),CHAR(10)," "),CHAR(9)," "),CHAR(92),_xlfn.CONCAT(CHAR(92),CHAR(92))),"$",_xlfn.CONCAT(CHAR(92),"$")),CHAR(96),_xlfn.CONCAT(CHAR(92),CHAR(96))),CHAR(34),CHAR(39))))</f>
        <v/>
      </c>
      <c r="U867" s="5">
        <f t="shared" si="27"/>
        <v>0</v>
      </c>
    </row>
    <row r="868" spans="3:21" ht="30" customHeight="1" x14ac:dyDescent="0.2">
      <c r="C868" s="4"/>
      <c r="K868" s="5">
        <f t="shared" si="26"/>
        <v>0</v>
      </c>
      <c r="L868" s="5" t="str">
        <f>IF(OR(TRIM($B868)="",$A868=""),"",IF(OR(ISNUMBER(SEARCH(_xlfn.CONCAT(CHAR(96),CHAR(34)),$A868)),ISNUMBER(SEARCH(_xlfn.CONCAT(CHAR(34),CHAR(39)),$A868))),_xlfn.CONCAT("* REVIEW REQUIRED: compound-quote delimiter in Codebook Section on Sheet 1 row ",868,"; edit the input before running."),_xlfn.CONCAT("char ",TRIM($B868),"[doc_section] ",CHAR(96),CHAR(34),SUBSTITUTE(SUBSTITUTE(SUBSTITUTE(SUBSTITUTE(SUBSTITUTE(SUBSTITUTE($A868,CHAR(13)," "),CHAR(10)," "),CHAR(9)," "),CHAR(92),_xlfn.CONCAT(CHAR(92),CHAR(92))),"$",_xlfn.CONCAT(CHAR(92),"$")),CHAR(96),_xlfn.CONCAT(CHAR(92),CHAR(96))),CHAR(34),CHAR(39))))</f>
        <v/>
      </c>
      <c r="M868" s="5" t="str">
        <f>IF(OR(TRIM($B868)="",$C868=""),"",IF(IFERROR(MATCH(TRIM($C868),{"Quantitative","Continuous","Discrete","Categorical","Nominal","Ordinal","Identifier"},0),0)=0,_xlfn.CONCAT("* REVIEW REQUIRED: invalid Variable Type on Sheet 1 row ",868,"."),_xlfn.CONCAT("char ",TRIM($B868),"[doc_vartype] ",CHAR(96),CHAR(34),SUBSTITUTE(SUBSTITUTE(SUBSTITUTE(SUBSTITUTE(SUBSTITUTE(SUBSTITUTE(LOWER(TRIM($C868)),CHAR(13)," "),CHAR(10)," "),CHAR(9)," "),CHAR(92),_xlfn.CONCAT(CHAR(92),CHAR(92))),"$",_xlfn.CONCAT(CHAR(92),"$")),CHAR(96),_xlfn.CONCAT(CHAR(92),CHAR(96))),CHAR(34),CHAR(39))))</f>
        <v/>
      </c>
      <c r="N868" s="5" t="str">
        <f>IF(OR(TRIM($B868)="",$D868=""),"",IF(OR(ISNUMBER(SEARCH(_xlfn.CONCAT(CHAR(96),CHAR(34)),$D868)),ISNUMBER(SEARCH(_xlfn.CONCAT(CHAR(34),CHAR(39)),$D868))),_xlfn.CONCAT("* REVIEW REQUIRED: compound-quote delimiter in Item Number on Sheet 1 row ",868,"; edit the input before running."),_xlfn.CONCAT("char ",TRIM($B868),"[doc_itemnum] ",CHAR(96),CHAR(34),SUBSTITUTE(SUBSTITUTE(SUBSTITUTE(SUBSTITUTE(SUBSTITUTE(SUBSTITUTE($D868,CHAR(13)," "),CHAR(10)," "),CHAR(9)," "),CHAR(92),_xlfn.CONCAT(CHAR(92),CHAR(92))),"$",_xlfn.CONCAT(CHAR(92),"$")),CHAR(96),_xlfn.CONCAT(CHAR(92),CHAR(96))),CHAR(34),CHAR(39))))</f>
        <v/>
      </c>
      <c r="O868" s="5" t="str">
        <f>IF(OR(TRIM($B868)="",$E868=""),"",IF(OR(ISNUMBER(SEARCH(_xlfn.CONCAT(CHAR(96),CHAR(34)),$E868)),ISNUMBER(SEARCH(_xlfn.CONCAT(CHAR(34),CHAR(39)),$E868))),_xlfn.CONCAT("* REVIEW REQUIRED: compound-quote delimiter in Question Wording on Sheet 1 row ",868,"; edit the input before running."),_xlfn.CONCAT("char ",TRIM($B868),"[doc_question] ",CHAR(96),CHAR(34),SUBSTITUTE(SUBSTITUTE(SUBSTITUTE(SUBSTITUTE(SUBSTITUTE(SUBSTITUTE($E868,CHAR(13)," "),CHAR(10)," "),CHAR(9)," "),CHAR(92),_xlfn.CONCAT(CHAR(92),CHAR(92))),"$",_xlfn.CONCAT(CHAR(92),"$")),CHAR(96),_xlfn.CONCAT(CHAR(92),CHAR(96))),CHAR(34),CHAR(39))))</f>
        <v/>
      </c>
      <c r="P868" s="5" t="str">
        <f>IF(OR(TRIM($B868)="",$F868=""),"",IF(OR(ISNUMBER(SEARCH(_xlfn.CONCAT(CHAR(96),CHAR(34)),$F868)),ISNUMBER(SEARCH(_xlfn.CONCAT(CHAR(34),CHAR(39)),$F868))),_xlfn.CONCAT("* REVIEW REQUIRED: compound-quote delimiter in Units on Sheet 1 row ",868,"; edit the input before running."),_xlfn.CONCAT("char ",TRIM($B868),"[doc_units] ",CHAR(96),CHAR(34),SUBSTITUTE(SUBSTITUTE(SUBSTITUTE(SUBSTITUTE(SUBSTITUTE(SUBSTITUTE($F868,CHAR(13)," "),CHAR(10)," "),CHAR(9)," "),CHAR(92),_xlfn.CONCAT(CHAR(92),CHAR(92))),"$",_xlfn.CONCAT(CHAR(92),"$")),CHAR(96),_xlfn.CONCAT(CHAR(92),CHAR(96))),CHAR(34),CHAR(39))))</f>
        <v/>
      </c>
      <c r="Q868" s="5" t="str">
        <f>IF(OR(TRIM($B868)="",$G868=""),"",IF(OR(ISNUMBER(SEARCH(_xlfn.CONCAT(CHAR(96),CHAR(34)),$G868)),ISNUMBER(SEARCH(_xlfn.CONCAT(CHAR(34),CHAR(39)),$G868))),_xlfn.CONCAT("* REVIEW REQUIRED: compound-quote delimiter in Universe on Sheet 1 row ",868,"; edit the input before running."),_xlfn.CONCAT("char ",TRIM($B868),"[doc_universe] ",CHAR(96),CHAR(34),SUBSTITUTE(SUBSTITUTE(SUBSTITUTE(SUBSTITUTE(SUBSTITUTE(SUBSTITUTE($G868,CHAR(13)," "),CHAR(10)," "),CHAR(9)," "),CHAR(92),_xlfn.CONCAT(CHAR(92),CHAR(92))),"$",_xlfn.CONCAT(CHAR(92),"$")),CHAR(96),_xlfn.CONCAT(CHAR(92),CHAR(96))),CHAR(34),CHAR(39))))</f>
        <v/>
      </c>
      <c r="R868" s="5" t="str">
        <f>IF(OR(TRIM($B868)="",$H868=""),"",IF(OR(ISNUMBER(SEARCH(_xlfn.CONCAT(CHAR(96),CHAR(34)),$H868)),ISNUMBER(SEARCH(_xlfn.CONCAT(CHAR(34),CHAR(39)),$H868))),_xlfn.CONCAT("* REVIEW REQUIRED: compound-quote delimiter in Source on Sheet 1 row ",868,"; edit the input before running."),_xlfn.CONCAT("char ",TRIM($B868),"[doc_source] ",CHAR(96),CHAR(34),SUBSTITUTE(SUBSTITUTE(SUBSTITUTE(SUBSTITUTE(SUBSTITUTE(SUBSTITUTE($H868,CHAR(13)," "),CHAR(10)," "),CHAR(9)," "),CHAR(92),_xlfn.CONCAT(CHAR(92),CHAR(92))),"$",_xlfn.CONCAT(CHAR(92),"$")),CHAR(96),_xlfn.CONCAT(CHAR(92),CHAR(96))),CHAR(34),CHAR(39))))</f>
        <v/>
      </c>
      <c r="S868" s="5" t="str">
        <f>IF(OR(TRIM($B868)="",$I868=""),"",IF(OR(ISNUMBER(SEARCH(_xlfn.CONCAT(CHAR(96),CHAR(34)),$I868)),ISNUMBER(SEARCH(_xlfn.CONCAT(CHAR(34),CHAR(39)),$I868))),_xlfn.CONCAT("* REVIEW REQUIRED: compound-quote delimiter in Derivation on Sheet 1 row ",868,"; edit the input before running."),_xlfn.CONCAT("char ",TRIM($B868),"[doc_derivation] ",CHAR(96),CHAR(34),SUBSTITUTE(SUBSTITUTE(SUBSTITUTE(SUBSTITUTE(SUBSTITUTE(SUBSTITUTE($I868,CHAR(13)," "),CHAR(10)," "),CHAR(9)," "),CHAR(92),_xlfn.CONCAT(CHAR(92),CHAR(92))),"$",_xlfn.CONCAT(CHAR(92),"$")),CHAR(96),_xlfn.CONCAT(CHAR(92),CHAR(96))),CHAR(34),CHAR(39))))</f>
        <v/>
      </c>
      <c r="T868" s="5" t="str">
        <f>IF(OR(TRIM($B868)="",$J868=""),"",IF(OR(ISNUMBER(SEARCH(_xlfn.CONCAT(CHAR(96),CHAR(34)),$J868)),ISNUMBER(SEARCH(_xlfn.CONCAT(CHAR(34),CHAR(39)),$J868))),_xlfn.CONCAT("* REVIEW REQUIRED: compound-quote delimiter in Notes on Sheet 1 row ",868,"; edit the input before running."),_xlfn.CONCAT("char ",TRIM($B868),"[doc_notes] ",CHAR(96),CHAR(34),SUBSTITUTE(SUBSTITUTE(SUBSTITUTE(SUBSTITUTE(SUBSTITUTE(SUBSTITUTE($J868,CHAR(13)," "),CHAR(10)," "),CHAR(9)," "),CHAR(92),_xlfn.CONCAT(CHAR(92),CHAR(92))),"$",_xlfn.CONCAT(CHAR(92),"$")),CHAR(96),_xlfn.CONCAT(CHAR(92),CHAR(96))),CHAR(34),CHAR(39))))</f>
        <v/>
      </c>
      <c r="U868" s="5">
        <f t="shared" si="27"/>
        <v>0</v>
      </c>
    </row>
    <row r="869" spans="3:21" ht="30" customHeight="1" x14ac:dyDescent="0.2">
      <c r="C869" s="4"/>
      <c r="K869" s="5">
        <f t="shared" si="26"/>
        <v>0</v>
      </c>
      <c r="L869" s="5" t="str">
        <f>IF(OR(TRIM($B869)="",$A869=""),"",IF(OR(ISNUMBER(SEARCH(_xlfn.CONCAT(CHAR(96),CHAR(34)),$A869)),ISNUMBER(SEARCH(_xlfn.CONCAT(CHAR(34),CHAR(39)),$A869))),_xlfn.CONCAT("* REVIEW REQUIRED: compound-quote delimiter in Codebook Section on Sheet 1 row ",869,"; edit the input before running."),_xlfn.CONCAT("char ",TRIM($B869),"[doc_section] ",CHAR(96),CHAR(34),SUBSTITUTE(SUBSTITUTE(SUBSTITUTE(SUBSTITUTE(SUBSTITUTE(SUBSTITUTE($A869,CHAR(13)," "),CHAR(10)," "),CHAR(9)," "),CHAR(92),_xlfn.CONCAT(CHAR(92),CHAR(92))),"$",_xlfn.CONCAT(CHAR(92),"$")),CHAR(96),_xlfn.CONCAT(CHAR(92),CHAR(96))),CHAR(34),CHAR(39))))</f>
        <v/>
      </c>
      <c r="M869" s="5" t="str">
        <f>IF(OR(TRIM($B869)="",$C869=""),"",IF(IFERROR(MATCH(TRIM($C869),{"Quantitative","Continuous","Discrete","Categorical","Nominal","Ordinal","Identifier"},0),0)=0,_xlfn.CONCAT("* REVIEW REQUIRED: invalid Variable Type on Sheet 1 row ",869,"."),_xlfn.CONCAT("char ",TRIM($B869),"[doc_vartype] ",CHAR(96),CHAR(34),SUBSTITUTE(SUBSTITUTE(SUBSTITUTE(SUBSTITUTE(SUBSTITUTE(SUBSTITUTE(LOWER(TRIM($C869)),CHAR(13)," "),CHAR(10)," "),CHAR(9)," "),CHAR(92),_xlfn.CONCAT(CHAR(92),CHAR(92))),"$",_xlfn.CONCAT(CHAR(92),"$")),CHAR(96),_xlfn.CONCAT(CHAR(92),CHAR(96))),CHAR(34),CHAR(39))))</f>
        <v/>
      </c>
      <c r="N869" s="5" t="str">
        <f>IF(OR(TRIM($B869)="",$D869=""),"",IF(OR(ISNUMBER(SEARCH(_xlfn.CONCAT(CHAR(96),CHAR(34)),$D869)),ISNUMBER(SEARCH(_xlfn.CONCAT(CHAR(34),CHAR(39)),$D869))),_xlfn.CONCAT("* REVIEW REQUIRED: compound-quote delimiter in Item Number on Sheet 1 row ",869,"; edit the input before running."),_xlfn.CONCAT("char ",TRIM($B869),"[doc_itemnum] ",CHAR(96),CHAR(34),SUBSTITUTE(SUBSTITUTE(SUBSTITUTE(SUBSTITUTE(SUBSTITUTE(SUBSTITUTE($D869,CHAR(13)," "),CHAR(10)," "),CHAR(9)," "),CHAR(92),_xlfn.CONCAT(CHAR(92),CHAR(92))),"$",_xlfn.CONCAT(CHAR(92),"$")),CHAR(96),_xlfn.CONCAT(CHAR(92),CHAR(96))),CHAR(34),CHAR(39))))</f>
        <v/>
      </c>
      <c r="O869" s="5" t="str">
        <f>IF(OR(TRIM($B869)="",$E869=""),"",IF(OR(ISNUMBER(SEARCH(_xlfn.CONCAT(CHAR(96),CHAR(34)),$E869)),ISNUMBER(SEARCH(_xlfn.CONCAT(CHAR(34),CHAR(39)),$E869))),_xlfn.CONCAT("* REVIEW REQUIRED: compound-quote delimiter in Question Wording on Sheet 1 row ",869,"; edit the input before running."),_xlfn.CONCAT("char ",TRIM($B869),"[doc_question] ",CHAR(96),CHAR(34),SUBSTITUTE(SUBSTITUTE(SUBSTITUTE(SUBSTITUTE(SUBSTITUTE(SUBSTITUTE($E869,CHAR(13)," "),CHAR(10)," "),CHAR(9)," "),CHAR(92),_xlfn.CONCAT(CHAR(92),CHAR(92))),"$",_xlfn.CONCAT(CHAR(92),"$")),CHAR(96),_xlfn.CONCAT(CHAR(92),CHAR(96))),CHAR(34),CHAR(39))))</f>
        <v/>
      </c>
      <c r="P869" s="5" t="str">
        <f>IF(OR(TRIM($B869)="",$F869=""),"",IF(OR(ISNUMBER(SEARCH(_xlfn.CONCAT(CHAR(96),CHAR(34)),$F869)),ISNUMBER(SEARCH(_xlfn.CONCAT(CHAR(34),CHAR(39)),$F869))),_xlfn.CONCAT("* REVIEW REQUIRED: compound-quote delimiter in Units on Sheet 1 row ",869,"; edit the input before running."),_xlfn.CONCAT("char ",TRIM($B869),"[doc_units] ",CHAR(96),CHAR(34),SUBSTITUTE(SUBSTITUTE(SUBSTITUTE(SUBSTITUTE(SUBSTITUTE(SUBSTITUTE($F869,CHAR(13)," "),CHAR(10)," "),CHAR(9)," "),CHAR(92),_xlfn.CONCAT(CHAR(92),CHAR(92))),"$",_xlfn.CONCAT(CHAR(92),"$")),CHAR(96),_xlfn.CONCAT(CHAR(92),CHAR(96))),CHAR(34),CHAR(39))))</f>
        <v/>
      </c>
      <c r="Q869" s="5" t="str">
        <f>IF(OR(TRIM($B869)="",$G869=""),"",IF(OR(ISNUMBER(SEARCH(_xlfn.CONCAT(CHAR(96),CHAR(34)),$G869)),ISNUMBER(SEARCH(_xlfn.CONCAT(CHAR(34),CHAR(39)),$G869))),_xlfn.CONCAT("* REVIEW REQUIRED: compound-quote delimiter in Universe on Sheet 1 row ",869,"; edit the input before running."),_xlfn.CONCAT("char ",TRIM($B869),"[doc_universe] ",CHAR(96),CHAR(34),SUBSTITUTE(SUBSTITUTE(SUBSTITUTE(SUBSTITUTE(SUBSTITUTE(SUBSTITUTE($G869,CHAR(13)," "),CHAR(10)," "),CHAR(9)," "),CHAR(92),_xlfn.CONCAT(CHAR(92),CHAR(92))),"$",_xlfn.CONCAT(CHAR(92),"$")),CHAR(96),_xlfn.CONCAT(CHAR(92),CHAR(96))),CHAR(34),CHAR(39))))</f>
        <v/>
      </c>
      <c r="R869" s="5" t="str">
        <f>IF(OR(TRIM($B869)="",$H869=""),"",IF(OR(ISNUMBER(SEARCH(_xlfn.CONCAT(CHAR(96),CHAR(34)),$H869)),ISNUMBER(SEARCH(_xlfn.CONCAT(CHAR(34),CHAR(39)),$H869))),_xlfn.CONCAT("* REVIEW REQUIRED: compound-quote delimiter in Source on Sheet 1 row ",869,"; edit the input before running."),_xlfn.CONCAT("char ",TRIM($B869),"[doc_source] ",CHAR(96),CHAR(34),SUBSTITUTE(SUBSTITUTE(SUBSTITUTE(SUBSTITUTE(SUBSTITUTE(SUBSTITUTE($H869,CHAR(13)," "),CHAR(10)," "),CHAR(9)," "),CHAR(92),_xlfn.CONCAT(CHAR(92),CHAR(92))),"$",_xlfn.CONCAT(CHAR(92),"$")),CHAR(96),_xlfn.CONCAT(CHAR(92),CHAR(96))),CHAR(34),CHAR(39))))</f>
        <v/>
      </c>
      <c r="S869" s="5" t="str">
        <f>IF(OR(TRIM($B869)="",$I869=""),"",IF(OR(ISNUMBER(SEARCH(_xlfn.CONCAT(CHAR(96),CHAR(34)),$I869)),ISNUMBER(SEARCH(_xlfn.CONCAT(CHAR(34),CHAR(39)),$I869))),_xlfn.CONCAT("* REVIEW REQUIRED: compound-quote delimiter in Derivation on Sheet 1 row ",869,"; edit the input before running."),_xlfn.CONCAT("char ",TRIM($B869),"[doc_derivation] ",CHAR(96),CHAR(34),SUBSTITUTE(SUBSTITUTE(SUBSTITUTE(SUBSTITUTE(SUBSTITUTE(SUBSTITUTE($I869,CHAR(13)," "),CHAR(10)," "),CHAR(9)," "),CHAR(92),_xlfn.CONCAT(CHAR(92),CHAR(92))),"$",_xlfn.CONCAT(CHAR(92),"$")),CHAR(96),_xlfn.CONCAT(CHAR(92),CHAR(96))),CHAR(34),CHAR(39))))</f>
        <v/>
      </c>
      <c r="T869" s="5" t="str">
        <f>IF(OR(TRIM($B869)="",$J869=""),"",IF(OR(ISNUMBER(SEARCH(_xlfn.CONCAT(CHAR(96),CHAR(34)),$J869)),ISNUMBER(SEARCH(_xlfn.CONCAT(CHAR(34),CHAR(39)),$J869))),_xlfn.CONCAT("* REVIEW REQUIRED: compound-quote delimiter in Notes on Sheet 1 row ",869,"; edit the input before running."),_xlfn.CONCAT("char ",TRIM($B869),"[doc_notes] ",CHAR(96),CHAR(34),SUBSTITUTE(SUBSTITUTE(SUBSTITUTE(SUBSTITUTE(SUBSTITUTE(SUBSTITUTE($J869,CHAR(13)," "),CHAR(10)," "),CHAR(9)," "),CHAR(92),_xlfn.CONCAT(CHAR(92),CHAR(92))),"$",_xlfn.CONCAT(CHAR(92),"$")),CHAR(96),_xlfn.CONCAT(CHAR(92),CHAR(96))),CHAR(34),CHAR(39))))</f>
        <v/>
      </c>
      <c r="U869" s="5">
        <f t="shared" si="27"/>
        <v>0</v>
      </c>
    </row>
    <row r="870" spans="3:21" ht="30" customHeight="1" x14ac:dyDescent="0.2">
      <c r="C870" s="4"/>
      <c r="K870" s="5">
        <f t="shared" si="26"/>
        <v>0</v>
      </c>
      <c r="L870" s="5" t="str">
        <f>IF(OR(TRIM($B870)="",$A870=""),"",IF(OR(ISNUMBER(SEARCH(_xlfn.CONCAT(CHAR(96),CHAR(34)),$A870)),ISNUMBER(SEARCH(_xlfn.CONCAT(CHAR(34),CHAR(39)),$A870))),_xlfn.CONCAT("* REVIEW REQUIRED: compound-quote delimiter in Codebook Section on Sheet 1 row ",870,"; edit the input before running."),_xlfn.CONCAT("char ",TRIM($B870),"[doc_section] ",CHAR(96),CHAR(34),SUBSTITUTE(SUBSTITUTE(SUBSTITUTE(SUBSTITUTE(SUBSTITUTE(SUBSTITUTE($A870,CHAR(13)," "),CHAR(10)," "),CHAR(9)," "),CHAR(92),_xlfn.CONCAT(CHAR(92),CHAR(92))),"$",_xlfn.CONCAT(CHAR(92),"$")),CHAR(96),_xlfn.CONCAT(CHAR(92),CHAR(96))),CHAR(34),CHAR(39))))</f>
        <v/>
      </c>
      <c r="M870" s="5" t="str">
        <f>IF(OR(TRIM($B870)="",$C870=""),"",IF(IFERROR(MATCH(TRIM($C870),{"Quantitative","Continuous","Discrete","Categorical","Nominal","Ordinal","Identifier"},0),0)=0,_xlfn.CONCAT("* REVIEW REQUIRED: invalid Variable Type on Sheet 1 row ",870,"."),_xlfn.CONCAT("char ",TRIM($B870),"[doc_vartype] ",CHAR(96),CHAR(34),SUBSTITUTE(SUBSTITUTE(SUBSTITUTE(SUBSTITUTE(SUBSTITUTE(SUBSTITUTE(LOWER(TRIM($C870)),CHAR(13)," "),CHAR(10)," "),CHAR(9)," "),CHAR(92),_xlfn.CONCAT(CHAR(92),CHAR(92))),"$",_xlfn.CONCAT(CHAR(92),"$")),CHAR(96),_xlfn.CONCAT(CHAR(92),CHAR(96))),CHAR(34),CHAR(39))))</f>
        <v/>
      </c>
      <c r="N870" s="5" t="str">
        <f>IF(OR(TRIM($B870)="",$D870=""),"",IF(OR(ISNUMBER(SEARCH(_xlfn.CONCAT(CHAR(96),CHAR(34)),$D870)),ISNUMBER(SEARCH(_xlfn.CONCAT(CHAR(34),CHAR(39)),$D870))),_xlfn.CONCAT("* REVIEW REQUIRED: compound-quote delimiter in Item Number on Sheet 1 row ",870,"; edit the input before running."),_xlfn.CONCAT("char ",TRIM($B870),"[doc_itemnum] ",CHAR(96),CHAR(34),SUBSTITUTE(SUBSTITUTE(SUBSTITUTE(SUBSTITUTE(SUBSTITUTE(SUBSTITUTE($D870,CHAR(13)," "),CHAR(10)," "),CHAR(9)," "),CHAR(92),_xlfn.CONCAT(CHAR(92),CHAR(92))),"$",_xlfn.CONCAT(CHAR(92),"$")),CHAR(96),_xlfn.CONCAT(CHAR(92),CHAR(96))),CHAR(34),CHAR(39))))</f>
        <v/>
      </c>
      <c r="O870" s="5" t="str">
        <f>IF(OR(TRIM($B870)="",$E870=""),"",IF(OR(ISNUMBER(SEARCH(_xlfn.CONCAT(CHAR(96),CHAR(34)),$E870)),ISNUMBER(SEARCH(_xlfn.CONCAT(CHAR(34),CHAR(39)),$E870))),_xlfn.CONCAT("* REVIEW REQUIRED: compound-quote delimiter in Question Wording on Sheet 1 row ",870,"; edit the input before running."),_xlfn.CONCAT("char ",TRIM($B870),"[doc_question] ",CHAR(96),CHAR(34),SUBSTITUTE(SUBSTITUTE(SUBSTITUTE(SUBSTITUTE(SUBSTITUTE(SUBSTITUTE($E870,CHAR(13)," "),CHAR(10)," "),CHAR(9)," "),CHAR(92),_xlfn.CONCAT(CHAR(92),CHAR(92))),"$",_xlfn.CONCAT(CHAR(92),"$")),CHAR(96),_xlfn.CONCAT(CHAR(92),CHAR(96))),CHAR(34),CHAR(39))))</f>
        <v/>
      </c>
      <c r="P870" s="5" t="str">
        <f>IF(OR(TRIM($B870)="",$F870=""),"",IF(OR(ISNUMBER(SEARCH(_xlfn.CONCAT(CHAR(96),CHAR(34)),$F870)),ISNUMBER(SEARCH(_xlfn.CONCAT(CHAR(34),CHAR(39)),$F870))),_xlfn.CONCAT("* REVIEW REQUIRED: compound-quote delimiter in Units on Sheet 1 row ",870,"; edit the input before running."),_xlfn.CONCAT("char ",TRIM($B870),"[doc_units] ",CHAR(96),CHAR(34),SUBSTITUTE(SUBSTITUTE(SUBSTITUTE(SUBSTITUTE(SUBSTITUTE(SUBSTITUTE($F870,CHAR(13)," "),CHAR(10)," "),CHAR(9)," "),CHAR(92),_xlfn.CONCAT(CHAR(92),CHAR(92))),"$",_xlfn.CONCAT(CHAR(92),"$")),CHAR(96),_xlfn.CONCAT(CHAR(92),CHAR(96))),CHAR(34),CHAR(39))))</f>
        <v/>
      </c>
      <c r="Q870" s="5" t="str">
        <f>IF(OR(TRIM($B870)="",$G870=""),"",IF(OR(ISNUMBER(SEARCH(_xlfn.CONCAT(CHAR(96),CHAR(34)),$G870)),ISNUMBER(SEARCH(_xlfn.CONCAT(CHAR(34),CHAR(39)),$G870))),_xlfn.CONCAT("* REVIEW REQUIRED: compound-quote delimiter in Universe on Sheet 1 row ",870,"; edit the input before running."),_xlfn.CONCAT("char ",TRIM($B870),"[doc_universe] ",CHAR(96),CHAR(34),SUBSTITUTE(SUBSTITUTE(SUBSTITUTE(SUBSTITUTE(SUBSTITUTE(SUBSTITUTE($G870,CHAR(13)," "),CHAR(10)," "),CHAR(9)," "),CHAR(92),_xlfn.CONCAT(CHAR(92),CHAR(92))),"$",_xlfn.CONCAT(CHAR(92),"$")),CHAR(96),_xlfn.CONCAT(CHAR(92),CHAR(96))),CHAR(34),CHAR(39))))</f>
        <v/>
      </c>
      <c r="R870" s="5" t="str">
        <f>IF(OR(TRIM($B870)="",$H870=""),"",IF(OR(ISNUMBER(SEARCH(_xlfn.CONCAT(CHAR(96),CHAR(34)),$H870)),ISNUMBER(SEARCH(_xlfn.CONCAT(CHAR(34),CHAR(39)),$H870))),_xlfn.CONCAT("* REVIEW REQUIRED: compound-quote delimiter in Source on Sheet 1 row ",870,"; edit the input before running."),_xlfn.CONCAT("char ",TRIM($B870),"[doc_source] ",CHAR(96),CHAR(34),SUBSTITUTE(SUBSTITUTE(SUBSTITUTE(SUBSTITUTE(SUBSTITUTE(SUBSTITUTE($H870,CHAR(13)," "),CHAR(10)," "),CHAR(9)," "),CHAR(92),_xlfn.CONCAT(CHAR(92),CHAR(92))),"$",_xlfn.CONCAT(CHAR(92),"$")),CHAR(96),_xlfn.CONCAT(CHAR(92),CHAR(96))),CHAR(34),CHAR(39))))</f>
        <v/>
      </c>
      <c r="S870" s="5" t="str">
        <f>IF(OR(TRIM($B870)="",$I870=""),"",IF(OR(ISNUMBER(SEARCH(_xlfn.CONCAT(CHAR(96),CHAR(34)),$I870)),ISNUMBER(SEARCH(_xlfn.CONCAT(CHAR(34),CHAR(39)),$I870))),_xlfn.CONCAT("* REVIEW REQUIRED: compound-quote delimiter in Derivation on Sheet 1 row ",870,"; edit the input before running."),_xlfn.CONCAT("char ",TRIM($B870),"[doc_derivation] ",CHAR(96),CHAR(34),SUBSTITUTE(SUBSTITUTE(SUBSTITUTE(SUBSTITUTE(SUBSTITUTE(SUBSTITUTE($I870,CHAR(13)," "),CHAR(10)," "),CHAR(9)," "),CHAR(92),_xlfn.CONCAT(CHAR(92),CHAR(92))),"$",_xlfn.CONCAT(CHAR(92),"$")),CHAR(96),_xlfn.CONCAT(CHAR(92),CHAR(96))),CHAR(34),CHAR(39))))</f>
        <v/>
      </c>
      <c r="T870" s="5" t="str">
        <f>IF(OR(TRIM($B870)="",$J870=""),"",IF(OR(ISNUMBER(SEARCH(_xlfn.CONCAT(CHAR(96),CHAR(34)),$J870)),ISNUMBER(SEARCH(_xlfn.CONCAT(CHAR(34),CHAR(39)),$J870))),_xlfn.CONCAT("* REVIEW REQUIRED: compound-quote delimiter in Notes on Sheet 1 row ",870,"; edit the input before running."),_xlfn.CONCAT("char ",TRIM($B870),"[doc_notes] ",CHAR(96),CHAR(34),SUBSTITUTE(SUBSTITUTE(SUBSTITUTE(SUBSTITUTE(SUBSTITUTE(SUBSTITUTE($J870,CHAR(13)," "),CHAR(10)," "),CHAR(9)," "),CHAR(92),_xlfn.CONCAT(CHAR(92),CHAR(92))),"$",_xlfn.CONCAT(CHAR(92),"$")),CHAR(96),_xlfn.CONCAT(CHAR(92),CHAR(96))),CHAR(34),CHAR(39))))</f>
        <v/>
      </c>
      <c r="U870" s="5">
        <f t="shared" si="27"/>
        <v>0</v>
      </c>
    </row>
    <row r="871" spans="3:21" ht="30" customHeight="1" x14ac:dyDescent="0.2">
      <c r="C871" s="4"/>
      <c r="K871" s="5">
        <f t="shared" si="26"/>
        <v>0</v>
      </c>
      <c r="L871" s="5" t="str">
        <f>IF(OR(TRIM($B871)="",$A871=""),"",IF(OR(ISNUMBER(SEARCH(_xlfn.CONCAT(CHAR(96),CHAR(34)),$A871)),ISNUMBER(SEARCH(_xlfn.CONCAT(CHAR(34),CHAR(39)),$A871))),_xlfn.CONCAT("* REVIEW REQUIRED: compound-quote delimiter in Codebook Section on Sheet 1 row ",871,"; edit the input before running."),_xlfn.CONCAT("char ",TRIM($B871),"[doc_section] ",CHAR(96),CHAR(34),SUBSTITUTE(SUBSTITUTE(SUBSTITUTE(SUBSTITUTE(SUBSTITUTE(SUBSTITUTE($A871,CHAR(13)," "),CHAR(10)," "),CHAR(9)," "),CHAR(92),_xlfn.CONCAT(CHAR(92),CHAR(92))),"$",_xlfn.CONCAT(CHAR(92),"$")),CHAR(96),_xlfn.CONCAT(CHAR(92),CHAR(96))),CHAR(34),CHAR(39))))</f>
        <v/>
      </c>
      <c r="M871" s="5" t="str">
        <f>IF(OR(TRIM($B871)="",$C871=""),"",IF(IFERROR(MATCH(TRIM($C871),{"Quantitative","Continuous","Discrete","Categorical","Nominal","Ordinal","Identifier"},0),0)=0,_xlfn.CONCAT("* REVIEW REQUIRED: invalid Variable Type on Sheet 1 row ",871,"."),_xlfn.CONCAT("char ",TRIM($B871),"[doc_vartype] ",CHAR(96),CHAR(34),SUBSTITUTE(SUBSTITUTE(SUBSTITUTE(SUBSTITUTE(SUBSTITUTE(SUBSTITUTE(LOWER(TRIM($C871)),CHAR(13)," "),CHAR(10)," "),CHAR(9)," "),CHAR(92),_xlfn.CONCAT(CHAR(92),CHAR(92))),"$",_xlfn.CONCAT(CHAR(92),"$")),CHAR(96),_xlfn.CONCAT(CHAR(92),CHAR(96))),CHAR(34),CHAR(39))))</f>
        <v/>
      </c>
      <c r="N871" s="5" t="str">
        <f>IF(OR(TRIM($B871)="",$D871=""),"",IF(OR(ISNUMBER(SEARCH(_xlfn.CONCAT(CHAR(96),CHAR(34)),$D871)),ISNUMBER(SEARCH(_xlfn.CONCAT(CHAR(34),CHAR(39)),$D871))),_xlfn.CONCAT("* REVIEW REQUIRED: compound-quote delimiter in Item Number on Sheet 1 row ",871,"; edit the input before running."),_xlfn.CONCAT("char ",TRIM($B871),"[doc_itemnum] ",CHAR(96),CHAR(34),SUBSTITUTE(SUBSTITUTE(SUBSTITUTE(SUBSTITUTE(SUBSTITUTE(SUBSTITUTE($D871,CHAR(13)," "),CHAR(10)," "),CHAR(9)," "),CHAR(92),_xlfn.CONCAT(CHAR(92),CHAR(92))),"$",_xlfn.CONCAT(CHAR(92),"$")),CHAR(96),_xlfn.CONCAT(CHAR(92),CHAR(96))),CHAR(34),CHAR(39))))</f>
        <v/>
      </c>
      <c r="O871" s="5" t="str">
        <f>IF(OR(TRIM($B871)="",$E871=""),"",IF(OR(ISNUMBER(SEARCH(_xlfn.CONCAT(CHAR(96),CHAR(34)),$E871)),ISNUMBER(SEARCH(_xlfn.CONCAT(CHAR(34),CHAR(39)),$E871))),_xlfn.CONCAT("* REVIEW REQUIRED: compound-quote delimiter in Question Wording on Sheet 1 row ",871,"; edit the input before running."),_xlfn.CONCAT("char ",TRIM($B871),"[doc_question] ",CHAR(96),CHAR(34),SUBSTITUTE(SUBSTITUTE(SUBSTITUTE(SUBSTITUTE(SUBSTITUTE(SUBSTITUTE($E871,CHAR(13)," "),CHAR(10)," "),CHAR(9)," "),CHAR(92),_xlfn.CONCAT(CHAR(92),CHAR(92))),"$",_xlfn.CONCAT(CHAR(92),"$")),CHAR(96),_xlfn.CONCAT(CHAR(92),CHAR(96))),CHAR(34),CHAR(39))))</f>
        <v/>
      </c>
      <c r="P871" s="5" t="str">
        <f>IF(OR(TRIM($B871)="",$F871=""),"",IF(OR(ISNUMBER(SEARCH(_xlfn.CONCAT(CHAR(96),CHAR(34)),$F871)),ISNUMBER(SEARCH(_xlfn.CONCAT(CHAR(34),CHAR(39)),$F871))),_xlfn.CONCAT("* REVIEW REQUIRED: compound-quote delimiter in Units on Sheet 1 row ",871,"; edit the input before running."),_xlfn.CONCAT("char ",TRIM($B871),"[doc_units] ",CHAR(96),CHAR(34),SUBSTITUTE(SUBSTITUTE(SUBSTITUTE(SUBSTITUTE(SUBSTITUTE(SUBSTITUTE($F871,CHAR(13)," "),CHAR(10)," "),CHAR(9)," "),CHAR(92),_xlfn.CONCAT(CHAR(92),CHAR(92))),"$",_xlfn.CONCAT(CHAR(92),"$")),CHAR(96),_xlfn.CONCAT(CHAR(92),CHAR(96))),CHAR(34),CHAR(39))))</f>
        <v/>
      </c>
      <c r="Q871" s="5" t="str">
        <f>IF(OR(TRIM($B871)="",$G871=""),"",IF(OR(ISNUMBER(SEARCH(_xlfn.CONCAT(CHAR(96),CHAR(34)),$G871)),ISNUMBER(SEARCH(_xlfn.CONCAT(CHAR(34),CHAR(39)),$G871))),_xlfn.CONCAT("* REVIEW REQUIRED: compound-quote delimiter in Universe on Sheet 1 row ",871,"; edit the input before running."),_xlfn.CONCAT("char ",TRIM($B871),"[doc_universe] ",CHAR(96),CHAR(34),SUBSTITUTE(SUBSTITUTE(SUBSTITUTE(SUBSTITUTE(SUBSTITUTE(SUBSTITUTE($G871,CHAR(13)," "),CHAR(10)," "),CHAR(9)," "),CHAR(92),_xlfn.CONCAT(CHAR(92),CHAR(92))),"$",_xlfn.CONCAT(CHAR(92),"$")),CHAR(96),_xlfn.CONCAT(CHAR(92),CHAR(96))),CHAR(34),CHAR(39))))</f>
        <v/>
      </c>
      <c r="R871" s="5" t="str">
        <f>IF(OR(TRIM($B871)="",$H871=""),"",IF(OR(ISNUMBER(SEARCH(_xlfn.CONCAT(CHAR(96),CHAR(34)),$H871)),ISNUMBER(SEARCH(_xlfn.CONCAT(CHAR(34),CHAR(39)),$H871))),_xlfn.CONCAT("* REVIEW REQUIRED: compound-quote delimiter in Source on Sheet 1 row ",871,"; edit the input before running."),_xlfn.CONCAT("char ",TRIM($B871),"[doc_source] ",CHAR(96),CHAR(34),SUBSTITUTE(SUBSTITUTE(SUBSTITUTE(SUBSTITUTE(SUBSTITUTE(SUBSTITUTE($H871,CHAR(13)," "),CHAR(10)," "),CHAR(9)," "),CHAR(92),_xlfn.CONCAT(CHAR(92),CHAR(92))),"$",_xlfn.CONCAT(CHAR(92),"$")),CHAR(96),_xlfn.CONCAT(CHAR(92),CHAR(96))),CHAR(34),CHAR(39))))</f>
        <v/>
      </c>
      <c r="S871" s="5" t="str">
        <f>IF(OR(TRIM($B871)="",$I871=""),"",IF(OR(ISNUMBER(SEARCH(_xlfn.CONCAT(CHAR(96),CHAR(34)),$I871)),ISNUMBER(SEARCH(_xlfn.CONCAT(CHAR(34),CHAR(39)),$I871))),_xlfn.CONCAT("* REVIEW REQUIRED: compound-quote delimiter in Derivation on Sheet 1 row ",871,"; edit the input before running."),_xlfn.CONCAT("char ",TRIM($B871),"[doc_derivation] ",CHAR(96),CHAR(34),SUBSTITUTE(SUBSTITUTE(SUBSTITUTE(SUBSTITUTE(SUBSTITUTE(SUBSTITUTE($I871,CHAR(13)," "),CHAR(10)," "),CHAR(9)," "),CHAR(92),_xlfn.CONCAT(CHAR(92),CHAR(92))),"$",_xlfn.CONCAT(CHAR(92),"$")),CHAR(96),_xlfn.CONCAT(CHAR(92),CHAR(96))),CHAR(34),CHAR(39))))</f>
        <v/>
      </c>
      <c r="T871" s="5" t="str">
        <f>IF(OR(TRIM($B871)="",$J871=""),"",IF(OR(ISNUMBER(SEARCH(_xlfn.CONCAT(CHAR(96),CHAR(34)),$J871)),ISNUMBER(SEARCH(_xlfn.CONCAT(CHAR(34),CHAR(39)),$J871))),_xlfn.CONCAT("* REVIEW REQUIRED: compound-quote delimiter in Notes on Sheet 1 row ",871,"; edit the input before running."),_xlfn.CONCAT("char ",TRIM($B871),"[doc_notes] ",CHAR(96),CHAR(34),SUBSTITUTE(SUBSTITUTE(SUBSTITUTE(SUBSTITUTE(SUBSTITUTE(SUBSTITUTE($J871,CHAR(13)," "),CHAR(10)," "),CHAR(9)," "),CHAR(92),_xlfn.CONCAT(CHAR(92),CHAR(92))),"$",_xlfn.CONCAT(CHAR(92),"$")),CHAR(96),_xlfn.CONCAT(CHAR(92),CHAR(96))),CHAR(34),CHAR(39))))</f>
        <v/>
      </c>
      <c r="U871" s="5">
        <f t="shared" si="27"/>
        <v>0</v>
      </c>
    </row>
    <row r="872" spans="3:21" ht="30" customHeight="1" x14ac:dyDescent="0.2">
      <c r="C872" s="4"/>
      <c r="K872" s="5">
        <f t="shared" si="26"/>
        <v>0</v>
      </c>
      <c r="L872" s="5" t="str">
        <f>IF(OR(TRIM($B872)="",$A872=""),"",IF(OR(ISNUMBER(SEARCH(_xlfn.CONCAT(CHAR(96),CHAR(34)),$A872)),ISNUMBER(SEARCH(_xlfn.CONCAT(CHAR(34),CHAR(39)),$A872))),_xlfn.CONCAT("* REVIEW REQUIRED: compound-quote delimiter in Codebook Section on Sheet 1 row ",872,"; edit the input before running."),_xlfn.CONCAT("char ",TRIM($B872),"[doc_section] ",CHAR(96),CHAR(34),SUBSTITUTE(SUBSTITUTE(SUBSTITUTE(SUBSTITUTE(SUBSTITUTE(SUBSTITUTE($A872,CHAR(13)," "),CHAR(10)," "),CHAR(9)," "),CHAR(92),_xlfn.CONCAT(CHAR(92),CHAR(92))),"$",_xlfn.CONCAT(CHAR(92),"$")),CHAR(96),_xlfn.CONCAT(CHAR(92),CHAR(96))),CHAR(34),CHAR(39))))</f>
        <v/>
      </c>
      <c r="M872" s="5" t="str">
        <f>IF(OR(TRIM($B872)="",$C872=""),"",IF(IFERROR(MATCH(TRIM($C872),{"Quantitative","Continuous","Discrete","Categorical","Nominal","Ordinal","Identifier"},0),0)=0,_xlfn.CONCAT("* REVIEW REQUIRED: invalid Variable Type on Sheet 1 row ",872,"."),_xlfn.CONCAT("char ",TRIM($B872),"[doc_vartype] ",CHAR(96),CHAR(34),SUBSTITUTE(SUBSTITUTE(SUBSTITUTE(SUBSTITUTE(SUBSTITUTE(SUBSTITUTE(LOWER(TRIM($C872)),CHAR(13)," "),CHAR(10)," "),CHAR(9)," "),CHAR(92),_xlfn.CONCAT(CHAR(92),CHAR(92))),"$",_xlfn.CONCAT(CHAR(92),"$")),CHAR(96),_xlfn.CONCAT(CHAR(92),CHAR(96))),CHAR(34),CHAR(39))))</f>
        <v/>
      </c>
      <c r="N872" s="5" t="str">
        <f>IF(OR(TRIM($B872)="",$D872=""),"",IF(OR(ISNUMBER(SEARCH(_xlfn.CONCAT(CHAR(96),CHAR(34)),$D872)),ISNUMBER(SEARCH(_xlfn.CONCAT(CHAR(34),CHAR(39)),$D872))),_xlfn.CONCAT("* REVIEW REQUIRED: compound-quote delimiter in Item Number on Sheet 1 row ",872,"; edit the input before running."),_xlfn.CONCAT("char ",TRIM($B872),"[doc_itemnum] ",CHAR(96),CHAR(34),SUBSTITUTE(SUBSTITUTE(SUBSTITUTE(SUBSTITUTE(SUBSTITUTE(SUBSTITUTE($D872,CHAR(13)," "),CHAR(10)," "),CHAR(9)," "),CHAR(92),_xlfn.CONCAT(CHAR(92),CHAR(92))),"$",_xlfn.CONCAT(CHAR(92),"$")),CHAR(96),_xlfn.CONCAT(CHAR(92),CHAR(96))),CHAR(34),CHAR(39))))</f>
        <v/>
      </c>
      <c r="O872" s="5" t="str">
        <f>IF(OR(TRIM($B872)="",$E872=""),"",IF(OR(ISNUMBER(SEARCH(_xlfn.CONCAT(CHAR(96),CHAR(34)),$E872)),ISNUMBER(SEARCH(_xlfn.CONCAT(CHAR(34),CHAR(39)),$E872))),_xlfn.CONCAT("* REVIEW REQUIRED: compound-quote delimiter in Question Wording on Sheet 1 row ",872,"; edit the input before running."),_xlfn.CONCAT("char ",TRIM($B872),"[doc_question] ",CHAR(96),CHAR(34),SUBSTITUTE(SUBSTITUTE(SUBSTITUTE(SUBSTITUTE(SUBSTITUTE(SUBSTITUTE($E872,CHAR(13)," "),CHAR(10)," "),CHAR(9)," "),CHAR(92),_xlfn.CONCAT(CHAR(92),CHAR(92))),"$",_xlfn.CONCAT(CHAR(92),"$")),CHAR(96),_xlfn.CONCAT(CHAR(92),CHAR(96))),CHAR(34),CHAR(39))))</f>
        <v/>
      </c>
      <c r="P872" s="5" t="str">
        <f>IF(OR(TRIM($B872)="",$F872=""),"",IF(OR(ISNUMBER(SEARCH(_xlfn.CONCAT(CHAR(96),CHAR(34)),$F872)),ISNUMBER(SEARCH(_xlfn.CONCAT(CHAR(34),CHAR(39)),$F872))),_xlfn.CONCAT("* REVIEW REQUIRED: compound-quote delimiter in Units on Sheet 1 row ",872,"; edit the input before running."),_xlfn.CONCAT("char ",TRIM($B872),"[doc_units] ",CHAR(96),CHAR(34),SUBSTITUTE(SUBSTITUTE(SUBSTITUTE(SUBSTITUTE(SUBSTITUTE(SUBSTITUTE($F872,CHAR(13)," "),CHAR(10)," "),CHAR(9)," "),CHAR(92),_xlfn.CONCAT(CHAR(92),CHAR(92))),"$",_xlfn.CONCAT(CHAR(92),"$")),CHAR(96),_xlfn.CONCAT(CHAR(92),CHAR(96))),CHAR(34),CHAR(39))))</f>
        <v/>
      </c>
      <c r="Q872" s="5" t="str">
        <f>IF(OR(TRIM($B872)="",$G872=""),"",IF(OR(ISNUMBER(SEARCH(_xlfn.CONCAT(CHAR(96),CHAR(34)),$G872)),ISNUMBER(SEARCH(_xlfn.CONCAT(CHAR(34),CHAR(39)),$G872))),_xlfn.CONCAT("* REVIEW REQUIRED: compound-quote delimiter in Universe on Sheet 1 row ",872,"; edit the input before running."),_xlfn.CONCAT("char ",TRIM($B872),"[doc_universe] ",CHAR(96),CHAR(34),SUBSTITUTE(SUBSTITUTE(SUBSTITUTE(SUBSTITUTE(SUBSTITUTE(SUBSTITUTE($G872,CHAR(13)," "),CHAR(10)," "),CHAR(9)," "),CHAR(92),_xlfn.CONCAT(CHAR(92),CHAR(92))),"$",_xlfn.CONCAT(CHAR(92),"$")),CHAR(96),_xlfn.CONCAT(CHAR(92),CHAR(96))),CHAR(34),CHAR(39))))</f>
        <v/>
      </c>
      <c r="R872" s="5" t="str">
        <f>IF(OR(TRIM($B872)="",$H872=""),"",IF(OR(ISNUMBER(SEARCH(_xlfn.CONCAT(CHAR(96),CHAR(34)),$H872)),ISNUMBER(SEARCH(_xlfn.CONCAT(CHAR(34),CHAR(39)),$H872))),_xlfn.CONCAT("* REVIEW REQUIRED: compound-quote delimiter in Source on Sheet 1 row ",872,"; edit the input before running."),_xlfn.CONCAT("char ",TRIM($B872),"[doc_source] ",CHAR(96),CHAR(34),SUBSTITUTE(SUBSTITUTE(SUBSTITUTE(SUBSTITUTE(SUBSTITUTE(SUBSTITUTE($H872,CHAR(13)," "),CHAR(10)," "),CHAR(9)," "),CHAR(92),_xlfn.CONCAT(CHAR(92),CHAR(92))),"$",_xlfn.CONCAT(CHAR(92),"$")),CHAR(96),_xlfn.CONCAT(CHAR(92),CHAR(96))),CHAR(34),CHAR(39))))</f>
        <v/>
      </c>
      <c r="S872" s="5" t="str">
        <f>IF(OR(TRIM($B872)="",$I872=""),"",IF(OR(ISNUMBER(SEARCH(_xlfn.CONCAT(CHAR(96),CHAR(34)),$I872)),ISNUMBER(SEARCH(_xlfn.CONCAT(CHAR(34),CHAR(39)),$I872))),_xlfn.CONCAT("* REVIEW REQUIRED: compound-quote delimiter in Derivation on Sheet 1 row ",872,"; edit the input before running."),_xlfn.CONCAT("char ",TRIM($B872),"[doc_derivation] ",CHAR(96),CHAR(34),SUBSTITUTE(SUBSTITUTE(SUBSTITUTE(SUBSTITUTE(SUBSTITUTE(SUBSTITUTE($I872,CHAR(13)," "),CHAR(10)," "),CHAR(9)," "),CHAR(92),_xlfn.CONCAT(CHAR(92),CHAR(92))),"$",_xlfn.CONCAT(CHAR(92),"$")),CHAR(96),_xlfn.CONCAT(CHAR(92),CHAR(96))),CHAR(34),CHAR(39))))</f>
        <v/>
      </c>
      <c r="T872" s="5" t="str">
        <f>IF(OR(TRIM($B872)="",$J872=""),"",IF(OR(ISNUMBER(SEARCH(_xlfn.CONCAT(CHAR(96),CHAR(34)),$J872)),ISNUMBER(SEARCH(_xlfn.CONCAT(CHAR(34),CHAR(39)),$J872))),_xlfn.CONCAT("* REVIEW REQUIRED: compound-quote delimiter in Notes on Sheet 1 row ",872,"; edit the input before running."),_xlfn.CONCAT("char ",TRIM($B872),"[doc_notes] ",CHAR(96),CHAR(34),SUBSTITUTE(SUBSTITUTE(SUBSTITUTE(SUBSTITUTE(SUBSTITUTE(SUBSTITUTE($J872,CHAR(13)," "),CHAR(10)," "),CHAR(9)," "),CHAR(92),_xlfn.CONCAT(CHAR(92),CHAR(92))),"$",_xlfn.CONCAT(CHAR(92),"$")),CHAR(96),_xlfn.CONCAT(CHAR(92),CHAR(96))),CHAR(34),CHAR(39))))</f>
        <v/>
      </c>
      <c r="U872" s="5">
        <f t="shared" si="27"/>
        <v>0</v>
      </c>
    </row>
    <row r="873" spans="3:21" ht="30" customHeight="1" x14ac:dyDescent="0.2">
      <c r="C873" s="4"/>
      <c r="K873" s="5">
        <f t="shared" si="26"/>
        <v>0</v>
      </c>
      <c r="L873" s="5" t="str">
        <f>IF(OR(TRIM($B873)="",$A873=""),"",IF(OR(ISNUMBER(SEARCH(_xlfn.CONCAT(CHAR(96),CHAR(34)),$A873)),ISNUMBER(SEARCH(_xlfn.CONCAT(CHAR(34),CHAR(39)),$A873))),_xlfn.CONCAT("* REVIEW REQUIRED: compound-quote delimiter in Codebook Section on Sheet 1 row ",873,"; edit the input before running."),_xlfn.CONCAT("char ",TRIM($B873),"[doc_section] ",CHAR(96),CHAR(34),SUBSTITUTE(SUBSTITUTE(SUBSTITUTE(SUBSTITUTE(SUBSTITUTE(SUBSTITUTE($A873,CHAR(13)," "),CHAR(10)," "),CHAR(9)," "),CHAR(92),_xlfn.CONCAT(CHAR(92),CHAR(92))),"$",_xlfn.CONCAT(CHAR(92),"$")),CHAR(96),_xlfn.CONCAT(CHAR(92),CHAR(96))),CHAR(34),CHAR(39))))</f>
        <v/>
      </c>
      <c r="M873" s="5" t="str">
        <f>IF(OR(TRIM($B873)="",$C873=""),"",IF(IFERROR(MATCH(TRIM($C873),{"Quantitative","Continuous","Discrete","Categorical","Nominal","Ordinal","Identifier"},0),0)=0,_xlfn.CONCAT("* REVIEW REQUIRED: invalid Variable Type on Sheet 1 row ",873,"."),_xlfn.CONCAT("char ",TRIM($B873),"[doc_vartype] ",CHAR(96),CHAR(34),SUBSTITUTE(SUBSTITUTE(SUBSTITUTE(SUBSTITUTE(SUBSTITUTE(SUBSTITUTE(LOWER(TRIM($C873)),CHAR(13)," "),CHAR(10)," "),CHAR(9)," "),CHAR(92),_xlfn.CONCAT(CHAR(92),CHAR(92))),"$",_xlfn.CONCAT(CHAR(92),"$")),CHAR(96),_xlfn.CONCAT(CHAR(92),CHAR(96))),CHAR(34),CHAR(39))))</f>
        <v/>
      </c>
      <c r="N873" s="5" t="str">
        <f>IF(OR(TRIM($B873)="",$D873=""),"",IF(OR(ISNUMBER(SEARCH(_xlfn.CONCAT(CHAR(96),CHAR(34)),$D873)),ISNUMBER(SEARCH(_xlfn.CONCAT(CHAR(34),CHAR(39)),$D873))),_xlfn.CONCAT("* REVIEW REQUIRED: compound-quote delimiter in Item Number on Sheet 1 row ",873,"; edit the input before running."),_xlfn.CONCAT("char ",TRIM($B873),"[doc_itemnum] ",CHAR(96),CHAR(34),SUBSTITUTE(SUBSTITUTE(SUBSTITUTE(SUBSTITUTE(SUBSTITUTE(SUBSTITUTE($D873,CHAR(13)," "),CHAR(10)," "),CHAR(9)," "),CHAR(92),_xlfn.CONCAT(CHAR(92),CHAR(92))),"$",_xlfn.CONCAT(CHAR(92),"$")),CHAR(96),_xlfn.CONCAT(CHAR(92),CHAR(96))),CHAR(34),CHAR(39))))</f>
        <v/>
      </c>
      <c r="O873" s="5" t="str">
        <f>IF(OR(TRIM($B873)="",$E873=""),"",IF(OR(ISNUMBER(SEARCH(_xlfn.CONCAT(CHAR(96),CHAR(34)),$E873)),ISNUMBER(SEARCH(_xlfn.CONCAT(CHAR(34),CHAR(39)),$E873))),_xlfn.CONCAT("* REVIEW REQUIRED: compound-quote delimiter in Question Wording on Sheet 1 row ",873,"; edit the input before running."),_xlfn.CONCAT("char ",TRIM($B873),"[doc_question] ",CHAR(96),CHAR(34),SUBSTITUTE(SUBSTITUTE(SUBSTITUTE(SUBSTITUTE(SUBSTITUTE(SUBSTITUTE($E873,CHAR(13)," "),CHAR(10)," "),CHAR(9)," "),CHAR(92),_xlfn.CONCAT(CHAR(92),CHAR(92))),"$",_xlfn.CONCAT(CHAR(92),"$")),CHAR(96),_xlfn.CONCAT(CHAR(92),CHAR(96))),CHAR(34),CHAR(39))))</f>
        <v/>
      </c>
      <c r="P873" s="5" t="str">
        <f>IF(OR(TRIM($B873)="",$F873=""),"",IF(OR(ISNUMBER(SEARCH(_xlfn.CONCAT(CHAR(96),CHAR(34)),$F873)),ISNUMBER(SEARCH(_xlfn.CONCAT(CHAR(34),CHAR(39)),$F873))),_xlfn.CONCAT("* REVIEW REQUIRED: compound-quote delimiter in Units on Sheet 1 row ",873,"; edit the input before running."),_xlfn.CONCAT("char ",TRIM($B873),"[doc_units] ",CHAR(96),CHAR(34),SUBSTITUTE(SUBSTITUTE(SUBSTITUTE(SUBSTITUTE(SUBSTITUTE(SUBSTITUTE($F873,CHAR(13)," "),CHAR(10)," "),CHAR(9)," "),CHAR(92),_xlfn.CONCAT(CHAR(92),CHAR(92))),"$",_xlfn.CONCAT(CHAR(92),"$")),CHAR(96),_xlfn.CONCAT(CHAR(92),CHAR(96))),CHAR(34),CHAR(39))))</f>
        <v/>
      </c>
      <c r="Q873" s="5" t="str">
        <f>IF(OR(TRIM($B873)="",$G873=""),"",IF(OR(ISNUMBER(SEARCH(_xlfn.CONCAT(CHAR(96),CHAR(34)),$G873)),ISNUMBER(SEARCH(_xlfn.CONCAT(CHAR(34),CHAR(39)),$G873))),_xlfn.CONCAT("* REVIEW REQUIRED: compound-quote delimiter in Universe on Sheet 1 row ",873,"; edit the input before running."),_xlfn.CONCAT("char ",TRIM($B873),"[doc_universe] ",CHAR(96),CHAR(34),SUBSTITUTE(SUBSTITUTE(SUBSTITUTE(SUBSTITUTE(SUBSTITUTE(SUBSTITUTE($G873,CHAR(13)," "),CHAR(10)," "),CHAR(9)," "),CHAR(92),_xlfn.CONCAT(CHAR(92),CHAR(92))),"$",_xlfn.CONCAT(CHAR(92),"$")),CHAR(96),_xlfn.CONCAT(CHAR(92),CHAR(96))),CHAR(34),CHAR(39))))</f>
        <v/>
      </c>
      <c r="R873" s="5" t="str">
        <f>IF(OR(TRIM($B873)="",$H873=""),"",IF(OR(ISNUMBER(SEARCH(_xlfn.CONCAT(CHAR(96),CHAR(34)),$H873)),ISNUMBER(SEARCH(_xlfn.CONCAT(CHAR(34),CHAR(39)),$H873))),_xlfn.CONCAT("* REVIEW REQUIRED: compound-quote delimiter in Source on Sheet 1 row ",873,"; edit the input before running."),_xlfn.CONCAT("char ",TRIM($B873),"[doc_source] ",CHAR(96),CHAR(34),SUBSTITUTE(SUBSTITUTE(SUBSTITUTE(SUBSTITUTE(SUBSTITUTE(SUBSTITUTE($H873,CHAR(13)," "),CHAR(10)," "),CHAR(9)," "),CHAR(92),_xlfn.CONCAT(CHAR(92),CHAR(92))),"$",_xlfn.CONCAT(CHAR(92),"$")),CHAR(96),_xlfn.CONCAT(CHAR(92),CHAR(96))),CHAR(34),CHAR(39))))</f>
        <v/>
      </c>
      <c r="S873" s="5" t="str">
        <f>IF(OR(TRIM($B873)="",$I873=""),"",IF(OR(ISNUMBER(SEARCH(_xlfn.CONCAT(CHAR(96),CHAR(34)),$I873)),ISNUMBER(SEARCH(_xlfn.CONCAT(CHAR(34),CHAR(39)),$I873))),_xlfn.CONCAT("* REVIEW REQUIRED: compound-quote delimiter in Derivation on Sheet 1 row ",873,"; edit the input before running."),_xlfn.CONCAT("char ",TRIM($B873),"[doc_derivation] ",CHAR(96),CHAR(34),SUBSTITUTE(SUBSTITUTE(SUBSTITUTE(SUBSTITUTE(SUBSTITUTE(SUBSTITUTE($I873,CHAR(13)," "),CHAR(10)," "),CHAR(9)," "),CHAR(92),_xlfn.CONCAT(CHAR(92),CHAR(92))),"$",_xlfn.CONCAT(CHAR(92),"$")),CHAR(96),_xlfn.CONCAT(CHAR(92),CHAR(96))),CHAR(34),CHAR(39))))</f>
        <v/>
      </c>
      <c r="T873" s="5" t="str">
        <f>IF(OR(TRIM($B873)="",$J873=""),"",IF(OR(ISNUMBER(SEARCH(_xlfn.CONCAT(CHAR(96),CHAR(34)),$J873)),ISNUMBER(SEARCH(_xlfn.CONCAT(CHAR(34),CHAR(39)),$J873))),_xlfn.CONCAT("* REVIEW REQUIRED: compound-quote delimiter in Notes on Sheet 1 row ",873,"; edit the input before running."),_xlfn.CONCAT("char ",TRIM($B873),"[doc_notes] ",CHAR(96),CHAR(34),SUBSTITUTE(SUBSTITUTE(SUBSTITUTE(SUBSTITUTE(SUBSTITUTE(SUBSTITUTE($J873,CHAR(13)," "),CHAR(10)," "),CHAR(9)," "),CHAR(92),_xlfn.CONCAT(CHAR(92),CHAR(92))),"$",_xlfn.CONCAT(CHAR(92),"$")),CHAR(96),_xlfn.CONCAT(CHAR(92),CHAR(96))),CHAR(34),CHAR(39))))</f>
        <v/>
      </c>
      <c r="U873" s="5">
        <f t="shared" si="27"/>
        <v>0</v>
      </c>
    </row>
    <row r="874" spans="3:21" ht="30" customHeight="1" x14ac:dyDescent="0.2">
      <c r="C874" s="4"/>
      <c r="K874" s="5">
        <f t="shared" si="26"/>
        <v>0</v>
      </c>
      <c r="L874" s="5" t="str">
        <f>IF(OR(TRIM($B874)="",$A874=""),"",IF(OR(ISNUMBER(SEARCH(_xlfn.CONCAT(CHAR(96),CHAR(34)),$A874)),ISNUMBER(SEARCH(_xlfn.CONCAT(CHAR(34),CHAR(39)),$A874))),_xlfn.CONCAT("* REVIEW REQUIRED: compound-quote delimiter in Codebook Section on Sheet 1 row ",874,"; edit the input before running."),_xlfn.CONCAT("char ",TRIM($B874),"[doc_section] ",CHAR(96),CHAR(34),SUBSTITUTE(SUBSTITUTE(SUBSTITUTE(SUBSTITUTE(SUBSTITUTE(SUBSTITUTE($A874,CHAR(13)," "),CHAR(10)," "),CHAR(9)," "),CHAR(92),_xlfn.CONCAT(CHAR(92),CHAR(92))),"$",_xlfn.CONCAT(CHAR(92),"$")),CHAR(96),_xlfn.CONCAT(CHAR(92),CHAR(96))),CHAR(34),CHAR(39))))</f>
        <v/>
      </c>
      <c r="M874" s="5" t="str">
        <f>IF(OR(TRIM($B874)="",$C874=""),"",IF(IFERROR(MATCH(TRIM($C874),{"Quantitative","Continuous","Discrete","Categorical","Nominal","Ordinal","Identifier"},0),0)=0,_xlfn.CONCAT("* REVIEW REQUIRED: invalid Variable Type on Sheet 1 row ",874,"."),_xlfn.CONCAT("char ",TRIM($B874),"[doc_vartype] ",CHAR(96),CHAR(34),SUBSTITUTE(SUBSTITUTE(SUBSTITUTE(SUBSTITUTE(SUBSTITUTE(SUBSTITUTE(LOWER(TRIM($C874)),CHAR(13)," "),CHAR(10)," "),CHAR(9)," "),CHAR(92),_xlfn.CONCAT(CHAR(92),CHAR(92))),"$",_xlfn.CONCAT(CHAR(92),"$")),CHAR(96),_xlfn.CONCAT(CHAR(92),CHAR(96))),CHAR(34),CHAR(39))))</f>
        <v/>
      </c>
      <c r="N874" s="5" t="str">
        <f>IF(OR(TRIM($B874)="",$D874=""),"",IF(OR(ISNUMBER(SEARCH(_xlfn.CONCAT(CHAR(96),CHAR(34)),$D874)),ISNUMBER(SEARCH(_xlfn.CONCAT(CHAR(34),CHAR(39)),$D874))),_xlfn.CONCAT("* REVIEW REQUIRED: compound-quote delimiter in Item Number on Sheet 1 row ",874,"; edit the input before running."),_xlfn.CONCAT("char ",TRIM($B874),"[doc_itemnum] ",CHAR(96),CHAR(34),SUBSTITUTE(SUBSTITUTE(SUBSTITUTE(SUBSTITUTE(SUBSTITUTE(SUBSTITUTE($D874,CHAR(13)," "),CHAR(10)," "),CHAR(9)," "),CHAR(92),_xlfn.CONCAT(CHAR(92),CHAR(92))),"$",_xlfn.CONCAT(CHAR(92),"$")),CHAR(96),_xlfn.CONCAT(CHAR(92),CHAR(96))),CHAR(34),CHAR(39))))</f>
        <v/>
      </c>
      <c r="O874" s="5" t="str">
        <f>IF(OR(TRIM($B874)="",$E874=""),"",IF(OR(ISNUMBER(SEARCH(_xlfn.CONCAT(CHAR(96),CHAR(34)),$E874)),ISNUMBER(SEARCH(_xlfn.CONCAT(CHAR(34),CHAR(39)),$E874))),_xlfn.CONCAT("* REVIEW REQUIRED: compound-quote delimiter in Question Wording on Sheet 1 row ",874,"; edit the input before running."),_xlfn.CONCAT("char ",TRIM($B874),"[doc_question] ",CHAR(96),CHAR(34),SUBSTITUTE(SUBSTITUTE(SUBSTITUTE(SUBSTITUTE(SUBSTITUTE(SUBSTITUTE($E874,CHAR(13)," "),CHAR(10)," "),CHAR(9)," "),CHAR(92),_xlfn.CONCAT(CHAR(92),CHAR(92))),"$",_xlfn.CONCAT(CHAR(92),"$")),CHAR(96),_xlfn.CONCAT(CHAR(92),CHAR(96))),CHAR(34),CHAR(39))))</f>
        <v/>
      </c>
      <c r="P874" s="5" t="str">
        <f>IF(OR(TRIM($B874)="",$F874=""),"",IF(OR(ISNUMBER(SEARCH(_xlfn.CONCAT(CHAR(96),CHAR(34)),$F874)),ISNUMBER(SEARCH(_xlfn.CONCAT(CHAR(34),CHAR(39)),$F874))),_xlfn.CONCAT("* REVIEW REQUIRED: compound-quote delimiter in Units on Sheet 1 row ",874,"; edit the input before running."),_xlfn.CONCAT("char ",TRIM($B874),"[doc_units] ",CHAR(96),CHAR(34),SUBSTITUTE(SUBSTITUTE(SUBSTITUTE(SUBSTITUTE(SUBSTITUTE(SUBSTITUTE($F874,CHAR(13)," "),CHAR(10)," "),CHAR(9)," "),CHAR(92),_xlfn.CONCAT(CHAR(92),CHAR(92))),"$",_xlfn.CONCAT(CHAR(92),"$")),CHAR(96),_xlfn.CONCAT(CHAR(92),CHAR(96))),CHAR(34),CHAR(39))))</f>
        <v/>
      </c>
      <c r="Q874" s="5" t="str">
        <f>IF(OR(TRIM($B874)="",$G874=""),"",IF(OR(ISNUMBER(SEARCH(_xlfn.CONCAT(CHAR(96),CHAR(34)),$G874)),ISNUMBER(SEARCH(_xlfn.CONCAT(CHAR(34),CHAR(39)),$G874))),_xlfn.CONCAT("* REVIEW REQUIRED: compound-quote delimiter in Universe on Sheet 1 row ",874,"; edit the input before running."),_xlfn.CONCAT("char ",TRIM($B874),"[doc_universe] ",CHAR(96),CHAR(34),SUBSTITUTE(SUBSTITUTE(SUBSTITUTE(SUBSTITUTE(SUBSTITUTE(SUBSTITUTE($G874,CHAR(13)," "),CHAR(10)," "),CHAR(9)," "),CHAR(92),_xlfn.CONCAT(CHAR(92),CHAR(92))),"$",_xlfn.CONCAT(CHAR(92),"$")),CHAR(96),_xlfn.CONCAT(CHAR(92),CHAR(96))),CHAR(34),CHAR(39))))</f>
        <v/>
      </c>
      <c r="R874" s="5" t="str">
        <f>IF(OR(TRIM($B874)="",$H874=""),"",IF(OR(ISNUMBER(SEARCH(_xlfn.CONCAT(CHAR(96),CHAR(34)),$H874)),ISNUMBER(SEARCH(_xlfn.CONCAT(CHAR(34),CHAR(39)),$H874))),_xlfn.CONCAT("* REVIEW REQUIRED: compound-quote delimiter in Source on Sheet 1 row ",874,"; edit the input before running."),_xlfn.CONCAT("char ",TRIM($B874),"[doc_source] ",CHAR(96),CHAR(34),SUBSTITUTE(SUBSTITUTE(SUBSTITUTE(SUBSTITUTE(SUBSTITUTE(SUBSTITUTE($H874,CHAR(13)," "),CHAR(10)," "),CHAR(9)," "),CHAR(92),_xlfn.CONCAT(CHAR(92),CHAR(92))),"$",_xlfn.CONCAT(CHAR(92),"$")),CHAR(96),_xlfn.CONCAT(CHAR(92),CHAR(96))),CHAR(34),CHAR(39))))</f>
        <v/>
      </c>
      <c r="S874" s="5" t="str">
        <f>IF(OR(TRIM($B874)="",$I874=""),"",IF(OR(ISNUMBER(SEARCH(_xlfn.CONCAT(CHAR(96),CHAR(34)),$I874)),ISNUMBER(SEARCH(_xlfn.CONCAT(CHAR(34),CHAR(39)),$I874))),_xlfn.CONCAT("* REVIEW REQUIRED: compound-quote delimiter in Derivation on Sheet 1 row ",874,"; edit the input before running."),_xlfn.CONCAT("char ",TRIM($B874),"[doc_derivation] ",CHAR(96),CHAR(34),SUBSTITUTE(SUBSTITUTE(SUBSTITUTE(SUBSTITUTE(SUBSTITUTE(SUBSTITUTE($I874,CHAR(13)," "),CHAR(10)," "),CHAR(9)," "),CHAR(92),_xlfn.CONCAT(CHAR(92),CHAR(92))),"$",_xlfn.CONCAT(CHAR(92),"$")),CHAR(96),_xlfn.CONCAT(CHAR(92),CHAR(96))),CHAR(34),CHAR(39))))</f>
        <v/>
      </c>
      <c r="T874" s="5" t="str">
        <f>IF(OR(TRIM($B874)="",$J874=""),"",IF(OR(ISNUMBER(SEARCH(_xlfn.CONCAT(CHAR(96),CHAR(34)),$J874)),ISNUMBER(SEARCH(_xlfn.CONCAT(CHAR(34),CHAR(39)),$J874))),_xlfn.CONCAT("* REVIEW REQUIRED: compound-quote delimiter in Notes on Sheet 1 row ",874,"; edit the input before running."),_xlfn.CONCAT("char ",TRIM($B874),"[doc_notes] ",CHAR(96),CHAR(34),SUBSTITUTE(SUBSTITUTE(SUBSTITUTE(SUBSTITUTE(SUBSTITUTE(SUBSTITUTE($J874,CHAR(13)," "),CHAR(10)," "),CHAR(9)," "),CHAR(92),_xlfn.CONCAT(CHAR(92),CHAR(92))),"$",_xlfn.CONCAT(CHAR(92),"$")),CHAR(96),_xlfn.CONCAT(CHAR(92),CHAR(96))),CHAR(34),CHAR(39))))</f>
        <v/>
      </c>
      <c r="U874" s="5">
        <f t="shared" si="27"/>
        <v>0</v>
      </c>
    </row>
    <row r="875" spans="3:21" ht="30" customHeight="1" x14ac:dyDescent="0.2">
      <c r="C875" s="4"/>
      <c r="K875" s="5">
        <f t="shared" si="26"/>
        <v>0</v>
      </c>
      <c r="L875" s="5" t="str">
        <f>IF(OR(TRIM($B875)="",$A875=""),"",IF(OR(ISNUMBER(SEARCH(_xlfn.CONCAT(CHAR(96),CHAR(34)),$A875)),ISNUMBER(SEARCH(_xlfn.CONCAT(CHAR(34),CHAR(39)),$A875))),_xlfn.CONCAT("* REVIEW REQUIRED: compound-quote delimiter in Codebook Section on Sheet 1 row ",875,"; edit the input before running."),_xlfn.CONCAT("char ",TRIM($B875),"[doc_section] ",CHAR(96),CHAR(34),SUBSTITUTE(SUBSTITUTE(SUBSTITUTE(SUBSTITUTE(SUBSTITUTE(SUBSTITUTE($A875,CHAR(13)," "),CHAR(10)," "),CHAR(9)," "),CHAR(92),_xlfn.CONCAT(CHAR(92),CHAR(92))),"$",_xlfn.CONCAT(CHAR(92),"$")),CHAR(96),_xlfn.CONCAT(CHAR(92),CHAR(96))),CHAR(34),CHAR(39))))</f>
        <v/>
      </c>
      <c r="M875" s="5" t="str">
        <f>IF(OR(TRIM($B875)="",$C875=""),"",IF(IFERROR(MATCH(TRIM($C875),{"Quantitative","Continuous","Discrete","Categorical","Nominal","Ordinal","Identifier"},0),0)=0,_xlfn.CONCAT("* REVIEW REQUIRED: invalid Variable Type on Sheet 1 row ",875,"."),_xlfn.CONCAT("char ",TRIM($B875),"[doc_vartype] ",CHAR(96),CHAR(34),SUBSTITUTE(SUBSTITUTE(SUBSTITUTE(SUBSTITUTE(SUBSTITUTE(SUBSTITUTE(LOWER(TRIM($C875)),CHAR(13)," "),CHAR(10)," "),CHAR(9)," "),CHAR(92),_xlfn.CONCAT(CHAR(92),CHAR(92))),"$",_xlfn.CONCAT(CHAR(92),"$")),CHAR(96),_xlfn.CONCAT(CHAR(92),CHAR(96))),CHAR(34),CHAR(39))))</f>
        <v/>
      </c>
      <c r="N875" s="5" t="str">
        <f>IF(OR(TRIM($B875)="",$D875=""),"",IF(OR(ISNUMBER(SEARCH(_xlfn.CONCAT(CHAR(96),CHAR(34)),$D875)),ISNUMBER(SEARCH(_xlfn.CONCAT(CHAR(34),CHAR(39)),$D875))),_xlfn.CONCAT("* REVIEW REQUIRED: compound-quote delimiter in Item Number on Sheet 1 row ",875,"; edit the input before running."),_xlfn.CONCAT("char ",TRIM($B875),"[doc_itemnum] ",CHAR(96),CHAR(34),SUBSTITUTE(SUBSTITUTE(SUBSTITUTE(SUBSTITUTE(SUBSTITUTE(SUBSTITUTE($D875,CHAR(13)," "),CHAR(10)," "),CHAR(9)," "),CHAR(92),_xlfn.CONCAT(CHAR(92),CHAR(92))),"$",_xlfn.CONCAT(CHAR(92),"$")),CHAR(96),_xlfn.CONCAT(CHAR(92),CHAR(96))),CHAR(34),CHAR(39))))</f>
        <v/>
      </c>
      <c r="O875" s="5" t="str">
        <f>IF(OR(TRIM($B875)="",$E875=""),"",IF(OR(ISNUMBER(SEARCH(_xlfn.CONCAT(CHAR(96),CHAR(34)),$E875)),ISNUMBER(SEARCH(_xlfn.CONCAT(CHAR(34),CHAR(39)),$E875))),_xlfn.CONCAT("* REVIEW REQUIRED: compound-quote delimiter in Question Wording on Sheet 1 row ",875,"; edit the input before running."),_xlfn.CONCAT("char ",TRIM($B875),"[doc_question] ",CHAR(96),CHAR(34),SUBSTITUTE(SUBSTITUTE(SUBSTITUTE(SUBSTITUTE(SUBSTITUTE(SUBSTITUTE($E875,CHAR(13)," "),CHAR(10)," "),CHAR(9)," "),CHAR(92),_xlfn.CONCAT(CHAR(92),CHAR(92))),"$",_xlfn.CONCAT(CHAR(92),"$")),CHAR(96),_xlfn.CONCAT(CHAR(92),CHAR(96))),CHAR(34),CHAR(39))))</f>
        <v/>
      </c>
      <c r="P875" s="5" t="str">
        <f>IF(OR(TRIM($B875)="",$F875=""),"",IF(OR(ISNUMBER(SEARCH(_xlfn.CONCAT(CHAR(96),CHAR(34)),$F875)),ISNUMBER(SEARCH(_xlfn.CONCAT(CHAR(34),CHAR(39)),$F875))),_xlfn.CONCAT("* REVIEW REQUIRED: compound-quote delimiter in Units on Sheet 1 row ",875,"; edit the input before running."),_xlfn.CONCAT("char ",TRIM($B875),"[doc_units] ",CHAR(96),CHAR(34),SUBSTITUTE(SUBSTITUTE(SUBSTITUTE(SUBSTITUTE(SUBSTITUTE(SUBSTITUTE($F875,CHAR(13)," "),CHAR(10)," "),CHAR(9)," "),CHAR(92),_xlfn.CONCAT(CHAR(92),CHAR(92))),"$",_xlfn.CONCAT(CHAR(92),"$")),CHAR(96),_xlfn.CONCAT(CHAR(92),CHAR(96))),CHAR(34),CHAR(39))))</f>
        <v/>
      </c>
      <c r="Q875" s="5" t="str">
        <f>IF(OR(TRIM($B875)="",$G875=""),"",IF(OR(ISNUMBER(SEARCH(_xlfn.CONCAT(CHAR(96),CHAR(34)),$G875)),ISNUMBER(SEARCH(_xlfn.CONCAT(CHAR(34),CHAR(39)),$G875))),_xlfn.CONCAT("* REVIEW REQUIRED: compound-quote delimiter in Universe on Sheet 1 row ",875,"; edit the input before running."),_xlfn.CONCAT("char ",TRIM($B875),"[doc_universe] ",CHAR(96),CHAR(34),SUBSTITUTE(SUBSTITUTE(SUBSTITUTE(SUBSTITUTE(SUBSTITUTE(SUBSTITUTE($G875,CHAR(13)," "),CHAR(10)," "),CHAR(9)," "),CHAR(92),_xlfn.CONCAT(CHAR(92),CHAR(92))),"$",_xlfn.CONCAT(CHAR(92),"$")),CHAR(96),_xlfn.CONCAT(CHAR(92),CHAR(96))),CHAR(34),CHAR(39))))</f>
        <v/>
      </c>
      <c r="R875" s="5" t="str">
        <f>IF(OR(TRIM($B875)="",$H875=""),"",IF(OR(ISNUMBER(SEARCH(_xlfn.CONCAT(CHAR(96),CHAR(34)),$H875)),ISNUMBER(SEARCH(_xlfn.CONCAT(CHAR(34),CHAR(39)),$H875))),_xlfn.CONCAT("* REVIEW REQUIRED: compound-quote delimiter in Source on Sheet 1 row ",875,"; edit the input before running."),_xlfn.CONCAT("char ",TRIM($B875),"[doc_source] ",CHAR(96),CHAR(34),SUBSTITUTE(SUBSTITUTE(SUBSTITUTE(SUBSTITUTE(SUBSTITUTE(SUBSTITUTE($H875,CHAR(13)," "),CHAR(10)," "),CHAR(9)," "),CHAR(92),_xlfn.CONCAT(CHAR(92),CHAR(92))),"$",_xlfn.CONCAT(CHAR(92),"$")),CHAR(96),_xlfn.CONCAT(CHAR(92),CHAR(96))),CHAR(34),CHAR(39))))</f>
        <v/>
      </c>
      <c r="S875" s="5" t="str">
        <f>IF(OR(TRIM($B875)="",$I875=""),"",IF(OR(ISNUMBER(SEARCH(_xlfn.CONCAT(CHAR(96),CHAR(34)),$I875)),ISNUMBER(SEARCH(_xlfn.CONCAT(CHAR(34),CHAR(39)),$I875))),_xlfn.CONCAT("* REVIEW REQUIRED: compound-quote delimiter in Derivation on Sheet 1 row ",875,"; edit the input before running."),_xlfn.CONCAT("char ",TRIM($B875),"[doc_derivation] ",CHAR(96),CHAR(34),SUBSTITUTE(SUBSTITUTE(SUBSTITUTE(SUBSTITUTE(SUBSTITUTE(SUBSTITUTE($I875,CHAR(13)," "),CHAR(10)," "),CHAR(9)," "),CHAR(92),_xlfn.CONCAT(CHAR(92),CHAR(92))),"$",_xlfn.CONCAT(CHAR(92),"$")),CHAR(96),_xlfn.CONCAT(CHAR(92),CHAR(96))),CHAR(34),CHAR(39))))</f>
        <v/>
      </c>
      <c r="T875" s="5" t="str">
        <f>IF(OR(TRIM($B875)="",$J875=""),"",IF(OR(ISNUMBER(SEARCH(_xlfn.CONCAT(CHAR(96),CHAR(34)),$J875)),ISNUMBER(SEARCH(_xlfn.CONCAT(CHAR(34),CHAR(39)),$J875))),_xlfn.CONCAT("* REVIEW REQUIRED: compound-quote delimiter in Notes on Sheet 1 row ",875,"; edit the input before running."),_xlfn.CONCAT("char ",TRIM($B875),"[doc_notes] ",CHAR(96),CHAR(34),SUBSTITUTE(SUBSTITUTE(SUBSTITUTE(SUBSTITUTE(SUBSTITUTE(SUBSTITUTE($J875,CHAR(13)," "),CHAR(10)," "),CHAR(9)," "),CHAR(92),_xlfn.CONCAT(CHAR(92),CHAR(92))),"$",_xlfn.CONCAT(CHAR(92),"$")),CHAR(96),_xlfn.CONCAT(CHAR(92),CHAR(96))),CHAR(34),CHAR(39))))</f>
        <v/>
      </c>
      <c r="U875" s="5">
        <f t="shared" si="27"/>
        <v>0</v>
      </c>
    </row>
    <row r="876" spans="3:21" ht="30" customHeight="1" x14ac:dyDescent="0.2">
      <c r="C876" s="4"/>
      <c r="K876" s="5">
        <f t="shared" si="26"/>
        <v>0</v>
      </c>
      <c r="L876" s="5" t="str">
        <f>IF(OR(TRIM($B876)="",$A876=""),"",IF(OR(ISNUMBER(SEARCH(_xlfn.CONCAT(CHAR(96),CHAR(34)),$A876)),ISNUMBER(SEARCH(_xlfn.CONCAT(CHAR(34),CHAR(39)),$A876))),_xlfn.CONCAT("* REVIEW REQUIRED: compound-quote delimiter in Codebook Section on Sheet 1 row ",876,"; edit the input before running."),_xlfn.CONCAT("char ",TRIM($B876),"[doc_section] ",CHAR(96),CHAR(34),SUBSTITUTE(SUBSTITUTE(SUBSTITUTE(SUBSTITUTE(SUBSTITUTE(SUBSTITUTE($A876,CHAR(13)," "),CHAR(10)," "),CHAR(9)," "),CHAR(92),_xlfn.CONCAT(CHAR(92),CHAR(92))),"$",_xlfn.CONCAT(CHAR(92),"$")),CHAR(96),_xlfn.CONCAT(CHAR(92),CHAR(96))),CHAR(34),CHAR(39))))</f>
        <v/>
      </c>
      <c r="M876" s="5" t="str">
        <f>IF(OR(TRIM($B876)="",$C876=""),"",IF(IFERROR(MATCH(TRIM($C876),{"Quantitative","Continuous","Discrete","Categorical","Nominal","Ordinal","Identifier"},0),0)=0,_xlfn.CONCAT("* REVIEW REQUIRED: invalid Variable Type on Sheet 1 row ",876,"."),_xlfn.CONCAT("char ",TRIM($B876),"[doc_vartype] ",CHAR(96),CHAR(34),SUBSTITUTE(SUBSTITUTE(SUBSTITUTE(SUBSTITUTE(SUBSTITUTE(SUBSTITUTE(LOWER(TRIM($C876)),CHAR(13)," "),CHAR(10)," "),CHAR(9)," "),CHAR(92),_xlfn.CONCAT(CHAR(92),CHAR(92))),"$",_xlfn.CONCAT(CHAR(92),"$")),CHAR(96),_xlfn.CONCAT(CHAR(92),CHAR(96))),CHAR(34),CHAR(39))))</f>
        <v/>
      </c>
      <c r="N876" s="5" t="str">
        <f>IF(OR(TRIM($B876)="",$D876=""),"",IF(OR(ISNUMBER(SEARCH(_xlfn.CONCAT(CHAR(96),CHAR(34)),$D876)),ISNUMBER(SEARCH(_xlfn.CONCAT(CHAR(34),CHAR(39)),$D876))),_xlfn.CONCAT("* REVIEW REQUIRED: compound-quote delimiter in Item Number on Sheet 1 row ",876,"; edit the input before running."),_xlfn.CONCAT("char ",TRIM($B876),"[doc_itemnum] ",CHAR(96),CHAR(34),SUBSTITUTE(SUBSTITUTE(SUBSTITUTE(SUBSTITUTE(SUBSTITUTE(SUBSTITUTE($D876,CHAR(13)," "),CHAR(10)," "),CHAR(9)," "),CHAR(92),_xlfn.CONCAT(CHAR(92),CHAR(92))),"$",_xlfn.CONCAT(CHAR(92),"$")),CHAR(96),_xlfn.CONCAT(CHAR(92),CHAR(96))),CHAR(34),CHAR(39))))</f>
        <v/>
      </c>
      <c r="O876" s="5" t="str">
        <f>IF(OR(TRIM($B876)="",$E876=""),"",IF(OR(ISNUMBER(SEARCH(_xlfn.CONCAT(CHAR(96),CHAR(34)),$E876)),ISNUMBER(SEARCH(_xlfn.CONCAT(CHAR(34),CHAR(39)),$E876))),_xlfn.CONCAT("* REVIEW REQUIRED: compound-quote delimiter in Question Wording on Sheet 1 row ",876,"; edit the input before running."),_xlfn.CONCAT("char ",TRIM($B876),"[doc_question] ",CHAR(96),CHAR(34),SUBSTITUTE(SUBSTITUTE(SUBSTITUTE(SUBSTITUTE(SUBSTITUTE(SUBSTITUTE($E876,CHAR(13)," "),CHAR(10)," "),CHAR(9)," "),CHAR(92),_xlfn.CONCAT(CHAR(92),CHAR(92))),"$",_xlfn.CONCAT(CHAR(92),"$")),CHAR(96),_xlfn.CONCAT(CHAR(92),CHAR(96))),CHAR(34),CHAR(39))))</f>
        <v/>
      </c>
      <c r="P876" s="5" t="str">
        <f>IF(OR(TRIM($B876)="",$F876=""),"",IF(OR(ISNUMBER(SEARCH(_xlfn.CONCAT(CHAR(96),CHAR(34)),$F876)),ISNUMBER(SEARCH(_xlfn.CONCAT(CHAR(34),CHAR(39)),$F876))),_xlfn.CONCAT("* REVIEW REQUIRED: compound-quote delimiter in Units on Sheet 1 row ",876,"; edit the input before running."),_xlfn.CONCAT("char ",TRIM($B876),"[doc_units] ",CHAR(96),CHAR(34),SUBSTITUTE(SUBSTITUTE(SUBSTITUTE(SUBSTITUTE(SUBSTITUTE(SUBSTITUTE($F876,CHAR(13)," "),CHAR(10)," "),CHAR(9)," "),CHAR(92),_xlfn.CONCAT(CHAR(92),CHAR(92))),"$",_xlfn.CONCAT(CHAR(92),"$")),CHAR(96),_xlfn.CONCAT(CHAR(92),CHAR(96))),CHAR(34),CHAR(39))))</f>
        <v/>
      </c>
      <c r="Q876" s="5" t="str">
        <f>IF(OR(TRIM($B876)="",$G876=""),"",IF(OR(ISNUMBER(SEARCH(_xlfn.CONCAT(CHAR(96),CHAR(34)),$G876)),ISNUMBER(SEARCH(_xlfn.CONCAT(CHAR(34),CHAR(39)),$G876))),_xlfn.CONCAT("* REVIEW REQUIRED: compound-quote delimiter in Universe on Sheet 1 row ",876,"; edit the input before running."),_xlfn.CONCAT("char ",TRIM($B876),"[doc_universe] ",CHAR(96),CHAR(34),SUBSTITUTE(SUBSTITUTE(SUBSTITUTE(SUBSTITUTE(SUBSTITUTE(SUBSTITUTE($G876,CHAR(13)," "),CHAR(10)," "),CHAR(9)," "),CHAR(92),_xlfn.CONCAT(CHAR(92),CHAR(92))),"$",_xlfn.CONCAT(CHAR(92),"$")),CHAR(96),_xlfn.CONCAT(CHAR(92),CHAR(96))),CHAR(34),CHAR(39))))</f>
        <v/>
      </c>
      <c r="R876" s="5" t="str">
        <f>IF(OR(TRIM($B876)="",$H876=""),"",IF(OR(ISNUMBER(SEARCH(_xlfn.CONCAT(CHAR(96),CHAR(34)),$H876)),ISNUMBER(SEARCH(_xlfn.CONCAT(CHAR(34),CHAR(39)),$H876))),_xlfn.CONCAT("* REVIEW REQUIRED: compound-quote delimiter in Source on Sheet 1 row ",876,"; edit the input before running."),_xlfn.CONCAT("char ",TRIM($B876),"[doc_source] ",CHAR(96),CHAR(34),SUBSTITUTE(SUBSTITUTE(SUBSTITUTE(SUBSTITUTE(SUBSTITUTE(SUBSTITUTE($H876,CHAR(13)," "),CHAR(10)," "),CHAR(9)," "),CHAR(92),_xlfn.CONCAT(CHAR(92),CHAR(92))),"$",_xlfn.CONCAT(CHAR(92),"$")),CHAR(96),_xlfn.CONCAT(CHAR(92),CHAR(96))),CHAR(34),CHAR(39))))</f>
        <v/>
      </c>
      <c r="S876" s="5" t="str">
        <f>IF(OR(TRIM($B876)="",$I876=""),"",IF(OR(ISNUMBER(SEARCH(_xlfn.CONCAT(CHAR(96),CHAR(34)),$I876)),ISNUMBER(SEARCH(_xlfn.CONCAT(CHAR(34),CHAR(39)),$I876))),_xlfn.CONCAT("* REVIEW REQUIRED: compound-quote delimiter in Derivation on Sheet 1 row ",876,"; edit the input before running."),_xlfn.CONCAT("char ",TRIM($B876),"[doc_derivation] ",CHAR(96),CHAR(34),SUBSTITUTE(SUBSTITUTE(SUBSTITUTE(SUBSTITUTE(SUBSTITUTE(SUBSTITUTE($I876,CHAR(13)," "),CHAR(10)," "),CHAR(9)," "),CHAR(92),_xlfn.CONCAT(CHAR(92),CHAR(92))),"$",_xlfn.CONCAT(CHAR(92),"$")),CHAR(96),_xlfn.CONCAT(CHAR(92),CHAR(96))),CHAR(34),CHAR(39))))</f>
        <v/>
      </c>
      <c r="T876" s="5" t="str">
        <f>IF(OR(TRIM($B876)="",$J876=""),"",IF(OR(ISNUMBER(SEARCH(_xlfn.CONCAT(CHAR(96),CHAR(34)),$J876)),ISNUMBER(SEARCH(_xlfn.CONCAT(CHAR(34),CHAR(39)),$J876))),_xlfn.CONCAT("* REVIEW REQUIRED: compound-quote delimiter in Notes on Sheet 1 row ",876,"; edit the input before running."),_xlfn.CONCAT("char ",TRIM($B876),"[doc_notes] ",CHAR(96),CHAR(34),SUBSTITUTE(SUBSTITUTE(SUBSTITUTE(SUBSTITUTE(SUBSTITUTE(SUBSTITUTE($J876,CHAR(13)," "),CHAR(10)," "),CHAR(9)," "),CHAR(92),_xlfn.CONCAT(CHAR(92),CHAR(92))),"$",_xlfn.CONCAT(CHAR(92),"$")),CHAR(96),_xlfn.CONCAT(CHAR(92),CHAR(96))),CHAR(34),CHAR(39))))</f>
        <v/>
      </c>
      <c r="U876" s="5">
        <f t="shared" si="27"/>
        <v>0</v>
      </c>
    </row>
    <row r="877" spans="3:21" ht="30" customHeight="1" x14ac:dyDescent="0.2">
      <c r="C877" s="4"/>
      <c r="K877" s="5">
        <f t="shared" si="26"/>
        <v>0</v>
      </c>
      <c r="L877" s="5" t="str">
        <f>IF(OR(TRIM($B877)="",$A877=""),"",IF(OR(ISNUMBER(SEARCH(_xlfn.CONCAT(CHAR(96),CHAR(34)),$A877)),ISNUMBER(SEARCH(_xlfn.CONCAT(CHAR(34),CHAR(39)),$A877))),_xlfn.CONCAT("* REVIEW REQUIRED: compound-quote delimiter in Codebook Section on Sheet 1 row ",877,"; edit the input before running."),_xlfn.CONCAT("char ",TRIM($B877),"[doc_section] ",CHAR(96),CHAR(34),SUBSTITUTE(SUBSTITUTE(SUBSTITUTE(SUBSTITUTE(SUBSTITUTE(SUBSTITUTE($A877,CHAR(13)," "),CHAR(10)," "),CHAR(9)," "),CHAR(92),_xlfn.CONCAT(CHAR(92),CHAR(92))),"$",_xlfn.CONCAT(CHAR(92),"$")),CHAR(96),_xlfn.CONCAT(CHAR(92),CHAR(96))),CHAR(34),CHAR(39))))</f>
        <v/>
      </c>
      <c r="M877" s="5" t="str">
        <f>IF(OR(TRIM($B877)="",$C877=""),"",IF(IFERROR(MATCH(TRIM($C877),{"Quantitative","Continuous","Discrete","Categorical","Nominal","Ordinal","Identifier"},0),0)=0,_xlfn.CONCAT("* REVIEW REQUIRED: invalid Variable Type on Sheet 1 row ",877,"."),_xlfn.CONCAT("char ",TRIM($B877),"[doc_vartype] ",CHAR(96),CHAR(34),SUBSTITUTE(SUBSTITUTE(SUBSTITUTE(SUBSTITUTE(SUBSTITUTE(SUBSTITUTE(LOWER(TRIM($C877)),CHAR(13)," "),CHAR(10)," "),CHAR(9)," "),CHAR(92),_xlfn.CONCAT(CHAR(92),CHAR(92))),"$",_xlfn.CONCAT(CHAR(92),"$")),CHAR(96),_xlfn.CONCAT(CHAR(92),CHAR(96))),CHAR(34),CHAR(39))))</f>
        <v/>
      </c>
      <c r="N877" s="5" t="str">
        <f>IF(OR(TRIM($B877)="",$D877=""),"",IF(OR(ISNUMBER(SEARCH(_xlfn.CONCAT(CHAR(96),CHAR(34)),$D877)),ISNUMBER(SEARCH(_xlfn.CONCAT(CHAR(34),CHAR(39)),$D877))),_xlfn.CONCAT("* REVIEW REQUIRED: compound-quote delimiter in Item Number on Sheet 1 row ",877,"; edit the input before running."),_xlfn.CONCAT("char ",TRIM($B877),"[doc_itemnum] ",CHAR(96),CHAR(34),SUBSTITUTE(SUBSTITUTE(SUBSTITUTE(SUBSTITUTE(SUBSTITUTE(SUBSTITUTE($D877,CHAR(13)," "),CHAR(10)," "),CHAR(9)," "),CHAR(92),_xlfn.CONCAT(CHAR(92),CHAR(92))),"$",_xlfn.CONCAT(CHAR(92),"$")),CHAR(96),_xlfn.CONCAT(CHAR(92),CHAR(96))),CHAR(34),CHAR(39))))</f>
        <v/>
      </c>
      <c r="O877" s="5" t="str">
        <f>IF(OR(TRIM($B877)="",$E877=""),"",IF(OR(ISNUMBER(SEARCH(_xlfn.CONCAT(CHAR(96),CHAR(34)),$E877)),ISNUMBER(SEARCH(_xlfn.CONCAT(CHAR(34),CHAR(39)),$E877))),_xlfn.CONCAT("* REVIEW REQUIRED: compound-quote delimiter in Question Wording on Sheet 1 row ",877,"; edit the input before running."),_xlfn.CONCAT("char ",TRIM($B877),"[doc_question] ",CHAR(96),CHAR(34),SUBSTITUTE(SUBSTITUTE(SUBSTITUTE(SUBSTITUTE(SUBSTITUTE(SUBSTITUTE($E877,CHAR(13)," "),CHAR(10)," "),CHAR(9)," "),CHAR(92),_xlfn.CONCAT(CHAR(92),CHAR(92))),"$",_xlfn.CONCAT(CHAR(92),"$")),CHAR(96),_xlfn.CONCAT(CHAR(92),CHAR(96))),CHAR(34),CHAR(39))))</f>
        <v/>
      </c>
      <c r="P877" s="5" t="str">
        <f>IF(OR(TRIM($B877)="",$F877=""),"",IF(OR(ISNUMBER(SEARCH(_xlfn.CONCAT(CHAR(96),CHAR(34)),$F877)),ISNUMBER(SEARCH(_xlfn.CONCAT(CHAR(34),CHAR(39)),$F877))),_xlfn.CONCAT("* REVIEW REQUIRED: compound-quote delimiter in Units on Sheet 1 row ",877,"; edit the input before running."),_xlfn.CONCAT("char ",TRIM($B877),"[doc_units] ",CHAR(96),CHAR(34),SUBSTITUTE(SUBSTITUTE(SUBSTITUTE(SUBSTITUTE(SUBSTITUTE(SUBSTITUTE($F877,CHAR(13)," "),CHAR(10)," "),CHAR(9)," "),CHAR(92),_xlfn.CONCAT(CHAR(92),CHAR(92))),"$",_xlfn.CONCAT(CHAR(92),"$")),CHAR(96),_xlfn.CONCAT(CHAR(92),CHAR(96))),CHAR(34),CHAR(39))))</f>
        <v/>
      </c>
      <c r="Q877" s="5" t="str">
        <f>IF(OR(TRIM($B877)="",$G877=""),"",IF(OR(ISNUMBER(SEARCH(_xlfn.CONCAT(CHAR(96),CHAR(34)),$G877)),ISNUMBER(SEARCH(_xlfn.CONCAT(CHAR(34),CHAR(39)),$G877))),_xlfn.CONCAT("* REVIEW REQUIRED: compound-quote delimiter in Universe on Sheet 1 row ",877,"; edit the input before running."),_xlfn.CONCAT("char ",TRIM($B877),"[doc_universe] ",CHAR(96),CHAR(34),SUBSTITUTE(SUBSTITUTE(SUBSTITUTE(SUBSTITUTE(SUBSTITUTE(SUBSTITUTE($G877,CHAR(13)," "),CHAR(10)," "),CHAR(9)," "),CHAR(92),_xlfn.CONCAT(CHAR(92),CHAR(92))),"$",_xlfn.CONCAT(CHAR(92),"$")),CHAR(96),_xlfn.CONCAT(CHAR(92),CHAR(96))),CHAR(34),CHAR(39))))</f>
        <v/>
      </c>
      <c r="R877" s="5" t="str">
        <f>IF(OR(TRIM($B877)="",$H877=""),"",IF(OR(ISNUMBER(SEARCH(_xlfn.CONCAT(CHAR(96),CHAR(34)),$H877)),ISNUMBER(SEARCH(_xlfn.CONCAT(CHAR(34),CHAR(39)),$H877))),_xlfn.CONCAT("* REVIEW REQUIRED: compound-quote delimiter in Source on Sheet 1 row ",877,"; edit the input before running."),_xlfn.CONCAT("char ",TRIM($B877),"[doc_source] ",CHAR(96),CHAR(34),SUBSTITUTE(SUBSTITUTE(SUBSTITUTE(SUBSTITUTE(SUBSTITUTE(SUBSTITUTE($H877,CHAR(13)," "),CHAR(10)," "),CHAR(9)," "),CHAR(92),_xlfn.CONCAT(CHAR(92),CHAR(92))),"$",_xlfn.CONCAT(CHAR(92),"$")),CHAR(96),_xlfn.CONCAT(CHAR(92),CHAR(96))),CHAR(34),CHAR(39))))</f>
        <v/>
      </c>
      <c r="S877" s="5" t="str">
        <f>IF(OR(TRIM($B877)="",$I877=""),"",IF(OR(ISNUMBER(SEARCH(_xlfn.CONCAT(CHAR(96),CHAR(34)),$I877)),ISNUMBER(SEARCH(_xlfn.CONCAT(CHAR(34),CHAR(39)),$I877))),_xlfn.CONCAT("* REVIEW REQUIRED: compound-quote delimiter in Derivation on Sheet 1 row ",877,"; edit the input before running."),_xlfn.CONCAT("char ",TRIM($B877),"[doc_derivation] ",CHAR(96),CHAR(34),SUBSTITUTE(SUBSTITUTE(SUBSTITUTE(SUBSTITUTE(SUBSTITUTE(SUBSTITUTE($I877,CHAR(13)," "),CHAR(10)," "),CHAR(9)," "),CHAR(92),_xlfn.CONCAT(CHAR(92),CHAR(92))),"$",_xlfn.CONCAT(CHAR(92),"$")),CHAR(96),_xlfn.CONCAT(CHAR(92),CHAR(96))),CHAR(34),CHAR(39))))</f>
        <v/>
      </c>
      <c r="T877" s="5" t="str">
        <f>IF(OR(TRIM($B877)="",$J877=""),"",IF(OR(ISNUMBER(SEARCH(_xlfn.CONCAT(CHAR(96),CHAR(34)),$J877)),ISNUMBER(SEARCH(_xlfn.CONCAT(CHAR(34),CHAR(39)),$J877))),_xlfn.CONCAT("* REVIEW REQUIRED: compound-quote delimiter in Notes on Sheet 1 row ",877,"; edit the input before running."),_xlfn.CONCAT("char ",TRIM($B877),"[doc_notes] ",CHAR(96),CHAR(34),SUBSTITUTE(SUBSTITUTE(SUBSTITUTE(SUBSTITUTE(SUBSTITUTE(SUBSTITUTE($J877,CHAR(13)," "),CHAR(10)," "),CHAR(9)," "),CHAR(92),_xlfn.CONCAT(CHAR(92),CHAR(92))),"$",_xlfn.CONCAT(CHAR(92),"$")),CHAR(96),_xlfn.CONCAT(CHAR(92),CHAR(96))),CHAR(34),CHAR(39))))</f>
        <v/>
      </c>
      <c r="U877" s="5">
        <f t="shared" si="27"/>
        <v>0</v>
      </c>
    </row>
    <row r="878" spans="3:21" ht="30" customHeight="1" x14ac:dyDescent="0.2">
      <c r="C878" s="4"/>
      <c r="K878" s="5">
        <f t="shared" si="26"/>
        <v>0</v>
      </c>
      <c r="L878" s="5" t="str">
        <f>IF(OR(TRIM($B878)="",$A878=""),"",IF(OR(ISNUMBER(SEARCH(_xlfn.CONCAT(CHAR(96),CHAR(34)),$A878)),ISNUMBER(SEARCH(_xlfn.CONCAT(CHAR(34),CHAR(39)),$A878))),_xlfn.CONCAT("* REVIEW REQUIRED: compound-quote delimiter in Codebook Section on Sheet 1 row ",878,"; edit the input before running."),_xlfn.CONCAT("char ",TRIM($B878),"[doc_section] ",CHAR(96),CHAR(34),SUBSTITUTE(SUBSTITUTE(SUBSTITUTE(SUBSTITUTE(SUBSTITUTE(SUBSTITUTE($A878,CHAR(13)," "),CHAR(10)," "),CHAR(9)," "),CHAR(92),_xlfn.CONCAT(CHAR(92),CHAR(92))),"$",_xlfn.CONCAT(CHAR(92),"$")),CHAR(96),_xlfn.CONCAT(CHAR(92),CHAR(96))),CHAR(34),CHAR(39))))</f>
        <v/>
      </c>
      <c r="M878" s="5" t="str">
        <f>IF(OR(TRIM($B878)="",$C878=""),"",IF(IFERROR(MATCH(TRIM($C878),{"Quantitative","Continuous","Discrete","Categorical","Nominal","Ordinal","Identifier"},0),0)=0,_xlfn.CONCAT("* REVIEW REQUIRED: invalid Variable Type on Sheet 1 row ",878,"."),_xlfn.CONCAT("char ",TRIM($B878),"[doc_vartype] ",CHAR(96),CHAR(34),SUBSTITUTE(SUBSTITUTE(SUBSTITUTE(SUBSTITUTE(SUBSTITUTE(SUBSTITUTE(LOWER(TRIM($C878)),CHAR(13)," "),CHAR(10)," "),CHAR(9)," "),CHAR(92),_xlfn.CONCAT(CHAR(92),CHAR(92))),"$",_xlfn.CONCAT(CHAR(92),"$")),CHAR(96),_xlfn.CONCAT(CHAR(92),CHAR(96))),CHAR(34),CHAR(39))))</f>
        <v/>
      </c>
      <c r="N878" s="5" t="str">
        <f>IF(OR(TRIM($B878)="",$D878=""),"",IF(OR(ISNUMBER(SEARCH(_xlfn.CONCAT(CHAR(96),CHAR(34)),$D878)),ISNUMBER(SEARCH(_xlfn.CONCAT(CHAR(34),CHAR(39)),$D878))),_xlfn.CONCAT("* REVIEW REQUIRED: compound-quote delimiter in Item Number on Sheet 1 row ",878,"; edit the input before running."),_xlfn.CONCAT("char ",TRIM($B878),"[doc_itemnum] ",CHAR(96),CHAR(34),SUBSTITUTE(SUBSTITUTE(SUBSTITUTE(SUBSTITUTE(SUBSTITUTE(SUBSTITUTE($D878,CHAR(13)," "),CHAR(10)," "),CHAR(9)," "),CHAR(92),_xlfn.CONCAT(CHAR(92),CHAR(92))),"$",_xlfn.CONCAT(CHAR(92),"$")),CHAR(96),_xlfn.CONCAT(CHAR(92),CHAR(96))),CHAR(34),CHAR(39))))</f>
        <v/>
      </c>
      <c r="O878" s="5" t="str">
        <f>IF(OR(TRIM($B878)="",$E878=""),"",IF(OR(ISNUMBER(SEARCH(_xlfn.CONCAT(CHAR(96),CHAR(34)),$E878)),ISNUMBER(SEARCH(_xlfn.CONCAT(CHAR(34),CHAR(39)),$E878))),_xlfn.CONCAT("* REVIEW REQUIRED: compound-quote delimiter in Question Wording on Sheet 1 row ",878,"; edit the input before running."),_xlfn.CONCAT("char ",TRIM($B878),"[doc_question] ",CHAR(96),CHAR(34),SUBSTITUTE(SUBSTITUTE(SUBSTITUTE(SUBSTITUTE(SUBSTITUTE(SUBSTITUTE($E878,CHAR(13)," "),CHAR(10)," "),CHAR(9)," "),CHAR(92),_xlfn.CONCAT(CHAR(92),CHAR(92))),"$",_xlfn.CONCAT(CHAR(92),"$")),CHAR(96),_xlfn.CONCAT(CHAR(92),CHAR(96))),CHAR(34),CHAR(39))))</f>
        <v/>
      </c>
      <c r="P878" s="5" t="str">
        <f>IF(OR(TRIM($B878)="",$F878=""),"",IF(OR(ISNUMBER(SEARCH(_xlfn.CONCAT(CHAR(96),CHAR(34)),$F878)),ISNUMBER(SEARCH(_xlfn.CONCAT(CHAR(34),CHAR(39)),$F878))),_xlfn.CONCAT("* REVIEW REQUIRED: compound-quote delimiter in Units on Sheet 1 row ",878,"; edit the input before running."),_xlfn.CONCAT("char ",TRIM($B878),"[doc_units] ",CHAR(96),CHAR(34),SUBSTITUTE(SUBSTITUTE(SUBSTITUTE(SUBSTITUTE(SUBSTITUTE(SUBSTITUTE($F878,CHAR(13)," "),CHAR(10)," "),CHAR(9)," "),CHAR(92),_xlfn.CONCAT(CHAR(92),CHAR(92))),"$",_xlfn.CONCAT(CHAR(92),"$")),CHAR(96),_xlfn.CONCAT(CHAR(92),CHAR(96))),CHAR(34),CHAR(39))))</f>
        <v/>
      </c>
      <c r="Q878" s="5" t="str">
        <f>IF(OR(TRIM($B878)="",$G878=""),"",IF(OR(ISNUMBER(SEARCH(_xlfn.CONCAT(CHAR(96),CHAR(34)),$G878)),ISNUMBER(SEARCH(_xlfn.CONCAT(CHAR(34),CHAR(39)),$G878))),_xlfn.CONCAT("* REVIEW REQUIRED: compound-quote delimiter in Universe on Sheet 1 row ",878,"; edit the input before running."),_xlfn.CONCAT("char ",TRIM($B878),"[doc_universe] ",CHAR(96),CHAR(34),SUBSTITUTE(SUBSTITUTE(SUBSTITUTE(SUBSTITUTE(SUBSTITUTE(SUBSTITUTE($G878,CHAR(13)," "),CHAR(10)," "),CHAR(9)," "),CHAR(92),_xlfn.CONCAT(CHAR(92),CHAR(92))),"$",_xlfn.CONCAT(CHAR(92),"$")),CHAR(96),_xlfn.CONCAT(CHAR(92),CHAR(96))),CHAR(34),CHAR(39))))</f>
        <v/>
      </c>
      <c r="R878" s="5" t="str">
        <f>IF(OR(TRIM($B878)="",$H878=""),"",IF(OR(ISNUMBER(SEARCH(_xlfn.CONCAT(CHAR(96),CHAR(34)),$H878)),ISNUMBER(SEARCH(_xlfn.CONCAT(CHAR(34),CHAR(39)),$H878))),_xlfn.CONCAT("* REVIEW REQUIRED: compound-quote delimiter in Source on Sheet 1 row ",878,"; edit the input before running."),_xlfn.CONCAT("char ",TRIM($B878),"[doc_source] ",CHAR(96),CHAR(34),SUBSTITUTE(SUBSTITUTE(SUBSTITUTE(SUBSTITUTE(SUBSTITUTE(SUBSTITUTE($H878,CHAR(13)," "),CHAR(10)," "),CHAR(9)," "),CHAR(92),_xlfn.CONCAT(CHAR(92),CHAR(92))),"$",_xlfn.CONCAT(CHAR(92),"$")),CHAR(96),_xlfn.CONCAT(CHAR(92),CHAR(96))),CHAR(34),CHAR(39))))</f>
        <v/>
      </c>
      <c r="S878" s="5" t="str">
        <f>IF(OR(TRIM($B878)="",$I878=""),"",IF(OR(ISNUMBER(SEARCH(_xlfn.CONCAT(CHAR(96),CHAR(34)),$I878)),ISNUMBER(SEARCH(_xlfn.CONCAT(CHAR(34),CHAR(39)),$I878))),_xlfn.CONCAT("* REVIEW REQUIRED: compound-quote delimiter in Derivation on Sheet 1 row ",878,"; edit the input before running."),_xlfn.CONCAT("char ",TRIM($B878),"[doc_derivation] ",CHAR(96),CHAR(34),SUBSTITUTE(SUBSTITUTE(SUBSTITUTE(SUBSTITUTE(SUBSTITUTE(SUBSTITUTE($I878,CHAR(13)," "),CHAR(10)," "),CHAR(9)," "),CHAR(92),_xlfn.CONCAT(CHAR(92),CHAR(92))),"$",_xlfn.CONCAT(CHAR(92),"$")),CHAR(96),_xlfn.CONCAT(CHAR(92),CHAR(96))),CHAR(34),CHAR(39))))</f>
        <v/>
      </c>
      <c r="T878" s="5" t="str">
        <f>IF(OR(TRIM($B878)="",$J878=""),"",IF(OR(ISNUMBER(SEARCH(_xlfn.CONCAT(CHAR(96),CHAR(34)),$J878)),ISNUMBER(SEARCH(_xlfn.CONCAT(CHAR(34),CHAR(39)),$J878))),_xlfn.CONCAT("* REVIEW REQUIRED: compound-quote delimiter in Notes on Sheet 1 row ",878,"; edit the input before running."),_xlfn.CONCAT("char ",TRIM($B878),"[doc_notes] ",CHAR(96),CHAR(34),SUBSTITUTE(SUBSTITUTE(SUBSTITUTE(SUBSTITUTE(SUBSTITUTE(SUBSTITUTE($J878,CHAR(13)," "),CHAR(10)," "),CHAR(9)," "),CHAR(92),_xlfn.CONCAT(CHAR(92),CHAR(92))),"$",_xlfn.CONCAT(CHAR(92),"$")),CHAR(96),_xlfn.CONCAT(CHAR(92),CHAR(96))),CHAR(34),CHAR(39))))</f>
        <v/>
      </c>
      <c r="U878" s="5">
        <f t="shared" si="27"/>
        <v>0</v>
      </c>
    </row>
    <row r="879" spans="3:21" ht="30" customHeight="1" x14ac:dyDescent="0.2">
      <c r="C879" s="4"/>
      <c r="K879" s="5">
        <f t="shared" si="26"/>
        <v>0</v>
      </c>
      <c r="L879" s="5" t="str">
        <f>IF(OR(TRIM($B879)="",$A879=""),"",IF(OR(ISNUMBER(SEARCH(_xlfn.CONCAT(CHAR(96),CHAR(34)),$A879)),ISNUMBER(SEARCH(_xlfn.CONCAT(CHAR(34),CHAR(39)),$A879))),_xlfn.CONCAT("* REVIEW REQUIRED: compound-quote delimiter in Codebook Section on Sheet 1 row ",879,"; edit the input before running."),_xlfn.CONCAT("char ",TRIM($B879),"[doc_section] ",CHAR(96),CHAR(34),SUBSTITUTE(SUBSTITUTE(SUBSTITUTE(SUBSTITUTE(SUBSTITUTE(SUBSTITUTE($A879,CHAR(13)," "),CHAR(10)," "),CHAR(9)," "),CHAR(92),_xlfn.CONCAT(CHAR(92),CHAR(92))),"$",_xlfn.CONCAT(CHAR(92),"$")),CHAR(96),_xlfn.CONCAT(CHAR(92),CHAR(96))),CHAR(34),CHAR(39))))</f>
        <v/>
      </c>
      <c r="M879" s="5" t="str">
        <f>IF(OR(TRIM($B879)="",$C879=""),"",IF(IFERROR(MATCH(TRIM($C879),{"Quantitative","Continuous","Discrete","Categorical","Nominal","Ordinal","Identifier"},0),0)=0,_xlfn.CONCAT("* REVIEW REQUIRED: invalid Variable Type on Sheet 1 row ",879,"."),_xlfn.CONCAT("char ",TRIM($B879),"[doc_vartype] ",CHAR(96),CHAR(34),SUBSTITUTE(SUBSTITUTE(SUBSTITUTE(SUBSTITUTE(SUBSTITUTE(SUBSTITUTE(LOWER(TRIM($C879)),CHAR(13)," "),CHAR(10)," "),CHAR(9)," "),CHAR(92),_xlfn.CONCAT(CHAR(92),CHAR(92))),"$",_xlfn.CONCAT(CHAR(92),"$")),CHAR(96),_xlfn.CONCAT(CHAR(92),CHAR(96))),CHAR(34),CHAR(39))))</f>
        <v/>
      </c>
      <c r="N879" s="5" t="str">
        <f>IF(OR(TRIM($B879)="",$D879=""),"",IF(OR(ISNUMBER(SEARCH(_xlfn.CONCAT(CHAR(96),CHAR(34)),$D879)),ISNUMBER(SEARCH(_xlfn.CONCAT(CHAR(34),CHAR(39)),$D879))),_xlfn.CONCAT("* REVIEW REQUIRED: compound-quote delimiter in Item Number on Sheet 1 row ",879,"; edit the input before running."),_xlfn.CONCAT("char ",TRIM($B879),"[doc_itemnum] ",CHAR(96),CHAR(34),SUBSTITUTE(SUBSTITUTE(SUBSTITUTE(SUBSTITUTE(SUBSTITUTE(SUBSTITUTE($D879,CHAR(13)," "),CHAR(10)," "),CHAR(9)," "),CHAR(92),_xlfn.CONCAT(CHAR(92),CHAR(92))),"$",_xlfn.CONCAT(CHAR(92),"$")),CHAR(96),_xlfn.CONCAT(CHAR(92),CHAR(96))),CHAR(34),CHAR(39))))</f>
        <v/>
      </c>
      <c r="O879" s="5" t="str">
        <f>IF(OR(TRIM($B879)="",$E879=""),"",IF(OR(ISNUMBER(SEARCH(_xlfn.CONCAT(CHAR(96),CHAR(34)),$E879)),ISNUMBER(SEARCH(_xlfn.CONCAT(CHAR(34),CHAR(39)),$E879))),_xlfn.CONCAT("* REVIEW REQUIRED: compound-quote delimiter in Question Wording on Sheet 1 row ",879,"; edit the input before running."),_xlfn.CONCAT("char ",TRIM($B879),"[doc_question] ",CHAR(96),CHAR(34),SUBSTITUTE(SUBSTITUTE(SUBSTITUTE(SUBSTITUTE(SUBSTITUTE(SUBSTITUTE($E879,CHAR(13)," "),CHAR(10)," "),CHAR(9)," "),CHAR(92),_xlfn.CONCAT(CHAR(92),CHAR(92))),"$",_xlfn.CONCAT(CHAR(92),"$")),CHAR(96),_xlfn.CONCAT(CHAR(92),CHAR(96))),CHAR(34),CHAR(39))))</f>
        <v/>
      </c>
      <c r="P879" s="5" t="str">
        <f>IF(OR(TRIM($B879)="",$F879=""),"",IF(OR(ISNUMBER(SEARCH(_xlfn.CONCAT(CHAR(96),CHAR(34)),$F879)),ISNUMBER(SEARCH(_xlfn.CONCAT(CHAR(34),CHAR(39)),$F879))),_xlfn.CONCAT("* REVIEW REQUIRED: compound-quote delimiter in Units on Sheet 1 row ",879,"; edit the input before running."),_xlfn.CONCAT("char ",TRIM($B879),"[doc_units] ",CHAR(96),CHAR(34),SUBSTITUTE(SUBSTITUTE(SUBSTITUTE(SUBSTITUTE(SUBSTITUTE(SUBSTITUTE($F879,CHAR(13)," "),CHAR(10)," "),CHAR(9)," "),CHAR(92),_xlfn.CONCAT(CHAR(92),CHAR(92))),"$",_xlfn.CONCAT(CHAR(92),"$")),CHAR(96),_xlfn.CONCAT(CHAR(92),CHAR(96))),CHAR(34),CHAR(39))))</f>
        <v/>
      </c>
      <c r="Q879" s="5" t="str">
        <f>IF(OR(TRIM($B879)="",$G879=""),"",IF(OR(ISNUMBER(SEARCH(_xlfn.CONCAT(CHAR(96),CHAR(34)),$G879)),ISNUMBER(SEARCH(_xlfn.CONCAT(CHAR(34),CHAR(39)),$G879))),_xlfn.CONCAT("* REVIEW REQUIRED: compound-quote delimiter in Universe on Sheet 1 row ",879,"; edit the input before running."),_xlfn.CONCAT("char ",TRIM($B879),"[doc_universe] ",CHAR(96),CHAR(34),SUBSTITUTE(SUBSTITUTE(SUBSTITUTE(SUBSTITUTE(SUBSTITUTE(SUBSTITUTE($G879,CHAR(13)," "),CHAR(10)," "),CHAR(9)," "),CHAR(92),_xlfn.CONCAT(CHAR(92),CHAR(92))),"$",_xlfn.CONCAT(CHAR(92),"$")),CHAR(96),_xlfn.CONCAT(CHAR(92),CHAR(96))),CHAR(34),CHAR(39))))</f>
        <v/>
      </c>
      <c r="R879" s="5" t="str">
        <f>IF(OR(TRIM($B879)="",$H879=""),"",IF(OR(ISNUMBER(SEARCH(_xlfn.CONCAT(CHAR(96),CHAR(34)),$H879)),ISNUMBER(SEARCH(_xlfn.CONCAT(CHAR(34),CHAR(39)),$H879))),_xlfn.CONCAT("* REVIEW REQUIRED: compound-quote delimiter in Source on Sheet 1 row ",879,"; edit the input before running."),_xlfn.CONCAT("char ",TRIM($B879),"[doc_source] ",CHAR(96),CHAR(34),SUBSTITUTE(SUBSTITUTE(SUBSTITUTE(SUBSTITUTE(SUBSTITUTE(SUBSTITUTE($H879,CHAR(13)," "),CHAR(10)," "),CHAR(9)," "),CHAR(92),_xlfn.CONCAT(CHAR(92),CHAR(92))),"$",_xlfn.CONCAT(CHAR(92),"$")),CHAR(96),_xlfn.CONCAT(CHAR(92),CHAR(96))),CHAR(34),CHAR(39))))</f>
        <v/>
      </c>
      <c r="S879" s="5" t="str">
        <f>IF(OR(TRIM($B879)="",$I879=""),"",IF(OR(ISNUMBER(SEARCH(_xlfn.CONCAT(CHAR(96),CHAR(34)),$I879)),ISNUMBER(SEARCH(_xlfn.CONCAT(CHAR(34),CHAR(39)),$I879))),_xlfn.CONCAT("* REVIEW REQUIRED: compound-quote delimiter in Derivation on Sheet 1 row ",879,"; edit the input before running."),_xlfn.CONCAT("char ",TRIM($B879),"[doc_derivation] ",CHAR(96),CHAR(34),SUBSTITUTE(SUBSTITUTE(SUBSTITUTE(SUBSTITUTE(SUBSTITUTE(SUBSTITUTE($I879,CHAR(13)," "),CHAR(10)," "),CHAR(9)," "),CHAR(92),_xlfn.CONCAT(CHAR(92),CHAR(92))),"$",_xlfn.CONCAT(CHAR(92),"$")),CHAR(96),_xlfn.CONCAT(CHAR(92),CHAR(96))),CHAR(34),CHAR(39))))</f>
        <v/>
      </c>
      <c r="T879" s="5" t="str">
        <f>IF(OR(TRIM($B879)="",$J879=""),"",IF(OR(ISNUMBER(SEARCH(_xlfn.CONCAT(CHAR(96),CHAR(34)),$J879)),ISNUMBER(SEARCH(_xlfn.CONCAT(CHAR(34),CHAR(39)),$J879))),_xlfn.CONCAT("* REVIEW REQUIRED: compound-quote delimiter in Notes on Sheet 1 row ",879,"; edit the input before running."),_xlfn.CONCAT("char ",TRIM($B879),"[doc_notes] ",CHAR(96),CHAR(34),SUBSTITUTE(SUBSTITUTE(SUBSTITUTE(SUBSTITUTE(SUBSTITUTE(SUBSTITUTE($J879,CHAR(13)," "),CHAR(10)," "),CHAR(9)," "),CHAR(92),_xlfn.CONCAT(CHAR(92),CHAR(92))),"$",_xlfn.CONCAT(CHAR(92),"$")),CHAR(96),_xlfn.CONCAT(CHAR(92),CHAR(96))),CHAR(34),CHAR(39))))</f>
        <v/>
      </c>
      <c r="U879" s="5">
        <f t="shared" si="27"/>
        <v>0</v>
      </c>
    </row>
    <row r="880" spans="3:21" ht="30" customHeight="1" x14ac:dyDescent="0.2">
      <c r="C880" s="4"/>
      <c r="K880" s="5">
        <f t="shared" si="26"/>
        <v>0</v>
      </c>
      <c r="L880" s="5" t="str">
        <f>IF(OR(TRIM($B880)="",$A880=""),"",IF(OR(ISNUMBER(SEARCH(_xlfn.CONCAT(CHAR(96),CHAR(34)),$A880)),ISNUMBER(SEARCH(_xlfn.CONCAT(CHAR(34),CHAR(39)),$A880))),_xlfn.CONCAT("* REVIEW REQUIRED: compound-quote delimiter in Codebook Section on Sheet 1 row ",880,"; edit the input before running."),_xlfn.CONCAT("char ",TRIM($B880),"[doc_section] ",CHAR(96),CHAR(34),SUBSTITUTE(SUBSTITUTE(SUBSTITUTE(SUBSTITUTE(SUBSTITUTE(SUBSTITUTE($A880,CHAR(13)," "),CHAR(10)," "),CHAR(9)," "),CHAR(92),_xlfn.CONCAT(CHAR(92),CHAR(92))),"$",_xlfn.CONCAT(CHAR(92),"$")),CHAR(96),_xlfn.CONCAT(CHAR(92),CHAR(96))),CHAR(34),CHAR(39))))</f>
        <v/>
      </c>
      <c r="M880" s="5" t="str">
        <f>IF(OR(TRIM($B880)="",$C880=""),"",IF(IFERROR(MATCH(TRIM($C880),{"Quantitative","Continuous","Discrete","Categorical","Nominal","Ordinal","Identifier"},0),0)=0,_xlfn.CONCAT("* REVIEW REQUIRED: invalid Variable Type on Sheet 1 row ",880,"."),_xlfn.CONCAT("char ",TRIM($B880),"[doc_vartype] ",CHAR(96),CHAR(34),SUBSTITUTE(SUBSTITUTE(SUBSTITUTE(SUBSTITUTE(SUBSTITUTE(SUBSTITUTE(LOWER(TRIM($C880)),CHAR(13)," "),CHAR(10)," "),CHAR(9)," "),CHAR(92),_xlfn.CONCAT(CHAR(92),CHAR(92))),"$",_xlfn.CONCAT(CHAR(92),"$")),CHAR(96),_xlfn.CONCAT(CHAR(92),CHAR(96))),CHAR(34),CHAR(39))))</f>
        <v/>
      </c>
      <c r="N880" s="5" t="str">
        <f>IF(OR(TRIM($B880)="",$D880=""),"",IF(OR(ISNUMBER(SEARCH(_xlfn.CONCAT(CHAR(96),CHAR(34)),$D880)),ISNUMBER(SEARCH(_xlfn.CONCAT(CHAR(34),CHAR(39)),$D880))),_xlfn.CONCAT("* REVIEW REQUIRED: compound-quote delimiter in Item Number on Sheet 1 row ",880,"; edit the input before running."),_xlfn.CONCAT("char ",TRIM($B880),"[doc_itemnum] ",CHAR(96),CHAR(34),SUBSTITUTE(SUBSTITUTE(SUBSTITUTE(SUBSTITUTE(SUBSTITUTE(SUBSTITUTE($D880,CHAR(13)," "),CHAR(10)," "),CHAR(9)," "),CHAR(92),_xlfn.CONCAT(CHAR(92),CHAR(92))),"$",_xlfn.CONCAT(CHAR(92),"$")),CHAR(96),_xlfn.CONCAT(CHAR(92),CHAR(96))),CHAR(34),CHAR(39))))</f>
        <v/>
      </c>
      <c r="O880" s="5" t="str">
        <f>IF(OR(TRIM($B880)="",$E880=""),"",IF(OR(ISNUMBER(SEARCH(_xlfn.CONCAT(CHAR(96),CHAR(34)),$E880)),ISNUMBER(SEARCH(_xlfn.CONCAT(CHAR(34),CHAR(39)),$E880))),_xlfn.CONCAT("* REVIEW REQUIRED: compound-quote delimiter in Question Wording on Sheet 1 row ",880,"; edit the input before running."),_xlfn.CONCAT("char ",TRIM($B880),"[doc_question] ",CHAR(96),CHAR(34),SUBSTITUTE(SUBSTITUTE(SUBSTITUTE(SUBSTITUTE(SUBSTITUTE(SUBSTITUTE($E880,CHAR(13)," "),CHAR(10)," "),CHAR(9)," "),CHAR(92),_xlfn.CONCAT(CHAR(92),CHAR(92))),"$",_xlfn.CONCAT(CHAR(92),"$")),CHAR(96),_xlfn.CONCAT(CHAR(92),CHAR(96))),CHAR(34),CHAR(39))))</f>
        <v/>
      </c>
      <c r="P880" s="5" t="str">
        <f>IF(OR(TRIM($B880)="",$F880=""),"",IF(OR(ISNUMBER(SEARCH(_xlfn.CONCAT(CHAR(96),CHAR(34)),$F880)),ISNUMBER(SEARCH(_xlfn.CONCAT(CHAR(34),CHAR(39)),$F880))),_xlfn.CONCAT("* REVIEW REQUIRED: compound-quote delimiter in Units on Sheet 1 row ",880,"; edit the input before running."),_xlfn.CONCAT("char ",TRIM($B880),"[doc_units] ",CHAR(96),CHAR(34),SUBSTITUTE(SUBSTITUTE(SUBSTITUTE(SUBSTITUTE(SUBSTITUTE(SUBSTITUTE($F880,CHAR(13)," "),CHAR(10)," "),CHAR(9)," "),CHAR(92),_xlfn.CONCAT(CHAR(92),CHAR(92))),"$",_xlfn.CONCAT(CHAR(92),"$")),CHAR(96),_xlfn.CONCAT(CHAR(92),CHAR(96))),CHAR(34),CHAR(39))))</f>
        <v/>
      </c>
      <c r="Q880" s="5" t="str">
        <f>IF(OR(TRIM($B880)="",$G880=""),"",IF(OR(ISNUMBER(SEARCH(_xlfn.CONCAT(CHAR(96),CHAR(34)),$G880)),ISNUMBER(SEARCH(_xlfn.CONCAT(CHAR(34),CHAR(39)),$G880))),_xlfn.CONCAT("* REVIEW REQUIRED: compound-quote delimiter in Universe on Sheet 1 row ",880,"; edit the input before running."),_xlfn.CONCAT("char ",TRIM($B880),"[doc_universe] ",CHAR(96),CHAR(34),SUBSTITUTE(SUBSTITUTE(SUBSTITUTE(SUBSTITUTE(SUBSTITUTE(SUBSTITUTE($G880,CHAR(13)," "),CHAR(10)," "),CHAR(9)," "),CHAR(92),_xlfn.CONCAT(CHAR(92),CHAR(92))),"$",_xlfn.CONCAT(CHAR(92),"$")),CHAR(96),_xlfn.CONCAT(CHAR(92),CHAR(96))),CHAR(34),CHAR(39))))</f>
        <v/>
      </c>
      <c r="R880" s="5" t="str">
        <f>IF(OR(TRIM($B880)="",$H880=""),"",IF(OR(ISNUMBER(SEARCH(_xlfn.CONCAT(CHAR(96),CHAR(34)),$H880)),ISNUMBER(SEARCH(_xlfn.CONCAT(CHAR(34),CHAR(39)),$H880))),_xlfn.CONCAT("* REVIEW REQUIRED: compound-quote delimiter in Source on Sheet 1 row ",880,"; edit the input before running."),_xlfn.CONCAT("char ",TRIM($B880),"[doc_source] ",CHAR(96),CHAR(34),SUBSTITUTE(SUBSTITUTE(SUBSTITUTE(SUBSTITUTE(SUBSTITUTE(SUBSTITUTE($H880,CHAR(13)," "),CHAR(10)," "),CHAR(9)," "),CHAR(92),_xlfn.CONCAT(CHAR(92),CHAR(92))),"$",_xlfn.CONCAT(CHAR(92),"$")),CHAR(96),_xlfn.CONCAT(CHAR(92),CHAR(96))),CHAR(34),CHAR(39))))</f>
        <v/>
      </c>
      <c r="S880" s="5" t="str">
        <f>IF(OR(TRIM($B880)="",$I880=""),"",IF(OR(ISNUMBER(SEARCH(_xlfn.CONCAT(CHAR(96),CHAR(34)),$I880)),ISNUMBER(SEARCH(_xlfn.CONCAT(CHAR(34),CHAR(39)),$I880))),_xlfn.CONCAT("* REVIEW REQUIRED: compound-quote delimiter in Derivation on Sheet 1 row ",880,"; edit the input before running."),_xlfn.CONCAT("char ",TRIM($B880),"[doc_derivation] ",CHAR(96),CHAR(34),SUBSTITUTE(SUBSTITUTE(SUBSTITUTE(SUBSTITUTE(SUBSTITUTE(SUBSTITUTE($I880,CHAR(13)," "),CHAR(10)," "),CHAR(9)," "),CHAR(92),_xlfn.CONCAT(CHAR(92),CHAR(92))),"$",_xlfn.CONCAT(CHAR(92),"$")),CHAR(96),_xlfn.CONCAT(CHAR(92),CHAR(96))),CHAR(34),CHAR(39))))</f>
        <v/>
      </c>
      <c r="T880" s="5" t="str">
        <f>IF(OR(TRIM($B880)="",$J880=""),"",IF(OR(ISNUMBER(SEARCH(_xlfn.CONCAT(CHAR(96),CHAR(34)),$J880)),ISNUMBER(SEARCH(_xlfn.CONCAT(CHAR(34),CHAR(39)),$J880))),_xlfn.CONCAT("* REVIEW REQUIRED: compound-quote delimiter in Notes on Sheet 1 row ",880,"; edit the input before running."),_xlfn.CONCAT("char ",TRIM($B880),"[doc_notes] ",CHAR(96),CHAR(34),SUBSTITUTE(SUBSTITUTE(SUBSTITUTE(SUBSTITUTE(SUBSTITUTE(SUBSTITUTE($J880,CHAR(13)," "),CHAR(10)," "),CHAR(9)," "),CHAR(92),_xlfn.CONCAT(CHAR(92),CHAR(92))),"$",_xlfn.CONCAT(CHAR(92),"$")),CHAR(96),_xlfn.CONCAT(CHAR(92),CHAR(96))),CHAR(34),CHAR(39))))</f>
        <v/>
      </c>
      <c r="U880" s="5">
        <f t="shared" si="27"/>
        <v>0</v>
      </c>
    </row>
    <row r="881" spans="3:21" ht="30" customHeight="1" x14ac:dyDescent="0.2">
      <c r="C881" s="4"/>
      <c r="K881" s="5">
        <f t="shared" si="26"/>
        <v>0</v>
      </c>
      <c r="L881" s="5" t="str">
        <f>IF(OR(TRIM($B881)="",$A881=""),"",IF(OR(ISNUMBER(SEARCH(_xlfn.CONCAT(CHAR(96),CHAR(34)),$A881)),ISNUMBER(SEARCH(_xlfn.CONCAT(CHAR(34),CHAR(39)),$A881))),_xlfn.CONCAT("* REVIEW REQUIRED: compound-quote delimiter in Codebook Section on Sheet 1 row ",881,"; edit the input before running."),_xlfn.CONCAT("char ",TRIM($B881),"[doc_section] ",CHAR(96),CHAR(34),SUBSTITUTE(SUBSTITUTE(SUBSTITUTE(SUBSTITUTE(SUBSTITUTE(SUBSTITUTE($A881,CHAR(13)," "),CHAR(10)," "),CHAR(9)," "),CHAR(92),_xlfn.CONCAT(CHAR(92),CHAR(92))),"$",_xlfn.CONCAT(CHAR(92),"$")),CHAR(96),_xlfn.CONCAT(CHAR(92),CHAR(96))),CHAR(34),CHAR(39))))</f>
        <v/>
      </c>
      <c r="M881" s="5" t="str">
        <f>IF(OR(TRIM($B881)="",$C881=""),"",IF(IFERROR(MATCH(TRIM($C881),{"Quantitative","Continuous","Discrete","Categorical","Nominal","Ordinal","Identifier"},0),0)=0,_xlfn.CONCAT("* REVIEW REQUIRED: invalid Variable Type on Sheet 1 row ",881,"."),_xlfn.CONCAT("char ",TRIM($B881),"[doc_vartype] ",CHAR(96),CHAR(34),SUBSTITUTE(SUBSTITUTE(SUBSTITUTE(SUBSTITUTE(SUBSTITUTE(SUBSTITUTE(LOWER(TRIM($C881)),CHAR(13)," "),CHAR(10)," "),CHAR(9)," "),CHAR(92),_xlfn.CONCAT(CHAR(92),CHAR(92))),"$",_xlfn.CONCAT(CHAR(92),"$")),CHAR(96),_xlfn.CONCAT(CHAR(92),CHAR(96))),CHAR(34),CHAR(39))))</f>
        <v/>
      </c>
      <c r="N881" s="5" t="str">
        <f>IF(OR(TRIM($B881)="",$D881=""),"",IF(OR(ISNUMBER(SEARCH(_xlfn.CONCAT(CHAR(96),CHAR(34)),$D881)),ISNUMBER(SEARCH(_xlfn.CONCAT(CHAR(34),CHAR(39)),$D881))),_xlfn.CONCAT("* REVIEW REQUIRED: compound-quote delimiter in Item Number on Sheet 1 row ",881,"; edit the input before running."),_xlfn.CONCAT("char ",TRIM($B881),"[doc_itemnum] ",CHAR(96),CHAR(34),SUBSTITUTE(SUBSTITUTE(SUBSTITUTE(SUBSTITUTE(SUBSTITUTE(SUBSTITUTE($D881,CHAR(13)," "),CHAR(10)," "),CHAR(9)," "),CHAR(92),_xlfn.CONCAT(CHAR(92),CHAR(92))),"$",_xlfn.CONCAT(CHAR(92),"$")),CHAR(96),_xlfn.CONCAT(CHAR(92),CHAR(96))),CHAR(34),CHAR(39))))</f>
        <v/>
      </c>
      <c r="O881" s="5" t="str">
        <f>IF(OR(TRIM($B881)="",$E881=""),"",IF(OR(ISNUMBER(SEARCH(_xlfn.CONCAT(CHAR(96),CHAR(34)),$E881)),ISNUMBER(SEARCH(_xlfn.CONCAT(CHAR(34),CHAR(39)),$E881))),_xlfn.CONCAT("* REVIEW REQUIRED: compound-quote delimiter in Question Wording on Sheet 1 row ",881,"; edit the input before running."),_xlfn.CONCAT("char ",TRIM($B881),"[doc_question] ",CHAR(96),CHAR(34),SUBSTITUTE(SUBSTITUTE(SUBSTITUTE(SUBSTITUTE(SUBSTITUTE(SUBSTITUTE($E881,CHAR(13)," "),CHAR(10)," "),CHAR(9)," "),CHAR(92),_xlfn.CONCAT(CHAR(92),CHAR(92))),"$",_xlfn.CONCAT(CHAR(92),"$")),CHAR(96),_xlfn.CONCAT(CHAR(92),CHAR(96))),CHAR(34),CHAR(39))))</f>
        <v/>
      </c>
      <c r="P881" s="5" t="str">
        <f>IF(OR(TRIM($B881)="",$F881=""),"",IF(OR(ISNUMBER(SEARCH(_xlfn.CONCAT(CHAR(96),CHAR(34)),$F881)),ISNUMBER(SEARCH(_xlfn.CONCAT(CHAR(34),CHAR(39)),$F881))),_xlfn.CONCAT("* REVIEW REQUIRED: compound-quote delimiter in Units on Sheet 1 row ",881,"; edit the input before running."),_xlfn.CONCAT("char ",TRIM($B881),"[doc_units] ",CHAR(96),CHAR(34),SUBSTITUTE(SUBSTITUTE(SUBSTITUTE(SUBSTITUTE(SUBSTITUTE(SUBSTITUTE($F881,CHAR(13)," "),CHAR(10)," "),CHAR(9)," "),CHAR(92),_xlfn.CONCAT(CHAR(92),CHAR(92))),"$",_xlfn.CONCAT(CHAR(92),"$")),CHAR(96),_xlfn.CONCAT(CHAR(92),CHAR(96))),CHAR(34),CHAR(39))))</f>
        <v/>
      </c>
      <c r="Q881" s="5" t="str">
        <f>IF(OR(TRIM($B881)="",$G881=""),"",IF(OR(ISNUMBER(SEARCH(_xlfn.CONCAT(CHAR(96),CHAR(34)),$G881)),ISNUMBER(SEARCH(_xlfn.CONCAT(CHAR(34),CHAR(39)),$G881))),_xlfn.CONCAT("* REVIEW REQUIRED: compound-quote delimiter in Universe on Sheet 1 row ",881,"; edit the input before running."),_xlfn.CONCAT("char ",TRIM($B881),"[doc_universe] ",CHAR(96),CHAR(34),SUBSTITUTE(SUBSTITUTE(SUBSTITUTE(SUBSTITUTE(SUBSTITUTE(SUBSTITUTE($G881,CHAR(13)," "),CHAR(10)," "),CHAR(9)," "),CHAR(92),_xlfn.CONCAT(CHAR(92),CHAR(92))),"$",_xlfn.CONCAT(CHAR(92),"$")),CHAR(96),_xlfn.CONCAT(CHAR(92),CHAR(96))),CHAR(34),CHAR(39))))</f>
        <v/>
      </c>
      <c r="R881" s="5" t="str">
        <f>IF(OR(TRIM($B881)="",$H881=""),"",IF(OR(ISNUMBER(SEARCH(_xlfn.CONCAT(CHAR(96),CHAR(34)),$H881)),ISNUMBER(SEARCH(_xlfn.CONCAT(CHAR(34),CHAR(39)),$H881))),_xlfn.CONCAT("* REVIEW REQUIRED: compound-quote delimiter in Source on Sheet 1 row ",881,"; edit the input before running."),_xlfn.CONCAT("char ",TRIM($B881),"[doc_source] ",CHAR(96),CHAR(34),SUBSTITUTE(SUBSTITUTE(SUBSTITUTE(SUBSTITUTE(SUBSTITUTE(SUBSTITUTE($H881,CHAR(13)," "),CHAR(10)," "),CHAR(9)," "),CHAR(92),_xlfn.CONCAT(CHAR(92),CHAR(92))),"$",_xlfn.CONCAT(CHAR(92),"$")),CHAR(96),_xlfn.CONCAT(CHAR(92),CHAR(96))),CHAR(34),CHAR(39))))</f>
        <v/>
      </c>
      <c r="S881" s="5" t="str">
        <f>IF(OR(TRIM($B881)="",$I881=""),"",IF(OR(ISNUMBER(SEARCH(_xlfn.CONCAT(CHAR(96),CHAR(34)),$I881)),ISNUMBER(SEARCH(_xlfn.CONCAT(CHAR(34),CHAR(39)),$I881))),_xlfn.CONCAT("* REVIEW REQUIRED: compound-quote delimiter in Derivation on Sheet 1 row ",881,"; edit the input before running."),_xlfn.CONCAT("char ",TRIM($B881),"[doc_derivation] ",CHAR(96),CHAR(34),SUBSTITUTE(SUBSTITUTE(SUBSTITUTE(SUBSTITUTE(SUBSTITUTE(SUBSTITUTE($I881,CHAR(13)," "),CHAR(10)," "),CHAR(9)," "),CHAR(92),_xlfn.CONCAT(CHAR(92),CHAR(92))),"$",_xlfn.CONCAT(CHAR(92),"$")),CHAR(96),_xlfn.CONCAT(CHAR(92),CHAR(96))),CHAR(34),CHAR(39))))</f>
        <v/>
      </c>
      <c r="T881" s="5" t="str">
        <f>IF(OR(TRIM($B881)="",$J881=""),"",IF(OR(ISNUMBER(SEARCH(_xlfn.CONCAT(CHAR(96),CHAR(34)),$J881)),ISNUMBER(SEARCH(_xlfn.CONCAT(CHAR(34),CHAR(39)),$J881))),_xlfn.CONCAT("* REVIEW REQUIRED: compound-quote delimiter in Notes on Sheet 1 row ",881,"; edit the input before running."),_xlfn.CONCAT("char ",TRIM($B881),"[doc_notes] ",CHAR(96),CHAR(34),SUBSTITUTE(SUBSTITUTE(SUBSTITUTE(SUBSTITUTE(SUBSTITUTE(SUBSTITUTE($J881,CHAR(13)," "),CHAR(10)," "),CHAR(9)," "),CHAR(92),_xlfn.CONCAT(CHAR(92),CHAR(92))),"$",_xlfn.CONCAT(CHAR(92),"$")),CHAR(96),_xlfn.CONCAT(CHAR(92),CHAR(96))),CHAR(34),CHAR(39))))</f>
        <v/>
      </c>
      <c r="U881" s="5">
        <f t="shared" si="27"/>
        <v>0</v>
      </c>
    </row>
    <row r="882" spans="3:21" ht="30" customHeight="1" x14ac:dyDescent="0.2">
      <c r="C882" s="4"/>
      <c r="K882" s="5">
        <f t="shared" si="26"/>
        <v>0</v>
      </c>
      <c r="L882" s="5" t="str">
        <f>IF(OR(TRIM($B882)="",$A882=""),"",IF(OR(ISNUMBER(SEARCH(_xlfn.CONCAT(CHAR(96),CHAR(34)),$A882)),ISNUMBER(SEARCH(_xlfn.CONCAT(CHAR(34),CHAR(39)),$A882))),_xlfn.CONCAT("* REVIEW REQUIRED: compound-quote delimiter in Codebook Section on Sheet 1 row ",882,"; edit the input before running."),_xlfn.CONCAT("char ",TRIM($B882),"[doc_section] ",CHAR(96),CHAR(34),SUBSTITUTE(SUBSTITUTE(SUBSTITUTE(SUBSTITUTE(SUBSTITUTE(SUBSTITUTE($A882,CHAR(13)," "),CHAR(10)," "),CHAR(9)," "),CHAR(92),_xlfn.CONCAT(CHAR(92),CHAR(92))),"$",_xlfn.CONCAT(CHAR(92),"$")),CHAR(96),_xlfn.CONCAT(CHAR(92),CHAR(96))),CHAR(34),CHAR(39))))</f>
        <v/>
      </c>
      <c r="M882" s="5" t="str">
        <f>IF(OR(TRIM($B882)="",$C882=""),"",IF(IFERROR(MATCH(TRIM($C882),{"Quantitative","Continuous","Discrete","Categorical","Nominal","Ordinal","Identifier"},0),0)=0,_xlfn.CONCAT("* REVIEW REQUIRED: invalid Variable Type on Sheet 1 row ",882,"."),_xlfn.CONCAT("char ",TRIM($B882),"[doc_vartype] ",CHAR(96),CHAR(34),SUBSTITUTE(SUBSTITUTE(SUBSTITUTE(SUBSTITUTE(SUBSTITUTE(SUBSTITUTE(LOWER(TRIM($C882)),CHAR(13)," "),CHAR(10)," "),CHAR(9)," "),CHAR(92),_xlfn.CONCAT(CHAR(92),CHAR(92))),"$",_xlfn.CONCAT(CHAR(92),"$")),CHAR(96),_xlfn.CONCAT(CHAR(92),CHAR(96))),CHAR(34),CHAR(39))))</f>
        <v/>
      </c>
      <c r="N882" s="5" t="str">
        <f>IF(OR(TRIM($B882)="",$D882=""),"",IF(OR(ISNUMBER(SEARCH(_xlfn.CONCAT(CHAR(96),CHAR(34)),$D882)),ISNUMBER(SEARCH(_xlfn.CONCAT(CHAR(34),CHAR(39)),$D882))),_xlfn.CONCAT("* REVIEW REQUIRED: compound-quote delimiter in Item Number on Sheet 1 row ",882,"; edit the input before running."),_xlfn.CONCAT("char ",TRIM($B882),"[doc_itemnum] ",CHAR(96),CHAR(34),SUBSTITUTE(SUBSTITUTE(SUBSTITUTE(SUBSTITUTE(SUBSTITUTE(SUBSTITUTE($D882,CHAR(13)," "),CHAR(10)," "),CHAR(9)," "),CHAR(92),_xlfn.CONCAT(CHAR(92),CHAR(92))),"$",_xlfn.CONCAT(CHAR(92),"$")),CHAR(96),_xlfn.CONCAT(CHAR(92),CHAR(96))),CHAR(34),CHAR(39))))</f>
        <v/>
      </c>
      <c r="O882" s="5" t="str">
        <f>IF(OR(TRIM($B882)="",$E882=""),"",IF(OR(ISNUMBER(SEARCH(_xlfn.CONCAT(CHAR(96),CHAR(34)),$E882)),ISNUMBER(SEARCH(_xlfn.CONCAT(CHAR(34),CHAR(39)),$E882))),_xlfn.CONCAT("* REVIEW REQUIRED: compound-quote delimiter in Question Wording on Sheet 1 row ",882,"; edit the input before running."),_xlfn.CONCAT("char ",TRIM($B882),"[doc_question] ",CHAR(96),CHAR(34),SUBSTITUTE(SUBSTITUTE(SUBSTITUTE(SUBSTITUTE(SUBSTITUTE(SUBSTITUTE($E882,CHAR(13)," "),CHAR(10)," "),CHAR(9)," "),CHAR(92),_xlfn.CONCAT(CHAR(92),CHAR(92))),"$",_xlfn.CONCAT(CHAR(92),"$")),CHAR(96),_xlfn.CONCAT(CHAR(92),CHAR(96))),CHAR(34),CHAR(39))))</f>
        <v/>
      </c>
      <c r="P882" s="5" t="str">
        <f>IF(OR(TRIM($B882)="",$F882=""),"",IF(OR(ISNUMBER(SEARCH(_xlfn.CONCAT(CHAR(96),CHAR(34)),$F882)),ISNUMBER(SEARCH(_xlfn.CONCAT(CHAR(34),CHAR(39)),$F882))),_xlfn.CONCAT("* REVIEW REQUIRED: compound-quote delimiter in Units on Sheet 1 row ",882,"; edit the input before running."),_xlfn.CONCAT("char ",TRIM($B882),"[doc_units] ",CHAR(96),CHAR(34),SUBSTITUTE(SUBSTITUTE(SUBSTITUTE(SUBSTITUTE(SUBSTITUTE(SUBSTITUTE($F882,CHAR(13)," "),CHAR(10)," "),CHAR(9)," "),CHAR(92),_xlfn.CONCAT(CHAR(92),CHAR(92))),"$",_xlfn.CONCAT(CHAR(92),"$")),CHAR(96),_xlfn.CONCAT(CHAR(92),CHAR(96))),CHAR(34),CHAR(39))))</f>
        <v/>
      </c>
      <c r="Q882" s="5" t="str">
        <f>IF(OR(TRIM($B882)="",$G882=""),"",IF(OR(ISNUMBER(SEARCH(_xlfn.CONCAT(CHAR(96),CHAR(34)),$G882)),ISNUMBER(SEARCH(_xlfn.CONCAT(CHAR(34),CHAR(39)),$G882))),_xlfn.CONCAT("* REVIEW REQUIRED: compound-quote delimiter in Universe on Sheet 1 row ",882,"; edit the input before running."),_xlfn.CONCAT("char ",TRIM($B882),"[doc_universe] ",CHAR(96),CHAR(34),SUBSTITUTE(SUBSTITUTE(SUBSTITUTE(SUBSTITUTE(SUBSTITUTE(SUBSTITUTE($G882,CHAR(13)," "),CHAR(10)," "),CHAR(9)," "),CHAR(92),_xlfn.CONCAT(CHAR(92),CHAR(92))),"$",_xlfn.CONCAT(CHAR(92),"$")),CHAR(96),_xlfn.CONCAT(CHAR(92),CHAR(96))),CHAR(34),CHAR(39))))</f>
        <v/>
      </c>
      <c r="R882" s="5" t="str">
        <f>IF(OR(TRIM($B882)="",$H882=""),"",IF(OR(ISNUMBER(SEARCH(_xlfn.CONCAT(CHAR(96),CHAR(34)),$H882)),ISNUMBER(SEARCH(_xlfn.CONCAT(CHAR(34),CHAR(39)),$H882))),_xlfn.CONCAT("* REVIEW REQUIRED: compound-quote delimiter in Source on Sheet 1 row ",882,"; edit the input before running."),_xlfn.CONCAT("char ",TRIM($B882),"[doc_source] ",CHAR(96),CHAR(34),SUBSTITUTE(SUBSTITUTE(SUBSTITUTE(SUBSTITUTE(SUBSTITUTE(SUBSTITUTE($H882,CHAR(13)," "),CHAR(10)," "),CHAR(9)," "),CHAR(92),_xlfn.CONCAT(CHAR(92),CHAR(92))),"$",_xlfn.CONCAT(CHAR(92),"$")),CHAR(96),_xlfn.CONCAT(CHAR(92),CHAR(96))),CHAR(34),CHAR(39))))</f>
        <v/>
      </c>
      <c r="S882" s="5" t="str">
        <f>IF(OR(TRIM($B882)="",$I882=""),"",IF(OR(ISNUMBER(SEARCH(_xlfn.CONCAT(CHAR(96),CHAR(34)),$I882)),ISNUMBER(SEARCH(_xlfn.CONCAT(CHAR(34),CHAR(39)),$I882))),_xlfn.CONCAT("* REVIEW REQUIRED: compound-quote delimiter in Derivation on Sheet 1 row ",882,"; edit the input before running."),_xlfn.CONCAT("char ",TRIM($B882),"[doc_derivation] ",CHAR(96),CHAR(34),SUBSTITUTE(SUBSTITUTE(SUBSTITUTE(SUBSTITUTE(SUBSTITUTE(SUBSTITUTE($I882,CHAR(13)," "),CHAR(10)," "),CHAR(9)," "),CHAR(92),_xlfn.CONCAT(CHAR(92),CHAR(92))),"$",_xlfn.CONCAT(CHAR(92),"$")),CHAR(96),_xlfn.CONCAT(CHAR(92),CHAR(96))),CHAR(34),CHAR(39))))</f>
        <v/>
      </c>
      <c r="T882" s="5" t="str">
        <f>IF(OR(TRIM($B882)="",$J882=""),"",IF(OR(ISNUMBER(SEARCH(_xlfn.CONCAT(CHAR(96),CHAR(34)),$J882)),ISNUMBER(SEARCH(_xlfn.CONCAT(CHAR(34),CHAR(39)),$J882))),_xlfn.CONCAT("* REVIEW REQUIRED: compound-quote delimiter in Notes on Sheet 1 row ",882,"; edit the input before running."),_xlfn.CONCAT("char ",TRIM($B882),"[doc_notes] ",CHAR(96),CHAR(34),SUBSTITUTE(SUBSTITUTE(SUBSTITUTE(SUBSTITUTE(SUBSTITUTE(SUBSTITUTE($J882,CHAR(13)," "),CHAR(10)," "),CHAR(9)," "),CHAR(92),_xlfn.CONCAT(CHAR(92),CHAR(92))),"$",_xlfn.CONCAT(CHAR(92),"$")),CHAR(96),_xlfn.CONCAT(CHAR(92),CHAR(96))),CHAR(34),CHAR(39))))</f>
        <v/>
      </c>
      <c r="U882" s="5">
        <f t="shared" si="27"/>
        <v>0</v>
      </c>
    </row>
    <row r="883" spans="3:21" ht="30" customHeight="1" x14ac:dyDescent="0.2">
      <c r="C883" s="4"/>
      <c r="K883" s="5">
        <f t="shared" si="26"/>
        <v>0</v>
      </c>
      <c r="L883" s="5" t="str">
        <f>IF(OR(TRIM($B883)="",$A883=""),"",IF(OR(ISNUMBER(SEARCH(_xlfn.CONCAT(CHAR(96),CHAR(34)),$A883)),ISNUMBER(SEARCH(_xlfn.CONCAT(CHAR(34),CHAR(39)),$A883))),_xlfn.CONCAT("* REVIEW REQUIRED: compound-quote delimiter in Codebook Section on Sheet 1 row ",883,"; edit the input before running."),_xlfn.CONCAT("char ",TRIM($B883),"[doc_section] ",CHAR(96),CHAR(34),SUBSTITUTE(SUBSTITUTE(SUBSTITUTE(SUBSTITUTE(SUBSTITUTE(SUBSTITUTE($A883,CHAR(13)," "),CHAR(10)," "),CHAR(9)," "),CHAR(92),_xlfn.CONCAT(CHAR(92),CHAR(92))),"$",_xlfn.CONCAT(CHAR(92),"$")),CHAR(96),_xlfn.CONCAT(CHAR(92),CHAR(96))),CHAR(34),CHAR(39))))</f>
        <v/>
      </c>
      <c r="M883" s="5" t="str">
        <f>IF(OR(TRIM($B883)="",$C883=""),"",IF(IFERROR(MATCH(TRIM($C883),{"Quantitative","Continuous","Discrete","Categorical","Nominal","Ordinal","Identifier"},0),0)=0,_xlfn.CONCAT("* REVIEW REQUIRED: invalid Variable Type on Sheet 1 row ",883,"."),_xlfn.CONCAT("char ",TRIM($B883),"[doc_vartype] ",CHAR(96),CHAR(34),SUBSTITUTE(SUBSTITUTE(SUBSTITUTE(SUBSTITUTE(SUBSTITUTE(SUBSTITUTE(LOWER(TRIM($C883)),CHAR(13)," "),CHAR(10)," "),CHAR(9)," "),CHAR(92),_xlfn.CONCAT(CHAR(92),CHAR(92))),"$",_xlfn.CONCAT(CHAR(92),"$")),CHAR(96),_xlfn.CONCAT(CHAR(92),CHAR(96))),CHAR(34),CHAR(39))))</f>
        <v/>
      </c>
      <c r="N883" s="5" t="str">
        <f>IF(OR(TRIM($B883)="",$D883=""),"",IF(OR(ISNUMBER(SEARCH(_xlfn.CONCAT(CHAR(96),CHAR(34)),$D883)),ISNUMBER(SEARCH(_xlfn.CONCAT(CHAR(34),CHAR(39)),$D883))),_xlfn.CONCAT("* REVIEW REQUIRED: compound-quote delimiter in Item Number on Sheet 1 row ",883,"; edit the input before running."),_xlfn.CONCAT("char ",TRIM($B883),"[doc_itemnum] ",CHAR(96),CHAR(34),SUBSTITUTE(SUBSTITUTE(SUBSTITUTE(SUBSTITUTE(SUBSTITUTE(SUBSTITUTE($D883,CHAR(13)," "),CHAR(10)," "),CHAR(9)," "),CHAR(92),_xlfn.CONCAT(CHAR(92),CHAR(92))),"$",_xlfn.CONCAT(CHAR(92),"$")),CHAR(96),_xlfn.CONCAT(CHAR(92),CHAR(96))),CHAR(34),CHAR(39))))</f>
        <v/>
      </c>
      <c r="O883" s="5" t="str">
        <f>IF(OR(TRIM($B883)="",$E883=""),"",IF(OR(ISNUMBER(SEARCH(_xlfn.CONCAT(CHAR(96),CHAR(34)),$E883)),ISNUMBER(SEARCH(_xlfn.CONCAT(CHAR(34),CHAR(39)),$E883))),_xlfn.CONCAT("* REVIEW REQUIRED: compound-quote delimiter in Question Wording on Sheet 1 row ",883,"; edit the input before running."),_xlfn.CONCAT("char ",TRIM($B883),"[doc_question] ",CHAR(96),CHAR(34),SUBSTITUTE(SUBSTITUTE(SUBSTITUTE(SUBSTITUTE(SUBSTITUTE(SUBSTITUTE($E883,CHAR(13)," "),CHAR(10)," "),CHAR(9)," "),CHAR(92),_xlfn.CONCAT(CHAR(92),CHAR(92))),"$",_xlfn.CONCAT(CHAR(92),"$")),CHAR(96),_xlfn.CONCAT(CHAR(92),CHAR(96))),CHAR(34),CHAR(39))))</f>
        <v/>
      </c>
      <c r="P883" s="5" t="str">
        <f>IF(OR(TRIM($B883)="",$F883=""),"",IF(OR(ISNUMBER(SEARCH(_xlfn.CONCAT(CHAR(96),CHAR(34)),$F883)),ISNUMBER(SEARCH(_xlfn.CONCAT(CHAR(34),CHAR(39)),$F883))),_xlfn.CONCAT("* REVIEW REQUIRED: compound-quote delimiter in Units on Sheet 1 row ",883,"; edit the input before running."),_xlfn.CONCAT("char ",TRIM($B883),"[doc_units] ",CHAR(96),CHAR(34),SUBSTITUTE(SUBSTITUTE(SUBSTITUTE(SUBSTITUTE(SUBSTITUTE(SUBSTITUTE($F883,CHAR(13)," "),CHAR(10)," "),CHAR(9)," "),CHAR(92),_xlfn.CONCAT(CHAR(92),CHAR(92))),"$",_xlfn.CONCAT(CHAR(92),"$")),CHAR(96),_xlfn.CONCAT(CHAR(92),CHAR(96))),CHAR(34),CHAR(39))))</f>
        <v/>
      </c>
      <c r="Q883" s="5" t="str">
        <f>IF(OR(TRIM($B883)="",$G883=""),"",IF(OR(ISNUMBER(SEARCH(_xlfn.CONCAT(CHAR(96),CHAR(34)),$G883)),ISNUMBER(SEARCH(_xlfn.CONCAT(CHAR(34),CHAR(39)),$G883))),_xlfn.CONCAT("* REVIEW REQUIRED: compound-quote delimiter in Universe on Sheet 1 row ",883,"; edit the input before running."),_xlfn.CONCAT("char ",TRIM($B883),"[doc_universe] ",CHAR(96),CHAR(34),SUBSTITUTE(SUBSTITUTE(SUBSTITUTE(SUBSTITUTE(SUBSTITUTE(SUBSTITUTE($G883,CHAR(13)," "),CHAR(10)," "),CHAR(9)," "),CHAR(92),_xlfn.CONCAT(CHAR(92),CHAR(92))),"$",_xlfn.CONCAT(CHAR(92),"$")),CHAR(96),_xlfn.CONCAT(CHAR(92),CHAR(96))),CHAR(34),CHAR(39))))</f>
        <v/>
      </c>
      <c r="R883" s="5" t="str">
        <f>IF(OR(TRIM($B883)="",$H883=""),"",IF(OR(ISNUMBER(SEARCH(_xlfn.CONCAT(CHAR(96),CHAR(34)),$H883)),ISNUMBER(SEARCH(_xlfn.CONCAT(CHAR(34),CHAR(39)),$H883))),_xlfn.CONCAT("* REVIEW REQUIRED: compound-quote delimiter in Source on Sheet 1 row ",883,"; edit the input before running."),_xlfn.CONCAT("char ",TRIM($B883),"[doc_source] ",CHAR(96),CHAR(34),SUBSTITUTE(SUBSTITUTE(SUBSTITUTE(SUBSTITUTE(SUBSTITUTE(SUBSTITUTE($H883,CHAR(13)," "),CHAR(10)," "),CHAR(9)," "),CHAR(92),_xlfn.CONCAT(CHAR(92),CHAR(92))),"$",_xlfn.CONCAT(CHAR(92),"$")),CHAR(96),_xlfn.CONCAT(CHAR(92),CHAR(96))),CHAR(34),CHAR(39))))</f>
        <v/>
      </c>
      <c r="S883" s="5" t="str">
        <f>IF(OR(TRIM($B883)="",$I883=""),"",IF(OR(ISNUMBER(SEARCH(_xlfn.CONCAT(CHAR(96),CHAR(34)),$I883)),ISNUMBER(SEARCH(_xlfn.CONCAT(CHAR(34),CHAR(39)),$I883))),_xlfn.CONCAT("* REVIEW REQUIRED: compound-quote delimiter in Derivation on Sheet 1 row ",883,"; edit the input before running."),_xlfn.CONCAT("char ",TRIM($B883),"[doc_derivation] ",CHAR(96),CHAR(34),SUBSTITUTE(SUBSTITUTE(SUBSTITUTE(SUBSTITUTE(SUBSTITUTE(SUBSTITUTE($I883,CHAR(13)," "),CHAR(10)," "),CHAR(9)," "),CHAR(92),_xlfn.CONCAT(CHAR(92),CHAR(92))),"$",_xlfn.CONCAT(CHAR(92),"$")),CHAR(96),_xlfn.CONCAT(CHAR(92),CHAR(96))),CHAR(34),CHAR(39))))</f>
        <v/>
      </c>
      <c r="T883" s="5" t="str">
        <f>IF(OR(TRIM($B883)="",$J883=""),"",IF(OR(ISNUMBER(SEARCH(_xlfn.CONCAT(CHAR(96),CHAR(34)),$J883)),ISNUMBER(SEARCH(_xlfn.CONCAT(CHAR(34),CHAR(39)),$J883))),_xlfn.CONCAT("* REVIEW REQUIRED: compound-quote delimiter in Notes on Sheet 1 row ",883,"; edit the input before running."),_xlfn.CONCAT("char ",TRIM($B883),"[doc_notes] ",CHAR(96),CHAR(34),SUBSTITUTE(SUBSTITUTE(SUBSTITUTE(SUBSTITUTE(SUBSTITUTE(SUBSTITUTE($J883,CHAR(13)," "),CHAR(10)," "),CHAR(9)," "),CHAR(92),_xlfn.CONCAT(CHAR(92),CHAR(92))),"$",_xlfn.CONCAT(CHAR(92),"$")),CHAR(96),_xlfn.CONCAT(CHAR(92),CHAR(96))),CHAR(34),CHAR(39))))</f>
        <v/>
      </c>
      <c r="U883" s="5">
        <f t="shared" si="27"/>
        <v>0</v>
      </c>
    </row>
    <row r="884" spans="3:21" ht="30" customHeight="1" x14ac:dyDescent="0.2">
      <c r="C884" s="4"/>
      <c r="K884" s="5">
        <f t="shared" si="26"/>
        <v>0</v>
      </c>
      <c r="L884" s="5" t="str">
        <f>IF(OR(TRIM($B884)="",$A884=""),"",IF(OR(ISNUMBER(SEARCH(_xlfn.CONCAT(CHAR(96),CHAR(34)),$A884)),ISNUMBER(SEARCH(_xlfn.CONCAT(CHAR(34),CHAR(39)),$A884))),_xlfn.CONCAT("* REVIEW REQUIRED: compound-quote delimiter in Codebook Section on Sheet 1 row ",884,"; edit the input before running."),_xlfn.CONCAT("char ",TRIM($B884),"[doc_section] ",CHAR(96),CHAR(34),SUBSTITUTE(SUBSTITUTE(SUBSTITUTE(SUBSTITUTE(SUBSTITUTE(SUBSTITUTE($A884,CHAR(13)," "),CHAR(10)," "),CHAR(9)," "),CHAR(92),_xlfn.CONCAT(CHAR(92),CHAR(92))),"$",_xlfn.CONCAT(CHAR(92),"$")),CHAR(96),_xlfn.CONCAT(CHAR(92),CHAR(96))),CHAR(34),CHAR(39))))</f>
        <v/>
      </c>
      <c r="M884" s="5" t="str">
        <f>IF(OR(TRIM($B884)="",$C884=""),"",IF(IFERROR(MATCH(TRIM($C884),{"Quantitative","Continuous","Discrete","Categorical","Nominal","Ordinal","Identifier"},0),0)=0,_xlfn.CONCAT("* REVIEW REQUIRED: invalid Variable Type on Sheet 1 row ",884,"."),_xlfn.CONCAT("char ",TRIM($B884),"[doc_vartype] ",CHAR(96),CHAR(34),SUBSTITUTE(SUBSTITUTE(SUBSTITUTE(SUBSTITUTE(SUBSTITUTE(SUBSTITUTE(LOWER(TRIM($C884)),CHAR(13)," "),CHAR(10)," "),CHAR(9)," "),CHAR(92),_xlfn.CONCAT(CHAR(92),CHAR(92))),"$",_xlfn.CONCAT(CHAR(92),"$")),CHAR(96),_xlfn.CONCAT(CHAR(92),CHAR(96))),CHAR(34),CHAR(39))))</f>
        <v/>
      </c>
      <c r="N884" s="5" t="str">
        <f>IF(OR(TRIM($B884)="",$D884=""),"",IF(OR(ISNUMBER(SEARCH(_xlfn.CONCAT(CHAR(96),CHAR(34)),$D884)),ISNUMBER(SEARCH(_xlfn.CONCAT(CHAR(34),CHAR(39)),$D884))),_xlfn.CONCAT("* REVIEW REQUIRED: compound-quote delimiter in Item Number on Sheet 1 row ",884,"; edit the input before running."),_xlfn.CONCAT("char ",TRIM($B884),"[doc_itemnum] ",CHAR(96),CHAR(34),SUBSTITUTE(SUBSTITUTE(SUBSTITUTE(SUBSTITUTE(SUBSTITUTE(SUBSTITUTE($D884,CHAR(13)," "),CHAR(10)," "),CHAR(9)," "),CHAR(92),_xlfn.CONCAT(CHAR(92),CHAR(92))),"$",_xlfn.CONCAT(CHAR(92),"$")),CHAR(96),_xlfn.CONCAT(CHAR(92),CHAR(96))),CHAR(34),CHAR(39))))</f>
        <v/>
      </c>
      <c r="O884" s="5" t="str">
        <f>IF(OR(TRIM($B884)="",$E884=""),"",IF(OR(ISNUMBER(SEARCH(_xlfn.CONCAT(CHAR(96),CHAR(34)),$E884)),ISNUMBER(SEARCH(_xlfn.CONCAT(CHAR(34),CHAR(39)),$E884))),_xlfn.CONCAT("* REVIEW REQUIRED: compound-quote delimiter in Question Wording on Sheet 1 row ",884,"; edit the input before running."),_xlfn.CONCAT("char ",TRIM($B884),"[doc_question] ",CHAR(96),CHAR(34),SUBSTITUTE(SUBSTITUTE(SUBSTITUTE(SUBSTITUTE(SUBSTITUTE(SUBSTITUTE($E884,CHAR(13)," "),CHAR(10)," "),CHAR(9)," "),CHAR(92),_xlfn.CONCAT(CHAR(92),CHAR(92))),"$",_xlfn.CONCAT(CHAR(92),"$")),CHAR(96),_xlfn.CONCAT(CHAR(92),CHAR(96))),CHAR(34),CHAR(39))))</f>
        <v/>
      </c>
      <c r="P884" s="5" t="str">
        <f>IF(OR(TRIM($B884)="",$F884=""),"",IF(OR(ISNUMBER(SEARCH(_xlfn.CONCAT(CHAR(96),CHAR(34)),$F884)),ISNUMBER(SEARCH(_xlfn.CONCAT(CHAR(34),CHAR(39)),$F884))),_xlfn.CONCAT("* REVIEW REQUIRED: compound-quote delimiter in Units on Sheet 1 row ",884,"; edit the input before running."),_xlfn.CONCAT("char ",TRIM($B884),"[doc_units] ",CHAR(96),CHAR(34),SUBSTITUTE(SUBSTITUTE(SUBSTITUTE(SUBSTITUTE(SUBSTITUTE(SUBSTITUTE($F884,CHAR(13)," "),CHAR(10)," "),CHAR(9)," "),CHAR(92),_xlfn.CONCAT(CHAR(92),CHAR(92))),"$",_xlfn.CONCAT(CHAR(92),"$")),CHAR(96),_xlfn.CONCAT(CHAR(92),CHAR(96))),CHAR(34),CHAR(39))))</f>
        <v/>
      </c>
      <c r="Q884" s="5" t="str">
        <f>IF(OR(TRIM($B884)="",$G884=""),"",IF(OR(ISNUMBER(SEARCH(_xlfn.CONCAT(CHAR(96),CHAR(34)),$G884)),ISNUMBER(SEARCH(_xlfn.CONCAT(CHAR(34),CHAR(39)),$G884))),_xlfn.CONCAT("* REVIEW REQUIRED: compound-quote delimiter in Universe on Sheet 1 row ",884,"; edit the input before running."),_xlfn.CONCAT("char ",TRIM($B884),"[doc_universe] ",CHAR(96),CHAR(34),SUBSTITUTE(SUBSTITUTE(SUBSTITUTE(SUBSTITUTE(SUBSTITUTE(SUBSTITUTE($G884,CHAR(13)," "),CHAR(10)," "),CHAR(9)," "),CHAR(92),_xlfn.CONCAT(CHAR(92),CHAR(92))),"$",_xlfn.CONCAT(CHAR(92),"$")),CHAR(96),_xlfn.CONCAT(CHAR(92),CHAR(96))),CHAR(34),CHAR(39))))</f>
        <v/>
      </c>
      <c r="R884" s="5" t="str">
        <f>IF(OR(TRIM($B884)="",$H884=""),"",IF(OR(ISNUMBER(SEARCH(_xlfn.CONCAT(CHAR(96),CHAR(34)),$H884)),ISNUMBER(SEARCH(_xlfn.CONCAT(CHAR(34),CHAR(39)),$H884))),_xlfn.CONCAT("* REVIEW REQUIRED: compound-quote delimiter in Source on Sheet 1 row ",884,"; edit the input before running."),_xlfn.CONCAT("char ",TRIM($B884),"[doc_source] ",CHAR(96),CHAR(34),SUBSTITUTE(SUBSTITUTE(SUBSTITUTE(SUBSTITUTE(SUBSTITUTE(SUBSTITUTE($H884,CHAR(13)," "),CHAR(10)," "),CHAR(9)," "),CHAR(92),_xlfn.CONCAT(CHAR(92),CHAR(92))),"$",_xlfn.CONCAT(CHAR(92),"$")),CHAR(96),_xlfn.CONCAT(CHAR(92),CHAR(96))),CHAR(34),CHAR(39))))</f>
        <v/>
      </c>
      <c r="S884" s="5" t="str">
        <f>IF(OR(TRIM($B884)="",$I884=""),"",IF(OR(ISNUMBER(SEARCH(_xlfn.CONCAT(CHAR(96),CHAR(34)),$I884)),ISNUMBER(SEARCH(_xlfn.CONCAT(CHAR(34),CHAR(39)),$I884))),_xlfn.CONCAT("* REVIEW REQUIRED: compound-quote delimiter in Derivation on Sheet 1 row ",884,"; edit the input before running."),_xlfn.CONCAT("char ",TRIM($B884),"[doc_derivation] ",CHAR(96),CHAR(34),SUBSTITUTE(SUBSTITUTE(SUBSTITUTE(SUBSTITUTE(SUBSTITUTE(SUBSTITUTE($I884,CHAR(13)," "),CHAR(10)," "),CHAR(9)," "),CHAR(92),_xlfn.CONCAT(CHAR(92),CHAR(92))),"$",_xlfn.CONCAT(CHAR(92),"$")),CHAR(96),_xlfn.CONCAT(CHAR(92),CHAR(96))),CHAR(34),CHAR(39))))</f>
        <v/>
      </c>
      <c r="T884" s="5" t="str">
        <f>IF(OR(TRIM($B884)="",$J884=""),"",IF(OR(ISNUMBER(SEARCH(_xlfn.CONCAT(CHAR(96),CHAR(34)),$J884)),ISNUMBER(SEARCH(_xlfn.CONCAT(CHAR(34),CHAR(39)),$J884))),_xlfn.CONCAT("* REVIEW REQUIRED: compound-quote delimiter in Notes on Sheet 1 row ",884,"; edit the input before running."),_xlfn.CONCAT("char ",TRIM($B884),"[doc_notes] ",CHAR(96),CHAR(34),SUBSTITUTE(SUBSTITUTE(SUBSTITUTE(SUBSTITUTE(SUBSTITUTE(SUBSTITUTE($J884,CHAR(13)," "),CHAR(10)," "),CHAR(9)," "),CHAR(92),_xlfn.CONCAT(CHAR(92),CHAR(92))),"$",_xlfn.CONCAT(CHAR(92),"$")),CHAR(96),_xlfn.CONCAT(CHAR(92),CHAR(96))),CHAR(34),CHAR(39))))</f>
        <v/>
      </c>
      <c r="U884" s="5">
        <f t="shared" si="27"/>
        <v>0</v>
      </c>
    </row>
    <row r="885" spans="3:21" ht="30" customHeight="1" x14ac:dyDescent="0.2">
      <c r="C885" s="4"/>
      <c r="K885" s="5">
        <f t="shared" si="26"/>
        <v>0</v>
      </c>
      <c r="L885" s="5" t="str">
        <f>IF(OR(TRIM($B885)="",$A885=""),"",IF(OR(ISNUMBER(SEARCH(_xlfn.CONCAT(CHAR(96),CHAR(34)),$A885)),ISNUMBER(SEARCH(_xlfn.CONCAT(CHAR(34),CHAR(39)),$A885))),_xlfn.CONCAT("* REVIEW REQUIRED: compound-quote delimiter in Codebook Section on Sheet 1 row ",885,"; edit the input before running."),_xlfn.CONCAT("char ",TRIM($B885),"[doc_section] ",CHAR(96),CHAR(34),SUBSTITUTE(SUBSTITUTE(SUBSTITUTE(SUBSTITUTE(SUBSTITUTE(SUBSTITUTE($A885,CHAR(13)," "),CHAR(10)," "),CHAR(9)," "),CHAR(92),_xlfn.CONCAT(CHAR(92),CHAR(92))),"$",_xlfn.CONCAT(CHAR(92),"$")),CHAR(96),_xlfn.CONCAT(CHAR(92),CHAR(96))),CHAR(34),CHAR(39))))</f>
        <v/>
      </c>
      <c r="M885" s="5" t="str">
        <f>IF(OR(TRIM($B885)="",$C885=""),"",IF(IFERROR(MATCH(TRIM($C885),{"Quantitative","Continuous","Discrete","Categorical","Nominal","Ordinal","Identifier"},0),0)=0,_xlfn.CONCAT("* REVIEW REQUIRED: invalid Variable Type on Sheet 1 row ",885,"."),_xlfn.CONCAT("char ",TRIM($B885),"[doc_vartype] ",CHAR(96),CHAR(34),SUBSTITUTE(SUBSTITUTE(SUBSTITUTE(SUBSTITUTE(SUBSTITUTE(SUBSTITUTE(LOWER(TRIM($C885)),CHAR(13)," "),CHAR(10)," "),CHAR(9)," "),CHAR(92),_xlfn.CONCAT(CHAR(92),CHAR(92))),"$",_xlfn.CONCAT(CHAR(92),"$")),CHAR(96),_xlfn.CONCAT(CHAR(92),CHAR(96))),CHAR(34),CHAR(39))))</f>
        <v/>
      </c>
      <c r="N885" s="5" t="str">
        <f>IF(OR(TRIM($B885)="",$D885=""),"",IF(OR(ISNUMBER(SEARCH(_xlfn.CONCAT(CHAR(96),CHAR(34)),$D885)),ISNUMBER(SEARCH(_xlfn.CONCAT(CHAR(34),CHAR(39)),$D885))),_xlfn.CONCAT("* REVIEW REQUIRED: compound-quote delimiter in Item Number on Sheet 1 row ",885,"; edit the input before running."),_xlfn.CONCAT("char ",TRIM($B885),"[doc_itemnum] ",CHAR(96),CHAR(34),SUBSTITUTE(SUBSTITUTE(SUBSTITUTE(SUBSTITUTE(SUBSTITUTE(SUBSTITUTE($D885,CHAR(13)," "),CHAR(10)," "),CHAR(9)," "),CHAR(92),_xlfn.CONCAT(CHAR(92),CHAR(92))),"$",_xlfn.CONCAT(CHAR(92),"$")),CHAR(96),_xlfn.CONCAT(CHAR(92),CHAR(96))),CHAR(34),CHAR(39))))</f>
        <v/>
      </c>
      <c r="O885" s="5" t="str">
        <f>IF(OR(TRIM($B885)="",$E885=""),"",IF(OR(ISNUMBER(SEARCH(_xlfn.CONCAT(CHAR(96),CHAR(34)),$E885)),ISNUMBER(SEARCH(_xlfn.CONCAT(CHAR(34),CHAR(39)),$E885))),_xlfn.CONCAT("* REVIEW REQUIRED: compound-quote delimiter in Question Wording on Sheet 1 row ",885,"; edit the input before running."),_xlfn.CONCAT("char ",TRIM($B885),"[doc_question] ",CHAR(96),CHAR(34),SUBSTITUTE(SUBSTITUTE(SUBSTITUTE(SUBSTITUTE(SUBSTITUTE(SUBSTITUTE($E885,CHAR(13)," "),CHAR(10)," "),CHAR(9)," "),CHAR(92),_xlfn.CONCAT(CHAR(92),CHAR(92))),"$",_xlfn.CONCAT(CHAR(92),"$")),CHAR(96),_xlfn.CONCAT(CHAR(92),CHAR(96))),CHAR(34),CHAR(39))))</f>
        <v/>
      </c>
      <c r="P885" s="5" t="str">
        <f>IF(OR(TRIM($B885)="",$F885=""),"",IF(OR(ISNUMBER(SEARCH(_xlfn.CONCAT(CHAR(96),CHAR(34)),$F885)),ISNUMBER(SEARCH(_xlfn.CONCAT(CHAR(34),CHAR(39)),$F885))),_xlfn.CONCAT("* REVIEW REQUIRED: compound-quote delimiter in Units on Sheet 1 row ",885,"; edit the input before running."),_xlfn.CONCAT("char ",TRIM($B885),"[doc_units] ",CHAR(96),CHAR(34),SUBSTITUTE(SUBSTITUTE(SUBSTITUTE(SUBSTITUTE(SUBSTITUTE(SUBSTITUTE($F885,CHAR(13)," "),CHAR(10)," "),CHAR(9)," "),CHAR(92),_xlfn.CONCAT(CHAR(92),CHAR(92))),"$",_xlfn.CONCAT(CHAR(92),"$")),CHAR(96),_xlfn.CONCAT(CHAR(92),CHAR(96))),CHAR(34),CHAR(39))))</f>
        <v/>
      </c>
      <c r="Q885" s="5" t="str">
        <f>IF(OR(TRIM($B885)="",$G885=""),"",IF(OR(ISNUMBER(SEARCH(_xlfn.CONCAT(CHAR(96),CHAR(34)),$G885)),ISNUMBER(SEARCH(_xlfn.CONCAT(CHAR(34),CHAR(39)),$G885))),_xlfn.CONCAT("* REVIEW REQUIRED: compound-quote delimiter in Universe on Sheet 1 row ",885,"; edit the input before running."),_xlfn.CONCAT("char ",TRIM($B885),"[doc_universe] ",CHAR(96),CHAR(34),SUBSTITUTE(SUBSTITUTE(SUBSTITUTE(SUBSTITUTE(SUBSTITUTE(SUBSTITUTE($G885,CHAR(13)," "),CHAR(10)," "),CHAR(9)," "),CHAR(92),_xlfn.CONCAT(CHAR(92),CHAR(92))),"$",_xlfn.CONCAT(CHAR(92),"$")),CHAR(96),_xlfn.CONCAT(CHAR(92),CHAR(96))),CHAR(34),CHAR(39))))</f>
        <v/>
      </c>
      <c r="R885" s="5" t="str">
        <f>IF(OR(TRIM($B885)="",$H885=""),"",IF(OR(ISNUMBER(SEARCH(_xlfn.CONCAT(CHAR(96),CHAR(34)),$H885)),ISNUMBER(SEARCH(_xlfn.CONCAT(CHAR(34),CHAR(39)),$H885))),_xlfn.CONCAT("* REVIEW REQUIRED: compound-quote delimiter in Source on Sheet 1 row ",885,"; edit the input before running."),_xlfn.CONCAT("char ",TRIM($B885),"[doc_source] ",CHAR(96),CHAR(34),SUBSTITUTE(SUBSTITUTE(SUBSTITUTE(SUBSTITUTE(SUBSTITUTE(SUBSTITUTE($H885,CHAR(13)," "),CHAR(10)," "),CHAR(9)," "),CHAR(92),_xlfn.CONCAT(CHAR(92),CHAR(92))),"$",_xlfn.CONCAT(CHAR(92),"$")),CHAR(96),_xlfn.CONCAT(CHAR(92),CHAR(96))),CHAR(34),CHAR(39))))</f>
        <v/>
      </c>
      <c r="S885" s="5" t="str">
        <f>IF(OR(TRIM($B885)="",$I885=""),"",IF(OR(ISNUMBER(SEARCH(_xlfn.CONCAT(CHAR(96),CHAR(34)),$I885)),ISNUMBER(SEARCH(_xlfn.CONCAT(CHAR(34),CHAR(39)),$I885))),_xlfn.CONCAT("* REVIEW REQUIRED: compound-quote delimiter in Derivation on Sheet 1 row ",885,"; edit the input before running."),_xlfn.CONCAT("char ",TRIM($B885),"[doc_derivation] ",CHAR(96),CHAR(34),SUBSTITUTE(SUBSTITUTE(SUBSTITUTE(SUBSTITUTE(SUBSTITUTE(SUBSTITUTE($I885,CHAR(13)," "),CHAR(10)," "),CHAR(9)," "),CHAR(92),_xlfn.CONCAT(CHAR(92),CHAR(92))),"$",_xlfn.CONCAT(CHAR(92),"$")),CHAR(96),_xlfn.CONCAT(CHAR(92),CHAR(96))),CHAR(34),CHAR(39))))</f>
        <v/>
      </c>
      <c r="T885" s="5" t="str">
        <f>IF(OR(TRIM($B885)="",$J885=""),"",IF(OR(ISNUMBER(SEARCH(_xlfn.CONCAT(CHAR(96),CHAR(34)),$J885)),ISNUMBER(SEARCH(_xlfn.CONCAT(CHAR(34),CHAR(39)),$J885))),_xlfn.CONCAT("* REVIEW REQUIRED: compound-quote delimiter in Notes on Sheet 1 row ",885,"; edit the input before running."),_xlfn.CONCAT("char ",TRIM($B885),"[doc_notes] ",CHAR(96),CHAR(34),SUBSTITUTE(SUBSTITUTE(SUBSTITUTE(SUBSTITUTE(SUBSTITUTE(SUBSTITUTE($J885,CHAR(13)," "),CHAR(10)," "),CHAR(9)," "),CHAR(92),_xlfn.CONCAT(CHAR(92),CHAR(92))),"$",_xlfn.CONCAT(CHAR(92),"$")),CHAR(96),_xlfn.CONCAT(CHAR(92),CHAR(96))),CHAR(34),CHAR(39))))</f>
        <v/>
      </c>
      <c r="U885" s="5">
        <f t="shared" si="27"/>
        <v>0</v>
      </c>
    </row>
    <row r="886" spans="3:21" ht="30" customHeight="1" x14ac:dyDescent="0.2">
      <c r="C886" s="4"/>
      <c r="K886" s="5">
        <f t="shared" si="26"/>
        <v>0</v>
      </c>
      <c r="L886" s="5" t="str">
        <f>IF(OR(TRIM($B886)="",$A886=""),"",IF(OR(ISNUMBER(SEARCH(_xlfn.CONCAT(CHAR(96),CHAR(34)),$A886)),ISNUMBER(SEARCH(_xlfn.CONCAT(CHAR(34),CHAR(39)),$A886))),_xlfn.CONCAT("* REVIEW REQUIRED: compound-quote delimiter in Codebook Section on Sheet 1 row ",886,"; edit the input before running."),_xlfn.CONCAT("char ",TRIM($B886),"[doc_section] ",CHAR(96),CHAR(34),SUBSTITUTE(SUBSTITUTE(SUBSTITUTE(SUBSTITUTE(SUBSTITUTE(SUBSTITUTE($A886,CHAR(13)," "),CHAR(10)," "),CHAR(9)," "),CHAR(92),_xlfn.CONCAT(CHAR(92),CHAR(92))),"$",_xlfn.CONCAT(CHAR(92),"$")),CHAR(96),_xlfn.CONCAT(CHAR(92),CHAR(96))),CHAR(34),CHAR(39))))</f>
        <v/>
      </c>
      <c r="M886" s="5" t="str">
        <f>IF(OR(TRIM($B886)="",$C886=""),"",IF(IFERROR(MATCH(TRIM($C886),{"Quantitative","Continuous","Discrete","Categorical","Nominal","Ordinal","Identifier"},0),0)=0,_xlfn.CONCAT("* REVIEW REQUIRED: invalid Variable Type on Sheet 1 row ",886,"."),_xlfn.CONCAT("char ",TRIM($B886),"[doc_vartype] ",CHAR(96),CHAR(34),SUBSTITUTE(SUBSTITUTE(SUBSTITUTE(SUBSTITUTE(SUBSTITUTE(SUBSTITUTE(LOWER(TRIM($C886)),CHAR(13)," "),CHAR(10)," "),CHAR(9)," "),CHAR(92),_xlfn.CONCAT(CHAR(92),CHAR(92))),"$",_xlfn.CONCAT(CHAR(92),"$")),CHAR(96),_xlfn.CONCAT(CHAR(92),CHAR(96))),CHAR(34),CHAR(39))))</f>
        <v/>
      </c>
      <c r="N886" s="5" t="str">
        <f>IF(OR(TRIM($B886)="",$D886=""),"",IF(OR(ISNUMBER(SEARCH(_xlfn.CONCAT(CHAR(96),CHAR(34)),$D886)),ISNUMBER(SEARCH(_xlfn.CONCAT(CHAR(34),CHAR(39)),$D886))),_xlfn.CONCAT("* REVIEW REQUIRED: compound-quote delimiter in Item Number on Sheet 1 row ",886,"; edit the input before running."),_xlfn.CONCAT("char ",TRIM($B886),"[doc_itemnum] ",CHAR(96),CHAR(34),SUBSTITUTE(SUBSTITUTE(SUBSTITUTE(SUBSTITUTE(SUBSTITUTE(SUBSTITUTE($D886,CHAR(13)," "),CHAR(10)," "),CHAR(9)," "),CHAR(92),_xlfn.CONCAT(CHAR(92),CHAR(92))),"$",_xlfn.CONCAT(CHAR(92),"$")),CHAR(96),_xlfn.CONCAT(CHAR(92),CHAR(96))),CHAR(34),CHAR(39))))</f>
        <v/>
      </c>
      <c r="O886" s="5" t="str">
        <f>IF(OR(TRIM($B886)="",$E886=""),"",IF(OR(ISNUMBER(SEARCH(_xlfn.CONCAT(CHAR(96),CHAR(34)),$E886)),ISNUMBER(SEARCH(_xlfn.CONCAT(CHAR(34),CHAR(39)),$E886))),_xlfn.CONCAT("* REVIEW REQUIRED: compound-quote delimiter in Question Wording on Sheet 1 row ",886,"; edit the input before running."),_xlfn.CONCAT("char ",TRIM($B886),"[doc_question] ",CHAR(96),CHAR(34),SUBSTITUTE(SUBSTITUTE(SUBSTITUTE(SUBSTITUTE(SUBSTITUTE(SUBSTITUTE($E886,CHAR(13)," "),CHAR(10)," "),CHAR(9)," "),CHAR(92),_xlfn.CONCAT(CHAR(92),CHAR(92))),"$",_xlfn.CONCAT(CHAR(92),"$")),CHAR(96),_xlfn.CONCAT(CHAR(92),CHAR(96))),CHAR(34),CHAR(39))))</f>
        <v/>
      </c>
      <c r="P886" s="5" t="str">
        <f>IF(OR(TRIM($B886)="",$F886=""),"",IF(OR(ISNUMBER(SEARCH(_xlfn.CONCAT(CHAR(96),CHAR(34)),$F886)),ISNUMBER(SEARCH(_xlfn.CONCAT(CHAR(34),CHAR(39)),$F886))),_xlfn.CONCAT("* REVIEW REQUIRED: compound-quote delimiter in Units on Sheet 1 row ",886,"; edit the input before running."),_xlfn.CONCAT("char ",TRIM($B886),"[doc_units] ",CHAR(96),CHAR(34),SUBSTITUTE(SUBSTITUTE(SUBSTITUTE(SUBSTITUTE(SUBSTITUTE(SUBSTITUTE($F886,CHAR(13)," "),CHAR(10)," "),CHAR(9)," "),CHAR(92),_xlfn.CONCAT(CHAR(92),CHAR(92))),"$",_xlfn.CONCAT(CHAR(92),"$")),CHAR(96),_xlfn.CONCAT(CHAR(92),CHAR(96))),CHAR(34),CHAR(39))))</f>
        <v/>
      </c>
      <c r="Q886" s="5" t="str">
        <f>IF(OR(TRIM($B886)="",$G886=""),"",IF(OR(ISNUMBER(SEARCH(_xlfn.CONCAT(CHAR(96),CHAR(34)),$G886)),ISNUMBER(SEARCH(_xlfn.CONCAT(CHAR(34),CHAR(39)),$G886))),_xlfn.CONCAT("* REVIEW REQUIRED: compound-quote delimiter in Universe on Sheet 1 row ",886,"; edit the input before running."),_xlfn.CONCAT("char ",TRIM($B886),"[doc_universe] ",CHAR(96),CHAR(34),SUBSTITUTE(SUBSTITUTE(SUBSTITUTE(SUBSTITUTE(SUBSTITUTE(SUBSTITUTE($G886,CHAR(13)," "),CHAR(10)," "),CHAR(9)," "),CHAR(92),_xlfn.CONCAT(CHAR(92),CHAR(92))),"$",_xlfn.CONCAT(CHAR(92),"$")),CHAR(96),_xlfn.CONCAT(CHAR(92),CHAR(96))),CHAR(34),CHAR(39))))</f>
        <v/>
      </c>
      <c r="R886" s="5" t="str">
        <f>IF(OR(TRIM($B886)="",$H886=""),"",IF(OR(ISNUMBER(SEARCH(_xlfn.CONCAT(CHAR(96),CHAR(34)),$H886)),ISNUMBER(SEARCH(_xlfn.CONCAT(CHAR(34),CHAR(39)),$H886))),_xlfn.CONCAT("* REVIEW REQUIRED: compound-quote delimiter in Source on Sheet 1 row ",886,"; edit the input before running."),_xlfn.CONCAT("char ",TRIM($B886),"[doc_source] ",CHAR(96),CHAR(34),SUBSTITUTE(SUBSTITUTE(SUBSTITUTE(SUBSTITUTE(SUBSTITUTE(SUBSTITUTE($H886,CHAR(13)," "),CHAR(10)," "),CHAR(9)," "),CHAR(92),_xlfn.CONCAT(CHAR(92),CHAR(92))),"$",_xlfn.CONCAT(CHAR(92),"$")),CHAR(96),_xlfn.CONCAT(CHAR(92),CHAR(96))),CHAR(34),CHAR(39))))</f>
        <v/>
      </c>
      <c r="S886" s="5" t="str">
        <f>IF(OR(TRIM($B886)="",$I886=""),"",IF(OR(ISNUMBER(SEARCH(_xlfn.CONCAT(CHAR(96),CHAR(34)),$I886)),ISNUMBER(SEARCH(_xlfn.CONCAT(CHAR(34),CHAR(39)),$I886))),_xlfn.CONCAT("* REVIEW REQUIRED: compound-quote delimiter in Derivation on Sheet 1 row ",886,"; edit the input before running."),_xlfn.CONCAT("char ",TRIM($B886),"[doc_derivation] ",CHAR(96),CHAR(34),SUBSTITUTE(SUBSTITUTE(SUBSTITUTE(SUBSTITUTE(SUBSTITUTE(SUBSTITUTE($I886,CHAR(13)," "),CHAR(10)," "),CHAR(9)," "),CHAR(92),_xlfn.CONCAT(CHAR(92),CHAR(92))),"$",_xlfn.CONCAT(CHAR(92),"$")),CHAR(96),_xlfn.CONCAT(CHAR(92),CHAR(96))),CHAR(34),CHAR(39))))</f>
        <v/>
      </c>
      <c r="T886" s="5" t="str">
        <f>IF(OR(TRIM($B886)="",$J886=""),"",IF(OR(ISNUMBER(SEARCH(_xlfn.CONCAT(CHAR(96),CHAR(34)),$J886)),ISNUMBER(SEARCH(_xlfn.CONCAT(CHAR(34),CHAR(39)),$J886))),_xlfn.CONCAT("* REVIEW REQUIRED: compound-quote delimiter in Notes on Sheet 1 row ",886,"; edit the input before running."),_xlfn.CONCAT("char ",TRIM($B886),"[doc_notes] ",CHAR(96),CHAR(34),SUBSTITUTE(SUBSTITUTE(SUBSTITUTE(SUBSTITUTE(SUBSTITUTE(SUBSTITUTE($J886,CHAR(13)," "),CHAR(10)," "),CHAR(9)," "),CHAR(92),_xlfn.CONCAT(CHAR(92),CHAR(92))),"$",_xlfn.CONCAT(CHAR(92),"$")),CHAR(96),_xlfn.CONCAT(CHAR(92),CHAR(96))),CHAR(34),CHAR(39))))</f>
        <v/>
      </c>
      <c r="U886" s="5">
        <f t="shared" si="27"/>
        <v>0</v>
      </c>
    </row>
    <row r="887" spans="3:21" ht="30" customHeight="1" x14ac:dyDescent="0.2">
      <c r="C887" s="4"/>
      <c r="K887" s="5">
        <f t="shared" si="26"/>
        <v>0</v>
      </c>
      <c r="L887" s="5" t="str">
        <f>IF(OR(TRIM($B887)="",$A887=""),"",IF(OR(ISNUMBER(SEARCH(_xlfn.CONCAT(CHAR(96),CHAR(34)),$A887)),ISNUMBER(SEARCH(_xlfn.CONCAT(CHAR(34),CHAR(39)),$A887))),_xlfn.CONCAT("* REVIEW REQUIRED: compound-quote delimiter in Codebook Section on Sheet 1 row ",887,"; edit the input before running."),_xlfn.CONCAT("char ",TRIM($B887),"[doc_section] ",CHAR(96),CHAR(34),SUBSTITUTE(SUBSTITUTE(SUBSTITUTE(SUBSTITUTE(SUBSTITUTE(SUBSTITUTE($A887,CHAR(13)," "),CHAR(10)," "),CHAR(9)," "),CHAR(92),_xlfn.CONCAT(CHAR(92),CHAR(92))),"$",_xlfn.CONCAT(CHAR(92),"$")),CHAR(96),_xlfn.CONCAT(CHAR(92),CHAR(96))),CHAR(34),CHAR(39))))</f>
        <v/>
      </c>
      <c r="M887" s="5" t="str">
        <f>IF(OR(TRIM($B887)="",$C887=""),"",IF(IFERROR(MATCH(TRIM($C887),{"Quantitative","Continuous","Discrete","Categorical","Nominal","Ordinal","Identifier"},0),0)=0,_xlfn.CONCAT("* REVIEW REQUIRED: invalid Variable Type on Sheet 1 row ",887,"."),_xlfn.CONCAT("char ",TRIM($B887),"[doc_vartype] ",CHAR(96),CHAR(34),SUBSTITUTE(SUBSTITUTE(SUBSTITUTE(SUBSTITUTE(SUBSTITUTE(SUBSTITUTE(LOWER(TRIM($C887)),CHAR(13)," "),CHAR(10)," "),CHAR(9)," "),CHAR(92),_xlfn.CONCAT(CHAR(92),CHAR(92))),"$",_xlfn.CONCAT(CHAR(92),"$")),CHAR(96),_xlfn.CONCAT(CHAR(92),CHAR(96))),CHAR(34),CHAR(39))))</f>
        <v/>
      </c>
      <c r="N887" s="5" t="str">
        <f>IF(OR(TRIM($B887)="",$D887=""),"",IF(OR(ISNUMBER(SEARCH(_xlfn.CONCAT(CHAR(96),CHAR(34)),$D887)),ISNUMBER(SEARCH(_xlfn.CONCAT(CHAR(34),CHAR(39)),$D887))),_xlfn.CONCAT("* REVIEW REQUIRED: compound-quote delimiter in Item Number on Sheet 1 row ",887,"; edit the input before running."),_xlfn.CONCAT("char ",TRIM($B887),"[doc_itemnum] ",CHAR(96),CHAR(34),SUBSTITUTE(SUBSTITUTE(SUBSTITUTE(SUBSTITUTE(SUBSTITUTE(SUBSTITUTE($D887,CHAR(13)," "),CHAR(10)," "),CHAR(9)," "),CHAR(92),_xlfn.CONCAT(CHAR(92),CHAR(92))),"$",_xlfn.CONCAT(CHAR(92),"$")),CHAR(96),_xlfn.CONCAT(CHAR(92),CHAR(96))),CHAR(34),CHAR(39))))</f>
        <v/>
      </c>
      <c r="O887" s="5" t="str">
        <f>IF(OR(TRIM($B887)="",$E887=""),"",IF(OR(ISNUMBER(SEARCH(_xlfn.CONCAT(CHAR(96),CHAR(34)),$E887)),ISNUMBER(SEARCH(_xlfn.CONCAT(CHAR(34),CHAR(39)),$E887))),_xlfn.CONCAT("* REVIEW REQUIRED: compound-quote delimiter in Question Wording on Sheet 1 row ",887,"; edit the input before running."),_xlfn.CONCAT("char ",TRIM($B887),"[doc_question] ",CHAR(96),CHAR(34),SUBSTITUTE(SUBSTITUTE(SUBSTITUTE(SUBSTITUTE(SUBSTITUTE(SUBSTITUTE($E887,CHAR(13)," "),CHAR(10)," "),CHAR(9)," "),CHAR(92),_xlfn.CONCAT(CHAR(92),CHAR(92))),"$",_xlfn.CONCAT(CHAR(92),"$")),CHAR(96),_xlfn.CONCAT(CHAR(92),CHAR(96))),CHAR(34),CHAR(39))))</f>
        <v/>
      </c>
      <c r="P887" s="5" t="str">
        <f>IF(OR(TRIM($B887)="",$F887=""),"",IF(OR(ISNUMBER(SEARCH(_xlfn.CONCAT(CHAR(96),CHAR(34)),$F887)),ISNUMBER(SEARCH(_xlfn.CONCAT(CHAR(34),CHAR(39)),$F887))),_xlfn.CONCAT("* REVIEW REQUIRED: compound-quote delimiter in Units on Sheet 1 row ",887,"; edit the input before running."),_xlfn.CONCAT("char ",TRIM($B887),"[doc_units] ",CHAR(96),CHAR(34),SUBSTITUTE(SUBSTITUTE(SUBSTITUTE(SUBSTITUTE(SUBSTITUTE(SUBSTITUTE($F887,CHAR(13)," "),CHAR(10)," "),CHAR(9)," "),CHAR(92),_xlfn.CONCAT(CHAR(92),CHAR(92))),"$",_xlfn.CONCAT(CHAR(92),"$")),CHAR(96),_xlfn.CONCAT(CHAR(92),CHAR(96))),CHAR(34),CHAR(39))))</f>
        <v/>
      </c>
      <c r="Q887" s="5" t="str">
        <f>IF(OR(TRIM($B887)="",$G887=""),"",IF(OR(ISNUMBER(SEARCH(_xlfn.CONCAT(CHAR(96),CHAR(34)),$G887)),ISNUMBER(SEARCH(_xlfn.CONCAT(CHAR(34),CHAR(39)),$G887))),_xlfn.CONCAT("* REVIEW REQUIRED: compound-quote delimiter in Universe on Sheet 1 row ",887,"; edit the input before running."),_xlfn.CONCAT("char ",TRIM($B887),"[doc_universe] ",CHAR(96),CHAR(34),SUBSTITUTE(SUBSTITUTE(SUBSTITUTE(SUBSTITUTE(SUBSTITUTE(SUBSTITUTE($G887,CHAR(13)," "),CHAR(10)," "),CHAR(9)," "),CHAR(92),_xlfn.CONCAT(CHAR(92),CHAR(92))),"$",_xlfn.CONCAT(CHAR(92),"$")),CHAR(96),_xlfn.CONCAT(CHAR(92),CHAR(96))),CHAR(34),CHAR(39))))</f>
        <v/>
      </c>
      <c r="R887" s="5" t="str">
        <f>IF(OR(TRIM($B887)="",$H887=""),"",IF(OR(ISNUMBER(SEARCH(_xlfn.CONCAT(CHAR(96),CHAR(34)),$H887)),ISNUMBER(SEARCH(_xlfn.CONCAT(CHAR(34),CHAR(39)),$H887))),_xlfn.CONCAT("* REVIEW REQUIRED: compound-quote delimiter in Source on Sheet 1 row ",887,"; edit the input before running."),_xlfn.CONCAT("char ",TRIM($B887),"[doc_source] ",CHAR(96),CHAR(34),SUBSTITUTE(SUBSTITUTE(SUBSTITUTE(SUBSTITUTE(SUBSTITUTE(SUBSTITUTE($H887,CHAR(13)," "),CHAR(10)," "),CHAR(9)," "),CHAR(92),_xlfn.CONCAT(CHAR(92),CHAR(92))),"$",_xlfn.CONCAT(CHAR(92),"$")),CHAR(96),_xlfn.CONCAT(CHAR(92),CHAR(96))),CHAR(34),CHAR(39))))</f>
        <v/>
      </c>
      <c r="S887" s="5" t="str">
        <f>IF(OR(TRIM($B887)="",$I887=""),"",IF(OR(ISNUMBER(SEARCH(_xlfn.CONCAT(CHAR(96),CHAR(34)),$I887)),ISNUMBER(SEARCH(_xlfn.CONCAT(CHAR(34),CHAR(39)),$I887))),_xlfn.CONCAT("* REVIEW REQUIRED: compound-quote delimiter in Derivation on Sheet 1 row ",887,"; edit the input before running."),_xlfn.CONCAT("char ",TRIM($B887),"[doc_derivation] ",CHAR(96),CHAR(34),SUBSTITUTE(SUBSTITUTE(SUBSTITUTE(SUBSTITUTE(SUBSTITUTE(SUBSTITUTE($I887,CHAR(13)," "),CHAR(10)," "),CHAR(9)," "),CHAR(92),_xlfn.CONCAT(CHAR(92),CHAR(92))),"$",_xlfn.CONCAT(CHAR(92),"$")),CHAR(96),_xlfn.CONCAT(CHAR(92),CHAR(96))),CHAR(34),CHAR(39))))</f>
        <v/>
      </c>
      <c r="T887" s="5" t="str">
        <f>IF(OR(TRIM($B887)="",$J887=""),"",IF(OR(ISNUMBER(SEARCH(_xlfn.CONCAT(CHAR(96),CHAR(34)),$J887)),ISNUMBER(SEARCH(_xlfn.CONCAT(CHAR(34),CHAR(39)),$J887))),_xlfn.CONCAT("* REVIEW REQUIRED: compound-quote delimiter in Notes on Sheet 1 row ",887,"; edit the input before running."),_xlfn.CONCAT("char ",TRIM($B887),"[doc_notes] ",CHAR(96),CHAR(34),SUBSTITUTE(SUBSTITUTE(SUBSTITUTE(SUBSTITUTE(SUBSTITUTE(SUBSTITUTE($J887,CHAR(13)," "),CHAR(10)," "),CHAR(9)," "),CHAR(92),_xlfn.CONCAT(CHAR(92),CHAR(92))),"$",_xlfn.CONCAT(CHAR(92),"$")),CHAR(96),_xlfn.CONCAT(CHAR(92),CHAR(96))),CHAR(34),CHAR(39))))</f>
        <v/>
      </c>
      <c r="U887" s="5">
        <f t="shared" si="27"/>
        <v>0</v>
      </c>
    </row>
    <row r="888" spans="3:21" ht="30" customHeight="1" x14ac:dyDescent="0.2">
      <c r="C888" s="4"/>
      <c r="K888" s="5">
        <f t="shared" si="26"/>
        <v>0</v>
      </c>
      <c r="L888" s="5" t="str">
        <f>IF(OR(TRIM($B888)="",$A888=""),"",IF(OR(ISNUMBER(SEARCH(_xlfn.CONCAT(CHAR(96),CHAR(34)),$A888)),ISNUMBER(SEARCH(_xlfn.CONCAT(CHAR(34),CHAR(39)),$A888))),_xlfn.CONCAT("* REVIEW REQUIRED: compound-quote delimiter in Codebook Section on Sheet 1 row ",888,"; edit the input before running."),_xlfn.CONCAT("char ",TRIM($B888),"[doc_section] ",CHAR(96),CHAR(34),SUBSTITUTE(SUBSTITUTE(SUBSTITUTE(SUBSTITUTE(SUBSTITUTE(SUBSTITUTE($A888,CHAR(13)," "),CHAR(10)," "),CHAR(9)," "),CHAR(92),_xlfn.CONCAT(CHAR(92),CHAR(92))),"$",_xlfn.CONCAT(CHAR(92),"$")),CHAR(96),_xlfn.CONCAT(CHAR(92),CHAR(96))),CHAR(34),CHAR(39))))</f>
        <v/>
      </c>
      <c r="M888" s="5" t="str">
        <f>IF(OR(TRIM($B888)="",$C888=""),"",IF(IFERROR(MATCH(TRIM($C888),{"Quantitative","Continuous","Discrete","Categorical","Nominal","Ordinal","Identifier"},0),0)=0,_xlfn.CONCAT("* REVIEW REQUIRED: invalid Variable Type on Sheet 1 row ",888,"."),_xlfn.CONCAT("char ",TRIM($B888),"[doc_vartype] ",CHAR(96),CHAR(34),SUBSTITUTE(SUBSTITUTE(SUBSTITUTE(SUBSTITUTE(SUBSTITUTE(SUBSTITUTE(LOWER(TRIM($C888)),CHAR(13)," "),CHAR(10)," "),CHAR(9)," "),CHAR(92),_xlfn.CONCAT(CHAR(92),CHAR(92))),"$",_xlfn.CONCAT(CHAR(92),"$")),CHAR(96),_xlfn.CONCAT(CHAR(92),CHAR(96))),CHAR(34),CHAR(39))))</f>
        <v/>
      </c>
      <c r="N888" s="5" t="str">
        <f>IF(OR(TRIM($B888)="",$D888=""),"",IF(OR(ISNUMBER(SEARCH(_xlfn.CONCAT(CHAR(96),CHAR(34)),$D888)),ISNUMBER(SEARCH(_xlfn.CONCAT(CHAR(34),CHAR(39)),$D888))),_xlfn.CONCAT("* REVIEW REQUIRED: compound-quote delimiter in Item Number on Sheet 1 row ",888,"; edit the input before running."),_xlfn.CONCAT("char ",TRIM($B888),"[doc_itemnum] ",CHAR(96),CHAR(34),SUBSTITUTE(SUBSTITUTE(SUBSTITUTE(SUBSTITUTE(SUBSTITUTE(SUBSTITUTE($D888,CHAR(13)," "),CHAR(10)," "),CHAR(9)," "),CHAR(92),_xlfn.CONCAT(CHAR(92),CHAR(92))),"$",_xlfn.CONCAT(CHAR(92),"$")),CHAR(96),_xlfn.CONCAT(CHAR(92),CHAR(96))),CHAR(34),CHAR(39))))</f>
        <v/>
      </c>
      <c r="O888" s="5" t="str">
        <f>IF(OR(TRIM($B888)="",$E888=""),"",IF(OR(ISNUMBER(SEARCH(_xlfn.CONCAT(CHAR(96),CHAR(34)),$E888)),ISNUMBER(SEARCH(_xlfn.CONCAT(CHAR(34),CHAR(39)),$E888))),_xlfn.CONCAT("* REVIEW REQUIRED: compound-quote delimiter in Question Wording on Sheet 1 row ",888,"; edit the input before running."),_xlfn.CONCAT("char ",TRIM($B888),"[doc_question] ",CHAR(96),CHAR(34),SUBSTITUTE(SUBSTITUTE(SUBSTITUTE(SUBSTITUTE(SUBSTITUTE(SUBSTITUTE($E888,CHAR(13)," "),CHAR(10)," "),CHAR(9)," "),CHAR(92),_xlfn.CONCAT(CHAR(92),CHAR(92))),"$",_xlfn.CONCAT(CHAR(92),"$")),CHAR(96),_xlfn.CONCAT(CHAR(92),CHAR(96))),CHAR(34),CHAR(39))))</f>
        <v/>
      </c>
      <c r="P888" s="5" t="str">
        <f>IF(OR(TRIM($B888)="",$F888=""),"",IF(OR(ISNUMBER(SEARCH(_xlfn.CONCAT(CHAR(96),CHAR(34)),$F888)),ISNUMBER(SEARCH(_xlfn.CONCAT(CHAR(34),CHAR(39)),$F888))),_xlfn.CONCAT("* REVIEW REQUIRED: compound-quote delimiter in Units on Sheet 1 row ",888,"; edit the input before running."),_xlfn.CONCAT("char ",TRIM($B888),"[doc_units] ",CHAR(96),CHAR(34),SUBSTITUTE(SUBSTITUTE(SUBSTITUTE(SUBSTITUTE(SUBSTITUTE(SUBSTITUTE($F888,CHAR(13)," "),CHAR(10)," "),CHAR(9)," "),CHAR(92),_xlfn.CONCAT(CHAR(92),CHAR(92))),"$",_xlfn.CONCAT(CHAR(92),"$")),CHAR(96),_xlfn.CONCAT(CHAR(92),CHAR(96))),CHAR(34),CHAR(39))))</f>
        <v/>
      </c>
      <c r="Q888" s="5" t="str">
        <f>IF(OR(TRIM($B888)="",$G888=""),"",IF(OR(ISNUMBER(SEARCH(_xlfn.CONCAT(CHAR(96),CHAR(34)),$G888)),ISNUMBER(SEARCH(_xlfn.CONCAT(CHAR(34),CHAR(39)),$G888))),_xlfn.CONCAT("* REVIEW REQUIRED: compound-quote delimiter in Universe on Sheet 1 row ",888,"; edit the input before running."),_xlfn.CONCAT("char ",TRIM($B888),"[doc_universe] ",CHAR(96),CHAR(34),SUBSTITUTE(SUBSTITUTE(SUBSTITUTE(SUBSTITUTE(SUBSTITUTE(SUBSTITUTE($G888,CHAR(13)," "),CHAR(10)," "),CHAR(9)," "),CHAR(92),_xlfn.CONCAT(CHAR(92),CHAR(92))),"$",_xlfn.CONCAT(CHAR(92),"$")),CHAR(96),_xlfn.CONCAT(CHAR(92),CHAR(96))),CHAR(34),CHAR(39))))</f>
        <v/>
      </c>
      <c r="R888" s="5" t="str">
        <f>IF(OR(TRIM($B888)="",$H888=""),"",IF(OR(ISNUMBER(SEARCH(_xlfn.CONCAT(CHAR(96),CHAR(34)),$H888)),ISNUMBER(SEARCH(_xlfn.CONCAT(CHAR(34),CHAR(39)),$H888))),_xlfn.CONCAT("* REVIEW REQUIRED: compound-quote delimiter in Source on Sheet 1 row ",888,"; edit the input before running."),_xlfn.CONCAT("char ",TRIM($B888),"[doc_source] ",CHAR(96),CHAR(34),SUBSTITUTE(SUBSTITUTE(SUBSTITUTE(SUBSTITUTE(SUBSTITUTE(SUBSTITUTE($H888,CHAR(13)," "),CHAR(10)," "),CHAR(9)," "),CHAR(92),_xlfn.CONCAT(CHAR(92),CHAR(92))),"$",_xlfn.CONCAT(CHAR(92),"$")),CHAR(96),_xlfn.CONCAT(CHAR(92),CHAR(96))),CHAR(34),CHAR(39))))</f>
        <v/>
      </c>
      <c r="S888" s="5" t="str">
        <f>IF(OR(TRIM($B888)="",$I888=""),"",IF(OR(ISNUMBER(SEARCH(_xlfn.CONCAT(CHAR(96),CHAR(34)),$I888)),ISNUMBER(SEARCH(_xlfn.CONCAT(CHAR(34),CHAR(39)),$I888))),_xlfn.CONCAT("* REVIEW REQUIRED: compound-quote delimiter in Derivation on Sheet 1 row ",888,"; edit the input before running."),_xlfn.CONCAT("char ",TRIM($B888),"[doc_derivation] ",CHAR(96),CHAR(34),SUBSTITUTE(SUBSTITUTE(SUBSTITUTE(SUBSTITUTE(SUBSTITUTE(SUBSTITUTE($I888,CHAR(13)," "),CHAR(10)," "),CHAR(9)," "),CHAR(92),_xlfn.CONCAT(CHAR(92),CHAR(92))),"$",_xlfn.CONCAT(CHAR(92),"$")),CHAR(96),_xlfn.CONCAT(CHAR(92),CHAR(96))),CHAR(34),CHAR(39))))</f>
        <v/>
      </c>
      <c r="T888" s="5" t="str">
        <f>IF(OR(TRIM($B888)="",$J888=""),"",IF(OR(ISNUMBER(SEARCH(_xlfn.CONCAT(CHAR(96),CHAR(34)),$J888)),ISNUMBER(SEARCH(_xlfn.CONCAT(CHAR(34),CHAR(39)),$J888))),_xlfn.CONCAT("* REVIEW REQUIRED: compound-quote delimiter in Notes on Sheet 1 row ",888,"; edit the input before running."),_xlfn.CONCAT("char ",TRIM($B888),"[doc_notes] ",CHAR(96),CHAR(34),SUBSTITUTE(SUBSTITUTE(SUBSTITUTE(SUBSTITUTE(SUBSTITUTE(SUBSTITUTE($J888,CHAR(13)," "),CHAR(10)," "),CHAR(9)," "),CHAR(92),_xlfn.CONCAT(CHAR(92),CHAR(92))),"$",_xlfn.CONCAT(CHAR(92),"$")),CHAR(96),_xlfn.CONCAT(CHAR(92),CHAR(96))),CHAR(34),CHAR(39))))</f>
        <v/>
      </c>
      <c r="U888" s="5">
        <f t="shared" si="27"/>
        <v>0</v>
      </c>
    </row>
    <row r="889" spans="3:21" ht="30" customHeight="1" x14ac:dyDescent="0.2">
      <c r="C889" s="4"/>
      <c r="K889" s="5">
        <f t="shared" si="26"/>
        <v>0</v>
      </c>
      <c r="L889" s="5" t="str">
        <f>IF(OR(TRIM($B889)="",$A889=""),"",IF(OR(ISNUMBER(SEARCH(_xlfn.CONCAT(CHAR(96),CHAR(34)),$A889)),ISNUMBER(SEARCH(_xlfn.CONCAT(CHAR(34),CHAR(39)),$A889))),_xlfn.CONCAT("* REVIEW REQUIRED: compound-quote delimiter in Codebook Section on Sheet 1 row ",889,"; edit the input before running."),_xlfn.CONCAT("char ",TRIM($B889),"[doc_section] ",CHAR(96),CHAR(34),SUBSTITUTE(SUBSTITUTE(SUBSTITUTE(SUBSTITUTE(SUBSTITUTE(SUBSTITUTE($A889,CHAR(13)," "),CHAR(10)," "),CHAR(9)," "),CHAR(92),_xlfn.CONCAT(CHAR(92),CHAR(92))),"$",_xlfn.CONCAT(CHAR(92),"$")),CHAR(96),_xlfn.CONCAT(CHAR(92),CHAR(96))),CHAR(34),CHAR(39))))</f>
        <v/>
      </c>
      <c r="M889" s="5" t="str">
        <f>IF(OR(TRIM($B889)="",$C889=""),"",IF(IFERROR(MATCH(TRIM($C889),{"Quantitative","Continuous","Discrete","Categorical","Nominal","Ordinal","Identifier"},0),0)=0,_xlfn.CONCAT("* REVIEW REQUIRED: invalid Variable Type on Sheet 1 row ",889,"."),_xlfn.CONCAT("char ",TRIM($B889),"[doc_vartype] ",CHAR(96),CHAR(34),SUBSTITUTE(SUBSTITUTE(SUBSTITUTE(SUBSTITUTE(SUBSTITUTE(SUBSTITUTE(LOWER(TRIM($C889)),CHAR(13)," "),CHAR(10)," "),CHAR(9)," "),CHAR(92),_xlfn.CONCAT(CHAR(92),CHAR(92))),"$",_xlfn.CONCAT(CHAR(92),"$")),CHAR(96),_xlfn.CONCAT(CHAR(92),CHAR(96))),CHAR(34),CHAR(39))))</f>
        <v/>
      </c>
      <c r="N889" s="5" t="str">
        <f>IF(OR(TRIM($B889)="",$D889=""),"",IF(OR(ISNUMBER(SEARCH(_xlfn.CONCAT(CHAR(96),CHAR(34)),$D889)),ISNUMBER(SEARCH(_xlfn.CONCAT(CHAR(34),CHAR(39)),$D889))),_xlfn.CONCAT("* REVIEW REQUIRED: compound-quote delimiter in Item Number on Sheet 1 row ",889,"; edit the input before running."),_xlfn.CONCAT("char ",TRIM($B889),"[doc_itemnum] ",CHAR(96),CHAR(34),SUBSTITUTE(SUBSTITUTE(SUBSTITUTE(SUBSTITUTE(SUBSTITUTE(SUBSTITUTE($D889,CHAR(13)," "),CHAR(10)," "),CHAR(9)," "),CHAR(92),_xlfn.CONCAT(CHAR(92),CHAR(92))),"$",_xlfn.CONCAT(CHAR(92),"$")),CHAR(96),_xlfn.CONCAT(CHAR(92),CHAR(96))),CHAR(34),CHAR(39))))</f>
        <v/>
      </c>
      <c r="O889" s="5" t="str">
        <f>IF(OR(TRIM($B889)="",$E889=""),"",IF(OR(ISNUMBER(SEARCH(_xlfn.CONCAT(CHAR(96),CHAR(34)),$E889)),ISNUMBER(SEARCH(_xlfn.CONCAT(CHAR(34),CHAR(39)),$E889))),_xlfn.CONCAT("* REVIEW REQUIRED: compound-quote delimiter in Question Wording on Sheet 1 row ",889,"; edit the input before running."),_xlfn.CONCAT("char ",TRIM($B889),"[doc_question] ",CHAR(96),CHAR(34),SUBSTITUTE(SUBSTITUTE(SUBSTITUTE(SUBSTITUTE(SUBSTITUTE(SUBSTITUTE($E889,CHAR(13)," "),CHAR(10)," "),CHAR(9)," "),CHAR(92),_xlfn.CONCAT(CHAR(92),CHAR(92))),"$",_xlfn.CONCAT(CHAR(92),"$")),CHAR(96),_xlfn.CONCAT(CHAR(92),CHAR(96))),CHAR(34),CHAR(39))))</f>
        <v/>
      </c>
      <c r="P889" s="5" t="str">
        <f>IF(OR(TRIM($B889)="",$F889=""),"",IF(OR(ISNUMBER(SEARCH(_xlfn.CONCAT(CHAR(96),CHAR(34)),$F889)),ISNUMBER(SEARCH(_xlfn.CONCAT(CHAR(34),CHAR(39)),$F889))),_xlfn.CONCAT("* REVIEW REQUIRED: compound-quote delimiter in Units on Sheet 1 row ",889,"; edit the input before running."),_xlfn.CONCAT("char ",TRIM($B889),"[doc_units] ",CHAR(96),CHAR(34),SUBSTITUTE(SUBSTITUTE(SUBSTITUTE(SUBSTITUTE(SUBSTITUTE(SUBSTITUTE($F889,CHAR(13)," "),CHAR(10)," "),CHAR(9)," "),CHAR(92),_xlfn.CONCAT(CHAR(92),CHAR(92))),"$",_xlfn.CONCAT(CHAR(92),"$")),CHAR(96),_xlfn.CONCAT(CHAR(92),CHAR(96))),CHAR(34),CHAR(39))))</f>
        <v/>
      </c>
      <c r="Q889" s="5" t="str">
        <f>IF(OR(TRIM($B889)="",$G889=""),"",IF(OR(ISNUMBER(SEARCH(_xlfn.CONCAT(CHAR(96),CHAR(34)),$G889)),ISNUMBER(SEARCH(_xlfn.CONCAT(CHAR(34),CHAR(39)),$G889))),_xlfn.CONCAT("* REVIEW REQUIRED: compound-quote delimiter in Universe on Sheet 1 row ",889,"; edit the input before running."),_xlfn.CONCAT("char ",TRIM($B889),"[doc_universe] ",CHAR(96),CHAR(34),SUBSTITUTE(SUBSTITUTE(SUBSTITUTE(SUBSTITUTE(SUBSTITUTE(SUBSTITUTE($G889,CHAR(13)," "),CHAR(10)," "),CHAR(9)," "),CHAR(92),_xlfn.CONCAT(CHAR(92),CHAR(92))),"$",_xlfn.CONCAT(CHAR(92),"$")),CHAR(96),_xlfn.CONCAT(CHAR(92),CHAR(96))),CHAR(34),CHAR(39))))</f>
        <v/>
      </c>
      <c r="R889" s="5" t="str">
        <f>IF(OR(TRIM($B889)="",$H889=""),"",IF(OR(ISNUMBER(SEARCH(_xlfn.CONCAT(CHAR(96),CHAR(34)),$H889)),ISNUMBER(SEARCH(_xlfn.CONCAT(CHAR(34),CHAR(39)),$H889))),_xlfn.CONCAT("* REVIEW REQUIRED: compound-quote delimiter in Source on Sheet 1 row ",889,"; edit the input before running."),_xlfn.CONCAT("char ",TRIM($B889),"[doc_source] ",CHAR(96),CHAR(34),SUBSTITUTE(SUBSTITUTE(SUBSTITUTE(SUBSTITUTE(SUBSTITUTE(SUBSTITUTE($H889,CHAR(13)," "),CHAR(10)," "),CHAR(9)," "),CHAR(92),_xlfn.CONCAT(CHAR(92),CHAR(92))),"$",_xlfn.CONCAT(CHAR(92),"$")),CHAR(96),_xlfn.CONCAT(CHAR(92),CHAR(96))),CHAR(34),CHAR(39))))</f>
        <v/>
      </c>
      <c r="S889" s="5" t="str">
        <f>IF(OR(TRIM($B889)="",$I889=""),"",IF(OR(ISNUMBER(SEARCH(_xlfn.CONCAT(CHAR(96),CHAR(34)),$I889)),ISNUMBER(SEARCH(_xlfn.CONCAT(CHAR(34),CHAR(39)),$I889))),_xlfn.CONCAT("* REVIEW REQUIRED: compound-quote delimiter in Derivation on Sheet 1 row ",889,"; edit the input before running."),_xlfn.CONCAT("char ",TRIM($B889),"[doc_derivation] ",CHAR(96),CHAR(34),SUBSTITUTE(SUBSTITUTE(SUBSTITUTE(SUBSTITUTE(SUBSTITUTE(SUBSTITUTE($I889,CHAR(13)," "),CHAR(10)," "),CHAR(9)," "),CHAR(92),_xlfn.CONCAT(CHAR(92),CHAR(92))),"$",_xlfn.CONCAT(CHAR(92),"$")),CHAR(96),_xlfn.CONCAT(CHAR(92),CHAR(96))),CHAR(34),CHAR(39))))</f>
        <v/>
      </c>
      <c r="T889" s="5" t="str">
        <f>IF(OR(TRIM($B889)="",$J889=""),"",IF(OR(ISNUMBER(SEARCH(_xlfn.CONCAT(CHAR(96),CHAR(34)),$J889)),ISNUMBER(SEARCH(_xlfn.CONCAT(CHAR(34),CHAR(39)),$J889))),_xlfn.CONCAT("* REVIEW REQUIRED: compound-quote delimiter in Notes on Sheet 1 row ",889,"; edit the input before running."),_xlfn.CONCAT("char ",TRIM($B889),"[doc_notes] ",CHAR(96),CHAR(34),SUBSTITUTE(SUBSTITUTE(SUBSTITUTE(SUBSTITUTE(SUBSTITUTE(SUBSTITUTE($J889,CHAR(13)," "),CHAR(10)," "),CHAR(9)," "),CHAR(92),_xlfn.CONCAT(CHAR(92),CHAR(92))),"$",_xlfn.CONCAT(CHAR(92),"$")),CHAR(96),_xlfn.CONCAT(CHAR(92),CHAR(96))),CHAR(34),CHAR(39))))</f>
        <v/>
      </c>
      <c r="U889" s="5">
        <f t="shared" si="27"/>
        <v>0</v>
      </c>
    </row>
    <row r="890" spans="3:21" ht="30" customHeight="1" x14ac:dyDescent="0.2">
      <c r="C890" s="4"/>
      <c r="K890" s="5">
        <f t="shared" si="26"/>
        <v>0</v>
      </c>
      <c r="L890" s="5" t="str">
        <f>IF(OR(TRIM($B890)="",$A890=""),"",IF(OR(ISNUMBER(SEARCH(_xlfn.CONCAT(CHAR(96),CHAR(34)),$A890)),ISNUMBER(SEARCH(_xlfn.CONCAT(CHAR(34),CHAR(39)),$A890))),_xlfn.CONCAT("* REVIEW REQUIRED: compound-quote delimiter in Codebook Section on Sheet 1 row ",890,"; edit the input before running."),_xlfn.CONCAT("char ",TRIM($B890),"[doc_section] ",CHAR(96),CHAR(34),SUBSTITUTE(SUBSTITUTE(SUBSTITUTE(SUBSTITUTE(SUBSTITUTE(SUBSTITUTE($A890,CHAR(13)," "),CHAR(10)," "),CHAR(9)," "),CHAR(92),_xlfn.CONCAT(CHAR(92),CHAR(92))),"$",_xlfn.CONCAT(CHAR(92),"$")),CHAR(96),_xlfn.CONCAT(CHAR(92),CHAR(96))),CHAR(34),CHAR(39))))</f>
        <v/>
      </c>
      <c r="M890" s="5" t="str">
        <f>IF(OR(TRIM($B890)="",$C890=""),"",IF(IFERROR(MATCH(TRIM($C890),{"Quantitative","Continuous","Discrete","Categorical","Nominal","Ordinal","Identifier"},0),0)=0,_xlfn.CONCAT("* REVIEW REQUIRED: invalid Variable Type on Sheet 1 row ",890,"."),_xlfn.CONCAT("char ",TRIM($B890),"[doc_vartype] ",CHAR(96),CHAR(34),SUBSTITUTE(SUBSTITUTE(SUBSTITUTE(SUBSTITUTE(SUBSTITUTE(SUBSTITUTE(LOWER(TRIM($C890)),CHAR(13)," "),CHAR(10)," "),CHAR(9)," "),CHAR(92),_xlfn.CONCAT(CHAR(92),CHAR(92))),"$",_xlfn.CONCAT(CHAR(92),"$")),CHAR(96),_xlfn.CONCAT(CHAR(92),CHAR(96))),CHAR(34),CHAR(39))))</f>
        <v/>
      </c>
      <c r="N890" s="5" t="str">
        <f>IF(OR(TRIM($B890)="",$D890=""),"",IF(OR(ISNUMBER(SEARCH(_xlfn.CONCAT(CHAR(96),CHAR(34)),$D890)),ISNUMBER(SEARCH(_xlfn.CONCAT(CHAR(34),CHAR(39)),$D890))),_xlfn.CONCAT("* REVIEW REQUIRED: compound-quote delimiter in Item Number on Sheet 1 row ",890,"; edit the input before running."),_xlfn.CONCAT("char ",TRIM($B890),"[doc_itemnum] ",CHAR(96),CHAR(34),SUBSTITUTE(SUBSTITUTE(SUBSTITUTE(SUBSTITUTE(SUBSTITUTE(SUBSTITUTE($D890,CHAR(13)," "),CHAR(10)," "),CHAR(9)," "),CHAR(92),_xlfn.CONCAT(CHAR(92),CHAR(92))),"$",_xlfn.CONCAT(CHAR(92),"$")),CHAR(96),_xlfn.CONCAT(CHAR(92),CHAR(96))),CHAR(34),CHAR(39))))</f>
        <v/>
      </c>
      <c r="O890" s="5" t="str">
        <f>IF(OR(TRIM($B890)="",$E890=""),"",IF(OR(ISNUMBER(SEARCH(_xlfn.CONCAT(CHAR(96),CHAR(34)),$E890)),ISNUMBER(SEARCH(_xlfn.CONCAT(CHAR(34),CHAR(39)),$E890))),_xlfn.CONCAT("* REVIEW REQUIRED: compound-quote delimiter in Question Wording on Sheet 1 row ",890,"; edit the input before running."),_xlfn.CONCAT("char ",TRIM($B890),"[doc_question] ",CHAR(96),CHAR(34),SUBSTITUTE(SUBSTITUTE(SUBSTITUTE(SUBSTITUTE(SUBSTITUTE(SUBSTITUTE($E890,CHAR(13)," "),CHAR(10)," "),CHAR(9)," "),CHAR(92),_xlfn.CONCAT(CHAR(92),CHAR(92))),"$",_xlfn.CONCAT(CHAR(92),"$")),CHAR(96),_xlfn.CONCAT(CHAR(92),CHAR(96))),CHAR(34),CHAR(39))))</f>
        <v/>
      </c>
      <c r="P890" s="5" t="str">
        <f>IF(OR(TRIM($B890)="",$F890=""),"",IF(OR(ISNUMBER(SEARCH(_xlfn.CONCAT(CHAR(96),CHAR(34)),$F890)),ISNUMBER(SEARCH(_xlfn.CONCAT(CHAR(34),CHAR(39)),$F890))),_xlfn.CONCAT("* REVIEW REQUIRED: compound-quote delimiter in Units on Sheet 1 row ",890,"; edit the input before running."),_xlfn.CONCAT("char ",TRIM($B890),"[doc_units] ",CHAR(96),CHAR(34),SUBSTITUTE(SUBSTITUTE(SUBSTITUTE(SUBSTITUTE(SUBSTITUTE(SUBSTITUTE($F890,CHAR(13)," "),CHAR(10)," "),CHAR(9)," "),CHAR(92),_xlfn.CONCAT(CHAR(92),CHAR(92))),"$",_xlfn.CONCAT(CHAR(92),"$")),CHAR(96),_xlfn.CONCAT(CHAR(92),CHAR(96))),CHAR(34),CHAR(39))))</f>
        <v/>
      </c>
      <c r="Q890" s="5" t="str">
        <f>IF(OR(TRIM($B890)="",$G890=""),"",IF(OR(ISNUMBER(SEARCH(_xlfn.CONCAT(CHAR(96),CHAR(34)),$G890)),ISNUMBER(SEARCH(_xlfn.CONCAT(CHAR(34),CHAR(39)),$G890))),_xlfn.CONCAT("* REVIEW REQUIRED: compound-quote delimiter in Universe on Sheet 1 row ",890,"; edit the input before running."),_xlfn.CONCAT("char ",TRIM($B890),"[doc_universe] ",CHAR(96),CHAR(34),SUBSTITUTE(SUBSTITUTE(SUBSTITUTE(SUBSTITUTE(SUBSTITUTE(SUBSTITUTE($G890,CHAR(13)," "),CHAR(10)," "),CHAR(9)," "),CHAR(92),_xlfn.CONCAT(CHAR(92),CHAR(92))),"$",_xlfn.CONCAT(CHAR(92),"$")),CHAR(96),_xlfn.CONCAT(CHAR(92),CHAR(96))),CHAR(34),CHAR(39))))</f>
        <v/>
      </c>
      <c r="R890" s="5" t="str">
        <f>IF(OR(TRIM($B890)="",$H890=""),"",IF(OR(ISNUMBER(SEARCH(_xlfn.CONCAT(CHAR(96),CHAR(34)),$H890)),ISNUMBER(SEARCH(_xlfn.CONCAT(CHAR(34),CHAR(39)),$H890))),_xlfn.CONCAT("* REVIEW REQUIRED: compound-quote delimiter in Source on Sheet 1 row ",890,"; edit the input before running."),_xlfn.CONCAT("char ",TRIM($B890),"[doc_source] ",CHAR(96),CHAR(34),SUBSTITUTE(SUBSTITUTE(SUBSTITUTE(SUBSTITUTE(SUBSTITUTE(SUBSTITUTE($H890,CHAR(13)," "),CHAR(10)," "),CHAR(9)," "),CHAR(92),_xlfn.CONCAT(CHAR(92),CHAR(92))),"$",_xlfn.CONCAT(CHAR(92),"$")),CHAR(96),_xlfn.CONCAT(CHAR(92),CHAR(96))),CHAR(34),CHAR(39))))</f>
        <v/>
      </c>
      <c r="S890" s="5" t="str">
        <f>IF(OR(TRIM($B890)="",$I890=""),"",IF(OR(ISNUMBER(SEARCH(_xlfn.CONCAT(CHAR(96),CHAR(34)),$I890)),ISNUMBER(SEARCH(_xlfn.CONCAT(CHAR(34),CHAR(39)),$I890))),_xlfn.CONCAT("* REVIEW REQUIRED: compound-quote delimiter in Derivation on Sheet 1 row ",890,"; edit the input before running."),_xlfn.CONCAT("char ",TRIM($B890),"[doc_derivation] ",CHAR(96),CHAR(34),SUBSTITUTE(SUBSTITUTE(SUBSTITUTE(SUBSTITUTE(SUBSTITUTE(SUBSTITUTE($I890,CHAR(13)," "),CHAR(10)," "),CHAR(9)," "),CHAR(92),_xlfn.CONCAT(CHAR(92),CHAR(92))),"$",_xlfn.CONCAT(CHAR(92),"$")),CHAR(96),_xlfn.CONCAT(CHAR(92),CHAR(96))),CHAR(34),CHAR(39))))</f>
        <v/>
      </c>
      <c r="T890" s="5" t="str">
        <f>IF(OR(TRIM($B890)="",$J890=""),"",IF(OR(ISNUMBER(SEARCH(_xlfn.CONCAT(CHAR(96),CHAR(34)),$J890)),ISNUMBER(SEARCH(_xlfn.CONCAT(CHAR(34),CHAR(39)),$J890))),_xlfn.CONCAT("* REVIEW REQUIRED: compound-quote delimiter in Notes on Sheet 1 row ",890,"; edit the input before running."),_xlfn.CONCAT("char ",TRIM($B890),"[doc_notes] ",CHAR(96),CHAR(34),SUBSTITUTE(SUBSTITUTE(SUBSTITUTE(SUBSTITUTE(SUBSTITUTE(SUBSTITUTE($J890,CHAR(13)," "),CHAR(10)," "),CHAR(9)," "),CHAR(92),_xlfn.CONCAT(CHAR(92),CHAR(92))),"$",_xlfn.CONCAT(CHAR(92),"$")),CHAR(96),_xlfn.CONCAT(CHAR(92),CHAR(96))),CHAR(34),CHAR(39))))</f>
        <v/>
      </c>
      <c r="U890" s="5">
        <f t="shared" si="27"/>
        <v>0</v>
      </c>
    </row>
    <row r="891" spans="3:21" ht="30" customHeight="1" x14ac:dyDescent="0.2">
      <c r="C891" s="4"/>
      <c r="K891" s="5">
        <f t="shared" si="26"/>
        <v>0</v>
      </c>
      <c r="L891" s="5" t="str">
        <f>IF(OR(TRIM($B891)="",$A891=""),"",IF(OR(ISNUMBER(SEARCH(_xlfn.CONCAT(CHAR(96),CHAR(34)),$A891)),ISNUMBER(SEARCH(_xlfn.CONCAT(CHAR(34),CHAR(39)),$A891))),_xlfn.CONCAT("* REVIEW REQUIRED: compound-quote delimiter in Codebook Section on Sheet 1 row ",891,"; edit the input before running."),_xlfn.CONCAT("char ",TRIM($B891),"[doc_section] ",CHAR(96),CHAR(34),SUBSTITUTE(SUBSTITUTE(SUBSTITUTE(SUBSTITUTE(SUBSTITUTE(SUBSTITUTE($A891,CHAR(13)," "),CHAR(10)," "),CHAR(9)," "),CHAR(92),_xlfn.CONCAT(CHAR(92),CHAR(92))),"$",_xlfn.CONCAT(CHAR(92),"$")),CHAR(96),_xlfn.CONCAT(CHAR(92),CHAR(96))),CHAR(34),CHAR(39))))</f>
        <v/>
      </c>
      <c r="M891" s="5" t="str">
        <f>IF(OR(TRIM($B891)="",$C891=""),"",IF(IFERROR(MATCH(TRIM($C891),{"Quantitative","Continuous","Discrete","Categorical","Nominal","Ordinal","Identifier"},0),0)=0,_xlfn.CONCAT("* REVIEW REQUIRED: invalid Variable Type on Sheet 1 row ",891,"."),_xlfn.CONCAT("char ",TRIM($B891),"[doc_vartype] ",CHAR(96),CHAR(34),SUBSTITUTE(SUBSTITUTE(SUBSTITUTE(SUBSTITUTE(SUBSTITUTE(SUBSTITUTE(LOWER(TRIM($C891)),CHAR(13)," "),CHAR(10)," "),CHAR(9)," "),CHAR(92),_xlfn.CONCAT(CHAR(92),CHAR(92))),"$",_xlfn.CONCAT(CHAR(92),"$")),CHAR(96),_xlfn.CONCAT(CHAR(92),CHAR(96))),CHAR(34),CHAR(39))))</f>
        <v/>
      </c>
      <c r="N891" s="5" t="str">
        <f>IF(OR(TRIM($B891)="",$D891=""),"",IF(OR(ISNUMBER(SEARCH(_xlfn.CONCAT(CHAR(96),CHAR(34)),$D891)),ISNUMBER(SEARCH(_xlfn.CONCAT(CHAR(34),CHAR(39)),$D891))),_xlfn.CONCAT("* REVIEW REQUIRED: compound-quote delimiter in Item Number on Sheet 1 row ",891,"; edit the input before running."),_xlfn.CONCAT("char ",TRIM($B891),"[doc_itemnum] ",CHAR(96),CHAR(34),SUBSTITUTE(SUBSTITUTE(SUBSTITUTE(SUBSTITUTE(SUBSTITUTE(SUBSTITUTE($D891,CHAR(13)," "),CHAR(10)," "),CHAR(9)," "),CHAR(92),_xlfn.CONCAT(CHAR(92),CHAR(92))),"$",_xlfn.CONCAT(CHAR(92),"$")),CHAR(96),_xlfn.CONCAT(CHAR(92),CHAR(96))),CHAR(34),CHAR(39))))</f>
        <v/>
      </c>
      <c r="O891" s="5" t="str">
        <f>IF(OR(TRIM($B891)="",$E891=""),"",IF(OR(ISNUMBER(SEARCH(_xlfn.CONCAT(CHAR(96),CHAR(34)),$E891)),ISNUMBER(SEARCH(_xlfn.CONCAT(CHAR(34),CHAR(39)),$E891))),_xlfn.CONCAT("* REVIEW REQUIRED: compound-quote delimiter in Question Wording on Sheet 1 row ",891,"; edit the input before running."),_xlfn.CONCAT("char ",TRIM($B891),"[doc_question] ",CHAR(96),CHAR(34),SUBSTITUTE(SUBSTITUTE(SUBSTITUTE(SUBSTITUTE(SUBSTITUTE(SUBSTITUTE($E891,CHAR(13)," "),CHAR(10)," "),CHAR(9)," "),CHAR(92),_xlfn.CONCAT(CHAR(92),CHAR(92))),"$",_xlfn.CONCAT(CHAR(92),"$")),CHAR(96),_xlfn.CONCAT(CHAR(92),CHAR(96))),CHAR(34),CHAR(39))))</f>
        <v/>
      </c>
      <c r="P891" s="5" t="str">
        <f>IF(OR(TRIM($B891)="",$F891=""),"",IF(OR(ISNUMBER(SEARCH(_xlfn.CONCAT(CHAR(96),CHAR(34)),$F891)),ISNUMBER(SEARCH(_xlfn.CONCAT(CHAR(34),CHAR(39)),$F891))),_xlfn.CONCAT("* REVIEW REQUIRED: compound-quote delimiter in Units on Sheet 1 row ",891,"; edit the input before running."),_xlfn.CONCAT("char ",TRIM($B891),"[doc_units] ",CHAR(96),CHAR(34),SUBSTITUTE(SUBSTITUTE(SUBSTITUTE(SUBSTITUTE(SUBSTITUTE(SUBSTITUTE($F891,CHAR(13)," "),CHAR(10)," "),CHAR(9)," "),CHAR(92),_xlfn.CONCAT(CHAR(92),CHAR(92))),"$",_xlfn.CONCAT(CHAR(92),"$")),CHAR(96),_xlfn.CONCAT(CHAR(92),CHAR(96))),CHAR(34),CHAR(39))))</f>
        <v/>
      </c>
      <c r="Q891" s="5" t="str">
        <f>IF(OR(TRIM($B891)="",$G891=""),"",IF(OR(ISNUMBER(SEARCH(_xlfn.CONCAT(CHAR(96),CHAR(34)),$G891)),ISNUMBER(SEARCH(_xlfn.CONCAT(CHAR(34),CHAR(39)),$G891))),_xlfn.CONCAT("* REVIEW REQUIRED: compound-quote delimiter in Universe on Sheet 1 row ",891,"; edit the input before running."),_xlfn.CONCAT("char ",TRIM($B891),"[doc_universe] ",CHAR(96),CHAR(34),SUBSTITUTE(SUBSTITUTE(SUBSTITUTE(SUBSTITUTE(SUBSTITUTE(SUBSTITUTE($G891,CHAR(13)," "),CHAR(10)," "),CHAR(9)," "),CHAR(92),_xlfn.CONCAT(CHAR(92),CHAR(92))),"$",_xlfn.CONCAT(CHAR(92),"$")),CHAR(96),_xlfn.CONCAT(CHAR(92),CHAR(96))),CHAR(34),CHAR(39))))</f>
        <v/>
      </c>
      <c r="R891" s="5" t="str">
        <f>IF(OR(TRIM($B891)="",$H891=""),"",IF(OR(ISNUMBER(SEARCH(_xlfn.CONCAT(CHAR(96),CHAR(34)),$H891)),ISNUMBER(SEARCH(_xlfn.CONCAT(CHAR(34),CHAR(39)),$H891))),_xlfn.CONCAT("* REVIEW REQUIRED: compound-quote delimiter in Source on Sheet 1 row ",891,"; edit the input before running."),_xlfn.CONCAT("char ",TRIM($B891),"[doc_source] ",CHAR(96),CHAR(34),SUBSTITUTE(SUBSTITUTE(SUBSTITUTE(SUBSTITUTE(SUBSTITUTE(SUBSTITUTE($H891,CHAR(13)," "),CHAR(10)," "),CHAR(9)," "),CHAR(92),_xlfn.CONCAT(CHAR(92),CHAR(92))),"$",_xlfn.CONCAT(CHAR(92),"$")),CHAR(96),_xlfn.CONCAT(CHAR(92),CHAR(96))),CHAR(34),CHAR(39))))</f>
        <v/>
      </c>
      <c r="S891" s="5" t="str">
        <f>IF(OR(TRIM($B891)="",$I891=""),"",IF(OR(ISNUMBER(SEARCH(_xlfn.CONCAT(CHAR(96),CHAR(34)),$I891)),ISNUMBER(SEARCH(_xlfn.CONCAT(CHAR(34),CHAR(39)),$I891))),_xlfn.CONCAT("* REVIEW REQUIRED: compound-quote delimiter in Derivation on Sheet 1 row ",891,"; edit the input before running."),_xlfn.CONCAT("char ",TRIM($B891),"[doc_derivation] ",CHAR(96),CHAR(34),SUBSTITUTE(SUBSTITUTE(SUBSTITUTE(SUBSTITUTE(SUBSTITUTE(SUBSTITUTE($I891,CHAR(13)," "),CHAR(10)," "),CHAR(9)," "),CHAR(92),_xlfn.CONCAT(CHAR(92),CHAR(92))),"$",_xlfn.CONCAT(CHAR(92),"$")),CHAR(96),_xlfn.CONCAT(CHAR(92),CHAR(96))),CHAR(34),CHAR(39))))</f>
        <v/>
      </c>
      <c r="T891" s="5" t="str">
        <f>IF(OR(TRIM($B891)="",$J891=""),"",IF(OR(ISNUMBER(SEARCH(_xlfn.CONCAT(CHAR(96),CHAR(34)),$J891)),ISNUMBER(SEARCH(_xlfn.CONCAT(CHAR(34),CHAR(39)),$J891))),_xlfn.CONCAT("* REVIEW REQUIRED: compound-quote delimiter in Notes on Sheet 1 row ",891,"; edit the input before running."),_xlfn.CONCAT("char ",TRIM($B891),"[doc_notes] ",CHAR(96),CHAR(34),SUBSTITUTE(SUBSTITUTE(SUBSTITUTE(SUBSTITUTE(SUBSTITUTE(SUBSTITUTE($J891,CHAR(13)," "),CHAR(10)," "),CHAR(9)," "),CHAR(92),_xlfn.CONCAT(CHAR(92),CHAR(92))),"$",_xlfn.CONCAT(CHAR(92),"$")),CHAR(96),_xlfn.CONCAT(CHAR(92),CHAR(96))),CHAR(34),CHAR(39))))</f>
        <v/>
      </c>
      <c r="U891" s="5">
        <f t="shared" si="27"/>
        <v>0</v>
      </c>
    </row>
    <row r="892" spans="3:21" ht="30" customHeight="1" x14ac:dyDescent="0.2">
      <c r="C892" s="4"/>
      <c r="K892" s="5">
        <f t="shared" si="26"/>
        <v>0</v>
      </c>
      <c r="L892" s="5" t="str">
        <f>IF(OR(TRIM($B892)="",$A892=""),"",IF(OR(ISNUMBER(SEARCH(_xlfn.CONCAT(CHAR(96),CHAR(34)),$A892)),ISNUMBER(SEARCH(_xlfn.CONCAT(CHAR(34),CHAR(39)),$A892))),_xlfn.CONCAT("* REVIEW REQUIRED: compound-quote delimiter in Codebook Section on Sheet 1 row ",892,"; edit the input before running."),_xlfn.CONCAT("char ",TRIM($B892),"[doc_section] ",CHAR(96),CHAR(34),SUBSTITUTE(SUBSTITUTE(SUBSTITUTE(SUBSTITUTE(SUBSTITUTE(SUBSTITUTE($A892,CHAR(13)," "),CHAR(10)," "),CHAR(9)," "),CHAR(92),_xlfn.CONCAT(CHAR(92),CHAR(92))),"$",_xlfn.CONCAT(CHAR(92),"$")),CHAR(96),_xlfn.CONCAT(CHAR(92),CHAR(96))),CHAR(34),CHAR(39))))</f>
        <v/>
      </c>
      <c r="M892" s="5" t="str">
        <f>IF(OR(TRIM($B892)="",$C892=""),"",IF(IFERROR(MATCH(TRIM($C892),{"Quantitative","Continuous","Discrete","Categorical","Nominal","Ordinal","Identifier"},0),0)=0,_xlfn.CONCAT("* REVIEW REQUIRED: invalid Variable Type on Sheet 1 row ",892,"."),_xlfn.CONCAT("char ",TRIM($B892),"[doc_vartype] ",CHAR(96),CHAR(34),SUBSTITUTE(SUBSTITUTE(SUBSTITUTE(SUBSTITUTE(SUBSTITUTE(SUBSTITUTE(LOWER(TRIM($C892)),CHAR(13)," "),CHAR(10)," "),CHAR(9)," "),CHAR(92),_xlfn.CONCAT(CHAR(92),CHAR(92))),"$",_xlfn.CONCAT(CHAR(92),"$")),CHAR(96),_xlfn.CONCAT(CHAR(92),CHAR(96))),CHAR(34),CHAR(39))))</f>
        <v/>
      </c>
      <c r="N892" s="5" t="str">
        <f>IF(OR(TRIM($B892)="",$D892=""),"",IF(OR(ISNUMBER(SEARCH(_xlfn.CONCAT(CHAR(96),CHAR(34)),$D892)),ISNUMBER(SEARCH(_xlfn.CONCAT(CHAR(34),CHAR(39)),$D892))),_xlfn.CONCAT("* REVIEW REQUIRED: compound-quote delimiter in Item Number on Sheet 1 row ",892,"; edit the input before running."),_xlfn.CONCAT("char ",TRIM($B892),"[doc_itemnum] ",CHAR(96),CHAR(34),SUBSTITUTE(SUBSTITUTE(SUBSTITUTE(SUBSTITUTE(SUBSTITUTE(SUBSTITUTE($D892,CHAR(13)," "),CHAR(10)," "),CHAR(9)," "),CHAR(92),_xlfn.CONCAT(CHAR(92),CHAR(92))),"$",_xlfn.CONCAT(CHAR(92),"$")),CHAR(96),_xlfn.CONCAT(CHAR(92),CHAR(96))),CHAR(34),CHAR(39))))</f>
        <v/>
      </c>
      <c r="O892" s="5" t="str">
        <f>IF(OR(TRIM($B892)="",$E892=""),"",IF(OR(ISNUMBER(SEARCH(_xlfn.CONCAT(CHAR(96),CHAR(34)),$E892)),ISNUMBER(SEARCH(_xlfn.CONCAT(CHAR(34),CHAR(39)),$E892))),_xlfn.CONCAT("* REVIEW REQUIRED: compound-quote delimiter in Question Wording on Sheet 1 row ",892,"; edit the input before running."),_xlfn.CONCAT("char ",TRIM($B892),"[doc_question] ",CHAR(96),CHAR(34),SUBSTITUTE(SUBSTITUTE(SUBSTITUTE(SUBSTITUTE(SUBSTITUTE(SUBSTITUTE($E892,CHAR(13)," "),CHAR(10)," "),CHAR(9)," "),CHAR(92),_xlfn.CONCAT(CHAR(92),CHAR(92))),"$",_xlfn.CONCAT(CHAR(92),"$")),CHAR(96),_xlfn.CONCAT(CHAR(92),CHAR(96))),CHAR(34),CHAR(39))))</f>
        <v/>
      </c>
      <c r="P892" s="5" t="str">
        <f>IF(OR(TRIM($B892)="",$F892=""),"",IF(OR(ISNUMBER(SEARCH(_xlfn.CONCAT(CHAR(96),CHAR(34)),$F892)),ISNUMBER(SEARCH(_xlfn.CONCAT(CHAR(34),CHAR(39)),$F892))),_xlfn.CONCAT("* REVIEW REQUIRED: compound-quote delimiter in Units on Sheet 1 row ",892,"; edit the input before running."),_xlfn.CONCAT("char ",TRIM($B892),"[doc_units] ",CHAR(96),CHAR(34),SUBSTITUTE(SUBSTITUTE(SUBSTITUTE(SUBSTITUTE(SUBSTITUTE(SUBSTITUTE($F892,CHAR(13)," "),CHAR(10)," "),CHAR(9)," "),CHAR(92),_xlfn.CONCAT(CHAR(92),CHAR(92))),"$",_xlfn.CONCAT(CHAR(92),"$")),CHAR(96),_xlfn.CONCAT(CHAR(92),CHAR(96))),CHAR(34),CHAR(39))))</f>
        <v/>
      </c>
      <c r="Q892" s="5" t="str">
        <f>IF(OR(TRIM($B892)="",$G892=""),"",IF(OR(ISNUMBER(SEARCH(_xlfn.CONCAT(CHAR(96),CHAR(34)),$G892)),ISNUMBER(SEARCH(_xlfn.CONCAT(CHAR(34),CHAR(39)),$G892))),_xlfn.CONCAT("* REVIEW REQUIRED: compound-quote delimiter in Universe on Sheet 1 row ",892,"; edit the input before running."),_xlfn.CONCAT("char ",TRIM($B892),"[doc_universe] ",CHAR(96),CHAR(34),SUBSTITUTE(SUBSTITUTE(SUBSTITUTE(SUBSTITUTE(SUBSTITUTE(SUBSTITUTE($G892,CHAR(13)," "),CHAR(10)," "),CHAR(9)," "),CHAR(92),_xlfn.CONCAT(CHAR(92),CHAR(92))),"$",_xlfn.CONCAT(CHAR(92),"$")),CHAR(96),_xlfn.CONCAT(CHAR(92),CHAR(96))),CHAR(34),CHAR(39))))</f>
        <v/>
      </c>
      <c r="R892" s="5" t="str">
        <f>IF(OR(TRIM($B892)="",$H892=""),"",IF(OR(ISNUMBER(SEARCH(_xlfn.CONCAT(CHAR(96),CHAR(34)),$H892)),ISNUMBER(SEARCH(_xlfn.CONCAT(CHAR(34),CHAR(39)),$H892))),_xlfn.CONCAT("* REVIEW REQUIRED: compound-quote delimiter in Source on Sheet 1 row ",892,"; edit the input before running."),_xlfn.CONCAT("char ",TRIM($B892),"[doc_source] ",CHAR(96),CHAR(34),SUBSTITUTE(SUBSTITUTE(SUBSTITUTE(SUBSTITUTE(SUBSTITUTE(SUBSTITUTE($H892,CHAR(13)," "),CHAR(10)," "),CHAR(9)," "),CHAR(92),_xlfn.CONCAT(CHAR(92),CHAR(92))),"$",_xlfn.CONCAT(CHAR(92),"$")),CHAR(96),_xlfn.CONCAT(CHAR(92),CHAR(96))),CHAR(34),CHAR(39))))</f>
        <v/>
      </c>
      <c r="S892" s="5" t="str">
        <f>IF(OR(TRIM($B892)="",$I892=""),"",IF(OR(ISNUMBER(SEARCH(_xlfn.CONCAT(CHAR(96),CHAR(34)),$I892)),ISNUMBER(SEARCH(_xlfn.CONCAT(CHAR(34),CHAR(39)),$I892))),_xlfn.CONCAT("* REVIEW REQUIRED: compound-quote delimiter in Derivation on Sheet 1 row ",892,"; edit the input before running."),_xlfn.CONCAT("char ",TRIM($B892),"[doc_derivation] ",CHAR(96),CHAR(34),SUBSTITUTE(SUBSTITUTE(SUBSTITUTE(SUBSTITUTE(SUBSTITUTE(SUBSTITUTE($I892,CHAR(13)," "),CHAR(10)," "),CHAR(9)," "),CHAR(92),_xlfn.CONCAT(CHAR(92),CHAR(92))),"$",_xlfn.CONCAT(CHAR(92),"$")),CHAR(96),_xlfn.CONCAT(CHAR(92),CHAR(96))),CHAR(34),CHAR(39))))</f>
        <v/>
      </c>
      <c r="T892" s="5" t="str">
        <f>IF(OR(TRIM($B892)="",$J892=""),"",IF(OR(ISNUMBER(SEARCH(_xlfn.CONCAT(CHAR(96),CHAR(34)),$J892)),ISNUMBER(SEARCH(_xlfn.CONCAT(CHAR(34),CHAR(39)),$J892))),_xlfn.CONCAT("* REVIEW REQUIRED: compound-quote delimiter in Notes on Sheet 1 row ",892,"; edit the input before running."),_xlfn.CONCAT("char ",TRIM($B892),"[doc_notes] ",CHAR(96),CHAR(34),SUBSTITUTE(SUBSTITUTE(SUBSTITUTE(SUBSTITUTE(SUBSTITUTE(SUBSTITUTE($J892,CHAR(13)," "),CHAR(10)," "),CHAR(9)," "),CHAR(92),_xlfn.CONCAT(CHAR(92),CHAR(92))),"$",_xlfn.CONCAT(CHAR(92),"$")),CHAR(96),_xlfn.CONCAT(CHAR(92),CHAR(96))),CHAR(34),CHAR(39))))</f>
        <v/>
      </c>
      <c r="U892" s="5">
        <f t="shared" si="27"/>
        <v>0</v>
      </c>
    </row>
    <row r="893" spans="3:21" ht="30" customHeight="1" x14ac:dyDescent="0.2">
      <c r="C893" s="4"/>
      <c r="K893" s="5">
        <f t="shared" si="26"/>
        <v>0</v>
      </c>
      <c r="L893" s="5" t="str">
        <f>IF(OR(TRIM($B893)="",$A893=""),"",IF(OR(ISNUMBER(SEARCH(_xlfn.CONCAT(CHAR(96),CHAR(34)),$A893)),ISNUMBER(SEARCH(_xlfn.CONCAT(CHAR(34),CHAR(39)),$A893))),_xlfn.CONCAT("* REVIEW REQUIRED: compound-quote delimiter in Codebook Section on Sheet 1 row ",893,"; edit the input before running."),_xlfn.CONCAT("char ",TRIM($B893),"[doc_section] ",CHAR(96),CHAR(34),SUBSTITUTE(SUBSTITUTE(SUBSTITUTE(SUBSTITUTE(SUBSTITUTE(SUBSTITUTE($A893,CHAR(13)," "),CHAR(10)," "),CHAR(9)," "),CHAR(92),_xlfn.CONCAT(CHAR(92),CHAR(92))),"$",_xlfn.CONCAT(CHAR(92),"$")),CHAR(96),_xlfn.CONCAT(CHAR(92),CHAR(96))),CHAR(34),CHAR(39))))</f>
        <v/>
      </c>
      <c r="M893" s="5" t="str">
        <f>IF(OR(TRIM($B893)="",$C893=""),"",IF(IFERROR(MATCH(TRIM($C893),{"Quantitative","Continuous","Discrete","Categorical","Nominal","Ordinal","Identifier"},0),0)=0,_xlfn.CONCAT("* REVIEW REQUIRED: invalid Variable Type on Sheet 1 row ",893,"."),_xlfn.CONCAT("char ",TRIM($B893),"[doc_vartype] ",CHAR(96),CHAR(34),SUBSTITUTE(SUBSTITUTE(SUBSTITUTE(SUBSTITUTE(SUBSTITUTE(SUBSTITUTE(LOWER(TRIM($C893)),CHAR(13)," "),CHAR(10)," "),CHAR(9)," "),CHAR(92),_xlfn.CONCAT(CHAR(92),CHAR(92))),"$",_xlfn.CONCAT(CHAR(92),"$")),CHAR(96),_xlfn.CONCAT(CHAR(92),CHAR(96))),CHAR(34),CHAR(39))))</f>
        <v/>
      </c>
      <c r="N893" s="5" t="str">
        <f>IF(OR(TRIM($B893)="",$D893=""),"",IF(OR(ISNUMBER(SEARCH(_xlfn.CONCAT(CHAR(96),CHAR(34)),$D893)),ISNUMBER(SEARCH(_xlfn.CONCAT(CHAR(34),CHAR(39)),$D893))),_xlfn.CONCAT("* REVIEW REQUIRED: compound-quote delimiter in Item Number on Sheet 1 row ",893,"; edit the input before running."),_xlfn.CONCAT("char ",TRIM($B893),"[doc_itemnum] ",CHAR(96),CHAR(34),SUBSTITUTE(SUBSTITUTE(SUBSTITUTE(SUBSTITUTE(SUBSTITUTE(SUBSTITUTE($D893,CHAR(13)," "),CHAR(10)," "),CHAR(9)," "),CHAR(92),_xlfn.CONCAT(CHAR(92),CHAR(92))),"$",_xlfn.CONCAT(CHAR(92),"$")),CHAR(96),_xlfn.CONCAT(CHAR(92),CHAR(96))),CHAR(34),CHAR(39))))</f>
        <v/>
      </c>
      <c r="O893" s="5" t="str">
        <f>IF(OR(TRIM($B893)="",$E893=""),"",IF(OR(ISNUMBER(SEARCH(_xlfn.CONCAT(CHAR(96),CHAR(34)),$E893)),ISNUMBER(SEARCH(_xlfn.CONCAT(CHAR(34),CHAR(39)),$E893))),_xlfn.CONCAT("* REVIEW REQUIRED: compound-quote delimiter in Question Wording on Sheet 1 row ",893,"; edit the input before running."),_xlfn.CONCAT("char ",TRIM($B893),"[doc_question] ",CHAR(96),CHAR(34),SUBSTITUTE(SUBSTITUTE(SUBSTITUTE(SUBSTITUTE(SUBSTITUTE(SUBSTITUTE($E893,CHAR(13)," "),CHAR(10)," "),CHAR(9)," "),CHAR(92),_xlfn.CONCAT(CHAR(92),CHAR(92))),"$",_xlfn.CONCAT(CHAR(92),"$")),CHAR(96),_xlfn.CONCAT(CHAR(92),CHAR(96))),CHAR(34),CHAR(39))))</f>
        <v/>
      </c>
      <c r="P893" s="5" t="str">
        <f>IF(OR(TRIM($B893)="",$F893=""),"",IF(OR(ISNUMBER(SEARCH(_xlfn.CONCAT(CHAR(96),CHAR(34)),$F893)),ISNUMBER(SEARCH(_xlfn.CONCAT(CHAR(34),CHAR(39)),$F893))),_xlfn.CONCAT("* REVIEW REQUIRED: compound-quote delimiter in Units on Sheet 1 row ",893,"; edit the input before running."),_xlfn.CONCAT("char ",TRIM($B893),"[doc_units] ",CHAR(96),CHAR(34),SUBSTITUTE(SUBSTITUTE(SUBSTITUTE(SUBSTITUTE(SUBSTITUTE(SUBSTITUTE($F893,CHAR(13)," "),CHAR(10)," "),CHAR(9)," "),CHAR(92),_xlfn.CONCAT(CHAR(92),CHAR(92))),"$",_xlfn.CONCAT(CHAR(92),"$")),CHAR(96),_xlfn.CONCAT(CHAR(92),CHAR(96))),CHAR(34),CHAR(39))))</f>
        <v/>
      </c>
      <c r="Q893" s="5" t="str">
        <f>IF(OR(TRIM($B893)="",$G893=""),"",IF(OR(ISNUMBER(SEARCH(_xlfn.CONCAT(CHAR(96),CHAR(34)),$G893)),ISNUMBER(SEARCH(_xlfn.CONCAT(CHAR(34),CHAR(39)),$G893))),_xlfn.CONCAT("* REVIEW REQUIRED: compound-quote delimiter in Universe on Sheet 1 row ",893,"; edit the input before running."),_xlfn.CONCAT("char ",TRIM($B893),"[doc_universe] ",CHAR(96),CHAR(34),SUBSTITUTE(SUBSTITUTE(SUBSTITUTE(SUBSTITUTE(SUBSTITUTE(SUBSTITUTE($G893,CHAR(13)," "),CHAR(10)," "),CHAR(9)," "),CHAR(92),_xlfn.CONCAT(CHAR(92),CHAR(92))),"$",_xlfn.CONCAT(CHAR(92),"$")),CHAR(96),_xlfn.CONCAT(CHAR(92),CHAR(96))),CHAR(34),CHAR(39))))</f>
        <v/>
      </c>
      <c r="R893" s="5" t="str">
        <f>IF(OR(TRIM($B893)="",$H893=""),"",IF(OR(ISNUMBER(SEARCH(_xlfn.CONCAT(CHAR(96),CHAR(34)),$H893)),ISNUMBER(SEARCH(_xlfn.CONCAT(CHAR(34),CHAR(39)),$H893))),_xlfn.CONCAT("* REVIEW REQUIRED: compound-quote delimiter in Source on Sheet 1 row ",893,"; edit the input before running."),_xlfn.CONCAT("char ",TRIM($B893),"[doc_source] ",CHAR(96),CHAR(34),SUBSTITUTE(SUBSTITUTE(SUBSTITUTE(SUBSTITUTE(SUBSTITUTE(SUBSTITUTE($H893,CHAR(13)," "),CHAR(10)," "),CHAR(9)," "),CHAR(92),_xlfn.CONCAT(CHAR(92),CHAR(92))),"$",_xlfn.CONCAT(CHAR(92),"$")),CHAR(96),_xlfn.CONCAT(CHAR(92),CHAR(96))),CHAR(34),CHAR(39))))</f>
        <v/>
      </c>
      <c r="S893" s="5" t="str">
        <f>IF(OR(TRIM($B893)="",$I893=""),"",IF(OR(ISNUMBER(SEARCH(_xlfn.CONCAT(CHAR(96),CHAR(34)),$I893)),ISNUMBER(SEARCH(_xlfn.CONCAT(CHAR(34),CHAR(39)),$I893))),_xlfn.CONCAT("* REVIEW REQUIRED: compound-quote delimiter in Derivation on Sheet 1 row ",893,"; edit the input before running."),_xlfn.CONCAT("char ",TRIM($B893),"[doc_derivation] ",CHAR(96),CHAR(34),SUBSTITUTE(SUBSTITUTE(SUBSTITUTE(SUBSTITUTE(SUBSTITUTE(SUBSTITUTE($I893,CHAR(13)," "),CHAR(10)," "),CHAR(9)," "),CHAR(92),_xlfn.CONCAT(CHAR(92),CHAR(92))),"$",_xlfn.CONCAT(CHAR(92),"$")),CHAR(96),_xlfn.CONCAT(CHAR(92),CHAR(96))),CHAR(34),CHAR(39))))</f>
        <v/>
      </c>
      <c r="T893" s="5" t="str">
        <f>IF(OR(TRIM($B893)="",$J893=""),"",IF(OR(ISNUMBER(SEARCH(_xlfn.CONCAT(CHAR(96),CHAR(34)),$J893)),ISNUMBER(SEARCH(_xlfn.CONCAT(CHAR(34),CHAR(39)),$J893))),_xlfn.CONCAT("* REVIEW REQUIRED: compound-quote delimiter in Notes on Sheet 1 row ",893,"; edit the input before running."),_xlfn.CONCAT("char ",TRIM($B893),"[doc_notes] ",CHAR(96),CHAR(34),SUBSTITUTE(SUBSTITUTE(SUBSTITUTE(SUBSTITUTE(SUBSTITUTE(SUBSTITUTE($J893,CHAR(13)," "),CHAR(10)," "),CHAR(9)," "),CHAR(92),_xlfn.CONCAT(CHAR(92),CHAR(92))),"$",_xlfn.CONCAT(CHAR(92),"$")),CHAR(96),_xlfn.CONCAT(CHAR(92),CHAR(96))),CHAR(34),CHAR(39))))</f>
        <v/>
      </c>
      <c r="U893" s="5">
        <f t="shared" si="27"/>
        <v>0</v>
      </c>
    </row>
    <row r="894" spans="3:21" ht="30" customHeight="1" x14ac:dyDescent="0.2">
      <c r="C894" s="4"/>
      <c r="K894" s="5">
        <f t="shared" si="26"/>
        <v>0</v>
      </c>
      <c r="L894" s="5" t="str">
        <f>IF(OR(TRIM($B894)="",$A894=""),"",IF(OR(ISNUMBER(SEARCH(_xlfn.CONCAT(CHAR(96),CHAR(34)),$A894)),ISNUMBER(SEARCH(_xlfn.CONCAT(CHAR(34),CHAR(39)),$A894))),_xlfn.CONCAT("* REVIEW REQUIRED: compound-quote delimiter in Codebook Section on Sheet 1 row ",894,"; edit the input before running."),_xlfn.CONCAT("char ",TRIM($B894),"[doc_section] ",CHAR(96),CHAR(34),SUBSTITUTE(SUBSTITUTE(SUBSTITUTE(SUBSTITUTE(SUBSTITUTE(SUBSTITUTE($A894,CHAR(13)," "),CHAR(10)," "),CHAR(9)," "),CHAR(92),_xlfn.CONCAT(CHAR(92),CHAR(92))),"$",_xlfn.CONCAT(CHAR(92),"$")),CHAR(96),_xlfn.CONCAT(CHAR(92),CHAR(96))),CHAR(34),CHAR(39))))</f>
        <v/>
      </c>
      <c r="M894" s="5" t="str">
        <f>IF(OR(TRIM($B894)="",$C894=""),"",IF(IFERROR(MATCH(TRIM($C894),{"Quantitative","Continuous","Discrete","Categorical","Nominal","Ordinal","Identifier"},0),0)=0,_xlfn.CONCAT("* REVIEW REQUIRED: invalid Variable Type on Sheet 1 row ",894,"."),_xlfn.CONCAT("char ",TRIM($B894),"[doc_vartype] ",CHAR(96),CHAR(34),SUBSTITUTE(SUBSTITUTE(SUBSTITUTE(SUBSTITUTE(SUBSTITUTE(SUBSTITUTE(LOWER(TRIM($C894)),CHAR(13)," "),CHAR(10)," "),CHAR(9)," "),CHAR(92),_xlfn.CONCAT(CHAR(92),CHAR(92))),"$",_xlfn.CONCAT(CHAR(92),"$")),CHAR(96),_xlfn.CONCAT(CHAR(92),CHAR(96))),CHAR(34),CHAR(39))))</f>
        <v/>
      </c>
      <c r="N894" s="5" t="str">
        <f>IF(OR(TRIM($B894)="",$D894=""),"",IF(OR(ISNUMBER(SEARCH(_xlfn.CONCAT(CHAR(96),CHAR(34)),$D894)),ISNUMBER(SEARCH(_xlfn.CONCAT(CHAR(34),CHAR(39)),$D894))),_xlfn.CONCAT("* REVIEW REQUIRED: compound-quote delimiter in Item Number on Sheet 1 row ",894,"; edit the input before running."),_xlfn.CONCAT("char ",TRIM($B894),"[doc_itemnum] ",CHAR(96),CHAR(34),SUBSTITUTE(SUBSTITUTE(SUBSTITUTE(SUBSTITUTE(SUBSTITUTE(SUBSTITUTE($D894,CHAR(13)," "),CHAR(10)," "),CHAR(9)," "),CHAR(92),_xlfn.CONCAT(CHAR(92),CHAR(92))),"$",_xlfn.CONCAT(CHAR(92),"$")),CHAR(96),_xlfn.CONCAT(CHAR(92),CHAR(96))),CHAR(34),CHAR(39))))</f>
        <v/>
      </c>
      <c r="O894" s="5" t="str">
        <f>IF(OR(TRIM($B894)="",$E894=""),"",IF(OR(ISNUMBER(SEARCH(_xlfn.CONCAT(CHAR(96),CHAR(34)),$E894)),ISNUMBER(SEARCH(_xlfn.CONCAT(CHAR(34),CHAR(39)),$E894))),_xlfn.CONCAT("* REVIEW REQUIRED: compound-quote delimiter in Question Wording on Sheet 1 row ",894,"; edit the input before running."),_xlfn.CONCAT("char ",TRIM($B894),"[doc_question] ",CHAR(96),CHAR(34),SUBSTITUTE(SUBSTITUTE(SUBSTITUTE(SUBSTITUTE(SUBSTITUTE(SUBSTITUTE($E894,CHAR(13)," "),CHAR(10)," "),CHAR(9)," "),CHAR(92),_xlfn.CONCAT(CHAR(92),CHAR(92))),"$",_xlfn.CONCAT(CHAR(92),"$")),CHAR(96),_xlfn.CONCAT(CHAR(92),CHAR(96))),CHAR(34),CHAR(39))))</f>
        <v/>
      </c>
      <c r="P894" s="5" t="str">
        <f>IF(OR(TRIM($B894)="",$F894=""),"",IF(OR(ISNUMBER(SEARCH(_xlfn.CONCAT(CHAR(96),CHAR(34)),$F894)),ISNUMBER(SEARCH(_xlfn.CONCAT(CHAR(34),CHAR(39)),$F894))),_xlfn.CONCAT("* REVIEW REQUIRED: compound-quote delimiter in Units on Sheet 1 row ",894,"; edit the input before running."),_xlfn.CONCAT("char ",TRIM($B894),"[doc_units] ",CHAR(96),CHAR(34),SUBSTITUTE(SUBSTITUTE(SUBSTITUTE(SUBSTITUTE(SUBSTITUTE(SUBSTITUTE($F894,CHAR(13)," "),CHAR(10)," "),CHAR(9)," "),CHAR(92),_xlfn.CONCAT(CHAR(92),CHAR(92))),"$",_xlfn.CONCAT(CHAR(92),"$")),CHAR(96),_xlfn.CONCAT(CHAR(92),CHAR(96))),CHAR(34),CHAR(39))))</f>
        <v/>
      </c>
      <c r="Q894" s="5" t="str">
        <f>IF(OR(TRIM($B894)="",$G894=""),"",IF(OR(ISNUMBER(SEARCH(_xlfn.CONCAT(CHAR(96),CHAR(34)),$G894)),ISNUMBER(SEARCH(_xlfn.CONCAT(CHAR(34),CHAR(39)),$G894))),_xlfn.CONCAT("* REVIEW REQUIRED: compound-quote delimiter in Universe on Sheet 1 row ",894,"; edit the input before running."),_xlfn.CONCAT("char ",TRIM($B894),"[doc_universe] ",CHAR(96),CHAR(34),SUBSTITUTE(SUBSTITUTE(SUBSTITUTE(SUBSTITUTE(SUBSTITUTE(SUBSTITUTE($G894,CHAR(13)," "),CHAR(10)," "),CHAR(9)," "),CHAR(92),_xlfn.CONCAT(CHAR(92),CHAR(92))),"$",_xlfn.CONCAT(CHAR(92),"$")),CHAR(96),_xlfn.CONCAT(CHAR(92),CHAR(96))),CHAR(34),CHAR(39))))</f>
        <v/>
      </c>
      <c r="R894" s="5" t="str">
        <f>IF(OR(TRIM($B894)="",$H894=""),"",IF(OR(ISNUMBER(SEARCH(_xlfn.CONCAT(CHAR(96),CHAR(34)),$H894)),ISNUMBER(SEARCH(_xlfn.CONCAT(CHAR(34),CHAR(39)),$H894))),_xlfn.CONCAT("* REVIEW REQUIRED: compound-quote delimiter in Source on Sheet 1 row ",894,"; edit the input before running."),_xlfn.CONCAT("char ",TRIM($B894),"[doc_source] ",CHAR(96),CHAR(34),SUBSTITUTE(SUBSTITUTE(SUBSTITUTE(SUBSTITUTE(SUBSTITUTE(SUBSTITUTE($H894,CHAR(13)," "),CHAR(10)," "),CHAR(9)," "),CHAR(92),_xlfn.CONCAT(CHAR(92),CHAR(92))),"$",_xlfn.CONCAT(CHAR(92),"$")),CHAR(96),_xlfn.CONCAT(CHAR(92),CHAR(96))),CHAR(34),CHAR(39))))</f>
        <v/>
      </c>
      <c r="S894" s="5" t="str">
        <f>IF(OR(TRIM($B894)="",$I894=""),"",IF(OR(ISNUMBER(SEARCH(_xlfn.CONCAT(CHAR(96),CHAR(34)),$I894)),ISNUMBER(SEARCH(_xlfn.CONCAT(CHAR(34),CHAR(39)),$I894))),_xlfn.CONCAT("* REVIEW REQUIRED: compound-quote delimiter in Derivation on Sheet 1 row ",894,"; edit the input before running."),_xlfn.CONCAT("char ",TRIM($B894),"[doc_derivation] ",CHAR(96),CHAR(34),SUBSTITUTE(SUBSTITUTE(SUBSTITUTE(SUBSTITUTE(SUBSTITUTE(SUBSTITUTE($I894,CHAR(13)," "),CHAR(10)," "),CHAR(9)," "),CHAR(92),_xlfn.CONCAT(CHAR(92),CHAR(92))),"$",_xlfn.CONCAT(CHAR(92),"$")),CHAR(96),_xlfn.CONCAT(CHAR(92),CHAR(96))),CHAR(34),CHAR(39))))</f>
        <v/>
      </c>
      <c r="T894" s="5" t="str">
        <f>IF(OR(TRIM($B894)="",$J894=""),"",IF(OR(ISNUMBER(SEARCH(_xlfn.CONCAT(CHAR(96),CHAR(34)),$J894)),ISNUMBER(SEARCH(_xlfn.CONCAT(CHAR(34),CHAR(39)),$J894))),_xlfn.CONCAT("* REVIEW REQUIRED: compound-quote delimiter in Notes on Sheet 1 row ",894,"; edit the input before running."),_xlfn.CONCAT("char ",TRIM($B894),"[doc_notes] ",CHAR(96),CHAR(34),SUBSTITUTE(SUBSTITUTE(SUBSTITUTE(SUBSTITUTE(SUBSTITUTE(SUBSTITUTE($J894,CHAR(13)," "),CHAR(10)," "),CHAR(9)," "),CHAR(92),_xlfn.CONCAT(CHAR(92),CHAR(92))),"$",_xlfn.CONCAT(CHAR(92),"$")),CHAR(96),_xlfn.CONCAT(CHAR(92),CHAR(96))),CHAR(34),CHAR(39))))</f>
        <v/>
      </c>
      <c r="U894" s="5">
        <f t="shared" si="27"/>
        <v>0</v>
      </c>
    </row>
    <row r="895" spans="3:21" ht="30" customHeight="1" x14ac:dyDescent="0.2">
      <c r="C895" s="4"/>
      <c r="K895" s="5">
        <f t="shared" si="26"/>
        <v>0</v>
      </c>
      <c r="L895" s="5" t="str">
        <f>IF(OR(TRIM($B895)="",$A895=""),"",IF(OR(ISNUMBER(SEARCH(_xlfn.CONCAT(CHAR(96),CHAR(34)),$A895)),ISNUMBER(SEARCH(_xlfn.CONCAT(CHAR(34),CHAR(39)),$A895))),_xlfn.CONCAT("* REVIEW REQUIRED: compound-quote delimiter in Codebook Section on Sheet 1 row ",895,"; edit the input before running."),_xlfn.CONCAT("char ",TRIM($B895),"[doc_section] ",CHAR(96),CHAR(34),SUBSTITUTE(SUBSTITUTE(SUBSTITUTE(SUBSTITUTE(SUBSTITUTE(SUBSTITUTE($A895,CHAR(13)," "),CHAR(10)," "),CHAR(9)," "),CHAR(92),_xlfn.CONCAT(CHAR(92),CHAR(92))),"$",_xlfn.CONCAT(CHAR(92),"$")),CHAR(96),_xlfn.CONCAT(CHAR(92),CHAR(96))),CHAR(34),CHAR(39))))</f>
        <v/>
      </c>
      <c r="M895" s="5" t="str">
        <f>IF(OR(TRIM($B895)="",$C895=""),"",IF(IFERROR(MATCH(TRIM($C895),{"Quantitative","Continuous","Discrete","Categorical","Nominal","Ordinal","Identifier"},0),0)=0,_xlfn.CONCAT("* REVIEW REQUIRED: invalid Variable Type on Sheet 1 row ",895,"."),_xlfn.CONCAT("char ",TRIM($B895),"[doc_vartype] ",CHAR(96),CHAR(34),SUBSTITUTE(SUBSTITUTE(SUBSTITUTE(SUBSTITUTE(SUBSTITUTE(SUBSTITUTE(LOWER(TRIM($C895)),CHAR(13)," "),CHAR(10)," "),CHAR(9)," "),CHAR(92),_xlfn.CONCAT(CHAR(92),CHAR(92))),"$",_xlfn.CONCAT(CHAR(92),"$")),CHAR(96),_xlfn.CONCAT(CHAR(92),CHAR(96))),CHAR(34),CHAR(39))))</f>
        <v/>
      </c>
      <c r="N895" s="5" t="str">
        <f>IF(OR(TRIM($B895)="",$D895=""),"",IF(OR(ISNUMBER(SEARCH(_xlfn.CONCAT(CHAR(96),CHAR(34)),$D895)),ISNUMBER(SEARCH(_xlfn.CONCAT(CHAR(34),CHAR(39)),$D895))),_xlfn.CONCAT("* REVIEW REQUIRED: compound-quote delimiter in Item Number on Sheet 1 row ",895,"; edit the input before running."),_xlfn.CONCAT("char ",TRIM($B895),"[doc_itemnum] ",CHAR(96),CHAR(34),SUBSTITUTE(SUBSTITUTE(SUBSTITUTE(SUBSTITUTE(SUBSTITUTE(SUBSTITUTE($D895,CHAR(13)," "),CHAR(10)," "),CHAR(9)," "),CHAR(92),_xlfn.CONCAT(CHAR(92),CHAR(92))),"$",_xlfn.CONCAT(CHAR(92),"$")),CHAR(96),_xlfn.CONCAT(CHAR(92),CHAR(96))),CHAR(34),CHAR(39))))</f>
        <v/>
      </c>
      <c r="O895" s="5" t="str">
        <f>IF(OR(TRIM($B895)="",$E895=""),"",IF(OR(ISNUMBER(SEARCH(_xlfn.CONCAT(CHAR(96),CHAR(34)),$E895)),ISNUMBER(SEARCH(_xlfn.CONCAT(CHAR(34),CHAR(39)),$E895))),_xlfn.CONCAT("* REVIEW REQUIRED: compound-quote delimiter in Question Wording on Sheet 1 row ",895,"; edit the input before running."),_xlfn.CONCAT("char ",TRIM($B895),"[doc_question] ",CHAR(96),CHAR(34),SUBSTITUTE(SUBSTITUTE(SUBSTITUTE(SUBSTITUTE(SUBSTITUTE(SUBSTITUTE($E895,CHAR(13)," "),CHAR(10)," "),CHAR(9)," "),CHAR(92),_xlfn.CONCAT(CHAR(92),CHAR(92))),"$",_xlfn.CONCAT(CHAR(92),"$")),CHAR(96),_xlfn.CONCAT(CHAR(92),CHAR(96))),CHAR(34),CHAR(39))))</f>
        <v/>
      </c>
      <c r="P895" s="5" t="str">
        <f>IF(OR(TRIM($B895)="",$F895=""),"",IF(OR(ISNUMBER(SEARCH(_xlfn.CONCAT(CHAR(96),CHAR(34)),$F895)),ISNUMBER(SEARCH(_xlfn.CONCAT(CHAR(34),CHAR(39)),$F895))),_xlfn.CONCAT("* REVIEW REQUIRED: compound-quote delimiter in Units on Sheet 1 row ",895,"; edit the input before running."),_xlfn.CONCAT("char ",TRIM($B895),"[doc_units] ",CHAR(96),CHAR(34),SUBSTITUTE(SUBSTITUTE(SUBSTITUTE(SUBSTITUTE(SUBSTITUTE(SUBSTITUTE($F895,CHAR(13)," "),CHAR(10)," "),CHAR(9)," "),CHAR(92),_xlfn.CONCAT(CHAR(92),CHAR(92))),"$",_xlfn.CONCAT(CHAR(92),"$")),CHAR(96),_xlfn.CONCAT(CHAR(92),CHAR(96))),CHAR(34),CHAR(39))))</f>
        <v/>
      </c>
      <c r="Q895" s="5" t="str">
        <f>IF(OR(TRIM($B895)="",$G895=""),"",IF(OR(ISNUMBER(SEARCH(_xlfn.CONCAT(CHAR(96),CHAR(34)),$G895)),ISNUMBER(SEARCH(_xlfn.CONCAT(CHAR(34),CHAR(39)),$G895))),_xlfn.CONCAT("* REVIEW REQUIRED: compound-quote delimiter in Universe on Sheet 1 row ",895,"; edit the input before running."),_xlfn.CONCAT("char ",TRIM($B895),"[doc_universe] ",CHAR(96),CHAR(34),SUBSTITUTE(SUBSTITUTE(SUBSTITUTE(SUBSTITUTE(SUBSTITUTE(SUBSTITUTE($G895,CHAR(13)," "),CHAR(10)," "),CHAR(9)," "),CHAR(92),_xlfn.CONCAT(CHAR(92),CHAR(92))),"$",_xlfn.CONCAT(CHAR(92),"$")),CHAR(96),_xlfn.CONCAT(CHAR(92),CHAR(96))),CHAR(34),CHAR(39))))</f>
        <v/>
      </c>
      <c r="R895" s="5" t="str">
        <f>IF(OR(TRIM($B895)="",$H895=""),"",IF(OR(ISNUMBER(SEARCH(_xlfn.CONCAT(CHAR(96),CHAR(34)),$H895)),ISNUMBER(SEARCH(_xlfn.CONCAT(CHAR(34),CHAR(39)),$H895))),_xlfn.CONCAT("* REVIEW REQUIRED: compound-quote delimiter in Source on Sheet 1 row ",895,"; edit the input before running."),_xlfn.CONCAT("char ",TRIM($B895),"[doc_source] ",CHAR(96),CHAR(34),SUBSTITUTE(SUBSTITUTE(SUBSTITUTE(SUBSTITUTE(SUBSTITUTE(SUBSTITUTE($H895,CHAR(13)," "),CHAR(10)," "),CHAR(9)," "),CHAR(92),_xlfn.CONCAT(CHAR(92),CHAR(92))),"$",_xlfn.CONCAT(CHAR(92),"$")),CHAR(96),_xlfn.CONCAT(CHAR(92),CHAR(96))),CHAR(34),CHAR(39))))</f>
        <v/>
      </c>
      <c r="S895" s="5" t="str">
        <f>IF(OR(TRIM($B895)="",$I895=""),"",IF(OR(ISNUMBER(SEARCH(_xlfn.CONCAT(CHAR(96),CHAR(34)),$I895)),ISNUMBER(SEARCH(_xlfn.CONCAT(CHAR(34),CHAR(39)),$I895))),_xlfn.CONCAT("* REVIEW REQUIRED: compound-quote delimiter in Derivation on Sheet 1 row ",895,"; edit the input before running."),_xlfn.CONCAT("char ",TRIM($B895),"[doc_derivation] ",CHAR(96),CHAR(34),SUBSTITUTE(SUBSTITUTE(SUBSTITUTE(SUBSTITUTE(SUBSTITUTE(SUBSTITUTE($I895,CHAR(13)," "),CHAR(10)," "),CHAR(9)," "),CHAR(92),_xlfn.CONCAT(CHAR(92),CHAR(92))),"$",_xlfn.CONCAT(CHAR(92),"$")),CHAR(96),_xlfn.CONCAT(CHAR(92),CHAR(96))),CHAR(34),CHAR(39))))</f>
        <v/>
      </c>
      <c r="T895" s="5" t="str">
        <f>IF(OR(TRIM($B895)="",$J895=""),"",IF(OR(ISNUMBER(SEARCH(_xlfn.CONCAT(CHAR(96),CHAR(34)),$J895)),ISNUMBER(SEARCH(_xlfn.CONCAT(CHAR(34),CHAR(39)),$J895))),_xlfn.CONCAT("* REVIEW REQUIRED: compound-quote delimiter in Notes on Sheet 1 row ",895,"; edit the input before running."),_xlfn.CONCAT("char ",TRIM($B895),"[doc_notes] ",CHAR(96),CHAR(34),SUBSTITUTE(SUBSTITUTE(SUBSTITUTE(SUBSTITUTE(SUBSTITUTE(SUBSTITUTE($J895,CHAR(13)," "),CHAR(10)," "),CHAR(9)," "),CHAR(92),_xlfn.CONCAT(CHAR(92),CHAR(92))),"$",_xlfn.CONCAT(CHAR(92),"$")),CHAR(96),_xlfn.CONCAT(CHAR(92),CHAR(96))),CHAR(34),CHAR(39))))</f>
        <v/>
      </c>
      <c r="U895" s="5">
        <f t="shared" si="27"/>
        <v>0</v>
      </c>
    </row>
    <row r="896" spans="3:21" ht="30" customHeight="1" x14ac:dyDescent="0.2">
      <c r="C896" s="4"/>
      <c r="K896" s="5">
        <f t="shared" si="26"/>
        <v>0</v>
      </c>
      <c r="L896" s="5" t="str">
        <f>IF(OR(TRIM($B896)="",$A896=""),"",IF(OR(ISNUMBER(SEARCH(_xlfn.CONCAT(CHAR(96),CHAR(34)),$A896)),ISNUMBER(SEARCH(_xlfn.CONCAT(CHAR(34),CHAR(39)),$A896))),_xlfn.CONCAT("* REVIEW REQUIRED: compound-quote delimiter in Codebook Section on Sheet 1 row ",896,"; edit the input before running."),_xlfn.CONCAT("char ",TRIM($B896),"[doc_section] ",CHAR(96),CHAR(34),SUBSTITUTE(SUBSTITUTE(SUBSTITUTE(SUBSTITUTE(SUBSTITUTE(SUBSTITUTE($A896,CHAR(13)," "),CHAR(10)," "),CHAR(9)," "),CHAR(92),_xlfn.CONCAT(CHAR(92),CHAR(92))),"$",_xlfn.CONCAT(CHAR(92),"$")),CHAR(96),_xlfn.CONCAT(CHAR(92),CHAR(96))),CHAR(34),CHAR(39))))</f>
        <v/>
      </c>
      <c r="M896" s="5" t="str">
        <f>IF(OR(TRIM($B896)="",$C896=""),"",IF(IFERROR(MATCH(TRIM($C896),{"Quantitative","Continuous","Discrete","Categorical","Nominal","Ordinal","Identifier"},0),0)=0,_xlfn.CONCAT("* REVIEW REQUIRED: invalid Variable Type on Sheet 1 row ",896,"."),_xlfn.CONCAT("char ",TRIM($B896),"[doc_vartype] ",CHAR(96),CHAR(34),SUBSTITUTE(SUBSTITUTE(SUBSTITUTE(SUBSTITUTE(SUBSTITUTE(SUBSTITUTE(LOWER(TRIM($C896)),CHAR(13)," "),CHAR(10)," "),CHAR(9)," "),CHAR(92),_xlfn.CONCAT(CHAR(92),CHAR(92))),"$",_xlfn.CONCAT(CHAR(92),"$")),CHAR(96),_xlfn.CONCAT(CHAR(92),CHAR(96))),CHAR(34),CHAR(39))))</f>
        <v/>
      </c>
      <c r="N896" s="5" t="str">
        <f>IF(OR(TRIM($B896)="",$D896=""),"",IF(OR(ISNUMBER(SEARCH(_xlfn.CONCAT(CHAR(96),CHAR(34)),$D896)),ISNUMBER(SEARCH(_xlfn.CONCAT(CHAR(34),CHAR(39)),$D896))),_xlfn.CONCAT("* REVIEW REQUIRED: compound-quote delimiter in Item Number on Sheet 1 row ",896,"; edit the input before running."),_xlfn.CONCAT("char ",TRIM($B896),"[doc_itemnum] ",CHAR(96),CHAR(34),SUBSTITUTE(SUBSTITUTE(SUBSTITUTE(SUBSTITUTE(SUBSTITUTE(SUBSTITUTE($D896,CHAR(13)," "),CHAR(10)," "),CHAR(9)," "),CHAR(92),_xlfn.CONCAT(CHAR(92),CHAR(92))),"$",_xlfn.CONCAT(CHAR(92),"$")),CHAR(96),_xlfn.CONCAT(CHAR(92),CHAR(96))),CHAR(34),CHAR(39))))</f>
        <v/>
      </c>
      <c r="O896" s="5" t="str">
        <f>IF(OR(TRIM($B896)="",$E896=""),"",IF(OR(ISNUMBER(SEARCH(_xlfn.CONCAT(CHAR(96),CHAR(34)),$E896)),ISNUMBER(SEARCH(_xlfn.CONCAT(CHAR(34),CHAR(39)),$E896))),_xlfn.CONCAT("* REVIEW REQUIRED: compound-quote delimiter in Question Wording on Sheet 1 row ",896,"; edit the input before running."),_xlfn.CONCAT("char ",TRIM($B896),"[doc_question] ",CHAR(96),CHAR(34),SUBSTITUTE(SUBSTITUTE(SUBSTITUTE(SUBSTITUTE(SUBSTITUTE(SUBSTITUTE($E896,CHAR(13)," "),CHAR(10)," "),CHAR(9)," "),CHAR(92),_xlfn.CONCAT(CHAR(92),CHAR(92))),"$",_xlfn.CONCAT(CHAR(92),"$")),CHAR(96),_xlfn.CONCAT(CHAR(92),CHAR(96))),CHAR(34),CHAR(39))))</f>
        <v/>
      </c>
      <c r="P896" s="5" t="str">
        <f>IF(OR(TRIM($B896)="",$F896=""),"",IF(OR(ISNUMBER(SEARCH(_xlfn.CONCAT(CHAR(96),CHAR(34)),$F896)),ISNUMBER(SEARCH(_xlfn.CONCAT(CHAR(34),CHAR(39)),$F896))),_xlfn.CONCAT("* REVIEW REQUIRED: compound-quote delimiter in Units on Sheet 1 row ",896,"; edit the input before running."),_xlfn.CONCAT("char ",TRIM($B896),"[doc_units] ",CHAR(96),CHAR(34),SUBSTITUTE(SUBSTITUTE(SUBSTITUTE(SUBSTITUTE(SUBSTITUTE(SUBSTITUTE($F896,CHAR(13)," "),CHAR(10)," "),CHAR(9)," "),CHAR(92),_xlfn.CONCAT(CHAR(92),CHAR(92))),"$",_xlfn.CONCAT(CHAR(92),"$")),CHAR(96),_xlfn.CONCAT(CHAR(92),CHAR(96))),CHAR(34),CHAR(39))))</f>
        <v/>
      </c>
      <c r="Q896" s="5" t="str">
        <f>IF(OR(TRIM($B896)="",$G896=""),"",IF(OR(ISNUMBER(SEARCH(_xlfn.CONCAT(CHAR(96),CHAR(34)),$G896)),ISNUMBER(SEARCH(_xlfn.CONCAT(CHAR(34),CHAR(39)),$G896))),_xlfn.CONCAT("* REVIEW REQUIRED: compound-quote delimiter in Universe on Sheet 1 row ",896,"; edit the input before running."),_xlfn.CONCAT("char ",TRIM($B896),"[doc_universe] ",CHAR(96),CHAR(34),SUBSTITUTE(SUBSTITUTE(SUBSTITUTE(SUBSTITUTE(SUBSTITUTE(SUBSTITUTE($G896,CHAR(13)," "),CHAR(10)," "),CHAR(9)," "),CHAR(92),_xlfn.CONCAT(CHAR(92),CHAR(92))),"$",_xlfn.CONCAT(CHAR(92),"$")),CHAR(96),_xlfn.CONCAT(CHAR(92),CHAR(96))),CHAR(34),CHAR(39))))</f>
        <v/>
      </c>
      <c r="R896" s="5" t="str">
        <f>IF(OR(TRIM($B896)="",$H896=""),"",IF(OR(ISNUMBER(SEARCH(_xlfn.CONCAT(CHAR(96),CHAR(34)),$H896)),ISNUMBER(SEARCH(_xlfn.CONCAT(CHAR(34),CHAR(39)),$H896))),_xlfn.CONCAT("* REVIEW REQUIRED: compound-quote delimiter in Source on Sheet 1 row ",896,"; edit the input before running."),_xlfn.CONCAT("char ",TRIM($B896),"[doc_source] ",CHAR(96),CHAR(34),SUBSTITUTE(SUBSTITUTE(SUBSTITUTE(SUBSTITUTE(SUBSTITUTE(SUBSTITUTE($H896,CHAR(13)," "),CHAR(10)," "),CHAR(9)," "),CHAR(92),_xlfn.CONCAT(CHAR(92),CHAR(92))),"$",_xlfn.CONCAT(CHAR(92),"$")),CHAR(96),_xlfn.CONCAT(CHAR(92),CHAR(96))),CHAR(34),CHAR(39))))</f>
        <v/>
      </c>
      <c r="S896" s="5" t="str">
        <f>IF(OR(TRIM($B896)="",$I896=""),"",IF(OR(ISNUMBER(SEARCH(_xlfn.CONCAT(CHAR(96),CHAR(34)),$I896)),ISNUMBER(SEARCH(_xlfn.CONCAT(CHAR(34),CHAR(39)),$I896))),_xlfn.CONCAT("* REVIEW REQUIRED: compound-quote delimiter in Derivation on Sheet 1 row ",896,"; edit the input before running."),_xlfn.CONCAT("char ",TRIM($B896),"[doc_derivation] ",CHAR(96),CHAR(34),SUBSTITUTE(SUBSTITUTE(SUBSTITUTE(SUBSTITUTE(SUBSTITUTE(SUBSTITUTE($I896,CHAR(13)," "),CHAR(10)," "),CHAR(9)," "),CHAR(92),_xlfn.CONCAT(CHAR(92),CHAR(92))),"$",_xlfn.CONCAT(CHAR(92),"$")),CHAR(96),_xlfn.CONCAT(CHAR(92),CHAR(96))),CHAR(34),CHAR(39))))</f>
        <v/>
      </c>
      <c r="T896" s="5" t="str">
        <f>IF(OR(TRIM($B896)="",$J896=""),"",IF(OR(ISNUMBER(SEARCH(_xlfn.CONCAT(CHAR(96),CHAR(34)),$J896)),ISNUMBER(SEARCH(_xlfn.CONCAT(CHAR(34),CHAR(39)),$J896))),_xlfn.CONCAT("* REVIEW REQUIRED: compound-quote delimiter in Notes on Sheet 1 row ",896,"; edit the input before running."),_xlfn.CONCAT("char ",TRIM($B896),"[doc_notes] ",CHAR(96),CHAR(34),SUBSTITUTE(SUBSTITUTE(SUBSTITUTE(SUBSTITUTE(SUBSTITUTE(SUBSTITUTE($J896,CHAR(13)," "),CHAR(10)," "),CHAR(9)," "),CHAR(92),_xlfn.CONCAT(CHAR(92),CHAR(92))),"$",_xlfn.CONCAT(CHAR(92),"$")),CHAR(96),_xlfn.CONCAT(CHAR(92),CHAR(96))),CHAR(34),CHAR(39))))</f>
        <v/>
      </c>
      <c r="U896" s="5">
        <f t="shared" si="27"/>
        <v>0</v>
      </c>
    </row>
    <row r="897" spans="3:21" ht="30" customHeight="1" x14ac:dyDescent="0.2">
      <c r="C897" s="4"/>
      <c r="K897" s="5">
        <f t="shared" si="26"/>
        <v>0</v>
      </c>
      <c r="L897" s="5" t="str">
        <f>IF(OR(TRIM($B897)="",$A897=""),"",IF(OR(ISNUMBER(SEARCH(_xlfn.CONCAT(CHAR(96),CHAR(34)),$A897)),ISNUMBER(SEARCH(_xlfn.CONCAT(CHAR(34),CHAR(39)),$A897))),_xlfn.CONCAT("* REVIEW REQUIRED: compound-quote delimiter in Codebook Section on Sheet 1 row ",897,"; edit the input before running."),_xlfn.CONCAT("char ",TRIM($B897),"[doc_section] ",CHAR(96),CHAR(34),SUBSTITUTE(SUBSTITUTE(SUBSTITUTE(SUBSTITUTE(SUBSTITUTE(SUBSTITUTE($A897,CHAR(13)," "),CHAR(10)," "),CHAR(9)," "),CHAR(92),_xlfn.CONCAT(CHAR(92),CHAR(92))),"$",_xlfn.CONCAT(CHAR(92),"$")),CHAR(96),_xlfn.CONCAT(CHAR(92),CHAR(96))),CHAR(34),CHAR(39))))</f>
        <v/>
      </c>
      <c r="M897" s="5" t="str">
        <f>IF(OR(TRIM($B897)="",$C897=""),"",IF(IFERROR(MATCH(TRIM($C897),{"Quantitative","Continuous","Discrete","Categorical","Nominal","Ordinal","Identifier"},0),0)=0,_xlfn.CONCAT("* REVIEW REQUIRED: invalid Variable Type on Sheet 1 row ",897,"."),_xlfn.CONCAT("char ",TRIM($B897),"[doc_vartype] ",CHAR(96),CHAR(34),SUBSTITUTE(SUBSTITUTE(SUBSTITUTE(SUBSTITUTE(SUBSTITUTE(SUBSTITUTE(LOWER(TRIM($C897)),CHAR(13)," "),CHAR(10)," "),CHAR(9)," "),CHAR(92),_xlfn.CONCAT(CHAR(92),CHAR(92))),"$",_xlfn.CONCAT(CHAR(92),"$")),CHAR(96),_xlfn.CONCAT(CHAR(92),CHAR(96))),CHAR(34),CHAR(39))))</f>
        <v/>
      </c>
      <c r="N897" s="5" t="str">
        <f>IF(OR(TRIM($B897)="",$D897=""),"",IF(OR(ISNUMBER(SEARCH(_xlfn.CONCAT(CHAR(96),CHAR(34)),$D897)),ISNUMBER(SEARCH(_xlfn.CONCAT(CHAR(34),CHAR(39)),$D897))),_xlfn.CONCAT("* REVIEW REQUIRED: compound-quote delimiter in Item Number on Sheet 1 row ",897,"; edit the input before running."),_xlfn.CONCAT("char ",TRIM($B897),"[doc_itemnum] ",CHAR(96),CHAR(34),SUBSTITUTE(SUBSTITUTE(SUBSTITUTE(SUBSTITUTE(SUBSTITUTE(SUBSTITUTE($D897,CHAR(13)," "),CHAR(10)," "),CHAR(9)," "),CHAR(92),_xlfn.CONCAT(CHAR(92),CHAR(92))),"$",_xlfn.CONCAT(CHAR(92),"$")),CHAR(96),_xlfn.CONCAT(CHAR(92),CHAR(96))),CHAR(34),CHAR(39))))</f>
        <v/>
      </c>
      <c r="O897" s="5" t="str">
        <f>IF(OR(TRIM($B897)="",$E897=""),"",IF(OR(ISNUMBER(SEARCH(_xlfn.CONCAT(CHAR(96),CHAR(34)),$E897)),ISNUMBER(SEARCH(_xlfn.CONCAT(CHAR(34),CHAR(39)),$E897))),_xlfn.CONCAT("* REVIEW REQUIRED: compound-quote delimiter in Question Wording on Sheet 1 row ",897,"; edit the input before running."),_xlfn.CONCAT("char ",TRIM($B897),"[doc_question] ",CHAR(96),CHAR(34),SUBSTITUTE(SUBSTITUTE(SUBSTITUTE(SUBSTITUTE(SUBSTITUTE(SUBSTITUTE($E897,CHAR(13)," "),CHAR(10)," "),CHAR(9)," "),CHAR(92),_xlfn.CONCAT(CHAR(92),CHAR(92))),"$",_xlfn.CONCAT(CHAR(92),"$")),CHAR(96),_xlfn.CONCAT(CHAR(92),CHAR(96))),CHAR(34),CHAR(39))))</f>
        <v/>
      </c>
      <c r="P897" s="5" t="str">
        <f>IF(OR(TRIM($B897)="",$F897=""),"",IF(OR(ISNUMBER(SEARCH(_xlfn.CONCAT(CHAR(96),CHAR(34)),$F897)),ISNUMBER(SEARCH(_xlfn.CONCAT(CHAR(34),CHAR(39)),$F897))),_xlfn.CONCAT("* REVIEW REQUIRED: compound-quote delimiter in Units on Sheet 1 row ",897,"; edit the input before running."),_xlfn.CONCAT("char ",TRIM($B897),"[doc_units] ",CHAR(96),CHAR(34),SUBSTITUTE(SUBSTITUTE(SUBSTITUTE(SUBSTITUTE(SUBSTITUTE(SUBSTITUTE($F897,CHAR(13)," "),CHAR(10)," "),CHAR(9)," "),CHAR(92),_xlfn.CONCAT(CHAR(92),CHAR(92))),"$",_xlfn.CONCAT(CHAR(92),"$")),CHAR(96),_xlfn.CONCAT(CHAR(92),CHAR(96))),CHAR(34),CHAR(39))))</f>
        <v/>
      </c>
      <c r="Q897" s="5" t="str">
        <f>IF(OR(TRIM($B897)="",$G897=""),"",IF(OR(ISNUMBER(SEARCH(_xlfn.CONCAT(CHAR(96),CHAR(34)),$G897)),ISNUMBER(SEARCH(_xlfn.CONCAT(CHAR(34),CHAR(39)),$G897))),_xlfn.CONCAT("* REVIEW REQUIRED: compound-quote delimiter in Universe on Sheet 1 row ",897,"; edit the input before running."),_xlfn.CONCAT("char ",TRIM($B897),"[doc_universe] ",CHAR(96),CHAR(34),SUBSTITUTE(SUBSTITUTE(SUBSTITUTE(SUBSTITUTE(SUBSTITUTE(SUBSTITUTE($G897,CHAR(13)," "),CHAR(10)," "),CHAR(9)," "),CHAR(92),_xlfn.CONCAT(CHAR(92),CHAR(92))),"$",_xlfn.CONCAT(CHAR(92),"$")),CHAR(96),_xlfn.CONCAT(CHAR(92),CHAR(96))),CHAR(34),CHAR(39))))</f>
        <v/>
      </c>
      <c r="R897" s="5" t="str">
        <f>IF(OR(TRIM($B897)="",$H897=""),"",IF(OR(ISNUMBER(SEARCH(_xlfn.CONCAT(CHAR(96),CHAR(34)),$H897)),ISNUMBER(SEARCH(_xlfn.CONCAT(CHAR(34),CHAR(39)),$H897))),_xlfn.CONCAT("* REVIEW REQUIRED: compound-quote delimiter in Source on Sheet 1 row ",897,"; edit the input before running."),_xlfn.CONCAT("char ",TRIM($B897),"[doc_source] ",CHAR(96),CHAR(34),SUBSTITUTE(SUBSTITUTE(SUBSTITUTE(SUBSTITUTE(SUBSTITUTE(SUBSTITUTE($H897,CHAR(13)," "),CHAR(10)," "),CHAR(9)," "),CHAR(92),_xlfn.CONCAT(CHAR(92),CHAR(92))),"$",_xlfn.CONCAT(CHAR(92),"$")),CHAR(96),_xlfn.CONCAT(CHAR(92),CHAR(96))),CHAR(34),CHAR(39))))</f>
        <v/>
      </c>
      <c r="S897" s="5" t="str">
        <f>IF(OR(TRIM($B897)="",$I897=""),"",IF(OR(ISNUMBER(SEARCH(_xlfn.CONCAT(CHAR(96),CHAR(34)),$I897)),ISNUMBER(SEARCH(_xlfn.CONCAT(CHAR(34),CHAR(39)),$I897))),_xlfn.CONCAT("* REVIEW REQUIRED: compound-quote delimiter in Derivation on Sheet 1 row ",897,"; edit the input before running."),_xlfn.CONCAT("char ",TRIM($B897),"[doc_derivation] ",CHAR(96),CHAR(34),SUBSTITUTE(SUBSTITUTE(SUBSTITUTE(SUBSTITUTE(SUBSTITUTE(SUBSTITUTE($I897,CHAR(13)," "),CHAR(10)," "),CHAR(9)," "),CHAR(92),_xlfn.CONCAT(CHAR(92),CHAR(92))),"$",_xlfn.CONCAT(CHAR(92),"$")),CHAR(96),_xlfn.CONCAT(CHAR(92),CHAR(96))),CHAR(34),CHAR(39))))</f>
        <v/>
      </c>
      <c r="T897" s="5" t="str">
        <f>IF(OR(TRIM($B897)="",$J897=""),"",IF(OR(ISNUMBER(SEARCH(_xlfn.CONCAT(CHAR(96),CHAR(34)),$J897)),ISNUMBER(SEARCH(_xlfn.CONCAT(CHAR(34),CHAR(39)),$J897))),_xlfn.CONCAT("* REVIEW REQUIRED: compound-quote delimiter in Notes on Sheet 1 row ",897,"; edit the input before running."),_xlfn.CONCAT("char ",TRIM($B897),"[doc_notes] ",CHAR(96),CHAR(34),SUBSTITUTE(SUBSTITUTE(SUBSTITUTE(SUBSTITUTE(SUBSTITUTE(SUBSTITUTE($J897,CHAR(13)," "),CHAR(10)," "),CHAR(9)," "),CHAR(92),_xlfn.CONCAT(CHAR(92),CHAR(92))),"$",_xlfn.CONCAT(CHAR(92),"$")),CHAR(96),_xlfn.CONCAT(CHAR(92),CHAR(96))),CHAR(34),CHAR(39))))</f>
        <v/>
      </c>
      <c r="U897" s="5">
        <f t="shared" si="27"/>
        <v>0</v>
      </c>
    </row>
    <row r="898" spans="3:21" ht="30" customHeight="1" x14ac:dyDescent="0.2">
      <c r="C898" s="4"/>
      <c r="K898" s="5">
        <f t="shared" si="26"/>
        <v>0</v>
      </c>
      <c r="L898" s="5" t="str">
        <f>IF(OR(TRIM($B898)="",$A898=""),"",IF(OR(ISNUMBER(SEARCH(_xlfn.CONCAT(CHAR(96),CHAR(34)),$A898)),ISNUMBER(SEARCH(_xlfn.CONCAT(CHAR(34),CHAR(39)),$A898))),_xlfn.CONCAT("* REVIEW REQUIRED: compound-quote delimiter in Codebook Section on Sheet 1 row ",898,"; edit the input before running."),_xlfn.CONCAT("char ",TRIM($B898),"[doc_section] ",CHAR(96),CHAR(34),SUBSTITUTE(SUBSTITUTE(SUBSTITUTE(SUBSTITUTE(SUBSTITUTE(SUBSTITUTE($A898,CHAR(13)," "),CHAR(10)," "),CHAR(9)," "),CHAR(92),_xlfn.CONCAT(CHAR(92),CHAR(92))),"$",_xlfn.CONCAT(CHAR(92),"$")),CHAR(96),_xlfn.CONCAT(CHAR(92),CHAR(96))),CHAR(34),CHAR(39))))</f>
        <v/>
      </c>
      <c r="M898" s="5" t="str">
        <f>IF(OR(TRIM($B898)="",$C898=""),"",IF(IFERROR(MATCH(TRIM($C898),{"Quantitative","Continuous","Discrete","Categorical","Nominal","Ordinal","Identifier"},0),0)=0,_xlfn.CONCAT("* REVIEW REQUIRED: invalid Variable Type on Sheet 1 row ",898,"."),_xlfn.CONCAT("char ",TRIM($B898),"[doc_vartype] ",CHAR(96),CHAR(34),SUBSTITUTE(SUBSTITUTE(SUBSTITUTE(SUBSTITUTE(SUBSTITUTE(SUBSTITUTE(LOWER(TRIM($C898)),CHAR(13)," "),CHAR(10)," "),CHAR(9)," "),CHAR(92),_xlfn.CONCAT(CHAR(92),CHAR(92))),"$",_xlfn.CONCAT(CHAR(92),"$")),CHAR(96),_xlfn.CONCAT(CHAR(92),CHAR(96))),CHAR(34),CHAR(39))))</f>
        <v/>
      </c>
      <c r="N898" s="5" t="str">
        <f>IF(OR(TRIM($B898)="",$D898=""),"",IF(OR(ISNUMBER(SEARCH(_xlfn.CONCAT(CHAR(96),CHAR(34)),$D898)),ISNUMBER(SEARCH(_xlfn.CONCAT(CHAR(34),CHAR(39)),$D898))),_xlfn.CONCAT("* REVIEW REQUIRED: compound-quote delimiter in Item Number on Sheet 1 row ",898,"; edit the input before running."),_xlfn.CONCAT("char ",TRIM($B898),"[doc_itemnum] ",CHAR(96),CHAR(34),SUBSTITUTE(SUBSTITUTE(SUBSTITUTE(SUBSTITUTE(SUBSTITUTE(SUBSTITUTE($D898,CHAR(13)," "),CHAR(10)," "),CHAR(9)," "),CHAR(92),_xlfn.CONCAT(CHAR(92),CHAR(92))),"$",_xlfn.CONCAT(CHAR(92),"$")),CHAR(96),_xlfn.CONCAT(CHAR(92),CHAR(96))),CHAR(34),CHAR(39))))</f>
        <v/>
      </c>
      <c r="O898" s="5" t="str">
        <f>IF(OR(TRIM($B898)="",$E898=""),"",IF(OR(ISNUMBER(SEARCH(_xlfn.CONCAT(CHAR(96),CHAR(34)),$E898)),ISNUMBER(SEARCH(_xlfn.CONCAT(CHAR(34),CHAR(39)),$E898))),_xlfn.CONCAT("* REVIEW REQUIRED: compound-quote delimiter in Question Wording on Sheet 1 row ",898,"; edit the input before running."),_xlfn.CONCAT("char ",TRIM($B898),"[doc_question] ",CHAR(96),CHAR(34),SUBSTITUTE(SUBSTITUTE(SUBSTITUTE(SUBSTITUTE(SUBSTITUTE(SUBSTITUTE($E898,CHAR(13)," "),CHAR(10)," "),CHAR(9)," "),CHAR(92),_xlfn.CONCAT(CHAR(92),CHAR(92))),"$",_xlfn.CONCAT(CHAR(92),"$")),CHAR(96),_xlfn.CONCAT(CHAR(92),CHAR(96))),CHAR(34),CHAR(39))))</f>
        <v/>
      </c>
      <c r="P898" s="5" t="str">
        <f>IF(OR(TRIM($B898)="",$F898=""),"",IF(OR(ISNUMBER(SEARCH(_xlfn.CONCAT(CHAR(96),CHAR(34)),$F898)),ISNUMBER(SEARCH(_xlfn.CONCAT(CHAR(34),CHAR(39)),$F898))),_xlfn.CONCAT("* REVIEW REQUIRED: compound-quote delimiter in Units on Sheet 1 row ",898,"; edit the input before running."),_xlfn.CONCAT("char ",TRIM($B898),"[doc_units] ",CHAR(96),CHAR(34),SUBSTITUTE(SUBSTITUTE(SUBSTITUTE(SUBSTITUTE(SUBSTITUTE(SUBSTITUTE($F898,CHAR(13)," "),CHAR(10)," "),CHAR(9)," "),CHAR(92),_xlfn.CONCAT(CHAR(92),CHAR(92))),"$",_xlfn.CONCAT(CHAR(92),"$")),CHAR(96),_xlfn.CONCAT(CHAR(92),CHAR(96))),CHAR(34),CHAR(39))))</f>
        <v/>
      </c>
      <c r="Q898" s="5" t="str">
        <f>IF(OR(TRIM($B898)="",$G898=""),"",IF(OR(ISNUMBER(SEARCH(_xlfn.CONCAT(CHAR(96),CHAR(34)),$G898)),ISNUMBER(SEARCH(_xlfn.CONCAT(CHAR(34),CHAR(39)),$G898))),_xlfn.CONCAT("* REVIEW REQUIRED: compound-quote delimiter in Universe on Sheet 1 row ",898,"; edit the input before running."),_xlfn.CONCAT("char ",TRIM($B898),"[doc_universe] ",CHAR(96),CHAR(34),SUBSTITUTE(SUBSTITUTE(SUBSTITUTE(SUBSTITUTE(SUBSTITUTE(SUBSTITUTE($G898,CHAR(13)," "),CHAR(10)," "),CHAR(9)," "),CHAR(92),_xlfn.CONCAT(CHAR(92),CHAR(92))),"$",_xlfn.CONCAT(CHAR(92),"$")),CHAR(96),_xlfn.CONCAT(CHAR(92),CHAR(96))),CHAR(34),CHAR(39))))</f>
        <v/>
      </c>
      <c r="R898" s="5" t="str">
        <f>IF(OR(TRIM($B898)="",$H898=""),"",IF(OR(ISNUMBER(SEARCH(_xlfn.CONCAT(CHAR(96),CHAR(34)),$H898)),ISNUMBER(SEARCH(_xlfn.CONCAT(CHAR(34),CHAR(39)),$H898))),_xlfn.CONCAT("* REVIEW REQUIRED: compound-quote delimiter in Source on Sheet 1 row ",898,"; edit the input before running."),_xlfn.CONCAT("char ",TRIM($B898),"[doc_source] ",CHAR(96),CHAR(34),SUBSTITUTE(SUBSTITUTE(SUBSTITUTE(SUBSTITUTE(SUBSTITUTE(SUBSTITUTE($H898,CHAR(13)," "),CHAR(10)," "),CHAR(9)," "),CHAR(92),_xlfn.CONCAT(CHAR(92),CHAR(92))),"$",_xlfn.CONCAT(CHAR(92),"$")),CHAR(96),_xlfn.CONCAT(CHAR(92),CHAR(96))),CHAR(34),CHAR(39))))</f>
        <v/>
      </c>
      <c r="S898" s="5" t="str">
        <f>IF(OR(TRIM($B898)="",$I898=""),"",IF(OR(ISNUMBER(SEARCH(_xlfn.CONCAT(CHAR(96),CHAR(34)),$I898)),ISNUMBER(SEARCH(_xlfn.CONCAT(CHAR(34),CHAR(39)),$I898))),_xlfn.CONCAT("* REVIEW REQUIRED: compound-quote delimiter in Derivation on Sheet 1 row ",898,"; edit the input before running."),_xlfn.CONCAT("char ",TRIM($B898),"[doc_derivation] ",CHAR(96),CHAR(34),SUBSTITUTE(SUBSTITUTE(SUBSTITUTE(SUBSTITUTE(SUBSTITUTE(SUBSTITUTE($I898,CHAR(13)," "),CHAR(10)," "),CHAR(9)," "),CHAR(92),_xlfn.CONCAT(CHAR(92),CHAR(92))),"$",_xlfn.CONCAT(CHAR(92),"$")),CHAR(96),_xlfn.CONCAT(CHAR(92),CHAR(96))),CHAR(34),CHAR(39))))</f>
        <v/>
      </c>
      <c r="T898" s="5" t="str">
        <f>IF(OR(TRIM($B898)="",$J898=""),"",IF(OR(ISNUMBER(SEARCH(_xlfn.CONCAT(CHAR(96),CHAR(34)),$J898)),ISNUMBER(SEARCH(_xlfn.CONCAT(CHAR(34),CHAR(39)),$J898))),_xlfn.CONCAT("* REVIEW REQUIRED: compound-quote delimiter in Notes on Sheet 1 row ",898,"; edit the input before running."),_xlfn.CONCAT("char ",TRIM($B898),"[doc_notes] ",CHAR(96),CHAR(34),SUBSTITUTE(SUBSTITUTE(SUBSTITUTE(SUBSTITUTE(SUBSTITUTE(SUBSTITUTE($J898,CHAR(13)," "),CHAR(10)," "),CHAR(9)," "),CHAR(92),_xlfn.CONCAT(CHAR(92),CHAR(92))),"$",_xlfn.CONCAT(CHAR(92),"$")),CHAR(96),_xlfn.CONCAT(CHAR(92),CHAR(96))),CHAR(34),CHAR(39))))</f>
        <v/>
      </c>
      <c r="U898" s="5">
        <f t="shared" si="27"/>
        <v>0</v>
      </c>
    </row>
    <row r="899" spans="3:21" ht="30" customHeight="1" x14ac:dyDescent="0.2">
      <c r="C899" s="4"/>
      <c r="K899" s="5">
        <f t="shared" si="26"/>
        <v>0</v>
      </c>
      <c r="L899" s="5" t="str">
        <f>IF(OR(TRIM($B899)="",$A899=""),"",IF(OR(ISNUMBER(SEARCH(_xlfn.CONCAT(CHAR(96),CHAR(34)),$A899)),ISNUMBER(SEARCH(_xlfn.CONCAT(CHAR(34),CHAR(39)),$A899))),_xlfn.CONCAT("* REVIEW REQUIRED: compound-quote delimiter in Codebook Section on Sheet 1 row ",899,"; edit the input before running."),_xlfn.CONCAT("char ",TRIM($B899),"[doc_section] ",CHAR(96),CHAR(34),SUBSTITUTE(SUBSTITUTE(SUBSTITUTE(SUBSTITUTE(SUBSTITUTE(SUBSTITUTE($A899,CHAR(13)," "),CHAR(10)," "),CHAR(9)," "),CHAR(92),_xlfn.CONCAT(CHAR(92),CHAR(92))),"$",_xlfn.CONCAT(CHAR(92),"$")),CHAR(96),_xlfn.CONCAT(CHAR(92),CHAR(96))),CHAR(34),CHAR(39))))</f>
        <v/>
      </c>
      <c r="M899" s="5" t="str">
        <f>IF(OR(TRIM($B899)="",$C899=""),"",IF(IFERROR(MATCH(TRIM($C899),{"Quantitative","Continuous","Discrete","Categorical","Nominal","Ordinal","Identifier"},0),0)=0,_xlfn.CONCAT("* REVIEW REQUIRED: invalid Variable Type on Sheet 1 row ",899,"."),_xlfn.CONCAT("char ",TRIM($B899),"[doc_vartype] ",CHAR(96),CHAR(34),SUBSTITUTE(SUBSTITUTE(SUBSTITUTE(SUBSTITUTE(SUBSTITUTE(SUBSTITUTE(LOWER(TRIM($C899)),CHAR(13)," "),CHAR(10)," "),CHAR(9)," "),CHAR(92),_xlfn.CONCAT(CHAR(92),CHAR(92))),"$",_xlfn.CONCAT(CHAR(92),"$")),CHAR(96),_xlfn.CONCAT(CHAR(92),CHAR(96))),CHAR(34),CHAR(39))))</f>
        <v/>
      </c>
      <c r="N899" s="5" t="str">
        <f>IF(OR(TRIM($B899)="",$D899=""),"",IF(OR(ISNUMBER(SEARCH(_xlfn.CONCAT(CHAR(96),CHAR(34)),$D899)),ISNUMBER(SEARCH(_xlfn.CONCAT(CHAR(34),CHAR(39)),$D899))),_xlfn.CONCAT("* REVIEW REQUIRED: compound-quote delimiter in Item Number on Sheet 1 row ",899,"; edit the input before running."),_xlfn.CONCAT("char ",TRIM($B899),"[doc_itemnum] ",CHAR(96),CHAR(34),SUBSTITUTE(SUBSTITUTE(SUBSTITUTE(SUBSTITUTE(SUBSTITUTE(SUBSTITUTE($D899,CHAR(13)," "),CHAR(10)," "),CHAR(9)," "),CHAR(92),_xlfn.CONCAT(CHAR(92),CHAR(92))),"$",_xlfn.CONCAT(CHAR(92),"$")),CHAR(96),_xlfn.CONCAT(CHAR(92),CHAR(96))),CHAR(34),CHAR(39))))</f>
        <v/>
      </c>
      <c r="O899" s="5" t="str">
        <f>IF(OR(TRIM($B899)="",$E899=""),"",IF(OR(ISNUMBER(SEARCH(_xlfn.CONCAT(CHAR(96),CHAR(34)),$E899)),ISNUMBER(SEARCH(_xlfn.CONCAT(CHAR(34),CHAR(39)),$E899))),_xlfn.CONCAT("* REVIEW REQUIRED: compound-quote delimiter in Question Wording on Sheet 1 row ",899,"; edit the input before running."),_xlfn.CONCAT("char ",TRIM($B899),"[doc_question] ",CHAR(96),CHAR(34),SUBSTITUTE(SUBSTITUTE(SUBSTITUTE(SUBSTITUTE(SUBSTITUTE(SUBSTITUTE($E899,CHAR(13)," "),CHAR(10)," "),CHAR(9)," "),CHAR(92),_xlfn.CONCAT(CHAR(92),CHAR(92))),"$",_xlfn.CONCAT(CHAR(92),"$")),CHAR(96),_xlfn.CONCAT(CHAR(92),CHAR(96))),CHAR(34),CHAR(39))))</f>
        <v/>
      </c>
      <c r="P899" s="5" t="str">
        <f>IF(OR(TRIM($B899)="",$F899=""),"",IF(OR(ISNUMBER(SEARCH(_xlfn.CONCAT(CHAR(96),CHAR(34)),$F899)),ISNUMBER(SEARCH(_xlfn.CONCAT(CHAR(34),CHAR(39)),$F899))),_xlfn.CONCAT("* REVIEW REQUIRED: compound-quote delimiter in Units on Sheet 1 row ",899,"; edit the input before running."),_xlfn.CONCAT("char ",TRIM($B899),"[doc_units] ",CHAR(96),CHAR(34),SUBSTITUTE(SUBSTITUTE(SUBSTITUTE(SUBSTITUTE(SUBSTITUTE(SUBSTITUTE($F899,CHAR(13)," "),CHAR(10)," "),CHAR(9)," "),CHAR(92),_xlfn.CONCAT(CHAR(92),CHAR(92))),"$",_xlfn.CONCAT(CHAR(92),"$")),CHAR(96),_xlfn.CONCAT(CHAR(92),CHAR(96))),CHAR(34),CHAR(39))))</f>
        <v/>
      </c>
      <c r="Q899" s="5" t="str">
        <f>IF(OR(TRIM($B899)="",$G899=""),"",IF(OR(ISNUMBER(SEARCH(_xlfn.CONCAT(CHAR(96),CHAR(34)),$G899)),ISNUMBER(SEARCH(_xlfn.CONCAT(CHAR(34),CHAR(39)),$G899))),_xlfn.CONCAT("* REVIEW REQUIRED: compound-quote delimiter in Universe on Sheet 1 row ",899,"; edit the input before running."),_xlfn.CONCAT("char ",TRIM($B899),"[doc_universe] ",CHAR(96),CHAR(34),SUBSTITUTE(SUBSTITUTE(SUBSTITUTE(SUBSTITUTE(SUBSTITUTE(SUBSTITUTE($G899,CHAR(13)," "),CHAR(10)," "),CHAR(9)," "),CHAR(92),_xlfn.CONCAT(CHAR(92),CHAR(92))),"$",_xlfn.CONCAT(CHAR(92),"$")),CHAR(96),_xlfn.CONCAT(CHAR(92),CHAR(96))),CHAR(34),CHAR(39))))</f>
        <v/>
      </c>
      <c r="R899" s="5" t="str">
        <f>IF(OR(TRIM($B899)="",$H899=""),"",IF(OR(ISNUMBER(SEARCH(_xlfn.CONCAT(CHAR(96),CHAR(34)),$H899)),ISNUMBER(SEARCH(_xlfn.CONCAT(CHAR(34),CHAR(39)),$H899))),_xlfn.CONCAT("* REVIEW REQUIRED: compound-quote delimiter in Source on Sheet 1 row ",899,"; edit the input before running."),_xlfn.CONCAT("char ",TRIM($B899),"[doc_source] ",CHAR(96),CHAR(34),SUBSTITUTE(SUBSTITUTE(SUBSTITUTE(SUBSTITUTE(SUBSTITUTE(SUBSTITUTE($H899,CHAR(13)," "),CHAR(10)," "),CHAR(9)," "),CHAR(92),_xlfn.CONCAT(CHAR(92),CHAR(92))),"$",_xlfn.CONCAT(CHAR(92),"$")),CHAR(96),_xlfn.CONCAT(CHAR(92),CHAR(96))),CHAR(34),CHAR(39))))</f>
        <v/>
      </c>
      <c r="S899" s="5" t="str">
        <f>IF(OR(TRIM($B899)="",$I899=""),"",IF(OR(ISNUMBER(SEARCH(_xlfn.CONCAT(CHAR(96),CHAR(34)),$I899)),ISNUMBER(SEARCH(_xlfn.CONCAT(CHAR(34),CHAR(39)),$I899))),_xlfn.CONCAT("* REVIEW REQUIRED: compound-quote delimiter in Derivation on Sheet 1 row ",899,"; edit the input before running."),_xlfn.CONCAT("char ",TRIM($B899),"[doc_derivation] ",CHAR(96),CHAR(34),SUBSTITUTE(SUBSTITUTE(SUBSTITUTE(SUBSTITUTE(SUBSTITUTE(SUBSTITUTE($I899,CHAR(13)," "),CHAR(10)," "),CHAR(9)," "),CHAR(92),_xlfn.CONCAT(CHAR(92),CHAR(92))),"$",_xlfn.CONCAT(CHAR(92),"$")),CHAR(96),_xlfn.CONCAT(CHAR(92),CHAR(96))),CHAR(34),CHAR(39))))</f>
        <v/>
      </c>
      <c r="T899" s="5" t="str">
        <f>IF(OR(TRIM($B899)="",$J899=""),"",IF(OR(ISNUMBER(SEARCH(_xlfn.CONCAT(CHAR(96),CHAR(34)),$J899)),ISNUMBER(SEARCH(_xlfn.CONCAT(CHAR(34),CHAR(39)),$J899))),_xlfn.CONCAT("* REVIEW REQUIRED: compound-quote delimiter in Notes on Sheet 1 row ",899,"; edit the input before running."),_xlfn.CONCAT("char ",TRIM($B899),"[doc_notes] ",CHAR(96),CHAR(34),SUBSTITUTE(SUBSTITUTE(SUBSTITUTE(SUBSTITUTE(SUBSTITUTE(SUBSTITUTE($J899,CHAR(13)," "),CHAR(10)," "),CHAR(9)," "),CHAR(92),_xlfn.CONCAT(CHAR(92),CHAR(92))),"$",_xlfn.CONCAT(CHAR(92),"$")),CHAR(96),_xlfn.CONCAT(CHAR(92),CHAR(96))),CHAR(34),CHAR(39))))</f>
        <v/>
      </c>
      <c r="U899" s="5">
        <f t="shared" si="27"/>
        <v>0</v>
      </c>
    </row>
    <row r="900" spans="3:21" ht="30" customHeight="1" x14ac:dyDescent="0.2">
      <c r="C900" s="4"/>
      <c r="K900" s="5">
        <f t="shared" si="26"/>
        <v>0</v>
      </c>
      <c r="L900" s="5" t="str">
        <f>IF(OR(TRIM($B900)="",$A900=""),"",IF(OR(ISNUMBER(SEARCH(_xlfn.CONCAT(CHAR(96),CHAR(34)),$A900)),ISNUMBER(SEARCH(_xlfn.CONCAT(CHAR(34),CHAR(39)),$A900))),_xlfn.CONCAT("* REVIEW REQUIRED: compound-quote delimiter in Codebook Section on Sheet 1 row ",900,"; edit the input before running."),_xlfn.CONCAT("char ",TRIM($B900),"[doc_section] ",CHAR(96),CHAR(34),SUBSTITUTE(SUBSTITUTE(SUBSTITUTE(SUBSTITUTE(SUBSTITUTE(SUBSTITUTE($A900,CHAR(13)," "),CHAR(10)," "),CHAR(9)," "),CHAR(92),_xlfn.CONCAT(CHAR(92),CHAR(92))),"$",_xlfn.CONCAT(CHAR(92),"$")),CHAR(96),_xlfn.CONCAT(CHAR(92),CHAR(96))),CHAR(34),CHAR(39))))</f>
        <v/>
      </c>
      <c r="M900" s="5" t="str">
        <f>IF(OR(TRIM($B900)="",$C900=""),"",IF(IFERROR(MATCH(TRIM($C900),{"Quantitative","Continuous","Discrete","Categorical","Nominal","Ordinal","Identifier"},0),0)=0,_xlfn.CONCAT("* REVIEW REQUIRED: invalid Variable Type on Sheet 1 row ",900,"."),_xlfn.CONCAT("char ",TRIM($B900),"[doc_vartype] ",CHAR(96),CHAR(34),SUBSTITUTE(SUBSTITUTE(SUBSTITUTE(SUBSTITUTE(SUBSTITUTE(SUBSTITUTE(LOWER(TRIM($C900)),CHAR(13)," "),CHAR(10)," "),CHAR(9)," "),CHAR(92),_xlfn.CONCAT(CHAR(92),CHAR(92))),"$",_xlfn.CONCAT(CHAR(92),"$")),CHAR(96),_xlfn.CONCAT(CHAR(92),CHAR(96))),CHAR(34),CHAR(39))))</f>
        <v/>
      </c>
      <c r="N900" s="5" t="str">
        <f>IF(OR(TRIM($B900)="",$D900=""),"",IF(OR(ISNUMBER(SEARCH(_xlfn.CONCAT(CHAR(96),CHAR(34)),$D900)),ISNUMBER(SEARCH(_xlfn.CONCAT(CHAR(34),CHAR(39)),$D900))),_xlfn.CONCAT("* REVIEW REQUIRED: compound-quote delimiter in Item Number on Sheet 1 row ",900,"; edit the input before running."),_xlfn.CONCAT("char ",TRIM($B900),"[doc_itemnum] ",CHAR(96),CHAR(34),SUBSTITUTE(SUBSTITUTE(SUBSTITUTE(SUBSTITUTE(SUBSTITUTE(SUBSTITUTE($D900,CHAR(13)," "),CHAR(10)," "),CHAR(9)," "),CHAR(92),_xlfn.CONCAT(CHAR(92),CHAR(92))),"$",_xlfn.CONCAT(CHAR(92),"$")),CHAR(96),_xlfn.CONCAT(CHAR(92),CHAR(96))),CHAR(34),CHAR(39))))</f>
        <v/>
      </c>
      <c r="O900" s="5" t="str">
        <f>IF(OR(TRIM($B900)="",$E900=""),"",IF(OR(ISNUMBER(SEARCH(_xlfn.CONCAT(CHAR(96),CHAR(34)),$E900)),ISNUMBER(SEARCH(_xlfn.CONCAT(CHAR(34),CHAR(39)),$E900))),_xlfn.CONCAT("* REVIEW REQUIRED: compound-quote delimiter in Question Wording on Sheet 1 row ",900,"; edit the input before running."),_xlfn.CONCAT("char ",TRIM($B900),"[doc_question] ",CHAR(96),CHAR(34),SUBSTITUTE(SUBSTITUTE(SUBSTITUTE(SUBSTITUTE(SUBSTITUTE(SUBSTITUTE($E900,CHAR(13)," "),CHAR(10)," "),CHAR(9)," "),CHAR(92),_xlfn.CONCAT(CHAR(92),CHAR(92))),"$",_xlfn.CONCAT(CHAR(92),"$")),CHAR(96),_xlfn.CONCAT(CHAR(92),CHAR(96))),CHAR(34),CHAR(39))))</f>
        <v/>
      </c>
      <c r="P900" s="5" t="str">
        <f>IF(OR(TRIM($B900)="",$F900=""),"",IF(OR(ISNUMBER(SEARCH(_xlfn.CONCAT(CHAR(96),CHAR(34)),$F900)),ISNUMBER(SEARCH(_xlfn.CONCAT(CHAR(34),CHAR(39)),$F900))),_xlfn.CONCAT("* REVIEW REQUIRED: compound-quote delimiter in Units on Sheet 1 row ",900,"; edit the input before running."),_xlfn.CONCAT("char ",TRIM($B900),"[doc_units] ",CHAR(96),CHAR(34),SUBSTITUTE(SUBSTITUTE(SUBSTITUTE(SUBSTITUTE(SUBSTITUTE(SUBSTITUTE($F900,CHAR(13)," "),CHAR(10)," "),CHAR(9)," "),CHAR(92),_xlfn.CONCAT(CHAR(92),CHAR(92))),"$",_xlfn.CONCAT(CHAR(92),"$")),CHAR(96),_xlfn.CONCAT(CHAR(92),CHAR(96))),CHAR(34),CHAR(39))))</f>
        <v/>
      </c>
      <c r="Q900" s="5" t="str">
        <f>IF(OR(TRIM($B900)="",$G900=""),"",IF(OR(ISNUMBER(SEARCH(_xlfn.CONCAT(CHAR(96),CHAR(34)),$G900)),ISNUMBER(SEARCH(_xlfn.CONCAT(CHAR(34),CHAR(39)),$G900))),_xlfn.CONCAT("* REVIEW REQUIRED: compound-quote delimiter in Universe on Sheet 1 row ",900,"; edit the input before running."),_xlfn.CONCAT("char ",TRIM($B900),"[doc_universe] ",CHAR(96),CHAR(34),SUBSTITUTE(SUBSTITUTE(SUBSTITUTE(SUBSTITUTE(SUBSTITUTE(SUBSTITUTE($G900,CHAR(13)," "),CHAR(10)," "),CHAR(9)," "),CHAR(92),_xlfn.CONCAT(CHAR(92),CHAR(92))),"$",_xlfn.CONCAT(CHAR(92),"$")),CHAR(96),_xlfn.CONCAT(CHAR(92),CHAR(96))),CHAR(34),CHAR(39))))</f>
        <v/>
      </c>
      <c r="R900" s="5" t="str">
        <f>IF(OR(TRIM($B900)="",$H900=""),"",IF(OR(ISNUMBER(SEARCH(_xlfn.CONCAT(CHAR(96),CHAR(34)),$H900)),ISNUMBER(SEARCH(_xlfn.CONCAT(CHAR(34),CHAR(39)),$H900))),_xlfn.CONCAT("* REVIEW REQUIRED: compound-quote delimiter in Source on Sheet 1 row ",900,"; edit the input before running."),_xlfn.CONCAT("char ",TRIM($B900),"[doc_source] ",CHAR(96),CHAR(34),SUBSTITUTE(SUBSTITUTE(SUBSTITUTE(SUBSTITUTE(SUBSTITUTE(SUBSTITUTE($H900,CHAR(13)," "),CHAR(10)," "),CHAR(9)," "),CHAR(92),_xlfn.CONCAT(CHAR(92),CHAR(92))),"$",_xlfn.CONCAT(CHAR(92),"$")),CHAR(96),_xlfn.CONCAT(CHAR(92),CHAR(96))),CHAR(34),CHAR(39))))</f>
        <v/>
      </c>
      <c r="S900" s="5" t="str">
        <f>IF(OR(TRIM($B900)="",$I900=""),"",IF(OR(ISNUMBER(SEARCH(_xlfn.CONCAT(CHAR(96),CHAR(34)),$I900)),ISNUMBER(SEARCH(_xlfn.CONCAT(CHAR(34),CHAR(39)),$I900))),_xlfn.CONCAT("* REVIEW REQUIRED: compound-quote delimiter in Derivation on Sheet 1 row ",900,"; edit the input before running."),_xlfn.CONCAT("char ",TRIM($B900),"[doc_derivation] ",CHAR(96),CHAR(34),SUBSTITUTE(SUBSTITUTE(SUBSTITUTE(SUBSTITUTE(SUBSTITUTE(SUBSTITUTE($I900,CHAR(13)," "),CHAR(10)," "),CHAR(9)," "),CHAR(92),_xlfn.CONCAT(CHAR(92),CHAR(92))),"$",_xlfn.CONCAT(CHAR(92),"$")),CHAR(96),_xlfn.CONCAT(CHAR(92),CHAR(96))),CHAR(34),CHAR(39))))</f>
        <v/>
      </c>
      <c r="T900" s="5" t="str">
        <f>IF(OR(TRIM($B900)="",$J900=""),"",IF(OR(ISNUMBER(SEARCH(_xlfn.CONCAT(CHAR(96),CHAR(34)),$J900)),ISNUMBER(SEARCH(_xlfn.CONCAT(CHAR(34),CHAR(39)),$J900))),_xlfn.CONCAT("* REVIEW REQUIRED: compound-quote delimiter in Notes on Sheet 1 row ",900,"; edit the input before running."),_xlfn.CONCAT("char ",TRIM($B900),"[doc_notes] ",CHAR(96),CHAR(34),SUBSTITUTE(SUBSTITUTE(SUBSTITUTE(SUBSTITUTE(SUBSTITUTE(SUBSTITUTE($J900,CHAR(13)," "),CHAR(10)," "),CHAR(9)," "),CHAR(92),_xlfn.CONCAT(CHAR(92),CHAR(92))),"$",_xlfn.CONCAT(CHAR(92),"$")),CHAR(96),_xlfn.CONCAT(CHAR(92),CHAR(96))),CHAR(34),CHAR(39))))</f>
        <v/>
      </c>
      <c r="U900" s="5">
        <f t="shared" si="27"/>
        <v>0</v>
      </c>
    </row>
    <row r="901" spans="3:21" ht="30" customHeight="1" x14ac:dyDescent="0.2">
      <c r="C901" s="4"/>
      <c r="K901" s="5">
        <f t="shared" si="26"/>
        <v>0</v>
      </c>
      <c r="L901" s="5" t="str">
        <f>IF(OR(TRIM($B901)="",$A901=""),"",IF(OR(ISNUMBER(SEARCH(_xlfn.CONCAT(CHAR(96),CHAR(34)),$A901)),ISNUMBER(SEARCH(_xlfn.CONCAT(CHAR(34),CHAR(39)),$A901))),_xlfn.CONCAT("* REVIEW REQUIRED: compound-quote delimiter in Codebook Section on Sheet 1 row ",901,"; edit the input before running."),_xlfn.CONCAT("char ",TRIM($B901),"[doc_section] ",CHAR(96),CHAR(34),SUBSTITUTE(SUBSTITUTE(SUBSTITUTE(SUBSTITUTE(SUBSTITUTE(SUBSTITUTE($A901,CHAR(13)," "),CHAR(10)," "),CHAR(9)," "),CHAR(92),_xlfn.CONCAT(CHAR(92),CHAR(92))),"$",_xlfn.CONCAT(CHAR(92),"$")),CHAR(96),_xlfn.CONCAT(CHAR(92),CHAR(96))),CHAR(34),CHAR(39))))</f>
        <v/>
      </c>
      <c r="M901" s="5" t="str">
        <f>IF(OR(TRIM($B901)="",$C901=""),"",IF(IFERROR(MATCH(TRIM($C901),{"Quantitative","Continuous","Discrete","Categorical","Nominal","Ordinal","Identifier"},0),0)=0,_xlfn.CONCAT("* REVIEW REQUIRED: invalid Variable Type on Sheet 1 row ",901,"."),_xlfn.CONCAT("char ",TRIM($B901),"[doc_vartype] ",CHAR(96),CHAR(34),SUBSTITUTE(SUBSTITUTE(SUBSTITUTE(SUBSTITUTE(SUBSTITUTE(SUBSTITUTE(LOWER(TRIM($C901)),CHAR(13)," "),CHAR(10)," "),CHAR(9)," "),CHAR(92),_xlfn.CONCAT(CHAR(92),CHAR(92))),"$",_xlfn.CONCAT(CHAR(92),"$")),CHAR(96),_xlfn.CONCAT(CHAR(92),CHAR(96))),CHAR(34),CHAR(39))))</f>
        <v/>
      </c>
      <c r="N901" s="5" t="str">
        <f>IF(OR(TRIM($B901)="",$D901=""),"",IF(OR(ISNUMBER(SEARCH(_xlfn.CONCAT(CHAR(96),CHAR(34)),$D901)),ISNUMBER(SEARCH(_xlfn.CONCAT(CHAR(34),CHAR(39)),$D901))),_xlfn.CONCAT("* REVIEW REQUIRED: compound-quote delimiter in Item Number on Sheet 1 row ",901,"; edit the input before running."),_xlfn.CONCAT("char ",TRIM($B901),"[doc_itemnum] ",CHAR(96),CHAR(34),SUBSTITUTE(SUBSTITUTE(SUBSTITUTE(SUBSTITUTE(SUBSTITUTE(SUBSTITUTE($D901,CHAR(13)," "),CHAR(10)," "),CHAR(9)," "),CHAR(92),_xlfn.CONCAT(CHAR(92),CHAR(92))),"$",_xlfn.CONCAT(CHAR(92),"$")),CHAR(96),_xlfn.CONCAT(CHAR(92),CHAR(96))),CHAR(34),CHAR(39))))</f>
        <v/>
      </c>
      <c r="O901" s="5" t="str">
        <f>IF(OR(TRIM($B901)="",$E901=""),"",IF(OR(ISNUMBER(SEARCH(_xlfn.CONCAT(CHAR(96),CHAR(34)),$E901)),ISNUMBER(SEARCH(_xlfn.CONCAT(CHAR(34),CHAR(39)),$E901))),_xlfn.CONCAT("* REVIEW REQUIRED: compound-quote delimiter in Question Wording on Sheet 1 row ",901,"; edit the input before running."),_xlfn.CONCAT("char ",TRIM($B901),"[doc_question] ",CHAR(96),CHAR(34),SUBSTITUTE(SUBSTITUTE(SUBSTITUTE(SUBSTITUTE(SUBSTITUTE(SUBSTITUTE($E901,CHAR(13)," "),CHAR(10)," "),CHAR(9)," "),CHAR(92),_xlfn.CONCAT(CHAR(92),CHAR(92))),"$",_xlfn.CONCAT(CHAR(92),"$")),CHAR(96),_xlfn.CONCAT(CHAR(92),CHAR(96))),CHAR(34),CHAR(39))))</f>
        <v/>
      </c>
      <c r="P901" s="5" t="str">
        <f>IF(OR(TRIM($B901)="",$F901=""),"",IF(OR(ISNUMBER(SEARCH(_xlfn.CONCAT(CHAR(96),CHAR(34)),$F901)),ISNUMBER(SEARCH(_xlfn.CONCAT(CHAR(34),CHAR(39)),$F901))),_xlfn.CONCAT("* REVIEW REQUIRED: compound-quote delimiter in Units on Sheet 1 row ",901,"; edit the input before running."),_xlfn.CONCAT("char ",TRIM($B901),"[doc_units] ",CHAR(96),CHAR(34),SUBSTITUTE(SUBSTITUTE(SUBSTITUTE(SUBSTITUTE(SUBSTITUTE(SUBSTITUTE($F901,CHAR(13)," "),CHAR(10)," "),CHAR(9)," "),CHAR(92),_xlfn.CONCAT(CHAR(92),CHAR(92))),"$",_xlfn.CONCAT(CHAR(92),"$")),CHAR(96),_xlfn.CONCAT(CHAR(92),CHAR(96))),CHAR(34),CHAR(39))))</f>
        <v/>
      </c>
      <c r="Q901" s="5" t="str">
        <f>IF(OR(TRIM($B901)="",$G901=""),"",IF(OR(ISNUMBER(SEARCH(_xlfn.CONCAT(CHAR(96),CHAR(34)),$G901)),ISNUMBER(SEARCH(_xlfn.CONCAT(CHAR(34),CHAR(39)),$G901))),_xlfn.CONCAT("* REVIEW REQUIRED: compound-quote delimiter in Universe on Sheet 1 row ",901,"; edit the input before running."),_xlfn.CONCAT("char ",TRIM($B901),"[doc_universe] ",CHAR(96),CHAR(34),SUBSTITUTE(SUBSTITUTE(SUBSTITUTE(SUBSTITUTE(SUBSTITUTE(SUBSTITUTE($G901,CHAR(13)," "),CHAR(10)," "),CHAR(9)," "),CHAR(92),_xlfn.CONCAT(CHAR(92),CHAR(92))),"$",_xlfn.CONCAT(CHAR(92),"$")),CHAR(96),_xlfn.CONCAT(CHAR(92),CHAR(96))),CHAR(34),CHAR(39))))</f>
        <v/>
      </c>
      <c r="R901" s="5" t="str">
        <f>IF(OR(TRIM($B901)="",$H901=""),"",IF(OR(ISNUMBER(SEARCH(_xlfn.CONCAT(CHAR(96),CHAR(34)),$H901)),ISNUMBER(SEARCH(_xlfn.CONCAT(CHAR(34),CHAR(39)),$H901))),_xlfn.CONCAT("* REVIEW REQUIRED: compound-quote delimiter in Source on Sheet 1 row ",901,"; edit the input before running."),_xlfn.CONCAT("char ",TRIM($B901),"[doc_source] ",CHAR(96),CHAR(34),SUBSTITUTE(SUBSTITUTE(SUBSTITUTE(SUBSTITUTE(SUBSTITUTE(SUBSTITUTE($H901,CHAR(13)," "),CHAR(10)," "),CHAR(9)," "),CHAR(92),_xlfn.CONCAT(CHAR(92),CHAR(92))),"$",_xlfn.CONCAT(CHAR(92),"$")),CHAR(96),_xlfn.CONCAT(CHAR(92),CHAR(96))),CHAR(34),CHAR(39))))</f>
        <v/>
      </c>
      <c r="S901" s="5" t="str">
        <f>IF(OR(TRIM($B901)="",$I901=""),"",IF(OR(ISNUMBER(SEARCH(_xlfn.CONCAT(CHAR(96),CHAR(34)),$I901)),ISNUMBER(SEARCH(_xlfn.CONCAT(CHAR(34),CHAR(39)),$I901))),_xlfn.CONCAT("* REVIEW REQUIRED: compound-quote delimiter in Derivation on Sheet 1 row ",901,"; edit the input before running."),_xlfn.CONCAT("char ",TRIM($B901),"[doc_derivation] ",CHAR(96),CHAR(34),SUBSTITUTE(SUBSTITUTE(SUBSTITUTE(SUBSTITUTE(SUBSTITUTE(SUBSTITUTE($I901,CHAR(13)," "),CHAR(10)," "),CHAR(9)," "),CHAR(92),_xlfn.CONCAT(CHAR(92),CHAR(92))),"$",_xlfn.CONCAT(CHAR(92),"$")),CHAR(96),_xlfn.CONCAT(CHAR(92),CHAR(96))),CHAR(34),CHAR(39))))</f>
        <v/>
      </c>
      <c r="T901" s="5" t="str">
        <f>IF(OR(TRIM($B901)="",$J901=""),"",IF(OR(ISNUMBER(SEARCH(_xlfn.CONCAT(CHAR(96),CHAR(34)),$J901)),ISNUMBER(SEARCH(_xlfn.CONCAT(CHAR(34),CHAR(39)),$J901))),_xlfn.CONCAT("* REVIEW REQUIRED: compound-quote delimiter in Notes on Sheet 1 row ",901,"; edit the input before running."),_xlfn.CONCAT("char ",TRIM($B901),"[doc_notes] ",CHAR(96),CHAR(34),SUBSTITUTE(SUBSTITUTE(SUBSTITUTE(SUBSTITUTE(SUBSTITUTE(SUBSTITUTE($J901,CHAR(13)," "),CHAR(10)," "),CHAR(9)," "),CHAR(92),_xlfn.CONCAT(CHAR(92),CHAR(92))),"$",_xlfn.CONCAT(CHAR(92),"$")),CHAR(96),_xlfn.CONCAT(CHAR(92),CHAR(96))),CHAR(34),CHAR(39))))</f>
        <v/>
      </c>
      <c r="U901" s="5">
        <f t="shared" si="27"/>
        <v>0</v>
      </c>
    </row>
    <row r="902" spans="3:21" ht="30" customHeight="1" x14ac:dyDescent="0.2">
      <c r="C902" s="4"/>
      <c r="K902" s="5">
        <f t="shared" si="26"/>
        <v>0</v>
      </c>
      <c r="L902" s="5" t="str">
        <f>IF(OR(TRIM($B902)="",$A902=""),"",IF(OR(ISNUMBER(SEARCH(_xlfn.CONCAT(CHAR(96),CHAR(34)),$A902)),ISNUMBER(SEARCH(_xlfn.CONCAT(CHAR(34),CHAR(39)),$A902))),_xlfn.CONCAT("* REVIEW REQUIRED: compound-quote delimiter in Codebook Section on Sheet 1 row ",902,"; edit the input before running."),_xlfn.CONCAT("char ",TRIM($B902),"[doc_section] ",CHAR(96),CHAR(34),SUBSTITUTE(SUBSTITUTE(SUBSTITUTE(SUBSTITUTE(SUBSTITUTE(SUBSTITUTE($A902,CHAR(13)," "),CHAR(10)," "),CHAR(9)," "),CHAR(92),_xlfn.CONCAT(CHAR(92),CHAR(92))),"$",_xlfn.CONCAT(CHAR(92),"$")),CHAR(96),_xlfn.CONCAT(CHAR(92),CHAR(96))),CHAR(34),CHAR(39))))</f>
        <v/>
      </c>
      <c r="M902" s="5" t="str">
        <f>IF(OR(TRIM($B902)="",$C902=""),"",IF(IFERROR(MATCH(TRIM($C902),{"Quantitative","Continuous","Discrete","Categorical","Nominal","Ordinal","Identifier"},0),0)=0,_xlfn.CONCAT("* REVIEW REQUIRED: invalid Variable Type on Sheet 1 row ",902,"."),_xlfn.CONCAT("char ",TRIM($B902),"[doc_vartype] ",CHAR(96),CHAR(34),SUBSTITUTE(SUBSTITUTE(SUBSTITUTE(SUBSTITUTE(SUBSTITUTE(SUBSTITUTE(LOWER(TRIM($C902)),CHAR(13)," "),CHAR(10)," "),CHAR(9)," "),CHAR(92),_xlfn.CONCAT(CHAR(92),CHAR(92))),"$",_xlfn.CONCAT(CHAR(92),"$")),CHAR(96),_xlfn.CONCAT(CHAR(92),CHAR(96))),CHAR(34),CHAR(39))))</f>
        <v/>
      </c>
      <c r="N902" s="5" t="str">
        <f>IF(OR(TRIM($B902)="",$D902=""),"",IF(OR(ISNUMBER(SEARCH(_xlfn.CONCAT(CHAR(96),CHAR(34)),$D902)),ISNUMBER(SEARCH(_xlfn.CONCAT(CHAR(34),CHAR(39)),$D902))),_xlfn.CONCAT("* REVIEW REQUIRED: compound-quote delimiter in Item Number on Sheet 1 row ",902,"; edit the input before running."),_xlfn.CONCAT("char ",TRIM($B902),"[doc_itemnum] ",CHAR(96),CHAR(34),SUBSTITUTE(SUBSTITUTE(SUBSTITUTE(SUBSTITUTE(SUBSTITUTE(SUBSTITUTE($D902,CHAR(13)," "),CHAR(10)," "),CHAR(9)," "),CHAR(92),_xlfn.CONCAT(CHAR(92),CHAR(92))),"$",_xlfn.CONCAT(CHAR(92),"$")),CHAR(96),_xlfn.CONCAT(CHAR(92),CHAR(96))),CHAR(34),CHAR(39))))</f>
        <v/>
      </c>
      <c r="O902" s="5" t="str">
        <f>IF(OR(TRIM($B902)="",$E902=""),"",IF(OR(ISNUMBER(SEARCH(_xlfn.CONCAT(CHAR(96),CHAR(34)),$E902)),ISNUMBER(SEARCH(_xlfn.CONCAT(CHAR(34),CHAR(39)),$E902))),_xlfn.CONCAT("* REVIEW REQUIRED: compound-quote delimiter in Question Wording on Sheet 1 row ",902,"; edit the input before running."),_xlfn.CONCAT("char ",TRIM($B902),"[doc_question] ",CHAR(96),CHAR(34),SUBSTITUTE(SUBSTITUTE(SUBSTITUTE(SUBSTITUTE(SUBSTITUTE(SUBSTITUTE($E902,CHAR(13)," "),CHAR(10)," "),CHAR(9)," "),CHAR(92),_xlfn.CONCAT(CHAR(92),CHAR(92))),"$",_xlfn.CONCAT(CHAR(92),"$")),CHAR(96),_xlfn.CONCAT(CHAR(92),CHAR(96))),CHAR(34),CHAR(39))))</f>
        <v/>
      </c>
      <c r="P902" s="5" t="str">
        <f>IF(OR(TRIM($B902)="",$F902=""),"",IF(OR(ISNUMBER(SEARCH(_xlfn.CONCAT(CHAR(96),CHAR(34)),$F902)),ISNUMBER(SEARCH(_xlfn.CONCAT(CHAR(34),CHAR(39)),$F902))),_xlfn.CONCAT("* REVIEW REQUIRED: compound-quote delimiter in Units on Sheet 1 row ",902,"; edit the input before running."),_xlfn.CONCAT("char ",TRIM($B902),"[doc_units] ",CHAR(96),CHAR(34),SUBSTITUTE(SUBSTITUTE(SUBSTITUTE(SUBSTITUTE(SUBSTITUTE(SUBSTITUTE($F902,CHAR(13)," "),CHAR(10)," "),CHAR(9)," "),CHAR(92),_xlfn.CONCAT(CHAR(92),CHAR(92))),"$",_xlfn.CONCAT(CHAR(92),"$")),CHAR(96),_xlfn.CONCAT(CHAR(92),CHAR(96))),CHAR(34),CHAR(39))))</f>
        <v/>
      </c>
      <c r="Q902" s="5" t="str">
        <f>IF(OR(TRIM($B902)="",$G902=""),"",IF(OR(ISNUMBER(SEARCH(_xlfn.CONCAT(CHAR(96),CHAR(34)),$G902)),ISNUMBER(SEARCH(_xlfn.CONCAT(CHAR(34),CHAR(39)),$G902))),_xlfn.CONCAT("* REVIEW REQUIRED: compound-quote delimiter in Universe on Sheet 1 row ",902,"; edit the input before running."),_xlfn.CONCAT("char ",TRIM($B902),"[doc_universe] ",CHAR(96),CHAR(34),SUBSTITUTE(SUBSTITUTE(SUBSTITUTE(SUBSTITUTE(SUBSTITUTE(SUBSTITUTE($G902,CHAR(13)," "),CHAR(10)," "),CHAR(9)," "),CHAR(92),_xlfn.CONCAT(CHAR(92),CHAR(92))),"$",_xlfn.CONCAT(CHAR(92),"$")),CHAR(96),_xlfn.CONCAT(CHAR(92),CHAR(96))),CHAR(34),CHAR(39))))</f>
        <v/>
      </c>
      <c r="R902" s="5" t="str">
        <f>IF(OR(TRIM($B902)="",$H902=""),"",IF(OR(ISNUMBER(SEARCH(_xlfn.CONCAT(CHAR(96),CHAR(34)),$H902)),ISNUMBER(SEARCH(_xlfn.CONCAT(CHAR(34),CHAR(39)),$H902))),_xlfn.CONCAT("* REVIEW REQUIRED: compound-quote delimiter in Source on Sheet 1 row ",902,"; edit the input before running."),_xlfn.CONCAT("char ",TRIM($B902),"[doc_source] ",CHAR(96),CHAR(34),SUBSTITUTE(SUBSTITUTE(SUBSTITUTE(SUBSTITUTE(SUBSTITUTE(SUBSTITUTE($H902,CHAR(13)," "),CHAR(10)," "),CHAR(9)," "),CHAR(92),_xlfn.CONCAT(CHAR(92),CHAR(92))),"$",_xlfn.CONCAT(CHAR(92),"$")),CHAR(96),_xlfn.CONCAT(CHAR(92),CHAR(96))),CHAR(34),CHAR(39))))</f>
        <v/>
      </c>
      <c r="S902" s="5" t="str">
        <f>IF(OR(TRIM($B902)="",$I902=""),"",IF(OR(ISNUMBER(SEARCH(_xlfn.CONCAT(CHAR(96),CHAR(34)),$I902)),ISNUMBER(SEARCH(_xlfn.CONCAT(CHAR(34),CHAR(39)),$I902))),_xlfn.CONCAT("* REVIEW REQUIRED: compound-quote delimiter in Derivation on Sheet 1 row ",902,"; edit the input before running."),_xlfn.CONCAT("char ",TRIM($B902),"[doc_derivation] ",CHAR(96),CHAR(34),SUBSTITUTE(SUBSTITUTE(SUBSTITUTE(SUBSTITUTE(SUBSTITUTE(SUBSTITUTE($I902,CHAR(13)," "),CHAR(10)," "),CHAR(9)," "),CHAR(92),_xlfn.CONCAT(CHAR(92),CHAR(92))),"$",_xlfn.CONCAT(CHAR(92),"$")),CHAR(96),_xlfn.CONCAT(CHAR(92),CHAR(96))),CHAR(34),CHAR(39))))</f>
        <v/>
      </c>
      <c r="T902" s="5" t="str">
        <f>IF(OR(TRIM($B902)="",$J902=""),"",IF(OR(ISNUMBER(SEARCH(_xlfn.CONCAT(CHAR(96),CHAR(34)),$J902)),ISNUMBER(SEARCH(_xlfn.CONCAT(CHAR(34),CHAR(39)),$J902))),_xlfn.CONCAT("* REVIEW REQUIRED: compound-quote delimiter in Notes on Sheet 1 row ",902,"; edit the input before running."),_xlfn.CONCAT("char ",TRIM($B902),"[doc_notes] ",CHAR(96),CHAR(34),SUBSTITUTE(SUBSTITUTE(SUBSTITUTE(SUBSTITUTE(SUBSTITUTE(SUBSTITUTE($J902,CHAR(13)," "),CHAR(10)," "),CHAR(9)," "),CHAR(92),_xlfn.CONCAT(CHAR(92),CHAR(92))),"$",_xlfn.CONCAT(CHAR(92),"$")),CHAR(96),_xlfn.CONCAT(CHAR(92),CHAR(96))),CHAR(34),CHAR(39))))</f>
        <v/>
      </c>
      <c r="U902" s="5">
        <f t="shared" si="27"/>
        <v>0</v>
      </c>
    </row>
    <row r="903" spans="3:21" ht="30" customHeight="1" x14ac:dyDescent="0.2">
      <c r="C903" s="4"/>
      <c r="K903" s="5">
        <f t="shared" si="26"/>
        <v>0</v>
      </c>
      <c r="L903" s="5" t="str">
        <f>IF(OR(TRIM($B903)="",$A903=""),"",IF(OR(ISNUMBER(SEARCH(_xlfn.CONCAT(CHAR(96),CHAR(34)),$A903)),ISNUMBER(SEARCH(_xlfn.CONCAT(CHAR(34),CHAR(39)),$A903))),_xlfn.CONCAT("* REVIEW REQUIRED: compound-quote delimiter in Codebook Section on Sheet 1 row ",903,"; edit the input before running."),_xlfn.CONCAT("char ",TRIM($B903),"[doc_section] ",CHAR(96),CHAR(34),SUBSTITUTE(SUBSTITUTE(SUBSTITUTE(SUBSTITUTE(SUBSTITUTE(SUBSTITUTE($A903,CHAR(13)," "),CHAR(10)," "),CHAR(9)," "),CHAR(92),_xlfn.CONCAT(CHAR(92),CHAR(92))),"$",_xlfn.CONCAT(CHAR(92),"$")),CHAR(96),_xlfn.CONCAT(CHAR(92),CHAR(96))),CHAR(34),CHAR(39))))</f>
        <v/>
      </c>
      <c r="M903" s="5" t="str">
        <f>IF(OR(TRIM($B903)="",$C903=""),"",IF(IFERROR(MATCH(TRIM($C903),{"Quantitative","Continuous","Discrete","Categorical","Nominal","Ordinal","Identifier"},0),0)=0,_xlfn.CONCAT("* REVIEW REQUIRED: invalid Variable Type on Sheet 1 row ",903,"."),_xlfn.CONCAT("char ",TRIM($B903),"[doc_vartype] ",CHAR(96),CHAR(34),SUBSTITUTE(SUBSTITUTE(SUBSTITUTE(SUBSTITUTE(SUBSTITUTE(SUBSTITUTE(LOWER(TRIM($C903)),CHAR(13)," "),CHAR(10)," "),CHAR(9)," "),CHAR(92),_xlfn.CONCAT(CHAR(92),CHAR(92))),"$",_xlfn.CONCAT(CHAR(92),"$")),CHAR(96),_xlfn.CONCAT(CHAR(92),CHAR(96))),CHAR(34),CHAR(39))))</f>
        <v/>
      </c>
      <c r="N903" s="5" t="str">
        <f>IF(OR(TRIM($B903)="",$D903=""),"",IF(OR(ISNUMBER(SEARCH(_xlfn.CONCAT(CHAR(96),CHAR(34)),$D903)),ISNUMBER(SEARCH(_xlfn.CONCAT(CHAR(34),CHAR(39)),$D903))),_xlfn.CONCAT("* REVIEW REQUIRED: compound-quote delimiter in Item Number on Sheet 1 row ",903,"; edit the input before running."),_xlfn.CONCAT("char ",TRIM($B903),"[doc_itemnum] ",CHAR(96),CHAR(34),SUBSTITUTE(SUBSTITUTE(SUBSTITUTE(SUBSTITUTE(SUBSTITUTE(SUBSTITUTE($D903,CHAR(13)," "),CHAR(10)," "),CHAR(9)," "),CHAR(92),_xlfn.CONCAT(CHAR(92),CHAR(92))),"$",_xlfn.CONCAT(CHAR(92),"$")),CHAR(96),_xlfn.CONCAT(CHAR(92),CHAR(96))),CHAR(34),CHAR(39))))</f>
        <v/>
      </c>
      <c r="O903" s="5" t="str">
        <f>IF(OR(TRIM($B903)="",$E903=""),"",IF(OR(ISNUMBER(SEARCH(_xlfn.CONCAT(CHAR(96),CHAR(34)),$E903)),ISNUMBER(SEARCH(_xlfn.CONCAT(CHAR(34),CHAR(39)),$E903))),_xlfn.CONCAT("* REVIEW REQUIRED: compound-quote delimiter in Question Wording on Sheet 1 row ",903,"; edit the input before running."),_xlfn.CONCAT("char ",TRIM($B903),"[doc_question] ",CHAR(96),CHAR(34),SUBSTITUTE(SUBSTITUTE(SUBSTITUTE(SUBSTITUTE(SUBSTITUTE(SUBSTITUTE($E903,CHAR(13)," "),CHAR(10)," "),CHAR(9)," "),CHAR(92),_xlfn.CONCAT(CHAR(92),CHAR(92))),"$",_xlfn.CONCAT(CHAR(92),"$")),CHAR(96),_xlfn.CONCAT(CHAR(92),CHAR(96))),CHAR(34),CHAR(39))))</f>
        <v/>
      </c>
      <c r="P903" s="5" t="str">
        <f>IF(OR(TRIM($B903)="",$F903=""),"",IF(OR(ISNUMBER(SEARCH(_xlfn.CONCAT(CHAR(96),CHAR(34)),$F903)),ISNUMBER(SEARCH(_xlfn.CONCAT(CHAR(34),CHAR(39)),$F903))),_xlfn.CONCAT("* REVIEW REQUIRED: compound-quote delimiter in Units on Sheet 1 row ",903,"; edit the input before running."),_xlfn.CONCAT("char ",TRIM($B903),"[doc_units] ",CHAR(96),CHAR(34),SUBSTITUTE(SUBSTITUTE(SUBSTITUTE(SUBSTITUTE(SUBSTITUTE(SUBSTITUTE($F903,CHAR(13)," "),CHAR(10)," "),CHAR(9)," "),CHAR(92),_xlfn.CONCAT(CHAR(92),CHAR(92))),"$",_xlfn.CONCAT(CHAR(92),"$")),CHAR(96),_xlfn.CONCAT(CHAR(92),CHAR(96))),CHAR(34),CHAR(39))))</f>
        <v/>
      </c>
      <c r="Q903" s="5" t="str">
        <f>IF(OR(TRIM($B903)="",$G903=""),"",IF(OR(ISNUMBER(SEARCH(_xlfn.CONCAT(CHAR(96),CHAR(34)),$G903)),ISNUMBER(SEARCH(_xlfn.CONCAT(CHAR(34),CHAR(39)),$G903))),_xlfn.CONCAT("* REVIEW REQUIRED: compound-quote delimiter in Universe on Sheet 1 row ",903,"; edit the input before running."),_xlfn.CONCAT("char ",TRIM($B903),"[doc_universe] ",CHAR(96),CHAR(34),SUBSTITUTE(SUBSTITUTE(SUBSTITUTE(SUBSTITUTE(SUBSTITUTE(SUBSTITUTE($G903,CHAR(13)," "),CHAR(10)," "),CHAR(9)," "),CHAR(92),_xlfn.CONCAT(CHAR(92),CHAR(92))),"$",_xlfn.CONCAT(CHAR(92),"$")),CHAR(96),_xlfn.CONCAT(CHAR(92),CHAR(96))),CHAR(34),CHAR(39))))</f>
        <v/>
      </c>
      <c r="R903" s="5" t="str">
        <f>IF(OR(TRIM($B903)="",$H903=""),"",IF(OR(ISNUMBER(SEARCH(_xlfn.CONCAT(CHAR(96),CHAR(34)),$H903)),ISNUMBER(SEARCH(_xlfn.CONCAT(CHAR(34),CHAR(39)),$H903))),_xlfn.CONCAT("* REVIEW REQUIRED: compound-quote delimiter in Source on Sheet 1 row ",903,"; edit the input before running."),_xlfn.CONCAT("char ",TRIM($B903),"[doc_source] ",CHAR(96),CHAR(34),SUBSTITUTE(SUBSTITUTE(SUBSTITUTE(SUBSTITUTE(SUBSTITUTE(SUBSTITUTE($H903,CHAR(13)," "),CHAR(10)," "),CHAR(9)," "),CHAR(92),_xlfn.CONCAT(CHAR(92),CHAR(92))),"$",_xlfn.CONCAT(CHAR(92),"$")),CHAR(96),_xlfn.CONCAT(CHAR(92),CHAR(96))),CHAR(34),CHAR(39))))</f>
        <v/>
      </c>
      <c r="S903" s="5" t="str">
        <f>IF(OR(TRIM($B903)="",$I903=""),"",IF(OR(ISNUMBER(SEARCH(_xlfn.CONCAT(CHAR(96),CHAR(34)),$I903)),ISNUMBER(SEARCH(_xlfn.CONCAT(CHAR(34),CHAR(39)),$I903))),_xlfn.CONCAT("* REVIEW REQUIRED: compound-quote delimiter in Derivation on Sheet 1 row ",903,"; edit the input before running."),_xlfn.CONCAT("char ",TRIM($B903),"[doc_derivation] ",CHAR(96),CHAR(34),SUBSTITUTE(SUBSTITUTE(SUBSTITUTE(SUBSTITUTE(SUBSTITUTE(SUBSTITUTE($I903,CHAR(13)," "),CHAR(10)," "),CHAR(9)," "),CHAR(92),_xlfn.CONCAT(CHAR(92),CHAR(92))),"$",_xlfn.CONCAT(CHAR(92),"$")),CHAR(96),_xlfn.CONCAT(CHAR(92),CHAR(96))),CHAR(34),CHAR(39))))</f>
        <v/>
      </c>
      <c r="T903" s="5" t="str">
        <f>IF(OR(TRIM($B903)="",$J903=""),"",IF(OR(ISNUMBER(SEARCH(_xlfn.CONCAT(CHAR(96),CHAR(34)),$J903)),ISNUMBER(SEARCH(_xlfn.CONCAT(CHAR(34),CHAR(39)),$J903))),_xlfn.CONCAT("* REVIEW REQUIRED: compound-quote delimiter in Notes on Sheet 1 row ",903,"; edit the input before running."),_xlfn.CONCAT("char ",TRIM($B903),"[doc_notes] ",CHAR(96),CHAR(34),SUBSTITUTE(SUBSTITUTE(SUBSTITUTE(SUBSTITUTE(SUBSTITUTE(SUBSTITUTE($J903,CHAR(13)," "),CHAR(10)," "),CHAR(9)," "),CHAR(92),_xlfn.CONCAT(CHAR(92),CHAR(92))),"$",_xlfn.CONCAT(CHAR(92),"$")),CHAR(96),_xlfn.CONCAT(CHAR(92),CHAR(96))),CHAR(34),CHAR(39))))</f>
        <v/>
      </c>
      <c r="U903" s="5">
        <f t="shared" si="27"/>
        <v>0</v>
      </c>
    </row>
    <row r="904" spans="3:21" ht="30" customHeight="1" x14ac:dyDescent="0.2">
      <c r="C904" s="4"/>
      <c r="K904" s="5">
        <f t="shared" si="26"/>
        <v>0</v>
      </c>
      <c r="L904" s="5" t="str">
        <f>IF(OR(TRIM($B904)="",$A904=""),"",IF(OR(ISNUMBER(SEARCH(_xlfn.CONCAT(CHAR(96),CHAR(34)),$A904)),ISNUMBER(SEARCH(_xlfn.CONCAT(CHAR(34),CHAR(39)),$A904))),_xlfn.CONCAT("* REVIEW REQUIRED: compound-quote delimiter in Codebook Section on Sheet 1 row ",904,"; edit the input before running."),_xlfn.CONCAT("char ",TRIM($B904),"[doc_section] ",CHAR(96),CHAR(34),SUBSTITUTE(SUBSTITUTE(SUBSTITUTE(SUBSTITUTE(SUBSTITUTE(SUBSTITUTE($A904,CHAR(13)," "),CHAR(10)," "),CHAR(9)," "),CHAR(92),_xlfn.CONCAT(CHAR(92),CHAR(92))),"$",_xlfn.CONCAT(CHAR(92),"$")),CHAR(96),_xlfn.CONCAT(CHAR(92),CHAR(96))),CHAR(34),CHAR(39))))</f>
        <v/>
      </c>
      <c r="M904" s="5" t="str">
        <f>IF(OR(TRIM($B904)="",$C904=""),"",IF(IFERROR(MATCH(TRIM($C904),{"Quantitative","Continuous","Discrete","Categorical","Nominal","Ordinal","Identifier"},0),0)=0,_xlfn.CONCAT("* REVIEW REQUIRED: invalid Variable Type on Sheet 1 row ",904,"."),_xlfn.CONCAT("char ",TRIM($B904),"[doc_vartype] ",CHAR(96),CHAR(34),SUBSTITUTE(SUBSTITUTE(SUBSTITUTE(SUBSTITUTE(SUBSTITUTE(SUBSTITUTE(LOWER(TRIM($C904)),CHAR(13)," "),CHAR(10)," "),CHAR(9)," "),CHAR(92),_xlfn.CONCAT(CHAR(92),CHAR(92))),"$",_xlfn.CONCAT(CHAR(92),"$")),CHAR(96),_xlfn.CONCAT(CHAR(92),CHAR(96))),CHAR(34),CHAR(39))))</f>
        <v/>
      </c>
      <c r="N904" s="5" t="str">
        <f>IF(OR(TRIM($B904)="",$D904=""),"",IF(OR(ISNUMBER(SEARCH(_xlfn.CONCAT(CHAR(96),CHAR(34)),$D904)),ISNUMBER(SEARCH(_xlfn.CONCAT(CHAR(34),CHAR(39)),$D904))),_xlfn.CONCAT("* REVIEW REQUIRED: compound-quote delimiter in Item Number on Sheet 1 row ",904,"; edit the input before running."),_xlfn.CONCAT("char ",TRIM($B904),"[doc_itemnum] ",CHAR(96),CHAR(34),SUBSTITUTE(SUBSTITUTE(SUBSTITUTE(SUBSTITUTE(SUBSTITUTE(SUBSTITUTE($D904,CHAR(13)," "),CHAR(10)," "),CHAR(9)," "),CHAR(92),_xlfn.CONCAT(CHAR(92),CHAR(92))),"$",_xlfn.CONCAT(CHAR(92),"$")),CHAR(96),_xlfn.CONCAT(CHAR(92),CHAR(96))),CHAR(34),CHAR(39))))</f>
        <v/>
      </c>
      <c r="O904" s="5" t="str">
        <f>IF(OR(TRIM($B904)="",$E904=""),"",IF(OR(ISNUMBER(SEARCH(_xlfn.CONCAT(CHAR(96),CHAR(34)),$E904)),ISNUMBER(SEARCH(_xlfn.CONCAT(CHAR(34),CHAR(39)),$E904))),_xlfn.CONCAT("* REVIEW REQUIRED: compound-quote delimiter in Question Wording on Sheet 1 row ",904,"; edit the input before running."),_xlfn.CONCAT("char ",TRIM($B904),"[doc_question] ",CHAR(96),CHAR(34),SUBSTITUTE(SUBSTITUTE(SUBSTITUTE(SUBSTITUTE(SUBSTITUTE(SUBSTITUTE($E904,CHAR(13)," "),CHAR(10)," "),CHAR(9)," "),CHAR(92),_xlfn.CONCAT(CHAR(92),CHAR(92))),"$",_xlfn.CONCAT(CHAR(92),"$")),CHAR(96),_xlfn.CONCAT(CHAR(92),CHAR(96))),CHAR(34),CHAR(39))))</f>
        <v/>
      </c>
      <c r="P904" s="5" t="str">
        <f>IF(OR(TRIM($B904)="",$F904=""),"",IF(OR(ISNUMBER(SEARCH(_xlfn.CONCAT(CHAR(96),CHAR(34)),$F904)),ISNUMBER(SEARCH(_xlfn.CONCAT(CHAR(34),CHAR(39)),$F904))),_xlfn.CONCAT("* REVIEW REQUIRED: compound-quote delimiter in Units on Sheet 1 row ",904,"; edit the input before running."),_xlfn.CONCAT("char ",TRIM($B904),"[doc_units] ",CHAR(96),CHAR(34),SUBSTITUTE(SUBSTITUTE(SUBSTITUTE(SUBSTITUTE(SUBSTITUTE(SUBSTITUTE($F904,CHAR(13)," "),CHAR(10)," "),CHAR(9)," "),CHAR(92),_xlfn.CONCAT(CHAR(92),CHAR(92))),"$",_xlfn.CONCAT(CHAR(92),"$")),CHAR(96),_xlfn.CONCAT(CHAR(92),CHAR(96))),CHAR(34),CHAR(39))))</f>
        <v/>
      </c>
      <c r="Q904" s="5" t="str">
        <f>IF(OR(TRIM($B904)="",$G904=""),"",IF(OR(ISNUMBER(SEARCH(_xlfn.CONCAT(CHAR(96),CHAR(34)),$G904)),ISNUMBER(SEARCH(_xlfn.CONCAT(CHAR(34),CHAR(39)),$G904))),_xlfn.CONCAT("* REVIEW REQUIRED: compound-quote delimiter in Universe on Sheet 1 row ",904,"; edit the input before running."),_xlfn.CONCAT("char ",TRIM($B904),"[doc_universe] ",CHAR(96),CHAR(34),SUBSTITUTE(SUBSTITUTE(SUBSTITUTE(SUBSTITUTE(SUBSTITUTE(SUBSTITUTE($G904,CHAR(13)," "),CHAR(10)," "),CHAR(9)," "),CHAR(92),_xlfn.CONCAT(CHAR(92),CHAR(92))),"$",_xlfn.CONCAT(CHAR(92),"$")),CHAR(96),_xlfn.CONCAT(CHAR(92),CHAR(96))),CHAR(34),CHAR(39))))</f>
        <v/>
      </c>
      <c r="R904" s="5" t="str">
        <f>IF(OR(TRIM($B904)="",$H904=""),"",IF(OR(ISNUMBER(SEARCH(_xlfn.CONCAT(CHAR(96),CHAR(34)),$H904)),ISNUMBER(SEARCH(_xlfn.CONCAT(CHAR(34),CHAR(39)),$H904))),_xlfn.CONCAT("* REVIEW REQUIRED: compound-quote delimiter in Source on Sheet 1 row ",904,"; edit the input before running."),_xlfn.CONCAT("char ",TRIM($B904),"[doc_source] ",CHAR(96),CHAR(34),SUBSTITUTE(SUBSTITUTE(SUBSTITUTE(SUBSTITUTE(SUBSTITUTE(SUBSTITUTE($H904,CHAR(13)," "),CHAR(10)," "),CHAR(9)," "),CHAR(92),_xlfn.CONCAT(CHAR(92),CHAR(92))),"$",_xlfn.CONCAT(CHAR(92),"$")),CHAR(96),_xlfn.CONCAT(CHAR(92),CHAR(96))),CHAR(34),CHAR(39))))</f>
        <v/>
      </c>
      <c r="S904" s="5" t="str">
        <f>IF(OR(TRIM($B904)="",$I904=""),"",IF(OR(ISNUMBER(SEARCH(_xlfn.CONCAT(CHAR(96),CHAR(34)),$I904)),ISNUMBER(SEARCH(_xlfn.CONCAT(CHAR(34),CHAR(39)),$I904))),_xlfn.CONCAT("* REVIEW REQUIRED: compound-quote delimiter in Derivation on Sheet 1 row ",904,"; edit the input before running."),_xlfn.CONCAT("char ",TRIM($B904),"[doc_derivation] ",CHAR(96),CHAR(34),SUBSTITUTE(SUBSTITUTE(SUBSTITUTE(SUBSTITUTE(SUBSTITUTE(SUBSTITUTE($I904,CHAR(13)," "),CHAR(10)," "),CHAR(9)," "),CHAR(92),_xlfn.CONCAT(CHAR(92),CHAR(92))),"$",_xlfn.CONCAT(CHAR(92),"$")),CHAR(96),_xlfn.CONCAT(CHAR(92),CHAR(96))),CHAR(34),CHAR(39))))</f>
        <v/>
      </c>
      <c r="T904" s="5" t="str">
        <f>IF(OR(TRIM($B904)="",$J904=""),"",IF(OR(ISNUMBER(SEARCH(_xlfn.CONCAT(CHAR(96),CHAR(34)),$J904)),ISNUMBER(SEARCH(_xlfn.CONCAT(CHAR(34),CHAR(39)),$J904))),_xlfn.CONCAT("* REVIEW REQUIRED: compound-quote delimiter in Notes on Sheet 1 row ",904,"; edit the input before running."),_xlfn.CONCAT("char ",TRIM($B904),"[doc_notes] ",CHAR(96),CHAR(34),SUBSTITUTE(SUBSTITUTE(SUBSTITUTE(SUBSTITUTE(SUBSTITUTE(SUBSTITUTE($J904,CHAR(13)," "),CHAR(10)," "),CHAR(9)," "),CHAR(92),_xlfn.CONCAT(CHAR(92),CHAR(92))),"$",_xlfn.CONCAT(CHAR(92),"$")),CHAR(96),_xlfn.CONCAT(CHAR(92),CHAR(96))),CHAR(34),CHAR(39))))</f>
        <v/>
      </c>
      <c r="U904" s="5">
        <f t="shared" si="27"/>
        <v>0</v>
      </c>
    </row>
    <row r="905" spans="3:21" ht="30" customHeight="1" x14ac:dyDescent="0.2">
      <c r="C905" s="4"/>
      <c r="K905" s="5">
        <f t="shared" si="26"/>
        <v>0</v>
      </c>
      <c r="L905" s="5" t="str">
        <f>IF(OR(TRIM($B905)="",$A905=""),"",IF(OR(ISNUMBER(SEARCH(_xlfn.CONCAT(CHAR(96),CHAR(34)),$A905)),ISNUMBER(SEARCH(_xlfn.CONCAT(CHAR(34),CHAR(39)),$A905))),_xlfn.CONCAT("* REVIEW REQUIRED: compound-quote delimiter in Codebook Section on Sheet 1 row ",905,"; edit the input before running."),_xlfn.CONCAT("char ",TRIM($B905),"[doc_section] ",CHAR(96),CHAR(34),SUBSTITUTE(SUBSTITUTE(SUBSTITUTE(SUBSTITUTE(SUBSTITUTE(SUBSTITUTE($A905,CHAR(13)," "),CHAR(10)," "),CHAR(9)," "),CHAR(92),_xlfn.CONCAT(CHAR(92),CHAR(92))),"$",_xlfn.CONCAT(CHAR(92),"$")),CHAR(96),_xlfn.CONCAT(CHAR(92),CHAR(96))),CHAR(34),CHAR(39))))</f>
        <v/>
      </c>
      <c r="M905" s="5" t="str">
        <f>IF(OR(TRIM($B905)="",$C905=""),"",IF(IFERROR(MATCH(TRIM($C905),{"Quantitative","Continuous","Discrete","Categorical","Nominal","Ordinal","Identifier"},0),0)=0,_xlfn.CONCAT("* REVIEW REQUIRED: invalid Variable Type on Sheet 1 row ",905,"."),_xlfn.CONCAT("char ",TRIM($B905),"[doc_vartype] ",CHAR(96),CHAR(34),SUBSTITUTE(SUBSTITUTE(SUBSTITUTE(SUBSTITUTE(SUBSTITUTE(SUBSTITUTE(LOWER(TRIM($C905)),CHAR(13)," "),CHAR(10)," "),CHAR(9)," "),CHAR(92),_xlfn.CONCAT(CHAR(92),CHAR(92))),"$",_xlfn.CONCAT(CHAR(92),"$")),CHAR(96),_xlfn.CONCAT(CHAR(92),CHAR(96))),CHAR(34),CHAR(39))))</f>
        <v/>
      </c>
      <c r="N905" s="5" t="str">
        <f>IF(OR(TRIM($B905)="",$D905=""),"",IF(OR(ISNUMBER(SEARCH(_xlfn.CONCAT(CHAR(96),CHAR(34)),$D905)),ISNUMBER(SEARCH(_xlfn.CONCAT(CHAR(34),CHAR(39)),$D905))),_xlfn.CONCAT("* REVIEW REQUIRED: compound-quote delimiter in Item Number on Sheet 1 row ",905,"; edit the input before running."),_xlfn.CONCAT("char ",TRIM($B905),"[doc_itemnum] ",CHAR(96),CHAR(34),SUBSTITUTE(SUBSTITUTE(SUBSTITUTE(SUBSTITUTE(SUBSTITUTE(SUBSTITUTE($D905,CHAR(13)," "),CHAR(10)," "),CHAR(9)," "),CHAR(92),_xlfn.CONCAT(CHAR(92),CHAR(92))),"$",_xlfn.CONCAT(CHAR(92),"$")),CHAR(96),_xlfn.CONCAT(CHAR(92),CHAR(96))),CHAR(34),CHAR(39))))</f>
        <v/>
      </c>
      <c r="O905" s="5" t="str">
        <f>IF(OR(TRIM($B905)="",$E905=""),"",IF(OR(ISNUMBER(SEARCH(_xlfn.CONCAT(CHAR(96),CHAR(34)),$E905)),ISNUMBER(SEARCH(_xlfn.CONCAT(CHAR(34),CHAR(39)),$E905))),_xlfn.CONCAT("* REVIEW REQUIRED: compound-quote delimiter in Question Wording on Sheet 1 row ",905,"; edit the input before running."),_xlfn.CONCAT("char ",TRIM($B905),"[doc_question] ",CHAR(96),CHAR(34),SUBSTITUTE(SUBSTITUTE(SUBSTITUTE(SUBSTITUTE(SUBSTITUTE(SUBSTITUTE($E905,CHAR(13)," "),CHAR(10)," "),CHAR(9)," "),CHAR(92),_xlfn.CONCAT(CHAR(92),CHAR(92))),"$",_xlfn.CONCAT(CHAR(92),"$")),CHAR(96),_xlfn.CONCAT(CHAR(92),CHAR(96))),CHAR(34),CHAR(39))))</f>
        <v/>
      </c>
      <c r="P905" s="5" t="str">
        <f>IF(OR(TRIM($B905)="",$F905=""),"",IF(OR(ISNUMBER(SEARCH(_xlfn.CONCAT(CHAR(96),CHAR(34)),$F905)),ISNUMBER(SEARCH(_xlfn.CONCAT(CHAR(34),CHAR(39)),$F905))),_xlfn.CONCAT("* REVIEW REQUIRED: compound-quote delimiter in Units on Sheet 1 row ",905,"; edit the input before running."),_xlfn.CONCAT("char ",TRIM($B905),"[doc_units] ",CHAR(96),CHAR(34),SUBSTITUTE(SUBSTITUTE(SUBSTITUTE(SUBSTITUTE(SUBSTITUTE(SUBSTITUTE($F905,CHAR(13)," "),CHAR(10)," "),CHAR(9)," "),CHAR(92),_xlfn.CONCAT(CHAR(92),CHAR(92))),"$",_xlfn.CONCAT(CHAR(92),"$")),CHAR(96),_xlfn.CONCAT(CHAR(92),CHAR(96))),CHAR(34),CHAR(39))))</f>
        <v/>
      </c>
      <c r="Q905" s="5" t="str">
        <f>IF(OR(TRIM($B905)="",$G905=""),"",IF(OR(ISNUMBER(SEARCH(_xlfn.CONCAT(CHAR(96),CHAR(34)),$G905)),ISNUMBER(SEARCH(_xlfn.CONCAT(CHAR(34),CHAR(39)),$G905))),_xlfn.CONCAT("* REVIEW REQUIRED: compound-quote delimiter in Universe on Sheet 1 row ",905,"; edit the input before running."),_xlfn.CONCAT("char ",TRIM($B905),"[doc_universe] ",CHAR(96),CHAR(34),SUBSTITUTE(SUBSTITUTE(SUBSTITUTE(SUBSTITUTE(SUBSTITUTE(SUBSTITUTE($G905,CHAR(13)," "),CHAR(10)," "),CHAR(9)," "),CHAR(92),_xlfn.CONCAT(CHAR(92),CHAR(92))),"$",_xlfn.CONCAT(CHAR(92),"$")),CHAR(96),_xlfn.CONCAT(CHAR(92),CHAR(96))),CHAR(34),CHAR(39))))</f>
        <v/>
      </c>
      <c r="R905" s="5" t="str">
        <f>IF(OR(TRIM($B905)="",$H905=""),"",IF(OR(ISNUMBER(SEARCH(_xlfn.CONCAT(CHAR(96),CHAR(34)),$H905)),ISNUMBER(SEARCH(_xlfn.CONCAT(CHAR(34),CHAR(39)),$H905))),_xlfn.CONCAT("* REVIEW REQUIRED: compound-quote delimiter in Source on Sheet 1 row ",905,"; edit the input before running."),_xlfn.CONCAT("char ",TRIM($B905),"[doc_source] ",CHAR(96),CHAR(34),SUBSTITUTE(SUBSTITUTE(SUBSTITUTE(SUBSTITUTE(SUBSTITUTE(SUBSTITUTE($H905,CHAR(13)," "),CHAR(10)," "),CHAR(9)," "),CHAR(92),_xlfn.CONCAT(CHAR(92),CHAR(92))),"$",_xlfn.CONCAT(CHAR(92),"$")),CHAR(96),_xlfn.CONCAT(CHAR(92),CHAR(96))),CHAR(34),CHAR(39))))</f>
        <v/>
      </c>
      <c r="S905" s="5" t="str">
        <f>IF(OR(TRIM($B905)="",$I905=""),"",IF(OR(ISNUMBER(SEARCH(_xlfn.CONCAT(CHAR(96),CHAR(34)),$I905)),ISNUMBER(SEARCH(_xlfn.CONCAT(CHAR(34),CHAR(39)),$I905))),_xlfn.CONCAT("* REVIEW REQUIRED: compound-quote delimiter in Derivation on Sheet 1 row ",905,"; edit the input before running."),_xlfn.CONCAT("char ",TRIM($B905),"[doc_derivation] ",CHAR(96),CHAR(34),SUBSTITUTE(SUBSTITUTE(SUBSTITUTE(SUBSTITUTE(SUBSTITUTE(SUBSTITUTE($I905,CHAR(13)," "),CHAR(10)," "),CHAR(9)," "),CHAR(92),_xlfn.CONCAT(CHAR(92),CHAR(92))),"$",_xlfn.CONCAT(CHAR(92),"$")),CHAR(96),_xlfn.CONCAT(CHAR(92),CHAR(96))),CHAR(34),CHAR(39))))</f>
        <v/>
      </c>
      <c r="T905" s="5" t="str">
        <f>IF(OR(TRIM($B905)="",$J905=""),"",IF(OR(ISNUMBER(SEARCH(_xlfn.CONCAT(CHAR(96),CHAR(34)),$J905)),ISNUMBER(SEARCH(_xlfn.CONCAT(CHAR(34),CHAR(39)),$J905))),_xlfn.CONCAT("* REVIEW REQUIRED: compound-quote delimiter in Notes on Sheet 1 row ",905,"; edit the input before running."),_xlfn.CONCAT("char ",TRIM($B905),"[doc_notes] ",CHAR(96),CHAR(34),SUBSTITUTE(SUBSTITUTE(SUBSTITUTE(SUBSTITUTE(SUBSTITUTE(SUBSTITUTE($J905,CHAR(13)," "),CHAR(10)," "),CHAR(9)," "),CHAR(92),_xlfn.CONCAT(CHAR(92),CHAR(92))),"$",_xlfn.CONCAT(CHAR(92),"$")),CHAR(96),_xlfn.CONCAT(CHAR(92),CHAR(96))),CHAR(34),CHAR(39))))</f>
        <v/>
      </c>
      <c r="U905" s="5">
        <f t="shared" si="27"/>
        <v>0</v>
      </c>
    </row>
    <row r="906" spans="3:21" ht="30" customHeight="1" x14ac:dyDescent="0.2">
      <c r="C906" s="4"/>
      <c r="K906" s="5">
        <f t="shared" si="26"/>
        <v>0</v>
      </c>
      <c r="L906" s="5" t="str">
        <f>IF(OR(TRIM($B906)="",$A906=""),"",IF(OR(ISNUMBER(SEARCH(_xlfn.CONCAT(CHAR(96),CHAR(34)),$A906)),ISNUMBER(SEARCH(_xlfn.CONCAT(CHAR(34),CHAR(39)),$A906))),_xlfn.CONCAT("* REVIEW REQUIRED: compound-quote delimiter in Codebook Section on Sheet 1 row ",906,"; edit the input before running."),_xlfn.CONCAT("char ",TRIM($B906),"[doc_section] ",CHAR(96),CHAR(34),SUBSTITUTE(SUBSTITUTE(SUBSTITUTE(SUBSTITUTE(SUBSTITUTE(SUBSTITUTE($A906,CHAR(13)," "),CHAR(10)," "),CHAR(9)," "),CHAR(92),_xlfn.CONCAT(CHAR(92),CHAR(92))),"$",_xlfn.CONCAT(CHAR(92),"$")),CHAR(96),_xlfn.CONCAT(CHAR(92),CHAR(96))),CHAR(34),CHAR(39))))</f>
        <v/>
      </c>
      <c r="M906" s="5" t="str">
        <f>IF(OR(TRIM($B906)="",$C906=""),"",IF(IFERROR(MATCH(TRIM($C906),{"Quantitative","Continuous","Discrete","Categorical","Nominal","Ordinal","Identifier"},0),0)=0,_xlfn.CONCAT("* REVIEW REQUIRED: invalid Variable Type on Sheet 1 row ",906,"."),_xlfn.CONCAT("char ",TRIM($B906),"[doc_vartype] ",CHAR(96),CHAR(34),SUBSTITUTE(SUBSTITUTE(SUBSTITUTE(SUBSTITUTE(SUBSTITUTE(SUBSTITUTE(LOWER(TRIM($C906)),CHAR(13)," "),CHAR(10)," "),CHAR(9)," "),CHAR(92),_xlfn.CONCAT(CHAR(92),CHAR(92))),"$",_xlfn.CONCAT(CHAR(92),"$")),CHAR(96),_xlfn.CONCAT(CHAR(92),CHAR(96))),CHAR(34),CHAR(39))))</f>
        <v/>
      </c>
      <c r="N906" s="5" t="str">
        <f>IF(OR(TRIM($B906)="",$D906=""),"",IF(OR(ISNUMBER(SEARCH(_xlfn.CONCAT(CHAR(96),CHAR(34)),$D906)),ISNUMBER(SEARCH(_xlfn.CONCAT(CHAR(34),CHAR(39)),$D906))),_xlfn.CONCAT("* REVIEW REQUIRED: compound-quote delimiter in Item Number on Sheet 1 row ",906,"; edit the input before running."),_xlfn.CONCAT("char ",TRIM($B906),"[doc_itemnum] ",CHAR(96),CHAR(34),SUBSTITUTE(SUBSTITUTE(SUBSTITUTE(SUBSTITUTE(SUBSTITUTE(SUBSTITUTE($D906,CHAR(13)," "),CHAR(10)," "),CHAR(9)," "),CHAR(92),_xlfn.CONCAT(CHAR(92),CHAR(92))),"$",_xlfn.CONCAT(CHAR(92),"$")),CHAR(96),_xlfn.CONCAT(CHAR(92),CHAR(96))),CHAR(34),CHAR(39))))</f>
        <v/>
      </c>
      <c r="O906" s="5" t="str">
        <f>IF(OR(TRIM($B906)="",$E906=""),"",IF(OR(ISNUMBER(SEARCH(_xlfn.CONCAT(CHAR(96),CHAR(34)),$E906)),ISNUMBER(SEARCH(_xlfn.CONCAT(CHAR(34),CHAR(39)),$E906))),_xlfn.CONCAT("* REVIEW REQUIRED: compound-quote delimiter in Question Wording on Sheet 1 row ",906,"; edit the input before running."),_xlfn.CONCAT("char ",TRIM($B906),"[doc_question] ",CHAR(96),CHAR(34),SUBSTITUTE(SUBSTITUTE(SUBSTITUTE(SUBSTITUTE(SUBSTITUTE(SUBSTITUTE($E906,CHAR(13)," "),CHAR(10)," "),CHAR(9)," "),CHAR(92),_xlfn.CONCAT(CHAR(92),CHAR(92))),"$",_xlfn.CONCAT(CHAR(92),"$")),CHAR(96),_xlfn.CONCAT(CHAR(92),CHAR(96))),CHAR(34),CHAR(39))))</f>
        <v/>
      </c>
      <c r="P906" s="5" t="str">
        <f>IF(OR(TRIM($B906)="",$F906=""),"",IF(OR(ISNUMBER(SEARCH(_xlfn.CONCAT(CHAR(96),CHAR(34)),$F906)),ISNUMBER(SEARCH(_xlfn.CONCAT(CHAR(34),CHAR(39)),$F906))),_xlfn.CONCAT("* REVIEW REQUIRED: compound-quote delimiter in Units on Sheet 1 row ",906,"; edit the input before running."),_xlfn.CONCAT("char ",TRIM($B906),"[doc_units] ",CHAR(96),CHAR(34),SUBSTITUTE(SUBSTITUTE(SUBSTITUTE(SUBSTITUTE(SUBSTITUTE(SUBSTITUTE($F906,CHAR(13)," "),CHAR(10)," "),CHAR(9)," "),CHAR(92),_xlfn.CONCAT(CHAR(92),CHAR(92))),"$",_xlfn.CONCAT(CHAR(92),"$")),CHAR(96),_xlfn.CONCAT(CHAR(92),CHAR(96))),CHAR(34),CHAR(39))))</f>
        <v/>
      </c>
      <c r="Q906" s="5" t="str">
        <f>IF(OR(TRIM($B906)="",$G906=""),"",IF(OR(ISNUMBER(SEARCH(_xlfn.CONCAT(CHAR(96),CHAR(34)),$G906)),ISNUMBER(SEARCH(_xlfn.CONCAT(CHAR(34),CHAR(39)),$G906))),_xlfn.CONCAT("* REVIEW REQUIRED: compound-quote delimiter in Universe on Sheet 1 row ",906,"; edit the input before running."),_xlfn.CONCAT("char ",TRIM($B906),"[doc_universe] ",CHAR(96),CHAR(34),SUBSTITUTE(SUBSTITUTE(SUBSTITUTE(SUBSTITUTE(SUBSTITUTE(SUBSTITUTE($G906,CHAR(13)," "),CHAR(10)," "),CHAR(9)," "),CHAR(92),_xlfn.CONCAT(CHAR(92),CHAR(92))),"$",_xlfn.CONCAT(CHAR(92),"$")),CHAR(96),_xlfn.CONCAT(CHAR(92),CHAR(96))),CHAR(34),CHAR(39))))</f>
        <v/>
      </c>
      <c r="R906" s="5" t="str">
        <f>IF(OR(TRIM($B906)="",$H906=""),"",IF(OR(ISNUMBER(SEARCH(_xlfn.CONCAT(CHAR(96),CHAR(34)),$H906)),ISNUMBER(SEARCH(_xlfn.CONCAT(CHAR(34),CHAR(39)),$H906))),_xlfn.CONCAT("* REVIEW REQUIRED: compound-quote delimiter in Source on Sheet 1 row ",906,"; edit the input before running."),_xlfn.CONCAT("char ",TRIM($B906),"[doc_source] ",CHAR(96),CHAR(34),SUBSTITUTE(SUBSTITUTE(SUBSTITUTE(SUBSTITUTE(SUBSTITUTE(SUBSTITUTE($H906,CHAR(13)," "),CHAR(10)," "),CHAR(9)," "),CHAR(92),_xlfn.CONCAT(CHAR(92),CHAR(92))),"$",_xlfn.CONCAT(CHAR(92),"$")),CHAR(96),_xlfn.CONCAT(CHAR(92),CHAR(96))),CHAR(34),CHAR(39))))</f>
        <v/>
      </c>
      <c r="S906" s="5" t="str">
        <f>IF(OR(TRIM($B906)="",$I906=""),"",IF(OR(ISNUMBER(SEARCH(_xlfn.CONCAT(CHAR(96),CHAR(34)),$I906)),ISNUMBER(SEARCH(_xlfn.CONCAT(CHAR(34),CHAR(39)),$I906))),_xlfn.CONCAT("* REVIEW REQUIRED: compound-quote delimiter in Derivation on Sheet 1 row ",906,"; edit the input before running."),_xlfn.CONCAT("char ",TRIM($B906),"[doc_derivation] ",CHAR(96),CHAR(34),SUBSTITUTE(SUBSTITUTE(SUBSTITUTE(SUBSTITUTE(SUBSTITUTE(SUBSTITUTE($I906,CHAR(13)," "),CHAR(10)," "),CHAR(9)," "),CHAR(92),_xlfn.CONCAT(CHAR(92),CHAR(92))),"$",_xlfn.CONCAT(CHAR(92),"$")),CHAR(96),_xlfn.CONCAT(CHAR(92),CHAR(96))),CHAR(34),CHAR(39))))</f>
        <v/>
      </c>
      <c r="T906" s="5" t="str">
        <f>IF(OR(TRIM($B906)="",$J906=""),"",IF(OR(ISNUMBER(SEARCH(_xlfn.CONCAT(CHAR(96),CHAR(34)),$J906)),ISNUMBER(SEARCH(_xlfn.CONCAT(CHAR(34),CHAR(39)),$J906))),_xlfn.CONCAT("* REVIEW REQUIRED: compound-quote delimiter in Notes on Sheet 1 row ",906,"; edit the input before running."),_xlfn.CONCAT("char ",TRIM($B906),"[doc_notes] ",CHAR(96),CHAR(34),SUBSTITUTE(SUBSTITUTE(SUBSTITUTE(SUBSTITUTE(SUBSTITUTE(SUBSTITUTE($J906,CHAR(13)," "),CHAR(10)," "),CHAR(9)," "),CHAR(92),_xlfn.CONCAT(CHAR(92),CHAR(92))),"$",_xlfn.CONCAT(CHAR(92),"$")),CHAR(96),_xlfn.CONCAT(CHAR(92),CHAR(96))),CHAR(34),CHAR(39))))</f>
        <v/>
      </c>
      <c r="U906" s="5">
        <f t="shared" si="27"/>
        <v>0</v>
      </c>
    </row>
    <row r="907" spans="3:21" ht="30" customHeight="1" x14ac:dyDescent="0.2">
      <c r="C907" s="4"/>
      <c r="K907" s="5">
        <f t="shared" si="26"/>
        <v>0</v>
      </c>
      <c r="L907" s="5" t="str">
        <f>IF(OR(TRIM($B907)="",$A907=""),"",IF(OR(ISNUMBER(SEARCH(_xlfn.CONCAT(CHAR(96),CHAR(34)),$A907)),ISNUMBER(SEARCH(_xlfn.CONCAT(CHAR(34),CHAR(39)),$A907))),_xlfn.CONCAT("* REVIEW REQUIRED: compound-quote delimiter in Codebook Section on Sheet 1 row ",907,"; edit the input before running."),_xlfn.CONCAT("char ",TRIM($B907),"[doc_section] ",CHAR(96),CHAR(34),SUBSTITUTE(SUBSTITUTE(SUBSTITUTE(SUBSTITUTE(SUBSTITUTE(SUBSTITUTE($A907,CHAR(13)," "),CHAR(10)," "),CHAR(9)," "),CHAR(92),_xlfn.CONCAT(CHAR(92),CHAR(92))),"$",_xlfn.CONCAT(CHAR(92),"$")),CHAR(96),_xlfn.CONCAT(CHAR(92),CHAR(96))),CHAR(34),CHAR(39))))</f>
        <v/>
      </c>
      <c r="M907" s="5" t="str">
        <f>IF(OR(TRIM($B907)="",$C907=""),"",IF(IFERROR(MATCH(TRIM($C907),{"Quantitative","Continuous","Discrete","Categorical","Nominal","Ordinal","Identifier"},0),0)=0,_xlfn.CONCAT("* REVIEW REQUIRED: invalid Variable Type on Sheet 1 row ",907,"."),_xlfn.CONCAT("char ",TRIM($B907),"[doc_vartype] ",CHAR(96),CHAR(34),SUBSTITUTE(SUBSTITUTE(SUBSTITUTE(SUBSTITUTE(SUBSTITUTE(SUBSTITUTE(LOWER(TRIM($C907)),CHAR(13)," "),CHAR(10)," "),CHAR(9)," "),CHAR(92),_xlfn.CONCAT(CHAR(92),CHAR(92))),"$",_xlfn.CONCAT(CHAR(92),"$")),CHAR(96),_xlfn.CONCAT(CHAR(92),CHAR(96))),CHAR(34),CHAR(39))))</f>
        <v/>
      </c>
      <c r="N907" s="5" t="str">
        <f>IF(OR(TRIM($B907)="",$D907=""),"",IF(OR(ISNUMBER(SEARCH(_xlfn.CONCAT(CHAR(96),CHAR(34)),$D907)),ISNUMBER(SEARCH(_xlfn.CONCAT(CHAR(34),CHAR(39)),$D907))),_xlfn.CONCAT("* REVIEW REQUIRED: compound-quote delimiter in Item Number on Sheet 1 row ",907,"; edit the input before running."),_xlfn.CONCAT("char ",TRIM($B907),"[doc_itemnum] ",CHAR(96),CHAR(34),SUBSTITUTE(SUBSTITUTE(SUBSTITUTE(SUBSTITUTE(SUBSTITUTE(SUBSTITUTE($D907,CHAR(13)," "),CHAR(10)," "),CHAR(9)," "),CHAR(92),_xlfn.CONCAT(CHAR(92),CHAR(92))),"$",_xlfn.CONCAT(CHAR(92),"$")),CHAR(96),_xlfn.CONCAT(CHAR(92),CHAR(96))),CHAR(34),CHAR(39))))</f>
        <v/>
      </c>
      <c r="O907" s="5" t="str">
        <f>IF(OR(TRIM($B907)="",$E907=""),"",IF(OR(ISNUMBER(SEARCH(_xlfn.CONCAT(CHAR(96),CHAR(34)),$E907)),ISNUMBER(SEARCH(_xlfn.CONCAT(CHAR(34),CHAR(39)),$E907))),_xlfn.CONCAT("* REVIEW REQUIRED: compound-quote delimiter in Question Wording on Sheet 1 row ",907,"; edit the input before running."),_xlfn.CONCAT("char ",TRIM($B907),"[doc_question] ",CHAR(96),CHAR(34),SUBSTITUTE(SUBSTITUTE(SUBSTITUTE(SUBSTITUTE(SUBSTITUTE(SUBSTITUTE($E907,CHAR(13)," "),CHAR(10)," "),CHAR(9)," "),CHAR(92),_xlfn.CONCAT(CHAR(92),CHAR(92))),"$",_xlfn.CONCAT(CHAR(92),"$")),CHAR(96),_xlfn.CONCAT(CHAR(92),CHAR(96))),CHAR(34),CHAR(39))))</f>
        <v/>
      </c>
      <c r="P907" s="5" t="str">
        <f>IF(OR(TRIM($B907)="",$F907=""),"",IF(OR(ISNUMBER(SEARCH(_xlfn.CONCAT(CHAR(96),CHAR(34)),$F907)),ISNUMBER(SEARCH(_xlfn.CONCAT(CHAR(34),CHAR(39)),$F907))),_xlfn.CONCAT("* REVIEW REQUIRED: compound-quote delimiter in Units on Sheet 1 row ",907,"; edit the input before running."),_xlfn.CONCAT("char ",TRIM($B907),"[doc_units] ",CHAR(96),CHAR(34),SUBSTITUTE(SUBSTITUTE(SUBSTITUTE(SUBSTITUTE(SUBSTITUTE(SUBSTITUTE($F907,CHAR(13)," "),CHAR(10)," "),CHAR(9)," "),CHAR(92),_xlfn.CONCAT(CHAR(92),CHAR(92))),"$",_xlfn.CONCAT(CHAR(92),"$")),CHAR(96),_xlfn.CONCAT(CHAR(92),CHAR(96))),CHAR(34),CHAR(39))))</f>
        <v/>
      </c>
      <c r="Q907" s="5" t="str">
        <f>IF(OR(TRIM($B907)="",$G907=""),"",IF(OR(ISNUMBER(SEARCH(_xlfn.CONCAT(CHAR(96),CHAR(34)),$G907)),ISNUMBER(SEARCH(_xlfn.CONCAT(CHAR(34),CHAR(39)),$G907))),_xlfn.CONCAT("* REVIEW REQUIRED: compound-quote delimiter in Universe on Sheet 1 row ",907,"; edit the input before running."),_xlfn.CONCAT("char ",TRIM($B907),"[doc_universe] ",CHAR(96),CHAR(34),SUBSTITUTE(SUBSTITUTE(SUBSTITUTE(SUBSTITUTE(SUBSTITUTE(SUBSTITUTE($G907,CHAR(13)," "),CHAR(10)," "),CHAR(9)," "),CHAR(92),_xlfn.CONCAT(CHAR(92),CHAR(92))),"$",_xlfn.CONCAT(CHAR(92),"$")),CHAR(96),_xlfn.CONCAT(CHAR(92),CHAR(96))),CHAR(34),CHAR(39))))</f>
        <v/>
      </c>
      <c r="R907" s="5" t="str">
        <f>IF(OR(TRIM($B907)="",$H907=""),"",IF(OR(ISNUMBER(SEARCH(_xlfn.CONCAT(CHAR(96),CHAR(34)),$H907)),ISNUMBER(SEARCH(_xlfn.CONCAT(CHAR(34),CHAR(39)),$H907))),_xlfn.CONCAT("* REVIEW REQUIRED: compound-quote delimiter in Source on Sheet 1 row ",907,"; edit the input before running."),_xlfn.CONCAT("char ",TRIM($B907),"[doc_source] ",CHAR(96),CHAR(34),SUBSTITUTE(SUBSTITUTE(SUBSTITUTE(SUBSTITUTE(SUBSTITUTE(SUBSTITUTE($H907,CHAR(13)," "),CHAR(10)," "),CHAR(9)," "),CHAR(92),_xlfn.CONCAT(CHAR(92),CHAR(92))),"$",_xlfn.CONCAT(CHAR(92),"$")),CHAR(96),_xlfn.CONCAT(CHAR(92),CHAR(96))),CHAR(34),CHAR(39))))</f>
        <v/>
      </c>
      <c r="S907" s="5" t="str">
        <f>IF(OR(TRIM($B907)="",$I907=""),"",IF(OR(ISNUMBER(SEARCH(_xlfn.CONCAT(CHAR(96),CHAR(34)),$I907)),ISNUMBER(SEARCH(_xlfn.CONCAT(CHAR(34),CHAR(39)),$I907))),_xlfn.CONCAT("* REVIEW REQUIRED: compound-quote delimiter in Derivation on Sheet 1 row ",907,"; edit the input before running."),_xlfn.CONCAT("char ",TRIM($B907),"[doc_derivation] ",CHAR(96),CHAR(34),SUBSTITUTE(SUBSTITUTE(SUBSTITUTE(SUBSTITUTE(SUBSTITUTE(SUBSTITUTE($I907,CHAR(13)," "),CHAR(10)," "),CHAR(9)," "),CHAR(92),_xlfn.CONCAT(CHAR(92),CHAR(92))),"$",_xlfn.CONCAT(CHAR(92),"$")),CHAR(96),_xlfn.CONCAT(CHAR(92),CHAR(96))),CHAR(34),CHAR(39))))</f>
        <v/>
      </c>
      <c r="T907" s="5" t="str">
        <f>IF(OR(TRIM($B907)="",$J907=""),"",IF(OR(ISNUMBER(SEARCH(_xlfn.CONCAT(CHAR(96),CHAR(34)),$J907)),ISNUMBER(SEARCH(_xlfn.CONCAT(CHAR(34),CHAR(39)),$J907))),_xlfn.CONCAT("* REVIEW REQUIRED: compound-quote delimiter in Notes on Sheet 1 row ",907,"; edit the input before running."),_xlfn.CONCAT("char ",TRIM($B907),"[doc_notes] ",CHAR(96),CHAR(34),SUBSTITUTE(SUBSTITUTE(SUBSTITUTE(SUBSTITUTE(SUBSTITUTE(SUBSTITUTE($J907,CHAR(13)," "),CHAR(10)," "),CHAR(9)," "),CHAR(92),_xlfn.CONCAT(CHAR(92),CHAR(92))),"$",_xlfn.CONCAT(CHAR(92),"$")),CHAR(96),_xlfn.CONCAT(CHAR(92),CHAR(96))),CHAR(34),CHAR(39))))</f>
        <v/>
      </c>
      <c r="U907" s="5">
        <f t="shared" si="27"/>
        <v>0</v>
      </c>
    </row>
    <row r="908" spans="3:21" ht="30" customHeight="1" x14ac:dyDescent="0.2">
      <c r="C908" s="4"/>
      <c r="K908" s="5">
        <f t="shared" si="26"/>
        <v>0</v>
      </c>
      <c r="L908" s="5" t="str">
        <f>IF(OR(TRIM($B908)="",$A908=""),"",IF(OR(ISNUMBER(SEARCH(_xlfn.CONCAT(CHAR(96),CHAR(34)),$A908)),ISNUMBER(SEARCH(_xlfn.CONCAT(CHAR(34),CHAR(39)),$A908))),_xlfn.CONCAT("* REVIEW REQUIRED: compound-quote delimiter in Codebook Section on Sheet 1 row ",908,"; edit the input before running."),_xlfn.CONCAT("char ",TRIM($B908),"[doc_section] ",CHAR(96),CHAR(34),SUBSTITUTE(SUBSTITUTE(SUBSTITUTE(SUBSTITUTE(SUBSTITUTE(SUBSTITUTE($A908,CHAR(13)," "),CHAR(10)," "),CHAR(9)," "),CHAR(92),_xlfn.CONCAT(CHAR(92),CHAR(92))),"$",_xlfn.CONCAT(CHAR(92),"$")),CHAR(96),_xlfn.CONCAT(CHAR(92),CHAR(96))),CHAR(34),CHAR(39))))</f>
        <v/>
      </c>
      <c r="M908" s="5" t="str">
        <f>IF(OR(TRIM($B908)="",$C908=""),"",IF(IFERROR(MATCH(TRIM($C908),{"Quantitative","Continuous","Discrete","Categorical","Nominal","Ordinal","Identifier"},0),0)=0,_xlfn.CONCAT("* REVIEW REQUIRED: invalid Variable Type on Sheet 1 row ",908,"."),_xlfn.CONCAT("char ",TRIM($B908),"[doc_vartype] ",CHAR(96),CHAR(34),SUBSTITUTE(SUBSTITUTE(SUBSTITUTE(SUBSTITUTE(SUBSTITUTE(SUBSTITUTE(LOWER(TRIM($C908)),CHAR(13)," "),CHAR(10)," "),CHAR(9)," "),CHAR(92),_xlfn.CONCAT(CHAR(92),CHAR(92))),"$",_xlfn.CONCAT(CHAR(92),"$")),CHAR(96),_xlfn.CONCAT(CHAR(92),CHAR(96))),CHAR(34),CHAR(39))))</f>
        <v/>
      </c>
      <c r="N908" s="5" t="str">
        <f>IF(OR(TRIM($B908)="",$D908=""),"",IF(OR(ISNUMBER(SEARCH(_xlfn.CONCAT(CHAR(96),CHAR(34)),$D908)),ISNUMBER(SEARCH(_xlfn.CONCAT(CHAR(34),CHAR(39)),$D908))),_xlfn.CONCAT("* REVIEW REQUIRED: compound-quote delimiter in Item Number on Sheet 1 row ",908,"; edit the input before running."),_xlfn.CONCAT("char ",TRIM($B908),"[doc_itemnum] ",CHAR(96),CHAR(34),SUBSTITUTE(SUBSTITUTE(SUBSTITUTE(SUBSTITUTE(SUBSTITUTE(SUBSTITUTE($D908,CHAR(13)," "),CHAR(10)," "),CHAR(9)," "),CHAR(92),_xlfn.CONCAT(CHAR(92),CHAR(92))),"$",_xlfn.CONCAT(CHAR(92),"$")),CHAR(96),_xlfn.CONCAT(CHAR(92),CHAR(96))),CHAR(34),CHAR(39))))</f>
        <v/>
      </c>
      <c r="O908" s="5" t="str">
        <f>IF(OR(TRIM($B908)="",$E908=""),"",IF(OR(ISNUMBER(SEARCH(_xlfn.CONCAT(CHAR(96),CHAR(34)),$E908)),ISNUMBER(SEARCH(_xlfn.CONCAT(CHAR(34),CHAR(39)),$E908))),_xlfn.CONCAT("* REVIEW REQUIRED: compound-quote delimiter in Question Wording on Sheet 1 row ",908,"; edit the input before running."),_xlfn.CONCAT("char ",TRIM($B908),"[doc_question] ",CHAR(96),CHAR(34),SUBSTITUTE(SUBSTITUTE(SUBSTITUTE(SUBSTITUTE(SUBSTITUTE(SUBSTITUTE($E908,CHAR(13)," "),CHAR(10)," "),CHAR(9)," "),CHAR(92),_xlfn.CONCAT(CHAR(92),CHAR(92))),"$",_xlfn.CONCAT(CHAR(92),"$")),CHAR(96),_xlfn.CONCAT(CHAR(92),CHAR(96))),CHAR(34),CHAR(39))))</f>
        <v/>
      </c>
      <c r="P908" s="5" t="str">
        <f>IF(OR(TRIM($B908)="",$F908=""),"",IF(OR(ISNUMBER(SEARCH(_xlfn.CONCAT(CHAR(96),CHAR(34)),$F908)),ISNUMBER(SEARCH(_xlfn.CONCAT(CHAR(34),CHAR(39)),$F908))),_xlfn.CONCAT("* REVIEW REQUIRED: compound-quote delimiter in Units on Sheet 1 row ",908,"; edit the input before running."),_xlfn.CONCAT("char ",TRIM($B908),"[doc_units] ",CHAR(96),CHAR(34),SUBSTITUTE(SUBSTITUTE(SUBSTITUTE(SUBSTITUTE(SUBSTITUTE(SUBSTITUTE($F908,CHAR(13)," "),CHAR(10)," "),CHAR(9)," "),CHAR(92),_xlfn.CONCAT(CHAR(92),CHAR(92))),"$",_xlfn.CONCAT(CHAR(92),"$")),CHAR(96),_xlfn.CONCAT(CHAR(92),CHAR(96))),CHAR(34),CHAR(39))))</f>
        <v/>
      </c>
      <c r="Q908" s="5" t="str">
        <f>IF(OR(TRIM($B908)="",$G908=""),"",IF(OR(ISNUMBER(SEARCH(_xlfn.CONCAT(CHAR(96),CHAR(34)),$G908)),ISNUMBER(SEARCH(_xlfn.CONCAT(CHAR(34),CHAR(39)),$G908))),_xlfn.CONCAT("* REVIEW REQUIRED: compound-quote delimiter in Universe on Sheet 1 row ",908,"; edit the input before running."),_xlfn.CONCAT("char ",TRIM($B908),"[doc_universe] ",CHAR(96),CHAR(34),SUBSTITUTE(SUBSTITUTE(SUBSTITUTE(SUBSTITUTE(SUBSTITUTE(SUBSTITUTE($G908,CHAR(13)," "),CHAR(10)," "),CHAR(9)," "),CHAR(92),_xlfn.CONCAT(CHAR(92),CHAR(92))),"$",_xlfn.CONCAT(CHAR(92),"$")),CHAR(96),_xlfn.CONCAT(CHAR(92),CHAR(96))),CHAR(34),CHAR(39))))</f>
        <v/>
      </c>
      <c r="R908" s="5" t="str">
        <f>IF(OR(TRIM($B908)="",$H908=""),"",IF(OR(ISNUMBER(SEARCH(_xlfn.CONCAT(CHAR(96),CHAR(34)),$H908)),ISNUMBER(SEARCH(_xlfn.CONCAT(CHAR(34),CHAR(39)),$H908))),_xlfn.CONCAT("* REVIEW REQUIRED: compound-quote delimiter in Source on Sheet 1 row ",908,"; edit the input before running."),_xlfn.CONCAT("char ",TRIM($B908),"[doc_source] ",CHAR(96),CHAR(34),SUBSTITUTE(SUBSTITUTE(SUBSTITUTE(SUBSTITUTE(SUBSTITUTE(SUBSTITUTE($H908,CHAR(13)," "),CHAR(10)," "),CHAR(9)," "),CHAR(92),_xlfn.CONCAT(CHAR(92),CHAR(92))),"$",_xlfn.CONCAT(CHAR(92),"$")),CHAR(96),_xlfn.CONCAT(CHAR(92),CHAR(96))),CHAR(34),CHAR(39))))</f>
        <v/>
      </c>
      <c r="S908" s="5" t="str">
        <f>IF(OR(TRIM($B908)="",$I908=""),"",IF(OR(ISNUMBER(SEARCH(_xlfn.CONCAT(CHAR(96),CHAR(34)),$I908)),ISNUMBER(SEARCH(_xlfn.CONCAT(CHAR(34),CHAR(39)),$I908))),_xlfn.CONCAT("* REVIEW REQUIRED: compound-quote delimiter in Derivation on Sheet 1 row ",908,"; edit the input before running."),_xlfn.CONCAT("char ",TRIM($B908),"[doc_derivation] ",CHAR(96),CHAR(34),SUBSTITUTE(SUBSTITUTE(SUBSTITUTE(SUBSTITUTE(SUBSTITUTE(SUBSTITUTE($I908,CHAR(13)," "),CHAR(10)," "),CHAR(9)," "),CHAR(92),_xlfn.CONCAT(CHAR(92),CHAR(92))),"$",_xlfn.CONCAT(CHAR(92),"$")),CHAR(96),_xlfn.CONCAT(CHAR(92),CHAR(96))),CHAR(34),CHAR(39))))</f>
        <v/>
      </c>
      <c r="T908" s="5" t="str">
        <f>IF(OR(TRIM($B908)="",$J908=""),"",IF(OR(ISNUMBER(SEARCH(_xlfn.CONCAT(CHAR(96),CHAR(34)),$J908)),ISNUMBER(SEARCH(_xlfn.CONCAT(CHAR(34),CHAR(39)),$J908))),_xlfn.CONCAT("* REVIEW REQUIRED: compound-quote delimiter in Notes on Sheet 1 row ",908,"; edit the input before running."),_xlfn.CONCAT("char ",TRIM($B908),"[doc_notes] ",CHAR(96),CHAR(34),SUBSTITUTE(SUBSTITUTE(SUBSTITUTE(SUBSTITUTE(SUBSTITUTE(SUBSTITUTE($J908,CHAR(13)," "),CHAR(10)," "),CHAR(9)," "),CHAR(92),_xlfn.CONCAT(CHAR(92),CHAR(92))),"$",_xlfn.CONCAT(CHAR(92),"$")),CHAR(96),_xlfn.CONCAT(CHAR(92),CHAR(96))),CHAR(34),CHAR(39))))</f>
        <v/>
      </c>
      <c r="U908" s="5">
        <f t="shared" si="27"/>
        <v>0</v>
      </c>
    </row>
    <row r="909" spans="3:21" ht="30" customHeight="1" x14ac:dyDescent="0.2">
      <c r="C909" s="4"/>
      <c r="K909" s="5">
        <f t="shared" si="26"/>
        <v>0</v>
      </c>
      <c r="L909" s="5" t="str">
        <f>IF(OR(TRIM($B909)="",$A909=""),"",IF(OR(ISNUMBER(SEARCH(_xlfn.CONCAT(CHAR(96),CHAR(34)),$A909)),ISNUMBER(SEARCH(_xlfn.CONCAT(CHAR(34),CHAR(39)),$A909))),_xlfn.CONCAT("* REVIEW REQUIRED: compound-quote delimiter in Codebook Section on Sheet 1 row ",909,"; edit the input before running."),_xlfn.CONCAT("char ",TRIM($B909),"[doc_section] ",CHAR(96),CHAR(34),SUBSTITUTE(SUBSTITUTE(SUBSTITUTE(SUBSTITUTE(SUBSTITUTE(SUBSTITUTE($A909,CHAR(13)," "),CHAR(10)," "),CHAR(9)," "),CHAR(92),_xlfn.CONCAT(CHAR(92),CHAR(92))),"$",_xlfn.CONCAT(CHAR(92),"$")),CHAR(96),_xlfn.CONCAT(CHAR(92),CHAR(96))),CHAR(34),CHAR(39))))</f>
        <v/>
      </c>
      <c r="M909" s="5" t="str">
        <f>IF(OR(TRIM($B909)="",$C909=""),"",IF(IFERROR(MATCH(TRIM($C909),{"Quantitative","Continuous","Discrete","Categorical","Nominal","Ordinal","Identifier"},0),0)=0,_xlfn.CONCAT("* REVIEW REQUIRED: invalid Variable Type on Sheet 1 row ",909,"."),_xlfn.CONCAT("char ",TRIM($B909),"[doc_vartype] ",CHAR(96),CHAR(34),SUBSTITUTE(SUBSTITUTE(SUBSTITUTE(SUBSTITUTE(SUBSTITUTE(SUBSTITUTE(LOWER(TRIM($C909)),CHAR(13)," "),CHAR(10)," "),CHAR(9)," "),CHAR(92),_xlfn.CONCAT(CHAR(92),CHAR(92))),"$",_xlfn.CONCAT(CHAR(92),"$")),CHAR(96),_xlfn.CONCAT(CHAR(92),CHAR(96))),CHAR(34),CHAR(39))))</f>
        <v/>
      </c>
      <c r="N909" s="5" t="str">
        <f>IF(OR(TRIM($B909)="",$D909=""),"",IF(OR(ISNUMBER(SEARCH(_xlfn.CONCAT(CHAR(96),CHAR(34)),$D909)),ISNUMBER(SEARCH(_xlfn.CONCAT(CHAR(34),CHAR(39)),$D909))),_xlfn.CONCAT("* REVIEW REQUIRED: compound-quote delimiter in Item Number on Sheet 1 row ",909,"; edit the input before running."),_xlfn.CONCAT("char ",TRIM($B909),"[doc_itemnum] ",CHAR(96),CHAR(34),SUBSTITUTE(SUBSTITUTE(SUBSTITUTE(SUBSTITUTE(SUBSTITUTE(SUBSTITUTE($D909,CHAR(13)," "),CHAR(10)," "),CHAR(9)," "),CHAR(92),_xlfn.CONCAT(CHAR(92),CHAR(92))),"$",_xlfn.CONCAT(CHAR(92),"$")),CHAR(96),_xlfn.CONCAT(CHAR(92),CHAR(96))),CHAR(34),CHAR(39))))</f>
        <v/>
      </c>
      <c r="O909" s="5" t="str">
        <f>IF(OR(TRIM($B909)="",$E909=""),"",IF(OR(ISNUMBER(SEARCH(_xlfn.CONCAT(CHAR(96),CHAR(34)),$E909)),ISNUMBER(SEARCH(_xlfn.CONCAT(CHAR(34),CHAR(39)),$E909))),_xlfn.CONCAT("* REVIEW REQUIRED: compound-quote delimiter in Question Wording on Sheet 1 row ",909,"; edit the input before running."),_xlfn.CONCAT("char ",TRIM($B909),"[doc_question] ",CHAR(96),CHAR(34),SUBSTITUTE(SUBSTITUTE(SUBSTITUTE(SUBSTITUTE(SUBSTITUTE(SUBSTITUTE($E909,CHAR(13)," "),CHAR(10)," "),CHAR(9)," "),CHAR(92),_xlfn.CONCAT(CHAR(92),CHAR(92))),"$",_xlfn.CONCAT(CHAR(92),"$")),CHAR(96),_xlfn.CONCAT(CHAR(92),CHAR(96))),CHAR(34),CHAR(39))))</f>
        <v/>
      </c>
      <c r="P909" s="5" t="str">
        <f>IF(OR(TRIM($B909)="",$F909=""),"",IF(OR(ISNUMBER(SEARCH(_xlfn.CONCAT(CHAR(96),CHAR(34)),$F909)),ISNUMBER(SEARCH(_xlfn.CONCAT(CHAR(34),CHAR(39)),$F909))),_xlfn.CONCAT("* REVIEW REQUIRED: compound-quote delimiter in Units on Sheet 1 row ",909,"; edit the input before running."),_xlfn.CONCAT("char ",TRIM($B909),"[doc_units] ",CHAR(96),CHAR(34),SUBSTITUTE(SUBSTITUTE(SUBSTITUTE(SUBSTITUTE(SUBSTITUTE(SUBSTITUTE($F909,CHAR(13)," "),CHAR(10)," "),CHAR(9)," "),CHAR(92),_xlfn.CONCAT(CHAR(92),CHAR(92))),"$",_xlfn.CONCAT(CHAR(92),"$")),CHAR(96),_xlfn.CONCAT(CHAR(92),CHAR(96))),CHAR(34),CHAR(39))))</f>
        <v/>
      </c>
      <c r="Q909" s="5" t="str">
        <f>IF(OR(TRIM($B909)="",$G909=""),"",IF(OR(ISNUMBER(SEARCH(_xlfn.CONCAT(CHAR(96),CHAR(34)),$G909)),ISNUMBER(SEARCH(_xlfn.CONCAT(CHAR(34),CHAR(39)),$G909))),_xlfn.CONCAT("* REVIEW REQUIRED: compound-quote delimiter in Universe on Sheet 1 row ",909,"; edit the input before running."),_xlfn.CONCAT("char ",TRIM($B909),"[doc_universe] ",CHAR(96),CHAR(34),SUBSTITUTE(SUBSTITUTE(SUBSTITUTE(SUBSTITUTE(SUBSTITUTE(SUBSTITUTE($G909,CHAR(13)," "),CHAR(10)," "),CHAR(9)," "),CHAR(92),_xlfn.CONCAT(CHAR(92),CHAR(92))),"$",_xlfn.CONCAT(CHAR(92),"$")),CHAR(96),_xlfn.CONCAT(CHAR(92),CHAR(96))),CHAR(34),CHAR(39))))</f>
        <v/>
      </c>
      <c r="R909" s="5" t="str">
        <f>IF(OR(TRIM($B909)="",$H909=""),"",IF(OR(ISNUMBER(SEARCH(_xlfn.CONCAT(CHAR(96),CHAR(34)),$H909)),ISNUMBER(SEARCH(_xlfn.CONCAT(CHAR(34),CHAR(39)),$H909))),_xlfn.CONCAT("* REVIEW REQUIRED: compound-quote delimiter in Source on Sheet 1 row ",909,"; edit the input before running."),_xlfn.CONCAT("char ",TRIM($B909),"[doc_source] ",CHAR(96),CHAR(34),SUBSTITUTE(SUBSTITUTE(SUBSTITUTE(SUBSTITUTE(SUBSTITUTE(SUBSTITUTE($H909,CHAR(13)," "),CHAR(10)," "),CHAR(9)," "),CHAR(92),_xlfn.CONCAT(CHAR(92),CHAR(92))),"$",_xlfn.CONCAT(CHAR(92),"$")),CHAR(96),_xlfn.CONCAT(CHAR(92),CHAR(96))),CHAR(34),CHAR(39))))</f>
        <v/>
      </c>
      <c r="S909" s="5" t="str">
        <f>IF(OR(TRIM($B909)="",$I909=""),"",IF(OR(ISNUMBER(SEARCH(_xlfn.CONCAT(CHAR(96),CHAR(34)),$I909)),ISNUMBER(SEARCH(_xlfn.CONCAT(CHAR(34),CHAR(39)),$I909))),_xlfn.CONCAT("* REVIEW REQUIRED: compound-quote delimiter in Derivation on Sheet 1 row ",909,"; edit the input before running."),_xlfn.CONCAT("char ",TRIM($B909),"[doc_derivation] ",CHAR(96),CHAR(34),SUBSTITUTE(SUBSTITUTE(SUBSTITUTE(SUBSTITUTE(SUBSTITUTE(SUBSTITUTE($I909,CHAR(13)," "),CHAR(10)," "),CHAR(9)," "),CHAR(92),_xlfn.CONCAT(CHAR(92),CHAR(92))),"$",_xlfn.CONCAT(CHAR(92),"$")),CHAR(96),_xlfn.CONCAT(CHAR(92),CHAR(96))),CHAR(34),CHAR(39))))</f>
        <v/>
      </c>
      <c r="T909" s="5" t="str">
        <f>IF(OR(TRIM($B909)="",$J909=""),"",IF(OR(ISNUMBER(SEARCH(_xlfn.CONCAT(CHAR(96),CHAR(34)),$J909)),ISNUMBER(SEARCH(_xlfn.CONCAT(CHAR(34),CHAR(39)),$J909))),_xlfn.CONCAT("* REVIEW REQUIRED: compound-quote delimiter in Notes on Sheet 1 row ",909,"; edit the input before running."),_xlfn.CONCAT("char ",TRIM($B909),"[doc_notes] ",CHAR(96),CHAR(34),SUBSTITUTE(SUBSTITUTE(SUBSTITUTE(SUBSTITUTE(SUBSTITUTE(SUBSTITUTE($J909,CHAR(13)," "),CHAR(10)," "),CHAR(9)," "),CHAR(92),_xlfn.CONCAT(CHAR(92),CHAR(92))),"$",_xlfn.CONCAT(CHAR(92),"$")),CHAR(96),_xlfn.CONCAT(CHAR(92),CHAR(96))),CHAR(34),CHAR(39))))</f>
        <v/>
      </c>
      <c r="U909" s="5">
        <f t="shared" si="27"/>
        <v>0</v>
      </c>
    </row>
    <row r="910" spans="3:21" ht="30" customHeight="1" x14ac:dyDescent="0.2">
      <c r="C910" s="4"/>
      <c r="K910" s="5">
        <f t="shared" si="26"/>
        <v>0</v>
      </c>
      <c r="L910" s="5" t="str">
        <f>IF(OR(TRIM($B910)="",$A910=""),"",IF(OR(ISNUMBER(SEARCH(_xlfn.CONCAT(CHAR(96),CHAR(34)),$A910)),ISNUMBER(SEARCH(_xlfn.CONCAT(CHAR(34),CHAR(39)),$A910))),_xlfn.CONCAT("* REVIEW REQUIRED: compound-quote delimiter in Codebook Section on Sheet 1 row ",910,"; edit the input before running."),_xlfn.CONCAT("char ",TRIM($B910),"[doc_section] ",CHAR(96),CHAR(34),SUBSTITUTE(SUBSTITUTE(SUBSTITUTE(SUBSTITUTE(SUBSTITUTE(SUBSTITUTE($A910,CHAR(13)," "),CHAR(10)," "),CHAR(9)," "),CHAR(92),_xlfn.CONCAT(CHAR(92),CHAR(92))),"$",_xlfn.CONCAT(CHAR(92),"$")),CHAR(96),_xlfn.CONCAT(CHAR(92),CHAR(96))),CHAR(34),CHAR(39))))</f>
        <v/>
      </c>
      <c r="M910" s="5" t="str">
        <f>IF(OR(TRIM($B910)="",$C910=""),"",IF(IFERROR(MATCH(TRIM($C910),{"Quantitative","Continuous","Discrete","Categorical","Nominal","Ordinal","Identifier"},0),0)=0,_xlfn.CONCAT("* REVIEW REQUIRED: invalid Variable Type on Sheet 1 row ",910,"."),_xlfn.CONCAT("char ",TRIM($B910),"[doc_vartype] ",CHAR(96),CHAR(34),SUBSTITUTE(SUBSTITUTE(SUBSTITUTE(SUBSTITUTE(SUBSTITUTE(SUBSTITUTE(LOWER(TRIM($C910)),CHAR(13)," "),CHAR(10)," "),CHAR(9)," "),CHAR(92),_xlfn.CONCAT(CHAR(92),CHAR(92))),"$",_xlfn.CONCAT(CHAR(92),"$")),CHAR(96),_xlfn.CONCAT(CHAR(92),CHAR(96))),CHAR(34),CHAR(39))))</f>
        <v/>
      </c>
      <c r="N910" s="5" t="str">
        <f>IF(OR(TRIM($B910)="",$D910=""),"",IF(OR(ISNUMBER(SEARCH(_xlfn.CONCAT(CHAR(96),CHAR(34)),$D910)),ISNUMBER(SEARCH(_xlfn.CONCAT(CHAR(34),CHAR(39)),$D910))),_xlfn.CONCAT("* REVIEW REQUIRED: compound-quote delimiter in Item Number on Sheet 1 row ",910,"; edit the input before running."),_xlfn.CONCAT("char ",TRIM($B910),"[doc_itemnum] ",CHAR(96),CHAR(34),SUBSTITUTE(SUBSTITUTE(SUBSTITUTE(SUBSTITUTE(SUBSTITUTE(SUBSTITUTE($D910,CHAR(13)," "),CHAR(10)," "),CHAR(9)," "),CHAR(92),_xlfn.CONCAT(CHAR(92),CHAR(92))),"$",_xlfn.CONCAT(CHAR(92),"$")),CHAR(96),_xlfn.CONCAT(CHAR(92),CHAR(96))),CHAR(34),CHAR(39))))</f>
        <v/>
      </c>
      <c r="O910" s="5" t="str">
        <f>IF(OR(TRIM($B910)="",$E910=""),"",IF(OR(ISNUMBER(SEARCH(_xlfn.CONCAT(CHAR(96),CHAR(34)),$E910)),ISNUMBER(SEARCH(_xlfn.CONCAT(CHAR(34),CHAR(39)),$E910))),_xlfn.CONCAT("* REVIEW REQUIRED: compound-quote delimiter in Question Wording on Sheet 1 row ",910,"; edit the input before running."),_xlfn.CONCAT("char ",TRIM($B910),"[doc_question] ",CHAR(96),CHAR(34),SUBSTITUTE(SUBSTITUTE(SUBSTITUTE(SUBSTITUTE(SUBSTITUTE(SUBSTITUTE($E910,CHAR(13)," "),CHAR(10)," "),CHAR(9)," "),CHAR(92),_xlfn.CONCAT(CHAR(92),CHAR(92))),"$",_xlfn.CONCAT(CHAR(92),"$")),CHAR(96),_xlfn.CONCAT(CHAR(92),CHAR(96))),CHAR(34),CHAR(39))))</f>
        <v/>
      </c>
      <c r="P910" s="5" t="str">
        <f>IF(OR(TRIM($B910)="",$F910=""),"",IF(OR(ISNUMBER(SEARCH(_xlfn.CONCAT(CHAR(96),CHAR(34)),$F910)),ISNUMBER(SEARCH(_xlfn.CONCAT(CHAR(34),CHAR(39)),$F910))),_xlfn.CONCAT("* REVIEW REQUIRED: compound-quote delimiter in Units on Sheet 1 row ",910,"; edit the input before running."),_xlfn.CONCAT("char ",TRIM($B910),"[doc_units] ",CHAR(96),CHAR(34),SUBSTITUTE(SUBSTITUTE(SUBSTITUTE(SUBSTITUTE(SUBSTITUTE(SUBSTITUTE($F910,CHAR(13)," "),CHAR(10)," "),CHAR(9)," "),CHAR(92),_xlfn.CONCAT(CHAR(92),CHAR(92))),"$",_xlfn.CONCAT(CHAR(92),"$")),CHAR(96),_xlfn.CONCAT(CHAR(92),CHAR(96))),CHAR(34),CHAR(39))))</f>
        <v/>
      </c>
      <c r="Q910" s="5" t="str">
        <f>IF(OR(TRIM($B910)="",$G910=""),"",IF(OR(ISNUMBER(SEARCH(_xlfn.CONCAT(CHAR(96),CHAR(34)),$G910)),ISNUMBER(SEARCH(_xlfn.CONCAT(CHAR(34),CHAR(39)),$G910))),_xlfn.CONCAT("* REVIEW REQUIRED: compound-quote delimiter in Universe on Sheet 1 row ",910,"; edit the input before running."),_xlfn.CONCAT("char ",TRIM($B910),"[doc_universe] ",CHAR(96),CHAR(34),SUBSTITUTE(SUBSTITUTE(SUBSTITUTE(SUBSTITUTE(SUBSTITUTE(SUBSTITUTE($G910,CHAR(13)," "),CHAR(10)," "),CHAR(9)," "),CHAR(92),_xlfn.CONCAT(CHAR(92),CHAR(92))),"$",_xlfn.CONCAT(CHAR(92),"$")),CHAR(96),_xlfn.CONCAT(CHAR(92),CHAR(96))),CHAR(34),CHAR(39))))</f>
        <v/>
      </c>
      <c r="R910" s="5" t="str">
        <f>IF(OR(TRIM($B910)="",$H910=""),"",IF(OR(ISNUMBER(SEARCH(_xlfn.CONCAT(CHAR(96),CHAR(34)),$H910)),ISNUMBER(SEARCH(_xlfn.CONCAT(CHAR(34),CHAR(39)),$H910))),_xlfn.CONCAT("* REVIEW REQUIRED: compound-quote delimiter in Source on Sheet 1 row ",910,"; edit the input before running."),_xlfn.CONCAT("char ",TRIM($B910),"[doc_source] ",CHAR(96),CHAR(34),SUBSTITUTE(SUBSTITUTE(SUBSTITUTE(SUBSTITUTE(SUBSTITUTE(SUBSTITUTE($H910,CHAR(13)," "),CHAR(10)," "),CHAR(9)," "),CHAR(92),_xlfn.CONCAT(CHAR(92),CHAR(92))),"$",_xlfn.CONCAT(CHAR(92),"$")),CHAR(96),_xlfn.CONCAT(CHAR(92),CHAR(96))),CHAR(34),CHAR(39))))</f>
        <v/>
      </c>
      <c r="S910" s="5" t="str">
        <f>IF(OR(TRIM($B910)="",$I910=""),"",IF(OR(ISNUMBER(SEARCH(_xlfn.CONCAT(CHAR(96),CHAR(34)),$I910)),ISNUMBER(SEARCH(_xlfn.CONCAT(CHAR(34),CHAR(39)),$I910))),_xlfn.CONCAT("* REVIEW REQUIRED: compound-quote delimiter in Derivation on Sheet 1 row ",910,"; edit the input before running."),_xlfn.CONCAT("char ",TRIM($B910),"[doc_derivation] ",CHAR(96),CHAR(34),SUBSTITUTE(SUBSTITUTE(SUBSTITUTE(SUBSTITUTE(SUBSTITUTE(SUBSTITUTE($I910,CHAR(13)," "),CHAR(10)," "),CHAR(9)," "),CHAR(92),_xlfn.CONCAT(CHAR(92),CHAR(92))),"$",_xlfn.CONCAT(CHAR(92),"$")),CHAR(96),_xlfn.CONCAT(CHAR(92),CHAR(96))),CHAR(34),CHAR(39))))</f>
        <v/>
      </c>
      <c r="T910" s="5" t="str">
        <f>IF(OR(TRIM($B910)="",$J910=""),"",IF(OR(ISNUMBER(SEARCH(_xlfn.CONCAT(CHAR(96),CHAR(34)),$J910)),ISNUMBER(SEARCH(_xlfn.CONCAT(CHAR(34),CHAR(39)),$J910))),_xlfn.CONCAT("* REVIEW REQUIRED: compound-quote delimiter in Notes on Sheet 1 row ",910,"; edit the input before running."),_xlfn.CONCAT("char ",TRIM($B910),"[doc_notes] ",CHAR(96),CHAR(34),SUBSTITUTE(SUBSTITUTE(SUBSTITUTE(SUBSTITUTE(SUBSTITUTE(SUBSTITUTE($J910,CHAR(13)," "),CHAR(10)," "),CHAR(9)," "),CHAR(92),_xlfn.CONCAT(CHAR(92),CHAR(92))),"$",_xlfn.CONCAT(CHAR(92),"$")),CHAR(96),_xlfn.CONCAT(CHAR(92),CHAR(96))),CHAR(34),CHAR(39))))</f>
        <v/>
      </c>
      <c r="U910" s="5">
        <f t="shared" si="27"/>
        <v>0</v>
      </c>
    </row>
    <row r="911" spans="3:21" ht="30" customHeight="1" x14ac:dyDescent="0.2">
      <c r="C911" s="4"/>
      <c r="K911" s="5">
        <f t="shared" si="26"/>
        <v>0</v>
      </c>
      <c r="L911" s="5" t="str">
        <f>IF(OR(TRIM($B911)="",$A911=""),"",IF(OR(ISNUMBER(SEARCH(_xlfn.CONCAT(CHAR(96),CHAR(34)),$A911)),ISNUMBER(SEARCH(_xlfn.CONCAT(CHAR(34),CHAR(39)),$A911))),_xlfn.CONCAT("* REVIEW REQUIRED: compound-quote delimiter in Codebook Section on Sheet 1 row ",911,"; edit the input before running."),_xlfn.CONCAT("char ",TRIM($B911),"[doc_section] ",CHAR(96),CHAR(34),SUBSTITUTE(SUBSTITUTE(SUBSTITUTE(SUBSTITUTE(SUBSTITUTE(SUBSTITUTE($A911,CHAR(13)," "),CHAR(10)," "),CHAR(9)," "),CHAR(92),_xlfn.CONCAT(CHAR(92),CHAR(92))),"$",_xlfn.CONCAT(CHAR(92),"$")),CHAR(96),_xlfn.CONCAT(CHAR(92),CHAR(96))),CHAR(34),CHAR(39))))</f>
        <v/>
      </c>
      <c r="M911" s="5" t="str">
        <f>IF(OR(TRIM($B911)="",$C911=""),"",IF(IFERROR(MATCH(TRIM($C911),{"Quantitative","Continuous","Discrete","Categorical","Nominal","Ordinal","Identifier"},0),0)=0,_xlfn.CONCAT("* REVIEW REQUIRED: invalid Variable Type on Sheet 1 row ",911,"."),_xlfn.CONCAT("char ",TRIM($B911),"[doc_vartype] ",CHAR(96),CHAR(34),SUBSTITUTE(SUBSTITUTE(SUBSTITUTE(SUBSTITUTE(SUBSTITUTE(SUBSTITUTE(LOWER(TRIM($C911)),CHAR(13)," "),CHAR(10)," "),CHAR(9)," "),CHAR(92),_xlfn.CONCAT(CHAR(92),CHAR(92))),"$",_xlfn.CONCAT(CHAR(92),"$")),CHAR(96),_xlfn.CONCAT(CHAR(92),CHAR(96))),CHAR(34),CHAR(39))))</f>
        <v/>
      </c>
      <c r="N911" s="5" t="str">
        <f>IF(OR(TRIM($B911)="",$D911=""),"",IF(OR(ISNUMBER(SEARCH(_xlfn.CONCAT(CHAR(96),CHAR(34)),$D911)),ISNUMBER(SEARCH(_xlfn.CONCAT(CHAR(34),CHAR(39)),$D911))),_xlfn.CONCAT("* REVIEW REQUIRED: compound-quote delimiter in Item Number on Sheet 1 row ",911,"; edit the input before running."),_xlfn.CONCAT("char ",TRIM($B911),"[doc_itemnum] ",CHAR(96),CHAR(34),SUBSTITUTE(SUBSTITUTE(SUBSTITUTE(SUBSTITUTE(SUBSTITUTE(SUBSTITUTE($D911,CHAR(13)," "),CHAR(10)," "),CHAR(9)," "),CHAR(92),_xlfn.CONCAT(CHAR(92),CHAR(92))),"$",_xlfn.CONCAT(CHAR(92),"$")),CHAR(96),_xlfn.CONCAT(CHAR(92),CHAR(96))),CHAR(34),CHAR(39))))</f>
        <v/>
      </c>
      <c r="O911" s="5" t="str">
        <f>IF(OR(TRIM($B911)="",$E911=""),"",IF(OR(ISNUMBER(SEARCH(_xlfn.CONCAT(CHAR(96),CHAR(34)),$E911)),ISNUMBER(SEARCH(_xlfn.CONCAT(CHAR(34),CHAR(39)),$E911))),_xlfn.CONCAT("* REVIEW REQUIRED: compound-quote delimiter in Question Wording on Sheet 1 row ",911,"; edit the input before running."),_xlfn.CONCAT("char ",TRIM($B911),"[doc_question] ",CHAR(96),CHAR(34),SUBSTITUTE(SUBSTITUTE(SUBSTITUTE(SUBSTITUTE(SUBSTITUTE(SUBSTITUTE($E911,CHAR(13)," "),CHAR(10)," "),CHAR(9)," "),CHAR(92),_xlfn.CONCAT(CHAR(92),CHAR(92))),"$",_xlfn.CONCAT(CHAR(92),"$")),CHAR(96),_xlfn.CONCAT(CHAR(92),CHAR(96))),CHAR(34),CHAR(39))))</f>
        <v/>
      </c>
      <c r="P911" s="5" t="str">
        <f>IF(OR(TRIM($B911)="",$F911=""),"",IF(OR(ISNUMBER(SEARCH(_xlfn.CONCAT(CHAR(96),CHAR(34)),$F911)),ISNUMBER(SEARCH(_xlfn.CONCAT(CHAR(34),CHAR(39)),$F911))),_xlfn.CONCAT("* REVIEW REQUIRED: compound-quote delimiter in Units on Sheet 1 row ",911,"; edit the input before running."),_xlfn.CONCAT("char ",TRIM($B911),"[doc_units] ",CHAR(96),CHAR(34),SUBSTITUTE(SUBSTITUTE(SUBSTITUTE(SUBSTITUTE(SUBSTITUTE(SUBSTITUTE($F911,CHAR(13)," "),CHAR(10)," "),CHAR(9)," "),CHAR(92),_xlfn.CONCAT(CHAR(92),CHAR(92))),"$",_xlfn.CONCAT(CHAR(92),"$")),CHAR(96),_xlfn.CONCAT(CHAR(92),CHAR(96))),CHAR(34),CHAR(39))))</f>
        <v/>
      </c>
      <c r="Q911" s="5" t="str">
        <f>IF(OR(TRIM($B911)="",$G911=""),"",IF(OR(ISNUMBER(SEARCH(_xlfn.CONCAT(CHAR(96),CHAR(34)),$G911)),ISNUMBER(SEARCH(_xlfn.CONCAT(CHAR(34),CHAR(39)),$G911))),_xlfn.CONCAT("* REVIEW REQUIRED: compound-quote delimiter in Universe on Sheet 1 row ",911,"; edit the input before running."),_xlfn.CONCAT("char ",TRIM($B911),"[doc_universe] ",CHAR(96),CHAR(34),SUBSTITUTE(SUBSTITUTE(SUBSTITUTE(SUBSTITUTE(SUBSTITUTE(SUBSTITUTE($G911,CHAR(13)," "),CHAR(10)," "),CHAR(9)," "),CHAR(92),_xlfn.CONCAT(CHAR(92),CHAR(92))),"$",_xlfn.CONCAT(CHAR(92),"$")),CHAR(96),_xlfn.CONCAT(CHAR(92),CHAR(96))),CHAR(34),CHAR(39))))</f>
        <v/>
      </c>
      <c r="R911" s="5" t="str">
        <f>IF(OR(TRIM($B911)="",$H911=""),"",IF(OR(ISNUMBER(SEARCH(_xlfn.CONCAT(CHAR(96),CHAR(34)),$H911)),ISNUMBER(SEARCH(_xlfn.CONCAT(CHAR(34),CHAR(39)),$H911))),_xlfn.CONCAT("* REVIEW REQUIRED: compound-quote delimiter in Source on Sheet 1 row ",911,"; edit the input before running."),_xlfn.CONCAT("char ",TRIM($B911),"[doc_source] ",CHAR(96),CHAR(34),SUBSTITUTE(SUBSTITUTE(SUBSTITUTE(SUBSTITUTE(SUBSTITUTE(SUBSTITUTE($H911,CHAR(13)," "),CHAR(10)," "),CHAR(9)," "),CHAR(92),_xlfn.CONCAT(CHAR(92),CHAR(92))),"$",_xlfn.CONCAT(CHAR(92),"$")),CHAR(96),_xlfn.CONCAT(CHAR(92),CHAR(96))),CHAR(34),CHAR(39))))</f>
        <v/>
      </c>
      <c r="S911" s="5" t="str">
        <f>IF(OR(TRIM($B911)="",$I911=""),"",IF(OR(ISNUMBER(SEARCH(_xlfn.CONCAT(CHAR(96),CHAR(34)),$I911)),ISNUMBER(SEARCH(_xlfn.CONCAT(CHAR(34),CHAR(39)),$I911))),_xlfn.CONCAT("* REVIEW REQUIRED: compound-quote delimiter in Derivation on Sheet 1 row ",911,"; edit the input before running."),_xlfn.CONCAT("char ",TRIM($B911),"[doc_derivation] ",CHAR(96),CHAR(34),SUBSTITUTE(SUBSTITUTE(SUBSTITUTE(SUBSTITUTE(SUBSTITUTE(SUBSTITUTE($I911,CHAR(13)," "),CHAR(10)," "),CHAR(9)," "),CHAR(92),_xlfn.CONCAT(CHAR(92),CHAR(92))),"$",_xlfn.CONCAT(CHAR(92),"$")),CHAR(96),_xlfn.CONCAT(CHAR(92),CHAR(96))),CHAR(34),CHAR(39))))</f>
        <v/>
      </c>
      <c r="T911" s="5" t="str">
        <f>IF(OR(TRIM($B911)="",$J911=""),"",IF(OR(ISNUMBER(SEARCH(_xlfn.CONCAT(CHAR(96),CHAR(34)),$J911)),ISNUMBER(SEARCH(_xlfn.CONCAT(CHAR(34),CHAR(39)),$J911))),_xlfn.CONCAT("* REVIEW REQUIRED: compound-quote delimiter in Notes on Sheet 1 row ",911,"; edit the input before running."),_xlfn.CONCAT("char ",TRIM($B911),"[doc_notes] ",CHAR(96),CHAR(34),SUBSTITUTE(SUBSTITUTE(SUBSTITUTE(SUBSTITUTE(SUBSTITUTE(SUBSTITUTE($J911,CHAR(13)," "),CHAR(10)," "),CHAR(9)," "),CHAR(92),_xlfn.CONCAT(CHAR(92),CHAR(92))),"$",_xlfn.CONCAT(CHAR(92),"$")),CHAR(96),_xlfn.CONCAT(CHAR(92),CHAR(96))),CHAR(34),CHAR(39))))</f>
        <v/>
      </c>
      <c r="U911" s="5">
        <f t="shared" si="27"/>
        <v>0</v>
      </c>
    </row>
    <row r="912" spans="3:21" ht="30" customHeight="1" x14ac:dyDescent="0.2">
      <c r="C912" s="4"/>
      <c r="K912" s="5">
        <f t="shared" si="26"/>
        <v>0</v>
      </c>
      <c r="L912" s="5" t="str">
        <f>IF(OR(TRIM($B912)="",$A912=""),"",IF(OR(ISNUMBER(SEARCH(_xlfn.CONCAT(CHAR(96),CHAR(34)),$A912)),ISNUMBER(SEARCH(_xlfn.CONCAT(CHAR(34),CHAR(39)),$A912))),_xlfn.CONCAT("* REVIEW REQUIRED: compound-quote delimiter in Codebook Section on Sheet 1 row ",912,"; edit the input before running."),_xlfn.CONCAT("char ",TRIM($B912),"[doc_section] ",CHAR(96),CHAR(34),SUBSTITUTE(SUBSTITUTE(SUBSTITUTE(SUBSTITUTE(SUBSTITUTE(SUBSTITUTE($A912,CHAR(13)," "),CHAR(10)," "),CHAR(9)," "),CHAR(92),_xlfn.CONCAT(CHAR(92),CHAR(92))),"$",_xlfn.CONCAT(CHAR(92),"$")),CHAR(96),_xlfn.CONCAT(CHAR(92),CHAR(96))),CHAR(34),CHAR(39))))</f>
        <v/>
      </c>
      <c r="M912" s="5" t="str">
        <f>IF(OR(TRIM($B912)="",$C912=""),"",IF(IFERROR(MATCH(TRIM($C912),{"Quantitative","Continuous","Discrete","Categorical","Nominal","Ordinal","Identifier"},0),0)=0,_xlfn.CONCAT("* REVIEW REQUIRED: invalid Variable Type on Sheet 1 row ",912,"."),_xlfn.CONCAT("char ",TRIM($B912),"[doc_vartype] ",CHAR(96),CHAR(34),SUBSTITUTE(SUBSTITUTE(SUBSTITUTE(SUBSTITUTE(SUBSTITUTE(SUBSTITUTE(LOWER(TRIM($C912)),CHAR(13)," "),CHAR(10)," "),CHAR(9)," "),CHAR(92),_xlfn.CONCAT(CHAR(92),CHAR(92))),"$",_xlfn.CONCAT(CHAR(92),"$")),CHAR(96),_xlfn.CONCAT(CHAR(92),CHAR(96))),CHAR(34),CHAR(39))))</f>
        <v/>
      </c>
      <c r="N912" s="5" t="str">
        <f>IF(OR(TRIM($B912)="",$D912=""),"",IF(OR(ISNUMBER(SEARCH(_xlfn.CONCAT(CHAR(96),CHAR(34)),$D912)),ISNUMBER(SEARCH(_xlfn.CONCAT(CHAR(34),CHAR(39)),$D912))),_xlfn.CONCAT("* REVIEW REQUIRED: compound-quote delimiter in Item Number on Sheet 1 row ",912,"; edit the input before running."),_xlfn.CONCAT("char ",TRIM($B912),"[doc_itemnum] ",CHAR(96),CHAR(34),SUBSTITUTE(SUBSTITUTE(SUBSTITUTE(SUBSTITUTE(SUBSTITUTE(SUBSTITUTE($D912,CHAR(13)," "),CHAR(10)," "),CHAR(9)," "),CHAR(92),_xlfn.CONCAT(CHAR(92),CHAR(92))),"$",_xlfn.CONCAT(CHAR(92),"$")),CHAR(96),_xlfn.CONCAT(CHAR(92),CHAR(96))),CHAR(34),CHAR(39))))</f>
        <v/>
      </c>
      <c r="O912" s="5" t="str">
        <f>IF(OR(TRIM($B912)="",$E912=""),"",IF(OR(ISNUMBER(SEARCH(_xlfn.CONCAT(CHAR(96),CHAR(34)),$E912)),ISNUMBER(SEARCH(_xlfn.CONCAT(CHAR(34),CHAR(39)),$E912))),_xlfn.CONCAT("* REVIEW REQUIRED: compound-quote delimiter in Question Wording on Sheet 1 row ",912,"; edit the input before running."),_xlfn.CONCAT("char ",TRIM($B912),"[doc_question] ",CHAR(96),CHAR(34),SUBSTITUTE(SUBSTITUTE(SUBSTITUTE(SUBSTITUTE(SUBSTITUTE(SUBSTITUTE($E912,CHAR(13)," "),CHAR(10)," "),CHAR(9)," "),CHAR(92),_xlfn.CONCAT(CHAR(92),CHAR(92))),"$",_xlfn.CONCAT(CHAR(92),"$")),CHAR(96),_xlfn.CONCAT(CHAR(92),CHAR(96))),CHAR(34),CHAR(39))))</f>
        <v/>
      </c>
      <c r="P912" s="5" t="str">
        <f>IF(OR(TRIM($B912)="",$F912=""),"",IF(OR(ISNUMBER(SEARCH(_xlfn.CONCAT(CHAR(96),CHAR(34)),$F912)),ISNUMBER(SEARCH(_xlfn.CONCAT(CHAR(34),CHAR(39)),$F912))),_xlfn.CONCAT("* REVIEW REQUIRED: compound-quote delimiter in Units on Sheet 1 row ",912,"; edit the input before running."),_xlfn.CONCAT("char ",TRIM($B912),"[doc_units] ",CHAR(96),CHAR(34),SUBSTITUTE(SUBSTITUTE(SUBSTITUTE(SUBSTITUTE(SUBSTITUTE(SUBSTITUTE($F912,CHAR(13)," "),CHAR(10)," "),CHAR(9)," "),CHAR(92),_xlfn.CONCAT(CHAR(92),CHAR(92))),"$",_xlfn.CONCAT(CHAR(92),"$")),CHAR(96),_xlfn.CONCAT(CHAR(92),CHAR(96))),CHAR(34),CHAR(39))))</f>
        <v/>
      </c>
      <c r="Q912" s="5" t="str">
        <f>IF(OR(TRIM($B912)="",$G912=""),"",IF(OR(ISNUMBER(SEARCH(_xlfn.CONCAT(CHAR(96),CHAR(34)),$G912)),ISNUMBER(SEARCH(_xlfn.CONCAT(CHAR(34),CHAR(39)),$G912))),_xlfn.CONCAT("* REVIEW REQUIRED: compound-quote delimiter in Universe on Sheet 1 row ",912,"; edit the input before running."),_xlfn.CONCAT("char ",TRIM($B912),"[doc_universe] ",CHAR(96),CHAR(34),SUBSTITUTE(SUBSTITUTE(SUBSTITUTE(SUBSTITUTE(SUBSTITUTE(SUBSTITUTE($G912,CHAR(13)," "),CHAR(10)," "),CHAR(9)," "),CHAR(92),_xlfn.CONCAT(CHAR(92),CHAR(92))),"$",_xlfn.CONCAT(CHAR(92),"$")),CHAR(96),_xlfn.CONCAT(CHAR(92),CHAR(96))),CHAR(34),CHAR(39))))</f>
        <v/>
      </c>
      <c r="R912" s="5" t="str">
        <f>IF(OR(TRIM($B912)="",$H912=""),"",IF(OR(ISNUMBER(SEARCH(_xlfn.CONCAT(CHAR(96),CHAR(34)),$H912)),ISNUMBER(SEARCH(_xlfn.CONCAT(CHAR(34),CHAR(39)),$H912))),_xlfn.CONCAT("* REVIEW REQUIRED: compound-quote delimiter in Source on Sheet 1 row ",912,"; edit the input before running."),_xlfn.CONCAT("char ",TRIM($B912),"[doc_source] ",CHAR(96),CHAR(34),SUBSTITUTE(SUBSTITUTE(SUBSTITUTE(SUBSTITUTE(SUBSTITUTE(SUBSTITUTE($H912,CHAR(13)," "),CHAR(10)," "),CHAR(9)," "),CHAR(92),_xlfn.CONCAT(CHAR(92),CHAR(92))),"$",_xlfn.CONCAT(CHAR(92),"$")),CHAR(96),_xlfn.CONCAT(CHAR(92),CHAR(96))),CHAR(34),CHAR(39))))</f>
        <v/>
      </c>
      <c r="S912" s="5" t="str">
        <f>IF(OR(TRIM($B912)="",$I912=""),"",IF(OR(ISNUMBER(SEARCH(_xlfn.CONCAT(CHAR(96),CHAR(34)),$I912)),ISNUMBER(SEARCH(_xlfn.CONCAT(CHAR(34),CHAR(39)),$I912))),_xlfn.CONCAT("* REVIEW REQUIRED: compound-quote delimiter in Derivation on Sheet 1 row ",912,"; edit the input before running."),_xlfn.CONCAT("char ",TRIM($B912),"[doc_derivation] ",CHAR(96),CHAR(34),SUBSTITUTE(SUBSTITUTE(SUBSTITUTE(SUBSTITUTE(SUBSTITUTE(SUBSTITUTE($I912,CHAR(13)," "),CHAR(10)," "),CHAR(9)," "),CHAR(92),_xlfn.CONCAT(CHAR(92),CHAR(92))),"$",_xlfn.CONCAT(CHAR(92),"$")),CHAR(96),_xlfn.CONCAT(CHAR(92),CHAR(96))),CHAR(34),CHAR(39))))</f>
        <v/>
      </c>
      <c r="T912" s="5" t="str">
        <f>IF(OR(TRIM($B912)="",$J912=""),"",IF(OR(ISNUMBER(SEARCH(_xlfn.CONCAT(CHAR(96),CHAR(34)),$J912)),ISNUMBER(SEARCH(_xlfn.CONCAT(CHAR(34),CHAR(39)),$J912))),_xlfn.CONCAT("* REVIEW REQUIRED: compound-quote delimiter in Notes on Sheet 1 row ",912,"; edit the input before running."),_xlfn.CONCAT("char ",TRIM($B912),"[doc_notes] ",CHAR(96),CHAR(34),SUBSTITUTE(SUBSTITUTE(SUBSTITUTE(SUBSTITUTE(SUBSTITUTE(SUBSTITUTE($J912,CHAR(13)," "),CHAR(10)," "),CHAR(9)," "),CHAR(92),_xlfn.CONCAT(CHAR(92),CHAR(92))),"$",_xlfn.CONCAT(CHAR(92),"$")),CHAR(96),_xlfn.CONCAT(CHAR(92),CHAR(96))),CHAR(34),CHAR(39))))</f>
        <v/>
      </c>
      <c r="U912" s="5">
        <f t="shared" si="27"/>
        <v>0</v>
      </c>
    </row>
    <row r="913" spans="3:21" ht="30" customHeight="1" x14ac:dyDescent="0.2">
      <c r="C913" s="4"/>
      <c r="K913" s="5">
        <f t="shared" si="26"/>
        <v>0</v>
      </c>
      <c r="L913" s="5" t="str">
        <f>IF(OR(TRIM($B913)="",$A913=""),"",IF(OR(ISNUMBER(SEARCH(_xlfn.CONCAT(CHAR(96),CHAR(34)),$A913)),ISNUMBER(SEARCH(_xlfn.CONCAT(CHAR(34),CHAR(39)),$A913))),_xlfn.CONCAT("* REVIEW REQUIRED: compound-quote delimiter in Codebook Section on Sheet 1 row ",913,"; edit the input before running."),_xlfn.CONCAT("char ",TRIM($B913),"[doc_section] ",CHAR(96),CHAR(34),SUBSTITUTE(SUBSTITUTE(SUBSTITUTE(SUBSTITUTE(SUBSTITUTE(SUBSTITUTE($A913,CHAR(13)," "),CHAR(10)," "),CHAR(9)," "),CHAR(92),_xlfn.CONCAT(CHAR(92),CHAR(92))),"$",_xlfn.CONCAT(CHAR(92),"$")),CHAR(96),_xlfn.CONCAT(CHAR(92),CHAR(96))),CHAR(34),CHAR(39))))</f>
        <v/>
      </c>
      <c r="M913" s="5" t="str">
        <f>IF(OR(TRIM($B913)="",$C913=""),"",IF(IFERROR(MATCH(TRIM($C913),{"Quantitative","Continuous","Discrete","Categorical","Nominal","Ordinal","Identifier"},0),0)=0,_xlfn.CONCAT("* REVIEW REQUIRED: invalid Variable Type on Sheet 1 row ",913,"."),_xlfn.CONCAT("char ",TRIM($B913),"[doc_vartype] ",CHAR(96),CHAR(34),SUBSTITUTE(SUBSTITUTE(SUBSTITUTE(SUBSTITUTE(SUBSTITUTE(SUBSTITUTE(LOWER(TRIM($C913)),CHAR(13)," "),CHAR(10)," "),CHAR(9)," "),CHAR(92),_xlfn.CONCAT(CHAR(92),CHAR(92))),"$",_xlfn.CONCAT(CHAR(92),"$")),CHAR(96),_xlfn.CONCAT(CHAR(92),CHAR(96))),CHAR(34),CHAR(39))))</f>
        <v/>
      </c>
      <c r="N913" s="5" t="str">
        <f>IF(OR(TRIM($B913)="",$D913=""),"",IF(OR(ISNUMBER(SEARCH(_xlfn.CONCAT(CHAR(96),CHAR(34)),$D913)),ISNUMBER(SEARCH(_xlfn.CONCAT(CHAR(34),CHAR(39)),$D913))),_xlfn.CONCAT("* REVIEW REQUIRED: compound-quote delimiter in Item Number on Sheet 1 row ",913,"; edit the input before running."),_xlfn.CONCAT("char ",TRIM($B913),"[doc_itemnum] ",CHAR(96),CHAR(34),SUBSTITUTE(SUBSTITUTE(SUBSTITUTE(SUBSTITUTE(SUBSTITUTE(SUBSTITUTE($D913,CHAR(13)," "),CHAR(10)," "),CHAR(9)," "),CHAR(92),_xlfn.CONCAT(CHAR(92),CHAR(92))),"$",_xlfn.CONCAT(CHAR(92),"$")),CHAR(96),_xlfn.CONCAT(CHAR(92),CHAR(96))),CHAR(34),CHAR(39))))</f>
        <v/>
      </c>
      <c r="O913" s="5" t="str">
        <f>IF(OR(TRIM($B913)="",$E913=""),"",IF(OR(ISNUMBER(SEARCH(_xlfn.CONCAT(CHAR(96),CHAR(34)),$E913)),ISNUMBER(SEARCH(_xlfn.CONCAT(CHAR(34),CHAR(39)),$E913))),_xlfn.CONCAT("* REVIEW REQUIRED: compound-quote delimiter in Question Wording on Sheet 1 row ",913,"; edit the input before running."),_xlfn.CONCAT("char ",TRIM($B913),"[doc_question] ",CHAR(96),CHAR(34),SUBSTITUTE(SUBSTITUTE(SUBSTITUTE(SUBSTITUTE(SUBSTITUTE(SUBSTITUTE($E913,CHAR(13)," "),CHAR(10)," "),CHAR(9)," "),CHAR(92),_xlfn.CONCAT(CHAR(92),CHAR(92))),"$",_xlfn.CONCAT(CHAR(92),"$")),CHAR(96),_xlfn.CONCAT(CHAR(92),CHAR(96))),CHAR(34),CHAR(39))))</f>
        <v/>
      </c>
      <c r="P913" s="5" t="str">
        <f>IF(OR(TRIM($B913)="",$F913=""),"",IF(OR(ISNUMBER(SEARCH(_xlfn.CONCAT(CHAR(96),CHAR(34)),$F913)),ISNUMBER(SEARCH(_xlfn.CONCAT(CHAR(34),CHAR(39)),$F913))),_xlfn.CONCAT("* REVIEW REQUIRED: compound-quote delimiter in Units on Sheet 1 row ",913,"; edit the input before running."),_xlfn.CONCAT("char ",TRIM($B913),"[doc_units] ",CHAR(96),CHAR(34),SUBSTITUTE(SUBSTITUTE(SUBSTITUTE(SUBSTITUTE(SUBSTITUTE(SUBSTITUTE($F913,CHAR(13)," "),CHAR(10)," "),CHAR(9)," "),CHAR(92),_xlfn.CONCAT(CHAR(92),CHAR(92))),"$",_xlfn.CONCAT(CHAR(92),"$")),CHAR(96),_xlfn.CONCAT(CHAR(92),CHAR(96))),CHAR(34),CHAR(39))))</f>
        <v/>
      </c>
      <c r="Q913" s="5" t="str">
        <f>IF(OR(TRIM($B913)="",$G913=""),"",IF(OR(ISNUMBER(SEARCH(_xlfn.CONCAT(CHAR(96),CHAR(34)),$G913)),ISNUMBER(SEARCH(_xlfn.CONCAT(CHAR(34),CHAR(39)),$G913))),_xlfn.CONCAT("* REVIEW REQUIRED: compound-quote delimiter in Universe on Sheet 1 row ",913,"; edit the input before running."),_xlfn.CONCAT("char ",TRIM($B913),"[doc_universe] ",CHAR(96),CHAR(34),SUBSTITUTE(SUBSTITUTE(SUBSTITUTE(SUBSTITUTE(SUBSTITUTE(SUBSTITUTE($G913,CHAR(13)," "),CHAR(10)," "),CHAR(9)," "),CHAR(92),_xlfn.CONCAT(CHAR(92),CHAR(92))),"$",_xlfn.CONCAT(CHAR(92),"$")),CHAR(96),_xlfn.CONCAT(CHAR(92),CHAR(96))),CHAR(34),CHAR(39))))</f>
        <v/>
      </c>
      <c r="R913" s="5" t="str">
        <f>IF(OR(TRIM($B913)="",$H913=""),"",IF(OR(ISNUMBER(SEARCH(_xlfn.CONCAT(CHAR(96),CHAR(34)),$H913)),ISNUMBER(SEARCH(_xlfn.CONCAT(CHAR(34),CHAR(39)),$H913))),_xlfn.CONCAT("* REVIEW REQUIRED: compound-quote delimiter in Source on Sheet 1 row ",913,"; edit the input before running."),_xlfn.CONCAT("char ",TRIM($B913),"[doc_source] ",CHAR(96),CHAR(34),SUBSTITUTE(SUBSTITUTE(SUBSTITUTE(SUBSTITUTE(SUBSTITUTE(SUBSTITUTE($H913,CHAR(13)," "),CHAR(10)," "),CHAR(9)," "),CHAR(92),_xlfn.CONCAT(CHAR(92),CHAR(92))),"$",_xlfn.CONCAT(CHAR(92),"$")),CHAR(96),_xlfn.CONCAT(CHAR(92),CHAR(96))),CHAR(34),CHAR(39))))</f>
        <v/>
      </c>
      <c r="S913" s="5" t="str">
        <f>IF(OR(TRIM($B913)="",$I913=""),"",IF(OR(ISNUMBER(SEARCH(_xlfn.CONCAT(CHAR(96),CHAR(34)),$I913)),ISNUMBER(SEARCH(_xlfn.CONCAT(CHAR(34),CHAR(39)),$I913))),_xlfn.CONCAT("* REVIEW REQUIRED: compound-quote delimiter in Derivation on Sheet 1 row ",913,"; edit the input before running."),_xlfn.CONCAT("char ",TRIM($B913),"[doc_derivation] ",CHAR(96),CHAR(34),SUBSTITUTE(SUBSTITUTE(SUBSTITUTE(SUBSTITUTE(SUBSTITUTE(SUBSTITUTE($I913,CHAR(13)," "),CHAR(10)," "),CHAR(9)," "),CHAR(92),_xlfn.CONCAT(CHAR(92),CHAR(92))),"$",_xlfn.CONCAT(CHAR(92),"$")),CHAR(96),_xlfn.CONCAT(CHAR(92),CHAR(96))),CHAR(34),CHAR(39))))</f>
        <v/>
      </c>
      <c r="T913" s="5" t="str">
        <f>IF(OR(TRIM($B913)="",$J913=""),"",IF(OR(ISNUMBER(SEARCH(_xlfn.CONCAT(CHAR(96),CHAR(34)),$J913)),ISNUMBER(SEARCH(_xlfn.CONCAT(CHAR(34),CHAR(39)),$J913))),_xlfn.CONCAT("* REVIEW REQUIRED: compound-quote delimiter in Notes on Sheet 1 row ",913,"; edit the input before running."),_xlfn.CONCAT("char ",TRIM($B913),"[doc_notes] ",CHAR(96),CHAR(34),SUBSTITUTE(SUBSTITUTE(SUBSTITUTE(SUBSTITUTE(SUBSTITUTE(SUBSTITUTE($J913,CHAR(13)," "),CHAR(10)," "),CHAR(9)," "),CHAR(92),_xlfn.CONCAT(CHAR(92),CHAR(92))),"$",_xlfn.CONCAT(CHAR(92),"$")),CHAR(96),_xlfn.CONCAT(CHAR(92),CHAR(96))),CHAR(34),CHAR(39))))</f>
        <v/>
      </c>
      <c r="U913" s="5">
        <f t="shared" si="27"/>
        <v>0</v>
      </c>
    </row>
    <row r="914" spans="3:21" ht="30" customHeight="1" x14ac:dyDescent="0.2">
      <c r="C914" s="4"/>
      <c r="K914" s="5">
        <f t="shared" si="26"/>
        <v>0</v>
      </c>
      <c r="L914" s="5" t="str">
        <f>IF(OR(TRIM($B914)="",$A914=""),"",IF(OR(ISNUMBER(SEARCH(_xlfn.CONCAT(CHAR(96),CHAR(34)),$A914)),ISNUMBER(SEARCH(_xlfn.CONCAT(CHAR(34),CHAR(39)),$A914))),_xlfn.CONCAT("* REVIEW REQUIRED: compound-quote delimiter in Codebook Section on Sheet 1 row ",914,"; edit the input before running."),_xlfn.CONCAT("char ",TRIM($B914),"[doc_section] ",CHAR(96),CHAR(34),SUBSTITUTE(SUBSTITUTE(SUBSTITUTE(SUBSTITUTE(SUBSTITUTE(SUBSTITUTE($A914,CHAR(13)," "),CHAR(10)," "),CHAR(9)," "),CHAR(92),_xlfn.CONCAT(CHAR(92),CHAR(92))),"$",_xlfn.CONCAT(CHAR(92),"$")),CHAR(96),_xlfn.CONCAT(CHAR(92),CHAR(96))),CHAR(34),CHAR(39))))</f>
        <v/>
      </c>
      <c r="M914" s="5" t="str">
        <f>IF(OR(TRIM($B914)="",$C914=""),"",IF(IFERROR(MATCH(TRIM($C914),{"Quantitative","Continuous","Discrete","Categorical","Nominal","Ordinal","Identifier"},0),0)=0,_xlfn.CONCAT("* REVIEW REQUIRED: invalid Variable Type on Sheet 1 row ",914,"."),_xlfn.CONCAT("char ",TRIM($B914),"[doc_vartype] ",CHAR(96),CHAR(34),SUBSTITUTE(SUBSTITUTE(SUBSTITUTE(SUBSTITUTE(SUBSTITUTE(SUBSTITUTE(LOWER(TRIM($C914)),CHAR(13)," "),CHAR(10)," "),CHAR(9)," "),CHAR(92),_xlfn.CONCAT(CHAR(92),CHAR(92))),"$",_xlfn.CONCAT(CHAR(92),"$")),CHAR(96),_xlfn.CONCAT(CHAR(92),CHAR(96))),CHAR(34),CHAR(39))))</f>
        <v/>
      </c>
      <c r="N914" s="5" t="str">
        <f>IF(OR(TRIM($B914)="",$D914=""),"",IF(OR(ISNUMBER(SEARCH(_xlfn.CONCAT(CHAR(96),CHAR(34)),$D914)),ISNUMBER(SEARCH(_xlfn.CONCAT(CHAR(34),CHAR(39)),$D914))),_xlfn.CONCAT("* REVIEW REQUIRED: compound-quote delimiter in Item Number on Sheet 1 row ",914,"; edit the input before running."),_xlfn.CONCAT("char ",TRIM($B914),"[doc_itemnum] ",CHAR(96),CHAR(34),SUBSTITUTE(SUBSTITUTE(SUBSTITUTE(SUBSTITUTE(SUBSTITUTE(SUBSTITUTE($D914,CHAR(13)," "),CHAR(10)," "),CHAR(9)," "),CHAR(92),_xlfn.CONCAT(CHAR(92),CHAR(92))),"$",_xlfn.CONCAT(CHAR(92),"$")),CHAR(96),_xlfn.CONCAT(CHAR(92),CHAR(96))),CHAR(34),CHAR(39))))</f>
        <v/>
      </c>
      <c r="O914" s="5" t="str">
        <f>IF(OR(TRIM($B914)="",$E914=""),"",IF(OR(ISNUMBER(SEARCH(_xlfn.CONCAT(CHAR(96),CHAR(34)),$E914)),ISNUMBER(SEARCH(_xlfn.CONCAT(CHAR(34),CHAR(39)),$E914))),_xlfn.CONCAT("* REVIEW REQUIRED: compound-quote delimiter in Question Wording on Sheet 1 row ",914,"; edit the input before running."),_xlfn.CONCAT("char ",TRIM($B914),"[doc_question] ",CHAR(96),CHAR(34),SUBSTITUTE(SUBSTITUTE(SUBSTITUTE(SUBSTITUTE(SUBSTITUTE(SUBSTITUTE($E914,CHAR(13)," "),CHAR(10)," "),CHAR(9)," "),CHAR(92),_xlfn.CONCAT(CHAR(92),CHAR(92))),"$",_xlfn.CONCAT(CHAR(92),"$")),CHAR(96),_xlfn.CONCAT(CHAR(92),CHAR(96))),CHAR(34),CHAR(39))))</f>
        <v/>
      </c>
      <c r="P914" s="5" t="str">
        <f>IF(OR(TRIM($B914)="",$F914=""),"",IF(OR(ISNUMBER(SEARCH(_xlfn.CONCAT(CHAR(96),CHAR(34)),$F914)),ISNUMBER(SEARCH(_xlfn.CONCAT(CHAR(34),CHAR(39)),$F914))),_xlfn.CONCAT("* REVIEW REQUIRED: compound-quote delimiter in Units on Sheet 1 row ",914,"; edit the input before running."),_xlfn.CONCAT("char ",TRIM($B914),"[doc_units] ",CHAR(96),CHAR(34),SUBSTITUTE(SUBSTITUTE(SUBSTITUTE(SUBSTITUTE(SUBSTITUTE(SUBSTITUTE($F914,CHAR(13)," "),CHAR(10)," "),CHAR(9)," "),CHAR(92),_xlfn.CONCAT(CHAR(92),CHAR(92))),"$",_xlfn.CONCAT(CHAR(92),"$")),CHAR(96),_xlfn.CONCAT(CHAR(92),CHAR(96))),CHAR(34),CHAR(39))))</f>
        <v/>
      </c>
      <c r="Q914" s="5" t="str">
        <f>IF(OR(TRIM($B914)="",$G914=""),"",IF(OR(ISNUMBER(SEARCH(_xlfn.CONCAT(CHAR(96),CHAR(34)),$G914)),ISNUMBER(SEARCH(_xlfn.CONCAT(CHAR(34),CHAR(39)),$G914))),_xlfn.CONCAT("* REVIEW REQUIRED: compound-quote delimiter in Universe on Sheet 1 row ",914,"; edit the input before running."),_xlfn.CONCAT("char ",TRIM($B914),"[doc_universe] ",CHAR(96),CHAR(34),SUBSTITUTE(SUBSTITUTE(SUBSTITUTE(SUBSTITUTE(SUBSTITUTE(SUBSTITUTE($G914,CHAR(13)," "),CHAR(10)," "),CHAR(9)," "),CHAR(92),_xlfn.CONCAT(CHAR(92),CHAR(92))),"$",_xlfn.CONCAT(CHAR(92),"$")),CHAR(96),_xlfn.CONCAT(CHAR(92),CHAR(96))),CHAR(34),CHAR(39))))</f>
        <v/>
      </c>
      <c r="R914" s="5" t="str">
        <f>IF(OR(TRIM($B914)="",$H914=""),"",IF(OR(ISNUMBER(SEARCH(_xlfn.CONCAT(CHAR(96),CHAR(34)),$H914)),ISNUMBER(SEARCH(_xlfn.CONCAT(CHAR(34),CHAR(39)),$H914))),_xlfn.CONCAT("* REVIEW REQUIRED: compound-quote delimiter in Source on Sheet 1 row ",914,"; edit the input before running."),_xlfn.CONCAT("char ",TRIM($B914),"[doc_source] ",CHAR(96),CHAR(34),SUBSTITUTE(SUBSTITUTE(SUBSTITUTE(SUBSTITUTE(SUBSTITUTE(SUBSTITUTE($H914,CHAR(13)," "),CHAR(10)," "),CHAR(9)," "),CHAR(92),_xlfn.CONCAT(CHAR(92),CHAR(92))),"$",_xlfn.CONCAT(CHAR(92),"$")),CHAR(96),_xlfn.CONCAT(CHAR(92),CHAR(96))),CHAR(34),CHAR(39))))</f>
        <v/>
      </c>
      <c r="S914" s="5" t="str">
        <f>IF(OR(TRIM($B914)="",$I914=""),"",IF(OR(ISNUMBER(SEARCH(_xlfn.CONCAT(CHAR(96),CHAR(34)),$I914)),ISNUMBER(SEARCH(_xlfn.CONCAT(CHAR(34),CHAR(39)),$I914))),_xlfn.CONCAT("* REVIEW REQUIRED: compound-quote delimiter in Derivation on Sheet 1 row ",914,"; edit the input before running."),_xlfn.CONCAT("char ",TRIM($B914),"[doc_derivation] ",CHAR(96),CHAR(34),SUBSTITUTE(SUBSTITUTE(SUBSTITUTE(SUBSTITUTE(SUBSTITUTE(SUBSTITUTE($I914,CHAR(13)," "),CHAR(10)," "),CHAR(9)," "),CHAR(92),_xlfn.CONCAT(CHAR(92),CHAR(92))),"$",_xlfn.CONCAT(CHAR(92),"$")),CHAR(96),_xlfn.CONCAT(CHAR(92),CHAR(96))),CHAR(34),CHAR(39))))</f>
        <v/>
      </c>
      <c r="T914" s="5" t="str">
        <f>IF(OR(TRIM($B914)="",$J914=""),"",IF(OR(ISNUMBER(SEARCH(_xlfn.CONCAT(CHAR(96),CHAR(34)),$J914)),ISNUMBER(SEARCH(_xlfn.CONCAT(CHAR(34),CHAR(39)),$J914))),_xlfn.CONCAT("* REVIEW REQUIRED: compound-quote delimiter in Notes on Sheet 1 row ",914,"; edit the input before running."),_xlfn.CONCAT("char ",TRIM($B914),"[doc_notes] ",CHAR(96),CHAR(34),SUBSTITUTE(SUBSTITUTE(SUBSTITUTE(SUBSTITUTE(SUBSTITUTE(SUBSTITUTE($J914,CHAR(13)," "),CHAR(10)," "),CHAR(9)," "),CHAR(92),_xlfn.CONCAT(CHAR(92),CHAR(92))),"$",_xlfn.CONCAT(CHAR(92),"$")),CHAR(96),_xlfn.CONCAT(CHAR(92),CHAR(96))),CHAR(34),CHAR(39))))</f>
        <v/>
      </c>
      <c r="U914" s="5">
        <f t="shared" si="27"/>
        <v>0</v>
      </c>
    </row>
    <row r="915" spans="3:21" ht="30" customHeight="1" x14ac:dyDescent="0.2">
      <c r="C915" s="4"/>
      <c r="K915" s="5">
        <f t="shared" si="26"/>
        <v>0</v>
      </c>
      <c r="L915" s="5" t="str">
        <f>IF(OR(TRIM($B915)="",$A915=""),"",IF(OR(ISNUMBER(SEARCH(_xlfn.CONCAT(CHAR(96),CHAR(34)),$A915)),ISNUMBER(SEARCH(_xlfn.CONCAT(CHAR(34),CHAR(39)),$A915))),_xlfn.CONCAT("* REVIEW REQUIRED: compound-quote delimiter in Codebook Section on Sheet 1 row ",915,"; edit the input before running."),_xlfn.CONCAT("char ",TRIM($B915),"[doc_section] ",CHAR(96),CHAR(34),SUBSTITUTE(SUBSTITUTE(SUBSTITUTE(SUBSTITUTE(SUBSTITUTE(SUBSTITUTE($A915,CHAR(13)," "),CHAR(10)," "),CHAR(9)," "),CHAR(92),_xlfn.CONCAT(CHAR(92),CHAR(92))),"$",_xlfn.CONCAT(CHAR(92),"$")),CHAR(96),_xlfn.CONCAT(CHAR(92),CHAR(96))),CHAR(34),CHAR(39))))</f>
        <v/>
      </c>
      <c r="M915" s="5" t="str">
        <f>IF(OR(TRIM($B915)="",$C915=""),"",IF(IFERROR(MATCH(TRIM($C915),{"Quantitative","Continuous","Discrete","Categorical","Nominal","Ordinal","Identifier"},0),0)=0,_xlfn.CONCAT("* REVIEW REQUIRED: invalid Variable Type on Sheet 1 row ",915,"."),_xlfn.CONCAT("char ",TRIM($B915),"[doc_vartype] ",CHAR(96),CHAR(34),SUBSTITUTE(SUBSTITUTE(SUBSTITUTE(SUBSTITUTE(SUBSTITUTE(SUBSTITUTE(LOWER(TRIM($C915)),CHAR(13)," "),CHAR(10)," "),CHAR(9)," "),CHAR(92),_xlfn.CONCAT(CHAR(92),CHAR(92))),"$",_xlfn.CONCAT(CHAR(92),"$")),CHAR(96),_xlfn.CONCAT(CHAR(92),CHAR(96))),CHAR(34),CHAR(39))))</f>
        <v/>
      </c>
      <c r="N915" s="5" t="str">
        <f>IF(OR(TRIM($B915)="",$D915=""),"",IF(OR(ISNUMBER(SEARCH(_xlfn.CONCAT(CHAR(96),CHAR(34)),$D915)),ISNUMBER(SEARCH(_xlfn.CONCAT(CHAR(34),CHAR(39)),$D915))),_xlfn.CONCAT("* REVIEW REQUIRED: compound-quote delimiter in Item Number on Sheet 1 row ",915,"; edit the input before running."),_xlfn.CONCAT("char ",TRIM($B915),"[doc_itemnum] ",CHAR(96),CHAR(34),SUBSTITUTE(SUBSTITUTE(SUBSTITUTE(SUBSTITUTE(SUBSTITUTE(SUBSTITUTE($D915,CHAR(13)," "),CHAR(10)," "),CHAR(9)," "),CHAR(92),_xlfn.CONCAT(CHAR(92),CHAR(92))),"$",_xlfn.CONCAT(CHAR(92),"$")),CHAR(96),_xlfn.CONCAT(CHAR(92),CHAR(96))),CHAR(34),CHAR(39))))</f>
        <v/>
      </c>
      <c r="O915" s="5" t="str">
        <f>IF(OR(TRIM($B915)="",$E915=""),"",IF(OR(ISNUMBER(SEARCH(_xlfn.CONCAT(CHAR(96),CHAR(34)),$E915)),ISNUMBER(SEARCH(_xlfn.CONCAT(CHAR(34),CHAR(39)),$E915))),_xlfn.CONCAT("* REVIEW REQUIRED: compound-quote delimiter in Question Wording on Sheet 1 row ",915,"; edit the input before running."),_xlfn.CONCAT("char ",TRIM($B915),"[doc_question] ",CHAR(96),CHAR(34),SUBSTITUTE(SUBSTITUTE(SUBSTITUTE(SUBSTITUTE(SUBSTITUTE(SUBSTITUTE($E915,CHAR(13)," "),CHAR(10)," "),CHAR(9)," "),CHAR(92),_xlfn.CONCAT(CHAR(92),CHAR(92))),"$",_xlfn.CONCAT(CHAR(92),"$")),CHAR(96),_xlfn.CONCAT(CHAR(92),CHAR(96))),CHAR(34),CHAR(39))))</f>
        <v/>
      </c>
      <c r="P915" s="5" t="str">
        <f>IF(OR(TRIM($B915)="",$F915=""),"",IF(OR(ISNUMBER(SEARCH(_xlfn.CONCAT(CHAR(96),CHAR(34)),$F915)),ISNUMBER(SEARCH(_xlfn.CONCAT(CHAR(34),CHAR(39)),$F915))),_xlfn.CONCAT("* REVIEW REQUIRED: compound-quote delimiter in Units on Sheet 1 row ",915,"; edit the input before running."),_xlfn.CONCAT("char ",TRIM($B915),"[doc_units] ",CHAR(96),CHAR(34),SUBSTITUTE(SUBSTITUTE(SUBSTITUTE(SUBSTITUTE(SUBSTITUTE(SUBSTITUTE($F915,CHAR(13)," "),CHAR(10)," "),CHAR(9)," "),CHAR(92),_xlfn.CONCAT(CHAR(92),CHAR(92))),"$",_xlfn.CONCAT(CHAR(92),"$")),CHAR(96),_xlfn.CONCAT(CHAR(92),CHAR(96))),CHAR(34),CHAR(39))))</f>
        <v/>
      </c>
      <c r="Q915" s="5" t="str">
        <f>IF(OR(TRIM($B915)="",$G915=""),"",IF(OR(ISNUMBER(SEARCH(_xlfn.CONCAT(CHAR(96),CHAR(34)),$G915)),ISNUMBER(SEARCH(_xlfn.CONCAT(CHAR(34),CHAR(39)),$G915))),_xlfn.CONCAT("* REVIEW REQUIRED: compound-quote delimiter in Universe on Sheet 1 row ",915,"; edit the input before running."),_xlfn.CONCAT("char ",TRIM($B915),"[doc_universe] ",CHAR(96),CHAR(34),SUBSTITUTE(SUBSTITUTE(SUBSTITUTE(SUBSTITUTE(SUBSTITUTE(SUBSTITUTE($G915,CHAR(13)," "),CHAR(10)," "),CHAR(9)," "),CHAR(92),_xlfn.CONCAT(CHAR(92),CHAR(92))),"$",_xlfn.CONCAT(CHAR(92),"$")),CHAR(96),_xlfn.CONCAT(CHAR(92),CHAR(96))),CHAR(34),CHAR(39))))</f>
        <v/>
      </c>
      <c r="R915" s="5" t="str">
        <f>IF(OR(TRIM($B915)="",$H915=""),"",IF(OR(ISNUMBER(SEARCH(_xlfn.CONCAT(CHAR(96),CHAR(34)),$H915)),ISNUMBER(SEARCH(_xlfn.CONCAT(CHAR(34),CHAR(39)),$H915))),_xlfn.CONCAT("* REVIEW REQUIRED: compound-quote delimiter in Source on Sheet 1 row ",915,"; edit the input before running."),_xlfn.CONCAT("char ",TRIM($B915),"[doc_source] ",CHAR(96),CHAR(34),SUBSTITUTE(SUBSTITUTE(SUBSTITUTE(SUBSTITUTE(SUBSTITUTE(SUBSTITUTE($H915,CHAR(13)," "),CHAR(10)," "),CHAR(9)," "),CHAR(92),_xlfn.CONCAT(CHAR(92),CHAR(92))),"$",_xlfn.CONCAT(CHAR(92),"$")),CHAR(96),_xlfn.CONCAT(CHAR(92),CHAR(96))),CHAR(34),CHAR(39))))</f>
        <v/>
      </c>
      <c r="S915" s="5" t="str">
        <f>IF(OR(TRIM($B915)="",$I915=""),"",IF(OR(ISNUMBER(SEARCH(_xlfn.CONCAT(CHAR(96),CHAR(34)),$I915)),ISNUMBER(SEARCH(_xlfn.CONCAT(CHAR(34),CHAR(39)),$I915))),_xlfn.CONCAT("* REVIEW REQUIRED: compound-quote delimiter in Derivation on Sheet 1 row ",915,"; edit the input before running."),_xlfn.CONCAT("char ",TRIM($B915),"[doc_derivation] ",CHAR(96),CHAR(34),SUBSTITUTE(SUBSTITUTE(SUBSTITUTE(SUBSTITUTE(SUBSTITUTE(SUBSTITUTE($I915,CHAR(13)," "),CHAR(10)," "),CHAR(9)," "),CHAR(92),_xlfn.CONCAT(CHAR(92),CHAR(92))),"$",_xlfn.CONCAT(CHAR(92),"$")),CHAR(96),_xlfn.CONCAT(CHAR(92),CHAR(96))),CHAR(34),CHAR(39))))</f>
        <v/>
      </c>
      <c r="T915" s="5" t="str">
        <f>IF(OR(TRIM($B915)="",$J915=""),"",IF(OR(ISNUMBER(SEARCH(_xlfn.CONCAT(CHAR(96),CHAR(34)),$J915)),ISNUMBER(SEARCH(_xlfn.CONCAT(CHAR(34),CHAR(39)),$J915))),_xlfn.CONCAT("* REVIEW REQUIRED: compound-quote delimiter in Notes on Sheet 1 row ",915,"; edit the input before running."),_xlfn.CONCAT("char ",TRIM($B915),"[doc_notes] ",CHAR(96),CHAR(34),SUBSTITUTE(SUBSTITUTE(SUBSTITUTE(SUBSTITUTE(SUBSTITUTE(SUBSTITUTE($J915,CHAR(13)," "),CHAR(10)," "),CHAR(9)," "),CHAR(92),_xlfn.CONCAT(CHAR(92),CHAR(92))),"$",_xlfn.CONCAT(CHAR(92),"$")),CHAR(96),_xlfn.CONCAT(CHAR(92),CHAR(96))),CHAR(34),CHAR(39))))</f>
        <v/>
      </c>
      <c r="U915" s="5">
        <f t="shared" si="27"/>
        <v>0</v>
      </c>
    </row>
    <row r="916" spans="3:21" ht="30" customHeight="1" x14ac:dyDescent="0.2">
      <c r="C916" s="4"/>
      <c r="K916" s="5">
        <f t="shared" ref="K916:K979" si="28">COUNTIF(L916:T916,"?*")</f>
        <v>0</v>
      </c>
      <c r="L916" s="5" t="str">
        <f>IF(OR(TRIM($B916)="",$A916=""),"",IF(OR(ISNUMBER(SEARCH(_xlfn.CONCAT(CHAR(96),CHAR(34)),$A916)),ISNUMBER(SEARCH(_xlfn.CONCAT(CHAR(34),CHAR(39)),$A916))),_xlfn.CONCAT("* REVIEW REQUIRED: compound-quote delimiter in Codebook Section on Sheet 1 row ",916,"; edit the input before running."),_xlfn.CONCAT("char ",TRIM($B916),"[doc_section] ",CHAR(96),CHAR(34),SUBSTITUTE(SUBSTITUTE(SUBSTITUTE(SUBSTITUTE(SUBSTITUTE(SUBSTITUTE($A916,CHAR(13)," "),CHAR(10)," "),CHAR(9)," "),CHAR(92),_xlfn.CONCAT(CHAR(92),CHAR(92))),"$",_xlfn.CONCAT(CHAR(92),"$")),CHAR(96),_xlfn.CONCAT(CHAR(92),CHAR(96))),CHAR(34),CHAR(39))))</f>
        <v/>
      </c>
      <c r="M916" s="5" t="str">
        <f>IF(OR(TRIM($B916)="",$C916=""),"",IF(IFERROR(MATCH(TRIM($C916),{"Quantitative","Continuous","Discrete","Categorical","Nominal","Ordinal","Identifier"},0),0)=0,_xlfn.CONCAT("* REVIEW REQUIRED: invalid Variable Type on Sheet 1 row ",916,"."),_xlfn.CONCAT("char ",TRIM($B916),"[doc_vartype] ",CHAR(96),CHAR(34),SUBSTITUTE(SUBSTITUTE(SUBSTITUTE(SUBSTITUTE(SUBSTITUTE(SUBSTITUTE(LOWER(TRIM($C916)),CHAR(13)," "),CHAR(10)," "),CHAR(9)," "),CHAR(92),_xlfn.CONCAT(CHAR(92),CHAR(92))),"$",_xlfn.CONCAT(CHAR(92),"$")),CHAR(96),_xlfn.CONCAT(CHAR(92),CHAR(96))),CHAR(34),CHAR(39))))</f>
        <v/>
      </c>
      <c r="N916" s="5" t="str">
        <f>IF(OR(TRIM($B916)="",$D916=""),"",IF(OR(ISNUMBER(SEARCH(_xlfn.CONCAT(CHAR(96),CHAR(34)),$D916)),ISNUMBER(SEARCH(_xlfn.CONCAT(CHAR(34),CHAR(39)),$D916))),_xlfn.CONCAT("* REVIEW REQUIRED: compound-quote delimiter in Item Number on Sheet 1 row ",916,"; edit the input before running."),_xlfn.CONCAT("char ",TRIM($B916),"[doc_itemnum] ",CHAR(96),CHAR(34),SUBSTITUTE(SUBSTITUTE(SUBSTITUTE(SUBSTITUTE(SUBSTITUTE(SUBSTITUTE($D916,CHAR(13)," "),CHAR(10)," "),CHAR(9)," "),CHAR(92),_xlfn.CONCAT(CHAR(92),CHAR(92))),"$",_xlfn.CONCAT(CHAR(92),"$")),CHAR(96),_xlfn.CONCAT(CHAR(92),CHAR(96))),CHAR(34),CHAR(39))))</f>
        <v/>
      </c>
      <c r="O916" s="5" t="str">
        <f>IF(OR(TRIM($B916)="",$E916=""),"",IF(OR(ISNUMBER(SEARCH(_xlfn.CONCAT(CHAR(96),CHAR(34)),$E916)),ISNUMBER(SEARCH(_xlfn.CONCAT(CHAR(34),CHAR(39)),$E916))),_xlfn.CONCAT("* REVIEW REQUIRED: compound-quote delimiter in Question Wording on Sheet 1 row ",916,"; edit the input before running."),_xlfn.CONCAT("char ",TRIM($B916),"[doc_question] ",CHAR(96),CHAR(34),SUBSTITUTE(SUBSTITUTE(SUBSTITUTE(SUBSTITUTE(SUBSTITUTE(SUBSTITUTE($E916,CHAR(13)," "),CHAR(10)," "),CHAR(9)," "),CHAR(92),_xlfn.CONCAT(CHAR(92),CHAR(92))),"$",_xlfn.CONCAT(CHAR(92),"$")),CHAR(96),_xlfn.CONCAT(CHAR(92),CHAR(96))),CHAR(34),CHAR(39))))</f>
        <v/>
      </c>
      <c r="P916" s="5" t="str">
        <f>IF(OR(TRIM($B916)="",$F916=""),"",IF(OR(ISNUMBER(SEARCH(_xlfn.CONCAT(CHAR(96),CHAR(34)),$F916)),ISNUMBER(SEARCH(_xlfn.CONCAT(CHAR(34),CHAR(39)),$F916))),_xlfn.CONCAT("* REVIEW REQUIRED: compound-quote delimiter in Units on Sheet 1 row ",916,"; edit the input before running."),_xlfn.CONCAT("char ",TRIM($B916),"[doc_units] ",CHAR(96),CHAR(34),SUBSTITUTE(SUBSTITUTE(SUBSTITUTE(SUBSTITUTE(SUBSTITUTE(SUBSTITUTE($F916,CHAR(13)," "),CHAR(10)," "),CHAR(9)," "),CHAR(92),_xlfn.CONCAT(CHAR(92),CHAR(92))),"$",_xlfn.CONCAT(CHAR(92),"$")),CHAR(96),_xlfn.CONCAT(CHAR(92),CHAR(96))),CHAR(34),CHAR(39))))</f>
        <v/>
      </c>
      <c r="Q916" s="5" t="str">
        <f>IF(OR(TRIM($B916)="",$G916=""),"",IF(OR(ISNUMBER(SEARCH(_xlfn.CONCAT(CHAR(96),CHAR(34)),$G916)),ISNUMBER(SEARCH(_xlfn.CONCAT(CHAR(34),CHAR(39)),$G916))),_xlfn.CONCAT("* REVIEW REQUIRED: compound-quote delimiter in Universe on Sheet 1 row ",916,"; edit the input before running."),_xlfn.CONCAT("char ",TRIM($B916),"[doc_universe] ",CHAR(96),CHAR(34),SUBSTITUTE(SUBSTITUTE(SUBSTITUTE(SUBSTITUTE(SUBSTITUTE(SUBSTITUTE($G916,CHAR(13)," "),CHAR(10)," "),CHAR(9)," "),CHAR(92),_xlfn.CONCAT(CHAR(92),CHAR(92))),"$",_xlfn.CONCAT(CHAR(92),"$")),CHAR(96),_xlfn.CONCAT(CHAR(92),CHAR(96))),CHAR(34),CHAR(39))))</f>
        <v/>
      </c>
      <c r="R916" s="5" t="str">
        <f>IF(OR(TRIM($B916)="",$H916=""),"",IF(OR(ISNUMBER(SEARCH(_xlfn.CONCAT(CHAR(96),CHAR(34)),$H916)),ISNUMBER(SEARCH(_xlfn.CONCAT(CHAR(34),CHAR(39)),$H916))),_xlfn.CONCAT("* REVIEW REQUIRED: compound-quote delimiter in Source on Sheet 1 row ",916,"; edit the input before running."),_xlfn.CONCAT("char ",TRIM($B916),"[doc_source] ",CHAR(96),CHAR(34),SUBSTITUTE(SUBSTITUTE(SUBSTITUTE(SUBSTITUTE(SUBSTITUTE(SUBSTITUTE($H916,CHAR(13)," "),CHAR(10)," "),CHAR(9)," "),CHAR(92),_xlfn.CONCAT(CHAR(92),CHAR(92))),"$",_xlfn.CONCAT(CHAR(92),"$")),CHAR(96),_xlfn.CONCAT(CHAR(92),CHAR(96))),CHAR(34),CHAR(39))))</f>
        <v/>
      </c>
      <c r="S916" s="5" t="str">
        <f>IF(OR(TRIM($B916)="",$I916=""),"",IF(OR(ISNUMBER(SEARCH(_xlfn.CONCAT(CHAR(96),CHAR(34)),$I916)),ISNUMBER(SEARCH(_xlfn.CONCAT(CHAR(34),CHAR(39)),$I916))),_xlfn.CONCAT("* REVIEW REQUIRED: compound-quote delimiter in Derivation on Sheet 1 row ",916,"; edit the input before running."),_xlfn.CONCAT("char ",TRIM($B916),"[doc_derivation] ",CHAR(96),CHAR(34),SUBSTITUTE(SUBSTITUTE(SUBSTITUTE(SUBSTITUTE(SUBSTITUTE(SUBSTITUTE($I916,CHAR(13)," "),CHAR(10)," "),CHAR(9)," "),CHAR(92),_xlfn.CONCAT(CHAR(92),CHAR(92))),"$",_xlfn.CONCAT(CHAR(92),"$")),CHAR(96),_xlfn.CONCAT(CHAR(92),CHAR(96))),CHAR(34),CHAR(39))))</f>
        <v/>
      </c>
      <c r="T916" s="5" t="str">
        <f>IF(OR(TRIM($B916)="",$J916=""),"",IF(OR(ISNUMBER(SEARCH(_xlfn.CONCAT(CHAR(96),CHAR(34)),$J916)),ISNUMBER(SEARCH(_xlfn.CONCAT(CHAR(34),CHAR(39)),$J916))),_xlfn.CONCAT("* REVIEW REQUIRED: compound-quote delimiter in Notes on Sheet 1 row ",916,"; edit the input before running."),_xlfn.CONCAT("char ",TRIM($B916),"[doc_notes] ",CHAR(96),CHAR(34),SUBSTITUTE(SUBSTITUTE(SUBSTITUTE(SUBSTITUTE(SUBSTITUTE(SUBSTITUTE($J916,CHAR(13)," "),CHAR(10)," "),CHAR(9)," "),CHAR(92),_xlfn.CONCAT(CHAR(92),CHAR(92))),"$",_xlfn.CONCAT(CHAR(92),"$")),CHAR(96),_xlfn.CONCAT(CHAR(92),CHAR(96))),CHAR(34),CHAR(39))))</f>
        <v/>
      </c>
      <c r="U916" s="5">
        <f t="shared" ref="U916:U979" si="29">COUNTIF(L916:T916,"*REVIEW REQUIRED*")</f>
        <v>0</v>
      </c>
    </row>
    <row r="917" spans="3:21" ht="30" customHeight="1" x14ac:dyDescent="0.2">
      <c r="C917" s="4"/>
      <c r="K917" s="5">
        <f t="shared" si="28"/>
        <v>0</v>
      </c>
      <c r="L917" s="5" t="str">
        <f>IF(OR(TRIM($B917)="",$A917=""),"",IF(OR(ISNUMBER(SEARCH(_xlfn.CONCAT(CHAR(96),CHAR(34)),$A917)),ISNUMBER(SEARCH(_xlfn.CONCAT(CHAR(34),CHAR(39)),$A917))),_xlfn.CONCAT("* REVIEW REQUIRED: compound-quote delimiter in Codebook Section on Sheet 1 row ",917,"; edit the input before running."),_xlfn.CONCAT("char ",TRIM($B917),"[doc_section] ",CHAR(96),CHAR(34),SUBSTITUTE(SUBSTITUTE(SUBSTITUTE(SUBSTITUTE(SUBSTITUTE(SUBSTITUTE($A917,CHAR(13)," "),CHAR(10)," "),CHAR(9)," "),CHAR(92),_xlfn.CONCAT(CHAR(92),CHAR(92))),"$",_xlfn.CONCAT(CHAR(92),"$")),CHAR(96),_xlfn.CONCAT(CHAR(92),CHAR(96))),CHAR(34),CHAR(39))))</f>
        <v/>
      </c>
      <c r="M917" s="5" t="str">
        <f>IF(OR(TRIM($B917)="",$C917=""),"",IF(IFERROR(MATCH(TRIM($C917),{"Quantitative","Continuous","Discrete","Categorical","Nominal","Ordinal","Identifier"},0),0)=0,_xlfn.CONCAT("* REVIEW REQUIRED: invalid Variable Type on Sheet 1 row ",917,"."),_xlfn.CONCAT("char ",TRIM($B917),"[doc_vartype] ",CHAR(96),CHAR(34),SUBSTITUTE(SUBSTITUTE(SUBSTITUTE(SUBSTITUTE(SUBSTITUTE(SUBSTITUTE(LOWER(TRIM($C917)),CHAR(13)," "),CHAR(10)," "),CHAR(9)," "),CHAR(92),_xlfn.CONCAT(CHAR(92),CHAR(92))),"$",_xlfn.CONCAT(CHAR(92),"$")),CHAR(96),_xlfn.CONCAT(CHAR(92),CHAR(96))),CHAR(34),CHAR(39))))</f>
        <v/>
      </c>
      <c r="N917" s="5" t="str">
        <f>IF(OR(TRIM($B917)="",$D917=""),"",IF(OR(ISNUMBER(SEARCH(_xlfn.CONCAT(CHAR(96),CHAR(34)),$D917)),ISNUMBER(SEARCH(_xlfn.CONCAT(CHAR(34),CHAR(39)),$D917))),_xlfn.CONCAT("* REVIEW REQUIRED: compound-quote delimiter in Item Number on Sheet 1 row ",917,"; edit the input before running."),_xlfn.CONCAT("char ",TRIM($B917),"[doc_itemnum] ",CHAR(96),CHAR(34),SUBSTITUTE(SUBSTITUTE(SUBSTITUTE(SUBSTITUTE(SUBSTITUTE(SUBSTITUTE($D917,CHAR(13)," "),CHAR(10)," "),CHAR(9)," "),CHAR(92),_xlfn.CONCAT(CHAR(92),CHAR(92))),"$",_xlfn.CONCAT(CHAR(92),"$")),CHAR(96),_xlfn.CONCAT(CHAR(92),CHAR(96))),CHAR(34),CHAR(39))))</f>
        <v/>
      </c>
      <c r="O917" s="5" t="str">
        <f>IF(OR(TRIM($B917)="",$E917=""),"",IF(OR(ISNUMBER(SEARCH(_xlfn.CONCAT(CHAR(96),CHAR(34)),$E917)),ISNUMBER(SEARCH(_xlfn.CONCAT(CHAR(34),CHAR(39)),$E917))),_xlfn.CONCAT("* REVIEW REQUIRED: compound-quote delimiter in Question Wording on Sheet 1 row ",917,"; edit the input before running."),_xlfn.CONCAT("char ",TRIM($B917),"[doc_question] ",CHAR(96),CHAR(34),SUBSTITUTE(SUBSTITUTE(SUBSTITUTE(SUBSTITUTE(SUBSTITUTE(SUBSTITUTE($E917,CHAR(13)," "),CHAR(10)," "),CHAR(9)," "),CHAR(92),_xlfn.CONCAT(CHAR(92),CHAR(92))),"$",_xlfn.CONCAT(CHAR(92),"$")),CHAR(96),_xlfn.CONCAT(CHAR(92),CHAR(96))),CHAR(34),CHAR(39))))</f>
        <v/>
      </c>
      <c r="P917" s="5" t="str">
        <f>IF(OR(TRIM($B917)="",$F917=""),"",IF(OR(ISNUMBER(SEARCH(_xlfn.CONCAT(CHAR(96),CHAR(34)),$F917)),ISNUMBER(SEARCH(_xlfn.CONCAT(CHAR(34),CHAR(39)),$F917))),_xlfn.CONCAT("* REVIEW REQUIRED: compound-quote delimiter in Units on Sheet 1 row ",917,"; edit the input before running."),_xlfn.CONCAT("char ",TRIM($B917),"[doc_units] ",CHAR(96),CHAR(34),SUBSTITUTE(SUBSTITUTE(SUBSTITUTE(SUBSTITUTE(SUBSTITUTE(SUBSTITUTE($F917,CHAR(13)," "),CHAR(10)," "),CHAR(9)," "),CHAR(92),_xlfn.CONCAT(CHAR(92),CHAR(92))),"$",_xlfn.CONCAT(CHAR(92),"$")),CHAR(96),_xlfn.CONCAT(CHAR(92),CHAR(96))),CHAR(34),CHAR(39))))</f>
        <v/>
      </c>
      <c r="Q917" s="5" t="str">
        <f>IF(OR(TRIM($B917)="",$G917=""),"",IF(OR(ISNUMBER(SEARCH(_xlfn.CONCAT(CHAR(96),CHAR(34)),$G917)),ISNUMBER(SEARCH(_xlfn.CONCAT(CHAR(34),CHAR(39)),$G917))),_xlfn.CONCAT("* REVIEW REQUIRED: compound-quote delimiter in Universe on Sheet 1 row ",917,"; edit the input before running."),_xlfn.CONCAT("char ",TRIM($B917),"[doc_universe] ",CHAR(96),CHAR(34),SUBSTITUTE(SUBSTITUTE(SUBSTITUTE(SUBSTITUTE(SUBSTITUTE(SUBSTITUTE($G917,CHAR(13)," "),CHAR(10)," "),CHAR(9)," "),CHAR(92),_xlfn.CONCAT(CHAR(92),CHAR(92))),"$",_xlfn.CONCAT(CHAR(92),"$")),CHAR(96),_xlfn.CONCAT(CHAR(92),CHAR(96))),CHAR(34),CHAR(39))))</f>
        <v/>
      </c>
      <c r="R917" s="5" t="str">
        <f>IF(OR(TRIM($B917)="",$H917=""),"",IF(OR(ISNUMBER(SEARCH(_xlfn.CONCAT(CHAR(96),CHAR(34)),$H917)),ISNUMBER(SEARCH(_xlfn.CONCAT(CHAR(34),CHAR(39)),$H917))),_xlfn.CONCAT("* REVIEW REQUIRED: compound-quote delimiter in Source on Sheet 1 row ",917,"; edit the input before running."),_xlfn.CONCAT("char ",TRIM($B917),"[doc_source] ",CHAR(96),CHAR(34),SUBSTITUTE(SUBSTITUTE(SUBSTITUTE(SUBSTITUTE(SUBSTITUTE(SUBSTITUTE($H917,CHAR(13)," "),CHAR(10)," "),CHAR(9)," "),CHAR(92),_xlfn.CONCAT(CHAR(92),CHAR(92))),"$",_xlfn.CONCAT(CHAR(92),"$")),CHAR(96),_xlfn.CONCAT(CHAR(92),CHAR(96))),CHAR(34),CHAR(39))))</f>
        <v/>
      </c>
      <c r="S917" s="5" t="str">
        <f>IF(OR(TRIM($B917)="",$I917=""),"",IF(OR(ISNUMBER(SEARCH(_xlfn.CONCAT(CHAR(96),CHAR(34)),$I917)),ISNUMBER(SEARCH(_xlfn.CONCAT(CHAR(34),CHAR(39)),$I917))),_xlfn.CONCAT("* REVIEW REQUIRED: compound-quote delimiter in Derivation on Sheet 1 row ",917,"; edit the input before running."),_xlfn.CONCAT("char ",TRIM($B917),"[doc_derivation] ",CHAR(96),CHAR(34),SUBSTITUTE(SUBSTITUTE(SUBSTITUTE(SUBSTITUTE(SUBSTITUTE(SUBSTITUTE($I917,CHAR(13)," "),CHAR(10)," "),CHAR(9)," "),CHAR(92),_xlfn.CONCAT(CHAR(92),CHAR(92))),"$",_xlfn.CONCAT(CHAR(92),"$")),CHAR(96),_xlfn.CONCAT(CHAR(92),CHAR(96))),CHAR(34),CHAR(39))))</f>
        <v/>
      </c>
      <c r="T917" s="5" t="str">
        <f>IF(OR(TRIM($B917)="",$J917=""),"",IF(OR(ISNUMBER(SEARCH(_xlfn.CONCAT(CHAR(96),CHAR(34)),$J917)),ISNUMBER(SEARCH(_xlfn.CONCAT(CHAR(34),CHAR(39)),$J917))),_xlfn.CONCAT("* REVIEW REQUIRED: compound-quote delimiter in Notes on Sheet 1 row ",917,"; edit the input before running."),_xlfn.CONCAT("char ",TRIM($B917),"[doc_notes] ",CHAR(96),CHAR(34),SUBSTITUTE(SUBSTITUTE(SUBSTITUTE(SUBSTITUTE(SUBSTITUTE(SUBSTITUTE($J917,CHAR(13)," "),CHAR(10)," "),CHAR(9)," "),CHAR(92),_xlfn.CONCAT(CHAR(92),CHAR(92))),"$",_xlfn.CONCAT(CHAR(92),"$")),CHAR(96),_xlfn.CONCAT(CHAR(92),CHAR(96))),CHAR(34),CHAR(39))))</f>
        <v/>
      </c>
      <c r="U917" s="5">
        <f t="shared" si="29"/>
        <v>0</v>
      </c>
    </row>
    <row r="918" spans="3:21" ht="30" customHeight="1" x14ac:dyDescent="0.2">
      <c r="C918" s="4"/>
      <c r="K918" s="5">
        <f t="shared" si="28"/>
        <v>0</v>
      </c>
      <c r="L918" s="5" t="str">
        <f>IF(OR(TRIM($B918)="",$A918=""),"",IF(OR(ISNUMBER(SEARCH(_xlfn.CONCAT(CHAR(96),CHAR(34)),$A918)),ISNUMBER(SEARCH(_xlfn.CONCAT(CHAR(34),CHAR(39)),$A918))),_xlfn.CONCAT("* REVIEW REQUIRED: compound-quote delimiter in Codebook Section on Sheet 1 row ",918,"; edit the input before running."),_xlfn.CONCAT("char ",TRIM($B918),"[doc_section] ",CHAR(96),CHAR(34),SUBSTITUTE(SUBSTITUTE(SUBSTITUTE(SUBSTITUTE(SUBSTITUTE(SUBSTITUTE($A918,CHAR(13)," "),CHAR(10)," "),CHAR(9)," "),CHAR(92),_xlfn.CONCAT(CHAR(92),CHAR(92))),"$",_xlfn.CONCAT(CHAR(92),"$")),CHAR(96),_xlfn.CONCAT(CHAR(92),CHAR(96))),CHAR(34),CHAR(39))))</f>
        <v/>
      </c>
      <c r="M918" s="5" t="str">
        <f>IF(OR(TRIM($B918)="",$C918=""),"",IF(IFERROR(MATCH(TRIM($C918),{"Quantitative","Continuous","Discrete","Categorical","Nominal","Ordinal","Identifier"},0),0)=0,_xlfn.CONCAT("* REVIEW REQUIRED: invalid Variable Type on Sheet 1 row ",918,"."),_xlfn.CONCAT("char ",TRIM($B918),"[doc_vartype] ",CHAR(96),CHAR(34),SUBSTITUTE(SUBSTITUTE(SUBSTITUTE(SUBSTITUTE(SUBSTITUTE(SUBSTITUTE(LOWER(TRIM($C918)),CHAR(13)," "),CHAR(10)," "),CHAR(9)," "),CHAR(92),_xlfn.CONCAT(CHAR(92),CHAR(92))),"$",_xlfn.CONCAT(CHAR(92),"$")),CHAR(96),_xlfn.CONCAT(CHAR(92),CHAR(96))),CHAR(34),CHAR(39))))</f>
        <v/>
      </c>
      <c r="N918" s="5" t="str">
        <f>IF(OR(TRIM($B918)="",$D918=""),"",IF(OR(ISNUMBER(SEARCH(_xlfn.CONCAT(CHAR(96),CHAR(34)),$D918)),ISNUMBER(SEARCH(_xlfn.CONCAT(CHAR(34),CHAR(39)),$D918))),_xlfn.CONCAT("* REVIEW REQUIRED: compound-quote delimiter in Item Number on Sheet 1 row ",918,"; edit the input before running."),_xlfn.CONCAT("char ",TRIM($B918),"[doc_itemnum] ",CHAR(96),CHAR(34),SUBSTITUTE(SUBSTITUTE(SUBSTITUTE(SUBSTITUTE(SUBSTITUTE(SUBSTITUTE($D918,CHAR(13)," "),CHAR(10)," "),CHAR(9)," "),CHAR(92),_xlfn.CONCAT(CHAR(92),CHAR(92))),"$",_xlfn.CONCAT(CHAR(92),"$")),CHAR(96),_xlfn.CONCAT(CHAR(92),CHAR(96))),CHAR(34),CHAR(39))))</f>
        <v/>
      </c>
      <c r="O918" s="5" t="str">
        <f>IF(OR(TRIM($B918)="",$E918=""),"",IF(OR(ISNUMBER(SEARCH(_xlfn.CONCAT(CHAR(96),CHAR(34)),$E918)),ISNUMBER(SEARCH(_xlfn.CONCAT(CHAR(34),CHAR(39)),$E918))),_xlfn.CONCAT("* REVIEW REQUIRED: compound-quote delimiter in Question Wording on Sheet 1 row ",918,"; edit the input before running."),_xlfn.CONCAT("char ",TRIM($B918),"[doc_question] ",CHAR(96),CHAR(34),SUBSTITUTE(SUBSTITUTE(SUBSTITUTE(SUBSTITUTE(SUBSTITUTE(SUBSTITUTE($E918,CHAR(13)," "),CHAR(10)," "),CHAR(9)," "),CHAR(92),_xlfn.CONCAT(CHAR(92),CHAR(92))),"$",_xlfn.CONCAT(CHAR(92),"$")),CHAR(96),_xlfn.CONCAT(CHAR(92),CHAR(96))),CHAR(34),CHAR(39))))</f>
        <v/>
      </c>
      <c r="P918" s="5" t="str">
        <f>IF(OR(TRIM($B918)="",$F918=""),"",IF(OR(ISNUMBER(SEARCH(_xlfn.CONCAT(CHAR(96),CHAR(34)),$F918)),ISNUMBER(SEARCH(_xlfn.CONCAT(CHAR(34),CHAR(39)),$F918))),_xlfn.CONCAT("* REVIEW REQUIRED: compound-quote delimiter in Units on Sheet 1 row ",918,"; edit the input before running."),_xlfn.CONCAT("char ",TRIM($B918),"[doc_units] ",CHAR(96),CHAR(34),SUBSTITUTE(SUBSTITUTE(SUBSTITUTE(SUBSTITUTE(SUBSTITUTE(SUBSTITUTE($F918,CHAR(13)," "),CHAR(10)," "),CHAR(9)," "),CHAR(92),_xlfn.CONCAT(CHAR(92),CHAR(92))),"$",_xlfn.CONCAT(CHAR(92),"$")),CHAR(96),_xlfn.CONCAT(CHAR(92),CHAR(96))),CHAR(34),CHAR(39))))</f>
        <v/>
      </c>
      <c r="Q918" s="5" t="str">
        <f>IF(OR(TRIM($B918)="",$G918=""),"",IF(OR(ISNUMBER(SEARCH(_xlfn.CONCAT(CHAR(96),CHAR(34)),$G918)),ISNUMBER(SEARCH(_xlfn.CONCAT(CHAR(34),CHAR(39)),$G918))),_xlfn.CONCAT("* REVIEW REQUIRED: compound-quote delimiter in Universe on Sheet 1 row ",918,"; edit the input before running."),_xlfn.CONCAT("char ",TRIM($B918),"[doc_universe] ",CHAR(96),CHAR(34),SUBSTITUTE(SUBSTITUTE(SUBSTITUTE(SUBSTITUTE(SUBSTITUTE(SUBSTITUTE($G918,CHAR(13)," "),CHAR(10)," "),CHAR(9)," "),CHAR(92),_xlfn.CONCAT(CHAR(92),CHAR(92))),"$",_xlfn.CONCAT(CHAR(92),"$")),CHAR(96),_xlfn.CONCAT(CHAR(92),CHAR(96))),CHAR(34),CHAR(39))))</f>
        <v/>
      </c>
      <c r="R918" s="5" t="str">
        <f>IF(OR(TRIM($B918)="",$H918=""),"",IF(OR(ISNUMBER(SEARCH(_xlfn.CONCAT(CHAR(96),CHAR(34)),$H918)),ISNUMBER(SEARCH(_xlfn.CONCAT(CHAR(34),CHAR(39)),$H918))),_xlfn.CONCAT("* REVIEW REQUIRED: compound-quote delimiter in Source on Sheet 1 row ",918,"; edit the input before running."),_xlfn.CONCAT("char ",TRIM($B918),"[doc_source] ",CHAR(96),CHAR(34),SUBSTITUTE(SUBSTITUTE(SUBSTITUTE(SUBSTITUTE(SUBSTITUTE(SUBSTITUTE($H918,CHAR(13)," "),CHAR(10)," "),CHAR(9)," "),CHAR(92),_xlfn.CONCAT(CHAR(92),CHAR(92))),"$",_xlfn.CONCAT(CHAR(92),"$")),CHAR(96),_xlfn.CONCAT(CHAR(92),CHAR(96))),CHAR(34),CHAR(39))))</f>
        <v/>
      </c>
      <c r="S918" s="5" t="str">
        <f>IF(OR(TRIM($B918)="",$I918=""),"",IF(OR(ISNUMBER(SEARCH(_xlfn.CONCAT(CHAR(96),CHAR(34)),$I918)),ISNUMBER(SEARCH(_xlfn.CONCAT(CHAR(34),CHAR(39)),$I918))),_xlfn.CONCAT("* REVIEW REQUIRED: compound-quote delimiter in Derivation on Sheet 1 row ",918,"; edit the input before running."),_xlfn.CONCAT("char ",TRIM($B918),"[doc_derivation] ",CHAR(96),CHAR(34),SUBSTITUTE(SUBSTITUTE(SUBSTITUTE(SUBSTITUTE(SUBSTITUTE(SUBSTITUTE($I918,CHAR(13)," "),CHAR(10)," "),CHAR(9)," "),CHAR(92),_xlfn.CONCAT(CHAR(92),CHAR(92))),"$",_xlfn.CONCAT(CHAR(92),"$")),CHAR(96),_xlfn.CONCAT(CHAR(92),CHAR(96))),CHAR(34),CHAR(39))))</f>
        <v/>
      </c>
      <c r="T918" s="5" t="str">
        <f>IF(OR(TRIM($B918)="",$J918=""),"",IF(OR(ISNUMBER(SEARCH(_xlfn.CONCAT(CHAR(96),CHAR(34)),$J918)),ISNUMBER(SEARCH(_xlfn.CONCAT(CHAR(34),CHAR(39)),$J918))),_xlfn.CONCAT("* REVIEW REQUIRED: compound-quote delimiter in Notes on Sheet 1 row ",918,"; edit the input before running."),_xlfn.CONCAT("char ",TRIM($B918),"[doc_notes] ",CHAR(96),CHAR(34),SUBSTITUTE(SUBSTITUTE(SUBSTITUTE(SUBSTITUTE(SUBSTITUTE(SUBSTITUTE($J918,CHAR(13)," "),CHAR(10)," "),CHAR(9)," "),CHAR(92),_xlfn.CONCAT(CHAR(92),CHAR(92))),"$",_xlfn.CONCAT(CHAR(92),"$")),CHAR(96),_xlfn.CONCAT(CHAR(92),CHAR(96))),CHAR(34),CHAR(39))))</f>
        <v/>
      </c>
      <c r="U918" s="5">
        <f t="shared" si="29"/>
        <v>0</v>
      </c>
    </row>
    <row r="919" spans="3:21" ht="30" customHeight="1" x14ac:dyDescent="0.2">
      <c r="C919" s="4"/>
      <c r="K919" s="5">
        <f t="shared" si="28"/>
        <v>0</v>
      </c>
      <c r="L919" s="5" t="str">
        <f>IF(OR(TRIM($B919)="",$A919=""),"",IF(OR(ISNUMBER(SEARCH(_xlfn.CONCAT(CHAR(96),CHAR(34)),$A919)),ISNUMBER(SEARCH(_xlfn.CONCAT(CHAR(34),CHAR(39)),$A919))),_xlfn.CONCAT("* REVIEW REQUIRED: compound-quote delimiter in Codebook Section on Sheet 1 row ",919,"; edit the input before running."),_xlfn.CONCAT("char ",TRIM($B919),"[doc_section] ",CHAR(96),CHAR(34),SUBSTITUTE(SUBSTITUTE(SUBSTITUTE(SUBSTITUTE(SUBSTITUTE(SUBSTITUTE($A919,CHAR(13)," "),CHAR(10)," "),CHAR(9)," "),CHAR(92),_xlfn.CONCAT(CHAR(92),CHAR(92))),"$",_xlfn.CONCAT(CHAR(92),"$")),CHAR(96),_xlfn.CONCAT(CHAR(92),CHAR(96))),CHAR(34),CHAR(39))))</f>
        <v/>
      </c>
      <c r="M919" s="5" t="str">
        <f>IF(OR(TRIM($B919)="",$C919=""),"",IF(IFERROR(MATCH(TRIM($C919),{"Quantitative","Continuous","Discrete","Categorical","Nominal","Ordinal","Identifier"},0),0)=0,_xlfn.CONCAT("* REVIEW REQUIRED: invalid Variable Type on Sheet 1 row ",919,"."),_xlfn.CONCAT("char ",TRIM($B919),"[doc_vartype] ",CHAR(96),CHAR(34),SUBSTITUTE(SUBSTITUTE(SUBSTITUTE(SUBSTITUTE(SUBSTITUTE(SUBSTITUTE(LOWER(TRIM($C919)),CHAR(13)," "),CHAR(10)," "),CHAR(9)," "),CHAR(92),_xlfn.CONCAT(CHAR(92),CHAR(92))),"$",_xlfn.CONCAT(CHAR(92),"$")),CHAR(96),_xlfn.CONCAT(CHAR(92),CHAR(96))),CHAR(34),CHAR(39))))</f>
        <v/>
      </c>
      <c r="N919" s="5" t="str">
        <f>IF(OR(TRIM($B919)="",$D919=""),"",IF(OR(ISNUMBER(SEARCH(_xlfn.CONCAT(CHAR(96),CHAR(34)),$D919)),ISNUMBER(SEARCH(_xlfn.CONCAT(CHAR(34),CHAR(39)),$D919))),_xlfn.CONCAT("* REVIEW REQUIRED: compound-quote delimiter in Item Number on Sheet 1 row ",919,"; edit the input before running."),_xlfn.CONCAT("char ",TRIM($B919),"[doc_itemnum] ",CHAR(96),CHAR(34),SUBSTITUTE(SUBSTITUTE(SUBSTITUTE(SUBSTITUTE(SUBSTITUTE(SUBSTITUTE($D919,CHAR(13)," "),CHAR(10)," "),CHAR(9)," "),CHAR(92),_xlfn.CONCAT(CHAR(92),CHAR(92))),"$",_xlfn.CONCAT(CHAR(92),"$")),CHAR(96),_xlfn.CONCAT(CHAR(92),CHAR(96))),CHAR(34),CHAR(39))))</f>
        <v/>
      </c>
      <c r="O919" s="5" t="str">
        <f>IF(OR(TRIM($B919)="",$E919=""),"",IF(OR(ISNUMBER(SEARCH(_xlfn.CONCAT(CHAR(96),CHAR(34)),$E919)),ISNUMBER(SEARCH(_xlfn.CONCAT(CHAR(34),CHAR(39)),$E919))),_xlfn.CONCAT("* REVIEW REQUIRED: compound-quote delimiter in Question Wording on Sheet 1 row ",919,"; edit the input before running."),_xlfn.CONCAT("char ",TRIM($B919),"[doc_question] ",CHAR(96),CHAR(34),SUBSTITUTE(SUBSTITUTE(SUBSTITUTE(SUBSTITUTE(SUBSTITUTE(SUBSTITUTE($E919,CHAR(13)," "),CHAR(10)," "),CHAR(9)," "),CHAR(92),_xlfn.CONCAT(CHAR(92),CHAR(92))),"$",_xlfn.CONCAT(CHAR(92),"$")),CHAR(96),_xlfn.CONCAT(CHAR(92),CHAR(96))),CHAR(34),CHAR(39))))</f>
        <v/>
      </c>
      <c r="P919" s="5" t="str">
        <f>IF(OR(TRIM($B919)="",$F919=""),"",IF(OR(ISNUMBER(SEARCH(_xlfn.CONCAT(CHAR(96),CHAR(34)),$F919)),ISNUMBER(SEARCH(_xlfn.CONCAT(CHAR(34),CHAR(39)),$F919))),_xlfn.CONCAT("* REVIEW REQUIRED: compound-quote delimiter in Units on Sheet 1 row ",919,"; edit the input before running."),_xlfn.CONCAT("char ",TRIM($B919),"[doc_units] ",CHAR(96),CHAR(34),SUBSTITUTE(SUBSTITUTE(SUBSTITUTE(SUBSTITUTE(SUBSTITUTE(SUBSTITUTE($F919,CHAR(13)," "),CHAR(10)," "),CHAR(9)," "),CHAR(92),_xlfn.CONCAT(CHAR(92),CHAR(92))),"$",_xlfn.CONCAT(CHAR(92),"$")),CHAR(96),_xlfn.CONCAT(CHAR(92),CHAR(96))),CHAR(34),CHAR(39))))</f>
        <v/>
      </c>
      <c r="Q919" s="5" t="str">
        <f>IF(OR(TRIM($B919)="",$G919=""),"",IF(OR(ISNUMBER(SEARCH(_xlfn.CONCAT(CHAR(96),CHAR(34)),$G919)),ISNUMBER(SEARCH(_xlfn.CONCAT(CHAR(34),CHAR(39)),$G919))),_xlfn.CONCAT("* REVIEW REQUIRED: compound-quote delimiter in Universe on Sheet 1 row ",919,"; edit the input before running."),_xlfn.CONCAT("char ",TRIM($B919),"[doc_universe] ",CHAR(96),CHAR(34),SUBSTITUTE(SUBSTITUTE(SUBSTITUTE(SUBSTITUTE(SUBSTITUTE(SUBSTITUTE($G919,CHAR(13)," "),CHAR(10)," "),CHAR(9)," "),CHAR(92),_xlfn.CONCAT(CHAR(92),CHAR(92))),"$",_xlfn.CONCAT(CHAR(92),"$")),CHAR(96),_xlfn.CONCAT(CHAR(92),CHAR(96))),CHAR(34),CHAR(39))))</f>
        <v/>
      </c>
      <c r="R919" s="5" t="str">
        <f>IF(OR(TRIM($B919)="",$H919=""),"",IF(OR(ISNUMBER(SEARCH(_xlfn.CONCAT(CHAR(96),CHAR(34)),$H919)),ISNUMBER(SEARCH(_xlfn.CONCAT(CHAR(34),CHAR(39)),$H919))),_xlfn.CONCAT("* REVIEW REQUIRED: compound-quote delimiter in Source on Sheet 1 row ",919,"; edit the input before running."),_xlfn.CONCAT("char ",TRIM($B919),"[doc_source] ",CHAR(96),CHAR(34),SUBSTITUTE(SUBSTITUTE(SUBSTITUTE(SUBSTITUTE(SUBSTITUTE(SUBSTITUTE($H919,CHAR(13)," "),CHAR(10)," "),CHAR(9)," "),CHAR(92),_xlfn.CONCAT(CHAR(92),CHAR(92))),"$",_xlfn.CONCAT(CHAR(92),"$")),CHAR(96),_xlfn.CONCAT(CHAR(92),CHAR(96))),CHAR(34),CHAR(39))))</f>
        <v/>
      </c>
      <c r="S919" s="5" t="str">
        <f>IF(OR(TRIM($B919)="",$I919=""),"",IF(OR(ISNUMBER(SEARCH(_xlfn.CONCAT(CHAR(96),CHAR(34)),$I919)),ISNUMBER(SEARCH(_xlfn.CONCAT(CHAR(34),CHAR(39)),$I919))),_xlfn.CONCAT("* REVIEW REQUIRED: compound-quote delimiter in Derivation on Sheet 1 row ",919,"; edit the input before running."),_xlfn.CONCAT("char ",TRIM($B919),"[doc_derivation] ",CHAR(96),CHAR(34),SUBSTITUTE(SUBSTITUTE(SUBSTITUTE(SUBSTITUTE(SUBSTITUTE(SUBSTITUTE($I919,CHAR(13)," "),CHAR(10)," "),CHAR(9)," "),CHAR(92),_xlfn.CONCAT(CHAR(92),CHAR(92))),"$",_xlfn.CONCAT(CHAR(92),"$")),CHAR(96),_xlfn.CONCAT(CHAR(92),CHAR(96))),CHAR(34),CHAR(39))))</f>
        <v/>
      </c>
      <c r="T919" s="5" t="str">
        <f>IF(OR(TRIM($B919)="",$J919=""),"",IF(OR(ISNUMBER(SEARCH(_xlfn.CONCAT(CHAR(96),CHAR(34)),$J919)),ISNUMBER(SEARCH(_xlfn.CONCAT(CHAR(34),CHAR(39)),$J919))),_xlfn.CONCAT("* REVIEW REQUIRED: compound-quote delimiter in Notes on Sheet 1 row ",919,"; edit the input before running."),_xlfn.CONCAT("char ",TRIM($B919),"[doc_notes] ",CHAR(96),CHAR(34),SUBSTITUTE(SUBSTITUTE(SUBSTITUTE(SUBSTITUTE(SUBSTITUTE(SUBSTITUTE($J919,CHAR(13)," "),CHAR(10)," "),CHAR(9)," "),CHAR(92),_xlfn.CONCAT(CHAR(92),CHAR(92))),"$",_xlfn.CONCAT(CHAR(92),"$")),CHAR(96),_xlfn.CONCAT(CHAR(92),CHAR(96))),CHAR(34),CHAR(39))))</f>
        <v/>
      </c>
      <c r="U919" s="5">
        <f t="shared" si="29"/>
        <v>0</v>
      </c>
    </row>
    <row r="920" spans="3:21" ht="30" customHeight="1" x14ac:dyDescent="0.2">
      <c r="C920" s="4"/>
      <c r="K920" s="5">
        <f t="shared" si="28"/>
        <v>0</v>
      </c>
      <c r="L920" s="5" t="str">
        <f>IF(OR(TRIM($B920)="",$A920=""),"",IF(OR(ISNUMBER(SEARCH(_xlfn.CONCAT(CHAR(96),CHAR(34)),$A920)),ISNUMBER(SEARCH(_xlfn.CONCAT(CHAR(34),CHAR(39)),$A920))),_xlfn.CONCAT("* REVIEW REQUIRED: compound-quote delimiter in Codebook Section on Sheet 1 row ",920,"; edit the input before running."),_xlfn.CONCAT("char ",TRIM($B920),"[doc_section] ",CHAR(96),CHAR(34),SUBSTITUTE(SUBSTITUTE(SUBSTITUTE(SUBSTITUTE(SUBSTITUTE(SUBSTITUTE($A920,CHAR(13)," "),CHAR(10)," "),CHAR(9)," "),CHAR(92),_xlfn.CONCAT(CHAR(92),CHAR(92))),"$",_xlfn.CONCAT(CHAR(92),"$")),CHAR(96),_xlfn.CONCAT(CHAR(92),CHAR(96))),CHAR(34),CHAR(39))))</f>
        <v/>
      </c>
      <c r="M920" s="5" t="str">
        <f>IF(OR(TRIM($B920)="",$C920=""),"",IF(IFERROR(MATCH(TRIM($C920),{"Quantitative","Continuous","Discrete","Categorical","Nominal","Ordinal","Identifier"},0),0)=0,_xlfn.CONCAT("* REVIEW REQUIRED: invalid Variable Type on Sheet 1 row ",920,"."),_xlfn.CONCAT("char ",TRIM($B920),"[doc_vartype] ",CHAR(96),CHAR(34),SUBSTITUTE(SUBSTITUTE(SUBSTITUTE(SUBSTITUTE(SUBSTITUTE(SUBSTITUTE(LOWER(TRIM($C920)),CHAR(13)," "),CHAR(10)," "),CHAR(9)," "),CHAR(92),_xlfn.CONCAT(CHAR(92),CHAR(92))),"$",_xlfn.CONCAT(CHAR(92),"$")),CHAR(96),_xlfn.CONCAT(CHAR(92),CHAR(96))),CHAR(34),CHAR(39))))</f>
        <v/>
      </c>
      <c r="N920" s="5" t="str">
        <f>IF(OR(TRIM($B920)="",$D920=""),"",IF(OR(ISNUMBER(SEARCH(_xlfn.CONCAT(CHAR(96),CHAR(34)),$D920)),ISNUMBER(SEARCH(_xlfn.CONCAT(CHAR(34),CHAR(39)),$D920))),_xlfn.CONCAT("* REVIEW REQUIRED: compound-quote delimiter in Item Number on Sheet 1 row ",920,"; edit the input before running."),_xlfn.CONCAT("char ",TRIM($B920),"[doc_itemnum] ",CHAR(96),CHAR(34),SUBSTITUTE(SUBSTITUTE(SUBSTITUTE(SUBSTITUTE(SUBSTITUTE(SUBSTITUTE($D920,CHAR(13)," "),CHAR(10)," "),CHAR(9)," "),CHAR(92),_xlfn.CONCAT(CHAR(92),CHAR(92))),"$",_xlfn.CONCAT(CHAR(92),"$")),CHAR(96),_xlfn.CONCAT(CHAR(92),CHAR(96))),CHAR(34),CHAR(39))))</f>
        <v/>
      </c>
      <c r="O920" s="5" t="str">
        <f>IF(OR(TRIM($B920)="",$E920=""),"",IF(OR(ISNUMBER(SEARCH(_xlfn.CONCAT(CHAR(96),CHAR(34)),$E920)),ISNUMBER(SEARCH(_xlfn.CONCAT(CHAR(34),CHAR(39)),$E920))),_xlfn.CONCAT("* REVIEW REQUIRED: compound-quote delimiter in Question Wording on Sheet 1 row ",920,"; edit the input before running."),_xlfn.CONCAT("char ",TRIM($B920),"[doc_question] ",CHAR(96),CHAR(34),SUBSTITUTE(SUBSTITUTE(SUBSTITUTE(SUBSTITUTE(SUBSTITUTE(SUBSTITUTE($E920,CHAR(13)," "),CHAR(10)," "),CHAR(9)," "),CHAR(92),_xlfn.CONCAT(CHAR(92),CHAR(92))),"$",_xlfn.CONCAT(CHAR(92),"$")),CHAR(96),_xlfn.CONCAT(CHAR(92),CHAR(96))),CHAR(34),CHAR(39))))</f>
        <v/>
      </c>
      <c r="P920" s="5" t="str">
        <f>IF(OR(TRIM($B920)="",$F920=""),"",IF(OR(ISNUMBER(SEARCH(_xlfn.CONCAT(CHAR(96),CHAR(34)),$F920)),ISNUMBER(SEARCH(_xlfn.CONCAT(CHAR(34),CHAR(39)),$F920))),_xlfn.CONCAT("* REVIEW REQUIRED: compound-quote delimiter in Units on Sheet 1 row ",920,"; edit the input before running."),_xlfn.CONCAT("char ",TRIM($B920),"[doc_units] ",CHAR(96),CHAR(34),SUBSTITUTE(SUBSTITUTE(SUBSTITUTE(SUBSTITUTE(SUBSTITUTE(SUBSTITUTE($F920,CHAR(13)," "),CHAR(10)," "),CHAR(9)," "),CHAR(92),_xlfn.CONCAT(CHAR(92),CHAR(92))),"$",_xlfn.CONCAT(CHAR(92),"$")),CHAR(96),_xlfn.CONCAT(CHAR(92),CHAR(96))),CHAR(34),CHAR(39))))</f>
        <v/>
      </c>
      <c r="Q920" s="5" t="str">
        <f>IF(OR(TRIM($B920)="",$G920=""),"",IF(OR(ISNUMBER(SEARCH(_xlfn.CONCAT(CHAR(96),CHAR(34)),$G920)),ISNUMBER(SEARCH(_xlfn.CONCAT(CHAR(34),CHAR(39)),$G920))),_xlfn.CONCAT("* REVIEW REQUIRED: compound-quote delimiter in Universe on Sheet 1 row ",920,"; edit the input before running."),_xlfn.CONCAT("char ",TRIM($B920),"[doc_universe] ",CHAR(96),CHAR(34),SUBSTITUTE(SUBSTITUTE(SUBSTITUTE(SUBSTITUTE(SUBSTITUTE(SUBSTITUTE($G920,CHAR(13)," "),CHAR(10)," "),CHAR(9)," "),CHAR(92),_xlfn.CONCAT(CHAR(92),CHAR(92))),"$",_xlfn.CONCAT(CHAR(92),"$")),CHAR(96),_xlfn.CONCAT(CHAR(92),CHAR(96))),CHAR(34),CHAR(39))))</f>
        <v/>
      </c>
      <c r="R920" s="5" t="str">
        <f>IF(OR(TRIM($B920)="",$H920=""),"",IF(OR(ISNUMBER(SEARCH(_xlfn.CONCAT(CHAR(96),CHAR(34)),$H920)),ISNUMBER(SEARCH(_xlfn.CONCAT(CHAR(34),CHAR(39)),$H920))),_xlfn.CONCAT("* REVIEW REQUIRED: compound-quote delimiter in Source on Sheet 1 row ",920,"; edit the input before running."),_xlfn.CONCAT("char ",TRIM($B920),"[doc_source] ",CHAR(96),CHAR(34),SUBSTITUTE(SUBSTITUTE(SUBSTITUTE(SUBSTITUTE(SUBSTITUTE(SUBSTITUTE($H920,CHAR(13)," "),CHAR(10)," "),CHAR(9)," "),CHAR(92),_xlfn.CONCAT(CHAR(92),CHAR(92))),"$",_xlfn.CONCAT(CHAR(92),"$")),CHAR(96),_xlfn.CONCAT(CHAR(92),CHAR(96))),CHAR(34),CHAR(39))))</f>
        <v/>
      </c>
      <c r="S920" s="5" t="str">
        <f>IF(OR(TRIM($B920)="",$I920=""),"",IF(OR(ISNUMBER(SEARCH(_xlfn.CONCAT(CHAR(96),CHAR(34)),$I920)),ISNUMBER(SEARCH(_xlfn.CONCAT(CHAR(34),CHAR(39)),$I920))),_xlfn.CONCAT("* REVIEW REQUIRED: compound-quote delimiter in Derivation on Sheet 1 row ",920,"; edit the input before running."),_xlfn.CONCAT("char ",TRIM($B920),"[doc_derivation] ",CHAR(96),CHAR(34),SUBSTITUTE(SUBSTITUTE(SUBSTITUTE(SUBSTITUTE(SUBSTITUTE(SUBSTITUTE($I920,CHAR(13)," "),CHAR(10)," "),CHAR(9)," "),CHAR(92),_xlfn.CONCAT(CHAR(92),CHAR(92))),"$",_xlfn.CONCAT(CHAR(92),"$")),CHAR(96),_xlfn.CONCAT(CHAR(92),CHAR(96))),CHAR(34),CHAR(39))))</f>
        <v/>
      </c>
      <c r="T920" s="5" t="str">
        <f>IF(OR(TRIM($B920)="",$J920=""),"",IF(OR(ISNUMBER(SEARCH(_xlfn.CONCAT(CHAR(96),CHAR(34)),$J920)),ISNUMBER(SEARCH(_xlfn.CONCAT(CHAR(34),CHAR(39)),$J920))),_xlfn.CONCAT("* REVIEW REQUIRED: compound-quote delimiter in Notes on Sheet 1 row ",920,"; edit the input before running."),_xlfn.CONCAT("char ",TRIM($B920),"[doc_notes] ",CHAR(96),CHAR(34),SUBSTITUTE(SUBSTITUTE(SUBSTITUTE(SUBSTITUTE(SUBSTITUTE(SUBSTITUTE($J920,CHAR(13)," "),CHAR(10)," "),CHAR(9)," "),CHAR(92),_xlfn.CONCAT(CHAR(92),CHAR(92))),"$",_xlfn.CONCAT(CHAR(92),"$")),CHAR(96),_xlfn.CONCAT(CHAR(92),CHAR(96))),CHAR(34),CHAR(39))))</f>
        <v/>
      </c>
      <c r="U920" s="5">
        <f t="shared" si="29"/>
        <v>0</v>
      </c>
    </row>
    <row r="921" spans="3:21" ht="30" customHeight="1" x14ac:dyDescent="0.2">
      <c r="C921" s="4"/>
      <c r="K921" s="5">
        <f t="shared" si="28"/>
        <v>0</v>
      </c>
      <c r="L921" s="5" t="str">
        <f>IF(OR(TRIM($B921)="",$A921=""),"",IF(OR(ISNUMBER(SEARCH(_xlfn.CONCAT(CHAR(96),CHAR(34)),$A921)),ISNUMBER(SEARCH(_xlfn.CONCAT(CHAR(34),CHAR(39)),$A921))),_xlfn.CONCAT("* REVIEW REQUIRED: compound-quote delimiter in Codebook Section on Sheet 1 row ",921,"; edit the input before running."),_xlfn.CONCAT("char ",TRIM($B921),"[doc_section] ",CHAR(96),CHAR(34),SUBSTITUTE(SUBSTITUTE(SUBSTITUTE(SUBSTITUTE(SUBSTITUTE(SUBSTITUTE($A921,CHAR(13)," "),CHAR(10)," "),CHAR(9)," "),CHAR(92),_xlfn.CONCAT(CHAR(92),CHAR(92))),"$",_xlfn.CONCAT(CHAR(92),"$")),CHAR(96),_xlfn.CONCAT(CHAR(92),CHAR(96))),CHAR(34),CHAR(39))))</f>
        <v/>
      </c>
      <c r="M921" s="5" t="str">
        <f>IF(OR(TRIM($B921)="",$C921=""),"",IF(IFERROR(MATCH(TRIM($C921),{"Quantitative","Continuous","Discrete","Categorical","Nominal","Ordinal","Identifier"},0),0)=0,_xlfn.CONCAT("* REVIEW REQUIRED: invalid Variable Type on Sheet 1 row ",921,"."),_xlfn.CONCAT("char ",TRIM($B921),"[doc_vartype] ",CHAR(96),CHAR(34),SUBSTITUTE(SUBSTITUTE(SUBSTITUTE(SUBSTITUTE(SUBSTITUTE(SUBSTITUTE(LOWER(TRIM($C921)),CHAR(13)," "),CHAR(10)," "),CHAR(9)," "),CHAR(92),_xlfn.CONCAT(CHAR(92),CHAR(92))),"$",_xlfn.CONCAT(CHAR(92),"$")),CHAR(96),_xlfn.CONCAT(CHAR(92),CHAR(96))),CHAR(34),CHAR(39))))</f>
        <v/>
      </c>
      <c r="N921" s="5" t="str">
        <f>IF(OR(TRIM($B921)="",$D921=""),"",IF(OR(ISNUMBER(SEARCH(_xlfn.CONCAT(CHAR(96),CHAR(34)),$D921)),ISNUMBER(SEARCH(_xlfn.CONCAT(CHAR(34),CHAR(39)),$D921))),_xlfn.CONCAT("* REVIEW REQUIRED: compound-quote delimiter in Item Number on Sheet 1 row ",921,"; edit the input before running."),_xlfn.CONCAT("char ",TRIM($B921),"[doc_itemnum] ",CHAR(96),CHAR(34),SUBSTITUTE(SUBSTITUTE(SUBSTITUTE(SUBSTITUTE(SUBSTITUTE(SUBSTITUTE($D921,CHAR(13)," "),CHAR(10)," "),CHAR(9)," "),CHAR(92),_xlfn.CONCAT(CHAR(92),CHAR(92))),"$",_xlfn.CONCAT(CHAR(92),"$")),CHAR(96),_xlfn.CONCAT(CHAR(92),CHAR(96))),CHAR(34),CHAR(39))))</f>
        <v/>
      </c>
      <c r="O921" s="5" t="str">
        <f>IF(OR(TRIM($B921)="",$E921=""),"",IF(OR(ISNUMBER(SEARCH(_xlfn.CONCAT(CHAR(96),CHAR(34)),$E921)),ISNUMBER(SEARCH(_xlfn.CONCAT(CHAR(34),CHAR(39)),$E921))),_xlfn.CONCAT("* REVIEW REQUIRED: compound-quote delimiter in Question Wording on Sheet 1 row ",921,"; edit the input before running."),_xlfn.CONCAT("char ",TRIM($B921),"[doc_question] ",CHAR(96),CHAR(34),SUBSTITUTE(SUBSTITUTE(SUBSTITUTE(SUBSTITUTE(SUBSTITUTE(SUBSTITUTE($E921,CHAR(13)," "),CHAR(10)," "),CHAR(9)," "),CHAR(92),_xlfn.CONCAT(CHAR(92),CHAR(92))),"$",_xlfn.CONCAT(CHAR(92),"$")),CHAR(96),_xlfn.CONCAT(CHAR(92),CHAR(96))),CHAR(34),CHAR(39))))</f>
        <v/>
      </c>
      <c r="P921" s="5" t="str">
        <f>IF(OR(TRIM($B921)="",$F921=""),"",IF(OR(ISNUMBER(SEARCH(_xlfn.CONCAT(CHAR(96),CHAR(34)),$F921)),ISNUMBER(SEARCH(_xlfn.CONCAT(CHAR(34),CHAR(39)),$F921))),_xlfn.CONCAT("* REVIEW REQUIRED: compound-quote delimiter in Units on Sheet 1 row ",921,"; edit the input before running."),_xlfn.CONCAT("char ",TRIM($B921),"[doc_units] ",CHAR(96),CHAR(34),SUBSTITUTE(SUBSTITUTE(SUBSTITUTE(SUBSTITUTE(SUBSTITUTE(SUBSTITUTE($F921,CHAR(13)," "),CHAR(10)," "),CHAR(9)," "),CHAR(92),_xlfn.CONCAT(CHAR(92),CHAR(92))),"$",_xlfn.CONCAT(CHAR(92),"$")),CHAR(96),_xlfn.CONCAT(CHAR(92),CHAR(96))),CHAR(34),CHAR(39))))</f>
        <v/>
      </c>
      <c r="Q921" s="5" t="str">
        <f>IF(OR(TRIM($B921)="",$G921=""),"",IF(OR(ISNUMBER(SEARCH(_xlfn.CONCAT(CHAR(96),CHAR(34)),$G921)),ISNUMBER(SEARCH(_xlfn.CONCAT(CHAR(34),CHAR(39)),$G921))),_xlfn.CONCAT("* REVIEW REQUIRED: compound-quote delimiter in Universe on Sheet 1 row ",921,"; edit the input before running."),_xlfn.CONCAT("char ",TRIM($B921),"[doc_universe] ",CHAR(96),CHAR(34),SUBSTITUTE(SUBSTITUTE(SUBSTITUTE(SUBSTITUTE(SUBSTITUTE(SUBSTITUTE($G921,CHAR(13)," "),CHAR(10)," "),CHAR(9)," "),CHAR(92),_xlfn.CONCAT(CHAR(92),CHAR(92))),"$",_xlfn.CONCAT(CHAR(92),"$")),CHAR(96),_xlfn.CONCAT(CHAR(92),CHAR(96))),CHAR(34),CHAR(39))))</f>
        <v/>
      </c>
      <c r="R921" s="5" t="str">
        <f>IF(OR(TRIM($B921)="",$H921=""),"",IF(OR(ISNUMBER(SEARCH(_xlfn.CONCAT(CHAR(96),CHAR(34)),$H921)),ISNUMBER(SEARCH(_xlfn.CONCAT(CHAR(34),CHAR(39)),$H921))),_xlfn.CONCAT("* REVIEW REQUIRED: compound-quote delimiter in Source on Sheet 1 row ",921,"; edit the input before running."),_xlfn.CONCAT("char ",TRIM($B921),"[doc_source] ",CHAR(96),CHAR(34),SUBSTITUTE(SUBSTITUTE(SUBSTITUTE(SUBSTITUTE(SUBSTITUTE(SUBSTITUTE($H921,CHAR(13)," "),CHAR(10)," "),CHAR(9)," "),CHAR(92),_xlfn.CONCAT(CHAR(92),CHAR(92))),"$",_xlfn.CONCAT(CHAR(92),"$")),CHAR(96),_xlfn.CONCAT(CHAR(92),CHAR(96))),CHAR(34),CHAR(39))))</f>
        <v/>
      </c>
      <c r="S921" s="5" t="str">
        <f>IF(OR(TRIM($B921)="",$I921=""),"",IF(OR(ISNUMBER(SEARCH(_xlfn.CONCAT(CHAR(96),CHAR(34)),$I921)),ISNUMBER(SEARCH(_xlfn.CONCAT(CHAR(34),CHAR(39)),$I921))),_xlfn.CONCAT("* REVIEW REQUIRED: compound-quote delimiter in Derivation on Sheet 1 row ",921,"; edit the input before running."),_xlfn.CONCAT("char ",TRIM($B921),"[doc_derivation] ",CHAR(96),CHAR(34),SUBSTITUTE(SUBSTITUTE(SUBSTITUTE(SUBSTITUTE(SUBSTITUTE(SUBSTITUTE($I921,CHAR(13)," "),CHAR(10)," "),CHAR(9)," "),CHAR(92),_xlfn.CONCAT(CHAR(92),CHAR(92))),"$",_xlfn.CONCAT(CHAR(92),"$")),CHAR(96),_xlfn.CONCAT(CHAR(92),CHAR(96))),CHAR(34),CHAR(39))))</f>
        <v/>
      </c>
      <c r="T921" s="5" t="str">
        <f>IF(OR(TRIM($B921)="",$J921=""),"",IF(OR(ISNUMBER(SEARCH(_xlfn.CONCAT(CHAR(96),CHAR(34)),$J921)),ISNUMBER(SEARCH(_xlfn.CONCAT(CHAR(34),CHAR(39)),$J921))),_xlfn.CONCAT("* REVIEW REQUIRED: compound-quote delimiter in Notes on Sheet 1 row ",921,"; edit the input before running."),_xlfn.CONCAT("char ",TRIM($B921),"[doc_notes] ",CHAR(96),CHAR(34),SUBSTITUTE(SUBSTITUTE(SUBSTITUTE(SUBSTITUTE(SUBSTITUTE(SUBSTITUTE($J921,CHAR(13)," "),CHAR(10)," "),CHAR(9)," "),CHAR(92),_xlfn.CONCAT(CHAR(92),CHAR(92))),"$",_xlfn.CONCAT(CHAR(92),"$")),CHAR(96),_xlfn.CONCAT(CHAR(92),CHAR(96))),CHAR(34),CHAR(39))))</f>
        <v/>
      </c>
      <c r="U921" s="5">
        <f t="shared" si="29"/>
        <v>0</v>
      </c>
    </row>
    <row r="922" spans="3:21" ht="30" customHeight="1" x14ac:dyDescent="0.2">
      <c r="C922" s="4"/>
      <c r="K922" s="5">
        <f t="shared" si="28"/>
        <v>0</v>
      </c>
      <c r="L922" s="5" t="str">
        <f>IF(OR(TRIM($B922)="",$A922=""),"",IF(OR(ISNUMBER(SEARCH(_xlfn.CONCAT(CHAR(96),CHAR(34)),$A922)),ISNUMBER(SEARCH(_xlfn.CONCAT(CHAR(34),CHAR(39)),$A922))),_xlfn.CONCAT("* REVIEW REQUIRED: compound-quote delimiter in Codebook Section on Sheet 1 row ",922,"; edit the input before running."),_xlfn.CONCAT("char ",TRIM($B922),"[doc_section] ",CHAR(96),CHAR(34),SUBSTITUTE(SUBSTITUTE(SUBSTITUTE(SUBSTITUTE(SUBSTITUTE(SUBSTITUTE($A922,CHAR(13)," "),CHAR(10)," "),CHAR(9)," "),CHAR(92),_xlfn.CONCAT(CHAR(92),CHAR(92))),"$",_xlfn.CONCAT(CHAR(92),"$")),CHAR(96),_xlfn.CONCAT(CHAR(92),CHAR(96))),CHAR(34),CHAR(39))))</f>
        <v/>
      </c>
      <c r="M922" s="5" t="str">
        <f>IF(OR(TRIM($B922)="",$C922=""),"",IF(IFERROR(MATCH(TRIM($C922),{"Quantitative","Continuous","Discrete","Categorical","Nominal","Ordinal","Identifier"},0),0)=0,_xlfn.CONCAT("* REVIEW REQUIRED: invalid Variable Type on Sheet 1 row ",922,"."),_xlfn.CONCAT("char ",TRIM($B922),"[doc_vartype] ",CHAR(96),CHAR(34),SUBSTITUTE(SUBSTITUTE(SUBSTITUTE(SUBSTITUTE(SUBSTITUTE(SUBSTITUTE(LOWER(TRIM($C922)),CHAR(13)," "),CHAR(10)," "),CHAR(9)," "),CHAR(92),_xlfn.CONCAT(CHAR(92),CHAR(92))),"$",_xlfn.CONCAT(CHAR(92),"$")),CHAR(96),_xlfn.CONCAT(CHAR(92),CHAR(96))),CHAR(34),CHAR(39))))</f>
        <v/>
      </c>
      <c r="N922" s="5" t="str">
        <f>IF(OR(TRIM($B922)="",$D922=""),"",IF(OR(ISNUMBER(SEARCH(_xlfn.CONCAT(CHAR(96),CHAR(34)),$D922)),ISNUMBER(SEARCH(_xlfn.CONCAT(CHAR(34),CHAR(39)),$D922))),_xlfn.CONCAT("* REVIEW REQUIRED: compound-quote delimiter in Item Number on Sheet 1 row ",922,"; edit the input before running."),_xlfn.CONCAT("char ",TRIM($B922),"[doc_itemnum] ",CHAR(96),CHAR(34),SUBSTITUTE(SUBSTITUTE(SUBSTITUTE(SUBSTITUTE(SUBSTITUTE(SUBSTITUTE($D922,CHAR(13)," "),CHAR(10)," "),CHAR(9)," "),CHAR(92),_xlfn.CONCAT(CHAR(92),CHAR(92))),"$",_xlfn.CONCAT(CHAR(92),"$")),CHAR(96),_xlfn.CONCAT(CHAR(92),CHAR(96))),CHAR(34),CHAR(39))))</f>
        <v/>
      </c>
      <c r="O922" s="5" t="str">
        <f>IF(OR(TRIM($B922)="",$E922=""),"",IF(OR(ISNUMBER(SEARCH(_xlfn.CONCAT(CHAR(96),CHAR(34)),$E922)),ISNUMBER(SEARCH(_xlfn.CONCAT(CHAR(34),CHAR(39)),$E922))),_xlfn.CONCAT("* REVIEW REQUIRED: compound-quote delimiter in Question Wording on Sheet 1 row ",922,"; edit the input before running."),_xlfn.CONCAT("char ",TRIM($B922),"[doc_question] ",CHAR(96),CHAR(34),SUBSTITUTE(SUBSTITUTE(SUBSTITUTE(SUBSTITUTE(SUBSTITUTE(SUBSTITUTE($E922,CHAR(13)," "),CHAR(10)," "),CHAR(9)," "),CHAR(92),_xlfn.CONCAT(CHAR(92),CHAR(92))),"$",_xlfn.CONCAT(CHAR(92),"$")),CHAR(96),_xlfn.CONCAT(CHAR(92),CHAR(96))),CHAR(34),CHAR(39))))</f>
        <v/>
      </c>
      <c r="P922" s="5" t="str">
        <f>IF(OR(TRIM($B922)="",$F922=""),"",IF(OR(ISNUMBER(SEARCH(_xlfn.CONCAT(CHAR(96),CHAR(34)),$F922)),ISNUMBER(SEARCH(_xlfn.CONCAT(CHAR(34),CHAR(39)),$F922))),_xlfn.CONCAT("* REVIEW REQUIRED: compound-quote delimiter in Units on Sheet 1 row ",922,"; edit the input before running."),_xlfn.CONCAT("char ",TRIM($B922),"[doc_units] ",CHAR(96),CHAR(34),SUBSTITUTE(SUBSTITUTE(SUBSTITUTE(SUBSTITUTE(SUBSTITUTE(SUBSTITUTE($F922,CHAR(13)," "),CHAR(10)," "),CHAR(9)," "),CHAR(92),_xlfn.CONCAT(CHAR(92),CHAR(92))),"$",_xlfn.CONCAT(CHAR(92),"$")),CHAR(96),_xlfn.CONCAT(CHAR(92),CHAR(96))),CHAR(34),CHAR(39))))</f>
        <v/>
      </c>
      <c r="Q922" s="5" t="str">
        <f>IF(OR(TRIM($B922)="",$G922=""),"",IF(OR(ISNUMBER(SEARCH(_xlfn.CONCAT(CHAR(96),CHAR(34)),$G922)),ISNUMBER(SEARCH(_xlfn.CONCAT(CHAR(34),CHAR(39)),$G922))),_xlfn.CONCAT("* REVIEW REQUIRED: compound-quote delimiter in Universe on Sheet 1 row ",922,"; edit the input before running."),_xlfn.CONCAT("char ",TRIM($B922),"[doc_universe] ",CHAR(96),CHAR(34),SUBSTITUTE(SUBSTITUTE(SUBSTITUTE(SUBSTITUTE(SUBSTITUTE(SUBSTITUTE($G922,CHAR(13)," "),CHAR(10)," "),CHAR(9)," "),CHAR(92),_xlfn.CONCAT(CHAR(92),CHAR(92))),"$",_xlfn.CONCAT(CHAR(92),"$")),CHAR(96),_xlfn.CONCAT(CHAR(92),CHAR(96))),CHAR(34),CHAR(39))))</f>
        <v/>
      </c>
      <c r="R922" s="5" t="str">
        <f>IF(OR(TRIM($B922)="",$H922=""),"",IF(OR(ISNUMBER(SEARCH(_xlfn.CONCAT(CHAR(96),CHAR(34)),$H922)),ISNUMBER(SEARCH(_xlfn.CONCAT(CHAR(34),CHAR(39)),$H922))),_xlfn.CONCAT("* REVIEW REQUIRED: compound-quote delimiter in Source on Sheet 1 row ",922,"; edit the input before running."),_xlfn.CONCAT("char ",TRIM($B922),"[doc_source] ",CHAR(96),CHAR(34),SUBSTITUTE(SUBSTITUTE(SUBSTITUTE(SUBSTITUTE(SUBSTITUTE(SUBSTITUTE($H922,CHAR(13)," "),CHAR(10)," "),CHAR(9)," "),CHAR(92),_xlfn.CONCAT(CHAR(92),CHAR(92))),"$",_xlfn.CONCAT(CHAR(92),"$")),CHAR(96),_xlfn.CONCAT(CHAR(92),CHAR(96))),CHAR(34),CHAR(39))))</f>
        <v/>
      </c>
      <c r="S922" s="5" t="str">
        <f>IF(OR(TRIM($B922)="",$I922=""),"",IF(OR(ISNUMBER(SEARCH(_xlfn.CONCAT(CHAR(96),CHAR(34)),$I922)),ISNUMBER(SEARCH(_xlfn.CONCAT(CHAR(34),CHAR(39)),$I922))),_xlfn.CONCAT("* REVIEW REQUIRED: compound-quote delimiter in Derivation on Sheet 1 row ",922,"; edit the input before running."),_xlfn.CONCAT("char ",TRIM($B922),"[doc_derivation] ",CHAR(96),CHAR(34),SUBSTITUTE(SUBSTITUTE(SUBSTITUTE(SUBSTITUTE(SUBSTITUTE(SUBSTITUTE($I922,CHAR(13)," "),CHAR(10)," "),CHAR(9)," "),CHAR(92),_xlfn.CONCAT(CHAR(92),CHAR(92))),"$",_xlfn.CONCAT(CHAR(92),"$")),CHAR(96),_xlfn.CONCAT(CHAR(92),CHAR(96))),CHAR(34),CHAR(39))))</f>
        <v/>
      </c>
      <c r="T922" s="5" t="str">
        <f>IF(OR(TRIM($B922)="",$J922=""),"",IF(OR(ISNUMBER(SEARCH(_xlfn.CONCAT(CHAR(96),CHAR(34)),$J922)),ISNUMBER(SEARCH(_xlfn.CONCAT(CHAR(34),CHAR(39)),$J922))),_xlfn.CONCAT("* REVIEW REQUIRED: compound-quote delimiter in Notes on Sheet 1 row ",922,"; edit the input before running."),_xlfn.CONCAT("char ",TRIM($B922),"[doc_notes] ",CHAR(96),CHAR(34),SUBSTITUTE(SUBSTITUTE(SUBSTITUTE(SUBSTITUTE(SUBSTITUTE(SUBSTITUTE($J922,CHAR(13)," "),CHAR(10)," "),CHAR(9)," "),CHAR(92),_xlfn.CONCAT(CHAR(92),CHAR(92))),"$",_xlfn.CONCAT(CHAR(92),"$")),CHAR(96),_xlfn.CONCAT(CHAR(92),CHAR(96))),CHAR(34),CHAR(39))))</f>
        <v/>
      </c>
      <c r="U922" s="5">
        <f t="shared" si="29"/>
        <v>0</v>
      </c>
    </row>
    <row r="923" spans="3:21" ht="30" customHeight="1" x14ac:dyDescent="0.2">
      <c r="C923" s="4"/>
      <c r="K923" s="5">
        <f t="shared" si="28"/>
        <v>0</v>
      </c>
      <c r="L923" s="5" t="str">
        <f>IF(OR(TRIM($B923)="",$A923=""),"",IF(OR(ISNUMBER(SEARCH(_xlfn.CONCAT(CHAR(96),CHAR(34)),$A923)),ISNUMBER(SEARCH(_xlfn.CONCAT(CHAR(34),CHAR(39)),$A923))),_xlfn.CONCAT("* REVIEW REQUIRED: compound-quote delimiter in Codebook Section on Sheet 1 row ",923,"; edit the input before running."),_xlfn.CONCAT("char ",TRIM($B923),"[doc_section] ",CHAR(96),CHAR(34),SUBSTITUTE(SUBSTITUTE(SUBSTITUTE(SUBSTITUTE(SUBSTITUTE(SUBSTITUTE($A923,CHAR(13)," "),CHAR(10)," "),CHAR(9)," "),CHAR(92),_xlfn.CONCAT(CHAR(92),CHAR(92))),"$",_xlfn.CONCAT(CHAR(92),"$")),CHAR(96),_xlfn.CONCAT(CHAR(92),CHAR(96))),CHAR(34),CHAR(39))))</f>
        <v/>
      </c>
      <c r="M923" s="5" t="str">
        <f>IF(OR(TRIM($B923)="",$C923=""),"",IF(IFERROR(MATCH(TRIM($C923),{"Quantitative","Continuous","Discrete","Categorical","Nominal","Ordinal","Identifier"},0),0)=0,_xlfn.CONCAT("* REVIEW REQUIRED: invalid Variable Type on Sheet 1 row ",923,"."),_xlfn.CONCAT("char ",TRIM($B923),"[doc_vartype] ",CHAR(96),CHAR(34),SUBSTITUTE(SUBSTITUTE(SUBSTITUTE(SUBSTITUTE(SUBSTITUTE(SUBSTITUTE(LOWER(TRIM($C923)),CHAR(13)," "),CHAR(10)," "),CHAR(9)," "),CHAR(92),_xlfn.CONCAT(CHAR(92),CHAR(92))),"$",_xlfn.CONCAT(CHAR(92),"$")),CHAR(96),_xlfn.CONCAT(CHAR(92),CHAR(96))),CHAR(34),CHAR(39))))</f>
        <v/>
      </c>
      <c r="N923" s="5" t="str">
        <f>IF(OR(TRIM($B923)="",$D923=""),"",IF(OR(ISNUMBER(SEARCH(_xlfn.CONCAT(CHAR(96),CHAR(34)),$D923)),ISNUMBER(SEARCH(_xlfn.CONCAT(CHAR(34),CHAR(39)),$D923))),_xlfn.CONCAT("* REVIEW REQUIRED: compound-quote delimiter in Item Number on Sheet 1 row ",923,"; edit the input before running."),_xlfn.CONCAT("char ",TRIM($B923),"[doc_itemnum] ",CHAR(96),CHAR(34),SUBSTITUTE(SUBSTITUTE(SUBSTITUTE(SUBSTITUTE(SUBSTITUTE(SUBSTITUTE($D923,CHAR(13)," "),CHAR(10)," "),CHAR(9)," "),CHAR(92),_xlfn.CONCAT(CHAR(92),CHAR(92))),"$",_xlfn.CONCAT(CHAR(92),"$")),CHAR(96),_xlfn.CONCAT(CHAR(92),CHAR(96))),CHAR(34),CHAR(39))))</f>
        <v/>
      </c>
      <c r="O923" s="5" t="str">
        <f>IF(OR(TRIM($B923)="",$E923=""),"",IF(OR(ISNUMBER(SEARCH(_xlfn.CONCAT(CHAR(96),CHAR(34)),$E923)),ISNUMBER(SEARCH(_xlfn.CONCAT(CHAR(34),CHAR(39)),$E923))),_xlfn.CONCAT("* REVIEW REQUIRED: compound-quote delimiter in Question Wording on Sheet 1 row ",923,"; edit the input before running."),_xlfn.CONCAT("char ",TRIM($B923),"[doc_question] ",CHAR(96),CHAR(34),SUBSTITUTE(SUBSTITUTE(SUBSTITUTE(SUBSTITUTE(SUBSTITUTE(SUBSTITUTE($E923,CHAR(13)," "),CHAR(10)," "),CHAR(9)," "),CHAR(92),_xlfn.CONCAT(CHAR(92),CHAR(92))),"$",_xlfn.CONCAT(CHAR(92),"$")),CHAR(96),_xlfn.CONCAT(CHAR(92),CHAR(96))),CHAR(34),CHAR(39))))</f>
        <v/>
      </c>
      <c r="P923" s="5" t="str">
        <f>IF(OR(TRIM($B923)="",$F923=""),"",IF(OR(ISNUMBER(SEARCH(_xlfn.CONCAT(CHAR(96),CHAR(34)),$F923)),ISNUMBER(SEARCH(_xlfn.CONCAT(CHAR(34),CHAR(39)),$F923))),_xlfn.CONCAT("* REVIEW REQUIRED: compound-quote delimiter in Units on Sheet 1 row ",923,"; edit the input before running."),_xlfn.CONCAT("char ",TRIM($B923),"[doc_units] ",CHAR(96),CHAR(34),SUBSTITUTE(SUBSTITUTE(SUBSTITUTE(SUBSTITUTE(SUBSTITUTE(SUBSTITUTE($F923,CHAR(13)," "),CHAR(10)," "),CHAR(9)," "),CHAR(92),_xlfn.CONCAT(CHAR(92),CHAR(92))),"$",_xlfn.CONCAT(CHAR(92),"$")),CHAR(96),_xlfn.CONCAT(CHAR(92),CHAR(96))),CHAR(34),CHAR(39))))</f>
        <v/>
      </c>
      <c r="Q923" s="5" t="str">
        <f>IF(OR(TRIM($B923)="",$G923=""),"",IF(OR(ISNUMBER(SEARCH(_xlfn.CONCAT(CHAR(96),CHAR(34)),$G923)),ISNUMBER(SEARCH(_xlfn.CONCAT(CHAR(34),CHAR(39)),$G923))),_xlfn.CONCAT("* REVIEW REQUIRED: compound-quote delimiter in Universe on Sheet 1 row ",923,"; edit the input before running."),_xlfn.CONCAT("char ",TRIM($B923),"[doc_universe] ",CHAR(96),CHAR(34),SUBSTITUTE(SUBSTITUTE(SUBSTITUTE(SUBSTITUTE(SUBSTITUTE(SUBSTITUTE($G923,CHAR(13)," "),CHAR(10)," "),CHAR(9)," "),CHAR(92),_xlfn.CONCAT(CHAR(92),CHAR(92))),"$",_xlfn.CONCAT(CHAR(92),"$")),CHAR(96),_xlfn.CONCAT(CHAR(92),CHAR(96))),CHAR(34),CHAR(39))))</f>
        <v/>
      </c>
      <c r="R923" s="5" t="str">
        <f>IF(OR(TRIM($B923)="",$H923=""),"",IF(OR(ISNUMBER(SEARCH(_xlfn.CONCAT(CHAR(96),CHAR(34)),$H923)),ISNUMBER(SEARCH(_xlfn.CONCAT(CHAR(34),CHAR(39)),$H923))),_xlfn.CONCAT("* REVIEW REQUIRED: compound-quote delimiter in Source on Sheet 1 row ",923,"; edit the input before running."),_xlfn.CONCAT("char ",TRIM($B923),"[doc_source] ",CHAR(96),CHAR(34),SUBSTITUTE(SUBSTITUTE(SUBSTITUTE(SUBSTITUTE(SUBSTITUTE(SUBSTITUTE($H923,CHAR(13)," "),CHAR(10)," "),CHAR(9)," "),CHAR(92),_xlfn.CONCAT(CHAR(92),CHAR(92))),"$",_xlfn.CONCAT(CHAR(92),"$")),CHAR(96),_xlfn.CONCAT(CHAR(92),CHAR(96))),CHAR(34),CHAR(39))))</f>
        <v/>
      </c>
      <c r="S923" s="5" t="str">
        <f>IF(OR(TRIM($B923)="",$I923=""),"",IF(OR(ISNUMBER(SEARCH(_xlfn.CONCAT(CHAR(96),CHAR(34)),$I923)),ISNUMBER(SEARCH(_xlfn.CONCAT(CHAR(34),CHAR(39)),$I923))),_xlfn.CONCAT("* REVIEW REQUIRED: compound-quote delimiter in Derivation on Sheet 1 row ",923,"; edit the input before running."),_xlfn.CONCAT("char ",TRIM($B923),"[doc_derivation] ",CHAR(96),CHAR(34),SUBSTITUTE(SUBSTITUTE(SUBSTITUTE(SUBSTITUTE(SUBSTITUTE(SUBSTITUTE($I923,CHAR(13)," "),CHAR(10)," "),CHAR(9)," "),CHAR(92),_xlfn.CONCAT(CHAR(92),CHAR(92))),"$",_xlfn.CONCAT(CHAR(92),"$")),CHAR(96),_xlfn.CONCAT(CHAR(92),CHAR(96))),CHAR(34),CHAR(39))))</f>
        <v/>
      </c>
      <c r="T923" s="5" t="str">
        <f>IF(OR(TRIM($B923)="",$J923=""),"",IF(OR(ISNUMBER(SEARCH(_xlfn.CONCAT(CHAR(96),CHAR(34)),$J923)),ISNUMBER(SEARCH(_xlfn.CONCAT(CHAR(34),CHAR(39)),$J923))),_xlfn.CONCAT("* REVIEW REQUIRED: compound-quote delimiter in Notes on Sheet 1 row ",923,"; edit the input before running."),_xlfn.CONCAT("char ",TRIM($B923),"[doc_notes] ",CHAR(96),CHAR(34),SUBSTITUTE(SUBSTITUTE(SUBSTITUTE(SUBSTITUTE(SUBSTITUTE(SUBSTITUTE($J923,CHAR(13)," "),CHAR(10)," "),CHAR(9)," "),CHAR(92),_xlfn.CONCAT(CHAR(92),CHAR(92))),"$",_xlfn.CONCAT(CHAR(92),"$")),CHAR(96),_xlfn.CONCAT(CHAR(92),CHAR(96))),CHAR(34),CHAR(39))))</f>
        <v/>
      </c>
      <c r="U923" s="5">
        <f t="shared" si="29"/>
        <v>0</v>
      </c>
    </row>
    <row r="924" spans="3:21" ht="30" customHeight="1" x14ac:dyDescent="0.2">
      <c r="C924" s="4"/>
      <c r="K924" s="5">
        <f t="shared" si="28"/>
        <v>0</v>
      </c>
      <c r="L924" s="5" t="str">
        <f>IF(OR(TRIM($B924)="",$A924=""),"",IF(OR(ISNUMBER(SEARCH(_xlfn.CONCAT(CHAR(96),CHAR(34)),$A924)),ISNUMBER(SEARCH(_xlfn.CONCAT(CHAR(34),CHAR(39)),$A924))),_xlfn.CONCAT("* REVIEW REQUIRED: compound-quote delimiter in Codebook Section on Sheet 1 row ",924,"; edit the input before running."),_xlfn.CONCAT("char ",TRIM($B924),"[doc_section] ",CHAR(96),CHAR(34),SUBSTITUTE(SUBSTITUTE(SUBSTITUTE(SUBSTITUTE(SUBSTITUTE(SUBSTITUTE($A924,CHAR(13)," "),CHAR(10)," "),CHAR(9)," "),CHAR(92),_xlfn.CONCAT(CHAR(92),CHAR(92))),"$",_xlfn.CONCAT(CHAR(92),"$")),CHAR(96),_xlfn.CONCAT(CHAR(92),CHAR(96))),CHAR(34),CHAR(39))))</f>
        <v/>
      </c>
      <c r="M924" s="5" t="str">
        <f>IF(OR(TRIM($B924)="",$C924=""),"",IF(IFERROR(MATCH(TRIM($C924),{"Quantitative","Continuous","Discrete","Categorical","Nominal","Ordinal","Identifier"},0),0)=0,_xlfn.CONCAT("* REVIEW REQUIRED: invalid Variable Type on Sheet 1 row ",924,"."),_xlfn.CONCAT("char ",TRIM($B924),"[doc_vartype] ",CHAR(96),CHAR(34),SUBSTITUTE(SUBSTITUTE(SUBSTITUTE(SUBSTITUTE(SUBSTITUTE(SUBSTITUTE(LOWER(TRIM($C924)),CHAR(13)," "),CHAR(10)," "),CHAR(9)," "),CHAR(92),_xlfn.CONCAT(CHAR(92),CHAR(92))),"$",_xlfn.CONCAT(CHAR(92),"$")),CHAR(96),_xlfn.CONCAT(CHAR(92),CHAR(96))),CHAR(34),CHAR(39))))</f>
        <v/>
      </c>
      <c r="N924" s="5" t="str">
        <f>IF(OR(TRIM($B924)="",$D924=""),"",IF(OR(ISNUMBER(SEARCH(_xlfn.CONCAT(CHAR(96),CHAR(34)),$D924)),ISNUMBER(SEARCH(_xlfn.CONCAT(CHAR(34),CHAR(39)),$D924))),_xlfn.CONCAT("* REVIEW REQUIRED: compound-quote delimiter in Item Number on Sheet 1 row ",924,"; edit the input before running."),_xlfn.CONCAT("char ",TRIM($B924),"[doc_itemnum] ",CHAR(96),CHAR(34),SUBSTITUTE(SUBSTITUTE(SUBSTITUTE(SUBSTITUTE(SUBSTITUTE(SUBSTITUTE($D924,CHAR(13)," "),CHAR(10)," "),CHAR(9)," "),CHAR(92),_xlfn.CONCAT(CHAR(92),CHAR(92))),"$",_xlfn.CONCAT(CHAR(92),"$")),CHAR(96),_xlfn.CONCAT(CHAR(92),CHAR(96))),CHAR(34),CHAR(39))))</f>
        <v/>
      </c>
      <c r="O924" s="5" t="str">
        <f>IF(OR(TRIM($B924)="",$E924=""),"",IF(OR(ISNUMBER(SEARCH(_xlfn.CONCAT(CHAR(96),CHAR(34)),$E924)),ISNUMBER(SEARCH(_xlfn.CONCAT(CHAR(34),CHAR(39)),$E924))),_xlfn.CONCAT("* REVIEW REQUIRED: compound-quote delimiter in Question Wording on Sheet 1 row ",924,"; edit the input before running."),_xlfn.CONCAT("char ",TRIM($B924),"[doc_question] ",CHAR(96),CHAR(34),SUBSTITUTE(SUBSTITUTE(SUBSTITUTE(SUBSTITUTE(SUBSTITUTE(SUBSTITUTE($E924,CHAR(13)," "),CHAR(10)," "),CHAR(9)," "),CHAR(92),_xlfn.CONCAT(CHAR(92),CHAR(92))),"$",_xlfn.CONCAT(CHAR(92),"$")),CHAR(96),_xlfn.CONCAT(CHAR(92),CHAR(96))),CHAR(34),CHAR(39))))</f>
        <v/>
      </c>
      <c r="P924" s="5" t="str">
        <f>IF(OR(TRIM($B924)="",$F924=""),"",IF(OR(ISNUMBER(SEARCH(_xlfn.CONCAT(CHAR(96),CHAR(34)),$F924)),ISNUMBER(SEARCH(_xlfn.CONCAT(CHAR(34),CHAR(39)),$F924))),_xlfn.CONCAT("* REVIEW REQUIRED: compound-quote delimiter in Units on Sheet 1 row ",924,"; edit the input before running."),_xlfn.CONCAT("char ",TRIM($B924),"[doc_units] ",CHAR(96),CHAR(34),SUBSTITUTE(SUBSTITUTE(SUBSTITUTE(SUBSTITUTE(SUBSTITUTE(SUBSTITUTE($F924,CHAR(13)," "),CHAR(10)," "),CHAR(9)," "),CHAR(92),_xlfn.CONCAT(CHAR(92),CHAR(92))),"$",_xlfn.CONCAT(CHAR(92),"$")),CHAR(96),_xlfn.CONCAT(CHAR(92),CHAR(96))),CHAR(34),CHAR(39))))</f>
        <v/>
      </c>
      <c r="Q924" s="5" t="str">
        <f>IF(OR(TRIM($B924)="",$G924=""),"",IF(OR(ISNUMBER(SEARCH(_xlfn.CONCAT(CHAR(96),CHAR(34)),$G924)),ISNUMBER(SEARCH(_xlfn.CONCAT(CHAR(34),CHAR(39)),$G924))),_xlfn.CONCAT("* REVIEW REQUIRED: compound-quote delimiter in Universe on Sheet 1 row ",924,"; edit the input before running."),_xlfn.CONCAT("char ",TRIM($B924),"[doc_universe] ",CHAR(96),CHAR(34),SUBSTITUTE(SUBSTITUTE(SUBSTITUTE(SUBSTITUTE(SUBSTITUTE(SUBSTITUTE($G924,CHAR(13)," "),CHAR(10)," "),CHAR(9)," "),CHAR(92),_xlfn.CONCAT(CHAR(92),CHAR(92))),"$",_xlfn.CONCAT(CHAR(92),"$")),CHAR(96),_xlfn.CONCAT(CHAR(92),CHAR(96))),CHAR(34),CHAR(39))))</f>
        <v/>
      </c>
      <c r="R924" s="5" t="str">
        <f>IF(OR(TRIM($B924)="",$H924=""),"",IF(OR(ISNUMBER(SEARCH(_xlfn.CONCAT(CHAR(96),CHAR(34)),$H924)),ISNUMBER(SEARCH(_xlfn.CONCAT(CHAR(34),CHAR(39)),$H924))),_xlfn.CONCAT("* REVIEW REQUIRED: compound-quote delimiter in Source on Sheet 1 row ",924,"; edit the input before running."),_xlfn.CONCAT("char ",TRIM($B924),"[doc_source] ",CHAR(96),CHAR(34),SUBSTITUTE(SUBSTITUTE(SUBSTITUTE(SUBSTITUTE(SUBSTITUTE(SUBSTITUTE($H924,CHAR(13)," "),CHAR(10)," "),CHAR(9)," "),CHAR(92),_xlfn.CONCAT(CHAR(92),CHAR(92))),"$",_xlfn.CONCAT(CHAR(92),"$")),CHAR(96),_xlfn.CONCAT(CHAR(92),CHAR(96))),CHAR(34),CHAR(39))))</f>
        <v/>
      </c>
      <c r="S924" s="5" t="str">
        <f>IF(OR(TRIM($B924)="",$I924=""),"",IF(OR(ISNUMBER(SEARCH(_xlfn.CONCAT(CHAR(96),CHAR(34)),$I924)),ISNUMBER(SEARCH(_xlfn.CONCAT(CHAR(34),CHAR(39)),$I924))),_xlfn.CONCAT("* REVIEW REQUIRED: compound-quote delimiter in Derivation on Sheet 1 row ",924,"; edit the input before running."),_xlfn.CONCAT("char ",TRIM($B924),"[doc_derivation] ",CHAR(96),CHAR(34),SUBSTITUTE(SUBSTITUTE(SUBSTITUTE(SUBSTITUTE(SUBSTITUTE(SUBSTITUTE($I924,CHAR(13)," "),CHAR(10)," "),CHAR(9)," "),CHAR(92),_xlfn.CONCAT(CHAR(92),CHAR(92))),"$",_xlfn.CONCAT(CHAR(92),"$")),CHAR(96),_xlfn.CONCAT(CHAR(92),CHAR(96))),CHAR(34),CHAR(39))))</f>
        <v/>
      </c>
      <c r="T924" s="5" t="str">
        <f>IF(OR(TRIM($B924)="",$J924=""),"",IF(OR(ISNUMBER(SEARCH(_xlfn.CONCAT(CHAR(96),CHAR(34)),$J924)),ISNUMBER(SEARCH(_xlfn.CONCAT(CHAR(34),CHAR(39)),$J924))),_xlfn.CONCAT("* REVIEW REQUIRED: compound-quote delimiter in Notes on Sheet 1 row ",924,"; edit the input before running."),_xlfn.CONCAT("char ",TRIM($B924),"[doc_notes] ",CHAR(96),CHAR(34),SUBSTITUTE(SUBSTITUTE(SUBSTITUTE(SUBSTITUTE(SUBSTITUTE(SUBSTITUTE($J924,CHAR(13)," "),CHAR(10)," "),CHAR(9)," "),CHAR(92),_xlfn.CONCAT(CHAR(92),CHAR(92))),"$",_xlfn.CONCAT(CHAR(92),"$")),CHAR(96),_xlfn.CONCAT(CHAR(92),CHAR(96))),CHAR(34),CHAR(39))))</f>
        <v/>
      </c>
      <c r="U924" s="5">
        <f t="shared" si="29"/>
        <v>0</v>
      </c>
    </row>
    <row r="925" spans="3:21" ht="30" customHeight="1" x14ac:dyDescent="0.2">
      <c r="C925" s="4"/>
      <c r="K925" s="5">
        <f t="shared" si="28"/>
        <v>0</v>
      </c>
      <c r="L925" s="5" t="str">
        <f>IF(OR(TRIM($B925)="",$A925=""),"",IF(OR(ISNUMBER(SEARCH(_xlfn.CONCAT(CHAR(96),CHAR(34)),$A925)),ISNUMBER(SEARCH(_xlfn.CONCAT(CHAR(34),CHAR(39)),$A925))),_xlfn.CONCAT("* REVIEW REQUIRED: compound-quote delimiter in Codebook Section on Sheet 1 row ",925,"; edit the input before running."),_xlfn.CONCAT("char ",TRIM($B925),"[doc_section] ",CHAR(96),CHAR(34),SUBSTITUTE(SUBSTITUTE(SUBSTITUTE(SUBSTITUTE(SUBSTITUTE(SUBSTITUTE($A925,CHAR(13)," "),CHAR(10)," "),CHAR(9)," "),CHAR(92),_xlfn.CONCAT(CHAR(92),CHAR(92))),"$",_xlfn.CONCAT(CHAR(92),"$")),CHAR(96),_xlfn.CONCAT(CHAR(92),CHAR(96))),CHAR(34),CHAR(39))))</f>
        <v/>
      </c>
      <c r="M925" s="5" t="str">
        <f>IF(OR(TRIM($B925)="",$C925=""),"",IF(IFERROR(MATCH(TRIM($C925),{"Quantitative","Continuous","Discrete","Categorical","Nominal","Ordinal","Identifier"},0),0)=0,_xlfn.CONCAT("* REVIEW REQUIRED: invalid Variable Type on Sheet 1 row ",925,"."),_xlfn.CONCAT("char ",TRIM($B925),"[doc_vartype] ",CHAR(96),CHAR(34),SUBSTITUTE(SUBSTITUTE(SUBSTITUTE(SUBSTITUTE(SUBSTITUTE(SUBSTITUTE(LOWER(TRIM($C925)),CHAR(13)," "),CHAR(10)," "),CHAR(9)," "),CHAR(92),_xlfn.CONCAT(CHAR(92),CHAR(92))),"$",_xlfn.CONCAT(CHAR(92),"$")),CHAR(96),_xlfn.CONCAT(CHAR(92),CHAR(96))),CHAR(34),CHAR(39))))</f>
        <v/>
      </c>
      <c r="N925" s="5" t="str">
        <f>IF(OR(TRIM($B925)="",$D925=""),"",IF(OR(ISNUMBER(SEARCH(_xlfn.CONCAT(CHAR(96),CHAR(34)),$D925)),ISNUMBER(SEARCH(_xlfn.CONCAT(CHAR(34),CHAR(39)),$D925))),_xlfn.CONCAT("* REVIEW REQUIRED: compound-quote delimiter in Item Number on Sheet 1 row ",925,"; edit the input before running."),_xlfn.CONCAT("char ",TRIM($B925),"[doc_itemnum] ",CHAR(96),CHAR(34),SUBSTITUTE(SUBSTITUTE(SUBSTITUTE(SUBSTITUTE(SUBSTITUTE(SUBSTITUTE($D925,CHAR(13)," "),CHAR(10)," "),CHAR(9)," "),CHAR(92),_xlfn.CONCAT(CHAR(92),CHAR(92))),"$",_xlfn.CONCAT(CHAR(92),"$")),CHAR(96),_xlfn.CONCAT(CHAR(92),CHAR(96))),CHAR(34),CHAR(39))))</f>
        <v/>
      </c>
      <c r="O925" s="5" t="str">
        <f>IF(OR(TRIM($B925)="",$E925=""),"",IF(OR(ISNUMBER(SEARCH(_xlfn.CONCAT(CHAR(96),CHAR(34)),$E925)),ISNUMBER(SEARCH(_xlfn.CONCAT(CHAR(34),CHAR(39)),$E925))),_xlfn.CONCAT("* REVIEW REQUIRED: compound-quote delimiter in Question Wording on Sheet 1 row ",925,"; edit the input before running."),_xlfn.CONCAT("char ",TRIM($B925),"[doc_question] ",CHAR(96),CHAR(34),SUBSTITUTE(SUBSTITUTE(SUBSTITUTE(SUBSTITUTE(SUBSTITUTE(SUBSTITUTE($E925,CHAR(13)," "),CHAR(10)," "),CHAR(9)," "),CHAR(92),_xlfn.CONCAT(CHAR(92),CHAR(92))),"$",_xlfn.CONCAT(CHAR(92),"$")),CHAR(96),_xlfn.CONCAT(CHAR(92),CHAR(96))),CHAR(34),CHAR(39))))</f>
        <v/>
      </c>
      <c r="P925" s="5" t="str">
        <f>IF(OR(TRIM($B925)="",$F925=""),"",IF(OR(ISNUMBER(SEARCH(_xlfn.CONCAT(CHAR(96),CHAR(34)),$F925)),ISNUMBER(SEARCH(_xlfn.CONCAT(CHAR(34),CHAR(39)),$F925))),_xlfn.CONCAT("* REVIEW REQUIRED: compound-quote delimiter in Units on Sheet 1 row ",925,"; edit the input before running."),_xlfn.CONCAT("char ",TRIM($B925),"[doc_units] ",CHAR(96),CHAR(34),SUBSTITUTE(SUBSTITUTE(SUBSTITUTE(SUBSTITUTE(SUBSTITUTE(SUBSTITUTE($F925,CHAR(13)," "),CHAR(10)," "),CHAR(9)," "),CHAR(92),_xlfn.CONCAT(CHAR(92),CHAR(92))),"$",_xlfn.CONCAT(CHAR(92),"$")),CHAR(96),_xlfn.CONCAT(CHAR(92),CHAR(96))),CHAR(34),CHAR(39))))</f>
        <v/>
      </c>
      <c r="Q925" s="5" t="str">
        <f>IF(OR(TRIM($B925)="",$G925=""),"",IF(OR(ISNUMBER(SEARCH(_xlfn.CONCAT(CHAR(96),CHAR(34)),$G925)),ISNUMBER(SEARCH(_xlfn.CONCAT(CHAR(34),CHAR(39)),$G925))),_xlfn.CONCAT("* REVIEW REQUIRED: compound-quote delimiter in Universe on Sheet 1 row ",925,"; edit the input before running."),_xlfn.CONCAT("char ",TRIM($B925),"[doc_universe] ",CHAR(96),CHAR(34),SUBSTITUTE(SUBSTITUTE(SUBSTITUTE(SUBSTITUTE(SUBSTITUTE(SUBSTITUTE($G925,CHAR(13)," "),CHAR(10)," "),CHAR(9)," "),CHAR(92),_xlfn.CONCAT(CHAR(92),CHAR(92))),"$",_xlfn.CONCAT(CHAR(92),"$")),CHAR(96),_xlfn.CONCAT(CHAR(92),CHAR(96))),CHAR(34),CHAR(39))))</f>
        <v/>
      </c>
      <c r="R925" s="5" t="str">
        <f>IF(OR(TRIM($B925)="",$H925=""),"",IF(OR(ISNUMBER(SEARCH(_xlfn.CONCAT(CHAR(96),CHAR(34)),$H925)),ISNUMBER(SEARCH(_xlfn.CONCAT(CHAR(34),CHAR(39)),$H925))),_xlfn.CONCAT("* REVIEW REQUIRED: compound-quote delimiter in Source on Sheet 1 row ",925,"; edit the input before running."),_xlfn.CONCAT("char ",TRIM($B925),"[doc_source] ",CHAR(96),CHAR(34),SUBSTITUTE(SUBSTITUTE(SUBSTITUTE(SUBSTITUTE(SUBSTITUTE(SUBSTITUTE($H925,CHAR(13)," "),CHAR(10)," "),CHAR(9)," "),CHAR(92),_xlfn.CONCAT(CHAR(92),CHAR(92))),"$",_xlfn.CONCAT(CHAR(92),"$")),CHAR(96),_xlfn.CONCAT(CHAR(92),CHAR(96))),CHAR(34),CHAR(39))))</f>
        <v/>
      </c>
      <c r="S925" s="5" t="str">
        <f>IF(OR(TRIM($B925)="",$I925=""),"",IF(OR(ISNUMBER(SEARCH(_xlfn.CONCAT(CHAR(96),CHAR(34)),$I925)),ISNUMBER(SEARCH(_xlfn.CONCAT(CHAR(34),CHAR(39)),$I925))),_xlfn.CONCAT("* REVIEW REQUIRED: compound-quote delimiter in Derivation on Sheet 1 row ",925,"; edit the input before running."),_xlfn.CONCAT("char ",TRIM($B925),"[doc_derivation] ",CHAR(96),CHAR(34),SUBSTITUTE(SUBSTITUTE(SUBSTITUTE(SUBSTITUTE(SUBSTITUTE(SUBSTITUTE($I925,CHAR(13)," "),CHAR(10)," "),CHAR(9)," "),CHAR(92),_xlfn.CONCAT(CHAR(92),CHAR(92))),"$",_xlfn.CONCAT(CHAR(92),"$")),CHAR(96),_xlfn.CONCAT(CHAR(92),CHAR(96))),CHAR(34),CHAR(39))))</f>
        <v/>
      </c>
      <c r="T925" s="5" t="str">
        <f>IF(OR(TRIM($B925)="",$J925=""),"",IF(OR(ISNUMBER(SEARCH(_xlfn.CONCAT(CHAR(96),CHAR(34)),$J925)),ISNUMBER(SEARCH(_xlfn.CONCAT(CHAR(34),CHAR(39)),$J925))),_xlfn.CONCAT("* REVIEW REQUIRED: compound-quote delimiter in Notes on Sheet 1 row ",925,"; edit the input before running."),_xlfn.CONCAT("char ",TRIM($B925),"[doc_notes] ",CHAR(96),CHAR(34),SUBSTITUTE(SUBSTITUTE(SUBSTITUTE(SUBSTITUTE(SUBSTITUTE(SUBSTITUTE($J925,CHAR(13)," "),CHAR(10)," "),CHAR(9)," "),CHAR(92),_xlfn.CONCAT(CHAR(92),CHAR(92))),"$",_xlfn.CONCAT(CHAR(92),"$")),CHAR(96),_xlfn.CONCAT(CHAR(92),CHAR(96))),CHAR(34),CHAR(39))))</f>
        <v/>
      </c>
      <c r="U925" s="5">
        <f t="shared" si="29"/>
        <v>0</v>
      </c>
    </row>
    <row r="926" spans="3:21" ht="30" customHeight="1" x14ac:dyDescent="0.2">
      <c r="C926" s="4"/>
      <c r="K926" s="5">
        <f t="shared" si="28"/>
        <v>0</v>
      </c>
      <c r="L926" s="5" t="str">
        <f>IF(OR(TRIM($B926)="",$A926=""),"",IF(OR(ISNUMBER(SEARCH(_xlfn.CONCAT(CHAR(96),CHAR(34)),$A926)),ISNUMBER(SEARCH(_xlfn.CONCAT(CHAR(34),CHAR(39)),$A926))),_xlfn.CONCAT("* REVIEW REQUIRED: compound-quote delimiter in Codebook Section on Sheet 1 row ",926,"; edit the input before running."),_xlfn.CONCAT("char ",TRIM($B926),"[doc_section] ",CHAR(96),CHAR(34),SUBSTITUTE(SUBSTITUTE(SUBSTITUTE(SUBSTITUTE(SUBSTITUTE(SUBSTITUTE($A926,CHAR(13)," "),CHAR(10)," "),CHAR(9)," "),CHAR(92),_xlfn.CONCAT(CHAR(92),CHAR(92))),"$",_xlfn.CONCAT(CHAR(92),"$")),CHAR(96),_xlfn.CONCAT(CHAR(92),CHAR(96))),CHAR(34),CHAR(39))))</f>
        <v/>
      </c>
      <c r="M926" s="5" t="str">
        <f>IF(OR(TRIM($B926)="",$C926=""),"",IF(IFERROR(MATCH(TRIM($C926),{"Quantitative","Continuous","Discrete","Categorical","Nominal","Ordinal","Identifier"},0),0)=0,_xlfn.CONCAT("* REVIEW REQUIRED: invalid Variable Type on Sheet 1 row ",926,"."),_xlfn.CONCAT("char ",TRIM($B926),"[doc_vartype] ",CHAR(96),CHAR(34),SUBSTITUTE(SUBSTITUTE(SUBSTITUTE(SUBSTITUTE(SUBSTITUTE(SUBSTITUTE(LOWER(TRIM($C926)),CHAR(13)," "),CHAR(10)," "),CHAR(9)," "),CHAR(92),_xlfn.CONCAT(CHAR(92),CHAR(92))),"$",_xlfn.CONCAT(CHAR(92),"$")),CHAR(96),_xlfn.CONCAT(CHAR(92),CHAR(96))),CHAR(34),CHAR(39))))</f>
        <v/>
      </c>
      <c r="N926" s="5" t="str">
        <f>IF(OR(TRIM($B926)="",$D926=""),"",IF(OR(ISNUMBER(SEARCH(_xlfn.CONCAT(CHAR(96),CHAR(34)),$D926)),ISNUMBER(SEARCH(_xlfn.CONCAT(CHAR(34),CHAR(39)),$D926))),_xlfn.CONCAT("* REVIEW REQUIRED: compound-quote delimiter in Item Number on Sheet 1 row ",926,"; edit the input before running."),_xlfn.CONCAT("char ",TRIM($B926),"[doc_itemnum] ",CHAR(96),CHAR(34),SUBSTITUTE(SUBSTITUTE(SUBSTITUTE(SUBSTITUTE(SUBSTITUTE(SUBSTITUTE($D926,CHAR(13)," "),CHAR(10)," "),CHAR(9)," "),CHAR(92),_xlfn.CONCAT(CHAR(92),CHAR(92))),"$",_xlfn.CONCAT(CHAR(92),"$")),CHAR(96),_xlfn.CONCAT(CHAR(92),CHAR(96))),CHAR(34),CHAR(39))))</f>
        <v/>
      </c>
      <c r="O926" s="5" t="str">
        <f>IF(OR(TRIM($B926)="",$E926=""),"",IF(OR(ISNUMBER(SEARCH(_xlfn.CONCAT(CHAR(96),CHAR(34)),$E926)),ISNUMBER(SEARCH(_xlfn.CONCAT(CHAR(34),CHAR(39)),$E926))),_xlfn.CONCAT("* REVIEW REQUIRED: compound-quote delimiter in Question Wording on Sheet 1 row ",926,"; edit the input before running."),_xlfn.CONCAT("char ",TRIM($B926),"[doc_question] ",CHAR(96),CHAR(34),SUBSTITUTE(SUBSTITUTE(SUBSTITUTE(SUBSTITUTE(SUBSTITUTE(SUBSTITUTE($E926,CHAR(13)," "),CHAR(10)," "),CHAR(9)," "),CHAR(92),_xlfn.CONCAT(CHAR(92),CHAR(92))),"$",_xlfn.CONCAT(CHAR(92),"$")),CHAR(96),_xlfn.CONCAT(CHAR(92),CHAR(96))),CHAR(34),CHAR(39))))</f>
        <v/>
      </c>
      <c r="P926" s="5" t="str">
        <f>IF(OR(TRIM($B926)="",$F926=""),"",IF(OR(ISNUMBER(SEARCH(_xlfn.CONCAT(CHAR(96),CHAR(34)),$F926)),ISNUMBER(SEARCH(_xlfn.CONCAT(CHAR(34),CHAR(39)),$F926))),_xlfn.CONCAT("* REVIEW REQUIRED: compound-quote delimiter in Units on Sheet 1 row ",926,"; edit the input before running."),_xlfn.CONCAT("char ",TRIM($B926),"[doc_units] ",CHAR(96),CHAR(34),SUBSTITUTE(SUBSTITUTE(SUBSTITUTE(SUBSTITUTE(SUBSTITUTE(SUBSTITUTE($F926,CHAR(13)," "),CHAR(10)," "),CHAR(9)," "),CHAR(92),_xlfn.CONCAT(CHAR(92),CHAR(92))),"$",_xlfn.CONCAT(CHAR(92),"$")),CHAR(96),_xlfn.CONCAT(CHAR(92),CHAR(96))),CHAR(34),CHAR(39))))</f>
        <v/>
      </c>
      <c r="Q926" s="5" t="str">
        <f>IF(OR(TRIM($B926)="",$G926=""),"",IF(OR(ISNUMBER(SEARCH(_xlfn.CONCAT(CHAR(96),CHAR(34)),$G926)),ISNUMBER(SEARCH(_xlfn.CONCAT(CHAR(34),CHAR(39)),$G926))),_xlfn.CONCAT("* REVIEW REQUIRED: compound-quote delimiter in Universe on Sheet 1 row ",926,"; edit the input before running."),_xlfn.CONCAT("char ",TRIM($B926),"[doc_universe] ",CHAR(96),CHAR(34),SUBSTITUTE(SUBSTITUTE(SUBSTITUTE(SUBSTITUTE(SUBSTITUTE(SUBSTITUTE($G926,CHAR(13)," "),CHAR(10)," "),CHAR(9)," "),CHAR(92),_xlfn.CONCAT(CHAR(92),CHAR(92))),"$",_xlfn.CONCAT(CHAR(92),"$")),CHAR(96),_xlfn.CONCAT(CHAR(92),CHAR(96))),CHAR(34),CHAR(39))))</f>
        <v/>
      </c>
      <c r="R926" s="5" t="str">
        <f>IF(OR(TRIM($B926)="",$H926=""),"",IF(OR(ISNUMBER(SEARCH(_xlfn.CONCAT(CHAR(96),CHAR(34)),$H926)),ISNUMBER(SEARCH(_xlfn.CONCAT(CHAR(34),CHAR(39)),$H926))),_xlfn.CONCAT("* REVIEW REQUIRED: compound-quote delimiter in Source on Sheet 1 row ",926,"; edit the input before running."),_xlfn.CONCAT("char ",TRIM($B926),"[doc_source] ",CHAR(96),CHAR(34),SUBSTITUTE(SUBSTITUTE(SUBSTITUTE(SUBSTITUTE(SUBSTITUTE(SUBSTITUTE($H926,CHAR(13)," "),CHAR(10)," "),CHAR(9)," "),CHAR(92),_xlfn.CONCAT(CHAR(92),CHAR(92))),"$",_xlfn.CONCAT(CHAR(92),"$")),CHAR(96),_xlfn.CONCAT(CHAR(92),CHAR(96))),CHAR(34),CHAR(39))))</f>
        <v/>
      </c>
      <c r="S926" s="5" t="str">
        <f>IF(OR(TRIM($B926)="",$I926=""),"",IF(OR(ISNUMBER(SEARCH(_xlfn.CONCAT(CHAR(96),CHAR(34)),$I926)),ISNUMBER(SEARCH(_xlfn.CONCAT(CHAR(34),CHAR(39)),$I926))),_xlfn.CONCAT("* REVIEW REQUIRED: compound-quote delimiter in Derivation on Sheet 1 row ",926,"; edit the input before running."),_xlfn.CONCAT("char ",TRIM($B926),"[doc_derivation] ",CHAR(96),CHAR(34),SUBSTITUTE(SUBSTITUTE(SUBSTITUTE(SUBSTITUTE(SUBSTITUTE(SUBSTITUTE($I926,CHAR(13)," "),CHAR(10)," "),CHAR(9)," "),CHAR(92),_xlfn.CONCAT(CHAR(92),CHAR(92))),"$",_xlfn.CONCAT(CHAR(92),"$")),CHAR(96),_xlfn.CONCAT(CHAR(92),CHAR(96))),CHAR(34),CHAR(39))))</f>
        <v/>
      </c>
      <c r="T926" s="5" t="str">
        <f>IF(OR(TRIM($B926)="",$J926=""),"",IF(OR(ISNUMBER(SEARCH(_xlfn.CONCAT(CHAR(96),CHAR(34)),$J926)),ISNUMBER(SEARCH(_xlfn.CONCAT(CHAR(34),CHAR(39)),$J926))),_xlfn.CONCAT("* REVIEW REQUIRED: compound-quote delimiter in Notes on Sheet 1 row ",926,"; edit the input before running."),_xlfn.CONCAT("char ",TRIM($B926),"[doc_notes] ",CHAR(96),CHAR(34),SUBSTITUTE(SUBSTITUTE(SUBSTITUTE(SUBSTITUTE(SUBSTITUTE(SUBSTITUTE($J926,CHAR(13)," "),CHAR(10)," "),CHAR(9)," "),CHAR(92),_xlfn.CONCAT(CHAR(92),CHAR(92))),"$",_xlfn.CONCAT(CHAR(92),"$")),CHAR(96),_xlfn.CONCAT(CHAR(92),CHAR(96))),CHAR(34),CHAR(39))))</f>
        <v/>
      </c>
      <c r="U926" s="5">
        <f t="shared" si="29"/>
        <v>0</v>
      </c>
    </row>
    <row r="927" spans="3:21" ht="30" customHeight="1" x14ac:dyDescent="0.2">
      <c r="C927" s="4"/>
      <c r="K927" s="5">
        <f t="shared" si="28"/>
        <v>0</v>
      </c>
      <c r="L927" s="5" t="str">
        <f>IF(OR(TRIM($B927)="",$A927=""),"",IF(OR(ISNUMBER(SEARCH(_xlfn.CONCAT(CHAR(96),CHAR(34)),$A927)),ISNUMBER(SEARCH(_xlfn.CONCAT(CHAR(34),CHAR(39)),$A927))),_xlfn.CONCAT("* REVIEW REQUIRED: compound-quote delimiter in Codebook Section on Sheet 1 row ",927,"; edit the input before running."),_xlfn.CONCAT("char ",TRIM($B927),"[doc_section] ",CHAR(96),CHAR(34),SUBSTITUTE(SUBSTITUTE(SUBSTITUTE(SUBSTITUTE(SUBSTITUTE(SUBSTITUTE($A927,CHAR(13)," "),CHAR(10)," "),CHAR(9)," "),CHAR(92),_xlfn.CONCAT(CHAR(92),CHAR(92))),"$",_xlfn.CONCAT(CHAR(92),"$")),CHAR(96),_xlfn.CONCAT(CHAR(92),CHAR(96))),CHAR(34),CHAR(39))))</f>
        <v/>
      </c>
      <c r="M927" s="5" t="str">
        <f>IF(OR(TRIM($B927)="",$C927=""),"",IF(IFERROR(MATCH(TRIM($C927),{"Quantitative","Continuous","Discrete","Categorical","Nominal","Ordinal","Identifier"},0),0)=0,_xlfn.CONCAT("* REVIEW REQUIRED: invalid Variable Type on Sheet 1 row ",927,"."),_xlfn.CONCAT("char ",TRIM($B927),"[doc_vartype] ",CHAR(96),CHAR(34),SUBSTITUTE(SUBSTITUTE(SUBSTITUTE(SUBSTITUTE(SUBSTITUTE(SUBSTITUTE(LOWER(TRIM($C927)),CHAR(13)," "),CHAR(10)," "),CHAR(9)," "),CHAR(92),_xlfn.CONCAT(CHAR(92),CHAR(92))),"$",_xlfn.CONCAT(CHAR(92),"$")),CHAR(96),_xlfn.CONCAT(CHAR(92),CHAR(96))),CHAR(34),CHAR(39))))</f>
        <v/>
      </c>
      <c r="N927" s="5" t="str">
        <f>IF(OR(TRIM($B927)="",$D927=""),"",IF(OR(ISNUMBER(SEARCH(_xlfn.CONCAT(CHAR(96),CHAR(34)),$D927)),ISNUMBER(SEARCH(_xlfn.CONCAT(CHAR(34),CHAR(39)),$D927))),_xlfn.CONCAT("* REVIEW REQUIRED: compound-quote delimiter in Item Number on Sheet 1 row ",927,"; edit the input before running."),_xlfn.CONCAT("char ",TRIM($B927),"[doc_itemnum] ",CHAR(96),CHAR(34),SUBSTITUTE(SUBSTITUTE(SUBSTITUTE(SUBSTITUTE(SUBSTITUTE(SUBSTITUTE($D927,CHAR(13)," "),CHAR(10)," "),CHAR(9)," "),CHAR(92),_xlfn.CONCAT(CHAR(92),CHAR(92))),"$",_xlfn.CONCAT(CHAR(92),"$")),CHAR(96),_xlfn.CONCAT(CHAR(92),CHAR(96))),CHAR(34),CHAR(39))))</f>
        <v/>
      </c>
      <c r="O927" s="5" t="str">
        <f>IF(OR(TRIM($B927)="",$E927=""),"",IF(OR(ISNUMBER(SEARCH(_xlfn.CONCAT(CHAR(96),CHAR(34)),$E927)),ISNUMBER(SEARCH(_xlfn.CONCAT(CHAR(34),CHAR(39)),$E927))),_xlfn.CONCAT("* REVIEW REQUIRED: compound-quote delimiter in Question Wording on Sheet 1 row ",927,"; edit the input before running."),_xlfn.CONCAT("char ",TRIM($B927),"[doc_question] ",CHAR(96),CHAR(34),SUBSTITUTE(SUBSTITUTE(SUBSTITUTE(SUBSTITUTE(SUBSTITUTE(SUBSTITUTE($E927,CHAR(13)," "),CHAR(10)," "),CHAR(9)," "),CHAR(92),_xlfn.CONCAT(CHAR(92),CHAR(92))),"$",_xlfn.CONCAT(CHAR(92),"$")),CHAR(96),_xlfn.CONCAT(CHAR(92),CHAR(96))),CHAR(34),CHAR(39))))</f>
        <v/>
      </c>
      <c r="P927" s="5" t="str">
        <f>IF(OR(TRIM($B927)="",$F927=""),"",IF(OR(ISNUMBER(SEARCH(_xlfn.CONCAT(CHAR(96),CHAR(34)),$F927)),ISNUMBER(SEARCH(_xlfn.CONCAT(CHAR(34),CHAR(39)),$F927))),_xlfn.CONCAT("* REVIEW REQUIRED: compound-quote delimiter in Units on Sheet 1 row ",927,"; edit the input before running."),_xlfn.CONCAT("char ",TRIM($B927),"[doc_units] ",CHAR(96),CHAR(34),SUBSTITUTE(SUBSTITUTE(SUBSTITUTE(SUBSTITUTE(SUBSTITUTE(SUBSTITUTE($F927,CHAR(13)," "),CHAR(10)," "),CHAR(9)," "),CHAR(92),_xlfn.CONCAT(CHAR(92),CHAR(92))),"$",_xlfn.CONCAT(CHAR(92),"$")),CHAR(96),_xlfn.CONCAT(CHAR(92),CHAR(96))),CHAR(34),CHAR(39))))</f>
        <v/>
      </c>
      <c r="Q927" s="5" t="str">
        <f>IF(OR(TRIM($B927)="",$G927=""),"",IF(OR(ISNUMBER(SEARCH(_xlfn.CONCAT(CHAR(96),CHAR(34)),$G927)),ISNUMBER(SEARCH(_xlfn.CONCAT(CHAR(34),CHAR(39)),$G927))),_xlfn.CONCAT("* REVIEW REQUIRED: compound-quote delimiter in Universe on Sheet 1 row ",927,"; edit the input before running."),_xlfn.CONCAT("char ",TRIM($B927),"[doc_universe] ",CHAR(96),CHAR(34),SUBSTITUTE(SUBSTITUTE(SUBSTITUTE(SUBSTITUTE(SUBSTITUTE(SUBSTITUTE($G927,CHAR(13)," "),CHAR(10)," "),CHAR(9)," "),CHAR(92),_xlfn.CONCAT(CHAR(92),CHAR(92))),"$",_xlfn.CONCAT(CHAR(92),"$")),CHAR(96),_xlfn.CONCAT(CHAR(92),CHAR(96))),CHAR(34),CHAR(39))))</f>
        <v/>
      </c>
      <c r="R927" s="5" t="str">
        <f>IF(OR(TRIM($B927)="",$H927=""),"",IF(OR(ISNUMBER(SEARCH(_xlfn.CONCAT(CHAR(96),CHAR(34)),$H927)),ISNUMBER(SEARCH(_xlfn.CONCAT(CHAR(34),CHAR(39)),$H927))),_xlfn.CONCAT("* REVIEW REQUIRED: compound-quote delimiter in Source on Sheet 1 row ",927,"; edit the input before running."),_xlfn.CONCAT("char ",TRIM($B927),"[doc_source] ",CHAR(96),CHAR(34),SUBSTITUTE(SUBSTITUTE(SUBSTITUTE(SUBSTITUTE(SUBSTITUTE(SUBSTITUTE($H927,CHAR(13)," "),CHAR(10)," "),CHAR(9)," "),CHAR(92),_xlfn.CONCAT(CHAR(92),CHAR(92))),"$",_xlfn.CONCAT(CHAR(92),"$")),CHAR(96),_xlfn.CONCAT(CHAR(92),CHAR(96))),CHAR(34),CHAR(39))))</f>
        <v/>
      </c>
      <c r="S927" s="5" t="str">
        <f>IF(OR(TRIM($B927)="",$I927=""),"",IF(OR(ISNUMBER(SEARCH(_xlfn.CONCAT(CHAR(96),CHAR(34)),$I927)),ISNUMBER(SEARCH(_xlfn.CONCAT(CHAR(34),CHAR(39)),$I927))),_xlfn.CONCAT("* REVIEW REQUIRED: compound-quote delimiter in Derivation on Sheet 1 row ",927,"; edit the input before running."),_xlfn.CONCAT("char ",TRIM($B927),"[doc_derivation] ",CHAR(96),CHAR(34),SUBSTITUTE(SUBSTITUTE(SUBSTITUTE(SUBSTITUTE(SUBSTITUTE(SUBSTITUTE($I927,CHAR(13)," "),CHAR(10)," "),CHAR(9)," "),CHAR(92),_xlfn.CONCAT(CHAR(92),CHAR(92))),"$",_xlfn.CONCAT(CHAR(92),"$")),CHAR(96),_xlfn.CONCAT(CHAR(92),CHAR(96))),CHAR(34),CHAR(39))))</f>
        <v/>
      </c>
      <c r="T927" s="5" t="str">
        <f>IF(OR(TRIM($B927)="",$J927=""),"",IF(OR(ISNUMBER(SEARCH(_xlfn.CONCAT(CHAR(96),CHAR(34)),$J927)),ISNUMBER(SEARCH(_xlfn.CONCAT(CHAR(34),CHAR(39)),$J927))),_xlfn.CONCAT("* REVIEW REQUIRED: compound-quote delimiter in Notes on Sheet 1 row ",927,"; edit the input before running."),_xlfn.CONCAT("char ",TRIM($B927),"[doc_notes] ",CHAR(96),CHAR(34),SUBSTITUTE(SUBSTITUTE(SUBSTITUTE(SUBSTITUTE(SUBSTITUTE(SUBSTITUTE($J927,CHAR(13)," "),CHAR(10)," "),CHAR(9)," "),CHAR(92),_xlfn.CONCAT(CHAR(92),CHAR(92))),"$",_xlfn.CONCAT(CHAR(92),"$")),CHAR(96),_xlfn.CONCAT(CHAR(92),CHAR(96))),CHAR(34),CHAR(39))))</f>
        <v/>
      </c>
      <c r="U927" s="5">
        <f t="shared" si="29"/>
        <v>0</v>
      </c>
    </row>
    <row r="928" spans="3:21" ht="30" customHeight="1" x14ac:dyDescent="0.2">
      <c r="C928" s="4"/>
      <c r="K928" s="5">
        <f t="shared" si="28"/>
        <v>0</v>
      </c>
      <c r="L928" s="5" t="str">
        <f>IF(OR(TRIM($B928)="",$A928=""),"",IF(OR(ISNUMBER(SEARCH(_xlfn.CONCAT(CHAR(96),CHAR(34)),$A928)),ISNUMBER(SEARCH(_xlfn.CONCAT(CHAR(34),CHAR(39)),$A928))),_xlfn.CONCAT("* REVIEW REQUIRED: compound-quote delimiter in Codebook Section on Sheet 1 row ",928,"; edit the input before running."),_xlfn.CONCAT("char ",TRIM($B928),"[doc_section] ",CHAR(96),CHAR(34),SUBSTITUTE(SUBSTITUTE(SUBSTITUTE(SUBSTITUTE(SUBSTITUTE(SUBSTITUTE($A928,CHAR(13)," "),CHAR(10)," "),CHAR(9)," "),CHAR(92),_xlfn.CONCAT(CHAR(92),CHAR(92))),"$",_xlfn.CONCAT(CHAR(92),"$")),CHAR(96),_xlfn.CONCAT(CHAR(92),CHAR(96))),CHAR(34),CHAR(39))))</f>
        <v/>
      </c>
      <c r="M928" s="5" t="str">
        <f>IF(OR(TRIM($B928)="",$C928=""),"",IF(IFERROR(MATCH(TRIM($C928),{"Quantitative","Continuous","Discrete","Categorical","Nominal","Ordinal","Identifier"},0),0)=0,_xlfn.CONCAT("* REVIEW REQUIRED: invalid Variable Type on Sheet 1 row ",928,"."),_xlfn.CONCAT("char ",TRIM($B928),"[doc_vartype] ",CHAR(96),CHAR(34),SUBSTITUTE(SUBSTITUTE(SUBSTITUTE(SUBSTITUTE(SUBSTITUTE(SUBSTITUTE(LOWER(TRIM($C928)),CHAR(13)," "),CHAR(10)," "),CHAR(9)," "),CHAR(92),_xlfn.CONCAT(CHAR(92),CHAR(92))),"$",_xlfn.CONCAT(CHAR(92),"$")),CHAR(96),_xlfn.CONCAT(CHAR(92),CHAR(96))),CHAR(34),CHAR(39))))</f>
        <v/>
      </c>
      <c r="N928" s="5" t="str">
        <f>IF(OR(TRIM($B928)="",$D928=""),"",IF(OR(ISNUMBER(SEARCH(_xlfn.CONCAT(CHAR(96),CHAR(34)),$D928)),ISNUMBER(SEARCH(_xlfn.CONCAT(CHAR(34),CHAR(39)),$D928))),_xlfn.CONCAT("* REVIEW REQUIRED: compound-quote delimiter in Item Number on Sheet 1 row ",928,"; edit the input before running."),_xlfn.CONCAT("char ",TRIM($B928),"[doc_itemnum] ",CHAR(96),CHAR(34),SUBSTITUTE(SUBSTITUTE(SUBSTITUTE(SUBSTITUTE(SUBSTITUTE(SUBSTITUTE($D928,CHAR(13)," "),CHAR(10)," "),CHAR(9)," "),CHAR(92),_xlfn.CONCAT(CHAR(92),CHAR(92))),"$",_xlfn.CONCAT(CHAR(92),"$")),CHAR(96),_xlfn.CONCAT(CHAR(92),CHAR(96))),CHAR(34),CHAR(39))))</f>
        <v/>
      </c>
      <c r="O928" s="5" t="str">
        <f>IF(OR(TRIM($B928)="",$E928=""),"",IF(OR(ISNUMBER(SEARCH(_xlfn.CONCAT(CHAR(96),CHAR(34)),$E928)),ISNUMBER(SEARCH(_xlfn.CONCAT(CHAR(34),CHAR(39)),$E928))),_xlfn.CONCAT("* REVIEW REQUIRED: compound-quote delimiter in Question Wording on Sheet 1 row ",928,"; edit the input before running."),_xlfn.CONCAT("char ",TRIM($B928),"[doc_question] ",CHAR(96),CHAR(34),SUBSTITUTE(SUBSTITUTE(SUBSTITUTE(SUBSTITUTE(SUBSTITUTE(SUBSTITUTE($E928,CHAR(13)," "),CHAR(10)," "),CHAR(9)," "),CHAR(92),_xlfn.CONCAT(CHAR(92),CHAR(92))),"$",_xlfn.CONCAT(CHAR(92),"$")),CHAR(96),_xlfn.CONCAT(CHAR(92),CHAR(96))),CHAR(34),CHAR(39))))</f>
        <v/>
      </c>
      <c r="P928" s="5" t="str">
        <f>IF(OR(TRIM($B928)="",$F928=""),"",IF(OR(ISNUMBER(SEARCH(_xlfn.CONCAT(CHAR(96),CHAR(34)),$F928)),ISNUMBER(SEARCH(_xlfn.CONCAT(CHAR(34),CHAR(39)),$F928))),_xlfn.CONCAT("* REVIEW REQUIRED: compound-quote delimiter in Units on Sheet 1 row ",928,"; edit the input before running."),_xlfn.CONCAT("char ",TRIM($B928),"[doc_units] ",CHAR(96),CHAR(34),SUBSTITUTE(SUBSTITUTE(SUBSTITUTE(SUBSTITUTE(SUBSTITUTE(SUBSTITUTE($F928,CHAR(13)," "),CHAR(10)," "),CHAR(9)," "),CHAR(92),_xlfn.CONCAT(CHAR(92),CHAR(92))),"$",_xlfn.CONCAT(CHAR(92),"$")),CHAR(96),_xlfn.CONCAT(CHAR(92),CHAR(96))),CHAR(34),CHAR(39))))</f>
        <v/>
      </c>
      <c r="Q928" s="5" t="str">
        <f>IF(OR(TRIM($B928)="",$G928=""),"",IF(OR(ISNUMBER(SEARCH(_xlfn.CONCAT(CHAR(96),CHAR(34)),$G928)),ISNUMBER(SEARCH(_xlfn.CONCAT(CHAR(34),CHAR(39)),$G928))),_xlfn.CONCAT("* REVIEW REQUIRED: compound-quote delimiter in Universe on Sheet 1 row ",928,"; edit the input before running."),_xlfn.CONCAT("char ",TRIM($B928),"[doc_universe] ",CHAR(96),CHAR(34),SUBSTITUTE(SUBSTITUTE(SUBSTITUTE(SUBSTITUTE(SUBSTITUTE(SUBSTITUTE($G928,CHAR(13)," "),CHAR(10)," "),CHAR(9)," "),CHAR(92),_xlfn.CONCAT(CHAR(92),CHAR(92))),"$",_xlfn.CONCAT(CHAR(92),"$")),CHAR(96),_xlfn.CONCAT(CHAR(92),CHAR(96))),CHAR(34),CHAR(39))))</f>
        <v/>
      </c>
      <c r="R928" s="5" t="str">
        <f>IF(OR(TRIM($B928)="",$H928=""),"",IF(OR(ISNUMBER(SEARCH(_xlfn.CONCAT(CHAR(96),CHAR(34)),$H928)),ISNUMBER(SEARCH(_xlfn.CONCAT(CHAR(34),CHAR(39)),$H928))),_xlfn.CONCAT("* REVIEW REQUIRED: compound-quote delimiter in Source on Sheet 1 row ",928,"; edit the input before running."),_xlfn.CONCAT("char ",TRIM($B928),"[doc_source] ",CHAR(96),CHAR(34),SUBSTITUTE(SUBSTITUTE(SUBSTITUTE(SUBSTITUTE(SUBSTITUTE(SUBSTITUTE($H928,CHAR(13)," "),CHAR(10)," "),CHAR(9)," "),CHAR(92),_xlfn.CONCAT(CHAR(92),CHAR(92))),"$",_xlfn.CONCAT(CHAR(92),"$")),CHAR(96),_xlfn.CONCAT(CHAR(92),CHAR(96))),CHAR(34),CHAR(39))))</f>
        <v/>
      </c>
      <c r="S928" s="5" t="str">
        <f>IF(OR(TRIM($B928)="",$I928=""),"",IF(OR(ISNUMBER(SEARCH(_xlfn.CONCAT(CHAR(96),CHAR(34)),$I928)),ISNUMBER(SEARCH(_xlfn.CONCAT(CHAR(34),CHAR(39)),$I928))),_xlfn.CONCAT("* REVIEW REQUIRED: compound-quote delimiter in Derivation on Sheet 1 row ",928,"; edit the input before running."),_xlfn.CONCAT("char ",TRIM($B928),"[doc_derivation] ",CHAR(96),CHAR(34),SUBSTITUTE(SUBSTITUTE(SUBSTITUTE(SUBSTITUTE(SUBSTITUTE(SUBSTITUTE($I928,CHAR(13)," "),CHAR(10)," "),CHAR(9)," "),CHAR(92),_xlfn.CONCAT(CHAR(92),CHAR(92))),"$",_xlfn.CONCAT(CHAR(92),"$")),CHAR(96),_xlfn.CONCAT(CHAR(92),CHAR(96))),CHAR(34),CHAR(39))))</f>
        <v/>
      </c>
      <c r="T928" s="5" t="str">
        <f>IF(OR(TRIM($B928)="",$J928=""),"",IF(OR(ISNUMBER(SEARCH(_xlfn.CONCAT(CHAR(96),CHAR(34)),$J928)),ISNUMBER(SEARCH(_xlfn.CONCAT(CHAR(34),CHAR(39)),$J928))),_xlfn.CONCAT("* REVIEW REQUIRED: compound-quote delimiter in Notes on Sheet 1 row ",928,"; edit the input before running."),_xlfn.CONCAT("char ",TRIM($B928),"[doc_notes] ",CHAR(96),CHAR(34),SUBSTITUTE(SUBSTITUTE(SUBSTITUTE(SUBSTITUTE(SUBSTITUTE(SUBSTITUTE($J928,CHAR(13)," "),CHAR(10)," "),CHAR(9)," "),CHAR(92),_xlfn.CONCAT(CHAR(92),CHAR(92))),"$",_xlfn.CONCAT(CHAR(92),"$")),CHAR(96),_xlfn.CONCAT(CHAR(92),CHAR(96))),CHAR(34),CHAR(39))))</f>
        <v/>
      </c>
      <c r="U928" s="5">
        <f t="shared" si="29"/>
        <v>0</v>
      </c>
    </row>
    <row r="929" spans="3:21" ht="30" customHeight="1" x14ac:dyDescent="0.2">
      <c r="C929" s="4"/>
      <c r="K929" s="5">
        <f t="shared" si="28"/>
        <v>0</v>
      </c>
      <c r="L929" s="5" t="str">
        <f>IF(OR(TRIM($B929)="",$A929=""),"",IF(OR(ISNUMBER(SEARCH(_xlfn.CONCAT(CHAR(96),CHAR(34)),$A929)),ISNUMBER(SEARCH(_xlfn.CONCAT(CHAR(34),CHAR(39)),$A929))),_xlfn.CONCAT("* REVIEW REQUIRED: compound-quote delimiter in Codebook Section on Sheet 1 row ",929,"; edit the input before running."),_xlfn.CONCAT("char ",TRIM($B929),"[doc_section] ",CHAR(96),CHAR(34),SUBSTITUTE(SUBSTITUTE(SUBSTITUTE(SUBSTITUTE(SUBSTITUTE(SUBSTITUTE($A929,CHAR(13)," "),CHAR(10)," "),CHAR(9)," "),CHAR(92),_xlfn.CONCAT(CHAR(92),CHAR(92))),"$",_xlfn.CONCAT(CHAR(92),"$")),CHAR(96),_xlfn.CONCAT(CHAR(92),CHAR(96))),CHAR(34),CHAR(39))))</f>
        <v/>
      </c>
      <c r="M929" s="5" t="str">
        <f>IF(OR(TRIM($B929)="",$C929=""),"",IF(IFERROR(MATCH(TRIM($C929),{"Quantitative","Continuous","Discrete","Categorical","Nominal","Ordinal","Identifier"},0),0)=0,_xlfn.CONCAT("* REVIEW REQUIRED: invalid Variable Type on Sheet 1 row ",929,"."),_xlfn.CONCAT("char ",TRIM($B929),"[doc_vartype] ",CHAR(96),CHAR(34),SUBSTITUTE(SUBSTITUTE(SUBSTITUTE(SUBSTITUTE(SUBSTITUTE(SUBSTITUTE(LOWER(TRIM($C929)),CHAR(13)," "),CHAR(10)," "),CHAR(9)," "),CHAR(92),_xlfn.CONCAT(CHAR(92),CHAR(92))),"$",_xlfn.CONCAT(CHAR(92),"$")),CHAR(96),_xlfn.CONCAT(CHAR(92),CHAR(96))),CHAR(34),CHAR(39))))</f>
        <v/>
      </c>
      <c r="N929" s="5" t="str">
        <f>IF(OR(TRIM($B929)="",$D929=""),"",IF(OR(ISNUMBER(SEARCH(_xlfn.CONCAT(CHAR(96),CHAR(34)),$D929)),ISNUMBER(SEARCH(_xlfn.CONCAT(CHAR(34),CHAR(39)),$D929))),_xlfn.CONCAT("* REVIEW REQUIRED: compound-quote delimiter in Item Number on Sheet 1 row ",929,"; edit the input before running."),_xlfn.CONCAT("char ",TRIM($B929),"[doc_itemnum] ",CHAR(96),CHAR(34),SUBSTITUTE(SUBSTITUTE(SUBSTITUTE(SUBSTITUTE(SUBSTITUTE(SUBSTITUTE($D929,CHAR(13)," "),CHAR(10)," "),CHAR(9)," "),CHAR(92),_xlfn.CONCAT(CHAR(92),CHAR(92))),"$",_xlfn.CONCAT(CHAR(92),"$")),CHAR(96),_xlfn.CONCAT(CHAR(92),CHAR(96))),CHAR(34),CHAR(39))))</f>
        <v/>
      </c>
      <c r="O929" s="5" t="str">
        <f>IF(OR(TRIM($B929)="",$E929=""),"",IF(OR(ISNUMBER(SEARCH(_xlfn.CONCAT(CHAR(96),CHAR(34)),$E929)),ISNUMBER(SEARCH(_xlfn.CONCAT(CHAR(34),CHAR(39)),$E929))),_xlfn.CONCAT("* REVIEW REQUIRED: compound-quote delimiter in Question Wording on Sheet 1 row ",929,"; edit the input before running."),_xlfn.CONCAT("char ",TRIM($B929),"[doc_question] ",CHAR(96),CHAR(34),SUBSTITUTE(SUBSTITUTE(SUBSTITUTE(SUBSTITUTE(SUBSTITUTE(SUBSTITUTE($E929,CHAR(13)," "),CHAR(10)," "),CHAR(9)," "),CHAR(92),_xlfn.CONCAT(CHAR(92),CHAR(92))),"$",_xlfn.CONCAT(CHAR(92),"$")),CHAR(96),_xlfn.CONCAT(CHAR(92),CHAR(96))),CHAR(34),CHAR(39))))</f>
        <v/>
      </c>
      <c r="P929" s="5" t="str">
        <f>IF(OR(TRIM($B929)="",$F929=""),"",IF(OR(ISNUMBER(SEARCH(_xlfn.CONCAT(CHAR(96),CHAR(34)),$F929)),ISNUMBER(SEARCH(_xlfn.CONCAT(CHAR(34),CHAR(39)),$F929))),_xlfn.CONCAT("* REVIEW REQUIRED: compound-quote delimiter in Units on Sheet 1 row ",929,"; edit the input before running."),_xlfn.CONCAT("char ",TRIM($B929),"[doc_units] ",CHAR(96),CHAR(34),SUBSTITUTE(SUBSTITUTE(SUBSTITUTE(SUBSTITUTE(SUBSTITUTE(SUBSTITUTE($F929,CHAR(13)," "),CHAR(10)," "),CHAR(9)," "),CHAR(92),_xlfn.CONCAT(CHAR(92),CHAR(92))),"$",_xlfn.CONCAT(CHAR(92),"$")),CHAR(96),_xlfn.CONCAT(CHAR(92),CHAR(96))),CHAR(34),CHAR(39))))</f>
        <v/>
      </c>
      <c r="Q929" s="5" t="str">
        <f>IF(OR(TRIM($B929)="",$G929=""),"",IF(OR(ISNUMBER(SEARCH(_xlfn.CONCAT(CHAR(96),CHAR(34)),$G929)),ISNUMBER(SEARCH(_xlfn.CONCAT(CHAR(34),CHAR(39)),$G929))),_xlfn.CONCAT("* REVIEW REQUIRED: compound-quote delimiter in Universe on Sheet 1 row ",929,"; edit the input before running."),_xlfn.CONCAT("char ",TRIM($B929),"[doc_universe] ",CHAR(96),CHAR(34),SUBSTITUTE(SUBSTITUTE(SUBSTITUTE(SUBSTITUTE(SUBSTITUTE(SUBSTITUTE($G929,CHAR(13)," "),CHAR(10)," "),CHAR(9)," "),CHAR(92),_xlfn.CONCAT(CHAR(92),CHAR(92))),"$",_xlfn.CONCAT(CHAR(92),"$")),CHAR(96),_xlfn.CONCAT(CHAR(92),CHAR(96))),CHAR(34),CHAR(39))))</f>
        <v/>
      </c>
      <c r="R929" s="5" t="str">
        <f>IF(OR(TRIM($B929)="",$H929=""),"",IF(OR(ISNUMBER(SEARCH(_xlfn.CONCAT(CHAR(96),CHAR(34)),$H929)),ISNUMBER(SEARCH(_xlfn.CONCAT(CHAR(34),CHAR(39)),$H929))),_xlfn.CONCAT("* REVIEW REQUIRED: compound-quote delimiter in Source on Sheet 1 row ",929,"; edit the input before running."),_xlfn.CONCAT("char ",TRIM($B929),"[doc_source] ",CHAR(96),CHAR(34),SUBSTITUTE(SUBSTITUTE(SUBSTITUTE(SUBSTITUTE(SUBSTITUTE(SUBSTITUTE($H929,CHAR(13)," "),CHAR(10)," "),CHAR(9)," "),CHAR(92),_xlfn.CONCAT(CHAR(92),CHAR(92))),"$",_xlfn.CONCAT(CHAR(92),"$")),CHAR(96),_xlfn.CONCAT(CHAR(92),CHAR(96))),CHAR(34),CHAR(39))))</f>
        <v/>
      </c>
      <c r="S929" s="5" t="str">
        <f>IF(OR(TRIM($B929)="",$I929=""),"",IF(OR(ISNUMBER(SEARCH(_xlfn.CONCAT(CHAR(96),CHAR(34)),$I929)),ISNUMBER(SEARCH(_xlfn.CONCAT(CHAR(34),CHAR(39)),$I929))),_xlfn.CONCAT("* REVIEW REQUIRED: compound-quote delimiter in Derivation on Sheet 1 row ",929,"; edit the input before running."),_xlfn.CONCAT("char ",TRIM($B929),"[doc_derivation] ",CHAR(96),CHAR(34),SUBSTITUTE(SUBSTITUTE(SUBSTITUTE(SUBSTITUTE(SUBSTITUTE(SUBSTITUTE($I929,CHAR(13)," "),CHAR(10)," "),CHAR(9)," "),CHAR(92),_xlfn.CONCAT(CHAR(92),CHAR(92))),"$",_xlfn.CONCAT(CHAR(92),"$")),CHAR(96),_xlfn.CONCAT(CHAR(92),CHAR(96))),CHAR(34),CHAR(39))))</f>
        <v/>
      </c>
      <c r="T929" s="5" t="str">
        <f>IF(OR(TRIM($B929)="",$J929=""),"",IF(OR(ISNUMBER(SEARCH(_xlfn.CONCAT(CHAR(96),CHAR(34)),$J929)),ISNUMBER(SEARCH(_xlfn.CONCAT(CHAR(34),CHAR(39)),$J929))),_xlfn.CONCAT("* REVIEW REQUIRED: compound-quote delimiter in Notes on Sheet 1 row ",929,"; edit the input before running."),_xlfn.CONCAT("char ",TRIM($B929),"[doc_notes] ",CHAR(96),CHAR(34),SUBSTITUTE(SUBSTITUTE(SUBSTITUTE(SUBSTITUTE(SUBSTITUTE(SUBSTITUTE($J929,CHAR(13)," "),CHAR(10)," "),CHAR(9)," "),CHAR(92),_xlfn.CONCAT(CHAR(92),CHAR(92))),"$",_xlfn.CONCAT(CHAR(92),"$")),CHAR(96),_xlfn.CONCAT(CHAR(92),CHAR(96))),CHAR(34),CHAR(39))))</f>
        <v/>
      </c>
      <c r="U929" s="5">
        <f t="shared" si="29"/>
        <v>0</v>
      </c>
    </row>
    <row r="930" spans="3:21" ht="30" customHeight="1" x14ac:dyDescent="0.2">
      <c r="C930" s="4"/>
      <c r="K930" s="5">
        <f t="shared" si="28"/>
        <v>0</v>
      </c>
      <c r="L930" s="5" t="str">
        <f>IF(OR(TRIM($B930)="",$A930=""),"",IF(OR(ISNUMBER(SEARCH(_xlfn.CONCAT(CHAR(96),CHAR(34)),$A930)),ISNUMBER(SEARCH(_xlfn.CONCAT(CHAR(34),CHAR(39)),$A930))),_xlfn.CONCAT("* REVIEW REQUIRED: compound-quote delimiter in Codebook Section on Sheet 1 row ",930,"; edit the input before running."),_xlfn.CONCAT("char ",TRIM($B930),"[doc_section] ",CHAR(96),CHAR(34),SUBSTITUTE(SUBSTITUTE(SUBSTITUTE(SUBSTITUTE(SUBSTITUTE(SUBSTITUTE($A930,CHAR(13)," "),CHAR(10)," "),CHAR(9)," "),CHAR(92),_xlfn.CONCAT(CHAR(92),CHAR(92))),"$",_xlfn.CONCAT(CHAR(92),"$")),CHAR(96),_xlfn.CONCAT(CHAR(92),CHAR(96))),CHAR(34),CHAR(39))))</f>
        <v/>
      </c>
      <c r="M930" s="5" t="str">
        <f>IF(OR(TRIM($B930)="",$C930=""),"",IF(IFERROR(MATCH(TRIM($C930),{"Quantitative","Continuous","Discrete","Categorical","Nominal","Ordinal","Identifier"},0),0)=0,_xlfn.CONCAT("* REVIEW REQUIRED: invalid Variable Type on Sheet 1 row ",930,"."),_xlfn.CONCAT("char ",TRIM($B930),"[doc_vartype] ",CHAR(96),CHAR(34),SUBSTITUTE(SUBSTITUTE(SUBSTITUTE(SUBSTITUTE(SUBSTITUTE(SUBSTITUTE(LOWER(TRIM($C930)),CHAR(13)," "),CHAR(10)," "),CHAR(9)," "),CHAR(92),_xlfn.CONCAT(CHAR(92),CHAR(92))),"$",_xlfn.CONCAT(CHAR(92),"$")),CHAR(96),_xlfn.CONCAT(CHAR(92),CHAR(96))),CHAR(34),CHAR(39))))</f>
        <v/>
      </c>
      <c r="N930" s="5" t="str">
        <f>IF(OR(TRIM($B930)="",$D930=""),"",IF(OR(ISNUMBER(SEARCH(_xlfn.CONCAT(CHAR(96),CHAR(34)),$D930)),ISNUMBER(SEARCH(_xlfn.CONCAT(CHAR(34),CHAR(39)),$D930))),_xlfn.CONCAT("* REVIEW REQUIRED: compound-quote delimiter in Item Number on Sheet 1 row ",930,"; edit the input before running."),_xlfn.CONCAT("char ",TRIM($B930),"[doc_itemnum] ",CHAR(96),CHAR(34),SUBSTITUTE(SUBSTITUTE(SUBSTITUTE(SUBSTITUTE(SUBSTITUTE(SUBSTITUTE($D930,CHAR(13)," "),CHAR(10)," "),CHAR(9)," "),CHAR(92),_xlfn.CONCAT(CHAR(92),CHAR(92))),"$",_xlfn.CONCAT(CHAR(92),"$")),CHAR(96),_xlfn.CONCAT(CHAR(92),CHAR(96))),CHAR(34),CHAR(39))))</f>
        <v/>
      </c>
      <c r="O930" s="5" t="str">
        <f>IF(OR(TRIM($B930)="",$E930=""),"",IF(OR(ISNUMBER(SEARCH(_xlfn.CONCAT(CHAR(96),CHAR(34)),$E930)),ISNUMBER(SEARCH(_xlfn.CONCAT(CHAR(34),CHAR(39)),$E930))),_xlfn.CONCAT("* REVIEW REQUIRED: compound-quote delimiter in Question Wording on Sheet 1 row ",930,"; edit the input before running."),_xlfn.CONCAT("char ",TRIM($B930),"[doc_question] ",CHAR(96),CHAR(34),SUBSTITUTE(SUBSTITUTE(SUBSTITUTE(SUBSTITUTE(SUBSTITUTE(SUBSTITUTE($E930,CHAR(13)," "),CHAR(10)," "),CHAR(9)," "),CHAR(92),_xlfn.CONCAT(CHAR(92),CHAR(92))),"$",_xlfn.CONCAT(CHAR(92),"$")),CHAR(96),_xlfn.CONCAT(CHAR(92),CHAR(96))),CHAR(34),CHAR(39))))</f>
        <v/>
      </c>
      <c r="P930" s="5" t="str">
        <f>IF(OR(TRIM($B930)="",$F930=""),"",IF(OR(ISNUMBER(SEARCH(_xlfn.CONCAT(CHAR(96),CHAR(34)),$F930)),ISNUMBER(SEARCH(_xlfn.CONCAT(CHAR(34),CHAR(39)),$F930))),_xlfn.CONCAT("* REVIEW REQUIRED: compound-quote delimiter in Units on Sheet 1 row ",930,"; edit the input before running."),_xlfn.CONCAT("char ",TRIM($B930),"[doc_units] ",CHAR(96),CHAR(34),SUBSTITUTE(SUBSTITUTE(SUBSTITUTE(SUBSTITUTE(SUBSTITUTE(SUBSTITUTE($F930,CHAR(13)," "),CHAR(10)," "),CHAR(9)," "),CHAR(92),_xlfn.CONCAT(CHAR(92),CHAR(92))),"$",_xlfn.CONCAT(CHAR(92),"$")),CHAR(96),_xlfn.CONCAT(CHAR(92),CHAR(96))),CHAR(34),CHAR(39))))</f>
        <v/>
      </c>
      <c r="Q930" s="5" t="str">
        <f>IF(OR(TRIM($B930)="",$G930=""),"",IF(OR(ISNUMBER(SEARCH(_xlfn.CONCAT(CHAR(96),CHAR(34)),$G930)),ISNUMBER(SEARCH(_xlfn.CONCAT(CHAR(34),CHAR(39)),$G930))),_xlfn.CONCAT("* REVIEW REQUIRED: compound-quote delimiter in Universe on Sheet 1 row ",930,"; edit the input before running."),_xlfn.CONCAT("char ",TRIM($B930),"[doc_universe] ",CHAR(96),CHAR(34),SUBSTITUTE(SUBSTITUTE(SUBSTITUTE(SUBSTITUTE(SUBSTITUTE(SUBSTITUTE($G930,CHAR(13)," "),CHAR(10)," "),CHAR(9)," "),CHAR(92),_xlfn.CONCAT(CHAR(92),CHAR(92))),"$",_xlfn.CONCAT(CHAR(92),"$")),CHAR(96),_xlfn.CONCAT(CHAR(92),CHAR(96))),CHAR(34),CHAR(39))))</f>
        <v/>
      </c>
      <c r="R930" s="5" t="str">
        <f>IF(OR(TRIM($B930)="",$H930=""),"",IF(OR(ISNUMBER(SEARCH(_xlfn.CONCAT(CHAR(96),CHAR(34)),$H930)),ISNUMBER(SEARCH(_xlfn.CONCAT(CHAR(34),CHAR(39)),$H930))),_xlfn.CONCAT("* REVIEW REQUIRED: compound-quote delimiter in Source on Sheet 1 row ",930,"; edit the input before running."),_xlfn.CONCAT("char ",TRIM($B930),"[doc_source] ",CHAR(96),CHAR(34),SUBSTITUTE(SUBSTITUTE(SUBSTITUTE(SUBSTITUTE(SUBSTITUTE(SUBSTITUTE($H930,CHAR(13)," "),CHAR(10)," "),CHAR(9)," "),CHAR(92),_xlfn.CONCAT(CHAR(92),CHAR(92))),"$",_xlfn.CONCAT(CHAR(92),"$")),CHAR(96),_xlfn.CONCAT(CHAR(92),CHAR(96))),CHAR(34),CHAR(39))))</f>
        <v/>
      </c>
      <c r="S930" s="5" t="str">
        <f>IF(OR(TRIM($B930)="",$I930=""),"",IF(OR(ISNUMBER(SEARCH(_xlfn.CONCAT(CHAR(96),CHAR(34)),$I930)),ISNUMBER(SEARCH(_xlfn.CONCAT(CHAR(34),CHAR(39)),$I930))),_xlfn.CONCAT("* REVIEW REQUIRED: compound-quote delimiter in Derivation on Sheet 1 row ",930,"; edit the input before running."),_xlfn.CONCAT("char ",TRIM($B930),"[doc_derivation] ",CHAR(96),CHAR(34),SUBSTITUTE(SUBSTITUTE(SUBSTITUTE(SUBSTITUTE(SUBSTITUTE(SUBSTITUTE($I930,CHAR(13)," "),CHAR(10)," "),CHAR(9)," "),CHAR(92),_xlfn.CONCAT(CHAR(92),CHAR(92))),"$",_xlfn.CONCAT(CHAR(92),"$")),CHAR(96),_xlfn.CONCAT(CHAR(92),CHAR(96))),CHAR(34),CHAR(39))))</f>
        <v/>
      </c>
      <c r="T930" s="5" t="str">
        <f>IF(OR(TRIM($B930)="",$J930=""),"",IF(OR(ISNUMBER(SEARCH(_xlfn.CONCAT(CHAR(96),CHAR(34)),$J930)),ISNUMBER(SEARCH(_xlfn.CONCAT(CHAR(34),CHAR(39)),$J930))),_xlfn.CONCAT("* REVIEW REQUIRED: compound-quote delimiter in Notes on Sheet 1 row ",930,"; edit the input before running."),_xlfn.CONCAT("char ",TRIM($B930),"[doc_notes] ",CHAR(96),CHAR(34),SUBSTITUTE(SUBSTITUTE(SUBSTITUTE(SUBSTITUTE(SUBSTITUTE(SUBSTITUTE($J930,CHAR(13)," "),CHAR(10)," "),CHAR(9)," "),CHAR(92),_xlfn.CONCAT(CHAR(92),CHAR(92))),"$",_xlfn.CONCAT(CHAR(92),"$")),CHAR(96),_xlfn.CONCAT(CHAR(92),CHAR(96))),CHAR(34),CHAR(39))))</f>
        <v/>
      </c>
      <c r="U930" s="5">
        <f t="shared" si="29"/>
        <v>0</v>
      </c>
    </row>
    <row r="931" spans="3:21" ht="30" customHeight="1" x14ac:dyDescent="0.2">
      <c r="C931" s="4"/>
      <c r="K931" s="5">
        <f t="shared" si="28"/>
        <v>0</v>
      </c>
      <c r="L931" s="5" t="str">
        <f>IF(OR(TRIM($B931)="",$A931=""),"",IF(OR(ISNUMBER(SEARCH(_xlfn.CONCAT(CHAR(96),CHAR(34)),$A931)),ISNUMBER(SEARCH(_xlfn.CONCAT(CHAR(34),CHAR(39)),$A931))),_xlfn.CONCAT("* REVIEW REQUIRED: compound-quote delimiter in Codebook Section on Sheet 1 row ",931,"; edit the input before running."),_xlfn.CONCAT("char ",TRIM($B931),"[doc_section] ",CHAR(96),CHAR(34),SUBSTITUTE(SUBSTITUTE(SUBSTITUTE(SUBSTITUTE(SUBSTITUTE(SUBSTITUTE($A931,CHAR(13)," "),CHAR(10)," "),CHAR(9)," "),CHAR(92),_xlfn.CONCAT(CHAR(92),CHAR(92))),"$",_xlfn.CONCAT(CHAR(92),"$")),CHAR(96),_xlfn.CONCAT(CHAR(92),CHAR(96))),CHAR(34),CHAR(39))))</f>
        <v/>
      </c>
      <c r="M931" s="5" t="str">
        <f>IF(OR(TRIM($B931)="",$C931=""),"",IF(IFERROR(MATCH(TRIM($C931),{"Quantitative","Continuous","Discrete","Categorical","Nominal","Ordinal","Identifier"},0),0)=0,_xlfn.CONCAT("* REVIEW REQUIRED: invalid Variable Type on Sheet 1 row ",931,"."),_xlfn.CONCAT("char ",TRIM($B931),"[doc_vartype] ",CHAR(96),CHAR(34),SUBSTITUTE(SUBSTITUTE(SUBSTITUTE(SUBSTITUTE(SUBSTITUTE(SUBSTITUTE(LOWER(TRIM($C931)),CHAR(13)," "),CHAR(10)," "),CHAR(9)," "),CHAR(92),_xlfn.CONCAT(CHAR(92),CHAR(92))),"$",_xlfn.CONCAT(CHAR(92),"$")),CHAR(96),_xlfn.CONCAT(CHAR(92),CHAR(96))),CHAR(34),CHAR(39))))</f>
        <v/>
      </c>
      <c r="N931" s="5" t="str">
        <f>IF(OR(TRIM($B931)="",$D931=""),"",IF(OR(ISNUMBER(SEARCH(_xlfn.CONCAT(CHAR(96),CHAR(34)),$D931)),ISNUMBER(SEARCH(_xlfn.CONCAT(CHAR(34),CHAR(39)),$D931))),_xlfn.CONCAT("* REVIEW REQUIRED: compound-quote delimiter in Item Number on Sheet 1 row ",931,"; edit the input before running."),_xlfn.CONCAT("char ",TRIM($B931),"[doc_itemnum] ",CHAR(96),CHAR(34),SUBSTITUTE(SUBSTITUTE(SUBSTITUTE(SUBSTITUTE(SUBSTITUTE(SUBSTITUTE($D931,CHAR(13)," "),CHAR(10)," "),CHAR(9)," "),CHAR(92),_xlfn.CONCAT(CHAR(92),CHAR(92))),"$",_xlfn.CONCAT(CHAR(92),"$")),CHAR(96),_xlfn.CONCAT(CHAR(92),CHAR(96))),CHAR(34),CHAR(39))))</f>
        <v/>
      </c>
      <c r="O931" s="5" t="str">
        <f>IF(OR(TRIM($B931)="",$E931=""),"",IF(OR(ISNUMBER(SEARCH(_xlfn.CONCAT(CHAR(96),CHAR(34)),$E931)),ISNUMBER(SEARCH(_xlfn.CONCAT(CHAR(34),CHAR(39)),$E931))),_xlfn.CONCAT("* REVIEW REQUIRED: compound-quote delimiter in Question Wording on Sheet 1 row ",931,"; edit the input before running."),_xlfn.CONCAT("char ",TRIM($B931),"[doc_question] ",CHAR(96),CHAR(34),SUBSTITUTE(SUBSTITUTE(SUBSTITUTE(SUBSTITUTE(SUBSTITUTE(SUBSTITUTE($E931,CHAR(13)," "),CHAR(10)," "),CHAR(9)," "),CHAR(92),_xlfn.CONCAT(CHAR(92),CHAR(92))),"$",_xlfn.CONCAT(CHAR(92),"$")),CHAR(96),_xlfn.CONCAT(CHAR(92),CHAR(96))),CHAR(34),CHAR(39))))</f>
        <v/>
      </c>
      <c r="P931" s="5" t="str">
        <f>IF(OR(TRIM($B931)="",$F931=""),"",IF(OR(ISNUMBER(SEARCH(_xlfn.CONCAT(CHAR(96),CHAR(34)),$F931)),ISNUMBER(SEARCH(_xlfn.CONCAT(CHAR(34),CHAR(39)),$F931))),_xlfn.CONCAT("* REVIEW REQUIRED: compound-quote delimiter in Units on Sheet 1 row ",931,"; edit the input before running."),_xlfn.CONCAT("char ",TRIM($B931),"[doc_units] ",CHAR(96),CHAR(34),SUBSTITUTE(SUBSTITUTE(SUBSTITUTE(SUBSTITUTE(SUBSTITUTE(SUBSTITUTE($F931,CHAR(13)," "),CHAR(10)," "),CHAR(9)," "),CHAR(92),_xlfn.CONCAT(CHAR(92),CHAR(92))),"$",_xlfn.CONCAT(CHAR(92),"$")),CHAR(96),_xlfn.CONCAT(CHAR(92),CHAR(96))),CHAR(34),CHAR(39))))</f>
        <v/>
      </c>
      <c r="Q931" s="5" t="str">
        <f>IF(OR(TRIM($B931)="",$G931=""),"",IF(OR(ISNUMBER(SEARCH(_xlfn.CONCAT(CHAR(96),CHAR(34)),$G931)),ISNUMBER(SEARCH(_xlfn.CONCAT(CHAR(34),CHAR(39)),$G931))),_xlfn.CONCAT("* REVIEW REQUIRED: compound-quote delimiter in Universe on Sheet 1 row ",931,"; edit the input before running."),_xlfn.CONCAT("char ",TRIM($B931),"[doc_universe] ",CHAR(96),CHAR(34),SUBSTITUTE(SUBSTITUTE(SUBSTITUTE(SUBSTITUTE(SUBSTITUTE(SUBSTITUTE($G931,CHAR(13)," "),CHAR(10)," "),CHAR(9)," "),CHAR(92),_xlfn.CONCAT(CHAR(92),CHAR(92))),"$",_xlfn.CONCAT(CHAR(92),"$")),CHAR(96),_xlfn.CONCAT(CHAR(92),CHAR(96))),CHAR(34),CHAR(39))))</f>
        <v/>
      </c>
      <c r="R931" s="5" t="str">
        <f>IF(OR(TRIM($B931)="",$H931=""),"",IF(OR(ISNUMBER(SEARCH(_xlfn.CONCAT(CHAR(96),CHAR(34)),$H931)),ISNUMBER(SEARCH(_xlfn.CONCAT(CHAR(34),CHAR(39)),$H931))),_xlfn.CONCAT("* REVIEW REQUIRED: compound-quote delimiter in Source on Sheet 1 row ",931,"; edit the input before running."),_xlfn.CONCAT("char ",TRIM($B931),"[doc_source] ",CHAR(96),CHAR(34),SUBSTITUTE(SUBSTITUTE(SUBSTITUTE(SUBSTITUTE(SUBSTITUTE(SUBSTITUTE($H931,CHAR(13)," "),CHAR(10)," "),CHAR(9)," "),CHAR(92),_xlfn.CONCAT(CHAR(92),CHAR(92))),"$",_xlfn.CONCAT(CHAR(92),"$")),CHAR(96),_xlfn.CONCAT(CHAR(92),CHAR(96))),CHAR(34),CHAR(39))))</f>
        <v/>
      </c>
      <c r="S931" s="5" t="str">
        <f>IF(OR(TRIM($B931)="",$I931=""),"",IF(OR(ISNUMBER(SEARCH(_xlfn.CONCAT(CHAR(96),CHAR(34)),$I931)),ISNUMBER(SEARCH(_xlfn.CONCAT(CHAR(34),CHAR(39)),$I931))),_xlfn.CONCAT("* REVIEW REQUIRED: compound-quote delimiter in Derivation on Sheet 1 row ",931,"; edit the input before running."),_xlfn.CONCAT("char ",TRIM($B931),"[doc_derivation] ",CHAR(96),CHAR(34),SUBSTITUTE(SUBSTITUTE(SUBSTITUTE(SUBSTITUTE(SUBSTITUTE(SUBSTITUTE($I931,CHAR(13)," "),CHAR(10)," "),CHAR(9)," "),CHAR(92),_xlfn.CONCAT(CHAR(92),CHAR(92))),"$",_xlfn.CONCAT(CHAR(92),"$")),CHAR(96),_xlfn.CONCAT(CHAR(92),CHAR(96))),CHAR(34),CHAR(39))))</f>
        <v/>
      </c>
      <c r="T931" s="5" t="str">
        <f>IF(OR(TRIM($B931)="",$J931=""),"",IF(OR(ISNUMBER(SEARCH(_xlfn.CONCAT(CHAR(96),CHAR(34)),$J931)),ISNUMBER(SEARCH(_xlfn.CONCAT(CHAR(34),CHAR(39)),$J931))),_xlfn.CONCAT("* REVIEW REQUIRED: compound-quote delimiter in Notes on Sheet 1 row ",931,"; edit the input before running."),_xlfn.CONCAT("char ",TRIM($B931),"[doc_notes] ",CHAR(96),CHAR(34),SUBSTITUTE(SUBSTITUTE(SUBSTITUTE(SUBSTITUTE(SUBSTITUTE(SUBSTITUTE($J931,CHAR(13)," "),CHAR(10)," "),CHAR(9)," "),CHAR(92),_xlfn.CONCAT(CHAR(92),CHAR(92))),"$",_xlfn.CONCAT(CHAR(92),"$")),CHAR(96),_xlfn.CONCAT(CHAR(92),CHAR(96))),CHAR(34),CHAR(39))))</f>
        <v/>
      </c>
      <c r="U931" s="5">
        <f t="shared" si="29"/>
        <v>0</v>
      </c>
    </row>
    <row r="932" spans="3:21" ht="30" customHeight="1" x14ac:dyDescent="0.2">
      <c r="C932" s="4"/>
      <c r="K932" s="5">
        <f t="shared" si="28"/>
        <v>0</v>
      </c>
      <c r="L932" s="5" t="str">
        <f>IF(OR(TRIM($B932)="",$A932=""),"",IF(OR(ISNUMBER(SEARCH(_xlfn.CONCAT(CHAR(96),CHAR(34)),$A932)),ISNUMBER(SEARCH(_xlfn.CONCAT(CHAR(34),CHAR(39)),$A932))),_xlfn.CONCAT("* REVIEW REQUIRED: compound-quote delimiter in Codebook Section on Sheet 1 row ",932,"; edit the input before running."),_xlfn.CONCAT("char ",TRIM($B932),"[doc_section] ",CHAR(96),CHAR(34),SUBSTITUTE(SUBSTITUTE(SUBSTITUTE(SUBSTITUTE(SUBSTITUTE(SUBSTITUTE($A932,CHAR(13)," "),CHAR(10)," "),CHAR(9)," "),CHAR(92),_xlfn.CONCAT(CHAR(92),CHAR(92))),"$",_xlfn.CONCAT(CHAR(92),"$")),CHAR(96),_xlfn.CONCAT(CHAR(92),CHAR(96))),CHAR(34),CHAR(39))))</f>
        <v/>
      </c>
      <c r="M932" s="5" t="str">
        <f>IF(OR(TRIM($B932)="",$C932=""),"",IF(IFERROR(MATCH(TRIM($C932),{"Quantitative","Continuous","Discrete","Categorical","Nominal","Ordinal","Identifier"},0),0)=0,_xlfn.CONCAT("* REVIEW REQUIRED: invalid Variable Type on Sheet 1 row ",932,"."),_xlfn.CONCAT("char ",TRIM($B932),"[doc_vartype] ",CHAR(96),CHAR(34),SUBSTITUTE(SUBSTITUTE(SUBSTITUTE(SUBSTITUTE(SUBSTITUTE(SUBSTITUTE(LOWER(TRIM($C932)),CHAR(13)," "),CHAR(10)," "),CHAR(9)," "),CHAR(92),_xlfn.CONCAT(CHAR(92),CHAR(92))),"$",_xlfn.CONCAT(CHAR(92),"$")),CHAR(96),_xlfn.CONCAT(CHAR(92),CHAR(96))),CHAR(34),CHAR(39))))</f>
        <v/>
      </c>
      <c r="N932" s="5" t="str">
        <f>IF(OR(TRIM($B932)="",$D932=""),"",IF(OR(ISNUMBER(SEARCH(_xlfn.CONCAT(CHAR(96),CHAR(34)),$D932)),ISNUMBER(SEARCH(_xlfn.CONCAT(CHAR(34),CHAR(39)),$D932))),_xlfn.CONCAT("* REVIEW REQUIRED: compound-quote delimiter in Item Number on Sheet 1 row ",932,"; edit the input before running."),_xlfn.CONCAT("char ",TRIM($B932),"[doc_itemnum] ",CHAR(96),CHAR(34),SUBSTITUTE(SUBSTITUTE(SUBSTITUTE(SUBSTITUTE(SUBSTITUTE(SUBSTITUTE($D932,CHAR(13)," "),CHAR(10)," "),CHAR(9)," "),CHAR(92),_xlfn.CONCAT(CHAR(92),CHAR(92))),"$",_xlfn.CONCAT(CHAR(92),"$")),CHAR(96),_xlfn.CONCAT(CHAR(92),CHAR(96))),CHAR(34),CHAR(39))))</f>
        <v/>
      </c>
      <c r="O932" s="5" t="str">
        <f>IF(OR(TRIM($B932)="",$E932=""),"",IF(OR(ISNUMBER(SEARCH(_xlfn.CONCAT(CHAR(96),CHAR(34)),$E932)),ISNUMBER(SEARCH(_xlfn.CONCAT(CHAR(34),CHAR(39)),$E932))),_xlfn.CONCAT("* REVIEW REQUIRED: compound-quote delimiter in Question Wording on Sheet 1 row ",932,"; edit the input before running."),_xlfn.CONCAT("char ",TRIM($B932),"[doc_question] ",CHAR(96),CHAR(34),SUBSTITUTE(SUBSTITUTE(SUBSTITUTE(SUBSTITUTE(SUBSTITUTE(SUBSTITUTE($E932,CHAR(13)," "),CHAR(10)," "),CHAR(9)," "),CHAR(92),_xlfn.CONCAT(CHAR(92),CHAR(92))),"$",_xlfn.CONCAT(CHAR(92),"$")),CHAR(96),_xlfn.CONCAT(CHAR(92),CHAR(96))),CHAR(34),CHAR(39))))</f>
        <v/>
      </c>
      <c r="P932" s="5" t="str">
        <f>IF(OR(TRIM($B932)="",$F932=""),"",IF(OR(ISNUMBER(SEARCH(_xlfn.CONCAT(CHAR(96),CHAR(34)),$F932)),ISNUMBER(SEARCH(_xlfn.CONCAT(CHAR(34),CHAR(39)),$F932))),_xlfn.CONCAT("* REVIEW REQUIRED: compound-quote delimiter in Units on Sheet 1 row ",932,"; edit the input before running."),_xlfn.CONCAT("char ",TRIM($B932),"[doc_units] ",CHAR(96),CHAR(34),SUBSTITUTE(SUBSTITUTE(SUBSTITUTE(SUBSTITUTE(SUBSTITUTE(SUBSTITUTE($F932,CHAR(13)," "),CHAR(10)," "),CHAR(9)," "),CHAR(92),_xlfn.CONCAT(CHAR(92),CHAR(92))),"$",_xlfn.CONCAT(CHAR(92),"$")),CHAR(96),_xlfn.CONCAT(CHAR(92),CHAR(96))),CHAR(34),CHAR(39))))</f>
        <v/>
      </c>
      <c r="Q932" s="5" t="str">
        <f>IF(OR(TRIM($B932)="",$G932=""),"",IF(OR(ISNUMBER(SEARCH(_xlfn.CONCAT(CHAR(96),CHAR(34)),$G932)),ISNUMBER(SEARCH(_xlfn.CONCAT(CHAR(34),CHAR(39)),$G932))),_xlfn.CONCAT("* REVIEW REQUIRED: compound-quote delimiter in Universe on Sheet 1 row ",932,"; edit the input before running."),_xlfn.CONCAT("char ",TRIM($B932),"[doc_universe] ",CHAR(96),CHAR(34),SUBSTITUTE(SUBSTITUTE(SUBSTITUTE(SUBSTITUTE(SUBSTITUTE(SUBSTITUTE($G932,CHAR(13)," "),CHAR(10)," "),CHAR(9)," "),CHAR(92),_xlfn.CONCAT(CHAR(92),CHAR(92))),"$",_xlfn.CONCAT(CHAR(92),"$")),CHAR(96),_xlfn.CONCAT(CHAR(92),CHAR(96))),CHAR(34),CHAR(39))))</f>
        <v/>
      </c>
      <c r="R932" s="5" t="str">
        <f>IF(OR(TRIM($B932)="",$H932=""),"",IF(OR(ISNUMBER(SEARCH(_xlfn.CONCAT(CHAR(96),CHAR(34)),$H932)),ISNUMBER(SEARCH(_xlfn.CONCAT(CHAR(34),CHAR(39)),$H932))),_xlfn.CONCAT("* REVIEW REQUIRED: compound-quote delimiter in Source on Sheet 1 row ",932,"; edit the input before running."),_xlfn.CONCAT("char ",TRIM($B932),"[doc_source] ",CHAR(96),CHAR(34),SUBSTITUTE(SUBSTITUTE(SUBSTITUTE(SUBSTITUTE(SUBSTITUTE(SUBSTITUTE($H932,CHAR(13)," "),CHAR(10)," "),CHAR(9)," "),CHAR(92),_xlfn.CONCAT(CHAR(92),CHAR(92))),"$",_xlfn.CONCAT(CHAR(92),"$")),CHAR(96),_xlfn.CONCAT(CHAR(92),CHAR(96))),CHAR(34),CHAR(39))))</f>
        <v/>
      </c>
      <c r="S932" s="5" t="str">
        <f>IF(OR(TRIM($B932)="",$I932=""),"",IF(OR(ISNUMBER(SEARCH(_xlfn.CONCAT(CHAR(96),CHAR(34)),$I932)),ISNUMBER(SEARCH(_xlfn.CONCAT(CHAR(34),CHAR(39)),$I932))),_xlfn.CONCAT("* REVIEW REQUIRED: compound-quote delimiter in Derivation on Sheet 1 row ",932,"; edit the input before running."),_xlfn.CONCAT("char ",TRIM($B932),"[doc_derivation] ",CHAR(96),CHAR(34),SUBSTITUTE(SUBSTITUTE(SUBSTITUTE(SUBSTITUTE(SUBSTITUTE(SUBSTITUTE($I932,CHAR(13)," "),CHAR(10)," "),CHAR(9)," "),CHAR(92),_xlfn.CONCAT(CHAR(92),CHAR(92))),"$",_xlfn.CONCAT(CHAR(92),"$")),CHAR(96),_xlfn.CONCAT(CHAR(92),CHAR(96))),CHAR(34),CHAR(39))))</f>
        <v/>
      </c>
      <c r="T932" s="5" t="str">
        <f>IF(OR(TRIM($B932)="",$J932=""),"",IF(OR(ISNUMBER(SEARCH(_xlfn.CONCAT(CHAR(96),CHAR(34)),$J932)),ISNUMBER(SEARCH(_xlfn.CONCAT(CHAR(34),CHAR(39)),$J932))),_xlfn.CONCAT("* REVIEW REQUIRED: compound-quote delimiter in Notes on Sheet 1 row ",932,"; edit the input before running."),_xlfn.CONCAT("char ",TRIM($B932),"[doc_notes] ",CHAR(96),CHAR(34),SUBSTITUTE(SUBSTITUTE(SUBSTITUTE(SUBSTITUTE(SUBSTITUTE(SUBSTITUTE($J932,CHAR(13)," "),CHAR(10)," "),CHAR(9)," "),CHAR(92),_xlfn.CONCAT(CHAR(92),CHAR(92))),"$",_xlfn.CONCAT(CHAR(92),"$")),CHAR(96),_xlfn.CONCAT(CHAR(92),CHAR(96))),CHAR(34),CHAR(39))))</f>
        <v/>
      </c>
      <c r="U932" s="5">
        <f t="shared" si="29"/>
        <v>0</v>
      </c>
    </row>
    <row r="933" spans="3:21" ht="30" customHeight="1" x14ac:dyDescent="0.2">
      <c r="C933" s="4"/>
      <c r="K933" s="5">
        <f t="shared" si="28"/>
        <v>0</v>
      </c>
      <c r="L933" s="5" t="str">
        <f>IF(OR(TRIM($B933)="",$A933=""),"",IF(OR(ISNUMBER(SEARCH(_xlfn.CONCAT(CHAR(96),CHAR(34)),$A933)),ISNUMBER(SEARCH(_xlfn.CONCAT(CHAR(34),CHAR(39)),$A933))),_xlfn.CONCAT("* REVIEW REQUIRED: compound-quote delimiter in Codebook Section on Sheet 1 row ",933,"; edit the input before running."),_xlfn.CONCAT("char ",TRIM($B933),"[doc_section] ",CHAR(96),CHAR(34),SUBSTITUTE(SUBSTITUTE(SUBSTITUTE(SUBSTITUTE(SUBSTITUTE(SUBSTITUTE($A933,CHAR(13)," "),CHAR(10)," "),CHAR(9)," "),CHAR(92),_xlfn.CONCAT(CHAR(92),CHAR(92))),"$",_xlfn.CONCAT(CHAR(92),"$")),CHAR(96),_xlfn.CONCAT(CHAR(92),CHAR(96))),CHAR(34),CHAR(39))))</f>
        <v/>
      </c>
      <c r="M933" s="5" t="str">
        <f>IF(OR(TRIM($B933)="",$C933=""),"",IF(IFERROR(MATCH(TRIM($C933),{"Quantitative","Continuous","Discrete","Categorical","Nominal","Ordinal","Identifier"},0),0)=0,_xlfn.CONCAT("* REVIEW REQUIRED: invalid Variable Type on Sheet 1 row ",933,"."),_xlfn.CONCAT("char ",TRIM($B933),"[doc_vartype] ",CHAR(96),CHAR(34),SUBSTITUTE(SUBSTITUTE(SUBSTITUTE(SUBSTITUTE(SUBSTITUTE(SUBSTITUTE(LOWER(TRIM($C933)),CHAR(13)," "),CHAR(10)," "),CHAR(9)," "),CHAR(92),_xlfn.CONCAT(CHAR(92),CHAR(92))),"$",_xlfn.CONCAT(CHAR(92),"$")),CHAR(96),_xlfn.CONCAT(CHAR(92),CHAR(96))),CHAR(34),CHAR(39))))</f>
        <v/>
      </c>
      <c r="N933" s="5" t="str">
        <f>IF(OR(TRIM($B933)="",$D933=""),"",IF(OR(ISNUMBER(SEARCH(_xlfn.CONCAT(CHAR(96),CHAR(34)),$D933)),ISNUMBER(SEARCH(_xlfn.CONCAT(CHAR(34),CHAR(39)),$D933))),_xlfn.CONCAT("* REVIEW REQUIRED: compound-quote delimiter in Item Number on Sheet 1 row ",933,"; edit the input before running."),_xlfn.CONCAT("char ",TRIM($B933),"[doc_itemnum] ",CHAR(96),CHAR(34),SUBSTITUTE(SUBSTITUTE(SUBSTITUTE(SUBSTITUTE(SUBSTITUTE(SUBSTITUTE($D933,CHAR(13)," "),CHAR(10)," "),CHAR(9)," "),CHAR(92),_xlfn.CONCAT(CHAR(92),CHAR(92))),"$",_xlfn.CONCAT(CHAR(92),"$")),CHAR(96),_xlfn.CONCAT(CHAR(92),CHAR(96))),CHAR(34),CHAR(39))))</f>
        <v/>
      </c>
      <c r="O933" s="5" t="str">
        <f>IF(OR(TRIM($B933)="",$E933=""),"",IF(OR(ISNUMBER(SEARCH(_xlfn.CONCAT(CHAR(96),CHAR(34)),$E933)),ISNUMBER(SEARCH(_xlfn.CONCAT(CHAR(34),CHAR(39)),$E933))),_xlfn.CONCAT("* REVIEW REQUIRED: compound-quote delimiter in Question Wording on Sheet 1 row ",933,"; edit the input before running."),_xlfn.CONCAT("char ",TRIM($B933),"[doc_question] ",CHAR(96),CHAR(34),SUBSTITUTE(SUBSTITUTE(SUBSTITUTE(SUBSTITUTE(SUBSTITUTE(SUBSTITUTE($E933,CHAR(13)," "),CHAR(10)," "),CHAR(9)," "),CHAR(92),_xlfn.CONCAT(CHAR(92),CHAR(92))),"$",_xlfn.CONCAT(CHAR(92),"$")),CHAR(96),_xlfn.CONCAT(CHAR(92),CHAR(96))),CHAR(34),CHAR(39))))</f>
        <v/>
      </c>
      <c r="P933" s="5" t="str">
        <f>IF(OR(TRIM($B933)="",$F933=""),"",IF(OR(ISNUMBER(SEARCH(_xlfn.CONCAT(CHAR(96),CHAR(34)),$F933)),ISNUMBER(SEARCH(_xlfn.CONCAT(CHAR(34),CHAR(39)),$F933))),_xlfn.CONCAT("* REVIEW REQUIRED: compound-quote delimiter in Units on Sheet 1 row ",933,"; edit the input before running."),_xlfn.CONCAT("char ",TRIM($B933),"[doc_units] ",CHAR(96),CHAR(34),SUBSTITUTE(SUBSTITUTE(SUBSTITUTE(SUBSTITUTE(SUBSTITUTE(SUBSTITUTE($F933,CHAR(13)," "),CHAR(10)," "),CHAR(9)," "),CHAR(92),_xlfn.CONCAT(CHAR(92),CHAR(92))),"$",_xlfn.CONCAT(CHAR(92),"$")),CHAR(96),_xlfn.CONCAT(CHAR(92),CHAR(96))),CHAR(34),CHAR(39))))</f>
        <v/>
      </c>
      <c r="Q933" s="5" t="str">
        <f>IF(OR(TRIM($B933)="",$G933=""),"",IF(OR(ISNUMBER(SEARCH(_xlfn.CONCAT(CHAR(96),CHAR(34)),$G933)),ISNUMBER(SEARCH(_xlfn.CONCAT(CHAR(34),CHAR(39)),$G933))),_xlfn.CONCAT("* REVIEW REQUIRED: compound-quote delimiter in Universe on Sheet 1 row ",933,"; edit the input before running."),_xlfn.CONCAT("char ",TRIM($B933),"[doc_universe] ",CHAR(96),CHAR(34),SUBSTITUTE(SUBSTITUTE(SUBSTITUTE(SUBSTITUTE(SUBSTITUTE(SUBSTITUTE($G933,CHAR(13)," "),CHAR(10)," "),CHAR(9)," "),CHAR(92),_xlfn.CONCAT(CHAR(92),CHAR(92))),"$",_xlfn.CONCAT(CHAR(92),"$")),CHAR(96),_xlfn.CONCAT(CHAR(92),CHAR(96))),CHAR(34),CHAR(39))))</f>
        <v/>
      </c>
      <c r="R933" s="5" t="str">
        <f>IF(OR(TRIM($B933)="",$H933=""),"",IF(OR(ISNUMBER(SEARCH(_xlfn.CONCAT(CHAR(96),CHAR(34)),$H933)),ISNUMBER(SEARCH(_xlfn.CONCAT(CHAR(34),CHAR(39)),$H933))),_xlfn.CONCAT("* REVIEW REQUIRED: compound-quote delimiter in Source on Sheet 1 row ",933,"; edit the input before running."),_xlfn.CONCAT("char ",TRIM($B933),"[doc_source] ",CHAR(96),CHAR(34),SUBSTITUTE(SUBSTITUTE(SUBSTITUTE(SUBSTITUTE(SUBSTITUTE(SUBSTITUTE($H933,CHAR(13)," "),CHAR(10)," "),CHAR(9)," "),CHAR(92),_xlfn.CONCAT(CHAR(92),CHAR(92))),"$",_xlfn.CONCAT(CHAR(92),"$")),CHAR(96),_xlfn.CONCAT(CHAR(92),CHAR(96))),CHAR(34),CHAR(39))))</f>
        <v/>
      </c>
      <c r="S933" s="5" t="str">
        <f>IF(OR(TRIM($B933)="",$I933=""),"",IF(OR(ISNUMBER(SEARCH(_xlfn.CONCAT(CHAR(96),CHAR(34)),$I933)),ISNUMBER(SEARCH(_xlfn.CONCAT(CHAR(34),CHAR(39)),$I933))),_xlfn.CONCAT("* REVIEW REQUIRED: compound-quote delimiter in Derivation on Sheet 1 row ",933,"; edit the input before running."),_xlfn.CONCAT("char ",TRIM($B933),"[doc_derivation] ",CHAR(96),CHAR(34),SUBSTITUTE(SUBSTITUTE(SUBSTITUTE(SUBSTITUTE(SUBSTITUTE(SUBSTITUTE($I933,CHAR(13)," "),CHAR(10)," "),CHAR(9)," "),CHAR(92),_xlfn.CONCAT(CHAR(92),CHAR(92))),"$",_xlfn.CONCAT(CHAR(92),"$")),CHAR(96),_xlfn.CONCAT(CHAR(92),CHAR(96))),CHAR(34),CHAR(39))))</f>
        <v/>
      </c>
      <c r="T933" s="5" t="str">
        <f>IF(OR(TRIM($B933)="",$J933=""),"",IF(OR(ISNUMBER(SEARCH(_xlfn.CONCAT(CHAR(96),CHAR(34)),$J933)),ISNUMBER(SEARCH(_xlfn.CONCAT(CHAR(34),CHAR(39)),$J933))),_xlfn.CONCAT("* REVIEW REQUIRED: compound-quote delimiter in Notes on Sheet 1 row ",933,"; edit the input before running."),_xlfn.CONCAT("char ",TRIM($B933),"[doc_notes] ",CHAR(96),CHAR(34),SUBSTITUTE(SUBSTITUTE(SUBSTITUTE(SUBSTITUTE(SUBSTITUTE(SUBSTITUTE($J933,CHAR(13)," "),CHAR(10)," "),CHAR(9)," "),CHAR(92),_xlfn.CONCAT(CHAR(92),CHAR(92))),"$",_xlfn.CONCAT(CHAR(92),"$")),CHAR(96),_xlfn.CONCAT(CHAR(92),CHAR(96))),CHAR(34),CHAR(39))))</f>
        <v/>
      </c>
      <c r="U933" s="5">
        <f t="shared" si="29"/>
        <v>0</v>
      </c>
    </row>
    <row r="934" spans="3:21" ht="30" customHeight="1" x14ac:dyDescent="0.2">
      <c r="C934" s="4"/>
      <c r="K934" s="5">
        <f t="shared" si="28"/>
        <v>0</v>
      </c>
      <c r="L934" s="5" t="str">
        <f>IF(OR(TRIM($B934)="",$A934=""),"",IF(OR(ISNUMBER(SEARCH(_xlfn.CONCAT(CHAR(96),CHAR(34)),$A934)),ISNUMBER(SEARCH(_xlfn.CONCAT(CHAR(34),CHAR(39)),$A934))),_xlfn.CONCAT("* REVIEW REQUIRED: compound-quote delimiter in Codebook Section on Sheet 1 row ",934,"; edit the input before running."),_xlfn.CONCAT("char ",TRIM($B934),"[doc_section] ",CHAR(96),CHAR(34),SUBSTITUTE(SUBSTITUTE(SUBSTITUTE(SUBSTITUTE(SUBSTITUTE(SUBSTITUTE($A934,CHAR(13)," "),CHAR(10)," "),CHAR(9)," "),CHAR(92),_xlfn.CONCAT(CHAR(92),CHAR(92))),"$",_xlfn.CONCAT(CHAR(92),"$")),CHAR(96),_xlfn.CONCAT(CHAR(92),CHAR(96))),CHAR(34),CHAR(39))))</f>
        <v/>
      </c>
      <c r="M934" s="5" t="str">
        <f>IF(OR(TRIM($B934)="",$C934=""),"",IF(IFERROR(MATCH(TRIM($C934),{"Quantitative","Continuous","Discrete","Categorical","Nominal","Ordinal","Identifier"},0),0)=0,_xlfn.CONCAT("* REVIEW REQUIRED: invalid Variable Type on Sheet 1 row ",934,"."),_xlfn.CONCAT("char ",TRIM($B934),"[doc_vartype] ",CHAR(96),CHAR(34),SUBSTITUTE(SUBSTITUTE(SUBSTITUTE(SUBSTITUTE(SUBSTITUTE(SUBSTITUTE(LOWER(TRIM($C934)),CHAR(13)," "),CHAR(10)," "),CHAR(9)," "),CHAR(92),_xlfn.CONCAT(CHAR(92),CHAR(92))),"$",_xlfn.CONCAT(CHAR(92),"$")),CHAR(96),_xlfn.CONCAT(CHAR(92),CHAR(96))),CHAR(34),CHAR(39))))</f>
        <v/>
      </c>
      <c r="N934" s="5" t="str">
        <f>IF(OR(TRIM($B934)="",$D934=""),"",IF(OR(ISNUMBER(SEARCH(_xlfn.CONCAT(CHAR(96),CHAR(34)),$D934)),ISNUMBER(SEARCH(_xlfn.CONCAT(CHAR(34),CHAR(39)),$D934))),_xlfn.CONCAT("* REVIEW REQUIRED: compound-quote delimiter in Item Number on Sheet 1 row ",934,"; edit the input before running."),_xlfn.CONCAT("char ",TRIM($B934),"[doc_itemnum] ",CHAR(96),CHAR(34),SUBSTITUTE(SUBSTITUTE(SUBSTITUTE(SUBSTITUTE(SUBSTITUTE(SUBSTITUTE($D934,CHAR(13)," "),CHAR(10)," "),CHAR(9)," "),CHAR(92),_xlfn.CONCAT(CHAR(92),CHAR(92))),"$",_xlfn.CONCAT(CHAR(92),"$")),CHAR(96),_xlfn.CONCAT(CHAR(92),CHAR(96))),CHAR(34),CHAR(39))))</f>
        <v/>
      </c>
      <c r="O934" s="5" t="str">
        <f>IF(OR(TRIM($B934)="",$E934=""),"",IF(OR(ISNUMBER(SEARCH(_xlfn.CONCAT(CHAR(96),CHAR(34)),$E934)),ISNUMBER(SEARCH(_xlfn.CONCAT(CHAR(34),CHAR(39)),$E934))),_xlfn.CONCAT("* REVIEW REQUIRED: compound-quote delimiter in Question Wording on Sheet 1 row ",934,"; edit the input before running."),_xlfn.CONCAT("char ",TRIM($B934),"[doc_question] ",CHAR(96),CHAR(34),SUBSTITUTE(SUBSTITUTE(SUBSTITUTE(SUBSTITUTE(SUBSTITUTE(SUBSTITUTE($E934,CHAR(13)," "),CHAR(10)," "),CHAR(9)," "),CHAR(92),_xlfn.CONCAT(CHAR(92),CHAR(92))),"$",_xlfn.CONCAT(CHAR(92),"$")),CHAR(96),_xlfn.CONCAT(CHAR(92),CHAR(96))),CHAR(34),CHAR(39))))</f>
        <v/>
      </c>
      <c r="P934" s="5" t="str">
        <f>IF(OR(TRIM($B934)="",$F934=""),"",IF(OR(ISNUMBER(SEARCH(_xlfn.CONCAT(CHAR(96),CHAR(34)),$F934)),ISNUMBER(SEARCH(_xlfn.CONCAT(CHAR(34),CHAR(39)),$F934))),_xlfn.CONCAT("* REVIEW REQUIRED: compound-quote delimiter in Units on Sheet 1 row ",934,"; edit the input before running."),_xlfn.CONCAT("char ",TRIM($B934),"[doc_units] ",CHAR(96),CHAR(34),SUBSTITUTE(SUBSTITUTE(SUBSTITUTE(SUBSTITUTE(SUBSTITUTE(SUBSTITUTE($F934,CHAR(13)," "),CHAR(10)," "),CHAR(9)," "),CHAR(92),_xlfn.CONCAT(CHAR(92),CHAR(92))),"$",_xlfn.CONCAT(CHAR(92),"$")),CHAR(96),_xlfn.CONCAT(CHAR(92),CHAR(96))),CHAR(34),CHAR(39))))</f>
        <v/>
      </c>
      <c r="Q934" s="5" t="str">
        <f>IF(OR(TRIM($B934)="",$G934=""),"",IF(OR(ISNUMBER(SEARCH(_xlfn.CONCAT(CHAR(96),CHAR(34)),$G934)),ISNUMBER(SEARCH(_xlfn.CONCAT(CHAR(34),CHAR(39)),$G934))),_xlfn.CONCAT("* REVIEW REQUIRED: compound-quote delimiter in Universe on Sheet 1 row ",934,"; edit the input before running."),_xlfn.CONCAT("char ",TRIM($B934),"[doc_universe] ",CHAR(96),CHAR(34),SUBSTITUTE(SUBSTITUTE(SUBSTITUTE(SUBSTITUTE(SUBSTITUTE(SUBSTITUTE($G934,CHAR(13)," "),CHAR(10)," "),CHAR(9)," "),CHAR(92),_xlfn.CONCAT(CHAR(92),CHAR(92))),"$",_xlfn.CONCAT(CHAR(92),"$")),CHAR(96),_xlfn.CONCAT(CHAR(92),CHAR(96))),CHAR(34),CHAR(39))))</f>
        <v/>
      </c>
      <c r="R934" s="5" t="str">
        <f>IF(OR(TRIM($B934)="",$H934=""),"",IF(OR(ISNUMBER(SEARCH(_xlfn.CONCAT(CHAR(96),CHAR(34)),$H934)),ISNUMBER(SEARCH(_xlfn.CONCAT(CHAR(34),CHAR(39)),$H934))),_xlfn.CONCAT("* REVIEW REQUIRED: compound-quote delimiter in Source on Sheet 1 row ",934,"; edit the input before running."),_xlfn.CONCAT("char ",TRIM($B934),"[doc_source] ",CHAR(96),CHAR(34),SUBSTITUTE(SUBSTITUTE(SUBSTITUTE(SUBSTITUTE(SUBSTITUTE(SUBSTITUTE($H934,CHAR(13)," "),CHAR(10)," "),CHAR(9)," "),CHAR(92),_xlfn.CONCAT(CHAR(92),CHAR(92))),"$",_xlfn.CONCAT(CHAR(92),"$")),CHAR(96),_xlfn.CONCAT(CHAR(92),CHAR(96))),CHAR(34),CHAR(39))))</f>
        <v/>
      </c>
      <c r="S934" s="5" t="str">
        <f>IF(OR(TRIM($B934)="",$I934=""),"",IF(OR(ISNUMBER(SEARCH(_xlfn.CONCAT(CHAR(96),CHAR(34)),$I934)),ISNUMBER(SEARCH(_xlfn.CONCAT(CHAR(34),CHAR(39)),$I934))),_xlfn.CONCAT("* REVIEW REQUIRED: compound-quote delimiter in Derivation on Sheet 1 row ",934,"; edit the input before running."),_xlfn.CONCAT("char ",TRIM($B934),"[doc_derivation] ",CHAR(96),CHAR(34),SUBSTITUTE(SUBSTITUTE(SUBSTITUTE(SUBSTITUTE(SUBSTITUTE(SUBSTITUTE($I934,CHAR(13)," "),CHAR(10)," "),CHAR(9)," "),CHAR(92),_xlfn.CONCAT(CHAR(92),CHAR(92))),"$",_xlfn.CONCAT(CHAR(92),"$")),CHAR(96),_xlfn.CONCAT(CHAR(92),CHAR(96))),CHAR(34),CHAR(39))))</f>
        <v/>
      </c>
      <c r="T934" s="5" t="str">
        <f>IF(OR(TRIM($B934)="",$J934=""),"",IF(OR(ISNUMBER(SEARCH(_xlfn.CONCAT(CHAR(96),CHAR(34)),$J934)),ISNUMBER(SEARCH(_xlfn.CONCAT(CHAR(34),CHAR(39)),$J934))),_xlfn.CONCAT("* REVIEW REQUIRED: compound-quote delimiter in Notes on Sheet 1 row ",934,"; edit the input before running."),_xlfn.CONCAT("char ",TRIM($B934),"[doc_notes] ",CHAR(96),CHAR(34),SUBSTITUTE(SUBSTITUTE(SUBSTITUTE(SUBSTITUTE(SUBSTITUTE(SUBSTITUTE($J934,CHAR(13)," "),CHAR(10)," "),CHAR(9)," "),CHAR(92),_xlfn.CONCAT(CHAR(92),CHAR(92))),"$",_xlfn.CONCAT(CHAR(92),"$")),CHAR(96),_xlfn.CONCAT(CHAR(92),CHAR(96))),CHAR(34),CHAR(39))))</f>
        <v/>
      </c>
      <c r="U934" s="5">
        <f t="shared" si="29"/>
        <v>0</v>
      </c>
    </row>
    <row r="935" spans="3:21" ht="30" customHeight="1" x14ac:dyDescent="0.2">
      <c r="C935" s="4"/>
      <c r="K935" s="5">
        <f t="shared" si="28"/>
        <v>0</v>
      </c>
      <c r="L935" s="5" t="str">
        <f>IF(OR(TRIM($B935)="",$A935=""),"",IF(OR(ISNUMBER(SEARCH(_xlfn.CONCAT(CHAR(96),CHAR(34)),$A935)),ISNUMBER(SEARCH(_xlfn.CONCAT(CHAR(34),CHAR(39)),$A935))),_xlfn.CONCAT("* REVIEW REQUIRED: compound-quote delimiter in Codebook Section on Sheet 1 row ",935,"; edit the input before running."),_xlfn.CONCAT("char ",TRIM($B935),"[doc_section] ",CHAR(96),CHAR(34),SUBSTITUTE(SUBSTITUTE(SUBSTITUTE(SUBSTITUTE(SUBSTITUTE(SUBSTITUTE($A935,CHAR(13)," "),CHAR(10)," "),CHAR(9)," "),CHAR(92),_xlfn.CONCAT(CHAR(92),CHAR(92))),"$",_xlfn.CONCAT(CHAR(92),"$")),CHAR(96),_xlfn.CONCAT(CHAR(92),CHAR(96))),CHAR(34),CHAR(39))))</f>
        <v/>
      </c>
      <c r="M935" s="5" t="str">
        <f>IF(OR(TRIM($B935)="",$C935=""),"",IF(IFERROR(MATCH(TRIM($C935),{"Quantitative","Continuous","Discrete","Categorical","Nominal","Ordinal","Identifier"},0),0)=0,_xlfn.CONCAT("* REVIEW REQUIRED: invalid Variable Type on Sheet 1 row ",935,"."),_xlfn.CONCAT("char ",TRIM($B935),"[doc_vartype] ",CHAR(96),CHAR(34),SUBSTITUTE(SUBSTITUTE(SUBSTITUTE(SUBSTITUTE(SUBSTITUTE(SUBSTITUTE(LOWER(TRIM($C935)),CHAR(13)," "),CHAR(10)," "),CHAR(9)," "),CHAR(92),_xlfn.CONCAT(CHAR(92),CHAR(92))),"$",_xlfn.CONCAT(CHAR(92),"$")),CHAR(96),_xlfn.CONCAT(CHAR(92),CHAR(96))),CHAR(34),CHAR(39))))</f>
        <v/>
      </c>
      <c r="N935" s="5" t="str">
        <f>IF(OR(TRIM($B935)="",$D935=""),"",IF(OR(ISNUMBER(SEARCH(_xlfn.CONCAT(CHAR(96),CHAR(34)),$D935)),ISNUMBER(SEARCH(_xlfn.CONCAT(CHAR(34),CHAR(39)),$D935))),_xlfn.CONCAT("* REVIEW REQUIRED: compound-quote delimiter in Item Number on Sheet 1 row ",935,"; edit the input before running."),_xlfn.CONCAT("char ",TRIM($B935),"[doc_itemnum] ",CHAR(96),CHAR(34),SUBSTITUTE(SUBSTITUTE(SUBSTITUTE(SUBSTITUTE(SUBSTITUTE(SUBSTITUTE($D935,CHAR(13)," "),CHAR(10)," "),CHAR(9)," "),CHAR(92),_xlfn.CONCAT(CHAR(92),CHAR(92))),"$",_xlfn.CONCAT(CHAR(92),"$")),CHAR(96),_xlfn.CONCAT(CHAR(92),CHAR(96))),CHAR(34),CHAR(39))))</f>
        <v/>
      </c>
      <c r="O935" s="5" t="str">
        <f>IF(OR(TRIM($B935)="",$E935=""),"",IF(OR(ISNUMBER(SEARCH(_xlfn.CONCAT(CHAR(96),CHAR(34)),$E935)),ISNUMBER(SEARCH(_xlfn.CONCAT(CHAR(34),CHAR(39)),$E935))),_xlfn.CONCAT("* REVIEW REQUIRED: compound-quote delimiter in Question Wording on Sheet 1 row ",935,"; edit the input before running."),_xlfn.CONCAT("char ",TRIM($B935),"[doc_question] ",CHAR(96),CHAR(34),SUBSTITUTE(SUBSTITUTE(SUBSTITUTE(SUBSTITUTE(SUBSTITUTE(SUBSTITUTE($E935,CHAR(13)," "),CHAR(10)," "),CHAR(9)," "),CHAR(92),_xlfn.CONCAT(CHAR(92),CHAR(92))),"$",_xlfn.CONCAT(CHAR(92),"$")),CHAR(96),_xlfn.CONCAT(CHAR(92),CHAR(96))),CHAR(34),CHAR(39))))</f>
        <v/>
      </c>
      <c r="P935" s="5" t="str">
        <f>IF(OR(TRIM($B935)="",$F935=""),"",IF(OR(ISNUMBER(SEARCH(_xlfn.CONCAT(CHAR(96),CHAR(34)),$F935)),ISNUMBER(SEARCH(_xlfn.CONCAT(CHAR(34),CHAR(39)),$F935))),_xlfn.CONCAT("* REVIEW REQUIRED: compound-quote delimiter in Units on Sheet 1 row ",935,"; edit the input before running."),_xlfn.CONCAT("char ",TRIM($B935),"[doc_units] ",CHAR(96),CHAR(34),SUBSTITUTE(SUBSTITUTE(SUBSTITUTE(SUBSTITUTE(SUBSTITUTE(SUBSTITUTE($F935,CHAR(13)," "),CHAR(10)," "),CHAR(9)," "),CHAR(92),_xlfn.CONCAT(CHAR(92),CHAR(92))),"$",_xlfn.CONCAT(CHAR(92),"$")),CHAR(96),_xlfn.CONCAT(CHAR(92),CHAR(96))),CHAR(34),CHAR(39))))</f>
        <v/>
      </c>
      <c r="Q935" s="5" t="str">
        <f>IF(OR(TRIM($B935)="",$G935=""),"",IF(OR(ISNUMBER(SEARCH(_xlfn.CONCAT(CHAR(96),CHAR(34)),$G935)),ISNUMBER(SEARCH(_xlfn.CONCAT(CHAR(34),CHAR(39)),$G935))),_xlfn.CONCAT("* REVIEW REQUIRED: compound-quote delimiter in Universe on Sheet 1 row ",935,"; edit the input before running."),_xlfn.CONCAT("char ",TRIM($B935),"[doc_universe] ",CHAR(96),CHAR(34),SUBSTITUTE(SUBSTITUTE(SUBSTITUTE(SUBSTITUTE(SUBSTITUTE(SUBSTITUTE($G935,CHAR(13)," "),CHAR(10)," "),CHAR(9)," "),CHAR(92),_xlfn.CONCAT(CHAR(92),CHAR(92))),"$",_xlfn.CONCAT(CHAR(92),"$")),CHAR(96),_xlfn.CONCAT(CHAR(92),CHAR(96))),CHAR(34),CHAR(39))))</f>
        <v/>
      </c>
      <c r="R935" s="5" t="str">
        <f>IF(OR(TRIM($B935)="",$H935=""),"",IF(OR(ISNUMBER(SEARCH(_xlfn.CONCAT(CHAR(96),CHAR(34)),$H935)),ISNUMBER(SEARCH(_xlfn.CONCAT(CHAR(34),CHAR(39)),$H935))),_xlfn.CONCAT("* REVIEW REQUIRED: compound-quote delimiter in Source on Sheet 1 row ",935,"; edit the input before running."),_xlfn.CONCAT("char ",TRIM($B935),"[doc_source] ",CHAR(96),CHAR(34),SUBSTITUTE(SUBSTITUTE(SUBSTITUTE(SUBSTITUTE(SUBSTITUTE(SUBSTITUTE($H935,CHAR(13)," "),CHAR(10)," "),CHAR(9)," "),CHAR(92),_xlfn.CONCAT(CHAR(92),CHAR(92))),"$",_xlfn.CONCAT(CHAR(92),"$")),CHAR(96),_xlfn.CONCAT(CHAR(92),CHAR(96))),CHAR(34),CHAR(39))))</f>
        <v/>
      </c>
      <c r="S935" s="5" t="str">
        <f>IF(OR(TRIM($B935)="",$I935=""),"",IF(OR(ISNUMBER(SEARCH(_xlfn.CONCAT(CHAR(96),CHAR(34)),$I935)),ISNUMBER(SEARCH(_xlfn.CONCAT(CHAR(34),CHAR(39)),$I935))),_xlfn.CONCAT("* REVIEW REQUIRED: compound-quote delimiter in Derivation on Sheet 1 row ",935,"; edit the input before running."),_xlfn.CONCAT("char ",TRIM($B935),"[doc_derivation] ",CHAR(96),CHAR(34),SUBSTITUTE(SUBSTITUTE(SUBSTITUTE(SUBSTITUTE(SUBSTITUTE(SUBSTITUTE($I935,CHAR(13)," "),CHAR(10)," "),CHAR(9)," "),CHAR(92),_xlfn.CONCAT(CHAR(92),CHAR(92))),"$",_xlfn.CONCAT(CHAR(92),"$")),CHAR(96),_xlfn.CONCAT(CHAR(92),CHAR(96))),CHAR(34),CHAR(39))))</f>
        <v/>
      </c>
      <c r="T935" s="5" t="str">
        <f>IF(OR(TRIM($B935)="",$J935=""),"",IF(OR(ISNUMBER(SEARCH(_xlfn.CONCAT(CHAR(96),CHAR(34)),$J935)),ISNUMBER(SEARCH(_xlfn.CONCAT(CHAR(34),CHAR(39)),$J935))),_xlfn.CONCAT("* REVIEW REQUIRED: compound-quote delimiter in Notes on Sheet 1 row ",935,"; edit the input before running."),_xlfn.CONCAT("char ",TRIM($B935),"[doc_notes] ",CHAR(96),CHAR(34),SUBSTITUTE(SUBSTITUTE(SUBSTITUTE(SUBSTITUTE(SUBSTITUTE(SUBSTITUTE($J935,CHAR(13)," "),CHAR(10)," "),CHAR(9)," "),CHAR(92),_xlfn.CONCAT(CHAR(92),CHAR(92))),"$",_xlfn.CONCAT(CHAR(92),"$")),CHAR(96),_xlfn.CONCAT(CHAR(92),CHAR(96))),CHAR(34),CHAR(39))))</f>
        <v/>
      </c>
      <c r="U935" s="5">
        <f t="shared" si="29"/>
        <v>0</v>
      </c>
    </row>
    <row r="936" spans="3:21" ht="30" customHeight="1" x14ac:dyDescent="0.2">
      <c r="C936" s="4"/>
      <c r="K936" s="5">
        <f t="shared" si="28"/>
        <v>0</v>
      </c>
      <c r="L936" s="5" t="str">
        <f>IF(OR(TRIM($B936)="",$A936=""),"",IF(OR(ISNUMBER(SEARCH(_xlfn.CONCAT(CHAR(96),CHAR(34)),$A936)),ISNUMBER(SEARCH(_xlfn.CONCAT(CHAR(34),CHAR(39)),$A936))),_xlfn.CONCAT("* REVIEW REQUIRED: compound-quote delimiter in Codebook Section on Sheet 1 row ",936,"; edit the input before running."),_xlfn.CONCAT("char ",TRIM($B936),"[doc_section] ",CHAR(96),CHAR(34),SUBSTITUTE(SUBSTITUTE(SUBSTITUTE(SUBSTITUTE(SUBSTITUTE(SUBSTITUTE($A936,CHAR(13)," "),CHAR(10)," "),CHAR(9)," "),CHAR(92),_xlfn.CONCAT(CHAR(92),CHAR(92))),"$",_xlfn.CONCAT(CHAR(92),"$")),CHAR(96),_xlfn.CONCAT(CHAR(92),CHAR(96))),CHAR(34),CHAR(39))))</f>
        <v/>
      </c>
      <c r="M936" s="5" t="str">
        <f>IF(OR(TRIM($B936)="",$C936=""),"",IF(IFERROR(MATCH(TRIM($C936),{"Quantitative","Continuous","Discrete","Categorical","Nominal","Ordinal","Identifier"},0),0)=0,_xlfn.CONCAT("* REVIEW REQUIRED: invalid Variable Type on Sheet 1 row ",936,"."),_xlfn.CONCAT("char ",TRIM($B936),"[doc_vartype] ",CHAR(96),CHAR(34),SUBSTITUTE(SUBSTITUTE(SUBSTITUTE(SUBSTITUTE(SUBSTITUTE(SUBSTITUTE(LOWER(TRIM($C936)),CHAR(13)," "),CHAR(10)," "),CHAR(9)," "),CHAR(92),_xlfn.CONCAT(CHAR(92),CHAR(92))),"$",_xlfn.CONCAT(CHAR(92),"$")),CHAR(96),_xlfn.CONCAT(CHAR(92),CHAR(96))),CHAR(34),CHAR(39))))</f>
        <v/>
      </c>
      <c r="N936" s="5" t="str">
        <f>IF(OR(TRIM($B936)="",$D936=""),"",IF(OR(ISNUMBER(SEARCH(_xlfn.CONCAT(CHAR(96),CHAR(34)),$D936)),ISNUMBER(SEARCH(_xlfn.CONCAT(CHAR(34),CHAR(39)),$D936))),_xlfn.CONCAT("* REVIEW REQUIRED: compound-quote delimiter in Item Number on Sheet 1 row ",936,"; edit the input before running."),_xlfn.CONCAT("char ",TRIM($B936),"[doc_itemnum] ",CHAR(96),CHAR(34),SUBSTITUTE(SUBSTITUTE(SUBSTITUTE(SUBSTITUTE(SUBSTITUTE(SUBSTITUTE($D936,CHAR(13)," "),CHAR(10)," "),CHAR(9)," "),CHAR(92),_xlfn.CONCAT(CHAR(92),CHAR(92))),"$",_xlfn.CONCAT(CHAR(92),"$")),CHAR(96),_xlfn.CONCAT(CHAR(92),CHAR(96))),CHAR(34),CHAR(39))))</f>
        <v/>
      </c>
      <c r="O936" s="5" t="str">
        <f>IF(OR(TRIM($B936)="",$E936=""),"",IF(OR(ISNUMBER(SEARCH(_xlfn.CONCAT(CHAR(96),CHAR(34)),$E936)),ISNUMBER(SEARCH(_xlfn.CONCAT(CHAR(34),CHAR(39)),$E936))),_xlfn.CONCAT("* REVIEW REQUIRED: compound-quote delimiter in Question Wording on Sheet 1 row ",936,"; edit the input before running."),_xlfn.CONCAT("char ",TRIM($B936),"[doc_question] ",CHAR(96),CHAR(34),SUBSTITUTE(SUBSTITUTE(SUBSTITUTE(SUBSTITUTE(SUBSTITUTE(SUBSTITUTE($E936,CHAR(13)," "),CHAR(10)," "),CHAR(9)," "),CHAR(92),_xlfn.CONCAT(CHAR(92),CHAR(92))),"$",_xlfn.CONCAT(CHAR(92),"$")),CHAR(96),_xlfn.CONCAT(CHAR(92),CHAR(96))),CHAR(34),CHAR(39))))</f>
        <v/>
      </c>
      <c r="P936" s="5" t="str">
        <f>IF(OR(TRIM($B936)="",$F936=""),"",IF(OR(ISNUMBER(SEARCH(_xlfn.CONCAT(CHAR(96),CHAR(34)),$F936)),ISNUMBER(SEARCH(_xlfn.CONCAT(CHAR(34),CHAR(39)),$F936))),_xlfn.CONCAT("* REVIEW REQUIRED: compound-quote delimiter in Units on Sheet 1 row ",936,"; edit the input before running."),_xlfn.CONCAT("char ",TRIM($B936),"[doc_units] ",CHAR(96),CHAR(34),SUBSTITUTE(SUBSTITUTE(SUBSTITUTE(SUBSTITUTE(SUBSTITUTE(SUBSTITUTE($F936,CHAR(13)," "),CHAR(10)," "),CHAR(9)," "),CHAR(92),_xlfn.CONCAT(CHAR(92),CHAR(92))),"$",_xlfn.CONCAT(CHAR(92),"$")),CHAR(96),_xlfn.CONCAT(CHAR(92),CHAR(96))),CHAR(34),CHAR(39))))</f>
        <v/>
      </c>
      <c r="Q936" s="5" t="str">
        <f>IF(OR(TRIM($B936)="",$G936=""),"",IF(OR(ISNUMBER(SEARCH(_xlfn.CONCAT(CHAR(96),CHAR(34)),$G936)),ISNUMBER(SEARCH(_xlfn.CONCAT(CHAR(34),CHAR(39)),$G936))),_xlfn.CONCAT("* REVIEW REQUIRED: compound-quote delimiter in Universe on Sheet 1 row ",936,"; edit the input before running."),_xlfn.CONCAT("char ",TRIM($B936),"[doc_universe] ",CHAR(96),CHAR(34),SUBSTITUTE(SUBSTITUTE(SUBSTITUTE(SUBSTITUTE(SUBSTITUTE(SUBSTITUTE($G936,CHAR(13)," "),CHAR(10)," "),CHAR(9)," "),CHAR(92),_xlfn.CONCAT(CHAR(92),CHAR(92))),"$",_xlfn.CONCAT(CHAR(92),"$")),CHAR(96),_xlfn.CONCAT(CHAR(92),CHAR(96))),CHAR(34),CHAR(39))))</f>
        <v/>
      </c>
      <c r="R936" s="5" t="str">
        <f>IF(OR(TRIM($B936)="",$H936=""),"",IF(OR(ISNUMBER(SEARCH(_xlfn.CONCAT(CHAR(96),CHAR(34)),$H936)),ISNUMBER(SEARCH(_xlfn.CONCAT(CHAR(34),CHAR(39)),$H936))),_xlfn.CONCAT("* REVIEW REQUIRED: compound-quote delimiter in Source on Sheet 1 row ",936,"; edit the input before running."),_xlfn.CONCAT("char ",TRIM($B936),"[doc_source] ",CHAR(96),CHAR(34),SUBSTITUTE(SUBSTITUTE(SUBSTITUTE(SUBSTITUTE(SUBSTITUTE(SUBSTITUTE($H936,CHAR(13)," "),CHAR(10)," "),CHAR(9)," "),CHAR(92),_xlfn.CONCAT(CHAR(92),CHAR(92))),"$",_xlfn.CONCAT(CHAR(92),"$")),CHAR(96),_xlfn.CONCAT(CHAR(92),CHAR(96))),CHAR(34),CHAR(39))))</f>
        <v/>
      </c>
      <c r="S936" s="5" t="str">
        <f>IF(OR(TRIM($B936)="",$I936=""),"",IF(OR(ISNUMBER(SEARCH(_xlfn.CONCAT(CHAR(96),CHAR(34)),$I936)),ISNUMBER(SEARCH(_xlfn.CONCAT(CHAR(34),CHAR(39)),$I936))),_xlfn.CONCAT("* REVIEW REQUIRED: compound-quote delimiter in Derivation on Sheet 1 row ",936,"; edit the input before running."),_xlfn.CONCAT("char ",TRIM($B936),"[doc_derivation] ",CHAR(96),CHAR(34),SUBSTITUTE(SUBSTITUTE(SUBSTITUTE(SUBSTITUTE(SUBSTITUTE(SUBSTITUTE($I936,CHAR(13)," "),CHAR(10)," "),CHAR(9)," "),CHAR(92),_xlfn.CONCAT(CHAR(92),CHAR(92))),"$",_xlfn.CONCAT(CHAR(92),"$")),CHAR(96),_xlfn.CONCAT(CHAR(92),CHAR(96))),CHAR(34),CHAR(39))))</f>
        <v/>
      </c>
      <c r="T936" s="5" t="str">
        <f>IF(OR(TRIM($B936)="",$J936=""),"",IF(OR(ISNUMBER(SEARCH(_xlfn.CONCAT(CHAR(96),CHAR(34)),$J936)),ISNUMBER(SEARCH(_xlfn.CONCAT(CHAR(34),CHAR(39)),$J936))),_xlfn.CONCAT("* REVIEW REQUIRED: compound-quote delimiter in Notes on Sheet 1 row ",936,"; edit the input before running."),_xlfn.CONCAT("char ",TRIM($B936),"[doc_notes] ",CHAR(96),CHAR(34),SUBSTITUTE(SUBSTITUTE(SUBSTITUTE(SUBSTITUTE(SUBSTITUTE(SUBSTITUTE($J936,CHAR(13)," "),CHAR(10)," "),CHAR(9)," "),CHAR(92),_xlfn.CONCAT(CHAR(92),CHAR(92))),"$",_xlfn.CONCAT(CHAR(92),"$")),CHAR(96),_xlfn.CONCAT(CHAR(92),CHAR(96))),CHAR(34),CHAR(39))))</f>
        <v/>
      </c>
      <c r="U936" s="5">
        <f t="shared" si="29"/>
        <v>0</v>
      </c>
    </row>
    <row r="937" spans="3:21" ht="30" customHeight="1" x14ac:dyDescent="0.2">
      <c r="C937" s="4"/>
      <c r="K937" s="5">
        <f t="shared" si="28"/>
        <v>0</v>
      </c>
      <c r="L937" s="5" t="str">
        <f>IF(OR(TRIM($B937)="",$A937=""),"",IF(OR(ISNUMBER(SEARCH(_xlfn.CONCAT(CHAR(96),CHAR(34)),$A937)),ISNUMBER(SEARCH(_xlfn.CONCAT(CHAR(34),CHAR(39)),$A937))),_xlfn.CONCAT("* REVIEW REQUIRED: compound-quote delimiter in Codebook Section on Sheet 1 row ",937,"; edit the input before running."),_xlfn.CONCAT("char ",TRIM($B937),"[doc_section] ",CHAR(96),CHAR(34),SUBSTITUTE(SUBSTITUTE(SUBSTITUTE(SUBSTITUTE(SUBSTITUTE(SUBSTITUTE($A937,CHAR(13)," "),CHAR(10)," "),CHAR(9)," "),CHAR(92),_xlfn.CONCAT(CHAR(92),CHAR(92))),"$",_xlfn.CONCAT(CHAR(92),"$")),CHAR(96),_xlfn.CONCAT(CHAR(92),CHAR(96))),CHAR(34),CHAR(39))))</f>
        <v/>
      </c>
      <c r="M937" s="5" t="str">
        <f>IF(OR(TRIM($B937)="",$C937=""),"",IF(IFERROR(MATCH(TRIM($C937),{"Quantitative","Continuous","Discrete","Categorical","Nominal","Ordinal","Identifier"},0),0)=0,_xlfn.CONCAT("* REVIEW REQUIRED: invalid Variable Type on Sheet 1 row ",937,"."),_xlfn.CONCAT("char ",TRIM($B937),"[doc_vartype] ",CHAR(96),CHAR(34),SUBSTITUTE(SUBSTITUTE(SUBSTITUTE(SUBSTITUTE(SUBSTITUTE(SUBSTITUTE(LOWER(TRIM($C937)),CHAR(13)," "),CHAR(10)," "),CHAR(9)," "),CHAR(92),_xlfn.CONCAT(CHAR(92),CHAR(92))),"$",_xlfn.CONCAT(CHAR(92),"$")),CHAR(96),_xlfn.CONCAT(CHAR(92),CHAR(96))),CHAR(34),CHAR(39))))</f>
        <v/>
      </c>
      <c r="N937" s="5" t="str">
        <f>IF(OR(TRIM($B937)="",$D937=""),"",IF(OR(ISNUMBER(SEARCH(_xlfn.CONCAT(CHAR(96),CHAR(34)),$D937)),ISNUMBER(SEARCH(_xlfn.CONCAT(CHAR(34),CHAR(39)),$D937))),_xlfn.CONCAT("* REVIEW REQUIRED: compound-quote delimiter in Item Number on Sheet 1 row ",937,"; edit the input before running."),_xlfn.CONCAT("char ",TRIM($B937),"[doc_itemnum] ",CHAR(96),CHAR(34),SUBSTITUTE(SUBSTITUTE(SUBSTITUTE(SUBSTITUTE(SUBSTITUTE(SUBSTITUTE($D937,CHAR(13)," "),CHAR(10)," "),CHAR(9)," "),CHAR(92),_xlfn.CONCAT(CHAR(92),CHAR(92))),"$",_xlfn.CONCAT(CHAR(92),"$")),CHAR(96),_xlfn.CONCAT(CHAR(92),CHAR(96))),CHAR(34),CHAR(39))))</f>
        <v/>
      </c>
      <c r="O937" s="5" t="str">
        <f>IF(OR(TRIM($B937)="",$E937=""),"",IF(OR(ISNUMBER(SEARCH(_xlfn.CONCAT(CHAR(96),CHAR(34)),$E937)),ISNUMBER(SEARCH(_xlfn.CONCAT(CHAR(34),CHAR(39)),$E937))),_xlfn.CONCAT("* REVIEW REQUIRED: compound-quote delimiter in Question Wording on Sheet 1 row ",937,"; edit the input before running."),_xlfn.CONCAT("char ",TRIM($B937),"[doc_question] ",CHAR(96),CHAR(34),SUBSTITUTE(SUBSTITUTE(SUBSTITUTE(SUBSTITUTE(SUBSTITUTE(SUBSTITUTE($E937,CHAR(13)," "),CHAR(10)," "),CHAR(9)," "),CHAR(92),_xlfn.CONCAT(CHAR(92),CHAR(92))),"$",_xlfn.CONCAT(CHAR(92),"$")),CHAR(96),_xlfn.CONCAT(CHAR(92),CHAR(96))),CHAR(34),CHAR(39))))</f>
        <v/>
      </c>
      <c r="P937" s="5" t="str">
        <f>IF(OR(TRIM($B937)="",$F937=""),"",IF(OR(ISNUMBER(SEARCH(_xlfn.CONCAT(CHAR(96),CHAR(34)),$F937)),ISNUMBER(SEARCH(_xlfn.CONCAT(CHAR(34),CHAR(39)),$F937))),_xlfn.CONCAT("* REVIEW REQUIRED: compound-quote delimiter in Units on Sheet 1 row ",937,"; edit the input before running."),_xlfn.CONCAT("char ",TRIM($B937),"[doc_units] ",CHAR(96),CHAR(34),SUBSTITUTE(SUBSTITUTE(SUBSTITUTE(SUBSTITUTE(SUBSTITUTE(SUBSTITUTE($F937,CHAR(13)," "),CHAR(10)," "),CHAR(9)," "),CHAR(92),_xlfn.CONCAT(CHAR(92),CHAR(92))),"$",_xlfn.CONCAT(CHAR(92),"$")),CHAR(96),_xlfn.CONCAT(CHAR(92),CHAR(96))),CHAR(34),CHAR(39))))</f>
        <v/>
      </c>
      <c r="Q937" s="5" t="str">
        <f>IF(OR(TRIM($B937)="",$G937=""),"",IF(OR(ISNUMBER(SEARCH(_xlfn.CONCAT(CHAR(96),CHAR(34)),$G937)),ISNUMBER(SEARCH(_xlfn.CONCAT(CHAR(34),CHAR(39)),$G937))),_xlfn.CONCAT("* REVIEW REQUIRED: compound-quote delimiter in Universe on Sheet 1 row ",937,"; edit the input before running."),_xlfn.CONCAT("char ",TRIM($B937),"[doc_universe] ",CHAR(96),CHAR(34),SUBSTITUTE(SUBSTITUTE(SUBSTITUTE(SUBSTITUTE(SUBSTITUTE(SUBSTITUTE($G937,CHAR(13)," "),CHAR(10)," "),CHAR(9)," "),CHAR(92),_xlfn.CONCAT(CHAR(92),CHAR(92))),"$",_xlfn.CONCAT(CHAR(92),"$")),CHAR(96),_xlfn.CONCAT(CHAR(92),CHAR(96))),CHAR(34),CHAR(39))))</f>
        <v/>
      </c>
      <c r="R937" s="5" t="str">
        <f>IF(OR(TRIM($B937)="",$H937=""),"",IF(OR(ISNUMBER(SEARCH(_xlfn.CONCAT(CHAR(96),CHAR(34)),$H937)),ISNUMBER(SEARCH(_xlfn.CONCAT(CHAR(34),CHAR(39)),$H937))),_xlfn.CONCAT("* REVIEW REQUIRED: compound-quote delimiter in Source on Sheet 1 row ",937,"; edit the input before running."),_xlfn.CONCAT("char ",TRIM($B937),"[doc_source] ",CHAR(96),CHAR(34),SUBSTITUTE(SUBSTITUTE(SUBSTITUTE(SUBSTITUTE(SUBSTITUTE(SUBSTITUTE($H937,CHAR(13)," "),CHAR(10)," "),CHAR(9)," "),CHAR(92),_xlfn.CONCAT(CHAR(92),CHAR(92))),"$",_xlfn.CONCAT(CHAR(92),"$")),CHAR(96),_xlfn.CONCAT(CHAR(92),CHAR(96))),CHAR(34),CHAR(39))))</f>
        <v/>
      </c>
      <c r="S937" s="5" t="str">
        <f>IF(OR(TRIM($B937)="",$I937=""),"",IF(OR(ISNUMBER(SEARCH(_xlfn.CONCAT(CHAR(96),CHAR(34)),$I937)),ISNUMBER(SEARCH(_xlfn.CONCAT(CHAR(34),CHAR(39)),$I937))),_xlfn.CONCAT("* REVIEW REQUIRED: compound-quote delimiter in Derivation on Sheet 1 row ",937,"; edit the input before running."),_xlfn.CONCAT("char ",TRIM($B937),"[doc_derivation] ",CHAR(96),CHAR(34),SUBSTITUTE(SUBSTITUTE(SUBSTITUTE(SUBSTITUTE(SUBSTITUTE(SUBSTITUTE($I937,CHAR(13)," "),CHAR(10)," "),CHAR(9)," "),CHAR(92),_xlfn.CONCAT(CHAR(92),CHAR(92))),"$",_xlfn.CONCAT(CHAR(92),"$")),CHAR(96),_xlfn.CONCAT(CHAR(92),CHAR(96))),CHAR(34),CHAR(39))))</f>
        <v/>
      </c>
      <c r="T937" s="5" t="str">
        <f>IF(OR(TRIM($B937)="",$J937=""),"",IF(OR(ISNUMBER(SEARCH(_xlfn.CONCAT(CHAR(96),CHAR(34)),$J937)),ISNUMBER(SEARCH(_xlfn.CONCAT(CHAR(34),CHAR(39)),$J937))),_xlfn.CONCAT("* REVIEW REQUIRED: compound-quote delimiter in Notes on Sheet 1 row ",937,"; edit the input before running."),_xlfn.CONCAT("char ",TRIM($B937),"[doc_notes] ",CHAR(96),CHAR(34),SUBSTITUTE(SUBSTITUTE(SUBSTITUTE(SUBSTITUTE(SUBSTITUTE(SUBSTITUTE($J937,CHAR(13)," "),CHAR(10)," "),CHAR(9)," "),CHAR(92),_xlfn.CONCAT(CHAR(92),CHAR(92))),"$",_xlfn.CONCAT(CHAR(92),"$")),CHAR(96),_xlfn.CONCAT(CHAR(92),CHAR(96))),CHAR(34),CHAR(39))))</f>
        <v/>
      </c>
      <c r="U937" s="5">
        <f t="shared" si="29"/>
        <v>0</v>
      </c>
    </row>
    <row r="938" spans="3:21" ht="30" customHeight="1" x14ac:dyDescent="0.2">
      <c r="C938" s="4"/>
      <c r="K938" s="5">
        <f t="shared" si="28"/>
        <v>0</v>
      </c>
      <c r="L938" s="5" t="str">
        <f>IF(OR(TRIM($B938)="",$A938=""),"",IF(OR(ISNUMBER(SEARCH(_xlfn.CONCAT(CHAR(96),CHAR(34)),$A938)),ISNUMBER(SEARCH(_xlfn.CONCAT(CHAR(34),CHAR(39)),$A938))),_xlfn.CONCAT("* REVIEW REQUIRED: compound-quote delimiter in Codebook Section on Sheet 1 row ",938,"; edit the input before running."),_xlfn.CONCAT("char ",TRIM($B938),"[doc_section] ",CHAR(96),CHAR(34),SUBSTITUTE(SUBSTITUTE(SUBSTITUTE(SUBSTITUTE(SUBSTITUTE(SUBSTITUTE($A938,CHAR(13)," "),CHAR(10)," "),CHAR(9)," "),CHAR(92),_xlfn.CONCAT(CHAR(92),CHAR(92))),"$",_xlfn.CONCAT(CHAR(92),"$")),CHAR(96),_xlfn.CONCAT(CHAR(92),CHAR(96))),CHAR(34),CHAR(39))))</f>
        <v/>
      </c>
      <c r="M938" s="5" t="str">
        <f>IF(OR(TRIM($B938)="",$C938=""),"",IF(IFERROR(MATCH(TRIM($C938),{"Quantitative","Continuous","Discrete","Categorical","Nominal","Ordinal","Identifier"},0),0)=0,_xlfn.CONCAT("* REVIEW REQUIRED: invalid Variable Type on Sheet 1 row ",938,"."),_xlfn.CONCAT("char ",TRIM($B938),"[doc_vartype] ",CHAR(96),CHAR(34),SUBSTITUTE(SUBSTITUTE(SUBSTITUTE(SUBSTITUTE(SUBSTITUTE(SUBSTITUTE(LOWER(TRIM($C938)),CHAR(13)," "),CHAR(10)," "),CHAR(9)," "),CHAR(92),_xlfn.CONCAT(CHAR(92),CHAR(92))),"$",_xlfn.CONCAT(CHAR(92),"$")),CHAR(96),_xlfn.CONCAT(CHAR(92),CHAR(96))),CHAR(34),CHAR(39))))</f>
        <v/>
      </c>
      <c r="N938" s="5" t="str">
        <f>IF(OR(TRIM($B938)="",$D938=""),"",IF(OR(ISNUMBER(SEARCH(_xlfn.CONCAT(CHAR(96),CHAR(34)),$D938)),ISNUMBER(SEARCH(_xlfn.CONCAT(CHAR(34),CHAR(39)),$D938))),_xlfn.CONCAT("* REVIEW REQUIRED: compound-quote delimiter in Item Number on Sheet 1 row ",938,"; edit the input before running."),_xlfn.CONCAT("char ",TRIM($B938),"[doc_itemnum] ",CHAR(96),CHAR(34),SUBSTITUTE(SUBSTITUTE(SUBSTITUTE(SUBSTITUTE(SUBSTITUTE(SUBSTITUTE($D938,CHAR(13)," "),CHAR(10)," "),CHAR(9)," "),CHAR(92),_xlfn.CONCAT(CHAR(92),CHAR(92))),"$",_xlfn.CONCAT(CHAR(92),"$")),CHAR(96),_xlfn.CONCAT(CHAR(92),CHAR(96))),CHAR(34),CHAR(39))))</f>
        <v/>
      </c>
      <c r="O938" s="5" t="str">
        <f>IF(OR(TRIM($B938)="",$E938=""),"",IF(OR(ISNUMBER(SEARCH(_xlfn.CONCAT(CHAR(96),CHAR(34)),$E938)),ISNUMBER(SEARCH(_xlfn.CONCAT(CHAR(34),CHAR(39)),$E938))),_xlfn.CONCAT("* REVIEW REQUIRED: compound-quote delimiter in Question Wording on Sheet 1 row ",938,"; edit the input before running."),_xlfn.CONCAT("char ",TRIM($B938),"[doc_question] ",CHAR(96),CHAR(34),SUBSTITUTE(SUBSTITUTE(SUBSTITUTE(SUBSTITUTE(SUBSTITUTE(SUBSTITUTE($E938,CHAR(13)," "),CHAR(10)," "),CHAR(9)," "),CHAR(92),_xlfn.CONCAT(CHAR(92),CHAR(92))),"$",_xlfn.CONCAT(CHAR(92),"$")),CHAR(96),_xlfn.CONCAT(CHAR(92),CHAR(96))),CHAR(34),CHAR(39))))</f>
        <v/>
      </c>
      <c r="P938" s="5" t="str">
        <f>IF(OR(TRIM($B938)="",$F938=""),"",IF(OR(ISNUMBER(SEARCH(_xlfn.CONCAT(CHAR(96),CHAR(34)),$F938)),ISNUMBER(SEARCH(_xlfn.CONCAT(CHAR(34),CHAR(39)),$F938))),_xlfn.CONCAT("* REVIEW REQUIRED: compound-quote delimiter in Units on Sheet 1 row ",938,"; edit the input before running."),_xlfn.CONCAT("char ",TRIM($B938),"[doc_units] ",CHAR(96),CHAR(34),SUBSTITUTE(SUBSTITUTE(SUBSTITUTE(SUBSTITUTE(SUBSTITUTE(SUBSTITUTE($F938,CHAR(13)," "),CHAR(10)," "),CHAR(9)," "),CHAR(92),_xlfn.CONCAT(CHAR(92),CHAR(92))),"$",_xlfn.CONCAT(CHAR(92),"$")),CHAR(96),_xlfn.CONCAT(CHAR(92),CHAR(96))),CHAR(34),CHAR(39))))</f>
        <v/>
      </c>
      <c r="Q938" s="5" t="str">
        <f>IF(OR(TRIM($B938)="",$G938=""),"",IF(OR(ISNUMBER(SEARCH(_xlfn.CONCAT(CHAR(96),CHAR(34)),$G938)),ISNUMBER(SEARCH(_xlfn.CONCAT(CHAR(34),CHAR(39)),$G938))),_xlfn.CONCAT("* REVIEW REQUIRED: compound-quote delimiter in Universe on Sheet 1 row ",938,"; edit the input before running."),_xlfn.CONCAT("char ",TRIM($B938),"[doc_universe] ",CHAR(96),CHAR(34),SUBSTITUTE(SUBSTITUTE(SUBSTITUTE(SUBSTITUTE(SUBSTITUTE(SUBSTITUTE($G938,CHAR(13)," "),CHAR(10)," "),CHAR(9)," "),CHAR(92),_xlfn.CONCAT(CHAR(92),CHAR(92))),"$",_xlfn.CONCAT(CHAR(92),"$")),CHAR(96),_xlfn.CONCAT(CHAR(92),CHAR(96))),CHAR(34),CHAR(39))))</f>
        <v/>
      </c>
      <c r="R938" s="5" t="str">
        <f>IF(OR(TRIM($B938)="",$H938=""),"",IF(OR(ISNUMBER(SEARCH(_xlfn.CONCAT(CHAR(96),CHAR(34)),$H938)),ISNUMBER(SEARCH(_xlfn.CONCAT(CHAR(34),CHAR(39)),$H938))),_xlfn.CONCAT("* REVIEW REQUIRED: compound-quote delimiter in Source on Sheet 1 row ",938,"; edit the input before running."),_xlfn.CONCAT("char ",TRIM($B938),"[doc_source] ",CHAR(96),CHAR(34),SUBSTITUTE(SUBSTITUTE(SUBSTITUTE(SUBSTITUTE(SUBSTITUTE(SUBSTITUTE($H938,CHAR(13)," "),CHAR(10)," "),CHAR(9)," "),CHAR(92),_xlfn.CONCAT(CHAR(92),CHAR(92))),"$",_xlfn.CONCAT(CHAR(92),"$")),CHAR(96),_xlfn.CONCAT(CHAR(92),CHAR(96))),CHAR(34),CHAR(39))))</f>
        <v/>
      </c>
      <c r="S938" s="5" t="str">
        <f>IF(OR(TRIM($B938)="",$I938=""),"",IF(OR(ISNUMBER(SEARCH(_xlfn.CONCAT(CHAR(96),CHAR(34)),$I938)),ISNUMBER(SEARCH(_xlfn.CONCAT(CHAR(34),CHAR(39)),$I938))),_xlfn.CONCAT("* REVIEW REQUIRED: compound-quote delimiter in Derivation on Sheet 1 row ",938,"; edit the input before running."),_xlfn.CONCAT("char ",TRIM($B938),"[doc_derivation] ",CHAR(96),CHAR(34),SUBSTITUTE(SUBSTITUTE(SUBSTITUTE(SUBSTITUTE(SUBSTITUTE(SUBSTITUTE($I938,CHAR(13)," "),CHAR(10)," "),CHAR(9)," "),CHAR(92),_xlfn.CONCAT(CHAR(92),CHAR(92))),"$",_xlfn.CONCAT(CHAR(92),"$")),CHAR(96),_xlfn.CONCAT(CHAR(92),CHAR(96))),CHAR(34),CHAR(39))))</f>
        <v/>
      </c>
      <c r="T938" s="5" t="str">
        <f>IF(OR(TRIM($B938)="",$J938=""),"",IF(OR(ISNUMBER(SEARCH(_xlfn.CONCAT(CHAR(96),CHAR(34)),$J938)),ISNUMBER(SEARCH(_xlfn.CONCAT(CHAR(34),CHAR(39)),$J938))),_xlfn.CONCAT("* REVIEW REQUIRED: compound-quote delimiter in Notes on Sheet 1 row ",938,"; edit the input before running."),_xlfn.CONCAT("char ",TRIM($B938),"[doc_notes] ",CHAR(96),CHAR(34),SUBSTITUTE(SUBSTITUTE(SUBSTITUTE(SUBSTITUTE(SUBSTITUTE(SUBSTITUTE($J938,CHAR(13)," "),CHAR(10)," "),CHAR(9)," "),CHAR(92),_xlfn.CONCAT(CHAR(92),CHAR(92))),"$",_xlfn.CONCAT(CHAR(92),"$")),CHAR(96),_xlfn.CONCAT(CHAR(92),CHAR(96))),CHAR(34),CHAR(39))))</f>
        <v/>
      </c>
      <c r="U938" s="5">
        <f t="shared" si="29"/>
        <v>0</v>
      </c>
    </row>
    <row r="939" spans="3:21" ht="30" customHeight="1" x14ac:dyDescent="0.2">
      <c r="C939" s="4"/>
      <c r="K939" s="5">
        <f t="shared" si="28"/>
        <v>0</v>
      </c>
      <c r="L939" s="5" t="str">
        <f>IF(OR(TRIM($B939)="",$A939=""),"",IF(OR(ISNUMBER(SEARCH(_xlfn.CONCAT(CHAR(96),CHAR(34)),$A939)),ISNUMBER(SEARCH(_xlfn.CONCAT(CHAR(34),CHAR(39)),$A939))),_xlfn.CONCAT("* REVIEW REQUIRED: compound-quote delimiter in Codebook Section on Sheet 1 row ",939,"; edit the input before running."),_xlfn.CONCAT("char ",TRIM($B939),"[doc_section] ",CHAR(96),CHAR(34),SUBSTITUTE(SUBSTITUTE(SUBSTITUTE(SUBSTITUTE(SUBSTITUTE(SUBSTITUTE($A939,CHAR(13)," "),CHAR(10)," "),CHAR(9)," "),CHAR(92),_xlfn.CONCAT(CHAR(92),CHAR(92))),"$",_xlfn.CONCAT(CHAR(92),"$")),CHAR(96),_xlfn.CONCAT(CHAR(92),CHAR(96))),CHAR(34),CHAR(39))))</f>
        <v/>
      </c>
      <c r="M939" s="5" t="str">
        <f>IF(OR(TRIM($B939)="",$C939=""),"",IF(IFERROR(MATCH(TRIM($C939),{"Quantitative","Continuous","Discrete","Categorical","Nominal","Ordinal","Identifier"},0),0)=0,_xlfn.CONCAT("* REVIEW REQUIRED: invalid Variable Type on Sheet 1 row ",939,"."),_xlfn.CONCAT("char ",TRIM($B939),"[doc_vartype] ",CHAR(96),CHAR(34),SUBSTITUTE(SUBSTITUTE(SUBSTITUTE(SUBSTITUTE(SUBSTITUTE(SUBSTITUTE(LOWER(TRIM($C939)),CHAR(13)," "),CHAR(10)," "),CHAR(9)," "),CHAR(92),_xlfn.CONCAT(CHAR(92),CHAR(92))),"$",_xlfn.CONCAT(CHAR(92),"$")),CHAR(96),_xlfn.CONCAT(CHAR(92),CHAR(96))),CHAR(34),CHAR(39))))</f>
        <v/>
      </c>
      <c r="N939" s="5" t="str">
        <f>IF(OR(TRIM($B939)="",$D939=""),"",IF(OR(ISNUMBER(SEARCH(_xlfn.CONCAT(CHAR(96),CHAR(34)),$D939)),ISNUMBER(SEARCH(_xlfn.CONCAT(CHAR(34),CHAR(39)),$D939))),_xlfn.CONCAT("* REVIEW REQUIRED: compound-quote delimiter in Item Number on Sheet 1 row ",939,"; edit the input before running."),_xlfn.CONCAT("char ",TRIM($B939),"[doc_itemnum] ",CHAR(96),CHAR(34),SUBSTITUTE(SUBSTITUTE(SUBSTITUTE(SUBSTITUTE(SUBSTITUTE(SUBSTITUTE($D939,CHAR(13)," "),CHAR(10)," "),CHAR(9)," "),CHAR(92),_xlfn.CONCAT(CHAR(92),CHAR(92))),"$",_xlfn.CONCAT(CHAR(92),"$")),CHAR(96),_xlfn.CONCAT(CHAR(92),CHAR(96))),CHAR(34),CHAR(39))))</f>
        <v/>
      </c>
      <c r="O939" s="5" t="str">
        <f>IF(OR(TRIM($B939)="",$E939=""),"",IF(OR(ISNUMBER(SEARCH(_xlfn.CONCAT(CHAR(96),CHAR(34)),$E939)),ISNUMBER(SEARCH(_xlfn.CONCAT(CHAR(34),CHAR(39)),$E939))),_xlfn.CONCAT("* REVIEW REQUIRED: compound-quote delimiter in Question Wording on Sheet 1 row ",939,"; edit the input before running."),_xlfn.CONCAT("char ",TRIM($B939),"[doc_question] ",CHAR(96),CHAR(34),SUBSTITUTE(SUBSTITUTE(SUBSTITUTE(SUBSTITUTE(SUBSTITUTE(SUBSTITUTE($E939,CHAR(13)," "),CHAR(10)," "),CHAR(9)," "),CHAR(92),_xlfn.CONCAT(CHAR(92),CHAR(92))),"$",_xlfn.CONCAT(CHAR(92),"$")),CHAR(96),_xlfn.CONCAT(CHAR(92),CHAR(96))),CHAR(34),CHAR(39))))</f>
        <v/>
      </c>
      <c r="P939" s="5" t="str">
        <f>IF(OR(TRIM($B939)="",$F939=""),"",IF(OR(ISNUMBER(SEARCH(_xlfn.CONCAT(CHAR(96),CHAR(34)),$F939)),ISNUMBER(SEARCH(_xlfn.CONCAT(CHAR(34),CHAR(39)),$F939))),_xlfn.CONCAT("* REVIEW REQUIRED: compound-quote delimiter in Units on Sheet 1 row ",939,"; edit the input before running."),_xlfn.CONCAT("char ",TRIM($B939),"[doc_units] ",CHAR(96),CHAR(34),SUBSTITUTE(SUBSTITUTE(SUBSTITUTE(SUBSTITUTE(SUBSTITUTE(SUBSTITUTE($F939,CHAR(13)," "),CHAR(10)," "),CHAR(9)," "),CHAR(92),_xlfn.CONCAT(CHAR(92),CHAR(92))),"$",_xlfn.CONCAT(CHAR(92),"$")),CHAR(96),_xlfn.CONCAT(CHAR(92),CHAR(96))),CHAR(34),CHAR(39))))</f>
        <v/>
      </c>
      <c r="Q939" s="5" t="str">
        <f>IF(OR(TRIM($B939)="",$G939=""),"",IF(OR(ISNUMBER(SEARCH(_xlfn.CONCAT(CHAR(96),CHAR(34)),$G939)),ISNUMBER(SEARCH(_xlfn.CONCAT(CHAR(34),CHAR(39)),$G939))),_xlfn.CONCAT("* REVIEW REQUIRED: compound-quote delimiter in Universe on Sheet 1 row ",939,"; edit the input before running."),_xlfn.CONCAT("char ",TRIM($B939),"[doc_universe] ",CHAR(96),CHAR(34),SUBSTITUTE(SUBSTITUTE(SUBSTITUTE(SUBSTITUTE(SUBSTITUTE(SUBSTITUTE($G939,CHAR(13)," "),CHAR(10)," "),CHAR(9)," "),CHAR(92),_xlfn.CONCAT(CHAR(92),CHAR(92))),"$",_xlfn.CONCAT(CHAR(92),"$")),CHAR(96),_xlfn.CONCAT(CHAR(92),CHAR(96))),CHAR(34),CHAR(39))))</f>
        <v/>
      </c>
      <c r="R939" s="5" t="str">
        <f>IF(OR(TRIM($B939)="",$H939=""),"",IF(OR(ISNUMBER(SEARCH(_xlfn.CONCAT(CHAR(96),CHAR(34)),$H939)),ISNUMBER(SEARCH(_xlfn.CONCAT(CHAR(34),CHAR(39)),$H939))),_xlfn.CONCAT("* REVIEW REQUIRED: compound-quote delimiter in Source on Sheet 1 row ",939,"; edit the input before running."),_xlfn.CONCAT("char ",TRIM($B939),"[doc_source] ",CHAR(96),CHAR(34),SUBSTITUTE(SUBSTITUTE(SUBSTITUTE(SUBSTITUTE(SUBSTITUTE(SUBSTITUTE($H939,CHAR(13)," "),CHAR(10)," "),CHAR(9)," "),CHAR(92),_xlfn.CONCAT(CHAR(92),CHAR(92))),"$",_xlfn.CONCAT(CHAR(92),"$")),CHAR(96),_xlfn.CONCAT(CHAR(92),CHAR(96))),CHAR(34),CHAR(39))))</f>
        <v/>
      </c>
      <c r="S939" s="5" t="str">
        <f>IF(OR(TRIM($B939)="",$I939=""),"",IF(OR(ISNUMBER(SEARCH(_xlfn.CONCAT(CHAR(96),CHAR(34)),$I939)),ISNUMBER(SEARCH(_xlfn.CONCAT(CHAR(34),CHAR(39)),$I939))),_xlfn.CONCAT("* REVIEW REQUIRED: compound-quote delimiter in Derivation on Sheet 1 row ",939,"; edit the input before running."),_xlfn.CONCAT("char ",TRIM($B939),"[doc_derivation] ",CHAR(96),CHAR(34),SUBSTITUTE(SUBSTITUTE(SUBSTITUTE(SUBSTITUTE(SUBSTITUTE(SUBSTITUTE($I939,CHAR(13)," "),CHAR(10)," "),CHAR(9)," "),CHAR(92),_xlfn.CONCAT(CHAR(92),CHAR(92))),"$",_xlfn.CONCAT(CHAR(92),"$")),CHAR(96),_xlfn.CONCAT(CHAR(92),CHAR(96))),CHAR(34),CHAR(39))))</f>
        <v/>
      </c>
      <c r="T939" s="5" t="str">
        <f>IF(OR(TRIM($B939)="",$J939=""),"",IF(OR(ISNUMBER(SEARCH(_xlfn.CONCAT(CHAR(96),CHAR(34)),$J939)),ISNUMBER(SEARCH(_xlfn.CONCAT(CHAR(34),CHAR(39)),$J939))),_xlfn.CONCAT("* REVIEW REQUIRED: compound-quote delimiter in Notes on Sheet 1 row ",939,"; edit the input before running."),_xlfn.CONCAT("char ",TRIM($B939),"[doc_notes] ",CHAR(96),CHAR(34),SUBSTITUTE(SUBSTITUTE(SUBSTITUTE(SUBSTITUTE(SUBSTITUTE(SUBSTITUTE($J939,CHAR(13)," "),CHAR(10)," "),CHAR(9)," "),CHAR(92),_xlfn.CONCAT(CHAR(92),CHAR(92))),"$",_xlfn.CONCAT(CHAR(92),"$")),CHAR(96),_xlfn.CONCAT(CHAR(92),CHAR(96))),CHAR(34),CHAR(39))))</f>
        <v/>
      </c>
      <c r="U939" s="5">
        <f t="shared" si="29"/>
        <v>0</v>
      </c>
    </row>
    <row r="940" spans="3:21" ht="30" customHeight="1" x14ac:dyDescent="0.2">
      <c r="C940" s="4"/>
      <c r="K940" s="5">
        <f t="shared" si="28"/>
        <v>0</v>
      </c>
      <c r="L940" s="5" t="str">
        <f>IF(OR(TRIM($B940)="",$A940=""),"",IF(OR(ISNUMBER(SEARCH(_xlfn.CONCAT(CHAR(96),CHAR(34)),$A940)),ISNUMBER(SEARCH(_xlfn.CONCAT(CHAR(34),CHAR(39)),$A940))),_xlfn.CONCAT("* REVIEW REQUIRED: compound-quote delimiter in Codebook Section on Sheet 1 row ",940,"; edit the input before running."),_xlfn.CONCAT("char ",TRIM($B940),"[doc_section] ",CHAR(96),CHAR(34),SUBSTITUTE(SUBSTITUTE(SUBSTITUTE(SUBSTITUTE(SUBSTITUTE(SUBSTITUTE($A940,CHAR(13)," "),CHAR(10)," "),CHAR(9)," "),CHAR(92),_xlfn.CONCAT(CHAR(92),CHAR(92))),"$",_xlfn.CONCAT(CHAR(92),"$")),CHAR(96),_xlfn.CONCAT(CHAR(92),CHAR(96))),CHAR(34),CHAR(39))))</f>
        <v/>
      </c>
      <c r="M940" s="5" t="str">
        <f>IF(OR(TRIM($B940)="",$C940=""),"",IF(IFERROR(MATCH(TRIM($C940),{"Quantitative","Continuous","Discrete","Categorical","Nominal","Ordinal","Identifier"},0),0)=0,_xlfn.CONCAT("* REVIEW REQUIRED: invalid Variable Type on Sheet 1 row ",940,"."),_xlfn.CONCAT("char ",TRIM($B940),"[doc_vartype] ",CHAR(96),CHAR(34),SUBSTITUTE(SUBSTITUTE(SUBSTITUTE(SUBSTITUTE(SUBSTITUTE(SUBSTITUTE(LOWER(TRIM($C940)),CHAR(13)," "),CHAR(10)," "),CHAR(9)," "),CHAR(92),_xlfn.CONCAT(CHAR(92),CHAR(92))),"$",_xlfn.CONCAT(CHAR(92),"$")),CHAR(96),_xlfn.CONCAT(CHAR(92),CHAR(96))),CHAR(34),CHAR(39))))</f>
        <v/>
      </c>
      <c r="N940" s="5" t="str">
        <f>IF(OR(TRIM($B940)="",$D940=""),"",IF(OR(ISNUMBER(SEARCH(_xlfn.CONCAT(CHAR(96),CHAR(34)),$D940)),ISNUMBER(SEARCH(_xlfn.CONCAT(CHAR(34),CHAR(39)),$D940))),_xlfn.CONCAT("* REVIEW REQUIRED: compound-quote delimiter in Item Number on Sheet 1 row ",940,"; edit the input before running."),_xlfn.CONCAT("char ",TRIM($B940),"[doc_itemnum] ",CHAR(96),CHAR(34),SUBSTITUTE(SUBSTITUTE(SUBSTITUTE(SUBSTITUTE(SUBSTITUTE(SUBSTITUTE($D940,CHAR(13)," "),CHAR(10)," "),CHAR(9)," "),CHAR(92),_xlfn.CONCAT(CHAR(92),CHAR(92))),"$",_xlfn.CONCAT(CHAR(92),"$")),CHAR(96),_xlfn.CONCAT(CHAR(92),CHAR(96))),CHAR(34),CHAR(39))))</f>
        <v/>
      </c>
      <c r="O940" s="5" t="str">
        <f>IF(OR(TRIM($B940)="",$E940=""),"",IF(OR(ISNUMBER(SEARCH(_xlfn.CONCAT(CHAR(96),CHAR(34)),$E940)),ISNUMBER(SEARCH(_xlfn.CONCAT(CHAR(34),CHAR(39)),$E940))),_xlfn.CONCAT("* REVIEW REQUIRED: compound-quote delimiter in Question Wording on Sheet 1 row ",940,"; edit the input before running."),_xlfn.CONCAT("char ",TRIM($B940),"[doc_question] ",CHAR(96),CHAR(34),SUBSTITUTE(SUBSTITUTE(SUBSTITUTE(SUBSTITUTE(SUBSTITUTE(SUBSTITUTE($E940,CHAR(13)," "),CHAR(10)," "),CHAR(9)," "),CHAR(92),_xlfn.CONCAT(CHAR(92),CHAR(92))),"$",_xlfn.CONCAT(CHAR(92),"$")),CHAR(96),_xlfn.CONCAT(CHAR(92),CHAR(96))),CHAR(34),CHAR(39))))</f>
        <v/>
      </c>
      <c r="P940" s="5" t="str">
        <f>IF(OR(TRIM($B940)="",$F940=""),"",IF(OR(ISNUMBER(SEARCH(_xlfn.CONCAT(CHAR(96),CHAR(34)),$F940)),ISNUMBER(SEARCH(_xlfn.CONCAT(CHAR(34),CHAR(39)),$F940))),_xlfn.CONCAT("* REVIEW REQUIRED: compound-quote delimiter in Units on Sheet 1 row ",940,"; edit the input before running."),_xlfn.CONCAT("char ",TRIM($B940),"[doc_units] ",CHAR(96),CHAR(34),SUBSTITUTE(SUBSTITUTE(SUBSTITUTE(SUBSTITUTE(SUBSTITUTE(SUBSTITUTE($F940,CHAR(13)," "),CHAR(10)," "),CHAR(9)," "),CHAR(92),_xlfn.CONCAT(CHAR(92),CHAR(92))),"$",_xlfn.CONCAT(CHAR(92),"$")),CHAR(96),_xlfn.CONCAT(CHAR(92),CHAR(96))),CHAR(34),CHAR(39))))</f>
        <v/>
      </c>
      <c r="Q940" s="5" t="str">
        <f>IF(OR(TRIM($B940)="",$G940=""),"",IF(OR(ISNUMBER(SEARCH(_xlfn.CONCAT(CHAR(96),CHAR(34)),$G940)),ISNUMBER(SEARCH(_xlfn.CONCAT(CHAR(34),CHAR(39)),$G940))),_xlfn.CONCAT("* REVIEW REQUIRED: compound-quote delimiter in Universe on Sheet 1 row ",940,"; edit the input before running."),_xlfn.CONCAT("char ",TRIM($B940),"[doc_universe] ",CHAR(96),CHAR(34),SUBSTITUTE(SUBSTITUTE(SUBSTITUTE(SUBSTITUTE(SUBSTITUTE(SUBSTITUTE($G940,CHAR(13)," "),CHAR(10)," "),CHAR(9)," "),CHAR(92),_xlfn.CONCAT(CHAR(92),CHAR(92))),"$",_xlfn.CONCAT(CHAR(92),"$")),CHAR(96),_xlfn.CONCAT(CHAR(92),CHAR(96))),CHAR(34),CHAR(39))))</f>
        <v/>
      </c>
      <c r="R940" s="5" t="str">
        <f>IF(OR(TRIM($B940)="",$H940=""),"",IF(OR(ISNUMBER(SEARCH(_xlfn.CONCAT(CHAR(96),CHAR(34)),$H940)),ISNUMBER(SEARCH(_xlfn.CONCAT(CHAR(34),CHAR(39)),$H940))),_xlfn.CONCAT("* REVIEW REQUIRED: compound-quote delimiter in Source on Sheet 1 row ",940,"; edit the input before running."),_xlfn.CONCAT("char ",TRIM($B940),"[doc_source] ",CHAR(96),CHAR(34),SUBSTITUTE(SUBSTITUTE(SUBSTITUTE(SUBSTITUTE(SUBSTITUTE(SUBSTITUTE($H940,CHAR(13)," "),CHAR(10)," "),CHAR(9)," "),CHAR(92),_xlfn.CONCAT(CHAR(92),CHAR(92))),"$",_xlfn.CONCAT(CHAR(92),"$")),CHAR(96),_xlfn.CONCAT(CHAR(92),CHAR(96))),CHAR(34),CHAR(39))))</f>
        <v/>
      </c>
      <c r="S940" s="5" t="str">
        <f>IF(OR(TRIM($B940)="",$I940=""),"",IF(OR(ISNUMBER(SEARCH(_xlfn.CONCAT(CHAR(96),CHAR(34)),$I940)),ISNUMBER(SEARCH(_xlfn.CONCAT(CHAR(34),CHAR(39)),$I940))),_xlfn.CONCAT("* REVIEW REQUIRED: compound-quote delimiter in Derivation on Sheet 1 row ",940,"; edit the input before running."),_xlfn.CONCAT("char ",TRIM($B940),"[doc_derivation] ",CHAR(96),CHAR(34),SUBSTITUTE(SUBSTITUTE(SUBSTITUTE(SUBSTITUTE(SUBSTITUTE(SUBSTITUTE($I940,CHAR(13)," "),CHAR(10)," "),CHAR(9)," "),CHAR(92),_xlfn.CONCAT(CHAR(92),CHAR(92))),"$",_xlfn.CONCAT(CHAR(92),"$")),CHAR(96),_xlfn.CONCAT(CHAR(92),CHAR(96))),CHAR(34),CHAR(39))))</f>
        <v/>
      </c>
      <c r="T940" s="5" t="str">
        <f>IF(OR(TRIM($B940)="",$J940=""),"",IF(OR(ISNUMBER(SEARCH(_xlfn.CONCAT(CHAR(96),CHAR(34)),$J940)),ISNUMBER(SEARCH(_xlfn.CONCAT(CHAR(34),CHAR(39)),$J940))),_xlfn.CONCAT("* REVIEW REQUIRED: compound-quote delimiter in Notes on Sheet 1 row ",940,"; edit the input before running."),_xlfn.CONCAT("char ",TRIM($B940),"[doc_notes] ",CHAR(96),CHAR(34),SUBSTITUTE(SUBSTITUTE(SUBSTITUTE(SUBSTITUTE(SUBSTITUTE(SUBSTITUTE($J940,CHAR(13)," "),CHAR(10)," "),CHAR(9)," "),CHAR(92),_xlfn.CONCAT(CHAR(92),CHAR(92))),"$",_xlfn.CONCAT(CHAR(92),"$")),CHAR(96),_xlfn.CONCAT(CHAR(92),CHAR(96))),CHAR(34),CHAR(39))))</f>
        <v/>
      </c>
      <c r="U940" s="5">
        <f t="shared" si="29"/>
        <v>0</v>
      </c>
    </row>
    <row r="941" spans="3:21" ht="30" customHeight="1" x14ac:dyDescent="0.2">
      <c r="C941" s="4"/>
      <c r="K941" s="5">
        <f t="shared" si="28"/>
        <v>0</v>
      </c>
      <c r="L941" s="5" t="str">
        <f>IF(OR(TRIM($B941)="",$A941=""),"",IF(OR(ISNUMBER(SEARCH(_xlfn.CONCAT(CHAR(96),CHAR(34)),$A941)),ISNUMBER(SEARCH(_xlfn.CONCAT(CHAR(34),CHAR(39)),$A941))),_xlfn.CONCAT("* REVIEW REQUIRED: compound-quote delimiter in Codebook Section on Sheet 1 row ",941,"; edit the input before running."),_xlfn.CONCAT("char ",TRIM($B941),"[doc_section] ",CHAR(96),CHAR(34),SUBSTITUTE(SUBSTITUTE(SUBSTITUTE(SUBSTITUTE(SUBSTITUTE(SUBSTITUTE($A941,CHAR(13)," "),CHAR(10)," "),CHAR(9)," "),CHAR(92),_xlfn.CONCAT(CHAR(92),CHAR(92))),"$",_xlfn.CONCAT(CHAR(92),"$")),CHAR(96),_xlfn.CONCAT(CHAR(92),CHAR(96))),CHAR(34),CHAR(39))))</f>
        <v/>
      </c>
      <c r="M941" s="5" t="str">
        <f>IF(OR(TRIM($B941)="",$C941=""),"",IF(IFERROR(MATCH(TRIM($C941),{"Quantitative","Continuous","Discrete","Categorical","Nominal","Ordinal","Identifier"},0),0)=0,_xlfn.CONCAT("* REVIEW REQUIRED: invalid Variable Type on Sheet 1 row ",941,"."),_xlfn.CONCAT("char ",TRIM($B941),"[doc_vartype] ",CHAR(96),CHAR(34),SUBSTITUTE(SUBSTITUTE(SUBSTITUTE(SUBSTITUTE(SUBSTITUTE(SUBSTITUTE(LOWER(TRIM($C941)),CHAR(13)," "),CHAR(10)," "),CHAR(9)," "),CHAR(92),_xlfn.CONCAT(CHAR(92),CHAR(92))),"$",_xlfn.CONCAT(CHAR(92),"$")),CHAR(96),_xlfn.CONCAT(CHAR(92),CHAR(96))),CHAR(34),CHAR(39))))</f>
        <v/>
      </c>
      <c r="N941" s="5" t="str">
        <f>IF(OR(TRIM($B941)="",$D941=""),"",IF(OR(ISNUMBER(SEARCH(_xlfn.CONCAT(CHAR(96),CHAR(34)),$D941)),ISNUMBER(SEARCH(_xlfn.CONCAT(CHAR(34),CHAR(39)),$D941))),_xlfn.CONCAT("* REVIEW REQUIRED: compound-quote delimiter in Item Number on Sheet 1 row ",941,"; edit the input before running."),_xlfn.CONCAT("char ",TRIM($B941),"[doc_itemnum] ",CHAR(96),CHAR(34),SUBSTITUTE(SUBSTITUTE(SUBSTITUTE(SUBSTITUTE(SUBSTITUTE(SUBSTITUTE($D941,CHAR(13)," "),CHAR(10)," "),CHAR(9)," "),CHAR(92),_xlfn.CONCAT(CHAR(92),CHAR(92))),"$",_xlfn.CONCAT(CHAR(92),"$")),CHAR(96),_xlfn.CONCAT(CHAR(92),CHAR(96))),CHAR(34),CHAR(39))))</f>
        <v/>
      </c>
      <c r="O941" s="5" t="str">
        <f>IF(OR(TRIM($B941)="",$E941=""),"",IF(OR(ISNUMBER(SEARCH(_xlfn.CONCAT(CHAR(96),CHAR(34)),$E941)),ISNUMBER(SEARCH(_xlfn.CONCAT(CHAR(34),CHAR(39)),$E941))),_xlfn.CONCAT("* REVIEW REQUIRED: compound-quote delimiter in Question Wording on Sheet 1 row ",941,"; edit the input before running."),_xlfn.CONCAT("char ",TRIM($B941),"[doc_question] ",CHAR(96),CHAR(34),SUBSTITUTE(SUBSTITUTE(SUBSTITUTE(SUBSTITUTE(SUBSTITUTE(SUBSTITUTE($E941,CHAR(13)," "),CHAR(10)," "),CHAR(9)," "),CHAR(92),_xlfn.CONCAT(CHAR(92),CHAR(92))),"$",_xlfn.CONCAT(CHAR(92),"$")),CHAR(96),_xlfn.CONCAT(CHAR(92),CHAR(96))),CHAR(34),CHAR(39))))</f>
        <v/>
      </c>
      <c r="P941" s="5" t="str">
        <f>IF(OR(TRIM($B941)="",$F941=""),"",IF(OR(ISNUMBER(SEARCH(_xlfn.CONCAT(CHAR(96),CHAR(34)),$F941)),ISNUMBER(SEARCH(_xlfn.CONCAT(CHAR(34),CHAR(39)),$F941))),_xlfn.CONCAT("* REVIEW REQUIRED: compound-quote delimiter in Units on Sheet 1 row ",941,"; edit the input before running."),_xlfn.CONCAT("char ",TRIM($B941),"[doc_units] ",CHAR(96),CHAR(34),SUBSTITUTE(SUBSTITUTE(SUBSTITUTE(SUBSTITUTE(SUBSTITUTE(SUBSTITUTE($F941,CHAR(13)," "),CHAR(10)," "),CHAR(9)," "),CHAR(92),_xlfn.CONCAT(CHAR(92),CHAR(92))),"$",_xlfn.CONCAT(CHAR(92),"$")),CHAR(96),_xlfn.CONCAT(CHAR(92),CHAR(96))),CHAR(34),CHAR(39))))</f>
        <v/>
      </c>
      <c r="Q941" s="5" t="str">
        <f>IF(OR(TRIM($B941)="",$G941=""),"",IF(OR(ISNUMBER(SEARCH(_xlfn.CONCAT(CHAR(96),CHAR(34)),$G941)),ISNUMBER(SEARCH(_xlfn.CONCAT(CHAR(34),CHAR(39)),$G941))),_xlfn.CONCAT("* REVIEW REQUIRED: compound-quote delimiter in Universe on Sheet 1 row ",941,"; edit the input before running."),_xlfn.CONCAT("char ",TRIM($B941),"[doc_universe] ",CHAR(96),CHAR(34),SUBSTITUTE(SUBSTITUTE(SUBSTITUTE(SUBSTITUTE(SUBSTITUTE(SUBSTITUTE($G941,CHAR(13)," "),CHAR(10)," "),CHAR(9)," "),CHAR(92),_xlfn.CONCAT(CHAR(92),CHAR(92))),"$",_xlfn.CONCAT(CHAR(92),"$")),CHAR(96),_xlfn.CONCAT(CHAR(92),CHAR(96))),CHAR(34),CHAR(39))))</f>
        <v/>
      </c>
      <c r="R941" s="5" t="str">
        <f>IF(OR(TRIM($B941)="",$H941=""),"",IF(OR(ISNUMBER(SEARCH(_xlfn.CONCAT(CHAR(96),CHAR(34)),$H941)),ISNUMBER(SEARCH(_xlfn.CONCAT(CHAR(34),CHAR(39)),$H941))),_xlfn.CONCAT("* REVIEW REQUIRED: compound-quote delimiter in Source on Sheet 1 row ",941,"; edit the input before running."),_xlfn.CONCAT("char ",TRIM($B941),"[doc_source] ",CHAR(96),CHAR(34),SUBSTITUTE(SUBSTITUTE(SUBSTITUTE(SUBSTITUTE(SUBSTITUTE(SUBSTITUTE($H941,CHAR(13)," "),CHAR(10)," "),CHAR(9)," "),CHAR(92),_xlfn.CONCAT(CHAR(92),CHAR(92))),"$",_xlfn.CONCAT(CHAR(92),"$")),CHAR(96),_xlfn.CONCAT(CHAR(92),CHAR(96))),CHAR(34),CHAR(39))))</f>
        <v/>
      </c>
      <c r="S941" s="5" t="str">
        <f>IF(OR(TRIM($B941)="",$I941=""),"",IF(OR(ISNUMBER(SEARCH(_xlfn.CONCAT(CHAR(96),CHAR(34)),$I941)),ISNUMBER(SEARCH(_xlfn.CONCAT(CHAR(34),CHAR(39)),$I941))),_xlfn.CONCAT("* REVIEW REQUIRED: compound-quote delimiter in Derivation on Sheet 1 row ",941,"; edit the input before running."),_xlfn.CONCAT("char ",TRIM($B941),"[doc_derivation] ",CHAR(96),CHAR(34),SUBSTITUTE(SUBSTITUTE(SUBSTITUTE(SUBSTITUTE(SUBSTITUTE(SUBSTITUTE($I941,CHAR(13)," "),CHAR(10)," "),CHAR(9)," "),CHAR(92),_xlfn.CONCAT(CHAR(92),CHAR(92))),"$",_xlfn.CONCAT(CHAR(92),"$")),CHAR(96),_xlfn.CONCAT(CHAR(92),CHAR(96))),CHAR(34),CHAR(39))))</f>
        <v/>
      </c>
      <c r="T941" s="5" t="str">
        <f>IF(OR(TRIM($B941)="",$J941=""),"",IF(OR(ISNUMBER(SEARCH(_xlfn.CONCAT(CHAR(96),CHAR(34)),$J941)),ISNUMBER(SEARCH(_xlfn.CONCAT(CHAR(34),CHAR(39)),$J941))),_xlfn.CONCAT("* REVIEW REQUIRED: compound-quote delimiter in Notes on Sheet 1 row ",941,"; edit the input before running."),_xlfn.CONCAT("char ",TRIM($B941),"[doc_notes] ",CHAR(96),CHAR(34),SUBSTITUTE(SUBSTITUTE(SUBSTITUTE(SUBSTITUTE(SUBSTITUTE(SUBSTITUTE($J941,CHAR(13)," "),CHAR(10)," "),CHAR(9)," "),CHAR(92),_xlfn.CONCAT(CHAR(92),CHAR(92))),"$",_xlfn.CONCAT(CHAR(92),"$")),CHAR(96),_xlfn.CONCAT(CHAR(92),CHAR(96))),CHAR(34),CHAR(39))))</f>
        <v/>
      </c>
      <c r="U941" s="5">
        <f t="shared" si="29"/>
        <v>0</v>
      </c>
    </row>
    <row r="942" spans="3:21" ht="30" customHeight="1" x14ac:dyDescent="0.2">
      <c r="C942" s="4"/>
      <c r="K942" s="5">
        <f t="shared" si="28"/>
        <v>0</v>
      </c>
      <c r="L942" s="5" t="str">
        <f>IF(OR(TRIM($B942)="",$A942=""),"",IF(OR(ISNUMBER(SEARCH(_xlfn.CONCAT(CHAR(96),CHAR(34)),$A942)),ISNUMBER(SEARCH(_xlfn.CONCAT(CHAR(34),CHAR(39)),$A942))),_xlfn.CONCAT("* REVIEW REQUIRED: compound-quote delimiter in Codebook Section on Sheet 1 row ",942,"; edit the input before running."),_xlfn.CONCAT("char ",TRIM($B942),"[doc_section] ",CHAR(96),CHAR(34),SUBSTITUTE(SUBSTITUTE(SUBSTITUTE(SUBSTITUTE(SUBSTITUTE(SUBSTITUTE($A942,CHAR(13)," "),CHAR(10)," "),CHAR(9)," "),CHAR(92),_xlfn.CONCAT(CHAR(92),CHAR(92))),"$",_xlfn.CONCAT(CHAR(92),"$")),CHAR(96),_xlfn.CONCAT(CHAR(92),CHAR(96))),CHAR(34),CHAR(39))))</f>
        <v/>
      </c>
      <c r="M942" s="5" t="str">
        <f>IF(OR(TRIM($B942)="",$C942=""),"",IF(IFERROR(MATCH(TRIM($C942),{"Quantitative","Continuous","Discrete","Categorical","Nominal","Ordinal","Identifier"},0),0)=0,_xlfn.CONCAT("* REVIEW REQUIRED: invalid Variable Type on Sheet 1 row ",942,"."),_xlfn.CONCAT("char ",TRIM($B942),"[doc_vartype] ",CHAR(96),CHAR(34),SUBSTITUTE(SUBSTITUTE(SUBSTITUTE(SUBSTITUTE(SUBSTITUTE(SUBSTITUTE(LOWER(TRIM($C942)),CHAR(13)," "),CHAR(10)," "),CHAR(9)," "),CHAR(92),_xlfn.CONCAT(CHAR(92),CHAR(92))),"$",_xlfn.CONCAT(CHAR(92),"$")),CHAR(96),_xlfn.CONCAT(CHAR(92),CHAR(96))),CHAR(34),CHAR(39))))</f>
        <v/>
      </c>
      <c r="N942" s="5" t="str">
        <f>IF(OR(TRIM($B942)="",$D942=""),"",IF(OR(ISNUMBER(SEARCH(_xlfn.CONCAT(CHAR(96),CHAR(34)),$D942)),ISNUMBER(SEARCH(_xlfn.CONCAT(CHAR(34),CHAR(39)),$D942))),_xlfn.CONCAT("* REVIEW REQUIRED: compound-quote delimiter in Item Number on Sheet 1 row ",942,"; edit the input before running."),_xlfn.CONCAT("char ",TRIM($B942),"[doc_itemnum] ",CHAR(96),CHAR(34),SUBSTITUTE(SUBSTITUTE(SUBSTITUTE(SUBSTITUTE(SUBSTITUTE(SUBSTITUTE($D942,CHAR(13)," "),CHAR(10)," "),CHAR(9)," "),CHAR(92),_xlfn.CONCAT(CHAR(92),CHAR(92))),"$",_xlfn.CONCAT(CHAR(92),"$")),CHAR(96),_xlfn.CONCAT(CHAR(92),CHAR(96))),CHAR(34),CHAR(39))))</f>
        <v/>
      </c>
      <c r="O942" s="5" t="str">
        <f>IF(OR(TRIM($B942)="",$E942=""),"",IF(OR(ISNUMBER(SEARCH(_xlfn.CONCAT(CHAR(96),CHAR(34)),$E942)),ISNUMBER(SEARCH(_xlfn.CONCAT(CHAR(34),CHAR(39)),$E942))),_xlfn.CONCAT("* REVIEW REQUIRED: compound-quote delimiter in Question Wording on Sheet 1 row ",942,"; edit the input before running."),_xlfn.CONCAT("char ",TRIM($B942),"[doc_question] ",CHAR(96),CHAR(34),SUBSTITUTE(SUBSTITUTE(SUBSTITUTE(SUBSTITUTE(SUBSTITUTE(SUBSTITUTE($E942,CHAR(13)," "),CHAR(10)," "),CHAR(9)," "),CHAR(92),_xlfn.CONCAT(CHAR(92),CHAR(92))),"$",_xlfn.CONCAT(CHAR(92),"$")),CHAR(96),_xlfn.CONCAT(CHAR(92),CHAR(96))),CHAR(34),CHAR(39))))</f>
        <v/>
      </c>
      <c r="P942" s="5" t="str">
        <f>IF(OR(TRIM($B942)="",$F942=""),"",IF(OR(ISNUMBER(SEARCH(_xlfn.CONCAT(CHAR(96),CHAR(34)),$F942)),ISNUMBER(SEARCH(_xlfn.CONCAT(CHAR(34),CHAR(39)),$F942))),_xlfn.CONCAT("* REVIEW REQUIRED: compound-quote delimiter in Units on Sheet 1 row ",942,"; edit the input before running."),_xlfn.CONCAT("char ",TRIM($B942),"[doc_units] ",CHAR(96),CHAR(34),SUBSTITUTE(SUBSTITUTE(SUBSTITUTE(SUBSTITUTE(SUBSTITUTE(SUBSTITUTE($F942,CHAR(13)," "),CHAR(10)," "),CHAR(9)," "),CHAR(92),_xlfn.CONCAT(CHAR(92),CHAR(92))),"$",_xlfn.CONCAT(CHAR(92),"$")),CHAR(96),_xlfn.CONCAT(CHAR(92),CHAR(96))),CHAR(34),CHAR(39))))</f>
        <v/>
      </c>
      <c r="Q942" s="5" t="str">
        <f>IF(OR(TRIM($B942)="",$G942=""),"",IF(OR(ISNUMBER(SEARCH(_xlfn.CONCAT(CHAR(96),CHAR(34)),$G942)),ISNUMBER(SEARCH(_xlfn.CONCAT(CHAR(34),CHAR(39)),$G942))),_xlfn.CONCAT("* REVIEW REQUIRED: compound-quote delimiter in Universe on Sheet 1 row ",942,"; edit the input before running."),_xlfn.CONCAT("char ",TRIM($B942),"[doc_universe] ",CHAR(96),CHAR(34),SUBSTITUTE(SUBSTITUTE(SUBSTITUTE(SUBSTITUTE(SUBSTITUTE(SUBSTITUTE($G942,CHAR(13)," "),CHAR(10)," "),CHAR(9)," "),CHAR(92),_xlfn.CONCAT(CHAR(92),CHAR(92))),"$",_xlfn.CONCAT(CHAR(92),"$")),CHAR(96),_xlfn.CONCAT(CHAR(92),CHAR(96))),CHAR(34),CHAR(39))))</f>
        <v/>
      </c>
      <c r="R942" s="5" t="str">
        <f>IF(OR(TRIM($B942)="",$H942=""),"",IF(OR(ISNUMBER(SEARCH(_xlfn.CONCAT(CHAR(96),CHAR(34)),$H942)),ISNUMBER(SEARCH(_xlfn.CONCAT(CHAR(34),CHAR(39)),$H942))),_xlfn.CONCAT("* REVIEW REQUIRED: compound-quote delimiter in Source on Sheet 1 row ",942,"; edit the input before running."),_xlfn.CONCAT("char ",TRIM($B942),"[doc_source] ",CHAR(96),CHAR(34),SUBSTITUTE(SUBSTITUTE(SUBSTITUTE(SUBSTITUTE(SUBSTITUTE(SUBSTITUTE($H942,CHAR(13)," "),CHAR(10)," "),CHAR(9)," "),CHAR(92),_xlfn.CONCAT(CHAR(92),CHAR(92))),"$",_xlfn.CONCAT(CHAR(92),"$")),CHAR(96),_xlfn.CONCAT(CHAR(92),CHAR(96))),CHAR(34),CHAR(39))))</f>
        <v/>
      </c>
      <c r="S942" s="5" t="str">
        <f>IF(OR(TRIM($B942)="",$I942=""),"",IF(OR(ISNUMBER(SEARCH(_xlfn.CONCAT(CHAR(96),CHAR(34)),$I942)),ISNUMBER(SEARCH(_xlfn.CONCAT(CHAR(34),CHAR(39)),$I942))),_xlfn.CONCAT("* REVIEW REQUIRED: compound-quote delimiter in Derivation on Sheet 1 row ",942,"; edit the input before running."),_xlfn.CONCAT("char ",TRIM($B942),"[doc_derivation] ",CHAR(96),CHAR(34),SUBSTITUTE(SUBSTITUTE(SUBSTITUTE(SUBSTITUTE(SUBSTITUTE(SUBSTITUTE($I942,CHAR(13)," "),CHAR(10)," "),CHAR(9)," "),CHAR(92),_xlfn.CONCAT(CHAR(92),CHAR(92))),"$",_xlfn.CONCAT(CHAR(92),"$")),CHAR(96),_xlfn.CONCAT(CHAR(92),CHAR(96))),CHAR(34),CHAR(39))))</f>
        <v/>
      </c>
      <c r="T942" s="5" t="str">
        <f>IF(OR(TRIM($B942)="",$J942=""),"",IF(OR(ISNUMBER(SEARCH(_xlfn.CONCAT(CHAR(96),CHAR(34)),$J942)),ISNUMBER(SEARCH(_xlfn.CONCAT(CHAR(34),CHAR(39)),$J942))),_xlfn.CONCAT("* REVIEW REQUIRED: compound-quote delimiter in Notes on Sheet 1 row ",942,"; edit the input before running."),_xlfn.CONCAT("char ",TRIM($B942),"[doc_notes] ",CHAR(96),CHAR(34),SUBSTITUTE(SUBSTITUTE(SUBSTITUTE(SUBSTITUTE(SUBSTITUTE(SUBSTITUTE($J942,CHAR(13)," "),CHAR(10)," "),CHAR(9)," "),CHAR(92),_xlfn.CONCAT(CHAR(92),CHAR(92))),"$",_xlfn.CONCAT(CHAR(92),"$")),CHAR(96),_xlfn.CONCAT(CHAR(92),CHAR(96))),CHAR(34),CHAR(39))))</f>
        <v/>
      </c>
      <c r="U942" s="5">
        <f t="shared" si="29"/>
        <v>0</v>
      </c>
    </row>
    <row r="943" spans="3:21" ht="30" customHeight="1" x14ac:dyDescent="0.2">
      <c r="C943" s="4"/>
      <c r="K943" s="5">
        <f t="shared" si="28"/>
        <v>0</v>
      </c>
      <c r="L943" s="5" t="str">
        <f>IF(OR(TRIM($B943)="",$A943=""),"",IF(OR(ISNUMBER(SEARCH(_xlfn.CONCAT(CHAR(96),CHAR(34)),$A943)),ISNUMBER(SEARCH(_xlfn.CONCAT(CHAR(34),CHAR(39)),$A943))),_xlfn.CONCAT("* REVIEW REQUIRED: compound-quote delimiter in Codebook Section on Sheet 1 row ",943,"; edit the input before running."),_xlfn.CONCAT("char ",TRIM($B943),"[doc_section] ",CHAR(96),CHAR(34),SUBSTITUTE(SUBSTITUTE(SUBSTITUTE(SUBSTITUTE(SUBSTITUTE(SUBSTITUTE($A943,CHAR(13)," "),CHAR(10)," "),CHAR(9)," "),CHAR(92),_xlfn.CONCAT(CHAR(92),CHAR(92))),"$",_xlfn.CONCAT(CHAR(92),"$")),CHAR(96),_xlfn.CONCAT(CHAR(92),CHAR(96))),CHAR(34),CHAR(39))))</f>
        <v/>
      </c>
      <c r="M943" s="5" t="str">
        <f>IF(OR(TRIM($B943)="",$C943=""),"",IF(IFERROR(MATCH(TRIM($C943),{"Quantitative","Continuous","Discrete","Categorical","Nominal","Ordinal","Identifier"},0),0)=0,_xlfn.CONCAT("* REVIEW REQUIRED: invalid Variable Type on Sheet 1 row ",943,"."),_xlfn.CONCAT("char ",TRIM($B943),"[doc_vartype] ",CHAR(96),CHAR(34),SUBSTITUTE(SUBSTITUTE(SUBSTITUTE(SUBSTITUTE(SUBSTITUTE(SUBSTITUTE(LOWER(TRIM($C943)),CHAR(13)," "),CHAR(10)," "),CHAR(9)," "),CHAR(92),_xlfn.CONCAT(CHAR(92),CHAR(92))),"$",_xlfn.CONCAT(CHAR(92),"$")),CHAR(96),_xlfn.CONCAT(CHAR(92),CHAR(96))),CHAR(34),CHAR(39))))</f>
        <v/>
      </c>
      <c r="N943" s="5" t="str">
        <f>IF(OR(TRIM($B943)="",$D943=""),"",IF(OR(ISNUMBER(SEARCH(_xlfn.CONCAT(CHAR(96),CHAR(34)),$D943)),ISNUMBER(SEARCH(_xlfn.CONCAT(CHAR(34),CHAR(39)),$D943))),_xlfn.CONCAT("* REVIEW REQUIRED: compound-quote delimiter in Item Number on Sheet 1 row ",943,"; edit the input before running."),_xlfn.CONCAT("char ",TRIM($B943),"[doc_itemnum] ",CHAR(96),CHAR(34),SUBSTITUTE(SUBSTITUTE(SUBSTITUTE(SUBSTITUTE(SUBSTITUTE(SUBSTITUTE($D943,CHAR(13)," "),CHAR(10)," "),CHAR(9)," "),CHAR(92),_xlfn.CONCAT(CHAR(92),CHAR(92))),"$",_xlfn.CONCAT(CHAR(92),"$")),CHAR(96),_xlfn.CONCAT(CHAR(92),CHAR(96))),CHAR(34),CHAR(39))))</f>
        <v/>
      </c>
      <c r="O943" s="5" t="str">
        <f>IF(OR(TRIM($B943)="",$E943=""),"",IF(OR(ISNUMBER(SEARCH(_xlfn.CONCAT(CHAR(96),CHAR(34)),$E943)),ISNUMBER(SEARCH(_xlfn.CONCAT(CHAR(34),CHAR(39)),$E943))),_xlfn.CONCAT("* REVIEW REQUIRED: compound-quote delimiter in Question Wording on Sheet 1 row ",943,"; edit the input before running."),_xlfn.CONCAT("char ",TRIM($B943),"[doc_question] ",CHAR(96),CHAR(34),SUBSTITUTE(SUBSTITUTE(SUBSTITUTE(SUBSTITUTE(SUBSTITUTE(SUBSTITUTE($E943,CHAR(13)," "),CHAR(10)," "),CHAR(9)," "),CHAR(92),_xlfn.CONCAT(CHAR(92),CHAR(92))),"$",_xlfn.CONCAT(CHAR(92),"$")),CHAR(96),_xlfn.CONCAT(CHAR(92),CHAR(96))),CHAR(34),CHAR(39))))</f>
        <v/>
      </c>
      <c r="P943" s="5" t="str">
        <f>IF(OR(TRIM($B943)="",$F943=""),"",IF(OR(ISNUMBER(SEARCH(_xlfn.CONCAT(CHAR(96),CHAR(34)),$F943)),ISNUMBER(SEARCH(_xlfn.CONCAT(CHAR(34),CHAR(39)),$F943))),_xlfn.CONCAT("* REVIEW REQUIRED: compound-quote delimiter in Units on Sheet 1 row ",943,"; edit the input before running."),_xlfn.CONCAT("char ",TRIM($B943),"[doc_units] ",CHAR(96),CHAR(34),SUBSTITUTE(SUBSTITUTE(SUBSTITUTE(SUBSTITUTE(SUBSTITUTE(SUBSTITUTE($F943,CHAR(13)," "),CHAR(10)," "),CHAR(9)," "),CHAR(92),_xlfn.CONCAT(CHAR(92),CHAR(92))),"$",_xlfn.CONCAT(CHAR(92),"$")),CHAR(96),_xlfn.CONCAT(CHAR(92),CHAR(96))),CHAR(34),CHAR(39))))</f>
        <v/>
      </c>
      <c r="Q943" s="5" t="str">
        <f>IF(OR(TRIM($B943)="",$G943=""),"",IF(OR(ISNUMBER(SEARCH(_xlfn.CONCAT(CHAR(96),CHAR(34)),$G943)),ISNUMBER(SEARCH(_xlfn.CONCAT(CHAR(34),CHAR(39)),$G943))),_xlfn.CONCAT("* REVIEW REQUIRED: compound-quote delimiter in Universe on Sheet 1 row ",943,"; edit the input before running."),_xlfn.CONCAT("char ",TRIM($B943),"[doc_universe] ",CHAR(96),CHAR(34),SUBSTITUTE(SUBSTITUTE(SUBSTITUTE(SUBSTITUTE(SUBSTITUTE(SUBSTITUTE($G943,CHAR(13)," "),CHAR(10)," "),CHAR(9)," "),CHAR(92),_xlfn.CONCAT(CHAR(92),CHAR(92))),"$",_xlfn.CONCAT(CHAR(92),"$")),CHAR(96),_xlfn.CONCAT(CHAR(92),CHAR(96))),CHAR(34),CHAR(39))))</f>
        <v/>
      </c>
      <c r="R943" s="5" t="str">
        <f>IF(OR(TRIM($B943)="",$H943=""),"",IF(OR(ISNUMBER(SEARCH(_xlfn.CONCAT(CHAR(96),CHAR(34)),$H943)),ISNUMBER(SEARCH(_xlfn.CONCAT(CHAR(34),CHAR(39)),$H943))),_xlfn.CONCAT("* REVIEW REQUIRED: compound-quote delimiter in Source on Sheet 1 row ",943,"; edit the input before running."),_xlfn.CONCAT("char ",TRIM($B943),"[doc_source] ",CHAR(96),CHAR(34),SUBSTITUTE(SUBSTITUTE(SUBSTITUTE(SUBSTITUTE(SUBSTITUTE(SUBSTITUTE($H943,CHAR(13)," "),CHAR(10)," "),CHAR(9)," "),CHAR(92),_xlfn.CONCAT(CHAR(92),CHAR(92))),"$",_xlfn.CONCAT(CHAR(92),"$")),CHAR(96),_xlfn.CONCAT(CHAR(92),CHAR(96))),CHAR(34),CHAR(39))))</f>
        <v/>
      </c>
      <c r="S943" s="5" t="str">
        <f>IF(OR(TRIM($B943)="",$I943=""),"",IF(OR(ISNUMBER(SEARCH(_xlfn.CONCAT(CHAR(96),CHAR(34)),$I943)),ISNUMBER(SEARCH(_xlfn.CONCAT(CHAR(34),CHAR(39)),$I943))),_xlfn.CONCAT("* REVIEW REQUIRED: compound-quote delimiter in Derivation on Sheet 1 row ",943,"; edit the input before running."),_xlfn.CONCAT("char ",TRIM($B943),"[doc_derivation] ",CHAR(96),CHAR(34),SUBSTITUTE(SUBSTITUTE(SUBSTITUTE(SUBSTITUTE(SUBSTITUTE(SUBSTITUTE($I943,CHAR(13)," "),CHAR(10)," "),CHAR(9)," "),CHAR(92),_xlfn.CONCAT(CHAR(92),CHAR(92))),"$",_xlfn.CONCAT(CHAR(92),"$")),CHAR(96),_xlfn.CONCAT(CHAR(92),CHAR(96))),CHAR(34),CHAR(39))))</f>
        <v/>
      </c>
      <c r="T943" s="5" t="str">
        <f>IF(OR(TRIM($B943)="",$J943=""),"",IF(OR(ISNUMBER(SEARCH(_xlfn.CONCAT(CHAR(96),CHAR(34)),$J943)),ISNUMBER(SEARCH(_xlfn.CONCAT(CHAR(34),CHAR(39)),$J943))),_xlfn.CONCAT("* REVIEW REQUIRED: compound-quote delimiter in Notes on Sheet 1 row ",943,"; edit the input before running."),_xlfn.CONCAT("char ",TRIM($B943),"[doc_notes] ",CHAR(96),CHAR(34),SUBSTITUTE(SUBSTITUTE(SUBSTITUTE(SUBSTITUTE(SUBSTITUTE(SUBSTITUTE($J943,CHAR(13)," "),CHAR(10)," "),CHAR(9)," "),CHAR(92),_xlfn.CONCAT(CHAR(92),CHAR(92))),"$",_xlfn.CONCAT(CHAR(92),"$")),CHAR(96),_xlfn.CONCAT(CHAR(92),CHAR(96))),CHAR(34),CHAR(39))))</f>
        <v/>
      </c>
      <c r="U943" s="5">
        <f t="shared" si="29"/>
        <v>0</v>
      </c>
    </row>
    <row r="944" spans="3:21" ht="30" customHeight="1" x14ac:dyDescent="0.2">
      <c r="C944" s="4"/>
      <c r="K944" s="5">
        <f t="shared" si="28"/>
        <v>0</v>
      </c>
      <c r="L944" s="5" t="str">
        <f>IF(OR(TRIM($B944)="",$A944=""),"",IF(OR(ISNUMBER(SEARCH(_xlfn.CONCAT(CHAR(96),CHAR(34)),$A944)),ISNUMBER(SEARCH(_xlfn.CONCAT(CHAR(34),CHAR(39)),$A944))),_xlfn.CONCAT("* REVIEW REQUIRED: compound-quote delimiter in Codebook Section on Sheet 1 row ",944,"; edit the input before running."),_xlfn.CONCAT("char ",TRIM($B944),"[doc_section] ",CHAR(96),CHAR(34),SUBSTITUTE(SUBSTITUTE(SUBSTITUTE(SUBSTITUTE(SUBSTITUTE(SUBSTITUTE($A944,CHAR(13)," "),CHAR(10)," "),CHAR(9)," "),CHAR(92),_xlfn.CONCAT(CHAR(92),CHAR(92))),"$",_xlfn.CONCAT(CHAR(92),"$")),CHAR(96),_xlfn.CONCAT(CHAR(92),CHAR(96))),CHAR(34),CHAR(39))))</f>
        <v/>
      </c>
      <c r="M944" s="5" t="str">
        <f>IF(OR(TRIM($B944)="",$C944=""),"",IF(IFERROR(MATCH(TRIM($C944),{"Quantitative","Continuous","Discrete","Categorical","Nominal","Ordinal","Identifier"},0),0)=0,_xlfn.CONCAT("* REVIEW REQUIRED: invalid Variable Type on Sheet 1 row ",944,"."),_xlfn.CONCAT("char ",TRIM($B944),"[doc_vartype] ",CHAR(96),CHAR(34),SUBSTITUTE(SUBSTITUTE(SUBSTITUTE(SUBSTITUTE(SUBSTITUTE(SUBSTITUTE(LOWER(TRIM($C944)),CHAR(13)," "),CHAR(10)," "),CHAR(9)," "),CHAR(92),_xlfn.CONCAT(CHAR(92),CHAR(92))),"$",_xlfn.CONCAT(CHAR(92),"$")),CHAR(96),_xlfn.CONCAT(CHAR(92),CHAR(96))),CHAR(34),CHAR(39))))</f>
        <v/>
      </c>
      <c r="N944" s="5" t="str">
        <f>IF(OR(TRIM($B944)="",$D944=""),"",IF(OR(ISNUMBER(SEARCH(_xlfn.CONCAT(CHAR(96),CHAR(34)),$D944)),ISNUMBER(SEARCH(_xlfn.CONCAT(CHAR(34),CHAR(39)),$D944))),_xlfn.CONCAT("* REVIEW REQUIRED: compound-quote delimiter in Item Number on Sheet 1 row ",944,"; edit the input before running."),_xlfn.CONCAT("char ",TRIM($B944),"[doc_itemnum] ",CHAR(96),CHAR(34),SUBSTITUTE(SUBSTITUTE(SUBSTITUTE(SUBSTITUTE(SUBSTITUTE(SUBSTITUTE($D944,CHAR(13)," "),CHAR(10)," "),CHAR(9)," "),CHAR(92),_xlfn.CONCAT(CHAR(92),CHAR(92))),"$",_xlfn.CONCAT(CHAR(92),"$")),CHAR(96),_xlfn.CONCAT(CHAR(92),CHAR(96))),CHAR(34),CHAR(39))))</f>
        <v/>
      </c>
      <c r="O944" s="5" t="str">
        <f>IF(OR(TRIM($B944)="",$E944=""),"",IF(OR(ISNUMBER(SEARCH(_xlfn.CONCAT(CHAR(96),CHAR(34)),$E944)),ISNUMBER(SEARCH(_xlfn.CONCAT(CHAR(34),CHAR(39)),$E944))),_xlfn.CONCAT("* REVIEW REQUIRED: compound-quote delimiter in Question Wording on Sheet 1 row ",944,"; edit the input before running."),_xlfn.CONCAT("char ",TRIM($B944),"[doc_question] ",CHAR(96),CHAR(34),SUBSTITUTE(SUBSTITUTE(SUBSTITUTE(SUBSTITUTE(SUBSTITUTE(SUBSTITUTE($E944,CHAR(13)," "),CHAR(10)," "),CHAR(9)," "),CHAR(92),_xlfn.CONCAT(CHAR(92),CHAR(92))),"$",_xlfn.CONCAT(CHAR(92),"$")),CHAR(96),_xlfn.CONCAT(CHAR(92),CHAR(96))),CHAR(34),CHAR(39))))</f>
        <v/>
      </c>
      <c r="P944" s="5" t="str">
        <f>IF(OR(TRIM($B944)="",$F944=""),"",IF(OR(ISNUMBER(SEARCH(_xlfn.CONCAT(CHAR(96),CHAR(34)),$F944)),ISNUMBER(SEARCH(_xlfn.CONCAT(CHAR(34),CHAR(39)),$F944))),_xlfn.CONCAT("* REVIEW REQUIRED: compound-quote delimiter in Units on Sheet 1 row ",944,"; edit the input before running."),_xlfn.CONCAT("char ",TRIM($B944),"[doc_units] ",CHAR(96),CHAR(34),SUBSTITUTE(SUBSTITUTE(SUBSTITUTE(SUBSTITUTE(SUBSTITUTE(SUBSTITUTE($F944,CHAR(13)," "),CHAR(10)," "),CHAR(9)," "),CHAR(92),_xlfn.CONCAT(CHAR(92),CHAR(92))),"$",_xlfn.CONCAT(CHAR(92),"$")),CHAR(96),_xlfn.CONCAT(CHAR(92),CHAR(96))),CHAR(34),CHAR(39))))</f>
        <v/>
      </c>
      <c r="Q944" s="5" t="str">
        <f>IF(OR(TRIM($B944)="",$G944=""),"",IF(OR(ISNUMBER(SEARCH(_xlfn.CONCAT(CHAR(96),CHAR(34)),$G944)),ISNUMBER(SEARCH(_xlfn.CONCAT(CHAR(34),CHAR(39)),$G944))),_xlfn.CONCAT("* REVIEW REQUIRED: compound-quote delimiter in Universe on Sheet 1 row ",944,"; edit the input before running."),_xlfn.CONCAT("char ",TRIM($B944),"[doc_universe] ",CHAR(96),CHAR(34),SUBSTITUTE(SUBSTITUTE(SUBSTITUTE(SUBSTITUTE(SUBSTITUTE(SUBSTITUTE($G944,CHAR(13)," "),CHAR(10)," "),CHAR(9)," "),CHAR(92),_xlfn.CONCAT(CHAR(92),CHAR(92))),"$",_xlfn.CONCAT(CHAR(92),"$")),CHAR(96),_xlfn.CONCAT(CHAR(92),CHAR(96))),CHAR(34),CHAR(39))))</f>
        <v/>
      </c>
      <c r="R944" s="5" t="str">
        <f>IF(OR(TRIM($B944)="",$H944=""),"",IF(OR(ISNUMBER(SEARCH(_xlfn.CONCAT(CHAR(96),CHAR(34)),$H944)),ISNUMBER(SEARCH(_xlfn.CONCAT(CHAR(34),CHAR(39)),$H944))),_xlfn.CONCAT("* REVIEW REQUIRED: compound-quote delimiter in Source on Sheet 1 row ",944,"; edit the input before running."),_xlfn.CONCAT("char ",TRIM($B944),"[doc_source] ",CHAR(96),CHAR(34),SUBSTITUTE(SUBSTITUTE(SUBSTITUTE(SUBSTITUTE(SUBSTITUTE(SUBSTITUTE($H944,CHAR(13)," "),CHAR(10)," "),CHAR(9)," "),CHAR(92),_xlfn.CONCAT(CHAR(92),CHAR(92))),"$",_xlfn.CONCAT(CHAR(92),"$")),CHAR(96),_xlfn.CONCAT(CHAR(92),CHAR(96))),CHAR(34),CHAR(39))))</f>
        <v/>
      </c>
      <c r="S944" s="5" t="str">
        <f>IF(OR(TRIM($B944)="",$I944=""),"",IF(OR(ISNUMBER(SEARCH(_xlfn.CONCAT(CHAR(96),CHAR(34)),$I944)),ISNUMBER(SEARCH(_xlfn.CONCAT(CHAR(34),CHAR(39)),$I944))),_xlfn.CONCAT("* REVIEW REQUIRED: compound-quote delimiter in Derivation on Sheet 1 row ",944,"; edit the input before running."),_xlfn.CONCAT("char ",TRIM($B944),"[doc_derivation] ",CHAR(96),CHAR(34),SUBSTITUTE(SUBSTITUTE(SUBSTITUTE(SUBSTITUTE(SUBSTITUTE(SUBSTITUTE($I944,CHAR(13)," "),CHAR(10)," "),CHAR(9)," "),CHAR(92),_xlfn.CONCAT(CHAR(92),CHAR(92))),"$",_xlfn.CONCAT(CHAR(92),"$")),CHAR(96),_xlfn.CONCAT(CHAR(92),CHAR(96))),CHAR(34),CHAR(39))))</f>
        <v/>
      </c>
      <c r="T944" s="5" t="str">
        <f>IF(OR(TRIM($B944)="",$J944=""),"",IF(OR(ISNUMBER(SEARCH(_xlfn.CONCAT(CHAR(96),CHAR(34)),$J944)),ISNUMBER(SEARCH(_xlfn.CONCAT(CHAR(34),CHAR(39)),$J944))),_xlfn.CONCAT("* REVIEW REQUIRED: compound-quote delimiter in Notes on Sheet 1 row ",944,"; edit the input before running."),_xlfn.CONCAT("char ",TRIM($B944),"[doc_notes] ",CHAR(96),CHAR(34),SUBSTITUTE(SUBSTITUTE(SUBSTITUTE(SUBSTITUTE(SUBSTITUTE(SUBSTITUTE($J944,CHAR(13)," "),CHAR(10)," "),CHAR(9)," "),CHAR(92),_xlfn.CONCAT(CHAR(92),CHAR(92))),"$",_xlfn.CONCAT(CHAR(92),"$")),CHAR(96),_xlfn.CONCAT(CHAR(92),CHAR(96))),CHAR(34),CHAR(39))))</f>
        <v/>
      </c>
      <c r="U944" s="5">
        <f t="shared" si="29"/>
        <v>0</v>
      </c>
    </row>
    <row r="945" spans="3:21" ht="30" customHeight="1" x14ac:dyDescent="0.2">
      <c r="C945" s="4"/>
      <c r="K945" s="5">
        <f t="shared" si="28"/>
        <v>0</v>
      </c>
      <c r="L945" s="5" t="str">
        <f>IF(OR(TRIM($B945)="",$A945=""),"",IF(OR(ISNUMBER(SEARCH(_xlfn.CONCAT(CHAR(96),CHAR(34)),$A945)),ISNUMBER(SEARCH(_xlfn.CONCAT(CHAR(34),CHAR(39)),$A945))),_xlfn.CONCAT("* REVIEW REQUIRED: compound-quote delimiter in Codebook Section on Sheet 1 row ",945,"; edit the input before running."),_xlfn.CONCAT("char ",TRIM($B945),"[doc_section] ",CHAR(96),CHAR(34),SUBSTITUTE(SUBSTITUTE(SUBSTITUTE(SUBSTITUTE(SUBSTITUTE(SUBSTITUTE($A945,CHAR(13)," "),CHAR(10)," "),CHAR(9)," "),CHAR(92),_xlfn.CONCAT(CHAR(92),CHAR(92))),"$",_xlfn.CONCAT(CHAR(92),"$")),CHAR(96),_xlfn.CONCAT(CHAR(92),CHAR(96))),CHAR(34),CHAR(39))))</f>
        <v/>
      </c>
      <c r="M945" s="5" t="str">
        <f>IF(OR(TRIM($B945)="",$C945=""),"",IF(IFERROR(MATCH(TRIM($C945),{"Quantitative","Continuous","Discrete","Categorical","Nominal","Ordinal","Identifier"},0),0)=0,_xlfn.CONCAT("* REVIEW REQUIRED: invalid Variable Type on Sheet 1 row ",945,"."),_xlfn.CONCAT("char ",TRIM($B945),"[doc_vartype] ",CHAR(96),CHAR(34),SUBSTITUTE(SUBSTITUTE(SUBSTITUTE(SUBSTITUTE(SUBSTITUTE(SUBSTITUTE(LOWER(TRIM($C945)),CHAR(13)," "),CHAR(10)," "),CHAR(9)," "),CHAR(92),_xlfn.CONCAT(CHAR(92),CHAR(92))),"$",_xlfn.CONCAT(CHAR(92),"$")),CHAR(96),_xlfn.CONCAT(CHAR(92),CHAR(96))),CHAR(34),CHAR(39))))</f>
        <v/>
      </c>
      <c r="N945" s="5" t="str">
        <f>IF(OR(TRIM($B945)="",$D945=""),"",IF(OR(ISNUMBER(SEARCH(_xlfn.CONCAT(CHAR(96),CHAR(34)),$D945)),ISNUMBER(SEARCH(_xlfn.CONCAT(CHAR(34),CHAR(39)),$D945))),_xlfn.CONCAT("* REVIEW REQUIRED: compound-quote delimiter in Item Number on Sheet 1 row ",945,"; edit the input before running."),_xlfn.CONCAT("char ",TRIM($B945),"[doc_itemnum] ",CHAR(96),CHAR(34),SUBSTITUTE(SUBSTITUTE(SUBSTITUTE(SUBSTITUTE(SUBSTITUTE(SUBSTITUTE($D945,CHAR(13)," "),CHAR(10)," "),CHAR(9)," "),CHAR(92),_xlfn.CONCAT(CHAR(92),CHAR(92))),"$",_xlfn.CONCAT(CHAR(92),"$")),CHAR(96),_xlfn.CONCAT(CHAR(92),CHAR(96))),CHAR(34),CHAR(39))))</f>
        <v/>
      </c>
      <c r="O945" s="5" t="str">
        <f>IF(OR(TRIM($B945)="",$E945=""),"",IF(OR(ISNUMBER(SEARCH(_xlfn.CONCAT(CHAR(96),CHAR(34)),$E945)),ISNUMBER(SEARCH(_xlfn.CONCAT(CHAR(34),CHAR(39)),$E945))),_xlfn.CONCAT("* REVIEW REQUIRED: compound-quote delimiter in Question Wording on Sheet 1 row ",945,"; edit the input before running."),_xlfn.CONCAT("char ",TRIM($B945),"[doc_question] ",CHAR(96),CHAR(34),SUBSTITUTE(SUBSTITUTE(SUBSTITUTE(SUBSTITUTE(SUBSTITUTE(SUBSTITUTE($E945,CHAR(13)," "),CHAR(10)," "),CHAR(9)," "),CHAR(92),_xlfn.CONCAT(CHAR(92),CHAR(92))),"$",_xlfn.CONCAT(CHAR(92),"$")),CHAR(96),_xlfn.CONCAT(CHAR(92),CHAR(96))),CHAR(34),CHAR(39))))</f>
        <v/>
      </c>
      <c r="P945" s="5" t="str">
        <f>IF(OR(TRIM($B945)="",$F945=""),"",IF(OR(ISNUMBER(SEARCH(_xlfn.CONCAT(CHAR(96),CHAR(34)),$F945)),ISNUMBER(SEARCH(_xlfn.CONCAT(CHAR(34),CHAR(39)),$F945))),_xlfn.CONCAT("* REVIEW REQUIRED: compound-quote delimiter in Units on Sheet 1 row ",945,"; edit the input before running."),_xlfn.CONCAT("char ",TRIM($B945),"[doc_units] ",CHAR(96),CHAR(34),SUBSTITUTE(SUBSTITUTE(SUBSTITUTE(SUBSTITUTE(SUBSTITUTE(SUBSTITUTE($F945,CHAR(13)," "),CHAR(10)," "),CHAR(9)," "),CHAR(92),_xlfn.CONCAT(CHAR(92),CHAR(92))),"$",_xlfn.CONCAT(CHAR(92),"$")),CHAR(96),_xlfn.CONCAT(CHAR(92),CHAR(96))),CHAR(34),CHAR(39))))</f>
        <v/>
      </c>
      <c r="Q945" s="5" t="str">
        <f>IF(OR(TRIM($B945)="",$G945=""),"",IF(OR(ISNUMBER(SEARCH(_xlfn.CONCAT(CHAR(96),CHAR(34)),$G945)),ISNUMBER(SEARCH(_xlfn.CONCAT(CHAR(34),CHAR(39)),$G945))),_xlfn.CONCAT("* REVIEW REQUIRED: compound-quote delimiter in Universe on Sheet 1 row ",945,"; edit the input before running."),_xlfn.CONCAT("char ",TRIM($B945),"[doc_universe] ",CHAR(96),CHAR(34),SUBSTITUTE(SUBSTITUTE(SUBSTITUTE(SUBSTITUTE(SUBSTITUTE(SUBSTITUTE($G945,CHAR(13)," "),CHAR(10)," "),CHAR(9)," "),CHAR(92),_xlfn.CONCAT(CHAR(92),CHAR(92))),"$",_xlfn.CONCAT(CHAR(92),"$")),CHAR(96),_xlfn.CONCAT(CHAR(92),CHAR(96))),CHAR(34),CHAR(39))))</f>
        <v/>
      </c>
      <c r="R945" s="5" t="str">
        <f>IF(OR(TRIM($B945)="",$H945=""),"",IF(OR(ISNUMBER(SEARCH(_xlfn.CONCAT(CHAR(96),CHAR(34)),$H945)),ISNUMBER(SEARCH(_xlfn.CONCAT(CHAR(34),CHAR(39)),$H945))),_xlfn.CONCAT("* REVIEW REQUIRED: compound-quote delimiter in Source on Sheet 1 row ",945,"; edit the input before running."),_xlfn.CONCAT("char ",TRIM($B945),"[doc_source] ",CHAR(96),CHAR(34),SUBSTITUTE(SUBSTITUTE(SUBSTITUTE(SUBSTITUTE(SUBSTITUTE(SUBSTITUTE($H945,CHAR(13)," "),CHAR(10)," "),CHAR(9)," "),CHAR(92),_xlfn.CONCAT(CHAR(92),CHAR(92))),"$",_xlfn.CONCAT(CHAR(92),"$")),CHAR(96),_xlfn.CONCAT(CHAR(92),CHAR(96))),CHAR(34),CHAR(39))))</f>
        <v/>
      </c>
      <c r="S945" s="5" t="str">
        <f>IF(OR(TRIM($B945)="",$I945=""),"",IF(OR(ISNUMBER(SEARCH(_xlfn.CONCAT(CHAR(96),CHAR(34)),$I945)),ISNUMBER(SEARCH(_xlfn.CONCAT(CHAR(34),CHAR(39)),$I945))),_xlfn.CONCAT("* REVIEW REQUIRED: compound-quote delimiter in Derivation on Sheet 1 row ",945,"; edit the input before running."),_xlfn.CONCAT("char ",TRIM($B945),"[doc_derivation] ",CHAR(96),CHAR(34),SUBSTITUTE(SUBSTITUTE(SUBSTITUTE(SUBSTITUTE(SUBSTITUTE(SUBSTITUTE($I945,CHAR(13)," "),CHAR(10)," "),CHAR(9)," "),CHAR(92),_xlfn.CONCAT(CHAR(92),CHAR(92))),"$",_xlfn.CONCAT(CHAR(92),"$")),CHAR(96),_xlfn.CONCAT(CHAR(92),CHAR(96))),CHAR(34),CHAR(39))))</f>
        <v/>
      </c>
      <c r="T945" s="5" t="str">
        <f>IF(OR(TRIM($B945)="",$J945=""),"",IF(OR(ISNUMBER(SEARCH(_xlfn.CONCAT(CHAR(96),CHAR(34)),$J945)),ISNUMBER(SEARCH(_xlfn.CONCAT(CHAR(34),CHAR(39)),$J945))),_xlfn.CONCAT("* REVIEW REQUIRED: compound-quote delimiter in Notes on Sheet 1 row ",945,"; edit the input before running."),_xlfn.CONCAT("char ",TRIM($B945),"[doc_notes] ",CHAR(96),CHAR(34),SUBSTITUTE(SUBSTITUTE(SUBSTITUTE(SUBSTITUTE(SUBSTITUTE(SUBSTITUTE($J945,CHAR(13)," "),CHAR(10)," "),CHAR(9)," "),CHAR(92),_xlfn.CONCAT(CHAR(92),CHAR(92))),"$",_xlfn.CONCAT(CHAR(92),"$")),CHAR(96),_xlfn.CONCAT(CHAR(92),CHAR(96))),CHAR(34),CHAR(39))))</f>
        <v/>
      </c>
      <c r="U945" s="5">
        <f t="shared" si="29"/>
        <v>0</v>
      </c>
    </row>
    <row r="946" spans="3:21" ht="30" customHeight="1" x14ac:dyDescent="0.2">
      <c r="C946" s="4"/>
      <c r="K946" s="5">
        <f t="shared" si="28"/>
        <v>0</v>
      </c>
      <c r="L946" s="5" t="str">
        <f>IF(OR(TRIM($B946)="",$A946=""),"",IF(OR(ISNUMBER(SEARCH(_xlfn.CONCAT(CHAR(96),CHAR(34)),$A946)),ISNUMBER(SEARCH(_xlfn.CONCAT(CHAR(34),CHAR(39)),$A946))),_xlfn.CONCAT("* REVIEW REQUIRED: compound-quote delimiter in Codebook Section on Sheet 1 row ",946,"; edit the input before running."),_xlfn.CONCAT("char ",TRIM($B946),"[doc_section] ",CHAR(96),CHAR(34),SUBSTITUTE(SUBSTITUTE(SUBSTITUTE(SUBSTITUTE(SUBSTITUTE(SUBSTITUTE($A946,CHAR(13)," "),CHAR(10)," "),CHAR(9)," "),CHAR(92),_xlfn.CONCAT(CHAR(92),CHAR(92))),"$",_xlfn.CONCAT(CHAR(92),"$")),CHAR(96),_xlfn.CONCAT(CHAR(92),CHAR(96))),CHAR(34),CHAR(39))))</f>
        <v/>
      </c>
      <c r="M946" s="5" t="str">
        <f>IF(OR(TRIM($B946)="",$C946=""),"",IF(IFERROR(MATCH(TRIM($C946),{"Quantitative","Continuous","Discrete","Categorical","Nominal","Ordinal","Identifier"},0),0)=0,_xlfn.CONCAT("* REVIEW REQUIRED: invalid Variable Type on Sheet 1 row ",946,"."),_xlfn.CONCAT("char ",TRIM($B946),"[doc_vartype] ",CHAR(96),CHAR(34),SUBSTITUTE(SUBSTITUTE(SUBSTITUTE(SUBSTITUTE(SUBSTITUTE(SUBSTITUTE(LOWER(TRIM($C946)),CHAR(13)," "),CHAR(10)," "),CHAR(9)," "),CHAR(92),_xlfn.CONCAT(CHAR(92),CHAR(92))),"$",_xlfn.CONCAT(CHAR(92),"$")),CHAR(96),_xlfn.CONCAT(CHAR(92),CHAR(96))),CHAR(34),CHAR(39))))</f>
        <v/>
      </c>
      <c r="N946" s="5" t="str">
        <f>IF(OR(TRIM($B946)="",$D946=""),"",IF(OR(ISNUMBER(SEARCH(_xlfn.CONCAT(CHAR(96),CHAR(34)),$D946)),ISNUMBER(SEARCH(_xlfn.CONCAT(CHAR(34),CHAR(39)),$D946))),_xlfn.CONCAT("* REVIEW REQUIRED: compound-quote delimiter in Item Number on Sheet 1 row ",946,"; edit the input before running."),_xlfn.CONCAT("char ",TRIM($B946),"[doc_itemnum] ",CHAR(96),CHAR(34),SUBSTITUTE(SUBSTITUTE(SUBSTITUTE(SUBSTITUTE(SUBSTITUTE(SUBSTITUTE($D946,CHAR(13)," "),CHAR(10)," "),CHAR(9)," "),CHAR(92),_xlfn.CONCAT(CHAR(92),CHAR(92))),"$",_xlfn.CONCAT(CHAR(92),"$")),CHAR(96),_xlfn.CONCAT(CHAR(92),CHAR(96))),CHAR(34),CHAR(39))))</f>
        <v/>
      </c>
      <c r="O946" s="5" t="str">
        <f>IF(OR(TRIM($B946)="",$E946=""),"",IF(OR(ISNUMBER(SEARCH(_xlfn.CONCAT(CHAR(96),CHAR(34)),$E946)),ISNUMBER(SEARCH(_xlfn.CONCAT(CHAR(34),CHAR(39)),$E946))),_xlfn.CONCAT("* REVIEW REQUIRED: compound-quote delimiter in Question Wording on Sheet 1 row ",946,"; edit the input before running."),_xlfn.CONCAT("char ",TRIM($B946),"[doc_question] ",CHAR(96),CHAR(34),SUBSTITUTE(SUBSTITUTE(SUBSTITUTE(SUBSTITUTE(SUBSTITUTE(SUBSTITUTE($E946,CHAR(13)," "),CHAR(10)," "),CHAR(9)," "),CHAR(92),_xlfn.CONCAT(CHAR(92),CHAR(92))),"$",_xlfn.CONCAT(CHAR(92),"$")),CHAR(96),_xlfn.CONCAT(CHAR(92),CHAR(96))),CHAR(34),CHAR(39))))</f>
        <v/>
      </c>
      <c r="P946" s="5" t="str">
        <f>IF(OR(TRIM($B946)="",$F946=""),"",IF(OR(ISNUMBER(SEARCH(_xlfn.CONCAT(CHAR(96),CHAR(34)),$F946)),ISNUMBER(SEARCH(_xlfn.CONCAT(CHAR(34),CHAR(39)),$F946))),_xlfn.CONCAT("* REVIEW REQUIRED: compound-quote delimiter in Units on Sheet 1 row ",946,"; edit the input before running."),_xlfn.CONCAT("char ",TRIM($B946),"[doc_units] ",CHAR(96),CHAR(34),SUBSTITUTE(SUBSTITUTE(SUBSTITUTE(SUBSTITUTE(SUBSTITUTE(SUBSTITUTE($F946,CHAR(13)," "),CHAR(10)," "),CHAR(9)," "),CHAR(92),_xlfn.CONCAT(CHAR(92),CHAR(92))),"$",_xlfn.CONCAT(CHAR(92),"$")),CHAR(96),_xlfn.CONCAT(CHAR(92),CHAR(96))),CHAR(34),CHAR(39))))</f>
        <v/>
      </c>
      <c r="Q946" s="5" t="str">
        <f>IF(OR(TRIM($B946)="",$G946=""),"",IF(OR(ISNUMBER(SEARCH(_xlfn.CONCAT(CHAR(96),CHAR(34)),$G946)),ISNUMBER(SEARCH(_xlfn.CONCAT(CHAR(34),CHAR(39)),$G946))),_xlfn.CONCAT("* REVIEW REQUIRED: compound-quote delimiter in Universe on Sheet 1 row ",946,"; edit the input before running."),_xlfn.CONCAT("char ",TRIM($B946),"[doc_universe] ",CHAR(96),CHAR(34),SUBSTITUTE(SUBSTITUTE(SUBSTITUTE(SUBSTITUTE(SUBSTITUTE(SUBSTITUTE($G946,CHAR(13)," "),CHAR(10)," "),CHAR(9)," "),CHAR(92),_xlfn.CONCAT(CHAR(92),CHAR(92))),"$",_xlfn.CONCAT(CHAR(92),"$")),CHAR(96),_xlfn.CONCAT(CHAR(92),CHAR(96))),CHAR(34),CHAR(39))))</f>
        <v/>
      </c>
      <c r="R946" s="5" t="str">
        <f>IF(OR(TRIM($B946)="",$H946=""),"",IF(OR(ISNUMBER(SEARCH(_xlfn.CONCAT(CHAR(96),CHAR(34)),$H946)),ISNUMBER(SEARCH(_xlfn.CONCAT(CHAR(34),CHAR(39)),$H946))),_xlfn.CONCAT("* REVIEW REQUIRED: compound-quote delimiter in Source on Sheet 1 row ",946,"; edit the input before running."),_xlfn.CONCAT("char ",TRIM($B946),"[doc_source] ",CHAR(96),CHAR(34),SUBSTITUTE(SUBSTITUTE(SUBSTITUTE(SUBSTITUTE(SUBSTITUTE(SUBSTITUTE($H946,CHAR(13)," "),CHAR(10)," "),CHAR(9)," "),CHAR(92),_xlfn.CONCAT(CHAR(92),CHAR(92))),"$",_xlfn.CONCAT(CHAR(92),"$")),CHAR(96),_xlfn.CONCAT(CHAR(92),CHAR(96))),CHAR(34),CHAR(39))))</f>
        <v/>
      </c>
      <c r="S946" s="5" t="str">
        <f>IF(OR(TRIM($B946)="",$I946=""),"",IF(OR(ISNUMBER(SEARCH(_xlfn.CONCAT(CHAR(96),CHAR(34)),$I946)),ISNUMBER(SEARCH(_xlfn.CONCAT(CHAR(34),CHAR(39)),$I946))),_xlfn.CONCAT("* REVIEW REQUIRED: compound-quote delimiter in Derivation on Sheet 1 row ",946,"; edit the input before running."),_xlfn.CONCAT("char ",TRIM($B946),"[doc_derivation] ",CHAR(96),CHAR(34),SUBSTITUTE(SUBSTITUTE(SUBSTITUTE(SUBSTITUTE(SUBSTITUTE(SUBSTITUTE($I946,CHAR(13)," "),CHAR(10)," "),CHAR(9)," "),CHAR(92),_xlfn.CONCAT(CHAR(92),CHAR(92))),"$",_xlfn.CONCAT(CHAR(92),"$")),CHAR(96),_xlfn.CONCAT(CHAR(92),CHAR(96))),CHAR(34),CHAR(39))))</f>
        <v/>
      </c>
      <c r="T946" s="5" t="str">
        <f>IF(OR(TRIM($B946)="",$J946=""),"",IF(OR(ISNUMBER(SEARCH(_xlfn.CONCAT(CHAR(96),CHAR(34)),$J946)),ISNUMBER(SEARCH(_xlfn.CONCAT(CHAR(34),CHAR(39)),$J946))),_xlfn.CONCAT("* REVIEW REQUIRED: compound-quote delimiter in Notes on Sheet 1 row ",946,"; edit the input before running."),_xlfn.CONCAT("char ",TRIM($B946),"[doc_notes] ",CHAR(96),CHAR(34),SUBSTITUTE(SUBSTITUTE(SUBSTITUTE(SUBSTITUTE(SUBSTITUTE(SUBSTITUTE($J946,CHAR(13)," "),CHAR(10)," "),CHAR(9)," "),CHAR(92),_xlfn.CONCAT(CHAR(92),CHAR(92))),"$",_xlfn.CONCAT(CHAR(92),"$")),CHAR(96),_xlfn.CONCAT(CHAR(92),CHAR(96))),CHAR(34),CHAR(39))))</f>
        <v/>
      </c>
      <c r="U946" s="5">
        <f t="shared" si="29"/>
        <v>0</v>
      </c>
    </row>
    <row r="947" spans="3:21" ht="30" customHeight="1" x14ac:dyDescent="0.2">
      <c r="C947" s="4"/>
      <c r="K947" s="5">
        <f t="shared" si="28"/>
        <v>0</v>
      </c>
      <c r="L947" s="5" t="str">
        <f>IF(OR(TRIM($B947)="",$A947=""),"",IF(OR(ISNUMBER(SEARCH(_xlfn.CONCAT(CHAR(96),CHAR(34)),$A947)),ISNUMBER(SEARCH(_xlfn.CONCAT(CHAR(34),CHAR(39)),$A947))),_xlfn.CONCAT("* REVIEW REQUIRED: compound-quote delimiter in Codebook Section on Sheet 1 row ",947,"; edit the input before running."),_xlfn.CONCAT("char ",TRIM($B947),"[doc_section] ",CHAR(96),CHAR(34),SUBSTITUTE(SUBSTITUTE(SUBSTITUTE(SUBSTITUTE(SUBSTITUTE(SUBSTITUTE($A947,CHAR(13)," "),CHAR(10)," "),CHAR(9)," "),CHAR(92),_xlfn.CONCAT(CHAR(92),CHAR(92))),"$",_xlfn.CONCAT(CHAR(92),"$")),CHAR(96),_xlfn.CONCAT(CHAR(92),CHAR(96))),CHAR(34),CHAR(39))))</f>
        <v/>
      </c>
      <c r="M947" s="5" t="str">
        <f>IF(OR(TRIM($B947)="",$C947=""),"",IF(IFERROR(MATCH(TRIM($C947),{"Quantitative","Continuous","Discrete","Categorical","Nominal","Ordinal","Identifier"},0),0)=0,_xlfn.CONCAT("* REVIEW REQUIRED: invalid Variable Type on Sheet 1 row ",947,"."),_xlfn.CONCAT("char ",TRIM($B947),"[doc_vartype] ",CHAR(96),CHAR(34),SUBSTITUTE(SUBSTITUTE(SUBSTITUTE(SUBSTITUTE(SUBSTITUTE(SUBSTITUTE(LOWER(TRIM($C947)),CHAR(13)," "),CHAR(10)," "),CHAR(9)," "),CHAR(92),_xlfn.CONCAT(CHAR(92),CHAR(92))),"$",_xlfn.CONCAT(CHAR(92),"$")),CHAR(96),_xlfn.CONCAT(CHAR(92),CHAR(96))),CHAR(34),CHAR(39))))</f>
        <v/>
      </c>
      <c r="N947" s="5" t="str">
        <f>IF(OR(TRIM($B947)="",$D947=""),"",IF(OR(ISNUMBER(SEARCH(_xlfn.CONCAT(CHAR(96),CHAR(34)),$D947)),ISNUMBER(SEARCH(_xlfn.CONCAT(CHAR(34),CHAR(39)),$D947))),_xlfn.CONCAT("* REVIEW REQUIRED: compound-quote delimiter in Item Number on Sheet 1 row ",947,"; edit the input before running."),_xlfn.CONCAT("char ",TRIM($B947),"[doc_itemnum] ",CHAR(96),CHAR(34),SUBSTITUTE(SUBSTITUTE(SUBSTITUTE(SUBSTITUTE(SUBSTITUTE(SUBSTITUTE($D947,CHAR(13)," "),CHAR(10)," "),CHAR(9)," "),CHAR(92),_xlfn.CONCAT(CHAR(92),CHAR(92))),"$",_xlfn.CONCAT(CHAR(92),"$")),CHAR(96),_xlfn.CONCAT(CHAR(92),CHAR(96))),CHAR(34),CHAR(39))))</f>
        <v/>
      </c>
      <c r="O947" s="5" t="str">
        <f>IF(OR(TRIM($B947)="",$E947=""),"",IF(OR(ISNUMBER(SEARCH(_xlfn.CONCAT(CHAR(96),CHAR(34)),$E947)),ISNUMBER(SEARCH(_xlfn.CONCAT(CHAR(34),CHAR(39)),$E947))),_xlfn.CONCAT("* REVIEW REQUIRED: compound-quote delimiter in Question Wording on Sheet 1 row ",947,"; edit the input before running."),_xlfn.CONCAT("char ",TRIM($B947),"[doc_question] ",CHAR(96),CHAR(34),SUBSTITUTE(SUBSTITUTE(SUBSTITUTE(SUBSTITUTE(SUBSTITUTE(SUBSTITUTE($E947,CHAR(13)," "),CHAR(10)," "),CHAR(9)," "),CHAR(92),_xlfn.CONCAT(CHAR(92),CHAR(92))),"$",_xlfn.CONCAT(CHAR(92),"$")),CHAR(96),_xlfn.CONCAT(CHAR(92),CHAR(96))),CHAR(34),CHAR(39))))</f>
        <v/>
      </c>
      <c r="P947" s="5" t="str">
        <f>IF(OR(TRIM($B947)="",$F947=""),"",IF(OR(ISNUMBER(SEARCH(_xlfn.CONCAT(CHAR(96),CHAR(34)),$F947)),ISNUMBER(SEARCH(_xlfn.CONCAT(CHAR(34),CHAR(39)),$F947))),_xlfn.CONCAT("* REVIEW REQUIRED: compound-quote delimiter in Units on Sheet 1 row ",947,"; edit the input before running."),_xlfn.CONCAT("char ",TRIM($B947),"[doc_units] ",CHAR(96),CHAR(34),SUBSTITUTE(SUBSTITUTE(SUBSTITUTE(SUBSTITUTE(SUBSTITUTE(SUBSTITUTE($F947,CHAR(13)," "),CHAR(10)," "),CHAR(9)," "),CHAR(92),_xlfn.CONCAT(CHAR(92),CHAR(92))),"$",_xlfn.CONCAT(CHAR(92),"$")),CHAR(96),_xlfn.CONCAT(CHAR(92),CHAR(96))),CHAR(34),CHAR(39))))</f>
        <v/>
      </c>
      <c r="Q947" s="5" t="str">
        <f>IF(OR(TRIM($B947)="",$G947=""),"",IF(OR(ISNUMBER(SEARCH(_xlfn.CONCAT(CHAR(96),CHAR(34)),$G947)),ISNUMBER(SEARCH(_xlfn.CONCAT(CHAR(34),CHAR(39)),$G947))),_xlfn.CONCAT("* REVIEW REQUIRED: compound-quote delimiter in Universe on Sheet 1 row ",947,"; edit the input before running."),_xlfn.CONCAT("char ",TRIM($B947),"[doc_universe] ",CHAR(96),CHAR(34),SUBSTITUTE(SUBSTITUTE(SUBSTITUTE(SUBSTITUTE(SUBSTITUTE(SUBSTITUTE($G947,CHAR(13)," "),CHAR(10)," "),CHAR(9)," "),CHAR(92),_xlfn.CONCAT(CHAR(92),CHAR(92))),"$",_xlfn.CONCAT(CHAR(92),"$")),CHAR(96),_xlfn.CONCAT(CHAR(92),CHAR(96))),CHAR(34),CHAR(39))))</f>
        <v/>
      </c>
      <c r="R947" s="5" t="str">
        <f>IF(OR(TRIM($B947)="",$H947=""),"",IF(OR(ISNUMBER(SEARCH(_xlfn.CONCAT(CHAR(96),CHAR(34)),$H947)),ISNUMBER(SEARCH(_xlfn.CONCAT(CHAR(34),CHAR(39)),$H947))),_xlfn.CONCAT("* REVIEW REQUIRED: compound-quote delimiter in Source on Sheet 1 row ",947,"; edit the input before running."),_xlfn.CONCAT("char ",TRIM($B947),"[doc_source] ",CHAR(96),CHAR(34),SUBSTITUTE(SUBSTITUTE(SUBSTITUTE(SUBSTITUTE(SUBSTITUTE(SUBSTITUTE($H947,CHAR(13)," "),CHAR(10)," "),CHAR(9)," "),CHAR(92),_xlfn.CONCAT(CHAR(92),CHAR(92))),"$",_xlfn.CONCAT(CHAR(92),"$")),CHAR(96),_xlfn.CONCAT(CHAR(92),CHAR(96))),CHAR(34),CHAR(39))))</f>
        <v/>
      </c>
      <c r="S947" s="5" t="str">
        <f>IF(OR(TRIM($B947)="",$I947=""),"",IF(OR(ISNUMBER(SEARCH(_xlfn.CONCAT(CHAR(96),CHAR(34)),$I947)),ISNUMBER(SEARCH(_xlfn.CONCAT(CHAR(34),CHAR(39)),$I947))),_xlfn.CONCAT("* REVIEW REQUIRED: compound-quote delimiter in Derivation on Sheet 1 row ",947,"; edit the input before running."),_xlfn.CONCAT("char ",TRIM($B947),"[doc_derivation] ",CHAR(96),CHAR(34),SUBSTITUTE(SUBSTITUTE(SUBSTITUTE(SUBSTITUTE(SUBSTITUTE(SUBSTITUTE($I947,CHAR(13)," "),CHAR(10)," "),CHAR(9)," "),CHAR(92),_xlfn.CONCAT(CHAR(92),CHAR(92))),"$",_xlfn.CONCAT(CHAR(92),"$")),CHAR(96),_xlfn.CONCAT(CHAR(92),CHAR(96))),CHAR(34),CHAR(39))))</f>
        <v/>
      </c>
      <c r="T947" s="5" t="str">
        <f>IF(OR(TRIM($B947)="",$J947=""),"",IF(OR(ISNUMBER(SEARCH(_xlfn.CONCAT(CHAR(96),CHAR(34)),$J947)),ISNUMBER(SEARCH(_xlfn.CONCAT(CHAR(34),CHAR(39)),$J947))),_xlfn.CONCAT("* REVIEW REQUIRED: compound-quote delimiter in Notes on Sheet 1 row ",947,"; edit the input before running."),_xlfn.CONCAT("char ",TRIM($B947),"[doc_notes] ",CHAR(96),CHAR(34),SUBSTITUTE(SUBSTITUTE(SUBSTITUTE(SUBSTITUTE(SUBSTITUTE(SUBSTITUTE($J947,CHAR(13)," "),CHAR(10)," "),CHAR(9)," "),CHAR(92),_xlfn.CONCAT(CHAR(92),CHAR(92))),"$",_xlfn.CONCAT(CHAR(92),"$")),CHAR(96),_xlfn.CONCAT(CHAR(92),CHAR(96))),CHAR(34),CHAR(39))))</f>
        <v/>
      </c>
      <c r="U947" s="5">
        <f t="shared" si="29"/>
        <v>0</v>
      </c>
    </row>
    <row r="948" spans="3:21" ht="30" customHeight="1" x14ac:dyDescent="0.2">
      <c r="C948" s="4"/>
      <c r="K948" s="5">
        <f t="shared" si="28"/>
        <v>0</v>
      </c>
      <c r="L948" s="5" t="str">
        <f>IF(OR(TRIM($B948)="",$A948=""),"",IF(OR(ISNUMBER(SEARCH(_xlfn.CONCAT(CHAR(96),CHAR(34)),$A948)),ISNUMBER(SEARCH(_xlfn.CONCAT(CHAR(34),CHAR(39)),$A948))),_xlfn.CONCAT("* REVIEW REQUIRED: compound-quote delimiter in Codebook Section on Sheet 1 row ",948,"; edit the input before running."),_xlfn.CONCAT("char ",TRIM($B948),"[doc_section] ",CHAR(96),CHAR(34),SUBSTITUTE(SUBSTITUTE(SUBSTITUTE(SUBSTITUTE(SUBSTITUTE(SUBSTITUTE($A948,CHAR(13)," "),CHAR(10)," "),CHAR(9)," "),CHAR(92),_xlfn.CONCAT(CHAR(92),CHAR(92))),"$",_xlfn.CONCAT(CHAR(92),"$")),CHAR(96),_xlfn.CONCAT(CHAR(92),CHAR(96))),CHAR(34),CHAR(39))))</f>
        <v/>
      </c>
      <c r="M948" s="5" t="str">
        <f>IF(OR(TRIM($B948)="",$C948=""),"",IF(IFERROR(MATCH(TRIM($C948),{"Quantitative","Continuous","Discrete","Categorical","Nominal","Ordinal","Identifier"},0),0)=0,_xlfn.CONCAT("* REVIEW REQUIRED: invalid Variable Type on Sheet 1 row ",948,"."),_xlfn.CONCAT("char ",TRIM($B948),"[doc_vartype] ",CHAR(96),CHAR(34),SUBSTITUTE(SUBSTITUTE(SUBSTITUTE(SUBSTITUTE(SUBSTITUTE(SUBSTITUTE(LOWER(TRIM($C948)),CHAR(13)," "),CHAR(10)," "),CHAR(9)," "),CHAR(92),_xlfn.CONCAT(CHAR(92),CHAR(92))),"$",_xlfn.CONCAT(CHAR(92),"$")),CHAR(96),_xlfn.CONCAT(CHAR(92),CHAR(96))),CHAR(34),CHAR(39))))</f>
        <v/>
      </c>
      <c r="N948" s="5" t="str">
        <f>IF(OR(TRIM($B948)="",$D948=""),"",IF(OR(ISNUMBER(SEARCH(_xlfn.CONCAT(CHAR(96),CHAR(34)),$D948)),ISNUMBER(SEARCH(_xlfn.CONCAT(CHAR(34),CHAR(39)),$D948))),_xlfn.CONCAT("* REVIEW REQUIRED: compound-quote delimiter in Item Number on Sheet 1 row ",948,"; edit the input before running."),_xlfn.CONCAT("char ",TRIM($B948),"[doc_itemnum] ",CHAR(96),CHAR(34),SUBSTITUTE(SUBSTITUTE(SUBSTITUTE(SUBSTITUTE(SUBSTITUTE(SUBSTITUTE($D948,CHAR(13)," "),CHAR(10)," "),CHAR(9)," "),CHAR(92),_xlfn.CONCAT(CHAR(92),CHAR(92))),"$",_xlfn.CONCAT(CHAR(92),"$")),CHAR(96),_xlfn.CONCAT(CHAR(92),CHAR(96))),CHAR(34),CHAR(39))))</f>
        <v/>
      </c>
      <c r="O948" s="5" t="str">
        <f>IF(OR(TRIM($B948)="",$E948=""),"",IF(OR(ISNUMBER(SEARCH(_xlfn.CONCAT(CHAR(96),CHAR(34)),$E948)),ISNUMBER(SEARCH(_xlfn.CONCAT(CHAR(34),CHAR(39)),$E948))),_xlfn.CONCAT("* REVIEW REQUIRED: compound-quote delimiter in Question Wording on Sheet 1 row ",948,"; edit the input before running."),_xlfn.CONCAT("char ",TRIM($B948),"[doc_question] ",CHAR(96),CHAR(34),SUBSTITUTE(SUBSTITUTE(SUBSTITUTE(SUBSTITUTE(SUBSTITUTE(SUBSTITUTE($E948,CHAR(13)," "),CHAR(10)," "),CHAR(9)," "),CHAR(92),_xlfn.CONCAT(CHAR(92),CHAR(92))),"$",_xlfn.CONCAT(CHAR(92),"$")),CHAR(96),_xlfn.CONCAT(CHAR(92),CHAR(96))),CHAR(34),CHAR(39))))</f>
        <v/>
      </c>
      <c r="P948" s="5" t="str">
        <f>IF(OR(TRIM($B948)="",$F948=""),"",IF(OR(ISNUMBER(SEARCH(_xlfn.CONCAT(CHAR(96),CHAR(34)),$F948)),ISNUMBER(SEARCH(_xlfn.CONCAT(CHAR(34),CHAR(39)),$F948))),_xlfn.CONCAT("* REVIEW REQUIRED: compound-quote delimiter in Units on Sheet 1 row ",948,"; edit the input before running."),_xlfn.CONCAT("char ",TRIM($B948),"[doc_units] ",CHAR(96),CHAR(34),SUBSTITUTE(SUBSTITUTE(SUBSTITUTE(SUBSTITUTE(SUBSTITUTE(SUBSTITUTE($F948,CHAR(13)," "),CHAR(10)," "),CHAR(9)," "),CHAR(92),_xlfn.CONCAT(CHAR(92),CHAR(92))),"$",_xlfn.CONCAT(CHAR(92),"$")),CHAR(96),_xlfn.CONCAT(CHAR(92),CHAR(96))),CHAR(34),CHAR(39))))</f>
        <v/>
      </c>
      <c r="Q948" s="5" t="str">
        <f>IF(OR(TRIM($B948)="",$G948=""),"",IF(OR(ISNUMBER(SEARCH(_xlfn.CONCAT(CHAR(96),CHAR(34)),$G948)),ISNUMBER(SEARCH(_xlfn.CONCAT(CHAR(34),CHAR(39)),$G948))),_xlfn.CONCAT("* REVIEW REQUIRED: compound-quote delimiter in Universe on Sheet 1 row ",948,"; edit the input before running."),_xlfn.CONCAT("char ",TRIM($B948),"[doc_universe] ",CHAR(96),CHAR(34),SUBSTITUTE(SUBSTITUTE(SUBSTITUTE(SUBSTITUTE(SUBSTITUTE(SUBSTITUTE($G948,CHAR(13)," "),CHAR(10)," "),CHAR(9)," "),CHAR(92),_xlfn.CONCAT(CHAR(92),CHAR(92))),"$",_xlfn.CONCAT(CHAR(92),"$")),CHAR(96),_xlfn.CONCAT(CHAR(92),CHAR(96))),CHAR(34),CHAR(39))))</f>
        <v/>
      </c>
      <c r="R948" s="5" t="str">
        <f>IF(OR(TRIM($B948)="",$H948=""),"",IF(OR(ISNUMBER(SEARCH(_xlfn.CONCAT(CHAR(96),CHAR(34)),$H948)),ISNUMBER(SEARCH(_xlfn.CONCAT(CHAR(34),CHAR(39)),$H948))),_xlfn.CONCAT("* REVIEW REQUIRED: compound-quote delimiter in Source on Sheet 1 row ",948,"; edit the input before running."),_xlfn.CONCAT("char ",TRIM($B948),"[doc_source] ",CHAR(96),CHAR(34),SUBSTITUTE(SUBSTITUTE(SUBSTITUTE(SUBSTITUTE(SUBSTITUTE(SUBSTITUTE($H948,CHAR(13)," "),CHAR(10)," "),CHAR(9)," "),CHAR(92),_xlfn.CONCAT(CHAR(92),CHAR(92))),"$",_xlfn.CONCAT(CHAR(92),"$")),CHAR(96),_xlfn.CONCAT(CHAR(92),CHAR(96))),CHAR(34),CHAR(39))))</f>
        <v/>
      </c>
      <c r="S948" s="5" t="str">
        <f>IF(OR(TRIM($B948)="",$I948=""),"",IF(OR(ISNUMBER(SEARCH(_xlfn.CONCAT(CHAR(96),CHAR(34)),$I948)),ISNUMBER(SEARCH(_xlfn.CONCAT(CHAR(34),CHAR(39)),$I948))),_xlfn.CONCAT("* REVIEW REQUIRED: compound-quote delimiter in Derivation on Sheet 1 row ",948,"; edit the input before running."),_xlfn.CONCAT("char ",TRIM($B948),"[doc_derivation] ",CHAR(96),CHAR(34),SUBSTITUTE(SUBSTITUTE(SUBSTITUTE(SUBSTITUTE(SUBSTITUTE(SUBSTITUTE($I948,CHAR(13)," "),CHAR(10)," "),CHAR(9)," "),CHAR(92),_xlfn.CONCAT(CHAR(92),CHAR(92))),"$",_xlfn.CONCAT(CHAR(92),"$")),CHAR(96),_xlfn.CONCAT(CHAR(92),CHAR(96))),CHAR(34),CHAR(39))))</f>
        <v/>
      </c>
      <c r="T948" s="5" t="str">
        <f>IF(OR(TRIM($B948)="",$J948=""),"",IF(OR(ISNUMBER(SEARCH(_xlfn.CONCAT(CHAR(96),CHAR(34)),$J948)),ISNUMBER(SEARCH(_xlfn.CONCAT(CHAR(34),CHAR(39)),$J948))),_xlfn.CONCAT("* REVIEW REQUIRED: compound-quote delimiter in Notes on Sheet 1 row ",948,"; edit the input before running."),_xlfn.CONCAT("char ",TRIM($B948),"[doc_notes] ",CHAR(96),CHAR(34),SUBSTITUTE(SUBSTITUTE(SUBSTITUTE(SUBSTITUTE(SUBSTITUTE(SUBSTITUTE($J948,CHAR(13)," "),CHAR(10)," "),CHAR(9)," "),CHAR(92),_xlfn.CONCAT(CHAR(92),CHAR(92))),"$",_xlfn.CONCAT(CHAR(92),"$")),CHAR(96),_xlfn.CONCAT(CHAR(92),CHAR(96))),CHAR(34),CHAR(39))))</f>
        <v/>
      </c>
      <c r="U948" s="5">
        <f t="shared" si="29"/>
        <v>0</v>
      </c>
    </row>
    <row r="949" spans="3:21" ht="30" customHeight="1" x14ac:dyDescent="0.2">
      <c r="C949" s="4"/>
      <c r="K949" s="5">
        <f t="shared" si="28"/>
        <v>0</v>
      </c>
      <c r="L949" s="5" t="str">
        <f>IF(OR(TRIM($B949)="",$A949=""),"",IF(OR(ISNUMBER(SEARCH(_xlfn.CONCAT(CHAR(96),CHAR(34)),$A949)),ISNUMBER(SEARCH(_xlfn.CONCAT(CHAR(34),CHAR(39)),$A949))),_xlfn.CONCAT("* REVIEW REQUIRED: compound-quote delimiter in Codebook Section on Sheet 1 row ",949,"; edit the input before running."),_xlfn.CONCAT("char ",TRIM($B949),"[doc_section] ",CHAR(96),CHAR(34),SUBSTITUTE(SUBSTITUTE(SUBSTITUTE(SUBSTITUTE(SUBSTITUTE(SUBSTITUTE($A949,CHAR(13)," "),CHAR(10)," "),CHAR(9)," "),CHAR(92),_xlfn.CONCAT(CHAR(92),CHAR(92))),"$",_xlfn.CONCAT(CHAR(92),"$")),CHAR(96),_xlfn.CONCAT(CHAR(92),CHAR(96))),CHAR(34),CHAR(39))))</f>
        <v/>
      </c>
      <c r="M949" s="5" t="str">
        <f>IF(OR(TRIM($B949)="",$C949=""),"",IF(IFERROR(MATCH(TRIM($C949),{"Quantitative","Continuous","Discrete","Categorical","Nominal","Ordinal","Identifier"},0),0)=0,_xlfn.CONCAT("* REVIEW REQUIRED: invalid Variable Type on Sheet 1 row ",949,"."),_xlfn.CONCAT("char ",TRIM($B949),"[doc_vartype] ",CHAR(96),CHAR(34),SUBSTITUTE(SUBSTITUTE(SUBSTITUTE(SUBSTITUTE(SUBSTITUTE(SUBSTITUTE(LOWER(TRIM($C949)),CHAR(13)," "),CHAR(10)," "),CHAR(9)," "),CHAR(92),_xlfn.CONCAT(CHAR(92),CHAR(92))),"$",_xlfn.CONCAT(CHAR(92),"$")),CHAR(96),_xlfn.CONCAT(CHAR(92),CHAR(96))),CHAR(34),CHAR(39))))</f>
        <v/>
      </c>
      <c r="N949" s="5" t="str">
        <f>IF(OR(TRIM($B949)="",$D949=""),"",IF(OR(ISNUMBER(SEARCH(_xlfn.CONCAT(CHAR(96),CHAR(34)),$D949)),ISNUMBER(SEARCH(_xlfn.CONCAT(CHAR(34),CHAR(39)),$D949))),_xlfn.CONCAT("* REVIEW REQUIRED: compound-quote delimiter in Item Number on Sheet 1 row ",949,"; edit the input before running."),_xlfn.CONCAT("char ",TRIM($B949),"[doc_itemnum] ",CHAR(96),CHAR(34),SUBSTITUTE(SUBSTITUTE(SUBSTITUTE(SUBSTITUTE(SUBSTITUTE(SUBSTITUTE($D949,CHAR(13)," "),CHAR(10)," "),CHAR(9)," "),CHAR(92),_xlfn.CONCAT(CHAR(92),CHAR(92))),"$",_xlfn.CONCAT(CHAR(92),"$")),CHAR(96),_xlfn.CONCAT(CHAR(92),CHAR(96))),CHAR(34),CHAR(39))))</f>
        <v/>
      </c>
      <c r="O949" s="5" t="str">
        <f>IF(OR(TRIM($B949)="",$E949=""),"",IF(OR(ISNUMBER(SEARCH(_xlfn.CONCAT(CHAR(96),CHAR(34)),$E949)),ISNUMBER(SEARCH(_xlfn.CONCAT(CHAR(34),CHAR(39)),$E949))),_xlfn.CONCAT("* REVIEW REQUIRED: compound-quote delimiter in Question Wording on Sheet 1 row ",949,"; edit the input before running."),_xlfn.CONCAT("char ",TRIM($B949),"[doc_question] ",CHAR(96),CHAR(34),SUBSTITUTE(SUBSTITUTE(SUBSTITUTE(SUBSTITUTE(SUBSTITUTE(SUBSTITUTE($E949,CHAR(13)," "),CHAR(10)," "),CHAR(9)," "),CHAR(92),_xlfn.CONCAT(CHAR(92),CHAR(92))),"$",_xlfn.CONCAT(CHAR(92),"$")),CHAR(96),_xlfn.CONCAT(CHAR(92),CHAR(96))),CHAR(34),CHAR(39))))</f>
        <v/>
      </c>
      <c r="P949" s="5" t="str">
        <f>IF(OR(TRIM($B949)="",$F949=""),"",IF(OR(ISNUMBER(SEARCH(_xlfn.CONCAT(CHAR(96),CHAR(34)),$F949)),ISNUMBER(SEARCH(_xlfn.CONCAT(CHAR(34),CHAR(39)),$F949))),_xlfn.CONCAT("* REVIEW REQUIRED: compound-quote delimiter in Units on Sheet 1 row ",949,"; edit the input before running."),_xlfn.CONCAT("char ",TRIM($B949),"[doc_units] ",CHAR(96),CHAR(34),SUBSTITUTE(SUBSTITUTE(SUBSTITUTE(SUBSTITUTE(SUBSTITUTE(SUBSTITUTE($F949,CHAR(13)," "),CHAR(10)," "),CHAR(9)," "),CHAR(92),_xlfn.CONCAT(CHAR(92),CHAR(92))),"$",_xlfn.CONCAT(CHAR(92),"$")),CHAR(96),_xlfn.CONCAT(CHAR(92),CHAR(96))),CHAR(34),CHAR(39))))</f>
        <v/>
      </c>
      <c r="Q949" s="5" t="str">
        <f>IF(OR(TRIM($B949)="",$G949=""),"",IF(OR(ISNUMBER(SEARCH(_xlfn.CONCAT(CHAR(96),CHAR(34)),$G949)),ISNUMBER(SEARCH(_xlfn.CONCAT(CHAR(34),CHAR(39)),$G949))),_xlfn.CONCAT("* REVIEW REQUIRED: compound-quote delimiter in Universe on Sheet 1 row ",949,"; edit the input before running."),_xlfn.CONCAT("char ",TRIM($B949),"[doc_universe] ",CHAR(96),CHAR(34),SUBSTITUTE(SUBSTITUTE(SUBSTITUTE(SUBSTITUTE(SUBSTITUTE(SUBSTITUTE($G949,CHAR(13)," "),CHAR(10)," "),CHAR(9)," "),CHAR(92),_xlfn.CONCAT(CHAR(92),CHAR(92))),"$",_xlfn.CONCAT(CHAR(92),"$")),CHAR(96),_xlfn.CONCAT(CHAR(92),CHAR(96))),CHAR(34),CHAR(39))))</f>
        <v/>
      </c>
      <c r="R949" s="5" t="str">
        <f>IF(OR(TRIM($B949)="",$H949=""),"",IF(OR(ISNUMBER(SEARCH(_xlfn.CONCAT(CHAR(96),CHAR(34)),$H949)),ISNUMBER(SEARCH(_xlfn.CONCAT(CHAR(34),CHAR(39)),$H949))),_xlfn.CONCAT("* REVIEW REQUIRED: compound-quote delimiter in Source on Sheet 1 row ",949,"; edit the input before running."),_xlfn.CONCAT("char ",TRIM($B949),"[doc_source] ",CHAR(96),CHAR(34),SUBSTITUTE(SUBSTITUTE(SUBSTITUTE(SUBSTITUTE(SUBSTITUTE(SUBSTITUTE($H949,CHAR(13)," "),CHAR(10)," "),CHAR(9)," "),CHAR(92),_xlfn.CONCAT(CHAR(92),CHAR(92))),"$",_xlfn.CONCAT(CHAR(92),"$")),CHAR(96),_xlfn.CONCAT(CHAR(92),CHAR(96))),CHAR(34),CHAR(39))))</f>
        <v/>
      </c>
      <c r="S949" s="5" t="str">
        <f>IF(OR(TRIM($B949)="",$I949=""),"",IF(OR(ISNUMBER(SEARCH(_xlfn.CONCAT(CHAR(96),CHAR(34)),$I949)),ISNUMBER(SEARCH(_xlfn.CONCAT(CHAR(34),CHAR(39)),$I949))),_xlfn.CONCAT("* REVIEW REQUIRED: compound-quote delimiter in Derivation on Sheet 1 row ",949,"; edit the input before running."),_xlfn.CONCAT("char ",TRIM($B949),"[doc_derivation] ",CHAR(96),CHAR(34),SUBSTITUTE(SUBSTITUTE(SUBSTITUTE(SUBSTITUTE(SUBSTITUTE(SUBSTITUTE($I949,CHAR(13)," "),CHAR(10)," "),CHAR(9)," "),CHAR(92),_xlfn.CONCAT(CHAR(92),CHAR(92))),"$",_xlfn.CONCAT(CHAR(92),"$")),CHAR(96),_xlfn.CONCAT(CHAR(92),CHAR(96))),CHAR(34),CHAR(39))))</f>
        <v/>
      </c>
      <c r="T949" s="5" t="str">
        <f>IF(OR(TRIM($B949)="",$J949=""),"",IF(OR(ISNUMBER(SEARCH(_xlfn.CONCAT(CHAR(96),CHAR(34)),$J949)),ISNUMBER(SEARCH(_xlfn.CONCAT(CHAR(34),CHAR(39)),$J949))),_xlfn.CONCAT("* REVIEW REQUIRED: compound-quote delimiter in Notes on Sheet 1 row ",949,"; edit the input before running."),_xlfn.CONCAT("char ",TRIM($B949),"[doc_notes] ",CHAR(96),CHAR(34),SUBSTITUTE(SUBSTITUTE(SUBSTITUTE(SUBSTITUTE(SUBSTITUTE(SUBSTITUTE($J949,CHAR(13)," "),CHAR(10)," "),CHAR(9)," "),CHAR(92),_xlfn.CONCAT(CHAR(92),CHAR(92))),"$",_xlfn.CONCAT(CHAR(92),"$")),CHAR(96),_xlfn.CONCAT(CHAR(92),CHAR(96))),CHAR(34),CHAR(39))))</f>
        <v/>
      </c>
      <c r="U949" s="5">
        <f t="shared" si="29"/>
        <v>0</v>
      </c>
    </row>
    <row r="950" spans="3:21" ht="30" customHeight="1" x14ac:dyDescent="0.2">
      <c r="C950" s="4"/>
      <c r="K950" s="5">
        <f t="shared" si="28"/>
        <v>0</v>
      </c>
      <c r="L950" s="5" t="str">
        <f>IF(OR(TRIM($B950)="",$A950=""),"",IF(OR(ISNUMBER(SEARCH(_xlfn.CONCAT(CHAR(96),CHAR(34)),$A950)),ISNUMBER(SEARCH(_xlfn.CONCAT(CHAR(34),CHAR(39)),$A950))),_xlfn.CONCAT("* REVIEW REQUIRED: compound-quote delimiter in Codebook Section on Sheet 1 row ",950,"; edit the input before running."),_xlfn.CONCAT("char ",TRIM($B950),"[doc_section] ",CHAR(96),CHAR(34),SUBSTITUTE(SUBSTITUTE(SUBSTITUTE(SUBSTITUTE(SUBSTITUTE(SUBSTITUTE($A950,CHAR(13)," "),CHAR(10)," "),CHAR(9)," "),CHAR(92),_xlfn.CONCAT(CHAR(92),CHAR(92))),"$",_xlfn.CONCAT(CHAR(92),"$")),CHAR(96),_xlfn.CONCAT(CHAR(92),CHAR(96))),CHAR(34),CHAR(39))))</f>
        <v/>
      </c>
      <c r="M950" s="5" t="str">
        <f>IF(OR(TRIM($B950)="",$C950=""),"",IF(IFERROR(MATCH(TRIM($C950),{"Quantitative","Continuous","Discrete","Categorical","Nominal","Ordinal","Identifier"},0),0)=0,_xlfn.CONCAT("* REVIEW REQUIRED: invalid Variable Type on Sheet 1 row ",950,"."),_xlfn.CONCAT("char ",TRIM($B950),"[doc_vartype] ",CHAR(96),CHAR(34),SUBSTITUTE(SUBSTITUTE(SUBSTITUTE(SUBSTITUTE(SUBSTITUTE(SUBSTITUTE(LOWER(TRIM($C950)),CHAR(13)," "),CHAR(10)," "),CHAR(9)," "),CHAR(92),_xlfn.CONCAT(CHAR(92),CHAR(92))),"$",_xlfn.CONCAT(CHAR(92),"$")),CHAR(96),_xlfn.CONCAT(CHAR(92),CHAR(96))),CHAR(34),CHAR(39))))</f>
        <v/>
      </c>
      <c r="N950" s="5" t="str">
        <f>IF(OR(TRIM($B950)="",$D950=""),"",IF(OR(ISNUMBER(SEARCH(_xlfn.CONCAT(CHAR(96),CHAR(34)),$D950)),ISNUMBER(SEARCH(_xlfn.CONCAT(CHAR(34),CHAR(39)),$D950))),_xlfn.CONCAT("* REVIEW REQUIRED: compound-quote delimiter in Item Number on Sheet 1 row ",950,"; edit the input before running."),_xlfn.CONCAT("char ",TRIM($B950),"[doc_itemnum] ",CHAR(96),CHAR(34),SUBSTITUTE(SUBSTITUTE(SUBSTITUTE(SUBSTITUTE(SUBSTITUTE(SUBSTITUTE($D950,CHAR(13)," "),CHAR(10)," "),CHAR(9)," "),CHAR(92),_xlfn.CONCAT(CHAR(92),CHAR(92))),"$",_xlfn.CONCAT(CHAR(92),"$")),CHAR(96),_xlfn.CONCAT(CHAR(92),CHAR(96))),CHAR(34),CHAR(39))))</f>
        <v/>
      </c>
      <c r="O950" s="5" t="str">
        <f>IF(OR(TRIM($B950)="",$E950=""),"",IF(OR(ISNUMBER(SEARCH(_xlfn.CONCAT(CHAR(96),CHAR(34)),$E950)),ISNUMBER(SEARCH(_xlfn.CONCAT(CHAR(34),CHAR(39)),$E950))),_xlfn.CONCAT("* REVIEW REQUIRED: compound-quote delimiter in Question Wording on Sheet 1 row ",950,"; edit the input before running."),_xlfn.CONCAT("char ",TRIM($B950),"[doc_question] ",CHAR(96),CHAR(34),SUBSTITUTE(SUBSTITUTE(SUBSTITUTE(SUBSTITUTE(SUBSTITUTE(SUBSTITUTE($E950,CHAR(13)," "),CHAR(10)," "),CHAR(9)," "),CHAR(92),_xlfn.CONCAT(CHAR(92),CHAR(92))),"$",_xlfn.CONCAT(CHAR(92),"$")),CHAR(96),_xlfn.CONCAT(CHAR(92),CHAR(96))),CHAR(34),CHAR(39))))</f>
        <v/>
      </c>
      <c r="P950" s="5" t="str">
        <f>IF(OR(TRIM($B950)="",$F950=""),"",IF(OR(ISNUMBER(SEARCH(_xlfn.CONCAT(CHAR(96),CHAR(34)),$F950)),ISNUMBER(SEARCH(_xlfn.CONCAT(CHAR(34),CHAR(39)),$F950))),_xlfn.CONCAT("* REVIEW REQUIRED: compound-quote delimiter in Units on Sheet 1 row ",950,"; edit the input before running."),_xlfn.CONCAT("char ",TRIM($B950),"[doc_units] ",CHAR(96),CHAR(34),SUBSTITUTE(SUBSTITUTE(SUBSTITUTE(SUBSTITUTE(SUBSTITUTE(SUBSTITUTE($F950,CHAR(13)," "),CHAR(10)," "),CHAR(9)," "),CHAR(92),_xlfn.CONCAT(CHAR(92),CHAR(92))),"$",_xlfn.CONCAT(CHAR(92),"$")),CHAR(96),_xlfn.CONCAT(CHAR(92),CHAR(96))),CHAR(34),CHAR(39))))</f>
        <v/>
      </c>
      <c r="Q950" s="5" t="str">
        <f>IF(OR(TRIM($B950)="",$G950=""),"",IF(OR(ISNUMBER(SEARCH(_xlfn.CONCAT(CHAR(96),CHAR(34)),$G950)),ISNUMBER(SEARCH(_xlfn.CONCAT(CHAR(34),CHAR(39)),$G950))),_xlfn.CONCAT("* REVIEW REQUIRED: compound-quote delimiter in Universe on Sheet 1 row ",950,"; edit the input before running."),_xlfn.CONCAT("char ",TRIM($B950),"[doc_universe] ",CHAR(96),CHAR(34),SUBSTITUTE(SUBSTITUTE(SUBSTITUTE(SUBSTITUTE(SUBSTITUTE(SUBSTITUTE($G950,CHAR(13)," "),CHAR(10)," "),CHAR(9)," "),CHAR(92),_xlfn.CONCAT(CHAR(92),CHAR(92))),"$",_xlfn.CONCAT(CHAR(92),"$")),CHAR(96),_xlfn.CONCAT(CHAR(92),CHAR(96))),CHAR(34),CHAR(39))))</f>
        <v/>
      </c>
      <c r="R950" s="5" t="str">
        <f>IF(OR(TRIM($B950)="",$H950=""),"",IF(OR(ISNUMBER(SEARCH(_xlfn.CONCAT(CHAR(96),CHAR(34)),$H950)),ISNUMBER(SEARCH(_xlfn.CONCAT(CHAR(34),CHAR(39)),$H950))),_xlfn.CONCAT("* REVIEW REQUIRED: compound-quote delimiter in Source on Sheet 1 row ",950,"; edit the input before running."),_xlfn.CONCAT("char ",TRIM($B950),"[doc_source] ",CHAR(96),CHAR(34),SUBSTITUTE(SUBSTITUTE(SUBSTITUTE(SUBSTITUTE(SUBSTITUTE(SUBSTITUTE($H950,CHAR(13)," "),CHAR(10)," "),CHAR(9)," "),CHAR(92),_xlfn.CONCAT(CHAR(92),CHAR(92))),"$",_xlfn.CONCAT(CHAR(92),"$")),CHAR(96),_xlfn.CONCAT(CHAR(92),CHAR(96))),CHAR(34),CHAR(39))))</f>
        <v/>
      </c>
      <c r="S950" s="5" t="str">
        <f>IF(OR(TRIM($B950)="",$I950=""),"",IF(OR(ISNUMBER(SEARCH(_xlfn.CONCAT(CHAR(96),CHAR(34)),$I950)),ISNUMBER(SEARCH(_xlfn.CONCAT(CHAR(34),CHAR(39)),$I950))),_xlfn.CONCAT("* REVIEW REQUIRED: compound-quote delimiter in Derivation on Sheet 1 row ",950,"; edit the input before running."),_xlfn.CONCAT("char ",TRIM($B950),"[doc_derivation] ",CHAR(96),CHAR(34),SUBSTITUTE(SUBSTITUTE(SUBSTITUTE(SUBSTITUTE(SUBSTITUTE(SUBSTITUTE($I950,CHAR(13)," "),CHAR(10)," "),CHAR(9)," "),CHAR(92),_xlfn.CONCAT(CHAR(92),CHAR(92))),"$",_xlfn.CONCAT(CHAR(92),"$")),CHAR(96),_xlfn.CONCAT(CHAR(92),CHAR(96))),CHAR(34),CHAR(39))))</f>
        <v/>
      </c>
      <c r="T950" s="5" t="str">
        <f>IF(OR(TRIM($B950)="",$J950=""),"",IF(OR(ISNUMBER(SEARCH(_xlfn.CONCAT(CHAR(96),CHAR(34)),$J950)),ISNUMBER(SEARCH(_xlfn.CONCAT(CHAR(34),CHAR(39)),$J950))),_xlfn.CONCAT("* REVIEW REQUIRED: compound-quote delimiter in Notes on Sheet 1 row ",950,"; edit the input before running."),_xlfn.CONCAT("char ",TRIM($B950),"[doc_notes] ",CHAR(96),CHAR(34),SUBSTITUTE(SUBSTITUTE(SUBSTITUTE(SUBSTITUTE(SUBSTITUTE(SUBSTITUTE($J950,CHAR(13)," "),CHAR(10)," "),CHAR(9)," "),CHAR(92),_xlfn.CONCAT(CHAR(92),CHAR(92))),"$",_xlfn.CONCAT(CHAR(92),"$")),CHAR(96),_xlfn.CONCAT(CHAR(92),CHAR(96))),CHAR(34),CHAR(39))))</f>
        <v/>
      </c>
      <c r="U950" s="5">
        <f t="shared" si="29"/>
        <v>0</v>
      </c>
    </row>
    <row r="951" spans="3:21" ht="30" customHeight="1" x14ac:dyDescent="0.2">
      <c r="C951" s="4"/>
      <c r="K951" s="5">
        <f t="shared" si="28"/>
        <v>0</v>
      </c>
      <c r="L951" s="5" t="str">
        <f>IF(OR(TRIM($B951)="",$A951=""),"",IF(OR(ISNUMBER(SEARCH(_xlfn.CONCAT(CHAR(96),CHAR(34)),$A951)),ISNUMBER(SEARCH(_xlfn.CONCAT(CHAR(34),CHAR(39)),$A951))),_xlfn.CONCAT("* REVIEW REQUIRED: compound-quote delimiter in Codebook Section on Sheet 1 row ",951,"; edit the input before running."),_xlfn.CONCAT("char ",TRIM($B951),"[doc_section] ",CHAR(96),CHAR(34),SUBSTITUTE(SUBSTITUTE(SUBSTITUTE(SUBSTITUTE(SUBSTITUTE(SUBSTITUTE($A951,CHAR(13)," "),CHAR(10)," "),CHAR(9)," "),CHAR(92),_xlfn.CONCAT(CHAR(92),CHAR(92))),"$",_xlfn.CONCAT(CHAR(92),"$")),CHAR(96),_xlfn.CONCAT(CHAR(92),CHAR(96))),CHAR(34),CHAR(39))))</f>
        <v/>
      </c>
      <c r="M951" s="5" t="str">
        <f>IF(OR(TRIM($B951)="",$C951=""),"",IF(IFERROR(MATCH(TRIM($C951),{"Quantitative","Continuous","Discrete","Categorical","Nominal","Ordinal","Identifier"},0),0)=0,_xlfn.CONCAT("* REVIEW REQUIRED: invalid Variable Type on Sheet 1 row ",951,"."),_xlfn.CONCAT("char ",TRIM($B951),"[doc_vartype] ",CHAR(96),CHAR(34),SUBSTITUTE(SUBSTITUTE(SUBSTITUTE(SUBSTITUTE(SUBSTITUTE(SUBSTITUTE(LOWER(TRIM($C951)),CHAR(13)," "),CHAR(10)," "),CHAR(9)," "),CHAR(92),_xlfn.CONCAT(CHAR(92),CHAR(92))),"$",_xlfn.CONCAT(CHAR(92),"$")),CHAR(96),_xlfn.CONCAT(CHAR(92),CHAR(96))),CHAR(34),CHAR(39))))</f>
        <v/>
      </c>
      <c r="N951" s="5" t="str">
        <f>IF(OR(TRIM($B951)="",$D951=""),"",IF(OR(ISNUMBER(SEARCH(_xlfn.CONCAT(CHAR(96),CHAR(34)),$D951)),ISNUMBER(SEARCH(_xlfn.CONCAT(CHAR(34),CHAR(39)),$D951))),_xlfn.CONCAT("* REVIEW REQUIRED: compound-quote delimiter in Item Number on Sheet 1 row ",951,"; edit the input before running."),_xlfn.CONCAT("char ",TRIM($B951),"[doc_itemnum] ",CHAR(96),CHAR(34),SUBSTITUTE(SUBSTITUTE(SUBSTITUTE(SUBSTITUTE(SUBSTITUTE(SUBSTITUTE($D951,CHAR(13)," "),CHAR(10)," "),CHAR(9)," "),CHAR(92),_xlfn.CONCAT(CHAR(92),CHAR(92))),"$",_xlfn.CONCAT(CHAR(92),"$")),CHAR(96),_xlfn.CONCAT(CHAR(92),CHAR(96))),CHAR(34),CHAR(39))))</f>
        <v/>
      </c>
      <c r="O951" s="5" t="str">
        <f>IF(OR(TRIM($B951)="",$E951=""),"",IF(OR(ISNUMBER(SEARCH(_xlfn.CONCAT(CHAR(96),CHAR(34)),$E951)),ISNUMBER(SEARCH(_xlfn.CONCAT(CHAR(34),CHAR(39)),$E951))),_xlfn.CONCAT("* REVIEW REQUIRED: compound-quote delimiter in Question Wording on Sheet 1 row ",951,"; edit the input before running."),_xlfn.CONCAT("char ",TRIM($B951),"[doc_question] ",CHAR(96),CHAR(34),SUBSTITUTE(SUBSTITUTE(SUBSTITUTE(SUBSTITUTE(SUBSTITUTE(SUBSTITUTE($E951,CHAR(13)," "),CHAR(10)," "),CHAR(9)," "),CHAR(92),_xlfn.CONCAT(CHAR(92),CHAR(92))),"$",_xlfn.CONCAT(CHAR(92),"$")),CHAR(96),_xlfn.CONCAT(CHAR(92),CHAR(96))),CHAR(34),CHAR(39))))</f>
        <v/>
      </c>
      <c r="P951" s="5" t="str">
        <f>IF(OR(TRIM($B951)="",$F951=""),"",IF(OR(ISNUMBER(SEARCH(_xlfn.CONCAT(CHAR(96),CHAR(34)),$F951)),ISNUMBER(SEARCH(_xlfn.CONCAT(CHAR(34),CHAR(39)),$F951))),_xlfn.CONCAT("* REVIEW REQUIRED: compound-quote delimiter in Units on Sheet 1 row ",951,"; edit the input before running."),_xlfn.CONCAT("char ",TRIM($B951),"[doc_units] ",CHAR(96),CHAR(34),SUBSTITUTE(SUBSTITUTE(SUBSTITUTE(SUBSTITUTE(SUBSTITUTE(SUBSTITUTE($F951,CHAR(13)," "),CHAR(10)," "),CHAR(9)," "),CHAR(92),_xlfn.CONCAT(CHAR(92),CHAR(92))),"$",_xlfn.CONCAT(CHAR(92),"$")),CHAR(96),_xlfn.CONCAT(CHAR(92),CHAR(96))),CHAR(34),CHAR(39))))</f>
        <v/>
      </c>
      <c r="Q951" s="5" t="str">
        <f>IF(OR(TRIM($B951)="",$G951=""),"",IF(OR(ISNUMBER(SEARCH(_xlfn.CONCAT(CHAR(96),CHAR(34)),$G951)),ISNUMBER(SEARCH(_xlfn.CONCAT(CHAR(34),CHAR(39)),$G951))),_xlfn.CONCAT("* REVIEW REQUIRED: compound-quote delimiter in Universe on Sheet 1 row ",951,"; edit the input before running."),_xlfn.CONCAT("char ",TRIM($B951),"[doc_universe] ",CHAR(96),CHAR(34),SUBSTITUTE(SUBSTITUTE(SUBSTITUTE(SUBSTITUTE(SUBSTITUTE(SUBSTITUTE($G951,CHAR(13)," "),CHAR(10)," "),CHAR(9)," "),CHAR(92),_xlfn.CONCAT(CHAR(92),CHAR(92))),"$",_xlfn.CONCAT(CHAR(92),"$")),CHAR(96),_xlfn.CONCAT(CHAR(92),CHAR(96))),CHAR(34),CHAR(39))))</f>
        <v/>
      </c>
      <c r="R951" s="5" t="str">
        <f>IF(OR(TRIM($B951)="",$H951=""),"",IF(OR(ISNUMBER(SEARCH(_xlfn.CONCAT(CHAR(96),CHAR(34)),$H951)),ISNUMBER(SEARCH(_xlfn.CONCAT(CHAR(34),CHAR(39)),$H951))),_xlfn.CONCAT("* REVIEW REQUIRED: compound-quote delimiter in Source on Sheet 1 row ",951,"; edit the input before running."),_xlfn.CONCAT("char ",TRIM($B951),"[doc_source] ",CHAR(96),CHAR(34),SUBSTITUTE(SUBSTITUTE(SUBSTITUTE(SUBSTITUTE(SUBSTITUTE(SUBSTITUTE($H951,CHAR(13)," "),CHAR(10)," "),CHAR(9)," "),CHAR(92),_xlfn.CONCAT(CHAR(92),CHAR(92))),"$",_xlfn.CONCAT(CHAR(92),"$")),CHAR(96),_xlfn.CONCAT(CHAR(92),CHAR(96))),CHAR(34),CHAR(39))))</f>
        <v/>
      </c>
      <c r="S951" s="5" t="str">
        <f>IF(OR(TRIM($B951)="",$I951=""),"",IF(OR(ISNUMBER(SEARCH(_xlfn.CONCAT(CHAR(96),CHAR(34)),$I951)),ISNUMBER(SEARCH(_xlfn.CONCAT(CHAR(34),CHAR(39)),$I951))),_xlfn.CONCAT("* REVIEW REQUIRED: compound-quote delimiter in Derivation on Sheet 1 row ",951,"; edit the input before running."),_xlfn.CONCAT("char ",TRIM($B951),"[doc_derivation] ",CHAR(96),CHAR(34),SUBSTITUTE(SUBSTITUTE(SUBSTITUTE(SUBSTITUTE(SUBSTITUTE(SUBSTITUTE($I951,CHAR(13)," "),CHAR(10)," "),CHAR(9)," "),CHAR(92),_xlfn.CONCAT(CHAR(92),CHAR(92))),"$",_xlfn.CONCAT(CHAR(92),"$")),CHAR(96),_xlfn.CONCAT(CHAR(92),CHAR(96))),CHAR(34),CHAR(39))))</f>
        <v/>
      </c>
      <c r="T951" s="5" t="str">
        <f>IF(OR(TRIM($B951)="",$J951=""),"",IF(OR(ISNUMBER(SEARCH(_xlfn.CONCAT(CHAR(96),CHAR(34)),$J951)),ISNUMBER(SEARCH(_xlfn.CONCAT(CHAR(34),CHAR(39)),$J951))),_xlfn.CONCAT("* REVIEW REQUIRED: compound-quote delimiter in Notes on Sheet 1 row ",951,"; edit the input before running."),_xlfn.CONCAT("char ",TRIM($B951),"[doc_notes] ",CHAR(96),CHAR(34),SUBSTITUTE(SUBSTITUTE(SUBSTITUTE(SUBSTITUTE(SUBSTITUTE(SUBSTITUTE($J951,CHAR(13)," "),CHAR(10)," "),CHAR(9)," "),CHAR(92),_xlfn.CONCAT(CHAR(92),CHAR(92))),"$",_xlfn.CONCAT(CHAR(92),"$")),CHAR(96),_xlfn.CONCAT(CHAR(92),CHAR(96))),CHAR(34),CHAR(39))))</f>
        <v/>
      </c>
      <c r="U951" s="5">
        <f t="shared" si="29"/>
        <v>0</v>
      </c>
    </row>
    <row r="952" spans="3:21" ht="30" customHeight="1" x14ac:dyDescent="0.2">
      <c r="C952" s="4"/>
      <c r="K952" s="5">
        <f t="shared" si="28"/>
        <v>0</v>
      </c>
      <c r="L952" s="5" t="str">
        <f>IF(OR(TRIM($B952)="",$A952=""),"",IF(OR(ISNUMBER(SEARCH(_xlfn.CONCAT(CHAR(96),CHAR(34)),$A952)),ISNUMBER(SEARCH(_xlfn.CONCAT(CHAR(34),CHAR(39)),$A952))),_xlfn.CONCAT("* REVIEW REQUIRED: compound-quote delimiter in Codebook Section on Sheet 1 row ",952,"; edit the input before running."),_xlfn.CONCAT("char ",TRIM($B952),"[doc_section] ",CHAR(96),CHAR(34),SUBSTITUTE(SUBSTITUTE(SUBSTITUTE(SUBSTITUTE(SUBSTITUTE(SUBSTITUTE($A952,CHAR(13)," "),CHAR(10)," "),CHAR(9)," "),CHAR(92),_xlfn.CONCAT(CHAR(92),CHAR(92))),"$",_xlfn.CONCAT(CHAR(92),"$")),CHAR(96),_xlfn.CONCAT(CHAR(92),CHAR(96))),CHAR(34),CHAR(39))))</f>
        <v/>
      </c>
      <c r="M952" s="5" t="str">
        <f>IF(OR(TRIM($B952)="",$C952=""),"",IF(IFERROR(MATCH(TRIM($C952),{"Quantitative","Continuous","Discrete","Categorical","Nominal","Ordinal","Identifier"},0),0)=0,_xlfn.CONCAT("* REVIEW REQUIRED: invalid Variable Type on Sheet 1 row ",952,"."),_xlfn.CONCAT("char ",TRIM($B952),"[doc_vartype] ",CHAR(96),CHAR(34),SUBSTITUTE(SUBSTITUTE(SUBSTITUTE(SUBSTITUTE(SUBSTITUTE(SUBSTITUTE(LOWER(TRIM($C952)),CHAR(13)," "),CHAR(10)," "),CHAR(9)," "),CHAR(92),_xlfn.CONCAT(CHAR(92),CHAR(92))),"$",_xlfn.CONCAT(CHAR(92),"$")),CHAR(96),_xlfn.CONCAT(CHAR(92),CHAR(96))),CHAR(34),CHAR(39))))</f>
        <v/>
      </c>
      <c r="N952" s="5" t="str">
        <f>IF(OR(TRIM($B952)="",$D952=""),"",IF(OR(ISNUMBER(SEARCH(_xlfn.CONCAT(CHAR(96),CHAR(34)),$D952)),ISNUMBER(SEARCH(_xlfn.CONCAT(CHAR(34),CHAR(39)),$D952))),_xlfn.CONCAT("* REVIEW REQUIRED: compound-quote delimiter in Item Number on Sheet 1 row ",952,"; edit the input before running."),_xlfn.CONCAT("char ",TRIM($B952),"[doc_itemnum] ",CHAR(96),CHAR(34),SUBSTITUTE(SUBSTITUTE(SUBSTITUTE(SUBSTITUTE(SUBSTITUTE(SUBSTITUTE($D952,CHAR(13)," "),CHAR(10)," "),CHAR(9)," "),CHAR(92),_xlfn.CONCAT(CHAR(92),CHAR(92))),"$",_xlfn.CONCAT(CHAR(92),"$")),CHAR(96),_xlfn.CONCAT(CHAR(92),CHAR(96))),CHAR(34),CHAR(39))))</f>
        <v/>
      </c>
      <c r="O952" s="5" t="str">
        <f>IF(OR(TRIM($B952)="",$E952=""),"",IF(OR(ISNUMBER(SEARCH(_xlfn.CONCAT(CHAR(96),CHAR(34)),$E952)),ISNUMBER(SEARCH(_xlfn.CONCAT(CHAR(34),CHAR(39)),$E952))),_xlfn.CONCAT("* REVIEW REQUIRED: compound-quote delimiter in Question Wording on Sheet 1 row ",952,"; edit the input before running."),_xlfn.CONCAT("char ",TRIM($B952),"[doc_question] ",CHAR(96),CHAR(34),SUBSTITUTE(SUBSTITUTE(SUBSTITUTE(SUBSTITUTE(SUBSTITUTE(SUBSTITUTE($E952,CHAR(13)," "),CHAR(10)," "),CHAR(9)," "),CHAR(92),_xlfn.CONCAT(CHAR(92),CHAR(92))),"$",_xlfn.CONCAT(CHAR(92),"$")),CHAR(96),_xlfn.CONCAT(CHAR(92),CHAR(96))),CHAR(34),CHAR(39))))</f>
        <v/>
      </c>
      <c r="P952" s="5" t="str">
        <f>IF(OR(TRIM($B952)="",$F952=""),"",IF(OR(ISNUMBER(SEARCH(_xlfn.CONCAT(CHAR(96),CHAR(34)),$F952)),ISNUMBER(SEARCH(_xlfn.CONCAT(CHAR(34),CHAR(39)),$F952))),_xlfn.CONCAT("* REVIEW REQUIRED: compound-quote delimiter in Units on Sheet 1 row ",952,"; edit the input before running."),_xlfn.CONCAT("char ",TRIM($B952),"[doc_units] ",CHAR(96),CHAR(34),SUBSTITUTE(SUBSTITUTE(SUBSTITUTE(SUBSTITUTE(SUBSTITUTE(SUBSTITUTE($F952,CHAR(13)," "),CHAR(10)," "),CHAR(9)," "),CHAR(92),_xlfn.CONCAT(CHAR(92),CHAR(92))),"$",_xlfn.CONCAT(CHAR(92),"$")),CHAR(96),_xlfn.CONCAT(CHAR(92),CHAR(96))),CHAR(34),CHAR(39))))</f>
        <v/>
      </c>
      <c r="Q952" s="5" t="str">
        <f>IF(OR(TRIM($B952)="",$G952=""),"",IF(OR(ISNUMBER(SEARCH(_xlfn.CONCAT(CHAR(96),CHAR(34)),$G952)),ISNUMBER(SEARCH(_xlfn.CONCAT(CHAR(34),CHAR(39)),$G952))),_xlfn.CONCAT("* REVIEW REQUIRED: compound-quote delimiter in Universe on Sheet 1 row ",952,"; edit the input before running."),_xlfn.CONCAT("char ",TRIM($B952),"[doc_universe] ",CHAR(96),CHAR(34),SUBSTITUTE(SUBSTITUTE(SUBSTITUTE(SUBSTITUTE(SUBSTITUTE(SUBSTITUTE($G952,CHAR(13)," "),CHAR(10)," "),CHAR(9)," "),CHAR(92),_xlfn.CONCAT(CHAR(92),CHAR(92))),"$",_xlfn.CONCAT(CHAR(92),"$")),CHAR(96),_xlfn.CONCAT(CHAR(92),CHAR(96))),CHAR(34),CHAR(39))))</f>
        <v/>
      </c>
      <c r="R952" s="5" t="str">
        <f>IF(OR(TRIM($B952)="",$H952=""),"",IF(OR(ISNUMBER(SEARCH(_xlfn.CONCAT(CHAR(96),CHAR(34)),$H952)),ISNUMBER(SEARCH(_xlfn.CONCAT(CHAR(34),CHAR(39)),$H952))),_xlfn.CONCAT("* REVIEW REQUIRED: compound-quote delimiter in Source on Sheet 1 row ",952,"; edit the input before running."),_xlfn.CONCAT("char ",TRIM($B952),"[doc_source] ",CHAR(96),CHAR(34),SUBSTITUTE(SUBSTITUTE(SUBSTITUTE(SUBSTITUTE(SUBSTITUTE(SUBSTITUTE($H952,CHAR(13)," "),CHAR(10)," "),CHAR(9)," "),CHAR(92),_xlfn.CONCAT(CHAR(92),CHAR(92))),"$",_xlfn.CONCAT(CHAR(92),"$")),CHAR(96),_xlfn.CONCAT(CHAR(92),CHAR(96))),CHAR(34),CHAR(39))))</f>
        <v/>
      </c>
      <c r="S952" s="5" t="str">
        <f>IF(OR(TRIM($B952)="",$I952=""),"",IF(OR(ISNUMBER(SEARCH(_xlfn.CONCAT(CHAR(96),CHAR(34)),$I952)),ISNUMBER(SEARCH(_xlfn.CONCAT(CHAR(34),CHAR(39)),$I952))),_xlfn.CONCAT("* REVIEW REQUIRED: compound-quote delimiter in Derivation on Sheet 1 row ",952,"; edit the input before running."),_xlfn.CONCAT("char ",TRIM($B952),"[doc_derivation] ",CHAR(96),CHAR(34),SUBSTITUTE(SUBSTITUTE(SUBSTITUTE(SUBSTITUTE(SUBSTITUTE(SUBSTITUTE($I952,CHAR(13)," "),CHAR(10)," "),CHAR(9)," "),CHAR(92),_xlfn.CONCAT(CHAR(92),CHAR(92))),"$",_xlfn.CONCAT(CHAR(92),"$")),CHAR(96),_xlfn.CONCAT(CHAR(92),CHAR(96))),CHAR(34),CHAR(39))))</f>
        <v/>
      </c>
      <c r="T952" s="5" t="str">
        <f>IF(OR(TRIM($B952)="",$J952=""),"",IF(OR(ISNUMBER(SEARCH(_xlfn.CONCAT(CHAR(96),CHAR(34)),$J952)),ISNUMBER(SEARCH(_xlfn.CONCAT(CHAR(34),CHAR(39)),$J952))),_xlfn.CONCAT("* REVIEW REQUIRED: compound-quote delimiter in Notes on Sheet 1 row ",952,"; edit the input before running."),_xlfn.CONCAT("char ",TRIM($B952),"[doc_notes] ",CHAR(96),CHAR(34),SUBSTITUTE(SUBSTITUTE(SUBSTITUTE(SUBSTITUTE(SUBSTITUTE(SUBSTITUTE($J952,CHAR(13)," "),CHAR(10)," "),CHAR(9)," "),CHAR(92),_xlfn.CONCAT(CHAR(92),CHAR(92))),"$",_xlfn.CONCAT(CHAR(92),"$")),CHAR(96),_xlfn.CONCAT(CHAR(92),CHAR(96))),CHAR(34),CHAR(39))))</f>
        <v/>
      </c>
      <c r="U952" s="5">
        <f t="shared" si="29"/>
        <v>0</v>
      </c>
    </row>
    <row r="953" spans="3:21" ht="30" customHeight="1" x14ac:dyDescent="0.2">
      <c r="C953" s="4"/>
      <c r="K953" s="5">
        <f t="shared" si="28"/>
        <v>0</v>
      </c>
      <c r="L953" s="5" t="str">
        <f>IF(OR(TRIM($B953)="",$A953=""),"",IF(OR(ISNUMBER(SEARCH(_xlfn.CONCAT(CHAR(96),CHAR(34)),$A953)),ISNUMBER(SEARCH(_xlfn.CONCAT(CHAR(34),CHAR(39)),$A953))),_xlfn.CONCAT("* REVIEW REQUIRED: compound-quote delimiter in Codebook Section on Sheet 1 row ",953,"; edit the input before running."),_xlfn.CONCAT("char ",TRIM($B953),"[doc_section] ",CHAR(96),CHAR(34),SUBSTITUTE(SUBSTITUTE(SUBSTITUTE(SUBSTITUTE(SUBSTITUTE(SUBSTITUTE($A953,CHAR(13)," "),CHAR(10)," "),CHAR(9)," "),CHAR(92),_xlfn.CONCAT(CHAR(92),CHAR(92))),"$",_xlfn.CONCAT(CHAR(92),"$")),CHAR(96),_xlfn.CONCAT(CHAR(92),CHAR(96))),CHAR(34),CHAR(39))))</f>
        <v/>
      </c>
      <c r="M953" s="5" t="str">
        <f>IF(OR(TRIM($B953)="",$C953=""),"",IF(IFERROR(MATCH(TRIM($C953),{"Quantitative","Continuous","Discrete","Categorical","Nominal","Ordinal","Identifier"},0),0)=0,_xlfn.CONCAT("* REVIEW REQUIRED: invalid Variable Type on Sheet 1 row ",953,"."),_xlfn.CONCAT("char ",TRIM($B953),"[doc_vartype] ",CHAR(96),CHAR(34),SUBSTITUTE(SUBSTITUTE(SUBSTITUTE(SUBSTITUTE(SUBSTITUTE(SUBSTITUTE(LOWER(TRIM($C953)),CHAR(13)," "),CHAR(10)," "),CHAR(9)," "),CHAR(92),_xlfn.CONCAT(CHAR(92),CHAR(92))),"$",_xlfn.CONCAT(CHAR(92),"$")),CHAR(96),_xlfn.CONCAT(CHAR(92),CHAR(96))),CHAR(34),CHAR(39))))</f>
        <v/>
      </c>
      <c r="N953" s="5" t="str">
        <f>IF(OR(TRIM($B953)="",$D953=""),"",IF(OR(ISNUMBER(SEARCH(_xlfn.CONCAT(CHAR(96),CHAR(34)),$D953)),ISNUMBER(SEARCH(_xlfn.CONCAT(CHAR(34),CHAR(39)),$D953))),_xlfn.CONCAT("* REVIEW REQUIRED: compound-quote delimiter in Item Number on Sheet 1 row ",953,"; edit the input before running."),_xlfn.CONCAT("char ",TRIM($B953),"[doc_itemnum] ",CHAR(96),CHAR(34),SUBSTITUTE(SUBSTITUTE(SUBSTITUTE(SUBSTITUTE(SUBSTITUTE(SUBSTITUTE($D953,CHAR(13)," "),CHAR(10)," "),CHAR(9)," "),CHAR(92),_xlfn.CONCAT(CHAR(92),CHAR(92))),"$",_xlfn.CONCAT(CHAR(92),"$")),CHAR(96),_xlfn.CONCAT(CHAR(92),CHAR(96))),CHAR(34),CHAR(39))))</f>
        <v/>
      </c>
      <c r="O953" s="5" t="str">
        <f>IF(OR(TRIM($B953)="",$E953=""),"",IF(OR(ISNUMBER(SEARCH(_xlfn.CONCAT(CHAR(96),CHAR(34)),$E953)),ISNUMBER(SEARCH(_xlfn.CONCAT(CHAR(34),CHAR(39)),$E953))),_xlfn.CONCAT("* REVIEW REQUIRED: compound-quote delimiter in Question Wording on Sheet 1 row ",953,"; edit the input before running."),_xlfn.CONCAT("char ",TRIM($B953),"[doc_question] ",CHAR(96),CHAR(34),SUBSTITUTE(SUBSTITUTE(SUBSTITUTE(SUBSTITUTE(SUBSTITUTE(SUBSTITUTE($E953,CHAR(13)," "),CHAR(10)," "),CHAR(9)," "),CHAR(92),_xlfn.CONCAT(CHAR(92),CHAR(92))),"$",_xlfn.CONCAT(CHAR(92),"$")),CHAR(96),_xlfn.CONCAT(CHAR(92),CHAR(96))),CHAR(34),CHAR(39))))</f>
        <v/>
      </c>
      <c r="P953" s="5" t="str">
        <f>IF(OR(TRIM($B953)="",$F953=""),"",IF(OR(ISNUMBER(SEARCH(_xlfn.CONCAT(CHAR(96),CHAR(34)),$F953)),ISNUMBER(SEARCH(_xlfn.CONCAT(CHAR(34),CHAR(39)),$F953))),_xlfn.CONCAT("* REVIEW REQUIRED: compound-quote delimiter in Units on Sheet 1 row ",953,"; edit the input before running."),_xlfn.CONCAT("char ",TRIM($B953),"[doc_units] ",CHAR(96),CHAR(34),SUBSTITUTE(SUBSTITUTE(SUBSTITUTE(SUBSTITUTE(SUBSTITUTE(SUBSTITUTE($F953,CHAR(13)," "),CHAR(10)," "),CHAR(9)," "),CHAR(92),_xlfn.CONCAT(CHAR(92),CHAR(92))),"$",_xlfn.CONCAT(CHAR(92),"$")),CHAR(96),_xlfn.CONCAT(CHAR(92),CHAR(96))),CHAR(34),CHAR(39))))</f>
        <v/>
      </c>
      <c r="Q953" s="5" t="str">
        <f>IF(OR(TRIM($B953)="",$G953=""),"",IF(OR(ISNUMBER(SEARCH(_xlfn.CONCAT(CHAR(96),CHAR(34)),$G953)),ISNUMBER(SEARCH(_xlfn.CONCAT(CHAR(34),CHAR(39)),$G953))),_xlfn.CONCAT("* REVIEW REQUIRED: compound-quote delimiter in Universe on Sheet 1 row ",953,"; edit the input before running."),_xlfn.CONCAT("char ",TRIM($B953),"[doc_universe] ",CHAR(96),CHAR(34),SUBSTITUTE(SUBSTITUTE(SUBSTITUTE(SUBSTITUTE(SUBSTITUTE(SUBSTITUTE($G953,CHAR(13)," "),CHAR(10)," "),CHAR(9)," "),CHAR(92),_xlfn.CONCAT(CHAR(92),CHAR(92))),"$",_xlfn.CONCAT(CHAR(92),"$")),CHAR(96),_xlfn.CONCAT(CHAR(92),CHAR(96))),CHAR(34),CHAR(39))))</f>
        <v/>
      </c>
      <c r="R953" s="5" t="str">
        <f>IF(OR(TRIM($B953)="",$H953=""),"",IF(OR(ISNUMBER(SEARCH(_xlfn.CONCAT(CHAR(96),CHAR(34)),$H953)),ISNUMBER(SEARCH(_xlfn.CONCAT(CHAR(34),CHAR(39)),$H953))),_xlfn.CONCAT("* REVIEW REQUIRED: compound-quote delimiter in Source on Sheet 1 row ",953,"; edit the input before running."),_xlfn.CONCAT("char ",TRIM($B953),"[doc_source] ",CHAR(96),CHAR(34),SUBSTITUTE(SUBSTITUTE(SUBSTITUTE(SUBSTITUTE(SUBSTITUTE(SUBSTITUTE($H953,CHAR(13)," "),CHAR(10)," "),CHAR(9)," "),CHAR(92),_xlfn.CONCAT(CHAR(92),CHAR(92))),"$",_xlfn.CONCAT(CHAR(92),"$")),CHAR(96),_xlfn.CONCAT(CHAR(92),CHAR(96))),CHAR(34),CHAR(39))))</f>
        <v/>
      </c>
      <c r="S953" s="5" t="str">
        <f>IF(OR(TRIM($B953)="",$I953=""),"",IF(OR(ISNUMBER(SEARCH(_xlfn.CONCAT(CHAR(96),CHAR(34)),$I953)),ISNUMBER(SEARCH(_xlfn.CONCAT(CHAR(34),CHAR(39)),$I953))),_xlfn.CONCAT("* REVIEW REQUIRED: compound-quote delimiter in Derivation on Sheet 1 row ",953,"; edit the input before running."),_xlfn.CONCAT("char ",TRIM($B953),"[doc_derivation] ",CHAR(96),CHAR(34),SUBSTITUTE(SUBSTITUTE(SUBSTITUTE(SUBSTITUTE(SUBSTITUTE(SUBSTITUTE($I953,CHAR(13)," "),CHAR(10)," "),CHAR(9)," "),CHAR(92),_xlfn.CONCAT(CHAR(92),CHAR(92))),"$",_xlfn.CONCAT(CHAR(92),"$")),CHAR(96),_xlfn.CONCAT(CHAR(92),CHAR(96))),CHAR(34),CHAR(39))))</f>
        <v/>
      </c>
      <c r="T953" s="5" t="str">
        <f>IF(OR(TRIM($B953)="",$J953=""),"",IF(OR(ISNUMBER(SEARCH(_xlfn.CONCAT(CHAR(96),CHAR(34)),$J953)),ISNUMBER(SEARCH(_xlfn.CONCAT(CHAR(34),CHAR(39)),$J953))),_xlfn.CONCAT("* REVIEW REQUIRED: compound-quote delimiter in Notes on Sheet 1 row ",953,"; edit the input before running."),_xlfn.CONCAT("char ",TRIM($B953),"[doc_notes] ",CHAR(96),CHAR(34),SUBSTITUTE(SUBSTITUTE(SUBSTITUTE(SUBSTITUTE(SUBSTITUTE(SUBSTITUTE($J953,CHAR(13)," "),CHAR(10)," "),CHAR(9)," "),CHAR(92),_xlfn.CONCAT(CHAR(92),CHAR(92))),"$",_xlfn.CONCAT(CHAR(92),"$")),CHAR(96),_xlfn.CONCAT(CHAR(92),CHAR(96))),CHAR(34),CHAR(39))))</f>
        <v/>
      </c>
      <c r="U953" s="5">
        <f t="shared" si="29"/>
        <v>0</v>
      </c>
    </row>
    <row r="954" spans="3:21" ht="30" customHeight="1" x14ac:dyDescent="0.2">
      <c r="C954" s="4"/>
      <c r="K954" s="5">
        <f t="shared" si="28"/>
        <v>0</v>
      </c>
      <c r="L954" s="5" t="str">
        <f>IF(OR(TRIM($B954)="",$A954=""),"",IF(OR(ISNUMBER(SEARCH(_xlfn.CONCAT(CHAR(96),CHAR(34)),$A954)),ISNUMBER(SEARCH(_xlfn.CONCAT(CHAR(34),CHAR(39)),$A954))),_xlfn.CONCAT("* REVIEW REQUIRED: compound-quote delimiter in Codebook Section on Sheet 1 row ",954,"; edit the input before running."),_xlfn.CONCAT("char ",TRIM($B954),"[doc_section] ",CHAR(96),CHAR(34),SUBSTITUTE(SUBSTITUTE(SUBSTITUTE(SUBSTITUTE(SUBSTITUTE(SUBSTITUTE($A954,CHAR(13)," "),CHAR(10)," "),CHAR(9)," "),CHAR(92),_xlfn.CONCAT(CHAR(92),CHAR(92))),"$",_xlfn.CONCAT(CHAR(92),"$")),CHAR(96),_xlfn.CONCAT(CHAR(92),CHAR(96))),CHAR(34),CHAR(39))))</f>
        <v/>
      </c>
      <c r="M954" s="5" t="str">
        <f>IF(OR(TRIM($B954)="",$C954=""),"",IF(IFERROR(MATCH(TRIM($C954),{"Quantitative","Continuous","Discrete","Categorical","Nominal","Ordinal","Identifier"},0),0)=0,_xlfn.CONCAT("* REVIEW REQUIRED: invalid Variable Type on Sheet 1 row ",954,"."),_xlfn.CONCAT("char ",TRIM($B954),"[doc_vartype] ",CHAR(96),CHAR(34),SUBSTITUTE(SUBSTITUTE(SUBSTITUTE(SUBSTITUTE(SUBSTITUTE(SUBSTITUTE(LOWER(TRIM($C954)),CHAR(13)," "),CHAR(10)," "),CHAR(9)," "),CHAR(92),_xlfn.CONCAT(CHAR(92),CHAR(92))),"$",_xlfn.CONCAT(CHAR(92),"$")),CHAR(96),_xlfn.CONCAT(CHAR(92),CHAR(96))),CHAR(34),CHAR(39))))</f>
        <v/>
      </c>
      <c r="N954" s="5" t="str">
        <f>IF(OR(TRIM($B954)="",$D954=""),"",IF(OR(ISNUMBER(SEARCH(_xlfn.CONCAT(CHAR(96),CHAR(34)),$D954)),ISNUMBER(SEARCH(_xlfn.CONCAT(CHAR(34),CHAR(39)),$D954))),_xlfn.CONCAT("* REVIEW REQUIRED: compound-quote delimiter in Item Number on Sheet 1 row ",954,"; edit the input before running."),_xlfn.CONCAT("char ",TRIM($B954),"[doc_itemnum] ",CHAR(96),CHAR(34),SUBSTITUTE(SUBSTITUTE(SUBSTITUTE(SUBSTITUTE(SUBSTITUTE(SUBSTITUTE($D954,CHAR(13)," "),CHAR(10)," "),CHAR(9)," "),CHAR(92),_xlfn.CONCAT(CHAR(92),CHAR(92))),"$",_xlfn.CONCAT(CHAR(92),"$")),CHAR(96),_xlfn.CONCAT(CHAR(92),CHAR(96))),CHAR(34),CHAR(39))))</f>
        <v/>
      </c>
      <c r="O954" s="5" t="str">
        <f>IF(OR(TRIM($B954)="",$E954=""),"",IF(OR(ISNUMBER(SEARCH(_xlfn.CONCAT(CHAR(96),CHAR(34)),$E954)),ISNUMBER(SEARCH(_xlfn.CONCAT(CHAR(34),CHAR(39)),$E954))),_xlfn.CONCAT("* REVIEW REQUIRED: compound-quote delimiter in Question Wording on Sheet 1 row ",954,"; edit the input before running."),_xlfn.CONCAT("char ",TRIM($B954),"[doc_question] ",CHAR(96),CHAR(34),SUBSTITUTE(SUBSTITUTE(SUBSTITUTE(SUBSTITUTE(SUBSTITUTE(SUBSTITUTE($E954,CHAR(13)," "),CHAR(10)," "),CHAR(9)," "),CHAR(92),_xlfn.CONCAT(CHAR(92),CHAR(92))),"$",_xlfn.CONCAT(CHAR(92),"$")),CHAR(96),_xlfn.CONCAT(CHAR(92),CHAR(96))),CHAR(34),CHAR(39))))</f>
        <v/>
      </c>
      <c r="P954" s="5" t="str">
        <f>IF(OR(TRIM($B954)="",$F954=""),"",IF(OR(ISNUMBER(SEARCH(_xlfn.CONCAT(CHAR(96),CHAR(34)),$F954)),ISNUMBER(SEARCH(_xlfn.CONCAT(CHAR(34),CHAR(39)),$F954))),_xlfn.CONCAT("* REVIEW REQUIRED: compound-quote delimiter in Units on Sheet 1 row ",954,"; edit the input before running."),_xlfn.CONCAT("char ",TRIM($B954),"[doc_units] ",CHAR(96),CHAR(34),SUBSTITUTE(SUBSTITUTE(SUBSTITUTE(SUBSTITUTE(SUBSTITUTE(SUBSTITUTE($F954,CHAR(13)," "),CHAR(10)," "),CHAR(9)," "),CHAR(92),_xlfn.CONCAT(CHAR(92),CHAR(92))),"$",_xlfn.CONCAT(CHAR(92),"$")),CHAR(96),_xlfn.CONCAT(CHAR(92),CHAR(96))),CHAR(34),CHAR(39))))</f>
        <v/>
      </c>
      <c r="Q954" s="5" t="str">
        <f>IF(OR(TRIM($B954)="",$G954=""),"",IF(OR(ISNUMBER(SEARCH(_xlfn.CONCAT(CHAR(96),CHAR(34)),$G954)),ISNUMBER(SEARCH(_xlfn.CONCAT(CHAR(34),CHAR(39)),$G954))),_xlfn.CONCAT("* REVIEW REQUIRED: compound-quote delimiter in Universe on Sheet 1 row ",954,"; edit the input before running."),_xlfn.CONCAT("char ",TRIM($B954),"[doc_universe] ",CHAR(96),CHAR(34),SUBSTITUTE(SUBSTITUTE(SUBSTITUTE(SUBSTITUTE(SUBSTITUTE(SUBSTITUTE($G954,CHAR(13)," "),CHAR(10)," "),CHAR(9)," "),CHAR(92),_xlfn.CONCAT(CHAR(92),CHAR(92))),"$",_xlfn.CONCAT(CHAR(92),"$")),CHAR(96),_xlfn.CONCAT(CHAR(92),CHAR(96))),CHAR(34),CHAR(39))))</f>
        <v/>
      </c>
      <c r="R954" s="5" t="str">
        <f>IF(OR(TRIM($B954)="",$H954=""),"",IF(OR(ISNUMBER(SEARCH(_xlfn.CONCAT(CHAR(96),CHAR(34)),$H954)),ISNUMBER(SEARCH(_xlfn.CONCAT(CHAR(34),CHAR(39)),$H954))),_xlfn.CONCAT("* REVIEW REQUIRED: compound-quote delimiter in Source on Sheet 1 row ",954,"; edit the input before running."),_xlfn.CONCAT("char ",TRIM($B954),"[doc_source] ",CHAR(96),CHAR(34),SUBSTITUTE(SUBSTITUTE(SUBSTITUTE(SUBSTITUTE(SUBSTITUTE(SUBSTITUTE($H954,CHAR(13)," "),CHAR(10)," "),CHAR(9)," "),CHAR(92),_xlfn.CONCAT(CHAR(92),CHAR(92))),"$",_xlfn.CONCAT(CHAR(92),"$")),CHAR(96),_xlfn.CONCAT(CHAR(92),CHAR(96))),CHAR(34),CHAR(39))))</f>
        <v/>
      </c>
      <c r="S954" s="5" t="str">
        <f>IF(OR(TRIM($B954)="",$I954=""),"",IF(OR(ISNUMBER(SEARCH(_xlfn.CONCAT(CHAR(96),CHAR(34)),$I954)),ISNUMBER(SEARCH(_xlfn.CONCAT(CHAR(34),CHAR(39)),$I954))),_xlfn.CONCAT("* REVIEW REQUIRED: compound-quote delimiter in Derivation on Sheet 1 row ",954,"; edit the input before running."),_xlfn.CONCAT("char ",TRIM($B954),"[doc_derivation] ",CHAR(96),CHAR(34),SUBSTITUTE(SUBSTITUTE(SUBSTITUTE(SUBSTITUTE(SUBSTITUTE(SUBSTITUTE($I954,CHAR(13)," "),CHAR(10)," "),CHAR(9)," "),CHAR(92),_xlfn.CONCAT(CHAR(92),CHAR(92))),"$",_xlfn.CONCAT(CHAR(92),"$")),CHAR(96),_xlfn.CONCAT(CHAR(92),CHAR(96))),CHAR(34),CHAR(39))))</f>
        <v/>
      </c>
      <c r="T954" s="5" t="str">
        <f>IF(OR(TRIM($B954)="",$J954=""),"",IF(OR(ISNUMBER(SEARCH(_xlfn.CONCAT(CHAR(96),CHAR(34)),$J954)),ISNUMBER(SEARCH(_xlfn.CONCAT(CHAR(34),CHAR(39)),$J954))),_xlfn.CONCAT("* REVIEW REQUIRED: compound-quote delimiter in Notes on Sheet 1 row ",954,"; edit the input before running."),_xlfn.CONCAT("char ",TRIM($B954),"[doc_notes] ",CHAR(96),CHAR(34),SUBSTITUTE(SUBSTITUTE(SUBSTITUTE(SUBSTITUTE(SUBSTITUTE(SUBSTITUTE($J954,CHAR(13)," "),CHAR(10)," "),CHAR(9)," "),CHAR(92),_xlfn.CONCAT(CHAR(92),CHAR(92))),"$",_xlfn.CONCAT(CHAR(92),"$")),CHAR(96),_xlfn.CONCAT(CHAR(92),CHAR(96))),CHAR(34),CHAR(39))))</f>
        <v/>
      </c>
      <c r="U954" s="5">
        <f t="shared" si="29"/>
        <v>0</v>
      </c>
    </row>
    <row r="955" spans="3:21" ht="30" customHeight="1" x14ac:dyDescent="0.2">
      <c r="C955" s="4"/>
      <c r="K955" s="5">
        <f t="shared" si="28"/>
        <v>0</v>
      </c>
      <c r="L955" s="5" t="str">
        <f>IF(OR(TRIM($B955)="",$A955=""),"",IF(OR(ISNUMBER(SEARCH(_xlfn.CONCAT(CHAR(96),CHAR(34)),$A955)),ISNUMBER(SEARCH(_xlfn.CONCAT(CHAR(34),CHAR(39)),$A955))),_xlfn.CONCAT("* REVIEW REQUIRED: compound-quote delimiter in Codebook Section on Sheet 1 row ",955,"; edit the input before running."),_xlfn.CONCAT("char ",TRIM($B955),"[doc_section] ",CHAR(96),CHAR(34),SUBSTITUTE(SUBSTITUTE(SUBSTITUTE(SUBSTITUTE(SUBSTITUTE(SUBSTITUTE($A955,CHAR(13)," "),CHAR(10)," "),CHAR(9)," "),CHAR(92),_xlfn.CONCAT(CHAR(92),CHAR(92))),"$",_xlfn.CONCAT(CHAR(92),"$")),CHAR(96),_xlfn.CONCAT(CHAR(92),CHAR(96))),CHAR(34),CHAR(39))))</f>
        <v/>
      </c>
      <c r="M955" s="5" t="str">
        <f>IF(OR(TRIM($B955)="",$C955=""),"",IF(IFERROR(MATCH(TRIM($C955),{"Quantitative","Continuous","Discrete","Categorical","Nominal","Ordinal","Identifier"},0),0)=0,_xlfn.CONCAT("* REVIEW REQUIRED: invalid Variable Type on Sheet 1 row ",955,"."),_xlfn.CONCAT("char ",TRIM($B955),"[doc_vartype] ",CHAR(96),CHAR(34),SUBSTITUTE(SUBSTITUTE(SUBSTITUTE(SUBSTITUTE(SUBSTITUTE(SUBSTITUTE(LOWER(TRIM($C955)),CHAR(13)," "),CHAR(10)," "),CHAR(9)," "),CHAR(92),_xlfn.CONCAT(CHAR(92),CHAR(92))),"$",_xlfn.CONCAT(CHAR(92),"$")),CHAR(96),_xlfn.CONCAT(CHAR(92),CHAR(96))),CHAR(34),CHAR(39))))</f>
        <v/>
      </c>
      <c r="N955" s="5" t="str">
        <f>IF(OR(TRIM($B955)="",$D955=""),"",IF(OR(ISNUMBER(SEARCH(_xlfn.CONCAT(CHAR(96),CHAR(34)),$D955)),ISNUMBER(SEARCH(_xlfn.CONCAT(CHAR(34),CHAR(39)),$D955))),_xlfn.CONCAT("* REVIEW REQUIRED: compound-quote delimiter in Item Number on Sheet 1 row ",955,"; edit the input before running."),_xlfn.CONCAT("char ",TRIM($B955),"[doc_itemnum] ",CHAR(96),CHAR(34),SUBSTITUTE(SUBSTITUTE(SUBSTITUTE(SUBSTITUTE(SUBSTITUTE(SUBSTITUTE($D955,CHAR(13)," "),CHAR(10)," "),CHAR(9)," "),CHAR(92),_xlfn.CONCAT(CHAR(92),CHAR(92))),"$",_xlfn.CONCAT(CHAR(92),"$")),CHAR(96),_xlfn.CONCAT(CHAR(92),CHAR(96))),CHAR(34),CHAR(39))))</f>
        <v/>
      </c>
      <c r="O955" s="5" t="str">
        <f>IF(OR(TRIM($B955)="",$E955=""),"",IF(OR(ISNUMBER(SEARCH(_xlfn.CONCAT(CHAR(96),CHAR(34)),$E955)),ISNUMBER(SEARCH(_xlfn.CONCAT(CHAR(34),CHAR(39)),$E955))),_xlfn.CONCAT("* REVIEW REQUIRED: compound-quote delimiter in Question Wording on Sheet 1 row ",955,"; edit the input before running."),_xlfn.CONCAT("char ",TRIM($B955),"[doc_question] ",CHAR(96),CHAR(34),SUBSTITUTE(SUBSTITUTE(SUBSTITUTE(SUBSTITUTE(SUBSTITUTE(SUBSTITUTE($E955,CHAR(13)," "),CHAR(10)," "),CHAR(9)," "),CHAR(92),_xlfn.CONCAT(CHAR(92),CHAR(92))),"$",_xlfn.CONCAT(CHAR(92),"$")),CHAR(96),_xlfn.CONCAT(CHAR(92),CHAR(96))),CHAR(34),CHAR(39))))</f>
        <v/>
      </c>
      <c r="P955" s="5" t="str">
        <f>IF(OR(TRIM($B955)="",$F955=""),"",IF(OR(ISNUMBER(SEARCH(_xlfn.CONCAT(CHAR(96),CHAR(34)),$F955)),ISNUMBER(SEARCH(_xlfn.CONCAT(CHAR(34),CHAR(39)),$F955))),_xlfn.CONCAT("* REVIEW REQUIRED: compound-quote delimiter in Units on Sheet 1 row ",955,"; edit the input before running."),_xlfn.CONCAT("char ",TRIM($B955),"[doc_units] ",CHAR(96),CHAR(34),SUBSTITUTE(SUBSTITUTE(SUBSTITUTE(SUBSTITUTE(SUBSTITUTE(SUBSTITUTE($F955,CHAR(13)," "),CHAR(10)," "),CHAR(9)," "),CHAR(92),_xlfn.CONCAT(CHAR(92),CHAR(92))),"$",_xlfn.CONCAT(CHAR(92),"$")),CHAR(96),_xlfn.CONCAT(CHAR(92),CHAR(96))),CHAR(34),CHAR(39))))</f>
        <v/>
      </c>
      <c r="Q955" s="5" t="str">
        <f>IF(OR(TRIM($B955)="",$G955=""),"",IF(OR(ISNUMBER(SEARCH(_xlfn.CONCAT(CHAR(96),CHAR(34)),$G955)),ISNUMBER(SEARCH(_xlfn.CONCAT(CHAR(34),CHAR(39)),$G955))),_xlfn.CONCAT("* REVIEW REQUIRED: compound-quote delimiter in Universe on Sheet 1 row ",955,"; edit the input before running."),_xlfn.CONCAT("char ",TRIM($B955),"[doc_universe] ",CHAR(96),CHAR(34),SUBSTITUTE(SUBSTITUTE(SUBSTITUTE(SUBSTITUTE(SUBSTITUTE(SUBSTITUTE($G955,CHAR(13)," "),CHAR(10)," "),CHAR(9)," "),CHAR(92),_xlfn.CONCAT(CHAR(92),CHAR(92))),"$",_xlfn.CONCAT(CHAR(92),"$")),CHAR(96),_xlfn.CONCAT(CHAR(92),CHAR(96))),CHAR(34),CHAR(39))))</f>
        <v/>
      </c>
      <c r="R955" s="5" t="str">
        <f>IF(OR(TRIM($B955)="",$H955=""),"",IF(OR(ISNUMBER(SEARCH(_xlfn.CONCAT(CHAR(96),CHAR(34)),$H955)),ISNUMBER(SEARCH(_xlfn.CONCAT(CHAR(34),CHAR(39)),$H955))),_xlfn.CONCAT("* REVIEW REQUIRED: compound-quote delimiter in Source on Sheet 1 row ",955,"; edit the input before running."),_xlfn.CONCAT("char ",TRIM($B955),"[doc_source] ",CHAR(96),CHAR(34),SUBSTITUTE(SUBSTITUTE(SUBSTITUTE(SUBSTITUTE(SUBSTITUTE(SUBSTITUTE($H955,CHAR(13)," "),CHAR(10)," "),CHAR(9)," "),CHAR(92),_xlfn.CONCAT(CHAR(92),CHAR(92))),"$",_xlfn.CONCAT(CHAR(92),"$")),CHAR(96),_xlfn.CONCAT(CHAR(92),CHAR(96))),CHAR(34),CHAR(39))))</f>
        <v/>
      </c>
      <c r="S955" s="5" t="str">
        <f>IF(OR(TRIM($B955)="",$I955=""),"",IF(OR(ISNUMBER(SEARCH(_xlfn.CONCAT(CHAR(96),CHAR(34)),$I955)),ISNUMBER(SEARCH(_xlfn.CONCAT(CHAR(34),CHAR(39)),$I955))),_xlfn.CONCAT("* REVIEW REQUIRED: compound-quote delimiter in Derivation on Sheet 1 row ",955,"; edit the input before running."),_xlfn.CONCAT("char ",TRIM($B955),"[doc_derivation] ",CHAR(96),CHAR(34),SUBSTITUTE(SUBSTITUTE(SUBSTITUTE(SUBSTITUTE(SUBSTITUTE(SUBSTITUTE($I955,CHAR(13)," "),CHAR(10)," "),CHAR(9)," "),CHAR(92),_xlfn.CONCAT(CHAR(92),CHAR(92))),"$",_xlfn.CONCAT(CHAR(92),"$")),CHAR(96),_xlfn.CONCAT(CHAR(92),CHAR(96))),CHAR(34),CHAR(39))))</f>
        <v/>
      </c>
      <c r="T955" s="5" t="str">
        <f>IF(OR(TRIM($B955)="",$J955=""),"",IF(OR(ISNUMBER(SEARCH(_xlfn.CONCAT(CHAR(96),CHAR(34)),$J955)),ISNUMBER(SEARCH(_xlfn.CONCAT(CHAR(34),CHAR(39)),$J955))),_xlfn.CONCAT("* REVIEW REQUIRED: compound-quote delimiter in Notes on Sheet 1 row ",955,"; edit the input before running."),_xlfn.CONCAT("char ",TRIM($B955),"[doc_notes] ",CHAR(96),CHAR(34),SUBSTITUTE(SUBSTITUTE(SUBSTITUTE(SUBSTITUTE(SUBSTITUTE(SUBSTITUTE($J955,CHAR(13)," "),CHAR(10)," "),CHAR(9)," "),CHAR(92),_xlfn.CONCAT(CHAR(92),CHAR(92))),"$",_xlfn.CONCAT(CHAR(92),"$")),CHAR(96),_xlfn.CONCAT(CHAR(92),CHAR(96))),CHAR(34),CHAR(39))))</f>
        <v/>
      </c>
      <c r="U955" s="5">
        <f t="shared" si="29"/>
        <v>0</v>
      </c>
    </row>
    <row r="956" spans="3:21" ht="30" customHeight="1" x14ac:dyDescent="0.2">
      <c r="C956" s="4"/>
      <c r="K956" s="5">
        <f t="shared" si="28"/>
        <v>0</v>
      </c>
      <c r="L956" s="5" t="str">
        <f>IF(OR(TRIM($B956)="",$A956=""),"",IF(OR(ISNUMBER(SEARCH(_xlfn.CONCAT(CHAR(96),CHAR(34)),$A956)),ISNUMBER(SEARCH(_xlfn.CONCAT(CHAR(34),CHAR(39)),$A956))),_xlfn.CONCAT("* REVIEW REQUIRED: compound-quote delimiter in Codebook Section on Sheet 1 row ",956,"; edit the input before running."),_xlfn.CONCAT("char ",TRIM($B956),"[doc_section] ",CHAR(96),CHAR(34),SUBSTITUTE(SUBSTITUTE(SUBSTITUTE(SUBSTITUTE(SUBSTITUTE(SUBSTITUTE($A956,CHAR(13)," "),CHAR(10)," "),CHAR(9)," "),CHAR(92),_xlfn.CONCAT(CHAR(92),CHAR(92))),"$",_xlfn.CONCAT(CHAR(92),"$")),CHAR(96),_xlfn.CONCAT(CHAR(92),CHAR(96))),CHAR(34),CHAR(39))))</f>
        <v/>
      </c>
      <c r="M956" s="5" t="str">
        <f>IF(OR(TRIM($B956)="",$C956=""),"",IF(IFERROR(MATCH(TRIM($C956),{"Quantitative","Continuous","Discrete","Categorical","Nominal","Ordinal","Identifier"},0),0)=0,_xlfn.CONCAT("* REVIEW REQUIRED: invalid Variable Type on Sheet 1 row ",956,"."),_xlfn.CONCAT("char ",TRIM($B956),"[doc_vartype] ",CHAR(96),CHAR(34),SUBSTITUTE(SUBSTITUTE(SUBSTITUTE(SUBSTITUTE(SUBSTITUTE(SUBSTITUTE(LOWER(TRIM($C956)),CHAR(13)," "),CHAR(10)," "),CHAR(9)," "),CHAR(92),_xlfn.CONCAT(CHAR(92),CHAR(92))),"$",_xlfn.CONCAT(CHAR(92),"$")),CHAR(96),_xlfn.CONCAT(CHAR(92),CHAR(96))),CHAR(34),CHAR(39))))</f>
        <v/>
      </c>
      <c r="N956" s="5" t="str">
        <f>IF(OR(TRIM($B956)="",$D956=""),"",IF(OR(ISNUMBER(SEARCH(_xlfn.CONCAT(CHAR(96),CHAR(34)),$D956)),ISNUMBER(SEARCH(_xlfn.CONCAT(CHAR(34),CHAR(39)),$D956))),_xlfn.CONCAT("* REVIEW REQUIRED: compound-quote delimiter in Item Number on Sheet 1 row ",956,"; edit the input before running."),_xlfn.CONCAT("char ",TRIM($B956),"[doc_itemnum] ",CHAR(96),CHAR(34),SUBSTITUTE(SUBSTITUTE(SUBSTITUTE(SUBSTITUTE(SUBSTITUTE(SUBSTITUTE($D956,CHAR(13)," "),CHAR(10)," "),CHAR(9)," "),CHAR(92),_xlfn.CONCAT(CHAR(92),CHAR(92))),"$",_xlfn.CONCAT(CHAR(92),"$")),CHAR(96),_xlfn.CONCAT(CHAR(92),CHAR(96))),CHAR(34),CHAR(39))))</f>
        <v/>
      </c>
      <c r="O956" s="5" t="str">
        <f>IF(OR(TRIM($B956)="",$E956=""),"",IF(OR(ISNUMBER(SEARCH(_xlfn.CONCAT(CHAR(96),CHAR(34)),$E956)),ISNUMBER(SEARCH(_xlfn.CONCAT(CHAR(34),CHAR(39)),$E956))),_xlfn.CONCAT("* REVIEW REQUIRED: compound-quote delimiter in Question Wording on Sheet 1 row ",956,"; edit the input before running."),_xlfn.CONCAT("char ",TRIM($B956),"[doc_question] ",CHAR(96),CHAR(34),SUBSTITUTE(SUBSTITUTE(SUBSTITUTE(SUBSTITUTE(SUBSTITUTE(SUBSTITUTE($E956,CHAR(13)," "),CHAR(10)," "),CHAR(9)," "),CHAR(92),_xlfn.CONCAT(CHAR(92),CHAR(92))),"$",_xlfn.CONCAT(CHAR(92),"$")),CHAR(96),_xlfn.CONCAT(CHAR(92),CHAR(96))),CHAR(34),CHAR(39))))</f>
        <v/>
      </c>
      <c r="P956" s="5" t="str">
        <f>IF(OR(TRIM($B956)="",$F956=""),"",IF(OR(ISNUMBER(SEARCH(_xlfn.CONCAT(CHAR(96),CHAR(34)),$F956)),ISNUMBER(SEARCH(_xlfn.CONCAT(CHAR(34),CHAR(39)),$F956))),_xlfn.CONCAT("* REVIEW REQUIRED: compound-quote delimiter in Units on Sheet 1 row ",956,"; edit the input before running."),_xlfn.CONCAT("char ",TRIM($B956),"[doc_units] ",CHAR(96),CHAR(34),SUBSTITUTE(SUBSTITUTE(SUBSTITUTE(SUBSTITUTE(SUBSTITUTE(SUBSTITUTE($F956,CHAR(13)," "),CHAR(10)," "),CHAR(9)," "),CHAR(92),_xlfn.CONCAT(CHAR(92),CHAR(92))),"$",_xlfn.CONCAT(CHAR(92),"$")),CHAR(96),_xlfn.CONCAT(CHAR(92),CHAR(96))),CHAR(34),CHAR(39))))</f>
        <v/>
      </c>
      <c r="Q956" s="5" t="str">
        <f>IF(OR(TRIM($B956)="",$G956=""),"",IF(OR(ISNUMBER(SEARCH(_xlfn.CONCAT(CHAR(96),CHAR(34)),$G956)),ISNUMBER(SEARCH(_xlfn.CONCAT(CHAR(34),CHAR(39)),$G956))),_xlfn.CONCAT("* REVIEW REQUIRED: compound-quote delimiter in Universe on Sheet 1 row ",956,"; edit the input before running."),_xlfn.CONCAT("char ",TRIM($B956),"[doc_universe] ",CHAR(96),CHAR(34),SUBSTITUTE(SUBSTITUTE(SUBSTITUTE(SUBSTITUTE(SUBSTITUTE(SUBSTITUTE($G956,CHAR(13)," "),CHAR(10)," "),CHAR(9)," "),CHAR(92),_xlfn.CONCAT(CHAR(92),CHAR(92))),"$",_xlfn.CONCAT(CHAR(92),"$")),CHAR(96),_xlfn.CONCAT(CHAR(92),CHAR(96))),CHAR(34),CHAR(39))))</f>
        <v/>
      </c>
      <c r="R956" s="5" t="str">
        <f>IF(OR(TRIM($B956)="",$H956=""),"",IF(OR(ISNUMBER(SEARCH(_xlfn.CONCAT(CHAR(96),CHAR(34)),$H956)),ISNUMBER(SEARCH(_xlfn.CONCAT(CHAR(34),CHAR(39)),$H956))),_xlfn.CONCAT("* REVIEW REQUIRED: compound-quote delimiter in Source on Sheet 1 row ",956,"; edit the input before running."),_xlfn.CONCAT("char ",TRIM($B956),"[doc_source] ",CHAR(96),CHAR(34),SUBSTITUTE(SUBSTITUTE(SUBSTITUTE(SUBSTITUTE(SUBSTITUTE(SUBSTITUTE($H956,CHAR(13)," "),CHAR(10)," "),CHAR(9)," "),CHAR(92),_xlfn.CONCAT(CHAR(92),CHAR(92))),"$",_xlfn.CONCAT(CHAR(92),"$")),CHAR(96),_xlfn.CONCAT(CHAR(92),CHAR(96))),CHAR(34),CHAR(39))))</f>
        <v/>
      </c>
      <c r="S956" s="5" t="str">
        <f>IF(OR(TRIM($B956)="",$I956=""),"",IF(OR(ISNUMBER(SEARCH(_xlfn.CONCAT(CHAR(96),CHAR(34)),$I956)),ISNUMBER(SEARCH(_xlfn.CONCAT(CHAR(34),CHAR(39)),$I956))),_xlfn.CONCAT("* REVIEW REQUIRED: compound-quote delimiter in Derivation on Sheet 1 row ",956,"; edit the input before running."),_xlfn.CONCAT("char ",TRIM($B956),"[doc_derivation] ",CHAR(96),CHAR(34),SUBSTITUTE(SUBSTITUTE(SUBSTITUTE(SUBSTITUTE(SUBSTITUTE(SUBSTITUTE($I956,CHAR(13)," "),CHAR(10)," "),CHAR(9)," "),CHAR(92),_xlfn.CONCAT(CHAR(92),CHAR(92))),"$",_xlfn.CONCAT(CHAR(92),"$")),CHAR(96),_xlfn.CONCAT(CHAR(92),CHAR(96))),CHAR(34),CHAR(39))))</f>
        <v/>
      </c>
      <c r="T956" s="5" t="str">
        <f>IF(OR(TRIM($B956)="",$J956=""),"",IF(OR(ISNUMBER(SEARCH(_xlfn.CONCAT(CHAR(96),CHAR(34)),$J956)),ISNUMBER(SEARCH(_xlfn.CONCAT(CHAR(34),CHAR(39)),$J956))),_xlfn.CONCAT("* REVIEW REQUIRED: compound-quote delimiter in Notes on Sheet 1 row ",956,"; edit the input before running."),_xlfn.CONCAT("char ",TRIM($B956),"[doc_notes] ",CHAR(96),CHAR(34),SUBSTITUTE(SUBSTITUTE(SUBSTITUTE(SUBSTITUTE(SUBSTITUTE(SUBSTITUTE($J956,CHAR(13)," "),CHAR(10)," "),CHAR(9)," "),CHAR(92),_xlfn.CONCAT(CHAR(92),CHAR(92))),"$",_xlfn.CONCAT(CHAR(92),"$")),CHAR(96),_xlfn.CONCAT(CHAR(92),CHAR(96))),CHAR(34),CHAR(39))))</f>
        <v/>
      </c>
      <c r="U956" s="5">
        <f t="shared" si="29"/>
        <v>0</v>
      </c>
    </row>
    <row r="957" spans="3:21" ht="30" customHeight="1" x14ac:dyDescent="0.2">
      <c r="C957" s="4"/>
      <c r="K957" s="5">
        <f t="shared" si="28"/>
        <v>0</v>
      </c>
      <c r="L957" s="5" t="str">
        <f>IF(OR(TRIM($B957)="",$A957=""),"",IF(OR(ISNUMBER(SEARCH(_xlfn.CONCAT(CHAR(96),CHAR(34)),$A957)),ISNUMBER(SEARCH(_xlfn.CONCAT(CHAR(34),CHAR(39)),$A957))),_xlfn.CONCAT("* REVIEW REQUIRED: compound-quote delimiter in Codebook Section on Sheet 1 row ",957,"; edit the input before running."),_xlfn.CONCAT("char ",TRIM($B957),"[doc_section] ",CHAR(96),CHAR(34),SUBSTITUTE(SUBSTITUTE(SUBSTITUTE(SUBSTITUTE(SUBSTITUTE(SUBSTITUTE($A957,CHAR(13)," "),CHAR(10)," "),CHAR(9)," "),CHAR(92),_xlfn.CONCAT(CHAR(92),CHAR(92))),"$",_xlfn.CONCAT(CHAR(92),"$")),CHAR(96),_xlfn.CONCAT(CHAR(92),CHAR(96))),CHAR(34),CHAR(39))))</f>
        <v/>
      </c>
      <c r="M957" s="5" t="str">
        <f>IF(OR(TRIM($B957)="",$C957=""),"",IF(IFERROR(MATCH(TRIM($C957),{"Quantitative","Continuous","Discrete","Categorical","Nominal","Ordinal","Identifier"},0),0)=0,_xlfn.CONCAT("* REVIEW REQUIRED: invalid Variable Type on Sheet 1 row ",957,"."),_xlfn.CONCAT("char ",TRIM($B957),"[doc_vartype] ",CHAR(96),CHAR(34),SUBSTITUTE(SUBSTITUTE(SUBSTITUTE(SUBSTITUTE(SUBSTITUTE(SUBSTITUTE(LOWER(TRIM($C957)),CHAR(13)," "),CHAR(10)," "),CHAR(9)," "),CHAR(92),_xlfn.CONCAT(CHAR(92),CHAR(92))),"$",_xlfn.CONCAT(CHAR(92),"$")),CHAR(96),_xlfn.CONCAT(CHAR(92),CHAR(96))),CHAR(34),CHAR(39))))</f>
        <v/>
      </c>
      <c r="N957" s="5" t="str">
        <f>IF(OR(TRIM($B957)="",$D957=""),"",IF(OR(ISNUMBER(SEARCH(_xlfn.CONCAT(CHAR(96),CHAR(34)),$D957)),ISNUMBER(SEARCH(_xlfn.CONCAT(CHAR(34),CHAR(39)),$D957))),_xlfn.CONCAT("* REVIEW REQUIRED: compound-quote delimiter in Item Number on Sheet 1 row ",957,"; edit the input before running."),_xlfn.CONCAT("char ",TRIM($B957),"[doc_itemnum] ",CHAR(96),CHAR(34),SUBSTITUTE(SUBSTITUTE(SUBSTITUTE(SUBSTITUTE(SUBSTITUTE(SUBSTITUTE($D957,CHAR(13)," "),CHAR(10)," "),CHAR(9)," "),CHAR(92),_xlfn.CONCAT(CHAR(92),CHAR(92))),"$",_xlfn.CONCAT(CHAR(92),"$")),CHAR(96),_xlfn.CONCAT(CHAR(92),CHAR(96))),CHAR(34),CHAR(39))))</f>
        <v/>
      </c>
      <c r="O957" s="5" t="str">
        <f>IF(OR(TRIM($B957)="",$E957=""),"",IF(OR(ISNUMBER(SEARCH(_xlfn.CONCAT(CHAR(96),CHAR(34)),$E957)),ISNUMBER(SEARCH(_xlfn.CONCAT(CHAR(34),CHAR(39)),$E957))),_xlfn.CONCAT("* REVIEW REQUIRED: compound-quote delimiter in Question Wording on Sheet 1 row ",957,"; edit the input before running."),_xlfn.CONCAT("char ",TRIM($B957),"[doc_question] ",CHAR(96),CHAR(34),SUBSTITUTE(SUBSTITUTE(SUBSTITUTE(SUBSTITUTE(SUBSTITUTE(SUBSTITUTE($E957,CHAR(13)," "),CHAR(10)," "),CHAR(9)," "),CHAR(92),_xlfn.CONCAT(CHAR(92),CHAR(92))),"$",_xlfn.CONCAT(CHAR(92),"$")),CHAR(96),_xlfn.CONCAT(CHAR(92),CHAR(96))),CHAR(34),CHAR(39))))</f>
        <v/>
      </c>
      <c r="P957" s="5" t="str">
        <f>IF(OR(TRIM($B957)="",$F957=""),"",IF(OR(ISNUMBER(SEARCH(_xlfn.CONCAT(CHAR(96),CHAR(34)),$F957)),ISNUMBER(SEARCH(_xlfn.CONCAT(CHAR(34),CHAR(39)),$F957))),_xlfn.CONCAT("* REVIEW REQUIRED: compound-quote delimiter in Units on Sheet 1 row ",957,"; edit the input before running."),_xlfn.CONCAT("char ",TRIM($B957),"[doc_units] ",CHAR(96),CHAR(34),SUBSTITUTE(SUBSTITUTE(SUBSTITUTE(SUBSTITUTE(SUBSTITUTE(SUBSTITUTE($F957,CHAR(13)," "),CHAR(10)," "),CHAR(9)," "),CHAR(92),_xlfn.CONCAT(CHAR(92),CHAR(92))),"$",_xlfn.CONCAT(CHAR(92),"$")),CHAR(96),_xlfn.CONCAT(CHAR(92),CHAR(96))),CHAR(34),CHAR(39))))</f>
        <v/>
      </c>
      <c r="Q957" s="5" t="str">
        <f>IF(OR(TRIM($B957)="",$G957=""),"",IF(OR(ISNUMBER(SEARCH(_xlfn.CONCAT(CHAR(96),CHAR(34)),$G957)),ISNUMBER(SEARCH(_xlfn.CONCAT(CHAR(34),CHAR(39)),$G957))),_xlfn.CONCAT("* REVIEW REQUIRED: compound-quote delimiter in Universe on Sheet 1 row ",957,"; edit the input before running."),_xlfn.CONCAT("char ",TRIM($B957),"[doc_universe] ",CHAR(96),CHAR(34),SUBSTITUTE(SUBSTITUTE(SUBSTITUTE(SUBSTITUTE(SUBSTITUTE(SUBSTITUTE($G957,CHAR(13)," "),CHAR(10)," "),CHAR(9)," "),CHAR(92),_xlfn.CONCAT(CHAR(92),CHAR(92))),"$",_xlfn.CONCAT(CHAR(92),"$")),CHAR(96),_xlfn.CONCAT(CHAR(92),CHAR(96))),CHAR(34),CHAR(39))))</f>
        <v/>
      </c>
      <c r="R957" s="5" t="str">
        <f>IF(OR(TRIM($B957)="",$H957=""),"",IF(OR(ISNUMBER(SEARCH(_xlfn.CONCAT(CHAR(96),CHAR(34)),$H957)),ISNUMBER(SEARCH(_xlfn.CONCAT(CHAR(34),CHAR(39)),$H957))),_xlfn.CONCAT("* REVIEW REQUIRED: compound-quote delimiter in Source on Sheet 1 row ",957,"; edit the input before running."),_xlfn.CONCAT("char ",TRIM($B957),"[doc_source] ",CHAR(96),CHAR(34),SUBSTITUTE(SUBSTITUTE(SUBSTITUTE(SUBSTITUTE(SUBSTITUTE(SUBSTITUTE($H957,CHAR(13)," "),CHAR(10)," "),CHAR(9)," "),CHAR(92),_xlfn.CONCAT(CHAR(92),CHAR(92))),"$",_xlfn.CONCAT(CHAR(92),"$")),CHAR(96),_xlfn.CONCAT(CHAR(92),CHAR(96))),CHAR(34),CHAR(39))))</f>
        <v/>
      </c>
      <c r="S957" s="5" t="str">
        <f>IF(OR(TRIM($B957)="",$I957=""),"",IF(OR(ISNUMBER(SEARCH(_xlfn.CONCAT(CHAR(96),CHAR(34)),$I957)),ISNUMBER(SEARCH(_xlfn.CONCAT(CHAR(34),CHAR(39)),$I957))),_xlfn.CONCAT("* REVIEW REQUIRED: compound-quote delimiter in Derivation on Sheet 1 row ",957,"; edit the input before running."),_xlfn.CONCAT("char ",TRIM($B957),"[doc_derivation] ",CHAR(96),CHAR(34),SUBSTITUTE(SUBSTITUTE(SUBSTITUTE(SUBSTITUTE(SUBSTITUTE(SUBSTITUTE($I957,CHAR(13)," "),CHAR(10)," "),CHAR(9)," "),CHAR(92),_xlfn.CONCAT(CHAR(92),CHAR(92))),"$",_xlfn.CONCAT(CHAR(92),"$")),CHAR(96),_xlfn.CONCAT(CHAR(92),CHAR(96))),CHAR(34),CHAR(39))))</f>
        <v/>
      </c>
      <c r="T957" s="5" t="str">
        <f>IF(OR(TRIM($B957)="",$J957=""),"",IF(OR(ISNUMBER(SEARCH(_xlfn.CONCAT(CHAR(96),CHAR(34)),$J957)),ISNUMBER(SEARCH(_xlfn.CONCAT(CHAR(34),CHAR(39)),$J957))),_xlfn.CONCAT("* REVIEW REQUIRED: compound-quote delimiter in Notes on Sheet 1 row ",957,"; edit the input before running."),_xlfn.CONCAT("char ",TRIM($B957),"[doc_notes] ",CHAR(96),CHAR(34),SUBSTITUTE(SUBSTITUTE(SUBSTITUTE(SUBSTITUTE(SUBSTITUTE(SUBSTITUTE($J957,CHAR(13)," "),CHAR(10)," "),CHAR(9)," "),CHAR(92),_xlfn.CONCAT(CHAR(92),CHAR(92))),"$",_xlfn.CONCAT(CHAR(92),"$")),CHAR(96),_xlfn.CONCAT(CHAR(92),CHAR(96))),CHAR(34),CHAR(39))))</f>
        <v/>
      </c>
      <c r="U957" s="5">
        <f t="shared" si="29"/>
        <v>0</v>
      </c>
    </row>
    <row r="958" spans="3:21" ht="30" customHeight="1" x14ac:dyDescent="0.2">
      <c r="C958" s="4"/>
      <c r="K958" s="5">
        <f t="shared" si="28"/>
        <v>0</v>
      </c>
      <c r="L958" s="5" t="str">
        <f>IF(OR(TRIM($B958)="",$A958=""),"",IF(OR(ISNUMBER(SEARCH(_xlfn.CONCAT(CHAR(96),CHAR(34)),$A958)),ISNUMBER(SEARCH(_xlfn.CONCAT(CHAR(34),CHAR(39)),$A958))),_xlfn.CONCAT("* REVIEW REQUIRED: compound-quote delimiter in Codebook Section on Sheet 1 row ",958,"; edit the input before running."),_xlfn.CONCAT("char ",TRIM($B958),"[doc_section] ",CHAR(96),CHAR(34),SUBSTITUTE(SUBSTITUTE(SUBSTITUTE(SUBSTITUTE(SUBSTITUTE(SUBSTITUTE($A958,CHAR(13)," "),CHAR(10)," "),CHAR(9)," "),CHAR(92),_xlfn.CONCAT(CHAR(92),CHAR(92))),"$",_xlfn.CONCAT(CHAR(92),"$")),CHAR(96),_xlfn.CONCAT(CHAR(92),CHAR(96))),CHAR(34),CHAR(39))))</f>
        <v/>
      </c>
      <c r="M958" s="5" t="str">
        <f>IF(OR(TRIM($B958)="",$C958=""),"",IF(IFERROR(MATCH(TRIM($C958),{"Quantitative","Continuous","Discrete","Categorical","Nominal","Ordinal","Identifier"},0),0)=0,_xlfn.CONCAT("* REVIEW REQUIRED: invalid Variable Type on Sheet 1 row ",958,"."),_xlfn.CONCAT("char ",TRIM($B958),"[doc_vartype] ",CHAR(96),CHAR(34),SUBSTITUTE(SUBSTITUTE(SUBSTITUTE(SUBSTITUTE(SUBSTITUTE(SUBSTITUTE(LOWER(TRIM($C958)),CHAR(13)," "),CHAR(10)," "),CHAR(9)," "),CHAR(92),_xlfn.CONCAT(CHAR(92),CHAR(92))),"$",_xlfn.CONCAT(CHAR(92),"$")),CHAR(96),_xlfn.CONCAT(CHAR(92),CHAR(96))),CHAR(34),CHAR(39))))</f>
        <v/>
      </c>
      <c r="N958" s="5" t="str">
        <f>IF(OR(TRIM($B958)="",$D958=""),"",IF(OR(ISNUMBER(SEARCH(_xlfn.CONCAT(CHAR(96),CHAR(34)),$D958)),ISNUMBER(SEARCH(_xlfn.CONCAT(CHAR(34),CHAR(39)),$D958))),_xlfn.CONCAT("* REVIEW REQUIRED: compound-quote delimiter in Item Number on Sheet 1 row ",958,"; edit the input before running."),_xlfn.CONCAT("char ",TRIM($B958),"[doc_itemnum] ",CHAR(96),CHAR(34),SUBSTITUTE(SUBSTITUTE(SUBSTITUTE(SUBSTITUTE(SUBSTITUTE(SUBSTITUTE($D958,CHAR(13)," "),CHAR(10)," "),CHAR(9)," "),CHAR(92),_xlfn.CONCAT(CHAR(92),CHAR(92))),"$",_xlfn.CONCAT(CHAR(92),"$")),CHAR(96),_xlfn.CONCAT(CHAR(92),CHAR(96))),CHAR(34),CHAR(39))))</f>
        <v/>
      </c>
      <c r="O958" s="5" t="str">
        <f>IF(OR(TRIM($B958)="",$E958=""),"",IF(OR(ISNUMBER(SEARCH(_xlfn.CONCAT(CHAR(96),CHAR(34)),$E958)),ISNUMBER(SEARCH(_xlfn.CONCAT(CHAR(34),CHAR(39)),$E958))),_xlfn.CONCAT("* REVIEW REQUIRED: compound-quote delimiter in Question Wording on Sheet 1 row ",958,"; edit the input before running."),_xlfn.CONCAT("char ",TRIM($B958),"[doc_question] ",CHAR(96),CHAR(34),SUBSTITUTE(SUBSTITUTE(SUBSTITUTE(SUBSTITUTE(SUBSTITUTE(SUBSTITUTE($E958,CHAR(13)," "),CHAR(10)," "),CHAR(9)," "),CHAR(92),_xlfn.CONCAT(CHAR(92),CHAR(92))),"$",_xlfn.CONCAT(CHAR(92),"$")),CHAR(96),_xlfn.CONCAT(CHAR(92),CHAR(96))),CHAR(34),CHAR(39))))</f>
        <v/>
      </c>
      <c r="P958" s="5" t="str">
        <f>IF(OR(TRIM($B958)="",$F958=""),"",IF(OR(ISNUMBER(SEARCH(_xlfn.CONCAT(CHAR(96),CHAR(34)),$F958)),ISNUMBER(SEARCH(_xlfn.CONCAT(CHAR(34),CHAR(39)),$F958))),_xlfn.CONCAT("* REVIEW REQUIRED: compound-quote delimiter in Units on Sheet 1 row ",958,"; edit the input before running."),_xlfn.CONCAT("char ",TRIM($B958),"[doc_units] ",CHAR(96),CHAR(34),SUBSTITUTE(SUBSTITUTE(SUBSTITUTE(SUBSTITUTE(SUBSTITUTE(SUBSTITUTE($F958,CHAR(13)," "),CHAR(10)," "),CHAR(9)," "),CHAR(92),_xlfn.CONCAT(CHAR(92),CHAR(92))),"$",_xlfn.CONCAT(CHAR(92),"$")),CHAR(96),_xlfn.CONCAT(CHAR(92),CHAR(96))),CHAR(34),CHAR(39))))</f>
        <v/>
      </c>
      <c r="Q958" s="5" t="str">
        <f>IF(OR(TRIM($B958)="",$G958=""),"",IF(OR(ISNUMBER(SEARCH(_xlfn.CONCAT(CHAR(96),CHAR(34)),$G958)),ISNUMBER(SEARCH(_xlfn.CONCAT(CHAR(34),CHAR(39)),$G958))),_xlfn.CONCAT("* REVIEW REQUIRED: compound-quote delimiter in Universe on Sheet 1 row ",958,"; edit the input before running."),_xlfn.CONCAT("char ",TRIM($B958),"[doc_universe] ",CHAR(96),CHAR(34),SUBSTITUTE(SUBSTITUTE(SUBSTITUTE(SUBSTITUTE(SUBSTITUTE(SUBSTITUTE($G958,CHAR(13)," "),CHAR(10)," "),CHAR(9)," "),CHAR(92),_xlfn.CONCAT(CHAR(92),CHAR(92))),"$",_xlfn.CONCAT(CHAR(92),"$")),CHAR(96),_xlfn.CONCAT(CHAR(92),CHAR(96))),CHAR(34),CHAR(39))))</f>
        <v/>
      </c>
      <c r="R958" s="5" t="str">
        <f>IF(OR(TRIM($B958)="",$H958=""),"",IF(OR(ISNUMBER(SEARCH(_xlfn.CONCAT(CHAR(96),CHAR(34)),$H958)),ISNUMBER(SEARCH(_xlfn.CONCAT(CHAR(34),CHAR(39)),$H958))),_xlfn.CONCAT("* REVIEW REQUIRED: compound-quote delimiter in Source on Sheet 1 row ",958,"; edit the input before running."),_xlfn.CONCAT("char ",TRIM($B958),"[doc_source] ",CHAR(96),CHAR(34),SUBSTITUTE(SUBSTITUTE(SUBSTITUTE(SUBSTITUTE(SUBSTITUTE(SUBSTITUTE($H958,CHAR(13)," "),CHAR(10)," "),CHAR(9)," "),CHAR(92),_xlfn.CONCAT(CHAR(92),CHAR(92))),"$",_xlfn.CONCAT(CHAR(92),"$")),CHAR(96),_xlfn.CONCAT(CHAR(92),CHAR(96))),CHAR(34),CHAR(39))))</f>
        <v/>
      </c>
      <c r="S958" s="5" t="str">
        <f>IF(OR(TRIM($B958)="",$I958=""),"",IF(OR(ISNUMBER(SEARCH(_xlfn.CONCAT(CHAR(96),CHAR(34)),$I958)),ISNUMBER(SEARCH(_xlfn.CONCAT(CHAR(34),CHAR(39)),$I958))),_xlfn.CONCAT("* REVIEW REQUIRED: compound-quote delimiter in Derivation on Sheet 1 row ",958,"; edit the input before running."),_xlfn.CONCAT("char ",TRIM($B958),"[doc_derivation] ",CHAR(96),CHAR(34),SUBSTITUTE(SUBSTITUTE(SUBSTITUTE(SUBSTITUTE(SUBSTITUTE(SUBSTITUTE($I958,CHAR(13)," "),CHAR(10)," "),CHAR(9)," "),CHAR(92),_xlfn.CONCAT(CHAR(92),CHAR(92))),"$",_xlfn.CONCAT(CHAR(92),"$")),CHAR(96),_xlfn.CONCAT(CHAR(92),CHAR(96))),CHAR(34),CHAR(39))))</f>
        <v/>
      </c>
      <c r="T958" s="5" t="str">
        <f>IF(OR(TRIM($B958)="",$J958=""),"",IF(OR(ISNUMBER(SEARCH(_xlfn.CONCAT(CHAR(96),CHAR(34)),$J958)),ISNUMBER(SEARCH(_xlfn.CONCAT(CHAR(34),CHAR(39)),$J958))),_xlfn.CONCAT("* REVIEW REQUIRED: compound-quote delimiter in Notes on Sheet 1 row ",958,"; edit the input before running."),_xlfn.CONCAT("char ",TRIM($B958),"[doc_notes] ",CHAR(96),CHAR(34),SUBSTITUTE(SUBSTITUTE(SUBSTITUTE(SUBSTITUTE(SUBSTITUTE(SUBSTITUTE($J958,CHAR(13)," "),CHAR(10)," "),CHAR(9)," "),CHAR(92),_xlfn.CONCAT(CHAR(92),CHAR(92))),"$",_xlfn.CONCAT(CHAR(92),"$")),CHAR(96),_xlfn.CONCAT(CHAR(92),CHAR(96))),CHAR(34),CHAR(39))))</f>
        <v/>
      </c>
      <c r="U958" s="5">
        <f t="shared" si="29"/>
        <v>0</v>
      </c>
    </row>
    <row r="959" spans="3:21" ht="30" customHeight="1" x14ac:dyDescent="0.2">
      <c r="C959" s="4"/>
      <c r="K959" s="5">
        <f t="shared" si="28"/>
        <v>0</v>
      </c>
      <c r="L959" s="5" t="str">
        <f>IF(OR(TRIM($B959)="",$A959=""),"",IF(OR(ISNUMBER(SEARCH(_xlfn.CONCAT(CHAR(96),CHAR(34)),$A959)),ISNUMBER(SEARCH(_xlfn.CONCAT(CHAR(34),CHAR(39)),$A959))),_xlfn.CONCAT("* REVIEW REQUIRED: compound-quote delimiter in Codebook Section on Sheet 1 row ",959,"; edit the input before running."),_xlfn.CONCAT("char ",TRIM($B959),"[doc_section] ",CHAR(96),CHAR(34),SUBSTITUTE(SUBSTITUTE(SUBSTITUTE(SUBSTITUTE(SUBSTITUTE(SUBSTITUTE($A959,CHAR(13)," "),CHAR(10)," "),CHAR(9)," "),CHAR(92),_xlfn.CONCAT(CHAR(92),CHAR(92))),"$",_xlfn.CONCAT(CHAR(92),"$")),CHAR(96),_xlfn.CONCAT(CHAR(92),CHAR(96))),CHAR(34),CHAR(39))))</f>
        <v/>
      </c>
      <c r="M959" s="5" t="str">
        <f>IF(OR(TRIM($B959)="",$C959=""),"",IF(IFERROR(MATCH(TRIM($C959),{"Quantitative","Continuous","Discrete","Categorical","Nominal","Ordinal","Identifier"},0),0)=0,_xlfn.CONCAT("* REVIEW REQUIRED: invalid Variable Type on Sheet 1 row ",959,"."),_xlfn.CONCAT("char ",TRIM($B959),"[doc_vartype] ",CHAR(96),CHAR(34),SUBSTITUTE(SUBSTITUTE(SUBSTITUTE(SUBSTITUTE(SUBSTITUTE(SUBSTITUTE(LOWER(TRIM($C959)),CHAR(13)," "),CHAR(10)," "),CHAR(9)," "),CHAR(92),_xlfn.CONCAT(CHAR(92),CHAR(92))),"$",_xlfn.CONCAT(CHAR(92),"$")),CHAR(96),_xlfn.CONCAT(CHAR(92),CHAR(96))),CHAR(34),CHAR(39))))</f>
        <v/>
      </c>
      <c r="N959" s="5" t="str">
        <f>IF(OR(TRIM($B959)="",$D959=""),"",IF(OR(ISNUMBER(SEARCH(_xlfn.CONCAT(CHAR(96),CHAR(34)),$D959)),ISNUMBER(SEARCH(_xlfn.CONCAT(CHAR(34),CHAR(39)),$D959))),_xlfn.CONCAT("* REVIEW REQUIRED: compound-quote delimiter in Item Number on Sheet 1 row ",959,"; edit the input before running."),_xlfn.CONCAT("char ",TRIM($B959),"[doc_itemnum] ",CHAR(96),CHAR(34),SUBSTITUTE(SUBSTITUTE(SUBSTITUTE(SUBSTITUTE(SUBSTITUTE(SUBSTITUTE($D959,CHAR(13)," "),CHAR(10)," "),CHAR(9)," "),CHAR(92),_xlfn.CONCAT(CHAR(92),CHAR(92))),"$",_xlfn.CONCAT(CHAR(92),"$")),CHAR(96),_xlfn.CONCAT(CHAR(92),CHAR(96))),CHAR(34),CHAR(39))))</f>
        <v/>
      </c>
      <c r="O959" s="5" t="str">
        <f>IF(OR(TRIM($B959)="",$E959=""),"",IF(OR(ISNUMBER(SEARCH(_xlfn.CONCAT(CHAR(96),CHAR(34)),$E959)),ISNUMBER(SEARCH(_xlfn.CONCAT(CHAR(34),CHAR(39)),$E959))),_xlfn.CONCAT("* REVIEW REQUIRED: compound-quote delimiter in Question Wording on Sheet 1 row ",959,"; edit the input before running."),_xlfn.CONCAT("char ",TRIM($B959),"[doc_question] ",CHAR(96),CHAR(34),SUBSTITUTE(SUBSTITUTE(SUBSTITUTE(SUBSTITUTE(SUBSTITUTE(SUBSTITUTE($E959,CHAR(13)," "),CHAR(10)," "),CHAR(9)," "),CHAR(92),_xlfn.CONCAT(CHAR(92),CHAR(92))),"$",_xlfn.CONCAT(CHAR(92),"$")),CHAR(96),_xlfn.CONCAT(CHAR(92),CHAR(96))),CHAR(34),CHAR(39))))</f>
        <v/>
      </c>
      <c r="P959" s="5" t="str">
        <f>IF(OR(TRIM($B959)="",$F959=""),"",IF(OR(ISNUMBER(SEARCH(_xlfn.CONCAT(CHAR(96),CHAR(34)),$F959)),ISNUMBER(SEARCH(_xlfn.CONCAT(CHAR(34),CHAR(39)),$F959))),_xlfn.CONCAT("* REVIEW REQUIRED: compound-quote delimiter in Units on Sheet 1 row ",959,"; edit the input before running."),_xlfn.CONCAT("char ",TRIM($B959),"[doc_units] ",CHAR(96),CHAR(34),SUBSTITUTE(SUBSTITUTE(SUBSTITUTE(SUBSTITUTE(SUBSTITUTE(SUBSTITUTE($F959,CHAR(13)," "),CHAR(10)," "),CHAR(9)," "),CHAR(92),_xlfn.CONCAT(CHAR(92),CHAR(92))),"$",_xlfn.CONCAT(CHAR(92),"$")),CHAR(96),_xlfn.CONCAT(CHAR(92),CHAR(96))),CHAR(34),CHAR(39))))</f>
        <v/>
      </c>
      <c r="Q959" s="5" t="str">
        <f>IF(OR(TRIM($B959)="",$G959=""),"",IF(OR(ISNUMBER(SEARCH(_xlfn.CONCAT(CHAR(96),CHAR(34)),$G959)),ISNUMBER(SEARCH(_xlfn.CONCAT(CHAR(34),CHAR(39)),$G959))),_xlfn.CONCAT("* REVIEW REQUIRED: compound-quote delimiter in Universe on Sheet 1 row ",959,"; edit the input before running."),_xlfn.CONCAT("char ",TRIM($B959),"[doc_universe] ",CHAR(96),CHAR(34),SUBSTITUTE(SUBSTITUTE(SUBSTITUTE(SUBSTITUTE(SUBSTITUTE(SUBSTITUTE($G959,CHAR(13)," "),CHAR(10)," "),CHAR(9)," "),CHAR(92),_xlfn.CONCAT(CHAR(92),CHAR(92))),"$",_xlfn.CONCAT(CHAR(92),"$")),CHAR(96),_xlfn.CONCAT(CHAR(92),CHAR(96))),CHAR(34),CHAR(39))))</f>
        <v/>
      </c>
      <c r="R959" s="5" t="str">
        <f>IF(OR(TRIM($B959)="",$H959=""),"",IF(OR(ISNUMBER(SEARCH(_xlfn.CONCAT(CHAR(96),CHAR(34)),$H959)),ISNUMBER(SEARCH(_xlfn.CONCAT(CHAR(34),CHAR(39)),$H959))),_xlfn.CONCAT("* REVIEW REQUIRED: compound-quote delimiter in Source on Sheet 1 row ",959,"; edit the input before running."),_xlfn.CONCAT("char ",TRIM($B959),"[doc_source] ",CHAR(96),CHAR(34),SUBSTITUTE(SUBSTITUTE(SUBSTITUTE(SUBSTITUTE(SUBSTITUTE(SUBSTITUTE($H959,CHAR(13)," "),CHAR(10)," "),CHAR(9)," "),CHAR(92),_xlfn.CONCAT(CHAR(92),CHAR(92))),"$",_xlfn.CONCAT(CHAR(92),"$")),CHAR(96),_xlfn.CONCAT(CHAR(92),CHAR(96))),CHAR(34),CHAR(39))))</f>
        <v/>
      </c>
      <c r="S959" s="5" t="str">
        <f>IF(OR(TRIM($B959)="",$I959=""),"",IF(OR(ISNUMBER(SEARCH(_xlfn.CONCAT(CHAR(96),CHAR(34)),$I959)),ISNUMBER(SEARCH(_xlfn.CONCAT(CHAR(34),CHAR(39)),$I959))),_xlfn.CONCAT("* REVIEW REQUIRED: compound-quote delimiter in Derivation on Sheet 1 row ",959,"; edit the input before running."),_xlfn.CONCAT("char ",TRIM($B959),"[doc_derivation] ",CHAR(96),CHAR(34),SUBSTITUTE(SUBSTITUTE(SUBSTITUTE(SUBSTITUTE(SUBSTITUTE(SUBSTITUTE($I959,CHAR(13)," "),CHAR(10)," "),CHAR(9)," "),CHAR(92),_xlfn.CONCAT(CHAR(92),CHAR(92))),"$",_xlfn.CONCAT(CHAR(92),"$")),CHAR(96),_xlfn.CONCAT(CHAR(92),CHAR(96))),CHAR(34),CHAR(39))))</f>
        <v/>
      </c>
      <c r="T959" s="5" t="str">
        <f>IF(OR(TRIM($B959)="",$J959=""),"",IF(OR(ISNUMBER(SEARCH(_xlfn.CONCAT(CHAR(96),CHAR(34)),$J959)),ISNUMBER(SEARCH(_xlfn.CONCAT(CHAR(34),CHAR(39)),$J959))),_xlfn.CONCAT("* REVIEW REQUIRED: compound-quote delimiter in Notes on Sheet 1 row ",959,"; edit the input before running."),_xlfn.CONCAT("char ",TRIM($B959),"[doc_notes] ",CHAR(96),CHAR(34),SUBSTITUTE(SUBSTITUTE(SUBSTITUTE(SUBSTITUTE(SUBSTITUTE(SUBSTITUTE($J959,CHAR(13)," "),CHAR(10)," "),CHAR(9)," "),CHAR(92),_xlfn.CONCAT(CHAR(92),CHAR(92))),"$",_xlfn.CONCAT(CHAR(92),"$")),CHAR(96),_xlfn.CONCAT(CHAR(92),CHAR(96))),CHAR(34),CHAR(39))))</f>
        <v/>
      </c>
      <c r="U959" s="5">
        <f t="shared" si="29"/>
        <v>0</v>
      </c>
    </row>
    <row r="960" spans="3:21" ht="30" customHeight="1" x14ac:dyDescent="0.2">
      <c r="C960" s="4"/>
      <c r="K960" s="5">
        <f t="shared" si="28"/>
        <v>0</v>
      </c>
      <c r="L960" s="5" t="str">
        <f>IF(OR(TRIM($B960)="",$A960=""),"",IF(OR(ISNUMBER(SEARCH(_xlfn.CONCAT(CHAR(96),CHAR(34)),$A960)),ISNUMBER(SEARCH(_xlfn.CONCAT(CHAR(34),CHAR(39)),$A960))),_xlfn.CONCAT("* REVIEW REQUIRED: compound-quote delimiter in Codebook Section on Sheet 1 row ",960,"; edit the input before running."),_xlfn.CONCAT("char ",TRIM($B960),"[doc_section] ",CHAR(96),CHAR(34),SUBSTITUTE(SUBSTITUTE(SUBSTITUTE(SUBSTITUTE(SUBSTITUTE(SUBSTITUTE($A960,CHAR(13)," "),CHAR(10)," "),CHAR(9)," "),CHAR(92),_xlfn.CONCAT(CHAR(92),CHAR(92))),"$",_xlfn.CONCAT(CHAR(92),"$")),CHAR(96),_xlfn.CONCAT(CHAR(92),CHAR(96))),CHAR(34),CHAR(39))))</f>
        <v/>
      </c>
      <c r="M960" s="5" t="str">
        <f>IF(OR(TRIM($B960)="",$C960=""),"",IF(IFERROR(MATCH(TRIM($C960),{"Quantitative","Continuous","Discrete","Categorical","Nominal","Ordinal","Identifier"},0),0)=0,_xlfn.CONCAT("* REVIEW REQUIRED: invalid Variable Type on Sheet 1 row ",960,"."),_xlfn.CONCAT("char ",TRIM($B960),"[doc_vartype] ",CHAR(96),CHAR(34),SUBSTITUTE(SUBSTITUTE(SUBSTITUTE(SUBSTITUTE(SUBSTITUTE(SUBSTITUTE(LOWER(TRIM($C960)),CHAR(13)," "),CHAR(10)," "),CHAR(9)," "),CHAR(92),_xlfn.CONCAT(CHAR(92),CHAR(92))),"$",_xlfn.CONCAT(CHAR(92),"$")),CHAR(96),_xlfn.CONCAT(CHAR(92),CHAR(96))),CHAR(34),CHAR(39))))</f>
        <v/>
      </c>
      <c r="N960" s="5" t="str">
        <f>IF(OR(TRIM($B960)="",$D960=""),"",IF(OR(ISNUMBER(SEARCH(_xlfn.CONCAT(CHAR(96),CHAR(34)),$D960)),ISNUMBER(SEARCH(_xlfn.CONCAT(CHAR(34),CHAR(39)),$D960))),_xlfn.CONCAT("* REVIEW REQUIRED: compound-quote delimiter in Item Number on Sheet 1 row ",960,"; edit the input before running."),_xlfn.CONCAT("char ",TRIM($B960),"[doc_itemnum] ",CHAR(96),CHAR(34),SUBSTITUTE(SUBSTITUTE(SUBSTITUTE(SUBSTITUTE(SUBSTITUTE(SUBSTITUTE($D960,CHAR(13)," "),CHAR(10)," "),CHAR(9)," "),CHAR(92),_xlfn.CONCAT(CHAR(92),CHAR(92))),"$",_xlfn.CONCAT(CHAR(92),"$")),CHAR(96),_xlfn.CONCAT(CHAR(92),CHAR(96))),CHAR(34),CHAR(39))))</f>
        <v/>
      </c>
      <c r="O960" s="5" t="str">
        <f>IF(OR(TRIM($B960)="",$E960=""),"",IF(OR(ISNUMBER(SEARCH(_xlfn.CONCAT(CHAR(96),CHAR(34)),$E960)),ISNUMBER(SEARCH(_xlfn.CONCAT(CHAR(34),CHAR(39)),$E960))),_xlfn.CONCAT("* REVIEW REQUIRED: compound-quote delimiter in Question Wording on Sheet 1 row ",960,"; edit the input before running."),_xlfn.CONCAT("char ",TRIM($B960),"[doc_question] ",CHAR(96),CHAR(34),SUBSTITUTE(SUBSTITUTE(SUBSTITUTE(SUBSTITUTE(SUBSTITUTE(SUBSTITUTE($E960,CHAR(13)," "),CHAR(10)," "),CHAR(9)," "),CHAR(92),_xlfn.CONCAT(CHAR(92),CHAR(92))),"$",_xlfn.CONCAT(CHAR(92),"$")),CHAR(96),_xlfn.CONCAT(CHAR(92),CHAR(96))),CHAR(34),CHAR(39))))</f>
        <v/>
      </c>
      <c r="P960" s="5" t="str">
        <f>IF(OR(TRIM($B960)="",$F960=""),"",IF(OR(ISNUMBER(SEARCH(_xlfn.CONCAT(CHAR(96),CHAR(34)),$F960)),ISNUMBER(SEARCH(_xlfn.CONCAT(CHAR(34),CHAR(39)),$F960))),_xlfn.CONCAT("* REVIEW REQUIRED: compound-quote delimiter in Units on Sheet 1 row ",960,"; edit the input before running."),_xlfn.CONCAT("char ",TRIM($B960),"[doc_units] ",CHAR(96),CHAR(34),SUBSTITUTE(SUBSTITUTE(SUBSTITUTE(SUBSTITUTE(SUBSTITUTE(SUBSTITUTE($F960,CHAR(13)," "),CHAR(10)," "),CHAR(9)," "),CHAR(92),_xlfn.CONCAT(CHAR(92),CHAR(92))),"$",_xlfn.CONCAT(CHAR(92),"$")),CHAR(96),_xlfn.CONCAT(CHAR(92),CHAR(96))),CHAR(34),CHAR(39))))</f>
        <v/>
      </c>
      <c r="Q960" s="5" t="str">
        <f>IF(OR(TRIM($B960)="",$G960=""),"",IF(OR(ISNUMBER(SEARCH(_xlfn.CONCAT(CHAR(96),CHAR(34)),$G960)),ISNUMBER(SEARCH(_xlfn.CONCAT(CHAR(34),CHAR(39)),$G960))),_xlfn.CONCAT("* REVIEW REQUIRED: compound-quote delimiter in Universe on Sheet 1 row ",960,"; edit the input before running."),_xlfn.CONCAT("char ",TRIM($B960),"[doc_universe] ",CHAR(96),CHAR(34),SUBSTITUTE(SUBSTITUTE(SUBSTITUTE(SUBSTITUTE(SUBSTITUTE(SUBSTITUTE($G960,CHAR(13)," "),CHAR(10)," "),CHAR(9)," "),CHAR(92),_xlfn.CONCAT(CHAR(92),CHAR(92))),"$",_xlfn.CONCAT(CHAR(92),"$")),CHAR(96),_xlfn.CONCAT(CHAR(92),CHAR(96))),CHAR(34),CHAR(39))))</f>
        <v/>
      </c>
      <c r="R960" s="5" t="str">
        <f>IF(OR(TRIM($B960)="",$H960=""),"",IF(OR(ISNUMBER(SEARCH(_xlfn.CONCAT(CHAR(96),CHAR(34)),$H960)),ISNUMBER(SEARCH(_xlfn.CONCAT(CHAR(34),CHAR(39)),$H960))),_xlfn.CONCAT("* REVIEW REQUIRED: compound-quote delimiter in Source on Sheet 1 row ",960,"; edit the input before running."),_xlfn.CONCAT("char ",TRIM($B960),"[doc_source] ",CHAR(96),CHAR(34),SUBSTITUTE(SUBSTITUTE(SUBSTITUTE(SUBSTITUTE(SUBSTITUTE(SUBSTITUTE($H960,CHAR(13)," "),CHAR(10)," "),CHAR(9)," "),CHAR(92),_xlfn.CONCAT(CHAR(92),CHAR(92))),"$",_xlfn.CONCAT(CHAR(92),"$")),CHAR(96),_xlfn.CONCAT(CHAR(92),CHAR(96))),CHAR(34),CHAR(39))))</f>
        <v/>
      </c>
      <c r="S960" s="5" t="str">
        <f>IF(OR(TRIM($B960)="",$I960=""),"",IF(OR(ISNUMBER(SEARCH(_xlfn.CONCAT(CHAR(96),CHAR(34)),$I960)),ISNUMBER(SEARCH(_xlfn.CONCAT(CHAR(34),CHAR(39)),$I960))),_xlfn.CONCAT("* REVIEW REQUIRED: compound-quote delimiter in Derivation on Sheet 1 row ",960,"; edit the input before running."),_xlfn.CONCAT("char ",TRIM($B960),"[doc_derivation] ",CHAR(96),CHAR(34),SUBSTITUTE(SUBSTITUTE(SUBSTITUTE(SUBSTITUTE(SUBSTITUTE(SUBSTITUTE($I960,CHAR(13)," "),CHAR(10)," "),CHAR(9)," "),CHAR(92),_xlfn.CONCAT(CHAR(92),CHAR(92))),"$",_xlfn.CONCAT(CHAR(92),"$")),CHAR(96),_xlfn.CONCAT(CHAR(92),CHAR(96))),CHAR(34),CHAR(39))))</f>
        <v/>
      </c>
      <c r="T960" s="5" t="str">
        <f>IF(OR(TRIM($B960)="",$J960=""),"",IF(OR(ISNUMBER(SEARCH(_xlfn.CONCAT(CHAR(96),CHAR(34)),$J960)),ISNUMBER(SEARCH(_xlfn.CONCAT(CHAR(34),CHAR(39)),$J960))),_xlfn.CONCAT("* REVIEW REQUIRED: compound-quote delimiter in Notes on Sheet 1 row ",960,"; edit the input before running."),_xlfn.CONCAT("char ",TRIM($B960),"[doc_notes] ",CHAR(96),CHAR(34),SUBSTITUTE(SUBSTITUTE(SUBSTITUTE(SUBSTITUTE(SUBSTITUTE(SUBSTITUTE($J960,CHAR(13)," "),CHAR(10)," "),CHAR(9)," "),CHAR(92),_xlfn.CONCAT(CHAR(92),CHAR(92))),"$",_xlfn.CONCAT(CHAR(92),"$")),CHAR(96),_xlfn.CONCAT(CHAR(92),CHAR(96))),CHAR(34),CHAR(39))))</f>
        <v/>
      </c>
      <c r="U960" s="5">
        <f t="shared" si="29"/>
        <v>0</v>
      </c>
    </row>
    <row r="961" spans="3:21" ht="30" customHeight="1" x14ac:dyDescent="0.2">
      <c r="C961" s="4"/>
      <c r="K961" s="5">
        <f t="shared" si="28"/>
        <v>0</v>
      </c>
      <c r="L961" s="5" t="str">
        <f>IF(OR(TRIM($B961)="",$A961=""),"",IF(OR(ISNUMBER(SEARCH(_xlfn.CONCAT(CHAR(96),CHAR(34)),$A961)),ISNUMBER(SEARCH(_xlfn.CONCAT(CHAR(34),CHAR(39)),$A961))),_xlfn.CONCAT("* REVIEW REQUIRED: compound-quote delimiter in Codebook Section on Sheet 1 row ",961,"; edit the input before running."),_xlfn.CONCAT("char ",TRIM($B961),"[doc_section] ",CHAR(96),CHAR(34),SUBSTITUTE(SUBSTITUTE(SUBSTITUTE(SUBSTITUTE(SUBSTITUTE(SUBSTITUTE($A961,CHAR(13)," "),CHAR(10)," "),CHAR(9)," "),CHAR(92),_xlfn.CONCAT(CHAR(92),CHAR(92))),"$",_xlfn.CONCAT(CHAR(92),"$")),CHAR(96),_xlfn.CONCAT(CHAR(92),CHAR(96))),CHAR(34),CHAR(39))))</f>
        <v/>
      </c>
      <c r="M961" s="5" t="str">
        <f>IF(OR(TRIM($B961)="",$C961=""),"",IF(IFERROR(MATCH(TRIM($C961),{"Quantitative","Continuous","Discrete","Categorical","Nominal","Ordinal","Identifier"},0),0)=0,_xlfn.CONCAT("* REVIEW REQUIRED: invalid Variable Type on Sheet 1 row ",961,"."),_xlfn.CONCAT("char ",TRIM($B961),"[doc_vartype] ",CHAR(96),CHAR(34),SUBSTITUTE(SUBSTITUTE(SUBSTITUTE(SUBSTITUTE(SUBSTITUTE(SUBSTITUTE(LOWER(TRIM($C961)),CHAR(13)," "),CHAR(10)," "),CHAR(9)," "),CHAR(92),_xlfn.CONCAT(CHAR(92),CHAR(92))),"$",_xlfn.CONCAT(CHAR(92),"$")),CHAR(96),_xlfn.CONCAT(CHAR(92),CHAR(96))),CHAR(34),CHAR(39))))</f>
        <v/>
      </c>
      <c r="N961" s="5" t="str">
        <f>IF(OR(TRIM($B961)="",$D961=""),"",IF(OR(ISNUMBER(SEARCH(_xlfn.CONCAT(CHAR(96),CHAR(34)),$D961)),ISNUMBER(SEARCH(_xlfn.CONCAT(CHAR(34),CHAR(39)),$D961))),_xlfn.CONCAT("* REVIEW REQUIRED: compound-quote delimiter in Item Number on Sheet 1 row ",961,"; edit the input before running."),_xlfn.CONCAT("char ",TRIM($B961),"[doc_itemnum] ",CHAR(96),CHAR(34),SUBSTITUTE(SUBSTITUTE(SUBSTITUTE(SUBSTITUTE(SUBSTITUTE(SUBSTITUTE($D961,CHAR(13)," "),CHAR(10)," "),CHAR(9)," "),CHAR(92),_xlfn.CONCAT(CHAR(92),CHAR(92))),"$",_xlfn.CONCAT(CHAR(92),"$")),CHAR(96),_xlfn.CONCAT(CHAR(92),CHAR(96))),CHAR(34),CHAR(39))))</f>
        <v/>
      </c>
      <c r="O961" s="5" t="str">
        <f>IF(OR(TRIM($B961)="",$E961=""),"",IF(OR(ISNUMBER(SEARCH(_xlfn.CONCAT(CHAR(96),CHAR(34)),$E961)),ISNUMBER(SEARCH(_xlfn.CONCAT(CHAR(34),CHAR(39)),$E961))),_xlfn.CONCAT("* REVIEW REQUIRED: compound-quote delimiter in Question Wording on Sheet 1 row ",961,"; edit the input before running."),_xlfn.CONCAT("char ",TRIM($B961),"[doc_question] ",CHAR(96),CHAR(34),SUBSTITUTE(SUBSTITUTE(SUBSTITUTE(SUBSTITUTE(SUBSTITUTE(SUBSTITUTE($E961,CHAR(13)," "),CHAR(10)," "),CHAR(9)," "),CHAR(92),_xlfn.CONCAT(CHAR(92),CHAR(92))),"$",_xlfn.CONCAT(CHAR(92),"$")),CHAR(96),_xlfn.CONCAT(CHAR(92),CHAR(96))),CHAR(34),CHAR(39))))</f>
        <v/>
      </c>
      <c r="P961" s="5" t="str">
        <f>IF(OR(TRIM($B961)="",$F961=""),"",IF(OR(ISNUMBER(SEARCH(_xlfn.CONCAT(CHAR(96),CHAR(34)),$F961)),ISNUMBER(SEARCH(_xlfn.CONCAT(CHAR(34),CHAR(39)),$F961))),_xlfn.CONCAT("* REVIEW REQUIRED: compound-quote delimiter in Units on Sheet 1 row ",961,"; edit the input before running."),_xlfn.CONCAT("char ",TRIM($B961),"[doc_units] ",CHAR(96),CHAR(34),SUBSTITUTE(SUBSTITUTE(SUBSTITUTE(SUBSTITUTE(SUBSTITUTE(SUBSTITUTE($F961,CHAR(13)," "),CHAR(10)," "),CHAR(9)," "),CHAR(92),_xlfn.CONCAT(CHAR(92),CHAR(92))),"$",_xlfn.CONCAT(CHAR(92),"$")),CHAR(96),_xlfn.CONCAT(CHAR(92),CHAR(96))),CHAR(34),CHAR(39))))</f>
        <v/>
      </c>
      <c r="Q961" s="5" t="str">
        <f>IF(OR(TRIM($B961)="",$G961=""),"",IF(OR(ISNUMBER(SEARCH(_xlfn.CONCAT(CHAR(96),CHAR(34)),$G961)),ISNUMBER(SEARCH(_xlfn.CONCAT(CHAR(34),CHAR(39)),$G961))),_xlfn.CONCAT("* REVIEW REQUIRED: compound-quote delimiter in Universe on Sheet 1 row ",961,"; edit the input before running."),_xlfn.CONCAT("char ",TRIM($B961),"[doc_universe] ",CHAR(96),CHAR(34),SUBSTITUTE(SUBSTITUTE(SUBSTITUTE(SUBSTITUTE(SUBSTITUTE(SUBSTITUTE($G961,CHAR(13)," "),CHAR(10)," "),CHAR(9)," "),CHAR(92),_xlfn.CONCAT(CHAR(92),CHAR(92))),"$",_xlfn.CONCAT(CHAR(92),"$")),CHAR(96),_xlfn.CONCAT(CHAR(92),CHAR(96))),CHAR(34),CHAR(39))))</f>
        <v/>
      </c>
      <c r="R961" s="5" t="str">
        <f>IF(OR(TRIM($B961)="",$H961=""),"",IF(OR(ISNUMBER(SEARCH(_xlfn.CONCAT(CHAR(96),CHAR(34)),$H961)),ISNUMBER(SEARCH(_xlfn.CONCAT(CHAR(34),CHAR(39)),$H961))),_xlfn.CONCAT("* REVIEW REQUIRED: compound-quote delimiter in Source on Sheet 1 row ",961,"; edit the input before running."),_xlfn.CONCAT("char ",TRIM($B961),"[doc_source] ",CHAR(96),CHAR(34),SUBSTITUTE(SUBSTITUTE(SUBSTITUTE(SUBSTITUTE(SUBSTITUTE(SUBSTITUTE($H961,CHAR(13)," "),CHAR(10)," "),CHAR(9)," "),CHAR(92),_xlfn.CONCAT(CHAR(92),CHAR(92))),"$",_xlfn.CONCAT(CHAR(92),"$")),CHAR(96),_xlfn.CONCAT(CHAR(92),CHAR(96))),CHAR(34),CHAR(39))))</f>
        <v/>
      </c>
      <c r="S961" s="5" t="str">
        <f>IF(OR(TRIM($B961)="",$I961=""),"",IF(OR(ISNUMBER(SEARCH(_xlfn.CONCAT(CHAR(96),CHAR(34)),$I961)),ISNUMBER(SEARCH(_xlfn.CONCAT(CHAR(34),CHAR(39)),$I961))),_xlfn.CONCAT("* REVIEW REQUIRED: compound-quote delimiter in Derivation on Sheet 1 row ",961,"; edit the input before running."),_xlfn.CONCAT("char ",TRIM($B961),"[doc_derivation] ",CHAR(96),CHAR(34),SUBSTITUTE(SUBSTITUTE(SUBSTITUTE(SUBSTITUTE(SUBSTITUTE(SUBSTITUTE($I961,CHAR(13)," "),CHAR(10)," "),CHAR(9)," "),CHAR(92),_xlfn.CONCAT(CHAR(92),CHAR(92))),"$",_xlfn.CONCAT(CHAR(92),"$")),CHAR(96),_xlfn.CONCAT(CHAR(92),CHAR(96))),CHAR(34),CHAR(39))))</f>
        <v/>
      </c>
      <c r="T961" s="5" t="str">
        <f>IF(OR(TRIM($B961)="",$J961=""),"",IF(OR(ISNUMBER(SEARCH(_xlfn.CONCAT(CHAR(96),CHAR(34)),$J961)),ISNUMBER(SEARCH(_xlfn.CONCAT(CHAR(34),CHAR(39)),$J961))),_xlfn.CONCAT("* REVIEW REQUIRED: compound-quote delimiter in Notes on Sheet 1 row ",961,"; edit the input before running."),_xlfn.CONCAT("char ",TRIM($B961),"[doc_notes] ",CHAR(96),CHAR(34),SUBSTITUTE(SUBSTITUTE(SUBSTITUTE(SUBSTITUTE(SUBSTITUTE(SUBSTITUTE($J961,CHAR(13)," "),CHAR(10)," "),CHAR(9)," "),CHAR(92),_xlfn.CONCAT(CHAR(92),CHAR(92))),"$",_xlfn.CONCAT(CHAR(92),"$")),CHAR(96),_xlfn.CONCAT(CHAR(92),CHAR(96))),CHAR(34),CHAR(39))))</f>
        <v/>
      </c>
      <c r="U961" s="5">
        <f t="shared" si="29"/>
        <v>0</v>
      </c>
    </row>
    <row r="962" spans="3:21" ht="30" customHeight="1" x14ac:dyDescent="0.2">
      <c r="C962" s="4"/>
      <c r="K962" s="5">
        <f t="shared" si="28"/>
        <v>0</v>
      </c>
      <c r="L962" s="5" t="str">
        <f>IF(OR(TRIM($B962)="",$A962=""),"",IF(OR(ISNUMBER(SEARCH(_xlfn.CONCAT(CHAR(96),CHAR(34)),$A962)),ISNUMBER(SEARCH(_xlfn.CONCAT(CHAR(34),CHAR(39)),$A962))),_xlfn.CONCAT("* REVIEW REQUIRED: compound-quote delimiter in Codebook Section on Sheet 1 row ",962,"; edit the input before running."),_xlfn.CONCAT("char ",TRIM($B962),"[doc_section] ",CHAR(96),CHAR(34),SUBSTITUTE(SUBSTITUTE(SUBSTITUTE(SUBSTITUTE(SUBSTITUTE(SUBSTITUTE($A962,CHAR(13)," "),CHAR(10)," "),CHAR(9)," "),CHAR(92),_xlfn.CONCAT(CHAR(92),CHAR(92))),"$",_xlfn.CONCAT(CHAR(92),"$")),CHAR(96),_xlfn.CONCAT(CHAR(92),CHAR(96))),CHAR(34),CHAR(39))))</f>
        <v/>
      </c>
      <c r="M962" s="5" t="str">
        <f>IF(OR(TRIM($B962)="",$C962=""),"",IF(IFERROR(MATCH(TRIM($C962),{"Quantitative","Continuous","Discrete","Categorical","Nominal","Ordinal","Identifier"},0),0)=0,_xlfn.CONCAT("* REVIEW REQUIRED: invalid Variable Type on Sheet 1 row ",962,"."),_xlfn.CONCAT("char ",TRIM($B962),"[doc_vartype] ",CHAR(96),CHAR(34),SUBSTITUTE(SUBSTITUTE(SUBSTITUTE(SUBSTITUTE(SUBSTITUTE(SUBSTITUTE(LOWER(TRIM($C962)),CHAR(13)," "),CHAR(10)," "),CHAR(9)," "),CHAR(92),_xlfn.CONCAT(CHAR(92),CHAR(92))),"$",_xlfn.CONCAT(CHAR(92),"$")),CHAR(96),_xlfn.CONCAT(CHAR(92),CHAR(96))),CHAR(34),CHAR(39))))</f>
        <v/>
      </c>
      <c r="N962" s="5" t="str">
        <f>IF(OR(TRIM($B962)="",$D962=""),"",IF(OR(ISNUMBER(SEARCH(_xlfn.CONCAT(CHAR(96),CHAR(34)),$D962)),ISNUMBER(SEARCH(_xlfn.CONCAT(CHAR(34),CHAR(39)),$D962))),_xlfn.CONCAT("* REVIEW REQUIRED: compound-quote delimiter in Item Number on Sheet 1 row ",962,"; edit the input before running."),_xlfn.CONCAT("char ",TRIM($B962),"[doc_itemnum] ",CHAR(96),CHAR(34),SUBSTITUTE(SUBSTITUTE(SUBSTITUTE(SUBSTITUTE(SUBSTITUTE(SUBSTITUTE($D962,CHAR(13)," "),CHAR(10)," "),CHAR(9)," "),CHAR(92),_xlfn.CONCAT(CHAR(92),CHAR(92))),"$",_xlfn.CONCAT(CHAR(92),"$")),CHAR(96),_xlfn.CONCAT(CHAR(92),CHAR(96))),CHAR(34),CHAR(39))))</f>
        <v/>
      </c>
      <c r="O962" s="5" t="str">
        <f>IF(OR(TRIM($B962)="",$E962=""),"",IF(OR(ISNUMBER(SEARCH(_xlfn.CONCAT(CHAR(96),CHAR(34)),$E962)),ISNUMBER(SEARCH(_xlfn.CONCAT(CHAR(34),CHAR(39)),$E962))),_xlfn.CONCAT("* REVIEW REQUIRED: compound-quote delimiter in Question Wording on Sheet 1 row ",962,"; edit the input before running."),_xlfn.CONCAT("char ",TRIM($B962),"[doc_question] ",CHAR(96),CHAR(34),SUBSTITUTE(SUBSTITUTE(SUBSTITUTE(SUBSTITUTE(SUBSTITUTE(SUBSTITUTE($E962,CHAR(13)," "),CHAR(10)," "),CHAR(9)," "),CHAR(92),_xlfn.CONCAT(CHAR(92),CHAR(92))),"$",_xlfn.CONCAT(CHAR(92),"$")),CHAR(96),_xlfn.CONCAT(CHAR(92),CHAR(96))),CHAR(34),CHAR(39))))</f>
        <v/>
      </c>
      <c r="P962" s="5" t="str">
        <f>IF(OR(TRIM($B962)="",$F962=""),"",IF(OR(ISNUMBER(SEARCH(_xlfn.CONCAT(CHAR(96),CHAR(34)),$F962)),ISNUMBER(SEARCH(_xlfn.CONCAT(CHAR(34),CHAR(39)),$F962))),_xlfn.CONCAT("* REVIEW REQUIRED: compound-quote delimiter in Units on Sheet 1 row ",962,"; edit the input before running."),_xlfn.CONCAT("char ",TRIM($B962),"[doc_units] ",CHAR(96),CHAR(34),SUBSTITUTE(SUBSTITUTE(SUBSTITUTE(SUBSTITUTE(SUBSTITUTE(SUBSTITUTE($F962,CHAR(13)," "),CHAR(10)," "),CHAR(9)," "),CHAR(92),_xlfn.CONCAT(CHAR(92),CHAR(92))),"$",_xlfn.CONCAT(CHAR(92),"$")),CHAR(96),_xlfn.CONCAT(CHAR(92),CHAR(96))),CHAR(34),CHAR(39))))</f>
        <v/>
      </c>
      <c r="Q962" s="5" t="str">
        <f>IF(OR(TRIM($B962)="",$G962=""),"",IF(OR(ISNUMBER(SEARCH(_xlfn.CONCAT(CHAR(96),CHAR(34)),$G962)),ISNUMBER(SEARCH(_xlfn.CONCAT(CHAR(34),CHAR(39)),$G962))),_xlfn.CONCAT("* REVIEW REQUIRED: compound-quote delimiter in Universe on Sheet 1 row ",962,"; edit the input before running."),_xlfn.CONCAT("char ",TRIM($B962),"[doc_universe] ",CHAR(96),CHAR(34),SUBSTITUTE(SUBSTITUTE(SUBSTITUTE(SUBSTITUTE(SUBSTITUTE(SUBSTITUTE($G962,CHAR(13)," "),CHAR(10)," "),CHAR(9)," "),CHAR(92),_xlfn.CONCAT(CHAR(92),CHAR(92))),"$",_xlfn.CONCAT(CHAR(92),"$")),CHAR(96),_xlfn.CONCAT(CHAR(92),CHAR(96))),CHAR(34),CHAR(39))))</f>
        <v/>
      </c>
      <c r="R962" s="5" t="str">
        <f>IF(OR(TRIM($B962)="",$H962=""),"",IF(OR(ISNUMBER(SEARCH(_xlfn.CONCAT(CHAR(96),CHAR(34)),$H962)),ISNUMBER(SEARCH(_xlfn.CONCAT(CHAR(34),CHAR(39)),$H962))),_xlfn.CONCAT("* REVIEW REQUIRED: compound-quote delimiter in Source on Sheet 1 row ",962,"; edit the input before running."),_xlfn.CONCAT("char ",TRIM($B962),"[doc_source] ",CHAR(96),CHAR(34),SUBSTITUTE(SUBSTITUTE(SUBSTITUTE(SUBSTITUTE(SUBSTITUTE(SUBSTITUTE($H962,CHAR(13)," "),CHAR(10)," "),CHAR(9)," "),CHAR(92),_xlfn.CONCAT(CHAR(92),CHAR(92))),"$",_xlfn.CONCAT(CHAR(92),"$")),CHAR(96),_xlfn.CONCAT(CHAR(92),CHAR(96))),CHAR(34),CHAR(39))))</f>
        <v/>
      </c>
      <c r="S962" s="5" t="str">
        <f>IF(OR(TRIM($B962)="",$I962=""),"",IF(OR(ISNUMBER(SEARCH(_xlfn.CONCAT(CHAR(96),CHAR(34)),$I962)),ISNUMBER(SEARCH(_xlfn.CONCAT(CHAR(34),CHAR(39)),$I962))),_xlfn.CONCAT("* REVIEW REQUIRED: compound-quote delimiter in Derivation on Sheet 1 row ",962,"; edit the input before running."),_xlfn.CONCAT("char ",TRIM($B962),"[doc_derivation] ",CHAR(96),CHAR(34),SUBSTITUTE(SUBSTITUTE(SUBSTITUTE(SUBSTITUTE(SUBSTITUTE(SUBSTITUTE($I962,CHAR(13)," "),CHAR(10)," "),CHAR(9)," "),CHAR(92),_xlfn.CONCAT(CHAR(92),CHAR(92))),"$",_xlfn.CONCAT(CHAR(92),"$")),CHAR(96),_xlfn.CONCAT(CHAR(92),CHAR(96))),CHAR(34),CHAR(39))))</f>
        <v/>
      </c>
      <c r="T962" s="5" t="str">
        <f>IF(OR(TRIM($B962)="",$J962=""),"",IF(OR(ISNUMBER(SEARCH(_xlfn.CONCAT(CHAR(96),CHAR(34)),$J962)),ISNUMBER(SEARCH(_xlfn.CONCAT(CHAR(34),CHAR(39)),$J962))),_xlfn.CONCAT("* REVIEW REQUIRED: compound-quote delimiter in Notes on Sheet 1 row ",962,"; edit the input before running."),_xlfn.CONCAT("char ",TRIM($B962),"[doc_notes] ",CHAR(96),CHAR(34),SUBSTITUTE(SUBSTITUTE(SUBSTITUTE(SUBSTITUTE(SUBSTITUTE(SUBSTITUTE($J962,CHAR(13)," "),CHAR(10)," "),CHAR(9)," "),CHAR(92),_xlfn.CONCAT(CHAR(92),CHAR(92))),"$",_xlfn.CONCAT(CHAR(92),"$")),CHAR(96),_xlfn.CONCAT(CHAR(92),CHAR(96))),CHAR(34),CHAR(39))))</f>
        <v/>
      </c>
      <c r="U962" s="5">
        <f t="shared" si="29"/>
        <v>0</v>
      </c>
    </row>
    <row r="963" spans="3:21" ht="30" customHeight="1" x14ac:dyDescent="0.2">
      <c r="C963" s="4"/>
      <c r="K963" s="5">
        <f t="shared" si="28"/>
        <v>0</v>
      </c>
      <c r="L963" s="5" t="str">
        <f>IF(OR(TRIM($B963)="",$A963=""),"",IF(OR(ISNUMBER(SEARCH(_xlfn.CONCAT(CHAR(96),CHAR(34)),$A963)),ISNUMBER(SEARCH(_xlfn.CONCAT(CHAR(34),CHAR(39)),$A963))),_xlfn.CONCAT("* REVIEW REQUIRED: compound-quote delimiter in Codebook Section on Sheet 1 row ",963,"; edit the input before running."),_xlfn.CONCAT("char ",TRIM($B963),"[doc_section] ",CHAR(96),CHAR(34),SUBSTITUTE(SUBSTITUTE(SUBSTITUTE(SUBSTITUTE(SUBSTITUTE(SUBSTITUTE($A963,CHAR(13)," "),CHAR(10)," "),CHAR(9)," "),CHAR(92),_xlfn.CONCAT(CHAR(92),CHAR(92))),"$",_xlfn.CONCAT(CHAR(92),"$")),CHAR(96),_xlfn.CONCAT(CHAR(92),CHAR(96))),CHAR(34),CHAR(39))))</f>
        <v/>
      </c>
      <c r="M963" s="5" t="str">
        <f>IF(OR(TRIM($B963)="",$C963=""),"",IF(IFERROR(MATCH(TRIM($C963),{"Quantitative","Continuous","Discrete","Categorical","Nominal","Ordinal","Identifier"},0),0)=0,_xlfn.CONCAT("* REVIEW REQUIRED: invalid Variable Type on Sheet 1 row ",963,"."),_xlfn.CONCAT("char ",TRIM($B963),"[doc_vartype] ",CHAR(96),CHAR(34),SUBSTITUTE(SUBSTITUTE(SUBSTITUTE(SUBSTITUTE(SUBSTITUTE(SUBSTITUTE(LOWER(TRIM($C963)),CHAR(13)," "),CHAR(10)," "),CHAR(9)," "),CHAR(92),_xlfn.CONCAT(CHAR(92),CHAR(92))),"$",_xlfn.CONCAT(CHAR(92),"$")),CHAR(96),_xlfn.CONCAT(CHAR(92),CHAR(96))),CHAR(34),CHAR(39))))</f>
        <v/>
      </c>
      <c r="N963" s="5" t="str">
        <f>IF(OR(TRIM($B963)="",$D963=""),"",IF(OR(ISNUMBER(SEARCH(_xlfn.CONCAT(CHAR(96),CHAR(34)),$D963)),ISNUMBER(SEARCH(_xlfn.CONCAT(CHAR(34),CHAR(39)),$D963))),_xlfn.CONCAT("* REVIEW REQUIRED: compound-quote delimiter in Item Number on Sheet 1 row ",963,"; edit the input before running."),_xlfn.CONCAT("char ",TRIM($B963),"[doc_itemnum] ",CHAR(96),CHAR(34),SUBSTITUTE(SUBSTITUTE(SUBSTITUTE(SUBSTITUTE(SUBSTITUTE(SUBSTITUTE($D963,CHAR(13)," "),CHAR(10)," "),CHAR(9)," "),CHAR(92),_xlfn.CONCAT(CHAR(92),CHAR(92))),"$",_xlfn.CONCAT(CHAR(92),"$")),CHAR(96),_xlfn.CONCAT(CHAR(92),CHAR(96))),CHAR(34),CHAR(39))))</f>
        <v/>
      </c>
      <c r="O963" s="5" t="str">
        <f>IF(OR(TRIM($B963)="",$E963=""),"",IF(OR(ISNUMBER(SEARCH(_xlfn.CONCAT(CHAR(96),CHAR(34)),$E963)),ISNUMBER(SEARCH(_xlfn.CONCAT(CHAR(34),CHAR(39)),$E963))),_xlfn.CONCAT("* REVIEW REQUIRED: compound-quote delimiter in Question Wording on Sheet 1 row ",963,"; edit the input before running."),_xlfn.CONCAT("char ",TRIM($B963),"[doc_question] ",CHAR(96),CHAR(34),SUBSTITUTE(SUBSTITUTE(SUBSTITUTE(SUBSTITUTE(SUBSTITUTE(SUBSTITUTE($E963,CHAR(13)," "),CHAR(10)," "),CHAR(9)," "),CHAR(92),_xlfn.CONCAT(CHAR(92),CHAR(92))),"$",_xlfn.CONCAT(CHAR(92),"$")),CHAR(96),_xlfn.CONCAT(CHAR(92),CHAR(96))),CHAR(34),CHAR(39))))</f>
        <v/>
      </c>
      <c r="P963" s="5" t="str">
        <f>IF(OR(TRIM($B963)="",$F963=""),"",IF(OR(ISNUMBER(SEARCH(_xlfn.CONCAT(CHAR(96),CHAR(34)),$F963)),ISNUMBER(SEARCH(_xlfn.CONCAT(CHAR(34),CHAR(39)),$F963))),_xlfn.CONCAT("* REVIEW REQUIRED: compound-quote delimiter in Units on Sheet 1 row ",963,"; edit the input before running."),_xlfn.CONCAT("char ",TRIM($B963),"[doc_units] ",CHAR(96),CHAR(34),SUBSTITUTE(SUBSTITUTE(SUBSTITUTE(SUBSTITUTE(SUBSTITUTE(SUBSTITUTE($F963,CHAR(13)," "),CHAR(10)," "),CHAR(9)," "),CHAR(92),_xlfn.CONCAT(CHAR(92),CHAR(92))),"$",_xlfn.CONCAT(CHAR(92),"$")),CHAR(96),_xlfn.CONCAT(CHAR(92),CHAR(96))),CHAR(34),CHAR(39))))</f>
        <v/>
      </c>
      <c r="Q963" s="5" t="str">
        <f>IF(OR(TRIM($B963)="",$G963=""),"",IF(OR(ISNUMBER(SEARCH(_xlfn.CONCAT(CHAR(96),CHAR(34)),$G963)),ISNUMBER(SEARCH(_xlfn.CONCAT(CHAR(34),CHAR(39)),$G963))),_xlfn.CONCAT("* REVIEW REQUIRED: compound-quote delimiter in Universe on Sheet 1 row ",963,"; edit the input before running."),_xlfn.CONCAT("char ",TRIM($B963),"[doc_universe] ",CHAR(96),CHAR(34),SUBSTITUTE(SUBSTITUTE(SUBSTITUTE(SUBSTITUTE(SUBSTITUTE(SUBSTITUTE($G963,CHAR(13)," "),CHAR(10)," "),CHAR(9)," "),CHAR(92),_xlfn.CONCAT(CHAR(92),CHAR(92))),"$",_xlfn.CONCAT(CHAR(92),"$")),CHAR(96),_xlfn.CONCAT(CHAR(92),CHAR(96))),CHAR(34),CHAR(39))))</f>
        <v/>
      </c>
      <c r="R963" s="5" t="str">
        <f>IF(OR(TRIM($B963)="",$H963=""),"",IF(OR(ISNUMBER(SEARCH(_xlfn.CONCAT(CHAR(96),CHAR(34)),$H963)),ISNUMBER(SEARCH(_xlfn.CONCAT(CHAR(34),CHAR(39)),$H963))),_xlfn.CONCAT("* REVIEW REQUIRED: compound-quote delimiter in Source on Sheet 1 row ",963,"; edit the input before running."),_xlfn.CONCAT("char ",TRIM($B963),"[doc_source] ",CHAR(96),CHAR(34),SUBSTITUTE(SUBSTITUTE(SUBSTITUTE(SUBSTITUTE(SUBSTITUTE(SUBSTITUTE($H963,CHAR(13)," "),CHAR(10)," "),CHAR(9)," "),CHAR(92),_xlfn.CONCAT(CHAR(92),CHAR(92))),"$",_xlfn.CONCAT(CHAR(92),"$")),CHAR(96),_xlfn.CONCAT(CHAR(92),CHAR(96))),CHAR(34),CHAR(39))))</f>
        <v/>
      </c>
      <c r="S963" s="5" t="str">
        <f>IF(OR(TRIM($B963)="",$I963=""),"",IF(OR(ISNUMBER(SEARCH(_xlfn.CONCAT(CHAR(96),CHAR(34)),$I963)),ISNUMBER(SEARCH(_xlfn.CONCAT(CHAR(34),CHAR(39)),$I963))),_xlfn.CONCAT("* REVIEW REQUIRED: compound-quote delimiter in Derivation on Sheet 1 row ",963,"; edit the input before running."),_xlfn.CONCAT("char ",TRIM($B963),"[doc_derivation] ",CHAR(96),CHAR(34),SUBSTITUTE(SUBSTITUTE(SUBSTITUTE(SUBSTITUTE(SUBSTITUTE(SUBSTITUTE($I963,CHAR(13)," "),CHAR(10)," "),CHAR(9)," "),CHAR(92),_xlfn.CONCAT(CHAR(92),CHAR(92))),"$",_xlfn.CONCAT(CHAR(92),"$")),CHAR(96),_xlfn.CONCAT(CHAR(92),CHAR(96))),CHAR(34),CHAR(39))))</f>
        <v/>
      </c>
      <c r="T963" s="5" t="str">
        <f>IF(OR(TRIM($B963)="",$J963=""),"",IF(OR(ISNUMBER(SEARCH(_xlfn.CONCAT(CHAR(96),CHAR(34)),$J963)),ISNUMBER(SEARCH(_xlfn.CONCAT(CHAR(34),CHAR(39)),$J963))),_xlfn.CONCAT("* REVIEW REQUIRED: compound-quote delimiter in Notes on Sheet 1 row ",963,"; edit the input before running."),_xlfn.CONCAT("char ",TRIM($B963),"[doc_notes] ",CHAR(96),CHAR(34),SUBSTITUTE(SUBSTITUTE(SUBSTITUTE(SUBSTITUTE(SUBSTITUTE(SUBSTITUTE($J963,CHAR(13)," "),CHAR(10)," "),CHAR(9)," "),CHAR(92),_xlfn.CONCAT(CHAR(92),CHAR(92))),"$",_xlfn.CONCAT(CHAR(92),"$")),CHAR(96),_xlfn.CONCAT(CHAR(92),CHAR(96))),CHAR(34),CHAR(39))))</f>
        <v/>
      </c>
      <c r="U963" s="5">
        <f t="shared" si="29"/>
        <v>0</v>
      </c>
    </row>
    <row r="964" spans="3:21" ht="30" customHeight="1" x14ac:dyDescent="0.2">
      <c r="C964" s="4"/>
      <c r="K964" s="5">
        <f t="shared" si="28"/>
        <v>0</v>
      </c>
      <c r="L964" s="5" t="str">
        <f>IF(OR(TRIM($B964)="",$A964=""),"",IF(OR(ISNUMBER(SEARCH(_xlfn.CONCAT(CHAR(96),CHAR(34)),$A964)),ISNUMBER(SEARCH(_xlfn.CONCAT(CHAR(34),CHAR(39)),$A964))),_xlfn.CONCAT("* REVIEW REQUIRED: compound-quote delimiter in Codebook Section on Sheet 1 row ",964,"; edit the input before running."),_xlfn.CONCAT("char ",TRIM($B964),"[doc_section] ",CHAR(96),CHAR(34),SUBSTITUTE(SUBSTITUTE(SUBSTITUTE(SUBSTITUTE(SUBSTITUTE(SUBSTITUTE($A964,CHAR(13)," "),CHAR(10)," "),CHAR(9)," "),CHAR(92),_xlfn.CONCAT(CHAR(92),CHAR(92))),"$",_xlfn.CONCAT(CHAR(92),"$")),CHAR(96),_xlfn.CONCAT(CHAR(92),CHAR(96))),CHAR(34),CHAR(39))))</f>
        <v/>
      </c>
      <c r="M964" s="5" t="str">
        <f>IF(OR(TRIM($B964)="",$C964=""),"",IF(IFERROR(MATCH(TRIM($C964),{"Quantitative","Continuous","Discrete","Categorical","Nominal","Ordinal","Identifier"},0),0)=0,_xlfn.CONCAT("* REVIEW REQUIRED: invalid Variable Type on Sheet 1 row ",964,"."),_xlfn.CONCAT("char ",TRIM($B964),"[doc_vartype] ",CHAR(96),CHAR(34),SUBSTITUTE(SUBSTITUTE(SUBSTITUTE(SUBSTITUTE(SUBSTITUTE(SUBSTITUTE(LOWER(TRIM($C964)),CHAR(13)," "),CHAR(10)," "),CHAR(9)," "),CHAR(92),_xlfn.CONCAT(CHAR(92),CHAR(92))),"$",_xlfn.CONCAT(CHAR(92),"$")),CHAR(96),_xlfn.CONCAT(CHAR(92),CHAR(96))),CHAR(34),CHAR(39))))</f>
        <v/>
      </c>
      <c r="N964" s="5" t="str">
        <f>IF(OR(TRIM($B964)="",$D964=""),"",IF(OR(ISNUMBER(SEARCH(_xlfn.CONCAT(CHAR(96),CHAR(34)),$D964)),ISNUMBER(SEARCH(_xlfn.CONCAT(CHAR(34),CHAR(39)),$D964))),_xlfn.CONCAT("* REVIEW REQUIRED: compound-quote delimiter in Item Number on Sheet 1 row ",964,"; edit the input before running."),_xlfn.CONCAT("char ",TRIM($B964),"[doc_itemnum] ",CHAR(96),CHAR(34),SUBSTITUTE(SUBSTITUTE(SUBSTITUTE(SUBSTITUTE(SUBSTITUTE(SUBSTITUTE($D964,CHAR(13)," "),CHAR(10)," "),CHAR(9)," "),CHAR(92),_xlfn.CONCAT(CHAR(92),CHAR(92))),"$",_xlfn.CONCAT(CHAR(92),"$")),CHAR(96),_xlfn.CONCAT(CHAR(92),CHAR(96))),CHAR(34),CHAR(39))))</f>
        <v/>
      </c>
      <c r="O964" s="5" t="str">
        <f>IF(OR(TRIM($B964)="",$E964=""),"",IF(OR(ISNUMBER(SEARCH(_xlfn.CONCAT(CHAR(96),CHAR(34)),$E964)),ISNUMBER(SEARCH(_xlfn.CONCAT(CHAR(34),CHAR(39)),$E964))),_xlfn.CONCAT("* REVIEW REQUIRED: compound-quote delimiter in Question Wording on Sheet 1 row ",964,"; edit the input before running."),_xlfn.CONCAT("char ",TRIM($B964),"[doc_question] ",CHAR(96),CHAR(34),SUBSTITUTE(SUBSTITUTE(SUBSTITUTE(SUBSTITUTE(SUBSTITUTE(SUBSTITUTE($E964,CHAR(13)," "),CHAR(10)," "),CHAR(9)," "),CHAR(92),_xlfn.CONCAT(CHAR(92),CHAR(92))),"$",_xlfn.CONCAT(CHAR(92),"$")),CHAR(96),_xlfn.CONCAT(CHAR(92),CHAR(96))),CHAR(34),CHAR(39))))</f>
        <v/>
      </c>
      <c r="P964" s="5" t="str">
        <f>IF(OR(TRIM($B964)="",$F964=""),"",IF(OR(ISNUMBER(SEARCH(_xlfn.CONCAT(CHAR(96),CHAR(34)),$F964)),ISNUMBER(SEARCH(_xlfn.CONCAT(CHAR(34),CHAR(39)),$F964))),_xlfn.CONCAT("* REVIEW REQUIRED: compound-quote delimiter in Units on Sheet 1 row ",964,"; edit the input before running."),_xlfn.CONCAT("char ",TRIM($B964),"[doc_units] ",CHAR(96),CHAR(34),SUBSTITUTE(SUBSTITUTE(SUBSTITUTE(SUBSTITUTE(SUBSTITUTE(SUBSTITUTE($F964,CHAR(13)," "),CHAR(10)," "),CHAR(9)," "),CHAR(92),_xlfn.CONCAT(CHAR(92),CHAR(92))),"$",_xlfn.CONCAT(CHAR(92),"$")),CHAR(96),_xlfn.CONCAT(CHAR(92),CHAR(96))),CHAR(34),CHAR(39))))</f>
        <v/>
      </c>
      <c r="Q964" s="5" t="str">
        <f>IF(OR(TRIM($B964)="",$G964=""),"",IF(OR(ISNUMBER(SEARCH(_xlfn.CONCAT(CHAR(96),CHAR(34)),$G964)),ISNUMBER(SEARCH(_xlfn.CONCAT(CHAR(34),CHAR(39)),$G964))),_xlfn.CONCAT("* REVIEW REQUIRED: compound-quote delimiter in Universe on Sheet 1 row ",964,"; edit the input before running."),_xlfn.CONCAT("char ",TRIM($B964),"[doc_universe] ",CHAR(96),CHAR(34),SUBSTITUTE(SUBSTITUTE(SUBSTITUTE(SUBSTITUTE(SUBSTITUTE(SUBSTITUTE($G964,CHAR(13)," "),CHAR(10)," "),CHAR(9)," "),CHAR(92),_xlfn.CONCAT(CHAR(92),CHAR(92))),"$",_xlfn.CONCAT(CHAR(92),"$")),CHAR(96),_xlfn.CONCAT(CHAR(92),CHAR(96))),CHAR(34),CHAR(39))))</f>
        <v/>
      </c>
      <c r="R964" s="5" t="str">
        <f>IF(OR(TRIM($B964)="",$H964=""),"",IF(OR(ISNUMBER(SEARCH(_xlfn.CONCAT(CHAR(96),CHAR(34)),$H964)),ISNUMBER(SEARCH(_xlfn.CONCAT(CHAR(34),CHAR(39)),$H964))),_xlfn.CONCAT("* REVIEW REQUIRED: compound-quote delimiter in Source on Sheet 1 row ",964,"; edit the input before running."),_xlfn.CONCAT("char ",TRIM($B964),"[doc_source] ",CHAR(96),CHAR(34),SUBSTITUTE(SUBSTITUTE(SUBSTITUTE(SUBSTITUTE(SUBSTITUTE(SUBSTITUTE($H964,CHAR(13)," "),CHAR(10)," "),CHAR(9)," "),CHAR(92),_xlfn.CONCAT(CHAR(92),CHAR(92))),"$",_xlfn.CONCAT(CHAR(92),"$")),CHAR(96),_xlfn.CONCAT(CHAR(92),CHAR(96))),CHAR(34),CHAR(39))))</f>
        <v/>
      </c>
      <c r="S964" s="5" t="str">
        <f>IF(OR(TRIM($B964)="",$I964=""),"",IF(OR(ISNUMBER(SEARCH(_xlfn.CONCAT(CHAR(96),CHAR(34)),$I964)),ISNUMBER(SEARCH(_xlfn.CONCAT(CHAR(34),CHAR(39)),$I964))),_xlfn.CONCAT("* REVIEW REQUIRED: compound-quote delimiter in Derivation on Sheet 1 row ",964,"; edit the input before running."),_xlfn.CONCAT("char ",TRIM($B964),"[doc_derivation] ",CHAR(96),CHAR(34),SUBSTITUTE(SUBSTITUTE(SUBSTITUTE(SUBSTITUTE(SUBSTITUTE(SUBSTITUTE($I964,CHAR(13)," "),CHAR(10)," "),CHAR(9)," "),CHAR(92),_xlfn.CONCAT(CHAR(92),CHAR(92))),"$",_xlfn.CONCAT(CHAR(92),"$")),CHAR(96),_xlfn.CONCAT(CHAR(92),CHAR(96))),CHAR(34),CHAR(39))))</f>
        <v/>
      </c>
      <c r="T964" s="5" t="str">
        <f>IF(OR(TRIM($B964)="",$J964=""),"",IF(OR(ISNUMBER(SEARCH(_xlfn.CONCAT(CHAR(96),CHAR(34)),$J964)),ISNUMBER(SEARCH(_xlfn.CONCAT(CHAR(34),CHAR(39)),$J964))),_xlfn.CONCAT("* REVIEW REQUIRED: compound-quote delimiter in Notes on Sheet 1 row ",964,"; edit the input before running."),_xlfn.CONCAT("char ",TRIM($B964),"[doc_notes] ",CHAR(96),CHAR(34),SUBSTITUTE(SUBSTITUTE(SUBSTITUTE(SUBSTITUTE(SUBSTITUTE(SUBSTITUTE($J964,CHAR(13)," "),CHAR(10)," "),CHAR(9)," "),CHAR(92),_xlfn.CONCAT(CHAR(92),CHAR(92))),"$",_xlfn.CONCAT(CHAR(92),"$")),CHAR(96),_xlfn.CONCAT(CHAR(92),CHAR(96))),CHAR(34),CHAR(39))))</f>
        <v/>
      </c>
      <c r="U964" s="5">
        <f t="shared" si="29"/>
        <v>0</v>
      </c>
    </row>
    <row r="965" spans="3:21" ht="30" customHeight="1" x14ac:dyDescent="0.2">
      <c r="C965" s="4"/>
      <c r="K965" s="5">
        <f t="shared" si="28"/>
        <v>0</v>
      </c>
      <c r="L965" s="5" t="str">
        <f>IF(OR(TRIM($B965)="",$A965=""),"",IF(OR(ISNUMBER(SEARCH(_xlfn.CONCAT(CHAR(96),CHAR(34)),$A965)),ISNUMBER(SEARCH(_xlfn.CONCAT(CHAR(34),CHAR(39)),$A965))),_xlfn.CONCAT("* REVIEW REQUIRED: compound-quote delimiter in Codebook Section on Sheet 1 row ",965,"; edit the input before running."),_xlfn.CONCAT("char ",TRIM($B965),"[doc_section] ",CHAR(96),CHAR(34),SUBSTITUTE(SUBSTITUTE(SUBSTITUTE(SUBSTITUTE(SUBSTITUTE(SUBSTITUTE($A965,CHAR(13)," "),CHAR(10)," "),CHAR(9)," "),CHAR(92),_xlfn.CONCAT(CHAR(92),CHAR(92))),"$",_xlfn.CONCAT(CHAR(92),"$")),CHAR(96),_xlfn.CONCAT(CHAR(92),CHAR(96))),CHAR(34),CHAR(39))))</f>
        <v/>
      </c>
      <c r="M965" s="5" t="str">
        <f>IF(OR(TRIM($B965)="",$C965=""),"",IF(IFERROR(MATCH(TRIM($C965),{"Quantitative","Continuous","Discrete","Categorical","Nominal","Ordinal","Identifier"},0),0)=0,_xlfn.CONCAT("* REVIEW REQUIRED: invalid Variable Type on Sheet 1 row ",965,"."),_xlfn.CONCAT("char ",TRIM($B965),"[doc_vartype] ",CHAR(96),CHAR(34),SUBSTITUTE(SUBSTITUTE(SUBSTITUTE(SUBSTITUTE(SUBSTITUTE(SUBSTITUTE(LOWER(TRIM($C965)),CHAR(13)," "),CHAR(10)," "),CHAR(9)," "),CHAR(92),_xlfn.CONCAT(CHAR(92),CHAR(92))),"$",_xlfn.CONCAT(CHAR(92),"$")),CHAR(96),_xlfn.CONCAT(CHAR(92),CHAR(96))),CHAR(34),CHAR(39))))</f>
        <v/>
      </c>
      <c r="N965" s="5" t="str">
        <f>IF(OR(TRIM($B965)="",$D965=""),"",IF(OR(ISNUMBER(SEARCH(_xlfn.CONCAT(CHAR(96),CHAR(34)),$D965)),ISNUMBER(SEARCH(_xlfn.CONCAT(CHAR(34),CHAR(39)),$D965))),_xlfn.CONCAT("* REVIEW REQUIRED: compound-quote delimiter in Item Number on Sheet 1 row ",965,"; edit the input before running."),_xlfn.CONCAT("char ",TRIM($B965),"[doc_itemnum] ",CHAR(96),CHAR(34),SUBSTITUTE(SUBSTITUTE(SUBSTITUTE(SUBSTITUTE(SUBSTITUTE(SUBSTITUTE($D965,CHAR(13)," "),CHAR(10)," "),CHAR(9)," "),CHAR(92),_xlfn.CONCAT(CHAR(92),CHAR(92))),"$",_xlfn.CONCAT(CHAR(92),"$")),CHAR(96),_xlfn.CONCAT(CHAR(92),CHAR(96))),CHAR(34),CHAR(39))))</f>
        <v/>
      </c>
      <c r="O965" s="5" t="str">
        <f>IF(OR(TRIM($B965)="",$E965=""),"",IF(OR(ISNUMBER(SEARCH(_xlfn.CONCAT(CHAR(96),CHAR(34)),$E965)),ISNUMBER(SEARCH(_xlfn.CONCAT(CHAR(34),CHAR(39)),$E965))),_xlfn.CONCAT("* REVIEW REQUIRED: compound-quote delimiter in Question Wording on Sheet 1 row ",965,"; edit the input before running."),_xlfn.CONCAT("char ",TRIM($B965),"[doc_question] ",CHAR(96),CHAR(34),SUBSTITUTE(SUBSTITUTE(SUBSTITUTE(SUBSTITUTE(SUBSTITUTE(SUBSTITUTE($E965,CHAR(13)," "),CHAR(10)," "),CHAR(9)," "),CHAR(92),_xlfn.CONCAT(CHAR(92),CHAR(92))),"$",_xlfn.CONCAT(CHAR(92),"$")),CHAR(96),_xlfn.CONCAT(CHAR(92),CHAR(96))),CHAR(34),CHAR(39))))</f>
        <v/>
      </c>
      <c r="P965" s="5" t="str">
        <f>IF(OR(TRIM($B965)="",$F965=""),"",IF(OR(ISNUMBER(SEARCH(_xlfn.CONCAT(CHAR(96),CHAR(34)),$F965)),ISNUMBER(SEARCH(_xlfn.CONCAT(CHAR(34),CHAR(39)),$F965))),_xlfn.CONCAT("* REVIEW REQUIRED: compound-quote delimiter in Units on Sheet 1 row ",965,"; edit the input before running."),_xlfn.CONCAT("char ",TRIM($B965),"[doc_units] ",CHAR(96),CHAR(34),SUBSTITUTE(SUBSTITUTE(SUBSTITUTE(SUBSTITUTE(SUBSTITUTE(SUBSTITUTE($F965,CHAR(13)," "),CHAR(10)," "),CHAR(9)," "),CHAR(92),_xlfn.CONCAT(CHAR(92),CHAR(92))),"$",_xlfn.CONCAT(CHAR(92),"$")),CHAR(96),_xlfn.CONCAT(CHAR(92),CHAR(96))),CHAR(34),CHAR(39))))</f>
        <v/>
      </c>
      <c r="Q965" s="5" t="str">
        <f>IF(OR(TRIM($B965)="",$G965=""),"",IF(OR(ISNUMBER(SEARCH(_xlfn.CONCAT(CHAR(96),CHAR(34)),$G965)),ISNUMBER(SEARCH(_xlfn.CONCAT(CHAR(34),CHAR(39)),$G965))),_xlfn.CONCAT("* REVIEW REQUIRED: compound-quote delimiter in Universe on Sheet 1 row ",965,"; edit the input before running."),_xlfn.CONCAT("char ",TRIM($B965),"[doc_universe] ",CHAR(96),CHAR(34),SUBSTITUTE(SUBSTITUTE(SUBSTITUTE(SUBSTITUTE(SUBSTITUTE(SUBSTITUTE($G965,CHAR(13)," "),CHAR(10)," "),CHAR(9)," "),CHAR(92),_xlfn.CONCAT(CHAR(92),CHAR(92))),"$",_xlfn.CONCAT(CHAR(92),"$")),CHAR(96),_xlfn.CONCAT(CHAR(92),CHAR(96))),CHAR(34),CHAR(39))))</f>
        <v/>
      </c>
      <c r="R965" s="5" t="str">
        <f>IF(OR(TRIM($B965)="",$H965=""),"",IF(OR(ISNUMBER(SEARCH(_xlfn.CONCAT(CHAR(96),CHAR(34)),$H965)),ISNUMBER(SEARCH(_xlfn.CONCAT(CHAR(34),CHAR(39)),$H965))),_xlfn.CONCAT("* REVIEW REQUIRED: compound-quote delimiter in Source on Sheet 1 row ",965,"; edit the input before running."),_xlfn.CONCAT("char ",TRIM($B965),"[doc_source] ",CHAR(96),CHAR(34),SUBSTITUTE(SUBSTITUTE(SUBSTITUTE(SUBSTITUTE(SUBSTITUTE(SUBSTITUTE($H965,CHAR(13)," "),CHAR(10)," "),CHAR(9)," "),CHAR(92),_xlfn.CONCAT(CHAR(92),CHAR(92))),"$",_xlfn.CONCAT(CHAR(92),"$")),CHAR(96),_xlfn.CONCAT(CHAR(92),CHAR(96))),CHAR(34),CHAR(39))))</f>
        <v/>
      </c>
      <c r="S965" s="5" t="str">
        <f>IF(OR(TRIM($B965)="",$I965=""),"",IF(OR(ISNUMBER(SEARCH(_xlfn.CONCAT(CHAR(96),CHAR(34)),$I965)),ISNUMBER(SEARCH(_xlfn.CONCAT(CHAR(34),CHAR(39)),$I965))),_xlfn.CONCAT("* REVIEW REQUIRED: compound-quote delimiter in Derivation on Sheet 1 row ",965,"; edit the input before running."),_xlfn.CONCAT("char ",TRIM($B965),"[doc_derivation] ",CHAR(96),CHAR(34),SUBSTITUTE(SUBSTITUTE(SUBSTITUTE(SUBSTITUTE(SUBSTITUTE(SUBSTITUTE($I965,CHAR(13)," "),CHAR(10)," "),CHAR(9)," "),CHAR(92),_xlfn.CONCAT(CHAR(92),CHAR(92))),"$",_xlfn.CONCAT(CHAR(92),"$")),CHAR(96),_xlfn.CONCAT(CHAR(92),CHAR(96))),CHAR(34),CHAR(39))))</f>
        <v/>
      </c>
      <c r="T965" s="5" t="str">
        <f>IF(OR(TRIM($B965)="",$J965=""),"",IF(OR(ISNUMBER(SEARCH(_xlfn.CONCAT(CHAR(96),CHAR(34)),$J965)),ISNUMBER(SEARCH(_xlfn.CONCAT(CHAR(34),CHAR(39)),$J965))),_xlfn.CONCAT("* REVIEW REQUIRED: compound-quote delimiter in Notes on Sheet 1 row ",965,"; edit the input before running."),_xlfn.CONCAT("char ",TRIM($B965),"[doc_notes] ",CHAR(96),CHAR(34),SUBSTITUTE(SUBSTITUTE(SUBSTITUTE(SUBSTITUTE(SUBSTITUTE(SUBSTITUTE($J965,CHAR(13)," "),CHAR(10)," "),CHAR(9)," "),CHAR(92),_xlfn.CONCAT(CHAR(92),CHAR(92))),"$",_xlfn.CONCAT(CHAR(92),"$")),CHAR(96),_xlfn.CONCAT(CHAR(92),CHAR(96))),CHAR(34),CHAR(39))))</f>
        <v/>
      </c>
      <c r="U965" s="5">
        <f t="shared" si="29"/>
        <v>0</v>
      </c>
    </row>
    <row r="966" spans="3:21" ht="30" customHeight="1" x14ac:dyDescent="0.2">
      <c r="C966" s="4"/>
      <c r="K966" s="5">
        <f t="shared" si="28"/>
        <v>0</v>
      </c>
      <c r="L966" s="5" t="str">
        <f>IF(OR(TRIM($B966)="",$A966=""),"",IF(OR(ISNUMBER(SEARCH(_xlfn.CONCAT(CHAR(96),CHAR(34)),$A966)),ISNUMBER(SEARCH(_xlfn.CONCAT(CHAR(34),CHAR(39)),$A966))),_xlfn.CONCAT("* REVIEW REQUIRED: compound-quote delimiter in Codebook Section on Sheet 1 row ",966,"; edit the input before running."),_xlfn.CONCAT("char ",TRIM($B966),"[doc_section] ",CHAR(96),CHAR(34),SUBSTITUTE(SUBSTITUTE(SUBSTITUTE(SUBSTITUTE(SUBSTITUTE(SUBSTITUTE($A966,CHAR(13)," "),CHAR(10)," "),CHAR(9)," "),CHAR(92),_xlfn.CONCAT(CHAR(92),CHAR(92))),"$",_xlfn.CONCAT(CHAR(92),"$")),CHAR(96),_xlfn.CONCAT(CHAR(92),CHAR(96))),CHAR(34),CHAR(39))))</f>
        <v/>
      </c>
      <c r="M966" s="5" t="str">
        <f>IF(OR(TRIM($B966)="",$C966=""),"",IF(IFERROR(MATCH(TRIM($C966),{"Quantitative","Continuous","Discrete","Categorical","Nominal","Ordinal","Identifier"},0),0)=0,_xlfn.CONCAT("* REVIEW REQUIRED: invalid Variable Type on Sheet 1 row ",966,"."),_xlfn.CONCAT("char ",TRIM($B966),"[doc_vartype] ",CHAR(96),CHAR(34),SUBSTITUTE(SUBSTITUTE(SUBSTITUTE(SUBSTITUTE(SUBSTITUTE(SUBSTITUTE(LOWER(TRIM($C966)),CHAR(13)," "),CHAR(10)," "),CHAR(9)," "),CHAR(92),_xlfn.CONCAT(CHAR(92),CHAR(92))),"$",_xlfn.CONCAT(CHAR(92),"$")),CHAR(96),_xlfn.CONCAT(CHAR(92),CHAR(96))),CHAR(34),CHAR(39))))</f>
        <v/>
      </c>
      <c r="N966" s="5" t="str">
        <f>IF(OR(TRIM($B966)="",$D966=""),"",IF(OR(ISNUMBER(SEARCH(_xlfn.CONCAT(CHAR(96),CHAR(34)),$D966)),ISNUMBER(SEARCH(_xlfn.CONCAT(CHAR(34),CHAR(39)),$D966))),_xlfn.CONCAT("* REVIEW REQUIRED: compound-quote delimiter in Item Number on Sheet 1 row ",966,"; edit the input before running."),_xlfn.CONCAT("char ",TRIM($B966),"[doc_itemnum] ",CHAR(96),CHAR(34),SUBSTITUTE(SUBSTITUTE(SUBSTITUTE(SUBSTITUTE(SUBSTITUTE(SUBSTITUTE($D966,CHAR(13)," "),CHAR(10)," "),CHAR(9)," "),CHAR(92),_xlfn.CONCAT(CHAR(92),CHAR(92))),"$",_xlfn.CONCAT(CHAR(92),"$")),CHAR(96),_xlfn.CONCAT(CHAR(92),CHAR(96))),CHAR(34),CHAR(39))))</f>
        <v/>
      </c>
      <c r="O966" s="5" t="str">
        <f>IF(OR(TRIM($B966)="",$E966=""),"",IF(OR(ISNUMBER(SEARCH(_xlfn.CONCAT(CHAR(96),CHAR(34)),$E966)),ISNUMBER(SEARCH(_xlfn.CONCAT(CHAR(34),CHAR(39)),$E966))),_xlfn.CONCAT("* REVIEW REQUIRED: compound-quote delimiter in Question Wording on Sheet 1 row ",966,"; edit the input before running."),_xlfn.CONCAT("char ",TRIM($B966),"[doc_question] ",CHAR(96),CHAR(34),SUBSTITUTE(SUBSTITUTE(SUBSTITUTE(SUBSTITUTE(SUBSTITUTE(SUBSTITUTE($E966,CHAR(13)," "),CHAR(10)," "),CHAR(9)," "),CHAR(92),_xlfn.CONCAT(CHAR(92),CHAR(92))),"$",_xlfn.CONCAT(CHAR(92),"$")),CHAR(96),_xlfn.CONCAT(CHAR(92),CHAR(96))),CHAR(34),CHAR(39))))</f>
        <v/>
      </c>
      <c r="P966" s="5" t="str">
        <f>IF(OR(TRIM($B966)="",$F966=""),"",IF(OR(ISNUMBER(SEARCH(_xlfn.CONCAT(CHAR(96),CHAR(34)),$F966)),ISNUMBER(SEARCH(_xlfn.CONCAT(CHAR(34),CHAR(39)),$F966))),_xlfn.CONCAT("* REVIEW REQUIRED: compound-quote delimiter in Units on Sheet 1 row ",966,"; edit the input before running."),_xlfn.CONCAT("char ",TRIM($B966),"[doc_units] ",CHAR(96),CHAR(34),SUBSTITUTE(SUBSTITUTE(SUBSTITUTE(SUBSTITUTE(SUBSTITUTE(SUBSTITUTE($F966,CHAR(13)," "),CHAR(10)," "),CHAR(9)," "),CHAR(92),_xlfn.CONCAT(CHAR(92),CHAR(92))),"$",_xlfn.CONCAT(CHAR(92),"$")),CHAR(96),_xlfn.CONCAT(CHAR(92),CHAR(96))),CHAR(34),CHAR(39))))</f>
        <v/>
      </c>
      <c r="Q966" s="5" t="str">
        <f>IF(OR(TRIM($B966)="",$G966=""),"",IF(OR(ISNUMBER(SEARCH(_xlfn.CONCAT(CHAR(96),CHAR(34)),$G966)),ISNUMBER(SEARCH(_xlfn.CONCAT(CHAR(34),CHAR(39)),$G966))),_xlfn.CONCAT("* REVIEW REQUIRED: compound-quote delimiter in Universe on Sheet 1 row ",966,"; edit the input before running."),_xlfn.CONCAT("char ",TRIM($B966),"[doc_universe] ",CHAR(96),CHAR(34),SUBSTITUTE(SUBSTITUTE(SUBSTITUTE(SUBSTITUTE(SUBSTITUTE(SUBSTITUTE($G966,CHAR(13)," "),CHAR(10)," "),CHAR(9)," "),CHAR(92),_xlfn.CONCAT(CHAR(92),CHAR(92))),"$",_xlfn.CONCAT(CHAR(92),"$")),CHAR(96),_xlfn.CONCAT(CHAR(92),CHAR(96))),CHAR(34),CHAR(39))))</f>
        <v/>
      </c>
      <c r="R966" s="5" t="str">
        <f>IF(OR(TRIM($B966)="",$H966=""),"",IF(OR(ISNUMBER(SEARCH(_xlfn.CONCAT(CHAR(96),CHAR(34)),$H966)),ISNUMBER(SEARCH(_xlfn.CONCAT(CHAR(34),CHAR(39)),$H966))),_xlfn.CONCAT("* REVIEW REQUIRED: compound-quote delimiter in Source on Sheet 1 row ",966,"; edit the input before running."),_xlfn.CONCAT("char ",TRIM($B966),"[doc_source] ",CHAR(96),CHAR(34),SUBSTITUTE(SUBSTITUTE(SUBSTITUTE(SUBSTITUTE(SUBSTITUTE(SUBSTITUTE($H966,CHAR(13)," "),CHAR(10)," "),CHAR(9)," "),CHAR(92),_xlfn.CONCAT(CHAR(92),CHAR(92))),"$",_xlfn.CONCAT(CHAR(92),"$")),CHAR(96),_xlfn.CONCAT(CHAR(92),CHAR(96))),CHAR(34),CHAR(39))))</f>
        <v/>
      </c>
      <c r="S966" s="5" t="str">
        <f>IF(OR(TRIM($B966)="",$I966=""),"",IF(OR(ISNUMBER(SEARCH(_xlfn.CONCAT(CHAR(96),CHAR(34)),$I966)),ISNUMBER(SEARCH(_xlfn.CONCAT(CHAR(34),CHAR(39)),$I966))),_xlfn.CONCAT("* REVIEW REQUIRED: compound-quote delimiter in Derivation on Sheet 1 row ",966,"; edit the input before running."),_xlfn.CONCAT("char ",TRIM($B966),"[doc_derivation] ",CHAR(96),CHAR(34),SUBSTITUTE(SUBSTITUTE(SUBSTITUTE(SUBSTITUTE(SUBSTITUTE(SUBSTITUTE($I966,CHAR(13)," "),CHAR(10)," "),CHAR(9)," "),CHAR(92),_xlfn.CONCAT(CHAR(92),CHAR(92))),"$",_xlfn.CONCAT(CHAR(92),"$")),CHAR(96),_xlfn.CONCAT(CHAR(92),CHAR(96))),CHAR(34),CHAR(39))))</f>
        <v/>
      </c>
      <c r="T966" s="5" t="str">
        <f>IF(OR(TRIM($B966)="",$J966=""),"",IF(OR(ISNUMBER(SEARCH(_xlfn.CONCAT(CHAR(96),CHAR(34)),$J966)),ISNUMBER(SEARCH(_xlfn.CONCAT(CHAR(34),CHAR(39)),$J966))),_xlfn.CONCAT("* REVIEW REQUIRED: compound-quote delimiter in Notes on Sheet 1 row ",966,"; edit the input before running."),_xlfn.CONCAT("char ",TRIM($B966),"[doc_notes] ",CHAR(96),CHAR(34),SUBSTITUTE(SUBSTITUTE(SUBSTITUTE(SUBSTITUTE(SUBSTITUTE(SUBSTITUTE($J966,CHAR(13)," "),CHAR(10)," "),CHAR(9)," "),CHAR(92),_xlfn.CONCAT(CHAR(92),CHAR(92))),"$",_xlfn.CONCAT(CHAR(92),"$")),CHAR(96),_xlfn.CONCAT(CHAR(92),CHAR(96))),CHAR(34),CHAR(39))))</f>
        <v/>
      </c>
      <c r="U966" s="5">
        <f t="shared" si="29"/>
        <v>0</v>
      </c>
    </row>
    <row r="967" spans="3:21" ht="30" customHeight="1" x14ac:dyDescent="0.2">
      <c r="C967" s="4"/>
      <c r="K967" s="5">
        <f t="shared" si="28"/>
        <v>0</v>
      </c>
      <c r="L967" s="5" t="str">
        <f>IF(OR(TRIM($B967)="",$A967=""),"",IF(OR(ISNUMBER(SEARCH(_xlfn.CONCAT(CHAR(96),CHAR(34)),$A967)),ISNUMBER(SEARCH(_xlfn.CONCAT(CHAR(34),CHAR(39)),$A967))),_xlfn.CONCAT("* REVIEW REQUIRED: compound-quote delimiter in Codebook Section on Sheet 1 row ",967,"; edit the input before running."),_xlfn.CONCAT("char ",TRIM($B967),"[doc_section] ",CHAR(96),CHAR(34),SUBSTITUTE(SUBSTITUTE(SUBSTITUTE(SUBSTITUTE(SUBSTITUTE(SUBSTITUTE($A967,CHAR(13)," "),CHAR(10)," "),CHAR(9)," "),CHAR(92),_xlfn.CONCAT(CHAR(92),CHAR(92))),"$",_xlfn.CONCAT(CHAR(92),"$")),CHAR(96),_xlfn.CONCAT(CHAR(92),CHAR(96))),CHAR(34),CHAR(39))))</f>
        <v/>
      </c>
      <c r="M967" s="5" t="str">
        <f>IF(OR(TRIM($B967)="",$C967=""),"",IF(IFERROR(MATCH(TRIM($C967),{"Quantitative","Continuous","Discrete","Categorical","Nominal","Ordinal","Identifier"},0),0)=0,_xlfn.CONCAT("* REVIEW REQUIRED: invalid Variable Type on Sheet 1 row ",967,"."),_xlfn.CONCAT("char ",TRIM($B967),"[doc_vartype] ",CHAR(96),CHAR(34),SUBSTITUTE(SUBSTITUTE(SUBSTITUTE(SUBSTITUTE(SUBSTITUTE(SUBSTITUTE(LOWER(TRIM($C967)),CHAR(13)," "),CHAR(10)," "),CHAR(9)," "),CHAR(92),_xlfn.CONCAT(CHAR(92),CHAR(92))),"$",_xlfn.CONCAT(CHAR(92),"$")),CHAR(96),_xlfn.CONCAT(CHAR(92),CHAR(96))),CHAR(34),CHAR(39))))</f>
        <v/>
      </c>
      <c r="N967" s="5" t="str">
        <f>IF(OR(TRIM($B967)="",$D967=""),"",IF(OR(ISNUMBER(SEARCH(_xlfn.CONCAT(CHAR(96),CHAR(34)),$D967)),ISNUMBER(SEARCH(_xlfn.CONCAT(CHAR(34),CHAR(39)),$D967))),_xlfn.CONCAT("* REVIEW REQUIRED: compound-quote delimiter in Item Number on Sheet 1 row ",967,"; edit the input before running."),_xlfn.CONCAT("char ",TRIM($B967),"[doc_itemnum] ",CHAR(96),CHAR(34),SUBSTITUTE(SUBSTITUTE(SUBSTITUTE(SUBSTITUTE(SUBSTITUTE(SUBSTITUTE($D967,CHAR(13)," "),CHAR(10)," "),CHAR(9)," "),CHAR(92),_xlfn.CONCAT(CHAR(92),CHAR(92))),"$",_xlfn.CONCAT(CHAR(92),"$")),CHAR(96),_xlfn.CONCAT(CHAR(92),CHAR(96))),CHAR(34),CHAR(39))))</f>
        <v/>
      </c>
      <c r="O967" s="5" t="str">
        <f>IF(OR(TRIM($B967)="",$E967=""),"",IF(OR(ISNUMBER(SEARCH(_xlfn.CONCAT(CHAR(96),CHAR(34)),$E967)),ISNUMBER(SEARCH(_xlfn.CONCAT(CHAR(34),CHAR(39)),$E967))),_xlfn.CONCAT("* REVIEW REQUIRED: compound-quote delimiter in Question Wording on Sheet 1 row ",967,"; edit the input before running."),_xlfn.CONCAT("char ",TRIM($B967),"[doc_question] ",CHAR(96),CHAR(34),SUBSTITUTE(SUBSTITUTE(SUBSTITUTE(SUBSTITUTE(SUBSTITUTE(SUBSTITUTE($E967,CHAR(13)," "),CHAR(10)," "),CHAR(9)," "),CHAR(92),_xlfn.CONCAT(CHAR(92),CHAR(92))),"$",_xlfn.CONCAT(CHAR(92),"$")),CHAR(96),_xlfn.CONCAT(CHAR(92),CHAR(96))),CHAR(34),CHAR(39))))</f>
        <v/>
      </c>
      <c r="P967" s="5" t="str">
        <f>IF(OR(TRIM($B967)="",$F967=""),"",IF(OR(ISNUMBER(SEARCH(_xlfn.CONCAT(CHAR(96),CHAR(34)),$F967)),ISNUMBER(SEARCH(_xlfn.CONCAT(CHAR(34),CHAR(39)),$F967))),_xlfn.CONCAT("* REVIEW REQUIRED: compound-quote delimiter in Units on Sheet 1 row ",967,"; edit the input before running."),_xlfn.CONCAT("char ",TRIM($B967),"[doc_units] ",CHAR(96),CHAR(34),SUBSTITUTE(SUBSTITUTE(SUBSTITUTE(SUBSTITUTE(SUBSTITUTE(SUBSTITUTE($F967,CHAR(13)," "),CHAR(10)," "),CHAR(9)," "),CHAR(92),_xlfn.CONCAT(CHAR(92),CHAR(92))),"$",_xlfn.CONCAT(CHAR(92),"$")),CHAR(96),_xlfn.CONCAT(CHAR(92),CHAR(96))),CHAR(34),CHAR(39))))</f>
        <v/>
      </c>
      <c r="Q967" s="5" t="str">
        <f>IF(OR(TRIM($B967)="",$G967=""),"",IF(OR(ISNUMBER(SEARCH(_xlfn.CONCAT(CHAR(96),CHAR(34)),$G967)),ISNUMBER(SEARCH(_xlfn.CONCAT(CHAR(34),CHAR(39)),$G967))),_xlfn.CONCAT("* REVIEW REQUIRED: compound-quote delimiter in Universe on Sheet 1 row ",967,"; edit the input before running."),_xlfn.CONCAT("char ",TRIM($B967),"[doc_universe] ",CHAR(96),CHAR(34),SUBSTITUTE(SUBSTITUTE(SUBSTITUTE(SUBSTITUTE(SUBSTITUTE(SUBSTITUTE($G967,CHAR(13)," "),CHAR(10)," "),CHAR(9)," "),CHAR(92),_xlfn.CONCAT(CHAR(92),CHAR(92))),"$",_xlfn.CONCAT(CHAR(92),"$")),CHAR(96),_xlfn.CONCAT(CHAR(92),CHAR(96))),CHAR(34),CHAR(39))))</f>
        <v/>
      </c>
      <c r="R967" s="5" t="str">
        <f>IF(OR(TRIM($B967)="",$H967=""),"",IF(OR(ISNUMBER(SEARCH(_xlfn.CONCAT(CHAR(96),CHAR(34)),$H967)),ISNUMBER(SEARCH(_xlfn.CONCAT(CHAR(34),CHAR(39)),$H967))),_xlfn.CONCAT("* REVIEW REQUIRED: compound-quote delimiter in Source on Sheet 1 row ",967,"; edit the input before running."),_xlfn.CONCAT("char ",TRIM($B967),"[doc_source] ",CHAR(96),CHAR(34),SUBSTITUTE(SUBSTITUTE(SUBSTITUTE(SUBSTITUTE(SUBSTITUTE(SUBSTITUTE($H967,CHAR(13)," "),CHAR(10)," "),CHAR(9)," "),CHAR(92),_xlfn.CONCAT(CHAR(92),CHAR(92))),"$",_xlfn.CONCAT(CHAR(92),"$")),CHAR(96),_xlfn.CONCAT(CHAR(92),CHAR(96))),CHAR(34),CHAR(39))))</f>
        <v/>
      </c>
      <c r="S967" s="5" t="str">
        <f>IF(OR(TRIM($B967)="",$I967=""),"",IF(OR(ISNUMBER(SEARCH(_xlfn.CONCAT(CHAR(96),CHAR(34)),$I967)),ISNUMBER(SEARCH(_xlfn.CONCAT(CHAR(34),CHAR(39)),$I967))),_xlfn.CONCAT("* REVIEW REQUIRED: compound-quote delimiter in Derivation on Sheet 1 row ",967,"; edit the input before running."),_xlfn.CONCAT("char ",TRIM($B967),"[doc_derivation] ",CHAR(96),CHAR(34),SUBSTITUTE(SUBSTITUTE(SUBSTITUTE(SUBSTITUTE(SUBSTITUTE(SUBSTITUTE($I967,CHAR(13)," "),CHAR(10)," "),CHAR(9)," "),CHAR(92),_xlfn.CONCAT(CHAR(92),CHAR(92))),"$",_xlfn.CONCAT(CHAR(92),"$")),CHAR(96),_xlfn.CONCAT(CHAR(92),CHAR(96))),CHAR(34),CHAR(39))))</f>
        <v/>
      </c>
      <c r="T967" s="5" t="str">
        <f>IF(OR(TRIM($B967)="",$J967=""),"",IF(OR(ISNUMBER(SEARCH(_xlfn.CONCAT(CHAR(96),CHAR(34)),$J967)),ISNUMBER(SEARCH(_xlfn.CONCAT(CHAR(34),CHAR(39)),$J967))),_xlfn.CONCAT("* REVIEW REQUIRED: compound-quote delimiter in Notes on Sheet 1 row ",967,"; edit the input before running."),_xlfn.CONCAT("char ",TRIM($B967),"[doc_notes] ",CHAR(96),CHAR(34),SUBSTITUTE(SUBSTITUTE(SUBSTITUTE(SUBSTITUTE(SUBSTITUTE(SUBSTITUTE($J967,CHAR(13)," "),CHAR(10)," "),CHAR(9)," "),CHAR(92),_xlfn.CONCAT(CHAR(92),CHAR(92))),"$",_xlfn.CONCAT(CHAR(92),"$")),CHAR(96),_xlfn.CONCAT(CHAR(92),CHAR(96))),CHAR(34),CHAR(39))))</f>
        <v/>
      </c>
      <c r="U967" s="5">
        <f t="shared" si="29"/>
        <v>0</v>
      </c>
    </row>
    <row r="968" spans="3:21" ht="30" customHeight="1" x14ac:dyDescent="0.2">
      <c r="C968" s="4"/>
      <c r="K968" s="5">
        <f t="shared" si="28"/>
        <v>0</v>
      </c>
      <c r="L968" s="5" t="str">
        <f>IF(OR(TRIM($B968)="",$A968=""),"",IF(OR(ISNUMBER(SEARCH(_xlfn.CONCAT(CHAR(96),CHAR(34)),$A968)),ISNUMBER(SEARCH(_xlfn.CONCAT(CHAR(34),CHAR(39)),$A968))),_xlfn.CONCAT("* REVIEW REQUIRED: compound-quote delimiter in Codebook Section on Sheet 1 row ",968,"; edit the input before running."),_xlfn.CONCAT("char ",TRIM($B968),"[doc_section] ",CHAR(96),CHAR(34),SUBSTITUTE(SUBSTITUTE(SUBSTITUTE(SUBSTITUTE(SUBSTITUTE(SUBSTITUTE($A968,CHAR(13)," "),CHAR(10)," "),CHAR(9)," "),CHAR(92),_xlfn.CONCAT(CHAR(92),CHAR(92))),"$",_xlfn.CONCAT(CHAR(92),"$")),CHAR(96),_xlfn.CONCAT(CHAR(92),CHAR(96))),CHAR(34),CHAR(39))))</f>
        <v/>
      </c>
      <c r="M968" s="5" t="str">
        <f>IF(OR(TRIM($B968)="",$C968=""),"",IF(IFERROR(MATCH(TRIM($C968),{"Quantitative","Continuous","Discrete","Categorical","Nominal","Ordinal","Identifier"},0),0)=0,_xlfn.CONCAT("* REVIEW REQUIRED: invalid Variable Type on Sheet 1 row ",968,"."),_xlfn.CONCAT("char ",TRIM($B968),"[doc_vartype] ",CHAR(96),CHAR(34),SUBSTITUTE(SUBSTITUTE(SUBSTITUTE(SUBSTITUTE(SUBSTITUTE(SUBSTITUTE(LOWER(TRIM($C968)),CHAR(13)," "),CHAR(10)," "),CHAR(9)," "),CHAR(92),_xlfn.CONCAT(CHAR(92),CHAR(92))),"$",_xlfn.CONCAT(CHAR(92),"$")),CHAR(96),_xlfn.CONCAT(CHAR(92),CHAR(96))),CHAR(34),CHAR(39))))</f>
        <v/>
      </c>
      <c r="N968" s="5" t="str">
        <f>IF(OR(TRIM($B968)="",$D968=""),"",IF(OR(ISNUMBER(SEARCH(_xlfn.CONCAT(CHAR(96),CHAR(34)),$D968)),ISNUMBER(SEARCH(_xlfn.CONCAT(CHAR(34),CHAR(39)),$D968))),_xlfn.CONCAT("* REVIEW REQUIRED: compound-quote delimiter in Item Number on Sheet 1 row ",968,"; edit the input before running."),_xlfn.CONCAT("char ",TRIM($B968),"[doc_itemnum] ",CHAR(96),CHAR(34),SUBSTITUTE(SUBSTITUTE(SUBSTITUTE(SUBSTITUTE(SUBSTITUTE(SUBSTITUTE($D968,CHAR(13)," "),CHAR(10)," "),CHAR(9)," "),CHAR(92),_xlfn.CONCAT(CHAR(92),CHAR(92))),"$",_xlfn.CONCAT(CHAR(92),"$")),CHAR(96),_xlfn.CONCAT(CHAR(92),CHAR(96))),CHAR(34),CHAR(39))))</f>
        <v/>
      </c>
      <c r="O968" s="5" t="str">
        <f>IF(OR(TRIM($B968)="",$E968=""),"",IF(OR(ISNUMBER(SEARCH(_xlfn.CONCAT(CHAR(96),CHAR(34)),$E968)),ISNUMBER(SEARCH(_xlfn.CONCAT(CHAR(34),CHAR(39)),$E968))),_xlfn.CONCAT("* REVIEW REQUIRED: compound-quote delimiter in Question Wording on Sheet 1 row ",968,"; edit the input before running."),_xlfn.CONCAT("char ",TRIM($B968),"[doc_question] ",CHAR(96),CHAR(34),SUBSTITUTE(SUBSTITUTE(SUBSTITUTE(SUBSTITUTE(SUBSTITUTE(SUBSTITUTE($E968,CHAR(13)," "),CHAR(10)," "),CHAR(9)," "),CHAR(92),_xlfn.CONCAT(CHAR(92),CHAR(92))),"$",_xlfn.CONCAT(CHAR(92),"$")),CHAR(96),_xlfn.CONCAT(CHAR(92),CHAR(96))),CHAR(34),CHAR(39))))</f>
        <v/>
      </c>
      <c r="P968" s="5" t="str">
        <f>IF(OR(TRIM($B968)="",$F968=""),"",IF(OR(ISNUMBER(SEARCH(_xlfn.CONCAT(CHAR(96),CHAR(34)),$F968)),ISNUMBER(SEARCH(_xlfn.CONCAT(CHAR(34),CHAR(39)),$F968))),_xlfn.CONCAT("* REVIEW REQUIRED: compound-quote delimiter in Units on Sheet 1 row ",968,"; edit the input before running."),_xlfn.CONCAT("char ",TRIM($B968),"[doc_units] ",CHAR(96),CHAR(34),SUBSTITUTE(SUBSTITUTE(SUBSTITUTE(SUBSTITUTE(SUBSTITUTE(SUBSTITUTE($F968,CHAR(13)," "),CHAR(10)," "),CHAR(9)," "),CHAR(92),_xlfn.CONCAT(CHAR(92),CHAR(92))),"$",_xlfn.CONCAT(CHAR(92),"$")),CHAR(96),_xlfn.CONCAT(CHAR(92),CHAR(96))),CHAR(34),CHAR(39))))</f>
        <v/>
      </c>
      <c r="Q968" s="5" t="str">
        <f>IF(OR(TRIM($B968)="",$G968=""),"",IF(OR(ISNUMBER(SEARCH(_xlfn.CONCAT(CHAR(96),CHAR(34)),$G968)),ISNUMBER(SEARCH(_xlfn.CONCAT(CHAR(34),CHAR(39)),$G968))),_xlfn.CONCAT("* REVIEW REQUIRED: compound-quote delimiter in Universe on Sheet 1 row ",968,"; edit the input before running."),_xlfn.CONCAT("char ",TRIM($B968),"[doc_universe] ",CHAR(96),CHAR(34),SUBSTITUTE(SUBSTITUTE(SUBSTITUTE(SUBSTITUTE(SUBSTITUTE(SUBSTITUTE($G968,CHAR(13)," "),CHAR(10)," "),CHAR(9)," "),CHAR(92),_xlfn.CONCAT(CHAR(92),CHAR(92))),"$",_xlfn.CONCAT(CHAR(92),"$")),CHAR(96),_xlfn.CONCAT(CHAR(92),CHAR(96))),CHAR(34),CHAR(39))))</f>
        <v/>
      </c>
      <c r="R968" s="5" t="str">
        <f>IF(OR(TRIM($B968)="",$H968=""),"",IF(OR(ISNUMBER(SEARCH(_xlfn.CONCAT(CHAR(96),CHAR(34)),$H968)),ISNUMBER(SEARCH(_xlfn.CONCAT(CHAR(34),CHAR(39)),$H968))),_xlfn.CONCAT("* REVIEW REQUIRED: compound-quote delimiter in Source on Sheet 1 row ",968,"; edit the input before running."),_xlfn.CONCAT("char ",TRIM($B968),"[doc_source] ",CHAR(96),CHAR(34),SUBSTITUTE(SUBSTITUTE(SUBSTITUTE(SUBSTITUTE(SUBSTITUTE(SUBSTITUTE($H968,CHAR(13)," "),CHAR(10)," "),CHAR(9)," "),CHAR(92),_xlfn.CONCAT(CHAR(92),CHAR(92))),"$",_xlfn.CONCAT(CHAR(92),"$")),CHAR(96),_xlfn.CONCAT(CHAR(92),CHAR(96))),CHAR(34),CHAR(39))))</f>
        <v/>
      </c>
      <c r="S968" s="5" t="str">
        <f>IF(OR(TRIM($B968)="",$I968=""),"",IF(OR(ISNUMBER(SEARCH(_xlfn.CONCAT(CHAR(96),CHAR(34)),$I968)),ISNUMBER(SEARCH(_xlfn.CONCAT(CHAR(34),CHAR(39)),$I968))),_xlfn.CONCAT("* REVIEW REQUIRED: compound-quote delimiter in Derivation on Sheet 1 row ",968,"; edit the input before running."),_xlfn.CONCAT("char ",TRIM($B968),"[doc_derivation] ",CHAR(96),CHAR(34),SUBSTITUTE(SUBSTITUTE(SUBSTITUTE(SUBSTITUTE(SUBSTITUTE(SUBSTITUTE($I968,CHAR(13)," "),CHAR(10)," "),CHAR(9)," "),CHAR(92),_xlfn.CONCAT(CHAR(92),CHAR(92))),"$",_xlfn.CONCAT(CHAR(92),"$")),CHAR(96),_xlfn.CONCAT(CHAR(92),CHAR(96))),CHAR(34),CHAR(39))))</f>
        <v/>
      </c>
      <c r="T968" s="5" t="str">
        <f>IF(OR(TRIM($B968)="",$J968=""),"",IF(OR(ISNUMBER(SEARCH(_xlfn.CONCAT(CHAR(96),CHAR(34)),$J968)),ISNUMBER(SEARCH(_xlfn.CONCAT(CHAR(34),CHAR(39)),$J968))),_xlfn.CONCAT("* REVIEW REQUIRED: compound-quote delimiter in Notes on Sheet 1 row ",968,"; edit the input before running."),_xlfn.CONCAT("char ",TRIM($B968),"[doc_notes] ",CHAR(96),CHAR(34),SUBSTITUTE(SUBSTITUTE(SUBSTITUTE(SUBSTITUTE(SUBSTITUTE(SUBSTITUTE($J968,CHAR(13)," "),CHAR(10)," "),CHAR(9)," "),CHAR(92),_xlfn.CONCAT(CHAR(92),CHAR(92))),"$",_xlfn.CONCAT(CHAR(92),"$")),CHAR(96),_xlfn.CONCAT(CHAR(92),CHAR(96))),CHAR(34),CHAR(39))))</f>
        <v/>
      </c>
      <c r="U968" s="5">
        <f t="shared" si="29"/>
        <v>0</v>
      </c>
    </row>
    <row r="969" spans="3:21" ht="30" customHeight="1" x14ac:dyDescent="0.2">
      <c r="C969" s="4"/>
      <c r="K969" s="5">
        <f t="shared" si="28"/>
        <v>0</v>
      </c>
      <c r="L969" s="5" t="str">
        <f>IF(OR(TRIM($B969)="",$A969=""),"",IF(OR(ISNUMBER(SEARCH(_xlfn.CONCAT(CHAR(96),CHAR(34)),$A969)),ISNUMBER(SEARCH(_xlfn.CONCAT(CHAR(34),CHAR(39)),$A969))),_xlfn.CONCAT("* REVIEW REQUIRED: compound-quote delimiter in Codebook Section on Sheet 1 row ",969,"; edit the input before running."),_xlfn.CONCAT("char ",TRIM($B969),"[doc_section] ",CHAR(96),CHAR(34),SUBSTITUTE(SUBSTITUTE(SUBSTITUTE(SUBSTITUTE(SUBSTITUTE(SUBSTITUTE($A969,CHAR(13)," "),CHAR(10)," "),CHAR(9)," "),CHAR(92),_xlfn.CONCAT(CHAR(92),CHAR(92))),"$",_xlfn.CONCAT(CHAR(92),"$")),CHAR(96),_xlfn.CONCAT(CHAR(92),CHAR(96))),CHAR(34),CHAR(39))))</f>
        <v/>
      </c>
      <c r="M969" s="5" t="str">
        <f>IF(OR(TRIM($B969)="",$C969=""),"",IF(IFERROR(MATCH(TRIM($C969),{"Quantitative","Continuous","Discrete","Categorical","Nominal","Ordinal","Identifier"},0),0)=0,_xlfn.CONCAT("* REVIEW REQUIRED: invalid Variable Type on Sheet 1 row ",969,"."),_xlfn.CONCAT("char ",TRIM($B969),"[doc_vartype] ",CHAR(96),CHAR(34),SUBSTITUTE(SUBSTITUTE(SUBSTITUTE(SUBSTITUTE(SUBSTITUTE(SUBSTITUTE(LOWER(TRIM($C969)),CHAR(13)," "),CHAR(10)," "),CHAR(9)," "),CHAR(92),_xlfn.CONCAT(CHAR(92),CHAR(92))),"$",_xlfn.CONCAT(CHAR(92),"$")),CHAR(96),_xlfn.CONCAT(CHAR(92),CHAR(96))),CHAR(34),CHAR(39))))</f>
        <v/>
      </c>
      <c r="N969" s="5" t="str">
        <f>IF(OR(TRIM($B969)="",$D969=""),"",IF(OR(ISNUMBER(SEARCH(_xlfn.CONCAT(CHAR(96),CHAR(34)),$D969)),ISNUMBER(SEARCH(_xlfn.CONCAT(CHAR(34),CHAR(39)),$D969))),_xlfn.CONCAT("* REVIEW REQUIRED: compound-quote delimiter in Item Number on Sheet 1 row ",969,"; edit the input before running."),_xlfn.CONCAT("char ",TRIM($B969),"[doc_itemnum] ",CHAR(96),CHAR(34),SUBSTITUTE(SUBSTITUTE(SUBSTITUTE(SUBSTITUTE(SUBSTITUTE(SUBSTITUTE($D969,CHAR(13)," "),CHAR(10)," "),CHAR(9)," "),CHAR(92),_xlfn.CONCAT(CHAR(92),CHAR(92))),"$",_xlfn.CONCAT(CHAR(92),"$")),CHAR(96),_xlfn.CONCAT(CHAR(92),CHAR(96))),CHAR(34),CHAR(39))))</f>
        <v/>
      </c>
      <c r="O969" s="5" t="str">
        <f>IF(OR(TRIM($B969)="",$E969=""),"",IF(OR(ISNUMBER(SEARCH(_xlfn.CONCAT(CHAR(96),CHAR(34)),$E969)),ISNUMBER(SEARCH(_xlfn.CONCAT(CHAR(34),CHAR(39)),$E969))),_xlfn.CONCAT("* REVIEW REQUIRED: compound-quote delimiter in Question Wording on Sheet 1 row ",969,"; edit the input before running."),_xlfn.CONCAT("char ",TRIM($B969),"[doc_question] ",CHAR(96),CHAR(34),SUBSTITUTE(SUBSTITUTE(SUBSTITUTE(SUBSTITUTE(SUBSTITUTE(SUBSTITUTE($E969,CHAR(13)," "),CHAR(10)," "),CHAR(9)," "),CHAR(92),_xlfn.CONCAT(CHAR(92),CHAR(92))),"$",_xlfn.CONCAT(CHAR(92),"$")),CHAR(96),_xlfn.CONCAT(CHAR(92),CHAR(96))),CHAR(34),CHAR(39))))</f>
        <v/>
      </c>
      <c r="P969" s="5" t="str">
        <f>IF(OR(TRIM($B969)="",$F969=""),"",IF(OR(ISNUMBER(SEARCH(_xlfn.CONCAT(CHAR(96),CHAR(34)),$F969)),ISNUMBER(SEARCH(_xlfn.CONCAT(CHAR(34),CHAR(39)),$F969))),_xlfn.CONCAT("* REVIEW REQUIRED: compound-quote delimiter in Units on Sheet 1 row ",969,"; edit the input before running."),_xlfn.CONCAT("char ",TRIM($B969),"[doc_units] ",CHAR(96),CHAR(34),SUBSTITUTE(SUBSTITUTE(SUBSTITUTE(SUBSTITUTE(SUBSTITUTE(SUBSTITUTE($F969,CHAR(13)," "),CHAR(10)," "),CHAR(9)," "),CHAR(92),_xlfn.CONCAT(CHAR(92),CHAR(92))),"$",_xlfn.CONCAT(CHAR(92),"$")),CHAR(96),_xlfn.CONCAT(CHAR(92),CHAR(96))),CHAR(34),CHAR(39))))</f>
        <v/>
      </c>
      <c r="Q969" s="5" t="str">
        <f>IF(OR(TRIM($B969)="",$G969=""),"",IF(OR(ISNUMBER(SEARCH(_xlfn.CONCAT(CHAR(96),CHAR(34)),$G969)),ISNUMBER(SEARCH(_xlfn.CONCAT(CHAR(34),CHAR(39)),$G969))),_xlfn.CONCAT("* REVIEW REQUIRED: compound-quote delimiter in Universe on Sheet 1 row ",969,"; edit the input before running."),_xlfn.CONCAT("char ",TRIM($B969),"[doc_universe] ",CHAR(96),CHAR(34),SUBSTITUTE(SUBSTITUTE(SUBSTITUTE(SUBSTITUTE(SUBSTITUTE(SUBSTITUTE($G969,CHAR(13)," "),CHAR(10)," "),CHAR(9)," "),CHAR(92),_xlfn.CONCAT(CHAR(92),CHAR(92))),"$",_xlfn.CONCAT(CHAR(92),"$")),CHAR(96),_xlfn.CONCAT(CHAR(92),CHAR(96))),CHAR(34),CHAR(39))))</f>
        <v/>
      </c>
      <c r="R969" s="5" t="str">
        <f>IF(OR(TRIM($B969)="",$H969=""),"",IF(OR(ISNUMBER(SEARCH(_xlfn.CONCAT(CHAR(96),CHAR(34)),$H969)),ISNUMBER(SEARCH(_xlfn.CONCAT(CHAR(34),CHAR(39)),$H969))),_xlfn.CONCAT("* REVIEW REQUIRED: compound-quote delimiter in Source on Sheet 1 row ",969,"; edit the input before running."),_xlfn.CONCAT("char ",TRIM($B969),"[doc_source] ",CHAR(96),CHAR(34),SUBSTITUTE(SUBSTITUTE(SUBSTITUTE(SUBSTITUTE(SUBSTITUTE(SUBSTITUTE($H969,CHAR(13)," "),CHAR(10)," "),CHAR(9)," "),CHAR(92),_xlfn.CONCAT(CHAR(92),CHAR(92))),"$",_xlfn.CONCAT(CHAR(92),"$")),CHAR(96),_xlfn.CONCAT(CHAR(92),CHAR(96))),CHAR(34),CHAR(39))))</f>
        <v/>
      </c>
      <c r="S969" s="5" t="str">
        <f>IF(OR(TRIM($B969)="",$I969=""),"",IF(OR(ISNUMBER(SEARCH(_xlfn.CONCAT(CHAR(96),CHAR(34)),$I969)),ISNUMBER(SEARCH(_xlfn.CONCAT(CHAR(34),CHAR(39)),$I969))),_xlfn.CONCAT("* REVIEW REQUIRED: compound-quote delimiter in Derivation on Sheet 1 row ",969,"; edit the input before running."),_xlfn.CONCAT("char ",TRIM($B969),"[doc_derivation] ",CHAR(96),CHAR(34),SUBSTITUTE(SUBSTITUTE(SUBSTITUTE(SUBSTITUTE(SUBSTITUTE(SUBSTITUTE($I969,CHAR(13)," "),CHAR(10)," "),CHAR(9)," "),CHAR(92),_xlfn.CONCAT(CHAR(92),CHAR(92))),"$",_xlfn.CONCAT(CHAR(92),"$")),CHAR(96),_xlfn.CONCAT(CHAR(92),CHAR(96))),CHAR(34),CHAR(39))))</f>
        <v/>
      </c>
      <c r="T969" s="5" t="str">
        <f>IF(OR(TRIM($B969)="",$J969=""),"",IF(OR(ISNUMBER(SEARCH(_xlfn.CONCAT(CHAR(96),CHAR(34)),$J969)),ISNUMBER(SEARCH(_xlfn.CONCAT(CHAR(34),CHAR(39)),$J969))),_xlfn.CONCAT("* REVIEW REQUIRED: compound-quote delimiter in Notes on Sheet 1 row ",969,"; edit the input before running."),_xlfn.CONCAT("char ",TRIM($B969),"[doc_notes] ",CHAR(96),CHAR(34),SUBSTITUTE(SUBSTITUTE(SUBSTITUTE(SUBSTITUTE(SUBSTITUTE(SUBSTITUTE($J969,CHAR(13)," "),CHAR(10)," "),CHAR(9)," "),CHAR(92),_xlfn.CONCAT(CHAR(92),CHAR(92))),"$",_xlfn.CONCAT(CHAR(92),"$")),CHAR(96),_xlfn.CONCAT(CHAR(92),CHAR(96))),CHAR(34),CHAR(39))))</f>
        <v/>
      </c>
      <c r="U969" s="5">
        <f t="shared" si="29"/>
        <v>0</v>
      </c>
    </row>
    <row r="970" spans="3:21" ht="30" customHeight="1" x14ac:dyDescent="0.2">
      <c r="C970" s="4"/>
      <c r="K970" s="5">
        <f t="shared" si="28"/>
        <v>0</v>
      </c>
      <c r="L970" s="5" t="str">
        <f>IF(OR(TRIM($B970)="",$A970=""),"",IF(OR(ISNUMBER(SEARCH(_xlfn.CONCAT(CHAR(96),CHAR(34)),$A970)),ISNUMBER(SEARCH(_xlfn.CONCAT(CHAR(34),CHAR(39)),$A970))),_xlfn.CONCAT("* REVIEW REQUIRED: compound-quote delimiter in Codebook Section on Sheet 1 row ",970,"; edit the input before running."),_xlfn.CONCAT("char ",TRIM($B970),"[doc_section] ",CHAR(96),CHAR(34),SUBSTITUTE(SUBSTITUTE(SUBSTITUTE(SUBSTITUTE(SUBSTITUTE(SUBSTITUTE($A970,CHAR(13)," "),CHAR(10)," "),CHAR(9)," "),CHAR(92),_xlfn.CONCAT(CHAR(92),CHAR(92))),"$",_xlfn.CONCAT(CHAR(92),"$")),CHAR(96),_xlfn.CONCAT(CHAR(92),CHAR(96))),CHAR(34),CHAR(39))))</f>
        <v/>
      </c>
      <c r="M970" s="5" t="str">
        <f>IF(OR(TRIM($B970)="",$C970=""),"",IF(IFERROR(MATCH(TRIM($C970),{"Quantitative","Continuous","Discrete","Categorical","Nominal","Ordinal","Identifier"},0),0)=0,_xlfn.CONCAT("* REVIEW REQUIRED: invalid Variable Type on Sheet 1 row ",970,"."),_xlfn.CONCAT("char ",TRIM($B970),"[doc_vartype] ",CHAR(96),CHAR(34),SUBSTITUTE(SUBSTITUTE(SUBSTITUTE(SUBSTITUTE(SUBSTITUTE(SUBSTITUTE(LOWER(TRIM($C970)),CHAR(13)," "),CHAR(10)," "),CHAR(9)," "),CHAR(92),_xlfn.CONCAT(CHAR(92),CHAR(92))),"$",_xlfn.CONCAT(CHAR(92),"$")),CHAR(96),_xlfn.CONCAT(CHAR(92),CHAR(96))),CHAR(34),CHAR(39))))</f>
        <v/>
      </c>
      <c r="N970" s="5" t="str">
        <f>IF(OR(TRIM($B970)="",$D970=""),"",IF(OR(ISNUMBER(SEARCH(_xlfn.CONCAT(CHAR(96),CHAR(34)),$D970)),ISNUMBER(SEARCH(_xlfn.CONCAT(CHAR(34),CHAR(39)),$D970))),_xlfn.CONCAT("* REVIEW REQUIRED: compound-quote delimiter in Item Number on Sheet 1 row ",970,"; edit the input before running."),_xlfn.CONCAT("char ",TRIM($B970),"[doc_itemnum] ",CHAR(96),CHAR(34),SUBSTITUTE(SUBSTITUTE(SUBSTITUTE(SUBSTITUTE(SUBSTITUTE(SUBSTITUTE($D970,CHAR(13)," "),CHAR(10)," "),CHAR(9)," "),CHAR(92),_xlfn.CONCAT(CHAR(92),CHAR(92))),"$",_xlfn.CONCAT(CHAR(92),"$")),CHAR(96),_xlfn.CONCAT(CHAR(92),CHAR(96))),CHAR(34),CHAR(39))))</f>
        <v/>
      </c>
      <c r="O970" s="5" t="str">
        <f>IF(OR(TRIM($B970)="",$E970=""),"",IF(OR(ISNUMBER(SEARCH(_xlfn.CONCAT(CHAR(96),CHAR(34)),$E970)),ISNUMBER(SEARCH(_xlfn.CONCAT(CHAR(34),CHAR(39)),$E970))),_xlfn.CONCAT("* REVIEW REQUIRED: compound-quote delimiter in Question Wording on Sheet 1 row ",970,"; edit the input before running."),_xlfn.CONCAT("char ",TRIM($B970),"[doc_question] ",CHAR(96),CHAR(34),SUBSTITUTE(SUBSTITUTE(SUBSTITUTE(SUBSTITUTE(SUBSTITUTE(SUBSTITUTE($E970,CHAR(13)," "),CHAR(10)," "),CHAR(9)," "),CHAR(92),_xlfn.CONCAT(CHAR(92),CHAR(92))),"$",_xlfn.CONCAT(CHAR(92),"$")),CHAR(96),_xlfn.CONCAT(CHAR(92),CHAR(96))),CHAR(34),CHAR(39))))</f>
        <v/>
      </c>
      <c r="P970" s="5" t="str">
        <f>IF(OR(TRIM($B970)="",$F970=""),"",IF(OR(ISNUMBER(SEARCH(_xlfn.CONCAT(CHAR(96),CHAR(34)),$F970)),ISNUMBER(SEARCH(_xlfn.CONCAT(CHAR(34),CHAR(39)),$F970))),_xlfn.CONCAT("* REVIEW REQUIRED: compound-quote delimiter in Units on Sheet 1 row ",970,"; edit the input before running."),_xlfn.CONCAT("char ",TRIM($B970),"[doc_units] ",CHAR(96),CHAR(34),SUBSTITUTE(SUBSTITUTE(SUBSTITUTE(SUBSTITUTE(SUBSTITUTE(SUBSTITUTE($F970,CHAR(13)," "),CHAR(10)," "),CHAR(9)," "),CHAR(92),_xlfn.CONCAT(CHAR(92),CHAR(92))),"$",_xlfn.CONCAT(CHAR(92),"$")),CHAR(96),_xlfn.CONCAT(CHAR(92),CHAR(96))),CHAR(34),CHAR(39))))</f>
        <v/>
      </c>
      <c r="Q970" s="5" t="str">
        <f>IF(OR(TRIM($B970)="",$G970=""),"",IF(OR(ISNUMBER(SEARCH(_xlfn.CONCAT(CHAR(96),CHAR(34)),$G970)),ISNUMBER(SEARCH(_xlfn.CONCAT(CHAR(34),CHAR(39)),$G970))),_xlfn.CONCAT("* REVIEW REQUIRED: compound-quote delimiter in Universe on Sheet 1 row ",970,"; edit the input before running."),_xlfn.CONCAT("char ",TRIM($B970),"[doc_universe] ",CHAR(96),CHAR(34),SUBSTITUTE(SUBSTITUTE(SUBSTITUTE(SUBSTITUTE(SUBSTITUTE(SUBSTITUTE($G970,CHAR(13)," "),CHAR(10)," "),CHAR(9)," "),CHAR(92),_xlfn.CONCAT(CHAR(92),CHAR(92))),"$",_xlfn.CONCAT(CHAR(92),"$")),CHAR(96),_xlfn.CONCAT(CHAR(92),CHAR(96))),CHAR(34),CHAR(39))))</f>
        <v/>
      </c>
      <c r="R970" s="5" t="str">
        <f>IF(OR(TRIM($B970)="",$H970=""),"",IF(OR(ISNUMBER(SEARCH(_xlfn.CONCAT(CHAR(96),CHAR(34)),$H970)),ISNUMBER(SEARCH(_xlfn.CONCAT(CHAR(34),CHAR(39)),$H970))),_xlfn.CONCAT("* REVIEW REQUIRED: compound-quote delimiter in Source on Sheet 1 row ",970,"; edit the input before running."),_xlfn.CONCAT("char ",TRIM($B970),"[doc_source] ",CHAR(96),CHAR(34),SUBSTITUTE(SUBSTITUTE(SUBSTITUTE(SUBSTITUTE(SUBSTITUTE(SUBSTITUTE($H970,CHAR(13)," "),CHAR(10)," "),CHAR(9)," "),CHAR(92),_xlfn.CONCAT(CHAR(92),CHAR(92))),"$",_xlfn.CONCAT(CHAR(92),"$")),CHAR(96),_xlfn.CONCAT(CHAR(92),CHAR(96))),CHAR(34),CHAR(39))))</f>
        <v/>
      </c>
      <c r="S970" s="5" t="str">
        <f>IF(OR(TRIM($B970)="",$I970=""),"",IF(OR(ISNUMBER(SEARCH(_xlfn.CONCAT(CHAR(96),CHAR(34)),$I970)),ISNUMBER(SEARCH(_xlfn.CONCAT(CHAR(34),CHAR(39)),$I970))),_xlfn.CONCAT("* REVIEW REQUIRED: compound-quote delimiter in Derivation on Sheet 1 row ",970,"; edit the input before running."),_xlfn.CONCAT("char ",TRIM($B970),"[doc_derivation] ",CHAR(96),CHAR(34),SUBSTITUTE(SUBSTITUTE(SUBSTITUTE(SUBSTITUTE(SUBSTITUTE(SUBSTITUTE($I970,CHAR(13)," "),CHAR(10)," "),CHAR(9)," "),CHAR(92),_xlfn.CONCAT(CHAR(92),CHAR(92))),"$",_xlfn.CONCAT(CHAR(92),"$")),CHAR(96),_xlfn.CONCAT(CHAR(92),CHAR(96))),CHAR(34),CHAR(39))))</f>
        <v/>
      </c>
      <c r="T970" s="5" t="str">
        <f>IF(OR(TRIM($B970)="",$J970=""),"",IF(OR(ISNUMBER(SEARCH(_xlfn.CONCAT(CHAR(96),CHAR(34)),$J970)),ISNUMBER(SEARCH(_xlfn.CONCAT(CHAR(34),CHAR(39)),$J970))),_xlfn.CONCAT("* REVIEW REQUIRED: compound-quote delimiter in Notes on Sheet 1 row ",970,"; edit the input before running."),_xlfn.CONCAT("char ",TRIM($B970),"[doc_notes] ",CHAR(96),CHAR(34),SUBSTITUTE(SUBSTITUTE(SUBSTITUTE(SUBSTITUTE(SUBSTITUTE(SUBSTITUTE($J970,CHAR(13)," "),CHAR(10)," "),CHAR(9)," "),CHAR(92),_xlfn.CONCAT(CHAR(92),CHAR(92))),"$",_xlfn.CONCAT(CHAR(92),"$")),CHAR(96),_xlfn.CONCAT(CHAR(92),CHAR(96))),CHAR(34),CHAR(39))))</f>
        <v/>
      </c>
      <c r="U970" s="5">
        <f t="shared" si="29"/>
        <v>0</v>
      </c>
    </row>
    <row r="971" spans="3:21" ht="30" customHeight="1" x14ac:dyDescent="0.2">
      <c r="C971" s="4"/>
      <c r="K971" s="5">
        <f t="shared" si="28"/>
        <v>0</v>
      </c>
      <c r="L971" s="5" t="str">
        <f>IF(OR(TRIM($B971)="",$A971=""),"",IF(OR(ISNUMBER(SEARCH(_xlfn.CONCAT(CHAR(96),CHAR(34)),$A971)),ISNUMBER(SEARCH(_xlfn.CONCAT(CHAR(34),CHAR(39)),$A971))),_xlfn.CONCAT("* REVIEW REQUIRED: compound-quote delimiter in Codebook Section on Sheet 1 row ",971,"; edit the input before running."),_xlfn.CONCAT("char ",TRIM($B971),"[doc_section] ",CHAR(96),CHAR(34),SUBSTITUTE(SUBSTITUTE(SUBSTITUTE(SUBSTITUTE(SUBSTITUTE(SUBSTITUTE($A971,CHAR(13)," "),CHAR(10)," "),CHAR(9)," "),CHAR(92),_xlfn.CONCAT(CHAR(92),CHAR(92))),"$",_xlfn.CONCAT(CHAR(92),"$")),CHAR(96),_xlfn.CONCAT(CHAR(92),CHAR(96))),CHAR(34),CHAR(39))))</f>
        <v/>
      </c>
      <c r="M971" s="5" t="str">
        <f>IF(OR(TRIM($B971)="",$C971=""),"",IF(IFERROR(MATCH(TRIM($C971),{"Quantitative","Continuous","Discrete","Categorical","Nominal","Ordinal","Identifier"},0),0)=0,_xlfn.CONCAT("* REVIEW REQUIRED: invalid Variable Type on Sheet 1 row ",971,"."),_xlfn.CONCAT("char ",TRIM($B971),"[doc_vartype] ",CHAR(96),CHAR(34),SUBSTITUTE(SUBSTITUTE(SUBSTITUTE(SUBSTITUTE(SUBSTITUTE(SUBSTITUTE(LOWER(TRIM($C971)),CHAR(13)," "),CHAR(10)," "),CHAR(9)," "),CHAR(92),_xlfn.CONCAT(CHAR(92),CHAR(92))),"$",_xlfn.CONCAT(CHAR(92),"$")),CHAR(96),_xlfn.CONCAT(CHAR(92),CHAR(96))),CHAR(34),CHAR(39))))</f>
        <v/>
      </c>
      <c r="N971" s="5" t="str">
        <f>IF(OR(TRIM($B971)="",$D971=""),"",IF(OR(ISNUMBER(SEARCH(_xlfn.CONCAT(CHAR(96),CHAR(34)),$D971)),ISNUMBER(SEARCH(_xlfn.CONCAT(CHAR(34),CHAR(39)),$D971))),_xlfn.CONCAT("* REVIEW REQUIRED: compound-quote delimiter in Item Number on Sheet 1 row ",971,"; edit the input before running."),_xlfn.CONCAT("char ",TRIM($B971),"[doc_itemnum] ",CHAR(96),CHAR(34),SUBSTITUTE(SUBSTITUTE(SUBSTITUTE(SUBSTITUTE(SUBSTITUTE(SUBSTITUTE($D971,CHAR(13)," "),CHAR(10)," "),CHAR(9)," "),CHAR(92),_xlfn.CONCAT(CHAR(92),CHAR(92))),"$",_xlfn.CONCAT(CHAR(92),"$")),CHAR(96),_xlfn.CONCAT(CHAR(92),CHAR(96))),CHAR(34),CHAR(39))))</f>
        <v/>
      </c>
      <c r="O971" s="5" t="str">
        <f>IF(OR(TRIM($B971)="",$E971=""),"",IF(OR(ISNUMBER(SEARCH(_xlfn.CONCAT(CHAR(96),CHAR(34)),$E971)),ISNUMBER(SEARCH(_xlfn.CONCAT(CHAR(34),CHAR(39)),$E971))),_xlfn.CONCAT("* REVIEW REQUIRED: compound-quote delimiter in Question Wording on Sheet 1 row ",971,"; edit the input before running."),_xlfn.CONCAT("char ",TRIM($B971),"[doc_question] ",CHAR(96),CHAR(34),SUBSTITUTE(SUBSTITUTE(SUBSTITUTE(SUBSTITUTE(SUBSTITUTE(SUBSTITUTE($E971,CHAR(13)," "),CHAR(10)," "),CHAR(9)," "),CHAR(92),_xlfn.CONCAT(CHAR(92),CHAR(92))),"$",_xlfn.CONCAT(CHAR(92),"$")),CHAR(96),_xlfn.CONCAT(CHAR(92),CHAR(96))),CHAR(34),CHAR(39))))</f>
        <v/>
      </c>
      <c r="P971" s="5" t="str">
        <f>IF(OR(TRIM($B971)="",$F971=""),"",IF(OR(ISNUMBER(SEARCH(_xlfn.CONCAT(CHAR(96),CHAR(34)),$F971)),ISNUMBER(SEARCH(_xlfn.CONCAT(CHAR(34),CHAR(39)),$F971))),_xlfn.CONCAT("* REVIEW REQUIRED: compound-quote delimiter in Units on Sheet 1 row ",971,"; edit the input before running."),_xlfn.CONCAT("char ",TRIM($B971),"[doc_units] ",CHAR(96),CHAR(34),SUBSTITUTE(SUBSTITUTE(SUBSTITUTE(SUBSTITUTE(SUBSTITUTE(SUBSTITUTE($F971,CHAR(13)," "),CHAR(10)," "),CHAR(9)," "),CHAR(92),_xlfn.CONCAT(CHAR(92),CHAR(92))),"$",_xlfn.CONCAT(CHAR(92),"$")),CHAR(96),_xlfn.CONCAT(CHAR(92),CHAR(96))),CHAR(34),CHAR(39))))</f>
        <v/>
      </c>
      <c r="Q971" s="5" t="str">
        <f>IF(OR(TRIM($B971)="",$G971=""),"",IF(OR(ISNUMBER(SEARCH(_xlfn.CONCAT(CHAR(96),CHAR(34)),$G971)),ISNUMBER(SEARCH(_xlfn.CONCAT(CHAR(34),CHAR(39)),$G971))),_xlfn.CONCAT("* REVIEW REQUIRED: compound-quote delimiter in Universe on Sheet 1 row ",971,"; edit the input before running."),_xlfn.CONCAT("char ",TRIM($B971),"[doc_universe] ",CHAR(96),CHAR(34),SUBSTITUTE(SUBSTITUTE(SUBSTITUTE(SUBSTITUTE(SUBSTITUTE(SUBSTITUTE($G971,CHAR(13)," "),CHAR(10)," "),CHAR(9)," "),CHAR(92),_xlfn.CONCAT(CHAR(92),CHAR(92))),"$",_xlfn.CONCAT(CHAR(92),"$")),CHAR(96),_xlfn.CONCAT(CHAR(92),CHAR(96))),CHAR(34),CHAR(39))))</f>
        <v/>
      </c>
      <c r="R971" s="5" t="str">
        <f>IF(OR(TRIM($B971)="",$H971=""),"",IF(OR(ISNUMBER(SEARCH(_xlfn.CONCAT(CHAR(96),CHAR(34)),$H971)),ISNUMBER(SEARCH(_xlfn.CONCAT(CHAR(34),CHAR(39)),$H971))),_xlfn.CONCAT("* REVIEW REQUIRED: compound-quote delimiter in Source on Sheet 1 row ",971,"; edit the input before running."),_xlfn.CONCAT("char ",TRIM($B971),"[doc_source] ",CHAR(96),CHAR(34),SUBSTITUTE(SUBSTITUTE(SUBSTITUTE(SUBSTITUTE(SUBSTITUTE(SUBSTITUTE($H971,CHAR(13)," "),CHAR(10)," "),CHAR(9)," "),CHAR(92),_xlfn.CONCAT(CHAR(92),CHAR(92))),"$",_xlfn.CONCAT(CHAR(92),"$")),CHAR(96),_xlfn.CONCAT(CHAR(92),CHAR(96))),CHAR(34),CHAR(39))))</f>
        <v/>
      </c>
      <c r="S971" s="5" t="str">
        <f>IF(OR(TRIM($B971)="",$I971=""),"",IF(OR(ISNUMBER(SEARCH(_xlfn.CONCAT(CHAR(96),CHAR(34)),$I971)),ISNUMBER(SEARCH(_xlfn.CONCAT(CHAR(34),CHAR(39)),$I971))),_xlfn.CONCAT("* REVIEW REQUIRED: compound-quote delimiter in Derivation on Sheet 1 row ",971,"; edit the input before running."),_xlfn.CONCAT("char ",TRIM($B971),"[doc_derivation] ",CHAR(96),CHAR(34),SUBSTITUTE(SUBSTITUTE(SUBSTITUTE(SUBSTITUTE(SUBSTITUTE(SUBSTITUTE($I971,CHAR(13)," "),CHAR(10)," "),CHAR(9)," "),CHAR(92),_xlfn.CONCAT(CHAR(92),CHAR(92))),"$",_xlfn.CONCAT(CHAR(92),"$")),CHAR(96),_xlfn.CONCAT(CHAR(92),CHAR(96))),CHAR(34),CHAR(39))))</f>
        <v/>
      </c>
      <c r="T971" s="5" t="str">
        <f>IF(OR(TRIM($B971)="",$J971=""),"",IF(OR(ISNUMBER(SEARCH(_xlfn.CONCAT(CHAR(96),CHAR(34)),$J971)),ISNUMBER(SEARCH(_xlfn.CONCAT(CHAR(34),CHAR(39)),$J971))),_xlfn.CONCAT("* REVIEW REQUIRED: compound-quote delimiter in Notes on Sheet 1 row ",971,"; edit the input before running."),_xlfn.CONCAT("char ",TRIM($B971),"[doc_notes] ",CHAR(96),CHAR(34),SUBSTITUTE(SUBSTITUTE(SUBSTITUTE(SUBSTITUTE(SUBSTITUTE(SUBSTITUTE($J971,CHAR(13)," "),CHAR(10)," "),CHAR(9)," "),CHAR(92),_xlfn.CONCAT(CHAR(92),CHAR(92))),"$",_xlfn.CONCAT(CHAR(92),"$")),CHAR(96),_xlfn.CONCAT(CHAR(92),CHAR(96))),CHAR(34),CHAR(39))))</f>
        <v/>
      </c>
      <c r="U971" s="5">
        <f t="shared" si="29"/>
        <v>0</v>
      </c>
    </row>
    <row r="972" spans="3:21" ht="30" customHeight="1" x14ac:dyDescent="0.2">
      <c r="C972" s="4"/>
      <c r="K972" s="5">
        <f t="shared" si="28"/>
        <v>0</v>
      </c>
      <c r="L972" s="5" t="str">
        <f>IF(OR(TRIM($B972)="",$A972=""),"",IF(OR(ISNUMBER(SEARCH(_xlfn.CONCAT(CHAR(96),CHAR(34)),$A972)),ISNUMBER(SEARCH(_xlfn.CONCAT(CHAR(34),CHAR(39)),$A972))),_xlfn.CONCAT("* REVIEW REQUIRED: compound-quote delimiter in Codebook Section on Sheet 1 row ",972,"; edit the input before running."),_xlfn.CONCAT("char ",TRIM($B972),"[doc_section] ",CHAR(96),CHAR(34),SUBSTITUTE(SUBSTITUTE(SUBSTITUTE(SUBSTITUTE(SUBSTITUTE(SUBSTITUTE($A972,CHAR(13)," "),CHAR(10)," "),CHAR(9)," "),CHAR(92),_xlfn.CONCAT(CHAR(92),CHAR(92))),"$",_xlfn.CONCAT(CHAR(92),"$")),CHAR(96),_xlfn.CONCAT(CHAR(92),CHAR(96))),CHAR(34),CHAR(39))))</f>
        <v/>
      </c>
      <c r="M972" s="5" t="str">
        <f>IF(OR(TRIM($B972)="",$C972=""),"",IF(IFERROR(MATCH(TRIM($C972),{"Quantitative","Continuous","Discrete","Categorical","Nominal","Ordinal","Identifier"},0),0)=0,_xlfn.CONCAT("* REVIEW REQUIRED: invalid Variable Type on Sheet 1 row ",972,"."),_xlfn.CONCAT("char ",TRIM($B972),"[doc_vartype] ",CHAR(96),CHAR(34),SUBSTITUTE(SUBSTITUTE(SUBSTITUTE(SUBSTITUTE(SUBSTITUTE(SUBSTITUTE(LOWER(TRIM($C972)),CHAR(13)," "),CHAR(10)," "),CHAR(9)," "),CHAR(92),_xlfn.CONCAT(CHAR(92),CHAR(92))),"$",_xlfn.CONCAT(CHAR(92),"$")),CHAR(96),_xlfn.CONCAT(CHAR(92),CHAR(96))),CHAR(34),CHAR(39))))</f>
        <v/>
      </c>
      <c r="N972" s="5" t="str">
        <f>IF(OR(TRIM($B972)="",$D972=""),"",IF(OR(ISNUMBER(SEARCH(_xlfn.CONCAT(CHAR(96),CHAR(34)),$D972)),ISNUMBER(SEARCH(_xlfn.CONCAT(CHAR(34),CHAR(39)),$D972))),_xlfn.CONCAT("* REVIEW REQUIRED: compound-quote delimiter in Item Number on Sheet 1 row ",972,"; edit the input before running."),_xlfn.CONCAT("char ",TRIM($B972),"[doc_itemnum] ",CHAR(96),CHAR(34),SUBSTITUTE(SUBSTITUTE(SUBSTITUTE(SUBSTITUTE(SUBSTITUTE(SUBSTITUTE($D972,CHAR(13)," "),CHAR(10)," "),CHAR(9)," "),CHAR(92),_xlfn.CONCAT(CHAR(92),CHAR(92))),"$",_xlfn.CONCAT(CHAR(92),"$")),CHAR(96),_xlfn.CONCAT(CHAR(92),CHAR(96))),CHAR(34),CHAR(39))))</f>
        <v/>
      </c>
      <c r="O972" s="5" t="str">
        <f>IF(OR(TRIM($B972)="",$E972=""),"",IF(OR(ISNUMBER(SEARCH(_xlfn.CONCAT(CHAR(96),CHAR(34)),$E972)),ISNUMBER(SEARCH(_xlfn.CONCAT(CHAR(34),CHAR(39)),$E972))),_xlfn.CONCAT("* REVIEW REQUIRED: compound-quote delimiter in Question Wording on Sheet 1 row ",972,"; edit the input before running."),_xlfn.CONCAT("char ",TRIM($B972),"[doc_question] ",CHAR(96),CHAR(34),SUBSTITUTE(SUBSTITUTE(SUBSTITUTE(SUBSTITUTE(SUBSTITUTE(SUBSTITUTE($E972,CHAR(13)," "),CHAR(10)," "),CHAR(9)," "),CHAR(92),_xlfn.CONCAT(CHAR(92),CHAR(92))),"$",_xlfn.CONCAT(CHAR(92),"$")),CHAR(96),_xlfn.CONCAT(CHAR(92),CHAR(96))),CHAR(34),CHAR(39))))</f>
        <v/>
      </c>
      <c r="P972" s="5" t="str">
        <f>IF(OR(TRIM($B972)="",$F972=""),"",IF(OR(ISNUMBER(SEARCH(_xlfn.CONCAT(CHAR(96),CHAR(34)),$F972)),ISNUMBER(SEARCH(_xlfn.CONCAT(CHAR(34),CHAR(39)),$F972))),_xlfn.CONCAT("* REVIEW REQUIRED: compound-quote delimiter in Units on Sheet 1 row ",972,"; edit the input before running."),_xlfn.CONCAT("char ",TRIM($B972),"[doc_units] ",CHAR(96),CHAR(34),SUBSTITUTE(SUBSTITUTE(SUBSTITUTE(SUBSTITUTE(SUBSTITUTE(SUBSTITUTE($F972,CHAR(13)," "),CHAR(10)," "),CHAR(9)," "),CHAR(92),_xlfn.CONCAT(CHAR(92),CHAR(92))),"$",_xlfn.CONCAT(CHAR(92),"$")),CHAR(96),_xlfn.CONCAT(CHAR(92),CHAR(96))),CHAR(34),CHAR(39))))</f>
        <v/>
      </c>
      <c r="Q972" s="5" t="str">
        <f>IF(OR(TRIM($B972)="",$G972=""),"",IF(OR(ISNUMBER(SEARCH(_xlfn.CONCAT(CHAR(96),CHAR(34)),$G972)),ISNUMBER(SEARCH(_xlfn.CONCAT(CHAR(34),CHAR(39)),$G972))),_xlfn.CONCAT("* REVIEW REQUIRED: compound-quote delimiter in Universe on Sheet 1 row ",972,"; edit the input before running."),_xlfn.CONCAT("char ",TRIM($B972),"[doc_universe] ",CHAR(96),CHAR(34),SUBSTITUTE(SUBSTITUTE(SUBSTITUTE(SUBSTITUTE(SUBSTITUTE(SUBSTITUTE($G972,CHAR(13)," "),CHAR(10)," "),CHAR(9)," "),CHAR(92),_xlfn.CONCAT(CHAR(92),CHAR(92))),"$",_xlfn.CONCAT(CHAR(92),"$")),CHAR(96),_xlfn.CONCAT(CHAR(92),CHAR(96))),CHAR(34),CHAR(39))))</f>
        <v/>
      </c>
      <c r="R972" s="5" t="str">
        <f>IF(OR(TRIM($B972)="",$H972=""),"",IF(OR(ISNUMBER(SEARCH(_xlfn.CONCAT(CHAR(96),CHAR(34)),$H972)),ISNUMBER(SEARCH(_xlfn.CONCAT(CHAR(34),CHAR(39)),$H972))),_xlfn.CONCAT("* REVIEW REQUIRED: compound-quote delimiter in Source on Sheet 1 row ",972,"; edit the input before running."),_xlfn.CONCAT("char ",TRIM($B972),"[doc_source] ",CHAR(96),CHAR(34),SUBSTITUTE(SUBSTITUTE(SUBSTITUTE(SUBSTITUTE(SUBSTITUTE(SUBSTITUTE($H972,CHAR(13)," "),CHAR(10)," "),CHAR(9)," "),CHAR(92),_xlfn.CONCAT(CHAR(92),CHAR(92))),"$",_xlfn.CONCAT(CHAR(92),"$")),CHAR(96),_xlfn.CONCAT(CHAR(92),CHAR(96))),CHAR(34),CHAR(39))))</f>
        <v/>
      </c>
      <c r="S972" s="5" t="str">
        <f>IF(OR(TRIM($B972)="",$I972=""),"",IF(OR(ISNUMBER(SEARCH(_xlfn.CONCAT(CHAR(96),CHAR(34)),$I972)),ISNUMBER(SEARCH(_xlfn.CONCAT(CHAR(34),CHAR(39)),$I972))),_xlfn.CONCAT("* REVIEW REQUIRED: compound-quote delimiter in Derivation on Sheet 1 row ",972,"; edit the input before running."),_xlfn.CONCAT("char ",TRIM($B972),"[doc_derivation] ",CHAR(96),CHAR(34),SUBSTITUTE(SUBSTITUTE(SUBSTITUTE(SUBSTITUTE(SUBSTITUTE(SUBSTITUTE($I972,CHAR(13)," "),CHAR(10)," "),CHAR(9)," "),CHAR(92),_xlfn.CONCAT(CHAR(92),CHAR(92))),"$",_xlfn.CONCAT(CHAR(92),"$")),CHAR(96),_xlfn.CONCAT(CHAR(92),CHAR(96))),CHAR(34),CHAR(39))))</f>
        <v/>
      </c>
      <c r="T972" s="5" t="str">
        <f>IF(OR(TRIM($B972)="",$J972=""),"",IF(OR(ISNUMBER(SEARCH(_xlfn.CONCAT(CHAR(96),CHAR(34)),$J972)),ISNUMBER(SEARCH(_xlfn.CONCAT(CHAR(34),CHAR(39)),$J972))),_xlfn.CONCAT("* REVIEW REQUIRED: compound-quote delimiter in Notes on Sheet 1 row ",972,"; edit the input before running."),_xlfn.CONCAT("char ",TRIM($B972),"[doc_notes] ",CHAR(96),CHAR(34),SUBSTITUTE(SUBSTITUTE(SUBSTITUTE(SUBSTITUTE(SUBSTITUTE(SUBSTITUTE($J972,CHAR(13)," "),CHAR(10)," "),CHAR(9)," "),CHAR(92),_xlfn.CONCAT(CHAR(92),CHAR(92))),"$",_xlfn.CONCAT(CHAR(92),"$")),CHAR(96),_xlfn.CONCAT(CHAR(92),CHAR(96))),CHAR(34),CHAR(39))))</f>
        <v/>
      </c>
      <c r="U972" s="5">
        <f t="shared" si="29"/>
        <v>0</v>
      </c>
    </row>
    <row r="973" spans="3:21" ht="30" customHeight="1" x14ac:dyDescent="0.2">
      <c r="C973" s="4"/>
      <c r="K973" s="5">
        <f t="shared" si="28"/>
        <v>0</v>
      </c>
      <c r="L973" s="5" t="str">
        <f>IF(OR(TRIM($B973)="",$A973=""),"",IF(OR(ISNUMBER(SEARCH(_xlfn.CONCAT(CHAR(96),CHAR(34)),$A973)),ISNUMBER(SEARCH(_xlfn.CONCAT(CHAR(34),CHAR(39)),$A973))),_xlfn.CONCAT("* REVIEW REQUIRED: compound-quote delimiter in Codebook Section on Sheet 1 row ",973,"; edit the input before running."),_xlfn.CONCAT("char ",TRIM($B973),"[doc_section] ",CHAR(96),CHAR(34),SUBSTITUTE(SUBSTITUTE(SUBSTITUTE(SUBSTITUTE(SUBSTITUTE(SUBSTITUTE($A973,CHAR(13)," "),CHAR(10)," "),CHAR(9)," "),CHAR(92),_xlfn.CONCAT(CHAR(92),CHAR(92))),"$",_xlfn.CONCAT(CHAR(92),"$")),CHAR(96),_xlfn.CONCAT(CHAR(92),CHAR(96))),CHAR(34),CHAR(39))))</f>
        <v/>
      </c>
      <c r="M973" s="5" t="str">
        <f>IF(OR(TRIM($B973)="",$C973=""),"",IF(IFERROR(MATCH(TRIM($C973),{"Quantitative","Continuous","Discrete","Categorical","Nominal","Ordinal","Identifier"},0),0)=0,_xlfn.CONCAT("* REVIEW REQUIRED: invalid Variable Type on Sheet 1 row ",973,"."),_xlfn.CONCAT("char ",TRIM($B973),"[doc_vartype] ",CHAR(96),CHAR(34),SUBSTITUTE(SUBSTITUTE(SUBSTITUTE(SUBSTITUTE(SUBSTITUTE(SUBSTITUTE(LOWER(TRIM($C973)),CHAR(13)," "),CHAR(10)," "),CHAR(9)," "),CHAR(92),_xlfn.CONCAT(CHAR(92),CHAR(92))),"$",_xlfn.CONCAT(CHAR(92),"$")),CHAR(96),_xlfn.CONCAT(CHAR(92),CHAR(96))),CHAR(34),CHAR(39))))</f>
        <v/>
      </c>
      <c r="N973" s="5" t="str">
        <f>IF(OR(TRIM($B973)="",$D973=""),"",IF(OR(ISNUMBER(SEARCH(_xlfn.CONCAT(CHAR(96),CHAR(34)),$D973)),ISNUMBER(SEARCH(_xlfn.CONCAT(CHAR(34),CHAR(39)),$D973))),_xlfn.CONCAT("* REVIEW REQUIRED: compound-quote delimiter in Item Number on Sheet 1 row ",973,"; edit the input before running."),_xlfn.CONCAT("char ",TRIM($B973),"[doc_itemnum] ",CHAR(96),CHAR(34),SUBSTITUTE(SUBSTITUTE(SUBSTITUTE(SUBSTITUTE(SUBSTITUTE(SUBSTITUTE($D973,CHAR(13)," "),CHAR(10)," "),CHAR(9)," "),CHAR(92),_xlfn.CONCAT(CHAR(92),CHAR(92))),"$",_xlfn.CONCAT(CHAR(92),"$")),CHAR(96),_xlfn.CONCAT(CHAR(92),CHAR(96))),CHAR(34),CHAR(39))))</f>
        <v/>
      </c>
      <c r="O973" s="5" t="str">
        <f>IF(OR(TRIM($B973)="",$E973=""),"",IF(OR(ISNUMBER(SEARCH(_xlfn.CONCAT(CHAR(96),CHAR(34)),$E973)),ISNUMBER(SEARCH(_xlfn.CONCAT(CHAR(34),CHAR(39)),$E973))),_xlfn.CONCAT("* REVIEW REQUIRED: compound-quote delimiter in Question Wording on Sheet 1 row ",973,"; edit the input before running."),_xlfn.CONCAT("char ",TRIM($B973),"[doc_question] ",CHAR(96),CHAR(34),SUBSTITUTE(SUBSTITUTE(SUBSTITUTE(SUBSTITUTE(SUBSTITUTE(SUBSTITUTE($E973,CHAR(13)," "),CHAR(10)," "),CHAR(9)," "),CHAR(92),_xlfn.CONCAT(CHAR(92),CHAR(92))),"$",_xlfn.CONCAT(CHAR(92),"$")),CHAR(96),_xlfn.CONCAT(CHAR(92),CHAR(96))),CHAR(34),CHAR(39))))</f>
        <v/>
      </c>
      <c r="P973" s="5" t="str">
        <f>IF(OR(TRIM($B973)="",$F973=""),"",IF(OR(ISNUMBER(SEARCH(_xlfn.CONCAT(CHAR(96),CHAR(34)),$F973)),ISNUMBER(SEARCH(_xlfn.CONCAT(CHAR(34),CHAR(39)),$F973))),_xlfn.CONCAT("* REVIEW REQUIRED: compound-quote delimiter in Units on Sheet 1 row ",973,"; edit the input before running."),_xlfn.CONCAT("char ",TRIM($B973),"[doc_units] ",CHAR(96),CHAR(34),SUBSTITUTE(SUBSTITUTE(SUBSTITUTE(SUBSTITUTE(SUBSTITUTE(SUBSTITUTE($F973,CHAR(13)," "),CHAR(10)," "),CHAR(9)," "),CHAR(92),_xlfn.CONCAT(CHAR(92),CHAR(92))),"$",_xlfn.CONCAT(CHAR(92),"$")),CHAR(96),_xlfn.CONCAT(CHAR(92),CHAR(96))),CHAR(34),CHAR(39))))</f>
        <v/>
      </c>
      <c r="Q973" s="5" t="str">
        <f>IF(OR(TRIM($B973)="",$G973=""),"",IF(OR(ISNUMBER(SEARCH(_xlfn.CONCAT(CHAR(96),CHAR(34)),$G973)),ISNUMBER(SEARCH(_xlfn.CONCAT(CHAR(34),CHAR(39)),$G973))),_xlfn.CONCAT("* REVIEW REQUIRED: compound-quote delimiter in Universe on Sheet 1 row ",973,"; edit the input before running."),_xlfn.CONCAT("char ",TRIM($B973),"[doc_universe] ",CHAR(96),CHAR(34),SUBSTITUTE(SUBSTITUTE(SUBSTITUTE(SUBSTITUTE(SUBSTITUTE(SUBSTITUTE($G973,CHAR(13)," "),CHAR(10)," "),CHAR(9)," "),CHAR(92),_xlfn.CONCAT(CHAR(92),CHAR(92))),"$",_xlfn.CONCAT(CHAR(92),"$")),CHAR(96),_xlfn.CONCAT(CHAR(92),CHAR(96))),CHAR(34),CHAR(39))))</f>
        <v/>
      </c>
      <c r="R973" s="5" t="str">
        <f>IF(OR(TRIM($B973)="",$H973=""),"",IF(OR(ISNUMBER(SEARCH(_xlfn.CONCAT(CHAR(96),CHAR(34)),$H973)),ISNUMBER(SEARCH(_xlfn.CONCAT(CHAR(34),CHAR(39)),$H973))),_xlfn.CONCAT("* REVIEW REQUIRED: compound-quote delimiter in Source on Sheet 1 row ",973,"; edit the input before running."),_xlfn.CONCAT("char ",TRIM($B973),"[doc_source] ",CHAR(96),CHAR(34),SUBSTITUTE(SUBSTITUTE(SUBSTITUTE(SUBSTITUTE(SUBSTITUTE(SUBSTITUTE($H973,CHAR(13)," "),CHAR(10)," "),CHAR(9)," "),CHAR(92),_xlfn.CONCAT(CHAR(92),CHAR(92))),"$",_xlfn.CONCAT(CHAR(92),"$")),CHAR(96),_xlfn.CONCAT(CHAR(92),CHAR(96))),CHAR(34),CHAR(39))))</f>
        <v/>
      </c>
      <c r="S973" s="5" t="str">
        <f>IF(OR(TRIM($B973)="",$I973=""),"",IF(OR(ISNUMBER(SEARCH(_xlfn.CONCAT(CHAR(96),CHAR(34)),$I973)),ISNUMBER(SEARCH(_xlfn.CONCAT(CHAR(34),CHAR(39)),$I973))),_xlfn.CONCAT("* REVIEW REQUIRED: compound-quote delimiter in Derivation on Sheet 1 row ",973,"; edit the input before running."),_xlfn.CONCAT("char ",TRIM($B973),"[doc_derivation] ",CHAR(96),CHAR(34),SUBSTITUTE(SUBSTITUTE(SUBSTITUTE(SUBSTITUTE(SUBSTITUTE(SUBSTITUTE($I973,CHAR(13)," "),CHAR(10)," "),CHAR(9)," "),CHAR(92),_xlfn.CONCAT(CHAR(92),CHAR(92))),"$",_xlfn.CONCAT(CHAR(92),"$")),CHAR(96),_xlfn.CONCAT(CHAR(92),CHAR(96))),CHAR(34),CHAR(39))))</f>
        <v/>
      </c>
      <c r="T973" s="5" t="str">
        <f>IF(OR(TRIM($B973)="",$J973=""),"",IF(OR(ISNUMBER(SEARCH(_xlfn.CONCAT(CHAR(96),CHAR(34)),$J973)),ISNUMBER(SEARCH(_xlfn.CONCAT(CHAR(34),CHAR(39)),$J973))),_xlfn.CONCAT("* REVIEW REQUIRED: compound-quote delimiter in Notes on Sheet 1 row ",973,"; edit the input before running."),_xlfn.CONCAT("char ",TRIM($B973),"[doc_notes] ",CHAR(96),CHAR(34),SUBSTITUTE(SUBSTITUTE(SUBSTITUTE(SUBSTITUTE(SUBSTITUTE(SUBSTITUTE($J973,CHAR(13)," "),CHAR(10)," "),CHAR(9)," "),CHAR(92),_xlfn.CONCAT(CHAR(92),CHAR(92))),"$",_xlfn.CONCAT(CHAR(92),"$")),CHAR(96),_xlfn.CONCAT(CHAR(92),CHAR(96))),CHAR(34),CHAR(39))))</f>
        <v/>
      </c>
      <c r="U973" s="5">
        <f t="shared" si="29"/>
        <v>0</v>
      </c>
    </row>
    <row r="974" spans="3:21" ht="30" customHeight="1" x14ac:dyDescent="0.2">
      <c r="C974" s="4"/>
      <c r="K974" s="5">
        <f t="shared" si="28"/>
        <v>0</v>
      </c>
      <c r="L974" s="5" t="str">
        <f>IF(OR(TRIM($B974)="",$A974=""),"",IF(OR(ISNUMBER(SEARCH(_xlfn.CONCAT(CHAR(96),CHAR(34)),$A974)),ISNUMBER(SEARCH(_xlfn.CONCAT(CHAR(34),CHAR(39)),$A974))),_xlfn.CONCAT("* REVIEW REQUIRED: compound-quote delimiter in Codebook Section on Sheet 1 row ",974,"; edit the input before running."),_xlfn.CONCAT("char ",TRIM($B974),"[doc_section] ",CHAR(96),CHAR(34),SUBSTITUTE(SUBSTITUTE(SUBSTITUTE(SUBSTITUTE(SUBSTITUTE(SUBSTITUTE($A974,CHAR(13)," "),CHAR(10)," "),CHAR(9)," "),CHAR(92),_xlfn.CONCAT(CHAR(92),CHAR(92))),"$",_xlfn.CONCAT(CHAR(92),"$")),CHAR(96),_xlfn.CONCAT(CHAR(92),CHAR(96))),CHAR(34),CHAR(39))))</f>
        <v/>
      </c>
      <c r="M974" s="5" t="str">
        <f>IF(OR(TRIM($B974)="",$C974=""),"",IF(IFERROR(MATCH(TRIM($C974),{"Quantitative","Continuous","Discrete","Categorical","Nominal","Ordinal","Identifier"},0),0)=0,_xlfn.CONCAT("* REVIEW REQUIRED: invalid Variable Type on Sheet 1 row ",974,"."),_xlfn.CONCAT("char ",TRIM($B974),"[doc_vartype] ",CHAR(96),CHAR(34),SUBSTITUTE(SUBSTITUTE(SUBSTITUTE(SUBSTITUTE(SUBSTITUTE(SUBSTITUTE(LOWER(TRIM($C974)),CHAR(13)," "),CHAR(10)," "),CHAR(9)," "),CHAR(92),_xlfn.CONCAT(CHAR(92),CHAR(92))),"$",_xlfn.CONCAT(CHAR(92),"$")),CHAR(96),_xlfn.CONCAT(CHAR(92),CHAR(96))),CHAR(34),CHAR(39))))</f>
        <v/>
      </c>
      <c r="N974" s="5" t="str">
        <f>IF(OR(TRIM($B974)="",$D974=""),"",IF(OR(ISNUMBER(SEARCH(_xlfn.CONCAT(CHAR(96),CHAR(34)),$D974)),ISNUMBER(SEARCH(_xlfn.CONCAT(CHAR(34),CHAR(39)),$D974))),_xlfn.CONCAT("* REVIEW REQUIRED: compound-quote delimiter in Item Number on Sheet 1 row ",974,"; edit the input before running."),_xlfn.CONCAT("char ",TRIM($B974),"[doc_itemnum] ",CHAR(96),CHAR(34),SUBSTITUTE(SUBSTITUTE(SUBSTITUTE(SUBSTITUTE(SUBSTITUTE(SUBSTITUTE($D974,CHAR(13)," "),CHAR(10)," "),CHAR(9)," "),CHAR(92),_xlfn.CONCAT(CHAR(92),CHAR(92))),"$",_xlfn.CONCAT(CHAR(92),"$")),CHAR(96),_xlfn.CONCAT(CHAR(92),CHAR(96))),CHAR(34),CHAR(39))))</f>
        <v/>
      </c>
      <c r="O974" s="5" t="str">
        <f>IF(OR(TRIM($B974)="",$E974=""),"",IF(OR(ISNUMBER(SEARCH(_xlfn.CONCAT(CHAR(96),CHAR(34)),$E974)),ISNUMBER(SEARCH(_xlfn.CONCAT(CHAR(34),CHAR(39)),$E974))),_xlfn.CONCAT("* REVIEW REQUIRED: compound-quote delimiter in Question Wording on Sheet 1 row ",974,"; edit the input before running."),_xlfn.CONCAT("char ",TRIM($B974),"[doc_question] ",CHAR(96),CHAR(34),SUBSTITUTE(SUBSTITUTE(SUBSTITUTE(SUBSTITUTE(SUBSTITUTE(SUBSTITUTE($E974,CHAR(13)," "),CHAR(10)," "),CHAR(9)," "),CHAR(92),_xlfn.CONCAT(CHAR(92),CHAR(92))),"$",_xlfn.CONCAT(CHAR(92),"$")),CHAR(96),_xlfn.CONCAT(CHAR(92),CHAR(96))),CHAR(34),CHAR(39))))</f>
        <v/>
      </c>
      <c r="P974" s="5" t="str">
        <f>IF(OR(TRIM($B974)="",$F974=""),"",IF(OR(ISNUMBER(SEARCH(_xlfn.CONCAT(CHAR(96),CHAR(34)),$F974)),ISNUMBER(SEARCH(_xlfn.CONCAT(CHAR(34),CHAR(39)),$F974))),_xlfn.CONCAT("* REVIEW REQUIRED: compound-quote delimiter in Units on Sheet 1 row ",974,"; edit the input before running."),_xlfn.CONCAT("char ",TRIM($B974),"[doc_units] ",CHAR(96),CHAR(34),SUBSTITUTE(SUBSTITUTE(SUBSTITUTE(SUBSTITUTE(SUBSTITUTE(SUBSTITUTE($F974,CHAR(13)," "),CHAR(10)," "),CHAR(9)," "),CHAR(92),_xlfn.CONCAT(CHAR(92),CHAR(92))),"$",_xlfn.CONCAT(CHAR(92),"$")),CHAR(96),_xlfn.CONCAT(CHAR(92),CHAR(96))),CHAR(34),CHAR(39))))</f>
        <v/>
      </c>
      <c r="Q974" s="5" t="str">
        <f>IF(OR(TRIM($B974)="",$G974=""),"",IF(OR(ISNUMBER(SEARCH(_xlfn.CONCAT(CHAR(96),CHAR(34)),$G974)),ISNUMBER(SEARCH(_xlfn.CONCAT(CHAR(34),CHAR(39)),$G974))),_xlfn.CONCAT("* REVIEW REQUIRED: compound-quote delimiter in Universe on Sheet 1 row ",974,"; edit the input before running."),_xlfn.CONCAT("char ",TRIM($B974),"[doc_universe] ",CHAR(96),CHAR(34),SUBSTITUTE(SUBSTITUTE(SUBSTITUTE(SUBSTITUTE(SUBSTITUTE(SUBSTITUTE($G974,CHAR(13)," "),CHAR(10)," "),CHAR(9)," "),CHAR(92),_xlfn.CONCAT(CHAR(92),CHAR(92))),"$",_xlfn.CONCAT(CHAR(92),"$")),CHAR(96),_xlfn.CONCAT(CHAR(92),CHAR(96))),CHAR(34),CHAR(39))))</f>
        <v/>
      </c>
      <c r="R974" s="5" t="str">
        <f>IF(OR(TRIM($B974)="",$H974=""),"",IF(OR(ISNUMBER(SEARCH(_xlfn.CONCAT(CHAR(96),CHAR(34)),$H974)),ISNUMBER(SEARCH(_xlfn.CONCAT(CHAR(34),CHAR(39)),$H974))),_xlfn.CONCAT("* REVIEW REQUIRED: compound-quote delimiter in Source on Sheet 1 row ",974,"; edit the input before running."),_xlfn.CONCAT("char ",TRIM($B974),"[doc_source] ",CHAR(96),CHAR(34),SUBSTITUTE(SUBSTITUTE(SUBSTITUTE(SUBSTITUTE(SUBSTITUTE(SUBSTITUTE($H974,CHAR(13)," "),CHAR(10)," "),CHAR(9)," "),CHAR(92),_xlfn.CONCAT(CHAR(92),CHAR(92))),"$",_xlfn.CONCAT(CHAR(92),"$")),CHAR(96),_xlfn.CONCAT(CHAR(92),CHAR(96))),CHAR(34),CHAR(39))))</f>
        <v/>
      </c>
      <c r="S974" s="5" t="str">
        <f>IF(OR(TRIM($B974)="",$I974=""),"",IF(OR(ISNUMBER(SEARCH(_xlfn.CONCAT(CHAR(96),CHAR(34)),$I974)),ISNUMBER(SEARCH(_xlfn.CONCAT(CHAR(34),CHAR(39)),$I974))),_xlfn.CONCAT("* REVIEW REQUIRED: compound-quote delimiter in Derivation on Sheet 1 row ",974,"; edit the input before running."),_xlfn.CONCAT("char ",TRIM($B974),"[doc_derivation] ",CHAR(96),CHAR(34),SUBSTITUTE(SUBSTITUTE(SUBSTITUTE(SUBSTITUTE(SUBSTITUTE(SUBSTITUTE($I974,CHAR(13)," "),CHAR(10)," "),CHAR(9)," "),CHAR(92),_xlfn.CONCAT(CHAR(92),CHAR(92))),"$",_xlfn.CONCAT(CHAR(92),"$")),CHAR(96),_xlfn.CONCAT(CHAR(92),CHAR(96))),CHAR(34),CHAR(39))))</f>
        <v/>
      </c>
      <c r="T974" s="5" t="str">
        <f>IF(OR(TRIM($B974)="",$J974=""),"",IF(OR(ISNUMBER(SEARCH(_xlfn.CONCAT(CHAR(96),CHAR(34)),$J974)),ISNUMBER(SEARCH(_xlfn.CONCAT(CHAR(34),CHAR(39)),$J974))),_xlfn.CONCAT("* REVIEW REQUIRED: compound-quote delimiter in Notes on Sheet 1 row ",974,"; edit the input before running."),_xlfn.CONCAT("char ",TRIM($B974),"[doc_notes] ",CHAR(96),CHAR(34),SUBSTITUTE(SUBSTITUTE(SUBSTITUTE(SUBSTITUTE(SUBSTITUTE(SUBSTITUTE($J974,CHAR(13)," "),CHAR(10)," "),CHAR(9)," "),CHAR(92),_xlfn.CONCAT(CHAR(92),CHAR(92))),"$",_xlfn.CONCAT(CHAR(92),"$")),CHAR(96),_xlfn.CONCAT(CHAR(92),CHAR(96))),CHAR(34),CHAR(39))))</f>
        <v/>
      </c>
      <c r="U974" s="5">
        <f t="shared" si="29"/>
        <v>0</v>
      </c>
    </row>
    <row r="975" spans="3:21" ht="30" customHeight="1" x14ac:dyDescent="0.2">
      <c r="C975" s="4"/>
      <c r="K975" s="5">
        <f t="shared" si="28"/>
        <v>0</v>
      </c>
      <c r="L975" s="5" t="str">
        <f>IF(OR(TRIM($B975)="",$A975=""),"",IF(OR(ISNUMBER(SEARCH(_xlfn.CONCAT(CHAR(96),CHAR(34)),$A975)),ISNUMBER(SEARCH(_xlfn.CONCAT(CHAR(34),CHAR(39)),$A975))),_xlfn.CONCAT("* REVIEW REQUIRED: compound-quote delimiter in Codebook Section on Sheet 1 row ",975,"; edit the input before running."),_xlfn.CONCAT("char ",TRIM($B975),"[doc_section] ",CHAR(96),CHAR(34),SUBSTITUTE(SUBSTITUTE(SUBSTITUTE(SUBSTITUTE(SUBSTITUTE(SUBSTITUTE($A975,CHAR(13)," "),CHAR(10)," "),CHAR(9)," "),CHAR(92),_xlfn.CONCAT(CHAR(92),CHAR(92))),"$",_xlfn.CONCAT(CHAR(92),"$")),CHAR(96),_xlfn.CONCAT(CHAR(92),CHAR(96))),CHAR(34),CHAR(39))))</f>
        <v/>
      </c>
      <c r="M975" s="5" t="str">
        <f>IF(OR(TRIM($B975)="",$C975=""),"",IF(IFERROR(MATCH(TRIM($C975),{"Quantitative","Continuous","Discrete","Categorical","Nominal","Ordinal","Identifier"},0),0)=0,_xlfn.CONCAT("* REVIEW REQUIRED: invalid Variable Type on Sheet 1 row ",975,"."),_xlfn.CONCAT("char ",TRIM($B975),"[doc_vartype] ",CHAR(96),CHAR(34),SUBSTITUTE(SUBSTITUTE(SUBSTITUTE(SUBSTITUTE(SUBSTITUTE(SUBSTITUTE(LOWER(TRIM($C975)),CHAR(13)," "),CHAR(10)," "),CHAR(9)," "),CHAR(92),_xlfn.CONCAT(CHAR(92),CHAR(92))),"$",_xlfn.CONCAT(CHAR(92),"$")),CHAR(96),_xlfn.CONCAT(CHAR(92),CHAR(96))),CHAR(34),CHAR(39))))</f>
        <v/>
      </c>
      <c r="N975" s="5" t="str">
        <f>IF(OR(TRIM($B975)="",$D975=""),"",IF(OR(ISNUMBER(SEARCH(_xlfn.CONCAT(CHAR(96),CHAR(34)),$D975)),ISNUMBER(SEARCH(_xlfn.CONCAT(CHAR(34),CHAR(39)),$D975))),_xlfn.CONCAT("* REVIEW REQUIRED: compound-quote delimiter in Item Number on Sheet 1 row ",975,"; edit the input before running."),_xlfn.CONCAT("char ",TRIM($B975),"[doc_itemnum] ",CHAR(96),CHAR(34),SUBSTITUTE(SUBSTITUTE(SUBSTITUTE(SUBSTITUTE(SUBSTITUTE(SUBSTITUTE($D975,CHAR(13)," "),CHAR(10)," "),CHAR(9)," "),CHAR(92),_xlfn.CONCAT(CHAR(92),CHAR(92))),"$",_xlfn.CONCAT(CHAR(92),"$")),CHAR(96),_xlfn.CONCAT(CHAR(92),CHAR(96))),CHAR(34),CHAR(39))))</f>
        <v/>
      </c>
      <c r="O975" s="5" t="str">
        <f>IF(OR(TRIM($B975)="",$E975=""),"",IF(OR(ISNUMBER(SEARCH(_xlfn.CONCAT(CHAR(96),CHAR(34)),$E975)),ISNUMBER(SEARCH(_xlfn.CONCAT(CHAR(34),CHAR(39)),$E975))),_xlfn.CONCAT("* REVIEW REQUIRED: compound-quote delimiter in Question Wording on Sheet 1 row ",975,"; edit the input before running."),_xlfn.CONCAT("char ",TRIM($B975),"[doc_question] ",CHAR(96),CHAR(34),SUBSTITUTE(SUBSTITUTE(SUBSTITUTE(SUBSTITUTE(SUBSTITUTE(SUBSTITUTE($E975,CHAR(13)," "),CHAR(10)," "),CHAR(9)," "),CHAR(92),_xlfn.CONCAT(CHAR(92),CHAR(92))),"$",_xlfn.CONCAT(CHAR(92),"$")),CHAR(96),_xlfn.CONCAT(CHAR(92),CHAR(96))),CHAR(34),CHAR(39))))</f>
        <v/>
      </c>
      <c r="P975" s="5" t="str">
        <f>IF(OR(TRIM($B975)="",$F975=""),"",IF(OR(ISNUMBER(SEARCH(_xlfn.CONCAT(CHAR(96),CHAR(34)),$F975)),ISNUMBER(SEARCH(_xlfn.CONCAT(CHAR(34),CHAR(39)),$F975))),_xlfn.CONCAT("* REVIEW REQUIRED: compound-quote delimiter in Units on Sheet 1 row ",975,"; edit the input before running."),_xlfn.CONCAT("char ",TRIM($B975),"[doc_units] ",CHAR(96),CHAR(34),SUBSTITUTE(SUBSTITUTE(SUBSTITUTE(SUBSTITUTE(SUBSTITUTE(SUBSTITUTE($F975,CHAR(13)," "),CHAR(10)," "),CHAR(9)," "),CHAR(92),_xlfn.CONCAT(CHAR(92),CHAR(92))),"$",_xlfn.CONCAT(CHAR(92),"$")),CHAR(96),_xlfn.CONCAT(CHAR(92),CHAR(96))),CHAR(34),CHAR(39))))</f>
        <v/>
      </c>
      <c r="Q975" s="5" t="str">
        <f>IF(OR(TRIM($B975)="",$G975=""),"",IF(OR(ISNUMBER(SEARCH(_xlfn.CONCAT(CHAR(96),CHAR(34)),$G975)),ISNUMBER(SEARCH(_xlfn.CONCAT(CHAR(34),CHAR(39)),$G975))),_xlfn.CONCAT("* REVIEW REQUIRED: compound-quote delimiter in Universe on Sheet 1 row ",975,"; edit the input before running."),_xlfn.CONCAT("char ",TRIM($B975),"[doc_universe] ",CHAR(96),CHAR(34),SUBSTITUTE(SUBSTITUTE(SUBSTITUTE(SUBSTITUTE(SUBSTITUTE(SUBSTITUTE($G975,CHAR(13)," "),CHAR(10)," "),CHAR(9)," "),CHAR(92),_xlfn.CONCAT(CHAR(92),CHAR(92))),"$",_xlfn.CONCAT(CHAR(92),"$")),CHAR(96),_xlfn.CONCAT(CHAR(92),CHAR(96))),CHAR(34),CHAR(39))))</f>
        <v/>
      </c>
      <c r="R975" s="5" t="str">
        <f>IF(OR(TRIM($B975)="",$H975=""),"",IF(OR(ISNUMBER(SEARCH(_xlfn.CONCAT(CHAR(96),CHAR(34)),$H975)),ISNUMBER(SEARCH(_xlfn.CONCAT(CHAR(34),CHAR(39)),$H975))),_xlfn.CONCAT("* REVIEW REQUIRED: compound-quote delimiter in Source on Sheet 1 row ",975,"; edit the input before running."),_xlfn.CONCAT("char ",TRIM($B975),"[doc_source] ",CHAR(96),CHAR(34),SUBSTITUTE(SUBSTITUTE(SUBSTITUTE(SUBSTITUTE(SUBSTITUTE(SUBSTITUTE($H975,CHAR(13)," "),CHAR(10)," "),CHAR(9)," "),CHAR(92),_xlfn.CONCAT(CHAR(92),CHAR(92))),"$",_xlfn.CONCAT(CHAR(92),"$")),CHAR(96),_xlfn.CONCAT(CHAR(92),CHAR(96))),CHAR(34),CHAR(39))))</f>
        <v/>
      </c>
      <c r="S975" s="5" t="str">
        <f>IF(OR(TRIM($B975)="",$I975=""),"",IF(OR(ISNUMBER(SEARCH(_xlfn.CONCAT(CHAR(96),CHAR(34)),$I975)),ISNUMBER(SEARCH(_xlfn.CONCAT(CHAR(34),CHAR(39)),$I975))),_xlfn.CONCAT("* REVIEW REQUIRED: compound-quote delimiter in Derivation on Sheet 1 row ",975,"; edit the input before running."),_xlfn.CONCAT("char ",TRIM($B975),"[doc_derivation] ",CHAR(96),CHAR(34),SUBSTITUTE(SUBSTITUTE(SUBSTITUTE(SUBSTITUTE(SUBSTITUTE(SUBSTITUTE($I975,CHAR(13)," "),CHAR(10)," "),CHAR(9)," "),CHAR(92),_xlfn.CONCAT(CHAR(92),CHAR(92))),"$",_xlfn.CONCAT(CHAR(92),"$")),CHAR(96),_xlfn.CONCAT(CHAR(92),CHAR(96))),CHAR(34),CHAR(39))))</f>
        <v/>
      </c>
      <c r="T975" s="5" t="str">
        <f>IF(OR(TRIM($B975)="",$J975=""),"",IF(OR(ISNUMBER(SEARCH(_xlfn.CONCAT(CHAR(96),CHAR(34)),$J975)),ISNUMBER(SEARCH(_xlfn.CONCAT(CHAR(34),CHAR(39)),$J975))),_xlfn.CONCAT("* REVIEW REQUIRED: compound-quote delimiter in Notes on Sheet 1 row ",975,"; edit the input before running."),_xlfn.CONCAT("char ",TRIM($B975),"[doc_notes] ",CHAR(96),CHAR(34),SUBSTITUTE(SUBSTITUTE(SUBSTITUTE(SUBSTITUTE(SUBSTITUTE(SUBSTITUTE($J975,CHAR(13)," "),CHAR(10)," "),CHAR(9)," "),CHAR(92),_xlfn.CONCAT(CHAR(92),CHAR(92))),"$",_xlfn.CONCAT(CHAR(92),"$")),CHAR(96),_xlfn.CONCAT(CHAR(92),CHAR(96))),CHAR(34),CHAR(39))))</f>
        <v/>
      </c>
      <c r="U975" s="5">
        <f t="shared" si="29"/>
        <v>0</v>
      </c>
    </row>
    <row r="976" spans="3:21" ht="30" customHeight="1" x14ac:dyDescent="0.2">
      <c r="C976" s="4"/>
      <c r="K976" s="5">
        <f t="shared" si="28"/>
        <v>0</v>
      </c>
      <c r="L976" s="5" t="str">
        <f>IF(OR(TRIM($B976)="",$A976=""),"",IF(OR(ISNUMBER(SEARCH(_xlfn.CONCAT(CHAR(96),CHAR(34)),$A976)),ISNUMBER(SEARCH(_xlfn.CONCAT(CHAR(34),CHAR(39)),$A976))),_xlfn.CONCAT("* REVIEW REQUIRED: compound-quote delimiter in Codebook Section on Sheet 1 row ",976,"; edit the input before running."),_xlfn.CONCAT("char ",TRIM($B976),"[doc_section] ",CHAR(96),CHAR(34),SUBSTITUTE(SUBSTITUTE(SUBSTITUTE(SUBSTITUTE(SUBSTITUTE(SUBSTITUTE($A976,CHAR(13)," "),CHAR(10)," "),CHAR(9)," "),CHAR(92),_xlfn.CONCAT(CHAR(92),CHAR(92))),"$",_xlfn.CONCAT(CHAR(92),"$")),CHAR(96),_xlfn.CONCAT(CHAR(92),CHAR(96))),CHAR(34),CHAR(39))))</f>
        <v/>
      </c>
      <c r="M976" s="5" t="str">
        <f>IF(OR(TRIM($B976)="",$C976=""),"",IF(IFERROR(MATCH(TRIM($C976),{"Quantitative","Continuous","Discrete","Categorical","Nominal","Ordinal","Identifier"},0),0)=0,_xlfn.CONCAT("* REVIEW REQUIRED: invalid Variable Type on Sheet 1 row ",976,"."),_xlfn.CONCAT("char ",TRIM($B976),"[doc_vartype] ",CHAR(96),CHAR(34),SUBSTITUTE(SUBSTITUTE(SUBSTITUTE(SUBSTITUTE(SUBSTITUTE(SUBSTITUTE(LOWER(TRIM($C976)),CHAR(13)," "),CHAR(10)," "),CHAR(9)," "),CHAR(92),_xlfn.CONCAT(CHAR(92),CHAR(92))),"$",_xlfn.CONCAT(CHAR(92),"$")),CHAR(96),_xlfn.CONCAT(CHAR(92),CHAR(96))),CHAR(34),CHAR(39))))</f>
        <v/>
      </c>
      <c r="N976" s="5" t="str">
        <f>IF(OR(TRIM($B976)="",$D976=""),"",IF(OR(ISNUMBER(SEARCH(_xlfn.CONCAT(CHAR(96),CHAR(34)),$D976)),ISNUMBER(SEARCH(_xlfn.CONCAT(CHAR(34),CHAR(39)),$D976))),_xlfn.CONCAT("* REVIEW REQUIRED: compound-quote delimiter in Item Number on Sheet 1 row ",976,"; edit the input before running."),_xlfn.CONCAT("char ",TRIM($B976),"[doc_itemnum] ",CHAR(96),CHAR(34),SUBSTITUTE(SUBSTITUTE(SUBSTITUTE(SUBSTITUTE(SUBSTITUTE(SUBSTITUTE($D976,CHAR(13)," "),CHAR(10)," "),CHAR(9)," "),CHAR(92),_xlfn.CONCAT(CHAR(92),CHAR(92))),"$",_xlfn.CONCAT(CHAR(92),"$")),CHAR(96),_xlfn.CONCAT(CHAR(92),CHAR(96))),CHAR(34),CHAR(39))))</f>
        <v/>
      </c>
      <c r="O976" s="5" t="str">
        <f>IF(OR(TRIM($B976)="",$E976=""),"",IF(OR(ISNUMBER(SEARCH(_xlfn.CONCAT(CHAR(96),CHAR(34)),$E976)),ISNUMBER(SEARCH(_xlfn.CONCAT(CHAR(34),CHAR(39)),$E976))),_xlfn.CONCAT("* REVIEW REQUIRED: compound-quote delimiter in Question Wording on Sheet 1 row ",976,"; edit the input before running."),_xlfn.CONCAT("char ",TRIM($B976),"[doc_question] ",CHAR(96),CHAR(34),SUBSTITUTE(SUBSTITUTE(SUBSTITUTE(SUBSTITUTE(SUBSTITUTE(SUBSTITUTE($E976,CHAR(13)," "),CHAR(10)," "),CHAR(9)," "),CHAR(92),_xlfn.CONCAT(CHAR(92),CHAR(92))),"$",_xlfn.CONCAT(CHAR(92),"$")),CHAR(96),_xlfn.CONCAT(CHAR(92),CHAR(96))),CHAR(34),CHAR(39))))</f>
        <v/>
      </c>
      <c r="P976" s="5" t="str">
        <f>IF(OR(TRIM($B976)="",$F976=""),"",IF(OR(ISNUMBER(SEARCH(_xlfn.CONCAT(CHAR(96),CHAR(34)),$F976)),ISNUMBER(SEARCH(_xlfn.CONCAT(CHAR(34),CHAR(39)),$F976))),_xlfn.CONCAT("* REVIEW REQUIRED: compound-quote delimiter in Units on Sheet 1 row ",976,"; edit the input before running."),_xlfn.CONCAT("char ",TRIM($B976),"[doc_units] ",CHAR(96),CHAR(34),SUBSTITUTE(SUBSTITUTE(SUBSTITUTE(SUBSTITUTE(SUBSTITUTE(SUBSTITUTE($F976,CHAR(13)," "),CHAR(10)," "),CHAR(9)," "),CHAR(92),_xlfn.CONCAT(CHAR(92),CHAR(92))),"$",_xlfn.CONCAT(CHAR(92),"$")),CHAR(96),_xlfn.CONCAT(CHAR(92),CHAR(96))),CHAR(34),CHAR(39))))</f>
        <v/>
      </c>
      <c r="Q976" s="5" t="str">
        <f>IF(OR(TRIM($B976)="",$G976=""),"",IF(OR(ISNUMBER(SEARCH(_xlfn.CONCAT(CHAR(96),CHAR(34)),$G976)),ISNUMBER(SEARCH(_xlfn.CONCAT(CHAR(34),CHAR(39)),$G976))),_xlfn.CONCAT("* REVIEW REQUIRED: compound-quote delimiter in Universe on Sheet 1 row ",976,"; edit the input before running."),_xlfn.CONCAT("char ",TRIM($B976),"[doc_universe] ",CHAR(96),CHAR(34),SUBSTITUTE(SUBSTITUTE(SUBSTITUTE(SUBSTITUTE(SUBSTITUTE(SUBSTITUTE($G976,CHAR(13)," "),CHAR(10)," "),CHAR(9)," "),CHAR(92),_xlfn.CONCAT(CHAR(92),CHAR(92))),"$",_xlfn.CONCAT(CHAR(92),"$")),CHAR(96),_xlfn.CONCAT(CHAR(92),CHAR(96))),CHAR(34),CHAR(39))))</f>
        <v/>
      </c>
      <c r="R976" s="5" t="str">
        <f>IF(OR(TRIM($B976)="",$H976=""),"",IF(OR(ISNUMBER(SEARCH(_xlfn.CONCAT(CHAR(96),CHAR(34)),$H976)),ISNUMBER(SEARCH(_xlfn.CONCAT(CHAR(34),CHAR(39)),$H976))),_xlfn.CONCAT("* REVIEW REQUIRED: compound-quote delimiter in Source on Sheet 1 row ",976,"; edit the input before running."),_xlfn.CONCAT("char ",TRIM($B976),"[doc_source] ",CHAR(96),CHAR(34),SUBSTITUTE(SUBSTITUTE(SUBSTITUTE(SUBSTITUTE(SUBSTITUTE(SUBSTITUTE($H976,CHAR(13)," "),CHAR(10)," "),CHAR(9)," "),CHAR(92),_xlfn.CONCAT(CHAR(92),CHAR(92))),"$",_xlfn.CONCAT(CHAR(92),"$")),CHAR(96),_xlfn.CONCAT(CHAR(92),CHAR(96))),CHAR(34),CHAR(39))))</f>
        <v/>
      </c>
      <c r="S976" s="5" t="str">
        <f>IF(OR(TRIM($B976)="",$I976=""),"",IF(OR(ISNUMBER(SEARCH(_xlfn.CONCAT(CHAR(96),CHAR(34)),$I976)),ISNUMBER(SEARCH(_xlfn.CONCAT(CHAR(34),CHAR(39)),$I976))),_xlfn.CONCAT("* REVIEW REQUIRED: compound-quote delimiter in Derivation on Sheet 1 row ",976,"; edit the input before running."),_xlfn.CONCAT("char ",TRIM($B976),"[doc_derivation] ",CHAR(96),CHAR(34),SUBSTITUTE(SUBSTITUTE(SUBSTITUTE(SUBSTITUTE(SUBSTITUTE(SUBSTITUTE($I976,CHAR(13)," "),CHAR(10)," "),CHAR(9)," "),CHAR(92),_xlfn.CONCAT(CHAR(92),CHAR(92))),"$",_xlfn.CONCAT(CHAR(92),"$")),CHAR(96),_xlfn.CONCAT(CHAR(92),CHAR(96))),CHAR(34),CHAR(39))))</f>
        <v/>
      </c>
      <c r="T976" s="5" t="str">
        <f>IF(OR(TRIM($B976)="",$J976=""),"",IF(OR(ISNUMBER(SEARCH(_xlfn.CONCAT(CHAR(96),CHAR(34)),$J976)),ISNUMBER(SEARCH(_xlfn.CONCAT(CHAR(34),CHAR(39)),$J976))),_xlfn.CONCAT("* REVIEW REQUIRED: compound-quote delimiter in Notes on Sheet 1 row ",976,"; edit the input before running."),_xlfn.CONCAT("char ",TRIM($B976),"[doc_notes] ",CHAR(96),CHAR(34),SUBSTITUTE(SUBSTITUTE(SUBSTITUTE(SUBSTITUTE(SUBSTITUTE(SUBSTITUTE($J976,CHAR(13)," "),CHAR(10)," "),CHAR(9)," "),CHAR(92),_xlfn.CONCAT(CHAR(92),CHAR(92))),"$",_xlfn.CONCAT(CHAR(92),"$")),CHAR(96),_xlfn.CONCAT(CHAR(92),CHAR(96))),CHAR(34),CHAR(39))))</f>
        <v/>
      </c>
      <c r="U976" s="5">
        <f t="shared" si="29"/>
        <v>0</v>
      </c>
    </row>
    <row r="977" spans="3:21" ht="30" customHeight="1" x14ac:dyDescent="0.2">
      <c r="C977" s="4"/>
      <c r="K977" s="5">
        <f t="shared" si="28"/>
        <v>0</v>
      </c>
      <c r="L977" s="5" t="str">
        <f>IF(OR(TRIM($B977)="",$A977=""),"",IF(OR(ISNUMBER(SEARCH(_xlfn.CONCAT(CHAR(96),CHAR(34)),$A977)),ISNUMBER(SEARCH(_xlfn.CONCAT(CHAR(34),CHAR(39)),$A977))),_xlfn.CONCAT("* REVIEW REQUIRED: compound-quote delimiter in Codebook Section on Sheet 1 row ",977,"; edit the input before running."),_xlfn.CONCAT("char ",TRIM($B977),"[doc_section] ",CHAR(96),CHAR(34),SUBSTITUTE(SUBSTITUTE(SUBSTITUTE(SUBSTITUTE(SUBSTITUTE(SUBSTITUTE($A977,CHAR(13)," "),CHAR(10)," "),CHAR(9)," "),CHAR(92),_xlfn.CONCAT(CHAR(92),CHAR(92))),"$",_xlfn.CONCAT(CHAR(92),"$")),CHAR(96),_xlfn.CONCAT(CHAR(92),CHAR(96))),CHAR(34),CHAR(39))))</f>
        <v/>
      </c>
      <c r="M977" s="5" t="str">
        <f>IF(OR(TRIM($B977)="",$C977=""),"",IF(IFERROR(MATCH(TRIM($C977),{"Quantitative","Continuous","Discrete","Categorical","Nominal","Ordinal","Identifier"},0),0)=0,_xlfn.CONCAT("* REVIEW REQUIRED: invalid Variable Type on Sheet 1 row ",977,"."),_xlfn.CONCAT("char ",TRIM($B977),"[doc_vartype] ",CHAR(96),CHAR(34),SUBSTITUTE(SUBSTITUTE(SUBSTITUTE(SUBSTITUTE(SUBSTITUTE(SUBSTITUTE(LOWER(TRIM($C977)),CHAR(13)," "),CHAR(10)," "),CHAR(9)," "),CHAR(92),_xlfn.CONCAT(CHAR(92),CHAR(92))),"$",_xlfn.CONCAT(CHAR(92),"$")),CHAR(96),_xlfn.CONCAT(CHAR(92),CHAR(96))),CHAR(34),CHAR(39))))</f>
        <v/>
      </c>
      <c r="N977" s="5" t="str">
        <f>IF(OR(TRIM($B977)="",$D977=""),"",IF(OR(ISNUMBER(SEARCH(_xlfn.CONCAT(CHAR(96),CHAR(34)),$D977)),ISNUMBER(SEARCH(_xlfn.CONCAT(CHAR(34),CHAR(39)),$D977))),_xlfn.CONCAT("* REVIEW REQUIRED: compound-quote delimiter in Item Number on Sheet 1 row ",977,"; edit the input before running."),_xlfn.CONCAT("char ",TRIM($B977),"[doc_itemnum] ",CHAR(96),CHAR(34),SUBSTITUTE(SUBSTITUTE(SUBSTITUTE(SUBSTITUTE(SUBSTITUTE(SUBSTITUTE($D977,CHAR(13)," "),CHAR(10)," "),CHAR(9)," "),CHAR(92),_xlfn.CONCAT(CHAR(92),CHAR(92))),"$",_xlfn.CONCAT(CHAR(92),"$")),CHAR(96),_xlfn.CONCAT(CHAR(92),CHAR(96))),CHAR(34),CHAR(39))))</f>
        <v/>
      </c>
      <c r="O977" s="5" t="str">
        <f>IF(OR(TRIM($B977)="",$E977=""),"",IF(OR(ISNUMBER(SEARCH(_xlfn.CONCAT(CHAR(96),CHAR(34)),$E977)),ISNUMBER(SEARCH(_xlfn.CONCAT(CHAR(34),CHAR(39)),$E977))),_xlfn.CONCAT("* REVIEW REQUIRED: compound-quote delimiter in Question Wording on Sheet 1 row ",977,"; edit the input before running."),_xlfn.CONCAT("char ",TRIM($B977),"[doc_question] ",CHAR(96),CHAR(34),SUBSTITUTE(SUBSTITUTE(SUBSTITUTE(SUBSTITUTE(SUBSTITUTE(SUBSTITUTE($E977,CHAR(13)," "),CHAR(10)," "),CHAR(9)," "),CHAR(92),_xlfn.CONCAT(CHAR(92),CHAR(92))),"$",_xlfn.CONCAT(CHAR(92),"$")),CHAR(96),_xlfn.CONCAT(CHAR(92),CHAR(96))),CHAR(34),CHAR(39))))</f>
        <v/>
      </c>
      <c r="P977" s="5" t="str">
        <f>IF(OR(TRIM($B977)="",$F977=""),"",IF(OR(ISNUMBER(SEARCH(_xlfn.CONCAT(CHAR(96),CHAR(34)),$F977)),ISNUMBER(SEARCH(_xlfn.CONCAT(CHAR(34),CHAR(39)),$F977))),_xlfn.CONCAT("* REVIEW REQUIRED: compound-quote delimiter in Units on Sheet 1 row ",977,"; edit the input before running."),_xlfn.CONCAT("char ",TRIM($B977),"[doc_units] ",CHAR(96),CHAR(34),SUBSTITUTE(SUBSTITUTE(SUBSTITUTE(SUBSTITUTE(SUBSTITUTE(SUBSTITUTE($F977,CHAR(13)," "),CHAR(10)," "),CHAR(9)," "),CHAR(92),_xlfn.CONCAT(CHAR(92),CHAR(92))),"$",_xlfn.CONCAT(CHAR(92),"$")),CHAR(96),_xlfn.CONCAT(CHAR(92),CHAR(96))),CHAR(34),CHAR(39))))</f>
        <v/>
      </c>
      <c r="Q977" s="5" t="str">
        <f>IF(OR(TRIM($B977)="",$G977=""),"",IF(OR(ISNUMBER(SEARCH(_xlfn.CONCAT(CHAR(96),CHAR(34)),$G977)),ISNUMBER(SEARCH(_xlfn.CONCAT(CHAR(34),CHAR(39)),$G977))),_xlfn.CONCAT("* REVIEW REQUIRED: compound-quote delimiter in Universe on Sheet 1 row ",977,"; edit the input before running."),_xlfn.CONCAT("char ",TRIM($B977),"[doc_universe] ",CHAR(96),CHAR(34),SUBSTITUTE(SUBSTITUTE(SUBSTITUTE(SUBSTITUTE(SUBSTITUTE(SUBSTITUTE($G977,CHAR(13)," "),CHAR(10)," "),CHAR(9)," "),CHAR(92),_xlfn.CONCAT(CHAR(92),CHAR(92))),"$",_xlfn.CONCAT(CHAR(92),"$")),CHAR(96),_xlfn.CONCAT(CHAR(92),CHAR(96))),CHAR(34),CHAR(39))))</f>
        <v/>
      </c>
      <c r="R977" s="5" t="str">
        <f>IF(OR(TRIM($B977)="",$H977=""),"",IF(OR(ISNUMBER(SEARCH(_xlfn.CONCAT(CHAR(96),CHAR(34)),$H977)),ISNUMBER(SEARCH(_xlfn.CONCAT(CHAR(34),CHAR(39)),$H977))),_xlfn.CONCAT("* REVIEW REQUIRED: compound-quote delimiter in Source on Sheet 1 row ",977,"; edit the input before running."),_xlfn.CONCAT("char ",TRIM($B977),"[doc_source] ",CHAR(96),CHAR(34),SUBSTITUTE(SUBSTITUTE(SUBSTITUTE(SUBSTITUTE(SUBSTITUTE(SUBSTITUTE($H977,CHAR(13)," "),CHAR(10)," "),CHAR(9)," "),CHAR(92),_xlfn.CONCAT(CHAR(92),CHAR(92))),"$",_xlfn.CONCAT(CHAR(92),"$")),CHAR(96),_xlfn.CONCAT(CHAR(92),CHAR(96))),CHAR(34),CHAR(39))))</f>
        <v/>
      </c>
      <c r="S977" s="5" t="str">
        <f>IF(OR(TRIM($B977)="",$I977=""),"",IF(OR(ISNUMBER(SEARCH(_xlfn.CONCAT(CHAR(96),CHAR(34)),$I977)),ISNUMBER(SEARCH(_xlfn.CONCAT(CHAR(34),CHAR(39)),$I977))),_xlfn.CONCAT("* REVIEW REQUIRED: compound-quote delimiter in Derivation on Sheet 1 row ",977,"; edit the input before running."),_xlfn.CONCAT("char ",TRIM($B977),"[doc_derivation] ",CHAR(96),CHAR(34),SUBSTITUTE(SUBSTITUTE(SUBSTITUTE(SUBSTITUTE(SUBSTITUTE(SUBSTITUTE($I977,CHAR(13)," "),CHAR(10)," "),CHAR(9)," "),CHAR(92),_xlfn.CONCAT(CHAR(92),CHAR(92))),"$",_xlfn.CONCAT(CHAR(92),"$")),CHAR(96),_xlfn.CONCAT(CHAR(92),CHAR(96))),CHAR(34),CHAR(39))))</f>
        <v/>
      </c>
      <c r="T977" s="5" t="str">
        <f>IF(OR(TRIM($B977)="",$J977=""),"",IF(OR(ISNUMBER(SEARCH(_xlfn.CONCAT(CHAR(96),CHAR(34)),$J977)),ISNUMBER(SEARCH(_xlfn.CONCAT(CHAR(34),CHAR(39)),$J977))),_xlfn.CONCAT("* REVIEW REQUIRED: compound-quote delimiter in Notes on Sheet 1 row ",977,"; edit the input before running."),_xlfn.CONCAT("char ",TRIM($B977),"[doc_notes] ",CHAR(96),CHAR(34),SUBSTITUTE(SUBSTITUTE(SUBSTITUTE(SUBSTITUTE(SUBSTITUTE(SUBSTITUTE($J977,CHAR(13)," "),CHAR(10)," "),CHAR(9)," "),CHAR(92),_xlfn.CONCAT(CHAR(92),CHAR(92))),"$",_xlfn.CONCAT(CHAR(92),"$")),CHAR(96),_xlfn.CONCAT(CHAR(92),CHAR(96))),CHAR(34),CHAR(39))))</f>
        <v/>
      </c>
      <c r="U977" s="5">
        <f t="shared" si="29"/>
        <v>0</v>
      </c>
    </row>
    <row r="978" spans="3:21" ht="30" customHeight="1" x14ac:dyDescent="0.2">
      <c r="C978" s="4"/>
      <c r="K978" s="5">
        <f t="shared" si="28"/>
        <v>0</v>
      </c>
      <c r="L978" s="5" t="str">
        <f>IF(OR(TRIM($B978)="",$A978=""),"",IF(OR(ISNUMBER(SEARCH(_xlfn.CONCAT(CHAR(96),CHAR(34)),$A978)),ISNUMBER(SEARCH(_xlfn.CONCAT(CHAR(34),CHAR(39)),$A978))),_xlfn.CONCAT("* REVIEW REQUIRED: compound-quote delimiter in Codebook Section on Sheet 1 row ",978,"; edit the input before running."),_xlfn.CONCAT("char ",TRIM($B978),"[doc_section] ",CHAR(96),CHAR(34),SUBSTITUTE(SUBSTITUTE(SUBSTITUTE(SUBSTITUTE(SUBSTITUTE(SUBSTITUTE($A978,CHAR(13)," "),CHAR(10)," "),CHAR(9)," "),CHAR(92),_xlfn.CONCAT(CHAR(92),CHAR(92))),"$",_xlfn.CONCAT(CHAR(92),"$")),CHAR(96),_xlfn.CONCAT(CHAR(92),CHAR(96))),CHAR(34),CHAR(39))))</f>
        <v/>
      </c>
      <c r="M978" s="5" t="str">
        <f>IF(OR(TRIM($B978)="",$C978=""),"",IF(IFERROR(MATCH(TRIM($C978),{"Quantitative","Continuous","Discrete","Categorical","Nominal","Ordinal","Identifier"},0),0)=0,_xlfn.CONCAT("* REVIEW REQUIRED: invalid Variable Type on Sheet 1 row ",978,"."),_xlfn.CONCAT("char ",TRIM($B978),"[doc_vartype] ",CHAR(96),CHAR(34),SUBSTITUTE(SUBSTITUTE(SUBSTITUTE(SUBSTITUTE(SUBSTITUTE(SUBSTITUTE(LOWER(TRIM($C978)),CHAR(13)," "),CHAR(10)," "),CHAR(9)," "),CHAR(92),_xlfn.CONCAT(CHAR(92),CHAR(92))),"$",_xlfn.CONCAT(CHAR(92),"$")),CHAR(96),_xlfn.CONCAT(CHAR(92),CHAR(96))),CHAR(34),CHAR(39))))</f>
        <v/>
      </c>
      <c r="N978" s="5" t="str">
        <f>IF(OR(TRIM($B978)="",$D978=""),"",IF(OR(ISNUMBER(SEARCH(_xlfn.CONCAT(CHAR(96),CHAR(34)),$D978)),ISNUMBER(SEARCH(_xlfn.CONCAT(CHAR(34),CHAR(39)),$D978))),_xlfn.CONCAT("* REVIEW REQUIRED: compound-quote delimiter in Item Number on Sheet 1 row ",978,"; edit the input before running."),_xlfn.CONCAT("char ",TRIM($B978),"[doc_itemnum] ",CHAR(96),CHAR(34),SUBSTITUTE(SUBSTITUTE(SUBSTITUTE(SUBSTITUTE(SUBSTITUTE(SUBSTITUTE($D978,CHAR(13)," "),CHAR(10)," "),CHAR(9)," "),CHAR(92),_xlfn.CONCAT(CHAR(92),CHAR(92))),"$",_xlfn.CONCAT(CHAR(92),"$")),CHAR(96),_xlfn.CONCAT(CHAR(92),CHAR(96))),CHAR(34),CHAR(39))))</f>
        <v/>
      </c>
      <c r="O978" s="5" t="str">
        <f>IF(OR(TRIM($B978)="",$E978=""),"",IF(OR(ISNUMBER(SEARCH(_xlfn.CONCAT(CHAR(96),CHAR(34)),$E978)),ISNUMBER(SEARCH(_xlfn.CONCAT(CHAR(34),CHAR(39)),$E978))),_xlfn.CONCAT("* REVIEW REQUIRED: compound-quote delimiter in Question Wording on Sheet 1 row ",978,"; edit the input before running."),_xlfn.CONCAT("char ",TRIM($B978),"[doc_question] ",CHAR(96),CHAR(34),SUBSTITUTE(SUBSTITUTE(SUBSTITUTE(SUBSTITUTE(SUBSTITUTE(SUBSTITUTE($E978,CHAR(13)," "),CHAR(10)," "),CHAR(9)," "),CHAR(92),_xlfn.CONCAT(CHAR(92),CHAR(92))),"$",_xlfn.CONCAT(CHAR(92),"$")),CHAR(96),_xlfn.CONCAT(CHAR(92),CHAR(96))),CHAR(34),CHAR(39))))</f>
        <v/>
      </c>
      <c r="P978" s="5" t="str">
        <f>IF(OR(TRIM($B978)="",$F978=""),"",IF(OR(ISNUMBER(SEARCH(_xlfn.CONCAT(CHAR(96),CHAR(34)),$F978)),ISNUMBER(SEARCH(_xlfn.CONCAT(CHAR(34),CHAR(39)),$F978))),_xlfn.CONCAT("* REVIEW REQUIRED: compound-quote delimiter in Units on Sheet 1 row ",978,"; edit the input before running."),_xlfn.CONCAT("char ",TRIM($B978),"[doc_units] ",CHAR(96),CHAR(34),SUBSTITUTE(SUBSTITUTE(SUBSTITUTE(SUBSTITUTE(SUBSTITUTE(SUBSTITUTE($F978,CHAR(13)," "),CHAR(10)," "),CHAR(9)," "),CHAR(92),_xlfn.CONCAT(CHAR(92),CHAR(92))),"$",_xlfn.CONCAT(CHAR(92),"$")),CHAR(96),_xlfn.CONCAT(CHAR(92),CHAR(96))),CHAR(34),CHAR(39))))</f>
        <v/>
      </c>
      <c r="Q978" s="5" t="str">
        <f>IF(OR(TRIM($B978)="",$G978=""),"",IF(OR(ISNUMBER(SEARCH(_xlfn.CONCAT(CHAR(96),CHAR(34)),$G978)),ISNUMBER(SEARCH(_xlfn.CONCAT(CHAR(34),CHAR(39)),$G978))),_xlfn.CONCAT("* REVIEW REQUIRED: compound-quote delimiter in Universe on Sheet 1 row ",978,"; edit the input before running."),_xlfn.CONCAT("char ",TRIM($B978),"[doc_universe] ",CHAR(96),CHAR(34),SUBSTITUTE(SUBSTITUTE(SUBSTITUTE(SUBSTITUTE(SUBSTITUTE(SUBSTITUTE($G978,CHAR(13)," "),CHAR(10)," "),CHAR(9)," "),CHAR(92),_xlfn.CONCAT(CHAR(92),CHAR(92))),"$",_xlfn.CONCAT(CHAR(92),"$")),CHAR(96),_xlfn.CONCAT(CHAR(92),CHAR(96))),CHAR(34),CHAR(39))))</f>
        <v/>
      </c>
      <c r="R978" s="5" t="str">
        <f>IF(OR(TRIM($B978)="",$H978=""),"",IF(OR(ISNUMBER(SEARCH(_xlfn.CONCAT(CHAR(96),CHAR(34)),$H978)),ISNUMBER(SEARCH(_xlfn.CONCAT(CHAR(34),CHAR(39)),$H978))),_xlfn.CONCAT("* REVIEW REQUIRED: compound-quote delimiter in Source on Sheet 1 row ",978,"; edit the input before running."),_xlfn.CONCAT("char ",TRIM($B978),"[doc_source] ",CHAR(96),CHAR(34),SUBSTITUTE(SUBSTITUTE(SUBSTITUTE(SUBSTITUTE(SUBSTITUTE(SUBSTITUTE($H978,CHAR(13)," "),CHAR(10)," "),CHAR(9)," "),CHAR(92),_xlfn.CONCAT(CHAR(92),CHAR(92))),"$",_xlfn.CONCAT(CHAR(92),"$")),CHAR(96),_xlfn.CONCAT(CHAR(92),CHAR(96))),CHAR(34),CHAR(39))))</f>
        <v/>
      </c>
      <c r="S978" s="5" t="str">
        <f>IF(OR(TRIM($B978)="",$I978=""),"",IF(OR(ISNUMBER(SEARCH(_xlfn.CONCAT(CHAR(96),CHAR(34)),$I978)),ISNUMBER(SEARCH(_xlfn.CONCAT(CHAR(34),CHAR(39)),$I978))),_xlfn.CONCAT("* REVIEW REQUIRED: compound-quote delimiter in Derivation on Sheet 1 row ",978,"; edit the input before running."),_xlfn.CONCAT("char ",TRIM($B978),"[doc_derivation] ",CHAR(96),CHAR(34),SUBSTITUTE(SUBSTITUTE(SUBSTITUTE(SUBSTITUTE(SUBSTITUTE(SUBSTITUTE($I978,CHAR(13)," "),CHAR(10)," "),CHAR(9)," "),CHAR(92),_xlfn.CONCAT(CHAR(92),CHAR(92))),"$",_xlfn.CONCAT(CHAR(92),"$")),CHAR(96),_xlfn.CONCAT(CHAR(92),CHAR(96))),CHAR(34),CHAR(39))))</f>
        <v/>
      </c>
      <c r="T978" s="5" t="str">
        <f>IF(OR(TRIM($B978)="",$J978=""),"",IF(OR(ISNUMBER(SEARCH(_xlfn.CONCAT(CHAR(96),CHAR(34)),$J978)),ISNUMBER(SEARCH(_xlfn.CONCAT(CHAR(34),CHAR(39)),$J978))),_xlfn.CONCAT("* REVIEW REQUIRED: compound-quote delimiter in Notes on Sheet 1 row ",978,"; edit the input before running."),_xlfn.CONCAT("char ",TRIM($B978),"[doc_notes] ",CHAR(96),CHAR(34),SUBSTITUTE(SUBSTITUTE(SUBSTITUTE(SUBSTITUTE(SUBSTITUTE(SUBSTITUTE($J978,CHAR(13)," "),CHAR(10)," "),CHAR(9)," "),CHAR(92),_xlfn.CONCAT(CHAR(92),CHAR(92))),"$",_xlfn.CONCAT(CHAR(92),"$")),CHAR(96),_xlfn.CONCAT(CHAR(92),CHAR(96))),CHAR(34),CHAR(39))))</f>
        <v/>
      </c>
      <c r="U978" s="5">
        <f t="shared" si="29"/>
        <v>0</v>
      </c>
    </row>
    <row r="979" spans="3:21" ht="30" customHeight="1" x14ac:dyDescent="0.2">
      <c r="C979" s="4"/>
      <c r="K979" s="5">
        <f t="shared" si="28"/>
        <v>0</v>
      </c>
      <c r="L979" s="5" t="str">
        <f>IF(OR(TRIM($B979)="",$A979=""),"",IF(OR(ISNUMBER(SEARCH(_xlfn.CONCAT(CHAR(96),CHAR(34)),$A979)),ISNUMBER(SEARCH(_xlfn.CONCAT(CHAR(34),CHAR(39)),$A979))),_xlfn.CONCAT("* REVIEW REQUIRED: compound-quote delimiter in Codebook Section on Sheet 1 row ",979,"; edit the input before running."),_xlfn.CONCAT("char ",TRIM($B979),"[doc_section] ",CHAR(96),CHAR(34),SUBSTITUTE(SUBSTITUTE(SUBSTITUTE(SUBSTITUTE(SUBSTITUTE(SUBSTITUTE($A979,CHAR(13)," "),CHAR(10)," "),CHAR(9)," "),CHAR(92),_xlfn.CONCAT(CHAR(92),CHAR(92))),"$",_xlfn.CONCAT(CHAR(92),"$")),CHAR(96),_xlfn.CONCAT(CHAR(92),CHAR(96))),CHAR(34),CHAR(39))))</f>
        <v/>
      </c>
      <c r="M979" s="5" t="str">
        <f>IF(OR(TRIM($B979)="",$C979=""),"",IF(IFERROR(MATCH(TRIM($C979),{"Quantitative","Continuous","Discrete","Categorical","Nominal","Ordinal","Identifier"},0),0)=0,_xlfn.CONCAT("* REVIEW REQUIRED: invalid Variable Type on Sheet 1 row ",979,"."),_xlfn.CONCAT("char ",TRIM($B979),"[doc_vartype] ",CHAR(96),CHAR(34),SUBSTITUTE(SUBSTITUTE(SUBSTITUTE(SUBSTITUTE(SUBSTITUTE(SUBSTITUTE(LOWER(TRIM($C979)),CHAR(13)," "),CHAR(10)," "),CHAR(9)," "),CHAR(92),_xlfn.CONCAT(CHAR(92),CHAR(92))),"$",_xlfn.CONCAT(CHAR(92),"$")),CHAR(96),_xlfn.CONCAT(CHAR(92),CHAR(96))),CHAR(34),CHAR(39))))</f>
        <v/>
      </c>
      <c r="N979" s="5" t="str">
        <f>IF(OR(TRIM($B979)="",$D979=""),"",IF(OR(ISNUMBER(SEARCH(_xlfn.CONCAT(CHAR(96),CHAR(34)),$D979)),ISNUMBER(SEARCH(_xlfn.CONCAT(CHAR(34),CHAR(39)),$D979))),_xlfn.CONCAT("* REVIEW REQUIRED: compound-quote delimiter in Item Number on Sheet 1 row ",979,"; edit the input before running."),_xlfn.CONCAT("char ",TRIM($B979),"[doc_itemnum] ",CHAR(96),CHAR(34),SUBSTITUTE(SUBSTITUTE(SUBSTITUTE(SUBSTITUTE(SUBSTITUTE(SUBSTITUTE($D979,CHAR(13)," "),CHAR(10)," "),CHAR(9)," "),CHAR(92),_xlfn.CONCAT(CHAR(92),CHAR(92))),"$",_xlfn.CONCAT(CHAR(92),"$")),CHAR(96),_xlfn.CONCAT(CHAR(92),CHAR(96))),CHAR(34),CHAR(39))))</f>
        <v/>
      </c>
      <c r="O979" s="5" t="str">
        <f>IF(OR(TRIM($B979)="",$E979=""),"",IF(OR(ISNUMBER(SEARCH(_xlfn.CONCAT(CHAR(96),CHAR(34)),$E979)),ISNUMBER(SEARCH(_xlfn.CONCAT(CHAR(34),CHAR(39)),$E979))),_xlfn.CONCAT("* REVIEW REQUIRED: compound-quote delimiter in Question Wording on Sheet 1 row ",979,"; edit the input before running."),_xlfn.CONCAT("char ",TRIM($B979),"[doc_question] ",CHAR(96),CHAR(34),SUBSTITUTE(SUBSTITUTE(SUBSTITUTE(SUBSTITUTE(SUBSTITUTE(SUBSTITUTE($E979,CHAR(13)," "),CHAR(10)," "),CHAR(9)," "),CHAR(92),_xlfn.CONCAT(CHAR(92),CHAR(92))),"$",_xlfn.CONCAT(CHAR(92),"$")),CHAR(96),_xlfn.CONCAT(CHAR(92),CHAR(96))),CHAR(34),CHAR(39))))</f>
        <v/>
      </c>
      <c r="P979" s="5" t="str">
        <f>IF(OR(TRIM($B979)="",$F979=""),"",IF(OR(ISNUMBER(SEARCH(_xlfn.CONCAT(CHAR(96),CHAR(34)),$F979)),ISNUMBER(SEARCH(_xlfn.CONCAT(CHAR(34),CHAR(39)),$F979))),_xlfn.CONCAT("* REVIEW REQUIRED: compound-quote delimiter in Units on Sheet 1 row ",979,"; edit the input before running."),_xlfn.CONCAT("char ",TRIM($B979),"[doc_units] ",CHAR(96),CHAR(34),SUBSTITUTE(SUBSTITUTE(SUBSTITUTE(SUBSTITUTE(SUBSTITUTE(SUBSTITUTE($F979,CHAR(13)," "),CHAR(10)," "),CHAR(9)," "),CHAR(92),_xlfn.CONCAT(CHAR(92),CHAR(92))),"$",_xlfn.CONCAT(CHAR(92),"$")),CHAR(96),_xlfn.CONCAT(CHAR(92),CHAR(96))),CHAR(34),CHAR(39))))</f>
        <v/>
      </c>
      <c r="Q979" s="5" t="str">
        <f>IF(OR(TRIM($B979)="",$G979=""),"",IF(OR(ISNUMBER(SEARCH(_xlfn.CONCAT(CHAR(96),CHAR(34)),$G979)),ISNUMBER(SEARCH(_xlfn.CONCAT(CHAR(34),CHAR(39)),$G979))),_xlfn.CONCAT("* REVIEW REQUIRED: compound-quote delimiter in Universe on Sheet 1 row ",979,"; edit the input before running."),_xlfn.CONCAT("char ",TRIM($B979),"[doc_universe] ",CHAR(96),CHAR(34),SUBSTITUTE(SUBSTITUTE(SUBSTITUTE(SUBSTITUTE(SUBSTITUTE(SUBSTITUTE($G979,CHAR(13)," "),CHAR(10)," "),CHAR(9)," "),CHAR(92),_xlfn.CONCAT(CHAR(92),CHAR(92))),"$",_xlfn.CONCAT(CHAR(92),"$")),CHAR(96),_xlfn.CONCAT(CHAR(92),CHAR(96))),CHAR(34),CHAR(39))))</f>
        <v/>
      </c>
      <c r="R979" s="5" t="str">
        <f>IF(OR(TRIM($B979)="",$H979=""),"",IF(OR(ISNUMBER(SEARCH(_xlfn.CONCAT(CHAR(96),CHAR(34)),$H979)),ISNUMBER(SEARCH(_xlfn.CONCAT(CHAR(34),CHAR(39)),$H979))),_xlfn.CONCAT("* REVIEW REQUIRED: compound-quote delimiter in Source on Sheet 1 row ",979,"; edit the input before running."),_xlfn.CONCAT("char ",TRIM($B979),"[doc_source] ",CHAR(96),CHAR(34),SUBSTITUTE(SUBSTITUTE(SUBSTITUTE(SUBSTITUTE(SUBSTITUTE(SUBSTITUTE($H979,CHAR(13)," "),CHAR(10)," "),CHAR(9)," "),CHAR(92),_xlfn.CONCAT(CHAR(92),CHAR(92))),"$",_xlfn.CONCAT(CHAR(92),"$")),CHAR(96),_xlfn.CONCAT(CHAR(92),CHAR(96))),CHAR(34),CHAR(39))))</f>
        <v/>
      </c>
      <c r="S979" s="5" t="str">
        <f>IF(OR(TRIM($B979)="",$I979=""),"",IF(OR(ISNUMBER(SEARCH(_xlfn.CONCAT(CHAR(96),CHAR(34)),$I979)),ISNUMBER(SEARCH(_xlfn.CONCAT(CHAR(34),CHAR(39)),$I979))),_xlfn.CONCAT("* REVIEW REQUIRED: compound-quote delimiter in Derivation on Sheet 1 row ",979,"; edit the input before running."),_xlfn.CONCAT("char ",TRIM($B979),"[doc_derivation] ",CHAR(96),CHAR(34),SUBSTITUTE(SUBSTITUTE(SUBSTITUTE(SUBSTITUTE(SUBSTITUTE(SUBSTITUTE($I979,CHAR(13)," "),CHAR(10)," "),CHAR(9)," "),CHAR(92),_xlfn.CONCAT(CHAR(92),CHAR(92))),"$",_xlfn.CONCAT(CHAR(92),"$")),CHAR(96),_xlfn.CONCAT(CHAR(92),CHAR(96))),CHAR(34),CHAR(39))))</f>
        <v/>
      </c>
      <c r="T979" s="5" t="str">
        <f>IF(OR(TRIM($B979)="",$J979=""),"",IF(OR(ISNUMBER(SEARCH(_xlfn.CONCAT(CHAR(96),CHAR(34)),$J979)),ISNUMBER(SEARCH(_xlfn.CONCAT(CHAR(34),CHAR(39)),$J979))),_xlfn.CONCAT("* REVIEW REQUIRED: compound-quote delimiter in Notes on Sheet 1 row ",979,"; edit the input before running."),_xlfn.CONCAT("char ",TRIM($B979),"[doc_notes] ",CHAR(96),CHAR(34),SUBSTITUTE(SUBSTITUTE(SUBSTITUTE(SUBSTITUTE(SUBSTITUTE(SUBSTITUTE($J979,CHAR(13)," "),CHAR(10)," "),CHAR(9)," "),CHAR(92),_xlfn.CONCAT(CHAR(92),CHAR(92))),"$",_xlfn.CONCAT(CHAR(92),"$")),CHAR(96),_xlfn.CONCAT(CHAR(92),CHAR(96))),CHAR(34),CHAR(39))))</f>
        <v/>
      </c>
      <c r="U979" s="5">
        <f t="shared" si="29"/>
        <v>0</v>
      </c>
    </row>
    <row r="980" spans="3:21" ht="30" customHeight="1" x14ac:dyDescent="0.2">
      <c r="C980" s="4"/>
      <c r="K980" s="5">
        <f t="shared" ref="K980:K1019" si="30">COUNTIF(L980:T980,"?*")</f>
        <v>0</v>
      </c>
      <c r="L980" s="5" t="str">
        <f>IF(OR(TRIM($B980)="",$A980=""),"",IF(OR(ISNUMBER(SEARCH(_xlfn.CONCAT(CHAR(96),CHAR(34)),$A980)),ISNUMBER(SEARCH(_xlfn.CONCAT(CHAR(34),CHAR(39)),$A980))),_xlfn.CONCAT("* REVIEW REQUIRED: compound-quote delimiter in Codebook Section on Sheet 1 row ",980,"; edit the input before running."),_xlfn.CONCAT("char ",TRIM($B980),"[doc_section] ",CHAR(96),CHAR(34),SUBSTITUTE(SUBSTITUTE(SUBSTITUTE(SUBSTITUTE(SUBSTITUTE(SUBSTITUTE($A980,CHAR(13)," "),CHAR(10)," "),CHAR(9)," "),CHAR(92),_xlfn.CONCAT(CHAR(92),CHAR(92))),"$",_xlfn.CONCAT(CHAR(92),"$")),CHAR(96),_xlfn.CONCAT(CHAR(92),CHAR(96))),CHAR(34),CHAR(39))))</f>
        <v/>
      </c>
      <c r="M980" s="5" t="str">
        <f>IF(OR(TRIM($B980)="",$C980=""),"",IF(IFERROR(MATCH(TRIM($C980),{"Quantitative","Continuous","Discrete","Categorical","Nominal","Ordinal","Identifier"},0),0)=0,_xlfn.CONCAT("* REVIEW REQUIRED: invalid Variable Type on Sheet 1 row ",980,"."),_xlfn.CONCAT("char ",TRIM($B980),"[doc_vartype] ",CHAR(96),CHAR(34),SUBSTITUTE(SUBSTITUTE(SUBSTITUTE(SUBSTITUTE(SUBSTITUTE(SUBSTITUTE(LOWER(TRIM($C980)),CHAR(13)," "),CHAR(10)," "),CHAR(9)," "),CHAR(92),_xlfn.CONCAT(CHAR(92),CHAR(92))),"$",_xlfn.CONCAT(CHAR(92),"$")),CHAR(96),_xlfn.CONCAT(CHAR(92),CHAR(96))),CHAR(34),CHAR(39))))</f>
        <v/>
      </c>
      <c r="N980" s="5" t="str">
        <f>IF(OR(TRIM($B980)="",$D980=""),"",IF(OR(ISNUMBER(SEARCH(_xlfn.CONCAT(CHAR(96),CHAR(34)),$D980)),ISNUMBER(SEARCH(_xlfn.CONCAT(CHAR(34),CHAR(39)),$D980))),_xlfn.CONCAT("* REVIEW REQUIRED: compound-quote delimiter in Item Number on Sheet 1 row ",980,"; edit the input before running."),_xlfn.CONCAT("char ",TRIM($B980),"[doc_itemnum] ",CHAR(96),CHAR(34),SUBSTITUTE(SUBSTITUTE(SUBSTITUTE(SUBSTITUTE(SUBSTITUTE(SUBSTITUTE($D980,CHAR(13)," "),CHAR(10)," "),CHAR(9)," "),CHAR(92),_xlfn.CONCAT(CHAR(92),CHAR(92))),"$",_xlfn.CONCAT(CHAR(92),"$")),CHAR(96),_xlfn.CONCAT(CHAR(92),CHAR(96))),CHAR(34),CHAR(39))))</f>
        <v/>
      </c>
      <c r="O980" s="5" t="str">
        <f>IF(OR(TRIM($B980)="",$E980=""),"",IF(OR(ISNUMBER(SEARCH(_xlfn.CONCAT(CHAR(96),CHAR(34)),$E980)),ISNUMBER(SEARCH(_xlfn.CONCAT(CHAR(34),CHAR(39)),$E980))),_xlfn.CONCAT("* REVIEW REQUIRED: compound-quote delimiter in Question Wording on Sheet 1 row ",980,"; edit the input before running."),_xlfn.CONCAT("char ",TRIM($B980),"[doc_question] ",CHAR(96),CHAR(34),SUBSTITUTE(SUBSTITUTE(SUBSTITUTE(SUBSTITUTE(SUBSTITUTE(SUBSTITUTE($E980,CHAR(13)," "),CHAR(10)," "),CHAR(9)," "),CHAR(92),_xlfn.CONCAT(CHAR(92),CHAR(92))),"$",_xlfn.CONCAT(CHAR(92),"$")),CHAR(96),_xlfn.CONCAT(CHAR(92),CHAR(96))),CHAR(34),CHAR(39))))</f>
        <v/>
      </c>
      <c r="P980" s="5" t="str">
        <f>IF(OR(TRIM($B980)="",$F980=""),"",IF(OR(ISNUMBER(SEARCH(_xlfn.CONCAT(CHAR(96),CHAR(34)),$F980)),ISNUMBER(SEARCH(_xlfn.CONCAT(CHAR(34),CHAR(39)),$F980))),_xlfn.CONCAT("* REVIEW REQUIRED: compound-quote delimiter in Units on Sheet 1 row ",980,"; edit the input before running."),_xlfn.CONCAT("char ",TRIM($B980),"[doc_units] ",CHAR(96),CHAR(34),SUBSTITUTE(SUBSTITUTE(SUBSTITUTE(SUBSTITUTE(SUBSTITUTE(SUBSTITUTE($F980,CHAR(13)," "),CHAR(10)," "),CHAR(9)," "),CHAR(92),_xlfn.CONCAT(CHAR(92),CHAR(92))),"$",_xlfn.CONCAT(CHAR(92),"$")),CHAR(96),_xlfn.CONCAT(CHAR(92),CHAR(96))),CHAR(34),CHAR(39))))</f>
        <v/>
      </c>
      <c r="Q980" s="5" t="str">
        <f>IF(OR(TRIM($B980)="",$G980=""),"",IF(OR(ISNUMBER(SEARCH(_xlfn.CONCAT(CHAR(96),CHAR(34)),$G980)),ISNUMBER(SEARCH(_xlfn.CONCAT(CHAR(34),CHAR(39)),$G980))),_xlfn.CONCAT("* REVIEW REQUIRED: compound-quote delimiter in Universe on Sheet 1 row ",980,"; edit the input before running."),_xlfn.CONCAT("char ",TRIM($B980),"[doc_universe] ",CHAR(96),CHAR(34),SUBSTITUTE(SUBSTITUTE(SUBSTITUTE(SUBSTITUTE(SUBSTITUTE(SUBSTITUTE($G980,CHAR(13)," "),CHAR(10)," "),CHAR(9)," "),CHAR(92),_xlfn.CONCAT(CHAR(92),CHAR(92))),"$",_xlfn.CONCAT(CHAR(92),"$")),CHAR(96),_xlfn.CONCAT(CHAR(92),CHAR(96))),CHAR(34),CHAR(39))))</f>
        <v/>
      </c>
      <c r="R980" s="5" t="str">
        <f>IF(OR(TRIM($B980)="",$H980=""),"",IF(OR(ISNUMBER(SEARCH(_xlfn.CONCAT(CHAR(96),CHAR(34)),$H980)),ISNUMBER(SEARCH(_xlfn.CONCAT(CHAR(34),CHAR(39)),$H980))),_xlfn.CONCAT("* REVIEW REQUIRED: compound-quote delimiter in Source on Sheet 1 row ",980,"; edit the input before running."),_xlfn.CONCAT("char ",TRIM($B980),"[doc_source] ",CHAR(96),CHAR(34),SUBSTITUTE(SUBSTITUTE(SUBSTITUTE(SUBSTITUTE(SUBSTITUTE(SUBSTITUTE($H980,CHAR(13)," "),CHAR(10)," "),CHAR(9)," "),CHAR(92),_xlfn.CONCAT(CHAR(92),CHAR(92))),"$",_xlfn.CONCAT(CHAR(92),"$")),CHAR(96),_xlfn.CONCAT(CHAR(92),CHAR(96))),CHAR(34),CHAR(39))))</f>
        <v/>
      </c>
      <c r="S980" s="5" t="str">
        <f>IF(OR(TRIM($B980)="",$I980=""),"",IF(OR(ISNUMBER(SEARCH(_xlfn.CONCAT(CHAR(96),CHAR(34)),$I980)),ISNUMBER(SEARCH(_xlfn.CONCAT(CHAR(34),CHAR(39)),$I980))),_xlfn.CONCAT("* REVIEW REQUIRED: compound-quote delimiter in Derivation on Sheet 1 row ",980,"; edit the input before running."),_xlfn.CONCAT("char ",TRIM($B980),"[doc_derivation] ",CHAR(96),CHAR(34),SUBSTITUTE(SUBSTITUTE(SUBSTITUTE(SUBSTITUTE(SUBSTITUTE(SUBSTITUTE($I980,CHAR(13)," "),CHAR(10)," "),CHAR(9)," "),CHAR(92),_xlfn.CONCAT(CHAR(92),CHAR(92))),"$",_xlfn.CONCAT(CHAR(92),"$")),CHAR(96),_xlfn.CONCAT(CHAR(92),CHAR(96))),CHAR(34),CHAR(39))))</f>
        <v/>
      </c>
      <c r="T980" s="5" t="str">
        <f>IF(OR(TRIM($B980)="",$J980=""),"",IF(OR(ISNUMBER(SEARCH(_xlfn.CONCAT(CHAR(96),CHAR(34)),$J980)),ISNUMBER(SEARCH(_xlfn.CONCAT(CHAR(34),CHAR(39)),$J980))),_xlfn.CONCAT("* REVIEW REQUIRED: compound-quote delimiter in Notes on Sheet 1 row ",980,"; edit the input before running."),_xlfn.CONCAT("char ",TRIM($B980),"[doc_notes] ",CHAR(96),CHAR(34),SUBSTITUTE(SUBSTITUTE(SUBSTITUTE(SUBSTITUTE(SUBSTITUTE(SUBSTITUTE($J980,CHAR(13)," "),CHAR(10)," "),CHAR(9)," "),CHAR(92),_xlfn.CONCAT(CHAR(92),CHAR(92))),"$",_xlfn.CONCAT(CHAR(92),"$")),CHAR(96),_xlfn.CONCAT(CHAR(92),CHAR(96))),CHAR(34),CHAR(39))))</f>
        <v/>
      </c>
      <c r="U980" s="5">
        <f t="shared" ref="U980:U1019" si="31">COUNTIF(L980:T980,"*REVIEW REQUIRED*")</f>
        <v>0</v>
      </c>
    </row>
    <row r="981" spans="3:21" ht="30" customHeight="1" x14ac:dyDescent="0.2">
      <c r="C981" s="4"/>
      <c r="K981" s="5">
        <f t="shared" si="30"/>
        <v>0</v>
      </c>
      <c r="L981" s="5" t="str">
        <f>IF(OR(TRIM($B981)="",$A981=""),"",IF(OR(ISNUMBER(SEARCH(_xlfn.CONCAT(CHAR(96),CHAR(34)),$A981)),ISNUMBER(SEARCH(_xlfn.CONCAT(CHAR(34),CHAR(39)),$A981))),_xlfn.CONCAT("* REVIEW REQUIRED: compound-quote delimiter in Codebook Section on Sheet 1 row ",981,"; edit the input before running."),_xlfn.CONCAT("char ",TRIM($B981),"[doc_section] ",CHAR(96),CHAR(34),SUBSTITUTE(SUBSTITUTE(SUBSTITUTE(SUBSTITUTE(SUBSTITUTE(SUBSTITUTE($A981,CHAR(13)," "),CHAR(10)," "),CHAR(9)," "),CHAR(92),_xlfn.CONCAT(CHAR(92),CHAR(92))),"$",_xlfn.CONCAT(CHAR(92),"$")),CHAR(96),_xlfn.CONCAT(CHAR(92),CHAR(96))),CHAR(34),CHAR(39))))</f>
        <v/>
      </c>
      <c r="M981" s="5" t="str">
        <f>IF(OR(TRIM($B981)="",$C981=""),"",IF(IFERROR(MATCH(TRIM($C981),{"Quantitative","Continuous","Discrete","Categorical","Nominal","Ordinal","Identifier"},0),0)=0,_xlfn.CONCAT("* REVIEW REQUIRED: invalid Variable Type on Sheet 1 row ",981,"."),_xlfn.CONCAT("char ",TRIM($B981),"[doc_vartype] ",CHAR(96),CHAR(34),SUBSTITUTE(SUBSTITUTE(SUBSTITUTE(SUBSTITUTE(SUBSTITUTE(SUBSTITUTE(LOWER(TRIM($C981)),CHAR(13)," "),CHAR(10)," "),CHAR(9)," "),CHAR(92),_xlfn.CONCAT(CHAR(92),CHAR(92))),"$",_xlfn.CONCAT(CHAR(92),"$")),CHAR(96),_xlfn.CONCAT(CHAR(92),CHAR(96))),CHAR(34),CHAR(39))))</f>
        <v/>
      </c>
      <c r="N981" s="5" t="str">
        <f>IF(OR(TRIM($B981)="",$D981=""),"",IF(OR(ISNUMBER(SEARCH(_xlfn.CONCAT(CHAR(96),CHAR(34)),$D981)),ISNUMBER(SEARCH(_xlfn.CONCAT(CHAR(34),CHAR(39)),$D981))),_xlfn.CONCAT("* REVIEW REQUIRED: compound-quote delimiter in Item Number on Sheet 1 row ",981,"; edit the input before running."),_xlfn.CONCAT("char ",TRIM($B981),"[doc_itemnum] ",CHAR(96),CHAR(34),SUBSTITUTE(SUBSTITUTE(SUBSTITUTE(SUBSTITUTE(SUBSTITUTE(SUBSTITUTE($D981,CHAR(13)," "),CHAR(10)," "),CHAR(9)," "),CHAR(92),_xlfn.CONCAT(CHAR(92),CHAR(92))),"$",_xlfn.CONCAT(CHAR(92),"$")),CHAR(96),_xlfn.CONCAT(CHAR(92),CHAR(96))),CHAR(34),CHAR(39))))</f>
        <v/>
      </c>
      <c r="O981" s="5" t="str">
        <f>IF(OR(TRIM($B981)="",$E981=""),"",IF(OR(ISNUMBER(SEARCH(_xlfn.CONCAT(CHAR(96),CHAR(34)),$E981)),ISNUMBER(SEARCH(_xlfn.CONCAT(CHAR(34),CHAR(39)),$E981))),_xlfn.CONCAT("* REVIEW REQUIRED: compound-quote delimiter in Question Wording on Sheet 1 row ",981,"; edit the input before running."),_xlfn.CONCAT("char ",TRIM($B981),"[doc_question] ",CHAR(96),CHAR(34),SUBSTITUTE(SUBSTITUTE(SUBSTITUTE(SUBSTITUTE(SUBSTITUTE(SUBSTITUTE($E981,CHAR(13)," "),CHAR(10)," "),CHAR(9)," "),CHAR(92),_xlfn.CONCAT(CHAR(92),CHAR(92))),"$",_xlfn.CONCAT(CHAR(92),"$")),CHAR(96),_xlfn.CONCAT(CHAR(92),CHAR(96))),CHAR(34),CHAR(39))))</f>
        <v/>
      </c>
      <c r="P981" s="5" t="str">
        <f>IF(OR(TRIM($B981)="",$F981=""),"",IF(OR(ISNUMBER(SEARCH(_xlfn.CONCAT(CHAR(96),CHAR(34)),$F981)),ISNUMBER(SEARCH(_xlfn.CONCAT(CHAR(34),CHAR(39)),$F981))),_xlfn.CONCAT("* REVIEW REQUIRED: compound-quote delimiter in Units on Sheet 1 row ",981,"; edit the input before running."),_xlfn.CONCAT("char ",TRIM($B981),"[doc_units] ",CHAR(96),CHAR(34),SUBSTITUTE(SUBSTITUTE(SUBSTITUTE(SUBSTITUTE(SUBSTITUTE(SUBSTITUTE($F981,CHAR(13)," "),CHAR(10)," "),CHAR(9)," "),CHAR(92),_xlfn.CONCAT(CHAR(92),CHAR(92))),"$",_xlfn.CONCAT(CHAR(92),"$")),CHAR(96),_xlfn.CONCAT(CHAR(92),CHAR(96))),CHAR(34),CHAR(39))))</f>
        <v/>
      </c>
      <c r="Q981" s="5" t="str">
        <f>IF(OR(TRIM($B981)="",$G981=""),"",IF(OR(ISNUMBER(SEARCH(_xlfn.CONCAT(CHAR(96),CHAR(34)),$G981)),ISNUMBER(SEARCH(_xlfn.CONCAT(CHAR(34),CHAR(39)),$G981))),_xlfn.CONCAT("* REVIEW REQUIRED: compound-quote delimiter in Universe on Sheet 1 row ",981,"; edit the input before running."),_xlfn.CONCAT("char ",TRIM($B981),"[doc_universe] ",CHAR(96),CHAR(34),SUBSTITUTE(SUBSTITUTE(SUBSTITUTE(SUBSTITUTE(SUBSTITUTE(SUBSTITUTE($G981,CHAR(13)," "),CHAR(10)," "),CHAR(9)," "),CHAR(92),_xlfn.CONCAT(CHAR(92),CHAR(92))),"$",_xlfn.CONCAT(CHAR(92),"$")),CHAR(96),_xlfn.CONCAT(CHAR(92),CHAR(96))),CHAR(34),CHAR(39))))</f>
        <v/>
      </c>
      <c r="R981" s="5" t="str">
        <f>IF(OR(TRIM($B981)="",$H981=""),"",IF(OR(ISNUMBER(SEARCH(_xlfn.CONCAT(CHAR(96),CHAR(34)),$H981)),ISNUMBER(SEARCH(_xlfn.CONCAT(CHAR(34),CHAR(39)),$H981))),_xlfn.CONCAT("* REVIEW REQUIRED: compound-quote delimiter in Source on Sheet 1 row ",981,"; edit the input before running."),_xlfn.CONCAT("char ",TRIM($B981),"[doc_source] ",CHAR(96),CHAR(34),SUBSTITUTE(SUBSTITUTE(SUBSTITUTE(SUBSTITUTE(SUBSTITUTE(SUBSTITUTE($H981,CHAR(13)," "),CHAR(10)," "),CHAR(9)," "),CHAR(92),_xlfn.CONCAT(CHAR(92),CHAR(92))),"$",_xlfn.CONCAT(CHAR(92),"$")),CHAR(96),_xlfn.CONCAT(CHAR(92),CHAR(96))),CHAR(34),CHAR(39))))</f>
        <v/>
      </c>
      <c r="S981" s="5" t="str">
        <f>IF(OR(TRIM($B981)="",$I981=""),"",IF(OR(ISNUMBER(SEARCH(_xlfn.CONCAT(CHAR(96),CHAR(34)),$I981)),ISNUMBER(SEARCH(_xlfn.CONCAT(CHAR(34),CHAR(39)),$I981))),_xlfn.CONCAT("* REVIEW REQUIRED: compound-quote delimiter in Derivation on Sheet 1 row ",981,"; edit the input before running."),_xlfn.CONCAT("char ",TRIM($B981),"[doc_derivation] ",CHAR(96),CHAR(34),SUBSTITUTE(SUBSTITUTE(SUBSTITUTE(SUBSTITUTE(SUBSTITUTE(SUBSTITUTE($I981,CHAR(13)," "),CHAR(10)," "),CHAR(9)," "),CHAR(92),_xlfn.CONCAT(CHAR(92),CHAR(92))),"$",_xlfn.CONCAT(CHAR(92),"$")),CHAR(96),_xlfn.CONCAT(CHAR(92),CHAR(96))),CHAR(34),CHAR(39))))</f>
        <v/>
      </c>
      <c r="T981" s="5" t="str">
        <f>IF(OR(TRIM($B981)="",$J981=""),"",IF(OR(ISNUMBER(SEARCH(_xlfn.CONCAT(CHAR(96),CHAR(34)),$J981)),ISNUMBER(SEARCH(_xlfn.CONCAT(CHAR(34),CHAR(39)),$J981))),_xlfn.CONCAT("* REVIEW REQUIRED: compound-quote delimiter in Notes on Sheet 1 row ",981,"; edit the input before running."),_xlfn.CONCAT("char ",TRIM($B981),"[doc_notes] ",CHAR(96),CHAR(34),SUBSTITUTE(SUBSTITUTE(SUBSTITUTE(SUBSTITUTE(SUBSTITUTE(SUBSTITUTE($J981,CHAR(13)," "),CHAR(10)," "),CHAR(9)," "),CHAR(92),_xlfn.CONCAT(CHAR(92),CHAR(92))),"$",_xlfn.CONCAT(CHAR(92),"$")),CHAR(96),_xlfn.CONCAT(CHAR(92),CHAR(96))),CHAR(34),CHAR(39))))</f>
        <v/>
      </c>
      <c r="U981" s="5">
        <f t="shared" si="31"/>
        <v>0</v>
      </c>
    </row>
    <row r="982" spans="3:21" ht="30" customHeight="1" x14ac:dyDescent="0.2">
      <c r="C982" s="4"/>
      <c r="K982" s="5">
        <f t="shared" si="30"/>
        <v>0</v>
      </c>
      <c r="L982" s="5" t="str">
        <f>IF(OR(TRIM($B982)="",$A982=""),"",IF(OR(ISNUMBER(SEARCH(_xlfn.CONCAT(CHAR(96),CHAR(34)),$A982)),ISNUMBER(SEARCH(_xlfn.CONCAT(CHAR(34),CHAR(39)),$A982))),_xlfn.CONCAT("* REVIEW REQUIRED: compound-quote delimiter in Codebook Section on Sheet 1 row ",982,"; edit the input before running."),_xlfn.CONCAT("char ",TRIM($B982),"[doc_section] ",CHAR(96),CHAR(34),SUBSTITUTE(SUBSTITUTE(SUBSTITUTE(SUBSTITUTE(SUBSTITUTE(SUBSTITUTE($A982,CHAR(13)," "),CHAR(10)," "),CHAR(9)," "),CHAR(92),_xlfn.CONCAT(CHAR(92),CHAR(92))),"$",_xlfn.CONCAT(CHAR(92),"$")),CHAR(96),_xlfn.CONCAT(CHAR(92),CHAR(96))),CHAR(34),CHAR(39))))</f>
        <v/>
      </c>
      <c r="M982" s="5" t="str">
        <f>IF(OR(TRIM($B982)="",$C982=""),"",IF(IFERROR(MATCH(TRIM($C982),{"Quantitative","Continuous","Discrete","Categorical","Nominal","Ordinal","Identifier"},0),0)=0,_xlfn.CONCAT("* REVIEW REQUIRED: invalid Variable Type on Sheet 1 row ",982,"."),_xlfn.CONCAT("char ",TRIM($B982),"[doc_vartype] ",CHAR(96),CHAR(34),SUBSTITUTE(SUBSTITUTE(SUBSTITUTE(SUBSTITUTE(SUBSTITUTE(SUBSTITUTE(LOWER(TRIM($C982)),CHAR(13)," "),CHAR(10)," "),CHAR(9)," "),CHAR(92),_xlfn.CONCAT(CHAR(92),CHAR(92))),"$",_xlfn.CONCAT(CHAR(92),"$")),CHAR(96),_xlfn.CONCAT(CHAR(92),CHAR(96))),CHAR(34),CHAR(39))))</f>
        <v/>
      </c>
      <c r="N982" s="5" t="str">
        <f>IF(OR(TRIM($B982)="",$D982=""),"",IF(OR(ISNUMBER(SEARCH(_xlfn.CONCAT(CHAR(96),CHAR(34)),$D982)),ISNUMBER(SEARCH(_xlfn.CONCAT(CHAR(34),CHAR(39)),$D982))),_xlfn.CONCAT("* REVIEW REQUIRED: compound-quote delimiter in Item Number on Sheet 1 row ",982,"; edit the input before running."),_xlfn.CONCAT("char ",TRIM($B982),"[doc_itemnum] ",CHAR(96),CHAR(34),SUBSTITUTE(SUBSTITUTE(SUBSTITUTE(SUBSTITUTE(SUBSTITUTE(SUBSTITUTE($D982,CHAR(13)," "),CHAR(10)," "),CHAR(9)," "),CHAR(92),_xlfn.CONCAT(CHAR(92),CHAR(92))),"$",_xlfn.CONCAT(CHAR(92),"$")),CHAR(96),_xlfn.CONCAT(CHAR(92),CHAR(96))),CHAR(34),CHAR(39))))</f>
        <v/>
      </c>
      <c r="O982" s="5" t="str">
        <f>IF(OR(TRIM($B982)="",$E982=""),"",IF(OR(ISNUMBER(SEARCH(_xlfn.CONCAT(CHAR(96),CHAR(34)),$E982)),ISNUMBER(SEARCH(_xlfn.CONCAT(CHAR(34),CHAR(39)),$E982))),_xlfn.CONCAT("* REVIEW REQUIRED: compound-quote delimiter in Question Wording on Sheet 1 row ",982,"; edit the input before running."),_xlfn.CONCAT("char ",TRIM($B982),"[doc_question] ",CHAR(96),CHAR(34),SUBSTITUTE(SUBSTITUTE(SUBSTITUTE(SUBSTITUTE(SUBSTITUTE(SUBSTITUTE($E982,CHAR(13)," "),CHAR(10)," "),CHAR(9)," "),CHAR(92),_xlfn.CONCAT(CHAR(92),CHAR(92))),"$",_xlfn.CONCAT(CHAR(92),"$")),CHAR(96),_xlfn.CONCAT(CHAR(92),CHAR(96))),CHAR(34),CHAR(39))))</f>
        <v/>
      </c>
      <c r="P982" s="5" t="str">
        <f>IF(OR(TRIM($B982)="",$F982=""),"",IF(OR(ISNUMBER(SEARCH(_xlfn.CONCAT(CHAR(96),CHAR(34)),$F982)),ISNUMBER(SEARCH(_xlfn.CONCAT(CHAR(34),CHAR(39)),$F982))),_xlfn.CONCAT("* REVIEW REQUIRED: compound-quote delimiter in Units on Sheet 1 row ",982,"; edit the input before running."),_xlfn.CONCAT("char ",TRIM($B982),"[doc_units] ",CHAR(96),CHAR(34),SUBSTITUTE(SUBSTITUTE(SUBSTITUTE(SUBSTITUTE(SUBSTITUTE(SUBSTITUTE($F982,CHAR(13)," "),CHAR(10)," "),CHAR(9)," "),CHAR(92),_xlfn.CONCAT(CHAR(92),CHAR(92))),"$",_xlfn.CONCAT(CHAR(92),"$")),CHAR(96),_xlfn.CONCAT(CHAR(92),CHAR(96))),CHAR(34),CHAR(39))))</f>
        <v/>
      </c>
      <c r="Q982" s="5" t="str">
        <f>IF(OR(TRIM($B982)="",$G982=""),"",IF(OR(ISNUMBER(SEARCH(_xlfn.CONCAT(CHAR(96),CHAR(34)),$G982)),ISNUMBER(SEARCH(_xlfn.CONCAT(CHAR(34),CHAR(39)),$G982))),_xlfn.CONCAT("* REVIEW REQUIRED: compound-quote delimiter in Universe on Sheet 1 row ",982,"; edit the input before running."),_xlfn.CONCAT("char ",TRIM($B982),"[doc_universe] ",CHAR(96),CHAR(34),SUBSTITUTE(SUBSTITUTE(SUBSTITUTE(SUBSTITUTE(SUBSTITUTE(SUBSTITUTE($G982,CHAR(13)," "),CHAR(10)," "),CHAR(9)," "),CHAR(92),_xlfn.CONCAT(CHAR(92),CHAR(92))),"$",_xlfn.CONCAT(CHAR(92),"$")),CHAR(96),_xlfn.CONCAT(CHAR(92),CHAR(96))),CHAR(34),CHAR(39))))</f>
        <v/>
      </c>
      <c r="R982" s="5" t="str">
        <f>IF(OR(TRIM($B982)="",$H982=""),"",IF(OR(ISNUMBER(SEARCH(_xlfn.CONCAT(CHAR(96),CHAR(34)),$H982)),ISNUMBER(SEARCH(_xlfn.CONCAT(CHAR(34),CHAR(39)),$H982))),_xlfn.CONCAT("* REVIEW REQUIRED: compound-quote delimiter in Source on Sheet 1 row ",982,"; edit the input before running."),_xlfn.CONCAT("char ",TRIM($B982),"[doc_source] ",CHAR(96),CHAR(34),SUBSTITUTE(SUBSTITUTE(SUBSTITUTE(SUBSTITUTE(SUBSTITUTE(SUBSTITUTE($H982,CHAR(13)," "),CHAR(10)," "),CHAR(9)," "),CHAR(92),_xlfn.CONCAT(CHAR(92),CHAR(92))),"$",_xlfn.CONCAT(CHAR(92),"$")),CHAR(96),_xlfn.CONCAT(CHAR(92),CHAR(96))),CHAR(34),CHAR(39))))</f>
        <v/>
      </c>
      <c r="S982" s="5" t="str">
        <f>IF(OR(TRIM($B982)="",$I982=""),"",IF(OR(ISNUMBER(SEARCH(_xlfn.CONCAT(CHAR(96),CHAR(34)),$I982)),ISNUMBER(SEARCH(_xlfn.CONCAT(CHAR(34),CHAR(39)),$I982))),_xlfn.CONCAT("* REVIEW REQUIRED: compound-quote delimiter in Derivation on Sheet 1 row ",982,"; edit the input before running."),_xlfn.CONCAT("char ",TRIM($B982),"[doc_derivation] ",CHAR(96),CHAR(34),SUBSTITUTE(SUBSTITUTE(SUBSTITUTE(SUBSTITUTE(SUBSTITUTE(SUBSTITUTE($I982,CHAR(13)," "),CHAR(10)," "),CHAR(9)," "),CHAR(92),_xlfn.CONCAT(CHAR(92),CHAR(92))),"$",_xlfn.CONCAT(CHAR(92),"$")),CHAR(96),_xlfn.CONCAT(CHAR(92),CHAR(96))),CHAR(34),CHAR(39))))</f>
        <v/>
      </c>
      <c r="T982" s="5" t="str">
        <f>IF(OR(TRIM($B982)="",$J982=""),"",IF(OR(ISNUMBER(SEARCH(_xlfn.CONCAT(CHAR(96),CHAR(34)),$J982)),ISNUMBER(SEARCH(_xlfn.CONCAT(CHAR(34),CHAR(39)),$J982))),_xlfn.CONCAT("* REVIEW REQUIRED: compound-quote delimiter in Notes on Sheet 1 row ",982,"; edit the input before running."),_xlfn.CONCAT("char ",TRIM($B982),"[doc_notes] ",CHAR(96),CHAR(34),SUBSTITUTE(SUBSTITUTE(SUBSTITUTE(SUBSTITUTE(SUBSTITUTE(SUBSTITUTE($J982,CHAR(13)," "),CHAR(10)," "),CHAR(9)," "),CHAR(92),_xlfn.CONCAT(CHAR(92),CHAR(92))),"$",_xlfn.CONCAT(CHAR(92),"$")),CHAR(96),_xlfn.CONCAT(CHAR(92),CHAR(96))),CHAR(34),CHAR(39))))</f>
        <v/>
      </c>
      <c r="U982" s="5">
        <f t="shared" si="31"/>
        <v>0</v>
      </c>
    </row>
    <row r="983" spans="3:21" ht="30" customHeight="1" x14ac:dyDescent="0.2">
      <c r="C983" s="4"/>
      <c r="K983" s="5">
        <f t="shared" si="30"/>
        <v>0</v>
      </c>
      <c r="L983" s="5" t="str">
        <f>IF(OR(TRIM($B983)="",$A983=""),"",IF(OR(ISNUMBER(SEARCH(_xlfn.CONCAT(CHAR(96),CHAR(34)),$A983)),ISNUMBER(SEARCH(_xlfn.CONCAT(CHAR(34),CHAR(39)),$A983))),_xlfn.CONCAT("* REVIEW REQUIRED: compound-quote delimiter in Codebook Section on Sheet 1 row ",983,"; edit the input before running."),_xlfn.CONCAT("char ",TRIM($B983),"[doc_section] ",CHAR(96),CHAR(34),SUBSTITUTE(SUBSTITUTE(SUBSTITUTE(SUBSTITUTE(SUBSTITUTE(SUBSTITUTE($A983,CHAR(13)," "),CHAR(10)," "),CHAR(9)," "),CHAR(92),_xlfn.CONCAT(CHAR(92),CHAR(92))),"$",_xlfn.CONCAT(CHAR(92),"$")),CHAR(96),_xlfn.CONCAT(CHAR(92),CHAR(96))),CHAR(34),CHAR(39))))</f>
        <v/>
      </c>
      <c r="M983" s="5" t="str">
        <f>IF(OR(TRIM($B983)="",$C983=""),"",IF(IFERROR(MATCH(TRIM($C983),{"Quantitative","Continuous","Discrete","Categorical","Nominal","Ordinal","Identifier"},0),0)=0,_xlfn.CONCAT("* REVIEW REQUIRED: invalid Variable Type on Sheet 1 row ",983,"."),_xlfn.CONCAT("char ",TRIM($B983),"[doc_vartype] ",CHAR(96),CHAR(34),SUBSTITUTE(SUBSTITUTE(SUBSTITUTE(SUBSTITUTE(SUBSTITUTE(SUBSTITUTE(LOWER(TRIM($C983)),CHAR(13)," "),CHAR(10)," "),CHAR(9)," "),CHAR(92),_xlfn.CONCAT(CHAR(92),CHAR(92))),"$",_xlfn.CONCAT(CHAR(92),"$")),CHAR(96),_xlfn.CONCAT(CHAR(92),CHAR(96))),CHAR(34),CHAR(39))))</f>
        <v/>
      </c>
      <c r="N983" s="5" t="str">
        <f>IF(OR(TRIM($B983)="",$D983=""),"",IF(OR(ISNUMBER(SEARCH(_xlfn.CONCAT(CHAR(96),CHAR(34)),$D983)),ISNUMBER(SEARCH(_xlfn.CONCAT(CHAR(34),CHAR(39)),$D983))),_xlfn.CONCAT("* REVIEW REQUIRED: compound-quote delimiter in Item Number on Sheet 1 row ",983,"; edit the input before running."),_xlfn.CONCAT("char ",TRIM($B983),"[doc_itemnum] ",CHAR(96),CHAR(34),SUBSTITUTE(SUBSTITUTE(SUBSTITUTE(SUBSTITUTE(SUBSTITUTE(SUBSTITUTE($D983,CHAR(13)," "),CHAR(10)," "),CHAR(9)," "),CHAR(92),_xlfn.CONCAT(CHAR(92),CHAR(92))),"$",_xlfn.CONCAT(CHAR(92),"$")),CHAR(96),_xlfn.CONCAT(CHAR(92),CHAR(96))),CHAR(34),CHAR(39))))</f>
        <v/>
      </c>
      <c r="O983" s="5" t="str">
        <f>IF(OR(TRIM($B983)="",$E983=""),"",IF(OR(ISNUMBER(SEARCH(_xlfn.CONCAT(CHAR(96),CHAR(34)),$E983)),ISNUMBER(SEARCH(_xlfn.CONCAT(CHAR(34),CHAR(39)),$E983))),_xlfn.CONCAT("* REVIEW REQUIRED: compound-quote delimiter in Question Wording on Sheet 1 row ",983,"; edit the input before running."),_xlfn.CONCAT("char ",TRIM($B983),"[doc_question] ",CHAR(96),CHAR(34),SUBSTITUTE(SUBSTITUTE(SUBSTITUTE(SUBSTITUTE(SUBSTITUTE(SUBSTITUTE($E983,CHAR(13)," "),CHAR(10)," "),CHAR(9)," "),CHAR(92),_xlfn.CONCAT(CHAR(92),CHAR(92))),"$",_xlfn.CONCAT(CHAR(92),"$")),CHAR(96),_xlfn.CONCAT(CHAR(92),CHAR(96))),CHAR(34),CHAR(39))))</f>
        <v/>
      </c>
      <c r="P983" s="5" t="str">
        <f>IF(OR(TRIM($B983)="",$F983=""),"",IF(OR(ISNUMBER(SEARCH(_xlfn.CONCAT(CHAR(96),CHAR(34)),$F983)),ISNUMBER(SEARCH(_xlfn.CONCAT(CHAR(34),CHAR(39)),$F983))),_xlfn.CONCAT("* REVIEW REQUIRED: compound-quote delimiter in Units on Sheet 1 row ",983,"; edit the input before running."),_xlfn.CONCAT("char ",TRIM($B983),"[doc_units] ",CHAR(96),CHAR(34),SUBSTITUTE(SUBSTITUTE(SUBSTITUTE(SUBSTITUTE(SUBSTITUTE(SUBSTITUTE($F983,CHAR(13)," "),CHAR(10)," "),CHAR(9)," "),CHAR(92),_xlfn.CONCAT(CHAR(92),CHAR(92))),"$",_xlfn.CONCAT(CHAR(92),"$")),CHAR(96),_xlfn.CONCAT(CHAR(92),CHAR(96))),CHAR(34),CHAR(39))))</f>
        <v/>
      </c>
      <c r="Q983" s="5" t="str">
        <f>IF(OR(TRIM($B983)="",$G983=""),"",IF(OR(ISNUMBER(SEARCH(_xlfn.CONCAT(CHAR(96),CHAR(34)),$G983)),ISNUMBER(SEARCH(_xlfn.CONCAT(CHAR(34),CHAR(39)),$G983))),_xlfn.CONCAT("* REVIEW REQUIRED: compound-quote delimiter in Universe on Sheet 1 row ",983,"; edit the input before running."),_xlfn.CONCAT("char ",TRIM($B983),"[doc_universe] ",CHAR(96),CHAR(34),SUBSTITUTE(SUBSTITUTE(SUBSTITUTE(SUBSTITUTE(SUBSTITUTE(SUBSTITUTE($G983,CHAR(13)," "),CHAR(10)," "),CHAR(9)," "),CHAR(92),_xlfn.CONCAT(CHAR(92),CHAR(92))),"$",_xlfn.CONCAT(CHAR(92),"$")),CHAR(96),_xlfn.CONCAT(CHAR(92),CHAR(96))),CHAR(34),CHAR(39))))</f>
        <v/>
      </c>
      <c r="R983" s="5" t="str">
        <f>IF(OR(TRIM($B983)="",$H983=""),"",IF(OR(ISNUMBER(SEARCH(_xlfn.CONCAT(CHAR(96),CHAR(34)),$H983)),ISNUMBER(SEARCH(_xlfn.CONCAT(CHAR(34),CHAR(39)),$H983))),_xlfn.CONCAT("* REVIEW REQUIRED: compound-quote delimiter in Source on Sheet 1 row ",983,"; edit the input before running."),_xlfn.CONCAT("char ",TRIM($B983),"[doc_source] ",CHAR(96),CHAR(34),SUBSTITUTE(SUBSTITUTE(SUBSTITUTE(SUBSTITUTE(SUBSTITUTE(SUBSTITUTE($H983,CHAR(13)," "),CHAR(10)," "),CHAR(9)," "),CHAR(92),_xlfn.CONCAT(CHAR(92),CHAR(92))),"$",_xlfn.CONCAT(CHAR(92),"$")),CHAR(96),_xlfn.CONCAT(CHAR(92),CHAR(96))),CHAR(34),CHAR(39))))</f>
        <v/>
      </c>
      <c r="S983" s="5" t="str">
        <f>IF(OR(TRIM($B983)="",$I983=""),"",IF(OR(ISNUMBER(SEARCH(_xlfn.CONCAT(CHAR(96),CHAR(34)),$I983)),ISNUMBER(SEARCH(_xlfn.CONCAT(CHAR(34),CHAR(39)),$I983))),_xlfn.CONCAT("* REVIEW REQUIRED: compound-quote delimiter in Derivation on Sheet 1 row ",983,"; edit the input before running."),_xlfn.CONCAT("char ",TRIM($B983),"[doc_derivation] ",CHAR(96),CHAR(34),SUBSTITUTE(SUBSTITUTE(SUBSTITUTE(SUBSTITUTE(SUBSTITUTE(SUBSTITUTE($I983,CHAR(13)," "),CHAR(10)," "),CHAR(9)," "),CHAR(92),_xlfn.CONCAT(CHAR(92),CHAR(92))),"$",_xlfn.CONCAT(CHAR(92),"$")),CHAR(96),_xlfn.CONCAT(CHAR(92),CHAR(96))),CHAR(34),CHAR(39))))</f>
        <v/>
      </c>
      <c r="T983" s="5" t="str">
        <f>IF(OR(TRIM($B983)="",$J983=""),"",IF(OR(ISNUMBER(SEARCH(_xlfn.CONCAT(CHAR(96),CHAR(34)),$J983)),ISNUMBER(SEARCH(_xlfn.CONCAT(CHAR(34),CHAR(39)),$J983))),_xlfn.CONCAT("* REVIEW REQUIRED: compound-quote delimiter in Notes on Sheet 1 row ",983,"; edit the input before running."),_xlfn.CONCAT("char ",TRIM($B983),"[doc_notes] ",CHAR(96),CHAR(34),SUBSTITUTE(SUBSTITUTE(SUBSTITUTE(SUBSTITUTE(SUBSTITUTE(SUBSTITUTE($J983,CHAR(13)," "),CHAR(10)," "),CHAR(9)," "),CHAR(92),_xlfn.CONCAT(CHAR(92),CHAR(92))),"$",_xlfn.CONCAT(CHAR(92),"$")),CHAR(96),_xlfn.CONCAT(CHAR(92),CHAR(96))),CHAR(34),CHAR(39))))</f>
        <v/>
      </c>
      <c r="U983" s="5">
        <f t="shared" si="31"/>
        <v>0</v>
      </c>
    </row>
    <row r="984" spans="3:21" ht="30" customHeight="1" x14ac:dyDescent="0.2">
      <c r="C984" s="4"/>
      <c r="K984" s="5">
        <f t="shared" si="30"/>
        <v>0</v>
      </c>
      <c r="L984" s="5" t="str">
        <f>IF(OR(TRIM($B984)="",$A984=""),"",IF(OR(ISNUMBER(SEARCH(_xlfn.CONCAT(CHAR(96),CHAR(34)),$A984)),ISNUMBER(SEARCH(_xlfn.CONCAT(CHAR(34),CHAR(39)),$A984))),_xlfn.CONCAT("* REVIEW REQUIRED: compound-quote delimiter in Codebook Section on Sheet 1 row ",984,"; edit the input before running."),_xlfn.CONCAT("char ",TRIM($B984),"[doc_section] ",CHAR(96),CHAR(34),SUBSTITUTE(SUBSTITUTE(SUBSTITUTE(SUBSTITUTE(SUBSTITUTE(SUBSTITUTE($A984,CHAR(13)," "),CHAR(10)," "),CHAR(9)," "),CHAR(92),_xlfn.CONCAT(CHAR(92),CHAR(92))),"$",_xlfn.CONCAT(CHAR(92),"$")),CHAR(96),_xlfn.CONCAT(CHAR(92),CHAR(96))),CHAR(34),CHAR(39))))</f>
        <v/>
      </c>
      <c r="M984" s="5" t="str">
        <f>IF(OR(TRIM($B984)="",$C984=""),"",IF(IFERROR(MATCH(TRIM($C984),{"Quantitative","Continuous","Discrete","Categorical","Nominal","Ordinal","Identifier"},0),0)=0,_xlfn.CONCAT("* REVIEW REQUIRED: invalid Variable Type on Sheet 1 row ",984,"."),_xlfn.CONCAT("char ",TRIM($B984),"[doc_vartype] ",CHAR(96),CHAR(34),SUBSTITUTE(SUBSTITUTE(SUBSTITUTE(SUBSTITUTE(SUBSTITUTE(SUBSTITUTE(LOWER(TRIM($C984)),CHAR(13)," "),CHAR(10)," "),CHAR(9)," "),CHAR(92),_xlfn.CONCAT(CHAR(92),CHAR(92))),"$",_xlfn.CONCAT(CHAR(92),"$")),CHAR(96),_xlfn.CONCAT(CHAR(92),CHAR(96))),CHAR(34),CHAR(39))))</f>
        <v/>
      </c>
      <c r="N984" s="5" t="str">
        <f>IF(OR(TRIM($B984)="",$D984=""),"",IF(OR(ISNUMBER(SEARCH(_xlfn.CONCAT(CHAR(96),CHAR(34)),$D984)),ISNUMBER(SEARCH(_xlfn.CONCAT(CHAR(34),CHAR(39)),$D984))),_xlfn.CONCAT("* REVIEW REQUIRED: compound-quote delimiter in Item Number on Sheet 1 row ",984,"; edit the input before running."),_xlfn.CONCAT("char ",TRIM($B984),"[doc_itemnum] ",CHAR(96),CHAR(34),SUBSTITUTE(SUBSTITUTE(SUBSTITUTE(SUBSTITUTE(SUBSTITUTE(SUBSTITUTE($D984,CHAR(13)," "),CHAR(10)," "),CHAR(9)," "),CHAR(92),_xlfn.CONCAT(CHAR(92),CHAR(92))),"$",_xlfn.CONCAT(CHAR(92),"$")),CHAR(96),_xlfn.CONCAT(CHAR(92),CHAR(96))),CHAR(34),CHAR(39))))</f>
        <v/>
      </c>
      <c r="O984" s="5" t="str">
        <f>IF(OR(TRIM($B984)="",$E984=""),"",IF(OR(ISNUMBER(SEARCH(_xlfn.CONCAT(CHAR(96),CHAR(34)),$E984)),ISNUMBER(SEARCH(_xlfn.CONCAT(CHAR(34),CHAR(39)),$E984))),_xlfn.CONCAT("* REVIEW REQUIRED: compound-quote delimiter in Question Wording on Sheet 1 row ",984,"; edit the input before running."),_xlfn.CONCAT("char ",TRIM($B984),"[doc_question] ",CHAR(96),CHAR(34),SUBSTITUTE(SUBSTITUTE(SUBSTITUTE(SUBSTITUTE(SUBSTITUTE(SUBSTITUTE($E984,CHAR(13)," "),CHAR(10)," "),CHAR(9)," "),CHAR(92),_xlfn.CONCAT(CHAR(92),CHAR(92))),"$",_xlfn.CONCAT(CHAR(92),"$")),CHAR(96),_xlfn.CONCAT(CHAR(92),CHAR(96))),CHAR(34),CHAR(39))))</f>
        <v/>
      </c>
      <c r="P984" s="5" t="str">
        <f>IF(OR(TRIM($B984)="",$F984=""),"",IF(OR(ISNUMBER(SEARCH(_xlfn.CONCAT(CHAR(96),CHAR(34)),$F984)),ISNUMBER(SEARCH(_xlfn.CONCAT(CHAR(34),CHAR(39)),$F984))),_xlfn.CONCAT("* REVIEW REQUIRED: compound-quote delimiter in Units on Sheet 1 row ",984,"; edit the input before running."),_xlfn.CONCAT("char ",TRIM($B984),"[doc_units] ",CHAR(96),CHAR(34),SUBSTITUTE(SUBSTITUTE(SUBSTITUTE(SUBSTITUTE(SUBSTITUTE(SUBSTITUTE($F984,CHAR(13)," "),CHAR(10)," "),CHAR(9)," "),CHAR(92),_xlfn.CONCAT(CHAR(92),CHAR(92))),"$",_xlfn.CONCAT(CHAR(92),"$")),CHAR(96),_xlfn.CONCAT(CHAR(92),CHAR(96))),CHAR(34),CHAR(39))))</f>
        <v/>
      </c>
      <c r="Q984" s="5" t="str">
        <f>IF(OR(TRIM($B984)="",$G984=""),"",IF(OR(ISNUMBER(SEARCH(_xlfn.CONCAT(CHAR(96),CHAR(34)),$G984)),ISNUMBER(SEARCH(_xlfn.CONCAT(CHAR(34),CHAR(39)),$G984))),_xlfn.CONCAT("* REVIEW REQUIRED: compound-quote delimiter in Universe on Sheet 1 row ",984,"; edit the input before running."),_xlfn.CONCAT("char ",TRIM($B984),"[doc_universe] ",CHAR(96),CHAR(34),SUBSTITUTE(SUBSTITUTE(SUBSTITUTE(SUBSTITUTE(SUBSTITUTE(SUBSTITUTE($G984,CHAR(13)," "),CHAR(10)," "),CHAR(9)," "),CHAR(92),_xlfn.CONCAT(CHAR(92),CHAR(92))),"$",_xlfn.CONCAT(CHAR(92),"$")),CHAR(96),_xlfn.CONCAT(CHAR(92),CHAR(96))),CHAR(34),CHAR(39))))</f>
        <v/>
      </c>
      <c r="R984" s="5" t="str">
        <f>IF(OR(TRIM($B984)="",$H984=""),"",IF(OR(ISNUMBER(SEARCH(_xlfn.CONCAT(CHAR(96),CHAR(34)),$H984)),ISNUMBER(SEARCH(_xlfn.CONCAT(CHAR(34),CHAR(39)),$H984))),_xlfn.CONCAT("* REVIEW REQUIRED: compound-quote delimiter in Source on Sheet 1 row ",984,"; edit the input before running."),_xlfn.CONCAT("char ",TRIM($B984),"[doc_source] ",CHAR(96),CHAR(34),SUBSTITUTE(SUBSTITUTE(SUBSTITUTE(SUBSTITUTE(SUBSTITUTE(SUBSTITUTE($H984,CHAR(13)," "),CHAR(10)," "),CHAR(9)," "),CHAR(92),_xlfn.CONCAT(CHAR(92),CHAR(92))),"$",_xlfn.CONCAT(CHAR(92),"$")),CHAR(96),_xlfn.CONCAT(CHAR(92),CHAR(96))),CHAR(34),CHAR(39))))</f>
        <v/>
      </c>
      <c r="S984" s="5" t="str">
        <f>IF(OR(TRIM($B984)="",$I984=""),"",IF(OR(ISNUMBER(SEARCH(_xlfn.CONCAT(CHAR(96),CHAR(34)),$I984)),ISNUMBER(SEARCH(_xlfn.CONCAT(CHAR(34),CHAR(39)),$I984))),_xlfn.CONCAT("* REVIEW REQUIRED: compound-quote delimiter in Derivation on Sheet 1 row ",984,"; edit the input before running."),_xlfn.CONCAT("char ",TRIM($B984),"[doc_derivation] ",CHAR(96),CHAR(34),SUBSTITUTE(SUBSTITUTE(SUBSTITUTE(SUBSTITUTE(SUBSTITUTE(SUBSTITUTE($I984,CHAR(13)," "),CHAR(10)," "),CHAR(9)," "),CHAR(92),_xlfn.CONCAT(CHAR(92),CHAR(92))),"$",_xlfn.CONCAT(CHAR(92),"$")),CHAR(96),_xlfn.CONCAT(CHAR(92),CHAR(96))),CHAR(34),CHAR(39))))</f>
        <v/>
      </c>
      <c r="T984" s="5" t="str">
        <f>IF(OR(TRIM($B984)="",$J984=""),"",IF(OR(ISNUMBER(SEARCH(_xlfn.CONCAT(CHAR(96),CHAR(34)),$J984)),ISNUMBER(SEARCH(_xlfn.CONCAT(CHAR(34),CHAR(39)),$J984))),_xlfn.CONCAT("* REVIEW REQUIRED: compound-quote delimiter in Notes on Sheet 1 row ",984,"; edit the input before running."),_xlfn.CONCAT("char ",TRIM($B984),"[doc_notes] ",CHAR(96),CHAR(34),SUBSTITUTE(SUBSTITUTE(SUBSTITUTE(SUBSTITUTE(SUBSTITUTE(SUBSTITUTE($J984,CHAR(13)," "),CHAR(10)," "),CHAR(9)," "),CHAR(92),_xlfn.CONCAT(CHAR(92),CHAR(92))),"$",_xlfn.CONCAT(CHAR(92),"$")),CHAR(96),_xlfn.CONCAT(CHAR(92),CHAR(96))),CHAR(34),CHAR(39))))</f>
        <v/>
      </c>
      <c r="U984" s="5">
        <f t="shared" si="31"/>
        <v>0</v>
      </c>
    </row>
    <row r="985" spans="3:21" ht="30" customHeight="1" x14ac:dyDescent="0.2">
      <c r="C985" s="4"/>
      <c r="K985" s="5">
        <f t="shared" si="30"/>
        <v>0</v>
      </c>
      <c r="L985" s="5" t="str">
        <f>IF(OR(TRIM($B985)="",$A985=""),"",IF(OR(ISNUMBER(SEARCH(_xlfn.CONCAT(CHAR(96),CHAR(34)),$A985)),ISNUMBER(SEARCH(_xlfn.CONCAT(CHAR(34),CHAR(39)),$A985))),_xlfn.CONCAT("* REVIEW REQUIRED: compound-quote delimiter in Codebook Section on Sheet 1 row ",985,"; edit the input before running."),_xlfn.CONCAT("char ",TRIM($B985),"[doc_section] ",CHAR(96),CHAR(34),SUBSTITUTE(SUBSTITUTE(SUBSTITUTE(SUBSTITUTE(SUBSTITUTE(SUBSTITUTE($A985,CHAR(13)," "),CHAR(10)," "),CHAR(9)," "),CHAR(92),_xlfn.CONCAT(CHAR(92),CHAR(92))),"$",_xlfn.CONCAT(CHAR(92),"$")),CHAR(96),_xlfn.CONCAT(CHAR(92),CHAR(96))),CHAR(34),CHAR(39))))</f>
        <v/>
      </c>
      <c r="M985" s="5" t="str">
        <f>IF(OR(TRIM($B985)="",$C985=""),"",IF(IFERROR(MATCH(TRIM($C985),{"Quantitative","Continuous","Discrete","Categorical","Nominal","Ordinal","Identifier"},0),0)=0,_xlfn.CONCAT("* REVIEW REQUIRED: invalid Variable Type on Sheet 1 row ",985,"."),_xlfn.CONCAT("char ",TRIM($B985),"[doc_vartype] ",CHAR(96),CHAR(34),SUBSTITUTE(SUBSTITUTE(SUBSTITUTE(SUBSTITUTE(SUBSTITUTE(SUBSTITUTE(LOWER(TRIM($C985)),CHAR(13)," "),CHAR(10)," "),CHAR(9)," "),CHAR(92),_xlfn.CONCAT(CHAR(92),CHAR(92))),"$",_xlfn.CONCAT(CHAR(92),"$")),CHAR(96),_xlfn.CONCAT(CHAR(92),CHAR(96))),CHAR(34),CHAR(39))))</f>
        <v/>
      </c>
      <c r="N985" s="5" t="str">
        <f>IF(OR(TRIM($B985)="",$D985=""),"",IF(OR(ISNUMBER(SEARCH(_xlfn.CONCAT(CHAR(96),CHAR(34)),$D985)),ISNUMBER(SEARCH(_xlfn.CONCAT(CHAR(34),CHAR(39)),$D985))),_xlfn.CONCAT("* REVIEW REQUIRED: compound-quote delimiter in Item Number on Sheet 1 row ",985,"; edit the input before running."),_xlfn.CONCAT("char ",TRIM($B985),"[doc_itemnum] ",CHAR(96),CHAR(34),SUBSTITUTE(SUBSTITUTE(SUBSTITUTE(SUBSTITUTE(SUBSTITUTE(SUBSTITUTE($D985,CHAR(13)," "),CHAR(10)," "),CHAR(9)," "),CHAR(92),_xlfn.CONCAT(CHAR(92),CHAR(92))),"$",_xlfn.CONCAT(CHAR(92),"$")),CHAR(96),_xlfn.CONCAT(CHAR(92),CHAR(96))),CHAR(34),CHAR(39))))</f>
        <v/>
      </c>
      <c r="O985" s="5" t="str">
        <f>IF(OR(TRIM($B985)="",$E985=""),"",IF(OR(ISNUMBER(SEARCH(_xlfn.CONCAT(CHAR(96),CHAR(34)),$E985)),ISNUMBER(SEARCH(_xlfn.CONCAT(CHAR(34),CHAR(39)),$E985))),_xlfn.CONCAT("* REVIEW REQUIRED: compound-quote delimiter in Question Wording on Sheet 1 row ",985,"; edit the input before running."),_xlfn.CONCAT("char ",TRIM($B985),"[doc_question] ",CHAR(96),CHAR(34),SUBSTITUTE(SUBSTITUTE(SUBSTITUTE(SUBSTITUTE(SUBSTITUTE(SUBSTITUTE($E985,CHAR(13)," "),CHAR(10)," "),CHAR(9)," "),CHAR(92),_xlfn.CONCAT(CHAR(92),CHAR(92))),"$",_xlfn.CONCAT(CHAR(92),"$")),CHAR(96),_xlfn.CONCAT(CHAR(92),CHAR(96))),CHAR(34),CHAR(39))))</f>
        <v/>
      </c>
      <c r="P985" s="5" t="str">
        <f>IF(OR(TRIM($B985)="",$F985=""),"",IF(OR(ISNUMBER(SEARCH(_xlfn.CONCAT(CHAR(96),CHAR(34)),$F985)),ISNUMBER(SEARCH(_xlfn.CONCAT(CHAR(34),CHAR(39)),$F985))),_xlfn.CONCAT("* REVIEW REQUIRED: compound-quote delimiter in Units on Sheet 1 row ",985,"; edit the input before running."),_xlfn.CONCAT("char ",TRIM($B985),"[doc_units] ",CHAR(96),CHAR(34),SUBSTITUTE(SUBSTITUTE(SUBSTITUTE(SUBSTITUTE(SUBSTITUTE(SUBSTITUTE($F985,CHAR(13)," "),CHAR(10)," "),CHAR(9)," "),CHAR(92),_xlfn.CONCAT(CHAR(92),CHAR(92))),"$",_xlfn.CONCAT(CHAR(92),"$")),CHAR(96),_xlfn.CONCAT(CHAR(92),CHAR(96))),CHAR(34),CHAR(39))))</f>
        <v/>
      </c>
      <c r="Q985" s="5" t="str">
        <f>IF(OR(TRIM($B985)="",$G985=""),"",IF(OR(ISNUMBER(SEARCH(_xlfn.CONCAT(CHAR(96),CHAR(34)),$G985)),ISNUMBER(SEARCH(_xlfn.CONCAT(CHAR(34),CHAR(39)),$G985))),_xlfn.CONCAT("* REVIEW REQUIRED: compound-quote delimiter in Universe on Sheet 1 row ",985,"; edit the input before running."),_xlfn.CONCAT("char ",TRIM($B985),"[doc_universe] ",CHAR(96),CHAR(34),SUBSTITUTE(SUBSTITUTE(SUBSTITUTE(SUBSTITUTE(SUBSTITUTE(SUBSTITUTE($G985,CHAR(13)," "),CHAR(10)," "),CHAR(9)," "),CHAR(92),_xlfn.CONCAT(CHAR(92),CHAR(92))),"$",_xlfn.CONCAT(CHAR(92),"$")),CHAR(96),_xlfn.CONCAT(CHAR(92),CHAR(96))),CHAR(34),CHAR(39))))</f>
        <v/>
      </c>
      <c r="R985" s="5" t="str">
        <f>IF(OR(TRIM($B985)="",$H985=""),"",IF(OR(ISNUMBER(SEARCH(_xlfn.CONCAT(CHAR(96),CHAR(34)),$H985)),ISNUMBER(SEARCH(_xlfn.CONCAT(CHAR(34),CHAR(39)),$H985))),_xlfn.CONCAT("* REVIEW REQUIRED: compound-quote delimiter in Source on Sheet 1 row ",985,"; edit the input before running."),_xlfn.CONCAT("char ",TRIM($B985),"[doc_source] ",CHAR(96),CHAR(34),SUBSTITUTE(SUBSTITUTE(SUBSTITUTE(SUBSTITUTE(SUBSTITUTE(SUBSTITUTE($H985,CHAR(13)," "),CHAR(10)," "),CHAR(9)," "),CHAR(92),_xlfn.CONCAT(CHAR(92),CHAR(92))),"$",_xlfn.CONCAT(CHAR(92),"$")),CHAR(96),_xlfn.CONCAT(CHAR(92),CHAR(96))),CHAR(34),CHAR(39))))</f>
        <v/>
      </c>
      <c r="S985" s="5" t="str">
        <f>IF(OR(TRIM($B985)="",$I985=""),"",IF(OR(ISNUMBER(SEARCH(_xlfn.CONCAT(CHAR(96),CHAR(34)),$I985)),ISNUMBER(SEARCH(_xlfn.CONCAT(CHAR(34),CHAR(39)),$I985))),_xlfn.CONCAT("* REVIEW REQUIRED: compound-quote delimiter in Derivation on Sheet 1 row ",985,"; edit the input before running."),_xlfn.CONCAT("char ",TRIM($B985),"[doc_derivation] ",CHAR(96),CHAR(34),SUBSTITUTE(SUBSTITUTE(SUBSTITUTE(SUBSTITUTE(SUBSTITUTE(SUBSTITUTE($I985,CHAR(13)," "),CHAR(10)," "),CHAR(9)," "),CHAR(92),_xlfn.CONCAT(CHAR(92),CHAR(92))),"$",_xlfn.CONCAT(CHAR(92),"$")),CHAR(96),_xlfn.CONCAT(CHAR(92),CHAR(96))),CHAR(34),CHAR(39))))</f>
        <v/>
      </c>
      <c r="T985" s="5" t="str">
        <f>IF(OR(TRIM($B985)="",$J985=""),"",IF(OR(ISNUMBER(SEARCH(_xlfn.CONCAT(CHAR(96),CHAR(34)),$J985)),ISNUMBER(SEARCH(_xlfn.CONCAT(CHAR(34),CHAR(39)),$J985))),_xlfn.CONCAT("* REVIEW REQUIRED: compound-quote delimiter in Notes on Sheet 1 row ",985,"; edit the input before running."),_xlfn.CONCAT("char ",TRIM($B985),"[doc_notes] ",CHAR(96),CHAR(34),SUBSTITUTE(SUBSTITUTE(SUBSTITUTE(SUBSTITUTE(SUBSTITUTE(SUBSTITUTE($J985,CHAR(13)," "),CHAR(10)," "),CHAR(9)," "),CHAR(92),_xlfn.CONCAT(CHAR(92),CHAR(92))),"$",_xlfn.CONCAT(CHAR(92),"$")),CHAR(96),_xlfn.CONCAT(CHAR(92),CHAR(96))),CHAR(34),CHAR(39))))</f>
        <v/>
      </c>
      <c r="U985" s="5">
        <f t="shared" si="31"/>
        <v>0</v>
      </c>
    </row>
    <row r="986" spans="3:21" ht="30" customHeight="1" x14ac:dyDescent="0.2">
      <c r="C986" s="4"/>
      <c r="K986" s="5">
        <f t="shared" si="30"/>
        <v>0</v>
      </c>
      <c r="L986" s="5" t="str">
        <f>IF(OR(TRIM($B986)="",$A986=""),"",IF(OR(ISNUMBER(SEARCH(_xlfn.CONCAT(CHAR(96),CHAR(34)),$A986)),ISNUMBER(SEARCH(_xlfn.CONCAT(CHAR(34),CHAR(39)),$A986))),_xlfn.CONCAT("* REVIEW REQUIRED: compound-quote delimiter in Codebook Section on Sheet 1 row ",986,"; edit the input before running."),_xlfn.CONCAT("char ",TRIM($B986),"[doc_section] ",CHAR(96),CHAR(34),SUBSTITUTE(SUBSTITUTE(SUBSTITUTE(SUBSTITUTE(SUBSTITUTE(SUBSTITUTE($A986,CHAR(13)," "),CHAR(10)," "),CHAR(9)," "),CHAR(92),_xlfn.CONCAT(CHAR(92),CHAR(92))),"$",_xlfn.CONCAT(CHAR(92),"$")),CHAR(96),_xlfn.CONCAT(CHAR(92),CHAR(96))),CHAR(34),CHAR(39))))</f>
        <v/>
      </c>
      <c r="M986" s="5" t="str">
        <f>IF(OR(TRIM($B986)="",$C986=""),"",IF(IFERROR(MATCH(TRIM($C986),{"Quantitative","Continuous","Discrete","Categorical","Nominal","Ordinal","Identifier"},0),0)=0,_xlfn.CONCAT("* REVIEW REQUIRED: invalid Variable Type on Sheet 1 row ",986,"."),_xlfn.CONCAT("char ",TRIM($B986),"[doc_vartype] ",CHAR(96),CHAR(34),SUBSTITUTE(SUBSTITUTE(SUBSTITUTE(SUBSTITUTE(SUBSTITUTE(SUBSTITUTE(LOWER(TRIM($C986)),CHAR(13)," "),CHAR(10)," "),CHAR(9)," "),CHAR(92),_xlfn.CONCAT(CHAR(92),CHAR(92))),"$",_xlfn.CONCAT(CHAR(92),"$")),CHAR(96),_xlfn.CONCAT(CHAR(92),CHAR(96))),CHAR(34),CHAR(39))))</f>
        <v/>
      </c>
      <c r="N986" s="5" t="str">
        <f>IF(OR(TRIM($B986)="",$D986=""),"",IF(OR(ISNUMBER(SEARCH(_xlfn.CONCAT(CHAR(96),CHAR(34)),$D986)),ISNUMBER(SEARCH(_xlfn.CONCAT(CHAR(34),CHAR(39)),$D986))),_xlfn.CONCAT("* REVIEW REQUIRED: compound-quote delimiter in Item Number on Sheet 1 row ",986,"; edit the input before running."),_xlfn.CONCAT("char ",TRIM($B986),"[doc_itemnum] ",CHAR(96),CHAR(34),SUBSTITUTE(SUBSTITUTE(SUBSTITUTE(SUBSTITUTE(SUBSTITUTE(SUBSTITUTE($D986,CHAR(13)," "),CHAR(10)," "),CHAR(9)," "),CHAR(92),_xlfn.CONCAT(CHAR(92),CHAR(92))),"$",_xlfn.CONCAT(CHAR(92),"$")),CHAR(96),_xlfn.CONCAT(CHAR(92),CHAR(96))),CHAR(34),CHAR(39))))</f>
        <v/>
      </c>
      <c r="O986" s="5" t="str">
        <f>IF(OR(TRIM($B986)="",$E986=""),"",IF(OR(ISNUMBER(SEARCH(_xlfn.CONCAT(CHAR(96),CHAR(34)),$E986)),ISNUMBER(SEARCH(_xlfn.CONCAT(CHAR(34),CHAR(39)),$E986))),_xlfn.CONCAT("* REVIEW REQUIRED: compound-quote delimiter in Question Wording on Sheet 1 row ",986,"; edit the input before running."),_xlfn.CONCAT("char ",TRIM($B986),"[doc_question] ",CHAR(96),CHAR(34),SUBSTITUTE(SUBSTITUTE(SUBSTITUTE(SUBSTITUTE(SUBSTITUTE(SUBSTITUTE($E986,CHAR(13)," "),CHAR(10)," "),CHAR(9)," "),CHAR(92),_xlfn.CONCAT(CHAR(92),CHAR(92))),"$",_xlfn.CONCAT(CHAR(92),"$")),CHAR(96),_xlfn.CONCAT(CHAR(92),CHAR(96))),CHAR(34),CHAR(39))))</f>
        <v/>
      </c>
      <c r="P986" s="5" t="str">
        <f>IF(OR(TRIM($B986)="",$F986=""),"",IF(OR(ISNUMBER(SEARCH(_xlfn.CONCAT(CHAR(96),CHAR(34)),$F986)),ISNUMBER(SEARCH(_xlfn.CONCAT(CHAR(34),CHAR(39)),$F986))),_xlfn.CONCAT("* REVIEW REQUIRED: compound-quote delimiter in Units on Sheet 1 row ",986,"; edit the input before running."),_xlfn.CONCAT("char ",TRIM($B986),"[doc_units] ",CHAR(96),CHAR(34),SUBSTITUTE(SUBSTITUTE(SUBSTITUTE(SUBSTITUTE(SUBSTITUTE(SUBSTITUTE($F986,CHAR(13)," "),CHAR(10)," "),CHAR(9)," "),CHAR(92),_xlfn.CONCAT(CHAR(92),CHAR(92))),"$",_xlfn.CONCAT(CHAR(92),"$")),CHAR(96),_xlfn.CONCAT(CHAR(92),CHAR(96))),CHAR(34),CHAR(39))))</f>
        <v/>
      </c>
      <c r="Q986" s="5" t="str">
        <f>IF(OR(TRIM($B986)="",$G986=""),"",IF(OR(ISNUMBER(SEARCH(_xlfn.CONCAT(CHAR(96),CHAR(34)),$G986)),ISNUMBER(SEARCH(_xlfn.CONCAT(CHAR(34),CHAR(39)),$G986))),_xlfn.CONCAT("* REVIEW REQUIRED: compound-quote delimiter in Universe on Sheet 1 row ",986,"; edit the input before running."),_xlfn.CONCAT("char ",TRIM($B986),"[doc_universe] ",CHAR(96),CHAR(34),SUBSTITUTE(SUBSTITUTE(SUBSTITUTE(SUBSTITUTE(SUBSTITUTE(SUBSTITUTE($G986,CHAR(13)," "),CHAR(10)," "),CHAR(9)," "),CHAR(92),_xlfn.CONCAT(CHAR(92),CHAR(92))),"$",_xlfn.CONCAT(CHAR(92),"$")),CHAR(96),_xlfn.CONCAT(CHAR(92),CHAR(96))),CHAR(34),CHAR(39))))</f>
        <v/>
      </c>
      <c r="R986" s="5" t="str">
        <f>IF(OR(TRIM($B986)="",$H986=""),"",IF(OR(ISNUMBER(SEARCH(_xlfn.CONCAT(CHAR(96),CHAR(34)),$H986)),ISNUMBER(SEARCH(_xlfn.CONCAT(CHAR(34),CHAR(39)),$H986))),_xlfn.CONCAT("* REVIEW REQUIRED: compound-quote delimiter in Source on Sheet 1 row ",986,"; edit the input before running."),_xlfn.CONCAT("char ",TRIM($B986),"[doc_source] ",CHAR(96),CHAR(34),SUBSTITUTE(SUBSTITUTE(SUBSTITUTE(SUBSTITUTE(SUBSTITUTE(SUBSTITUTE($H986,CHAR(13)," "),CHAR(10)," "),CHAR(9)," "),CHAR(92),_xlfn.CONCAT(CHAR(92),CHAR(92))),"$",_xlfn.CONCAT(CHAR(92),"$")),CHAR(96),_xlfn.CONCAT(CHAR(92),CHAR(96))),CHAR(34),CHAR(39))))</f>
        <v/>
      </c>
      <c r="S986" s="5" t="str">
        <f>IF(OR(TRIM($B986)="",$I986=""),"",IF(OR(ISNUMBER(SEARCH(_xlfn.CONCAT(CHAR(96),CHAR(34)),$I986)),ISNUMBER(SEARCH(_xlfn.CONCAT(CHAR(34),CHAR(39)),$I986))),_xlfn.CONCAT("* REVIEW REQUIRED: compound-quote delimiter in Derivation on Sheet 1 row ",986,"; edit the input before running."),_xlfn.CONCAT("char ",TRIM($B986),"[doc_derivation] ",CHAR(96),CHAR(34),SUBSTITUTE(SUBSTITUTE(SUBSTITUTE(SUBSTITUTE(SUBSTITUTE(SUBSTITUTE($I986,CHAR(13)," "),CHAR(10)," "),CHAR(9)," "),CHAR(92),_xlfn.CONCAT(CHAR(92),CHAR(92))),"$",_xlfn.CONCAT(CHAR(92),"$")),CHAR(96),_xlfn.CONCAT(CHAR(92),CHAR(96))),CHAR(34),CHAR(39))))</f>
        <v/>
      </c>
      <c r="T986" s="5" t="str">
        <f>IF(OR(TRIM($B986)="",$J986=""),"",IF(OR(ISNUMBER(SEARCH(_xlfn.CONCAT(CHAR(96),CHAR(34)),$J986)),ISNUMBER(SEARCH(_xlfn.CONCAT(CHAR(34),CHAR(39)),$J986))),_xlfn.CONCAT("* REVIEW REQUIRED: compound-quote delimiter in Notes on Sheet 1 row ",986,"; edit the input before running."),_xlfn.CONCAT("char ",TRIM($B986),"[doc_notes] ",CHAR(96),CHAR(34),SUBSTITUTE(SUBSTITUTE(SUBSTITUTE(SUBSTITUTE(SUBSTITUTE(SUBSTITUTE($J986,CHAR(13)," "),CHAR(10)," "),CHAR(9)," "),CHAR(92),_xlfn.CONCAT(CHAR(92),CHAR(92))),"$",_xlfn.CONCAT(CHAR(92),"$")),CHAR(96),_xlfn.CONCAT(CHAR(92),CHAR(96))),CHAR(34),CHAR(39))))</f>
        <v/>
      </c>
      <c r="U986" s="5">
        <f t="shared" si="31"/>
        <v>0</v>
      </c>
    </row>
    <row r="987" spans="3:21" ht="30" customHeight="1" x14ac:dyDescent="0.2">
      <c r="C987" s="4"/>
      <c r="K987" s="5">
        <f t="shared" si="30"/>
        <v>0</v>
      </c>
      <c r="L987" s="5" t="str">
        <f>IF(OR(TRIM($B987)="",$A987=""),"",IF(OR(ISNUMBER(SEARCH(_xlfn.CONCAT(CHAR(96),CHAR(34)),$A987)),ISNUMBER(SEARCH(_xlfn.CONCAT(CHAR(34),CHAR(39)),$A987))),_xlfn.CONCAT("* REVIEW REQUIRED: compound-quote delimiter in Codebook Section on Sheet 1 row ",987,"; edit the input before running."),_xlfn.CONCAT("char ",TRIM($B987),"[doc_section] ",CHAR(96),CHAR(34),SUBSTITUTE(SUBSTITUTE(SUBSTITUTE(SUBSTITUTE(SUBSTITUTE(SUBSTITUTE($A987,CHAR(13)," "),CHAR(10)," "),CHAR(9)," "),CHAR(92),_xlfn.CONCAT(CHAR(92),CHAR(92))),"$",_xlfn.CONCAT(CHAR(92),"$")),CHAR(96),_xlfn.CONCAT(CHAR(92),CHAR(96))),CHAR(34),CHAR(39))))</f>
        <v/>
      </c>
      <c r="M987" s="5" t="str">
        <f>IF(OR(TRIM($B987)="",$C987=""),"",IF(IFERROR(MATCH(TRIM($C987),{"Quantitative","Continuous","Discrete","Categorical","Nominal","Ordinal","Identifier"},0),0)=0,_xlfn.CONCAT("* REVIEW REQUIRED: invalid Variable Type on Sheet 1 row ",987,"."),_xlfn.CONCAT("char ",TRIM($B987),"[doc_vartype] ",CHAR(96),CHAR(34),SUBSTITUTE(SUBSTITUTE(SUBSTITUTE(SUBSTITUTE(SUBSTITUTE(SUBSTITUTE(LOWER(TRIM($C987)),CHAR(13)," "),CHAR(10)," "),CHAR(9)," "),CHAR(92),_xlfn.CONCAT(CHAR(92),CHAR(92))),"$",_xlfn.CONCAT(CHAR(92),"$")),CHAR(96),_xlfn.CONCAT(CHAR(92),CHAR(96))),CHAR(34),CHAR(39))))</f>
        <v/>
      </c>
      <c r="N987" s="5" t="str">
        <f>IF(OR(TRIM($B987)="",$D987=""),"",IF(OR(ISNUMBER(SEARCH(_xlfn.CONCAT(CHAR(96),CHAR(34)),$D987)),ISNUMBER(SEARCH(_xlfn.CONCAT(CHAR(34),CHAR(39)),$D987))),_xlfn.CONCAT("* REVIEW REQUIRED: compound-quote delimiter in Item Number on Sheet 1 row ",987,"; edit the input before running."),_xlfn.CONCAT("char ",TRIM($B987),"[doc_itemnum] ",CHAR(96),CHAR(34),SUBSTITUTE(SUBSTITUTE(SUBSTITUTE(SUBSTITUTE(SUBSTITUTE(SUBSTITUTE($D987,CHAR(13)," "),CHAR(10)," "),CHAR(9)," "),CHAR(92),_xlfn.CONCAT(CHAR(92),CHAR(92))),"$",_xlfn.CONCAT(CHAR(92),"$")),CHAR(96),_xlfn.CONCAT(CHAR(92),CHAR(96))),CHAR(34),CHAR(39))))</f>
        <v/>
      </c>
      <c r="O987" s="5" t="str">
        <f>IF(OR(TRIM($B987)="",$E987=""),"",IF(OR(ISNUMBER(SEARCH(_xlfn.CONCAT(CHAR(96),CHAR(34)),$E987)),ISNUMBER(SEARCH(_xlfn.CONCAT(CHAR(34),CHAR(39)),$E987))),_xlfn.CONCAT("* REVIEW REQUIRED: compound-quote delimiter in Question Wording on Sheet 1 row ",987,"; edit the input before running."),_xlfn.CONCAT("char ",TRIM($B987),"[doc_question] ",CHAR(96),CHAR(34),SUBSTITUTE(SUBSTITUTE(SUBSTITUTE(SUBSTITUTE(SUBSTITUTE(SUBSTITUTE($E987,CHAR(13)," "),CHAR(10)," "),CHAR(9)," "),CHAR(92),_xlfn.CONCAT(CHAR(92),CHAR(92))),"$",_xlfn.CONCAT(CHAR(92),"$")),CHAR(96),_xlfn.CONCAT(CHAR(92),CHAR(96))),CHAR(34),CHAR(39))))</f>
        <v/>
      </c>
      <c r="P987" s="5" t="str">
        <f>IF(OR(TRIM($B987)="",$F987=""),"",IF(OR(ISNUMBER(SEARCH(_xlfn.CONCAT(CHAR(96),CHAR(34)),$F987)),ISNUMBER(SEARCH(_xlfn.CONCAT(CHAR(34),CHAR(39)),$F987))),_xlfn.CONCAT("* REVIEW REQUIRED: compound-quote delimiter in Units on Sheet 1 row ",987,"; edit the input before running."),_xlfn.CONCAT("char ",TRIM($B987),"[doc_units] ",CHAR(96),CHAR(34),SUBSTITUTE(SUBSTITUTE(SUBSTITUTE(SUBSTITUTE(SUBSTITUTE(SUBSTITUTE($F987,CHAR(13)," "),CHAR(10)," "),CHAR(9)," "),CHAR(92),_xlfn.CONCAT(CHAR(92),CHAR(92))),"$",_xlfn.CONCAT(CHAR(92),"$")),CHAR(96),_xlfn.CONCAT(CHAR(92),CHAR(96))),CHAR(34),CHAR(39))))</f>
        <v/>
      </c>
      <c r="Q987" s="5" t="str">
        <f>IF(OR(TRIM($B987)="",$G987=""),"",IF(OR(ISNUMBER(SEARCH(_xlfn.CONCAT(CHAR(96),CHAR(34)),$G987)),ISNUMBER(SEARCH(_xlfn.CONCAT(CHAR(34),CHAR(39)),$G987))),_xlfn.CONCAT("* REVIEW REQUIRED: compound-quote delimiter in Universe on Sheet 1 row ",987,"; edit the input before running."),_xlfn.CONCAT("char ",TRIM($B987),"[doc_universe] ",CHAR(96),CHAR(34),SUBSTITUTE(SUBSTITUTE(SUBSTITUTE(SUBSTITUTE(SUBSTITUTE(SUBSTITUTE($G987,CHAR(13)," "),CHAR(10)," "),CHAR(9)," "),CHAR(92),_xlfn.CONCAT(CHAR(92),CHAR(92))),"$",_xlfn.CONCAT(CHAR(92),"$")),CHAR(96),_xlfn.CONCAT(CHAR(92),CHAR(96))),CHAR(34),CHAR(39))))</f>
        <v/>
      </c>
      <c r="R987" s="5" t="str">
        <f>IF(OR(TRIM($B987)="",$H987=""),"",IF(OR(ISNUMBER(SEARCH(_xlfn.CONCAT(CHAR(96),CHAR(34)),$H987)),ISNUMBER(SEARCH(_xlfn.CONCAT(CHAR(34),CHAR(39)),$H987))),_xlfn.CONCAT("* REVIEW REQUIRED: compound-quote delimiter in Source on Sheet 1 row ",987,"; edit the input before running."),_xlfn.CONCAT("char ",TRIM($B987),"[doc_source] ",CHAR(96),CHAR(34),SUBSTITUTE(SUBSTITUTE(SUBSTITUTE(SUBSTITUTE(SUBSTITUTE(SUBSTITUTE($H987,CHAR(13)," "),CHAR(10)," "),CHAR(9)," "),CHAR(92),_xlfn.CONCAT(CHAR(92),CHAR(92))),"$",_xlfn.CONCAT(CHAR(92),"$")),CHAR(96),_xlfn.CONCAT(CHAR(92),CHAR(96))),CHAR(34),CHAR(39))))</f>
        <v/>
      </c>
      <c r="S987" s="5" t="str">
        <f>IF(OR(TRIM($B987)="",$I987=""),"",IF(OR(ISNUMBER(SEARCH(_xlfn.CONCAT(CHAR(96),CHAR(34)),$I987)),ISNUMBER(SEARCH(_xlfn.CONCAT(CHAR(34),CHAR(39)),$I987))),_xlfn.CONCAT("* REVIEW REQUIRED: compound-quote delimiter in Derivation on Sheet 1 row ",987,"; edit the input before running."),_xlfn.CONCAT("char ",TRIM($B987),"[doc_derivation] ",CHAR(96),CHAR(34),SUBSTITUTE(SUBSTITUTE(SUBSTITUTE(SUBSTITUTE(SUBSTITUTE(SUBSTITUTE($I987,CHAR(13)," "),CHAR(10)," "),CHAR(9)," "),CHAR(92),_xlfn.CONCAT(CHAR(92),CHAR(92))),"$",_xlfn.CONCAT(CHAR(92),"$")),CHAR(96),_xlfn.CONCAT(CHAR(92),CHAR(96))),CHAR(34),CHAR(39))))</f>
        <v/>
      </c>
      <c r="T987" s="5" t="str">
        <f>IF(OR(TRIM($B987)="",$J987=""),"",IF(OR(ISNUMBER(SEARCH(_xlfn.CONCAT(CHAR(96),CHAR(34)),$J987)),ISNUMBER(SEARCH(_xlfn.CONCAT(CHAR(34),CHAR(39)),$J987))),_xlfn.CONCAT("* REVIEW REQUIRED: compound-quote delimiter in Notes on Sheet 1 row ",987,"; edit the input before running."),_xlfn.CONCAT("char ",TRIM($B987),"[doc_notes] ",CHAR(96),CHAR(34),SUBSTITUTE(SUBSTITUTE(SUBSTITUTE(SUBSTITUTE(SUBSTITUTE(SUBSTITUTE($J987,CHAR(13)," "),CHAR(10)," "),CHAR(9)," "),CHAR(92),_xlfn.CONCAT(CHAR(92),CHAR(92))),"$",_xlfn.CONCAT(CHAR(92),"$")),CHAR(96),_xlfn.CONCAT(CHAR(92),CHAR(96))),CHAR(34),CHAR(39))))</f>
        <v/>
      </c>
      <c r="U987" s="5">
        <f t="shared" si="31"/>
        <v>0</v>
      </c>
    </row>
    <row r="988" spans="3:21" ht="30" customHeight="1" x14ac:dyDescent="0.2">
      <c r="C988" s="4"/>
      <c r="K988" s="5">
        <f t="shared" si="30"/>
        <v>0</v>
      </c>
      <c r="L988" s="5" t="str">
        <f>IF(OR(TRIM($B988)="",$A988=""),"",IF(OR(ISNUMBER(SEARCH(_xlfn.CONCAT(CHAR(96),CHAR(34)),$A988)),ISNUMBER(SEARCH(_xlfn.CONCAT(CHAR(34),CHAR(39)),$A988))),_xlfn.CONCAT("* REVIEW REQUIRED: compound-quote delimiter in Codebook Section on Sheet 1 row ",988,"; edit the input before running."),_xlfn.CONCAT("char ",TRIM($B988),"[doc_section] ",CHAR(96),CHAR(34),SUBSTITUTE(SUBSTITUTE(SUBSTITUTE(SUBSTITUTE(SUBSTITUTE(SUBSTITUTE($A988,CHAR(13)," "),CHAR(10)," "),CHAR(9)," "),CHAR(92),_xlfn.CONCAT(CHAR(92),CHAR(92))),"$",_xlfn.CONCAT(CHAR(92),"$")),CHAR(96),_xlfn.CONCAT(CHAR(92),CHAR(96))),CHAR(34),CHAR(39))))</f>
        <v/>
      </c>
      <c r="M988" s="5" t="str">
        <f>IF(OR(TRIM($B988)="",$C988=""),"",IF(IFERROR(MATCH(TRIM($C988),{"Quantitative","Continuous","Discrete","Categorical","Nominal","Ordinal","Identifier"},0),0)=0,_xlfn.CONCAT("* REVIEW REQUIRED: invalid Variable Type on Sheet 1 row ",988,"."),_xlfn.CONCAT("char ",TRIM($B988),"[doc_vartype] ",CHAR(96),CHAR(34),SUBSTITUTE(SUBSTITUTE(SUBSTITUTE(SUBSTITUTE(SUBSTITUTE(SUBSTITUTE(LOWER(TRIM($C988)),CHAR(13)," "),CHAR(10)," "),CHAR(9)," "),CHAR(92),_xlfn.CONCAT(CHAR(92),CHAR(92))),"$",_xlfn.CONCAT(CHAR(92),"$")),CHAR(96),_xlfn.CONCAT(CHAR(92),CHAR(96))),CHAR(34),CHAR(39))))</f>
        <v/>
      </c>
      <c r="N988" s="5" t="str">
        <f>IF(OR(TRIM($B988)="",$D988=""),"",IF(OR(ISNUMBER(SEARCH(_xlfn.CONCAT(CHAR(96),CHAR(34)),$D988)),ISNUMBER(SEARCH(_xlfn.CONCAT(CHAR(34),CHAR(39)),$D988))),_xlfn.CONCAT("* REVIEW REQUIRED: compound-quote delimiter in Item Number on Sheet 1 row ",988,"; edit the input before running."),_xlfn.CONCAT("char ",TRIM($B988),"[doc_itemnum] ",CHAR(96),CHAR(34),SUBSTITUTE(SUBSTITUTE(SUBSTITUTE(SUBSTITUTE(SUBSTITUTE(SUBSTITUTE($D988,CHAR(13)," "),CHAR(10)," "),CHAR(9)," "),CHAR(92),_xlfn.CONCAT(CHAR(92),CHAR(92))),"$",_xlfn.CONCAT(CHAR(92),"$")),CHAR(96),_xlfn.CONCAT(CHAR(92),CHAR(96))),CHAR(34),CHAR(39))))</f>
        <v/>
      </c>
      <c r="O988" s="5" t="str">
        <f>IF(OR(TRIM($B988)="",$E988=""),"",IF(OR(ISNUMBER(SEARCH(_xlfn.CONCAT(CHAR(96),CHAR(34)),$E988)),ISNUMBER(SEARCH(_xlfn.CONCAT(CHAR(34),CHAR(39)),$E988))),_xlfn.CONCAT("* REVIEW REQUIRED: compound-quote delimiter in Question Wording on Sheet 1 row ",988,"; edit the input before running."),_xlfn.CONCAT("char ",TRIM($B988),"[doc_question] ",CHAR(96),CHAR(34),SUBSTITUTE(SUBSTITUTE(SUBSTITUTE(SUBSTITUTE(SUBSTITUTE(SUBSTITUTE($E988,CHAR(13)," "),CHAR(10)," "),CHAR(9)," "),CHAR(92),_xlfn.CONCAT(CHAR(92),CHAR(92))),"$",_xlfn.CONCAT(CHAR(92),"$")),CHAR(96),_xlfn.CONCAT(CHAR(92),CHAR(96))),CHAR(34),CHAR(39))))</f>
        <v/>
      </c>
      <c r="P988" s="5" t="str">
        <f>IF(OR(TRIM($B988)="",$F988=""),"",IF(OR(ISNUMBER(SEARCH(_xlfn.CONCAT(CHAR(96),CHAR(34)),$F988)),ISNUMBER(SEARCH(_xlfn.CONCAT(CHAR(34),CHAR(39)),$F988))),_xlfn.CONCAT("* REVIEW REQUIRED: compound-quote delimiter in Units on Sheet 1 row ",988,"; edit the input before running."),_xlfn.CONCAT("char ",TRIM($B988),"[doc_units] ",CHAR(96),CHAR(34),SUBSTITUTE(SUBSTITUTE(SUBSTITUTE(SUBSTITUTE(SUBSTITUTE(SUBSTITUTE($F988,CHAR(13)," "),CHAR(10)," "),CHAR(9)," "),CHAR(92),_xlfn.CONCAT(CHAR(92),CHAR(92))),"$",_xlfn.CONCAT(CHAR(92),"$")),CHAR(96),_xlfn.CONCAT(CHAR(92),CHAR(96))),CHAR(34),CHAR(39))))</f>
        <v/>
      </c>
      <c r="Q988" s="5" t="str">
        <f>IF(OR(TRIM($B988)="",$G988=""),"",IF(OR(ISNUMBER(SEARCH(_xlfn.CONCAT(CHAR(96),CHAR(34)),$G988)),ISNUMBER(SEARCH(_xlfn.CONCAT(CHAR(34),CHAR(39)),$G988))),_xlfn.CONCAT("* REVIEW REQUIRED: compound-quote delimiter in Universe on Sheet 1 row ",988,"; edit the input before running."),_xlfn.CONCAT("char ",TRIM($B988),"[doc_universe] ",CHAR(96),CHAR(34),SUBSTITUTE(SUBSTITUTE(SUBSTITUTE(SUBSTITUTE(SUBSTITUTE(SUBSTITUTE($G988,CHAR(13)," "),CHAR(10)," "),CHAR(9)," "),CHAR(92),_xlfn.CONCAT(CHAR(92),CHAR(92))),"$",_xlfn.CONCAT(CHAR(92),"$")),CHAR(96),_xlfn.CONCAT(CHAR(92),CHAR(96))),CHAR(34),CHAR(39))))</f>
        <v/>
      </c>
      <c r="R988" s="5" t="str">
        <f>IF(OR(TRIM($B988)="",$H988=""),"",IF(OR(ISNUMBER(SEARCH(_xlfn.CONCAT(CHAR(96),CHAR(34)),$H988)),ISNUMBER(SEARCH(_xlfn.CONCAT(CHAR(34),CHAR(39)),$H988))),_xlfn.CONCAT("* REVIEW REQUIRED: compound-quote delimiter in Source on Sheet 1 row ",988,"; edit the input before running."),_xlfn.CONCAT("char ",TRIM($B988),"[doc_source] ",CHAR(96),CHAR(34),SUBSTITUTE(SUBSTITUTE(SUBSTITUTE(SUBSTITUTE(SUBSTITUTE(SUBSTITUTE($H988,CHAR(13)," "),CHAR(10)," "),CHAR(9)," "),CHAR(92),_xlfn.CONCAT(CHAR(92),CHAR(92))),"$",_xlfn.CONCAT(CHAR(92),"$")),CHAR(96),_xlfn.CONCAT(CHAR(92),CHAR(96))),CHAR(34),CHAR(39))))</f>
        <v/>
      </c>
      <c r="S988" s="5" t="str">
        <f>IF(OR(TRIM($B988)="",$I988=""),"",IF(OR(ISNUMBER(SEARCH(_xlfn.CONCAT(CHAR(96),CHAR(34)),$I988)),ISNUMBER(SEARCH(_xlfn.CONCAT(CHAR(34),CHAR(39)),$I988))),_xlfn.CONCAT("* REVIEW REQUIRED: compound-quote delimiter in Derivation on Sheet 1 row ",988,"; edit the input before running."),_xlfn.CONCAT("char ",TRIM($B988),"[doc_derivation] ",CHAR(96),CHAR(34),SUBSTITUTE(SUBSTITUTE(SUBSTITUTE(SUBSTITUTE(SUBSTITUTE(SUBSTITUTE($I988,CHAR(13)," "),CHAR(10)," "),CHAR(9)," "),CHAR(92),_xlfn.CONCAT(CHAR(92),CHAR(92))),"$",_xlfn.CONCAT(CHAR(92),"$")),CHAR(96),_xlfn.CONCAT(CHAR(92),CHAR(96))),CHAR(34),CHAR(39))))</f>
        <v/>
      </c>
      <c r="T988" s="5" t="str">
        <f>IF(OR(TRIM($B988)="",$J988=""),"",IF(OR(ISNUMBER(SEARCH(_xlfn.CONCAT(CHAR(96),CHAR(34)),$J988)),ISNUMBER(SEARCH(_xlfn.CONCAT(CHAR(34),CHAR(39)),$J988))),_xlfn.CONCAT("* REVIEW REQUIRED: compound-quote delimiter in Notes on Sheet 1 row ",988,"; edit the input before running."),_xlfn.CONCAT("char ",TRIM($B988),"[doc_notes] ",CHAR(96),CHAR(34),SUBSTITUTE(SUBSTITUTE(SUBSTITUTE(SUBSTITUTE(SUBSTITUTE(SUBSTITUTE($J988,CHAR(13)," "),CHAR(10)," "),CHAR(9)," "),CHAR(92),_xlfn.CONCAT(CHAR(92),CHAR(92))),"$",_xlfn.CONCAT(CHAR(92),"$")),CHAR(96),_xlfn.CONCAT(CHAR(92),CHAR(96))),CHAR(34),CHAR(39))))</f>
        <v/>
      </c>
      <c r="U988" s="5">
        <f t="shared" si="31"/>
        <v>0</v>
      </c>
    </row>
    <row r="989" spans="3:21" ht="30" customHeight="1" x14ac:dyDescent="0.2">
      <c r="C989" s="4"/>
      <c r="K989" s="5">
        <f t="shared" si="30"/>
        <v>0</v>
      </c>
      <c r="L989" s="5" t="str">
        <f>IF(OR(TRIM($B989)="",$A989=""),"",IF(OR(ISNUMBER(SEARCH(_xlfn.CONCAT(CHAR(96),CHAR(34)),$A989)),ISNUMBER(SEARCH(_xlfn.CONCAT(CHAR(34),CHAR(39)),$A989))),_xlfn.CONCAT("* REVIEW REQUIRED: compound-quote delimiter in Codebook Section on Sheet 1 row ",989,"; edit the input before running."),_xlfn.CONCAT("char ",TRIM($B989),"[doc_section] ",CHAR(96),CHAR(34),SUBSTITUTE(SUBSTITUTE(SUBSTITUTE(SUBSTITUTE(SUBSTITUTE(SUBSTITUTE($A989,CHAR(13)," "),CHAR(10)," "),CHAR(9)," "),CHAR(92),_xlfn.CONCAT(CHAR(92),CHAR(92))),"$",_xlfn.CONCAT(CHAR(92),"$")),CHAR(96),_xlfn.CONCAT(CHAR(92),CHAR(96))),CHAR(34),CHAR(39))))</f>
        <v/>
      </c>
      <c r="M989" s="5" t="str">
        <f>IF(OR(TRIM($B989)="",$C989=""),"",IF(IFERROR(MATCH(TRIM($C989),{"Quantitative","Continuous","Discrete","Categorical","Nominal","Ordinal","Identifier"},0),0)=0,_xlfn.CONCAT("* REVIEW REQUIRED: invalid Variable Type on Sheet 1 row ",989,"."),_xlfn.CONCAT("char ",TRIM($B989),"[doc_vartype] ",CHAR(96),CHAR(34),SUBSTITUTE(SUBSTITUTE(SUBSTITUTE(SUBSTITUTE(SUBSTITUTE(SUBSTITUTE(LOWER(TRIM($C989)),CHAR(13)," "),CHAR(10)," "),CHAR(9)," "),CHAR(92),_xlfn.CONCAT(CHAR(92),CHAR(92))),"$",_xlfn.CONCAT(CHAR(92),"$")),CHAR(96),_xlfn.CONCAT(CHAR(92),CHAR(96))),CHAR(34),CHAR(39))))</f>
        <v/>
      </c>
      <c r="N989" s="5" t="str">
        <f>IF(OR(TRIM($B989)="",$D989=""),"",IF(OR(ISNUMBER(SEARCH(_xlfn.CONCAT(CHAR(96),CHAR(34)),$D989)),ISNUMBER(SEARCH(_xlfn.CONCAT(CHAR(34),CHAR(39)),$D989))),_xlfn.CONCAT("* REVIEW REQUIRED: compound-quote delimiter in Item Number on Sheet 1 row ",989,"; edit the input before running."),_xlfn.CONCAT("char ",TRIM($B989),"[doc_itemnum] ",CHAR(96),CHAR(34),SUBSTITUTE(SUBSTITUTE(SUBSTITUTE(SUBSTITUTE(SUBSTITUTE(SUBSTITUTE($D989,CHAR(13)," "),CHAR(10)," "),CHAR(9)," "),CHAR(92),_xlfn.CONCAT(CHAR(92),CHAR(92))),"$",_xlfn.CONCAT(CHAR(92),"$")),CHAR(96),_xlfn.CONCAT(CHAR(92),CHAR(96))),CHAR(34),CHAR(39))))</f>
        <v/>
      </c>
      <c r="O989" s="5" t="str">
        <f>IF(OR(TRIM($B989)="",$E989=""),"",IF(OR(ISNUMBER(SEARCH(_xlfn.CONCAT(CHAR(96),CHAR(34)),$E989)),ISNUMBER(SEARCH(_xlfn.CONCAT(CHAR(34),CHAR(39)),$E989))),_xlfn.CONCAT("* REVIEW REQUIRED: compound-quote delimiter in Question Wording on Sheet 1 row ",989,"; edit the input before running."),_xlfn.CONCAT("char ",TRIM($B989),"[doc_question] ",CHAR(96),CHAR(34),SUBSTITUTE(SUBSTITUTE(SUBSTITUTE(SUBSTITUTE(SUBSTITUTE(SUBSTITUTE($E989,CHAR(13)," "),CHAR(10)," "),CHAR(9)," "),CHAR(92),_xlfn.CONCAT(CHAR(92),CHAR(92))),"$",_xlfn.CONCAT(CHAR(92),"$")),CHAR(96),_xlfn.CONCAT(CHAR(92),CHAR(96))),CHAR(34),CHAR(39))))</f>
        <v/>
      </c>
      <c r="P989" s="5" t="str">
        <f>IF(OR(TRIM($B989)="",$F989=""),"",IF(OR(ISNUMBER(SEARCH(_xlfn.CONCAT(CHAR(96),CHAR(34)),$F989)),ISNUMBER(SEARCH(_xlfn.CONCAT(CHAR(34),CHAR(39)),$F989))),_xlfn.CONCAT("* REVIEW REQUIRED: compound-quote delimiter in Units on Sheet 1 row ",989,"; edit the input before running."),_xlfn.CONCAT("char ",TRIM($B989),"[doc_units] ",CHAR(96),CHAR(34),SUBSTITUTE(SUBSTITUTE(SUBSTITUTE(SUBSTITUTE(SUBSTITUTE(SUBSTITUTE($F989,CHAR(13)," "),CHAR(10)," "),CHAR(9)," "),CHAR(92),_xlfn.CONCAT(CHAR(92),CHAR(92))),"$",_xlfn.CONCAT(CHAR(92),"$")),CHAR(96),_xlfn.CONCAT(CHAR(92),CHAR(96))),CHAR(34),CHAR(39))))</f>
        <v/>
      </c>
      <c r="Q989" s="5" t="str">
        <f>IF(OR(TRIM($B989)="",$G989=""),"",IF(OR(ISNUMBER(SEARCH(_xlfn.CONCAT(CHAR(96),CHAR(34)),$G989)),ISNUMBER(SEARCH(_xlfn.CONCAT(CHAR(34),CHAR(39)),$G989))),_xlfn.CONCAT("* REVIEW REQUIRED: compound-quote delimiter in Universe on Sheet 1 row ",989,"; edit the input before running."),_xlfn.CONCAT("char ",TRIM($B989),"[doc_universe] ",CHAR(96),CHAR(34),SUBSTITUTE(SUBSTITUTE(SUBSTITUTE(SUBSTITUTE(SUBSTITUTE(SUBSTITUTE($G989,CHAR(13)," "),CHAR(10)," "),CHAR(9)," "),CHAR(92),_xlfn.CONCAT(CHAR(92),CHAR(92))),"$",_xlfn.CONCAT(CHAR(92),"$")),CHAR(96),_xlfn.CONCAT(CHAR(92),CHAR(96))),CHAR(34),CHAR(39))))</f>
        <v/>
      </c>
      <c r="R989" s="5" t="str">
        <f>IF(OR(TRIM($B989)="",$H989=""),"",IF(OR(ISNUMBER(SEARCH(_xlfn.CONCAT(CHAR(96),CHAR(34)),$H989)),ISNUMBER(SEARCH(_xlfn.CONCAT(CHAR(34),CHAR(39)),$H989))),_xlfn.CONCAT("* REVIEW REQUIRED: compound-quote delimiter in Source on Sheet 1 row ",989,"; edit the input before running."),_xlfn.CONCAT("char ",TRIM($B989),"[doc_source] ",CHAR(96),CHAR(34),SUBSTITUTE(SUBSTITUTE(SUBSTITUTE(SUBSTITUTE(SUBSTITUTE(SUBSTITUTE($H989,CHAR(13)," "),CHAR(10)," "),CHAR(9)," "),CHAR(92),_xlfn.CONCAT(CHAR(92),CHAR(92))),"$",_xlfn.CONCAT(CHAR(92),"$")),CHAR(96),_xlfn.CONCAT(CHAR(92),CHAR(96))),CHAR(34),CHAR(39))))</f>
        <v/>
      </c>
      <c r="S989" s="5" t="str">
        <f>IF(OR(TRIM($B989)="",$I989=""),"",IF(OR(ISNUMBER(SEARCH(_xlfn.CONCAT(CHAR(96),CHAR(34)),$I989)),ISNUMBER(SEARCH(_xlfn.CONCAT(CHAR(34),CHAR(39)),$I989))),_xlfn.CONCAT("* REVIEW REQUIRED: compound-quote delimiter in Derivation on Sheet 1 row ",989,"; edit the input before running."),_xlfn.CONCAT("char ",TRIM($B989),"[doc_derivation] ",CHAR(96),CHAR(34),SUBSTITUTE(SUBSTITUTE(SUBSTITUTE(SUBSTITUTE(SUBSTITUTE(SUBSTITUTE($I989,CHAR(13)," "),CHAR(10)," "),CHAR(9)," "),CHAR(92),_xlfn.CONCAT(CHAR(92),CHAR(92))),"$",_xlfn.CONCAT(CHAR(92),"$")),CHAR(96),_xlfn.CONCAT(CHAR(92),CHAR(96))),CHAR(34),CHAR(39))))</f>
        <v/>
      </c>
      <c r="T989" s="5" t="str">
        <f>IF(OR(TRIM($B989)="",$J989=""),"",IF(OR(ISNUMBER(SEARCH(_xlfn.CONCAT(CHAR(96),CHAR(34)),$J989)),ISNUMBER(SEARCH(_xlfn.CONCAT(CHAR(34),CHAR(39)),$J989))),_xlfn.CONCAT("* REVIEW REQUIRED: compound-quote delimiter in Notes on Sheet 1 row ",989,"; edit the input before running."),_xlfn.CONCAT("char ",TRIM($B989),"[doc_notes] ",CHAR(96),CHAR(34),SUBSTITUTE(SUBSTITUTE(SUBSTITUTE(SUBSTITUTE(SUBSTITUTE(SUBSTITUTE($J989,CHAR(13)," "),CHAR(10)," "),CHAR(9)," "),CHAR(92),_xlfn.CONCAT(CHAR(92),CHAR(92))),"$",_xlfn.CONCAT(CHAR(92),"$")),CHAR(96),_xlfn.CONCAT(CHAR(92),CHAR(96))),CHAR(34),CHAR(39))))</f>
        <v/>
      </c>
      <c r="U989" s="5">
        <f t="shared" si="31"/>
        <v>0</v>
      </c>
    </row>
    <row r="990" spans="3:21" ht="30" customHeight="1" x14ac:dyDescent="0.2">
      <c r="C990" s="4"/>
      <c r="K990" s="5">
        <f t="shared" si="30"/>
        <v>0</v>
      </c>
      <c r="L990" s="5" t="str">
        <f>IF(OR(TRIM($B990)="",$A990=""),"",IF(OR(ISNUMBER(SEARCH(_xlfn.CONCAT(CHAR(96),CHAR(34)),$A990)),ISNUMBER(SEARCH(_xlfn.CONCAT(CHAR(34),CHAR(39)),$A990))),_xlfn.CONCAT("* REVIEW REQUIRED: compound-quote delimiter in Codebook Section on Sheet 1 row ",990,"; edit the input before running."),_xlfn.CONCAT("char ",TRIM($B990),"[doc_section] ",CHAR(96),CHAR(34),SUBSTITUTE(SUBSTITUTE(SUBSTITUTE(SUBSTITUTE(SUBSTITUTE(SUBSTITUTE($A990,CHAR(13)," "),CHAR(10)," "),CHAR(9)," "),CHAR(92),_xlfn.CONCAT(CHAR(92),CHAR(92))),"$",_xlfn.CONCAT(CHAR(92),"$")),CHAR(96),_xlfn.CONCAT(CHAR(92),CHAR(96))),CHAR(34),CHAR(39))))</f>
        <v/>
      </c>
      <c r="M990" s="5" t="str">
        <f>IF(OR(TRIM($B990)="",$C990=""),"",IF(IFERROR(MATCH(TRIM($C990),{"Quantitative","Continuous","Discrete","Categorical","Nominal","Ordinal","Identifier"},0),0)=0,_xlfn.CONCAT("* REVIEW REQUIRED: invalid Variable Type on Sheet 1 row ",990,"."),_xlfn.CONCAT("char ",TRIM($B990),"[doc_vartype] ",CHAR(96),CHAR(34),SUBSTITUTE(SUBSTITUTE(SUBSTITUTE(SUBSTITUTE(SUBSTITUTE(SUBSTITUTE(LOWER(TRIM($C990)),CHAR(13)," "),CHAR(10)," "),CHAR(9)," "),CHAR(92),_xlfn.CONCAT(CHAR(92),CHAR(92))),"$",_xlfn.CONCAT(CHAR(92),"$")),CHAR(96),_xlfn.CONCAT(CHAR(92),CHAR(96))),CHAR(34),CHAR(39))))</f>
        <v/>
      </c>
      <c r="N990" s="5" t="str">
        <f>IF(OR(TRIM($B990)="",$D990=""),"",IF(OR(ISNUMBER(SEARCH(_xlfn.CONCAT(CHAR(96),CHAR(34)),$D990)),ISNUMBER(SEARCH(_xlfn.CONCAT(CHAR(34),CHAR(39)),$D990))),_xlfn.CONCAT("* REVIEW REQUIRED: compound-quote delimiter in Item Number on Sheet 1 row ",990,"; edit the input before running."),_xlfn.CONCAT("char ",TRIM($B990),"[doc_itemnum] ",CHAR(96),CHAR(34),SUBSTITUTE(SUBSTITUTE(SUBSTITUTE(SUBSTITUTE(SUBSTITUTE(SUBSTITUTE($D990,CHAR(13)," "),CHAR(10)," "),CHAR(9)," "),CHAR(92),_xlfn.CONCAT(CHAR(92),CHAR(92))),"$",_xlfn.CONCAT(CHAR(92),"$")),CHAR(96),_xlfn.CONCAT(CHAR(92),CHAR(96))),CHAR(34),CHAR(39))))</f>
        <v/>
      </c>
      <c r="O990" s="5" t="str">
        <f>IF(OR(TRIM($B990)="",$E990=""),"",IF(OR(ISNUMBER(SEARCH(_xlfn.CONCAT(CHAR(96),CHAR(34)),$E990)),ISNUMBER(SEARCH(_xlfn.CONCAT(CHAR(34),CHAR(39)),$E990))),_xlfn.CONCAT("* REVIEW REQUIRED: compound-quote delimiter in Question Wording on Sheet 1 row ",990,"; edit the input before running."),_xlfn.CONCAT("char ",TRIM($B990),"[doc_question] ",CHAR(96),CHAR(34),SUBSTITUTE(SUBSTITUTE(SUBSTITUTE(SUBSTITUTE(SUBSTITUTE(SUBSTITUTE($E990,CHAR(13)," "),CHAR(10)," "),CHAR(9)," "),CHAR(92),_xlfn.CONCAT(CHAR(92),CHAR(92))),"$",_xlfn.CONCAT(CHAR(92),"$")),CHAR(96),_xlfn.CONCAT(CHAR(92),CHAR(96))),CHAR(34),CHAR(39))))</f>
        <v/>
      </c>
      <c r="P990" s="5" t="str">
        <f>IF(OR(TRIM($B990)="",$F990=""),"",IF(OR(ISNUMBER(SEARCH(_xlfn.CONCAT(CHAR(96),CHAR(34)),$F990)),ISNUMBER(SEARCH(_xlfn.CONCAT(CHAR(34),CHAR(39)),$F990))),_xlfn.CONCAT("* REVIEW REQUIRED: compound-quote delimiter in Units on Sheet 1 row ",990,"; edit the input before running."),_xlfn.CONCAT("char ",TRIM($B990),"[doc_units] ",CHAR(96),CHAR(34),SUBSTITUTE(SUBSTITUTE(SUBSTITUTE(SUBSTITUTE(SUBSTITUTE(SUBSTITUTE($F990,CHAR(13)," "),CHAR(10)," "),CHAR(9)," "),CHAR(92),_xlfn.CONCAT(CHAR(92),CHAR(92))),"$",_xlfn.CONCAT(CHAR(92),"$")),CHAR(96),_xlfn.CONCAT(CHAR(92),CHAR(96))),CHAR(34),CHAR(39))))</f>
        <v/>
      </c>
      <c r="Q990" s="5" t="str">
        <f>IF(OR(TRIM($B990)="",$G990=""),"",IF(OR(ISNUMBER(SEARCH(_xlfn.CONCAT(CHAR(96),CHAR(34)),$G990)),ISNUMBER(SEARCH(_xlfn.CONCAT(CHAR(34),CHAR(39)),$G990))),_xlfn.CONCAT("* REVIEW REQUIRED: compound-quote delimiter in Universe on Sheet 1 row ",990,"; edit the input before running."),_xlfn.CONCAT("char ",TRIM($B990),"[doc_universe] ",CHAR(96),CHAR(34),SUBSTITUTE(SUBSTITUTE(SUBSTITUTE(SUBSTITUTE(SUBSTITUTE(SUBSTITUTE($G990,CHAR(13)," "),CHAR(10)," "),CHAR(9)," "),CHAR(92),_xlfn.CONCAT(CHAR(92),CHAR(92))),"$",_xlfn.CONCAT(CHAR(92),"$")),CHAR(96),_xlfn.CONCAT(CHAR(92),CHAR(96))),CHAR(34),CHAR(39))))</f>
        <v/>
      </c>
      <c r="R990" s="5" t="str">
        <f>IF(OR(TRIM($B990)="",$H990=""),"",IF(OR(ISNUMBER(SEARCH(_xlfn.CONCAT(CHAR(96),CHAR(34)),$H990)),ISNUMBER(SEARCH(_xlfn.CONCAT(CHAR(34),CHAR(39)),$H990))),_xlfn.CONCAT("* REVIEW REQUIRED: compound-quote delimiter in Source on Sheet 1 row ",990,"; edit the input before running."),_xlfn.CONCAT("char ",TRIM($B990),"[doc_source] ",CHAR(96),CHAR(34),SUBSTITUTE(SUBSTITUTE(SUBSTITUTE(SUBSTITUTE(SUBSTITUTE(SUBSTITUTE($H990,CHAR(13)," "),CHAR(10)," "),CHAR(9)," "),CHAR(92),_xlfn.CONCAT(CHAR(92),CHAR(92))),"$",_xlfn.CONCAT(CHAR(92),"$")),CHAR(96),_xlfn.CONCAT(CHAR(92),CHAR(96))),CHAR(34),CHAR(39))))</f>
        <v/>
      </c>
      <c r="S990" s="5" t="str">
        <f>IF(OR(TRIM($B990)="",$I990=""),"",IF(OR(ISNUMBER(SEARCH(_xlfn.CONCAT(CHAR(96),CHAR(34)),$I990)),ISNUMBER(SEARCH(_xlfn.CONCAT(CHAR(34),CHAR(39)),$I990))),_xlfn.CONCAT("* REVIEW REQUIRED: compound-quote delimiter in Derivation on Sheet 1 row ",990,"; edit the input before running."),_xlfn.CONCAT("char ",TRIM($B990),"[doc_derivation] ",CHAR(96),CHAR(34),SUBSTITUTE(SUBSTITUTE(SUBSTITUTE(SUBSTITUTE(SUBSTITUTE(SUBSTITUTE($I990,CHAR(13)," "),CHAR(10)," "),CHAR(9)," "),CHAR(92),_xlfn.CONCAT(CHAR(92),CHAR(92))),"$",_xlfn.CONCAT(CHAR(92),"$")),CHAR(96),_xlfn.CONCAT(CHAR(92),CHAR(96))),CHAR(34),CHAR(39))))</f>
        <v/>
      </c>
      <c r="T990" s="5" t="str">
        <f>IF(OR(TRIM($B990)="",$J990=""),"",IF(OR(ISNUMBER(SEARCH(_xlfn.CONCAT(CHAR(96),CHAR(34)),$J990)),ISNUMBER(SEARCH(_xlfn.CONCAT(CHAR(34),CHAR(39)),$J990))),_xlfn.CONCAT("* REVIEW REQUIRED: compound-quote delimiter in Notes on Sheet 1 row ",990,"; edit the input before running."),_xlfn.CONCAT("char ",TRIM($B990),"[doc_notes] ",CHAR(96),CHAR(34),SUBSTITUTE(SUBSTITUTE(SUBSTITUTE(SUBSTITUTE(SUBSTITUTE(SUBSTITUTE($J990,CHAR(13)," "),CHAR(10)," "),CHAR(9)," "),CHAR(92),_xlfn.CONCAT(CHAR(92),CHAR(92))),"$",_xlfn.CONCAT(CHAR(92),"$")),CHAR(96),_xlfn.CONCAT(CHAR(92),CHAR(96))),CHAR(34),CHAR(39))))</f>
        <v/>
      </c>
      <c r="U990" s="5">
        <f t="shared" si="31"/>
        <v>0</v>
      </c>
    </row>
    <row r="991" spans="3:21" ht="30" customHeight="1" x14ac:dyDescent="0.2">
      <c r="C991" s="4"/>
      <c r="K991" s="5">
        <f t="shared" si="30"/>
        <v>0</v>
      </c>
      <c r="L991" s="5" t="str">
        <f>IF(OR(TRIM($B991)="",$A991=""),"",IF(OR(ISNUMBER(SEARCH(_xlfn.CONCAT(CHAR(96),CHAR(34)),$A991)),ISNUMBER(SEARCH(_xlfn.CONCAT(CHAR(34),CHAR(39)),$A991))),_xlfn.CONCAT("* REVIEW REQUIRED: compound-quote delimiter in Codebook Section on Sheet 1 row ",991,"; edit the input before running."),_xlfn.CONCAT("char ",TRIM($B991),"[doc_section] ",CHAR(96),CHAR(34),SUBSTITUTE(SUBSTITUTE(SUBSTITUTE(SUBSTITUTE(SUBSTITUTE(SUBSTITUTE($A991,CHAR(13)," "),CHAR(10)," "),CHAR(9)," "),CHAR(92),_xlfn.CONCAT(CHAR(92),CHAR(92))),"$",_xlfn.CONCAT(CHAR(92),"$")),CHAR(96),_xlfn.CONCAT(CHAR(92),CHAR(96))),CHAR(34),CHAR(39))))</f>
        <v/>
      </c>
      <c r="M991" s="5" t="str">
        <f>IF(OR(TRIM($B991)="",$C991=""),"",IF(IFERROR(MATCH(TRIM($C991),{"Quantitative","Continuous","Discrete","Categorical","Nominal","Ordinal","Identifier"},0),0)=0,_xlfn.CONCAT("* REVIEW REQUIRED: invalid Variable Type on Sheet 1 row ",991,"."),_xlfn.CONCAT("char ",TRIM($B991),"[doc_vartype] ",CHAR(96),CHAR(34),SUBSTITUTE(SUBSTITUTE(SUBSTITUTE(SUBSTITUTE(SUBSTITUTE(SUBSTITUTE(LOWER(TRIM($C991)),CHAR(13)," "),CHAR(10)," "),CHAR(9)," "),CHAR(92),_xlfn.CONCAT(CHAR(92),CHAR(92))),"$",_xlfn.CONCAT(CHAR(92),"$")),CHAR(96),_xlfn.CONCAT(CHAR(92),CHAR(96))),CHAR(34),CHAR(39))))</f>
        <v/>
      </c>
      <c r="N991" s="5" t="str">
        <f>IF(OR(TRIM($B991)="",$D991=""),"",IF(OR(ISNUMBER(SEARCH(_xlfn.CONCAT(CHAR(96),CHAR(34)),$D991)),ISNUMBER(SEARCH(_xlfn.CONCAT(CHAR(34),CHAR(39)),$D991))),_xlfn.CONCAT("* REVIEW REQUIRED: compound-quote delimiter in Item Number on Sheet 1 row ",991,"; edit the input before running."),_xlfn.CONCAT("char ",TRIM($B991),"[doc_itemnum] ",CHAR(96),CHAR(34),SUBSTITUTE(SUBSTITUTE(SUBSTITUTE(SUBSTITUTE(SUBSTITUTE(SUBSTITUTE($D991,CHAR(13)," "),CHAR(10)," "),CHAR(9)," "),CHAR(92),_xlfn.CONCAT(CHAR(92),CHAR(92))),"$",_xlfn.CONCAT(CHAR(92),"$")),CHAR(96),_xlfn.CONCAT(CHAR(92),CHAR(96))),CHAR(34),CHAR(39))))</f>
        <v/>
      </c>
      <c r="O991" s="5" t="str">
        <f>IF(OR(TRIM($B991)="",$E991=""),"",IF(OR(ISNUMBER(SEARCH(_xlfn.CONCAT(CHAR(96),CHAR(34)),$E991)),ISNUMBER(SEARCH(_xlfn.CONCAT(CHAR(34),CHAR(39)),$E991))),_xlfn.CONCAT("* REVIEW REQUIRED: compound-quote delimiter in Question Wording on Sheet 1 row ",991,"; edit the input before running."),_xlfn.CONCAT("char ",TRIM($B991),"[doc_question] ",CHAR(96),CHAR(34),SUBSTITUTE(SUBSTITUTE(SUBSTITUTE(SUBSTITUTE(SUBSTITUTE(SUBSTITUTE($E991,CHAR(13)," "),CHAR(10)," "),CHAR(9)," "),CHAR(92),_xlfn.CONCAT(CHAR(92),CHAR(92))),"$",_xlfn.CONCAT(CHAR(92),"$")),CHAR(96),_xlfn.CONCAT(CHAR(92),CHAR(96))),CHAR(34),CHAR(39))))</f>
        <v/>
      </c>
      <c r="P991" s="5" t="str">
        <f>IF(OR(TRIM($B991)="",$F991=""),"",IF(OR(ISNUMBER(SEARCH(_xlfn.CONCAT(CHAR(96),CHAR(34)),$F991)),ISNUMBER(SEARCH(_xlfn.CONCAT(CHAR(34),CHAR(39)),$F991))),_xlfn.CONCAT("* REVIEW REQUIRED: compound-quote delimiter in Units on Sheet 1 row ",991,"; edit the input before running."),_xlfn.CONCAT("char ",TRIM($B991),"[doc_units] ",CHAR(96),CHAR(34),SUBSTITUTE(SUBSTITUTE(SUBSTITUTE(SUBSTITUTE(SUBSTITUTE(SUBSTITUTE($F991,CHAR(13)," "),CHAR(10)," "),CHAR(9)," "),CHAR(92),_xlfn.CONCAT(CHAR(92),CHAR(92))),"$",_xlfn.CONCAT(CHAR(92),"$")),CHAR(96),_xlfn.CONCAT(CHAR(92),CHAR(96))),CHAR(34),CHAR(39))))</f>
        <v/>
      </c>
      <c r="Q991" s="5" t="str">
        <f>IF(OR(TRIM($B991)="",$G991=""),"",IF(OR(ISNUMBER(SEARCH(_xlfn.CONCAT(CHAR(96),CHAR(34)),$G991)),ISNUMBER(SEARCH(_xlfn.CONCAT(CHAR(34),CHAR(39)),$G991))),_xlfn.CONCAT("* REVIEW REQUIRED: compound-quote delimiter in Universe on Sheet 1 row ",991,"; edit the input before running."),_xlfn.CONCAT("char ",TRIM($B991),"[doc_universe] ",CHAR(96),CHAR(34),SUBSTITUTE(SUBSTITUTE(SUBSTITUTE(SUBSTITUTE(SUBSTITUTE(SUBSTITUTE($G991,CHAR(13)," "),CHAR(10)," "),CHAR(9)," "),CHAR(92),_xlfn.CONCAT(CHAR(92),CHAR(92))),"$",_xlfn.CONCAT(CHAR(92),"$")),CHAR(96),_xlfn.CONCAT(CHAR(92),CHAR(96))),CHAR(34),CHAR(39))))</f>
        <v/>
      </c>
      <c r="R991" s="5" t="str">
        <f>IF(OR(TRIM($B991)="",$H991=""),"",IF(OR(ISNUMBER(SEARCH(_xlfn.CONCAT(CHAR(96),CHAR(34)),$H991)),ISNUMBER(SEARCH(_xlfn.CONCAT(CHAR(34),CHAR(39)),$H991))),_xlfn.CONCAT("* REVIEW REQUIRED: compound-quote delimiter in Source on Sheet 1 row ",991,"; edit the input before running."),_xlfn.CONCAT("char ",TRIM($B991),"[doc_source] ",CHAR(96),CHAR(34),SUBSTITUTE(SUBSTITUTE(SUBSTITUTE(SUBSTITUTE(SUBSTITUTE(SUBSTITUTE($H991,CHAR(13)," "),CHAR(10)," "),CHAR(9)," "),CHAR(92),_xlfn.CONCAT(CHAR(92),CHAR(92))),"$",_xlfn.CONCAT(CHAR(92),"$")),CHAR(96),_xlfn.CONCAT(CHAR(92),CHAR(96))),CHAR(34),CHAR(39))))</f>
        <v/>
      </c>
      <c r="S991" s="5" t="str">
        <f>IF(OR(TRIM($B991)="",$I991=""),"",IF(OR(ISNUMBER(SEARCH(_xlfn.CONCAT(CHAR(96),CHAR(34)),$I991)),ISNUMBER(SEARCH(_xlfn.CONCAT(CHAR(34),CHAR(39)),$I991))),_xlfn.CONCAT("* REVIEW REQUIRED: compound-quote delimiter in Derivation on Sheet 1 row ",991,"; edit the input before running."),_xlfn.CONCAT("char ",TRIM($B991),"[doc_derivation] ",CHAR(96),CHAR(34),SUBSTITUTE(SUBSTITUTE(SUBSTITUTE(SUBSTITUTE(SUBSTITUTE(SUBSTITUTE($I991,CHAR(13)," "),CHAR(10)," "),CHAR(9)," "),CHAR(92),_xlfn.CONCAT(CHAR(92),CHAR(92))),"$",_xlfn.CONCAT(CHAR(92),"$")),CHAR(96),_xlfn.CONCAT(CHAR(92),CHAR(96))),CHAR(34),CHAR(39))))</f>
        <v/>
      </c>
      <c r="T991" s="5" t="str">
        <f>IF(OR(TRIM($B991)="",$J991=""),"",IF(OR(ISNUMBER(SEARCH(_xlfn.CONCAT(CHAR(96),CHAR(34)),$J991)),ISNUMBER(SEARCH(_xlfn.CONCAT(CHAR(34),CHAR(39)),$J991))),_xlfn.CONCAT("* REVIEW REQUIRED: compound-quote delimiter in Notes on Sheet 1 row ",991,"; edit the input before running."),_xlfn.CONCAT("char ",TRIM($B991),"[doc_notes] ",CHAR(96),CHAR(34),SUBSTITUTE(SUBSTITUTE(SUBSTITUTE(SUBSTITUTE(SUBSTITUTE(SUBSTITUTE($J991,CHAR(13)," "),CHAR(10)," "),CHAR(9)," "),CHAR(92),_xlfn.CONCAT(CHAR(92),CHAR(92))),"$",_xlfn.CONCAT(CHAR(92),"$")),CHAR(96),_xlfn.CONCAT(CHAR(92),CHAR(96))),CHAR(34),CHAR(39))))</f>
        <v/>
      </c>
      <c r="U991" s="5">
        <f t="shared" si="31"/>
        <v>0</v>
      </c>
    </row>
    <row r="992" spans="3:21" ht="30" customHeight="1" x14ac:dyDescent="0.2">
      <c r="C992" s="4"/>
      <c r="K992" s="5">
        <f t="shared" si="30"/>
        <v>0</v>
      </c>
      <c r="L992" s="5" t="str">
        <f>IF(OR(TRIM($B992)="",$A992=""),"",IF(OR(ISNUMBER(SEARCH(_xlfn.CONCAT(CHAR(96),CHAR(34)),$A992)),ISNUMBER(SEARCH(_xlfn.CONCAT(CHAR(34),CHAR(39)),$A992))),_xlfn.CONCAT("* REVIEW REQUIRED: compound-quote delimiter in Codebook Section on Sheet 1 row ",992,"; edit the input before running."),_xlfn.CONCAT("char ",TRIM($B992),"[doc_section] ",CHAR(96),CHAR(34),SUBSTITUTE(SUBSTITUTE(SUBSTITUTE(SUBSTITUTE(SUBSTITUTE(SUBSTITUTE($A992,CHAR(13)," "),CHAR(10)," "),CHAR(9)," "),CHAR(92),_xlfn.CONCAT(CHAR(92),CHAR(92))),"$",_xlfn.CONCAT(CHAR(92),"$")),CHAR(96),_xlfn.CONCAT(CHAR(92),CHAR(96))),CHAR(34),CHAR(39))))</f>
        <v/>
      </c>
      <c r="M992" s="5" t="str">
        <f>IF(OR(TRIM($B992)="",$C992=""),"",IF(IFERROR(MATCH(TRIM($C992),{"Quantitative","Continuous","Discrete","Categorical","Nominal","Ordinal","Identifier"},0),0)=0,_xlfn.CONCAT("* REVIEW REQUIRED: invalid Variable Type on Sheet 1 row ",992,"."),_xlfn.CONCAT("char ",TRIM($B992),"[doc_vartype] ",CHAR(96),CHAR(34),SUBSTITUTE(SUBSTITUTE(SUBSTITUTE(SUBSTITUTE(SUBSTITUTE(SUBSTITUTE(LOWER(TRIM($C992)),CHAR(13)," "),CHAR(10)," "),CHAR(9)," "),CHAR(92),_xlfn.CONCAT(CHAR(92),CHAR(92))),"$",_xlfn.CONCAT(CHAR(92),"$")),CHAR(96),_xlfn.CONCAT(CHAR(92),CHAR(96))),CHAR(34),CHAR(39))))</f>
        <v/>
      </c>
      <c r="N992" s="5" t="str">
        <f>IF(OR(TRIM($B992)="",$D992=""),"",IF(OR(ISNUMBER(SEARCH(_xlfn.CONCAT(CHAR(96),CHAR(34)),$D992)),ISNUMBER(SEARCH(_xlfn.CONCAT(CHAR(34),CHAR(39)),$D992))),_xlfn.CONCAT("* REVIEW REQUIRED: compound-quote delimiter in Item Number on Sheet 1 row ",992,"; edit the input before running."),_xlfn.CONCAT("char ",TRIM($B992),"[doc_itemnum] ",CHAR(96),CHAR(34),SUBSTITUTE(SUBSTITUTE(SUBSTITUTE(SUBSTITUTE(SUBSTITUTE(SUBSTITUTE($D992,CHAR(13)," "),CHAR(10)," "),CHAR(9)," "),CHAR(92),_xlfn.CONCAT(CHAR(92),CHAR(92))),"$",_xlfn.CONCAT(CHAR(92),"$")),CHAR(96),_xlfn.CONCAT(CHAR(92),CHAR(96))),CHAR(34),CHAR(39))))</f>
        <v/>
      </c>
      <c r="O992" s="5" t="str">
        <f>IF(OR(TRIM($B992)="",$E992=""),"",IF(OR(ISNUMBER(SEARCH(_xlfn.CONCAT(CHAR(96),CHAR(34)),$E992)),ISNUMBER(SEARCH(_xlfn.CONCAT(CHAR(34),CHAR(39)),$E992))),_xlfn.CONCAT("* REVIEW REQUIRED: compound-quote delimiter in Question Wording on Sheet 1 row ",992,"; edit the input before running."),_xlfn.CONCAT("char ",TRIM($B992),"[doc_question] ",CHAR(96),CHAR(34),SUBSTITUTE(SUBSTITUTE(SUBSTITUTE(SUBSTITUTE(SUBSTITUTE(SUBSTITUTE($E992,CHAR(13)," "),CHAR(10)," "),CHAR(9)," "),CHAR(92),_xlfn.CONCAT(CHAR(92),CHAR(92))),"$",_xlfn.CONCAT(CHAR(92),"$")),CHAR(96),_xlfn.CONCAT(CHAR(92),CHAR(96))),CHAR(34),CHAR(39))))</f>
        <v/>
      </c>
      <c r="P992" s="5" t="str">
        <f>IF(OR(TRIM($B992)="",$F992=""),"",IF(OR(ISNUMBER(SEARCH(_xlfn.CONCAT(CHAR(96),CHAR(34)),$F992)),ISNUMBER(SEARCH(_xlfn.CONCAT(CHAR(34),CHAR(39)),$F992))),_xlfn.CONCAT("* REVIEW REQUIRED: compound-quote delimiter in Units on Sheet 1 row ",992,"; edit the input before running."),_xlfn.CONCAT("char ",TRIM($B992),"[doc_units] ",CHAR(96),CHAR(34),SUBSTITUTE(SUBSTITUTE(SUBSTITUTE(SUBSTITUTE(SUBSTITUTE(SUBSTITUTE($F992,CHAR(13)," "),CHAR(10)," "),CHAR(9)," "),CHAR(92),_xlfn.CONCAT(CHAR(92),CHAR(92))),"$",_xlfn.CONCAT(CHAR(92),"$")),CHAR(96),_xlfn.CONCAT(CHAR(92),CHAR(96))),CHAR(34),CHAR(39))))</f>
        <v/>
      </c>
      <c r="Q992" s="5" t="str">
        <f>IF(OR(TRIM($B992)="",$G992=""),"",IF(OR(ISNUMBER(SEARCH(_xlfn.CONCAT(CHAR(96),CHAR(34)),$G992)),ISNUMBER(SEARCH(_xlfn.CONCAT(CHAR(34),CHAR(39)),$G992))),_xlfn.CONCAT("* REVIEW REQUIRED: compound-quote delimiter in Universe on Sheet 1 row ",992,"; edit the input before running."),_xlfn.CONCAT("char ",TRIM($B992),"[doc_universe] ",CHAR(96),CHAR(34),SUBSTITUTE(SUBSTITUTE(SUBSTITUTE(SUBSTITUTE(SUBSTITUTE(SUBSTITUTE($G992,CHAR(13)," "),CHAR(10)," "),CHAR(9)," "),CHAR(92),_xlfn.CONCAT(CHAR(92),CHAR(92))),"$",_xlfn.CONCAT(CHAR(92),"$")),CHAR(96),_xlfn.CONCAT(CHAR(92),CHAR(96))),CHAR(34),CHAR(39))))</f>
        <v/>
      </c>
      <c r="R992" s="5" t="str">
        <f>IF(OR(TRIM($B992)="",$H992=""),"",IF(OR(ISNUMBER(SEARCH(_xlfn.CONCAT(CHAR(96),CHAR(34)),$H992)),ISNUMBER(SEARCH(_xlfn.CONCAT(CHAR(34),CHAR(39)),$H992))),_xlfn.CONCAT("* REVIEW REQUIRED: compound-quote delimiter in Source on Sheet 1 row ",992,"; edit the input before running."),_xlfn.CONCAT("char ",TRIM($B992),"[doc_source] ",CHAR(96),CHAR(34),SUBSTITUTE(SUBSTITUTE(SUBSTITUTE(SUBSTITUTE(SUBSTITUTE(SUBSTITUTE($H992,CHAR(13)," "),CHAR(10)," "),CHAR(9)," "),CHAR(92),_xlfn.CONCAT(CHAR(92),CHAR(92))),"$",_xlfn.CONCAT(CHAR(92),"$")),CHAR(96),_xlfn.CONCAT(CHAR(92),CHAR(96))),CHAR(34),CHAR(39))))</f>
        <v/>
      </c>
      <c r="S992" s="5" t="str">
        <f>IF(OR(TRIM($B992)="",$I992=""),"",IF(OR(ISNUMBER(SEARCH(_xlfn.CONCAT(CHAR(96),CHAR(34)),$I992)),ISNUMBER(SEARCH(_xlfn.CONCAT(CHAR(34),CHAR(39)),$I992))),_xlfn.CONCAT("* REVIEW REQUIRED: compound-quote delimiter in Derivation on Sheet 1 row ",992,"; edit the input before running."),_xlfn.CONCAT("char ",TRIM($B992),"[doc_derivation] ",CHAR(96),CHAR(34),SUBSTITUTE(SUBSTITUTE(SUBSTITUTE(SUBSTITUTE(SUBSTITUTE(SUBSTITUTE($I992,CHAR(13)," "),CHAR(10)," "),CHAR(9)," "),CHAR(92),_xlfn.CONCAT(CHAR(92),CHAR(92))),"$",_xlfn.CONCAT(CHAR(92),"$")),CHAR(96),_xlfn.CONCAT(CHAR(92),CHAR(96))),CHAR(34),CHAR(39))))</f>
        <v/>
      </c>
      <c r="T992" s="5" t="str">
        <f>IF(OR(TRIM($B992)="",$J992=""),"",IF(OR(ISNUMBER(SEARCH(_xlfn.CONCAT(CHAR(96),CHAR(34)),$J992)),ISNUMBER(SEARCH(_xlfn.CONCAT(CHAR(34),CHAR(39)),$J992))),_xlfn.CONCAT("* REVIEW REQUIRED: compound-quote delimiter in Notes on Sheet 1 row ",992,"; edit the input before running."),_xlfn.CONCAT("char ",TRIM($B992),"[doc_notes] ",CHAR(96),CHAR(34),SUBSTITUTE(SUBSTITUTE(SUBSTITUTE(SUBSTITUTE(SUBSTITUTE(SUBSTITUTE($J992,CHAR(13)," "),CHAR(10)," "),CHAR(9)," "),CHAR(92),_xlfn.CONCAT(CHAR(92),CHAR(92))),"$",_xlfn.CONCAT(CHAR(92),"$")),CHAR(96),_xlfn.CONCAT(CHAR(92),CHAR(96))),CHAR(34),CHAR(39))))</f>
        <v/>
      </c>
      <c r="U992" s="5">
        <f t="shared" si="31"/>
        <v>0</v>
      </c>
    </row>
    <row r="993" spans="3:21" ht="30" customHeight="1" x14ac:dyDescent="0.2">
      <c r="C993" s="4"/>
      <c r="K993" s="5">
        <f t="shared" si="30"/>
        <v>0</v>
      </c>
      <c r="L993" s="5" t="str">
        <f>IF(OR(TRIM($B993)="",$A993=""),"",IF(OR(ISNUMBER(SEARCH(_xlfn.CONCAT(CHAR(96),CHAR(34)),$A993)),ISNUMBER(SEARCH(_xlfn.CONCAT(CHAR(34),CHAR(39)),$A993))),_xlfn.CONCAT("* REVIEW REQUIRED: compound-quote delimiter in Codebook Section on Sheet 1 row ",993,"; edit the input before running."),_xlfn.CONCAT("char ",TRIM($B993),"[doc_section] ",CHAR(96),CHAR(34),SUBSTITUTE(SUBSTITUTE(SUBSTITUTE(SUBSTITUTE(SUBSTITUTE(SUBSTITUTE($A993,CHAR(13)," "),CHAR(10)," "),CHAR(9)," "),CHAR(92),_xlfn.CONCAT(CHAR(92),CHAR(92))),"$",_xlfn.CONCAT(CHAR(92),"$")),CHAR(96),_xlfn.CONCAT(CHAR(92),CHAR(96))),CHAR(34),CHAR(39))))</f>
        <v/>
      </c>
      <c r="M993" s="5" t="str">
        <f>IF(OR(TRIM($B993)="",$C993=""),"",IF(IFERROR(MATCH(TRIM($C993),{"Quantitative","Continuous","Discrete","Categorical","Nominal","Ordinal","Identifier"},0),0)=0,_xlfn.CONCAT("* REVIEW REQUIRED: invalid Variable Type on Sheet 1 row ",993,"."),_xlfn.CONCAT("char ",TRIM($B993),"[doc_vartype] ",CHAR(96),CHAR(34),SUBSTITUTE(SUBSTITUTE(SUBSTITUTE(SUBSTITUTE(SUBSTITUTE(SUBSTITUTE(LOWER(TRIM($C993)),CHAR(13)," "),CHAR(10)," "),CHAR(9)," "),CHAR(92),_xlfn.CONCAT(CHAR(92),CHAR(92))),"$",_xlfn.CONCAT(CHAR(92),"$")),CHAR(96),_xlfn.CONCAT(CHAR(92),CHAR(96))),CHAR(34),CHAR(39))))</f>
        <v/>
      </c>
      <c r="N993" s="5" t="str">
        <f>IF(OR(TRIM($B993)="",$D993=""),"",IF(OR(ISNUMBER(SEARCH(_xlfn.CONCAT(CHAR(96),CHAR(34)),$D993)),ISNUMBER(SEARCH(_xlfn.CONCAT(CHAR(34),CHAR(39)),$D993))),_xlfn.CONCAT("* REVIEW REQUIRED: compound-quote delimiter in Item Number on Sheet 1 row ",993,"; edit the input before running."),_xlfn.CONCAT("char ",TRIM($B993),"[doc_itemnum] ",CHAR(96),CHAR(34),SUBSTITUTE(SUBSTITUTE(SUBSTITUTE(SUBSTITUTE(SUBSTITUTE(SUBSTITUTE($D993,CHAR(13)," "),CHAR(10)," "),CHAR(9)," "),CHAR(92),_xlfn.CONCAT(CHAR(92),CHAR(92))),"$",_xlfn.CONCAT(CHAR(92),"$")),CHAR(96),_xlfn.CONCAT(CHAR(92),CHAR(96))),CHAR(34),CHAR(39))))</f>
        <v/>
      </c>
      <c r="O993" s="5" t="str">
        <f>IF(OR(TRIM($B993)="",$E993=""),"",IF(OR(ISNUMBER(SEARCH(_xlfn.CONCAT(CHAR(96),CHAR(34)),$E993)),ISNUMBER(SEARCH(_xlfn.CONCAT(CHAR(34),CHAR(39)),$E993))),_xlfn.CONCAT("* REVIEW REQUIRED: compound-quote delimiter in Question Wording on Sheet 1 row ",993,"; edit the input before running."),_xlfn.CONCAT("char ",TRIM($B993),"[doc_question] ",CHAR(96),CHAR(34),SUBSTITUTE(SUBSTITUTE(SUBSTITUTE(SUBSTITUTE(SUBSTITUTE(SUBSTITUTE($E993,CHAR(13)," "),CHAR(10)," "),CHAR(9)," "),CHAR(92),_xlfn.CONCAT(CHAR(92),CHAR(92))),"$",_xlfn.CONCAT(CHAR(92),"$")),CHAR(96),_xlfn.CONCAT(CHAR(92),CHAR(96))),CHAR(34),CHAR(39))))</f>
        <v/>
      </c>
      <c r="P993" s="5" t="str">
        <f>IF(OR(TRIM($B993)="",$F993=""),"",IF(OR(ISNUMBER(SEARCH(_xlfn.CONCAT(CHAR(96),CHAR(34)),$F993)),ISNUMBER(SEARCH(_xlfn.CONCAT(CHAR(34),CHAR(39)),$F993))),_xlfn.CONCAT("* REVIEW REQUIRED: compound-quote delimiter in Units on Sheet 1 row ",993,"; edit the input before running."),_xlfn.CONCAT("char ",TRIM($B993),"[doc_units] ",CHAR(96),CHAR(34),SUBSTITUTE(SUBSTITUTE(SUBSTITUTE(SUBSTITUTE(SUBSTITUTE(SUBSTITUTE($F993,CHAR(13)," "),CHAR(10)," "),CHAR(9)," "),CHAR(92),_xlfn.CONCAT(CHAR(92),CHAR(92))),"$",_xlfn.CONCAT(CHAR(92),"$")),CHAR(96),_xlfn.CONCAT(CHAR(92),CHAR(96))),CHAR(34),CHAR(39))))</f>
        <v/>
      </c>
      <c r="Q993" s="5" t="str">
        <f>IF(OR(TRIM($B993)="",$G993=""),"",IF(OR(ISNUMBER(SEARCH(_xlfn.CONCAT(CHAR(96),CHAR(34)),$G993)),ISNUMBER(SEARCH(_xlfn.CONCAT(CHAR(34),CHAR(39)),$G993))),_xlfn.CONCAT("* REVIEW REQUIRED: compound-quote delimiter in Universe on Sheet 1 row ",993,"; edit the input before running."),_xlfn.CONCAT("char ",TRIM($B993),"[doc_universe] ",CHAR(96),CHAR(34),SUBSTITUTE(SUBSTITUTE(SUBSTITUTE(SUBSTITUTE(SUBSTITUTE(SUBSTITUTE($G993,CHAR(13)," "),CHAR(10)," "),CHAR(9)," "),CHAR(92),_xlfn.CONCAT(CHAR(92),CHAR(92))),"$",_xlfn.CONCAT(CHAR(92),"$")),CHAR(96),_xlfn.CONCAT(CHAR(92),CHAR(96))),CHAR(34),CHAR(39))))</f>
        <v/>
      </c>
      <c r="R993" s="5" t="str">
        <f>IF(OR(TRIM($B993)="",$H993=""),"",IF(OR(ISNUMBER(SEARCH(_xlfn.CONCAT(CHAR(96),CHAR(34)),$H993)),ISNUMBER(SEARCH(_xlfn.CONCAT(CHAR(34),CHAR(39)),$H993))),_xlfn.CONCAT("* REVIEW REQUIRED: compound-quote delimiter in Source on Sheet 1 row ",993,"; edit the input before running."),_xlfn.CONCAT("char ",TRIM($B993),"[doc_source] ",CHAR(96),CHAR(34),SUBSTITUTE(SUBSTITUTE(SUBSTITUTE(SUBSTITUTE(SUBSTITUTE(SUBSTITUTE($H993,CHAR(13)," "),CHAR(10)," "),CHAR(9)," "),CHAR(92),_xlfn.CONCAT(CHAR(92),CHAR(92))),"$",_xlfn.CONCAT(CHAR(92),"$")),CHAR(96),_xlfn.CONCAT(CHAR(92),CHAR(96))),CHAR(34),CHAR(39))))</f>
        <v/>
      </c>
      <c r="S993" s="5" t="str">
        <f>IF(OR(TRIM($B993)="",$I993=""),"",IF(OR(ISNUMBER(SEARCH(_xlfn.CONCAT(CHAR(96),CHAR(34)),$I993)),ISNUMBER(SEARCH(_xlfn.CONCAT(CHAR(34),CHAR(39)),$I993))),_xlfn.CONCAT("* REVIEW REQUIRED: compound-quote delimiter in Derivation on Sheet 1 row ",993,"; edit the input before running."),_xlfn.CONCAT("char ",TRIM($B993),"[doc_derivation] ",CHAR(96),CHAR(34),SUBSTITUTE(SUBSTITUTE(SUBSTITUTE(SUBSTITUTE(SUBSTITUTE(SUBSTITUTE($I993,CHAR(13)," "),CHAR(10)," "),CHAR(9)," "),CHAR(92),_xlfn.CONCAT(CHAR(92),CHAR(92))),"$",_xlfn.CONCAT(CHAR(92),"$")),CHAR(96),_xlfn.CONCAT(CHAR(92),CHAR(96))),CHAR(34),CHAR(39))))</f>
        <v/>
      </c>
      <c r="T993" s="5" t="str">
        <f>IF(OR(TRIM($B993)="",$J993=""),"",IF(OR(ISNUMBER(SEARCH(_xlfn.CONCAT(CHAR(96),CHAR(34)),$J993)),ISNUMBER(SEARCH(_xlfn.CONCAT(CHAR(34),CHAR(39)),$J993))),_xlfn.CONCAT("* REVIEW REQUIRED: compound-quote delimiter in Notes on Sheet 1 row ",993,"; edit the input before running."),_xlfn.CONCAT("char ",TRIM($B993),"[doc_notes] ",CHAR(96),CHAR(34),SUBSTITUTE(SUBSTITUTE(SUBSTITUTE(SUBSTITUTE(SUBSTITUTE(SUBSTITUTE($J993,CHAR(13)," "),CHAR(10)," "),CHAR(9)," "),CHAR(92),_xlfn.CONCAT(CHAR(92),CHAR(92))),"$",_xlfn.CONCAT(CHAR(92),"$")),CHAR(96),_xlfn.CONCAT(CHAR(92),CHAR(96))),CHAR(34),CHAR(39))))</f>
        <v/>
      </c>
      <c r="U993" s="5">
        <f t="shared" si="31"/>
        <v>0</v>
      </c>
    </row>
    <row r="994" spans="3:21" ht="30" customHeight="1" x14ac:dyDescent="0.2">
      <c r="C994" s="4"/>
      <c r="K994" s="5">
        <f t="shared" si="30"/>
        <v>0</v>
      </c>
      <c r="L994" s="5" t="str">
        <f>IF(OR(TRIM($B994)="",$A994=""),"",IF(OR(ISNUMBER(SEARCH(_xlfn.CONCAT(CHAR(96),CHAR(34)),$A994)),ISNUMBER(SEARCH(_xlfn.CONCAT(CHAR(34),CHAR(39)),$A994))),_xlfn.CONCAT("* REVIEW REQUIRED: compound-quote delimiter in Codebook Section on Sheet 1 row ",994,"; edit the input before running."),_xlfn.CONCAT("char ",TRIM($B994),"[doc_section] ",CHAR(96),CHAR(34),SUBSTITUTE(SUBSTITUTE(SUBSTITUTE(SUBSTITUTE(SUBSTITUTE(SUBSTITUTE($A994,CHAR(13)," "),CHAR(10)," "),CHAR(9)," "),CHAR(92),_xlfn.CONCAT(CHAR(92),CHAR(92))),"$",_xlfn.CONCAT(CHAR(92),"$")),CHAR(96),_xlfn.CONCAT(CHAR(92),CHAR(96))),CHAR(34),CHAR(39))))</f>
        <v/>
      </c>
      <c r="M994" s="5" t="str">
        <f>IF(OR(TRIM($B994)="",$C994=""),"",IF(IFERROR(MATCH(TRIM($C994),{"Quantitative","Continuous","Discrete","Categorical","Nominal","Ordinal","Identifier"},0),0)=0,_xlfn.CONCAT("* REVIEW REQUIRED: invalid Variable Type on Sheet 1 row ",994,"."),_xlfn.CONCAT("char ",TRIM($B994),"[doc_vartype] ",CHAR(96),CHAR(34),SUBSTITUTE(SUBSTITUTE(SUBSTITUTE(SUBSTITUTE(SUBSTITUTE(SUBSTITUTE(LOWER(TRIM($C994)),CHAR(13)," "),CHAR(10)," "),CHAR(9)," "),CHAR(92),_xlfn.CONCAT(CHAR(92),CHAR(92))),"$",_xlfn.CONCAT(CHAR(92),"$")),CHAR(96),_xlfn.CONCAT(CHAR(92),CHAR(96))),CHAR(34),CHAR(39))))</f>
        <v/>
      </c>
      <c r="N994" s="5" t="str">
        <f>IF(OR(TRIM($B994)="",$D994=""),"",IF(OR(ISNUMBER(SEARCH(_xlfn.CONCAT(CHAR(96),CHAR(34)),$D994)),ISNUMBER(SEARCH(_xlfn.CONCAT(CHAR(34),CHAR(39)),$D994))),_xlfn.CONCAT("* REVIEW REQUIRED: compound-quote delimiter in Item Number on Sheet 1 row ",994,"; edit the input before running."),_xlfn.CONCAT("char ",TRIM($B994),"[doc_itemnum] ",CHAR(96),CHAR(34),SUBSTITUTE(SUBSTITUTE(SUBSTITUTE(SUBSTITUTE(SUBSTITUTE(SUBSTITUTE($D994,CHAR(13)," "),CHAR(10)," "),CHAR(9)," "),CHAR(92),_xlfn.CONCAT(CHAR(92),CHAR(92))),"$",_xlfn.CONCAT(CHAR(92),"$")),CHAR(96),_xlfn.CONCAT(CHAR(92),CHAR(96))),CHAR(34),CHAR(39))))</f>
        <v/>
      </c>
      <c r="O994" s="5" t="str">
        <f>IF(OR(TRIM($B994)="",$E994=""),"",IF(OR(ISNUMBER(SEARCH(_xlfn.CONCAT(CHAR(96),CHAR(34)),$E994)),ISNUMBER(SEARCH(_xlfn.CONCAT(CHAR(34),CHAR(39)),$E994))),_xlfn.CONCAT("* REVIEW REQUIRED: compound-quote delimiter in Question Wording on Sheet 1 row ",994,"; edit the input before running."),_xlfn.CONCAT("char ",TRIM($B994),"[doc_question] ",CHAR(96),CHAR(34),SUBSTITUTE(SUBSTITUTE(SUBSTITUTE(SUBSTITUTE(SUBSTITUTE(SUBSTITUTE($E994,CHAR(13)," "),CHAR(10)," "),CHAR(9)," "),CHAR(92),_xlfn.CONCAT(CHAR(92),CHAR(92))),"$",_xlfn.CONCAT(CHAR(92),"$")),CHAR(96),_xlfn.CONCAT(CHAR(92),CHAR(96))),CHAR(34),CHAR(39))))</f>
        <v/>
      </c>
      <c r="P994" s="5" t="str">
        <f>IF(OR(TRIM($B994)="",$F994=""),"",IF(OR(ISNUMBER(SEARCH(_xlfn.CONCAT(CHAR(96),CHAR(34)),$F994)),ISNUMBER(SEARCH(_xlfn.CONCAT(CHAR(34),CHAR(39)),$F994))),_xlfn.CONCAT("* REVIEW REQUIRED: compound-quote delimiter in Units on Sheet 1 row ",994,"; edit the input before running."),_xlfn.CONCAT("char ",TRIM($B994),"[doc_units] ",CHAR(96),CHAR(34),SUBSTITUTE(SUBSTITUTE(SUBSTITUTE(SUBSTITUTE(SUBSTITUTE(SUBSTITUTE($F994,CHAR(13)," "),CHAR(10)," "),CHAR(9)," "),CHAR(92),_xlfn.CONCAT(CHAR(92),CHAR(92))),"$",_xlfn.CONCAT(CHAR(92),"$")),CHAR(96),_xlfn.CONCAT(CHAR(92),CHAR(96))),CHAR(34),CHAR(39))))</f>
        <v/>
      </c>
      <c r="Q994" s="5" t="str">
        <f>IF(OR(TRIM($B994)="",$G994=""),"",IF(OR(ISNUMBER(SEARCH(_xlfn.CONCAT(CHAR(96),CHAR(34)),$G994)),ISNUMBER(SEARCH(_xlfn.CONCAT(CHAR(34),CHAR(39)),$G994))),_xlfn.CONCAT("* REVIEW REQUIRED: compound-quote delimiter in Universe on Sheet 1 row ",994,"; edit the input before running."),_xlfn.CONCAT("char ",TRIM($B994),"[doc_universe] ",CHAR(96),CHAR(34),SUBSTITUTE(SUBSTITUTE(SUBSTITUTE(SUBSTITUTE(SUBSTITUTE(SUBSTITUTE($G994,CHAR(13)," "),CHAR(10)," "),CHAR(9)," "),CHAR(92),_xlfn.CONCAT(CHAR(92),CHAR(92))),"$",_xlfn.CONCAT(CHAR(92),"$")),CHAR(96),_xlfn.CONCAT(CHAR(92),CHAR(96))),CHAR(34),CHAR(39))))</f>
        <v/>
      </c>
      <c r="R994" s="5" t="str">
        <f>IF(OR(TRIM($B994)="",$H994=""),"",IF(OR(ISNUMBER(SEARCH(_xlfn.CONCAT(CHAR(96),CHAR(34)),$H994)),ISNUMBER(SEARCH(_xlfn.CONCAT(CHAR(34),CHAR(39)),$H994))),_xlfn.CONCAT("* REVIEW REQUIRED: compound-quote delimiter in Source on Sheet 1 row ",994,"; edit the input before running."),_xlfn.CONCAT("char ",TRIM($B994),"[doc_source] ",CHAR(96),CHAR(34),SUBSTITUTE(SUBSTITUTE(SUBSTITUTE(SUBSTITUTE(SUBSTITUTE(SUBSTITUTE($H994,CHAR(13)," "),CHAR(10)," "),CHAR(9)," "),CHAR(92),_xlfn.CONCAT(CHAR(92),CHAR(92))),"$",_xlfn.CONCAT(CHAR(92),"$")),CHAR(96),_xlfn.CONCAT(CHAR(92),CHAR(96))),CHAR(34),CHAR(39))))</f>
        <v/>
      </c>
      <c r="S994" s="5" t="str">
        <f>IF(OR(TRIM($B994)="",$I994=""),"",IF(OR(ISNUMBER(SEARCH(_xlfn.CONCAT(CHAR(96),CHAR(34)),$I994)),ISNUMBER(SEARCH(_xlfn.CONCAT(CHAR(34),CHAR(39)),$I994))),_xlfn.CONCAT("* REVIEW REQUIRED: compound-quote delimiter in Derivation on Sheet 1 row ",994,"; edit the input before running."),_xlfn.CONCAT("char ",TRIM($B994),"[doc_derivation] ",CHAR(96),CHAR(34),SUBSTITUTE(SUBSTITUTE(SUBSTITUTE(SUBSTITUTE(SUBSTITUTE(SUBSTITUTE($I994,CHAR(13)," "),CHAR(10)," "),CHAR(9)," "),CHAR(92),_xlfn.CONCAT(CHAR(92),CHAR(92))),"$",_xlfn.CONCAT(CHAR(92),"$")),CHAR(96),_xlfn.CONCAT(CHAR(92),CHAR(96))),CHAR(34),CHAR(39))))</f>
        <v/>
      </c>
      <c r="T994" s="5" t="str">
        <f>IF(OR(TRIM($B994)="",$J994=""),"",IF(OR(ISNUMBER(SEARCH(_xlfn.CONCAT(CHAR(96),CHAR(34)),$J994)),ISNUMBER(SEARCH(_xlfn.CONCAT(CHAR(34),CHAR(39)),$J994))),_xlfn.CONCAT("* REVIEW REQUIRED: compound-quote delimiter in Notes on Sheet 1 row ",994,"; edit the input before running."),_xlfn.CONCAT("char ",TRIM($B994),"[doc_notes] ",CHAR(96),CHAR(34),SUBSTITUTE(SUBSTITUTE(SUBSTITUTE(SUBSTITUTE(SUBSTITUTE(SUBSTITUTE($J994,CHAR(13)," "),CHAR(10)," "),CHAR(9)," "),CHAR(92),_xlfn.CONCAT(CHAR(92),CHAR(92))),"$",_xlfn.CONCAT(CHAR(92),"$")),CHAR(96),_xlfn.CONCAT(CHAR(92),CHAR(96))),CHAR(34),CHAR(39))))</f>
        <v/>
      </c>
      <c r="U994" s="5">
        <f t="shared" si="31"/>
        <v>0</v>
      </c>
    </row>
    <row r="995" spans="3:21" ht="30" customHeight="1" x14ac:dyDescent="0.2">
      <c r="C995" s="4"/>
      <c r="K995" s="5">
        <f t="shared" si="30"/>
        <v>0</v>
      </c>
      <c r="L995" s="5" t="str">
        <f>IF(OR(TRIM($B995)="",$A995=""),"",IF(OR(ISNUMBER(SEARCH(_xlfn.CONCAT(CHAR(96),CHAR(34)),$A995)),ISNUMBER(SEARCH(_xlfn.CONCAT(CHAR(34),CHAR(39)),$A995))),_xlfn.CONCAT("* REVIEW REQUIRED: compound-quote delimiter in Codebook Section on Sheet 1 row ",995,"; edit the input before running."),_xlfn.CONCAT("char ",TRIM($B995),"[doc_section] ",CHAR(96),CHAR(34),SUBSTITUTE(SUBSTITUTE(SUBSTITUTE(SUBSTITUTE(SUBSTITUTE(SUBSTITUTE($A995,CHAR(13)," "),CHAR(10)," "),CHAR(9)," "),CHAR(92),_xlfn.CONCAT(CHAR(92),CHAR(92))),"$",_xlfn.CONCAT(CHAR(92),"$")),CHAR(96),_xlfn.CONCAT(CHAR(92),CHAR(96))),CHAR(34),CHAR(39))))</f>
        <v/>
      </c>
      <c r="M995" s="5" t="str">
        <f>IF(OR(TRIM($B995)="",$C995=""),"",IF(IFERROR(MATCH(TRIM($C995),{"Quantitative","Continuous","Discrete","Categorical","Nominal","Ordinal","Identifier"},0),0)=0,_xlfn.CONCAT("* REVIEW REQUIRED: invalid Variable Type on Sheet 1 row ",995,"."),_xlfn.CONCAT("char ",TRIM($B995),"[doc_vartype] ",CHAR(96),CHAR(34),SUBSTITUTE(SUBSTITUTE(SUBSTITUTE(SUBSTITUTE(SUBSTITUTE(SUBSTITUTE(LOWER(TRIM($C995)),CHAR(13)," "),CHAR(10)," "),CHAR(9)," "),CHAR(92),_xlfn.CONCAT(CHAR(92),CHAR(92))),"$",_xlfn.CONCAT(CHAR(92),"$")),CHAR(96),_xlfn.CONCAT(CHAR(92),CHAR(96))),CHAR(34),CHAR(39))))</f>
        <v/>
      </c>
      <c r="N995" s="5" t="str">
        <f>IF(OR(TRIM($B995)="",$D995=""),"",IF(OR(ISNUMBER(SEARCH(_xlfn.CONCAT(CHAR(96),CHAR(34)),$D995)),ISNUMBER(SEARCH(_xlfn.CONCAT(CHAR(34),CHAR(39)),$D995))),_xlfn.CONCAT("* REVIEW REQUIRED: compound-quote delimiter in Item Number on Sheet 1 row ",995,"; edit the input before running."),_xlfn.CONCAT("char ",TRIM($B995),"[doc_itemnum] ",CHAR(96),CHAR(34),SUBSTITUTE(SUBSTITUTE(SUBSTITUTE(SUBSTITUTE(SUBSTITUTE(SUBSTITUTE($D995,CHAR(13)," "),CHAR(10)," "),CHAR(9)," "),CHAR(92),_xlfn.CONCAT(CHAR(92),CHAR(92))),"$",_xlfn.CONCAT(CHAR(92),"$")),CHAR(96),_xlfn.CONCAT(CHAR(92),CHAR(96))),CHAR(34),CHAR(39))))</f>
        <v/>
      </c>
      <c r="O995" s="5" t="str">
        <f>IF(OR(TRIM($B995)="",$E995=""),"",IF(OR(ISNUMBER(SEARCH(_xlfn.CONCAT(CHAR(96),CHAR(34)),$E995)),ISNUMBER(SEARCH(_xlfn.CONCAT(CHAR(34),CHAR(39)),$E995))),_xlfn.CONCAT("* REVIEW REQUIRED: compound-quote delimiter in Question Wording on Sheet 1 row ",995,"; edit the input before running."),_xlfn.CONCAT("char ",TRIM($B995),"[doc_question] ",CHAR(96),CHAR(34),SUBSTITUTE(SUBSTITUTE(SUBSTITUTE(SUBSTITUTE(SUBSTITUTE(SUBSTITUTE($E995,CHAR(13)," "),CHAR(10)," "),CHAR(9)," "),CHAR(92),_xlfn.CONCAT(CHAR(92),CHAR(92))),"$",_xlfn.CONCAT(CHAR(92),"$")),CHAR(96),_xlfn.CONCAT(CHAR(92),CHAR(96))),CHAR(34),CHAR(39))))</f>
        <v/>
      </c>
      <c r="P995" s="5" t="str">
        <f>IF(OR(TRIM($B995)="",$F995=""),"",IF(OR(ISNUMBER(SEARCH(_xlfn.CONCAT(CHAR(96),CHAR(34)),$F995)),ISNUMBER(SEARCH(_xlfn.CONCAT(CHAR(34),CHAR(39)),$F995))),_xlfn.CONCAT("* REVIEW REQUIRED: compound-quote delimiter in Units on Sheet 1 row ",995,"; edit the input before running."),_xlfn.CONCAT("char ",TRIM($B995),"[doc_units] ",CHAR(96),CHAR(34),SUBSTITUTE(SUBSTITUTE(SUBSTITUTE(SUBSTITUTE(SUBSTITUTE(SUBSTITUTE($F995,CHAR(13)," "),CHAR(10)," "),CHAR(9)," "),CHAR(92),_xlfn.CONCAT(CHAR(92),CHAR(92))),"$",_xlfn.CONCAT(CHAR(92),"$")),CHAR(96),_xlfn.CONCAT(CHAR(92),CHAR(96))),CHAR(34),CHAR(39))))</f>
        <v/>
      </c>
      <c r="Q995" s="5" t="str">
        <f>IF(OR(TRIM($B995)="",$G995=""),"",IF(OR(ISNUMBER(SEARCH(_xlfn.CONCAT(CHAR(96),CHAR(34)),$G995)),ISNUMBER(SEARCH(_xlfn.CONCAT(CHAR(34),CHAR(39)),$G995))),_xlfn.CONCAT("* REVIEW REQUIRED: compound-quote delimiter in Universe on Sheet 1 row ",995,"; edit the input before running."),_xlfn.CONCAT("char ",TRIM($B995),"[doc_universe] ",CHAR(96),CHAR(34),SUBSTITUTE(SUBSTITUTE(SUBSTITUTE(SUBSTITUTE(SUBSTITUTE(SUBSTITUTE($G995,CHAR(13)," "),CHAR(10)," "),CHAR(9)," "),CHAR(92),_xlfn.CONCAT(CHAR(92),CHAR(92))),"$",_xlfn.CONCAT(CHAR(92),"$")),CHAR(96),_xlfn.CONCAT(CHAR(92),CHAR(96))),CHAR(34),CHAR(39))))</f>
        <v/>
      </c>
      <c r="R995" s="5" t="str">
        <f>IF(OR(TRIM($B995)="",$H995=""),"",IF(OR(ISNUMBER(SEARCH(_xlfn.CONCAT(CHAR(96),CHAR(34)),$H995)),ISNUMBER(SEARCH(_xlfn.CONCAT(CHAR(34),CHAR(39)),$H995))),_xlfn.CONCAT("* REVIEW REQUIRED: compound-quote delimiter in Source on Sheet 1 row ",995,"; edit the input before running."),_xlfn.CONCAT("char ",TRIM($B995),"[doc_source] ",CHAR(96),CHAR(34),SUBSTITUTE(SUBSTITUTE(SUBSTITUTE(SUBSTITUTE(SUBSTITUTE(SUBSTITUTE($H995,CHAR(13)," "),CHAR(10)," "),CHAR(9)," "),CHAR(92),_xlfn.CONCAT(CHAR(92),CHAR(92))),"$",_xlfn.CONCAT(CHAR(92),"$")),CHAR(96),_xlfn.CONCAT(CHAR(92),CHAR(96))),CHAR(34),CHAR(39))))</f>
        <v/>
      </c>
      <c r="S995" s="5" t="str">
        <f>IF(OR(TRIM($B995)="",$I995=""),"",IF(OR(ISNUMBER(SEARCH(_xlfn.CONCAT(CHAR(96),CHAR(34)),$I995)),ISNUMBER(SEARCH(_xlfn.CONCAT(CHAR(34),CHAR(39)),$I995))),_xlfn.CONCAT("* REVIEW REQUIRED: compound-quote delimiter in Derivation on Sheet 1 row ",995,"; edit the input before running."),_xlfn.CONCAT("char ",TRIM($B995),"[doc_derivation] ",CHAR(96),CHAR(34),SUBSTITUTE(SUBSTITUTE(SUBSTITUTE(SUBSTITUTE(SUBSTITUTE(SUBSTITUTE($I995,CHAR(13)," "),CHAR(10)," "),CHAR(9)," "),CHAR(92),_xlfn.CONCAT(CHAR(92),CHAR(92))),"$",_xlfn.CONCAT(CHAR(92),"$")),CHAR(96),_xlfn.CONCAT(CHAR(92),CHAR(96))),CHAR(34),CHAR(39))))</f>
        <v/>
      </c>
      <c r="T995" s="5" t="str">
        <f>IF(OR(TRIM($B995)="",$J995=""),"",IF(OR(ISNUMBER(SEARCH(_xlfn.CONCAT(CHAR(96),CHAR(34)),$J995)),ISNUMBER(SEARCH(_xlfn.CONCAT(CHAR(34),CHAR(39)),$J995))),_xlfn.CONCAT("* REVIEW REQUIRED: compound-quote delimiter in Notes on Sheet 1 row ",995,"; edit the input before running."),_xlfn.CONCAT("char ",TRIM($B995),"[doc_notes] ",CHAR(96),CHAR(34),SUBSTITUTE(SUBSTITUTE(SUBSTITUTE(SUBSTITUTE(SUBSTITUTE(SUBSTITUTE($J995,CHAR(13)," "),CHAR(10)," "),CHAR(9)," "),CHAR(92),_xlfn.CONCAT(CHAR(92),CHAR(92))),"$",_xlfn.CONCAT(CHAR(92),"$")),CHAR(96),_xlfn.CONCAT(CHAR(92),CHAR(96))),CHAR(34),CHAR(39))))</f>
        <v/>
      </c>
      <c r="U995" s="5">
        <f t="shared" si="31"/>
        <v>0</v>
      </c>
    </row>
    <row r="996" spans="3:21" ht="30" customHeight="1" x14ac:dyDescent="0.2">
      <c r="C996" s="4"/>
      <c r="K996" s="5">
        <f t="shared" si="30"/>
        <v>0</v>
      </c>
      <c r="L996" s="5" t="str">
        <f>IF(OR(TRIM($B996)="",$A996=""),"",IF(OR(ISNUMBER(SEARCH(_xlfn.CONCAT(CHAR(96),CHAR(34)),$A996)),ISNUMBER(SEARCH(_xlfn.CONCAT(CHAR(34),CHAR(39)),$A996))),_xlfn.CONCAT("* REVIEW REQUIRED: compound-quote delimiter in Codebook Section on Sheet 1 row ",996,"; edit the input before running."),_xlfn.CONCAT("char ",TRIM($B996),"[doc_section] ",CHAR(96),CHAR(34),SUBSTITUTE(SUBSTITUTE(SUBSTITUTE(SUBSTITUTE(SUBSTITUTE(SUBSTITUTE($A996,CHAR(13)," "),CHAR(10)," "),CHAR(9)," "),CHAR(92),_xlfn.CONCAT(CHAR(92),CHAR(92))),"$",_xlfn.CONCAT(CHAR(92),"$")),CHAR(96),_xlfn.CONCAT(CHAR(92),CHAR(96))),CHAR(34),CHAR(39))))</f>
        <v/>
      </c>
      <c r="M996" s="5" t="str">
        <f>IF(OR(TRIM($B996)="",$C996=""),"",IF(IFERROR(MATCH(TRIM($C996),{"Quantitative","Continuous","Discrete","Categorical","Nominal","Ordinal","Identifier"},0),0)=0,_xlfn.CONCAT("* REVIEW REQUIRED: invalid Variable Type on Sheet 1 row ",996,"."),_xlfn.CONCAT("char ",TRIM($B996),"[doc_vartype] ",CHAR(96),CHAR(34),SUBSTITUTE(SUBSTITUTE(SUBSTITUTE(SUBSTITUTE(SUBSTITUTE(SUBSTITUTE(LOWER(TRIM($C996)),CHAR(13)," "),CHAR(10)," "),CHAR(9)," "),CHAR(92),_xlfn.CONCAT(CHAR(92),CHAR(92))),"$",_xlfn.CONCAT(CHAR(92),"$")),CHAR(96),_xlfn.CONCAT(CHAR(92),CHAR(96))),CHAR(34),CHAR(39))))</f>
        <v/>
      </c>
      <c r="N996" s="5" t="str">
        <f>IF(OR(TRIM($B996)="",$D996=""),"",IF(OR(ISNUMBER(SEARCH(_xlfn.CONCAT(CHAR(96),CHAR(34)),$D996)),ISNUMBER(SEARCH(_xlfn.CONCAT(CHAR(34),CHAR(39)),$D996))),_xlfn.CONCAT("* REVIEW REQUIRED: compound-quote delimiter in Item Number on Sheet 1 row ",996,"; edit the input before running."),_xlfn.CONCAT("char ",TRIM($B996),"[doc_itemnum] ",CHAR(96),CHAR(34),SUBSTITUTE(SUBSTITUTE(SUBSTITUTE(SUBSTITUTE(SUBSTITUTE(SUBSTITUTE($D996,CHAR(13)," "),CHAR(10)," "),CHAR(9)," "),CHAR(92),_xlfn.CONCAT(CHAR(92),CHAR(92))),"$",_xlfn.CONCAT(CHAR(92),"$")),CHAR(96),_xlfn.CONCAT(CHAR(92),CHAR(96))),CHAR(34),CHAR(39))))</f>
        <v/>
      </c>
      <c r="O996" s="5" t="str">
        <f>IF(OR(TRIM($B996)="",$E996=""),"",IF(OR(ISNUMBER(SEARCH(_xlfn.CONCAT(CHAR(96),CHAR(34)),$E996)),ISNUMBER(SEARCH(_xlfn.CONCAT(CHAR(34),CHAR(39)),$E996))),_xlfn.CONCAT("* REVIEW REQUIRED: compound-quote delimiter in Question Wording on Sheet 1 row ",996,"; edit the input before running."),_xlfn.CONCAT("char ",TRIM($B996),"[doc_question] ",CHAR(96),CHAR(34),SUBSTITUTE(SUBSTITUTE(SUBSTITUTE(SUBSTITUTE(SUBSTITUTE(SUBSTITUTE($E996,CHAR(13)," "),CHAR(10)," "),CHAR(9)," "),CHAR(92),_xlfn.CONCAT(CHAR(92),CHAR(92))),"$",_xlfn.CONCAT(CHAR(92),"$")),CHAR(96),_xlfn.CONCAT(CHAR(92),CHAR(96))),CHAR(34),CHAR(39))))</f>
        <v/>
      </c>
      <c r="P996" s="5" t="str">
        <f>IF(OR(TRIM($B996)="",$F996=""),"",IF(OR(ISNUMBER(SEARCH(_xlfn.CONCAT(CHAR(96),CHAR(34)),$F996)),ISNUMBER(SEARCH(_xlfn.CONCAT(CHAR(34),CHAR(39)),$F996))),_xlfn.CONCAT("* REVIEW REQUIRED: compound-quote delimiter in Units on Sheet 1 row ",996,"; edit the input before running."),_xlfn.CONCAT("char ",TRIM($B996),"[doc_units] ",CHAR(96),CHAR(34),SUBSTITUTE(SUBSTITUTE(SUBSTITUTE(SUBSTITUTE(SUBSTITUTE(SUBSTITUTE($F996,CHAR(13)," "),CHAR(10)," "),CHAR(9)," "),CHAR(92),_xlfn.CONCAT(CHAR(92),CHAR(92))),"$",_xlfn.CONCAT(CHAR(92),"$")),CHAR(96),_xlfn.CONCAT(CHAR(92),CHAR(96))),CHAR(34),CHAR(39))))</f>
        <v/>
      </c>
      <c r="Q996" s="5" t="str">
        <f>IF(OR(TRIM($B996)="",$G996=""),"",IF(OR(ISNUMBER(SEARCH(_xlfn.CONCAT(CHAR(96),CHAR(34)),$G996)),ISNUMBER(SEARCH(_xlfn.CONCAT(CHAR(34),CHAR(39)),$G996))),_xlfn.CONCAT("* REVIEW REQUIRED: compound-quote delimiter in Universe on Sheet 1 row ",996,"; edit the input before running."),_xlfn.CONCAT("char ",TRIM($B996),"[doc_universe] ",CHAR(96),CHAR(34),SUBSTITUTE(SUBSTITUTE(SUBSTITUTE(SUBSTITUTE(SUBSTITUTE(SUBSTITUTE($G996,CHAR(13)," "),CHAR(10)," "),CHAR(9)," "),CHAR(92),_xlfn.CONCAT(CHAR(92),CHAR(92))),"$",_xlfn.CONCAT(CHAR(92),"$")),CHAR(96),_xlfn.CONCAT(CHAR(92),CHAR(96))),CHAR(34),CHAR(39))))</f>
        <v/>
      </c>
      <c r="R996" s="5" t="str">
        <f>IF(OR(TRIM($B996)="",$H996=""),"",IF(OR(ISNUMBER(SEARCH(_xlfn.CONCAT(CHAR(96),CHAR(34)),$H996)),ISNUMBER(SEARCH(_xlfn.CONCAT(CHAR(34),CHAR(39)),$H996))),_xlfn.CONCAT("* REVIEW REQUIRED: compound-quote delimiter in Source on Sheet 1 row ",996,"; edit the input before running."),_xlfn.CONCAT("char ",TRIM($B996),"[doc_source] ",CHAR(96),CHAR(34),SUBSTITUTE(SUBSTITUTE(SUBSTITUTE(SUBSTITUTE(SUBSTITUTE(SUBSTITUTE($H996,CHAR(13)," "),CHAR(10)," "),CHAR(9)," "),CHAR(92),_xlfn.CONCAT(CHAR(92),CHAR(92))),"$",_xlfn.CONCAT(CHAR(92),"$")),CHAR(96),_xlfn.CONCAT(CHAR(92),CHAR(96))),CHAR(34),CHAR(39))))</f>
        <v/>
      </c>
      <c r="S996" s="5" t="str">
        <f>IF(OR(TRIM($B996)="",$I996=""),"",IF(OR(ISNUMBER(SEARCH(_xlfn.CONCAT(CHAR(96),CHAR(34)),$I996)),ISNUMBER(SEARCH(_xlfn.CONCAT(CHAR(34),CHAR(39)),$I996))),_xlfn.CONCAT("* REVIEW REQUIRED: compound-quote delimiter in Derivation on Sheet 1 row ",996,"; edit the input before running."),_xlfn.CONCAT("char ",TRIM($B996),"[doc_derivation] ",CHAR(96),CHAR(34),SUBSTITUTE(SUBSTITUTE(SUBSTITUTE(SUBSTITUTE(SUBSTITUTE(SUBSTITUTE($I996,CHAR(13)," "),CHAR(10)," "),CHAR(9)," "),CHAR(92),_xlfn.CONCAT(CHAR(92),CHAR(92))),"$",_xlfn.CONCAT(CHAR(92),"$")),CHAR(96),_xlfn.CONCAT(CHAR(92),CHAR(96))),CHAR(34),CHAR(39))))</f>
        <v/>
      </c>
      <c r="T996" s="5" t="str">
        <f>IF(OR(TRIM($B996)="",$J996=""),"",IF(OR(ISNUMBER(SEARCH(_xlfn.CONCAT(CHAR(96),CHAR(34)),$J996)),ISNUMBER(SEARCH(_xlfn.CONCAT(CHAR(34),CHAR(39)),$J996))),_xlfn.CONCAT("* REVIEW REQUIRED: compound-quote delimiter in Notes on Sheet 1 row ",996,"; edit the input before running."),_xlfn.CONCAT("char ",TRIM($B996),"[doc_notes] ",CHAR(96),CHAR(34),SUBSTITUTE(SUBSTITUTE(SUBSTITUTE(SUBSTITUTE(SUBSTITUTE(SUBSTITUTE($J996,CHAR(13)," "),CHAR(10)," "),CHAR(9)," "),CHAR(92),_xlfn.CONCAT(CHAR(92),CHAR(92))),"$",_xlfn.CONCAT(CHAR(92),"$")),CHAR(96),_xlfn.CONCAT(CHAR(92),CHAR(96))),CHAR(34),CHAR(39))))</f>
        <v/>
      </c>
      <c r="U996" s="5">
        <f t="shared" si="31"/>
        <v>0</v>
      </c>
    </row>
    <row r="997" spans="3:21" ht="30" customHeight="1" x14ac:dyDescent="0.2">
      <c r="C997" s="4"/>
      <c r="K997" s="5">
        <f t="shared" si="30"/>
        <v>0</v>
      </c>
      <c r="L997" s="5" t="str">
        <f>IF(OR(TRIM($B997)="",$A997=""),"",IF(OR(ISNUMBER(SEARCH(_xlfn.CONCAT(CHAR(96),CHAR(34)),$A997)),ISNUMBER(SEARCH(_xlfn.CONCAT(CHAR(34),CHAR(39)),$A997))),_xlfn.CONCAT("* REVIEW REQUIRED: compound-quote delimiter in Codebook Section on Sheet 1 row ",997,"; edit the input before running."),_xlfn.CONCAT("char ",TRIM($B997),"[doc_section] ",CHAR(96),CHAR(34),SUBSTITUTE(SUBSTITUTE(SUBSTITUTE(SUBSTITUTE(SUBSTITUTE(SUBSTITUTE($A997,CHAR(13)," "),CHAR(10)," "),CHAR(9)," "),CHAR(92),_xlfn.CONCAT(CHAR(92),CHAR(92))),"$",_xlfn.CONCAT(CHAR(92),"$")),CHAR(96),_xlfn.CONCAT(CHAR(92),CHAR(96))),CHAR(34),CHAR(39))))</f>
        <v/>
      </c>
      <c r="M997" s="5" t="str">
        <f>IF(OR(TRIM($B997)="",$C997=""),"",IF(IFERROR(MATCH(TRIM($C997),{"Quantitative","Continuous","Discrete","Categorical","Nominal","Ordinal","Identifier"},0),0)=0,_xlfn.CONCAT("* REVIEW REQUIRED: invalid Variable Type on Sheet 1 row ",997,"."),_xlfn.CONCAT("char ",TRIM($B997),"[doc_vartype] ",CHAR(96),CHAR(34),SUBSTITUTE(SUBSTITUTE(SUBSTITUTE(SUBSTITUTE(SUBSTITUTE(SUBSTITUTE(LOWER(TRIM($C997)),CHAR(13)," "),CHAR(10)," "),CHAR(9)," "),CHAR(92),_xlfn.CONCAT(CHAR(92),CHAR(92))),"$",_xlfn.CONCAT(CHAR(92),"$")),CHAR(96),_xlfn.CONCAT(CHAR(92),CHAR(96))),CHAR(34),CHAR(39))))</f>
        <v/>
      </c>
      <c r="N997" s="5" t="str">
        <f>IF(OR(TRIM($B997)="",$D997=""),"",IF(OR(ISNUMBER(SEARCH(_xlfn.CONCAT(CHAR(96),CHAR(34)),$D997)),ISNUMBER(SEARCH(_xlfn.CONCAT(CHAR(34),CHAR(39)),$D997))),_xlfn.CONCAT("* REVIEW REQUIRED: compound-quote delimiter in Item Number on Sheet 1 row ",997,"; edit the input before running."),_xlfn.CONCAT("char ",TRIM($B997),"[doc_itemnum] ",CHAR(96),CHAR(34),SUBSTITUTE(SUBSTITUTE(SUBSTITUTE(SUBSTITUTE(SUBSTITUTE(SUBSTITUTE($D997,CHAR(13)," "),CHAR(10)," "),CHAR(9)," "),CHAR(92),_xlfn.CONCAT(CHAR(92),CHAR(92))),"$",_xlfn.CONCAT(CHAR(92),"$")),CHAR(96),_xlfn.CONCAT(CHAR(92),CHAR(96))),CHAR(34),CHAR(39))))</f>
        <v/>
      </c>
      <c r="O997" s="5" t="str">
        <f>IF(OR(TRIM($B997)="",$E997=""),"",IF(OR(ISNUMBER(SEARCH(_xlfn.CONCAT(CHAR(96),CHAR(34)),$E997)),ISNUMBER(SEARCH(_xlfn.CONCAT(CHAR(34),CHAR(39)),$E997))),_xlfn.CONCAT("* REVIEW REQUIRED: compound-quote delimiter in Question Wording on Sheet 1 row ",997,"; edit the input before running."),_xlfn.CONCAT("char ",TRIM($B997),"[doc_question] ",CHAR(96),CHAR(34),SUBSTITUTE(SUBSTITUTE(SUBSTITUTE(SUBSTITUTE(SUBSTITUTE(SUBSTITUTE($E997,CHAR(13)," "),CHAR(10)," "),CHAR(9)," "),CHAR(92),_xlfn.CONCAT(CHAR(92),CHAR(92))),"$",_xlfn.CONCAT(CHAR(92),"$")),CHAR(96),_xlfn.CONCAT(CHAR(92),CHAR(96))),CHAR(34),CHAR(39))))</f>
        <v/>
      </c>
      <c r="P997" s="5" t="str">
        <f>IF(OR(TRIM($B997)="",$F997=""),"",IF(OR(ISNUMBER(SEARCH(_xlfn.CONCAT(CHAR(96),CHAR(34)),$F997)),ISNUMBER(SEARCH(_xlfn.CONCAT(CHAR(34),CHAR(39)),$F997))),_xlfn.CONCAT("* REVIEW REQUIRED: compound-quote delimiter in Units on Sheet 1 row ",997,"; edit the input before running."),_xlfn.CONCAT("char ",TRIM($B997),"[doc_units] ",CHAR(96),CHAR(34),SUBSTITUTE(SUBSTITUTE(SUBSTITUTE(SUBSTITUTE(SUBSTITUTE(SUBSTITUTE($F997,CHAR(13)," "),CHAR(10)," "),CHAR(9)," "),CHAR(92),_xlfn.CONCAT(CHAR(92),CHAR(92))),"$",_xlfn.CONCAT(CHAR(92),"$")),CHAR(96),_xlfn.CONCAT(CHAR(92),CHAR(96))),CHAR(34),CHAR(39))))</f>
        <v/>
      </c>
      <c r="Q997" s="5" t="str">
        <f>IF(OR(TRIM($B997)="",$G997=""),"",IF(OR(ISNUMBER(SEARCH(_xlfn.CONCAT(CHAR(96),CHAR(34)),$G997)),ISNUMBER(SEARCH(_xlfn.CONCAT(CHAR(34),CHAR(39)),$G997))),_xlfn.CONCAT("* REVIEW REQUIRED: compound-quote delimiter in Universe on Sheet 1 row ",997,"; edit the input before running."),_xlfn.CONCAT("char ",TRIM($B997),"[doc_universe] ",CHAR(96),CHAR(34),SUBSTITUTE(SUBSTITUTE(SUBSTITUTE(SUBSTITUTE(SUBSTITUTE(SUBSTITUTE($G997,CHAR(13)," "),CHAR(10)," "),CHAR(9)," "),CHAR(92),_xlfn.CONCAT(CHAR(92),CHAR(92))),"$",_xlfn.CONCAT(CHAR(92),"$")),CHAR(96),_xlfn.CONCAT(CHAR(92),CHAR(96))),CHAR(34),CHAR(39))))</f>
        <v/>
      </c>
      <c r="R997" s="5" t="str">
        <f>IF(OR(TRIM($B997)="",$H997=""),"",IF(OR(ISNUMBER(SEARCH(_xlfn.CONCAT(CHAR(96),CHAR(34)),$H997)),ISNUMBER(SEARCH(_xlfn.CONCAT(CHAR(34),CHAR(39)),$H997))),_xlfn.CONCAT("* REVIEW REQUIRED: compound-quote delimiter in Source on Sheet 1 row ",997,"; edit the input before running."),_xlfn.CONCAT("char ",TRIM($B997),"[doc_source] ",CHAR(96),CHAR(34),SUBSTITUTE(SUBSTITUTE(SUBSTITUTE(SUBSTITUTE(SUBSTITUTE(SUBSTITUTE($H997,CHAR(13)," "),CHAR(10)," "),CHAR(9)," "),CHAR(92),_xlfn.CONCAT(CHAR(92),CHAR(92))),"$",_xlfn.CONCAT(CHAR(92),"$")),CHAR(96),_xlfn.CONCAT(CHAR(92),CHAR(96))),CHAR(34),CHAR(39))))</f>
        <v/>
      </c>
      <c r="S997" s="5" t="str">
        <f>IF(OR(TRIM($B997)="",$I997=""),"",IF(OR(ISNUMBER(SEARCH(_xlfn.CONCAT(CHAR(96),CHAR(34)),$I997)),ISNUMBER(SEARCH(_xlfn.CONCAT(CHAR(34),CHAR(39)),$I997))),_xlfn.CONCAT("* REVIEW REQUIRED: compound-quote delimiter in Derivation on Sheet 1 row ",997,"; edit the input before running."),_xlfn.CONCAT("char ",TRIM($B997),"[doc_derivation] ",CHAR(96),CHAR(34),SUBSTITUTE(SUBSTITUTE(SUBSTITUTE(SUBSTITUTE(SUBSTITUTE(SUBSTITUTE($I997,CHAR(13)," "),CHAR(10)," "),CHAR(9)," "),CHAR(92),_xlfn.CONCAT(CHAR(92),CHAR(92))),"$",_xlfn.CONCAT(CHAR(92),"$")),CHAR(96),_xlfn.CONCAT(CHAR(92),CHAR(96))),CHAR(34),CHAR(39))))</f>
        <v/>
      </c>
      <c r="T997" s="5" t="str">
        <f>IF(OR(TRIM($B997)="",$J997=""),"",IF(OR(ISNUMBER(SEARCH(_xlfn.CONCAT(CHAR(96),CHAR(34)),$J997)),ISNUMBER(SEARCH(_xlfn.CONCAT(CHAR(34),CHAR(39)),$J997))),_xlfn.CONCAT("* REVIEW REQUIRED: compound-quote delimiter in Notes on Sheet 1 row ",997,"; edit the input before running."),_xlfn.CONCAT("char ",TRIM($B997),"[doc_notes] ",CHAR(96),CHAR(34),SUBSTITUTE(SUBSTITUTE(SUBSTITUTE(SUBSTITUTE(SUBSTITUTE(SUBSTITUTE($J997,CHAR(13)," "),CHAR(10)," "),CHAR(9)," "),CHAR(92),_xlfn.CONCAT(CHAR(92),CHAR(92))),"$",_xlfn.CONCAT(CHAR(92),"$")),CHAR(96),_xlfn.CONCAT(CHAR(92),CHAR(96))),CHAR(34),CHAR(39))))</f>
        <v/>
      </c>
      <c r="U997" s="5">
        <f t="shared" si="31"/>
        <v>0</v>
      </c>
    </row>
    <row r="998" spans="3:21" ht="30" customHeight="1" x14ac:dyDescent="0.2">
      <c r="C998" s="4"/>
      <c r="K998" s="5">
        <f t="shared" si="30"/>
        <v>0</v>
      </c>
      <c r="L998" s="5" t="str">
        <f>IF(OR(TRIM($B998)="",$A998=""),"",IF(OR(ISNUMBER(SEARCH(_xlfn.CONCAT(CHAR(96),CHAR(34)),$A998)),ISNUMBER(SEARCH(_xlfn.CONCAT(CHAR(34),CHAR(39)),$A998))),_xlfn.CONCAT("* REVIEW REQUIRED: compound-quote delimiter in Codebook Section on Sheet 1 row ",998,"; edit the input before running."),_xlfn.CONCAT("char ",TRIM($B998),"[doc_section] ",CHAR(96),CHAR(34),SUBSTITUTE(SUBSTITUTE(SUBSTITUTE(SUBSTITUTE(SUBSTITUTE(SUBSTITUTE($A998,CHAR(13)," "),CHAR(10)," "),CHAR(9)," "),CHAR(92),_xlfn.CONCAT(CHAR(92),CHAR(92))),"$",_xlfn.CONCAT(CHAR(92),"$")),CHAR(96),_xlfn.CONCAT(CHAR(92),CHAR(96))),CHAR(34),CHAR(39))))</f>
        <v/>
      </c>
      <c r="M998" s="5" t="str">
        <f>IF(OR(TRIM($B998)="",$C998=""),"",IF(IFERROR(MATCH(TRIM($C998),{"Quantitative","Continuous","Discrete","Categorical","Nominal","Ordinal","Identifier"},0),0)=0,_xlfn.CONCAT("* REVIEW REQUIRED: invalid Variable Type on Sheet 1 row ",998,"."),_xlfn.CONCAT("char ",TRIM($B998),"[doc_vartype] ",CHAR(96),CHAR(34),SUBSTITUTE(SUBSTITUTE(SUBSTITUTE(SUBSTITUTE(SUBSTITUTE(SUBSTITUTE(LOWER(TRIM($C998)),CHAR(13)," "),CHAR(10)," "),CHAR(9)," "),CHAR(92),_xlfn.CONCAT(CHAR(92),CHAR(92))),"$",_xlfn.CONCAT(CHAR(92),"$")),CHAR(96),_xlfn.CONCAT(CHAR(92),CHAR(96))),CHAR(34),CHAR(39))))</f>
        <v/>
      </c>
      <c r="N998" s="5" t="str">
        <f>IF(OR(TRIM($B998)="",$D998=""),"",IF(OR(ISNUMBER(SEARCH(_xlfn.CONCAT(CHAR(96),CHAR(34)),$D998)),ISNUMBER(SEARCH(_xlfn.CONCAT(CHAR(34),CHAR(39)),$D998))),_xlfn.CONCAT("* REVIEW REQUIRED: compound-quote delimiter in Item Number on Sheet 1 row ",998,"; edit the input before running."),_xlfn.CONCAT("char ",TRIM($B998),"[doc_itemnum] ",CHAR(96),CHAR(34),SUBSTITUTE(SUBSTITUTE(SUBSTITUTE(SUBSTITUTE(SUBSTITUTE(SUBSTITUTE($D998,CHAR(13)," "),CHAR(10)," "),CHAR(9)," "),CHAR(92),_xlfn.CONCAT(CHAR(92),CHAR(92))),"$",_xlfn.CONCAT(CHAR(92),"$")),CHAR(96),_xlfn.CONCAT(CHAR(92),CHAR(96))),CHAR(34),CHAR(39))))</f>
        <v/>
      </c>
      <c r="O998" s="5" t="str">
        <f>IF(OR(TRIM($B998)="",$E998=""),"",IF(OR(ISNUMBER(SEARCH(_xlfn.CONCAT(CHAR(96),CHAR(34)),$E998)),ISNUMBER(SEARCH(_xlfn.CONCAT(CHAR(34),CHAR(39)),$E998))),_xlfn.CONCAT("* REVIEW REQUIRED: compound-quote delimiter in Question Wording on Sheet 1 row ",998,"; edit the input before running."),_xlfn.CONCAT("char ",TRIM($B998),"[doc_question] ",CHAR(96),CHAR(34),SUBSTITUTE(SUBSTITUTE(SUBSTITUTE(SUBSTITUTE(SUBSTITUTE(SUBSTITUTE($E998,CHAR(13)," "),CHAR(10)," "),CHAR(9)," "),CHAR(92),_xlfn.CONCAT(CHAR(92),CHAR(92))),"$",_xlfn.CONCAT(CHAR(92),"$")),CHAR(96),_xlfn.CONCAT(CHAR(92),CHAR(96))),CHAR(34),CHAR(39))))</f>
        <v/>
      </c>
      <c r="P998" s="5" t="str">
        <f>IF(OR(TRIM($B998)="",$F998=""),"",IF(OR(ISNUMBER(SEARCH(_xlfn.CONCAT(CHAR(96),CHAR(34)),$F998)),ISNUMBER(SEARCH(_xlfn.CONCAT(CHAR(34),CHAR(39)),$F998))),_xlfn.CONCAT("* REVIEW REQUIRED: compound-quote delimiter in Units on Sheet 1 row ",998,"; edit the input before running."),_xlfn.CONCAT("char ",TRIM($B998),"[doc_units] ",CHAR(96),CHAR(34),SUBSTITUTE(SUBSTITUTE(SUBSTITUTE(SUBSTITUTE(SUBSTITUTE(SUBSTITUTE($F998,CHAR(13)," "),CHAR(10)," "),CHAR(9)," "),CHAR(92),_xlfn.CONCAT(CHAR(92),CHAR(92))),"$",_xlfn.CONCAT(CHAR(92),"$")),CHAR(96),_xlfn.CONCAT(CHAR(92),CHAR(96))),CHAR(34),CHAR(39))))</f>
        <v/>
      </c>
      <c r="Q998" s="5" t="str">
        <f>IF(OR(TRIM($B998)="",$G998=""),"",IF(OR(ISNUMBER(SEARCH(_xlfn.CONCAT(CHAR(96),CHAR(34)),$G998)),ISNUMBER(SEARCH(_xlfn.CONCAT(CHAR(34),CHAR(39)),$G998))),_xlfn.CONCAT("* REVIEW REQUIRED: compound-quote delimiter in Universe on Sheet 1 row ",998,"; edit the input before running."),_xlfn.CONCAT("char ",TRIM($B998),"[doc_universe] ",CHAR(96),CHAR(34),SUBSTITUTE(SUBSTITUTE(SUBSTITUTE(SUBSTITUTE(SUBSTITUTE(SUBSTITUTE($G998,CHAR(13)," "),CHAR(10)," "),CHAR(9)," "),CHAR(92),_xlfn.CONCAT(CHAR(92),CHAR(92))),"$",_xlfn.CONCAT(CHAR(92),"$")),CHAR(96),_xlfn.CONCAT(CHAR(92),CHAR(96))),CHAR(34),CHAR(39))))</f>
        <v/>
      </c>
      <c r="R998" s="5" t="str">
        <f>IF(OR(TRIM($B998)="",$H998=""),"",IF(OR(ISNUMBER(SEARCH(_xlfn.CONCAT(CHAR(96),CHAR(34)),$H998)),ISNUMBER(SEARCH(_xlfn.CONCAT(CHAR(34),CHAR(39)),$H998))),_xlfn.CONCAT("* REVIEW REQUIRED: compound-quote delimiter in Source on Sheet 1 row ",998,"; edit the input before running."),_xlfn.CONCAT("char ",TRIM($B998),"[doc_source] ",CHAR(96),CHAR(34),SUBSTITUTE(SUBSTITUTE(SUBSTITUTE(SUBSTITUTE(SUBSTITUTE(SUBSTITUTE($H998,CHAR(13)," "),CHAR(10)," "),CHAR(9)," "),CHAR(92),_xlfn.CONCAT(CHAR(92),CHAR(92))),"$",_xlfn.CONCAT(CHAR(92),"$")),CHAR(96),_xlfn.CONCAT(CHAR(92),CHAR(96))),CHAR(34),CHAR(39))))</f>
        <v/>
      </c>
      <c r="S998" s="5" t="str">
        <f>IF(OR(TRIM($B998)="",$I998=""),"",IF(OR(ISNUMBER(SEARCH(_xlfn.CONCAT(CHAR(96),CHAR(34)),$I998)),ISNUMBER(SEARCH(_xlfn.CONCAT(CHAR(34),CHAR(39)),$I998))),_xlfn.CONCAT("* REVIEW REQUIRED: compound-quote delimiter in Derivation on Sheet 1 row ",998,"; edit the input before running."),_xlfn.CONCAT("char ",TRIM($B998),"[doc_derivation] ",CHAR(96),CHAR(34),SUBSTITUTE(SUBSTITUTE(SUBSTITUTE(SUBSTITUTE(SUBSTITUTE(SUBSTITUTE($I998,CHAR(13)," "),CHAR(10)," "),CHAR(9)," "),CHAR(92),_xlfn.CONCAT(CHAR(92),CHAR(92))),"$",_xlfn.CONCAT(CHAR(92),"$")),CHAR(96),_xlfn.CONCAT(CHAR(92),CHAR(96))),CHAR(34),CHAR(39))))</f>
        <v/>
      </c>
      <c r="T998" s="5" t="str">
        <f>IF(OR(TRIM($B998)="",$J998=""),"",IF(OR(ISNUMBER(SEARCH(_xlfn.CONCAT(CHAR(96),CHAR(34)),$J998)),ISNUMBER(SEARCH(_xlfn.CONCAT(CHAR(34),CHAR(39)),$J998))),_xlfn.CONCAT("* REVIEW REQUIRED: compound-quote delimiter in Notes on Sheet 1 row ",998,"; edit the input before running."),_xlfn.CONCAT("char ",TRIM($B998),"[doc_notes] ",CHAR(96),CHAR(34),SUBSTITUTE(SUBSTITUTE(SUBSTITUTE(SUBSTITUTE(SUBSTITUTE(SUBSTITUTE($J998,CHAR(13)," "),CHAR(10)," "),CHAR(9)," "),CHAR(92),_xlfn.CONCAT(CHAR(92),CHAR(92))),"$",_xlfn.CONCAT(CHAR(92),"$")),CHAR(96),_xlfn.CONCAT(CHAR(92),CHAR(96))),CHAR(34),CHAR(39))))</f>
        <v/>
      </c>
      <c r="U998" s="5">
        <f t="shared" si="31"/>
        <v>0</v>
      </c>
    </row>
    <row r="999" spans="3:21" ht="30" customHeight="1" x14ac:dyDescent="0.2">
      <c r="C999" s="4"/>
      <c r="K999" s="5">
        <f t="shared" si="30"/>
        <v>0</v>
      </c>
      <c r="L999" s="5" t="str">
        <f>IF(OR(TRIM($B999)="",$A999=""),"",IF(OR(ISNUMBER(SEARCH(_xlfn.CONCAT(CHAR(96),CHAR(34)),$A999)),ISNUMBER(SEARCH(_xlfn.CONCAT(CHAR(34),CHAR(39)),$A999))),_xlfn.CONCAT("* REVIEW REQUIRED: compound-quote delimiter in Codebook Section on Sheet 1 row ",999,"; edit the input before running."),_xlfn.CONCAT("char ",TRIM($B999),"[doc_section] ",CHAR(96),CHAR(34),SUBSTITUTE(SUBSTITUTE(SUBSTITUTE(SUBSTITUTE(SUBSTITUTE(SUBSTITUTE($A999,CHAR(13)," "),CHAR(10)," "),CHAR(9)," "),CHAR(92),_xlfn.CONCAT(CHAR(92),CHAR(92))),"$",_xlfn.CONCAT(CHAR(92),"$")),CHAR(96),_xlfn.CONCAT(CHAR(92),CHAR(96))),CHAR(34),CHAR(39))))</f>
        <v/>
      </c>
      <c r="M999" s="5" t="str">
        <f>IF(OR(TRIM($B999)="",$C999=""),"",IF(IFERROR(MATCH(TRIM($C999),{"Quantitative","Continuous","Discrete","Categorical","Nominal","Ordinal","Identifier"},0),0)=0,_xlfn.CONCAT("* REVIEW REQUIRED: invalid Variable Type on Sheet 1 row ",999,"."),_xlfn.CONCAT("char ",TRIM($B999),"[doc_vartype] ",CHAR(96),CHAR(34),SUBSTITUTE(SUBSTITUTE(SUBSTITUTE(SUBSTITUTE(SUBSTITUTE(SUBSTITUTE(LOWER(TRIM($C999)),CHAR(13)," "),CHAR(10)," "),CHAR(9)," "),CHAR(92),_xlfn.CONCAT(CHAR(92),CHAR(92))),"$",_xlfn.CONCAT(CHAR(92),"$")),CHAR(96),_xlfn.CONCAT(CHAR(92),CHAR(96))),CHAR(34),CHAR(39))))</f>
        <v/>
      </c>
      <c r="N999" s="5" t="str">
        <f>IF(OR(TRIM($B999)="",$D999=""),"",IF(OR(ISNUMBER(SEARCH(_xlfn.CONCAT(CHAR(96),CHAR(34)),$D999)),ISNUMBER(SEARCH(_xlfn.CONCAT(CHAR(34),CHAR(39)),$D999))),_xlfn.CONCAT("* REVIEW REQUIRED: compound-quote delimiter in Item Number on Sheet 1 row ",999,"; edit the input before running."),_xlfn.CONCAT("char ",TRIM($B999),"[doc_itemnum] ",CHAR(96),CHAR(34),SUBSTITUTE(SUBSTITUTE(SUBSTITUTE(SUBSTITUTE(SUBSTITUTE(SUBSTITUTE($D999,CHAR(13)," "),CHAR(10)," "),CHAR(9)," "),CHAR(92),_xlfn.CONCAT(CHAR(92),CHAR(92))),"$",_xlfn.CONCAT(CHAR(92),"$")),CHAR(96),_xlfn.CONCAT(CHAR(92),CHAR(96))),CHAR(34),CHAR(39))))</f>
        <v/>
      </c>
      <c r="O999" s="5" t="str">
        <f>IF(OR(TRIM($B999)="",$E999=""),"",IF(OR(ISNUMBER(SEARCH(_xlfn.CONCAT(CHAR(96),CHAR(34)),$E999)),ISNUMBER(SEARCH(_xlfn.CONCAT(CHAR(34),CHAR(39)),$E999))),_xlfn.CONCAT("* REVIEW REQUIRED: compound-quote delimiter in Question Wording on Sheet 1 row ",999,"; edit the input before running."),_xlfn.CONCAT("char ",TRIM($B999),"[doc_question] ",CHAR(96),CHAR(34),SUBSTITUTE(SUBSTITUTE(SUBSTITUTE(SUBSTITUTE(SUBSTITUTE(SUBSTITUTE($E999,CHAR(13)," "),CHAR(10)," "),CHAR(9)," "),CHAR(92),_xlfn.CONCAT(CHAR(92),CHAR(92))),"$",_xlfn.CONCAT(CHAR(92),"$")),CHAR(96),_xlfn.CONCAT(CHAR(92),CHAR(96))),CHAR(34),CHAR(39))))</f>
        <v/>
      </c>
      <c r="P999" s="5" t="str">
        <f>IF(OR(TRIM($B999)="",$F999=""),"",IF(OR(ISNUMBER(SEARCH(_xlfn.CONCAT(CHAR(96),CHAR(34)),$F999)),ISNUMBER(SEARCH(_xlfn.CONCAT(CHAR(34),CHAR(39)),$F999))),_xlfn.CONCAT("* REVIEW REQUIRED: compound-quote delimiter in Units on Sheet 1 row ",999,"; edit the input before running."),_xlfn.CONCAT("char ",TRIM($B999),"[doc_units] ",CHAR(96),CHAR(34),SUBSTITUTE(SUBSTITUTE(SUBSTITUTE(SUBSTITUTE(SUBSTITUTE(SUBSTITUTE($F999,CHAR(13)," "),CHAR(10)," "),CHAR(9)," "),CHAR(92),_xlfn.CONCAT(CHAR(92),CHAR(92))),"$",_xlfn.CONCAT(CHAR(92),"$")),CHAR(96),_xlfn.CONCAT(CHAR(92),CHAR(96))),CHAR(34),CHAR(39))))</f>
        <v/>
      </c>
      <c r="Q999" s="5" t="str">
        <f>IF(OR(TRIM($B999)="",$G999=""),"",IF(OR(ISNUMBER(SEARCH(_xlfn.CONCAT(CHAR(96),CHAR(34)),$G999)),ISNUMBER(SEARCH(_xlfn.CONCAT(CHAR(34),CHAR(39)),$G999))),_xlfn.CONCAT("* REVIEW REQUIRED: compound-quote delimiter in Universe on Sheet 1 row ",999,"; edit the input before running."),_xlfn.CONCAT("char ",TRIM($B999),"[doc_universe] ",CHAR(96),CHAR(34),SUBSTITUTE(SUBSTITUTE(SUBSTITUTE(SUBSTITUTE(SUBSTITUTE(SUBSTITUTE($G999,CHAR(13)," "),CHAR(10)," "),CHAR(9)," "),CHAR(92),_xlfn.CONCAT(CHAR(92),CHAR(92))),"$",_xlfn.CONCAT(CHAR(92),"$")),CHAR(96),_xlfn.CONCAT(CHAR(92),CHAR(96))),CHAR(34),CHAR(39))))</f>
        <v/>
      </c>
      <c r="R999" s="5" t="str">
        <f>IF(OR(TRIM($B999)="",$H999=""),"",IF(OR(ISNUMBER(SEARCH(_xlfn.CONCAT(CHAR(96),CHAR(34)),$H999)),ISNUMBER(SEARCH(_xlfn.CONCAT(CHAR(34),CHAR(39)),$H999))),_xlfn.CONCAT("* REVIEW REQUIRED: compound-quote delimiter in Source on Sheet 1 row ",999,"; edit the input before running."),_xlfn.CONCAT("char ",TRIM($B999),"[doc_source] ",CHAR(96),CHAR(34),SUBSTITUTE(SUBSTITUTE(SUBSTITUTE(SUBSTITUTE(SUBSTITUTE(SUBSTITUTE($H999,CHAR(13)," "),CHAR(10)," "),CHAR(9)," "),CHAR(92),_xlfn.CONCAT(CHAR(92),CHAR(92))),"$",_xlfn.CONCAT(CHAR(92),"$")),CHAR(96),_xlfn.CONCAT(CHAR(92),CHAR(96))),CHAR(34),CHAR(39))))</f>
        <v/>
      </c>
      <c r="S999" s="5" t="str">
        <f>IF(OR(TRIM($B999)="",$I999=""),"",IF(OR(ISNUMBER(SEARCH(_xlfn.CONCAT(CHAR(96),CHAR(34)),$I999)),ISNUMBER(SEARCH(_xlfn.CONCAT(CHAR(34),CHAR(39)),$I999))),_xlfn.CONCAT("* REVIEW REQUIRED: compound-quote delimiter in Derivation on Sheet 1 row ",999,"; edit the input before running."),_xlfn.CONCAT("char ",TRIM($B999),"[doc_derivation] ",CHAR(96),CHAR(34),SUBSTITUTE(SUBSTITUTE(SUBSTITUTE(SUBSTITUTE(SUBSTITUTE(SUBSTITUTE($I999,CHAR(13)," "),CHAR(10)," "),CHAR(9)," "),CHAR(92),_xlfn.CONCAT(CHAR(92),CHAR(92))),"$",_xlfn.CONCAT(CHAR(92),"$")),CHAR(96),_xlfn.CONCAT(CHAR(92),CHAR(96))),CHAR(34),CHAR(39))))</f>
        <v/>
      </c>
      <c r="T999" s="5" t="str">
        <f>IF(OR(TRIM($B999)="",$J999=""),"",IF(OR(ISNUMBER(SEARCH(_xlfn.CONCAT(CHAR(96),CHAR(34)),$J999)),ISNUMBER(SEARCH(_xlfn.CONCAT(CHAR(34),CHAR(39)),$J999))),_xlfn.CONCAT("* REVIEW REQUIRED: compound-quote delimiter in Notes on Sheet 1 row ",999,"; edit the input before running."),_xlfn.CONCAT("char ",TRIM($B999),"[doc_notes] ",CHAR(96),CHAR(34),SUBSTITUTE(SUBSTITUTE(SUBSTITUTE(SUBSTITUTE(SUBSTITUTE(SUBSTITUTE($J999,CHAR(13)," "),CHAR(10)," "),CHAR(9)," "),CHAR(92),_xlfn.CONCAT(CHAR(92),CHAR(92))),"$",_xlfn.CONCAT(CHAR(92),"$")),CHAR(96),_xlfn.CONCAT(CHAR(92),CHAR(96))),CHAR(34),CHAR(39))))</f>
        <v/>
      </c>
      <c r="U999" s="5">
        <f t="shared" si="31"/>
        <v>0</v>
      </c>
    </row>
    <row r="1000" spans="3:21" ht="30" customHeight="1" x14ac:dyDescent="0.2">
      <c r="C1000" s="4"/>
      <c r="K1000" s="5">
        <f t="shared" si="30"/>
        <v>0</v>
      </c>
      <c r="L1000" s="5" t="str">
        <f>IF(OR(TRIM($B1000)="",$A1000=""),"",IF(OR(ISNUMBER(SEARCH(_xlfn.CONCAT(CHAR(96),CHAR(34)),$A1000)),ISNUMBER(SEARCH(_xlfn.CONCAT(CHAR(34),CHAR(39)),$A1000))),_xlfn.CONCAT("* REVIEW REQUIRED: compound-quote delimiter in Codebook Section on Sheet 1 row ",1000,"; edit the input before running."),_xlfn.CONCAT("char ",TRIM($B1000),"[doc_section] ",CHAR(96),CHAR(34),SUBSTITUTE(SUBSTITUTE(SUBSTITUTE(SUBSTITUTE(SUBSTITUTE(SUBSTITUTE($A1000,CHAR(13)," "),CHAR(10)," "),CHAR(9)," "),CHAR(92),_xlfn.CONCAT(CHAR(92),CHAR(92))),"$",_xlfn.CONCAT(CHAR(92),"$")),CHAR(96),_xlfn.CONCAT(CHAR(92),CHAR(96))),CHAR(34),CHAR(39))))</f>
        <v/>
      </c>
      <c r="M1000" s="5" t="str">
        <f>IF(OR(TRIM($B1000)="",$C1000=""),"",IF(IFERROR(MATCH(TRIM($C1000),{"Quantitative","Continuous","Discrete","Categorical","Nominal","Ordinal","Identifier"},0),0)=0,_xlfn.CONCAT("* REVIEW REQUIRED: invalid Variable Type on Sheet 1 row ",1000,"."),_xlfn.CONCAT("char ",TRIM($B1000),"[doc_vartype] ",CHAR(96),CHAR(34),SUBSTITUTE(SUBSTITUTE(SUBSTITUTE(SUBSTITUTE(SUBSTITUTE(SUBSTITUTE(LOWER(TRIM($C1000)),CHAR(13)," "),CHAR(10)," "),CHAR(9)," "),CHAR(92),_xlfn.CONCAT(CHAR(92),CHAR(92))),"$",_xlfn.CONCAT(CHAR(92),"$")),CHAR(96),_xlfn.CONCAT(CHAR(92),CHAR(96))),CHAR(34),CHAR(39))))</f>
        <v/>
      </c>
      <c r="N1000" s="5" t="str">
        <f>IF(OR(TRIM($B1000)="",$D1000=""),"",IF(OR(ISNUMBER(SEARCH(_xlfn.CONCAT(CHAR(96),CHAR(34)),$D1000)),ISNUMBER(SEARCH(_xlfn.CONCAT(CHAR(34),CHAR(39)),$D1000))),_xlfn.CONCAT("* REVIEW REQUIRED: compound-quote delimiter in Item Number on Sheet 1 row ",1000,"; edit the input before running."),_xlfn.CONCAT("char ",TRIM($B1000),"[doc_itemnum] ",CHAR(96),CHAR(34),SUBSTITUTE(SUBSTITUTE(SUBSTITUTE(SUBSTITUTE(SUBSTITUTE(SUBSTITUTE($D1000,CHAR(13)," "),CHAR(10)," "),CHAR(9)," "),CHAR(92),_xlfn.CONCAT(CHAR(92),CHAR(92))),"$",_xlfn.CONCAT(CHAR(92),"$")),CHAR(96),_xlfn.CONCAT(CHAR(92),CHAR(96))),CHAR(34),CHAR(39))))</f>
        <v/>
      </c>
      <c r="O1000" s="5" t="str">
        <f>IF(OR(TRIM($B1000)="",$E1000=""),"",IF(OR(ISNUMBER(SEARCH(_xlfn.CONCAT(CHAR(96),CHAR(34)),$E1000)),ISNUMBER(SEARCH(_xlfn.CONCAT(CHAR(34),CHAR(39)),$E1000))),_xlfn.CONCAT("* REVIEW REQUIRED: compound-quote delimiter in Question Wording on Sheet 1 row ",1000,"; edit the input before running."),_xlfn.CONCAT("char ",TRIM($B1000),"[doc_question] ",CHAR(96),CHAR(34),SUBSTITUTE(SUBSTITUTE(SUBSTITUTE(SUBSTITUTE(SUBSTITUTE(SUBSTITUTE($E1000,CHAR(13)," "),CHAR(10)," "),CHAR(9)," "),CHAR(92),_xlfn.CONCAT(CHAR(92),CHAR(92))),"$",_xlfn.CONCAT(CHAR(92),"$")),CHAR(96),_xlfn.CONCAT(CHAR(92),CHAR(96))),CHAR(34),CHAR(39))))</f>
        <v/>
      </c>
      <c r="P1000" s="5" t="str">
        <f>IF(OR(TRIM($B1000)="",$F1000=""),"",IF(OR(ISNUMBER(SEARCH(_xlfn.CONCAT(CHAR(96),CHAR(34)),$F1000)),ISNUMBER(SEARCH(_xlfn.CONCAT(CHAR(34),CHAR(39)),$F1000))),_xlfn.CONCAT("* REVIEW REQUIRED: compound-quote delimiter in Units on Sheet 1 row ",1000,"; edit the input before running."),_xlfn.CONCAT("char ",TRIM($B1000),"[doc_units] ",CHAR(96),CHAR(34),SUBSTITUTE(SUBSTITUTE(SUBSTITUTE(SUBSTITUTE(SUBSTITUTE(SUBSTITUTE($F1000,CHAR(13)," "),CHAR(10)," "),CHAR(9)," "),CHAR(92),_xlfn.CONCAT(CHAR(92),CHAR(92))),"$",_xlfn.CONCAT(CHAR(92),"$")),CHAR(96),_xlfn.CONCAT(CHAR(92),CHAR(96))),CHAR(34),CHAR(39))))</f>
        <v/>
      </c>
      <c r="Q1000" s="5" t="str">
        <f>IF(OR(TRIM($B1000)="",$G1000=""),"",IF(OR(ISNUMBER(SEARCH(_xlfn.CONCAT(CHAR(96),CHAR(34)),$G1000)),ISNUMBER(SEARCH(_xlfn.CONCAT(CHAR(34),CHAR(39)),$G1000))),_xlfn.CONCAT("* REVIEW REQUIRED: compound-quote delimiter in Universe on Sheet 1 row ",1000,"; edit the input before running."),_xlfn.CONCAT("char ",TRIM($B1000),"[doc_universe] ",CHAR(96),CHAR(34),SUBSTITUTE(SUBSTITUTE(SUBSTITUTE(SUBSTITUTE(SUBSTITUTE(SUBSTITUTE($G1000,CHAR(13)," "),CHAR(10)," "),CHAR(9)," "),CHAR(92),_xlfn.CONCAT(CHAR(92),CHAR(92))),"$",_xlfn.CONCAT(CHAR(92),"$")),CHAR(96),_xlfn.CONCAT(CHAR(92),CHAR(96))),CHAR(34),CHAR(39))))</f>
        <v/>
      </c>
      <c r="R1000" s="5" t="str">
        <f>IF(OR(TRIM($B1000)="",$H1000=""),"",IF(OR(ISNUMBER(SEARCH(_xlfn.CONCAT(CHAR(96),CHAR(34)),$H1000)),ISNUMBER(SEARCH(_xlfn.CONCAT(CHAR(34),CHAR(39)),$H1000))),_xlfn.CONCAT("* REVIEW REQUIRED: compound-quote delimiter in Source on Sheet 1 row ",1000,"; edit the input before running."),_xlfn.CONCAT("char ",TRIM($B1000),"[doc_source] ",CHAR(96),CHAR(34),SUBSTITUTE(SUBSTITUTE(SUBSTITUTE(SUBSTITUTE(SUBSTITUTE(SUBSTITUTE($H1000,CHAR(13)," "),CHAR(10)," "),CHAR(9)," "),CHAR(92),_xlfn.CONCAT(CHAR(92),CHAR(92))),"$",_xlfn.CONCAT(CHAR(92),"$")),CHAR(96),_xlfn.CONCAT(CHAR(92),CHAR(96))),CHAR(34),CHAR(39))))</f>
        <v/>
      </c>
      <c r="S1000" s="5" t="str">
        <f>IF(OR(TRIM($B1000)="",$I1000=""),"",IF(OR(ISNUMBER(SEARCH(_xlfn.CONCAT(CHAR(96),CHAR(34)),$I1000)),ISNUMBER(SEARCH(_xlfn.CONCAT(CHAR(34),CHAR(39)),$I1000))),_xlfn.CONCAT("* REVIEW REQUIRED: compound-quote delimiter in Derivation on Sheet 1 row ",1000,"; edit the input before running."),_xlfn.CONCAT("char ",TRIM($B1000),"[doc_derivation] ",CHAR(96),CHAR(34),SUBSTITUTE(SUBSTITUTE(SUBSTITUTE(SUBSTITUTE(SUBSTITUTE(SUBSTITUTE($I1000,CHAR(13)," "),CHAR(10)," "),CHAR(9)," "),CHAR(92),_xlfn.CONCAT(CHAR(92),CHAR(92))),"$",_xlfn.CONCAT(CHAR(92),"$")),CHAR(96),_xlfn.CONCAT(CHAR(92),CHAR(96))),CHAR(34),CHAR(39))))</f>
        <v/>
      </c>
      <c r="T1000" s="5" t="str">
        <f>IF(OR(TRIM($B1000)="",$J1000=""),"",IF(OR(ISNUMBER(SEARCH(_xlfn.CONCAT(CHAR(96),CHAR(34)),$J1000)),ISNUMBER(SEARCH(_xlfn.CONCAT(CHAR(34),CHAR(39)),$J1000))),_xlfn.CONCAT("* REVIEW REQUIRED: compound-quote delimiter in Notes on Sheet 1 row ",1000,"; edit the input before running."),_xlfn.CONCAT("char ",TRIM($B1000),"[doc_notes] ",CHAR(96),CHAR(34),SUBSTITUTE(SUBSTITUTE(SUBSTITUTE(SUBSTITUTE(SUBSTITUTE(SUBSTITUTE($J1000,CHAR(13)," "),CHAR(10)," "),CHAR(9)," "),CHAR(92),_xlfn.CONCAT(CHAR(92),CHAR(92))),"$",_xlfn.CONCAT(CHAR(92),"$")),CHAR(96),_xlfn.CONCAT(CHAR(92),CHAR(96))),CHAR(34),CHAR(39))))</f>
        <v/>
      </c>
      <c r="U1000" s="5">
        <f t="shared" si="31"/>
        <v>0</v>
      </c>
    </row>
    <row r="1001" spans="3:21" ht="30" customHeight="1" x14ac:dyDescent="0.2">
      <c r="C1001" s="4"/>
      <c r="K1001" s="5">
        <f t="shared" si="30"/>
        <v>0</v>
      </c>
      <c r="L1001" s="5" t="str">
        <f>IF(OR(TRIM($B1001)="",$A1001=""),"",IF(OR(ISNUMBER(SEARCH(_xlfn.CONCAT(CHAR(96),CHAR(34)),$A1001)),ISNUMBER(SEARCH(_xlfn.CONCAT(CHAR(34),CHAR(39)),$A1001))),_xlfn.CONCAT("* REVIEW REQUIRED: compound-quote delimiter in Codebook Section on Sheet 1 row ",1001,"; edit the input before running."),_xlfn.CONCAT("char ",TRIM($B1001),"[doc_section] ",CHAR(96),CHAR(34),SUBSTITUTE(SUBSTITUTE(SUBSTITUTE(SUBSTITUTE(SUBSTITUTE(SUBSTITUTE($A1001,CHAR(13)," "),CHAR(10)," "),CHAR(9)," "),CHAR(92),_xlfn.CONCAT(CHAR(92),CHAR(92))),"$",_xlfn.CONCAT(CHAR(92),"$")),CHAR(96),_xlfn.CONCAT(CHAR(92),CHAR(96))),CHAR(34),CHAR(39))))</f>
        <v/>
      </c>
      <c r="M1001" s="5" t="str">
        <f>IF(OR(TRIM($B1001)="",$C1001=""),"",IF(IFERROR(MATCH(TRIM($C1001),{"Quantitative","Continuous","Discrete","Categorical","Nominal","Ordinal","Identifier"},0),0)=0,_xlfn.CONCAT("* REVIEW REQUIRED: invalid Variable Type on Sheet 1 row ",1001,"."),_xlfn.CONCAT("char ",TRIM($B1001),"[doc_vartype] ",CHAR(96),CHAR(34),SUBSTITUTE(SUBSTITUTE(SUBSTITUTE(SUBSTITUTE(SUBSTITUTE(SUBSTITUTE(LOWER(TRIM($C1001)),CHAR(13)," "),CHAR(10)," "),CHAR(9)," "),CHAR(92),_xlfn.CONCAT(CHAR(92),CHAR(92))),"$",_xlfn.CONCAT(CHAR(92),"$")),CHAR(96),_xlfn.CONCAT(CHAR(92),CHAR(96))),CHAR(34),CHAR(39))))</f>
        <v/>
      </c>
      <c r="N1001" s="5" t="str">
        <f>IF(OR(TRIM($B1001)="",$D1001=""),"",IF(OR(ISNUMBER(SEARCH(_xlfn.CONCAT(CHAR(96),CHAR(34)),$D1001)),ISNUMBER(SEARCH(_xlfn.CONCAT(CHAR(34),CHAR(39)),$D1001))),_xlfn.CONCAT("* REVIEW REQUIRED: compound-quote delimiter in Item Number on Sheet 1 row ",1001,"; edit the input before running."),_xlfn.CONCAT("char ",TRIM($B1001),"[doc_itemnum] ",CHAR(96),CHAR(34),SUBSTITUTE(SUBSTITUTE(SUBSTITUTE(SUBSTITUTE(SUBSTITUTE(SUBSTITUTE($D1001,CHAR(13)," "),CHAR(10)," "),CHAR(9)," "),CHAR(92),_xlfn.CONCAT(CHAR(92),CHAR(92))),"$",_xlfn.CONCAT(CHAR(92),"$")),CHAR(96),_xlfn.CONCAT(CHAR(92),CHAR(96))),CHAR(34),CHAR(39))))</f>
        <v/>
      </c>
      <c r="O1001" s="5" t="str">
        <f>IF(OR(TRIM($B1001)="",$E1001=""),"",IF(OR(ISNUMBER(SEARCH(_xlfn.CONCAT(CHAR(96),CHAR(34)),$E1001)),ISNUMBER(SEARCH(_xlfn.CONCAT(CHAR(34),CHAR(39)),$E1001))),_xlfn.CONCAT("* REVIEW REQUIRED: compound-quote delimiter in Question Wording on Sheet 1 row ",1001,"; edit the input before running."),_xlfn.CONCAT("char ",TRIM($B1001),"[doc_question] ",CHAR(96),CHAR(34),SUBSTITUTE(SUBSTITUTE(SUBSTITUTE(SUBSTITUTE(SUBSTITUTE(SUBSTITUTE($E1001,CHAR(13)," "),CHAR(10)," "),CHAR(9)," "),CHAR(92),_xlfn.CONCAT(CHAR(92),CHAR(92))),"$",_xlfn.CONCAT(CHAR(92),"$")),CHAR(96),_xlfn.CONCAT(CHAR(92),CHAR(96))),CHAR(34),CHAR(39))))</f>
        <v/>
      </c>
      <c r="P1001" s="5" t="str">
        <f>IF(OR(TRIM($B1001)="",$F1001=""),"",IF(OR(ISNUMBER(SEARCH(_xlfn.CONCAT(CHAR(96),CHAR(34)),$F1001)),ISNUMBER(SEARCH(_xlfn.CONCAT(CHAR(34),CHAR(39)),$F1001))),_xlfn.CONCAT("* REVIEW REQUIRED: compound-quote delimiter in Units on Sheet 1 row ",1001,"; edit the input before running."),_xlfn.CONCAT("char ",TRIM($B1001),"[doc_units] ",CHAR(96),CHAR(34),SUBSTITUTE(SUBSTITUTE(SUBSTITUTE(SUBSTITUTE(SUBSTITUTE(SUBSTITUTE($F1001,CHAR(13)," "),CHAR(10)," "),CHAR(9)," "),CHAR(92),_xlfn.CONCAT(CHAR(92),CHAR(92))),"$",_xlfn.CONCAT(CHAR(92),"$")),CHAR(96),_xlfn.CONCAT(CHAR(92),CHAR(96))),CHAR(34),CHAR(39))))</f>
        <v/>
      </c>
      <c r="Q1001" s="5" t="str">
        <f>IF(OR(TRIM($B1001)="",$G1001=""),"",IF(OR(ISNUMBER(SEARCH(_xlfn.CONCAT(CHAR(96),CHAR(34)),$G1001)),ISNUMBER(SEARCH(_xlfn.CONCAT(CHAR(34),CHAR(39)),$G1001))),_xlfn.CONCAT("* REVIEW REQUIRED: compound-quote delimiter in Universe on Sheet 1 row ",1001,"; edit the input before running."),_xlfn.CONCAT("char ",TRIM($B1001),"[doc_universe] ",CHAR(96),CHAR(34),SUBSTITUTE(SUBSTITUTE(SUBSTITUTE(SUBSTITUTE(SUBSTITUTE(SUBSTITUTE($G1001,CHAR(13)," "),CHAR(10)," "),CHAR(9)," "),CHAR(92),_xlfn.CONCAT(CHAR(92),CHAR(92))),"$",_xlfn.CONCAT(CHAR(92),"$")),CHAR(96),_xlfn.CONCAT(CHAR(92),CHAR(96))),CHAR(34),CHAR(39))))</f>
        <v/>
      </c>
      <c r="R1001" s="5" t="str">
        <f>IF(OR(TRIM($B1001)="",$H1001=""),"",IF(OR(ISNUMBER(SEARCH(_xlfn.CONCAT(CHAR(96),CHAR(34)),$H1001)),ISNUMBER(SEARCH(_xlfn.CONCAT(CHAR(34),CHAR(39)),$H1001))),_xlfn.CONCAT("* REVIEW REQUIRED: compound-quote delimiter in Source on Sheet 1 row ",1001,"; edit the input before running."),_xlfn.CONCAT("char ",TRIM($B1001),"[doc_source] ",CHAR(96),CHAR(34),SUBSTITUTE(SUBSTITUTE(SUBSTITUTE(SUBSTITUTE(SUBSTITUTE(SUBSTITUTE($H1001,CHAR(13)," "),CHAR(10)," "),CHAR(9)," "),CHAR(92),_xlfn.CONCAT(CHAR(92),CHAR(92))),"$",_xlfn.CONCAT(CHAR(92),"$")),CHAR(96),_xlfn.CONCAT(CHAR(92),CHAR(96))),CHAR(34),CHAR(39))))</f>
        <v/>
      </c>
      <c r="S1001" s="5" t="str">
        <f>IF(OR(TRIM($B1001)="",$I1001=""),"",IF(OR(ISNUMBER(SEARCH(_xlfn.CONCAT(CHAR(96),CHAR(34)),$I1001)),ISNUMBER(SEARCH(_xlfn.CONCAT(CHAR(34),CHAR(39)),$I1001))),_xlfn.CONCAT("* REVIEW REQUIRED: compound-quote delimiter in Derivation on Sheet 1 row ",1001,"; edit the input before running."),_xlfn.CONCAT("char ",TRIM($B1001),"[doc_derivation] ",CHAR(96),CHAR(34),SUBSTITUTE(SUBSTITUTE(SUBSTITUTE(SUBSTITUTE(SUBSTITUTE(SUBSTITUTE($I1001,CHAR(13)," "),CHAR(10)," "),CHAR(9)," "),CHAR(92),_xlfn.CONCAT(CHAR(92),CHAR(92))),"$",_xlfn.CONCAT(CHAR(92),"$")),CHAR(96),_xlfn.CONCAT(CHAR(92),CHAR(96))),CHAR(34),CHAR(39))))</f>
        <v/>
      </c>
      <c r="T1001" s="5" t="str">
        <f>IF(OR(TRIM($B1001)="",$J1001=""),"",IF(OR(ISNUMBER(SEARCH(_xlfn.CONCAT(CHAR(96),CHAR(34)),$J1001)),ISNUMBER(SEARCH(_xlfn.CONCAT(CHAR(34),CHAR(39)),$J1001))),_xlfn.CONCAT("* REVIEW REQUIRED: compound-quote delimiter in Notes on Sheet 1 row ",1001,"; edit the input before running."),_xlfn.CONCAT("char ",TRIM($B1001),"[doc_notes] ",CHAR(96),CHAR(34),SUBSTITUTE(SUBSTITUTE(SUBSTITUTE(SUBSTITUTE(SUBSTITUTE(SUBSTITUTE($J1001,CHAR(13)," "),CHAR(10)," "),CHAR(9)," "),CHAR(92),_xlfn.CONCAT(CHAR(92),CHAR(92))),"$",_xlfn.CONCAT(CHAR(92),"$")),CHAR(96),_xlfn.CONCAT(CHAR(92),CHAR(96))),CHAR(34),CHAR(39))))</f>
        <v/>
      </c>
      <c r="U1001" s="5">
        <f t="shared" si="31"/>
        <v>0</v>
      </c>
    </row>
    <row r="1002" spans="3:21" ht="30" customHeight="1" x14ac:dyDescent="0.2">
      <c r="C1002" s="4"/>
      <c r="K1002" s="5">
        <f t="shared" si="30"/>
        <v>0</v>
      </c>
      <c r="L1002" s="5" t="str">
        <f>IF(OR(TRIM($B1002)="",$A1002=""),"",IF(OR(ISNUMBER(SEARCH(_xlfn.CONCAT(CHAR(96),CHAR(34)),$A1002)),ISNUMBER(SEARCH(_xlfn.CONCAT(CHAR(34),CHAR(39)),$A1002))),_xlfn.CONCAT("* REVIEW REQUIRED: compound-quote delimiter in Codebook Section on Sheet 1 row ",1002,"; edit the input before running."),_xlfn.CONCAT("char ",TRIM($B1002),"[doc_section] ",CHAR(96),CHAR(34),SUBSTITUTE(SUBSTITUTE(SUBSTITUTE(SUBSTITUTE(SUBSTITUTE(SUBSTITUTE($A1002,CHAR(13)," "),CHAR(10)," "),CHAR(9)," "),CHAR(92),_xlfn.CONCAT(CHAR(92),CHAR(92))),"$",_xlfn.CONCAT(CHAR(92),"$")),CHAR(96),_xlfn.CONCAT(CHAR(92),CHAR(96))),CHAR(34),CHAR(39))))</f>
        <v/>
      </c>
      <c r="M1002" s="5" t="str">
        <f>IF(OR(TRIM($B1002)="",$C1002=""),"",IF(IFERROR(MATCH(TRIM($C1002),{"Quantitative","Continuous","Discrete","Categorical","Nominal","Ordinal","Identifier"},0),0)=0,_xlfn.CONCAT("* REVIEW REQUIRED: invalid Variable Type on Sheet 1 row ",1002,"."),_xlfn.CONCAT("char ",TRIM($B1002),"[doc_vartype] ",CHAR(96),CHAR(34),SUBSTITUTE(SUBSTITUTE(SUBSTITUTE(SUBSTITUTE(SUBSTITUTE(SUBSTITUTE(LOWER(TRIM($C1002)),CHAR(13)," "),CHAR(10)," "),CHAR(9)," "),CHAR(92),_xlfn.CONCAT(CHAR(92),CHAR(92))),"$",_xlfn.CONCAT(CHAR(92),"$")),CHAR(96),_xlfn.CONCAT(CHAR(92),CHAR(96))),CHAR(34),CHAR(39))))</f>
        <v/>
      </c>
      <c r="N1002" s="5" t="str">
        <f>IF(OR(TRIM($B1002)="",$D1002=""),"",IF(OR(ISNUMBER(SEARCH(_xlfn.CONCAT(CHAR(96),CHAR(34)),$D1002)),ISNUMBER(SEARCH(_xlfn.CONCAT(CHAR(34),CHAR(39)),$D1002))),_xlfn.CONCAT("* REVIEW REQUIRED: compound-quote delimiter in Item Number on Sheet 1 row ",1002,"; edit the input before running."),_xlfn.CONCAT("char ",TRIM($B1002),"[doc_itemnum] ",CHAR(96),CHAR(34),SUBSTITUTE(SUBSTITUTE(SUBSTITUTE(SUBSTITUTE(SUBSTITUTE(SUBSTITUTE($D1002,CHAR(13)," "),CHAR(10)," "),CHAR(9)," "),CHAR(92),_xlfn.CONCAT(CHAR(92),CHAR(92))),"$",_xlfn.CONCAT(CHAR(92),"$")),CHAR(96),_xlfn.CONCAT(CHAR(92),CHAR(96))),CHAR(34),CHAR(39))))</f>
        <v/>
      </c>
      <c r="O1002" s="5" t="str">
        <f>IF(OR(TRIM($B1002)="",$E1002=""),"",IF(OR(ISNUMBER(SEARCH(_xlfn.CONCAT(CHAR(96),CHAR(34)),$E1002)),ISNUMBER(SEARCH(_xlfn.CONCAT(CHAR(34),CHAR(39)),$E1002))),_xlfn.CONCAT("* REVIEW REQUIRED: compound-quote delimiter in Question Wording on Sheet 1 row ",1002,"; edit the input before running."),_xlfn.CONCAT("char ",TRIM($B1002),"[doc_question] ",CHAR(96),CHAR(34),SUBSTITUTE(SUBSTITUTE(SUBSTITUTE(SUBSTITUTE(SUBSTITUTE(SUBSTITUTE($E1002,CHAR(13)," "),CHAR(10)," "),CHAR(9)," "),CHAR(92),_xlfn.CONCAT(CHAR(92),CHAR(92))),"$",_xlfn.CONCAT(CHAR(92),"$")),CHAR(96),_xlfn.CONCAT(CHAR(92),CHAR(96))),CHAR(34),CHAR(39))))</f>
        <v/>
      </c>
      <c r="P1002" s="5" t="str">
        <f>IF(OR(TRIM($B1002)="",$F1002=""),"",IF(OR(ISNUMBER(SEARCH(_xlfn.CONCAT(CHAR(96),CHAR(34)),$F1002)),ISNUMBER(SEARCH(_xlfn.CONCAT(CHAR(34),CHAR(39)),$F1002))),_xlfn.CONCAT("* REVIEW REQUIRED: compound-quote delimiter in Units on Sheet 1 row ",1002,"; edit the input before running."),_xlfn.CONCAT("char ",TRIM($B1002),"[doc_units] ",CHAR(96),CHAR(34),SUBSTITUTE(SUBSTITUTE(SUBSTITUTE(SUBSTITUTE(SUBSTITUTE(SUBSTITUTE($F1002,CHAR(13)," "),CHAR(10)," "),CHAR(9)," "),CHAR(92),_xlfn.CONCAT(CHAR(92),CHAR(92))),"$",_xlfn.CONCAT(CHAR(92),"$")),CHAR(96),_xlfn.CONCAT(CHAR(92),CHAR(96))),CHAR(34),CHAR(39))))</f>
        <v/>
      </c>
      <c r="Q1002" s="5" t="str">
        <f>IF(OR(TRIM($B1002)="",$G1002=""),"",IF(OR(ISNUMBER(SEARCH(_xlfn.CONCAT(CHAR(96),CHAR(34)),$G1002)),ISNUMBER(SEARCH(_xlfn.CONCAT(CHAR(34),CHAR(39)),$G1002))),_xlfn.CONCAT("* REVIEW REQUIRED: compound-quote delimiter in Universe on Sheet 1 row ",1002,"; edit the input before running."),_xlfn.CONCAT("char ",TRIM($B1002),"[doc_universe] ",CHAR(96),CHAR(34),SUBSTITUTE(SUBSTITUTE(SUBSTITUTE(SUBSTITUTE(SUBSTITUTE(SUBSTITUTE($G1002,CHAR(13)," "),CHAR(10)," "),CHAR(9)," "),CHAR(92),_xlfn.CONCAT(CHAR(92),CHAR(92))),"$",_xlfn.CONCAT(CHAR(92),"$")),CHAR(96),_xlfn.CONCAT(CHAR(92),CHAR(96))),CHAR(34),CHAR(39))))</f>
        <v/>
      </c>
      <c r="R1002" s="5" t="str">
        <f>IF(OR(TRIM($B1002)="",$H1002=""),"",IF(OR(ISNUMBER(SEARCH(_xlfn.CONCAT(CHAR(96),CHAR(34)),$H1002)),ISNUMBER(SEARCH(_xlfn.CONCAT(CHAR(34),CHAR(39)),$H1002))),_xlfn.CONCAT("* REVIEW REQUIRED: compound-quote delimiter in Source on Sheet 1 row ",1002,"; edit the input before running."),_xlfn.CONCAT("char ",TRIM($B1002),"[doc_source] ",CHAR(96),CHAR(34),SUBSTITUTE(SUBSTITUTE(SUBSTITUTE(SUBSTITUTE(SUBSTITUTE(SUBSTITUTE($H1002,CHAR(13)," "),CHAR(10)," "),CHAR(9)," "),CHAR(92),_xlfn.CONCAT(CHAR(92),CHAR(92))),"$",_xlfn.CONCAT(CHAR(92),"$")),CHAR(96),_xlfn.CONCAT(CHAR(92),CHAR(96))),CHAR(34),CHAR(39))))</f>
        <v/>
      </c>
      <c r="S1002" s="5" t="str">
        <f>IF(OR(TRIM($B1002)="",$I1002=""),"",IF(OR(ISNUMBER(SEARCH(_xlfn.CONCAT(CHAR(96),CHAR(34)),$I1002)),ISNUMBER(SEARCH(_xlfn.CONCAT(CHAR(34),CHAR(39)),$I1002))),_xlfn.CONCAT("* REVIEW REQUIRED: compound-quote delimiter in Derivation on Sheet 1 row ",1002,"; edit the input before running."),_xlfn.CONCAT("char ",TRIM($B1002),"[doc_derivation] ",CHAR(96),CHAR(34),SUBSTITUTE(SUBSTITUTE(SUBSTITUTE(SUBSTITUTE(SUBSTITUTE(SUBSTITUTE($I1002,CHAR(13)," "),CHAR(10)," "),CHAR(9)," "),CHAR(92),_xlfn.CONCAT(CHAR(92),CHAR(92))),"$",_xlfn.CONCAT(CHAR(92),"$")),CHAR(96),_xlfn.CONCAT(CHAR(92),CHAR(96))),CHAR(34),CHAR(39))))</f>
        <v/>
      </c>
      <c r="T1002" s="5" t="str">
        <f>IF(OR(TRIM($B1002)="",$J1002=""),"",IF(OR(ISNUMBER(SEARCH(_xlfn.CONCAT(CHAR(96),CHAR(34)),$J1002)),ISNUMBER(SEARCH(_xlfn.CONCAT(CHAR(34),CHAR(39)),$J1002))),_xlfn.CONCAT("* REVIEW REQUIRED: compound-quote delimiter in Notes on Sheet 1 row ",1002,"; edit the input before running."),_xlfn.CONCAT("char ",TRIM($B1002),"[doc_notes] ",CHAR(96),CHAR(34),SUBSTITUTE(SUBSTITUTE(SUBSTITUTE(SUBSTITUTE(SUBSTITUTE(SUBSTITUTE($J1002,CHAR(13)," "),CHAR(10)," "),CHAR(9)," "),CHAR(92),_xlfn.CONCAT(CHAR(92),CHAR(92))),"$",_xlfn.CONCAT(CHAR(92),"$")),CHAR(96),_xlfn.CONCAT(CHAR(92),CHAR(96))),CHAR(34),CHAR(39))))</f>
        <v/>
      </c>
      <c r="U1002" s="5">
        <f t="shared" si="31"/>
        <v>0</v>
      </c>
    </row>
    <row r="1003" spans="3:21" ht="30" customHeight="1" x14ac:dyDescent="0.2">
      <c r="C1003" s="4"/>
      <c r="K1003" s="5">
        <f t="shared" si="30"/>
        <v>0</v>
      </c>
      <c r="L1003" s="5" t="str">
        <f>IF(OR(TRIM($B1003)="",$A1003=""),"",IF(OR(ISNUMBER(SEARCH(_xlfn.CONCAT(CHAR(96),CHAR(34)),$A1003)),ISNUMBER(SEARCH(_xlfn.CONCAT(CHAR(34),CHAR(39)),$A1003))),_xlfn.CONCAT("* REVIEW REQUIRED: compound-quote delimiter in Codebook Section on Sheet 1 row ",1003,"; edit the input before running."),_xlfn.CONCAT("char ",TRIM($B1003),"[doc_section] ",CHAR(96),CHAR(34),SUBSTITUTE(SUBSTITUTE(SUBSTITUTE(SUBSTITUTE(SUBSTITUTE(SUBSTITUTE($A1003,CHAR(13)," "),CHAR(10)," "),CHAR(9)," "),CHAR(92),_xlfn.CONCAT(CHAR(92),CHAR(92))),"$",_xlfn.CONCAT(CHAR(92),"$")),CHAR(96),_xlfn.CONCAT(CHAR(92),CHAR(96))),CHAR(34),CHAR(39))))</f>
        <v/>
      </c>
      <c r="M1003" s="5" t="str">
        <f>IF(OR(TRIM($B1003)="",$C1003=""),"",IF(IFERROR(MATCH(TRIM($C1003),{"Quantitative","Continuous","Discrete","Categorical","Nominal","Ordinal","Identifier"},0),0)=0,_xlfn.CONCAT("* REVIEW REQUIRED: invalid Variable Type on Sheet 1 row ",1003,"."),_xlfn.CONCAT("char ",TRIM($B1003),"[doc_vartype] ",CHAR(96),CHAR(34),SUBSTITUTE(SUBSTITUTE(SUBSTITUTE(SUBSTITUTE(SUBSTITUTE(SUBSTITUTE(LOWER(TRIM($C1003)),CHAR(13)," "),CHAR(10)," "),CHAR(9)," "),CHAR(92),_xlfn.CONCAT(CHAR(92),CHAR(92))),"$",_xlfn.CONCAT(CHAR(92),"$")),CHAR(96),_xlfn.CONCAT(CHAR(92),CHAR(96))),CHAR(34),CHAR(39))))</f>
        <v/>
      </c>
      <c r="N1003" s="5" t="str">
        <f>IF(OR(TRIM($B1003)="",$D1003=""),"",IF(OR(ISNUMBER(SEARCH(_xlfn.CONCAT(CHAR(96),CHAR(34)),$D1003)),ISNUMBER(SEARCH(_xlfn.CONCAT(CHAR(34),CHAR(39)),$D1003))),_xlfn.CONCAT("* REVIEW REQUIRED: compound-quote delimiter in Item Number on Sheet 1 row ",1003,"; edit the input before running."),_xlfn.CONCAT("char ",TRIM($B1003),"[doc_itemnum] ",CHAR(96),CHAR(34),SUBSTITUTE(SUBSTITUTE(SUBSTITUTE(SUBSTITUTE(SUBSTITUTE(SUBSTITUTE($D1003,CHAR(13)," "),CHAR(10)," "),CHAR(9)," "),CHAR(92),_xlfn.CONCAT(CHAR(92),CHAR(92))),"$",_xlfn.CONCAT(CHAR(92),"$")),CHAR(96),_xlfn.CONCAT(CHAR(92),CHAR(96))),CHAR(34),CHAR(39))))</f>
        <v/>
      </c>
      <c r="O1003" s="5" t="str">
        <f>IF(OR(TRIM($B1003)="",$E1003=""),"",IF(OR(ISNUMBER(SEARCH(_xlfn.CONCAT(CHAR(96),CHAR(34)),$E1003)),ISNUMBER(SEARCH(_xlfn.CONCAT(CHAR(34),CHAR(39)),$E1003))),_xlfn.CONCAT("* REVIEW REQUIRED: compound-quote delimiter in Question Wording on Sheet 1 row ",1003,"; edit the input before running."),_xlfn.CONCAT("char ",TRIM($B1003),"[doc_question] ",CHAR(96),CHAR(34),SUBSTITUTE(SUBSTITUTE(SUBSTITUTE(SUBSTITUTE(SUBSTITUTE(SUBSTITUTE($E1003,CHAR(13)," "),CHAR(10)," "),CHAR(9)," "),CHAR(92),_xlfn.CONCAT(CHAR(92),CHAR(92))),"$",_xlfn.CONCAT(CHAR(92),"$")),CHAR(96),_xlfn.CONCAT(CHAR(92),CHAR(96))),CHAR(34),CHAR(39))))</f>
        <v/>
      </c>
      <c r="P1003" s="5" t="str">
        <f>IF(OR(TRIM($B1003)="",$F1003=""),"",IF(OR(ISNUMBER(SEARCH(_xlfn.CONCAT(CHAR(96),CHAR(34)),$F1003)),ISNUMBER(SEARCH(_xlfn.CONCAT(CHAR(34),CHAR(39)),$F1003))),_xlfn.CONCAT("* REVIEW REQUIRED: compound-quote delimiter in Units on Sheet 1 row ",1003,"; edit the input before running."),_xlfn.CONCAT("char ",TRIM($B1003),"[doc_units] ",CHAR(96),CHAR(34),SUBSTITUTE(SUBSTITUTE(SUBSTITUTE(SUBSTITUTE(SUBSTITUTE(SUBSTITUTE($F1003,CHAR(13)," "),CHAR(10)," "),CHAR(9)," "),CHAR(92),_xlfn.CONCAT(CHAR(92),CHAR(92))),"$",_xlfn.CONCAT(CHAR(92),"$")),CHAR(96),_xlfn.CONCAT(CHAR(92),CHAR(96))),CHAR(34),CHAR(39))))</f>
        <v/>
      </c>
      <c r="Q1003" s="5" t="str">
        <f>IF(OR(TRIM($B1003)="",$G1003=""),"",IF(OR(ISNUMBER(SEARCH(_xlfn.CONCAT(CHAR(96),CHAR(34)),$G1003)),ISNUMBER(SEARCH(_xlfn.CONCAT(CHAR(34),CHAR(39)),$G1003))),_xlfn.CONCAT("* REVIEW REQUIRED: compound-quote delimiter in Universe on Sheet 1 row ",1003,"; edit the input before running."),_xlfn.CONCAT("char ",TRIM($B1003),"[doc_universe] ",CHAR(96),CHAR(34),SUBSTITUTE(SUBSTITUTE(SUBSTITUTE(SUBSTITUTE(SUBSTITUTE(SUBSTITUTE($G1003,CHAR(13)," "),CHAR(10)," "),CHAR(9)," "),CHAR(92),_xlfn.CONCAT(CHAR(92),CHAR(92))),"$",_xlfn.CONCAT(CHAR(92),"$")),CHAR(96),_xlfn.CONCAT(CHAR(92),CHAR(96))),CHAR(34),CHAR(39))))</f>
        <v/>
      </c>
      <c r="R1003" s="5" t="str">
        <f>IF(OR(TRIM($B1003)="",$H1003=""),"",IF(OR(ISNUMBER(SEARCH(_xlfn.CONCAT(CHAR(96),CHAR(34)),$H1003)),ISNUMBER(SEARCH(_xlfn.CONCAT(CHAR(34),CHAR(39)),$H1003))),_xlfn.CONCAT("* REVIEW REQUIRED: compound-quote delimiter in Source on Sheet 1 row ",1003,"; edit the input before running."),_xlfn.CONCAT("char ",TRIM($B1003),"[doc_source] ",CHAR(96),CHAR(34),SUBSTITUTE(SUBSTITUTE(SUBSTITUTE(SUBSTITUTE(SUBSTITUTE(SUBSTITUTE($H1003,CHAR(13)," "),CHAR(10)," "),CHAR(9)," "),CHAR(92),_xlfn.CONCAT(CHAR(92),CHAR(92))),"$",_xlfn.CONCAT(CHAR(92),"$")),CHAR(96),_xlfn.CONCAT(CHAR(92),CHAR(96))),CHAR(34),CHAR(39))))</f>
        <v/>
      </c>
      <c r="S1003" s="5" t="str">
        <f>IF(OR(TRIM($B1003)="",$I1003=""),"",IF(OR(ISNUMBER(SEARCH(_xlfn.CONCAT(CHAR(96),CHAR(34)),$I1003)),ISNUMBER(SEARCH(_xlfn.CONCAT(CHAR(34),CHAR(39)),$I1003))),_xlfn.CONCAT("* REVIEW REQUIRED: compound-quote delimiter in Derivation on Sheet 1 row ",1003,"; edit the input before running."),_xlfn.CONCAT("char ",TRIM($B1003),"[doc_derivation] ",CHAR(96),CHAR(34),SUBSTITUTE(SUBSTITUTE(SUBSTITUTE(SUBSTITUTE(SUBSTITUTE(SUBSTITUTE($I1003,CHAR(13)," "),CHAR(10)," "),CHAR(9)," "),CHAR(92),_xlfn.CONCAT(CHAR(92),CHAR(92))),"$",_xlfn.CONCAT(CHAR(92),"$")),CHAR(96),_xlfn.CONCAT(CHAR(92),CHAR(96))),CHAR(34),CHAR(39))))</f>
        <v/>
      </c>
      <c r="T1003" s="5" t="str">
        <f>IF(OR(TRIM($B1003)="",$J1003=""),"",IF(OR(ISNUMBER(SEARCH(_xlfn.CONCAT(CHAR(96),CHAR(34)),$J1003)),ISNUMBER(SEARCH(_xlfn.CONCAT(CHAR(34),CHAR(39)),$J1003))),_xlfn.CONCAT("* REVIEW REQUIRED: compound-quote delimiter in Notes on Sheet 1 row ",1003,"; edit the input before running."),_xlfn.CONCAT("char ",TRIM($B1003),"[doc_notes] ",CHAR(96),CHAR(34),SUBSTITUTE(SUBSTITUTE(SUBSTITUTE(SUBSTITUTE(SUBSTITUTE(SUBSTITUTE($J1003,CHAR(13)," "),CHAR(10)," "),CHAR(9)," "),CHAR(92),_xlfn.CONCAT(CHAR(92),CHAR(92))),"$",_xlfn.CONCAT(CHAR(92),"$")),CHAR(96),_xlfn.CONCAT(CHAR(92),CHAR(96))),CHAR(34),CHAR(39))))</f>
        <v/>
      </c>
      <c r="U1003" s="5">
        <f t="shared" si="31"/>
        <v>0</v>
      </c>
    </row>
    <row r="1004" spans="3:21" ht="30" customHeight="1" x14ac:dyDescent="0.2">
      <c r="C1004" s="4"/>
      <c r="K1004" s="5">
        <f t="shared" si="30"/>
        <v>0</v>
      </c>
      <c r="L1004" s="5" t="str">
        <f>IF(OR(TRIM($B1004)="",$A1004=""),"",IF(OR(ISNUMBER(SEARCH(_xlfn.CONCAT(CHAR(96),CHAR(34)),$A1004)),ISNUMBER(SEARCH(_xlfn.CONCAT(CHAR(34),CHAR(39)),$A1004))),_xlfn.CONCAT("* REVIEW REQUIRED: compound-quote delimiter in Codebook Section on Sheet 1 row ",1004,"; edit the input before running."),_xlfn.CONCAT("char ",TRIM($B1004),"[doc_section] ",CHAR(96),CHAR(34),SUBSTITUTE(SUBSTITUTE(SUBSTITUTE(SUBSTITUTE(SUBSTITUTE(SUBSTITUTE($A1004,CHAR(13)," "),CHAR(10)," "),CHAR(9)," "),CHAR(92),_xlfn.CONCAT(CHAR(92),CHAR(92))),"$",_xlfn.CONCAT(CHAR(92),"$")),CHAR(96),_xlfn.CONCAT(CHAR(92),CHAR(96))),CHAR(34),CHAR(39))))</f>
        <v/>
      </c>
      <c r="M1004" s="5" t="str">
        <f>IF(OR(TRIM($B1004)="",$C1004=""),"",IF(IFERROR(MATCH(TRIM($C1004),{"Quantitative","Continuous","Discrete","Categorical","Nominal","Ordinal","Identifier"},0),0)=0,_xlfn.CONCAT("* REVIEW REQUIRED: invalid Variable Type on Sheet 1 row ",1004,"."),_xlfn.CONCAT("char ",TRIM($B1004),"[doc_vartype] ",CHAR(96),CHAR(34),SUBSTITUTE(SUBSTITUTE(SUBSTITUTE(SUBSTITUTE(SUBSTITUTE(SUBSTITUTE(LOWER(TRIM($C1004)),CHAR(13)," "),CHAR(10)," "),CHAR(9)," "),CHAR(92),_xlfn.CONCAT(CHAR(92),CHAR(92))),"$",_xlfn.CONCAT(CHAR(92),"$")),CHAR(96),_xlfn.CONCAT(CHAR(92),CHAR(96))),CHAR(34),CHAR(39))))</f>
        <v/>
      </c>
      <c r="N1004" s="5" t="str">
        <f>IF(OR(TRIM($B1004)="",$D1004=""),"",IF(OR(ISNUMBER(SEARCH(_xlfn.CONCAT(CHAR(96),CHAR(34)),$D1004)),ISNUMBER(SEARCH(_xlfn.CONCAT(CHAR(34),CHAR(39)),$D1004))),_xlfn.CONCAT("* REVIEW REQUIRED: compound-quote delimiter in Item Number on Sheet 1 row ",1004,"; edit the input before running."),_xlfn.CONCAT("char ",TRIM($B1004),"[doc_itemnum] ",CHAR(96),CHAR(34),SUBSTITUTE(SUBSTITUTE(SUBSTITUTE(SUBSTITUTE(SUBSTITUTE(SUBSTITUTE($D1004,CHAR(13)," "),CHAR(10)," "),CHAR(9)," "),CHAR(92),_xlfn.CONCAT(CHAR(92),CHAR(92))),"$",_xlfn.CONCAT(CHAR(92),"$")),CHAR(96),_xlfn.CONCAT(CHAR(92),CHAR(96))),CHAR(34),CHAR(39))))</f>
        <v/>
      </c>
      <c r="O1004" s="5" t="str">
        <f>IF(OR(TRIM($B1004)="",$E1004=""),"",IF(OR(ISNUMBER(SEARCH(_xlfn.CONCAT(CHAR(96),CHAR(34)),$E1004)),ISNUMBER(SEARCH(_xlfn.CONCAT(CHAR(34),CHAR(39)),$E1004))),_xlfn.CONCAT("* REVIEW REQUIRED: compound-quote delimiter in Question Wording on Sheet 1 row ",1004,"; edit the input before running."),_xlfn.CONCAT("char ",TRIM($B1004),"[doc_question] ",CHAR(96),CHAR(34),SUBSTITUTE(SUBSTITUTE(SUBSTITUTE(SUBSTITUTE(SUBSTITUTE(SUBSTITUTE($E1004,CHAR(13)," "),CHAR(10)," "),CHAR(9)," "),CHAR(92),_xlfn.CONCAT(CHAR(92),CHAR(92))),"$",_xlfn.CONCAT(CHAR(92),"$")),CHAR(96),_xlfn.CONCAT(CHAR(92),CHAR(96))),CHAR(34),CHAR(39))))</f>
        <v/>
      </c>
      <c r="P1004" s="5" t="str">
        <f>IF(OR(TRIM($B1004)="",$F1004=""),"",IF(OR(ISNUMBER(SEARCH(_xlfn.CONCAT(CHAR(96),CHAR(34)),$F1004)),ISNUMBER(SEARCH(_xlfn.CONCAT(CHAR(34),CHAR(39)),$F1004))),_xlfn.CONCAT("* REVIEW REQUIRED: compound-quote delimiter in Units on Sheet 1 row ",1004,"; edit the input before running."),_xlfn.CONCAT("char ",TRIM($B1004),"[doc_units] ",CHAR(96),CHAR(34),SUBSTITUTE(SUBSTITUTE(SUBSTITUTE(SUBSTITUTE(SUBSTITUTE(SUBSTITUTE($F1004,CHAR(13)," "),CHAR(10)," "),CHAR(9)," "),CHAR(92),_xlfn.CONCAT(CHAR(92),CHAR(92))),"$",_xlfn.CONCAT(CHAR(92),"$")),CHAR(96),_xlfn.CONCAT(CHAR(92),CHAR(96))),CHAR(34),CHAR(39))))</f>
        <v/>
      </c>
      <c r="Q1004" s="5" t="str">
        <f>IF(OR(TRIM($B1004)="",$G1004=""),"",IF(OR(ISNUMBER(SEARCH(_xlfn.CONCAT(CHAR(96),CHAR(34)),$G1004)),ISNUMBER(SEARCH(_xlfn.CONCAT(CHAR(34),CHAR(39)),$G1004))),_xlfn.CONCAT("* REVIEW REQUIRED: compound-quote delimiter in Universe on Sheet 1 row ",1004,"; edit the input before running."),_xlfn.CONCAT("char ",TRIM($B1004),"[doc_universe] ",CHAR(96),CHAR(34),SUBSTITUTE(SUBSTITUTE(SUBSTITUTE(SUBSTITUTE(SUBSTITUTE(SUBSTITUTE($G1004,CHAR(13)," "),CHAR(10)," "),CHAR(9)," "),CHAR(92),_xlfn.CONCAT(CHAR(92),CHAR(92))),"$",_xlfn.CONCAT(CHAR(92),"$")),CHAR(96),_xlfn.CONCAT(CHAR(92),CHAR(96))),CHAR(34),CHAR(39))))</f>
        <v/>
      </c>
      <c r="R1004" s="5" t="str">
        <f>IF(OR(TRIM($B1004)="",$H1004=""),"",IF(OR(ISNUMBER(SEARCH(_xlfn.CONCAT(CHAR(96),CHAR(34)),$H1004)),ISNUMBER(SEARCH(_xlfn.CONCAT(CHAR(34),CHAR(39)),$H1004))),_xlfn.CONCAT("* REVIEW REQUIRED: compound-quote delimiter in Source on Sheet 1 row ",1004,"; edit the input before running."),_xlfn.CONCAT("char ",TRIM($B1004),"[doc_source] ",CHAR(96),CHAR(34),SUBSTITUTE(SUBSTITUTE(SUBSTITUTE(SUBSTITUTE(SUBSTITUTE(SUBSTITUTE($H1004,CHAR(13)," "),CHAR(10)," "),CHAR(9)," "),CHAR(92),_xlfn.CONCAT(CHAR(92),CHAR(92))),"$",_xlfn.CONCAT(CHAR(92),"$")),CHAR(96),_xlfn.CONCAT(CHAR(92),CHAR(96))),CHAR(34),CHAR(39))))</f>
        <v/>
      </c>
      <c r="S1004" s="5" t="str">
        <f>IF(OR(TRIM($B1004)="",$I1004=""),"",IF(OR(ISNUMBER(SEARCH(_xlfn.CONCAT(CHAR(96),CHAR(34)),$I1004)),ISNUMBER(SEARCH(_xlfn.CONCAT(CHAR(34),CHAR(39)),$I1004))),_xlfn.CONCAT("* REVIEW REQUIRED: compound-quote delimiter in Derivation on Sheet 1 row ",1004,"; edit the input before running."),_xlfn.CONCAT("char ",TRIM($B1004),"[doc_derivation] ",CHAR(96),CHAR(34),SUBSTITUTE(SUBSTITUTE(SUBSTITUTE(SUBSTITUTE(SUBSTITUTE(SUBSTITUTE($I1004,CHAR(13)," "),CHAR(10)," "),CHAR(9)," "),CHAR(92),_xlfn.CONCAT(CHAR(92),CHAR(92))),"$",_xlfn.CONCAT(CHAR(92),"$")),CHAR(96),_xlfn.CONCAT(CHAR(92),CHAR(96))),CHAR(34),CHAR(39))))</f>
        <v/>
      </c>
      <c r="T1004" s="5" t="str">
        <f>IF(OR(TRIM($B1004)="",$J1004=""),"",IF(OR(ISNUMBER(SEARCH(_xlfn.CONCAT(CHAR(96),CHAR(34)),$J1004)),ISNUMBER(SEARCH(_xlfn.CONCAT(CHAR(34),CHAR(39)),$J1004))),_xlfn.CONCAT("* REVIEW REQUIRED: compound-quote delimiter in Notes on Sheet 1 row ",1004,"; edit the input before running."),_xlfn.CONCAT("char ",TRIM($B1004),"[doc_notes] ",CHAR(96),CHAR(34),SUBSTITUTE(SUBSTITUTE(SUBSTITUTE(SUBSTITUTE(SUBSTITUTE(SUBSTITUTE($J1004,CHAR(13)," "),CHAR(10)," "),CHAR(9)," "),CHAR(92),_xlfn.CONCAT(CHAR(92),CHAR(92))),"$",_xlfn.CONCAT(CHAR(92),"$")),CHAR(96),_xlfn.CONCAT(CHAR(92),CHAR(96))),CHAR(34),CHAR(39))))</f>
        <v/>
      </c>
      <c r="U1004" s="5">
        <f t="shared" si="31"/>
        <v>0</v>
      </c>
    </row>
    <row r="1005" spans="3:21" ht="30" customHeight="1" x14ac:dyDescent="0.2">
      <c r="C1005" s="4"/>
      <c r="K1005" s="5">
        <f t="shared" si="30"/>
        <v>0</v>
      </c>
      <c r="L1005" s="5" t="str">
        <f>IF(OR(TRIM($B1005)="",$A1005=""),"",IF(OR(ISNUMBER(SEARCH(_xlfn.CONCAT(CHAR(96),CHAR(34)),$A1005)),ISNUMBER(SEARCH(_xlfn.CONCAT(CHAR(34),CHAR(39)),$A1005))),_xlfn.CONCAT("* REVIEW REQUIRED: compound-quote delimiter in Codebook Section on Sheet 1 row ",1005,"; edit the input before running."),_xlfn.CONCAT("char ",TRIM($B1005),"[doc_section] ",CHAR(96),CHAR(34),SUBSTITUTE(SUBSTITUTE(SUBSTITUTE(SUBSTITUTE(SUBSTITUTE(SUBSTITUTE($A1005,CHAR(13)," "),CHAR(10)," "),CHAR(9)," "),CHAR(92),_xlfn.CONCAT(CHAR(92),CHAR(92))),"$",_xlfn.CONCAT(CHAR(92),"$")),CHAR(96),_xlfn.CONCAT(CHAR(92),CHAR(96))),CHAR(34),CHAR(39))))</f>
        <v/>
      </c>
      <c r="M1005" s="5" t="str">
        <f>IF(OR(TRIM($B1005)="",$C1005=""),"",IF(IFERROR(MATCH(TRIM($C1005),{"Quantitative","Continuous","Discrete","Categorical","Nominal","Ordinal","Identifier"},0),0)=0,_xlfn.CONCAT("* REVIEW REQUIRED: invalid Variable Type on Sheet 1 row ",1005,"."),_xlfn.CONCAT("char ",TRIM($B1005),"[doc_vartype] ",CHAR(96),CHAR(34),SUBSTITUTE(SUBSTITUTE(SUBSTITUTE(SUBSTITUTE(SUBSTITUTE(SUBSTITUTE(LOWER(TRIM($C1005)),CHAR(13)," "),CHAR(10)," "),CHAR(9)," "),CHAR(92),_xlfn.CONCAT(CHAR(92),CHAR(92))),"$",_xlfn.CONCAT(CHAR(92),"$")),CHAR(96),_xlfn.CONCAT(CHAR(92),CHAR(96))),CHAR(34),CHAR(39))))</f>
        <v/>
      </c>
      <c r="N1005" s="5" t="str">
        <f>IF(OR(TRIM($B1005)="",$D1005=""),"",IF(OR(ISNUMBER(SEARCH(_xlfn.CONCAT(CHAR(96),CHAR(34)),$D1005)),ISNUMBER(SEARCH(_xlfn.CONCAT(CHAR(34),CHAR(39)),$D1005))),_xlfn.CONCAT("* REVIEW REQUIRED: compound-quote delimiter in Item Number on Sheet 1 row ",1005,"; edit the input before running."),_xlfn.CONCAT("char ",TRIM($B1005),"[doc_itemnum] ",CHAR(96),CHAR(34),SUBSTITUTE(SUBSTITUTE(SUBSTITUTE(SUBSTITUTE(SUBSTITUTE(SUBSTITUTE($D1005,CHAR(13)," "),CHAR(10)," "),CHAR(9)," "),CHAR(92),_xlfn.CONCAT(CHAR(92),CHAR(92))),"$",_xlfn.CONCAT(CHAR(92),"$")),CHAR(96),_xlfn.CONCAT(CHAR(92),CHAR(96))),CHAR(34),CHAR(39))))</f>
        <v/>
      </c>
      <c r="O1005" s="5" t="str">
        <f>IF(OR(TRIM($B1005)="",$E1005=""),"",IF(OR(ISNUMBER(SEARCH(_xlfn.CONCAT(CHAR(96),CHAR(34)),$E1005)),ISNUMBER(SEARCH(_xlfn.CONCAT(CHAR(34),CHAR(39)),$E1005))),_xlfn.CONCAT("* REVIEW REQUIRED: compound-quote delimiter in Question Wording on Sheet 1 row ",1005,"; edit the input before running."),_xlfn.CONCAT("char ",TRIM($B1005),"[doc_question] ",CHAR(96),CHAR(34),SUBSTITUTE(SUBSTITUTE(SUBSTITUTE(SUBSTITUTE(SUBSTITUTE(SUBSTITUTE($E1005,CHAR(13)," "),CHAR(10)," "),CHAR(9)," "),CHAR(92),_xlfn.CONCAT(CHAR(92),CHAR(92))),"$",_xlfn.CONCAT(CHAR(92),"$")),CHAR(96),_xlfn.CONCAT(CHAR(92),CHAR(96))),CHAR(34),CHAR(39))))</f>
        <v/>
      </c>
      <c r="P1005" s="5" t="str">
        <f>IF(OR(TRIM($B1005)="",$F1005=""),"",IF(OR(ISNUMBER(SEARCH(_xlfn.CONCAT(CHAR(96),CHAR(34)),$F1005)),ISNUMBER(SEARCH(_xlfn.CONCAT(CHAR(34),CHAR(39)),$F1005))),_xlfn.CONCAT("* REVIEW REQUIRED: compound-quote delimiter in Units on Sheet 1 row ",1005,"; edit the input before running."),_xlfn.CONCAT("char ",TRIM($B1005),"[doc_units] ",CHAR(96),CHAR(34),SUBSTITUTE(SUBSTITUTE(SUBSTITUTE(SUBSTITUTE(SUBSTITUTE(SUBSTITUTE($F1005,CHAR(13)," "),CHAR(10)," "),CHAR(9)," "),CHAR(92),_xlfn.CONCAT(CHAR(92),CHAR(92))),"$",_xlfn.CONCAT(CHAR(92),"$")),CHAR(96),_xlfn.CONCAT(CHAR(92),CHAR(96))),CHAR(34),CHAR(39))))</f>
        <v/>
      </c>
      <c r="Q1005" s="5" t="str">
        <f>IF(OR(TRIM($B1005)="",$G1005=""),"",IF(OR(ISNUMBER(SEARCH(_xlfn.CONCAT(CHAR(96),CHAR(34)),$G1005)),ISNUMBER(SEARCH(_xlfn.CONCAT(CHAR(34),CHAR(39)),$G1005))),_xlfn.CONCAT("* REVIEW REQUIRED: compound-quote delimiter in Universe on Sheet 1 row ",1005,"; edit the input before running."),_xlfn.CONCAT("char ",TRIM($B1005),"[doc_universe] ",CHAR(96),CHAR(34),SUBSTITUTE(SUBSTITUTE(SUBSTITUTE(SUBSTITUTE(SUBSTITUTE(SUBSTITUTE($G1005,CHAR(13)," "),CHAR(10)," "),CHAR(9)," "),CHAR(92),_xlfn.CONCAT(CHAR(92),CHAR(92))),"$",_xlfn.CONCAT(CHAR(92),"$")),CHAR(96),_xlfn.CONCAT(CHAR(92),CHAR(96))),CHAR(34),CHAR(39))))</f>
        <v/>
      </c>
      <c r="R1005" s="5" t="str">
        <f>IF(OR(TRIM($B1005)="",$H1005=""),"",IF(OR(ISNUMBER(SEARCH(_xlfn.CONCAT(CHAR(96),CHAR(34)),$H1005)),ISNUMBER(SEARCH(_xlfn.CONCAT(CHAR(34),CHAR(39)),$H1005))),_xlfn.CONCAT("* REVIEW REQUIRED: compound-quote delimiter in Source on Sheet 1 row ",1005,"; edit the input before running."),_xlfn.CONCAT("char ",TRIM($B1005),"[doc_source] ",CHAR(96),CHAR(34),SUBSTITUTE(SUBSTITUTE(SUBSTITUTE(SUBSTITUTE(SUBSTITUTE(SUBSTITUTE($H1005,CHAR(13)," "),CHAR(10)," "),CHAR(9)," "),CHAR(92),_xlfn.CONCAT(CHAR(92),CHAR(92))),"$",_xlfn.CONCAT(CHAR(92),"$")),CHAR(96),_xlfn.CONCAT(CHAR(92),CHAR(96))),CHAR(34),CHAR(39))))</f>
        <v/>
      </c>
      <c r="S1005" s="5" t="str">
        <f>IF(OR(TRIM($B1005)="",$I1005=""),"",IF(OR(ISNUMBER(SEARCH(_xlfn.CONCAT(CHAR(96),CHAR(34)),$I1005)),ISNUMBER(SEARCH(_xlfn.CONCAT(CHAR(34),CHAR(39)),$I1005))),_xlfn.CONCAT("* REVIEW REQUIRED: compound-quote delimiter in Derivation on Sheet 1 row ",1005,"; edit the input before running."),_xlfn.CONCAT("char ",TRIM($B1005),"[doc_derivation] ",CHAR(96),CHAR(34),SUBSTITUTE(SUBSTITUTE(SUBSTITUTE(SUBSTITUTE(SUBSTITUTE(SUBSTITUTE($I1005,CHAR(13)," "),CHAR(10)," "),CHAR(9)," "),CHAR(92),_xlfn.CONCAT(CHAR(92),CHAR(92))),"$",_xlfn.CONCAT(CHAR(92),"$")),CHAR(96),_xlfn.CONCAT(CHAR(92),CHAR(96))),CHAR(34),CHAR(39))))</f>
        <v/>
      </c>
      <c r="T1005" s="5" t="str">
        <f>IF(OR(TRIM($B1005)="",$J1005=""),"",IF(OR(ISNUMBER(SEARCH(_xlfn.CONCAT(CHAR(96),CHAR(34)),$J1005)),ISNUMBER(SEARCH(_xlfn.CONCAT(CHAR(34),CHAR(39)),$J1005))),_xlfn.CONCAT("* REVIEW REQUIRED: compound-quote delimiter in Notes on Sheet 1 row ",1005,"; edit the input before running."),_xlfn.CONCAT("char ",TRIM($B1005),"[doc_notes] ",CHAR(96),CHAR(34),SUBSTITUTE(SUBSTITUTE(SUBSTITUTE(SUBSTITUTE(SUBSTITUTE(SUBSTITUTE($J1005,CHAR(13)," "),CHAR(10)," "),CHAR(9)," "),CHAR(92),_xlfn.CONCAT(CHAR(92),CHAR(92))),"$",_xlfn.CONCAT(CHAR(92),"$")),CHAR(96),_xlfn.CONCAT(CHAR(92),CHAR(96))),CHAR(34),CHAR(39))))</f>
        <v/>
      </c>
      <c r="U1005" s="5">
        <f t="shared" si="31"/>
        <v>0</v>
      </c>
    </row>
    <row r="1006" spans="3:21" ht="30" customHeight="1" x14ac:dyDescent="0.2">
      <c r="C1006" s="4"/>
      <c r="K1006" s="5">
        <f t="shared" si="30"/>
        <v>0</v>
      </c>
      <c r="L1006" s="5" t="str">
        <f>IF(OR(TRIM($B1006)="",$A1006=""),"",IF(OR(ISNUMBER(SEARCH(_xlfn.CONCAT(CHAR(96),CHAR(34)),$A1006)),ISNUMBER(SEARCH(_xlfn.CONCAT(CHAR(34),CHAR(39)),$A1006))),_xlfn.CONCAT("* REVIEW REQUIRED: compound-quote delimiter in Codebook Section on Sheet 1 row ",1006,"; edit the input before running."),_xlfn.CONCAT("char ",TRIM($B1006),"[doc_section] ",CHAR(96),CHAR(34),SUBSTITUTE(SUBSTITUTE(SUBSTITUTE(SUBSTITUTE(SUBSTITUTE(SUBSTITUTE($A1006,CHAR(13)," "),CHAR(10)," "),CHAR(9)," "),CHAR(92),_xlfn.CONCAT(CHAR(92),CHAR(92))),"$",_xlfn.CONCAT(CHAR(92),"$")),CHAR(96),_xlfn.CONCAT(CHAR(92),CHAR(96))),CHAR(34),CHAR(39))))</f>
        <v/>
      </c>
      <c r="M1006" s="5" t="str">
        <f>IF(OR(TRIM($B1006)="",$C1006=""),"",IF(IFERROR(MATCH(TRIM($C1006),{"Quantitative","Continuous","Discrete","Categorical","Nominal","Ordinal","Identifier"},0),0)=0,_xlfn.CONCAT("* REVIEW REQUIRED: invalid Variable Type on Sheet 1 row ",1006,"."),_xlfn.CONCAT("char ",TRIM($B1006),"[doc_vartype] ",CHAR(96),CHAR(34),SUBSTITUTE(SUBSTITUTE(SUBSTITUTE(SUBSTITUTE(SUBSTITUTE(SUBSTITUTE(LOWER(TRIM($C1006)),CHAR(13)," "),CHAR(10)," "),CHAR(9)," "),CHAR(92),_xlfn.CONCAT(CHAR(92),CHAR(92))),"$",_xlfn.CONCAT(CHAR(92),"$")),CHAR(96),_xlfn.CONCAT(CHAR(92),CHAR(96))),CHAR(34),CHAR(39))))</f>
        <v/>
      </c>
      <c r="N1006" s="5" t="str">
        <f>IF(OR(TRIM($B1006)="",$D1006=""),"",IF(OR(ISNUMBER(SEARCH(_xlfn.CONCAT(CHAR(96),CHAR(34)),$D1006)),ISNUMBER(SEARCH(_xlfn.CONCAT(CHAR(34),CHAR(39)),$D1006))),_xlfn.CONCAT("* REVIEW REQUIRED: compound-quote delimiter in Item Number on Sheet 1 row ",1006,"; edit the input before running."),_xlfn.CONCAT("char ",TRIM($B1006),"[doc_itemnum] ",CHAR(96),CHAR(34),SUBSTITUTE(SUBSTITUTE(SUBSTITUTE(SUBSTITUTE(SUBSTITUTE(SUBSTITUTE($D1006,CHAR(13)," "),CHAR(10)," "),CHAR(9)," "),CHAR(92),_xlfn.CONCAT(CHAR(92),CHAR(92))),"$",_xlfn.CONCAT(CHAR(92),"$")),CHAR(96),_xlfn.CONCAT(CHAR(92),CHAR(96))),CHAR(34),CHAR(39))))</f>
        <v/>
      </c>
      <c r="O1006" s="5" t="str">
        <f>IF(OR(TRIM($B1006)="",$E1006=""),"",IF(OR(ISNUMBER(SEARCH(_xlfn.CONCAT(CHAR(96),CHAR(34)),$E1006)),ISNUMBER(SEARCH(_xlfn.CONCAT(CHAR(34),CHAR(39)),$E1006))),_xlfn.CONCAT("* REVIEW REQUIRED: compound-quote delimiter in Question Wording on Sheet 1 row ",1006,"; edit the input before running."),_xlfn.CONCAT("char ",TRIM($B1006),"[doc_question] ",CHAR(96),CHAR(34),SUBSTITUTE(SUBSTITUTE(SUBSTITUTE(SUBSTITUTE(SUBSTITUTE(SUBSTITUTE($E1006,CHAR(13)," "),CHAR(10)," "),CHAR(9)," "),CHAR(92),_xlfn.CONCAT(CHAR(92),CHAR(92))),"$",_xlfn.CONCAT(CHAR(92),"$")),CHAR(96),_xlfn.CONCAT(CHAR(92),CHAR(96))),CHAR(34),CHAR(39))))</f>
        <v/>
      </c>
      <c r="P1006" s="5" t="str">
        <f>IF(OR(TRIM($B1006)="",$F1006=""),"",IF(OR(ISNUMBER(SEARCH(_xlfn.CONCAT(CHAR(96),CHAR(34)),$F1006)),ISNUMBER(SEARCH(_xlfn.CONCAT(CHAR(34),CHAR(39)),$F1006))),_xlfn.CONCAT("* REVIEW REQUIRED: compound-quote delimiter in Units on Sheet 1 row ",1006,"; edit the input before running."),_xlfn.CONCAT("char ",TRIM($B1006),"[doc_units] ",CHAR(96),CHAR(34),SUBSTITUTE(SUBSTITUTE(SUBSTITUTE(SUBSTITUTE(SUBSTITUTE(SUBSTITUTE($F1006,CHAR(13)," "),CHAR(10)," "),CHAR(9)," "),CHAR(92),_xlfn.CONCAT(CHAR(92),CHAR(92))),"$",_xlfn.CONCAT(CHAR(92),"$")),CHAR(96),_xlfn.CONCAT(CHAR(92),CHAR(96))),CHAR(34),CHAR(39))))</f>
        <v/>
      </c>
      <c r="Q1006" s="5" t="str">
        <f>IF(OR(TRIM($B1006)="",$G1006=""),"",IF(OR(ISNUMBER(SEARCH(_xlfn.CONCAT(CHAR(96),CHAR(34)),$G1006)),ISNUMBER(SEARCH(_xlfn.CONCAT(CHAR(34),CHAR(39)),$G1006))),_xlfn.CONCAT("* REVIEW REQUIRED: compound-quote delimiter in Universe on Sheet 1 row ",1006,"; edit the input before running."),_xlfn.CONCAT("char ",TRIM($B1006),"[doc_universe] ",CHAR(96),CHAR(34),SUBSTITUTE(SUBSTITUTE(SUBSTITUTE(SUBSTITUTE(SUBSTITUTE(SUBSTITUTE($G1006,CHAR(13)," "),CHAR(10)," "),CHAR(9)," "),CHAR(92),_xlfn.CONCAT(CHAR(92),CHAR(92))),"$",_xlfn.CONCAT(CHAR(92),"$")),CHAR(96),_xlfn.CONCAT(CHAR(92),CHAR(96))),CHAR(34),CHAR(39))))</f>
        <v/>
      </c>
      <c r="R1006" s="5" t="str">
        <f>IF(OR(TRIM($B1006)="",$H1006=""),"",IF(OR(ISNUMBER(SEARCH(_xlfn.CONCAT(CHAR(96),CHAR(34)),$H1006)),ISNUMBER(SEARCH(_xlfn.CONCAT(CHAR(34),CHAR(39)),$H1006))),_xlfn.CONCAT("* REVIEW REQUIRED: compound-quote delimiter in Source on Sheet 1 row ",1006,"; edit the input before running."),_xlfn.CONCAT("char ",TRIM($B1006),"[doc_source] ",CHAR(96),CHAR(34),SUBSTITUTE(SUBSTITUTE(SUBSTITUTE(SUBSTITUTE(SUBSTITUTE(SUBSTITUTE($H1006,CHAR(13)," "),CHAR(10)," "),CHAR(9)," "),CHAR(92),_xlfn.CONCAT(CHAR(92),CHAR(92))),"$",_xlfn.CONCAT(CHAR(92),"$")),CHAR(96),_xlfn.CONCAT(CHAR(92),CHAR(96))),CHAR(34),CHAR(39))))</f>
        <v/>
      </c>
      <c r="S1006" s="5" t="str">
        <f>IF(OR(TRIM($B1006)="",$I1006=""),"",IF(OR(ISNUMBER(SEARCH(_xlfn.CONCAT(CHAR(96),CHAR(34)),$I1006)),ISNUMBER(SEARCH(_xlfn.CONCAT(CHAR(34),CHAR(39)),$I1006))),_xlfn.CONCAT("* REVIEW REQUIRED: compound-quote delimiter in Derivation on Sheet 1 row ",1006,"; edit the input before running."),_xlfn.CONCAT("char ",TRIM($B1006),"[doc_derivation] ",CHAR(96),CHAR(34),SUBSTITUTE(SUBSTITUTE(SUBSTITUTE(SUBSTITUTE(SUBSTITUTE(SUBSTITUTE($I1006,CHAR(13)," "),CHAR(10)," "),CHAR(9)," "),CHAR(92),_xlfn.CONCAT(CHAR(92),CHAR(92))),"$",_xlfn.CONCAT(CHAR(92),"$")),CHAR(96),_xlfn.CONCAT(CHAR(92),CHAR(96))),CHAR(34),CHAR(39))))</f>
        <v/>
      </c>
      <c r="T1006" s="5" t="str">
        <f>IF(OR(TRIM($B1006)="",$J1006=""),"",IF(OR(ISNUMBER(SEARCH(_xlfn.CONCAT(CHAR(96),CHAR(34)),$J1006)),ISNUMBER(SEARCH(_xlfn.CONCAT(CHAR(34),CHAR(39)),$J1006))),_xlfn.CONCAT("* REVIEW REQUIRED: compound-quote delimiter in Notes on Sheet 1 row ",1006,"; edit the input before running."),_xlfn.CONCAT("char ",TRIM($B1006),"[doc_notes] ",CHAR(96),CHAR(34),SUBSTITUTE(SUBSTITUTE(SUBSTITUTE(SUBSTITUTE(SUBSTITUTE(SUBSTITUTE($J1006,CHAR(13)," "),CHAR(10)," "),CHAR(9)," "),CHAR(92),_xlfn.CONCAT(CHAR(92),CHAR(92))),"$",_xlfn.CONCAT(CHAR(92),"$")),CHAR(96),_xlfn.CONCAT(CHAR(92),CHAR(96))),CHAR(34),CHAR(39))))</f>
        <v/>
      </c>
      <c r="U1006" s="5">
        <f t="shared" si="31"/>
        <v>0</v>
      </c>
    </row>
    <row r="1007" spans="3:21" ht="30" customHeight="1" x14ac:dyDescent="0.2">
      <c r="C1007" s="4"/>
      <c r="K1007" s="5">
        <f t="shared" si="30"/>
        <v>0</v>
      </c>
      <c r="L1007" s="5" t="str">
        <f>IF(OR(TRIM($B1007)="",$A1007=""),"",IF(OR(ISNUMBER(SEARCH(_xlfn.CONCAT(CHAR(96),CHAR(34)),$A1007)),ISNUMBER(SEARCH(_xlfn.CONCAT(CHAR(34),CHAR(39)),$A1007))),_xlfn.CONCAT("* REVIEW REQUIRED: compound-quote delimiter in Codebook Section on Sheet 1 row ",1007,"; edit the input before running."),_xlfn.CONCAT("char ",TRIM($B1007),"[doc_section] ",CHAR(96),CHAR(34),SUBSTITUTE(SUBSTITUTE(SUBSTITUTE(SUBSTITUTE(SUBSTITUTE(SUBSTITUTE($A1007,CHAR(13)," "),CHAR(10)," "),CHAR(9)," "),CHAR(92),_xlfn.CONCAT(CHAR(92),CHAR(92))),"$",_xlfn.CONCAT(CHAR(92),"$")),CHAR(96),_xlfn.CONCAT(CHAR(92),CHAR(96))),CHAR(34),CHAR(39))))</f>
        <v/>
      </c>
      <c r="M1007" s="5" t="str">
        <f>IF(OR(TRIM($B1007)="",$C1007=""),"",IF(IFERROR(MATCH(TRIM($C1007),{"Quantitative","Continuous","Discrete","Categorical","Nominal","Ordinal","Identifier"},0),0)=0,_xlfn.CONCAT("* REVIEW REQUIRED: invalid Variable Type on Sheet 1 row ",1007,"."),_xlfn.CONCAT("char ",TRIM($B1007),"[doc_vartype] ",CHAR(96),CHAR(34),SUBSTITUTE(SUBSTITUTE(SUBSTITUTE(SUBSTITUTE(SUBSTITUTE(SUBSTITUTE(LOWER(TRIM($C1007)),CHAR(13)," "),CHAR(10)," "),CHAR(9)," "),CHAR(92),_xlfn.CONCAT(CHAR(92),CHAR(92))),"$",_xlfn.CONCAT(CHAR(92),"$")),CHAR(96),_xlfn.CONCAT(CHAR(92),CHAR(96))),CHAR(34),CHAR(39))))</f>
        <v/>
      </c>
      <c r="N1007" s="5" t="str">
        <f>IF(OR(TRIM($B1007)="",$D1007=""),"",IF(OR(ISNUMBER(SEARCH(_xlfn.CONCAT(CHAR(96),CHAR(34)),$D1007)),ISNUMBER(SEARCH(_xlfn.CONCAT(CHAR(34),CHAR(39)),$D1007))),_xlfn.CONCAT("* REVIEW REQUIRED: compound-quote delimiter in Item Number on Sheet 1 row ",1007,"; edit the input before running."),_xlfn.CONCAT("char ",TRIM($B1007),"[doc_itemnum] ",CHAR(96),CHAR(34),SUBSTITUTE(SUBSTITUTE(SUBSTITUTE(SUBSTITUTE(SUBSTITUTE(SUBSTITUTE($D1007,CHAR(13)," "),CHAR(10)," "),CHAR(9)," "),CHAR(92),_xlfn.CONCAT(CHAR(92),CHAR(92))),"$",_xlfn.CONCAT(CHAR(92),"$")),CHAR(96),_xlfn.CONCAT(CHAR(92),CHAR(96))),CHAR(34),CHAR(39))))</f>
        <v/>
      </c>
      <c r="O1007" s="5" t="str">
        <f>IF(OR(TRIM($B1007)="",$E1007=""),"",IF(OR(ISNUMBER(SEARCH(_xlfn.CONCAT(CHAR(96),CHAR(34)),$E1007)),ISNUMBER(SEARCH(_xlfn.CONCAT(CHAR(34),CHAR(39)),$E1007))),_xlfn.CONCAT("* REVIEW REQUIRED: compound-quote delimiter in Question Wording on Sheet 1 row ",1007,"; edit the input before running."),_xlfn.CONCAT("char ",TRIM($B1007),"[doc_question] ",CHAR(96),CHAR(34),SUBSTITUTE(SUBSTITUTE(SUBSTITUTE(SUBSTITUTE(SUBSTITUTE(SUBSTITUTE($E1007,CHAR(13)," "),CHAR(10)," "),CHAR(9)," "),CHAR(92),_xlfn.CONCAT(CHAR(92),CHAR(92))),"$",_xlfn.CONCAT(CHAR(92),"$")),CHAR(96),_xlfn.CONCAT(CHAR(92),CHAR(96))),CHAR(34),CHAR(39))))</f>
        <v/>
      </c>
      <c r="P1007" s="5" t="str">
        <f>IF(OR(TRIM($B1007)="",$F1007=""),"",IF(OR(ISNUMBER(SEARCH(_xlfn.CONCAT(CHAR(96),CHAR(34)),$F1007)),ISNUMBER(SEARCH(_xlfn.CONCAT(CHAR(34),CHAR(39)),$F1007))),_xlfn.CONCAT("* REVIEW REQUIRED: compound-quote delimiter in Units on Sheet 1 row ",1007,"; edit the input before running."),_xlfn.CONCAT("char ",TRIM($B1007),"[doc_units] ",CHAR(96),CHAR(34),SUBSTITUTE(SUBSTITUTE(SUBSTITUTE(SUBSTITUTE(SUBSTITUTE(SUBSTITUTE($F1007,CHAR(13)," "),CHAR(10)," "),CHAR(9)," "),CHAR(92),_xlfn.CONCAT(CHAR(92),CHAR(92))),"$",_xlfn.CONCAT(CHAR(92),"$")),CHAR(96),_xlfn.CONCAT(CHAR(92),CHAR(96))),CHAR(34),CHAR(39))))</f>
        <v/>
      </c>
      <c r="Q1007" s="5" t="str">
        <f>IF(OR(TRIM($B1007)="",$G1007=""),"",IF(OR(ISNUMBER(SEARCH(_xlfn.CONCAT(CHAR(96),CHAR(34)),$G1007)),ISNUMBER(SEARCH(_xlfn.CONCAT(CHAR(34),CHAR(39)),$G1007))),_xlfn.CONCAT("* REVIEW REQUIRED: compound-quote delimiter in Universe on Sheet 1 row ",1007,"; edit the input before running."),_xlfn.CONCAT("char ",TRIM($B1007),"[doc_universe] ",CHAR(96),CHAR(34),SUBSTITUTE(SUBSTITUTE(SUBSTITUTE(SUBSTITUTE(SUBSTITUTE(SUBSTITUTE($G1007,CHAR(13)," "),CHAR(10)," "),CHAR(9)," "),CHAR(92),_xlfn.CONCAT(CHAR(92),CHAR(92))),"$",_xlfn.CONCAT(CHAR(92),"$")),CHAR(96),_xlfn.CONCAT(CHAR(92),CHAR(96))),CHAR(34),CHAR(39))))</f>
        <v/>
      </c>
      <c r="R1007" s="5" t="str">
        <f>IF(OR(TRIM($B1007)="",$H1007=""),"",IF(OR(ISNUMBER(SEARCH(_xlfn.CONCAT(CHAR(96),CHAR(34)),$H1007)),ISNUMBER(SEARCH(_xlfn.CONCAT(CHAR(34),CHAR(39)),$H1007))),_xlfn.CONCAT("* REVIEW REQUIRED: compound-quote delimiter in Source on Sheet 1 row ",1007,"; edit the input before running."),_xlfn.CONCAT("char ",TRIM($B1007),"[doc_source] ",CHAR(96),CHAR(34),SUBSTITUTE(SUBSTITUTE(SUBSTITUTE(SUBSTITUTE(SUBSTITUTE(SUBSTITUTE($H1007,CHAR(13)," "),CHAR(10)," "),CHAR(9)," "),CHAR(92),_xlfn.CONCAT(CHAR(92),CHAR(92))),"$",_xlfn.CONCAT(CHAR(92),"$")),CHAR(96),_xlfn.CONCAT(CHAR(92),CHAR(96))),CHAR(34),CHAR(39))))</f>
        <v/>
      </c>
      <c r="S1007" s="5" t="str">
        <f>IF(OR(TRIM($B1007)="",$I1007=""),"",IF(OR(ISNUMBER(SEARCH(_xlfn.CONCAT(CHAR(96),CHAR(34)),$I1007)),ISNUMBER(SEARCH(_xlfn.CONCAT(CHAR(34),CHAR(39)),$I1007))),_xlfn.CONCAT("* REVIEW REQUIRED: compound-quote delimiter in Derivation on Sheet 1 row ",1007,"; edit the input before running."),_xlfn.CONCAT("char ",TRIM($B1007),"[doc_derivation] ",CHAR(96),CHAR(34),SUBSTITUTE(SUBSTITUTE(SUBSTITUTE(SUBSTITUTE(SUBSTITUTE(SUBSTITUTE($I1007,CHAR(13)," "),CHAR(10)," "),CHAR(9)," "),CHAR(92),_xlfn.CONCAT(CHAR(92),CHAR(92))),"$",_xlfn.CONCAT(CHAR(92),"$")),CHAR(96),_xlfn.CONCAT(CHAR(92),CHAR(96))),CHAR(34),CHAR(39))))</f>
        <v/>
      </c>
      <c r="T1007" s="5" t="str">
        <f>IF(OR(TRIM($B1007)="",$J1007=""),"",IF(OR(ISNUMBER(SEARCH(_xlfn.CONCAT(CHAR(96),CHAR(34)),$J1007)),ISNUMBER(SEARCH(_xlfn.CONCAT(CHAR(34),CHAR(39)),$J1007))),_xlfn.CONCAT("* REVIEW REQUIRED: compound-quote delimiter in Notes on Sheet 1 row ",1007,"; edit the input before running."),_xlfn.CONCAT("char ",TRIM($B1007),"[doc_notes] ",CHAR(96),CHAR(34),SUBSTITUTE(SUBSTITUTE(SUBSTITUTE(SUBSTITUTE(SUBSTITUTE(SUBSTITUTE($J1007,CHAR(13)," "),CHAR(10)," "),CHAR(9)," "),CHAR(92),_xlfn.CONCAT(CHAR(92),CHAR(92))),"$",_xlfn.CONCAT(CHAR(92),"$")),CHAR(96),_xlfn.CONCAT(CHAR(92),CHAR(96))),CHAR(34),CHAR(39))))</f>
        <v/>
      </c>
      <c r="U1007" s="5">
        <f t="shared" si="31"/>
        <v>0</v>
      </c>
    </row>
    <row r="1008" spans="3:21" ht="30" customHeight="1" x14ac:dyDescent="0.2">
      <c r="C1008" s="4"/>
      <c r="K1008" s="5">
        <f t="shared" si="30"/>
        <v>0</v>
      </c>
      <c r="L1008" s="5" t="str">
        <f>IF(OR(TRIM($B1008)="",$A1008=""),"",IF(OR(ISNUMBER(SEARCH(_xlfn.CONCAT(CHAR(96),CHAR(34)),$A1008)),ISNUMBER(SEARCH(_xlfn.CONCAT(CHAR(34),CHAR(39)),$A1008))),_xlfn.CONCAT("* REVIEW REQUIRED: compound-quote delimiter in Codebook Section on Sheet 1 row ",1008,"; edit the input before running."),_xlfn.CONCAT("char ",TRIM($B1008),"[doc_section] ",CHAR(96),CHAR(34),SUBSTITUTE(SUBSTITUTE(SUBSTITUTE(SUBSTITUTE(SUBSTITUTE(SUBSTITUTE($A1008,CHAR(13)," "),CHAR(10)," "),CHAR(9)," "),CHAR(92),_xlfn.CONCAT(CHAR(92),CHAR(92))),"$",_xlfn.CONCAT(CHAR(92),"$")),CHAR(96),_xlfn.CONCAT(CHAR(92),CHAR(96))),CHAR(34),CHAR(39))))</f>
        <v/>
      </c>
      <c r="M1008" s="5" t="str">
        <f>IF(OR(TRIM($B1008)="",$C1008=""),"",IF(IFERROR(MATCH(TRIM($C1008),{"Quantitative","Continuous","Discrete","Categorical","Nominal","Ordinal","Identifier"},0),0)=0,_xlfn.CONCAT("* REVIEW REQUIRED: invalid Variable Type on Sheet 1 row ",1008,"."),_xlfn.CONCAT("char ",TRIM($B1008),"[doc_vartype] ",CHAR(96),CHAR(34),SUBSTITUTE(SUBSTITUTE(SUBSTITUTE(SUBSTITUTE(SUBSTITUTE(SUBSTITUTE(LOWER(TRIM($C1008)),CHAR(13)," "),CHAR(10)," "),CHAR(9)," "),CHAR(92),_xlfn.CONCAT(CHAR(92),CHAR(92))),"$",_xlfn.CONCAT(CHAR(92),"$")),CHAR(96),_xlfn.CONCAT(CHAR(92),CHAR(96))),CHAR(34),CHAR(39))))</f>
        <v/>
      </c>
      <c r="N1008" s="5" t="str">
        <f>IF(OR(TRIM($B1008)="",$D1008=""),"",IF(OR(ISNUMBER(SEARCH(_xlfn.CONCAT(CHAR(96),CHAR(34)),$D1008)),ISNUMBER(SEARCH(_xlfn.CONCAT(CHAR(34),CHAR(39)),$D1008))),_xlfn.CONCAT("* REVIEW REQUIRED: compound-quote delimiter in Item Number on Sheet 1 row ",1008,"; edit the input before running."),_xlfn.CONCAT("char ",TRIM($B1008),"[doc_itemnum] ",CHAR(96),CHAR(34),SUBSTITUTE(SUBSTITUTE(SUBSTITUTE(SUBSTITUTE(SUBSTITUTE(SUBSTITUTE($D1008,CHAR(13)," "),CHAR(10)," "),CHAR(9)," "),CHAR(92),_xlfn.CONCAT(CHAR(92),CHAR(92))),"$",_xlfn.CONCAT(CHAR(92),"$")),CHAR(96),_xlfn.CONCAT(CHAR(92),CHAR(96))),CHAR(34),CHAR(39))))</f>
        <v/>
      </c>
      <c r="O1008" s="5" t="str">
        <f>IF(OR(TRIM($B1008)="",$E1008=""),"",IF(OR(ISNUMBER(SEARCH(_xlfn.CONCAT(CHAR(96),CHAR(34)),$E1008)),ISNUMBER(SEARCH(_xlfn.CONCAT(CHAR(34),CHAR(39)),$E1008))),_xlfn.CONCAT("* REVIEW REQUIRED: compound-quote delimiter in Question Wording on Sheet 1 row ",1008,"; edit the input before running."),_xlfn.CONCAT("char ",TRIM($B1008),"[doc_question] ",CHAR(96),CHAR(34),SUBSTITUTE(SUBSTITUTE(SUBSTITUTE(SUBSTITUTE(SUBSTITUTE(SUBSTITUTE($E1008,CHAR(13)," "),CHAR(10)," "),CHAR(9)," "),CHAR(92),_xlfn.CONCAT(CHAR(92),CHAR(92))),"$",_xlfn.CONCAT(CHAR(92),"$")),CHAR(96),_xlfn.CONCAT(CHAR(92),CHAR(96))),CHAR(34),CHAR(39))))</f>
        <v/>
      </c>
      <c r="P1008" s="5" t="str">
        <f>IF(OR(TRIM($B1008)="",$F1008=""),"",IF(OR(ISNUMBER(SEARCH(_xlfn.CONCAT(CHAR(96),CHAR(34)),$F1008)),ISNUMBER(SEARCH(_xlfn.CONCAT(CHAR(34),CHAR(39)),$F1008))),_xlfn.CONCAT("* REVIEW REQUIRED: compound-quote delimiter in Units on Sheet 1 row ",1008,"; edit the input before running."),_xlfn.CONCAT("char ",TRIM($B1008),"[doc_units] ",CHAR(96),CHAR(34),SUBSTITUTE(SUBSTITUTE(SUBSTITUTE(SUBSTITUTE(SUBSTITUTE(SUBSTITUTE($F1008,CHAR(13)," "),CHAR(10)," "),CHAR(9)," "),CHAR(92),_xlfn.CONCAT(CHAR(92),CHAR(92))),"$",_xlfn.CONCAT(CHAR(92),"$")),CHAR(96),_xlfn.CONCAT(CHAR(92),CHAR(96))),CHAR(34),CHAR(39))))</f>
        <v/>
      </c>
      <c r="Q1008" s="5" t="str">
        <f>IF(OR(TRIM($B1008)="",$G1008=""),"",IF(OR(ISNUMBER(SEARCH(_xlfn.CONCAT(CHAR(96),CHAR(34)),$G1008)),ISNUMBER(SEARCH(_xlfn.CONCAT(CHAR(34),CHAR(39)),$G1008))),_xlfn.CONCAT("* REVIEW REQUIRED: compound-quote delimiter in Universe on Sheet 1 row ",1008,"; edit the input before running."),_xlfn.CONCAT("char ",TRIM($B1008),"[doc_universe] ",CHAR(96),CHAR(34),SUBSTITUTE(SUBSTITUTE(SUBSTITUTE(SUBSTITUTE(SUBSTITUTE(SUBSTITUTE($G1008,CHAR(13)," "),CHAR(10)," "),CHAR(9)," "),CHAR(92),_xlfn.CONCAT(CHAR(92),CHAR(92))),"$",_xlfn.CONCAT(CHAR(92),"$")),CHAR(96),_xlfn.CONCAT(CHAR(92),CHAR(96))),CHAR(34),CHAR(39))))</f>
        <v/>
      </c>
      <c r="R1008" s="5" t="str">
        <f>IF(OR(TRIM($B1008)="",$H1008=""),"",IF(OR(ISNUMBER(SEARCH(_xlfn.CONCAT(CHAR(96),CHAR(34)),$H1008)),ISNUMBER(SEARCH(_xlfn.CONCAT(CHAR(34),CHAR(39)),$H1008))),_xlfn.CONCAT("* REVIEW REQUIRED: compound-quote delimiter in Source on Sheet 1 row ",1008,"; edit the input before running."),_xlfn.CONCAT("char ",TRIM($B1008),"[doc_source] ",CHAR(96),CHAR(34),SUBSTITUTE(SUBSTITUTE(SUBSTITUTE(SUBSTITUTE(SUBSTITUTE(SUBSTITUTE($H1008,CHAR(13)," "),CHAR(10)," "),CHAR(9)," "),CHAR(92),_xlfn.CONCAT(CHAR(92),CHAR(92))),"$",_xlfn.CONCAT(CHAR(92),"$")),CHAR(96),_xlfn.CONCAT(CHAR(92),CHAR(96))),CHAR(34),CHAR(39))))</f>
        <v/>
      </c>
      <c r="S1008" s="5" t="str">
        <f>IF(OR(TRIM($B1008)="",$I1008=""),"",IF(OR(ISNUMBER(SEARCH(_xlfn.CONCAT(CHAR(96),CHAR(34)),$I1008)),ISNUMBER(SEARCH(_xlfn.CONCAT(CHAR(34),CHAR(39)),$I1008))),_xlfn.CONCAT("* REVIEW REQUIRED: compound-quote delimiter in Derivation on Sheet 1 row ",1008,"; edit the input before running."),_xlfn.CONCAT("char ",TRIM($B1008),"[doc_derivation] ",CHAR(96),CHAR(34),SUBSTITUTE(SUBSTITUTE(SUBSTITUTE(SUBSTITUTE(SUBSTITUTE(SUBSTITUTE($I1008,CHAR(13)," "),CHAR(10)," "),CHAR(9)," "),CHAR(92),_xlfn.CONCAT(CHAR(92),CHAR(92))),"$",_xlfn.CONCAT(CHAR(92),"$")),CHAR(96),_xlfn.CONCAT(CHAR(92),CHAR(96))),CHAR(34),CHAR(39))))</f>
        <v/>
      </c>
      <c r="T1008" s="5" t="str">
        <f>IF(OR(TRIM($B1008)="",$J1008=""),"",IF(OR(ISNUMBER(SEARCH(_xlfn.CONCAT(CHAR(96),CHAR(34)),$J1008)),ISNUMBER(SEARCH(_xlfn.CONCAT(CHAR(34),CHAR(39)),$J1008))),_xlfn.CONCAT("* REVIEW REQUIRED: compound-quote delimiter in Notes on Sheet 1 row ",1008,"; edit the input before running."),_xlfn.CONCAT("char ",TRIM($B1008),"[doc_notes] ",CHAR(96),CHAR(34),SUBSTITUTE(SUBSTITUTE(SUBSTITUTE(SUBSTITUTE(SUBSTITUTE(SUBSTITUTE($J1008,CHAR(13)," "),CHAR(10)," "),CHAR(9)," "),CHAR(92),_xlfn.CONCAT(CHAR(92),CHAR(92))),"$",_xlfn.CONCAT(CHAR(92),"$")),CHAR(96),_xlfn.CONCAT(CHAR(92),CHAR(96))),CHAR(34),CHAR(39))))</f>
        <v/>
      </c>
      <c r="U1008" s="5">
        <f t="shared" si="31"/>
        <v>0</v>
      </c>
    </row>
    <row r="1009" spans="3:21" ht="30" customHeight="1" x14ac:dyDescent="0.2">
      <c r="C1009" s="4"/>
      <c r="K1009" s="5">
        <f t="shared" si="30"/>
        <v>0</v>
      </c>
      <c r="L1009" s="5" t="str">
        <f>IF(OR(TRIM($B1009)="",$A1009=""),"",IF(OR(ISNUMBER(SEARCH(_xlfn.CONCAT(CHAR(96),CHAR(34)),$A1009)),ISNUMBER(SEARCH(_xlfn.CONCAT(CHAR(34),CHAR(39)),$A1009))),_xlfn.CONCAT("* REVIEW REQUIRED: compound-quote delimiter in Codebook Section on Sheet 1 row ",1009,"; edit the input before running."),_xlfn.CONCAT("char ",TRIM($B1009),"[doc_section] ",CHAR(96),CHAR(34),SUBSTITUTE(SUBSTITUTE(SUBSTITUTE(SUBSTITUTE(SUBSTITUTE(SUBSTITUTE($A1009,CHAR(13)," "),CHAR(10)," "),CHAR(9)," "),CHAR(92),_xlfn.CONCAT(CHAR(92),CHAR(92))),"$",_xlfn.CONCAT(CHAR(92),"$")),CHAR(96),_xlfn.CONCAT(CHAR(92),CHAR(96))),CHAR(34),CHAR(39))))</f>
        <v/>
      </c>
      <c r="M1009" s="5" t="str">
        <f>IF(OR(TRIM($B1009)="",$C1009=""),"",IF(IFERROR(MATCH(TRIM($C1009),{"Quantitative","Continuous","Discrete","Categorical","Nominal","Ordinal","Identifier"},0),0)=0,_xlfn.CONCAT("* REVIEW REQUIRED: invalid Variable Type on Sheet 1 row ",1009,"."),_xlfn.CONCAT("char ",TRIM($B1009),"[doc_vartype] ",CHAR(96),CHAR(34),SUBSTITUTE(SUBSTITUTE(SUBSTITUTE(SUBSTITUTE(SUBSTITUTE(SUBSTITUTE(LOWER(TRIM($C1009)),CHAR(13)," "),CHAR(10)," "),CHAR(9)," "),CHAR(92),_xlfn.CONCAT(CHAR(92),CHAR(92))),"$",_xlfn.CONCAT(CHAR(92),"$")),CHAR(96),_xlfn.CONCAT(CHAR(92),CHAR(96))),CHAR(34),CHAR(39))))</f>
        <v/>
      </c>
      <c r="N1009" s="5" t="str">
        <f>IF(OR(TRIM($B1009)="",$D1009=""),"",IF(OR(ISNUMBER(SEARCH(_xlfn.CONCAT(CHAR(96),CHAR(34)),$D1009)),ISNUMBER(SEARCH(_xlfn.CONCAT(CHAR(34),CHAR(39)),$D1009))),_xlfn.CONCAT("* REVIEW REQUIRED: compound-quote delimiter in Item Number on Sheet 1 row ",1009,"; edit the input before running."),_xlfn.CONCAT("char ",TRIM($B1009),"[doc_itemnum] ",CHAR(96),CHAR(34),SUBSTITUTE(SUBSTITUTE(SUBSTITUTE(SUBSTITUTE(SUBSTITUTE(SUBSTITUTE($D1009,CHAR(13)," "),CHAR(10)," "),CHAR(9)," "),CHAR(92),_xlfn.CONCAT(CHAR(92),CHAR(92))),"$",_xlfn.CONCAT(CHAR(92),"$")),CHAR(96),_xlfn.CONCAT(CHAR(92),CHAR(96))),CHAR(34),CHAR(39))))</f>
        <v/>
      </c>
      <c r="O1009" s="5" t="str">
        <f>IF(OR(TRIM($B1009)="",$E1009=""),"",IF(OR(ISNUMBER(SEARCH(_xlfn.CONCAT(CHAR(96),CHAR(34)),$E1009)),ISNUMBER(SEARCH(_xlfn.CONCAT(CHAR(34),CHAR(39)),$E1009))),_xlfn.CONCAT("* REVIEW REQUIRED: compound-quote delimiter in Question Wording on Sheet 1 row ",1009,"; edit the input before running."),_xlfn.CONCAT("char ",TRIM($B1009),"[doc_question] ",CHAR(96),CHAR(34),SUBSTITUTE(SUBSTITUTE(SUBSTITUTE(SUBSTITUTE(SUBSTITUTE(SUBSTITUTE($E1009,CHAR(13)," "),CHAR(10)," "),CHAR(9)," "),CHAR(92),_xlfn.CONCAT(CHAR(92),CHAR(92))),"$",_xlfn.CONCAT(CHAR(92),"$")),CHAR(96),_xlfn.CONCAT(CHAR(92),CHAR(96))),CHAR(34),CHAR(39))))</f>
        <v/>
      </c>
      <c r="P1009" s="5" t="str">
        <f>IF(OR(TRIM($B1009)="",$F1009=""),"",IF(OR(ISNUMBER(SEARCH(_xlfn.CONCAT(CHAR(96),CHAR(34)),$F1009)),ISNUMBER(SEARCH(_xlfn.CONCAT(CHAR(34),CHAR(39)),$F1009))),_xlfn.CONCAT("* REVIEW REQUIRED: compound-quote delimiter in Units on Sheet 1 row ",1009,"; edit the input before running."),_xlfn.CONCAT("char ",TRIM($B1009),"[doc_units] ",CHAR(96),CHAR(34),SUBSTITUTE(SUBSTITUTE(SUBSTITUTE(SUBSTITUTE(SUBSTITUTE(SUBSTITUTE($F1009,CHAR(13)," "),CHAR(10)," "),CHAR(9)," "),CHAR(92),_xlfn.CONCAT(CHAR(92),CHAR(92))),"$",_xlfn.CONCAT(CHAR(92),"$")),CHAR(96),_xlfn.CONCAT(CHAR(92),CHAR(96))),CHAR(34),CHAR(39))))</f>
        <v/>
      </c>
      <c r="Q1009" s="5" t="str">
        <f>IF(OR(TRIM($B1009)="",$G1009=""),"",IF(OR(ISNUMBER(SEARCH(_xlfn.CONCAT(CHAR(96),CHAR(34)),$G1009)),ISNUMBER(SEARCH(_xlfn.CONCAT(CHAR(34),CHAR(39)),$G1009))),_xlfn.CONCAT("* REVIEW REQUIRED: compound-quote delimiter in Universe on Sheet 1 row ",1009,"; edit the input before running."),_xlfn.CONCAT("char ",TRIM($B1009),"[doc_universe] ",CHAR(96),CHAR(34),SUBSTITUTE(SUBSTITUTE(SUBSTITUTE(SUBSTITUTE(SUBSTITUTE(SUBSTITUTE($G1009,CHAR(13)," "),CHAR(10)," "),CHAR(9)," "),CHAR(92),_xlfn.CONCAT(CHAR(92),CHAR(92))),"$",_xlfn.CONCAT(CHAR(92),"$")),CHAR(96),_xlfn.CONCAT(CHAR(92),CHAR(96))),CHAR(34),CHAR(39))))</f>
        <v/>
      </c>
      <c r="R1009" s="5" t="str">
        <f>IF(OR(TRIM($B1009)="",$H1009=""),"",IF(OR(ISNUMBER(SEARCH(_xlfn.CONCAT(CHAR(96),CHAR(34)),$H1009)),ISNUMBER(SEARCH(_xlfn.CONCAT(CHAR(34),CHAR(39)),$H1009))),_xlfn.CONCAT("* REVIEW REQUIRED: compound-quote delimiter in Source on Sheet 1 row ",1009,"; edit the input before running."),_xlfn.CONCAT("char ",TRIM($B1009),"[doc_source] ",CHAR(96),CHAR(34),SUBSTITUTE(SUBSTITUTE(SUBSTITUTE(SUBSTITUTE(SUBSTITUTE(SUBSTITUTE($H1009,CHAR(13)," "),CHAR(10)," "),CHAR(9)," "),CHAR(92),_xlfn.CONCAT(CHAR(92),CHAR(92))),"$",_xlfn.CONCAT(CHAR(92),"$")),CHAR(96),_xlfn.CONCAT(CHAR(92),CHAR(96))),CHAR(34),CHAR(39))))</f>
        <v/>
      </c>
      <c r="S1009" s="5" t="str">
        <f>IF(OR(TRIM($B1009)="",$I1009=""),"",IF(OR(ISNUMBER(SEARCH(_xlfn.CONCAT(CHAR(96),CHAR(34)),$I1009)),ISNUMBER(SEARCH(_xlfn.CONCAT(CHAR(34),CHAR(39)),$I1009))),_xlfn.CONCAT("* REVIEW REQUIRED: compound-quote delimiter in Derivation on Sheet 1 row ",1009,"; edit the input before running."),_xlfn.CONCAT("char ",TRIM($B1009),"[doc_derivation] ",CHAR(96),CHAR(34),SUBSTITUTE(SUBSTITUTE(SUBSTITUTE(SUBSTITUTE(SUBSTITUTE(SUBSTITUTE($I1009,CHAR(13)," "),CHAR(10)," "),CHAR(9)," "),CHAR(92),_xlfn.CONCAT(CHAR(92),CHAR(92))),"$",_xlfn.CONCAT(CHAR(92),"$")),CHAR(96),_xlfn.CONCAT(CHAR(92),CHAR(96))),CHAR(34),CHAR(39))))</f>
        <v/>
      </c>
      <c r="T1009" s="5" t="str">
        <f>IF(OR(TRIM($B1009)="",$J1009=""),"",IF(OR(ISNUMBER(SEARCH(_xlfn.CONCAT(CHAR(96),CHAR(34)),$J1009)),ISNUMBER(SEARCH(_xlfn.CONCAT(CHAR(34),CHAR(39)),$J1009))),_xlfn.CONCAT("* REVIEW REQUIRED: compound-quote delimiter in Notes on Sheet 1 row ",1009,"; edit the input before running."),_xlfn.CONCAT("char ",TRIM($B1009),"[doc_notes] ",CHAR(96),CHAR(34),SUBSTITUTE(SUBSTITUTE(SUBSTITUTE(SUBSTITUTE(SUBSTITUTE(SUBSTITUTE($J1009,CHAR(13)," "),CHAR(10)," "),CHAR(9)," "),CHAR(92),_xlfn.CONCAT(CHAR(92),CHAR(92))),"$",_xlfn.CONCAT(CHAR(92),"$")),CHAR(96),_xlfn.CONCAT(CHAR(92),CHAR(96))),CHAR(34),CHAR(39))))</f>
        <v/>
      </c>
      <c r="U1009" s="5">
        <f t="shared" si="31"/>
        <v>0</v>
      </c>
    </row>
    <row r="1010" spans="3:21" ht="30" customHeight="1" x14ac:dyDescent="0.2">
      <c r="C1010" s="4"/>
      <c r="K1010" s="5">
        <f t="shared" si="30"/>
        <v>0</v>
      </c>
      <c r="L1010" s="5" t="str">
        <f>IF(OR(TRIM($B1010)="",$A1010=""),"",IF(OR(ISNUMBER(SEARCH(_xlfn.CONCAT(CHAR(96),CHAR(34)),$A1010)),ISNUMBER(SEARCH(_xlfn.CONCAT(CHAR(34),CHAR(39)),$A1010))),_xlfn.CONCAT("* REVIEW REQUIRED: compound-quote delimiter in Codebook Section on Sheet 1 row ",1010,"; edit the input before running."),_xlfn.CONCAT("char ",TRIM($B1010),"[doc_section] ",CHAR(96),CHAR(34),SUBSTITUTE(SUBSTITUTE(SUBSTITUTE(SUBSTITUTE(SUBSTITUTE(SUBSTITUTE($A1010,CHAR(13)," "),CHAR(10)," "),CHAR(9)," "),CHAR(92),_xlfn.CONCAT(CHAR(92),CHAR(92))),"$",_xlfn.CONCAT(CHAR(92),"$")),CHAR(96),_xlfn.CONCAT(CHAR(92),CHAR(96))),CHAR(34),CHAR(39))))</f>
        <v/>
      </c>
      <c r="M1010" s="5" t="str">
        <f>IF(OR(TRIM($B1010)="",$C1010=""),"",IF(IFERROR(MATCH(TRIM($C1010),{"Quantitative","Continuous","Discrete","Categorical","Nominal","Ordinal","Identifier"},0),0)=0,_xlfn.CONCAT("* REVIEW REQUIRED: invalid Variable Type on Sheet 1 row ",1010,"."),_xlfn.CONCAT("char ",TRIM($B1010),"[doc_vartype] ",CHAR(96),CHAR(34),SUBSTITUTE(SUBSTITUTE(SUBSTITUTE(SUBSTITUTE(SUBSTITUTE(SUBSTITUTE(LOWER(TRIM($C1010)),CHAR(13)," "),CHAR(10)," "),CHAR(9)," "),CHAR(92),_xlfn.CONCAT(CHAR(92),CHAR(92))),"$",_xlfn.CONCAT(CHAR(92),"$")),CHAR(96),_xlfn.CONCAT(CHAR(92),CHAR(96))),CHAR(34),CHAR(39))))</f>
        <v/>
      </c>
      <c r="N1010" s="5" t="str">
        <f>IF(OR(TRIM($B1010)="",$D1010=""),"",IF(OR(ISNUMBER(SEARCH(_xlfn.CONCAT(CHAR(96),CHAR(34)),$D1010)),ISNUMBER(SEARCH(_xlfn.CONCAT(CHAR(34),CHAR(39)),$D1010))),_xlfn.CONCAT("* REVIEW REQUIRED: compound-quote delimiter in Item Number on Sheet 1 row ",1010,"; edit the input before running."),_xlfn.CONCAT("char ",TRIM($B1010),"[doc_itemnum] ",CHAR(96),CHAR(34),SUBSTITUTE(SUBSTITUTE(SUBSTITUTE(SUBSTITUTE(SUBSTITUTE(SUBSTITUTE($D1010,CHAR(13)," "),CHAR(10)," "),CHAR(9)," "),CHAR(92),_xlfn.CONCAT(CHAR(92),CHAR(92))),"$",_xlfn.CONCAT(CHAR(92),"$")),CHAR(96),_xlfn.CONCAT(CHAR(92),CHAR(96))),CHAR(34),CHAR(39))))</f>
        <v/>
      </c>
      <c r="O1010" s="5" t="str">
        <f>IF(OR(TRIM($B1010)="",$E1010=""),"",IF(OR(ISNUMBER(SEARCH(_xlfn.CONCAT(CHAR(96),CHAR(34)),$E1010)),ISNUMBER(SEARCH(_xlfn.CONCAT(CHAR(34),CHAR(39)),$E1010))),_xlfn.CONCAT("* REVIEW REQUIRED: compound-quote delimiter in Question Wording on Sheet 1 row ",1010,"; edit the input before running."),_xlfn.CONCAT("char ",TRIM($B1010),"[doc_question] ",CHAR(96),CHAR(34),SUBSTITUTE(SUBSTITUTE(SUBSTITUTE(SUBSTITUTE(SUBSTITUTE(SUBSTITUTE($E1010,CHAR(13)," "),CHAR(10)," "),CHAR(9)," "),CHAR(92),_xlfn.CONCAT(CHAR(92),CHAR(92))),"$",_xlfn.CONCAT(CHAR(92),"$")),CHAR(96),_xlfn.CONCAT(CHAR(92),CHAR(96))),CHAR(34),CHAR(39))))</f>
        <v/>
      </c>
      <c r="P1010" s="5" t="str">
        <f>IF(OR(TRIM($B1010)="",$F1010=""),"",IF(OR(ISNUMBER(SEARCH(_xlfn.CONCAT(CHAR(96),CHAR(34)),$F1010)),ISNUMBER(SEARCH(_xlfn.CONCAT(CHAR(34),CHAR(39)),$F1010))),_xlfn.CONCAT("* REVIEW REQUIRED: compound-quote delimiter in Units on Sheet 1 row ",1010,"; edit the input before running."),_xlfn.CONCAT("char ",TRIM($B1010),"[doc_units] ",CHAR(96),CHAR(34),SUBSTITUTE(SUBSTITUTE(SUBSTITUTE(SUBSTITUTE(SUBSTITUTE(SUBSTITUTE($F1010,CHAR(13)," "),CHAR(10)," "),CHAR(9)," "),CHAR(92),_xlfn.CONCAT(CHAR(92),CHAR(92))),"$",_xlfn.CONCAT(CHAR(92),"$")),CHAR(96),_xlfn.CONCAT(CHAR(92),CHAR(96))),CHAR(34),CHAR(39))))</f>
        <v/>
      </c>
      <c r="Q1010" s="5" t="str">
        <f>IF(OR(TRIM($B1010)="",$G1010=""),"",IF(OR(ISNUMBER(SEARCH(_xlfn.CONCAT(CHAR(96),CHAR(34)),$G1010)),ISNUMBER(SEARCH(_xlfn.CONCAT(CHAR(34),CHAR(39)),$G1010))),_xlfn.CONCAT("* REVIEW REQUIRED: compound-quote delimiter in Universe on Sheet 1 row ",1010,"; edit the input before running."),_xlfn.CONCAT("char ",TRIM($B1010),"[doc_universe] ",CHAR(96),CHAR(34),SUBSTITUTE(SUBSTITUTE(SUBSTITUTE(SUBSTITUTE(SUBSTITUTE(SUBSTITUTE($G1010,CHAR(13)," "),CHAR(10)," "),CHAR(9)," "),CHAR(92),_xlfn.CONCAT(CHAR(92),CHAR(92))),"$",_xlfn.CONCAT(CHAR(92),"$")),CHAR(96),_xlfn.CONCAT(CHAR(92),CHAR(96))),CHAR(34),CHAR(39))))</f>
        <v/>
      </c>
      <c r="R1010" s="5" t="str">
        <f>IF(OR(TRIM($B1010)="",$H1010=""),"",IF(OR(ISNUMBER(SEARCH(_xlfn.CONCAT(CHAR(96),CHAR(34)),$H1010)),ISNUMBER(SEARCH(_xlfn.CONCAT(CHAR(34),CHAR(39)),$H1010))),_xlfn.CONCAT("* REVIEW REQUIRED: compound-quote delimiter in Source on Sheet 1 row ",1010,"; edit the input before running."),_xlfn.CONCAT("char ",TRIM($B1010),"[doc_source] ",CHAR(96),CHAR(34),SUBSTITUTE(SUBSTITUTE(SUBSTITUTE(SUBSTITUTE(SUBSTITUTE(SUBSTITUTE($H1010,CHAR(13)," "),CHAR(10)," "),CHAR(9)," "),CHAR(92),_xlfn.CONCAT(CHAR(92),CHAR(92))),"$",_xlfn.CONCAT(CHAR(92),"$")),CHAR(96),_xlfn.CONCAT(CHAR(92),CHAR(96))),CHAR(34),CHAR(39))))</f>
        <v/>
      </c>
      <c r="S1010" s="5" t="str">
        <f>IF(OR(TRIM($B1010)="",$I1010=""),"",IF(OR(ISNUMBER(SEARCH(_xlfn.CONCAT(CHAR(96),CHAR(34)),$I1010)),ISNUMBER(SEARCH(_xlfn.CONCAT(CHAR(34),CHAR(39)),$I1010))),_xlfn.CONCAT("* REVIEW REQUIRED: compound-quote delimiter in Derivation on Sheet 1 row ",1010,"; edit the input before running."),_xlfn.CONCAT("char ",TRIM($B1010),"[doc_derivation] ",CHAR(96),CHAR(34),SUBSTITUTE(SUBSTITUTE(SUBSTITUTE(SUBSTITUTE(SUBSTITUTE(SUBSTITUTE($I1010,CHAR(13)," "),CHAR(10)," "),CHAR(9)," "),CHAR(92),_xlfn.CONCAT(CHAR(92),CHAR(92))),"$",_xlfn.CONCAT(CHAR(92),"$")),CHAR(96),_xlfn.CONCAT(CHAR(92),CHAR(96))),CHAR(34),CHAR(39))))</f>
        <v/>
      </c>
      <c r="T1010" s="5" t="str">
        <f>IF(OR(TRIM($B1010)="",$J1010=""),"",IF(OR(ISNUMBER(SEARCH(_xlfn.CONCAT(CHAR(96),CHAR(34)),$J1010)),ISNUMBER(SEARCH(_xlfn.CONCAT(CHAR(34),CHAR(39)),$J1010))),_xlfn.CONCAT("* REVIEW REQUIRED: compound-quote delimiter in Notes on Sheet 1 row ",1010,"; edit the input before running."),_xlfn.CONCAT("char ",TRIM($B1010),"[doc_notes] ",CHAR(96),CHAR(34),SUBSTITUTE(SUBSTITUTE(SUBSTITUTE(SUBSTITUTE(SUBSTITUTE(SUBSTITUTE($J1010,CHAR(13)," "),CHAR(10)," "),CHAR(9)," "),CHAR(92),_xlfn.CONCAT(CHAR(92),CHAR(92))),"$",_xlfn.CONCAT(CHAR(92),"$")),CHAR(96),_xlfn.CONCAT(CHAR(92),CHAR(96))),CHAR(34),CHAR(39))))</f>
        <v/>
      </c>
      <c r="U1010" s="5">
        <f t="shared" si="31"/>
        <v>0</v>
      </c>
    </row>
    <row r="1011" spans="3:21" ht="30" customHeight="1" x14ac:dyDescent="0.2">
      <c r="C1011" s="4"/>
      <c r="K1011" s="5">
        <f t="shared" si="30"/>
        <v>0</v>
      </c>
      <c r="L1011" s="5" t="str">
        <f>IF(OR(TRIM($B1011)="",$A1011=""),"",IF(OR(ISNUMBER(SEARCH(_xlfn.CONCAT(CHAR(96),CHAR(34)),$A1011)),ISNUMBER(SEARCH(_xlfn.CONCAT(CHAR(34),CHAR(39)),$A1011))),_xlfn.CONCAT("* REVIEW REQUIRED: compound-quote delimiter in Codebook Section on Sheet 1 row ",1011,"; edit the input before running."),_xlfn.CONCAT("char ",TRIM($B1011),"[doc_section] ",CHAR(96),CHAR(34),SUBSTITUTE(SUBSTITUTE(SUBSTITUTE(SUBSTITUTE(SUBSTITUTE(SUBSTITUTE($A1011,CHAR(13)," "),CHAR(10)," "),CHAR(9)," "),CHAR(92),_xlfn.CONCAT(CHAR(92),CHAR(92))),"$",_xlfn.CONCAT(CHAR(92),"$")),CHAR(96),_xlfn.CONCAT(CHAR(92),CHAR(96))),CHAR(34),CHAR(39))))</f>
        <v/>
      </c>
      <c r="M1011" s="5" t="str">
        <f>IF(OR(TRIM($B1011)="",$C1011=""),"",IF(IFERROR(MATCH(TRIM($C1011),{"Quantitative","Continuous","Discrete","Categorical","Nominal","Ordinal","Identifier"},0),0)=0,_xlfn.CONCAT("* REVIEW REQUIRED: invalid Variable Type on Sheet 1 row ",1011,"."),_xlfn.CONCAT("char ",TRIM($B1011),"[doc_vartype] ",CHAR(96),CHAR(34),SUBSTITUTE(SUBSTITUTE(SUBSTITUTE(SUBSTITUTE(SUBSTITUTE(SUBSTITUTE(LOWER(TRIM($C1011)),CHAR(13)," "),CHAR(10)," "),CHAR(9)," "),CHAR(92),_xlfn.CONCAT(CHAR(92),CHAR(92))),"$",_xlfn.CONCAT(CHAR(92),"$")),CHAR(96),_xlfn.CONCAT(CHAR(92),CHAR(96))),CHAR(34),CHAR(39))))</f>
        <v/>
      </c>
      <c r="N1011" s="5" t="str">
        <f>IF(OR(TRIM($B1011)="",$D1011=""),"",IF(OR(ISNUMBER(SEARCH(_xlfn.CONCAT(CHAR(96),CHAR(34)),$D1011)),ISNUMBER(SEARCH(_xlfn.CONCAT(CHAR(34),CHAR(39)),$D1011))),_xlfn.CONCAT("* REVIEW REQUIRED: compound-quote delimiter in Item Number on Sheet 1 row ",1011,"; edit the input before running."),_xlfn.CONCAT("char ",TRIM($B1011),"[doc_itemnum] ",CHAR(96),CHAR(34),SUBSTITUTE(SUBSTITUTE(SUBSTITUTE(SUBSTITUTE(SUBSTITUTE(SUBSTITUTE($D1011,CHAR(13)," "),CHAR(10)," "),CHAR(9)," "),CHAR(92),_xlfn.CONCAT(CHAR(92),CHAR(92))),"$",_xlfn.CONCAT(CHAR(92),"$")),CHAR(96),_xlfn.CONCAT(CHAR(92),CHAR(96))),CHAR(34),CHAR(39))))</f>
        <v/>
      </c>
      <c r="O1011" s="5" t="str">
        <f>IF(OR(TRIM($B1011)="",$E1011=""),"",IF(OR(ISNUMBER(SEARCH(_xlfn.CONCAT(CHAR(96),CHAR(34)),$E1011)),ISNUMBER(SEARCH(_xlfn.CONCAT(CHAR(34),CHAR(39)),$E1011))),_xlfn.CONCAT("* REVIEW REQUIRED: compound-quote delimiter in Question Wording on Sheet 1 row ",1011,"; edit the input before running."),_xlfn.CONCAT("char ",TRIM($B1011),"[doc_question] ",CHAR(96),CHAR(34),SUBSTITUTE(SUBSTITUTE(SUBSTITUTE(SUBSTITUTE(SUBSTITUTE(SUBSTITUTE($E1011,CHAR(13)," "),CHAR(10)," "),CHAR(9)," "),CHAR(92),_xlfn.CONCAT(CHAR(92),CHAR(92))),"$",_xlfn.CONCAT(CHAR(92),"$")),CHAR(96),_xlfn.CONCAT(CHAR(92),CHAR(96))),CHAR(34),CHAR(39))))</f>
        <v/>
      </c>
      <c r="P1011" s="5" t="str">
        <f>IF(OR(TRIM($B1011)="",$F1011=""),"",IF(OR(ISNUMBER(SEARCH(_xlfn.CONCAT(CHAR(96),CHAR(34)),$F1011)),ISNUMBER(SEARCH(_xlfn.CONCAT(CHAR(34),CHAR(39)),$F1011))),_xlfn.CONCAT("* REVIEW REQUIRED: compound-quote delimiter in Units on Sheet 1 row ",1011,"; edit the input before running."),_xlfn.CONCAT("char ",TRIM($B1011),"[doc_units] ",CHAR(96),CHAR(34),SUBSTITUTE(SUBSTITUTE(SUBSTITUTE(SUBSTITUTE(SUBSTITUTE(SUBSTITUTE($F1011,CHAR(13)," "),CHAR(10)," "),CHAR(9)," "),CHAR(92),_xlfn.CONCAT(CHAR(92),CHAR(92))),"$",_xlfn.CONCAT(CHAR(92),"$")),CHAR(96),_xlfn.CONCAT(CHAR(92),CHAR(96))),CHAR(34),CHAR(39))))</f>
        <v/>
      </c>
      <c r="Q1011" s="5" t="str">
        <f>IF(OR(TRIM($B1011)="",$G1011=""),"",IF(OR(ISNUMBER(SEARCH(_xlfn.CONCAT(CHAR(96),CHAR(34)),$G1011)),ISNUMBER(SEARCH(_xlfn.CONCAT(CHAR(34),CHAR(39)),$G1011))),_xlfn.CONCAT("* REVIEW REQUIRED: compound-quote delimiter in Universe on Sheet 1 row ",1011,"; edit the input before running."),_xlfn.CONCAT("char ",TRIM($B1011),"[doc_universe] ",CHAR(96),CHAR(34),SUBSTITUTE(SUBSTITUTE(SUBSTITUTE(SUBSTITUTE(SUBSTITUTE(SUBSTITUTE($G1011,CHAR(13)," "),CHAR(10)," "),CHAR(9)," "),CHAR(92),_xlfn.CONCAT(CHAR(92),CHAR(92))),"$",_xlfn.CONCAT(CHAR(92),"$")),CHAR(96),_xlfn.CONCAT(CHAR(92),CHAR(96))),CHAR(34),CHAR(39))))</f>
        <v/>
      </c>
      <c r="R1011" s="5" t="str">
        <f>IF(OR(TRIM($B1011)="",$H1011=""),"",IF(OR(ISNUMBER(SEARCH(_xlfn.CONCAT(CHAR(96),CHAR(34)),$H1011)),ISNUMBER(SEARCH(_xlfn.CONCAT(CHAR(34),CHAR(39)),$H1011))),_xlfn.CONCAT("* REVIEW REQUIRED: compound-quote delimiter in Source on Sheet 1 row ",1011,"; edit the input before running."),_xlfn.CONCAT("char ",TRIM($B1011),"[doc_source] ",CHAR(96),CHAR(34),SUBSTITUTE(SUBSTITUTE(SUBSTITUTE(SUBSTITUTE(SUBSTITUTE(SUBSTITUTE($H1011,CHAR(13)," "),CHAR(10)," "),CHAR(9)," "),CHAR(92),_xlfn.CONCAT(CHAR(92),CHAR(92))),"$",_xlfn.CONCAT(CHAR(92),"$")),CHAR(96),_xlfn.CONCAT(CHAR(92),CHAR(96))),CHAR(34),CHAR(39))))</f>
        <v/>
      </c>
      <c r="S1011" s="5" t="str">
        <f>IF(OR(TRIM($B1011)="",$I1011=""),"",IF(OR(ISNUMBER(SEARCH(_xlfn.CONCAT(CHAR(96),CHAR(34)),$I1011)),ISNUMBER(SEARCH(_xlfn.CONCAT(CHAR(34),CHAR(39)),$I1011))),_xlfn.CONCAT("* REVIEW REQUIRED: compound-quote delimiter in Derivation on Sheet 1 row ",1011,"; edit the input before running."),_xlfn.CONCAT("char ",TRIM($B1011),"[doc_derivation] ",CHAR(96),CHAR(34),SUBSTITUTE(SUBSTITUTE(SUBSTITUTE(SUBSTITUTE(SUBSTITUTE(SUBSTITUTE($I1011,CHAR(13)," "),CHAR(10)," "),CHAR(9)," "),CHAR(92),_xlfn.CONCAT(CHAR(92),CHAR(92))),"$",_xlfn.CONCAT(CHAR(92),"$")),CHAR(96),_xlfn.CONCAT(CHAR(92),CHAR(96))),CHAR(34),CHAR(39))))</f>
        <v/>
      </c>
      <c r="T1011" s="5" t="str">
        <f>IF(OR(TRIM($B1011)="",$J1011=""),"",IF(OR(ISNUMBER(SEARCH(_xlfn.CONCAT(CHAR(96),CHAR(34)),$J1011)),ISNUMBER(SEARCH(_xlfn.CONCAT(CHAR(34),CHAR(39)),$J1011))),_xlfn.CONCAT("* REVIEW REQUIRED: compound-quote delimiter in Notes on Sheet 1 row ",1011,"; edit the input before running."),_xlfn.CONCAT("char ",TRIM($B1011),"[doc_notes] ",CHAR(96),CHAR(34),SUBSTITUTE(SUBSTITUTE(SUBSTITUTE(SUBSTITUTE(SUBSTITUTE(SUBSTITUTE($J1011,CHAR(13)," "),CHAR(10)," "),CHAR(9)," "),CHAR(92),_xlfn.CONCAT(CHAR(92),CHAR(92))),"$",_xlfn.CONCAT(CHAR(92),"$")),CHAR(96),_xlfn.CONCAT(CHAR(92),CHAR(96))),CHAR(34),CHAR(39))))</f>
        <v/>
      </c>
      <c r="U1011" s="5">
        <f t="shared" si="31"/>
        <v>0</v>
      </c>
    </row>
    <row r="1012" spans="3:21" ht="30" customHeight="1" x14ac:dyDescent="0.2">
      <c r="C1012" s="4"/>
      <c r="K1012" s="5">
        <f t="shared" si="30"/>
        <v>0</v>
      </c>
      <c r="L1012" s="5" t="str">
        <f>IF(OR(TRIM($B1012)="",$A1012=""),"",IF(OR(ISNUMBER(SEARCH(_xlfn.CONCAT(CHAR(96),CHAR(34)),$A1012)),ISNUMBER(SEARCH(_xlfn.CONCAT(CHAR(34),CHAR(39)),$A1012))),_xlfn.CONCAT("* REVIEW REQUIRED: compound-quote delimiter in Codebook Section on Sheet 1 row ",1012,"; edit the input before running."),_xlfn.CONCAT("char ",TRIM($B1012),"[doc_section] ",CHAR(96),CHAR(34),SUBSTITUTE(SUBSTITUTE(SUBSTITUTE(SUBSTITUTE(SUBSTITUTE(SUBSTITUTE($A1012,CHAR(13)," "),CHAR(10)," "),CHAR(9)," "),CHAR(92),_xlfn.CONCAT(CHAR(92),CHAR(92))),"$",_xlfn.CONCAT(CHAR(92),"$")),CHAR(96),_xlfn.CONCAT(CHAR(92),CHAR(96))),CHAR(34),CHAR(39))))</f>
        <v/>
      </c>
      <c r="M1012" s="5" t="str">
        <f>IF(OR(TRIM($B1012)="",$C1012=""),"",IF(IFERROR(MATCH(TRIM($C1012),{"Quantitative","Continuous","Discrete","Categorical","Nominal","Ordinal","Identifier"},0),0)=0,_xlfn.CONCAT("* REVIEW REQUIRED: invalid Variable Type on Sheet 1 row ",1012,"."),_xlfn.CONCAT("char ",TRIM($B1012),"[doc_vartype] ",CHAR(96),CHAR(34),SUBSTITUTE(SUBSTITUTE(SUBSTITUTE(SUBSTITUTE(SUBSTITUTE(SUBSTITUTE(LOWER(TRIM($C1012)),CHAR(13)," "),CHAR(10)," "),CHAR(9)," "),CHAR(92),_xlfn.CONCAT(CHAR(92),CHAR(92))),"$",_xlfn.CONCAT(CHAR(92),"$")),CHAR(96),_xlfn.CONCAT(CHAR(92),CHAR(96))),CHAR(34),CHAR(39))))</f>
        <v/>
      </c>
      <c r="N1012" s="5" t="str">
        <f>IF(OR(TRIM($B1012)="",$D1012=""),"",IF(OR(ISNUMBER(SEARCH(_xlfn.CONCAT(CHAR(96),CHAR(34)),$D1012)),ISNUMBER(SEARCH(_xlfn.CONCAT(CHAR(34),CHAR(39)),$D1012))),_xlfn.CONCAT("* REVIEW REQUIRED: compound-quote delimiter in Item Number on Sheet 1 row ",1012,"; edit the input before running."),_xlfn.CONCAT("char ",TRIM($B1012),"[doc_itemnum] ",CHAR(96),CHAR(34),SUBSTITUTE(SUBSTITUTE(SUBSTITUTE(SUBSTITUTE(SUBSTITUTE(SUBSTITUTE($D1012,CHAR(13)," "),CHAR(10)," "),CHAR(9)," "),CHAR(92),_xlfn.CONCAT(CHAR(92),CHAR(92))),"$",_xlfn.CONCAT(CHAR(92),"$")),CHAR(96),_xlfn.CONCAT(CHAR(92),CHAR(96))),CHAR(34),CHAR(39))))</f>
        <v/>
      </c>
      <c r="O1012" s="5" t="str">
        <f>IF(OR(TRIM($B1012)="",$E1012=""),"",IF(OR(ISNUMBER(SEARCH(_xlfn.CONCAT(CHAR(96),CHAR(34)),$E1012)),ISNUMBER(SEARCH(_xlfn.CONCAT(CHAR(34),CHAR(39)),$E1012))),_xlfn.CONCAT("* REVIEW REQUIRED: compound-quote delimiter in Question Wording on Sheet 1 row ",1012,"; edit the input before running."),_xlfn.CONCAT("char ",TRIM($B1012),"[doc_question] ",CHAR(96),CHAR(34),SUBSTITUTE(SUBSTITUTE(SUBSTITUTE(SUBSTITUTE(SUBSTITUTE(SUBSTITUTE($E1012,CHAR(13)," "),CHAR(10)," "),CHAR(9)," "),CHAR(92),_xlfn.CONCAT(CHAR(92),CHAR(92))),"$",_xlfn.CONCAT(CHAR(92),"$")),CHAR(96),_xlfn.CONCAT(CHAR(92),CHAR(96))),CHAR(34),CHAR(39))))</f>
        <v/>
      </c>
      <c r="P1012" s="5" t="str">
        <f>IF(OR(TRIM($B1012)="",$F1012=""),"",IF(OR(ISNUMBER(SEARCH(_xlfn.CONCAT(CHAR(96),CHAR(34)),$F1012)),ISNUMBER(SEARCH(_xlfn.CONCAT(CHAR(34),CHAR(39)),$F1012))),_xlfn.CONCAT("* REVIEW REQUIRED: compound-quote delimiter in Units on Sheet 1 row ",1012,"; edit the input before running."),_xlfn.CONCAT("char ",TRIM($B1012),"[doc_units] ",CHAR(96),CHAR(34),SUBSTITUTE(SUBSTITUTE(SUBSTITUTE(SUBSTITUTE(SUBSTITUTE(SUBSTITUTE($F1012,CHAR(13)," "),CHAR(10)," "),CHAR(9)," "),CHAR(92),_xlfn.CONCAT(CHAR(92),CHAR(92))),"$",_xlfn.CONCAT(CHAR(92),"$")),CHAR(96),_xlfn.CONCAT(CHAR(92),CHAR(96))),CHAR(34),CHAR(39))))</f>
        <v/>
      </c>
      <c r="Q1012" s="5" t="str">
        <f>IF(OR(TRIM($B1012)="",$G1012=""),"",IF(OR(ISNUMBER(SEARCH(_xlfn.CONCAT(CHAR(96),CHAR(34)),$G1012)),ISNUMBER(SEARCH(_xlfn.CONCAT(CHAR(34),CHAR(39)),$G1012))),_xlfn.CONCAT("* REVIEW REQUIRED: compound-quote delimiter in Universe on Sheet 1 row ",1012,"; edit the input before running."),_xlfn.CONCAT("char ",TRIM($B1012),"[doc_universe] ",CHAR(96),CHAR(34),SUBSTITUTE(SUBSTITUTE(SUBSTITUTE(SUBSTITUTE(SUBSTITUTE(SUBSTITUTE($G1012,CHAR(13)," "),CHAR(10)," "),CHAR(9)," "),CHAR(92),_xlfn.CONCAT(CHAR(92),CHAR(92))),"$",_xlfn.CONCAT(CHAR(92),"$")),CHAR(96),_xlfn.CONCAT(CHAR(92),CHAR(96))),CHAR(34),CHAR(39))))</f>
        <v/>
      </c>
      <c r="R1012" s="5" t="str">
        <f>IF(OR(TRIM($B1012)="",$H1012=""),"",IF(OR(ISNUMBER(SEARCH(_xlfn.CONCAT(CHAR(96),CHAR(34)),$H1012)),ISNUMBER(SEARCH(_xlfn.CONCAT(CHAR(34),CHAR(39)),$H1012))),_xlfn.CONCAT("* REVIEW REQUIRED: compound-quote delimiter in Source on Sheet 1 row ",1012,"; edit the input before running."),_xlfn.CONCAT("char ",TRIM($B1012),"[doc_source] ",CHAR(96),CHAR(34),SUBSTITUTE(SUBSTITUTE(SUBSTITUTE(SUBSTITUTE(SUBSTITUTE(SUBSTITUTE($H1012,CHAR(13)," "),CHAR(10)," "),CHAR(9)," "),CHAR(92),_xlfn.CONCAT(CHAR(92),CHAR(92))),"$",_xlfn.CONCAT(CHAR(92),"$")),CHAR(96),_xlfn.CONCAT(CHAR(92),CHAR(96))),CHAR(34),CHAR(39))))</f>
        <v/>
      </c>
      <c r="S1012" s="5" t="str">
        <f>IF(OR(TRIM($B1012)="",$I1012=""),"",IF(OR(ISNUMBER(SEARCH(_xlfn.CONCAT(CHAR(96),CHAR(34)),$I1012)),ISNUMBER(SEARCH(_xlfn.CONCAT(CHAR(34),CHAR(39)),$I1012))),_xlfn.CONCAT("* REVIEW REQUIRED: compound-quote delimiter in Derivation on Sheet 1 row ",1012,"; edit the input before running."),_xlfn.CONCAT("char ",TRIM($B1012),"[doc_derivation] ",CHAR(96),CHAR(34),SUBSTITUTE(SUBSTITUTE(SUBSTITUTE(SUBSTITUTE(SUBSTITUTE(SUBSTITUTE($I1012,CHAR(13)," "),CHAR(10)," "),CHAR(9)," "),CHAR(92),_xlfn.CONCAT(CHAR(92),CHAR(92))),"$",_xlfn.CONCAT(CHAR(92),"$")),CHAR(96),_xlfn.CONCAT(CHAR(92),CHAR(96))),CHAR(34),CHAR(39))))</f>
        <v/>
      </c>
      <c r="T1012" s="5" t="str">
        <f>IF(OR(TRIM($B1012)="",$J1012=""),"",IF(OR(ISNUMBER(SEARCH(_xlfn.CONCAT(CHAR(96),CHAR(34)),$J1012)),ISNUMBER(SEARCH(_xlfn.CONCAT(CHAR(34),CHAR(39)),$J1012))),_xlfn.CONCAT("* REVIEW REQUIRED: compound-quote delimiter in Notes on Sheet 1 row ",1012,"; edit the input before running."),_xlfn.CONCAT("char ",TRIM($B1012),"[doc_notes] ",CHAR(96),CHAR(34),SUBSTITUTE(SUBSTITUTE(SUBSTITUTE(SUBSTITUTE(SUBSTITUTE(SUBSTITUTE($J1012,CHAR(13)," "),CHAR(10)," "),CHAR(9)," "),CHAR(92),_xlfn.CONCAT(CHAR(92),CHAR(92))),"$",_xlfn.CONCAT(CHAR(92),"$")),CHAR(96),_xlfn.CONCAT(CHAR(92),CHAR(96))),CHAR(34),CHAR(39))))</f>
        <v/>
      </c>
      <c r="U1012" s="5">
        <f t="shared" si="31"/>
        <v>0</v>
      </c>
    </row>
    <row r="1013" spans="3:21" ht="30" customHeight="1" x14ac:dyDescent="0.2">
      <c r="C1013" s="4"/>
      <c r="K1013" s="5">
        <f t="shared" si="30"/>
        <v>0</v>
      </c>
      <c r="L1013" s="5" t="str">
        <f>IF(OR(TRIM($B1013)="",$A1013=""),"",IF(OR(ISNUMBER(SEARCH(_xlfn.CONCAT(CHAR(96),CHAR(34)),$A1013)),ISNUMBER(SEARCH(_xlfn.CONCAT(CHAR(34),CHAR(39)),$A1013))),_xlfn.CONCAT("* REVIEW REQUIRED: compound-quote delimiter in Codebook Section on Sheet 1 row ",1013,"; edit the input before running."),_xlfn.CONCAT("char ",TRIM($B1013),"[doc_section] ",CHAR(96),CHAR(34),SUBSTITUTE(SUBSTITUTE(SUBSTITUTE(SUBSTITUTE(SUBSTITUTE(SUBSTITUTE($A1013,CHAR(13)," "),CHAR(10)," "),CHAR(9)," "),CHAR(92),_xlfn.CONCAT(CHAR(92),CHAR(92))),"$",_xlfn.CONCAT(CHAR(92),"$")),CHAR(96),_xlfn.CONCAT(CHAR(92),CHAR(96))),CHAR(34),CHAR(39))))</f>
        <v/>
      </c>
      <c r="M1013" s="5" t="str">
        <f>IF(OR(TRIM($B1013)="",$C1013=""),"",IF(IFERROR(MATCH(TRIM($C1013),{"Quantitative","Continuous","Discrete","Categorical","Nominal","Ordinal","Identifier"},0),0)=0,_xlfn.CONCAT("* REVIEW REQUIRED: invalid Variable Type on Sheet 1 row ",1013,"."),_xlfn.CONCAT("char ",TRIM($B1013),"[doc_vartype] ",CHAR(96),CHAR(34),SUBSTITUTE(SUBSTITUTE(SUBSTITUTE(SUBSTITUTE(SUBSTITUTE(SUBSTITUTE(LOWER(TRIM($C1013)),CHAR(13)," "),CHAR(10)," "),CHAR(9)," "),CHAR(92),_xlfn.CONCAT(CHAR(92),CHAR(92))),"$",_xlfn.CONCAT(CHAR(92),"$")),CHAR(96),_xlfn.CONCAT(CHAR(92),CHAR(96))),CHAR(34),CHAR(39))))</f>
        <v/>
      </c>
      <c r="N1013" s="5" t="str">
        <f>IF(OR(TRIM($B1013)="",$D1013=""),"",IF(OR(ISNUMBER(SEARCH(_xlfn.CONCAT(CHAR(96),CHAR(34)),$D1013)),ISNUMBER(SEARCH(_xlfn.CONCAT(CHAR(34),CHAR(39)),$D1013))),_xlfn.CONCAT("* REVIEW REQUIRED: compound-quote delimiter in Item Number on Sheet 1 row ",1013,"; edit the input before running."),_xlfn.CONCAT("char ",TRIM($B1013),"[doc_itemnum] ",CHAR(96),CHAR(34),SUBSTITUTE(SUBSTITUTE(SUBSTITUTE(SUBSTITUTE(SUBSTITUTE(SUBSTITUTE($D1013,CHAR(13)," "),CHAR(10)," "),CHAR(9)," "),CHAR(92),_xlfn.CONCAT(CHAR(92),CHAR(92))),"$",_xlfn.CONCAT(CHAR(92),"$")),CHAR(96),_xlfn.CONCAT(CHAR(92),CHAR(96))),CHAR(34),CHAR(39))))</f>
        <v/>
      </c>
      <c r="O1013" s="5" t="str">
        <f>IF(OR(TRIM($B1013)="",$E1013=""),"",IF(OR(ISNUMBER(SEARCH(_xlfn.CONCAT(CHAR(96),CHAR(34)),$E1013)),ISNUMBER(SEARCH(_xlfn.CONCAT(CHAR(34),CHAR(39)),$E1013))),_xlfn.CONCAT("* REVIEW REQUIRED: compound-quote delimiter in Question Wording on Sheet 1 row ",1013,"; edit the input before running."),_xlfn.CONCAT("char ",TRIM($B1013),"[doc_question] ",CHAR(96),CHAR(34),SUBSTITUTE(SUBSTITUTE(SUBSTITUTE(SUBSTITUTE(SUBSTITUTE(SUBSTITUTE($E1013,CHAR(13)," "),CHAR(10)," "),CHAR(9)," "),CHAR(92),_xlfn.CONCAT(CHAR(92),CHAR(92))),"$",_xlfn.CONCAT(CHAR(92),"$")),CHAR(96),_xlfn.CONCAT(CHAR(92),CHAR(96))),CHAR(34),CHAR(39))))</f>
        <v/>
      </c>
      <c r="P1013" s="5" t="str">
        <f>IF(OR(TRIM($B1013)="",$F1013=""),"",IF(OR(ISNUMBER(SEARCH(_xlfn.CONCAT(CHAR(96),CHAR(34)),$F1013)),ISNUMBER(SEARCH(_xlfn.CONCAT(CHAR(34),CHAR(39)),$F1013))),_xlfn.CONCAT("* REVIEW REQUIRED: compound-quote delimiter in Units on Sheet 1 row ",1013,"; edit the input before running."),_xlfn.CONCAT("char ",TRIM($B1013),"[doc_units] ",CHAR(96),CHAR(34),SUBSTITUTE(SUBSTITUTE(SUBSTITUTE(SUBSTITUTE(SUBSTITUTE(SUBSTITUTE($F1013,CHAR(13)," "),CHAR(10)," "),CHAR(9)," "),CHAR(92),_xlfn.CONCAT(CHAR(92),CHAR(92))),"$",_xlfn.CONCAT(CHAR(92),"$")),CHAR(96),_xlfn.CONCAT(CHAR(92),CHAR(96))),CHAR(34),CHAR(39))))</f>
        <v/>
      </c>
      <c r="Q1013" s="5" t="str">
        <f>IF(OR(TRIM($B1013)="",$G1013=""),"",IF(OR(ISNUMBER(SEARCH(_xlfn.CONCAT(CHAR(96),CHAR(34)),$G1013)),ISNUMBER(SEARCH(_xlfn.CONCAT(CHAR(34),CHAR(39)),$G1013))),_xlfn.CONCAT("* REVIEW REQUIRED: compound-quote delimiter in Universe on Sheet 1 row ",1013,"; edit the input before running."),_xlfn.CONCAT("char ",TRIM($B1013),"[doc_universe] ",CHAR(96),CHAR(34),SUBSTITUTE(SUBSTITUTE(SUBSTITUTE(SUBSTITUTE(SUBSTITUTE(SUBSTITUTE($G1013,CHAR(13)," "),CHAR(10)," "),CHAR(9)," "),CHAR(92),_xlfn.CONCAT(CHAR(92),CHAR(92))),"$",_xlfn.CONCAT(CHAR(92),"$")),CHAR(96),_xlfn.CONCAT(CHAR(92),CHAR(96))),CHAR(34),CHAR(39))))</f>
        <v/>
      </c>
      <c r="R1013" s="5" t="str">
        <f>IF(OR(TRIM($B1013)="",$H1013=""),"",IF(OR(ISNUMBER(SEARCH(_xlfn.CONCAT(CHAR(96),CHAR(34)),$H1013)),ISNUMBER(SEARCH(_xlfn.CONCAT(CHAR(34),CHAR(39)),$H1013))),_xlfn.CONCAT("* REVIEW REQUIRED: compound-quote delimiter in Source on Sheet 1 row ",1013,"; edit the input before running."),_xlfn.CONCAT("char ",TRIM($B1013),"[doc_source] ",CHAR(96),CHAR(34),SUBSTITUTE(SUBSTITUTE(SUBSTITUTE(SUBSTITUTE(SUBSTITUTE(SUBSTITUTE($H1013,CHAR(13)," "),CHAR(10)," "),CHAR(9)," "),CHAR(92),_xlfn.CONCAT(CHAR(92),CHAR(92))),"$",_xlfn.CONCAT(CHAR(92),"$")),CHAR(96),_xlfn.CONCAT(CHAR(92),CHAR(96))),CHAR(34),CHAR(39))))</f>
        <v/>
      </c>
      <c r="S1013" s="5" t="str">
        <f>IF(OR(TRIM($B1013)="",$I1013=""),"",IF(OR(ISNUMBER(SEARCH(_xlfn.CONCAT(CHAR(96),CHAR(34)),$I1013)),ISNUMBER(SEARCH(_xlfn.CONCAT(CHAR(34),CHAR(39)),$I1013))),_xlfn.CONCAT("* REVIEW REQUIRED: compound-quote delimiter in Derivation on Sheet 1 row ",1013,"; edit the input before running."),_xlfn.CONCAT("char ",TRIM($B1013),"[doc_derivation] ",CHAR(96),CHAR(34),SUBSTITUTE(SUBSTITUTE(SUBSTITUTE(SUBSTITUTE(SUBSTITUTE(SUBSTITUTE($I1013,CHAR(13)," "),CHAR(10)," "),CHAR(9)," "),CHAR(92),_xlfn.CONCAT(CHAR(92),CHAR(92))),"$",_xlfn.CONCAT(CHAR(92),"$")),CHAR(96),_xlfn.CONCAT(CHAR(92),CHAR(96))),CHAR(34),CHAR(39))))</f>
        <v/>
      </c>
      <c r="T1013" s="5" t="str">
        <f>IF(OR(TRIM($B1013)="",$J1013=""),"",IF(OR(ISNUMBER(SEARCH(_xlfn.CONCAT(CHAR(96),CHAR(34)),$J1013)),ISNUMBER(SEARCH(_xlfn.CONCAT(CHAR(34),CHAR(39)),$J1013))),_xlfn.CONCAT("* REVIEW REQUIRED: compound-quote delimiter in Notes on Sheet 1 row ",1013,"; edit the input before running."),_xlfn.CONCAT("char ",TRIM($B1013),"[doc_notes] ",CHAR(96),CHAR(34),SUBSTITUTE(SUBSTITUTE(SUBSTITUTE(SUBSTITUTE(SUBSTITUTE(SUBSTITUTE($J1013,CHAR(13)," "),CHAR(10)," "),CHAR(9)," "),CHAR(92),_xlfn.CONCAT(CHAR(92),CHAR(92))),"$",_xlfn.CONCAT(CHAR(92),"$")),CHAR(96),_xlfn.CONCAT(CHAR(92),CHAR(96))),CHAR(34),CHAR(39))))</f>
        <v/>
      </c>
      <c r="U1013" s="5">
        <f t="shared" si="31"/>
        <v>0</v>
      </c>
    </row>
    <row r="1014" spans="3:21" ht="30" customHeight="1" x14ac:dyDescent="0.2">
      <c r="C1014" s="4"/>
      <c r="K1014" s="5">
        <f t="shared" si="30"/>
        <v>0</v>
      </c>
      <c r="L1014" s="5" t="str">
        <f>IF(OR(TRIM($B1014)="",$A1014=""),"",IF(OR(ISNUMBER(SEARCH(_xlfn.CONCAT(CHAR(96),CHAR(34)),$A1014)),ISNUMBER(SEARCH(_xlfn.CONCAT(CHAR(34),CHAR(39)),$A1014))),_xlfn.CONCAT("* REVIEW REQUIRED: compound-quote delimiter in Codebook Section on Sheet 1 row ",1014,"; edit the input before running."),_xlfn.CONCAT("char ",TRIM($B1014),"[doc_section] ",CHAR(96),CHAR(34),SUBSTITUTE(SUBSTITUTE(SUBSTITUTE(SUBSTITUTE(SUBSTITUTE(SUBSTITUTE($A1014,CHAR(13)," "),CHAR(10)," "),CHAR(9)," "),CHAR(92),_xlfn.CONCAT(CHAR(92),CHAR(92))),"$",_xlfn.CONCAT(CHAR(92),"$")),CHAR(96),_xlfn.CONCAT(CHAR(92),CHAR(96))),CHAR(34),CHAR(39))))</f>
        <v/>
      </c>
      <c r="M1014" s="5" t="str">
        <f>IF(OR(TRIM($B1014)="",$C1014=""),"",IF(IFERROR(MATCH(TRIM($C1014),{"Quantitative","Continuous","Discrete","Categorical","Nominal","Ordinal","Identifier"},0),0)=0,_xlfn.CONCAT("* REVIEW REQUIRED: invalid Variable Type on Sheet 1 row ",1014,"."),_xlfn.CONCAT("char ",TRIM($B1014),"[doc_vartype] ",CHAR(96),CHAR(34),SUBSTITUTE(SUBSTITUTE(SUBSTITUTE(SUBSTITUTE(SUBSTITUTE(SUBSTITUTE(LOWER(TRIM($C1014)),CHAR(13)," "),CHAR(10)," "),CHAR(9)," "),CHAR(92),_xlfn.CONCAT(CHAR(92),CHAR(92))),"$",_xlfn.CONCAT(CHAR(92),"$")),CHAR(96),_xlfn.CONCAT(CHAR(92),CHAR(96))),CHAR(34),CHAR(39))))</f>
        <v/>
      </c>
      <c r="N1014" s="5" t="str">
        <f>IF(OR(TRIM($B1014)="",$D1014=""),"",IF(OR(ISNUMBER(SEARCH(_xlfn.CONCAT(CHAR(96),CHAR(34)),$D1014)),ISNUMBER(SEARCH(_xlfn.CONCAT(CHAR(34),CHAR(39)),$D1014))),_xlfn.CONCAT("* REVIEW REQUIRED: compound-quote delimiter in Item Number on Sheet 1 row ",1014,"; edit the input before running."),_xlfn.CONCAT("char ",TRIM($B1014),"[doc_itemnum] ",CHAR(96),CHAR(34),SUBSTITUTE(SUBSTITUTE(SUBSTITUTE(SUBSTITUTE(SUBSTITUTE(SUBSTITUTE($D1014,CHAR(13)," "),CHAR(10)," "),CHAR(9)," "),CHAR(92),_xlfn.CONCAT(CHAR(92),CHAR(92))),"$",_xlfn.CONCAT(CHAR(92),"$")),CHAR(96),_xlfn.CONCAT(CHAR(92),CHAR(96))),CHAR(34),CHAR(39))))</f>
        <v/>
      </c>
      <c r="O1014" s="5" t="str">
        <f>IF(OR(TRIM($B1014)="",$E1014=""),"",IF(OR(ISNUMBER(SEARCH(_xlfn.CONCAT(CHAR(96),CHAR(34)),$E1014)),ISNUMBER(SEARCH(_xlfn.CONCAT(CHAR(34),CHAR(39)),$E1014))),_xlfn.CONCAT("* REVIEW REQUIRED: compound-quote delimiter in Question Wording on Sheet 1 row ",1014,"; edit the input before running."),_xlfn.CONCAT("char ",TRIM($B1014),"[doc_question] ",CHAR(96),CHAR(34),SUBSTITUTE(SUBSTITUTE(SUBSTITUTE(SUBSTITUTE(SUBSTITUTE(SUBSTITUTE($E1014,CHAR(13)," "),CHAR(10)," "),CHAR(9)," "),CHAR(92),_xlfn.CONCAT(CHAR(92),CHAR(92))),"$",_xlfn.CONCAT(CHAR(92),"$")),CHAR(96),_xlfn.CONCAT(CHAR(92),CHAR(96))),CHAR(34),CHAR(39))))</f>
        <v/>
      </c>
      <c r="P1014" s="5" t="str">
        <f>IF(OR(TRIM($B1014)="",$F1014=""),"",IF(OR(ISNUMBER(SEARCH(_xlfn.CONCAT(CHAR(96),CHAR(34)),$F1014)),ISNUMBER(SEARCH(_xlfn.CONCAT(CHAR(34),CHAR(39)),$F1014))),_xlfn.CONCAT("* REVIEW REQUIRED: compound-quote delimiter in Units on Sheet 1 row ",1014,"; edit the input before running."),_xlfn.CONCAT("char ",TRIM($B1014),"[doc_units] ",CHAR(96),CHAR(34),SUBSTITUTE(SUBSTITUTE(SUBSTITUTE(SUBSTITUTE(SUBSTITUTE(SUBSTITUTE($F1014,CHAR(13)," "),CHAR(10)," "),CHAR(9)," "),CHAR(92),_xlfn.CONCAT(CHAR(92),CHAR(92))),"$",_xlfn.CONCAT(CHAR(92),"$")),CHAR(96),_xlfn.CONCAT(CHAR(92),CHAR(96))),CHAR(34),CHAR(39))))</f>
        <v/>
      </c>
      <c r="Q1014" s="5" t="str">
        <f>IF(OR(TRIM($B1014)="",$G1014=""),"",IF(OR(ISNUMBER(SEARCH(_xlfn.CONCAT(CHAR(96),CHAR(34)),$G1014)),ISNUMBER(SEARCH(_xlfn.CONCAT(CHAR(34),CHAR(39)),$G1014))),_xlfn.CONCAT("* REVIEW REQUIRED: compound-quote delimiter in Universe on Sheet 1 row ",1014,"; edit the input before running."),_xlfn.CONCAT("char ",TRIM($B1014),"[doc_universe] ",CHAR(96),CHAR(34),SUBSTITUTE(SUBSTITUTE(SUBSTITUTE(SUBSTITUTE(SUBSTITUTE(SUBSTITUTE($G1014,CHAR(13)," "),CHAR(10)," "),CHAR(9)," "),CHAR(92),_xlfn.CONCAT(CHAR(92),CHAR(92))),"$",_xlfn.CONCAT(CHAR(92),"$")),CHAR(96),_xlfn.CONCAT(CHAR(92),CHAR(96))),CHAR(34),CHAR(39))))</f>
        <v/>
      </c>
      <c r="R1014" s="5" t="str">
        <f>IF(OR(TRIM($B1014)="",$H1014=""),"",IF(OR(ISNUMBER(SEARCH(_xlfn.CONCAT(CHAR(96),CHAR(34)),$H1014)),ISNUMBER(SEARCH(_xlfn.CONCAT(CHAR(34),CHAR(39)),$H1014))),_xlfn.CONCAT("* REVIEW REQUIRED: compound-quote delimiter in Source on Sheet 1 row ",1014,"; edit the input before running."),_xlfn.CONCAT("char ",TRIM($B1014),"[doc_source] ",CHAR(96),CHAR(34),SUBSTITUTE(SUBSTITUTE(SUBSTITUTE(SUBSTITUTE(SUBSTITUTE(SUBSTITUTE($H1014,CHAR(13)," "),CHAR(10)," "),CHAR(9)," "),CHAR(92),_xlfn.CONCAT(CHAR(92),CHAR(92))),"$",_xlfn.CONCAT(CHAR(92),"$")),CHAR(96),_xlfn.CONCAT(CHAR(92),CHAR(96))),CHAR(34),CHAR(39))))</f>
        <v/>
      </c>
      <c r="S1014" s="5" t="str">
        <f>IF(OR(TRIM($B1014)="",$I1014=""),"",IF(OR(ISNUMBER(SEARCH(_xlfn.CONCAT(CHAR(96),CHAR(34)),$I1014)),ISNUMBER(SEARCH(_xlfn.CONCAT(CHAR(34),CHAR(39)),$I1014))),_xlfn.CONCAT("* REVIEW REQUIRED: compound-quote delimiter in Derivation on Sheet 1 row ",1014,"; edit the input before running."),_xlfn.CONCAT("char ",TRIM($B1014),"[doc_derivation] ",CHAR(96),CHAR(34),SUBSTITUTE(SUBSTITUTE(SUBSTITUTE(SUBSTITUTE(SUBSTITUTE(SUBSTITUTE($I1014,CHAR(13)," "),CHAR(10)," "),CHAR(9)," "),CHAR(92),_xlfn.CONCAT(CHAR(92),CHAR(92))),"$",_xlfn.CONCAT(CHAR(92),"$")),CHAR(96),_xlfn.CONCAT(CHAR(92),CHAR(96))),CHAR(34),CHAR(39))))</f>
        <v/>
      </c>
      <c r="T1014" s="5" t="str">
        <f>IF(OR(TRIM($B1014)="",$J1014=""),"",IF(OR(ISNUMBER(SEARCH(_xlfn.CONCAT(CHAR(96),CHAR(34)),$J1014)),ISNUMBER(SEARCH(_xlfn.CONCAT(CHAR(34),CHAR(39)),$J1014))),_xlfn.CONCAT("* REVIEW REQUIRED: compound-quote delimiter in Notes on Sheet 1 row ",1014,"; edit the input before running."),_xlfn.CONCAT("char ",TRIM($B1014),"[doc_notes] ",CHAR(96),CHAR(34),SUBSTITUTE(SUBSTITUTE(SUBSTITUTE(SUBSTITUTE(SUBSTITUTE(SUBSTITUTE($J1014,CHAR(13)," "),CHAR(10)," "),CHAR(9)," "),CHAR(92),_xlfn.CONCAT(CHAR(92),CHAR(92))),"$",_xlfn.CONCAT(CHAR(92),"$")),CHAR(96),_xlfn.CONCAT(CHAR(92),CHAR(96))),CHAR(34),CHAR(39))))</f>
        <v/>
      </c>
      <c r="U1014" s="5">
        <f t="shared" si="31"/>
        <v>0</v>
      </c>
    </row>
    <row r="1015" spans="3:21" ht="30" customHeight="1" x14ac:dyDescent="0.2">
      <c r="C1015" s="4"/>
      <c r="K1015" s="5">
        <f t="shared" si="30"/>
        <v>0</v>
      </c>
      <c r="L1015" s="5" t="str">
        <f>IF(OR(TRIM($B1015)="",$A1015=""),"",IF(OR(ISNUMBER(SEARCH(_xlfn.CONCAT(CHAR(96),CHAR(34)),$A1015)),ISNUMBER(SEARCH(_xlfn.CONCAT(CHAR(34),CHAR(39)),$A1015))),_xlfn.CONCAT("* REVIEW REQUIRED: compound-quote delimiter in Codebook Section on Sheet 1 row ",1015,"; edit the input before running."),_xlfn.CONCAT("char ",TRIM($B1015),"[doc_section] ",CHAR(96),CHAR(34),SUBSTITUTE(SUBSTITUTE(SUBSTITUTE(SUBSTITUTE(SUBSTITUTE(SUBSTITUTE($A1015,CHAR(13)," "),CHAR(10)," "),CHAR(9)," "),CHAR(92),_xlfn.CONCAT(CHAR(92),CHAR(92))),"$",_xlfn.CONCAT(CHAR(92),"$")),CHAR(96),_xlfn.CONCAT(CHAR(92),CHAR(96))),CHAR(34),CHAR(39))))</f>
        <v/>
      </c>
      <c r="M1015" s="5" t="str">
        <f>IF(OR(TRIM($B1015)="",$C1015=""),"",IF(IFERROR(MATCH(TRIM($C1015),{"Quantitative","Continuous","Discrete","Categorical","Nominal","Ordinal","Identifier"},0),0)=0,_xlfn.CONCAT("* REVIEW REQUIRED: invalid Variable Type on Sheet 1 row ",1015,"."),_xlfn.CONCAT("char ",TRIM($B1015),"[doc_vartype] ",CHAR(96),CHAR(34),SUBSTITUTE(SUBSTITUTE(SUBSTITUTE(SUBSTITUTE(SUBSTITUTE(SUBSTITUTE(LOWER(TRIM($C1015)),CHAR(13)," "),CHAR(10)," "),CHAR(9)," "),CHAR(92),_xlfn.CONCAT(CHAR(92),CHAR(92))),"$",_xlfn.CONCAT(CHAR(92),"$")),CHAR(96),_xlfn.CONCAT(CHAR(92),CHAR(96))),CHAR(34),CHAR(39))))</f>
        <v/>
      </c>
      <c r="N1015" s="5" t="str">
        <f>IF(OR(TRIM($B1015)="",$D1015=""),"",IF(OR(ISNUMBER(SEARCH(_xlfn.CONCAT(CHAR(96),CHAR(34)),$D1015)),ISNUMBER(SEARCH(_xlfn.CONCAT(CHAR(34),CHAR(39)),$D1015))),_xlfn.CONCAT("* REVIEW REQUIRED: compound-quote delimiter in Item Number on Sheet 1 row ",1015,"; edit the input before running."),_xlfn.CONCAT("char ",TRIM($B1015),"[doc_itemnum] ",CHAR(96),CHAR(34),SUBSTITUTE(SUBSTITUTE(SUBSTITUTE(SUBSTITUTE(SUBSTITUTE(SUBSTITUTE($D1015,CHAR(13)," "),CHAR(10)," "),CHAR(9)," "),CHAR(92),_xlfn.CONCAT(CHAR(92),CHAR(92))),"$",_xlfn.CONCAT(CHAR(92),"$")),CHAR(96),_xlfn.CONCAT(CHAR(92),CHAR(96))),CHAR(34),CHAR(39))))</f>
        <v/>
      </c>
      <c r="O1015" s="5" t="str">
        <f>IF(OR(TRIM($B1015)="",$E1015=""),"",IF(OR(ISNUMBER(SEARCH(_xlfn.CONCAT(CHAR(96),CHAR(34)),$E1015)),ISNUMBER(SEARCH(_xlfn.CONCAT(CHAR(34),CHAR(39)),$E1015))),_xlfn.CONCAT("* REVIEW REQUIRED: compound-quote delimiter in Question Wording on Sheet 1 row ",1015,"; edit the input before running."),_xlfn.CONCAT("char ",TRIM($B1015),"[doc_question] ",CHAR(96),CHAR(34),SUBSTITUTE(SUBSTITUTE(SUBSTITUTE(SUBSTITUTE(SUBSTITUTE(SUBSTITUTE($E1015,CHAR(13)," "),CHAR(10)," "),CHAR(9)," "),CHAR(92),_xlfn.CONCAT(CHAR(92),CHAR(92))),"$",_xlfn.CONCAT(CHAR(92),"$")),CHAR(96),_xlfn.CONCAT(CHAR(92),CHAR(96))),CHAR(34),CHAR(39))))</f>
        <v/>
      </c>
      <c r="P1015" s="5" t="str">
        <f>IF(OR(TRIM($B1015)="",$F1015=""),"",IF(OR(ISNUMBER(SEARCH(_xlfn.CONCAT(CHAR(96),CHAR(34)),$F1015)),ISNUMBER(SEARCH(_xlfn.CONCAT(CHAR(34),CHAR(39)),$F1015))),_xlfn.CONCAT("* REVIEW REQUIRED: compound-quote delimiter in Units on Sheet 1 row ",1015,"; edit the input before running."),_xlfn.CONCAT("char ",TRIM($B1015),"[doc_units] ",CHAR(96),CHAR(34),SUBSTITUTE(SUBSTITUTE(SUBSTITUTE(SUBSTITUTE(SUBSTITUTE(SUBSTITUTE($F1015,CHAR(13)," "),CHAR(10)," "),CHAR(9)," "),CHAR(92),_xlfn.CONCAT(CHAR(92),CHAR(92))),"$",_xlfn.CONCAT(CHAR(92),"$")),CHAR(96),_xlfn.CONCAT(CHAR(92),CHAR(96))),CHAR(34),CHAR(39))))</f>
        <v/>
      </c>
      <c r="Q1015" s="5" t="str">
        <f>IF(OR(TRIM($B1015)="",$G1015=""),"",IF(OR(ISNUMBER(SEARCH(_xlfn.CONCAT(CHAR(96),CHAR(34)),$G1015)),ISNUMBER(SEARCH(_xlfn.CONCAT(CHAR(34),CHAR(39)),$G1015))),_xlfn.CONCAT("* REVIEW REQUIRED: compound-quote delimiter in Universe on Sheet 1 row ",1015,"; edit the input before running."),_xlfn.CONCAT("char ",TRIM($B1015),"[doc_universe] ",CHAR(96),CHAR(34),SUBSTITUTE(SUBSTITUTE(SUBSTITUTE(SUBSTITUTE(SUBSTITUTE(SUBSTITUTE($G1015,CHAR(13)," "),CHAR(10)," "),CHAR(9)," "),CHAR(92),_xlfn.CONCAT(CHAR(92),CHAR(92))),"$",_xlfn.CONCAT(CHAR(92),"$")),CHAR(96),_xlfn.CONCAT(CHAR(92),CHAR(96))),CHAR(34),CHAR(39))))</f>
        <v/>
      </c>
      <c r="R1015" s="5" t="str">
        <f>IF(OR(TRIM($B1015)="",$H1015=""),"",IF(OR(ISNUMBER(SEARCH(_xlfn.CONCAT(CHAR(96),CHAR(34)),$H1015)),ISNUMBER(SEARCH(_xlfn.CONCAT(CHAR(34),CHAR(39)),$H1015))),_xlfn.CONCAT("* REVIEW REQUIRED: compound-quote delimiter in Source on Sheet 1 row ",1015,"; edit the input before running."),_xlfn.CONCAT("char ",TRIM($B1015),"[doc_source] ",CHAR(96),CHAR(34),SUBSTITUTE(SUBSTITUTE(SUBSTITUTE(SUBSTITUTE(SUBSTITUTE(SUBSTITUTE($H1015,CHAR(13)," "),CHAR(10)," "),CHAR(9)," "),CHAR(92),_xlfn.CONCAT(CHAR(92),CHAR(92))),"$",_xlfn.CONCAT(CHAR(92),"$")),CHAR(96),_xlfn.CONCAT(CHAR(92),CHAR(96))),CHAR(34),CHAR(39))))</f>
        <v/>
      </c>
      <c r="S1015" s="5" t="str">
        <f>IF(OR(TRIM($B1015)="",$I1015=""),"",IF(OR(ISNUMBER(SEARCH(_xlfn.CONCAT(CHAR(96),CHAR(34)),$I1015)),ISNUMBER(SEARCH(_xlfn.CONCAT(CHAR(34),CHAR(39)),$I1015))),_xlfn.CONCAT("* REVIEW REQUIRED: compound-quote delimiter in Derivation on Sheet 1 row ",1015,"; edit the input before running."),_xlfn.CONCAT("char ",TRIM($B1015),"[doc_derivation] ",CHAR(96),CHAR(34),SUBSTITUTE(SUBSTITUTE(SUBSTITUTE(SUBSTITUTE(SUBSTITUTE(SUBSTITUTE($I1015,CHAR(13)," "),CHAR(10)," "),CHAR(9)," "),CHAR(92),_xlfn.CONCAT(CHAR(92),CHAR(92))),"$",_xlfn.CONCAT(CHAR(92),"$")),CHAR(96),_xlfn.CONCAT(CHAR(92),CHAR(96))),CHAR(34),CHAR(39))))</f>
        <v/>
      </c>
      <c r="T1015" s="5" t="str">
        <f>IF(OR(TRIM($B1015)="",$J1015=""),"",IF(OR(ISNUMBER(SEARCH(_xlfn.CONCAT(CHAR(96),CHAR(34)),$J1015)),ISNUMBER(SEARCH(_xlfn.CONCAT(CHAR(34),CHAR(39)),$J1015))),_xlfn.CONCAT("* REVIEW REQUIRED: compound-quote delimiter in Notes on Sheet 1 row ",1015,"; edit the input before running."),_xlfn.CONCAT("char ",TRIM($B1015),"[doc_notes] ",CHAR(96),CHAR(34),SUBSTITUTE(SUBSTITUTE(SUBSTITUTE(SUBSTITUTE(SUBSTITUTE(SUBSTITUTE($J1015,CHAR(13)," "),CHAR(10)," "),CHAR(9)," "),CHAR(92),_xlfn.CONCAT(CHAR(92),CHAR(92))),"$",_xlfn.CONCAT(CHAR(92),"$")),CHAR(96),_xlfn.CONCAT(CHAR(92),CHAR(96))),CHAR(34),CHAR(39))))</f>
        <v/>
      </c>
      <c r="U1015" s="5">
        <f t="shared" si="31"/>
        <v>0</v>
      </c>
    </row>
    <row r="1016" spans="3:21" ht="30" customHeight="1" x14ac:dyDescent="0.2">
      <c r="C1016" s="4"/>
      <c r="K1016" s="5">
        <f t="shared" si="30"/>
        <v>0</v>
      </c>
      <c r="L1016" s="5" t="str">
        <f>IF(OR(TRIM($B1016)="",$A1016=""),"",IF(OR(ISNUMBER(SEARCH(_xlfn.CONCAT(CHAR(96),CHAR(34)),$A1016)),ISNUMBER(SEARCH(_xlfn.CONCAT(CHAR(34),CHAR(39)),$A1016))),_xlfn.CONCAT("* REVIEW REQUIRED: compound-quote delimiter in Codebook Section on Sheet 1 row ",1016,"; edit the input before running."),_xlfn.CONCAT("char ",TRIM($B1016),"[doc_section] ",CHAR(96),CHAR(34),SUBSTITUTE(SUBSTITUTE(SUBSTITUTE(SUBSTITUTE(SUBSTITUTE(SUBSTITUTE($A1016,CHAR(13)," "),CHAR(10)," "),CHAR(9)," "),CHAR(92),_xlfn.CONCAT(CHAR(92),CHAR(92))),"$",_xlfn.CONCAT(CHAR(92),"$")),CHAR(96),_xlfn.CONCAT(CHAR(92),CHAR(96))),CHAR(34),CHAR(39))))</f>
        <v/>
      </c>
      <c r="M1016" s="5" t="str">
        <f>IF(OR(TRIM($B1016)="",$C1016=""),"",IF(IFERROR(MATCH(TRIM($C1016),{"Quantitative","Continuous","Discrete","Categorical","Nominal","Ordinal","Identifier"},0),0)=0,_xlfn.CONCAT("* REVIEW REQUIRED: invalid Variable Type on Sheet 1 row ",1016,"."),_xlfn.CONCAT("char ",TRIM($B1016),"[doc_vartype] ",CHAR(96),CHAR(34),SUBSTITUTE(SUBSTITUTE(SUBSTITUTE(SUBSTITUTE(SUBSTITUTE(SUBSTITUTE(LOWER(TRIM($C1016)),CHAR(13)," "),CHAR(10)," "),CHAR(9)," "),CHAR(92),_xlfn.CONCAT(CHAR(92),CHAR(92))),"$",_xlfn.CONCAT(CHAR(92),"$")),CHAR(96),_xlfn.CONCAT(CHAR(92),CHAR(96))),CHAR(34),CHAR(39))))</f>
        <v/>
      </c>
      <c r="N1016" s="5" t="str">
        <f>IF(OR(TRIM($B1016)="",$D1016=""),"",IF(OR(ISNUMBER(SEARCH(_xlfn.CONCAT(CHAR(96),CHAR(34)),$D1016)),ISNUMBER(SEARCH(_xlfn.CONCAT(CHAR(34),CHAR(39)),$D1016))),_xlfn.CONCAT("* REVIEW REQUIRED: compound-quote delimiter in Item Number on Sheet 1 row ",1016,"; edit the input before running."),_xlfn.CONCAT("char ",TRIM($B1016),"[doc_itemnum] ",CHAR(96),CHAR(34),SUBSTITUTE(SUBSTITUTE(SUBSTITUTE(SUBSTITUTE(SUBSTITUTE(SUBSTITUTE($D1016,CHAR(13)," "),CHAR(10)," "),CHAR(9)," "),CHAR(92),_xlfn.CONCAT(CHAR(92),CHAR(92))),"$",_xlfn.CONCAT(CHAR(92),"$")),CHAR(96),_xlfn.CONCAT(CHAR(92),CHAR(96))),CHAR(34),CHAR(39))))</f>
        <v/>
      </c>
      <c r="O1016" s="5" t="str">
        <f>IF(OR(TRIM($B1016)="",$E1016=""),"",IF(OR(ISNUMBER(SEARCH(_xlfn.CONCAT(CHAR(96),CHAR(34)),$E1016)),ISNUMBER(SEARCH(_xlfn.CONCAT(CHAR(34),CHAR(39)),$E1016))),_xlfn.CONCAT("* REVIEW REQUIRED: compound-quote delimiter in Question Wording on Sheet 1 row ",1016,"; edit the input before running."),_xlfn.CONCAT("char ",TRIM($B1016),"[doc_question] ",CHAR(96),CHAR(34),SUBSTITUTE(SUBSTITUTE(SUBSTITUTE(SUBSTITUTE(SUBSTITUTE(SUBSTITUTE($E1016,CHAR(13)," "),CHAR(10)," "),CHAR(9)," "),CHAR(92),_xlfn.CONCAT(CHAR(92),CHAR(92))),"$",_xlfn.CONCAT(CHAR(92),"$")),CHAR(96),_xlfn.CONCAT(CHAR(92),CHAR(96))),CHAR(34),CHAR(39))))</f>
        <v/>
      </c>
      <c r="P1016" s="5" t="str">
        <f>IF(OR(TRIM($B1016)="",$F1016=""),"",IF(OR(ISNUMBER(SEARCH(_xlfn.CONCAT(CHAR(96),CHAR(34)),$F1016)),ISNUMBER(SEARCH(_xlfn.CONCAT(CHAR(34),CHAR(39)),$F1016))),_xlfn.CONCAT("* REVIEW REQUIRED: compound-quote delimiter in Units on Sheet 1 row ",1016,"; edit the input before running."),_xlfn.CONCAT("char ",TRIM($B1016),"[doc_units] ",CHAR(96),CHAR(34),SUBSTITUTE(SUBSTITUTE(SUBSTITUTE(SUBSTITUTE(SUBSTITUTE(SUBSTITUTE($F1016,CHAR(13)," "),CHAR(10)," "),CHAR(9)," "),CHAR(92),_xlfn.CONCAT(CHAR(92),CHAR(92))),"$",_xlfn.CONCAT(CHAR(92),"$")),CHAR(96),_xlfn.CONCAT(CHAR(92),CHAR(96))),CHAR(34),CHAR(39))))</f>
        <v/>
      </c>
      <c r="Q1016" s="5" t="str">
        <f>IF(OR(TRIM($B1016)="",$G1016=""),"",IF(OR(ISNUMBER(SEARCH(_xlfn.CONCAT(CHAR(96),CHAR(34)),$G1016)),ISNUMBER(SEARCH(_xlfn.CONCAT(CHAR(34),CHAR(39)),$G1016))),_xlfn.CONCAT("* REVIEW REQUIRED: compound-quote delimiter in Universe on Sheet 1 row ",1016,"; edit the input before running."),_xlfn.CONCAT("char ",TRIM($B1016),"[doc_universe] ",CHAR(96),CHAR(34),SUBSTITUTE(SUBSTITUTE(SUBSTITUTE(SUBSTITUTE(SUBSTITUTE(SUBSTITUTE($G1016,CHAR(13)," "),CHAR(10)," "),CHAR(9)," "),CHAR(92),_xlfn.CONCAT(CHAR(92),CHAR(92))),"$",_xlfn.CONCAT(CHAR(92),"$")),CHAR(96),_xlfn.CONCAT(CHAR(92),CHAR(96))),CHAR(34),CHAR(39))))</f>
        <v/>
      </c>
      <c r="R1016" s="5" t="str">
        <f>IF(OR(TRIM($B1016)="",$H1016=""),"",IF(OR(ISNUMBER(SEARCH(_xlfn.CONCAT(CHAR(96),CHAR(34)),$H1016)),ISNUMBER(SEARCH(_xlfn.CONCAT(CHAR(34),CHAR(39)),$H1016))),_xlfn.CONCAT("* REVIEW REQUIRED: compound-quote delimiter in Source on Sheet 1 row ",1016,"; edit the input before running."),_xlfn.CONCAT("char ",TRIM($B1016),"[doc_source] ",CHAR(96),CHAR(34),SUBSTITUTE(SUBSTITUTE(SUBSTITUTE(SUBSTITUTE(SUBSTITUTE(SUBSTITUTE($H1016,CHAR(13)," "),CHAR(10)," "),CHAR(9)," "),CHAR(92),_xlfn.CONCAT(CHAR(92),CHAR(92))),"$",_xlfn.CONCAT(CHAR(92),"$")),CHAR(96),_xlfn.CONCAT(CHAR(92),CHAR(96))),CHAR(34),CHAR(39))))</f>
        <v/>
      </c>
      <c r="S1016" s="5" t="str">
        <f>IF(OR(TRIM($B1016)="",$I1016=""),"",IF(OR(ISNUMBER(SEARCH(_xlfn.CONCAT(CHAR(96),CHAR(34)),$I1016)),ISNUMBER(SEARCH(_xlfn.CONCAT(CHAR(34),CHAR(39)),$I1016))),_xlfn.CONCAT("* REVIEW REQUIRED: compound-quote delimiter in Derivation on Sheet 1 row ",1016,"; edit the input before running."),_xlfn.CONCAT("char ",TRIM($B1016),"[doc_derivation] ",CHAR(96),CHAR(34),SUBSTITUTE(SUBSTITUTE(SUBSTITUTE(SUBSTITUTE(SUBSTITUTE(SUBSTITUTE($I1016,CHAR(13)," "),CHAR(10)," "),CHAR(9)," "),CHAR(92),_xlfn.CONCAT(CHAR(92),CHAR(92))),"$",_xlfn.CONCAT(CHAR(92),"$")),CHAR(96),_xlfn.CONCAT(CHAR(92),CHAR(96))),CHAR(34),CHAR(39))))</f>
        <v/>
      </c>
      <c r="T1016" s="5" t="str">
        <f>IF(OR(TRIM($B1016)="",$J1016=""),"",IF(OR(ISNUMBER(SEARCH(_xlfn.CONCAT(CHAR(96),CHAR(34)),$J1016)),ISNUMBER(SEARCH(_xlfn.CONCAT(CHAR(34),CHAR(39)),$J1016))),_xlfn.CONCAT("* REVIEW REQUIRED: compound-quote delimiter in Notes on Sheet 1 row ",1016,"; edit the input before running."),_xlfn.CONCAT("char ",TRIM($B1016),"[doc_notes] ",CHAR(96),CHAR(34),SUBSTITUTE(SUBSTITUTE(SUBSTITUTE(SUBSTITUTE(SUBSTITUTE(SUBSTITUTE($J1016,CHAR(13)," "),CHAR(10)," "),CHAR(9)," "),CHAR(92),_xlfn.CONCAT(CHAR(92),CHAR(92))),"$",_xlfn.CONCAT(CHAR(92),"$")),CHAR(96),_xlfn.CONCAT(CHAR(92),CHAR(96))),CHAR(34),CHAR(39))))</f>
        <v/>
      </c>
      <c r="U1016" s="5">
        <f t="shared" si="31"/>
        <v>0</v>
      </c>
    </row>
    <row r="1017" spans="3:21" ht="30" customHeight="1" x14ac:dyDescent="0.2">
      <c r="C1017" s="4"/>
      <c r="K1017" s="5">
        <f t="shared" si="30"/>
        <v>0</v>
      </c>
      <c r="L1017" s="5" t="str">
        <f>IF(OR(TRIM($B1017)="",$A1017=""),"",IF(OR(ISNUMBER(SEARCH(_xlfn.CONCAT(CHAR(96),CHAR(34)),$A1017)),ISNUMBER(SEARCH(_xlfn.CONCAT(CHAR(34),CHAR(39)),$A1017))),_xlfn.CONCAT("* REVIEW REQUIRED: compound-quote delimiter in Codebook Section on Sheet 1 row ",1017,"; edit the input before running."),_xlfn.CONCAT("char ",TRIM($B1017),"[doc_section] ",CHAR(96),CHAR(34),SUBSTITUTE(SUBSTITUTE(SUBSTITUTE(SUBSTITUTE(SUBSTITUTE(SUBSTITUTE($A1017,CHAR(13)," "),CHAR(10)," "),CHAR(9)," "),CHAR(92),_xlfn.CONCAT(CHAR(92),CHAR(92))),"$",_xlfn.CONCAT(CHAR(92),"$")),CHAR(96),_xlfn.CONCAT(CHAR(92),CHAR(96))),CHAR(34),CHAR(39))))</f>
        <v/>
      </c>
      <c r="M1017" s="5" t="str">
        <f>IF(OR(TRIM($B1017)="",$C1017=""),"",IF(IFERROR(MATCH(TRIM($C1017),{"Quantitative","Continuous","Discrete","Categorical","Nominal","Ordinal","Identifier"},0),0)=0,_xlfn.CONCAT("* REVIEW REQUIRED: invalid Variable Type on Sheet 1 row ",1017,"."),_xlfn.CONCAT("char ",TRIM($B1017),"[doc_vartype] ",CHAR(96),CHAR(34),SUBSTITUTE(SUBSTITUTE(SUBSTITUTE(SUBSTITUTE(SUBSTITUTE(SUBSTITUTE(LOWER(TRIM($C1017)),CHAR(13)," "),CHAR(10)," "),CHAR(9)," "),CHAR(92),_xlfn.CONCAT(CHAR(92),CHAR(92))),"$",_xlfn.CONCAT(CHAR(92),"$")),CHAR(96),_xlfn.CONCAT(CHAR(92),CHAR(96))),CHAR(34),CHAR(39))))</f>
        <v/>
      </c>
      <c r="N1017" s="5" t="str">
        <f>IF(OR(TRIM($B1017)="",$D1017=""),"",IF(OR(ISNUMBER(SEARCH(_xlfn.CONCAT(CHAR(96),CHAR(34)),$D1017)),ISNUMBER(SEARCH(_xlfn.CONCAT(CHAR(34),CHAR(39)),$D1017))),_xlfn.CONCAT("* REVIEW REQUIRED: compound-quote delimiter in Item Number on Sheet 1 row ",1017,"; edit the input before running."),_xlfn.CONCAT("char ",TRIM($B1017),"[doc_itemnum] ",CHAR(96),CHAR(34),SUBSTITUTE(SUBSTITUTE(SUBSTITUTE(SUBSTITUTE(SUBSTITUTE(SUBSTITUTE($D1017,CHAR(13)," "),CHAR(10)," "),CHAR(9)," "),CHAR(92),_xlfn.CONCAT(CHAR(92),CHAR(92))),"$",_xlfn.CONCAT(CHAR(92),"$")),CHAR(96),_xlfn.CONCAT(CHAR(92),CHAR(96))),CHAR(34),CHAR(39))))</f>
        <v/>
      </c>
      <c r="O1017" s="5" t="str">
        <f>IF(OR(TRIM($B1017)="",$E1017=""),"",IF(OR(ISNUMBER(SEARCH(_xlfn.CONCAT(CHAR(96),CHAR(34)),$E1017)),ISNUMBER(SEARCH(_xlfn.CONCAT(CHAR(34),CHAR(39)),$E1017))),_xlfn.CONCAT("* REVIEW REQUIRED: compound-quote delimiter in Question Wording on Sheet 1 row ",1017,"; edit the input before running."),_xlfn.CONCAT("char ",TRIM($B1017),"[doc_question] ",CHAR(96),CHAR(34),SUBSTITUTE(SUBSTITUTE(SUBSTITUTE(SUBSTITUTE(SUBSTITUTE(SUBSTITUTE($E1017,CHAR(13)," "),CHAR(10)," "),CHAR(9)," "),CHAR(92),_xlfn.CONCAT(CHAR(92),CHAR(92))),"$",_xlfn.CONCAT(CHAR(92),"$")),CHAR(96),_xlfn.CONCAT(CHAR(92),CHAR(96))),CHAR(34),CHAR(39))))</f>
        <v/>
      </c>
      <c r="P1017" s="5" t="str">
        <f>IF(OR(TRIM($B1017)="",$F1017=""),"",IF(OR(ISNUMBER(SEARCH(_xlfn.CONCAT(CHAR(96),CHAR(34)),$F1017)),ISNUMBER(SEARCH(_xlfn.CONCAT(CHAR(34),CHAR(39)),$F1017))),_xlfn.CONCAT("* REVIEW REQUIRED: compound-quote delimiter in Units on Sheet 1 row ",1017,"; edit the input before running."),_xlfn.CONCAT("char ",TRIM($B1017),"[doc_units] ",CHAR(96),CHAR(34),SUBSTITUTE(SUBSTITUTE(SUBSTITUTE(SUBSTITUTE(SUBSTITUTE(SUBSTITUTE($F1017,CHAR(13)," "),CHAR(10)," "),CHAR(9)," "),CHAR(92),_xlfn.CONCAT(CHAR(92),CHAR(92))),"$",_xlfn.CONCAT(CHAR(92),"$")),CHAR(96),_xlfn.CONCAT(CHAR(92),CHAR(96))),CHAR(34),CHAR(39))))</f>
        <v/>
      </c>
      <c r="Q1017" s="5" t="str">
        <f>IF(OR(TRIM($B1017)="",$G1017=""),"",IF(OR(ISNUMBER(SEARCH(_xlfn.CONCAT(CHAR(96),CHAR(34)),$G1017)),ISNUMBER(SEARCH(_xlfn.CONCAT(CHAR(34),CHAR(39)),$G1017))),_xlfn.CONCAT("* REVIEW REQUIRED: compound-quote delimiter in Universe on Sheet 1 row ",1017,"; edit the input before running."),_xlfn.CONCAT("char ",TRIM($B1017),"[doc_universe] ",CHAR(96),CHAR(34),SUBSTITUTE(SUBSTITUTE(SUBSTITUTE(SUBSTITUTE(SUBSTITUTE(SUBSTITUTE($G1017,CHAR(13)," "),CHAR(10)," "),CHAR(9)," "),CHAR(92),_xlfn.CONCAT(CHAR(92),CHAR(92))),"$",_xlfn.CONCAT(CHAR(92),"$")),CHAR(96),_xlfn.CONCAT(CHAR(92),CHAR(96))),CHAR(34),CHAR(39))))</f>
        <v/>
      </c>
      <c r="R1017" s="5" t="str">
        <f>IF(OR(TRIM($B1017)="",$H1017=""),"",IF(OR(ISNUMBER(SEARCH(_xlfn.CONCAT(CHAR(96),CHAR(34)),$H1017)),ISNUMBER(SEARCH(_xlfn.CONCAT(CHAR(34),CHAR(39)),$H1017))),_xlfn.CONCAT("* REVIEW REQUIRED: compound-quote delimiter in Source on Sheet 1 row ",1017,"; edit the input before running."),_xlfn.CONCAT("char ",TRIM($B1017),"[doc_source] ",CHAR(96),CHAR(34),SUBSTITUTE(SUBSTITUTE(SUBSTITUTE(SUBSTITUTE(SUBSTITUTE(SUBSTITUTE($H1017,CHAR(13)," "),CHAR(10)," "),CHAR(9)," "),CHAR(92),_xlfn.CONCAT(CHAR(92),CHAR(92))),"$",_xlfn.CONCAT(CHAR(92),"$")),CHAR(96),_xlfn.CONCAT(CHAR(92),CHAR(96))),CHAR(34),CHAR(39))))</f>
        <v/>
      </c>
      <c r="S1017" s="5" t="str">
        <f>IF(OR(TRIM($B1017)="",$I1017=""),"",IF(OR(ISNUMBER(SEARCH(_xlfn.CONCAT(CHAR(96),CHAR(34)),$I1017)),ISNUMBER(SEARCH(_xlfn.CONCAT(CHAR(34),CHAR(39)),$I1017))),_xlfn.CONCAT("* REVIEW REQUIRED: compound-quote delimiter in Derivation on Sheet 1 row ",1017,"; edit the input before running."),_xlfn.CONCAT("char ",TRIM($B1017),"[doc_derivation] ",CHAR(96),CHAR(34),SUBSTITUTE(SUBSTITUTE(SUBSTITUTE(SUBSTITUTE(SUBSTITUTE(SUBSTITUTE($I1017,CHAR(13)," "),CHAR(10)," "),CHAR(9)," "),CHAR(92),_xlfn.CONCAT(CHAR(92),CHAR(92))),"$",_xlfn.CONCAT(CHAR(92),"$")),CHAR(96),_xlfn.CONCAT(CHAR(92),CHAR(96))),CHAR(34),CHAR(39))))</f>
        <v/>
      </c>
      <c r="T1017" s="5" t="str">
        <f>IF(OR(TRIM($B1017)="",$J1017=""),"",IF(OR(ISNUMBER(SEARCH(_xlfn.CONCAT(CHAR(96),CHAR(34)),$J1017)),ISNUMBER(SEARCH(_xlfn.CONCAT(CHAR(34),CHAR(39)),$J1017))),_xlfn.CONCAT("* REVIEW REQUIRED: compound-quote delimiter in Notes on Sheet 1 row ",1017,"; edit the input before running."),_xlfn.CONCAT("char ",TRIM($B1017),"[doc_notes] ",CHAR(96),CHAR(34),SUBSTITUTE(SUBSTITUTE(SUBSTITUTE(SUBSTITUTE(SUBSTITUTE(SUBSTITUTE($J1017,CHAR(13)," "),CHAR(10)," "),CHAR(9)," "),CHAR(92),_xlfn.CONCAT(CHAR(92),CHAR(92))),"$",_xlfn.CONCAT(CHAR(92),"$")),CHAR(96),_xlfn.CONCAT(CHAR(92),CHAR(96))),CHAR(34),CHAR(39))))</f>
        <v/>
      </c>
      <c r="U1017" s="5">
        <f t="shared" si="31"/>
        <v>0</v>
      </c>
    </row>
    <row r="1018" spans="3:21" ht="30" customHeight="1" x14ac:dyDescent="0.2">
      <c r="C1018" s="4"/>
      <c r="K1018" s="5">
        <f t="shared" si="30"/>
        <v>0</v>
      </c>
      <c r="L1018" s="5" t="str">
        <f>IF(OR(TRIM($B1018)="",$A1018=""),"",IF(OR(ISNUMBER(SEARCH(_xlfn.CONCAT(CHAR(96),CHAR(34)),$A1018)),ISNUMBER(SEARCH(_xlfn.CONCAT(CHAR(34),CHAR(39)),$A1018))),_xlfn.CONCAT("* REVIEW REQUIRED: compound-quote delimiter in Codebook Section on Sheet 1 row ",1018,"; edit the input before running."),_xlfn.CONCAT("char ",TRIM($B1018),"[doc_section] ",CHAR(96),CHAR(34),SUBSTITUTE(SUBSTITUTE(SUBSTITUTE(SUBSTITUTE(SUBSTITUTE(SUBSTITUTE($A1018,CHAR(13)," "),CHAR(10)," "),CHAR(9)," "),CHAR(92),_xlfn.CONCAT(CHAR(92),CHAR(92))),"$",_xlfn.CONCAT(CHAR(92),"$")),CHAR(96),_xlfn.CONCAT(CHAR(92),CHAR(96))),CHAR(34),CHAR(39))))</f>
        <v/>
      </c>
      <c r="M1018" s="5" t="str">
        <f>IF(OR(TRIM($B1018)="",$C1018=""),"",IF(IFERROR(MATCH(TRIM($C1018),{"Quantitative","Continuous","Discrete","Categorical","Nominal","Ordinal","Identifier"},0),0)=0,_xlfn.CONCAT("* REVIEW REQUIRED: invalid Variable Type on Sheet 1 row ",1018,"."),_xlfn.CONCAT("char ",TRIM($B1018),"[doc_vartype] ",CHAR(96),CHAR(34),SUBSTITUTE(SUBSTITUTE(SUBSTITUTE(SUBSTITUTE(SUBSTITUTE(SUBSTITUTE(LOWER(TRIM($C1018)),CHAR(13)," "),CHAR(10)," "),CHAR(9)," "),CHAR(92),_xlfn.CONCAT(CHAR(92),CHAR(92))),"$",_xlfn.CONCAT(CHAR(92),"$")),CHAR(96),_xlfn.CONCAT(CHAR(92),CHAR(96))),CHAR(34),CHAR(39))))</f>
        <v/>
      </c>
      <c r="N1018" s="5" t="str">
        <f>IF(OR(TRIM($B1018)="",$D1018=""),"",IF(OR(ISNUMBER(SEARCH(_xlfn.CONCAT(CHAR(96),CHAR(34)),$D1018)),ISNUMBER(SEARCH(_xlfn.CONCAT(CHAR(34),CHAR(39)),$D1018))),_xlfn.CONCAT("* REVIEW REQUIRED: compound-quote delimiter in Item Number on Sheet 1 row ",1018,"; edit the input before running."),_xlfn.CONCAT("char ",TRIM($B1018),"[doc_itemnum] ",CHAR(96),CHAR(34),SUBSTITUTE(SUBSTITUTE(SUBSTITUTE(SUBSTITUTE(SUBSTITUTE(SUBSTITUTE($D1018,CHAR(13)," "),CHAR(10)," "),CHAR(9)," "),CHAR(92),_xlfn.CONCAT(CHAR(92),CHAR(92))),"$",_xlfn.CONCAT(CHAR(92),"$")),CHAR(96),_xlfn.CONCAT(CHAR(92),CHAR(96))),CHAR(34),CHAR(39))))</f>
        <v/>
      </c>
      <c r="O1018" s="5" t="str">
        <f>IF(OR(TRIM($B1018)="",$E1018=""),"",IF(OR(ISNUMBER(SEARCH(_xlfn.CONCAT(CHAR(96),CHAR(34)),$E1018)),ISNUMBER(SEARCH(_xlfn.CONCAT(CHAR(34),CHAR(39)),$E1018))),_xlfn.CONCAT("* REVIEW REQUIRED: compound-quote delimiter in Question Wording on Sheet 1 row ",1018,"; edit the input before running."),_xlfn.CONCAT("char ",TRIM($B1018),"[doc_question] ",CHAR(96),CHAR(34),SUBSTITUTE(SUBSTITUTE(SUBSTITUTE(SUBSTITUTE(SUBSTITUTE(SUBSTITUTE($E1018,CHAR(13)," "),CHAR(10)," "),CHAR(9)," "),CHAR(92),_xlfn.CONCAT(CHAR(92),CHAR(92))),"$",_xlfn.CONCAT(CHAR(92),"$")),CHAR(96),_xlfn.CONCAT(CHAR(92),CHAR(96))),CHAR(34),CHAR(39))))</f>
        <v/>
      </c>
      <c r="P1018" s="5" t="str">
        <f>IF(OR(TRIM($B1018)="",$F1018=""),"",IF(OR(ISNUMBER(SEARCH(_xlfn.CONCAT(CHAR(96),CHAR(34)),$F1018)),ISNUMBER(SEARCH(_xlfn.CONCAT(CHAR(34),CHAR(39)),$F1018))),_xlfn.CONCAT("* REVIEW REQUIRED: compound-quote delimiter in Units on Sheet 1 row ",1018,"; edit the input before running."),_xlfn.CONCAT("char ",TRIM($B1018),"[doc_units] ",CHAR(96),CHAR(34),SUBSTITUTE(SUBSTITUTE(SUBSTITUTE(SUBSTITUTE(SUBSTITUTE(SUBSTITUTE($F1018,CHAR(13)," "),CHAR(10)," "),CHAR(9)," "),CHAR(92),_xlfn.CONCAT(CHAR(92),CHAR(92))),"$",_xlfn.CONCAT(CHAR(92),"$")),CHAR(96),_xlfn.CONCAT(CHAR(92),CHAR(96))),CHAR(34),CHAR(39))))</f>
        <v/>
      </c>
      <c r="Q1018" s="5" t="str">
        <f>IF(OR(TRIM($B1018)="",$G1018=""),"",IF(OR(ISNUMBER(SEARCH(_xlfn.CONCAT(CHAR(96),CHAR(34)),$G1018)),ISNUMBER(SEARCH(_xlfn.CONCAT(CHAR(34),CHAR(39)),$G1018))),_xlfn.CONCAT("* REVIEW REQUIRED: compound-quote delimiter in Universe on Sheet 1 row ",1018,"; edit the input before running."),_xlfn.CONCAT("char ",TRIM($B1018),"[doc_universe] ",CHAR(96),CHAR(34),SUBSTITUTE(SUBSTITUTE(SUBSTITUTE(SUBSTITUTE(SUBSTITUTE(SUBSTITUTE($G1018,CHAR(13)," "),CHAR(10)," "),CHAR(9)," "),CHAR(92),_xlfn.CONCAT(CHAR(92),CHAR(92))),"$",_xlfn.CONCAT(CHAR(92),"$")),CHAR(96),_xlfn.CONCAT(CHAR(92),CHAR(96))),CHAR(34),CHAR(39))))</f>
        <v/>
      </c>
      <c r="R1018" s="5" t="str">
        <f>IF(OR(TRIM($B1018)="",$H1018=""),"",IF(OR(ISNUMBER(SEARCH(_xlfn.CONCAT(CHAR(96),CHAR(34)),$H1018)),ISNUMBER(SEARCH(_xlfn.CONCAT(CHAR(34),CHAR(39)),$H1018))),_xlfn.CONCAT("* REVIEW REQUIRED: compound-quote delimiter in Source on Sheet 1 row ",1018,"; edit the input before running."),_xlfn.CONCAT("char ",TRIM($B1018),"[doc_source] ",CHAR(96),CHAR(34),SUBSTITUTE(SUBSTITUTE(SUBSTITUTE(SUBSTITUTE(SUBSTITUTE(SUBSTITUTE($H1018,CHAR(13)," "),CHAR(10)," "),CHAR(9)," "),CHAR(92),_xlfn.CONCAT(CHAR(92),CHAR(92))),"$",_xlfn.CONCAT(CHAR(92),"$")),CHAR(96),_xlfn.CONCAT(CHAR(92),CHAR(96))),CHAR(34),CHAR(39))))</f>
        <v/>
      </c>
      <c r="S1018" s="5" t="str">
        <f>IF(OR(TRIM($B1018)="",$I1018=""),"",IF(OR(ISNUMBER(SEARCH(_xlfn.CONCAT(CHAR(96),CHAR(34)),$I1018)),ISNUMBER(SEARCH(_xlfn.CONCAT(CHAR(34),CHAR(39)),$I1018))),_xlfn.CONCAT("* REVIEW REQUIRED: compound-quote delimiter in Derivation on Sheet 1 row ",1018,"; edit the input before running."),_xlfn.CONCAT("char ",TRIM($B1018),"[doc_derivation] ",CHAR(96),CHAR(34),SUBSTITUTE(SUBSTITUTE(SUBSTITUTE(SUBSTITUTE(SUBSTITUTE(SUBSTITUTE($I1018,CHAR(13)," "),CHAR(10)," "),CHAR(9)," "),CHAR(92),_xlfn.CONCAT(CHAR(92),CHAR(92))),"$",_xlfn.CONCAT(CHAR(92),"$")),CHAR(96),_xlfn.CONCAT(CHAR(92),CHAR(96))),CHAR(34),CHAR(39))))</f>
        <v/>
      </c>
      <c r="T1018" s="5" t="str">
        <f>IF(OR(TRIM($B1018)="",$J1018=""),"",IF(OR(ISNUMBER(SEARCH(_xlfn.CONCAT(CHAR(96),CHAR(34)),$J1018)),ISNUMBER(SEARCH(_xlfn.CONCAT(CHAR(34),CHAR(39)),$J1018))),_xlfn.CONCAT("* REVIEW REQUIRED: compound-quote delimiter in Notes on Sheet 1 row ",1018,"; edit the input before running."),_xlfn.CONCAT("char ",TRIM($B1018),"[doc_notes] ",CHAR(96),CHAR(34),SUBSTITUTE(SUBSTITUTE(SUBSTITUTE(SUBSTITUTE(SUBSTITUTE(SUBSTITUTE($J1018,CHAR(13)," "),CHAR(10)," "),CHAR(9)," "),CHAR(92),_xlfn.CONCAT(CHAR(92),CHAR(92))),"$",_xlfn.CONCAT(CHAR(92),"$")),CHAR(96),_xlfn.CONCAT(CHAR(92),CHAR(96))),CHAR(34),CHAR(39))))</f>
        <v/>
      </c>
      <c r="U1018" s="5">
        <f t="shared" si="31"/>
        <v>0</v>
      </c>
    </row>
    <row r="1019" spans="3:21" ht="30" customHeight="1" x14ac:dyDescent="0.2">
      <c r="C1019" s="4"/>
      <c r="K1019" s="5">
        <f t="shared" si="30"/>
        <v>0</v>
      </c>
      <c r="L1019" s="5" t="str">
        <f>IF(OR(TRIM($B1019)="",$A1019=""),"",IF(OR(ISNUMBER(SEARCH(_xlfn.CONCAT(CHAR(96),CHAR(34)),$A1019)),ISNUMBER(SEARCH(_xlfn.CONCAT(CHAR(34),CHAR(39)),$A1019))),_xlfn.CONCAT("* REVIEW REQUIRED: compound-quote delimiter in Codebook Section on Sheet 1 row ",1019,"; edit the input before running."),_xlfn.CONCAT("char ",TRIM($B1019),"[doc_section] ",CHAR(96),CHAR(34),SUBSTITUTE(SUBSTITUTE(SUBSTITUTE(SUBSTITUTE(SUBSTITUTE(SUBSTITUTE($A1019,CHAR(13)," "),CHAR(10)," "),CHAR(9)," "),CHAR(92),_xlfn.CONCAT(CHAR(92),CHAR(92))),"$",_xlfn.CONCAT(CHAR(92),"$")),CHAR(96),_xlfn.CONCAT(CHAR(92),CHAR(96))),CHAR(34),CHAR(39))))</f>
        <v/>
      </c>
      <c r="M1019" s="5" t="str">
        <f>IF(OR(TRIM($B1019)="",$C1019=""),"",IF(IFERROR(MATCH(TRIM($C1019),{"Quantitative","Continuous","Discrete","Categorical","Nominal","Ordinal","Identifier"},0),0)=0,_xlfn.CONCAT("* REVIEW REQUIRED: invalid Variable Type on Sheet 1 row ",1019,"."),_xlfn.CONCAT("char ",TRIM($B1019),"[doc_vartype] ",CHAR(96),CHAR(34),SUBSTITUTE(SUBSTITUTE(SUBSTITUTE(SUBSTITUTE(SUBSTITUTE(SUBSTITUTE(LOWER(TRIM($C1019)),CHAR(13)," "),CHAR(10)," "),CHAR(9)," "),CHAR(92),_xlfn.CONCAT(CHAR(92),CHAR(92))),"$",_xlfn.CONCAT(CHAR(92),"$")),CHAR(96),_xlfn.CONCAT(CHAR(92),CHAR(96))),CHAR(34),CHAR(39))))</f>
        <v/>
      </c>
      <c r="N1019" s="5" t="str">
        <f>IF(OR(TRIM($B1019)="",$D1019=""),"",IF(OR(ISNUMBER(SEARCH(_xlfn.CONCAT(CHAR(96),CHAR(34)),$D1019)),ISNUMBER(SEARCH(_xlfn.CONCAT(CHAR(34),CHAR(39)),$D1019))),_xlfn.CONCAT("* REVIEW REQUIRED: compound-quote delimiter in Item Number on Sheet 1 row ",1019,"; edit the input before running."),_xlfn.CONCAT("char ",TRIM($B1019),"[doc_itemnum] ",CHAR(96),CHAR(34),SUBSTITUTE(SUBSTITUTE(SUBSTITUTE(SUBSTITUTE(SUBSTITUTE(SUBSTITUTE($D1019,CHAR(13)," "),CHAR(10)," "),CHAR(9)," "),CHAR(92),_xlfn.CONCAT(CHAR(92),CHAR(92))),"$",_xlfn.CONCAT(CHAR(92),"$")),CHAR(96),_xlfn.CONCAT(CHAR(92),CHAR(96))),CHAR(34),CHAR(39))))</f>
        <v/>
      </c>
      <c r="O1019" s="5" t="str">
        <f>IF(OR(TRIM($B1019)="",$E1019=""),"",IF(OR(ISNUMBER(SEARCH(_xlfn.CONCAT(CHAR(96),CHAR(34)),$E1019)),ISNUMBER(SEARCH(_xlfn.CONCAT(CHAR(34),CHAR(39)),$E1019))),_xlfn.CONCAT("* REVIEW REQUIRED: compound-quote delimiter in Question Wording on Sheet 1 row ",1019,"; edit the input before running."),_xlfn.CONCAT("char ",TRIM($B1019),"[doc_question] ",CHAR(96),CHAR(34),SUBSTITUTE(SUBSTITUTE(SUBSTITUTE(SUBSTITUTE(SUBSTITUTE(SUBSTITUTE($E1019,CHAR(13)," "),CHAR(10)," "),CHAR(9)," "),CHAR(92),_xlfn.CONCAT(CHAR(92),CHAR(92))),"$",_xlfn.CONCAT(CHAR(92),"$")),CHAR(96),_xlfn.CONCAT(CHAR(92),CHAR(96))),CHAR(34),CHAR(39))))</f>
        <v/>
      </c>
      <c r="P1019" s="5" t="str">
        <f>IF(OR(TRIM($B1019)="",$F1019=""),"",IF(OR(ISNUMBER(SEARCH(_xlfn.CONCAT(CHAR(96),CHAR(34)),$F1019)),ISNUMBER(SEARCH(_xlfn.CONCAT(CHAR(34),CHAR(39)),$F1019))),_xlfn.CONCAT("* REVIEW REQUIRED: compound-quote delimiter in Units on Sheet 1 row ",1019,"; edit the input before running."),_xlfn.CONCAT("char ",TRIM($B1019),"[doc_units] ",CHAR(96),CHAR(34),SUBSTITUTE(SUBSTITUTE(SUBSTITUTE(SUBSTITUTE(SUBSTITUTE(SUBSTITUTE($F1019,CHAR(13)," "),CHAR(10)," "),CHAR(9)," "),CHAR(92),_xlfn.CONCAT(CHAR(92),CHAR(92))),"$",_xlfn.CONCAT(CHAR(92),"$")),CHAR(96),_xlfn.CONCAT(CHAR(92),CHAR(96))),CHAR(34),CHAR(39))))</f>
        <v/>
      </c>
      <c r="Q1019" s="5" t="str">
        <f>IF(OR(TRIM($B1019)="",$G1019=""),"",IF(OR(ISNUMBER(SEARCH(_xlfn.CONCAT(CHAR(96),CHAR(34)),$G1019)),ISNUMBER(SEARCH(_xlfn.CONCAT(CHAR(34),CHAR(39)),$G1019))),_xlfn.CONCAT("* REVIEW REQUIRED: compound-quote delimiter in Universe on Sheet 1 row ",1019,"; edit the input before running."),_xlfn.CONCAT("char ",TRIM($B1019),"[doc_universe] ",CHAR(96),CHAR(34),SUBSTITUTE(SUBSTITUTE(SUBSTITUTE(SUBSTITUTE(SUBSTITUTE(SUBSTITUTE($G1019,CHAR(13)," "),CHAR(10)," "),CHAR(9)," "),CHAR(92),_xlfn.CONCAT(CHAR(92),CHAR(92))),"$",_xlfn.CONCAT(CHAR(92),"$")),CHAR(96),_xlfn.CONCAT(CHAR(92),CHAR(96))),CHAR(34),CHAR(39))))</f>
        <v/>
      </c>
      <c r="R1019" s="5" t="str">
        <f>IF(OR(TRIM($B1019)="",$H1019=""),"",IF(OR(ISNUMBER(SEARCH(_xlfn.CONCAT(CHAR(96),CHAR(34)),$H1019)),ISNUMBER(SEARCH(_xlfn.CONCAT(CHAR(34),CHAR(39)),$H1019))),_xlfn.CONCAT("* REVIEW REQUIRED: compound-quote delimiter in Source on Sheet 1 row ",1019,"; edit the input before running."),_xlfn.CONCAT("char ",TRIM($B1019),"[doc_source] ",CHAR(96),CHAR(34),SUBSTITUTE(SUBSTITUTE(SUBSTITUTE(SUBSTITUTE(SUBSTITUTE(SUBSTITUTE($H1019,CHAR(13)," "),CHAR(10)," "),CHAR(9)," "),CHAR(92),_xlfn.CONCAT(CHAR(92),CHAR(92))),"$",_xlfn.CONCAT(CHAR(92),"$")),CHAR(96),_xlfn.CONCAT(CHAR(92),CHAR(96))),CHAR(34),CHAR(39))))</f>
        <v/>
      </c>
      <c r="S1019" s="5" t="str">
        <f>IF(OR(TRIM($B1019)="",$I1019=""),"",IF(OR(ISNUMBER(SEARCH(_xlfn.CONCAT(CHAR(96),CHAR(34)),$I1019)),ISNUMBER(SEARCH(_xlfn.CONCAT(CHAR(34),CHAR(39)),$I1019))),_xlfn.CONCAT("* REVIEW REQUIRED: compound-quote delimiter in Derivation on Sheet 1 row ",1019,"; edit the input before running."),_xlfn.CONCAT("char ",TRIM($B1019),"[doc_derivation] ",CHAR(96),CHAR(34),SUBSTITUTE(SUBSTITUTE(SUBSTITUTE(SUBSTITUTE(SUBSTITUTE(SUBSTITUTE($I1019,CHAR(13)," "),CHAR(10)," "),CHAR(9)," "),CHAR(92),_xlfn.CONCAT(CHAR(92),CHAR(92))),"$",_xlfn.CONCAT(CHAR(92),"$")),CHAR(96),_xlfn.CONCAT(CHAR(92),CHAR(96))),CHAR(34),CHAR(39))))</f>
        <v/>
      </c>
      <c r="T1019" s="5" t="str">
        <f>IF(OR(TRIM($B1019)="",$J1019=""),"",IF(OR(ISNUMBER(SEARCH(_xlfn.CONCAT(CHAR(96),CHAR(34)),$J1019)),ISNUMBER(SEARCH(_xlfn.CONCAT(CHAR(34),CHAR(39)),$J1019))),_xlfn.CONCAT("* REVIEW REQUIRED: compound-quote delimiter in Notes on Sheet 1 row ",1019,"; edit the input before running."),_xlfn.CONCAT("char ",TRIM($B1019),"[doc_notes] ",CHAR(96),CHAR(34),SUBSTITUTE(SUBSTITUTE(SUBSTITUTE(SUBSTITUTE(SUBSTITUTE(SUBSTITUTE($J1019,CHAR(13)," "),CHAR(10)," "),CHAR(9)," "),CHAR(92),_xlfn.CONCAT(CHAR(92),CHAR(92))),"$",_xlfn.CONCAT(CHAR(92),"$")),CHAR(96),_xlfn.CONCAT(CHAR(92),CHAR(96))),CHAR(34),CHAR(39))))</f>
        <v/>
      </c>
      <c r="U1019" s="5">
        <f t="shared" si="31"/>
        <v>0</v>
      </c>
    </row>
  </sheetData>
  <autoFilter ref="A19:J1019" xr:uid="{00000000-0009-0000-0000-000000000000}"/>
  <mergeCells count="12">
    <mergeCell ref="B15:J15"/>
    <mergeCell ref="B16:J16"/>
    <mergeCell ref="B10:J10"/>
    <mergeCell ref="B11:J11"/>
    <mergeCell ref="B12:J12"/>
    <mergeCell ref="B13:J13"/>
    <mergeCell ref="B14:J14"/>
    <mergeCell ref="A1:J4"/>
    <mergeCell ref="A6:J6"/>
    <mergeCell ref="B7:J7"/>
    <mergeCell ref="B8:J8"/>
    <mergeCell ref="B9:J9"/>
  </mergeCells>
  <conditionalFormatting sqref="A20:J1019">
    <cfRule type="expression" dxfId="1" priority="1">
      <formula>AND(TRIM($B20)="",COUNTA($A20,$C20:$J20)&gt;0)</formula>
    </cfRule>
    <cfRule type="expression" dxfId="0" priority="2">
      <formula>$U20&gt;0</formula>
    </cfRule>
  </conditionalFormatting>
  <dataValidations count="1">
    <dataValidation type="list" allowBlank="1" showInputMessage="1" showErrorMessage="1" errorTitle="Choose a Variable Type" error="Select one of the seven dropdown classifications, or leave the cell blank." promptTitle="Variable Type" prompt="Choose a classification. Numeric-only: Quantitative, Continuous, Discrete, Ordinal." sqref="C20:C1019" xr:uid="{00000000-0002-0000-0000-000000000000}">
      <formula1>"Quantitative,Continuous,Discrete,Categorical,Nominal,Ordinal,Identifier"</formula1>
    </dataValidation>
  </dataValidations>
  <pageMargins left="0.7" right="0.7" top="0.75" bottom="0.75" header="0.3" footer="0.3"/>
  <pageSetup fitToHeight="0"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9008"/>
  <sheetViews>
    <sheetView showGridLines="0" zoomScale="110" zoomScaleNormal="110" workbookViewId="0">
      <pane ySplit="8" topLeftCell="A9" activePane="bottomLeft" state="frozen"/>
      <selection pane="bottomLeft"/>
    </sheetView>
  </sheetViews>
  <sheetFormatPr baseColWidth="10" defaultColWidth="8.83203125" defaultRowHeight="16" x14ac:dyDescent="0.2"/>
  <cols>
    <col min="1" max="1" width="155.6640625" style="10" customWidth="1"/>
    <col min="2" max="3" width="20.6640625" style="7" hidden="1" customWidth="1"/>
    <col min="4" max="16384" width="8.83203125" style="7"/>
  </cols>
  <sheetData>
    <row r="1" spans="1:3" x14ac:dyDescent="0.2">
      <c r="A1" s="6" t="s">
        <v>21</v>
      </c>
    </row>
    <row r="2" spans="1:3" x14ac:dyDescent="0.2">
      <c r="A2" s="6" t="s">
        <v>22</v>
      </c>
    </row>
    <row r="3" spans="1:3" x14ac:dyDescent="0.2">
      <c r="A3" s="6" t="s">
        <v>23</v>
      </c>
    </row>
    <row r="4" spans="1:3" x14ac:dyDescent="0.2">
      <c r="A4" s="6" t="s">
        <v>24</v>
      </c>
    </row>
    <row r="5" spans="1:3" x14ac:dyDescent="0.2">
      <c r="A5" s="6" t="s">
        <v>25</v>
      </c>
    </row>
    <row r="6" spans="1:3" x14ac:dyDescent="0.2">
      <c r="A6" s="6" t="s">
        <v>26</v>
      </c>
    </row>
    <row r="8" spans="1:3" ht="27" customHeight="1" x14ac:dyDescent="0.2">
      <c r="A8" s="8" t="s">
        <v>27</v>
      </c>
      <c r="C8" s="9">
        <v>0</v>
      </c>
    </row>
    <row r="9" spans="1:3" x14ac:dyDescent="0.2">
      <c r="A9" s="10" t="str">
        <f>IF(1&gt;$C$9008,"",INDEX($B$9:$B$9008,MATCH(1,$C$9:$C$9008,0)))</f>
        <v/>
      </c>
      <c r="B9" s="9" t="str">
        <f>IFERROR(INDEX(Input!$L$20:$T$1019,INT((ROW()-9)/9)+1,MOD(ROW()-9,9)+1),"")</f>
        <v/>
      </c>
      <c r="C9" s="9">
        <f t="shared" ref="C9:C72" si="0">$C8+IF($B9&lt;&gt;"",1,0)</f>
        <v>0</v>
      </c>
    </row>
    <row r="10" spans="1:3" x14ac:dyDescent="0.2">
      <c r="A10" s="10" t="str">
        <f>IF(2&gt;$C$9008,"",INDEX($B$9:$B$9008,MATCH(2,$C$9:$C$9008,0)))</f>
        <v/>
      </c>
      <c r="B10" s="9" t="str">
        <f>IFERROR(INDEX(Input!$L$20:$T$1019,INT((ROW()-9)/9)+1,MOD(ROW()-9,9)+1),"")</f>
        <v/>
      </c>
      <c r="C10" s="9">
        <f t="shared" si="0"/>
        <v>0</v>
      </c>
    </row>
    <row r="11" spans="1:3" x14ac:dyDescent="0.2">
      <c r="A11" s="10" t="str">
        <f>IF(3&gt;$C$9008,"",INDEX($B$9:$B$9008,MATCH(3,$C$9:$C$9008,0)))</f>
        <v/>
      </c>
      <c r="B11" s="9" t="str">
        <f>IFERROR(INDEX(Input!$L$20:$T$1019,INT((ROW()-9)/9)+1,MOD(ROW()-9,9)+1),"")</f>
        <v/>
      </c>
      <c r="C11" s="9">
        <f t="shared" si="0"/>
        <v>0</v>
      </c>
    </row>
    <row r="12" spans="1:3" x14ac:dyDescent="0.2">
      <c r="A12" s="10" t="str">
        <f>IF(4&gt;$C$9008,"",INDEX($B$9:$B$9008,MATCH(4,$C$9:$C$9008,0)))</f>
        <v/>
      </c>
      <c r="B12" s="9" t="str">
        <f>IFERROR(INDEX(Input!$L$20:$T$1019,INT((ROW()-9)/9)+1,MOD(ROW()-9,9)+1),"")</f>
        <v/>
      </c>
      <c r="C12" s="9">
        <f t="shared" si="0"/>
        <v>0</v>
      </c>
    </row>
    <row r="13" spans="1:3" x14ac:dyDescent="0.2">
      <c r="A13" s="10" t="str">
        <f>IF(5&gt;$C$9008,"",INDEX($B$9:$B$9008,MATCH(5,$C$9:$C$9008,0)))</f>
        <v/>
      </c>
      <c r="B13" s="9" t="str">
        <f>IFERROR(INDEX(Input!$L$20:$T$1019,INT((ROW()-9)/9)+1,MOD(ROW()-9,9)+1),"")</f>
        <v/>
      </c>
      <c r="C13" s="9">
        <f t="shared" si="0"/>
        <v>0</v>
      </c>
    </row>
    <row r="14" spans="1:3" x14ac:dyDescent="0.2">
      <c r="A14" s="10" t="str">
        <f>IF(6&gt;$C$9008,"",INDEX($B$9:$B$9008,MATCH(6,$C$9:$C$9008,0)))</f>
        <v/>
      </c>
      <c r="B14" s="9" t="str">
        <f>IFERROR(INDEX(Input!$L$20:$T$1019,INT((ROW()-9)/9)+1,MOD(ROW()-9,9)+1),"")</f>
        <v/>
      </c>
      <c r="C14" s="9">
        <f t="shared" si="0"/>
        <v>0</v>
      </c>
    </row>
    <row r="15" spans="1:3" x14ac:dyDescent="0.2">
      <c r="A15" s="10" t="str">
        <f>IF(7&gt;$C$9008,"",INDEX($B$9:$B$9008,MATCH(7,$C$9:$C$9008,0)))</f>
        <v/>
      </c>
      <c r="B15" s="9" t="str">
        <f>IFERROR(INDEX(Input!$L$20:$T$1019,INT((ROW()-9)/9)+1,MOD(ROW()-9,9)+1),"")</f>
        <v/>
      </c>
      <c r="C15" s="9">
        <f t="shared" si="0"/>
        <v>0</v>
      </c>
    </row>
    <row r="16" spans="1:3" x14ac:dyDescent="0.2">
      <c r="A16" s="10" t="str">
        <f>IF(8&gt;$C$9008,"",INDEX($B$9:$B$9008,MATCH(8,$C$9:$C$9008,0)))</f>
        <v/>
      </c>
      <c r="B16" s="9" t="str">
        <f>IFERROR(INDEX(Input!$L$20:$T$1019,INT((ROW()-9)/9)+1,MOD(ROW()-9,9)+1),"")</f>
        <v/>
      </c>
      <c r="C16" s="9">
        <f t="shared" si="0"/>
        <v>0</v>
      </c>
    </row>
    <row r="17" spans="1:3" x14ac:dyDescent="0.2">
      <c r="A17" s="10" t="str">
        <f>IF(9&gt;$C$9008,"",INDEX($B$9:$B$9008,MATCH(9,$C$9:$C$9008,0)))</f>
        <v/>
      </c>
      <c r="B17" s="9" t="str">
        <f>IFERROR(INDEX(Input!$L$20:$T$1019,INT((ROW()-9)/9)+1,MOD(ROW()-9,9)+1),"")</f>
        <v/>
      </c>
      <c r="C17" s="9">
        <f t="shared" si="0"/>
        <v>0</v>
      </c>
    </row>
    <row r="18" spans="1:3" x14ac:dyDescent="0.2">
      <c r="A18" s="10" t="str">
        <f>IF(10&gt;$C$9008,"",INDEX($B$9:$B$9008,MATCH(10,$C$9:$C$9008,0)))</f>
        <v/>
      </c>
      <c r="B18" s="9" t="str">
        <f>IFERROR(INDEX(Input!$L$20:$T$1019,INT((ROW()-9)/9)+1,MOD(ROW()-9,9)+1),"")</f>
        <v/>
      </c>
      <c r="C18" s="9">
        <f t="shared" si="0"/>
        <v>0</v>
      </c>
    </row>
    <row r="19" spans="1:3" x14ac:dyDescent="0.2">
      <c r="A19" s="10" t="str">
        <f>IF(11&gt;$C$9008,"",INDEX($B$9:$B$9008,MATCH(11,$C$9:$C$9008,0)))</f>
        <v/>
      </c>
      <c r="B19" s="9" t="str">
        <f>IFERROR(INDEX(Input!$L$20:$T$1019,INT((ROW()-9)/9)+1,MOD(ROW()-9,9)+1),"")</f>
        <v/>
      </c>
      <c r="C19" s="9">
        <f t="shared" si="0"/>
        <v>0</v>
      </c>
    </row>
    <row r="20" spans="1:3" x14ac:dyDescent="0.2">
      <c r="A20" s="10" t="str">
        <f>IF(12&gt;$C$9008,"",INDEX($B$9:$B$9008,MATCH(12,$C$9:$C$9008,0)))</f>
        <v/>
      </c>
      <c r="B20" s="9" t="str">
        <f>IFERROR(INDEX(Input!$L$20:$T$1019,INT((ROW()-9)/9)+1,MOD(ROW()-9,9)+1),"")</f>
        <v/>
      </c>
      <c r="C20" s="9">
        <f t="shared" si="0"/>
        <v>0</v>
      </c>
    </row>
    <row r="21" spans="1:3" x14ac:dyDescent="0.2">
      <c r="A21" s="10" t="str">
        <f>IF(13&gt;$C$9008,"",INDEX($B$9:$B$9008,MATCH(13,$C$9:$C$9008,0)))</f>
        <v/>
      </c>
      <c r="B21" s="9" t="str">
        <f>IFERROR(INDEX(Input!$L$20:$T$1019,INT((ROW()-9)/9)+1,MOD(ROW()-9,9)+1),"")</f>
        <v/>
      </c>
      <c r="C21" s="9">
        <f t="shared" si="0"/>
        <v>0</v>
      </c>
    </row>
    <row r="22" spans="1:3" x14ac:dyDescent="0.2">
      <c r="A22" s="10" t="str">
        <f>IF(14&gt;$C$9008,"",INDEX($B$9:$B$9008,MATCH(14,$C$9:$C$9008,0)))</f>
        <v/>
      </c>
      <c r="B22" s="9" t="str">
        <f>IFERROR(INDEX(Input!$L$20:$T$1019,INT((ROW()-9)/9)+1,MOD(ROW()-9,9)+1),"")</f>
        <v/>
      </c>
      <c r="C22" s="9">
        <f t="shared" si="0"/>
        <v>0</v>
      </c>
    </row>
    <row r="23" spans="1:3" x14ac:dyDescent="0.2">
      <c r="A23" s="10" t="str">
        <f>IF(15&gt;$C$9008,"",INDEX($B$9:$B$9008,MATCH(15,$C$9:$C$9008,0)))</f>
        <v/>
      </c>
      <c r="B23" s="9" t="str">
        <f>IFERROR(INDEX(Input!$L$20:$T$1019,INT((ROW()-9)/9)+1,MOD(ROW()-9,9)+1),"")</f>
        <v/>
      </c>
      <c r="C23" s="9">
        <f t="shared" si="0"/>
        <v>0</v>
      </c>
    </row>
    <row r="24" spans="1:3" x14ac:dyDescent="0.2">
      <c r="A24" s="10" t="str">
        <f>IF(16&gt;$C$9008,"",INDEX($B$9:$B$9008,MATCH(16,$C$9:$C$9008,0)))</f>
        <v/>
      </c>
      <c r="B24" s="9" t="str">
        <f>IFERROR(INDEX(Input!$L$20:$T$1019,INT((ROW()-9)/9)+1,MOD(ROW()-9,9)+1),"")</f>
        <v/>
      </c>
      <c r="C24" s="9">
        <f t="shared" si="0"/>
        <v>0</v>
      </c>
    </row>
    <row r="25" spans="1:3" x14ac:dyDescent="0.2">
      <c r="A25" s="10" t="str">
        <f>IF(17&gt;$C$9008,"",INDEX($B$9:$B$9008,MATCH(17,$C$9:$C$9008,0)))</f>
        <v/>
      </c>
      <c r="B25" s="9" t="str">
        <f>IFERROR(INDEX(Input!$L$20:$T$1019,INT((ROW()-9)/9)+1,MOD(ROW()-9,9)+1),"")</f>
        <v/>
      </c>
      <c r="C25" s="9">
        <f t="shared" si="0"/>
        <v>0</v>
      </c>
    </row>
    <row r="26" spans="1:3" x14ac:dyDescent="0.2">
      <c r="A26" s="10" t="str">
        <f>IF(18&gt;$C$9008,"",INDEX($B$9:$B$9008,MATCH(18,$C$9:$C$9008,0)))</f>
        <v/>
      </c>
      <c r="B26" s="9" t="str">
        <f>IFERROR(INDEX(Input!$L$20:$T$1019,INT((ROW()-9)/9)+1,MOD(ROW()-9,9)+1),"")</f>
        <v/>
      </c>
      <c r="C26" s="9">
        <f t="shared" si="0"/>
        <v>0</v>
      </c>
    </row>
    <row r="27" spans="1:3" x14ac:dyDescent="0.2">
      <c r="A27" s="10" t="str">
        <f>IF(19&gt;$C$9008,"",INDEX($B$9:$B$9008,MATCH(19,$C$9:$C$9008,0)))</f>
        <v/>
      </c>
      <c r="B27" s="9" t="str">
        <f>IFERROR(INDEX(Input!$L$20:$T$1019,INT((ROW()-9)/9)+1,MOD(ROW()-9,9)+1),"")</f>
        <v/>
      </c>
      <c r="C27" s="9">
        <f t="shared" si="0"/>
        <v>0</v>
      </c>
    </row>
    <row r="28" spans="1:3" x14ac:dyDescent="0.2">
      <c r="A28" s="10" t="str">
        <f>IF(20&gt;$C$9008,"",INDEX($B$9:$B$9008,MATCH(20,$C$9:$C$9008,0)))</f>
        <v/>
      </c>
      <c r="B28" s="9" t="str">
        <f>IFERROR(INDEX(Input!$L$20:$T$1019,INT((ROW()-9)/9)+1,MOD(ROW()-9,9)+1),"")</f>
        <v/>
      </c>
      <c r="C28" s="9">
        <f t="shared" si="0"/>
        <v>0</v>
      </c>
    </row>
    <row r="29" spans="1:3" x14ac:dyDescent="0.2">
      <c r="A29" s="10" t="str">
        <f>IF(21&gt;$C$9008,"",INDEX($B$9:$B$9008,MATCH(21,$C$9:$C$9008,0)))</f>
        <v/>
      </c>
      <c r="B29" s="9" t="str">
        <f>IFERROR(INDEX(Input!$L$20:$T$1019,INT((ROW()-9)/9)+1,MOD(ROW()-9,9)+1),"")</f>
        <v/>
      </c>
      <c r="C29" s="9">
        <f t="shared" si="0"/>
        <v>0</v>
      </c>
    </row>
    <row r="30" spans="1:3" x14ac:dyDescent="0.2">
      <c r="A30" s="10" t="str">
        <f>IF(22&gt;$C$9008,"",INDEX($B$9:$B$9008,MATCH(22,$C$9:$C$9008,0)))</f>
        <v/>
      </c>
      <c r="B30" s="9" t="str">
        <f>IFERROR(INDEX(Input!$L$20:$T$1019,INT((ROW()-9)/9)+1,MOD(ROW()-9,9)+1),"")</f>
        <v/>
      </c>
      <c r="C30" s="9">
        <f t="shared" si="0"/>
        <v>0</v>
      </c>
    </row>
    <row r="31" spans="1:3" x14ac:dyDescent="0.2">
      <c r="A31" s="10" t="str">
        <f>IF(23&gt;$C$9008,"",INDEX($B$9:$B$9008,MATCH(23,$C$9:$C$9008,0)))</f>
        <v/>
      </c>
      <c r="B31" s="9" t="str">
        <f>IFERROR(INDEX(Input!$L$20:$T$1019,INT((ROW()-9)/9)+1,MOD(ROW()-9,9)+1),"")</f>
        <v/>
      </c>
      <c r="C31" s="9">
        <f t="shared" si="0"/>
        <v>0</v>
      </c>
    </row>
    <row r="32" spans="1:3" x14ac:dyDescent="0.2">
      <c r="A32" s="10" t="str">
        <f>IF(24&gt;$C$9008,"",INDEX($B$9:$B$9008,MATCH(24,$C$9:$C$9008,0)))</f>
        <v/>
      </c>
      <c r="B32" s="9" t="str">
        <f>IFERROR(INDEX(Input!$L$20:$T$1019,INT((ROW()-9)/9)+1,MOD(ROW()-9,9)+1),"")</f>
        <v/>
      </c>
      <c r="C32" s="9">
        <f t="shared" si="0"/>
        <v>0</v>
      </c>
    </row>
    <row r="33" spans="1:3" x14ac:dyDescent="0.2">
      <c r="A33" s="10" t="str">
        <f>IF(25&gt;$C$9008,"",INDEX($B$9:$B$9008,MATCH(25,$C$9:$C$9008,0)))</f>
        <v/>
      </c>
      <c r="B33" s="9" t="str">
        <f>IFERROR(INDEX(Input!$L$20:$T$1019,INT((ROW()-9)/9)+1,MOD(ROW()-9,9)+1),"")</f>
        <v/>
      </c>
      <c r="C33" s="9">
        <f t="shared" si="0"/>
        <v>0</v>
      </c>
    </row>
    <row r="34" spans="1:3" x14ac:dyDescent="0.2">
      <c r="A34" s="10" t="str">
        <f>IF(26&gt;$C$9008,"",INDEX($B$9:$B$9008,MATCH(26,$C$9:$C$9008,0)))</f>
        <v/>
      </c>
      <c r="B34" s="9" t="str">
        <f>IFERROR(INDEX(Input!$L$20:$T$1019,INT((ROW()-9)/9)+1,MOD(ROW()-9,9)+1),"")</f>
        <v/>
      </c>
      <c r="C34" s="9">
        <f t="shared" si="0"/>
        <v>0</v>
      </c>
    </row>
    <row r="35" spans="1:3" x14ac:dyDescent="0.2">
      <c r="A35" s="10" t="str">
        <f>IF(27&gt;$C$9008,"",INDEX($B$9:$B$9008,MATCH(27,$C$9:$C$9008,0)))</f>
        <v/>
      </c>
      <c r="B35" s="9" t="str">
        <f>IFERROR(INDEX(Input!$L$20:$T$1019,INT((ROW()-9)/9)+1,MOD(ROW()-9,9)+1),"")</f>
        <v/>
      </c>
      <c r="C35" s="9">
        <f t="shared" si="0"/>
        <v>0</v>
      </c>
    </row>
    <row r="36" spans="1:3" x14ac:dyDescent="0.2">
      <c r="A36" s="10" t="str">
        <f>IF(28&gt;$C$9008,"",INDEX($B$9:$B$9008,MATCH(28,$C$9:$C$9008,0)))</f>
        <v/>
      </c>
      <c r="B36" s="9" t="str">
        <f>IFERROR(INDEX(Input!$L$20:$T$1019,INT((ROW()-9)/9)+1,MOD(ROW()-9,9)+1),"")</f>
        <v/>
      </c>
      <c r="C36" s="9">
        <f t="shared" si="0"/>
        <v>0</v>
      </c>
    </row>
    <row r="37" spans="1:3" x14ac:dyDescent="0.2">
      <c r="A37" s="10" t="str">
        <f>IF(29&gt;$C$9008,"",INDEX($B$9:$B$9008,MATCH(29,$C$9:$C$9008,0)))</f>
        <v/>
      </c>
      <c r="B37" s="9" t="str">
        <f>IFERROR(INDEX(Input!$L$20:$T$1019,INT((ROW()-9)/9)+1,MOD(ROW()-9,9)+1),"")</f>
        <v/>
      </c>
      <c r="C37" s="9">
        <f t="shared" si="0"/>
        <v>0</v>
      </c>
    </row>
    <row r="38" spans="1:3" x14ac:dyDescent="0.2">
      <c r="A38" s="10" t="str">
        <f>IF(30&gt;$C$9008,"",INDEX($B$9:$B$9008,MATCH(30,$C$9:$C$9008,0)))</f>
        <v/>
      </c>
      <c r="B38" s="9" t="str">
        <f>IFERROR(INDEX(Input!$L$20:$T$1019,INT((ROW()-9)/9)+1,MOD(ROW()-9,9)+1),"")</f>
        <v/>
      </c>
      <c r="C38" s="9">
        <f t="shared" si="0"/>
        <v>0</v>
      </c>
    </row>
    <row r="39" spans="1:3" x14ac:dyDescent="0.2">
      <c r="A39" s="10" t="str">
        <f>IF(31&gt;$C$9008,"",INDEX($B$9:$B$9008,MATCH(31,$C$9:$C$9008,0)))</f>
        <v/>
      </c>
      <c r="B39" s="9" t="str">
        <f>IFERROR(INDEX(Input!$L$20:$T$1019,INT((ROW()-9)/9)+1,MOD(ROW()-9,9)+1),"")</f>
        <v/>
      </c>
      <c r="C39" s="9">
        <f t="shared" si="0"/>
        <v>0</v>
      </c>
    </row>
    <row r="40" spans="1:3" x14ac:dyDescent="0.2">
      <c r="A40" s="10" t="str">
        <f>IF(32&gt;$C$9008,"",INDEX($B$9:$B$9008,MATCH(32,$C$9:$C$9008,0)))</f>
        <v/>
      </c>
      <c r="B40" s="9" t="str">
        <f>IFERROR(INDEX(Input!$L$20:$T$1019,INT((ROW()-9)/9)+1,MOD(ROW()-9,9)+1),"")</f>
        <v/>
      </c>
      <c r="C40" s="9">
        <f t="shared" si="0"/>
        <v>0</v>
      </c>
    </row>
    <row r="41" spans="1:3" x14ac:dyDescent="0.2">
      <c r="A41" s="10" t="str">
        <f>IF(33&gt;$C$9008,"",INDEX($B$9:$B$9008,MATCH(33,$C$9:$C$9008,0)))</f>
        <v/>
      </c>
      <c r="B41" s="9" t="str">
        <f>IFERROR(INDEX(Input!$L$20:$T$1019,INT((ROW()-9)/9)+1,MOD(ROW()-9,9)+1),"")</f>
        <v/>
      </c>
      <c r="C41" s="9">
        <f t="shared" si="0"/>
        <v>0</v>
      </c>
    </row>
    <row r="42" spans="1:3" x14ac:dyDescent="0.2">
      <c r="A42" s="10" t="str">
        <f>IF(34&gt;$C$9008,"",INDEX($B$9:$B$9008,MATCH(34,$C$9:$C$9008,0)))</f>
        <v/>
      </c>
      <c r="B42" s="9" t="str">
        <f>IFERROR(INDEX(Input!$L$20:$T$1019,INT((ROW()-9)/9)+1,MOD(ROW()-9,9)+1),"")</f>
        <v/>
      </c>
      <c r="C42" s="9">
        <f t="shared" si="0"/>
        <v>0</v>
      </c>
    </row>
    <row r="43" spans="1:3" x14ac:dyDescent="0.2">
      <c r="A43" s="10" t="str">
        <f>IF(35&gt;$C$9008,"",INDEX($B$9:$B$9008,MATCH(35,$C$9:$C$9008,0)))</f>
        <v/>
      </c>
      <c r="B43" s="9" t="str">
        <f>IFERROR(INDEX(Input!$L$20:$T$1019,INT((ROW()-9)/9)+1,MOD(ROW()-9,9)+1),"")</f>
        <v/>
      </c>
      <c r="C43" s="9">
        <f t="shared" si="0"/>
        <v>0</v>
      </c>
    </row>
    <row r="44" spans="1:3" x14ac:dyDescent="0.2">
      <c r="A44" s="10" t="str">
        <f>IF(36&gt;$C$9008,"",INDEX($B$9:$B$9008,MATCH(36,$C$9:$C$9008,0)))</f>
        <v/>
      </c>
      <c r="B44" s="9" t="str">
        <f>IFERROR(INDEX(Input!$L$20:$T$1019,INT((ROW()-9)/9)+1,MOD(ROW()-9,9)+1),"")</f>
        <v/>
      </c>
      <c r="C44" s="9">
        <f t="shared" si="0"/>
        <v>0</v>
      </c>
    </row>
    <row r="45" spans="1:3" x14ac:dyDescent="0.2">
      <c r="A45" s="10" t="str">
        <f>IF(37&gt;$C$9008,"",INDEX($B$9:$B$9008,MATCH(37,$C$9:$C$9008,0)))</f>
        <v/>
      </c>
      <c r="B45" s="9" t="str">
        <f>IFERROR(INDEX(Input!$L$20:$T$1019,INT((ROW()-9)/9)+1,MOD(ROW()-9,9)+1),"")</f>
        <v/>
      </c>
      <c r="C45" s="9">
        <f t="shared" si="0"/>
        <v>0</v>
      </c>
    </row>
    <row r="46" spans="1:3" x14ac:dyDescent="0.2">
      <c r="A46" s="10" t="str">
        <f>IF(38&gt;$C$9008,"",INDEX($B$9:$B$9008,MATCH(38,$C$9:$C$9008,0)))</f>
        <v/>
      </c>
      <c r="B46" s="9" t="str">
        <f>IFERROR(INDEX(Input!$L$20:$T$1019,INT((ROW()-9)/9)+1,MOD(ROW()-9,9)+1),"")</f>
        <v/>
      </c>
      <c r="C46" s="9">
        <f t="shared" si="0"/>
        <v>0</v>
      </c>
    </row>
    <row r="47" spans="1:3" x14ac:dyDescent="0.2">
      <c r="A47" s="10" t="str">
        <f>IF(39&gt;$C$9008,"",INDEX($B$9:$B$9008,MATCH(39,$C$9:$C$9008,0)))</f>
        <v/>
      </c>
      <c r="B47" s="9" t="str">
        <f>IFERROR(INDEX(Input!$L$20:$T$1019,INT((ROW()-9)/9)+1,MOD(ROW()-9,9)+1),"")</f>
        <v/>
      </c>
      <c r="C47" s="9">
        <f t="shared" si="0"/>
        <v>0</v>
      </c>
    </row>
    <row r="48" spans="1:3" x14ac:dyDescent="0.2">
      <c r="A48" s="10" t="str">
        <f>IF(40&gt;$C$9008,"",INDEX($B$9:$B$9008,MATCH(40,$C$9:$C$9008,0)))</f>
        <v/>
      </c>
      <c r="B48" s="9" t="str">
        <f>IFERROR(INDEX(Input!$L$20:$T$1019,INT((ROW()-9)/9)+1,MOD(ROW()-9,9)+1),"")</f>
        <v/>
      </c>
      <c r="C48" s="9">
        <f t="shared" si="0"/>
        <v>0</v>
      </c>
    </row>
    <row r="49" spans="1:3" x14ac:dyDescent="0.2">
      <c r="A49" s="10" t="str">
        <f>IF(41&gt;$C$9008,"",INDEX($B$9:$B$9008,MATCH(41,$C$9:$C$9008,0)))</f>
        <v/>
      </c>
      <c r="B49" s="9" t="str">
        <f>IFERROR(INDEX(Input!$L$20:$T$1019,INT((ROW()-9)/9)+1,MOD(ROW()-9,9)+1),"")</f>
        <v/>
      </c>
      <c r="C49" s="9">
        <f t="shared" si="0"/>
        <v>0</v>
      </c>
    </row>
    <row r="50" spans="1:3" x14ac:dyDescent="0.2">
      <c r="A50" s="10" t="str">
        <f>IF(42&gt;$C$9008,"",INDEX($B$9:$B$9008,MATCH(42,$C$9:$C$9008,0)))</f>
        <v/>
      </c>
      <c r="B50" s="9" t="str">
        <f>IFERROR(INDEX(Input!$L$20:$T$1019,INT((ROW()-9)/9)+1,MOD(ROW()-9,9)+1),"")</f>
        <v/>
      </c>
      <c r="C50" s="9">
        <f t="shared" si="0"/>
        <v>0</v>
      </c>
    </row>
    <row r="51" spans="1:3" x14ac:dyDescent="0.2">
      <c r="A51" s="10" t="str">
        <f>IF(43&gt;$C$9008,"",INDEX($B$9:$B$9008,MATCH(43,$C$9:$C$9008,0)))</f>
        <v/>
      </c>
      <c r="B51" s="9" t="str">
        <f>IFERROR(INDEX(Input!$L$20:$T$1019,INT((ROW()-9)/9)+1,MOD(ROW()-9,9)+1),"")</f>
        <v/>
      </c>
      <c r="C51" s="9">
        <f t="shared" si="0"/>
        <v>0</v>
      </c>
    </row>
    <row r="52" spans="1:3" x14ac:dyDescent="0.2">
      <c r="A52" s="10" t="str">
        <f>IF(44&gt;$C$9008,"",INDEX($B$9:$B$9008,MATCH(44,$C$9:$C$9008,0)))</f>
        <v/>
      </c>
      <c r="B52" s="9" t="str">
        <f>IFERROR(INDEX(Input!$L$20:$T$1019,INT((ROW()-9)/9)+1,MOD(ROW()-9,9)+1),"")</f>
        <v/>
      </c>
      <c r="C52" s="9">
        <f t="shared" si="0"/>
        <v>0</v>
      </c>
    </row>
    <row r="53" spans="1:3" x14ac:dyDescent="0.2">
      <c r="A53" s="10" t="str">
        <f>IF(45&gt;$C$9008,"",INDEX($B$9:$B$9008,MATCH(45,$C$9:$C$9008,0)))</f>
        <v/>
      </c>
      <c r="B53" s="9" t="str">
        <f>IFERROR(INDEX(Input!$L$20:$T$1019,INT((ROW()-9)/9)+1,MOD(ROW()-9,9)+1),"")</f>
        <v/>
      </c>
      <c r="C53" s="9">
        <f t="shared" si="0"/>
        <v>0</v>
      </c>
    </row>
    <row r="54" spans="1:3" x14ac:dyDescent="0.2">
      <c r="A54" s="10" t="str">
        <f>IF(46&gt;$C$9008,"",INDEX($B$9:$B$9008,MATCH(46,$C$9:$C$9008,0)))</f>
        <v/>
      </c>
      <c r="B54" s="9" t="str">
        <f>IFERROR(INDEX(Input!$L$20:$T$1019,INT((ROW()-9)/9)+1,MOD(ROW()-9,9)+1),"")</f>
        <v/>
      </c>
      <c r="C54" s="9">
        <f t="shared" si="0"/>
        <v>0</v>
      </c>
    </row>
    <row r="55" spans="1:3" x14ac:dyDescent="0.2">
      <c r="A55" s="10" t="str">
        <f>IF(47&gt;$C$9008,"",INDEX($B$9:$B$9008,MATCH(47,$C$9:$C$9008,0)))</f>
        <v/>
      </c>
      <c r="B55" s="9" t="str">
        <f>IFERROR(INDEX(Input!$L$20:$T$1019,INT((ROW()-9)/9)+1,MOD(ROW()-9,9)+1),"")</f>
        <v/>
      </c>
      <c r="C55" s="9">
        <f t="shared" si="0"/>
        <v>0</v>
      </c>
    </row>
    <row r="56" spans="1:3" x14ac:dyDescent="0.2">
      <c r="A56" s="10" t="str">
        <f>IF(48&gt;$C$9008,"",INDEX($B$9:$B$9008,MATCH(48,$C$9:$C$9008,0)))</f>
        <v/>
      </c>
      <c r="B56" s="9" t="str">
        <f>IFERROR(INDEX(Input!$L$20:$T$1019,INT((ROW()-9)/9)+1,MOD(ROW()-9,9)+1),"")</f>
        <v/>
      </c>
      <c r="C56" s="9">
        <f t="shared" si="0"/>
        <v>0</v>
      </c>
    </row>
    <row r="57" spans="1:3" x14ac:dyDescent="0.2">
      <c r="A57" s="10" t="str">
        <f>IF(49&gt;$C$9008,"",INDEX($B$9:$B$9008,MATCH(49,$C$9:$C$9008,0)))</f>
        <v/>
      </c>
      <c r="B57" s="9" t="str">
        <f>IFERROR(INDEX(Input!$L$20:$T$1019,INT((ROW()-9)/9)+1,MOD(ROW()-9,9)+1),"")</f>
        <v/>
      </c>
      <c r="C57" s="9">
        <f t="shared" si="0"/>
        <v>0</v>
      </c>
    </row>
    <row r="58" spans="1:3" x14ac:dyDescent="0.2">
      <c r="A58" s="10" t="str">
        <f>IF(50&gt;$C$9008,"",INDEX($B$9:$B$9008,MATCH(50,$C$9:$C$9008,0)))</f>
        <v/>
      </c>
      <c r="B58" s="9" t="str">
        <f>IFERROR(INDEX(Input!$L$20:$T$1019,INT((ROW()-9)/9)+1,MOD(ROW()-9,9)+1),"")</f>
        <v/>
      </c>
      <c r="C58" s="9">
        <f t="shared" si="0"/>
        <v>0</v>
      </c>
    </row>
    <row r="59" spans="1:3" x14ac:dyDescent="0.2">
      <c r="A59" s="10" t="str">
        <f>IF(51&gt;$C$9008,"",INDEX($B$9:$B$9008,MATCH(51,$C$9:$C$9008,0)))</f>
        <v/>
      </c>
      <c r="B59" s="9" t="str">
        <f>IFERROR(INDEX(Input!$L$20:$T$1019,INT((ROW()-9)/9)+1,MOD(ROW()-9,9)+1),"")</f>
        <v/>
      </c>
      <c r="C59" s="9">
        <f t="shared" si="0"/>
        <v>0</v>
      </c>
    </row>
    <row r="60" spans="1:3" x14ac:dyDescent="0.2">
      <c r="A60" s="10" t="str">
        <f>IF(52&gt;$C$9008,"",INDEX($B$9:$B$9008,MATCH(52,$C$9:$C$9008,0)))</f>
        <v/>
      </c>
      <c r="B60" s="9" t="str">
        <f>IFERROR(INDEX(Input!$L$20:$T$1019,INT((ROW()-9)/9)+1,MOD(ROW()-9,9)+1),"")</f>
        <v/>
      </c>
      <c r="C60" s="9">
        <f t="shared" si="0"/>
        <v>0</v>
      </c>
    </row>
    <row r="61" spans="1:3" x14ac:dyDescent="0.2">
      <c r="A61" s="10" t="str">
        <f>IF(53&gt;$C$9008,"",INDEX($B$9:$B$9008,MATCH(53,$C$9:$C$9008,0)))</f>
        <v/>
      </c>
      <c r="B61" s="9" t="str">
        <f>IFERROR(INDEX(Input!$L$20:$T$1019,INT((ROW()-9)/9)+1,MOD(ROW()-9,9)+1),"")</f>
        <v/>
      </c>
      <c r="C61" s="9">
        <f t="shared" si="0"/>
        <v>0</v>
      </c>
    </row>
    <row r="62" spans="1:3" x14ac:dyDescent="0.2">
      <c r="A62" s="10" t="str">
        <f>IF(54&gt;$C$9008,"",INDEX($B$9:$B$9008,MATCH(54,$C$9:$C$9008,0)))</f>
        <v/>
      </c>
      <c r="B62" s="9" t="str">
        <f>IFERROR(INDEX(Input!$L$20:$T$1019,INT((ROW()-9)/9)+1,MOD(ROW()-9,9)+1),"")</f>
        <v/>
      </c>
      <c r="C62" s="9">
        <f t="shared" si="0"/>
        <v>0</v>
      </c>
    </row>
    <row r="63" spans="1:3" x14ac:dyDescent="0.2">
      <c r="A63" s="10" t="str">
        <f>IF(55&gt;$C$9008,"",INDEX($B$9:$B$9008,MATCH(55,$C$9:$C$9008,0)))</f>
        <v/>
      </c>
      <c r="B63" s="9" t="str">
        <f>IFERROR(INDEX(Input!$L$20:$T$1019,INT((ROW()-9)/9)+1,MOD(ROW()-9,9)+1),"")</f>
        <v/>
      </c>
      <c r="C63" s="9">
        <f t="shared" si="0"/>
        <v>0</v>
      </c>
    </row>
    <row r="64" spans="1:3" x14ac:dyDescent="0.2">
      <c r="A64" s="10" t="str">
        <f>IF(56&gt;$C$9008,"",INDEX($B$9:$B$9008,MATCH(56,$C$9:$C$9008,0)))</f>
        <v/>
      </c>
      <c r="B64" s="9" t="str">
        <f>IFERROR(INDEX(Input!$L$20:$T$1019,INT((ROW()-9)/9)+1,MOD(ROW()-9,9)+1),"")</f>
        <v/>
      </c>
      <c r="C64" s="9">
        <f t="shared" si="0"/>
        <v>0</v>
      </c>
    </row>
    <row r="65" spans="1:3" x14ac:dyDescent="0.2">
      <c r="A65" s="10" t="str">
        <f>IF(57&gt;$C$9008,"",INDEX($B$9:$B$9008,MATCH(57,$C$9:$C$9008,0)))</f>
        <v/>
      </c>
      <c r="B65" s="9" t="str">
        <f>IFERROR(INDEX(Input!$L$20:$T$1019,INT((ROW()-9)/9)+1,MOD(ROW()-9,9)+1),"")</f>
        <v/>
      </c>
      <c r="C65" s="9">
        <f t="shared" si="0"/>
        <v>0</v>
      </c>
    </row>
    <row r="66" spans="1:3" x14ac:dyDescent="0.2">
      <c r="A66" s="10" t="str">
        <f>IF(58&gt;$C$9008,"",INDEX($B$9:$B$9008,MATCH(58,$C$9:$C$9008,0)))</f>
        <v/>
      </c>
      <c r="B66" s="9" t="str">
        <f>IFERROR(INDEX(Input!$L$20:$T$1019,INT((ROW()-9)/9)+1,MOD(ROW()-9,9)+1),"")</f>
        <v/>
      </c>
      <c r="C66" s="9">
        <f t="shared" si="0"/>
        <v>0</v>
      </c>
    </row>
    <row r="67" spans="1:3" x14ac:dyDescent="0.2">
      <c r="A67" s="10" t="str">
        <f>IF(59&gt;$C$9008,"",INDEX($B$9:$B$9008,MATCH(59,$C$9:$C$9008,0)))</f>
        <v/>
      </c>
      <c r="B67" s="9" t="str">
        <f>IFERROR(INDEX(Input!$L$20:$T$1019,INT((ROW()-9)/9)+1,MOD(ROW()-9,9)+1),"")</f>
        <v/>
      </c>
      <c r="C67" s="9">
        <f t="shared" si="0"/>
        <v>0</v>
      </c>
    </row>
    <row r="68" spans="1:3" x14ac:dyDescent="0.2">
      <c r="A68" s="10" t="str">
        <f>IF(60&gt;$C$9008,"",INDEX($B$9:$B$9008,MATCH(60,$C$9:$C$9008,0)))</f>
        <v/>
      </c>
      <c r="B68" s="9" t="str">
        <f>IFERROR(INDEX(Input!$L$20:$T$1019,INT((ROW()-9)/9)+1,MOD(ROW()-9,9)+1),"")</f>
        <v/>
      </c>
      <c r="C68" s="9">
        <f t="shared" si="0"/>
        <v>0</v>
      </c>
    </row>
    <row r="69" spans="1:3" x14ac:dyDescent="0.2">
      <c r="A69" s="10" t="str">
        <f>IF(61&gt;$C$9008,"",INDEX($B$9:$B$9008,MATCH(61,$C$9:$C$9008,0)))</f>
        <v/>
      </c>
      <c r="B69" s="9" t="str">
        <f>IFERROR(INDEX(Input!$L$20:$T$1019,INT((ROW()-9)/9)+1,MOD(ROW()-9,9)+1),"")</f>
        <v/>
      </c>
      <c r="C69" s="9">
        <f t="shared" si="0"/>
        <v>0</v>
      </c>
    </row>
    <row r="70" spans="1:3" x14ac:dyDescent="0.2">
      <c r="A70" s="10" t="str">
        <f>IF(62&gt;$C$9008,"",INDEX($B$9:$B$9008,MATCH(62,$C$9:$C$9008,0)))</f>
        <v/>
      </c>
      <c r="B70" s="9" t="str">
        <f>IFERROR(INDEX(Input!$L$20:$T$1019,INT((ROW()-9)/9)+1,MOD(ROW()-9,9)+1),"")</f>
        <v/>
      </c>
      <c r="C70" s="9">
        <f t="shared" si="0"/>
        <v>0</v>
      </c>
    </row>
    <row r="71" spans="1:3" x14ac:dyDescent="0.2">
      <c r="A71" s="10" t="str">
        <f>IF(63&gt;$C$9008,"",INDEX($B$9:$B$9008,MATCH(63,$C$9:$C$9008,0)))</f>
        <v/>
      </c>
      <c r="B71" s="9" t="str">
        <f>IFERROR(INDEX(Input!$L$20:$T$1019,INT((ROW()-9)/9)+1,MOD(ROW()-9,9)+1),"")</f>
        <v/>
      </c>
      <c r="C71" s="9">
        <f t="shared" si="0"/>
        <v>0</v>
      </c>
    </row>
    <row r="72" spans="1:3" x14ac:dyDescent="0.2">
      <c r="A72" s="10" t="str">
        <f>IF(64&gt;$C$9008,"",INDEX($B$9:$B$9008,MATCH(64,$C$9:$C$9008,0)))</f>
        <v/>
      </c>
      <c r="B72" s="9" t="str">
        <f>IFERROR(INDEX(Input!$L$20:$T$1019,INT((ROW()-9)/9)+1,MOD(ROW()-9,9)+1),"")</f>
        <v/>
      </c>
      <c r="C72" s="9">
        <f t="shared" si="0"/>
        <v>0</v>
      </c>
    </row>
    <row r="73" spans="1:3" x14ac:dyDescent="0.2">
      <c r="A73" s="10" t="str">
        <f>IF(65&gt;$C$9008,"",INDEX($B$9:$B$9008,MATCH(65,$C$9:$C$9008,0)))</f>
        <v/>
      </c>
      <c r="B73" s="9" t="str">
        <f>IFERROR(INDEX(Input!$L$20:$T$1019,INT((ROW()-9)/9)+1,MOD(ROW()-9,9)+1),"")</f>
        <v/>
      </c>
      <c r="C73" s="9">
        <f t="shared" ref="C73:C136" si="1">$C72+IF($B73&lt;&gt;"",1,0)</f>
        <v>0</v>
      </c>
    </row>
    <row r="74" spans="1:3" x14ac:dyDescent="0.2">
      <c r="A74" s="10" t="str">
        <f>IF(66&gt;$C$9008,"",INDEX($B$9:$B$9008,MATCH(66,$C$9:$C$9008,0)))</f>
        <v/>
      </c>
      <c r="B74" s="9" t="str">
        <f>IFERROR(INDEX(Input!$L$20:$T$1019,INT((ROW()-9)/9)+1,MOD(ROW()-9,9)+1),"")</f>
        <v/>
      </c>
      <c r="C74" s="9">
        <f t="shared" si="1"/>
        <v>0</v>
      </c>
    </row>
    <row r="75" spans="1:3" x14ac:dyDescent="0.2">
      <c r="A75" s="10" t="str">
        <f>IF(67&gt;$C$9008,"",INDEX($B$9:$B$9008,MATCH(67,$C$9:$C$9008,0)))</f>
        <v/>
      </c>
      <c r="B75" s="9" t="str">
        <f>IFERROR(INDEX(Input!$L$20:$T$1019,INT((ROW()-9)/9)+1,MOD(ROW()-9,9)+1),"")</f>
        <v/>
      </c>
      <c r="C75" s="9">
        <f t="shared" si="1"/>
        <v>0</v>
      </c>
    </row>
    <row r="76" spans="1:3" x14ac:dyDescent="0.2">
      <c r="A76" s="10" t="str">
        <f>IF(68&gt;$C$9008,"",INDEX($B$9:$B$9008,MATCH(68,$C$9:$C$9008,0)))</f>
        <v/>
      </c>
      <c r="B76" s="9" t="str">
        <f>IFERROR(INDEX(Input!$L$20:$T$1019,INT((ROW()-9)/9)+1,MOD(ROW()-9,9)+1),"")</f>
        <v/>
      </c>
      <c r="C76" s="9">
        <f t="shared" si="1"/>
        <v>0</v>
      </c>
    </row>
    <row r="77" spans="1:3" x14ac:dyDescent="0.2">
      <c r="A77" s="10" t="str">
        <f>IF(69&gt;$C$9008,"",INDEX($B$9:$B$9008,MATCH(69,$C$9:$C$9008,0)))</f>
        <v/>
      </c>
      <c r="B77" s="9" t="str">
        <f>IFERROR(INDEX(Input!$L$20:$T$1019,INT((ROW()-9)/9)+1,MOD(ROW()-9,9)+1),"")</f>
        <v/>
      </c>
      <c r="C77" s="9">
        <f t="shared" si="1"/>
        <v>0</v>
      </c>
    </row>
    <row r="78" spans="1:3" x14ac:dyDescent="0.2">
      <c r="A78" s="10" t="str">
        <f>IF(70&gt;$C$9008,"",INDEX($B$9:$B$9008,MATCH(70,$C$9:$C$9008,0)))</f>
        <v/>
      </c>
      <c r="B78" s="9" t="str">
        <f>IFERROR(INDEX(Input!$L$20:$T$1019,INT((ROW()-9)/9)+1,MOD(ROW()-9,9)+1),"")</f>
        <v/>
      </c>
      <c r="C78" s="9">
        <f t="shared" si="1"/>
        <v>0</v>
      </c>
    </row>
    <row r="79" spans="1:3" x14ac:dyDescent="0.2">
      <c r="A79" s="10" t="str">
        <f>IF(71&gt;$C$9008,"",INDEX($B$9:$B$9008,MATCH(71,$C$9:$C$9008,0)))</f>
        <v/>
      </c>
      <c r="B79" s="9" t="str">
        <f>IFERROR(INDEX(Input!$L$20:$T$1019,INT((ROW()-9)/9)+1,MOD(ROW()-9,9)+1),"")</f>
        <v/>
      </c>
      <c r="C79" s="9">
        <f t="shared" si="1"/>
        <v>0</v>
      </c>
    </row>
    <row r="80" spans="1:3" x14ac:dyDescent="0.2">
      <c r="A80" s="10" t="str">
        <f>IF(72&gt;$C$9008,"",INDEX($B$9:$B$9008,MATCH(72,$C$9:$C$9008,0)))</f>
        <v/>
      </c>
      <c r="B80" s="9" t="str">
        <f>IFERROR(INDEX(Input!$L$20:$T$1019,INT((ROW()-9)/9)+1,MOD(ROW()-9,9)+1),"")</f>
        <v/>
      </c>
      <c r="C80" s="9">
        <f t="shared" si="1"/>
        <v>0</v>
      </c>
    </row>
    <row r="81" spans="1:3" x14ac:dyDescent="0.2">
      <c r="A81" s="10" t="str">
        <f>IF(73&gt;$C$9008,"",INDEX($B$9:$B$9008,MATCH(73,$C$9:$C$9008,0)))</f>
        <v/>
      </c>
      <c r="B81" s="9" t="str">
        <f>IFERROR(INDEX(Input!$L$20:$T$1019,INT((ROW()-9)/9)+1,MOD(ROW()-9,9)+1),"")</f>
        <v/>
      </c>
      <c r="C81" s="9">
        <f t="shared" si="1"/>
        <v>0</v>
      </c>
    </row>
    <row r="82" spans="1:3" x14ac:dyDescent="0.2">
      <c r="A82" s="10" t="str">
        <f>IF(74&gt;$C$9008,"",INDEX($B$9:$B$9008,MATCH(74,$C$9:$C$9008,0)))</f>
        <v/>
      </c>
      <c r="B82" s="9" t="str">
        <f>IFERROR(INDEX(Input!$L$20:$T$1019,INT((ROW()-9)/9)+1,MOD(ROW()-9,9)+1),"")</f>
        <v/>
      </c>
      <c r="C82" s="9">
        <f t="shared" si="1"/>
        <v>0</v>
      </c>
    </row>
    <row r="83" spans="1:3" x14ac:dyDescent="0.2">
      <c r="A83" s="10" t="str">
        <f>IF(75&gt;$C$9008,"",INDEX($B$9:$B$9008,MATCH(75,$C$9:$C$9008,0)))</f>
        <v/>
      </c>
      <c r="B83" s="9" t="str">
        <f>IFERROR(INDEX(Input!$L$20:$T$1019,INT((ROW()-9)/9)+1,MOD(ROW()-9,9)+1),"")</f>
        <v/>
      </c>
      <c r="C83" s="9">
        <f t="shared" si="1"/>
        <v>0</v>
      </c>
    </row>
    <row r="84" spans="1:3" x14ac:dyDescent="0.2">
      <c r="A84" s="10" t="str">
        <f>IF(76&gt;$C$9008,"",INDEX($B$9:$B$9008,MATCH(76,$C$9:$C$9008,0)))</f>
        <v/>
      </c>
      <c r="B84" s="9" t="str">
        <f>IFERROR(INDEX(Input!$L$20:$T$1019,INT((ROW()-9)/9)+1,MOD(ROW()-9,9)+1),"")</f>
        <v/>
      </c>
      <c r="C84" s="9">
        <f t="shared" si="1"/>
        <v>0</v>
      </c>
    </row>
    <row r="85" spans="1:3" x14ac:dyDescent="0.2">
      <c r="A85" s="10" t="str">
        <f>IF(77&gt;$C$9008,"",INDEX($B$9:$B$9008,MATCH(77,$C$9:$C$9008,0)))</f>
        <v/>
      </c>
      <c r="B85" s="9" t="str">
        <f>IFERROR(INDEX(Input!$L$20:$T$1019,INT((ROW()-9)/9)+1,MOD(ROW()-9,9)+1),"")</f>
        <v/>
      </c>
      <c r="C85" s="9">
        <f t="shared" si="1"/>
        <v>0</v>
      </c>
    </row>
    <row r="86" spans="1:3" x14ac:dyDescent="0.2">
      <c r="A86" s="10" t="str">
        <f>IF(78&gt;$C$9008,"",INDEX($B$9:$B$9008,MATCH(78,$C$9:$C$9008,0)))</f>
        <v/>
      </c>
      <c r="B86" s="9" t="str">
        <f>IFERROR(INDEX(Input!$L$20:$T$1019,INT((ROW()-9)/9)+1,MOD(ROW()-9,9)+1),"")</f>
        <v/>
      </c>
      <c r="C86" s="9">
        <f t="shared" si="1"/>
        <v>0</v>
      </c>
    </row>
    <row r="87" spans="1:3" x14ac:dyDescent="0.2">
      <c r="A87" s="10" t="str">
        <f>IF(79&gt;$C$9008,"",INDEX($B$9:$B$9008,MATCH(79,$C$9:$C$9008,0)))</f>
        <v/>
      </c>
      <c r="B87" s="9" t="str">
        <f>IFERROR(INDEX(Input!$L$20:$T$1019,INT((ROW()-9)/9)+1,MOD(ROW()-9,9)+1),"")</f>
        <v/>
      </c>
      <c r="C87" s="9">
        <f t="shared" si="1"/>
        <v>0</v>
      </c>
    </row>
    <row r="88" spans="1:3" x14ac:dyDescent="0.2">
      <c r="A88" s="10" t="str">
        <f>IF(80&gt;$C$9008,"",INDEX($B$9:$B$9008,MATCH(80,$C$9:$C$9008,0)))</f>
        <v/>
      </c>
      <c r="B88" s="9" t="str">
        <f>IFERROR(INDEX(Input!$L$20:$T$1019,INT((ROW()-9)/9)+1,MOD(ROW()-9,9)+1),"")</f>
        <v/>
      </c>
      <c r="C88" s="9">
        <f t="shared" si="1"/>
        <v>0</v>
      </c>
    </row>
    <row r="89" spans="1:3" x14ac:dyDescent="0.2">
      <c r="A89" s="10" t="str">
        <f>IF(81&gt;$C$9008,"",INDEX($B$9:$B$9008,MATCH(81,$C$9:$C$9008,0)))</f>
        <v/>
      </c>
      <c r="B89" s="9" t="str">
        <f>IFERROR(INDEX(Input!$L$20:$T$1019,INT((ROW()-9)/9)+1,MOD(ROW()-9,9)+1),"")</f>
        <v/>
      </c>
      <c r="C89" s="9">
        <f t="shared" si="1"/>
        <v>0</v>
      </c>
    </row>
    <row r="90" spans="1:3" x14ac:dyDescent="0.2">
      <c r="A90" s="10" t="str">
        <f>IF(82&gt;$C$9008,"",INDEX($B$9:$B$9008,MATCH(82,$C$9:$C$9008,0)))</f>
        <v/>
      </c>
      <c r="B90" s="9" t="str">
        <f>IFERROR(INDEX(Input!$L$20:$T$1019,INT((ROW()-9)/9)+1,MOD(ROW()-9,9)+1),"")</f>
        <v/>
      </c>
      <c r="C90" s="9">
        <f t="shared" si="1"/>
        <v>0</v>
      </c>
    </row>
    <row r="91" spans="1:3" x14ac:dyDescent="0.2">
      <c r="A91" s="10" t="str">
        <f>IF(83&gt;$C$9008,"",INDEX($B$9:$B$9008,MATCH(83,$C$9:$C$9008,0)))</f>
        <v/>
      </c>
      <c r="B91" s="9" t="str">
        <f>IFERROR(INDEX(Input!$L$20:$T$1019,INT((ROW()-9)/9)+1,MOD(ROW()-9,9)+1),"")</f>
        <v/>
      </c>
      <c r="C91" s="9">
        <f t="shared" si="1"/>
        <v>0</v>
      </c>
    </row>
    <row r="92" spans="1:3" x14ac:dyDescent="0.2">
      <c r="A92" s="10" t="str">
        <f>IF(84&gt;$C$9008,"",INDEX($B$9:$B$9008,MATCH(84,$C$9:$C$9008,0)))</f>
        <v/>
      </c>
      <c r="B92" s="9" t="str">
        <f>IFERROR(INDEX(Input!$L$20:$T$1019,INT((ROW()-9)/9)+1,MOD(ROW()-9,9)+1),"")</f>
        <v/>
      </c>
      <c r="C92" s="9">
        <f t="shared" si="1"/>
        <v>0</v>
      </c>
    </row>
    <row r="93" spans="1:3" x14ac:dyDescent="0.2">
      <c r="A93" s="10" t="str">
        <f>IF(85&gt;$C$9008,"",INDEX($B$9:$B$9008,MATCH(85,$C$9:$C$9008,0)))</f>
        <v/>
      </c>
      <c r="B93" s="9" t="str">
        <f>IFERROR(INDEX(Input!$L$20:$T$1019,INT((ROW()-9)/9)+1,MOD(ROW()-9,9)+1),"")</f>
        <v/>
      </c>
      <c r="C93" s="9">
        <f t="shared" si="1"/>
        <v>0</v>
      </c>
    </row>
    <row r="94" spans="1:3" x14ac:dyDescent="0.2">
      <c r="A94" s="10" t="str">
        <f>IF(86&gt;$C$9008,"",INDEX($B$9:$B$9008,MATCH(86,$C$9:$C$9008,0)))</f>
        <v/>
      </c>
      <c r="B94" s="9" t="str">
        <f>IFERROR(INDEX(Input!$L$20:$T$1019,INT((ROW()-9)/9)+1,MOD(ROW()-9,9)+1),"")</f>
        <v/>
      </c>
      <c r="C94" s="9">
        <f t="shared" si="1"/>
        <v>0</v>
      </c>
    </row>
    <row r="95" spans="1:3" x14ac:dyDescent="0.2">
      <c r="A95" s="10" t="str">
        <f>IF(87&gt;$C$9008,"",INDEX($B$9:$B$9008,MATCH(87,$C$9:$C$9008,0)))</f>
        <v/>
      </c>
      <c r="B95" s="9" t="str">
        <f>IFERROR(INDEX(Input!$L$20:$T$1019,INT((ROW()-9)/9)+1,MOD(ROW()-9,9)+1),"")</f>
        <v/>
      </c>
      <c r="C95" s="9">
        <f t="shared" si="1"/>
        <v>0</v>
      </c>
    </row>
    <row r="96" spans="1:3" x14ac:dyDescent="0.2">
      <c r="A96" s="10" t="str">
        <f>IF(88&gt;$C$9008,"",INDEX($B$9:$B$9008,MATCH(88,$C$9:$C$9008,0)))</f>
        <v/>
      </c>
      <c r="B96" s="9" t="str">
        <f>IFERROR(INDEX(Input!$L$20:$T$1019,INT((ROW()-9)/9)+1,MOD(ROW()-9,9)+1),"")</f>
        <v/>
      </c>
      <c r="C96" s="9">
        <f t="shared" si="1"/>
        <v>0</v>
      </c>
    </row>
    <row r="97" spans="1:3" x14ac:dyDescent="0.2">
      <c r="A97" s="10" t="str">
        <f>IF(89&gt;$C$9008,"",INDEX($B$9:$B$9008,MATCH(89,$C$9:$C$9008,0)))</f>
        <v/>
      </c>
      <c r="B97" s="9" t="str">
        <f>IFERROR(INDEX(Input!$L$20:$T$1019,INT((ROW()-9)/9)+1,MOD(ROW()-9,9)+1),"")</f>
        <v/>
      </c>
      <c r="C97" s="9">
        <f t="shared" si="1"/>
        <v>0</v>
      </c>
    </row>
    <row r="98" spans="1:3" x14ac:dyDescent="0.2">
      <c r="A98" s="10" t="str">
        <f>IF(90&gt;$C$9008,"",INDEX($B$9:$B$9008,MATCH(90,$C$9:$C$9008,0)))</f>
        <v/>
      </c>
      <c r="B98" s="9" t="str">
        <f>IFERROR(INDEX(Input!$L$20:$T$1019,INT((ROW()-9)/9)+1,MOD(ROW()-9,9)+1),"")</f>
        <v/>
      </c>
      <c r="C98" s="9">
        <f t="shared" si="1"/>
        <v>0</v>
      </c>
    </row>
    <row r="99" spans="1:3" x14ac:dyDescent="0.2">
      <c r="A99" s="10" t="str">
        <f>IF(91&gt;$C$9008,"",INDEX($B$9:$B$9008,MATCH(91,$C$9:$C$9008,0)))</f>
        <v/>
      </c>
      <c r="B99" s="9" t="str">
        <f>IFERROR(INDEX(Input!$L$20:$T$1019,INT((ROW()-9)/9)+1,MOD(ROW()-9,9)+1),"")</f>
        <v/>
      </c>
      <c r="C99" s="9">
        <f t="shared" si="1"/>
        <v>0</v>
      </c>
    </row>
    <row r="100" spans="1:3" x14ac:dyDescent="0.2">
      <c r="A100" s="10" t="str">
        <f>IF(92&gt;$C$9008,"",INDEX($B$9:$B$9008,MATCH(92,$C$9:$C$9008,0)))</f>
        <v/>
      </c>
      <c r="B100" s="9" t="str">
        <f>IFERROR(INDEX(Input!$L$20:$T$1019,INT((ROW()-9)/9)+1,MOD(ROW()-9,9)+1),"")</f>
        <v/>
      </c>
      <c r="C100" s="9">
        <f t="shared" si="1"/>
        <v>0</v>
      </c>
    </row>
    <row r="101" spans="1:3" x14ac:dyDescent="0.2">
      <c r="A101" s="10" t="str">
        <f>IF(93&gt;$C$9008,"",INDEX($B$9:$B$9008,MATCH(93,$C$9:$C$9008,0)))</f>
        <v/>
      </c>
      <c r="B101" s="9" t="str">
        <f>IFERROR(INDEX(Input!$L$20:$T$1019,INT((ROW()-9)/9)+1,MOD(ROW()-9,9)+1),"")</f>
        <v/>
      </c>
      <c r="C101" s="9">
        <f t="shared" si="1"/>
        <v>0</v>
      </c>
    </row>
    <row r="102" spans="1:3" x14ac:dyDescent="0.2">
      <c r="A102" s="10" t="str">
        <f>IF(94&gt;$C$9008,"",INDEX($B$9:$B$9008,MATCH(94,$C$9:$C$9008,0)))</f>
        <v/>
      </c>
      <c r="B102" s="9" t="str">
        <f>IFERROR(INDEX(Input!$L$20:$T$1019,INT((ROW()-9)/9)+1,MOD(ROW()-9,9)+1),"")</f>
        <v/>
      </c>
      <c r="C102" s="9">
        <f t="shared" si="1"/>
        <v>0</v>
      </c>
    </row>
    <row r="103" spans="1:3" x14ac:dyDescent="0.2">
      <c r="A103" s="10" t="str">
        <f>IF(95&gt;$C$9008,"",INDEX($B$9:$B$9008,MATCH(95,$C$9:$C$9008,0)))</f>
        <v/>
      </c>
      <c r="B103" s="9" t="str">
        <f>IFERROR(INDEX(Input!$L$20:$T$1019,INT((ROW()-9)/9)+1,MOD(ROW()-9,9)+1),"")</f>
        <v/>
      </c>
      <c r="C103" s="9">
        <f t="shared" si="1"/>
        <v>0</v>
      </c>
    </row>
    <row r="104" spans="1:3" x14ac:dyDescent="0.2">
      <c r="A104" s="10" t="str">
        <f>IF(96&gt;$C$9008,"",INDEX($B$9:$B$9008,MATCH(96,$C$9:$C$9008,0)))</f>
        <v/>
      </c>
      <c r="B104" s="9" t="str">
        <f>IFERROR(INDEX(Input!$L$20:$T$1019,INT((ROW()-9)/9)+1,MOD(ROW()-9,9)+1),"")</f>
        <v/>
      </c>
      <c r="C104" s="9">
        <f t="shared" si="1"/>
        <v>0</v>
      </c>
    </row>
    <row r="105" spans="1:3" x14ac:dyDescent="0.2">
      <c r="A105" s="10" t="str">
        <f>IF(97&gt;$C$9008,"",INDEX($B$9:$B$9008,MATCH(97,$C$9:$C$9008,0)))</f>
        <v/>
      </c>
      <c r="B105" s="9" t="str">
        <f>IFERROR(INDEX(Input!$L$20:$T$1019,INT((ROW()-9)/9)+1,MOD(ROW()-9,9)+1),"")</f>
        <v/>
      </c>
      <c r="C105" s="9">
        <f t="shared" si="1"/>
        <v>0</v>
      </c>
    </row>
    <row r="106" spans="1:3" x14ac:dyDescent="0.2">
      <c r="A106" s="10" t="str">
        <f>IF(98&gt;$C$9008,"",INDEX($B$9:$B$9008,MATCH(98,$C$9:$C$9008,0)))</f>
        <v/>
      </c>
      <c r="B106" s="9" t="str">
        <f>IFERROR(INDEX(Input!$L$20:$T$1019,INT((ROW()-9)/9)+1,MOD(ROW()-9,9)+1),"")</f>
        <v/>
      </c>
      <c r="C106" s="9">
        <f t="shared" si="1"/>
        <v>0</v>
      </c>
    </row>
    <row r="107" spans="1:3" x14ac:dyDescent="0.2">
      <c r="A107" s="10" t="str">
        <f>IF(99&gt;$C$9008,"",INDEX($B$9:$B$9008,MATCH(99,$C$9:$C$9008,0)))</f>
        <v/>
      </c>
      <c r="B107" s="9" t="str">
        <f>IFERROR(INDEX(Input!$L$20:$T$1019,INT((ROW()-9)/9)+1,MOD(ROW()-9,9)+1),"")</f>
        <v/>
      </c>
      <c r="C107" s="9">
        <f t="shared" si="1"/>
        <v>0</v>
      </c>
    </row>
    <row r="108" spans="1:3" x14ac:dyDescent="0.2">
      <c r="A108" s="10" t="str">
        <f>IF(100&gt;$C$9008,"",INDEX($B$9:$B$9008,MATCH(100,$C$9:$C$9008,0)))</f>
        <v/>
      </c>
      <c r="B108" s="9" t="str">
        <f>IFERROR(INDEX(Input!$L$20:$T$1019,INT((ROW()-9)/9)+1,MOD(ROW()-9,9)+1),"")</f>
        <v/>
      </c>
      <c r="C108" s="9">
        <f t="shared" si="1"/>
        <v>0</v>
      </c>
    </row>
    <row r="109" spans="1:3" x14ac:dyDescent="0.2">
      <c r="A109" s="10" t="str">
        <f>IF(101&gt;$C$9008,"",INDEX($B$9:$B$9008,MATCH(101,$C$9:$C$9008,0)))</f>
        <v/>
      </c>
      <c r="B109" s="9" t="str">
        <f>IFERROR(INDEX(Input!$L$20:$T$1019,INT((ROW()-9)/9)+1,MOD(ROW()-9,9)+1),"")</f>
        <v/>
      </c>
      <c r="C109" s="9">
        <f t="shared" si="1"/>
        <v>0</v>
      </c>
    </row>
    <row r="110" spans="1:3" x14ac:dyDescent="0.2">
      <c r="A110" s="10" t="str">
        <f>IF(102&gt;$C$9008,"",INDEX($B$9:$B$9008,MATCH(102,$C$9:$C$9008,0)))</f>
        <v/>
      </c>
      <c r="B110" s="9" t="str">
        <f>IFERROR(INDEX(Input!$L$20:$T$1019,INT((ROW()-9)/9)+1,MOD(ROW()-9,9)+1),"")</f>
        <v/>
      </c>
      <c r="C110" s="9">
        <f t="shared" si="1"/>
        <v>0</v>
      </c>
    </row>
    <row r="111" spans="1:3" x14ac:dyDescent="0.2">
      <c r="A111" s="10" t="str">
        <f>IF(103&gt;$C$9008,"",INDEX($B$9:$B$9008,MATCH(103,$C$9:$C$9008,0)))</f>
        <v/>
      </c>
      <c r="B111" s="9" t="str">
        <f>IFERROR(INDEX(Input!$L$20:$T$1019,INT((ROW()-9)/9)+1,MOD(ROW()-9,9)+1),"")</f>
        <v/>
      </c>
      <c r="C111" s="9">
        <f t="shared" si="1"/>
        <v>0</v>
      </c>
    </row>
    <row r="112" spans="1:3" x14ac:dyDescent="0.2">
      <c r="A112" s="10" t="str">
        <f>IF(104&gt;$C$9008,"",INDEX($B$9:$B$9008,MATCH(104,$C$9:$C$9008,0)))</f>
        <v/>
      </c>
      <c r="B112" s="9" t="str">
        <f>IFERROR(INDEX(Input!$L$20:$T$1019,INT((ROW()-9)/9)+1,MOD(ROW()-9,9)+1),"")</f>
        <v/>
      </c>
      <c r="C112" s="9">
        <f t="shared" si="1"/>
        <v>0</v>
      </c>
    </row>
    <row r="113" spans="1:3" x14ac:dyDescent="0.2">
      <c r="A113" s="10" t="str">
        <f>IF(105&gt;$C$9008,"",INDEX($B$9:$B$9008,MATCH(105,$C$9:$C$9008,0)))</f>
        <v/>
      </c>
      <c r="B113" s="9" t="str">
        <f>IFERROR(INDEX(Input!$L$20:$T$1019,INT((ROW()-9)/9)+1,MOD(ROW()-9,9)+1),"")</f>
        <v/>
      </c>
      <c r="C113" s="9">
        <f t="shared" si="1"/>
        <v>0</v>
      </c>
    </row>
    <row r="114" spans="1:3" x14ac:dyDescent="0.2">
      <c r="A114" s="10" t="str">
        <f>IF(106&gt;$C$9008,"",INDEX($B$9:$B$9008,MATCH(106,$C$9:$C$9008,0)))</f>
        <v/>
      </c>
      <c r="B114" s="9" t="str">
        <f>IFERROR(INDEX(Input!$L$20:$T$1019,INT((ROW()-9)/9)+1,MOD(ROW()-9,9)+1),"")</f>
        <v/>
      </c>
      <c r="C114" s="9">
        <f t="shared" si="1"/>
        <v>0</v>
      </c>
    </row>
    <row r="115" spans="1:3" x14ac:dyDescent="0.2">
      <c r="A115" s="10" t="str">
        <f>IF(107&gt;$C$9008,"",INDEX($B$9:$B$9008,MATCH(107,$C$9:$C$9008,0)))</f>
        <v/>
      </c>
      <c r="B115" s="9" t="str">
        <f>IFERROR(INDEX(Input!$L$20:$T$1019,INT((ROW()-9)/9)+1,MOD(ROW()-9,9)+1),"")</f>
        <v/>
      </c>
      <c r="C115" s="9">
        <f t="shared" si="1"/>
        <v>0</v>
      </c>
    </row>
    <row r="116" spans="1:3" x14ac:dyDescent="0.2">
      <c r="A116" s="10" t="str">
        <f>IF(108&gt;$C$9008,"",INDEX($B$9:$B$9008,MATCH(108,$C$9:$C$9008,0)))</f>
        <v/>
      </c>
      <c r="B116" s="9" t="str">
        <f>IFERROR(INDEX(Input!$L$20:$T$1019,INT((ROW()-9)/9)+1,MOD(ROW()-9,9)+1),"")</f>
        <v/>
      </c>
      <c r="C116" s="9">
        <f t="shared" si="1"/>
        <v>0</v>
      </c>
    </row>
    <row r="117" spans="1:3" x14ac:dyDescent="0.2">
      <c r="A117" s="10" t="str">
        <f>IF(109&gt;$C$9008,"",INDEX($B$9:$B$9008,MATCH(109,$C$9:$C$9008,0)))</f>
        <v/>
      </c>
      <c r="B117" s="9" t="str">
        <f>IFERROR(INDEX(Input!$L$20:$T$1019,INT((ROW()-9)/9)+1,MOD(ROW()-9,9)+1),"")</f>
        <v/>
      </c>
      <c r="C117" s="9">
        <f t="shared" si="1"/>
        <v>0</v>
      </c>
    </row>
    <row r="118" spans="1:3" x14ac:dyDescent="0.2">
      <c r="A118" s="10" t="str">
        <f>IF(110&gt;$C$9008,"",INDEX($B$9:$B$9008,MATCH(110,$C$9:$C$9008,0)))</f>
        <v/>
      </c>
      <c r="B118" s="9" t="str">
        <f>IFERROR(INDEX(Input!$L$20:$T$1019,INT((ROW()-9)/9)+1,MOD(ROW()-9,9)+1),"")</f>
        <v/>
      </c>
      <c r="C118" s="9">
        <f t="shared" si="1"/>
        <v>0</v>
      </c>
    </row>
    <row r="119" spans="1:3" x14ac:dyDescent="0.2">
      <c r="A119" s="10" t="str">
        <f>IF(111&gt;$C$9008,"",INDEX($B$9:$B$9008,MATCH(111,$C$9:$C$9008,0)))</f>
        <v/>
      </c>
      <c r="B119" s="9" t="str">
        <f>IFERROR(INDEX(Input!$L$20:$T$1019,INT((ROW()-9)/9)+1,MOD(ROW()-9,9)+1),"")</f>
        <v/>
      </c>
      <c r="C119" s="9">
        <f t="shared" si="1"/>
        <v>0</v>
      </c>
    </row>
    <row r="120" spans="1:3" x14ac:dyDescent="0.2">
      <c r="A120" s="10" t="str">
        <f>IF(112&gt;$C$9008,"",INDEX($B$9:$B$9008,MATCH(112,$C$9:$C$9008,0)))</f>
        <v/>
      </c>
      <c r="B120" s="9" t="str">
        <f>IFERROR(INDEX(Input!$L$20:$T$1019,INT((ROW()-9)/9)+1,MOD(ROW()-9,9)+1),"")</f>
        <v/>
      </c>
      <c r="C120" s="9">
        <f t="shared" si="1"/>
        <v>0</v>
      </c>
    </row>
    <row r="121" spans="1:3" x14ac:dyDescent="0.2">
      <c r="A121" s="10" t="str">
        <f>IF(113&gt;$C$9008,"",INDEX($B$9:$B$9008,MATCH(113,$C$9:$C$9008,0)))</f>
        <v/>
      </c>
      <c r="B121" s="9" t="str">
        <f>IFERROR(INDEX(Input!$L$20:$T$1019,INT((ROW()-9)/9)+1,MOD(ROW()-9,9)+1),"")</f>
        <v/>
      </c>
      <c r="C121" s="9">
        <f t="shared" si="1"/>
        <v>0</v>
      </c>
    </row>
    <row r="122" spans="1:3" x14ac:dyDescent="0.2">
      <c r="A122" s="10" t="str">
        <f>IF(114&gt;$C$9008,"",INDEX($B$9:$B$9008,MATCH(114,$C$9:$C$9008,0)))</f>
        <v/>
      </c>
      <c r="B122" s="9" t="str">
        <f>IFERROR(INDEX(Input!$L$20:$T$1019,INT((ROW()-9)/9)+1,MOD(ROW()-9,9)+1),"")</f>
        <v/>
      </c>
      <c r="C122" s="9">
        <f t="shared" si="1"/>
        <v>0</v>
      </c>
    </row>
    <row r="123" spans="1:3" x14ac:dyDescent="0.2">
      <c r="A123" s="10" t="str">
        <f>IF(115&gt;$C$9008,"",INDEX($B$9:$B$9008,MATCH(115,$C$9:$C$9008,0)))</f>
        <v/>
      </c>
      <c r="B123" s="9" t="str">
        <f>IFERROR(INDEX(Input!$L$20:$T$1019,INT((ROW()-9)/9)+1,MOD(ROW()-9,9)+1),"")</f>
        <v/>
      </c>
      <c r="C123" s="9">
        <f t="shared" si="1"/>
        <v>0</v>
      </c>
    </row>
    <row r="124" spans="1:3" x14ac:dyDescent="0.2">
      <c r="A124" s="10" t="str">
        <f>IF(116&gt;$C$9008,"",INDEX($B$9:$B$9008,MATCH(116,$C$9:$C$9008,0)))</f>
        <v/>
      </c>
      <c r="B124" s="9" t="str">
        <f>IFERROR(INDEX(Input!$L$20:$T$1019,INT((ROW()-9)/9)+1,MOD(ROW()-9,9)+1),"")</f>
        <v/>
      </c>
      <c r="C124" s="9">
        <f t="shared" si="1"/>
        <v>0</v>
      </c>
    </row>
    <row r="125" spans="1:3" x14ac:dyDescent="0.2">
      <c r="A125" s="10" t="str">
        <f>IF(117&gt;$C$9008,"",INDEX($B$9:$B$9008,MATCH(117,$C$9:$C$9008,0)))</f>
        <v/>
      </c>
      <c r="B125" s="9" t="str">
        <f>IFERROR(INDEX(Input!$L$20:$T$1019,INT((ROW()-9)/9)+1,MOD(ROW()-9,9)+1),"")</f>
        <v/>
      </c>
      <c r="C125" s="9">
        <f t="shared" si="1"/>
        <v>0</v>
      </c>
    </row>
    <row r="126" spans="1:3" x14ac:dyDescent="0.2">
      <c r="A126" s="10" t="str">
        <f>IF(118&gt;$C$9008,"",INDEX($B$9:$B$9008,MATCH(118,$C$9:$C$9008,0)))</f>
        <v/>
      </c>
      <c r="B126" s="9" t="str">
        <f>IFERROR(INDEX(Input!$L$20:$T$1019,INT((ROW()-9)/9)+1,MOD(ROW()-9,9)+1),"")</f>
        <v/>
      </c>
      <c r="C126" s="9">
        <f t="shared" si="1"/>
        <v>0</v>
      </c>
    </row>
    <row r="127" spans="1:3" x14ac:dyDescent="0.2">
      <c r="A127" s="10" t="str">
        <f>IF(119&gt;$C$9008,"",INDEX($B$9:$B$9008,MATCH(119,$C$9:$C$9008,0)))</f>
        <v/>
      </c>
      <c r="B127" s="9" t="str">
        <f>IFERROR(INDEX(Input!$L$20:$T$1019,INT((ROW()-9)/9)+1,MOD(ROW()-9,9)+1),"")</f>
        <v/>
      </c>
      <c r="C127" s="9">
        <f t="shared" si="1"/>
        <v>0</v>
      </c>
    </row>
    <row r="128" spans="1:3" x14ac:dyDescent="0.2">
      <c r="A128" s="10" t="str">
        <f>IF(120&gt;$C$9008,"",INDEX($B$9:$B$9008,MATCH(120,$C$9:$C$9008,0)))</f>
        <v/>
      </c>
      <c r="B128" s="9" t="str">
        <f>IFERROR(INDEX(Input!$L$20:$T$1019,INT((ROW()-9)/9)+1,MOD(ROW()-9,9)+1),"")</f>
        <v/>
      </c>
      <c r="C128" s="9">
        <f t="shared" si="1"/>
        <v>0</v>
      </c>
    </row>
    <row r="129" spans="1:3" x14ac:dyDescent="0.2">
      <c r="A129" s="10" t="str">
        <f>IF(121&gt;$C$9008,"",INDEX($B$9:$B$9008,MATCH(121,$C$9:$C$9008,0)))</f>
        <v/>
      </c>
      <c r="B129" s="9" t="str">
        <f>IFERROR(INDEX(Input!$L$20:$T$1019,INT((ROW()-9)/9)+1,MOD(ROW()-9,9)+1),"")</f>
        <v/>
      </c>
      <c r="C129" s="9">
        <f t="shared" si="1"/>
        <v>0</v>
      </c>
    </row>
    <row r="130" spans="1:3" x14ac:dyDescent="0.2">
      <c r="A130" s="10" t="str">
        <f>IF(122&gt;$C$9008,"",INDEX($B$9:$B$9008,MATCH(122,$C$9:$C$9008,0)))</f>
        <v/>
      </c>
      <c r="B130" s="9" t="str">
        <f>IFERROR(INDEX(Input!$L$20:$T$1019,INT((ROW()-9)/9)+1,MOD(ROW()-9,9)+1),"")</f>
        <v/>
      </c>
      <c r="C130" s="9">
        <f t="shared" si="1"/>
        <v>0</v>
      </c>
    </row>
    <row r="131" spans="1:3" x14ac:dyDescent="0.2">
      <c r="A131" s="10" t="str">
        <f>IF(123&gt;$C$9008,"",INDEX($B$9:$B$9008,MATCH(123,$C$9:$C$9008,0)))</f>
        <v/>
      </c>
      <c r="B131" s="9" t="str">
        <f>IFERROR(INDEX(Input!$L$20:$T$1019,INT((ROW()-9)/9)+1,MOD(ROW()-9,9)+1),"")</f>
        <v/>
      </c>
      <c r="C131" s="9">
        <f t="shared" si="1"/>
        <v>0</v>
      </c>
    </row>
    <row r="132" spans="1:3" x14ac:dyDescent="0.2">
      <c r="A132" s="10" t="str">
        <f>IF(124&gt;$C$9008,"",INDEX($B$9:$B$9008,MATCH(124,$C$9:$C$9008,0)))</f>
        <v/>
      </c>
      <c r="B132" s="9" t="str">
        <f>IFERROR(INDEX(Input!$L$20:$T$1019,INT((ROW()-9)/9)+1,MOD(ROW()-9,9)+1),"")</f>
        <v/>
      </c>
      <c r="C132" s="9">
        <f t="shared" si="1"/>
        <v>0</v>
      </c>
    </row>
    <row r="133" spans="1:3" x14ac:dyDescent="0.2">
      <c r="A133" s="10" t="str">
        <f>IF(125&gt;$C$9008,"",INDEX($B$9:$B$9008,MATCH(125,$C$9:$C$9008,0)))</f>
        <v/>
      </c>
      <c r="B133" s="9" t="str">
        <f>IFERROR(INDEX(Input!$L$20:$T$1019,INT((ROW()-9)/9)+1,MOD(ROW()-9,9)+1),"")</f>
        <v/>
      </c>
      <c r="C133" s="9">
        <f t="shared" si="1"/>
        <v>0</v>
      </c>
    </row>
    <row r="134" spans="1:3" x14ac:dyDescent="0.2">
      <c r="A134" s="10" t="str">
        <f>IF(126&gt;$C$9008,"",INDEX($B$9:$B$9008,MATCH(126,$C$9:$C$9008,0)))</f>
        <v/>
      </c>
      <c r="B134" s="9" t="str">
        <f>IFERROR(INDEX(Input!$L$20:$T$1019,INT((ROW()-9)/9)+1,MOD(ROW()-9,9)+1),"")</f>
        <v/>
      </c>
      <c r="C134" s="9">
        <f t="shared" si="1"/>
        <v>0</v>
      </c>
    </row>
    <row r="135" spans="1:3" x14ac:dyDescent="0.2">
      <c r="A135" s="10" t="str">
        <f>IF(127&gt;$C$9008,"",INDEX($B$9:$B$9008,MATCH(127,$C$9:$C$9008,0)))</f>
        <v/>
      </c>
      <c r="B135" s="9" t="str">
        <f>IFERROR(INDEX(Input!$L$20:$T$1019,INT((ROW()-9)/9)+1,MOD(ROW()-9,9)+1),"")</f>
        <v/>
      </c>
      <c r="C135" s="9">
        <f t="shared" si="1"/>
        <v>0</v>
      </c>
    </row>
    <row r="136" spans="1:3" x14ac:dyDescent="0.2">
      <c r="A136" s="10" t="str">
        <f>IF(128&gt;$C$9008,"",INDEX($B$9:$B$9008,MATCH(128,$C$9:$C$9008,0)))</f>
        <v/>
      </c>
      <c r="B136" s="9" t="str">
        <f>IFERROR(INDEX(Input!$L$20:$T$1019,INT((ROW()-9)/9)+1,MOD(ROW()-9,9)+1),"")</f>
        <v/>
      </c>
      <c r="C136" s="9">
        <f t="shared" si="1"/>
        <v>0</v>
      </c>
    </row>
    <row r="137" spans="1:3" x14ac:dyDescent="0.2">
      <c r="A137" s="10" t="str">
        <f>IF(129&gt;$C$9008,"",INDEX($B$9:$B$9008,MATCH(129,$C$9:$C$9008,0)))</f>
        <v/>
      </c>
      <c r="B137" s="9" t="str">
        <f>IFERROR(INDEX(Input!$L$20:$T$1019,INT((ROW()-9)/9)+1,MOD(ROW()-9,9)+1),"")</f>
        <v/>
      </c>
      <c r="C137" s="9">
        <f t="shared" ref="C137:C200" si="2">$C136+IF($B137&lt;&gt;"",1,0)</f>
        <v>0</v>
      </c>
    </row>
    <row r="138" spans="1:3" x14ac:dyDescent="0.2">
      <c r="A138" s="10" t="str">
        <f>IF(130&gt;$C$9008,"",INDEX($B$9:$B$9008,MATCH(130,$C$9:$C$9008,0)))</f>
        <v/>
      </c>
      <c r="B138" s="9" t="str">
        <f>IFERROR(INDEX(Input!$L$20:$T$1019,INT((ROW()-9)/9)+1,MOD(ROW()-9,9)+1),"")</f>
        <v/>
      </c>
      <c r="C138" s="9">
        <f t="shared" si="2"/>
        <v>0</v>
      </c>
    </row>
    <row r="139" spans="1:3" x14ac:dyDescent="0.2">
      <c r="A139" s="10" t="str">
        <f>IF(131&gt;$C$9008,"",INDEX($B$9:$B$9008,MATCH(131,$C$9:$C$9008,0)))</f>
        <v/>
      </c>
      <c r="B139" s="9" t="str">
        <f>IFERROR(INDEX(Input!$L$20:$T$1019,INT((ROW()-9)/9)+1,MOD(ROW()-9,9)+1),"")</f>
        <v/>
      </c>
      <c r="C139" s="9">
        <f t="shared" si="2"/>
        <v>0</v>
      </c>
    </row>
    <row r="140" spans="1:3" x14ac:dyDescent="0.2">
      <c r="A140" s="10" t="str">
        <f>IF(132&gt;$C$9008,"",INDEX($B$9:$B$9008,MATCH(132,$C$9:$C$9008,0)))</f>
        <v/>
      </c>
      <c r="B140" s="9" t="str">
        <f>IFERROR(INDEX(Input!$L$20:$T$1019,INT((ROW()-9)/9)+1,MOD(ROW()-9,9)+1),"")</f>
        <v/>
      </c>
      <c r="C140" s="9">
        <f t="shared" si="2"/>
        <v>0</v>
      </c>
    </row>
    <row r="141" spans="1:3" x14ac:dyDescent="0.2">
      <c r="A141" s="10" t="str">
        <f>IF(133&gt;$C$9008,"",INDEX($B$9:$B$9008,MATCH(133,$C$9:$C$9008,0)))</f>
        <v/>
      </c>
      <c r="B141" s="9" t="str">
        <f>IFERROR(INDEX(Input!$L$20:$T$1019,INT((ROW()-9)/9)+1,MOD(ROW()-9,9)+1),"")</f>
        <v/>
      </c>
      <c r="C141" s="9">
        <f t="shared" si="2"/>
        <v>0</v>
      </c>
    </row>
    <row r="142" spans="1:3" x14ac:dyDescent="0.2">
      <c r="A142" s="10" t="str">
        <f>IF(134&gt;$C$9008,"",INDEX($B$9:$B$9008,MATCH(134,$C$9:$C$9008,0)))</f>
        <v/>
      </c>
      <c r="B142" s="9" t="str">
        <f>IFERROR(INDEX(Input!$L$20:$T$1019,INT((ROW()-9)/9)+1,MOD(ROW()-9,9)+1),"")</f>
        <v/>
      </c>
      <c r="C142" s="9">
        <f t="shared" si="2"/>
        <v>0</v>
      </c>
    </row>
    <row r="143" spans="1:3" x14ac:dyDescent="0.2">
      <c r="A143" s="10" t="str">
        <f>IF(135&gt;$C$9008,"",INDEX($B$9:$B$9008,MATCH(135,$C$9:$C$9008,0)))</f>
        <v/>
      </c>
      <c r="B143" s="9" t="str">
        <f>IFERROR(INDEX(Input!$L$20:$T$1019,INT((ROW()-9)/9)+1,MOD(ROW()-9,9)+1),"")</f>
        <v/>
      </c>
      <c r="C143" s="9">
        <f t="shared" si="2"/>
        <v>0</v>
      </c>
    </row>
    <row r="144" spans="1:3" x14ac:dyDescent="0.2">
      <c r="A144" s="10" t="str">
        <f>IF(136&gt;$C$9008,"",INDEX($B$9:$B$9008,MATCH(136,$C$9:$C$9008,0)))</f>
        <v/>
      </c>
      <c r="B144" s="9" t="str">
        <f>IFERROR(INDEX(Input!$L$20:$T$1019,INT((ROW()-9)/9)+1,MOD(ROW()-9,9)+1),"")</f>
        <v/>
      </c>
      <c r="C144" s="9">
        <f t="shared" si="2"/>
        <v>0</v>
      </c>
    </row>
    <row r="145" spans="1:3" x14ac:dyDescent="0.2">
      <c r="A145" s="10" t="str">
        <f>IF(137&gt;$C$9008,"",INDEX($B$9:$B$9008,MATCH(137,$C$9:$C$9008,0)))</f>
        <v/>
      </c>
      <c r="B145" s="9" t="str">
        <f>IFERROR(INDEX(Input!$L$20:$T$1019,INT((ROW()-9)/9)+1,MOD(ROW()-9,9)+1),"")</f>
        <v/>
      </c>
      <c r="C145" s="9">
        <f t="shared" si="2"/>
        <v>0</v>
      </c>
    </row>
    <row r="146" spans="1:3" x14ac:dyDescent="0.2">
      <c r="A146" s="10" t="str">
        <f>IF(138&gt;$C$9008,"",INDEX($B$9:$B$9008,MATCH(138,$C$9:$C$9008,0)))</f>
        <v/>
      </c>
      <c r="B146" s="9" t="str">
        <f>IFERROR(INDEX(Input!$L$20:$T$1019,INT((ROW()-9)/9)+1,MOD(ROW()-9,9)+1),"")</f>
        <v/>
      </c>
      <c r="C146" s="9">
        <f t="shared" si="2"/>
        <v>0</v>
      </c>
    </row>
    <row r="147" spans="1:3" x14ac:dyDescent="0.2">
      <c r="A147" s="10" t="str">
        <f>IF(139&gt;$C$9008,"",INDEX($B$9:$B$9008,MATCH(139,$C$9:$C$9008,0)))</f>
        <v/>
      </c>
      <c r="B147" s="9" t="str">
        <f>IFERROR(INDEX(Input!$L$20:$T$1019,INT((ROW()-9)/9)+1,MOD(ROW()-9,9)+1),"")</f>
        <v/>
      </c>
      <c r="C147" s="9">
        <f t="shared" si="2"/>
        <v>0</v>
      </c>
    </row>
    <row r="148" spans="1:3" x14ac:dyDescent="0.2">
      <c r="A148" s="10" t="str">
        <f>IF(140&gt;$C$9008,"",INDEX($B$9:$B$9008,MATCH(140,$C$9:$C$9008,0)))</f>
        <v/>
      </c>
      <c r="B148" s="9" t="str">
        <f>IFERROR(INDEX(Input!$L$20:$T$1019,INT((ROW()-9)/9)+1,MOD(ROW()-9,9)+1),"")</f>
        <v/>
      </c>
      <c r="C148" s="9">
        <f t="shared" si="2"/>
        <v>0</v>
      </c>
    </row>
    <row r="149" spans="1:3" x14ac:dyDescent="0.2">
      <c r="A149" s="10" t="str">
        <f>IF(141&gt;$C$9008,"",INDEX($B$9:$B$9008,MATCH(141,$C$9:$C$9008,0)))</f>
        <v/>
      </c>
      <c r="B149" s="9" t="str">
        <f>IFERROR(INDEX(Input!$L$20:$T$1019,INT((ROW()-9)/9)+1,MOD(ROW()-9,9)+1),"")</f>
        <v/>
      </c>
      <c r="C149" s="9">
        <f t="shared" si="2"/>
        <v>0</v>
      </c>
    </row>
    <row r="150" spans="1:3" x14ac:dyDescent="0.2">
      <c r="A150" s="10" t="str">
        <f>IF(142&gt;$C$9008,"",INDEX($B$9:$B$9008,MATCH(142,$C$9:$C$9008,0)))</f>
        <v/>
      </c>
      <c r="B150" s="9" t="str">
        <f>IFERROR(INDEX(Input!$L$20:$T$1019,INT((ROW()-9)/9)+1,MOD(ROW()-9,9)+1),"")</f>
        <v/>
      </c>
      <c r="C150" s="9">
        <f t="shared" si="2"/>
        <v>0</v>
      </c>
    </row>
    <row r="151" spans="1:3" x14ac:dyDescent="0.2">
      <c r="A151" s="10" t="str">
        <f>IF(143&gt;$C$9008,"",INDEX($B$9:$B$9008,MATCH(143,$C$9:$C$9008,0)))</f>
        <v/>
      </c>
      <c r="B151" s="9" t="str">
        <f>IFERROR(INDEX(Input!$L$20:$T$1019,INT((ROW()-9)/9)+1,MOD(ROW()-9,9)+1),"")</f>
        <v/>
      </c>
      <c r="C151" s="9">
        <f t="shared" si="2"/>
        <v>0</v>
      </c>
    </row>
    <row r="152" spans="1:3" x14ac:dyDescent="0.2">
      <c r="A152" s="10" t="str">
        <f>IF(144&gt;$C$9008,"",INDEX($B$9:$B$9008,MATCH(144,$C$9:$C$9008,0)))</f>
        <v/>
      </c>
      <c r="B152" s="9" t="str">
        <f>IFERROR(INDEX(Input!$L$20:$T$1019,INT((ROW()-9)/9)+1,MOD(ROW()-9,9)+1),"")</f>
        <v/>
      </c>
      <c r="C152" s="9">
        <f t="shared" si="2"/>
        <v>0</v>
      </c>
    </row>
    <row r="153" spans="1:3" x14ac:dyDescent="0.2">
      <c r="A153" s="10" t="str">
        <f>IF(145&gt;$C$9008,"",INDEX($B$9:$B$9008,MATCH(145,$C$9:$C$9008,0)))</f>
        <v/>
      </c>
      <c r="B153" s="9" t="str">
        <f>IFERROR(INDEX(Input!$L$20:$T$1019,INT((ROW()-9)/9)+1,MOD(ROW()-9,9)+1),"")</f>
        <v/>
      </c>
      <c r="C153" s="9">
        <f t="shared" si="2"/>
        <v>0</v>
      </c>
    </row>
    <row r="154" spans="1:3" x14ac:dyDescent="0.2">
      <c r="A154" s="10" t="str">
        <f>IF(146&gt;$C$9008,"",INDEX($B$9:$B$9008,MATCH(146,$C$9:$C$9008,0)))</f>
        <v/>
      </c>
      <c r="B154" s="9" t="str">
        <f>IFERROR(INDEX(Input!$L$20:$T$1019,INT((ROW()-9)/9)+1,MOD(ROW()-9,9)+1),"")</f>
        <v/>
      </c>
      <c r="C154" s="9">
        <f t="shared" si="2"/>
        <v>0</v>
      </c>
    </row>
    <row r="155" spans="1:3" x14ac:dyDescent="0.2">
      <c r="A155" s="10" t="str">
        <f>IF(147&gt;$C$9008,"",INDEX($B$9:$B$9008,MATCH(147,$C$9:$C$9008,0)))</f>
        <v/>
      </c>
      <c r="B155" s="9" t="str">
        <f>IFERROR(INDEX(Input!$L$20:$T$1019,INT((ROW()-9)/9)+1,MOD(ROW()-9,9)+1),"")</f>
        <v/>
      </c>
      <c r="C155" s="9">
        <f t="shared" si="2"/>
        <v>0</v>
      </c>
    </row>
    <row r="156" spans="1:3" x14ac:dyDescent="0.2">
      <c r="A156" s="10" t="str">
        <f>IF(148&gt;$C$9008,"",INDEX($B$9:$B$9008,MATCH(148,$C$9:$C$9008,0)))</f>
        <v/>
      </c>
      <c r="B156" s="9" t="str">
        <f>IFERROR(INDEX(Input!$L$20:$T$1019,INT((ROW()-9)/9)+1,MOD(ROW()-9,9)+1),"")</f>
        <v/>
      </c>
      <c r="C156" s="9">
        <f t="shared" si="2"/>
        <v>0</v>
      </c>
    </row>
    <row r="157" spans="1:3" x14ac:dyDescent="0.2">
      <c r="A157" s="10" t="str">
        <f>IF(149&gt;$C$9008,"",INDEX($B$9:$B$9008,MATCH(149,$C$9:$C$9008,0)))</f>
        <v/>
      </c>
      <c r="B157" s="9" t="str">
        <f>IFERROR(INDEX(Input!$L$20:$T$1019,INT((ROW()-9)/9)+1,MOD(ROW()-9,9)+1),"")</f>
        <v/>
      </c>
      <c r="C157" s="9">
        <f t="shared" si="2"/>
        <v>0</v>
      </c>
    </row>
    <row r="158" spans="1:3" x14ac:dyDescent="0.2">
      <c r="A158" s="10" t="str">
        <f>IF(150&gt;$C$9008,"",INDEX($B$9:$B$9008,MATCH(150,$C$9:$C$9008,0)))</f>
        <v/>
      </c>
      <c r="B158" s="9" t="str">
        <f>IFERROR(INDEX(Input!$L$20:$T$1019,INT((ROW()-9)/9)+1,MOD(ROW()-9,9)+1),"")</f>
        <v/>
      </c>
      <c r="C158" s="9">
        <f t="shared" si="2"/>
        <v>0</v>
      </c>
    </row>
    <row r="159" spans="1:3" x14ac:dyDescent="0.2">
      <c r="A159" s="10" t="str">
        <f>IF(151&gt;$C$9008,"",INDEX($B$9:$B$9008,MATCH(151,$C$9:$C$9008,0)))</f>
        <v/>
      </c>
      <c r="B159" s="9" t="str">
        <f>IFERROR(INDEX(Input!$L$20:$T$1019,INT((ROW()-9)/9)+1,MOD(ROW()-9,9)+1),"")</f>
        <v/>
      </c>
      <c r="C159" s="9">
        <f t="shared" si="2"/>
        <v>0</v>
      </c>
    </row>
    <row r="160" spans="1:3" x14ac:dyDescent="0.2">
      <c r="A160" s="10" t="str">
        <f>IF(152&gt;$C$9008,"",INDEX($B$9:$B$9008,MATCH(152,$C$9:$C$9008,0)))</f>
        <v/>
      </c>
      <c r="B160" s="9" t="str">
        <f>IFERROR(INDEX(Input!$L$20:$T$1019,INT((ROW()-9)/9)+1,MOD(ROW()-9,9)+1),"")</f>
        <v/>
      </c>
      <c r="C160" s="9">
        <f t="shared" si="2"/>
        <v>0</v>
      </c>
    </row>
    <row r="161" spans="1:3" x14ac:dyDescent="0.2">
      <c r="A161" s="10" t="str">
        <f>IF(153&gt;$C$9008,"",INDEX($B$9:$B$9008,MATCH(153,$C$9:$C$9008,0)))</f>
        <v/>
      </c>
      <c r="B161" s="9" t="str">
        <f>IFERROR(INDEX(Input!$L$20:$T$1019,INT((ROW()-9)/9)+1,MOD(ROW()-9,9)+1),"")</f>
        <v/>
      </c>
      <c r="C161" s="9">
        <f t="shared" si="2"/>
        <v>0</v>
      </c>
    </row>
    <row r="162" spans="1:3" x14ac:dyDescent="0.2">
      <c r="A162" s="10" t="str">
        <f>IF(154&gt;$C$9008,"",INDEX($B$9:$B$9008,MATCH(154,$C$9:$C$9008,0)))</f>
        <v/>
      </c>
      <c r="B162" s="9" t="str">
        <f>IFERROR(INDEX(Input!$L$20:$T$1019,INT((ROW()-9)/9)+1,MOD(ROW()-9,9)+1),"")</f>
        <v/>
      </c>
      <c r="C162" s="9">
        <f t="shared" si="2"/>
        <v>0</v>
      </c>
    </row>
    <row r="163" spans="1:3" x14ac:dyDescent="0.2">
      <c r="A163" s="10" t="str">
        <f>IF(155&gt;$C$9008,"",INDEX($B$9:$B$9008,MATCH(155,$C$9:$C$9008,0)))</f>
        <v/>
      </c>
      <c r="B163" s="9" t="str">
        <f>IFERROR(INDEX(Input!$L$20:$T$1019,INT((ROW()-9)/9)+1,MOD(ROW()-9,9)+1),"")</f>
        <v/>
      </c>
      <c r="C163" s="9">
        <f t="shared" si="2"/>
        <v>0</v>
      </c>
    </row>
    <row r="164" spans="1:3" x14ac:dyDescent="0.2">
      <c r="A164" s="10" t="str">
        <f>IF(156&gt;$C$9008,"",INDEX($B$9:$B$9008,MATCH(156,$C$9:$C$9008,0)))</f>
        <v/>
      </c>
      <c r="B164" s="9" t="str">
        <f>IFERROR(INDEX(Input!$L$20:$T$1019,INT((ROW()-9)/9)+1,MOD(ROW()-9,9)+1),"")</f>
        <v/>
      </c>
      <c r="C164" s="9">
        <f t="shared" si="2"/>
        <v>0</v>
      </c>
    </row>
    <row r="165" spans="1:3" x14ac:dyDescent="0.2">
      <c r="A165" s="10" t="str">
        <f>IF(157&gt;$C$9008,"",INDEX($B$9:$B$9008,MATCH(157,$C$9:$C$9008,0)))</f>
        <v/>
      </c>
      <c r="B165" s="9" t="str">
        <f>IFERROR(INDEX(Input!$L$20:$T$1019,INT((ROW()-9)/9)+1,MOD(ROW()-9,9)+1),"")</f>
        <v/>
      </c>
      <c r="C165" s="9">
        <f t="shared" si="2"/>
        <v>0</v>
      </c>
    </row>
    <row r="166" spans="1:3" x14ac:dyDescent="0.2">
      <c r="A166" s="10" t="str">
        <f>IF(158&gt;$C$9008,"",INDEX($B$9:$B$9008,MATCH(158,$C$9:$C$9008,0)))</f>
        <v/>
      </c>
      <c r="B166" s="9" t="str">
        <f>IFERROR(INDEX(Input!$L$20:$T$1019,INT((ROW()-9)/9)+1,MOD(ROW()-9,9)+1),"")</f>
        <v/>
      </c>
      <c r="C166" s="9">
        <f t="shared" si="2"/>
        <v>0</v>
      </c>
    </row>
    <row r="167" spans="1:3" x14ac:dyDescent="0.2">
      <c r="A167" s="10" t="str">
        <f>IF(159&gt;$C$9008,"",INDEX($B$9:$B$9008,MATCH(159,$C$9:$C$9008,0)))</f>
        <v/>
      </c>
      <c r="B167" s="9" t="str">
        <f>IFERROR(INDEX(Input!$L$20:$T$1019,INT((ROW()-9)/9)+1,MOD(ROW()-9,9)+1),"")</f>
        <v/>
      </c>
      <c r="C167" s="9">
        <f t="shared" si="2"/>
        <v>0</v>
      </c>
    </row>
    <row r="168" spans="1:3" x14ac:dyDescent="0.2">
      <c r="A168" s="10" t="str">
        <f>IF(160&gt;$C$9008,"",INDEX($B$9:$B$9008,MATCH(160,$C$9:$C$9008,0)))</f>
        <v/>
      </c>
      <c r="B168" s="9" t="str">
        <f>IFERROR(INDEX(Input!$L$20:$T$1019,INT((ROW()-9)/9)+1,MOD(ROW()-9,9)+1),"")</f>
        <v/>
      </c>
      <c r="C168" s="9">
        <f t="shared" si="2"/>
        <v>0</v>
      </c>
    </row>
    <row r="169" spans="1:3" x14ac:dyDescent="0.2">
      <c r="A169" s="10" t="str">
        <f>IF(161&gt;$C$9008,"",INDEX($B$9:$B$9008,MATCH(161,$C$9:$C$9008,0)))</f>
        <v/>
      </c>
      <c r="B169" s="9" t="str">
        <f>IFERROR(INDEX(Input!$L$20:$T$1019,INT((ROW()-9)/9)+1,MOD(ROW()-9,9)+1),"")</f>
        <v/>
      </c>
      <c r="C169" s="9">
        <f t="shared" si="2"/>
        <v>0</v>
      </c>
    </row>
    <row r="170" spans="1:3" x14ac:dyDescent="0.2">
      <c r="A170" s="10" t="str">
        <f>IF(162&gt;$C$9008,"",INDEX($B$9:$B$9008,MATCH(162,$C$9:$C$9008,0)))</f>
        <v/>
      </c>
      <c r="B170" s="9" t="str">
        <f>IFERROR(INDEX(Input!$L$20:$T$1019,INT((ROW()-9)/9)+1,MOD(ROW()-9,9)+1),"")</f>
        <v/>
      </c>
      <c r="C170" s="9">
        <f t="shared" si="2"/>
        <v>0</v>
      </c>
    </row>
    <row r="171" spans="1:3" x14ac:dyDescent="0.2">
      <c r="A171" s="10" t="str">
        <f>IF(163&gt;$C$9008,"",INDEX($B$9:$B$9008,MATCH(163,$C$9:$C$9008,0)))</f>
        <v/>
      </c>
      <c r="B171" s="9" t="str">
        <f>IFERROR(INDEX(Input!$L$20:$T$1019,INT((ROW()-9)/9)+1,MOD(ROW()-9,9)+1),"")</f>
        <v/>
      </c>
      <c r="C171" s="9">
        <f t="shared" si="2"/>
        <v>0</v>
      </c>
    </row>
    <row r="172" spans="1:3" x14ac:dyDescent="0.2">
      <c r="A172" s="10" t="str">
        <f>IF(164&gt;$C$9008,"",INDEX($B$9:$B$9008,MATCH(164,$C$9:$C$9008,0)))</f>
        <v/>
      </c>
      <c r="B172" s="9" t="str">
        <f>IFERROR(INDEX(Input!$L$20:$T$1019,INT((ROW()-9)/9)+1,MOD(ROW()-9,9)+1),"")</f>
        <v/>
      </c>
      <c r="C172" s="9">
        <f t="shared" si="2"/>
        <v>0</v>
      </c>
    </row>
    <row r="173" spans="1:3" x14ac:dyDescent="0.2">
      <c r="A173" s="10" t="str">
        <f>IF(165&gt;$C$9008,"",INDEX($B$9:$B$9008,MATCH(165,$C$9:$C$9008,0)))</f>
        <v/>
      </c>
      <c r="B173" s="9" t="str">
        <f>IFERROR(INDEX(Input!$L$20:$T$1019,INT((ROW()-9)/9)+1,MOD(ROW()-9,9)+1),"")</f>
        <v/>
      </c>
      <c r="C173" s="9">
        <f t="shared" si="2"/>
        <v>0</v>
      </c>
    </row>
    <row r="174" spans="1:3" x14ac:dyDescent="0.2">
      <c r="A174" s="10" t="str">
        <f>IF(166&gt;$C$9008,"",INDEX($B$9:$B$9008,MATCH(166,$C$9:$C$9008,0)))</f>
        <v/>
      </c>
      <c r="B174" s="9" t="str">
        <f>IFERROR(INDEX(Input!$L$20:$T$1019,INT((ROW()-9)/9)+1,MOD(ROW()-9,9)+1),"")</f>
        <v/>
      </c>
      <c r="C174" s="9">
        <f t="shared" si="2"/>
        <v>0</v>
      </c>
    </row>
    <row r="175" spans="1:3" x14ac:dyDescent="0.2">
      <c r="A175" s="10" t="str">
        <f>IF(167&gt;$C$9008,"",INDEX($B$9:$B$9008,MATCH(167,$C$9:$C$9008,0)))</f>
        <v/>
      </c>
      <c r="B175" s="9" t="str">
        <f>IFERROR(INDEX(Input!$L$20:$T$1019,INT((ROW()-9)/9)+1,MOD(ROW()-9,9)+1),"")</f>
        <v/>
      </c>
      <c r="C175" s="9">
        <f t="shared" si="2"/>
        <v>0</v>
      </c>
    </row>
    <row r="176" spans="1:3" x14ac:dyDescent="0.2">
      <c r="A176" s="10" t="str">
        <f>IF(168&gt;$C$9008,"",INDEX($B$9:$B$9008,MATCH(168,$C$9:$C$9008,0)))</f>
        <v/>
      </c>
      <c r="B176" s="9" t="str">
        <f>IFERROR(INDEX(Input!$L$20:$T$1019,INT((ROW()-9)/9)+1,MOD(ROW()-9,9)+1),"")</f>
        <v/>
      </c>
      <c r="C176" s="9">
        <f t="shared" si="2"/>
        <v>0</v>
      </c>
    </row>
    <row r="177" spans="1:3" x14ac:dyDescent="0.2">
      <c r="A177" s="10" t="str">
        <f>IF(169&gt;$C$9008,"",INDEX($B$9:$B$9008,MATCH(169,$C$9:$C$9008,0)))</f>
        <v/>
      </c>
      <c r="B177" s="9" t="str">
        <f>IFERROR(INDEX(Input!$L$20:$T$1019,INT((ROW()-9)/9)+1,MOD(ROW()-9,9)+1),"")</f>
        <v/>
      </c>
      <c r="C177" s="9">
        <f t="shared" si="2"/>
        <v>0</v>
      </c>
    </row>
    <row r="178" spans="1:3" x14ac:dyDescent="0.2">
      <c r="A178" s="10" t="str">
        <f>IF(170&gt;$C$9008,"",INDEX($B$9:$B$9008,MATCH(170,$C$9:$C$9008,0)))</f>
        <v/>
      </c>
      <c r="B178" s="9" t="str">
        <f>IFERROR(INDEX(Input!$L$20:$T$1019,INT((ROW()-9)/9)+1,MOD(ROW()-9,9)+1),"")</f>
        <v/>
      </c>
      <c r="C178" s="9">
        <f t="shared" si="2"/>
        <v>0</v>
      </c>
    </row>
    <row r="179" spans="1:3" x14ac:dyDescent="0.2">
      <c r="A179" s="10" t="str">
        <f>IF(171&gt;$C$9008,"",INDEX($B$9:$B$9008,MATCH(171,$C$9:$C$9008,0)))</f>
        <v/>
      </c>
      <c r="B179" s="9" t="str">
        <f>IFERROR(INDEX(Input!$L$20:$T$1019,INT((ROW()-9)/9)+1,MOD(ROW()-9,9)+1),"")</f>
        <v/>
      </c>
      <c r="C179" s="9">
        <f t="shared" si="2"/>
        <v>0</v>
      </c>
    </row>
    <row r="180" spans="1:3" x14ac:dyDescent="0.2">
      <c r="A180" s="10" t="str">
        <f>IF(172&gt;$C$9008,"",INDEX($B$9:$B$9008,MATCH(172,$C$9:$C$9008,0)))</f>
        <v/>
      </c>
      <c r="B180" s="9" t="str">
        <f>IFERROR(INDEX(Input!$L$20:$T$1019,INT((ROW()-9)/9)+1,MOD(ROW()-9,9)+1),"")</f>
        <v/>
      </c>
      <c r="C180" s="9">
        <f t="shared" si="2"/>
        <v>0</v>
      </c>
    </row>
    <row r="181" spans="1:3" x14ac:dyDescent="0.2">
      <c r="A181" s="10" t="str">
        <f>IF(173&gt;$C$9008,"",INDEX($B$9:$B$9008,MATCH(173,$C$9:$C$9008,0)))</f>
        <v/>
      </c>
      <c r="B181" s="9" t="str">
        <f>IFERROR(INDEX(Input!$L$20:$T$1019,INT((ROW()-9)/9)+1,MOD(ROW()-9,9)+1),"")</f>
        <v/>
      </c>
      <c r="C181" s="9">
        <f t="shared" si="2"/>
        <v>0</v>
      </c>
    </row>
    <row r="182" spans="1:3" x14ac:dyDescent="0.2">
      <c r="A182" s="10" t="str">
        <f>IF(174&gt;$C$9008,"",INDEX($B$9:$B$9008,MATCH(174,$C$9:$C$9008,0)))</f>
        <v/>
      </c>
      <c r="B182" s="9" t="str">
        <f>IFERROR(INDEX(Input!$L$20:$T$1019,INT((ROW()-9)/9)+1,MOD(ROW()-9,9)+1),"")</f>
        <v/>
      </c>
      <c r="C182" s="9">
        <f t="shared" si="2"/>
        <v>0</v>
      </c>
    </row>
    <row r="183" spans="1:3" x14ac:dyDescent="0.2">
      <c r="A183" s="10" t="str">
        <f>IF(175&gt;$C$9008,"",INDEX($B$9:$B$9008,MATCH(175,$C$9:$C$9008,0)))</f>
        <v/>
      </c>
      <c r="B183" s="9" t="str">
        <f>IFERROR(INDEX(Input!$L$20:$T$1019,INT((ROW()-9)/9)+1,MOD(ROW()-9,9)+1),"")</f>
        <v/>
      </c>
      <c r="C183" s="9">
        <f t="shared" si="2"/>
        <v>0</v>
      </c>
    </row>
    <row r="184" spans="1:3" x14ac:dyDescent="0.2">
      <c r="A184" s="10" t="str">
        <f>IF(176&gt;$C$9008,"",INDEX($B$9:$B$9008,MATCH(176,$C$9:$C$9008,0)))</f>
        <v/>
      </c>
      <c r="B184" s="9" t="str">
        <f>IFERROR(INDEX(Input!$L$20:$T$1019,INT((ROW()-9)/9)+1,MOD(ROW()-9,9)+1),"")</f>
        <v/>
      </c>
      <c r="C184" s="9">
        <f t="shared" si="2"/>
        <v>0</v>
      </c>
    </row>
    <row r="185" spans="1:3" x14ac:dyDescent="0.2">
      <c r="A185" s="10" t="str">
        <f>IF(177&gt;$C$9008,"",INDEX($B$9:$B$9008,MATCH(177,$C$9:$C$9008,0)))</f>
        <v/>
      </c>
      <c r="B185" s="9" t="str">
        <f>IFERROR(INDEX(Input!$L$20:$T$1019,INT((ROW()-9)/9)+1,MOD(ROW()-9,9)+1),"")</f>
        <v/>
      </c>
      <c r="C185" s="9">
        <f t="shared" si="2"/>
        <v>0</v>
      </c>
    </row>
    <row r="186" spans="1:3" x14ac:dyDescent="0.2">
      <c r="A186" s="10" t="str">
        <f>IF(178&gt;$C$9008,"",INDEX($B$9:$B$9008,MATCH(178,$C$9:$C$9008,0)))</f>
        <v/>
      </c>
      <c r="B186" s="9" t="str">
        <f>IFERROR(INDEX(Input!$L$20:$T$1019,INT((ROW()-9)/9)+1,MOD(ROW()-9,9)+1),"")</f>
        <v/>
      </c>
      <c r="C186" s="9">
        <f t="shared" si="2"/>
        <v>0</v>
      </c>
    </row>
    <row r="187" spans="1:3" x14ac:dyDescent="0.2">
      <c r="A187" s="10" t="str">
        <f>IF(179&gt;$C$9008,"",INDEX($B$9:$B$9008,MATCH(179,$C$9:$C$9008,0)))</f>
        <v/>
      </c>
      <c r="B187" s="9" t="str">
        <f>IFERROR(INDEX(Input!$L$20:$T$1019,INT((ROW()-9)/9)+1,MOD(ROW()-9,9)+1),"")</f>
        <v/>
      </c>
      <c r="C187" s="9">
        <f t="shared" si="2"/>
        <v>0</v>
      </c>
    </row>
    <row r="188" spans="1:3" x14ac:dyDescent="0.2">
      <c r="A188" s="10" t="str">
        <f>IF(180&gt;$C$9008,"",INDEX($B$9:$B$9008,MATCH(180,$C$9:$C$9008,0)))</f>
        <v/>
      </c>
      <c r="B188" s="9" t="str">
        <f>IFERROR(INDEX(Input!$L$20:$T$1019,INT((ROW()-9)/9)+1,MOD(ROW()-9,9)+1),"")</f>
        <v/>
      </c>
      <c r="C188" s="9">
        <f t="shared" si="2"/>
        <v>0</v>
      </c>
    </row>
    <row r="189" spans="1:3" x14ac:dyDescent="0.2">
      <c r="A189" s="10" t="str">
        <f>IF(181&gt;$C$9008,"",INDEX($B$9:$B$9008,MATCH(181,$C$9:$C$9008,0)))</f>
        <v/>
      </c>
      <c r="B189" s="9" t="str">
        <f>IFERROR(INDEX(Input!$L$20:$T$1019,INT((ROW()-9)/9)+1,MOD(ROW()-9,9)+1),"")</f>
        <v/>
      </c>
      <c r="C189" s="9">
        <f t="shared" si="2"/>
        <v>0</v>
      </c>
    </row>
    <row r="190" spans="1:3" x14ac:dyDescent="0.2">
      <c r="A190" s="10" t="str">
        <f>IF(182&gt;$C$9008,"",INDEX($B$9:$B$9008,MATCH(182,$C$9:$C$9008,0)))</f>
        <v/>
      </c>
      <c r="B190" s="9" t="str">
        <f>IFERROR(INDEX(Input!$L$20:$T$1019,INT((ROW()-9)/9)+1,MOD(ROW()-9,9)+1),"")</f>
        <v/>
      </c>
      <c r="C190" s="9">
        <f t="shared" si="2"/>
        <v>0</v>
      </c>
    </row>
    <row r="191" spans="1:3" x14ac:dyDescent="0.2">
      <c r="A191" s="10" t="str">
        <f>IF(183&gt;$C$9008,"",INDEX($B$9:$B$9008,MATCH(183,$C$9:$C$9008,0)))</f>
        <v/>
      </c>
      <c r="B191" s="9" t="str">
        <f>IFERROR(INDEX(Input!$L$20:$T$1019,INT((ROW()-9)/9)+1,MOD(ROW()-9,9)+1),"")</f>
        <v/>
      </c>
      <c r="C191" s="9">
        <f t="shared" si="2"/>
        <v>0</v>
      </c>
    </row>
    <row r="192" spans="1:3" x14ac:dyDescent="0.2">
      <c r="A192" s="10" t="str">
        <f>IF(184&gt;$C$9008,"",INDEX($B$9:$B$9008,MATCH(184,$C$9:$C$9008,0)))</f>
        <v/>
      </c>
      <c r="B192" s="9" t="str">
        <f>IFERROR(INDEX(Input!$L$20:$T$1019,INT((ROW()-9)/9)+1,MOD(ROW()-9,9)+1),"")</f>
        <v/>
      </c>
      <c r="C192" s="9">
        <f t="shared" si="2"/>
        <v>0</v>
      </c>
    </row>
    <row r="193" spans="1:3" x14ac:dyDescent="0.2">
      <c r="A193" s="10" t="str">
        <f>IF(185&gt;$C$9008,"",INDEX($B$9:$B$9008,MATCH(185,$C$9:$C$9008,0)))</f>
        <v/>
      </c>
      <c r="B193" s="9" t="str">
        <f>IFERROR(INDEX(Input!$L$20:$T$1019,INT((ROW()-9)/9)+1,MOD(ROW()-9,9)+1),"")</f>
        <v/>
      </c>
      <c r="C193" s="9">
        <f t="shared" si="2"/>
        <v>0</v>
      </c>
    </row>
    <row r="194" spans="1:3" x14ac:dyDescent="0.2">
      <c r="A194" s="10" t="str">
        <f>IF(186&gt;$C$9008,"",INDEX($B$9:$B$9008,MATCH(186,$C$9:$C$9008,0)))</f>
        <v/>
      </c>
      <c r="B194" s="9" t="str">
        <f>IFERROR(INDEX(Input!$L$20:$T$1019,INT((ROW()-9)/9)+1,MOD(ROW()-9,9)+1),"")</f>
        <v/>
      </c>
      <c r="C194" s="9">
        <f t="shared" si="2"/>
        <v>0</v>
      </c>
    </row>
    <row r="195" spans="1:3" x14ac:dyDescent="0.2">
      <c r="A195" s="10" t="str">
        <f>IF(187&gt;$C$9008,"",INDEX($B$9:$B$9008,MATCH(187,$C$9:$C$9008,0)))</f>
        <v/>
      </c>
      <c r="B195" s="9" t="str">
        <f>IFERROR(INDEX(Input!$L$20:$T$1019,INT((ROW()-9)/9)+1,MOD(ROW()-9,9)+1),"")</f>
        <v/>
      </c>
      <c r="C195" s="9">
        <f t="shared" si="2"/>
        <v>0</v>
      </c>
    </row>
    <row r="196" spans="1:3" x14ac:dyDescent="0.2">
      <c r="A196" s="10" t="str">
        <f>IF(188&gt;$C$9008,"",INDEX($B$9:$B$9008,MATCH(188,$C$9:$C$9008,0)))</f>
        <v/>
      </c>
      <c r="B196" s="9" t="str">
        <f>IFERROR(INDEX(Input!$L$20:$T$1019,INT((ROW()-9)/9)+1,MOD(ROW()-9,9)+1),"")</f>
        <v/>
      </c>
      <c r="C196" s="9">
        <f t="shared" si="2"/>
        <v>0</v>
      </c>
    </row>
    <row r="197" spans="1:3" x14ac:dyDescent="0.2">
      <c r="A197" s="10" t="str">
        <f>IF(189&gt;$C$9008,"",INDEX($B$9:$B$9008,MATCH(189,$C$9:$C$9008,0)))</f>
        <v/>
      </c>
      <c r="B197" s="9" t="str">
        <f>IFERROR(INDEX(Input!$L$20:$T$1019,INT((ROW()-9)/9)+1,MOD(ROW()-9,9)+1),"")</f>
        <v/>
      </c>
      <c r="C197" s="9">
        <f t="shared" si="2"/>
        <v>0</v>
      </c>
    </row>
    <row r="198" spans="1:3" x14ac:dyDescent="0.2">
      <c r="A198" s="10" t="str">
        <f>IF(190&gt;$C$9008,"",INDEX($B$9:$B$9008,MATCH(190,$C$9:$C$9008,0)))</f>
        <v/>
      </c>
      <c r="B198" s="9" t="str">
        <f>IFERROR(INDEX(Input!$L$20:$T$1019,INT((ROW()-9)/9)+1,MOD(ROW()-9,9)+1),"")</f>
        <v/>
      </c>
      <c r="C198" s="9">
        <f t="shared" si="2"/>
        <v>0</v>
      </c>
    </row>
    <row r="199" spans="1:3" x14ac:dyDescent="0.2">
      <c r="A199" s="10" t="str">
        <f>IF(191&gt;$C$9008,"",INDEX($B$9:$B$9008,MATCH(191,$C$9:$C$9008,0)))</f>
        <v/>
      </c>
      <c r="B199" s="9" t="str">
        <f>IFERROR(INDEX(Input!$L$20:$T$1019,INT((ROW()-9)/9)+1,MOD(ROW()-9,9)+1),"")</f>
        <v/>
      </c>
      <c r="C199" s="9">
        <f t="shared" si="2"/>
        <v>0</v>
      </c>
    </row>
    <row r="200" spans="1:3" x14ac:dyDescent="0.2">
      <c r="A200" s="10" t="str">
        <f>IF(192&gt;$C$9008,"",INDEX($B$9:$B$9008,MATCH(192,$C$9:$C$9008,0)))</f>
        <v/>
      </c>
      <c r="B200" s="9" t="str">
        <f>IFERROR(INDEX(Input!$L$20:$T$1019,INT((ROW()-9)/9)+1,MOD(ROW()-9,9)+1),"")</f>
        <v/>
      </c>
      <c r="C200" s="9">
        <f t="shared" si="2"/>
        <v>0</v>
      </c>
    </row>
    <row r="201" spans="1:3" x14ac:dyDescent="0.2">
      <c r="A201" s="10" t="str">
        <f>IF(193&gt;$C$9008,"",INDEX($B$9:$B$9008,MATCH(193,$C$9:$C$9008,0)))</f>
        <v/>
      </c>
      <c r="B201" s="9" t="str">
        <f>IFERROR(INDEX(Input!$L$20:$T$1019,INT((ROW()-9)/9)+1,MOD(ROW()-9,9)+1),"")</f>
        <v/>
      </c>
      <c r="C201" s="9">
        <f t="shared" ref="C201:C264" si="3">$C200+IF($B201&lt;&gt;"",1,0)</f>
        <v>0</v>
      </c>
    </row>
    <row r="202" spans="1:3" x14ac:dyDescent="0.2">
      <c r="A202" s="10" t="str">
        <f>IF(194&gt;$C$9008,"",INDEX($B$9:$B$9008,MATCH(194,$C$9:$C$9008,0)))</f>
        <v/>
      </c>
      <c r="B202" s="9" t="str">
        <f>IFERROR(INDEX(Input!$L$20:$T$1019,INT((ROW()-9)/9)+1,MOD(ROW()-9,9)+1),"")</f>
        <v/>
      </c>
      <c r="C202" s="9">
        <f t="shared" si="3"/>
        <v>0</v>
      </c>
    </row>
    <row r="203" spans="1:3" x14ac:dyDescent="0.2">
      <c r="A203" s="10" t="str">
        <f>IF(195&gt;$C$9008,"",INDEX($B$9:$B$9008,MATCH(195,$C$9:$C$9008,0)))</f>
        <v/>
      </c>
      <c r="B203" s="9" t="str">
        <f>IFERROR(INDEX(Input!$L$20:$T$1019,INT((ROW()-9)/9)+1,MOD(ROW()-9,9)+1),"")</f>
        <v/>
      </c>
      <c r="C203" s="9">
        <f t="shared" si="3"/>
        <v>0</v>
      </c>
    </row>
    <row r="204" spans="1:3" x14ac:dyDescent="0.2">
      <c r="A204" s="10" t="str">
        <f>IF(196&gt;$C$9008,"",INDEX($B$9:$B$9008,MATCH(196,$C$9:$C$9008,0)))</f>
        <v/>
      </c>
      <c r="B204" s="9" t="str">
        <f>IFERROR(INDEX(Input!$L$20:$T$1019,INT((ROW()-9)/9)+1,MOD(ROW()-9,9)+1),"")</f>
        <v/>
      </c>
      <c r="C204" s="9">
        <f t="shared" si="3"/>
        <v>0</v>
      </c>
    </row>
    <row r="205" spans="1:3" x14ac:dyDescent="0.2">
      <c r="A205" s="10" t="str">
        <f>IF(197&gt;$C$9008,"",INDEX($B$9:$B$9008,MATCH(197,$C$9:$C$9008,0)))</f>
        <v/>
      </c>
      <c r="B205" s="9" t="str">
        <f>IFERROR(INDEX(Input!$L$20:$T$1019,INT((ROW()-9)/9)+1,MOD(ROW()-9,9)+1),"")</f>
        <v/>
      </c>
      <c r="C205" s="9">
        <f t="shared" si="3"/>
        <v>0</v>
      </c>
    </row>
    <row r="206" spans="1:3" x14ac:dyDescent="0.2">
      <c r="A206" s="10" t="str">
        <f>IF(198&gt;$C$9008,"",INDEX($B$9:$B$9008,MATCH(198,$C$9:$C$9008,0)))</f>
        <v/>
      </c>
      <c r="B206" s="9" t="str">
        <f>IFERROR(INDEX(Input!$L$20:$T$1019,INT((ROW()-9)/9)+1,MOD(ROW()-9,9)+1),"")</f>
        <v/>
      </c>
      <c r="C206" s="9">
        <f t="shared" si="3"/>
        <v>0</v>
      </c>
    </row>
    <row r="207" spans="1:3" x14ac:dyDescent="0.2">
      <c r="A207" s="10" t="str">
        <f>IF(199&gt;$C$9008,"",INDEX($B$9:$B$9008,MATCH(199,$C$9:$C$9008,0)))</f>
        <v/>
      </c>
      <c r="B207" s="9" t="str">
        <f>IFERROR(INDEX(Input!$L$20:$T$1019,INT((ROW()-9)/9)+1,MOD(ROW()-9,9)+1),"")</f>
        <v/>
      </c>
      <c r="C207" s="9">
        <f t="shared" si="3"/>
        <v>0</v>
      </c>
    </row>
    <row r="208" spans="1:3" x14ac:dyDescent="0.2">
      <c r="A208" s="10" t="str">
        <f>IF(200&gt;$C$9008,"",INDEX($B$9:$B$9008,MATCH(200,$C$9:$C$9008,0)))</f>
        <v/>
      </c>
      <c r="B208" s="9" t="str">
        <f>IFERROR(INDEX(Input!$L$20:$T$1019,INT((ROW()-9)/9)+1,MOD(ROW()-9,9)+1),"")</f>
        <v/>
      </c>
      <c r="C208" s="9">
        <f t="shared" si="3"/>
        <v>0</v>
      </c>
    </row>
    <row r="209" spans="1:3" x14ac:dyDescent="0.2">
      <c r="A209" s="10" t="str">
        <f>IF(201&gt;$C$9008,"",INDEX($B$9:$B$9008,MATCH(201,$C$9:$C$9008,0)))</f>
        <v/>
      </c>
      <c r="B209" s="9" t="str">
        <f>IFERROR(INDEX(Input!$L$20:$T$1019,INT((ROW()-9)/9)+1,MOD(ROW()-9,9)+1),"")</f>
        <v/>
      </c>
      <c r="C209" s="9">
        <f t="shared" si="3"/>
        <v>0</v>
      </c>
    </row>
    <row r="210" spans="1:3" x14ac:dyDescent="0.2">
      <c r="A210" s="10" t="str">
        <f>IF(202&gt;$C$9008,"",INDEX($B$9:$B$9008,MATCH(202,$C$9:$C$9008,0)))</f>
        <v/>
      </c>
      <c r="B210" s="9" t="str">
        <f>IFERROR(INDEX(Input!$L$20:$T$1019,INT((ROW()-9)/9)+1,MOD(ROW()-9,9)+1),"")</f>
        <v/>
      </c>
      <c r="C210" s="9">
        <f t="shared" si="3"/>
        <v>0</v>
      </c>
    </row>
    <row r="211" spans="1:3" x14ac:dyDescent="0.2">
      <c r="A211" s="10" t="str">
        <f>IF(203&gt;$C$9008,"",INDEX($B$9:$B$9008,MATCH(203,$C$9:$C$9008,0)))</f>
        <v/>
      </c>
      <c r="B211" s="9" t="str">
        <f>IFERROR(INDEX(Input!$L$20:$T$1019,INT((ROW()-9)/9)+1,MOD(ROW()-9,9)+1),"")</f>
        <v/>
      </c>
      <c r="C211" s="9">
        <f t="shared" si="3"/>
        <v>0</v>
      </c>
    </row>
    <row r="212" spans="1:3" x14ac:dyDescent="0.2">
      <c r="A212" s="10" t="str">
        <f>IF(204&gt;$C$9008,"",INDEX($B$9:$B$9008,MATCH(204,$C$9:$C$9008,0)))</f>
        <v/>
      </c>
      <c r="B212" s="9" t="str">
        <f>IFERROR(INDEX(Input!$L$20:$T$1019,INT((ROW()-9)/9)+1,MOD(ROW()-9,9)+1),"")</f>
        <v/>
      </c>
      <c r="C212" s="9">
        <f t="shared" si="3"/>
        <v>0</v>
      </c>
    </row>
    <row r="213" spans="1:3" x14ac:dyDescent="0.2">
      <c r="A213" s="10" t="str">
        <f>IF(205&gt;$C$9008,"",INDEX($B$9:$B$9008,MATCH(205,$C$9:$C$9008,0)))</f>
        <v/>
      </c>
      <c r="B213" s="9" t="str">
        <f>IFERROR(INDEX(Input!$L$20:$T$1019,INT((ROW()-9)/9)+1,MOD(ROW()-9,9)+1),"")</f>
        <v/>
      </c>
      <c r="C213" s="9">
        <f t="shared" si="3"/>
        <v>0</v>
      </c>
    </row>
    <row r="214" spans="1:3" x14ac:dyDescent="0.2">
      <c r="A214" s="10" t="str">
        <f>IF(206&gt;$C$9008,"",INDEX($B$9:$B$9008,MATCH(206,$C$9:$C$9008,0)))</f>
        <v/>
      </c>
      <c r="B214" s="9" t="str">
        <f>IFERROR(INDEX(Input!$L$20:$T$1019,INT((ROW()-9)/9)+1,MOD(ROW()-9,9)+1),"")</f>
        <v/>
      </c>
      <c r="C214" s="9">
        <f t="shared" si="3"/>
        <v>0</v>
      </c>
    </row>
    <row r="215" spans="1:3" x14ac:dyDescent="0.2">
      <c r="A215" s="10" t="str">
        <f>IF(207&gt;$C$9008,"",INDEX($B$9:$B$9008,MATCH(207,$C$9:$C$9008,0)))</f>
        <v/>
      </c>
      <c r="B215" s="9" t="str">
        <f>IFERROR(INDEX(Input!$L$20:$T$1019,INT((ROW()-9)/9)+1,MOD(ROW()-9,9)+1),"")</f>
        <v/>
      </c>
      <c r="C215" s="9">
        <f t="shared" si="3"/>
        <v>0</v>
      </c>
    </row>
    <row r="216" spans="1:3" x14ac:dyDescent="0.2">
      <c r="A216" s="10" t="str">
        <f>IF(208&gt;$C$9008,"",INDEX($B$9:$B$9008,MATCH(208,$C$9:$C$9008,0)))</f>
        <v/>
      </c>
      <c r="B216" s="9" t="str">
        <f>IFERROR(INDEX(Input!$L$20:$T$1019,INT((ROW()-9)/9)+1,MOD(ROW()-9,9)+1),"")</f>
        <v/>
      </c>
      <c r="C216" s="9">
        <f t="shared" si="3"/>
        <v>0</v>
      </c>
    </row>
    <row r="217" spans="1:3" x14ac:dyDescent="0.2">
      <c r="A217" s="10" t="str">
        <f>IF(209&gt;$C$9008,"",INDEX($B$9:$B$9008,MATCH(209,$C$9:$C$9008,0)))</f>
        <v/>
      </c>
      <c r="B217" s="9" t="str">
        <f>IFERROR(INDEX(Input!$L$20:$T$1019,INT((ROW()-9)/9)+1,MOD(ROW()-9,9)+1),"")</f>
        <v/>
      </c>
      <c r="C217" s="9">
        <f t="shared" si="3"/>
        <v>0</v>
      </c>
    </row>
    <row r="218" spans="1:3" x14ac:dyDescent="0.2">
      <c r="A218" s="10" t="str">
        <f>IF(210&gt;$C$9008,"",INDEX($B$9:$B$9008,MATCH(210,$C$9:$C$9008,0)))</f>
        <v/>
      </c>
      <c r="B218" s="9" t="str">
        <f>IFERROR(INDEX(Input!$L$20:$T$1019,INT((ROW()-9)/9)+1,MOD(ROW()-9,9)+1),"")</f>
        <v/>
      </c>
      <c r="C218" s="9">
        <f t="shared" si="3"/>
        <v>0</v>
      </c>
    </row>
    <row r="219" spans="1:3" x14ac:dyDescent="0.2">
      <c r="A219" s="10" t="str">
        <f>IF(211&gt;$C$9008,"",INDEX($B$9:$B$9008,MATCH(211,$C$9:$C$9008,0)))</f>
        <v/>
      </c>
      <c r="B219" s="9" t="str">
        <f>IFERROR(INDEX(Input!$L$20:$T$1019,INT((ROW()-9)/9)+1,MOD(ROW()-9,9)+1),"")</f>
        <v/>
      </c>
      <c r="C219" s="9">
        <f t="shared" si="3"/>
        <v>0</v>
      </c>
    </row>
    <row r="220" spans="1:3" x14ac:dyDescent="0.2">
      <c r="A220" s="10" t="str">
        <f>IF(212&gt;$C$9008,"",INDEX($B$9:$B$9008,MATCH(212,$C$9:$C$9008,0)))</f>
        <v/>
      </c>
      <c r="B220" s="9" t="str">
        <f>IFERROR(INDEX(Input!$L$20:$T$1019,INT((ROW()-9)/9)+1,MOD(ROW()-9,9)+1),"")</f>
        <v/>
      </c>
      <c r="C220" s="9">
        <f t="shared" si="3"/>
        <v>0</v>
      </c>
    </row>
    <row r="221" spans="1:3" x14ac:dyDescent="0.2">
      <c r="A221" s="10" t="str">
        <f>IF(213&gt;$C$9008,"",INDEX($B$9:$B$9008,MATCH(213,$C$9:$C$9008,0)))</f>
        <v/>
      </c>
      <c r="B221" s="9" t="str">
        <f>IFERROR(INDEX(Input!$L$20:$T$1019,INT((ROW()-9)/9)+1,MOD(ROW()-9,9)+1),"")</f>
        <v/>
      </c>
      <c r="C221" s="9">
        <f t="shared" si="3"/>
        <v>0</v>
      </c>
    </row>
    <row r="222" spans="1:3" x14ac:dyDescent="0.2">
      <c r="A222" s="10" t="str">
        <f>IF(214&gt;$C$9008,"",INDEX($B$9:$B$9008,MATCH(214,$C$9:$C$9008,0)))</f>
        <v/>
      </c>
      <c r="B222" s="9" t="str">
        <f>IFERROR(INDEX(Input!$L$20:$T$1019,INT((ROW()-9)/9)+1,MOD(ROW()-9,9)+1),"")</f>
        <v/>
      </c>
      <c r="C222" s="9">
        <f t="shared" si="3"/>
        <v>0</v>
      </c>
    </row>
    <row r="223" spans="1:3" x14ac:dyDescent="0.2">
      <c r="A223" s="10" t="str">
        <f>IF(215&gt;$C$9008,"",INDEX($B$9:$B$9008,MATCH(215,$C$9:$C$9008,0)))</f>
        <v/>
      </c>
      <c r="B223" s="9" t="str">
        <f>IFERROR(INDEX(Input!$L$20:$T$1019,INT((ROW()-9)/9)+1,MOD(ROW()-9,9)+1),"")</f>
        <v/>
      </c>
      <c r="C223" s="9">
        <f t="shared" si="3"/>
        <v>0</v>
      </c>
    </row>
    <row r="224" spans="1:3" x14ac:dyDescent="0.2">
      <c r="A224" s="10" t="str">
        <f>IF(216&gt;$C$9008,"",INDEX($B$9:$B$9008,MATCH(216,$C$9:$C$9008,0)))</f>
        <v/>
      </c>
      <c r="B224" s="9" t="str">
        <f>IFERROR(INDEX(Input!$L$20:$T$1019,INT((ROW()-9)/9)+1,MOD(ROW()-9,9)+1),"")</f>
        <v/>
      </c>
      <c r="C224" s="9">
        <f t="shared" si="3"/>
        <v>0</v>
      </c>
    </row>
    <row r="225" spans="1:3" x14ac:dyDescent="0.2">
      <c r="A225" s="10" t="str">
        <f>IF(217&gt;$C$9008,"",INDEX($B$9:$B$9008,MATCH(217,$C$9:$C$9008,0)))</f>
        <v/>
      </c>
      <c r="B225" s="9" t="str">
        <f>IFERROR(INDEX(Input!$L$20:$T$1019,INT((ROW()-9)/9)+1,MOD(ROW()-9,9)+1),"")</f>
        <v/>
      </c>
      <c r="C225" s="9">
        <f t="shared" si="3"/>
        <v>0</v>
      </c>
    </row>
    <row r="226" spans="1:3" x14ac:dyDescent="0.2">
      <c r="A226" s="10" t="str">
        <f>IF(218&gt;$C$9008,"",INDEX($B$9:$B$9008,MATCH(218,$C$9:$C$9008,0)))</f>
        <v/>
      </c>
      <c r="B226" s="9" t="str">
        <f>IFERROR(INDEX(Input!$L$20:$T$1019,INT((ROW()-9)/9)+1,MOD(ROW()-9,9)+1),"")</f>
        <v/>
      </c>
      <c r="C226" s="9">
        <f t="shared" si="3"/>
        <v>0</v>
      </c>
    </row>
    <row r="227" spans="1:3" x14ac:dyDescent="0.2">
      <c r="A227" s="10" t="str">
        <f>IF(219&gt;$C$9008,"",INDEX($B$9:$B$9008,MATCH(219,$C$9:$C$9008,0)))</f>
        <v/>
      </c>
      <c r="B227" s="9" t="str">
        <f>IFERROR(INDEX(Input!$L$20:$T$1019,INT((ROW()-9)/9)+1,MOD(ROW()-9,9)+1),"")</f>
        <v/>
      </c>
      <c r="C227" s="9">
        <f t="shared" si="3"/>
        <v>0</v>
      </c>
    </row>
    <row r="228" spans="1:3" x14ac:dyDescent="0.2">
      <c r="A228" s="10" t="str">
        <f>IF(220&gt;$C$9008,"",INDEX($B$9:$B$9008,MATCH(220,$C$9:$C$9008,0)))</f>
        <v/>
      </c>
      <c r="B228" s="9" t="str">
        <f>IFERROR(INDEX(Input!$L$20:$T$1019,INT((ROW()-9)/9)+1,MOD(ROW()-9,9)+1),"")</f>
        <v/>
      </c>
      <c r="C228" s="9">
        <f t="shared" si="3"/>
        <v>0</v>
      </c>
    </row>
    <row r="229" spans="1:3" x14ac:dyDescent="0.2">
      <c r="A229" s="10" t="str">
        <f>IF(221&gt;$C$9008,"",INDEX($B$9:$B$9008,MATCH(221,$C$9:$C$9008,0)))</f>
        <v/>
      </c>
      <c r="B229" s="9" t="str">
        <f>IFERROR(INDEX(Input!$L$20:$T$1019,INT((ROW()-9)/9)+1,MOD(ROW()-9,9)+1),"")</f>
        <v/>
      </c>
      <c r="C229" s="9">
        <f t="shared" si="3"/>
        <v>0</v>
      </c>
    </row>
    <row r="230" spans="1:3" x14ac:dyDescent="0.2">
      <c r="A230" s="10" t="str">
        <f>IF(222&gt;$C$9008,"",INDEX($B$9:$B$9008,MATCH(222,$C$9:$C$9008,0)))</f>
        <v/>
      </c>
      <c r="B230" s="9" t="str">
        <f>IFERROR(INDEX(Input!$L$20:$T$1019,INT((ROW()-9)/9)+1,MOD(ROW()-9,9)+1),"")</f>
        <v/>
      </c>
      <c r="C230" s="9">
        <f t="shared" si="3"/>
        <v>0</v>
      </c>
    </row>
    <row r="231" spans="1:3" x14ac:dyDescent="0.2">
      <c r="A231" s="10" t="str">
        <f>IF(223&gt;$C$9008,"",INDEX($B$9:$B$9008,MATCH(223,$C$9:$C$9008,0)))</f>
        <v/>
      </c>
      <c r="B231" s="9" t="str">
        <f>IFERROR(INDEX(Input!$L$20:$T$1019,INT((ROW()-9)/9)+1,MOD(ROW()-9,9)+1),"")</f>
        <v/>
      </c>
      <c r="C231" s="9">
        <f t="shared" si="3"/>
        <v>0</v>
      </c>
    </row>
    <row r="232" spans="1:3" x14ac:dyDescent="0.2">
      <c r="A232" s="10" t="str">
        <f>IF(224&gt;$C$9008,"",INDEX($B$9:$B$9008,MATCH(224,$C$9:$C$9008,0)))</f>
        <v/>
      </c>
      <c r="B232" s="9" t="str">
        <f>IFERROR(INDEX(Input!$L$20:$T$1019,INT((ROW()-9)/9)+1,MOD(ROW()-9,9)+1),"")</f>
        <v/>
      </c>
      <c r="C232" s="9">
        <f t="shared" si="3"/>
        <v>0</v>
      </c>
    </row>
    <row r="233" spans="1:3" x14ac:dyDescent="0.2">
      <c r="A233" s="10" t="str">
        <f>IF(225&gt;$C$9008,"",INDEX($B$9:$B$9008,MATCH(225,$C$9:$C$9008,0)))</f>
        <v/>
      </c>
      <c r="B233" s="9" t="str">
        <f>IFERROR(INDEX(Input!$L$20:$T$1019,INT((ROW()-9)/9)+1,MOD(ROW()-9,9)+1),"")</f>
        <v/>
      </c>
      <c r="C233" s="9">
        <f t="shared" si="3"/>
        <v>0</v>
      </c>
    </row>
    <row r="234" spans="1:3" x14ac:dyDescent="0.2">
      <c r="A234" s="10" t="str">
        <f>IF(226&gt;$C$9008,"",INDEX($B$9:$B$9008,MATCH(226,$C$9:$C$9008,0)))</f>
        <v/>
      </c>
      <c r="B234" s="9" t="str">
        <f>IFERROR(INDEX(Input!$L$20:$T$1019,INT((ROW()-9)/9)+1,MOD(ROW()-9,9)+1),"")</f>
        <v/>
      </c>
      <c r="C234" s="9">
        <f t="shared" si="3"/>
        <v>0</v>
      </c>
    </row>
    <row r="235" spans="1:3" x14ac:dyDescent="0.2">
      <c r="A235" s="10" t="str">
        <f>IF(227&gt;$C$9008,"",INDEX($B$9:$B$9008,MATCH(227,$C$9:$C$9008,0)))</f>
        <v/>
      </c>
      <c r="B235" s="9" t="str">
        <f>IFERROR(INDEX(Input!$L$20:$T$1019,INT((ROW()-9)/9)+1,MOD(ROW()-9,9)+1),"")</f>
        <v/>
      </c>
      <c r="C235" s="9">
        <f t="shared" si="3"/>
        <v>0</v>
      </c>
    </row>
    <row r="236" spans="1:3" x14ac:dyDescent="0.2">
      <c r="A236" s="10" t="str">
        <f>IF(228&gt;$C$9008,"",INDEX($B$9:$B$9008,MATCH(228,$C$9:$C$9008,0)))</f>
        <v/>
      </c>
      <c r="B236" s="9" t="str">
        <f>IFERROR(INDEX(Input!$L$20:$T$1019,INT((ROW()-9)/9)+1,MOD(ROW()-9,9)+1),"")</f>
        <v/>
      </c>
      <c r="C236" s="9">
        <f t="shared" si="3"/>
        <v>0</v>
      </c>
    </row>
    <row r="237" spans="1:3" x14ac:dyDescent="0.2">
      <c r="A237" s="10" t="str">
        <f>IF(229&gt;$C$9008,"",INDEX($B$9:$B$9008,MATCH(229,$C$9:$C$9008,0)))</f>
        <v/>
      </c>
      <c r="B237" s="9" t="str">
        <f>IFERROR(INDEX(Input!$L$20:$T$1019,INT((ROW()-9)/9)+1,MOD(ROW()-9,9)+1),"")</f>
        <v/>
      </c>
      <c r="C237" s="9">
        <f t="shared" si="3"/>
        <v>0</v>
      </c>
    </row>
    <row r="238" spans="1:3" x14ac:dyDescent="0.2">
      <c r="A238" s="10" t="str">
        <f>IF(230&gt;$C$9008,"",INDEX($B$9:$B$9008,MATCH(230,$C$9:$C$9008,0)))</f>
        <v/>
      </c>
      <c r="B238" s="9" t="str">
        <f>IFERROR(INDEX(Input!$L$20:$T$1019,INT((ROW()-9)/9)+1,MOD(ROW()-9,9)+1),"")</f>
        <v/>
      </c>
      <c r="C238" s="9">
        <f t="shared" si="3"/>
        <v>0</v>
      </c>
    </row>
    <row r="239" spans="1:3" x14ac:dyDescent="0.2">
      <c r="A239" s="10" t="str">
        <f>IF(231&gt;$C$9008,"",INDEX($B$9:$B$9008,MATCH(231,$C$9:$C$9008,0)))</f>
        <v/>
      </c>
      <c r="B239" s="9" t="str">
        <f>IFERROR(INDEX(Input!$L$20:$T$1019,INT((ROW()-9)/9)+1,MOD(ROW()-9,9)+1),"")</f>
        <v/>
      </c>
      <c r="C239" s="9">
        <f t="shared" si="3"/>
        <v>0</v>
      </c>
    </row>
    <row r="240" spans="1:3" x14ac:dyDescent="0.2">
      <c r="A240" s="10" t="str">
        <f>IF(232&gt;$C$9008,"",INDEX($B$9:$B$9008,MATCH(232,$C$9:$C$9008,0)))</f>
        <v/>
      </c>
      <c r="B240" s="9" t="str">
        <f>IFERROR(INDEX(Input!$L$20:$T$1019,INT((ROW()-9)/9)+1,MOD(ROW()-9,9)+1),"")</f>
        <v/>
      </c>
      <c r="C240" s="9">
        <f t="shared" si="3"/>
        <v>0</v>
      </c>
    </row>
    <row r="241" spans="1:3" x14ac:dyDescent="0.2">
      <c r="A241" s="10" t="str">
        <f>IF(233&gt;$C$9008,"",INDEX($B$9:$B$9008,MATCH(233,$C$9:$C$9008,0)))</f>
        <v/>
      </c>
      <c r="B241" s="9" t="str">
        <f>IFERROR(INDEX(Input!$L$20:$T$1019,INT((ROW()-9)/9)+1,MOD(ROW()-9,9)+1),"")</f>
        <v/>
      </c>
      <c r="C241" s="9">
        <f t="shared" si="3"/>
        <v>0</v>
      </c>
    </row>
    <row r="242" spans="1:3" x14ac:dyDescent="0.2">
      <c r="A242" s="10" t="str">
        <f>IF(234&gt;$C$9008,"",INDEX($B$9:$B$9008,MATCH(234,$C$9:$C$9008,0)))</f>
        <v/>
      </c>
      <c r="B242" s="9" t="str">
        <f>IFERROR(INDEX(Input!$L$20:$T$1019,INT((ROW()-9)/9)+1,MOD(ROW()-9,9)+1),"")</f>
        <v/>
      </c>
      <c r="C242" s="9">
        <f t="shared" si="3"/>
        <v>0</v>
      </c>
    </row>
    <row r="243" spans="1:3" x14ac:dyDescent="0.2">
      <c r="A243" s="10" t="str">
        <f>IF(235&gt;$C$9008,"",INDEX($B$9:$B$9008,MATCH(235,$C$9:$C$9008,0)))</f>
        <v/>
      </c>
      <c r="B243" s="9" t="str">
        <f>IFERROR(INDEX(Input!$L$20:$T$1019,INT((ROW()-9)/9)+1,MOD(ROW()-9,9)+1),"")</f>
        <v/>
      </c>
      <c r="C243" s="9">
        <f t="shared" si="3"/>
        <v>0</v>
      </c>
    </row>
    <row r="244" spans="1:3" x14ac:dyDescent="0.2">
      <c r="A244" s="10" t="str">
        <f>IF(236&gt;$C$9008,"",INDEX($B$9:$B$9008,MATCH(236,$C$9:$C$9008,0)))</f>
        <v/>
      </c>
      <c r="B244" s="9" t="str">
        <f>IFERROR(INDEX(Input!$L$20:$T$1019,INT((ROW()-9)/9)+1,MOD(ROW()-9,9)+1),"")</f>
        <v/>
      </c>
      <c r="C244" s="9">
        <f t="shared" si="3"/>
        <v>0</v>
      </c>
    </row>
    <row r="245" spans="1:3" x14ac:dyDescent="0.2">
      <c r="A245" s="10" t="str">
        <f>IF(237&gt;$C$9008,"",INDEX($B$9:$B$9008,MATCH(237,$C$9:$C$9008,0)))</f>
        <v/>
      </c>
      <c r="B245" s="9" t="str">
        <f>IFERROR(INDEX(Input!$L$20:$T$1019,INT((ROW()-9)/9)+1,MOD(ROW()-9,9)+1),"")</f>
        <v/>
      </c>
      <c r="C245" s="9">
        <f t="shared" si="3"/>
        <v>0</v>
      </c>
    </row>
    <row r="246" spans="1:3" x14ac:dyDescent="0.2">
      <c r="A246" s="10" t="str">
        <f>IF(238&gt;$C$9008,"",INDEX($B$9:$B$9008,MATCH(238,$C$9:$C$9008,0)))</f>
        <v/>
      </c>
      <c r="B246" s="9" t="str">
        <f>IFERROR(INDEX(Input!$L$20:$T$1019,INT((ROW()-9)/9)+1,MOD(ROW()-9,9)+1),"")</f>
        <v/>
      </c>
      <c r="C246" s="9">
        <f t="shared" si="3"/>
        <v>0</v>
      </c>
    </row>
    <row r="247" spans="1:3" x14ac:dyDescent="0.2">
      <c r="A247" s="10" t="str">
        <f>IF(239&gt;$C$9008,"",INDEX($B$9:$B$9008,MATCH(239,$C$9:$C$9008,0)))</f>
        <v/>
      </c>
      <c r="B247" s="9" t="str">
        <f>IFERROR(INDEX(Input!$L$20:$T$1019,INT((ROW()-9)/9)+1,MOD(ROW()-9,9)+1),"")</f>
        <v/>
      </c>
      <c r="C247" s="9">
        <f t="shared" si="3"/>
        <v>0</v>
      </c>
    </row>
    <row r="248" spans="1:3" x14ac:dyDescent="0.2">
      <c r="A248" s="10" t="str">
        <f>IF(240&gt;$C$9008,"",INDEX($B$9:$B$9008,MATCH(240,$C$9:$C$9008,0)))</f>
        <v/>
      </c>
      <c r="B248" s="9" t="str">
        <f>IFERROR(INDEX(Input!$L$20:$T$1019,INT((ROW()-9)/9)+1,MOD(ROW()-9,9)+1),"")</f>
        <v/>
      </c>
      <c r="C248" s="9">
        <f t="shared" si="3"/>
        <v>0</v>
      </c>
    </row>
    <row r="249" spans="1:3" x14ac:dyDescent="0.2">
      <c r="A249" s="10" t="str">
        <f>IF(241&gt;$C$9008,"",INDEX($B$9:$B$9008,MATCH(241,$C$9:$C$9008,0)))</f>
        <v/>
      </c>
      <c r="B249" s="9" t="str">
        <f>IFERROR(INDEX(Input!$L$20:$T$1019,INT((ROW()-9)/9)+1,MOD(ROW()-9,9)+1),"")</f>
        <v/>
      </c>
      <c r="C249" s="9">
        <f t="shared" si="3"/>
        <v>0</v>
      </c>
    </row>
    <row r="250" spans="1:3" x14ac:dyDescent="0.2">
      <c r="A250" s="10" t="str">
        <f>IF(242&gt;$C$9008,"",INDEX($B$9:$B$9008,MATCH(242,$C$9:$C$9008,0)))</f>
        <v/>
      </c>
      <c r="B250" s="9" t="str">
        <f>IFERROR(INDEX(Input!$L$20:$T$1019,INT((ROW()-9)/9)+1,MOD(ROW()-9,9)+1),"")</f>
        <v/>
      </c>
      <c r="C250" s="9">
        <f t="shared" si="3"/>
        <v>0</v>
      </c>
    </row>
    <row r="251" spans="1:3" x14ac:dyDescent="0.2">
      <c r="A251" s="10" t="str">
        <f>IF(243&gt;$C$9008,"",INDEX($B$9:$B$9008,MATCH(243,$C$9:$C$9008,0)))</f>
        <v/>
      </c>
      <c r="B251" s="9" t="str">
        <f>IFERROR(INDEX(Input!$L$20:$T$1019,INT((ROW()-9)/9)+1,MOD(ROW()-9,9)+1),"")</f>
        <v/>
      </c>
      <c r="C251" s="9">
        <f t="shared" si="3"/>
        <v>0</v>
      </c>
    </row>
    <row r="252" spans="1:3" x14ac:dyDescent="0.2">
      <c r="A252" s="10" t="str">
        <f>IF(244&gt;$C$9008,"",INDEX($B$9:$B$9008,MATCH(244,$C$9:$C$9008,0)))</f>
        <v/>
      </c>
      <c r="B252" s="9" t="str">
        <f>IFERROR(INDEX(Input!$L$20:$T$1019,INT((ROW()-9)/9)+1,MOD(ROW()-9,9)+1),"")</f>
        <v/>
      </c>
      <c r="C252" s="9">
        <f t="shared" si="3"/>
        <v>0</v>
      </c>
    </row>
    <row r="253" spans="1:3" x14ac:dyDescent="0.2">
      <c r="A253" s="10" t="str">
        <f>IF(245&gt;$C$9008,"",INDEX($B$9:$B$9008,MATCH(245,$C$9:$C$9008,0)))</f>
        <v/>
      </c>
      <c r="B253" s="9" t="str">
        <f>IFERROR(INDEX(Input!$L$20:$T$1019,INT((ROW()-9)/9)+1,MOD(ROW()-9,9)+1),"")</f>
        <v/>
      </c>
      <c r="C253" s="9">
        <f t="shared" si="3"/>
        <v>0</v>
      </c>
    </row>
    <row r="254" spans="1:3" x14ac:dyDescent="0.2">
      <c r="A254" s="10" t="str">
        <f>IF(246&gt;$C$9008,"",INDEX($B$9:$B$9008,MATCH(246,$C$9:$C$9008,0)))</f>
        <v/>
      </c>
      <c r="B254" s="9" t="str">
        <f>IFERROR(INDEX(Input!$L$20:$T$1019,INT((ROW()-9)/9)+1,MOD(ROW()-9,9)+1),"")</f>
        <v/>
      </c>
      <c r="C254" s="9">
        <f t="shared" si="3"/>
        <v>0</v>
      </c>
    </row>
    <row r="255" spans="1:3" x14ac:dyDescent="0.2">
      <c r="A255" s="10" t="str">
        <f>IF(247&gt;$C$9008,"",INDEX($B$9:$B$9008,MATCH(247,$C$9:$C$9008,0)))</f>
        <v/>
      </c>
      <c r="B255" s="9" t="str">
        <f>IFERROR(INDEX(Input!$L$20:$T$1019,INT((ROW()-9)/9)+1,MOD(ROW()-9,9)+1),"")</f>
        <v/>
      </c>
      <c r="C255" s="9">
        <f t="shared" si="3"/>
        <v>0</v>
      </c>
    </row>
    <row r="256" spans="1:3" x14ac:dyDescent="0.2">
      <c r="A256" s="10" t="str">
        <f>IF(248&gt;$C$9008,"",INDEX($B$9:$B$9008,MATCH(248,$C$9:$C$9008,0)))</f>
        <v/>
      </c>
      <c r="B256" s="9" t="str">
        <f>IFERROR(INDEX(Input!$L$20:$T$1019,INT((ROW()-9)/9)+1,MOD(ROW()-9,9)+1),"")</f>
        <v/>
      </c>
      <c r="C256" s="9">
        <f t="shared" si="3"/>
        <v>0</v>
      </c>
    </row>
    <row r="257" spans="1:3" x14ac:dyDescent="0.2">
      <c r="A257" s="10" t="str">
        <f>IF(249&gt;$C$9008,"",INDEX($B$9:$B$9008,MATCH(249,$C$9:$C$9008,0)))</f>
        <v/>
      </c>
      <c r="B257" s="9" t="str">
        <f>IFERROR(INDEX(Input!$L$20:$T$1019,INT((ROW()-9)/9)+1,MOD(ROW()-9,9)+1),"")</f>
        <v/>
      </c>
      <c r="C257" s="9">
        <f t="shared" si="3"/>
        <v>0</v>
      </c>
    </row>
    <row r="258" spans="1:3" x14ac:dyDescent="0.2">
      <c r="A258" s="10" t="str">
        <f>IF(250&gt;$C$9008,"",INDEX($B$9:$B$9008,MATCH(250,$C$9:$C$9008,0)))</f>
        <v/>
      </c>
      <c r="B258" s="9" t="str">
        <f>IFERROR(INDEX(Input!$L$20:$T$1019,INT((ROW()-9)/9)+1,MOD(ROW()-9,9)+1),"")</f>
        <v/>
      </c>
      <c r="C258" s="9">
        <f t="shared" si="3"/>
        <v>0</v>
      </c>
    </row>
    <row r="259" spans="1:3" x14ac:dyDescent="0.2">
      <c r="A259" s="10" t="str">
        <f>IF(251&gt;$C$9008,"",INDEX($B$9:$B$9008,MATCH(251,$C$9:$C$9008,0)))</f>
        <v/>
      </c>
      <c r="B259" s="9" t="str">
        <f>IFERROR(INDEX(Input!$L$20:$T$1019,INT((ROW()-9)/9)+1,MOD(ROW()-9,9)+1),"")</f>
        <v/>
      </c>
      <c r="C259" s="9">
        <f t="shared" si="3"/>
        <v>0</v>
      </c>
    </row>
    <row r="260" spans="1:3" x14ac:dyDescent="0.2">
      <c r="A260" s="10" t="str">
        <f>IF(252&gt;$C$9008,"",INDEX($B$9:$B$9008,MATCH(252,$C$9:$C$9008,0)))</f>
        <v/>
      </c>
      <c r="B260" s="9" t="str">
        <f>IFERROR(INDEX(Input!$L$20:$T$1019,INT((ROW()-9)/9)+1,MOD(ROW()-9,9)+1),"")</f>
        <v/>
      </c>
      <c r="C260" s="9">
        <f t="shared" si="3"/>
        <v>0</v>
      </c>
    </row>
    <row r="261" spans="1:3" x14ac:dyDescent="0.2">
      <c r="A261" s="10" t="str">
        <f>IF(253&gt;$C$9008,"",INDEX($B$9:$B$9008,MATCH(253,$C$9:$C$9008,0)))</f>
        <v/>
      </c>
      <c r="B261" s="9" t="str">
        <f>IFERROR(INDEX(Input!$L$20:$T$1019,INT((ROW()-9)/9)+1,MOD(ROW()-9,9)+1),"")</f>
        <v/>
      </c>
      <c r="C261" s="9">
        <f t="shared" si="3"/>
        <v>0</v>
      </c>
    </row>
    <row r="262" spans="1:3" x14ac:dyDescent="0.2">
      <c r="A262" s="10" t="str">
        <f>IF(254&gt;$C$9008,"",INDEX($B$9:$B$9008,MATCH(254,$C$9:$C$9008,0)))</f>
        <v/>
      </c>
      <c r="B262" s="9" t="str">
        <f>IFERROR(INDEX(Input!$L$20:$T$1019,INT((ROW()-9)/9)+1,MOD(ROW()-9,9)+1),"")</f>
        <v/>
      </c>
      <c r="C262" s="9">
        <f t="shared" si="3"/>
        <v>0</v>
      </c>
    </row>
    <row r="263" spans="1:3" x14ac:dyDescent="0.2">
      <c r="A263" s="10" t="str">
        <f>IF(255&gt;$C$9008,"",INDEX($B$9:$B$9008,MATCH(255,$C$9:$C$9008,0)))</f>
        <v/>
      </c>
      <c r="B263" s="9" t="str">
        <f>IFERROR(INDEX(Input!$L$20:$T$1019,INT((ROW()-9)/9)+1,MOD(ROW()-9,9)+1),"")</f>
        <v/>
      </c>
      <c r="C263" s="9">
        <f t="shared" si="3"/>
        <v>0</v>
      </c>
    </row>
    <row r="264" spans="1:3" x14ac:dyDescent="0.2">
      <c r="A264" s="10" t="str">
        <f>IF(256&gt;$C$9008,"",INDEX($B$9:$B$9008,MATCH(256,$C$9:$C$9008,0)))</f>
        <v/>
      </c>
      <c r="B264" s="9" t="str">
        <f>IFERROR(INDEX(Input!$L$20:$T$1019,INT((ROW()-9)/9)+1,MOD(ROW()-9,9)+1),"")</f>
        <v/>
      </c>
      <c r="C264" s="9">
        <f t="shared" si="3"/>
        <v>0</v>
      </c>
    </row>
    <row r="265" spans="1:3" x14ac:dyDescent="0.2">
      <c r="A265" s="10" t="str">
        <f>IF(257&gt;$C$9008,"",INDEX($B$9:$B$9008,MATCH(257,$C$9:$C$9008,0)))</f>
        <v/>
      </c>
      <c r="B265" s="9" t="str">
        <f>IFERROR(INDEX(Input!$L$20:$T$1019,INT((ROW()-9)/9)+1,MOD(ROW()-9,9)+1),"")</f>
        <v/>
      </c>
      <c r="C265" s="9">
        <f t="shared" ref="C265:C328" si="4">$C264+IF($B265&lt;&gt;"",1,0)</f>
        <v>0</v>
      </c>
    </row>
    <row r="266" spans="1:3" x14ac:dyDescent="0.2">
      <c r="A266" s="10" t="str">
        <f>IF(258&gt;$C$9008,"",INDEX($B$9:$B$9008,MATCH(258,$C$9:$C$9008,0)))</f>
        <v/>
      </c>
      <c r="B266" s="9" t="str">
        <f>IFERROR(INDEX(Input!$L$20:$T$1019,INT((ROW()-9)/9)+1,MOD(ROW()-9,9)+1),"")</f>
        <v/>
      </c>
      <c r="C266" s="9">
        <f t="shared" si="4"/>
        <v>0</v>
      </c>
    </row>
    <row r="267" spans="1:3" x14ac:dyDescent="0.2">
      <c r="A267" s="10" t="str">
        <f>IF(259&gt;$C$9008,"",INDEX($B$9:$B$9008,MATCH(259,$C$9:$C$9008,0)))</f>
        <v/>
      </c>
      <c r="B267" s="9" t="str">
        <f>IFERROR(INDEX(Input!$L$20:$T$1019,INT((ROW()-9)/9)+1,MOD(ROW()-9,9)+1),"")</f>
        <v/>
      </c>
      <c r="C267" s="9">
        <f t="shared" si="4"/>
        <v>0</v>
      </c>
    </row>
    <row r="268" spans="1:3" x14ac:dyDescent="0.2">
      <c r="A268" s="10" t="str">
        <f>IF(260&gt;$C$9008,"",INDEX($B$9:$B$9008,MATCH(260,$C$9:$C$9008,0)))</f>
        <v/>
      </c>
      <c r="B268" s="9" t="str">
        <f>IFERROR(INDEX(Input!$L$20:$T$1019,INT((ROW()-9)/9)+1,MOD(ROW()-9,9)+1),"")</f>
        <v/>
      </c>
      <c r="C268" s="9">
        <f t="shared" si="4"/>
        <v>0</v>
      </c>
    </row>
    <row r="269" spans="1:3" x14ac:dyDescent="0.2">
      <c r="A269" s="10" t="str">
        <f>IF(261&gt;$C$9008,"",INDEX($B$9:$B$9008,MATCH(261,$C$9:$C$9008,0)))</f>
        <v/>
      </c>
      <c r="B269" s="9" t="str">
        <f>IFERROR(INDEX(Input!$L$20:$T$1019,INT((ROW()-9)/9)+1,MOD(ROW()-9,9)+1),"")</f>
        <v/>
      </c>
      <c r="C269" s="9">
        <f t="shared" si="4"/>
        <v>0</v>
      </c>
    </row>
    <row r="270" spans="1:3" x14ac:dyDescent="0.2">
      <c r="A270" s="10" t="str">
        <f>IF(262&gt;$C$9008,"",INDEX($B$9:$B$9008,MATCH(262,$C$9:$C$9008,0)))</f>
        <v/>
      </c>
      <c r="B270" s="9" t="str">
        <f>IFERROR(INDEX(Input!$L$20:$T$1019,INT((ROW()-9)/9)+1,MOD(ROW()-9,9)+1),"")</f>
        <v/>
      </c>
      <c r="C270" s="9">
        <f t="shared" si="4"/>
        <v>0</v>
      </c>
    </row>
    <row r="271" spans="1:3" x14ac:dyDescent="0.2">
      <c r="A271" s="10" t="str">
        <f>IF(263&gt;$C$9008,"",INDEX($B$9:$B$9008,MATCH(263,$C$9:$C$9008,0)))</f>
        <v/>
      </c>
      <c r="B271" s="9" t="str">
        <f>IFERROR(INDEX(Input!$L$20:$T$1019,INT((ROW()-9)/9)+1,MOD(ROW()-9,9)+1),"")</f>
        <v/>
      </c>
      <c r="C271" s="9">
        <f t="shared" si="4"/>
        <v>0</v>
      </c>
    </row>
    <row r="272" spans="1:3" x14ac:dyDescent="0.2">
      <c r="A272" s="10" t="str">
        <f>IF(264&gt;$C$9008,"",INDEX($B$9:$B$9008,MATCH(264,$C$9:$C$9008,0)))</f>
        <v/>
      </c>
      <c r="B272" s="9" t="str">
        <f>IFERROR(INDEX(Input!$L$20:$T$1019,INT((ROW()-9)/9)+1,MOD(ROW()-9,9)+1),"")</f>
        <v/>
      </c>
      <c r="C272" s="9">
        <f t="shared" si="4"/>
        <v>0</v>
      </c>
    </row>
    <row r="273" spans="1:3" x14ac:dyDescent="0.2">
      <c r="A273" s="10" t="str">
        <f>IF(265&gt;$C$9008,"",INDEX($B$9:$B$9008,MATCH(265,$C$9:$C$9008,0)))</f>
        <v/>
      </c>
      <c r="B273" s="9" t="str">
        <f>IFERROR(INDEX(Input!$L$20:$T$1019,INT((ROW()-9)/9)+1,MOD(ROW()-9,9)+1),"")</f>
        <v/>
      </c>
      <c r="C273" s="9">
        <f t="shared" si="4"/>
        <v>0</v>
      </c>
    </row>
    <row r="274" spans="1:3" x14ac:dyDescent="0.2">
      <c r="A274" s="10" t="str">
        <f>IF(266&gt;$C$9008,"",INDEX($B$9:$B$9008,MATCH(266,$C$9:$C$9008,0)))</f>
        <v/>
      </c>
      <c r="B274" s="9" t="str">
        <f>IFERROR(INDEX(Input!$L$20:$T$1019,INT((ROW()-9)/9)+1,MOD(ROW()-9,9)+1),"")</f>
        <v/>
      </c>
      <c r="C274" s="9">
        <f t="shared" si="4"/>
        <v>0</v>
      </c>
    </row>
    <row r="275" spans="1:3" x14ac:dyDescent="0.2">
      <c r="A275" s="10" t="str">
        <f>IF(267&gt;$C$9008,"",INDEX($B$9:$B$9008,MATCH(267,$C$9:$C$9008,0)))</f>
        <v/>
      </c>
      <c r="B275" s="9" t="str">
        <f>IFERROR(INDEX(Input!$L$20:$T$1019,INT((ROW()-9)/9)+1,MOD(ROW()-9,9)+1),"")</f>
        <v/>
      </c>
      <c r="C275" s="9">
        <f t="shared" si="4"/>
        <v>0</v>
      </c>
    </row>
    <row r="276" spans="1:3" x14ac:dyDescent="0.2">
      <c r="A276" s="10" t="str">
        <f>IF(268&gt;$C$9008,"",INDEX($B$9:$B$9008,MATCH(268,$C$9:$C$9008,0)))</f>
        <v/>
      </c>
      <c r="B276" s="9" t="str">
        <f>IFERROR(INDEX(Input!$L$20:$T$1019,INT((ROW()-9)/9)+1,MOD(ROW()-9,9)+1),"")</f>
        <v/>
      </c>
      <c r="C276" s="9">
        <f t="shared" si="4"/>
        <v>0</v>
      </c>
    </row>
    <row r="277" spans="1:3" x14ac:dyDescent="0.2">
      <c r="A277" s="10" t="str">
        <f>IF(269&gt;$C$9008,"",INDEX($B$9:$B$9008,MATCH(269,$C$9:$C$9008,0)))</f>
        <v/>
      </c>
      <c r="B277" s="9" t="str">
        <f>IFERROR(INDEX(Input!$L$20:$T$1019,INT((ROW()-9)/9)+1,MOD(ROW()-9,9)+1),"")</f>
        <v/>
      </c>
      <c r="C277" s="9">
        <f t="shared" si="4"/>
        <v>0</v>
      </c>
    </row>
    <row r="278" spans="1:3" x14ac:dyDescent="0.2">
      <c r="A278" s="10" t="str">
        <f>IF(270&gt;$C$9008,"",INDEX($B$9:$B$9008,MATCH(270,$C$9:$C$9008,0)))</f>
        <v/>
      </c>
      <c r="B278" s="9" t="str">
        <f>IFERROR(INDEX(Input!$L$20:$T$1019,INT((ROW()-9)/9)+1,MOD(ROW()-9,9)+1),"")</f>
        <v/>
      </c>
      <c r="C278" s="9">
        <f t="shared" si="4"/>
        <v>0</v>
      </c>
    </row>
    <row r="279" spans="1:3" x14ac:dyDescent="0.2">
      <c r="A279" s="10" t="str">
        <f>IF(271&gt;$C$9008,"",INDEX($B$9:$B$9008,MATCH(271,$C$9:$C$9008,0)))</f>
        <v/>
      </c>
      <c r="B279" s="9" t="str">
        <f>IFERROR(INDEX(Input!$L$20:$T$1019,INT((ROW()-9)/9)+1,MOD(ROW()-9,9)+1),"")</f>
        <v/>
      </c>
      <c r="C279" s="9">
        <f t="shared" si="4"/>
        <v>0</v>
      </c>
    </row>
    <row r="280" spans="1:3" x14ac:dyDescent="0.2">
      <c r="A280" s="10" t="str">
        <f>IF(272&gt;$C$9008,"",INDEX($B$9:$B$9008,MATCH(272,$C$9:$C$9008,0)))</f>
        <v/>
      </c>
      <c r="B280" s="9" t="str">
        <f>IFERROR(INDEX(Input!$L$20:$T$1019,INT((ROW()-9)/9)+1,MOD(ROW()-9,9)+1),"")</f>
        <v/>
      </c>
      <c r="C280" s="9">
        <f t="shared" si="4"/>
        <v>0</v>
      </c>
    </row>
    <row r="281" spans="1:3" x14ac:dyDescent="0.2">
      <c r="A281" s="10" t="str">
        <f>IF(273&gt;$C$9008,"",INDEX($B$9:$B$9008,MATCH(273,$C$9:$C$9008,0)))</f>
        <v/>
      </c>
      <c r="B281" s="9" t="str">
        <f>IFERROR(INDEX(Input!$L$20:$T$1019,INT((ROW()-9)/9)+1,MOD(ROW()-9,9)+1),"")</f>
        <v/>
      </c>
      <c r="C281" s="9">
        <f t="shared" si="4"/>
        <v>0</v>
      </c>
    </row>
    <row r="282" spans="1:3" x14ac:dyDescent="0.2">
      <c r="A282" s="10" t="str">
        <f>IF(274&gt;$C$9008,"",INDEX($B$9:$B$9008,MATCH(274,$C$9:$C$9008,0)))</f>
        <v/>
      </c>
      <c r="B282" s="9" t="str">
        <f>IFERROR(INDEX(Input!$L$20:$T$1019,INT((ROW()-9)/9)+1,MOD(ROW()-9,9)+1),"")</f>
        <v/>
      </c>
      <c r="C282" s="9">
        <f t="shared" si="4"/>
        <v>0</v>
      </c>
    </row>
    <row r="283" spans="1:3" x14ac:dyDescent="0.2">
      <c r="A283" s="10" t="str">
        <f>IF(275&gt;$C$9008,"",INDEX($B$9:$B$9008,MATCH(275,$C$9:$C$9008,0)))</f>
        <v/>
      </c>
      <c r="B283" s="9" t="str">
        <f>IFERROR(INDEX(Input!$L$20:$T$1019,INT((ROW()-9)/9)+1,MOD(ROW()-9,9)+1),"")</f>
        <v/>
      </c>
      <c r="C283" s="9">
        <f t="shared" si="4"/>
        <v>0</v>
      </c>
    </row>
    <row r="284" spans="1:3" x14ac:dyDescent="0.2">
      <c r="A284" s="10" t="str">
        <f>IF(276&gt;$C$9008,"",INDEX($B$9:$B$9008,MATCH(276,$C$9:$C$9008,0)))</f>
        <v/>
      </c>
      <c r="B284" s="9" t="str">
        <f>IFERROR(INDEX(Input!$L$20:$T$1019,INT((ROW()-9)/9)+1,MOD(ROW()-9,9)+1),"")</f>
        <v/>
      </c>
      <c r="C284" s="9">
        <f t="shared" si="4"/>
        <v>0</v>
      </c>
    </row>
    <row r="285" spans="1:3" x14ac:dyDescent="0.2">
      <c r="A285" s="10" t="str">
        <f>IF(277&gt;$C$9008,"",INDEX($B$9:$B$9008,MATCH(277,$C$9:$C$9008,0)))</f>
        <v/>
      </c>
      <c r="B285" s="9" t="str">
        <f>IFERROR(INDEX(Input!$L$20:$T$1019,INT((ROW()-9)/9)+1,MOD(ROW()-9,9)+1),"")</f>
        <v/>
      </c>
      <c r="C285" s="9">
        <f t="shared" si="4"/>
        <v>0</v>
      </c>
    </row>
    <row r="286" spans="1:3" x14ac:dyDescent="0.2">
      <c r="A286" s="10" t="str">
        <f>IF(278&gt;$C$9008,"",INDEX($B$9:$B$9008,MATCH(278,$C$9:$C$9008,0)))</f>
        <v/>
      </c>
      <c r="B286" s="9" t="str">
        <f>IFERROR(INDEX(Input!$L$20:$T$1019,INT((ROW()-9)/9)+1,MOD(ROW()-9,9)+1),"")</f>
        <v/>
      </c>
      <c r="C286" s="9">
        <f t="shared" si="4"/>
        <v>0</v>
      </c>
    </row>
    <row r="287" spans="1:3" x14ac:dyDescent="0.2">
      <c r="A287" s="10" t="str">
        <f>IF(279&gt;$C$9008,"",INDEX($B$9:$B$9008,MATCH(279,$C$9:$C$9008,0)))</f>
        <v/>
      </c>
      <c r="B287" s="9" t="str">
        <f>IFERROR(INDEX(Input!$L$20:$T$1019,INT((ROW()-9)/9)+1,MOD(ROW()-9,9)+1),"")</f>
        <v/>
      </c>
      <c r="C287" s="9">
        <f t="shared" si="4"/>
        <v>0</v>
      </c>
    </row>
    <row r="288" spans="1:3" x14ac:dyDescent="0.2">
      <c r="A288" s="10" t="str">
        <f>IF(280&gt;$C$9008,"",INDEX($B$9:$B$9008,MATCH(280,$C$9:$C$9008,0)))</f>
        <v/>
      </c>
      <c r="B288" s="9" t="str">
        <f>IFERROR(INDEX(Input!$L$20:$T$1019,INT((ROW()-9)/9)+1,MOD(ROW()-9,9)+1),"")</f>
        <v/>
      </c>
      <c r="C288" s="9">
        <f t="shared" si="4"/>
        <v>0</v>
      </c>
    </row>
    <row r="289" spans="1:3" x14ac:dyDescent="0.2">
      <c r="A289" s="10" t="str">
        <f>IF(281&gt;$C$9008,"",INDEX($B$9:$B$9008,MATCH(281,$C$9:$C$9008,0)))</f>
        <v/>
      </c>
      <c r="B289" s="9" t="str">
        <f>IFERROR(INDEX(Input!$L$20:$T$1019,INT((ROW()-9)/9)+1,MOD(ROW()-9,9)+1),"")</f>
        <v/>
      </c>
      <c r="C289" s="9">
        <f t="shared" si="4"/>
        <v>0</v>
      </c>
    </row>
    <row r="290" spans="1:3" x14ac:dyDescent="0.2">
      <c r="A290" s="10" t="str">
        <f>IF(282&gt;$C$9008,"",INDEX($B$9:$B$9008,MATCH(282,$C$9:$C$9008,0)))</f>
        <v/>
      </c>
      <c r="B290" s="9" t="str">
        <f>IFERROR(INDEX(Input!$L$20:$T$1019,INT((ROW()-9)/9)+1,MOD(ROW()-9,9)+1),"")</f>
        <v/>
      </c>
      <c r="C290" s="9">
        <f t="shared" si="4"/>
        <v>0</v>
      </c>
    </row>
    <row r="291" spans="1:3" x14ac:dyDescent="0.2">
      <c r="A291" s="10" t="str">
        <f>IF(283&gt;$C$9008,"",INDEX($B$9:$B$9008,MATCH(283,$C$9:$C$9008,0)))</f>
        <v/>
      </c>
      <c r="B291" s="9" t="str">
        <f>IFERROR(INDEX(Input!$L$20:$T$1019,INT((ROW()-9)/9)+1,MOD(ROW()-9,9)+1),"")</f>
        <v/>
      </c>
      <c r="C291" s="9">
        <f t="shared" si="4"/>
        <v>0</v>
      </c>
    </row>
    <row r="292" spans="1:3" x14ac:dyDescent="0.2">
      <c r="A292" s="10" t="str">
        <f>IF(284&gt;$C$9008,"",INDEX($B$9:$B$9008,MATCH(284,$C$9:$C$9008,0)))</f>
        <v/>
      </c>
      <c r="B292" s="9" t="str">
        <f>IFERROR(INDEX(Input!$L$20:$T$1019,INT((ROW()-9)/9)+1,MOD(ROW()-9,9)+1),"")</f>
        <v/>
      </c>
      <c r="C292" s="9">
        <f t="shared" si="4"/>
        <v>0</v>
      </c>
    </row>
    <row r="293" spans="1:3" x14ac:dyDescent="0.2">
      <c r="A293" s="10" t="str">
        <f>IF(285&gt;$C$9008,"",INDEX($B$9:$B$9008,MATCH(285,$C$9:$C$9008,0)))</f>
        <v/>
      </c>
      <c r="B293" s="9" t="str">
        <f>IFERROR(INDEX(Input!$L$20:$T$1019,INT((ROW()-9)/9)+1,MOD(ROW()-9,9)+1),"")</f>
        <v/>
      </c>
      <c r="C293" s="9">
        <f t="shared" si="4"/>
        <v>0</v>
      </c>
    </row>
    <row r="294" spans="1:3" x14ac:dyDescent="0.2">
      <c r="A294" s="10" t="str">
        <f>IF(286&gt;$C$9008,"",INDEX($B$9:$B$9008,MATCH(286,$C$9:$C$9008,0)))</f>
        <v/>
      </c>
      <c r="B294" s="9" t="str">
        <f>IFERROR(INDEX(Input!$L$20:$T$1019,INT((ROW()-9)/9)+1,MOD(ROW()-9,9)+1),"")</f>
        <v/>
      </c>
      <c r="C294" s="9">
        <f t="shared" si="4"/>
        <v>0</v>
      </c>
    </row>
    <row r="295" spans="1:3" x14ac:dyDescent="0.2">
      <c r="A295" s="10" t="str">
        <f>IF(287&gt;$C$9008,"",INDEX($B$9:$B$9008,MATCH(287,$C$9:$C$9008,0)))</f>
        <v/>
      </c>
      <c r="B295" s="9" t="str">
        <f>IFERROR(INDEX(Input!$L$20:$T$1019,INT((ROW()-9)/9)+1,MOD(ROW()-9,9)+1),"")</f>
        <v/>
      </c>
      <c r="C295" s="9">
        <f t="shared" si="4"/>
        <v>0</v>
      </c>
    </row>
    <row r="296" spans="1:3" x14ac:dyDescent="0.2">
      <c r="A296" s="10" t="str">
        <f>IF(288&gt;$C$9008,"",INDEX($B$9:$B$9008,MATCH(288,$C$9:$C$9008,0)))</f>
        <v/>
      </c>
      <c r="B296" s="9" t="str">
        <f>IFERROR(INDEX(Input!$L$20:$T$1019,INT((ROW()-9)/9)+1,MOD(ROW()-9,9)+1),"")</f>
        <v/>
      </c>
      <c r="C296" s="9">
        <f t="shared" si="4"/>
        <v>0</v>
      </c>
    </row>
    <row r="297" spans="1:3" x14ac:dyDescent="0.2">
      <c r="A297" s="10" t="str">
        <f>IF(289&gt;$C$9008,"",INDEX($B$9:$B$9008,MATCH(289,$C$9:$C$9008,0)))</f>
        <v/>
      </c>
      <c r="B297" s="9" t="str">
        <f>IFERROR(INDEX(Input!$L$20:$T$1019,INT((ROW()-9)/9)+1,MOD(ROW()-9,9)+1),"")</f>
        <v/>
      </c>
      <c r="C297" s="9">
        <f t="shared" si="4"/>
        <v>0</v>
      </c>
    </row>
    <row r="298" spans="1:3" x14ac:dyDescent="0.2">
      <c r="A298" s="10" t="str">
        <f>IF(290&gt;$C$9008,"",INDEX($B$9:$B$9008,MATCH(290,$C$9:$C$9008,0)))</f>
        <v/>
      </c>
      <c r="B298" s="9" t="str">
        <f>IFERROR(INDEX(Input!$L$20:$T$1019,INT((ROW()-9)/9)+1,MOD(ROW()-9,9)+1),"")</f>
        <v/>
      </c>
      <c r="C298" s="9">
        <f t="shared" si="4"/>
        <v>0</v>
      </c>
    </row>
    <row r="299" spans="1:3" x14ac:dyDescent="0.2">
      <c r="A299" s="10" t="str">
        <f>IF(291&gt;$C$9008,"",INDEX($B$9:$B$9008,MATCH(291,$C$9:$C$9008,0)))</f>
        <v/>
      </c>
      <c r="B299" s="9" t="str">
        <f>IFERROR(INDEX(Input!$L$20:$T$1019,INT((ROW()-9)/9)+1,MOD(ROW()-9,9)+1),"")</f>
        <v/>
      </c>
      <c r="C299" s="9">
        <f t="shared" si="4"/>
        <v>0</v>
      </c>
    </row>
    <row r="300" spans="1:3" x14ac:dyDescent="0.2">
      <c r="A300" s="10" t="str">
        <f>IF(292&gt;$C$9008,"",INDEX($B$9:$B$9008,MATCH(292,$C$9:$C$9008,0)))</f>
        <v/>
      </c>
      <c r="B300" s="9" t="str">
        <f>IFERROR(INDEX(Input!$L$20:$T$1019,INT((ROW()-9)/9)+1,MOD(ROW()-9,9)+1),"")</f>
        <v/>
      </c>
      <c r="C300" s="9">
        <f t="shared" si="4"/>
        <v>0</v>
      </c>
    </row>
    <row r="301" spans="1:3" x14ac:dyDescent="0.2">
      <c r="A301" s="10" t="str">
        <f>IF(293&gt;$C$9008,"",INDEX($B$9:$B$9008,MATCH(293,$C$9:$C$9008,0)))</f>
        <v/>
      </c>
      <c r="B301" s="9" t="str">
        <f>IFERROR(INDEX(Input!$L$20:$T$1019,INT((ROW()-9)/9)+1,MOD(ROW()-9,9)+1),"")</f>
        <v/>
      </c>
      <c r="C301" s="9">
        <f t="shared" si="4"/>
        <v>0</v>
      </c>
    </row>
    <row r="302" spans="1:3" x14ac:dyDescent="0.2">
      <c r="A302" s="10" t="str">
        <f>IF(294&gt;$C$9008,"",INDEX($B$9:$B$9008,MATCH(294,$C$9:$C$9008,0)))</f>
        <v/>
      </c>
      <c r="B302" s="9" t="str">
        <f>IFERROR(INDEX(Input!$L$20:$T$1019,INT((ROW()-9)/9)+1,MOD(ROW()-9,9)+1),"")</f>
        <v/>
      </c>
      <c r="C302" s="9">
        <f t="shared" si="4"/>
        <v>0</v>
      </c>
    </row>
    <row r="303" spans="1:3" x14ac:dyDescent="0.2">
      <c r="A303" s="10" t="str">
        <f>IF(295&gt;$C$9008,"",INDEX($B$9:$B$9008,MATCH(295,$C$9:$C$9008,0)))</f>
        <v/>
      </c>
      <c r="B303" s="9" t="str">
        <f>IFERROR(INDEX(Input!$L$20:$T$1019,INT((ROW()-9)/9)+1,MOD(ROW()-9,9)+1),"")</f>
        <v/>
      </c>
      <c r="C303" s="9">
        <f t="shared" si="4"/>
        <v>0</v>
      </c>
    </row>
    <row r="304" spans="1:3" x14ac:dyDescent="0.2">
      <c r="A304" s="10" t="str">
        <f>IF(296&gt;$C$9008,"",INDEX($B$9:$B$9008,MATCH(296,$C$9:$C$9008,0)))</f>
        <v/>
      </c>
      <c r="B304" s="9" t="str">
        <f>IFERROR(INDEX(Input!$L$20:$T$1019,INT((ROW()-9)/9)+1,MOD(ROW()-9,9)+1),"")</f>
        <v/>
      </c>
      <c r="C304" s="9">
        <f t="shared" si="4"/>
        <v>0</v>
      </c>
    </row>
    <row r="305" spans="1:3" x14ac:dyDescent="0.2">
      <c r="A305" s="10" t="str">
        <f>IF(297&gt;$C$9008,"",INDEX($B$9:$B$9008,MATCH(297,$C$9:$C$9008,0)))</f>
        <v/>
      </c>
      <c r="B305" s="9" t="str">
        <f>IFERROR(INDEX(Input!$L$20:$T$1019,INT((ROW()-9)/9)+1,MOD(ROW()-9,9)+1),"")</f>
        <v/>
      </c>
      <c r="C305" s="9">
        <f t="shared" si="4"/>
        <v>0</v>
      </c>
    </row>
    <row r="306" spans="1:3" x14ac:dyDescent="0.2">
      <c r="A306" s="10" t="str">
        <f>IF(298&gt;$C$9008,"",INDEX($B$9:$B$9008,MATCH(298,$C$9:$C$9008,0)))</f>
        <v/>
      </c>
      <c r="B306" s="9" t="str">
        <f>IFERROR(INDEX(Input!$L$20:$T$1019,INT((ROW()-9)/9)+1,MOD(ROW()-9,9)+1),"")</f>
        <v/>
      </c>
      <c r="C306" s="9">
        <f t="shared" si="4"/>
        <v>0</v>
      </c>
    </row>
    <row r="307" spans="1:3" x14ac:dyDescent="0.2">
      <c r="A307" s="10" t="str">
        <f>IF(299&gt;$C$9008,"",INDEX($B$9:$B$9008,MATCH(299,$C$9:$C$9008,0)))</f>
        <v/>
      </c>
      <c r="B307" s="9" t="str">
        <f>IFERROR(INDEX(Input!$L$20:$T$1019,INT((ROW()-9)/9)+1,MOD(ROW()-9,9)+1),"")</f>
        <v/>
      </c>
      <c r="C307" s="9">
        <f t="shared" si="4"/>
        <v>0</v>
      </c>
    </row>
    <row r="308" spans="1:3" x14ac:dyDescent="0.2">
      <c r="A308" s="10" t="str">
        <f>IF(300&gt;$C$9008,"",INDEX($B$9:$B$9008,MATCH(300,$C$9:$C$9008,0)))</f>
        <v/>
      </c>
      <c r="B308" s="9" t="str">
        <f>IFERROR(INDEX(Input!$L$20:$T$1019,INT((ROW()-9)/9)+1,MOD(ROW()-9,9)+1),"")</f>
        <v/>
      </c>
      <c r="C308" s="9">
        <f t="shared" si="4"/>
        <v>0</v>
      </c>
    </row>
    <row r="309" spans="1:3" x14ac:dyDescent="0.2">
      <c r="A309" s="10" t="str">
        <f>IF(301&gt;$C$9008,"",INDEX($B$9:$B$9008,MATCH(301,$C$9:$C$9008,0)))</f>
        <v/>
      </c>
      <c r="B309" s="9" t="str">
        <f>IFERROR(INDEX(Input!$L$20:$T$1019,INT((ROW()-9)/9)+1,MOD(ROW()-9,9)+1),"")</f>
        <v/>
      </c>
      <c r="C309" s="9">
        <f t="shared" si="4"/>
        <v>0</v>
      </c>
    </row>
    <row r="310" spans="1:3" x14ac:dyDescent="0.2">
      <c r="A310" s="10" t="str">
        <f>IF(302&gt;$C$9008,"",INDEX($B$9:$B$9008,MATCH(302,$C$9:$C$9008,0)))</f>
        <v/>
      </c>
      <c r="B310" s="9" t="str">
        <f>IFERROR(INDEX(Input!$L$20:$T$1019,INT((ROW()-9)/9)+1,MOD(ROW()-9,9)+1),"")</f>
        <v/>
      </c>
      <c r="C310" s="9">
        <f t="shared" si="4"/>
        <v>0</v>
      </c>
    </row>
    <row r="311" spans="1:3" x14ac:dyDescent="0.2">
      <c r="A311" s="10" t="str">
        <f>IF(303&gt;$C$9008,"",INDEX($B$9:$B$9008,MATCH(303,$C$9:$C$9008,0)))</f>
        <v/>
      </c>
      <c r="B311" s="9" t="str">
        <f>IFERROR(INDEX(Input!$L$20:$T$1019,INT((ROW()-9)/9)+1,MOD(ROW()-9,9)+1),"")</f>
        <v/>
      </c>
      <c r="C311" s="9">
        <f t="shared" si="4"/>
        <v>0</v>
      </c>
    </row>
    <row r="312" spans="1:3" x14ac:dyDescent="0.2">
      <c r="A312" s="10" t="str">
        <f>IF(304&gt;$C$9008,"",INDEX($B$9:$B$9008,MATCH(304,$C$9:$C$9008,0)))</f>
        <v/>
      </c>
      <c r="B312" s="9" t="str">
        <f>IFERROR(INDEX(Input!$L$20:$T$1019,INT((ROW()-9)/9)+1,MOD(ROW()-9,9)+1),"")</f>
        <v/>
      </c>
      <c r="C312" s="9">
        <f t="shared" si="4"/>
        <v>0</v>
      </c>
    </row>
    <row r="313" spans="1:3" x14ac:dyDescent="0.2">
      <c r="A313" s="10" t="str">
        <f>IF(305&gt;$C$9008,"",INDEX($B$9:$B$9008,MATCH(305,$C$9:$C$9008,0)))</f>
        <v/>
      </c>
      <c r="B313" s="9" t="str">
        <f>IFERROR(INDEX(Input!$L$20:$T$1019,INT((ROW()-9)/9)+1,MOD(ROW()-9,9)+1),"")</f>
        <v/>
      </c>
      <c r="C313" s="9">
        <f t="shared" si="4"/>
        <v>0</v>
      </c>
    </row>
    <row r="314" spans="1:3" x14ac:dyDescent="0.2">
      <c r="A314" s="10" t="str">
        <f>IF(306&gt;$C$9008,"",INDEX($B$9:$B$9008,MATCH(306,$C$9:$C$9008,0)))</f>
        <v/>
      </c>
      <c r="B314" s="9" t="str">
        <f>IFERROR(INDEX(Input!$L$20:$T$1019,INT((ROW()-9)/9)+1,MOD(ROW()-9,9)+1),"")</f>
        <v/>
      </c>
      <c r="C314" s="9">
        <f t="shared" si="4"/>
        <v>0</v>
      </c>
    </row>
    <row r="315" spans="1:3" x14ac:dyDescent="0.2">
      <c r="A315" s="10" t="str">
        <f>IF(307&gt;$C$9008,"",INDEX($B$9:$B$9008,MATCH(307,$C$9:$C$9008,0)))</f>
        <v/>
      </c>
      <c r="B315" s="9" t="str">
        <f>IFERROR(INDEX(Input!$L$20:$T$1019,INT((ROW()-9)/9)+1,MOD(ROW()-9,9)+1),"")</f>
        <v/>
      </c>
      <c r="C315" s="9">
        <f t="shared" si="4"/>
        <v>0</v>
      </c>
    </row>
    <row r="316" spans="1:3" x14ac:dyDescent="0.2">
      <c r="A316" s="10" t="str">
        <f>IF(308&gt;$C$9008,"",INDEX($B$9:$B$9008,MATCH(308,$C$9:$C$9008,0)))</f>
        <v/>
      </c>
      <c r="B316" s="9" t="str">
        <f>IFERROR(INDEX(Input!$L$20:$T$1019,INT((ROW()-9)/9)+1,MOD(ROW()-9,9)+1),"")</f>
        <v/>
      </c>
      <c r="C316" s="9">
        <f t="shared" si="4"/>
        <v>0</v>
      </c>
    </row>
    <row r="317" spans="1:3" x14ac:dyDescent="0.2">
      <c r="A317" s="10" t="str">
        <f>IF(309&gt;$C$9008,"",INDEX($B$9:$B$9008,MATCH(309,$C$9:$C$9008,0)))</f>
        <v/>
      </c>
      <c r="B317" s="9" t="str">
        <f>IFERROR(INDEX(Input!$L$20:$T$1019,INT((ROW()-9)/9)+1,MOD(ROW()-9,9)+1),"")</f>
        <v/>
      </c>
      <c r="C317" s="9">
        <f t="shared" si="4"/>
        <v>0</v>
      </c>
    </row>
    <row r="318" spans="1:3" x14ac:dyDescent="0.2">
      <c r="A318" s="10" t="str">
        <f>IF(310&gt;$C$9008,"",INDEX($B$9:$B$9008,MATCH(310,$C$9:$C$9008,0)))</f>
        <v/>
      </c>
      <c r="B318" s="9" t="str">
        <f>IFERROR(INDEX(Input!$L$20:$T$1019,INT((ROW()-9)/9)+1,MOD(ROW()-9,9)+1),"")</f>
        <v/>
      </c>
      <c r="C318" s="9">
        <f t="shared" si="4"/>
        <v>0</v>
      </c>
    </row>
    <row r="319" spans="1:3" x14ac:dyDescent="0.2">
      <c r="A319" s="10" t="str">
        <f>IF(311&gt;$C$9008,"",INDEX($B$9:$B$9008,MATCH(311,$C$9:$C$9008,0)))</f>
        <v/>
      </c>
      <c r="B319" s="9" t="str">
        <f>IFERROR(INDEX(Input!$L$20:$T$1019,INT((ROW()-9)/9)+1,MOD(ROW()-9,9)+1),"")</f>
        <v/>
      </c>
      <c r="C319" s="9">
        <f t="shared" si="4"/>
        <v>0</v>
      </c>
    </row>
    <row r="320" spans="1:3" x14ac:dyDescent="0.2">
      <c r="A320" s="10" t="str">
        <f>IF(312&gt;$C$9008,"",INDEX($B$9:$B$9008,MATCH(312,$C$9:$C$9008,0)))</f>
        <v/>
      </c>
      <c r="B320" s="9" t="str">
        <f>IFERROR(INDEX(Input!$L$20:$T$1019,INT((ROW()-9)/9)+1,MOD(ROW()-9,9)+1),"")</f>
        <v/>
      </c>
      <c r="C320" s="9">
        <f t="shared" si="4"/>
        <v>0</v>
      </c>
    </row>
    <row r="321" spans="1:3" x14ac:dyDescent="0.2">
      <c r="A321" s="10" t="str">
        <f>IF(313&gt;$C$9008,"",INDEX($B$9:$B$9008,MATCH(313,$C$9:$C$9008,0)))</f>
        <v/>
      </c>
      <c r="B321" s="9" t="str">
        <f>IFERROR(INDEX(Input!$L$20:$T$1019,INT((ROW()-9)/9)+1,MOD(ROW()-9,9)+1),"")</f>
        <v/>
      </c>
      <c r="C321" s="9">
        <f t="shared" si="4"/>
        <v>0</v>
      </c>
    </row>
    <row r="322" spans="1:3" x14ac:dyDescent="0.2">
      <c r="A322" s="10" t="str">
        <f>IF(314&gt;$C$9008,"",INDEX($B$9:$B$9008,MATCH(314,$C$9:$C$9008,0)))</f>
        <v/>
      </c>
      <c r="B322" s="9" t="str">
        <f>IFERROR(INDEX(Input!$L$20:$T$1019,INT((ROW()-9)/9)+1,MOD(ROW()-9,9)+1),"")</f>
        <v/>
      </c>
      <c r="C322" s="9">
        <f t="shared" si="4"/>
        <v>0</v>
      </c>
    </row>
    <row r="323" spans="1:3" x14ac:dyDescent="0.2">
      <c r="A323" s="10" t="str">
        <f>IF(315&gt;$C$9008,"",INDEX($B$9:$B$9008,MATCH(315,$C$9:$C$9008,0)))</f>
        <v/>
      </c>
      <c r="B323" s="9" t="str">
        <f>IFERROR(INDEX(Input!$L$20:$T$1019,INT((ROW()-9)/9)+1,MOD(ROW()-9,9)+1),"")</f>
        <v/>
      </c>
      <c r="C323" s="9">
        <f t="shared" si="4"/>
        <v>0</v>
      </c>
    </row>
    <row r="324" spans="1:3" x14ac:dyDescent="0.2">
      <c r="A324" s="10" t="str">
        <f>IF(316&gt;$C$9008,"",INDEX($B$9:$B$9008,MATCH(316,$C$9:$C$9008,0)))</f>
        <v/>
      </c>
      <c r="B324" s="9" t="str">
        <f>IFERROR(INDEX(Input!$L$20:$T$1019,INT((ROW()-9)/9)+1,MOD(ROW()-9,9)+1),"")</f>
        <v/>
      </c>
      <c r="C324" s="9">
        <f t="shared" si="4"/>
        <v>0</v>
      </c>
    </row>
    <row r="325" spans="1:3" x14ac:dyDescent="0.2">
      <c r="A325" s="10" t="str">
        <f>IF(317&gt;$C$9008,"",INDEX($B$9:$B$9008,MATCH(317,$C$9:$C$9008,0)))</f>
        <v/>
      </c>
      <c r="B325" s="9" t="str">
        <f>IFERROR(INDEX(Input!$L$20:$T$1019,INT((ROW()-9)/9)+1,MOD(ROW()-9,9)+1),"")</f>
        <v/>
      </c>
      <c r="C325" s="9">
        <f t="shared" si="4"/>
        <v>0</v>
      </c>
    </row>
    <row r="326" spans="1:3" x14ac:dyDescent="0.2">
      <c r="A326" s="10" t="str">
        <f>IF(318&gt;$C$9008,"",INDEX($B$9:$B$9008,MATCH(318,$C$9:$C$9008,0)))</f>
        <v/>
      </c>
      <c r="B326" s="9" t="str">
        <f>IFERROR(INDEX(Input!$L$20:$T$1019,INT((ROW()-9)/9)+1,MOD(ROW()-9,9)+1),"")</f>
        <v/>
      </c>
      <c r="C326" s="9">
        <f t="shared" si="4"/>
        <v>0</v>
      </c>
    </row>
    <row r="327" spans="1:3" x14ac:dyDescent="0.2">
      <c r="A327" s="10" t="str">
        <f>IF(319&gt;$C$9008,"",INDEX($B$9:$B$9008,MATCH(319,$C$9:$C$9008,0)))</f>
        <v/>
      </c>
      <c r="B327" s="9" t="str">
        <f>IFERROR(INDEX(Input!$L$20:$T$1019,INT((ROW()-9)/9)+1,MOD(ROW()-9,9)+1),"")</f>
        <v/>
      </c>
      <c r="C327" s="9">
        <f t="shared" si="4"/>
        <v>0</v>
      </c>
    </row>
    <row r="328" spans="1:3" x14ac:dyDescent="0.2">
      <c r="A328" s="10" t="str">
        <f>IF(320&gt;$C$9008,"",INDEX($B$9:$B$9008,MATCH(320,$C$9:$C$9008,0)))</f>
        <v/>
      </c>
      <c r="B328" s="9" t="str">
        <f>IFERROR(INDEX(Input!$L$20:$T$1019,INT((ROW()-9)/9)+1,MOD(ROW()-9,9)+1),"")</f>
        <v/>
      </c>
      <c r="C328" s="9">
        <f t="shared" si="4"/>
        <v>0</v>
      </c>
    </row>
    <row r="329" spans="1:3" x14ac:dyDescent="0.2">
      <c r="A329" s="10" t="str">
        <f>IF(321&gt;$C$9008,"",INDEX($B$9:$B$9008,MATCH(321,$C$9:$C$9008,0)))</f>
        <v/>
      </c>
      <c r="B329" s="9" t="str">
        <f>IFERROR(INDEX(Input!$L$20:$T$1019,INT((ROW()-9)/9)+1,MOD(ROW()-9,9)+1),"")</f>
        <v/>
      </c>
      <c r="C329" s="9">
        <f t="shared" ref="C329:C392" si="5">$C328+IF($B329&lt;&gt;"",1,0)</f>
        <v>0</v>
      </c>
    </row>
    <row r="330" spans="1:3" x14ac:dyDescent="0.2">
      <c r="A330" s="10" t="str">
        <f>IF(322&gt;$C$9008,"",INDEX($B$9:$B$9008,MATCH(322,$C$9:$C$9008,0)))</f>
        <v/>
      </c>
      <c r="B330" s="9" t="str">
        <f>IFERROR(INDEX(Input!$L$20:$T$1019,INT((ROW()-9)/9)+1,MOD(ROW()-9,9)+1),"")</f>
        <v/>
      </c>
      <c r="C330" s="9">
        <f t="shared" si="5"/>
        <v>0</v>
      </c>
    </row>
    <row r="331" spans="1:3" x14ac:dyDescent="0.2">
      <c r="A331" s="10" t="str">
        <f>IF(323&gt;$C$9008,"",INDEX($B$9:$B$9008,MATCH(323,$C$9:$C$9008,0)))</f>
        <v/>
      </c>
      <c r="B331" s="9" t="str">
        <f>IFERROR(INDEX(Input!$L$20:$T$1019,INT((ROW()-9)/9)+1,MOD(ROW()-9,9)+1),"")</f>
        <v/>
      </c>
      <c r="C331" s="9">
        <f t="shared" si="5"/>
        <v>0</v>
      </c>
    </row>
    <row r="332" spans="1:3" x14ac:dyDescent="0.2">
      <c r="A332" s="10" t="str">
        <f>IF(324&gt;$C$9008,"",INDEX($B$9:$B$9008,MATCH(324,$C$9:$C$9008,0)))</f>
        <v/>
      </c>
      <c r="B332" s="9" t="str">
        <f>IFERROR(INDEX(Input!$L$20:$T$1019,INT((ROW()-9)/9)+1,MOD(ROW()-9,9)+1),"")</f>
        <v/>
      </c>
      <c r="C332" s="9">
        <f t="shared" si="5"/>
        <v>0</v>
      </c>
    </row>
    <row r="333" spans="1:3" x14ac:dyDescent="0.2">
      <c r="A333" s="10" t="str">
        <f>IF(325&gt;$C$9008,"",INDEX($B$9:$B$9008,MATCH(325,$C$9:$C$9008,0)))</f>
        <v/>
      </c>
      <c r="B333" s="9" t="str">
        <f>IFERROR(INDEX(Input!$L$20:$T$1019,INT((ROW()-9)/9)+1,MOD(ROW()-9,9)+1),"")</f>
        <v/>
      </c>
      <c r="C333" s="9">
        <f t="shared" si="5"/>
        <v>0</v>
      </c>
    </row>
    <row r="334" spans="1:3" x14ac:dyDescent="0.2">
      <c r="A334" s="10" t="str">
        <f>IF(326&gt;$C$9008,"",INDEX($B$9:$B$9008,MATCH(326,$C$9:$C$9008,0)))</f>
        <v/>
      </c>
      <c r="B334" s="9" t="str">
        <f>IFERROR(INDEX(Input!$L$20:$T$1019,INT((ROW()-9)/9)+1,MOD(ROW()-9,9)+1),"")</f>
        <v/>
      </c>
      <c r="C334" s="9">
        <f t="shared" si="5"/>
        <v>0</v>
      </c>
    </row>
    <row r="335" spans="1:3" x14ac:dyDescent="0.2">
      <c r="A335" s="10" t="str">
        <f>IF(327&gt;$C$9008,"",INDEX($B$9:$B$9008,MATCH(327,$C$9:$C$9008,0)))</f>
        <v/>
      </c>
      <c r="B335" s="9" t="str">
        <f>IFERROR(INDEX(Input!$L$20:$T$1019,INT((ROW()-9)/9)+1,MOD(ROW()-9,9)+1),"")</f>
        <v/>
      </c>
      <c r="C335" s="9">
        <f t="shared" si="5"/>
        <v>0</v>
      </c>
    </row>
    <row r="336" spans="1:3" x14ac:dyDescent="0.2">
      <c r="A336" s="10" t="str">
        <f>IF(328&gt;$C$9008,"",INDEX($B$9:$B$9008,MATCH(328,$C$9:$C$9008,0)))</f>
        <v/>
      </c>
      <c r="B336" s="9" t="str">
        <f>IFERROR(INDEX(Input!$L$20:$T$1019,INT((ROW()-9)/9)+1,MOD(ROW()-9,9)+1),"")</f>
        <v/>
      </c>
      <c r="C336" s="9">
        <f t="shared" si="5"/>
        <v>0</v>
      </c>
    </row>
    <row r="337" spans="1:3" x14ac:dyDescent="0.2">
      <c r="A337" s="10" t="str">
        <f>IF(329&gt;$C$9008,"",INDEX($B$9:$B$9008,MATCH(329,$C$9:$C$9008,0)))</f>
        <v/>
      </c>
      <c r="B337" s="9" t="str">
        <f>IFERROR(INDEX(Input!$L$20:$T$1019,INT((ROW()-9)/9)+1,MOD(ROW()-9,9)+1),"")</f>
        <v/>
      </c>
      <c r="C337" s="9">
        <f t="shared" si="5"/>
        <v>0</v>
      </c>
    </row>
    <row r="338" spans="1:3" x14ac:dyDescent="0.2">
      <c r="A338" s="10" t="str">
        <f>IF(330&gt;$C$9008,"",INDEX($B$9:$B$9008,MATCH(330,$C$9:$C$9008,0)))</f>
        <v/>
      </c>
      <c r="B338" s="9" t="str">
        <f>IFERROR(INDEX(Input!$L$20:$T$1019,INT((ROW()-9)/9)+1,MOD(ROW()-9,9)+1),"")</f>
        <v/>
      </c>
      <c r="C338" s="9">
        <f t="shared" si="5"/>
        <v>0</v>
      </c>
    </row>
    <row r="339" spans="1:3" x14ac:dyDescent="0.2">
      <c r="A339" s="10" t="str">
        <f>IF(331&gt;$C$9008,"",INDEX($B$9:$B$9008,MATCH(331,$C$9:$C$9008,0)))</f>
        <v/>
      </c>
      <c r="B339" s="9" t="str">
        <f>IFERROR(INDEX(Input!$L$20:$T$1019,INT((ROW()-9)/9)+1,MOD(ROW()-9,9)+1),"")</f>
        <v/>
      </c>
      <c r="C339" s="9">
        <f t="shared" si="5"/>
        <v>0</v>
      </c>
    </row>
    <row r="340" spans="1:3" x14ac:dyDescent="0.2">
      <c r="A340" s="10" t="str">
        <f>IF(332&gt;$C$9008,"",INDEX($B$9:$B$9008,MATCH(332,$C$9:$C$9008,0)))</f>
        <v/>
      </c>
      <c r="B340" s="9" t="str">
        <f>IFERROR(INDEX(Input!$L$20:$T$1019,INT((ROW()-9)/9)+1,MOD(ROW()-9,9)+1),"")</f>
        <v/>
      </c>
      <c r="C340" s="9">
        <f t="shared" si="5"/>
        <v>0</v>
      </c>
    </row>
    <row r="341" spans="1:3" x14ac:dyDescent="0.2">
      <c r="A341" s="10" t="str">
        <f>IF(333&gt;$C$9008,"",INDEX($B$9:$B$9008,MATCH(333,$C$9:$C$9008,0)))</f>
        <v/>
      </c>
      <c r="B341" s="9" t="str">
        <f>IFERROR(INDEX(Input!$L$20:$T$1019,INT((ROW()-9)/9)+1,MOD(ROW()-9,9)+1),"")</f>
        <v/>
      </c>
      <c r="C341" s="9">
        <f t="shared" si="5"/>
        <v>0</v>
      </c>
    </row>
    <row r="342" spans="1:3" x14ac:dyDescent="0.2">
      <c r="A342" s="10" t="str">
        <f>IF(334&gt;$C$9008,"",INDEX($B$9:$B$9008,MATCH(334,$C$9:$C$9008,0)))</f>
        <v/>
      </c>
      <c r="B342" s="9" t="str">
        <f>IFERROR(INDEX(Input!$L$20:$T$1019,INT((ROW()-9)/9)+1,MOD(ROW()-9,9)+1),"")</f>
        <v/>
      </c>
      <c r="C342" s="9">
        <f t="shared" si="5"/>
        <v>0</v>
      </c>
    </row>
    <row r="343" spans="1:3" x14ac:dyDescent="0.2">
      <c r="A343" s="10" t="str">
        <f>IF(335&gt;$C$9008,"",INDEX($B$9:$B$9008,MATCH(335,$C$9:$C$9008,0)))</f>
        <v/>
      </c>
      <c r="B343" s="9" t="str">
        <f>IFERROR(INDEX(Input!$L$20:$T$1019,INT((ROW()-9)/9)+1,MOD(ROW()-9,9)+1),"")</f>
        <v/>
      </c>
      <c r="C343" s="9">
        <f t="shared" si="5"/>
        <v>0</v>
      </c>
    </row>
    <row r="344" spans="1:3" x14ac:dyDescent="0.2">
      <c r="A344" s="10" t="str">
        <f>IF(336&gt;$C$9008,"",INDEX($B$9:$B$9008,MATCH(336,$C$9:$C$9008,0)))</f>
        <v/>
      </c>
      <c r="B344" s="9" t="str">
        <f>IFERROR(INDEX(Input!$L$20:$T$1019,INT((ROW()-9)/9)+1,MOD(ROW()-9,9)+1),"")</f>
        <v/>
      </c>
      <c r="C344" s="9">
        <f t="shared" si="5"/>
        <v>0</v>
      </c>
    </row>
    <row r="345" spans="1:3" x14ac:dyDescent="0.2">
      <c r="A345" s="10" t="str">
        <f>IF(337&gt;$C$9008,"",INDEX($B$9:$B$9008,MATCH(337,$C$9:$C$9008,0)))</f>
        <v/>
      </c>
      <c r="B345" s="9" t="str">
        <f>IFERROR(INDEX(Input!$L$20:$T$1019,INT((ROW()-9)/9)+1,MOD(ROW()-9,9)+1),"")</f>
        <v/>
      </c>
      <c r="C345" s="9">
        <f t="shared" si="5"/>
        <v>0</v>
      </c>
    </row>
    <row r="346" spans="1:3" x14ac:dyDescent="0.2">
      <c r="A346" s="10" t="str">
        <f>IF(338&gt;$C$9008,"",INDEX($B$9:$B$9008,MATCH(338,$C$9:$C$9008,0)))</f>
        <v/>
      </c>
      <c r="B346" s="9" t="str">
        <f>IFERROR(INDEX(Input!$L$20:$T$1019,INT((ROW()-9)/9)+1,MOD(ROW()-9,9)+1),"")</f>
        <v/>
      </c>
      <c r="C346" s="9">
        <f t="shared" si="5"/>
        <v>0</v>
      </c>
    </row>
    <row r="347" spans="1:3" x14ac:dyDescent="0.2">
      <c r="A347" s="10" t="str">
        <f>IF(339&gt;$C$9008,"",INDEX($B$9:$B$9008,MATCH(339,$C$9:$C$9008,0)))</f>
        <v/>
      </c>
      <c r="B347" s="9" t="str">
        <f>IFERROR(INDEX(Input!$L$20:$T$1019,INT((ROW()-9)/9)+1,MOD(ROW()-9,9)+1),"")</f>
        <v/>
      </c>
      <c r="C347" s="9">
        <f t="shared" si="5"/>
        <v>0</v>
      </c>
    </row>
    <row r="348" spans="1:3" x14ac:dyDescent="0.2">
      <c r="A348" s="10" t="str">
        <f>IF(340&gt;$C$9008,"",INDEX($B$9:$B$9008,MATCH(340,$C$9:$C$9008,0)))</f>
        <v/>
      </c>
      <c r="B348" s="9" t="str">
        <f>IFERROR(INDEX(Input!$L$20:$T$1019,INT((ROW()-9)/9)+1,MOD(ROW()-9,9)+1),"")</f>
        <v/>
      </c>
      <c r="C348" s="9">
        <f t="shared" si="5"/>
        <v>0</v>
      </c>
    </row>
    <row r="349" spans="1:3" x14ac:dyDescent="0.2">
      <c r="A349" s="10" t="str">
        <f>IF(341&gt;$C$9008,"",INDEX($B$9:$B$9008,MATCH(341,$C$9:$C$9008,0)))</f>
        <v/>
      </c>
      <c r="B349" s="9" t="str">
        <f>IFERROR(INDEX(Input!$L$20:$T$1019,INT((ROW()-9)/9)+1,MOD(ROW()-9,9)+1),"")</f>
        <v/>
      </c>
      <c r="C349" s="9">
        <f t="shared" si="5"/>
        <v>0</v>
      </c>
    </row>
    <row r="350" spans="1:3" x14ac:dyDescent="0.2">
      <c r="A350" s="10" t="str">
        <f>IF(342&gt;$C$9008,"",INDEX($B$9:$B$9008,MATCH(342,$C$9:$C$9008,0)))</f>
        <v/>
      </c>
      <c r="B350" s="9" t="str">
        <f>IFERROR(INDEX(Input!$L$20:$T$1019,INT((ROW()-9)/9)+1,MOD(ROW()-9,9)+1),"")</f>
        <v/>
      </c>
      <c r="C350" s="9">
        <f t="shared" si="5"/>
        <v>0</v>
      </c>
    </row>
    <row r="351" spans="1:3" x14ac:dyDescent="0.2">
      <c r="A351" s="10" t="str">
        <f>IF(343&gt;$C$9008,"",INDEX($B$9:$B$9008,MATCH(343,$C$9:$C$9008,0)))</f>
        <v/>
      </c>
      <c r="B351" s="9" t="str">
        <f>IFERROR(INDEX(Input!$L$20:$T$1019,INT((ROW()-9)/9)+1,MOD(ROW()-9,9)+1),"")</f>
        <v/>
      </c>
      <c r="C351" s="9">
        <f t="shared" si="5"/>
        <v>0</v>
      </c>
    </row>
    <row r="352" spans="1:3" x14ac:dyDescent="0.2">
      <c r="A352" s="10" t="str">
        <f>IF(344&gt;$C$9008,"",INDEX($B$9:$B$9008,MATCH(344,$C$9:$C$9008,0)))</f>
        <v/>
      </c>
      <c r="B352" s="9" t="str">
        <f>IFERROR(INDEX(Input!$L$20:$T$1019,INT((ROW()-9)/9)+1,MOD(ROW()-9,9)+1),"")</f>
        <v/>
      </c>
      <c r="C352" s="9">
        <f t="shared" si="5"/>
        <v>0</v>
      </c>
    </row>
    <row r="353" spans="1:3" x14ac:dyDescent="0.2">
      <c r="A353" s="10" t="str">
        <f>IF(345&gt;$C$9008,"",INDEX($B$9:$B$9008,MATCH(345,$C$9:$C$9008,0)))</f>
        <v/>
      </c>
      <c r="B353" s="9" t="str">
        <f>IFERROR(INDEX(Input!$L$20:$T$1019,INT((ROW()-9)/9)+1,MOD(ROW()-9,9)+1),"")</f>
        <v/>
      </c>
      <c r="C353" s="9">
        <f t="shared" si="5"/>
        <v>0</v>
      </c>
    </row>
    <row r="354" spans="1:3" x14ac:dyDescent="0.2">
      <c r="A354" s="10" t="str">
        <f>IF(346&gt;$C$9008,"",INDEX($B$9:$B$9008,MATCH(346,$C$9:$C$9008,0)))</f>
        <v/>
      </c>
      <c r="B354" s="9" t="str">
        <f>IFERROR(INDEX(Input!$L$20:$T$1019,INT((ROW()-9)/9)+1,MOD(ROW()-9,9)+1),"")</f>
        <v/>
      </c>
      <c r="C354" s="9">
        <f t="shared" si="5"/>
        <v>0</v>
      </c>
    </row>
    <row r="355" spans="1:3" x14ac:dyDescent="0.2">
      <c r="A355" s="10" t="str">
        <f>IF(347&gt;$C$9008,"",INDEX($B$9:$B$9008,MATCH(347,$C$9:$C$9008,0)))</f>
        <v/>
      </c>
      <c r="B355" s="9" t="str">
        <f>IFERROR(INDEX(Input!$L$20:$T$1019,INT((ROW()-9)/9)+1,MOD(ROW()-9,9)+1),"")</f>
        <v/>
      </c>
      <c r="C355" s="9">
        <f t="shared" si="5"/>
        <v>0</v>
      </c>
    </row>
    <row r="356" spans="1:3" x14ac:dyDescent="0.2">
      <c r="A356" s="10" t="str">
        <f>IF(348&gt;$C$9008,"",INDEX($B$9:$B$9008,MATCH(348,$C$9:$C$9008,0)))</f>
        <v/>
      </c>
      <c r="B356" s="9" t="str">
        <f>IFERROR(INDEX(Input!$L$20:$T$1019,INT((ROW()-9)/9)+1,MOD(ROW()-9,9)+1),"")</f>
        <v/>
      </c>
      <c r="C356" s="9">
        <f t="shared" si="5"/>
        <v>0</v>
      </c>
    </row>
    <row r="357" spans="1:3" x14ac:dyDescent="0.2">
      <c r="A357" s="10" t="str">
        <f>IF(349&gt;$C$9008,"",INDEX($B$9:$B$9008,MATCH(349,$C$9:$C$9008,0)))</f>
        <v/>
      </c>
      <c r="B357" s="9" t="str">
        <f>IFERROR(INDEX(Input!$L$20:$T$1019,INT((ROW()-9)/9)+1,MOD(ROW()-9,9)+1),"")</f>
        <v/>
      </c>
      <c r="C357" s="9">
        <f t="shared" si="5"/>
        <v>0</v>
      </c>
    </row>
    <row r="358" spans="1:3" x14ac:dyDescent="0.2">
      <c r="A358" s="10" t="str">
        <f>IF(350&gt;$C$9008,"",INDEX($B$9:$B$9008,MATCH(350,$C$9:$C$9008,0)))</f>
        <v/>
      </c>
      <c r="B358" s="9" t="str">
        <f>IFERROR(INDEX(Input!$L$20:$T$1019,INT((ROW()-9)/9)+1,MOD(ROW()-9,9)+1),"")</f>
        <v/>
      </c>
      <c r="C358" s="9">
        <f t="shared" si="5"/>
        <v>0</v>
      </c>
    </row>
    <row r="359" spans="1:3" x14ac:dyDescent="0.2">
      <c r="A359" s="10" t="str">
        <f>IF(351&gt;$C$9008,"",INDEX($B$9:$B$9008,MATCH(351,$C$9:$C$9008,0)))</f>
        <v/>
      </c>
      <c r="B359" s="9" t="str">
        <f>IFERROR(INDEX(Input!$L$20:$T$1019,INT((ROW()-9)/9)+1,MOD(ROW()-9,9)+1),"")</f>
        <v/>
      </c>
      <c r="C359" s="9">
        <f t="shared" si="5"/>
        <v>0</v>
      </c>
    </row>
    <row r="360" spans="1:3" x14ac:dyDescent="0.2">
      <c r="A360" s="10" t="str">
        <f>IF(352&gt;$C$9008,"",INDEX($B$9:$B$9008,MATCH(352,$C$9:$C$9008,0)))</f>
        <v/>
      </c>
      <c r="B360" s="9" t="str">
        <f>IFERROR(INDEX(Input!$L$20:$T$1019,INT((ROW()-9)/9)+1,MOD(ROW()-9,9)+1),"")</f>
        <v/>
      </c>
      <c r="C360" s="9">
        <f t="shared" si="5"/>
        <v>0</v>
      </c>
    </row>
    <row r="361" spans="1:3" x14ac:dyDescent="0.2">
      <c r="A361" s="10" t="str">
        <f>IF(353&gt;$C$9008,"",INDEX($B$9:$B$9008,MATCH(353,$C$9:$C$9008,0)))</f>
        <v/>
      </c>
      <c r="B361" s="9" t="str">
        <f>IFERROR(INDEX(Input!$L$20:$T$1019,INT((ROW()-9)/9)+1,MOD(ROW()-9,9)+1),"")</f>
        <v/>
      </c>
      <c r="C361" s="9">
        <f t="shared" si="5"/>
        <v>0</v>
      </c>
    </row>
    <row r="362" spans="1:3" x14ac:dyDescent="0.2">
      <c r="A362" s="10" t="str">
        <f>IF(354&gt;$C$9008,"",INDEX($B$9:$B$9008,MATCH(354,$C$9:$C$9008,0)))</f>
        <v/>
      </c>
      <c r="B362" s="9" t="str">
        <f>IFERROR(INDEX(Input!$L$20:$T$1019,INT((ROW()-9)/9)+1,MOD(ROW()-9,9)+1),"")</f>
        <v/>
      </c>
      <c r="C362" s="9">
        <f t="shared" si="5"/>
        <v>0</v>
      </c>
    </row>
    <row r="363" spans="1:3" x14ac:dyDescent="0.2">
      <c r="A363" s="10" t="str">
        <f>IF(355&gt;$C$9008,"",INDEX($B$9:$B$9008,MATCH(355,$C$9:$C$9008,0)))</f>
        <v/>
      </c>
      <c r="B363" s="9" t="str">
        <f>IFERROR(INDEX(Input!$L$20:$T$1019,INT((ROW()-9)/9)+1,MOD(ROW()-9,9)+1),"")</f>
        <v/>
      </c>
      <c r="C363" s="9">
        <f t="shared" si="5"/>
        <v>0</v>
      </c>
    </row>
    <row r="364" spans="1:3" x14ac:dyDescent="0.2">
      <c r="A364" s="10" t="str">
        <f>IF(356&gt;$C$9008,"",INDEX($B$9:$B$9008,MATCH(356,$C$9:$C$9008,0)))</f>
        <v/>
      </c>
      <c r="B364" s="9" t="str">
        <f>IFERROR(INDEX(Input!$L$20:$T$1019,INT((ROW()-9)/9)+1,MOD(ROW()-9,9)+1),"")</f>
        <v/>
      </c>
      <c r="C364" s="9">
        <f t="shared" si="5"/>
        <v>0</v>
      </c>
    </row>
    <row r="365" spans="1:3" x14ac:dyDescent="0.2">
      <c r="A365" s="10" t="str">
        <f>IF(357&gt;$C$9008,"",INDEX($B$9:$B$9008,MATCH(357,$C$9:$C$9008,0)))</f>
        <v/>
      </c>
      <c r="B365" s="9" t="str">
        <f>IFERROR(INDEX(Input!$L$20:$T$1019,INT((ROW()-9)/9)+1,MOD(ROW()-9,9)+1),"")</f>
        <v/>
      </c>
      <c r="C365" s="9">
        <f t="shared" si="5"/>
        <v>0</v>
      </c>
    </row>
    <row r="366" spans="1:3" x14ac:dyDescent="0.2">
      <c r="A366" s="10" t="str">
        <f>IF(358&gt;$C$9008,"",INDEX($B$9:$B$9008,MATCH(358,$C$9:$C$9008,0)))</f>
        <v/>
      </c>
      <c r="B366" s="9" t="str">
        <f>IFERROR(INDEX(Input!$L$20:$T$1019,INT((ROW()-9)/9)+1,MOD(ROW()-9,9)+1),"")</f>
        <v/>
      </c>
      <c r="C366" s="9">
        <f t="shared" si="5"/>
        <v>0</v>
      </c>
    </row>
    <row r="367" spans="1:3" x14ac:dyDescent="0.2">
      <c r="A367" s="10" t="str">
        <f>IF(359&gt;$C$9008,"",INDEX($B$9:$B$9008,MATCH(359,$C$9:$C$9008,0)))</f>
        <v/>
      </c>
      <c r="B367" s="9" t="str">
        <f>IFERROR(INDEX(Input!$L$20:$T$1019,INT((ROW()-9)/9)+1,MOD(ROW()-9,9)+1),"")</f>
        <v/>
      </c>
      <c r="C367" s="9">
        <f t="shared" si="5"/>
        <v>0</v>
      </c>
    </row>
    <row r="368" spans="1:3" x14ac:dyDescent="0.2">
      <c r="A368" s="10" t="str">
        <f>IF(360&gt;$C$9008,"",INDEX($B$9:$B$9008,MATCH(360,$C$9:$C$9008,0)))</f>
        <v/>
      </c>
      <c r="B368" s="9" t="str">
        <f>IFERROR(INDEX(Input!$L$20:$T$1019,INT((ROW()-9)/9)+1,MOD(ROW()-9,9)+1),"")</f>
        <v/>
      </c>
      <c r="C368" s="9">
        <f t="shared" si="5"/>
        <v>0</v>
      </c>
    </row>
    <row r="369" spans="1:3" x14ac:dyDescent="0.2">
      <c r="A369" s="10" t="str">
        <f>IF(361&gt;$C$9008,"",INDEX($B$9:$B$9008,MATCH(361,$C$9:$C$9008,0)))</f>
        <v/>
      </c>
      <c r="B369" s="9" t="str">
        <f>IFERROR(INDEX(Input!$L$20:$T$1019,INT((ROW()-9)/9)+1,MOD(ROW()-9,9)+1),"")</f>
        <v/>
      </c>
      <c r="C369" s="9">
        <f t="shared" si="5"/>
        <v>0</v>
      </c>
    </row>
    <row r="370" spans="1:3" x14ac:dyDescent="0.2">
      <c r="A370" s="10" t="str">
        <f>IF(362&gt;$C$9008,"",INDEX($B$9:$B$9008,MATCH(362,$C$9:$C$9008,0)))</f>
        <v/>
      </c>
      <c r="B370" s="9" t="str">
        <f>IFERROR(INDEX(Input!$L$20:$T$1019,INT((ROW()-9)/9)+1,MOD(ROW()-9,9)+1),"")</f>
        <v/>
      </c>
      <c r="C370" s="9">
        <f t="shared" si="5"/>
        <v>0</v>
      </c>
    </row>
    <row r="371" spans="1:3" x14ac:dyDescent="0.2">
      <c r="A371" s="10" t="str">
        <f>IF(363&gt;$C$9008,"",INDEX($B$9:$B$9008,MATCH(363,$C$9:$C$9008,0)))</f>
        <v/>
      </c>
      <c r="B371" s="9" t="str">
        <f>IFERROR(INDEX(Input!$L$20:$T$1019,INT((ROW()-9)/9)+1,MOD(ROW()-9,9)+1),"")</f>
        <v/>
      </c>
      <c r="C371" s="9">
        <f t="shared" si="5"/>
        <v>0</v>
      </c>
    </row>
    <row r="372" spans="1:3" x14ac:dyDescent="0.2">
      <c r="A372" s="10" t="str">
        <f>IF(364&gt;$C$9008,"",INDEX($B$9:$B$9008,MATCH(364,$C$9:$C$9008,0)))</f>
        <v/>
      </c>
      <c r="B372" s="9" t="str">
        <f>IFERROR(INDEX(Input!$L$20:$T$1019,INT((ROW()-9)/9)+1,MOD(ROW()-9,9)+1),"")</f>
        <v/>
      </c>
      <c r="C372" s="9">
        <f t="shared" si="5"/>
        <v>0</v>
      </c>
    </row>
    <row r="373" spans="1:3" x14ac:dyDescent="0.2">
      <c r="A373" s="10" t="str">
        <f>IF(365&gt;$C$9008,"",INDEX($B$9:$B$9008,MATCH(365,$C$9:$C$9008,0)))</f>
        <v/>
      </c>
      <c r="B373" s="9" t="str">
        <f>IFERROR(INDEX(Input!$L$20:$T$1019,INT((ROW()-9)/9)+1,MOD(ROW()-9,9)+1),"")</f>
        <v/>
      </c>
      <c r="C373" s="9">
        <f t="shared" si="5"/>
        <v>0</v>
      </c>
    </row>
    <row r="374" spans="1:3" x14ac:dyDescent="0.2">
      <c r="A374" s="10" t="str">
        <f>IF(366&gt;$C$9008,"",INDEX($B$9:$B$9008,MATCH(366,$C$9:$C$9008,0)))</f>
        <v/>
      </c>
      <c r="B374" s="9" t="str">
        <f>IFERROR(INDEX(Input!$L$20:$T$1019,INT((ROW()-9)/9)+1,MOD(ROW()-9,9)+1),"")</f>
        <v/>
      </c>
      <c r="C374" s="9">
        <f t="shared" si="5"/>
        <v>0</v>
      </c>
    </row>
    <row r="375" spans="1:3" x14ac:dyDescent="0.2">
      <c r="A375" s="10" t="str">
        <f>IF(367&gt;$C$9008,"",INDEX($B$9:$B$9008,MATCH(367,$C$9:$C$9008,0)))</f>
        <v/>
      </c>
      <c r="B375" s="9" t="str">
        <f>IFERROR(INDEX(Input!$L$20:$T$1019,INT((ROW()-9)/9)+1,MOD(ROW()-9,9)+1),"")</f>
        <v/>
      </c>
      <c r="C375" s="9">
        <f t="shared" si="5"/>
        <v>0</v>
      </c>
    </row>
    <row r="376" spans="1:3" x14ac:dyDescent="0.2">
      <c r="A376" s="10" t="str">
        <f>IF(368&gt;$C$9008,"",INDEX($B$9:$B$9008,MATCH(368,$C$9:$C$9008,0)))</f>
        <v/>
      </c>
      <c r="B376" s="9" t="str">
        <f>IFERROR(INDEX(Input!$L$20:$T$1019,INT((ROW()-9)/9)+1,MOD(ROW()-9,9)+1),"")</f>
        <v/>
      </c>
      <c r="C376" s="9">
        <f t="shared" si="5"/>
        <v>0</v>
      </c>
    </row>
    <row r="377" spans="1:3" x14ac:dyDescent="0.2">
      <c r="A377" s="10" t="str">
        <f>IF(369&gt;$C$9008,"",INDEX($B$9:$B$9008,MATCH(369,$C$9:$C$9008,0)))</f>
        <v/>
      </c>
      <c r="B377" s="9" t="str">
        <f>IFERROR(INDEX(Input!$L$20:$T$1019,INT((ROW()-9)/9)+1,MOD(ROW()-9,9)+1),"")</f>
        <v/>
      </c>
      <c r="C377" s="9">
        <f t="shared" si="5"/>
        <v>0</v>
      </c>
    </row>
    <row r="378" spans="1:3" x14ac:dyDescent="0.2">
      <c r="A378" s="10" t="str">
        <f>IF(370&gt;$C$9008,"",INDEX($B$9:$B$9008,MATCH(370,$C$9:$C$9008,0)))</f>
        <v/>
      </c>
      <c r="B378" s="9" t="str">
        <f>IFERROR(INDEX(Input!$L$20:$T$1019,INT((ROW()-9)/9)+1,MOD(ROW()-9,9)+1),"")</f>
        <v/>
      </c>
      <c r="C378" s="9">
        <f t="shared" si="5"/>
        <v>0</v>
      </c>
    </row>
    <row r="379" spans="1:3" x14ac:dyDescent="0.2">
      <c r="A379" s="10" t="str">
        <f>IF(371&gt;$C$9008,"",INDEX($B$9:$B$9008,MATCH(371,$C$9:$C$9008,0)))</f>
        <v/>
      </c>
      <c r="B379" s="9" t="str">
        <f>IFERROR(INDEX(Input!$L$20:$T$1019,INT((ROW()-9)/9)+1,MOD(ROW()-9,9)+1),"")</f>
        <v/>
      </c>
      <c r="C379" s="9">
        <f t="shared" si="5"/>
        <v>0</v>
      </c>
    </row>
    <row r="380" spans="1:3" x14ac:dyDescent="0.2">
      <c r="A380" s="10" t="str">
        <f>IF(372&gt;$C$9008,"",INDEX($B$9:$B$9008,MATCH(372,$C$9:$C$9008,0)))</f>
        <v/>
      </c>
      <c r="B380" s="9" t="str">
        <f>IFERROR(INDEX(Input!$L$20:$T$1019,INT((ROW()-9)/9)+1,MOD(ROW()-9,9)+1),"")</f>
        <v/>
      </c>
      <c r="C380" s="9">
        <f t="shared" si="5"/>
        <v>0</v>
      </c>
    </row>
    <row r="381" spans="1:3" x14ac:dyDescent="0.2">
      <c r="A381" s="10" t="str">
        <f>IF(373&gt;$C$9008,"",INDEX($B$9:$B$9008,MATCH(373,$C$9:$C$9008,0)))</f>
        <v/>
      </c>
      <c r="B381" s="9" t="str">
        <f>IFERROR(INDEX(Input!$L$20:$T$1019,INT((ROW()-9)/9)+1,MOD(ROW()-9,9)+1),"")</f>
        <v/>
      </c>
      <c r="C381" s="9">
        <f t="shared" si="5"/>
        <v>0</v>
      </c>
    </row>
    <row r="382" spans="1:3" x14ac:dyDescent="0.2">
      <c r="A382" s="10" t="str">
        <f>IF(374&gt;$C$9008,"",INDEX($B$9:$B$9008,MATCH(374,$C$9:$C$9008,0)))</f>
        <v/>
      </c>
      <c r="B382" s="9" t="str">
        <f>IFERROR(INDEX(Input!$L$20:$T$1019,INT((ROW()-9)/9)+1,MOD(ROW()-9,9)+1),"")</f>
        <v/>
      </c>
      <c r="C382" s="9">
        <f t="shared" si="5"/>
        <v>0</v>
      </c>
    </row>
    <row r="383" spans="1:3" x14ac:dyDescent="0.2">
      <c r="A383" s="10" t="str">
        <f>IF(375&gt;$C$9008,"",INDEX($B$9:$B$9008,MATCH(375,$C$9:$C$9008,0)))</f>
        <v/>
      </c>
      <c r="B383" s="9" t="str">
        <f>IFERROR(INDEX(Input!$L$20:$T$1019,INT((ROW()-9)/9)+1,MOD(ROW()-9,9)+1),"")</f>
        <v/>
      </c>
      <c r="C383" s="9">
        <f t="shared" si="5"/>
        <v>0</v>
      </c>
    </row>
    <row r="384" spans="1:3" x14ac:dyDescent="0.2">
      <c r="A384" s="10" t="str">
        <f>IF(376&gt;$C$9008,"",INDEX($B$9:$B$9008,MATCH(376,$C$9:$C$9008,0)))</f>
        <v/>
      </c>
      <c r="B384" s="9" t="str">
        <f>IFERROR(INDEX(Input!$L$20:$T$1019,INT((ROW()-9)/9)+1,MOD(ROW()-9,9)+1),"")</f>
        <v/>
      </c>
      <c r="C384" s="9">
        <f t="shared" si="5"/>
        <v>0</v>
      </c>
    </row>
    <row r="385" spans="1:3" x14ac:dyDescent="0.2">
      <c r="A385" s="10" t="str">
        <f>IF(377&gt;$C$9008,"",INDEX($B$9:$B$9008,MATCH(377,$C$9:$C$9008,0)))</f>
        <v/>
      </c>
      <c r="B385" s="9" t="str">
        <f>IFERROR(INDEX(Input!$L$20:$T$1019,INT((ROW()-9)/9)+1,MOD(ROW()-9,9)+1),"")</f>
        <v/>
      </c>
      <c r="C385" s="9">
        <f t="shared" si="5"/>
        <v>0</v>
      </c>
    </row>
    <row r="386" spans="1:3" x14ac:dyDescent="0.2">
      <c r="A386" s="10" t="str">
        <f>IF(378&gt;$C$9008,"",INDEX($B$9:$B$9008,MATCH(378,$C$9:$C$9008,0)))</f>
        <v/>
      </c>
      <c r="B386" s="9" t="str">
        <f>IFERROR(INDEX(Input!$L$20:$T$1019,INT((ROW()-9)/9)+1,MOD(ROW()-9,9)+1),"")</f>
        <v/>
      </c>
      <c r="C386" s="9">
        <f t="shared" si="5"/>
        <v>0</v>
      </c>
    </row>
    <row r="387" spans="1:3" x14ac:dyDescent="0.2">
      <c r="A387" s="10" t="str">
        <f>IF(379&gt;$C$9008,"",INDEX($B$9:$B$9008,MATCH(379,$C$9:$C$9008,0)))</f>
        <v/>
      </c>
      <c r="B387" s="9" t="str">
        <f>IFERROR(INDEX(Input!$L$20:$T$1019,INT((ROW()-9)/9)+1,MOD(ROW()-9,9)+1),"")</f>
        <v/>
      </c>
      <c r="C387" s="9">
        <f t="shared" si="5"/>
        <v>0</v>
      </c>
    </row>
    <row r="388" spans="1:3" x14ac:dyDescent="0.2">
      <c r="A388" s="10" t="str">
        <f>IF(380&gt;$C$9008,"",INDEX($B$9:$B$9008,MATCH(380,$C$9:$C$9008,0)))</f>
        <v/>
      </c>
      <c r="B388" s="9" t="str">
        <f>IFERROR(INDEX(Input!$L$20:$T$1019,INT((ROW()-9)/9)+1,MOD(ROW()-9,9)+1),"")</f>
        <v/>
      </c>
      <c r="C388" s="9">
        <f t="shared" si="5"/>
        <v>0</v>
      </c>
    </row>
    <row r="389" spans="1:3" x14ac:dyDescent="0.2">
      <c r="A389" s="10" t="str">
        <f>IF(381&gt;$C$9008,"",INDEX($B$9:$B$9008,MATCH(381,$C$9:$C$9008,0)))</f>
        <v/>
      </c>
      <c r="B389" s="9" t="str">
        <f>IFERROR(INDEX(Input!$L$20:$T$1019,INT((ROW()-9)/9)+1,MOD(ROW()-9,9)+1),"")</f>
        <v/>
      </c>
      <c r="C389" s="9">
        <f t="shared" si="5"/>
        <v>0</v>
      </c>
    </row>
    <row r="390" spans="1:3" x14ac:dyDescent="0.2">
      <c r="A390" s="10" t="str">
        <f>IF(382&gt;$C$9008,"",INDEX($B$9:$B$9008,MATCH(382,$C$9:$C$9008,0)))</f>
        <v/>
      </c>
      <c r="B390" s="9" t="str">
        <f>IFERROR(INDEX(Input!$L$20:$T$1019,INT((ROW()-9)/9)+1,MOD(ROW()-9,9)+1),"")</f>
        <v/>
      </c>
      <c r="C390" s="9">
        <f t="shared" si="5"/>
        <v>0</v>
      </c>
    </row>
    <row r="391" spans="1:3" x14ac:dyDescent="0.2">
      <c r="A391" s="10" t="str">
        <f>IF(383&gt;$C$9008,"",INDEX($B$9:$B$9008,MATCH(383,$C$9:$C$9008,0)))</f>
        <v/>
      </c>
      <c r="B391" s="9" t="str">
        <f>IFERROR(INDEX(Input!$L$20:$T$1019,INT((ROW()-9)/9)+1,MOD(ROW()-9,9)+1),"")</f>
        <v/>
      </c>
      <c r="C391" s="9">
        <f t="shared" si="5"/>
        <v>0</v>
      </c>
    </row>
    <row r="392" spans="1:3" x14ac:dyDescent="0.2">
      <c r="A392" s="10" t="str">
        <f>IF(384&gt;$C$9008,"",INDEX($B$9:$B$9008,MATCH(384,$C$9:$C$9008,0)))</f>
        <v/>
      </c>
      <c r="B392" s="9" t="str">
        <f>IFERROR(INDEX(Input!$L$20:$T$1019,INT((ROW()-9)/9)+1,MOD(ROW()-9,9)+1),"")</f>
        <v/>
      </c>
      <c r="C392" s="9">
        <f t="shared" si="5"/>
        <v>0</v>
      </c>
    </row>
    <row r="393" spans="1:3" x14ac:dyDescent="0.2">
      <c r="A393" s="10" t="str">
        <f>IF(385&gt;$C$9008,"",INDEX($B$9:$B$9008,MATCH(385,$C$9:$C$9008,0)))</f>
        <v/>
      </c>
      <c r="B393" s="9" t="str">
        <f>IFERROR(INDEX(Input!$L$20:$T$1019,INT((ROW()-9)/9)+1,MOD(ROW()-9,9)+1),"")</f>
        <v/>
      </c>
      <c r="C393" s="9">
        <f t="shared" ref="C393:C456" si="6">$C392+IF($B393&lt;&gt;"",1,0)</f>
        <v>0</v>
      </c>
    </row>
    <row r="394" spans="1:3" x14ac:dyDescent="0.2">
      <c r="A394" s="10" t="str">
        <f>IF(386&gt;$C$9008,"",INDEX($B$9:$B$9008,MATCH(386,$C$9:$C$9008,0)))</f>
        <v/>
      </c>
      <c r="B394" s="9" t="str">
        <f>IFERROR(INDEX(Input!$L$20:$T$1019,INT((ROW()-9)/9)+1,MOD(ROW()-9,9)+1),"")</f>
        <v/>
      </c>
      <c r="C394" s="9">
        <f t="shared" si="6"/>
        <v>0</v>
      </c>
    </row>
    <row r="395" spans="1:3" x14ac:dyDescent="0.2">
      <c r="A395" s="10" t="str">
        <f>IF(387&gt;$C$9008,"",INDEX($B$9:$B$9008,MATCH(387,$C$9:$C$9008,0)))</f>
        <v/>
      </c>
      <c r="B395" s="9" t="str">
        <f>IFERROR(INDEX(Input!$L$20:$T$1019,INT((ROW()-9)/9)+1,MOD(ROW()-9,9)+1),"")</f>
        <v/>
      </c>
      <c r="C395" s="9">
        <f t="shared" si="6"/>
        <v>0</v>
      </c>
    </row>
    <row r="396" spans="1:3" x14ac:dyDescent="0.2">
      <c r="A396" s="10" t="str">
        <f>IF(388&gt;$C$9008,"",INDEX($B$9:$B$9008,MATCH(388,$C$9:$C$9008,0)))</f>
        <v/>
      </c>
      <c r="B396" s="9" t="str">
        <f>IFERROR(INDEX(Input!$L$20:$T$1019,INT((ROW()-9)/9)+1,MOD(ROW()-9,9)+1),"")</f>
        <v/>
      </c>
      <c r="C396" s="9">
        <f t="shared" si="6"/>
        <v>0</v>
      </c>
    </row>
    <row r="397" spans="1:3" x14ac:dyDescent="0.2">
      <c r="A397" s="10" t="str">
        <f>IF(389&gt;$C$9008,"",INDEX($B$9:$B$9008,MATCH(389,$C$9:$C$9008,0)))</f>
        <v/>
      </c>
      <c r="B397" s="9" t="str">
        <f>IFERROR(INDEX(Input!$L$20:$T$1019,INT((ROW()-9)/9)+1,MOD(ROW()-9,9)+1),"")</f>
        <v/>
      </c>
      <c r="C397" s="9">
        <f t="shared" si="6"/>
        <v>0</v>
      </c>
    </row>
    <row r="398" spans="1:3" x14ac:dyDescent="0.2">
      <c r="A398" s="10" t="str">
        <f>IF(390&gt;$C$9008,"",INDEX($B$9:$B$9008,MATCH(390,$C$9:$C$9008,0)))</f>
        <v/>
      </c>
      <c r="B398" s="9" t="str">
        <f>IFERROR(INDEX(Input!$L$20:$T$1019,INT((ROW()-9)/9)+1,MOD(ROW()-9,9)+1),"")</f>
        <v/>
      </c>
      <c r="C398" s="9">
        <f t="shared" si="6"/>
        <v>0</v>
      </c>
    </row>
    <row r="399" spans="1:3" x14ac:dyDescent="0.2">
      <c r="A399" s="10" t="str">
        <f>IF(391&gt;$C$9008,"",INDEX($B$9:$B$9008,MATCH(391,$C$9:$C$9008,0)))</f>
        <v/>
      </c>
      <c r="B399" s="9" t="str">
        <f>IFERROR(INDEX(Input!$L$20:$T$1019,INT((ROW()-9)/9)+1,MOD(ROW()-9,9)+1),"")</f>
        <v/>
      </c>
      <c r="C399" s="9">
        <f t="shared" si="6"/>
        <v>0</v>
      </c>
    </row>
    <row r="400" spans="1:3" x14ac:dyDescent="0.2">
      <c r="A400" s="10" t="str">
        <f>IF(392&gt;$C$9008,"",INDEX($B$9:$B$9008,MATCH(392,$C$9:$C$9008,0)))</f>
        <v/>
      </c>
      <c r="B400" s="9" t="str">
        <f>IFERROR(INDEX(Input!$L$20:$T$1019,INT((ROW()-9)/9)+1,MOD(ROW()-9,9)+1),"")</f>
        <v/>
      </c>
      <c r="C400" s="9">
        <f t="shared" si="6"/>
        <v>0</v>
      </c>
    </row>
    <row r="401" spans="1:3" x14ac:dyDescent="0.2">
      <c r="A401" s="10" t="str">
        <f>IF(393&gt;$C$9008,"",INDEX($B$9:$B$9008,MATCH(393,$C$9:$C$9008,0)))</f>
        <v/>
      </c>
      <c r="B401" s="9" t="str">
        <f>IFERROR(INDEX(Input!$L$20:$T$1019,INT((ROW()-9)/9)+1,MOD(ROW()-9,9)+1),"")</f>
        <v/>
      </c>
      <c r="C401" s="9">
        <f t="shared" si="6"/>
        <v>0</v>
      </c>
    </row>
    <row r="402" spans="1:3" x14ac:dyDescent="0.2">
      <c r="A402" s="10" t="str">
        <f>IF(394&gt;$C$9008,"",INDEX($B$9:$B$9008,MATCH(394,$C$9:$C$9008,0)))</f>
        <v/>
      </c>
      <c r="B402" s="9" t="str">
        <f>IFERROR(INDEX(Input!$L$20:$T$1019,INT((ROW()-9)/9)+1,MOD(ROW()-9,9)+1),"")</f>
        <v/>
      </c>
      <c r="C402" s="9">
        <f t="shared" si="6"/>
        <v>0</v>
      </c>
    </row>
    <row r="403" spans="1:3" x14ac:dyDescent="0.2">
      <c r="A403" s="10" t="str">
        <f>IF(395&gt;$C$9008,"",INDEX($B$9:$B$9008,MATCH(395,$C$9:$C$9008,0)))</f>
        <v/>
      </c>
      <c r="B403" s="9" t="str">
        <f>IFERROR(INDEX(Input!$L$20:$T$1019,INT((ROW()-9)/9)+1,MOD(ROW()-9,9)+1),"")</f>
        <v/>
      </c>
      <c r="C403" s="9">
        <f t="shared" si="6"/>
        <v>0</v>
      </c>
    </row>
    <row r="404" spans="1:3" x14ac:dyDescent="0.2">
      <c r="A404" s="10" t="str">
        <f>IF(396&gt;$C$9008,"",INDEX($B$9:$B$9008,MATCH(396,$C$9:$C$9008,0)))</f>
        <v/>
      </c>
      <c r="B404" s="9" t="str">
        <f>IFERROR(INDEX(Input!$L$20:$T$1019,INT((ROW()-9)/9)+1,MOD(ROW()-9,9)+1),"")</f>
        <v/>
      </c>
      <c r="C404" s="9">
        <f t="shared" si="6"/>
        <v>0</v>
      </c>
    </row>
    <row r="405" spans="1:3" x14ac:dyDescent="0.2">
      <c r="A405" s="10" t="str">
        <f>IF(397&gt;$C$9008,"",INDEX($B$9:$B$9008,MATCH(397,$C$9:$C$9008,0)))</f>
        <v/>
      </c>
      <c r="B405" s="9" t="str">
        <f>IFERROR(INDEX(Input!$L$20:$T$1019,INT((ROW()-9)/9)+1,MOD(ROW()-9,9)+1),"")</f>
        <v/>
      </c>
      <c r="C405" s="9">
        <f t="shared" si="6"/>
        <v>0</v>
      </c>
    </row>
    <row r="406" spans="1:3" x14ac:dyDescent="0.2">
      <c r="A406" s="10" t="str">
        <f>IF(398&gt;$C$9008,"",INDEX($B$9:$B$9008,MATCH(398,$C$9:$C$9008,0)))</f>
        <v/>
      </c>
      <c r="B406" s="9" t="str">
        <f>IFERROR(INDEX(Input!$L$20:$T$1019,INT((ROW()-9)/9)+1,MOD(ROW()-9,9)+1),"")</f>
        <v/>
      </c>
      <c r="C406" s="9">
        <f t="shared" si="6"/>
        <v>0</v>
      </c>
    </row>
    <row r="407" spans="1:3" x14ac:dyDescent="0.2">
      <c r="A407" s="10" t="str">
        <f>IF(399&gt;$C$9008,"",INDEX($B$9:$B$9008,MATCH(399,$C$9:$C$9008,0)))</f>
        <v/>
      </c>
      <c r="B407" s="9" t="str">
        <f>IFERROR(INDEX(Input!$L$20:$T$1019,INT((ROW()-9)/9)+1,MOD(ROW()-9,9)+1),"")</f>
        <v/>
      </c>
      <c r="C407" s="9">
        <f t="shared" si="6"/>
        <v>0</v>
      </c>
    </row>
    <row r="408" spans="1:3" x14ac:dyDescent="0.2">
      <c r="A408" s="10" t="str">
        <f>IF(400&gt;$C$9008,"",INDEX($B$9:$B$9008,MATCH(400,$C$9:$C$9008,0)))</f>
        <v/>
      </c>
      <c r="B408" s="9" t="str">
        <f>IFERROR(INDEX(Input!$L$20:$T$1019,INT((ROW()-9)/9)+1,MOD(ROW()-9,9)+1),"")</f>
        <v/>
      </c>
      <c r="C408" s="9">
        <f t="shared" si="6"/>
        <v>0</v>
      </c>
    </row>
    <row r="409" spans="1:3" x14ac:dyDescent="0.2">
      <c r="A409" s="10" t="str">
        <f>IF(401&gt;$C$9008,"",INDEX($B$9:$B$9008,MATCH(401,$C$9:$C$9008,0)))</f>
        <v/>
      </c>
      <c r="B409" s="9" t="str">
        <f>IFERROR(INDEX(Input!$L$20:$T$1019,INT((ROW()-9)/9)+1,MOD(ROW()-9,9)+1),"")</f>
        <v/>
      </c>
      <c r="C409" s="9">
        <f t="shared" si="6"/>
        <v>0</v>
      </c>
    </row>
    <row r="410" spans="1:3" x14ac:dyDescent="0.2">
      <c r="A410" s="10" t="str">
        <f>IF(402&gt;$C$9008,"",INDEX($B$9:$B$9008,MATCH(402,$C$9:$C$9008,0)))</f>
        <v/>
      </c>
      <c r="B410" s="9" t="str">
        <f>IFERROR(INDEX(Input!$L$20:$T$1019,INT((ROW()-9)/9)+1,MOD(ROW()-9,9)+1),"")</f>
        <v/>
      </c>
      <c r="C410" s="9">
        <f t="shared" si="6"/>
        <v>0</v>
      </c>
    </row>
    <row r="411" spans="1:3" x14ac:dyDescent="0.2">
      <c r="A411" s="10" t="str">
        <f>IF(403&gt;$C$9008,"",INDEX($B$9:$B$9008,MATCH(403,$C$9:$C$9008,0)))</f>
        <v/>
      </c>
      <c r="B411" s="9" t="str">
        <f>IFERROR(INDEX(Input!$L$20:$T$1019,INT((ROW()-9)/9)+1,MOD(ROW()-9,9)+1),"")</f>
        <v/>
      </c>
      <c r="C411" s="9">
        <f t="shared" si="6"/>
        <v>0</v>
      </c>
    </row>
    <row r="412" spans="1:3" x14ac:dyDescent="0.2">
      <c r="A412" s="10" t="str">
        <f>IF(404&gt;$C$9008,"",INDEX($B$9:$B$9008,MATCH(404,$C$9:$C$9008,0)))</f>
        <v/>
      </c>
      <c r="B412" s="9" t="str">
        <f>IFERROR(INDEX(Input!$L$20:$T$1019,INT((ROW()-9)/9)+1,MOD(ROW()-9,9)+1),"")</f>
        <v/>
      </c>
      <c r="C412" s="9">
        <f t="shared" si="6"/>
        <v>0</v>
      </c>
    </row>
    <row r="413" spans="1:3" x14ac:dyDescent="0.2">
      <c r="A413" s="10" t="str">
        <f>IF(405&gt;$C$9008,"",INDEX($B$9:$B$9008,MATCH(405,$C$9:$C$9008,0)))</f>
        <v/>
      </c>
      <c r="B413" s="9" t="str">
        <f>IFERROR(INDEX(Input!$L$20:$T$1019,INT((ROW()-9)/9)+1,MOD(ROW()-9,9)+1),"")</f>
        <v/>
      </c>
      <c r="C413" s="9">
        <f t="shared" si="6"/>
        <v>0</v>
      </c>
    </row>
    <row r="414" spans="1:3" x14ac:dyDescent="0.2">
      <c r="A414" s="10" t="str">
        <f>IF(406&gt;$C$9008,"",INDEX($B$9:$B$9008,MATCH(406,$C$9:$C$9008,0)))</f>
        <v/>
      </c>
      <c r="B414" s="9" t="str">
        <f>IFERROR(INDEX(Input!$L$20:$T$1019,INT((ROW()-9)/9)+1,MOD(ROW()-9,9)+1),"")</f>
        <v/>
      </c>
      <c r="C414" s="9">
        <f t="shared" si="6"/>
        <v>0</v>
      </c>
    </row>
    <row r="415" spans="1:3" x14ac:dyDescent="0.2">
      <c r="A415" s="10" t="str">
        <f>IF(407&gt;$C$9008,"",INDEX($B$9:$B$9008,MATCH(407,$C$9:$C$9008,0)))</f>
        <v/>
      </c>
      <c r="B415" s="9" t="str">
        <f>IFERROR(INDEX(Input!$L$20:$T$1019,INT((ROW()-9)/9)+1,MOD(ROW()-9,9)+1),"")</f>
        <v/>
      </c>
      <c r="C415" s="9">
        <f t="shared" si="6"/>
        <v>0</v>
      </c>
    </row>
    <row r="416" spans="1:3" x14ac:dyDescent="0.2">
      <c r="A416" s="10" t="str">
        <f>IF(408&gt;$C$9008,"",INDEX($B$9:$B$9008,MATCH(408,$C$9:$C$9008,0)))</f>
        <v/>
      </c>
      <c r="B416" s="9" t="str">
        <f>IFERROR(INDEX(Input!$L$20:$T$1019,INT((ROW()-9)/9)+1,MOD(ROW()-9,9)+1),"")</f>
        <v/>
      </c>
      <c r="C416" s="9">
        <f t="shared" si="6"/>
        <v>0</v>
      </c>
    </row>
    <row r="417" spans="1:3" x14ac:dyDescent="0.2">
      <c r="A417" s="10" t="str">
        <f>IF(409&gt;$C$9008,"",INDEX($B$9:$B$9008,MATCH(409,$C$9:$C$9008,0)))</f>
        <v/>
      </c>
      <c r="B417" s="9" t="str">
        <f>IFERROR(INDEX(Input!$L$20:$T$1019,INT((ROW()-9)/9)+1,MOD(ROW()-9,9)+1),"")</f>
        <v/>
      </c>
      <c r="C417" s="9">
        <f t="shared" si="6"/>
        <v>0</v>
      </c>
    </row>
    <row r="418" spans="1:3" x14ac:dyDescent="0.2">
      <c r="A418" s="10" t="str">
        <f>IF(410&gt;$C$9008,"",INDEX($B$9:$B$9008,MATCH(410,$C$9:$C$9008,0)))</f>
        <v/>
      </c>
      <c r="B418" s="9" t="str">
        <f>IFERROR(INDEX(Input!$L$20:$T$1019,INT((ROW()-9)/9)+1,MOD(ROW()-9,9)+1),"")</f>
        <v/>
      </c>
      <c r="C418" s="9">
        <f t="shared" si="6"/>
        <v>0</v>
      </c>
    </row>
    <row r="419" spans="1:3" x14ac:dyDescent="0.2">
      <c r="A419" s="10" t="str">
        <f>IF(411&gt;$C$9008,"",INDEX($B$9:$B$9008,MATCH(411,$C$9:$C$9008,0)))</f>
        <v/>
      </c>
      <c r="B419" s="9" t="str">
        <f>IFERROR(INDEX(Input!$L$20:$T$1019,INT((ROW()-9)/9)+1,MOD(ROW()-9,9)+1),"")</f>
        <v/>
      </c>
      <c r="C419" s="9">
        <f t="shared" si="6"/>
        <v>0</v>
      </c>
    </row>
    <row r="420" spans="1:3" x14ac:dyDescent="0.2">
      <c r="A420" s="10" t="str">
        <f>IF(412&gt;$C$9008,"",INDEX($B$9:$B$9008,MATCH(412,$C$9:$C$9008,0)))</f>
        <v/>
      </c>
      <c r="B420" s="9" t="str">
        <f>IFERROR(INDEX(Input!$L$20:$T$1019,INT((ROW()-9)/9)+1,MOD(ROW()-9,9)+1),"")</f>
        <v/>
      </c>
      <c r="C420" s="9">
        <f t="shared" si="6"/>
        <v>0</v>
      </c>
    </row>
    <row r="421" spans="1:3" x14ac:dyDescent="0.2">
      <c r="A421" s="10" t="str">
        <f>IF(413&gt;$C$9008,"",INDEX($B$9:$B$9008,MATCH(413,$C$9:$C$9008,0)))</f>
        <v/>
      </c>
      <c r="B421" s="9" t="str">
        <f>IFERROR(INDEX(Input!$L$20:$T$1019,INT((ROW()-9)/9)+1,MOD(ROW()-9,9)+1),"")</f>
        <v/>
      </c>
      <c r="C421" s="9">
        <f t="shared" si="6"/>
        <v>0</v>
      </c>
    </row>
    <row r="422" spans="1:3" x14ac:dyDescent="0.2">
      <c r="A422" s="10" t="str">
        <f>IF(414&gt;$C$9008,"",INDEX($B$9:$B$9008,MATCH(414,$C$9:$C$9008,0)))</f>
        <v/>
      </c>
      <c r="B422" s="9" t="str">
        <f>IFERROR(INDEX(Input!$L$20:$T$1019,INT((ROW()-9)/9)+1,MOD(ROW()-9,9)+1),"")</f>
        <v/>
      </c>
      <c r="C422" s="9">
        <f t="shared" si="6"/>
        <v>0</v>
      </c>
    </row>
    <row r="423" spans="1:3" x14ac:dyDescent="0.2">
      <c r="A423" s="10" t="str">
        <f>IF(415&gt;$C$9008,"",INDEX($B$9:$B$9008,MATCH(415,$C$9:$C$9008,0)))</f>
        <v/>
      </c>
      <c r="B423" s="9" t="str">
        <f>IFERROR(INDEX(Input!$L$20:$T$1019,INT((ROW()-9)/9)+1,MOD(ROW()-9,9)+1),"")</f>
        <v/>
      </c>
      <c r="C423" s="9">
        <f t="shared" si="6"/>
        <v>0</v>
      </c>
    </row>
    <row r="424" spans="1:3" x14ac:dyDescent="0.2">
      <c r="A424" s="10" t="str">
        <f>IF(416&gt;$C$9008,"",INDEX($B$9:$B$9008,MATCH(416,$C$9:$C$9008,0)))</f>
        <v/>
      </c>
      <c r="B424" s="9" t="str">
        <f>IFERROR(INDEX(Input!$L$20:$T$1019,INT((ROW()-9)/9)+1,MOD(ROW()-9,9)+1),"")</f>
        <v/>
      </c>
      <c r="C424" s="9">
        <f t="shared" si="6"/>
        <v>0</v>
      </c>
    </row>
    <row r="425" spans="1:3" x14ac:dyDescent="0.2">
      <c r="A425" s="10" t="str">
        <f>IF(417&gt;$C$9008,"",INDEX($B$9:$B$9008,MATCH(417,$C$9:$C$9008,0)))</f>
        <v/>
      </c>
      <c r="B425" s="9" t="str">
        <f>IFERROR(INDEX(Input!$L$20:$T$1019,INT((ROW()-9)/9)+1,MOD(ROW()-9,9)+1),"")</f>
        <v/>
      </c>
      <c r="C425" s="9">
        <f t="shared" si="6"/>
        <v>0</v>
      </c>
    </row>
    <row r="426" spans="1:3" x14ac:dyDescent="0.2">
      <c r="A426" s="10" t="str">
        <f>IF(418&gt;$C$9008,"",INDEX($B$9:$B$9008,MATCH(418,$C$9:$C$9008,0)))</f>
        <v/>
      </c>
      <c r="B426" s="9" t="str">
        <f>IFERROR(INDEX(Input!$L$20:$T$1019,INT((ROW()-9)/9)+1,MOD(ROW()-9,9)+1),"")</f>
        <v/>
      </c>
      <c r="C426" s="9">
        <f t="shared" si="6"/>
        <v>0</v>
      </c>
    </row>
    <row r="427" spans="1:3" x14ac:dyDescent="0.2">
      <c r="A427" s="10" t="str">
        <f>IF(419&gt;$C$9008,"",INDEX($B$9:$B$9008,MATCH(419,$C$9:$C$9008,0)))</f>
        <v/>
      </c>
      <c r="B427" s="9" t="str">
        <f>IFERROR(INDEX(Input!$L$20:$T$1019,INT((ROW()-9)/9)+1,MOD(ROW()-9,9)+1),"")</f>
        <v/>
      </c>
      <c r="C427" s="9">
        <f t="shared" si="6"/>
        <v>0</v>
      </c>
    </row>
    <row r="428" spans="1:3" x14ac:dyDescent="0.2">
      <c r="A428" s="10" t="str">
        <f>IF(420&gt;$C$9008,"",INDEX($B$9:$B$9008,MATCH(420,$C$9:$C$9008,0)))</f>
        <v/>
      </c>
      <c r="B428" s="9" t="str">
        <f>IFERROR(INDEX(Input!$L$20:$T$1019,INT((ROW()-9)/9)+1,MOD(ROW()-9,9)+1),"")</f>
        <v/>
      </c>
      <c r="C428" s="9">
        <f t="shared" si="6"/>
        <v>0</v>
      </c>
    </row>
    <row r="429" spans="1:3" x14ac:dyDescent="0.2">
      <c r="A429" s="10" t="str">
        <f>IF(421&gt;$C$9008,"",INDEX($B$9:$B$9008,MATCH(421,$C$9:$C$9008,0)))</f>
        <v/>
      </c>
      <c r="B429" s="9" t="str">
        <f>IFERROR(INDEX(Input!$L$20:$T$1019,INT((ROW()-9)/9)+1,MOD(ROW()-9,9)+1),"")</f>
        <v/>
      </c>
      <c r="C429" s="9">
        <f t="shared" si="6"/>
        <v>0</v>
      </c>
    </row>
    <row r="430" spans="1:3" x14ac:dyDescent="0.2">
      <c r="A430" s="10" t="str">
        <f>IF(422&gt;$C$9008,"",INDEX($B$9:$B$9008,MATCH(422,$C$9:$C$9008,0)))</f>
        <v/>
      </c>
      <c r="B430" s="9" t="str">
        <f>IFERROR(INDEX(Input!$L$20:$T$1019,INT((ROW()-9)/9)+1,MOD(ROW()-9,9)+1),"")</f>
        <v/>
      </c>
      <c r="C430" s="9">
        <f t="shared" si="6"/>
        <v>0</v>
      </c>
    </row>
    <row r="431" spans="1:3" x14ac:dyDescent="0.2">
      <c r="A431" s="10" t="str">
        <f>IF(423&gt;$C$9008,"",INDEX($B$9:$B$9008,MATCH(423,$C$9:$C$9008,0)))</f>
        <v/>
      </c>
      <c r="B431" s="9" t="str">
        <f>IFERROR(INDEX(Input!$L$20:$T$1019,INT((ROW()-9)/9)+1,MOD(ROW()-9,9)+1),"")</f>
        <v/>
      </c>
      <c r="C431" s="9">
        <f t="shared" si="6"/>
        <v>0</v>
      </c>
    </row>
    <row r="432" spans="1:3" x14ac:dyDescent="0.2">
      <c r="A432" s="10" t="str">
        <f>IF(424&gt;$C$9008,"",INDEX($B$9:$B$9008,MATCH(424,$C$9:$C$9008,0)))</f>
        <v/>
      </c>
      <c r="B432" s="9" t="str">
        <f>IFERROR(INDEX(Input!$L$20:$T$1019,INT((ROW()-9)/9)+1,MOD(ROW()-9,9)+1),"")</f>
        <v/>
      </c>
      <c r="C432" s="9">
        <f t="shared" si="6"/>
        <v>0</v>
      </c>
    </row>
    <row r="433" spans="1:3" x14ac:dyDescent="0.2">
      <c r="A433" s="10" t="str">
        <f>IF(425&gt;$C$9008,"",INDEX($B$9:$B$9008,MATCH(425,$C$9:$C$9008,0)))</f>
        <v/>
      </c>
      <c r="B433" s="9" t="str">
        <f>IFERROR(INDEX(Input!$L$20:$T$1019,INT((ROW()-9)/9)+1,MOD(ROW()-9,9)+1),"")</f>
        <v/>
      </c>
      <c r="C433" s="9">
        <f t="shared" si="6"/>
        <v>0</v>
      </c>
    </row>
    <row r="434" spans="1:3" x14ac:dyDescent="0.2">
      <c r="A434" s="10" t="str">
        <f>IF(426&gt;$C$9008,"",INDEX($B$9:$B$9008,MATCH(426,$C$9:$C$9008,0)))</f>
        <v/>
      </c>
      <c r="B434" s="9" t="str">
        <f>IFERROR(INDEX(Input!$L$20:$T$1019,INT((ROW()-9)/9)+1,MOD(ROW()-9,9)+1),"")</f>
        <v/>
      </c>
      <c r="C434" s="9">
        <f t="shared" si="6"/>
        <v>0</v>
      </c>
    </row>
    <row r="435" spans="1:3" x14ac:dyDescent="0.2">
      <c r="A435" s="10" t="str">
        <f>IF(427&gt;$C$9008,"",INDEX($B$9:$B$9008,MATCH(427,$C$9:$C$9008,0)))</f>
        <v/>
      </c>
      <c r="B435" s="9" t="str">
        <f>IFERROR(INDEX(Input!$L$20:$T$1019,INT((ROW()-9)/9)+1,MOD(ROW()-9,9)+1),"")</f>
        <v/>
      </c>
      <c r="C435" s="9">
        <f t="shared" si="6"/>
        <v>0</v>
      </c>
    </row>
    <row r="436" spans="1:3" x14ac:dyDescent="0.2">
      <c r="A436" s="10" t="str">
        <f>IF(428&gt;$C$9008,"",INDEX($B$9:$B$9008,MATCH(428,$C$9:$C$9008,0)))</f>
        <v/>
      </c>
      <c r="B436" s="9" t="str">
        <f>IFERROR(INDEX(Input!$L$20:$T$1019,INT((ROW()-9)/9)+1,MOD(ROW()-9,9)+1),"")</f>
        <v/>
      </c>
      <c r="C436" s="9">
        <f t="shared" si="6"/>
        <v>0</v>
      </c>
    </row>
    <row r="437" spans="1:3" x14ac:dyDescent="0.2">
      <c r="A437" s="10" t="str">
        <f>IF(429&gt;$C$9008,"",INDEX($B$9:$B$9008,MATCH(429,$C$9:$C$9008,0)))</f>
        <v/>
      </c>
      <c r="B437" s="9" t="str">
        <f>IFERROR(INDEX(Input!$L$20:$T$1019,INT((ROW()-9)/9)+1,MOD(ROW()-9,9)+1),"")</f>
        <v/>
      </c>
      <c r="C437" s="9">
        <f t="shared" si="6"/>
        <v>0</v>
      </c>
    </row>
    <row r="438" spans="1:3" x14ac:dyDescent="0.2">
      <c r="A438" s="10" t="str">
        <f>IF(430&gt;$C$9008,"",INDEX($B$9:$B$9008,MATCH(430,$C$9:$C$9008,0)))</f>
        <v/>
      </c>
      <c r="B438" s="9" t="str">
        <f>IFERROR(INDEX(Input!$L$20:$T$1019,INT((ROW()-9)/9)+1,MOD(ROW()-9,9)+1),"")</f>
        <v/>
      </c>
      <c r="C438" s="9">
        <f t="shared" si="6"/>
        <v>0</v>
      </c>
    </row>
    <row r="439" spans="1:3" x14ac:dyDescent="0.2">
      <c r="A439" s="10" t="str">
        <f>IF(431&gt;$C$9008,"",INDEX($B$9:$B$9008,MATCH(431,$C$9:$C$9008,0)))</f>
        <v/>
      </c>
      <c r="B439" s="9" t="str">
        <f>IFERROR(INDEX(Input!$L$20:$T$1019,INT((ROW()-9)/9)+1,MOD(ROW()-9,9)+1),"")</f>
        <v/>
      </c>
      <c r="C439" s="9">
        <f t="shared" si="6"/>
        <v>0</v>
      </c>
    </row>
    <row r="440" spans="1:3" x14ac:dyDescent="0.2">
      <c r="A440" s="10" t="str">
        <f>IF(432&gt;$C$9008,"",INDEX($B$9:$B$9008,MATCH(432,$C$9:$C$9008,0)))</f>
        <v/>
      </c>
      <c r="B440" s="9" t="str">
        <f>IFERROR(INDEX(Input!$L$20:$T$1019,INT((ROW()-9)/9)+1,MOD(ROW()-9,9)+1),"")</f>
        <v/>
      </c>
      <c r="C440" s="9">
        <f t="shared" si="6"/>
        <v>0</v>
      </c>
    </row>
    <row r="441" spans="1:3" x14ac:dyDescent="0.2">
      <c r="A441" s="10" t="str">
        <f>IF(433&gt;$C$9008,"",INDEX($B$9:$B$9008,MATCH(433,$C$9:$C$9008,0)))</f>
        <v/>
      </c>
      <c r="B441" s="9" t="str">
        <f>IFERROR(INDEX(Input!$L$20:$T$1019,INT((ROW()-9)/9)+1,MOD(ROW()-9,9)+1),"")</f>
        <v/>
      </c>
      <c r="C441" s="9">
        <f t="shared" si="6"/>
        <v>0</v>
      </c>
    </row>
    <row r="442" spans="1:3" x14ac:dyDescent="0.2">
      <c r="A442" s="10" t="str">
        <f>IF(434&gt;$C$9008,"",INDEX($B$9:$B$9008,MATCH(434,$C$9:$C$9008,0)))</f>
        <v/>
      </c>
      <c r="B442" s="9" t="str">
        <f>IFERROR(INDEX(Input!$L$20:$T$1019,INT((ROW()-9)/9)+1,MOD(ROW()-9,9)+1),"")</f>
        <v/>
      </c>
      <c r="C442" s="9">
        <f t="shared" si="6"/>
        <v>0</v>
      </c>
    </row>
    <row r="443" spans="1:3" x14ac:dyDescent="0.2">
      <c r="A443" s="10" t="str">
        <f>IF(435&gt;$C$9008,"",INDEX($B$9:$B$9008,MATCH(435,$C$9:$C$9008,0)))</f>
        <v/>
      </c>
      <c r="B443" s="9" t="str">
        <f>IFERROR(INDEX(Input!$L$20:$T$1019,INT((ROW()-9)/9)+1,MOD(ROW()-9,9)+1),"")</f>
        <v/>
      </c>
      <c r="C443" s="9">
        <f t="shared" si="6"/>
        <v>0</v>
      </c>
    </row>
    <row r="444" spans="1:3" x14ac:dyDescent="0.2">
      <c r="A444" s="10" t="str">
        <f>IF(436&gt;$C$9008,"",INDEX($B$9:$B$9008,MATCH(436,$C$9:$C$9008,0)))</f>
        <v/>
      </c>
      <c r="B444" s="9" t="str">
        <f>IFERROR(INDEX(Input!$L$20:$T$1019,INT((ROW()-9)/9)+1,MOD(ROW()-9,9)+1),"")</f>
        <v/>
      </c>
      <c r="C444" s="9">
        <f t="shared" si="6"/>
        <v>0</v>
      </c>
    </row>
    <row r="445" spans="1:3" x14ac:dyDescent="0.2">
      <c r="A445" s="10" t="str">
        <f>IF(437&gt;$C$9008,"",INDEX($B$9:$B$9008,MATCH(437,$C$9:$C$9008,0)))</f>
        <v/>
      </c>
      <c r="B445" s="9" t="str">
        <f>IFERROR(INDEX(Input!$L$20:$T$1019,INT((ROW()-9)/9)+1,MOD(ROW()-9,9)+1),"")</f>
        <v/>
      </c>
      <c r="C445" s="9">
        <f t="shared" si="6"/>
        <v>0</v>
      </c>
    </row>
    <row r="446" spans="1:3" x14ac:dyDescent="0.2">
      <c r="A446" s="10" t="str">
        <f>IF(438&gt;$C$9008,"",INDEX($B$9:$B$9008,MATCH(438,$C$9:$C$9008,0)))</f>
        <v/>
      </c>
      <c r="B446" s="9" t="str">
        <f>IFERROR(INDEX(Input!$L$20:$T$1019,INT((ROW()-9)/9)+1,MOD(ROW()-9,9)+1),"")</f>
        <v/>
      </c>
      <c r="C446" s="9">
        <f t="shared" si="6"/>
        <v>0</v>
      </c>
    </row>
    <row r="447" spans="1:3" x14ac:dyDescent="0.2">
      <c r="A447" s="10" t="str">
        <f>IF(439&gt;$C$9008,"",INDEX($B$9:$B$9008,MATCH(439,$C$9:$C$9008,0)))</f>
        <v/>
      </c>
      <c r="B447" s="9" t="str">
        <f>IFERROR(INDEX(Input!$L$20:$T$1019,INT((ROW()-9)/9)+1,MOD(ROW()-9,9)+1),"")</f>
        <v/>
      </c>
      <c r="C447" s="9">
        <f t="shared" si="6"/>
        <v>0</v>
      </c>
    </row>
    <row r="448" spans="1:3" x14ac:dyDescent="0.2">
      <c r="A448" s="10" t="str">
        <f>IF(440&gt;$C$9008,"",INDEX($B$9:$B$9008,MATCH(440,$C$9:$C$9008,0)))</f>
        <v/>
      </c>
      <c r="B448" s="9" t="str">
        <f>IFERROR(INDEX(Input!$L$20:$T$1019,INT((ROW()-9)/9)+1,MOD(ROW()-9,9)+1),"")</f>
        <v/>
      </c>
      <c r="C448" s="9">
        <f t="shared" si="6"/>
        <v>0</v>
      </c>
    </row>
    <row r="449" spans="1:3" x14ac:dyDescent="0.2">
      <c r="A449" s="10" t="str">
        <f>IF(441&gt;$C$9008,"",INDEX($B$9:$B$9008,MATCH(441,$C$9:$C$9008,0)))</f>
        <v/>
      </c>
      <c r="B449" s="9" t="str">
        <f>IFERROR(INDEX(Input!$L$20:$T$1019,INT((ROW()-9)/9)+1,MOD(ROW()-9,9)+1),"")</f>
        <v/>
      </c>
      <c r="C449" s="9">
        <f t="shared" si="6"/>
        <v>0</v>
      </c>
    </row>
    <row r="450" spans="1:3" x14ac:dyDescent="0.2">
      <c r="A450" s="10" t="str">
        <f>IF(442&gt;$C$9008,"",INDEX($B$9:$B$9008,MATCH(442,$C$9:$C$9008,0)))</f>
        <v/>
      </c>
      <c r="B450" s="9" t="str">
        <f>IFERROR(INDEX(Input!$L$20:$T$1019,INT((ROW()-9)/9)+1,MOD(ROW()-9,9)+1),"")</f>
        <v/>
      </c>
      <c r="C450" s="9">
        <f t="shared" si="6"/>
        <v>0</v>
      </c>
    </row>
    <row r="451" spans="1:3" x14ac:dyDescent="0.2">
      <c r="A451" s="10" t="str">
        <f>IF(443&gt;$C$9008,"",INDEX($B$9:$B$9008,MATCH(443,$C$9:$C$9008,0)))</f>
        <v/>
      </c>
      <c r="B451" s="9" t="str">
        <f>IFERROR(INDEX(Input!$L$20:$T$1019,INT((ROW()-9)/9)+1,MOD(ROW()-9,9)+1),"")</f>
        <v/>
      </c>
      <c r="C451" s="9">
        <f t="shared" si="6"/>
        <v>0</v>
      </c>
    </row>
    <row r="452" spans="1:3" x14ac:dyDescent="0.2">
      <c r="A452" s="10" t="str">
        <f>IF(444&gt;$C$9008,"",INDEX($B$9:$B$9008,MATCH(444,$C$9:$C$9008,0)))</f>
        <v/>
      </c>
      <c r="B452" s="9" t="str">
        <f>IFERROR(INDEX(Input!$L$20:$T$1019,INT((ROW()-9)/9)+1,MOD(ROW()-9,9)+1),"")</f>
        <v/>
      </c>
      <c r="C452" s="9">
        <f t="shared" si="6"/>
        <v>0</v>
      </c>
    </row>
    <row r="453" spans="1:3" x14ac:dyDescent="0.2">
      <c r="A453" s="10" t="str">
        <f>IF(445&gt;$C$9008,"",INDEX($B$9:$B$9008,MATCH(445,$C$9:$C$9008,0)))</f>
        <v/>
      </c>
      <c r="B453" s="9" t="str">
        <f>IFERROR(INDEX(Input!$L$20:$T$1019,INT((ROW()-9)/9)+1,MOD(ROW()-9,9)+1),"")</f>
        <v/>
      </c>
      <c r="C453" s="9">
        <f t="shared" si="6"/>
        <v>0</v>
      </c>
    </row>
    <row r="454" spans="1:3" x14ac:dyDescent="0.2">
      <c r="A454" s="10" t="str">
        <f>IF(446&gt;$C$9008,"",INDEX($B$9:$B$9008,MATCH(446,$C$9:$C$9008,0)))</f>
        <v/>
      </c>
      <c r="B454" s="9" t="str">
        <f>IFERROR(INDEX(Input!$L$20:$T$1019,INT((ROW()-9)/9)+1,MOD(ROW()-9,9)+1),"")</f>
        <v/>
      </c>
      <c r="C454" s="9">
        <f t="shared" si="6"/>
        <v>0</v>
      </c>
    </row>
    <row r="455" spans="1:3" x14ac:dyDescent="0.2">
      <c r="A455" s="10" t="str">
        <f>IF(447&gt;$C$9008,"",INDEX($B$9:$B$9008,MATCH(447,$C$9:$C$9008,0)))</f>
        <v/>
      </c>
      <c r="B455" s="9" t="str">
        <f>IFERROR(INDEX(Input!$L$20:$T$1019,INT((ROW()-9)/9)+1,MOD(ROW()-9,9)+1),"")</f>
        <v/>
      </c>
      <c r="C455" s="9">
        <f t="shared" si="6"/>
        <v>0</v>
      </c>
    </row>
    <row r="456" spans="1:3" x14ac:dyDescent="0.2">
      <c r="A456" s="10" t="str">
        <f>IF(448&gt;$C$9008,"",INDEX($B$9:$B$9008,MATCH(448,$C$9:$C$9008,0)))</f>
        <v/>
      </c>
      <c r="B456" s="9" t="str">
        <f>IFERROR(INDEX(Input!$L$20:$T$1019,INT((ROW()-9)/9)+1,MOD(ROW()-9,9)+1),"")</f>
        <v/>
      </c>
      <c r="C456" s="9">
        <f t="shared" si="6"/>
        <v>0</v>
      </c>
    </row>
    <row r="457" spans="1:3" x14ac:dyDescent="0.2">
      <c r="A457" s="10" t="str">
        <f>IF(449&gt;$C$9008,"",INDEX($B$9:$B$9008,MATCH(449,$C$9:$C$9008,0)))</f>
        <v/>
      </c>
      <c r="B457" s="9" t="str">
        <f>IFERROR(INDEX(Input!$L$20:$T$1019,INT((ROW()-9)/9)+1,MOD(ROW()-9,9)+1),"")</f>
        <v/>
      </c>
      <c r="C457" s="9">
        <f t="shared" ref="C457:C520" si="7">$C456+IF($B457&lt;&gt;"",1,0)</f>
        <v>0</v>
      </c>
    </row>
    <row r="458" spans="1:3" x14ac:dyDescent="0.2">
      <c r="A458" s="10" t="str">
        <f>IF(450&gt;$C$9008,"",INDEX($B$9:$B$9008,MATCH(450,$C$9:$C$9008,0)))</f>
        <v/>
      </c>
      <c r="B458" s="9" t="str">
        <f>IFERROR(INDEX(Input!$L$20:$T$1019,INT((ROW()-9)/9)+1,MOD(ROW()-9,9)+1),"")</f>
        <v/>
      </c>
      <c r="C458" s="9">
        <f t="shared" si="7"/>
        <v>0</v>
      </c>
    </row>
    <row r="459" spans="1:3" x14ac:dyDescent="0.2">
      <c r="A459" s="10" t="str">
        <f>IF(451&gt;$C$9008,"",INDEX($B$9:$B$9008,MATCH(451,$C$9:$C$9008,0)))</f>
        <v/>
      </c>
      <c r="B459" s="9" t="str">
        <f>IFERROR(INDEX(Input!$L$20:$T$1019,INT((ROW()-9)/9)+1,MOD(ROW()-9,9)+1),"")</f>
        <v/>
      </c>
      <c r="C459" s="9">
        <f t="shared" si="7"/>
        <v>0</v>
      </c>
    </row>
    <row r="460" spans="1:3" x14ac:dyDescent="0.2">
      <c r="A460" s="10" t="str">
        <f>IF(452&gt;$C$9008,"",INDEX($B$9:$B$9008,MATCH(452,$C$9:$C$9008,0)))</f>
        <v/>
      </c>
      <c r="B460" s="9" t="str">
        <f>IFERROR(INDEX(Input!$L$20:$T$1019,INT((ROW()-9)/9)+1,MOD(ROW()-9,9)+1),"")</f>
        <v/>
      </c>
      <c r="C460" s="9">
        <f t="shared" si="7"/>
        <v>0</v>
      </c>
    </row>
    <row r="461" spans="1:3" x14ac:dyDescent="0.2">
      <c r="A461" s="10" t="str">
        <f>IF(453&gt;$C$9008,"",INDEX($B$9:$B$9008,MATCH(453,$C$9:$C$9008,0)))</f>
        <v/>
      </c>
      <c r="B461" s="9" t="str">
        <f>IFERROR(INDEX(Input!$L$20:$T$1019,INT((ROW()-9)/9)+1,MOD(ROW()-9,9)+1),"")</f>
        <v/>
      </c>
      <c r="C461" s="9">
        <f t="shared" si="7"/>
        <v>0</v>
      </c>
    </row>
    <row r="462" spans="1:3" x14ac:dyDescent="0.2">
      <c r="A462" s="10" t="str">
        <f>IF(454&gt;$C$9008,"",INDEX($B$9:$B$9008,MATCH(454,$C$9:$C$9008,0)))</f>
        <v/>
      </c>
      <c r="B462" s="9" t="str">
        <f>IFERROR(INDEX(Input!$L$20:$T$1019,INT((ROW()-9)/9)+1,MOD(ROW()-9,9)+1),"")</f>
        <v/>
      </c>
      <c r="C462" s="9">
        <f t="shared" si="7"/>
        <v>0</v>
      </c>
    </row>
    <row r="463" spans="1:3" x14ac:dyDescent="0.2">
      <c r="A463" s="10" t="str">
        <f>IF(455&gt;$C$9008,"",INDEX($B$9:$B$9008,MATCH(455,$C$9:$C$9008,0)))</f>
        <v/>
      </c>
      <c r="B463" s="9" t="str">
        <f>IFERROR(INDEX(Input!$L$20:$T$1019,INT((ROW()-9)/9)+1,MOD(ROW()-9,9)+1),"")</f>
        <v/>
      </c>
      <c r="C463" s="9">
        <f t="shared" si="7"/>
        <v>0</v>
      </c>
    </row>
    <row r="464" spans="1:3" x14ac:dyDescent="0.2">
      <c r="A464" s="10" t="str">
        <f>IF(456&gt;$C$9008,"",INDEX($B$9:$B$9008,MATCH(456,$C$9:$C$9008,0)))</f>
        <v/>
      </c>
      <c r="B464" s="9" t="str">
        <f>IFERROR(INDEX(Input!$L$20:$T$1019,INT((ROW()-9)/9)+1,MOD(ROW()-9,9)+1),"")</f>
        <v/>
      </c>
      <c r="C464" s="9">
        <f t="shared" si="7"/>
        <v>0</v>
      </c>
    </row>
    <row r="465" spans="1:3" x14ac:dyDescent="0.2">
      <c r="A465" s="10" t="str">
        <f>IF(457&gt;$C$9008,"",INDEX($B$9:$B$9008,MATCH(457,$C$9:$C$9008,0)))</f>
        <v/>
      </c>
      <c r="B465" s="9" t="str">
        <f>IFERROR(INDEX(Input!$L$20:$T$1019,INT((ROW()-9)/9)+1,MOD(ROW()-9,9)+1),"")</f>
        <v/>
      </c>
      <c r="C465" s="9">
        <f t="shared" si="7"/>
        <v>0</v>
      </c>
    </row>
    <row r="466" spans="1:3" x14ac:dyDescent="0.2">
      <c r="A466" s="10" t="str">
        <f>IF(458&gt;$C$9008,"",INDEX($B$9:$B$9008,MATCH(458,$C$9:$C$9008,0)))</f>
        <v/>
      </c>
      <c r="B466" s="9" t="str">
        <f>IFERROR(INDEX(Input!$L$20:$T$1019,INT((ROW()-9)/9)+1,MOD(ROW()-9,9)+1),"")</f>
        <v/>
      </c>
      <c r="C466" s="9">
        <f t="shared" si="7"/>
        <v>0</v>
      </c>
    </row>
    <row r="467" spans="1:3" x14ac:dyDescent="0.2">
      <c r="A467" s="10" t="str">
        <f>IF(459&gt;$C$9008,"",INDEX($B$9:$B$9008,MATCH(459,$C$9:$C$9008,0)))</f>
        <v/>
      </c>
      <c r="B467" s="9" t="str">
        <f>IFERROR(INDEX(Input!$L$20:$T$1019,INT((ROW()-9)/9)+1,MOD(ROW()-9,9)+1),"")</f>
        <v/>
      </c>
      <c r="C467" s="9">
        <f t="shared" si="7"/>
        <v>0</v>
      </c>
    </row>
    <row r="468" spans="1:3" x14ac:dyDescent="0.2">
      <c r="A468" s="10" t="str">
        <f>IF(460&gt;$C$9008,"",INDEX($B$9:$B$9008,MATCH(460,$C$9:$C$9008,0)))</f>
        <v/>
      </c>
      <c r="B468" s="9" t="str">
        <f>IFERROR(INDEX(Input!$L$20:$T$1019,INT((ROW()-9)/9)+1,MOD(ROW()-9,9)+1),"")</f>
        <v/>
      </c>
      <c r="C468" s="9">
        <f t="shared" si="7"/>
        <v>0</v>
      </c>
    </row>
    <row r="469" spans="1:3" x14ac:dyDescent="0.2">
      <c r="A469" s="10" t="str">
        <f>IF(461&gt;$C$9008,"",INDEX($B$9:$B$9008,MATCH(461,$C$9:$C$9008,0)))</f>
        <v/>
      </c>
      <c r="B469" s="9" t="str">
        <f>IFERROR(INDEX(Input!$L$20:$T$1019,INT((ROW()-9)/9)+1,MOD(ROW()-9,9)+1),"")</f>
        <v/>
      </c>
      <c r="C469" s="9">
        <f t="shared" si="7"/>
        <v>0</v>
      </c>
    </row>
    <row r="470" spans="1:3" x14ac:dyDescent="0.2">
      <c r="A470" s="10" t="str">
        <f>IF(462&gt;$C$9008,"",INDEX($B$9:$B$9008,MATCH(462,$C$9:$C$9008,0)))</f>
        <v/>
      </c>
      <c r="B470" s="9" t="str">
        <f>IFERROR(INDEX(Input!$L$20:$T$1019,INT((ROW()-9)/9)+1,MOD(ROW()-9,9)+1),"")</f>
        <v/>
      </c>
      <c r="C470" s="9">
        <f t="shared" si="7"/>
        <v>0</v>
      </c>
    </row>
    <row r="471" spans="1:3" x14ac:dyDescent="0.2">
      <c r="A471" s="10" t="str">
        <f>IF(463&gt;$C$9008,"",INDEX($B$9:$B$9008,MATCH(463,$C$9:$C$9008,0)))</f>
        <v/>
      </c>
      <c r="B471" s="9" t="str">
        <f>IFERROR(INDEX(Input!$L$20:$T$1019,INT((ROW()-9)/9)+1,MOD(ROW()-9,9)+1),"")</f>
        <v/>
      </c>
      <c r="C471" s="9">
        <f t="shared" si="7"/>
        <v>0</v>
      </c>
    </row>
    <row r="472" spans="1:3" x14ac:dyDescent="0.2">
      <c r="A472" s="10" t="str">
        <f>IF(464&gt;$C$9008,"",INDEX($B$9:$B$9008,MATCH(464,$C$9:$C$9008,0)))</f>
        <v/>
      </c>
      <c r="B472" s="9" t="str">
        <f>IFERROR(INDEX(Input!$L$20:$T$1019,INT((ROW()-9)/9)+1,MOD(ROW()-9,9)+1),"")</f>
        <v/>
      </c>
      <c r="C472" s="9">
        <f t="shared" si="7"/>
        <v>0</v>
      </c>
    </row>
    <row r="473" spans="1:3" x14ac:dyDescent="0.2">
      <c r="A473" s="10" t="str">
        <f>IF(465&gt;$C$9008,"",INDEX($B$9:$B$9008,MATCH(465,$C$9:$C$9008,0)))</f>
        <v/>
      </c>
      <c r="B473" s="9" t="str">
        <f>IFERROR(INDEX(Input!$L$20:$T$1019,INT((ROW()-9)/9)+1,MOD(ROW()-9,9)+1),"")</f>
        <v/>
      </c>
      <c r="C473" s="9">
        <f t="shared" si="7"/>
        <v>0</v>
      </c>
    </row>
    <row r="474" spans="1:3" x14ac:dyDescent="0.2">
      <c r="A474" s="10" t="str">
        <f>IF(466&gt;$C$9008,"",INDEX($B$9:$B$9008,MATCH(466,$C$9:$C$9008,0)))</f>
        <v/>
      </c>
      <c r="B474" s="9" t="str">
        <f>IFERROR(INDEX(Input!$L$20:$T$1019,INT((ROW()-9)/9)+1,MOD(ROW()-9,9)+1),"")</f>
        <v/>
      </c>
      <c r="C474" s="9">
        <f t="shared" si="7"/>
        <v>0</v>
      </c>
    </row>
    <row r="475" spans="1:3" x14ac:dyDescent="0.2">
      <c r="A475" s="10" t="str">
        <f>IF(467&gt;$C$9008,"",INDEX($B$9:$B$9008,MATCH(467,$C$9:$C$9008,0)))</f>
        <v/>
      </c>
      <c r="B475" s="9" t="str">
        <f>IFERROR(INDEX(Input!$L$20:$T$1019,INT((ROW()-9)/9)+1,MOD(ROW()-9,9)+1),"")</f>
        <v/>
      </c>
      <c r="C475" s="9">
        <f t="shared" si="7"/>
        <v>0</v>
      </c>
    </row>
    <row r="476" spans="1:3" x14ac:dyDescent="0.2">
      <c r="A476" s="10" t="str">
        <f>IF(468&gt;$C$9008,"",INDEX($B$9:$B$9008,MATCH(468,$C$9:$C$9008,0)))</f>
        <v/>
      </c>
      <c r="B476" s="9" t="str">
        <f>IFERROR(INDEX(Input!$L$20:$T$1019,INT((ROW()-9)/9)+1,MOD(ROW()-9,9)+1),"")</f>
        <v/>
      </c>
      <c r="C476" s="9">
        <f t="shared" si="7"/>
        <v>0</v>
      </c>
    </row>
    <row r="477" spans="1:3" x14ac:dyDescent="0.2">
      <c r="A477" s="10" t="str">
        <f>IF(469&gt;$C$9008,"",INDEX($B$9:$B$9008,MATCH(469,$C$9:$C$9008,0)))</f>
        <v/>
      </c>
      <c r="B477" s="9" t="str">
        <f>IFERROR(INDEX(Input!$L$20:$T$1019,INT((ROW()-9)/9)+1,MOD(ROW()-9,9)+1),"")</f>
        <v/>
      </c>
      <c r="C477" s="9">
        <f t="shared" si="7"/>
        <v>0</v>
      </c>
    </row>
    <row r="478" spans="1:3" x14ac:dyDescent="0.2">
      <c r="A478" s="10" t="str">
        <f>IF(470&gt;$C$9008,"",INDEX($B$9:$B$9008,MATCH(470,$C$9:$C$9008,0)))</f>
        <v/>
      </c>
      <c r="B478" s="9" t="str">
        <f>IFERROR(INDEX(Input!$L$20:$T$1019,INT((ROW()-9)/9)+1,MOD(ROW()-9,9)+1),"")</f>
        <v/>
      </c>
      <c r="C478" s="9">
        <f t="shared" si="7"/>
        <v>0</v>
      </c>
    </row>
    <row r="479" spans="1:3" x14ac:dyDescent="0.2">
      <c r="A479" s="10" t="str">
        <f>IF(471&gt;$C$9008,"",INDEX($B$9:$B$9008,MATCH(471,$C$9:$C$9008,0)))</f>
        <v/>
      </c>
      <c r="B479" s="9" t="str">
        <f>IFERROR(INDEX(Input!$L$20:$T$1019,INT((ROW()-9)/9)+1,MOD(ROW()-9,9)+1),"")</f>
        <v/>
      </c>
      <c r="C479" s="9">
        <f t="shared" si="7"/>
        <v>0</v>
      </c>
    </row>
    <row r="480" spans="1:3" x14ac:dyDescent="0.2">
      <c r="A480" s="10" t="str">
        <f>IF(472&gt;$C$9008,"",INDEX($B$9:$B$9008,MATCH(472,$C$9:$C$9008,0)))</f>
        <v/>
      </c>
      <c r="B480" s="9" t="str">
        <f>IFERROR(INDEX(Input!$L$20:$T$1019,INT((ROW()-9)/9)+1,MOD(ROW()-9,9)+1),"")</f>
        <v/>
      </c>
      <c r="C480" s="9">
        <f t="shared" si="7"/>
        <v>0</v>
      </c>
    </row>
    <row r="481" spans="1:3" x14ac:dyDescent="0.2">
      <c r="A481" s="10" t="str">
        <f>IF(473&gt;$C$9008,"",INDEX($B$9:$B$9008,MATCH(473,$C$9:$C$9008,0)))</f>
        <v/>
      </c>
      <c r="B481" s="9" t="str">
        <f>IFERROR(INDEX(Input!$L$20:$T$1019,INT((ROW()-9)/9)+1,MOD(ROW()-9,9)+1),"")</f>
        <v/>
      </c>
      <c r="C481" s="9">
        <f t="shared" si="7"/>
        <v>0</v>
      </c>
    </row>
    <row r="482" spans="1:3" x14ac:dyDescent="0.2">
      <c r="A482" s="10" t="str">
        <f>IF(474&gt;$C$9008,"",INDEX($B$9:$B$9008,MATCH(474,$C$9:$C$9008,0)))</f>
        <v/>
      </c>
      <c r="B482" s="9" t="str">
        <f>IFERROR(INDEX(Input!$L$20:$T$1019,INT((ROW()-9)/9)+1,MOD(ROW()-9,9)+1),"")</f>
        <v/>
      </c>
      <c r="C482" s="9">
        <f t="shared" si="7"/>
        <v>0</v>
      </c>
    </row>
    <row r="483" spans="1:3" x14ac:dyDescent="0.2">
      <c r="A483" s="10" t="str">
        <f>IF(475&gt;$C$9008,"",INDEX($B$9:$B$9008,MATCH(475,$C$9:$C$9008,0)))</f>
        <v/>
      </c>
      <c r="B483" s="9" t="str">
        <f>IFERROR(INDEX(Input!$L$20:$T$1019,INT((ROW()-9)/9)+1,MOD(ROW()-9,9)+1),"")</f>
        <v/>
      </c>
      <c r="C483" s="9">
        <f t="shared" si="7"/>
        <v>0</v>
      </c>
    </row>
    <row r="484" spans="1:3" x14ac:dyDescent="0.2">
      <c r="A484" s="10" t="str">
        <f>IF(476&gt;$C$9008,"",INDEX($B$9:$B$9008,MATCH(476,$C$9:$C$9008,0)))</f>
        <v/>
      </c>
      <c r="B484" s="9" t="str">
        <f>IFERROR(INDEX(Input!$L$20:$T$1019,INT((ROW()-9)/9)+1,MOD(ROW()-9,9)+1),"")</f>
        <v/>
      </c>
      <c r="C484" s="9">
        <f t="shared" si="7"/>
        <v>0</v>
      </c>
    </row>
    <row r="485" spans="1:3" x14ac:dyDescent="0.2">
      <c r="A485" s="10" t="str">
        <f>IF(477&gt;$C$9008,"",INDEX($B$9:$B$9008,MATCH(477,$C$9:$C$9008,0)))</f>
        <v/>
      </c>
      <c r="B485" s="9" t="str">
        <f>IFERROR(INDEX(Input!$L$20:$T$1019,INT((ROW()-9)/9)+1,MOD(ROW()-9,9)+1),"")</f>
        <v/>
      </c>
      <c r="C485" s="9">
        <f t="shared" si="7"/>
        <v>0</v>
      </c>
    </row>
    <row r="486" spans="1:3" x14ac:dyDescent="0.2">
      <c r="A486" s="10" t="str">
        <f>IF(478&gt;$C$9008,"",INDEX($B$9:$B$9008,MATCH(478,$C$9:$C$9008,0)))</f>
        <v/>
      </c>
      <c r="B486" s="9" t="str">
        <f>IFERROR(INDEX(Input!$L$20:$T$1019,INT((ROW()-9)/9)+1,MOD(ROW()-9,9)+1),"")</f>
        <v/>
      </c>
      <c r="C486" s="9">
        <f t="shared" si="7"/>
        <v>0</v>
      </c>
    </row>
    <row r="487" spans="1:3" x14ac:dyDescent="0.2">
      <c r="A487" s="10" t="str">
        <f>IF(479&gt;$C$9008,"",INDEX($B$9:$B$9008,MATCH(479,$C$9:$C$9008,0)))</f>
        <v/>
      </c>
      <c r="B487" s="9" t="str">
        <f>IFERROR(INDEX(Input!$L$20:$T$1019,INT((ROW()-9)/9)+1,MOD(ROW()-9,9)+1),"")</f>
        <v/>
      </c>
      <c r="C487" s="9">
        <f t="shared" si="7"/>
        <v>0</v>
      </c>
    </row>
    <row r="488" spans="1:3" x14ac:dyDescent="0.2">
      <c r="A488" s="10" t="str">
        <f>IF(480&gt;$C$9008,"",INDEX($B$9:$B$9008,MATCH(480,$C$9:$C$9008,0)))</f>
        <v/>
      </c>
      <c r="B488" s="9" t="str">
        <f>IFERROR(INDEX(Input!$L$20:$T$1019,INT((ROW()-9)/9)+1,MOD(ROW()-9,9)+1),"")</f>
        <v/>
      </c>
      <c r="C488" s="9">
        <f t="shared" si="7"/>
        <v>0</v>
      </c>
    </row>
    <row r="489" spans="1:3" x14ac:dyDescent="0.2">
      <c r="A489" s="10" t="str">
        <f>IF(481&gt;$C$9008,"",INDEX($B$9:$B$9008,MATCH(481,$C$9:$C$9008,0)))</f>
        <v/>
      </c>
      <c r="B489" s="9" t="str">
        <f>IFERROR(INDEX(Input!$L$20:$T$1019,INT((ROW()-9)/9)+1,MOD(ROW()-9,9)+1),"")</f>
        <v/>
      </c>
      <c r="C489" s="9">
        <f t="shared" si="7"/>
        <v>0</v>
      </c>
    </row>
    <row r="490" spans="1:3" x14ac:dyDescent="0.2">
      <c r="A490" s="10" t="str">
        <f>IF(482&gt;$C$9008,"",INDEX($B$9:$B$9008,MATCH(482,$C$9:$C$9008,0)))</f>
        <v/>
      </c>
      <c r="B490" s="9" t="str">
        <f>IFERROR(INDEX(Input!$L$20:$T$1019,INT((ROW()-9)/9)+1,MOD(ROW()-9,9)+1),"")</f>
        <v/>
      </c>
      <c r="C490" s="9">
        <f t="shared" si="7"/>
        <v>0</v>
      </c>
    </row>
    <row r="491" spans="1:3" x14ac:dyDescent="0.2">
      <c r="A491" s="10" t="str">
        <f>IF(483&gt;$C$9008,"",INDEX($B$9:$B$9008,MATCH(483,$C$9:$C$9008,0)))</f>
        <v/>
      </c>
      <c r="B491" s="9" t="str">
        <f>IFERROR(INDEX(Input!$L$20:$T$1019,INT((ROW()-9)/9)+1,MOD(ROW()-9,9)+1),"")</f>
        <v/>
      </c>
      <c r="C491" s="9">
        <f t="shared" si="7"/>
        <v>0</v>
      </c>
    </row>
    <row r="492" spans="1:3" x14ac:dyDescent="0.2">
      <c r="A492" s="10" t="str">
        <f>IF(484&gt;$C$9008,"",INDEX($B$9:$B$9008,MATCH(484,$C$9:$C$9008,0)))</f>
        <v/>
      </c>
      <c r="B492" s="9" t="str">
        <f>IFERROR(INDEX(Input!$L$20:$T$1019,INT((ROW()-9)/9)+1,MOD(ROW()-9,9)+1),"")</f>
        <v/>
      </c>
      <c r="C492" s="9">
        <f t="shared" si="7"/>
        <v>0</v>
      </c>
    </row>
    <row r="493" spans="1:3" x14ac:dyDescent="0.2">
      <c r="A493" s="10" t="str">
        <f>IF(485&gt;$C$9008,"",INDEX($B$9:$B$9008,MATCH(485,$C$9:$C$9008,0)))</f>
        <v/>
      </c>
      <c r="B493" s="9" t="str">
        <f>IFERROR(INDEX(Input!$L$20:$T$1019,INT((ROW()-9)/9)+1,MOD(ROW()-9,9)+1),"")</f>
        <v/>
      </c>
      <c r="C493" s="9">
        <f t="shared" si="7"/>
        <v>0</v>
      </c>
    </row>
    <row r="494" spans="1:3" x14ac:dyDescent="0.2">
      <c r="A494" s="10" t="str">
        <f>IF(486&gt;$C$9008,"",INDEX($B$9:$B$9008,MATCH(486,$C$9:$C$9008,0)))</f>
        <v/>
      </c>
      <c r="B494" s="9" t="str">
        <f>IFERROR(INDEX(Input!$L$20:$T$1019,INT((ROW()-9)/9)+1,MOD(ROW()-9,9)+1),"")</f>
        <v/>
      </c>
      <c r="C494" s="9">
        <f t="shared" si="7"/>
        <v>0</v>
      </c>
    </row>
    <row r="495" spans="1:3" x14ac:dyDescent="0.2">
      <c r="A495" s="10" t="str">
        <f>IF(487&gt;$C$9008,"",INDEX($B$9:$B$9008,MATCH(487,$C$9:$C$9008,0)))</f>
        <v/>
      </c>
      <c r="B495" s="9" t="str">
        <f>IFERROR(INDEX(Input!$L$20:$T$1019,INT((ROW()-9)/9)+1,MOD(ROW()-9,9)+1),"")</f>
        <v/>
      </c>
      <c r="C495" s="9">
        <f t="shared" si="7"/>
        <v>0</v>
      </c>
    </row>
    <row r="496" spans="1:3" x14ac:dyDescent="0.2">
      <c r="A496" s="10" t="str">
        <f>IF(488&gt;$C$9008,"",INDEX($B$9:$B$9008,MATCH(488,$C$9:$C$9008,0)))</f>
        <v/>
      </c>
      <c r="B496" s="9" t="str">
        <f>IFERROR(INDEX(Input!$L$20:$T$1019,INT((ROW()-9)/9)+1,MOD(ROW()-9,9)+1),"")</f>
        <v/>
      </c>
      <c r="C496" s="9">
        <f t="shared" si="7"/>
        <v>0</v>
      </c>
    </row>
    <row r="497" spans="1:3" x14ac:dyDescent="0.2">
      <c r="A497" s="10" t="str">
        <f>IF(489&gt;$C$9008,"",INDEX($B$9:$B$9008,MATCH(489,$C$9:$C$9008,0)))</f>
        <v/>
      </c>
      <c r="B497" s="9" t="str">
        <f>IFERROR(INDEX(Input!$L$20:$T$1019,INT((ROW()-9)/9)+1,MOD(ROW()-9,9)+1),"")</f>
        <v/>
      </c>
      <c r="C497" s="9">
        <f t="shared" si="7"/>
        <v>0</v>
      </c>
    </row>
    <row r="498" spans="1:3" x14ac:dyDescent="0.2">
      <c r="A498" s="10" t="str">
        <f>IF(490&gt;$C$9008,"",INDEX($B$9:$B$9008,MATCH(490,$C$9:$C$9008,0)))</f>
        <v/>
      </c>
      <c r="B498" s="9" t="str">
        <f>IFERROR(INDEX(Input!$L$20:$T$1019,INT((ROW()-9)/9)+1,MOD(ROW()-9,9)+1),"")</f>
        <v/>
      </c>
      <c r="C498" s="9">
        <f t="shared" si="7"/>
        <v>0</v>
      </c>
    </row>
    <row r="499" spans="1:3" x14ac:dyDescent="0.2">
      <c r="A499" s="10" t="str">
        <f>IF(491&gt;$C$9008,"",INDEX($B$9:$B$9008,MATCH(491,$C$9:$C$9008,0)))</f>
        <v/>
      </c>
      <c r="B499" s="9" t="str">
        <f>IFERROR(INDEX(Input!$L$20:$T$1019,INT((ROW()-9)/9)+1,MOD(ROW()-9,9)+1),"")</f>
        <v/>
      </c>
      <c r="C499" s="9">
        <f t="shared" si="7"/>
        <v>0</v>
      </c>
    </row>
    <row r="500" spans="1:3" x14ac:dyDescent="0.2">
      <c r="A500" s="10" t="str">
        <f>IF(492&gt;$C$9008,"",INDEX($B$9:$B$9008,MATCH(492,$C$9:$C$9008,0)))</f>
        <v/>
      </c>
      <c r="B500" s="9" t="str">
        <f>IFERROR(INDEX(Input!$L$20:$T$1019,INT((ROW()-9)/9)+1,MOD(ROW()-9,9)+1),"")</f>
        <v/>
      </c>
      <c r="C500" s="9">
        <f t="shared" si="7"/>
        <v>0</v>
      </c>
    </row>
    <row r="501" spans="1:3" x14ac:dyDescent="0.2">
      <c r="A501" s="10" t="str">
        <f>IF(493&gt;$C$9008,"",INDEX($B$9:$B$9008,MATCH(493,$C$9:$C$9008,0)))</f>
        <v/>
      </c>
      <c r="B501" s="9" t="str">
        <f>IFERROR(INDEX(Input!$L$20:$T$1019,INT((ROW()-9)/9)+1,MOD(ROW()-9,9)+1),"")</f>
        <v/>
      </c>
      <c r="C501" s="9">
        <f t="shared" si="7"/>
        <v>0</v>
      </c>
    </row>
    <row r="502" spans="1:3" x14ac:dyDescent="0.2">
      <c r="A502" s="10" t="str">
        <f>IF(494&gt;$C$9008,"",INDEX($B$9:$B$9008,MATCH(494,$C$9:$C$9008,0)))</f>
        <v/>
      </c>
      <c r="B502" s="9" t="str">
        <f>IFERROR(INDEX(Input!$L$20:$T$1019,INT((ROW()-9)/9)+1,MOD(ROW()-9,9)+1),"")</f>
        <v/>
      </c>
      <c r="C502" s="9">
        <f t="shared" si="7"/>
        <v>0</v>
      </c>
    </row>
    <row r="503" spans="1:3" x14ac:dyDescent="0.2">
      <c r="A503" s="10" t="str">
        <f>IF(495&gt;$C$9008,"",INDEX($B$9:$B$9008,MATCH(495,$C$9:$C$9008,0)))</f>
        <v/>
      </c>
      <c r="B503" s="9" t="str">
        <f>IFERROR(INDEX(Input!$L$20:$T$1019,INT((ROW()-9)/9)+1,MOD(ROW()-9,9)+1),"")</f>
        <v/>
      </c>
      <c r="C503" s="9">
        <f t="shared" si="7"/>
        <v>0</v>
      </c>
    </row>
    <row r="504" spans="1:3" x14ac:dyDescent="0.2">
      <c r="A504" s="10" t="str">
        <f>IF(496&gt;$C$9008,"",INDEX($B$9:$B$9008,MATCH(496,$C$9:$C$9008,0)))</f>
        <v/>
      </c>
      <c r="B504" s="9" t="str">
        <f>IFERROR(INDEX(Input!$L$20:$T$1019,INT((ROW()-9)/9)+1,MOD(ROW()-9,9)+1),"")</f>
        <v/>
      </c>
      <c r="C504" s="9">
        <f t="shared" si="7"/>
        <v>0</v>
      </c>
    </row>
    <row r="505" spans="1:3" x14ac:dyDescent="0.2">
      <c r="A505" s="10" t="str">
        <f>IF(497&gt;$C$9008,"",INDEX($B$9:$B$9008,MATCH(497,$C$9:$C$9008,0)))</f>
        <v/>
      </c>
      <c r="B505" s="9" t="str">
        <f>IFERROR(INDEX(Input!$L$20:$T$1019,INT((ROW()-9)/9)+1,MOD(ROW()-9,9)+1),"")</f>
        <v/>
      </c>
      <c r="C505" s="9">
        <f t="shared" si="7"/>
        <v>0</v>
      </c>
    </row>
    <row r="506" spans="1:3" x14ac:dyDescent="0.2">
      <c r="A506" s="10" t="str">
        <f>IF(498&gt;$C$9008,"",INDEX($B$9:$B$9008,MATCH(498,$C$9:$C$9008,0)))</f>
        <v/>
      </c>
      <c r="B506" s="9" t="str">
        <f>IFERROR(INDEX(Input!$L$20:$T$1019,INT((ROW()-9)/9)+1,MOD(ROW()-9,9)+1),"")</f>
        <v/>
      </c>
      <c r="C506" s="9">
        <f t="shared" si="7"/>
        <v>0</v>
      </c>
    </row>
    <row r="507" spans="1:3" x14ac:dyDescent="0.2">
      <c r="A507" s="10" t="str">
        <f>IF(499&gt;$C$9008,"",INDEX($B$9:$B$9008,MATCH(499,$C$9:$C$9008,0)))</f>
        <v/>
      </c>
      <c r="B507" s="9" t="str">
        <f>IFERROR(INDEX(Input!$L$20:$T$1019,INT((ROW()-9)/9)+1,MOD(ROW()-9,9)+1),"")</f>
        <v/>
      </c>
      <c r="C507" s="9">
        <f t="shared" si="7"/>
        <v>0</v>
      </c>
    </row>
    <row r="508" spans="1:3" x14ac:dyDescent="0.2">
      <c r="A508" s="10" t="str">
        <f>IF(500&gt;$C$9008,"",INDEX($B$9:$B$9008,MATCH(500,$C$9:$C$9008,0)))</f>
        <v/>
      </c>
      <c r="B508" s="9" t="str">
        <f>IFERROR(INDEX(Input!$L$20:$T$1019,INT((ROW()-9)/9)+1,MOD(ROW()-9,9)+1),"")</f>
        <v/>
      </c>
      <c r="C508" s="9">
        <f t="shared" si="7"/>
        <v>0</v>
      </c>
    </row>
    <row r="509" spans="1:3" x14ac:dyDescent="0.2">
      <c r="A509" s="10" t="str">
        <f>IF(501&gt;$C$9008,"",INDEX($B$9:$B$9008,MATCH(501,$C$9:$C$9008,0)))</f>
        <v/>
      </c>
      <c r="B509" s="9" t="str">
        <f>IFERROR(INDEX(Input!$L$20:$T$1019,INT((ROW()-9)/9)+1,MOD(ROW()-9,9)+1),"")</f>
        <v/>
      </c>
      <c r="C509" s="9">
        <f t="shared" si="7"/>
        <v>0</v>
      </c>
    </row>
    <row r="510" spans="1:3" x14ac:dyDescent="0.2">
      <c r="A510" s="10" t="str">
        <f>IF(502&gt;$C$9008,"",INDEX($B$9:$B$9008,MATCH(502,$C$9:$C$9008,0)))</f>
        <v/>
      </c>
      <c r="B510" s="9" t="str">
        <f>IFERROR(INDEX(Input!$L$20:$T$1019,INT((ROW()-9)/9)+1,MOD(ROW()-9,9)+1),"")</f>
        <v/>
      </c>
      <c r="C510" s="9">
        <f t="shared" si="7"/>
        <v>0</v>
      </c>
    </row>
    <row r="511" spans="1:3" x14ac:dyDescent="0.2">
      <c r="A511" s="10" t="str">
        <f>IF(503&gt;$C$9008,"",INDEX($B$9:$B$9008,MATCH(503,$C$9:$C$9008,0)))</f>
        <v/>
      </c>
      <c r="B511" s="9" t="str">
        <f>IFERROR(INDEX(Input!$L$20:$T$1019,INT((ROW()-9)/9)+1,MOD(ROW()-9,9)+1),"")</f>
        <v/>
      </c>
      <c r="C511" s="9">
        <f t="shared" si="7"/>
        <v>0</v>
      </c>
    </row>
    <row r="512" spans="1:3" x14ac:dyDescent="0.2">
      <c r="A512" s="10" t="str">
        <f>IF(504&gt;$C$9008,"",INDEX($B$9:$B$9008,MATCH(504,$C$9:$C$9008,0)))</f>
        <v/>
      </c>
      <c r="B512" s="9" t="str">
        <f>IFERROR(INDEX(Input!$L$20:$T$1019,INT((ROW()-9)/9)+1,MOD(ROW()-9,9)+1),"")</f>
        <v/>
      </c>
      <c r="C512" s="9">
        <f t="shared" si="7"/>
        <v>0</v>
      </c>
    </row>
    <row r="513" spans="1:3" x14ac:dyDescent="0.2">
      <c r="A513" s="10" t="str">
        <f>IF(505&gt;$C$9008,"",INDEX($B$9:$B$9008,MATCH(505,$C$9:$C$9008,0)))</f>
        <v/>
      </c>
      <c r="B513" s="9" t="str">
        <f>IFERROR(INDEX(Input!$L$20:$T$1019,INT((ROW()-9)/9)+1,MOD(ROW()-9,9)+1),"")</f>
        <v/>
      </c>
      <c r="C513" s="9">
        <f t="shared" si="7"/>
        <v>0</v>
      </c>
    </row>
    <row r="514" spans="1:3" x14ac:dyDescent="0.2">
      <c r="A514" s="10" t="str">
        <f>IF(506&gt;$C$9008,"",INDEX($B$9:$B$9008,MATCH(506,$C$9:$C$9008,0)))</f>
        <v/>
      </c>
      <c r="B514" s="9" t="str">
        <f>IFERROR(INDEX(Input!$L$20:$T$1019,INT((ROW()-9)/9)+1,MOD(ROW()-9,9)+1),"")</f>
        <v/>
      </c>
      <c r="C514" s="9">
        <f t="shared" si="7"/>
        <v>0</v>
      </c>
    </row>
    <row r="515" spans="1:3" x14ac:dyDescent="0.2">
      <c r="A515" s="10" t="str">
        <f>IF(507&gt;$C$9008,"",INDEX($B$9:$B$9008,MATCH(507,$C$9:$C$9008,0)))</f>
        <v/>
      </c>
      <c r="B515" s="9" t="str">
        <f>IFERROR(INDEX(Input!$L$20:$T$1019,INT((ROW()-9)/9)+1,MOD(ROW()-9,9)+1),"")</f>
        <v/>
      </c>
      <c r="C515" s="9">
        <f t="shared" si="7"/>
        <v>0</v>
      </c>
    </row>
    <row r="516" spans="1:3" x14ac:dyDescent="0.2">
      <c r="A516" s="10" t="str">
        <f>IF(508&gt;$C$9008,"",INDEX($B$9:$B$9008,MATCH(508,$C$9:$C$9008,0)))</f>
        <v/>
      </c>
      <c r="B516" s="9" t="str">
        <f>IFERROR(INDEX(Input!$L$20:$T$1019,INT((ROW()-9)/9)+1,MOD(ROW()-9,9)+1),"")</f>
        <v/>
      </c>
      <c r="C516" s="9">
        <f t="shared" si="7"/>
        <v>0</v>
      </c>
    </row>
    <row r="517" spans="1:3" x14ac:dyDescent="0.2">
      <c r="A517" s="10" t="str">
        <f>IF(509&gt;$C$9008,"",INDEX($B$9:$B$9008,MATCH(509,$C$9:$C$9008,0)))</f>
        <v/>
      </c>
      <c r="B517" s="9" t="str">
        <f>IFERROR(INDEX(Input!$L$20:$T$1019,INT((ROW()-9)/9)+1,MOD(ROW()-9,9)+1),"")</f>
        <v/>
      </c>
      <c r="C517" s="9">
        <f t="shared" si="7"/>
        <v>0</v>
      </c>
    </row>
    <row r="518" spans="1:3" x14ac:dyDescent="0.2">
      <c r="A518" s="10" t="str">
        <f>IF(510&gt;$C$9008,"",INDEX($B$9:$B$9008,MATCH(510,$C$9:$C$9008,0)))</f>
        <v/>
      </c>
      <c r="B518" s="9" t="str">
        <f>IFERROR(INDEX(Input!$L$20:$T$1019,INT((ROW()-9)/9)+1,MOD(ROW()-9,9)+1),"")</f>
        <v/>
      </c>
      <c r="C518" s="9">
        <f t="shared" si="7"/>
        <v>0</v>
      </c>
    </row>
    <row r="519" spans="1:3" x14ac:dyDescent="0.2">
      <c r="A519" s="10" t="str">
        <f>IF(511&gt;$C$9008,"",INDEX($B$9:$B$9008,MATCH(511,$C$9:$C$9008,0)))</f>
        <v/>
      </c>
      <c r="B519" s="9" t="str">
        <f>IFERROR(INDEX(Input!$L$20:$T$1019,INT((ROW()-9)/9)+1,MOD(ROW()-9,9)+1),"")</f>
        <v/>
      </c>
      <c r="C519" s="9">
        <f t="shared" si="7"/>
        <v>0</v>
      </c>
    </row>
    <row r="520" spans="1:3" x14ac:dyDescent="0.2">
      <c r="A520" s="10" t="str">
        <f>IF(512&gt;$C$9008,"",INDEX($B$9:$B$9008,MATCH(512,$C$9:$C$9008,0)))</f>
        <v/>
      </c>
      <c r="B520" s="9" t="str">
        <f>IFERROR(INDEX(Input!$L$20:$T$1019,INT((ROW()-9)/9)+1,MOD(ROW()-9,9)+1),"")</f>
        <v/>
      </c>
      <c r="C520" s="9">
        <f t="shared" si="7"/>
        <v>0</v>
      </c>
    </row>
    <row r="521" spans="1:3" x14ac:dyDescent="0.2">
      <c r="A521" s="10" t="str">
        <f>IF(513&gt;$C$9008,"",INDEX($B$9:$B$9008,MATCH(513,$C$9:$C$9008,0)))</f>
        <v/>
      </c>
      <c r="B521" s="9" t="str">
        <f>IFERROR(INDEX(Input!$L$20:$T$1019,INT((ROW()-9)/9)+1,MOD(ROW()-9,9)+1),"")</f>
        <v/>
      </c>
      <c r="C521" s="9">
        <f t="shared" ref="C521:C584" si="8">$C520+IF($B521&lt;&gt;"",1,0)</f>
        <v>0</v>
      </c>
    </row>
    <row r="522" spans="1:3" x14ac:dyDescent="0.2">
      <c r="A522" s="10" t="str">
        <f>IF(514&gt;$C$9008,"",INDEX($B$9:$B$9008,MATCH(514,$C$9:$C$9008,0)))</f>
        <v/>
      </c>
      <c r="B522" s="9" t="str">
        <f>IFERROR(INDEX(Input!$L$20:$T$1019,INT((ROW()-9)/9)+1,MOD(ROW()-9,9)+1),"")</f>
        <v/>
      </c>
      <c r="C522" s="9">
        <f t="shared" si="8"/>
        <v>0</v>
      </c>
    </row>
    <row r="523" spans="1:3" x14ac:dyDescent="0.2">
      <c r="A523" s="10" t="str">
        <f>IF(515&gt;$C$9008,"",INDEX($B$9:$B$9008,MATCH(515,$C$9:$C$9008,0)))</f>
        <v/>
      </c>
      <c r="B523" s="9" t="str">
        <f>IFERROR(INDEX(Input!$L$20:$T$1019,INT((ROW()-9)/9)+1,MOD(ROW()-9,9)+1),"")</f>
        <v/>
      </c>
      <c r="C523" s="9">
        <f t="shared" si="8"/>
        <v>0</v>
      </c>
    </row>
    <row r="524" spans="1:3" x14ac:dyDescent="0.2">
      <c r="A524" s="10" t="str">
        <f>IF(516&gt;$C$9008,"",INDEX($B$9:$B$9008,MATCH(516,$C$9:$C$9008,0)))</f>
        <v/>
      </c>
      <c r="B524" s="9" t="str">
        <f>IFERROR(INDEX(Input!$L$20:$T$1019,INT((ROW()-9)/9)+1,MOD(ROW()-9,9)+1),"")</f>
        <v/>
      </c>
      <c r="C524" s="9">
        <f t="shared" si="8"/>
        <v>0</v>
      </c>
    </row>
    <row r="525" spans="1:3" x14ac:dyDescent="0.2">
      <c r="A525" s="10" t="str">
        <f>IF(517&gt;$C$9008,"",INDEX($B$9:$B$9008,MATCH(517,$C$9:$C$9008,0)))</f>
        <v/>
      </c>
      <c r="B525" s="9" t="str">
        <f>IFERROR(INDEX(Input!$L$20:$T$1019,INT((ROW()-9)/9)+1,MOD(ROW()-9,9)+1),"")</f>
        <v/>
      </c>
      <c r="C525" s="9">
        <f t="shared" si="8"/>
        <v>0</v>
      </c>
    </row>
    <row r="526" spans="1:3" x14ac:dyDescent="0.2">
      <c r="A526" s="10" t="str">
        <f>IF(518&gt;$C$9008,"",INDEX($B$9:$B$9008,MATCH(518,$C$9:$C$9008,0)))</f>
        <v/>
      </c>
      <c r="B526" s="9" t="str">
        <f>IFERROR(INDEX(Input!$L$20:$T$1019,INT((ROW()-9)/9)+1,MOD(ROW()-9,9)+1),"")</f>
        <v/>
      </c>
      <c r="C526" s="9">
        <f t="shared" si="8"/>
        <v>0</v>
      </c>
    </row>
    <row r="527" spans="1:3" x14ac:dyDescent="0.2">
      <c r="A527" s="10" t="str">
        <f>IF(519&gt;$C$9008,"",INDEX($B$9:$B$9008,MATCH(519,$C$9:$C$9008,0)))</f>
        <v/>
      </c>
      <c r="B527" s="9" t="str">
        <f>IFERROR(INDEX(Input!$L$20:$T$1019,INT((ROW()-9)/9)+1,MOD(ROW()-9,9)+1),"")</f>
        <v/>
      </c>
      <c r="C527" s="9">
        <f t="shared" si="8"/>
        <v>0</v>
      </c>
    </row>
    <row r="528" spans="1:3" x14ac:dyDescent="0.2">
      <c r="A528" s="10" t="str">
        <f>IF(520&gt;$C$9008,"",INDEX($B$9:$B$9008,MATCH(520,$C$9:$C$9008,0)))</f>
        <v/>
      </c>
      <c r="B528" s="9" t="str">
        <f>IFERROR(INDEX(Input!$L$20:$T$1019,INT((ROW()-9)/9)+1,MOD(ROW()-9,9)+1),"")</f>
        <v/>
      </c>
      <c r="C528" s="9">
        <f t="shared" si="8"/>
        <v>0</v>
      </c>
    </row>
    <row r="529" spans="1:3" x14ac:dyDescent="0.2">
      <c r="A529" s="10" t="str">
        <f>IF(521&gt;$C$9008,"",INDEX($B$9:$B$9008,MATCH(521,$C$9:$C$9008,0)))</f>
        <v/>
      </c>
      <c r="B529" s="9" t="str">
        <f>IFERROR(INDEX(Input!$L$20:$T$1019,INT((ROW()-9)/9)+1,MOD(ROW()-9,9)+1),"")</f>
        <v/>
      </c>
      <c r="C529" s="9">
        <f t="shared" si="8"/>
        <v>0</v>
      </c>
    </row>
    <row r="530" spans="1:3" x14ac:dyDescent="0.2">
      <c r="A530" s="10" t="str">
        <f>IF(522&gt;$C$9008,"",INDEX($B$9:$B$9008,MATCH(522,$C$9:$C$9008,0)))</f>
        <v/>
      </c>
      <c r="B530" s="9" t="str">
        <f>IFERROR(INDEX(Input!$L$20:$T$1019,INT((ROW()-9)/9)+1,MOD(ROW()-9,9)+1),"")</f>
        <v/>
      </c>
      <c r="C530" s="9">
        <f t="shared" si="8"/>
        <v>0</v>
      </c>
    </row>
    <row r="531" spans="1:3" x14ac:dyDescent="0.2">
      <c r="A531" s="10" t="str">
        <f>IF(523&gt;$C$9008,"",INDEX($B$9:$B$9008,MATCH(523,$C$9:$C$9008,0)))</f>
        <v/>
      </c>
      <c r="B531" s="9" t="str">
        <f>IFERROR(INDEX(Input!$L$20:$T$1019,INT((ROW()-9)/9)+1,MOD(ROW()-9,9)+1),"")</f>
        <v/>
      </c>
      <c r="C531" s="9">
        <f t="shared" si="8"/>
        <v>0</v>
      </c>
    </row>
    <row r="532" spans="1:3" x14ac:dyDescent="0.2">
      <c r="A532" s="10" t="str">
        <f>IF(524&gt;$C$9008,"",INDEX($B$9:$B$9008,MATCH(524,$C$9:$C$9008,0)))</f>
        <v/>
      </c>
      <c r="B532" s="9" t="str">
        <f>IFERROR(INDEX(Input!$L$20:$T$1019,INT((ROW()-9)/9)+1,MOD(ROW()-9,9)+1),"")</f>
        <v/>
      </c>
      <c r="C532" s="9">
        <f t="shared" si="8"/>
        <v>0</v>
      </c>
    </row>
    <row r="533" spans="1:3" x14ac:dyDescent="0.2">
      <c r="A533" s="10" t="str">
        <f>IF(525&gt;$C$9008,"",INDEX($B$9:$B$9008,MATCH(525,$C$9:$C$9008,0)))</f>
        <v/>
      </c>
      <c r="B533" s="9" t="str">
        <f>IFERROR(INDEX(Input!$L$20:$T$1019,INT((ROW()-9)/9)+1,MOD(ROW()-9,9)+1),"")</f>
        <v/>
      </c>
      <c r="C533" s="9">
        <f t="shared" si="8"/>
        <v>0</v>
      </c>
    </row>
    <row r="534" spans="1:3" x14ac:dyDescent="0.2">
      <c r="A534" s="10" t="str">
        <f>IF(526&gt;$C$9008,"",INDEX($B$9:$B$9008,MATCH(526,$C$9:$C$9008,0)))</f>
        <v/>
      </c>
      <c r="B534" s="9" t="str">
        <f>IFERROR(INDEX(Input!$L$20:$T$1019,INT((ROW()-9)/9)+1,MOD(ROW()-9,9)+1),"")</f>
        <v/>
      </c>
      <c r="C534" s="9">
        <f t="shared" si="8"/>
        <v>0</v>
      </c>
    </row>
    <row r="535" spans="1:3" x14ac:dyDescent="0.2">
      <c r="A535" s="10" t="str">
        <f>IF(527&gt;$C$9008,"",INDEX($B$9:$B$9008,MATCH(527,$C$9:$C$9008,0)))</f>
        <v/>
      </c>
      <c r="B535" s="9" t="str">
        <f>IFERROR(INDEX(Input!$L$20:$T$1019,INT((ROW()-9)/9)+1,MOD(ROW()-9,9)+1),"")</f>
        <v/>
      </c>
      <c r="C535" s="9">
        <f t="shared" si="8"/>
        <v>0</v>
      </c>
    </row>
    <row r="536" spans="1:3" x14ac:dyDescent="0.2">
      <c r="A536" s="10" t="str">
        <f>IF(528&gt;$C$9008,"",INDEX($B$9:$B$9008,MATCH(528,$C$9:$C$9008,0)))</f>
        <v/>
      </c>
      <c r="B536" s="9" t="str">
        <f>IFERROR(INDEX(Input!$L$20:$T$1019,INT((ROW()-9)/9)+1,MOD(ROW()-9,9)+1),"")</f>
        <v/>
      </c>
      <c r="C536" s="9">
        <f t="shared" si="8"/>
        <v>0</v>
      </c>
    </row>
    <row r="537" spans="1:3" x14ac:dyDescent="0.2">
      <c r="A537" s="10" t="str">
        <f>IF(529&gt;$C$9008,"",INDEX($B$9:$B$9008,MATCH(529,$C$9:$C$9008,0)))</f>
        <v/>
      </c>
      <c r="B537" s="9" t="str">
        <f>IFERROR(INDEX(Input!$L$20:$T$1019,INT((ROW()-9)/9)+1,MOD(ROW()-9,9)+1),"")</f>
        <v/>
      </c>
      <c r="C537" s="9">
        <f t="shared" si="8"/>
        <v>0</v>
      </c>
    </row>
    <row r="538" spans="1:3" x14ac:dyDescent="0.2">
      <c r="A538" s="10" t="str">
        <f>IF(530&gt;$C$9008,"",INDEX($B$9:$B$9008,MATCH(530,$C$9:$C$9008,0)))</f>
        <v/>
      </c>
      <c r="B538" s="9" t="str">
        <f>IFERROR(INDEX(Input!$L$20:$T$1019,INT((ROW()-9)/9)+1,MOD(ROW()-9,9)+1),"")</f>
        <v/>
      </c>
      <c r="C538" s="9">
        <f t="shared" si="8"/>
        <v>0</v>
      </c>
    </row>
    <row r="539" spans="1:3" x14ac:dyDescent="0.2">
      <c r="A539" s="10" t="str">
        <f>IF(531&gt;$C$9008,"",INDEX($B$9:$B$9008,MATCH(531,$C$9:$C$9008,0)))</f>
        <v/>
      </c>
      <c r="B539" s="9" t="str">
        <f>IFERROR(INDEX(Input!$L$20:$T$1019,INT((ROW()-9)/9)+1,MOD(ROW()-9,9)+1),"")</f>
        <v/>
      </c>
      <c r="C539" s="9">
        <f t="shared" si="8"/>
        <v>0</v>
      </c>
    </row>
    <row r="540" spans="1:3" x14ac:dyDescent="0.2">
      <c r="A540" s="10" t="str">
        <f>IF(532&gt;$C$9008,"",INDEX($B$9:$B$9008,MATCH(532,$C$9:$C$9008,0)))</f>
        <v/>
      </c>
      <c r="B540" s="9" t="str">
        <f>IFERROR(INDEX(Input!$L$20:$T$1019,INT((ROW()-9)/9)+1,MOD(ROW()-9,9)+1),"")</f>
        <v/>
      </c>
      <c r="C540" s="9">
        <f t="shared" si="8"/>
        <v>0</v>
      </c>
    </row>
    <row r="541" spans="1:3" x14ac:dyDescent="0.2">
      <c r="A541" s="10" t="str">
        <f>IF(533&gt;$C$9008,"",INDEX($B$9:$B$9008,MATCH(533,$C$9:$C$9008,0)))</f>
        <v/>
      </c>
      <c r="B541" s="9" t="str">
        <f>IFERROR(INDEX(Input!$L$20:$T$1019,INT((ROW()-9)/9)+1,MOD(ROW()-9,9)+1),"")</f>
        <v/>
      </c>
      <c r="C541" s="9">
        <f t="shared" si="8"/>
        <v>0</v>
      </c>
    </row>
    <row r="542" spans="1:3" x14ac:dyDescent="0.2">
      <c r="A542" s="10" t="str">
        <f>IF(534&gt;$C$9008,"",INDEX($B$9:$B$9008,MATCH(534,$C$9:$C$9008,0)))</f>
        <v/>
      </c>
      <c r="B542" s="9" t="str">
        <f>IFERROR(INDEX(Input!$L$20:$T$1019,INT((ROW()-9)/9)+1,MOD(ROW()-9,9)+1),"")</f>
        <v/>
      </c>
      <c r="C542" s="9">
        <f t="shared" si="8"/>
        <v>0</v>
      </c>
    </row>
    <row r="543" spans="1:3" x14ac:dyDescent="0.2">
      <c r="A543" s="10" t="str">
        <f>IF(535&gt;$C$9008,"",INDEX($B$9:$B$9008,MATCH(535,$C$9:$C$9008,0)))</f>
        <v/>
      </c>
      <c r="B543" s="9" t="str">
        <f>IFERROR(INDEX(Input!$L$20:$T$1019,INT((ROW()-9)/9)+1,MOD(ROW()-9,9)+1),"")</f>
        <v/>
      </c>
      <c r="C543" s="9">
        <f t="shared" si="8"/>
        <v>0</v>
      </c>
    </row>
    <row r="544" spans="1:3" x14ac:dyDescent="0.2">
      <c r="A544" s="10" t="str">
        <f>IF(536&gt;$C$9008,"",INDEX($B$9:$B$9008,MATCH(536,$C$9:$C$9008,0)))</f>
        <v/>
      </c>
      <c r="B544" s="9" t="str">
        <f>IFERROR(INDEX(Input!$L$20:$T$1019,INT((ROW()-9)/9)+1,MOD(ROW()-9,9)+1),"")</f>
        <v/>
      </c>
      <c r="C544" s="9">
        <f t="shared" si="8"/>
        <v>0</v>
      </c>
    </row>
    <row r="545" spans="1:3" x14ac:dyDescent="0.2">
      <c r="A545" s="10" t="str">
        <f>IF(537&gt;$C$9008,"",INDEX($B$9:$B$9008,MATCH(537,$C$9:$C$9008,0)))</f>
        <v/>
      </c>
      <c r="B545" s="9" t="str">
        <f>IFERROR(INDEX(Input!$L$20:$T$1019,INT((ROW()-9)/9)+1,MOD(ROW()-9,9)+1),"")</f>
        <v/>
      </c>
      <c r="C545" s="9">
        <f t="shared" si="8"/>
        <v>0</v>
      </c>
    </row>
    <row r="546" spans="1:3" x14ac:dyDescent="0.2">
      <c r="A546" s="10" t="str">
        <f>IF(538&gt;$C$9008,"",INDEX($B$9:$B$9008,MATCH(538,$C$9:$C$9008,0)))</f>
        <v/>
      </c>
      <c r="B546" s="9" t="str">
        <f>IFERROR(INDEX(Input!$L$20:$T$1019,INT((ROW()-9)/9)+1,MOD(ROW()-9,9)+1),"")</f>
        <v/>
      </c>
      <c r="C546" s="9">
        <f t="shared" si="8"/>
        <v>0</v>
      </c>
    </row>
    <row r="547" spans="1:3" x14ac:dyDescent="0.2">
      <c r="A547" s="10" t="str">
        <f>IF(539&gt;$C$9008,"",INDEX($B$9:$B$9008,MATCH(539,$C$9:$C$9008,0)))</f>
        <v/>
      </c>
      <c r="B547" s="9" t="str">
        <f>IFERROR(INDEX(Input!$L$20:$T$1019,INT((ROW()-9)/9)+1,MOD(ROW()-9,9)+1),"")</f>
        <v/>
      </c>
      <c r="C547" s="9">
        <f t="shared" si="8"/>
        <v>0</v>
      </c>
    </row>
    <row r="548" spans="1:3" x14ac:dyDescent="0.2">
      <c r="A548" s="10" t="str">
        <f>IF(540&gt;$C$9008,"",INDEX($B$9:$B$9008,MATCH(540,$C$9:$C$9008,0)))</f>
        <v/>
      </c>
      <c r="B548" s="9" t="str">
        <f>IFERROR(INDEX(Input!$L$20:$T$1019,INT((ROW()-9)/9)+1,MOD(ROW()-9,9)+1),"")</f>
        <v/>
      </c>
      <c r="C548" s="9">
        <f t="shared" si="8"/>
        <v>0</v>
      </c>
    </row>
    <row r="549" spans="1:3" x14ac:dyDescent="0.2">
      <c r="A549" s="10" t="str">
        <f>IF(541&gt;$C$9008,"",INDEX($B$9:$B$9008,MATCH(541,$C$9:$C$9008,0)))</f>
        <v/>
      </c>
      <c r="B549" s="9" t="str">
        <f>IFERROR(INDEX(Input!$L$20:$T$1019,INT((ROW()-9)/9)+1,MOD(ROW()-9,9)+1),"")</f>
        <v/>
      </c>
      <c r="C549" s="9">
        <f t="shared" si="8"/>
        <v>0</v>
      </c>
    </row>
    <row r="550" spans="1:3" x14ac:dyDescent="0.2">
      <c r="A550" s="10" t="str">
        <f>IF(542&gt;$C$9008,"",INDEX($B$9:$B$9008,MATCH(542,$C$9:$C$9008,0)))</f>
        <v/>
      </c>
      <c r="B550" s="9" t="str">
        <f>IFERROR(INDEX(Input!$L$20:$T$1019,INT((ROW()-9)/9)+1,MOD(ROW()-9,9)+1),"")</f>
        <v/>
      </c>
      <c r="C550" s="9">
        <f t="shared" si="8"/>
        <v>0</v>
      </c>
    </row>
    <row r="551" spans="1:3" x14ac:dyDescent="0.2">
      <c r="A551" s="10" t="str">
        <f>IF(543&gt;$C$9008,"",INDEX($B$9:$B$9008,MATCH(543,$C$9:$C$9008,0)))</f>
        <v/>
      </c>
      <c r="B551" s="9" t="str">
        <f>IFERROR(INDEX(Input!$L$20:$T$1019,INT((ROW()-9)/9)+1,MOD(ROW()-9,9)+1),"")</f>
        <v/>
      </c>
      <c r="C551" s="9">
        <f t="shared" si="8"/>
        <v>0</v>
      </c>
    </row>
    <row r="552" spans="1:3" x14ac:dyDescent="0.2">
      <c r="A552" s="10" t="str">
        <f>IF(544&gt;$C$9008,"",INDEX($B$9:$B$9008,MATCH(544,$C$9:$C$9008,0)))</f>
        <v/>
      </c>
      <c r="B552" s="9" t="str">
        <f>IFERROR(INDEX(Input!$L$20:$T$1019,INT((ROW()-9)/9)+1,MOD(ROW()-9,9)+1),"")</f>
        <v/>
      </c>
      <c r="C552" s="9">
        <f t="shared" si="8"/>
        <v>0</v>
      </c>
    </row>
    <row r="553" spans="1:3" x14ac:dyDescent="0.2">
      <c r="A553" s="10" t="str">
        <f>IF(545&gt;$C$9008,"",INDEX($B$9:$B$9008,MATCH(545,$C$9:$C$9008,0)))</f>
        <v/>
      </c>
      <c r="B553" s="9" t="str">
        <f>IFERROR(INDEX(Input!$L$20:$T$1019,INT((ROW()-9)/9)+1,MOD(ROW()-9,9)+1),"")</f>
        <v/>
      </c>
      <c r="C553" s="9">
        <f t="shared" si="8"/>
        <v>0</v>
      </c>
    </row>
    <row r="554" spans="1:3" x14ac:dyDescent="0.2">
      <c r="A554" s="10" t="str">
        <f>IF(546&gt;$C$9008,"",INDEX($B$9:$B$9008,MATCH(546,$C$9:$C$9008,0)))</f>
        <v/>
      </c>
      <c r="B554" s="9" t="str">
        <f>IFERROR(INDEX(Input!$L$20:$T$1019,INT((ROW()-9)/9)+1,MOD(ROW()-9,9)+1),"")</f>
        <v/>
      </c>
      <c r="C554" s="9">
        <f t="shared" si="8"/>
        <v>0</v>
      </c>
    </row>
    <row r="555" spans="1:3" x14ac:dyDescent="0.2">
      <c r="A555" s="10" t="str">
        <f>IF(547&gt;$C$9008,"",INDEX($B$9:$B$9008,MATCH(547,$C$9:$C$9008,0)))</f>
        <v/>
      </c>
      <c r="B555" s="9" t="str">
        <f>IFERROR(INDEX(Input!$L$20:$T$1019,INT((ROW()-9)/9)+1,MOD(ROW()-9,9)+1),"")</f>
        <v/>
      </c>
      <c r="C555" s="9">
        <f t="shared" si="8"/>
        <v>0</v>
      </c>
    </row>
    <row r="556" spans="1:3" x14ac:dyDescent="0.2">
      <c r="A556" s="10" t="str">
        <f>IF(548&gt;$C$9008,"",INDEX($B$9:$B$9008,MATCH(548,$C$9:$C$9008,0)))</f>
        <v/>
      </c>
      <c r="B556" s="9" t="str">
        <f>IFERROR(INDEX(Input!$L$20:$T$1019,INT((ROW()-9)/9)+1,MOD(ROW()-9,9)+1),"")</f>
        <v/>
      </c>
      <c r="C556" s="9">
        <f t="shared" si="8"/>
        <v>0</v>
      </c>
    </row>
    <row r="557" spans="1:3" x14ac:dyDescent="0.2">
      <c r="A557" s="10" t="str">
        <f>IF(549&gt;$C$9008,"",INDEX($B$9:$B$9008,MATCH(549,$C$9:$C$9008,0)))</f>
        <v/>
      </c>
      <c r="B557" s="9" t="str">
        <f>IFERROR(INDEX(Input!$L$20:$T$1019,INT((ROW()-9)/9)+1,MOD(ROW()-9,9)+1),"")</f>
        <v/>
      </c>
      <c r="C557" s="9">
        <f t="shared" si="8"/>
        <v>0</v>
      </c>
    </row>
    <row r="558" spans="1:3" x14ac:dyDescent="0.2">
      <c r="A558" s="10" t="str">
        <f>IF(550&gt;$C$9008,"",INDEX($B$9:$B$9008,MATCH(550,$C$9:$C$9008,0)))</f>
        <v/>
      </c>
      <c r="B558" s="9" t="str">
        <f>IFERROR(INDEX(Input!$L$20:$T$1019,INT((ROW()-9)/9)+1,MOD(ROW()-9,9)+1),"")</f>
        <v/>
      </c>
      <c r="C558" s="9">
        <f t="shared" si="8"/>
        <v>0</v>
      </c>
    </row>
    <row r="559" spans="1:3" x14ac:dyDescent="0.2">
      <c r="A559" s="10" t="str">
        <f>IF(551&gt;$C$9008,"",INDEX($B$9:$B$9008,MATCH(551,$C$9:$C$9008,0)))</f>
        <v/>
      </c>
      <c r="B559" s="9" t="str">
        <f>IFERROR(INDEX(Input!$L$20:$T$1019,INT((ROW()-9)/9)+1,MOD(ROW()-9,9)+1),"")</f>
        <v/>
      </c>
      <c r="C559" s="9">
        <f t="shared" si="8"/>
        <v>0</v>
      </c>
    </row>
    <row r="560" spans="1:3" x14ac:dyDescent="0.2">
      <c r="A560" s="10" t="str">
        <f>IF(552&gt;$C$9008,"",INDEX($B$9:$B$9008,MATCH(552,$C$9:$C$9008,0)))</f>
        <v/>
      </c>
      <c r="B560" s="9" t="str">
        <f>IFERROR(INDEX(Input!$L$20:$T$1019,INT((ROW()-9)/9)+1,MOD(ROW()-9,9)+1),"")</f>
        <v/>
      </c>
      <c r="C560" s="9">
        <f t="shared" si="8"/>
        <v>0</v>
      </c>
    </row>
    <row r="561" spans="1:3" x14ac:dyDescent="0.2">
      <c r="A561" s="10" t="str">
        <f>IF(553&gt;$C$9008,"",INDEX($B$9:$B$9008,MATCH(553,$C$9:$C$9008,0)))</f>
        <v/>
      </c>
      <c r="B561" s="9" t="str">
        <f>IFERROR(INDEX(Input!$L$20:$T$1019,INT((ROW()-9)/9)+1,MOD(ROW()-9,9)+1),"")</f>
        <v/>
      </c>
      <c r="C561" s="9">
        <f t="shared" si="8"/>
        <v>0</v>
      </c>
    </row>
    <row r="562" spans="1:3" x14ac:dyDescent="0.2">
      <c r="A562" s="10" t="str">
        <f>IF(554&gt;$C$9008,"",INDEX($B$9:$B$9008,MATCH(554,$C$9:$C$9008,0)))</f>
        <v/>
      </c>
      <c r="B562" s="9" t="str">
        <f>IFERROR(INDEX(Input!$L$20:$T$1019,INT((ROW()-9)/9)+1,MOD(ROW()-9,9)+1),"")</f>
        <v/>
      </c>
      <c r="C562" s="9">
        <f t="shared" si="8"/>
        <v>0</v>
      </c>
    </row>
    <row r="563" spans="1:3" x14ac:dyDescent="0.2">
      <c r="A563" s="10" t="str">
        <f>IF(555&gt;$C$9008,"",INDEX($B$9:$B$9008,MATCH(555,$C$9:$C$9008,0)))</f>
        <v/>
      </c>
      <c r="B563" s="9" t="str">
        <f>IFERROR(INDEX(Input!$L$20:$T$1019,INT((ROW()-9)/9)+1,MOD(ROW()-9,9)+1),"")</f>
        <v/>
      </c>
      <c r="C563" s="9">
        <f t="shared" si="8"/>
        <v>0</v>
      </c>
    </row>
    <row r="564" spans="1:3" x14ac:dyDescent="0.2">
      <c r="A564" s="10" t="str">
        <f>IF(556&gt;$C$9008,"",INDEX($B$9:$B$9008,MATCH(556,$C$9:$C$9008,0)))</f>
        <v/>
      </c>
      <c r="B564" s="9" t="str">
        <f>IFERROR(INDEX(Input!$L$20:$T$1019,INT((ROW()-9)/9)+1,MOD(ROW()-9,9)+1),"")</f>
        <v/>
      </c>
      <c r="C564" s="9">
        <f t="shared" si="8"/>
        <v>0</v>
      </c>
    </row>
    <row r="565" spans="1:3" x14ac:dyDescent="0.2">
      <c r="A565" s="10" t="str">
        <f>IF(557&gt;$C$9008,"",INDEX($B$9:$B$9008,MATCH(557,$C$9:$C$9008,0)))</f>
        <v/>
      </c>
      <c r="B565" s="9" t="str">
        <f>IFERROR(INDEX(Input!$L$20:$T$1019,INT((ROW()-9)/9)+1,MOD(ROW()-9,9)+1),"")</f>
        <v/>
      </c>
      <c r="C565" s="9">
        <f t="shared" si="8"/>
        <v>0</v>
      </c>
    </row>
    <row r="566" spans="1:3" x14ac:dyDescent="0.2">
      <c r="A566" s="10" t="str">
        <f>IF(558&gt;$C$9008,"",INDEX($B$9:$B$9008,MATCH(558,$C$9:$C$9008,0)))</f>
        <v/>
      </c>
      <c r="B566" s="9" t="str">
        <f>IFERROR(INDEX(Input!$L$20:$T$1019,INT((ROW()-9)/9)+1,MOD(ROW()-9,9)+1),"")</f>
        <v/>
      </c>
      <c r="C566" s="9">
        <f t="shared" si="8"/>
        <v>0</v>
      </c>
    </row>
    <row r="567" spans="1:3" x14ac:dyDescent="0.2">
      <c r="A567" s="10" t="str">
        <f>IF(559&gt;$C$9008,"",INDEX($B$9:$B$9008,MATCH(559,$C$9:$C$9008,0)))</f>
        <v/>
      </c>
      <c r="B567" s="9" t="str">
        <f>IFERROR(INDEX(Input!$L$20:$T$1019,INT((ROW()-9)/9)+1,MOD(ROW()-9,9)+1),"")</f>
        <v/>
      </c>
      <c r="C567" s="9">
        <f t="shared" si="8"/>
        <v>0</v>
      </c>
    </row>
    <row r="568" spans="1:3" x14ac:dyDescent="0.2">
      <c r="A568" s="10" t="str">
        <f>IF(560&gt;$C$9008,"",INDEX($B$9:$B$9008,MATCH(560,$C$9:$C$9008,0)))</f>
        <v/>
      </c>
      <c r="B568" s="9" t="str">
        <f>IFERROR(INDEX(Input!$L$20:$T$1019,INT((ROW()-9)/9)+1,MOD(ROW()-9,9)+1),"")</f>
        <v/>
      </c>
      <c r="C568" s="9">
        <f t="shared" si="8"/>
        <v>0</v>
      </c>
    </row>
    <row r="569" spans="1:3" x14ac:dyDescent="0.2">
      <c r="A569" s="10" t="str">
        <f>IF(561&gt;$C$9008,"",INDEX($B$9:$B$9008,MATCH(561,$C$9:$C$9008,0)))</f>
        <v/>
      </c>
      <c r="B569" s="9" t="str">
        <f>IFERROR(INDEX(Input!$L$20:$T$1019,INT((ROW()-9)/9)+1,MOD(ROW()-9,9)+1),"")</f>
        <v/>
      </c>
      <c r="C569" s="9">
        <f t="shared" si="8"/>
        <v>0</v>
      </c>
    </row>
    <row r="570" spans="1:3" x14ac:dyDescent="0.2">
      <c r="A570" s="10" t="str">
        <f>IF(562&gt;$C$9008,"",INDEX($B$9:$B$9008,MATCH(562,$C$9:$C$9008,0)))</f>
        <v/>
      </c>
      <c r="B570" s="9" t="str">
        <f>IFERROR(INDEX(Input!$L$20:$T$1019,INT((ROW()-9)/9)+1,MOD(ROW()-9,9)+1),"")</f>
        <v/>
      </c>
      <c r="C570" s="9">
        <f t="shared" si="8"/>
        <v>0</v>
      </c>
    </row>
    <row r="571" spans="1:3" x14ac:dyDescent="0.2">
      <c r="A571" s="10" t="str">
        <f>IF(563&gt;$C$9008,"",INDEX($B$9:$B$9008,MATCH(563,$C$9:$C$9008,0)))</f>
        <v/>
      </c>
      <c r="B571" s="9" t="str">
        <f>IFERROR(INDEX(Input!$L$20:$T$1019,INT((ROW()-9)/9)+1,MOD(ROW()-9,9)+1),"")</f>
        <v/>
      </c>
      <c r="C571" s="9">
        <f t="shared" si="8"/>
        <v>0</v>
      </c>
    </row>
    <row r="572" spans="1:3" x14ac:dyDescent="0.2">
      <c r="A572" s="10" t="str">
        <f>IF(564&gt;$C$9008,"",INDEX($B$9:$B$9008,MATCH(564,$C$9:$C$9008,0)))</f>
        <v/>
      </c>
      <c r="B572" s="9" t="str">
        <f>IFERROR(INDEX(Input!$L$20:$T$1019,INT((ROW()-9)/9)+1,MOD(ROW()-9,9)+1),"")</f>
        <v/>
      </c>
      <c r="C572" s="9">
        <f t="shared" si="8"/>
        <v>0</v>
      </c>
    </row>
    <row r="573" spans="1:3" x14ac:dyDescent="0.2">
      <c r="A573" s="10" t="str">
        <f>IF(565&gt;$C$9008,"",INDEX($B$9:$B$9008,MATCH(565,$C$9:$C$9008,0)))</f>
        <v/>
      </c>
      <c r="B573" s="9" t="str">
        <f>IFERROR(INDEX(Input!$L$20:$T$1019,INT((ROW()-9)/9)+1,MOD(ROW()-9,9)+1),"")</f>
        <v/>
      </c>
      <c r="C573" s="9">
        <f t="shared" si="8"/>
        <v>0</v>
      </c>
    </row>
    <row r="574" spans="1:3" x14ac:dyDescent="0.2">
      <c r="A574" s="10" t="str">
        <f>IF(566&gt;$C$9008,"",INDEX($B$9:$B$9008,MATCH(566,$C$9:$C$9008,0)))</f>
        <v/>
      </c>
      <c r="B574" s="9" t="str">
        <f>IFERROR(INDEX(Input!$L$20:$T$1019,INT((ROW()-9)/9)+1,MOD(ROW()-9,9)+1),"")</f>
        <v/>
      </c>
      <c r="C574" s="9">
        <f t="shared" si="8"/>
        <v>0</v>
      </c>
    </row>
    <row r="575" spans="1:3" x14ac:dyDescent="0.2">
      <c r="A575" s="10" t="str">
        <f>IF(567&gt;$C$9008,"",INDEX($B$9:$B$9008,MATCH(567,$C$9:$C$9008,0)))</f>
        <v/>
      </c>
      <c r="B575" s="9" t="str">
        <f>IFERROR(INDEX(Input!$L$20:$T$1019,INT((ROW()-9)/9)+1,MOD(ROW()-9,9)+1),"")</f>
        <v/>
      </c>
      <c r="C575" s="9">
        <f t="shared" si="8"/>
        <v>0</v>
      </c>
    </row>
    <row r="576" spans="1:3" x14ac:dyDescent="0.2">
      <c r="A576" s="10" t="str">
        <f>IF(568&gt;$C$9008,"",INDEX($B$9:$B$9008,MATCH(568,$C$9:$C$9008,0)))</f>
        <v/>
      </c>
      <c r="B576" s="9" t="str">
        <f>IFERROR(INDEX(Input!$L$20:$T$1019,INT((ROW()-9)/9)+1,MOD(ROW()-9,9)+1),"")</f>
        <v/>
      </c>
      <c r="C576" s="9">
        <f t="shared" si="8"/>
        <v>0</v>
      </c>
    </row>
    <row r="577" spans="1:3" x14ac:dyDescent="0.2">
      <c r="A577" s="10" t="str">
        <f>IF(569&gt;$C$9008,"",INDEX($B$9:$B$9008,MATCH(569,$C$9:$C$9008,0)))</f>
        <v/>
      </c>
      <c r="B577" s="9" t="str">
        <f>IFERROR(INDEX(Input!$L$20:$T$1019,INT((ROW()-9)/9)+1,MOD(ROW()-9,9)+1),"")</f>
        <v/>
      </c>
      <c r="C577" s="9">
        <f t="shared" si="8"/>
        <v>0</v>
      </c>
    </row>
    <row r="578" spans="1:3" x14ac:dyDescent="0.2">
      <c r="A578" s="10" t="str">
        <f>IF(570&gt;$C$9008,"",INDEX($B$9:$B$9008,MATCH(570,$C$9:$C$9008,0)))</f>
        <v/>
      </c>
      <c r="B578" s="9" t="str">
        <f>IFERROR(INDEX(Input!$L$20:$T$1019,INT((ROW()-9)/9)+1,MOD(ROW()-9,9)+1),"")</f>
        <v/>
      </c>
      <c r="C578" s="9">
        <f t="shared" si="8"/>
        <v>0</v>
      </c>
    </row>
    <row r="579" spans="1:3" x14ac:dyDescent="0.2">
      <c r="A579" s="10" t="str">
        <f>IF(571&gt;$C$9008,"",INDEX($B$9:$B$9008,MATCH(571,$C$9:$C$9008,0)))</f>
        <v/>
      </c>
      <c r="B579" s="9" t="str">
        <f>IFERROR(INDEX(Input!$L$20:$T$1019,INT((ROW()-9)/9)+1,MOD(ROW()-9,9)+1),"")</f>
        <v/>
      </c>
      <c r="C579" s="9">
        <f t="shared" si="8"/>
        <v>0</v>
      </c>
    </row>
    <row r="580" spans="1:3" x14ac:dyDescent="0.2">
      <c r="A580" s="10" t="str">
        <f>IF(572&gt;$C$9008,"",INDEX($B$9:$B$9008,MATCH(572,$C$9:$C$9008,0)))</f>
        <v/>
      </c>
      <c r="B580" s="9" t="str">
        <f>IFERROR(INDEX(Input!$L$20:$T$1019,INT((ROW()-9)/9)+1,MOD(ROW()-9,9)+1),"")</f>
        <v/>
      </c>
      <c r="C580" s="9">
        <f t="shared" si="8"/>
        <v>0</v>
      </c>
    </row>
    <row r="581" spans="1:3" x14ac:dyDescent="0.2">
      <c r="A581" s="10" t="str">
        <f>IF(573&gt;$C$9008,"",INDEX($B$9:$B$9008,MATCH(573,$C$9:$C$9008,0)))</f>
        <v/>
      </c>
      <c r="B581" s="9" t="str">
        <f>IFERROR(INDEX(Input!$L$20:$T$1019,INT((ROW()-9)/9)+1,MOD(ROW()-9,9)+1),"")</f>
        <v/>
      </c>
      <c r="C581" s="9">
        <f t="shared" si="8"/>
        <v>0</v>
      </c>
    </row>
    <row r="582" spans="1:3" x14ac:dyDescent="0.2">
      <c r="A582" s="10" t="str">
        <f>IF(574&gt;$C$9008,"",INDEX($B$9:$B$9008,MATCH(574,$C$9:$C$9008,0)))</f>
        <v/>
      </c>
      <c r="B582" s="9" t="str">
        <f>IFERROR(INDEX(Input!$L$20:$T$1019,INT((ROW()-9)/9)+1,MOD(ROW()-9,9)+1),"")</f>
        <v/>
      </c>
      <c r="C582" s="9">
        <f t="shared" si="8"/>
        <v>0</v>
      </c>
    </row>
    <row r="583" spans="1:3" x14ac:dyDescent="0.2">
      <c r="A583" s="10" t="str">
        <f>IF(575&gt;$C$9008,"",INDEX($B$9:$B$9008,MATCH(575,$C$9:$C$9008,0)))</f>
        <v/>
      </c>
      <c r="B583" s="9" t="str">
        <f>IFERROR(INDEX(Input!$L$20:$T$1019,INT((ROW()-9)/9)+1,MOD(ROW()-9,9)+1),"")</f>
        <v/>
      </c>
      <c r="C583" s="9">
        <f t="shared" si="8"/>
        <v>0</v>
      </c>
    </row>
    <row r="584" spans="1:3" x14ac:dyDescent="0.2">
      <c r="A584" s="10" t="str">
        <f>IF(576&gt;$C$9008,"",INDEX($B$9:$B$9008,MATCH(576,$C$9:$C$9008,0)))</f>
        <v/>
      </c>
      <c r="B584" s="9" t="str">
        <f>IFERROR(INDEX(Input!$L$20:$T$1019,INT((ROW()-9)/9)+1,MOD(ROW()-9,9)+1),"")</f>
        <v/>
      </c>
      <c r="C584" s="9">
        <f t="shared" si="8"/>
        <v>0</v>
      </c>
    </row>
    <row r="585" spans="1:3" x14ac:dyDescent="0.2">
      <c r="A585" s="10" t="str">
        <f>IF(577&gt;$C$9008,"",INDEX($B$9:$B$9008,MATCH(577,$C$9:$C$9008,0)))</f>
        <v/>
      </c>
      <c r="B585" s="9" t="str">
        <f>IFERROR(INDEX(Input!$L$20:$T$1019,INT((ROW()-9)/9)+1,MOD(ROW()-9,9)+1),"")</f>
        <v/>
      </c>
      <c r="C585" s="9">
        <f t="shared" ref="C585:C648" si="9">$C584+IF($B585&lt;&gt;"",1,0)</f>
        <v>0</v>
      </c>
    </row>
    <row r="586" spans="1:3" x14ac:dyDescent="0.2">
      <c r="A586" s="10" t="str">
        <f>IF(578&gt;$C$9008,"",INDEX($B$9:$B$9008,MATCH(578,$C$9:$C$9008,0)))</f>
        <v/>
      </c>
      <c r="B586" s="9" t="str">
        <f>IFERROR(INDEX(Input!$L$20:$T$1019,INT((ROW()-9)/9)+1,MOD(ROW()-9,9)+1),"")</f>
        <v/>
      </c>
      <c r="C586" s="9">
        <f t="shared" si="9"/>
        <v>0</v>
      </c>
    </row>
    <row r="587" spans="1:3" x14ac:dyDescent="0.2">
      <c r="A587" s="10" t="str">
        <f>IF(579&gt;$C$9008,"",INDEX($B$9:$B$9008,MATCH(579,$C$9:$C$9008,0)))</f>
        <v/>
      </c>
      <c r="B587" s="9" t="str">
        <f>IFERROR(INDEX(Input!$L$20:$T$1019,INT((ROW()-9)/9)+1,MOD(ROW()-9,9)+1),"")</f>
        <v/>
      </c>
      <c r="C587" s="9">
        <f t="shared" si="9"/>
        <v>0</v>
      </c>
    </row>
    <row r="588" spans="1:3" x14ac:dyDescent="0.2">
      <c r="A588" s="10" t="str">
        <f>IF(580&gt;$C$9008,"",INDEX($B$9:$B$9008,MATCH(580,$C$9:$C$9008,0)))</f>
        <v/>
      </c>
      <c r="B588" s="9" t="str">
        <f>IFERROR(INDEX(Input!$L$20:$T$1019,INT((ROW()-9)/9)+1,MOD(ROW()-9,9)+1),"")</f>
        <v/>
      </c>
      <c r="C588" s="9">
        <f t="shared" si="9"/>
        <v>0</v>
      </c>
    </row>
    <row r="589" spans="1:3" x14ac:dyDescent="0.2">
      <c r="A589" s="10" t="str">
        <f>IF(581&gt;$C$9008,"",INDEX($B$9:$B$9008,MATCH(581,$C$9:$C$9008,0)))</f>
        <v/>
      </c>
      <c r="B589" s="9" t="str">
        <f>IFERROR(INDEX(Input!$L$20:$T$1019,INT((ROW()-9)/9)+1,MOD(ROW()-9,9)+1),"")</f>
        <v/>
      </c>
      <c r="C589" s="9">
        <f t="shared" si="9"/>
        <v>0</v>
      </c>
    </row>
    <row r="590" spans="1:3" x14ac:dyDescent="0.2">
      <c r="A590" s="10" t="str">
        <f>IF(582&gt;$C$9008,"",INDEX($B$9:$B$9008,MATCH(582,$C$9:$C$9008,0)))</f>
        <v/>
      </c>
      <c r="B590" s="9" t="str">
        <f>IFERROR(INDEX(Input!$L$20:$T$1019,INT((ROW()-9)/9)+1,MOD(ROW()-9,9)+1),"")</f>
        <v/>
      </c>
      <c r="C590" s="9">
        <f t="shared" si="9"/>
        <v>0</v>
      </c>
    </row>
    <row r="591" spans="1:3" x14ac:dyDescent="0.2">
      <c r="A591" s="10" t="str">
        <f>IF(583&gt;$C$9008,"",INDEX($B$9:$B$9008,MATCH(583,$C$9:$C$9008,0)))</f>
        <v/>
      </c>
      <c r="B591" s="9" t="str">
        <f>IFERROR(INDEX(Input!$L$20:$T$1019,INT((ROW()-9)/9)+1,MOD(ROW()-9,9)+1),"")</f>
        <v/>
      </c>
      <c r="C591" s="9">
        <f t="shared" si="9"/>
        <v>0</v>
      </c>
    </row>
    <row r="592" spans="1:3" x14ac:dyDescent="0.2">
      <c r="A592" s="10" t="str">
        <f>IF(584&gt;$C$9008,"",INDEX($B$9:$B$9008,MATCH(584,$C$9:$C$9008,0)))</f>
        <v/>
      </c>
      <c r="B592" s="9" t="str">
        <f>IFERROR(INDEX(Input!$L$20:$T$1019,INT((ROW()-9)/9)+1,MOD(ROW()-9,9)+1),"")</f>
        <v/>
      </c>
      <c r="C592" s="9">
        <f t="shared" si="9"/>
        <v>0</v>
      </c>
    </row>
    <row r="593" spans="1:3" x14ac:dyDescent="0.2">
      <c r="A593" s="10" t="str">
        <f>IF(585&gt;$C$9008,"",INDEX($B$9:$B$9008,MATCH(585,$C$9:$C$9008,0)))</f>
        <v/>
      </c>
      <c r="B593" s="9" t="str">
        <f>IFERROR(INDEX(Input!$L$20:$T$1019,INT((ROW()-9)/9)+1,MOD(ROW()-9,9)+1),"")</f>
        <v/>
      </c>
      <c r="C593" s="9">
        <f t="shared" si="9"/>
        <v>0</v>
      </c>
    </row>
    <row r="594" spans="1:3" x14ac:dyDescent="0.2">
      <c r="A594" s="10" t="str">
        <f>IF(586&gt;$C$9008,"",INDEX($B$9:$B$9008,MATCH(586,$C$9:$C$9008,0)))</f>
        <v/>
      </c>
      <c r="B594" s="9" t="str">
        <f>IFERROR(INDEX(Input!$L$20:$T$1019,INT((ROW()-9)/9)+1,MOD(ROW()-9,9)+1),"")</f>
        <v/>
      </c>
      <c r="C594" s="9">
        <f t="shared" si="9"/>
        <v>0</v>
      </c>
    </row>
    <row r="595" spans="1:3" x14ac:dyDescent="0.2">
      <c r="A595" s="10" t="str">
        <f>IF(587&gt;$C$9008,"",INDEX($B$9:$B$9008,MATCH(587,$C$9:$C$9008,0)))</f>
        <v/>
      </c>
      <c r="B595" s="9" t="str">
        <f>IFERROR(INDEX(Input!$L$20:$T$1019,INT((ROW()-9)/9)+1,MOD(ROW()-9,9)+1),"")</f>
        <v/>
      </c>
      <c r="C595" s="9">
        <f t="shared" si="9"/>
        <v>0</v>
      </c>
    </row>
    <row r="596" spans="1:3" x14ac:dyDescent="0.2">
      <c r="A596" s="10" t="str">
        <f>IF(588&gt;$C$9008,"",INDEX($B$9:$B$9008,MATCH(588,$C$9:$C$9008,0)))</f>
        <v/>
      </c>
      <c r="B596" s="9" t="str">
        <f>IFERROR(INDEX(Input!$L$20:$T$1019,INT((ROW()-9)/9)+1,MOD(ROW()-9,9)+1),"")</f>
        <v/>
      </c>
      <c r="C596" s="9">
        <f t="shared" si="9"/>
        <v>0</v>
      </c>
    </row>
    <row r="597" spans="1:3" x14ac:dyDescent="0.2">
      <c r="A597" s="10" t="str">
        <f>IF(589&gt;$C$9008,"",INDEX($B$9:$B$9008,MATCH(589,$C$9:$C$9008,0)))</f>
        <v/>
      </c>
      <c r="B597" s="9" t="str">
        <f>IFERROR(INDEX(Input!$L$20:$T$1019,INT((ROW()-9)/9)+1,MOD(ROW()-9,9)+1),"")</f>
        <v/>
      </c>
      <c r="C597" s="9">
        <f t="shared" si="9"/>
        <v>0</v>
      </c>
    </row>
    <row r="598" spans="1:3" x14ac:dyDescent="0.2">
      <c r="A598" s="10" t="str">
        <f>IF(590&gt;$C$9008,"",INDEX($B$9:$B$9008,MATCH(590,$C$9:$C$9008,0)))</f>
        <v/>
      </c>
      <c r="B598" s="9" t="str">
        <f>IFERROR(INDEX(Input!$L$20:$T$1019,INT((ROW()-9)/9)+1,MOD(ROW()-9,9)+1),"")</f>
        <v/>
      </c>
      <c r="C598" s="9">
        <f t="shared" si="9"/>
        <v>0</v>
      </c>
    </row>
    <row r="599" spans="1:3" x14ac:dyDescent="0.2">
      <c r="A599" s="10" t="str">
        <f>IF(591&gt;$C$9008,"",INDEX($B$9:$B$9008,MATCH(591,$C$9:$C$9008,0)))</f>
        <v/>
      </c>
      <c r="B599" s="9" t="str">
        <f>IFERROR(INDEX(Input!$L$20:$T$1019,INT((ROW()-9)/9)+1,MOD(ROW()-9,9)+1),"")</f>
        <v/>
      </c>
      <c r="C599" s="9">
        <f t="shared" si="9"/>
        <v>0</v>
      </c>
    </row>
    <row r="600" spans="1:3" x14ac:dyDescent="0.2">
      <c r="A600" s="10" t="str">
        <f>IF(592&gt;$C$9008,"",INDEX($B$9:$B$9008,MATCH(592,$C$9:$C$9008,0)))</f>
        <v/>
      </c>
      <c r="B600" s="9" t="str">
        <f>IFERROR(INDEX(Input!$L$20:$T$1019,INT((ROW()-9)/9)+1,MOD(ROW()-9,9)+1),"")</f>
        <v/>
      </c>
      <c r="C600" s="9">
        <f t="shared" si="9"/>
        <v>0</v>
      </c>
    </row>
    <row r="601" spans="1:3" x14ac:dyDescent="0.2">
      <c r="A601" s="10" t="str">
        <f>IF(593&gt;$C$9008,"",INDEX($B$9:$B$9008,MATCH(593,$C$9:$C$9008,0)))</f>
        <v/>
      </c>
      <c r="B601" s="9" t="str">
        <f>IFERROR(INDEX(Input!$L$20:$T$1019,INT((ROW()-9)/9)+1,MOD(ROW()-9,9)+1),"")</f>
        <v/>
      </c>
      <c r="C601" s="9">
        <f t="shared" si="9"/>
        <v>0</v>
      </c>
    </row>
    <row r="602" spans="1:3" x14ac:dyDescent="0.2">
      <c r="A602" s="10" t="str">
        <f>IF(594&gt;$C$9008,"",INDEX($B$9:$B$9008,MATCH(594,$C$9:$C$9008,0)))</f>
        <v/>
      </c>
      <c r="B602" s="9" t="str">
        <f>IFERROR(INDEX(Input!$L$20:$T$1019,INT((ROW()-9)/9)+1,MOD(ROW()-9,9)+1),"")</f>
        <v/>
      </c>
      <c r="C602" s="9">
        <f t="shared" si="9"/>
        <v>0</v>
      </c>
    </row>
    <row r="603" spans="1:3" x14ac:dyDescent="0.2">
      <c r="A603" s="10" t="str">
        <f>IF(595&gt;$C$9008,"",INDEX($B$9:$B$9008,MATCH(595,$C$9:$C$9008,0)))</f>
        <v/>
      </c>
      <c r="B603" s="9" t="str">
        <f>IFERROR(INDEX(Input!$L$20:$T$1019,INT((ROW()-9)/9)+1,MOD(ROW()-9,9)+1),"")</f>
        <v/>
      </c>
      <c r="C603" s="9">
        <f t="shared" si="9"/>
        <v>0</v>
      </c>
    </row>
    <row r="604" spans="1:3" x14ac:dyDescent="0.2">
      <c r="A604" s="10" t="str">
        <f>IF(596&gt;$C$9008,"",INDEX($B$9:$B$9008,MATCH(596,$C$9:$C$9008,0)))</f>
        <v/>
      </c>
      <c r="B604" s="9" t="str">
        <f>IFERROR(INDEX(Input!$L$20:$T$1019,INT((ROW()-9)/9)+1,MOD(ROW()-9,9)+1),"")</f>
        <v/>
      </c>
      <c r="C604" s="9">
        <f t="shared" si="9"/>
        <v>0</v>
      </c>
    </row>
    <row r="605" spans="1:3" x14ac:dyDescent="0.2">
      <c r="A605" s="10" t="str">
        <f>IF(597&gt;$C$9008,"",INDEX($B$9:$B$9008,MATCH(597,$C$9:$C$9008,0)))</f>
        <v/>
      </c>
      <c r="B605" s="9" t="str">
        <f>IFERROR(INDEX(Input!$L$20:$T$1019,INT((ROW()-9)/9)+1,MOD(ROW()-9,9)+1),"")</f>
        <v/>
      </c>
      <c r="C605" s="9">
        <f t="shared" si="9"/>
        <v>0</v>
      </c>
    </row>
    <row r="606" spans="1:3" x14ac:dyDescent="0.2">
      <c r="A606" s="10" t="str">
        <f>IF(598&gt;$C$9008,"",INDEX($B$9:$B$9008,MATCH(598,$C$9:$C$9008,0)))</f>
        <v/>
      </c>
      <c r="B606" s="9" t="str">
        <f>IFERROR(INDEX(Input!$L$20:$T$1019,INT((ROW()-9)/9)+1,MOD(ROW()-9,9)+1),"")</f>
        <v/>
      </c>
      <c r="C606" s="9">
        <f t="shared" si="9"/>
        <v>0</v>
      </c>
    </row>
    <row r="607" spans="1:3" x14ac:dyDescent="0.2">
      <c r="A607" s="10" t="str">
        <f>IF(599&gt;$C$9008,"",INDEX($B$9:$B$9008,MATCH(599,$C$9:$C$9008,0)))</f>
        <v/>
      </c>
      <c r="B607" s="9" t="str">
        <f>IFERROR(INDEX(Input!$L$20:$T$1019,INT((ROW()-9)/9)+1,MOD(ROW()-9,9)+1),"")</f>
        <v/>
      </c>
      <c r="C607" s="9">
        <f t="shared" si="9"/>
        <v>0</v>
      </c>
    </row>
    <row r="608" spans="1:3" x14ac:dyDescent="0.2">
      <c r="A608" s="10" t="str">
        <f>IF(600&gt;$C$9008,"",INDEX($B$9:$B$9008,MATCH(600,$C$9:$C$9008,0)))</f>
        <v/>
      </c>
      <c r="B608" s="9" t="str">
        <f>IFERROR(INDEX(Input!$L$20:$T$1019,INT((ROW()-9)/9)+1,MOD(ROW()-9,9)+1),"")</f>
        <v/>
      </c>
      <c r="C608" s="9">
        <f t="shared" si="9"/>
        <v>0</v>
      </c>
    </row>
    <row r="609" spans="1:3" x14ac:dyDescent="0.2">
      <c r="A609" s="10" t="str">
        <f>IF(601&gt;$C$9008,"",INDEX($B$9:$B$9008,MATCH(601,$C$9:$C$9008,0)))</f>
        <v/>
      </c>
      <c r="B609" s="9" t="str">
        <f>IFERROR(INDEX(Input!$L$20:$T$1019,INT((ROW()-9)/9)+1,MOD(ROW()-9,9)+1),"")</f>
        <v/>
      </c>
      <c r="C609" s="9">
        <f t="shared" si="9"/>
        <v>0</v>
      </c>
    </row>
    <row r="610" spans="1:3" x14ac:dyDescent="0.2">
      <c r="A610" s="10" t="str">
        <f>IF(602&gt;$C$9008,"",INDEX($B$9:$B$9008,MATCH(602,$C$9:$C$9008,0)))</f>
        <v/>
      </c>
      <c r="B610" s="9" t="str">
        <f>IFERROR(INDEX(Input!$L$20:$T$1019,INT((ROW()-9)/9)+1,MOD(ROW()-9,9)+1),"")</f>
        <v/>
      </c>
      <c r="C610" s="9">
        <f t="shared" si="9"/>
        <v>0</v>
      </c>
    </row>
    <row r="611" spans="1:3" x14ac:dyDescent="0.2">
      <c r="A611" s="10" t="str">
        <f>IF(603&gt;$C$9008,"",INDEX($B$9:$B$9008,MATCH(603,$C$9:$C$9008,0)))</f>
        <v/>
      </c>
      <c r="B611" s="9" t="str">
        <f>IFERROR(INDEX(Input!$L$20:$T$1019,INT((ROW()-9)/9)+1,MOD(ROW()-9,9)+1),"")</f>
        <v/>
      </c>
      <c r="C611" s="9">
        <f t="shared" si="9"/>
        <v>0</v>
      </c>
    </row>
    <row r="612" spans="1:3" x14ac:dyDescent="0.2">
      <c r="A612" s="10" t="str">
        <f>IF(604&gt;$C$9008,"",INDEX($B$9:$B$9008,MATCH(604,$C$9:$C$9008,0)))</f>
        <v/>
      </c>
      <c r="B612" s="9" t="str">
        <f>IFERROR(INDEX(Input!$L$20:$T$1019,INT((ROW()-9)/9)+1,MOD(ROW()-9,9)+1),"")</f>
        <v/>
      </c>
      <c r="C612" s="9">
        <f t="shared" si="9"/>
        <v>0</v>
      </c>
    </row>
    <row r="613" spans="1:3" x14ac:dyDescent="0.2">
      <c r="A613" s="10" t="str">
        <f>IF(605&gt;$C$9008,"",INDEX($B$9:$B$9008,MATCH(605,$C$9:$C$9008,0)))</f>
        <v/>
      </c>
      <c r="B613" s="9" t="str">
        <f>IFERROR(INDEX(Input!$L$20:$T$1019,INT((ROW()-9)/9)+1,MOD(ROW()-9,9)+1),"")</f>
        <v/>
      </c>
      <c r="C613" s="9">
        <f t="shared" si="9"/>
        <v>0</v>
      </c>
    </row>
    <row r="614" spans="1:3" x14ac:dyDescent="0.2">
      <c r="A614" s="10" t="str">
        <f>IF(606&gt;$C$9008,"",INDEX($B$9:$B$9008,MATCH(606,$C$9:$C$9008,0)))</f>
        <v/>
      </c>
      <c r="B614" s="9" t="str">
        <f>IFERROR(INDEX(Input!$L$20:$T$1019,INT((ROW()-9)/9)+1,MOD(ROW()-9,9)+1),"")</f>
        <v/>
      </c>
      <c r="C614" s="9">
        <f t="shared" si="9"/>
        <v>0</v>
      </c>
    </row>
    <row r="615" spans="1:3" x14ac:dyDescent="0.2">
      <c r="A615" s="10" t="str">
        <f>IF(607&gt;$C$9008,"",INDEX($B$9:$B$9008,MATCH(607,$C$9:$C$9008,0)))</f>
        <v/>
      </c>
      <c r="B615" s="9" t="str">
        <f>IFERROR(INDEX(Input!$L$20:$T$1019,INT((ROW()-9)/9)+1,MOD(ROW()-9,9)+1),"")</f>
        <v/>
      </c>
      <c r="C615" s="9">
        <f t="shared" si="9"/>
        <v>0</v>
      </c>
    </row>
    <row r="616" spans="1:3" x14ac:dyDescent="0.2">
      <c r="A616" s="10" t="str">
        <f>IF(608&gt;$C$9008,"",INDEX($B$9:$B$9008,MATCH(608,$C$9:$C$9008,0)))</f>
        <v/>
      </c>
      <c r="B616" s="9" t="str">
        <f>IFERROR(INDEX(Input!$L$20:$T$1019,INT((ROW()-9)/9)+1,MOD(ROW()-9,9)+1),"")</f>
        <v/>
      </c>
      <c r="C616" s="9">
        <f t="shared" si="9"/>
        <v>0</v>
      </c>
    </row>
    <row r="617" spans="1:3" x14ac:dyDescent="0.2">
      <c r="A617" s="10" t="str">
        <f>IF(609&gt;$C$9008,"",INDEX($B$9:$B$9008,MATCH(609,$C$9:$C$9008,0)))</f>
        <v/>
      </c>
      <c r="B617" s="9" t="str">
        <f>IFERROR(INDEX(Input!$L$20:$T$1019,INT((ROW()-9)/9)+1,MOD(ROW()-9,9)+1),"")</f>
        <v/>
      </c>
      <c r="C617" s="9">
        <f t="shared" si="9"/>
        <v>0</v>
      </c>
    </row>
    <row r="618" spans="1:3" x14ac:dyDescent="0.2">
      <c r="A618" s="10" t="str">
        <f>IF(610&gt;$C$9008,"",INDEX($B$9:$B$9008,MATCH(610,$C$9:$C$9008,0)))</f>
        <v/>
      </c>
      <c r="B618" s="9" t="str">
        <f>IFERROR(INDEX(Input!$L$20:$T$1019,INT((ROW()-9)/9)+1,MOD(ROW()-9,9)+1),"")</f>
        <v/>
      </c>
      <c r="C618" s="9">
        <f t="shared" si="9"/>
        <v>0</v>
      </c>
    </row>
    <row r="619" spans="1:3" x14ac:dyDescent="0.2">
      <c r="A619" s="10" t="str">
        <f>IF(611&gt;$C$9008,"",INDEX($B$9:$B$9008,MATCH(611,$C$9:$C$9008,0)))</f>
        <v/>
      </c>
      <c r="B619" s="9" t="str">
        <f>IFERROR(INDEX(Input!$L$20:$T$1019,INT((ROW()-9)/9)+1,MOD(ROW()-9,9)+1),"")</f>
        <v/>
      </c>
      <c r="C619" s="9">
        <f t="shared" si="9"/>
        <v>0</v>
      </c>
    </row>
    <row r="620" spans="1:3" x14ac:dyDescent="0.2">
      <c r="A620" s="10" t="str">
        <f>IF(612&gt;$C$9008,"",INDEX($B$9:$B$9008,MATCH(612,$C$9:$C$9008,0)))</f>
        <v/>
      </c>
      <c r="B620" s="9" t="str">
        <f>IFERROR(INDEX(Input!$L$20:$T$1019,INT((ROW()-9)/9)+1,MOD(ROW()-9,9)+1),"")</f>
        <v/>
      </c>
      <c r="C620" s="9">
        <f t="shared" si="9"/>
        <v>0</v>
      </c>
    </row>
    <row r="621" spans="1:3" x14ac:dyDescent="0.2">
      <c r="A621" s="10" t="str">
        <f>IF(613&gt;$C$9008,"",INDEX($B$9:$B$9008,MATCH(613,$C$9:$C$9008,0)))</f>
        <v/>
      </c>
      <c r="B621" s="9" t="str">
        <f>IFERROR(INDEX(Input!$L$20:$T$1019,INT((ROW()-9)/9)+1,MOD(ROW()-9,9)+1),"")</f>
        <v/>
      </c>
      <c r="C621" s="9">
        <f t="shared" si="9"/>
        <v>0</v>
      </c>
    </row>
    <row r="622" spans="1:3" x14ac:dyDescent="0.2">
      <c r="A622" s="10" t="str">
        <f>IF(614&gt;$C$9008,"",INDEX($B$9:$B$9008,MATCH(614,$C$9:$C$9008,0)))</f>
        <v/>
      </c>
      <c r="B622" s="9" t="str">
        <f>IFERROR(INDEX(Input!$L$20:$T$1019,INT((ROW()-9)/9)+1,MOD(ROW()-9,9)+1),"")</f>
        <v/>
      </c>
      <c r="C622" s="9">
        <f t="shared" si="9"/>
        <v>0</v>
      </c>
    </row>
    <row r="623" spans="1:3" x14ac:dyDescent="0.2">
      <c r="A623" s="10" t="str">
        <f>IF(615&gt;$C$9008,"",INDEX($B$9:$B$9008,MATCH(615,$C$9:$C$9008,0)))</f>
        <v/>
      </c>
      <c r="B623" s="9" t="str">
        <f>IFERROR(INDEX(Input!$L$20:$T$1019,INT((ROW()-9)/9)+1,MOD(ROW()-9,9)+1),"")</f>
        <v/>
      </c>
      <c r="C623" s="9">
        <f t="shared" si="9"/>
        <v>0</v>
      </c>
    </row>
    <row r="624" spans="1:3" x14ac:dyDescent="0.2">
      <c r="A624" s="10" t="str">
        <f>IF(616&gt;$C$9008,"",INDEX($B$9:$B$9008,MATCH(616,$C$9:$C$9008,0)))</f>
        <v/>
      </c>
      <c r="B624" s="9" t="str">
        <f>IFERROR(INDEX(Input!$L$20:$T$1019,INT((ROW()-9)/9)+1,MOD(ROW()-9,9)+1),"")</f>
        <v/>
      </c>
      <c r="C624" s="9">
        <f t="shared" si="9"/>
        <v>0</v>
      </c>
    </row>
    <row r="625" spans="1:3" x14ac:dyDescent="0.2">
      <c r="A625" s="10" t="str">
        <f>IF(617&gt;$C$9008,"",INDEX($B$9:$B$9008,MATCH(617,$C$9:$C$9008,0)))</f>
        <v/>
      </c>
      <c r="B625" s="9" t="str">
        <f>IFERROR(INDEX(Input!$L$20:$T$1019,INT((ROW()-9)/9)+1,MOD(ROW()-9,9)+1),"")</f>
        <v/>
      </c>
      <c r="C625" s="9">
        <f t="shared" si="9"/>
        <v>0</v>
      </c>
    </row>
    <row r="626" spans="1:3" x14ac:dyDescent="0.2">
      <c r="A626" s="10" t="str">
        <f>IF(618&gt;$C$9008,"",INDEX($B$9:$B$9008,MATCH(618,$C$9:$C$9008,0)))</f>
        <v/>
      </c>
      <c r="B626" s="9" t="str">
        <f>IFERROR(INDEX(Input!$L$20:$T$1019,INT((ROW()-9)/9)+1,MOD(ROW()-9,9)+1),"")</f>
        <v/>
      </c>
      <c r="C626" s="9">
        <f t="shared" si="9"/>
        <v>0</v>
      </c>
    </row>
    <row r="627" spans="1:3" x14ac:dyDescent="0.2">
      <c r="A627" s="10" t="str">
        <f>IF(619&gt;$C$9008,"",INDEX($B$9:$B$9008,MATCH(619,$C$9:$C$9008,0)))</f>
        <v/>
      </c>
      <c r="B627" s="9" t="str">
        <f>IFERROR(INDEX(Input!$L$20:$T$1019,INT((ROW()-9)/9)+1,MOD(ROW()-9,9)+1),"")</f>
        <v/>
      </c>
      <c r="C627" s="9">
        <f t="shared" si="9"/>
        <v>0</v>
      </c>
    </row>
    <row r="628" spans="1:3" x14ac:dyDescent="0.2">
      <c r="A628" s="10" t="str">
        <f>IF(620&gt;$C$9008,"",INDEX($B$9:$B$9008,MATCH(620,$C$9:$C$9008,0)))</f>
        <v/>
      </c>
      <c r="B628" s="9" t="str">
        <f>IFERROR(INDEX(Input!$L$20:$T$1019,INT((ROW()-9)/9)+1,MOD(ROW()-9,9)+1),"")</f>
        <v/>
      </c>
      <c r="C628" s="9">
        <f t="shared" si="9"/>
        <v>0</v>
      </c>
    </row>
    <row r="629" spans="1:3" x14ac:dyDescent="0.2">
      <c r="A629" s="10" t="str">
        <f>IF(621&gt;$C$9008,"",INDEX($B$9:$B$9008,MATCH(621,$C$9:$C$9008,0)))</f>
        <v/>
      </c>
      <c r="B629" s="9" t="str">
        <f>IFERROR(INDEX(Input!$L$20:$T$1019,INT((ROW()-9)/9)+1,MOD(ROW()-9,9)+1),"")</f>
        <v/>
      </c>
      <c r="C629" s="9">
        <f t="shared" si="9"/>
        <v>0</v>
      </c>
    </row>
    <row r="630" spans="1:3" x14ac:dyDescent="0.2">
      <c r="A630" s="10" t="str">
        <f>IF(622&gt;$C$9008,"",INDEX($B$9:$B$9008,MATCH(622,$C$9:$C$9008,0)))</f>
        <v/>
      </c>
      <c r="B630" s="9" t="str">
        <f>IFERROR(INDEX(Input!$L$20:$T$1019,INT((ROW()-9)/9)+1,MOD(ROW()-9,9)+1),"")</f>
        <v/>
      </c>
      <c r="C630" s="9">
        <f t="shared" si="9"/>
        <v>0</v>
      </c>
    </row>
    <row r="631" spans="1:3" x14ac:dyDescent="0.2">
      <c r="A631" s="10" t="str">
        <f>IF(623&gt;$C$9008,"",INDEX($B$9:$B$9008,MATCH(623,$C$9:$C$9008,0)))</f>
        <v/>
      </c>
      <c r="B631" s="9" t="str">
        <f>IFERROR(INDEX(Input!$L$20:$T$1019,INT((ROW()-9)/9)+1,MOD(ROW()-9,9)+1),"")</f>
        <v/>
      </c>
      <c r="C631" s="9">
        <f t="shared" si="9"/>
        <v>0</v>
      </c>
    </row>
    <row r="632" spans="1:3" x14ac:dyDescent="0.2">
      <c r="A632" s="10" t="str">
        <f>IF(624&gt;$C$9008,"",INDEX($B$9:$B$9008,MATCH(624,$C$9:$C$9008,0)))</f>
        <v/>
      </c>
      <c r="B632" s="9" t="str">
        <f>IFERROR(INDEX(Input!$L$20:$T$1019,INT((ROW()-9)/9)+1,MOD(ROW()-9,9)+1),"")</f>
        <v/>
      </c>
      <c r="C632" s="9">
        <f t="shared" si="9"/>
        <v>0</v>
      </c>
    </row>
    <row r="633" spans="1:3" x14ac:dyDescent="0.2">
      <c r="A633" s="10" t="str">
        <f>IF(625&gt;$C$9008,"",INDEX($B$9:$B$9008,MATCH(625,$C$9:$C$9008,0)))</f>
        <v/>
      </c>
      <c r="B633" s="9" t="str">
        <f>IFERROR(INDEX(Input!$L$20:$T$1019,INT((ROW()-9)/9)+1,MOD(ROW()-9,9)+1),"")</f>
        <v/>
      </c>
      <c r="C633" s="9">
        <f t="shared" si="9"/>
        <v>0</v>
      </c>
    </row>
    <row r="634" spans="1:3" x14ac:dyDescent="0.2">
      <c r="A634" s="10" t="str">
        <f>IF(626&gt;$C$9008,"",INDEX($B$9:$B$9008,MATCH(626,$C$9:$C$9008,0)))</f>
        <v/>
      </c>
      <c r="B634" s="9" t="str">
        <f>IFERROR(INDEX(Input!$L$20:$T$1019,INT((ROW()-9)/9)+1,MOD(ROW()-9,9)+1),"")</f>
        <v/>
      </c>
      <c r="C634" s="9">
        <f t="shared" si="9"/>
        <v>0</v>
      </c>
    </row>
    <row r="635" spans="1:3" x14ac:dyDescent="0.2">
      <c r="A635" s="10" t="str">
        <f>IF(627&gt;$C$9008,"",INDEX($B$9:$B$9008,MATCH(627,$C$9:$C$9008,0)))</f>
        <v/>
      </c>
      <c r="B635" s="9" t="str">
        <f>IFERROR(INDEX(Input!$L$20:$T$1019,INT((ROW()-9)/9)+1,MOD(ROW()-9,9)+1),"")</f>
        <v/>
      </c>
      <c r="C635" s="9">
        <f t="shared" si="9"/>
        <v>0</v>
      </c>
    </row>
    <row r="636" spans="1:3" x14ac:dyDescent="0.2">
      <c r="A636" s="10" t="str">
        <f>IF(628&gt;$C$9008,"",INDEX($B$9:$B$9008,MATCH(628,$C$9:$C$9008,0)))</f>
        <v/>
      </c>
      <c r="B636" s="9" t="str">
        <f>IFERROR(INDEX(Input!$L$20:$T$1019,INT((ROW()-9)/9)+1,MOD(ROW()-9,9)+1),"")</f>
        <v/>
      </c>
      <c r="C636" s="9">
        <f t="shared" si="9"/>
        <v>0</v>
      </c>
    </row>
    <row r="637" spans="1:3" x14ac:dyDescent="0.2">
      <c r="A637" s="10" t="str">
        <f>IF(629&gt;$C$9008,"",INDEX($B$9:$B$9008,MATCH(629,$C$9:$C$9008,0)))</f>
        <v/>
      </c>
      <c r="B637" s="9" t="str">
        <f>IFERROR(INDEX(Input!$L$20:$T$1019,INT((ROW()-9)/9)+1,MOD(ROW()-9,9)+1),"")</f>
        <v/>
      </c>
      <c r="C637" s="9">
        <f t="shared" si="9"/>
        <v>0</v>
      </c>
    </row>
    <row r="638" spans="1:3" x14ac:dyDescent="0.2">
      <c r="A638" s="10" t="str">
        <f>IF(630&gt;$C$9008,"",INDEX($B$9:$B$9008,MATCH(630,$C$9:$C$9008,0)))</f>
        <v/>
      </c>
      <c r="B638" s="9" t="str">
        <f>IFERROR(INDEX(Input!$L$20:$T$1019,INT((ROW()-9)/9)+1,MOD(ROW()-9,9)+1),"")</f>
        <v/>
      </c>
      <c r="C638" s="9">
        <f t="shared" si="9"/>
        <v>0</v>
      </c>
    </row>
    <row r="639" spans="1:3" x14ac:dyDescent="0.2">
      <c r="A639" s="10" t="str">
        <f>IF(631&gt;$C$9008,"",INDEX($B$9:$B$9008,MATCH(631,$C$9:$C$9008,0)))</f>
        <v/>
      </c>
      <c r="B639" s="9" t="str">
        <f>IFERROR(INDEX(Input!$L$20:$T$1019,INT((ROW()-9)/9)+1,MOD(ROW()-9,9)+1),"")</f>
        <v/>
      </c>
      <c r="C639" s="9">
        <f t="shared" si="9"/>
        <v>0</v>
      </c>
    </row>
    <row r="640" spans="1:3" x14ac:dyDescent="0.2">
      <c r="A640" s="10" t="str">
        <f>IF(632&gt;$C$9008,"",INDEX($B$9:$B$9008,MATCH(632,$C$9:$C$9008,0)))</f>
        <v/>
      </c>
      <c r="B640" s="9" t="str">
        <f>IFERROR(INDEX(Input!$L$20:$T$1019,INT((ROW()-9)/9)+1,MOD(ROW()-9,9)+1),"")</f>
        <v/>
      </c>
      <c r="C640" s="9">
        <f t="shared" si="9"/>
        <v>0</v>
      </c>
    </row>
    <row r="641" spans="1:3" x14ac:dyDescent="0.2">
      <c r="A641" s="10" t="str">
        <f>IF(633&gt;$C$9008,"",INDEX($B$9:$B$9008,MATCH(633,$C$9:$C$9008,0)))</f>
        <v/>
      </c>
      <c r="B641" s="9" t="str">
        <f>IFERROR(INDEX(Input!$L$20:$T$1019,INT((ROW()-9)/9)+1,MOD(ROW()-9,9)+1),"")</f>
        <v/>
      </c>
      <c r="C641" s="9">
        <f t="shared" si="9"/>
        <v>0</v>
      </c>
    </row>
    <row r="642" spans="1:3" x14ac:dyDescent="0.2">
      <c r="A642" s="10" t="str">
        <f>IF(634&gt;$C$9008,"",INDEX($B$9:$B$9008,MATCH(634,$C$9:$C$9008,0)))</f>
        <v/>
      </c>
      <c r="B642" s="9" t="str">
        <f>IFERROR(INDEX(Input!$L$20:$T$1019,INT((ROW()-9)/9)+1,MOD(ROW()-9,9)+1),"")</f>
        <v/>
      </c>
      <c r="C642" s="9">
        <f t="shared" si="9"/>
        <v>0</v>
      </c>
    </row>
    <row r="643" spans="1:3" x14ac:dyDescent="0.2">
      <c r="A643" s="10" t="str">
        <f>IF(635&gt;$C$9008,"",INDEX($B$9:$B$9008,MATCH(635,$C$9:$C$9008,0)))</f>
        <v/>
      </c>
      <c r="B643" s="9" t="str">
        <f>IFERROR(INDEX(Input!$L$20:$T$1019,INT((ROW()-9)/9)+1,MOD(ROW()-9,9)+1),"")</f>
        <v/>
      </c>
      <c r="C643" s="9">
        <f t="shared" si="9"/>
        <v>0</v>
      </c>
    </row>
    <row r="644" spans="1:3" x14ac:dyDescent="0.2">
      <c r="A644" s="10" t="str">
        <f>IF(636&gt;$C$9008,"",INDEX($B$9:$B$9008,MATCH(636,$C$9:$C$9008,0)))</f>
        <v/>
      </c>
      <c r="B644" s="9" t="str">
        <f>IFERROR(INDEX(Input!$L$20:$T$1019,INT((ROW()-9)/9)+1,MOD(ROW()-9,9)+1),"")</f>
        <v/>
      </c>
      <c r="C644" s="9">
        <f t="shared" si="9"/>
        <v>0</v>
      </c>
    </row>
    <row r="645" spans="1:3" x14ac:dyDescent="0.2">
      <c r="A645" s="10" t="str">
        <f>IF(637&gt;$C$9008,"",INDEX($B$9:$B$9008,MATCH(637,$C$9:$C$9008,0)))</f>
        <v/>
      </c>
      <c r="B645" s="9" t="str">
        <f>IFERROR(INDEX(Input!$L$20:$T$1019,INT((ROW()-9)/9)+1,MOD(ROW()-9,9)+1),"")</f>
        <v/>
      </c>
      <c r="C645" s="9">
        <f t="shared" si="9"/>
        <v>0</v>
      </c>
    </row>
    <row r="646" spans="1:3" x14ac:dyDescent="0.2">
      <c r="A646" s="10" t="str">
        <f>IF(638&gt;$C$9008,"",INDEX($B$9:$B$9008,MATCH(638,$C$9:$C$9008,0)))</f>
        <v/>
      </c>
      <c r="B646" s="9" t="str">
        <f>IFERROR(INDEX(Input!$L$20:$T$1019,INT((ROW()-9)/9)+1,MOD(ROW()-9,9)+1),"")</f>
        <v/>
      </c>
      <c r="C646" s="9">
        <f t="shared" si="9"/>
        <v>0</v>
      </c>
    </row>
    <row r="647" spans="1:3" x14ac:dyDescent="0.2">
      <c r="A647" s="10" t="str">
        <f>IF(639&gt;$C$9008,"",INDEX($B$9:$B$9008,MATCH(639,$C$9:$C$9008,0)))</f>
        <v/>
      </c>
      <c r="B647" s="9" t="str">
        <f>IFERROR(INDEX(Input!$L$20:$T$1019,INT((ROW()-9)/9)+1,MOD(ROW()-9,9)+1),"")</f>
        <v/>
      </c>
      <c r="C647" s="9">
        <f t="shared" si="9"/>
        <v>0</v>
      </c>
    </row>
    <row r="648" spans="1:3" x14ac:dyDescent="0.2">
      <c r="A648" s="10" t="str">
        <f>IF(640&gt;$C$9008,"",INDEX($B$9:$B$9008,MATCH(640,$C$9:$C$9008,0)))</f>
        <v/>
      </c>
      <c r="B648" s="9" t="str">
        <f>IFERROR(INDEX(Input!$L$20:$T$1019,INT((ROW()-9)/9)+1,MOD(ROW()-9,9)+1),"")</f>
        <v/>
      </c>
      <c r="C648" s="9">
        <f t="shared" si="9"/>
        <v>0</v>
      </c>
    </row>
    <row r="649" spans="1:3" x14ac:dyDescent="0.2">
      <c r="A649" s="10" t="str">
        <f>IF(641&gt;$C$9008,"",INDEX($B$9:$B$9008,MATCH(641,$C$9:$C$9008,0)))</f>
        <v/>
      </c>
      <c r="B649" s="9" t="str">
        <f>IFERROR(INDEX(Input!$L$20:$T$1019,INT((ROW()-9)/9)+1,MOD(ROW()-9,9)+1),"")</f>
        <v/>
      </c>
      <c r="C649" s="9">
        <f t="shared" ref="C649:C712" si="10">$C648+IF($B649&lt;&gt;"",1,0)</f>
        <v>0</v>
      </c>
    </row>
    <row r="650" spans="1:3" x14ac:dyDescent="0.2">
      <c r="A650" s="10" t="str">
        <f>IF(642&gt;$C$9008,"",INDEX($B$9:$B$9008,MATCH(642,$C$9:$C$9008,0)))</f>
        <v/>
      </c>
      <c r="B650" s="9" t="str">
        <f>IFERROR(INDEX(Input!$L$20:$T$1019,INT((ROW()-9)/9)+1,MOD(ROW()-9,9)+1),"")</f>
        <v/>
      </c>
      <c r="C650" s="9">
        <f t="shared" si="10"/>
        <v>0</v>
      </c>
    </row>
    <row r="651" spans="1:3" x14ac:dyDescent="0.2">
      <c r="A651" s="10" t="str">
        <f>IF(643&gt;$C$9008,"",INDEX($B$9:$B$9008,MATCH(643,$C$9:$C$9008,0)))</f>
        <v/>
      </c>
      <c r="B651" s="9" t="str">
        <f>IFERROR(INDEX(Input!$L$20:$T$1019,INT((ROW()-9)/9)+1,MOD(ROW()-9,9)+1),"")</f>
        <v/>
      </c>
      <c r="C651" s="9">
        <f t="shared" si="10"/>
        <v>0</v>
      </c>
    </row>
    <row r="652" spans="1:3" x14ac:dyDescent="0.2">
      <c r="A652" s="10" t="str">
        <f>IF(644&gt;$C$9008,"",INDEX($B$9:$B$9008,MATCH(644,$C$9:$C$9008,0)))</f>
        <v/>
      </c>
      <c r="B652" s="9" t="str">
        <f>IFERROR(INDEX(Input!$L$20:$T$1019,INT((ROW()-9)/9)+1,MOD(ROW()-9,9)+1),"")</f>
        <v/>
      </c>
      <c r="C652" s="9">
        <f t="shared" si="10"/>
        <v>0</v>
      </c>
    </row>
    <row r="653" spans="1:3" x14ac:dyDescent="0.2">
      <c r="A653" s="10" t="str">
        <f>IF(645&gt;$C$9008,"",INDEX($B$9:$B$9008,MATCH(645,$C$9:$C$9008,0)))</f>
        <v/>
      </c>
      <c r="B653" s="9" t="str">
        <f>IFERROR(INDEX(Input!$L$20:$T$1019,INT((ROW()-9)/9)+1,MOD(ROW()-9,9)+1),"")</f>
        <v/>
      </c>
      <c r="C653" s="9">
        <f t="shared" si="10"/>
        <v>0</v>
      </c>
    </row>
    <row r="654" spans="1:3" x14ac:dyDescent="0.2">
      <c r="A654" s="10" t="str">
        <f>IF(646&gt;$C$9008,"",INDEX($B$9:$B$9008,MATCH(646,$C$9:$C$9008,0)))</f>
        <v/>
      </c>
      <c r="B654" s="9" t="str">
        <f>IFERROR(INDEX(Input!$L$20:$T$1019,INT((ROW()-9)/9)+1,MOD(ROW()-9,9)+1),"")</f>
        <v/>
      </c>
      <c r="C654" s="9">
        <f t="shared" si="10"/>
        <v>0</v>
      </c>
    </row>
    <row r="655" spans="1:3" x14ac:dyDescent="0.2">
      <c r="A655" s="10" t="str">
        <f>IF(647&gt;$C$9008,"",INDEX($B$9:$B$9008,MATCH(647,$C$9:$C$9008,0)))</f>
        <v/>
      </c>
      <c r="B655" s="9" t="str">
        <f>IFERROR(INDEX(Input!$L$20:$T$1019,INT((ROW()-9)/9)+1,MOD(ROW()-9,9)+1),"")</f>
        <v/>
      </c>
      <c r="C655" s="9">
        <f t="shared" si="10"/>
        <v>0</v>
      </c>
    </row>
    <row r="656" spans="1:3" x14ac:dyDescent="0.2">
      <c r="A656" s="10" t="str">
        <f>IF(648&gt;$C$9008,"",INDEX($B$9:$B$9008,MATCH(648,$C$9:$C$9008,0)))</f>
        <v/>
      </c>
      <c r="B656" s="9" t="str">
        <f>IFERROR(INDEX(Input!$L$20:$T$1019,INT((ROW()-9)/9)+1,MOD(ROW()-9,9)+1),"")</f>
        <v/>
      </c>
      <c r="C656" s="9">
        <f t="shared" si="10"/>
        <v>0</v>
      </c>
    </row>
    <row r="657" spans="1:3" x14ac:dyDescent="0.2">
      <c r="A657" s="10" t="str">
        <f>IF(649&gt;$C$9008,"",INDEX($B$9:$B$9008,MATCH(649,$C$9:$C$9008,0)))</f>
        <v/>
      </c>
      <c r="B657" s="9" t="str">
        <f>IFERROR(INDEX(Input!$L$20:$T$1019,INT((ROW()-9)/9)+1,MOD(ROW()-9,9)+1),"")</f>
        <v/>
      </c>
      <c r="C657" s="9">
        <f t="shared" si="10"/>
        <v>0</v>
      </c>
    </row>
    <row r="658" spans="1:3" x14ac:dyDescent="0.2">
      <c r="A658" s="10" t="str">
        <f>IF(650&gt;$C$9008,"",INDEX($B$9:$B$9008,MATCH(650,$C$9:$C$9008,0)))</f>
        <v/>
      </c>
      <c r="B658" s="9" t="str">
        <f>IFERROR(INDEX(Input!$L$20:$T$1019,INT((ROW()-9)/9)+1,MOD(ROW()-9,9)+1),"")</f>
        <v/>
      </c>
      <c r="C658" s="9">
        <f t="shared" si="10"/>
        <v>0</v>
      </c>
    </row>
    <row r="659" spans="1:3" x14ac:dyDescent="0.2">
      <c r="A659" s="10" t="str">
        <f>IF(651&gt;$C$9008,"",INDEX($B$9:$B$9008,MATCH(651,$C$9:$C$9008,0)))</f>
        <v/>
      </c>
      <c r="B659" s="9" t="str">
        <f>IFERROR(INDEX(Input!$L$20:$T$1019,INT((ROW()-9)/9)+1,MOD(ROW()-9,9)+1),"")</f>
        <v/>
      </c>
      <c r="C659" s="9">
        <f t="shared" si="10"/>
        <v>0</v>
      </c>
    </row>
    <row r="660" spans="1:3" x14ac:dyDescent="0.2">
      <c r="A660" s="10" t="str">
        <f>IF(652&gt;$C$9008,"",INDEX($B$9:$B$9008,MATCH(652,$C$9:$C$9008,0)))</f>
        <v/>
      </c>
      <c r="B660" s="9" t="str">
        <f>IFERROR(INDEX(Input!$L$20:$T$1019,INT((ROW()-9)/9)+1,MOD(ROW()-9,9)+1),"")</f>
        <v/>
      </c>
      <c r="C660" s="9">
        <f t="shared" si="10"/>
        <v>0</v>
      </c>
    </row>
    <row r="661" spans="1:3" x14ac:dyDescent="0.2">
      <c r="A661" s="10" t="str">
        <f>IF(653&gt;$C$9008,"",INDEX($B$9:$B$9008,MATCH(653,$C$9:$C$9008,0)))</f>
        <v/>
      </c>
      <c r="B661" s="9" t="str">
        <f>IFERROR(INDEX(Input!$L$20:$T$1019,INT((ROW()-9)/9)+1,MOD(ROW()-9,9)+1),"")</f>
        <v/>
      </c>
      <c r="C661" s="9">
        <f t="shared" si="10"/>
        <v>0</v>
      </c>
    </row>
    <row r="662" spans="1:3" x14ac:dyDescent="0.2">
      <c r="A662" s="10" t="str">
        <f>IF(654&gt;$C$9008,"",INDEX($B$9:$B$9008,MATCH(654,$C$9:$C$9008,0)))</f>
        <v/>
      </c>
      <c r="B662" s="9" t="str">
        <f>IFERROR(INDEX(Input!$L$20:$T$1019,INT((ROW()-9)/9)+1,MOD(ROW()-9,9)+1),"")</f>
        <v/>
      </c>
      <c r="C662" s="9">
        <f t="shared" si="10"/>
        <v>0</v>
      </c>
    </row>
    <row r="663" spans="1:3" x14ac:dyDescent="0.2">
      <c r="A663" s="10" t="str">
        <f>IF(655&gt;$C$9008,"",INDEX($B$9:$B$9008,MATCH(655,$C$9:$C$9008,0)))</f>
        <v/>
      </c>
      <c r="B663" s="9" t="str">
        <f>IFERROR(INDEX(Input!$L$20:$T$1019,INT((ROW()-9)/9)+1,MOD(ROW()-9,9)+1),"")</f>
        <v/>
      </c>
      <c r="C663" s="9">
        <f t="shared" si="10"/>
        <v>0</v>
      </c>
    </row>
    <row r="664" spans="1:3" x14ac:dyDescent="0.2">
      <c r="A664" s="10" t="str">
        <f>IF(656&gt;$C$9008,"",INDEX($B$9:$B$9008,MATCH(656,$C$9:$C$9008,0)))</f>
        <v/>
      </c>
      <c r="B664" s="9" t="str">
        <f>IFERROR(INDEX(Input!$L$20:$T$1019,INT((ROW()-9)/9)+1,MOD(ROW()-9,9)+1),"")</f>
        <v/>
      </c>
      <c r="C664" s="9">
        <f t="shared" si="10"/>
        <v>0</v>
      </c>
    </row>
    <row r="665" spans="1:3" x14ac:dyDescent="0.2">
      <c r="A665" s="10" t="str">
        <f>IF(657&gt;$C$9008,"",INDEX($B$9:$B$9008,MATCH(657,$C$9:$C$9008,0)))</f>
        <v/>
      </c>
      <c r="B665" s="9" t="str">
        <f>IFERROR(INDEX(Input!$L$20:$T$1019,INT((ROW()-9)/9)+1,MOD(ROW()-9,9)+1),"")</f>
        <v/>
      </c>
      <c r="C665" s="9">
        <f t="shared" si="10"/>
        <v>0</v>
      </c>
    </row>
    <row r="666" spans="1:3" x14ac:dyDescent="0.2">
      <c r="A666" s="10" t="str">
        <f>IF(658&gt;$C$9008,"",INDEX($B$9:$B$9008,MATCH(658,$C$9:$C$9008,0)))</f>
        <v/>
      </c>
      <c r="B666" s="9" t="str">
        <f>IFERROR(INDEX(Input!$L$20:$T$1019,INT((ROW()-9)/9)+1,MOD(ROW()-9,9)+1),"")</f>
        <v/>
      </c>
      <c r="C666" s="9">
        <f t="shared" si="10"/>
        <v>0</v>
      </c>
    </row>
    <row r="667" spans="1:3" x14ac:dyDescent="0.2">
      <c r="A667" s="10" t="str">
        <f>IF(659&gt;$C$9008,"",INDEX($B$9:$B$9008,MATCH(659,$C$9:$C$9008,0)))</f>
        <v/>
      </c>
      <c r="B667" s="9" t="str">
        <f>IFERROR(INDEX(Input!$L$20:$T$1019,INT((ROW()-9)/9)+1,MOD(ROW()-9,9)+1),"")</f>
        <v/>
      </c>
      <c r="C667" s="9">
        <f t="shared" si="10"/>
        <v>0</v>
      </c>
    </row>
    <row r="668" spans="1:3" x14ac:dyDescent="0.2">
      <c r="A668" s="10" t="str">
        <f>IF(660&gt;$C$9008,"",INDEX($B$9:$B$9008,MATCH(660,$C$9:$C$9008,0)))</f>
        <v/>
      </c>
      <c r="B668" s="9" t="str">
        <f>IFERROR(INDEX(Input!$L$20:$T$1019,INT((ROW()-9)/9)+1,MOD(ROW()-9,9)+1),"")</f>
        <v/>
      </c>
      <c r="C668" s="9">
        <f t="shared" si="10"/>
        <v>0</v>
      </c>
    </row>
    <row r="669" spans="1:3" x14ac:dyDescent="0.2">
      <c r="A669" s="10" t="str">
        <f>IF(661&gt;$C$9008,"",INDEX($B$9:$B$9008,MATCH(661,$C$9:$C$9008,0)))</f>
        <v/>
      </c>
      <c r="B669" s="9" t="str">
        <f>IFERROR(INDEX(Input!$L$20:$T$1019,INT((ROW()-9)/9)+1,MOD(ROW()-9,9)+1),"")</f>
        <v/>
      </c>
      <c r="C669" s="9">
        <f t="shared" si="10"/>
        <v>0</v>
      </c>
    </row>
    <row r="670" spans="1:3" x14ac:dyDescent="0.2">
      <c r="A670" s="10" t="str">
        <f>IF(662&gt;$C$9008,"",INDEX($B$9:$B$9008,MATCH(662,$C$9:$C$9008,0)))</f>
        <v/>
      </c>
      <c r="B670" s="9" t="str">
        <f>IFERROR(INDEX(Input!$L$20:$T$1019,INT((ROW()-9)/9)+1,MOD(ROW()-9,9)+1),"")</f>
        <v/>
      </c>
      <c r="C670" s="9">
        <f t="shared" si="10"/>
        <v>0</v>
      </c>
    </row>
    <row r="671" spans="1:3" x14ac:dyDescent="0.2">
      <c r="A671" s="10" t="str">
        <f>IF(663&gt;$C$9008,"",INDEX($B$9:$B$9008,MATCH(663,$C$9:$C$9008,0)))</f>
        <v/>
      </c>
      <c r="B671" s="9" t="str">
        <f>IFERROR(INDEX(Input!$L$20:$T$1019,INT((ROW()-9)/9)+1,MOD(ROW()-9,9)+1),"")</f>
        <v/>
      </c>
      <c r="C671" s="9">
        <f t="shared" si="10"/>
        <v>0</v>
      </c>
    </row>
    <row r="672" spans="1:3" x14ac:dyDescent="0.2">
      <c r="A672" s="10" t="str">
        <f>IF(664&gt;$C$9008,"",INDEX($B$9:$B$9008,MATCH(664,$C$9:$C$9008,0)))</f>
        <v/>
      </c>
      <c r="B672" s="9" t="str">
        <f>IFERROR(INDEX(Input!$L$20:$T$1019,INT((ROW()-9)/9)+1,MOD(ROW()-9,9)+1),"")</f>
        <v/>
      </c>
      <c r="C672" s="9">
        <f t="shared" si="10"/>
        <v>0</v>
      </c>
    </row>
    <row r="673" spans="1:3" x14ac:dyDescent="0.2">
      <c r="A673" s="10" t="str">
        <f>IF(665&gt;$C$9008,"",INDEX($B$9:$B$9008,MATCH(665,$C$9:$C$9008,0)))</f>
        <v/>
      </c>
      <c r="B673" s="9" t="str">
        <f>IFERROR(INDEX(Input!$L$20:$T$1019,INT((ROW()-9)/9)+1,MOD(ROW()-9,9)+1),"")</f>
        <v/>
      </c>
      <c r="C673" s="9">
        <f t="shared" si="10"/>
        <v>0</v>
      </c>
    </row>
    <row r="674" spans="1:3" x14ac:dyDescent="0.2">
      <c r="A674" s="10" t="str">
        <f>IF(666&gt;$C$9008,"",INDEX($B$9:$B$9008,MATCH(666,$C$9:$C$9008,0)))</f>
        <v/>
      </c>
      <c r="B674" s="9" t="str">
        <f>IFERROR(INDEX(Input!$L$20:$T$1019,INT((ROW()-9)/9)+1,MOD(ROW()-9,9)+1),"")</f>
        <v/>
      </c>
      <c r="C674" s="9">
        <f t="shared" si="10"/>
        <v>0</v>
      </c>
    </row>
    <row r="675" spans="1:3" x14ac:dyDescent="0.2">
      <c r="A675" s="10" t="str">
        <f>IF(667&gt;$C$9008,"",INDEX($B$9:$B$9008,MATCH(667,$C$9:$C$9008,0)))</f>
        <v/>
      </c>
      <c r="B675" s="9" t="str">
        <f>IFERROR(INDEX(Input!$L$20:$T$1019,INT((ROW()-9)/9)+1,MOD(ROW()-9,9)+1),"")</f>
        <v/>
      </c>
      <c r="C675" s="9">
        <f t="shared" si="10"/>
        <v>0</v>
      </c>
    </row>
    <row r="676" spans="1:3" x14ac:dyDescent="0.2">
      <c r="A676" s="10" t="str">
        <f>IF(668&gt;$C$9008,"",INDEX($B$9:$B$9008,MATCH(668,$C$9:$C$9008,0)))</f>
        <v/>
      </c>
      <c r="B676" s="9" t="str">
        <f>IFERROR(INDEX(Input!$L$20:$T$1019,INT((ROW()-9)/9)+1,MOD(ROW()-9,9)+1),"")</f>
        <v/>
      </c>
      <c r="C676" s="9">
        <f t="shared" si="10"/>
        <v>0</v>
      </c>
    </row>
    <row r="677" spans="1:3" x14ac:dyDescent="0.2">
      <c r="A677" s="10" t="str">
        <f>IF(669&gt;$C$9008,"",INDEX($B$9:$B$9008,MATCH(669,$C$9:$C$9008,0)))</f>
        <v/>
      </c>
      <c r="B677" s="9" t="str">
        <f>IFERROR(INDEX(Input!$L$20:$T$1019,INT((ROW()-9)/9)+1,MOD(ROW()-9,9)+1),"")</f>
        <v/>
      </c>
      <c r="C677" s="9">
        <f t="shared" si="10"/>
        <v>0</v>
      </c>
    </row>
    <row r="678" spans="1:3" x14ac:dyDescent="0.2">
      <c r="A678" s="10" t="str">
        <f>IF(670&gt;$C$9008,"",INDEX($B$9:$B$9008,MATCH(670,$C$9:$C$9008,0)))</f>
        <v/>
      </c>
      <c r="B678" s="9" t="str">
        <f>IFERROR(INDEX(Input!$L$20:$T$1019,INT((ROW()-9)/9)+1,MOD(ROW()-9,9)+1),"")</f>
        <v/>
      </c>
      <c r="C678" s="9">
        <f t="shared" si="10"/>
        <v>0</v>
      </c>
    </row>
    <row r="679" spans="1:3" x14ac:dyDescent="0.2">
      <c r="A679" s="10" t="str">
        <f>IF(671&gt;$C$9008,"",INDEX($B$9:$B$9008,MATCH(671,$C$9:$C$9008,0)))</f>
        <v/>
      </c>
      <c r="B679" s="9" t="str">
        <f>IFERROR(INDEX(Input!$L$20:$T$1019,INT((ROW()-9)/9)+1,MOD(ROW()-9,9)+1),"")</f>
        <v/>
      </c>
      <c r="C679" s="9">
        <f t="shared" si="10"/>
        <v>0</v>
      </c>
    </row>
    <row r="680" spans="1:3" x14ac:dyDescent="0.2">
      <c r="A680" s="10" t="str">
        <f>IF(672&gt;$C$9008,"",INDEX($B$9:$B$9008,MATCH(672,$C$9:$C$9008,0)))</f>
        <v/>
      </c>
      <c r="B680" s="9" t="str">
        <f>IFERROR(INDEX(Input!$L$20:$T$1019,INT((ROW()-9)/9)+1,MOD(ROW()-9,9)+1),"")</f>
        <v/>
      </c>
      <c r="C680" s="9">
        <f t="shared" si="10"/>
        <v>0</v>
      </c>
    </row>
    <row r="681" spans="1:3" x14ac:dyDescent="0.2">
      <c r="A681" s="10" t="str">
        <f>IF(673&gt;$C$9008,"",INDEX($B$9:$B$9008,MATCH(673,$C$9:$C$9008,0)))</f>
        <v/>
      </c>
      <c r="B681" s="9" t="str">
        <f>IFERROR(INDEX(Input!$L$20:$T$1019,INT((ROW()-9)/9)+1,MOD(ROW()-9,9)+1),"")</f>
        <v/>
      </c>
      <c r="C681" s="9">
        <f t="shared" si="10"/>
        <v>0</v>
      </c>
    </row>
    <row r="682" spans="1:3" x14ac:dyDescent="0.2">
      <c r="A682" s="10" t="str">
        <f>IF(674&gt;$C$9008,"",INDEX($B$9:$B$9008,MATCH(674,$C$9:$C$9008,0)))</f>
        <v/>
      </c>
      <c r="B682" s="9" t="str">
        <f>IFERROR(INDEX(Input!$L$20:$T$1019,INT((ROW()-9)/9)+1,MOD(ROW()-9,9)+1),"")</f>
        <v/>
      </c>
      <c r="C682" s="9">
        <f t="shared" si="10"/>
        <v>0</v>
      </c>
    </row>
    <row r="683" spans="1:3" x14ac:dyDescent="0.2">
      <c r="A683" s="10" t="str">
        <f>IF(675&gt;$C$9008,"",INDEX($B$9:$B$9008,MATCH(675,$C$9:$C$9008,0)))</f>
        <v/>
      </c>
      <c r="B683" s="9" t="str">
        <f>IFERROR(INDEX(Input!$L$20:$T$1019,INT((ROW()-9)/9)+1,MOD(ROW()-9,9)+1),"")</f>
        <v/>
      </c>
      <c r="C683" s="9">
        <f t="shared" si="10"/>
        <v>0</v>
      </c>
    </row>
    <row r="684" spans="1:3" x14ac:dyDescent="0.2">
      <c r="A684" s="10" t="str">
        <f>IF(676&gt;$C$9008,"",INDEX($B$9:$B$9008,MATCH(676,$C$9:$C$9008,0)))</f>
        <v/>
      </c>
      <c r="B684" s="9" t="str">
        <f>IFERROR(INDEX(Input!$L$20:$T$1019,INT((ROW()-9)/9)+1,MOD(ROW()-9,9)+1),"")</f>
        <v/>
      </c>
      <c r="C684" s="9">
        <f t="shared" si="10"/>
        <v>0</v>
      </c>
    </row>
    <row r="685" spans="1:3" x14ac:dyDescent="0.2">
      <c r="A685" s="10" t="str">
        <f>IF(677&gt;$C$9008,"",INDEX($B$9:$B$9008,MATCH(677,$C$9:$C$9008,0)))</f>
        <v/>
      </c>
      <c r="B685" s="9" t="str">
        <f>IFERROR(INDEX(Input!$L$20:$T$1019,INT((ROW()-9)/9)+1,MOD(ROW()-9,9)+1),"")</f>
        <v/>
      </c>
      <c r="C685" s="9">
        <f t="shared" si="10"/>
        <v>0</v>
      </c>
    </row>
    <row r="686" spans="1:3" x14ac:dyDescent="0.2">
      <c r="A686" s="10" t="str">
        <f>IF(678&gt;$C$9008,"",INDEX($B$9:$B$9008,MATCH(678,$C$9:$C$9008,0)))</f>
        <v/>
      </c>
      <c r="B686" s="9" t="str">
        <f>IFERROR(INDEX(Input!$L$20:$T$1019,INT((ROW()-9)/9)+1,MOD(ROW()-9,9)+1),"")</f>
        <v/>
      </c>
      <c r="C686" s="9">
        <f t="shared" si="10"/>
        <v>0</v>
      </c>
    </row>
    <row r="687" spans="1:3" x14ac:dyDescent="0.2">
      <c r="A687" s="10" t="str">
        <f>IF(679&gt;$C$9008,"",INDEX($B$9:$B$9008,MATCH(679,$C$9:$C$9008,0)))</f>
        <v/>
      </c>
      <c r="B687" s="9" t="str">
        <f>IFERROR(INDEX(Input!$L$20:$T$1019,INT((ROW()-9)/9)+1,MOD(ROW()-9,9)+1),"")</f>
        <v/>
      </c>
      <c r="C687" s="9">
        <f t="shared" si="10"/>
        <v>0</v>
      </c>
    </row>
    <row r="688" spans="1:3" x14ac:dyDescent="0.2">
      <c r="A688" s="10" t="str">
        <f>IF(680&gt;$C$9008,"",INDEX($B$9:$B$9008,MATCH(680,$C$9:$C$9008,0)))</f>
        <v/>
      </c>
      <c r="B688" s="9" t="str">
        <f>IFERROR(INDEX(Input!$L$20:$T$1019,INT((ROW()-9)/9)+1,MOD(ROW()-9,9)+1),"")</f>
        <v/>
      </c>
      <c r="C688" s="9">
        <f t="shared" si="10"/>
        <v>0</v>
      </c>
    </row>
    <row r="689" spans="1:3" x14ac:dyDescent="0.2">
      <c r="A689" s="10" t="str">
        <f>IF(681&gt;$C$9008,"",INDEX($B$9:$B$9008,MATCH(681,$C$9:$C$9008,0)))</f>
        <v/>
      </c>
      <c r="B689" s="9" t="str">
        <f>IFERROR(INDEX(Input!$L$20:$T$1019,INT((ROW()-9)/9)+1,MOD(ROW()-9,9)+1),"")</f>
        <v/>
      </c>
      <c r="C689" s="9">
        <f t="shared" si="10"/>
        <v>0</v>
      </c>
    </row>
    <row r="690" spans="1:3" x14ac:dyDescent="0.2">
      <c r="A690" s="10" t="str">
        <f>IF(682&gt;$C$9008,"",INDEX($B$9:$B$9008,MATCH(682,$C$9:$C$9008,0)))</f>
        <v/>
      </c>
      <c r="B690" s="9" t="str">
        <f>IFERROR(INDEX(Input!$L$20:$T$1019,INT((ROW()-9)/9)+1,MOD(ROW()-9,9)+1),"")</f>
        <v/>
      </c>
      <c r="C690" s="9">
        <f t="shared" si="10"/>
        <v>0</v>
      </c>
    </row>
    <row r="691" spans="1:3" x14ac:dyDescent="0.2">
      <c r="A691" s="10" t="str">
        <f>IF(683&gt;$C$9008,"",INDEX($B$9:$B$9008,MATCH(683,$C$9:$C$9008,0)))</f>
        <v/>
      </c>
      <c r="B691" s="9" t="str">
        <f>IFERROR(INDEX(Input!$L$20:$T$1019,INT((ROW()-9)/9)+1,MOD(ROW()-9,9)+1),"")</f>
        <v/>
      </c>
      <c r="C691" s="9">
        <f t="shared" si="10"/>
        <v>0</v>
      </c>
    </row>
    <row r="692" spans="1:3" x14ac:dyDescent="0.2">
      <c r="A692" s="10" t="str">
        <f>IF(684&gt;$C$9008,"",INDEX($B$9:$B$9008,MATCH(684,$C$9:$C$9008,0)))</f>
        <v/>
      </c>
      <c r="B692" s="9" t="str">
        <f>IFERROR(INDEX(Input!$L$20:$T$1019,INT((ROW()-9)/9)+1,MOD(ROW()-9,9)+1),"")</f>
        <v/>
      </c>
      <c r="C692" s="9">
        <f t="shared" si="10"/>
        <v>0</v>
      </c>
    </row>
    <row r="693" spans="1:3" x14ac:dyDescent="0.2">
      <c r="A693" s="10" t="str">
        <f>IF(685&gt;$C$9008,"",INDEX($B$9:$B$9008,MATCH(685,$C$9:$C$9008,0)))</f>
        <v/>
      </c>
      <c r="B693" s="9" t="str">
        <f>IFERROR(INDEX(Input!$L$20:$T$1019,INT((ROW()-9)/9)+1,MOD(ROW()-9,9)+1),"")</f>
        <v/>
      </c>
      <c r="C693" s="9">
        <f t="shared" si="10"/>
        <v>0</v>
      </c>
    </row>
    <row r="694" spans="1:3" x14ac:dyDescent="0.2">
      <c r="A694" s="10" t="str">
        <f>IF(686&gt;$C$9008,"",INDEX($B$9:$B$9008,MATCH(686,$C$9:$C$9008,0)))</f>
        <v/>
      </c>
      <c r="B694" s="9" t="str">
        <f>IFERROR(INDEX(Input!$L$20:$T$1019,INT((ROW()-9)/9)+1,MOD(ROW()-9,9)+1),"")</f>
        <v/>
      </c>
      <c r="C694" s="9">
        <f t="shared" si="10"/>
        <v>0</v>
      </c>
    </row>
    <row r="695" spans="1:3" x14ac:dyDescent="0.2">
      <c r="A695" s="10" t="str">
        <f>IF(687&gt;$C$9008,"",INDEX($B$9:$B$9008,MATCH(687,$C$9:$C$9008,0)))</f>
        <v/>
      </c>
      <c r="B695" s="9" t="str">
        <f>IFERROR(INDEX(Input!$L$20:$T$1019,INT((ROW()-9)/9)+1,MOD(ROW()-9,9)+1),"")</f>
        <v/>
      </c>
      <c r="C695" s="9">
        <f t="shared" si="10"/>
        <v>0</v>
      </c>
    </row>
    <row r="696" spans="1:3" x14ac:dyDescent="0.2">
      <c r="A696" s="10" t="str">
        <f>IF(688&gt;$C$9008,"",INDEX($B$9:$B$9008,MATCH(688,$C$9:$C$9008,0)))</f>
        <v/>
      </c>
      <c r="B696" s="9" t="str">
        <f>IFERROR(INDEX(Input!$L$20:$T$1019,INT((ROW()-9)/9)+1,MOD(ROW()-9,9)+1),"")</f>
        <v/>
      </c>
      <c r="C696" s="9">
        <f t="shared" si="10"/>
        <v>0</v>
      </c>
    </row>
    <row r="697" spans="1:3" x14ac:dyDescent="0.2">
      <c r="A697" s="10" t="str">
        <f>IF(689&gt;$C$9008,"",INDEX($B$9:$B$9008,MATCH(689,$C$9:$C$9008,0)))</f>
        <v/>
      </c>
      <c r="B697" s="9" t="str">
        <f>IFERROR(INDEX(Input!$L$20:$T$1019,INT((ROW()-9)/9)+1,MOD(ROW()-9,9)+1),"")</f>
        <v/>
      </c>
      <c r="C697" s="9">
        <f t="shared" si="10"/>
        <v>0</v>
      </c>
    </row>
    <row r="698" spans="1:3" x14ac:dyDescent="0.2">
      <c r="A698" s="10" t="str">
        <f>IF(690&gt;$C$9008,"",INDEX($B$9:$B$9008,MATCH(690,$C$9:$C$9008,0)))</f>
        <v/>
      </c>
      <c r="B698" s="9" t="str">
        <f>IFERROR(INDEX(Input!$L$20:$T$1019,INT((ROW()-9)/9)+1,MOD(ROW()-9,9)+1),"")</f>
        <v/>
      </c>
      <c r="C698" s="9">
        <f t="shared" si="10"/>
        <v>0</v>
      </c>
    </row>
    <row r="699" spans="1:3" x14ac:dyDescent="0.2">
      <c r="A699" s="10" t="str">
        <f>IF(691&gt;$C$9008,"",INDEX($B$9:$B$9008,MATCH(691,$C$9:$C$9008,0)))</f>
        <v/>
      </c>
      <c r="B699" s="9" t="str">
        <f>IFERROR(INDEX(Input!$L$20:$T$1019,INT((ROW()-9)/9)+1,MOD(ROW()-9,9)+1),"")</f>
        <v/>
      </c>
      <c r="C699" s="9">
        <f t="shared" si="10"/>
        <v>0</v>
      </c>
    </row>
    <row r="700" spans="1:3" x14ac:dyDescent="0.2">
      <c r="A700" s="10" t="str">
        <f>IF(692&gt;$C$9008,"",INDEX($B$9:$B$9008,MATCH(692,$C$9:$C$9008,0)))</f>
        <v/>
      </c>
      <c r="B700" s="9" t="str">
        <f>IFERROR(INDEX(Input!$L$20:$T$1019,INT((ROW()-9)/9)+1,MOD(ROW()-9,9)+1),"")</f>
        <v/>
      </c>
      <c r="C700" s="9">
        <f t="shared" si="10"/>
        <v>0</v>
      </c>
    </row>
    <row r="701" spans="1:3" x14ac:dyDescent="0.2">
      <c r="A701" s="10" t="str">
        <f>IF(693&gt;$C$9008,"",INDEX($B$9:$B$9008,MATCH(693,$C$9:$C$9008,0)))</f>
        <v/>
      </c>
      <c r="B701" s="9" t="str">
        <f>IFERROR(INDEX(Input!$L$20:$T$1019,INT((ROW()-9)/9)+1,MOD(ROW()-9,9)+1),"")</f>
        <v/>
      </c>
      <c r="C701" s="9">
        <f t="shared" si="10"/>
        <v>0</v>
      </c>
    </row>
    <row r="702" spans="1:3" x14ac:dyDescent="0.2">
      <c r="A702" s="10" t="str">
        <f>IF(694&gt;$C$9008,"",INDEX($B$9:$B$9008,MATCH(694,$C$9:$C$9008,0)))</f>
        <v/>
      </c>
      <c r="B702" s="9" t="str">
        <f>IFERROR(INDEX(Input!$L$20:$T$1019,INT((ROW()-9)/9)+1,MOD(ROW()-9,9)+1),"")</f>
        <v/>
      </c>
      <c r="C702" s="9">
        <f t="shared" si="10"/>
        <v>0</v>
      </c>
    </row>
    <row r="703" spans="1:3" x14ac:dyDescent="0.2">
      <c r="A703" s="10" t="str">
        <f>IF(695&gt;$C$9008,"",INDEX($B$9:$B$9008,MATCH(695,$C$9:$C$9008,0)))</f>
        <v/>
      </c>
      <c r="B703" s="9" t="str">
        <f>IFERROR(INDEX(Input!$L$20:$T$1019,INT((ROW()-9)/9)+1,MOD(ROW()-9,9)+1),"")</f>
        <v/>
      </c>
      <c r="C703" s="9">
        <f t="shared" si="10"/>
        <v>0</v>
      </c>
    </row>
    <row r="704" spans="1:3" x14ac:dyDescent="0.2">
      <c r="A704" s="10" t="str">
        <f>IF(696&gt;$C$9008,"",INDEX($B$9:$B$9008,MATCH(696,$C$9:$C$9008,0)))</f>
        <v/>
      </c>
      <c r="B704" s="9" t="str">
        <f>IFERROR(INDEX(Input!$L$20:$T$1019,INT((ROW()-9)/9)+1,MOD(ROW()-9,9)+1),"")</f>
        <v/>
      </c>
      <c r="C704" s="9">
        <f t="shared" si="10"/>
        <v>0</v>
      </c>
    </row>
    <row r="705" spans="1:3" x14ac:dyDescent="0.2">
      <c r="A705" s="10" t="str">
        <f>IF(697&gt;$C$9008,"",INDEX($B$9:$B$9008,MATCH(697,$C$9:$C$9008,0)))</f>
        <v/>
      </c>
      <c r="B705" s="9" t="str">
        <f>IFERROR(INDEX(Input!$L$20:$T$1019,INT((ROW()-9)/9)+1,MOD(ROW()-9,9)+1),"")</f>
        <v/>
      </c>
      <c r="C705" s="9">
        <f t="shared" si="10"/>
        <v>0</v>
      </c>
    </row>
    <row r="706" spans="1:3" x14ac:dyDescent="0.2">
      <c r="A706" s="10" t="str">
        <f>IF(698&gt;$C$9008,"",INDEX($B$9:$B$9008,MATCH(698,$C$9:$C$9008,0)))</f>
        <v/>
      </c>
      <c r="B706" s="9" t="str">
        <f>IFERROR(INDEX(Input!$L$20:$T$1019,INT((ROW()-9)/9)+1,MOD(ROW()-9,9)+1),"")</f>
        <v/>
      </c>
      <c r="C706" s="9">
        <f t="shared" si="10"/>
        <v>0</v>
      </c>
    </row>
    <row r="707" spans="1:3" x14ac:dyDescent="0.2">
      <c r="A707" s="10" t="str">
        <f>IF(699&gt;$C$9008,"",INDEX($B$9:$B$9008,MATCH(699,$C$9:$C$9008,0)))</f>
        <v/>
      </c>
      <c r="B707" s="9" t="str">
        <f>IFERROR(INDEX(Input!$L$20:$T$1019,INT((ROW()-9)/9)+1,MOD(ROW()-9,9)+1),"")</f>
        <v/>
      </c>
      <c r="C707" s="9">
        <f t="shared" si="10"/>
        <v>0</v>
      </c>
    </row>
    <row r="708" spans="1:3" x14ac:dyDescent="0.2">
      <c r="A708" s="10" t="str">
        <f>IF(700&gt;$C$9008,"",INDEX($B$9:$B$9008,MATCH(700,$C$9:$C$9008,0)))</f>
        <v/>
      </c>
      <c r="B708" s="9" t="str">
        <f>IFERROR(INDEX(Input!$L$20:$T$1019,INT((ROW()-9)/9)+1,MOD(ROW()-9,9)+1),"")</f>
        <v/>
      </c>
      <c r="C708" s="9">
        <f t="shared" si="10"/>
        <v>0</v>
      </c>
    </row>
    <row r="709" spans="1:3" x14ac:dyDescent="0.2">
      <c r="A709" s="10" t="str">
        <f>IF(701&gt;$C$9008,"",INDEX($B$9:$B$9008,MATCH(701,$C$9:$C$9008,0)))</f>
        <v/>
      </c>
      <c r="B709" s="9" t="str">
        <f>IFERROR(INDEX(Input!$L$20:$T$1019,INT((ROW()-9)/9)+1,MOD(ROW()-9,9)+1),"")</f>
        <v/>
      </c>
      <c r="C709" s="9">
        <f t="shared" si="10"/>
        <v>0</v>
      </c>
    </row>
    <row r="710" spans="1:3" x14ac:dyDescent="0.2">
      <c r="A710" s="10" t="str">
        <f>IF(702&gt;$C$9008,"",INDEX($B$9:$B$9008,MATCH(702,$C$9:$C$9008,0)))</f>
        <v/>
      </c>
      <c r="B710" s="9" t="str">
        <f>IFERROR(INDEX(Input!$L$20:$T$1019,INT((ROW()-9)/9)+1,MOD(ROW()-9,9)+1),"")</f>
        <v/>
      </c>
      <c r="C710" s="9">
        <f t="shared" si="10"/>
        <v>0</v>
      </c>
    </row>
    <row r="711" spans="1:3" x14ac:dyDescent="0.2">
      <c r="A711" s="10" t="str">
        <f>IF(703&gt;$C$9008,"",INDEX($B$9:$B$9008,MATCH(703,$C$9:$C$9008,0)))</f>
        <v/>
      </c>
      <c r="B711" s="9" t="str">
        <f>IFERROR(INDEX(Input!$L$20:$T$1019,INT((ROW()-9)/9)+1,MOD(ROW()-9,9)+1),"")</f>
        <v/>
      </c>
      <c r="C711" s="9">
        <f t="shared" si="10"/>
        <v>0</v>
      </c>
    </row>
    <row r="712" spans="1:3" x14ac:dyDescent="0.2">
      <c r="A712" s="10" t="str">
        <f>IF(704&gt;$C$9008,"",INDEX($B$9:$B$9008,MATCH(704,$C$9:$C$9008,0)))</f>
        <v/>
      </c>
      <c r="B712" s="9" t="str">
        <f>IFERROR(INDEX(Input!$L$20:$T$1019,INT((ROW()-9)/9)+1,MOD(ROW()-9,9)+1),"")</f>
        <v/>
      </c>
      <c r="C712" s="9">
        <f t="shared" si="10"/>
        <v>0</v>
      </c>
    </row>
    <row r="713" spans="1:3" x14ac:dyDescent="0.2">
      <c r="A713" s="10" t="str">
        <f>IF(705&gt;$C$9008,"",INDEX($B$9:$B$9008,MATCH(705,$C$9:$C$9008,0)))</f>
        <v/>
      </c>
      <c r="B713" s="9" t="str">
        <f>IFERROR(INDEX(Input!$L$20:$T$1019,INT((ROW()-9)/9)+1,MOD(ROW()-9,9)+1),"")</f>
        <v/>
      </c>
      <c r="C713" s="9">
        <f t="shared" ref="C713:C776" si="11">$C712+IF($B713&lt;&gt;"",1,0)</f>
        <v>0</v>
      </c>
    </row>
    <row r="714" spans="1:3" x14ac:dyDescent="0.2">
      <c r="A714" s="10" t="str">
        <f>IF(706&gt;$C$9008,"",INDEX($B$9:$B$9008,MATCH(706,$C$9:$C$9008,0)))</f>
        <v/>
      </c>
      <c r="B714" s="9" t="str">
        <f>IFERROR(INDEX(Input!$L$20:$T$1019,INT((ROW()-9)/9)+1,MOD(ROW()-9,9)+1),"")</f>
        <v/>
      </c>
      <c r="C714" s="9">
        <f t="shared" si="11"/>
        <v>0</v>
      </c>
    </row>
    <row r="715" spans="1:3" x14ac:dyDescent="0.2">
      <c r="A715" s="10" t="str">
        <f>IF(707&gt;$C$9008,"",INDEX($B$9:$B$9008,MATCH(707,$C$9:$C$9008,0)))</f>
        <v/>
      </c>
      <c r="B715" s="9" t="str">
        <f>IFERROR(INDEX(Input!$L$20:$T$1019,INT((ROW()-9)/9)+1,MOD(ROW()-9,9)+1),"")</f>
        <v/>
      </c>
      <c r="C715" s="9">
        <f t="shared" si="11"/>
        <v>0</v>
      </c>
    </row>
    <row r="716" spans="1:3" x14ac:dyDescent="0.2">
      <c r="A716" s="10" t="str">
        <f>IF(708&gt;$C$9008,"",INDEX($B$9:$B$9008,MATCH(708,$C$9:$C$9008,0)))</f>
        <v/>
      </c>
      <c r="B716" s="9" t="str">
        <f>IFERROR(INDEX(Input!$L$20:$T$1019,INT((ROW()-9)/9)+1,MOD(ROW()-9,9)+1),"")</f>
        <v/>
      </c>
      <c r="C716" s="9">
        <f t="shared" si="11"/>
        <v>0</v>
      </c>
    </row>
    <row r="717" spans="1:3" x14ac:dyDescent="0.2">
      <c r="A717" s="10" t="str">
        <f>IF(709&gt;$C$9008,"",INDEX($B$9:$B$9008,MATCH(709,$C$9:$C$9008,0)))</f>
        <v/>
      </c>
      <c r="B717" s="9" t="str">
        <f>IFERROR(INDEX(Input!$L$20:$T$1019,INT((ROW()-9)/9)+1,MOD(ROW()-9,9)+1),"")</f>
        <v/>
      </c>
      <c r="C717" s="9">
        <f t="shared" si="11"/>
        <v>0</v>
      </c>
    </row>
    <row r="718" spans="1:3" x14ac:dyDescent="0.2">
      <c r="A718" s="10" t="str">
        <f>IF(710&gt;$C$9008,"",INDEX($B$9:$B$9008,MATCH(710,$C$9:$C$9008,0)))</f>
        <v/>
      </c>
      <c r="B718" s="9" t="str">
        <f>IFERROR(INDEX(Input!$L$20:$T$1019,INT((ROW()-9)/9)+1,MOD(ROW()-9,9)+1),"")</f>
        <v/>
      </c>
      <c r="C718" s="9">
        <f t="shared" si="11"/>
        <v>0</v>
      </c>
    </row>
    <row r="719" spans="1:3" x14ac:dyDescent="0.2">
      <c r="A719" s="10" t="str">
        <f>IF(711&gt;$C$9008,"",INDEX($B$9:$B$9008,MATCH(711,$C$9:$C$9008,0)))</f>
        <v/>
      </c>
      <c r="B719" s="9" t="str">
        <f>IFERROR(INDEX(Input!$L$20:$T$1019,INT((ROW()-9)/9)+1,MOD(ROW()-9,9)+1),"")</f>
        <v/>
      </c>
      <c r="C719" s="9">
        <f t="shared" si="11"/>
        <v>0</v>
      </c>
    </row>
    <row r="720" spans="1:3" x14ac:dyDescent="0.2">
      <c r="A720" s="10" t="str">
        <f>IF(712&gt;$C$9008,"",INDEX($B$9:$B$9008,MATCH(712,$C$9:$C$9008,0)))</f>
        <v/>
      </c>
      <c r="B720" s="9" t="str">
        <f>IFERROR(INDEX(Input!$L$20:$T$1019,INT((ROW()-9)/9)+1,MOD(ROW()-9,9)+1),"")</f>
        <v/>
      </c>
      <c r="C720" s="9">
        <f t="shared" si="11"/>
        <v>0</v>
      </c>
    </row>
    <row r="721" spans="1:3" x14ac:dyDescent="0.2">
      <c r="A721" s="10" t="str">
        <f>IF(713&gt;$C$9008,"",INDEX($B$9:$B$9008,MATCH(713,$C$9:$C$9008,0)))</f>
        <v/>
      </c>
      <c r="B721" s="9" t="str">
        <f>IFERROR(INDEX(Input!$L$20:$T$1019,INT((ROW()-9)/9)+1,MOD(ROW()-9,9)+1),"")</f>
        <v/>
      </c>
      <c r="C721" s="9">
        <f t="shared" si="11"/>
        <v>0</v>
      </c>
    </row>
    <row r="722" spans="1:3" x14ac:dyDescent="0.2">
      <c r="A722" s="10" t="str">
        <f>IF(714&gt;$C$9008,"",INDEX($B$9:$B$9008,MATCH(714,$C$9:$C$9008,0)))</f>
        <v/>
      </c>
      <c r="B722" s="9" t="str">
        <f>IFERROR(INDEX(Input!$L$20:$T$1019,INT((ROW()-9)/9)+1,MOD(ROW()-9,9)+1),"")</f>
        <v/>
      </c>
      <c r="C722" s="9">
        <f t="shared" si="11"/>
        <v>0</v>
      </c>
    </row>
    <row r="723" spans="1:3" x14ac:dyDescent="0.2">
      <c r="A723" s="10" t="str">
        <f>IF(715&gt;$C$9008,"",INDEX($B$9:$B$9008,MATCH(715,$C$9:$C$9008,0)))</f>
        <v/>
      </c>
      <c r="B723" s="9" t="str">
        <f>IFERROR(INDEX(Input!$L$20:$T$1019,INT((ROW()-9)/9)+1,MOD(ROW()-9,9)+1),"")</f>
        <v/>
      </c>
      <c r="C723" s="9">
        <f t="shared" si="11"/>
        <v>0</v>
      </c>
    </row>
    <row r="724" spans="1:3" x14ac:dyDescent="0.2">
      <c r="A724" s="10" t="str">
        <f>IF(716&gt;$C$9008,"",INDEX($B$9:$B$9008,MATCH(716,$C$9:$C$9008,0)))</f>
        <v/>
      </c>
      <c r="B724" s="9" t="str">
        <f>IFERROR(INDEX(Input!$L$20:$T$1019,INT((ROW()-9)/9)+1,MOD(ROW()-9,9)+1),"")</f>
        <v/>
      </c>
      <c r="C724" s="9">
        <f t="shared" si="11"/>
        <v>0</v>
      </c>
    </row>
    <row r="725" spans="1:3" x14ac:dyDescent="0.2">
      <c r="A725" s="10" t="str">
        <f>IF(717&gt;$C$9008,"",INDEX($B$9:$B$9008,MATCH(717,$C$9:$C$9008,0)))</f>
        <v/>
      </c>
      <c r="B725" s="9" t="str">
        <f>IFERROR(INDEX(Input!$L$20:$T$1019,INT((ROW()-9)/9)+1,MOD(ROW()-9,9)+1),"")</f>
        <v/>
      </c>
      <c r="C725" s="9">
        <f t="shared" si="11"/>
        <v>0</v>
      </c>
    </row>
    <row r="726" spans="1:3" x14ac:dyDescent="0.2">
      <c r="A726" s="10" t="str">
        <f>IF(718&gt;$C$9008,"",INDEX($B$9:$B$9008,MATCH(718,$C$9:$C$9008,0)))</f>
        <v/>
      </c>
      <c r="B726" s="9" t="str">
        <f>IFERROR(INDEX(Input!$L$20:$T$1019,INT((ROW()-9)/9)+1,MOD(ROW()-9,9)+1),"")</f>
        <v/>
      </c>
      <c r="C726" s="9">
        <f t="shared" si="11"/>
        <v>0</v>
      </c>
    </row>
    <row r="727" spans="1:3" x14ac:dyDescent="0.2">
      <c r="A727" s="10" t="str">
        <f>IF(719&gt;$C$9008,"",INDEX($B$9:$B$9008,MATCH(719,$C$9:$C$9008,0)))</f>
        <v/>
      </c>
      <c r="B727" s="9" t="str">
        <f>IFERROR(INDEX(Input!$L$20:$T$1019,INT((ROW()-9)/9)+1,MOD(ROW()-9,9)+1),"")</f>
        <v/>
      </c>
      <c r="C727" s="9">
        <f t="shared" si="11"/>
        <v>0</v>
      </c>
    </row>
    <row r="728" spans="1:3" x14ac:dyDescent="0.2">
      <c r="A728" s="10" t="str">
        <f>IF(720&gt;$C$9008,"",INDEX($B$9:$B$9008,MATCH(720,$C$9:$C$9008,0)))</f>
        <v/>
      </c>
      <c r="B728" s="9" t="str">
        <f>IFERROR(INDEX(Input!$L$20:$T$1019,INT((ROW()-9)/9)+1,MOD(ROW()-9,9)+1),"")</f>
        <v/>
      </c>
      <c r="C728" s="9">
        <f t="shared" si="11"/>
        <v>0</v>
      </c>
    </row>
    <row r="729" spans="1:3" x14ac:dyDescent="0.2">
      <c r="A729" s="10" t="str">
        <f>IF(721&gt;$C$9008,"",INDEX($B$9:$B$9008,MATCH(721,$C$9:$C$9008,0)))</f>
        <v/>
      </c>
      <c r="B729" s="9" t="str">
        <f>IFERROR(INDEX(Input!$L$20:$T$1019,INT((ROW()-9)/9)+1,MOD(ROW()-9,9)+1),"")</f>
        <v/>
      </c>
      <c r="C729" s="9">
        <f t="shared" si="11"/>
        <v>0</v>
      </c>
    </row>
    <row r="730" spans="1:3" x14ac:dyDescent="0.2">
      <c r="A730" s="10" t="str">
        <f>IF(722&gt;$C$9008,"",INDEX($B$9:$B$9008,MATCH(722,$C$9:$C$9008,0)))</f>
        <v/>
      </c>
      <c r="B730" s="9" t="str">
        <f>IFERROR(INDEX(Input!$L$20:$T$1019,INT((ROW()-9)/9)+1,MOD(ROW()-9,9)+1),"")</f>
        <v/>
      </c>
      <c r="C730" s="9">
        <f t="shared" si="11"/>
        <v>0</v>
      </c>
    </row>
    <row r="731" spans="1:3" x14ac:dyDescent="0.2">
      <c r="A731" s="10" t="str">
        <f>IF(723&gt;$C$9008,"",INDEX($B$9:$B$9008,MATCH(723,$C$9:$C$9008,0)))</f>
        <v/>
      </c>
      <c r="B731" s="9" t="str">
        <f>IFERROR(INDEX(Input!$L$20:$T$1019,INT((ROW()-9)/9)+1,MOD(ROW()-9,9)+1),"")</f>
        <v/>
      </c>
      <c r="C731" s="9">
        <f t="shared" si="11"/>
        <v>0</v>
      </c>
    </row>
    <row r="732" spans="1:3" x14ac:dyDescent="0.2">
      <c r="A732" s="10" t="str">
        <f>IF(724&gt;$C$9008,"",INDEX($B$9:$B$9008,MATCH(724,$C$9:$C$9008,0)))</f>
        <v/>
      </c>
      <c r="B732" s="9" t="str">
        <f>IFERROR(INDEX(Input!$L$20:$T$1019,INT((ROW()-9)/9)+1,MOD(ROW()-9,9)+1),"")</f>
        <v/>
      </c>
      <c r="C732" s="9">
        <f t="shared" si="11"/>
        <v>0</v>
      </c>
    </row>
    <row r="733" spans="1:3" x14ac:dyDescent="0.2">
      <c r="A733" s="10" t="str">
        <f>IF(725&gt;$C$9008,"",INDEX($B$9:$B$9008,MATCH(725,$C$9:$C$9008,0)))</f>
        <v/>
      </c>
      <c r="B733" s="9" t="str">
        <f>IFERROR(INDEX(Input!$L$20:$T$1019,INT((ROW()-9)/9)+1,MOD(ROW()-9,9)+1),"")</f>
        <v/>
      </c>
      <c r="C733" s="9">
        <f t="shared" si="11"/>
        <v>0</v>
      </c>
    </row>
    <row r="734" spans="1:3" x14ac:dyDescent="0.2">
      <c r="A734" s="10" t="str">
        <f>IF(726&gt;$C$9008,"",INDEX($B$9:$B$9008,MATCH(726,$C$9:$C$9008,0)))</f>
        <v/>
      </c>
      <c r="B734" s="9" t="str">
        <f>IFERROR(INDEX(Input!$L$20:$T$1019,INT((ROW()-9)/9)+1,MOD(ROW()-9,9)+1),"")</f>
        <v/>
      </c>
      <c r="C734" s="9">
        <f t="shared" si="11"/>
        <v>0</v>
      </c>
    </row>
    <row r="735" spans="1:3" x14ac:dyDescent="0.2">
      <c r="A735" s="10" t="str">
        <f>IF(727&gt;$C$9008,"",INDEX($B$9:$B$9008,MATCH(727,$C$9:$C$9008,0)))</f>
        <v/>
      </c>
      <c r="B735" s="9" t="str">
        <f>IFERROR(INDEX(Input!$L$20:$T$1019,INT((ROW()-9)/9)+1,MOD(ROW()-9,9)+1),"")</f>
        <v/>
      </c>
      <c r="C735" s="9">
        <f t="shared" si="11"/>
        <v>0</v>
      </c>
    </row>
    <row r="736" spans="1:3" x14ac:dyDescent="0.2">
      <c r="A736" s="10" t="str">
        <f>IF(728&gt;$C$9008,"",INDEX($B$9:$B$9008,MATCH(728,$C$9:$C$9008,0)))</f>
        <v/>
      </c>
      <c r="B736" s="9" t="str">
        <f>IFERROR(INDEX(Input!$L$20:$T$1019,INT((ROW()-9)/9)+1,MOD(ROW()-9,9)+1),"")</f>
        <v/>
      </c>
      <c r="C736" s="9">
        <f t="shared" si="11"/>
        <v>0</v>
      </c>
    </row>
    <row r="737" spans="1:3" x14ac:dyDescent="0.2">
      <c r="A737" s="10" t="str">
        <f>IF(729&gt;$C$9008,"",INDEX($B$9:$B$9008,MATCH(729,$C$9:$C$9008,0)))</f>
        <v/>
      </c>
      <c r="B737" s="9" t="str">
        <f>IFERROR(INDEX(Input!$L$20:$T$1019,INT((ROW()-9)/9)+1,MOD(ROW()-9,9)+1),"")</f>
        <v/>
      </c>
      <c r="C737" s="9">
        <f t="shared" si="11"/>
        <v>0</v>
      </c>
    </row>
    <row r="738" spans="1:3" x14ac:dyDescent="0.2">
      <c r="A738" s="10" t="str">
        <f>IF(730&gt;$C$9008,"",INDEX($B$9:$B$9008,MATCH(730,$C$9:$C$9008,0)))</f>
        <v/>
      </c>
      <c r="B738" s="9" t="str">
        <f>IFERROR(INDEX(Input!$L$20:$T$1019,INT((ROW()-9)/9)+1,MOD(ROW()-9,9)+1),"")</f>
        <v/>
      </c>
      <c r="C738" s="9">
        <f t="shared" si="11"/>
        <v>0</v>
      </c>
    </row>
    <row r="739" spans="1:3" x14ac:dyDescent="0.2">
      <c r="A739" s="10" t="str">
        <f>IF(731&gt;$C$9008,"",INDEX($B$9:$B$9008,MATCH(731,$C$9:$C$9008,0)))</f>
        <v/>
      </c>
      <c r="B739" s="9" t="str">
        <f>IFERROR(INDEX(Input!$L$20:$T$1019,INT((ROW()-9)/9)+1,MOD(ROW()-9,9)+1),"")</f>
        <v/>
      </c>
      <c r="C739" s="9">
        <f t="shared" si="11"/>
        <v>0</v>
      </c>
    </row>
    <row r="740" spans="1:3" x14ac:dyDescent="0.2">
      <c r="A740" s="10" t="str">
        <f>IF(732&gt;$C$9008,"",INDEX($B$9:$B$9008,MATCH(732,$C$9:$C$9008,0)))</f>
        <v/>
      </c>
      <c r="B740" s="9" t="str">
        <f>IFERROR(INDEX(Input!$L$20:$T$1019,INT((ROW()-9)/9)+1,MOD(ROW()-9,9)+1),"")</f>
        <v/>
      </c>
      <c r="C740" s="9">
        <f t="shared" si="11"/>
        <v>0</v>
      </c>
    </row>
    <row r="741" spans="1:3" x14ac:dyDescent="0.2">
      <c r="A741" s="10" t="str">
        <f>IF(733&gt;$C$9008,"",INDEX($B$9:$B$9008,MATCH(733,$C$9:$C$9008,0)))</f>
        <v/>
      </c>
      <c r="B741" s="9" t="str">
        <f>IFERROR(INDEX(Input!$L$20:$T$1019,INT((ROW()-9)/9)+1,MOD(ROW()-9,9)+1),"")</f>
        <v/>
      </c>
      <c r="C741" s="9">
        <f t="shared" si="11"/>
        <v>0</v>
      </c>
    </row>
    <row r="742" spans="1:3" x14ac:dyDescent="0.2">
      <c r="A742" s="10" t="str">
        <f>IF(734&gt;$C$9008,"",INDEX($B$9:$B$9008,MATCH(734,$C$9:$C$9008,0)))</f>
        <v/>
      </c>
      <c r="B742" s="9" t="str">
        <f>IFERROR(INDEX(Input!$L$20:$T$1019,INT((ROW()-9)/9)+1,MOD(ROW()-9,9)+1),"")</f>
        <v/>
      </c>
      <c r="C742" s="9">
        <f t="shared" si="11"/>
        <v>0</v>
      </c>
    </row>
    <row r="743" spans="1:3" x14ac:dyDescent="0.2">
      <c r="A743" s="10" t="str">
        <f>IF(735&gt;$C$9008,"",INDEX($B$9:$B$9008,MATCH(735,$C$9:$C$9008,0)))</f>
        <v/>
      </c>
      <c r="B743" s="9" t="str">
        <f>IFERROR(INDEX(Input!$L$20:$T$1019,INT((ROW()-9)/9)+1,MOD(ROW()-9,9)+1),"")</f>
        <v/>
      </c>
      <c r="C743" s="9">
        <f t="shared" si="11"/>
        <v>0</v>
      </c>
    </row>
    <row r="744" spans="1:3" x14ac:dyDescent="0.2">
      <c r="A744" s="10" t="str">
        <f>IF(736&gt;$C$9008,"",INDEX($B$9:$B$9008,MATCH(736,$C$9:$C$9008,0)))</f>
        <v/>
      </c>
      <c r="B744" s="9" t="str">
        <f>IFERROR(INDEX(Input!$L$20:$T$1019,INT((ROW()-9)/9)+1,MOD(ROW()-9,9)+1),"")</f>
        <v/>
      </c>
      <c r="C744" s="9">
        <f t="shared" si="11"/>
        <v>0</v>
      </c>
    </row>
    <row r="745" spans="1:3" x14ac:dyDescent="0.2">
      <c r="A745" s="10" t="str">
        <f>IF(737&gt;$C$9008,"",INDEX($B$9:$B$9008,MATCH(737,$C$9:$C$9008,0)))</f>
        <v/>
      </c>
      <c r="B745" s="9" t="str">
        <f>IFERROR(INDEX(Input!$L$20:$T$1019,INT((ROW()-9)/9)+1,MOD(ROW()-9,9)+1),"")</f>
        <v/>
      </c>
      <c r="C745" s="9">
        <f t="shared" si="11"/>
        <v>0</v>
      </c>
    </row>
    <row r="746" spans="1:3" x14ac:dyDescent="0.2">
      <c r="A746" s="10" t="str">
        <f>IF(738&gt;$C$9008,"",INDEX($B$9:$B$9008,MATCH(738,$C$9:$C$9008,0)))</f>
        <v/>
      </c>
      <c r="B746" s="9" t="str">
        <f>IFERROR(INDEX(Input!$L$20:$T$1019,INT((ROW()-9)/9)+1,MOD(ROW()-9,9)+1),"")</f>
        <v/>
      </c>
      <c r="C746" s="9">
        <f t="shared" si="11"/>
        <v>0</v>
      </c>
    </row>
    <row r="747" spans="1:3" x14ac:dyDescent="0.2">
      <c r="A747" s="10" t="str">
        <f>IF(739&gt;$C$9008,"",INDEX($B$9:$B$9008,MATCH(739,$C$9:$C$9008,0)))</f>
        <v/>
      </c>
      <c r="B747" s="9" t="str">
        <f>IFERROR(INDEX(Input!$L$20:$T$1019,INT((ROW()-9)/9)+1,MOD(ROW()-9,9)+1),"")</f>
        <v/>
      </c>
      <c r="C747" s="9">
        <f t="shared" si="11"/>
        <v>0</v>
      </c>
    </row>
    <row r="748" spans="1:3" x14ac:dyDescent="0.2">
      <c r="A748" s="10" t="str">
        <f>IF(740&gt;$C$9008,"",INDEX($B$9:$B$9008,MATCH(740,$C$9:$C$9008,0)))</f>
        <v/>
      </c>
      <c r="B748" s="9" t="str">
        <f>IFERROR(INDEX(Input!$L$20:$T$1019,INT((ROW()-9)/9)+1,MOD(ROW()-9,9)+1),"")</f>
        <v/>
      </c>
      <c r="C748" s="9">
        <f t="shared" si="11"/>
        <v>0</v>
      </c>
    </row>
    <row r="749" spans="1:3" x14ac:dyDescent="0.2">
      <c r="A749" s="10" t="str">
        <f>IF(741&gt;$C$9008,"",INDEX($B$9:$B$9008,MATCH(741,$C$9:$C$9008,0)))</f>
        <v/>
      </c>
      <c r="B749" s="9" t="str">
        <f>IFERROR(INDEX(Input!$L$20:$T$1019,INT((ROW()-9)/9)+1,MOD(ROW()-9,9)+1),"")</f>
        <v/>
      </c>
      <c r="C749" s="9">
        <f t="shared" si="11"/>
        <v>0</v>
      </c>
    </row>
    <row r="750" spans="1:3" x14ac:dyDescent="0.2">
      <c r="A750" s="10" t="str">
        <f>IF(742&gt;$C$9008,"",INDEX($B$9:$B$9008,MATCH(742,$C$9:$C$9008,0)))</f>
        <v/>
      </c>
      <c r="B750" s="9" t="str">
        <f>IFERROR(INDEX(Input!$L$20:$T$1019,INT((ROW()-9)/9)+1,MOD(ROW()-9,9)+1),"")</f>
        <v/>
      </c>
      <c r="C750" s="9">
        <f t="shared" si="11"/>
        <v>0</v>
      </c>
    </row>
    <row r="751" spans="1:3" x14ac:dyDescent="0.2">
      <c r="A751" s="10" t="str">
        <f>IF(743&gt;$C$9008,"",INDEX($B$9:$B$9008,MATCH(743,$C$9:$C$9008,0)))</f>
        <v/>
      </c>
      <c r="B751" s="9" t="str">
        <f>IFERROR(INDEX(Input!$L$20:$T$1019,INT((ROW()-9)/9)+1,MOD(ROW()-9,9)+1),"")</f>
        <v/>
      </c>
      <c r="C751" s="9">
        <f t="shared" si="11"/>
        <v>0</v>
      </c>
    </row>
    <row r="752" spans="1:3" x14ac:dyDescent="0.2">
      <c r="A752" s="10" t="str">
        <f>IF(744&gt;$C$9008,"",INDEX($B$9:$B$9008,MATCH(744,$C$9:$C$9008,0)))</f>
        <v/>
      </c>
      <c r="B752" s="9" t="str">
        <f>IFERROR(INDEX(Input!$L$20:$T$1019,INT((ROW()-9)/9)+1,MOD(ROW()-9,9)+1),"")</f>
        <v/>
      </c>
      <c r="C752" s="9">
        <f t="shared" si="11"/>
        <v>0</v>
      </c>
    </row>
    <row r="753" spans="1:3" x14ac:dyDescent="0.2">
      <c r="A753" s="10" t="str">
        <f>IF(745&gt;$C$9008,"",INDEX($B$9:$B$9008,MATCH(745,$C$9:$C$9008,0)))</f>
        <v/>
      </c>
      <c r="B753" s="9" t="str">
        <f>IFERROR(INDEX(Input!$L$20:$T$1019,INT((ROW()-9)/9)+1,MOD(ROW()-9,9)+1),"")</f>
        <v/>
      </c>
      <c r="C753" s="9">
        <f t="shared" si="11"/>
        <v>0</v>
      </c>
    </row>
    <row r="754" spans="1:3" x14ac:dyDescent="0.2">
      <c r="A754" s="10" t="str">
        <f>IF(746&gt;$C$9008,"",INDEX($B$9:$B$9008,MATCH(746,$C$9:$C$9008,0)))</f>
        <v/>
      </c>
      <c r="B754" s="9" t="str">
        <f>IFERROR(INDEX(Input!$L$20:$T$1019,INT((ROW()-9)/9)+1,MOD(ROW()-9,9)+1),"")</f>
        <v/>
      </c>
      <c r="C754" s="9">
        <f t="shared" si="11"/>
        <v>0</v>
      </c>
    </row>
    <row r="755" spans="1:3" x14ac:dyDescent="0.2">
      <c r="A755" s="10" t="str">
        <f>IF(747&gt;$C$9008,"",INDEX($B$9:$B$9008,MATCH(747,$C$9:$C$9008,0)))</f>
        <v/>
      </c>
      <c r="B755" s="9" t="str">
        <f>IFERROR(INDEX(Input!$L$20:$T$1019,INT((ROW()-9)/9)+1,MOD(ROW()-9,9)+1),"")</f>
        <v/>
      </c>
      <c r="C755" s="9">
        <f t="shared" si="11"/>
        <v>0</v>
      </c>
    </row>
    <row r="756" spans="1:3" x14ac:dyDescent="0.2">
      <c r="A756" s="10" t="str">
        <f>IF(748&gt;$C$9008,"",INDEX($B$9:$B$9008,MATCH(748,$C$9:$C$9008,0)))</f>
        <v/>
      </c>
      <c r="B756" s="9" t="str">
        <f>IFERROR(INDEX(Input!$L$20:$T$1019,INT((ROW()-9)/9)+1,MOD(ROW()-9,9)+1),"")</f>
        <v/>
      </c>
      <c r="C756" s="9">
        <f t="shared" si="11"/>
        <v>0</v>
      </c>
    </row>
    <row r="757" spans="1:3" x14ac:dyDescent="0.2">
      <c r="A757" s="10" t="str">
        <f>IF(749&gt;$C$9008,"",INDEX($B$9:$B$9008,MATCH(749,$C$9:$C$9008,0)))</f>
        <v/>
      </c>
      <c r="B757" s="9" t="str">
        <f>IFERROR(INDEX(Input!$L$20:$T$1019,INT((ROW()-9)/9)+1,MOD(ROW()-9,9)+1),"")</f>
        <v/>
      </c>
      <c r="C757" s="9">
        <f t="shared" si="11"/>
        <v>0</v>
      </c>
    </row>
    <row r="758" spans="1:3" x14ac:dyDescent="0.2">
      <c r="A758" s="10" t="str">
        <f>IF(750&gt;$C$9008,"",INDEX($B$9:$B$9008,MATCH(750,$C$9:$C$9008,0)))</f>
        <v/>
      </c>
      <c r="B758" s="9" t="str">
        <f>IFERROR(INDEX(Input!$L$20:$T$1019,INT((ROW()-9)/9)+1,MOD(ROW()-9,9)+1),"")</f>
        <v/>
      </c>
      <c r="C758" s="9">
        <f t="shared" si="11"/>
        <v>0</v>
      </c>
    </row>
    <row r="759" spans="1:3" x14ac:dyDescent="0.2">
      <c r="A759" s="10" t="str">
        <f>IF(751&gt;$C$9008,"",INDEX($B$9:$B$9008,MATCH(751,$C$9:$C$9008,0)))</f>
        <v/>
      </c>
      <c r="B759" s="9" t="str">
        <f>IFERROR(INDEX(Input!$L$20:$T$1019,INT((ROW()-9)/9)+1,MOD(ROW()-9,9)+1),"")</f>
        <v/>
      </c>
      <c r="C759" s="9">
        <f t="shared" si="11"/>
        <v>0</v>
      </c>
    </row>
    <row r="760" spans="1:3" x14ac:dyDescent="0.2">
      <c r="A760" s="10" t="str">
        <f>IF(752&gt;$C$9008,"",INDEX($B$9:$B$9008,MATCH(752,$C$9:$C$9008,0)))</f>
        <v/>
      </c>
      <c r="B760" s="9" t="str">
        <f>IFERROR(INDEX(Input!$L$20:$T$1019,INT((ROW()-9)/9)+1,MOD(ROW()-9,9)+1),"")</f>
        <v/>
      </c>
      <c r="C760" s="9">
        <f t="shared" si="11"/>
        <v>0</v>
      </c>
    </row>
    <row r="761" spans="1:3" x14ac:dyDescent="0.2">
      <c r="A761" s="10" t="str">
        <f>IF(753&gt;$C$9008,"",INDEX($B$9:$B$9008,MATCH(753,$C$9:$C$9008,0)))</f>
        <v/>
      </c>
      <c r="B761" s="9" t="str">
        <f>IFERROR(INDEX(Input!$L$20:$T$1019,INT((ROW()-9)/9)+1,MOD(ROW()-9,9)+1),"")</f>
        <v/>
      </c>
      <c r="C761" s="9">
        <f t="shared" si="11"/>
        <v>0</v>
      </c>
    </row>
    <row r="762" spans="1:3" x14ac:dyDescent="0.2">
      <c r="A762" s="10" t="str">
        <f>IF(754&gt;$C$9008,"",INDEX($B$9:$B$9008,MATCH(754,$C$9:$C$9008,0)))</f>
        <v/>
      </c>
      <c r="B762" s="9" t="str">
        <f>IFERROR(INDEX(Input!$L$20:$T$1019,INT((ROW()-9)/9)+1,MOD(ROW()-9,9)+1),"")</f>
        <v/>
      </c>
      <c r="C762" s="9">
        <f t="shared" si="11"/>
        <v>0</v>
      </c>
    </row>
    <row r="763" spans="1:3" x14ac:dyDescent="0.2">
      <c r="A763" s="10" t="str">
        <f>IF(755&gt;$C$9008,"",INDEX($B$9:$B$9008,MATCH(755,$C$9:$C$9008,0)))</f>
        <v/>
      </c>
      <c r="B763" s="9" t="str">
        <f>IFERROR(INDEX(Input!$L$20:$T$1019,INT((ROW()-9)/9)+1,MOD(ROW()-9,9)+1),"")</f>
        <v/>
      </c>
      <c r="C763" s="9">
        <f t="shared" si="11"/>
        <v>0</v>
      </c>
    </row>
    <row r="764" spans="1:3" x14ac:dyDescent="0.2">
      <c r="A764" s="10" t="str">
        <f>IF(756&gt;$C$9008,"",INDEX($B$9:$B$9008,MATCH(756,$C$9:$C$9008,0)))</f>
        <v/>
      </c>
      <c r="B764" s="9" t="str">
        <f>IFERROR(INDEX(Input!$L$20:$T$1019,INT((ROW()-9)/9)+1,MOD(ROW()-9,9)+1),"")</f>
        <v/>
      </c>
      <c r="C764" s="9">
        <f t="shared" si="11"/>
        <v>0</v>
      </c>
    </row>
    <row r="765" spans="1:3" x14ac:dyDescent="0.2">
      <c r="A765" s="10" t="str">
        <f>IF(757&gt;$C$9008,"",INDEX($B$9:$B$9008,MATCH(757,$C$9:$C$9008,0)))</f>
        <v/>
      </c>
      <c r="B765" s="9" t="str">
        <f>IFERROR(INDEX(Input!$L$20:$T$1019,INT((ROW()-9)/9)+1,MOD(ROW()-9,9)+1),"")</f>
        <v/>
      </c>
      <c r="C765" s="9">
        <f t="shared" si="11"/>
        <v>0</v>
      </c>
    </row>
    <row r="766" spans="1:3" x14ac:dyDescent="0.2">
      <c r="A766" s="10" t="str">
        <f>IF(758&gt;$C$9008,"",INDEX($B$9:$B$9008,MATCH(758,$C$9:$C$9008,0)))</f>
        <v/>
      </c>
      <c r="B766" s="9" t="str">
        <f>IFERROR(INDEX(Input!$L$20:$T$1019,INT((ROW()-9)/9)+1,MOD(ROW()-9,9)+1),"")</f>
        <v/>
      </c>
      <c r="C766" s="9">
        <f t="shared" si="11"/>
        <v>0</v>
      </c>
    </row>
    <row r="767" spans="1:3" x14ac:dyDescent="0.2">
      <c r="A767" s="10" t="str">
        <f>IF(759&gt;$C$9008,"",INDEX($B$9:$B$9008,MATCH(759,$C$9:$C$9008,0)))</f>
        <v/>
      </c>
      <c r="B767" s="9" t="str">
        <f>IFERROR(INDEX(Input!$L$20:$T$1019,INT((ROW()-9)/9)+1,MOD(ROW()-9,9)+1),"")</f>
        <v/>
      </c>
      <c r="C767" s="9">
        <f t="shared" si="11"/>
        <v>0</v>
      </c>
    </row>
    <row r="768" spans="1:3" x14ac:dyDescent="0.2">
      <c r="A768" s="10" t="str">
        <f>IF(760&gt;$C$9008,"",INDEX($B$9:$B$9008,MATCH(760,$C$9:$C$9008,0)))</f>
        <v/>
      </c>
      <c r="B768" s="9" t="str">
        <f>IFERROR(INDEX(Input!$L$20:$T$1019,INT((ROW()-9)/9)+1,MOD(ROW()-9,9)+1),"")</f>
        <v/>
      </c>
      <c r="C768" s="9">
        <f t="shared" si="11"/>
        <v>0</v>
      </c>
    </row>
    <row r="769" spans="1:3" x14ac:dyDescent="0.2">
      <c r="A769" s="10" t="str">
        <f>IF(761&gt;$C$9008,"",INDEX($B$9:$B$9008,MATCH(761,$C$9:$C$9008,0)))</f>
        <v/>
      </c>
      <c r="B769" s="9" t="str">
        <f>IFERROR(INDEX(Input!$L$20:$T$1019,INT((ROW()-9)/9)+1,MOD(ROW()-9,9)+1),"")</f>
        <v/>
      </c>
      <c r="C769" s="9">
        <f t="shared" si="11"/>
        <v>0</v>
      </c>
    </row>
    <row r="770" spans="1:3" x14ac:dyDescent="0.2">
      <c r="A770" s="10" t="str">
        <f>IF(762&gt;$C$9008,"",INDEX($B$9:$B$9008,MATCH(762,$C$9:$C$9008,0)))</f>
        <v/>
      </c>
      <c r="B770" s="9" t="str">
        <f>IFERROR(INDEX(Input!$L$20:$T$1019,INT((ROW()-9)/9)+1,MOD(ROW()-9,9)+1),"")</f>
        <v/>
      </c>
      <c r="C770" s="9">
        <f t="shared" si="11"/>
        <v>0</v>
      </c>
    </row>
    <row r="771" spans="1:3" x14ac:dyDescent="0.2">
      <c r="A771" s="10" t="str">
        <f>IF(763&gt;$C$9008,"",INDEX($B$9:$B$9008,MATCH(763,$C$9:$C$9008,0)))</f>
        <v/>
      </c>
      <c r="B771" s="9" t="str">
        <f>IFERROR(INDEX(Input!$L$20:$T$1019,INT((ROW()-9)/9)+1,MOD(ROW()-9,9)+1),"")</f>
        <v/>
      </c>
      <c r="C771" s="9">
        <f t="shared" si="11"/>
        <v>0</v>
      </c>
    </row>
    <row r="772" spans="1:3" x14ac:dyDescent="0.2">
      <c r="A772" s="10" t="str">
        <f>IF(764&gt;$C$9008,"",INDEX($B$9:$B$9008,MATCH(764,$C$9:$C$9008,0)))</f>
        <v/>
      </c>
      <c r="B772" s="9" t="str">
        <f>IFERROR(INDEX(Input!$L$20:$T$1019,INT((ROW()-9)/9)+1,MOD(ROW()-9,9)+1),"")</f>
        <v/>
      </c>
      <c r="C772" s="9">
        <f t="shared" si="11"/>
        <v>0</v>
      </c>
    </row>
    <row r="773" spans="1:3" x14ac:dyDescent="0.2">
      <c r="A773" s="10" t="str">
        <f>IF(765&gt;$C$9008,"",INDEX($B$9:$B$9008,MATCH(765,$C$9:$C$9008,0)))</f>
        <v/>
      </c>
      <c r="B773" s="9" t="str">
        <f>IFERROR(INDEX(Input!$L$20:$T$1019,INT((ROW()-9)/9)+1,MOD(ROW()-9,9)+1),"")</f>
        <v/>
      </c>
      <c r="C773" s="9">
        <f t="shared" si="11"/>
        <v>0</v>
      </c>
    </row>
    <row r="774" spans="1:3" x14ac:dyDescent="0.2">
      <c r="A774" s="10" t="str">
        <f>IF(766&gt;$C$9008,"",INDEX($B$9:$B$9008,MATCH(766,$C$9:$C$9008,0)))</f>
        <v/>
      </c>
      <c r="B774" s="9" t="str">
        <f>IFERROR(INDEX(Input!$L$20:$T$1019,INT((ROW()-9)/9)+1,MOD(ROW()-9,9)+1),"")</f>
        <v/>
      </c>
      <c r="C774" s="9">
        <f t="shared" si="11"/>
        <v>0</v>
      </c>
    </row>
    <row r="775" spans="1:3" x14ac:dyDescent="0.2">
      <c r="A775" s="10" t="str">
        <f>IF(767&gt;$C$9008,"",INDEX($B$9:$B$9008,MATCH(767,$C$9:$C$9008,0)))</f>
        <v/>
      </c>
      <c r="B775" s="9" t="str">
        <f>IFERROR(INDEX(Input!$L$20:$T$1019,INT((ROW()-9)/9)+1,MOD(ROW()-9,9)+1),"")</f>
        <v/>
      </c>
      <c r="C775" s="9">
        <f t="shared" si="11"/>
        <v>0</v>
      </c>
    </row>
    <row r="776" spans="1:3" x14ac:dyDescent="0.2">
      <c r="A776" s="10" t="str">
        <f>IF(768&gt;$C$9008,"",INDEX($B$9:$B$9008,MATCH(768,$C$9:$C$9008,0)))</f>
        <v/>
      </c>
      <c r="B776" s="9" t="str">
        <f>IFERROR(INDEX(Input!$L$20:$T$1019,INT((ROW()-9)/9)+1,MOD(ROW()-9,9)+1),"")</f>
        <v/>
      </c>
      <c r="C776" s="9">
        <f t="shared" si="11"/>
        <v>0</v>
      </c>
    </row>
    <row r="777" spans="1:3" x14ac:dyDescent="0.2">
      <c r="A777" s="10" t="str">
        <f>IF(769&gt;$C$9008,"",INDEX($B$9:$B$9008,MATCH(769,$C$9:$C$9008,0)))</f>
        <v/>
      </c>
      <c r="B777" s="9" t="str">
        <f>IFERROR(INDEX(Input!$L$20:$T$1019,INT((ROW()-9)/9)+1,MOD(ROW()-9,9)+1),"")</f>
        <v/>
      </c>
      <c r="C777" s="9">
        <f t="shared" ref="C777:C840" si="12">$C776+IF($B777&lt;&gt;"",1,0)</f>
        <v>0</v>
      </c>
    </row>
    <row r="778" spans="1:3" x14ac:dyDescent="0.2">
      <c r="A778" s="10" t="str">
        <f>IF(770&gt;$C$9008,"",INDEX($B$9:$B$9008,MATCH(770,$C$9:$C$9008,0)))</f>
        <v/>
      </c>
      <c r="B778" s="9" t="str">
        <f>IFERROR(INDEX(Input!$L$20:$T$1019,INT((ROW()-9)/9)+1,MOD(ROW()-9,9)+1),"")</f>
        <v/>
      </c>
      <c r="C778" s="9">
        <f t="shared" si="12"/>
        <v>0</v>
      </c>
    </row>
    <row r="779" spans="1:3" x14ac:dyDescent="0.2">
      <c r="A779" s="10" t="str">
        <f>IF(771&gt;$C$9008,"",INDEX($B$9:$B$9008,MATCH(771,$C$9:$C$9008,0)))</f>
        <v/>
      </c>
      <c r="B779" s="9" t="str">
        <f>IFERROR(INDEX(Input!$L$20:$T$1019,INT((ROW()-9)/9)+1,MOD(ROW()-9,9)+1),"")</f>
        <v/>
      </c>
      <c r="C779" s="9">
        <f t="shared" si="12"/>
        <v>0</v>
      </c>
    </row>
    <row r="780" spans="1:3" x14ac:dyDescent="0.2">
      <c r="A780" s="10" t="str">
        <f>IF(772&gt;$C$9008,"",INDEX($B$9:$B$9008,MATCH(772,$C$9:$C$9008,0)))</f>
        <v/>
      </c>
      <c r="B780" s="9" t="str">
        <f>IFERROR(INDEX(Input!$L$20:$T$1019,INT((ROW()-9)/9)+1,MOD(ROW()-9,9)+1),"")</f>
        <v/>
      </c>
      <c r="C780" s="9">
        <f t="shared" si="12"/>
        <v>0</v>
      </c>
    </row>
    <row r="781" spans="1:3" x14ac:dyDescent="0.2">
      <c r="A781" s="10" t="str">
        <f>IF(773&gt;$C$9008,"",INDEX($B$9:$B$9008,MATCH(773,$C$9:$C$9008,0)))</f>
        <v/>
      </c>
      <c r="B781" s="9" t="str">
        <f>IFERROR(INDEX(Input!$L$20:$T$1019,INT((ROW()-9)/9)+1,MOD(ROW()-9,9)+1),"")</f>
        <v/>
      </c>
      <c r="C781" s="9">
        <f t="shared" si="12"/>
        <v>0</v>
      </c>
    </row>
    <row r="782" spans="1:3" x14ac:dyDescent="0.2">
      <c r="A782" s="10" t="str">
        <f>IF(774&gt;$C$9008,"",INDEX($B$9:$B$9008,MATCH(774,$C$9:$C$9008,0)))</f>
        <v/>
      </c>
      <c r="B782" s="9" t="str">
        <f>IFERROR(INDEX(Input!$L$20:$T$1019,INT((ROW()-9)/9)+1,MOD(ROW()-9,9)+1),"")</f>
        <v/>
      </c>
      <c r="C782" s="9">
        <f t="shared" si="12"/>
        <v>0</v>
      </c>
    </row>
    <row r="783" spans="1:3" x14ac:dyDescent="0.2">
      <c r="A783" s="10" t="str">
        <f>IF(775&gt;$C$9008,"",INDEX($B$9:$B$9008,MATCH(775,$C$9:$C$9008,0)))</f>
        <v/>
      </c>
      <c r="B783" s="9" t="str">
        <f>IFERROR(INDEX(Input!$L$20:$T$1019,INT((ROW()-9)/9)+1,MOD(ROW()-9,9)+1),"")</f>
        <v/>
      </c>
      <c r="C783" s="9">
        <f t="shared" si="12"/>
        <v>0</v>
      </c>
    </row>
    <row r="784" spans="1:3" x14ac:dyDescent="0.2">
      <c r="A784" s="10" t="str">
        <f>IF(776&gt;$C$9008,"",INDEX($B$9:$B$9008,MATCH(776,$C$9:$C$9008,0)))</f>
        <v/>
      </c>
      <c r="B784" s="9" t="str">
        <f>IFERROR(INDEX(Input!$L$20:$T$1019,INT((ROW()-9)/9)+1,MOD(ROW()-9,9)+1),"")</f>
        <v/>
      </c>
      <c r="C784" s="9">
        <f t="shared" si="12"/>
        <v>0</v>
      </c>
    </row>
    <row r="785" spans="1:3" x14ac:dyDescent="0.2">
      <c r="A785" s="10" t="str">
        <f>IF(777&gt;$C$9008,"",INDEX($B$9:$B$9008,MATCH(777,$C$9:$C$9008,0)))</f>
        <v/>
      </c>
      <c r="B785" s="9" t="str">
        <f>IFERROR(INDEX(Input!$L$20:$T$1019,INT((ROW()-9)/9)+1,MOD(ROW()-9,9)+1),"")</f>
        <v/>
      </c>
      <c r="C785" s="9">
        <f t="shared" si="12"/>
        <v>0</v>
      </c>
    </row>
    <row r="786" spans="1:3" x14ac:dyDescent="0.2">
      <c r="A786" s="10" t="str">
        <f>IF(778&gt;$C$9008,"",INDEX($B$9:$B$9008,MATCH(778,$C$9:$C$9008,0)))</f>
        <v/>
      </c>
      <c r="B786" s="9" t="str">
        <f>IFERROR(INDEX(Input!$L$20:$T$1019,INT((ROW()-9)/9)+1,MOD(ROW()-9,9)+1),"")</f>
        <v/>
      </c>
      <c r="C786" s="9">
        <f t="shared" si="12"/>
        <v>0</v>
      </c>
    </row>
    <row r="787" spans="1:3" x14ac:dyDescent="0.2">
      <c r="A787" s="10" t="str">
        <f>IF(779&gt;$C$9008,"",INDEX($B$9:$B$9008,MATCH(779,$C$9:$C$9008,0)))</f>
        <v/>
      </c>
      <c r="B787" s="9" t="str">
        <f>IFERROR(INDEX(Input!$L$20:$T$1019,INT((ROW()-9)/9)+1,MOD(ROW()-9,9)+1),"")</f>
        <v/>
      </c>
      <c r="C787" s="9">
        <f t="shared" si="12"/>
        <v>0</v>
      </c>
    </row>
    <row r="788" spans="1:3" x14ac:dyDescent="0.2">
      <c r="A788" s="10" t="str">
        <f>IF(780&gt;$C$9008,"",INDEX($B$9:$B$9008,MATCH(780,$C$9:$C$9008,0)))</f>
        <v/>
      </c>
      <c r="B788" s="9" t="str">
        <f>IFERROR(INDEX(Input!$L$20:$T$1019,INT((ROW()-9)/9)+1,MOD(ROW()-9,9)+1),"")</f>
        <v/>
      </c>
      <c r="C788" s="9">
        <f t="shared" si="12"/>
        <v>0</v>
      </c>
    </row>
    <row r="789" spans="1:3" x14ac:dyDescent="0.2">
      <c r="A789" s="10" t="str">
        <f>IF(781&gt;$C$9008,"",INDEX($B$9:$B$9008,MATCH(781,$C$9:$C$9008,0)))</f>
        <v/>
      </c>
      <c r="B789" s="9" t="str">
        <f>IFERROR(INDEX(Input!$L$20:$T$1019,INT((ROW()-9)/9)+1,MOD(ROW()-9,9)+1),"")</f>
        <v/>
      </c>
      <c r="C789" s="9">
        <f t="shared" si="12"/>
        <v>0</v>
      </c>
    </row>
    <row r="790" spans="1:3" x14ac:dyDescent="0.2">
      <c r="A790" s="10" t="str">
        <f>IF(782&gt;$C$9008,"",INDEX($B$9:$B$9008,MATCH(782,$C$9:$C$9008,0)))</f>
        <v/>
      </c>
      <c r="B790" s="9" t="str">
        <f>IFERROR(INDEX(Input!$L$20:$T$1019,INT((ROW()-9)/9)+1,MOD(ROW()-9,9)+1),"")</f>
        <v/>
      </c>
      <c r="C790" s="9">
        <f t="shared" si="12"/>
        <v>0</v>
      </c>
    </row>
    <row r="791" spans="1:3" x14ac:dyDescent="0.2">
      <c r="A791" s="10" t="str">
        <f>IF(783&gt;$C$9008,"",INDEX($B$9:$B$9008,MATCH(783,$C$9:$C$9008,0)))</f>
        <v/>
      </c>
      <c r="B791" s="9" t="str">
        <f>IFERROR(INDEX(Input!$L$20:$T$1019,INT((ROW()-9)/9)+1,MOD(ROW()-9,9)+1),"")</f>
        <v/>
      </c>
      <c r="C791" s="9">
        <f t="shared" si="12"/>
        <v>0</v>
      </c>
    </row>
    <row r="792" spans="1:3" x14ac:dyDescent="0.2">
      <c r="A792" s="10" t="str">
        <f>IF(784&gt;$C$9008,"",INDEX($B$9:$B$9008,MATCH(784,$C$9:$C$9008,0)))</f>
        <v/>
      </c>
      <c r="B792" s="9" t="str">
        <f>IFERROR(INDEX(Input!$L$20:$T$1019,INT((ROW()-9)/9)+1,MOD(ROW()-9,9)+1),"")</f>
        <v/>
      </c>
      <c r="C792" s="9">
        <f t="shared" si="12"/>
        <v>0</v>
      </c>
    </row>
    <row r="793" spans="1:3" x14ac:dyDescent="0.2">
      <c r="A793" s="10" t="str">
        <f>IF(785&gt;$C$9008,"",INDEX($B$9:$B$9008,MATCH(785,$C$9:$C$9008,0)))</f>
        <v/>
      </c>
      <c r="B793" s="9" t="str">
        <f>IFERROR(INDEX(Input!$L$20:$T$1019,INT((ROW()-9)/9)+1,MOD(ROW()-9,9)+1),"")</f>
        <v/>
      </c>
      <c r="C793" s="9">
        <f t="shared" si="12"/>
        <v>0</v>
      </c>
    </row>
    <row r="794" spans="1:3" x14ac:dyDescent="0.2">
      <c r="A794" s="10" t="str">
        <f>IF(786&gt;$C$9008,"",INDEX($B$9:$B$9008,MATCH(786,$C$9:$C$9008,0)))</f>
        <v/>
      </c>
      <c r="B794" s="9" t="str">
        <f>IFERROR(INDEX(Input!$L$20:$T$1019,INT((ROW()-9)/9)+1,MOD(ROW()-9,9)+1),"")</f>
        <v/>
      </c>
      <c r="C794" s="9">
        <f t="shared" si="12"/>
        <v>0</v>
      </c>
    </row>
    <row r="795" spans="1:3" x14ac:dyDescent="0.2">
      <c r="A795" s="10" t="str">
        <f>IF(787&gt;$C$9008,"",INDEX($B$9:$B$9008,MATCH(787,$C$9:$C$9008,0)))</f>
        <v/>
      </c>
      <c r="B795" s="9" t="str">
        <f>IFERROR(INDEX(Input!$L$20:$T$1019,INT((ROW()-9)/9)+1,MOD(ROW()-9,9)+1),"")</f>
        <v/>
      </c>
      <c r="C795" s="9">
        <f t="shared" si="12"/>
        <v>0</v>
      </c>
    </row>
    <row r="796" spans="1:3" x14ac:dyDescent="0.2">
      <c r="A796" s="10" t="str">
        <f>IF(788&gt;$C$9008,"",INDEX($B$9:$B$9008,MATCH(788,$C$9:$C$9008,0)))</f>
        <v/>
      </c>
      <c r="B796" s="9" t="str">
        <f>IFERROR(INDEX(Input!$L$20:$T$1019,INT((ROW()-9)/9)+1,MOD(ROW()-9,9)+1),"")</f>
        <v/>
      </c>
      <c r="C796" s="9">
        <f t="shared" si="12"/>
        <v>0</v>
      </c>
    </row>
    <row r="797" spans="1:3" x14ac:dyDescent="0.2">
      <c r="A797" s="10" t="str">
        <f>IF(789&gt;$C$9008,"",INDEX($B$9:$B$9008,MATCH(789,$C$9:$C$9008,0)))</f>
        <v/>
      </c>
      <c r="B797" s="9" t="str">
        <f>IFERROR(INDEX(Input!$L$20:$T$1019,INT((ROW()-9)/9)+1,MOD(ROW()-9,9)+1),"")</f>
        <v/>
      </c>
      <c r="C797" s="9">
        <f t="shared" si="12"/>
        <v>0</v>
      </c>
    </row>
    <row r="798" spans="1:3" x14ac:dyDescent="0.2">
      <c r="A798" s="10" t="str">
        <f>IF(790&gt;$C$9008,"",INDEX($B$9:$B$9008,MATCH(790,$C$9:$C$9008,0)))</f>
        <v/>
      </c>
      <c r="B798" s="9" t="str">
        <f>IFERROR(INDEX(Input!$L$20:$T$1019,INT((ROW()-9)/9)+1,MOD(ROW()-9,9)+1),"")</f>
        <v/>
      </c>
      <c r="C798" s="9">
        <f t="shared" si="12"/>
        <v>0</v>
      </c>
    </row>
    <row r="799" spans="1:3" x14ac:dyDescent="0.2">
      <c r="A799" s="10" t="str">
        <f>IF(791&gt;$C$9008,"",INDEX($B$9:$B$9008,MATCH(791,$C$9:$C$9008,0)))</f>
        <v/>
      </c>
      <c r="B799" s="9" t="str">
        <f>IFERROR(INDEX(Input!$L$20:$T$1019,INT((ROW()-9)/9)+1,MOD(ROW()-9,9)+1),"")</f>
        <v/>
      </c>
      <c r="C799" s="9">
        <f t="shared" si="12"/>
        <v>0</v>
      </c>
    </row>
    <row r="800" spans="1:3" x14ac:dyDescent="0.2">
      <c r="A800" s="10" t="str">
        <f>IF(792&gt;$C$9008,"",INDEX($B$9:$B$9008,MATCH(792,$C$9:$C$9008,0)))</f>
        <v/>
      </c>
      <c r="B800" s="9" t="str">
        <f>IFERROR(INDEX(Input!$L$20:$T$1019,INT((ROW()-9)/9)+1,MOD(ROW()-9,9)+1),"")</f>
        <v/>
      </c>
      <c r="C800" s="9">
        <f t="shared" si="12"/>
        <v>0</v>
      </c>
    </row>
    <row r="801" spans="1:3" x14ac:dyDescent="0.2">
      <c r="A801" s="10" t="str">
        <f>IF(793&gt;$C$9008,"",INDEX($B$9:$B$9008,MATCH(793,$C$9:$C$9008,0)))</f>
        <v/>
      </c>
      <c r="B801" s="9" t="str">
        <f>IFERROR(INDEX(Input!$L$20:$T$1019,INT((ROW()-9)/9)+1,MOD(ROW()-9,9)+1),"")</f>
        <v/>
      </c>
      <c r="C801" s="9">
        <f t="shared" si="12"/>
        <v>0</v>
      </c>
    </row>
    <row r="802" spans="1:3" x14ac:dyDescent="0.2">
      <c r="A802" s="10" t="str">
        <f>IF(794&gt;$C$9008,"",INDEX($B$9:$B$9008,MATCH(794,$C$9:$C$9008,0)))</f>
        <v/>
      </c>
      <c r="B802" s="9" t="str">
        <f>IFERROR(INDEX(Input!$L$20:$T$1019,INT((ROW()-9)/9)+1,MOD(ROW()-9,9)+1),"")</f>
        <v/>
      </c>
      <c r="C802" s="9">
        <f t="shared" si="12"/>
        <v>0</v>
      </c>
    </row>
    <row r="803" spans="1:3" x14ac:dyDescent="0.2">
      <c r="A803" s="10" t="str">
        <f>IF(795&gt;$C$9008,"",INDEX($B$9:$B$9008,MATCH(795,$C$9:$C$9008,0)))</f>
        <v/>
      </c>
      <c r="B803" s="9" t="str">
        <f>IFERROR(INDEX(Input!$L$20:$T$1019,INT((ROW()-9)/9)+1,MOD(ROW()-9,9)+1),"")</f>
        <v/>
      </c>
      <c r="C803" s="9">
        <f t="shared" si="12"/>
        <v>0</v>
      </c>
    </row>
    <row r="804" spans="1:3" x14ac:dyDescent="0.2">
      <c r="A804" s="10" t="str">
        <f>IF(796&gt;$C$9008,"",INDEX($B$9:$B$9008,MATCH(796,$C$9:$C$9008,0)))</f>
        <v/>
      </c>
      <c r="B804" s="9" t="str">
        <f>IFERROR(INDEX(Input!$L$20:$T$1019,INT((ROW()-9)/9)+1,MOD(ROW()-9,9)+1),"")</f>
        <v/>
      </c>
      <c r="C804" s="9">
        <f t="shared" si="12"/>
        <v>0</v>
      </c>
    </row>
    <row r="805" spans="1:3" x14ac:dyDescent="0.2">
      <c r="A805" s="10" t="str">
        <f>IF(797&gt;$C$9008,"",INDEX($B$9:$B$9008,MATCH(797,$C$9:$C$9008,0)))</f>
        <v/>
      </c>
      <c r="B805" s="9" t="str">
        <f>IFERROR(INDEX(Input!$L$20:$T$1019,INT((ROW()-9)/9)+1,MOD(ROW()-9,9)+1),"")</f>
        <v/>
      </c>
      <c r="C805" s="9">
        <f t="shared" si="12"/>
        <v>0</v>
      </c>
    </row>
    <row r="806" spans="1:3" x14ac:dyDescent="0.2">
      <c r="A806" s="10" t="str">
        <f>IF(798&gt;$C$9008,"",INDEX($B$9:$B$9008,MATCH(798,$C$9:$C$9008,0)))</f>
        <v/>
      </c>
      <c r="B806" s="9" t="str">
        <f>IFERROR(INDEX(Input!$L$20:$T$1019,INT((ROW()-9)/9)+1,MOD(ROW()-9,9)+1),"")</f>
        <v/>
      </c>
      <c r="C806" s="9">
        <f t="shared" si="12"/>
        <v>0</v>
      </c>
    </row>
    <row r="807" spans="1:3" x14ac:dyDescent="0.2">
      <c r="A807" s="10" t="str">
        <f>IF(799&gt;$C$9008,"",INDEX($B$9:$B$9008,MATCH(799,$C$9:$C$9008,0)))</f>
        <v/>
      </c>
      <c r="B807" s="9" t="str">
        <f>IFERROR(INDEX(Input!$L$20:$T$1019,INT((ROW()-9)/9)+1,MOD(ROW()-9,9)+1),"")</f>
        <v/>
      </c>
      <c r="C807" s="9">
        <f t="shared" si="12"/>
        <v>0</v>
      </c>
    </row>
    <row r="808" spans="1:3" x14ac:dyDescent="0.2">
      <c r="A808" s="10" t="str">
        <f>IF(800&gt;$C$9008,"",INDEX($B$9:$B$9008,MATCH(800,$C$9:$C$9008,0)))</f>
        <v/>
      </c>
      <c r="B808" s="9" t="str">
        <f>IFERROR(INDEX(Input!$L$20:$T$1019,INT((ROW()-9)/9)+1,MOD(ROW()-9,9)+1),"")</f>
        <v/>
      </c>
      <c r="C808" s="9">
        <f t="shared" si="12"/>
        <v>0</v>
      </c>
    </row>
    <row r="809" spans="1:3" x14ac:dyDescent="0.2">
      <c r="A809" s="10" t="str">
        <f>IF(801&gt;$C$9008,"",INDEX($B$9:$B$9008,MATCH(801,$C$9:$C$9008,0)))</f>
        <v/>
      </c>
      <c r="B809" s="9" t="str">
        <f>IFERROR(INDEX(Input!$L$20:$T$1019,INT((ROW()-9)/9)+1,MOD(ROW()-9,9)+1),"")</f>
        <v/>
      </c>
      <c r="C809" s="9">
        <f t="shared" si="12"/>
        <v>0</v>
      </c>
    </row>
    <row r="810" spans="1:3" x14ac:dyDescent="0.2">
      <c r="A810" s="10" t="str">
        <f>IF(802&gt;$C$9008,"",INDEX($B$9:$B$9008,MATCH(802,$C$9:$C$9008,0)))</f>
        <v/>
      </c>
      <c r="B810" s="9" t="str">
        <f>IFERROR(INDEX(Input!$L$20:$T$1019,INT((ROW()-9)/9)+1,MOD(ROW()-9,9)+1),"")</f>
        <v/>
      </c>
      <c r="C810" s="9">
        <f t="shared" si="12"/>
        <v>0</v>
      </c>
    </row>
    <row r="811" spans="1:3" x14ac:dyDescent="0.2">
      <c r="A811" s="10" t="str">
        <f>IF(803&gt;$C$9008,"",INDEX($B$9:$B$9008,MATCH(803,$C$9:$C$9008,0)))</f>
        <v/>
      </c>
      <c r="B811" s="9" t="str">
        <f>IFERROR(INDEX(Input!$L$20:$T$1019,INT((ROW()-9)/9)+1,MOD(ROW()-9,9)+1),"")</f>
        <v/>
      </c>
      <c r="C811" s="9">
        <f t="shared" si="12"/>
        <v>0</v>
      </c>
    </row>
    <row r="812" spans="1:3" x14ac:dyDescent="0.2">
      <c r="A812" s="10" t="str">
        <f>IF(804&gt;$C$9008,"",INDEX($B$9:$B$9008,MATCH(804,$C$9:$C$9008,0)))</f>
        <v/>
      </c>
      <c r="B812" s="9" t="str">
        <f>IFERROR(INDEX(Input!$L$20:$T$1019,INT((ROW()-9)/9)+1,MOD(ROW()-9,9)+1),"")</f>
        <v/>
      </c>
      <c r="C812" s="9">
        <f t="shared" si="12"/>
        <v>0</v>
      </c>
    </row>
    <row r="813" spans="1:3" x14ac:dyDescent="0.2">
      <c r="A813" s="10" t="str">
        <f>IF(805&gt;$C$9008,"",INDEX($B$9:$B$9008,MATCH(805,$C$9:$C$9008,0)))</f>
        <v/>
      </c>
      <c r="B813" s="9" t="str">
        <f>IFERROR(INDEX(Input!$L$20:$T$1019,INT((ROW()-9)/9)+1,MOD(ROW()-9,9)+1),"")</f>
        <v/>
      </c>
      <c r="C813" s="9">
        <f t="shared" si="12"/>
        <v>0</v>
      </c>
    </row>
    <row r="814" spans="1:3" x14ac:dyDescent="0.2">
      <c r="A814" s="10" t="str">
        <f>IF(806&gt;$C$9008,"",INDEX($B$9:$B$9008,MATCH(806,$C$9:$C$9008,0)))</f>
        <v/>
      </c>
      <c r="B814" s="9" t="str">
        <f>IFERROR(INDEX(Input!$L$20:$T$1019,INT((ROW()-9)/9)+1,MOD(ROW()-9,9)+1),"")</f>
        <v/>
      </c>
      <c r="C814" s="9">
        <f t="shared" si="12"/>
        <v>0</v>
      </c>
    </row>
    <row r="815" spans="1:3" x14ac:dyDescent="0.2">
      <c r="A815" s="10" t="str">
        <f>IF(807&gt;$C$9008,"",INDEX($B$9:$B$9008,MATCH(807,$C$9:$C$9008,0)))</f>
        <v/>
      </c>
      <c r="B815" s="9" t="str">
        <f>IFERROR(INDEX(Input!$L$20:$T$1019,INT((ROW()-9)/9)+1,MOD(ROW()-9,9)+1),"")</f>
        <v/>
      </c>
      <c r="C815" s="9">
        <f t="shared" si="12"/>
        <v>0</v>
      </c>
    </row>
    <row r="816" spans="1:3" x14ac:dyDescent="0.2">
      <c r="A816" s="10" t="str">
        <f>IF(808&gt;$C$9008,"",INDEX($B$9:$B$9008,MATCH(808,$C$9:$C$9008,0)))</f>
        <v/>
      </c>
      <c r="B816" s="9" t="str">
        <f>IFERROR(INDEX(Input!$L$20:$T$1019,INT((ROW()-9)/9)+1,MOD(ROW()-9,9)+1),"")</f>
        <v/>
      </c>
      <c r="C816" s="9">
        <f t="shared" si="12"/>
        <v>0</v>
      </c>
    </row>
    <row r="817" spans="1:3" x14ac:dyDescent="0.2">
      <c r="A817" s="10" t="str">
        <f>IF(809&gt;$C$9008,"",INDEX($B$9:$B$9008,MATCH(809,$C$9:$C$9008,0)))</f>
        <v/>
      </c>
      <c r="B817" s="9" t="str">
        <f>IFERROR(INDEX(Input!$L$20:$T$1019,INT((ROW()-9)/9)+1,MOD(ROW()-9,9)+1),"")</f>
        <v/>
      </c>
      <c r="C817" s="9">
        <f t="shared" si="12"/>
        <v>0</v>
      </c>
    </row>
    <row r="818" spans="1:3" x14ac:dyDescent="0.2">
      <c r="A818" s="10" t="str">
        <f>IF(810&gt;$C$9008,"",INDEX($B$9:$B$9008,MATCH(810,$C$9:$C$9008,0)))</f>
        <v/>
      </c>
      <c r="B818" s="9" t="str">
        <f>IFERROR(INDEX(Input!$L$20:$T$1019,INT((ROW()-9)/9)+1,MOD(ROW()-9,9)+1),"")</f>
        <v/>
      </c>
      <c r="C818" s="9">
        <f t="shared" si="12"/>
        <v>0</v>
      </c>
    </row>
    <row r="819" spans="1:3" x14ac:dyDescent="0.2">
      <c r="A819" s="10" t="str">
        <f>IF(811&gt;$C$9008,"",INDEX($B$9:$B$9008,MATCH(811,$C$9:$C$9008,0)))</f>
        <v/>
      </c>
      <c r="B819" s="9" t="str">
        <f>IFERROR(INDEX(Input!$L$20:$T$1019,INT((ROW()-9)/9)+1,MOD(ROW()-9,9)+1),"")</f>
        <v/>
      </c>
      <c r="C819" s="9">
        <f t="shared" si="12"/>
        <v>0</v>
      </c>
    </row>
    <row r="820" spans="1:3" x14ac:dyDescent="0.2">
      <c r="A820" s="10" t="str">
        <f>IF(812&gt;$C$9008,"",INDEX($B$9:$B$9008,MATCH(812,$C$9:$C$9008,0)))</f>
        <v/>
      </c>
      <c r="B820" s="9" t="str">
        <f>IFERROR(INDEX(Input!$L$20:$T$1019,INT((ROW()-9)/9)+1,MOD(ROW()-9,9)+1),"")</f>
        <v/>
      </c>
      <c r="C820" s="9">
        <f t="shared" si="12"/>
        <v>0</v>
      </c>
    </row>
    <row r="821" spans="1:3" x14ac:dyDescent="0.2">
      <c r="A821" s="10" t="str">
        <f>IF(813&gt;$C$9008,"",INDEX($B$9:$B$9008,MATCH(813,$C$9:$C$9008,0)))</f>
        <v/>
      </c>
      <c r="B821" s="9" t="str">
        <f>IFERROR(INDEX(Input!$L$20:$T$1019,INT((ROW()-9)/9)+1,MOD(ROW()-9,9)+1),"")</f>
        <v/>
      </c>
      <c r="C821" s="9">
        <f t="shared" si="12"/>
        <v>0</v>
      </c>
    </row>
    <row r="822" spans="1:3" x14ac:dyDescent="0.2">
      <c r="A822" s="10" t="str">
        <f>IF(814&gt;$C$9008,"",INDEX($B$9:$B$9008,MATCH(814,$C$9:$C$9008,0)))</f>
        <v/>
      </c>
      <c r="B822" s="9" t="str">
        <f>IFERROR(INDEX(Input!$L$20:$T$1019,INT((ROW()-9)/9)+1,MOD(ROW()-9,9)+1),"")</f>
        <v/>
      </c>
      <c r="C822" s="9">
        <f t="shared" si="12"/>
        <v>0</v>
      </c>
    </row>
    <row r="823" spans="1:3" x14ac:dyDescent="0.2">
      <c r="A823" s="10" t="str">
        <f>IF(815&gt;$C$9008,"",INDEX($B$9:$B$9008,MATCH(815,$C$9:$C$9008,0)))</f>
        <v/>
      </c>
      <c r="B823" s="9" t="str">
        <f>IFERROR(INDEX(Input!$L$20:$T$1019,INT((ROW()-9)/9)+1,MOD(ROW()-9,9)+1),"")</f>
        <v/>
      </c>
      <c r="C823" s="9">
        <f t="shared" si="12"/>
        <v>0</v>
      </c>
    </row>
    <row r="824" spans="1:3" x14ac:dyDescent="0.2">
      <c r="A824" s="10" t="str">
        <f>IF(816&gt;$C$9008,"",INDEX($B$9:$B$9008,MATCH(816,$C$9:$C$9008,0)))</f>
        <v/>
      </c>
      <c r="B824" s="9" t="str">
        <f>IFERROR(INDEX(Input!$L$20:$T$1019,INT((ROW()-9)/9)+1,MOD(ROW()-9,9)+1),"")</f>
        <v/>
      </c>
      <c r="C824" s="9">
        <f t="shared" si="12"/>
        <v>0</v>
      </c>
    </row>
    <row r="825" spans="1:3" x14ac:dyDescent="0.2">
      <c r="A825" s="10" t="str">
        <f>IF(817&gt;$C$9008,"",INDEX($B$9:$B$9008,MATCH(817,$C$9:$C$9008,0)))</f>
        <v/>
      </c>
      <c r="B825" s="9" t="str">
        <f>IFERROR(INDEX(Input!$L$20:$T$1019,INT((ROW()-9)/9)+1,MOD(ROW()-9,9)+1),"")</f>
        <v/>
      </c>
      <c r="C825" s="9">
        <f t="shared" si="12"/>
        <v>0</v>
      </c>
    </row>
    <row r="826" spans="1:3" x14ac:dyDescent="0.2">
      <c r="A826" s="10" t="str">
        <f>IF(818&gt;$C$9008,"",INDEX($B$9:$B$9008,MATCH(818,$C$9:$C$9008,0)))</f>
        <v/>
      </c>
      <c r="B826" s="9" t="str">
        <f>IFERROR(INDEX(Input!$L$20:$T$1019,INT((ROW()-9)/9)+1,MOD(ROW()-9,9)+1),"")</f>
        <v/>
      </c>
      <c r="C826" s="9">
        <f t="shared" si="12"/>
        <v>0</v>
      </c>
    </row>
    <row r="827" spans="1:3" x14ac:dyDescent="0.2">
      <c r="A827" s="10" t="str">
        <f>IF(819&gt;$C$9008,"",INDEX($B$9:$B$9008,MATCH(819,$C$9:$C$9008,0)))</f>
        <v/>
      </c>
      <c r="B827" s="9" t="str">
        <f>IFERROR(INDEX(Input!$L$20:$T$1019,INT((ROW()-9)/9)+1,MOD(ROW()-9,9)+1),"")</f>
        <v/>
      </c>
      <c r="C827" s="9">
        <f t="shared" si="12"/>
        <v>0</v>
      </c>
    </row>
    <row r="828" spans="1:3" x14ac:dyDescent="0.2">
      <c r="A828" s="10" t="str">
        <f>IF(820&gt;$C$9008,"",INDEX($B$9:$B$9008,MATCH(820,$C$9:$C$9008,0)))</f>
        <v/>
      </c>
      <c r="B828" s="9" t="str">
        <f>IFERROR(INDEX(Input!$L$20:$T$1019,INT((ROW()-9)/9)+1,MOD(ROW()-9,9)+1),"")</f>
        <v/>
      </c>
      <c r="C828" s="9">
        <f t="shared" si="12"/>
        <v>0</v>
      </c>
    </row>
    <row r="829" spans="1:3" x14ac:dyDescent="0.2">
      <c r="A829" s="10" t="str">
        <f>IF(821&gt;$C$9008,"",INDEX($B$9:$B$9008,MATCH(821,$C$9:$C$9008,0)))</f>
        <v/>
      </c>
      <c r="B829" s="9" t="str">
        <f>IFERROR(INDEX(Input!$L$20:$T$1019,INT((ROW()-9)/9)+1,MOD(ROW()-9,9)+1),"")</f>
        <v/>
      </c>
      <c r="C829" s="9">
        <f t="shared" si="12"/>
        <v>0</v>
      </c>
    </row>
    <row r="830" spans="1:3" x14ac:dyDescent="0.2">
      <c r="A830" s="10" t="str">
        <f>IF(822&gt;$C$9008,"",INDEX($B$9:$B$9008,MATCH(822,$C$9:$C$9008,0)))</f>
        <v/>
      </c>
      <c r="B830" s="9" t="str">
        <f>IFERROR(INDEX(Input!$L$20:$T$1019,INT((ROW()-9)/9)+1,MOD(ROW()-9,9)+1),"")</f>
        <v/>
      </c>
      <c r="C830" s="9">
        <f t="shared" si="12"/>
        <v>0</v>
      </c>
    </row>
    <row r="831" spans="1:3" x14ac:dyDescent="0.2">
      <c r="A831" s="10" t="str">
        <f>IF(823&gt;$C$9008,"",INDEX($B$9:$B$9008,MATCH(823,$C$9:$C$9008,0)))</f>
        <v/>
      </c>
      <c r="B831" s="9" t="str">
        <f>IFERROR(INDEX(Input!$L$20:$T$1019,INT((ROW()-9)/9)+1,MOD(ROW()-9,9)+1),"")</f>
        <v/>
      </c>
      <c r="C831" s="9">
        <f t="shared" si="12"/>
        <v>0</v>
      </c>
    </row>
    <row r="832" spans="1:3" x14ac:dyDescent="0.2">
      <c r="A832" s="10" t="str">
        <f>IF(824&gt;$C$9008,"",INDEX($B$9:$B$9008,MATCH(824,$C$9:$C$9008,0)))</f>
        <v/>
      </c>
      <c r="B832" s="9" t="str">
        <f>IFERROR(INDEX(Input!$L$20:$T$1019,INT((ROW()-9)/9)+1,MOD(ROW()-9,9)+1),"")</f>
        <v/>
      </c>
      <c r="C832" s="9">
        <f t="shared" si="12"/>
        <v>0</v>
      </c>
    </row>
    <row r="833" spans="1:3" x14ac:dyDescent="0.2">
      <c r="A833" s="10" t="str">
        <f>IF(825&gt;$C$9008,"",INDEX($B$9:$B$9008,MATCH(825,$C$9:$C$9008,0)))</f>
        <v/>
      </c>
      <c r="B833" s="9" t="str">
        <f>IFERROR(INDEX(Input!$L$20:$T$1019,INT((ROW()-9)/9)+1,MOD(ROW()-9,9)+1),"")</f>
        <v/>
      </c>
      <c r="C833" s="9">
        <f t="shared" si="12"/>
        <v>0</v>
      </c>
    </row>
    <row r="834" spans="1:3" x14ac:dyDescent="0.2">
      <c r="A834" s="10" t="str">
        <f>IF(826&gt;$C$9008,"",INDEX($B$9:$B$9008,MATCH(826,$C$9:$C$9008,0)))</f>
        <v/>
      </c>
      <c r="B834" s="9" t="str">
        <f>IFERROR(INDEX(Input!$L$20:$T$1019,INT((ROW()-9)/9)+1,MOD(ROW()-9,9)+1),"")</f>
        <v/>
      </c>
      <c r="C834" s="9">
        <f t="shared" si="12"/>
        <v>0</v>
      </c>
    </row>
    <row r="835" spans="1:3" x14ac:dyDescent="0.2">
      <c r="A835" s="10" t="str">
        <f>IF(827&gt;$C$9008,"",INDEX($B$9:$B$9008,MATCH(827,$C$9:$C$9008,0)))</f>
        <v/>
      </c>
      <c r="B835" s="9" t="str">
        <f>IFERROR(INDEX(Input!$L$20:$T$1019,INT((ROW()-9)/9)+1,MOD(ROW()-9,9)+1),"")</f>
        <v/>
      </c>
      <c r="C835" s="9">
        <f t="shared" si="12"/>
        <v>0</v>
      </c>
    </row>
    <row r="836" spans="1:3" x14ac:dyDescent="0.2">
      <c r="A836" s="10" t="str">
        <f>IF(828&gt;$C$9008,"",INDEX($B$9:$B$9008,MATCH(828,$C$9:$C$9008,0)))</f>
        <v/>
      </c>
      <c r="B836" s="9" t="str">
        <f>IFERROR(INDEX(Input!$L$20:$T$1019,INT((ROW()-9)/9)+1,MOD(ROW()-9,9)+1),"")</f>
        <v/>
      </c>
      <c r="C836" s="9">
        <f t="shared" si="12"/>
        <v>0</v>
      </c>
    </row>
    <row r="837" spans="1:3" x14ac:dyDescent="0.2">
      <c r="A837" s="10" t="str">
        <f>IF(829&gt;$C$9008,"",INDEX($B$9:$B$9008,MATCH(829,$C$9:$C$9008,0)))</f>
        <v/>
      </c>
      <c r="B837" s="9" t="str">
        <f>IFERROR(INDEX(Input!$L$20:$T$1019,INT((ROW()-9)/9)+1,MOD(ROW()-9,9)+1),"")</f>
        <v/>
      </c>
      <c r="C837" s="9">
        <f t="shared" si="12"/>
        <v>0</v>
      </c>
    </row>
    <row r="838" spans="1:3" x14ac:dyDescent="0.2">
      <c r="A838" s="10" t="str">
        <f>IF(830&gt;$C$9008,"",INDEX($B$9:$B$9008,MATCH(830,$C$9:$C$9008,0)))</f>
        <v/>
      </c>
      <c r="B838" s="9" t="str">
        <f>IFERROR(INDEX(Input!$L$20:$T$1019,INT((ROW()-9)/9)+1,MOD(ROW()-9,9)+1),"")</f>
        <v/>
      </c>
      <c r="C838" s="9">
        <f t="shared" si="12"/>
        <v>0</v>
      </c>
    </row>
    <row r="839" spans="1:3" x14ac:dyDescent="0.2">
      <c r="A839" s="10" t="str">
        <f>IF(831&gt;$C$9008,"",INDEX($B$9:$B$9008,MATCH(831,$C$9:$C$9008,0)))</f>
        <v/>
      </c>
      <c r="B839" s="9" t="str">
        <f>IFERROR(INDEX(Input!$L$20:$T$1019,INT((ROW()-9)/9)+1,MOD(ROW()-9,9)+1),"")</f>
        <v/>
      </c>
      <c r="C839" s="9">
        <f t="shared" si="12"/>
        <v>0</v>
      </c>
    </row>
    <row r="840" spans="1:3" x14ac:dyDescent="0.2">
      <c r="A840" s="10" t="str">
        <f>IF(832&gt;$C$9008,"",INDEX($B$9:$B$9008,MATCH(832,$C$9:$C$9008,0)))</f>
        <v/>
      </c>
      <c r="B840" s="9" t="str">
        <f>IFERROR(INDEX(Input!$L$20:$T$1019,INT((ROW()-9)/9)+1,MOD(ROW()-9,9)+1),"")</f>
        <v/>
      </c>
      <c r="C840" s="9">
        <f t="shared" si="12"/>
        <v>0</v>
      </c>
    </row>
    <row r="841" spans="1:3" x14ac:dyDescent="0.2">
      <c r="A841" s="10" t="str">
        <f>IF(833&gt;$C$9008,"",INDEX($B$9:$B$9008,MATCH(833,$C$9:$C$9008,0)))</f>
        <v/>
      </c>
      <c r="B841" s="9" t="str">
        <f>IFERROR(INDEX(Input!$L$20:$T$1019,INT((ROW()-9)/9)+1,MOD(ROW()-9,9)+1),"")</f>
        <v/>
      </c>
      <c r="C841" s="9">
        <f t="shared" ref="C841:C904" si="13">$C840+IF($B841&lt;&gt;"",1,0)</f>
        <v>0</v>
      </c>
    </row>
    <row r="842" spans="1:3" x14ac:dyDescent="0.2">
      <c r="A842" s="10" t="str">
        <f>IF(834&gt;$C$9008,"",INDEX($B$9:$B$9008,MATCH(834,$C$9:$C$9008,0)))</f>
        <v/>
      </c>
      <c r="B842" s="9" t="str">
        <f>IFERROR(INDEX(Input!$L$20:$T$1019,INT((ROW()-9)/9)+1,MOD(ROW()-9,9)+1),"")</f>
        <v/>
      </c>
      <c r="C842" s="9">
        <f t="shared" si="13"/>
        <v>0</v>
      </c>
    </row>
    <row r="843" spans="1:3" x14ac:dyDescent="0.2">
      <c r="A843" s="10" t="str">
        <f>IF(835&gt;$C$9008,"",INDEX($B$9:$B$9008,MATCH(835,$C$9:$C$9008,0)))</f>
        <v/>
      </c>
      <c r="B843" s="9" t="str">
        <f>IFERROR(INDEX(Input!$L$20:$T$1019,INT((ROW()-9)/9)+1,MOD(ROW()-9,9)+1),"")</f>
        <v/>
      </c>
      <c r="C843" s="9">
        <f t="shared" si="13"/>
        <v>0</v>
      </c>
    </row>
    <row r="844" spans="1:3" x14ac:dyDescent="0.2">
      <c r="A844" s="10" t="str">
        <f>IF(836&gt;$C$9008,"",INDEX($B$9:$B$9008,MATCH(836,$C$9:$C$9008,0)))</f>
        <v/>
      </c>
      <c r="B844" s="9" t="str">
        <f>IFERROR(INDEX(Input!$L$20:$T$1019,INT((ROW()-9)/9)+1,MOD(ROW()-9,9)+1),"")</f>
        <v/>
      </c>
      <c r="C844" s="9">
        <f t="shared" si="13"/>
        <v>0</v>
      </c>
    </row>
    <row r="845" spans="1:3" x14ac:dyDescent="0.2">
      <c r="A845" s="10" t="str">
        <f>IF(837&gt;$C$9008,"",INDEX($B$9:$B$9008,MATCH(837,$C$9:$C$9008,0)))</f>
        <v/>
      </c>
      <c r="B845" s="9" t="str">
        <f>IFERROR(INDEX(Input!$L$20:$T$1019,INT((ROW()-9)/9)+1,MOD(ROW()-9,9)+1),"")</f>
        <v/>
      </c>
      <c r="C845" s="9">
        <f t="shared" si="13"/>
        <v>0</v>
      </c>
    </row>
    <row r="846" spans="1:3" x14ac:dyDescent="0.2">
      <c r="A846" s="10" t="str">
        <f>IF(838&gt;$C$9008,"",INDEX($B$9:$B$9008,MATCH(838,$C$9:$C$9008,0)))</f>
        <v/>
      </c>
      <c r="B846" s="9" t="str">
        <f>IFERROR(INDEX(Input!$L$20:$T$1019,INT((ROW()-9)/9)+1,MOD(ROW()-9,9)+1),"")</f>
        <v/>
      </c>
      <c r="C846" s="9">
        <f t="shared" si="13"/>
        <v>0</v>
      </c>
    </row>
    <row r="847" spans="1:3" x14ac:dyDescent="0.2">
      <c r="A847" s="10" t="str">
        <f>IF(839&gt;$C$9008,"",INDEX($B$9:$B$9008,MATCH(839,$C$9:$C$9008,0)))</f>
        <v/>
      </c>
      <c r="B847" s="9" t="str">
        <f>IFERROR(INDEX(Input!$L$20:$T$1019,INT((ROW()-9)/9)+1,MOD(ROW()-9,9)+1),"")</f>
        <v/>
      </c>
      <c r="C847" s="9">
        <f t="shared" si="13"/>
        <v>0</v>
      </c>
    </row>
    <row r="848" spans="1:3" x14ac:dyDescent="0.2">
      <c r="A848" s="10" t="str">
        <f>IF(840&gt;$C$9008,"",INDEX($B$9:$B$9008,MATCH(840,$C$9:$C$9008,0)))</f>
        <v/>
      </c>
      <c r="B848" s="9" t="str">
        <f>IFERROR(INDEX(Input!$L$20:$T$1019,INT((ROW()-9)/9)+1,MOD(ROW()-9,9)+1),"")</f>
        <v/>
      </c>
      <c r="C848" s="9">
        <f t="shared" si="13"/>
        <v>0</v>
      </c>
    </row>
    <row r="849" spans="1:3" x14ac:dyDescent="0.2">
      <c r="A849" s="10" t="str">
        <f>IF(841&gt;$C$9008,"",INDEX($B$9:$B$9008,MATCH(841,$C$9:$C$9008,0)))</f>
        <v/>
      </c>
      <c r="B849" s="9" t="str">
        <f>IFERROR(INDEX(Input!$L$20:$T$1019,INT((ROW()-9)/9)+1,MOD(ROW()-9,9)+1),"")</f>
        <v/>
      </c>
      <c r="C849" s="9">
        <f t="shared" si="13"/>
        <v>0</v>
      </c>
    </row>
    <row r="850" spans="1:3" x14ac:dyDescent="0.2">
      <c r="A850" s="10" t="str">
        <f>IF(842&gt;$C$9008,"",INDEX($B$9:$B$9008,MATCH(842,$C$9:$C$9008,0)))</f>
        <v/>
      </c>
      <c r="B850" s="9" t="str">
        <f>IFERROR(INDEX(Input!$L$20:$T$1019,INT((ROW()-9)/9)+1,MOD(ROW()-9,9)+1),"")</f>
        <v/>
      </c>
      <c r="C850" s="9">
        <f t="shared" si="13"/>
        <v>0</v>
      </c>
    </row>
    <row r="851" spans="1:3" x14ac:dyDescent="0.2">
      <c r="A851" s="10" t="str">
        <f>IF(843&gt;$C$9008,"",INDEX($B$9:$B$9008,MATCH(843,$C$9:$C$9008,0)))</f>
        <v/>
      </c>
      <c r="B851" s="9" t="str">
        <f>IFERROR(INDEX(Input!$L$20:$T$1019,INT((ROW()-9)/9)+1,MOD(ROW()-9,9)+1),"")</f>
        <v/>
      </c>
      <c r="C851" s="9">
        <f t="shared" si="13"/>
        <v>0</v>
      </c>
    </row>
    <row r="852" spans="1:3" x14ac:dyDescent="0.2">
      <c r="A852" s="10" t="str">
        <f>IF(844&gt;$C$9008,"",INDEX($B$9:$B$9008,MATCH(844,$C$9:$C$9008,0)))</f>
        <v/>
      </c>
      <c r="B852" s="9" t="str">
        <f>IFERROR(INDEX(Input!$L$20:$T$1019,INT((ROW()-9)/9)+1,MOD(ROW()-9,9)+1),"")</f>
        <v/>
      </c>
      <c r="C852" s="9">
        <f t="shared" si="13"/>
        <v>0</v>
      </c>
    </row>
    <row r="853" spans="1:3" x14ac:dyDescent="0.2">
      <c r="A853" s="10" t="str">
        <f>IF(845&gt;$C$9008,"",INDEX($B$9:$B$9008,MATCH(845,$C$9:$C$9008,0)))</f>
        <v/>
      </c>
      <c r="B853" s="9" t="str">
        <f>IFERROR(INDEX(Input!$L$20:$T$1019,INT((ROW()-9)/9)+1,MOD(ROW()-9,9)+1),"")</f>
        <v/>
      </c>
      <c r="C853" s="9">
        <f t="shared" si="13"/>
        <v>0</v>
      </c>
    </row>
    <row r="854" spans="1:3" x14ac:dyDescent="0.2">
      <c r="A854" s="10" t="str">
        <f>IF(846&gt;$C$9008,"",INDEX($B$9:$B$9008,MATCH(846,$C$9:$C$9008,0)))</f>
        <v/>
      </c>
      <c r="B854" s="9" t="str">
        <f>IFERROR(INDEX(Input!$L$20:$T$1019,INT((ROW()-9)/9)+1,MOD(ROW()-9,9)+1),"")</f>
        <v/>
      </c>
      <c r="C854" s="9">
        <f t="shared" si="13"/>
        <v>0</v>
      </c>
    </row>
    <row r="855" spans="1:3" x14ac:dyDescent="0.2">
      <c r="A855" s="10" t="str">
        <f>IF(847&gt;$C$9008,"",INDEX($B$9:$B$9008,MATCH(847,$C$9:$C$9008,0)))</f>
        <v/>
      </c>
      <c r="B855" s="9" t="str">
        <f>IFERROR(INDEX(Input!$L$20:$T$1019,INT((ROW()-9)/9)+1,MOD(ROW()-9,9)+1),"")</f>
        <v/>
      </c>
      <c r="C855" s="9">
        <f t="shared" si="13"/>
        <v>0</v>
      </c>
    </row>
    <row r="856" spans="1:3" x14ac:dyDescent="0.2">
      <c r="A856" s="10" t="str">
        <f>IF(848&gt;$C$9008,"",INDEX($B$9:$B$9008,MATCH(848,$C$9:$C$9008,0)))</f>
        <v/>
      </c>
      <c r="B856" s="9" t="str">
        <f>IFERROR(INDEX(Input!$L$20:$T$1019,INT((ROW()-9)/9)+1,MOD(ROW()-9,9)+1),"")</f>
        <v/>
      </c>
      <c r="C856" s="9">
        <f t="shared" si="13"/>
        <v>0</v>
      </c>
    </row>
    <row r="857" spans="1:3" x14ac:dyDescent="0.2">
      <c r="A857" s="10" t="str">
        <f>IF(849&gt;$C$9008,"",INDEX($B$9:$B$9008,MATCH(849,$C$9:$C$9008,0)))</f>
        <v/>
      </c>
      <c r="B857" s="9" t="str">
        <f>IFERROR(INDEX(Input!$L$20:$T$1019,INT((ROW()-9)/9)+1,MOD(ROW()-9,9)+1),"")</f>
        <v/>
      </c>
      <c r="C857" s="9">
        <f t="shared" si="13"/>
        <v>0</v>
      </c>
    </row>
    <row r="858" spans="1:3" x14ac:dyDescent="0.2">
      <c r="A858" s="10" t="str">
        <f>IF(850&gt;$C$9008,"",INDEX($B$9:$B$9008,MATCH(850,$C$9:$C$9008,0)))</f>
        <v/>
      </c>
      <c r="B858" s="9" t="str">
        <f>IFERROR(INDEX(Input!$L$20:$T$1019,INT((ROW()-9)/9)+1,MOD(ROW()-9,9)+1),"")</f>
        <v/>
      </c>
      <c r="C858" s="9">
        <f t="shared" si="13"/>
        <v>0</v>
      </c>
    </row>
    <row r="859" spans="1:3" x14ac:dyDescent="0.2">
      <c r="A859" s="10" t="str">
        <f>IF(851&gt;$C$9008,"",INDEX($B$9:$B$9008,MATCH(851,$C$9:$C$9008,0)))</f>
        <v/>
      </c>
      <c r="B859" s="9" t="str">
        <f>IFERROR(INDEX(Input!$L$20:$T$1019,INT((ROW()-9)/9)+1,MOD(ROW()-9,9)+1),"")</f>
        <v/>
      </c>
      <c r="C859" s="9">
        <f t="shared" si="13"/>
        <v>0</v>
      </c>
    </row>
    <row r="860" spans="1:3" x14ac:dyDescent="0.2">
      <c r="A860" s="10" t="str">
        <f>IF(852&gt;$C$9008,"",INDEX($B$9:$B$9008,MATCH(852,$C$9:$C$9008,0)))</f>
        <v/>
      </c>
      <c r="B860" s="9" t="str">
        <f>IFERROR(INDEX(Input!$L$20:$T$1019,INT((ROW()-9)/9)+1,MOD(ROW()-9,9)+1),"")</f>
        <v/>
      </c>
      <c r="C860" s="9">
        <f t="shared" si="13"/>
        <v>0</v>
      </c>
    </row>
    <row r="861" spans="1:3" x14ac:dyDescent="0.2">
      <c r="A861" s="10" t="str">
        <f>IF(853&gt;$C$9008,"",INDEX($B$9:$B$9008,MATCH(853,$C$9:$C$9008,0)))</f>
        <v/>
      </c>
      <c r="B861" s="9" t="str">
        <f>IFERROR(INDEX(Input!$L$20:$T$1019,INT((ROW()-9)/9)+1,MOD(ROW()-9,9)+1),"")</f>
        <v/>
      </c>
      <c r="C861" s="9">
        <f t="shared" si="13"/>
        <v>0</v>
      </c>
    </row>
    <row r="862" spans="1:3" x14ac:dyDescent="0.2">
      <c r="A862" s="10" t="str">
        <f>IF(854&gt;$C$9008,"",INDEX($B$9:$B$9008,MATCH(854,$C$9:$C$9008,0)))</f>
        <v/>
      </c>
      <c r="B862" s="9" t="str">
        <f>IFERROR(INDEX(Input!$L$20:$T$1019,INT((ROW()-9)/9)+1,MOD(ROW()-9,9)+1),"")</f>
        <v/>
      </c>
      <c r="C862" s="9">
        <f t="shared" si="13"/>
        <v>0</v>
      </c>
    </row>
    <row r="863" spans="1:3" x14ac:dyDescent="0.2">
      <c r="A863" s="10" t="str">
        <f>IF(855&gt;$C$9008,"",INDEX($B$9:$B$9008,MATCH(855,$C$9:$C$9008,0)))</f>
        <v/>
      </c>
      <c r="B863" s="9" t="str">
        <f>IFERROR(INDEX(Input!$L$20:$T$1019,INT((ROW()-9)/9)+1,MOD(ROW()-9,9)+1),"")</f>
        <v/>
      </c>
      <c r="C863" s="9">
        <f t="shared" si="13"/>
        <v>0</v>
      </c>
    </row>
    <row r="864" spans="1:3" x14ac:dyDescent="0.2">
      <c r="A864" s="10" t="str">
        <f>IF(856&gt;$C$9008,"",INDEX($B$9:$B$9008,MATCH(856,$C$9:$C$9008,0)))</f>
        <v/>
      </c>
      <c r="B864" s="9" t="str">
        <f>IFERROR(INDEX(Input!$L$20:$T$1019,INT((ROW()-9)/9)+1,MOD(ROW()-9,9)+1),"")</f>
        <v/>
      </c>
      <c r="C864" s="9">
        <f t="shared" si="13"/>
        <v>0</v>
      </c>
    </row>
    <row r="865" spans="1:3" x14ac:dyDescent="0.2">
      <c r="A865" s="10" t="str">
        <f>IF(857&gt;$C$9008,"",INDEX($B$9:$B$9008,MATCH(857,$C$9:$C$9008,0)))</f>
        <v/>
      </c>
      <c r="B865" s="9" t="str">
        <f>IFERROR(INDEX(Input!$L$20:$T$1019,INT((ROW()-9)/9)+1,MOD(ROW()-9,9)+1),"")</f>
        <v/>
      </c>
      <c r="C865" s="9">
        <f t="shared" si="13"/>
        <v>0</v>
      </c>
    </row>
    <row r="866" spans="1:3" x14ac:dyDescent="0.2">
      <c r="A866" s="10" t="str">
        <f>IF(858&gt;$C$9008,"",INDEX($B$9:$B$9008,MATCH(858,$C$9:$C$9008,0)))</f>
        <v/>
      </c>
      <c r="B866" s="9" t="str">
        <f>IFERROR(INDEX(Input!$L$20:$T$1019,INT((ROW()-9)/9)+1,MOD(ROW()-9,9)+1),"")</f>
        <v/>
      </c>
      <c r="C866" s="9">
        <f t="shared" si="13"/>
        <v>0</v>
      </c>
    </row>
    <row r="867" spans="1:3" x14ac:dyDescent="0.2">
      <c r="A867" s="10" t="str">
        <f>IF(859&gt;$C$9008,"",INDEX($B$9:$B$9008,MATCH(859,$C$9:$C$9008,0)))</f>
        <v/>
      </c>
      <c r="B867" s="9" t="str">
        <f>IFERROR(INDEX(Input!$L$20:$T$1019,INT((ROW()-9)/9)+1,MOD(ROW()-9,9)+1),"")</f>
        <v/>
      </c>
      <c r="C867" s="9">
        <f t="shared" si="13"/>
        <v>0</v>
      </c>
    </row>
    <row r="868" spans="1:3" x14ac:dyDescent="0.2">
      <c r="A868" s="10" t="str">
        <f>IF(860&gt;$C$9008,"",INDEX($B$9:$B$9008,MATCH(860,$C$9:$C$9008,0)))</f>
        <v/>
      </c>
      <c r="B868" s="9" t="str">
        <f>IFERROR(INDEX(Input!$L$20:$T$1019,INT((ROW()-9)/9)+1,MOD(ROW()-9,9)+1),"")</f>
        <v/>
      </c>
      <c r="C868" s="9">
        <f t="shared" si="13"/>
        <v>0</v>
      </c>
    </row>
    <row r="869" spans="1:3" x14ac:dyDescent="0.2">
      <c r="A869" s="10" t="str">
        <f>IF(861&gt;$C$9008,"",INDEX($B$9:$B$9008,MATCH(861,$C$9:$C$9008,0)))</f>
        <v/>
      </c>
      <c r="B869" s="9" t="str">
        <f>IFERROR(INDEX(Input!$L$20:$T$1019,INT((ROW()-9)/9)+1,MOD(ROW()-9,9)+1),"")</f>
        <v/>
      </c>
      <c r="C869" s="9">
        <f t="shared" si="13"/>
        <v>0</v>
      </c>
    </row>
    <row r="870" spans="1:3" x14ac:dyDescent="0.2">
      <c r="A870" s="10" t="str">
        <f>IF(862&gt;$C$9008,"",INDEX($B$9:$B$9008,MATCH(862,$C$9:$C$9008,0)))</f>
        <v/>
      </c>
      <c r="B870" s="9" t="str">
        <f>IFERROR(INDEX(Input!$L$20:$T$1019,INT((ROW()-9)/9)+1,MOD(ROW()-9,9)+1),"")</f>
        <v/>
      </c>
      <c r="C870" s="9">
        <f t="shared" si="13"/>
        <v>0</v>
      </c>
    </row>
    <row r="871" spans="1:3" x14ac:dyDescent="0.2">
      <c r="A871" s="10" t="str">
        <f>IF(863&gt;$C$9008,"",INDEX($B$9:$B$9008,MATCH(863,$C$9:$C$9008,0)))</f>
        <v/>
      </c>
      <c r="B871" s="9" t="str">
        <f>IFERROR(INDEX(Input!$L$20:$T$1019,INT((ROW()-9)/9)+1,MOD(ROW()-9,9)+1),"")</f>
        <v/>
      </c>
      <c r="C871" s="9">
        <f t="shared" si="13"/>
        <v>0</v>
      </c>
    </row>
    <row r="872" spans="1:3" x14ac:dyDescent="0.2">
      <c r="A872" s="10" t="str">
        <f>IF(864&gt;$C$9008,"",INDEX($B$9:$B$9008,MATCH(864,$C$9:$C$9008,0)))</f>
        <v/>
      </c>
      <c r="B872" s="9" t="str">
        <f>IFERROR(INDEX(Input!$L$20:$T$1019,INT((ROW()-9)/9)+1,MOD(ROW()-9,9)+1),"")</f>
        <v/>
      </c>
      <c r="C872" s="9">
        <f t="shared" si="13"/>
        <v>0</v>
      </c>
    </row>
    <row r="873" spans="1:3" x14ac:dyDescent="0.2">
      <c r="A873" s="10" t="str">
        <f>IF(865&gt;$C$9008,"",INDEX($B$9:$B$9008,MATCH(865,$C$9:$C$9008,0)))</f>
        <v/>
      </c>
      <c r="B873" s="9" t="str">
        <f>IFERROR(INDEX(Input!$L$20:$T$1019,INT((ROW()-9)/9)+1,MOD(ROW()-9,9)+1),"")</f>
        <v/>
      </c>
      <c r="C873" s="9">
        <f t="shared" si="13"/>
        <v>0</v>
      </c>
    </row>
    <row r="874" spans="1:3" x14ac:dyDescent="0.2">
      <c r="A874" s="10" t="str">
        <f>IF(866&gt;$C$9008,"",INDEX($B$9:$B$9008,MATCH(866,$C$9:$C$9008,0)))</f>
        <v/>
      </c>
      <c r="B874" s="9" t="str">
        <f>IFERROR(INDEX(Input!$L$20:$T$1019,INT((ROW()-9)/9)+1,MOD(ROW()-9,9)+1),"")</f>
        <v/>
      </c>
      <c r="C874" s="9">
        <f t="shared" si="13"/>
        <v>0</v>
      </c>
    </row>
    <row r="875" spans="1:3" x14ac:dyDescent="0.2">
      <c r="A875" s="10" t="str">
        <f>IF(867&gt;$C$9008,"",INDEX($B$9:$B$9008,MATCH(867,$C$9:$C$9008,0)))</f>
        <v/>
      </c>
      <c r="B875" s="9" t="str">
        <f>IFERROR(INDEX(Input!$L$20:$T$1019,INT((ROW()-9)/9)+1,MOD(ROW()-9,9)+1),"")</f>
        <v/>
      </c>
      <c r="C875" s="9">
        <f t="shared" si="13"/>
        <v>0</v>
      </c>
    </row>
    <row r="876" spans="1:3" x14ac:dyDescent="0.2">
      <c r="A876" s="10" t="str">
        <f>IF(868&gt;$C$9008,"",INDEX($B$9:$B$9008,MATCH(868,$C$9:$C$9008,0)))</f>
        <v/>
      </c>
      <c r="B876" s="9" t="str">
        <f>IFERROR(INDEX(Input!$L$20:$T$1019,INT((ROW()-9)/9)+1,MOD(ROW()-9,9)+1),"")</f>
        <v/>
      </c>
      <c r="C876" s="9">
        <f t="shared" si="13"/>
        <v>0</v>
      </c>
    </row>
    <row r="877" spans="1:3" x14ac:dyDescent="0.2">
      <c r="A877" s="10" t="str">
        <f>IF(869&gt;$C$9008,"",INDEX($B$9:$B$9008,MATCH(869,$C$9:$C$9008,0)))</f>
        <v/>
      </c>
      <c r="B877" s="9" t="str">
        <f>IFERROR(INDEX(Input!$L$20:$T$1019,INT((ROW()-9)/9)+1,MOD(ROW()-9,9)+1),"")</f>
        <v/>
      </c>
      <c r="C877" s="9">
        <f t="shared" si="13"/>
        <v>0</v>
      </c>
    </row>
    <row r="878" spans="1:3" x14ac:dyDescent="0.2">
      <c r="A878" s="10" t="str">
        <f>IF(870&gt;$C$9008,"",INDEX($B$9:$B$9008,MATCH(870,$C$9:$C$9008,0)))</f>
        <v/>
      </c>
      <c r="B878" s="9" t="str">
        <f>IFERROR(INDEX(Input!$L$20:$T$1019,INT((ROW()-9)/9)+1,MOD(ROW()-9,9)+1),"")</f>
        <v/>
      </c>
      <c r="C878" s="9">
        <f t="shared" si="13"/>
        <v>0</v>
      </c>
    </row>
    <row r="879" spans="1:3" x14ac:dyDescent="0.2">
      <c r="A879" s="10" t="str">
        <f>IF(871&gt;$C$9008,"",INDEX($B$9:$B$9008,MATCH(871,$C$9:$C$9008,0)))</f>
        <v/>
      </c>
      <c r="B879" s="9" t="str">
        <f>IFERROR(INDEX(Input!$L$20:$T$1019,INT((ROW()-9)/9)+1,MOD(ROW()-9,9)+1),"")</f>
        <v/>
      </c>
      <c r="C879" s="9">
        <f t="shared" si="13"/>
        <v>0</v>
      </c>
    </row>
    <row r="880" spans="1:3" x14ac:dyDescent="0.2">
      <c r="A880" s="10" t="str">
        <f>IF(872&gt;$C$9008,"",INDEX($B$9:$B$9008,MATCH(872,$C$9:$C$9008,0)))</f>
        <v/>
      </c>
      <c r="B880" s="9" t="str">
        <f>IFERROR(INDEX(Input!$L$20:$T$1019,INT((ROW()-9)/9)+1,MOD(ROW()-9,9)+1),"")</f>
        <v/>
      </c>
      <c r="C880" s="9">
        <f t="shared" si="13"/>
        <v>0</v>
      </c>
    </row>
    <row r="881" spans="1:3" x14ac:dyDescent="0.2">
      <c r="A881" s="10" t="str">
        <f>IF(873&gt;$C$9008,"",INDEX($B$9:$B$9008,MATCH(873,$C$9:$C$9008,0)))</f>
        <v/>
      </c>
      <c r="B881" s="9" t="str">
        <f>IFERROR(INDEX(Input!$L$20:$T$1019,INT((ROW()-9)/9)+1,MOD(ROW()-9,9)+1),"")</f>
        <v/>
      </c>
      <c r="C881" s="9">
        <f t="shared" si="13"/>
        <v>0</v>
      </c>
    </row>
    <row r="882" spans="1:3" x14ac:dyDescent="0.2">
      <c r="A882" s="10" t="str">
        <f>IF(874&gt;$C$9008,"",INDEX($B$9:$B$9008,MATCH(874,$C$9:$C$9008,0)))</f>
        <v/>
      </c>
      <c r="B882" s="9" t="str">
        <f>IFERROR(INDEX(Input!$L$20:$T$1019,INT((ROW()-9)/9)+1,MOD(ROW()-9,9)+1),"")</f>
        <v/>
      </c>
      <c r="C882" s="9">
        <f t="shared" si="13"/>
        <v>0</v>
      </c>
    </row>
    <row r="883" spans="1:3" x14ac:dyDescent="0.2">
      <c r="A883" s="10" t="str">
        <f>IF(875&gt;$C$9008,"",INDEX($B$9:$B$9008,MATCH(875,$C$9:$C$9008,0)))</f>
        <v/>
      </c>
      <c r="B883" s="9" t="str">
        <f>IFERROR(INDEX(Input!$L$20:$T$1019,INT((ROW()-9)/9)+1,MOD(ROW()-9,9)+1),"")</f>
        <v/>
      </c>
      <c r="C883" s="9">
        <f t="shared" si="13"/>
        <v>0</v>
      </c>
    </row>
    <row r="884" spans="1:3" x14ac:dyDescent="0.2">
      <c r="A884" s="10" t="str">
        <f>IF(876&gt;$C$9008,"",INDEX($B$9:$B$9008,MATCH(876,$C$9:$C$9008,0)))</f>
        <v/>
      </c>
      <c r="B884" s="9" t="str">
        <f>IFERROR(INDEX(Input!$L$20:$T$1019,INT((ROW()-9)/9)+1,MOD(ROW()-9,9)+1),"")</f>
        <v/>
      </c>
      <c r="C884" s="9">
        <f t="shared" si="13"/>
        <v>0</v>
      </c>
    </row>
    <row r="885" spans="1:3" x14ac:dyDescent="0.2">
      <c r="A885" s="10" t="str">
        <f>IF(877&gt;$C$9008,"",INDEX($B$9:$B$9008,MATCH(877,$C$9:$C$9008,0)))</f>
        <v/>
      </c>
      <c r="B885" s="9" t="str">
        <f>IFERROR(INDEX(Input!$L$20:$T$1019,INT((ROW()-9)/9)+1,MOD(ROW()-9,9)+1),"")</f>
        <v/>
      </c>
      <c r="C885" s="9">
        <f t="shared" si="13"/>
        <v>0</v>
      </c>
    </row>
    <row r="886" spans="1:3" x14ac:dyDescent="0.2">
      <c r="A886" s="10" t="str">
        <f>IF(878&gt;$C$9008,"",INDEX($B$9:$B$9008,MATCH(878,$C$9:$C$9008,0)))</f>
        <v/>
      </c>
      <c r="B886" s="9" t="str">
        <f>IFERROR(INDEX(Input!$L$20:$T$1019,INT((ROW()-9)/9)+1,MOD(ROW()-9,9)+1),"")</f>
        <v/>
      </c>
      <c r="C886" s="9">
        <f t="shared" si="13"/>
        <v>0</v>
      </c>
    </row>
    <row r="887" spans="1:3" x14ac:dyDescent="0.2">
      <c r="A887" s="10" t="str">
        <f>IF(879&gt;$C$9008,"",INDEX($B$9:$B$9008,MATCH(879,$C$9:$C$9008,0)))</f>
        <v/>
      </c>
      <c r="B887" s="9" t="str">
        <f>IFERROR(INDEX(Input!$L$20:$T$1019,INT((ROW()-9)/9)+1,MOD(ROW()-9,9)+1),"")</f>
        <v/>
      </c>
      <c r="C887" s="9">
        <f t="shared" si="13"/>
        <v>0</v>
      </c>
    </row>
    <row r="888" spans="1:3" x14ac:dyDescent="0.2">
      <c r="A888" s="10" t="str">
        <f>IF(880&gt;$C$9008,"",INDEX($B$9:$B$9008,MATCH(880,$C$9:$C$9008,0)))</f>
        <v/>
      </c>
      <c r="B888" s="9" t="str">
        <f>IFERROR(INDEX(Input!$L$20:$T$1019,INT((ROW()-9)/9)+1,MOD(ROW()-9,9)+1),"")</f>
        <v/>
      </c>
      <c r="C888" s="9">
        <f t="shared" si="13"/>
        <v>0</v>
      </c>
    </row>
    <row r="889" spans="1:3" x14ac:dyDescent="0.2">
      <c r="A889" s="10" t="str">
        <f>IF(881&gt;$C$9008,"",INDEX($B$9:$B$9008,MATCH(881,$C$9:$C$9008,0)))</f>
        <v/>
      </c>
      <c r="B889" s="9" t="str">
        <f>IFERROR(INDEX(Input!$L$20:$T$1019,INT((ROW()-9)/9)+1,MOD(ROW()-9,9)+1),"")</f>
        <v/>
      </c>
      <c r="C889" s="9">
        <f t="shared" si="13"/>
        <v>0</v>
      </c>
    </row>
    <row r="890" spans="1:3" x14ac:dyDescent="0.2">
      <c r="A890" s="10" t="str">
        <f>IF(882&gt;$C$9008,"",INDEX($B$9:$B$9008,MATCH(882,$C$9:$C$9008,0)))</f>
        <v/>
      </c>
      <c r="B890" s="9" t="str">
        <f>IFERROR(INDEX(Input!$L$20:$T$1019,INT((ROW()-9)/9)+1,MOD(ROW()-9,9)+1),"")</f>
        <v/>
      </c>
      <c r="C890" s="9">
        <f t="shared" si="13"/>
        <v>0</v>
      </c>
    </row>
    <row r="891" spans="1:3" x14ac:dyDescent="0.2">
      <c r="A891" s="10" t="str">
        <f>IF(883&gt;$C$9008,"",INDEX($B$9:$B$9008,MATCH(883,$C$9:$C$9008,0)))</f>
        <v/>
      </c>
      <c r="B891" s="9" t="str">
        <f>IFERROR(INDEX(Input!$L$20:$T$1019,INT((ROW()-9)/9)+1,MOD(ROW()-9,9)+1),"")</f>
        <v/>
      </c>
      <c r="C891" s="9">
        <f t="shared" si="13"/>
        <v>0</v>
      </c>
    </row>
    <row r="892" spans="1:3" x14ac:dyDescent="0.2">
      <c r="A892" s="10" t="str">
        <f>IF(884&gt;$C$9008,"",INDEX($B$9:$B$9008,MATCH(884,$C$9:$C$9008,0)))</f>
        <v/>
      </c>
      <c r="B892" s="9" t="str">
        <f>IFERROR(INDEX(Input!$L$20:$T$1019,INT((ROW()-9)/9)+1,MOD(ROW()-9,9)+1),"")</f>
        <v/>
      </c>
      <c r="C892" s="9">
        <f t="shared" si="13"/>
        <v>0</v>
      </c>
    </row>
    <row r="893" spans="1:3" x14ac:dyDescent="0.2">
      <c r="A893" s="10" t="str">
        <f>IF(885&gt;$C$9008,"",INDEX($B$9:$B$9008,MATCH(885,$C$9:$C$9008,0)))</f>
        <v/>
      </c>
      <c r="B893" s="9" t="str">
        <f>IFERROR(INDEX(Input!$L$20:$T$1019,INT((ROW()-9)/9)+1,MOD(ROW()-9,9)+1),"")</f>
        <v/>
      </c>
      <c r="C893" s="9">
        <f t="shared" si="13"/>
        <v>0</v>
      </c>
    </row>
    <row r="894" spans="1:3" x14ac:dyDescent="0.2">
      <c r="A894" s="10" t="str">
        <f>IF(886&gt;$C$9008,"",INDEX($B$9:$B$9008,MATCH(886,$C$9:$C$9008,0)))</f>
        <v/>
      </c>
      <c r="B894" s="9" t="str">
        <f>IFERROR(INDEX(Input!$L$20:$T$1019,INT((ROW()-9)/9)+1,MOD(ROW()-9,9)+1),"")</f>
        <v/>
      </c>
      <c r="C894" s="9">
        <f t="shared" si="13"/>
        <v>0</v>
      </c>
    </row>
    <row r="895" spans="1:3" x14ac:dyDescent="0.2">
      <c r="A895" s="10" t="str">
        <f>IF(887&gt;$C$9008,"",INDEX($B$9:$B$9008,MATCH(887,$C$9:$C$9008,0)))</f>
        <v/>
      </c>
      <c r="B895" s="9" t="str">
        <f>IFERROR(INDEX(Input!$L$20:$T$1019,INT((ROW()-9)/9)+1,MOD(ROW()-9,9)+1),"")</f>
        <v/>
      </c>
      <c r="C895" s="9">
        <f t="shared" si="13"/>
        <v>0</v>
      </c>
    </row>
    <row r="896" spans="1:3" x14ac:dyDescent="0.2">
      <c r="A896" s="10" t="str">
        <f>IF(888&gt;$C$9008,"",INDEX($B$9:$B$9008,MATCH(888,$C$9:$C$9008,0)))</f>
        <v/>
      </c>
      <c r="B896" s="9" t="str">
        <f>IFERROR(INDEX(Input!$L$20:$T$1019,INT((ROW()-9)/9)+1,MOD(ROW()-9,9)+1),"")</f>
        <v/>
      </c>
      <c r="C896" s="9">
        <f t="shared" si="13"/>
        <v>0</v>
      </c>
    </row>
    <row r="897" spans="1:3" x14ac:dyDescent="0.2">
      <c r="A897" s="10" t="str">
        <f>IF(889&gt;$C$9008,"",INDEX($B$9:$B$9008,MATCH(889,$C$9:$C$9008,0)))</f>
        <v/>
      </c>
      <c r="B897" s="9" t="str">
        <f>IFERROR(INDEX(Input!$L$20:$T$1019,INT((ROW()-9)/9)+1,MOD(ROW()-9,9)+1),"")</f>
        <v/>
      </c>
      <c r="C897" s="9">
        <f t="shared" si="13"/>
        <v>0</v>
      </c>
    </row>
    <row r="898" spans="1:3" x14ac:dyDescent="0.2">
      <c r="A898" s="10" t="str">
        <f>IF(890&gt;$C$9008,"",INDEX($B$9:$B$9008,MATCH(890,$C$9:$C$9008,0)))</f>
        <v/>
      </c>
      <c r="B898" s="9" t="str">
        <f>IFERROR(INDEX(Input!$L$20:$T$1019,INT((ROW()-9)/9)+1,MOD(ROW()-9,9)+1),"")</f>
        <v/>
      </c>
      <c r="C898" s="9">
        <f t="shared" si="13"/>
        <v>0</v>
      </c>
    </row>
    <row r="899" spans="1:3" x14ac:dyDescent="0.2">
      <c r="A899" s="10" t="str">
        <f>IF(891&gt;$C$9008,"",INDEX($B$9:$B$9008,MATCH(891,$C$9:$C$9008,0)))</f>
        <v/>
      </c>
      <c r="B899" s="9" t="str">
        <f>IFERROR(INDEX(Input!$L$20:$T$1019,INT((ROW()-9)/9)+1,MOD(ROW()-9,9)+1),"")</f>
        <v/>
      </c>
      <c r="C899" s="9">
        <f t="shared" si="13"/>
        <v>0</v>
      </c>
    </row>
    <row r="900" spans="1:3" x14ac:dyDescent="0.2">
      <c r="A900" s="10" t="str">
        <f>IF(892&gt;$C$9008,"",INDEX($B$9:$B$9008,MATCH(892,$C$9:$C$9008,0)))</f>
        <v/>
      </c>
      <c r="B900" s="9" t="str">
        <f>IFERROR(INDEX(Input!$L$20:$T$1019,INT((ROW()-9)/9)+1,MOD(ROW()-9,9)+1),"")</f>
        <v/>
      </c>
      <c r="C900" s="9">
        <f t="shared" si="13"/>
        <v>0</v>
      </c>
    </row>
    <row r="901" spans="1:3" x14ac:dyDescent="0.2">
      <c r="A901" s="10" t="str">
        <f>IF(893&gt;$C$9008,"",INDEX($B$9:$B$9008,MATCH(893,$C$9:$C$9008,0)))</f>
        <v/>
      </c>
      <c r="B901" s="9" t="str">
        <f>IFERROR(INDEX(Input!$L$20:$T$1019,INT((ROW()-9)/9)+1,MOD(ROW()-9,9)+1),"")</f>
        <v/>
      </c>
      <c r="C901" s="9">
        <f t="shared" si="13"/>
        <v>0</v>
      </c>
    </row>
    <row r="902" spans="1:3" x14ac:dyDescent="0.2">
      <c r="A902" s="10" t="str">
        <f>IF(894&gt;$C$9008,"",INDEX($B$9:$B$9008,MATCH(894,$C$9:$C$9008,0)))</f>
        <v/>
      </c>
      <c r="B902" s="9" t="str">
        <f>IFERROR(INDEX(Input!$L$20:$T$1019,INT((ROW()-9)/9)+1,MOD(ROW()-9,9)+1),"")</f>
        <v/>
      </c>
      <c r="C902" s="9">
        <f t="shared" si="13"/>
        <v>0</v>
      </c>
    </row>
    <row r="903" spans="1:3" x14ac:dyDescent="0.2">
      <c r="A903" s="10" t="str">
        <f>IF(895&gt;$C$9008,"",INDEX($B$9:$B$9008,MATCH(895,$C$9:$C$9008,0)))</f>
        <v/>
      </c>
      <c r="B903" s="9" t="str">
        <f>IFERROR(INDEX(Input!$L$20:$T$1019,INT((ROW()-9)/9)+1,MOD(ROW()-9,9)+1),"")</f>
        <v/>
      </c>
      <c r="C903" s="9">
        <f t="shared" si="13"/>
        <v>0</v>
      </c>
    </row>
    <row r="904" spans="1:3" x14ac:dyDescent="0.2">
      <c r="A904" s="10" t="str">
        <f>IF(896&gt;$C$9008,"",INDEX($B$9:$B$9008,MATCH(896,$C$9:$C$9008,0)))</f>
        <v/>
      </c>
      <c r="B904" s="9" t="str">
        <f>IFERROR(INDEX(Input!$L$20:$T$1019,INT((ROW()-9)/9)+1,MOD(ROW()-9,9)+1),"")</f>
        <v/>
      </c>
      <c r="C904" s="9">
        <f t="shared" si="13"/>
        <v>0</v>
      </c>
    </row>
    <row r="905" spans="1:3" x14ac:dyDescent="0.2">
      <c r="A905" s="10" t="str">
        <f>IF(897&gt;$C$9008,"",INDEX($B$9:$B$9008,MATCH(897,$C$9:$C$9008,0)))</f>
        <v/>
      </c>
      <c r="B905" s="9" t="str">
        <f>IFERROR(INDEX(Input!$L$20:$T$1019,INT((ROW()-9)/9)+1,MOD(ROW()-9,9)+1),"")</f>
        <v/>
      </c>
      <c r="C905" s="9">
        <f t="shared" ref="C905:C968" si="14">$C904+IF($B905&lt;&gt;"",1,0)</f>
        <v>0</v>
      </c>
    </row>
    <row r="906" spans="1:3" x14ac:dyDescent="0.2">
      <c r="A906" s="10" t="str">
        <f>IF(898&gt;$C$9008,"",INDEX($B$9:$B$9008,MATCH(898,$C$9:$C$9008,0)))</f>
        <v/>
      </c>
      <c r="B906" s="9" t="str">
        <f>IFERROR(INDEX(Input!$L$20:$T$1019,INT((ROW()-9)/9)+1,MOD(ROW()-9,9)+1),"")</f>
        <v/>
      </c>
      <c r="C906" s="9">
        <f t="shared" si="14"/>
        <v>0</v>
      </c>
    </row>
    <row r="907" spans="1:3" x14ac:dyDescent="0.2">
      <c r="A907" s="10" t="str">
        <f>IF(899&gt;$C$9008,"",INDEX($B$9:$B$9008,MATCH(899,$C$9:$C$9008,0)))</f>
        <v/>
      </c>
      <c r="B907" s="9" t="str">
        <f>IFERROR(INDEX(Input!$L$20:$T$1019,INT((ROW()-9)/9)+1,MOD(ROW()-9,9)+1),"")</f>
        <v/>
      </c>
      <c r="C907" s="9">
        <f t="shared" si="14"/>
        <v>0</v>
      </c>
    </row>
    <row r="908" spans="1:3" x14ac:dyDescent="0.2">
      <c r="A908" s="10" t="str">
        <f>IF(900&gt;$C$9008,"",INDEX($B$9:$B$9008,MATCH(900,$C$9:$C$9008,0)))</f>
        <v/>
      </c>
      <c r="B908" s="9" t="str">
        <f>IFERROR(INDEX(Input!$L$20:$T$1019,INT((ROW()-9)/9)+1,MOD(ROW()-9,9)+1),"")</f>
        <v/>
      </c>
      <c r="C908" s="9">
        <f t="shared" si="14"/>
        <v>0</v>
      </c>
    </row>
    <row r="909" spans="1:3" x14ac:dyDescent="0.2">
      <c r="A909" s="10" t="str">
        <f>IF(901&gt;$C$9008,"",INDEX($B$9:$B$9008,MATCH(901,$C$9:$C$9008,0)))</f>
        <v/>
      </c>
      <c r="B909" s="9" t="str">
        <f>IFERROR(INDEX(Input!$L$20:$T$1019,INT((ROW()-9)/9)+1,MOD(ROW()-9,9)+1),"")</f>
        <v/>
      </c>
      <c r="C909" s="9">
        <f t="shared" si="14"/>
        <v>0</v>
      </c>
    </row>
    <row r="910" spans="1:3" x14ac:dyDescent="0.2">
      <c r="A910" s="10" t="str">
        <f>IF(902&gt;$C$9008,"",INDEX($B$9:$B$9008,MATCH(902,$C$9:$C$9008,0)))</f>
        <v/>
      </c>
      <c r="B910" s="9" t="str">
        <f>IFERROR(INDEX(Input!$L$20:$T$1019,INT((ROW()-9)/9)+1,MOD(ROW()-9,9)+1),"")</f>
        <v/>
      </c>
      <c r="C910" s="9">
        <f t="shared" si="14"/>
        <v>0</v>
      </c>
    </row>
    <row r="911" spans="1:3" x14ac:dyDescent="0.2">
      <c r="A911" s="10" t="str">
        <f>IF(903&gt;$C$9008,"",INDEX($B$9:$B$9008,MATCH(903,$C$9:$C$9008,0)))</f>
        <v/>
      </c>
      <c r="B911" s="9" t="str">
        <f>IFERROR(INDEX(Input!$L$20:$T$1019,INT((ROW()-9)/9)+1,MOD(ROW()-9,9)+1),"")</f>
        <v/>
      </c>
      <c r="C911" s="9">
        <f t="shared" si="14"/>
        <v>0</v>
      </c>
    </row>
    <row r="912" spans="1:3" x14ac:dyDescent="0.2">
      <c r="A912" s="10" t="str">
        <f>IF(904&gt;$C$9008,"",INDEX($B$9:$B$9008,MATCH(904,$C$9:$C$9008,0)))</f>
        <v/>
      </c>
      <c r="B912" s="9" t="str">
        <f>IFERROR(INDEX(Input!$L$20:$T$1019,INT((ROW()-9)/9)+1,MOD(ROW()-9,9)+1),"")</f>
        <v/>
      </c>
      <c r="C912" s="9">
        <f t="shared" si="14"/>
        <v>0</v>
      </c>
    </row>
    <row r="913" spans="1:3" x14ac:dyDescent="0.2">
      <c r="A913" s="10" t="str">
        <f>IF(905&gt;$C$9008,"",INDEX($B$9:$B$9008,MATCH(905,$C$9:$C$9008,0)))</f>
        <v/>
      </c>
      <c r="B913" s="9" t="str">
        <f>IFERROR(INDEX(Input!$L$20:$T$1019,INT((ROW()-9)/9)+1,MOD(ROW()-9,9)+1),"")</f>
        <v/>
      </c>
      <c r="C913" s="9">
        <f t="shared" si="14"/>
        <v>0</v>
      </c>
    </row>
    <row r="914" spans="1:3" x14ac:dyDescent="0.2">
      <c r="A914" s="10" t="str">
        <f>IF(906&gt;$C$9008,"",INDEX($B$9:$B$9008,MATCH(906,$C$9:$C$9008,0)))</f>
        <v/>
      </c>
      <c r="B914" s="9" t="str">
        <f>IFERROR(INDEX(Input!$L$20:$T$1019,INT((ROW()-9)/9)+1,MOD(ROW()-9,9)+1),"")</f>
        <v/>
      </c>
      <c r="C914" s="9">
        <f t="shared" si="14"/>
        <v>0</v>
      </c>
    </row>
    <row r="915" spans="1:3" x14ac:dyDescent="0.2">
      <c r="A915" s="10" t="str">
        <f>IF(907&gt;$C$9008,"",INDEX($B$9:$B$9008,MATCH(907,$C$9:$C$9008,0)))</f>
        <v/>
      </c>
      <c r="B915" s="9" t="str">
        <f>IFERROR(INDEX(Input!$L$20:$T$1019,INT((ROW()-9)/9)+1,MOD(ROW()-9,9)+1),"")</f>
        <v/>
      </c>
      <c r="C915" s="9">
        <f t="shared" si="14"/>
        <v>0</v>
      </c>
    </row>
    <row r="916" spans="1:3" x14ac:dyDescent="0.2">
      <c r="A916" s="10" t="str">
        <f>IF(908&gt;$C$9008,"",INDEX($B$9:$B$9008,MATCH(908,$C$9:$C$9008,0)))</f>
        <v/>
      </c>
      <c r="B916" s="9" t="str">
        <f>IFERROR(INDEX(Input!$L$20:$T$1019,INT((ROW()-9)/9)+1,MOD(ROW()-9,9)+1),"")</f>
        <v/>
      </c>
      <c r="C916" s="9">
        <f t="shared" si="14"/>
        <v>0</v>
      </c>
    </row>
    <row r="917" spans="1:3" x14ac:dyDescent="0.2">
      <c r="A917" s="10" t="str">
        <f>IF(909&gt;$C$9008,"",INDEX($B$9:$B$9008,MATCH(909,$C$9:$C$9008,0)))</f>
        <v/>
      </c>
      <c r="B917" s="9" t="str">
        <f>IFERROR(INDEX(Input!$L$20:$T$1019,INT((ROW()-9)/9)+1,MOD(ROW()-9,9)+1),"")</f>
        <v/>
      </c>
      <c r="C917" s="9">
        <f t="shared" si="14"/>
        <v>0</v>
      </c>
    </row>
    <row r="918" spans="1:3" x14ac:dyDescent="0.2">
      <c r="A918" s="10" t="str">
        <f>IF(910&gt;$C$9008,"",INDEX($B$9:$B$9008,MATCH(910,$C$9:$C$9008,0)))</f>
        <v/>
      </c>
      <c r="B918" s="9" t="str">
        <f>IFERROR(INDEX(Input!$L$20:$T$1019,INT((ROW()-9)/9)+1,MOD(ROW()-9,9)+1),"")</f>
        <v/>
      </c>
      <c r="C918" s="9">
        <f t="shared" si="14"/>
        <v>0</v>
      </c>
    </row>
    <row r="919" spans="1:3" x14ac:dyDescent="0.2">
      <c r="A919" s="10" t="str">
        <f>IF(911&gt;$C$9008,"",INDEX($B$9:$B$9008,MATCH(911,$C$9:$C$9008,0)))</f>
        <v/>
      </c>
      <c r="B919" s="9" t="str">
        <f>IFERROR(INDEX(Input!$L$20:$T$1019,INT((ROW()-9)/9)+1,MOD(ROW()-9,9)+1),"")</f>
        <v/>
      </c>
      <c r="C919" s="9">
        <f t="shared" si="14"/>
        <v>0</v>
      </c>
    </row>
    <row r="920" spans="1:3" x14ac:dyDescent="0.2">
      <c r="A920" s="10" t="str">
        <f>IF(912&gt;$C$9008,"",INDEX($B$9:$B$9008,MATCH(912,$C$9:$C$9008,0)))</f>
        <v/>
      </c>
      <c r="B920" s="9" t="str">
        <f>IFERROR(INDEX(Input!$L$20:$T$1019,INT((ROW()-9)/9)+1,MOD(ROW()-9,9)+1),"")</f>
        <v/>
      </c>
      <c r="C920" s="9">
        <f t="shared" si="14"/>
        <v>0</v>
      </c>
    </row>
    <row r="921" spans="1:3" x14ac:dyDescent="0.2">
      <c r="A921" s="10" t="str">
        <f>IF(913&gt;$C$9008,"",INDEX($B$9:$B$9008,MATCH(913,$C$9:$C$9008,0)))</f>
        <v/>
      </c>
      <c r="B921" s="9" t="str">
        <f>IFERROR(INDEX(Input!$L$20:$T$1019,INT((ROW()-9)/9)+1,MOD(ROW()-9,9)+1),"")</f>
        <v/>
      </c>
      <c r="C921" s="9">
        <f t="shared" si="14"/>
        <v>0</v>
      </c>
    </row>
    <row r="922" spans="1:3" x14ac:dyDescent="0.2">
      <c r="A922" s="10" t="str">
        <f>IF(914&gt;$C$9008,"",INDEX($B$9:$B$9008,MATCH(914,$C$9:$C$9008,0)))</f>
        <v/>
      </c>
      <c r="B922" s="9" t="str">
        <f>IFERROR(INDEX(Input!$L$20:$T$1019,INT((ROW()-9)/9)+1,MOD(ROW()-9,9)+1),"")</f>
        <v/>
      </c>
      <c r="C922" s="9">
        <f t="shared" si="14"/>
        <v>0</v>
      </c>
    </row>
    <row r="923" spans="1:3" x14ac:dyDescent="0.2">
      <c r="A923" s="10" t="str">
        <f>IF(915&gt;$C$9008,"",INDEX($B$9:$B$9008,MATCH(915,$C$9:$C$9008,0)))</f>
        <v/>
      </c>
      <c r="B923" s="9" t="str">
        <f>IFERROR(INDEX(Input!$L$20:$T$1019,INT((ROW()-9)/9)+1,MOD(ROW()-9,9)+1),"")</f>
        <v/>
      </c>
      <c r="C923" s="9">
        <f t="shared" si="14"/>
        <v>0</v>
      </c>
    </row>
    <row r="924" spans="1:3" x14ac:dyDescent="0.2">
      <c r="A924" s="10" t="str">
        <f>IF(916&gt;$C$9008,"",INDEX($B$9:$B$9008,MATCH(916,$C$9:$C$9008,0)))</f>
        <v/>
      </c>
      <c r="B924" s="9" t="str">
        <f>IFERROR(INDEX(Input!$L$20:$T$1019,INT((ROW()-9)/9)+1,MOD(ROW()-9,9)+1),"")</f>
        <v/>
      </c>
      <c r="C924" s="9">
        <f t="shared" si="14"/>
        <v>0</v>
      </c>
    </row>
    <row r="925" spans="1:3" x14ac:dyDescent="0.2">
      <c r="A925" s="10" t="str">
        <f>IF(917&gt;$C$9008,"",INDEX($B$9:$B$9008,MATCH(917,$C$9:$C$9008,0)))</f>
        <v/>
      </c>
      <c r="B925" s="9" t="str">
        <f>IFERROR(INDEX(Input!$L$20:$T$1019,INT((ROW()-9)/9)+1,MOD(ROW()-9,9)+1),"")</f>
        <v/>
      </c>
      <c r="C925" s="9">
        <f t="shared" si="14"/>
        <v>0</v>
      </c>
    </row>
    <row r="926" spans="1:3" x14ac:dyDescent="0.2">
      <c r="A926" s="10" t="str">
        <f>IF(918&gt;$C$9008,"",INDEX($B$9:$B$9008,MATCH(918,$C$9:$C$9008,0)))</f>
        <v/>
      </c>
      <c r="B926" s="9" t="str">
        <f>IFERROR(INDEX(Input!$L$20:$T$1019,INT((ROW()-9)/9)+1,MOD(ROW()-9,9)+1),"")</f>
        <v/>
      </c>
      <c r="C926" s="9">
        <f t="shared" si="14"/>
        <v>0</v>
      </c>
    </row>
    <row r="927" spans="1:3" x14ac:dyDescent="0.2">
      <c r="A927" s="10" t="str">
        <f>IF(919&gt;$C$9008,"",INDEX($B$9:$B$9008,MATCH(919,$C$9:$C$9008,0)))</f>
        <v/>
      </c>
      <c r="B927" s="9" t="str">
        <f>IFERROR(INDEX(Input!$L$20:$T$1019,INT((ROW()-9)/9)+1,MOD(ROW()-9,9)+1),"")</f>
        <v/>
      </c>
      <c r="C927" s="9">
        <f t="shared" si="14"/>
        <v>0</v>
      </c>
    </row>
    <row r="928" spans="1:3" x14ac:dyDescent="0.2">
      <c r="A928" s="10" t="str">
        <f>IF(920&gt;$C$9008,"",INDEX($B$9:$B$9008,MATCH(920,$C$9:$C$9008,0)))</f>
        <v/>
      </c>
      <c r="B928" s="9" t="str">
        <f>IFERROR(INDEX(Input!$L$20:$T$1019,INT((ROW()-9)/9)+1,MOD(ROW()-9,9)+1),"")</f>
        <v/>
      </c>
      <c r="C928" s="9">
        <f t="shared" si="14"/>
        <v>0</v>
      </c>
    </row>
    <row r="929" spans="1:3" x14ac:dyDescent="0.2">
      <c r="A929" s="10" t="str">
        <f>IF(921&gt;$C$9008,"",INDEX($B$9:$B$9008,MATCH(921,$C$9:$C$9008,0)))</f>
        <v/>
      </c>
      <c r="B929" s="9" t="str">
        <f>IFERROR(INDEX(Input!$L$20:$T$1019,INT((ROW()-9)/9)+1,MOD(ROW()-9,9)+1),"")</f>
        <v/>
      </c>
      <c r="C929" s="9">
        <f t="shared" si="14"/>
        <v>0</v>
      </c>
    </row>
    <row r="930" spans="1:3" x14ac:dyDescent="0.2">
      <c r="A930" s="10" t="str">
        <f>IF(922&gt;$C$9008,"",INDEX($B$9:$B$9008,MATCH(922,$C$9:$C$9008,0)))</f>
        <v/>
      </c>
      <c r="B930" s="9" t="str">
        <f>IFERROR(INDEX(Input!$L$20:$T$1019,INT((ROW()-9)/9)+1,MOD(ROW()-9,9)+1),"")</f>
        <v/>
      </c>
      <c r="C930" s="9">
        <f t="shared" si="14"/>
        <v>0</v>
      </c>
    </row>
    <row r="931" spans="1:3" x14ac:dyDescent="0.2">
      <c r="A931" s="10" t="str">
        <f>IF(923&gt;$C$9008,"",INDEX($B$9:$B$9008,MATCH(923,$C$9:$C$9008,0)))</f>
        <v/>
      </c>
      <c r="B931" s="9" t="str">
        <f>IFERROR(INDEX(Input!$L$20:$T$1019,INT((ROW()-9)/9)+1,MOD(ROW()-9,9)+1),"")</f>
        <v/>
      </c>
      <c r="C931" s="9">
        <f t="shared" si="14"/>
        <v>0</v>
      </c>
    </row>
    <row r="932" spans="1:3" x14ac:dyDescent="0.2">
      <c r="A932" s="10" t="str">
        <f>IF(924&gt;$C$9008,"",INDEX($B$9:$B$9008,MATCH(924,$C$9:$C$9008,0)))</f>
        <v/>
      </c>
      <c r="B932" s="9" t="str">
        <f>IFERROR(INDEX(Input!$L$20:$T$1019,INT((ROW()-9)/9)+1,MOD(ROW()-9,9)+1),"")</f>
        <v/>
      </c>
      <c r="C932" s="9">
        <f t="shared" si="14"/>
        <v>0</v>
      </c>
    </row>
    <row r="933" spans="1:3" x14ac:dyDescent="0.2">
      <c r="A933" s="10" t="str">
        <f>IF(925&gt;$C$9008,"",INDEX($B$9:$B$9008,MATCH(925,$C$9:$C$9008,0)))</f>
        <v/>
      </c>
      <c r="B933" s="9" t="str">
        <f>IFERROR(INDEX(Input!$L$20:$T$1019,INT((ROW()-9)/9)+1,MOD(ROW()-9,9)+1),"")</f>
        <v/>
      </c>
      <c r="C933" s="9">
        <f t="shared" si="14"/>
        <v>0</v>
      </c>
    </row>
    <row r="934" spans="1:3" x14ac:dyDescent="0.2">
      <c r="A934" s="10" t="str">
        <f>IF(926&gt;$C$9008,"",INDEX($B$9:$B$9008,MATCH(926,$C$9:$C$9008,0)))</f>
        <v/>
      </c>
      <c r="B934" s="9" t="str">
        <f>IFERROR(INDEX(Input!$L$20:$T$1019,INT((ROW()-9)/9)+1,MOD(ROW()-9,9)+1),"")</f>
        <v/>
      </c>
      <c r="C934" s="9">
        <f t="shared" si="14"/>
        <v>0</v>
      </c>
    </row>
    <row r="935" spans="1:3" x14ac:dyDescent="0.2">
      <c r="A935" s="10" t="str">
        <f>IF(927&gt;$C$9008,"",INDEX($B$9:$B$9008,MATCH(927,$C$9:$C$9008,0)))</f>
        <v/>
      </c>
      <c r="B935" s="9" t="str">
        <f>IFERROR(INDEX(Input!$L$20:$T$1019,INT((ROW()-9)/9)+1,MOD(ROW()-9,9)+1),"")</f>
        <v/>
      </c>
      <c r="C935" s="9">
        <f t="shared" si="14"/>
        <v>0</v>
      </c>
    </row>
    <row r="936" spans="1:3" x14ac:dyDescent="0.2">
      <c r="A936" s="10" t="str">
        <f>IF(928&gt;$C$9008,"",INDEX($B$9:$B$9008,MATCH(928,$C$9:$C$9008,0)))</f>
        <v/>
      </c>
      <c r="B936" s="9" t="str">
        <f>IFERROR(INDEX(Input!$L$20:$T$1019,INT((ROW()-9)/9)+1,MOD(ROW()-9,9)+1),"")</f>
        <v/>
      </c>
      <c r="C936" s="9">
        <f t="shared" si="14"/>
        <v>0</v>
      </c>
    </row>
    <row r="937" spans="1:3" x14ac:dyDescent="0.2">
      <c r="A937" s="10" t="str">
        <f>IF(929&gt;$C$9008,"",INDEX($B$9:$B$9008,MATCH(929,$C$9:$C$9008,0)))</f>
        <v/>
      </c>
      <c r="B937" s="9" t="str">
        <f>IFERROR(INDEX(Input!$L$20:$T$1019,INT((ROW()-9)/9)+1,MOD(ROW()-9,9)+1),"")</f>
        <v/>
      </c>
      <c r="C937" s="9">
        <f t="shared" si="14"/>
        <v>0</v>
      </c>
    </row>
    <row r="938" spans="1:3" x14ac:dyDescent="0.2">
      <c r="A938" s="10" t="str">
        <f>IF(930&gt;$C$9008,"",INDEX($B$9:$B$9008,MATCH(930,$C$9:$C$9008,0)))</f>
        <v/>
      </c>
      <c r="B938" s="9" t="str">
        <f>IFERROR(INDEX(Input!$L$20:$T$1019,INT((ROW()-9)/9)+1,MOD(ROW()-9,9)+1),"")</f>
        <v/>
      </c>
      <c r="C938" s="9">
        <f t="shared" si="14"/>
        <v>0</v>
      </c>
    </row>
    <row r="939" spans="1:3" x14ac:dyDescent="0.2">
      <c r="A939" s="10" t="str">
        <f>IF(931&gt;$C$9008,"",INDEX($B$9:$B$9008,MATCH(931,$C$9:$C$9008,0)))</f>
        <v/>
      </c>
      <c r="B939" s="9" t="str">
        <f>IFERROR(INDEX(Input!$L$20:$T$1019,INT((ROW()-9)/9)+1,MOD(ROW()-9,9)+1),"")</f>
        <v/>
      </c>
      <c r="C939" s="9">
        <f t="shared" si="14"/>
        <v>0</v>
      </c>
    </row>
    <row r="940" spans="1:3" x14ac:dyDescent="0.2">
      <c r="A940" s="10" t="str">
        <f>IF(932&gt;$C$9008,"",INDEX($B$9:$B$9008,MATCH(932,$C$9:$C$9008,0)))</f>
        <v/>
      </c>
      <c r="B940" s="9" t="str">
        <f>IFERROR(INDEX(Input!$L$20:$T$1019,INT((ROW()-9)/9)+1,MOD(ROW()-9,9)+1),"")</f>
        <v/>
      </c>
      <c r="C940" s="9">
        <f t="shared" si="14"/>
        <v>0</v>
      </c>
    </row>
    <row r="941" spans="1:3" x14ac:dyDescent="0.2">
      <c r="A941" s="10" t="str">
        <f>IF(933&gt;$C$9008,"",INDEX($B$9:$B$9008,MATCH(933,$C$9:$C$9008,0)))</f>
        <v/>
      </c>
      <c r="B941" s="9" t="str">
        <f>IFERROR(INDEX(Input!$L$20:$T$1019,INT((ROW()-9)/9)+1,MOD(ROW()-9,9)+1),"")</f>
        <v/>
      </c>
      <c r="C941" s="9">
        <f t="shared" si="14"/>
        <v>0</v>
      </c>
    </row>
    <row r="942" spans="1:3" x14ac:dyDescent="0.2">
      <c r="A942" s="10" t="str">
        <f>IF(934&gt;$C$9008,"",INDEX($B$9:$B$9008,MATCH(934,$C$9:$C$9008,0)))</f>
        <v/>
      </c>
      <c r="B942" s="9" t="str">
        <f>IFERROR(INDEX(Input!$L$20:$T$1019,INT((ROW()-9)/9)+1,MOD(ROW()-9,9)+1),"")</f>
        <v/>
      </c>
      <c r="C942" s="9">
        <f t="shared" si="14"/>
        <v>0</v>
      </c>
    </row>
    <row r="943" spans="1:3" x14ac:dyDescent="0.2">
      <c r="A943" s="10" t="str">
        <f>IF(935&gt;$C$9008,"",INDEX($B$9:$B$9008,MATCH(935,$C$9:$C$9008,0)))</f>
        <v/>
      </c>
      <c r="B943" s="9" t="str">
        <f>IFERROR(INDEX(Input!$L$20:$T$1019,INT((ROW()-9)/9)+1,MOD(ROW()-9,9)+1),"")</f>
        <v/>
      </c>
      <c r="C943" s="9">
        <f t="shared" si="14"/>
        <v>0</v>
      </c>
    </row>
    <row r="944" spans="1:3" x14ac:dyDescent="0.2">
      <c r="A944" s="10" t="str">
        <f>IF(936&gt;$C$9008,"",INDEX($B$9:$B$9008,MATCH(936,$C$9:$C$9008,0)))</f>
        <v/>
      </c>
      <c r="B944" s="9" t="str">
        <f>IFERROR(INDEX(Input!$L$20:$T$1019,INT((ROW()-9)/9)+1,MOD(ROW()-9,9)+1),"")</f>
        <v/>
      </c>
      <c r="C944" s="9">
        <f t="shared" si="14"/>
        <v>0</v>
      </c>
    </row>
    <row r="945" spans="1:3" x14ac:dyDescent="0.2">
      <c r="A945" s="10" t="str">
        <f>IF(937&gt;$C$9008,"",INDEX($B$9:$B$9008,MATCH(937,$C$9:$C$9008,0)))</f>
        <v/>
      </c>
      <c r="B945" s="9" t="str">
        <f>IFERROR(INDEX(Input!$L$20:$T$1019,INT((ROW()-9)/9)+1,MOD(ROW()-9,9)+1),"")</f>
        <v/>
      </c>
      <c r="C945" s="9">
        <f t="shared" si="14"/>
        <v>0</v>
      </c>
    </row>
    <row r="946" spans="1:3" x14ac:dyDescent="0.2">
      <c r="A946" s="10" t="str">
        <f>IF(938&gt;$C$9008,"",INDEX($B$9:$B$9008,MATCH(938,$C$9:$C$9008,0)))</f>
        <v/>
      </c>
      <c r="B946" s="9" t="str">
        <f>IFERROR(INDEX(Input!$L$20:$T$1019,INT((ROW()-9)/9)+1,MOD(ROW()-9,9)+1),"")</f>
        <v/>
      </c>
      <c r="C946" s="9">
        <f t="shared" si="14"/>
        <v>0</v>
      </c>
    </row>
    <row r="947" spans="1:3" x14ac:dyDescent="0.2">
      <c r="A947" s="10" t="str">
        <f>IF(939&gt;$C$9008,"",INDEX($B$9:$B$9008,MATCH(939,$C$9:$C$9008,0)))</f>
        <v/>
      </c>
      <c r="B947" s="9" t="str">
        <f>IFERROR(INDEX(Input!$L$20:$T$1019,INT((ROW()-9)/9)+1,MOD(ROW()-9,9)+1),"")</f>
        <v/>
      </c>
      <c r="C947" s="9">
        <f t="shared" si="14"/>
        <v>0</v>
      </c>
    </row>
    <row r="948" spans="1:3" x14ac:dyDescent="0.2">
      <c r="A948" s="10" t="str">
        <f>IF(940&gt;$C$9008,"",INDEX($B$9:$B$9008,MATCH(940,$C$9:$C$9008,0)))</f>
        <v/>
      </c>
      <c r="B948" s="9" t="str">
        <f>IFERROR(INDEX(Input!$L$20:$T$1019,INT((ROW()-9)/9)+1,MOD(ROW()-9,9)+1),"")</f>
        <v/>
      </c>
      <c r="C948" s="9">
        <f t="shared" si="14"/>
        <v>0</v>
      </c>
    </row>
    <row r="949" spans="1:3" x14ac:dyDescent="0.2">
      <c r="A949" s="10" t="str">
        <f>IF(941&gt;$C$9008,"",INDEX($B$9:$B$9008,MATCH(941,$C$9:$C$9008,0)))</f>
        <v/>
      </c>
      <c r="B949" s="9" t="str">
        <f>IFERROR(INDEX(Input!$L$20:$T$1019,INT((ROW()-9)/9)+1,MOD(ROW()-9,9)+1),"")</f>
        <v/>
      </c>
      <c r="C949" s="9">
        <f t="shared" si="14"/>
        <v>0</v>
      </c>
    </row>
    <row r="950" spans="1:3" x14ac:dyDescent="0.2">
      <c r="A950" s="10" t="str">
        <f>IF(942&gt;$C$9008,"",INDEX($B$9:$B$9008,MATCH(942,$C$9:$C$9008,0)))</f>
        <v/>
      </c>
      <c r="B950" s="9" t="str">
        <f>IFERROR(INDEX(Input!$L$20:$T$1019,INT((ROW()-9)/9)+1,MOD(ROW()-9,9)+1),"")</f>
        <v/>
      </c>
      <c r="C950" s="9">
        <f t="shared" si="14"/>
        <v>0</v>
      </c>
    </row>
    <row r="951" spans="1:3" x14ac:dyDescent="0.2">
      <c r="A951" s="10" t="str">
        <f>IF(943&gt;$C$9008,"",INDEX($B$9:$B$9008,MATCH(943,$C$9:$C$9008,0)))</f>
        <v/>
      </c>
      <c r="B951" s="9" t="str">
        <f>IFERROR(INDEX(Input!$L$20:$T$1019,INT((ROW()-9)/9)+1,MOD(ROW()-9,9)+1),"")</f>
        <v/>
      </c>
      <c r="C951" s="9">
        <f t="shared" si="14"/>
        <v>0</v>
      </c>
    </row>
    <row r="952" spans="1:3" x14ac:dyDescent="0.2">
      <c r="A952" s="10" t="str">
        <f>IF(944&gt;$C$9008,"",INDEX($B$9:$B$9008,MATCH(944,$C$9:$C$9008,0)))</f>
        <v/>
      </c>
      <c r="B952" s="9" t="str">
        <f>IFERROR(INDEX(Input!$L$20:$T$1019,INT((ROW()-9)/9)+1,MOD(ROW()-9,9)+1),"")</f>
        <v/>
      </c>
      <c r="C952" s="9">
        <f t="shared" si="14"/>
        <v>0</v>
      </c>
    </row>
    <row r="953" spans="1:3" x14ac:dyDescent="0.2">
      <c r="A953" s="10" t="str">
        <f>IF(945&gt;$C$9008,"",INDEX($B$9:$B$9008,MATCH(945,$C$9:$C$9008,0)))</f>
        <v/>
      </c>
      <c r="B953" s="9" t="str">
        <f>IFERROR(INDEX(Input!$L$20:$T$1019,INT((ROW()-9)/9)+1,MOD(ROW()-9,9)+1),"")</f>
        <v/>
      </c>
      <c r="C953" s="9">
        <f t="shared" si="14"/>
        <v>0</v>
      </c>
    </row>
    <row r="954" spans="1:3" x14ac:dyDescent="0.2">
      <c r="A954" s="10" t="str">
        <f>IF(946&gt;$C$9008,"",INDEX($B$9:$B$9008,MATCH(946,$C$9:$C$9008,0)))</f>
        <v/>
      </c>
      <c r="B954" s="9" t="str">
        <f>IFERROR(INDEX(Input!$L$20:$T$1019,INT((ROW()-9)/9)+1,MOD(ROW()-9,9)+1),"")</f>
        <v/>
      </c>
      <c r="C954" s="9">
        <f t="shared" si="14"/>
        <v>0</v>
      </c>
    </row>
    <row r="955" spans="1:3" x14ac:dyDescent="0.2">
      <c r="A955" s="10" t="str">
        <f>IF(947&gt;$C$9008,"",INDEX($B$9:$B$9008,MATCH(947,$C$9:$C$9008,0)))</f>
        <v/>
      </c>
      <c r="B955" s="9" t="str">
        <f>IFERROR(INDEX(Input!$L$20:$T$1019,INT((ROW()-9)/9)+1,MOD(ROW()-9,9)+1),"")</f>
        <v/>
      </c>
      <c r="C955" s="9">
        <f t="shared" si="14"/>
        <v>0</v>
      </c>
    </row>
    <row r="956" spans="1:3" x14ac:dyDescent="0.2">
      <c r="A956" s="10" t="str">
        <f>IF(948&gt;$C$9008,"",INDEX($B$9:$B$9008,MATCH(948,$C$9:$C$9008,0)))</f>
        <v/>
      </c>
      <c r="B956" s="9" t="str">
        <f>IFERROR(INDEX(Input!$L$20:$T$1019,INT((ROW()-9)/9)+1,MOD(ROW()-9,9)+1),"")</f>
        <v/>
      </c>
      <c r="C956" s="9">
        <f t="shared" si="14"/>
        <v>0</v>
      </c>
    </row>
    <row r="957" spans="1:3" x14ac:dyDescent="0.2">
      <c r="A957" s="10" t="str">
        <f>IF(949&gt;$C$9008,"",INDEX($B$9:$B$9008,MATCH(949,$C$9:$C$9008,0)))</f>
        <v/>
      </c>
      <c r="B957" s="9" t="str">
        <f>IFERROR(INDEX(Input!$L$20:$T$1019,INT((ROW()-9)/9)+1,MOD(ROW()-9,9)+1),"")</f>
        <v/>
      </c>
      <c r="C957" s="9">
        <f t="shared" si="14"/>
        <v>0</v>
      </c>
    </row>
    <row r="958" spans="1:3" x14ac:dyDescent="0.2">
      <c r="A958" s="10" t="str">
        <f>IF(950&gt;$C$9008,"",INDEX($B$9:$B$9008,MATCH(950,$C$9:$C$9008,0)))</f>
        <v/>
      </c>
      <c r="B958" s="9" t="str">
        <f>IFERROR(INDEX(Input!$L$20:$T$1019,INT((ROW()-9)/9)+1,MOD(ROW()-9,9)+1),"")</f>
        <v/>
      </c>
      <c r="C958" s="9">
        <f t="shared" si="14"/>
        <v>0</v>
      </c>
    </row>
    <row r="959" spans="1:3" x14ac:dyDescent="0.2">
      <c r="A959" s="10" t="str">
        <f>IF(951&gt;$C$9008,"",INDEX($B$9:$B$9008,MATCH(951,$C$9:$C$9008,0)))</f>
        <v/>
      </c>
      <c r="B959" s="9" t="str">
        <f>IFERROR(INDEX(Input!$L$20:$T$1019,INT((ROW()-9)/9)+1,MOD(ROW()-9,9)+1),"")</f>
        <v/>
      </c>
      <c r="C959" s="9">
        <f t="shared" si="14"/>
        <v>0</v>
      </c>
    </row>
    <row r="960" spans="1:3" x14ac:dyDescent="0.2">
      <c r="A960" s="10" t="str">
        <f>IF(952&gt;$C$9008,"",INDEX($B$9:$B$9008,MATCH(952,$C$9:$C$9008,0)))</f>
        <v/>
      </c>
      <c r="B960" s="9" t="str">
        <f>IFERROR(INDEX(Input!$L$20:$T$1019,INT((ROW()-9)/9)+1,MOD(ROW()-9,9)+1),"")</f>
        <v/>
      </c>
      <c r="C960" s="9">
        <f t="shared" si="14"/>
        <v>0</v>
      </c>
    </row>
    <row r="961" spans="1:3" x14ac:dyDescent="0.2">
      <c r="A961" s="10" t="str">
        <f>IF(953&gt;$C$9008,"",INDEX($B$9:$B$9008,MATCH(953,$C$9:$C$9008,0)))</f>
        <v/>
      </c>
      <c r="B961" s="9" t="str">
        <f>IFERROR(INDEX(Input!$L$20:$T$1019,INT((ROW()-9)/9)+1,MOD(ROW()-9,9)+1),"")</f>
        <v/>
      </c>
      <c r="C961" s="9">
        <f t="shared" si="14"/>
        <v>0</v>
      </c>
    </row>
    <row r="962" spans="1:3" x14ac:dyDescent="0.2">
      <c r="A962" s="10" t="str">
        <f>IF(954&gt;$C$9008,"",INDEX($B$9:$B$9008,MATCH(954,$C$9:$C$9008,0)))</f>
        <v/>
      </c>
      <c r="B962" s="9" t="str">
        <f>IFERROR(INDEX(Input!$L$20:$T$1019,INT((ROW()-9)/9)+1,MOD(ROW()-9,9)+1),"")</f>
        <v/>
      </c>
      <c r="C962" s="9">
        <f t="shared" si="14"/>
        <v>0</v>
      </c>
    </row>
    <row r="963" spans="1:3" x14ac:dyDescent="0.2">
      <c r="A963" s="10" t="str">
        <f>IF(955&gt;$C$9008,"",INDEX($B$9:$B$9008,MATCH(955,$C$9:$C$9008,0)))</f>
        <v/>
      </c>
      <c r="B963" s="9" t="str">
        <f>IFERROR(INDEX(Input!$L$20:$T$1019,INT((ROW()-9)/9)+1,MOD(ROW()-9,9)+1),"")</f>
        <v/>
      </c>
      <c r="C963" s="9">
        <f t="shared" si="14"/>
        <v>0</v>
      </c>
    </row>
    <row r="964" spans="1:3" x14ac:dyDescent="0.2">
      <c r="A964" s="10" t="str">
        <f>IF(956&gt;$C$9008,"",INDEX($B$9:$B$9008,MATCH(956,$C$9:$C$9008,0)))</f>
        <v/>
      </c>
      <c r="B964" s="9" t="str">
        <f>IFERROR(INDEX(Input!$L$20:$T$1019,INT((ROW()-9)/9)+1,MOD(ROW()-9,9)+1),"")</f>
        <v/>
      </c>
      <c r="C964" s="9">
        <f t="shared" si="14"/>
        <v>0</v>
      </c>
    </row>
    <row r="965" spans="1:3" x14ac:dyDescent="0.2">
      <c r="A965" s="10" t="str">
        <f>IF(957&gt;$C$9008,"",INDEX($B$9:$B$9008,MATCH(957,$C$9:$C$9008,0)))</f>
        <v/>
      </c>
      <c r="B965" s="9" t="str">
        <f>IFERROR(INDEX(Input!$L$20:$T$1019,INT((ROW()-9)/9)+1,MOD(ROW()-9,9)+1),"")</f>
        <v/>
      </c>
      <c r="C965" s="9">
        <f t="shared" si="14"/>
        <v>0</v>
      </c>
    </row>
    <row r="966" spans="1:3" x14ac:dyDescent="0.2">
      <c r="A966" s="10" t="str">
        <f>IF(958&gt;$C$9008,"",INDEX($B$9:$B$9008,MATCH(958,$C$9:$C$9008,0)))</f>
        <v/>
      </c>
      <c r="B966" s="9" t="str">
        <f>IFERROR(INDEX(Input!$L$20:$T$1019,INT((ROW()-9)/9)+1,MOD(ROW()-9,9)+1),"")</f>
        <v/>
      </c>
      <c r="C966" s="9">
        <f t="shared" si="14"/>
        <v>0</v>
      </c>
    </row>
    <row r="967" spans="1:3" x14ac:dyDescent="0.2">
      <c r="A967" s="10" t="str">
        <f>IF(959&gt;$C$9008,"",INDEX($B$9:$B$9008,MATCH(959,$C$9:$C$9008,0)))</f>
        <v/>
      </c>
      <c r="B967" s="9" t="str">
        <f>IFERROR(INDEX(Input!$L$20:$T$1019,INT((ROW()-9)/9)+1,MOD(ROW()-9,9)+1),"")</f>
        <v/>
      </c>
      <c r="C967" s="9">
        <f t="shared" si="14"/>
        <v>0</v>
      </c>
    </row>
    <row r="968" spans="1:3" x14ac:dyDescent="0.2">
      <c r="A968" s="10" t="str">
        <f>IF(960&gt;$C$9008,"",INDEX($B$9:$B$9008,MATCH(960,$C$9:$C$9008,0)))</f>
        <v/>
      </c>
      <c r="B968" s="9" t="str">
        <f>IFERROR(INDEX(Input!$L$20:$T$1019,INT((ROW()-9)/9)+1,MOD(ROW()-9,9)+1),"")</f>
        <v/>
      </c>
      <c r="C968" s="9">
        <f t="shared" si="14"/>
        <v>0</v>
      </c>
    </row>
    <row r="969" spans="1:3" x14ac:dyDescent="0.2">
      <c r="A969" s="10" t="str">
        <f>IF(961&gt;$C$9008,"",INDEX($B$9:$B$9008,MATCH(961,$C$9:$C$9008,0)))</f>
        <v/>
      </c>
      <c r="B969" s="9" t="str">
        <f>IFERROR(INDEX(Input!$L$20:$T$1019,INT((ROW()-9)/9)+1,MOD(ROW()-9,9)+1),"")</f>
        <v/>
      </c>
      <c r="C969" s="9">
        <f t="shared" ref="C969:C1032" si="15">$C968+IF($B969&lt;&gt;"",1,0)</f>
        <v>0</v>
      </c>
    </row>
    <row r="970" spans="1:3" x14ac:dyDescent="0.2">
      <c r="A970" s="10" t="str">
        <f>IF(962&gt;$C$9008,"",INDEX($B$9:$B$9008,MATCH(962,$C$9:$C$9008,0)))</f>
        <v/>
      </c>
      <c r="B970" s="9" t="str">
        <f>IFERROR(INDEX(Input!$L$20:$T$1019,INT((ROW()-9)/9)+1,MOD(ROW()-9,9)+1),"")</f>
        <v/>
      </c>
      <c r="C970" s="9">
        <f t="shared" si="15"/>
        <v>0</v>
      </c>
    </row>
    <row r="971" spans="1:3" x14ac:dyDescent="0.2">
      <c r="A971" s="10" t="str">
        <f>IF(963&gt;$C$9008,"",INDEX($B$9:$B$9008,MATCH(963,$C$9:$C$9008,0)))</f>
        <v/>
      </c>
      <c r="B971" s="9" t="str">
        <f>IFERROR(INDEX(Input!$L$20:$T$1019,INT((ROW()-9)/9)+1,MOD(ROW()-9,9)+1),"")</f>
        <v/>
      </c>
      <c r="C971" s="9">
        <f t="shared" si="15"/>
        <v>0</v>
      </c>
    </row>
    <row r="972" spans="1:3" x14ac:dyDescent="0.2">
      <c r="A972" s="10" t="str">
        <f>IF(964&gt;$C$9008,"",INDEX($B$9:$B$9008,MATCH(964,$C$9:$C$9008,0)))</f>
        <v/>
      </c>
      <c r="B972" s="9" t="str">
        <f>IFERROR(INDEX(Input!$L$20:$T$1019,INT((ROW()-9)/9)+1,MOD(ROW()-9,9)+1),"")</f>
        <v/>
      </c>
      <c r="C972" s="9">
        <f t="shared" si="15"/>
        <v>0</v>
      </c>
    </row>
    <row r="973" spans="1:3" x14ac:dyDescent="0.2">
      <c r="A973" s="10" t="str">
        <f>IF(965&gt;$C$9008,"",INDEX($B$9:$B$9008,MATCH(965,$C$9:$C$9008,0)))</f>
        <v/>
      </c>
      <c r="B973" s="9" t="str">
        <f>IFERROR(INDEX(Input!$L$20:$T$1019,INT((ROW()-9)/9)+1,MOD(ROW()-9,9)+1),"")</f>
        <v/>
      </c>
      <c r="C973" s="9">
        <f t="shared" si="15"/>
        <v>0</v>
      </c>
    </row>
    <row r="974" spans="1:3" x14ac:dyDescent="0.2">
      <c r="A974" s="10" t="str">
        <f>IF(966&gt;$C$9008,"",INDEX($B$9:$B$9008,MATCH(966,$C$9:$C$9008,0)))</f>
        <v/>
      </c>
      <c r="B974" s="9" t="str">
        <f>IFERROR(INDEX(Input!$L$20:$T$1019,INT((ROW()-9)/9)+1,MOD(ROW()-9,9)+1),"")</f>
        <v/>
      </c>
      <c r="C974" s="9">
        <f t="shared" si="15"/>
        <v>0</v>
      </c>
    </row>
    <row r="975" spans="1:3" x14ac:dyDescent="0.2">
      <c r="A975" s="10" t="str">
        <f>IF(967&gt;$C$9008,"",INDEX($B$9:$B$9008,MATCH(967,$C$9:$C$9008,0)))</f>
        <v/>
      </c>
      <c r="B975" s="9" t="str">
        <f>IFERROR(INDEX(Input!$L$20:$T$1019,INT((ROW()-9)/9)+1,MOD(ROW()-9,9)+1),"")</f>
        <v/>
      </c>
      <c r="C975" s="9">
        <f t="shared" si="15"/>
        <v>0</v>
      </c>
    </row>
    <row r="976" spans="1:3" x14ac:dyDescent="0.2">
      <c r="A976" s="10" t="str">
        <f>IF(968&gt;$C$9008,"",INDEX($B$9:$B$9008,MATCH(968,$C$9:$C$9008,0)))</f>
        <v/>
      </c>
      <c r="B976" s="9" t="str">
        <f>IFERROR(INDEX(Input!$L$20:$T$1019,INT((ROW()-9)/9)+1,MOD(ROW()-9,9)+1),"")</f>
        <v/>
      </c>
      <c r="C976" s="9">
        <f t="shared" si="15"/>
        <v>0</v>
      </c>
    </row>
    <row r="977" spans="1:3" x14ac:dyDescent="0.2">
      <c r="A977" s="10" t="str">
        <f>IF(969&gt;$C$9008,"",INDEX($B$9:$B$9008,MATCH(969,$C$9:$C$9008,0)))</f>
        <v/>
      </c>
      <c r="B977" s="9" t="str">
        <f>IFERROR(INDEX(Input!$L$20:$T$1019,INT((ROW()-9)/9)+1,MOD(ROW()-9,9)+1),"")</f>
        <v/>
      </c>
      <c r="C977" s="9">
        <f t="shared" si="15"/>
        <v>0</v>
      </c>
    </row>
    <row r="978" spans="1:3" x14ac:dyDescent="0.2">
      <c r="A978" s="10" t="str">
        <f>IF(970&gt;$C$9008,"",INDEX($B$9:$B$9008,MATCH(970,$C$9:$C$9008,0)))</f>
        <v/>
      </c>
      <c r="B978" s="9" t="str">
        <f>IFERROR(INDEX(Input!$L$20:$T$1019,INT((ROW()-9)/9)+1,MOD(ROW()-9,9)+1),"")</f>
        <v/>
      </c>
      <c r="C978" s="9">
        <f t="shared" si="15"/>
        <v>0</v>
      </c>
    </row>
    <row r="979" spans="1:3" x14ac:dyDescent="0.2">
      <c r="A979" s="10" t="str">
        <f>IF(971&gt;$C$9008,"",INDEX($B$9:$B$9008,MATCH(971,$C$9:$C$9008,0)))</f>
        <v/>
      </c>
      <c r="B979" s="9" t="str">
        <f>IFERROR(INDEX(Input!$L$20:$T$1019,INT((ROW()-9)/9)+1,MOD(ROW()-9,9)+1),"")</f>
        <v/>
      </c>
      <c r="C979" s="9">
        <f t="shared" si="15"/>
        <v>0</v>
      </c>
    </row>
    <row r="980" spans="1:3" x14ac:dyDescent="0.2">
      <c r="A980" s="10" t="str">
        <f>IF(972&gt;$C$9008,"",INDEX($B$9:$B$9008,MATCH(972,$C$9:$C$9008,0)))</f>
        <v/>
      </c>
      <c r="B980" s="9" t="str">
        <f>IFERROR(INDEX(Input!$L$20:$T$1019,INT((ROW()-9)/9)+1,MOD(ROW()-9,9)+1),"")</f>
        <v/>
      </c>
      <c r="C980" s="9">
        <f t="shared" si="15"/>
        <v>0</v>
      </c>
    </row>
    <row r="981" spans="1:3" x14ac:dyDescent="0.2">
      <c r="A981" s="10" t="str">
        <f>IF(973&gt;$C$9008,"",INDEX($B$9:$B$9008,MATCH(973,$C$9:$C$9008,0)))</f>
        <v/>
      </c>
      <c r="B981" s="9" t="str">
        <f>IFERROR(INDEX(Input!$L$20:$T$1019,INT((ROW()-9)/9)+1,MOD(ROW()-9,9)+1),"")</f>
        <v/>
      </c>
      <c r="C981" s="9">
        <f t="shared" si="15"/>
        <v>0</v>
      </c>
    </row>
    <row r="982" spans="1:3" x14ac:dyDescent="0.2">
      <c r="A982" s="10" t="str">
        <f>IF(974&gt;$C$9008,"",INDEX($B$9:$B$9008,MATCH(974,$C$9:$C$9008,0)))</f>
        <v/>
      </c>
      <c r="B982" s="9" t="str">
        <f>IFERROR(INDEX(Input!$L$20:$T$1019,INT((ROW()-9)/9)+1,MOD(ROW()-9,9)+1),"")</f>
        <v/>
      </c>
      <c r="C982" s="9">
        <f t="shared" si="15"/>
        <v>0</v>
      </c>
    </row>
    <row r="983" spans="1:3" x14ac:dyDescent="0.2">
      <c r="A983" s="10" t="str">
        <f>IF(975&gt;$C$9008,"",INDEX($B$9:$B$9008,MATCH(975,$C$9:$C$9008,0)))</f>
        <v/>
      </c>
      <c r="B983" s="9" t="str">
        <f>IFERROR(INDEX(Input!$L$20:$T$1019,INT((ROW()-9)/9)+1,MOD(ROW()-9,9)+1),"")</f>
        <v/>
      </c>
      <c r="C983" s="9">
        <f t="shared" si="15"/>
        <v>0</v>
      </c>
    </row>
    <row r="984" spans="1:3" x14ac:dyDescent="0.2">
      <c r="A984" s="10" t="str">
        <f>IF(976&gt;$C$9008,"",INDEX($B$9:$B$9008,MATCH(976,$C$9:$C$9008,0)))</f>
        <v/>
      </c>
      <c r="B984" s="9" t="str">
        <f>IFERROR(INDEX(Input!$L$20:$T$1019,INT((ROW()-9)/9)+1,MOD(ROW()-9,9)+1),"")</f>
        <v/>
      </c>
      <c r="C984" s="9">
        <f t="shared" si="15"/>
        <v>0</v>
      </c>
    </row>
    <row r="985" spans="1:3" x14ac:dyDescent="0.2">
      <c r="A985" s="10" t="str">
        <f>IF(977&gt;$C$9008,"",INDEX($B$9:$B$9008,MATCH(977,$C$9:$C$9008,0)))</f>
        <v/>
      </c>
      <c r="B985" s="9" t="str">
        <f>IFERROR(INDEX(Input!$L$20:$T$1019,INT((ROW()-9)/9)+1,MOD(ROW()-9,9)+1),"")</f>
        <v/>
      </c>
      <c r="C985" s="9">
        <f t="shared" si="15"/>
        <v>0</v>
      </c>
    </row>
    <row r="986" spans="1:3" x14ac:dyDescent="0.2">
      <c r="A986" s="10" t="str">
        <f>IF(978&gt;$C$9008,"",INDEX($B$9:$B$9008,MATCH(978,$C$9:$C$9008,0)))</f>
        <v/>
      </c>
      <c r="B986" s="9" t="str">
        <f>IFERROR(INDEX(Input!$L$20:$T$1019,INT((ROW()-9)/9)+1,MOD(ROW()-9,9)+1),"")</f>
        <v/>
      </c>
      <c r="C986" s="9">
        <f t="shared" si="15"/>
        <v>0</v>
      </c>
    </row>
    <row r="987" spans="1:3" x14ac:dyDescent="0.2">
      <c r="A987" s="10" t="str">
        <f>IF(979&gt;$C$9008,"",INDEX($B$9:$B$9008,MATCH(979,$C$9:$C$9008,0)))</f>
        <v/>
      </c>
      <c r="B987" s="9" t="str">
        <f>IFERROR(INDEX(Input!$L$20:$T$1019,INT((ROW()-9)/9)+1,MOD(ROW()-9,9)+1),"")</f>
        <v/>
      </c>
      <c r="C987" s="9">
        <f t="shared" si="15"/>
        <v>0</v>
      </c>
    </row>
    <row r="988" spans="1:3" x14ac:dyDescent="0.2">
      <c r="A988" s="10" t="str">
        <f>IF(980&gt;$C$9008,"",INDEX($B$9:$B$9008,MATCH(980,$C$9:$C$9008,0)))</f>
        <v/>
      </c>
      <c r="B988" s="9" t="str">
        <f>IFERROR(INDEX(Input!$L$20:$T$1019,INT((ROW()-9)/9)+1,MOD(ROW()-9,9)+1),"")</f>
        <v/>
      </c>
      <c r="C988" s="9">
        <f t="shared" si="15"/>
        <v>0</v>
      </c>
    </row>
    <row r="989" spans="1:3" x14ac:dyDescent="0.2">
      <c r="A989" s="10" t="str">
        <f>IF(981&gt;$C$9008,"",INDEX($B$9:$B$9008,MATCH(981,$C$9:$C$9008,0)))</f>
        <v/>
      </c>
      <c r="B989" s="9" t="str">
        <f>IFERROR(INDEX(Input!$L$20:$T$1019,INT((ROW()-9)/9)+1,MOD(ROW()-9,9)+1),"")</f>
        <v/>
      </c>
      <c r="C989" s="9">
        <f t="shared" si="15"/>
        <v>0</v>
      </c>
    </row>
    <row r="990" spans="1:3" x14ac:dyDescent="0.2">
      <c r="A990" s="10" t="str">
        <f>IF(982&gt;$C$9008,"",INDEX($B$9:$B$9008,MATCH(982,$C$9:$C$9008,0)))</f>
        <v/>
      </c>
      <c r="B990" s="9" t="str">
        <f>IFERROR(INDEX(Input!$L$20:$T$1019,INT((ROW()-9)/9)+1,MOD(ROW()-9,9)+1),"")</f>
        <v/>
      </c>
      <c r="C990" s="9">
        <f t="shared" si="15"/>
        <v>0</v>
      </c>
    </row>
    <row r="991" spans="1:3" x14ac:dyDescent="0.2">
      <c r="A991" s="10" t="str">
        <f>IF(983&gt;$C$9008,"",INDEX($B$9:$B$9008,MATCH(983,$C$9:$C$9008,0)))</f>
        <v/>
      </c>
      <c r="B991" s="9" t="str">
        <f>IFERROR(INDEX(Input!$L$20:$T$1019,INT((ROW()-9)/9)+1,MOD(ROW()-9,9)+1),"")</f>
        <v/>
      </c>
      <c r="C991" s="9">
        <f t="shared" si="15"/>
        <v>0</v>
      </c>
    </row>
    <row r="992" spans="1:3" x14ac:dyDescent="0.2">
      <c r="A992" s="10" t="str">
        <f>IF(984&gt;$C$9008,"",INDEX($B$9:$B$9008,MATCH(984,$C$9:$C$9008,0)))</f>
        <v/>
      </c>
      <c r="B992" s="9" t="str">
        <f>IFERROR(INDEX(Input!$L$20:$T$1019,INT((ROW()-9)/9)+1,MOD(ROW()-9,9)+1),"")</f>
        <v/>
      </c>
      <c r="C992" s="9">
        <f t="shared" si="15"/>
        <v>0</v>
      </c>
    </row>
    <row r="993" spans="1:3" x14ac:dyDescent="0.2">
      <c r="A993" s="10" t="str">
        <f>IF(985&gt;$C$9008,"",INDEX($B$9:$B$9008,MATCH(985,$C$9:$C$9008,0)))</f>
        <v/>
      </c>
      <c r="B993" s="9" t="str">
        <f>IFERROR(INDEX(Input!$L$20:$T$1019,INT((ROW()-9)/9)+1,MOD(ROW()-9,9)+1),"")</f>
        <v/>
      </c>
      <c r="C993" s="9">
        <f t="shared" si="15"/>
        <v>0</v>
      </c>
    </row>
    <row r="994" spans="1:3" x14ac:dyDescent="0.2">
      <c r="A994" s="10" t="str">
        <f>IF(986&gt;$C$9008,"",INDEX($B$9:$B$9008,MATCH(986,$C$9:$C$9008,0)))</f>
        <v/>
      </c>
      <c r="B994" s="9" t="str">
        <f>IFERROR(INDEX(Input!$L$20:$T$1019,INT((ROW()-9)/9)+1,MOD(ROW()-9,9)+1),"")</f>
        <v/>
      </c>
      <c r="C994" s="9">
        <f t="shared" si="15"/>
        <v>0</v>
      </c>
    </row>
    <row r="995" spans="1:3" x14ac:dyDescent="0.2">
      <c r="A995" s="10" t="str">
        <f>IF(987&gt;$C$9008,"",INDEX($B$9:$B$9008,MATCH(987,$C$9:$C$9008,0)))</f>
        <v/>
      </c>
      <c r="B995" s="9" t="str">
        <f>IFERROR(INDEX(Input!$L$20:$T$1019,INT((ROW()-9)/9)+1,MOD(ROW()-9,9)+1),"")</f>
        <v/>
      </c>
      <c r="C995" s="9">
        <f t="shared" si="15"/>
        <v>0</v>
      </c>
    </row>
    <row r="996" spans="1:3" x14ac:dyDescent="0.2">
      <c r="A996" s="10" t="str">
        <f>IF(988&gt;$C$9008,"",INDEX($B$9:$B$9008,MATCH(988,$C$9:$C$9008,0)))</f>
        <v/>
      </c>
      <c r="B996" s="9" t="str">
        <f>IFERROR(INDEX(Input!$L$20:$T$1019,INT((ROW()-9)/9)+1,MOD(ROW()-9,9)+1),"")</f>
        <v/>
      </c>
      <c r="C996" s="9">
        <f t="shared" si="15"/>
        <v>0</v>
      </c>
    </row>
    <row r="997" spans="1:3" x14ac:dyDescent="0.2">
      <c r="A997" s="10" t="str">
        <f>IF(989&gt;$C$9008,"",INDEX($B$9:$B$9008,MATCH(989,$C$9:$C$9008,0)))</f>
        <v/>
      </c>
      <c r="B997" s="9" t="str">
        <f>IFERROR(INDEX(Input!$L$20:$T$1019,INT((ROW()-9)/9)+1,MOD(ROW()-9,9)+1),"")</f>
        <v/>
      </c>
      <c r="C997" s="9">
        <f t="shared" si="15"/>
        <v>0</v>
      </c>
    </row>
    <row r="998" spans="1:3" x14ac:dyDescent="0.2">
      <c r="A998" s="10" t="str">
        <f>IF(990&gt;$C$9008,"",INDEX($B$9:$B$9008,MATCH(990,$C$9:$C$9008,0)))</f>
        <v/>
      </c>
      <c r="B998" s="9" t="str">
        <f>IFERROR(INDEX(Input!$L$20:$T$1019,INT((ROW()-9)/9)+1,MOD(ROW()-9,9)+1),"")</f>
        <v/>
      </c>
      <c r="C998" s="9">
        <f t="shared" si="15"/>
        <v>0</v>
      </c>
    </row>
    <row r="999" spans="1:3" x14ac:dyDescent="0.2">
      <c r="A999" s="10" t="str">
        <f>IF(991&gt;$C$9008,"",INDEX($B$9:$B$9008,MATCH(991,$C$9:$C$9008,0)))</f>
        <v/>
      </c>
      <c r="B999" s="9" t="str">
        <f>IFERROR(INDEX(Input!$L$20:$T$1019,INT((ROW()-9)/9)+1,MOD(ROW()-9,9)+1),"")</f>
        <v/>
      </c>
      <c r="C999" s="9">
        <f t="shared" si="15"/>
        <v>0</v>
      </c>
    </row>
    <row r="1000" spans="1:3" x14ac:dyDescent="0.2">
      <c r="A1000" s="10" t="str">
        <f>IF(992&gt;$C$9008,"",INDEX($B$9:$B$9008,MATCH(992,$C$9:$C$9008,0)))</f>
        <v/>
      </c>
      <c r="B1000" s="9" t="str">
        <f>IFERROR(INDEX(Input!$L$20:$T$1019,INT((ROW()-9)/9)+1,MOD(ROW()-9,9)+1),"")</f>
        <v/>
      </c>
      <c r="C1000" s="9">
        <f t="shared" si="15"/>
        <v>0</v>
      </c>
    </row>
    <row r="1001" spans="1:3" x14ac:dyDescent="0.2">
      <c r="A1001" s="10" t="str">
        <f>IF(993&gt;$C$9008,"",INDEX($B$9:$B$9008,MATCH(993,$C$9:$C$9008,0)))</f>
        <v/>
      </c>
      <c r="B1001" s="9" t="str">
        <f>IFERROR(INDEX(Input!$L$20:$T$1019,INT((ROW()-9)/9)+1,MOD(ROW()-9,9)+1),"")</f>
        <v/>
      </c>
      <c r="C1001" s="9">
        <f t="shared" si="15"/>
        <v>0</v>
      </c>
    </row>
    <row r="1002" spans="1:3" x14ac:dyDescent="0.2">
      <c r="A1002" s="10" t="str">
        <f>IF(994&gt;$C$9008,"",INDEX($B$9:$B$9008,MATCH(994,$C$9:$C$9008,0)))</f>
        <v/>
      </c>
      <c r="B1002" s="9" t="str">
        <f>IFERROR(INDEX(Input!$L$20:$T$1019,INT((ROW()-9)/9)+1,MOD(ROW()-9,9)+1),"")</f>
        <v/>
      </c>
      <c r="C1002" s="9">
        <f t="shared" si="15"/>
        <v>0</v>
      </c>
    </row>
    <row r="1003" spans="1:3" x14ac:dyDescent="0.2">
      <c r="A1003" s="10" t="str">
        <f>IF(995&gt;$C$9008,"",INDEX($B$9:$B$9008,MATCH(995,$C$9:$C$9008,0)))</f>
        <v/>
      </c>
      <c r="B1003" s="9" t="str">
        <f>IFERROR(INDEX(Input!$L$20:$T$1019,INT((ROW()-9)/9)+1,MOD(ROW()-9,9)+1),"")</f>
        <v/>
      </c>
      <c r="C1003" s="9">
        <f t="shared" si="15"/>
        <v>0</v>
      </c>
    </row>
    <row r="1004" spans="1:3" x14ac:dyDescent="0.2">
      <c r="A1004" s="10" t="str">
        <f>IF(996&gt;$C$9008,"",INDEX($B$9:$B$9008,MATCH(996,$C$9:$C$9008,0)))</f>
        <v/>
      </c>
      <c r="B1004" s="9" t="str">
        <f>IFERROR(INDEX(Input!$L$20:$T$1019,INT((ROW()-9)/9)+1,MOD(ROW()-9,9)+1),"")</f>
        <v/>
      </c>
      <c r="C1004" s="9">
        <f t="shared" si="15"/>
        <v>0</v>
      </c>
    </row>
    <row r="1005" spans="1:3" x14ac:dyDescent="0.2">
      <c r="A1005" s="10" t="str">
        <f>IF(997&gt;$C$9008,"",INDEX($B$9:$B$9008,MATCH(997,$C$9:$C$9008,0)))</f>
        <v/>
      </c>
      <c r="B1005" s="9" t="str">
        <f>IFERROR(INDEX(Input!$L$20:$T$1019,INT((ROW()-9)/9)+1,MOD(ROW()-9,9)+1),"")</f>
        <v/>
      </c>
      <c r="C1005" s="9">
        <f t="shared" si="15"/>
        <v>0</v>
      </c>
    </row>
    <row r="1006" spans="1:3" x14ac:dyDescent="0.2">
      <c r="A1006" s="10" t="str">
        <f>IF(998&gt;$C$9008,"",INDEX($B$9:$B$9008,MATCH(998,$C$9:$C$9008,0)))</f>
        <v/>
      </c>
      <c r="B1006" s="9" t="str">
        <f>IFERROR(INDEX(Input!$L$20:$T$1019,INT((ROW()-9)/9)+1,MOD(ROW()-9,9)+1),"")</f>
        <v/>
      </c>
      <c r="C1006" s="9">
        <f t="shared" si="15"/>
        <v>0</v>
      </c>
    </row>
    <row r="1007" spans="1:3" x14ac:dyDescent="0.2">
      <c r="A1007" s="10" t="str">
        <f>IF(999&gt;$C$9008,"",INDEX($B$9:$B$9008,MATCH(999,$C$9:$C$9008,0)))</f>
        <v/>
      </c>
      <c r="B1007" s="9" t="str">
        <f>IFERROR(INDEX(Input!$L$20:$T$1019,INT((ROW()-9)/9)+1,MOD(ROW()-9,9)+1),"")</f>
        <v/>
      </c>
      <c r="C1007" s="9">
        <f t="shared" si="15"/>
        <v>0</v>
      </c>
    </row>
    <row r="1008" spans="1:3" x14ac:dyDescent="0.2">
      <c r="A1008" s="10" t="str">
        <f>IF(1000&gt;$C$9008,"",INDEX($B$9:$B$9008,MATCH(1000,$C$9:$C$9008,0)))</f>
        <v/>
      </c>
      <c r="B1008" s="9" t="str">
        <f>IFERROR(INDEX(Input!$L$20:$T$1019,INT((ROW()-9)/9)+1,MOD(ROW()-9,9)+1),"")</f>
        <v/>
      </c>
      <c r="C1008" s="9">
        <f t="shared" si="15"/>
        <v>0</v>
      </c>
    </row>
    <row r="1009" spans="1:3" x14ac:dyDescent="0.2">
      <c r="A1009" s="10" t="str">
        <f>IF(1001&gt;$C$9008,"",INDEX($B$9:$B$9008,MATCH(1001,$C$9:$C$9008,0)))</f>
        <v/>
      </c>
      <c r="B1009" s="9" t="str">
        <f>IFERROR(INDEX(Input!$L$20:$T$1019,INT((ROW()-9)/9)+1,MOD(ROW()-9,9)+1),"")</f>
        <v/>
      </c>
      <c r="C1009" s="9">
        <f t="shared" si="15"/>
        <v>0</v>
      </c>
    </row>
    <row r="1010" spans="1:3" x14ac:dyDescent="0.2">
      <c r="A1010" s="10" t="str">
        <f>IF(1002&gt;$C$9008,"",INDEX($B$9:$B$9008,MATCH(1002,$C$9:$C$9008,0)))</f>
        <v/>
      </c>
      <c r="B1010" s="9" t="str">
        <f>IFERROR(INDEX(Input!$L$20:$T$1019,INT((ROW()-9)/9)+1,MOD(ROW()-9,9)+1),"")</f>
        <v/>
      </c>
      <c r="C1010" s="9">
        <f t="shared" si="15"/>
        <v>0</v>
      </c>
    </row>
    <row r="1011" spans="1:3" x14ac:dyDescent="0.2">
      <c r="A1011" s="10" t="str">
        <f>IF(1003&gt;$C$9008,"",INDEX($B$9:$B$9008,MATCH(1003,$C$9:$C$9008,0)))</f>
        <v/>
      </c>
      <c r="B1011" s="9" t="str">
        <f>IFERROR(INDEX(Input!$L$20:$T$1019,INT((ROW()-9)/9)+1,MOD(ROW()-9,9)+1),"")</f>
        <v/>
      </c>
      <c r="C1011" s="9">
        <f t="shared" si="15"/>
        <v>0</v>
      </c>
    </row>
    <row r="1012" spans="1:3" x14ac:dyDescent="0.2">
      <c r="A1012" s="10" t="str">
        <f>IF(1004&gt;$C$9008,"",INDEX($B$9:$B$9008,MATCH(1004,$C$9:$C$9008,0)))</f>
        <v/>
      </c>
      <c r="B1012" s="9" t="str">
        <f>IFERROR(INDEX(Input!$L$20:$T$1019,INT((ROW()-9)/9)+1,MOD(ROW()-9,9)+1),"")</f>
        <v/>
      </c>
      <c r="C1012" s="9">
        <f t="shared" si="15"/>
        <v>0</v>
      </c>
    </row>
    <row r="1013" spans="1:3" x14ac:dyDescent="0.2">
      <c r="A1013" s="10" t="str">
        <f>IF(1005&gt;$C$9008,"",INDEX($B$9:$B$9008,MATCH(1005,$C$9:$C$9008,0)))</f>
        <v/>
      </c>
      <c r="B1013" s="9" t="str">
        <f>IFERROR(INDEX(Input!$L$20:$T$1019,INT((ROW()-9)/9)+1,MOD(ROW()-9,9)+1),"")</f>
        <v/>
      </c>
      <c r="C1013" s="9">
        <f t="shared" si="15"/>
        <v>0</v>
      </c>
    </row>
    <row r="1014" spans="1:3" x14ac:dyDescent="0.2">
      <c r="A1014" s="10" t="str">
        <f>IF(1006&gt;$C$9008,"",INDEX($B$9:$B$9008,MATCH(1006,$C$9:$C$9008,0)))</f>
        <v/>
      </c>
      <c r="B1014" s="9" t="str">
        <f>IFERROR(INDEX(Input!$L$20:$T$1019,INT((ROW()-9)/9)+1,MOD(ROW()-9,9)+1),"")</f>
        <v/>
      </c>
      <c r="C1014" s="9">
        <f t="shared" si="15"/>
        <v>0</v>
      </c>
    </row>
    <row r="1015" spans="1:3" x14ac:dyDescent="0.2">
      <c r="A1015" s="10" t="str">
        <f>IF(1007&gt;$C$9008,"",INDEX($B$9:$B$9008,MATCH(1007,$C$9:$C$9008,0)))</f>
        <v/>
      </c>
      <c r="B1015" s="9" t="str">
        <f>IFERROR(INDEX(Input!$L$20:$T$1019,INT((ROW()-9)/9)+1,MOD(ROW()-9,9)+1),"")</f>
        <v/>
      </c>
      <c r="C1015" s="9">
        <f t="shared" si="15"/>
        <v>0</v>
      </c>
    </row>
    <row r="1016" spans="1:3" x14ac:dyDescent="0.2">
      <c r="A1016" s="10" t="str">
        <f>IF(1008&gt;$C$9008,"",INDEX($B$9:$B$9008,MATCH(1008,$C$9:$C$9008,0)))</f>
        <v/>
      </c>
      <c r="B1016" s="9" t="str">
        <f>IFERROR(INDEX(Input!$L$20:$T$1019,INT((ROW()-9)/9)+1,MOD(ROW()-9,9)+1),"")</f>
        <v/>
      </c>
      <c r="C1016" s="9">
        <f t="shared" si="15"/>
        <v>0</v>
      </c>
    </row>
    <row r="1017" spans="1:3" x14ac:dyDescent="0.2">
      <c r="A1017" s="10" t="str">
        <f>IF(1009&gt;$C$9008,"",INDEX($B$9:$B$9008,MATCH(1009,$C$9:$C$9008,0)))</f>
        <v/>
      </c>
      <c r="B1017" s="9" t="str">
        <f>IFERROR(INDEX(Input!$L$20:$T$1019,INT((ROW()-9)/9)+1,MOD(ROW()-9,9)+1),"")</f>
        <v/>
      </c>
      <c r="C1017" s="9">
        <f t="shared" si="15"/>
        <v>0</v>
      </c>
    </row>
    <row r="1018" spans="1:3" x14ac:dyDescent="0.2">
      <c r="A1018" s="10" t="str">
        <f>IF(1010&gt;$C$9008,"",INDEX($B$9:$B$9008,MATCH(1010,$C$9:$C$9008,0)))</f>
        <v/>
      </c>
      <c r="B1018" s="9" t="str">
        <f>IFERROR(INDEX(Input!$L$20:$T$1019,INT((ROW()-9)/9)+1,MOD(ROW()-9,9)+1),"")</f>
        <v/>
      </c>
      <c r="C1018" s="9">
        <f t="shared" si="15"/>
        <v>0</v>
      </c>
    </row>
    <row r="1019" spans="1:3" x14ac:dyDescent="0.2">
      <c r="A1019" s="10" t="str">
        <f>IF(1011&gt;$C$9008,"",INDEX($B$9:$B$9008,MATCH(1011,$C$9:$C$9008,0)))</f>
        <v/>
      </c>
      <c r="B1019" s="9" t="str">
        <f>IFERROR(INDEX(Input!$L$20:$T$1019,INT((ROW()-9)/9)+1,MOD(ROW()-9,9)+1),"")</f>
        <v/>
      </c>
      <c r="C1019" s="9">
        <f t="shared" si="15"/>
        <v>0</v>
      </c>
    </row>
    <row r="1020" spans="1:3" x14ac:dyDescent="0.2">
      <c r="A1020" s="10" t="str">
        <f>IF(1012&gt;$C$9008,"",INDEX($B$9:$B$9008,MATCH(1012,$C$9:$C$9008,0)))</f>
        <v/>
      </c>
      <c r="B1020" s="9" t="str">
        <f>IFERROR(INDEX(Input!$L$20:$T$1019,INT((ROW()-9)/9)+1,MOD(ROW()-9,9)+1),"")</f>
        <v/>
      </c>
      <c r="C1020" s="9">
        <f t="shared" si="15"/>
        <v>0</v>
      </c>
    </row>
    <row r="1021" spans="1:3" x14ac:dyDescent="0.2">
      <c r="A1021" s="10" t="str">
        <f>IF(1013&gt;$C$9008,"",INDEX($B$9:$B$9008,MATCH(1013,$C$9:$C$9008,0)))</f>
        <v/>
      </c>
      <c r="B1021" s="9" t="str">
        <f>IFERROR(INDEX(Input!$L$20:$T$1019,INT((ROW()-9)/9)+1,MOD(ROW()-9,9)+1),"")</f>
        <v/>
      </c>
      <c r="C1021" s="9">
        <f t="shared" si="15"/>
        <v>0</v>
      </c>
    </row>
    <row r="1022" spans="1:3" x14ac:dyDescent="0.2">
      <c r="A1022" s="10" t="str">
        <f>IF(1014&gt;$C$9008,"",INDEX($B$9:$B$9008,MATCH(1014,$C$9:$C$9008,0)))</f>
        <v/>
      </c>
      <c r="B1022" s="9" t="str">
        <f>IFERROR(INDEX(Input!$L$20:$T$1019,INT((ROW()-9)/9)+1,MOD(ROW()-9,9)+1),"")</f>
        <v/>
      </c>
      <c r="C1022" s="9">
        <f t="shared" si="15"/>
        <v>0</v>
      </c>
    </row>
    <row r="1023" spans="1:3" x14ac:dyDescent="0.2">
      <c r="A1023" s="10" t="str">
        <f>IF(1015&gt;$C$9008,"",INDEX($B$9:$B$9008,MATCH(1015,$C$9:$C$9008,0)))</f>
        <v/>
      </c>
      <c r="B1023" s="9" t="str">
        <f>IFERROR(INDEX(Input!$L$20:$T$1019,INT((ROW()-9)/9)+1,MOD(ROW()-9,9)+1),"")</f>
        <v/>
      </c>
      <c r="C1023" s="9">
        <f t="shared" si="15"/>
        <v>0</v>
      </c>
    </row>
    <row r="1024" spans="1:3" x14ac:dyDescent="0.2">
      <c r="A1024" s="10" t="str">
        <f>IF(1016&gt;$C$9008,"",INDEX($B$9:$B$9008,MATCH(1016,$C$9:$C$9008,0)))</f>
        <v/>
      </c>
      <c r="B1024" s="9" t="str">
        <f>IFERROR(INDEX(Input!$L$20:$T$1019,INT((ROW()-9)/9)+1,MOD(ROW()-9,9)+1),"")</f>
        <v/>
      </c>
      <c r="C1024" s="9">
        <f t="shared" si="15"/>
        <v>0</v>
      </c>
    </row>
    <row r="1025" spans="1:3" x14ac:dyDescent="0.2">
      <c r="A1025" s="10" t="str">
        <f>IF(1017&gt;$C$9008,"",INDEX($B$9:$B$9008,MATCH(1017,$C$9:$C$9008,0)))</f>
        <v/>
      </c>
      <c r="B1025" s="9" t="str">
        <f>IFERROR(INDEX(Input!$L$20:$T$1019,INT((ROW()-9)/9)+1,MOD(ROW()-9,9)+1),"")</f>
        <v/>
      </c>
      <c r="C1025" s="9">
        <f t="shared" si="15"/>
        <v>0</v>
      </c>
    </row>
    <row r="1026" spans="1:3" x14ac:dyDescent="0.2">
      <c r="A1026" s="10" t="str">
        <f>IF(1018&gt;$C$9008,"",INDEX($B$9:$B$9008,MATCH(1018,$C$9:$C$9008,0)))</f>
        <v/>
      </c>
      <c r="B1026" s="9" t="str">
        <f>IFERROR(INDEX(Input!$L$20:$T$1019,INT((ROW()-9)/9)+1,MOD(ROW()-9,9)+1),"")</f>
        <v/>
      </c>
      <c r="C1026" s="9">
        <f t="shared" si="15"/>
        <v>0</v>
      </c>
    </row>
    <row r="1027" spans="1:3" x14ac:dyDescent="0.2">
      <c r="A1027" s="10" t="str">
        <f>IF(1019&gt;$C$9008,"",INDEX($B$9:$B$9008,MATCH(1019,$C$9:$C$9008,0)))</f>
        <v/>
      </c>
      <c r="B1027" s="9" t="str">
        <f>IFERROR(INDEX(Input!$L$20:$T$1019,INT((ROW()-9)/9)+1,MOD(ROW()-9,9)+1),"")</f>
        <v/>
      </c>
      <c r="C1027" s="9">
        <f t="shared" si="15"/>
        <v>0</v>
      </c>
    </row>
    <row r="1028" spans="1:3" x14ac:dyDescent="0.2">
      <c r="A1028" s="10" t="str">
        <f>IF(1020&gt;$C$9008,"",INDEX($B$9:$B$9008,MATCH(1020,$C$9:$C$9008,0)))</f>
        <v/>
      </c>
      <c r="B1028" s="9" t="str">
        <f>IFERROR(INDEX(Input!$L$20:$T$1019,INT((ROW()-9)/9)+1,MOD(ROW()-9,9)+1),"")</f>
        <v/>
      </c>
      <c r="C1028" s="9">
        <f t="shared" si="15"/>
        <v>0</v>
      </c>
    </row>
    <row r="1029" spans="1:3" x14ac:dyDescent="0.2">
      <c r="A1029" s="10" t="str">
        <f>IF(1021&gt;$C$9008,"",INDEX($B$9:$B$9008,MATCH(1021,$C$9:$C$9008,0)))</f>
        <v/>
      </c>
      <c r="B1029" s="9" t="str">
        <f>IFERROR(INDEX(Input!$L$20:$T$1019,INT((ROW()-9)/9)+1,MOD(ROW()-9,9)+1),"")</f>
        <v/>
      </c>
      <c r="C1029" s="9">
        <f t="shared" si="15"/>
        <v>0</v>
      </c>
    </row>
    <row r="1030" spans="1:3" x14ac:dyDescent="0.2">
      <c r="A1030" s="10" t="str">
        <f>IF(1022&gt;$C$9008,"",INDEX($B$9:$B$9008,MATCH(1022,$C$9:$C$9008,0)))</f>
        <v/>
      </c>
      <c r="B1030" s="9" t="str">
        <f>IFERROR(INDEX(Input!$L$20:$T$1019,INT((ROW()-9)/9)+1,MOD(ROW()-9,9)+1),"")</f>
        <v/>
      </c>
      <c r="C1030" s="9">
        <f t="shared" si="15"/>
        <v>0</v>
      </c>
    </row>
    <row r="1031" spans="1:3" x14ac:dyDescent="0.2">
      <c r="A1031" s="10" t="str">
        <f>IF(1023&gt;$C$9008,"",INDEX($B$9:$B$9008,MATCH(1023,$C$9:$C$9008,0)))</f>
        <v/>
      </c>
      <c r="B1031" s="9" t="str">
        <f>IFERROR(INDEX(Input!$L$20:$T$1019,INT((ROW()-9)/9)+1,MOD(ROW()-9,9)+1),"")</f>
        <v/>
      </c>
      <c r="C1031" s="9">
        <f t="shared" si="15"/>
        <v>0</v>
      </c>
    </row>
    <row r="1032" spans="1:3" x14ac:dyDescent="0.2">
      <c r="A1032" s="10" t="str">
        <f>IF(1024&gt;$C$9008,"",INDEX($B$9:$B$9008,MATCH(1024,$C$9:$C$9008,0)))</f>
        <v/>
      </c>
      <c r="B1032" s="9" t="str">
        <f>IFERROR(INDEX(Input!$L$20:$T$1019,INT((ROW()-9)/9)+1,MOD(ROW()-9,9)+1),"")</f>
        <v/>
      </c>
      <c r="C1032" s="9">
        <f t="shared" si="15"/>
        <v>0</v>
      </c>
    </row>
    <row r="1033" spans="1:3" x14ac:dyDescent="0.2">
      <c r="A1033" s="10" t="str">
        <f>IF(1025&gt;$C$9008,"",INDEX($B$9:$B$9008,MATCH(1025,$C$9:$C$9008,0)))</f>
        <v/>
      </c>
      <c r="B1033" s="9" t="str">
        <f>IFERROR(INDEX(Input!$L$20:$T$1019,INT((ROW()-9)/9)+1,MOD(ROW()-9,9)+1),"")</f>
        <v/>
      </c>
      <c r="C1033" s="9">
        <f t="shared" ref="C1033:C1096" si="16">$C1032+IF($B1033&lt;&gt;"",1,0)</f>
        <v>0</v>
      </c>
    </row>
    <row r="1034" spans="1:3" x14ac:dyDescent="0.2">
      <c r="A1034" s="10" t="str">
        <f>IF(1026&gt;$C$9008,"",INDEX($B$9:$B$9008,MATCH(1026,$C$9:$C$9008,0)))</f>
        <v/>
      </c>
      <c r="B1034" s="9" t="str">
        <f>IFERROR(INDEX(Input!$L$20:$T$1019,INT((ROW()-9)/9)+1,MOD(ROW()-9,9)+1),"")</f>
        <v/>
      </c>
      <c r="C1034" s="9">
        <f t="shared" si="16"/>
        <v>0</v>
      </c>
    </row>
    <row r="1035" spans="1:3" x14ac:dyDescent="0.2">
      <c r="A1035" s="10" t="str">
        <f>IF(1027&gt;$C$9008,"",INDEX($B$9:$B$9008,MATCH(1027,$C$9:$C$9008,0)))</f>
        <v/>
      </c>
      <c r="B1035" s="9" t="str">
        <f>IFERROR(INDEX(Input!$L$20:$T$1019,INT((ROW()-9)/9)+1,MOD(ROW()-9,9)+1),"")</f>
        <v/>
      </c>
      <c r="C1035" s="9">
        <f t="shared" si="16"/>
        <v>0</v>
      </c>
    </row>
    <row r="1036" spans="1:3" x14ac:dyDescent="0.2">
      <c r="A1036" s="10" t="str">
        <f>IF(1028&gt;$C$9008,"",INDEX($B$9:$B$9008,MATCH(1028,$C$9:$C$9008,0)))</f>
        <v/>
      </c>
      <c r="B1036" s="9" t="str">
        <f>IFERROR(INDEX(Input!$L$20:$T$1019,INT((ROW()-9)/9)+1,MOD(ROW()-9,9)+1),"")</f>
        <v/>
      </c>
      <c r="C1036" s="9">
        <f t="shared" si="16"/>
        <v>0</v>
      </c>
    </row>
    <row r="1037" spans="1:3" x14ac:dyDescent="0.2">
      <c r="A1037" s="10" t="str">
        <f>IF(1029&gt;$C$9008,"",INDEX($B$9:$B$9008,MATCH(1029,$C$9:$C$9008,0)))</f>
        <v/>
      </c>
      <c r="B1037" s="9" t="str">
        <f>IFERROR(INDEX(Input!$L$20:$T$1019,INT((ROW()-9)/9)+1,MOD(ROW()-9,9)+1),"")</f>
        <v/>
      </c>
      <c r="C1037" s="9">
        <f t="shared" si="16"/>
        <v>0</v>
      </c>
    </row>
    <row r="1038" spans="1:3" x14ac:dyDescent="0.2">
      <c r="A1038" s="10" t="str">
        <f>IF(1030&gt;$C$9008,"",INDEX($B$9:$B$9008,MATCH(1030,$C$9:$C$9008,0)))</f>
        <v/>
      </c>
      <c r="B1038" s="9" t="str">
        <f>IFERROR(INDEX(Input!$L$20:$T$1019,INT((ROW()-9)/9)+1,MOD(ROW()-9,9)+1),"")</f>
        <v/>
      </c>
      <c r="C1038" s="9">
        <f t="shared" si="16"/>
        <v>0</v>
      </c>
    </row>
    <row r="1039" spans="1:3" x14ac:dyDescent="0.2">
      <c r="A1039" s="10" t="str">
        <f>IF(1031&gt;$C$9008,"",INDEX($B$9:$B$9008,MATCH(1031,$C$9:$C$9008,0)))</f>
        <v/>
      </c>
      <c r="B1039" s="9" t="str">
        <f>IFERROR(INDEX(Input!$L$20:$T$1019,INT((ROW()-9)/9)+1,MOD(ROW()-9,9)+1),"")</f>
        <v/>
      </c>
      <c r="C1039" s="9">
        <f t="shared" si="16"/>
        <v>0</v>
      </c>
    </row>
    <row r="1040" spans="1:3" x14ac:dyDescent="0.2">
      <c r="A1040" s="10" t="str">
        <f>IF(1032&gt;$C$9008,"",INDEX($B$9:$B$9008,MATCH(1032,$C$9:$C$9008,0)))</f>
        <v/>
      </c>
      <c r="B1040" s="9" t="str">
        <f>IFERROR(INDEX(Input!$L$20:$T$1019,INT((ROW()-9)/9)+1,MOD(ROW()-9,9)+1),"")</f>
        <v/>
      </c>
      <c r="C1040" s="9">
        <f t="shared" si="16"/>
        <v>0</v>
      </c>
    </row>
    <row r="1041" spans="1:3" x14ac:dyDescent="0.2">
      <c r="A1041" s="10" t="str">
        <f>IF(1033&gt;$C$9008,"",INDEX($B$9:$B$9008,MATCH(1033,$C$9:$C$9008,0)))</f>
        <v/>
      </c>
      <c r="B1041" s="9" t="str">
        <f>IFERROR(INDEX(Input!$L$20:$T$1019,INT((ROW()-9)/9)+1,MOD(ROW()-9,9)+1),"")</f>
        <v/>
      </c>
      <c r="C1041" s="9">
        <f t="shared" si="16"/>
        <v>0</v>
      </c>
    </row>
    <row r="1042" spans="1:3" x14ac:dyDescent="0.2">
      <c r="A1042" s="10" t="str">
        <f>IF(1034&gt;$C$9008,"",INDEX($B$9:$B$9008,MATCH(1034,$C$9:$C$9008,0)))</f>
        <v/>
      </c>
      <c r="B1042" s="9" t="str">
        <f>IFERROR(INDEX(Input!$L$20:$T$1019,INT((ROW()-9)/9)+1,MOD(ROW()-9,9)+1),"")</f>
        <v/>
      </c>
      <c r="C1042" s="9">
        <f t="shared" si="16"/>
        <v>0</v>
      </c>
    </row>
    <row r="1043" spans="1:3" x14ac:dyDescent="0.2">
      <c r="A1043" s="10" t="str">
        <f>IF(1035&gt;$C$9008,"",INDEX($B$9:$B$9008,MATCH(1035,$C$9:$C$9008,0)))</f>
        <v/>
      </c>
      <c r="B1043" s="9" t="str">
        <f>IFERROR(INDEX(Input!$L$20:$T$1019,INT((ROW()-9)/9)+1,MOD(ROW()-9,9)+1),"")</f>
        <v/>
      </c>
      <c r="C1043" s="9">
        <f t="shared" si="16"/>
        <v>0</v>
      </c>
    </row>
    <row r="1044" spans="1:3" x14ac:dyDescent="0.2">
      <c r="A1044" s="10" t="str">
        <f>IF(1036&gt;$C$9008,"",INDEX($B$9:$B$9008,MATCH(1036,$C$9:$C$9008,0)))</f>
        <v/>
      </c>
      <c r="B1044" s="9" t="str">
        <f>IFERROR(INDEX(Input!$L$20:$T$1019,INT((ROW()-9)/9)+1,MOD(ROW()-9,9)+1),"")</f>
        <v/>
      </c>
      <c r="C1044" s="9">
        <f t="shared" si="16"/>
        <v>0</v>
      </c>
    </row>
    <row r="1045" spans="1:3" x14ac:dyDescent="0.2">
      <c r="A1045" s="10" t="str">
        <f>IF(1037&gt;$C$9008,"",INDEX($B$9:$B$9008,MATCH(1037,$C$9:$C$9008,0)))</f>
        <v/>
      </c>
      <c r="B1045" s="9" t="str">
        <f>IFERROR(INDEX(Input!$L$20:$T$1019,INT((ROW()-9)/9)+1,MOD(ROW()-9,9)+1),"")</f>
        <v/>
      </c>
      <c r="C1045" s="9">
        <f t="shared" si="16"/>
        <v>0</v>
      </c>
    </row>
    <row r="1046" spans="1:3" x14ac:dyDescent="0.2">
      <c r="A1046" s="10" t="str">
        <f>IF(1038&gt;$C$9008,"",INDEX($B$9:$B$9008,MATCH(1038,$C$9:$C$9008,0)))</f>
        <v/>
      </c>
      <c r="B1046" s="9" t="str">
        <f>IFERROR(INDEX(Input!$L$20:$T$1019,INT((ROW()-9)/9)+1,MOD(ROW()-9,9)+1),"")</f>
        <v/>
      </c>
      <c r="C1046" s="9">
        <f t="shared" si="16"/>
        <v>0</v>
      </c>
    </row>
    <row r="1047" spans="1:3" x14ac:dyDescent="0.2">
      <c r="A1047" s="10" t="str">
        <f>IF(1039&gt;$C$9008,"",INDEX($B$9:$B$9008,MATCH(1039,$C$9:$C$9008,0)))</f>
        <v/>
      </c>
      <c r="B1047" s="9" t="str">
        <f>IFERROR(INDEX(Input!$L$20:$T$1019,INT((ROW()-9)/9)+1,MOD(ROW()-9,9)+1),"")</f>
        <v/>
      </c>
      <c r="C1047" s="9">
        <f t="shared" si="16"/>
        <v>0</v>
      </c>
    </row>
    <row r="1048" spans="1:3" x14ac:dyDescent="0.2">
      <c r="A1048" s="10" t="str">
        <f>IF(1040&gt;$C$9008,"",INDEX($B$9:$B$9008,MATCH(1040,$C$9:$C$9008,0)))</f>
        <v/>
      </c>
      <c r="B1048" s="9" t="str">
        <f>IFERROR(INDEX(Input!$L$20:$T$1019,INT((ROW()-9)/9)+1,MOD(ROW()-9,9)+1),"")</f>
        <v/>
      </c>
      <c r="C1048" s="9">
        <f t="shared" si="16"/>
        <v>0</v>
      </c>
    </row>
    <row r="1049" spans="1:3" x14ac:dyDescent="0.2">
      <c r="A1049" s="10" t="str">
        <f>IF(1041&gt;$C$9008,"",INDEX($B$9:$B$9008,MATCH(1041,$C$9:$C$9008,0)))</f>
        <v/>
      </c>
      <c r="B1049" s="9" t="str">
        <f>IFERROR(INDEX(Input!$L$20:$T$1019,INT((ROW()-9)/9)+1,MOD(ROW()-9,9)+1),"")</f>
        <v/>
      </c>
      <c r="C1049" s="9">
        <f t="shared" si="16"/>
        <v>0</v>
      </c>
    </row>
    <row r="1050" spans="1:3" x14ac:dyDescent="0.2">
      <c r="A1050" s="10" t="str">
        <f>IF(1042&gt;$C$9008,"",INDEX($B$9:$B$9008,MATCH(1042,$C$9:$C$9008,0)))</f>
        <v/>
      </c>
      <c r="B1050" s="9" t="str">
        <f>IFERROR(INDEX(Input!$L$20:$T$1019,INT((ROW()-9)/9)+1,MOD(ROW()-9,9)+1),"")</f>
        <v/>
      </c>
      <c r="C1050" s="9">
        <f t="shared" si="16"/>
        <v>0</v>
      </c>
    </row>
    <row r="1051" spans="1:3" x14ac:dyDescent="0.2">
      <c r="A1051" s="10" t="str">
        <f>IF(1043&gt;$C$9008,"",INDEX($B$9:$B$9008,MATCH(1043,$C$9:$C$9008,0)))</f>
        <v/>
      </c>
      <c r="B1051" s="9" t="str">
        <f>IFERROR(INDEX(Input!$L$20:$T$1019,INT((ROW()-9)/9)+1,MOD(ROW()-9,9)+1),"")</f>
        <v/>
      </c>
      <c r="C1051" s="9">
        <f t="shared" si="16"/>
        <v>0</v>
      </c>
    </row>
    <row r="1052" spans="1:3" x14ac:dyDescent="0.2">
      <c r="A1052" s="10" t="str">
        <f>IF(1044&gt;$C$9008,"",INDEX($B$9:$B$9008,MATCH(1044,$C$9:$C$9008,0)))</f>
        <v/>
      </c>
      <c r="B1052" s="9" t="str">
        <f>IFERROR(INDEX(Input!$L$20:$T$1019,INT((ROW()-9)/9)+1,MOD(ROW()-9,9)+1),"")</f>
        <v/>
      </c>
      <c r="C1052" s="9">
        <f t="shared" si="16"/>
        <v>0</v>
      </c>
    </row>
    <row r="1053" spans="1:3" x14ac:dyDescent="0.2">
      <c r="A1053" s="10" t="str">
        <f>IF(1045&gt;$C$9008,"",INDEX($B$9:$B$9008,MATCH(1045,$C$9:$C$9008,0)))</f>
        <v/>
      </c>
      <c r="B1053" s="9" t="str">
        <f>IFERROR(INDEX(Input!$L$20:$T$1019,INT((ROW()-9)/9)+1,MOD(ROW()-9,9)+1),"")</f>
        <v/>
      </c>
      <c r="C1053" s="9">
        <f t="shared" si="16"/>
        <v>0</v>
      </c>
    </row>
    <row r="1054" spans="1:3" x14ac:dyDescent="0.2">
      <c r="A1054" s="10" t="str">
        <f>IF(1046&gt;$C$9008,"",INDEX($B$9:$B$9008,MATCH(1046,$C$9:$C$9008,0)))</f>
        <v/>
      </c>
      <c r="B1054" s="9" t="str">
        <f>IFERROR(INDEX(Input!$L$20:$T$1019,INT((ROW()-9)/9)+1,MOD(ROW()-9,9)+1),"")</f>
        <v/>
      </c>
      <c r="C1054" s="9">
        <f t="shared" si="16"/>
        <v>0</v>
      </c>
    </row>
    <row r="1055" spans="1:3" x14ac:dyDescent="0.2">
      <c r="A1055" s="10" t="str">
        <f>IF(1047&gt;$C$9008,"",INDEX($B$9:$B$9008,MATCH(1047,$C$9:$C$9008,0)))</f>
        <v/>
      </c>
      <c r="B1055" s="9" t="str">
        <f>IFERROR(INDEX(Input!$L$20:$T$1019,INT((ROW()-9)/9)+1,MOD(ROW()-9,9)+1),"")</f>
        <v/>
      </c>
      <c r="C1055" s="9">
        <f t="shared" si="16"/>
        <v>0</v>
      </c>
    </row>
    <row r="1056" spans="1:3" x14ac:dyDescent="0.2">
      <c r="A1056" s="10" t="str">
        <f>IF(1048&gt;$C$9008,"",INDEX($B$9:$B$9008,MATCH(1048,$C$9:$C$9008,0)))</f>
        <v/>
      </c>
      <c r="B1056" s="9" t="str">
        <f>IFERROR(INDEX(Input!$L$20:$T$1019,INT((ROW()-9)/9)+1,MOD(ROW()-9,9)+1),"")</f>
        <v/>
      </c>
      <c r="C1056" s="9">
        <f t="shared" si="16"/>
        <v>0</v>
      </c>
    </row>
    <row r="1057" spans="1:3" x14ac:dyDescent="0.2">
      <c r="A1057" s="10" t="str">
        <f>IF(1049&gt;$C$9008,"",INDEX($B$9:$B$9008,MATCH(1049,$C$9:$C$9008,0)))</f>
        <v/>
      </c>
      <c r="B1057" s="9" t="str">
        <f>IFERROR(INDEX(Input!$L$20:$T$1019,INT((ROW()-9)/9)+1,MOD(ROW()-9,9)+1),"")</f>
        <v/>
      </c>
      <c r="C1057" s="9">
        <f t="shared" si="16"/>
        <v>0</v>
      </c>
    </row>
    <row r="1058" spans="1:3" x14ac:dyDescent="0.2">
      <c r="A1058" s="10" t="str">
        <f>IF(1050&gt;$C$9008,"",INDEX($B$9:$B$9008,MATCH(1050,$C$9:$C$9008,0)))</f>
        <v/>
      </c>
      <c r="B1058" s="9" t="str">
        <f>IFERROR(INDEX(Input!$L$20:$T$1019,INT((ROW()-9)/9)+1,MOD(ROW()-9,9)+1),"")</f>
        <v/>
      </c>
      <c r="C1058" s="9">
        <f t="shared" si="16"/>
        <v>0</v>
      </c>
    </row>
    <row r="1059" spans="1:3" x14ac:dyDescent="0.2">
      <c r="A1059" s="10" t="str">
        <f>IF(1051&gt;$C$9008,"",INDEX($B$9:$B$9008,MATCH(1051,$C$9:$C$9008,0)))</f>
        <v/>
      </c>
      <c r="B1059" s="9" t="str">
        <f>IFERROR(INDEX(Input!$L$20:$T$1019,INT((ROW()-9)/9)+1,MOD(ROW()-9,9)+1),"")</f>
        <v/>
      </c>
      <c r="C1059" s="9">
        <f t="shared" si="16"/>
        <v>0</v>
      </c>
    </row>
    <row r="1060" spans="1:3" x14ac:dyDescent="0.2">
      <c r="A1060" s="10" t="str">
        <f>IF(1052&gt;$C$9008,"",INDEX($B$9:$B$9008,MATCH(1052,$C$9:$C$9008,0)))</f>
        <v/>
      </c>
      <c r="B1060" s="9" t="str">
        <f>IFERROR(INDEX(Input!$L$20:$T$1019,INT((ROW()-9)/9)+1,MOD(ROW()-9,9)+1),"")</f>
        <v/>
      </c>
      <c r="C1060" s="9">
        <f t="shared" si="16"/>
        <v>0</v>
      </c>
    </row>
    <row r="1061" spans="1:3" x14ac:dyDescent="0.2">
      <c r="A1061" s="10" t="str">
        <f>IF(1053&gt;$C$9008,"",INDEX($B$9:$B$9008,MATCH(1053,$C$9:$C$9008,0)))</f>
        <v/>
      </c>
      <c r="B1061" s="9" t="str">
        <f>IFERROR(INDEX(Input!$L$20:$T$1019,INT((ROW()-9)/9)+1,MOD(ROW()-9,9)+1),"")</f>
        <v/>
      </c>
      <c r="C1061" s="9">
        <f t="shared" si="16"/>
        <v>0</v>
      </c>
    </row>
    <row r="1062" spans="1:3" x14ac:dyDescent="0.2">
      <c r="A1062" s="10" t="str">
        <f>IF(1054&gt;$C$9008,"",INDEX($B$9:$B$9008,MATCH(1054,$C$9:$C$9008,0)))</f>
        <v/>
      </c>
      <c r="B1062" s="9" t="str">
        <f>IFERROR(INDEX(Input!$L$20:$T$1019,INT((ROW()-9)/9)+1,MOD(ROW()-9,9)+1),"")</f>
        <v/>
      </c>
      <c r="C1062" s="9">
        <f t="shared" si="16"/>
        <v>0</v>
      </c>
    </row>
    <row r="1063" spans="1:3" x14ac:dyDescent="0.2">
      <c r="A1063" s="10" t="str">
        <f>IF(1055&gt;$C$9008,"",INDEX($B$9:$B$9008,MATCH(1055,$C$9:$C$9008,0)))</f>
        <v/>
      </c>
      <c r="B1063" s="9" t="str">
        <f>IFERROR(INDEX(Input!$L$20:$T$1019,INT((ROW()-9)/9)+1,MOD(ROW()-9,9)+1),"")</f>
        <v/>
      </c>
      <c r="C1063" s="9">
        <f t="shared" si="16"/>
        <v>0</v>
      </c>
    </row>
    <row r="1064" spans="1:3" x14ac:dyDescent="0.2">
      <c r="A1064" s="10" t="str">
        <f>IF(1056&gt;$C$9008,"",INDEX($B$9:$B$9008,MATCH(1056,$C$9:$C$9008,0)))</f>
        <v/>
      </c>
      <c r="B1064" s="9" t="str">
        <f>IFERROR(INDEX(Input!$L$20:$T$1019,INT((ROW()-9)/9)+1,MOD(ROW()-9,9)+1),"")</f>
        <v/>
      </c>
      <c r="C1064" s="9">
        <f t="shared" si="16"/>
        <v>0</v>
      </c>
    </row>
    <row r="1065" spans="1:3" x14ac:dyDescent="0.2">
      <c r="A1065" s="10" t="str">
        <f>IF(1057&gt;$C$9008,"",INDEX($B$9:$B$9008,MATCH(1057,$C$9:$C$9008,0)))</f>
        <v/>
      </c>
      <c r="B1065" s="9" t="str">
        <f>IFERROR(INDEX(Input!$L$20:$T$1019,INT((ROW()-9)/9)+1,MOD(ROW()-9,9)+1),"")</f>
        <v/>
      </c>
      <c r="C1065" s="9">
        <f t="shared" si="16"/>
        <v>0</v>
      </c>
    </row>
    <row r="1066" spans="1:3" x14ac:dyDescent="0.2">
      <c r="A1066" s="10" t="str">
        <f>IF(1058&gt;$C$9008,"",INDEX($B$9:$B$9008,MATCH(1058,$C$9:$C$9008,0)))</f>
        <v/>
      </c>
      <c r="B1066" s="9" t="str">
        <f>IFERROR(INDEX(Input!$L$20:$T$1019,INT((ROW()-9)/9)+1,MOD(ROW()-9,9)+1),"")</f>
        <v/>
      </c>
      <c r="C1066" s="9">
        <f t="shared" si="16"/>
        <v>0</v>
      </c>
    </row>
    <row r="1067" spans="1:3" x14ac:dyDescent="0.2">
      <c r="A1067" s="10" t="str">
        <f>IF(1059&gt;$C$9008,"",INDEX($B$9:$B$9008,MATCH(1059,$C$9:$C$9008,0)))</f>
        <v/>
      </c>
      <c r="B1067" s="9" t="str">
        <f>IFERROR(INDEX(Input!$L$20:$T$1019,INT((ROW()-9)/9)+1,MOD(ROW()-9,9)+1),"")</f>
        <v/>
      </c>
      <c r="C1067" s="9">
        <f t="shared" si="16"/>
        <v>0</v>
      </c>
    </row>
    <row r="1068" spans="1:3" x14ac:dyDescent="0.2">
      <c r="A1068" s="10" t="str">
        <f>IF(1060&gt;$C$9008,"",INDEX($B$9:$B$9008,MATCH(1060,$C$9:$C$9008,0)))</f>
        <v/>
      </c>
      <c r="B1068" s="9" t="str">
        <f>IFERROR(INDEX(Input!$L$20:$T$1019,INT((ROW()-9)/9)+1,MOD(ROW()-9,9)+1),"")</f>
        <v/>
      </c>
      <c r="C1068" s="9">
        <f t="shared" si="16"/>
        <v>0</v>
      </c>
    </row>
    <row r="1069" spans="1:3" x14ac:dyDescent="0.2">
      <c r="A1069" s="10" t="str">
        <f>IF(1061&gt;$C$9008,"",INDEX($B$9:$B$9008,MATCH(1061,$C$9:$C$9008,0)))</f>
        <v/>
      </c>
      <c r="B1069" s="9" t="str">
        <f>IFERROR(INDEX(Input!$L$20:$T$1019,INT((ROW()-9)/9)+1,MOD(ROW()-9,9)+1),"")</f>
        <v/>
      </c>
      <c r="C1069" s="9">
        <f t="shared" si="16"/>
        <v>0</v>
      </c>
    </row>
    <row r="1070" spans="1:3" x14ac:dyDescent="0.2">
      <c r="A1070" s="10" t="str">
        <f>IF(1062&gt;$C$9008,"",INDEX($B$9:$B$9008,MATCH(1062,$C$9:$C$9008,0)))</f>
        <v/>
      </c>
      <c r="B1070" s="9" t="str">
        <f>IFERROR(INDEX(Input!$L$20:$T$1019,INT((ROW()-9)/9)+1,MOD(ROW()-9,9)+1),"")</f>
        <v/>
      </c>
      <c r="C1070" s="9">
        <f t="shared" si="16"/>
        <v>0</v>
      </c>
    </row>
    <row r="1071" spans="1:3" x14ac:dyDescent="0.2">
      <c r="A1071" s="10" t="str">
        <f>IF(1063&gt;$C$9008,"",INDEX($B$9:$B$9008,MATCH(1063,$C$9:$C$9008,0)))</f>
        <v/>
      </c>
      <c r="B1071" s="9" t="str">
        <f>IFERROR(INDEX(Input!$L$20:$T$1019,INT((ROW()-9)/9)+1,MOD(ROW()-9,9)+1),"")</f>
        <v/>
      </c>
      <c r="C1071" s="9">
        <f t="shared" si="16"/>
        <v>0</v>
      </c>
    </row>
    <row r="1072" spans="1:3" x14ac:dyDescent="0.2">
      <c r="A1072" s="10" t="str">
        <f>IF(1064&gt;$C$9008,"",INDEX($B$9:$B$9008,MATCH(1064,$C$9:$C$9008,0)))</f>
        <v/>
      </c>
      <c r="B1072" s="9" t="str">
        <f>IFERROR(INDEX(Input!$L$20:$T$1019,INT((ROW()-9)/9)+1,MOD(ROW()-9,9)+1),"")</f>
        <v/>
      </c>
      <c r="C1072" s="9">
        <f t="shared" si="16"/>
        <v>0</v>
      </c>
    </row>
    <row r="1073" spans="1:3" x14ac:dyDescent="0.2">
      <c r="A1073" s="10" t="str">
        <f>IF(1065&gt;$C$9008,"",INDEX($B$9:$B$9008,MATCH(1065,$C$9:$C$9008,0)))</f>
        <v/>
      </c>
      <c r="B1073" s="9" t="str">
        <f>IFERROR(INDEX(Input!$L$20:$T$1019,INT((ROW()-9)/9)+1,MOD(ROW()-9,9)+1),"")</f>
        <v/>
      </c>
      <c r="C1073" s="9">
        <f t="shared" si="16"/>
        <v>0</v>
      </c>
    </row>
    <row r="1074" spans="1:3" x14ac:dyDescent="0.2">
      <c r="A1074" s="10" t="str">
        <f>IF(1066&gt;$C$9008,"",INDEX($B$9:$B$9008,MATCH(1066,$C$9:$C$9008,0)))</f>
        <v/>
      </c>
      <c r="B1074" s="9" t="str">
        <f>IFERROR(INDEX(Input!$L$20:$T$1019,INT((ROW()-9)/9)+1,MOD(ROW()-9,9)+1),"")</f>
        <v/>
      </c>
      <c r="C1074" s="9">
        <f t="shared" si="16"/>
        <v>0</v>
      </c>
    </row>
    <row r="1075" spans="1:3" x14ac:dyDescent="0.2">
      <c r="A1075" s="10" t="str">
        <f>IF(1067&gt;$C$9008,"",INDEX($B$9:$B$9008,MATCH(1067,$C$9:$C$9008,0)))</f>
        <v/>
      </c>
      <c r="B1075" s="9" t="str">
        <f>IFERROR(INDEX(Input!$L$20:$T$1019,INT((ROW()-9)/9)+1,MOD(ROW()-9,9)+1),"")</f>
        <v/>
      </c>
      <c r="C1075" s="9">
        <f t="shared" si="16"/>
        <v>0</v>
      </c>
    </row>
    <row r="1076" spans="1:3" x14ac:dyDescent="0.2">
      <c r="A1076" s="10" t="str">
        <f>IF(1068&gt;$C$9008,"",INDEX($B$9:$B$9008,MATCH(1068,$C$9:$C$9008,0)))</f>
        <v/>
      </c>
      <c r="B1076" s="9" t="str">
        <f>IFERROR(INDEX(Input!$L$20:$T$1019,INT((ROW()-9)/9)+1,MOD(ROW()-9,9)+1),"")</f>
        <v/>
      </c>
      <c r="C1076" s="9">
        <f t="shared" si="16"/>
        <v>0</v>
      </c>
    </row>
    <row r="1077" spans="1:3" x14ac:dyDescent="0.2">
      <c r="A1077" s="10" t="str">
        <f>IF(1069&gt;$C$9008,"",INDEX($B$9:$B$9008,MATCH(1069,$C$9:$C$9008,0)))</f>
        <v/>
      </c>
      <c r="B1077" s="9" t="str">
        <f>IFERROR(INDEX(Input!$L$20:$T$1019,INT((ROW()-9)/9)+1,MOD(ROW()-9,9)+1),"")</f>
        <v/>
      </c>
      <c r="C1077" s="9">
        <f t="shared" si="16"/>
        <v>0</v>
      </c>
    </row>
    <row r="1078" spans="1:3" x14ac:dyDescent="0.2">
      <c r="A1078" s="10" t="str">
        <f>IF(1070&gt;$C$9008,"",INDEX($B$9:$B$9008,MATCH(1070,$C$9:$C$9008,0)))</f>
        <v/>
      </c>
      <c r="B1078" s="9" t="str">
        <f>IFERROR(INDEX(Input!$L$20:$T$1019,INT((ROW()-9)/9)+1,MOD(ROW()-9,9)+1),"")</f>
        <v/>
      </c>
      <c r="C1078" s="9">
        <f t="shared" si="16"/>
        <v>0</v>
      </c>
    </row>
    <row r="1079" spans="1:3" x14ac:dyDescent="0.2">
      <c r="A1079" s="10" t="str">
        <f>IF(1071&gt;$C$9008,"",INDEX($B$9:$B$9008,MATCH(1071,$C$9:$C$9008,0)))</f>
        <v/>
      </c>
      <c r="B1079" s="9" t="str">
        <f>IFERROR(INDEX(Input!$L$20:$T$1019,INT((ROW()-9)/9)+1,MOD(ROW()-9,9)+1),"")</f>
        <v/>
      </c>
      <c r="C1079" s="9">
        <f t="shared" si="16"/>
        <v>0</v>
      </c>
    </row>
    <row r="1080" spans="1:3" x14ac:dyDescent="0.2">
      <c r="A1080" s="10" t="str">
        <f>IF(1072&gt;$C$9008,"",INDEX($B$9:$B$9008,MATCH(1072,$C$9:$C$9008,0)))</f>
        <v/>
      </c>
      <c r="B1080" s="9" t="str">
        <f>IFERROR(INDEX(Input!$L$20:$T$1019,INT((ROW()-9)/9)+1,MOD(ROW()-9,9)+1),"")</f>
        <v/>
      </c>
      <c r="C1080" s="9">
        <f t="shared" si="16"/>
        <v>0</v>
      </c>
    </row>
    <row r="1081" spans="1:3" x14ac:dyDescent="0.2">
      <c r="A1081" s="10" t="str">
        <f>IF(1073&gt;$C$9008,"",INDEX($B$9:$B$9008,MATCH(1073,$C$9:$C$9008,0)))</f>
        <v/>
      </c>
      <c r="B1081" s="9" t="str">
        <f>IFERROR(INDEX(Input!$L$20:$T$1019,INT((ROW()-9)/9)+1,MOD(ROW()-9,9)+1),"")</f>
        <v/>
      </c>
      <c r="C1081" s="9">
        <f t="shared" si="16"/>
        <v>0</v>
      </c>
    </row>
    <row r="1082" spans="1:3" x14ac:dyDescent="0.2">
      <c r="A1082" s="10" t="str">
        <f>IF(1074&gt;$C$9008,"",INDEX($B$9:$B$9008,MATCH(1074,$C$9:$C$9008,0)))</f>
        <v/>
      </c>
      <c r="B1082" s="9" t="str">
        <f>IFERROR(INDEX(Input!$L$20:$T$1019,INT((ROW()-9)/9)+1,MOD(ROW()-9,9)+1),"")</f>
        <v/>
      </c>
      <c r="C1082" s="9">
        <f t="shared" si="16"/>
        <v>0</v>
      </c>
    </row>
    <row r="1083" spans="1:3" x14ac:dyDescent="0.2">
      <c r="A1083" s="10" t="str">
        <f>IF(1075&gt;$C$9008,"",INDEX($B$9:$B$9008,MATCH(1075,$C$9:$C$9008,0)))</f>
        <v/>
      </c>
      <c r="B1083" s="9" t="str">
        <f>IFERROR(INDEX(Input!$L$20:$T$1019,INT((ROW()-9)/9)+1,MOD(ROW()-9,9)+1),"")</f>
        <v/>
      </c>
      <c r="C1083" s="9">
        <f t="shared" si="16"/>
        <v>0</v>
      </c>
    </row>
    <row r="1084" spans="1:3" x14ac:dyDescent="0.2">
      <c r="A1084" s="10" t="str">
        <f>IF(1076&gt;$C$9008,"",INDEX($B$9:$B$9008,MATCH(1076,$C$9:$C$9008,0)))</f>
        <v/>
      </c>
      <c r="B1084" s="9" t="str">
        <f>IFERROR(INDEX(Input!$L$20:$T$1019,INT((ROW()-9)/9)+1,MOD(ROW()-9,9)+1),"")</f>
        <v/>
      </c>
      <c r="C1084" s="9">
        <f t="shared" si="16"/>
        <v>0</v>
      </c>
    </row>
    <row r="1085" spans="1:3" x14ac:dyDescent="0.2">
      <c r="A1085" s="10" t="str">
        <f>IF(1077&gt;$C$9008,"",INDEX($B$9:$B$9008,MATCH(1077,$C$9:$C$9008,0)))</f>
        <v/>
      </c>
      <c r="B1085" s="9" t="str">
        <f>IFERROR(INDEX(Input!$L$20:$T$1019,INT((ROW()-9)/9)+1,MOD(ROW()-9,9)+1),"")</f>
        <v/>
      </c>
      <c r="C1085" s="9">
        <f t="shared" si="16"/>
        <v>0</v>
      </c>
    </row>
    <row r="1086" spans="1:3" x14ac:dyDescent="0.2">
      <c r="A1086" s="10" t="str">
        <f>IF(1078&gt;$C$9008,"",INDEX($B$9:$B$9008,MATCH(1078,$C$9:$C$9008,0)))</f>
        <v/>
      </c>
      <c r="B1086" s="9" t="str">
        <f>IFERROR(INDEX(Input!$L$20:$T$1019,INT((ROW()-9)/9)+1,MOD(ROW()-9,9)+1),"")</f>
        <v/>
      </c>
      <c r="C1086" s="9">
        <f t="shared" si="16"/>
        <v>0</v>
      </c>
    </row>
    <row r="1087" spans="1:3" x14ac:dyDescent="0.2">
      <c r="A1087" s="10" t="str">
        <f>IF(1079&gt;$C$9008,"",INDEX($B$9:$B$9008,MATCH(1079,$C$9:$C$9008,0)))</f>
        <v/>
      </c>
      <c r="B1087" s="9" t="str">
        <f>IFERROR(INDEX(Input!$L$20:$T$1019,INT((ROW()-9)/9)+1,MOD(ROW()-9,9)+1),"")</f>
        <v/>
      </c>
      <c r="C1087" s="9">
        <f t="shared" si="16"/>
        <v>0</v>
      </c>
    </row>
    <row r="1088" spans="1:3" x14ac:dyDescent="0.2">
      <c r="A1088" s="10" t="str">
        <f>IF(1080&gt;$C$9008,"",INDEX($B$9:$B$9008,MATCH(1080,$C$9:$C$9008,0)))</f>
        <v/>
      </c>
      <c r="B1088" s="9" t="str">
        <f>IFERROR(INDEX(Input!$L$20:$T$1019,INT((ROW()-9)/9)+1,MOD(ROW()-9,9)+1),"")</f>
        <v/>
      </c>
      <c r="C1088" s="9">
        <f t="shared" si="16"/>
        <v>0</v>
      </c>
    </row>
    <row r="1089" spans="1:3" x14ac:dyDescent="0.2">
      <c r="A1089" s="10" t="str">
        <f>IF(1081&gt;$C$9008,"",INDEX($B$9:$B$9008,MATCH(1081,$C$9:$C$9008,0)))</f>
        <v/>
      </c>
      <c r="B1089" s="9" t="str">
        <f>IFERROR(INDEX(Input!$L$20:$T$1019,INT((ROW()-9)/9)+1,MOD(ROW()-9,9)+1),"")</f>
        <v/>
      </c>
      <c r="C1089" s="9">
        <f t="shared" si="16"/>
        <v>0</v>
      </c>
    </row>
    <row r="1090" spans="1:3" x14ac:dyDescent="0.2">
      <c r="A1090" s="10" t="str">
        <f>IF(1082&gt;$C$9008,"",INDEX($B$9:$B$9008,MATCH(1082,$C$9:$C$9008,0)))</f>
        <v/>
      </c>
      <c r="B1090" s="9" t="str">
        <f>IFERROR(INDEX(Input!$L$20:$T$1019,INT((ROW()-9)/9)+1,MOD(ROW()-9,9)+1),"")</f>
        <v/>
      </c>
      <c r="C1090" s="9">
        <f t="shared" si="16"/>
        <v>0</v>
      </c>
    </row>
    <row r="1091" spans="1:3" x14ac:dyDescent="0.2">
      <c r="A1091" s="10" t="str">
        <f>IF(1083&gt;$C$9008,"",INDEX($B$9:$B$9008,MATCH(1083,$C$9:$C$9008,0)))</f>
        <v/>
      </c>
      <c r="B1091" s="9" t="str">
        <f>IFERROR(INDEX(Input!$L$20:$T$1019,INT((ROW()-9)/9)+1,MOD(ROW()-9,9)+1),"")</f>
        <v/>
      </c>
      <c r="C1091" s="9">
        <f t="shared" si="16"/>
        <v>0</v>
      </c>
    </row>
    <row r="1092" spans="1:3" x14ac:dyDescent="0.2">
      <c r="A1092" s="10" t="str">
        <f>IF(1084&gt;$C$9008,"",INDEX($B$9:$B$9008,MATCH(1084,$C$9:$C$9008,0)))</f>
        <v/>
      </c>
      <c r="B1092" s="9" t="str">
        <f>IFERROR(INDEX(Input!$L$20:$T$1019,INT((ROW()-9)/9)+1,MOD(ROW()-9,9)+1),"")</f>
        <v/>
      </c>
      <c r="C1092" s="9">
        <f t="shared" si="16"/>
        <v>0</v>
      </c>
    </row>
    <row r="1093" spans="1:3" x14ac:dyDescent="0.2">
      <c r="A1093" s="10" t="str">
        <f>IF(1085&gt;$C$9008,"",INDEX($B$9:$B$9008,MATCH(1085,$C$9:$C$9008,0)))</f>
        <v/>
      </c>
      <c r="B1093" s="9" t="str">
        <f>IFERROR(INDEX(Input!$L$20:$T$1019,INT((ROW()-9)/9)+1,MOD(ROW()-9,9)+1),"")</f>
        <v/>
      </c>
      <c r="C1093" s="9">
        <f t="shared" si="16"/>
        <v>0</v>
      </c>
    </row>
    <row r="1094" spans="1:3" x14ac:dyDescent="0.2">
      <c r="A1094" s="10" t="str">
        <f>IF(1086&gt;$C$9008,"",INDEX($B$9:$B$9008,MATCH(1086,$C$9:$C$9008,0)))</f>
        <v/>
      </c>
      <c r="B1094" s="9" t="str">
        <f>IFERROR(INDEX(Input!$L$20:$T$1019,INT((ROW()-9)/9)+1,MOD(ROW()-9,9)+1),"")</f>
        <v/>
      </c>
      <c r="C1094" s="9">
        <f t="shared" si="16"/>
        <v>0</v>
      </c>
    </row>
    <row r="1095" spans="1:3" x14ac:dyDescent="0.2">
      <c r="A1095" s="10" t="str">
        <f>IF(1087&gt;$C$9008,"",INDEX($B$9:$B$9008,MATCH(1087,$C$9:$C$9008,0)))</f>
        <v/>
      </c>
      <c r="B1095" s="9" t="str">
        <f>IFERROR(INDEX(Input!$L$20:$T$1019,INT((ROW()-9)/9)+1,MOD(ROW()-9,9)+1),"")</f>
        <v/>
      </c>
      <c r="C1095" s="9">
        <f t="shared" si="16"/>
        <v>0</v>
      </c>
    </row>
    <row r="1096" spans="1:3" x14ac:dyDescent="0.2">
      <c r="A1096" s="10" t="str">
        <f>IF(1088&gt;$C$9008,"",INDEX($B$9:$B$9008,MATCH(1088,$C$9:$C$9008,0)))</f>
        <v/>
      </c>
      <c r="B1096" s="9" t="str">
        <f>IFERROR(INDEX(Input!$L$20:$T$1019,INT((ROW()-9)/9)+1,MOD(ROW()-9,9)+1),"")</f>
        <v/>
      </c>
      <c r="C1096" s="9">
        <f t="shared" si="16"/>
        <v>0</v>
      </c>
    </row>
    <row r="1097" spans="1:3" x14ac:dyDescent="0.2">
      <c r="A1097" s="10" t="str">
        <f>IF(1089&gt;$C$9008,"",INDEX($B$9:$B$9008,MATCH(1089,$C$9:$C$9008,0)))</f>
        <v/>
      </c>
      <c r="B1097" s="9" t="str">
        <f>IFERROR(INDEX(Input!$L$20:$T$1019,INT((ROW()-9)/9)+1,MOD(ROW()-9,9)+1),"")</f>
        <v/>
      </c>
      <c r="C1097" s="9">
        <f t="shared" ref="C1097:C1160" si="17">$C1096+IF($B1097&lt;&gt;"",1,0)</f>
        <v>0</v>
      </c>
    </row>
    <row r="1098" spans="1:3" x14ac:dyDescent="0.2">
      <c r="A1098" s="10" t="str">
        <f>IF(1090&gt;$C$9008,"",INDEX($B$9:$B$9008,MATCH(1090,$C$9:$C$9008,0)))</f>
        <v/>
      </c>
      <c r="B1098" s="9" t="str">
        <f>IFERROR(INDEX(Input!$L$20:$T$1019,INT((ROW()-9)/9)+1,MOD(ROW()-9,9)+1),"")</f>
        <v/>
      </c>
      <c r="C1098" s="9">
        <f t="shared" si="17"/>
        <v>0</v>
      </c>
    </row>
    <row r="1099" spans="1:3" x14ac:dyDescent="0.2">
      <c r="A1099" s="10" t="str">
        <f>IF(1091&gt;$C$9008,"",INDEX($B$9:$B$9008,MATCH(1091,$C$9:$C$9008,0)))</f>
        <v/>
      </c>
      <c r="B1099" s="9" t="str">
        <f>IFERROR(INDEX(Input!$L$20:$T$1019,INT((ROW()-9)/9)+1,MOD(ROW()-9,9)+1),"")</f>
        <v/>
      </c>
      <c r="C1099" s="9">
        <f t="shared" si="17"/>
        <v>0</v>
      </c>
    </row>
    <row r="1100" spans="1:3" x14ac:dyDescent="0.2">
      <c r="A1100" s="10" t="str">
        <f>IF(1092&gt;$C$9008,"",INDEX($B$9:$B$9008,MATCH(1092,$C$9:$C$9008,0)))</f>
        <v/>
      </c>
      <c r="B1100" s="9" t="str">
        <f>IFERROR(INDEX(Input!$L$20:$T$1019,INT((ROW()-9)/9)+1,MOD(ROW()-9,9)+1),"")</f>
        <v/>
      </c>
      <c r="C1100" s="9">
        <f t="shared" si="17"/>
        <v>0</v>
      </c>
    </row>
    <row r="1101" spans="1:3" x14ac:dyDescent="0.2">
      <c r="A1101" s="10" t="str">
        <f>IF(1093&gt;$C$9008,"",INDEX($B$9:$B$9008,MATCH(1093,$C$9:$C$9008,0)))</f>
        <v/>
      </c>
      <c r="B1101" s="9" t="str">
        <f>IFERROR(INDEX(Input!$L$20:$T$1019,INT((ROW()-9)/9)+1,MOD(ROW()-9,9)+1),"")</f>
        <v/>
      </c>
      <c r="C1101" s="9">
        <f t="shared" si="17"/>
        <v>0</v>
      </c>
    </row>
    <row r="1102" spans="1:3" x14ac:dyDescent="0.2">
      <c r="A1102" s="10" t="str">
        <f>IF(1094&gt;$C$9008,"",INDEX($B$9:$B$9008,MATCH(1094,$C$9:$C$9008,0)))</f>
        <v/>
      </c>
      <c r="B1102" s="9" t="str">
        <f>IFERROR(INDEX(Input!$L$20:$T$1019,INT((ROW()-9)/9)+1,MOD(ROW()-9,9)+1),"")</f>
        <v/>
      </c>
      <c r="C1102" s="9">
        <f t="shared" si="17"/>
        <v>0</v>
      </c>
    </row>
    <row r="1103" spans="1:3" x14ac:dyDescent="0.2">
      <c r="A1103" s="10" t="str">
        <f>IF(1095&gt;$C$9008,"",INDEX($B$9:$B$9008,MATCH(1095,$C$9:$C$9008,0)))</f>
        <v/>
      </c>
      <c r="B1103" s="9" t="str">
        <f>IFERROR(INDEX(Input!$L$20:$T$1019,INT((ROW()-9)/9)+1,MOD(ROW()-9,9)+1),"")</f>
        <v/>
      </c>
      <c r="C1103" s="9">
        <f t="shared" si="17"/>
        <v>0</v>
      </c>
    </row>
    <row r="1104" spans="1:3" x14ac:dyDescent="0.2">
      <c r="A1104" s="10" t="str">
        <f>IF(1096&gt;$C$9008,"",INDEX($B$9:$B$9008,MATCH(1096,$C$9:$C$9008,0)))</f>
        <v/>
      </c>
      <c r="B1104" s="9" t="str">
        <f>IFERROR(INDEX(Input!$L$20:$T$1019,INT((ROW()-9)/9)+1,MOD(ROW()-9,9)+1),"")</f>
        <v/>
      </c>
      <c r="C1104" s="9">
        <f t="shared" si="17"/>
        <v>0</v>
      </c>
    </row>
    <row r="1105" spans="1:3" x14ac:dyDescent="0.2">
      <c r="A1105" s="10" t="str">
        <f>IF(1097&gt;$C$9008,"",INDEX($B$9:$B$9008,MATCH(1097,$C$9:$C$9008,0)))</f>
        <v/>
      </c>
      <c r="B1105" s="9" t="str">
        <f>IFERROR(INDEX(Input!$L$20:$T$1019,INT((ROW()-9)/9)+1,MOD(ROW()-9,9)+1),"")</f>
        <v/>
      </c>
      <c r="C1105" s="9">
        <f t="shared" si="17"/>
        <v>0</v>
      </c>
    </row>
    <row r="1106" spans="1:3" x14ac:dyDescent="0.2">
      <c r="A1106" s="10" t="str">
        <f>IF(1098&gt;$C$9008,"",INDEX($B$9:$B$9008,MATCH(1098,$C$9:$C$9008,0)))</f>
        <v/>
      </c>
      <c r="B1106" s="9" t="str">
        <f>IFERROR(INDEX(Input!$L$20:$T$1019,INT((ROW()-9)/9)+1,MOD(ROW()-9,9)+1),"")</f>
        <v/>
      </c>
      <c r="C1106" s="9">
        <f t="shared" si="17"/>
        <v>0</v>
      </c>
    </row>
    <row r="1107" spans="1:3" x14ac:dyDescent="0.2">
      <c r="A1107" s="10" t="str">
        <f>IF(1099&gt;$C$9008,"",INDEX($B$9:$B$9008,MATCH(1099,$C$9:$C$9008,0)))</f>
        <v/>
      </c>
      <c r="B1107" s="9" t="str">
        <f>IFERROR(INDEX(Input!$L$20:$T$1019,INT((ROW()-9)/9)+1,MOD(ROW()-9,9)+1),"")</f>
        <v/>
      </c>
      <c r="C1107" s="9">
        <f t="shared" si="17"/>
        <v>0</v>
      </c>
    </row>
    <row r="1108" spans="1:3" x14ac:dyDescent="0.2">
      <c r="A1108" s="10" t="str">
        <f>IF(1100&gt;$C$9008,"",INDEX($B$9:$B$9008,MATCH(1100,$C$9:$C$9008,0)))</f>
        <v/>
      </c>
      <c r="B1108" s="9" t="str">
        <f>IFERROR(INDEX(Input!$L$20:$T$1019,INT((ROW()-9)/9)+1,MOD(ROW()-9,9)+1),"")</f>
        <v/>
      </c>
      <c r="C1108" s="9">
        <f t="shared" si="17"/>
        <v>0</v>
      </c>
    </row>
    <row r="1109" spans="1:3" x14ac:dyDescent="0.2">
      <c r="A1109" s="10" t="str">
        <f>IF(1101&gt;$C$9008,"",INDEX($B$9:$B$9008,MATCH(1101,$C$9:$C$9008,0)))</f>
        <v/>
      </c>
      <c r="B1109" s="9" t="str">
        <f>IFERROR(INDEX(Input!$L$20:$T$1019,INT((ROW()-9)/9)+1,MOD(ROW()-9,9)+1),"")</f>
        <v/>
      </c>
      <c r="C1109" s="9">
        <f t="shared" si="17"/>
        <v>0</v>
      </c>
    </row>
    <row r="1110" spans="1:3" x14ac:dyDescent="0.2">
      <c r="A1110" s="10" t="str">
        <f>IF(1102&gt;$C$9008,"",INDEX($B$9:$B$9008,MATCH(1102,$C$9:$C$9008,0)))</f>
        <v/>
      </c>
      <c r="B1110" s="9" t="str">
        <f>IFERROR(INDEX(Input!$L$20:$T$1019,INT((ROW()-9)/9)+1,MOD(ROW()-9,9)+1),"")</f>
        <v/>
      </c>
      <c r="C1110" s="9">
        <f t="shared" si="17"/>
        <v>0</v>
      </c>
    </row>
    <row r="1111" spans="1:3" x14ac:dyDescent="0.2">
      <c r="A1111" s="10" t="str">
        <f>IF(1103&gt;$C$9008,"",INDEX($B$9:$B$9008,MATCH(1103,$C$9:$C$9008,0)))</f>
        <v/>
      </c>
      <c r="B1111" s="9" t="str">
        <f>IFERROR(INDEX(Input!$L$20:$T$1019,INT((ROW()-9)/9)+1,MOD(ROW()-9,9)+1),"")</f>
        <v/>
      </c>
      <c r="C1111" s="9">
        <f t="shared" si="17"/>
        <v>0</v>
      </c>
    </row>
    <row r="1112" spans="1:3" x14ac:dyDescent="0.2">
      <c r="A1112" s="10" t="str">
        <f>IF(1104&gt;$C$9008,"",INDEX($B$9:$B$9008,MATCH(1104,$C$9:$C$9008,0)))</f>
        <v/>
      </c>
      <c r="B1112" s="9" t="str">
        <f>IFERROR(INDEX(Input!$L$20:$T$1019,INT((ROW()-9)/9)+1,MOD(ROW()-9,9)+1),"")</f>
        <v/>
      </c>
      <c r="C1112" s="9">
        <f t="shared" si="17"/>
        <v>0</v>
      </c>
    </row>
    <row r="1113" spans="1:3" x14ac:dyDescent="0.2">
      <c r="A1113" s="10" t="str">
        <f>IF(1105&gt;$C$9008,"",INDEX($B$9:$B$9008,MATCH(1105,$C$9:$C$9008,0)))</f>
        <v/>
      </c>
      <c r="B1113" s="9" t="str">
        <f>IFERROR(INDEX(Input!$L$20:$T$1019,INT((ROW()-9)/9)+1,MOD(ROW()-9,9)+1),"")</f>
        <v/>
      </c>
      <c r="C1113" s="9">
        <f t="shared" si="17"/>
        <v>0</v>
      </c>
    </row>
    <row r="1114" spans="1:3" x14ac:dyDescent="0.2">
      <c r="A1114" s="10" t="str">
        <f>IF(1106&gt;$C$9008,"",INDEX($B$9:$B$9008,MATCH(1106,$C$9:$C$9008,0)))</f>
        <v/>
      </c>
      <c r="B1114" s="9" t="str">
        <f>IFERROR(INDEX(Input!$L$20:$T$1019,INT((ROW()-9)/9)+1,MOD(ROW()-9,9)+1),"")</f>
        <v/>
      </c>
      <c r="C1114" s="9">
        <f t="shared" si="17"/>
        <v>0</v>
      </c>
    </row>
    <row r="1115" spans="1:3" x14ac:dyDescent="0.2">
      <c r="A1115" s="10" t="str">
        <f>IF(1107&gt;$C$9008,"",INDEX($B$9:$B$9008,MATCH(1107,$C$9:$C$9008,0)))</f>
        <v/>
      </c>
      <c r="B1115" s="9" t="str">
        <f>IFERROR(INDEX(Input!$L$20:$T$1019,INT((ROW()-9)/9)+1,MOD(ROW()-9,9)+1),"")</f>
        <v/>
      </c>
      <c r="C1115" s="9">
        <f t="shared" si="17"/>
        <v>0</v>
      </c>
    </row>
    <row r="1116" spans="1:3" x14ac:dyDescent="0.2">
      <c r="A1116" s="10" t="str">
        <f>IF(1108&gt;$C$9008,"",INDEX($B$9:$B$9008,MATCH(1108,$C$9:$C$9008,0)))</f>
        <v/>
      </c>
      <c r="B1116" s="9" t="str">
        <f>IFERROR(INDEX(Input!$L$20:$T$1019,INT((ROW()-9)/9)+1,MOD(ROW()-9,9)+1),"")</f>
        <v/>
      </c>
      <c r="C1116" s="9">
        <f t="shared" si="17"/>
        <v>0</v>
      </c>
    </row>
    <row r="1117" spans="1:3" x14ac:dyDescent="0.2">
      <c r="A1117" s="10" t="str">
        <f>IF(1109&gt;$C$9008,"",INDEX($B$9:$B$9008,MATCH(1109,$C$9:$C$9008,0)))</f>
        <v/>
      </c>
      <c r="B1117" s="9" t="str">
        <f>IFERROR(INDEX(Input!$L$20:$T$1019,INT((ROW()-9)/9)+1,MOD(ROW()-9,9)+1),"")</f>
        <v/>
      </c>
      <c r="C1117" s="9">
        <f t="shared" si="17"/>
        <v>0</v>
      </c>
    </row>
    <row r="1118" spans="1:3" x14ac:dyDescent="0.2">
      <c r="A1118" s="10" t="str">
        <f>IF(1110&gt;$C$9008,"",INDEX($B$9:$B$9008,MATCH(1110,$C$9:$C$9008,0)))</f>
        <v/>
      </c>
      <c r="B1118" s="9" t="str">
        <f>IFERROR(INDEX(Input!$L$20:$T$1019,INT((ROW()-9)/9)+1,MOD(ROW()-9,9)+1),"")</f>
        <v/>
      </c>
      <c r="C1118" s="9">
        <f t="shared" si="17"/>
        <v>0</v>
      </c>
    </row>
    <row r="1119" spans="1:3" x14ac:dyDescent="0.2">
      <c r="A1119" s="10" t="str">
        <f>IF(1111&gt;$C$9008,"",INDEX($B$9:$B$9008,MATCH(1111,$C$9:$C$9008,0)))</f>
        <v/>
      </c>
      <c r="B1119" s="9" t="str">
        <f>IFERROR(INDEX(Input!$L$20:$T$1019,INT((ROW()-9)/9)+1,MOD(ROW()-9,9)+1),"")</f>
        <v/>
      </c>
      <c r="C1119" s="9">
        <f t="shared" si="17"/>
        <v>0</v>
      </c>
    </row>
    <row r="1120" spans="1:3" x14ac:dyDescent="0.2">
      <c r="A1120" s="10" t="str">
        <f>IF(1112&gt;$C$9008,"",INDEX($B$9:$B$9008,MATCH(1112,$C$9:$C$9008,0)))</f>
        <v/>
      </c>
      <c r="B1120" s="9" t="str">
        <f>IFERROR(INDEX(Input!$L$20:$T$1019,INT((ROW()-9)/9)+1,MOD(ROW()-9,9)+1),"")</f>
        <v/>
      </c>
      <c r="C1120" s="9">
        <f t="shared" si="17"/>
        <v>0</v>
      </c>
    </row>
    <row r="1121" spans="1:3" x14ac:dyDescent="0.2">
      <c r="A1121" s="10" t="str">
        <f>IF(1113&gt;$C$9008,"",INDEX($B$9:$B$9008,MATCH(1113,$C$9:$C$9008,0)))</f>
        <v/>
      </c>
      <c r="B1121" s="9" t="str">
        <f>IFERROR(INDEX(Input!$L$20:$T$1019,INT((ROW()-9)/9)+1,MOD(ROW()-9,9)+1),"")</f>
        <v/>
      </c>
      <c r="C1121" s="9">
        <f t="shared" si="17"/>
        <v>0</v>
      </c>
    </row>
    <row r="1122" spans="1:3" x14ac:dyDescent="0.2">
      <c r="A1122" s="10" t="str">
        <f>IF(1114&gt;$C$9008,"",INDEX($B$9:$B$9008,MATCH(1114,$C$9:$C$9008,0)))</f>
        <v/>
      </c>
      <c r="B1122" s="9" t="str">
        <f>IFERROR(INDEX(Input!$L$20:$T$1019,INT((ROW()-9)/9)+1,MOD(ROW()-9,9)+1),"")</f>
        <v/>
      </c>
      <c r="C1122" s="9">
        <f t="shared" si="17"/>
        <v>0</v>
      </c>
    </row>
    <row r="1123" spans="1:3" x14ac:dyDescent="0.2">
      <c r="A1123" s="10" t="str">
        <f>IF(1115&gt;$C$9008,"",INDEX($B$9:$B$9008,MATCH(1115,$C$9:$C$9008,0)))</f>
        <v/>
      </c>
      <c r="B1123" s="9" t="str">
        <f>IFERROR(INDEX(Input!$L$20:$T$1019,INT((ROW()-9)/9)+1,MOD(ROW()-9,9)+1),"")</f>
        <v/>
      </c>
      <c r="C1123" s="9">
        <f t="shared" si="17"/>
        <v>0</v>
      </c>
    </row>
    <row r="1124" spans="1:3" x14ac:dyDescent="0.2">
      <c r="A1124" s="10" t="str">
        <f>IF(1116&gt;$C$9008,"",INDEX($B$9:$B$9008,MATCH(1116,$C$9:$C$9008,0)))</f>
        <v/>
      </c>
      <c r="B1124" s="9" t="str">
        <f>IFERROR(INDEX(Input!$L$20:$T$1019,INT((ROW()-9)/9)+1,MOD(ROW()-9,9)+1),"")</f>
        <v/>
      </c>
      <c r="C1124" s="9">
        <f t="shared" si="17"/>
        <v>0</v>
      </c>
    </row>
    <row r="1125" spans="1:3" x14ac:dyDescent="0.2">
      <c r="A1125" s="10" t="str">
        <f>IF(1117&gt;$C$9008,"",INDEX($B$9:$B$9008,MATCH(1117,$C$9:$C$9008,0)))</f>
        <v/>
      </c>
      <c r="B1125" s="9" t="str">
        <f>IFERROR(INDEX(Input!$L$20:$T$1019,INT((ROW()-9)/9)+1,MOD(ROW()-9,9)+1),"")</f>
        <v/>
      </c>
      <c r="C1125" s="9">
        <f t="shared" si="17"/>
        <v>0</v>
      </c>
    </row>
    <row r="1126" spans="1:3" x14ac:dyDescent="0.2">
      <c r="A1126" s="10" t="str">
        <f>IF(1118&gt;$C$9008,"",INDEX($B$9:$B$9008,MATCH(1118,$C$9:$C$9008,0)))</f>
        <v/>
      </c>
      <c r="B1126" s="9" t="str">
        <f>IFERROR(INDEX(Input!$L$20:$T$1019,INT((ROW()-9)/9)+1,MOD(ROW()-9,9)+1),"")</f>
        <v/>
      </c>
      <c r="C1126" s="9">
        <f t="shared" si="17"/>
        <v>0</v>
      </c>
    </row>
    <row r="1127" spans="1:3" x14ac:dyDescent="0.2">
      <c r="A1127" s="10" t="str">
        <f>IF(1119&gt;$C$9008,"",INDEX($B$9:$B$9008,MATCH(1119,$C$9:$C$9008,0)))</f>
        <v/>
      </c>
      <c r="B1127" s="9" t="str">
        <f>IFERROR(INDEX(Input!$L$20:$T$1019,INT((ROW()-9)/9)+1,MOD(ROW()-9,9)+1),"")</f>
        <v/>
      </c>
      <c r="C1127" s="9">
        <f t="shared" si="17"/>
        <v>0</v>
      </c>
    </row>
    <row r="1128" spans="1:3" x14ac:dyDescent="0.2">
      <c r="A1128" s="10" t="str">
        <f>IF(1120&gt;$C$9008,"",INDEX($B$9:$B$9008,MATCH(1120,$C$9:$C$9008,0)))</f>
        <v/>
      </c>
      <c r="B1128" s="9" t="str">
        <f>IFERROR(INDEX(Input!$L$20:$T$1019,INT((ROW()-9)/9)+1,MOD(ROW()-9,9)+1),"")</f>
        <v/>
      </c>
      <c r="C1128" s="9">
        <f t="shared" si="17"/>
        <v>0</v>
      </c>
    </row>
    <row r="1129" spans="1:3" x14ac:dyDescent="0.2">
      <c r="A1129" s="10" t="str">
        <f>IF(1121&gt;$C$9008,"",INDEX($B$9:$B$9008,MATCH(1121,$C$9:$C$9008,0)))</f>
        <v/>
      </c>
      <c r="B1129" s="9" t="str">
        <f>IFERROR(INDEX(Input!$L$20:$T$1019,INT((ROW()-9)/9)+1,MOD(ROW()-9,9)+1),"")</f>
        <v/>
      </c>
      <c r="C1129" s="9">
        <f t="shared" si="17"/>
        <v>0</v>
      </c>
    </row>
    <row r="1130" spans="1:3" x14ac:dyDescent="0.2">
      <c r="A1130" s="10" t="str">
        <f>IF(1122&gt;$C$9008,"",INDEX($B$9:$B$9008,MATCH(1122,$C$9:$C$9008,0)))</f>
        <v/>
      </c>
      <c r="B1130" s="9" t="str">
        <f>IFERROR(INDEX(Input!$L$20:$T$1019,INT((ROW()-9)/9)+1,MOD(ROW()-9,9)+1),"")</f>
        <v/>
      </c>
      <c r="C1130" s="9">
        <f t="shared" si="17"/>
        <v>0</v>
      </c>
    </row>
    <row r="1131" spans="1:3" x14ac:dyDescent="0.2">
      <c r="A1131" s="10" t="str">
        <f>IF(1123&gt;$C$9008,"",INDEX($B$9:$B$9008,MATCH(1123,$C$9:$C$9008,0)))</f>
        <v/>
      </c>
      <c r="B1131" s="9" t="str">
        <f>IFERROR(INDEX(Input!$L$20:$T$1019,INT((ROW()-9)/9)+1,MOD(ROW()-9,9)+1),"")</f>
        <v/>
      </c>
      <c r="C1131" s="9">
        <f t="shared" si="17"/>
        <v>0</v>
      </c>
    </row>
    <row r="1132" spans="1:3" x14ac:dyDescent="0.2">
      <c r="A1132" s="10" t="str">
        <f>IF(1124&gt;$C$9008,"",INDEX($B$9:$B$9008,MATCH(1124,$C$9:$C$9008,0)))</f>
        <v/>
      </c>
      <c r="B1132" s="9" t="str">
        <f>IFERROR(INDEX(Input!$L$20:$T$1019,INT((ROW()-9)/9)+1,MOD(ROW()-9,9)+1),"")</f>
        <v/>
      </c>
      <c r="C1132" s="9">
        <f t="shared" si="17"/>
        <v>0</v>
      </c>
    </row>
    <row r="1133" spans="1:3" x14ac:dyDescent="0.2">
      <c r="A1133" s="10" t="str">
        <f>IF(1125&gt;$C$9008,"",INDEX($B$9:$B$9008,MATCH(1125,$C$9:$C$9008,0)))</f>
        <v/>
      </c>
      <c r="B1133" s="9" t="str">
        <f>IFERROR(INDEX(Input!$L$20:$T$1019,INT((ROW()-9)/9)+1,MOD(ROW()-9,9)+1),"")</f>
        <v/>
      </c>
      <c r="C1133" s="9">
        <f t="shared" si="17"/>
        <v>0</v>
      </c>
    </row>
    <row r="1134" spans="1:3" x14ac:dyDescent="0.2">
      <c r="A1134" s="10" t="str">
        <f>IF(1126&gt;$C$9008,"",INDEX($B$9:$B$9008,MATCH(1126,$C$9:$C$9008,0)))</f>
        <v/>
      </c>
      <c r="B1134" s="9" t="str">
        <f>IFERROR(INDEX(Input!$L$20:$T$1019,INT((ROW()-9)/9)+1,MOD(ROW()-9,9)+1),"")</f>
        <v/>
      </c>
      <c r="C1134" s="9">
        <f t="shared" si="17"/>
        <v>0</v>
      </c>
    </row>
    <row r="1135" spans="1:3" x14ac:dyDescent="0.2">
      <c r="A1135" s="10" t="str">
        <f>IF(1127&gt;$C$9008,"",INDEX($B$9:$B$9008,MATCH(1127,$C$9:$C$9008,0)))</f>
        <v/>
      </c>
      <c r="B1135" s="9" t="str">
        <f>IFERROR(INDEX(Input!$L$20:$T$1019,INT((ROW()-9)/9)+1,MOD(ROW()-9,9)+1),"")</f>
        <v/>
      </c>
      <c r="C1135" s="9">
        <f t="shared" si="17"/>
        <v>0</v>
      </c>
    </row>
    <row r="1136" spans="1:3" x14ac:dyDescent="0.2">
      <c r="A1136" s="10" t="str">
        <f>IF(1128&gt;$C$9008,"",INDEX($B$9:$B$9008,MATCH(1128,$C$9:$C$9008,0)))</f>
        <v/>
      </c>
      <c r="B1136" s="9" t="str">
        <f>IFERROR(INDEX(Input!$L$20:$T$1019,INT((ROW()-9)/9)+1,MOD(ROW()-9,9)+1),"")</f>
        <v/>
      </c>
      <c r="C1136" s="9">
        <f t="shared" si="17"/>
        <v>0</v>
      </c>
    </row>
    <row r="1137" spans="1:3" x14ac:dyDescent="0.2">
      <c r="A1137" s="10" t="str">
        <f>IF(1129&gt;$C$9008,"",INDEX($B$9:$B$9008,MATCH(1129,$C$9:$C$9008,0)))</f>
        <v/>
      </c>
      <c r="B1137" s="9" t="str">
        <f>IFERROR(INDEX(Input!$L$20:$T$1019,INT((ROW()-9)/9)+1,MOD(ROW()-9,9)+1),"")</f>
        <v/>
      </c>
      <c r="C1137" s="9">
        <f t="shared" si="17"/>
        <v>0</v>
      </c>
    </row>
    <row r="1138" spans="1:3" x14ac:dyDescent="0.2">
      <c r="A1138" s="10" t="str">
        <f>IF(1130&gt;$C$9008,"",INDEX($B$9:$B$9008,MATCH(1130,$C$9:$C$9008,0)))</f>
        <v/>
      </c>
      <c r="B1138" s="9" t="str">
        <f>IFERROR(INDEX(Input!$L$20:$T$1019,INT((ROW()-9)/9)+1,MOD(ROW()-9,9)+1),"")</f>
        <v/>
      </c>
      <c r="C1138" s="9">
        <f t="shared" si="17"/>
        <v>0</v>
      </c>
    </row>
    <row r="1139" spans="1:3" x14ac:dyDescent="0.2">
      <c r="A1139" s="10" t="str">
        <f>IF(1131&gt;$C$9008,"",INDEX($B$9:$B$9008,MATCH(1131,$C$9:$C$9008,0)))</f>
        <v/>
      </c>
      <c r="B1139" s="9" t="str">
        <f>IFERROR(INDEX(Input!$L$20:$T$1019,INT((ROW()-9)/9)+1,MOD(ROW()-9,9)+1),"")</f>
        <v/>
      </c>
      <c r="C1139" s="9">
        <f t="shared" si="17"/>
        <v>0</v>
      </c>
    </row>
    <row r="1140" spans="1:3" x14ac:dyDescent="0.2">
      <c r="A1140" s="10" t="str">
        <f>IF(1132&gt;$C$9008,"",INDEX($B$9:$B$9008,MATCH(1132,$C$9:$C$9008,0)))</f>
        <v/>
      </c>
      <c r="B1140" s="9" t="str">
        <f>IFERROR(INDEX(Input!$L$20:$T$1019,INT((ROW()-9)/9)+1,MOD(ROW()-9,9)+1),"")</f>
        <v/>
      </c>
      <c r="C1140" s="9">
        <f t="shared" si="17"/>
        <v>0</v>
      </c>
    </row>
    <row r="1141" spans="1:3" x14ac:dyDescent="0.2">
      <c r="A1141" s="10" t="str">
        <f>IF(1133&gt;$C$9008,"",INDEX($B$9:$B$9008,MATCH(1133,$C$9:$C$9008,0)))</f>
        <v/>
      </c>
      <c r="B1141" s="9" t="str">
        <f>IFERROR(INDEX(Input!$L$20:$T$1019,INT((ROW()-9)/9)+1,MOD(ROW()-9,9)+1),"")</f>
        <v/>
      </c>
      <c r="C1141" s="9">
        <f t="shared" si="17"/>
        <v>0</v>
      </c>
    </row>
    <row r="1142" spans="1:3" x14ac:dyDescent="0.2">
      <c r="A1142" s="10" t="str">
        <f>IF(1134&gt;$C$9008,"",INDEX($B$9:$B$9008,MATCH(1134,$C$9:$C$9008,0)))</f>
        <v/>
      </c>
      <c r="B1142" s="9" t="str">
        <f>IFERROR(INDEX(Input!$L$20:$T$1019,INT((ROW()-9)/9)+1,MOD(ROW()-9,9)+1),"")</f>
        <v/>
      </c>
      <c r="C1142" s="9">
        <f t="shared" si="17"/>
        <v>0</v>
      </c>
    </row>
    <row r="1143" spans="1:3" x14ac:dyDescent="0.2">
      <c r="A1143" s="10" t="str">
        <f>IF(1135&gt;$C$9008,"",INDEX($B$9:$B$9008,MATCH(1135,$C$9:$C$9008,0)))</f>
        <v/>
      </c>
      <c r="B1143" s="9" t="str">
        <f>IFERROR(INDEX(Input!$L$20:$T$1019,INT((ROW()-9)/9)+1,MOD(ROW()-9,9)+1),"")</f>
        <v/>
      </c>
      <c r="C1143" s="9">
        <f t="shared" si="17"/>
        <v>0</v>
      </c>
    </row>
    <row r="1144" spans="1:3" x14ac:dyDescent="0.2">
      <c r="A1144" s="10" t="str">
        <f>IF(1136&gt;$C$9008,"",INDEX($B$9:$B$9008,MATCH(1136,$C$9:$C$9008,0)))</f>
        <v/>
      </c>
      <c r="B1144" s="9" t="str">
        <f>IFERROR(INDEX(Input!$L$20:$T$1019,INT((ROW()-9)/9)+1,MOD(ROW()-9,9)+1),"")</f>
        <v/>
      </c>
      <c r="C1144" s="9">
        <f t="shared" si="17"/>
        <v>0</v>
      </c>
    </row>
    <row r="1145" spans="1:3" x14ac:dyDescent="0.2">
      <c r="A1145" s="10" t="str">
        <f>IF(1137&gt;$C$9008,"",INDEX($B$9:$B$9008,MATCH(1137,$C$9:$C$9008,0)))</f>
        <v/>
      </c>
      <c r="B1145" s="9" t="str">
        <f>IFERROR(INDEX(Input!$L$20:$T$1019,INT((ROW()-9)/9)+1,MOD(ROW()-9,9)+1),"")</f>
        <v/>
      </c>
      <c r="C1145" s="9">
        <f t="shared" si="17"/>
        <v>0</v>
      </c>
    </row>
    <row r="1146" spans="1:3" x14ac:dyDescent="0.2">
      <c r="A1146" s="10" t="str">
        <f>IF(1138&gt;$C$9008,"",INDEX($B$9:$B$9008,MATCH(1138,$C$9:$C$9008,0)))</f>
        <v/>
      </c>
      <c r="B1146" s="9" t="str">
        <f>IFERROR(INDEX(Input!$L$20:$T$1019,INT((ROW()-9)/9)+1,MOD(ROW()-9,9)+1),"")</f>
        <v/>
      </c>
      <c r="C1146" s="9">
        <f t="shared" si="17"/>
        <v>0</v>
      </c>
    </row>
    <row r="1147" spans="1:3" x14ac:dyDescent="0.2">
      <c r="A1147" s="10" t="str">
        <f>IF(1139&gt;$C$9008,"",INDEX($B$9:$B$9008,MATCH(1139,$C$9:$C$9008,0)))</f>
        <v/>
      </c>
      <c r="B1147" s="9" t="str">
        <f>IFERROR(INDEX(Input!$L$20:$T$1019,INT((ROW()-9)/9)+1,MOD(ROW()-9,9)+1),"")</f>
        <v/>
      </c>
      <c r="C1147" s="9">
        <f t="shared" si="17"/>
        <v>0</v>
      </c>
    </row>
    <row r="1148" spans="1:3" x14ac:dyDescent="0.2">
      <c r="A1148" s="10" t="str">
        <f>IF(1140&gt;$C$9008,"",INDEX($B$9:$B$9008,MATCH(1140,$C$9:$C$9008,0)))</f>
        <v/>
      </c>
      <c r="B1148" s="9" t="str">
        <f>IFERROR(INDEX(Input!$L$20:$T$1019,INT((ROW()-9)/9)+1,MOD(ROW()-9,9)+1),"")</f>
        <v/>
      </c>
      <c r="C1148" s="9">
        <f t="shared" si="17"/>
        <v>0</v>
      </c>
    </row>
    <row r="1149" spans="1:3" x14ac:dyDescent="0.2">
      <c r="A1149" s="10" t="str">
        <f>IF(1141&gt;$C$9008,"",INDEX($B$9:$B$9008,MATCH(1141,$C$9:$C$9008,0)))</f>
        <v/>
      </c>
      <c r="B1149" s="9" t="str">
        <f>IFERROR(INDEX(Input!$L$20:$T$1019,INT((ROW()-9)/9)+1,MOD(ROW()-9,9)+1),"")</f>
        <v/>
      </c>
      <c r="C1149" s="9">
        <f t="shared" si="17"/>
        <v>0</v>
      </c>
    </row>
    <row r="1150" spans="1:3" x14ac:dyDescent="0.2">
      <c r="A1150" s="10" t="str">
        <f>IF(1142&gt;$C$9008,"",INDEX($B$9:$B$9008,MATCH(1142,$C$9:$C$9008,0)))</f>
        <v/>
      </c>
      <c r="B1150" s="9" t="str">
        <f>IFERROR(INDEX(Input!$L$20:$T$1019,INT((ROW()-9)/9)+1,MOD(ROW()-9,9)+1),"")</f>
        <v/>
      </c>
      <c r="C1150" s="9">
        <f t="shared" si="17"/>
        <v>0</v>
      </c>
    </row>
    <row r="1151" spans="1:3" x14ac:dyDescent="0.2">
      <c r="A1151" s="10" t="str">
        <f>IF(1143&gt;$C$9008,"",INDEX($B$9:$B$9008,MATCH(1143,$C$9:$C$9008,0)))</f>
        <v/>
      </c>
      <c r="B1151" s="9" t="str">
        <f>IFERROR(INDEX(Input!$L$20:$T$1019,INT((ROW()-9)/9)+1,MOD(ROW()-9,9)+1),"")</f>
        <v/>
      </c>
      <c r="C1151" s="9">
        <f t="shared" si="17"/>
        <v>0</v>
      </c>
    </row>
    <row r="1152" spans="1:3" x14ac:dyDescent="0.2">
      <c r="A1152" s="10" t="str">
        <f>IF(1144&gt;$C$9008,"",INDEX($B$9:$B$9008,MATCH(1144,$C$9:$C$9008,0)))</f>
        <v/>
      </c>
      <c r="B1152" s="9" t="str">
        <f>IFERROR(INDEX(Input!$L$20:$T$1019,INT((ROW()-9)/9)+1,MOD(ROW()-9,9)+1),"")</f>
        <v/>
      </c>
      <c r="C1152" s="9">
        <f t="shared" si="17"/>
        <v>0</v>
      </c>
    </row>
    <row r="1153" spans="1:3" x14ac:dyDescent="0.2">
      <c r="A1153" s="10" t="str">
        <f>IF(1145&gt;$C$9008,"",INDEX($B$9:$B$9008,MATCH(1145,$C$9:$C$9008,0)))</f>
        <v/>
      </c>
      <c r="B1153" s="9" t="str">
        <f>IFERROR(INDEX(Input!$L$20:$T$1019,INT((ROW()-9)/9)+1,MOD(ROW()-9,9)+1),"")</f>
        <v/>
      </c>
      <c r="C1153" s="9">
        <f t="shared" si="17"/>
        <v>0</v>
      </c>
    </row>
    <row r="1154" spans="1:3" x14ac:dyDescent="0.2">
      <c r="A1154" s="10" t="str">
        <f>IF(1146&gt;$C$9008,"",INDEX($B$9:$B$9008,MATCH(1146,$C$9:$C$9008,0)))</f>
        <v/>
      </c>
      <c r="B1154" s="9" t="str">
        <f>IFERROR(INDEX(Input!$L$20:$T$1019,INT((ROW()-9)/9)+1,MOD(ROW()-9,9)+1),"")</f>
        <v/>
      </c>
      <c r="C1154" s="9">
        <f t="shared" si="17"/>
        <v>0</v>
      </c>
    </row>
    <row r="1155" spans="1:3" x14ac:dyDescent="0.2">
      <c r="A1155" s="10" t="str">
        <f>IF(1147&gt;$C$9008,"",INDEX($B$9:$B$9008,MATCH(1147,$C$9:$C$9008,0)))</f>
        <v/>
      </c>
      <c r="B1155" s="9" t="str">
        <f>IFERROR(INDEX(Input!$L$20:$T$1019,INT((ROW()-9)/9)+1,MOD(ROW()-9,9)+1),"")</f>
        <v/>
      </c>
      <c r="C1155" s="9">
        <f t="shared" si="17"/>
        <v>0</v>
      </c>
    </row>
    <row r="1156" spans="1:3" x14ac:dyDescent="0.2">
      <c r="A1156" s="10" t="str">
        <f>IF(1148&gt;$C$9008,"",INDEX($B$9:$B$9008,MATCH(1148,$C$9:$C$9008,0)))</f>
        <v/>
      </c>
      <c r="B1156" s="9" t="str">
        <f>IFERROR(INDEX(Input!$L$20:$T$1019,INT((ROW()-9)/9)+1,MOD(ROW()-9,9)+1),"")</f>
        <v/>
      </c>
      <c r="C1156" s="9">
        <f t="shared" si="17"/>
        <v>0</v>
      </c>
    </row>
    <row r="1157" spans="1:3" x14ac:dyDescent="0.2">
      <c r="A1157" s="10" t="str">
        <f>IF(1149&gt;$C$9008,"",INDEX($B$9:$B$9008,MATCH(1149,$C$9:$C$9008,0)))</f>
        <v/>
      </c>
      <c r="B1157" s="9" t="str">
        <f>IFERROR(INDEX(Input!$L$20:$T$1019,INT((ROW()-9)/9)+1,MOD(ROW()-9,9)+1),"")</f>
        <v/>
      </c>
      <c r="C1157" s="9">
        <f t="shared" si="17"/>
        <v>0</v>
      </c>
    </row>
    <row r="1158" spans="1:3" x14ac:dyDescent="0.2">
      <c r="A1158" s="10" t="str">
        <f>IF(1150&gt;$C$9008,"",INDEX($B$9:$B$9008,MATCH(1150,$C$9:$C$9008,0)))</f>
        <v/>
      </c>
      <c r="B1158" s="9" t="str">
        <f>IFERROR(INDEX(Input!$L$20:$T$1019,INT((ROW()-9)/9)+1,MOD(ROW()-9,9)+1),"")</f>
        <v/>
      </c>
      <c r="C1158" s="9">
        <f t="shared" si="17"/>
        <v>0</v>
      </c>
    </row>
    <row r="1159" spans="1:3" x14ac:dyDescent="0.2">
      <c r="A1159" s="10" t="str">
        <f>IF(1151&gt;$C$9008,"",INDEX($B$9:$B$9008,MATCH(1151,$C$9:$C$9008,0)))</f>
        <v/>
      </c>
      <c r="B1159" s="9" t="str">
        <f>IFERROR(INDEX(Input!$L$20:$T$1019,INT((ROW()-9)/9)+1,MOD(ROW()-9,9)+1),"")</f>
        <v/>
      </c>
      <c r="C1159" s="9">
        <f t="shared" si="17"/>
        <v>0</v>
      </c>
    </row>
    <row r="1160" spans="1:3" x14ac:dyDescent="0.2">
      <c r="A1160" s="10" t="str">
        <f>IF(1152&gt;$C$9008,"",INDEX($B$9:$B$9008,MATCH(1152,$C$9:$C$9008,0)))</f>
        <v/>
      </c>
      <c r="B1160" s="9" t="str">
        <f>IFERROR(INDEX(Input!$L$20:$T$1019,INT((ROW()-9)/9)+1,MOD(ROW()-9,9)+1),"")</f>
        <v/>
      </c>
      <c r="C1160" s="9">
        <f t="shared" si="17"/>
        <v>0</v>
      </c>
    </row>
    <row r="1161" spans="1:3" x14ac:dyDescent="0.2">
      <c r="A1161" s="10" t="str">
        <f>IF(1153&gt;$C$9008,"",INDEX($B$9:$B$9008,MATCH(1153,$C$9:$C$9008,0)))</f>
        <v/>
      </c>
      <c r="B1161" s="9" t="str">
        <f>IFERROR(INDEX(Input!$L$20:$T$1019,INT((ROW()-9)/9)+1,MOD(ROW()-9,9)+1),"")</f>
        <v/>
      </c>
      <c r="C1161" s="9">
        <f t="shared" ref="C1161:C1224" si="18">$C1160+IF($B1161&lt;&gt;"",1,0)</f>
        <v>0</v>
      </c>
    </row>
    <row r="1162" spans="1:3" x14ac:dyDescent="0.2">
      <c r="A1162" s="10" t="str">
        <f>IF(1154&gt;$C$9008,"",INDEX($B$9:$B$9008,MATCH(1154,$C$9:$C$9008,0)))</f>
        <v/>
      </c>
      <c r="B1162" s="9" t="str">
        <f>IFERROR(INDEX(Input!$L$20:$T$1019,INT((ROW()-9)/9)+1,MOD(ROW()-9,9)+1),"")</f>
        <v/>
      </c>
      <c r="C1162" s="9">
        <f t="shared" si="18"/>
        <v>0</v>
      </c>
    </row>
    <row r="1163" spans="1:3" x14ac:dyDescent="0.2">
      <c r="A1163" s="10" t="str">
        <f>IF(1155&gt;$C$9008,"",INDEX($B$9:$B$9008,MATCH(1155,$C$9:$C$9008,0)))</f>
        <v/>
      </c>
      <c r="B1163" s="9" t="str">
        <f>IFERROR(INDEX(Input!$L$20:$T$1019,INT((ROW()-9)/9)+1,MOD(ROW()-9,9)+1),"")</f>
        <v/>
      </c>
      <c r="C1163" s="9">
        <f t="shared" si="18"/>
        <v>0</v>
      </c>
    </row>
    <row r="1164" spans="1:3" x14ac:dyDescent="0.2">
      <c r="A1164" s="10" t="str">
        <f>IF(1156&gt;$C$9008,"",INDEX($B$9:$B$9008,MATCH(1156,$C$9:$C$9008,0)))</f>
        <v/>
      </c>
      <c r="B1164" s="9" t="str">
        <f>IFERROR(INDEX(Input!$L$20:$T$1019,INT((ROW()-9)/9)+1,MOD(ROW()-9,9)+1),"")</f>
        <v/>
      </c>
      <c r="C1164" s="9">
        <f t="shared" si="18"/>
        <v>0</v>
      </c>
    </row>
    <row r="1165" spans="1:3" x14ac:dyDescent="0.2">
      <c r="A1165" s="10" t="str">
        <f>IF(1157&gt;$C$9008,"",INDEX($B$9:$B$9008,MATCH(1157,$C$9:$C$9008,0)))</f>
        <v/>
      </c>
      <c r="B1165" s="9" t="str">
        <f>IFERROR(INDEX(Input!$L$20:$T$1019,INT((ROW()-9)/9)+1,MOD(ROW()-9,9)+1),"")</f>
        <v/>
      </c>
      <c r="C1165" s="9">
        <f t="shared" si="18"/>
        <v>0</v>
      </c>
    </row>
    <row r="1166" spans="1:3" x14ac:dyDescent="0.2">
      <c r="A1166" s="10" t="str">
        <f>IF(1158&gt;$C$9008,"",INDEX($B$9:$B$9008,MATCH(1158,$C$9:$C$9008,0)))</f>
        <v/>
      </c>
      <c r="B1166" s="9" t="str">
        <f>IFERROR(INDEX(Input!$L$20:$T$1019,INT((ROW()-9)/9)+1,MOD(ROW()-9,9)+1),"")</f>
        <v/>
      </c>
      <c r="C1166" s="9">
        <f t="shared" si="18"/>
        <v>0</v>
      </c>
    </row>
    <row r="1167" spans="1:3" x14ac:dyDescent="0.2">
      <c r="A1167" s="10" t="str">
        <f>IF(1159&gt;$C$9008,"",INDEX($B$9:$B$9008,MATCH(1159,$C$9:$C$9008,0)))</f>
        <v/>
      </c>
      <c r="B1167" s="9" t="str">
        <f>IFERROR(INDEX(Input!$L$20:$T$1019,INT((ROW()-9)/9)+1,MOD(ROW()-9,9)+1),"")</f>
        <v/>
      </c>
      <c r="C1167" s="9">
        <f t="shared" si="18"/>
        <v>0</v>
      </c>
    </row>
    <row r="1168" spans="1:3" x14ac:dyDescent="0.2">
      <c r="A1168" s="10" t="str">
        <f>IF(1160&gt;$C$9008,"",INDEX($B$9:$B$9008,MATCH(1160,$C$9:$C$9008,0)))</f>
        <v/>
      </c>
      <c r="B1168" s="9" t="str">
        <f>IFERROR(INDEX(Input!$L$20:$T$1019,INT((ROW()-9)/9)+1,MOD(ROW()-9,9)+1),"")</f>
        <v/>
      </c>
      <c r="C1168" s="9">
        <f t="shared" si="18"/>
        <v>0</v>
      </c>
    </row>
    <row r="1169" spans="1:3" x14ac:dyDescent="0.2">
      <c r="A1169" s="10" t="str">
        <f>IF(1161&gt;$C$9008,"",INDEX($B$9:$B$9008,MATCH(1161,$C$9:$C$9008,0)))</f>
        <v/>
      </c>
      <c r="B1169" s="9" t="str">
        <f>IFERROR(INDEX(Input!$L$20:$T$1019,INT((ROW()-9)/9)+1,MOD(ROW()-9,9)+1),"")</f>
        <v/>
      </c>
      <c r="C1169" s="9">
        <f t="shared" si="18"/>
        <v>0</v>
      </c>
    </row>
    <row r="1170" spans="1:3" x14ac:dyDescent="0.2">
      <c r="A1170" s="10" t="str">
        <f>IF(1162&gt;$C$9008,"",INDEX($B$9:$B$9008,MATCH(1162,$C$9:$C$9008,0)))</f>
        <v/>
      </c>
      <c r="B1170" s="9" t="str">
        <f>IFERROR(INDEX(Input!$L$20:$T$1019,INT((ROW()-9)/9)+1,MOD(ROW()-9,9)+1),"")</f>
        <v/>
      </c>
      <c r="C1170" s="9">
        <f t="shared" si="18"/>
        <v>0</v>
      </c>
    </row>
    <row r="1171" spans="1:3" x14ac:dyDescent="0.2">
      <c r="A1171" s="10" t="str">
        <f>IF(1163&gt;$C$9008,"",INDEX($B$9:$B$9008,MATCH(1163,$C$9:$C$9008,0)))</f>
        <v/>
      </c>
      <c r="B1171" s="9" t="str">
        <f>IFERROR(INDEX(Input!$L$20:$T$1019,INT((ROW()-9)/9)+1,MOD(ROW()-9,9)+1),"")</f>
        <v/>
      </c>
      <c r="C1171" s="9">
        <f t="shared" si="18"/>
        <v>0</v>
      </c>
    </row>
    <row r="1172" spans="1:3" x14ac:dyDescent="0.2">
      <c r="A1172" s="10" t="str">
        <f>IF(1164&gt;$C$9008,"",INDEX($B$9:$B$9008,MATCH(1164,$C$9:$C$9008,0)))</f>
        <v/>
      </c>
      <c r="B1172" s="9" t="str">
        <f>IFERROR(INDEX(Input!$L$20:$T$1019,INT((ROW()-9)/9)+1,MOD(ROW()-9,9)+1),"")</f>
        <v/>
      </c>
      <c r="C1172" s="9">
        <f t="shared" si="18"/>
        <v>0</v>
      </c>
    </row>
    <row r="1173" spans="1:3" x14ac:dyDescent="0.2">
      <c r="A1173" s="10" t="str">
        <f>IF(1165&gt;$C$9008,"",INDEX($B$9:$B$9008,MATCH(1165,$C$9:$C$9008,0)))</f>
        <v/>
      </c>
      <c r="B1173" s="9" t="str">
        <f>IFERROR(INDEX(Input!$L$20:$T$1019,INT((ROW()-9)/9)+1,MOD(ROW()-9,9)+1),"")</f>
        <v/>
      </c>
      <c r="C1173" s="9">
        <f t="shared" si="18"/>
        <v>0</v>
      </c>
    </row>
    <row r="1174" spans="1:3" x14ac:dyDescent="0.2">
      <c r="A1174" s="10" t="str">
        <f>IF(1166&gt;$C$9008,"",INDEX($B$9:$B$9008,MATCH(1166,$C$9:$C$9008,0)))</f>
        <v/>
      </c>
      <c r="B1174" s="9" t="str">
        <f>IFERROR(INDEX(Input!$L$20:$T$1019,INT((ROW()-9)/9)+1,MOD(ROW()-9,9)+1),"")</f>
        <v/>
      </c>
      <c r="C1174" s="9">
        <f t="shared" si="18"/>
        <v>0</v>
      </c>
    </row>
    <row r="1175" spans="1:3" x14ac:dyDescent="0.2">
      <c r="A1175" s="10" t="str">
        <f>IF(1167&gt;$C$9008,"",INDEX($B$9:$B$9008,MATCH(1167,$C$9:$C$9008,0)))</f>
        <v/>
      </c>
      <c r="B1175" s="9" t="str">
        <f>IFERROR(INDEX(Input!$L$20:$T$1019,INT((ROW()-9)/9)+1,MOD(ROW()-9,9)+1),"")</f>
        <v/>
      </c>
      <c r="C1175" s="9">
        <f t="shared" si="18"/>
        <v>0</v>
      </c>
    </row>
    <row r="1176" spans="1:3" x14ac:dyDescent="0.2">
      <c r="A1176" s="10" t="str">
        <f>IF(1168&gt;$C$9008,"",INDEX($B$9:$B$9008,MATCH(1168,$C$9:$C$9008,0)))</f>
        <v/>
      </c>
      <c r="B1176" s="9" t="str">
        <f>IFERROR(INDEX(Input!$L$20:$T$1019,INT((ROW()-9)/9)+1,MOD(ROW()-9,9)+1),"")</f>
        <v/>
      </c>
      <c r="C1176" s="9">
        <f t="shared" si="18"/>
        <v>0</v>
      </c>
    </row>
    <row r="1177" spans="1:3" x14ac:dyDescent="0.2">
      <c r="A1177" s="10" t="str">
        <f>IF(1169&gt;$C$9008,"",INDEX($B$9:$B$9008,MATCH(1169,$C$9:$C$9008,0)))</f>
        <v/>
      </c>
      <c r="B1177" s="9" t="str">
        <f>IFERROR(INDEX(Input!$L$20:$T$1019,INT((ROW()-9)/9)+1,MOD(ROW()-9,9)+1),"")</f>
        <v/>
      </c>
      <c r="C1177" s="9">
        <f t="shared" si="18"/>
        <v>0</v>
      </c>
    </row>
    <row r="1178" spans="1:3" x14ac:dyDescent="0.2">
      <c r="A1178" s="10" t="str">
        <f>IF(1170&gt;$C$9008,"",INDEX($B$9:$B$9008,MATCH(1170,$C$9:$C$9008,0)))</f>
        <v/>
      </c>
      <c r="B1178" s="9" t="str">
        <f>IFERROR(INDEX(Input!$L$20:$T$1019,INT((ROW()-9)/9)+1,MOD(ROW()-9,9)+1),"")</f>
        <v/>
      </c>
      <c r="C1178" s="9">
        <f t="shared" si="18"/>
        <v>0</v>
      </c>
    </row>
    <row r="1179" spans="1:3" x14ac:dyDescent="0.2">
      <c r="A1179" s="10" t="str">
        <f>IF(1171&gt;$C$9008,"",INDEX($B$9:$B$9008,MATCH(1171,$C$9:$C$9008,0)))</f>
        <v/>
      </c>
      <c r="B1179" s="9" t="str">
        <f>IFERROR(INDEX(Input!$L$20:$T$1019,INT((ROW()-9)/9)+1,MOD(ROW()-9,9)+1),"")</f>
        <v/>
      </c>
      <c r="C1179" s="9">
        <f t="shared" si="18"/>
        <v>0</v>
      </c>
    </row>
    <row r="1180" spans="1:3" x14ac:dyDescent="0.2">
      <c r="A1180" s="10" t="str">
        <f>IF(1172&gt;$C$9008,"",INDEX($B$9:$B$9008,MATCH(1172,$C$9:$C$9008,0)))</f>
        <v/>
      </c>
      <c r="B1180" s="9" t="str">
        <f>IFERROR(INDEX(Input!$L$20:$T$1019,INT((ROW()-9)/9)+1,MOD(ROW()-9,9)+1),"")</f>
        <v/>
      </c>
      <c r="C1180" s="9">
        <f t="shared" si="18"/>
        <v>0</v>
      </c>
    </row>
    <row r="1181" spans="1:3" x14ac:dyDescent="0.2">
      <c r="A1181" s="10" t="str">
        <f>IF(1173&gt;$C$9008,"",INDEX($B$9:$B$9008,MATCH(1173,$C$9:$C$9008,0)))</f>
        <v/>
      </c>
      <c r="B1181" s="9" t="str">
        <f>IFERROR(INDEX(Input!$L$20:$T$1019,INT((ROW()-9)/9)+1,MOD(ROW()-9,9)+1),"")</f>
        <v/>
      </c>
      <c r="C1181" s="9">
        <f t="shared" si="18"/>
        <v>0</v>
      </c>
    </row>
    <row r="1182" spans="1:3" x14ac:dyDescent="0.2">
      <c r="A1182" s="10" t="str">
        <f>IF(1174&gt;$C$9008,"",INDEX($B$9:$B$9008,MATCH(1174,$C$9:$C$9008,0)))</f>
        <v/>
      </c>
      <c r="B1182" s="9" t="str">
        <f>IFERROR(INDEX(Input!$L$20:$T$1019,INT((ROW()-9)/9)+1,MOD(ROW()-9,9)+1),"")</f>
        <v/>
      </c>
      <c r="C1182" s="9">
        <f t="shared" si="18"/>
        <v>0</v>
      </c>
    </row>
    <row r="1183" spans="1:3" x14ac:dyDescent="0.2">
      <c r="A1183" s="10" t="str">
        <f>IF(1175&gt;$C$9008,"",INDEX($B$9:$B$9008,MATCH(1175,$C$9:$C$9008,0)))</f>
        <v/>
      </c>
      <c r="B1183" s="9" t="str">
        <f>IFERROR(INDEX(Input!$L$20:$T$1019,INT((ROW()-9)/9)+1,MOD(ROW()-9,9)+1),"")</f>
        <v/>
      </c>
      <c r="C1183" s="9">
        <f t="shared" si="18"/>
        <v>0</v>
      </c>
    </row>
    <row r="1184" spans="1:3" x14ac:dyDescent="0.2">
      <c r="A1184" s="10" t="str">
        <f>IF(1176&gt;$C$9008,"",INDEX($B$9:$B$9008,MATCH(1176,$C$9:$C$9008,0)))</f>
        <v/>
      </c>
      <c r="B1184" s="9" t="str">
        <f>IFERROR(INDEX(Input!$L$20:$T$1019,INT((ROW()-9)/9)+1,MOD(ROW()-9,9)+1),"")</f>
        <v/>
      </c>
      <c r="C1184" s="9">
        <f t="shared" si="18"/>
        <v>0</v>
      </c>
    </row>
    <row r="1185" spans="1:3" x14ac:dyDescent="0.2">
      <c r="A1185" s="10" t="str">
        <f>IF(1177&gt;$C$9008,"",INDEX($B$9:$B$9008,MATCH(1177,$C$9:$C$9008,0)))</f>
        <v/>
      </c>
      <c r="B1185" s="9" t="str">
        <f>IFERROR(INDEX(Input!$L$20:$T$1019,INT((ROW()-9)/9)+1,MOD(ROW()-9,9)+1),"")</f>
        <v/>
      </c>
      <c r="C1185" s="9">
        <f t="shared" si="18"/>
        <v>0</v>
      </c>
    </row>
    <row r="1186" spans="1:3" x14ac:dyDescent="0.2">
      <c r="A1186" s="10" t="str">
        <f>IF(1178&gt;$C$9008,"",INDEX($B$9:$B$9008,MATCH(1178,$C$9:$C$9008,0)))</f>
        <v/>
      </c>
      <c r="B1186" s="9" t="str">
        <f>IFERROR(INDEX(Input!$L$20:$T$1019,INT((ROW()-9)/9)+1,MOD(ROW()-9,9)+1),"")</f>
        <v/>
      </c>
      <c r="C1186" s="9">
        <f t="shared" si="18"/>
        <v>0</v>
      </c>
    </row>
    <row r="1187" spans="1:3" x14ac:dyDescent="0.2">
      <c r="A1187" s="10" t="str">
        <f>IF(1179&gt;$C$9008,"",INDEX($B$9:$B$9008,MATCH(1179,$C$9:$C$9008,0)))</f>
        <v/>
      </c>
      <c r="B1187" s="9" t="str">
        <f>IFERROR(INDEX(Input!$L$20:$T$1019,INT((ROW()-9)/9)+1,MOD(ROW()-9,9)+1),"")</f>
        <v/>
      </c>
      <c r="C1187" s="9">
        <f t="shared" si="18"/>
        <v>0</v>
      </c>
    </row>
    <row r="1188" spans="1:3" x14ac:dyDescent="0.2">
      <c r="A1188" s="10" t="str">
        <f>IF(1180&gt;$C$9008,"",INDEX($B$9:$B$9008,MATCH(1180,$C$9:$C$9008,0)))</f>
        <v/>
      </c>
      <c r="B1188" s="9" t="str">
        <f>IFERROR(INDEX(Input!$L$20:$T$1019,INT((ROW()-9)/9)+1,MOD(ROW()-9,9)+1),"")</f>
        <v/>
      </c>
      <c r="C1188" s="9">
        <f t="shared" si="18"/>
        <v>0</v>
      </c>
    </row>
    <row r="1189" spans="1:3" x14ac:dyDescent="0.2">
      <c r="A1189" s="10" t="str">
        <f>IF(1181&gt;$C$9008,"",INDEX($B$9:$B$9008,MATCH(1181,$C$9:$C$9008,0)))</f>
        <v/>
      </c>
      <c r="B1189" s="9" t="str">
        <f>IFERROR(INDEX(Input!$L$20:$T$1019,INT((ROW()-9)/9)+1,MOD(ROW()-9,9)+1),"")</f>
        <v/>
      </c>
      <c r="C1189" s="9">
        <f t="shared" si="18"/>
        <v>0</v>
      </c>
    </row>
    <row r="1190" spans="1:3" x14ac:dyDescent="0.2">
      <c r="A1190" s="10" t="str">
        <f>IF(1182&gt;$C$9008,"",INDEX($B$9:$B$9008,MATCH(1182,$C$9:$C$9008,0)))</f>
        <v/>
      </c>
      <c r="B1190" s="9" t="str">
        <f>IFERROR(INDEX(Input!$L$20:$T$1019,INT((ROW()-9)/9)+1,MOD(ROW()-9,9)+1),"")</f>
        <v/>
      </c>
      <c r="C1190" s="9">
        <f t="shared" si="18"/>
        <v>0</v>
      </c>
    </row>
    <row r="1191" spans="1:3" x14ac:dyDescent="0.2">
      <c r="A1191" s="10" t="str">
        <f>IF(1183&gt;$C$9008,"",INDEX($B$9:$B$9008,MATCH(1183,$C$9:$C$9008,0)))</f>
        <v/>
      </c>
      <c r="B1191" s="9" t="str">
        <f>IFERROR(INDEX(Input!$L$20:$T$1019,INT((ROW()-9)/9)+1,MOD(ROW()-9,9)+1),"")</f>
        <v/>
      </c>
      <c r="C1191" s="9">
        <f t="shared" si="18"/>
        <v>0</v>
      </c>
    </row>
    <row r="1192" spans="1:3" x14ac:dyDescent="0.2">
      <c r="A1192" s="10" t="str">
        <f>IF(1184&gt;$C$9008,"",INDEX($B$9:$B$9008,MATCH(1184,$C$9:$C$9008,0)))</f>
        <v/>
      </c>
      <c r="B1192" s="9" t="str">
        <f>IFERROR(INDEX(Input!$L$20:$T$1019,INT((ROW()-9)/9)+1,MOD(ROW()-9,9)+1),"")</f>
        <v/>
      </c>
      <c r="C1192" s="9">
        <f t="shared" si="18"/>
        <v>0</v>
      </c>
    </row>
    <row r="1193" spans="1:3" x14ac:dyDescent="0.2">
      <c r="A1193" s="10" t="str">
        <f>IF(1185&gt;$C$9008,"",INDEX($B$9:$B$9008,MATCH(1185,$C$9:$C$9008,0)))</f>
        <v/>
      </c>
      <c r="B1193" s="9" t="str">
        <f>IFERROR(INDEX(Input!$L$20:$T$1019,INT((ROW()-9)/9)+1,MOD(ROW()-9,9)+1),"")</f>
        <v/>
      </c>
      <c r="C1193" s="9">
        <f t="shared" si="18"/>
        <v>0</v>
      </c>
    </row>
    <row r="1194" spans="1:3" x14ac:dyDescent="0.2">
      <c r="A1194" s="10" t="str">
        <f>IF(1186&gt;$C$9008,"",INDEX($B$9:$B$9008,MATCH(1186,$C$9:$C$9008,0)))</f>
        <v/>
      </c>
      <c r="B1194" s="9" t="str">
        <f>IFERROR(INDEX(Input!$L$20:$T$1019,INT((ROW()-9)/9)+1,MOD(ROW()-9,9)+1),"")</f>
        <v/>
      </c>
      <c r="C1194" s="9">
        <f t="shared" si="18"/>
        <v>0</v>
      </c>
    </row>
    <row r="1195" spans="1:3" x14ac:dyDescent="0.2">
      <c r="A1195" s="10" t="str">
        <f>IF(1187&gt;$C$9008,"",INDEX($B$9:$B$9008,MATCH(1187,$C$9:$C$9008,0)))</f>
        <v/>
      </c>
      <c r="B1195" s="9" t="str">
        <f>IFERROR(INDEX(Input!$L$20:$T$1019,INT((ROW()-9)/9)+1,MOD(ROW()-9,9)+1),"")</f>
        <v/>
      </c>
      <c r="C1195" s="9">
        <f t="shared" si="18"/>
        <v>0</v>
      </c>
    </row>
    <row r="1196" spans="1:3" x14ac:dyDescent="0.2">
      <c r="A1196" s="10" t="str">
        <f>IF(1188&gt;$C$9008,"",INDEX($B$9:$B$9008,MATCH(1188,$C$9:$C$9008,0)))</f>
        <v/>
      </c>
      <c r="B1196" s="9" t="str">
        <f>IFERROR(INDEX(Input!$L$20:$T$1019,INT((ROW()-9)/9)+1,MOD(ROW()-9,9)+1),"")</f>
        <v/>
      </c>
      <c r="C1196" s="9">
        <f t="shared" si="18"/>
        <v>0</v>
      </c>
    </row>
    <row r="1197" spans="1:3" x14ac:dyDescent="0.2">
      <c r="A1197" s="10" t="str">
        <f>IF(1189&gt;$C$9008,"",INDEX($B$9:$B$9008,MATCH(1189,$C$9:$C$9008,0)))</f>
        <v/>
      </c>
      <c r="B1197" s="9" t="str">
        <f>IFERROR(INDEX(Input!$L$20:$T$1019,INT((ROW()-9)/9)+1,MOD(ROW()-9,9)+1),"")</f>
        <v/>
      </c>
      <c r="C1197" s="9">
        <f t="shared" si="18"/>
        <v>0</v>
      </c>
    </row>
    <row r="1198" spans="1:3" x14ac:dyDescent="0.2">
      <c r="A1198" s="10" t="str">
        <f>IF(1190&gt;$C$9008,"",INDEX($B$9:$B$9008,MATCH(1190,$C$9:$C$9008,0)))</f>
        <v/>
      </c>
      <c r="B1198" s="9" t="str">
        <f>IFERROR(INDEX(Input!$L$20:$T$1019,INT((ROW()-9)/9)+1,MOD(ROW()-9,9)+1),"")</f>
        <v/>
      </c>
      <c r="C1198" s="9">
        <f t="shared" si="18"/>
        <v>0</v>
      </c>
    </row>
    <row r="1199" spans="1:3" x14ac:dyDescent="0.2">
      <c r="A1199" s="10" t="str">
        <f>IF(1191&gt;$C$9008,"",INDEX($B$9:$B$9008,MATCH(1191,$C$9:$C$9008,0)))</f>
        <v/>
      </c>
      <c r="B1199" s="9" t="str">
        <f>IFERROR(INDEX(Input!$L$20:$T$1019,INT((ROW()-9)/9)+1,MOD(ROW()-9,9)+1),"")</f>
        <v/>
      </c>
      <c r="C1199" s="9">
        <f t="shared" si="18"/>
        <v>0</v>
      </c>
    </row>
    <row r="1200" spans="1:3" x14ac:dyDescent="0.2">
      <c r="A1200" s="10" t="str">
        <f>IF(1192&gt;$C$9008,"",INDEX($B$9:$B$9008,MATCH(1192,$C$9:$C$9008,0)))</f>
        <v/>
      </c>
      <c r="B1200" s="9" t="str">
        <f>IFERROR(INDEX(Input!$L$20:$T$1019,INT((ROW()-9)/9)+1,MOD(ROW()-9,9)+1),"")</f>
        <v/>
      </c>
      <c r="C1200" s="9">
        <f t="shared" si="18"/>
        <v>0</v>
      </c>
    </row>
    <row r="1201" spans="1:3" x14ac:dyDescent="0.2">
      <c r="A1201" s="10" t="str">
        <f>IF(1193&gt;$C$9008,"",INDEX($B$9:$B$9008,MATCH(1193,$C$9:$C$9008,0)))</f>
        <v/>
      </c>
      <c r="B1201" s="9" t="str">
        <f>IFERROR(INDEX(Input!$L$20:$T$1019,INT((ROW()-9)/9)+1,MOD(ROW()-9,9)+1),"")</f>
        <v/>
      </c>
      <c r="C1201" s="9">
        <f t="shared" si="18"/>
        <v>0</v>
      </c>
    </row>
    <row r="1202" spans="1:3" x14ac:dyDescent="0.2">
      <c r="A1202" s="10" t="str">
        <f>IF(1194&gt;$C$9008,"",INDEX($B$9:$B$9008,MATCH(1194,$C$9:$C$9008,0)))</f>
        <v/>
      </c>
      <c r="B1202" s="9" t="str">
        <f>IFERROR(INDEX(Input!$L$20:$T$1019,INT((ROW()-9)/9)+1,MOD(ROW()-9,9)+1),"")</f>
        <v/>
      </c>
      <c r="C1202" s="9">
        <f t="shared" si="18"/>
        <v>0</v>
      </c>
    </row>
    <row r="1203" spans="1:3" x14ac:dyDescent="0.2">
      <c r="A1203" s="10" t="str">
        <f>IF(1195&gt;$C$9008,"",INDEX($B$9:$B$9008,MATCH(1195,$C$9:$C$9008,0)))</f>
        <v/>
      </c>
      <c r="B1203" s="9" t="str">
        <f>IFERROR(INDEX(Input!$L$20:$T$1019,INT((ROW()-9)/9)+1,MOD(ROW()-9,9)+1),"")</f>
        <v/>
      </c>
      <c r="C1203" s="9">
        <f t="shared" si="18"/>
        <v>0</v>
      </c>
    </row>
    <row r="1204" spans="1:3" x14ac:dyDescent="0.2">
      <c r="A1204" s="10" t="str">
        <f>IF(1196&gt;$C$9008,"",INDEX($B$9:$B$9008,MATCH(1196,$C$9:$C$9008,0)))</f>
        <v/>
      </c>
      <c r="B1204" s="9" t="str">
        <f>IFERROR(INDEX(Input!$L$20:$T$1019,INT((ROW()-9)/9)+1,MOD(ROW()-9,9)+1),"")</f>
        <v/>
      </c>
      <c r="C1204" s="9">
        <f t="shared" si="18"/>
        <v>0</v>
      </c>
    </row>
    <row r="1205" spans="1:3" x14ac:dyDescent="0.2">
      <c r="A1205" s="10" t="str">
        <f>IF(1197&gt;$C$9008,"",INDEX($B$9:$B$9008,MATCH(1197,$C$9:$C$9008,0)))</f>
        <v/>
      </c>
      <c r="B1205" s="9" t="str">
        <f>IFERROR(INDEX(Input!$L$20:$T$1019,INT((ROW()-9)/9)+1,MOD(ROW()-9,9)+1),"")</f>
        <v/>
      </c>
      <c r="C1205" s="9">
        <f t="shared" si="18"/>
        <v>0</v>
      </c>
    </row>
    <row r="1206" spans="1:3" x14ac:dyDescent="0.2">
      <c r="A1206" s="10" t="str">
        <f>IF(1198&gt;$C$9008,"",INDEX($B$9:$B$9008,MATCH(1198,$C$9:$C$9008,0)))</f>
        <v/>
      </c>
      <c r="B1206" s="9" t="str">
        <f>IFERROR(INDEX(Input!$L$20:$T$1019,INT((ROW()-9)/9)+1,MOD(ROW()-9,9)+1),"")</f>
        <v/>
      </c>
      <c r="C1206" s="9">
        <f t="shared" si="18"/>
        <v>0</v>
      </c>
    </row>
    <row r="1207" spans="1:3" x14ac:dyDescent="0.2">
      <c r="A1207" s="10" t="str">
        <f>IF(1199&gt;$C$9008,"",INDEX($B$9:$B$9008,MATCH(1199,$C$9:$C$9008,0)))</f>
        <v/>
      </c>
      <c r="B1207" s="9" t="str">
        <f>IFERROR(INDEX(Input!$L$20:$T$1019,INT((ROW()-9)/9)+1,MOD(ROW()-9,9)+1),"")</f>
        <v/>
      </c>
      <c r="C1207" s="9">
        <f t="shared" si="18"/>
        <v>0</v>
      </c>
    </row>
    <row r="1208" spans="1:3" x14ac:dyDescent="0.2">
      <c r="A1208" s="10" t="str">
        <f>IF(1200&gt;$C$9008,"",INDEX($B$9:$B$9008,MATCH(1200,$C$9:$C$9008,0)))</f>
        <v/>
      </c>
      <c r="B1208" s="9" t="str">
        <f>IFERROR(INDEX(Input!$L$20:$T$1019,INT((ROW()-9)/9)+1,MOD(ROW()-9,9)+1),"")</f>
        <v/>
      </c>
      <c r="C1208" s="9">
        <f t="shared" si="18"/>
        <v>0</v>
      </c>
    </row>
    <row r="1209" spans="1:3" x14ac:dyDescent="0.2">
      <c r="A1209" s="10" t="str">
        <f>IF(1201&gt;$C$9008,"",INDEX($B$9:$B$9008,MATCH(1201,$C$9:$C$9008,0)))</f>
        <v/>
      </c>
      <c r="B1209" s="9" t="str">
        <f>IFERROR(INDEX(Input!$L$20:$T$1019,INT((ROW()-9)/9)+1,MOD(ROW()-9,9)+1),"")</f>
        <v/>
      </c>
      <c r="C1209" s="9">
        <f t="shared" si="18"/>
        <v>0</v>
      </c>
    </row>
    <row r="1210" spans="1:3" x14ac:dyDescent="0.2">
      <c r="A1210" s="10" t="str">
        <f>IF(1202&gt;$C$9008,"",INDEX($B$9:$B$9008,MATCH(1202,$C$9:$C$9008,0)))</f>
        <v/>
      </c>
      <c r="B1210" s="9" t="str">
        <f>IFERROR(INDEX(Input!$L$20:$T$1019,INT((ROW()-9)/9)+1,MOD(ROW()-9,9)+1),"")</f>
        <v/>
      </c>
      <c r="C1210" s="9">
        <f t="shared" si="18"/>
        <v>0</v>
      </c>
    </row>
    <row r="1211" spans="1:3" x14ac:dyDescent="0.2">
      <c r="A1211" s="10" t="str">
        <f>IF(1203&gt;$C$9008,"",INDEX($B$9:$B$9008,MATCH(1203,$C$9:$C$9008,0)))</f>
        <v/>
      </c>
      <c r="B1211" s="9" t="str">
        <f>IFERROR(INDEX(Input!$L$20:$T$1019,INT((ROW()-9)/9)+1,MOD(ROW()-9,9)+1),"")</f>
        <v/>
      </c>
      <c r="C1211" s="9">
        <f t="shared" si="18"/>
        <v>0</v>
      </c>
    </row>
    <row r="1212" spans="1:3" x14ac:dyDescent="0.2">
      <c r="A1212" s="10" t="str">
        <f>IF(1204&gt;$C$9008,"",INDEX($B$9:$B$9008,MATCH(1204,$C$9:$C$9008,0)))</f>
        <v/>
      </c>
      <c r="B1212" s="9" t="str">
        <f>IFERROR(INDEX(Input!$L$20:$T$1019,INT((ROW()-9)/9)+1,MOD(ROW()-9,9)+1),"")</f>
        <v/>
      </c>
      <c r="C1212" s="9">
        <f t="shared" si="18"/>
        <v>0</v>
      </c>
    </row>
    <row r="1213" spans="1:3" x14ac:dyDescent="0.2">
      <c r="A1213" s="10" t="str">
        <f>IF(1205&gt;$C$9008,"",INDEX($B$9:$B$9008,MATCH(1205,$C$9:$C$9008,0)))</f>
        <v/>
      </c>
      <c r="B1213" s="9" t="str">
        <f>IFERROR(INDEX(Input!$L$20:$T$1019,INT((ROW()-9)/9)+1,MOD(ROW()-9,9)+1),"")</f>
        <v/>
      </c>
      <c r="C1213" s="9">
        <f t="shared" si="18"/>
        <v>0</v>
      </c>
    </row>
    <row r="1214" spans="1:3" x14ac:dyDescent="0.2">
      <c r="A1214" s="10" t="str">
        <f>IF(1206&gt;$C$9008,"",INDEX($B$9:$B$9008,MATCH(1206,$C$9:$C$9008,0)))</f>
        <v/>
      </c>
      <c r="B1214" s="9" t="str">
        <f>IFERROR(INDEX(Input!$L$20:$T$1019,INT((ROW()-9)/9)+1,MOD(ROW()-9,9)+1),"")</f>
        <v/>
      </c>
      <c r="C1214" s="9">
        <f t="shared" si="18"/>
        <v>0</v>
      </c>
    </row>
    <row r="1215" spans="1:3" x14ac:dyDescent="0.2">
      <c r="A1215" s="10" t="str">
        <f>IF(1207&gt;$C$9008,"",INDEX($B$9:$B$9008,MATCH(1207,$C$9:$C$9008,0)))</f>
        <v/>
      </c>
      <c r="B1215" s="9" t="str">
        <f>IFERROR(INDEX(Input!$L$20:$T$1019,INT((ROW()-9)/9)+1,MOD(ROW()-9,9)+1),"")</f>
        <v/>
      </c>
      <c r="C1215" s="9">
        <f t="shared" si="18"/>
        <v>0</v>
      </c>
    </row>
    <row r="1216" spans="1:3" x14ac:dyDescent="0.2">
      <c r="A1216" s="10" t="str">
        <f>IF(1208&gt;$C$9008,"",INDEX($B$9:$B$9008,MATCH(1208,$C$9:$C$9008,0)))</f>
        <v/>
      </c>
      <c r="B1216" s="9" t="str">
        <f>IFERROR(INDEX(Input!$L$20:$T$1019,INT((ROW()-9)/9)+1,MOD(ROW()-9,9)+1),"")</f>
        <v/>
      </c>
      <c r="C1216" s="9">
        <f t="shared" si="18"/>
        <v>0</v>
      </c>
    </row>
    <row r="1217" spans="1:3" x14ac:dyDescent="0.2">
      <c r="A1217" s="10" t="str">
        <f>IF(1209&gt;$C$9008,"",INDEX($B$9:$B$9008,MATCH(1209,$C$9:$C$9008,0)))</f>
        <v/>
      </c>
      <c r="B1217" s="9" t="str">
        <f>IFERROR(INDEX(Input!$L$20:$T$1019,INT((ROW()-9)/9)+1,MOD(ROW()-9,9)+1),"")</f>
        <v/>
      </c>
      <c r="C1217" s="9">
        <f t="shared" si="18"/>
        <v>0</v>
      </c>
    </row>
    <row r="1218" spans="1:3" x14ac:dyDescent="0.2">
      <c r="A1218" s="10" t="str">
        <f>IF(1210&gt;$C$9008,"",INDEX($B$9:$B$9008,MATCH(1210,$C$9:$C$9008,0)))</f>
        <v/>
      </c>
      <c r="B1218" s="9" t="str">
        <f>IFERROR(INDEX(Input!$L$20:$T$1019,INT((ROW()-9)/9)+1,MOD(ROW()-9,9)+1),"")</f>
        <v/>
      </c>
      <c r="C1218" s="9">
        <f t="shared" si="18"/>
        <v>0</v>
      </c>
    </row>
    <row r="1219" spans="1:3" x14ac:dyDescent="0.2">
      <c r="A1219" s="10" t="str">
        <f>IF(1211&gt;$C$9008,"",INDEX($B$9:$B$9008,MATCH(1211,$C$9:$C$9008,0)))</f>
        <v/>
      </c>
      <c r="B1219" s="9" t="str">
        <f>IFERROR(INDEX(Input!$L$20:$T$1019,INT((ROW()-9)/9)+1,MOD(ROW()-9,9)+1),"")</f>
        <v/>
      </c>
      <c r="C1219" s="9">
        <f t="shared" si="18"/>
        <v>0</v>
      </c>
    </row>
    <row r="1220" spans="1:3" x14ac:dyDescent="0.2">
      <c r="A1220" s="10" t="str">
        <f>IF(1212&gt;$C$9008,"",INDEX($B$9:$B$9008,MATCH(1212,$C$9:$C$9008,0)))</f>
        <v/>
      </c>
      <c r="B1220" s="9" t="str">
        <f>IFERROR(INDEX(Input!$L$20:$T$1019,INT((ROW()-9)/9)+1,MOD(ROW()-9,9)+1),"")</f>
        <v/>
      </c>
      <c r="C1220" s="9">
        <f t="shared" si="18"/>
        <v>0</v>
      </c>
    </row>
    <row r="1221" spans="1:3" x14ac:dyDescent="0.2">
      <c r="A1221" s="10" t="str">
        <f>IF(1213&gt;$C$9008,"",INDEX($B$9:$B$9008,MATCH(1213,$C$9:$C$9008,0)))</f>
        <v/>
      </c>
      <c r="B1221" s="9" t="str">
        <f>IFERROR(INDEX(Input!$L$20:$T$1019,INT((ROW()-9)/9)+1,MOD(ROW()-9,9)+1),"")</f>
        <v/>
      </c>
      <c r="C1221" s="9">
        <f t="shared" si="18"/>
        <v>0</v>
      </c>
    </row>
    <row r="1222" spans="1:3" x14ac:dyDescent="0.2">
      <c r="A1222" s="10" t="str">
        <f>IF(1214&gt;$C$9008,"",INDEX($B$9:$B$9008,MATCH(1214,$C$9:$C$9008,0)))</f>
        <v/>
      </c>
      <c r="B1222" s="9" t="str">
        <f>IFERROR(INDEX(Input!$L$20:$T$1019,INT((ROW()-9)/9)+1,MOD(ROW()-9,9)+1),"")</f>
        <v/>
      </c>
      <c r="C1222" s="9">
        <f t="shared" si="18"/>
        <v>0</v>
      </c>
    </row>
    <row r="1223" spans="1:3" x14ac:dyDescent="0.2">
      <c r="A1223" s="10" t="str">
        <f>IF(1215&gt;$C$9008,"",INDEX($B$9:$B$9008,MATCH(1215,$C$9:$C$9008,0)))</f>
        <v/>
      </c>
      <c r="B1223" s="9" t="str">
        <f>IFERROR(INDEX(Input!$L$20:$T$1019,INT((ROW()-9)/9)+1,MOD(ROW()-9,9)+1),"")</f>
        <v/>
      </c>
      <c r="C1223" s="9">
        <f t="shared" si="18"/>
        <v>0</v>
      </c>
    </row>
    <row r="1224" spans="1:3" x14ac:dyDescent="0.2">
      <c r="A1224" s="10" t="str">
        <f>IF(1216&gt;$C$9008,"",INDEX($B$9:$B$9008,MATCH(1216,$C$9:$C$9008,0)))</f>
        <v/>
      </c>
      <c r="B1224" s="9" t="str">
        <f>IFERROR(INDEX(Input!$L$20:$T$1019,INT((ROW()-9)/9)+1,MOD(ROW()-9,9)+1),"")</f>
        <v/>
      </c>
      <c r="C1224" s="9">
        <f t="shared" si="18"/>
        <v>0</v>
      </c>
    </row>
    <row r="1225" spans="1:3" x14ac:dyDescent="0.2">
      <c r="A1225" s="10" t="str">
        <f>IF(1217&gt;$C$9008,"",INDEX($B$9:$B$9008,MATCH(1217,$C$9:$C$9008,0)))</f>
        <v/>
      </c>
      <c r="B1225" s="9" t="str">
        <f>IFERROR(INDEX(Input!$L$20:$T$1019,INT((ROW()-9)/9)+1,MOD(ROW()-9,9)+1),"")</f>
        <v/>
      </c>
      <c r="C1225" s="9">
        <f t="shared" ref="C1225:C1288" si="19">$C1224+IF($B1225&lt;&gt;"",1,0)</f>
        <v>0</v>
      </c>
    </row>
    <row r="1226" spans="1:3" x14ac:dyDescent="0.2">
      <c r="A1226" s="10" t="str">
        <f>IF(1218&gt;$C$9008,"",INDEX($B$9:$B$9008,MATCH(1218,$C$9:$C$9008,0)))</f>
        <v/>
      </c>
      <c r="B1226" s="9" t="str">
        <f>IFERROR(INDEX(Input!$L$20:$T$1019,INT((ROW()-9)/9)+1,MOD(ROW()-9,9)+1),"")</f>
        <v/>
      </c>
      <c r="C1226" s="9">
        <f t="shared" si="19"/>
        <v>0</v>
      </c>
    </row>
    <row r="1227" spans="1:3" x14ac:dyDescent="0.2">
      <c r="A1227" s="10" t="str">
        <f>IF(1219&gt;$C$9008,"",INDEX($B$9:$B$9008,MATCH(1219,$C$9:$C$9008,0)))</f>
        <v/>
      </c>
      <c r="B1227" s="9" t="str">
        <f>IFERROR(INDEX(Input!$L$20:$T$1019,INT((ROW()-9)/9)+1,MOD(ROW()-9,9)+1),"")</f>
        <v/>
      </c>
      <c r="C1227" s="9">
        <f t="shared" si="19"/>
        <v>0</v>
      </c>
    </row>
    <row r="1228" spans="1:3" x14ac:dyDescent="0.2">
      <c r="A1228" s="10" t="str">
        <f>IF(1220&gt;$C$9008,"",INDEX($B$9:$B$9008,MATCH(1220,$C$9:$C$9008,0)))</f>
        <v/>
      </c>
      <c r="B1228" s="9" t="str">
        <f>IFERROR(INDEX(Input!$L$20:$T$1019,INT((ROW()-9)/9)+1,MOD(ROW()-9,9)+1),"")</f>
        <v/>
      </c>
      <c r="C1228" s="9">
        <f t="shared" si="19"/>
        <v>0</v>
      </c>
    </row>
    <row r="1229" spans="1:3" x14ac:dyDescent="0.2">
      <c r="A1229" s="10" t="str">
        <f>IF(1221&gt;$C$9008,"",INDEX($B$9:$B$9008,MATCH(1221,$C$9:$C$9008,0)))</f>
        <v/>
      </c>
      <c r="B1229" s="9" t="str">
        <f>IFERROR(INDEX(Input!$L$20:$T$1019,INT((ROW()-9)/9)+1,MOD(ROW()-9,9)+1),"")</f>
        <v/>
      </c>
      <c r="C1229" s="9">
        <f t="shared" si="19"/>
        <v>0</v>
      </c>
    </row>
    <row r="1230" spans="1:3" x14ac:dyDescent="0.2">
      <c r="A1230" s="10" t="str">
        <f>IF(1222&gt;$C$9008,"",INDEX($B$9:$B$9008,MATCH(1222,$C$9:$C$9008,0)))</f>
        <v/>
      </c>
      <c r="B1230" s="9" t="str">
        <f>IFERROR(INDEX(Input!$L$20:$T$1019,INT((ROW()-9)/9)+1,MOD(ROW()-9,9)+1),"")</f>
        <v/>
      </c>
      <c r="C1230" s="9">
        <f t="shared" si="19"/>
        <v>0</v>
      </c>
    </row>
    <row r="1231" spans="1:3" x14ac:dyDescent="0.2">
      <c r="A1231" s="10" t="str">
        <f>IF(1223&gt;$C$9008,"",INDEX($B$9:$B$9008,MATCH(1223,$C$9:$C$9008,0)))</f>
        <v/>
      </c>
      <c r="B1231" s="9" t="str">
        <f>IFERROR(INDEX(Input!$L$20:$T$1019,INT((ROW()-9)/9)+1,MOD(ROW()-9,9)+1),"")</f>
        <v/>
      </c>
      <c r="C1231" s="9">
        <f t="shared" si="19"/>
        <v>0</v>
      </c>
    </row>
    <row r="1232" spans="1:3" x14ac:dyDescent="0.2">
      <c r="A1232" s="10" t="str">
        <f>IF(1224&gt;$C$9008,"",INDEX($B$9:$B$9008,MATCH(1224,$C$9:$C$9008,0)))</f>
        <v/>
      </c>
      <c r="B1232" s="9" t="str">
        <f>IFERROR(INDEX(Input!$L$20:$T$1019,INT((ROW()-9)/9)+1,MOD(ROW()-9,9)+1),"")</f>
        <v/>
      </c>
      <c r="C1232" s="9">
        <f t="shared" si="19"/>
        <v>0</v>
      </c>
    </row>
    <row r="1233" spans="1:3" x14ac:dyDescent="0.2">
      <c r="A1233" s="10" t="str">
        <f>IF(1225&gt;$C$9008,"",INDEX($B$9:$B$9008,MATCH(1225,$C$9:$C$9008,0)))</f>
        <v/>
      </c>
      <c r="B1233" s="9" t="str">
        <f>IFERROR(INDEX(Input!$L$20:$T$1019,INT((ROW()-9)/9)+1,MOD(ROW()-9,9)+1),"")</f>
        <v/>
      </c>
      <c r="C1233" s="9">
        <f t="shared" si="19"/>
        <v>0</v>
      </c>
    </row>
    <row r="1234" spans="1:3" x14ac:dyDescent="0.2">
      <c r="A1234" s="10" t="str">
        <f>IF(1226&gt;$C$9008,"",INDEX($B$9:$B$9008,MATCH(1226,$C$9:$C$9008,0)))</f>
        <v/>
      </c>
      <c r="B1234" s="9" t="str">
        <f>IFERROR(INDEX(Input!$L$20:$T$1019,INT((ROW()-9)/9)+1,MOD(ROW()-9,9)+1),"")</f>
        <v/>
      </c>
      <c r="C1234" s="9">
        <f t="shared" si="19"/>
        <v>0</v>
      </c>
    </row>
    <row r="1235" spans="1:3" x14ac:dyDescent="0.2">
      <c r="A1235" s="10" t="str">
        <f>IF(1227&gt;$C$9008,"",INDEX($B$9:$B$9008,MATCH(1227,$C$9:$C$9008,0)))</f>
        <v/>
      </c>
      <c r="B1235" s="9" t="str">
        <f>IFERROR(INDEX(Input!$L$20:$T$1019,INT((ROW()-9)/9)+1,MOD(ROW()-9,9)+1),"")</f>
        <v/>
      </c>
      <c r="C1235" s="9">
        <f t="shared" si="19"/>
        <v>0</v>
      </c>
    </row>
    <row r="1236" spans="1:3" x14ac:dyDescent="0.2">
      <c r="A1236" s="10" t="str">
        <f>IF(1228&gt;$C$9008,"",INDEX($B$9:$B$9008,MATCH(1228,$C$9:$C$9008,0)))</f>
        <v/>
      </c>
      <c r="B1236" s="9" t="str">
        <f>IFERROR(INDEX(Input!$L$20:$T$1019,INT((ROW()-9)/9)+1,MOD(ROW()-9,9)+1),"")</f>
        <v/>
      </c>
      <c r="C1236" s="9">
        <f t="shared" si="19"/>
        <v>0</v>
      </c>
    </row>
    <row r="1237" spans="1:3" x14ac:dyDescent="0.2">
      <c r="A1237" s="10" t="str">
        <f>IF(1229&gt;$C$9008,"",INDEX($B$9:$B$9008,MATCH(1229,$C$9:$C$9008,0)))</f>
        <v/>
      </c>
      <c r="B1237" s="9" t="str">
        <f>IFERROR(INDEX(Input!$L$20:$T$1019,INT((ROW()-9)/9)+1,MOD(ROW()-9,9)+1),"")</f>
        <v/>
      </c>
      <c r="C1237" s="9">
        <f t="shared" si="19"/>
        <v>0</v>
      </c>
    </row>
    <row r="1238" spans="1:3" x14ac:dyDescent="0.2">
      <c r="A1238" s="10" t="str">
        <f>IF(1230&gt;$C$9008,"",INDEX($B$9:$B$9008,MATCH(1230,$C$9:$C$9008,0)))</f>
        <v/>
      </c>
      <c r="B1238" s="9" t="str">
        <f>IFERROR(INDEX(Input!$L$20:$T$1019,INT((ROW()-9)/9)+1,MOD(ROW()-9,9)+1),"")</f>
        <v/>
      </c>
      <c r="C1238" s="9">
        <f t="shared" si="19"/>
        <v>0</v>
      </c>
    </row>
    <row r="1239" spans="1:3" x14ac:dyDescent="0.2">
      <c r="A1239" s="10" t="str">
        <f>IF(1231&gt;$C$9008,"",INDEX($B$9:$B$9008,MATCH(1231,$C$9:$C$9008,0)))</f>
        <v/>
      </c>
      <c r="B1239" s="9" t="str">
        <f>IFERROR(INDEX(Input!$L$20:$T$1019,INT((ROW()-9)/9)+1,MOD(ROW()-9,9)+1),"")</f>
        <v/>
      </c>
      <c r="C1239" s="9">
        <f t="shared" si="19"/>
        <v>0</v>
      </c>
    </row>
    <row r="1240" spans="1:3" x14ac:dyDescent="0.2">
      <c r="A1240" s="10" t="str">
        <f>IF(1232&gt;$C$9008,"",INDEX($B$9:$B$9008,MATCH(1232,$C$9:$C$9008,0)))</f>
        <v/>
      </c>
      <c r="B1240" s="9" t="str">
        <f>IFERROR(INDEX(Input!$L$20:$T$1019,INT((ROW()-9)/9)+1,MOD(ROW()-9,9)+1),"")</f>
        <v/>
      </c>
      <c r="C1240" s="9">
        <f t="shared" si="19"/>
        <v>0</v>
      </c>
    </row>
    <row r="1241" spans="1:3" x14ac:dyDescent="0.2">
      <c r="A1241" s="10" t="str">
        <f>IF(1233&gt;$C$9008,"",INDEX($B$9:$B$9008,MATCH(1233,$C$9:$C$9008,0)))</f>
        <v/>
      </c>
      <c r="B1241" s="9" t="str">
        <f>IFERROR(INDEX(Input!$L$20:$T$1019,INT((ROW()-9)/9)+1,MOD(ROW()-9,9)+1),"")</f>
        <v/>
      </c>
      <c r="C1241" s="9">
        <f t="shared" si="19"/>
        <v>0</v>
      </c>
    </row>
    <row r="1242" spans="1:3" x14ac:dyDescent="0.2">
      <c r="A1242" s="10" t="str">
        <f>IF(1234&gt;$C$9008,"",INDEX($B$9:$B$9008,MATCH(1234,$C$9:$C$9008,0)))</f>
        <v/>
      </c>
      <c r="B1242" s="9" t="str">
        <f>IFERROR(INDEX(Input!$L$20:$T$1019,INT((ROW()-9)/9)+1,MOD(ROW()-9,9)+1),"")</f>
        <v/>
      </c>
      <c r="C1242" s="9">
        <f t="shared" si="19"/>
        <v>0</v>
      </c>
    </row>
    <row r="1243" spans="1:3" x14ac:dyDescent="0.2">
      <c r="A1243" s="10" t="str">
        <f>IF(1235&gt;$C$9008,"",INDEX($B$9:$B$9008,MATCH(1235,$C$9:$C$9008,0)))</f>
        <v/>
      </c>
      <c r="B1243" s="9" t="str">
        <f>IFERROR(INDEX(Input!$L$20:$T$1019,INT((ROW()-9)/9)+1,MOD(ROW()-9,9)+1),"")</f>
        <v/>
      </c>
      <c r="C1243" s="9">
        <f t="shared" si="19"/>
        <v>0</v>
      </c>
    </row>
    <row r="1244" spans="1:3" x14ac:dyDescent="0.2">
      <c r="A1244" s="10" t="str">
        <f>IF(1236&gt;$C$9008,"",INDEX($B$9:$B$9008,MATCH(1236,$C$9:$C$9008,0)))</f>
        <v/>
      </c>
      <c r="B1244" s="9" t="str">
        <f>IFERROR(INDEX(Input!$L$20:$T$1019,INT((ROW()-9)/9)+1,MOD(ROW()-9,9)+1),"")</f>
        <v/>
      </c>
      <c r="C1244" s="9">
        <f t="shared" si="19"/>
        <v>0</v>
      </c>
    </row>
    <row r="1245" spans="1:3" x14ac:dyDescent="0.2">
      <c r="A1245" s="10" t="str">
        <f>IF(1237&gt;$C$9008,"",INDEX($B$9:$B$9008,MATCH(1237,$C$9:$C$9008,0)))</f>
        <v/>
      </c>
      <c r="B1245" s="9" t="str">
        <f>IFERROR(INDEX(Input!$L$20:$T$1019,INT((ROW()-9)/9)+1,MOD(ROW()-9,9)+1),"")</f>
        <v/>
      </c>
      <c r="C1245" s="9">
        <f t="shared" si="19"/>
        <v>0</v>
      </c>
    </row>
    <row r="1246" spans="1:3" x14ac:dyDescent="0.2">
      <c r="A1246" s="10" t="str">
        <f>IF(1238&gt;$C$9008,"",INDEX($B$9:$B$9008,MATCH(1238,$C$9:$C$9008,0)))</f>
        <v/>
      </c>
      <c r="B1246" s="9" t="str">
        <f>IFERROR(INDEX(Input!$L$20:$T$1019,INT((ROW()-9)/9)+1,MOD(ROW()-9,9)+1),"")</f>
        <v/>
      </c>
      <c r="C1246" s="9">
        <f t="shared" si="19"/>
        <v>0</v>
      </c>
    </row>
    <row r="1247" spans="1:3" x14ac:dyDescent="0.2">
      <c r="A1247" s="10" t="str">
        <f>IF(1239&gt;$C$9008,"",INDEX($B$9:$B$9008,MATCH(1239,$C$9:$C$9008,0)))</f>
        <v/>
      </c>
      <c r="B1247" s="9" t="str">
        <f>IFERROR(INDEX(Input!$L$20:$T$1019,INT((ROW()-9)/9)+1,MOD(ROW()-9,9)+1),"")</f>
        <v/>
      </c>
      <c r="C1247" s="9">
        <f t="shared" si="19"/>
        <v>0</v>
      </c>
    </row>
    <row r="1248" spans="1:3" x14ac:dyDescent="0.2">
      <c r="A1248" s="10" t="str">
        <f>IF(1240&gt;$C$9008,"",INDEX($B$9:$B$9008,MATCH(1240,$C$9:$C$9008,0)))</f>
        <v/>
      </c>
      <c r="B1248" s="9" t="str">
        <f>IFERROR(INDEX(Input!$L$20:$T$1019,INT((ROW()-9)/9)+1,MOD(ROW()-9,9)+1),"")</f>
        <v/>
      </c>
      <c r="C1248" s="9">
        <f t="shared" si="19"/>
        <v>0</v>
      </c>
    </row>
    <row r="1249" spans="1:3" x14ac:dyDescent="0.2">
      <c r="A1249" s="10" t="str">
        <f>IF(1241&gt;$C$9008,"",INDEX($B$9:$B$9008,MATCH(1241,$C$9:$C$9008,0)))</f>
        <v/>
      </c>
      <c r="B1249" s="9" t="str">
        <f>IFERROR(INDEX(Input!$L$20:$T$1019,INT((ROW()-9)/9)+1,MOD(ROW()-9,9)+1),"")</f>
        <v/>
      </c>
      <c r="C1249" s="9">
        <f t="shared" si="19"/>
        <v>0</v>
      </c>
    </row>
    <row r="1250" spans="1:3" x14ac:dyDescent="0.2">
      <c r="A1250" s="10" t="str">
        <f>IF(1242&gt;$C$9008,"",INDEX($B$9:$B$9008,MATCH(1242,$C$9:$C$9008,0)))</f>
        <v/>
      </c>
      <c r="B1250" s="9" t="str">
        <f>IFERROR(INDEX(Input!$L$20:$T$1019,INT((ROW()-9)/9)+1,MOD(ROW()-9,9)+1),"")</f>
        <v/>
      </c>
      <c r="C1250" s="9">
        <f t="shared" si="19"/>
        <v>0</v>
      </c>
    </row>
    <row r="1251" spans="1:3" x14ac:dyDescent="0.2">
      <c r="A1251" s="10" t="str">
        <f>IF(1243&gt;$C$9008,"",INDEX($B$9:$B$9008,MATCH(1243,$C$9:$C$9008,0)))</f>
        <v/>
      </c>
      <c r="B1251" s="9" t="str">
        <f>IFERROR(INDEX(Input!$L$20:$T$1019,INT((ROW()-9)/9)+1,MOD(ROW()-9,9)+1),"")</f>
        <v/>
      </c>
      <c r="C1251" s="9">
        <f t="shared" si="19"/>
        <v>0</v>
      </c>
    </row>
    <row r="1252" spans="1:3" x14ac:dyDescent="0.2">
      <c r="A1252" s="10" t="str">
        <f>IF(1244&gt;$C$9008,"",INDEX($B$9:$B$9008,MATCH(1244,$C$9:$C$9008,0)))</f>
        <v/>
      </c>
      <c r="B1252" s="9" t="str">
        <f>IFERROR(INDEX(Input!$L$20:$T$1019,INT((ROW()-9)/9)+1,MOD(ROW()-9,9)+1),"")</f>
        <v/>
      </c>
      <c r="C1252" s="9">
        <f t="shared" si="19"/>
        <v>0</v>
      </c>
    </row>
    <row r="1253" spans="1:3" x14ac:dyDescent="0.2">
      <c r="A1253" s="10" t="str">
        <f>IF(1245&gt;$C$9008,"",INDEX($B$9:$B$9008,MATCH(1245,$C$9:$C$9008,0)))</f>
        <v/>
      </c>
      <c r="B1253" s="9" t="str">
        <f>IFERROR(INDEX(Input!$L$20:$T$1019,INT((ROW()-9)/9)+1,MOD(ROW()-9,9)+1),"")</f>
        <v/>
      </c>
      <c r="C1253" s="9">
        <f t="shared" si="19"/>
        <v>0</v>
      </c>
    </row>
    <row r="1254" spans="1:3" x14ac:dyDescent="0.2">
      <c r="A1254" s="10" t="str">
        <f>IF(1246&gt;$C$9008,"",INDEX($B$9:$B$9008,MATCH(1246,$C$9:$C$9008,0)))</f>
        <v/>
      </c>
      <c r="B1254" s="9" t="str">
        <f>IFERROR(INDEX(Input!$L$20:$T$1019,INT((ROW()-9)/9)+1,MOD(ROW()-9,9)+1),"")</f>
        <v/>
      </c>
      <c r="C1254" s="9">
        <f t="shared" si="19"/>
        <v>0</v>
      </c>
    </row>
    <row r="1255" spans="1:3" x14ac:dyDescent="0.2">
      <c r="A1255" s="10" t="str">
        <f>IF(1247&gt;$C$9008,"",INDEX($B$9:$B$9008,MATCH(1247,$C$9:$C$9008,0)))</f>
        <v/>
      </c>
      <c r="B1255" s="9" t="str">
        <f>IFERROR(INDEX(Input!$L$20:$T$1019,INT((ROW()-9)/9)+1,MOD(ROW()-9,9)+1),"")</f>
        <v/>
      </c>
      <c r="C1255" s="9">
        <f t="shared" si="19"/>
        <v>0</v>
      </c>
    </row>
    <row r="1256" spans="1:3" x14ac:dyDescent="0.2">
      <c r="A1256" s="10" t="str">
        <f>IF(1248&gt;$C$9008,"",INDEX($B$9:$B$9008,MATCH(1248,$C$9:$C$9008,0)))</f>
        <v/>
      </c>
      <c r="B1256" s="9" t="str">
        <f>IFERROR(INDEX(Input!$L$20:$T$1019,INT((ROW()-9)/9)+1,MOD(ROW()-9,9)+1),"")</f>
        <v/>
      </c>
      <c r="C1256" s="9">
        <f t="shared" si="19"/>
        <v>0</v>
      </c>
    </row>
    <row r="1257" spans="1:3" x14ac:dyDescent="0.2">
      <c r="A1257" s="10" t="str">
        <f>IF(1249&gt;$C$9008,"",INDEX($B$9:$B$9008,MATCH(1249,$C$9:$C$9008,0)))</f>
        <v/>
      </c>
      <c r="B1257" s="9" t="str">
        <f>IFERROR(INDEX(Input!$L$20:$T$1019,INT((ROW()-9)/9)+1,MOD(ROW()-9,9)+1),"")</f>
        <v/>
      </c>
      <c r="C1257" s="9">
        <f t="shared" si="19"/>
        <v>0</v>
      </c>
    </row>
    <row r="1258" spans="1:3" x14ac:dyDescent="0.2">
      <c r="A1258" s="10" t="str">
        <f>IF(1250&gt;$C$9008,"",INDEX($B$9:$B$9008,MATCH(1250,$C$9:$C$9008,0)))</f>
        <v/>
      </c>
      <c r="B1258" s="9" t="str">
        <f>IFERROR(INDEX(Input!$L$20:$T$1019,INT((ROW()-9)/9)+1,MOD(ROW()-9,9)+1),"")</f>
        <v/>
      </c>
      <c r="C1258" s="9">
        <f t="shared" si="19"/>
        <v>0</v>
      </c>
    </row>
    <row r="1259" spans="1:3" x14ac:dyDescent="0.2">
      <c r="A1259" s="10" t="str">
        <f>IF(1251&gt;$C$9008,"",INDEX($B$9:$B$9008,MATCH(1251,$C$9:$C$9008,0)))</f>
        <v/>
      </c>
      <c r="B1259" s="9" t="str">
        <f>IFERROR(INDEX(Input!$L$20:$T$1019,INT((ROW()-9)/9)+1,MOD(ROW()-9,9)+1),"")</f>
        <v/>
      </c>
      <c r="C1259" s="9">
        <f t="shared" si="19"/>
        <v>0</v>
      </c>
    </row>
    <row r="1260" spans="1:3" x14ac:dyDescent="0.2">
      <c r="A1260" s="10" t="str">
        <f>IF(1252&gt;$C$9008,"",INDEX($B$9:$B$9008,MATCH(1252,$C$9:$C$9008,0)))</f>
        <v/>
      </c>
      <c r="B1260" s="9" t="str">
        <f>IFERROR(INDEX(Input!$L$20:$T$1019,INT((ROW()-9)/9)+1,MOD(ROW()-9,9)+1),"")</f>
        <v/>
      </c>
      <c r="C1260" s="9">
        <f t="shared" si="19"/>
        <v>0</v>
      </c>
    </row>
    <row r="1261" spans="1:3" x14ac:dyDescent="0.2">
      <c r="A1261" s="10" t="str">
        <f>IF(1253&gt;$C$9008,"",INDEX($B$9:$B$9008,MATCH(1253,$C$9:$C$9008,0)))</f>
        <v/>
      </c>
      <c r="B1261" s="9" t="str">
        <f>IFERROR(INDEX(Input!$L$20:$T$1019,INT((ROW()-9)/9)+1,MOD(ROW()-9,9)+1),"")</f>
        <v/>
      </c>
      <c r="C1261" s="9">
        <f t="shared" si="19"/>
        <v>0</v>
      </c>
    </row>
    <row r="1262" spans="1:3" x14ac:dyDescent="0.2">
      <c r="A1262" s="10" t="str">
        <f>IF(1254&gt;$C$9008,"",INDEX($B$9:$B$9008,MATCH(1254,$C$9:$C$9008,0)))</f>
        <v/>
      </c>
      <c r="B1262" s="9" t="str">
        <f>IFERROR(INDEX(Input!$L$20:$T$1019,INT((ROW()-9)/9)+1,MOD(ROW()-9,9)+1),"")</f>
        <v/>
      </c>
      <c r="C1262" s="9">
        <f t="shared" si="19"/>
        <v>0</v>
      </c>
    </row>
    <row r="1263" spans="1:3" x14ac:dyDescent="0.2">
      <c r="A1263" s="10" t="str">
        <f>IF(1255&gt;$C$9008,"",INDEX($B$9:$B$9008,MATCH(1255,$C$9:$C$9008,0)))</f>
        <v/>
      </c>
      <c r="B1263" s="9" t="str">
        <f>IFERROR(INDEX(Input!$L$20:$T$1019,INT((ROW()-9)/9)+1,MOD(ROW()-9,9)+1),"")</f>
        <v/>
      </c>
      <c r="C1263" s="9">
        <f t="shared" si="19"/>
        <v>0</v>
      </c>
    </row>
    <row r="1264" spans="1:3" x14ac:dyDescent="0.2">
      <c r="A1264" s="10" t="str">
        <f>IF(1256&gt;$C$9008,"",INDEX($B$9:$B$9008,MATCH(1256,$C$9:$C$9008,0)))</f>
        <v/>
      </c>
      <c r="B1264" s="9" t="str">
        <f>IFERROR(INDEX(Input!$L$20:$T$1019,INT((ROW()-9)/9)+1,MOD(ROW()-9,9)+1),"")</f>
        <v/>
      </c>
      <c r="C1264" s="9">
        <f t="shared" si="19"/>
        <v>0</v>
      </c>
    </row>
    <row r="1265" spans="1:3" x14ac:dyDescent="0.2">
      <c r="A1265" s="10" t="str">
        <f>IF(1257&gt;$C$9008,"",INDEX($B$9:$B$9008,MATCH(1257,$C$9:$C$9008,0)))</f>
        <v/>
      </c>
      <c r="B1265" s="9" t="str">
        <f>IFERROR(INDEX(Input!$L$20:$T$1019,INT((ROW()-9)/9)+1,MOD(ROW()-9,9)+1),"")</f>
        <v/>
      </c>
      <c r="C1265" s="9">
        <f t="shared" si="19"/>
        <v>0</v>
      </c>
    </row>
    <row r="1266" spans="1:3" x14ac:dyDescent="0.2">
      <c r="A1266" s="10" t="str">
        <f>IF(1258&gt;$C$9008,"",INDEX($B$9:$B$9008,MATCH(1258,$C$9:$C$9008,0)))</f>
        <v/>
      </c>
      <c r="B1266" s="9" t="str">
        <f>IFERROR(INDEX(Input!$L$20:$T$1019,INT((ROW()-9)/9)+1,MOD(ROW()-9,9)+1),"")</f>
        <v/>
      </c>
      <c r="C1266" s="9">
        <f t="shared" si="19"/>
        <v>0</v>
      </c>
    </row>
    <row r="1267" spans="1:3" x14ac:dyDescent="0.2">
      <c r="A1267" s="10" t="str">
        <f>IF(1259&gt;$C$9008,"",INDEX($B$9:$B$9008,MATCH(1259,$C$9:$C$9008,0)))</f>
        <v/>
      </c>
      <c r="B1267" s="9" t="str">
        <f>IFERROR(INDEX(Input!$L$20:$T$1019,INT((ROW()-9)/9)+1,MOD(ROW()-9,9)+1),"")</f>
        <v/>
      </c>
      <c r="C1267" s="9">
        <f t="shared" si="19"/>
        <v>0</v>
      </c>
    </row>
    <row r="1268" spans="1:3" x14ac:dyDescent="0.2">
      <c r="A1268" s="10" t="str">
        <f>IF(1260&gt;$C$9008,"",INDEX($B$9:$B$9008,MATCH(1260,$C$9:$C$9008,0)))</f>
        <v/>
      </c>
      <c r="B1268" s="9" t="str">
        <f>IFERROR(INDEX(Input!$L$20:$T$1019,INT((ROW()-9)/9)+1,MOD(ROW()-9,9)+1),"")</f>
        <v/>
      </c>
      <c r="C1268" s="9">
        <f t="shared" si="19"/>
        <v>0</v>
      </c>
    </row>
    <row r="1269" spans="1:3" x14ac:dyDescent="0.2">
      <c r="A1269" s="10" t="str">
        <f>IF(1261&gt;$C$9008,"",INDEX($B$9:$B$9008,MATCH(1261,$C$9:$C$9008,0)))</f>
        <v/>
      </c>
      <c r="B1269" s="9" t="str">
        <f>IFERROR(INDEX(Input!$L$20:$T$1019,INT((ROW()-9)/9)+1,MOD(ROW()-9,9)+1),"")</f>
        <v/>
      </c>
      <c r="C1269" s="9">
        <f t="shared" si="19"/>
        <v>0</v>
      </c>
    </row>
    <row r="1270" spans="1:3" x14ac:dyDescent="0.2">
      <c r="A1270" s="10" t="str">
        <f>IF(1262&gt;$C$9008,"",INDEX($B$9:$B$9008,MATCH(1262,$C$9:$C$9008,0)))</f>
        <v/>
      </c>
      <c r="B1270" s="9" t="str">
        <f>IFERROR(INDEX(Input!$L$20:$T$1019,INT((ROW()-9)/9)+1,MOD(ROW()-9,9)+1),"")</f>
        <v/>
      </c>
      <c r="C1270" s="9">
        <f t="shared" si="19"/>
        <v>0</v>
      </c>
    </row>
    <row r="1271" spans="1:3" x14ac:dyDescent="0.2">
      <c r="A1271" s="10" t="str">
        <f>IF(1263&gt;$C$9008,"",INDEX($B$9:$B$9008,MATCH(1263,$C$9:$C$9008,0)))</f>
        <v/>
      </c>
      <c r="B1271" s="9" t="str">
        <f>IFERROR(INDEX(Input!$L$20:$T$1019,INT((ROW()-9)/9)+1,MOD(ROW()-9,9)+1),"")</f>
        <v/>
      </c>
      <c r="C1271" s="9">
        <f t="shared" si="19"/>
        <v>0</v>
      </c>
    </row>
    <row r="1272" spans="1:3" x14ac:dyDescent="0.2">
      <c r="A1272" s="10" t="str">
        <f>IF(1264&gt;$C$9008,"",INDEX($B$9:$B$9008,MATCH(1264,$C$9:$C$9008,0)))</f>
        <v/>
      </c>
      <c r="B1272" s="9" t="str">
        <f>IFERROR(INDEX(Input!$L$20:$T$1019,INT((ROW()-9)/9)+1,MOD(ROW()-9,9)+1),"")</f>
        <v/>
      </c>
      <c r="C1272" s="9">
        <f t="shared" si="19"/>
        <v>0</v>
      </c>
    </row>
    <row r="1273" spans="1:3" x14ac:dyDescent="0.2">
      <c r="A1273" s="10" t="str">
        <f>IF(1265&gt;$C$9008,"",INDEX($B$9:$B$9008,MATCH(1265,$C$9:$C$9008,0)))</f>
        <v/>
      </c>
      <c r="B1273" s="9" t="str">
        <f>IFERROR(INDEX(Input!$L$20:$T$1019,INT((ROW()-9)/9)+1,MOD(ROW()-9,9)+1),"")</f>
        <v/>
      </c>
      <c r="C1273" s="9">
        <f t="shared" si="19"/>
        <v>0</v>
      </c>
    </row>
    <row r="1274" spans="1:3" x14ac:dyDescent="0.2">
      <c r="A1274" s="10" t="str">
        <f>IF(1266&gt;$C$9008,"",INDEX($B$9:$B$9008,MATCH(1266,$C$9:$C$9008,0)))</f>
        <v/>
      </c>
      <c r="B1274" s="9" t="str">
        <f>IFERROR(INDEX(Input!$L$20:$T$1019,INT((ROW()-9)/9)+1,MOD(ROW()-9,9)+1),"")</f>
        <v/>
      </c>
      <c r="C1274" s="9">
        <f t="shared" si="19"/>
        <v>0</v>
      </c>
    </row>
    <row r="1275" spans="1:3" x14ac:dyDescent="0.2">
      <c r="A1275" s="10" t="str">
        <f>IF(1267&gt;$C$9008,"",INDEX($B$9:$B$9008,MATCH(1267,$C$9:$C$9008,0)))</f>
        <v/>
      </c>
      <c r="B1275" s="9" t="str">
        <f>IFERROR(INDEX(Input!$L$20:$T$1019,INT((ROW()-9)/9)+1,MOD(ROW()-9,9)+1),"")</f>
        <v/>
      </c>
      <c r="C1275" s="9">
        <f t="shared" si="19"/>
        <v>0</v>
      </c>
    </row>
    <row r="1276" spans="1:3" x14ac:dyDescent="0.2">
      <c r="A1276" s="10" t="str">
        <f>IF(1268&gt;$C$9008,"",INDEX($B$9:$B$9008,MATCH(1268,$C$9:$C$9008,0)))</f>
        <v/>
      </c>
      <c r="B1276" s="9" t="str">
        <f>IFERROR(INDEX(Input!$L$20:$T$1019,INT((ROW()-9)/9)+1,MOD(ROW()-9,9)+1),"")</f>
        <v/>
      </c>
      <c r="C1276" s="9">
        <f t="shared" si="19"/>
        <v>0</v>
      </c>
    </row>
    <row r="1277" spans="1:3" x14ac:dyDescent="0.2">
      <c r="A1277" s="10" t="str">
        <f>IF(1269&gt;$C$9008,"",INDEX($B$9:$B$9008,MATCH(1269,$C$9:$C$9008,0)))</f>
        <v/>
      </c>
      <c r="B1277" s="9" t="str">
        <f>IFERROR(INDEX(Input!$L$20:$T$1019,INT((ROW()-9)/9)+1,MOD(ROW()-9,9)+1),"")</f>
        <v/>
      </c>
      <c r="C1277" s="9">
        <f t="shared" si="19"/>
        <v>0</v>
      </c>
    </row>
    <row r="1278" spans="1:3" x14ac:dyDescent="0.2">
      <c r="A1278" s="10" t="str">
        <f>IF(1270&gt;$C$9008,"",INDEX($B$9:$B$9008,MATCH(1270,$C$9:$C$9008,0)))</f>
        <v/>
      </c>
      <c r="B1278" s="9" t="str">
        <f>IFERROR(INDEX(Input!$L$20:$T$1019,INT((ROW()-9)/9)+1,MOD(ROW()-9,9)+1),"")</f>
        <v/>
      </c>
      <c r="C1278" s="9">
        <f t="shared" si="19"/>
        <v>0</v>
      </c>
    </row>
    <row r="1279" spans="1:3" x14ac:dyDescent="0.2">
      <c r="A1279" s="10" t="str">
        <f>IF(1271&gt;$C$9008,"",INDEX($B$9:$B$9008,MATCH(1271,$C$9:$C$9008,0)))</f>
        <v/>
      </c>
      <c r="B1279" s="9" t="str">
        <f>IFERROR(INDEX(Input!$L$20:$T$1019,INT((ROW()-9)/9)+1,MOD(ROW()-9,9)+1),"")</f>
        <v/>
      </c>
      <c r="C1279" s="9">
        <f t="shared" si="19"/>
        <v>0</v>
      </c>
    </row>
    <row r="1280" spans="1:3" x14ac:dyDescent="0.2">
      <c r="A1280" s="10" t="str">
        <f>IF(1272&gt;$C$9008,"",INDEX($B$9:$B$9008,MATCH(1272,$C$9:$C$9008,0)))</f>
        <v/>
      </c>
      <c r="B1280" s="9" t="str">
        <f>IFERROR(INDEX(Input!$L$20:$T$1019,INT((ROW()-9)/9)+1,MOD(ROW()-9,9)+1),"")</f>
        <v/>
      </c>
      <c r="C1280" s="9">
        <f t="shared" si="19"/>
        <v>0</v>
      </c>
    </row>
    <row r="1281" spans="1:3" x14ac:dyDescent="0.2">
      <c r="A1281" s="10" t="str">
        <f>IF(1273&gt;$C$9008,"",INDEX($B$9:$B$9008,MATCH(1273,$C$9:$C$9008,0)))</f>
        <v/>
      </c>
      <c r="B1281" s="9" t="str">
        <f>IFERROR(INDEX(Input!$L$20:$T$1019,INT((ROW()-9)/9)+1,MOD(ROW()-9,9)+1),"")</f>
        <v/>
      </c>
      <c r="C1281" s="9">
        <f t="shared" si="19"/>
        <v>0</v>
      </c>
    </row>
    <row r="1282" spans="1:3" x14ac:dyDescent="0.2">
      <c r="A1282" s="10" t="str">
        <f>IF(1274&gt;$C$9008,"",INDEX($B$9:$B$9008,MATCH(1274,$C$9:$C$9008,0)))</f>
        <v/>
      </c>
      <c r="B1282" s="9" t="str">
        <f>IFERROR(INDEX(Input!$L$20:$T$1019,INT((ROW()-9)/9)+1,MOD(ROW()-9,9)+1),"")</f>
        <v/>
      </c>
      <c r="C1282" s="9">
        <f t="shared" si="19"/>
        <v>0</v>
      </c>
    </row>
    <row r="1283" spans="1:3" x14ac:dyDescent="0.2">
      <c r="A1283" s="10" t="str">
        <f>IF(1275&gt;$C$9008,"",INDEX($B$9:$B$9008,MATCH(1275,$C$9:$C$9008,0)))</f>
        <v/>
      </c>
      <c r="B1283" s="9" t="str">
        <f>IFERROR(INDEX(Input!$L$20:$T$1019,INT((ROW()-9)/9)+1,MOD(ROW()-9,9)+1),"")</f>
        <v/>
      </c>
      <c r="C1283" s="9">
        <f t="shared" si="19"/>
        <v>0</v>
      </c>
    </row>
    <row r="1284" spans="1:3" x14ac:dyDescent="0.2">
      <c r="A1284" s="10" t="str">
        <f>IF(1276&gt;$C$9008,"",INDEX($B$9:$B$9008,MATCH(1276,$C$9:$C$9008,0)))</f>
        <v/>
      </c>
      <c r="B1284" s="9" t="str">
        <f>IFERROR(INDEX(Input!$L$20:$T$1019,INT((ROW()-9)/9)+1,MOD(ROW()-9,9)+1),"")</f>
        <v/>
      </c>
      <c r="C1284" s="9">
        <f t="shared" si="19"/>
        <v>0</v>
      </c>
    </row>
    <row r="1285" spans="1:3" x14ac:dyDescent="0.2">
      <c r="A1285" s="10" t="str">
        <f>IF(1277&gt;$C$9008,"",INDEX($B$9:$B$9008,MATCH(1277,$C$9:$C$9008,0)))</f>
        <v/>
      </c>
      <c r="B1285" s="9" t="str">
        <f>IFERROR(INDEX(Input!$L$20:$T$1019,INT((ROW()-9)/9)+1,MOD(ROW()-9,9)+1),"")</f>
        <v/>
      </c>
      <c r="C1285" s="9">
        <f t="shared" si="19"/>
        <v>0</v>
      </c>
    </row>
    <row r="1286" spans="1:3" x14ac:dyDescent="0.2">
      <c r="A1286" s="10" t="str">
        <f>IF(1278&gt;$C$9008,"",INDEX($B$9:$B$9008,MATCH(1278,$C$9:$C$9008,0)))</f>
        <v/>
      </c>
      <c r="B1286" s="9" t="str">
        <f>IFERROR(INDEX(Input!$L$20:$T$1019,INT((ROW()-9)/9)+1,MOD(ROW()-9,9)+1),"")</f>
        <v/>
      </c>
      <c r="C1286" s="9">
        <f t="shared" si="19"/>
        <v>0</v>
      </c>
    </row>
    <row r="1287" spans="1:3" x14ac:dyDescent="0.2">
      <c r="A1287" s="10" t="str">
        <f>IF(1279&gt;$C$9008,"",INDEX($B$9:$B$9008,MATCH(1279,$C$9:$C$9008,0)))</f>
        <v/>
      </c>
      <c r="B1287" s="9" t="str">
        <f>IFERROR(INDEX(Input!$L$20:$T$1019,INT((ROW()-9)/9)+1,MOD(ROW()-9,9)+1),"")</f>
        <v/>
      </c>
      <c r="C1287" s="9">
        <f t="shared" si="19"/>
        <v>0</v>
      </c>
    </row>
    <row r="1288" spans="1:3" x14ac:dyDescent="0.2">
      <c r="A1288" s="10" t="str">
        <f>IF(1280&gt;$C$9008,"",INDEX($B$9:$B$9008,MATCH(1280,$C$9:$C$9008,0)))</f>
        <v/>
      </c>
      <c r="B1288" s="9" t="str">
        <f>IFERROR(INDEX(Input!$L$20:$T$1019,INT((ROW()-9)/9)+1,MOD(ROW()-9,9)+1),"")</f>
        <v/>
      </c>
      <c r="C1288" s="9">
        <f t="shared" si="19"/>
        <v>0</v>
      </c>
    </row>
    <row r="1289" spans="1:3" x14ac:dyDescent="0.2">
      <c r="A1289" s="10" t="str">
        <f>IF(1281&gt;$C$9008,"",INDEX($B$9:$B$9008,MATCH(1281,$C$9:$C$9008,0)))</f>
        <v/>
      </c>
      <c r="B1289" s="9" t="str">
        <f>IFERROR(INDEX(Input!$L$20:$T$1019,INT((ROW()-9)/9)+1,MOD(ROW()-9,9)+1),"")</f>
        <v/>
      </c>
      <c r="C1289" s="9">
        <f t="shared" ref="C1289:C1352" si="20">$C1288+IF($B1289&lt;&gt;"",1,0)</f>
        <v>0</v>
      </c>
    </row>
    <row r="1290" spans="1:3" x14ac:dyDescent="0.2">
      <c r="A1290" s="10" t="str">
        <f>IF(1282&gt;$C$9008,"",INDEX($B$9:$B$9008,MATCH(1282,$C$9:$C$9008,0)))</f>
        <v/>
      </c>
      <c r="B1290" s="9" t="str">
        <f>IFERROR(INDEX(Input!$L$20:$T$1019,INT((ROW()-9)/9)+1,MOD(ROW()-9,9)+1),"")</f>
        <v/>
      </c>
      <c r="C1290" s="9">
        <f t="shared" si="20"/>
        <v>0</v>
      </c>
    </row>
    <row r="1291" spans="1:3" x14ac:dyDescent="0.2">
      <c r="A1291" s="10" t="str">
        <f>IF(1283&gt;$C$9008,"",INDEX($B$9:$B$9008,MATCH(1283,$C$9:$C$9008,0)))</f>
        <v/>
      </c>
      <c r="B1291" s="9" t="str">
        <f>IFERROR(INDEX(Input!$L$20:$T$1019,INT((ROW()-9)/9)+1,MOD(ROW()-9,9)+1),"")</f>
        <v/>
      </c>
      <c r="C1291" s="9">
        <f t="shared" si="20"/>
        <v>0</v>
      </c>
    </row>
    <row r="1292" spans="1:3" x14ac:dyDescent="0.2">
      <c r="A1292" s="10" t="str">
        <f>IF(1284&gt;$C$9008,"",INDEX($B$9:$B$9008,MATCH(1284,$C$9:$C$9008,0)))</f>
        <v/>
      </c>
      <c r="B1292" s="9" t="str">
        <f>IFERROR(INDEX(Input!$L$20:$T$1019,INT((ROW()-9)/9)+1,MOD(ROW()-9,9)+1),"")</f>
        <v/>
      </c>
      <c r="C1292" s="9">
        <f t="shared" si="20"/>
        <v>0</v>
      </c>
    </row>
    <row r="1293" spans="1:3" x14ac:dyDescent="0.2">
      <c r="A1293" s="10" t="str">
        <f>IF(1285&gt;$C$9008,"",INDEX($B$9:$B$9008,MATCH(1285,$C$9:$C$9008,0)))</f>
        <v/>
      </c>
      <c r="B1293" s="9" t="str">
        <f>IFERROR(INDEX(Input!$L$20:$T$1019,INT((ROW()-9)/9)+1,MOD(ROW()-9,9)+1),"")</f>
        <v/>
      </c>
      <c r="C1293" s="9">
        <f t="shared" si="20"/>
        <v>0</v>
      </c>
    </row>
    <row r="1294" spans="1:3" x14ac:dyDescent="0.2">
      <c r="A1294" s="10" t="str">
        <f>IF(1286&gt;$C$9008,"",INDEX($B$9:$B$9008,MATCH(1286,$C$9:$C$9008,0)))</f>
        <v/>
      </c>
      <c r="B1294" s="9" t="str">
        <f>IFERROR(INDEX(Input!$L$20:$T$1019,INT((ROW()-9)/9)+1,MOD(ROW()-9,9)+1),"")</f>
        <v/>
      </c>
      <c r="C1294" s="9">
        <f t="shared" si="20"/>
        <v>0</v>
      </c>
    </row>
    <row r="1295" spans="1:3" x14ac:dyDescent="0.2">
      <c r="A1295" s="10" t="str">
        <f>IF(1287&gt;$C$9008,"",INDEX($B$9:$B$9008,MATCH(1287,$C$9:$C$9008,0)))</f>
        <v/>
      </c>
      <c r="B1295" s="9" t="str">
        <f>IFERROR(INDEX(Input!$L$20:$T$1019,INT((ROW()-9)/9)+1,MOD(ROW()-9,9)+1),"")</f>
        <v/>
      </c>
      <c r="C1295" s="9">
        <f t="shared" si="20"/>
        <v>0</v>
      </c>
    </row>
    <row r="1296" spans="1:3" x14ac:dyDescent="0.2">
      <c r="A1296" s="10" t="str">
        <f>IF(1288&gt;$C$9008,"",INDEX($B$9:$B$9008,MATCH(1288,$C$9:$C$9008,0)))</f>
        <v/>
      </c>
      <c r="B1296" s="9" t="str">
        <f>IFERROR(INDEX(Input!$L$20:$T$1019,INT((ROW()-9)/9)+1,MOD(ROW()-9,9)+1),"")</f>
        <v/>
      </c>
      <c r="C1296" s="9">
        <f t="shared" si="20"/>
        <v>0</v>
      </c>
    </row>
    <row r="1297" spans="1:3" x14ac:dyDescent="0.2">
      <c r="A1297" s="10" t="str">
        <f>IF(1289&gt;$C$9008,"",INDEX($B$9:$B$9008,MATCH(1289,$C$9:$C$9008,0)))</f>
        <v/>
      </c>
      <c r="B1297" s="9" t="str">
        <f>IFERROR(INDEX(Input!$L$20:$T$1019,INT((ROW()-9)/9)+1,MOD(ROW()-9,9)+1),"")</f>
        <v/>
      </c>
      <c r="C1297" s="9">
        <f t="shared" si="20"/>
        <v>0</v>
      </c>
    </row>
    <row r="1298" spans="1:3" x14ac:dyDescent="0.2">
      <c r="A1298" s="10" t="str">
        <f>IF(1290&gt;$C$9008,"",INDEX($B$9:$B$9008,MATCH(1290,$C$9:$C$9008,0)))</f>
        <v/>
      </c>
      <c r="B1298" s="9" t="str">
        <f>IFERROR(INDEX(Input!$L$20:$T$1019,INT((ROW()-9)/9)+1,MOD(ROW()-9,9)+1),"")</f>
        <v/>
      </c>
      <c r="C1298" s="9">
        <f t="shared" si="20"/>
        <v>0</v>
      </c>
    </row>
    <row r="1299" spans="1:3" x14ac:dyDescent="0.2">
      <c r="A1299" s="10" t="str">
        <f>IF(1291&gt;$C$9008,"",INDEX($B$9:$B$9008,MATCH(1291,$C$9:$C$9008,0)))</f>
        <v/>
      </c>
      <c r="B1299" s="9" t="str">
        <f>IFERROR(INDEX(Input!$L$20:$T$1019,INT((ROW()-9)/9)+1,MOD(ROW()-9,9)+1),"")</f>
        <v/>
      </c>
      <c r="C1299" s="9">
        <f t="shared" si="20"/>
        <v>0</v>
      </c>
    </row>
    <row r="1300" spans="1:3" x14ac:dyDescent="0.2">
      <c r="A1300" s="10" t="str">
        <f>IF(1292&gt;$C$9008,"",INDEX($B$9:$B$9008,MATCH(1292,$C$9:$C$9008,0)))</f>
        <v/>
      </c>
      <c r="B1300" s="9" t="str">
        <f>IFERROR(INDEX(Input!$L$20:$T$1019,INT((ROW()-9)/9)+1,MOD(ROW()-9,9)+1),"")</f>
        <v/>
      </c>
      <c r="C1300" s="9">
        <f t="shared" si="20"/>
        <v>0</v>
      </c>
    </row>
    <row r="1301" spans="1:3" x14ac:dyDescent="0.2">
      <c r="A1301" s="10" t="str">
        <f>IF(1293&gt;$C$9008,"",INDEX($B$9:$B$9008,MATCH(1293,$C$9:$C$9008,0)))</f>
        <v/>
      </c>
      <c r="B1301" s="9" t="str">
        <f>IFERROR(INDEX(Input!$L$20:$T$1019,INT((ROW()-9)/9)+1,MOD(ROW()-9,9)+1),"")</f>
        <v/>
      </c>
      <c r="C1301" s="9">
        <f t="shared" si="20"/>
        <v>0</v>
      </c>
    </row>
    <row r="1302" spans="1:3" x14ac:dyDescent="0.2">
      <c r="A1302" s="10" t="str">
        <f>IF(1294&gt;$C$9008,"",INDEX($B$9:$B$9008,MATCH(1294,$C$9:$C$9008,0)))</f>
        <v/>
      </c>
      <c r="B1302" s="9" t="str">
        <f>IFERROR(INDEX(Input!$L$20:$T$1019,INT((ROW()-9)/9)+1,MOD(ROW()-9,9)+1),"")</f>
        <v/>
      </c>
      <c r="C1302" s="9">
        <f t="shared" si="20"/>
        <v>0</v>
      </c>
    </row>
    <row r="1303" spans="1:3" x14ac:dyDescent="0.2">
      <c r="A1303" s="10" t="str">
        <f>IF(1295&gt;$C$9008,"",INDEX($B$9:$B$9008,MATCH(1295,$C$9:$C$9008,0)))</f>
        <v/>
      </c>
      <c r="B1303" s="9" t="str">
        <f>IFERROR(INDEX(Input!$L$20:$T$1019,INT((ROW()-9)/9)+1,MOD(ROW()-9,9)+1),"")</f>
        <v/>
      </c>
      <c r="C1303" s="9">
        <f t="shared" si="20"/>
        <v>0</v>
      </c>
    </row>
    <row r="1304" spans="1:3" x14ac:dyDescent="0.2">
      <c r="A1304" s="10" t="str">
        <f>IF(1296&gt;$C$9008,"",INDEX($B$9:$B$9008,MATCH(1296,$C$9:$C$9008,0)))</f>
        <v/>
      </c>
      <c r="B1304" s="9" t="str">
        <f>IFERROR(INDEX(Input!$L$20:$T$1019,INT((ROW()-9)/9)+1,MOD(ROW()-9,9)+1),"")</f>
        <v/>
      </c>
      <c r="C1304" s="9">
        <f t="shared" si="20"/>
        <v>0</v>
      </c>
    </row>
    <row r="1305" spans="1:3" x14ac:dyDescent="0.2">
      <c r="A1305" s="10" t="str">
        <f>IF(1297&gt;$C$9008,"",INDEX($B$9:$B$9008,MATCH(1297,$C$9:$C$9008,0)))</f>
        <v/>
      </c>
      <c r="B1305" s="9" t="str">
        <f>IFERROR(INDEX(Input!$L$20:$T$1019,INT((ROW()-9)/9)+1,MOD(ROW()-9,9)+1),"")</f>
        <v/>
      </c>
      <c r="C1305" s="9">
        <f t="shared" si="20"/>
        <v>0</v>
      </c>
    </row>
    <row r="1306" spans="1:3" x14ac:dyDescent="0.2">
      <c r="A1306" s="10" t="str">
        <f>IF(1298&gt;$C$9008,"",INDEX($B$9:$B$9008,MATCH(1298,$C$9:$C$9008,0)))</f>
        <v/>
      </c>
      <c r="B1306" s="9" t="str">
        <f>IFERROR(INDEX(Input!$L$20:$T$1019,INT((ROW()-9)/9)+1,MOD(ROW()-9,9)+1),"")</f>
        <v/>
      </c>
      <c r="C1306" s="9">
        <f t="shared" si="20"/>
        <v>0</v>
      </c>
    </row>
    <row r="1307" spans="1:3" x14ac:dyDescent="0.2">
      <c r="A1307" s="10" t="str">
        <f>IF(1299&gt;$C$9008,"",INDEX($B$9:$B$9008,MATCH(1299,$C$9:$C$9008,0)))</f>
        <v/>
      </c>
      <c r="B1307" s="9" t="str">
        <f>IFERROR(INDEX(Input!$L$20:$T$1019,INT((ROW()-9)/9)+1,MOD(ROW()-9,9)+1),"")</f>
        <v/>
      </c>
      <c r="C1307" s="9">
        <f t="shared" si="20"/>
        <v>0</v>
      </c>
    </row>
    <row r="1308" spans="1:3" x14ac:dyDescent="0.2">
      <c r="A1308" s="10" t="str">
        <f>IF(1300&gt;$C$9008,"",INDEX($B$9:$B$9008,MATCH(1300,$C$9:$C$9008,0)))</f>
        <v/>
      </c>
      <c r="B1308" s="9" t="str">
        <f>IFERROR(INDEX(Input!$L$20:$T$1019,INT((ROW()-9)/9)+1,MOD(ROW()-9,9)+1),"")</f>
        <v/>
      </c>
      <c r="C1308" s="9">
        <f t="shared" si="20"/>
        <v>0</v>
      </c>
    </row>
    <row r="1309" spans="1:3" x14ac:dyDescent="0.2">
      <c r="A1309" s="10" t="str">
        <f>IF(1301&gt;$C$9008,"",INDEX($B$9:$B$9008,MATCH(1301,$C$9:$C$9008,0)))</f>
        <v/>
      </c>
      <c r="B1309" s="9" t="str">
        <f>IFERROR(INDEX(Input!$L$20:$T$1019,INT((ROW()-9)/9)+1,MOD(ROW()-9,9)+1),"")</f>
        <v/>
      </c>
      <c r="C1309" s="9">
        <f t="shared" si="20"/>
        <v>0</v>
      </c>
    </row>
    <row r="1310" spans="1:3" x14ac:dyDescent="0.2">
      <c r="A1310" s="10" t="str">
        <f>IF(1302&gt;$C$9008,"",INDEX($B$9:$B$9008,MATCH(1302,$C$9:$C$9008,0)))</f>
        <v/>
      </c>
      <c r="B1310" s="9" t="str">
        <f>IFERROR(INDEX(Input!$L$20:$T$1019,INT((ROW()-9)/9)+1,MOD(ROW()-9,9)+1),"")</f>
        <v/>
      </c>
      <c r="C1310" s="9">
        <f t="shared" si="20"/>
        <v>0</v>
      </c>
    </row>
    <row r="1311" spans="1:3" x14ac:dyDescent="0.2">
      <c r="A1311" s="10" t="str">
        <f>IF(1303&gt;$C$9008,"",INDEX($B$9:$B$9008,MATCH(1303,$C$9:$C$9008,0)))</f>
        <v/>
      </c>
      <c r="B1311" s="9" t="str">
        <f>IFERROR(INDEX(Input!$L$20:$T$1019,INT((ROW()-9)/9)+1,MOD(ROW()-9,9)+1),"")</f>
        <v/>
      </c>
      <c r="C1311" s="9">
        <f t="shared" si="20"/>
        <v>0</v>
      </c>
    </row>
    <row r="1312" spans="1:3" x14ac:dyDescent="0.2">
      <c r="A1312" s="10" t="str">
        <f>IF(1304&gt;$C$9008,"",INDEX($B$9:$B$9008,MATCH(1304,$C$9:$C$9008,0)))</f>
        <v/>
      </c>
      <c r="B1312" s="9" t="str">
        <f>IFERROR(INDEX(Input!$L$20:$T$1019,INT((ROW()-9)/9)+1,MOD(ROW()-9,9)+1),"")</f>
        <v/>
      </c>
      <c r="C1312" s="9">
        <f t="shared" si="20"/>
        <v>0</v>
      </c>
    </row>
    <row r="1313" spans="1:3" x14ac:dyDescent="0.2">
      <c r="A1313" s="10" t="str">
        <f>IF(1305&gt;$C$9008,"",INDEX($B$9:$B$9008,MATCH(1305,$C$9:$C$9008,0)))</f>
        <v/>
      </c>
      <c r="B1313" s="9" t="str">
        <f>IFERROR(INDEX(Input!$L$20:$T$1019,INT((ROW()-9)/9)+1,MOD(ROW()-9,9)+1),"")</f>
        <v/>
      </c>
      <c r="C1313" s="9">
        <f t="shared" si="20"/>
        <v>0</v>
      </c>
    </row>
    <row r="1314" spans="1:3" x14ac:dyDescent="0.2">
      <c r="A1314" s="10" t="str">
        <f>IF(1306&gt;$C$9008,"",INDEX($B$9:$B$9008,MATCH(1306,$C$9:$C$9008,0)))</f>
        <v/>
      </c>
      <c r="B1314" s="9" t="str">
        <f>IFERROR(INDEX(Input!$L$20:$T$1019,INT((ROW()-9)/9)+1,MOD(ROW()-9,9)+1),"")</f>
        <v/>
      </c>
      <c r="C1314" s="9">
        <f t="shared" si="20"/>
        <v>0</v>
      </c>
    </row>
    <row r="1315" spans="1:3" x14ac:dyDescent="0.2">
      <c r="A1315" s="10" t="str">
        <f>IF(1307&gt;$C$9008,"",INDEX($B$9:$B$9008,MATCH(1307,$C$9:$C$9008,0)))</f>
        <v/>
      </c>
      <c r="B1315" s="9" t="str">
        <f>IFERROR(INDEX(Input!$L$20:$T$1019,INT((ROW()-9)/9)+1,MOD(ROW()-9,9)+1),"")</f>
        <v/>
      </c>
      <c r="C1315" s="9">
        <f t="shared" si="20"/>
        <v>0</v>
      </c>
    </row>
    <row r="1316" spans="1:3" x14ac:dyDescent="0.2">
      <c r="A1316" s="10" t="str">
        <f>IF(1308&gt;$C$9008,"",INDEX($B$9:$B$9008,MATCH(1308,$C$9:$C$9008,0)))</f>
        <v/>
      </c>
      <c r="B1316" s="9" t="str">
        <f>IFERROR(INDEX(Input!$L$20:$T$1019,INT((ROW()-9)/9)+1,MOD(ROW()-9,9)+1),"")</f>
        <v/>
      </c>
      <c r="C1316" s="9">
        <f t="shared" si="20"/>
        <v>0</v>
      </c>
    </row>
    <row r="1317" spans="1:3" x14ac:dyDescent="0.2">
      <c r="A1317" s="10" t="str">
        <f>IF(1309&gt;$C$9008,"",INDEX($B$9:$B$9008,MATCH(1309,$C$9:$C$9008,0)))</f>
        <v/>
      </c>
      <c r="B1317" s="9" t="str">
        <f>IFERROR(INDEX(Input!$L$20:$T$1019,INT((ROW()-9)/9)+1,MOD(ROW()-9,9)+1),"")</f>
        <v/>
      </c>
      <c r="C1317" s="9">
        <f t="shared" si="20"/>
        <v>0</v>
      </c>
    </row>
    <row r="1318" spans="1:3" x14ac:dyDescent="0.2">
      <c r="A1318" s="10" t="str">
        <f>IF(1310&gt;$C$9008,"",INDEX($B$9:$B$9008,MATCH(1310,$C$9:$C$9008,0)))</f>
        <v/>
      </c>
      <c r="B1318" s="9" t="str">
        <f>IFERROR(INDEX(Input!$L$20:$T$1019,INT((ROW()-9)/9)+1,MOD(ROW()-9,9)+1),"")</f>
        <v/>
      </c>
      <c r="C1318" s="9">
        <f t="shared" si="20"/>
        <v>0</v>
      </c>
    </row>
    <row r="1319" spans="1:3" x14ac:dyDescent="0.2">
      <c r="A1319" s="10" t="str">
        <f>IF(1311&gt;$C$9008,"",INDEX($B$9:$B$9008,MATCH(1311,$C$9:$C$9008,0)))</f>
        <v/>
      </c>
      <c r="B1319" s="9" t="str">
        <f>IFERROR(INDEX(Input!$L$20:$T$1019,INT((ROW()-9)/9)+1,MOD(ROW()-9,9)+1),"")</f>
        <v/>
      </c>
      <c r="C1319" s="9">
        <f t="shared" si="20"/>
        <v>0</v>
      </c>
    </row>
    <row r="1320" spans="1:3" x14ac:dyDescent="0.2">
      <c r="A1320" s="10" t="str">
        <f>IF(1312&gt;$C$9008,"",INDEX($B$9:$B$9008,MATCH(1312,$C$9:$C$9008,0)))</f>
        <v/>
      </c>
      <c r="B1320" s="9" t="str">
        <f>IFERROR(INDEX(Input!$L$20:$T$1019,INT((ROW()-9)/9)+1,MOD(ROW()-9,9)+1),"")</f>
        <v/>
      </c>
      <c r="C1320" s="9">
        <f t="shared" si="20"/>
        <v>0</v>
      </c>
    </row>
    <row r="1321" spans="1:3" x14ac:dyDescent="0.2">
      <c r="A1321" s="10" t="str">
        <f>IF(1313&gt;$C$9008,"",INDEX($B$9:$B$9008,MATCH(1313,$C$9:$C$9008,0)))</f>
        <v/>
      </c>
      <c r="B1321" s="9" t="str">
        <f>IFERROR(INDEX(Input!$L$20:$T$1019,INT((ROW()-9)/9)+1,MOD(ROW()-9,9)+1),"")</f>
        <v/>
      </c>
      <c r="C1321" s="9">
        <f t="shared" si="20"/>
        <v>0</v>
      </c>
    </row>
    <row r="1322" spans="1:3" x14ac:dyDescent="0.2">
      <c r="A1322" s="10" t="str">
        <f>IF(1314&gt;$C$9008,"",INDEX($B$9:$B$9008,MATCH(1314,$C$9:$C$9008,0)))</f>
        <v/>
      </c>
      <c r="B1322" s="9" t="str">
        <f>IFERROR(INDEX(Input!$L$20:$T$1019,INT((ROW()-9)/9)+1,MOD(ROW()-9,9)+1),"")</f>
        <v/>
      </c>
      <c r="C1322" s="9">
        <f t="shared" si="20"/>
        <v>0</v>
      </c>
    </row>
    <row r="1323" spans="1:3" x14ac:dyDescent="0.2">
      <c r="A1323" s="10" t="str">
        <f>IF(1315&gt;$C$9008,"",INDEX($B$9:$B$9008,MATCH(1315,$C$9:$C$9008,0)))</f>
        <v/>
      </c>
      <c r="B1323" s="9" t="str">
        <f>IFERROR(INDEX(Input!$L$20:$T$1019,INT((ROW()-9)/9)+1,MOD(ROW()-9,9)+1),"")</f>
        <v/>
      </c>
      <c r="C1323" s="9">
        <f t="shared" si="20"/>
        <v>0</v>
      </c>
    </row>
    <row r="1324" spans="1:3" x14ac:dyDescent="0.2">
      <c r="A1324" s="10" t="str">
        <f>IF(1316&gt;$C$9008,"",INDEX($B$9:$B$9008,MATCH(1316,$C$9:$C$9008,0)))</f>
        <v/>
      </c>
      <c r="B1324" s="9" t="str">
        <f>IFERROR(INDEX(Input!$L$20:$T$1019,INT((ROW()-9)/9)+1,MOD(ROW()-9,9)+1),"")</f>
        <v/>
      </c>
      <c r="C1324" s="9">
        <f t="shared" si="20"/>
        <v>0</v>
      </c>
    </row>
    <row r="1325" spans="1:3" x14ac:dyDescent="0.2">
      <c r="A1325" s="10" t="str">
        <f>IF(1317&gt;$C$9008,"",INDEX($B$9:$B$9008,MATCH(1317,$C$9:$C$9008,0)))</f>
        <v/>
      </c>
      <c r="B1325" s="9" t="str">
        <f>IFERROR(INDEX(Input!$L$20:$T$1019,INT((ROW()-9)/9)+1,MOD(ROW()-9,9)+1),"")</f>
        <v/>
      </c>
      <c r="C1325" s="9">
        <f t="shared" si="20"/>
        <v>0</v>
      </c>
    </row>
    <row r="1326" spans="1:3" x14ac:dyDescent="0.2">
      <c r="A1326" s="10" t="str">
        <f>IF(1318&gt;$C$9008,"",INDEX($B$9:$B$9008,MATCH(1318,$C$9:$C$9008,0)))</f>
        <v/>
      </c>
      <c r="B1326" s="9" t="str">
        <f>IFERROR(INDEX(Input!$L$20:$T$1019,INT((ROW()-9)/9)+1,MOD(ROW()-9,9)+1),"")</f>
        <v/>
      </c>
      <c r="C1326" s="9">
        <f t="shared" si="20"/>
        <v>0</v>
      </c>
    </row>
    <row r="1327" spans="1:3" x14ac:dyDescent="0.2">
      <c r="A1327" s="10" t="str">
        <f>IF(1319&gt;$C$9008,"",INDEX($B$9:$B$9008,MATCH(1319,$C$9:$C$9008,0)))</f>
        <v/>
      </c>
      <c r="B1327" s="9" t="str">
        <f>IFERROR(INDEX(Input!$L$20:$T$1019,INT((ROW()-9)/9)+1,MOD(ROW()-9,9)+1),"")</f>
        <v/>
      </c>
      <c r="C1327" s="9">
        <f t="shared" si="20"/>
        <v>0</v>
      </c>
    </row>
    <row r="1328" spans="1:3" x14ac:dyDescent="0.2">
      <c r="A1328" s="10" t="str">
        <f>IF(1320&gt;$C$9008,"",INDEX($B$9:$B$9008,MATCH(1320,$C$9:$C$9008,0)))</f>
        <v/>
      </c>
      <c r="B1328" s="9" t="str">
        <f>IFERROR(INDEX(Input!$L$20:$T$1019,INT((ROW()-9)/9)+1,MOD(ROW()-9,9)+1),"")</f>
        <v/>
      </c>
      <c r="C1328" s="9">
        <f t="shared" si="20"/>
        <v>0</v>
      </c>
    </row>
    <row r="1329" spans="1:3" x14ac:dyDescent="0.2">
      <c r="A1329" s="10" t="str">
        <f>IF(1321&gt;$C$9008,"",INDEX($B$9:$B$9008,MATCH(1321,$C$9:$C$9008,0)))</f>
        <v/>
      </c>
      <c r="B1329" s="9" t="str">
        <f>IFERROR(INDEX(Input!$L$20:$T$1019,INT((ROW()-9)/9)+1,MOD(ROW()-9,9)+1),"")</f>
        <v/>
      </c>
      <c r="C1329" s="9">
        <f t="shared" si="20"/>
        <v>0</v>
      </c>
    </row>
    <row r="1330" spans="1:3" x14ac:dyDescent="0.2">
      <c r="A1330" s="10" t="str">
        <f>IF(1322&gt;$C$9008,"",INDEX($B$9:$B$9008,MATCH(1322,$C$9:$C$9008,0)))</f>
        <v/>
      </c>
      <c r="B1330" s="9" t="str">
        <f>IFERROR(INDEX(Input!$L$20:$T$1019,INT((ROW()-9)/9)+1,MOD(ROW()-9,9)+1),"")</f>
        <v/>
      </c>
      <c r="C1330" s="9">
        <f t="shared" si="20"/>
        <v>0</v>
      </c>
    </row>
    <row r="1331" spans="1:3" x14ac:dyDescent="0.2">
      <c r="A1331" s="10" t="str">
        <f>IF(1323&gt;$C$9008,"",INDEX($B$9:$B$9008,MATCH(1323,$C$9:$C$9008,0)))</f>
        <v/>
      </c>
      <c r="B1331" s="9" t="str">
        <f>IFERROR(INDEX(Input!$L$20:$T$1019,INT((ROW()-9)/9)+1,MOD(ROW()-9,9)+1),"")</f>
        <v/>
      </c>
      <c r="C1331" s="9">
        <f t="shared" si="20"/>
        <v>0</v>
      </c>
    </row>
    <row r="1332" spans="1:3" x14ac:dyDescent="0.2">
      <c r="A1332" s="10" t="str">
        <f>IF(1324&gt;$C$9008,"",INDEX($B$9:$B$9008,MATCH(1324,$C$9:$C$9008,0)))</f>
        <v/>
      </c>
      <c r="B1332" s="9" t="str">
        <f>IFERROR(INDEX(Input!$L$20:$T$1019,INT((ROW()-9)/9)+1,MOD(ROW()-9,9)+1),"")</f>
        <v/>
      </c>
      <c r="C1332" s="9">
        <f t="shared" si="20"/>
        <v>0</v>
      </c>
    </row>
    <row r="1333" spans="1:3" x14ac:dyDescent="0.2">
      <c r="A1333" s="10" t="str">
        <f>IF(1325&gt;$C$9008,"",INDEX($B$9:$B$9008,MATCH(1325,$C$9:$C$9008,0)))</f>
        <v/>
      </c>
      <c r="B1333" s="9" t="str">
        <f>IFERROR(INDEX(Input!$L$20:$T$1019,INT((ROW()-9)/9)+1,MOD(ROW()-9,9)+1),"")</f>
        <v/>
      </c>
      <c r="C1333" s="9">
        <f t="shared" si="20"/>
        <v>0</v>
      </c>
    </row>
    <row r="1334" spans="1:3" x14ac:dyDescent="0.2">
      <c r="A1334" s="10" t="str">
        <f>IF(1326&gt;$C$9008,"",INDEX($B$9:$B$9008,MATCH(1326,$C$9:$C$9008,0)))</f>
        <v/>
      </c>
      <c r="B1334" s="9" t="str">
        <f>IFERROR(INDEX(Input!$L$20:$T$1019,INT((ROW()-9)/9)+1,MOD(ROW()-9,9)+1),"")</f>
        <v/>
      </c>
      <c r="C1334" s="9">
        <f t="shared" si="20"/>
        <v>0</v>
      </c>
    </row>
    <row r="1335" spans="1:3" x14ac:dyDescent="0.2">
      <c r="A1335" s="10" t="str">
        <f>IF(1327&gt;$C$9008,"",INDEX($B$9:$B$9008,MATCH(1327,$C$9:$C$9008,0)))</f>
        <v/>
      </c>
      <c r="B1335" s="9" t="str">
        <f>IFERROR(INDEX(Input!$L$20:$T$1019,INT((ROW()-9)/9)+1,MOD(ROW()-9,9)+1),"")</f>
        <v/>
      </c>
      <c r="C1335" s="9">
        <f t="shared" si="20"/>
        <v>0</v>
      </c>
    </row>
    <row r="1336" spans="1:3" x14ac:dyDescent="0.2">
      <c r="A1336" s="10" t="str">
        <f>IF(1328&gt;$C$9008,"",INDEX($B$9:$B$9008,MATCH(1328,$C$9:$C$9008,0)))</f>
        <v/>
      </c>
      <c r="B1336" s="9" t="str">
        <f>IFERROR(INDEX(Input!$L$20:$T$1019,INT((ROW()-9)/9)+1,MOD(ROW()-9,9)+1),"")</f>
        <v/>
      </c>
      <c r="C1336" s="9">
        <f t="shared" si="20"/>
        <v>0</v>
      </c>
    </row>
    <row r="1337" spans="1:3" x14ac:dyDescent="0.2">
      <c r="A1337" s="10" t="str">
        <f>IF(1329&gt;$C$9008,"",INDEX($B$9:$B$9008,MATCH(1329,$C$9:$C$9008,0)))</f>
        <v/>
      </c>
      <c r="B1337" s="9" t="str">
        <f>IFERROR(INDEX(Input!$L$20:$T$1019,INT((ROW()-9)/9)+1,MOD(ROW()-9,9)+1),"")</f>
        <v/>
      </c>
      <c r="C1337" s="9">
        <f t="shared" si="20"/>
        <v>0</v>
      </c>
    </row>
    <row r="1338" spans="1:3" x14ac:dyDescent="0.2">
      <c r="A1338" s="10" t="str">
        <f>IF(1330&gt;$C$9008,"",INDEX($B$9:$B$9008,MATCH(1330,$C$9:$C$9008,0)))</f>
        <v/>
      </c>
      <c r="B1338" s="9" t="str">
        <f>IFERROR(INDEX(Input!$L$20:$T$1019,INT((ROW()-9)/9)+1,MOD(ROW()-9,9)+1),"")</f>
        <v/>
      </c>
      <c r="C1338" s="9">
        <f t="shared" si="20"/>
        <v>0</v>
      </c>
    </row>
    <row r="1339" spans="1:3" x14ac:dyDescent="0.2">
      <c r="A1339" s="10" t="str">
        <f>IF(1331&gt;$C$9008,"",INDEX($B$9:$B$9008,MATCH(1331,$C$9:$C$9008,0)))</f>
        <v/>
      </c>
      <c r="B1339" s="9" t="str">
        <f>IFERROR(INDEX(Input!$L$20:$T$1019,INT((ROW()-9)/9)+1,MOD(ROW()-9,9)+1),"")</f>
        <v/>
      </c>
      <c r="C1339" s="9">
        <f t="shared" si="20"/>
        <v>0</v>
      </c>
    </row>
    <row r="1340" spans="1:3" x14ac:dyDescent="0.2">
      <c r="A1340" s="10" t="str">
        <f>IF(1332&gt;$C$9008,"",INDEX($B$9:$B$9008,MATCH(1332,$C$9:$C$9008,0)))</f>
        <v/>
      </c>
      <c r="B1340" s="9" t="str">
        <f>IFERROR(INDEX(Input!$L$20:$T$1019,INT((ROW()-9)/9)+1,MOD(ROW()-9,9)+1),"")</f>
        <v/>
      </c>
      <c r="C1340" s="9">
        <f t="shared" si="20"/>
        <v>0</v>
      </c>
    </row>
    <row r="1341" spans="1:3" x14ac:dyDescent="0.2">
      <c r="A1341" s="10" t="str">
        <f>IF(1333&gt;$C$9008,"",INDEX($B$9:$B$9008,MATCH(1333,$C$9:$C$9008,0)))</f>
        <v/>
      </c>
      <c r="B1341" s="9" t="str">
        <f>IFERROR(INDEX(Input!$L$20:$T$1019,INT((ROW()-9)/9)+1,MOD(ROW()-9,9)+1),"")</f>
        <v/>
      </c>
      <c r="C1341" s="9">
        <f t="shared" si="20"/>
        <v>0</v>
      </c>
    </row>
    <row r="1342" spans="1:3" x14ac:dyDescent="0.2">
      <c r="A1342" s="10" t="str">
        <f>IF(1334&gt;$C$9008,"",INDEX($B$9:$B$9008,MATCH(1334,$C$9:$C$9008,0)))</f>
        <v/>
      </c>
      <c r="B1342" s="9" t="str">
        <f>IFERROR(INDEX(Input!$L$20:$T$1019,INT((ROW()-9)/9)+1,MOD(ROW()-9,9)+1),"")</f>
        <v/>
      </c>
      <c r="C1342" s="9">
        <f t="shared" si="20"/>
        <v>0</v>
      </c>
    </row>
    <row r="1343" spans="1:3" x14ac:dyDescent="0.2">
      <c r="A1343" s="10" t="str">
        <f>IF(1335&gt;$C$9008,"",INDEX($B$9:$B$9008,MATCH(1335,$C$9:$C$9008,0)))</f>
        <v/>
      </c>
      <c r="B1343" s="9" t="str">
        <f>IFERROR(INDEX(Input!$L$20:$T$1019,INT((ROW()-9)/9)+1,MOD(ROW()-9,9)+1),"")</f>
        <v/>
      </c>
      <c r="C1343" s="9">
        <f t="shared" si="20"/>
        <v>0</v>
      </c>
    </row>
    <row r="1344" spans="1:3" x14ac:dyDescent="0.2">
      <c r="A1344" s="10" t="str">
        <f>IF(1336&gt;$C$9008,"",INDEX($B$9:$B$9008,MATCH(1336,$C$9:$C$9008,0)))</f>
        <v/>
      </c>
      <c r="B1344" s="9" t="str">
        <f>IFERROR(INDEX(Input!$L$20:$T$1019,INT((ROW()-9)/9)+1,MOD(ROW()-9,9)+1),"")</f>
        <v/>
      </c>
      <c r="C1344" s="9">
        <f t="shared" si="20"/>
        <v>0</v>
      </c>
    </row>
    <row r="1345" spans="1:3" x14ac:dyDescent="0.2">
      <c r="A1345" s="10" t="str">
        <f>IF(1337&gt;$C$9008,"",INDEX($B$9:$B$9008,MATCH(1337,$C$9:$C$9008,0)))</f>
        <v/>
      </c>
      <c r="B1345" s="9" t="str">
        <f>IFERROR(INDEX(Input!$L$20:$T$1019,INT((ROW()-9)/9)+1,MOD(ROW()-9,9)+1),"")</f>
        <v/>
      </c>
      <c r="C1345" s="9">
        <f t="shared" si="20"/>
        <v>0</v>
      </c>
    </row>
    <row r="1346" spans="1:3" x14ac:dyDescent="0.2">
      <c r="A1346" s="10" t="str">
        <f>IF(1338&gt;$C$9008,"",INDEX($B$9:$B$9008,MATCH(1338,$C$9:$C$9008,0)))</f>
        <v/>
      </c>
      <c r="B1346" s="9" t="str">
        <f>IFERROR(INDEX(Input!$L$20:$T$1019,INT((ROW()-9)/9)+1,MOD(ROW()-9,9)+1),"")</f>
        <v/>
      </c>
      <c r="C1346" s="9">
        <f t="shared" si="20"/>
        <v>0</v>
      </c>
    </row>
    <row r="1347" spans="1:3" x14ac:dyDescent="0.2">
      <c r="A1347" s="10" t="str">
        <f>IF(1339&gt;$C$9008,"",INDEX($B$9:$B$9008,MATCH(1339,$C$9:$C$9008,0)))</f>
        <v/>
      </c>
      <c r="B1347" s="9" t="str">
        <f>IFERROR(INDEX(Input!$L$20:$T$1019,INT((ROW()-9)/9)+1,MOD(ROW()-9,9)+1),"")</f>
        <v/>
      </c>
      <c r="C1347" s="9">
        <f t="shared" si="20"/>
        <v>0</v>
      </c>
    </row>
    <row r="1348" spans="1:3" x14ac:dyDescent="0.2">
      <c r="A1348" s="10" t="str">
        <f>IF(1340&gt;$C$9008,"",INDEX($B$9:$B$9008,MATCH(1340,$C$9:$C$9008,0)))</f>
        <v/>
      </c>
      <c r="B1348" s="9" t="str">
        <f>IFERROR(INDEX(Input!$L$20:$T$1019,INT((ROW()-9)/9)+1,MOD(ROW()-9,9)+1),"")</f>
        <v/>
      </c>
      <c r="C1348" s="9">
        <f t="shared" si="20"/>
        <v>0</v>
      </c>
    </row>
    <row r="1349" spans="1:3" x14ac:dyDescent="0.2">
      <c r="A1349" s="10" t="str">
        <f>IF(1341&gt;$C$9008,"",INDEX($B$9:$B$9008,MATCH(1341,$C$9:$C$9008,0)))</f>
        <v/>
      </c>
      <c r="B1349" s="9" t="str">
        <f>IFERROR(INDEX(Input!$L$20:$T$1019,INT((ROW()-9)/9)+1,MOD(ROW()-9,9)+1),"")</f>
        <v/>
      </c>
      <c r="C1349" s="9">
        <f t="shared" si="20"/>
        <v>0</v>
      </c>
    </row>
    <row r="1350" spans="1:3" x14ac:dyDescent="0.2">
      <c r="A1350" s="10" t="str">
        <f>IF(1342&gt;$C$9008,"",INDEX($B$9:$B$9008,MATCH(1342,$C$9:$C$9008,0)))</f>
        <v/>
      </c>
      <c r="B1350" s="9" t="str">
        <f>IFERROR(INDEX(Input!$L$20:$T$1019,INT((ROW()-9)/9)+1,MOD(ROW()-9,9)+1),"")</f>
        <v/>
      </c>
      <c r="C1350" s="9">
        <f t="shared" si="20"/>
        <v>0</v>
      </c>
    </row>
    <row r="1351" spans="1:3" x14ac:dyDescent="0.2">
      <c r="A1351" s="10" t="str">
        <f>IF(1343&gt;$C$9008,"",INDEX($B$9:$B$9008,MATCH(1343,$C$9:$C$9008,0)))</f>
        <v/>
      </c>
      <c r="B1351" s="9" t="str">
        <f>IFERROR(INDEX(Input!$L$20:$T$1019,INT((ROW()-9)/9)+1,MOD(ROW()-9,9)+1),"")</f>
        <v/>
      </c>
      <c r="C1351" s="9">
        <f t="shared" si="20"/>
        <v>0</v>
      </c>
    </row>
    <row r="1352" spans="1:3" x14ac:dyDescent="0.2">
      <c r="A1352" s="10" t="str">
        <f>IF(1344&gt;$C$9008,"",INDEX($B$9:$B$9008,MATCH(1344,$C$9:$C$9008,0)))</f>
        <v/>
      </c>
      <c r="B1352" s="9" t="str">
        <f>IFERROR(INDEX(Input!$L$20:$T$1019,INT((ROW()-9)/9)+1,MOD(ROW()-9,9)+1),"")</f>
        <v/>
      </c>
      <c r="C1352" s="9">
        <f t="shared" si="20"/>
        <v>0</v>
      </c>
    </row>
    <row r="1353" spans="1:3" x14ac:dyDescent="0.2">
      <c r="A1353" s="10" t="str">
        <f>IF(1345&gt;$C$9008,"",INDEX($B$9:$B$9008,MATCH(1345,$C$9:$C$9008,0)))</f>
        <v/>
      </c>
      <c r="B1353" s="9" t="str">
        <f>IFERROR(INDEX(Input!$L$20:$T$1019,INT((ROW()-9)/9)+1,MOD(ROW()-9,9)+1),"")</f>
        <v/>
      </c>
      <c r="C1353" s="9">
        <f t="shared" ref="C1353:C1416" si="21">$C1352+IF($B1353&lt;&gt;"",1,0)</f>
        <v>0</v>
      </c>
    </row>
    <row r="1354" spans="1:3" x14ac:dyDescent="0.2">
      <c r="A1354" s="10" t="str">
        <f>IF(1346&gt;$C$9008,"",INDEX($B$9:$B$9008,MATCH(1346,$C$9:$C$9008,0)))</f>
        <v/>
      </c>
      <c r="B1354" s="9" t="str">
        <f>IFERROR(INDEX(Input!$L$20:$T$1019,INT((ROW()-9)/9)+1,MOD(ROW()-9,9)+1),"")</f>
        <v/>
      </c>
      <c r="C1354" s="9">
        <f t="shared" si="21"/>
        <v>0</v>
      </c>
    </row>
    <row r="1355" spans="1:3" x14ac:dyDescent="0.2">
      <c r="A1355" s="10" t="str">
        <f>IF(1347&gt;$C$9008,"",INDEX($B$9:$B$9008,MATCH(1347,$C$9:$C$9008,0)))</f>
        <v/>
      </c>
      <c r="B1355" s="9" t="str">
        <f>IFERROR(INDEX(Input!$L$20:$T$1019,INT((ROW()-9)/9)+1,MOD(ROW()-9,9)+1),"")</f>
        <v/>
      </c>
      <c r="C1355" s="9">
        <f t="shared" si="21"/>
        <v>0</v>
      </c>
    </row>
    <row r="1356" spans="1:3" x14ac:dyDescent="0.2">
      <c r="A1356" s="10" t="str">
        <f>IF(1348&gt;$C$9008,"",INDEX($B$9:$B$9008,MATCH(1348,$C$9:$C$9008,0)))</f>
        <v/>
      </c>
      <c r="B1356" s="9" t="str">
        <f>IFERROR(INDEX(Input!$L$20:$T$1019,INT((ROW()-9)/9)+1,MOD(ROW()-9,9)+1),"")</f>
        <v/>
      </c>
      <c r="C1356" s="9">
        <f t="shared" si="21"/>
        <v>0</v>
      </c>
    </row>
    <row r="1357" spans="1:3" x14ac:dyDescent="0.2">
      <c r="A1357" s="10" t="str">
        <f>IF(1349&gt;$C$9008,"",INDEX($B$9:$B$9008,MATCH(1349,$C$9:$C$9008,0)))</f>
        <v/>
      </c>
      <c r="B1357" s="9" t="str">
        <f>IFERROR(INDEX(Input!$L$20:$T$1019,INT((ROW()-9)/9)+1,MOD(ROW()-9,9)+1),"")</f>
        <v/>
      </c>
      <c r="C1357" s="9">
        <f t="shared" si="21"/>
        <v>0</v>
      </c>
    </row>
    <row r="1358" spans="1:3" x14ac:dyDescent="0.2">
      <c r="A1358" s="10" t="str">
        <f>IF(1350&gt;$C$9008,"",INDEX($B$9:$B$9008,MATCH(1350,$C$9:$C$9008,0)))</f>
        <v/>
      </c>
      <c r="B1358" s="9" t="str">
        <f>IFERROR(INDEX(Input!$L$20:$T$1019,INT((ROW()-9)/9)+1,MOD(ROW()-9,9)+1),"")</f>
        <v/>
      </c>
      <c r="C1358" s="9">
        <f t="shared" si="21"/>
        <v>0</v>
      </c>
    </row>
    <row r="1359" spans="1:3" x14ac:dyDescent="0.2">
      <c r="A1359" s="10" t="str">
        <f>IF(1351&gt;$C$9008,"",INDEX($B$9:$B$9008,MATCH(1351,$C$9:$C$9008,0)))</f>
        <v/>
      </c>
      <c r="B1359" s="9" t="str">
        <f>IFERROR(INDEX(Input!$L$20:$T$1019,INT((ROW()-9)/9)+1,MOD(ROW()-9,9)+1),"")</f>
        <v/>
      </c>
      <c r="C1359" s="9">
        <f t="shared" si="21"/>
        <v>0</v>
      </c>
    </row>
    <row r="1360" spans="1:3" x14ac:dyDescent="0.2">
      <c r="A1360" s="10" t="str">
        <f>IF(1352&gt;$C$9008,"",INDEX($B$9:$B$9008,MATCH(1352,$C$9:$C$9008,0)))</f>
        <v/>
      </c>
      <c r="B1360" s="9" t="str">
        <f>IFERROR(INDEX(Input!$L$20:$T$1019,INT((ROW()-9)/9)+1,MOD(ROW()-9,9)+1),"")</f>
        <v/>
      </c>
      <c r="C1360" s="9">
        <f t="shared" si="21"/>
        <v>0</v>
      </c>
    </row>
    <row r="1361" spans="1:3" x14ac:dyDescent="0.2">
      <c r="A1361" s="10" t="str">
        <f>IF(1353&gt;$C$9008,"",INDEX($B$9:$B$9008,MATCH(1353,$C$9:$C$9008,0)))</f>
        <v/>
      </c>
      <c r="B1361" s="9" t="str">
        <f>IFERROR(INDEX(Input!$L$20:$T$1019,INT((ROW()-9)/9)+1,MOD(ROW()-9,9)+1),"")</f>
        <v/>
      </c>
      <c r="C1361" s="9">
        <f t="shared" si="21"/>
        <v>0</v>
      </c>
    </row>
    <row r="1362" spans="1:3" x14ac:dyDescent="0.2">
      <c r="A1362" s="10" t="str">
        <f>IF(1354&gt;$C$9008,"",INDEX($B$9:$B$9008,MATCH(1354,$C$9:$C$9008,0)))</f>
        <v/>
      </c>
      <c r="B1362" s="9" t="str">
        <f>IFERROR(INDEX(Input!$L$20:$T$1019,INT((ROW()-9)/9)+1,MOD(ROW()-9,9)+1),"")</f>
        <v/>
      </c>
      <c r="C1362" s="9">
        <f t="shared" si="21"/>
        <v>0</v>
      </c>
    </row>
    <row r="1363" spans="1:3" x14ac:dyDescent="0.2">
      <c r="A1363" s="10" t="str">
        <f>IF(1355&gt;$C$9008,"",INDEX($B$9:$B$9008,MATCH(1355,$C$9:$C$9008,0)))</f>
        <v/>
      </c>
      <c r="B1363" s="9" t="str">
        <f>IFERROR(INDEX(Input!$L$20:$T$1019,INT((ROW()-9)/9)+1,MOD(ROW()-9,9)+1),"")</f>
        <v/>
      </c>
      <c r="C1363" s="9">
        <f t="shared" si="21"/>
        <v>0</v>
      </c>
    </row>
    <row r="1364" spans="1:3" x14ac:dyDescent="0.2">
      <c r="A1364" s="10" t="str">
        <f>IF(1356&gt;$C$9008,"",INDEX($B$9:$B$9008,MATCH(1356,$C$9:$C$9008,0)))</f>
        <v/>
      </c>
      <c r="B1364" s="9" t="str">
        <f>IFERROR(INDEX(Input!$L$20:$T$1019,INT((ROW()-9)/9)+1,MOD(ROW()-9,9)+1),"")</f>
        <v/>
      </c>
      <c r="C1364" s="9">
        <f t="shared" si="21"/>
        <v>0</v>
      </c>
    </row>
    <row r="1365" spans="1:3" x14ac:dyDescent="0.2">
      <c r="A1365" s="10" t="str">
        <f>IF(1357&gt;$C$9008,"",INDEX($B$9:$B$9008,MATCH(1357,$C$9:$C$9008,0)))</f>
        <v/>
      </c>
      <c r="B1365" s="9" t="str">
        <f>IFERROR(INDEX(Input!$L$20:$T$1019,INT((ROW()-9)/9)+1,MOD(ROW()-9,9)+1),"")</f>
        <v/>
      </c>
      <c r="C1365" s="9">
        <f t="shared" si="21"/>
        <v>0</v>
      </c>
    </row>
    <row r="1366" spans="1:3" x14ac:dyDescent="0.2">
      <c r="A1366" s="10" t="str">
        <f>IF(1358&gt;$C$9008,"",INDEX($B$9:$B$9008,MATCH(1358,$C$9:$C$9008,0)))</f>
        <v/>
      </c>
      <c r="B1366" s="9" t="str">
        <f>IFERROR(INDEX(Input!$L$20:$T$1019,INT((ROW()-9)/9)+1,MOD(ROW()-9,9)+1),"")</f>
        <v/>
      </c>
      <c r="C1366" s="9">
        <f t="shared" si="21"/>
        <v>0</v>
      </c>
    </row>
    <row r="1367" spans="1:3" x14ac:dyDescent="0.2">
      <c r="A1367" s="10" t="str">
        <f>IF(1359&gt;$C$9008,"",INDEX($B$9:$B$9008,MATCH(1359,$C$9:$C$9008,0)))</f>
        <v/>
      </c>
      <c r="B1367" s="9" t="str">
        <f>IFERROR(INDEX(Input!$L$20:$T$1019,INT((ROW()-9)/9)+1,MOD(ROW()-9,9)+1),"")</f>
        <v/>
      </c>
      <c r="C1367" s="9">
        <f t="shared" si="21"/>
        <v>0</v>
      </c>
    </row>
    <row r="1368" spans="1:3" x14ac:dyDescent="0.2">
      <c r="A1368" s="10" t="str">
        <f>IF(1360&gt;$C$9008,"",INDEX($B$9:$B$9008,MATCH(1360,$C$9:$C$9008,0)))</f>
        <v/>
      </c>
      <c r="B1368" s="9" t="str">
        <f>IFERROR(INDEX(Input!$L$20:$T$1019,INT((ROW()-9)/9)+1,MOD(ROW()-9,9)+1),"")</f>
        <v/>
      </c>
      <c r="C1368" s="9">
        <f t="shared" si="21"/>
        <v>0</v>
      </c>
    </row>
    <row r="1369" spans="1:3" x14ac:dyDescent="0.2">
      <c r="A1369" s="10" t="str">
        <f>IF(1361&gt;$C$9008,"",INDEX($B$9:$B$9008,MATCH(1361,$C$9:$C$9008,0)))</f>
        <v/>
      </c>
      <c r="B1369" s="9" t="str">
        <f>IFERROR(INDEX(Input!$L$20:$T$1019,INT((ROW()-9)/9)+1,MOD(ROW()-9,9)+1),"")</f>
        <v/>
      </c>
      <c r="C1369" s="9">
        <f t="shared" si="21"/>
        <v>0</v>
      </c>
    </row>
    <row r="1370" spans="1:3" x14ac:dyDescent="0.2">
      <c r="A1370" s="10" t="str">
        <f>IF(1362&gt;$C$9008,"",INDEX($B$9:$B$9008,MATCH(1362,$C$9:$C$9008,0)))</f>
        <v/>
      </c>
      <c r="B1370" s="9" t="str">
        <f>IFERROR(INDEX(Input!$L$20:$T$1019,INT((ROW()-9)/9)+1,MOD(ROW()-9,9)+1),"")</f>
        <v/>
      </c>
      <c r="C1370" s="9">
        <f t="shared" si="21"/>
        <v>0</v>
      </c>
    </row>
    <row r="1371" spans="1:3" x14ac:dyDescent="0.2">
      <c r="A1371" s="10" t="str">
        <f>IF(1363&gt;$C$9008,"",INDEX($B$9:$B$9008,MATCH(1363,$C$9:$C$9008,0)))</f>
        <v/>
      </c>
      <c r="B1371" s="9" t="str">
        <f>IFERROR(INDEX(Input!$L$20:$T$1019,INT((ROW()-9)/9)+1,MOD(ROW()-9,9)+1),"")</f>
        <v/>
      </c>
      <c r="C1371" s="9">
        <f t="shared" si="21"/>
        <v>0</v>
      </c>
    </row>
    <row r="1372" spans="1:3" x14ac:dyDescent="0.2">
      <c r="A1372" s="10" t="str">
        <f>IF(1364&gt;$C$9008,"",INDEX($B$9:$B$9008,MATCH(1364,$C$9:$C$9008,0)))</f>
        <v/>
      </c>
      <c r="B1372" s="9" t="str">
        <f>IFERROR(INDEX(Input!$L$20:$T$1019,INT((ROW()-9)/9)+1,MOD(ROW()-9,9)+1),"")</f>
        <v/>
      </c>
      <c r="C1372" s="9">
        <f t="shared" si="21"/>
        <v>0</v>
      </c>
    </row>
    <row r="1373" spans="1:3" x14ac:dyDescent="0.2">
      <c r="A1373" s="10" t="str">
        <f>IF(1365&gt;$C$9008,"",INDEX($B$9:$B$9008,MATCH(1365,$C$9:$C$9008,0)))</f>
        <v/>
      </c>
      <c r="B1373" s="9" t="str">
        <f>IFERROR(INDEX(Input!$L$20:$T$1019,INT((ROW()-9)/9)+1,MOD(ROW()-9,9)+1),"")</f>
        <v/>
      </c>
      <c r="C1373" s="9">
        <f t="shared" si="21"/>
        <v>0</v>
      </c>
    </row>
    <row r="1374" spans="1:3" x14ac:dyDescent="0.2">
      <c r="A1374" s="10" t="str">
        <f>IF(1366&gt;$C$9008,"",INDEX($B$9:$B$9008,MATCH(1366,$C$9:$C$9008,0)))</f>
        <v/>
      </c>
      <c r="B1374" s="9" t="str">
        <f>IFERROR(INDEX(Input!$L$20:$T$1019,INT((ROW()-9)/9)+1,MOD(ROW()-9,9)+1),"")</f>
        <v/>
      </c>
      <c r="C1374" s="9">
        <f t="shared" si="21"/>
        <v>0</v>
      </c>
    </row>
    <row r="1375" spans="1:3" x14ac:dyDescent="0.2">
      <c r="A1375" s="10" t="str">
        <f>IF(1367&gt;$C$9008,"",INDEX($B$9:$B$9008,MATCH(1367,$C$9:$C$9008,0)))</f>
        <v/>
      </c>
      <c r="B1375" s="9" t="str">
        <f>IFERROR(INDEX(Input!$L$20:$T$1019,INT((ROW()-9)/9)+1,MOD(ROW()-9,9)+1),"")</f>
        <v/>
      </c>
      <c r="C1375" s="9">
        <f t="shared" si="21"/>
        <v>0</v>
      </c>
    </row>
    <row r="1376" spans="1:3" x14ac:dyDescent="0.2">
      <c r="A1376" s="10" t="str">
        <f>IF(1368&gt;$C$9008,"",INDEX($B$9:$B$9008,MATCH(1368,$C$9:$C$9008,0)))</f>
        <v/>
      </c>
      <c r="B1376" s="9" t="str">
        <f>IFERROR(INDEX(Input!$L$20:$T$1019,INT((ROW()-9)/9)+1,MOD(ROW()-9,9)+1),"")</f>
        <v/>
      </c>
      <c r="C1376" s="9">
        <f t="shared" si="21"/>
        <v>0</v>
      </c>
    </row>
    <row r="1377" spans="1:3" x14ac:dyDescent="0.2">
      <c r="A1377" s="10" t="str">
        <f>IF(1369&gt;$C$9008,"",INDEX($B$9:$B$9008,MATCH(1369,$C$9:$C$9008,0)))</f>
        <v/>
      </c>
      <c r="B1377" s="9" t="str">
        <f>IFERROR(INDEX(Input!$L$20:$T$1019,INT((ROW()-9)/9)+1,MOD(ROW()-9,9)+1),"")</f>
        <v/>
      </c>
      <c r="C1377" s="9">
        <f t="shared" si="21"/>
        <v>0</v>
      </c>
    </row>
    <row r="1378" spans="1:3" x14ac:dyDescent="0.2">
      <c r="A1378" s="10" t="str">
        <f>IF(1370&gt;$C$9008,"",INDEX($B$9:$B$9008,MATCH(1370,$C$9:$C$9008,0)))</f>
        <v/>
      </c>
      <c r="B1378" s="9" t="str">
        <f>IFERROR(INDEX(Input!$L$20:$T$1019,INT((ROW()-9)/9)+1,MOD(ROW()-9,9)+1),"")</f>
        <v/>
      </c>
      <c r="C1378" s="9">
        <f t="shared" si="21"/>
        <v>0</v>
      </c>
    </row>
    <row r="1379" spans="1:3" x14ac:dyDescent="0.2">
      <c r="A1379" s="10" t="str">
        <f>IF(1371&gt;$C$9008,"",INDEX($B$9:$B$9008,MATCH(1371,$C$9:$C$9008,0)))</f>
        <v/>
      </c>
      <c r="B1379" s="9" t="str">
        <f>IFERROR(INDEX(Input!$L$20:$T$1019,INT((ROW()-9)/9)+1,MOD(ROW()-9,9)+1),"")</f>
        <v/>
      </c>
      <c r="C1379" s="9">
        <f t="shared" si="21"/>
        <v>0</v>
      </c>
    </row>
    <row r="1380" spans="1:3" x14ac:dyDescent="0.2">
      <c r="A1380" s="10" t="str">
        <f>IF(1372&gt;$C$9008,"",INDEX($B$9:$B$9008,MATCH(1372,$C$9:$C$9008,0)))</f>
        <v/>
      </c>
      <c r="B1380" s="9" t="str">
        <f>IFERROR(INDEX(Input!$L$20:$T$1019,INT((ROW()-9)/9)+1,MOD(ROW()-9,9)+1),"")</f>
        <v/>
      </c>
      <c r="C1380" s="9">
        <f t="shared" si="21"/>
        <v>0</v>
      </c>
    </row>
    <row r="1381" spans="1:3" x14ac:dyDescent="0.2">
      <c r="A1381" s="10" t="str">
        <f>IF(1373&gt;$C$9008,"",INDEX($B$9:$B$9008,MATCH(1373,$C$9:$C$9008,0)))</f>
        <v/>
      </c>
      <c r="B1381" s="9" t="str">
        <f>IFERROR(INDEX(Input!$L$20:$T$1019,INT((ROW()-9)/9)+1,MOD(ROW()-9,9)+1),"")</f>
        <v/>
      </c>
      <c r="C1381" s="9">
        <f t="shared" si="21"/>
        <v>0</v>
      </c>
    </row>
    <row r="1382" spans="1:3" x14ac:dyDescent="0.2">
      <c r="A1382" s="10" t="str">
        <f>IF(1374&gt;$C$9008,"",INDEX($B$9:$B$9008,MATCH(1374,$C$9:$C$9008,0)))</f>
        <v/>
      </c>
      <c r="B1382" s="9" t="str">
        <f>IFERROR(INDEX(Input!$L$20:$T$1019,INT((ROW()-9)/9)+1,MOD(ROW()-9,9)+1),"")</f>
        <v/>
      </c>
      <c r="C1382" s="9">
        <f t="shared" si="21"/>
        <v>0</v>
      </c>
    </row>
    <row r="1383" spans="1:3" x14ac:dyDescent="0.2">
      <c r="A1383" s="10" t="str">
        <f>IF(1375&gt;$C$9008,"",INDEX($B$9:$B$9008,MATCH(1375,$C$9:$C$9008,0)))</f>
        <v/>
      </c>
      <c r="B1383" s="9" t="str">
        <f>IFERROR(INDEX(Input!$L$20:$T$1019,INT((ROW()-9)/9)+1,MOD(ROW()-9,9)+1),"")</f>
        <v/>
      </c>
      <c r="C1383" s="9">
        <f t="shared" si="21"/>
        <v>0</v>
      </c>
    </row>
    <row r="1384" spans="1:3" x14ac:dyDescent="0.2">
      <c r="A1384" s="10" t="str">
        <f>IF(1376&gt;$C$9008,"",INDEX($B$9:$B$9008,MATCH(1376,$C$9:$C$9008,0)))</f>
        <v/>
      </c>
      <c r="B1384" s="9" t="str">
        <f>IFERROR(INDEX(Input!$L$20:$T$1019,INT((ROW()-9)/9)+1,MOD(ROW()-9,9)+1),"")</f>
        <v/>
      </c>
      <c r="C1384" s="9">
        <f t="shared" si="21"/>
        <v>0</v>
      </c>
    </row>
    <row r="1385" spans="1:3" x14ac:dyDescent="0.2">
      <c r="A1385" s="10" t="str">
        <f>IF(1377&gt;$C$9008,"",INDEX($B$9:$B$9008,MATCH(1377,$C$9:$C$9008,0)))</f>
        <v/>
      </c>
      <c r="B1385" s="9" t="str">
        <f>IFERROR(INDEX(Input!$L$20:$T$1019,INT((ROW()-9)/9)+1,MOD(ROW()-9,9)+1),"")</f>
        <v/>
      </c>
      <c r="C1385" s="9">
        <f t="shared" si="21"/>
        <v>0</v>
      </c>
    </row>
    <row r="1386" spans="1:3" x14ac:dyDescent="0.2">
      <c r="A1386" s="10" t="str">
        <f>IF(1378&gt;$C$9008,"",INDEX($B$9:$B$9008,MATCH(1378,$C$9:$C$9008,0)))</f>
        <v/>
      </c>
      <c r="B1386" s="9" t="str">
        <f>IFERROR(INDEX(Input!$L$20:$T$1019,INT((ROW()-9)/9)+1,MOD(ROW()-9,9)+1),"")</f>
        <v/>
      </c>
      <c r="C1386" s="9">
        <f t="shared" si="21"/>
        <v>0</v>
      </c>
    </row>
    <row r="1387" spans="1:3" x14ac:dyDescent="0.2">
      <c r="A1387" s="10" t="str">
        <f>IF(1379&gt;$C$9008,"",INDEX($B$9:$B$9008,MATCH(1379,$C$9:$C$9008,0)))</f>
        <v/>
      </c>
      <c r="B1387" s="9" t="str">
        <f>IFERROR(INDEX(Input!$L$20:$T$1019,INT((ROW()-9)/9)+1,MOD(ROW()-9,9)+1),"")</f>
        <v/>
      </c>
      <c r="C1387" s="9">
        <f t="shared" si="21"/>
        <v>0</v>
      </c>
    </row>
    <row r="1388" spans="1:3" x14ac:dyDescent="0.2">
      <c r="A1388" s="10" t="str">
        <f>IF(1380&gt;$C$9008,"",INDEX($B$9:$B$9008,MATCH(1380,$C$9:$C$9008,0)))</f>
        <v/>
      </c>
      <c r="B1388" s="9" t="str">
        <f>IFERROR(INDEX(Input!$L$20:$T$1019,INT((ROW()-9)/9)+1,MOD(ROW()-9,9)+1),"")</f>
        <v/>
      </c>
      <c r="C1388" s="9">
        <f t="shared" si="21"/>
        <v>0</v>
      </c>
    </row>
    <row r="1389" spans="1:3" x14ac:dyDescent="0.2">
      <c r="A1389" s="10" t="str">
        <f>IF(1381&gt;$C$9008,"",INDEX($B$9:$B$9008,MATCH(1381,$C$9:$C$9008,0)))</f>
        <v/>
      </c>
      <c r="B1389" s="9" t="str">
        <f>IFERROR(INDEX(Input!$L$20:$T$1019,INT((ROW()-9)/9)+1,MOD(ROW()-9,9)+1),"")</f>
        <v/>
      </c>
      <c r="C1389" s="9">
        <f t="shared" si="21"/>
        <v>0</v>
      </c>
    </row>
    <row r="1390" spans="1:3" x14ac:dyDescent="0.2">
      <c r="A1390" s="10" t="str">
        <f>IF(1382&gt;$C$9008,"",INDEX($B$9:$B$9008,MATCH(1382,$C$9:$C$9008,0)))</f>
        <v/>
      </c>
      <c r="B1390" s="9" t="str">
        <f>IFERROR(INDEX(Input!$L$20:$T$1019,INT((ROW()-9)/9)+1,MOD(ROW()-9,9)+1),"")</f>
        <v/>
      </c>
      <c r="C1390" s="9">
        <f t="shared" si="21"/>
        <v>0</v>
      </c>
    </row>
    <row r="1391" spans="1:3" x14ac:dyDescent="0.2">
      <c r="A1391" s="10" t="str">
        <f>IF(1383&gt;$C$9008,"",INDEX($B$9:$B$9008,MATCH(1383,$C$9:$C$9008,0)))</f>
        <v/>
      </c>
      <c r="B1391" s="9" t="str">
        <f>IFERROR(INDEX(Input!$L$20:$T$1019,INT((ROW()-9)/9)+1,MOD(ROW()-9,9)+1),"")</f>
        <v/>
      </c>
      <c r="C1391" s="9">
        <f t="shared" si="21"/>
        <v>0</v>
      </c>
    </row>
    <row r="1392" spans="1:3" x14ac:dyDescent="0.2">
      <c r="A1392" s="10" t="str">
        <f>IF(1384&gt;$C$9008,"",INDEX($B$9:$B$9008,MATCH(1384,$C$9:$C$9008,0)))</f>
        <v/>
      </c>
      <c r="B1392" s="9" t="str">
        <f>IFERROR(INDEX(Input!$L$20:$T$1019,INT((ROW()-9)/9)+1,MOD(ROW()-9,9)+1),"")</f>
        <v/>
      </c>
      <c r="C1392" s="9">
        <f t="shared" si="21"/>
        <v>0</v>
      </c>
    </row>
    <row r="1393" spans="1:3" x14ac:dyDescent="0.2">
      <c r="A1393" s="10" t="str">
        <f>IF(1385&gt;$C$9008,"",INDEX($B$9:$B$9008,MATCH(1385,$C$9:$C$9008,0)))</f>
        <v/>
      </c>
      <c r="B1393" s="9" t="str">
        <f>IFERROR(INDEX(Input!$L$20:$T$1019,INT((ROW()-9)/9)+1,MOD(ROW()-9,9)+1),"")</f>
        <v/>
      </c>
      <c r="C1393" s="9">
        <f t="shared" si="21"/>
        <v>0</v>
      </c>
    </row>
    <row r="1394" spans="1:3" x14ac:dyDescent="0.2">
      <c r="A1394" s="10" t="str">
        <f>IF(1386&gt;$C$9008,"",INDEX($B$9:$B$9008,MATCH(1386,$C$9:$C$9008,0)))</f>
        <v/>
      </c>
      <c r="B1394" s="9" t="str">
        <f>IFERROR(INDEX(Input!$L$20:$T$1019,INT((ROW()-9)/9)+1,MOD(ROW()-9,9)+1),"")</f>
        <v/>
      </c>
      <c r="C1394" s="9">
        <f t="shared" si="21"/>
        <v>0</v>
      </c>
    </row>
    <row r="1395" spans="1:3" x14ac:dyDescent="0.2">
      <c r="A1395" s="10" t="str">
        <f>IF(1387&gt;$C$9008,"",INDEX($B$9:$B$9008,MATCH(1387,$C$9:$C$9008,0)))</f>
        <v/>
      </c>
      <c r="B1395" s="9" t="str">
        <f>IFERROR(INDEX(Input!$L$20:$T$1019,INT((ROW()-9)/9)+1,MOD(ROW()-9,9)+1),"")</f>
        <v/>
      </c>
      <c r="C1395" s="9">
        <f t="shared" si="21"/>
        <v>0</v>
      </c>
    </row>
    <row r="1396" spans="1:3" x14ac:dyDescent="0.2">
      <c r="A1396" s="10" t="str">
        <f>IF(1388&gt;$C$9008,"",INDEX($B$9:$B$9008,MATCH(1388,$C$9:$C$9008,0)))</f>
        <v/>
      </c>
      <c r="B1396" s="9" t="str">
        <f>IFERROR(INDEX(Input!$L$20:$T$1019,INT((ROW()-9)/9)+1,MOD(ROW()-9,9)+1),"")</f>
        <v/>
      </c>
      <c r="C1396" s="9">
        <f t="shared" si="21"/>
        <v>0</v>
      </c>
    </row>
    <row r="1397" spans="1:3" x14ac:dyDescent="0.2">
      <c r="A1397" s="10" t="str">
        <f>IF(1389&gt;$C$9008,"",INDEX($B$9:$B$9008,MATCH(1389,$C$9:$C$9008,0)))</f>
        <v/>
      </c>
      <c r="B1397" s="9" t="str">
        <f>IFERROR(INDEX(Input!$L$20:$T$1019,INT((ROW()-9)/9)+1,MOD(ROW()-9,9)+1),"")</f>
        <v/>
      </c>
      <c r="C1397" s="9">
        <f t="shared" si="21"/>
        <v>0</v>
      </c>
    </row>
    <row r="1398" spans="1:3" x14ac:dyDescent="0.2">
      <c r="A1398" s="10" t="str">
        <f>IF(1390&gt;$C$9008,"",INDEX($B$9:$B$9008,MATCH(1390,$C$9:$C$9008,0)))</f>
        <v/>
      </c>
      <c r="B1398" s="9" t="str">
        <f>IFERROR(INDEX(Input!$L$20:$T$1019,INT((ROW()-9)/9)+1,MOD(ROW()-9,9)+1),"")</f>
        <v/>
      </c>
      <c r="C1398" s="9">
        <f t="shared" si="21"/>
        <v>0</v>
      </c>
    </row>
    <row r="1399" spans="1:3" x14ac:dyDescent="0.2">
      <c r="A1399" s="10" t="str">
        <f>IF(1391&gt;$C$9008,"",INDEX($B$9:$B$9008,MATCH(1391,$C$9:$C$9008,0)))</f>
        <v/>
      </c>
      <c r="B1399" s="9" t="str">
        <f>IFERROR(INDEX(Input!$L$20:$T$1019,INT((ROW()-9)/9)+1,MOD(ROW()-9,9)+1),"")</f>
        <v/>
      </c>
      <c r="C1399" s="9">
        <f t="shared" si="21"/>
        <v>0</v>
      </c>
    </row>
    <row r="1400" spans="1:3" x14ac:dyDescent="0.2">
      <c r="A1400" s="10" t="str">
        <f>IF(1392&gt;$C$9008,"",INDEX($B$9:$B$9008,MATCH(1392,$C$9:$C$9008,0)))</f>
        <v/>
      </c>
      <c r="B1400" s="9" t="str">
        <f>IFERROR(INDEX(Input!$L$20:$T$1019,INT((ROW()-9)/9)+1,MOD(ROW()-9,9)+1),"")</f>
        <v/>
      </c>
      <c r="C1400" s="9">
        <f t="shared" si="21"/>
        <v>0</v>
      </c>
    </row>
    <row r="1401" spans="1:3" x14ac:dyDescent="0.2">
      <c r="A1401" s="10" t="str">
        <f>IF(1393&gt;$C$9008,"",INDEX($B$9:$B$9008,MATCH(1393,$C$9:$C$9008,0)))</f>
        <v/>
      </c>
      <c r="B1401" s="9" t="str">
        <f>IFERROR(INDEX(Input!$L$20:$T$1019,INT((ROW()-9)/9)+1,MOD(ROW()-9,9)+1),"")</f>
        <v/>
      </c>
      <c r="C1401" s="9">
        <f t="shared" si="21"/>
        <v>0</v>
      </c>
    </row>
    <row r="1402" spans="1:3" x14ac:dyDescent="0.2">
      <c r="A1402" s="10" t="str">
        <f>IF(1394&gt;$C$9008,"",INDEX($B$9:$B$9008,MATCH(1394,$C$9:$C$9008,0)))</f>
        <v/>
      </c>
      <c r="B1402" s="9" t="str">
        <f>IFERROR(INDEX(Input!$L$20:$T$1019,INT((ROW()-9)/9)+1,MOD(ROW()-9,9)+1),"")</f>
        <v/>
      </c>
      <c r="C1402" s="9">
        <f t="shared" si="21"/>
        <v>0</v>
      </c>
    </row>
    <row r="1403" spans="1:3" x14ac:dyDescent="0.2">
      <c r="A1403" s="10" t="str">
        <f>IF(1395&gt;$C$9008,"",INDEX($B$9:$B$9008,MATCH(1395,$C$9:$C$9008,0)))</f>
        <v/>
      </c>
      <c r="B1403" s="9" t="str">
        <f>IFERROR(INDEX(Input!$L$20:$T$1019,INT((ROW()-9)/9)+1,MOD(ROW()-9,9)+1),"")</f>
        <v/>
      </c>
      <c r="C1403" s="9">
        <f t="shared" si="21"/>
        <v>0</v>
      </c>
    </row>
    <row r="1404" spans="1:3" x14ac:dyDescent="0.2">
      <c r="A1404" s="10" t="str">
        <f>IF(1396&gt;$C$9008,"",INDEX($B$9:$B$9008,MATCH(1396,$C$9:$C$9008,0)))</f>
        <v/>
      </c>
      <c r="B1404" s="9" t="str">
        <f>IFERROR(INDEX(Input!$L$20:$T$1019,INT((ROW()-9)/9)+1,MOD(ROW()-9,9)+1),"")</f>
        <v/>
      </c>
      <c r="C1404" s="9">
        <f t="shared" si="21"/>
        <v>0</v>
      </c>
    </row>
    <row r="1405" spans="1:3" x14ac:dyDescent="0.2">
      <c r="A1405" s="10" t="str">
        <f>IF(1397&gt;$C$9008,"",INDEX($B$9:$B$9008,MATCH(1397,$C$9:$C$9008,0)))</f>
        <v/>
      </c>
      <c r="B1405" s="9" t="str">
        <f>IFERROR(INDEX(Input!$L$20:$T$1019,INT((ROW()-9)/9)+1,MOD(ROW()-9,9)+1),"")</f>
        <v/>
      </c>
      <c r="C1405" s="9">
        <f t="shared" si="21"/>
        <v>0</v>
      </c>
    </row>
    <row r="1406" spans="1:3" x14ac:dyDescent="0.2">
      <c r="A1406" s="10" t="str">
        <f>IF(1398&gt;$C$9008,"",INDEX($B$9:$B$9008,MATCH(1398,$C$9:$C$9008,0)))</f>
        <v/>
      </c>
      <c r="B1406" s="9" t="str">
        <f>IFERROR(INDEX(Input!$L$20:$T$1019,INT((ROW()-9)/9)+1,MOD(ROW()-9,9)+1),"")</f>
        <v/>
      </c>
      <c r="C1406" s="9">
        <f t="shared" si="21"/>
        <v>0</v>
      </c>
    </row>
    <row r="1407" spans="1:3" x14ac:dyDescent="0.2">
      <c r="A1407" s="10" t="str">
        <f>IF(1399&gt;$C$9008,"",INDEX($B$9:$B$9008,MATCH(1399,$C$9:$C$9008,0)))</f>
        <v/>
      </c>
      <c r="B1407" s="9" t="str">
        <f>IFERROR(INDEX(Input!$L$20:$T$1019,INT((ROW()-9)/9)+1,MOD(ROW()-9,9)+1),"")</f>
        <v/>
      </c>
      <c r="C1407" s="9">
        <f t="shared" si="21"/>
        <v>0</v>
      </c>
    </row>
    <row r="1408" spans="1:3" x14ac:dyDescent="0.2">
      <c r="A1408" s="10" t="str">
        <f>IF(1400&gt;$C$9008,"",INDEX($B$9:$B$9008,MATCH(1400,$C$9:$C$9008,0)))</f>
        <v/>
      </c>
      <c r="B1408" s="9" t="str">
        <f>IFERROR(INDEX(Input!$L$20:$T$1019,INT((ROW()-9)/9)+1,MOD(ROW()-9,9)+1),"")</f>
        <v/>
      </c>
      <c r="C1408" s="9">
        <f t="shared" si="21"/>
        <v>0</v>
      </c>
    </row>
    <row r="1409" spans="1:3" x14ac:dyDescent="0.2">
      <c r="A1409" s="10" t="str">
        <f>IF(1401&gt;$C$9008,"",INDEX($B$9:$B$9008,MATCH(1401,$C$9:$C$9008,0)))</f>
        <v/>
      </c>
      <c r="B1409" s="9" t="str">
        <f>IFERROR(INDEX(Input!$L$20:$T$1019,INT((ROW()-9)/9)+1,MOD(ROW()-9,9)+1),"")</f>
        <v/>
      </c>
      <c r="C1409" s="9">
        <f t="shared" si="21"/>
        <v>0</v>
      </c>
    </row>
    <row r="1410" spans="1:3" x14ac:dyDescent="0.2">
      <c r="A1410" s="10" t="str">
        <f>IF(1402&gt;$C$9008,"",INDEX($B$9:$B$9008,MATCH(1402,$C$9:$C$9008,0)))</f>
        <v/>
      </c>
      <c r="B1410" s="9" t="str">
        <f>IFERROR(INDEX(Input!$L$20:$T$1019,INT((ROW()-9)/9)+1,MOD(ROW()-9,9)+1),"")</f>
        <v/>
      </c>
      <c r="C1410" s="9">
        <f t="shared" si="21"/>
        <v>0</v>
      </c>
    </row>
    <row r="1411" spans="1:3" x14ac:dyDescent="0.2">
      <c r="A1411" s="10" t="str">
        <f>IF(1403&gt;$C$9008,"",INDEX($B$9:$B$9008,MATCH(1403,$C$9:$C$9008,0)))</f>
        <v/>
      </c>
      <c r="B1411" s="9" t="str">
        <f>IFERROR(INDEX(Input!$L$20:$T$1019,INT((ROW()-9)/9)+1,MOD(ROW()-9,9)+1),"")</f>
        <v/>
      </c>
      <c r="C1411" s="9">
        <f t="shared" si="21"/>
        <v>0</v>
      </c>
    </row>
    <row r="1412" spans="1:3" x14ac:dyDescent="0.2">
      <c r="A1412" s="10" t="str">
        <f>IF(1404&gt;$C$9008,"",INDEX($B$9:$B$9008,MATCH(1404,$C$9:$C$9008,0)))</f>
        <v/>
      </c>
      <c r="B1412" s="9" t="str">
        <f>IFERROR(INDEX(Input!$L$20:$T$1019,INT((ROW()-9)/9)+1,MOD(ROW()-9,9)+1),"")</f>
        <v/>
      </c>
      <c r="C1412" s="9">
        <f t="shared" si="21"/>
        <v>0</v>
      </c>
    </row>
    <row r="1413" spans="1:3" x14ac:dyDescent="0.2">
      <c r="A1413" s="10" t="str">
        <f>IF(1405&gt;$C$9008,"",INDEX($B$9:$B$9008,MATCH(1405,$C$9:$C$9008,0)))</f>
        <v/>
      </c>
      <c r="B1413" s="9" t="str">
        <f>IFERROR(INDEX(Input!$L$20:$T$1019,INT((ROW()-9)/9)+1,MOD(ROW()-9,9)+1),"")</f>
        <v/>
      </c>
      <c r="C1413" s="9">
        <f t="shared" si="21"/>
        <v>0</v>
      </c>
    </row>
    <row r="1414" spans="1:3" x14ac:dyDescent="0.2">
      <c r="A1414" s="10" t="str">
        <f>IF(1406&gt;$C$9008,"",INDEX($B$9:$B$9008,MATCH(1406,$C$9:$C$9008,0)))</f>
        <v/>
      </c>
      <c r="B1414" s="9" t="str">
        <f>IFERROR(INDEX(Input!$L$20:$T$1019,INT((ROW()-9)/9)+1,MOD(ROW()-9,9)+1),"")</f>
        <v/>
      </c>
      <c r="C1414" s="9">
        <f t="shared" si="21"/>
        <v>0</v>
      </c>
    </row>
    <row r="1415" spans="1:3" x14ac:dyDescent="0.2">
      <c r="A1415" s="10" t="str">
        <f>IF(1407&gt;$C$9008,"",INDEX($B$9:$B$9008,MATCH(1407,$C$9:$C$9008,0)))</f>
        <v/>
      </c>
      <c r="B1415" s="9" t="str">
        <f>IFERROR(INDEX(Input!$L$20:$T$1019,INT((ROW()-9)/9)+1,MOD(ROW()-9,9)+1),"")</f>
        <v/>
      </c>
      <c r="C1415" s="9">
        <f t="shared" si="21"/>
        <v>0</v>
      </c>
    </row>
    <row r="1416" spans="1:3" x14ac:dyDescent="0.2">
      <c r="A1416" s="10" t="str">
        <f>IF(1408&gt;$C$9008,"",INDEX($B$9:$B$9008,MATCH(1408,$C$9:$C$9008,0)))</f>
        <v/>
      </c>
      <c r="B1416" s="9" t="str">
        <f>IFERROR(INDEX(Input!$L$20:$T$1019,INT((ROW()-9)/9)+1,MOD(ROW()-9,9)+1),"")</f>
        <v/>
      </c>
      <c r="C1416" s="9">
        <f t="shared" si="21"/>
        <v>0</v>
      </c>
    </row>
    <row r="1417" spans="1:3" x14ac:dyDescent="0.2">
      <c r="A1417" s="10" t="str">
        <f>IF(1409&gt;$C$9008,"",INDEX($B$9:$B$9008,MATCH(1409,$C$9:$C$9008,0)))</f>
        <v/>
      </c>
      <c r="B1417" s="9" t="str">
        <f>IFERROR(INDEX(Input!$L$20:$T$1019,INT((ROW()-9)/9)+1,MOD(ROW()-9,9)+1),"")</f>
        <v/>
      </c>
      <c r="C1417" s="9">
        <f t="shared" ref="C1417:C1480" si="22">$C1416+IF($B1417&lt;&gt;"",1,0)</f>
        <v>0</v>
      </c>
    </row>
    <row r="1418" spans="1:3" x14ac:dyDescent="0.2">
      <c r="A1418" s="10" t="str">
        <f>IF(1410&gt;$C$9008,"",INDEX($B$9:$B$9008,MATCH(1410,$C$9:$C$9008,0)))</f>
        <v/>
      </c>
      <c r="B1418" s="9" t="str">
        <f>IFERROR(INDEX(Input!$L$20:$T$1019,INT((ROW()-9)/9)+1,MOD(ROW()-9,9)+1),"")</f>
        <v/>
      </c>
      <c r="C1418" s="9">
        <f t="shared" si="22"/>
        <v>0</v>
      </c>
    </row>
    <row r="1419" spans="1:3" x14ac:dyDescent="0.2">
      <c r="A1419" s="10" t="str">
        <f>IF(1411&gt;$C$9008,"",INDEX($B$9:$B$9008,MATCH(1411,$C$9:$C$9008,0)))</f>
        <v/>
      </c>
      <c r="B1419" s="9" t="str">
        <f>IFERROR(INDEX(Input!$L$20:$T$1019,INT((ROW()-9)/9)+1,MOD(ROW()-9,9)+1),"")</f>
        <v/>
      </c>
      <c r="C1419" s="9">
        <f t="shared" si="22"/>
        <v>0</v>
      </c>
    </row>
    <row r="1420" spans="1:3" x14ac:dyDescent="0.2">
      <c r="A1420" s="10" t="str">
        <f>IF(1412&gt;$C$9008,"",INDEX($B$9:$B$9008,MATCH(1412,$C$9:$C$9008,0)))</f>
        <v/>
      </c>
      <c r="B1420" s="9" t="str">
        <f>IFERROR(INDEX(Input!$L$20:$T$1019,INT((ROW()-9)/9)+1,MOD(ROW()-9,9)+1),"")</f>
        <v/>
      </c>
      <c r="C1420" s="9">
        <f t="shared" si="22"/>
        <v>0</v>
      </c>
    </row>
    <row r="1421" spans="1:3" x14ac:dyDescent="0.2">
      <c r="A1421" s="10" t="str">
        <f>IF(1413&gt;$C$9008,"",INDEX($B$9:$B$9008,MATCH(1413,$C$9:$C$9008,0)))</f>
        <v/>
      </c>
      <c r="B1421" s="9" t="str">
        <f>IFERROR(INDEX(Input!$L$20:$T$1019,INT((ROW()-9)/9)+1,MOD(ROW()-9,9)+1),"")</f>
        <v/>
      </c>
      <c r="C1421" s="9">
        <f t="shared" si="22"/>
        <v>0</v>
      </c>
    </row>
    <row r="1422" spans="1:3" x14ac:dyDescent="0.2">
      <c r="A1422" s="10" t="str">
        <f>IF(1414&gt;$C$9008,"",INDEX($B$9:$B$9008,MATCH(1414,$C$9:$C$9008,0)))</f>
        <v/>
      </c>
      <c r="B1422" s="9" t="str">
        <f>IFERROR(INDEX(Input!$L$20:$T$1019,INT((ROW()-9)/9)+1,MOD(ROW()-9,9)+1),"")</f>
        <v/>
      </c>
      <c r="C1422" s="9">
        <f t="shared" si="22"/>
        <v>0</v>
      </c>
    </row>
    <row r="1423" spans="1:3" x14ac:dyDescent="0.2">
      <c r="A1423" s="10" t="str">
        <f>IF(1415&gt;$C$9008,"",INDEX($B$9:$B$9008,MATCH(1415,$C$9:$C$9008,0)))</f>
        <v/>
      </c>
      <c r="B1423" s="9" t="str">
        <f>IFERROR(INDEX(Input!$L$20:$T$1019,INT((ROW()-9)/9)+1,MOD(ROW()-9,9)+1),"")</f>
        <v/>
      </c>
      <c r="C1423" s="9">
        <f t="shared" si="22"/>
        <v>0</v>
      </c>
    </row>
    <row r="1424" spans="1:3" x14ac:dyDescent="0.2">
      <c r="A1424" s="10" t="str">
        <f>IF(1416&gt;$C$9008,"",INDEX($B$9:$B$9008,MATCH(1416,$C$9:$C$9008,0)))</f>
        <v/>
      </c>
      <c r="B1424" s="9" t="str">
        <f>IFERROR(INDEX(Input!$L$20:$T$1019,INT((ROW()-9)/9)+1,MOD(ROW()-9,9)+1),"")</f>
        <v/>
      </c>
      <c r="C1424" s="9">
        <f t="shared" si="22"/>
        <v>0</v>
      </c>
    </row>
    <row r="1425" spans="1:3" x14ac:dyDescent="0.2">
      <c r="A1425" s="10" t="str">
        <f>IF(1417&gt;$C$9008,"",INDEX($B$9:$B$9008,MATCH(1417,$C$9:$C$9008,0)))</f>
        <v/>
      </c>
      <c r="B1425" s="9" t="str">
        <f>IFERROR(INDEX(Input!$L$20:$T$1019,INT((ROW()-9)/9)+1,MOD(ROW()-9,9)+1),"")</f>
        <v/>
      </c>
      <c r="C1425" s="9">
        <f t="shared" si="22"/>
        <v>0</v>
      </c>
    </row>
    <row r="1426" spans="1:3" x14ac:dyDescent="0.2">
      <c r="A1426" s="10" t="str">
        <f>IF(1418&gt;$C$9008,"",INDEX($B$9:$B$9008,MATCH(1418,$C$9:$C$9008,0)))</f>
        <v/>
      </c>
      <c r="B1426" s="9" t="str">
        <f>IFERROR(INDEX(Input!$L$20:$T$1019,INT((ROW()-9)/9)+1,MOD(ROW()-9,9)+1),"")</f>
        <v/>
      </c>
      <c r="C1426" s="9">
        <f t="shared" si="22"/>
        <v>0</v>
      </c>
    </row>
    <row r="1427" spans="1:3" x14ac:dyDescent="0.2">
      <c r="A1427" s="10" t="str">
        <f>IF(1419&gt;$C$9008,"",INDEX($B$9:$B$9008,MATCH(1419,$C$9:$C$9008,0)))</f>
        <v/>
      </c>
      <c r="B1427" s="9" t="str">
        <f>IFERROR(INDEX(Input!$L$20:$T$1019,INT((ROW()-9)/9)+1,MOD(ROW()-9,9)+1),"")</f>
        <v/>
      </c>
      <c r="C1427" s="9">
        <f t="shared" si="22"/>
        <v>0</v>
      </c>
    </row>
    <row r="1428" spans="1:3" x14ac:dyDescent="0.2">
      <c r="A1428" s="10" t="str">
        <f>IF(1420&gt;$C$9008,"",INDEX($B$9:$B$9008,MATCH(1420,$C$9:$C$9008,0)))</f>
        <v/>
      </c>
      <c r="B1428" s="9" t="str">
        <f>IFERROR(INDEX(Input!$L$20:$T$1019,INT((ROW()-9)/9)+1,MOD(ROW()-9,9)+1),"")</f>
        <v/>
      </c>
      <c r="C1428" s="9">
        <f t="shared" si="22"/>
        <v>0</v>
      </c>
    </row>
    <row r="1429" spans="1:3" x14ac:dyDescent="0.2">
      <c r="A1429" s="10" t="str">
        <f>IF(1421&gt;$C$9008,"",INDEX($B$9:$B$9008,MATCH(1421,$C$9:$C$9008,0)))</f>
        <v/>
      </c>
      <c r="B1429" s="9" t="str">
        <f>IFERROR(INDEX(Input!$L$20:$T$1019,INT((ROW()-9)/9)+1,MOD(ROW()-9,9)+1),"")</f>
        <v/>
      </c>
      <c r="C1429" s="9">
        <f t="shared" si="22"/>
        <v>0</v>
      </c>
    </row>
    <row r="1430" spans="1:3" x14ac:dyDescent="0.2">
      <c r="A1430" s="10" t="str">
        <f>IF(1422&gt;$C$9008,"",INDEX($B$9:$B$9008,MATCH(1422,$C$9:$C$9008,0)))</f>
        <v/>
      </c>
      <c r="B1430" s="9" t="str">
        <f>IFERROR(INDEX(Input!$L$20:$T$1019,INT((ROW()-9)/9)+1,MOD(ROW()-9,9)+1),"")</f>
        <v/>
      </c>
      <c r="C1430" s="9">
        <f t="shared" si="22"/>
        <v>0</v>
      </c>
    </row>
    <row r="1431" spans="1:3" x14ac:dyDescent="0.2">
      <c r="A1431" s="10" t="str">
        <f>IF(1423&gt;$C$9008,"",INDEX($B$9:$B$9008,MATCH(1423,$C$9:$C$9008,0)))</f>
        <v/>
      </c>
      <c r="B1431" s="9" t="str">
        <f>IFERROR(INDEX(Input!$L$20:$T$1019,INT((ROW()-9)/9)+1,MOD(ROW()-9,9)+1),"")</f>
        <v/>
      </c>
      <c r="C1431" s="9">
        <f t="shared" si="22"/>
        <v>0</v>
      </c>
    </row>
    <row r="1432" spans="1:3" x14ac:dyDescent="0.2">
      <c r="A1432" s="10" t="str">
        <f>IF(1424&gt;$C$9008,"",INDEX($B$9:$B$9008,MATCH(1424,$C$9:$C$9008,0)))</f>
        <v/>
      </c>
      <c r="B1432" s="9" t="str">
        <f>IFERROR(INDEX(Input!$L$20:$T$1019,INT((ROW()-9)/9)+1,MOD(ROW()-9,9)+1),"")</f>
        <v/>
      </c>
      <c r="C1432" s="9">
        <f t="shared" si="22"/>
        <v>0</v>
      </c>
    </row>
    <row r="1433" spans="1:3" x14ac:dyDescent="0.2">
      <c r="A1433" s="10" t="str">
        <f>IF(1425&gt;$C$9008,"",INDEX($B$9:$B$9008,MATCH(1425,$C$9:$C$9008,0)))</f>
        <v/>
      </c>
      <c r="B1433" s="9" t="str">
        <f>IFERROR(INDEX(Input!$L$20:$T$1019,INT((ROW()-9)/9)+1,MOD(ROW()-9,9)+1),"")</f>
        <v/>
      </c>
      <c r="C1433" s="9">
        <f t="shared" si="22"/>
        <v>0</v>
      </c>
    </row>
    <row r="1434" spans="1:3" x14ac:dyDescent="0.2">
      <c r="A1434" s="10" t="str">
        <f>IF(1426&gt;$C$9008,"",INDEX($B$9:$B$9008,MATCH(1426,$C$9:$C$9008,0)))</f>
        <v/>
      </c>
      <c r="B1434" s="9" t="str">
        <f>IFERROR(INDEX(Input!$L$20:$T$1019,INT((ROW()-9)/9)+1,MOD(ROW()-9,9)+1),"")</f>
        <v/>
      </c>
      <c r="C1434" s="9">
        <f t="shared" si="22"/>
        <v>0</v>
      </c>
    </row>
    <row r="1435" spans="1:3" x14ac:dyDescent="0.2">
      <c r="A1435" s="10" t="str">
        <f>IF(1427&gt;$C$9008,"",INDEX($B$9:$B$9008,MATCH(1427,$C$9:$C$9008,0)))</f>
        <v/>
      </c>
      <c r="B1435" s="9" t="str">
        <f>IFERROR(INDEX(Input!$L$20:$T$1019,INT((ROW()-9)/9)+1,MOD(ROW()-9,9)+1),"")</f>
        <v/>
      </c>
      <c r="C1435" s="9">
        <f t="shared" si="22"/>
        <v>0</v>
      </c>
    </row>
    <row r="1436" spans="1:3" x14ac:dyDescent="0.2">
      <c r="A1436" s="10" t="str">
        <f>IF(1428&gt;$C$9008,"",INDEX($B$9:$B$9008,MATCH(1428,$C$9:$C$9008,0)))</f>
        <v/>
      </c>
      <c r="B1436" s="9" t="str">
        <f>IFERROR(INDEX(Input!$L$20:$T$1019,INT((ROW()-9)/9)+1,MOD(ROW()-9,9)+1),"")</f>
        <v/>
      </c>
      <c r="C1436" s="9">
        <f t="shared" si="22"/>
        <v>0</v>
      </c>
    </row>
    <row r="1437" spans="1:3" x14ac:dyDescent="0.2">
      <c r="A1437" s="10" t="str">
        <f>IF(1429&gt;$C$9008,"",INDEX($B$9:$B$9008,MATCH(1429,$C$9:$C$9008,0)))</f>
        <v/>
      </c>
      <c r="B1437" s="9" t="str">
        <f>IFERROR(INDEX(Input!$L$20:$T$1019,INT((ROW()-9)/9)+1,MOD(ROW()-9,9)+1),"")</f>
        <v/>
      </c>
      <c r="C1437" s="9">
        <f t="shared" si="22"/>
        <v>0</v>
      </c>
    </row>
    <row r="1438" spans="1:3" x14ac:dyDescent="0.2">
      <c r="A1438" s="10" t="str">
        <f>IF(1430&gt;$C$9008,"",INDEX($B$9:$B$9008,MATCH(1430,$C$9:$C$9008,0)))</f>
        <v/>
      </c>
      <c r="B1438" s="9" t="str">
        <f>IFERROR(INDEX(Input!$L$20:$T$1019,INT((ROW()-9)/9)+1,MOD(ROW()-9,9)+1),"")</f>
        <v/>
      </c>
      <c r="C1438" s="9">
        <f t="shared" si="22"/>
        <v>0</v>
      </c>
    </row>
    <row r="1439" spans="1:3" x14ac:dyDescent="0.2">
      <c r="A1439" s="10" t="str">
        <f>IF(1431&gt;$C$9008,"",INDEX($B$9:$B$9008,MATCH(1431,$C$9:$C$9008,0)))</f>
        <v/>
      </c>
      <c r="B1439" s="9" t="str">
        <f>IFERROR(INDEX(Input!$L$20:$T$1019,INT((ROW()-9)/9)+1,MOD(ROW()-9,9)+1),"")</f>
        <v/>
      </c>
      <c r="C1439" s="9">
        <f t="shared" si="22"/>
        <v>0</v>
      </c>
    </row>
    <row r="1440" spans="1:3" x14ac:dyDescent="0.2">
      <c r="A1440" s="10" t="str">
        <f>IF(1432&gt;$C$9008,"",INDEX($B$9:$B$9008,MATCH(1432,$C$9:$C$9008,0)))</f>
        <v/>
      </c>
      <c r="B1440" s="9" t="str">
        <f>IFERROR(INDEX(Input!$L$20:$T$1019,INT((ROW()-9)/9)+1,MOD(ROW()-9,9)+1),"")</f>
        <v/>
      </c>
      <c r="C1440" s="9">
        <f t="shared" si="22"/>
        <v>0</v>
      </c>
    </row>
    <row r="1441" spans="1:3" x14ac:dyDescent="0.2">
      <c r="A1441" s="10" t="str">
        <f>IF(1433&gt;$C$9008,"",INDEX($B$9:$B$9008,MATCH(1433,$C$9:$C$9008,0)))</f>
        <v/>
      </c>
      <c r="B1441" s="9" t="str">
        <f>IFERROR(INDEX(Input!$L$20:$T$1019,INT((ROW()-9)/9)+1,MOD(ROW()-9,9)+1),"")</f>
        <v/>
      </c>
      <c r="C1441" s="9">
        <f t="shared" si="22"/>
        <v>0</v>
      </c>
    </row>
    <row r="1442" spans="1:3" x14ac:dyDescent="0.2">
      <c r="A1442" s="10" t="str">
        <f>IF(1434&gt;$C$9008,"",INDEX($B$9:$B$9008,MATCH(1434,$C$9:$C$9008,0)))</f>
        <v/>
      </c>
      <c r="B1442" s="9" t="str">
        <f>IFERROR(INDEX(Input!$L$20:$T$1019,INT((ROW()-9)/9)+1,MOD(ROW()-9,9)+1),"")</f>
        <v/>
      </c>
      <c r="C1442" s="9">
        <f t="shared" si="22"/>
        <v>0</v>
      </c>
    </row>
    <row r="1443" spans="1:3" x14ac:dyDescent="0.2">
      <c r="A1443" s="10" t="str">
        <f>IF(1435&gt;$C$9008,"",INDEX($B$9:$B$9008,MATCH(1435,$C$9:$C$9008,0)))</f>
        <v/>
      </c>
      <c r="B1443" s="9" t="str">
        <f>IFERROR(INDEX(Input!$L$20:$T$1019,INT((ROW()-9)/9)+1,MOD(ROW()-9,9)+1),"")</f>
        <v/>
      </c>
      <c r="C1443" s="9">
        <f t="shared" si="22"/>
        <v>0</v>
      </c>
    </row>
    <row r="1444" spans="1:3" x14ac:dyDescent="0.2">
      <c r="A1444" s="10" t="str">
        <f>IF(1436&gt;$C$9008,"",INDEX($B$9:$B$9008,MATCH(1436,$C$9:$C$9008,0)))</f>
        <v/>
      </c>
      <c r="B1444" s="9" t="str">
        <f>IFERROR(INDEX(Input!$L$20:$T$1019,INT((ROW()-9)/9)+1,MOD(ROW()-9,9)+1),"")</f>
        <v/>
      </c>
      <c r="C1444" s="9">
        <f t="shared" si="22"/>
        <v>0</v>
      </c>
    </row>
    <row r="1445" spans="1:3" x14ac:dyDescent="0.2">
      <c r="A1445" s="10" t="str">
        <f>IF(1437&gt;$C$9008,"",INDEX($B$9:$B$9008,MATCH(1437,$C$9:$C$9008,0)))</f>
        <v/>
      </c>
      <c r="B1445" s="9" t="str">
        <f>IFERROR(INDEX(Input!$L$20:$T$1019,INT((ROW()-9)/9)+1,MOD(ROW()-9,9)+1),"")</f>
        <v/>
      </c>
      <c r="C1445" s="9">
        <f t="shared" si="22"/>
        <v>0</v>
      </c>
    </row>
    <row r="1446" spans="1:3" x14ac:dyDescent="0.2">
      <c r="A1446" s="10" t="str">
        <f>IF(1438&gt;$C$9008,"",INDEX($B$9:$B$9008,MATCH(1438,$C$9:$C$9008,0)))</f>
        <v/>
      </c>
      <c r="B1446" s="9" t="str">
        <f>IFERROR(INDEX(Input!$L$20:$T$1019,INT((ROW()-9)/9)+1,MOD(ROW()-9,9)+1),"")</f>
        <v/>
      </c>
      <c r="C1446" s="9">
        <f t="shared" si="22"/>
        <v>0</v>
      </c>
    </row>
    <row r="1447" spans="1:3" x14ac:dyDescent="0.2">
      <c r="A1447" s="10" t="str">
        <f>IF(1439&gt;$C$9008,"",INDEX($B$9:$B$9008,MATCH(1439,$C$9:$C$9008,0)))</f>
        <v/>
      </c>
      <c r="B1447" s="9" t="str">
        <f>IFERROR(INDEX(Input!$L$20:$T$1019,INT((ROW()-9)/9)+1,MOD(ROW()-9,9)+1),"")</f>
        <v/>
      </c>
      <c r="C1447" s="9">
        <f t="shared" si="22"/>
        <v>0</v>
      </c>
    </row>
    <row r="1448" spans="1:3" x14ac:dyDescent="0.2">
      <c r="A1448" s="10" t="str">
        <f>IF(1440&gt;$C$9008,"",INDEX($B$9:$B$9008,MATCH(1440,$C$9:$C$9008,0)))</f>
        <v/>
      </c>
      <c r="B1448" s="9" t="str">
        <f>IFERROR(INDEX(Input!$L$20:$T$1019,INT((ROW()-9)/9)+1,MOD(ROW()-9,9)+1),"")</f>
        <v/>
      </c>
      <c r="C1448" s="9">
        <f t="shared" si="22"/>
        <v>0</v>
      </c>
    </row>
    <row r="1449" spans="1:3" x14ac:dyDescent="0.2">
      <c r="A1449" s="10" t="str">
        <f>IF(1441&gt;$C$9008,"",INDEX($B$9:$B$9008,MATCH(1441,$C$9:$C$9008,0)))</f>
        <v/>
      </c>
      <c r="B1449" s="9" t="str">
        <f>IFERROR(INDEX(Input!$L$20:$T$1019,INT((ROW()-9)/9)+1,MOD(ROW()-9,9)+1),"")</f>
        <v/>
      </c>
      <c r="C1449" s="9">
        <f t="shared" si="22"/>
        <v>0</v>
      </c>
    </row>
    <row r="1450" spans="1:3" x14ac:dyDescent="0.2">
      <c r="A1450" s="10" t="str">
        <f>IF(1442&gt;$C$9008,"",INDEX($B$9:$B$9008,MATCH(1442,$C$9:$C$9008,0)))</f>
        <v/>
      </c>
      <c r="B1450" s="9" t="str">
        <f>IFERROR(INDEX(Input!$L$20:$T$1019,INT((ROW()-9)/9)+1,MOD(ROW()-9,9)+1),"")</f>
        <v/>
      </c>
      <c r="C1450" s="9">
        <f t="shared" si="22"/>
        <v>0</v>
      </c>
    </row>
    <row r="1451" spans="1:3" x14ac:dyDescent="0.2">
      <c r="A1451" s="10" t="str">
        <f>IF(1443&gt;$C$9008,"",INDEX($B$9:$B$9008,MATCH(1443,$C$9:$C$9008,0)))</f>
        <v/>
      </c>
      <c r="B1451" s="9" t="str">
        <f>IFERROR(INDEX(Input!$L$20:$T$1019,INT((ROW()-9)/9)+1,MOD(ROW()-9,9)+1),"")</f>
        <v/>
      </c>
      <c r="C1451" s="9">
        <f t="shared" si="22"/>
        <v>0</v>
      </c>
    </row>
    <row r="1452" spans="1:3" x14ac:dyDescent="0.2">
      <c r="A1452" s="10" t="str">
        <f>IF(1444&gt;$C$9008,"",INDEX($B$9:$B$9008,MATCH(1444,$C$9:$C$9008,0)))</f>
        <v/>
      </c>
      <c r="B1452" s="9" t="str">
        <f>IFERROR(INDEX(Input!$L$20:$T$1019,INT((ROW()-9)/9)+1,MOD(ROW()-9,9)+1),"")</f>
        <v/>
      </c>
      <c r="C1452" s="9">
        <f t="shared" si="22"/>
        <v>0</v>
      </c>
    </row>
    <row r="1453" spans="1:3" x14ac:dyDescent="0.2">
      <c r="A1453" s="10" t="str">
        <f>IF(1445&gt;$C$9008,"",INDEX($B$9:$B$9008,MATCH(1445,$C$9:$C$9008,0)))</f>
        <v/>
      </c>
      <c r="B1453" s="9" t="str">
        <f>IFERROR(INDEX(Input!$L$20:$T$1019,INT((ROW()-9)/9)+1,MOD(ROW()-9,9)+1),"")</f>
        <v/>
      </c>
      <c r="C1453" s="9">
        <f t="shared" si="22"/>
        <v>0</v>
      </c>
    </row>
    <row r="1454" spans="1:3" x14ac:dyDescent="0.2">
      <c r="A1454" s="10" t="str">
        <f>IF(1446&gt;$C$9008,"",INDEX($B$9:$B$9008,MATCH(1446,$C$9:$C$9008,0)))</f>
        <v/>
      </c>
      <c r="B1454" s="9" t="str">
        <f>IFERROR(INDEX(Input!$L$20:$T$1019,INT((ROW()-9)/9)+1,MOD(ROW()-9,9)+1),"")</f>
        <v/>
      </c>
      <c r="C1454" s="9">
        <f t="shared" si="22"/>
        <v>0</v>
      </c>
    </row>
    <row r="1455" spans="1:3" x14ac:dyDescent="0.2">
      <c r="A1455" s="10" t="str">
        <f>IF(1447&gt;$C$9008,"",INDEX($B$9:$B$9008,MATCH(1447,$C$9:$C$9008,0)))</f>
        <v/>
      </c>
      <c r="B1455" s="9" t="str">
        <f>IFERROR(INDEX(Input!$L$20:$T$1019,INT((ROW()-9)/9)+1,MOD(ROW()-9,9)+1),"")</f>
        <v/>
      </c>
      <c r="C1455" s="9">
        <f t="shared" si="22"/>
        <v>0</v>
      </c>
    </row>
    <row r="1456" spans="1:3" x14ac:dyDescent="0.2">
      <c r="A1456" s="10" t="str">
        <f>IF(1448&gt;$C$9008,"",INDEX($B$9:$B$9008,MATCH(1448,$C$9:$C$9008,0)))</f>
        <v/>
      </c>
      <c r="B1456" s="9" t="str">
        <f>IFERROR(INDEX(Input!$L$20:$T$1019,INT((ROW()-9)/9)+1,MOD(ROW()-9,9)+1),"")</f>
        <v/>
      </c>
      <c r="C1456" s="9">
        <f t="shared" si="22"/>
        <v>0</v>
      </c>
    </row>
    <row r="1457" spans="1:3" x14ac:dyDescent="0.2">
      <c r="A1457" s="10" t="str">
        <f>IF(1449&gt;$C$9008,"",INDEX($B$9:$B$9008,MATCH(1449,$C$9:$C$9008,0)))</f>
        <v/>
      </c>
      <c r="B1457" s="9" t="str">
        <f>IFERROR(INDEX(Input!$L$20:$T$1019,INT((ROW()-9)/9)+1,MOD(ROW()-9,9)+1),"")</f>
        <v/>
      </c>
      <c r="C1457" s="9">
        <f t="shared" si="22"/>
        <v>0</v>
      </c>
    </row>
    <row r="1458" spans="1:3" x14ac:dyDescent="0.2">
      <c r="A1458" s="10" t="str">
        <f>IF(1450&gt;$C$9008,"",INDEX($B$9:$B$9008,MATCH(1450,$C$9:$C$9008,0)))</f>
        <v/>
      </c>
      <c r="B1458" s="9" t="str">
        <f>IFERROR(INDEX(Input!$L$20:$T$1019,INT((ROW()-9)/9)+1,MOD(ROW()-9,9)+1),"")</f>
        <v/>
      </c>
      <c r="C1458" s="9">
        <f t="shared" si="22"/>
        <v>0</v>
      </c>
    </row>
    <row r="1459" spans="1:3" x14ac:dyDescent="0.2">
      <c r="A1459" s="10" t="str">
        <f>IF(1451&gt;$C$9008,"",INDEX($B$9:$B$9008,MATCH(1451,$C$9:$C$9008,0)))</f>
        <v/>
      </c>
      <c r="B1459" s="9" t="str">
        <f>IFERROR(INDEX(Input!$L$20:$T$1019,INT((ROW()-9)/9)+1,MOD(ROW()-9,9)+1),"")</f>
        <v/>
      </c>
      <c r="C1459" s="9">
        <f t="shared" si="22"/>
        <v>0</v>
      </c>
    </row>
    <row r="1460" spans="1:3" x14ac:dyDescent="0.2">
      <c r="A1460" s="10" t="str">
        <f>IF(1452&gt;$C$9008,"",INDEX($B$9:$B$9008,MATCH(1452,$C$9:$C$9008,0)))</f>
        <v/>
      </c>
      <c r="B1460" s="9" t="str">
        <f>IFERROR(INDEX(Input!$L$20:$T$1019,INT((ROW()-9)/9)+1,MOD(ROW()-9,9)+1),"")</f>
        <v/>
      </c>
      <c r="C1460" s="9">
        <f t="shared" si="22"/>
        <v>0</v>
      </c>
    </row>
    <row r="1461" spans="1:3" x14ac:dyDescent="0.2">
      <c r="A1461" s="10" t="str">
        <f>IF(1453&gt;$C$9008,"",INDEX($B$9:$B$9008,MATCH(1453,$C$9:$C$9008,0)))</f>
        <v/>
      </c>
      <c r="B1461" s="9" t="str">
        <f>IFERROR(INDEX(Input!$L$20:$T$1019,INT((ROW()-9)/9)+1,MOD(ROW()-9,9)+1),"")</f>
        <v/>
      </c>
      <c r="C1461" s="9">
        <f t="shared" si="22"/>
        <v>0</v>
      </c>
    </row>
    <row r="1462" spans="1:3" x14ac:dyDescent="0.2">
      <c r="A1462" s="10" t="str">
        <f>IF(1454&gt;$C$9008,"",INDEX($B$9:$B$9008,MATCH(1454,$C$9:$C$9008,0)))</f>
        <v/>
      </c>
      <c r="B1462" s="9" t="str">
        <f>IFERROR(INDEX(Input!$L$20:$T$1019,INT((ROW()-9)/9)+1,MOD(ROW()-9,9)+1),"")</f>
        <v/>
      </c>
      <c r="C1462" s="9">
        <f t="shared" si="22"/>
        <v>0</v>
      </c>
    </row>
    <row r="1463" spans="1:3" x14ac:dyDescent="0.2">
      <c r="A1463" s="10" t="str">
        <f>IF(1455&gt;$C$9008,"",INDEX($B$9:$B$9008,MATCH(1455,$C$9:$C$9008,0)))</f>
        <v/>
      </c>
      <c r="B1463" s="9" t="str">
        <f>IFERROR(INDEX(Input!$L$20:$T$1019,INT((ROW()-9)/9)+1,MOD(ROW()-9,9)+1),"")</f>
        <v/>
      </c>
      <c r="C1463" s="9">
        <f t="shared" si="22"/>
        <v>0</v>
      </c>
    </row>
    <row r="1464" spans="1:3" x14ac:dyDescent="0.2">
      <c r="A1464" s="10" t="str">
        <f>IF(1456&gt;$C$9008,"",INDEX($B$9:$B$9008,MATCH(1456,$C$9:$C$9008,0)))</f>
        <v/>
      </c>
      <c r="B1464" s="9" t="str">
        <f>IFERROR(INDEX(Input!$L$20:$T$1019,INT((ROW()-9)/9)+1,MOD(ROW()-9,9)+1),"")</f>
        <v/>
      </c>
      <c r="C1464" s="9">
        <f t="shared" si="22"/>
        <v>0</v>
      </c>
    </row>
    <row r="1465" spans="1:3" x14ac:dyDescent="0.2">
      <c r="A1465" s="10" t="str">
        <f>IF(1457&gt;$C$9008,"",INDEX($B$9:$B$9008,MATCH(1457,$C$9:$C$9008,0)))</f>
        <v/>
      </c>
      <c r="B1465" s="9" t="str">
        <f>IFERROR(INDEX(Input!$L$20:$T$1019,INT((ROW()-9)/9)+1,MOD(ROW()-9,9)+1),"")</f>
        <v/>
      </c>
      <c r="C1465" s="9">
        <f t="shared" si="22"/>
        <v>0</v>
      </c>
    </row>
    <row r="1466" spans="1:3" x14ac:dyDescent="0.2">
      <c r="A1466" s="10" t="str">
        <f>IF(1458&gt;$C$9008,"",INDEX($B$9:$B$9008,MATCH(1458,$C$9:$C$9008,0)))</f>
        <v/>
      </c>
      <c r="B1466" s="9" t="str">
        <f>IFERROR(INDEX(Input!$L$20:$T$1019,INT((ROW()-9)/9)+1,MOD(ROW()-9,9)+1),"")</f>
        <v/>
      </c>
      <c r="C1466" s="9">
        <f t="shared" si="22"/>
        <v>0</v>
      </c>
    </row>
    <row r="1467" spans="1:3" x14ac:dyDescent="0.2">
      <c r="A1467" s="10" t="str">
        <f>IF(1459&gt;$C$9008,"",INDEX($B$9:$B$9008,MATCH(1459,$C$9:$C$9008,0)))</f>
        <v/>
      </c>
      <c r="B1467" s="9" t="str">
        <f>IFERROR(INDEX(Input!$L$20:$T$1019,INT((ROW()-9)/9)+1,MOD(ROW()-9,9)+1),"")</f>
        <v/>
      </c>
      <c r="C1467" s="9">
        <f t="shared" si="22"/>
        <v>0</v>
      </c>
    </row>
    <row r="1468" spans="1:3" x14ac:dyDescent="0.2">
      <c r="A1468" s="10" t="str">
        <f>IF(1460&gt;$C$9008,"",INDEX($B$9:$B$9008,MATCH(1460,$C$9:$C$9008,0)))</f>
        <v/>
      </c>
      <c r="B1468" s="9" t="str">
        <f>IFERROR(INDEX(Input!$L$20:$T$1019,INT((ROW()-9)/9)+1,MOD(ROW()-9,9)+1),"")</f>
        <v/>
      </c>
      <c r="C1468" s="9">
        <f t="shared" si="22"/>
        <v>0</v>
      </c>
    </row>
    <row r="1469" spans="1:3" x14ac:dyDescent="0.2">
      <c r="A1469" s="10" t="str">
        <f>IF(1461&gt;$C$9008,"",INDEX($B$9:$B$9008,MATCH(1461,$C$9:$C$9008,0)))</f>
        <v/>
      </c>
      <c r="B1469" s="9" t="str">
        <f>IFERROR(INDEX(Input!$L$20:$T$1019,INT((ROW()-9)/9)+1,MOD(ROW()-9,9)+1),"")</f>
        <v/>
      </c>
      <c r="C1469" s="9">
        <f t="shared" si="22"/>
        <v>0</v>
      </c>
    </row>
    <row r="1470" spans="1:3" x14ac:dyDescent="0.2">
      <c r="A1470" s="10" t="str">
        <f>IF(1462&gt;$C$9008,"",INDEX($B$9:$B$9008,MATCH(1462,$C$9:$C$9008,0)))</f>
        <v/>
      </c>
      <c r="B1470" s="9" t="str">
        <f>IFERROR(INDEX(Input!$L$20:$T$1019,INT((ROW()-9)/9)+1,MOD(ROW()-9,9)+1),"")</f>
        <v/>
      </c>
      <c r="C1470" s="9">
        <f t="shared" si="22"/>
        <v>0</v>
      </c>
    </row>
    <row r="1471" spans="1:3" x14ac:dyDescent="0.2">
      <c r="A1471" s="10" t="str">
        <f>IF(1463&gt;$C$9008,"",INDEX($B$9:$B$9008,MATCH(1463,$C$9:$C$9008,0)))</f>
        <v/>
      </c>
      <c r="B1471" s="9" t="str">
        <f>IFERROR(INDEX(Input!$L$20:$T$1019,INT((ROW()-9)/9)+1,MOD(ROW()-9,9)+1),"")</f>
        <v/>
      </c>
      <c r="C1471" s="9">
        <f t="shared" si="22"/>
        <v>0</v>
      </c>
    </row>
    <row r="1472" spans="1:3" x14ac:dyDescent="0.2">
      <c r="A1472" s="10" t="str">
        <f>IF(1464&gt;$C$9008,"",INDEX($B$9:$B$9008,MATCH(1464,$C$9:$C$9008,0)))</f>
        <v/>
      </c>
      <c r="B1472" s="9" t="str">
        <f>IFERROR(INDEX(Input!$L$20:$T$1019,INT((ROW()-9)/9)+1,MOD(ROW()-9,9)+1),"")</f>
        <v/>
      </c>
      <c r="C1472" s="9">
        <f t="shared" si="22"/>
        <v>0</v>
      </c>
    </row>
    <row r="1473" spans="1:3" x14ac:dyDescent="0.2">
      <c r="A1473" s="10" t="str">
        <f>IF(1465&gt;$C$9008,"",INDEX($B$9:$B$9008,MATCH(1465,$C$9:$C$9008,0)))</f>
        <v/>
      </c>
      <c r="B1473" s="9" t="str">
        <f>IFERROR(INDEX(Input!$L$20:$T$1019,INT((ROW()-9)/9)+1,MOD(ROW()-9,9)+1),"")</f>
        <v/>
      </c>
      <c r="C1473" s="9">
        <f t="shared" si="22"/>
        <v>0</v>
      </c>
    </row>
    <row r="1474" spans="1:3" x14ac:dyDescent="0.2">
      <c r="A1474" s="10" t="str">
        <f>IF(1466&gt;$C$9008,"",INDEX($B$9:$B$9008,MATCH(1466,$C$9:$C$9008,0)))</f>
        <v/>
      </c>
      <c r="B1474" s="9" t="str">
        <f>IFERROR(INDEX(Input!$L$20:$T$1019,INT((ROW()-9)/9)+1,MOD(ROW()-9,9)+1),"")</f>
        <v/>
      </c>
      <c r="C1474" s="9">
        <f t="shared" si="22"/>
        <v>0</v>
      </c>
    </row>
    <row r="1475" spans="1:3" x14ac:dyDescent="0.2">
      <c r="A1475" s="10" t="str">
        <f>IF(1467&gt;$C$9008,"",INDEX($B$9:$B$9008,MATCH(1467,$C$9:$C$9008,0)))</f>
        <v/>
      </c>
      <c r="B1475" s="9" t="str">
        <f>IFERROR(INDEX(Input!$L$20:$T$1019,INT((ROW()-9)/9)+1,MOD(ROW()-9,9)+1),"")</f>
        <v/>
      </c>
      <c r="C1475" s="9">
        <f t="shared" si="22"/>
        <v>0</v>
      </c>
    </row>
    <row r="1476" spans="1:3" x14ac:dyDescent="0.2">
      <c r="A1476" s="10" t="str">
        <f>IF(1468&gt;$C$9008,"",INDEX($B$9:$B$9008,MATCH(1468,$C$9:$C$9008,0)))</f>
        <v/>
      </c>
      <c r="B1476" s="9" t="str">
        <f>IFERROR(INDEX(Input!$L$20:$T$1019,INT((ROW()-9)/9)+1,MOD(ROW()-9,9)+1),"")</f>
        <v/>
      </c>
      <c r="C1476" s="9">
        <f t="shared" si="22"/>
        <v>0</v>
      </c>
    </row>
    <row r="1477" spans="1:3" x14ac:dyDescent="0.2">
      <c r="A1477" s="10" t="str">
        <f>IF(1469&gt;$C$9008,"",INDEX($B$9:$B$9008,MATCH(1469,$C$9:$C$9008,0)))</f>
        <v/>
      </c>
      <c r="B1477" s="9" t="str">
        <f>IFERROR(INDEX(Input!$L$20:$T$1019,INT((ROW()-9)/9)+1,MOD(ROW()-9,9)+1),"")</f>
        <v/>
      </c>
      <c r="C1477" s="9">
        <f t="shared" si="22"/>
        <v>0</v>
      </c>
    </row>
    <row r="1478" spans="1:3" x14ac:dyDescent="0.2">
      <c r="A1478" s="10" t="str">
        <f>IF(1470&gt;$C$9008,"",INDEX($B$9:$B$9008,MATCH(1470,$C$9:$C$9008,0)))</f>
        <v/>
      </c>
      <c r="B1478" s="9" t="str">
        <f>IFERROR(INDEX(Input!$L$20:$T$1019,INT((ROW()-9)/9)+1,MOD(ROW()-9,9)+1),"")</f>
        <v/>
      </c>
      <c r="C1478" s="9">
        <f t="shared" si="22"/>
        <v>0</v>
      </c>
    </row>
    <row r="1479" spans="1:3" x14ac:dyDescent="0.2">
      <c r="A1479" s="10" t="str">
        <f>IF(1471&gt;$C$9008,"",INDEX($B$9:$B$9008,MATCH(1471,$C$9:$C$9008,0)))</f>
        <v/>
      </c>
      <c r="B1479" s="9" t="str">
        <f>IFERROR(INDEX(Input!$L$20:$T$1019,INT((ROW()-9)/9)+1,MOD(ROW()-9,9)+1),"")</f>
        <v/>
      </c>
      <c r="C1479" s="9">
        <f t="shared" si="22"/>
        <v>0</v>
      </c>
    </row>
    <row r="1480" spans="1:3" x14ac:dyDescent="0.2">
      <c r="A1480" s="10" t="str">
        <f>IF(1472&gt;$C$9008,"",INDEX($B$9:$B$9008,MATCH(1472,$C$9:$C$9008,0)))</f>
        <v/>
      </c>
      <c r="B1480" s="9" t="str">
        <f>IFERROR(INDEX(Input!$L$20:$T$1019,INT((ROW()-9)/9)+1,MOD(ROW()-9,9)+1),"")</f>
        <v/>
      </c>
      <c r="C1480" s="9">
        <f t="shared" si="22"/>
        <v>0</v>
      </c>
    </row>
    <row r="1481" spans="1:3" x14ac:dyDescent="0.2">
      <c r="A1481" s="10" t="str">
        <f>IF(1473&gt;$C$9008,"",INDEX($B$9:$B$9008,MATCH(1473,$C$9:$C$9008,0)))</f>
        <v/>
      </c>
      <c r="B1481" s="9" t="str">
        <f>IFERROR(INDEX(Input!$L$20:$T$1019,INT((ROW()-9)/9)+1,MOD(ROW()-9,9)+1),"")</f>
        <v/>
      </c>
      <c r="C1481" s="9">
        <f t="shared" ref="C1481:C1544" si="23">$C1480+IF($B1481&lt;&gt;"",1,0)</f>
        <v>0</v>
      </c>
    </row>
    <row r="1482" spans="1:3" x14ac:dyDescent="0.2">
      <c r="A1482" s="10" t="str">
        <f>IF(1474&gt;$C$9008,"",INDEX($B$9:$B$9008,MATCH(1474,$C$9:$C$9008,0)))</f>
        <v/>
      </c>
      <c r="B1482" s="9" t="str">
        <f>IFERROR(INDEX(Input!$L$20:$T$1019,INT((ROW()-9)/9)+1,MOD(ROW()-9,9)+1),"")</f>
        <v/>
      </c>
      <c r="C1482" s="9">
        <f t="shared" si="23"/>
        <v>0</v>
      </c>
    </row>
    <row r="1483" spans="1:3" x14ac:dyDescent="0.2">
      <c r="A1483" s="10" t="str">
        <f>IF(1475&gt;$C$9008,"",INDEX($B$9:$B$9008,MATCH(1475,$C$9:$C$9008,0)))</f>
        <v/>
      </c>
      <c r="B1483" s="9" t="str">
        <f>IFERROR(INDEX(Input!$L$20:$T$1019,INT((ROW()-9)/9)+1,MOD(ROW()-9,9)+1),"")</f>
        <v/>
      </c>
      <c r="C1483" s="9">
        <f t="shared" si="23"/>
        <v>0</v>
      </c>
    </row>
    <row r="1484" spans="1:3" x14ac:dyDescent="0.2">
      <c r="A1484" s="10" t="str">
        <f>IF(1476&gt;$C$9008,"",INDEX($B$9:$B$9008,MATCH(1476,$C$9:$C$9008,0)))</f>
        <v/>
      </c>
      <c r="B1484" s="9" t="str">
        <f>IFERROR(INDEX(Input!$L$20:$T$1019,INT((ROW()-9)/9)+1,MOD(ROW()-9,9)+1),"")</f>
        <v/>
      </c>
      <c r="C1484" s="9">
        <f t="shared" si="23"/>
        <v>0</v>
      </c>
    </row>
    <row r="1485" spans="1:3" x14ac:dyDescent="0.2">
      <c r="A1485" s="10" t="str">
        <f>IF(1477&gt;$C$9008,"",INDEX($B$9:$B$9008,MATCH(1477,$C$9:$C$9008,0)))</f>
        <v/>
      </c>
      <c r="B1485" s="9" t="str">
        <f>IFERROR(INDEX(Input!$L$20:$T$1019,INT((ROW()-9)/9)+1,MOD(ROW()-9,9)+1),"")</f>
        <v/>
      </c>
      <c r="C1485" s="9">
        <f t="shared" si="23"/>
        <v>0</v>
      </c>
    </row>
    <row r="1486" spans="1:3" x14ac:dyDescent="0.2">
      <c r="A1486" s="10" t="str">
        <f>IF(1478&gt;$C$9008,"",INDEX($B$9:$B$9008,MATCH(1478,$C$9:$C$9008,0)))</f>
        <v/>
      </c>
      <c r="B1486" s="9" t="str">
        <f>IFERROR(INDEX(Input!$L$20:$T$1019,INT((ROW()-9)/9)+1,MOD(ROW()-9,9)+1),"")</f>
        <v/>
      </c>
      <c r="C1486" s="9">
        <f t="shared" si="23"/>
        <v>0</v>
      </c>
    </row>
    <row r="1487" spans="1:3" x14ac:dyDescent="0.2">
      <c r="A1487" s="10" t="str">
        <f>IF(1479&gt;$C$9008,"",INDEX($B$9:$B$9008,MATCH(1479,$C$9:$C$9008,0)))</f>
        <v/>
      </c>
      <c r="B1487" s="9" t="str">
        <f>IFERROR(INDEX(Input!$L$20:$T$1019,INT((ROW()-9)/9)+1,MOD(ROW()-9,9)+1),"")</f>
        <v/>
      </c>
      <c r="C1487" s="9">
        <f t="shared" si="23"/>
        <v>0</v>
      </c>
    </row>
    <row r="1488" spans="1:3" x14ac:dyDescent="0.2">
      <c r="A1488" s="10" t="str">
        <f>IF(1480&gt;$C$9008,"",INDEX($B$9:$B$9008,MATCH(1480,$C$9:$C$9008,0)))</f>
        <v/>
      </c>
      <c r="B1488" s="9" t="str">
        <f>IFERROR(INDEX(Input!$L$20:$T$1019,INT((ROW()-9)/9)+1,MOD(ROW()-9,9)+1),"")</f>
        <v/>
      </c>
      <c r="C1488" s="9">
        <f t="shared" si="23"/>
        <v>0</v>
      </c>
    </row>
    <row r="1489" spans="1:3" x14ac:dyDescent="0.2">
      <c r="A1489" s="10" t="str">
        <f>IF(1481&gt;$C$9008,"",INDEX($B$9:$B$9008,MATCH(1481,$C$9:$C$9008,0)))</f>
        <v/>
      </c>
      <c r="B1489" s="9" t="str">
        <f>IFERROR(INDEX(Input!$L$20:$T$1019,INT((ROW()-9)/9)+1,MOD(ROW()-9,9)+1),"")</f>
        <v/>
      </c>
      <c r="C1489" s="9">
        <f t="shared" si="23"/>
        <v>0</v>
      </c>
    </row>
    <row r="1490" spans="1:3" x14ac:dyDescent="0.2">
      <c r="A1490" s="10" t="str">
        <f>IF(1482&gt;$C$9008,"",INDEX($B$9:$B$9008,MATCH(1482,$C$9:$C$9008,0)))</f>
        <v/>
      </c>
      <c r="B1490" s="9" t="str">
        <f>IFERROR(INDEX(Input!$L$20:$T$1019,INT((ROW()-9)/9)+1,MOD(ROW()-9,9)+1),"")</f>
        <v/>
      </c>
      <c r="C1490" s="9">
        <f t="shared" si="23"/>
        <v>0</v>
      </c>
    </row>
    <row r="1491" spans="1:3" x14ac:dyDescent="0.2">
      <c r="A1491" s="10" t="str">
        <f>IF(1483&gt;$C$9008,"",INDEX($B$9:$B$9008,MATCH(1483,$C$9:$C$9008,0)))</f>
        <v/>
      </c>
      <c r="B1491" s="9" t="str">
        <f>IFERROR(INDEX(Input!$L$20:$T$1019,INT((ROW()-9)/9)+1,MOD(ROW()-9,9)+1),"")</f>
        <v/>
      </c>
      <c r="C1491" s="9">
        <f t="shared" si="23"/>
        <v>0</v>
      </c>
    </row>
    <row r="1492" spans="1:3" x14ac:dyDescent="0.2">
      <c r="A1492" s="10" t="str">
        <f>IF(1484&gt;$C$9008,"",INDEX($B$9:$B$9008,MATCH(1484,$C$9:$C$9008,0)))</f>
        <v/>
      </c>
      <c r="B1492" s="9" t="str">
        <f>IFERROR(INDEX(Input!$L$20:$T$1019,INT((ROW()-9)/9)+1,MOD(ROW()-9,9)+1),"")</f>
        <v/>
      </c>
      <c r="C1492" s="9">
        <f t="shared" si="23"/>
        <v>0</v>
      </c>
    </row>
    <row r="1493" spans="1:3" x14ac:dyDescent="0.2">
      <c r="A1493" s="10" t="str">
        <f>IF(1485&gt;$C$9008,"",INDEX($B$9:$B$9008,MATCH(1485,$C$9:$C$9008,0)))</f>
        <v/>
      </c>
      <c r="B1493" s="9" t="str">
        <f>IFERROR(INDEX(Input!$L$20:$T$1019,INT((ROW()-9)/9)+1,MOD(ROW()-9,9)+1),"")</f>
        <v/>
      </c>
      <c r="C1493" s="9">
        <f t="shared" si="23"/>
        <v>0</v>
      </c>
    </row>
    <row r="1494" spans="1:3" x14ac:dyDescent="0.2">
      <c r="A1494" s="10" t="str">
        <f>IF(1486&gt;$C$9008,"",INDEX($B$9:$B$9008,MATCH(1486,$C$9:$C$9008,0)))</f>
        <v/>
      </c>
      <c r="B1494" s="9" t="str">
        <f>IFERROR(INDEX(Input!$L$20:$T$1019,INT((ROW()-9)/9)+1,MOD(ROW()-9,9)+1),"")</f>
        <v/>
      </c>
      <c r="C1494" s="9">
        <f t="shared" si="23"/>
        <v>0</v>
      </c>
    </row>
    <row r="1495" spans="1:3" x14ac:dyDescent="0.2">
      <c r="A1495" s="10" t="str">
        <f>IF(1487&gt;$C$9008,"",INDEX($B$9:$B$9008,MATCH(1487,$C$9:$C$9008,0)))</f>
        <v/>
      </c>
      <c r="B1495" s="9" t="str">
        <f>IFERROR(INDEX(Input!$L$20:$T$1019,INT((ROW()-9)/9)+1,MOD(ROW()-9,9)+1),"")</f>
        <v/>
      </c>
      <c r="C1495" s="9">
        <f t="shared" si="23"/>
        <v>0</v>
      </c>
    </row>
    <row r="1496" spans="1:3" x14ac:dyDescent="0.2">
      <c r="A1496" s="10" t="str">
        <f>IF(1488&gt;$C$9008,"",INDEX($B$9:$B$9008,MATCH(1488,$C$9:$C$9008,0)))</f>
        <v/>
      </c>
      <c r="B1496" s="9" t="str">
        <f>IFERROR(INDEX(Input!$L$20:$T$1019,INT((ROW()-9)/9)+1,MOD(ROW()-9,9)+1),"")</f>
        <v/>
      </c>
      <c r="C1496" s="9">
        <f t="shared" si="23"/>
        <v>0</v>
      </c>
    </row>
    <row r="1497" spans="1:3" x14ac:dyDescent="0.2">
      <c r="A1497" s="10" t="str">
        <f>IF(1489&gt;$C$9008,"",INDEX($B$9:$B$9008,MATCH(1489,$C$9:$C$9008,0)))</f>
        <v/>
      </c>
      <c r="B1497" s="9" t="str">
        <f>IFERROR(INDEX(Input!$L$20:$T$1019,INT((ROW()-9)/9)+1,MOD(ROW()-9,9)+1),"")</f>
        <v/>
      </c>
      <c r="C1497" s="9">
        <f t="shared" si="23"/>
        <v>0</v>
      </c>
    </row>
    <row r="1498" spans="1:3" x14ac:dyDescent="0.2">
      <c r="A1498" s="10" t="str">
        <f>IF(1490&gt;$C$9008,"",INDEX($B$9:$B$9008,MATCH(1490,$C$9:$C$9008,0)))</f>
        <v/>
      </c>
      <c r="B1498" s="9" t="str">
        <f>IFERROR(INDEX(Input!$L$20:$T$1019,INT((ROW()-9)/9)+1,MOD(ROW()-9,9)+1),"")</f>
        <v/>
      </c>
      <c r="C1498" s="9">
        <f t="shared" si="23"/>
        <v>0</v>
      </c>
    </row>
    <row r="1499" spans="1:3" x14ac:dyDescent="0.2">
      <c r="A1499" s="10" t="str">
        <f>IF(1491&gt;$C$9008,"",INDEX($B$9:$B$9008,MATCH(1491,$C$9:$C$9008,0)))</f>
        <v/>
      </c>
      <c r="B1499" s="9" t="str">
        <f>IFERROR(INDEX(Input!$L$20:$T$1019,INT((ROW()-9)/9)+1,MOD(ROW()-9,9)+1),"")</f>
        <v/>
      </c>
      <c r="C1499" s="9">
        <f t="shared" si="23"/>
        <v>0</v>
      </c>
    </row>
    <row r="1500" spans="1:3" x14ac:dyDescent="0.2">
      <c r="A1500" s="10" t="str">
        <f>IF(1492&gt;$C$9008,"",INDEX($B$9:$B$9008,MATCH(1492,$C$9:$C$9008,0)))</f>
        <v/>
      </c>
      <c r="B1500" s="9" t="str">
        <f>IFERROR(INDEX(Input!$L$20:$T$1019,INT((ROW()-9)/9)+1,MOD(ROW()-9,9)+1),"")</f>
        <v/>
      </c>
      <c r="C1500" s="9">
        <f t="shared" si="23"/>
        <v>0</v>
      </c>
    </row>
    <row r="1501" spans="1:3" x14ac:dyDescent="0.2">
      <c r="A1501" s="10" t="str">
        <f>IF(1493&gt;$C$9008,"",INDEX($B$9:$B$9008,MATCH(1493,$C$9:$C$9008,0)))</f>
        <v/>
      </c>
      <c r="B1501" s="9" t="str">
        <f>IFERROR(INDEX(Input!$L$20:$T$1019,INT((ROW()-9)/9)+1,MOD(ROW()-9,9)+1),"")</f>
        <v/>
      </c>
      <c r="C1501" s="9">
        <f t="shared" si="23"/>
        <v>0</v>
      </c>
    </row>
    <row r="1502" spans="1:3" x14ac:dyDescent="0.2">
      <c r="A1502" s="10" t="str">
        <f>IF(1494&gt;$C$9008,"",INDEX($B$9:$B$9008,MATCH(1494,$C$9:$C$9008,0)))</f>
        <v/>
      </c>
      <c r="B1502" s="9" t="str">
        <f>IFERROR(INDEX(Input!$L$20:$T$1019,INT((ROW()-9)/9)+1,MOD(ROW()-9,9)+1),"")</f>
        <v/>
      </c>
      <c r="C1502" s="9">
        <f t="shared" si="23"/>
        <v>0</v>
      </c>
    </row>
    <row r="1503" spans="1:3" x14ac:dyDescent="0.2">
      <c r="A1503" s="10" t="str">
        <f>IF(1495&gt;$C$9008,"",INDEX($B$9:$B$9008,MATCH(1495,$C$9:$C$9008,0)))</f>
        <v/>
      </c>
      <c r="B1503" s="9" t="str">
        <f>IFERROR(INDEX(Input!$L$20:$T$1019,INT((ROW()-9)/9)+1,MOD(ROW()-9,9)+1),"")</f>
        <v/>
      </c>
      <c r="C1503" s="9">
        <f t="shared" si="23"/>
        <v>0</v>
      </c>
    </row>
    <row r="1504" spans="1:3" x14ac:dyDescent="0.2">
      <c r="A1504" s="10" t="str">
        <f>IF(1496&gt;$C$9008,"",INDEX($B$9:$B$9008,MATCH(1496,$C$9:$C$9008,0)))</f>
        <v/>
      </c>
      <c r="B1504" s="9" t="str">
        <f>IFERROR(INDEX(Input!$L$20:$T$1019,INT((ROW()-9)/9)+1,MOD(ROW()-9,9)+1),"")</f>
        <v/>
      </c>
      <c r="C1504" s="9">
        <f t="shared" si="23"/>
        <v>0</v>
      </c>
    </row>
    <row r="1505" spans="1:3" x14ac:dyDescent="0.2">
      <c r="A1505" s="10" t="str">
        <f>IF(1497&gt;$C$9008,"",INDEX($B$9:$B$9008,MATCH(1497,$C$9:$C$9008,0)))</f>
        <v/>
      </c>
      <c r="B1505" s="9" t="str">
        <f>IFERROR(INDEX(Input!$L$20:$T$1019,INT((ROW()-9)/9)+1,MOD(ROW()-9,9)+1),"")</f>
        <v/>
      </c>
      <c r="C1505" s="9">
        <f t="shared" si="23"/>
        <v>0</v>
      </c>
    </row>
    <row r="1506" spans="1:3" x14ac:dyDescent="0.2">
      <c r="A1506" s="10" t="str">
        <f>IF(1498&gt;$C$9008,"",INDEX($B$9:$B$9008,MATCH(1498,$C$9:$C$9008,0)))</f>
        <v/>
      </c>
      <c r="B1506" s="9" t="str">
        <f>IFERROR(INDEX(Input!$L$20:$T$1019,INT((ROW()-9)/9)+1,MOD(ROW()-9,9)+1),"")</f>
        <v/>
      </c>
      <c r="C1506" s="9">
        <f t="shared" si="23"/>
        <v>0</v>
      </c>
    </row>
    <row r="1507" spans="1:3" x14ac:dyDescent="0.2">
      <c r="A1507" s="10" t="str">
        <f>IF(1499&gt;$C$9008,"",INDEX($B$9:$B$9008,MATCH(1499,$C$9:$C$9008,0)))</f>
        <v/>
      </c>
      <c r="B1507" s="9" t="str">
        <f>IFERROR(INDEX(Input!$L$20:$T$1019,INT((ROW()-9)/9)+1,MOD(ROW()-9,9)+1),"")</f>
        <v/>
      </c>
      <c r="C1507" s="9">
        <f t="shared" si="23"/>
        <v>0</v>
      </c>
    </row>
    <row r="1508" spans="1:3" x14ac:dyDescent="0.2">
      <c r="A1508" s="10" t="str">
        <f>IF(1500&gt;$C$9008,"",INDEX($B$9:$B$9008,MATCH(1500,$C$9:$C$9008,0)))</f>
        <v/>
      </c>
      <c r="B1508" s="9" t="str">
        <f>IFERROR(INDEX(Input!$L$20:$T$1019,INT((ROW()-9)/9)+1,MOD(ROW()-9,9)+1),"")</f>
        <v/>
      </c>
      <c r="C1508" s="9">
        <f t="shared" si="23"/>
        <v>0</v>
      </c>
    </row>
    <row r="1509" spans="1:3" x14ac:dyDescent="0.2">
      <c r="A1509" s="10" t="str">
        <f>IF(1501&gt;$C$9008,"",INDEX($B$9:$B$9008,MATCH(1501,$C$9:$C$9008,0)))</f>
        <v/>
      </c>
      <c r="B1509" s="9" t="str">
        <f>IFERROR(INDEX(Input!$L$20:$T$1019,INT((ROW()-9)/9)+1,MOD(ROW()-9,9)+1),"")</f>
        <v/>
      </c>
      <c r="C1509" s="9">
        <f t="shared" si="23"/>
        <v>0</v>
      </c>
    </row>
    <row r="1510" spans="1:3" x14ac:dyDescent="0.2">
      <c r="A1510" s="10" t="str">
        <f>IF(1502&gt;$C$9008,"",INDEX($B$9:$B$9008,MATCH(1502,$C$9:$C$9008,0)))</f>
        <v/>
      </c>
      <c r="B1510" s="9" t="str">
        <f>IFERROR(INDEX(Input!$L$20:$T$1019,INT((ROW()-9)/9)+1,MOD(ROW()-9,9)+1),"")</f>
        <v/>
      </c>
      <c r="C1510" s="9">
        <f t="shared" si="23"/>
        <v>0</v>
      </c>
    </row>
    <row r="1511" spans="1:3" x14ac:dyDescent="0.2">
      <c r="A1511" s="10" t="str">
        <f>IF(1503&gt;$C$9008,"",INDEX($B$9:$B$9008,MATCH(1503,$C$9:$C$9008,0)))</f>
        <v/>
      </c>
      <c r="B1511" s="9" t="str">
        <f>IFERROR(INDEX(Input!$L$20:$T$1019,INT((ROW()-9)/9)+1,MOD(ROW()-9,9)+1),"")</f>
        <v/>
      </c>
      <c r="C1511" s="9">
        <f t="shared" si="23"/>
        <v>0</v>
      </c>
    </row>
    <row r="1512" spans="1:3" x14ac:dyDescent="0.2">
      <c r="A1512" s="10" t="str">
        <f>IF(1504&gt;$C$9008,"",INDEX($B$9:$B$9008,MATCH(1504,$C$9:$C$9008,0)))</f>
        <v/>
      </c>
      <c r="B1512" s="9" t="str">
        <f>IFERROR(INDEX(Input!$L$20:$T$1019,INT((ROW()-9)/9)+1,MOD(ROW()-9,9)+1),"")</f>
        <v/>
      </c>
      <c r="C1512" s="9">
        <f t="shared" si="23"/>
        <v>0</v>
      </c>
    </row>
    <row r="1513" spans="1:3" x14ac:dyDescent="0.2">
      <c r="A1513" s="10" t="str">
        <f>IF(1505&gt;$C$9008,"",INDEX($B$9:$B$9008,MATCH(1505,$C$9:$C$9008,0)))</f>
        <v/>
      </c>
      <c r="B1513" s="9" t="str">
        <f>IFERROR(INDEX(Input!$L$20:$T$1019,INT((ROW()-9)/9)+1,MOD(ROW()-9,9)+1),"")</f>
        <v/>
      </c>
      <c r="C1513" s="9">
        <f t="shared" si="23"/>
        <v>0</v>
      </c>
    </row>
    <row r="1514" spans="1:3" x14ac:dyDescent="0.2">
      <c r="A1514" s="10" t="str">
        <f>IF(1506&gt;$C$9008,"",INDEX($B$9:$B$9008,MATCH(1506,$C$9:$C$9008,0)))</f>
        <v/>
      </c>
      <c r="B1514" s="9" t="str">
        <f>IFERROR(INDEX(Input!$L$20:$T$1019,INT((ROW()-9)/9)+1,MOD(ROW()-9,9)+1),"")</f>
        <v/>
      </c>
      <c r="C1514" s="9">
        <f t="shared" si="23"/>
        <v>0</v>
      </c>
    </row>
    <row r="1515" spans="1:3" x14ac:dyDescent="0.2">
      <c r="A1515" s="10" t="str">
        <f>IF(1507&gt;$C$9008,"",INDEX($B$9:$B$9008,MATCH(1507,$C$9:$C$9008,0)))</f>
        <v/>
      </c>
      <c r="B1515" s="9" t="str">
        <f>IFERROR(INDEX(Input!$L$20:$T$1019,INT((ROW()-9)/9)+1,MOD(ROW()-9,9)+1),"")</f>
        <v/>
      </c>
      <c r="C1515" s="9">
        <f t="shared" si="23"/>
        <v>0</v>
      </c>
    </row>
    <row r="1516" spans="1:3" x14ac:dyDescent="0.2">
      <c r="A1516" s="10" t="str">
        <f>IF(1508&gt;$C$9008,"",INDEX($B$9:$B$9008,MATCH(1508,$C$9:$C$9008,0)))</f>
        <v/>
      </c>
      <c r="B1516" s="9" t="str">
        <f>IFERROR(INDEX(Input!$L$20:$T$1019,INT((ROW()-9)/9)+1,MOD(ROW()-9,9)+1),"")</f>
        <v/>
      </c>
      <c r="C1516" s="9">
        <f t="shared" si="23"/>
        <v>0</v>
      </c>
    </row>
    <row r="1517" spans="1:3" x14ac:dyDescent="0.2">
      <c r="A1517" s="10" t="str">
        <f>IF(1509&gt;$C$9008,"",INDEX($B$9:$B$9008,MATCH(1509,$C$9:$C$9008,0)))</f>
        <v/>
      </c>
      <c r="B1517" s="9" t="str">
        <f>IFERROR(INDEX(Input!$L$20:$T$1019,INT((ROW()-9)/9)+1,MOD(ROW()-9,9)+1),"")</f>
        <v/>
      </c>
      <c r="C1517" s="9">
        <f t="shared" si="23"/>
        <v>0</v>
      </c>
    </row>
    <row r="1518" spans="1:3" x14ac:dyDescent="0.2">
      <c r="A1518" s="10" t="str">
        <f>IF(1510&gt;$C$9008,"",INDEX($B$9:$B$9008,MATCH(1510,$C$9:$C$9008,0)))</f>
        <v/>
      </c>
      <c r="B1518" s="9" t="str">
        <f>IFERROR(INDEX(Input!$L$20:$T$1019,INT((ROW()-9)/9)+1,MOD(ROW()-9,9)+1),"")</f>
        <v/>
      </c>
      <c r="C1518" s="9">
        <f t="shared" si="23"/>
        <v>0</v>
      </c>
    </row>
    <row r="1519" spans="1:3" x14ac:dyDescent="0.2">
      <c r="A1519" s="10" t="str">
        <f>IF(1511&gt;$C$9008,"",INDEX($B$9:$B$9008,MATCH(1511,$C$9:$C$9008,0)))</f>
        <v/>
      </c>
      <c r="B1519" s="9" t="str">
        <f>IFERROR(INDEX(Input!$L$20:$T$1019,INT((ROW()-9)/9)+1,MOD(ROW()-9,9)+1),"")</f>
        <v/>
      </c>
      <c r="C1519" s="9">
        <f t="shared" si="23"/>
        <v>0</v>
      </c>
    </row>
    <row r="1520" spans="1:3" x14ac:dyDescent="0.2">
      <c r="A1520" s="10" t="str">
        <f>IF(1512&gt;$C$9008,"",INDEX($B$9:$B$9008,MATCH(1512,$C$9:$C$9008,0)))</f>
        <v/>
      </c>
      <c r="B1520" s="9" t="str">
        <f>IFERROR(INDEX(Input!$L$20:$T$1019,INT((ROW()-9)/9)+1,MOD(ROW()-9,9)+1),"")</f>
        <v/>
      </c>
      <c r="C1520" s="9">
        <f t="shared" si="23"/>
        <v>0</v>
      </c>
    </row>
    <row r="1521" spans="1:3" x14ac:dyDescent="0.2">
      <c r="A1521" s="10" t="str">
        <f>IF(1513&gt;$C$9008,"",INDEX($B$9:$B$9008,MATCH(1513,$C$9:$C$9008,0)))</f>
        <v/>
      </c>
      <c r="B1521" s="9" t="str">
        <f>IFERROR(INDEX(Input!$L$20:$T$1019,INT((ROW()-9)/9)+1,MOD(ROW()-9,9)+1),"")</f>
        <v/>
      </c>
      <c r="C1521" s="9">
        <f t="shared" si="23"/>
        <v>0</v>
      </c>
    </row>
    <row r="1522" spans="1:3" x14ac:dyDescent="0.2">
      <c r="A1522" s="10" t="str">
        <f>IF(1514&gt;$C$9008,"",INDEX($B$9:$B$9008,MATCH(1514,$C$9:$C$9008,0)))</f>
        <v/>
      </c>
      <c r="B1522" s="9" t="str">
        <f>IFERROR(INDEX(Input!$L$20:$T$1019,INT((ROW()-9)/9)+1,MOD(ROW()-9,9)+1),"")</f>
        <v/>
      </c>
      <c r="C1522" s="9">
        <f t="shared" si="23"/>
        <v>0</v>
      </c>
    </row>
    <row r="1523" spans="1:3" x14ac:dyDescent="0.2">
      <c r="A1523" s="10" t="str">
        <f>IF(1515&gt;$C$9008,"",INDEX($B$9:$B$9008,MATCH(1515,$C$9:$C$9008,0)))</f>
        <v/>
      </c>
      <c r="B1523" s="9" t="str">
        <f>IFERROR(INDEX(Input!$L$20:$T$1019,INT((ROW()-9)/9)+1,MOD(ROW()-9,9)+1),"")</f>
        <v/>
      </c>
      <c r="C1523" s="9">
        <f t="shared" si="23"/>
        <v>0</v>
      </c>
    </row>
    <row r="1524" spans="1:3" x14ac:dyDescent="0.2">
      <c r="A1524" s="10" t="str">
        <f>IF(1516&gt;$C$9008,"",INDEX($B$9:$B$9008,MATCH(1516,$C$9:$C$9008,0)))</f>
        <v/>
      </c>
      <c r="B1524" s="9" t="str">
        <f>IFERROR(INDEX(Input!$L$20:$T$1019,INT((ROW()-9)/9)+1,MOD(ROW()-9,9)+1),"")</f>
        <v/>
      </c>
      <c r="C1524" s="9">
        <f t="shared" si="23"/>
        <v>0</v>
      </c>
    </row>
    <row r="1525" spans="1:3" x14ac:dyDescent="0.2">
      <c r="A1525" s="10" t="str">
        <f>IF(1517&gt;$C$9008,"",INDEX($B$9:$B$9008,MATCH(1517,$C$9:$C$9008,0)))</f>
        <v/>
      </c>
      <c r="B1525" s="9" t="str">
        <f>IFERROR(INDEX(Input!$L$20:$T$1019,INT((ROW()-9)/9)+1,MOD(ROW()-9,9)+1),"")</f>
        <v/>
      </c>
      <c r="C1525" s="9">
        <f t="shared" si="23"/>
        <v>0</v>
      </c>
    </row>
    <row r="1526" spans="1:3" x14ac:dyDescent="0.2">
      <c r="A1526" s="10" t="str">
        <f>IF(1518&gt;$C$9008,"",INDEX($B$9:$B$9008,MATCH(1518,$C$9:$C$9008,0)))</f>
        <v/>
      </c>
      <c r="B1526" s="9" t="str">
        <f>IFERROR(INDEX(Input!$L$20:$T$1019,INT((ROW()-9)/9)+1,MOD(ROW()-9,9)+1),"")</f>
        <v/>
      </c>
      <c r="C1526" s="9">
        <f t="shared" si="23"/>
        <v>0</v>
      </c>
    </row>
    <row r="1527" spans="1:3" x14ac:dyDescent="0.2">
      <c r="A1527" s="10" t="str">
        <f>IF(1519&gt;$C$9008,"",INDEX($B$9:$B$9008,MATCH(1519,$C$9:$C$9008,0)))</f>
        <v/>
      </c>
      <c r="B1527" s="9" t="str">
        <f>IFERROR(INDEX(Input!$L$20:$T$1019,INT((ROW()-9)/9)+1,MOD(ROW()-9,9)+1),"")</f>
        <v/>
      </c>
      <c r="C1527" s="9">
        <f t="shared" si="23"/>
        <v>0</v>
      </c>
    </row>
    <row r="1528" spans="1:3" x14ac:dyDescent="0.2">
      <c r="A1528" s="10" t="str">
        <f>IF(1520&gt;$C$9008,"",INDEX($B$9:$B$9008,MATCH(1520,$C$9:$C$9008,0)))</f>
        <v/>
      </c>
      <c r="B1528" s="9" t="str">
        <f>IFERROR(INDEX(Input!$L$20:$T$1019,INT((ROW()-9)/9)+1,MOD(ROW()-9,9)+1),"")</f>
        <v/>
      </c>
      <c r="C1528" s="9">
        <f t="shared" si="23"/>
        <v>0</v>
      </c>
    </row>
    <row r="1529" spans="1:3" x14ac:dyDescent="0.2">
      <c r="A1529" s="10" t="str">
        <f>IF(1521&gt;$C$9008,"",INDEX($B$9:$B$9008,MATCH(1521,$C$9:$C$9008,0)))</f>
        <v/>
      </c>
      <c r="B1529" s="9" t="str">
        <f>IFERROR(INDEX(Input!$L$20:$T$1019,INT((ROW()-9)/9)+1,MOD(ROW()-9,9)+1),"")</f>
        <v/>
      </c>
      <c r="C1529" s="9">
        <f t="shared" si="23"/>
        <v>0</v>
      </c>
    </row>
    <row r="1530" spans="1:3" x14ac:dyDescent="0.2">
      <c r="A1530" s="10" t="str">
        <f>IF(1522&gt;$C$9008,"",INDEX($B$9:$B$9008,MATCH(1522,$C$9:$C$9008,0)))</f>
        <v/>
      </c>
      <c r="B1530" s="9" t="str">
        <f>IFERROR(INDEX(Input!$L$20:$T$1019,INT((ROW()-9)/9)+1,MOD(ROW()-9,9)+1),"")</f>
        <v/>
      </c>
      <c r="C1530" s="9">
        <f t="shared" si="23"/>
        <v>0</v>
      </c>
    </row>
    <row r="1531" spans="1:3" x14ac:dyDescent="0.2">
      <c r="A1531" s="10" t="str">
        <f>IF(1523&gt;$C$9008,"",INDEX($B$9:$B$9008,MATCH(1523,$C$9:$C$9008,0)))</f>
        <v/>
      </c>
      <c r="B1531" s="9" t="str">
        <f>IFERROR(INDEX(Input!$L$20:$T$1019,INT((ROW()-9)/9)+1,MOD(ROW()-9,9)+1),"")</f>
        <v/>
      </c>
      <c r="C1531" s="9">
        <f t="shared" si="23"/>
        <v>0</v>
      </c>
    </row>
    <row r="1532" spans="1:3" x14ac:dyDescent="0.2">
      <c r="A1532" s="10" t="str">
        <f>IF(1524&gt;$C$9008,"",INDEX($B$9:$B$9008,MATCH(1524,$C$9:$C$9008,0)))</f>
        <v/>
      </c>
      <c r="B1532" s="9" t="str">
        <f>IFERROR(INDEX(Input!$L$20:$T$1019,INT((ROW()-9)/9)+1,MOD(ROW()-9,9)+1),"")</f>
        <v/>
      </c>
      <c r="C1532" s="9">
        <f t="shared" si="23"/>
        <v>0</v>
      </c>
    </row>
    <row r="1533" spans="1:3" x14ac:dyDescent="0.2">
      <c r="A1533" s="10" t="str">
        <f>IF(1525&gt;$C$9008,"",INDEX($B$9:$B$9008,MATCH(1525,$C$9:$C$9008,0)))</f>
        <v/>
      </c>
      <c r="B1533" s="9" t="str">
        <f>IFERROR(INDEX(Input!$L$20:$T$1019,INT((ROW()-9)/9)+1,MOD(ROW()-9,9)+1),"")</f>
        <v/>
      </c>
      <c r="C1533" s="9">
        <f t="shared" si="23"/>
        <v>0</v>
      </c>
    </row>
    <row r="1534" spans="1:3" x14ac:dyDescent="0.2">
      <c r="A1534" s="10" t="str">
        <f>IF(1526&gt;$C$9008,"",INDEX($B$9:$B$9008,MATCH(1526,$C$9:$C$9008,0)))</f>
        <v/>
      </c>
      <c r="B1534" s="9" t="str">
        <f>IFERROR(INDEX(Input!$L$20:$T$1019,INT((ROW()-9)/9)+1,MOD(ROW()-9,9)+1),"")</f>
        <v/>
      </c>
      <c r="C1534" s="9">
        <f t="shared" si="23"/>
        <v>0</v>
      </c>
    </row>
    <row r="1535" spans="1:3" x14ac:dyDescent="0.2">
      <c r="A1535" s="10" t="str">
        <f>IF(1527&gt;$C$9008,"",INDEX($B$9:$B$9008,MATCH(1527,$C$9:$C$9008,0)))</f>
        <v/>
      </c>
      <c r="B1535" s="9" t="str">
        <f>IFERROR(INDEX(Input!$L$20:$T$1019,INT((ROW()-9)/9)+1,MOD(ROW()-9,9)+1),"")</f>
        <v/>
      </c>
      <c r="C1535" s="9">
        <f t="shared" si="23"/>
        <v>0</v>
      </c>
    </row>
    <row r="1536" spans="1:3" x14ac:dyDescent="0.2">
      <c r="A1536" s="10" t="str">
        <f>IF(1528&gt;$C$9008,"",INDEX($B$9:$B$9008,MATCH(1528,$C$9:$C$9008,0)))</f>
        <v/>
      </c>
      <c r="B1536" s="9" t="str">
        <f>IFERROR(INDEX(Input!$L$20:$T$1019,INT((ROW()-9)/9)+1,MOD(ROW()-9,9)+1),"")</f>
        <v/>
      </c>
      <c r="C1536" s="9">
        <f t="shared" si="23"/>
        <v>0</v>
      </c>
    </row>
    <row r="1537" spans="1:3" x14ac:dyDescent="0.2">
      <c r="A1537" s="10" t="str">
        <f>IF(1529&gt;$C$9008,"",INDEX($B$9:$B$9008,MATCH(1529,$C$9:$C$9008,0)))</f>
        <v/>
      </c>
      <c r="B1537" s="9" t="str">
        <f>IFERROR(INDEX(Input!$L$20:$T$1019,INT((ROW()-9)/9)+1,MOD(ROW()-9,9)+1),"")</f>
        <v/>
      </c>
      <c r="C1537" s="9">
        <f t="shared" si="23"/>
        <v>0</v>
      </c>
    </row>
    <row r="1538" spans="1:3" x14ac:dyDescent="0.2">
      <c r="A1538" s="10" t="str">
        <f>IF(1530&gt;$C$9008,"",INDEX($B$9:$B$9008,MATCH(1530,$C$9:$C$9008,0)))</f>
        <v/>
      </c>
      <c r="B1538" s="9" t="str">
        <f>IFERROR(INDEX(Input!$L$20:$T$1019,INT((ROW()-9)/9)+1,MOD(ROW()-9,9)+1),"")</f>
        <v/>
      </c>
      <c r="C1538" s="9">
        <f t="shared" si="23"/>
        <v>0</v>
      </c>
    </row>
    <row r="1539" spans="1:3" x14ac:dyDescent="0.2">
      <c r="A1539" s="10" t="str">
        <f>IF(1531&gt;$C$9008,"",INDEX($B$9:$B$9008,MATCH(1531,$C$9:$C$9008,0)))</f>
        <v/>
      </c>
      <c r="B1539" s="9" t="str">
        <f>IFERROR(INDEX(Input!$L$20:$T$1019,INT((ROW()-9)/9)+1,MOD(ROW()-9,9)+1),"")</f>
        <v/>
      </c>
      <c r="C1539" s="9">
        <f t="shared" si="23"/>
        <v>0</v>
      </c>
    </row>
    <row r="1540" spans="1:3" x14ac:dyDescent="0.2">
      <c r="A1540" s="10" t="str">
        <f>IF(1532&gt;$C$9008,"",INDEX($B$9:$B$9008,MATCH(1532,$C$9:$C$9008,0)))</f>
        <v/>
      </c>
      <c r="B1540" s="9" t="str">
        <f>IFERROR(INDEX(Input!$L$20:$T$1019,INT((ROW()-9)/9)+1,MOD(ROW()-9,9)+1),"")</f>
        <v/>
      </c>
      <c r="C1540" s="9">
        <f t="shared" si="23"/>
        <v>0</v>
      </c>
    </row>
    <row r="1541" spans="1:3" x14ac:dyDescent="0.2">
      <c r="A1541" s="10" t="str">
        <f>IF(1533&gt;$C$9008,"",INDEX($B$9:$B$9008,MATCH(1533,$C$9:$C$9008,0)))</f>
        <v/>
      </c>
      <c r="B1541" s="9" t="str">
        <f>IFERROR(INDEX(Input!$L$20:$T$1019,INT((ROW()-9)/9)+1,MOD(ROW()-9,9)+1),"")</f>
        <v/>
      </c>
      <c r="C1541" s="9">
        <f t="shared" si="23"/>
        <v>0</v>
      </c>
    </row>
    <row r="1542" spans="1:3" x14ac:dyDescent="0.2">
      <c r="A1542" s="10" t="str">
        <f>IF(1534&gt;$C$9008,"",INDEX($B$9:$B$9008,MATCH(1534,$C$9:$C$9008,0)))</f>
        <v/>
      </c>
      <c r="B1542" s="9" t="str">
        <f>IFERROR(INDEX(Input!$L$20:$T$1019,INT((ROW()-9)/9)+1,MOD(ROW()-9,9)+1),"")</f>
        <v/>
      </c>
      <c r="C1542" s="9">
        <f t="shared" si="23"/>
        <v>0</v>
      </c>
    </row>
    <row r="1543" spans="1:3" x14ac:dyDescent="0.2">
      <c r="A1543" s="10" t="str">
        <f>IF(1535&gt;$C$9008,"",INDEX($B$9:$B$9008,MATCH(1535,$C$9:$C$9008,0)))</f>
        <v/>
      </c>
      <c r="B1543" s="9" t="str">
        <f>IFERROR(INDEX(Input!$L$20:$T$1019,INT((ROW()-9)/9)+1,MOD(ROW()-9,9)+1),"")</f>
        <v/>
      </c>
      <c r="C1543" s="9">
        <f t="shared" si="23"/>
        <v>0</v>
      </c>
    </row>
    <row r="1544" spans="1:3" x14ac:dyDescent="0.2">
      <c r="A1544" s="10" t="str">
        <f>IF(1536&gt;$C$9008,"",INDEX($B$9:$B$9008,MATCH(1536,$C$9:$C$9008,0)))</f>
        <v/>
      </c>
      <c r="B1544" s="9" t="str">
        <f>IFERROR(INDEX(Input!$L$20:$T$1019,INT((ROW()-9)/9)+1,MOD(ROW()-9,9)+1),"")</f>
        <v/>
      </c>
      <c r="C1544" s="9">
        <f t="shared" si="23"/>
        <v>0</v>
      </c>
    </row>
    <row r="1545" spans="1:3" x14ac:dyDescent="0.2">
      <c r="A1545" s="10" t="str">
        <f>IF(1537&gt;$C$9008,"",INDEX($B$9:$B$9008,MATCH(1537,$C$9:$C$9008,0)))</f>
        <v/>
      </c>
      <c r="B1545" s="9" t="str">
        <f>IFERROR(INDEX(Input!$L$20:$T$1019,INT((ROW()-9)/9)+1,MOD(ROW()-9,9)+1),"")</f>
        <v/>
      </c>
      <c r="C1545" s="9">
        <f t="shared" ref="C1545:C1608" si="24">$C1544+IF($B1545&lt;&gt;"",1,0)</f>
        <v>0</v>
      </c>
    </row>
    <row r="1546" spans="1:3" x14ac:dyDescent="0.2">
      <c r="A1546" s="10" t="str">
        <f>IF(1538&gt;$C$9008,"",INDEX($B$9:$B$9008,MATCH(1538,$C$9:$C$9008,0)))</f>
        <v/>
      </c>
      <c r="B1546" s="9" t="str">
        <f>IFERROR(INDEX(Input!$L$20:$T$1019,INT((ROW()-9)/9)+1,MOD(ROW()-9,9)+1),"")</f>
        <v/>
      </c>
      <c r="C1546" s="9">
        <f t="shared" si="24"/>
        <v>0</v>
      </c>
    </row>
    <row r="1547" spans="1:3" x14ac:dyDescent="0.2">
      <c r="A1547" s="10" t="str">
        <f>IF(1539&gt;$C$9008,"",INDEX($B$9:$B$9008,MATCH(1539,$C$9:$C$9008,0)))</f>
        <v/>
      </c>
      <c r="B1547" s="9" t="str">
        <f>IFERROR(INDEX(Input!$L$20:$T$1019,INT((ROW()-9)/9)+1,MOD(ROW()-9,9)+1),"")</f>
        <v/>
      </c>
      <c r="C1547" s="9">
        <f t="shared" si="24"/>
        <v>0</v>
      </c>
    </row>
    <row r="1548" spans="1:3" x14ac:dyDescent="0.2">
      <c r="A1548" s="10" t="str">
        <f>IF(1540&gt;$C$9008,"",INDEX($B$9:$B$9008,MATCH(1540,$C$9:$C$9008,0)))</f>
        <v/>
      </c>
      <c r="B1548" s="9" t="str">
        <f>IFERROR(INDEX(Input!$L$20:$T$1019,INT((ROW()-9)/9)+1,MOD(ROW()-9,9)+1),"")</f>
        <v/>
      </c>
      <c r="C1548" s="9">
        <f t="shared" si="24"/>
        <v>0</v>
      </c>
    </row>
    <row r="1549" spans="1:3" x14ac:dyDescent="0.2">
      <c r="A1549" s="10" t="str">
        <f>IF(1541&gt;$C$9008,"",INDEX($B$9:$B$9008,MATCH(1541,$C$9:$C$9008,0)))</f>
        <v/>
      </c>
      <c r="B1549" s="9" t="str">
        <f>IFERROR(INDEX(Input!$L$20:$T$1019,INT((ROW()-9)/9)+1,MOD(ROW()-9,9)+1),"")</f>
        <v/>
      </c>
      <c r="C1549" s="9">
        <f t="shared" si="24"/>
        <v>0</v>
      </c>
    </row>
    <row r="1550" spans="1:3" x14ac:dyDescent="0.2">
      <c r="A1550" s="10" t="str">
        <f>IF(1542&gt;$C$9008,"",INDEX($B$9:$B$9008,MATCH(1542,$C$9:$C$9008,0)))</f>
        <v/>
      </c>
      <c r="B1550" s="9" t="str">
        <f>IFERROR(INDEX(Input!$L$20:$T$1019,INT((ROW()-9)/9)+1,MOD(ROW()-9,9)+1),"")</f>
        <v/>
      </c>
      <c r="C1550" s="9">
        <f t="shared" si="24"/>
        <v>0</v>
      </c>
    </row>
    <row r="1551" spans="1:3" x14ac:dyDescent="0.2">
      <c r="A1551" s="10" t="str">
        <f>IF(1543&gt;$C$9008,"",INDEX($B$9:$B$9008,MATCH(1543,$C$9:$C$9008,0)))</f>
        <v/>
      </c>
      <c r="B1551" s="9" t="str">
        <f>IFERROR(INDEX(Input!$L$20:$T$1019,INT((ROW()-9)/9)+1,MOD(ROW()-9,9)+1),"")</f>
        <v/>
      </c>
      <c r="C1551" s="9">
        <f t="shared" si="24"/>
        <v>0</v>
      </c>
    </row>
    <row r="1552" spans="1:3" x14ac:dyDescent="0.2">
      <c r="A1552" s="10" t="str">
        <f>IF(1544&gt;$C$9008,"",INDEX($B$9:$B$9008,MATCH(1544,$C$9:$C$9008,0)))</f>
        <v/>
      </c>
      <c r="B1552" s="9" t="str">
        <f>IFERROR(INDEX(Input!$L$20:$T$1019,INT((ROW()-9)/9)+1,MOD(ROW()-9,9)+1),"")</f>
        <v/>
      </c>
      <c r="C1552" s="9">
        <f t="shared" si="24"/>
        <v>0</v>
      </c>
    </row>
    <row r="1553" spans="1:3" x14ac:dyDescent="0.2">
      <c r="A1553" s="10" t="str">
        <f>IF(1545&gt;$C$9008,"",INDEX($B$9:$B$9008,MATCH(1545,$C$9:$C$9008,0)))</f>
        <v/>
      </c>
      <c r="B1553" s="9" t="str">
        <f>IFERROR(INDEX(Input!$L$20:$T$1019,INT((ROW()-9)/9)+1,MOD(ROW()-9,9)+1),"")</f>
        <v/>
      </c>
      <c r="C1553" s="9">
        <f t="shared" si="24"/>
        <v>0</v>
      </c>
    </row>
    <row r="1554" spans="1:3" x14ac:dyDescent="0.2">
      <c r="A1554" s="10" t="str">
        <f>IF(1546&gt;$C$9008,"",INDEX($B$9:$B$9008,MATCH(1546,$C$9:$C$9008,0)))</f>
        <v/>
      </c>
      <c r="B1554" s="9" t="str">
        <f>IFERROR(INDEX(Input!$L$20:$T$1019,INT((ROW()-9)/9)+1,MOD(ROW()-9,9)+1),"")</f>
        <v/>
      </c>
      <c r="C1554" s="9">
        <f t="shared" si="24"/>
        <v>0</v>
      </c>
    </row>
    <row r="1555" spans="1:3" x14ac:dyDescent="0.2">
      <c r="A1555" s="10" t="str">
        <f>IF(1547&gt;$C$9008,"",INDEX($B$9:$B$9008,MATCH(1547,$C$9:$C$9008,0)))</f>
        <v/>
      </c>
      <c r="B1555" s="9" t="str">
        <f>IFERROR(INDEX(Input!$L$20:$T$1019,INT((ROW()-9)/9)+1,MOD(ROW()-9,9)+1),"")</f>
        <v/>
      </c>
      <c r="C1555" s="9">
        <f t="shared" si="24"/>
        <v>0</v>
      </c>
    </row>
    <row r="1556" spans="1:3" x14ac:dyDescent="0.2">
      <c r="A1556" s="10" t="str">
        <f>IF(1548&gt;$C$9008,"",INDEX($B$9:$B$9008,MATCH(1548,$C$9:$C$9008,0)))</f>
        <v/>
      </c>
      <c r="B1556" s="9" t="str">
        <f>IFERROR(INDEX(Input!$L$20:$T$1019,INT((ROW()-9)/9)+1,MOD(ROW()-9,9)+1),"")</f>
        <v/>
      </c>
      <c r="C1556" s="9">
        <f t="shared" si="24"/>
        <v>0</v>
      </c>
    </row>
    <row r="1557" spans="1:3" x14ac:dyDescent="0.2">
      <c r="A1557" s="10" t="str">
        <f>IF(1549&gt;$C$9008,"",INDEX($B$9:$B$9008,MATCH(1549,$C$9:$C$9008,0)))</f>
        <v/>
      </c>
      <c r="B1557" s="9" t="str">
        <f>IFERROR(INDEX(Input!$L$20:$T$1019,INT((ROW()-9)/9)+1,MOD(ROW()-9,9)+1),"")</f>
        <v/>
      </c>
      <c r="C1557" s="9">
        <f t="shared" si="24"/>
        <v>0</v>
      </c>
    </row>
    <row r="1558" spans="1:3" x14ac:dyDescent="0.2">
      <c r="A1558" s="10" t="str">
        <f>IF(1550&gt;$C$9008,"",INDEX($B$9:$B$9008,MATCH(1550,$C$9:$C$9008,0)))</f>
        <v/>
      </c>
      <c r="B1558" s="9" t="str">
        <f>IFERROR(INDEX(Input!$L$20:$T$1019,INT((ROW()-9)/9)+1,MOD(ROW()-9,9)+1),"")</f>
        <v/>
      </c>
      <c r="C1558" s="9">
        <f t="shared" si="24"/>
        <v>0</v>
      </c>
    </row>
    <row r="1559" spans="1:3" x14ac:dyDescent="0.2">
      <c r="A1559" s="10" t="str">
        <f>IF(1551&gt;$C$9008,"",INDEX($B$9:$B$9008,MATCH(1551,$C$9:$C$9008,0)))</f>
        <v/>
      </c>
      <c r="B1559" s="9" t="str">
        <f>IFERROR(INDEX(Input!$L$20:$T$1019,INT((ROW()-9)/9)+1,MOD(ROW()-9,9)+1),"")</f>
        <v/>
      </c>
      <c r="C1559" s="9">
        <f t="shared" si="24"/>
        <v>0</v>
      </c>
    </row>
    <row r="1560" spans="1:3" x14ac:dyDescent="0.2">
      <c r="A1560" s="10" t="str">
        <f>IF(1552&gt;$C$9008,"",INDEX($B$9:$B$9008,MATCH(1552,$C$9:$C$9008,0)))</f>
        <v/>
      </c>
      <c r="B1560" s="9" t="str">
        <f>IFERROR(INDEX(Input!$L$20:$T$1019,INT((ROW()-9)/9)+1,MOD(ROW()-9,9)+1),"")</f>
        <v/>
      </c>
      <c r="C1560" s="9">
        <f t="shared" si="24"/>
        <v>0</v>
      </c>
    </row>
    <row r="1561" spans="1:3" x14ac:dyDescent="0.2">
      <c r="A1561" s="10" t="str">
        <f>IF(1553&gt;$C$9008,"",INDEX($B$9:$B$9008,MATCH(1553,$C$9:$C$9008,0)))</f>
        <v/>
      </c>
      <c r="B1561" s="9" t="str">
        <f>IFERROR(INDEX(Input!$L$20:$T$1019,INT((ROW()-9)/9)+1,MOD(ROW()-9,9)+1),"")</f>
        <v/>
      </c>
      <c r="C1561" s="9">
        <f t="shared" si="24"/>
        <v>0</v>
      </c>
    </row>
    <row r="1562" spans="1:3" x14ac:dyDescent="0.2">
      <c r="A1562" s="10" t="str">
        <f>IF(1554&gt;$C$9008,"",INDEX($B$9:$B$9008,MATCH(1554,$C$9:$C$9008,0)))</f>
        <v/>
      </c>
      <c r="B1562" s="9" t="str">
        <f>IFERROR(INDEX(Input!$L$20:$T$1019,INT((ROW()-9)/9)+1,MOD(ROW()-9,9)+1),"")</f>
        <v/>
      </c>
      <c r="C1562" s="9">
        <f t="shared" si="24"/>
        <v>0</v>
      </c>
    </row>
    <row r="1563" spans="1:3" x14ac:dyDescent="0.2">
      <c r="A1563" s="10" t="str">
        <f>IF(1555&gt;$C$9008,"",INDEX($B$9:$B$9008,MATCH(1555,$C$9:$C$9008,0)))</f>
        <v/>
      </c>
      <c r="B1563" s="9" t="str">
        <f>IFERROR(INDEX(Input!$L$20:$T$1019,INT((ROW()-9)/9)+1,MOD(ROW()-9,9)+1),"")</f>
        <v/>
      </c>
      <c r="C1563" s="9">
        <f t="shared" si="24"/>
        <v>0</v>
      </c>
    </row>
    <row r="1564" spans="1:3" x14ac:dyDescent="0.2">
      <c r="A1564" s="10" t="str">
        <f>IF(1556&gt;$C$9008,"",INDEX($B$9:$B$9008,MATCH(1556,$C$9:$C$9008,0)))</f>
        <v/>
      </c>
      <c r="B1564" s="9" t="str">
        <f>IFERROR(INDEX(Input!$L$20:$T$1019,INT((ROW()-9)/9)+1,MOD(ROW()-9,9)+1),"")</f>
        <v/>
      </c>
      <c r="C1564" s="9">
        <f t="shared" si="24"/>
        <v>0</v>
      </c>
    </row>
    <row r="1565" spans="1:3" x14ac:dyDescent="0.2">
      <c r="A1565" s="10" t="str">
        <f>IF(1557&gt;$C$9008,"",INDEX($B$9:$B$9008,MATCH(1557,$C$9:$C$9008,0)))</f>
        <v/>
      </c>
      <c r="B1565" s="9" t="str">
        <f>IFERROR(INDEX(Input!$L$20:$T$1019,INT((ROW()-9)/9)+1,MOD(ROW()-9,9)+1),"")</f>
        <v/>
      </c>
      <c r="C1565" s="9">
        <f t="shared" si="24"/>
        <v>0</v>
      </c>
    </row>
    <row r="1566" spans="1:3" x14ac:dyDescent="0.2">
      <c r="A1566" s="10" t="str">
        <f>IF(1558&gt;$C$9008,"",INDEX($B$9:$B$9008,MATCH(1558,$C$9:$C$9008,0)))</f>
        <v/>
      </c>
      <c r="B1566" s="9" t="str">
        <f>IFERROR(INDEX(Input!$L$20:$T$1019,INT((ROW()-9)/9)+1,MOD(ROW()-9,9)+1),"")</f>
        <v/>
      </c>
      <c r="C1566" s="9">
        <f t="shared" si="24"/>
        <v>0</v>
      </c>
    </row>
    <row r="1567" spans="1:3" x14ac:dyDescent="0.2">
      <c r="A1567" s="10" t="str">
        <f>IF(1559&gt;$C$9008,"",INDEX($B$9:$B$9008,MATCH(1559,$C$9:$C$9008,0)))</f>
        <v/>
      </c>
      <c r="B1567" s="9" t="str">
        <f>IFERROR(INDEX(Input!$L$20:$T$1019,INT((ROW()-9)/9)+1,MOD(ROW()-9,9)+1),"")</f>
        <v/>
      </c>
      <c r="C1567" s="9">
        <f t="shared" si="24"/>
        <v>0</v>
      </c>
    </row>
    <row r="1568" spans="1:3" x14ac:dyDescent="0.2">
      <c r="A1568" s="10" t="str">
        <f>IF(1560&gt;$C$9008,"",INDEX($B$9:$B$9008,MATCH(1560,$C$9:$C$9008,0)))</f>
        <v/>
      </c>
      <c r="B1568" s="9" t="str">
        <f>IFERROR(INDEX(Input!$L$20:$T$1019,INT((ROW()-9)/9)+1,MOD(ROW()-9,9)+1),"")</f>
        <v/>
      </c>
      <c r="C1568" s="9">
        <f t="shared" si="24"/>
        <v>0</v>
      </c>
    </row>
    <row r="1569" spans="1:3" x14ac:dyDescent="0.2">
      <c r="A1569" s="10" t="str">
        <f>IF(1561&gt;$C$9008,"",INDEX($B$9:$B$9008,MATCH(1561,$C$9:$C$9008,0)))</f>
        <v/>
      </c>
      <c r="B1569" s="9" t="str">
        <f>IFERROR(INDEX(Input!$L$20:$T$1019,INT((ROW()-9)/9)+1,MOD(ROW()-9,9)+1),"")</f>
        <v/>
      </c>
      <c r="C1569" s="9">
        <f t="shared" si="24"/>
        <v>0</v>
      </c>
    </row>
    <row r="1570" spans="1:3" x14ac:dyDescent="0.2">
      <c r="A1570" s="10" t="str">
        <f>IF(1562&gt;$C$9008,"",INDEX($B$9:$B$9008,MATCH(1562,$C$9:$C$9008,0)))</f>
        <v/>
      </c>
      <c r="B1570" s="9" t="str">
        <f>IFERROR(INDEX(Input!$L$20:$T$1019,INT((ROW()-9)/9)+1,MOD(ROW()-9,9)+1),"")</f>
        <v/>
      </c>
      <c r="C1570" s="9">
        <f t="shared" si="24"/>
        <v>0</v>
      </c>
    </row>
    <row r="1571" spans="1:3" x14ac:dyDescent="0.2">
      <c r="A1571" s="10" t="str">
        <f>IF(1563&gt;$C$9008,"",INDEX($B$9:$B$9008,MATCH(1563,$C$9:$C$9008,0)))</f>
        <v/>
      </c>
      <c r="B1571" s="9" t="str">
        <f>IFERROR(INDEX(Input!$L$20:$T$1019,INT((ROW()-9)/9)+1,MOD(ROW()-9,9)+1),"")</f>
        <v/>
      </c>
      <c r="C1571" s="9">
        <f t="shared" si="24"/>
        <v>0</v>
      </c>
    </row>
    <row r="1572" spans="1:3" x14ac:dyDescent="0.2">
      <c r="A1572" s="10" t="str">
        <f>IF(1564&gt;$C$9008,"",INDEX($B$9:$B$9008,MATCH(1564,$C$9:$C$9008,0)))</f>
        <v/>
      </c>
      <c r="B1572" s="9" t="str">
        <f>IFERROR(INDEX(Input!$L$20:$T$1019,INT((ROW()-9)/9)+1,MOD(ROW()-9,9)+1),"")</f>
        <v/>
      </c>
      <c r="C1572" s="9">
        <f t="shared" si="24"/>
        <v>0</v>
      </c>
    </row>
    <row r="1573" spans="1:3" x14ac:dyDescent="0.2">
      <c r="A1573" s="10" t="str">
        <f>IF(1565&gt;$C$9008,"",INDEX($B$9:$B$9008,MATCH(1565,$C$9:$C$9008,0)))</f>
        <v/>
      </c>
      <c r="B1573" s="9" t="str">
        <f>IFERROR(INDEX(Input!$L$20:$T$1019,INT((ROW()-9)/9)+1,MOD(ROW()-9,9)+1),"")</f>
        <v/>
      </c>
      <c r="C1573" s="9">
        <f t="shared" si="24"/>
        <v>0</v>
      </c>
    </row>
    <row r="1574" spans="1:3" x14ac:dyDescent="0.2">
      <c r="A1574" s="10" t="str">
        <f>IF(1566&gt;$C$9008,"",INDEX($B$9:$B$9008,MATCH(1566,$C$9:$C$9008,0)))</f>
        <v/>
      </c>
      <c r="B1574" s="9" t="str">
        <f>IFERROR(INDEX(Input!$L$20:$T$1019,INT((ROW()-9)/9)+1,MOD(ROW()-9,9)+1),"")</f>
        <v/>
      </c>
      <c r="C1574" s="9">
        <f t="shared" si="24"/>
        <v>0</v>
      </c>
    </row>
    <row r="1575" spans="1:3" x14ac:dyDescent="0.2">
      <c r="A1575" s="10" t="str">
        <f>IF(1567&gt;$C$9008,"",INDEX($B$9:$B$9008,MATCH(1567,$C$9:$C$9008,0)))</f>
        <v/>
      </c>
      <c r="B1575" s="9" t="str">
        <f>IFERROR(INDEX(Input!$L$20:$T$1019,INT((ROW()-9)/9)+1,MOD(ROW()-9,9)+1),"")</f>
        <v/>
      </c>
      <c r="C1575" s="9">
        <f t="shared" si="24"/>
        <v>0</v>
      </c>
    </row>
    <row r="1576" spans="1:3" x14ac:dyDescent="0.2">
      <c r="A1576" s="10" t="str">
        <f>IF(1568&gt;$C$9008,"",INDEX($B$9:$B$9008,MATCH(1568,$C$9:$C$9008,0)))</f>
        <v/>
      </c>
      <c r="B1576" s="9" t="str">
        <f>IFERROR(INDEX(Input!$L$20:$T$1019,INT((ROW()-9)/9)+1,MOD(ROW()-9,9)+1),"")</f>
        <v/>
      </c>
      <c r="C1576" s="9">
        <f t="shared" si="24"/>
        <v>0</v>
      </c>
    </row>
    <row r="1577" spans="1:3" x14ac:dyDescent="0.2">
      <c r="A1577" s="10" t="str">
        <f>IF(1569&gt;$C$9008,"",INDEX($B$9:$B$9008,MATCH(1569,$C$9:$C$9008,0)))</f>
        <v/>
      </c>
      <c r="B1577" s="9" t="str">
        <f>IFERROR(INDEX(Input!$L$20:$T$1019,INT((ROW()-9)/9)+1,MOD(ROW()-9,9)+1),"")</f>
        <v/>
      </c>
      <c r="C1577" s="9">
        <f t="shared" si="24"/>
        <v>0</v>
      </c>
    </row>
    <row r="1578" spans="1:3" x14ac:dyDescent="0.2">
      <c r="A1578" s="10" t="str">
        <f>IF(1570&gt;$C$9008,"",INDEX($B$9:$B$9008,MATCH(1570,$C$9:$C$9008,0)))</f>
        <v/>
      </c>
      <c r="B1578" s="9" t="str">
        <f>IFERROR(INDEX(Input!$L$20:$T$1019,INT((ROW()-9)/9)+1,MOD(ROW()-9,9)+1),"")</f>
        <v/>
      </c>
      <c r="C1578" s="9">
        <f t="shared" si="24"/>
        <v>0</v>
      </c>
    </row>
    <row r="1579" spans="1:3" x14ac:dyDescent="0.2">
      <c r="A1579" s="10" t="str">
        <f>IF(1571&gt;$C$9008,"",INDEX($B$9:$B$9008,MATCH(1571,$C$9:$C$9008,0)))</f>
        <v/>
      </c>
      <c r="B1579" s="9" t="str">
        <f>IFERROR(INDEX(Input!$L$20:$T$1019,INT((ROW()-9)/9)+1,MOD(ROW()-9,9)+1),"")</f>
        <v/>
      </c>
      <c r="C1579" s="9">
        <f t="shared" si="24"/>
        <v>0</v>
      </c>
    </row>
    <row r="1580" spans="1:3" x14ac:dyDescent="0.2">
      <c r="A1580" s="10" t="str">
        <f>IF(1572&gt;$C$9008,"",INDEX($B$9:$B$9008,MATCH(1572,$C$9:$C$9008,0)))</f>
        <v/>
      </c>
      <c r="B1580" s="9" t="str">
        <f>IFERROR(INDEX(Input!$L$20:$T$1019,INT((ROW()-9)/9)+1,MOD(ROW()-9,9)+1),"")</f>
        <v/>
      </c>
      <c r="C1580" s="9">
        <f t="shared" si="24"/>
        <v>0</v>
      </c>
    </row>
    <row r="1581" spans="1:3" x14ac:dyDescent="0.2">
      <c r="A1581" s="10" t="str">
        <f>IF(1573&gt;$C$9008,"",INDEX($B$9:$B$9008,MATCH(1573,$C$9:$C$9008,0)))</f>
        <v/>
      </c>
      <c r="B1581" s="9" t="str">
        <f>IFERROR(INDEX(Input!$L$20:$T$1019,INT((ROW()-9)/9)+1,MOD(ROW()-9,9)+1),"")</f>
        <v/>
      </c>
      <c r="C1581" s="9">
        <f t="shared" si="24"/>
        <v>0</v>
      </c>
    </row>
    <row r="1582" spans="1:3" x14ac:dyDescent="0.2">
      <c r="A1582" s="10" t="str">
        <f>IF(1574&gt;$C$9008,"",INDEX($B$9:$B$9008,MATCH(1574,$C$9:$C$9008,0)))</f>
        <v/>
      </c>
      <c r="B1582" s="9" t="str">
        <f>IFERROR(INDEX(Input!$L$20:$T$1019,INT((ROW()-9)/9)+1,MOD(ROW()-9,9)+1),"")</f>
        <v/>
      </c>
      <c r="C1582" s="9">
        <f t="shared" si="24"/>
        <v>0</v>
      </c>
    </row>
    <row r="1583" spans="1:3" x14ac:dyDescent="0.2">
      <c r="A1583" s="10" t="str">
        <f>IF(1575&gt;$C$9008,"",INDEX($B$9:$B$9008,MATCH(1575,$C$9:$C$9008,0)))</f>
        <v/>
      </c>
      <c r="B1583" s="9" t="str">
        <f>IFERROR(INDEX(Input!$L$20:$T$1019,INT((ROW()-9)/9)+1,MOD(ROW()-9,9)+1),"")</f>
        <v/>
      </c>
      <c r="C1583" s="9">
        <f t="shared" si="24"/>
        <v>0</v>
      </c>
    </row>
    <row r="1584" spans="1:3" x14ac:dyDescent="0.2">
      <c r="A1584" s="10" t="str">
        <f>IF(1576&gt;$C$9008,"",INDEX($B$9:$B$9008,MATCH(1576,$C$9:$C$9008,0)))</f>
        <v/>
      </c>
      <c r="B1584" s="9" t="str">
        <f>IFERROR(INDEX(Input!$L$20:$T$1019,INT((ROW()-9)/9)+1,MOD(ROW()-9,9)+1),"")</f>
        <v/>
      </c>
      <c r="C1584" s="9">
        <f t="shared" si="24"/>
        <v>0</v>
      </c>
    </row>
    <row r="1585" spans="1:3" x14ac:dyDescent="0.2">
      <c r="A1585" s="10" t="str">
        <f>IF(1577&gt;$C$9008,"",INDEX($B$9:$B$9008,MATCH(1577,$C$9:$C$9008,0)))</f>
        <v/>
      </c>
      <c r="B1585" s="9" t="str">
        <f>IFERROR(INDEX(Input!$L$20:$T$1019,INT((ROW()-9)/9)+1,MOD(ROW()-9,9)+1),"")</f>
        <v/>
      </c>
      <c r="C1585" s="9">
        <f t="shared" si="24"/>
        <v>0</v>
      </c>
    </row>
    <row r="1586" spans="1:3" x14ac:dyDescent="0.2">
      <c r="A1586" s="10" t="str">
        <f>IF(1578&gt;$C$9008,"",INDEX($B$9:$B$9008,MATCH(1578,$C$9:$C$9008,0)))</f>
        <v/>
      </c>
      <c r="B1586" s="9" t="str">
        <f>IFERROR(INDEX(Input!$L$20:$T$1019,INT((ROW()-9)/9)+1,MOD(ROW()-9,9)+1),"")</f>
        <v/>
      </c>
      <c r="C1586" s="9">
        <f t="shared" si="24"/>
        <v>0</v>
      </c>
    </row>
    <row r="1587" spans="1:3" x14ac:dyDescent="0.2">
      <c r="A1587" s="10" t="str">
        <f>IF(1579&gt;$C$9008,"",INDEX($B$9:$B$9008,MATCH(1579,$C$9:$C$9008,0)))</f>
        <v/>
      </c>
      <c r="B1587" s="9" t="str">
        <f>IFERROR(INDEX(Input!$L$20:$T$1019,INT((ROW()-9)/9)+1,MOD(ROW()-9,9)+1),"")</f>
        <v/>
      </c>
      <c r="C1587" s="9">
        <f t="shared" si="24"/>
        <v>0</v>
      </c>
    </row>
    <row r="1588" spans="1:3" x14ac:dyDescent="0.2">
      <c r="A1588" s="10" t="str">
        <f>IF(1580&gt;$C$9008,"",INDEX($B$9:$B$9008,MATCH(1580,$C$9:$C$9008,0)))</f>
        <v/>
      </c>
      <c r="B1588" s="9" t="str">
        <f>IFERROR(INDEX(Input!$L$20:$T$1019,INT((ROW()-9)/9)+1,MOD(ROW()-9,9)+1),"")</f>
        <v/>
      </c>
      <c r="C1588" s="9">
        <f t="shared" si="24"/>
        <v>0</v>
      </c>
    </row>
    <row r="1589" spans="1:3" x14ac:dyDescent="0.2">
      <c r="A1589" s="10" t="str">
        <f>IF(1581&gt;$C$9008,"",INDEX($B$9:$B$9008,MATCH(1581,$C$9:$C$9008,0)))</f>
        <v/>
      </c>
      <c r="B1589" s="9" t="str">
        <f>IFERROR(INDEX(Input!$L$20:$T$1019,INT((ROW()-9)/9)+1,MOD(ROW()-9,9)+1),"")</f>
        <v/>
      </c>
      <c r="C1589" s="9">
        <f t="shared" si="24"/>
        <v>0</v>
      </c>
    </row>
    <row r="1590" spans="1:3" x14ac:dyDescent="0.2">
      <c r="A1590" s="10" t="str">
        <f>IF(1582&gt;$C$9008,"",INDEX($B$9:$B$9008,MATCH(1582,$C$9:$C$9008,0)))</f>
        <v/>
      </c>
      <c r="B1590" s="9" t="str">
        <f>IFERROR(INDEX(Input!$L$20:$T$1019,INT((ROW()-9)/9)+1,MOD(ROW()-9,9)+1),"")</f>
        <v/>
      </c>
      <c r="C1590" s="9">
        <f t="shared" si="24"/>
        <v>0</v>
      </c>
    </row>
    <row r="1591" spans="1:3" x14ac:dyDescent="0.2">
      <c r="A1591" s="10" t="str">
        <f>IF(1583&gt;$C$9008,"",INDEX($B$9:$B$9008,MATCH(1583,$C$9:$C$9008,0)))</f>
        <v/>
      </c>
      <c r="B1591" s="9" t="str">
        <f>IFERROR(INDEX(Input!$L$20:$T$1019,INT((ROW()-9)/9)+1,MOD(ROW()-9,9)+1),"")</f>
        <v/>
      </c>
      <c r="C1591" s="9">
        <f t="shared" si="24"/>
        <v>0</v>
      </c>
    </row>
    <row r="1592" spans="1:3" x14ac:dyDescent="0.2">
      <c r="A1592" s="10" t="str">
        <f>IF(1584&gt;$C$9008,"",INDEX($B$9:$B$9008,MATCH(1584,$C$9:$C$9008,0)))</f>
        <v/>
      </c>
      <c r="B1592" s="9" t="str">
        <f>IFERROR(INDEX(Input!$L$20:$T$1019,INT((ROW()-9)/9)+1,MOD(ROW()-9,9)+1),"")</f>
        <v/>
      </c>
      <c r="C1592" s="9">
        <f t="shared" si="24"/>
        <v>0</v>
      </c>
    </row>
    <row r="1593" spans="1:3" x14ac:dyDescent="0.2">
      <c r="A1593" s="10" t="str">
        <f>IF(1585&gt;$C$9008,"",INDEX($B$9:$B$9008,MATCH(1585,$C$9:$C$9008,0)))</f>
        <v/>
      </c>
      <c r="B1593" s="9" t="str">
        <f>IFERROR(INDEX(Input!$L$20:$T$1019,INT((ROW()-9)/9)+1,MOD(ROW()-9,9)+1),"")</f>
        <v/>
      </c>
      <c r="C1593" s="9">
        <f t="shared" si="24"/>
        <v>0</v>
      </c>
    </row>
    <row r="1594" spans="1:3" x14ac:dyDescent="0.2">
      <c r="A1594" s="10" t="str">
        <f>IF(1586&gt;$C$9008,"",INDEX($B$9:$B$9008,MATCH(1586,$C$9:$C$9008,0)))</f>
        <v/>
      </c>
      <c r="B1594" s="9" t="str">
        <f>IFERROR(INDEX(Input!$L$20:$T$1019,INT((ROW()-9)/9)+1,MOD(ROW()-9,9)+1),"")</f>
        <v/>
      </c>
      <c r="C1594" s="9">
        <f t="shared" si="24"/>
        <v>0</v>
      </c>
    </row>
    <row r="1595" spans="1:3" x14ac:dyDescent="0.2">
      <c r="A1595" s="10" t="str">
        <f>IF(1587&gt;$C$9008,"",INDEX($B$9:$B$9008,MATCH(1587,$C$9:$C$9008,0)))</f>
        <v/>
      </c>
      <c r="B1595" s="9" t="str">
        <f>IFERROR(INDEX(Input!$L$20:$T$1019,INT((ROW()-9)/9)+1,MOD(ROW()-9,9)+1),"")</f>
        <v/>
      </c>
      <c r="C1595" s="9">
        <f t="shared" si="24"/>
        <v>0</v>
      </c>
    </row>
    <row r="1596" spans="1:3" x14ac:dyDescent="0.2">
      <c r="A1596" s="10" t="str">
        <f>IF(1588&gt;$C$9008,"",INDEX($B$9:$B$9008,MATCH(1588,$C$9:$C$9008,0)))</f>
        <v/>
      </c>
      <c r="B1596" s="9" t="str">
        <f>IFERROR(INDEX(Input!$L$20:$T$1019,INT((ROW()-9)/9)+1,MOD(ROW()-9,9)+1),"")</f>
        <v/>
      </c>
      <c r="C1596" s="9">
        <f t="shared" si="24"/>
        <v>0</v>
      </c>
    </row>
    <row r="1597" spans="1:3" x14ac:dyDescent="0.2">
      <c r="A1597" s="10" t="str">
        <f>IF(1589&gt;$C$9008,"",INDEX($B$9:$B$9008,MATCH(1589,$C$9:$C$9008,0)))</f>
        <v/>
      </c>
      <c r="B1597" s="9" t="str">
        <f>IFERROR(INDEX(Input!$L$20:$T$1019,INT((ROW()-9)/9)+1,MOD(ROW()-9,9)+1),"")</f>
        <v/>
      </c>
      <c r="C1597" s="9">
        <f t="shared" si="24"/>
        <v>0</v>
      </c>
    </row>
    <row r="1598" spans="1:3" x14ac:dyDescent="0.2">
      <c r="A1598" s="10" t="str">
        <f>IF(1590&gt;$C$9008,"",INDEX($B$9:$B$9008,MATCH(1590,$C$9:$C$9008,0)))</f>
        <v/>
      </c>
      <c r="B1598" s="9" t="str">
        <f>IFERROR(INDEX(Input!$L$20:$T$1019,INT((ROW()-9)/9)+1,MOD(ROW()-9,9)+1),"")</f>
        <v/>
      </c>
      <c r="C1598" s="9">
        <f t="shared" si="24"/>
        <v>0</v>
      </c>
    </row>
    <row r="1599" spans="1:3" x14ac:dyDescent="0.2">
      <c r="A1599" s="10" t="str">
        <f>IF(1591&gt;$C$9008,"",INDEX($B$9:$B$9008,MATCH(1591,$C$9:$C$9008,0)))</f>
        <v/>
      </c>
      <c r="B1599" s="9" t="str">
        <f>IFERROR(INDEX(Input!$L$20:$T$1019,INT((ROW()-9)/9)+1,MOD(ROW()-9,9)+1),"")</f>
        <v/>
      </c>
      <c r="C1599" s="9">
        <f t="shared" si="24"/>
        <v>0</v>
      </c>
    </row>
    <row r="1600" spans="1:3" x14ac:dyDescent="0.2">
      <c r="A1600" s="10" t="str">
        <f>IF(1592&gt;$C$9008,"",INDEX($B$9:$B$9008,MATCH(1592,$C$9:$C$9008,0)))</f>
        <v/>
      </c>
      <c r="B1600" s="9" t="str">
        <f>IFERROR(INDEX(Input!$L$20:$T$1019,INT((ROW()-9)/9)+1,MOD(ROW()-9,9)+1),"")</f>
        <v/>
      </c>
      <c r="C1600" s="9">
        <f t="shared" si="24"/>
        <v>0</v>
      </c>
    </row>
    <row r="1601" spans="1:3" x14ac:dyDescent="0.2">
      <c r="A1601" s="10" t="str">
        <f>IF(1593&gt;$C$9008,"",INDEX($B$9:$B$9008,MATCH(1593,$C$9:$C$9008,0)))</f>
        <v/>
      </c>
      <c r="B1601" s="9" t="str">
        <f>IFERROR(INDEX(Input!$L$20:$T$1019,INT((ROW()-9)/9)+1,MOD(ROW()-9,9)+1),"")</f>
        <v/>
      </c>
      <c r="C1601" s="9">
        <f t="shared" si="24"/>
        <v>0</v>
      </c>
    </row>
    <row r="1602" spans="1:3" x14ac:dyDescent="0.2">
      <c r="A1602" s="10" t="str">
        <f>IF(1594&gt;$C$9008,"",INDEX($B$9:$B$9008,MATCH(1594,$C$9:$C$9008,0)))</f>
        <v/>
      </c>
      <c r="B1602" s="9" t="str">
        <f>IFERROR(INDEX(Input!$L$20:$T$1019,INT((ROW()-9)/9)+1,MOD(ROW()-9,9)+1),"")</f>
        <v/>
      </c>
      <c r="C1602" s="9">
        <f t="shared" si="24"/>
        <v>0</v>
      </c>
    </row>
    <row r="1603" spans="1:3" x14ac:dyDescent="0.2">
      <c r="A1603" s="10" t="str">
        <f>IF(1595&gt;$C$9008,"",INDEX($B$9:$B$9008,MATCH(1595,$C$9:$C$9008,0)))</f>
        <v/>
      </c>
      <c r="B1603" s="9" t="str">
        <f>IFERROR(INDEX(Input!$L$20:$T$1019,INT((ROW()-9)/9)+1,MOD(ROW()-9,9)+1),"")</f>
        <v/>
      </c>
      <c r="C1603" s="9">
        <f t="shared" si="24"/>
        <v>0</v>
      </c>
    </row>
    <row r="1604" spans="1:3" x14ac:dyDescent="0.2">
      <c r="A1604" s="10" t="str">
        <f>IF(1596&gt;$C$9008,"",INDEX($B$9:$B$9008,MATCH(1596,$C$9:$C$9008,0)))</f>
        <v/>
      </c>
      <c r="B1604" s="9" t="str">
        <f>IFERROR(INDEX(Input!$L$20:$T$1019,INT((ROW()-9)/9)+1,MOD(ROW()-9,9)+1),"")</f>
        <v/>
      </c>
      <c r="C1604" s="9">
        <f t="shared" si="24"/>
        <v>0</v>
      </c>
    </row>
    <row r="1605" spans="1:3" x14ac:dyDescent="0.2">
      <c r="A1605" s="10" t="str">
        <f>IF(1597&gt;$C$9008,"",INDEX($B$9:$B$9008,MATCH(1597,$C$9:$C$9008,0)))</f>
        <v/>
      </c>
      <c r="B1605" s="9" t="str">
        <f>IFERROR(INDEX(Input!$L$20:$T$1019,INT((ROW()-9)/9)+1,MOD(ROW()-9,9)+1),"")</f>
        <v/>
      </c>
      <c r="C1605" s="9">
        <f t="shared" si="24"/>
        <v>0</v>
      </c>
    </row>
    <row r="1606" spans="1:3" x14ac:dyDescent="0.2">
      <c r="A1606" s="10" t="str">
        <f>IF(1598&gt;$C$9008,"",INDEX($B$9:$B$9008,MATCH(1598,$C$9:$C$9008,0)))</f>
        <v/>
      </c>
      <c r="B1606" s="9" t="str">
        <f>IFERROR(INDEX(Input!$L$20:$T$1019,INT((ROW()-9)/9)+1,MOD(ROW()-9,9)+1),"")</f>
        <v/>
      </c>
      <c r="C1606" s="9">
        <f t="shared" si="24"/>
        <v>0</v>
      </c>
    </row>
    <row r="1607" spans="1:3" x14ac:dyDescent="0.2">
      <c r="A1607" s="10" t="str">
        <f>IF(1599&gt;$C$9008,"",INDEX($B$9:$B$9008,MATCH(1599,$C$9:$C$9008,0)))</f>
        <v/>
      </c>
      <c r="B1607" s="9" t="str">
        <f>IFERROR(INDEX(Input!$L$20:$T$1019,INT((ROW()-9)/9)+1,MOD(ROW()-9,9)+1),"")</f>
        <v/>
      </c>
      <c r="C1607" s="9">
        <f t="shared" si="24"/>
        <v>0</v>
      </c>
    </row>
    <row r="1608" spans="1:3" x14ac:dyDescent="0.2">
      <c r="A1608" s="10" t="str">
        <f>IF(1600&gt;$C$9008,"",INDEX($B$9:$B$9008,MATCH(1600,$C$9:$C$9008,0)))</f>
        <v/>
      </c>
      <c r="B1608" s="9" t="str">
        <f>IFERROR(INDEX(Input!$L$20:$T$1019,INT((ROW()-9)/9)+1,MOD(ROW()-9,9)+1),"")</f>
        <v/>
      </c>
      <c r="C1608" s="9">
        <f t="shared" si="24"/>
        <v>0</v>
      </c>
    </row>
    <row r="1609" spans="1:3" x14ac:dyDescent="0.2">
      <c r="A1609" s="10" t="str">
        <f>IF(1601&gt;$C$9008,"",INDEX($B$9:$B$9008,MATCH(1601,$C$9:$C$9008,0)))</f>
        <v/>
      </c>
      <c r="B1609" s="9" t="str">
        <f>IFERROR(INDEX(Input!$L$20:$T$1019,INT((ROW()-9)/9)+1,MOD(ROW()-9,9)+1),"")</f>
        <v/>
      </c>
      <c r="C1609" s="9">
        <f t="shared" ref="C1609:C1672" si="25">$C1608+IF($B1609&lt;&gt;"",1,0)</f>
        <v>0</v>
      </c>
    </row>
    <row r="1610" spans="1:3" x14ac:dyDescent="0.2">
      <c r="A1610" s="10" t="str">
        <f>IF(1602&gt;$C$9008,"",INDEX($B$9:$B$9008,MATCH(1602,$C$9:$C$9008,0)))</f>
        <v/>
      </c>
      <c r="B1610" s="9" t="str">
        <f>IFERROR(INDEX(Input!$L$20:$T$1019,INT((ROW()-9)/9)+1,MOD(ROW()-9,9)+1),"")</f>
        <v/>
      </c>
      <c r="C1610" s="9">
        <f t="shared" si="25"/>
        <v>0</v>
      </c>
    </row>
    <row r="1611" spans="1:3" x14ac:dyDescent="0.2">
      <c r="A1611" s="10" t="str">
        <f>IF(1603&gt;$C$9008,"",INDEX($B$9:$B$9008,MATCH(1603,$C$9:$C$9008,0)))</f>
        <v/>
      </c>
      <c r="B1611" s="9" t="str">
        <f>IFERROR(INDEX(Input!$L$20:$T$1019,INT((ROW()-9)/9)+1,MOD(ROW()-9,9)+1),"")</f>
        <v/>
      </c>
      <c r="C1611" s="9">
        <f t="shared" si="25"/>
        <v>0</v>
      </c>
    </row>
    <row r="1612" spans="1:3" x14ac:dyDescent="0.2">
      <c r="A1612" s="10" t="str">
        <f>IF(1604&gt;$C$9008,"",INDEX($B$9:$B$9008,MATCH(1604,$C$9:$C$9008,0)))</f>
        <v/>
      </c>
      <c r="B1612" s="9" t="str">
        <f>IFERROR(INDEX(Input!$L$20:$T$1019,INT((ROW()-9)/9)+1,MOD(ROW()-9,9)+1),"")</f>
        <v/>
      </c>
      <c r="C1612" s="9">
        <f t="shared" si="25"/>
        <v>0</v>
      </c>
    </row>
    <row r="1613" spans="1:3" x14ac:dyDescent="0.2">
      <c r="A1613" s="10" t="str">
        <f>IF(1605&gt;$C$9008,"",INDEX($B$9:$B$9008,MATCH(1605,$C$9:$C$9008,0)))</f>
        <v/>
      </c>
      <c r="B1613" s="9" t="str">
        <f>IFERROR(INDEX(Input!$L$20:$T$1019,INT((ROW()-9)/9)+1,MOD(ROW()-9,9)+1),"")</f>
        <v/>
      </c>
      <c r="C1613" s="9">
        <f t="shared" si="25"/>
        <v>0</v>
      </c>
    </row>
    <row r="1614" spans="1:3" x14ac:dyDescent="0.2">
      <c r="A1614" s="10" t="str">
        <f>IF(1606&gt;$C$9008,"",INDEX($B$9:$B$9008,MATCH(1606,$C$9:$C$9008,0)))</f>
        <v/>
      </c>
      <c r="B1614" s="9" t="str">
        <f>IFERROR(INDEX(Input!$L$20:$T$1019,INT((ROW()-9)/9)+1,MOD(ROW()-9,9)+1),"")</f>
        <v/>
      </c>
      <c r="C1614" s="9">
        <f t="shared" si="25"/>
        <v>0</v>
      </c>
    </row>
    <row r="1615" spans="1:3" x14ac:dyDescent="0.2">
      <c r="A1615" s="10" t="str">
        <f>IF(1607&gt;$C$9008,"",INDEX($B$9:$B$9008,MATCH(1607,$C$9:$C$9008,0)))</f>
        <v/>
      </c>
      <c r="B1615" s="9" t="str">
        <f>IFERROR(INDEX(Input!$L$20:$T$1019,INT((ROW()-9)/9)+1,MOD(ROW()-9,9)+1),"")</f>
        <v/>
      </c>
      <c r="C1615" s="9">
        <f t="shared" si="25"/>
        <v>0</v>
      </c>
    </row>
    <row r="1616" spans="1:3" x14ac:dyDescent="0.2">
      <c r="A1616" s="10" t="str">
        <f>IF(1608&gt;$C$9008,"",INDEX($B$9:$B$9008,MATCH(1608,$C$9:$C$9008,0)))</f>
        <v/>
      </c>
      <c r="B1616" s="9" t="str">
        <f>IFERROR(INDEX(Input!$L$20:$T$1019,INT((ROW()-9)/9)+1,MOD(ROW()-9,9)+1),"")</f>
        <v/>
      </c>
      <c r="C1616" s="9">
        <f t="shared" si="25"/>
        <v>0</v>
      </c>
    </row>
    <row r="1617" spans="1:3" x14ac:dyDescent="0.2">
      <c r="A1617" s="10" t="str">
        <f>IF(1609&gt;$C$9008,"",INDEX($B$9:$B$9008,MATCH(1609,$C$9:$C$9008,0)))</f>
        <v/>
      </c>
      <c r="B1617" s="9" t="str">
        <f>IFERROR(INDEX(Input!$L$20:$T$1019,INT((ROW()-9)/9)+1,MOD(ROW()-9,9)+1),"")</f>
        <v/>
      </c>
      <c r="C1617" s="9">
        <f t="shared" si="25"/>
        <v>0</v>
      </c>
    </row>
    <row r="1618" spans="1:3" x14ac:dyDescent="0.2">
      <c r="A1618" s="10" t="str">
        <f>IF(1610&gt;$C$9008,"",INDEX($B$9:$B$9008,MATCH(1610,$C$9:$C$9008,0)))</f>
        <v/>
      </c>
      <c r="B1618" s="9" t="str">
        <f>IFERROR(INDEX(Input!$L$20:$T$1019,INT((ROW()-9)/9)+1,MOD(ROW()-9,9)+1),"")</f>
        <v/>
      </c>
      <c r="C1618" s="9">
        <f t="shared" si="25"/>
        <v>0</v>
      </c>
    </row>
    <row r="1619" spans="1:3" x14ac:dyDescent="0.2">
      <c r="A1619" s="10" t="str">
        <f>IF(1611&gt;$C$9008,"",INDEX($B$9:$B$9008,MATCH(1611,$C$9:$C$9008,0)))</f>
        <v/>
      </c>
      <c r="B1619" s="9" t="str">
        <f>IFERROR(INDEX(Input!$L$20:$T$1019,INT((ROW()-9)/9)+1,MOD(ROW()-9,9)+1),"")</f>
        <v/>
      </c>
      <c r="C1619" s="9">
        <f t="shared" si="25"/>
        <v>0</v>
      </c>
    </row>
    <row r="1620" spans="1:3" x14ac:dyDescent="0.2">
      <c r="A1620" s="10" t="str">
        <f>IF(1612&gt;$C$9008,"",INDEX($B$9:$B$9008,MATCH(1612,$C$9:$C$9008,0)))</f>
        <v/>
      </c>
      <c r="B1620" s="9" t="str">
        <f>IFERROR(INDEX(Input!$L$20:$T$1019,INT((ROW()-9)/9)+1,MOD(ROW()-9,9)+1),"")</f>
        <v/>
      </c>
      <c r="C1620" s="9">
        <f t="shared" si="25"/>
        <v>0</v>
      </c>
    </row>
    <row r="1621" spans="1:3" x14ac:dyDescent="0.2">
      <c r="A1621" s="10" t="str">
        <f>IF(1613&gt;$C$9008,"",INDEX($B$9:$B$9008,MATCH(1613,$C$9:$C$9008,0)))</f>
        <v/>
      </c>
      <c r="B1621" s="9" t="str">
        <f>IFERROR(INDEX(Input!$L$20:$T$1019,INT((ROW()-9)/9)+1,MOD(ROW()-9,9)+1),"")</f>
        <v/>
      </c>
      <c r="C1621" s="9">
        <f t="shared" si="25"/>
        <v>0</v>
      </c>
    </row>
    <row r="1622" spans="1:3" x14ac:dyDescent="0.2">
      <c r="A1622" s="10" t="str">
        <f>IF(1614&gt;$C$9008,"",INDEX($B$9:$B$9008,MATCH(1614,$C$9:$C$9008,0)))</f>
        <v/>
      </c>
      <c r="B1622" s="9" t="str">
        <f>IFERROR(INDEX(Input!$L$20:$T$1019,INT((ROW()-9)/9)+1,MOD(ROW()-9,9)+1),"")</f>
        <v/>
      </c>
      <c r="C1622" s="9">
        <f t="shared" si="25"/>
        <v>0</v>
      </c>
    </row>
    <row r="1623" spans="1:3" x14ac:dyDescent="0.2">
      <c r="A1623" s="10" t="str">
        <f>IF(1615&gt;$C$9008,"",INDEX($B$9:$B$9008,MATCH(1615,$C$9:$C$9008,0)))</f>
        <v/>
      </c>
      <c r="B1623" s="9" t="str">
        <f>IFERROR(INDEX(Input!$L$20:$T$1019,INT((ROW()-9)/9)+1,MOD(ROW()-9,9)+1),"")</f>
        <v/>
      </c>
      <c r="C1623" s="9">
        <f t="shared" si="25"/>
        <v>0</v>
      </c>
    </row>
    <row r="1624" spans="1:3" x14ac:dyDescent="0.2">
      <c r="A1624" s="10" t="str">
        <f>IF(1616&gt;$C$9008,"",INDEX($B$9:$B$9008,MATCH(1616,$C$9:$C$9008,0)))</f>
        <v/>
      </c>
      <c r="B1624" s="9" t="str">
        <f>IFERROR(INDEX(Input!$L$20:$T$1019,INT((ROW()-9)/9)+1,MOD(ROW()-9,9)+1),"")</f>
        <v/>
      </c>
      <c r="C1624" s="9">
        <f t="shared" si="25"/>
        <v>0</v>
      </c>
    </row>
    <row r="1625" spans="1:3" x14ac:dyDescent="0.2">
      <c r="A1625" s="10" t="str">
        <f>IF(1617&gt;$C$9008,"",INDEX($B$9:$B$9008,MATCH(1617,$C$9:$C$9008,0)))</f>
        <v/>
      </c>
      <c r="B1625" s="9" t="str">
        <f>IFERROR(INDEX(Input!$L$20:$T$1019,INT((ROW()-9)/9)+1,MOD(ROW()-9,9)+1),"")</f>
        <v/>
      </c>
      <c r="C1625" s="9">
        <f t="shared" si="25"/>
        <v>0</v>
      </c>
    </row>
    <row r="1626" spans="1:3" x14ac:dyDescent="0.2">
      <c r="A1626" s="10" t="str">
        <f>IF(1618&gt;$C$9008,"",INDEX($B$9:$B$9008,MATCH(1618,$C$9:$C$9008,0)))</f>
        <v/>
      </c>
      <c r="B1626" s="9" t="str">
        <f>IFERROR(INDEX(Input!$L$20:$T$1019,INT((ROW()-9)/9)+1,MOD(ROW()-9,9)+1),"")</f>
        <v/>
      </c>
      <c r="C1626" s="9">
        <f t="shared" si="25"/>
        <v>0</v>
      </c>
    </row>
    <row r="1627" spans="1:3" x14ac:dyDescent="0.2">
      <c r="A1627" s="10" t="str">
        <f>IF(1619&gt;$C$9008,"",INDEX($B$9:$B$9008,MATCH(1619,$C$9:$C$9008,0)))</f>
        <v/>
      </c>
      <c r="B1627" s="9" t="str">
        <f>IFERROR(INDEX(Input!$L$20:$T$1019,INT((ROW()-9)/9)+1,MOD(ROW()-9,9)+1),"")</f>
        <v/>
      </c>
      <c r="C1627" s="9">
        <f t="shared" si="25"/>
        <v>0</v>
      </c>
    </row>
    <row r="1628" spans="1:3" x14ac:dyDescent="0.2">
      <c r="A1628" s="10" t="str">
        <f>IF(1620&gt;$C$9008,"",INDEX($B$9:$B$9008,MATCH(1620,$C$9:$C$9008,0)))</f>
        <v/>
      </c>
      <c r="B1628" s="9" t="str">
        <f>IFERROR(INDEX(Input!$L$20:$T$1019,INT((ROW()-9)/9)+1,MOD(ROW()-9,9)+1),"")</f>
        <v/>
      </c>
      <c r="C1628" s="9">
        <f t="shared" si="25"/>
        <v>0</v>
      </c>
    </row>
    <row r="1629" spans="1:3" x14ac:dyDescent="0.2">
      <c r="A1629" s="10" t="str">
        <f>IF(1621&gt;$C$9008,"",INDEX($B$9:$B$9008,MATCH(1621,$C$9:$C$9008,0)))</f>
        <v/>
      </c>
      <c r="B1629" s="9" t="str">
        <f>IFERROR(INDEX(Input!$L$20:$T$1019,INT((ROW()-9)/9)+1,MOD(ROW()-9,9)+1),"")</f>
        <v/>
      </c>
      <c r="C1629" s="9">
        <f t="shared" si="25"/>
        <v>0</v>
      </c>
    </row>
    <row r="1630" spans="1:3" x14ac:dyDescent="0.2">
      <c r="A1630" s="10" t="str">
        <f>IF(1622&gt;$C$9008,"",INDEX($B$9:$B$9008,MATCH(1622,$C$9:$C$9008,0)))</f>
        <v/>
      </c>
      <c r="B1630" s="9" t="str">
        <f>IFERROR(INDEX(Input!$L$20:$T$1019,INT((ROW()-9)/9)+1,MOD(ROW()-9,9)+1),"")</f>
        <v/>
      </c>
      <c r="C1630" s="9">
        <f t="shared" si="25"/>
        <v>0</v>
      </c>
    </row>
    <row r="1631" spans="1:3" x14ac:dyDescent="0.2">
      <c r="A1631" s="10" t="str">
        <f>IF(1623&gt;$C$9008,"",INDEX($B$9:$B$9008,MATCH(1623,$C$9:$C$9008,0)))</f>
        <v/>
      </c>
      <c r="B1631" s="9" t="str">
        <f>IFERROR(INDEX(Input!$L$20:$T$1019,INT((ROW()-9)/9)+1,MOD(ROW()-9,9)+1),"")</f>
        <v/>
      </c>
      <c r="C1631" s="9">
        <f t="shared" si="25"/>
        <v>0</v>
      </c>
    </row>
    <row r="1632" spans="1:3" x14ac:dyDescent="0.2">
      <c r="A1632" s="10" t="str">
        <f>IF(1624&gt;$C$9008,"",INDEX($B$9:$B$9008,MATCH(1624,$C$9:$C$9008,0)))</f>
        <v/>
      </c>
      <c r="B1632" s="9" t="str">
        <f>IFERROR(INDEX(Input!$L$20:$T$1019,INT((ROW()-9)/9)+1,MOD(ROW()-9,9)+1),"")</f>
        <v/>
      </c>
      <c r="C1632" s="9">
        <f t="shared" si="25"/>
        <v>0</v>
      </c>
    </row>
    <row r="1633" spans="1:3" x14ac:dyDescent="0.2">
      <c r="A1633" s="10" t="str">
        <f>IF(1625&gt;$C$9008,"",INDEX($B$9:$B$9008,MATCH(1625,$C$9:$C$9008,0)))</f>
        <v/>
      </c>
      <c r="B1633" s="9" t="str">
        <f>IFERROR(INDEX(Input!$L$20:$T$1019,INT((ROW()-9)/9)+1,MOD(ROW()-9,9)+1),"")</f>
        <v/>
      </c>
      <c r="C1633" s="9">
        <f t="shared" si="25"/>
        <v>0</v>
      </c>
    </row>
    <row r="1634" spans="1:3" x14ac:dyDescent="0.2">
      <c r="A1634" s="10" t="str">
        <f>IF(1626&gt;$C$9008,"",INDEX($B$9:$B$9008,MATCH(1626,$C$9:$C$9008,0)))</f>
        <v/>
      </c>
      <c r="B1634" s="9" t="str">
        <f>IFERROR(INDEX(Input!$L$20:$T$1019,INT((ROW()-9)/9)+1,MOD(ROW()-9,9)+1),"")</f>
        <v/>
      </c>
      <c r="C1634" s="9">
        <f t="shared" si="25"/>
        <v>0</v>
      </c>
    </row>
    <row r="1635" spans="1:3" x14ac:dyDescent="0.2">
      <c r="A1635" s="10" t="str">
        <f>IF(1627&gt;$C$9008,"",INDEX($B$9:$B$9008,MATCH(1627,$C$9:$C$9008,0)))</f>
        <v/>
      </c>
      <c r="B1635" s="9" t="str">
        <f>IFERROR(INDEX(Input!$L$20:$T$1019,INT((ROW()-9)/9)+1,MOD(ROW()-9,9)+1),"")</f>
        <v/>
      </c>
      <c r="C1635" s="9">
        <f t="shared" si="25"/>
        <v>0</v>
      </c>
    </row>
    <row r="1636" spans="1:3" x14ac:dyDescent="0.2">
      <c r="A1636" s="10" t="str">
        <f>IF(1628&gt;$C$9008,"",INDEX($B$9:$B$9008,MATCH(1628,$C$9:$C$9008,0)))</f>
        <v/>
      </c>
      <c r="B1636" s="9" t="str">
        <f>IFERROR(INDEX(Input!$L$20:$T$1019,INT((ROW()-9)/9)+1,MOD(ROW()-9,9)+1),"")</f>
        <v/>
      </c>
      <c r="C1636" s="9">
        <f t="shared" si="25"/>
        <v>0</v>
      </c>
    </row>
    <row r="1637" spans="1:3" x14ac:dyDescent="0.2">
      <c r="A1637" s="10" t="str">
        <f>IF(1629&gt;$C$9008,"",INDEX($B$9:$B$9008,MATCH(1629,$C$9:$C$9008,0)))</f>
        <v/>
      </c>
      <c r="B1637" s="9" t="str">
        <f>IFERROR(INDEX(Input!$L$20:$T$1019,INT((ROW()-9)/9)+1,MOD(ROW()-9,9)+1),"")</f>
        <v/>
      </c>
      <c r="C1637" s="9">
        <f t="shared" si="25"/>
        <v>0</v>
      </c>
    </row>
    <row r="1638" spans="1:3" x14ac:dyDescent="0.2">
      <c r="A1638" s="10" t="str">
        <f>IF(1630&gt;$C$9008,"",INDEX($B$9:$B$9008,MATCH(1630,$C$9:$C$9008,0)))</f>
        <v/>
      </c>
      <c r="B1638" s="9" t="str">
        <f>IFERROR(INDEX(Input!$L$20:$T$1019,INT((ROW()-9)/9)+1,MOD(ROW()-9,9)+1),"")</f>
        <v/>
      </c>
      <c r="C1638" s="9">
        <f t="shared" si="25"/>
        <v>0</v>
      </c>
    </row>
    <row r="1639" spans="1:3" x14ac:dyDescent="0.2">
      <c r="A1639" s="10" t="str">
        <f>IF(1631&gt;$C$9008,"",INDEX($B$9:$B$9008,MATCH(1631,$C$9:$C$9008,0)))</f>
        <v/>
      </c>
      <c r="B1639" s="9" t="str">
        <f>IFERROR(INDEX(Input!$L$20:$T$1019,INT((ROW()-9)/9)+1,MOD(ROW()-9,9)+1),"")</f>
        <v/>
      </c>
      <c r="C1639" s="9">
        <f t="shared" si="25"/>
        <v>0</v>
      </c>
    </row>
    <row r="1640" spans="1:3" x14ac:dyDescent="0.2">
      <c r="A1640" s="10" t="str">
        <f>IF(1632&gt;$C$9008,"",INDEX($B$9:$B$9008,MATCH(1632,$C$9:$C$9008,0)))</f>
        <v/>
      </c>
      <c r="B1640" s="9" t="str">
        <f>IFERROR(INDEX(Input!$L$20:$T$1019,INT((ROW()-9)/9)+1,MOD(ROW()-9,9)+1),"")</f>
        <v/>
      </c>
      <c r="C1640" s="9">
        <f t="shared" si="25"/>
        <v>0</v>
      </c>
    </row>
    <row r="1641" spans="1:3" x14ac:dyDescent="0.2">
      <c r="A1641" s="10" t="str">
        <f>IF(1633&gt;$C$9008,"",INDEX($B$9:$B$9008,MATCH(1633,$C$9:$C$9008,0)))</f>
        <v/>
      </c>
      <c r="B1641" s="9" t="str">
        <f>IFERROR(INDEX(Input!$L$20:$T$1019,INT((ROW()-9)/9)+1,MOD(ROW()-9,9)+1),"")</f>
        <v/>
      </c>
      <c r="C1641" s="9">
        <f t="shared" si="25"/>
        <v>0</v>
      </c>
    </row>
    <row r="1642" spans="1:3" x14ac:dyDescent="0.2">
      <c r="A1642" s="10" t="str">
        <f>IF(1634&gt;$C$9008,"",INDEX($B$9:$B$9008,MATCH(1634,$C$9:$C$9008,0)))</f>
        <v/>
      </c>
      <c r="B1642" s="9" t="str">
        <f>IFERROR(INDEX(Input!$L$20:$T$1019,INT((ROW()-9)/9)+1,MOD(ROW()-9,9)+1),"")</f>
        <v/>
      </c>
      <c r="C1642" s="9">
        <f t="shared" si="25"/>
        <v>0</v>
      </c>
    </row>
    <row r="1643" spans="1:3" x14ac:dyDescent="0.2">
      <c r="A1643" s="10" t="str">
        <f>IF(1635&gt;$C$9008,"",INDEX($B$9:$B$9008,MATCH(1635,$C$9:$C$9008,0)))</f>
        <v/>
      </c>
      <c r="B1643" s="9" t="str">
        <f>IFERROR(INDEX(Input!$L$20:$T$1019,INT((ROW()-9)/9)+1,MOD(ROW()-9,9)+1),"")</f>
        <v/>
      </c>
      <c r="C1643" s="9">
        <f t="shared" si="25"/>
        <v>0</v>
      </c>
    </row>
    <row r="1644" spans="1:3" x14ac:dyDescent="0.2">
      <c r="A1644" s="10" t="str">
        <f>IF(1636&gt;$C$9008,"",INDEX($B$9:$B$9008,MATCH(1636,$C$9:$C$9008,0)))</f>
        <v/>
      </c>
      <c r="B1644" s="9" t="str">
        <f>IFERROR(INDEX(Input!$L$20:$T$1019,INT((ROW()-9)/9)+1,MOD(ROW()-9,9)+1),"")</f>
        <v/>
      </c>
      <c r="C1644" s="9">
        <f t="shared" si="25"/>
        <v>0</v>
      </c>
    </row>
    <row r="1645" spans="1:3" x14ac:dyDescent="0.2">
      <c r="A1645" s="10" t="str">
        <f>IF(1637&gt;$C$9008,"",INDEX($B$9:$B$9008,MATCH(1637,$C$9:$C$9008,0)))</f>
        <v/>
      </c>
      <c r="B1645" s="9" t="str">
        <f>IFERROR(INDEX(Input!$L$20:$T$1019,INT((ROW()-9)/9)+1,MOD(ROW()-9,9)+1),"")</f>
        <v/>
      </c>
      <c r="C1645" s="9">
        <f t="shared" si="25"/>
        <v>0</v>
      </c>
    </row>
    <row r="1646" spans="1:3" x14ac:dyDescent="0.2">
      <c r="A1646" s="10" t="str">
        <f>IF(1638&gt;$C$9008,"",INDEX($B$9:$B$9008,MATCH(1638,$C$9:$C$9008,0)))</f>
        <v/>
      </c>
      <c r="B1646" s="9" t="str">
        <f>IFERROR(INDEX(Input!$L$20:$T$1019,INT((ROW()-9)/9)+1,MOD(ROW()-9,9)+1),"")</f>
        <v/>
      </c>
      <c r="C1646" s="9">
        <f t="shared" si="25"/>
        <v>0</v>
      </c>
    </row>
    <row r="1647" spans="1:3" x14ac:dyDescent="0.2">
      <c r="A1647" s="10" t="str">
        <f>IF(1639&gt;$C$9008,"",INDEX($B$9:$B$9008,MATCH(1639,$C$9:$C$9008,0)))</f>
        <v/>
      </c>
      <c r="B1647" s="9" t="str">
        <f>IFERROR(INDEX(Input!$L$20:$T$1019,INT((ROW()-9)/9)+1,MOD(ROW()-9,9)+1),"")</f>
        <v/>
      </c>
      <c r="C1647" s="9">
        <f t="shared" si="25"/>
        <v>0</v>
      </c>
    </row>
    <row r="1648" spans="1:3" x14ac:dyDescent="0.2">
      <c r="A1648" s="10" t="str">
        <f>IF(1640&gt;$C$9008,"",INDEX($B$9:$B$9008,MATCH(1640,$C$9:$C$9008,0)))</f>
        <v/>
      </c>
      <c r="B1648" s="9" t="str">
        <f>IFERROR(INDEX(Input!$L$20:$T$1019,INT((ROW()-9)/9)+1,MOD(ROW()-9,9)+1),"")</f>
        <v/>
      </c>
      <c r="C1648" s="9">
        <f t="shared" si="25"/>
        <v>0</v>
      </c>
    </row>
    <row r="1649" spans="1:3" x14ac:dyDescent="0.2">
      <c r="A1649" s="10" t="str">
        <f>IF(1641&gt;$C$9008,"",INDEX($B$9:$B$9008,MATCH(1641,$C$9:$C$9008,0)))</f>
        <v/>
      </c>
      <c r="B1649" s="9" t="str">
        <f>IFERROR(INDEX(Input!$L$20:$T$1019,INT((ROW()-9)/9)+1,MOD(ROW()-9,9)+1),"")</f>
        <v/>
      </c>
      <c r="C1649" s="9">
        <f t="shared" si="25"/>
        <v>0</v>
      </c>
    </row>
    <row r="1650" spans="1:3" x14ac:dyDescent="0.2">
      <c r="A1650" s="10" t="str">
        <f>IF(1642&gt;$C$9008,"",INDEX($B$9:$B$9008,MATCH(1642,$C$9:$C$9008,0)))</f>
        <v/>
      </c>
      <c r="B1650" s="9" t="str">
        <f>IFERROR(INDEX(Input!$L$20:$T$1019,INT((ROW()-9)/9)+1,MOD(ROW()-9,9)+1),"")</f>
        <v/>
      </c>
      <c r="C1650" s="9">
        <f t="shared" si="25"/>
        <v>0</v>
      </c>
    </row>
    <row r="1651" spans="1:3" x14ac:dyDescent="0.2">
      <c r="A1651" s="10" t="str">
        <f>IF(1643&gt;$C$9008,"",INDEX($B$9:$B$9008,MATCH(1643,$C$9:$C$9008,0)))</f>
        <v/>
      </c>
      <c r="B1651" s="9" t="str">
        <f>IFERROR(INDEX(Input!$L$20:$T$1019,INT((ROW()-9)/9)+1,MOD(ROW()-9,9)+1),"")</f>
        <v/>
      </c>
      <c r="C1651" s="9">
        <f t="shared" si="25"/>
        <v>0</v>
      </c>
    </row>
    <row r="1652" spans="1:3" x14ac:dyDescent="0.2">
      <c r="A1652" s="10" t="str">
        <f>IF(1644&gt;$C$9008,"",INDEX($B$9:$B$9008,MATCH(1644,$C$9:$C$9008,0)))</f>
        <v/>
      </c>
      <c r="B1652" s="9" t="str">
        <f>IFERROR(INDEX(Input!$L$20:$T$1019,INT((ROW()-9)/9)+1,MOD(ROW()-9,9)+1),"")</f>
        <v/>
      </c>
      <c r="C1652" s="9">
        <f t="shared" si="25"/>
        <v>0</v>
      </c>
    </row>
    <row r="1653" spans="1:3" x14ac:dyDescent="0.2">
      <c r="A1653" s="10" t="str">
        <f>IF(1645&gt;$C$9008,"",INDEX($B$9:$B$9008,MATCH(1645,$C$9:$C$9008,0)))</f>
        <v/>
      </c>
      <c r="B1653" s="9" t="str">
        <f>IFERROR(INDEX(Input!$L$20:$T$1019,INT((ROW()-9)/9)+1,MOD(ROW()-9,9)+1),"")</f>
        <v/>
      </c>
      <c r="C1653" s="9">
        <f t="shared" si="25"/>
        <v>0</v>
      </c>
    </row>
    <row r="1654" spans="1:3" x14ac:dyDescent="0.2">
      <c r="A1654" s="10" t="str">
        <f>IF(1646&gt;$C$9008,"",INDEX($B$9:$B$9008,MATCH(1646,$C$9:$C$9008,0)))</f>
        <v/>
      </c>
      <c r="B1654" s="9" t="str">
        <f>IFERROR(INDEX(Input!$L$20:$T$1019,INT((ROW()-9)/9)+1,MOD(ROW()-9,9)+1),"")</f>
        <v/>
      </c>
      <c r="C1654" s="9">
        <f t="shared" si="25"/>
        <v>0</v>
      </c>
    </row>
    <row r="1655" spans="1:3" x14ac:dyDescent="0.2">
      <c r="A1655" s="10" t="str">
        <f>IF(1647&gt;$C$9008,"",INDEX($B$9:$B$9008,MATCH(1647,$C$9:$C$9008,0)))</f>
        <v/>
      </c>
      <c r="B1655" s="9" t="str">
        <f>IFERROR(INDEX(Input!$L$20:$T$1019,INT((ROW()-9)/9)+1,MOD(ROW()-9,9)+1),"")</f>
        <v/>
      </c>
      <c r="C1655" s="9">
        <f t="shared" si="25"/>
        <v>0</v>
      </c>
    </row>
    <row r="1656" spans="1:3" x14ac:dyDescent="0.2">
      <c r="A1656" s="10" t="str">
        <f>IF(1648&gt;$C$9008,"",INDEX($B$9:$B$9008,MATCH(1648,$C$9:$C$9008,0)))</f>
        <v/>
      </c>
      <c r="B1656" s="9" t="str">
        <f>IFERROR(INDEX(Input!$L$20:$T$1019,INT((ROW()-9)/9)+1,MOD(ROW()-9,9)+1),"")</f>
        <v/>
      </c>
      <c r="C1656" s="9">
        <f t="shared" si="25"/>
        <v>0</v>
      </c>
    </row>
    <row r="1657" spans="1:3" x14ac:dyDescent="0.2">
      <c r="A1657" s="10" t="str">
        <f>IF(1649&gt;$C$9008,"",INDEX($B$9:$B$9008,MATCH(1649,$C$9:$C$9008,0)))</f>
        <v/>
      </c>
      <c r="B1657" s="9" t="str">
        <f>IFERROR(INDEX(Input!$L$20:$T$1019,INT((ROW()-9)/9)+1,MOD(ROW()-9,9)+1),"")</f>
        <v/>
      </c>
      <c r="C1657" s="9">
        <f t="shared" si="25"/>
        <v>0</v>
      </c>
    </row>
    <row r="1658" spans="1:3" x14ac:dyDescent="0.2">
      <c r="A1658" s="10" t="str">
        <f>IF(1650&gt;$C$9008,"",INDEX($B$9:$B$9008,MATCH(1650,$C$9:$C$9008,0)))</f>
        <v/>
      </c>
      <c r="B1658" s="9" t="str">
        <f>IFERROR(INDEX(Input!$L$20:$T$1019,INT((ROW()-9)/9)+1,MOD(ROW()-9,9)+1),"")</f>
        <v/>
      </c>
      <c r="C1658" s="9">
        <f t="shared" si="25"/>
        <v>0</v>
      </c>
    </row>
    <row r="1659" spans="1:3" x14ac:dyDescent="0.2">
      <c r="A1659" s="10" t="str">
        <f>IF(1651&gt;$C$9008,"",INDEX($B$9:$B$9008,MATCH(1651,$C$9:$C$9008,0)))</f>
        <v/>
      </c>
      <c r="B1659" s="9" t="str">
        <f>IFERROR(INDEX(Input!$L$20:$T$1019,INT((ROW()-9)/9)+1,MOD(ROW()-9,9)+1),"")</f>
        <v/>
      </c>
      <c r="C1659" s="9">
        <f t="shared" si="25"/>
        <v>0</v>
      </c>
    </row>
    <row r="1660" spans="1:3" x14ac:dyDescent="0.2">
      <c r="A1660" s="10" t="str">
        <f>IF(1652&gt;$C$9008,"",INDEX($B$9:$B$9008,MATCH(1652,$C$9:$C$9008,0)))</f>
        <v/>
      </c>
      <c r="B1660" s="9" t="str">
        <f>IFERROR(INDEX(Input!$L$20:$T$1019,INT((ROW()-9)/9)+1,MOD(ROW()-9,9)+1),"")</f>
        <v/>
      </c>
      <c r="C1660" s="9">
        <f t="shared" si="25"/>
        <v>0</v>
      </c>
    </row>
    <row r="1661" spans="1:3" x14ac:dyDescent="0.2">
      <c r="A1661" s="10" t="str">
        <f>IF(1653&gt;$C$9008,"",INDEX($B$9:$B$9008,MATCH(1653,$C$9:$C$9008,0)))</f>
        <v/>
      </c>
      <c r="B1661" s="9" t="str">
        <f>IFERROR(INDEX(Input!$L$20:$T$1019,INT((ROW()-9)/9)+1,MOD(ROW()-9,9)+1),"")</f>
        <v/>
      </c>
      <c r="C1661" s="9">
        <f t="shared" si="25"/>
        <v>0</v>
      </c>
    </row>
    <row r="1662" spans="1:3" x14ac:dyDescent="0.2">
      <c r="A1662" s="10" t="str">
        <f>IF(1654&gt;$C$9008,"",INDEX($B$9:$B$9008,MATCH(1654,$C$9:$C$9008,0)))</f>
        <v/>
      </c>
      <c r="B1662" s="9" t="str">
        <f>IFERROR(INDEX(Input!$L$20:$T$1019,INT((ROW()-9)/9)+1,MOD(ROW()-9,9)+1),"")</f>
        <v/>
      </c>
      <c r="C1662" s="9">
        <f t="shared" si="25"/>
        <v>0</v>
      </c>
    </row>
    <row r="1663" spans="1:3" x14ac:dyDescent="0.2">
      <c r="A1663" s="10" t="str">
        <f>IF(1655&gt;$C$9008,"",INDEX($B$9:$B$9008,MATCH(1655,$C$9:$C$9008,0)))</f>
        <v/>
      </c>
      <c r="B1663" s="9" t="str">
        <f>IFERROR(INDEX(Input!$L$20:$T$1019,INT((ROW()-9)/9)+1,MOD(ROW()-9,9)+1),"")</f>
        <v/>
      </c>
      <c r="C1663" s="9">
        <f t="shared" si="25"/>
        <v>0</v>
      </c>
    </row>
    <row r="1664" spans="1:3" x14ac:dyDescent="0.2">
      <c r="A1664" s="10" t="str">
        <f>IF(1656&gt;$C$9008,"",INDEX($B$9:$B$9008,MATCH(1656,$C$9:$C$9008,0)))</f>
        <v/>
      </c>
      <c r="B1664" s="9" t="str">
        <f>IFERROR(INDEX(Input!$L$20:$T$1019,INT((ROW()-9)/9)+1,MOD(ROW()-9,9)+1),"")</f>
        <v/>
      </c>
      <c r="C1664" s="9">
        <f t="shared" si="25"/>
        <v>0</v>
      </c>
    </row>
    <row r="1665" spans="1:3" x14ac:dyDescent="0.2">
      <c r="A1665" s="10" t="str">
        <f>IF(1657&gt;$C$9008,"",INDEX($B$9:$B$9008,MATCH(1657,$C$9:$C$9008,0)))</f>
        <v/>
      </c>
      <c r="B1665" s="9" t="str">
        <f>IFERROR(INDEX(Input!$L$20:$T$1019,INT((ROW()-9)/9)+1,MOD(ROW()-9,9)+1),"")</f>
        <v/>
      </c>
      <c r="C1665" s="9">
        <f t="shared" si="25"/>
        <v>0</v>
      </c>
    </row>
    <row r="1666" spans="1:3" x14ac:dyDescent="0.2">
      <c r="A1666" s="10" t="str">
        <f>IF(1658&gt;$C$9008,"",INDEX($B$9:$B$9008,MATCH(1658,$C$9:$C$9008,0)))</f>
        <v/>
      </c>
      <c r="B1666" s="9" t="str">
        <f>IFERROR(INDEX(Input!$L$20:$T$1019,INT((ROW()-9)/9)+1,MOD(ROW()-9,9)+1),"")</f>
        <v/>
      </c>
      <c r="C1666" s="9">
        <f t="shared" si="25"/>
        <v>0</v>
      </c>
    </row>
    <row r="1667" spans="1:3" x14ac:dyDescent="0.2">
      <c r="A1667" s="10" t="str">
        <f>IF(1659&gt;$C$9008,"",INDEX($B$9:$B$9008,MATCH(1659,$C$9:$C$9008,0)))</f>
        <v/>
      </c>
      <c r="B1667" s="9" t="str">
        <f>IFERROR(INDEX(Input!$L$20:$T$1019,INT((ROW()-9)/9)+1,MOD(ROW()-9,9)+1),"")</f>
        <v/>
      </c>
      <c r="C1667" s="9">
        <f t="shared" si="25"/>
        <v>0</v>
      </c>
    </row>
    <row r="1668" spans="1:3" x14ac:dyDescent="0.2">
      <c r="A1668" s="10" t="str">
        <f>IF(1660&gt;$C$9008,"",INDEX($B$9:$B$9008,MATCH(1660,$C$9:$C$9008,0)))</f>
        <v/>
      </c>
      <c r="B1668" s="9" t="str">
        <f>IFERROR(INDEX(Input!$L$20:$T$1019,INT((ROW()-9)/9)+1,MOD(ROW()-9,9)+1),"")</f>
        <v/>
      </c>
      <c r="C1668" s="9">
        <f t="shared" si="25"/>
        <v>0</v>
      </c>
    </row>
    <row r="1669" spans="1:3" x14ac:dyDescent="0.2">
      <c r="A1669" s="10" t="str">
        <f>IF(1661&gt;$C$9008,"",INDEX($B$9:$B$9008,MATCH(1661,$C$9:$C$9008,0)))</f>
        <v/>
      </c>
      <c r="B1669" s="9" t="str">
        <f>IFERROR(INDEX(Input!$L$20:$T$1019,INT((ROW()-9)/9)+1,MOD(ROW()-9,9)+1),"")</f>
        <v/>
      </c>
      <c r="C1669" s="9">
        <f t="shared" si="25"/>
        <v>0</v>
      </c>
    </row>
    <row r="1670" spans="1:3" x14ac:dyDescent="0.2">
      <c r="A1670" s="10" t="str">
        <f>IF(1662&gt;$C$9008,"",INDEX($B$9:$B$9008,MATCH(1662,$C$9:$C$9008,0)))</f>
        <v/>
      </c>
      <c r="B1670" s="9" t="str">
        <f>IFERROR(INDEX(Input!$L$20:$T$1019,INT((ROW()-9)/9)+1,MOD(ROW()-9,9)+1),"")</f>
        <v/>
      </c>
      <c r="C1670" s="9">
        <f t="shared" si="25"/>
        <v>0</v>
      </c>
    </row>
    <row r="1671" spans="1:3" x14ac:dyDescent="0.2">
      <c r="A1671" s="10" t="str">
        <f>IF(1663&gt;$C$9008,"",INDEX($B$9:$B$9008,MATCH(1663,$C$9:$C$9008,0)))</f>
        <v/>
      </c>
      <c r="B1671" s="9" t="str">
        <f>IFERROR(INDEX(Input!$L$20:$T$1019,INT((ROW()-9)/9)+1,MOD(ROW()-9,9)+1),"")</f>
        <v/>
      </c>
      <c r="C1671" s="9">
        <f t="shared" si="25"/>
        <v>0</v>
      </c>
    </row>
    <row r="1672" spans="1:3" x14ac:dyDescent="0.2">
      <c r="A1672" s="10" t="str">
        <f>IF(1664&gt;$C$9008,"",INDEX($B$9:$B$9008,MATCH(1664,$C$9:$C$9008,0)))</f>
        <v/>
      </c>
      <c r="B1672" s="9" t="str">
        <f>IFERROR(INDEX(Input!$L$20:$T$1019,INT((ROW()-9)/9)+1,MOD(ROW()-9,9)+1),"")</f>
        <v/>
      </c>
      <c r="C1672" s="9">
        <f t="shared" si="25"/>
        <v>0</v>
      </c>
    </row>
    <row r="1673" spans="1:3" x14ac:dyDescent="0.2">
      <c r="A1673" s="10" t="str">
        <f>IF(1665&gt;$C$9008,"",INDEX($B$9:$B$9008,MATCH(1665,$C$9:$C$9008,0)))</f>
        <v/>
      </c>
      <c r="B1673" s="9" t="str">
        <f>IFERROR(INDEX(Input!$L$20:$T$1019,INT((ROW()-9)/9)+1,MOD(ROW()-9,9)+1),"")</f>
        <v/>
      </c>
      <c r="C1673" s="9">
        <f t="shared" ref="C1673:C1736" si="26">$C1672+IF($B1673&lt;&gt;"",1,0)</f>
        <v>0</v>
      </c>
    </row>
    <row r="1674" spans="1:3" x14ac:dyDescent="0.2">
      <c r="A1674" s="10" t="str">
        <f>IF(1666&gt;$C$9008,"",INDEX($B$9:$B$9008,MATCH(1666,$C$9:$C$9008,0)))</f>
        <v/>
      </c>
      <c r="B1674" s="9" t="str">
        <f>IFERROR(INDEX(Input!$L$20:$T$1019,INT((ROW()-9)/9)+1,MOD(ROW()-9,9)+1),"")</f>
        <v/>
      </c>
      <c r="C1674" s="9">
        <f t="shared" si="26"/>
        <v>0</v>
      </c>
    </row>
    <row r="1675" spans="1:3" x14ac:dyDescent="0.2">
      <c r="A1675" s="10" t="str">
        <f>IF(1667&gt;$C$9008,"",INDEX($B$9:$B$9008,MATCH(1667,$C$9:$C$9008,0)))</f>
        <v/>
      </c>
      <c r="B1675" s="9" t="str">
        <f>IFERROR(INDEX(Input!$L$20:$T$1019,INT((ROW()-9)/9)+1,MOD(ROW()-9,9)+1),"")</f>
        <v/>
      </c>
      <c r="C1675" s="9">
        <f t="shared" si="26"/>
        <v>0</v>
      </c>
    </row>
    <row r="1676" spans="1:3" x14ac:dyDescent="0.2">
      <c r="A1676" s="10" t="str">
        <f>IF(1668&gt;$C$9008,"",INDEX($B$9:$B$9008,MATCH(1668,$C$9:$C$9008,0)))</f>
        <v/>
      </c>
      <c r="B1676" s="9" t="str">
        <f>IFERROR(INDEX(Input!$L$20:$T$1019,INT((ROW()-9)/9)+1,MOD(ROW()-9,9)+1),"")</f>
        <v/>
      </c>
      <c r="C1676" s="9">
        <f t="shared" si="26"/>
        <v>0</v>
      </c>
    </row>
    <row r="1677" spans="1:3" x14ac:dyDescent="0.2">
      <c r="A1677" s="10" t="str">
        <f>IF(1669&gt;$C$9008,"",INDEX($B$9:$B$9008,MATCH(1669,$C$9:$C$9008,0)))</f>
        <v/>
      </c>
      <c r="B1677" s="9" t="str">
        <f>IFERROR(INDEX(Input!$L$20:$T$1019,INT((ROW()-9)/9)+1,MOD(ROW()-9,9)+1),"")</f>
        <v/>
      </c>
      <c r="C1677" s="9">
        <f t="shared" si="26"/>
        <v>0</v>
      </c>
    </row>
    <row r="1678" spans="1:3" x14ac:dyDescent="0.2">
      <c r="A1678" s="10" t="str">
        <f>IF(1670&gt;$C$9008,"",INDEX($B$9:$B$9008,MATCH(1670,$C$9:$C$9008,0)))</f>
        <v/>
      </c>
      <c r="B1678" s="9" t="str">
        <f>IFERROR(INDEX(Input!$L$20:$T$1019,INT((ROW()-9)/9)+1,MOD(ROW()-9,9)+1),"")</f>
        <v/>
      </c>
      <c r="C1678" s="9">
        <f t="shared" si="26"/>
        <v>0</v>
      </c>
    </row>
    <row r="1679" spans="1:3" x14ac:dyDescent="0.2">
      <c r="A1679" s="10" t="str">
        <f>IF(1671&gt;$C$9008,"",INDEX($B$9:$B$9008,MATCH(1671,$C$9:$C$9008,0)))</f>
        <v/>
      </c>
      <c r="B1679" s="9" t="str">
        <f>IFERROR(INDEX(Input!$L$20:$T$1019,INT((ROW()-9)/9)+1,MOD(ROW()-9,9)+1),"")</f>
        <v/>
      </c>
      <c r="C1679" s="9">
        <f t="shared" si="26"/>
        <v>0</v>
      </c>
    </row>
    <row r="1680" spans="1:3" x14ac:dyDescent="0.2">
      <c r="A1680" s="10" t="str">
        <f>IF(1672&gt;$C$9008,"",INDEX($B$9:$B$9008,MATCH(1672,$C$9:$C$9008,0)))</f>
        <v/>
      </c>
      <c r="B1680" s="9" t="str">
        <f>IFERROR(INDEX(Input!$L$20:$T$1019,INT((ROW()-9)/9)+1,MOD(ROW()-9,9)+1),"")</f>
        <v/>
      </c>
      <c r="C1680" s="9">
        <f t="shared" si="26"/>
        <v>0</v>
      </c>
    </row>
    <row r="1681" spans="1:3" x14ac:dyDescent="0.2">
      <c r="A1681" s="10" t="str">
        <f>IF(1673&gt;$C$9008,"",INDEX($B$9:$B$9008,MATCH(1673,$C$9:$C$9008,0)))</f>
        <v/>
      </c>
      <c r="B1681" s="9" t="str">
        <f>IFERROR(INDEX(Input!$L$20:$T$1019,INT((ROW()-9)/9)+1,MOD(ROW()-9,9)+1),"")</f>
        <v/>
      </c>
      <c r="C1681" s="9">
        <f t="shared" si="26"/>
        <v>0</v>
      </c>
    </row>
    <row r="1682" spans="1:3" x14ac:dyDescent="0.2">
      <c r="A1682" s="10" t="str">
        <f>IF(1674&gt;$C$9008,"",INDEX($B$9:$B$9008,MATCH(1674,$C$9:$C$9008,0)))</f>
        <v/>
      </c>
      <c r="B1682" s="9" t="str">
        <f>IFERROR(INDEX(Input!$L$20:$T$1019,INT((ROW()-9)/9)+1,MOD(ROW()-9,9)+1),"")</f>
        <v/>
      </c>
      <c r="C1682" s="9">
        <f t="shared" si="26"/>
        <v>0</v>
      </c>
    </row>
    <row r="1683" spans="1:3" x14ac:dyDescent="0.2">
      <c r="A1683" s="10" t="str">
        <f>IF(1675&gt;$C$9008,"",INDEX($B$9:$B$9008,MATCH(1675,$C$9:$C$9008,0)))</f>
        <v/>
      </c>
      <c r="B1683" s="9" t="str">
        <f>IFERROR(INDEX(Input!$L$20:$T$1019,INT((ROW()-9)/9)+1,MOD(ROW()-9,9)+1),"")</f>
        <v/>
      </c>
      <c r="C1683" s="9">
        <f t="shared" si="26"/>
        <v>0</v>
      </c>
    </row>
    <row r="1684" spans="1:3" x14ac:dyDescent="0.2">
      <c r="A1684" s="10" t="str">
        <f>IF(1676&gt;$C$9008,"",INDEX($B$9:$B$9008,MATCH(1676,$C$9:$C$9008,0)))</f>
        <v/>
      </c>
      <c r="B1684" s="9" t="str">
        <f>IFERROR(INDEX(Input!$L$20:$T$1019,INT((ROW()-9)/9)+1,MOD(ROW()-9,9)+1),"")</f>
        <v/>
      </c>
      <c r="C1684" s="9">
        <f t="shared" si="26"/>
        <v>0</v>
      </c>
    </row>
    <row r="1685" spans="1:3" x14ac:dyDescent="0.2">
      <c r="A1685" s="10" t="str">
        <f>IF(1677&gt;$C$9008,"",INDEX($B$9:$B$9008,MATCH(1677,$C$9:$C$9008,0)))</f>
        <v/>
      </c>
      <c r="B1685" s="9" t="str">
        <f>IFERROR(INDEX(Input!$L$20:$T$1019,INT((ROW()-9)/9)+1,MOD(ROW()-9,9)+1),"")</f>
        <v/>
      </c>
      <c r="C1685" s="9">
        <f t="shared" si="26"/>
        <v>0</v>
      </c>
    </row>
    <row r="1686" spans="1:3" x14ac:dyDescent="0.2">
      <c r="A1686" s="10" t="str">
        <f>IF(1678&gt;$C$9008,"",INDEX($B$9:$B$9008,MATCH(1678,$C$9:$C$9008,0)))</f>
        <v/>
      </c>
      <c r="B1686" s="9" t="str">
        <f>IFERROR(INDEX(Input!$L$20:$T$1019,INT((ROW()-9)/9)+1,MOD(ROW()-9,9)+1),"")</f>
        <v/>
      </c>
      <c r="C1686" s="9">
        <f t="shared" si="26"/>
        <v>0</v>
      </c>
    </row>
    <row r="1687" spans="1:3" x14ac:dyDescent="0.2">
      <c r="A1687" s="10" t="str">
        <f>IF(1679&gt;$C$9008,"",INDEX($B$9:$B$9008,MATCH(1679,$C$9:$C$9008,0)))</f>
        <v/>
      </c>
      <c r="B1687" s="9" t="str">
        <f>IFERROR(INDEX(Input!$L$20:$T$1019,INT((ROW()-9)/9)+1,MOD(ROW()-9,9)+1),"")</f>
        <v/>
      </c>
      <c r="C1687" s="9">
        <f t="shared" si="26"/>
        <v>0</v>
      </c>
    </row>
    <row r="1688" spans="1:3" x14ac:dyDescent="0.2">
      <c r="A1688" s="10" t="str">
        <f>IF(1680&gt;$C$9008,"",INDEX($B$9:$B$9008,MATCH(1680,$C$9:$C$9008,0)))</f>
        <v/>
      </c>
      <c r="B1688" s="9" t="str">
        <f>IFERROR(INDEX(Input!$L$20:$T$1019,INT((ROW()-9)/9)+1,MOD(ROW()-9,9)+1),"")</f>
        <v/>
      </c>
      <c r="C1688" s="9">
        <f t="shared" si="26"/>
        <v>0</v>
      </c>
    </row>
    <row r="1689" spans="1:3" x14ac:dyDescent="0.2">
      <c r="A1689" s="10" t="str">
        <f>IF(1681&gt;$C$9008,"",INDEX($B$9:$B$9008,MATCH(1681,$C$9:$C$9008,0)))</f>
        <v/>
      </c>
      <c r="B1689" s="9" t="str">
        <f>IFERROR(INDEX(Input!$L$20:$T$1019,INT((ROW()-9)/9)+1,MOD(ROW()-9,9)+1),"")</f>
        <v/>
      </c>
      <c r="C1689" s="9">
        <f t="shared" si="26"/>
        <v>0</v>
      </c>
    </row>
    <row r="1690" spans="1:3" x14ac:dyDescent="0.2">
      <c r="A1690" s="10" t="str">
        <f>IF(1682&gt;$C$9008,"",INDEX($B$9:$B$9008,MATCH(1682,$C$9:$C$9008,0)))</f>
        <v/>
      </c>
      <c r="B1690" s="9" t="str">
        <f>IFERROR(INDEX(Input!$L$20:$T$1019,INT((ROW()-9)/9)+1,MOD(ROW()-9,9)+1),"")</f>
        <v/>
      </c>
      <c r="C1690" s="9">
        <f t="shared" si="26"/>
        <v>0</v>
      </c>
    </row>
    <row r="1691" spans="1:3" x14ac:dyDescent="0.2">
      <c r="A1691" s="10" t="str">
        <f>IF(1683&gt;$C$9008,"",INDEX($B$9:$B$9008,MATCH(1683,$C$9:$C$9008,0)))</f>
        <v/>
      </c>
      <c r="B1691" s="9" t="str">
        <f>IFERROR(INDEX(Input!$L$20:$T$1019,INT((ROW()-9)/9)+1,MOD(ROW()-9,9)+1),"")</f>
        <v/>
      </c>
      <c r="C1691" s="9">
        <f t="shared" si="26"/>
        <v>0</v>
      </c>
    </row>
    <row r="1692" spans="1:3" x14ac:dyDescent="0.2">
      <c r="A1692" s="10" t="str">
        <f>IF(1684&gt;$C$9008,"",INDEX($B$9:$B$9008,MATCH(1684,$C$9:$C$9008,0)))</f>
        <v/>
      </c>
      <c r="B1692" s="9" t="str">
        <f>IFERROR(INDEX(Input!$L$20:$T$1019,INT((ROW()-9)/9)+1,MOD(ROW()-9,9)+1),"")</f>
        <v/>
      </c>
      <c r="C1692" s="9">
        <f t="shared" si="26"/>
        <v>0</v>
      </c>
    </row>
    <row r="1693" spans="1:3" x14ac:dyDescent="0.2">
      <c r="A1693" s="10" t="str">
        <f>IF(1685&gt;$C$9008,"",INDEX($B$9:$B$9008,MATCH(1685,$C$9:$C$9008,0)))</f>
        <v/>
      </c>
      <c r="B1693" s="9" t="str">
        <f>IFERROR(INDEX(Input!$L$20:$T$1019,INT((ROW()-9)/9)+1,MOD(ROW()-9,9)+1),"")</f>
        <v/>
      </c>
      <c r="C1693" s="9">
        <f t="shared" si="26"/>
        <v>0</v>
      </c>
    </row>
    <row r="1694" spans="1:3" x14ac:dyDescent="0.2">
      <c r="A1694" s="10" t="str">
        <f>IF(1686&gt;$C$9008,"",INDEX($B$9:$B$9008,MATCH(1686,$C$9:$C$9008,0)))</f>
        <v/>
      </c>
      <c r="B1694" s="9" t="str">
        <f>IFERROR(INDEX(Input!$L$20:$T$1019,INT((ROW()-9)/9)+1,MOD(ROW()-9,9)+1),"")</f>
        <v/>
      </c>
      <c r="C1694" s="9">
        <f t="shared" si="26"/>
        <v>0</v>
      </c>
    </row>
    <row r="1695" spans="1:3" x14ac:dyDescent="0.2">
      <c r="A1695" s="10" t="str">
        <f>IF(1687&gt;$C$9008,"",INDEX($B$9:$B$9008,MATCH(1687,$C$9:$C$9008,0)))</f>
        <v/>
      </c>
      <c r="B1695" s="9" t="str">
        <f>IFERROR(INDEX(Input!$L$20:$T$1019,INT((ROW()-9)/9)+1,MOD(ROW()-9,9)+1),"")</f>
        <v/>
      </c>
      <c r="C1695" s="9">
        <f t="shared" si="26"/>
        <v>0</v>
      </c>
    </row>
    <row r="1696" spans="1:3" x14ac:dyDescent="0.2">
      <c r="A1696" s="10" t="str">
        <f>IF(1688&gt;$C$9008,"",INDEX($B$9:$B$9008,MATCH(1688,$C$9:$C$9008,0)))</f>
        <v/>
      </c>
      <c r="B1696" s="9" t="str">
        <f>IFERROR(INDEX(Input!$L$20:$T$1019,INT((ROW()-9)/9)+1,MOD(ROW()-9,9)+1),"")</f>
        <v/>
      </c>
      <c r="C1696" s="9">
        <f t="shared" si="26"/>
        <v>0</v>
      </c>
    </row>
    <row r="1697" spans="1:3" x14ac:dyDescent="0.2">
      <c r="A1697" s="10" t="str">
        <f>IF(1689&gt;$C$9008,"",INDEX($B$9:$B$9008,MATCH(1689,$C$9:$C$9008,0)))</f>
        <v/>
      </c>
      <c r="B1697" s="9" t="str">
        <f>IFERROR(INDEX(Input!$L$20:$T$1019,INT((ROW()-9)/9)+1,MOD(ROW()-9,9)+1),"")</f>
        <v/>
      </c>
      <c r="C1697" s="9">
        <f t="shared" si="26"/>
        <v>0</v>
      </c>
    </row>
    <row r="1698" spans="1:3" x14ac:dyDescent="0.2">
      <c r="A1698" s="10" t="str">
        <f>IF(1690&gt;$C$9008,"",INDEX($B$9:$B$9008,MATCH(1690,$C$9:$C$9008,0)))</f>
        <v/>
      </c>
      <c r="B1698" s="9" t="str">
        <f>IFERROR(INDEX(Input!$L$20:$T$1019,INT((ROW()-9)/9)+1,MOD(ROW()-9,9)+1),"")</f>
        <v/>
      </c>
      <c r="C1698" s="9">
        <f t="shared" si="26"/>
        <v>0</v>
      </c>
    </row>
    <row r="1699" spans="1:3" x14ac:dyDescent="0.2">
      <c r="A1699" s="10" t="str">
        <f>IF(1691&gt;$C$9008,"",INDEX($B$9:$B$9008,MATCH(1691,$C$9:$C$9008,0)))</f>
        <v/>
      </c>
      <c r="B1699" s="9" t="str">
        <f>IFERROR(INDEX(Input!$L$20:$T$1019,INT((ROW()-9)/9)+1,MOD(ROW()-9,9)+1),"")</f>
        <v/>
      </c>
      <c r="C1699" s="9">
        <f t="shared" si="26"/>
        <v>0</v>
      </c>
    </row>
    <row r="1700" spans="1:3" x14ac:dyDescent="0.2">
      <c r="A1700" s="10" t="str">
        <f>IF(1692&gt;$C$9008,"",INDEX($B$9:$B$9008,MATCH(1692,$C$9:$C$9008,0)))</f>
        <v/>
      </c>
      <c r="B1700" s="9" t="str">
        <f>IFERROR(INDEX(Input!$L$20:$T$1019,INT((ROW()-9)/9)+1,MOD(ROW()-9,9)+1),"")</f>
        <v/>
      </c>
      <c r="C1700" s="9">
        <f t="shared" si="26"/>
        <v>0</v>
      </c>
    </row>
    <row r="1701" spans="1:3" x14ac:dyDescent="0.2">
      <c r="A1701" s="10" t="str">
        <f>IF(1693&gt;$C$9008,"",INDEX($B$9:$B$9008,MATCH(1693,$C$9:$C$9008,0)))</f>
        <v/>
      </c>
      <c r="B1701" s="9" t="str">
        <f>IFERROR(INDEX(Input!$L$20:$T$1019,INT((ROW()-9)/9)+1,MOD(ROW()-9,9)+1),"")</f>
        <v/>
      </c>
      <c r="C1701" s="9">
        <f t="shared" si="26"/>
        <v>0</v>
      </c>
    </row>
    <row r="1702" spans="1:3" x14ac:dyDescent="0.2">
      <c r="A1702" s="10" t="str">
        <f>IF(1694&gt;$C$9008,"",INDEX($B$9:$B$9008,MATCH(1694,$C$9:$C$9008,0)))</f>
        <v/>
      </c>
      <c r="B1702" s="9" t="str">
        <f>IFERROR(INDEX(Input!$L$20:$T$1019,INT((ROW()-9)/9)+1,MOD(ROW()-9,9)+1),"")</f>
        <v/>
      </c>
      <c r="C1702" s="9">
        <f t="shared" si="26"/>
        <v>0</v>
      </c>
    </row>
    <row r="1703" spans="1:3" x14ac:dyDescent="0.2">
      <c r="A1703" s="10" t="str">
        <f>IF(1695&gt;$C$9008,"",INDEX($B$9:$B$9008,MATCH(1695,$C$9:$C$9008,0)))</f>
        <v/>
      </c>
      <c r="B1703" s="9" t="str">
        <f>IFERROR(INDEX(Input!$L$20:$T$1019,INT((ROW()-9)/9)+1,MOD(ROW()-9,9)+1),"")</f>
        <v/>
      </c>
      <c r="C1703" s="9">
        <f t="shared" si="26"/>
        <v>0</v>
      </c>
    </row>
    <row r="1704" spans="1:3" x14ac:dyDescent="0.2">
      <c r="A1704" s="10" t="str">
        <f>IF(1696&gt;$C$9008,"",INDEX($B$9:$B$9008,MATCH(1696,$C$9:$C$9008,0)))</f>
        <v/>
      </c>
      <c r="B1704" s="9" t="str">
        <f>IFERROR(INDEX(Input!$L$20:$T$1019,INT((ROW()-9)/9)+1,MOD(ROW()-9,9)+1),"")</f>
        <v/>
      </c>
      <c r="C1704" s="9">
        <f t="shared" si="26"/>
        <v>0</v>
      </c>
    </row>
    <row r="1705" spans="1:3" x14ac:dyDescent="0.2">
      <c r="A1705" s="10" t="str">
        <f>IF(1697&gt;$C$9008,"",INDEX($B$9:$B$9008,MATCH(1697,$C$9:$C$9008,0)))</f>
        <v/>
      </c>
      <c r="B1705" s="9" t="str">
        <f>IFERROR(INDEX(Input!$L$20:$T$1019,INT((ROW()-9)/9)+1,MOD(ROW()-9,9)+1),"")</f>
        <v/>
      </c>
      <c r="C1705" s="9">
        <f t="shared" si="26"/>
        <v>0</v>
      </c>
    </row>
    <row r="1706" spans="1:3" x14ac:dyDescent="0.2">
      <c r="A1706" s="10" t="str">
        <f>IF(1698&gt;$C$9008,"",INDEX($B$9:$B$9008,MATCH(1698,$C$9:$C$9008,0)))</f>
        <v/>
      </c>
      <c r="B1706" s="9" t="str">
        <f>IFERROR(INDEX(Input!$L$20:$T$1019,INT((ROW()-9)/9)+1,MOD(ROW()-9,9)+1),"")</f>
        <v/>
      </c>
      <c r="C1706" s="9">
        <f t="shared" si="26"/>
        <v>0</v>
      </c>
    </row>
    <row r="1707" spans="1:3" x14ac:dyDescent="0.2">
      <c r="A1707" s="10" t="str">
        <f>IF(1699&gt;$C$9008,"",INDEX($B$9:$B$9008,MATCH(1699,$C$9:$C$9008,0)))</f>
        <v/>
      </c>
      <c r="B1707" s="9" t="str">
        <f>IFERROR(INDEX(Input!$L$20:$T$1019,INT((ROW()-9)/9)+1,MOD(ROW()-9,9)+1),"")</f>
        <v/>
      </c>
      <c r="C1707" s="9">
        <f t="shared" si="26"/>
        <v>0</v>
      </c>
    </row>
    <row r="1708" spans="1:3" x14ac:dyDescent="0.2">
      <c r="A1708" s="10" t="str">
        <f>IF(1700&gt;$C$9008,"",INDEX($B$9:$B$9008,MATCH(1700,$C$9:$C$9008,0)))</f>
        <v/>
      </c>
      <c r="B1708" s="9" t="str">
        <f>IFERROR(INDEX(Input!$L$20:$T$1019,INT((ROW()-9)/9)+1,MOD(ROW()-9,9)+1),"")</f>
        <v/>
      </c>
      <c r="C1708" s="9">
        <f t="shared" si="26"/>
        <v>0</v>
      </c>
    </row>
    <row r="1709" spans="1:3" x14ac:dyDescent="0.2">
      <c r="A1709" s="10" t="str">
        <f>IF(1701&gt;$C$9008,"",INDEX($B$9:$B$9008,MATCH(1701,$C$9:$C$9008,0)))</f>
        <v/>
      </c>
      <c r="B1709" s="9" t="str">
        <f>IFERROR(INDEX(Input!$L$20:$T$1019,INT((ROW()-9)/9)+1,MOD(ROW()-9,9)+1),"")</f>
        <v/>
      </c>
      <c r="C1709" s="9">
        <f t="shared" si="26"/>
        <v>0</v>
      </c>
    </row>
    <row r="1710" spans="1:3" x14ac:dyDescent="0.2">
      <c r="A1710" s="10" t="str">
        <f>IF(1702&gt;$C$9008,"",INDEX($B$9:$B$9008,MATCH(1702,$C$9:$C$9008,0)))</f>
        <v/>
      </c>
      <c r="B1710" s="9" t="str">
        <f>IFERROR(INDEX(Input!$L$20:$T$1019,INT((ROW()-9)/9)+1,MOD(ROW()-9,9)+1),"")</f>
        <v/>
      </c>
      <c r="C1710" s="9">
        <f t="shared" si="26"/>
        <v>0</v>
      </c>
    </row>
    <row r="1711" spans="1:3" x14ac:dyDescent="0.2">
      <c r="A1711" s="10" t="str">
        <f>IF(1703&gt;$C$9008,"",INDEX($B$9:$B$9008,MATCH(1703,$C$9:$C$9008,0)))</f>
        <v/>
      </c>
      <c r="B1711" s="9" t="str">
        <f>IFERROR(INDEX(Input!$L$20:$T$1019,INT((ROW()-9)/9)+1,MOD(ROW()-9,9)+1),"")</f>
        <v/>
      </c>
      <c r="C1711" s="9">
        <f t="shared" si="26"/>
        <v>0</v>
      </c>
    </row>
    <row r="1712" spans="1:3" x14ac:dyDescent="0.2">
      <c r="A1712" s="10" t="str">
        <f>IF(1704&gt;$C$9008,"",INDEX($B$9:$B$9008,MATCH(1704,$C$9:$C$9008,0)))</f>
        <v/>
      </c>
      <c r="B1712" s="9" t="str">
        <f>IFERROR(INDEX(Input!$L$20:$T$1019,INT((ROW()-9)/9)+1,MOD(ROW()-9,9)+1),"")</f>
        <v/>
      </c>
      <c r="C1712" s="9">
        <f t="shared" si="26"/>
        <v>0</v>
      </c>
    </row>
    <row r="1713" spans="1:3" x14ac:dyDescent="0.2">
      <c r="A1713" s="10" t="str">
        <f>IF(1705&gt;$C$9008,"",INDEX($B$9:$B$9008,MATCH(1705,$C$9:$C$9008,0)))</f>
        <v/>
      </c>
      <c r="B1713" s="9" t="str">
        <f>IFERROR(INDEX(Input!$L$20:$T$1019,INT((ROW()-9)/9)+1,MOD(ROW()-9,9)+1),"")</f>
        <v/>
      </c>
      <c r="C1713" s="9">
        <f t="shared" si="26"/>
        <v>0</v>
      </c>
    </row>
    <row r="1714" spans="1:3" x14ac:dyDescent="0.2">
      <c r="A1714" s="10" t="str">
        <f>IF(1706&gt;$C$9008,"",INDEX($B$9:$B$9008,MATCH(1706,$C$9:$C$9008,0)))</f>
        <v/>
      </c>
      <c r="B1714" s="9" t="str">
        <f>IFERROR(INDEX(Input!$L$20:$T$1019,INT((ROW()-9)/9)+1,MOD(ROW()-9,9)+1),"")</f>
        <v/>
      </c>
      <c r="C1714" s="9">
        <f t="shared" si="26"/>
        <v>0</v>
      </c>
    </row>
    <row r="1715" spans="1:3" x14ac:dyDescent="0.2">
      <c r="A1715" s="10" t="str">
        <f>IF(1707&gt;$C$9008,"",INDEX($B$9:$B$9008,MATCH(1707,$C$9:$C$9008,0)))</f>
        <v/>
      </c>
      <c r="B1715" s="9" t="str">
        <f>IFERROR(INDEX(Input!$L$20:$T$1019,INT((ROW()-9)/9)+1,MOD(ROW()-9,9)+1),"")</f>
        <v/>
      </c>
      <c r="C1715" s="9">
        <f t="shared" si="26"/>
        <v>0</v>
      </c>
    </row>
    <row r="1716" spans="1:3" x14ac:dyDescent="0.2">
      <c r="A1716" s="10" t="str">
        <f>IF(1708&gt;$C$9008,"",INDEX($B$9:$B$9008,MATCH(1708,$C$9:$C$9008,0)))</f>
        <v/>
      </c>
      <c r="B1716" s="9" t="str">
        <f>IFERROR(INDEX(Input!$L$20:$T$1019,INT((ROW()-9)/9)+1,MOD(ROW()-9,9)+1),"")</f>
        <v/>
      </c>
      <c r="C1716" s="9">
        <f t="shared" si="26"/>
        <v>0</v>
      </c>
    </row>
    <row r="1717" spans="1:3" x14ac:dyDescent="0.2">
      <c r="A1717" s="10" t="str">
        <f>IF(1709&gt;$C$9008,"",INDEX($B$9:$B$9008,MATCH(1709,$C$9:$C$9008,0)))</f>
        <v/>
      </c>
      <c r="B1717" s="9" t="str">
        <f>IFERROR(INDEX(Input!$L$20:$T$1019,INT((ROW()-9)/9)+1,MOD(ROW()-9,9)+1),"")</f>
        <v/>
      </c>
      <c r="C1717" s="9">
        <f t="shared" si="26"/>
        <v>0</v>
      </c>
    </row>
    <row r="1718" spans="1:3" x14ac:dyDescent="0.2">
      <c r="A1718" s="10" t="str">
        <f>IF(1710&gt;$C$9008,"",INDEX($B$9:$B$9008,MATCH(1710,$C$9:$C$9008,0)))</f>
        <v/>
      </c>
      <c r="B1718" s="9" t="str">
        <f>IFERROR(INDEX(Input!$L$20:$T$1019,INT((ROW()-9)/9)+1,MOD(ROW()-9,9)+1),"")</f>
        <v/>
      </c>
      <c r="C1718" s="9">
        <f t="shared" si="26"/>
        <v>0</v>
      </c>
    </row>
    <row r="1719" spans="1:3" x14ac:dyDescent="0.2">
      <c r="A1719" s="10" t="str">
        <f>IF(1711&gt;$C$9008,"",INDEX($B$9:$B$9008,MATCH(1711,$C$9:$C$9008,0)))</f>
        <v/>
      </c>
      <c r="B1719" s="9" t="str">
        <f>IFERROR(INDEX(Input!$L$20:$T$1019,INT((ROW()-9)/9)+1,MOD(ROW()-9,9)+1),"")</f>
        <v/>
      </c>
      <c r="C1719" s="9">
        <f t="shared" si="26"/>
        <v>0</v>
      </c>
    </row>
    <row r="1720" spans="1:3" x14ac:dyDescent="0.2">
      <c r="A1720" s="10" t="str">
        <f>IF(1712&gt;$C$9008,"",INDEX($B$9:$B$9008,MATCH(1712,$C$9:$C$9008,0)))</f>
        <v/>
      </c>
      <c r="B1720" s="9" t="str">
        <f>IFERROR(INDEX(Input!$L$20:$T$1019,INT((ROW()-9)/9)+1,MOD(ROW()-9,9)+1),"")</f>
        <v/>
      </c>
      <c r="C1720" s="9">
        <f t="shared" si="26"/>
        <v>0</v>
      </c>
    </row>
    <row r="1721" spans="1:3" x14ac:dyDescent="0.2">
      <c r="A1721" s="10" t="str">
        <f>IF(1713&gt;$C$9008,"",INDEX($B$9:$B$9008,MATCH(1713,$C$9:$C$9008,0)))</f>
        <v/>
      </c>
      <c r="B1721" s="9" t="str">
        <f>IFERROR(INDEX(Input!$L$20:$T$1019,INT((ROW()-9)/9)+1,MOD(ROW()-9,9)+1),"")</f>
        <v/>
      </c>
      <c r="C1721" s="9">
        <f t="shared" si="26"/>
        <v>0</v>
      </c>
    </row>
    <row r="1722" spans="1:3" x14ac:dyDescent="0.2">
      <c r="A1722" s="10" t="str">
        <f>IF(1714&gt;$C$9008,"",INDEX($B$9:$B$9008,MATCH(1714,$C$9:$C$9008,0)))</f>
        <v/>
      </c>
      <c r="B1722" s="9" t="str">
        <f>IFERROR(INDEX(Input!$L$20:$T$1019,INT((ROW()-9)/9)+1,MOD(ROW()-9,9)+1),"")</f>
        <v/>
      </c>
      <c r="C1722" s="9">
        <f t="shared" si="26"/>
        <v>0</v>
      </c>
    </row>
    <row r="1723" spans="1:3" x14ac:dyDescent="0.2">
      <c r="A1723" s="10" t="str">
        <f>IF(1715&gt;$C$9008,"",INDEX($B$9:$B$9008,MATCH(1715,$C$9:$C$9008,0)))</f>
        <v/>
      </c>
      <c r="B1723" s="9" t="str">
        <f>IFERROR(INDEX(Input!$L$20:$T$1019,INT((ROW()-9)/9)+1,MOD(ROW()-9,9)+1),"")</f>
        <v/>
      </c>
      <c r="C1723" s="9">
        <f t="shared" si="26"/>
        <v>0</v>
      </c>
    </row>
    <row r="1724" spans="1:3" x14ac:dyDescent="0.2">
      <c r="A1724" s="10" t="str">
        <f>IF(1716&gt;$C$9008,"",INDEX($B$9:$B$9008,MATCH(1716,$C$9:$C$9008,0)))</f>
        <v/>
      </c>
      <c r="B1724" s="9" t="str">
        <f>IFERROR(INDEX(Input!$L$20:$T$1019,INT((ROW()-9)/9)+1,MOD(ROW()-9,9)+1),"")</f>
        <v/>
      </c>
      <c r="C1724" s="9">
        <f t="shared" si="26"/>
        <v>0</v>
      </c>
    </row>
    <row r="1725" spans="1:3" x14ac:dyDescent="0.2">
      <c r="A1725" s="10" t="str">
        <f>IF(1717&gt;$C$9008,"",INDEX($B$9:$B$9008,MATCH(1717,$C$9:$C$9008,0)))</f>
        <v/>
      </c>
      <c r="B1725" s="9" t="str">
        <f>IFERROR(INDEX(Input!$L$20:$T$1019,INT((ROW()-9)/9)+1,MOD(ROW()-9,9)+1),"")</f>
        <v/>
      </c>
      <c r="C1725" s="9">
        <f t="shared" si="26"/>
        <v>0</v>
      </c>
    </row>
    <row r="1726" spans="1:3" x14ac:dyDescent="0.2">
      <c r="A1726" s="10" t="str">
        <f>IF(1718&gt;$C$9008,"",INDEX($B$9:$B$9008,MATCH(1718,$C$9:$C$9008,0)))</f>
        <v/>
      </c>
      <c r="B1726" s="9" t="str">
        <f>IFERROR(INDEX(Input!$L$20:$T$1019,INT((ROW()-9)/9)+1,MOD(ROW()-9,9)+1),"")</f>
        <v/>
      </c>
      <c r="C1726" s="9">
        <f t="shared" si="26"/>
        <v>0</v>
      </c>
    </row>
    <row r="1727" spans="1:3" x14ac:dyDescent="0.2">
      <c r="A1727" s="10" t="str">
        <f>IF(1719&gt;$C$9008,"",INDEX($B$9:$B$9008,MATCH(1719,$C$9:$C$9008,0)))</f>
        <v/>
      </c>
      <c r="B1727" s="9" t="str">
        <f>IFERROR(INDEX(Input!$L$20:$T$1019,INT((ROW()-9)/9)+1,MOD(ROW()-9,9)+1),"")</f>
        <v/>
      </c>
      <c r="C1727" s="9">
        <f t="shared" si="26"/>
        <v>0</v>
      </c>
    </row>
    <row r="1728" spans="1:3" x14ac:dyDescent="0.2">
      <c r="A1728" s="10" t="str">
        <f>IF(1720&gt;$C$9008,"",INDEX($B$9:$B$9008,MATCH(1720,$C$9:$C$9008,0)))</f>
        <v/>
      </c>
      <c r="B1728" s="9" t="str">
        <f>IFERROR(INDEX(Input!$L$20:$T$1019,INT((ROW()-9)/9)+1,MOD(ROW()-9,9)+1),"")</f>
        <v/>
      </c>
      <c r="C1728" s="9">
        <f t="shared" si="26"/>
        <v>0</v>
      </c>
    </row>
    <row r="1729" spans="1:3" x14ac:dyDescent="0.2">
      <c r="A1729" s="10" t="str">
        <f>IF(1721&gt;$C$9008,"",INDEX($B$9:$B$9008,MATCH(1721,$C$9:$C$9008,0)))</f>
        <v/>
      </c>
      <c r="B1729" s="9" t="str">
        <f>IFERROR(INDEX(Input!$L$20:$T$1019,INT((ROW()-9)/9)+1,MOD(ROW()-9,9)+1),"")</f>
        <v/>
      </c>
      <c r="C1729" s="9">
        <f t="shared" si="26"/>
        <v>0</v>
      </c>
    </row>
    <row r="1730" spans="1:3" x14ac:dyDescent="0.2">
      <c r="A1730" s="10" t="str">
        <f>IF(1722&gt;$C$9008,"",INDEX($B$9:$B$9008,MATCH(1722,$C$9:$C$9008,0)))</f>
        <v/>
      </c>
      <c r="B1730" s="9" t="str">
        <f>IFERROR(INDEX(Input!$L$20:$T$1019,INT((ROW()-9)/9)+1,MOD(ROW()-9,9)+1),"")</f>
        <v/>
      </c>
      <c r="C1730" s="9">
        <f t="shared" si="26"/>
        <v>0</v>
      </c>
    </row>
    <row r="1731" spans="1:3" x14ac:dyDescent="0.2">
      <c r="A1731" s="10" t="str">
        <f>IF(1723&gt;$C$9008,"",INDEX($B$9:$B$9008,MATCH(1723,$C$9:$C$9008,0)))</f>
        <v/>
      </c>
      <c r="B1731" s="9" t="str">
        <f>IFERROR(INDEX(Input!$L$20:$T$1019,INT((ROW()-9)/9)+1,MOD(ROW()-9,9)+1),"")</f>
        <v/>
      </c>
      <c r="C1731" s="9">
        <f t="shared" si="26"/>
        <v>0</v>
      </c>
    </row>
    <row r="1732" spans="1:3" x14ac:dyDescent="0.2">
      <c r="A1732" s="10" t="str">
        <f>IF(1724&gt;$C$9008,"",INDEX($B$9:$B$9008,MATCH(1724,$C$9:$C$9008,0)))</f>
        <v/>
      </c>
      <c r="B1732" s="9" t="str">
        <f>IFERROR(INDEX(Input!$L$20:$T$1019,INT((ROW()-9)/9)+1,MOD(ROW()-9,9)+1),"")</f>
        <v/>
      </c>
      <c r="C1732" s="9">
        <f t="shared" si="26"/>
        <v>0</v>
      </c>
    </row>
    <row r="1733" spans="1:3" x14ac:dyDescent="0.2">
      <c r="A1733" s="10" t="str">
        <f>IF(1725&gt;$C$9008,"",INDEX($B$9:$B$9008,MATCH(1725,$C$9:$C$9008,0)))</f>
        <v/>
      </c>
      <c r="B1733" s="9" t="str">
        <f>IFERROR(INDEX(Input!$L$20:$T$1019,INT((ROW()-9)/9)+1,MOD(ROW()-9,9)+1),"")</f>
        <v/>
      </c>
      <c r="C1733" s="9">
        <f t="shared" si="26"/>
        <v>0</v>
      </c>
    </row>
    <row r="1734" spans="1:3" x14ac:dyDescent="0.2">
      <c r="A1734" s="10" t="str">
        <f>IF(1726&gt;$C$9008,"",INDEX($B$9:$B$9008,MATCH(1726,$C$9:$C$9008,0)))</f>
        <v/>
      </c>
      <c r="B1734" s="9" t="str">
        <f>IFERROR(INDEX(Input!$L$20:$T$1019,INT((ROW()-9)/9)+1,MOD(ROW()-9,9)+1),"")</f>
        <v/>
      </c>
      <c r="C1734" s="9">
        <f t="shared" si="26"/>
        <v>0</v>
      </c>
    </row>
    <row r="1735" spans="1:3" x14ac:dyDescent="0.2">
      <c r="A1735" s="10" t="str">
        <f>IF(1727&gt;$C$9008,"",INDEX($B$9:$B$9008,MATCH(1727,$C$9:$C$9008,0)))</f>
        <v/>
      </c>
      <c r="B1735" s="9" t="str">
        <f>IFERROR(INDEX(Input!$L$20:$T$1019,INT((ROW()-9)/9)+1,MOD(ROW()-9,9)+1),"")</f>
        <v/>
      </c>
      <c r="C1735" s="9">
        <f t="shared" si="26"/>
        <v>0</v>
      </c>
    </row>
    <row r="1736" spans="1:3" x14ac:dyDescent="0.2">
      <c r="A1736" s="10" t="str">
        <f>IF(1728&gt;$C$9008,"",INDEX($B$9:$B$9008,MATCH(1728,$C$9:$C$9008,0)))</f>
        <v/>
      </c>
      <c r="B1736" s="9" t="str">
        <f>IFERROR(INDEX(Input!$L$20:$T$1019,INT((ROW()-9)/9)+1,MOD(ROW()-9,9)+1),"")</f>
        <v/>
      </c>
      <c r="C1736" s="9">
        <f t="shared" si="26"/>
        <v>0</v>
      </c>
    </row>
    <row r="1737" spans="1:3" x14ac:dyDescent="0.2">
      <c r="A1737" s="10" t="str">
        <f>IF(1729&gt;$C$9008,"",INDEX($B$9:$B$9008,MATCH(1729,$C$9:$C$9008,0)))</f>
        <v/>
      </c>
      <c r="B1737" s="9" t="str">
        <f>IFERROR(INDEX(Input!$L$20:$T$1019,INT((ROW()-9)/9)+1,MOD(ROW()-9,9)+1),"")</f>
        <v/>
      </c>
      <c r="C1737" s="9">
        <f t="shared" ref="C1737:C1800" si="27">$C1736+IF($B1737&lt;&gt;"",1,0)</f>
        <v>0</v>
      </c>
    </row>
    <row r="1738" spans="1:3" x14ac:dyDescent="0.2">
      <c r="A1738" s="10" t="str">
        <f>IF(1730&gt;$C$9008,"",INDEX($B$9:$B$9008,MATCH(1730,$C$9:$C$9008,0)))</f>
        <v/>
      </c>
      <c r="B1738" s="9" t="str">
        <f>IFERROR(INDEX(Input!$L$20:$T$1019,INT((ROW()-9)/9)+1,MOD(ROW()-9,9)+1),"")</f>
        <v/>
      </c>
      <c r="C1738" s="9">
        <f t="shared" si="27"/>
        <v>0</v>
      </c>
    </row>
    <row r="1739" spans="1:3" x14ac:dyDescent="0.2">
      <c r="A1739" s="10" t="str">
        <f>IF(1731&gt;$C$9008,"",INDEX($B$9:$B$9008,MATCH(1731,$C$9:$C$9008,0)))</f>
        <v/>
      </c>
      <c r="B1739" s="9" t="str">
        <f>IFERROR(INDEX(Input!$L$20:$T$1019,INT((ROW()-9)/9)+1,MOD(ROW()-9,9)+1),"")</f>
        <v/>
      </c>
      <c r="C1739" s="9">
        <f t="shared" si="27"/>
        <v>0</v>
      </c>
    </row>
    <row r="1740" spans="1:3" x14ac:dyDescent="0.2">
      <c r="A1740" s="10" t="str">
        <f>IF(1732&gt;$C$9008,"",INDEX($B$9:$B$9008,MATCH(1732,$C$9:$C$9008,0)))</f>
        <v/>
      </c>
      <c r="B1740" s="9" t="str">
        <f>IFERROR(INDEX(Input!$L$20:$T$1019,INT((ROW()-9)/9)+1,MOD(ROW()-9,9)+1),"")</f>
        <v/>
      </c>
      <c r="C1740" s="9">
        <f t="shared" si="27"/>
        <v>0</v>
      </c>
    </row>
    <row r="1741" spans="1:3" x14ac:dyDescent="0.2">
      <c r="A1741" s="10" t="str">
        <f>IF(1733&gt;$C$9008,"",INDEX($B$9:$B$9008,MATCH(1733,$C$9:$C$9008,0)))</f>
        <v/>
      </c>
      <c r="B1741" s="9" t="str">
        <f>IFERROR(INDEX(Input!$L$20:$T$1019,INT((ROW()-9)/9)+1,MOD(ROW()-9,9)+1),"")</f>
        <v/>
      </c>
      <c r="C1741" s="9">
        <f t="shared" si="27"/>
        <v>0</v>
      </c>
    </row>
    <row r="1742" spans="1:3" x14ac:dyDescent="0.2">
      <c r="A1742" s="10" t="str">
        <f>IF(1734&gt;$C$9008,"",INDEX($B$9:$B$9008,MATCH(1734,$C$9:$C$9008,0)))</f>
        <v/>
      </c>
      <c r="B1742" s="9" t="str">
        <f>IFERROR(INDEX(Input!$L$20:$T$1019,INT((ROW()-9)/9)+1,MOD(ROW()-9,9)+1),"")</f>
        <v/>
      </c>
      <c r="C1742" s="9">
        <f t="shared" si="27"/>
        <v>0</v>
      </c>
    </row>
    <row r="1743" spans="1:3" x14ac:dyDescent="0.2">
      <c r="A1743" s="10" t="str">
        <f>IF(1735&gt;$C$9008,"",INDEX($B$9:$B$9008,MATCH(1735,$C$9:$C$9008,0)))</f>
        <v/>
      </c>
      <c r="B1743" s="9" t="str">
        <f>IFERROR(INDEX(Input!$L$20:$T$1019,INT((ROW()-9)/9)+1,MOD(ROW()-9,9)+1),"")</f>
        <v/>
      </c>
      <c r="C1743" s="9">
        <f t="shared" si="27"/>
        <v>0</v>
      </c>
    </row>
    <row r="1744" spans="1:3" x14ac:dyDescent="0.2">
      <c r="A1744" s="10" t="str">
        <f>IF(1736&gt;$C$9008,"",INDEX($B$9:$B$9008,MATCH(1736,$C$9:$C$9008,0)))</f>
        <v/>
      </c>
      <c r="B1744" s="9" t="str">
        <f>IFERROR(INDEX(Input!$L$20:$T$1019,INT((ROW()-9)/9)+1,MOD(ROW()-9,9)+1),"")</f>
        <v/>
      </c>
      <c r="C1744" s="9">
        <f t="shared" si="27"/>
        <v>0</v>
      </c>
    </row>
    <row r="1745" spans="1:3" x14ac:dyDescent="0.2">
      <c r="A1745" s="10" t="str">
        <f>IF(1737&gt;$C$9008,"",INDEX($B$9:$B$9008,MATCH(1737,$C$9:$C$9008,0)))</f>
        <v/>
      </c>
      <c r="B1745" s="9" t="str">
        <f>IFERROR(INDEX(Input!$L$20:$T$1019,INT((ROW()-9)/9)+1,MOD(ROW()-9,9)+1),"")</f>
        <v/>
      </c>
      <c r="C1745" s="9">
        <f t="shared" si="27"/>
        <v>0</v>
      </c>
    </row>
    <row r="1746" spans="1:3" x14ac:dyDescent="0.2">
      <c r="A1746" s="10" t="str">
        <f>IF(1738&gt;$C$9008,"",INDEX($B$9:$B$9008,MATCH(1738,$C$9:$C$9008,0)))</f>
        <v/>
      </c>
      <c r="B1746" s="9" t="str">
        <f>IFERROR(INDEX(Input!$L$20:$T$1019,INT((ROW()-9)/9)+1,MOD(ROW()-9,9)+1),"")</f>
        <v/>
      </c>
      <c r="C1746" s="9">
        <f t="shared" si="27"/>
        <v>0</v>
      </c>
    </row>
    <row r="1747" spans="1:3" x14ac:dyDescent="0.2">
      <c r="A1747" s="10" t="str">
        <f>IF(1739&gt;$C$9008,"",INDEX($B$9:$B$9008,MATCH(1739,$C$9:$C$9008,0)))</f>
        <v/>
      </c>
      <c r="B1747" s="9" t="str">
        <f>IFERROR(INDEX(Input!$L$20:$T$1019,INT((ROW()-9)/9)+1,MOD(ROW()-9,9)+1),"")</f>
        <v/>
      </c>
      <c r="C1747" s="9">
        <f t="shared" si="27"/>
        <v>0</v>
      </c>
    </row>
    <row r="1748" spans="1:3" x14ac:dyDescent="0.2">
      <c r="A1748" s="10" t="str">
        <f>IF(1740&gt;$C$9008,"",INDEX($B$9:$B$9008,MATCH(1740,$C$9:$C$9008,0)))</f>
        <v/>
      </c>
      <c r="B1748" s="9" t="str">
        <f>IFERROR(INDEX(Input!$L$20:$T$1019,INT((ROW()-9)/9)+1,MOD(ROW()-9,9)+1),"")</f>
        <v/>
      </c>
      <c r="C1748" s="9">
        <f t="shared" si="27"/>
        <v>0</v>
      </c>
    </row>
    <row r="1749" spans="1:3" x14ac:dyDescent="0.2">
      <c r="A1749" s="10" t="str">
        <f>IF(1741&gt;$C$9008,"",INDEX($B$9:$B$9008,MATCH(1741,$C$9:$C$9008,0)))</f>
        <v/>
      </c>
      <c r="B1749" s="9" t="str">
        <f>IFERROR(INDEX(Input!$L$20:$T$1019,INT((ROW()-9)/9)+1,MOD(ROW()-9,9)+1),"")</f>
        <v/>
      </c>
      <c r="C1749" s="9">
        <f t="shared" si="27"/>
        <v>0</v>
      </c>
    </row>
    <row r="1750" spans="1:3" x14ac:dyDescent="0.2">
      <c r="A1750" s="10" t="str">
        <f>IF(1742&gt;$C$9008,"",INDEX($B$9:$B$9008,MATCH(1742,$C$9:$C$9008,0)))</f>
        <v/>
      </c>
      <c r="B1750" s="9" t="str">
        <f>IFERROR(INDEX(Input!$L$20:$T$1019,INT((ROW()-9)/9)+1,MOD(ROW()-9,9)+1),"")</f>
        <v/>
      </c>
      <c r="C1750" s="9">
        <f t="shared" si="27"/>
        <v>0</v>
      </c>
    </row>
    <row r="1751" spans="1:3" x14ac:dyDescent="0.2">
      <c r="A1751" s="10" t="str">
        <f>IF(1743&gt;$C$9008,"",INDEX($B$9:$B$9008,MATCH(1743,$C$9:$C$9008,0)))</f>
        <v/>
      </c>
      <c r="B1751" s="9" t="str">
        <f>IFERROR(INDEX(Input!$L$20:$T$1019,INT((ROW()-9)/9)+1,MOD(ROW()-9,9)+1),"")</f>
        <v/>
      </c>
      <c r="C1751" s="9">
        <f t="shared" si="27"/>
        <v>0</v>
      </c>
    </row>
    <row r="1752" spans="1:3" x14ac:dyDescent="0.2">
      <c r="A1752" s="10" t="str">
        <f>IF(1744&gt;$C$9008,"",INDEX($B$9:$B$9008,MATCH(1744,$C$9:$C$9008,0)))</f>
        <v/>
      </c>
      <c r="B1752" s="9" t="str">
        <f>IFERROR(INDEX(Input!$L$20:$T$1019,INT((ROW()-9)/9)+1,MOD(ROW()-9,9)+1),"")</f>
        <v/>
      </c>
      <c r="C1752" s="9">
        <f t="shared" si="27"/>
        <v>0</v>
      </c>
    </row>
    <row r="1753" spans="1:3" x14ac:dyDescent="0.2">
      <c r="A1753" s="10" t="str">
        <f>IF(1745&gt;$C$9008,"",INDEX($B$9:$B$9008,MATCH(1745,$C$9:$C$9008,0)))</f>
        <v/>
      </c>
      <c r="B1753" s="9" t="str">
        <f>IFERROR(INDEX(Input!$L$20:$T$1019,INT((ROW()-9)/9)+1,MOD(ROW()-9,9)+1),"")</f>
        <v/>
      </c>
      <c r="C1753" s="9">
        <f t="shared" si="27"/>
        <v>0</v>
      </c>
    </row>
    <row r="1754" spans="1:3" x14ac:dyDescent="0.2">
      <c r="A1754" s="10" t="str">
        <f>IF(1746&gt;$C$9008,"",INDEX($B$9:$B$9008,MATCH(1746,$C$9:$C$9008,0)))</f>
        <v/>
      </c>
      <c r="B1754" s="9" t="str">
        <f>IFERROR(INDEX(Input!$L$20:$T$1019,INT((ROW()-9)/9)+1,MOD(ROW()-9,9)+1),"")</f>
        <v/>
      </c>
      <c r="C1754" s="9">
        <f t="shared" si="27"/>
        <v>0</v>
      </c>
    </row>
    <row r="1755" spans="1:3" x14ac:dyDescent="0.2">
      <c r="A1755" s="10" t="str">
        <f>IF(1747&gt;$C$9008,"",INDEX($B$9:$B$9008,MATCH(1747,$C$9:$C$9008,0)))</f>
        <v/>
      </c>
      <c r="B1755" s="9" t="str">
        <f>IFERROR(INDEX(Input!$L$20:$T$1019,INT((ROW()-9)/9)+1,MOD(ROW()-9,9)+1),"")</f>
        <v/>
      </c>
      <c r="C1755" s="9">
        <f t="shared" si="27"/>
        <v>0</v>
      </c>
    </row>
    <row r="1756" spans="1:3" x14ac:dyDescent="0.2">
      <c r="A1756" s="10" t="str">
        <f>IF(1748&gt;$C$9008,"",INDEX($B$9:$B$9008,MATCH(1748,$C$9:$C$9008,0)))</f>
        <v/>
      </c>
      <c r="B1756" s="9" t="str">
        <f>IFERROR(INDEX(Input!$L$20:$T$1019,INT((ROW()-9)/9)+1,MOD(ROW()-9,9)+1),"")</f>
        <v/>
      </c>
      <c r="C1756" s="9">
        <f t="shared" si="27"/>
        <v>0</v>
      </c>
    </row>
    <row r="1757" spans="1:3" x14ac:dyDescent="0.2">
      <c r="A1757" s="10" t="str">
        <f>IF(1749&gt;$C$9008,"",INDEX($B$9:$B$9008,MATCH(1749,$C$9:$C$9008,0)))</f>
        <v/>
      </c>
      <c r="B1757" s="9" t="str">
        <f>IFERROR(INDEX(Input!$L$20:$T$1019,INT((ROW()-9)/9)+1,MOD(ROW()-9,9)+1),"")</f>
        <v/>
      </c>
      <c r="C1757" s="9">
        <f t="shared" si="27"/>
        <v>0</v>
      </c>
    </row>
    <row r="1758" spans="1:3" x14ac:dyDescent="0.2">
      <c r="A1758" s="10" t="str">
        <f>IF(1750&gt;$C$9008,"",INDEX($B$9:$B$9008,MATCH(1750,$C$9:$C$9008,0)))</f>
        <v/>
      </c>
      <c r="B1758" s="9" t="str">
        <f>IFERROR(INDEX(Input!$L$20:$T$1019,INT((ROW()-9)/9)+1,MOD(ROW()-9,9)+1),"")</f>
        <v/>
      </c>
      <c r="C1758" s="9">
        <f t="shared" si="27"/>
        <v>0</v>
      </c>
    </row>
    <row r="1759" spans="1:3" x14ac:dyDescent="0.2">
      <c r="A1759" s="10" t="str">
        <f>IF(1751&gt;$C$9008,"",INDEX($B$9:$B$9008,MATCH(1751,$C$9:$C$9008,0)))</f>
        <v/>
      </c>
      <c r="B1759" s="9" t="str">
        <f>IFERROR(INDEX(Input!$L$20:$T$1019,INT((ROW()-9)/9)+1,MOD(ROW()-9,9)+1),"")</f>
        <v/>
      </c>
      <c r="C1759" s="9">
        <f t="shared" si="27"/>
        <v>0</v>
      </c>
    </row>
    <row r="1760" spans="1:3" x14ac:dyDescent="0.2">
      <c r="A1760" s="10" t="str">
        <f>IF(1752&gt;$C$9008,"",INDEX($B$9:$B$9008,MATCH(1752,$C$9:$C$9008,0)))</f>
        <v/>
      </c>
      <c r="B1760" s="9" t="str">
        <f>IFERROR(INDEX(Input!$L$20:$T$1019,INT((ROW()-9)/9)+1,MOD(ROW()-9,9)+1),"")</f>
        <v/>
      </c>
      <c r="C1760" s="9">
        <f t="shared" si="27"/>
        <v>0</v>
      </c>
    </row>
    <row r="1761" spans="1:3" x14ac:dyDescent="0.2">
      <c r="A1761" s="10" t="str">
        <f>IF(1753&gt;$C$9008,"",INDEX($B$9:$B$9008,MATCH(1753,$C$9:$C$9008,0)))</f>
        <v/>
      </c>
      <c r="B1761" s="9" t="str">
        <f>IFERROR(INDEX(Input!$L$20:$T$1019,INT((ROW()-9)/9)+1,MOD(ROW()-9,9)+1),"")</f>
        <v/>
      </c>
      <c r="C1761" s="9">
        <f t="shared" si="27"/>
        <v>0</v>
      </c>
    </row>
    <row r="1762" spans="1:3" x14ac:dyDescent="0.2">
      <c r="A1762" s="10" t="str">
        <f>IF(1754&gt;$C$9008,"",INDEX($B$9:$B$9008,MATCH(1754,$C$9:$C$9008,0)))</f>
        <v/>
      </c>
      <c r="B1762" s="9" t="str">
        <f>IFERROR(INDEX(Input!$L$20:$T$1019,INT((ROW()-9)/9)+1,MOD(ROW()-9,9)+1),"")</f>
        <v/>
      </c>
      <c r="C1762" s="9">
        <f t="shared" si="27"/>
        <v>0</v>
      </c>
    </row>
    <row r="1763" spans="1:3" x14ac:dyDescent="0.2">
      <c r="A1763" s="10" t="str">
        <f>IF(1755&gt;$C$9008,"",INDEX($B$9:$B$9008,MATCH(1755,$C$9:$C$9008,0)))</f>
        <v/>
      </c>
      <c r="B1763" s="9" t="str">
        <f>IFERROR(INDEX(Input!$L$20:$T$1019,INT((ROW()-9)/9)+1,MOD(ROW()-9,9)+1),"")</f>
        <v/>
      </c>
      <c r="C1763" s="9">
        <f t="shared" si="27"/>
        <v>0</v>
      </c>
    </row>
    <row r="1764" spans="1:3" x14ac:dyDescent="0.2">
      <c r="A1764" s="10" t="str">
        <f>IF(1756&gt;$C$9008,"",INDEX($B$9:$B$9008,MATCH(1756,$C$9:$C$9008,0)))</f>
        <v/>
      </c>
      <c r="B1764" s="9" t="str">
        <f>IFERROR(INDEX(Input!$L$20:$T$1019,INT((ROW()-9)/9)+1,MOD(ROW()-9,9)+1),"")</f>
        <v/>
      </c>
      <c r="C1764" s="9">
        <f t="shared" si="27"/>
        <v>0</v>
      </c>
    </row>
    <row r="1765" spans="1:3" x14ac:dyDescent="0.2">
      <c r="A1765" s="10" t="str">
        <f>IF(1757&gt;$C$9008,"",INDEX($B$9:$B$9008,MATCH(1757,$C$9:$C$9008,0)))</f>
        <v/>
      </c>
      <c r="B1765" s="9" t="str">
        <f>IFERROR(INDEX(Input!$L$20:$T$1019,INT((ROW()-9)/9)+1,MOD(ROW()-9,9)+1),"")</f>
        <v/>
      </c>
      <c r="C1765" s="9">
        <f t="shared" si="27"/>
        <v>0</v>
      </c>
    </row>
    <row r="1766" spans="1:3" x14ac:dyDescent="0.2">
      <c r="A1766" s="10" t="str">
        <f>IF(1758&gt;$C$9008,"",INDEX($B$9:$B$9008,MATCH(1758,$C$9:$C$9008,0)))</f>
        <v/>
      </c>
      <c r="B1766" s="9" t="str">
        <f>IFERROR(INDEX(Input!$L$20:$T$1019,INT((ROW()-9)/9)+1,MOD(ROW()-9,9)+1),"")</f>
        <v/>
      </c>
      <c r="C1766" s="9">
        <f t="shared" si="27"/>
        <v>0</v>
      </c>
    </row>
    <row r="1767" spans="1:3" x14ac:dyDescent="0.2">
      <c r="A1767" s="10" t="str">
        <f>IF(1759&gt;$C$9008,"",INDEX($B$9:$B$9008,MATCH(1759,$C$9:$C$9008,0)))</f>
        <v/>
      </c>
      <c r="B1767" s="9" t="str">
        <f>IFERROR(INDEX(Input!$L$20:$T$1019,INT((ROW()-9)/9)+1,MOD(ROW()-9,9)+1),"")</f>
        <v/>
      </c>
      <c r="C1767" s="9">
        <f t="shared" si="27"/>
        <v>0</v>
      </c>
    </row>
    <row r="1768" spans="1:3" x14ac:dyDescent="0.2">
      <c r="A1768" s="10" t="str">
        <f>IF(1760&gt;$C$9008,"",INDEX($B$9:$B$9008,MATCH(1760,$C$9:$C$9008,0)))</f>
        <v/>
      </c>
      <c r="B1768" s="9" t="str">
        <f>IFERROR(INDEX(Input!$L$20:$T$1019,INT((ROW()-9)/9)+1,MOD(ROW()-9,9)+1),"")</f>
        <v/>
      </c>
      <c r="C1768" s="9">
        <f t="shared" si="27"/>
        <v>0</v>
      </c>
    </row>
    <row r="1769" spans="1:3" x14ac:dyDescent="0.2">
      <c r="A1769" s="10" t="str">
        <f>IF(1761&gt;$C$9008,"",INDEX($B$9:$B$9008,MATCH(1761,$C$9:$C$9008,0)))</f>
        <v/>
      </c>
      <c r="B1769" s="9" t="str">
        <f>IFERROR(INDEX(Input!$L$20:$T$1019,INT((ROW()-9)/9)+1,MOD(ROW()-9,9)+1),"")</f>
        <v/>
      </c>
      <c r="C1769" s="9">
        <f t="shared" si="27"/>
        <v>0</v>
      </c>
    </row>
    <row r="1770" spans="1:3" x14ac:dyDescent="0.2">
      <c r="A1770" s="10" t="str">
        <f>IF(1762&gt;$C$9008,"",INDEX($B$9:$B$9008,MATCH(1762,$C$9:$C$9008,0)))</f>
        <v/>
      </c>
      <c r="B1770" s="9" t="str">
        <f>IFERROR(INDEX(Input!$L$20:$T$1019,INT((ROW()-9)/9)+1,MOD(ROW()-9,9)+1),"")</f>
        <v/>
      </c>
      <c r="C1770" s="9">
        <f t="shared" si="27"/>
        <v>0</v>
      </c>
    </row>
    <row r="1771" spans="1:3" x14ac:dyDescent="0.2">
      <c r="A1771" s="10" t="str">
        <f>IF(1763&gt;$C$9008,"",INDEX($B$9:$B$9008,MATCH(1763,$C$9:$C$9008,0)))</f>
        <v/>
      </c>
      <c r="B1771" s="9" t="str">
        <f>IFERROR(INDEX(Input!$L$20:$T$1019,INT((ROW()-9)/9)+1,MOD(ROW()-9,9)+1),"")</f>
        <v/>
      </c>
      <c r="C1771" s="9">
        <f t="shared" si="27"/>
        <v>0</v>
      </c>
    </row>
    <row r="1772" spans="1:3" x14ac:dyDescent="0.2">
      <c r="A1772" s="10" t="str">
        <f>IF(1764&gt;$C$9008,"",INDEX($B$9:$B$9008,MATCH(1764,$C$9:$C$9008,0)))</f>
        <v/>
      </c>
      <c r="B1772" s="9" t="str">
        <f>IFERROR(INDEX(Input!$L$20:$T$1019,INT((ROW()-9)/9)+1,MOD(ROW()-9,9)+1),"")</f>
        <v/>
      </c>
      <c r="C1772" s="9">
        <f t="shared" si="27"/>
        <v>0</v>
      </c>
    </row>
    <row r="1773" spans="1:3" x14ac:dyDescent="0.2">
      <c r="A1773" s="10" t="str">
        <f>IF(1765&gt;$C$9008,"",INDEX($B$9:$B$9008,MATCH(1765,$C$9:$C$9008,0)))</f>
        <v/>
      </c>
      <c r="B1773" s="9" t="str">
        <f>IFERROR(INDEX(Input!$L$20:$T$1019,INT((ROW()-9)/9)+1,MOD(ROW()-9,9)+1),"")</f>
        <v/>
      </c>
      <c r="C1773" s="9">
        <f t="shared" si="27"/>
        <v>0</v>
      </c>
    </row>
    <row r="1774" spans="1:3" x14ac:dyDescent="0.2">
      <c r="A1774" s="10" t="str">
        <f>IF(1766&gt;$C$9008,"",INDEX($B$9:$B$9008,MATCH(1766,$C$9:$C$9008,0)))</f>
        <v/>
      </c>
      <c r="B1774" s="9" t="str">
        <f>IFERROR(INDEX(Input!$L$20:$T$1019,INT((ROW()-9)/9)+1,MOD(ROW()-9,9)+1),"")</f>
        <v/>
      </c>
      <c r="C1774" s="9">
        <f t="shared" si="27"/>
        <v>0</v>
      </c>
    </row>
    <row r="1775" spans="1:3" x14ac:dyDescent="0.2">
      <c r="A1775" s="10" t="str">
        <f>IF(1767&gt;$C$9008,"",INDEX($B$9:$B$9008,MATCH(1767,$C$9:$C$9008,0)))</f>
        <v/>
      </c>
      <c r="B1775" s="9" t="str">
        <f>IFERROR(INDEX(Input!$L$20:$T$1019,INT((ROW()-9)/9)+1,MOD(ROW()-9,9)+1),"")</f>
        <v/>
      </c>
      <c r="C1775" s="9">
        <f t="shared" si="27"/>
        <v>0</v>
      </c>
    </row>
    <row r="1776" spans="1:3" x14ac:dyDescent="0.2">
      <c r="A1776" s="10" t="str">
        <f>IF(1768&gt;$C$9008,"",INDEX($B$9:$B$9008,MATCH(1768,$C$9:$C$9008,0)))</f>
        <v/>
      </c>
      <c r="B1776" s="9" t="str">
        <f>IFERROR(INDEX(Input!$L$20:$T$1019,INT((ROW()-9)/9)+1,MOD(ROW()-9,9)+1),"")</f>
        <v/>
      </c>
      <c r="C1776" s="9">
        <f t="shared" si="27"/>
        <v>0</v>
      </c>
    </row>
    <row r="1777" spans="1:3" x14ac:dyDescent="0.2">
      <c r="A1777" s="10" t="str">
        <f>IF(1769&gt;$C$9008,"",INDEX($B$9:$B$9008,MATCH(1769,$C$9:$C$9008,0)))</f>
        <v/>
      </c>
      <c r="B1777" s="9" t="str">
        <f>IFERROR(INDEX(Input!$L$20:$T$1019,INT((ROW()-9)/9)+1,MOD(ROW()-9,9)+1),"")</f>
        <v/>
      </c>
      <c r="C1777" s="9">
        <f t="shared" si="27"/>
        <v>0</v>
      </c>
    </row>
    <row r="1778" spans="1:3" x14ac:dyDescent="0.2">
      <c r="A1778" s="10" t="str">
        <f>IF(1770&gt;$C$9008,"",INDEX($B$9:$B$9008,MATCH(1770,$C$9:$C$9008,0)))</f>
        <v/>
      </c>
      <c r="B1778" s="9" t="str">
        <f>IFERROR(INDEX(Input!$L$20:$T$1019,INT((ROW()-9)/9)+1,MOD(ROW()-9,9)+1),"")</f>
        <v/>
      </c>
      <c r="C1778" s="9">
        <f t="shared" si="27"/>
        <v>0</v>
      </c>
    </row>
    <row r="1779" spans="1:3" x14ac:dyDescent="0.2">
      <c r="A1779" s="10" t="str">
        <f>IF(1771&gt;$C$9008,"",INDEX($B$9:$B$9008,MATCH(1771,$C$9:$C$9008,0)))</f>
        <v/>
      </c>
      <c r="B1779" s="9" t="str">
        <f>IFERROR(INDEX(Input!$L$20:$T$1019,INT((ROW()-9)/9)+1,MOD(ROW()-9,9)+1),"")</f>
        <v/>
      </c>
      <c r="C1779" s="9">
        <f t="shared" si="27"/>
        <v>0</v>
      </c>
    </row>
    <row r="1780" spans="1:3" x14ac:dyDescent="0.2">
      <c r="A1780" s="10" t="str">
        <f>IF(1772&gt;$C$9008,"",INDEX($B$9:$B$9008,MATCH(1772,$C$9:$C$9008,0)))</f>
        <v/>
      </c>
      <c r="B1780" s="9" t="str">
        <f>IFERROR(INDEX(Input!$L$20:$T$1019,INT((ROW()-9)/9)+1,MOD(ROW()-9,9)+1),"")</f>
        <v/>
      </c>
      <c r="C1780" s="9">
        <f t="shared" si="27"/>
        <v>0</v>
      </c>
    </row>
    <row r="1781" spans="1:3" x14ac:dyDescent="0.2">
      <c r="A1781" s="10" t="str">
        <f>IF(1773&gt;$C$9008,"",INDEX($B$9:$B$9008,MATCH(1773,$C$9:$C$9008,0)))</f>
        <v/>
      </c>
      <c r="B1781" s="9" t="str">
        <f>IFERROR(INDEX(Input!$L$20:$T$1019,INT((ROW()-9)/9)+1,MOD(ROW()-9,9)+1),"")</f>
        <v/>
      </c>
      <c r="C1781" s="9">
        <f t="shared" si="27"/>
        <v>0</v>
      </c>
    </row>
    <row r="1782" spans="1:3" x14ac:dyDescent="0.2">
      <c r="A1782" s="10" t="str">
        <f>IF(1774&gt;$C$9008,"",INDEX($B$9:$B$9008,MATCH(1774,$C$9:$C$9008,0)))</f>
        <v/>
      </c>
      <c r="B1782" s="9" t="str">
        <f>IFERROR(INDEX(Input!$L$20:$T$1019,INT((ROW()-9)/9)+1,MOD(ROW()-9,9)+1),"")</f>
        <v/>
      </c>
      <c r="C1782" s="9">
        <f t="shared" si="27"/>
        <v>0</v>
      </c>
    </row>
    <row r="1783" spans="1:3" x14ac:dyDescent="0.2">
      <c r="A1783" s="10" t="str">
        <f>IF(1775&gt;$C$9008,"",INDEX($B$9:$B$9008,MATCH(1775,$C$9:$C$9008,0)))</f>
        <v/>
      </c>
      <c r="B1783" s="9" t="str">
        <f>IFERROR(INDEX(Input!$L$20:$T$1019,INT((ROW()-9)/9)+1,MOD(ROW()-9,9)+1),"")</f>
        <v/>
      </c>
      <c r="C1783" s="9">
        <f t="shared" si="27"/>
        <v>0</v>
      </c>
    </row>
    <row r="1784" spans="1:3" x14ac:dyDescent="0.2">
      <c r="A1784" s="10" t="str">
        <f>IF(1776&gt;$C$9008,"",INDEX($B$9:$B$9008,MATCH(1776,$C$9:$C$9008,0)))</f>
        <v/>
      </c>
      <c r="B1784" s="9" t="str">
        <f>IFERROR(INDEX(Input!$L$20:$T$1019,INT((ROW()-9)/9)+1,MOD(ROW()-9,9)+1),"")</f>
        <v/>
      </c>
      <c r="C1784" s="9">
        <f t="shared" si="27"/>
        <v>0</v>
      </c>
    </row>
    <row r="1785" spans="1:3" x14ac:dyDescent="0.2">
      <c r="A1785" s="10" t="str">
        <f>IF(1777&gt;$C$9008,"",INDEX($B$9:$B$9008,MATCH(1777,$C$9:$C$9008,0)))</f>
        <v/>
      </c>
      <c r="B1785" s="9" t="str">
        <f>IFERROR(INDEX(Input!$L$20:$T$1019,INT((ROW()-9)/9)+1,MOD(ROW()-9,9)+1),"")</f>
        <v/>
      </c>
      <c r="C1785" s="9">
        <f t="shared" si="27"/>
        <v>0</v>
      </c>
    </row>
    <row r="1786" spans="1:3" x14ac:dyDescent="0.2">
      <c r="A1786" s="10" t="str">
        <f>IF(1778&gt;$C$9008,"",INDEX($B$9:$B$9008,MATCH(1778,$C$9:$C$9008,0)))</f>
        <v/>
      </c>
      <c r="B1786" s="9" t="str">
        <f>IFERROR(INDEX(Input!$L$20:$T$1019,INT((ROW()-9)/9)+1,MOD(ROW()-9,9)+1),"")</f>
        <v/>
      </c>
      <c r="C1786" s="9">
        <f t="shared" si="27"/>
        <v>0</v>
      </c>
    </row>
    <row r="1787" spans="1:3" x14ac:dyDescent="0.2">
      <c r="A1787" s="10" t="str">
        <f>IF(1779&gt;$C$9008,"",INDEX($B$9:$B$9008,MATCH(1779,$C$9:$C$9008,0)))</f>
        <v/>
      </c>
      <c r="B1787" s="9" t="str">
        <f>IFERROR(INDEX(Input!$L$20:$T$1019,INT((ROW()-9)/9)+1,MOD(ROW()-9,9)+1),"")</f>
        <v/>
      </c>
      <c r="C1787" s="9">
        <f t="shared" si="27"/>
        <v>0</v>
      </c>
    </row>
    <row r="1788" spans="1:3" x14ac:dyDescent="0.2">
      <c r="A1788" s="10" t="str">
        <f>IF(1780&gt;$C$9008,"",INDEX($B$9:$B$9008,MATCH(1780,$C$9:$C$9008,0)))</f>
        <v/>
      </c>
      <c r="B1788" s="9" t="str">
        <f>IFERROR(INDEX(Input!$L$20:$T$1019,INT((ROW()-9)/9)+1,MOD(ROW()-9,9)+1),"")</f>
        <v/>
      </c>
      <c r="C1788" s="9">
        <f t="shared" si="27"/>
        <v>0</v>
      </c>
    </row>
    <row r="1789" spans="1:3" x14ac:dyDescent="0.2">
      <c r="A1789" s="10" t="str">
        <f>IF(1781&gt;$C$9008,"",INDEX($B$9:$B$9008,MATCH(1781,$C$9:$C$9008,0)))</f>
        <v/>
      </c>
      <c r="B1789" s="9" t="str">
        <f>IFERROR(INDEX(Input!$L$20:$T$1019,INT((ROW()-9)/9)+1,MOD(ROW()-9,9)+1),"")</f>
        <v/>
      </c>
      <c r="C1789" s="9">
        <f t="shared" si="27"/>
        <v>0</v>
      </c>
    </row>
    <row r="1790" spans="1:3" x14ac:dyDescent="0.2">
      <c r="A1790" s="10" t="str">
        <f>IF(1782&gt;$C$9008,"",INDEX($B$9:$B$9008,MATCH(1782,$C$9:$C$9008,0)))</f>
        <v/>
      </c>
      <c r="B1790" s="9" t="str">
        <f>IFERROR(INDEX(Input!$L$20:$T$1019,INT((ROW()-9)/9)+1,MOD(ROW()-9,9)+1),"")</f>
        <v/>
      </c>
      <c r="C1790" s="9">
        <f t="shared" si="27"/>
        <v>0</v>
      </c>
    </row>
    <row r="1791" spans="1:3" x14ac:dyDescent="0.2">
      <c r="A1791" s="10" t="str">
        <f>IF(1783&gt;$C$9008,"",INDEX($B$9:$B$9008,MATCH(1783,$C$9:$C$9008,0)))</f>
        <v/>
      </c>
      <c r="B1791" s="9" t="str">
        <f>IFERROR(INDEX(Input!$L$20:$T$1019,INT((ROW()-9)/9)+1,MOD(ROW()-9,9)+1),"")</f>
        <v/>
      </c>
      <c r="C1791" s="9">
        <f t="shared" si="27"/>
        <v>0</v>
      </c>
    </row>
    <row r="1792" spans="1:3" x14ac:dyDescent="0.2">
      <c r="A1792" s="10" t="str">
        <f>IF(1784&gt;$C$9008,"",INDEX($B$9:$B$9008,MATCH(1784,$C$9:$C$9008,0)))</f>
        <v/>
      </c>
      <c r="B1792" s="9" t="str">
        <f>IFERROR(INDEX(Input!$L$20:$T$1019,INT((ROW()-9)/9)+1,MOD(ROW()-9,9)+1),"")</f>
        <v/>
      </c>
      <c r="C1792" s="9">
        <f t="shared" si="27"/>
        <v>0</v>
      </c>
    </row>
    <row r="1793" spans="1:3" x14ac:dyDescent="0.2">
      <c r="A1793" s="10" t="str">
        <f>IF(1785&gt;$C$9008,"",INDEX($B$9:$B$9008,MATCH(1785,$C$9:$C$9008,0)))</f>
        <v/>
      </c>
      <c r="B1793" s="9" t="str">
        <f>IFERROR(INDEX(Input!$L$20:$T$1019,INT((ROW()-9)/9)+1,MOD(ROW()-9,9)+1),"")</f>
        <v/>
      </c>
      <c r="C1793" s="9">
        <f t="shared" si="27"/>
        <v>0</v>
      </c>
    </row>
    <row r="1794" spans="1:3" x14ac:dyDescent="0.2">
      <c r="A1794" s="10" t="str">
        <f>IF(1786&gt;$C$9008,"",INDEX($B$9:$B$9008,MATCH(1786,$C$9:$C$9008,0)))</f>
        <v/>
      </c>
      <c r="B1794" s="9" t="str">
        <f>IFERROR(INDEX(Input!$L$20:$T$1019,INT((ROW()-9)/9)+1,MOD(ROW()-9,9)+1),"")</f>
        <v/>
      </c>
      <c r="C1794" s="9">
        <f t="shared" si="27"/>
        <v>0</v>
      </c>
    </row>
    <row r="1795" spans="1:3" x14ac:dyDescent="0.2">
      <c r="A1795" s="10" t="str">
        <f>IF(1787&gt;$C$9008,"",INDEX($B$9:$B$9008,MATCH(1787,$C$9:$C$9008,0)))</f>
        <v/>
      </c>
      <c r="B1795" s="9" t="str">
        <f>IFERROR(INDEX(Input!$L$20:$T$1019,INT((ROW()-9)/9)+1,MOD(ROW()-9,9)+1),"")</f>
        <v/>
      </c>
      <c r="C1795" s="9">
        <f t="shared" si="27"/>
        <v>0</v>
      </c>
    </row>
    <row r="1796" spans="1:3" x14ac:dyDescent="0.2">
      <c r="A1796" s="10" t="str">
        <f>IF(1788&gt;$C$9008,"",INDEX($B$9:$B$9008,MATCH(1788,$C$9:$C$9008,0)))</f>
        <v/>
      </c>
      <c r="B1796" s="9" t="str">
        <f>IFERROR(INDEX(Input!$L$20:$T$1019,INT((ROW()-9)/9)+1,MOD(ROW()-9,9)+1),"")</f>
        <v/>
      </c>
      <c r="C1796" s="9">
        <f t="shared" si="27"/>
        <v>0</v>
      </c>
    </row>
    <row r="1797" spans="1:3" x14ac:dyDescent="0.2">
      <c r="A1797" s="10" t="str">
        <f>IF(1789&gt;$C$9008,"",INDEX($B$9:$B$9008,MATCH(1789,$C$9:$C$9008,0)))</f>
        <v/>
      </c>
      <c r="B1797" s="9" t="str">
        <f>IFERROR(INDEX(Input!$L$20:$T$1019,INT((ROW()-9)/9)+1,MOD(ROW()-9,9)+1),"")</f>
        <v/>
      </c>
      <c r="C1797" s="9">
        <f t="shared" si="27"/>
        <v>0</v>
      </c>
    </row>
    <row r="1798" spans="1:3" x14ac:dyDescent="0.2">
      <c r="A1798" s="10" t="str">
        <f>IF(1790&gt;$C$9008,"",INDEX($B$9:$B$9008,MATCH(1790,$C$9:$C$9008,0)))</f>
        <v/>
      </c>
      <c r="B1798" s="9" t="str">
        <f>IFERROR(INDEX(Input!$L$20:$T$1019,INT((ROW()-9)/9)+1,MOD(ROW()-9,9)+1),"")</f>
        <v/>
      </c>
      <c r="C1798" s="9">
        <f t="shared" si="27"/>
        <v>0</v>
      </c>
    </row>
    <row r="1799" spans="1:3" x14ac:dyDescent="0.2">
      <c r="A1799" s="10" t="str">
        <f>IF(1791&gt;$C$9008,"",INDEX($B$9:$B$9008,MATCH(1791,$C$9:$C$9008,0)))</f>
        <v/>
      </c>
      <c r="B1799" s="9" t="str">
        <f>IFERROR(INDEX(Input!$L$20:$T$1019,INT((ROW()-9)/9)+1,MOD(ROW()-9,9)+1),"")</f>
        <v/>
      </c>
      <c r="C1799" s="9">
        <f t="shared" si="27"/>
        <v>0</v>
      </c>
    </row>
    <row r="1800" spans="1:3" x14ac:dyDescent="0.2">
      <c r="A1800" s="10" t="str">
        <f>IF(1792&gt;$C$9008,"",INDEX($B$9:$B$9008,MATCH(1792,$C$9:$C$9008,0)))</f>
        <v/>
      </c>
      <c r="B1800" s="9" t="str">
        <f>IFERROR(INDEX(Input!$L$20:$T$1019,INT((ROW()-9)/9)+1,MOD(ROW()-9,9)+1),"")</f>
        <v/>
      </c>
      <c r="C1800" s="9">
        <f t="shared" si="27"/>
        <v>0</v>
      </c>
    </row>
    <row r="1801" spans="1:3" x14ac:dyDescent="0.2">
      <c r="A1801" s="10" t="str">
        <f>IF(1793&gt;$C$9008,"",INDEX($B$9:$B$9008,MATCH(1793,$C$9:$C$9008,0)))</f>
        <v/>
      </c>
      <c r="B1801" s="9" t="str">
        <f>IFERROR(INDEX(Input!$L$20:$T$1019,INT((ROW()-9)/9)+1,MOD(ROW()-9,9)+1),"")</f>
        <v/>
      </c>
      <c r="C1801" s="9">
        <f t="shared" ref="C1801:C1864" si="28">$C1800+IF($B1801&lt;&gt;"",1,0)</f>
        <v>0</v>
      </c>
    </row>
    <row r="1802" spans="1:3" x14ac:dyDescent="0.2">
      <c r="A1802" s="10" t="str">
        <f>IF(1794&gt;$C$9008,"",INDEX($B$9:$B$9008,MATCH(1794,$C$9:$C$9008,0)))</f>
        <v/>
      </c>
      <c r="B1802" s="9" t="str">
        <f>IFERROR(INDEX(Input!$L$20:$T$1019,INT((ROW()-9)/9)+1,MOD(ROW()-9,9)+1),"")</f>
        <v/>
      </c>
      <c r="C1802" s="9">
        <f t="shared" si="28"/>
        <v>0</v>
      </c>
    </row>
    <row r="1803" spans="1:3" x14ac:dyDescent="0.2">
      <c r="A1803" s="10" t="str">
        <f>IF(1795&gt;$C$9008,"",INDEX($B$9:$B$9008,MATCH(1795,$C$9:$C$9008,0)))</f>
        <v/>
      </c>
      <c r="B1803" s="9" t="str">
        <f>IFERROR(INDEX(Input!$L$20:$T$1019,INT((ROW()-9)/9)+1,MOD(ROW()-9,9)+1),"")</f>
        <v/>
      </c>
      <c r="C1803" s="9">
        <f t="shared" si="28"/>
        <v>0</v>
      </c>
    </row>
    <row r="1804" spans="1:3" x14ac:dyDescent="0.2">
      <c r="A1804" s="10" t="str">
        <f>IF(1796&gt;$C$9008,"",INDEX($B$9:$B$9008,MATCH(1796,$C$9:$C$9008,0)))</f>
        <v/>
      </c>
      <c r="B1804" s="9" t="str">
        <f>IFERROR(INDEX(Input!$L$20:$T$1019,INT((ROW()-9)/9)+1,MOD(ROW()-9,9)+1),"")</f>
        <v/>
      </c>
      <c r="C1804" s="9">
        <f t="shared" si="28"/>
        <v>0</v>
      </c>
    </row>
    <row r="1805" spans="1:3" x14ac:dyDescent="0.2">
      <c r="A1805" s="10" t="str">
        <f>IF(1797&gt;$C$9008,"",INDEX($B$9:$B$9008,MATCH(1797,$C$9:$C$9008,0)))</f>
        <v/>
      </c>
      <c r="B1805" s="9" t="str">
        <f>IFERROR(INDEX(Input!$L$20:$T$1019,INT((ROW()-9)/9)+1,MOD(ROW()-9,9)+1),"")</f>
        <v/>
      </c>
      <c r="C1805" s="9">
        <f t="shared" si="28"/>
        <v>0</v>
      </c>
    </row>
    <row r="1806" spans="1:3" x14ac:dyDescent="0.2">
      <c r="A1806" s="10" t="str">
        <f>IF(1798&gt;$C$9008,"",INDEX($B$9:$B$9008,MATCH(1798,$C$9:$C$9008,0)))</f>
        <v/>
      </c>
      <c r="B1806" s="9" t="str">
        <f>IFERROR(INDEX(Input!$L$20:$T$1019,INT((ROW()-9)/9)+1,MOD(ROW()-9,9)+1),"")</f>
        <v/>
      </c>
      <c r="C1806" s="9">
        <f t="shared" si="28"/>
        <v>0</v>
      </c>
    </row>
    <row r="1807" spans="1:3" x14ac:dyDescent="0.2">
      <c r="A1807" s="10" t="str">
        <f>IF(1799&gt;$C$9008,"",INDEX($B$9:$B$9008,MATCH(1799,$C$9:$C$9008,0)))</f>
        <v/>
      </c>
      <c r="B1807" s="9" t="str">
        <f>IFERROR(INDEX(Input!$L$20:$T$1019,INT((ROW()-9)/9)+1,MOD(ROW()-9,9)+1),"")</f>
        <v/>
      </c>
      <c r="C1807" s="9">
        <f t="shared" si="28"/>
        <v>0</v>
      </c>
    </row>
    <row r="1808" spans="1:3" x14ac:dyDescent="0.2">
      <c r="A1808" s="10" t="str">
        <f>IF(1800&gt;$C$9008,"",INDEX($B$9:$B$9008,MATCH(1800,$C$9:$C$9008,0)))</f>
        <v/>
      </c>
      <c r="B1808" s="9" t="str">
        <f>IFERROR(INDEX(Input!$L$20:$T$1019,INT((ROW()-9)/9)+1,MOD(ROW()-9,9)+1),"")</f>
        <v/>
      </c>
      <c r="C1808" s="9">
        <f t="shared" si="28"/>
        <v>0</v>
      </c>
    </row>
    <row r="1809" spans="1:3" x14ac:dyDescent="0.2">
      <c r="A1809" s="10" t="str">
        <f>IF(1801&gt;$C$9008,"",INDEX($B$9:$B$9008,MATCH(1801,$C$9:$C$9008,0)))</f>
        <v/>
      </c>
      <c r="B1809" s="9" t="str">
        <f>IFERROR(INDEX(Input!$L$20:$T$1019,INT((ROW()-9)/9)+1,MOD(ROW()-9,9)+1),"")</f>
        <v/>
      </c>
      <c r="C1809" s="9">
        <f t="shared" si="28"/>
        <v>0</v>
      </c>
    </row>
    <row r="1810" spans="1:3" x14ac:dyDescent="0.2">
      <c r="A1810" s="10" t="str">
        <f>IF(1802&gt;$C$9008,"",INDEX($B$9:$B$9008,MATCH(1802,$C$9:$C$9008,0)))</f>
        <v/>
      </c>
      <c r="B1810" s="9" t="str">
        <f>IFERROR(INDEX(Input!$L$20:$T$1019,INT((ROW()-9)/9)+1,MOD(ROW()-9,9)+1),"")</f>
        <v/>
      </c>
      <c r="C1810" s="9">
        <f t="shared" si="28"/>
        <v>0</v>
      </c>
    </row>
    <row r="1811" spans="1:3" x14ac:dyDescent="0.2">
      <c r="A1811" s="10" t="str">
        <f>IF(1803&gt;$C$9008,"",INDEX($B$9:$B$9008,MATCH(1803,$C$9:$C$9008,0)))</f>
        <v/>
      </c>
      <c r="B1811" s="9" t="str">
        <f>IFERROR(INDEX(Input!$L$20:$T$1019,INT((ROW()-9)/9)+1,MOD(ROW()-9,9)+1),"")</f>
        <v/>
      </c>
      <c r="C1811" s="9">
        <f t="shared" si="28"/>
        <v>0</v>
      </c>
    </row>
    <row r="1812" spans="1:3" x14ac:dyDescent="0.2">
      <c r="A1812" s="10" t="str">
        <f>IF(1804&gt;$C$9008,"",INDEX($B$9:$B$9008,MATCH(1804,$C$9:$C$9008,0)))</f>
        <v/>
      </c>
      <c r="B1812" s="9" t="str">
        <f>IFERROR(INDEX(Input!$L$20:$T$1019,INT((ROW()-9)/9)+1,MOD(ROW()-9,9)+1),"")</f>
        <v/>
      </c>
      <c r="C1812" s="9">
        <f t="shared" si="28"/>
        <v>0</v>
      </c>
    </row>
    <row r="1813" spans="1:3" x14ac:dyDescent="0.2">
      <c r="A1813" s="10" t="str">
        <f>IF(1805&gt;$C$9008,"",INDEX($B$9:$B$9008,MATCH(1805,$C$9:$C$9008,0)))</f>
        <v/>
      </c>
      <c r="B1813" s="9" t="str">
        <f>IFERROR(INDEX(Input!$L$20:$T$1019,INT((ROW()-9)/9)+1,MOD(ROW()-9,9)+1),"")</f>
        <v/>
      </c>
      <c r="C1813" s="9">
        <f t="shared" si="28"/>
        <v>0</v>
      </c>
    </row>
    <row r="1814" spans="1:3" x14ac:dyDescent="0.2">
      <c r="A1814" s="10" t="str">
        <f>IF(1806&gt;$C$9008,"",INDEX($B$9:$B$9008,MATCH(1806,$C$9:$C$9008,0)))</f>
        <v/>
      </c>
      <c r="B1814" s="9" t="str">
        <f>IFERROR(INDEX(Input!$L$20:$T$1019,INT((ROW()-9)/9)+1,MOD(ROW()-9,9)+1),"")</f>
        <v/>
      </c>
      <c r="C1814" s="9">
        <f t="shared" si="28"/>
        <v>0</v>
      </c>
    </row>
    <row r="1815" spans="1:3" x14ac:dyDescent="0.2">
      <c r="A1815" s="10" t="str">
        <f>IF(1807&gt;$C$9008,"",INDEX($B$9:$B$9008,MATCH(1807,$C$9:$C$9008,0)))</f>
        <v/>
      </c>
      <c r="B1815" s="9" t="str">
        <f>IFERROR(INDEX(Input!$L$20:$T$1019,INT((ROW()-9)/9)+1,MOD(ROW()-9,9)+1),"")</f>
        <v/>
      </c>
      <c r="C1815" s="9">
        <f t="shared" si="28"/>
        <v>0</v>
      </c>
    </row>
    <row r="1816" spans="1:3" x14ac:dyDescent="0.2">
      <c r="A1816" s="10" t="str">
        <f>IF(1808&gt;$C$9008,"",INDEX($B$9:$B$9008,MATCH(1808,$C$9:$C$9008,0)))</f>
        <v/>
      </c>
      <c r="B1816" s="9" t="str">
        <f>IFERROR(INDEX(Input!$L$20:$T$1019,INT((ROW()-9)/9)+1,MOD(ROW()-9,9)+1),"")</f>
        <v/>
      </c>
      <c r="C1816" s="9">
        <f t="shared" si="28"/>
        <v>0</v>
      </c>
    </row>
    <row r="1817" spans="1:3" x14ac:dyDescent="0.2">
      <c r="A1817" s="10" t="str">
        <f>IF(1809&gt;$C$9008,"",INDEX($B$9:$B$9008,MATCH(1809,$C$9:$C$9008,0)))</f>
        <v/>
      </c>
      <c r="B1817" s="9" t="str">
        <f>IFERROR(INDEX(Input!$L$20:$T$1019,INT((ROW()-9)/9)+1,MOD(ROW()-9,9)+1),"")</f>
        <v/>
      </c>
      <c r="C1817" s="9">
        <f t="shared" si="28"/>
        <v>0</v>
      </c>
    </row>
    <row r="1818" spans="1:3" x14ac:dyDescent="0.2">
      <c r="A1818" s="10" t="str">
        <f>IF(1810&gt;$C$9008,"",INDEX($B$9:$B$9008,MATCH(1810,$C$9:$C$9008,0)))</f>
        <v/>
      </c>
      <c r="B1818" s="9" t="str">
        <f>IFERROR(INDEX(Input!$L$20:$T$1019,INT((ROW()-9)/9)+1,MOD(ROW()-9,9)+1),"")</f>
        <v/>
      </c>
      <c r="C1818" s="9">
        <f t="shared" si="28"/>
        <v>0</v>
      </c>
    </row>
    <row r="1819" spans="1:3" x14ac:dyDescent="0.2">
      <c r="A1819" s="10" t="str">
        <f>IF(1811&gt;$C$9008,"",INDEX($B$9:$B$9008,MATCH(1811,$C$9:$C$9008,0)))</f>
        <v/>
      </c>
      <c r="B1819" s="9" t="str">
        <f>IFERROR(INDEX(Input!$L$20:$T$1019,INT((ROW()-9)/9)+1,MOD(ROW()-9,9)+1),"")</f>
        <v/>
      </c>
      <c r="C1819" s="9">
        <f t="shared" si="28"/>
        <v>0</v>
      </c>
    </row>
    <row r="1820" spans="1:3" x14ac:dyDescent="0.2">
      <c r="A1820" s="10" t="str">
        <f>IF(1812&gt;$C$9008,"",INDEX($B$9:$B$9008,MATCH(1812,$C$9:$C$9008,0)))</f>
        <v/>
      </c>
      <c r="B1820" s="9" t="str">
        <f>IFERROR(INDEX(Input!$L$20:$T$1019,INT((ROW()-9)/9)+1,MOD(ROW()-9,9)+1),"")</f>
        <v/>
      </c>
      <c r="C1820" s="9">
        <f t="shared" si="28"/>
        <v>0</v>
      </c>
    </row>
    <row r="1821" spans="1:3" x14ac:dyDescent="0.2">
      <c r="A1821" s="10" t="str">
        <f>IF(1813&gt;$C$9008,"",INDEX($B$9:$B$9008,MATCH(1813,$C$9:$C$9008,0)))</f>
        <v/>
      </c>
      <c r="B1821" s="9" t="str">
        <f>IFERROR(INDEX(Input!$L$20:$T$1019,INT((ROW()-9)/9)+1,MOD(ROW()-9,9)+1),"")</f>
        <v/>
      </c>
      <c r="C1821" s="9">
        <f t="shared" si="28"/>
        <v>0</v>
      </c>
    </row>
    <row r="1822" spans="1:3" x14ac:dyDescent="0.2">
      <c r="A1822" s="10" t="str">
        <f>IF(1814&gt;$C$9008,"",INDEX($B$9:$B$9008,MATCH(1814,$C$9:$C$9008,0)))</f>
        <v/>
      </c>
      <c r="B1822" s="9" t="str">
        <f>IFERROR(INDEX(Input!$L$20:$T$1019,INT((ROW()-9)/9)+1,MOD(ROW()-9,9)+1),"")</f>
        <v/>
      </c>
      <c r="C1822" s="9">
        <f t="shared" si="28"/>
        <v>0</v>
      </c>
    </row>
    <row r="1823" spans="1:3" x14ac:dyDescent="0.2">
      <c r="A1823" s="10" t="str">
        <f>IF(1815&gt;$C$9008,"",INDEX($B$9:$B$9008,MATCH(1815,$C$9:$C$9008,0)))</f>
        <v/>
      </c>
      <c r="B1823" s="9" t="str">
        <f>IFERROR(INDEX(Input!$L$20:$T$1019,INT((ROW()-9)/9)+1,MOD(ROW()-9,9)+1),"")</f>
        <v/>
      </c>
      <c r="C1823" s="9">
        <f t="shared" si="28"/>
        <v>0</v>
      </c>
    </row>
    <row r="1824" spans="1:3" x14ac:dyDescent="0.2">
      <c r="A1824" s="10" t="str">
        <f>IF(1816&gt;$C$9008,"",INDEX($B$9:$B$9008,MATCH(1816,$C$9:$C$9008,0)))</f>
        <v/>
      </c>
      <c r="B1824" s="9" t="str">
        <f>IFERROR(INDEX(Input!$L$20:$T$1019,INT((ROW()-9)/9)+1,MOD(ROW()-9,9)+1),"")</f>
        <v/>
      </c>
      <c r="C1824" s="9">
        <f t="shared" si="28"/>
        <v>0</v>
      </c>
    </row>
    <row r="1825" spans="1:3" x14ac:dyDescent="0.2">
      <c r="A1825" s="10" t="str">
        <f>IF(1817&gt;$C$9008,"",INDEX($B$9:$B$9008,MATCH(1817,$C$9:$C$9008,0)))</f>
        <v/>
      </c>
      <c r="B1825" s="9" t="str">
        <f>IFERROR(INDEX(Input!$L$20:$T$1019,INT((ROW()-9)/9)+1,MOD(ROW()-9,9)+1),"")</f>
        <v/>
      </c>
      <c r="C1825" s="9">
        <f t="shared" si="28"/>
        <v>0</v>
      </c>
    </row>
    <row r="1826" spans="1:3" x14ac:dyDescent="0.2">
      <c r="A1826" s="10" t="str">
        <f>IF(1818&gt;$C$9008,"",INDEX($B$9:$B$9008,MATCH(1818,$C$9:$C$9008,0)))</f>
        <v/>
      </c>
      <c r="B1826" s="9" t="str">
        <f>IFERROR(INDEX(Input!$L$20:$T$1019,INT((ROW()-9)/9)+1,MOD(ROW()-9,9)+1),"")</f>
        <v/>
      </c>
      <c r="C1826" s="9">
        <f t="shared" si="28"/>
        <v>0</v>
      </c>
    </row>
    <row r="1827" spans="1:3" x14ac:dyDescent="0.2">
      <c r="A1827" s="10" t="str">
        <f>IF(1819&gt;$C$9008,"",INDEX($B$9:$B$9008,MATCH(1819,$C$9:$C$9008,0)))</f>
        <v/>
      </c>
      <c r="B1827" s="9" t="str">
        <f>IFERROR(INDEX(Input!$L$20:$T$1019,INT((ROW()-9)/9)+1,MOD(ROW()-9,9)+1),"")</f>
        <v/>
      </c>
      <c r="C1827" s="9">
        <f t="shared" si="28"/>
        <v>0</v>
      </c>
    </row>
    <row r="1828" spans="1:3" x14ac:dyDescent="0.2">
      <c r="A1828" s="10" t="str">
        <f>IF(1820&gt;$C$9008,"",INDEX($B$9:$B$9008,MATCH(1820,$C$9:$C$9008,0)))</f>
        <v/>
      </c>
      <c r="B1828" s="9" t="str">
        <f>IFERROR(INDEX(Input!$L$20:$T$1019,INT((ROW()-9)/9)+1,MOD(ROW()-9,9)+1),"")</f>
        <v/>
      </c>
      <c r="C1828" s="9">
        <f t="shared" si="28"/>
        <v>0</v>
      </c>
    </row>
    <row r="1829" spans="1:3" x14ac:dyDescent="0.2">
      <c r="A1829" s="10" t="str">
        <f>IF(1821&gt;$C$9008,"",INDEX($B$9:$B$9008,MATCH(1821,$C$9:$C$9008,0)))</f>
        <v/>
      </c>
      <c r="B1829" s="9" t="str">
        <f>IFERROR(INDEX(Input!$L$20:$T$1019,INT((ROW()-9)/9)+1,MOD(ROW()-9,9)+1),"")</f>
        <v/>
      </c>
      <c r="C1829" s="9">
        <f t="shared" si="28"/>
        <v>0</v>
      </c>
    </row>
    <row r="1830" spans="1:3" x14ac:dyDescent="0.2">
      <c r="A1830" s="10" t="str">
        <f>IF(1822&gt;$C$9008,"",INDEX($B$9:$B$9008,MATCH(1822,$C$9:$C$9008,0)))</f>
        <v/>
      </c>
      <c r="B1830" s="9" t="str">
        <f>IFERROR(INDEX(Input!$L$20:$T$1019,INT((ROW()-9)/9)+1,MOD(ROW()-9,9)+1),"")</f>
        <v/>
      </c>
      <c r="C1830" s="9">
        <f t="shared" si="28"/>
        <v>0</v>
      </c>
    </row>
    <row r="1831" spans="1:3" x14ac:dyDescent="0.2">
      <c r="A1831" s="10" t="str">
        <f>IF(1823&gt;$C$9008,"",INDEX($B$9:$B$9008,MATCH(1823,$C$9:$C$9008,0)))</f>
        <v/>
      </c>
      <c r="B1831" s="9" t="str">
        <f>IFERROR(INDEX(Input!$L$20:$T$1019,INT((ROW()-9)/9)+1,MOD(ROW()-9,9)+1),"")</f>
        <v/>
      </c>
      <c r="C1831" s="9">
        <f t="shared" si="28"/>
        <v>0</v>
      </c>
    </row>
    <row r="1832" spans="1:3" x14ac:dyDescent="0.2">
      <c r="A1832" s="10" t="str">
        <f>IF(1824&gt;$C$9008,"",INDEX($B$9:$B$9008,MATCH(1824,$C$9:$C$9008,0)))</f>
        <v/>
      </c>
      <c r="B1832" s="9" t="str">
        <f>IFERROR(INDEX(Input!$L$20:$T$1019,INT((ROW()-9)/9)+1,MOD(ROW()-9,9)+1),"")</f>
        <v/>
      </c>
      <c r="C1832" s="9">
        <f t="shared" si="28"/>
        <v>0</v>
      </c>
    </row>
    <row r="1833" spans="1:3" x14ac:dyDescent="0.2">
      <c r="A1833" s="10" t="str">
        <f>IF(1825&gt;$C$9008,"",INDEX($B$9:$B$9008,MATCH(1825,$C$9:$C$9008,0)))</f>
        <v/>
      </c>
      <c r="B1833" s="9" t="str">
        <f>IFERROR(INDEX(Input!$L$20:$T$1019,INT((ROW()-9)/9)+1,MOD(ROW()-9,9)+1),"")</f>
        <v/>
      </c>
      <c r="C1833" s="9">
        <f t="shared" si="28"/>
        <v>0</v>
      </c>
    </row>
    <row r="1834" spans="1:3" x14ac:dyDescent="0.2">
      <c r="A1834" s="10" t="str">
        <f>IF(1826&gt;$C$9008,"",INDEX($B$9:$B$9008,MATCH(1826,$C$9:$C$9008,0)))</f>
        <v/>
      </c>
      <c r="B1834" s="9" t="str">
        <f>IFERROR(INDEX(Input!$L$20:$T$1019,INT((ROW()-9)/9)+1,MOD(ROW()-9,9)+1),"")</f>
        <v/>
      </c>
      <c r="C1834" s="9">
        <f t="shared" si="28"/>
        <v>0</v>
      </c>
    </row>
    <row r="1835" spans="1:3" x14ac:dyDescent="0.2">
      <c r="A1835" s="10" t="str">
        <f>IF(1827&gt;$C$9008,"",INDEX($B$9:$B$9008,MATCH(1827,$C$9:$C$9008,0)))</f>
        <v/>
      </c>
      <c r="B1835" s="9" t="str">
        <f>IFERROR(INDEX(Input!$L$20:$T$1019,INT((ROW()-9)/9)+1,MOD(ROW()-9,9)+1),"")</f>
        <v/>
      </c>
      <c r="C1835" s="9">
        <f t="shared" si="28"/>
        <v>0</v>
      </c>
    </row>
    <row r="1836" spans="1:3" x14ac:dyDescent="0.2">
      <c r="A1836" s="10" t="str">
        <f>IF(1828&gt;$C$9008,"",INDEX($B$9:$B$9008,MATCH(1828,$C$9:$C$9008,0)))</f>
        <v/>
      </c>
      <c r="B1836" s="9" t="str">
        <f>IFERROR(INDEX(Input!$L$20:$T$1019,INT((ROW()-9)/9)+1,MOD(ROW()-9,9)+1),"")</f>
        <v/>
      </c>
      <c r="C1836" s="9">
        <f t="shared" si="28"/>
        <v>0</v>
      </c>
    </row>
    <row r="1837" spans="1:3" x14ac:dyDescent="0.2">
      <c r="A1837" s="10" t="str">
        <f>IF(1829&gt;$C$9008,"",INDEX($B$9:$B$9008,MATCH(1829,$C$9:$C$9008,0)))</f>
        <v/>
      </c>
      <c r="B1837" s="9" t="str">
        <f>IFERROR(INDEX(Input!$L$20:$T$1019,INT((ROW()-9)/9)+1,MOD(ROW()-9,9)+1),"")</f>
        <v/>
      </c>
      <c r="C1837" s="9">
        <f t="shared" si="28"/>
        <v>0</v>
      </c>
    </row>
    <row r="1838" spans="1:3" x14ac:dyDescent="0.2">
      <c r="A1838" s="10" t="str">
        <f>IF(1830&gt;$C$9008,"",INDEX($B$9:$B$9008,MATCH(1830,$C$9:$C$9008,0)))</f>
        <v/>
      </c>
      <c r="B1838" s="9" t="str">
        <f>IFERROR(INDEX(Input!$L$20:$T$1019,INT((ROW()-9)/9)+1,MOD(ROW()-9,9)+1),"")</f>
        <v/>
      </c>
      <c r="C1838" s="9">
        <f t="shared" si="28"/>
        <v>0</v>
      </c>
    </row>
    <row r="1839" spans="1:3" x14ac:dyDescent="0.2">
      <c r="A1839" s="10" t="str">
        <f>IF(1831&gt;$C$9008,"",INDEX($B$9:$B$9008,MATCH(1831,$C$9:$C$9008,0)))</f>
        <v/>
      </c>
      <c r="B1839" s="9" t="str">
        <f>IFERROR(INDEX(Input!$L$20:$T$1019,INT((ROW()-9)/9)+1,MOD(ROW()-9,9)+1),"")</f>
        <v/>
      </c>
      <c r="C1839" s="9">
        <f t="shared" si="28"/>
        <v>0</v>
      </c>
    </row>
    <row r="1840" spans="1:3" x14ac:dyDescent="0.2">
      <c r="A1840" s="10" t="str">
        <f>IF(1832&gt;$C$9008,"",INDEX($B$9:$B$9008,MATCH(1832,$C$9:$C$9008,0)))</f>
        <v/>
      </c>
      <c r="B1840" s="9" t="str">
        <f>IFERROR(INDEX(Input!$L$20:$T$1019,INT((ROW()-9)/9)+1,MOD(ROW()-9,9)+1),"")</f>
        <v/>
      </c>
      <c r="C1840" s="9">
        <f t="shared" si="28"/>
        <v>0</v>
      </c>
    </row>
    <row r="1841" spans="1:3" x14ac:dyDescent="0.2">
      <c r="A1841" s="10" t="str">
        <f>IF(1833&gt;$C$9008,"",INDEX($B$9:$B$9008,MATCH(1833,$C$9:$C$9008,0)))</f>
        <v/>
      </c>
      <c r="B1841" s="9" t="str">
        <f>IFERROR(INDEX(Input!$L$20:$T$1019,INT((ROW()-9)/9)+1,MOD(ROW()-9,9)+1),"")</f>
        <v/>
      </c>
      <c r="C1841" s="9">
        <f t="shared" si="28"/>
        <v>0</v>
      </c>
    </row>
    <row r="1842" spans="1:3" x14ac:dyDescent="0.2">
      <c r="A1842" s="10" t="str">
        <f>IF(1834&gt;$C$9008,"",INDEX($B$9:$B$9008,MATCH(1834,$C$9:$C$9008,0)))</f>
        <v/>
      </c>
      <c r="B1842" s="9" t="str">
        <f>IFERROR(INDEX(Input!$L$20:$T$1019,INT((ROW()-9)/9)+1,MOD(ROW()-9,9)+1),"")</f>
        <v/>
      </c>
      <c r="C1842" s="9">
        <f t="shared" si="28"/>
        <v>0</v>
      </c>
    </row>
    <row r="1843" spans="1:3" x14ac:dyDescent="0.2">
      <c r="A1843" s="10" t="str">
        <f>IF(1835&gt;$C$9008,"",INDEX($B$9:$B$9008,MATCH(1835,$C$9:$C$9008,0)))</f>
        <v/>
      </c>
      <c r="B1843" s="9" t="str">
        <f>IFERROR(INDEX(Input!$L$20:$T$1019,INT((ROW()-9)/9)+1,MOD(ROW()-9,9)+1),"")</f>
        <v/>
      </c>
      <c r="C1843" s="9">
        <f t="shared" si="28"/>
        <v>0</v>
      </c>
    </row>
    <row r="1844" spans="1:3" x14ac:dyDescent="0.2">
      <c r="A1844" s="10" t="str">
        <f>IF(1836&gt;$C$9008,"",INDEX($B$9:$B$9008,MATCH(1836,$C$9:$C$9008,0)))</f>
        <v/>
      </c>
      <c r="B1844" s="9" t="str">
        <f>IFERROR(INDEX(Input!$L$20:$T$1019,INT((ROW()-9)/9)+1,MOD(ROW()-9,9)+1),"")</f>
        <v/>
      </c>
      <c r="C1844" s="9">
        <f t="shared" si="28"/>
        <v>0</v>
      </c>
    </row>
    <row r="1845" spans="1:3" x14ac:dyDescent="0.2">
      <c r="A1845" s="10" t="str">
        <f>IF(1837&gt;$C$9008,"",INDEX($B$9:$B$9008,MATCH(1837,$C$9:$C$9008,0)))</f>
        <v/>
      </c>
      <c r="B1845" s="9" t="str">
        <f>IFERROR(INDEX(Input!$L$20:$T$1019,INT((ROW()-9)/9)+1,MOD(ROW()-9,9)+1),"")</f>
        <v/>
      </c>
      <c r="C1845" s="9">
        <f t="shared" si="28"/>
        <v>0</v>
      </c>
    </row>
    <row r="1846" spans="1:3" x14ac:dyDescent="0.2">
      <c r="A1846" s="10" t="str">
        <f>IF(1838&gt;$C$9008,"",INDEX($B$9:$B$9008,MATCH(1838,$C$9:$C$9008,0)))</f>
        <v/>
      </c>
      <c r="B1846" s="9" t="str">
        <f>IFERROR(INDEX(Input!$L$20:$T$1019,INT((ROW()-9)/9)+1,MOD(ROW()-9,9)+1),"")</f>
        <v/>
      </c>
      <c r="C1846" s="9">
        <f t="shared" si="28"/>
        <v>0</v>
      </c>
    </row>
    <row r="1847" spans="1:3" x14ac:dyDescent="0.2">
      <c r="A1847" s="10" t="str">
        <f>IF(1839&gt;$C$9008,"",INDEX($B$9:$B$9008,MATCH(1839,$C$9:$C$9008,0)))</f>
        <v/>
      </c>
      <c r="B1847" s="9" t="str">
        <f>IFERROR(INDEX(Input!$L$20:$T$1019,INT((ROW()-9)/9)+1,MOD(ROW()-9,9)+1),"")</f>
        <v/>
      </c>
      <c r="C1847" s="9">
        <f t="shared" si="28"/>
        <v>0</v>
      </c>
    </row>
    <row r="1848" spans="1:3" x14ac:dyDescent="0.2">
      <c r="A1848" s="10" t="str">
        <f>IF(1840&gt;$C$9008,"",INDEX($B$9:$B$9008,MATCH(1840,$C$9:$C$9008,0)))</f>
        <v/>
      </c>
      <c r="B1848" s="9" t="str">
        <f>IFERROR(INDEX(Input!$L$20:$T$1019,INT((ROW()-9)/9)+1,MOD(ROW()-9,9)+1),"")</f>
        <v/>
      </c>
      <c r="C1848" s="9">
        <f t="shared" si="28"/>
        <v>0</v>
      </c>
    </row>
    <row r="1849" spans="1:3" x14ac:dyDescent="0.2">
      <c r="A1849" s="10" t="str">
        <f>IF(1841&gt;$C$9008,"",INDEX($B$9:$B$9008,MATCH(1841,$C$9:$C$9008,0)))</f>
        <v/>
      </c>
      <c r="B1849" s="9" t="str">
        <f>IFERROR(INDEX(Input!$L$20:$T$1019,INT((ROW()-9)/9)+1,MOD(ROW()-9,9)+1),"")</f>
        <v/>
      </c>
      <c r="C1849" s="9">
        <f t="shared" si="28"/>
        <v>0</v>
      </c>
    </row>
    <row r="1850" spans="1:3" x14ac:dyDescent="0.2">
      <c r="A1850" s="10" t="str">
        <f>IF(1842&gt;$C$9008,"",INDEX($B$9:$B$9008,MATCH(1842,$C$9:$C$9008,0)))</f>
        <v/>
      </c>
      <c r="B1850" s="9" t="str">
        <f>IFERROR(INDEX(Input!$L$20:$T$1019,INT((ROW()-9)/9)+1,MOD(ROW()-9,9)+1),"")</f>
        <v/>
      </c>
      <c r="C1850" s="9">
        <f t="shared" si="28"/>
        <v>0</v>
      </c>
    </row>
    <row r="1851" spans="1:3" x14ac:dyDescent="0.2">
      <c r="A1851" s="10" t="str">
        <f>IF(1843&gt;$C$9008,"",INDEX($B$9:$B$9008,MATCH(1843,$C$9:$C$9008,0)))</f>
        <v/>
      </c>
      <c r="B1851" s="9" t="str">
        <f>IFERROR(INDEX(Input!$L$20:$T$1019,INT((ROW()-9)/9)+1,MOD(ROW()-9,9)+1),"")</f>
        <v/>
      </c>
      <c r="C1851" s="9">
        <f t="shared" si="28"/>
        <v>0</v>
      </c>
    </row>
    <row r="1852" spans="1:3" x14ac:dyDescent="0.2">
      <c r="A1852" s="10" t="str">
        <f>IF(1844&gt;$C$9008,"",INDEX($B$9:$B$9008,MATCH(1844,$C$9:$C$9008,0)))</f>
        <v/>
      </c>
      <c r="B1852" s="9" t="str">
        <f>IFERROR(INDEX(Input!$L$20:$T$1019,INT((ROW()-9)/9)+1,MOD(ROW()-9,9)+1),"")</f>
        <v/>
      </c>
      <c r="C1852" s="9">
        <f t="shared" si="28"/>
        <v>0</v>
      </c>
    </row>
    <row r="1853" spans="1:3" x14ac:dyDescent="0.2">
      <c r="A1853" s="10" t="str">
        <f>IF(1845&gt;$C$9008,"",INDEX($B$9:$B$9008,MATCH(1845,$C$9:$C$9008,0)))</f>
        <v/>
      </c>
      <c r="B1853" s="9" t="str">
        <f>IFERROR(INDEX(Input!$L$20:$T$1019,INT((ROW()-9)/9)+1,MOD(ROW()-9,9)+1),"")</f>
        <v/>
      </c>
      <c r="C1853" s="9">
        <f t="shared" si="28"/>
        <v>0</v>
      </c>
    </row>
    <row r="1854" spans="1:3" x14ac:dyDescent="0.2">
      <c r="A1854" s="10" t="str">
        <f>IF(1846&gt;$C$9008,"",INDEX($B$9:$B$9008,MATCH(1846,$C$9:$C$9008,0)))</f>
        <v/>
      </c>
      <c r="B1854" s="9" t="str">
        <f>IFERROR(INDEX(Input!$L$20:$T$1019,INT((ROW()-9)/9)+1,MOD(ROW()-9,9)+1),"")</f>
        <v/>
      </c>
      <c r="C1854" s="9">
        <f t="shared" si="28"/>
        <v>0</v>
      </c>
    </row>
    <row r="1855" spans="1:3" x14ac:dyDescent="0.2">
      <c r="A1855" s="10" t="str">
        <f>IF(1847&gt;$C$9008,"",INDEX($B$9:$B$9008,MATCH(1847,$C$9:$C$9008,0)))</f>
        <v/>
      </c>
      <c r="B1855" s="9" t="str">
        <f>IFERROR(INDEX(Input!$L$20:$T$1019,INT((ROW()-9)/9)+1,MOD(ROW()-9,9)+1),"")</f>
        <v/>
      </c>
      <c r="C1855" s="9">
        <f t="shared" si="28"/>
        <v>0</v>
      </c>
    </row>
    <row r="1856" spans="1:3" x14ac:dyDescent="0.2">
      <c r="A1856" s="10" t="str">
        <f>IF(1848&gt;$C$9008,"",INDEX($B$9:$B$9008,MATCH(1848,$C$9:$C$9008,0)))</f>
        <v/>
      </c>
      <c r="B1856" s="9" t="str">
        <f>IFERROR(INDEX(Input!$L$20:$T$1019,INT((ROW()-9)/9)+1,MOD(ROW()-9,9)+1),"")</f>
        <v/>
      </c>
      <c r="C1856" s="9">
        <f t="shared" si="28"/>
        <v>0</v>
      </c>
    </row>
    <row r="1857" spans="1:3" x14ac:dyDescent="0.2">
      <c r="A1857" s="10" t="str">
        <f>IF(1849&gt;$C$9008,"",INDEX($B$9:$B$9008,MATCH(1849,$C$9:$C$9008,0)))</f>
        <v/>
      </c>
      <c r="B1857" s="9" t="str">
        <f>IFERROR(INDEX(Input!$L$20:$T$1019,INT((ROW()-9)/9)+1,MOD(ROW()-9,9)+1),"")</f>
        <v/>
      </c>
      <c r="C1857" s="9">
        <f t="shared" si="28"/>
        <v>0</v>
      </c>
    </row>
    <row r="1858" spans="1:3" x14ac:dyDescent="0.2">
      <c r="A1858" s="10" t="str">
        <f>IF(1850&gt;$C$9008,"",INDEX($B$9:$B$9008,MATCH(1850,$C$9:$C$9008,0)))</f>
        <v/>
      </c>
      <c r="B1858" s="9" t="str">
        <f>IFERROR(INDEX(Input!$L$20:$T$1019,INT((ROW()-9)/9)+1,MOD(ROW()-9,9)+1),"")</f>
        <v/>
      </c>
      <c r="C1858" s="9">
        <f t="shared" si="28"/>
        <v>0</v>
      </c>
    </row>
    <row r="1859" spans="1:3" x14ac:dyDescent="0.2">
      <c r="A1859" s="10" t="str">
        <f>IF(1851&gt;$C$9008,"",INDEX($B$9:$B$9008,MATCH(1851,$C$9:$C$9008,0)))</f>
        <v/>
      </c>
      <c r="B1859" s="9" t="str">
        <f>IFERROR(INDEX(Input!$L$20:$T$1019,INT((ROW()-9)/9)+1,MOD(ROW()-9,9)+1),"")</f>
        <v/>
      </c>
      <c r="C1859" s="9">
        <f t="shared" si="28"/>
        <v>0</v>
      </c>
    </row>
    <row r="1860" spans="1:3" x14ac:dyDescent="0.2">
      <c r="A1860" s="10" t="str">
        <f>IF(1852&gt;$C$9008,"",INDEX($B$9:$B$9008,MATCH(1852,$C$9:$C$9008,0)))</f>
        <v/>
      </c>
      <c r="B1860" s="9" t="str">
        <f>IFERROR(INDEX(Input!$L$20:$T$1019,INT((ROW()-9)/9)+1,MOD(ROW()-9,9)+1),"")</f>
        <v/>
      </c>
      <c r="C1860" s="9">
        <f t="shared" si="28"/>
        <v>0</v>
      </c>
    </row>
    <row r="1861" spans="1:3" x14ac:dyDescent="0.2">
      <c r="A1861" s="10" t="str">
        <f>IF(1853&gt;$C$9008,"",INDEX($B$9:$B$9008,MATCH(1853,$C$9:$C$9008,0)))</f>
        <v/>
      </c>
      <c r="B1861" s="9" t="str">
        <f>IFERROR(INDEX(Input!$L$20:$T$1019,INT((ROW()-9)/9)+1,MOD(ROW()-9,9)+1),"")</f>
        <v/>
      </c>
      <c r="C1861" s="9">
        <f t="shared" si="28"/>
        <v>0</v>
      </c>
    </row>
    <row r="1862" spans="1:3" x14ac:dyDescent="0.2">
      <c r="A1862" s="10" t="str">
        <f>IF(1854&gt;$C$9008,"",INDEX($B$9:$B$9008,MATCH(1854,$C$9:$C$9008,0)))</f>
        <v/>
      </c>
      <c r="B1862" s="9" t="str">
        <f>IFERROR(INDEX(Input!$L$20:$T$1019,INT((ROW()-9)/9)+1,MOD(ROW()-9,9)+1),"")</f>
        <v/>
      </c>
      <c r="C1862" s="9">
        <f t="shared" si="28"/>
        <v>0</v>
      </c>
    </row>
    <row r="1863" spans="1:3" x14ac:dyDescent="0.2">
      <c r="A1863" s="10" t="str">
        <f>IF(1855&gt;$C$9008,"",INDEX($B$9:$B$9008,MATCH(1855,$C$9:$C$9008,0)))</f>
        <v/>
      </c>
      <c r="B1863" s="9" t="str">
        <f>IFERROR(INDEX(Input!$L$20:$T$1019,INT((ROW()-9)/9)+1,MOD(ROW()-9,9)+1),"")</f>
        <v/>
      </c>
      <c r="C1863" s="9">
        <f t="shared" si="28"/>
        <v>0</v>
      </c>
    </row>
    <row r="1864" spans="1:3" x14ac:dyDescent="0.2">
      <c r="A1864" s="10" t="str">
        <f>IF(1856&gt;$C$9008,"",INDEX($B$9:$B$9008,MATCH(1856,$C$9:$C$9008,0)))</f>
        <v/>
      </c>
      <c r="B1864" s="9" t="str">
        <f>IFERROR(INDEX(Input!$L$20:$T$1019,INT((ROW()-9)/9)+1,MOD(ROW()-9,9)+1),"")</f>
        <v/>
      </c>
      <c r="C1864" s="9">
        <f t="shared" si="28"/>
        <v>0</v>
      </c>
    </row>
    <row r="1865" spans="1:3" x14ac:dyDescent="0.2">
      <c r="A1865" s="10" t="str">
        <f>IF(1857&gt;$C$9008,"",INDEX($B$9:$B$9008,MATCH(1857,$C$9:$C$9008,0)))</f>
        <v/>
      </c>
      <c r="B1865" s="9" t="str">
        <f>IFERROR(INDEX(Input!$L$20:$T$1019,INT((ROW()-9)/9)+1,MOD(ROW()-9,9)+1),"")</f>
        <v/>
      </c>
      <c r="C1865" s="9">
        <f t="shared" ref="C1865:C1928" si="29">$C1864+IF($B1865&lt;&gt;"",1,0)</f>
        <v>0</v>
      </c>
    </row>
    <row r="1866" spans="1:3" x14ac:dyDescent="0.2">
      <c r="A1866" s="10" t="str">
        <f>IF(1858&gt;$C$9008,"",INDEX($B$9:$B$9008,MATCH(1858,$C$9:$C$9008,0)))</f>
        <v/>
      </c>
      <c r="B1866" s="9" t="str">
        <f>IFERROR(INDEX(Input!$L$20:$T$1019,INT((ROW()-9)/9)+1,MOD(ROW()-9,9)+1),"")</f>
        <v/>
      </c>
      <c r="C1866" s="9">
        <f t="shared" si="29"/>
        <v>0</v>
      </c>
    </row>
    <row r="1867" spans="1:3" x14ac:dyDescent="0.2">
      <c r="A1867" s="10" t="str">
        <f>IF(1859&gt;$C$9008,"",INDEX($B$9:$B$9008,MATCH(1859,$C$9:$C$9008,0)))</f>
        <v/>
      </c>
      <c r="B1867" s="9" t="str">
        <f>IFERROR(INDEX(Input!$L$20:$T$1019,INT((ROW()-9)/9)+1,MOD(ROW()-9,9)+1),"")</f>
        <v/>
      </c>
      <c r="C1867" s="9">
        <f t="shared" si="29"/>
        <v>0</v>
      </c>
    </row>
    <row r="1868" spans="1:3" x14ac:dyDescent="0.2">
      <c r="A1868" s="10" t="str">
        <f>IF(1860&gt;$C$9008,"",INDEX($B$9:$B$9008,MATCH(1860,$C$9:$C$9008,0)))</f>
        <v/>
      </c>
      <c r="B1868" s="9" t="str">
        <f>IFERROR(INDEX(Input!$L$20:$T$1019,INT((ROW()-9)/9)+1,MOD(ROW()-9,9)+1),"")</f>
        <v/>
      </c>
      <c r="C1868" s="9">
        <f t="shared" si="29"/>
        <v>0</v>
      </c>
    </row>
    <row r="1869" spans="1:3" x14ac:dyDescent="0.2">
      <c r="A1869" s="10" t="str">
        <f>IF(1861&gt;$C$9008,"",INDEX($B$9:$B$9008,MATCH(1861,$C$9:$C$9008,0)))</f>
        <v/>
      </c>
      <c r="B1869" s="9" t="str">
        <f>IFERROR(INDEX(Input!$L$20:$T$1019,INT((ROW()-9)/9)+1,MOD(ROW()-9,9)+1),"")</f>
        <v/>
      </c>
      <c r="C1869" s="9">
        <f t="shared" si="29"/>
        <v>0</v>
      </c>
    </row>
    <row r="1870" spans="1:3" x14ac:dyDescent="0.2">
      <c r="A1870" s="10" t="str">
        <f>IF(1862&gt;$C$9008,"",INDEX($B$9:$B$9008,MATCH(1862,$C$9:$C$9008,0)))</f>
        <v/>
      </c>
      <c r="B1870" s="9" t="str">
        <f>IFERROR(INDEX(Input!$L$20:$T$1019,INT((ROW()-9)/9)+1,MOD(ROW()-9,9)+1),"")</f>
        <v/>
      </c>
      <c r="C1870" s="9">
        <f t="shared" si="29"/>
        <v>0</v>
      </c>
    </row>
    <row r="1871" spans="1:3" x14ac:dyDescent="0.2">
      <c r="A1871" s="10" t="str">
        <f>IF(1863&gt;$C$9008,"",INDEX($B$9:$B$9008,MATCH(1863,$C$9:$C$9008,0)))</f>
        <v/>
      </c>
      <c r="B1871" s="9" t="str">
        <f>IFERROR(INDEX(Input!$L$20:$T$1019,INT((ROW()-9)/9)+1,MOD(ROW()-9,9)+1),"")</f>
        <v/>
      </c>
      <c r="C1871" s="9">
        <f t="shared" si="29"/>
        <v>0</v>
      </c>
    </row>
    <row r="1872" spans="1:3" x14ac:dyDescent="0.2">
      <c r="A1872" s="10" t="str">
        <f>IF(1864&gt;$C$9008,"",INDEX($B$9:$B$9008,MATCH(1864,$C$9:$C$9008,0)))</f>
        <v/>
      </c>
      <c r="B1872" s="9" t="str">
        <f>IFERROR(INDEX(Input!$L$20:$T$1019,INT((ROW()-9)/9)+1,MOD(ROW()-9,9)+1),"")</f>
        <v/>
      </c>
      <c r="C1872" s="9">
        <f t="shared" si="29"/>
        <v>0</v>
      </c>
    </row>
    <row r="1873" spans="1:3" x14ac:dyDescent="0.2">
      <c r="A1873" s="10" t="str">
        <f>IF(1865&gt;$C$9008,"",INDEX($B$9:$B$9008,MATCH(1865,$C$9:$C$9008,0)))</f>
        <v/>
      </c>
      <c r="B1873" s="9" t="str">
        <f>IFERROR(INDEX(Input!$L$20:$T$1019,INT((ROW()-9)/9)+1,MOD(ROW()-9,9)+1),"")</f>
        <v/>
      </c>
      <c r="C1873" s="9">
        <f t="shared" si="29"/>
        <v>0</v>
      </c>
    </row>
    <row r="1874" spans="1:3" x14ac:dyDescent="0.2">
      <c r="A1874" s="10" t="str">
        <f>IF(1866&gt;$C$9008,"",INDEX($B$9:$B$9008,MATCH(1866,$C$9:$C$9008,0)))</f>
        <v/>
      </c>
      <c r="B1874" s="9" t="str">
        <f>IFERROR(INDEX(Input!$L$20:$T$1019,INT((ROW()-9)/9)+1,MOD(ROW()-9,9)+1),"")</f>
        <v/>
      </c>
      <c r="C1874" s="9">
        <f t="shared" si="29"/>
        <v>0</v>
      </c>
    </row>
    <row r="1875" spans="1:3" x14ac:dyDescent="0.2">
      <c r="A1875" s="10" t="str">
        <f>IF(1867&gt;$C$9008,"",INDEX($B$9:$B$9008,MATCH(1867,$C$9:$C$9008,0)))</f>
        <v/>
      </c>
      <c r="B1875" s="9" t="str">
        <f>IFERROR(INDEX(Input!$L$20:$T$1019,INT((ROW()-9)/9)+1,MOD(ROW()-9,9)+1),"")</f>
        <v/>
      </c>
      <c r="C1875" s="9">
        <f t="shared" si="29"/>
        <v>0</v>
      </c>
    </row>
    <row r="1876" spans="1:3" x14ac:dyDescent="0.2">
      <c r="A1876" s="10" t="str">
        <f>IF(1868&gt;$C$9008,"",INDEX($B$9:$B$9008,MATCH(1868,$C$9:$C$9008,0)))</f>
        <v/>
      </c>
      <c r="B1876" s="9" t="str">
        <f>IFERROR(INDEX(Input!$L$20:$T$1019,INT((ROW()-9)/9)+1,MOD(ROW()-9,9)+1),"")</f>
        <v/>
      </c>
      <c r="C1876" s="9">
        <f t="shared" si="29"/>
        <v>0</v>
      </c>
    </row>
    <row r="1877" spans="1:3" x14ac:dyDescent="0.2">
      <c r="A1877" s="10" t="str">
        <f>IF(1869&gt;$C$9008,"",INDEX($B$9:$B$9008,MATCH(1869,$C$9:$C$9008,0)))</f>
        <v/>
      </c>
      <c r="B1877" s="9" t="str">
        <f>IFERROR(INDEX(Input!$L$20:$T$1019,INT((ROW()-9)/9)+1,MOD(ROW()-9,9)+1),"")</f>
        <v/>
      </c>
      <c r="C1877" s="9">
        <f t="shared" si="29"/>
        <v>0</v>
      </c>
    </row>
    <row r="1878" spans="1:3" x14ac:dyDescent="0.2">
      <c r="A1878" s="10" t="str">
        <f>IF(1870&gt;$C$9008,"",INDEX($B$9:$B$9008,MATCH(1870,$C$9:$C$9008,0)))</f>
        <v/>
      </c>
      <c r="B1878" s="9" t="str">
        <f>IFERROR(INDEX(Input!$L$20:$T$1019,INT((ROW()-9)/9)+1,MOD(ROW()-9,9)+1),"")</f>
        <v/>
      </c>
      <c r="C1878" s="9">
        <f t="shared" si="29"/>
        <v>0</v>
      </c>
    </row>
    <row r="1879" spans="1:3" x14ac:dyDescent="0.2">
      <c r="A1879" s="10" t="str">
        <f>IF(1871&gt;$C$9008,"",INDEX($B$9:$B$9008,MATCH(1871,$C$9:$C$9008,0)))</f>
        <v/>
      </c>
      <c r="B1879" s="9" t="str">
        <f>IFERROR(INDEX(Input!$L$20:$T$1019,INT((ROW()-9)/9)+1,MOD(ROW()-9,9)+1),"")</f>
        <v/>
      </c>
      <c r="C1879" s="9">
        <f t="shared" si="29"/>
        <v>0</v>
      </c>
    </row>
    <row r="1880" spans="1:3" x14ac:dyDescent="0.2">
      <c r="A1880" s="10" t="str">
        <f>IF(1872&gt;$C$9008,"",INDEX($B$9:$B$9008,MATCH(1872,$C$9:$C$9008,0)))</f>
        <v/>
      </c>
      <c r="B1880" s="9" t="str">
        <f>IFERROR(INDEX(Input!$L$20:$T$1019,INT((ROW()-9)/9)+1,MOD(ROW()-9,9)+1),"")</f>
        <v/>
      </c>
      <c r="C1880" s="9">
        <f t="shared" si="29"/>
        <v>0</v>
      </c>
    </row>
    <row r="1881" spans="1:3" x14ac:dyDescent="0.2">
      <c r="A1881" s="10" t="str">
        <f>IF(1873&gt;$C$9008,"",INDEX($B$9:$B$9008,MATCH(1873,$C$9:$C$9008,0)))</f>
        <v/>
      </c>
      <c r="B1881" s="9" t="str">
        <f>IFERROR(INDEX(Input!$L$20:$T$1019,INT((ROW()-9)/9)+1,MOD(ROW()-9,9)+1),"")</f>
        <v/>
      </c>
      <c r="C1881" s="9">
        <f t="shared" si="29"/>
        <v>0</v>
      </c>
    </row>
    <row r="1882" spans="1:3" x14ac:dyDescent="0.2">
      <c r="A1882" s="10" t="str">
        <f>IF(1874&gt;$C$9008,"",INDEX($B$9:$B$9008,MATCH(1874,$C$9:$C$9008,0)))</f>
        <v/>
      </c>
      <c r="B1882" s="9" t="str">
        <f>IFERROR(INDEX(Input!$L$20:$T$1019,INT((ROW()-9)/9)+1,MOD(ROW()-9,9)+1),"")</f>
        <v/>
      </c>
      <c r="C1882" s="9">
        <f t="shared" si="29"/>
        <v>0</v>
      </c>
    </row>
    <row r="1883" spans="1:3" x14ac:dyDescent="0.2">
      <c r="A1883" s="10" t="str">
        <f>IF(1875&gt;$C$9008,"",INDEX($B$9:$B$9008,MATCH(1875,$C$9:$C$9008,0)))</f>
        <v/>
      </c>
      <c r="B1883" s="9" t="str">
        <f>IFERROR(INDEX(Input!$L$20:$T$1019,INT((ROW()-9)/9)+1,MOD(ROW()-9,9)+1),"")</f>
        <v/>
      </c>
      <c r="C1883" s="9">
        <f t="shared" si="29"/>
        <v>0</v>
      </c>
    </row>
    <row r="1884" spans="1:3" x14ac:dyDescent="0.2">
      <c r="A1884" s="10" t="str">
        <f>IF(1876&gt;$C$9008,"",INDEX($B$9:$B$9008,MATCH(1876,$C$9:$C$9008,0)))</f>
        <v/>
      </c>
      <c r="B1884" s="9" t="str">
        <f>IFERROR(INDEX(Input!$L$20:$T$1019,INT((ROW()-9)/9)+1,MOD(ROW()-9,9)+1),"")</f>
        <v/>
      </c>
      <c r="C1884" s="9">
        <f t="shared" si="29"/>
        <v>0</v>
      </c>
    </row>
    <row r="1885" spans="1:3" x14ac:dyDescent="0.2">
      <c r="A1885" s="10" t="str">
        <f>IF(1877&gt;$C$9008,"",INDEX($B$9:$B$9008,MATCH(1877,$C$9:$C$9008,0)))</f>
        <v/>
      </c>
      <c r="B1885" s="9" t="str">
        <f>IFERROR(INDEX(Input!$L$20:$T$1019,INT((ROW()-9)/9)+1,MOD(ROW()-9,9)+1),"")</f>
        <v/>
      </c>
      <c r="C1885" s="9">
        <f t="shared" si="29"/>
        <v>0</v>
      </c>
    </row>
    <row r="1886" spans="1:3" x14ac:dyDescent="0.2">
      <c r="A1886" s="10" t="str">
        <f>IF(1878&gt;$C$9008,"",INDEX($B$9:$B$9008,MATCH(1878,$C$9:$C$9008,0)))</f>
        <v/>
      </c>
      <c r="B1886" s="9" t="str">
        <f>IFERROR(INDEX(Input!$L$20:$T$1019,INT((ROW()-9)/9)+1,MOD(ROW()-9,9)+1),"")</f>
        <v/>
      </c>
      <c r="C1886" s="9">
        <f t="shared" si="29"/>
        <v>0</v>
      </c>
    </row>
    <row r="1887" spans="1:3" x14ac:dyDescent="0.2">
      <c r="A1887" s="10" t="str">
        <f>IF(1879&gt;$C$9008,"",INDEX($B$9:$B$9008,MATCH(1879,$C$9:$C$9008,0)))</f>
        <v/>
      </c>
      <c r="B1887" s="9" t="str">
        <f>IFERROR(INDEX(Input!$L$20:$T$1019,INT((ROW()-9)/9)+1,MOD(ROW()-9,9)+1),"")</f>
        <v/>
      </c>
      <c r="C1887" s="9">
        <f t="shared" si="29"/>
        <v>0</v>
      </c>
    </row>
    <row r="1888" spans="1:3" x14ac:dyDescent="0.2">
      <c r="A1888" s="10" t="str">
        <f>IF(1880&gt;$C$9008,"",INDEX($B$9:$B$9008,MATCH(1880,$C$9:$C$9008,0)))</f>
        <v/>
      </c>
      <c r="B1888" s="9" t="str">
        <f>IFERROR(INDEX(Input!$L$20:$T$1019,INT((ROW()-9)/9)+1,MOD(ROW()-9,9)+1),"")</f>
        <v/>
      </c>
      <c r="C1888" s="9">
        <f t="shared" si="29"/>
        <v>0</v>
      </c>
    </row>
    <row r="1889" spans="1:3" x14ac:dyDescent="0.2">
      <c r="A1889" s="10" t="str">
        <f>IF(1881&gt;$C$9008,"",INDEX($B$9:$B$9008,MATCH(1881,$C$9:$C$9008,0)))</f>
        <v/>
      </c>
      <c r="B1889" s="9" t="str">
        <f>IFERROR(INDEX(Input!$L$20:$T$1019,INT((ROW()-9)/9)+1,MOD(ROW()-9,9)+1),"")</f>
        <v/>
      </c>
      <c r="C1889" s="9">
        <f t="shared" si="29"/>
        <v>0</v>
      </c>
    </row>
    <row r="1890" spans="1:3" x14ac:dyDescent="0.2">
      <c r="A1890" s="10" t="str">
        <f>IF(1882&gt;$C$9008,"",INDEX($B$9:$B$9008,MATCH(1882,$C$9:$C$9008,0)))</f>
        <v/>
      </c>
      <c r="B1890" s="9" t="str">
        <f>IFERROR(INDEX(Input!$L$20:$T$1019,INT((ROW()-9)/9)+1,MOD(ROW()-9,9)+1),"")</f>
        <v/>
      </c>
      <c r="C1890" s="9">
        <f t="shared" si="29"/>
        <v>0</v>
      </c>
    </row>
    <row r="1891" spans="1:3" x14ac:dyDescent="0.2">
      <c r="A1891" s="10" t="str">
        <f>IF(1883&gt;$C$9008,"",INDEX($B$9:$B$9008,MATCH(1883,$C$9:$C$9008,0)))</f>
        <v/>
      </c>
      <c r="B1891" s="9" t="str">
        <f>IFERROR(INDEX(Input!$L$20:$T$1019,INT((ROW()-9)/9)+1,MOD(ROW()-9,9)+1),"")</f>
        <v/>
      </c>
      <c r="C1891" s="9">
        <f t="shared" si="29"/>
        <v>0</v>
      </c>
    </row>
    <row r="1892" spans="1:3" x14ac:dyDescent="0.2">
      <c r="A1892" s="10" t="str">
        <f>IF(1884&gt;$C$9008,"",INDEX($B$9:$B$9008,MATCH(1884,$C$9:$C$9008,0)))</f>
        <v/>
      </c>
      <c r="B1892" s="9" t="str">
        <f>IFERROR(INDEX(Input!$L$20:$T$1019,INT((ROW()-9)/9)+1,MOD(ROW()-9,9)+1),"")</f>
        <v/>
      </c>
      <c r="C1892" s="9">
        <f t="shared" si="29"/>
        <v>0</v>
      </c>
    </row>
    <row r="1893" spans="1:3" x14ac:dyDescent="0.2">
      <c r="A1893" s="10" t="str">
        <f>IF(1885&gt;$C$9008,"",INDEX($B$9:$B$9008,MATCH(1885,$C$9:$C$9008,0)))</f>
        <v/>
      </c>
      <c r="B1893" s="9" t="str">
        <f>IFERROR(INDEX(Input!$L$20:$T$1019,INT((ROW()-9)/9)+1,MOD(ROW()-9,9)+1),"")</f>
        <v/>
      </c>
      <c r="C1893" s="9">
        <f t="shared" si="29"/>
        <v>0</v>
      </c>
    </row>
    <row r="1894" spans="1:3" x14ac:dyDescent="0.2">
      <c r="A1894" s="10" t="str">
        <f>IF(1886&gt;$C$9008,"",INDEX($B$9:$B$9008,MATCH(1886,$C$9:$C$9008,0)))</f>
        <v/>
      </c>
      <c r="B1894" s="9" t="str">
        <f>IFERROR(INDEX(Input!$L$20:$T$1019,INT((ROW()-9)/9)+1,MOD(ROW()-9,9)+1),"")</f>
        <v/>
      </c>
      <c r="C1894" s="9">
        <f t="shared" si="29"/>
        <v>0</v>
      </c>
    </row>
    <row r="1895" spans="1:3" x14ac:dyDescent="0.2">
      <c r="A1895" s="10" t="str">
        <f>IF(1887&gt;$C$9008,"",INDEX($B$9:$B$9008,MATCH(1887,$C$9:$C$9008,0)))</f>
        <v/>
      </c>
      <c r="B1895" s="9" t="str">
        <f>IFERROR(INDEX(Input!$L$20:$T$1019,INT((ROW()-9)/9)+1,MOD(ROW()-9,9)+1),"")</f>
        <v/>
      </c>
      <c r="C1895" s="9">
        <f t="shared" si="29"/>
        <v>0</v>
      </c>
    </row>
    <row r="1896" spans="1:3" x14ac:dyDescent="0.2">
      <c r="A1896" s="10" t="str">
        <f>IF(1888&gt;$C$9008,"",INDEX($B$9:$B$9008,MATCH(1888,$C$9:$C$9008,0)))</f>
        <v/>
      </c>
      <c r="B1896" s="9" t="str">
        <f>IFERROR(INDEX(Input!$L$20:$T$1019,INT((ROW()-9)/9)+1,MOD(ROW()-9,9)+1),"")</f>
        <v/>
      </c>
      <c r="C1896" s="9">
        <f t="shared" si="29"/>
        <v>0</v>
      </c>
    </row>
    <row r="1897" spans="1:3" x14ac:dyDescent="0.2">
      <c r="A1897" s="10" t="str">
        <f>IF(1889&gt;$C$9008,"",INDEX($B$9:$B$9008,MATCH(1889,$C$9:$C$9008,0)))</f>
        <v/>
      </c>
      <c r="B1897" s="9" t="str">
        <f>IFERROR(INDEX(Input!$L$20:$T$1019,INT((ROW()-9)/9)+1,MOD(ROW()-9,9)+1),"")</f>
        <v/>
      </c>
      <c r="C1897" s="9">
        <f t="shared" si="29"/>
        <v>0</v>
      </c>
    </row>
    <row r="1898" spans="1:3" x14ac:dyDescent="0.2">
      <c r="A1898" s="10" t="str">
        <f>IF(1890&gt;$C$9008,"",INDEX($B$9:$B$9008,MATCH(1890,$C$9:$C$9008,0)))</f>
        <v/>
      </c>
      <c r="B1898" s="9" t="str">
        <f>IFERROR(INDEX(Input!$L$20:$T$1019,INT((ROW()-9)/9)+1,MOD(ROW()-9,9)+1),"")</f>
        <v/>
      </c>
      <c r="C1898" s="9">
        <f t="shared" si="29"/>
        <v>0</v>
      </c>
    </row>
    <row r="1899" spans="1:3" x14ac:dyDescent="0.2">
      <c r="A1899" s="10" t="str">
        <f>IF(1891&gt;$C$9008,"",INDEX($B$9:$B$9008,MATCH(1891,$C$9:$C$9008,0)))</f>
        <v/>
      </c>
      <c r="B1899" s="9" t="str">
        <f>IFERROR(INDEX(Input!$L$20:$T$1019,INT((ROW()-9)/9)+1,MOD(ROW()-9,9)+1),"")</f>
        <v/>
      </c>
      <c r="C1899" s="9">
        <f t="shared" si="29"/>
        <v>0</v>
      </c>
    </row>
    <row r="1900" spans="1:3" x14ac:dyDescent="0.2">
      <c r="A1900" s="10" t="str">
        <f>IF(1892&gt;$C$9008,"",INDEX($B$9:$B$9008,MATCH(1892,$C$9:$C$9008,0)))</f>
        <v/>
      </c>
      <c r="B1900" s="9" t="str">
        <f>IFERROR(INDEX(Input!$L$20:$T$1019,INT((ROW()-9)/9)+1,MOD(ROW()-9,9)+1),"")</f>
        <v/>
      </c>
      <c r="C1900" s="9">
        <f t="shared" si="29"/>
        <v>0</v>
      </c>
    </row>
    <row r="1901" spans="1:3" x14ac:dyDescent="0.2">
      <c r="A1901" s="10" t="str">
        <f>IF(1893&gt;$C$9008,"",INDEX($B$9:$B$9008,MATCH(1893,$C$9:$C$9008,0)))</f>
        <v/>
      </c>
      <c r="B1901" s="9" t="str">
        <f>IFERROR(INDEX(Input!$L$20:$T$1019,INT((ROW()-9)/9)+1,MOD(ROW()-9,9)+1),"")</f>
        <v/>
      </c>
      <c r="C1901" s="9">
        <f t="shared" si="29"/>
        <v>0</v>
      </c>
    </row>
    <row r="1902" spans="1:3" x14ac:dyDescent="0.2">
      <c r="A1902" s="10" t="str">
        <f>IF(1894&gt;$C$9008,"",INDEX($B$9:$B$9008,MATCH(1894,$C$9:$C$9008,0)))</f>
        <v/>
      </c>
      <c r="B1902" s="9" t="str">
        <f>IFERROR(INDEX(Input!$L$20:$T$1019,INT((ROW()-9)/9)+1,MOD(ROW()-9,9)+1),"")</f>
        <v/>
      </c>
      <c r="C1902" s="9">
        <f t="shared" si="29"/>
        <v>0</v>
      </c>
    </row>
    <row r="1903" spans="1:3" x14ac:dyDescent="0.2">
      <c r="A1903" s="10" t="str">
        <f>IF(1895&gt;$C$9008,"",INDEX($B$9:$B$9008,MATCH(1895,$C$9:$C$9008,0)))</f>
        <v/>
      </c>
      <c r="B1903" s="9" t="str">
        <f>IFERROR(INDEX(Input!$L$20:$T$1019,INT((ROW()-9)/9)+1,MOD(ROW()-9,9)+1),"")</f>
        <v/>
      </c>
      <c r="C1903" s="9">
        <f t="shared" si="29"/>
        <v>0</v>
      </c>
    </row>
    <row r="1904" spans="1:3" x14ac:dyDescent="0.2">
      <c r="A1904" s="10" t="str">
        <f>IF(1896&gt;$C$9008,"",INDEX($B$9:$B$9008,MATCH(1896,$C$9:$C$9008,0)))</f>
        <v/>
      </c>
      <c r="B1904" s="9" t="str">
        <f>IFERROR(INDEX(Input!$L$20:$T$1019,INT((ROW()-9)/9)+1,MOD(ROW()-9,9)+1),"")</f>
        <v/>
      </c>
      <c r="C1904" s="9">
        <f t="shared" si="29"/>
        <v>0</v>
      </c>
    </row>
    <row r="1905" spans="1:3" x14ac:dyDescent="0.2">
      <c r="A1905" s="10" t="str">
        <f>IF(1897&gt;$C$9008,"",INDEX($B$9:$B$9008,MATCH(1897,$C$9:$C$9008,0)))</f>
        <v/>
      </c>
      <c r="B1905" s="9" t="str">
        <f>IFERROR(INDEX(Input!$L$20:$T$1019,INT((ROW()-9)/9)+1,MOD(ROW()-9,9)+1),"")</f>
        <v/>
      </c>
      <c r="C1905" s="9">
        <f t="shared" si="29"/>
        <v>0</v>
      </c>
    </row>
    <row r="1906" spans="1:3" x14ac:dyDescent="0.2">
      <c r="A1906" s="10" t="str">
        <f>IF(1898&gt;$C$9008,"",INDEX($B$9:$B$9008,MATCH(1898,$C$9:$C$9008,0)))</f>
        <v/>
      </c>
      <c r="B1906" s="9" t="str">
        <f>IFERROR(INDEX(Input!$L$20:$T$1019,INT((ROW()-9)/9)+1,MOD(ROW()-9,9)+1),"")</f>
        <v/>
      </c>
      <c r="C1906" s="9">
        <f t="shared" si="29"/>
        <v>0</v>
      </c>
    </row>
    <row r="1907" spans="1:3" x14ac:dyDescent="0.2">
      <c r="A1907" s="10" t="str">
        <f>IF(1899&gt;$C$9008,"",INDEX($B$9:$B$9008,MATCH(1899,$C$9:$C$9008,0)))</f>
        <v/>
      </c>
      <c r="B1907" s="9" t="str">
        <f>IFERROR(INDEX(Input!$L$20:$T$1019,INT((ROW()-9)/9)+1,MOD(ROW()-9,9)+1),"")</f>
        <v/>
      </c>
      <c r="C1907" s="9">
        <f t="shared" si="29"/>
        <v>0</v>
      </c>
    </row>
    <row r="1908" spans="1:3" x14ac:dyDescent="0.2">
      <c r="A1908" s="10" t="str">
        <f>IF(1900&gt;$C$9008,"",INDEX($B$9:$B$9008,MATCH(1900,$C$9:$C$9008,0)))</f>
        <v/>
      </c>
      <c r="B1908" s="9" t="str">
        <f>IFERROR(INDEX(Input!$L$20:$T$1019,INT((ROW()-9)/9)+1,MOD(ROW()-9,9)+1),"")</f>
        <v/>
      </c>
      <c r="C1908" s="9">
        <f t="shared" si="29"/>
        <v>0</v>
      </c>
    </row>
    <row r="1909" spans="1:3" x14ac:dyDescent="0.2">
      <c r="A1909" s="10" t="str">
        <f>IF(1901&gt;$C$9008,"",INDEX($B$9:$B$9008,MATCH(1901,$C$9:$C$9008,0)))</f>
        <v/>
      </c>
      <c r="B1909" s="9" t="str">
        <f>IFERROR(INDEX(Input!$L$20:$T$1019,INT((ROW()-9)/9)+1,MOD(ROW()-9,9)+1),"")</f>
        <v/>
      </c>
      <c r="C1909" s="9">
        <f t="shared" si="29"/>
        <v>0</v>
      </c>
    </row>
    <row r="1910" spans="1:3" x14ac:dyDescent="0.2">
      <c r="A1910" s="10" t="str">
        <f>IF(1902&gt;$C$9008,"",INDEX($B$9:$B$9008,MATCH(1902,$C$9:$C$9008,0)))</f>
        <v/>
      </c>
      <c r="B1910" s="9" t="str">
        <f>IFERROR(INDEX(Input!$L$20:$T$1019,INT((ROW()-9)/9)+1,MOD(ROW()-9,9)+1),"")</f>
        <v/>
      </c>
      <c r="C1910" s="9">
        <f t="shared" si="29"/>
        <v>0</v>
      </c>
    </row>
    <row r="1911" spans="1:3" x14ac:dyDescent="0.2">
      <c r="A1911" s="10" t="str">
        <f>IF(1903&gt;$C$9008,"",INDEX($B$9:$B$9008,MATCH(1903,$C$9:$C$9008,0)))</f>
        <v/>
      </c>
      <c r="B1911" s="9" t="str">
        <f>IFERROR(INDEX(Input!$L$20:$T$1019,INT((ROW()-9)/9)+1,MOD(ROW()-9,9)+1),"")</f>
        <v/>
      </c>
      <c r="C1911" s="9">
        <f t="shared" si="29"/>
        <v>0</v>
      </c>
    </row>
    <row r="1912" spans="1:3" x14ac:dyDescent="0.2">
      <c r="A1912" s="10" t="str">
        <f>IF(1904&gt;$C$9008,"",INDEX($B$9:$B$9008,MATCH(1904,$C$9:$C$9008,0)))</f>
        <v/>
      </c>
      <c r="B1912" s="9" t="str">
        <f>IFERROR(INDEX(Input!$L$20:$T$1019,INT((ROW()-9)/9)+1,MOD(ROW()-9,9)+1),"")</f>
        <v/>
      </c>
      <c r="C1912" s="9">
        <f t="shared" si="29"/>
        <v>0</v>
      </c>
    </row>
    <row r="1913" spans="1:3" x14ac:dyDescent="0.2">
      <c r="A1913" s="10" t="str">
        <f>IF(1905&gt;$C$9008,"",INDEX($B$9:$B$9008,MATCH(1905,$C$9:$C$9008,0)))</f>
        <v/>
      </c>
      <c r="B1913" s="9" t="str">
        <f>IFERROR(INDEX(Input!$L$20:$T$1019,INT((ROW()-9)/9)+1,MOD(ROW()-9,9)+1),"")</f>
        <v/>
      </c>
      <c r="C1913" s="9">
        <f t="shared" si="29"/>
        <v>0</v>
      </c>
    </row>
    <row r="1914" spans="1:3" x14ac:dyDescent="0.2">
      <c r="A1914" s="10" t="str">
        <f>IF(1906&gt;$C$9008,"",INDEX($B$9:$B$9008,MATCH(1906,$C$9:$C$9008,0)))</f>
        <v/>
      </c>
      <c r="B1914" s="9" t="str">
        <f>IFERROR(INDEX(Input!$L$20:$T$1019,INT((ROW()-9)/9)+1,MOD(ROW()-9,9)+1),"")</f>
        <v/>
      </c>
      <c r="C1914" s="9">
        <f t="shared" si="29"/>
        <v>0</v>
      </c>
    </row>
    <row r="1915" spans="1:3" x14ac:dyDescent="0.2">
      <c r="A1915" s="10" t="str">
        <f>IF(1907&gt;$C$9008,"",INDEX($B$9:$B$9008,MATCH(1907,$C$9:$C$9008,0)))</f>
        <v/>
      </c>
      <c r="B1915" s="9" t="str">
        <f>IFERROR(INDEX(Input!$L$20:$T$1019,INT((ROW()-9)/9)+1,MOD(ROW()-9,9)+1),"")</f>
        <v/>
      </c>
      <c r="C1915" s="9">
        <f t="shared" si="29"/>
        <v>0</v>
      </c>
    </row>
    <row r="1916" spans="1:3" x14ac:dyDescent="0.2">
      <c r="A1916" s="10" t="str">
        <f>IF(1908&gt;$C$9008,"",INDEX($B$9:$B$9008,MATCH(1908,$C$9:$C$9008,0)))</f>
        <v/>
      </c>
      <c r="B1916" s="9" t="str">
        <f>IFERROR(INDEX(Input!$L$20:$T$1019,INT((ROW()-9)/9)+1,MOD(ROW()-9,9)+1),"")</f>
        <v/>
      </c>
      <c r="C1916" s="9">
        <f t="shared" si="29"/>
        <v>0</v>
      </c>
    </row>
    <row r="1917" spans="1:3" x14ac:dyDescent="0.2">
      <c r="A1917" s="10" t="str">
        <f>IF(1909&gt;$C$9008,"",INDEX($B$9:$B$9008,MATCH(1909,$C$9:$C$9008,0)))</f>
        <v/>
      </c>
      <c r="B1917" s="9" t="str">
        <f>IFERROR(INDEX(Input!$L$20:$T$1019,INT((ROW()-9)/9)+1,MOD(ROW()-9,9)+1),"")</f>
        <v/>
      </c>
      <c r="C1917" s="9">
        <f t="shared" si="29"/>
        <v>0</v>
      </c>
    </row>
    <row r="1918" spans="1:3" x14ac:dyDescent="0.2">
      <c r="A1918" s="10" t="str">
        <f>IF(1910&gt;$C$9008,"",INDEX($B$9:$B$9008,MATCH(1910,$C$9:$C$9008,0)))</f>
        <v/>
      </c>
      <c r="B1918" s="9" t="str">
        <f>IFERROR(INDEX(Input!$L$20:$T$1019,INT((ROW()-9)/9)+1,MOD(ROW()-9,9)+1),"")</f>
        <v/>
      </c>
      <c r="C1918" s="9">
        <f t="shared" si="29"/>
        <v>0</v>
      </c>
    </row>
    <row r="1919" spans="1:3" x14ac:dyDescent="0.2">
      <c r="A1919" s="10" t="str">
        <f>IF(1911&gt;$C$9008,"",INDEX($B$9:$B$9008,MATCH(1911,$C$9:$C$9008,0)))</f>
        <v/>
      </c>
      <c r="B1919" s="9" t="str">
        <f>IFERROR(INDEX(Input!$L$20:$T$1019,INT((ROW()-9)/9)+1,MOD(ROW()-9,9)+1),"")</f>
        <v/>
      </c>
      <c r="C1919" s="9">
        <f t="shared" si="29"/>
        <v>0</v>
      </c>
    </row>
    <row r="1920" spans="1:3" x14ac:dyDescent="0.2">
      <c r="A1920" s="10" t="str">
        <f>IF(1912&gt;$C$9008,"",INDEX($B$9:$B$9008,MATCH(1912,$C$9:$C$9008,0)))</f>
        <v/>
      </c>
      <c r="B1920" s="9" t="str">
        <f>IFERROR(INDEX(Input!$L$20:$T$1019,INT((ROW()-9)/9)+1,MOD(ROW()-9,9)+1),"")</f>
        <v/>
      </c>
      <c r="C1920" s="9">
        <f t="shared" si="29"/>
        <v>0</v>
      </c>
    </row>
    <row r="1921" spans="1:3" x14ac:dyDescent="0.2">
      <c r="A1921" s="10" t="str">
        <f>IF(1913&gt;$C$9008,"",INDEX($B$9:$B$9008,MATCH(1913,$C$9:$C$9008,0)))</f>
        <v/>
      </c>
      <c r="B1921" s="9" t="str">
        <f>IFERROR(INDEX(Input!$L$20:$T$1019,INT((ROW()-9)/9)+1,MOD(ROW()-9,9)+1),"")</f>
        <v/>
      </c>
      <c r="C1921" s="9">
        <f t="shared" si="29"/>
        <v>0</v>
      </c>
    </row>
    <row r="1922" spans="1:3" x14ac:dyDescent="0.2">
      <c r="A1922" s="10" t="str">
        <f>IF(1914&gt;$C$9008,"",INDEX($B$9:$B$9008,MATCH(1914,$C$9:$C$9008,0)))</f>
        <v/>
      </c>
      <c r="B1922" s="9" t="str">
        <f>IFERROR(INDEX(Input!$L$20:$T$1019,INT((ROW()-9)/9)+1,MOD(ROW()-9,9)+1),"")</f>
        <v/>
      </c>
      <c r="C1922" s="9">
        <f t="shared" si="29"/>
        <v>0</v>
      </c>
    </row>
    <row r="1923" spans="1:3" x14ac:dyDescent="0.2">
      <c r="A1923" s="10" t="str">
        <f>IF(1915&gt;$C$9008,"",INDEX($B$9:$B$9008,MATCH(1915,$C$9:$C$9008,0)))</f>
        <v/>
      </c>
      <c r="B1923" s="9" t="str">
        <f>IFERROR(INDEX(Input!$L$20:$T$1019,INT((ROW()-9)/9)+1,MOD(ROW()-9,9)+1),"")</f>
        <v/>
      </c>
      <c r="C1923" s="9">
        <f t="shared" si="29"/>
        <v>0</v>
      </c>
    </row>
    <row r="1924" spans="1:3" x14ac:dyDescent="0.2">
      <c r="A1924" s="10" t="str">
        <f>IF(1916&gt;$C$9008,"",INDEX($B$9:$B$9008,MATCH(1916,$C$9:$C$9008,0)))</f>
        <v/>
      </c>
      <c r="B1924" s="9" t="str">
        <f>IFERROR(INDEX(Input!$L$20:$T$1019,INT((ROW()-9)/9)+1,MOD(ROW()-9,9)+1),"")</f>
        <v/>
      </c>
      <c r="C1924" s="9">
        <f t="shared" si="29"/>
        <v>0</v>
      </c>
    </row>
    <row r="1925" spans="1:3" x14ac:dyDescent="0.2">
      <c r="A1925" s="10" t="str">
        <f>IF(1917&gt;$C$9008,"",INDEX($B$9:$B$9008,MATCH(1917,$C$9:$C$9008,0)))</f>
        <v/>
      </c>
      <c r="B1925" s="9" t="str">
        <f>IFERROR(INDEX(Input!$L$20:$T$1019,INT((ROW()-9)/9)+1,MOD(ROW()-9,9)+1),"")</f>
        <v/>
      </c>
      <c r="C1925" s="9">
        <f t="shared" si="29"/>
        <v>0</v>
      </c>
    </row>
    <row r="1926" spans="1:3" x14ac:dyDescent="0.2">
      <c r="A1926" s="10" t="str">
        <f>IF(1918&gt;$C$9008,"",INDEX($B$9:$B$9008,MATCH(1918,$C$9:$C$9008,0)))</f>
        <v/>
      </c>
      <c r="B1926" s="9" t="str">
        <f>IFERROR(INDEX(Input!$L$20:$T$1019,INT((ROW()-9)/9)+1,MOD(ROW()-9,9)+1),"")</f>
        <v/>
      </c>
      <c r="C1926" s="9">
        <f t="shared" si="29"/>
        <v>0</v>
      </c>
    </row>
    <row r="1927" spans="1:3" x14ac:dyDescent="0.2">
      <c r="A1927" s="10" t="str">
        <f>IF(1919&gt;$C$9008,"",INDEX($B$9:$B$9008,MATCH(1919,$C$9:$C$9008,0)))</f>
        <v/>
      </c>
      <c r="B1927" s="9" t="str">
        <f>IFERROR(INDEX(Input!$L$20:$T$1019,INT((ROW()-9)/9)+1,MOD(ROW()-9,9)+1),"")</f>
        <v/>
      </c>
      <c r="C1927" s="9">
        <f t="shared" si="29"/>
        <v>0</v>
      </c>
    </row>
    <row r="1928" spans="1:3" x14ac:dyDescent="0.2">
      <c r="A1928" s="10" t="str">
        <f>IF(1920&gt;$C$9008,"",INDEX($B$9:$B$9008,MATCH(1920,$C$9:$C$9008,0)))</f>
        <v/>
      </c>
      <c r="B1928" s="9" t="str">
        <f>IFERROR(INDEX(Input!$L$20:$T$1019,INT((ROW()-9)/9)+1,MOD(ROW()-9,9)+1),"")</f>
        <v/>
      </c>
      <c r="C1928" s="9">
        <f t="shared" si="29"/>
        <v>0</v>
      </c>
    </row>
    <row r="1929" spans="1:3" x14ac:dyDescent="0.2">
      <c r="A1929" s="10" t="str">
        <f>IF(1921&gt;$C$9008,"",INDEX($B$9:$B$9008,MATCH(1921,$C$9:$C$9008,0)))</f>
        <v/>
      </c>
      <c r="B1929" s="9" t="str">
        <f>IFERROR(INDEX(Input!$L$20:$T$1019,INT((ROW()-9)/9)+1,MOD(ROW()-9,9)+1),"")</f>
        <v/>
      </c>
      <c r="C1929" s="9">
        <f t="shared" ref="C1929:C1992" si="30">$C1928+IF($B1929&lt;&gt;"",1,0)</f>
        <v>0</v>
      </c>
    </row>
    <row r="1930" spans="1:3" x14ac:dyDescent="0.2">
      <c r="A1930" s="10" t="str">
        <f>IF(1922&gt;$C$9008,"",INDEX($B$9:$B$9008,MATCH(1922,$C$9:$C$9008,0)))</f>
        <v/>
      </c>
      <c r="B1930" s="9" t="str">
        <f>IFERROR(INDEX(Input!$L$20:$T$1019,INT((ROW()-9)/9)+1,MOD(ROW()-9,9)+1),"")</f>
        <v/>
      </c>
      <c r="C1930" s="9">
        <f t="shared" si="30"/>
        <v>0</v>
      </c>
    </row>
    <row r="1931" spans="1:3" x14ac:dyDescent="0.2">
      <c r="A1931" s="10" t="str">
        <f>IF(1923&gt;$C$9008,"",INDEX($B$9:$B$9008,MATCH(1923,$C$9:$C$9008,0)))</f>
        <v/>
      </c>
      <c r="B1931" s="9" t="str">
        <f>IFERROR(INDEX(Input!$L$20:$T$1019,INT((ROW()-9)/9)+1,MOD(ROW()-9,9)+1),"")</f>
        <v/>
      </c>
      <c r="C1931" s="9">
        <f t="shared" si="30"/>
        <v>0</v>
      </c>
    </row>
    <row r="1932" spans="1:3" x14ac:dyDescent="0.2">
      <c r="A1932" s="10" t="str">
        <f>IF(1924&gt;$C$9008,"",INDEX($B$9:$B$9008,MATCH(1924,$C$9:$C$9008,0)))</f>
        <v/>
      </c>
      <c r="B1932" s="9" t="str">
        <f>IFERROR(INDEX(Input!$L$20:$T$1019,INT((ROW()-9)/9)+1,MOD(ROW()-9,9)+1),"")</f>
        <v/>
      </c>
      <c r="C1932" s="9">
        <f t="shared" si="30"/>
        <v>0</v>
      </c>
    </row>
    <row r="1933" spans="1:3" x14ac:dyDescent="0.2">
      <c r="A1933" s="10" t="str">
        <f>IF(1925&gt;$C$9008,"",INDEX($B$9:$B$9008,MATCH(1925,$C$9:$C$9008,0)))</f>
        <v/>
      </c>
      <c r="B1933" s="9" t="str">
        <f>IFERROR(INDEX(Input!$L$20:$T$1019,INT((ROW()-9)/9)+1,MOD(ROW()-9,9)+1),"")</f>
        <v/>
      </c>
      <c r="C1933" s="9">
        <f t="shared" si="30"/>
        <v>0</v>
      </c>
    </row>
    <row r="1934" spans="1:3" x14ac:dyDescent="0.2">
      <c r="A1934" s="10" t="str">
        <f>IF(1926&gt;$C$9008,"",INDEX($B$9:$B$9008,MATCH(1926,$C$9:$C$9008,0)))</f>
        <v/>
      </c>
      <c r="B1934" s="9" t="str">
        <f>IFERROR(INDEX(Input!$L$20:$T$1019,INT((ROW()-9)/9)+1,MOD(ROW()-9,9)+1),"")</f>
        <v/>
      </c>
      <c r="C1934" s="9">
        <f t="shared" si="30"/>
        <v>0</v>
      </c>
    </row>
    <row r="1935" spans="1:3" x14ac:dyDescent="0.2">
      <c r="A1935" s="10" t="str">
        <f>IF(1927&gt;$C$9008,"",INDEX($B$9:$B$9008,MATCH(1927,$C$9:$C$9008,0)))</f>
        <v/>
      </c>
      <c r="B1935" s="9" t="str">
        <f>IFERROR(INDEX(Input!$L$20:$T$1019,INT((ROW()-9)/9)+1,MOD(ROW()-9,9)+1),"")</f>
        <v/>
      </c>
      <c r="C1935" s="9">
        <f t="shared" si="30"/>
        <v>0</v>
      </c>
    </row>
    <row r="1936" spans="1:3" x14ac:dyDescent="0.2">
      <c r="A1936" s="10" t="str">
        <f>IF(1928&gt;$C$9008,"",INDEX($B$9:$B$9008,MATCH(1928,$C$9:$C$9008,0)))</f>
        <v/>
      </c>
      <c r="B1936" s="9" t="str">
        <f>IFERROR(INDEX(Input!$L$20:$T$1019,INT((ROW()-9)/9)+1,MOD(ROW()-9,9)+1),"")</f>
        <v/>
      </c>
      <c r="C1936" s="9">
        <f t="shared" si="30"/>
        <v>0</v>
      </c>
    </row>
    <row r="1937" spans="1:3" x14ac:dyDescent="0.2">
      <c r="A1937" s="10" t="str">
        <f>IF(1929&gt;$C$9008,"",INDEX($B$9:$B$9008,MATCH(1929,$C$9:$C$9008,0)))</f>
        <v/>
      </c>
      <c r="B1937" s="9" t="str">
        <f>IFERROR(INDEX(Input!$L$20:$T$1019,INT((ROW()-9)/9)+1,MOD(ROW()-9,9)+1),"")</f>
        <v/>
      </c>
      <c r="C1937" s="9">
        <f t="shared" si="30"/>
        <v>0</v>
      </c>
    </row>
    <row r="1938" spans="1:3" x14ac:dyDescent="0.2">
      <c r="A1938" s="10" t="str">
        <f>IF(1930&gt;$C$9008,"",INDEX($B$9:$B$9008,MATCH(1930,$C$9:$C$9008,0)))</f>
        <v/>
      </c>
      <c r="B1938" s="9" t="str">
        <f>IFERROR(INDEX(Input!$L$20:$T$1019,INT((ROW()-9)/9)+1,MOD(ROW()-9,9)+1),"")</f>
        <v/>
      </c>
      <c r="C1938" s="9">
        <f t="shared" si="30"/>
        <v>0</v>
      </c>
    </row>
    <row r="1939" spans="1:3" x14ac:dyDescent="0.2">
      <c r="A1939" s="10" t="str">
        <f>IF(1931&gt;$C$9008,"",INDEX($B$9:$B$9008,MATCH(1931,$C$9:$C$9008,0)))</f>
        <v/>
      </c>
      <c r="B1939" s="9" t="str">
        <f>IFERROR(INDEX(Input!$L$20:$T$1019,INT((ROW()-9)/9)+1,MOD(ROW()-9,9)+1),"")</f>
        <v/>
      </c>
      <c r="C1939" s="9">
        <f t="shared" si="30"/>
        <v>0</v>
      </c>
    </row>
    <row r="1940" spans="1:3" x14ac:dyDescent="0.2">
      <c r="A1940" s="10" t="str">
        <f>IF(1932&gt;$C$9008,"",INDEX($B$9:$B$9008,MATCH(1932,$C$9:$C$9008,0)))</f>
        <v/>
      </c>
      <c r="B1940" s="9" t="str">
        <f>IFERROR(INDEX(Input!$L$20:$T$1019,INT((ROW()-9)/9)+1,MOD(ROW()-9,9)+1),"")</f>
        <v/>
      </c>
      <c r="C1940" s="9">
        <f t="shared" si="30"/>
        <v>0</v>
      </c>
    </row>
    <row r="1941" spans="1:3" x14ac:dyDescent="0.2">
      <c r="A1941" s="10" t="str">
        <f>IF(1933&gt;$C$9008,"",INDEX($B$9:$B$9008,MATCH(1933,$C$9:$C$9008,0)))</f>
        <v/>
      </c>
      <c r="B1941" s="9" t="str">
        <f>IFERROR(INDEX(Input!$L$20:$T$1019,INT((ROW()-9)/9)+1,MOD(ROW()-9,9)+1),"")</f>
        <v/>
      </c>
      <c r="C1941" s="9">
        <f t="shared" si="30"/>
        <v>0</v>
      </c>
    </row>
    <row r="1942" spans="1:3" x14ac:dyDescent="0.2">
      <c r="A1942" s="10" t="str">
        <f>IF(1934&gt;$C$9008,"",INDEX($B$9:$B$9008,MATCH(1934,$C$9:$C$9008,0)))</f>
        <v/>
      </c>
      <c r="B1942" s="9" t="str">
        <f>IFERROR(INDEX(Input!$L$20:$T$1019,INT((ROW()-9)/9)+1,MOD(ROW()-9,9)+1),"")</f>
        <v/>
      </c>
      <c r="C1942" s="9">
        <f t="shared" si="30"/>
        <v>0</v>
      </c>
    </row>
    <row r="1943" spans="1:3" x14ac:dyDescent="0.2">
      <c r="A1943" s="10" t="str">
        <f>IF(1935&gt;$C$9008,"",INDEX($B$9:$B$9008,MATCH(1935,$C$9:$C$9008,0)))</f>
        <v/>
      </c>
      <c r="B1943" s="9" t="str">
        <f>IFERROR(INDEX(Input!$L$20:$T$1019,INT((ROW()-9)/9)+1,MOD(ROW()-9,9)+1),"")</f>
        <v/>
      </c>
      <c r="C1943" s="9">
        <f t="shared" si="30"/>
        <v>0</v>
      </c>
    </row>
    <row r="1944" spans="1:3" x14ac:dyDescent="0.2">
      <c r="A1944" s="10" t="str">
        <f>IF(1936&gt;$C$9008,"",INDEX($B$9:$B$9008,MATCH(1936,$C$9:$C$9008,0)))</f>
        <v/>
      </c>
      <c r="B1944" s="9" t="str">
        <f>IFERROR(INDEX(Input!$L$20:$T$1019,INT((ROW()-9)/9)+1,MOD(ROW()-9,9)+1),"")</f>
        <v/>
      </c>
      <c r="C1944" s="9">
        <f t="shared" si="30"/>
        <v>0</v>
      </c>
    </row>
    <row r="1945" spans="1:3" x14ac:dyDescent="0.2">
      <c r="A1945" s="10" t="str">
        <f>IF(1937&gt;$C$9008,"",INDEX($B$9:$B$9008,MATCH(1937,$C$9:$C$9008,0)))</f>
        <v/>
      </c>
      <c r="B1945" s="9" t="str">
        <f>IFERROR(INDEX(Input!$L$20:$T$1019,INT((ROW()-9)/9)+1,MOD(ROW()-9,9)+1),"")</f>
        <v/>
      </c>
      <c r="C1945" s="9">
        <f t="shared" si="30"/>
        <v>0</v>
      </c>
    </row>
    <row r="1946" spans="1:3" x14ac:dyDescent="0.2">
      <c r="A1946" s="10" t="str">
        <f>IF(1938&gt;$C$9008,"",INDEX($B$9:$B$9008,MATCH(1938,$C$9:$C$9008,0)))</f>
        <v/>
      </c>
      <c r="B1946" s="9" t="str">
        <f>IFERROR(INDEX(Input!$L$20:$T$1019,INT((ROW()-9)/9)+1,MOD(ROW()-9,9)+1),"")</f>
        <v/>
      </c>
      <c r="C1946" s="9">
        <f t="shared" si="30"/>
        <v>0</v>
      </c>
    </row>
    <row r="1947" spans="1:3" x14ac:dyDescent="0.2">
      <c r="A1947" s="10" t="str">
        <f>IF(1939&gt;$C$9008,"",INDEX($B$9:$B$9008,MATCH(1939,$C$9:$C$9008,0)))</f>
        <v/>
      </c>
      <c r="B1947" s="9" t="str">
        <f>IFERROR(INDEX(Input!$L$20:$T$1019,INT((ROW()-9)/9)+1,MOD(ROW()-9,9)+1),"")</f>
        <v/>
      </c>
      <c r="C1947" s="9">
        <f t="shared" si="30"/>
        <v>0</v>
      </c>
    </row>
    <row r="1948" spans="1:3" x14ac:dyDescent="0.2">
      <c r="A1948" s="10" t="str">
        <f>IF(1940&gt;$C$9008,"",INDEX($B$9:$B$9008,MATCH(1940,$C$9:$C$9008,0)))</f>
        <v/>
      </c>
      <c r="B1948" s="9" t="str">
        <f>IFERROR(INDEX(Input!$L$20:$T$1019,INT((ROW()-9)/9)+1,MOD(ROW()-9,9)+1),"")</f>
        <v/>
      </c>
      <c r="C1948" s="9">
        <f t="shared" si="30"/>
        <v>0</v>
      </c>
    </row>
    <row r="1949" spans="1:3" x14ac:dyDescent="0.2">
      <c r="A1949" s="10" t="str">
        <f>IF(1941&gt;$C$9008,"",INDEX($B$9:$B$9008,MATCH(1941,$C$9:$C$9008,0)))</f>
        <v/>
      </c>
      <c r="B1949" s="9" t="str">
        <f>IFERROR(INDEX(Input!$L$20:$T$1019,INT((ROW()-9)/9)+1,MOD(ROW()-9,9)+1),"")</f>
        <v/>
      </c>
      <c r="C1949" s="9">
        <f t="shared" si="30"/>
        <v>0</v>
      </c>
    </row>
    <row r="1950" spans="1:3" x14ac:dyDescent="0.2">
      <c r="A1950" s="10" t="str">
        <f>IF(1942&gt;$C$9008,"",INDEX($B$9:$B$9008,MATCH(1942,$C$9:$C$9008,0)))</f>
        <v/>
      </c>
      <c r="B1950" s="9" t="str">
        <f>IFERROR(INDEX(Input!$L$20:$T$1019,INT((ROW()-9)/9)+1,MOD(ROW()-9,9)+1),"")</f>
        <v/>
      </c>
      <c r="C1950" s="9">
        <f t="shared" si="30"/>
        <v>0</v>
      </c>
    </row>
    <row r="1951" spans="1:3" x14ac:dyDescent="0.2">
      <c r="A1951" s="10" t="str">
        <f>IF(1943&gt;$C$9008,"",INDEX($B$9:$B$9008,MATCH(1943,$C$9:$C$9008,0)))</f>
        <v/>
      </c>
      <c r="B1951" s="9" t="str">
        <f>IFERROR(INDEX(Input!$L$20:$T$1019,INT((ROW()-9)/9)+1,MOD(ROW()-9,9)+1),"")</f>
        <v/>
      </c>
      <c r="C1951" s="9">
        <f t="shared" si="30"/>
        <v>0</v>
      </c>
    </row>
    <row r="1952" spans="1:3" x14ac:dyDescent="0.2">
      <c r="A1952" s="10" t="str">
        <f>IF(1944&gt;$C$9008,"",INDEX($B$9:$B$9008,MATCH(1944,$C$9:$C$9008,0)))</f>
        <v/>
      </c>
      <c r="B1952" s="9" t="str">
        <f>IFERROR(INDEX(Input!$L$20:$T$1019,INT((ROW()-9)/9)+1,MOD(ROW()-9,9)+1),"")</f>
        <v/>
      </c>
      <c r="C1952" s="9">
        <f t="shared" si="30"/>
        <v>0</v>
      </c>
    </row>
    <row r="1953" spans="1:3" x14ac:dyDescent="0.2">
      <c r="A1953" s="10" t="str">
        <f>IF(1945&gt;$C$9008,"",INDEX($B$9:$B$9008,MATCH(1945,$C$9:$C$9008,0)))</f>
        <v/>
      </c>
      <c r="B1953" s="9" t="str">
        <f>IFERROR(INDEX(Input!$L$20:$T$1019,INT((ROW()-9)/9)+1,MOD(ROW()-9,9)+1),"")</f>
        <v/>
      </c>
      <c r="C1953" s="9">
        <f t="shared" si="30"/>
        <v>0</v>
      </c>
    </row>
    <row r="1954" spans="1:3" x14ac:dyDescent="0.2">
      <c r="A1954" s="10" t="str">
        <f>IF(1946&gt;$C$9008,"",INDEX($B$9:$B$9008,MATCH(1946,$C$9:$C$9008,0)))</f>
        <v/>
      </c>
      <c r="B1954" s="9" t="str">
        <f>IFERROR(INDEX(Input!$L$20:$T$1019,INT((ROW()-9)/9)+1,MOD(ROW()-9,9)+1),"")</f>
        <v/>
      </c>
      <c r="C1954" s="9">
        <f t="shared" si="30"/>
        <v>0</v>
      </c>
    </row>
    <row r="1955" spans="1:3" x14ac:dyDescent="0.2">
      <c r="A1955" s="10" t="str">
        <f>IF(1947&gt;$C$9008,"",INDEX($B$9:$B$9008,MATCH(1947,$C$9:$C$9008,0)))</f>
        <v/>
      </c>
      <c r="B1955" s="9" t="str">
        <f>IFERROR(INDEX(Input!$L$20:$T$1019,INT((ROW()-9)/9)+1,MOD(ROW()-9,9)+1),"")</f>
        <v/>
      </c>
      <c r="C1955" s="9">
        <f t="shared" si="30"/>
        <v>0</v>
      </c>
    </row>
    <row r="1956" spans="1:3" x14ac:dyDescent="0.2">
      <c r="A1956" s="10" t="str">
        <f>IF(1948&gt;$C$9008,"",INDEX($B$9:$B$9008,MATCH(1948,$C$9:$C$9008,0)))</f>
        <v/>
      </c>
      <c r="B1956" s="9" t="str">
        <f>IFERROR(INDEX(Input!$L$20:$T$1019,INT((ROW()-9)/9)+1,MOD(ROW()-9,9)+1),"")</f>
        <v/>
      </c>
      <c r="C1956" s="9">
        <f t="shared" si="30"/>
        <v>0</v>
      </c>
    </row>
    <row r="1957" spans="1:3" x14ac:dyDescent="0.2">
      <c r="A1957" s="10" t="str">
        <f>IF(1949&gt;$C$9008,"",INDEX($B$9:$B$9008,MATCH(1949,$C$9:$C$9008,0)))</f>
        <v/>
      </c>
      <c r="B1957" s="9" t="str">
        <f>IFERROR(INDEX(Input!$L$20:$T$1019,INT((ROW()-9)/9)+1,MOD(ROW()-9,9)+1),"")</f>
        <v/>
      </c>
      <c r="C1957" s="9">
        <f t="shared" si="30"/>
        <v>0</v>
      </c>
    </row>
    <row r="1958" spans="1:3" x14ac:dyDescent="0.2">
      <c r="A1958" s="10" t="str">
        <f>IF(1950&gt;$C$9008,"",INDEX($B$9:$B$9008,MATCH(1950,$C$9:$C$9008,0)))</f>
        <v/>
      </c>
      <c r="B1958" s="9" t="str">
        <f>IFERROR(INDEX(Input!$L$20:$T$1019,INT((ROW()-9)/9)+1,MOD(ROW()-9,9)+1),"")</f>
        <v/>
      </c>
      <c r="C1958" s="9">
        <f t="shared" si="30"/>
        <v>0</v>
      </c>
    </row>
    <row r="1959" spans="1:3" x14ac:dyDescent="0.2">
      <c r="A1959" s="10" t="str">
        <f>IF(1951&gt;$C$9008,"",INDEX($B$9:$B$9008,MATCH(1951,$C$9:$C$9008,0)))</f>
        <v/>
      </c>
      <c r="B1959" s="9" t="str">
        <f>IFERROR(INDEX(Input!$L$20:$T$1019,INT((ROW()-9)/9)+1,MOD(ROW()-9,9)+1),"")</f>
        <v/>
      </c>
      <c r="C1959" s="9">
        <f t="shared" si="30"/>
        <v>0</v>
      </c>
    </row>
    <row r="1960" spans="1:3" x14ac:dyDescent="0.2">
      <c r="A1960" s="10" t="str">
        <f>IF(1952&gt;$C$9008,"",INDEX($B$9:$B$9008,MATCH(1952,$C$9:$C$9008,0)))</f>
        <v/>
      </c>
      <c r="B1960" s="9" t="str">
        <f>IFERROR(INDEX(Input!$L$20:$T$1019,INT((ROW()-9)/9)+1,MOD(ROW()-9,9)+1),"")</f>
        <v/>
      </c>
      <c r="C1960" s="9">
        <f t="shared" si="30"/>
        <v>0</v>
      </c>
    </row>
    <row r="1961" spans="1:3" x14ac:dyDescent="0.2">
      <c r="A1961" s="10" t="str">
        <f>IF(1953&gt;$C$9008,"",INDEX($B$9:$B$9008,MATCH(1953,$C$9:$C$9008,0)))</f>
        <v/>
      </c>
      <c r="B1961" s="9" t="str">
        <f>IFERROR(INDEX(Input!$L$20:$T$1019,INT((ROW()-9)/9)+1,MOD(ROW()-9,9)+1),"")</f>
        <v/>
      </c>
      <c r="C1961" s="9">
        <f t="shared" si="30"/>
        <v>0</v>
      </c>
    </row>
    <row r="1962" spans="1:3" x14ac:dyDescent="0.2">
      <c r="A1962" s="10" t="str">
        <f>IF(1954&gt;$C$9008,"",INDEX($B$9:$B$9008,MATCH(1954,$C$9:$C$9008,0)))</f>
        <v/>
      </c>
      <c r="B1962" s="9" t="str">
        <f>IFERROR(INDEX(Input!$L$20:$T$1019,INT((ROW()-9)/9)+1,MOD(ROW()-9,9)+1),"")</f>
        <v/>
      </c>
      <c r="C1962" s="9">
        <f t="shared" si="30"/>
        <v>0</v>
      </c>
    </row>
    <row r="1963" spans="1:3" x14ac:dyDescent="0.2">
      <c r="A1963" s="10" t="str">
        <f>IF(1955&gt;$C$9008,"",INDEX($B$9:$B$9008,MATCH(1955,$C$9:$C$9008,0)))</f>
        <v/>
      </c>
      <c r="B1963" s="9" t="str">
        <f>IFERROR(INDEX(Input!$L$20:$T$1019,INT((ROW()-9)/9)+1,MOD(ROW()-9,9)+1),"")</f>
        <v/>
      </c>
      <c r="C1963" s="9">
        <f t="shared" si="30"/>
        <v>0</v>
      </c>
    </row>
    <row r="1964" spans="1:3" x14ac:dyDescent="0.2">
      <c r="A1964" s="10" t="str">
        <f>IF(1956&gt;$C$9008,"",INDEX($B$9:$B$9008,MATCH(1956,$C$9:$C$9008,0)))</f>
        <v/>
      </c>
      <c r="B1964" s="9" t="str">
        <f>IFERROR(INDEX(Input!$L$20:$T$1019,INT((ROW()-9)/9)+1,MOD(ROW()-9,9)+1),"")</f>
        <v/>
      </c>
      <c r="C1964" s="9">
        <f t="shared" si="30"/>
        <v>0</v>
      </c>
    </row>
    <row r="1965" spans="1:3" x14ac:dyDescent="0.2">
      <c r="A1965" s="10" t="str">
        <f>IF(1957&gt;$C$9008,"",INDEX($B$9:$B$9008,MATCH(1957,$C$9:$C$9008,0)))</f>
        <v/>
      </c>
      <c r="B1965" s="9" t="str">
        <f>IFERROR(INDEX(Input!$L$20:$T$1019,INT((ROW()-9)/9)+1,MOD(ROW()-9,9)+1),"")</f>
        <v/>
      </c>
      <c r="C1965" s="9">
        <f t="shared" si="30"/>
        <v>0</v>
      </c>
    </row>
    <row r="1966" spans="1:3" x14ac:dyDescent="0.2">
      <c r="A1966" s="10" t="str">
        <f>IF(1958&gt;$C$9008,"",INDEX($B$9:$B$9008,MATCH(1958,$C$9:$C$9008,0)))</f>
        <v/>
      </c>
      <c r="B1966" s="9" t="str">
        <f>IFERROR(INDEX(Input!$L$20:$T$1019,INT((ROW()-9)/9)+1,MOD(ROW()-9,9)+1),"")</f>
        <v/>
      </c>
      <c r="C1966" s="9">
        <f t="shared" si="30"/>
        <v>0</v>
      </c>
    </row>
    <row r="1967" spans="1:3" x14ac:dyDescent="0.2">
      <c r="A1967" s="10" t="str">
        <f>IF(1959&gt;$C$9008,"",INDEX($B$9:$B$9008,MATCH(1959,$C$9:$C$9008,0)))</f>
        <v/>
      </c>
      <c r="B1967" s="9" t="str">
        <f>IFERROR(INDEX(Input!$L$20:$T$1019,INT((ROW()-9)/9)+1,MOD(ROW()-9,9)+1),"")</f>
        <v/>
      </c>
      <c r="C1967" s="9">
        <f t="shared" si="30"/>
        <v>0</v>
      </c>
    </row>
    <row r="1968" spans="1:3" x14ac:dyDescent="0.2">
      <c r="A1968" s="10" t="str">
        <f>IF(1960&gt;$C$9008,"",INDEX($B$9:$B$9008,MATCH(1960,$C$9:$C$9008,0)))</f>
        <v/>
      </c>
      <c r="B1968" s="9" t="str">
        <f>IFERROR(INDEX(Input!$L$20:$T$1019,INT((ROW()-9)/9)+1,MOD(ROW()-9,9)+1),"")</f>
        <v/>
      </c>
      <c r="C1968" s="9">
        <f t="shared" si="30"/>
        <v>0</v>
      </c>
    </row>
    <row r="1969" spans="1:3" x14ac:dyDescent="0.2">
      <c r="A1969" s="10" t="str">
        <f>IF(1961&gt;$C$9008,"",INDEX($B$9:$B$9008,MATCH(1961,$C$9:$C$9008,0)))</f>
        <v/>
      </c>
      <c r="B1969" s="9" t="str">
        <f>IFERROR(INDEX(Input!$L$20:$T$1019,INT((ROW()-9)/9)+1,MOD(ROW()-9,9)+1),"")</f>
        <v/>
      </c>
      <c r="C1969" s="9">
        <f t="shared" si="30"/>
        <v>0</v>
      </c>
    </row>
    <row r="1970" spans="1:3" x14ac:dyDescent="0.2">
      <c r="A1970" s="10" t="str">
        <f>IF(1962&gt;$C$9008,"",INDEX($B$9:$B$9008,MATCH(1962,$C$9:$C$9008,0)))</f>
        <v/>
      </c>
      <c r="B1970" s="9" t="str">
        <f>IFERROR(INDEX(Input!$L$20:$T$1019,INT((ROW()-9)/9)+1,MOD(ROW()-9,9)+1),"")</f>
        <v/>
      </c>
      <c r="C1970" s="9">
        <f t="shared" si="30"/>
        <v>0</v>
      </c>
    </row>
    <row r="1971" spans="1:3" x14ac:dyDescent="0.2">
      <c r="A1971" s="10" t="str">
        <f>IF(1963&gt;$C$9008,"",INDEX($B$9:$B$9008,MATCH(1963,$C$9:$C$9008,0)))</f>
        <v/>
      </c>
      <c r="B1971" s="9" t="str">
        <f>IFERROR(INDEX(Input!$L$20:$T$1019,INT((ROW()-9)/9)+1,MOD(ROW()-9,9)+1),"")</f>
        <v/>
      </c>
      <c r="C1971" s="9">
        <f t="shared" si="30"/>
        <v>0</v>
      </c>
    </row>
    <row r="1972" spans="1:3" x14ac:dyDescent="0.2">
      <c r="A1972" s="10" t="str">
        <f>IF(1964&gt;$C$9008,"",INDEX($B$9:$B$9008,MATCH(1964,$C$9:$C$9008,0)))</f>
        <v/>
      </c>
      <c r="B1972" s="9" t="str">
        <f>IFERROR(INDEX(Input!$L$20:$T$1019,INT((ROW()-9)/9)+1,MOD(ROW()-9,9)+1),"")</f>
        <v/>
      </c>
      <c r="C1972" s="9">
        <f t="shared" si="30"/>
        <v>0</v>
      </c>
    </row>
    <row r="1973" spans="1:3" x14ac:dyDescent="0.2">
      <c r="A1973" s="10" t="str">
        <f>IF(1965&gt;$C$9008,"",INDEX($B$9:$B$9008,MATCH(1965,$C$9:$C$9008,0)))</f>
        <v/>
      </c>
      <c r="B1973" s="9" t="str">
        <f>IFERROR(INDEX(Input!$L$20:$T$1019,INT((ROW()-9)/9)+1,MOD(ROW()-9,9)+1),"")</f>
        <v/>
      </c>
      <c r="C1973" s="9">
        <f t="shared" si="30"/>
        <v>0</v>
      </c>
    </row>
    <row r="1974" spans="1:3" x14ac:dyDescent="0.2">
      <c r="A1974" s="10" t="str">
        <f>IF(1966&gt;$C$9008,"",INDEX($B$9:$B$9008,MATCH(1966,$C$9:$C$9008,0)))</f>
        <v/>
      </c>
      <c r="B1974" s="9" t="str">
        <f>IFERROR(INDEX(Input!$L$20:$T$1019,INT((ROW()-9)/9)+1,MOD(ROW()-9,9)+1),"")</f>
        <v/>
      </c>
      <c r="C1974" s="9">
        <f t="shared" si="30"/>
        <v>0</v>
      </c>
    </row>
    <row r="1975" spans="1:3" x14ac:dyDescent="0.2">
      <c r="A1975" s="10" t="str">
        <f>IF(1967&gt;$C$9008,"",INDEX($B$9:$B$9008,MATCH(1967,$C$9:$C$9008,0)))</f>
        <v/>
      </c>
      <c r="B1975" s="9" t="str">
        <f>IFERROR(INDEX(Input!$L$20:$T$1019,INT((ROW()-9)/9)+1,MOD(ROW()-9,9)+1),"")</f>
        <v/>
      </c>
      <c r="C1975" s="9">
        <f t="shared" si="30"/>
        <v>0</v>
      </c>
    </row>
    <row r="1976" spans="1:3" x14ac:dyDescent="0.2">
      <c r="A1976" s="10" t="str">
        <f>IF(1968&gt;$C$9008,"",INDEX($B$9:$B$9008,MATCH(1968,$C$9:$C$9008,0)))</f>
        <v/>
      </c>
      <c r="B1976" s="9" t="str">
        <f>IFERROR(INDEX(Input!$L$20:$T$1019,INT((ROW()-9)/9)+1,MOD(ROW()-9,9)+1),"")</f>
        <v/>
      </c>
      <c r="C1976" s="9">
        <f t="shared" si="30"/>
        <v>0</v>
      </c>
    </row>
    <row r="1977" spans="1:3" x14ac:dyDescent="0.2">
      <c r="A1977" s="10" t="str">
        <f>IF(1969&gt;$C$9008,"",INDEX($B$9:$B$9008,MATCH(1969,$C$9:$C$9008,0)))</f>
        <v/>
      </c>
      <c r="B1977" s="9" t="str">
        <f>IFERROR(INDEX(Input!$L$20:$T$1019,INT((ROW()-9)/9)+1,MOD(ROW()-9,9)+1),"")</f>
        <v/>
      </c>
      <c r="C1977" s="9">
        <f t="shared" si="30"/>
        <v>0</v>
      </c>
    </row>
    <row r="1978" spans="1:3" x14ac:dyDescent="0.2">
      <c r="A1978" s="10" t="str">
        <f>IF(1970&gt;$C$9008,"",INDEX($B$9:$B$9008,MATCH(1970,$C$9:$C$9008,0)))</f>
        <v/>
      </c>
      <c r="B1978" s="9" t="str">
        <f>IFERROR(INDEX(Input!$L$20:$T$1019,INT((ROW()-9)/9)+1,MOD(ROW()-9,9)+1),"")</f>
        <v/>
      </c>
      <c r="C1978" s="9">
        <f t="shared" si="30"/>
        <v>0</v>
      </c>
    </row>
    <row r="1979" spans="1:3" x14ac:dyDescent="0.2">
      <c r="A1979" s="10" t="str">
        <f>IF(1971&gt;$C$9008,"",INDEX($B$9:$B$9008,MATCH(1971,$C$9:$C$9008,0)))</f>
        <v/>
      </c>
      <c r="B1979" s="9" t="str">
        <f>IFERROR(INDEX(Input!$L$20:$T$1019,INT((ROW()-9)/9)+1,MOD(ROW()-9,9)+1),"")</f>
        <v/>
      </c>
      <c r="C1979" s="9">
        <f t="shared" si="30"/>
        <v>0</v>
      </c>
    </row>
    <row r="1980" spans="1:3" x14ac:dyDescent="0.2">
      <c r="A1980" s="10" t="str">
        <f>IF(1972&gt;$C$9008,"",INDEX($B$9:$B$9008,MATCH(1972,$C$9:$C$9008,0)))</f>
        <v/>
      </c>
      <c r="B1980" s="9" t="str">
        <f>IFERROR(INDEX(Input!$L$20:$T$1019,INT((ROW()-9)/9)+1,MOD(ROW()-9,9)+1),"")</f>
        <v/>
      </c>
      <c r="C1980" s="9">
        <f t="shared" si="30"/>
        <v>0</v>
      </c>
    </row>
    <row r="1981" spans="1:3" x14ac:dyDescent="0.2">
      <c r="A1981" s="10" t="str">
        <f>IF(1973&gt;$C$9008,"",INDEX($B$9:$B$9008,MATCH(1973,$C$9:$C$9008,0)))</f>
        <v/>
      </c>
      <c r="B1981" s="9" t="str">
        <f>IFERROR(INDEX(Input!$L$20:$T$1019,INT((ROW()-9)/9)+1,MOD(ROW()-9,9)+1),"")</f>
        <v/>
      </c>
      <c r="C1981" s="9">
        <f t="shared" si="30"/>
        <v>0</v>
      </c>
    </row>
    <row r="1982" spans="1:3" x14ac:dyDescent="0.2">
      <c r="A1982" s="10" t="str">
        <f>IF(1974&gt;$C$9008,"",INDEX($B$9:$B$9008,MATCH(1974,$C$9:$C$9008,0)))</f>
        <v/>
      </c>
      <c r="B1982" s="9" t="str">
        <f>IFERROR(INDEX(Input!$L$20:$T$1019,INT((ROW()-9)/9)+1,MOD(ROW()-9,9)+1),"")</f>
        <v/>
      </c>
      <c r="C1982" s="9">
        <f t="shared" si="30"/>
        <v>0</v>
      </c>
    </row>
    <row r="1983" spans="1:3" x14ac:dyDescent="0.2">
      <c r="A1983" s="10" t="str">
        <f>IF(1975&gt;$C$9008,"",INDEX($B$9:$B$9008,MATCH(1975,$C$9:$C$9008,0)))</f>
        <v/>
      </c>
      <c r="B1983" s="9" t="str">
        <f>IFERROR(INDEX(Input!$L$20:$T$1019,INT((ROW()-9)/9)+1,MOD(ROW()-9,9)+1),"")</f>
        <v/>
      </c>
      <c r="C1983" s="9">
        <f t="shared" si="30"/>
        <v>0</v>
      </c>
    </row>
    <row r="1984" spans="1:3" x14ac:dyDescent="0.2">
      <c r="A1984" s="10" t="str">
        <f>IF(1976&gt;$C$9008,"",INDEX($B$9:$B$9008,MATCH(1976,$C$9:$C$9008,0)))</f>
        <v/>
      </c>
      <c r="B1984" s="9" t="str">
        <f>IFERROR(INDEX(Input!$L$20:$T$1019,INT((ROW()-9)/9)+1,MOD(ROW()-9,9)+1),"")</f>
        <v/>
      </c>
      <c r="C1984" s="9">
        <f t="shared" si="30"/>
        <v>0</v>
      </c>
    </row>
    <row r="1985" spans="1:3" x14ac:dyDescent="0.2">
      <c r="A1985" s="10" t="str">
        <f>IF(1977&gt;$C$9008,"",INDEX($B$9:$B$9008,MATCH(1977,$C$9:$C$9008,0)))</f>
        <v/>
      </c>
      <c r="B1985" s="9" t="str">
        <f>IFERROR(INDEX(Input!$L$20:$T$1019,INT((ROW()-9)/9)+1,MOD(ROW()-9,9)+1),"")</f>
        <v/>
      </c>
      <c r="C1985" s="9">
        <f t="shared" si="30"/>
        <v>0</v>
      </c>
    </row>
    <row r="1986" spans="1:3" x14ac:dyDescent="0.2">
      <c r="A1986" s="10" t="str">
        <f>IF(1978&gt;$C$9008,"",INDEX($B$9:$B$9008,MATCH(1978,$C$9:$C$9008,0)))</f>
        <v/>
      </c>
      <c r="B1986" s="9" t="str">
        <f>IFERROR(INDEX(Input!$L$20:$T$1019,INT((ROW()-9)/9)+1,MOD(ROW()-9,9)+1),"")</f>
        <v/>
      </c>
      <c r="C1986" s="9">
        <f t="shared" si="30"/>
        <v>0</v>
      </c>
    </row>
    <row r="1987" spans="1:3" x14ac:dyDescent="0.2">
      <c r="A1987" s="10" t="str">
        <f>IF(1979&gt;$C$9008,"",INDEX($B$9:$B$9008,MATCH(1979,$C$9:$C$9008,0)))</f>
        <v/>
      </c>
      <c r="B1987" s="9" t="str">
        <f>IFERROR(INDEX(Input!$L$20:$T$1019,INT((ROW()-9)/9)+1,MOD(ROW()-9,9)+1),"")</f>
        <v/>
      </c>
      <c r="C1987" s="9">
        <f t="shared" si="30"/>
        <v>0</v>
      </c>
    </row>
    <row r="1988" spans="1:3" x14ac:dyDescent="0.2">
      <c r="A1988" s="10" t="str">
        <f>IF(1980&gt;$C$9008,"",INDEX($B$9:$B$9008,MATCH(1980,$C$9:$C$9008,0)))</f>
        <v/>
      </c>
      <c r="B1988" s="9" t="str">
        <f>IFERROR(INDEX(Input!$L$20:$T$1019,INT((ROW()-9)/9)+1,MOD(ROW()-9,9)+1),"")</f>
        <v/>
      </c>
      <c r="C1988" s="9">
        <f t="shared" si="30"/>
        <v>0</v>
      </c>
    </row>
    <row r="1989" spans="1:3" x14ac:dyDescent="0.2">
      <c r="A1989" s="10" t="str">
        <f>IF(1981&gt;$C$9008,"",INDEX($B$9:$B$9008,MATCH(1981,$C$9:$C$9008,0)))</f>
        <v/>
      </c>
      <c r="B1989" s="9" t="str">
        <f>IFERROR(INDEX(Input!$L$20:$T$1019,INT((ROW()-9)/9)+1,MOD(ROW()-9,9)+1),"")</f>
        <v/>
      </c>
      <c r="C1989" s="9">
        <f t="shared" si="30"/>
        <v>0</v>
      </c>
    </row>
    <row r="1990" spans="1:3" x14ac:dyDescent="0.2">
      <c r="A1990" s="10" t="str">
        <f>IF(1982&gt;$C$9008,"",INDEX($B$9:$B$9008,MATCH(1982,$C$9:$C$9008,0)))</f>
        <v/>
      </c>
      <c r="B1990" s="9" t="str">
        <f>IFERROR(INDEX(Input!$L$20:$T$1019,INT((ROW()-9)/9)+1,MOD(ROW()-9,9)+1),"")</f>
        <v/>
      </c>
      <c r="C1990" s="9">
        <f t="shared" si="30"/>
        <v>0</v>
      </c>
    </row>
    <row r="1991" spans="1:3" x14ac:dyDescent="0.2">
      <c r="A1991" s="10" t="str">
        <f>IF(1983&gt;$C$9008,"",INDEX($B$9:$B$9008,MATCH(1983,$C$9:$C$9008,0)))</f>
        <v/>
      </c>
      <c r="B1991" s="9" t="str">
        <f>IFERROR(INDEX(Input!$L$20:$T$1019,INT((ROW()-9)/9)+1,MOD(ROW()-9,9)+1),"")</f>
        <v/>
      </c>
      <c r="C1991" s="9">
        <f t="shared" si="30"/>
        <v>0</v>
      </c>
    </row>
    <row r="1992" spans="1:3" x14ac:dyDescent="0.2">
      <c r="A1992" s="10" t="str">
        <f>IF(1984&gt;$C$9008,"",INDEX($B$9:$B$9008,MATCH(1984,$C$9:$C$9008,0)))</f>
        <v/>
      </c>
      <c r="B1992" s="9" t="str">
        <f>IFERROR(INDEX(Input!$L$20:$T$1019,INT((ROW()-9)/9)+1,MOD(ROW()-9,9)+1),"")</f>
        <v/>
      </c>
      <c r="C1992" s="9">
        <f t="shared" si="30"/>
        <v>0</v>
      </c>
    </row>
    <row r="1993" spans="1:3" x14ac:dyDescent="0.2">
      <c r="A1993" s="10" t="str">
        <f>IF(1985&gt;$C$9008,"",INDEX($B$9:$B$9008,MATCH(1985,$C$9:$C$9008,0)))</f>
        <v/>
      </c>
      <c r="B1993" s="9" t="str">
        <f>IFERROR(INDEX(Input!$L$20:$T$1019,INT((ROW()-9)/9)+1,MOD(ROW()-9,9)+1),"")</f>
        <v/>
      </c>
      <c r="C1993" s="9">
        <f t="shared" ref="C1993:C2056" si="31">$C1992+IF($B1993&lt;&gt;"",1,0)</f>
        <v>0</v>
      </c>
    </row>
    <row r="1994" spans="1:3" x14ac:dyDescent="0.2">
      <c r="A1994" s="10" t="str">
        <f>IF(1986&gt;$C$9008,"",INDEX($B$9:$B$9008,MATCH(1986,$C$9:$C$9008,0)))</f>
        <v/>
      </c>
      <c r="B1994" s="9" t="str">
        <f>IFERROR(INDEX(Input!$L$20:$T$1019,INT((ROW()-9)/9)+1,MOD(ROW()-9,9)+1),"")</f>
        <v/>
      </c>
      <c r="C1994" s="9">
        <f t="shared" si="31"/>
        <v>0</v>
      </c>
    </row>
    <row r="1995" spans="1:3" x14ac:dyDescent="0.2">
      <c r="A1995" s="10" t="str">
        <f>IF(1987&gt;$C$9008,"",INDEX($B$9:$B$9008,MATCH(1987,$C$9:$C$9008,0)))</f>
        <v/>
      </c>
      <c r="B1995" s="9" t="str">
        <f>IFERROR(INDEX(Input!$L$20:$T$1019,INT((ROW()-9)/9)+1,MOD(ROW()-9,9)+1),"")</f>
        <v/>
      </c>
      <c r="C1995" s="9">
        <f t="shared" si="31"/>
        <v>0</v>
      </c>
    </row>
    <row r="1996" spans="1:3" x14ac:dyDescent="0.2">
      <c r="A1996" s="10" t="str">
        <f>IF(1988&gt;$C$9008,"",INDEX($B$9:$B$9008,MATCH(1988,$C$9:$C$9008,0)))</f>
        <v/>
      </c>
      <c r="B1996" s="9" t="str">
        <f>IFERROR(INDEX(Input!$L$20:$T$1019,INT((ROW()-9)/9)+1,MOD(ROW()-9,9)+1),"")</f>
        <v/>
      </c>
      <c r="C1996" s="9">
        <f t="shared" si="31"/>
        <v>0</v>
      </c>
    </row>
    <row r="1997" spans="1:3" x14ac:dyDescent="0.2">
      <c r="A1997" s="10" t="str">
        <f>IF(1989&gt;$C$9008,"",INDEX($B$9:$B$9008,MATCH(1989,$C$9:$C$9008,0)))</f>
        <v/>
      </c>
      <c r="B1997" s="9" t="str">
        <f>IFERROR(INDEX(Input!$L$20:$T$1019,INT((ROW()-9)/9)+1,MOD(ROW()-9,9)+1),"")</f>
        <v/>
      </c>
      <c r="C1997" s="9">
        <f t="shared" si="31"/>
        <v>0</v>
      </c>
    </row>
    <row r="1998" spans="1:3" x14ac:dyDescent="0.2">
      <c r="A1998" s="10" t="str">
        <f>IF(1990&gt;$C$9008,"",INDEX($B$9:$B$9008,MATCH(1990,$C$9:$C$9008,0)))</f>
        <v/>
      </c>
      <c r="B1998" s="9" t="str">
        <f>IFERROR(INDEX(Input!$L$20:$T$1019,INT((ROW()-9)/9)+1,MOD(ROW()-9,9)+1),"")</f>
        <v/>
      </c>
      <c r="C1998" s="9">
        <f t="shared" si="31"/>
        <v>0</v>
      </c>
    </row>
    <row r="1999" spans="1:3" x14ac:dyDescent="0.2">
      <c r="A1999" s="10" t="str">
        <f>IF(1991&gt;$C$9008,"",INDEX($B$9:$B$9008,MATCH(1991,$C$9:$C$9008,0)))</f>
        <v/>
      </c>
      <c r="B1999" s="9" t="str">
        <f>IFERROR(INDEX(Input!$L$20:$T$1019,INT((ROW()-9)/9)+1,MOD(ROW()-9,9)+1),"")</f>
        <v/>
      </c>
      <c r="C1999" s="9">
        <f t="shared" si="31"/>
        <v>0</v>
      </c>
    </row>
    <row r="2000" spans="1:3" x14ac:dyDescent="0.2">
      <c r="A2000" s="10" t="str">
        <f>IF(1992&gt;$C$9008,"",INDEX($B$9:$B$9008,MATCH(1992,$C$9:$C$9008,0)))</f>
        <v/>
      </c>
      <c r="B2000" s="9" t="str">
        <f>IFERROR(INDEX(Input!$L$20:$T$1019,INT((ROW()-9)/9)+1,MOD(ROW()-9,9)+1),"")</f>
        <v/>
      </c>
      <c r="C2000" s="9">
        <f t="shared" si="31"/>
        <v>0</v>
      </c>
    </row>
    <row r="2001" spans="1:3" x14ac:dyDescent="0.2">
      <c r="A2001" s="10" t="str">
        <f>IF(1993&gt;$C$9008,"",INDEX($B$9:$B$9008,MATCH(1993,$C$9:$C$9008,0)))</f>
        <v/>
      </c>
      <c r="B2001" s="9" t="str">
        <f>IFERROR(INDEX(Input!$L$20:$T$1019,INT((ROW()-9)/9)+1,MOD(ROW()-9,9)+1),"")</f>
        <v/>
      </c>
      <c r="C2001" s="9">
        <f t="shared" si="31"/>
        <v>0</v>
      </c>
    </row>
    <row r="2002" spans="1:3" x14ac:dyDescent="0.2">
      <c r="A2002" s="10" t="str">
        <f>IF(1994&gt;$C$9008,"",INDEX($B$9:$B$9008,MATCH(1994,$C$9:$C$9008,0)))</f>
        <v/>
      </c>
      <c r="B2002" s="9" t="str">
        <f>IFERROR(INDEX(Input!$L$20:$T$1019,INT((ROW()-9)/9)+1,MOD(ROW()-9,9)+1),"")</f>
        <v/>
      </c>
      <c r="C2002" s="9">
        <f t="shared" si="31"/>
        <v>0</v>
      </c>
    </row>
    <row r="2003" spans="1:3" x14ac:dyDescent="0.2">
      <c r="A2003" s="10" t="str">
        <f>IF(1995&gt;$C$9008,"",INDEX($B$9:$B$9008,MATCH(1995,$C$9:$C$9008,0)))</f>
        <v/>
      </c>
      <c r="B2003" s="9" t="str">
        <f>IFERROR(INDEX(Input!$L$20:$T$1019,INT((ROW()-9)/9)+1,MOD(ROW()-9,9)+1),"")</f>
        <v/>
      </c>
      <c r="C2003" s="9">
        <f t="shared" si="31"/>
        <v>0</v>
      </c>
    </row>
    <row r="2004" spans="1:3" x14ac:dyDescent="0.2">
      <c r="A2004" s="10" t="str">
        <f>IF(1996&gt;$C$9008,"",INDEX($B$9:$B$9008,MATCH(1996,$C$9:$C$9008,0)))</f>
        <v/>
      </c>
      <c r="B2004" s="9" t="str">
        <f>IFERROR(INDEX(Input!$L$20:$T$1019,INT((ROW()-9)/9)+1,MOD(ROW()-9,9)+1),"")</f>
        <v/>
      </c>
      <c r="C2004" s="9">
        <f t="shared" si="31"/>
        <v>0</v>
      </c>
    </row>
    <row r="2005" spans="1:3" x14ac:dyDescent="0.2">
      <c r="A2005" s="10" t="str">
        <f>IF(1997&gt;$C$9008,"",INDEX($B$9:$B$9008,MATCH(1997,$C$9:$C$9008,0)))</f>
        <v/>
      </c>
      <c r="B2005" s="9" t="str">
        <f>IFERROR(INDEX(Input!$L$20:$T$1019,INT((ROW()-9)/9)+1,MOD(ROW()-9,9)+1),"")</f>
        <v/>
      </c>
      <c r="C2005" s="9">
        <f t="shared" si="31"/>
        <v>0</v>
      </c>
    </row>
    <row r="2006" spans="1:3" x14ac:dyDescent="0.2">
      <c r="A2006" s="10" t="str">
        <f>IF(1998&gt;$C$9008,"",INDEX($B$9:$B$9008,MATCH(1998,$C$9:$C$9008,0)))</f>
        <v/>
      </c>
      <c r="B2006" s="9" t="str">
        <f>IFERROR(INDEX(Input!$L$20:$T$1019,INT((ROW()-9)/9)+1,MOD(ROW()-9,9)+1),"")</f>
        <v/>
      </c>
      <c r="C2006" s="9">
        <f t="shared" si="31"/>
        <v>0</v>
      </c>
    </row>
    <row r="2007" spans="1:3" x14ac:dyDescent="0.2">
      <c r="A2007" s="10" t="str">
        <f>IF(1999&gt;$C$9008,"",INDEX($B$9:$B$9008,MATCH(1999,$C$9:$C$9008,0)))</f>
        <v/>
      </c>
      <c r="B2007" s="9" t="str">
        <f>IFERROR(INDEX(Input!$L$20:$T$1019,INT((ROW()-9)/9)+1,MOD(ROW()-9,9)+1),"")</f>
        <v/>
      </c>
      <c r="C2007" s="9">
        <f t="shared" si="31"/>
        <v>0</v>
      </c>
    </row>
    <row r="2008" spans="1:3" x14ac:dyDescent="0.2">
      <c r="A2008" s="10" t="str">
        <f>IF(2000&gt;$C$9008,"",INDEX($B$9:$B$9008,MATCH(2000,$C$9:$C$9008,0)))</f>
        <v/>
      </c>
      <c r="B2008" s="9" t="str">
        <f>IFERROR(INDEX(Input!$L$20:$T$1019,INT((ROW()-9)/9)+1,MOD(ROW()-9,9)+1),"")</f>
        <v/>
      </c>
      <c r="C2008" s="9">
        <f t="shared" si="31"/>
        <v>0</v>
      </c>
    </row>
    <row r="2009" spans="1:3" x14ac:dyDescent="0.2">
      <c r="A2009" s="10" t="str">
        <f>IF(2001&gt;$C$9008,"",INDEX($B$9:$B$9008,MATCH(2001,$C$9:$C$9008,0)))</f>
        <v/>
      </c>
      <c r="B2009" s="9" t="str">
        <f>IFERROR(INDEX(Input!$L$20:$T$1019,INT((ROW()-9)/9)+1,MOD(ROW()-9,9)+1),"")</f>
        <v/>
      </c>
      <c r="C2009" s="9">
        <f t="shared" si="31"/>
        <v>0</v>
      </c>
    </row>
    <row r="2010" spans="1:3" x14ac:dyDescent="0.2">
      <c r="A2010" s="10" t="str">
        <f>IF(2002&gt;$C$9008,"",INDEX($B$9:$B$9008,MATCH(2002,$C$9:$C$9008,0)))</f>
        <v/>
      </c>
      <c r="B2010" s="9" t="str">
        <f>IFERROR(INDEX(Input!$L$20:$T$1019,INT((ROW()-9)/9)+1,MOD(ROW()-9,9)+1),"")</f>
        <v/>
      </c>
      <c r="C2010" s="9">
        <f t="shared" si="31"/>
        <v>0</v>
      </c>
    </row>
    <row r="2011" spans="1:3" x14ac:dyDescent="0.2">
      <c r="A2011" s="10" t="str">
        <f>IF(2003&gt;$C$9008,"",INDEX($B$9:$B$9008,MATCH(2003,$C$9:$C$9008,0)))</f>
        <v/>
      </c>
      <c r="B2011" s="9" t="str">
        <f>IFERROR(INDEX(Input!$L$20:$T$1019,INT((ROW()-9)/9)+1,MOD(ROW()-9,9)+1),"")</f>
        <v/>
      </c>
      <c r="C2011" s="9">
        <f t="shared" si="31"/>
        <v>0</v>
      </c>
    </row>
    <row r="2012" spans="1:3" x14ac:dyDescent="0.2">
      <c r="A2012" s="10" t="str">
        <f>IF(2004&gt;$C$9008,"",INDEX($B$9:$B$9008,MATCH(2004,$C$9:$C$9008,0)))</f>
        <v/>
      </c>
      <c r="B2012" s="9" t="str">
        <f>IFERROR(INDEX(Input!$L$20:$T$1019,INT((ROW()-9)/9)+1,MOD(ROW()-9,9)+1),"")</f>
        <v/>
      </c>
      <c r="C2012" s="9">
        <f t="shared" si="31"/>
        <v>0</v>
      </c>
    </row>
    <row r="2013" spans="1:3" x14ac:dyDescent="0.2">
      <c r="A2013" s="10" t="str">
        <f>IF(2005&gt;$C$9008,"",INDEX($B$9:$B$9008,MATCH(2005,$C$9:$C$9008,0)))</f>
        <v/>
      </c>
      <c r="B2013" s="9" t="str">
        <f>IFERROR(INDEX(Input!$L$20:$T$1019,INT((ROW()-9)/9)+1,MOD(ROW()-9,9)+1),"")</f>
        <v/>
      </c>
      <c r="C2013" s="9">
        <f t="shared" si="31"/>
        <v>0</v>
      </c>
    </row>
    <row r="2014" spans="1:3" x14ac:dyDescent="0.2">
      <c r="A2014" s="10" t="str">
        <f>IF(2006&gt;$C$9008,"",INDEX($B$9:$B$9008,MATCH(2006,$C$9:$C$9008,0)))</f>
        <v/>
      </c>
      <c r="B2014" s="9" t="str">
        <f>IFERROR(INDEX(Input!$L$20:$T$1019,INT((ROW()-9)/9)+1,MOD(ROW()-9,9)+1),"")</f>
        <v/>
      </c>
      <c r="C2014" s="9">
        <f t="shared" si="31"/>
        <v>0</v>
      </c>
    </row>
    <row r="2015" spans="1:3" x14ac:dyDescent="0.2">
      <c r="A2015" s="10" t="str">
        <f>IF(2007&gt;$C$9008,"",INDEX($B$9:$B$9008,MATCH(2007,$C$9:$C$9008,0)))</f>
        <v/>
      </c>
      <c r="B2015" s="9" t="str">
        <f>IFERROR(INDEX(Input!$L$20:$T$1019,INT((ROW()-9)/9)+1,MOD(ROW()-9,9)+1),"")</f>
        <v/>
      </c>
      <c r="C2015" s="9">
        <f t="shared" si="31"/>
        <v>0</v>
      </c>
    </row>
    <row r="2016" spans="1:3" x14ac:dyDescent="0.2">
      <c r="A2016" s="10" t="str">
        <f>IF(2008&gt;$C$9008,"",INDEX($B$9:$B$9008,MATCH(2008,$C$9:$C$9008,0)))</f>
        <v/>
      </c>
      <c r="B2016" s="9" t="str">
        <f>IFERROR(INDEX(Input!$L$20:$T$1019,INT((ROW()-9)/9)+1,MOD(ROW()-9,9)+1),"")</f>
        <v/>
      </c>
      <c r="C2016" s="9">
        <f t="shared" si="31"/>
        <v>0</v>
      </c>
    </row>
    <row r="2017" spans="1:3" x14ac:dyDescent="0.2">
      <c r="A2017" s="10" t="str">
        <f>IF(2009&gt;$C$9008,"",INDEX($B$9:$B$9008,MATCH(2009,$C$9:$C$9008,0)))</f>
        <v/>
      </c>
      <c r="B2017" s="9" t="str">
        <f>IFERROR(INDEX(Input!$L$20:$T$1019,INT((ROW()-9)/9)+1,MOD(ROW()-9,9)+1),"")</f>
        <v/>
      </c>
      <c r="C2017" s="9">
        <f t="shared" si="31"/>
        <v>0</v>
      </c>
    </row>
    <row r="2018" spans="1:3" x14ac:dyDescent="0.2">
      <c r="A2018" s="10" t="str">
        <f>IF(2010&gt;$C$9008,"",INDEX($B$9:$B$9008,MATCH(2010,$C$9:$C$9008,0)))</f>
        <v/>
      </c>
      <c r="B2018" s="9" t="str">
        <f>IFERROR(INDEX(Input!$L$20:$T$1019,INT((ROW()-9)/9)+1,MOD(ROW()-9,9)+1),"")</f>
        <v/>
      </c>
      <c r="C2018" s="9">
        <f t="shared" si="31"/>
        <v>0</v>
      </c>
    </row>
    <row r="2019" spans="1:3" x14ac:dyDescent="0.2">
      <c r="A2019" s="10" t="str">
        <f>IF(2011&gt;$C$9008,"",INDEX($B$9:$B$9008,MATCH(2011,$C$9:$C$9008,0)))</f>
        <v/>
      </c>
      <c r="B2019" s="9" t="str">
        <f>IFERROR(INDEX(Input!$L$20:$T$1019,INT((ROW()-9)/9)+1,MOD(ROW()-9,9)+1),"")</f>
        <v/>
      </c>
      <c r="C2019" s="9">
        <f t="shared" si="31"/>
        <v>0</v>
      </c>
    </row>
    <row r="2020" spans="1:3" x14ac:dyDescent="0.2">
      <c r="A2020" s="10" t="str">
        <f>IF(2012&gt;$C$9008,"",INDEX($B$9:$B$9008,MATCH(2012,$C$9:$C$9008,0)))</f>
        <v/>
      </c>
      <c r="B2020" s="9" t="str">
        <f>IFERROR(INDEX(Input!$L$20:$T$1019,INT((ROW()-9)/9)+1,MOD(ROW()-9,9)+1),"")</f>
        <v/>
      </c>
      <c r="C2020" s="9">
        <f t="shared" si="31"/>
        <v>0</v>
      </c>
    </row>
    <row r="2021" spans="1:3" x14ac:dyDescent="0.2">
      <c r="A2021" s="10" t="str">
        <f>IF(2013&gt;$C$9008,"",INDEX($B$9:$B$9008,MATCH(2013,$C$9:$C$9008,0)))</f>
        <v/>
      </c>
      <c r="B2021" s="9" t="str">
        <f>IFERROR(INDEX(Input!$L$20:$T$1019,INT((ROW()-9)/9)+1,MOD(ROW()-9,9)+1),"")</f>
        <v/>
      </c>
      <c r="C2021" s="9">
        <f t="shared" si="31"/>
        <v>0</v>
      </c>
    </row>
    <row r="2022" spans="1:3" x14ac:dyDescent="0.2">
      <c r="A2022" s="10" t="str">
        <f>IF(2014&gt;$C$9008,"",INDEX($B$9:$B$9008,MATCH(2014,$C$9:$C$9008,0)))</f>
        <v/>
      </c>
      <c r="B2022" s="9" t="str">
        <f>IFERROR(INDEX(Input!$L$20:$T$1019,INT((ROW()-9)/9)+1,MOD(ROW()-9,9)+1),"")</f>
        <v/>
      </c>
      <c r="C2022" s="9">
        <f t="shared" si="31"/>
        <v>0</v>
      </c>
    </row>
    <row r="2023" spans="1:3" x14ac:dyDescent="0.2">
      <c r="A2023" s="10" t="str">
        <f>IF(2015&gt;$C$9008,"",INDEX($B$9:$B$9008,MATCH(2015,$C$9:$C$9008,0)))</f>
        <v/>
      </c>
      <c r="B2023" s="9" t="str">
        <f>IFERROR(INDEX(Input!$L$20:$T$1019,INT((ROW()-9)/9)+1,MOD(ROW()-9,9)+1),"")</f>
        <v/>
      </c>
      <c r="C2023" s="9">
        <f t="shared" si="31"/>
        <v>0</v>
      </c>
    </row>
    <row r="2024" spans="1:3" x14ac:dyDescent="0.2">
      <c r="A2024" s="10" t="str">
        <f>IF(2016&gt;$C$9008,"",INDEX($B$9:$B$9008,MATCH(2016,$C$9:$C$9008,0)))</f>
        <v/>
      </c>
      <c r="B2024" s="9" t="str">
        <f>IFERROR(INDEX(Input!$L$20:$T$1019,INT((ROW()-9)/9)+1,MOD(ROW()-9,9)+1),"")</f>
        <v/>
      </c>
      <c r="C2024" s="9">
        <f t="shared" si="31"/>
        <v>0</v>
      </c>
    </row>
    <row r="2025" spans="1:3" x14ac:dyDescent="0.2">
      <c r="A2025" s="10" t="str">
        <f>IF(2017&gt;$C$9008,"",INDEX($B$9:$B$9008,MATCH(2017,$C$9:$C$9008,0)))</f>
        <v/>
      </c>
      <c r="B2025" s="9" t="str">
        <f>IFERROR(INDEX(Input!$L$20:$T$1019,INT((ROW()-9)/9)+1,MOD(ROW()-9,9)+1),"")</f>
        <v/>
      </c>
      <c r="C2025" s="9">
        <f t="shared" si="31"/>
        <v>0</v>
      </c>
    </row>
    <row r="2026" spans="1:3" x14ac:dyDescent="0.2">
      <c r="A2026" s="10" t="str">
        <f>IF(2018&gt;$C$9008,"",INDEX($B$9:$B$9008,MATCH(2018,$C$9:$C$9008,0)))</f>
        <v/>
      </c>
      <c r="B2026" s="9" t="str">
        <f>IFERROR(INDEX(Input!$L$20:$T$1019,INT((ROW()-9)/9)+1,MOD(ROW()-9,9)+1),"")</f>
        <v/>
      </c>
      <c r="C2026" s="9">
        <f t="shared" si="31"/>
        <v>0</v>
      </c>
    </row>
    <row r="2027" spans="1:3" x14ac:dyDescent="0.2">
      <c r="A2027" s="10" t="str">
        <f>IF(2019&gt;$C$9008,"",INDEX($B$9:$B$9008,MATCH(2019,$C$9:$C$9008,0)))</f>
        <v/>
      </c>
      <c r="B2027" s="9" t="str">
        <f>IFERROR(INDEX(Input!$L$20:$T$1019,INT((ROW()-9)/9)+1,MOD(ROW()-9,9)+1),"")</f>
        <v/>
      </c>
      <c r="C2027" s="9">
        <f t="shared" si="31"/>
        <v>0</v>
      </c>
    </row>
    <row r="2028" spans="1:3" x14ac:dyDescent="0.2">
      <c r="A2028" s="10" t="str">
        <f>IF(2020&gt;$C$9008,"",INDEX($B$9:$B$9008,MATCH(2020,$C$9:$C$9008,0)))</f>
        <v/>
      </c>
      <c r="B2028" s="9" t="str">
        <f>IFERROR(INDEX(Input!$L$20:$T$1019,INT((ROW()-9)/9)+1,MOD(ROW()-9,9)+1),"")</f>
        <v/>
      </c>
      <c r="C2028" s="9">
        <f t="shared" si="31"/>
        <v>0</v>
      </c>
    </row>
    <row r="2029" spans="1:3" x14ac:dyDescent="0.2">
      <c r="A2029" s="10" t="str">
        <f>IF(2021&gt;$C$9008,"",INDEX($B$9:$B$9008,MATCH(2021,$C$9:$C$9008,0)))</f>
        <v/>
      </c>
      <c r="B2029" s="9" t="str">
        <f>IFERROR(INDEX(Input!$L$20:$T$1019,INT((ROW()-9)/9)+1,MOD(ROW()-9,9)+1),"")</f>
        <v/>
      </c>
      <c r="C2029" s="9">
        <f t="shared" si="31"/>
        <v>0</v>
      </c>
    </row>
    <row r="2030" spans="1:3" x14ac:dyDescent="0.2">
      <c r="A2030" s="10" t="str">
        <f>IF(2022&gt;$C$9008,"",INDEX($B$9:$B$9008,MATCH(2022,$C$9:$C$9008,0)))</f>
        <v/>
      </c>
      <c r="B2030" s="9" t="str">
        <f>IFERROR(INDEX(Input!$L$20:$T$1019,INT((ROW()-9)/9)+1,MOD(ROW()-9,9)+1),"")</f>
        <v/>
      </c>
      <c r="C2030" s="9">
        <f t="shared" si="31"/>
        <v>0</v>
      </c>
    </row>
    <row r="2031" spans="1:3" x14ac:dyDescent="0.2">
      <c r="A2031" s="10" t="str">
        <f>IF(2023&gt;$C$9008,"",INDEX($B$9:$B$9008,MATCH(2023,$C$9:$C$9008,0)))</f>
        <v/>
      </c>
      <c r="B2031" s="9" t="str">
        <f>IFERROR(INDEX(Input!$L$20:$T$1019,INT((ROW()-9)/9)+1,MOD(ROW()-9,9)+1),"")</f>
        <v/>
      </c>
      <c r="C2031" s="9">
        <f t="shared" si="31"/>
        <v>0</v>
      </c>
    </row>
    <row r="2032" spans="1:3" x14ac:dyDescent="0.2">
      <c r="A2032" s="10" t="str">
        <f>IF(2024&gt;$C$9008,"",INDEX($B$9:$B$9008,MATCH(2024,$C$9:$C$9008,0)))</f>
        <v/>
      </c>
      <c r="B2032" s="9" t="str">
        <f>IFERROR(INDEX(Input!$L$20:$T$1019,INT((ROW()-9)/9)+1,MOD(ROW()-9,9)+1),"")</f>
        <v/>
      </c>
      <c r="C2032" s="9">
        <f t="shared" si="31"/>
        <v>0</v>
      </c>
    </row>
    <row r="2033" spans="1:3" x14ac:dyDescent="0.2">
      <c r="A2033" s="10" t="str">
        <f>IF(2025&gt;$C$9008,"",INDEX($B$9:$B$9008,MATCH(2025,$C$9:$C$9008,0)))</f>
        <v/>
      </c>
      <c r="B2033" s="9" t="str">
        <f>IFERROR(INDEX(Input!$L$20:$T$1019,INT((ROW()-9)/9)+1,MOD(ROW()-9,9)+1),"")</f>
        <v/>
      </c>
      <c r="C2033" s="9">
        <f t="shared" si="31"/>
        <v>0</v>
      </c>
    </row>
    <row r="2034" spans="1:3" x14ac:dyDescent="0.2">
      <c r="A2034" s="10" t="str">
        <f>IF(2026&gt;$C$9008,"",INDEX($B$9:$B$9008,MATCH(2026,$C$9:$C$9008,0)))</f>
        <v/>
      </c>
      <c r="B2034" s="9" t="str">
        <f>IFERROR(INDEX(Input!$L$20:$T$1019,INT((ROW()-9)/9)+1,MOD(ROW()-9,9)+1),"")</f>
        <v/>
      </c>
      <c r="C2034" s="9">
        <f t="shared" si="31"/>
        <v>0</v>
      </c>
    </row>
    <row r="2035" spans="1:3" x14ac:dyDescent="0.2">
      <c r="A2035" s="10" t="str">
        <f>IF(2027&gt;$C$9008,"",INDEX($B$9:$B$9008,MATCH(2027,$C$9:$C$9008,0)))</f>
        <v/>
      </c>
      <c r="B2035" s="9" t="str">
        <f>IFERROR(INDEX(Input!$L$20:$T$1019,INT((ROW()-9)/9)+1,MOD(ROW()-9,9)+1),"")</f>
        <v/>
      </c>
      <c r="C2035" s="9">
        <f t="shared" si="31"/>
        <v>0</v>
      </c>
    </row>
    <row r="2036" spans="1:3" x14ac:dyDescent="0.2">
      <c r="A2036" s="10" t="str">
        <f>IF(2028&gt;$C$9008,"",INDEX($B$9:$B$9008,MATCH(2028,$C$9:$C$9008,0)))</f>
        <v/>
      </c>
      <c r="B2036" s="9" t="str">
        <f>IFERROR(INDEX(Input!$L$20:$T$1019,INT((ROW()-9)/9)+1,MOD(ROW()-9,9)+1),"")</f>
        <v/>
      </c>
      <c r="C2036" s="9">
        <f t="shared" si="31"/>
        <v>0</v>
      </c>
    </row>
    <row r="2037" spans="1:3" x14ac:dyDescent="0.2">
      <c r="A2037" s="10" t="str">
        <f>IF(2029&gt;$C$9008,"",INDEX($B$9:$B$9008,MATCH(2029,$C$9:$C$9008,0)))</f>
        <v/>
      </c>
      <c r="B2037" s="9" t="str">
        <f>IFERROR(INDEX(Input!$L$20:$T$1019,INT((ROW()-9)/9)+1,MOD(ROW()-9,9)+1),"")</f>
        <v/>
      </c>
      <c r="C2037" s="9">
        <f t="shared" si="31"/>
        <v>0</v>
      </c>
    </row>
    <row r="2038" spans="1:3" x14ac:dyDescent="0.2">
      <c r="A2038" s="10" t="str">
        <f>IF(2030&gt;$C$9008,"",INDEX($B$9:$B$9008,MATCH(2030,$C$9:$C$9008,0)))</f>
        <v/>
      </c>
      <c r="B2038" s="9" t="str">
        <f>IFERROR(INDEX(Input!$L$20:$T$1019,INT((ROW()-9)/9)+1,MOD(ROW()-9,9)+1),"")</f>
        <v/>
      </c>
      <c r="C2038" s="9">
        <f t="shared" si="31"/>
        <v>0</v>
      </c>
    </row>
    <row r="2039" spans="1:3" x14ac:dyDescent="0.2">
      <c r="A2039" s="10" t="str">
        <f>IF(2031&gt;$C$9008,"",INDEX($B$9:$B$9008,MATCH(2031,$C$9:$C$9008,0)))</f>
        <v/>
      </c>
      <c r="B2039" s="9" t="str">
        <f>IFERROR(INDEX(Input!$L$20:$T$1019,INT((ROW()-9)/9)+1,MOD(ROW()-9,9)+1),"")</f>
        <v/>
      </c>
      <c r="C2039" s="9">
        <f t="shared" si="31"/>
        <v>0</v>
      </c>
    </row>
    <row r="2040" spans="1:3" x14ac:dyDescent="0.2">
      <c r="A2040" s="10" t="str">
        <f>IF(2032&gt;$C$9008,"",INDEX($B$9:$B$9008,MATCH(2032,$C$9:$C$9008,0)))</f>
        <v/>
      </c>
      <c r="B2040" s="9" t="str">
        <f>IFERROR(INDEX(Input!$L$20:$T$1019,INT((ROW()-9)/9)+1,MOD(ROW()-9,9)+1),"")</f>
        <v/>
      </c>
      <c r="C2040" s="9">
        <f t="shared" si="31"/>
        <v>0</v>
      </c>
    </row>
    <row r="2041" spans="1:3" x14ac:dyDescent="0.2">
      <c r="A2041" s="10" t="str">
        <f>IF(2033&gt;$C$9008,"",INDEX($B$9:$B$9008,MATCH(2033,$C$9:$C$9008,0)))</f>
        <v/>
      </c>
      <c r="B2041" s="9" t="str">
        <f>IFERROR(INDEX(Input!$L$20:$T$1019,INT((ROW()-9)/9)+1,MOD(ROW()-9,9)+1),"")</f>
        <v/>
      </c>
      <c r="C2041" s="9">
        <f t="shared" si="31"/>
        <v>0</v>
      </c>
    </row>
    <row r="2042" spans="1:3" x14ac:dyDescent="0.2">
      <c r="A2042" s="10" t="str">
        <f>IF(2034&gt;$C$9008,"",INDEX($B$9:$B$9008,MATCH(2034,$C$9:$C$9008,0)))</f>
        <v/>
      </c>
      <c r="B2042" s="9" t="str">
        <f>IFERROR(INDEX(Input!$L$20:$T$1019,INT((ROW()-9)/9)+1,MOD(ROW()-9,9)+1),"")</f>
        <v/>
      </c>
      <c r="C2042" s="9">
        <f t="shared" si="31"/>
        <v>0</v>
      </c>
    </row>
    <row r="2043" spans="1:3" x14ac:dyDescent="0.2">
      <c r="A2043" s="10" t="str">
        <f>IF(2035&gt;$C$9008,"",INDEX($B$9:$B$9008,MATCH(2035,$C$9:$C$9008,0)))</f>
        <v/>
      </c>
      <c r="B2043" s="9" t="str">
        <f>IFERROR(INDEX(Input!$L$20:$T$1019,INT((ROW()-9)/9)+1,MOD(ROW()-9,9)+1),"")</f>
        <v/>
      </c>
      <c r="C2043" s="9">
        <f t="shared" si="31"/>
        <v>0</v>
      </c>
    </row>
    <row r="2044" spans="1:3" x14ac:dyDescent="0.2">
      <c r="A2044" s="10" t="str">
        <f>IF(2036&gt;$C$9008,"",INDEX($B$9:$B$9008,MATCH(2036,$C$9:$C$9008,0)))</f>
        <v/>
      </c>
      <c r="B2044" s="9" t="str">
        <f>IFERROR(INDEX(Input!$L$20:$T$1019,INT((ROW()-9)/9)+1,MOD(ROW()-9,9)+1),"")</f>
        <v/>
      </c>
      <c r="C2044" s="9">
        <f t="shared" si="31"/>
        <v>0</v>
      </c>
    </row>
    <row r="2045" spans="1:3" x14ac:dyDescent="0.2">
      <c r="A2045" s="10" t="str">
        <f>IF(2037&gt;$C$9008,"",INDEX($B$9:$B$9008,MATCH(2037,$C$9:$C$9008,0)))</f>
        <v/>
      </c>
      <c r="B2045" s="9" t="str">
        <f>IFERROR(INDEX(Input!$L$20:$T$1019,INT((ROW()-9)/9)+1,MOD(ROW()-9,9)+1),"")</f>
        <v/>
      </c>
      <c r="C2045" s="9">
        <f t="shared" si="31"/>
        <v>0</v>
      </c>
    </row>
    <row r="2046" spans="1:3" x14ac:dyDescent="0.2">
      <c r="A2046" s="10" t="str">
        <f>IF(2038&gt;$C$9008,"",INDEX($B$9:$B$9008,MATCH(2038,$C$9:$C$9008,0)))</f>
        <v/>
      </c>
      <c r="B2046" s="9" t="str">
        <f>IFERROR(INDEX(Input!$L$20:$T$1019,INT((ROW()-9)/9)+1,MOD(ROW()-9,9)+1),"")</f>
        <v/>
      </c>
      <c r="C2046" s="9">
        <f t="shared" si="31"/>
        <v>0</v>
      </c>
    </row>
    <row r="2047" spans="1:3" x14ac:dyDescent="0.2">
      <c r="A2047" s="10" t="str">
        <f>IF(2039&gt;$C$9008,"",INDEX($B$9:$B$9008,MATCH(2039,$C$9:$C$9008,0)))</f>
        <v/>
      </c>
      <c r="B2047" s="9" t="str">
        <f>IFERROR(INDEX(Input!$L$20:$T$1019,INT((ROW()-9)/9)+1,MOD(ROW()-9,9)+1),"")</f>
        <v/>
      </c>
      <c r="C2047" s="9">
        <f t="shared" si="31"/>
        <v>0</v>
      </c>
    </row>
    <row r="2048" spans="1:3" x14ac:dyDescent="0.2">
      <c r="A2048" s="10" t="str">
        <f>IF(2040&gt;$C$9008,"",INDEX($B$9:$B$9008,MATCH(2040,$C$9:$C$9008,0)))</f>
        <v/>
      </c>
      <c r="B2048" s="9" t="str">
        <f>IFERROR(INDEX(Input!$L$20:$T$1019,INT((ROW()-9)/9)+1,MOD(ROW()-9,9)+1),"")</f>
        <v/>
      </c>
      <c r="C2048" s="9">
        <f t="shared" si="31"/>
        <v>0</v>
      </c>
    </row>
    <row r="2049" spans="1:3" x14ac:dyDescent="0.2">
      <c r="A2049" s="10" t="str">
        <f>IF(2041&gt;$C$9008,"",INDEX($B$9:$B$9008,MATCH(2041,$C$9:$C$9008,0)))</f>
        <v/>
      </c>
      <c r="B2049" s="9" t="str">
        <f>IFERROR(INDEX(Input!$L$20:$T$1019,INT((ROW()-9)/9)+1,MOD(ROW()-9,9)+1),"")</f>
        <v/>
      </c>
      <c r="C2049" s="9">
        <f t="shared" si="31"/>
        <v>0</v>
      </c>
    </row>
    <row r="2050" spans="1:3" x14ac:dyDescent="0.2">
      <c r="A2050" s="10" t="str">
        <f>IF(2042&gt;$C$9008,"",INDEX($B$9:$B$9008,MATCH(2042,$C$9:$C$9008,0)))</f>
        <v/>
      </c>
      <c r="B2050" s="9" t="str">
        <f>IFERROR(INDEX(Input!$L$20:$T$1019,INT((ROW()-9)/9)+1,MOD(ROW()-9,9)+1),"")</f>
        <v/>
      </c>
      <c r="C2050" s="9">
        <f t="shared" si="31"/>
        <v>0</v>
      </c>
    </row>
    <row r="2051" spans="1:3" x14ac:dyDescent="0.2">
      <c r="A2051" s="10" t="str">
        <f>IF(2043&gt;$C$9008,"",INDEX($B$9:$B$9008,MATCH(2043,$C$9:$C$9008,0)))</f>
        <v/>
      </c>
      <c r="B2051" s="9" t="str">
        <f>IFERROR(INDEX(Input!$L$20:$T$1019,INT((ROW()-9)/9)+1,MOD(ROW()-9,9)+1),"")</f>
        <v/>
      </c>
      <c r="C2051" s="9">
        <f t="shared" si="31"/>
        <v>0</v>
      </c>
    </row>
    <row r="2052" spans="1:3" x14ac:dyDescent="0.2">
      <c r="A2052" s="10" t="str">
        <f>IF(2044&gt;$C$9008,"",INDEX($B$9:$B$9008,MATCH(2044,$C$9:$C$9008,0)))</f>
        <v/>
      </c>
      <c r="B2052" s="9" t="str">
        <f>IFERROR(INDEX(Input!$L$20:$T$1019,INT((ROW()-9)/9)+1,MOD(ROW()-9,9)+1),"")</f>
        <v/>
      </c>
      <c r="C2052" s="9">
        <f t="shared" si="31"/>
        <v>0</v>
      </c>
    </row>
    <row r="2053" spans="1:3" x14ac:dyDescent="0.2">
      <c r="A2053" s="10" t="str">
        <f>IF(2045&gt;$C$9008,"",INDEX($B$9:$B$9008,MATCH(2045,$C$9:$C$9008,0)))</f>
        <v/>
      </c>
      <c r="B2053" s="9" t="str">
        <f>IFERROR(INDEX(Input!$L$20:$T$1019,INT((ROW()-9)/9)+1,MOD(ROW()-9,9)+1),"")</f>
        <v/>
      </c>
      <c r="C2053" s="9">
        <f t="shared" si="31"/>
        <v>0</v>
      </c>
    </row>
    <row r="2054" spans="1:3" x14ac:dyDescent="0.2">
      <c r="A2054" s="10" t="str">
        <f>IF(2046&gt;$C$9008,"",INDEX($B$9:$B$9008,MATCH(2046,$C$9:$C$9008,0)))</f>
        <v/>
      </c>
      <c r="B2054" s="9" t="str">
        <f>IFERROR(INDEX(Input!$L$20:$T$1019,INT((ROW()-9)/9)+1,MOD(ROW()-9,9)+1),"")</f>
        <v/>
      </c>
      <c r="C2054" s="9">
        <f t="shared" si="31"/>
        <v>0</v>
      </c>
    </row>
    <row r="2055" spans="1:3" x14ac:dyDescent="0.2">
      <c r="A2055" s="10" t="str">
        <f>IF(2047&gt;$C$9008,"",INDEX($B$9:$B$9008,MATCH(2047,$C$9:$C$9008,0)))</f>
        <v/>
      </c>
      <c r="B2055" s="9" t="str">
        <f>IFERROR(INDEX(Input!$L$20:$T$1019,INT((ROW()-9)/9)+1,MOD(ROW()-9,9)+1),"")</f>
        <v/>
      </c>
      <c r="C2055" s="9">
        <f t="shared" si="31"/>
        <v>0</v>
      </c>
    </row>
    <row r="2056" spans="1:3" x14ac:dyDescent="0.2">
      <c r="A2056" s="10" t="str">
        <f>IF(2048&gt;$C$9008,"",INDEX($B$9:$B$9008,MATCH(2048,$C$9:$C$9008,0)))</f>
        <v/>
      </c>
      <c r="B2056" s="9" t="str">
        <f>IFERROR(INDEX(Input!$L$20:$T$1019,INT((ROW()-9)/9)+1,MOD(ROW()-9,9)+1),"")</f>
        <v/>
      </c>
      <c r="C2056" s="9">
        <f t="shared" si="31"/>
        <v>0</v>
      </c>
    </row>
    <row r="2057" spans="1:3" x14ac:dyDescent="0.2">
      <c r="A2057" s="10" t="str">
        <f>IF(2049&gt;$C$9008,"",INDEX($B$9:$B$9008,MATCH(2049,$C$9:$C$9008,0)))</f>
        <v/>
      </c>
      <c r="B2057" s="9" t="str">
        <f>IFERROR(INDEX(Input!$L$20:$T$1019,INT((ROW()-9)/9)+1,MOD(ROW()-9,9)+1),"")</f>
        <v/>
      </c>
      <c r="C2057" s="9">
        <f t="shared" ref="C2057:C2120" si="32">$C2056+IF($B2057&lt;&gt;"",1,0)</f>
        <v>0</v>
      </c>
    </row>
    <row r="2058" spans="1:3" x14ac:dyDescent="0.2">
      <c r="A2058" s="10" t="str">
        <f>IF(2050&gt;$C$9008,"",INDEX($B$9:$B$9008,MATCH(2050,$C$9:$C$9008,0)))</f>
        <v/>
      </c>
      <c r="B2058" s="9" t="str">
        <f>IFERROR(INDEX(Input!$L$20:$T$1019,INT((ROW()-9)/9)+1,MOD(ROW()-9,9)+1),"")</f>
        <v/>
      </c>
      <c r="C2058" s="9">
        <f t="shared" si="32"/>
        <v>0</v>
      </c>
    </row>
    <row r="2059" spans="1:3" x14ac:dyDescent="0.2">
      <c r="A2059" s="10" t="str">
        <f>IF(2051&gt;$C$9008,"",INDEX($B$9:$B$9008,MATCH(2051,$C$9:$C$9008,0)))</f>
        <v/>
      </c>
      <c r="B2059" s="9" t="str">
        <f>IFERROR(INDEX(Input!$L$20:$T$1019,INT((ROW()-9)/9)+1,MOD(ROW()-9,9)+1),"")</f>
        <v/>
      </c>
      <c r="C2059" s="9">
        <f t="shared" si="32"/>
        <v>0</v>
      </c>
    </row>
    <row r="2060" spans="1:3" x14ac:dyDescent="0.2">
      <c r="A2060" s="10" t="str">
        <f>IF(2052&gt;$C$9008,"",INDEX($B$9:$B$9008,MATCH(2052,$C$9:$C$9008,0)))</f>
        <v/>
      </c>
      <c r="B2060" s="9" t="str">
        <f>IFERROR(INDEX(Input!$L$20:$T$1019,INT((ROW()-9)/9)+1,MOD(ROW()-9,9)+1),"")</f>
        <v/>
      </c>
      <c r="C2060" s="9">
        <f t="shared" si="32"/>
        <v>0</v>
      </c>
    </row>
    <row r="2061" spans="1:3" x14ac:dyDescent="0.2">
      <c r="A2061" s="10" t="str">
        <f>IF(2053&gt;$C$9008,"",INDEX($B$9:$B$9008,MATCH(2053,$C$9:$C$9008,0)))</f>
        <v/>
      </c>
      <c r="B2061" s="9" t="str">
        <f>IFERROR(INDEX(Input!$L$20:$T$1019,INT((ROW()-9)/9)+1,MOD(ROW()-9,9)+1),"")</f>
        <v/>
      </c>
      <c r="C2061" s="9">
        <f t="shared" si="32"/>
        <v>0</v>
      </c>
    </row>
    <row r="2062" spans="1:3" x14ac:dyDescent="0.2">
      <c r="A2062" s="10" t="str">
        <f>IF(2054&gt;$C$9008,"",INDEX($B$9:$B$9008,MATCH(2054,$C$9:$C$9008,0)))</f>
        <v/>
      </c>
      <c r="B2062" s="9" t="str">
        <f>IFERROR(INDEX(Input!$L$20:$T$1019,INT((ROW()-9)/9)+1,MOD(ROW()-9,9)+1),"")</f>
        <v/>
      </c>
      <c r="C2062" s="9">
        <f t="shared" si="32"/>
        <v>0</v>
      </c>
    </row>
    <row r="2063" spans="1:3" x14ac:dyDescent="0.2">
      <c r="A2063" s="10" t="str">
        <f>IF(2055&gt;$C$9008,"",INDEX($B$9:$B$9008,MATCH(2055,$C$9:$C$9008,0)))</f>
        <v/>
      </c>
      <c r="B2063" s="9" t="str">
        <f>IFERROR(INDEX(Input!$L$20:$T$1019,INT((ROW()-9)/9)+1,MOD(ROW()-9,9)+1),"")</f>
        <v/>
      </c>
      <c r="C2063" s="9">
        <f t="shared" si="32"/>
        <v>0</v>
      </c>
    </row>
    <row r="2064" spans="1:3" x14ac:dyDescent="0.2">
      <c r="A2064" s="10" t="str">
        <f>IF(2056&gt;$C$9008,"",INDEX($B$9:$B$9008,MATCH(2056,$C$9:$C$9008,0)))</f>
        <v/>
      </c>
      <c r="B2064" s="9" t="str">
        <f>IFERROR(INDEX(Input!$L$20:$T$1019,INT((ROW()-9)/9)+1,MOD(ROW()-9,9)+1),"")</f>
        <v/>
      </c>
      <c r="C2064" s="9">
        <f t="shared" si="32"/>
        <v>0</v>
      </c>
    </row>
    <row r="2065" spans="1:3" x14ac:dyDescent="0.2">
      <c r="A2065" s="10" t="str">
        <f>IF(2057&gt;$C$9008,"",INDEX($B$9:$B$9008,MATCH(2057,$C$9:$C$9008,0)))</f>
        <v/>
      </c>
      <c r="B2065" s="9" t="str">
        <f>IFERROR(INDEX(Input!$L$20:$T$1019,INT((ROW()-9)/9)+1,MOD(ROW()-9,9)+1),"")</f>
        <v/>
      </c>
      <c r="C2065" s="9">
        <f t="shared" si="32"/>
        <v>0</v>
      </c>
    </row>
    <row r="2066" spans="1:3" x14ac:dyDescent="0.2">
      <c r="A2066" s="10" t="str">
        <f>IF(2058&gt;$C$9008,"",INDEX($B$9:$B$9008,MATCH(2058,$C$9:$C$9008,0)))</f>
        <v/>
      </c>
      <c r="B2066" s="9" t="str">
        <f>IFERROR(INDEX(Input!$L$20:$T$1019,INT((ROW()-9)/9)+1,MOD(ROW()-9,9)+1),"")</f>
        <v/>
      </c>
      <c r="C2066" s="9">
        <f t="shared" si="32"/>
        <v>0</v>
      </c>
    </row>
    <row r="2067" spans="1:3" x14ac:dyDescent="0.2">
      <c r="A2067" s="10" t="str">
        <f>IF(2059&gt;$C$9008,"",INDEX($B$9:$B$9008,MATCH(2059,$C$9:$C$9008,0)))</f>
        <v/>
      </c>
      <c r="B2067" s="9" t="str">
        <f>IFERROR(INDEX(Input!$L$20:$T$1019,INT((ROW()-9)/9)+1,MOD(ROW()-9,9)+1),"")</f>
        <v/>
      </c>
      <c r="C2067" s="9">
        <f t="shared" si="32"/>
        <v>0</v>
      </c>
    </row>
    <row r="2068" spans="1:3" x14ac:dyDescent="0.2">
      <c r="A2068" s="10" t="str">
        <f>IF(2060&gt;$C$9008,"",INDEX($B$9:$B$9008,MATCH(2060,$C$9:$C$9008,0)))</f>
        <v/>
      </c>
      <c r="B2068" s="9" t="str">
        <f>IFERROR(INDEX(Input!$L$20:$T$1019,INT((ROW()-9)/9)+1,MOD(ROW()-9,9)+1),"")</f>
        <v/>
      </c>
      <c r="C2068" s="9">
        <f t="shared" si="32"/>
        <v>0</v>
      </c>
    </row>
    <row r="2069" spans="1:3" x14ac:dyDescent="0.2">
      <c r="A2069" s="10" t="str">
        <f>IF(2061&gt;$C$9008,"",INDEX($B$9:$B$9008,MATCH(2061,$C$9:$C$9008,0)))</f>
        <v/>
      </c>
      <c r="B2069" s="9" t="str">
        <f>IFERROR(INDEX(Input!$L$20:$T$1019,INT((ROW()-9)/9)+1,MOD(ROW()-9,9)+1),"")</f>
        <v/>
      </c>
      <c r="C2069" s="9">
        <f t="shared" si="32"/>
        <v>0</v>
      </c>
    </row>
    <row r="2070" spans="1:3" x14ac:dyDescent="0.2">
      <c r="A2070" s="10" t="str">
        <f>IF(2062&gt;$C$9008,"",INDEX($B$9:$B$9008,MATCH(2062,$C$9:$C$9008,0)))</f>
        <v/>
      </c>
      <c r="B2070" s="9" t="str">
        <f>IFERROR(INDEX(Input!$L$20:$T$1019,INT((ROW()-9)/9)+1,MOD(ROW()-9,9)+1),"")</f>
        <v/>
      </c>
      <c r="C2070" s="9">
        <f t="shared" si="32"/>
        <v>0</v>
      </c>
    </row>
    <row r="2071" spans="1:3" x14ac:dyDescent="0.2">
      <c r="A2071" s="10" t="str">
        <f>IF(2063&gt;$C$9008,"",INDEX($B$9:$B$9008,MATCH(2063,$C$9:$C$9008,0)))</f>
        <v/>
      </c>
      <c r="B2071" s="9" t="str">
        <f>IFERROR(INDEX(Input!$L$20:$T$1019,INT((ROW()-9)/9)+1,MOD(ROW()-9,9)+1),"")</f>
        <v/>
      </c>
      <c r="C2071" s="9">
        <f t="shared" si="32"/>
        <v>0</v>
      </c>
    </row>
    <row r="2072" spans="1:3" x14ac:dyDescent="0.2">
      <c r="A2072" s="10" t="str">
        <f>IF(2064&gt;$C$9008,"",INDEX($B$9:$B$9008,MATCH(2064,$C$9:$C$9008,0)))</f>
        <v/>
      </c>
      <c r="B2072" s="9" t="str">
        <f>IFERROR(INDEX(Input!$L$20:$T$1019,INT((ROW()-9)/9)+1,MOD(ROW()-9,9)+1),"")</f>
        <v/>
      </c>
      <c r="C2072" s="9">
        <f t="shared" si="32"/>
        <v>0</v>
      </c>
    </row>
    <row r="2073" spans="1:3" x14ac:dyDescent="0.2">
      <c r="A2073" s="10" t="str">
        <f>IF(2065&gt;$C$9008,"",INDEX($B$9:$B$9008,MATCH(2065,$C$9:$C$9008,0)))</f>
        <v/>
      </c>
      <c r="B2073" s="9" t="str">
        <f>IFERROR(INDEX(Input!$L$20:$T$1019,INT((ROW()-9)/9)+1,MOD(ROW()-9,9)+1),"")</f>
        <v/>
      </c>
      <c r="C2073" s="9">
        <f t="shared" si="32"/>
        <v>0</v>
      </c>
    </row>
    <row r="2074" spans="1:3" x14ac:dyDescent="0.2">
      <c r="A2074" s="10" t="str">
        <f>IF(2066&gt;$C$9008,"",INDEX($B$9:$B$9008,MATCH(2066,$C$9:$C$9008,0)))</f>
        <v/>
      </c>
      <c r="B2074" s="9" t="str">
        <f>IFERROR(INDEX(Input!$L$20:$T$1019,INT((ROW()-9)/9)+1,MOD(ROW()-9,9)+1),"")</f>
        <v/>
      </c>
      <c r="C2074" s="9">
        <f t="shared" si="32"/>
        <v>0</v>
      </c>
    </row>
    <row r="2075" spans="1:3" x14ac:dyDescent="0.2">
      <c r="A2075" s="10" t="str">
        <f>IF(2067&gt;$C$9008,"",INDEX($B$9:$B$9008,MATCH(2067,$C$9:$C$9008,0)))</f>
        <v/>
      </c>
      <c r="B2075" s="9" t="str">
        <f>IFERROR(INDEX(Input!$L$20:$T$1019,INT((ROW()-9)/9)+1,MOD(ROW()-9,9)+1),"")</f>
        <v/>
      </c>
      <c r="C2075" s="9">
        <f t="shared" si="32"/>
        <v>0</v>
      </c>
    </row>
    <row r="2076" spans="1:3" x14ac:dyDescent="0.2">
      <c r="A2076" s="10" t="str">
        <f>IF(2068&gt;$C$9008,"",INDEX($B$9:$B$9008,MATCH(2068,$C$9:$C$9008,0)))</f>
        <v/>
      </c>
      <c r="B2076" s="9" t="str">
        <f>IFERROR(INDEX(Input!$L$20:$T$1019,INT((ROW()-9)/9)+1,MOD(ROW()-9,9)+1),"")</f>
        <v/>
      </c>
      <c r="C2076" s="9">
        <f t="shared" si="32"/>
        <v>0</v>
      </c>
    </row>
    <row r="2077" spans="1:3" x14ac:dyDescent="0.2">
      <c r="A2077" s="10" t="str">
        <f>IF(2069&gt;$C$9008,"",INDEX($B$9:$B$9008,MATCH(2069,$C$9:$C$9008,0)))</f>
        <v/>
      </c>
      <c r="B2077" s="9" t="str">
        <f>IFERROR(INDEX(Input!$L$20:$T$1019,INT((ROW()-9)/9)+1,MOD(ROW()-9,9)+1),"")</f>
        <v/>
      </c>
      <c r="C2077" s="9">
        <f t="shared" si="32"/>
        <v>0</v>
      </c>
    </row>
    <row r="2078" spans="1:3" x14ac:dyDescent="0.2">
      <c r="A2078" s="10" t="str">
        <f>IF(2070&gt;$C$9008,"",INDEX($B$9:$B$9008,MATCH(2070,$C$9:$C$9008,0)))</f>
        <v/>
      </c>
      <c r="B2078" s="9" t="str">
        <f>IFERROR(INDEX(Input!$L$20:$T$1019,INT((ROW()-9)/9)+1,MOD(ROW()-9,9)+1),"")</f>
        <v/>
      </c>
      <c r="C2078" s="9">
        <f t="shared" si="32"/>
        <v>0</v>
      </c>
    </row>
    <row r="2079" spans="1:3" x14ac:dyDescent="0.2">
      <c r="A2079" s="10" t="str">
        <f>IF(2071&gt;$C$9008,"",INDEX($B$9:$B$9008,MATCH(2071,$C$9:$C$9008,0)))</f>
        <v/>
      </c>
      <c r="B2079" s="9" t="str">
        <f>IFERROR(INDEX(Input!$L$20:$T$1019,INT((ROW()-9)/9)+1,MOD(ROW()-9,9)+1),"")</f>
        <v/>
      </c>
      <c r="C2079" s="9">
        <f t="shared" si="32"/>
        <v>0</v>
      </c>
    </row>
    <row r="2080" spans="1:3" x14ac:dyDescent="0.2">
      <c r="A2080" s="10" t="str">
        <f>IF(2072&gt;$C$9008,"",INDEX($B$9:$B$9008,MATCH(2072,$C$9:$C$9008,0)))</f>
        <v/>
      </c>
      <c r="B2080" s="9" t="str">
        <f>IFERROR(INDEX(Input!$L$20:$T$1019,INT((ROW()-9)/9)+1,MOD(ROW()-9,9)+1),"")</f>
        <v/>
      </c>
      <c r="C2080" s="9">
        <f t="shared" si="32"/>
        <v>0</v>
      </c>
    </row>
    <row r="2081" spans="1:3" x14ac:dyDescent="0.2">
      <c r="A2081" s="10" t="str">
        <f>IF(2073&gt;$C$9008,"",INDEX($B$9:$B$9008,MATCH(2073,$C$9:$C$9008,0)))</f>
        <v/>
      </c>
      <c r="B2081" s="9" t="str">
        <f>IFERROR(INDEX(Input!$L$20:$T$1019,INT((ROW()-9)/9)+1,MOD(ROW()-9,9)+1),"")</f>
        <v/>
      </c>
      <c r="C2081" s="9">
        <f t="shared" si="32"/>
        <v>0</v>
      </c>
    </row>
    <row r="2082" spans="1:3" x14ac:dyDescent="0.2">
      <c r="A2082" s="10" t="str">
        <f>IF(2074&gt;$C$9008,"",INDEX($B$9:$B$9008,MATCH(2074,$C$9:$C$9008,0)))</f>
        <v/>
      </c>
      <c r="B2082" s="9" t="str">
        <f>IFERROR(INDEX(Input!$L$20:$T$1019,INT((ROW()-9)/9)+1,MOD(ROW()-9,9)+1),"")</f>
        <v/>
      </c>
      <c r="C2082" s="9">
        <f t="shared" si="32"/>
        <v>0</v>
      </c>
    </row>
    <row r="2083" spans="1:3" x14ac:dyDescent="0.2">
      <c r="A2083" s="10" t="str">
        <f>IF(2075&gt;$C$9008,"",INDEX($B$9:$B$9008,MATCH(2075,$C$9:$C$9008,0)))</f>
        <v/>
      </c>
      <c r="B2083" s="9" t="str">
        <f>IFERROR(INDEX(Input!$L$20:$T$1019,INT((ROW()-9)/9)+1,MOD(ROW()-9,9)+1),"")</f>
        <v/>
      </c>
      <c r="C2083" s="9">
        <f t="shared" si="32"/>
        <v>0</v>
      </c>
    </row>
    <row r="2084" spans="1:3" x14ac:dyDescent="0.2">
      <c r="A2084" s="10" t="str">
        <f>IF(2076&gt;$C$9008,"",INDEX($B$9:$B$9008,MATCH(2076,$C$9:$C$9008,0)))</f>
        <v/>
      </c>
      <c r="B2084" s="9" t="str">
        <f>IFERROR(INDEX(Input!$L$20:$T$1019,INT((ROW()-9)/9)+1,MOD(ROW()-9,9)+1),"")</f>
        <v/>
      </c>
      <c r="C2084" s="9">
        <f t="shared" si="32"/>
        <v>0</v>
      </c>
    </row>
    <row r="2085" spans="1:3" x14ac:dyDescent="0.2">
      <c r="A2085" s="10" t="str">
        <f>IF(2077&gt;$C$9008,"",INDEX($B$9:$B$9008,MATCH(2077,$C$9:$C$9008,0)))</f>
        <v/>
      </c>
      <c r="B2085" s="9" t="str">
        <f>IFERROR(INDEX(Input!$L$20:$T$1019,INT((ROW()-9)/9)+1,MOD(ROW()-9,9)+1),"")</f>
        <v/>
      </c>
      <c r="C2085" s="9">
        <f t="shared" si="32"/>
        <v>0</v>
      </c>
    </row>
    <row r="2086" spans="1:3" x14ac:dyDescent="0.2">
      <c r="A2086" s="10" t="str">
        <f>IF(2078&gt;$C$9008,"",INDEX($B$9:$B$9008,MATCH(2078,$C$9:$C$9008,0)))</f>
        <v/>
      </c>
      <c r="B2086" s="9" t="str">
        <f>IFERROR(INDEX(Input!$L$20:$T$1019,INT((ROW()-9)/9)+1,MOD(ROW()-9,9)+1),"")</f>
        <v/>
      </c>
      <c r="C2086" s="9">
        <f t="shared" si="32"/>
        <v>0</v>
      </c>
    </row>
    <row r="2087" spans="1:3" x14ac:dyDescent="0.2">
      <c r="A2087" s="10" t="str">
        <f>IF(2079&gt;$C$9008,"",INDEX($B$9:$B$9008,MATCH(2079,$C$9:$C$9008,0)))</f>
        <v/>
      </c>
      <c r="B2087" s="9" t="str">
        <f>IFERROR(INDEX(Input!$L$20:$T$1019,INT((ROW()-9)/9)+1,MOD(ROW()-9,9)+1),"")</f>
        <v/>
      </c>
      <c r="C2087" s="9">
        <f t="shared" si="32"/>
        <v>0</v>
      </c>
    </row>
    <row r="2088" spans="1:3" x14ac:dyDescent="0.2">
      <c r="A2088" s="10" t="str">
        <f>IF(2080&gt;$C$9008,"",INDEX($B$9:$B$9008,MATCH(2080,$C$9:$C$9008,0)))</f>
        <v/>
      </c>
      <c r="B2088" s="9" t="str">
        <f>IFERROR(INDEX(Input!$L$20:$T$1019,INT((ROW()-9)/9)+1,MOD(ROW()-9,9)+1),"")</f>
        <v/>
      </c>
      <c r="C2088" s="9">
        <f t="shared" si="32"/>
        <v>0</v>
      </c>
    </row>
    <row r="2089" spans="1:3" x14ac:dyDescent="0.2">
      <c r="A2089" s="10" t="str">
        <f>IF(2081&gt;$C$9008,"",INDEX($B$9:$B$9008,MATCH(2081,$C$9:$C$9008,0)))</f>
        <v/>
      </c>
      <c r="B2089" s="9" t="str">
        <f>IFERROR(INDEX(Input!$L$20:$T$1019,INT((ROW()-9)/9)+1,MOD(ROW()-9,9)+1),"")</f>
        <v/>
      </c>
      <c r="C2089" s="9">
        <f t="shared" si="32"/>
        <v>0</v>
      </c>
    </row>
    <row r="2090" spans="1:3" x14ac:dyDescent="0.2">
      <c r="A2090" s="10" t="str">
        <f>IF(2082&gt;$C$9008,"",INDEX($B$9:$B$9008,MATCH(2082,$C$9:$C$9008,0)))</f>
        <v/>
      </c>
      <c r="B2090" s="9" t="str">
        <f>IFERROR(INDEX(Input!$L$20:$T$1019,INT((ROW()-9)/9)+1,MOD(ROW()-9,9)+1),"")</f>
        <v/>
      </c>
      <c r="C2090" s="9">
        <f t="shared" si="32"/>
        <v>0</v>
      </c>
    </row>
    <row r="2091" spans="1:3" x14ac:dyDescent="0.2">
      <c r="A2091" s="10" t="str">
        <f>IF(2083&gt;$C$9008,"",INDEX($B$9:$B$9008,MATCH(2083,$C$9:$C$9008,0)))</f>
        <v/>
      </c>
      <c r="B2091" s="9" t="str">
        <f>IFERROR(INDEX(Input!$L$20:$T$1019,INT((ROW()-9)/9)+1,MOD(ROW()-9,9)+1),"")</f>
        <v/>
      </c>
      <c r="C2091" s="9">
        <f t="shared" si="32"/>
        <v>0</v>
      </c>
    </row>
    <row r="2092" spans="1:3" x14ac:dyDescent="0.2">
      <c r="A2092" s="10" t="str">
        <f>IF(2084&gt;$C$9008,"",INDEX($B$9:$B$9008,MATCH(2084,$C$9:$C$9008,0)))</f>
        <v/>
      </c>
      <c r="B2092" s="9" t="str">
        <f>IFERROR(INDEX(Input!$L$20:$T$1019,INT((ROW()-9)/9)+1,MOD(ROW()-9,9)+1),"")</f>
        <v/>
      </c>
      <c r="C2092" s="9">
        <f t="shared" si="32"/>
        <v>0</v>
      </c>
    </row>
    <row r="2093" spans="1:3" x14ac:dyDescent="0.2">
      <c r="A2093" s="10" t="str">
        <f>IF(2085&gt;$C$9008,"",INDEX($B$9:$B$9008,MATCH(2085,$C$9:$C$9008,0)))</f>
        <v/>
      </c>
      <c r="B2093" s="9" t="str">
        <f>IFERROR(INDEX(Input!$L$20:$T$1019,INT((ROW()-9)/9)+1,MOD(ROW()-9,9)+1),"")</f>
        <v/>
      </c>
      <c r="C2093" s="9">
        <f t="shared" si="32"/>
        <v>0</v>
      </c>
    </row>
    <row r="2094" spans="1:3" x14ac:dyDescent="0.2">
      <c r="A2094" s="10" t="str">
        <f>IF(2086&gt;$C$9008,"",INDEX($B$9:$B$9008,MATCH(2086,$C$9:$C$9008,0)))</f>
        <v/>
      </c>
      <c r="B2094" s="9" t="str">
        <f>IFERROR(INDEX(Input!$L$20:$T$1019,INT((ROW()-9)/9)+1,MOD(ROW()-9,9)+1),"")</f>
        <v/>
      </c>
      <c r="C2094" s="9">
        <f t="shared" si="32"/>
        <v>0</v>
      </c>
    </row>
    <row r="2095" spans="1:3" x14ac:dyDescent="0.2">
      <c r="A2095" s="10" t="str">
        <f>IF(2087&gt;$C$9008,"",INDEX($B$9:$B$9008,MATCH(2087,$C$9:$C$9008,0)))</f>
        <v/>
      </c>
      <c r="B2095" s="9" t="str">
        <f>IFERROR(INDEX(Input!$L$20:$T$1019,INT((ROW()-9)/9)+1,MOD(ROW()-9,9)+1),"")</f>
        <v/>
      </c>
      <c r="C2095" s="9">
        <f t="shared" si="32"/>
        <v>0</v>
      </c>
    </row>
    <row r="2096" spans="1:3" x14ac:dyDescent="0.2">
      <c r="A2096" s="10" t="str">
        <f>IF(2088&gt;$C$9008,"",INDEX($B$9:$B$9008,MATCH(2088,$C$9:$C$9008,0)))</f>
        <v/>
      </c>
      <c r="B2096" s="9" t="str">
        <f>IFERROR(INDEX(Input!$L$20:$T$1019,INT((ROW()-9)/9)+1,MOD(ROW()-9,9)+1),"")</f>
        <v/>
      </c>
      <c r="C2096" s="9">
        <f t="shared" si="32"/>
        <v>0</v>
      </c>
    </row>
    <row r="2097" spans="1:3" x14ac:dyDescent="0.2">
      <c r="A2097" s="10" t="str">
        <f>IF(2089&gt;$C$9008,"",INDEX($B$9:$B$9008,MATCH(2089,$C$9:$C$9008,0)))</f>
        <v/>
      </c>
      <c r="B2097" s="9" t="str">
        <f>IFERROR(INDEX(Input!$L$20:$T$1019,INT((ROW()-9)/9)+1,MOD(ROW()-9,9)+1),"")</f>
        <v/>
      </c>
      <c r="C2097" s="9">
        <f t="shared" si="32"/>
        <v>0</v>
      </c>
    </row>
    <row r="2098" spans="1:3" x14ac:dyDescent="0.2">
      <c r="A2098" s="10" t="str">
        <f>IF(2090&gt;$C$9008,"",INDEX($B$9:$B$9008,MATCH(2090,$C$9:$C$9008,0)))</f>
        <v/>
      </c>
      <c r="B2098" s="9" t="str">
        <f>IFERROR(INDEX(Input!$L$20:$T$1019,INT((ROW()-9)/9)+1,MOD(ROW()-9,9)+1),"")</f>
        <v/>
      </c>
      <c r="C2098" s="9">
        <f t="shared" si="32"/>
        <v>0</v>
      </c>
    </row>
    <row r="2099" spans="1:3" x14ac:dyDescent="0.2">
      <c r="A2099" s="10" t="str">
        <f>IF(2091&gt;$C$9008,"",INDEX($B$9:$B$9008,MATCH(2091,$C$9:$C$9008,0)))</f>
        <v/>
      </c>
      <c r="B2099" s="9" t="str">
        <f>IFERROR(INDEX(Input!$L$20:$T$1019,INT((ROW()-9)/9)+1,MOD(ROW()-9,9)+1),"")</f>
        <v/>
      </c>
      <c r="C2099" s="9">
        <f t="shared" si="32"/>
        <v>0</v>
      </c>
    </row>
    <row r="2100" spans="1:3" x14ac:dyDescent="0.2">
      <c r="A2100" s="10" t="str">
        <f>IF(2092&gt;$C$9008,"",INDEX($B$9:$B$9008,MATCH(2092,$C$9:$C$9008,0)))</f>
        <v/>
      </c>
      <c r="B2100" s="9" t="str">
        <f>IFERROR(INDEX(Input!$L$20:$T$1019,INT((ROW()-9)/9)+1,MOD(ROW()-9,9)+1),"")</f>
        <v/>
      </c>
      <c r="C2100" s="9">
        <f t="shared" si="32"/>
        <v>0</v>
      </c>
    </row>
    <row r="2101" spans="1:3" x14ac:dyDescent="0.2">
      <c r="A2101" s="10" t="str">
        <f>IF(2093&gt;$C$9008,"",INDEX($B$9:$B$9008,MATCH(2093,$C$9:$C$9008,0)))</f>
        <v/>
      </c>
      <c r="B2101" s="9" t="str">
        <f>IFERROR(INDEX(Input!$L$20:$T$1019,INT((ROW()-9)/9)+1,MOD(ROW()-9,9)+1),"")</f>
        <v/>
      </c>
      <c r="C2101" s="9">
        <f t="shared" si="32"/>
        <v>0</v>
      </c>
    </row>
    <row r="2102" spans="1:3" x14ac:dyDescent="0.2">
      <c r="A2102" s="10" t="str">
        <f>IF(2094&gt;$C$9008,"",INDEX($B$9:$B$9008,MATCH(2094,$C$9:$C$9008,0)))</f>
        <v/>
      </c>
      <c r="B2102" s="9" t="str">
        <f>IFERROR(INDEX(Input!$L$20:$T$1019,INT((ROW()-9)/9)+1,MOD(ROW()-9,9)+1),"")</f>
        <v/>
      </c>
      <c r="C2102" s="9">
        <f t="shared" si="32"/>
        <v>0</v>
      </c>
    </row>
    <row r="2103" spans="1:3" x14ac:dyDescent="0.2">
      <c r="A2103" s="10" t="str">
        <f>IF(2095&gt;$C$9008,"",INDEX($B$9:$B$9008,MATCH(2095,$C$9:$C$9008,0)))</f>
        <v/>
      </c>
      <c r="B2103" s="9" t="str">
        <f>IFERROR(INDEX(Input!$L$20:$T$1019,INT((ROW()-9)/9)+1,MOD(ROW()-9,9)+1),"")</f>
        <v/>
      </c>
      <c r="C2103" s="9">
        <f t="shared" si="32"/>
        <v>0</v>
      </c>
    </row>
    <row r="2104" spans="1:3" x14ac:dyDescent="0.2">
      <c r="A2104" s="10" t="str">
        <f>IF(2096&gt;$C$9008,"",INDEX($B$9:$B$9008,MATCH(2096,$C$9:$C$9008,0)))</f>
        <v/>
      </c>
      <c r="B2104" s="9" t="str">
        <f>IFERROR(INDEX(Input!$L$20:$T$1019,INT((ROW()-9)/9)+1,MOD(ROW()-9,9)+1),"")</f>
        <v/>
      </c>
      <c r="C2104" s="9">
        <f t="shared" si="32"/>
        <v>0</v>
      </c>
    </row>
    <row r="2105" spans="1:3" x14ac:dyDescent="0.2">
      <c r="A2105" s="10" t="str">
        <f>IF(2097&gt;$C$9008,"",INDEX($B$9:$B$9008,MATCH(2097,$C$9:$C$9008,0)))</f>
        <v/>
      </c>
      <c r="B2105" s="9" t="str">
        <f>IFERROR(INDEX(Input!$L$20:$T$1019,INT((ROW()-9)/9)+1,MOD(ROW()-9,9)+1),"")</f>
        <v/>
      </c>
      <c r="C2105" s="9">
        <f t="shared" si="32"/>
        <v>0</v>
      </c>
    </row>
    <row r="2106" spans="1:3" x14ac:dyDescent="0.2">
      <c r="A2106" s="10" t="str">
        <f>IF(2098&gt;$C$9008,"",INDEX($B$9:$B$9008,MATCH(2098,$C$9:$C$9008,0)))</f>
        <v/>
      </c>
      <c r="B2106" s="9" t="str">
        <f>IFERROR(INDEX(Input!$L$20:$T$1019,INT((ROW()-9)/9)+1,MOD(ROW()-9,9)+1),"")</f>
        <v/>
      </c>
      <c r="C2106" s="9">
        <f t="shared" si="32"/>
        <v>0</v>
      </c>
    </row>
    <row r="2107" spans="1:3" x14ac:dyDescent="0.2">
      <c r="A2107" s="10" t="str">
        <f>IF(2099&gt;$C$9008,"",INDEX($B$9:$B$9008,MATCH(2099,$C$9:$C$9008,0)))</f>
        <v/>
      </c>
      <c r="B2107" s="9" t="str">
        <f>IFERROR(INDEX(Input!$L$20:$T$1019,INT((ROW()-9)/9)+1,MOD(ROW()-9,9)+1),"")</f>
        <v/>
      </c>
      <c r="C2107" s="9">
        <f t="shared" si="32"/>
        <v>0</v>
      </c>
    </row>
    <row r="2108" spans="1:3" x14ac:dyDescent="0.2">
      <c r="A2108" s="10" t="str">
        <f>IF(2100&gt;$C$9008,"",INDEX($B$9:$B$9008,MATCH(2100,$C$9:$C$9008,0)))</f>
        <v/>
      </c>
      <c r="B2108" s="9" t="str">
        <f>IFERROR(INDEX(Input!$L$20:$T$1019,INT((ROW()-9)/9)+1,MOD(ROW()-9,9)+1),"")</f>
        <v/>
      </c>
      <c r="C2108" s="9">
        <f t="shared" si="32"/>
        <v>0</v>
      </c>
    </row>
    <row r="2109" spans="1:3" x14ac:dyDescent="0.2">
      <c r="A2109" s="10" t="str">
        <f>IF(2101&gt;$C$9008,"",INDEX($B$9:$B$9008,MATCH(2101,$C$9:$C$9008,0)))</f>
        <v/>
      </c>
      <c r="B2109" s="9" t="str">
        <f>IFERROR(INDEX(Input!$L$20:$T$1019,INT((ROW()-9)/9)+1,MOD(ROW()-9,9)+1),"")</f>
        <v/>
      </c>
      <c r="C2109" s="9">
        <f t="shared" si="32"/>
        <v>0</v>
      </c>
    </row>
    <row r="2110" spans="1:3" x14ac:dyDescent="0.2">
      <c r="A2110" s="10" t="str">
        <f>IF(2102&gt;$C$9008,"",INDEX($B$9:$B$9008,MATCH(2102,$C$9:$C$9008,0)))</f>
        <v/>
      </c>
      <c r="B2110" s="9" t="str">
        <f>IFERROR(INDEX(Input!$L$20:$T$1019,INT((ROW()-9)/9)+1,MOD(ROW()-9,9)+1),"")</f>
        <v/>
      </c>
      <c r="C2110" s="9">
        <f t="shared" si="32"/>
        <v>0</v>
      </c>
    </row>
    <row r="2111" spans="1:3" x14ac:dyDescent="0.2">
      <c r="A2111" s="10" t="str">
        <f>IF(2103&gt;$C$9008,"",INDEX($B$9:$B$9008,MATCH(2103,$C$9:$C$9008,0)))</f>
        <v/>
      </c>
      <c r="B2111" s="9" t="str">
        <f>IFERROR(INDEX(Input!$L$20:$T$1019,INT((ROW()-9)/9)+1,MOD(ROW()-9,9)+1),"")</f>
        <v/>
      </c>
      <c r="C2111" s="9">
        <f t="shared" si="32"/>
        <v>0</v>
      </c>
    </row>
    <row r="2112" spans="1:3" x14ac:dyDescent="0.2">
      <c r="A2112" s="10" t="str">
        <f>IF(2104&gt;$C$9008,"",INDEX($B$9:$B$9008,MATCH(2104,$C$9:$C$9008,0)))</f>
        <v/>
      </c>
      <c r="B2112" s="9" t="str">
        <f>IFERROR(INDEX(Input!$L$20:$T$1019,INT((ROW()-9)/9)+1,MOD(ROW()-9,9)+1),"")</f>
        <v/>
      </c>
      <c r="C2112" s="9">
        <f t="shared" si="32"/>
        <v>0</v>
      </c>
    </row>
    <row r="2113" spans="1:3" x14ac:dyDescent="0.2">
      <c r="A2113" s="10" t="str">
        <f>IF(2105&gt;$C$9008,"",INDEX($B$9:$B$9008,MATCH(2105,$C$9:$C$9008,0)))</f>
        <v/>
      </c>
      <c r="B2113" s="9" t="str">
        <f>IFERROR(INDEX(Input!$L$20:$T$1019,INT((ROW()-9)/9)+1,MOD(ROW()-9,9)+1),"")</f>
        <v/>
      </c>
      <c r="C2113" s="9">
        <f t="shared" si="32"/>
        <v>0</v>
      </c>
    </row>
    <row r="2114" spans="1:3" x14ac:dyDescent="0.2">
      <c r="A2114" s="10" t="str">
        <f>IF(2106&gt;$C$9008,"",INDEX($B$9:$B$9008,MATCH(2106,$C$9:$C$9008,0)))</f>
        <v/>
      </c>
      <c r="B2114" s="9" t="str">
        <f>IFERROR(INDEX(Input!$L$20:$T$1019,INT((ROW()-9)/9)+1,MOD(ROW()-9,9)+1),"")</f>
        <v/>
      </c>
      <c r="C2114" s="9">
        <f t="shared" si="32"/>
        <v>0</v>
      </c>
    </row>
    <row r="2115" spans="1:3" x14ac:dyDescent="0.2">
      <c r="A2115" s="10" t="str">
        <f>IF(2107&gt;$C$9008,"",INDEX($B$9:$B$9008,MATCH(2107,$C$9:$C$9008,0)))</f>
        <v/>
      </c>
      <c r="B2115" s="9" t="str">
        <f>IFERROR(INDEX(Input!$L$20:$T$1019,INT((ROW()-9)/9)+1,MOD(ROW()-9,9)+1),"")</f>
        <v/>
      </c>
      <c r="C2115" s="9">
        <f t="shared" si="32"/>
        <v>0</v>
      </c>
    </row>
    <row r="2116" spans="1:3" x14ac:dyDescent="0.2">
      <c r="A2116" s="10" t="str">
        <f>IF(2108&gt;$C$9008,"",INDEX($B$9:$B$9008,MATCH(2108,$C$9:$C$9008,0)))</f>
        <v/>
      </c>
      <c r="B2116" s="9" t="str">
        <f>IFERROR(INDEX(Input!$L$20:$T$1019,INT((ROW()-9)/9)+1,MOD(ROW()-9,9)+1),"")</f>
        <v/>
      </c>
      <c r="C2116" s="9">
        <f t="shared" si="32"/>
        <v>0</v>
      </c>
    </row>
    <row r="2117" spans="1:3" x14ac:dyDescent="0.2">
      <c r="A2117" s="10" t="str">
        <f>IF(2109&gt;$C$9008,"",INDEX($B$9:$B$9008,MATCH(2109,$C$9:$C$9008,0)))</f>
        <v/>
      </c>
      <c r="B2117" s="9" t="str">
        <f>IFERROR(INDEX(Input!$L$20:$T$1019,INT((ROW()-9)/9)+1,MOD(ROW()-9,9)+1),"")</f>
        <v/>
      </c>
      <c r="C2117" s="9">
        <f t="shared" si="32"/>
        <v>0</v>
      </c>
    </row>
    <row r="2118" spans="1:3" x14ac:dyDescent="0.2">
      <c r="A2118" s="10" t="str">
        <f>IF(2110&gt;$C$9008,"",INDEX($B$9:$B$9008,MATCH(2110,$C$9:$C$9008,0)))</f>
        <v/>
      </c>
      <c r="B2118" s="9" t="str">
        <f>IFERROR(INDEX(Input!$L$20:$T$1019,INT((ROW()-9)/9)+1,MOD(ROW()-9,9)+1),"")</f>
        <v/>
      </c>
      <c r="C2118" s="9">
        <f t="shared" si="32"/>
        <v>0</v>
      </c>
    </row>
    <row r="2119" spans="1:3" x14ac:dyDescent="0.2">
      <c r="A2119" s="10" t="str">
        <f>IF(2111&gt;$C$9008,"",INDEX($B$9:$B$9008,MATCH(2111,$C$9:$C$9008,0)))</f>
        <v/>
      </c>
      <c r="B2119" s="9" t="str">
        <f>IFERROR(INDEX(Input!$L$20:$T$1019,INT((ROW()-9)/9)+1,MOD(ROW()-9,9)+1),"")</f>
        <v/>
      </c>
      <c r="C2119" s="9">
        <f t="shared" si="32"/>
        <v>0</v>
      </c>
    </row>
    <row r="2120" spans="1:3" x14ac:dyDescent="0.2">
      <c r="A2120" s="10" t="str">
        <f>IF(2112&gt;$C$9008,"",INDEX($B$9:$B$9008,MATCH(2112,$C$9:$C$9008,0)))</f>
        <v/>
      </c>
      <c r="B2120" s="9" t="str">
        <f>IFERROR(INDEX(Input!$L$20:$T$1019,INT((ROW()-9)/9)+1,MOD(ROW()-9,9)+1),"")</f>
        <v/>
      </c>
      <c r="C2120" s="9">
        <f t="shared" si="32"/>
        <v>0</v>
      </c>
    </row>
    <row r="2121" spans="1:3" x14ac:dyDescent="0.2">
      <c r="A2121" s="10" t="str">
        <f>IF(2113&gt;$C$9008,"",INDEX($B$9:$B$9008,MATCH(2113,$C$9:$C$9008,0)))</f>
        <v/>
      </c>
      <c r="B2121" s="9" t="str">
        <f>IFERROR(INDEX(Input!$L$20:$T$1019,INT((ROW()-9)/9)+1,MOD(ROW()-9,9)+1),"")</f>
        <v/>
      </c>
      <c r="C2121" s="9">
        <f t="shared" ref="C2121:C2184" si="33">$C2120+IF($B2121&lt;&gt;"",1,0)</f>
        <v>0</v>
      </c>
    </row>
    <row r="2122" spans="1:3" x14ac:dyDescent="0.2">
      <c r="A2122" s="10" t="str">
        <f>IF(2114&gt;$C$9008,"",INDEX($B$9:$B$9008,MATCH(2114,$C$9:$C$9008,0)))</f>
        <v/>
      </c>
      <c r="B2122" s="9" t="str">
        <f>IFERROR(INDEX(Input!$L$20:$T$1019,INT((ROW()-9)/9)+1,MOD(ROW()-9,9)+1),"")</f>
        <v/>
      </c>
      <c r="C2122" s="9">
        <f t="shared" si="33"/>
        <v>0</v>
      </c>
    </row>
    <row r="2123" spans="1:3" x14ac:dyDescent="0.2">
      <c r="A2123" s="10" t="str">
        <f>IF(2115&gt;$C$9008,"",INDEX($B$9:$B$9008,MATCH(2115,$C$9:$C$9008,0)))</f>
        <v/>
      </c>
      <c r="B2123" s="9" t="str">
        <f>IFERROR(INDEX(Input!$L$20:$T$1019,INT((ROW()-9)/9)+1,MOD(ROW()-9,9)+1),"")</f>
        <v/>
      </c>
      <c r="C2123" s="9">
        <f t="shared" si="33"/>
        <v>0</v>
      </c>
    </row>
    <row r="2124" spans="1:3" x14ac:dyDescent="0.2">
      <c r="A2124" s="10" t="str">
        <f>IF(2116&gt;$C$9008,"",INDEX($B$9:$B$9008,MATCH(2116,$C$9:$C$9008,0)))</f>
        <v/>
      </c>
      <c r="B2124" s="9" t="str">
        <f>IFERROR(INDEX(Input!$L$20:$T$1019,INT((ROW()-9)/9)+1,MOD(ROW()-9,9)+1),"")</f>
        <v/>
      </c>
      <c r="C2124" s="9">
        <f t="shared" si="33"/>
        <v>0</v>
      </c>
    </row>
    <row r="2125" spans="1:3" x14ac:dyDescent="0.2">
      <c r="A2125" s="10" t="str">
        <f>IF(2117&gt;$C$9008,"",INDEX($B$9:$B$9008,MATCH(2117,$C$9:$C$9008,0)))</f>
        <v/>
      </c>
      <c r="B2125" s="9" t="str">
        <f>IFERROR(INDEX(Input!$L$20:$T$1019,INT((ROW()-9)/9)+1,MOD(ROW()-9,9)+1),"")</f>
        <v/>
      </c>
      <c r="C2125" s="9">
        <f t="shared" si="33"/>
        <v>0</v>
      </c>
    </row>
    <row r="2126" spans="1:3" x14ac:dyDescent="0.2">
      <c r="A2126" s="10" t="str">
        <f>IF(2118&gt;$C$9008,"",INDEX($B$9:$B$9008,MATCH(2118,$C$9:$C$9008,0)))</f>
        <v/>
      </c>
      <c r="B2126" s="9" t="str">
        <f>IFERROR(INDEX(Input!$L$20:$T$1019,INT((ROW()-9)/9)+1,MOD(ROW()-9,9)+1),"")</f>
        <v/>
      </c>
      <c r="C2126" s="9">
        <f t="shared" si="33"/>
        <v>0</v>
      </c>
    </row>
    <row r="2127" spans="1:3" x14ac:dyDescent="0.2">
      <c r="A2127" s="10" t="str">
        <f>IF(2119&gt;$C$9008,"",INDEX($B$9:$B$9008,MATCH(2119,$C$9:$C$9008,0)))</f>
        <v/>
      </c>
      <c r="B2127" s="9" t="str">
        <f>IFERROR(INDEX(Input!$L$20:$T$1019,INT((ROW()-9)/9)+1,MOD(ROW()-9,9)+1),"")</f>
        <v/>
      </c>
      <c r="C2127" s="9">
        <f t="shared" si="33"/>
        <v>0</v>
      </c>
    </row>
    <row r="2128" spans="1:3" x14ac:dyDescent="0.2">
      <c r="A2128" s="10" t="str">
        <f>IF(2120&gt;$C$9008,"",INDEX($B$9:$B$9008,MATCH(2120,$C$9:$C$9008,0)))</f>
        <v/>
      </c>
      <c r="B2128" s="9" t="str">
        <f>IFERROR(INDEX(Input!$L$20:$T$1019,INT((ROW()-9)/9)+1,MOD(ROW()-9,9)+1),"")</f>
        <v/>
      </c>
      <c r="C2128" s="9">
        <f t="shared" si="33"/>
        <v>0</v>
      </c>
    </row>
    <row r="2129" spans="1:3" x14ac:dyDescent="0.2">
      <c r="A2129" s="10" t="str">
        <f>IF(2121&gt;$C$9008,"",INDEX($B$9:$B$9008,MATCH(2121,$C$9:$C$9008,0)))</f>
        <v/>
      </c>
      <c r="B2129" s="9" t="str">
        <f>IFERROR(INDEX(Input!$L$20:$T$1019,INT((ROW()-9)/9)+1,MOD(ROW()-9,9)+1),"")</f>
        <v/>
      </c>
      <c r="C2129" s="9">
        <f t="shared" si="33"/>
        <v>0</v>
      </c>
    </row>
    <row r="2130" spans="1:3" x14ac:dyDescent="0.2">
      <c r="A2130" s="10" t="str">
        <f>IF(2122&gt;$C$9008,"",INDEX($B$9:$B$9008,MATCH(2122,$C$9:$C$9008,0)))</f>
        <v/>
      </c>
      <c r="B2130" s="9" t="str">
        <f>IFERROR(INDEX(Input!$L$20:$T$1019,INT((ROW()-9)/9)+1,MOD(ROW()-9,9)+1),"")</f>
        <v/>
      </c>
      <c r="C2130" s="9">
        <f t="shared" si="33"/>
        <v>0</v>
      </c>
    </row>
    <row r="2131" spans="1:3" x14ac:dyDescent="0.2">
      <c r="A2131" s="10" t="str">
        <f>IF(2123&gt;$C$9008,"",INDEX($B$9:$B$9008,MATCH(2123,$C$9:$C$9008,0)))</f>
        <v/>
      </c>
      <c r="B2131" s="9" t="str">
        <f>IFERROR(INDEX(Input!$L$20:$T$1019,INT((ROW()-9)/9)+1,MOD(ROW()-9,9)+1),"")</f>
        <v/>
      </c>
      <c r="C2131" s="9">
        <f t="shared" si="33"/>
        <v>0</v>
      </c>
    </row>
    <row r="2132" spans="1:3" x14ac:dyDescent="0.2">
      <c r="A2132" s="10" t="str">
        <f>IF(2124&gt;$C$9008,"",INDEX($B$9:$B$9008,MATCH(2124,$C$9:$C$9008,0)))</f>
        <v/>
      </c>
      <c r="B2132" s="9" t="str">
        <f>IFERROR(INDEX(Input!$L$20:$T$1019,INT((ROW()-9)/9)+1,MOD(ROW()-9,9)+1),"")</f>
        <v/>
      </c>
      <c r="C2132" s="9">
        <f t="shared" si="33"/>
        <v>0</v>
      </c>
    </row>
    <row r="2133" spans="1:3" x14ac:dyDescent="0.2">
      <c r="A2133" s="10" t="str">
        <f>IF(2125&gt;$C$9008,"",INDEX($B$9:$B$9008,MATCH(2125,$C$9:$C$9008,0)))</f>
        <v/>
      </c>
      <c r="B2133" s="9" t="str">
        <f>IFERROR(INDEX(Input!$L$20:$T$1019,INT((ROW()-9)/9)+1,MOD(ROW()-9,9)+1),"")</f>
        <v/>
      </c>
      <c r="C2133" s="9">
        <f t="shared" si="33"/>
        <v>0</v>
      </c>
    </row>
    <row r="2134" spans="1:3" x14ac:dyDescent="0.2">
      <c r="A2134" s="10" t="str">
        <f>IF(2126&gt;$C$9008,"",INDEX($B$9:$B$9008,MATCH(2126,$C$9:$C$9008,0)))</f>
        <v/>
      </c>
      <c r="B2134" s="9" t="str">
        <f>IFERROR(INDEX(Input!$L$20:$T$1019,INT((ROW()-9)/9)+1,MOD(ROW()-9,9)+1),"")</f>
        <v/>
      </c>
      <c r="C2134" s="9">
        <f t="shared" si="33"/>
        <v>0</v>
      </c>
    </row>
    <row r="2135" spans="1:3" x14ac:dyDescent="0.2">
      <c r="A2135" s="10" t="str">
        <f>IF(2127&gt;$C$9008,"",INDEX($B$9:$B$9008,MATCH(2127,$C$9:$C$9008,0)))</f>
        <v/>
      </c>
      <c r="B2135" s="9" t="str">
        <f>IFERROR(INDEX(Input!$L$20:$T$1019,INT((ROW()-9)/9)+1,MOD(ROW()-9,9)+1),"")</f>
        <v/>
      </c>
      <c r="C2135" s="9">
        <f t="shared" si="33"/>
        <v>0</v>
      </c>
    </row>
    <row r="2136" spans="1:3" x14ac:dyDescent="0.2">
      <c r="A2136" s="10" t="str">
        <f>IF(2128&gt;$C$9008,"",INDEX($B$9:$B$9008,MATCH(2128,$C$9:$C$9008,0)))</f>
        <v/>
      </c>
      <c r="B2136" s="9" t="str">
        <f>IFERROR(INDEX(Input!$L$20:$T$1019,INT((ROW()-9)/9)+1,MOD(ROW()-9,9)+1),"")</f>
        <v/>
      </c>
      <c r="C2136" s="9">
        <f t="shared" si="33"/>
        <v>0</v>
      </c>
    </row>
    <row r="2137" spans="1:3" x14ac:dyDescent="0.2">
      <c r="A2137" s="10" t="str">
        <f>IF(2129&gt;$C$9008,"",INDEX($B$9:$B$9008,MATCH(2129,$C$9:$C$9008,0)))</f>
        <v/>
      </c>
      <c r="B2137" s="9" t="str">
        <f>IFERROR(INDEX(Input!$L$20:$T$1019,INT((ROW()-9)/9)+1,MOD(ROW()-9,9)+1),"")</f>
        <v/>
      </c>
      <c r="C2137" s="9">
        <f t="shared" si="33"/>
        <v>0</v>
      </c>
    </row>
    <row r="2138" spans="1:3" x14ac:dyDescent="0.2">
      <c r="A2138" s="10" t="str">
        <f>IF(2130&gt;$C$9008,"",INDEX($B$9:$B$9008,MATCH(2130,$C$9:$C$9008,0)))</f>
        <v/>
      </c>
      <c r="B2138" s="9" t="str">
        <f>IFERROR(INDEX(Input!$L$20:$T$1019,INT((ROW()-9)/9)+1,MOD(ROW()-9,9)+1),"")</f>
        <v/>
      </c>
      <c r="C2138" s="9">
        <f t="shared" si="33"/>
        <v>0</v>
      </c>
    </row>
    <row r="2139" spans="1:3" x14ac:dyDescent="0.2">
      <c r="A2139" s="10" t="str">
        <f>IF(2131&gt;$C$9008,"",INDEX($B$9:$B$9008,MATCH(2131,$C$9:$C$9008,0)))</f>
        <v/>
      </c>
      <c r="B2139" s="9" t="str">
        <f>IFERROR(INDEX(Input!$L$20:$T$1019,INT((ROW()-9)/9)+1,MOD(ROW()-9,9)+1),"")</f>
        <v/>
      </c>
      <c r="C2139" s="9">
        <f t="shared" si="33"/>
        <v>0</v>
      </c>
    </row>
    <row r="2140" spans="1:3" x14ac:dyDescent="0.2">
      <c r="A2140" s="10" t="str">
        <f>IF(2132&gt;$C$9008,"",INDEX($B$9:$B$9008,MATCH(2132,$C$9:$C$9008,0)))</f>
        <v/>
      </c>
      <c r="B2140" s="9" t="str">
        <f>IFERROR(INDEX(Input!$L$20:$T$1019,INT((ROW()-9)/9)+1,MOD(ROW()-9,9)+1),"")</f>
        <v/>
      </c>
      <c r="C2140" s="9">
        <f t="shared" si="33"/>
        <v>0</v>
      </c>
    </row>
    <row r="2141" spans="1:3" x14ac:dyDescent="0.2">
      <c r="A2141" s="10" t="str">
        <f>IF(2133&gt;$C$9008,"",INDEX($B$9:$B$9008,MATCH(2133,$C$9:$C$9008,0)))</f>
        <v/>
      </c>
      <c r="B2141" s="9" t="str">
        <f>IFERROR(INDEX(Input!$L$20:$T$1019,INT((ROW()-9)/9)+1,MOD(ROW()-9,9)+1),"")</f>
        <v/>
      </c>
      <c r="C2141" s="9">
        <f t="shared" si="33"/>
        <v>0</v>
      </c>
    </row>
    <row r="2142" spans="1:3" x14ac:dyDescent="0.2">
      <c r="A2142" s="10" t="str">
        <f>IF(2134&gt;$C$9008,"",INDEX($B$9:$B$9008,MATCH(2134,$C$9:$C$9008,0)))</f>
        <v/>
      </c>
      <c r="B2142" s="9" t="str">
        <f>IFERROR(INDEX(Input!$L$20:$T$1019,INT((ROW()-9)/9)+1,MOD(ROW()-9,9)+1),"")</f>
        <v/>
      </c>
      <c r="C2142" s="9">
        <f t="shared" si="33"/>
        <v>0</v>
      </c>
    </row>
    <row r="2143" spans="1:3" x14ac:dyDescent="0.2">
      <c r="A2143" s="10" t="str">
        <f>IF(2135&gt;$C$9008,"",INDEX($B$9:$B$9008,MATCH(2135,$C$9:$C$9008,0)))</f>
        <v/>
      </c>
      <c r="B2143" s="9" t="str">
        <f>IFERROR(INDEX(Input!$L$20:$T$1019,INT((ROW()-9)/9)+1,MOD(ROW()-9,9)+1),"")</f>
        <v/>
      </c>
      <c r="C2143" s="9">
        <f t="shared" si="33"/>
        <v>0</v>
      </c>
    </row>
    <row r="2144" spans="1:3" x14ac:dyDescent="0.2">
      <c r="A2144" s="10" t="str">
        <f>IF(2136&gt;$C$9008,"",INDEX($B$9:$B$9008,MATCH(2136,$C$9:$C$9008,0)))</f>
        <v/>
      </c>
      <c r="B2144" s="9" t="str">
        <f>IFERROR(INDEX(Input!$L$20:$T$1019,INT((ROW()-9)/9)+1,MOD(ROW()-9,9)+1),"")</f>
        <v/>
      </c>
      <c r="C2144" s="9">
        <f t="shared" si="33"/>
        <v>0</v>
      </c>
    </row>
    <row r="2145" spans="1:3" x14ac:dyDescent="0.2">
      <c r="A2145" s="10" t="str">
        <f>IF(2137&gt;$C$9008,"",INDEX($B$9:$B$9008,MATCH(2137,$C$9:$C$9008,0)))</f>
        <v/>
      </c>
      <c r="B2145" s="9" t="str">
        <f>IFERROR(INDEX(Input!$L$20:$T$1019,INT((ROW()-9)/9)+1,MOD(ROW()-9,9)+1),"")</f>
        <v/>
      </c>
      <c r="C2145" s="9">
        <f t="shared" si="33"/>
        <v>0</v>
      </c>
    </row>
    <row r="2146" spans="1:3" x14ac:dyDescent="0.2">
      <c r="A2146" s="10" t="str">
        <f>IF(2138&gt;$C$9008,"",INDEX($B$9:$B$9008,MATCH(2138,$C$9:$C$9008,0)))</f>
        <v/>
      </c>
      <c r="B2146" s="9" t="str">
        <f>IFERROR(INDEX(Input!$L$20:$T$1019,INT((ROW()-9)/9)+1,MOD(ROW()-9,9)+1),"")</f>
        <v/>
      </c>
      <c r="C2146" s="9">
        <f t="shared" si="33"/>
        <v>0</v>
      </c>
    </row>
    <row r="2147" spans="1:3" x14ac:dyDescent="0.2">
      <c r="A2147" s="10" t="str">
        <f>IF(2139&gt;$C$9008,"",INDEX($B$9:$B$9008,MATCH(2139,$C$9:$C$9008,0)))</f>
        <v/>
      </c>
      <c r="B2147" s="9" t="str">
        <f>IFERROR(INDEX(Input!$L$20:$T$1019,INT((ROW()-9)/9)+1,MOD(ROW()-9,9)+1),"")</f>
        <v/>
      </c>
      <c r="C2147" s="9">
        <f t="shared" si="33"/>
        <v>0</v>
      </c>
    </row>
    <row r="2148" spans="1:3" x14ac:dyDescent="0.2">
      <c r="A2148" s="10" t="str">
        <f>IF(2140&gt;$C$9008,"",INDEX($B$9:$B$9008,MATCH(2140,$C$9:$C$9008,0)))</f>
        <v/>
      </c>
      <c r="B2148" s="9" t="str">
        <f>IFERROR(INDEX(Input!$L$20:$T$1019,INT((ROW()-9)/9)+1,MOD(ROW()-9,9)+1),"")</f>
        <v/>
      </c>
      <c r="C2148" s="9">
        <f t="shared" si="33"/>
        <v>0</v>
      </c>
    </row>
    <row r="2149" spans="1:3" x14ac:dyDescent="0.2">
      <c r="A2149" s="10" t="str">
        <f>IF(2141&gt;$C$9008,"",INDEX($B$9:$B$9008,MATCH(2141,$C$9:$C$9008,0)))</f>
        <v/>
      </c>
      <c r="B2149" s="9" t="str">
        <f>IFERROR(INDEX(Input!$L$20:$T$1019,INT((ROW()-9)/9)+1,MOD(ROW()-9,9)+1),"")</f>
        <v/>
      </c>
      <c r="C2149" s="9">
        <f t="shared" si="33"/>
        <v>0</v>
      </c>
    </row>
    <row r="2150" spans="1:3" x14ac:dyDescent="0.2">
      <c r="A2150" s="10" t="str">
        <f>IF(2142&gt;$C$9008,"",INDEX($B$9:$B$9008,MATCH(2142,$C$9:$C$9008,0)))</f>
        <v/>
      </c>
      <c r="B2150" s="9" t="str">
        <f>IFERROR(INDEX(Input!$L$20:$T$1019,INT((ROW()-9)/9)+1,MOD(ROW()-9,9)+1),"")</f>
        <v/>
      </c>
      <c r="C2150" s="9">
        <f t="shared" si="33"/>
        <v>0</v>
      </c>
    </row>
    <row r="2151" spans="1:3" x14ac:dyDescent="0.2">
      <c r="A2151" s="10" t="str">
        <f>IF(2143&gt;$C$9008,"",INDEX($B$9:$B$9008,MATCH(2143,$C$9:$C$9008,0)))</f>
        <v/>
      </c>
      <c r="B2151" s="9" t="str">
        <f>IFERROR(INDEX(Input!$L$20:$T$1019,INT((ROW()-9)/9)+1,MOD(ROW()-9,9)+1),"")</f>
        <v/>
      </c>
      <c r="C2151" s="9">
        <f t="shared" si="33"/>
        <v>0</v>
      </c>
    </row>
    <row r="2152" spans="1:3" x14ac:dyDescent="0.2">
      <c r="A2152" s="10" t="str">
        <f>IF(2144&gt;$C$9008,"",INDEX($B$9:$B$9008,MATCH(2144,$C$9:$C$9008,0)))</f>
        <v/>
      </c>
      <c r="B2152" s="9" t="str">
        <f>IFERROR(INDEX(Input!$L$20:$T$1019,INT((ROW()-9)/9)+1,MOD(ROW()-9,9)+1),"")</f>
        <v/>
      </c>
      <c r="C2152" s="9">
        <f t="shared" si="33"/>
        <v>0</v>
      </c>
    </row>
    <row r="2153" spans="1:3" x14ac:dyDescent="0.2">
      <c r="A2153" s="10" t="str">
        <f>IF(2145&gt;$C$9008,"",INDEX($B$9:$B$9008,MATCH(2145,$C$9:$C$9008,0)))</f>
        <v/>
      </c>
      <c r="B2153" s="9" t="str">
        <f>IFERROR(INDEX(Input!$L$20:$T$1019,INT((ROW()-9)/9)+1,MOD(ROW()-9,9)+1),"")</f>
        <v/>
      </c>
      <c r="C2153" s="9">
        <f t="shared" si="33"/>
        <v>0</v>
      </c>
    </row>
    <row r="2154" spans="1:3" x14ac:dyDescent="0.2">
      <c r="A2154" s="10" t="str">
        <f>IF(2146&gt;$C$9008,"",INDEX($B$9:$B$9008,MATCH(2146,$C$9:$C$9008,0)))</f>
        <v/>
      </c>
      <c r="B2154" s="9" t="str">
        <f>IFERROR(INDEX(Input!$L$20:$T$1019,INT((ROW()-9)/9)+1,MOD(ROW()-9,9)+1),"")</f>
        <v/>
      </c>
      <c r="C2154" s="9">
        <f t="shared" si="33"/>
        <v>0</v>
      </c>
    </row>
    <row r="2155" spans="1:3" x14ac:dyDescent="0.2">
      <c r="A2155" s="10" t="str">
        <f>IF(2147&gt;$C$9008,"",INDEX($B$9:$B$9008,MATCH(2147,$C$9:$C$9008,0)))</f>
        <v/>
      </c>
      <c r="B2155" s="9" t="str">
        <f>IFERROR(INDEX(Input!$L$20:$T$1019,INT((ROW()-9)/9)+1,MOD(ROW()-9,9)+1),"")</f>
        <v/>
      </c>
      <c r="C2155" s="9">
        <f t="shared" si="33"/>
        <v>0</v>
      </c>
    </row>
    <row r="2156" spans="1:3" x14ac:dyDescent="0.2">
      <c r="A2156" s="10" t="str">
        <f>IF(2148&gt;$C$9008,"",INDEX($B$9:$B$9008,MATCH(2148,$C$9:$C$9008,0)))</f>
        <v/>
      </c>
      <c r="B2156" s="9" t="str">
        <f>IFERROR(INDEX(Input!$L$20:$T$1019,INT((ROW()-9)/9)+1,MOD(ROW()-9,9)+1),"")</f>
        <v/>
      </c>
      <c r="C2156" s="9">
        <f t="shared" si="33"/>
        <v>0</v>
      </c>
    </row>
    <row r="2157" spans="1:3" x14ac:dyDescent="0.2">
      <c r="A2157" s="10" t="str">
        <f>IF(2149&gt;$C$9008,"",INDEX($B$9:$B$9008,MATCH(2149,$C$9:$C$9008,0)))</f>
        <v/>
      </c>
      <c r="B2157" s="9" t="str">
        <f>IFERROR(INDEX(Input!$L$20:$T$1019,INT((ROW()-9)/9)+1,MOD(ROW()-9,9)+1),"")</f>
        <v/>
      </c>
      <c r="C2157" s="9">
        <f t="shared" si="33"/>
        <v>0</v>
      </c>
    </row>
    <row r="2158" spans="1:3" x14ac:dyDescent="0.2">
      <c r="A2158" s="10" t="str">
        <f>IF(2150&gt;$C$9008,"",INDEX($B$9:$B$9008,MATCH(2150,$C$9:$C$9008,0)))</f>
        <v/>
      </c>
      <c r="B2158" s="9" t="str">
        <f>IFERROR(INDEX(Input!$L$20:$T$1019,INT((ROW()-9)/9)+1,MOD(ROW()-9,9)+1),"")</f>
        <v/>
      </c>
      <c r="C2158" s="9">
        <f t="shared" si="33"/>
        <v>0</v>
      </c>
    </row>
    <row r="2159" spans="1:3" x14ac:dyDescent="0.2">
      <c r="A2159" s="10" t="str">
        <f>IF(2151&gt;$C$9008,"",INDEX($B$9:$B$9008,MATCH(2151,$C$9:$C$9008,0)))</f>
        <v/>
      </c>
      <c r="B2159" s="9" t="str">
        <f>IFERROR(INDEX(Input!$L$20:$T$1019,INT((ROW()-9)/9)+1,MOD(ROW()-9,9)+1),"")</f>
        <v/>
      </c>
      <c r="C2159" s="9">
        <f t="shared" si="33"/>
        <v>0</v>
      </c>
    </row>
    <row r="2160" spans="1:3" x14ac:dyDescent="0.2">
      <c r="A2160" s="10" t="str">
        <f>IF(2152&gt;$C$9008,"",INDEX($B$9:$B$9008,MATCH(2152,$C$9:$C$9008,0)))</f>
        <v/>
      </c>
      <c r="B2160" s="9" t="str">
        <f>IFERROR(INDEX(Input!$L$20:$T$1019,INT((ROW()-9)/9)+1,MOD(ROW()-9,9)+1),"")</f>
        <v/>
      </c>
      <c r="C2160" s="9">
        <f t="shared" si="33"/>
        <v>0</v>
      </c>
    </row>
    <row r="2161" spans="1:3" x14ac:dyDescent="0.2">
      <c r="A2161" s="10" t="str">
        <f>IF(2153&gt;$C$9008,"",INDEX($B$9:$B$9008,MATCH(2153,$C$9:$C$9008,0)))</f>
        <v/>
      </c>
      <c r="B2161" s="9" t="str">
        <f>IFERROR(INDEX(Input!$L$20:$T$1019,INT((ROW()-9)/9)+1,MOD(ROW()-9,9)+1),"")</f>
        <v/>
      </c>
      <c r="C2161" s="9">
        <f t="shared" si="33"/>
        <v>0</v>
      </c>
    </row>
    <row r="2162" spans="1:3" x14ac:dyDescent="0.2">
      <c r="A2162" s="10" t="str">
        <f>IF(2154&gt;$C$9008,"",INDEX($B$9:$B$9008,MATCH(2154,$C$9:$C$9008,0)))</f>
        <v/>
      </c>
      <c r="B2162" s="9" t="str">
        <f>IFERROR(INDEX(Input!$L$20:$T$1019,INT((ROW()-9)/9)+1,MOD(ROW()-9,9)+1),"")</f>
        <v/>
      </c>
      <c r="C2162" s="9">
        <f t="shared" si="33"/>
        <v>0</v>
      </c>
    </row>
    <row r="2163" spans="1:3" x14ac:dyDescent="0.2">
      <c r="A2163" s="10" t="str">
        <f>IF(2155&gt;$C$9008,"",INDEX($B$9:$B$9008,MATCH(2155,$C$9:$C$9008,0)))</f>
        <v/>
      </c>
      <c r="B2163" s="9" t="str">
        <f>IFERROR(INDEX(Input!$L$20:$T$1019,INT((ROW()-9)/9)+1,MOD(ROW()-9,9)+1),"")</f>
        <v/>
      </c>
      <c r="C2163" s="9">
        <f t="shared" si="33"/>
        <v>0</v>
      </c>
    </row>
    <row r="2164" spans="1:3" x14ac:dyDescent="0.2">
      <c r="A2164" s="10" t="str">
        <f>IF(2156&gt;$C$9008,"",INDEX($B$9:$B$9008,MATCH(2156,$C$9:$C$9008,0)))</f>
        <v/>
      </c>
      <c r="B2164" s="9" t="str">
        <f>IFERROR(INDEX(Input!$L$20:$T$1019,INT((ROW()-9)/9)+1,MOD(ROW()-9,9)+1),"")</f>
        <v/>
      </c>
      <c r="C2164" s="9">
        <f t="shared" si="33"/>
        <v>0</v>
      </c>
    </row>
    <row r="2165" spans="1:3" x14ac:dyDescent="0.2">
      <c r="A2165" s="10" t="str">
        <f>IF(2157&gt;$C$9008,"",INDEX($B$9:$B$9008,MATCH(2157,$C$9:$C$9008,0)))</f>
        <v/>
      </c>
      <c r="B2165" s="9" t="str">
        <f>IFERROR(INDEX(Input!$L$20:$T$1019,INT((ROW()-9)/9)+1,MOD(ROW()-9,9)+1),"")</f>
        <v/>
      </c>
      <c r="C2165" s="9">
        <f t="shared" si="33"/>
        <v>0</v>
      </c>
    </row>
    <row r="2166" spans="1:3" x14ac:dyDescent="0.2">
      <c r="A2166" s="10" t="str">
        <f>IF(2158&gt;$C$9008,"",INDEX($B$9:$B$9008,MATCH(2158,$C$9:$C$9008,0)))</f>
        <v/>
      </c>
      <c r="B2166" s="9" t="str">
        <f>IFERROR(INDEX(Input!$L$20:$T$1019,INT((ROW()-9)/9)+1,MOD(ROW()-9,9)+1),"")</f>
        <v/>
      </c>
      <c r="C2166" s="9">
        <f t="shared" si="33"/>
        <v>0</v>
      </c>
    </row>
    <row r="2167" spans="1:3" x14ac:dyDescent="0.2">
      <c r="A2167" s="10" t="str">
        <f>IF(2159&gt;$C$9008,"",INDEX($B$9:$B$9008,MATCH(2159,$C$9:$C$9008,0)))</f>
        <v/>
      </c>
      <c r="B2167" s="9" t="str">
        <f>IFERROR(INDEX(Input!$L$20:$T$1019,INT((ROW()-9)/9)+1,MOD(ROW()-9,9)+1),"")</f>
        <v/>
      </c>
      <c r="C2167" s="9">
        <f t="shared" si="33"/>
        <v>0</v>
      </c>
    </row>
    <row r="2168" spans="1:3" x14ac:dyDescent="0.2">
      <c r="A2168" s="10" t="str">
        <f>IF(2160&gt;$C$9008,"",INDEX($B$9:$B$9008,MATCH(2160,$C$9:$C$9008,0)))</f>
        <v/>
      </c>
      <c r="B2168" s="9" t="str">
        <f>IFERROR(INDEX(Input!$L$20:$T$1019,INT((ROW()-9)/9)+1,MOD(ROW()-9,9)+1),"")</f>
        <v/>
      </c>
      <c r="C2168" s="9">
        <f t="shared" si="33"/>
        <v>0</v>
      </c>
    </row>
    <row r="2169" spans="1:3" x14ac:dyDescent="0.2">
      <c r="A2169" s="10" t="str">
        <f>IF(2161&gt;$C$9008,"",INDEX($B$9:$B$9008,MATCH(2161,$C$9:$C$9008,0)))</f>
        <v/>
      </c>
      <c r="B2169" s="9" t="str">
        <f>IFERROR(INDEX(Input!$L$20:$T$1019,INT((ROW()-9)/9)+1,MOD(ROW()-9,9)+1),"")</f>
        <v/>
      </c>
      <c r="C2169" s="9">
        <f t="shared" si="33"/>
        <v>0</v>
      </c>
    </row>
    <row r="2170" spans="1:3" x14ac:dyDescent="0.2">
      <c r="A2170" s="10" t="str">
        <f>IF(2162&gt;$C$9008,"",INDEX($B$9:$B$9008,MATCH(2162,$C$9:$C$9008,0)))</f>
        <v/>
      </c>
      <c r="B2170" s="9" t="str">
        <f>IFERROR(INDEX(Input!$L$20:$T$1019,INT((ROW()-9)/9)+1,MOD(ROW()-9,9)+1),"")</f>
        <v/>
      </c>
      <c r="C2170" s="9">
        <f t="shared" si="33"/>
        <v>0</v>
      </c>
    </row>
    <row r="2171" spans="1:3" x14ac:dyDescent="0.2">
      <c r="A2171" s="10" t="str">
        <f>IF(2163&gt;$C$9008,"",INDEX($B$9:$B$9008,MATCH(2163,$C$9:$C$9008,0)))</f>
        <v/>
      </c>
      <c r="B2171" s="9" t="str">
        <f>IFERROR(INDEX(Input!$L$20:$T$1019,INT((ROW()-9)/9)+1,MOD(ROW()-9,9)+1),"")</f>
        <v/>
      </c>
      <c r="C2171" s="9">
        <f t="shared" si="33"/>
        <v>0</v>
      </c>
    </row>
    <row r="2172" spans="1:3" x14ac:dyDescent="0.2">
      <c r="A2172" s="10" t="str">
        <f>IF(2164&gt;$C$9008,"",INDEX($B$9:$B$9008,MATCH(2164,$C$9:$C$9008,0)))</f>
        <v/>
      </c>
      <c r="B2172" s="9" t="str">
        <f>IFERROR(INDEX(Input!$L$20:$T$1019,INT((ROW()-9)/9)+1,MOD(ROW()-9,9)+1),"")</f>
        <v/>
      </c>
      <c r="C2172" s="9">
        <f t="shared" si="33"/>
        <v>0</v>
      </c>
    </row>
    <row r="2173" spans="1:3" x14ac:dyDescent="0.2">
      <c r="A2173" s="10" t="str">
        <f>IF(2165&gt;$C$9008,"",INDEX($B$9:$B$9008,MATCH(2165,$C$9:$C$9008,0)))</f>
        <v/>
      </c>
      <c r="B2173" s="9" t="str">
        <f>IFERROR(INDEX(Input!$L$20:$T$1019,INT((ROW()-9)/9)+1,MOD(ROW()-9,9)+1),"")</f>
        <v/>
      </c>
      <c r="C2173" s="9">
        <f t="shared" si="33"/>
        <v>0</v>
      </c>
    </row>
    <row r="2174" spans="1:3" x14ac:dyDescent="0.2">
      <c r="A2174" s="10" t="str">
        <f>IF(2166&gt;$C$9008,"",INDEX($B$9:$B$9008,MATCH(2166,$C$9:$C$9008,0)))</f>
        <v/>
      </c>
      <c r="B2174" s="9" t="str">
        <f>IFERROR(INDEX(Input!$L$20:$T$1019,INT((ROW()-9)/9)+1,MOD(ROW()-9,9)+1),"")</f>
        <v/>
      </c>
      <c r="C2174" s="9">
        <f t="shared" si="33"/>
        <v>0</v>
      </c>
    </row>
    <row r="2175" spans="1:3" x14ac:dyDescent="0.2">
      <c r="A2175" s="10" t="str">
        <f>IF(2167&gt;$C$9008,"",INDEX($B$9:$B$9008,MATCH(2167,$C$9:$C$9008,0)))</f>
        <v/>
      </c>
      <c r="B2175" s="9" t="str">
        <f>IFERROR(INDEX(Input!$L$20:$T$1019,INT((ROW()-9)/9)+1,MOD(ROW()-9,9)+1),"")</f>
        <v/>
      </c>
      <c r="C2175" s="9">
        <f t="shared" si="33"/>
        <v>0</v>
      </c>
    </row>
    <row r="2176" spans="1:3" x14ac:dyDescent="0.2">
      <c r="A2176" s="10" t="str">
        <f>IF(2168&gt;$C$9008,"",INDEX($B$9:$B$9008,MATCH(2168,$C$9:$C$9008,0)))</f>
        <v/>
      </c>
      <c r="B2176" s="9" t="str">
        <f>IFERROR(INDEX(Input!$L$20:$T$1019,INT((ROW()-9)/9)+1,MOD(ROW()-9,9)+1),"")</f>
        <v/>
      </c>
      <c r="C2176" s="9">
        <f t="shared" si="33"/>
        <v>0</v>
      </c>
    </row>
    <row r="2177" spans="1:3" x14ac:dyDescent="0.2">
      <c r="A2177" s="10" t="str">
        <f>IF(2169&gt;$C$9008,"",INDEX($B$9:$B$9008,MATCH(2169,$C$9:$C$9008,0)))</f>
        <v/>
      </c>
      <c r="B2177" s="9" t="str">
        <f>IFERROR(INDEX(Input!$L$20:$T$1019,INT((ROW()-9)/9)+1,MOD(ROW()-9,9)+1),"")</f>
        <v/>
      </c>
      <c r="C2177" s="9">
        <f t="shared" si="33"/>
        <v>0</v>
      </c>
    </row>
    <row r="2178" spans="1:3" x14ac:dyDescent="0.2">
      <c r="A2178" s="10" t="str">
        <f>IF(2170&gt;$C$9008,"",INDEX($B$9:$B$9008,MATCH(2170,$C$9:$C$9008,0)))</f>
        <v/>
      </c>
      <c r="B2178" s="9" t="str">
        <f>IFERROR(INDEX(Input!$L$20:$T$1019,INT((ROW()-9)/9)+1,MOD(ROW()-9,9)+1),"")</f>
        <v/>
      </c>
      <c r="C2178" s="9">
        <f t="shared" si="33"/>
        <v>0</v>
      </c>
    </row>
    <row r="2179" spans="1:3" x14ac:dyDescent="0.2">
      <c r="A2179" s="10" t="str">
        <f>IF(2171&gt;$C$9008,"",INDEX($B$9:$B$9008,MATCH(2171,$C$9:$C$9008,0)))</f>
        <v/>
      </c>
      <c r="B2179" s="9" t="str">
        <f>IFERROR(INDEX(Input!$L$20:$T$1019,INT((ROW()-9)/9)+1,MOD(ROW()-9,9)+1),"")</f>
        <v/>
      </c>
      <c r="C2179" s="9">
        <f t="shared" si="33"/>
        <v>0</v>
      </c>
    </row>
    <row r="2180" spans="1:3" x14ac:dyDescent="0.2">
      <c r="A2180" s="10" t="str">
        <f>IF(2172&gt;$C$9008,"",INDEX($B$9:$B$9008,MATCH(2172,$C$9:$C$9008,0)))</f>
        <v/>
      </c>
      <c r="B2180" s="9" t="str">
        <f>IFERROR(INDEX(Input!$L$20:$T$1019,INT((ROW()-9)/9)+1,MOD(ROW()-9,9)+1),"")</f>
        <v/>
      </c>
      <c r="C2180" s="9">
        <f t="shared" si="33"/>
        <v>0</v>
      </c>
    </row>
    <row r="2181" spans="1:3" x14ac:dyDescent="0.2">
      <c r="A2181" s="10" t="str">
        <f>IF(2173&gt;$C$9008,"",INDEX($B$9:$B$9008,MATCH(2173,$C$9:$C$9008,0)))</f>
        <v/>
      </c>
      <c r="B2181" s="9" t="str">
        <f>IFERROR(INDEX(Input!$L$20:$T$1019,INT((ROW()-9)/9)+1,MOD(ROW()-9,9)+1),"")</f>
        <v/>
      </c>
      <c r="C2181" s="9">
        <f t="shared" si="33"/>
        <v>0</v>
      </c>
    </row>
    <row r="2182" spans="1:3" x14ac:dyDescent="0.2">
      <c r="A2182" s="10" t="str">
        <f>IF(2174&gt;$C$9008,"",INDEX($B$9:$B$9008,MATCH(2174,$C$9:$C$9008,0)))</f>
        <v/>
      </c>
      <c r="B2182" s="9" t="str">
        <f>IFERROR(INDEX(Input!$L$20:$T$1019,INT((ROW()-9)/9)+1,MOD(ROW()-9,9)+1),"")</f>
        <v/>
      </c>
      <c r="C2182" s="9">
        <f t="shared" si="33"/>
        <v>0</v>
      </c>
    </row>
    <row r="2183" spans="1:3" x14ac:dyDescent="0.2">
      <c r="A2183" s="10" t="str">
        <f>IF(2175&gt;$C$9008,"",INDEX($B$9:$B$9008,MATCH(2175,$C$9:$C$9008,0)))</f>
        <v/>
      </c>
      <c r="B2183" s="9" t="str">
        <f>IFERROR(INDEX(Input!$L$20:$T$1019,INT((ROW()-9)/9)+1,MOD(ROW()-9,9)+1),"")</f>
        <v/>
      </c>
      <c r="C2183" s="9">
        <f t="shared" si="33"/>
        <v>0</v>
      </c>
    </row>
    <row r="2184" spans="1:3" x14ac:dyDescent="0.2">
      <c r="A2184" s="10" t="str">
        <f>IF(2176&gt;$C$9008,"",INDEX($B$9:$B$9008,MATCH(2176,$C$9:$C$9008,0)))</f>
        <v/>
      </c>
      <c r="B2184" s="9" t="str">
        <f>IFERROR(INDEX(Input!$L$20:$T$1019,INT((ROW()-9)/9)+1,MOD(ROW()-9,9)+1),"")</f>
        <v/>
      </c>
      <c r="C2184" s="9">
        <f t="shared" si="33"/>
        <v>0</v>
      </c>
    </row>
    <row r="2185" spans="1:3" x14ac:dyDescent="0.2">
      <c r="A2185" s="10" t="str">
        <f>IF(2177&gt;$C$9008,"",INDEX($B$9:$B$9008,MATCH(2177,$C$9:$C$9008,0)))</f>
        <v/>
      </c>
      <c r="B2185" s="9" t="str">
        <f>IFERROR(INDEX(Input!$L$20:$T$1019,INT((ROW()-9)/9)+1,MOD(ROW()-9,9)+1),"")</f>
        <v/>
      </c>
      <c r="C2185" s="9">
        <f t="shared" ref="C2185:C2248" si="34">$C2184+IF($B2185&lt;&gt;"",1,0)</f>
        <v>0</v>
      </c>
    </row>
    <row r="2186" spans="1:3" x14ac:dyDescent="0.2">
      <c r="A2186" s="10" t="str">
        <f>IF(2178&gt;$C$9008,"",INDEX($B$9:$B$9008,MATCH(2178,$C$9:$C$9008,0)))</f>
        <v/>
      </c>
      <c r="B2186" s="9" t="str">
        <f>IFERROR(INDEX(Input!$L$20:$T$1019,INT((ROW()-9)/9)+1,MOD(ROW()-9,9)+1),"")</f>
        <v/>
      </c>
      <c r="C2186" s="9">
        <f t="shared" si="34"/>
        <v>0</v>
      </c>
    </row>
    <row r="2187" spans="1:3" x14ac:dyDescent="0.2">
      <c r="A2187" s="10" t="str">
        <f>IF(2179&gt;$C$9008,"",INDEX($B$9:$B$9008,MATCH(2179,$C$9:$C$9008,0)))</f>
        <v/>
      </c>
      <c r="B2187" s="9" t="str">
        <f>IFERROR(INDEX(Input!$L$20:$T$1019,INT((ROW()-9)/9)+1,MOD(ROW()-9,9)+1),"")</f>
        <v/>
      </c>
      <c r="C2187" s="9">
        <f t="shared" si="34"/>
        <v>0</v>
      </c>
    </row>
    <row r="2188" spans="1:3" x14ac:dyDescent="0.2">
      <c r="A2188" s="10" t="str">
        <f>IF(2180&gt;$C$9008,"",INDEX($B$9:$B$9008,MATCH(2180,$C$9:$C$9008,0)))</f>
        <v/>
      </c>
      <c r="B2188" s="9" t="str">
        <f>IFERROR(INDEX(Input!$L$20:$T$1019,INT((ROW()-9)/9)+1,MOD(ROW()-9,9)+1),"")</f>
        <v/>
      </c>
      <c r="C2188" s="9">
        <f t="shared" si="34"/>
        <v>0</v>
      </c>
    </row>
    <row r="2189" spans="1:3" x14ac:dyDescent="0.2">
      <c r="A2189" s="10" t="str">
        <f>IF(2181&gt;$C$9008,"",INDEX($B$9:$B$9008,MATCH(2181,$C$9:$C$9008,0)))</f>
        <v/>
      </c>
      <c r="B2189" s="9" t="str">
        <f>IFERROR(INDEX(Input!$L$20:$T$1019,INT((ROW()-9)/9)+1,MOD(ROW()-9,9)+1),"")</f>
        <v/>
      </c>
      <c r="C2189" s="9">
        <f t="shared" si="34"/>
        <v>0</v>
      </c>
    </row>
    <row r="2190" spans="1:3" x14ac:dyDescent="0.2">
      <c r="A2190" s="10" t="str">
        <f>IF(2182&gt;$C$9008,"",INDEX($B$9:$B$9008,MATCH(2182,$C$9:$C$9008,0)))</f>
        <v/>
      </c>
      <c r="B2190" s="9" t="str">
        <f>IFERROR(INDEX(Input!$L$20:$T$1019,INT((ROW()-9)/9)+1,MOD(ROW()-9,9)+1),"")</f>
        <v/>
      </c>
      <c r="C2190" s="9">
        <f t="shared" si="34"/>
        <v>0</v>
      </c>
    </row>
    <row r="2191" spans="1:3" x14ac:dyDescent="0.2">
      <c r="A2191" s="10" t="str">
        <f>IF(2183&gt;$C$9008,"",INDEX($B$9:$B$9008,MATCH(2183,$C$9:$C$9008,0)))</f>
        <v/>
      </c>
      <c r="B2191" s="9" t="str">
        <f>IFERROR(INDEX(Input!$L$20:$T$1019,INT((ROW()-9)/9)+1,MOD(ROW()-9,9)+1),"")</f>
        <v/>
      </c>
      <c r="C2191" s="9">
        <f t="shared" si="34"/>
        <v>0</v>
      </c>
    </row>
    <row r="2192" spans="1:3" x14ac:dyDescent="0.2">
      <c r="A2192" s="10" t="str">
        <f>IF(2184&gt;$C$9008,"",INDEX($B$9:$B$9008,MATCH(2184,$C$9:$C$9008,0)))</f>
        <v/>
      </c>
      <c r="B2192" s="9" t="str">
        <f>IFERROR(INDEX(Input!$L$20:$T$1019,INT((ROW()-9)/9)+1,MOD(ROW()-9,9)+1),"")</f>
        <v/>
      </c>
      <c r="C2192" s="9">
        <f t="shared" si="34"/>
        <v>0</v>
      </c>
    </row>
    <row r="2193" spans="1:3" x14ac:dyDescent="0.2">
      <c r="A2193" s="10" t="str">
        <f>IF(2185&gt;$C$9008,"",INDEX($B$9:$B$9008,MATCH(2185,$C$9:$C$9008,0)))</f>
        <v/>
      </c>
      <c r="B2193" s="9" t="str">
        <f>IFERROR(INDEX(Input!$L$20:$T$1019,INT((ROW()-9)/9)+1,MOD(ROW()-9,9)+1),"")</f>
        <v/>
      </c>
      <c r="C2193" s="9">
        <f t="shared" si="34"/>
        <v>0</v>
      </c>
    </row>
    <row r="2194" spans="1:3" x14ac:dyDescent="0.2">
      <c r="A2194" s="10" t="str">
        <f>IF(2186&gt;$C$9008,"",INDEX($B$9:$B$9008,MATCH(2186,$C$9:$C$9008,0)))</f>
        <v/>
      </c>
      <c r="B2194" s="9" t="str">
        <f>IFERROR(INDEX(Input!$L$20:$T$1019,INT((ROW()-9)/9)+1,MOD(ROW()-9,9)+1),"")</f>
        <v/>
      </c>
      <c r="C2194" s="9">
        <f t="shared" si="34"/>
        <v>0</v>
      </c>
    </row>
    <row r="2195" spans="1:3" x14ac:dyDescent="0.2">
      <c r="A2195" s="10" t="str">
        <f>IF(2187&gt;$C$9008,"",INDEX($B$9:$B$9008,MATCH(2187,$C$9:$C$9008,0)))</f>
        <v/>
      </c>
      <c r="B2195" s="9" t="str">
        <f>IFERROR(INDEX(Input!$L$20:$T$1019,INT((ROW()-9)/9)+1,MOD(ROW()-9,9)+1),"")</f>
        <v/>
      </c>
      <c r="C2195" s="9">
        <f t="shared" si="34"/>
        <v>0</v>
      </c>
    </row>
    <row r="2196" spans="1:3" x14ac:dyDescent="0.2">
      <c r="A2196" s="10" t="str">
        <f>IF(2188&gt;$C$9008,"",INDEX($B$9:$B$9008,MATCH(2188,$C$9:$C$9008,0)))</f>
        <v/>
      </c>
      <c r="B2196" s="9" t="str">
        <f>IFERROR(INDEX(Input!$L$20:$T$1019,INT((ROW()-9)/9)+1,MOD(ROW()-9,9)+1),"")</f>
        <v/>
      </c>
      <c r="C2196" s="9">
        <f t="shared" si="34"/>
        <v>0</v>
      </c>
    </row>
    <row r="2197" spans="1:3" x14ac:dyDescent="0.2">
      <c r="A2197" s="10" t="str">
        <f>IF(2189&gt;$C$9008,"",INDEX($B$9:$B$9008,MATCH(2189,$C$9:$C$9008,0)))</f>
        <v/>
      </c>
      <c r="B2197" s="9" t="str">
        <f>IFERROR(INDEX(Input!$L$20:$T$1019,INT((ROW()-9)/9)+1,MOD(ROW()-9,9)+1),"")</f>
        <v/>
      </c>
      <c r="C2197" s="9">
        <f t="shared" si="34"/>
        <v>0</v>
      </c>
    </row>
    <row r="2198" spans="1:3" x14ac:dyDescent="0.2">
      <c r="A2198" s="10" t="str">
        <f>IF(2190&gt;$C$9008,"",INDEX($B$9:$B$9008,MATCH(2190,$C$9:$C$9008,0)))</f>
        <v/>
      </c>
      <c r="B2198" s="9" t="str">
        <f>IFERROR(INDEX(Input!$L$20:$T$1019,INT((ROW()-9)/9)+1,MOD(ROW()-9,9)+1),"")</f>
        <v/>
      </c>
      <c r="C2198" s="9">
        <f t="shared" si="34"/>
        <v>0</v>
      </c>
    </row>
    <row r="2199" spans="1:3" x14ac:dyDescent="0.2">
      <c r="A2199" s="10" t="str">
        <f>IF(2191&gt;$C$9008,"",INDEX($B$9:$B$9008,MATCH(2191,$C$9:$C$9008,0)))</f>
        <v/>
      </c>
      <c r="B2199" s="9" t="str">
        <f>IFERROR(INDEX(Input!$L$20:$T$1019,INT((ROW()-9)/9)+1,MOD(ROW()-9,9)+1),"")</f>
        <v/>
      </c>
      <c r="C2199" s="9">
        <f t="shared" si="34"/>
        <v>0</v>
      </c>
    </row>
    <row r="2200" spans="1:3" x14ac:dyDescent="0.2">
      <c r="A2200" s="10" t="str">
        <f>IF(2192&gt;$C$9008,"",INDEX($B$9:$B$9008,MATCH(2192,$C$9:$C$9008,0)))</f>
        <v/>
      </c>
      <c r="B2200" s="9" t="str">
        <f>IFERROR(INDEX(Input!$L$20:$T$1019,INT((ROW()-9)/9)+1,MOD(ROW()-9,9)+1),"")</f>
        <v/>
      </c>
      <c r="C2200" s="9">
        <f t="shared" si="34"/>
        <v>0</v>
      </c>
    </row>
    <row r="2201" spans="1:3" x14ac:dyDescent="0.2">
      <c r="A2201" s="10" t="str">
        <f>IF(2193&gt;$C$9008,"",INDEX($B$9:$B$9008,MATCH(2193,$C$9:$C$9008,0)))</f>
        <v/>
      </c>
      <c r="B2201" s="9" t="str">
        <f>IFERROR(INDEX(Input!$L$20:$T$1019,INT((ROW()-9)/9)+1,MOD(ROW()-9,9)+1),"")</f>
        <v/>
      </c>
      <c r="C2201" s="9">
        <f t="shared" si="34"/>
        <v>0</v>
      </c>
    </row>
    <row r="2202" spans="1:3" x14ac:dyDescent="0.2">
      <c r="A2202" s="10" t="str">
        <f>IF(2194&gt;$C$9008,"",INDEX($B$9:$B$9008,MATCH(2194,$C$9:$C$9008,0)))</f>
        <v/>
      </c>
      <c r="B2202" s="9" t="str">
        <f>IFERROR(INDEX(Input!$L$20:$T$1019,INT((ROW()-9)/9)+1,MOD(ROW()-9,9)+1),"")</f>
        <v/>
      </c>
      <c r="C2202" s="9">
        <f t="shared" si="34"/>
        <v>0</v>
      </c>
    </row>
    <row r="2203" spans="1:3" x14ac:dyDescent="0.2">
      <c r="A2203" s="10" t="str">
        <f>IF(2195&gt;$C$9008,"",INDEX($B$9:$B$9008,MATCH(2195,$C$9:$C$9008,0)))</f>
        <v/>
      </c>
      <c r="B2203" s="9" t="str">
        <f>IFERROR(INDEX(Input!$L$20:$T$1019,INT((ROW()-9)/9)+1,MOD(ROW()-9,9)+1),"")</f>
        <v/>
      </c>
      <c r="C2203" s="9">
        <f t="shared" si="34"/>
        <v>0</v>
      </c>
    </row>
    <row r="2204" spans="1:3" x14ac:dyDescent="0.2">
      <c r="A2204" s="10" t="str">
        <f>IF(2196&gt;$C$9008,"",INDEX($B$9:$B$9008,MATCH(2196,$C$9:$C$9008,0)))</f>
        <v/>
      </c>
      <c r="B2204" s="9" t="str">
        <f>IFERROR(INDEX(Input!$L$20:$T$1019,INT((ROW()-9)/9)+1,MOD(ROW()-9,9)+1),"")</f>
        <v/>
      </c>
      <c r="C2204" s="9">
        <f t="shared" si="34"/>
        <v>0</v>
      </c>
    </row>
    <row r="2205" spans="1:3" x14ac:dyDescent="0.2">
      <c r="A2205" s="10" t="str">
        <f>IF(2197&gt;$C$9008,"",INDEX($B$9:$B$9008,MATCH(2197,$C$9:$C$9008,0)))</f>
        <v/>
      </c>
      <c r="B2205" s="9" t="str">
        <f>IFERROR(INDEX(Input!$L$20:$T$1019,INT((ROW()-9)/9)+1,MOD(ROW()-9,9)+1),"")</f>
        <v/>
      </c>
      <c r="C2205" s="9">
        <f t="shared" si="34"/>
        <v>0</v>
      </c>
    </row>
    <row r="2206" spans="1:3" x14ac:dyDescent="0.2">
      <c r="A2206" s="10" t="str">
        <f>IF(2198&gt;$C$9008,"",INDEX($B$9:$B$9008,MATCH(2198,$C$9:$C$9008,0)))</f>
        <v/>
      </c>
      <c r="B2206" s="9" t="str">
        <f>IFERROR(INDEX(Input!$L$20:$T$1019,INT((ROW()-9)/9)+1,MOD(ROW()-9,9)+1),"")</f>
        <v/>
      </c>
      <c r="C2206" s="9">
        <f t="shared" si="34"/>
        <v>0</v>
      </c>
    </row>
    <row r="2207" spans="1:3" x14ac:dyDescent="0.2">
      <c r="A2207" s="10" t="str">
        <f>IF(2199&gt;$C$9008,"",INDEX($B$9:$B$9008,MATCH(2199,$C$9:$C$9008,0)))</f>
        <v/>
      </c>
      <c r="B2207" s="9" t="str">
        <f>IFERROR(INDEX(Input!$L$20:$T$1019,INT((ROW()-9)/9)+1,MOD(ROW()-9,9)+1),"")</f>
        <v/>
      </c>
      <c r="C2207" s="9">
        <f t="shared" si="34"/>
        <v>0</v>
      </c>
    </row>
    <row r="2208" spans="1:3" x14ac:dyDescent="0.2">
      <c r="A2208" s="10" t="str">
        <f>IF(2200&gt;$C$9008,"",INDEX($B$9:$B$9008,MATCH(2200,$C$9:$C$9008,0)))</f>
        <v/>
      </c>
      <c r="B2208" s="9" t="str">
        <f>IFERROR(INDEX(Input!$L$20:$T$1019,INT((ROW()-9)/9)+1,MOD(ROW()-9,9)+1),"")</f>
        <v/>
      </c>
      <c r="C2208" s="9">
        <f t="shared" si="34"/>
        <v>0</v>
      </c>
    </row>
    <row r="2209" spans="1:3" x14ac:dyDescent="0.2">
      <c r="A2209" s="10" t="str">
        <f>IF(2201&gt;$C$9008,"",INDEX($B$9:$B$9008,MATCH(2201,$C$9:$C$9008,0)))</f>
        <v/>
      </c>
      <c r="B2209" s="9" t="str">
        <f>IFERROR(INDEX(Input!$L$20:$T$1019,INT((ROW()-9)/9)+1,MOD(ROW()-9,9)+1),"")</f>
        <v/>
      </c>
      <c r="C2209" s="9">
        <f t="shared" si="34"/>
        <v>0</v>
      </c>
    </row>
    <row r="2210" spans="1:3" x14ac:dyDescent="0.2">
      <c r="A2210" s="10" t="str">
        <f>IF(2202&gt;$C$9008,"",INDEX($B$9:$B$9008,MATCH(2202,$C$9:$C$9008,0)))</f>
        <v/>
      </c>
      <c r="B2210" s="9" t="str">
        <f>IFERROR(INDEX(Input!$L$20:$T$1019,INT((ROW()-9)/9)+1,MOD(ROW()-9,9)+1),"")</f>
        <v/>
      </c>
      <c r="C2210" s="9">
        <f t="shared" si="34"/>
        <v>0</v>
      </c>
    </row>
    <row r="2211" spans="1:3" x14ac:dyDescent="0.2">
      <c r="A2211" s="10" t="str">
        <f>IF(2203&gt;$C$9008,"",INDEX($B$9:$B$9008,MATCH(2203,$C$9:$C$9008,0)))</f>
        <v/>
      </c>
      <c r="B2211" s="9" t="str">
        <f>IFERROR(INDEX(Input!$L$20:$T$1019,INT((ROW()-9)/9)+1,MOD(ROW()-9,9)+1),"")</f>
        <v/>
      </c>
      <c r="C2211" s="9">
        <f t="shared" si="34"/>
        <v>0</v>
      </c>
    </row>
    <row r="2212" spans="1:3" x14ac:dyDescent="0.2">
      <c r="A2212" s="10" t="str">
        <f>IF(2204&gt;$C$9008,"",INDEX($B$9:$B$9008,MATCH(2204,$C$9:$C$9008,0)))</f>
        <v/>
      </c>
      <c r="B2212" s="9" t="str">
        <f>IFERROR(INDEX(Input!$L$20:$T$1019,INT((ROW()-9)/9)+1,MOD(ROW()-9,9)+1),"")</f>
        <v/>
      </c>
      <c r="C2212" s="9">
        <f t="shared" si="34"/>
        <v>0</v>
      </c>
    </row>
    <row r="2213" spans="1:3" x14ac:dyDescent="0.2">
      <c r="A2213" s="10" t="str">
        <f>IF(2205&gt;$C$9008,"",INDEX($B$9:$B$9008,MATCH(2205,$C$9:$C$9008,0)))</f>
        <v/>
      </c>
      <c r="B2213" s="9" t="str">
        <f>IFERROR(INDEX(Input!$L$20:$T$1019,INT((ROW()-9)/9)+1,MOD(ROW()-9,9)+1),"")</f>
        <v/>
      </c>
      <c r="C2213" s="9">
        <f t="shared" si="34"/>
        <v>0</v>
      </c>
    </row>
    <row r="2214" spans="1:3" x14ac:dyDescent="0.2">
      <c r="A2214" s="10" t="str">
        <f>IF(2206&gt;$C$9008,"",INDEX($B$9:$B$9008,MATCH(2206,$C$9:$C$9008,0)))</f>
        <v/>
      </c>
      <c r="B2214" s="9" t="str">
        <f>IFERROR(INDEX(Input!$L$20:$T$1019,INT((ROW()-9)/9)+1,MOD(ROW()-9,9)+1),"")</f>
        <v/>
      </c>
      <c r="C2214" s="9">
        <f t="shared" si="34"/>
        <v>0</v>
      </c>
    </row>
    <row r="2215" spans="1:3" x14ac:dyDescent="0.2">
      <c r="A2215" s="10" t="str">
        <f>IF(2207&gt;$C$9008,"",INDEX($B$9:$B$9008,MATCH(2207,$C$9:$C$9008,0)))</f>
        <v/>
      </c>
      <c r="B2215" s="9" t="str">
        <f>IFERROR(INDEX(Input!$L$20:$T$1019,INT((ROW()-9)/9)+1,MOD(ROW()-9,9)+1),"")</f>
        <v/>
      </c>
      <c r="C2215" s="9">
        <f t="shared" si="34"/>
        <v>0</v>
      </c>
    </row>
    <row r="2216" spans="1:3" x14ac:dyDescent="0.2">
      <c r="A2216" s="10" t="str">
        <f>IF(2208&gt;$C$9008,"",INDEX($B$9:$B$9008,MATCH(2208,$C$9:$C$9008,0)))</f>
        <v/>
      </c>
      <c r="B2216" s="9" t="str">
        <f>IFERROR(INDEX(Input!$L$20:$T$1019,INT((ROW()-9)/9)+1,MOD(ROW()-9,9)+1),"")</f>
        <v/>
      </c>
      <c r="C2216" s="9">
        <f t="shared" si="34"/>
        <v>0</v>
      </c>
    </row>
    <row r="2217" spans="1:3" x14ac:dyDescent="0.2">
      <c r="A2217" s="10" t="str">
        <f>IF(2209&gt;$C$9008,"",INDEX($B$9:$B$9008,MATCH(2209,$C$9:$C$9008,0)))</f>
        <v/>
      </c>
      <c r="B2217" s="9" t="str">
        <f>IFERROR(INDEX(Input!$L$20:$T$1019,INT((ROW()-9)/9)+1,MOD(ROW()-9,9)+1),"")</f>
        <v/>
      </c>
      <c r="C2217" s="9">
        <f t="shared" si="34"/>
        <v>0</v>
      </c>
    </row>
    <row r="2218" spans="1:3" x14ac:dyDescent="0.2">
      <c r="A2218" s="10" t="str">
        <f>IF(2210&gt;$C$9008,"",INDEX($B$9:$B$9008,MATCH(2210,$C$9:$C$9008,0)))</f>
        <v/>
      </c>
      <c r="B2218" s="9" t="str">
        <f>IFERROR(INDEX(Input!$L$20:$T$1019,INT((ROW()-9)/9)+1,MOD(ROW()-9,9)+1),"")</f>
        <v/>
      </c>
      <c r="C2218" s="9">
        <f t="shared" si="34"/>
        <v>0</v>
      </c>
    </row>
    <row r="2219" spans="1:3" x14ac:dyDescent="0.2">
      <c r="A2219" s="10" t="str">
        <f>IF(2211&gt;$C$9008,"",INDEX($B$9:$B$9008,MATCH(2211,$C$9:$C$9008,0)))</f>
        <v/>
      </c>
      <c r="B2219" s="9" t="str">
        <f>IFERROR(INDEX(Input!$L$20:$T$1019,INT((ROW()-9)/9)+1,MOD(ROW()-9,9)+1),"")</f>
        <v/>
      </c>
      <c r="C2219" s="9">
        <f t="shared" si="34"/>
        <v>0</v>
      </c>
    </row>
    <row r="2220" spans="1:3" x14ac:dyDescent="0.2">
      <c r="A2220" s="10" t="str">
        <f>IF(2212&gt;$C$9008,"",INDEX($B$9:$B$9008,MATCH(2212,$C$9:$C$9008,0)))</f>
        <v/>
      </c>
      <c r="B2220" s="9" t="str">
        <f>IFERROR(INDEX(Input!$L$20:$T$1019,INT((ROW()-9)/9)+1,MOD(ROW()-9,9)+1),"")</f>
        <v/>
      </c>
      <c r="C2220" s="9">
        <f t="shared" si="34"/>
        <v>0</v>
      </c>
    </row>
    <row r="2221" spans="1:3" x14ac:dyDescent="0.2">
      <c r="A2221" s="10" t="str">
        <f>IF(2213&gt;$C$9008,"",INDEX($B$9:$B$9008,MATCH(2213,$C$9:$C$9008,0)))</f>
        <v/>
      </c>
      <c r="B2221" s="9" t="str">
        <f>IFERROR(INDEX(Input!$L$20:$T$1019,INT((ROW()-9)/9)+1,MOD(ROW()-9,9)+1),"")</f>
        <v/>
      </c>
      <c r="C2221" s="9">
        <f t="shared" si="34"/>
        <v>0</v>
      </c>
    </row>
    <row r="2222" spans="1:3" x14ac:dyDescent="0.2">
      <c r="A2222" s="10" t="str">
        <f>IF(2214&gt;$C$9008,"",INDEX($B$9:$B$9008,MATCH(2214,$C$9:$C$9008,0)))</f>
        <v/>
      </c>
      <c r="B2222" s="9" t="str">
        <f>IFERROR(INDEX(Input!$L$20:$T$1019,INT((ROW()-9)/9)+1,MOD(ROW()-9,9)+1),"")</f>
        <v/>
      </c>
      <c r="C2222" s="9">
        <f t="shared" si="34"/>
        <v>0</v>
      </c>
    </row>
    <row r="2223" spans="1:3" x14ac:dyDescent="0.2">
      <c r="A2223" s="10" t="str">
        <f>IF(2215&gt;$C$9008,"",INDEX($B$9:$B$9008,MATCH(2215,$C$9:$C$9008,0)))</f>
        <v/>
      </c>
      <c r="B2223" s="9" t="str">
        <f>IFERROR(INDEX(Input!$L$20:$T$1019,INT((ROW()-9)/9)+1,MOD(ROW()-9,9)+1),"")</f>
        <v/>
      </c>
      <c r="C2223" s="9">
        <f t="shared" si="34"/>
        <v>0</v>
      </c>
    </row>
    <row r="2224" spans="1:3" x14ac:dyDescent="0.2">
      <c r="A2224" s="10" t="str">
        <f>IF(2216&gt;$C$9008,"",INDEX($B$9:$B$9008,MATCH(2216,$C$9:$C$9008,0)))</f>
        <v/>
      </c>
      <c r="B2224" s="9" t="str">
        <f>IFERROR(INDEX(Input!$L$20:$T$1019,INT((ROW()-9)/9)+1,MOD(ROW()-9,9)+1),"")</f>
        <v/>
      </c>
      <c r="C2224" s="9">
        <f t="shared" si="34"/>
        <v>0</v>
      </c>
    </row>
    <row r="2225" spans="1:3" x14ac:dyDescent="0.2">
      <c r="A2225" s="10" t="str">
        <f>IF(2217&gt;$C$9008,"",INDEX($B$9:$B$9008,MATCH(2217,$C$9:$C$9008,0)))</f>
        <v/>
      </c>
      <c r="B2225" s="9" t="str">
        <f>IFERROR(INDEX(Input!$L$20:$T$1019,INT((ROW()-9)/9)+1,MOD(ROW()-9,9)+1),"")</f>
        <v/>
      </c>
      <c r="C2225" s="9">
        <f t="shared" si="34"/>
        <v>0</v>
      </c>
    </row>
    <row r="2226" spans="1:3" x14ac:dyDescent="0.2">
      <c r="A2226" s="10" t="str">
        <f>IF(2218&gt;$C$9008,"",INDEX($B$9:$B$9008,MATCH(2218,$C$9:$C$9008,0)))</f>
        <v/>
      </c>
      <c r="B2226" s="9" t="str">
        <f>IFERROR(INDEX(Input!$L$20:$T$1019,INT((ROW()-9)/9)+1,MOD(ROW()-9,9)+1),"")</f>
        <v/>
      </c>
      <c r="C2226" s="9">
        <f t="shared" si="34"/>
        <v>0</v>
      </c>
    </row>
    <row r="2227" spans="1:3" x14ac:dyDescent="0.2">
      <c r="A2227" s="10" t="str">
        <f>IF(2219&gt;$C$9008,"",INDEX($B$9:$B$9008,MATCH(2219,$C$9:$C$9008,0)))</f>
        <v/>
      </c>
      <c r="B2227" s="9" t="str">
        <f>IFERROR(INDEX(Input!$L$20:$T$1019,INT((ROW()-9)/9)+1,MOD(ROW()-9,9)+1),"")</f>
        <v/>
      </c>
      <c r="C2227" s="9">
        <f t="shared" si="34"/>
        <v>0</v>
      </c>
    </row>
    <row r="2228" spans="1:3" x14ac:dyDescent="0.2">
      <c r="A2228" s="10" t="str">
        <f>IF(2220&gt;$C$9008,"",INDEX($B$9:$B$9008,MATCH(2220,$C$9:$C$9008,0)))</f>
        <v/>
      </c>
      <c r="B2228" s="9" t="str">
        <f>IFERROR(INDEX(Input!$L$20:$T$1019,INT((ROW()-9)/9)+1,MOD(ROW()-9,9)+1),"")</f>
        <v/>
      </c>
      <c r="C2228" s="9">
        <f t="shared" si="34"/>
        <v>0</v>
      </c>
    </row>
    <row r="2229" spans="1:3" x14ac:dyDescent="0.2">
      <c r="A2229" s="10" t="str">
        <f>IF(2221&gt;$C$9008,"",INDEX($B$9:$B$9008,MATCH(2221,$C$9:$C$9008,0)))</f>
        <v/>
      </c>
      <c r="B2229" s="9" t="str">
        <f>IFERROR(INDEX(Input!$L$20:$T$1019,INT((ROW()-9)/9)+1,MOD(ROW()-9,9)+1),"")</f>
        <v/>
      </c>
      <c r="C2229" s="9">
        <f t="shared" si="34"/>
        <v>0</v>
      </c>
    </row>
    <row r="2230" spans="1:3" x14ac:dyDescent="0.2">
      <c r="A2230" s="10" t="str">
        <f>IF(2222&gt;$C$9008,"",INDEX($B$9:$B$9008,MATCH(2222,$C$9:$C$9008,0)))</f>
        <v/>
      </c>
      <c r="B2230" s="9" t="str">
        <f>IFERROR(INDEX(Input!$L$20:$T$1019,INT((ROW()-9)/9)+1,MOD(ROW()-9,9)+1),"")</f>
        <v/>
      </c>
      <c r="C2230" s="9">
        <f t="shared" si="34"/>
        <v>0</v>
      </c>
    </row>
    <row r="2231" spans="1:3" x14ac:dyDescent="0.2">
      <c r="A2231" s="10" t="str">
        <f>IF(2223&gt;$C$9008,"",INDEX($B$9:$B$9008,MATCH(2223,$C$9:$C$9008,0)))</f>
        <v/>
      </c>
      <c r="B2231" s="9" t="str">
        <f>IFERROR(INDEX(Input!$L$20:$T$1019,INT((ROW()-9)/9)+1,MOD(ROW()-9,9)+1),"")</f>
        <v/>
      </c>
      <c r="C2231" s="9">
        <f t="shared" si="34"/>
        <v>0</v>
      </c>
    </row>
    <row r="2232" spans="1:3" x14ac:dyDescent="0.2">
      <c r="A2232" s="10" t="str">
        <f>IF(2224&gt;$C$9008,"",INDEX($B$9:$B$9008,MATCH(2224,$C$9:$C$9008,0)))</f>
        <v/>
      </c>
      <c r="B2232" s="9" t="str">
        <f>IFERROR(INDEX(Input!$L$20:$T$1019,INT((ROW()-9)/9)+1,MOD(ROW()-9,9)+1),"")</f>
        <v/>
      </c>
      <c r="C2232" s="9">
        <f t="shared" si="34"/>
        <v>0</v>
      </c>
    </row>
    <row r="2233" spans="1:3" x14ac:dyDescent="0.2">
      <c r="A2233" s="10" t="str">
        <f>IF(2225&gt;$C$9008,"",INDEX($B$9:$B$9008,MATCH(2225,$C$9:$C$9008,0)))</f>
        <v/>
      </c>
      <c r="B2233" s="9" t="str">
        <f>IFERROR(INDEX(Input!$L$20:$T$1019,INT((ROW()-9)/9)+1,MOD(ROW()-9,9)+1),"")</f>
        <v/>
      </c>
      <c r="C2233" s="9">
        <f t="shared" si="34"/>
        <v>0</v>
      </c>
    </row>
    <row r="2234" spans="1:3" x14ac:dyDescent="0.2">
      <c r="A2234" s="10" t="str">
        <f>IF(2226&gt;$C$9008,"",INDEX($B$9:$B$9008,MATCH(2226,$C$9:$C$9008,0)))</f>
        <v/>
      </c>
      <c r="B2234" s="9" t="str">
        <f>IFERROR(INDEX(Input!$L$20:$T$1019,INT((ROW()-9)/9)+1,MOD(ROW()-9,9)+1),"")</f>
        <v/>
      </c>
      <c r="C2234" s="9">
        <f t="shared" si="34"/>
        <v>0</v>
      </c>
    </row>
    <row r="2235" spans="1:3" x14ac:dyDescent="0.2">
      <c r="A2235" s="10" t="str">
        <f>IF(2227&gt;$C$9008,"",INDEX($B$9:$B$9008,MATCH(2227,$C$9:$C$9008,0)))</f>
        <v/>
      </c>
      <c r="B2235" s="9" t="str">
        <f>IFERROR(INDEX(Input!$L$20:$T$1019,INT((ROW()-9)/9)+1,MOD(ROW()-9,9)+1),"")</f>
        <v/>
      </c>
      <c r="C2235" s="9">
        <f t="shared" si="34"/>
        <v>0</v>
      </c>
    </row>
    <row r="2236" spans="1:3" x14ac:dyDescent="0.2">
      <c r="A2236" s="10" t="str">
        <f>IF(2228&gt;$C$9008,"",INDEX($B$9:$B$9008,MATCH(2228,$C$9:$C$9008,0)))</f>
        <v/>
      </c>
      <c r="B2236" s="9" t="str">
        <f>IFERROR(INDEX(Input!$L$20:$T$1019,INT((ROW()-9)/9)+1,MOD(ROW()-9,9)+1),"")</f>
        <v/>
      </c>
      <c r="C2236" s="9">
        <f t="shared" si="34"/>
        <v>0</v>
      </c>
    </row>
    <row r="2237" spans="1:3" x14ac:dyDescent="0.2">
      <c r="A2237" s="10" t="str">
        <f>IF(2229&gt;$C$9008,"",INDEX($B$9:$B$9008,MATCH(2229,$C$9:$C$9008,0)))</f>
        <v/>
      </c>
      <c r="B2237" s="9" t="str">
        <f>IFERROR(INDEX(Input!$L$20:$T$1019,INT((ROW()-9)/9)+1,MOD(ROW()-9,9)+1),"")</f>
        <v/>
      </c>
      <c r="C2237" s="9">
        <f t="shared" si="34"/>
        <v>0</v>
      </c>
    </row>
    <row r="2238" spans="1:3" x14ac:dyDescent="0.2">
      <c r="A2238" s="10" t="str">
        <f>IF(2230&gt;$C$9008,"",INDEX($B$9:$B$9008,MATCH(2230,$C$9:$C$9008,0)))</f>
        <v/>
      </c>
      <c r="B2238" s="9" t="str">
        <f>IFERROR(INDEX(Input!$L$20:$T$1019,INT((ROW()-9)/9)+1,MOD(ROW()-9,9)+1),"")</f>
        <v/>
      </c>
      <c r="C2238" s="9">
        <f t="shared" si="34"/>
        <v>0</v>
      </c>
    </row>
    <row r="2239" spans="1:3" x14ac:dyDescent="0.2">
      <c r="A2239" s="10" t="str">
        <f>IF(2231&gt;$C$9008,"",INDEX($B$9:$B$9008,MATCH(2231,$C$9:$C$9008,0)))</f>
        <v/>
      </c>
      <c r="B2239" s="9" t="str">
        <f>IFERROR(INDEX(Input!$L$20:$T$1019,INT((ROW()-9)/9)+1,MOD(ROW()-9,9)+1),"")</f>
        <v/>
      </c>
      <c r="C2239" s="9">
        <f t="shared" si="34"/>
        <v>0</v>
      </c>
    </row>
    <row r="2240" spans="1:3" x14ac:dyDescent="0.2">
      <c r="A2240" s="10" t="str">
        <f>IF(2232&gt;$C$9008,"",INDEX($B$9:$B$9008,MATCH(2232,$C$9:$C$9008,0)))</f>
        <v/>
      </c>
      <c r="B2240" s="9" t="str">
        <f>IFERROR(INDEX(Input!$L$20:$T$1019,INT((ROW()-9)/9)+1,MOD(ROW()-9,9)+1),"")</f>
        <v/>
      </c>
      <c r="C2240" s="9">
        <f t="shared" si="34"/>
        <v>0</v>
      </c>
    </row>
    <row r="2241" spans="1:3" x14ac:dyDescent="0.2">
      <c r="A2241" s="10" t="str">
        <f>IF(2233&gt;$C$9008,"",INDEX($B$9:$B$9008,MATCH(2233,$C$9:$C$9008,0)))</f>
        <v/>
      </c>
      <c r="B2241" s="9" t="str">
        <f>IFERROR(INDEX(Input!$L$20:$T$1019,INT((ROW()-9)/9)+1,MOD(ROW()-9,9)+1),"")</f>
        <v/>
      </c>
      <c r="C2241" s="9">
        <f t="shared" si="34"/>
        <v>0</v>
      </c>
    </row>
    <row r="2242" spans="1:3" x14ac:dyDescent="0.2">
      <c r="A2242" s="10" t="str">
        <f>IF(2234&gt;$C$9008,"",INDEX($B$9:$B$9008,MATCH(2234,$C$9:$C$9008,0)))</f>
        <v/>
      </c>
      <c r="B2242" s="9" t="str">
        <f>IFERROR(INDEX(Input!$L$20:$T$1019,INT((ROW()-9)/9)+1,MOD(ROW()-9,9)+1),"")</f>
        <v/>
      </c>
      <c r="C2242" s="9">
        <f t="shared" si="34"/>
        <v>0</v>
      </c>
    </row>
    <row r="2243" spans="1:3" x14ac:dyDescent="0.2">
      <c r="A2243" s="10" t="str">
        <f>IF(2235&gt;$C$9008,"",INDEX($B$9:$B$9008,MATCH(2235,$C$9:$C$9008,0)))</f>
        <v/>
      </c>
      <c r="B2243" s="9" t="str">
        <f>IFERROR(INDEX(Input!$L$20:$T$1019,INT((ROW()-9)/9)+1,MOD(ROW()-9,9)+1),"")</f>
        <v/>
      </c>
      <c r="C2243" s="9">
        <f t="shared" si="34"/>
        <v>0</v>
      </c>
    </row>
    <row r="2244" spans="1:3" x14ac:dyDescent="0.2">
      <c r="A2244" s="10" t="str">
        <f>IF(2236&gt;$C$9008,"",INDEX($B$9:$B$9008,MATCH(2236,$C$9:$C$9008,0)))</f>
        <v/>
      </c>
      <c r="B2244" s="9" t="str">
        <f>IFERROR(INDEX(Input!$L$20:$T$1019,INT((ROW()-9)/9)+1,MOD(ROW()-9,9)+1),"")</f>
        <v/>
      </c>
      <c r="C2244" s="9">
        <f t="shared" si="34"/>
        <v>0</v>
      </c>
    </row>
    <row r="2245" spans="1:3" x14ac:dyDescent="0.2">
      <c r="A2245" s="10" t="str">
        <f>IF(2237&gt;$C$9008,"",INDEX($B$9:$B$9008,MATCH(2237,$C$9:$C$9008,0)))</f>
        <v/>
      </c>
      <c r="B2245" s="9" t="str">
        <f>IFERROR(INDEX(Input!$L$20:$T$1019,INT((ROW()-9)/9)+1,MOD(ROW()-9,9)+1),"")</f>
        <v/>
      </c>
      <c r="C2245" s="9">
        <f t="shared" si="34"/>
        <v>0</v>
      </c>
    </row>
    <row r="2246" spans="1:3" x14ac:dyDescent="0.2">
      <c r="A2246" s="10" t="str">
        <f>IF(2238&gt;$C$9008,"",INDEX($B$9:$B$9008,MATCH(2238,$C$9:$C$9008,0)))</f>
        <v/>
      </c>
      <c r="B2246" s="9" t="str">
        <f>IFERROR(INDEX(Input!$L$20:$T$1019,INT((ROW()-9)/9)+1,MOD(ROW()-9,9)+1),"")</f>
        <v/>
      </c>
      <c r="C2246" s="9">
        <f t="shared" si="34"/>
        <v>0</v>
      </c>
    </row>
    <row r="2247" spans="1:3" x14ac:dyDescent="0.2">
      <c r="A2247" s="10" t="str">
        <f>IF(2239&gt;$C$9008,"",INDEX($B$9:$B$9008,MATCH(2239,$C$9:$C$9008,0)))</f>
        <v/>
      </c>
      <c r="B2247" s="9" t="str">
        <f>IFERROR(INDEX(Input!$L$20:$T$1019,INT((ROW()-9)/9)+1,MOD(ROW()-9,9)+1),"")</f>
        <v/>
      </c>
      <c r="C2247" s="9">
        <f t="shared" si="34"/>
        <v>0</v>
      </c>
    </row>
    <row r="2248" spans="1:3" x14ac:dyDescent="0.2">
      <c r="A2248" s="10" t="str">
        <f>IF(2240&gt;$C$9008,"",INDEX($B$9:$B$9008,MATCH(2240,$C$9:$C$9008,0)))</f>
        <v/>
      </c>
      <c r="B2248" s="9" t="str">
        <f>IFERROR(INDEX(Input!$L$20:$T$1019,INT((ROW()-9)/9)+1,MOD(ROW()-9,9)+1),"")</f>
        <v/>
      </c>
      <c r="C2248" s="9">
        <f t="shared" si="34"/>
        <v>0</v>
      </c>
    </row>
    <row r="2249" spans="1:3" x14ac:dyDescent="0.2">
      <c r="A2249" s="10" t="str">
        <f>IF(2241&gt;$C$9008,"",INDEX($B$9:$B$9008,MATCH(2241,$C$9:$C$9008,0)))</f>
        <v/>
      </c>
      <c r="B2249" s="9" t="str">
        <f>IFERROR(INDEX(Input!$L$20:$T$1019,INT((ROW()-9)/9)+1,MOD(ROW()-9,9)+1),"")</f>
        <v/>
      </c>
      <c r="C2249" s="9">
        <f t="shared" ref="C2249:C2312" si="35">$C2248+IF($B2249&lt;&gt;"",1,0)</f>
        <v>0</v>
      </c>
    </row>
    <row r="2250" spans="1:3" x14ac:dyDescent="0.2">
      <c r="A2250" s="10" t="str">
        <f>IF(2242&gt;$C$9008,"",INDEX($B$9:$B$9008,MATCH(2242,$C$9:$C$9008,0)))</f>
        <v/>
      </c>
      <c r="B2250" s="9" t="str">
        <f>IFERROR(INDEX(Input!$L$20:$T$1019,INT((ROW()-9)/9)+1,MOD(ROW()-9,9)+1),"")</f>
        <v/>
      </c>
      <c r="C2250" s="9">
        <f t="shared" si="35"/>
        <v>0</v>
      </c>
    </row>
    <row r="2251" spans="1:3" x14ac:dyDescent="0.2">
      <c r="A2251" s="10" t="str">
        <f>IF(2243&gt;$C$9008,"",INDEX($B$9:$B$9008,MATCH(2243,$C$9:$C$9008,0)))</f>
        <v/>
      </c>
      <c r="B2251" s="9" t="str">
        <f>IFERROR(INDEX(Input!$L$20:$T$1019,INT((ROW()-9)/9)+1,MOD(ROW()-9,9)+1),"")</f>
        <v/>
      </c>
      <c r="C2251" s="9">
        <f t="shared" si="35"/>
        <v>0</v>
      </c>
    </row>
    <row r="2252" spans="1:3" x14ac:dyDescent="0.2">
      <c r="A2252" s="10" t="str">
        <f>IF(2244&gt;$C$9008,"",INDEX($B$9:$B$9008,MATCH(2244,$C$9:$C$9008,0)))</f>
        <v/>
      </c>
      <c r="B2252" s="9" t="str">
        <f>IFERROR(INDEX(Input!$L$20:$T$1019,INT((ROW()-9)/9)+1,MOD(ROW()-9,9)+1),"")</f>
        <v/>
      </c>
      <c r="C2252" s="9">
        <f t="shared" si="35"/>
        <v>0</v>
      </c>
    </row>
    <row r="2253" spans="1:3" x14ac:dyDescent="0.2">
      <c r="A2253" s="10" t="str">
        <f>IF(2245&gt;$C$9008,"",INDEX($B$9:$B$9008,MATCH(2245,$C$9:$C$9008,0)))</f>
        <v/>
      </c>
      <c r="B2253" s="9" t="str">
        <f>IFERROR(INDEX(Input!$L$20:$T$1019,INT((ROW()-9)/9)+1,MOD(ROW()-9,9)+1),"")</f>
        <v/>
      </c>
      <c r="C2253" s="9">
        <f t="shared" si="35"/>
        <v>0</v>
      </c>
    </row>
    <row r="2254" spans="1:3" x14ac:dyDescent="0.2">
      <c r="A2254" s="10" t="str">
        <f>IF(2246&gt;$C$9008,"",INDEX($B$9:$B$9008,MATCH(2246,$C$9:$C$9008,0)))</f>
        <v/>
      </c>
      <c r="B2254" s="9" t="str">
        <f>IFERROR(INDEX(Input!$L$20:$T$1019,INT((ROW()-9)/9)+1,MOD(ROW()-9,9)+1),"")</f>
        <v/>
      </c>
      <c r="C2254" s="9">
        <f t="shared" si="35"/>
        <v>0</v>
      </c>
    </row>
    <row r="2255" spans="1:3" x14ac:dyDescent="0.2">
      <c r="A2255" s="10" t="str">
        <f>IF(2247&gt;$C$9008,"",INDEX($B$9:$B$9008,MATCH(2247,$C$9:$C$9008,0)))</f>
        <v/>
      </c>
      <c r="B2255" s="9" t="str">
        <f>IFERROR(INDEX(Input!$L$20:$T$1019,INT((ROW()-9)/9)+1,MOD(ROW()-9,9)+1),"")</f>
        <v/>
      </c>
      <c r="C2255" s="9">
        <f t="shared" si="35"/>
        <v>0</v>
      </c>
    </row>
    <row r="2256" spans="1:3" x14ac:dyDescent="0.2">
      <c r="A2256" s="10" t="str">
        <f>IF(2248&gt;$C$9008,"",INDEX($B$9:$B$9008,MATCH(2248,$C$9:$C$9008,0)))</f>
        <v/>
      </c>
      <c r="B2256" s="9" t="str">
        <f>IFERROR(INDEX(Input!$L$20:$T$1019,INT((ROW()-9)/9)+1,MOD(ROW()-9,9)+1),"")</f>
        <v/>
      </c>
      <c r="C2256" s="9">
        <f t="shared" si="35"/>
        <v>0</v>
      </c>
    </row>
    <row r="2257" spans="1:3" x14ac:dyDescent="0.2">
      <c r="A2257" s="10" t="str">
        <f>IF(2249&gt;$C$9008,"",INDEX($B$9:$B$9008,MATCH(2249,$C$9:$C$9008,0)))</f>
        <v/>
      </c>
      <c r="B2257" s="9" t="str">
        <f>IFERROR(INDEX(Input!$L$20:$T$1019,INT((ROW()-9)/9)+1,MOD(ROW()-9,9)+1),"")</f>
        <v/>
      </c>
      <c r="C2257" s="9">
        <f t="shared" si="35"/>
        <v>0</v>
      </c>
    </row>
    <row r="2258" spans="1:3" x14ac:dyDescent="0.2">
      <c r="A2258" s="10" t="str">
        <f>IF(2250&gt;$C$9008,"",INDEX($B$9:$B$9008,MATCH(2250,$C$9:$C$9008,0)))</f>
        <v/>
      </c>
      <c r="B2258" s="9" t="str">
        <f>IFERROR(INDEX(Input!$L$20:$T$1019,INT((ROW()-9)/9)+1,MOD(ROW()-9,9)+1),"")</f>
        <v/>
      </c>
      <c r="C2258" s="9">
        <f t="shared" si="35"/>
        <v>0</v>
      </c>
    </row>
    <row r="2259" spans="1:3" x14ac:dyDescent="0.2">
      <c r="A2259" s="10" t="str">
        <f>IF(2251&gt;$C$9008,"",INDEX($B$9:$B$9008,MATCH(2251,$C$9:$C$9008,0)))</f>
        <v/>
      </c>
      <c r="B2259" s="9" t="str">
        <f>IFERROR(INDEX(Input!$L$20:$T$1019,INT((ROW()-9)/9)+1,MOD(ROW()-9,9)+1),"")</f>
        <v/>
      </c>
      <c r="C2259" s="9">
        <f t="shared" si="35"/>
        <v>0</v>
      </c>
    </row>
    <row r="2260" spans="1:3" x14ac:dyDescent="0.2">
      <c r="A2260" s="10" t="str">
        <f>IF(2252&gt;$C$9008,"",INDEX($B$9:$B$9008,MATCH(2252,$C$9:$C$9008,0)))</f>
        <v/>
      </c>
      <c r="B2260" s="9" t="str">
        <f>IFERROR(INDEX(Input!$L$20:$T$1019,INT((ROW()-9)/9)+1,MOD(ROW()-9,9)+1),"")</f>
        <v/>
      </c>
      <c r="C2260" s="9">
        <f t="shared" si="35"/>
        <v>0</v>
      </c>
    </row>
    <row r="2261" spans="1:3" x14ac:dyDescent="0.2">
      <c r="A2261" s="10" t="str">
        <f>IF(2253&gt;$C$9008,"",INDEX($B$9:$B$9008,MATCH(2253,$C$9:$C$9008,0)))</f>
        <v/>
      </c>
      <c r="B2261" s="9" t="str">
        <f>IFERROR(INDEX(Input!$L$20:$T$1019,INT((ROW()-9)/9)+1,MOD(ROW()-9,9)+1),"")</f>
        <v/>
      </c>
      <c r="C2261" s="9">
        <f t="shared" si="35"/>
        <v>0</v>
      </c>
    </row>
    <row r="2262" spans="1:3" x14ac:dyDescent="0.2">
      <c r="A2262" s="10" t="str">
        <f>IF(2254&gt;$C$9008,"",INDEX($B$9:$B$9008,MATCH(2254,$C$9:$C$9008,0)))</f>
        <v/>
      </c>
      <c r="B2262" s="9" t="str">
        <f>IFERROR(INDEX(Input!$L$20:$T$1019,INT((ROW()-9)/9)+1,MOD(ROW()-9,9)+1),"")</f>
        <v/>
      </c>
      <c r="C2262" s="9">
        <f t="shared" si="35"/>
        <v>0</v>
      </c>
    </row>
    <row r="2263" spans="1:3" x14ac:dyDescent="0.2">
      <c r="A2263" s="10" t="str">
        <f>IF(2255&gt;$C$9008,"",INDEX($B$9:$B$9008,MATCH(2255,$C$9:$C$9008,0)))</f>
        <v/>
      </c>
      <c r="B2263" s="9" t="str">
        <f>IFERROR(INDEX(Input!$L$20:$T$1019,INT((ROW()-9)/9)+1,MOD(ROW()-9,9)+1),"")</f>
        <v/>
      </c>
      <c r="C2263" s="9">
        <f t="shared" si="35"/>
        <v>0</v>
      </c>
    </row>
    <row r="2264" spans="1:3" x14ac:dyDescent="0.2">
      <c r="A2264" s="10" t="str">
        <f>IF(2256&gt;$C$9008,"",INDEX($B$9:$B$9008,MATCH(2256,$C$9:$C$9008,0)))</f>
        <v/>
      </c>
      <c r="B2264" s="9" t="str">
        <f>IFERROR(INDEX(Input!$L$20:$T$1019,INT((ROW()-9)/9)+1,MOD(ROW()-9,9)+1),"")</f>
        <v/>
      </c>
      <c r="C2264" s="9">
        <f t="shared" si="35"/>
        <v>0</v>
      </c>
    </row>
    <row r="2265" spans="1:3" x14ac:dyDescent="0.2">
      <c r="A2265" s="10" t="str">
        <f>IF(2257&gt;$C$9008,"",INDEX($B$9:$B$9008,MATCH(2257,$C$9:$C$9008,0)))</f>
        <v/>
      </c>
      <c r="B2265" s="9" t="str">
        <f>IFERROR(INDEX(Input!$L$20:$T$1019,INT((ROW()-9)/9)+1,MOD(ROW()-9,9)+1),"")</f>
        <v/>
      </c>
      <c r="C2265" s="9">
        <f t="shared" si="35"/>
        <v>0</v>
      </c>
    </row>
    <row r="2266" spans="1:3" x14ac:dyDescent="0.2">
      <c r="A2266" s="10" t="str">
        <f>IF(2258&gt;$C$9008,"",INDEX($B$9:$B$9008,MATCH(2258,$C$9:$C$9008,0)))</f>
        <v/>
      </c>
      <c r="B2266" s="9" t="str">
        <f>IFERROR(INDEX(Input!$L$20:$T$1019,INT((ROW()-9)/9)+1,MOD(ROW()-9,9)+1),"")</f>
        <v/>
      </c>
      <c r="C2266" s="9">
        <f t="shared" si="35"/>
        <v>0</v>
      </c>
    </row>
    <row r="2267" spans="1:3" x14ac:dyDescent="0.2">
      <c r="A2267" s="10" t="str">
        <f>IF(2259&gt;$C$9008,"",INDEX($B$9:$B$9008,MATCH(2259,$C$9:$C$9008,0)))</f>
        <v/>
      </c>
      <c r="B2267" s="9" t="str">
        <f>IFERROR(INDEX(Input!$L$20:$T$1019,INT((ROW()-9)/9)+1,MOD(ROW()-9,9)+1),"")</f>
        <v/>
      </c>
      <c r="C2267" s="9">
        <f t="shared" si="35"/>
        <v>0</v>
      </c>
    </row>
    <row r="2268" spans="1:3" x14ac:dyDescent="0.2">
      <c r="A2268" s="10" t="str">
        <f>IF(2260&gt;$C$9008,"",INDEX($B$9:$B$9008,MATCH(2260,$C$9:$C$9008,0)))</f>
        <v/>
      </c>
      <c r="B2268" s="9" t="str">
        <f>IFERROR(INDEX(Input!$L$20:$T$1019,INT((ROW()-9)/9)+1,MOD(ROW()-9,9)+1),"")</f>
        <v/>
      </c>
      <c r="C2268" s="9">
        <f t="shared" si="35"/>
        <v>0</v>
      </c>
    </row>
    <row r="2269" spans="1:3" x14ac:dyDescent="0.2">
      <c r="A2269" s="10" t="str">
        <f>IF(2261&gt;$C$9008,"",INDEX($B$9:$B$9008,MATCH(2261,$C$9:$C$9008,0)))</f>
        <v/>
      </c>
      <c r="B2269" s="9" t="str">
        <f>IFERROR(INDEX(Input!$L$20:$T$1019,INT((ROW()-9)/9)+1,MOD(ROW()-9,9)+1),"")</f>
        <v/>
      </c>
      <c r="C2269" s="9">
        <f t="shared" si="35"/>
        <v>0</v>
      </c>
    </row>
    <row r="2270" spans="1:3" x14ac:dyDescent="0.2">
      <c r="A2270" s="10" t="str">
        <f>IF(2262&gt;$C$9008,"",INDEX($B$9:$B$9008,MATCH(2262,$C$9:$C$9008,0)))</f>
        <v/>
      </c>
      <c r="B2270" s="9" t="str">
        <f>IFERROR(INDEX(Input!$L$20:$T$1019,INT((ROW()-9)/9)+1,MOD(ROW()-9,9)+1),"")</f>
        <v/>
      </c>
      <c r="C2270" s="9">
        <f t="shared" si="35"/>
        <v>0</v>
      </c>
    </row>
    <row r="2271" spans="1:3" x14ac:dyDescent="0.2">
      <c r="A2271" s="10" t="str">
        <f>IF(2263&gt;$C$9008,"",INDEX($B$9:$B$9008,MATCH(2263,$C$9:$C$9008,0)))</f>
        <v/>
      </c>
      <c r="B2271" s="9" t="str">
        <f>IFERROR(INDEX(Input!$L$20:$T$1019,INT((ROW()-9)/9)+1,MOD(ROW()-9,9)+1),"")</f>
        <v/>
      </c>
      <c r="C2271" s="9">
        <f t="shared" si="35"/>
        <v>0</v>
      </c>
    </row>
    <row r="2272" spans="1:3" x14ac:dyDescent="0.2">
      <c r="A2272" s="10" t="str">
        <f>IF(2264&gt;$C$9008,"",INDEX($B$9:$B$9008,MATCH(2264,$C$9:$C$9008,0)))</f>
        <v/>
      </c>
      <c r="B2272" s="9" t="str">
        <f>IFERROR(INDEX(Input!$L$20:$T$1019,INT((ROW()-9)/9)+1,MOD(ROW()-9,9)+1),"")</f>
        <v/>
      </c>
      <c r="C2272" s="9">
        <f t="shared" si="35"/>
        <v>0</v>
      </c>
    </row>
    <row r="2273" spans="1:3" x14ac:dyDescent="0.2">
      <c r="A2273" s="10" t="str">
        <f>IF(2265&gt;$C$9008,"",INDEX($B$9:$B$9008,MATCH(2265,$C$9:$C$9008,0)))</f>
        <v/>
      </c>
      <c r="B2273" s="9" t="str">
        <f>IFERROR(INDEX(Input!$L$20:$T$1019,INT((ROW()-9)/9)+1,MOD(ROW()-9,9)+1),"")</f>
        <v/>
      </c>
      <c r="C2273" s="9">
        <f t="shared" si="35"/>
        <v>0</v>
      </c>
    </row>
    <row r="2274" spans="1:3" x14ac:dyDescent="0.2">
      <c r="A2274" s="10" t="str">
        <f>IF(2266&gt;$C$9008,"",INDEX($B$9:$B$9008,MATCH(2266,$C$9:$C$9008,0)))</f>
        <v/>
      </c>
      <c r="B2274" s="9" t="str">
        <f>IFERROR(INDEX(Input!$L$20:$T$1019,INT((ROW()-9)/9)+1,MOD(ROW()-9,9)+1),"")</f>
        <v/>
      </c>
      <c r="C2274" s="9">
        <f t="shared" si="35"/>
        <v>0</v>
      </c>
    </row>
    <row r="2275" spans="1:3" x14ac:dyDescent="0.2">
      <c r="A2275" s="10" t="str">
        <f>IF(2267&gt;$C$9008,"",INDEX($B$9:$B$9008,MATCH(2267,$C$9:$C$9008,0)))</f>
        <v/>
      </c>
      <c r="B2275" s="9" t="str">
        <f>IFERROR(INDEX(Input!$L$20:$T$1019,INT((ROW()-9)/9)+1,MOD(ROW()-9,9)+1),"")</f>
        <v/>
      </c>
      <c r="C2275" s="9">
        <f t="shared" si="35"/>
        <v>0</v>
      </c>
    </row>
    <row r="2276" spans="1:3" x14ac:dyDescent="0.2">
      <c r="A2276" s="10" t="str">
        <f>IF(2268&gt;$C$9008,"",INDEX($B$9:$B$9008,MATCH(2268,$C$9:$C$9008,0)))</f>
        <v/>
      </c>
      <c r="B2276" s="9" t="str">
        <f>IFERROR(INDEX(Input!$L$20:$T$1019,INT((ROW()-9)/9)+1,MOD(ROW()-9,9)+1),"")</f>
        <v/>
      </c>
      <c r="C2276" s="9">
        <f t="shared" si="35"/>
        <v>0</v>
      </c>
    </row>
    <row r="2277" spans="1:3" x14ac:dyDescent="0.2">
      <c r="A2277" s="10" t="str">
        <f>IF(2269&gt;$C$9008,"",INDEX($B$9:$B$9008,MATCH(2269,$C$9:$C$9008,0)))</f>
        <v/>
      </c>
      <c r="B2277" s="9" t="str">
        <f>IFERROR(INDEX(Input!$L$20:$T$1019,INT((ROW()-9)/9)+1,MOD(ROW()-9,9)+1),"")</f>
        <v/>
      </c>
      <c r="C2277" s="9">
        <f t="shared" si="35"/>
        <v>0</v>
      </c>
    </row>
    <row r="2278" spans="1:3" x14ac:dyDescent="0.2">
      <c r="A2278" s="10" t="str">
        <f>IF(2270&gt;$C$9008,"",INDEX($B$9:$B$9008,MATCH(2270,$C$9:$C$9008,0)))</f>
        <v/>
      </c>
      <c r="B2278" s="9" t="str">
        <f>IFERROR(INDEX(Input!$L$20:$T$1019,INT((ROW()-9)/9)+1,MOD(ROW()-9,9)+1),"")</f>
        <v/>
      </c>
      <c r="C2278" s="9">
        <f t="shared" si="35"/>
        <v>0</v>
      </c>
    </row>
    <row r="2279" spans="1:3" x14ac:dyDescent="0.2">
      <c r="A2279" s="10" t="str">
        <f>IF(2271&gt;$C$9008,"",INDEX($B$9:$B$9008,MATCH(2271,$C$9:$C$9008,0)))</f>
        <v/>
      </c>
      <c r="B2279" s="9" t="str">
        <f>IFERROR(INDEX(Input!$L$20:$T$1019,INT((ROW()-9)/9)+1,MOD(ROW()-9,9)+1),"")</f>
        <v/>
      </c>
      <c r="C2279" s="9">
        <f t="shared" si="35"/>
        <v>0</v>
      </c>
    </row>
    <row r="2280" spans="1:3" x14ac:dyDescent="0.2">
      <c r="A2280" s="10" t="str">
        <f>IF(2272&gt;$C$9008,"",INDEX($B$9:$B$9008,MATCH(2272,$C$9:$C$9008,0)))</f>
        <v/>
      </c>
      <c r="B2280" s="9" t="str">
        <f>IFERROR(INDEX(Input!$L$20:$T$1019,INT((ROW()-9)/9)+1,MOD(ROW()-9,9)+1),"")</f>
        <v/>
      </c>
      <c r="C2280" s="9">
        <f t="shared" si="35"/>
        <v>0</v>
      </c>
    </row>
    <row r="2281" spans="1:3" x14ac:dyDescent="0.2">
      <c r="A2281" s="10" t="str">
        <f>IF(2273&gt;$C$9008,"",INDEX($B$9:$B$9008,MATCH(2273,$C$9:$C$9008,0)))</f>
        <v/>
      </c>
      <c r="B2281" s="9" t="str">
        <f>IFERROR(INDEX(Input!$L$20:$T$1019,INT((ROW()-9)/9)+1,MOD(ROW()-9,9)+1),"")</f>
        <v/>
      </c>
      <c r="C2281" s="9">
        <f t="shared" si="35"/>
        <v>0</v>
      </c>
    </row>
    <row r="2282" spans="1:3" x14ac:dyDescent="0.2">
      <c r="A2282" s="10" t="str">
        <f>IF(2274&gt;$C$9008,"",INDEX($B$9:$B$9008,MATCH(2274,$C$9:$C$9008,0)))</f>
        <v/>
      </c>
      <c r="B2282" s="9" t="str">
        <f>IFERROR(INDEX(Input!$L$20:$T$1019,INT((ROW()-9)/9)+1,MOD(ROW()-9,9)+1),"")</f>
        <v/>
      </c>
      <c r="C2282" s="9">
        <f t="shared" si="35"/>
        <v>0</v>
      </c>
    </row>
    <row r="2283" spans="1:3" x14ac:dyDescent="0.2">
      <c r="A2283" s="10" t="str">
        <f>IF(2275&gt;$C$9008,"",INDEX($B$9:$B$9008,MATCH(2275,$C$9:$C$9008,0)))</f>
        <v/>
      </c>
      <c r="B2283" s="9" t="str">
        <f>IFERROR(INDEX(Input!$L$20:$T$1019,INT((ROW()-9)/9)+1,MOD(ROW()-9,9)+1),"")</f>
        <v/>
      </c>
      <c r="C2283" s="9">
        <f t="shared" si="35"/>
        <v>0</v>
      </c>
    </row>
    <row r="2284" spans="1:3" x14ac:dyDescent="0.2">
      <c r="A2284" s="10" t="str">
        <f>IF(2276&gt;$C$9008,"",INDEX($B$9:$B$9008,MATCH(2276,$C$9:$C$9008,0)))</f>
        <v/>
      </c>
      <c r="B2284" s="9" t="str">
        <f>IFERROR(INDEX(Input!$L$20:$T$1019,INT((ROW()-9)/9)+1,MOD(ROW()-9,9)+1),"")</f>
        <v/>
      </c>
      <c r="C2284" s="9">
        <f t="shared" si="35"/>
        <v>0</v>
      </c>
    </row>
    <row r="2285" spans="1:3" x14ac:dyDescent="0.2">
      <c r="A2285" s="10" t="str">
        <f>IF(2277&gt;$C$9008,"",INDEX($B$9:$B$9008,MATCH(2277,$C$9:$C$9008,0)))</f>
        <v/>
      </c>
      <c r="B2285" s="9" t="str">
        <f>IFERROR(INDEX(Input!$L$20:$T$1019,INT((ROW()-9)/9)+1,MOD(ROW()-9,9)+1),"")</f>
        <v/>
      </c>
      <c r="C2285" s="9">
        <f t="shared" si="35"/>
        <v>0</v>
      </c>
    </row>
    <row r="2286" spans="1:3" x14ac:dyDescent="0.2">
      <c r="A2286" s="10" t="str">
        <f>IF(2278&gt;$C$9008,"",INDEX($B$9:$B$9008,MATCH(2278,$C$9:$C$9008,0)))</f>
        <v/>
      </c>
      <c r="B2286" s="9" t="str">
        <f>IFERROR(INDEX(Input!$L$20:$T$1019,INT((ROW()-9)/9)+1,MOD(ROW()-9,9)+1),"")</f>
        <v/>
      </c>
      <c r="C2286" s="9">
        <f t="shared" si="35"/>
        <v>0</v>
      </c>
    </row>
    <row r="2287" spans="1:3" x14ac:dyDescent="0.2">
      <c r="A2287" s="10" t="str">
        <f>IF(2279&gt;$C$9008,"",INDEX($B$9:$B$9008,MATCH(2279,$C$9:$C$9008,0)))</f>
        <v/>
      </c>
      <c r="B2287" s="9" t="str">
        <f>IFERROR(INDEX(Input!$L$20:$T$1019,INT((ROW()-9)/9)+1,MOD(ROW()-9,9)+1),"")</f>
        <v/>
      </c>
      <c r="C2287" s="9">
        <f t="shared" si="35"/>
        <v>0</v>
      </c>
    </row>
    <row r="2288" spans="1:3" x14ac:dyDescent="0.2">
      <c r="A2288" s="10" t="str">
        <f>IF(2280&gt;$C$9008,"",INDEX($B$9:$B$9008,MATCH(2280,$C$9:$C$9008,0)))</f>
        <v/>
      </c>
      <c r="B2288" s="9" t="str">
        <f>IFERROR(INDEX(Input!$L$20:$T$1019,INT((ROW()-9)/9)+1,MOD(ROW()-9,9)+1),"")</f>
        <v/>
      </c>
      <c r="C2288" s="9">
        <f t="shared" si="35"/>
        <v>0</v>
      </c>
    </row>
    <row r="2289" spans="1:3" x14ac:dyDescent="0.2">
      <c r="A2289" s="10" t="str">
        <f>IF(2281&gt;$C$9008,"",INDEX($B$9:$B$9008,MATCH(2281,$C$9:$C$9008,0)))</f>
        <v/>
      </c>
      <c r="B2289" s="9" t="str">
        <f>IFERROR(INDEX(Input!$L$20:$T$1019,INT((ROW()-9)/9)+1,MOD(ROW()-9,9)+1),"")</f>
        <v/>
      </c>
      <c r="C2289" s="9">
        <f t="shared" si="35"/>
        <v>0</v>
      </c>
    </row>
    <row r="2290" spans="1:3" x14ac:dyDescent="0.2">
      <c r="A2290" s="10" t="str">
        <f>IF(2282&gt;$C$9008,"",INDEX($B$9:$B$9008,MATCH(2282,$C$9:$C$9008,0)))</f>
        <v/>
      </c>
      <c r="B2290" s="9" t="str">
        <f>IFERROR(INDEX(Input!$L$20:$T$1019,INT((ROW()-9)/9)+1,MOD(ROW()-9,9)+1),"")</f>
        <v/>
      </c>
      <c r="C2290" s="9">
        <f t="shared" si="35"/>
        <v>0</v>
      </c>
    </row>
    <row r="2291" spans="1:3" x14ac:dyDescent="0.2">
      <c r="A2291" s="10" t="str">
        <f>IF(2283&gt;$C$9008,"",INDEX($B$9:$B$9008,MATCH(2283,$C$9:$C$9008,0)))</f>
        <v/>
      </c>
      <c r="B2291" s="9" t="str">
        <f>IFERROR(INDEX(Input!$L$20:$T$1019,INT((ROW()-9)/9)+1,MOD(ROW()-9,9)+1),"")</f>
        <v/>
      </c>
      <c r="C2291" s="9">
        <f t="shared" si="35"/>
        <v>0</v>
      </c>
    </row>
    <row r="2292" spans="1:3" x14ac:dyDescent="0.2">
      <c r="A2292" s="10" t="str">
        <f>IF(2284&gt;$C$9008,"",INDEX($B$9:$B$9008,MATCH(2284,$C$9:$C$9008,0)))</f>
        <v/>
      </c>
      <c r="B2292" s="9" t="str">
        <f>IFERROR(INDEX(Input!$L$20:$T$1019,INT((ROW()-9)/9)+1,MOD(ROW()-9,9)+1),"")</f>
        <v/>
      </c>
      <c r="C2292" s="9">
        <f t="shared" si="35"/>
        <v>0</v>
      </c>
    </row>
    <row r="2293" spans="1:3" x14ac:dyDescent="0.2">
      <c r="A2293" s="10" t="str">
        <f>IF(2285&gt;$C$9008,"",INDEX($B$9:$B$9008,MATCH(2285,$C$9:$C$9008,0)))</f>
        <v/>
      </c>
      <c r="B2293" s="9" t="str">
        <f>IFERROR(INDEX(Input!$L$20:$T$1019,INT((ROW()-9)/9)+1,MOD(ROW()-9,9)+1),"")</f>
        <v/>
      </c>
      <c r="C2293" s="9">
        <f t="shared" si="35"/>
        <v>0</v>
      </c>
    </row>
    <row r="2294" spans="1:3" x14ac:dyDescent="0.2">
      <c r="A2294" s="10" t="str">
        <f>IF(2286&gt;$C$9008,"",INDEX($B$9:$B$9008,MATCH(2286,$C$9:$C$9008,0)))</f>
        <v/>
      </c>
      <c r="B2294" s="9" t="str">
        <f>IFERROR(INDEX(Input!$L$20:$T$1019,INT((ROW()-9)/9)+1,MOD(ROW()-9,9)+1),"")</f>
        <v/>
      </c>
      <c r="C2294" s="9">
        <f t="shared" si="35"/>
        <v>0</v>
      </c>
    </row>
    <row r="2295" spans="1:3" x14ac:dyDescent="0.2">
      <c r="A2295" s="10" t="str">
        <f>IF(2287&gt;$C$9008,"",INDEX($B$9:$B$9008,MATCH(2287,$C$9:$C$9008,0)))</f>
        <v/>
      </c>
      <c r="B2295" s="9" t="str">
        <f>IFERROR(INDEX(Input!$L$20:$T$1019,INT((ROW()-9)/9)+1,MOD(ROW()-9,9)+1),"")</f>
        <v/>
      </c>
      <c r="C2295" s="9">
        <f t="shared" si="35"/>
        <v>0</v>
      </c>
    </row>
    <row r="2296" spans="1:3" x14ac:dyDescent="0.2">
      <c r="A2296" s="10" t="str">
        <f>IF(2288&gt;$C$9008,"",INDEX($B$9:$B$9008,MATCH(2288,$C$9:$C$9008,0)))</f>
        <v/>
      </c>
      <c r="B2296" s="9" t="str">
        <f>IFERROR(INDEX(Input!$L$20:$T$1019,INT((ROW()-9)/9)+1,MOD(ROW()-9,9)+1),"")</f>
        <v/>
      </c>
      <c r="C2296" s="9">
        <f t="shared" si="35"/>
        <v>0</v>
      </c>
    </row>
    <row r="2297" spans="1:3" x14ac:dyDescent="0.2">
      <c r="A2297" s="10" t="str">
        <f>IF(2289&gt;$C$9008,"",INDEX($B$9:$B$9008,MATCH(2289,$C$9:$C$9008,0)))</f>
        <v/>
      </c>
      <c r="B2297" s="9" t="str">
        <f>IFERROR(INDEX(Input!$L$20:$T$1019,INT((ROW()-9)/9)+1,MOD(ROW()-9,9)+1),"")</f>
        <v/>
      </c>
      <c r="C2297" s="9">
        <f t="shared" si="35"/>
        <v>0</v>
      </c>
    </row>
    <row r="2298" spans="1:3" x14ac:dyDescent="0.2">
      <c r="A2298" s="10" t="str">
        <f>IF(2290&gt;$C$9008,"",INDEX($B$9:$B$9008,MATCH(2290,$C$9:$C$9008,0)))</f>
        <v/>
      </c>
      <c r="B2298" s="9" t="str">
        <f>IFERROR(INDEX(Input!$L$20:$T$1019,INT((ROW()-9)/9)+1,MOD(ROW()-9,9)+1),"")</f>
        <v/>
      </c>
      <c r="C2298" s="9">
        <f t="shared" si="35"/>
        <v>0</v>
      </c>
    </row>
    <row r="2299" spans="1:3" x14ac:dyDescent="0.2">
      <c r="A2299" s="10" t="str">
        <f>IF(2291&gt;$C$9008,"",INDEX($B$9:$B$9008,MATCH(2291,$C$9:$C$9008,0)))</f>
        <v/>
      </c>
      <c r="B2299" s="9" t="str">
        <f>IFERROR(INDEX(Input!$L$20:$T$1019,INT((ROW()-9)/9)+1,MOD(ROW()-9,9)+1),"")</f>
        <v/>
      </c>
      <c r="C2299" s="9">
        <f t="shared" si="35"/>
        <v>0</v>
      </c>
    </row>
    <row r="2300" spans="1:3" x14ac:dyDescent="0.2">
      <c r="A2300" s="10" t="str">
        <f>IF(2292&gt;$C$9008,"",INDEX($B$9:$B$9008,MATCH(2292,$C$9:$C$9008,0)))</f>
        <v/>
      </c>
      <c r="B2300" s="9" t="str">
        <f>IFERROR(INDEX(Input!$L$20:$T$1019,INT((ROW()-9)/9)+1,MOD(ROW()-9,9)+1),"")</f>
        <v/>
      </c>
      <c r="C2300" s="9">
        <f t="shared" si="35"/>
        <v>0</v>
      </c>
    </row>
    <row r="2301" spans="1:3" x14ac:dyDescent="0.2">
      <c r="A2301" s="10" t="str">
        <f>IF(2293&gt;$C$9008,"",INDEX($B$9:$B$9008,MATCH(2293,$C$9:$C$9008,0)))</f>
        <v/>
      </c>
      <c r="B2301" s="9" t="str">
        <f>IFERROR(INDEX(Input!$L$20:$T$1019,INT((ROW()-9)/9)+1,MOD(ROW()-9,9)+1),"")</f>
        <v/>
      </c>
      <c r="C2301" s="9">
        <f t="shared" si="35"/>
        <v>0</v>
      </c>
    </row>
    <row r="2302" spans="1:3" x14ac:dyDescent="0.2">
      <c r="A2302" s="10" t="str">
        <f>IF(2294&gt;$C$9008,"",INDEX($B$9:$B$9008,MATCH(2294,$C$9:$C$9008,0)))</f>
        <v/>
      </c>
      <c r="B2302" s="9" t="str">
        <f>IFERROR(INDEX(Input!$L$20:$T$1019,INT((ROW()-9)/9)+1,MOD(ROW()-9,9)+1),"")</f>
        <v/>
      </c>
      <c r="C2302" s="9">
        <f t="shared" si="35"/>
        <v>0</v>
      </c>
    </row>
    <row r="2303" spans="1:3" x14ac:dyDescent="0.2">
      <c r="A2303" s="10" t="str">
        <f>IF(2295&gt;$C$9008,"",INDEX($B$9:$B$9008,MATCH(2295,$C$9:$C$9008,0)))</f>
        <v/>
      </c>
      <c r="B2303" s="9" t="str">
        <f>IFERROR(INDEX(Input!$L$20:$T$1019,INT((ROW()-9)/9)+1,MOD(ROW()-9,9)+1),"")</f>
        <v/>
      </c>
      <c r="C2303" s="9">
        <f t="shared" si="35"/>
        <v>0</v>
      </c>
    </row>
    <row r="2304" spans="1:3" x14ac:dyDescent="0.2">
      <c r="A2304" s="10" t="str">
        <f>IF(2296&gt;$C$9008,"",INDEX($B$9:$B$9008,MATCH(2296,$C$9:$C$9008,0)))</f>
        <v/>
      </c>
      <c r="B2304" s="9" t="str">
        <f>IFERROR(INDEX(Input!$L$20:$T$1019,INT((ROW()-9)/9)+1,MOD(ROW()-9,9)+1),"")</f>
        <v/>
      </c>
      <c r="C2304" s="9">
        <f t="shared" si="35"/>
        <v>0</v>
      </c>
    </row>
    <row r="2305" spans="1:3" x14ac:dyDescent="0.2">
      <c r="A2305" s="10" t="str">
        <f>IF(2297&gt;$C$9008,"",INDEX($B$9:$B$9008,MATCH(2297,$C$9:$C$9008,0)))</f>
        <v/>
      </c>
      <c r="B2305" s="9" t="str">
        <f>IFERROR(INDEX(Input!$L$20:$T$1019,INT((ROW()-9)/9)+1,MOD(ROW()-9,9)+1),"")</f>
        <v/>
      </c>
      <c r="C2305" s="9">
        <f t="shared" si="35"/>
        <v>0</v>
      </c>
    </row>
    <row r="2306" spans="1:3" x14ac:dyDescent="0.2">
      <c r="A2306" s="10" t="str">
        <f>IF(2298&gt;$C$9008,"",INDEX($B$9:$B$9008,MATCH(2298,$C$9:$C$9008,0)))</f>
        <v/>
      </c>
      <c r="B2306" s="9" t="str">
        <f>IFERROR(INDEX(Input!$L$20:$T$1019,INT((ROW()-9)/9)+1,MOD(ROW()-9,9)+1),"")</f>
        <v/>
      </c>
      <c r="C2306" s="9">
        <f t="shared" si="35"/>
        <v>0</v>
      </c>
    </row>
    <row r="2307" spans="1:3" x14ac:dyDescent="0.2">
      <c r="A2307" s="10" t="str">
        <f>IF(2299&gt;$C$9008,"",INDEX($B$9:$B$9008,MATCH(2299,$C$9:$C$9008,0)))</f>
        <v/>
      </c>
      <c r="B2307" s="9" t="str">
        <f>IFERROR(INDEX(Input!$L$20:$T$1019,INT((ROW()-9)/9)+1,MOD(ROW()-9,9)+1),"")</f>
        <v/>
      </c>
      <c r="C2307" s="9">
        <f t="shared" si="35"/>
        <v>0</v>
      </c>
    </row>
    <row r="2308" spans="1:3" x14ac:dyDescent="0.2">
      <c r="A2308" s="10" t="str">
        <f>IF(2300&gt;$C$9008,"",INDEX($B$9:$B$9008,MATCH(2300,$C$9:$C$9008,0)))</f>
        <v/>
      </c>
      <c r="B2308" s="9" t="str">
        <f>IFERROR(INDEX(Input!$L$20:$T$1019,INT((ROW()-9)/9)+1,MOD(ROW()-9,9)+1),"")</f>
        <v/>
      </c>
      <c r="C2308" s="9">
        <f t="shared" si="35"/>
        <v>0</v>
      </c>
    </row>
    <row r="2309" spans="1:3" x14ac:dyDescent="0.2">
      <c r="A2309" s="10" t="str">
        <f>IF(2301&gt;$C$9008,"",INDEX($B$9:$B$9008,MATCH(2301,$C$9:$C$9008,0)))</f>
        <v/>
      </c>
      <c r="B2309" s="9" t="str">
        <f>IFERROR(INDEX(Input!$L$20:$T$1019,INT((ROW()-9)/9)+1,MOD(ROW()-9,9)+1),"")</f>
        <v/>
      </c>
      <c r="C2309" s="9">
        <f t="shared" si="35"/>
        <v>0</v>
      </c>
    </row>
    <row r="2310" spans="1:3" x14ac:dyDescent="0.2">
      <c r="A2310" s="10" t="str">
        <f>IF(2302&gt;$C$9008,"",INDEX($B$9:$B$9008,MATCH(2302,$C$9:$C$9008,0)))</f>
        <v/>
      </c>
      <c r="B2310" s="9" t="str">
        <f>IFERROR(INDEX(Input!$L$20:$T$1019,INT((ROW()-9)/9)+1,MOD(ROW()-9,9)+1),"")</f>
        <v/>
      </c>
      <c r="C2310" s="9">
        <f t="shared" si="35"/>
        <v>0</v>
      </c>
    </row>
    <row r="2311" spans="1:3" x14ac:dyDescent="0.2">
      <c r="A2311" s="10" t="str">
        <f>IF(2303&gt;$C$9008,"",INDEX($B$9:$B$9008,MATCH(2303,$C$9:$C$9008,0)))</f>
        <v/>
      </c>
      <c r="B2311" s="9" t="str">
        <f>IFERROR(INDEX(Input!$L$20:$T$1019,INT((ROW()-9)/9)+1,MOD(ROW()-9,9)+1),"")</f>
        <v/>
      </c>
      <c r="C2311" s="9">
        <f t="shared" si="35"/>
        <v>0</v>
      </c>
    </row>
    <row r="2312" spans="1:3" x14ac:dyDescent="0.2">
      <c r="A2312" s="10" t="str">
        <f>IF(2304&gt;$C$9008,"",INDEX($B$9:$B$9008,MATCH(2304,$C$9:$C$9008,0)))</f>
        <v/>
      </c>
      <c r="B2312" s="9" t="str">
        <f>IFERROR(INDEX(Input!$L$20:$T$1019,INT((ROW()-9)/9)+1,MOD(ROW()-9,9)+1),"")</f>
        <v/>
      </c>
      <c r="C2312" s="9">
        <f t="shared" si="35"/>
        <v>0</v>
      </c>
    </row>
    <row r="2313" spans="1:3" x14ac:dyDescent="0.2">
      <c r="A2313" s="10" t="str">
        <f>IF(2305&gt;$C$9008,"",INDEX($B$9:$B$9008,MATCH(2305,$C$9:$C$9008,0)))</f>
        <v/>
      </c>
      <c r="B2313" s="9" t="str">
        <f>IFERROR(INDEX(Input!$L$20:$T$1019,INT((ROW()-9)/9)+1,MOD(ROW()-9,9)+1),"")</f>
        <v/>
      </c>
      <c r="C2313" s="9">
        <f t="shared" ref="C2313:C2376" si="36">$C2312+IF($B2313&lt;&gt;"",1,0)</f>
        <v>0</v>
      </c>
    </row>
    <row r="2314" spans="1:3" x14ac:dyDescent="0.2">
      <c r="A2314" s="10" t="str">
        <f>IF(2306&gt;$C$9008,"",INDEX($B$9:$B$9008,MATCH(2306,$C$9:$C$9008,0)))</f>
        <v/>
      </c>
      <c r="B2314" s="9" t="str">
        <f>IFERROR(INDEX(Input!$L$20:$T$1019,INT((ROW()-9)/9)+1,MOD(ROW()-9,9)+1),"")</f>
        <v/>
      </c>
      <c r="C2314" s="9">
        <f t="shared" si="36"/>
        <v>0</v>
      </c>
    </row>
    <row r="2315" spans="1:3" x14ac:dyDescent="0.2">
      <c r="A2315" s="10" t="str">
        <f>IF(2307&gt;$C$9008,"",INDEX($B$9:$B$9008,MATCH(2307,$C$9:$C$9008,0)))</f>
        <v/>
      </c>
      <c r="B2315" s="9" t="str">
        <f>IFERROR(INDEX(Input!$L$20:$T$1019,INT((ROW()-9)/9)+1,MOD(ROW()-9,9)+1),"")</f>
        <v/>
      </c>
      <c r="C2315" s="9">
        <f t="shared" si="36"/>
        <v>0</v>
      </c>
    </row>
    <row r="2316" spans="1:3" x14ac:dyDescent="0.2">
      <c r="A2316" s="10" t="str">
        <f>IF(2308&gt;$C$9008,"",INDEX($B$9:$B$9008,MATCH(2308,$C$9:$C$9008,0)))</f>
        <v/>
      </c>
      <c r="B2316" s="9" t="str">
        <f>IFERROR(INDEX(Input!$L$20:$T$1019,INT((ROW()-9)/9)+1,MOD(ROW()-9,9)+1),"")</f>
        <v/>
      </c>
      <c r="C2316" s="9">
        <f t="shared" si="36"/>
        <v>0</v>
      </c>
    </row>
    <row r="2317" spans="1:3" x14ac:dyDescent="0.2">
      <c r="A2317" s="10" t="str">
        <f>IF(2309&gt;$C$9008,"",INDEX($B$9:$B$9008,MATCH(2309,$C$9:$C$9008,0)))</f>
        <v/>
      </c>
      <c r="B2317" s="9" t="str">
        <f>IFERROR(INDEX(Input!$L$20:$T$1019,INT((ROW()-9)/9)+1,MOD(ROW()-9,9)+1),"")</f>
        <v/>
      </c>
      <c r="C2317" s="9">
        <f t="shared" si="36"/>
        <v>0</v>
      </c>
    </row>
    <row r="2318" spans="1:3" x14ac:dyDescent="0.2">
      <c r="A2318" s="10" t="str">
        <f>IF(2310&gt;$C$9008,"",INDEX($B$9:$B$9008,MATCH(2310,$C$9:$C$9008,0)))</f>
        <v/>
      </c>
      <c r="B2318" s="9" t="str">
        <f>IFERROR(INDEX(Input!$L$20:$T$1019,INT((ROW()-9)/9)+1,MOD(ROW()-9,9)+1),"")</f>
        <v/>
      </c>
      <c r="C2318" s="9">
        <f t="shared" si="36"/>
        <v>0</v>
      </c>
    </row>
    <row r="2319" spans="1:3" x14ac:dyDescent="0.2">
      <c r="A2319" s="10" t="str">
        <f>IF(2311&gt;$C$9008,"",INDEX($B$9:$B$9008,MATCH(2311,$C$9:$C$9008,0)))</f>
        <v/>
      </c>
      <c r="B2319" s="9" t="str">
        <f>IFERROR(INDEX(Input!$L$20:$T$1019,INT((ROW()-9)/9)+1,MOD(ROW()-9,9)+1),"")</f>
        <v/>
      </c>
      <c r="C2319" s="9">
        <f t="shared" si="36"/>
        <v>0</v>
      </c>
    </row>
    <row r="2320" spans="1:3" x14ac:dyDescent="0.2">
      <c r="A2320" s="10" t="str">
        <f>IF(2312&gt;$C$9008,"",INDEX($B$9:$B$9008,MATCH(2312,$C$9:$C$9008,0)))</f>
        <v/>
      </c>
      <c r="B2320" s="9" t="str">
        <f>IFERROR(INDEX(Input!$L$20:$T$1019,INT((ROW()-9)/9)+1,MOD(ROW()-9,9)+1),"")</f>
        <v/>
      </c>
      <c r="C2320" s="9">
        <f t="shared" si="36"/>
        <v>0</v>
      </c>
    </row>
    <row r="2321" spans="1:3" x14ac:dyDescent="0.2">
      <c r="A2321" s="10" t="str">
        <f>IF(2313&gt;$C$9008,"",INDEX($B$9:$B$9008,MATCH(2313,$C$9:$C$9008,0)))</f>
        <v/>
      </c>
      <c r="B2321" s="9" t="str">
        <f>IFERROR(INDEX(Input!$L$20:$T$1019,INT((ROW()-9)/9)+1,MOD(ROW()-9,9)+1),"")</f>
        <v/>
      </c>
      <c r="C2321" s="9">
        <f t="shared" si="36"/>
        <v>0</v>
      </c>
    </row>
    <row r="2322" spans="1:3" x14ac:dyDescent="0.2">
      <c r="A2322" s="10" t="str">
        <f>IF(2314&gt;$C$9008,"",INDEX($B$9:$B$9008,MATCH(2314,$C$9:$C$9008,0)))</f>
        <v/>
      </c>
      <c r="B2322" s="9" t="str">
        <f>IFERROR(INDEX(Input!$L$20:$T$1019,INT((ROW()-9)/9)+1,MOD(ROW()-9,9)+1),"")</f>
        <v/>
      </c>
      <c r="C2322" s="9">
        <f t="shared" si="36"/>
        <v>0</v>
      </c>
    </row>
    <row r="2323" spans="1:3" x14ac:dyDescent="0.2">
      <c r="A2323" s="10" t="str">
        <f>IF(2315&gt;$C$9008,"",INDEX($B$9:$B$9008,MATCH(2315,$C$9:$C$9008,0)))</f>
        <v/>
      </c>
      <c r="B2323" s="9" t="str">
        <f>IFERROR(INDEX(Input!$L$20:$T$1019,INT((ROW()-9)/9)+1,MOD(ROW()-9,9)+1),"")</f>
        <v/>
      </c>
      <c r="C2323" s="9">
        <f t="shared" si="36"/>
        <v>0</v>
      </c>
    </row>
    <row r="2324" spans="1:3" x14ac:dyDescent="0.2">
      <c r="A2324" s="10" t="str">
        <f>IF(2316&gt;$C$9008,"",INDEX($B$9:$B$9008,MATCH(2316,$C$9:$C$9008,0)))</f>
        <v/>
      </c>
      <c r="B2324" s="9" t="str">
        <f>IFERROR(INDEX(Input!$L$20:$T$1019,INT((ROW()-9)/9)+1,MOD(ROW()-9,9)+1),"")</f>
        <v/>
      </c>
      <c r="C2324" s="9">
        <f t="shared" si="36"/>
        <v>0</v>
      </c>
    </row>
    <row r="2325" spans="1:3" x14ac:dyDescent="0.2">
      <c r="A2325" s="10" t="str">
        <f>IF(2317&gt;$C$9008,"",INDEX($B$9:$B$9008,MATCH(2317,$C$9:$C$9008,0)))</f>
        <v/>
      </c>
      <c r="B2325" s="9" t="str">
        <f>IFERROR(INDEX(Input!$L$20:$T$1019,INT((ROW()-9)/9)+1,MOD(ROW()-9,9)+1),"")</f>
        <v/>
      </c>
      <c r="C2325" s="9">
        <f t="shared" si="36"/>
        <v>0</v>
      </c>
    </row>
    <row r="2326" spans="1:3" x14ac:dyDescent="0.2">
      <c r="A2326" s="10" t="str">
        <f>IF(2318&gt;$C$9008,"",INDEX($B$9:$B$9008,MATCH(2318,$C$9:$C$9008,0)))</f>
        <v/>
      </c>
      <c r="B2326" s="9" t="str">
        <f>IFERROR(INDEX(Input!$L$20:$T$1019,INT((ROW()-9)/9)+1,MOD(ROW()-9,9)+1),"")</f>
        <v/>
      </c>
      <c r="C2326" s="9">
        <f t="shared" si="36"/>
        <v>0</v>
      </c>
    </row>
    <row r="2327" spans="1:3" x14ac:dyDescent="0.2">
      <c r="A2327" s="10" t="str">
        <f>IF(2319&gt;$C$9008,"",INDEX($B$9:$B$9008,MATCH(2319,$C$9:$C$9008,0)))</f>
        <v/>
      </c>
      <c r="B2327" s="9" t="str">
        <f>IFERROR(INDEX(Input!$L$20:$T$1019,INT((ROW()-9)/9)+1,MOD(ROW()-9,9)+1),"")</f>
        <v/>
      </c>
      <c r="C2327" s="9">
        <f t="shared" si="36"/>
        <v>0</v>
      </c>
    </row>
    <row r="2328" spans="1:3" x14ac:dyDescent="0.2">
      <c r="A2328" s="10" t="str">
        <f>IF(2320&gt;$C$9008,"",INDEX($B$9:$B$9008,MATCH(2320,$C$9:$C$9008,0)))</f>
        <v/>
      </c>
      <c r="B2328" s="9" t="str">
        <f>IFERROR(INDEX(Input!$L$20:$T$1019,INT((ROW()-9)/9)+1,MOD(ROW()-9,9)+1),"")</f>
        <v/>
      </c>
      <c r="C2328" s="9">
        <f t="shared" si="36"/>
        <v>0</v>
      </c>
    </row>
    <row r="2329" spans="1:3" x14ac:dyDescent="0.2">
      <c r="A2329" s="10" t="str">
        <f>IF(2321&gt;$C$9008,"",INDEX($B$9:$B$9008,MATCH(2321,$C$9:$C$9008,0)))</f>
        <v/>
      </c>
      <c r="B2329" s="9" t="str">
        <f>IFERROR(INDEX(Input!$L$20:$T$1019,INT((ROW()-9)/9)+1,MOD(ROW()-9,9)+1),"")</f>
        <v/>
      </c>
      <c r="C2329" s="9">
        <f t="shared" si="36"/>
        <v>0</v>
      </c>
    </row>
    <row r="2330" spans="1:3" x14ac:dyDescent="0.2">
      <c r="A2330" s="10" t="str">
        <f>IF(2322&gt;$C$9008,"",INDEX($B$9:$B$9008,MATCH(2322,$C$9:$C$9008,0)))</f>
        <v/>
      </c>
      <c r="B2330" s="9" t="str">
        <f>IFERROR(INDEX(Input!$L$20:$T$1019,INT((ROW()-9)/9)+1,MOD(ROW()-9,9)+1),"")</f>
        <v/>
      </c>
      <c r="C2330" s="9">
        <f t="shared" si="36"/>
        <v>0</v>
      </c>
    </row>
    <row r="2331" spans="1:3" x14ac:dyDescent="0.2">
      <c r="A2331" s="10" t="str">
        <f>IF(2323&gt;$C$9008,"",INDEX($B$9:$B$9008,MATCH(2323,$C$9:$C$9008,0)))</f>
        <v/>
      </c>
      <c r="B2331" s="9" t="str">
        <f>IFERROR(INDEX(Input!$L$20:$T$1019,INT((ROW()-9)/9)+1,MOD(ROW()-9,9)+1),"")</f>
        <v/>
      </c>
      <c r="C2331" s="9">
        <f t="shared" si="36"/>
        <v>0</v>
      </c>
    </row>
    <row r="2332" spans="1:3" x14ac:dyDescent="0.2">
      <c r="A2332" s="10" t="str">
        <f>IF(2324&gt;$C$9008,"",INDEX($B$9:$B$9008,MATCH(2324,$C$9:$C$9008,0)))</f>
        <v/>
      </c>
      <c r="B2332" s="9" t="str">
        <f>IFERROR(INDEX(Input!$L$20:$T$1019,INT((ROW()-9)/9)+1,MOD(ROW()-9,9)+1),"")</f>
        <v/>
      </c>
      <c r="C2332" s="9">
        <f t="shared" si="36"/>
        <v>0</v>
      </c>
    </row>
    <row r="2333" spans="1:3" x14ac:dyDescent="0.2">
      <c r="A2333" s="10" t="str">
        <f>IF(2325&gt;$C$9008,"",INDEX($B$9:$B$9008,MATCH(2325,$C$9:$C$9008,0)))</f>
        <v/>
      </c>
      <c r="B2333" s="9" t="str">
        <f>IFERROR(INDEX(Input!$L$20:$T$1019,INT((ROW()-9)/9)+1,MOD(ROW()-9,9)+1),"")</f>
        <v/>
      </c>
      <c r="C2333" s="9">
        <f t="shared" si="36"/>
        <v>0</v>
      </c>
    </row>
    <row r="2334" spans="1:3" x14ac:dyDescent="0.2">
      <c r="A2334" s="10" t="str">
        <f>IF(2326&gt;$C$9008,"",INDEX($B$9:$B$9008,MATCH(2326,$C$9:$C$9008,0)))</f>
        <v/>
      </c>
      <c r="B2334" s="9" t="str">
        <f>IFERROR(INDEX(Input!$L$20:$T$1019,INT((ROW()-9)/9)+1,MOD(ROW()-9,9)+1),"")</f>
        <v/>
      </c>
      <c r="C2334" s="9">
        <f t="shared" si="36"/>
        <v>0</v>
      </c>
    </row>
    <row r="2335" spans="1:3" x14ac:dyDescent="0.2">
      <c r="A2335" s="10" t="str">
        <f>IF(2327&gt;$C$9008,"",INDEX($B$9:$B$9008,MATCH(2327,$C$9:$C$9008,0)))</f>
        <v/>
      </c>
      <c r="B2335" s="9" t="str">
        <f>IFERROR(INDEX(Input!$L$20:$T$1019,INT((ROW()-9)/9)+1,MOD(ROW()-9,9)+1),"")</f>
        <v/>
      </c>
      <c r="C2335" s="9">
        <f t="shared" si="36"/>
        <v>0</v>
      </c>
    </row>
    <row r="2336" spans="1:3" x14ac:dyDescent="0.2">
      <c r="A2336" s="10" t="str">
        <f>IF(2328&gt;$C$9008,"",INDEX($B$9:$B$9008,MATCH(2328,$C$9:$C$9008,0)))</f>
        <v/>
      </c>
      <c r="B2336" s="9" t="str">
        <f>IFERROR(INDEX(Input!$L$20:$T$1019,INT((ROW()-9)/9)+1,MOD(ROW()-9,9)+1),"")</f>
        <v/>
      </c>
      <c r="C2336" s="9">
        <f t="shared" si="36"/>
        <v>0</v>
      </c>
    </row>
    <row r="2337" spans="1:3" x14ac:dyDescent="0.2">
      <c r="A2337" s="10" t="str">
        <f>IF(2329&gt;$C$9008,"",INDEX($B$9:$B$9008,MATCH(2329,$C$9:$C$9008,0)))</f>
        <v/>
      </c>
      <c r="B2337" s="9" t="str">
        <f>IFERROR(INDEX(Input!$L$20:$T$1019,INT((ROW()-9)/9)+1,MOD(ROW()-9,9)+1),"")</f>
        <v/>
      </c>
      <c r="C2337" s="9">
        <f t="shared" si="36"/>
        <v>0</v>
      </c>
    </row>
    <row r="2338" spans="1:3" x14ac:dyDescent="0.2">
      <c r="A2338" s="10" t="str">
        <f>IF(2330&gt;$C$9008,"",INDEX($B$9:$B$9008,MATCH(2330,$C$9:$C$9008,0)))</f>
        <v/>
      </c>
      <c r="B2338" s="9" t="str">
        <f>IFERROR(INDEX(Input!$L$20:$T$1019,INT((ROW()-9)/9)+1,MOD(ROW()-9,9)+1),"")</f>
        <v/>
      </c>
      <c r="C2338" s="9">
        <f t="shared" si="36"/>
        <v>0</v>
      </c>
    </row>
    <row r="2339" spans="1:3" x14ac:dyDescent="0.2">
      <c r="A2339" s="10" t="str">
        <f>IF(2331&gt;$C$9008,"",INDEX($B$9:$B$9008,MATCH(2331,$C$9:$C$9008,0)))</f>
        <v/>
      </c>
      <c r="B2339" s="9" t="str">
        <f>IFERROR(INDEX(Input!$L$20:$T$1019,INT((ROW()-9)/9)+1,MOD(ROW()-9,9)+1),"")</f>
        <v/>
      </c>
      <c r="C2339" s="9">
        <f t="shared" si="36"/>
        <v>0</v>
      </c>
    </row>
    <row r="2340" spans="1:3" x14ac:dyDescent="0.2">
      <c r="A2340" s="10" t="str">
        <f>IF(2332&gt;$C$9008,"",INDEX($B$9:$B$9008,MATCH(2332,$C$9:$C$9008,0)))</f>
        <v/>
      </c>
      <c r="B2340" s="9" t="str">
        <f>IFERROR(INDEX(Input!$L$20:$T$1019,INT((ROW()-9)/9)+1,MOD(ROW()-9,9)+1),"")</f>
        <v/>
      </c>
      <c r="C2340" s="9">
        <f t="shared" si="36"/>
        <v>0</v>
      </c>
    </row>
    <row r="2341" spans="1:3" x14ac:dyDescent="0.2">
      <c r="A2341" s="10" t="str">
        <f>IF(2333&gt;$C$9008,"",INDEX($B$9:$B$9008,MATCH(2333,$C$9:$C$9008,0)))</f>
        <v/>
      </c>
      <c r="B2341" s="9" t="str">
        <f>IFERROR(INDEX(Input!$L$20:$T$1019,INT((ROW()-9)/9)+1,MOD(ROW()-9,9)+1),"")</f>
        <v/>
      </c>
      <c r="C2341" s="9">
        <f t="shared" si="36"/>
        <v>0</v>
      </c>
    </row>
    <row r="2342" spans="1:3" x14ac:dyDescent="0.2">
      <c r="A2342" s="10" t="str">
        <f>IF(2334&gt;$C$9008,"",INDEX($B$9:$B$9008,MATCH(2334,$C$9:$C$9008,0)))</f>
        <v/>
      </c>
      <c r="B2342" s="9" t="str">
        <f>IFERROR(INDEX(Input!$L$20:$T$1019,INT((ROW()-9)/9)+1,MOD(ROW()-9,9)+1),"")</f>
        <v/>
      </c>
      <c r="C2342" s="9">
        <f t="shared" si="36"/>
        <v>0</v>
      </c>
    </row>
    <row r="2343" spans="1:3" x14ac:dyDescent="0.2">
      <c r="A2343" s="10" t="str">
        <f>IF(2335&gt;$C$9008,"",INDEX($B$9:$B$9008,MATCH(2335,$C$9:$C$9008,0)))</f>
        <v/>
      </c>
      <c r="B2343" s="9" t="str">
        <f>IFERROR(INDEX(Input!$L$20:$T$1019,INT((ROW()-9)/9)+1,MOD(ROW()-9,9)+1),"")</f>
        <v/>
      </c>
      <c r="C2343" s="9">
        <f t="shared" si="36"/>
        <v>0</v>
      </c>
    </row>
    <row r="2344" spans="1:3" x14ac:dyDescent="0.2">
      <c r="A2344" s="10" t="str">
        <f>IF(2336&gt;$C$9008,"",INDEX($B$9:$B$9008,MATCH(2336,$C$9:$C$9008,0)))</f>
        <v/>
      </c>
      <c r="B2344" s="9" t="str">
        <f>IFERROR(INDEX(Input!$L$20:$T$1019,INT((ROW()-9)/9)+1,MOD(ROW()-9,9)+1),"")</f>
        <v/>
      </c>
      <c r="C2344" s="9">
        <f t="shared" si="36"/>
        <v>0</v>
      </c>
    </row>
    <row r="2345" spans="1:3" x14ac:dyDescent="0.2">
      <c r="A2345" s="10" t="str">
        <f>IF(2337&gt;$C$9008,"",INDEX($B$9:$B$9008,MATCH(2337,$C$9:$C$9008,0)))</f>
        <v/>
      </c>
      <c r="B2345" s="9" t="str">
        <f>IFERROR(INDEX(Input!$L$20:$T$1019,INT((ROW()-9)/9)+1,MOD(ROW()-9,9)+1),"")</f>
        <v/>
      </c>
      <c r="C2345" s="9">
        <f t="shared" si="36"/>
        <v>0</v>
      </c>
    </row>
    <row r="2346" spans="1:3" x14ac:dyDescent="0.2">
      <c r="A2346" s="10" t="str">
        <f>IF(2338&gt;$C$9008,"",INDEX($B$9:$B$9008,MATCH(2338,$C$9:$C$9008,0)))</f>
        <v/>
      </c>
      <c r="B2346" s="9" t="str">
        <f>IFERROR(INDEX(Input!$L$20:$T$1019,INT((ROW()-9)/9)+1,MOD(ROW()-9,9)+1),"")</f>
        <v/>
      </c>
      <c r="C2346" s="9">
        <f t="shared" si="36"/>
        <v>0</v>
      </c>
    </row>
    <row r="2347" spans="1:3" x14ac:dyDescent="0.2">
      <c r="A2347" s="10" t="str">
        <f>IF(2339&gt;$C$9008,"",INDEX($B$9:$B$9008,MATCH(2339,$C$9:$C$9008,0)))</f>
        <v/>
      </c>
      <c r="B2347" s="9" t="str">
        <f>IFERROR(INDEX(Input!$L$20:$T$1019,INT((ROW()-9)/9)+1,MOD(ROW()-9,9)+1),"")</f>
        <v/>
      </c>
      <c r="C2347" s="9">
        <f t="shared" si="36"/>
        <v>0</v>
      </c>
    </row>
    <row r="2348" spans="1:3" x14ac:dyDescent="0.2">
      <c r="A2348" s="10" t="str">
        <f>IF(2340&gt;$C$9008,"",INDEX($B$9:$B$9008,MATCH(2340,$C$9:$C$9008,0)))</f>
        <v/>
      </c>
      <c r="B2348" s="9" t="str">
        <f>IFERROR(INDEX(Input!$L$20:$T$1019,INT((ROW()-9)/9)+1,MOD(ROW()-9,9)+1),"")</f>
        <v/>
      </c>
      <c r="C2348" s="9">
        <f t="shared" si="36"/>
        <v>0</v>
      </c>
    </row>
    <row r="2349" spans="1:3" x14ac:dyDescent="0.2">
      <c r="A2349" s="10" t="str">
        <f>IF(2341&gt;$C$9008,"",INDEX($B$9:$B$9008,MATCH(2341,$C$9:$C$9008,0)))</f>
        <v/>
      </c>
      <c r="B2349" s="9" t="str">
        <f>IFERROR(INDEX(Input!$L$20:$T$1019,INT((ROW()-9)/9)+1,MOD(ROW()-9,9)+1),"")</f>
        <v/>
      </c>
      <c r="C2349" s="9">
        <f t="shared" si="36"/>
        <v>0</v>
      </c>
    </row>
    <row r="2350" spans="1:3" x14ac:dyDescent="0.2">
      <c r="A2350" s="10" t="str">
        <f>IF(2342&gt;$C$9008,"",INDEX($B$9:$B$9008,MATCH(2342,$C$9:$C$9008,0)))</f>
        <v/>
      </c>
      <c r="B2350" s="9" t="str">
        <f>IFERROR(INDEX(Input!$L$20:$T$1019,INT((ROW()-9)/9)+1,MOD(ROW()-9,9)+1),"")</f>
        <v/>
      </c>
      <c r="C2350" s="9">
        <f t="shared" si="36"/>
        <v>0</v>
      </c>
    </row>
    <row r="2351" spans="1:3" x14ac:dyDescent="0.2">
      <c r="A2351" s="10" t="str">
        <f>IF(2343&gt;$C$9008,"",INDEX($B$9:$B$9008,MATCH(2343,$C$9:$C$9008,0)))</f>
        <v/>
      </c>
      <c r="B2351" s="9" t="str">
        <f>IFERROR(INDEX(Input!$L$20:$T$1019,INT((ROW()-9)/9)+1,MOD(ROW()-9,9)+1),"")</f>
        <v/>
      </c>
      <c r="C2351" s="9">
        <f t="shared" si="36"/>
        <v>0</v>
      </c>
    </row>
    <row r="2352" spans="1:3" x14ac:dyDescent="0.2">
      <c r="A2352" s="10" t="str">
        <f>IF(2344&gt;$C$9008,"",INDEX($B$9:$B$9008,MATCH(2344,$C$9:$C$9008,0)))</f>
        <v/>
      </c>
      <c r="B2352" s="9" t="str">
        <f>IFERROR(INDEX(Input!$L$20:$T$1019,INT((ROW()-9)/9)+1,MOD(ROW()-9,9)+1),"")</f>
        <v/>
      </c>
      <c r="C2352" s="9">
        <f t="shared" si="36"/>
        <v>0</v>
      </c>
    </row>
    <row r="2353" spans="1:3" x14ac:dyDescent="0.2">
      <c r="A2353" s="10" t="str">
        <f>IF(2345&gt;$C$9008,"",INDEX($B$9:$B$9008,MATCH(2345,$C$9:$C$9008,0)))</f>
        <v/>
      </c>
      <c r="B2353" s="9" t="str">
        <f>IFERROR(INDEX(Input!$L$20:$T$1019,INT((ROW()-9)/9)+1,MOD(ROW()-9,9)+1),"")</f>
        <v/>
      </c>
      <c r="C2353" s="9">
        <f t="shared" si="36"/>
        <v>0</v>
      </c>
    </row>
    <row r="2354" spans="1:3" x14ac:dyDescent="0.2">
      <c r="A2354" s="10" t="str">
        <f>IF(2346&gt;$C$9008,"",INDEX($B$9:$B$9008,MATCH(2346,$C$9:$C$9008,0)))</f>
        <v/>
      </c>
      <c r="B2354" s="9" t="str">
        <f>IFERROR(INDEX(Input!$L$20:$T$1019,INT((ROW()-9)/9)+1,MOD(ROW()-9,9)+1),"")</f>
        <v/>
      </c>
      <c r="C2354" s="9">
        <f t="shared" si="36"/>
        <v>0</v>
      </c>
    </row>
    <row r="2355" spans="1:3" x14ac:dyDescent="0.2">
      <c r="A2355" s="10" t="str">
        <f>IF(2347&gt;$C$9008,"",INDEX($B$9:$B$9008,MATCH(2347,$C$9:$C$9008,0)))</f>
        <v/>
      </c>
      <c r="B2355" s="9" t="str">
        <f>IFERROR(INDEX(Input!$L$20:$T$1019,INT((ROW()-9)/9)+1,MOD(ROW()-9,9)+1),"")</f>
        <v/>
      </c>
      <c r="C2355" s="9">
        <f t="shared" si="36"/>
        <v>0</v>
      </c>
    </row>
    <row r="2356" spans="1:3" x14ac:dyDescent="0.2">
      <c r="A2356" s="10" t="str">
        <f>IF(2348&gt;$C$9008,"",INDEX($B$9:$B$9008,MATCH(2348,$C$9:$C$9008,0)))</f>
        <v/>
      </c>
      <c r="B2356" s="9" t="str">
        <f>IFERROR(INDEX(Input!$L$20:$T$1019,INT((ROW()-9)/9)+1,MOD(ROW()-9,9)+1),"")</f>
        <v/>
      </c>
      <c r="C2356" s="9">
        <f t="shared" si="36"/>
        <v>0</v>
      </c>
    </row>
    <row r="2357" spans="1:3" x14ac:dyDescent="0.2">
      <c r="A2357" s="10" t="str">
        <f>IF(2349&gt;$C$9008,"",INDEX($B$9:$B$9008,MATCH(2349,$C$9:$C$9008,0)))</f>
        <v/>
      </c>
      <c r="B2357" s="9" t="str">
        <f>IFERROR(INDEX(Input!$L$20:$T$1019,INT((ROW()-9)/9)+1,MOD(ROW()-9,9)+1),"")</f>
        <v/>
      </c>
      <c r="C2357" s="9">
        <f t="shared" si="36"/>
        <v>0</v>
      </c>
    </row>
    <row r="2358" spans="1:3" x14ac:dyDescent="0.2">
      <c r="A2358" s="10" t="str">
        <f>IF(2350&gt;$C$9008,"",INDEX($B$9:$B$9008,MATCH(2350,$C$9:$C$9008,0)))</f>
        <v/>
      </c>
      <c r="B2358" s="9" t="str">
        <f>IFERROR(INDEX(Input!$L$20:$T$1019,INT((ROW()-9)/9)+1,MOD(ROW()-9,9)+1),"")</f>
        <v/>
      </c>
      <c r="C2358" s="9">
        <f t="shared" si="36"/>
        <v>0</v>
      </c>
    </row>
    <row r="2359" spans="1:3" x14ac:dyDescent="0.2">
      <c r="A2359" s="10" t="str">
        <f>IF(2351&gt;$C$9008,"",INDEX($B$9:$B$9008,MATCH(2351,$C$9:$C$9008,0)))</f>
        <v/>
      </c>
      <c r="B2359" s="9" t="str">
        <f>IFERROR(INDEX(Input!$L$20:$T$1019,INT((ROW()-9)/9)+1,MOD(ROW()-9,9)+1),"")</f>
        <v/>
      </c>
      <c r="C2359" s="9">
        <f t="shared" si="36"/>
        <v>0</v>
      </c>
    </row>
    <row r="2360" spans="1:3" x14ac:dyDescent="0.2">
      <c r="A2360" s="10" t="str">
        <f>IF(2352&gt;$C$9008,"",INDEX($B$9:$B$9008,MATCH(2352,$C$9:$C$9008,0)))</f>
        <v/>
      </c>
      <c r="B2360" s="9" t="str">
        <f>IFERROR(INDEX(Input!$L$20:$T$1019,INT((ROW()-9)/9)+1,MOD(ROW()-9,9)+1),"")</f>
        <v/>
      </c>
      <c r="C2360" s="9">
        <f t="shared" si="36"/>
        <v>0</v>
      </c>
    </row>
    <row r="2361" spans="1:3" x14ac:dyDescent="0.2">
      <c r="A2361" s="10" t="str">
        <f>IF(2353&gt;$C$9008,"",INDEX($B$9:$B$9008,MATCH(2353,$C$9:$C$9008,0)))</f>
        <v/>
      </c>
      <c r="B2361" s="9" t="str">
        <f>IFERROR(INDEX(Input!$L$20:$T$1019,INT((ROW()-9)/9)+1,MOD(ROW()-9,9)+1),"")</f>
        <v/>
      </c>
      <c r="C2361" s="9">
        <f t="shared" si="36"/>
        <v>0</v>
      </c>
    </row>
    <row r="2362" spans="1:3" x14ac:dyDescent="0.2">
      <c r="A2362" s="10" t="str">
        <f>IF(2354&gt;$C$9008,"",INDEX($B$9:$B$9008,MATCH(2354,$C$9:$C$9008,0)))</f>
        <v/>
      </c>
      <c r="B2362" s="9" t="str">
        <f>IFERROR(INDEX(Input!$L$20:$T$1019,INT((ROW()-9)/9)+1,MOD(ROW()-9,9)+1),"")</f>
        <v/>
      </c>
      <c r="C2362" s="9">
        <f t="shared" si="36"/>
        <v>0</v>
      </c>
    </row>
    <row r="2363" spans="1:3" x14ac:dyDescent="0.2">
      <c r="A2363" s="10" t="str">
        <f>IF(2355&gt;$C$9008,"",INDEX($B$9:$B$9008,MATCH(2355,$C$9:$C$9008,0)))</f>
        <v/>
      </c>
      <c r="B2363" s="9" t="str">
        <f>IFERROR(INDEX(Input!$L$20:$T$1019,INT((ROW()-9)/9)+1,MOD(ROW()-9,9)+1),"")</f>
        <v/>
      </c>
      <c r="C2363" s="9">
        <f t="shared" si="36"/>
        <v>0</v>
      </c>
    </row>
    <row r="2364" spans="1:3" x14ac:dyDescent="0.2">
      <c r="A2364" s="10" t="str">
        <f>IF(2356&gt;$C$9008,"",INDEX($B$9:$B$9008,MATCH(2356,$C$9:$C$9008,0)))</f>
        <v/>
      </c>
      <c r="B2364" s="9" t="str">
        <f>IFERROR(INDEX(Input!$L$20:$T$1019,INT((ROW()-9)/9)+1,MOD(ROW()-9,9)+1),"")</f>
        <v/>
      </c>
      <c r="C2364" s="9">
        <f t="shared" si="36"/>
        <v>0</v>
      </c>
    </row>
    <row r="2365" spans="1:3" x14ac:dyDescent="0.2">
      <c r="A2365" s="10" t="str">
        <f>IF(2357&gt;$C$9008,"",INDEX($B$9:$B$9008,MATCH(2357,$C$9:$C$9008,0)))</f>
        <v/>
      </c>
      <c r="B2365" s="9" t="str">
        <f>IFERROR(INDEX(Input!$L$20:$T$1019,INT((ROW()-9)/9)+1,MOD(ROW()-9,9)+1),"")</f>
        <v/>
      </c>
      <c r="C2365" s="9">
        <f t="shared" si="36"/>
        <v>0</v>
      </c>
    </row>
    <row r="2366" spans="1:3" x14ac:dyDescent="0.2">
      <c r="A2366" s="10" t="str">
        <f>IF(2358&gt;$C$9008,"",INDEX($B$9:$B$9008,MATCH(2358,$C$9:$C$9008,0)))</f>
        <v/>
      </c>
      <c r="B2366" s="9" t="str">
        <f>IFERROR(INDEX(Input!$L$20:$T$1019,INT((ROW()-9)/9)+1,MOD(ROW()-9,9)+1),"")</f>
        <v/>
      </c>
      <c r="C2366" s="9">
        <f t="shared" si="36"/>
        <v>0</v>
      </c>
    </row>
    <row r="2367" spans="1:3" x14ac:dyDescent="0.2">
      <c r="A2367" s="10" t="str">
        <f>IF(2359&gt;$C$9008,"",INDEX($B$9:$B$9008,MATCH(2359,$C$9:$C$9008,0)))</f>
        <v/>
      </c>
      <c r="B2367" s="9" t="str">
        <f>IFERROR(INDEX(Input!$L$20:$T$1019,INT((ROW()-9)/9)+1,MOD(ROW()-9,9)+1),"")</f>
        <v/>
      </c>
      <c r="C2367" s="9">
        <f t="shared" si="36"/>
        <v>0</v>
      </c>
    </row>
    <row r="2368" spans="1:3" x14ac:dyDescent="0.2">
      <c r="A2368" s="10" t="str">
        <f>IF(2360&gt;$C$9008,"",INDEX($B$9:$B$9008,MATCH(2360,$C$9:$C$9008,0)))</f>
        <v/>
      </c>
      <c r="B2368" s="9" t="str">
        <f>IFERROR(INDEX(Input!$L$20:$T$1019,INT((ROW()-9)/9)+1,MOD(ROW()-9,9)+1),"")</f>
        <v/>
      </c>
      <c r="C2368" s="9">
        <f t="shared" si="36"/>
        <v>0</v>
      </c>
    </row>
    <row r="2369" spans="1:3" x14ac:dyDescent="0.2">
      <c r="A2369" s="10" t="str">
        <f>IF(2361&gt;$C$9008,"",INDEX($B$9:$B$9008,MATCH(2361,$C$9:$C$9008,0)))</f>
        <v/>
      </c>
      <c r="B2369" s="9" t="str">
        <f>IFERROR(INDEX(Input!$L$20:$T$1019,INT((ROW()-9)/9)+1,MOD(ROW()-9,9)+1),"")</f>
        <v/>
      </c>
      <c r="C2369" s="9">
        <f t="shared" si="36"/>
        <v>0</v>
      </c>
    </row>
    <row r="2370" spans="1:3" x14ac:dyDescent="0.2">
      <c r="A2370" s="10" t="str">
        <f>IF(2362&gt;$C$9008,"",INDEX($B$9:$B$9008,MATCH(2362,$C$9:$C$9008,0)))</f>
        <v/>
      </c>
      <c r="B2370" s="9" t="str">
        <f>IFERROR(INDEX(Input!$L$20:$T$1019,INT((ROW()-9)/9)+1,MOD(ROW()-9,9)+1),"")</f>
        <v/>
      </c>
      <c r="C2370" s="9">
        <f t="shared" si="36"/>
        <v>0</v>
      </c>
    </row>
    <row r="2371" spans="1:3" x14ac:dyDescent="0.2">
      <c r="A2371" s="10" t="str">
        <f>IF(2363&gt;$C$9008,"",INDEX($B$9:$B$9008,MATCH(2363,$C$9:$C$9008,0)))</f>
        <v/>
      </c>
      <c r="B2371" s="9" t="str">
        <f>IFERROR(INDEX(Input!$L$20:$T$1019,INT((ROW()-9)/9)+1,MOD(ROW()-9,9)+1),"")</f>
        <v/>
      </c>
      <c r="C2371" s="9">
        <f t="shared" si="36"/>
        <v>0</v>
      </c>
    </row>
    <row r="2372" spans="1:3" x14ac:dyDescent="0.2">
      <c r="A2372" s="10" t="str">
        <f>IF(2364&gt;$C$9008,"",INDEX($B$9:$B$9008,MATCH(2364,$C$9:$C$9008,0)))</f>
        <v/>
      </c>
      <c r="B2372" s="9" t="str">
        <f>IFERROR(INDEX(Input!$L$20:$T$1019,INT((ROW()-9)/9)+1,MOD(ROW()-9,9)+1),"")</f>
        <v/>
      </c>
      <c r="C2372" s="9">
        <f t="shared" si="36"/>
        <v>0</v>
      </c>
    </row>
    <row r="2373" spans="1:3" x14ac:dyDescent="0.2">
      <c r="A2373" s="10" t="str">
        <f>IF(2365&gt;$C$9008,"",INDEX($B$9:$B$9008,MATCH(2365,$C$9:$C$9008,0)))</f>
        <v/>
      </c>
      <c r="B2373" s="9" t="str">
        <f>IFERROR(INDEX(Input!$L$20:$T$1019,INT((ROW()-9)/9)+1,MOD(ROW()-9,9)+1),"")</f>
        <v/>
      </c>
      <c r="C2373" s="9">
        <f t="shared" si="36"/>
        <v>0</v>
      </c>
    </row>
    <row r="2374" spans="1:3" x14ac:dyDescent="0.2">
      <c r="A2374" s="10" t="str">
        <f>IF(2366&gt;$C$9008,"",INDEX($B$9:$B$9008,MATCH(2366,$C$9:$C$9008,0)))</f>
        <v/>
      </c>
      <c r="B2374" s="9" t="str">
        <f>IFERROR(INDEX(Input!$L$20:$T$1019,INT((ROW()-9)/9)+1,MOD(ROW()-9,9)+1),"")</f>
        <v/>
      </c>
      <c r="C2374" s="9">
        <f t="shared" si="36"/>
        <v>0</v>
      </c>
    </row>
    <row r="2375" spans="1:3" x14ac:dyDescent="0.2">
      <c r="A2375" s="10" t="str">
        <f>IF(2367&gt;$C$9008,"",INDEX($B$9:$B$9008,MATCH(2367,$C$9:$C$9008,0)))</f>
        <v/>
      </c>
      <c r="B2375" s="9" t="str">
        <f>IFERROR(INDEX(Input!$L$20:$T$1019,INT((ROW()-9)/9)+1,MOD(ROW()-9,9)+1),"")</f>
        <v/>
      </c>
      <c r="C2375" s="9">
        <f t="shared" si="36"/>
        <v>0</v>
      </c>
    </row>
    <row r="2376" spans="1:3" x14ac:dyDescent="0.2">
      <c r="A2376" s="10" t="str">
        <f>IF(2368&gt;$C$9008,"",INDEX($B$9:$B$9008,MATCH(2368,$C$9:$C$9008,0)))</f>
        <v/>
      </c>
      <c r="B2376" s="9" t="str">
        <f>IFERROR(INDEX(Input!$L$20:$T$1019,INT((ROW()-9)/9)+1,MOD(ROW()-9,9)+1),"")</f>
        <v/>
      </c>
      <c r="C2376" s="9">
        <f t="shared" si="36"/>
        <v>0</v>
      </c>
    </row>
    <row r="2377" spans="1:3" x14ac:dyDescent="0.2">
      <c r="A2377" s="10" t="str">
        <f>IF(2369&gt;$C$9008,"",INDEX($B$9:$B$9008,MATCH(2369,$C$9:$C$9008,0)))</f>
        <v/>
      </c>
      <c r="B2377" s="9" t="str">
        <f>IFERROR(INDEX(Input!$L$20:$T$1019,INT((ROW()-9)/9)+1,MOD(ROW()-9,9)+1),"")</f>
        <v/>
      </c>
      <c r="C2377" s="9">
        <f t="shared" ref="C2377:C2440" si="37">$C2376+IF($B2377&lt;&gt;"",1,0)</f>
        <v>0</v>
      </c>
    </row>
    <row r="2378" spans="1:3" x14ac:dyDescent="0.2">
      <c r="A2378" s="10" t="str">
        <f>IF(2370&gt;$C$9008,"",INDEX($B$9:$B$9008,MATCH(2370,$C$9:$C$9008,0)))</f>
        <v/>
      </c>
      <c r="B2378" s="9" t="str">
        <f>IFERROR(INDEX(Input!$L$20:$T$1019,INT((ROW()-9)/9)+1,MOD(ROW()-9,9)+1),"")</f>
        <v/>
      </c>
      <c r="C2378" s="9">
        <f t="shared" si="37"/>
        <v>0</v>
      </c>
    </row>
    <row r="2379" spans="1:3" x14ac:dyDescent="0.2">
      <c r="A2379" s="10" t="str">
        <f>IF(2371&gt;$C$9008,"",INDEX($B$9:$B$9008,MATCH(2371,$C$9:$C$9008,0)))</f>
        <v/>
      </c>
      <c r="B2379" s="9" t="str">
        <f>IFERROR(INDEX(Input!$L$20:$T$1019,INT((ROW()-9)/9)+1,MOD(ROW()-9,9)+1),"")</f>
        <v/>
      </c>
      <c r="C2379" s="9">
        <f t="shared" si="37"/>
        <v>0</v>
      </c>
    </row>
    <row r="2380" spans="1:3" x14ac:dyDescent="0.2">
      <c r="A2380" s="10" t="str">
        <f>IF(2372&gt;$C$9008,"",INDEX($B$9:$B$9008,MATCH(2372,$C$9:$C$9008,0)))</f>
        <v/>
      </c>
      <c r="B2380" s="9" t="str">
        <f>IFERROR(INDEX(Input!$L$20:$T$1019,INT((ROW()-9)/9)+1,MOD(ROW()-9,9)+1),"")</f>
        <v/>
      </c>
      <c r="C2380" s="9">
        <f t="shared" si="37"/>
        <v>0</v>
      </c>
    </row>
    <row r="2381" spans="1:3" x14ac:dyDescent="0.2">
      <c r="A2381" s="10" t="str">
        <f>IF(2373&gt;$C$9008,"",INDEX($B$9:$B$9008,MATCH(2373,$C$9:$C$9008,0)))</f>
        <v/>
      </c>
      <c r="B2381" s="9" t="str">
        <f>IFERROR(INDEX(Input!$L$20:$T$1019,INT((ROW()-9)/9)+1,MOD(ROW()-9,9)+1),"")</f>
        <v/>
      </c>
      <c r="C2381" s="9">
        <f t="shared" si="37"/>
        <v>0</v>
      </c>
    </row>
    <row r="2382" spans="1:3" x14ac:dyDescent="0.2">
      <c r="A2382" s="10" t="str">
        <f>IF(2374&gt;$C$9008,"",INDEX($B$9:$B$9008,MATCH(2374,$C$9:$C$9008,0)))</f>
        <v/>
      </c>
      <c r="B2382" s="9" t="str">
        <f>IFERROR(INDEX(Input!$L$20:$T$1019,INT((ROW()-9)/9)+1,MOD(ROW()-9,9)+1),"")</f>
        <v/>
      </c>
      <c r="C2382" s="9">
        <f t="shared" si="37"/>
        <v>0</v>
      </c>
    </row>
    <row r="2383" spans="1:3" x14ac:dyDescent="0.2">
      <c r="A2383" s="10" t="str">
        <f>IF(2375&gt;$C$9008,"",INDEX($B$9:$B$9008,MATCH(2375,$C$9:$C$9008,0)))</f>
        <v/>
      </c>
      <c r="B2383" s="9" t="str">
        <f>IFERROR(INDEX(Input!$L$20:$T$1019,INT((ROW()-9)/9)+1,MOD(ROW()-9,9)+1),"")</f>
        <v/>
      </c>
      <c r="C2383" s="9">
        <f t="shared" si="37"/>
        <v>0</v>
      </c>
    </row>
    <row r="2384" spans="1:3" x14ac:dyDescent="0.2">
      <c r="A2384" s="10" t="str">
        <f>IF(2376&gt;$C$9008,"",INDEX($B$9:$B$9008,MATCH(2376,$C$9:$C$9008,0)))</f>
        <v/>
      </c>
      <c r="B2384" s="9" t="str">
        <f>IFERROR(INDEX(Input!$L$20:$T$1019,INT((ROW()-9)/9)+1,MOD(ROW()-9,9)+1),"")</f>
        <v/>
      </c>
      <c r="C2384" s="9">
        <f t="shared" si="37"/>
        <v>0</v>
      </c>
    </row>
    <row r="2385" spans="1:3" x14ac:dyDescent="0.2">
      <c r="A2385" s="10" t="str">
        <f>IF(2377&gt;$C$9008,"",INDEX($B$9:$B$9008,MATCH(2377,$C$9:$C$9008,0)))</f>
        <v/>
      </c>
      <c r="B2385" s="9" t="str">
        <f>IFERROR(INDEX(Input!$L$20:$T$1019,INT((ROW()-9)/9)+1,MOD(ROW()-9,9)+1),"")</f>
        <v/>
      </c>
      <c r="C2385" s="9">
        <f t="shared" si="37"/>
        <v>0</v>
      </c>
    </row>
    <row r="2386" spans="1:3" x14ac:dyDescent="0.2">
      <c r="A2386" s="10" t="str">
        <f>IF(2378&gt;$C$9008,"",INDEX($B$9:$B$9008,MATCH(2378,$C$9:$C$9008,0)))</f>
        <v/>
      </c>
      <c r="B2386" s="9" t="str">
        <f>IFERROR(INDEX(Input!$L$20:$T$1019,INT((ROW()-9)/9)+1,MOD(ROW()-9,9)+1),"")</f>
        <v/>
      </c>
      <c r="C2386" s="9">
        <f t="shared" si="37"/>
        <v>0</v>
      </c>
    </row>
    <row r="2387" spans="1:3" x14ac:dyDescent="0.2">
      <c r="A2387" s="10" t="str">
        <f>IF(2379&gt;$C$9008,"",INDEX($B$9:$B$9008,MATCH(2379,$C$9:$C$9008,0)))</f>
        <v/>
      </c>
      <c r="B2387" s="9" t="str">
        <f>IFERROR(INDEX(Input!$L$20:$T$1019,INT((ROW()-9)/9)+1,MOD(ROW()-9,9)+1),"")</f>
        <v/>
      </c>
      <c r="C2387" s="9">
        <f t="shared" si="37"/>
        <v>0</v>
      </c>
    </row>
    <row r="2388" spans="1:3" x14ac:dyDescent="0.2">
      <c r="A2388" s="10" t="str">
        <f>IF(2380&gt;$C$9008,"",INDEX($B$9:$B$9008,MATCH(2380,$C$9:$C$9008,0)))</f>
        <v/>
      </c>
      <c r="B2388" s="9" t="str">
        <f>IFERROR(INDEX(Input!$L$20:$T$1019,INT((ROW()-9)/9)+1,MOD(ROW()-9,9)+1),"")</f>
        <v/>
      </c>
      <c r="C2388" s="9">
        <f t="shared" si="37"/>
        <v>0</v>
      </c>
    </row>
    <row r="2389" spans="1:3" x14ac:dyDescent="0.2">
      <c r="A2389" s="10" t="str">
        <f>IF(2381&gt;$C$9008,"",INDEX($B$9:$B$9008,MATCH(2381,$C$9:$C$9008,0)))</f>
        <v/>
      </c>
      <c r="B2389" s="9" t="str">
        <f>IFERROR(INDEX(Input!$L$20:$T$1019,INT((ROW()-9)/9)+1,MOD(ROW()-9,9)+1),"")</f>
        <v/>
      </c>
      <c r="C2389" s="9">
        <f t="shared" si="37"/>
        <v>0</v>
      </c>
    </row>
    <row r="2390" spans="1:3" x14ac:dyDescent="0.2">
      <c r="A2390" s="10" t="str">
        <f>IF(2382&gt;$C$9008,"",INDEX($B$9:$B$9008,MATCH(2382,$C$9:$C$9008,0)))</f>
        <v/>
      </c>
      <c r="B2390" s="9" t="str">
        <f>IFERROR(INDEX(Input!$L$20:$T$1019,INT((ROW()-9)/9)+1,MOD(ROW()-9,9)+1),"")</f>
        <v/>
      </c>
      <c r="C2390" s="9">
        <f t="shared" si="37"/>
        <v>0</v>
      </c>
    </row>
    <row r="2391" spans="1:3" x14ac:dyDescent="0.2">
      <c r="A2391" s="10" t="str">
        <f>IF(2383&gt;$C$9008,"",INDEX($B$9:$B$9008,MATCH(2383,$C$9:$C$9008,0)))</f>
        <v/>
      </c>
      <c r="B2391" s="9" t="str">
        <f>IFERROR(INDEX(Input!$L$20:$T$1019,INT((ROW()-9)/9)+1,MOD(ROW()-9,9)+1),"")</f>
        <v/>
      </c>
      <c r="C2391" s="9">
        <f t="shared" si="37"/>
        <v>0</v>
      </c>
    </row>
    <row r="2392" spans="1:3" x14ac:dyDescent="0.2">
      <c r="A2392" s="10" t="str">
        <f>IF(2384&gt;$C$9008,"",INDEX($B$9:$B$9008,MATCH(2384,$C$9:$C$9008,0)))</f>
        <v/>
      </c>
      <c r="B2392" s="9" t="str">
        <f>IFERROR(INDEX(Input!$L$20:$T$1019,INT((ROW()-9)/9)+1,MOD(ROW()-9,9)+1),"")</f>
        <v/>
      </c>
      <c r="C2392" s="9">
        <f t="shared" si="37"/>
        <v>0</v>
      </c>
    </row>
    <row r="2393" spans="1:3" x14ac:dyDescent="0.2">
      <c r="A2393" s="10" t="str">
        <f>IF(2385&gt;$C$9008,"",INDEX($B$9:$B$9008,MATCH(2385,$C$9:$C$9008,0)))</f>
        <v/>
      </c>
      <c r="B2393" s="9" t="str">
        <f>IFERROR(INDEX(Input!$L$20:$T$1019,INT((ROW()-9)/9)+1,MOD(ROW()-9,9)+1),"")</f>
        <v/>
      </c>
      <c r="C2393" s="9">
        <f t="shared" si="37"/>
        <v>0</v>
      </c>
    </row>
    <row r="2394" spans="1:3" x14ac:dyDescent="0.2">
      <c r="A2394" s="10" t="str">
        <f>IF(2386&gt;$C$9008,"",INDEX($B$9:$B$9008,MATCH(2386,$C$9:$C$9008,0)))</f>
        <v/>
      </c>
      <c r="B2394" s="9" t="str">
        <f>IFERROR(INDEX(Input!$L$20:$T$1019,INT((ROW()-9)/9)+1,MOD(ROW()-9,9)+1),"")</f>
        <v/>
      </c>
      <c r="C2394" s="9">
        <f t="shared" si="37"/>
        <v>0</v>
      </c>
    </row>
    <row r="2395" spans="1:3" x14ac:dyDescent="0.2">
      <c r="A2395" s="10" t="str">
        <f>IF(2387&gt;$C$9008,"",INDEX($B$9:$B$9008,MATCH(2387,$C$9:$C$9008,0)))</f>
        <v/>
      </c>
      <c r="B2395" s="9" t="str">
        <f>IFERROR(INDEX(Input!$L$20:$T$1019,INT((ROW()-9)/9)+1,MOD(ROW()-9,9)+1),"")</f>
        <v/>
      </c>
      <c r="C2395" s="9">
        <f t="shared" si="37"/>
        <v>0</v>
      </c>
    </row>
    <row r="2396" spans="1:3" x14ac:dyDescent="0.2">
      <c r="A2396" s="10" t="str">
        <f>IF(2388&gt;$C$9008,"",INDEX($B$9:$B$9008,MATCH(2388,$C$9:$C$9008,0)))</f>
        <v/>
      </c>
      <c r="B2396" s="9" t="str">
        <f>IFERROR(INDEX(Input!$L$20:$T$1019,INT((ROW()-9)/9)+1,MOD(ROW()-9,9)+1),"")</f>
        <v/>
      </c>
      <c r="C2396" s="9">
        <f t="shared" si="37"/>
        <v>0</v>
      </c>
    </row>
    <row r="2397" spans="1:3" x14ac:dyDescent="0.2">
      <c r="A2397" s="10" t="str">
        <f>IF(2389&gt;$C$9008,"",INDEX($B$9:$B$9008,MATCH(2389,$C$9:$C$9008,0)))</f>
        <v/>
      </c>
      <c r="B2397" s="9" t="str">
        <f>IFERROR(INDEX(Input!$L$20:$T$1019,INT((ROW()-9)/9)+1,MOD(ROW()-9,9)+1),"")</f>
        <v/>
      </c>
      <c r="C2397" s="9">
        <f t="shared" si="37"/>
        <v>0</v>
      </c>
    </row>
    <row r="2398" spans="1:3" x14ac:dyDescent="0.2">
      <c r="A2398" s="10" t="str">
        <f>IF(2390&gt;$C$9008,"",INDEX($B$9:$B$9008,MATCH(2390,$C$9:$C$9008,0)))</f>
        <v/>
      </c>
      <c r="B2398" s="9" t="str">
        <f>IFERROR(INDEX(Input!$L$20:$T$1019,INT((ROW()-9)/9)+1,MOD(ROW()-9,9)+1),"")</f>
        <v/>
      </c>
      <c r="C2398" s="9">
        <f t="shared" si="37"/>
        <v>0</v>
      </c>
    </row>
    <row r="2399" spans="1:3" x14ac:dyDescent="0.2">
      <c r="A2399" s="10" t="str">
        <f>IF(2391&gt;$C$9008,"",INDEX($B$9:$B$9008,MATCH(2391,$C$9:$C$9008,0)))</f>
        <v/>
      </c>
      <c r="B2399" s="9" t="str">
        <f>IFERROR(INDEX(Input!$L$20:$T$1019,INT((ROW()-9)/9)+1,MOD(ROW()-9,9)+1),"")</f>
        <v/>
      </c>
      <c r="C2399" s="9">
        <f t="shared" si="37"/>
        <v>0</v>
      </c>
    </row>
    <row r="2400" spans="1:3" x14ac:dyDescent="0.2">
      <c r="A2400" s="10" t="str">
        <f>IF(2392&gt;$C$9008,"",INDEX($B$9:$B$9008,MATCH(2392,$C$9:$C$9008,0)))</f>
        <v/>
      </c>
      <c r="B2400" s="9" t="str">
        <f>IFERROR(INDEX(Input!$L$20:$T$1019,INT((ROW()-9)/9)+1,MOD(ROW()-9,9)+1),"")</f>
        <v/>
      </c>
      <c r="C2400" s="9">
        <f t="shared" si="37"/>
        <v>0</v>
      </c>
    </row>
    <row r="2401" spans="1:3" x14ac:dyDescent="0.2">
      <c r="A2401" s="10" t="str">
        <f>IF(2393&gt;$C$9008,"",INDEX($B$9:$B$9008,MATCH(2393,$C$9:$C$9008,0)))</f>
        <v/>
      </c>
      <c r="B2401" s="9" t="str">
        <f>IFERROR(INDEX(Input!$L$20:$T$1019,INT((ROW()-9)/9)+1,MOD(ROW()-9,9)+1),"")</f>
        <v/>
      </c>
      <c r="C2401" s="9">
        <f t="shared" si="37"/>
        <v>0</v>
      </c>
    </row>
    <row r="2402" spans="1:3" x14ac:dyDescent="0.2">
      <c r="A2402" s="10" t="str">
        <f>IF(2394&gt;$C$9008,"",INDEX($B$9:$B$9008,MATCH(2394,$C$9:$C$9008,0)))</f>
        <v/>
      </c>
      <c r="B2402" s="9" t="str">
        <f>IFERROR(INDEX(Input!$L$20:$T$1019,INT((ROW()-9)/9)+1,MOD(ROW()-9,9)+1),"")</f>
        <v/>
      </c>
      <c r="C2402" s="9">
        <f t="shared" si="37"/>
        <v>0</v>
      </c>
    </row>
    <row r="2403" spans="1:3" x14ac:dyDescent="0.2">
      <c r="A2403" s="10" t="str">
        <f>IF(2395&gt;$C$9008,"",INDEX($B$9:$B$9008,MATCH(2395,$C$9:$C$9008,0)))</f>
        <v/>
      </c>
      <c r="B2403" s="9" t="str">
        <f>IFERROR(INDEX(Input!$L$20:$T$1019,INT((ROW()-9)/9)+1,MOD(ROW()-9,9)+1),"")</f>
        <v/>
      </c>
      <c r="C2403" s="9">
        <f t="shared" si="37"/>
        <v>0</v>
      </c>
    </row>
    <row r="2404" spans="1:3" x14ac:dyDescent="0.2">
      <c r="A2404" s="10" t="str">
        <f>IF(2396&gt;$C$9008,"",INDEX($B$9:$B$9008,MATCH(2396,$C$9:$C$9008,0)))</f>
        <v/>
      </c>
      <c r="B2404" s="9" t="str">
        <f>IFERROR(INDEX(Input!$L$20:$T$1019,INT((ROW()-9)/9)+1,MOD(ROW()-9,9)+1),"")</f>
        <v/>
      </c>
      <c r="C2404" s="9">
        <f t="shared" si="37"/>
        <v>0</v>
      </c>
    </row>
    <row r="2405" spans="1:3" x14ac:dyDescent="0.2">
      <c r="A2405" s="10" t="str">
        <f>IF(2397&gt;$C$9008,"",INDEX($B$9:$B$9008,MATCH(2397,$C$9:$C$9008,0)))</f>
        <v/>
      </c>
      <c r="B2405" s="9" t="str">
        <f>IFERROR(INDEX(Input!$L$20:$T$1019,INT((ROW()-9)/9)+1,MOD(ROW()-9,9)+1),"")</f>
        <v/>
      </c>
      <c r="C2405" s="9">
        <f t="shared" si="37"/>
        <v>0</v>
      </c>
    </row>
    <row r="2406" spans="1:3" x14ac:dyDescent="0.2">
      <c r="A2406" s="10" t="str">
        <f>IF(2398&gt;$C$9008,"",INDEX($B$9:$B$9008,MATCH(2398,$C$9:$C$9008,0)))</f>
        <v/>
      </c>
      <c r="B2406" s="9" t="str">
        <f>IFERROR(INDEX(Input!$L$20:$T$1019,INT((ROW()-9)/9)+1,MOD(ROW()-9,9)+1),"")</f>
        <v/>
      </c>
      <c r="C2406" s="9">
        <f t="shared" si="37"/>
        <v>0</v>
      </c>
    </row>
    <row r="2407" spans="1:3" x14ac:dyDescent="0.2">
      <c r="A2407" s="10" t="str">
        <f>IF(2399&gt;$C$9008,"",INDEX($B$9:$B$9008,MATCH(2399,$C$9:$C$9008,0)))</f>
        <v/>
      </c>
      <c r="B2407" s="9" t="str">
        <f>IFERROR(INDEX(Input!$L$20:$T$1019,INT((ROW()-9)/9)+1,MOD(ROW()-9,9)+1),"")</f>
        <v/>
      </c>
      <c r="C2407" s="9">
        <f t="shared" si="37"/>
        <v>0</v>
      </c>
    </row>
    <row r="2408" spans="1:3" x14ac:dyDescent="0.2">
      <c r="A2408" s="10" t="str">
        <f>IF(2400&gt;$C$9008,"",INDEX($B$9:$B$9008,MATCH(2400,$C$9:$C$9008,0)))</f>
        <v/>
      </c>
      <c r="B2408" s="9" t="str">
        <f>IFERROR(INDEX(Input!$L$20:$T$1019,INT((ROW()-9)/9)+1,MOD(ROW()-9,9)+1),"")</f>
        <v/>
      </c>
      <c r="C2408" s="9">
        <f t="shared" si="37"/>
        <v>0</v>
      </c>
    </row>
    <row r="2409" spans="1:3" x14ac:dyDescent="0.2">
      <c r="A2409" s="10" t="str">
        <f>IF(2401&gt;$C$9008,"",INDEX($B$9:$B$9008,MATCH(2401,$C$9:$C$9008,0)))</f>
        <v/>
      </c>
      <c r="B2409" s="9" t="str">
        <f>IFERROR(INDEX(Input!$L$20:$T$1019,INT((ROW()-9)/9)+1,MOD(ROW()-9,9)+1),"")</f>
        <v/>
      </c>
      <c r="C2409" s="9">
        <f t="shared" si="37"/>
        <v>0</v>
      </c>
    </row>
    <row r="2410" spans="1:3" x14ac:dyDescent="0.2">
      <c r="A2410" s="10" t="str">
        <f>IF(2402&gt;$C$9008,"",INDEX($B$9:$B$9008,MATCH(2402,$C$9:$C$9008,0)))</f>
        <v/>
      </c>
      <c r="B2410" s="9" t="str">
        <f>IFERROR(INDEX(Input!$L$20:$T$1019,INT((ROW()-9)/9)+1,MOD(ROW()-9,9)+1),"")</f>
        <v/>
      </c>
      <c r="C2410" s="9">
        <f t="shared" si="37"/>
        <v>0</v>
      </c>
    </row>
    <row r="2411" spans="1:3" x14ac:dyDescent="0.2">
      <c r="A2411" s="10" t="str">
        <f>IF(2403&gt;$C$9008,"",INDEX($B$9:$B$9008,MATCH(2403,$C$9:$C$9008,0)))</f>
        <v/>
      </c>
      <c r="B2411" s="9" t="str">
        <f>IFERROR(INDEX(Input!$L$20:$T$1019,INT((ROW()-9)/9)+1,MOD(ROW()-9,9)+1),"")</f>
        <v/>
      </c>
      <c r="C2411" s="9">
        <f t="shared" si="37"/>
        <v>0</v>
      </c>
    </row>
    <row r="2412" spans="1:3" x14ac:dyDescent="0.2">
      <c r="A2412" s="10" t="str">
        <f>IF(2404&gt;$C$9008,"",INDEX($B$9:$B$9008,MATCH(2404,$C$9:$C$9008,0)))</f>
        <v/>
      </c>
      <c r="B2412" s="9" t="str">
        <f>IFERROR(INDEX(Input!$L$20:$T$1019,INT((ROW()-9)/9)+1,MOD(ROW()-9,9)+1),"")</f>
        <v/>
      </c>
      <c r="C2412" s="9">
        <f t="shared" si="37"/>
        <v>0</v>
      </c>
    </row>
    <row r="2413" spans="1:3" x14ac:dyDescent="0.2">
      <c r="A2413" s="10" t="str">
        <f>IF(2405&gt;$C$9008,"",INDEX($B$9:$B$9008,MATCH(2405,$C$9:$C$9008,0)))</f>
        <v/>
      </c>
      <c r="B2413" s="9" t="str">
        <f>IFERROR(INDEX(Input!$L$20:$T$1019,INT((ROW()-9)/9)+1,MOD(ROW()-9,9)+1),"")</f>
        <v/>
      </c>
      <c r="C2413" s="9">
        <f t="shared" si="37"/>
        <v>0</v>
      </c>
    </row>
    <row r="2414" spans="1:3" x14ac:dyDescent="0.2">
      <c r="A2414" s="10" t="str">
        <f>IF(2406&gt;$C$9008,"",INDEX($B$9:$B$9008,MATCH(2406,$C$9:$C$9008,0)))</f>
        <v/>
      </c>
      <c r="B2414" s="9" t="str">
        <f>IFERROR(INDEX(Input!$L$20:$T$1019,INT((ROW()-9)/9)+1,MOD(ROW()-9,9)+1),"")</f>
        <v/>
      </c>
      <c r="C2414" s="9">
        <f t="shared" si="37"/>
        <v>0</v>
      </c>
    </row>
    <row r="2415" spans="1:3" x14ac:dyDescent="0.2">
      <c r="A2415" s="10" t="str">
        <f>IF(2407&gt;$C$9008,"",INDEX($B$9:$B$9008,MATCH(2407,$C$9:$C$9008,0)))</f>
        <v/>
      </c>
      <c r="B2415" s="9" t="str">
        <f>IFERROR(INDEX(Input!$L$20:$T$1019,INT((ROW()-9)/9)+1,MOD(ROW()-9,9)+1),"")</f>
        <v/>
      </c>
      <c r="C2415" s="9">
        <f t="shared" si="37"/>
        <v>0</v>
      </c>
    </row>
    <row r="2416" spans="1:3" x14ac:dyDescent="0.2">
      <c r="A2416" s="10" t="str">
        <f>IF(2408&gt;$C$9008,"",INDEX($B$9:$B$9008,MATCH(2408,$C$9:$C$9008,0)))</f>
        <v/>
      </c>
      <c r="B2416" s="9" t="str">
        <f>IFERROR(INDEX(Input!$L$20:$T$1019,INT((ROW()-9)/9)+1,MOD(ROW()-9,9)+1),"")</f>
        <v/>
      </c>
      <c r="C2416" s="9">
        <f t="shared" si="37"/>
        <v>0</v>
      </c>
    </row>
    <row r="2417" spans="1:3" x14ac:dyDescent="0.2">
      <c r="A2417" s="10" t="str">
        <f>IF(2409&gt;$C$9008,"",INDEX($B$9:$B$9008,MATCH(2409,$C$9:$C$9008,0)))</f>
        <v/>
      </c>
      <c r="B2417" s="9" t="str">
        <f>IFERROR(INDEX(Input!$L$20:$T$1019,INT((ROW()-9)/9)+1,MOD(ROW()-9,9)+1),"")</f>
        <v/>
      </c>
      <c r="C2417" s="9">
        <f t="shared" si="37"/>
        <v>0</v>
      </c>
    </row>
    <row r="2418" spans="1:3" x14ac:dyDescent="0.2">
      <c r="A2418" s="10" t="str">
        <f>IF(2410&gt;$C$9008,"",INDEX($B$9:$B$9008,MATCH(2410,$C$9:$C$9008,0)))</f>
        <v/>
      </c>
      <c r="B2418" s="9" t="str">
        <f>IFERROR(INDEX(Input!$L$20:$T$1019,INT((ROW()-9)/9)+1,MOD(ROW()-9,9)+1),"")</f>
        <v/>
      </c>
      <c r="C2418" s="9">
        <f t="shared" si="37"/>
        <v>0</v>
      </c>
    </row>
    <row r="2419" spans="1:3" x14ac:dyDescent="0.2">
      <c r="A2419" s="10" t="str">
        <f>IF(2411&gt;$C$9008,"",INDEX($B$9:$B$9008,MATCH(2411,$C$9:$C$9008,0)))</f>
        <v/>
      </c>
      <c r="B2419" s="9" t="str">
        <f>IFERROR(INDEX(Input!$L$20:$T$1019,INT((ROW()-9)/9)+1,MOD(ROW()-9,9)+1),"")</f>
        <v/>
      </c>
      <c r="C2419" s="9">
        <f t="shared" si="37"/>
        <v>0</v>
      </c>
    </row>
    <row r="2420" spans="1:3" x14ac:dyDescent="0.2">
      <c r="A2420" s="10" t="str">
        <f>IF(2412&gt;$C$9008,"",INDEX($B$9:$B$9008,MATCH(2412,$C$9:$C$9008,0)))</f>
        <v/>
      </c>
      <c r="B2420" s="9" t="str">
        <f>IFERROR(INDEX(Input!$L$20:$T$1019,INT((ROW()-9)/9)+1,MOD(ROW()-9,9)+1),"")</f>
        <v/>
      </c>
      <c r="C2420" s="9">
        <f t="shared" si="37"/>
        <v>0</v>
      </c>
    </row>
    <row r="2421" spans="1:3" x14ac:dyDescent="0.2">
      <c r="A2421" s="10" t="str">
        <f>IF(2413&gt;$C$9008,"",INDEX($B$9:$B$9008,MATCH(2413,$C$9:$C$9008,0)))</f>
        <v/>
      </c>
      <c r="B2421" s="9" t="str">
        <f>IFERROR(INDEX(Input!$L$20:$T$1019,INT((ROW()-9)/9)+1,MOD(ROW()-9,9)+1),"")</f>
        <v/>
      </c>
      <c r="C2421" s="9">
        <f t="shared" si="37"/>
        <v>0</v>
      </c>
    </row>
    <row r="2422" spans="1:3" x14ac:dyDescent="0.2">
      <c r="A2422" s="10" t="str">
        <f>IF(2414&gt;$C$9008,"",INDEX($B$9:$B$9008,MATCH(2414,$C$9:$C$9008,0)))</f>
        <v/>
      </c>
      <c r="B2422" s="9" t="str">
        <f>IFERROR(INDEX(Input!$L$20:$T$1019,INT((ROW()-9)/9)+1,MOD(ROW()-9,9)+1),"")</f>
        <v/>
      </c>
      <c r="C2422" s="9">
        <f t="shared" si="37"/>
        <v>0</v>
      </c>
    </row>
    <row r="2423" spans="1:3" x14ac:dyDescent="0.2">
      <c r="A2423" s="10" t="str">
        <f>IF(2415&gt;$C$9008,"",INDEX($B$9:$B$9008,MATCH(2415,$C$9:$C$9008,0)))</f>
        <v/>
      </c>
      <c r="B2423" s="9" t="str">
        <f>IFERROR(INDEX(Input!$L$20:$T$1019,INT((ROW()-9)/9)+1,MOD(ROW()-9,9)+1),"")</f>
        <v/>
      </c>
      <c r="C2423" s="9">
        <f t="shared" si="37"/>
        <v>0</v>
      </c>
    </row>
    <row r="2424" spans="1:3" x14ac:dyDescent="0.2">
      <c r="A2424" s="10" t="str">
        <f>IF(2416&gt;$C$9008,"",INDEX($B$9:$B$9008,MATCH(2416,$C$9:$C$9008,0)))</f>
        <v/>
      </c>
      <c r="B2424" s="9" t="str">
        <f>IFERROR(INDEX(Input!$L$20:$T$1019,INT((ROW()-9)/9)+1,MOD(ROW()-9,9)+1),"")</f>
        <v/>
      </c>
      <c r="C2424" s="9">
        <f t="shared" si="37"/>
        <v>0</v>
      </c>
    </row>
    <row r="2425" spans="1:3" x14ac:dyDescent="0.2">
      <c r="A2425" s="10" t="str">
        <f>IF(2417&gt;$C$9008,"",INDEX($B$9:$B$9008,MATCH(2417,$C$9:$C$9008,0)))</f>
        <v/>
      </c>
      <c r="B2425" s="9" t="str">
        <f>IFERROR(INDEX(Input!$L$20:$T$1019,INT((ROW()-9)/9)+1,MOD(ROW()-9,9)+1),"")</f>
        <v/>
      </c>
      <c r="C2425" s="9">
        <f t="shared" si="37"/>
        <v>0</v>
      </c>
    </row>
    <row r="2426" spans="1:3" x14ac:dyDescent="0.2">
      <c r="A2426" s="10" t="str">
        <f>IF(2418&gt;$C$9008,"",INDEX($B$9:$B$9008,MATCH(2418,$C$9:$C$9008,0)))</f>
        <v/>
      </c>
      <c r="B2426" s="9" t="str">
        <f>IFERROR(INDEX(Input!$L$20:$T$1019,INT((ROW()-9)/9)+1,MOD(ROW()-9,9)+1),"")</f>
        <v/>
      </c>
      <c r="C2426" s="9">
        <f t="shared" si="37"/>
        <v>0</v>
      </c>
    </row>
    <row r="2427" spans="1:3" x14ac:dyDescent="0.2">
      <c r="A2427" s="10" t="str">
        <f>IF(2419&gt;$C$9008,"",INDEX($B$9:$B$9008,MATCH(2419,$C$9:$C$9008,0)))</f>
        <v/>
      </c>
      <c r="B2427" s="9" t="str">
        <f>IFERROR(INDEX(Input!$L$20:$T$1019,INT((ROW()-9)/9)+1,MOD(ROW()-9,9)+1),"")</f>
        <v/>
      </c>
      <c r="C2427" s="9">
        <f t="shared" si="37"/>
        <v>0</v>
      </c>
    </row>
    <row r="2428" spans="1:3" x14ac:dyDescent="0.2">
      <c r="A2428" s="10" t="str">
        <f>IF(2420&gt;$C$9008,"",INDEX($B$9:$B$9008,MATCH(2420,$C$9:$C$9008,0)))</f>
        <v/>
      </c>
      <c r="B2428" s="9" t="str">
        <f>IFERROR(INDEX(Input!$L$20:$T$1019,INT((ROW()-9)/9)+1,MOD(ROW()-9,9)+1),"")</f>
        <v/>
      </c>
      <c r="C2428" s="9">
        <f t="shared" si="37"/>
        <v>0</v>
      </c>
    </row>
    <row r="2429" spans="1:3" x14ac:dyDescent="0.2">
      <c r="A2429" s="10" t="str">
        <f>IF(2421&gt;$C$9008,"",INDEX($B$9:$B$9008,MATCH(2421,$C$9:$C$9008,0)))</f>
        <v/>
      </c>
      <c r="B2429" s="9" t="str">
        <f>IFERROR(INDEX(Input!$L$20:$T$1019,INT((ROW()-9)/9)+1,MOD(ROW()-9,9)+1),"")</f>
        <v/>
      </c>
      <c r="C2429" s="9">
        <f t="shared" si="37"/>
        <v>0</v>
      </c>
    </row>
    <row r="2430" spans="1:3" x14ac:dyDescent="0.2">
      <c r="A2430" s="10" t="str">
        <f>IF(2422&gt;$C$9008,"",INDEX($B$9:$B$9008,MATCH(2422,$C$9:$C$9008,0)))</f>
        <v/>
      </c>
      <c r="B2430" s="9" t="str">
        <f>IFERROR(INDEX(Input!$L$20:$T$1019,INT((ROW()-9)/9)+1,MOD(ROW()-9,9)+1),"")</f>
        <v/>
      </c>
      <c r="C2430" s="9">
        <f t="shared" si="37"/>
        <v>0</v>
      </c>
    </row>
    <row r="2431" spans="1:3" x14ac:dyDescent="0.2">
      <c r="A2431" s="10" t="str">
        <f>IF(2423&gt;$C$9008,"",INDEX($B$9:$B$9008,MATCH(2423,$C$9:$C$9008,0)))</f>
        <v/>
      </c>
      <c r="B2431" s="9" t="str">
        <f>IFERROR(INDEX(Input!$L$20:$T$1019,INT((ROW()-9)/9)+1,MOD(ROW()-9,9)+1),"")</f>
        <v/>
      </c>
      <c r="C2431" s="9">
        <f t="shared" si="37"/>
        <v>0</v>
      </c>
    </row>
    <row r="2432" spans="1:3" x14ac:dyDescent="0.2">
      <c r="A2432" s="10" t="str">
        <f>IF(2424&gt;$C$9008,"",INDEX($B$9:$B$9008,MATCH(2424,$C$9:$C$9008,0)))</f>
        <v/>
      </c>
      <c r="B2432" s="9" t="str">
        <f>IFERROR(INDEX(Input!$L$20:$T$1019,INT((ROW()-9)/9)+1,MOD(ROW()-9,9)+1),"")</f>
        <v/>
      </c>
      <c r="C2432" s="9">
        <f t="shared" si="37"/>
        <v>0</v>
      </c>
    </row>
    <row r="2433" spans="1:3" x14ac:dyDescent="0.2">
      <c r="A2433" s="10" t="str">
        <f>IF(2425&gt;$C$9008,"",INDEX($B$9:$B$9008,MATCH(2425,$C$9:$C$9008,0)))</f>
        <v/>
      </c>
      <c r="B2433" s="9" t="str">
        <f>IFERROR(INDEX(Input!$L$20:$T$1019,INT((ROW()-9)/9)+1,MOD(ROW()-9,9)+1),"")</f>
        <v/>
      </c>
      <c r="C2433" s="9">
        <f t="shared" si="37"/>
        <v>0</v>
      </c>
    </row>
    <row r="2434" spans="1:3" x14ac:dyDescent="0.2">
      <c r="A2434" s="10" t="str">
        <f>IF(2426&gt;$C$9008,"",INDEX($B$9:$B$9008,MATCH(2426,$C$9:$C$9008,0)))</f>
        <v/>
      </c>
      <c r="B2434" s="9" t="str">
        <f>IFERROR(INDEX(Input!$L$20:$T$1019,INT((ROW()-9)/9)+1,MOD(ROW()-9,9)+1),"")</f>
        <v/>
      </c>
      <c r="C2434" s="9">
        <f t="shared" si="37"/>
        <v>0</v>
      </c>
    </row>
    <row r="2435" spans="1:3" x14ac:dyDescent="0.2">
      <c r="A2435" s="10" t="str">
        <f>IF(2427&gt;$C$9008,"",INDEX($B$9:$B$9008,MATCH(2427,$C$9:$C$9008,0)))</f>
        <v/>
      </c>
      <c r="B2435" s="9" t="str">
        <f>IFERROR(INDEX(Input!$L$20:$T$1019,INT((ROW()-9)/9)+1,MOD(ROW()-9,9)+1),"")</f>
        <v/>
      </c>
      <c r="C2435" s="9">
        <f t="shared" si="37"/>
        <v>0</v>
      </c>
    </row>
    <row r="2436" spans="1:3" x14ac:dyDescent="0.2">
      <c r="A2436" s="10" t="str">
        <f>IF(2428&gt;$C$9008,"",INDEX($B$9:$B$9008,MATCH(2428,$C$9:$C$9008,0)))</f>
        <v/>
      </c>
      <c r="B2436" s="9" t="str">
        <f>IFERROR(INDEX(Input!$L$20:$T$1019,INT((ROW()-9)/9)+1,MOD(ROW()-9,9)+1),"")</f>
        <v/>
      </c>
      <c r="C2436" s="9">
        <f t="shared" si="37"/>
        <v>0</v>
      </c>
    </row>
    <row r="2437" spans="1:3" x14ac:dyDescent="0.2">
      <c r="A2437" s="10" t="str">
        <f>IF(2429&gt;$C$9008,"",INDEX($B$9:$B$9008,MATCH(2429,$C$9:$C$9008,0)))</f>
        <v/>
      </c>
      <c r="B2437" s="9" t="str">
        <f>IFERROR(INDEX(Input!$L$20:$T$1019,INT((ROW()-9)/9)+1,MOD(ROW()-9,9)+1),"")</f>
        <v/>
      </c>
      <c r="C2437" s="9">
        <f t="shared" si="37"/>
        <v>0</v>
      </c>
    </row>
    <row r="2438" spans="1:3" x14ac:dyDescent="0.2">
      <c r="A2438" s="10" t="str">
        <f>IF(2430&gt;$C$9008,"",INDEX($B$9:$B$9008,MATCH(2430,$C$9:$C$9008,0)))</f>
        <v/>
      </c>
      <c r="B2438" s="9" t="str">
        <f>IFERROR(INDEX(Input!$L$20:$T$1019,INT((ROW()-9)/9)+1,MOD(ROW()-9,9)+1),"")</f>
        <v/>
      </c>
      <c r="C2438" s="9">
        <f t="shared" si="37"/>
        <v>0</v>
      </c>
    </row>
    <row r="2439" spans="1:3" x14ac:dyDescent="0.2">
      <c r="A2439" s="10" t="str">
        <f>IF(2431&gt;$C$9008,"",INDEX($B$9:$B$9008,MATCH(2431,$C$9:$C$9008,0)))</f>
        <v/>
      </c>
      <c r="B2439" s="9" t="str">
        <f>IFERROR(INDEX(Input!$L$20:$T$1019,INT((ROW()-9)/9)+1,MOD(ROW()-9,9)+1),"")</f>
        <v/>
      </c>
      <c r="C2439" s="9">
        <f t="shared" si="37"/>
        <v>0</v>
      </c>
    </row>
    <row r="2440" spans="1:3" x14ac:dyDescent="0.2">
      <c r="A2440" s="10" t="str">
        <f>IF(2432&gt;$C$9008,"",INDEX($B$9:$B$9008,MATCH(2432,$C$9:$C$9008,0)))</f>
        <v/>
      </c>
      <c r="B2440" s="9" t="str">
        <f>IFERROR(INDEX(Input!$L$20:$T$1019,INT((ROW()-9)/9)+1,MOD(ROW()-9,9)+1),"")</f>
        <v/>
      </c>
      <c r="C2440" s="9">
        <f t="shared" si="37"/>
        <v>0</v>
      </c>
    </row>
    <row r="2441" spans="1:3" x14ac:dyDescent="0.2">
      <c r="A2441" s="10" t="str">
        <f>IF(2433&gt;$C$9008,"",INDEX($B$9:$B$9008,MATCH(2433,$C$9:$C$9008,0)))</f>
        <v/>
      </c>
      <c r="B2441" s="9" t="str">
        <f>IFERROR(INDEX(Input!$L$20:$T$1019,INT((ROW()-9)/9)+1,MOD(ROW()-9,9)+1),"")</f>
        <v/>
      </c>
      <c r="C2441" s="9">
        <f t="shared" ref="C2441:C2504" si="38">$C2440+IF($B2441&lt;&gt;"",1,0)</f>
        <v>0</v>
      </c>
    </row>
    <row r="2442" spans="1:3" x14ac:dyDescent="0.2">
      <c r="A2442" s="10" t="str">
        <f>IF(2434&gt;$C$9008,"",INDEX($B$9:$B$9008,MATCH(2434,$C$9:$C$9008,0)))</f>
        <v/>
      </c>
      <c r="B2442" s="9" t="str">
        <f>IFERROR(INDEX(Input!$L$20:$T$1019,INT((ROW()-9)/9)+1,MOD(ROW()-9,9)+1),"")</f>
        <v/>
      </c>
      <c r="C2442" s="9">
        <f t="shared" si="38"/>
        <v>0</v>
      </c>
    </row>
    <row r="2443" spans="1:3" x14ac:dyDescent="0.2">
      <c r="A2443" s="10" t="str">
        <f>IF(2435&gt;$C$9008,"",INDEX($B$9:$B$9008,MATCH(2435,$C$9:$C$9008,0)))</f>
        <v/>
      </c>
      <c r="B2443" s="9" t="str">
        <f>IFERROR(INDEX(Input!$L$20:$T$1019,INT((ROW()-9)/9)+1,MOD(ROW()-9,9)+1),"")</f>
        <v/>
      </c>
      <c r="C2443" s="9">
        <f t="shared" si="38"/>
        <v>0</v>
      </c>
    </row>
    <row r="2444" spans="1:3" x14ac:dyDescent="0.2">
      <c r="A2444" s="10" t="str">
        <f>IF(2436&gt;$C$9008,"",INDEX($B$9:$B$9008,MATCH(2436,$C$9:$C$9008,0)))</f>
        <v/>
      </c>
      <c r="B2444" s="9" t="str">
        <f>IFERROR(INDEX(Input!$L$20:$T$1019,INT((ROW()-9)/9)+1,MOD(ROW()-9,9)+1),"")</f>
        <v/>
      </c>
      <c r="C2444" s="9">
        <f t="shared" si="38"/>
        <v>0</v>
      </c>
    </row>
    <row r="2445" spans="1:3" x14ac:dyDescent="0.2">
      <c r="A2445" s="10" t="str">
        <f>IF(2437&gt;$C$9008,"",INDEX($B$9:$B$9008,MATCH(2437,$C$9:$C$9008,0)))</f>
        <v/>
      </c>
      <c r="B2445" s="9" t="str">
        <f>IFERROR(INDEX(Input!$L$20:$T$1019,INT((ROW()-9)/9)+1,MOD(ROW()-9,9)+1),"")</f>
        <v/>
      </c>
      <c r="C2445" s="9">
        <f t="shared" si="38"/>
        <v>0</v>
      </c>
    </row>
    <row r="2446" spans="1:3" x14ac:dyDescent="0.2">
      <c r="A2446" s="10" t="str">
        <f>IF(2438&gt;$C$9008,"",INDEX($B$9:$B$9008,MATCH(2438,$C$9:$C$9008,0)))</f>
        <v/>
      </c>
      <c r="B2446" s="9" t="str">
        <f>IFERROR(INDEX(Input!$L$20:$T$1019,INT((ROW()-9)/9)+1,MOD(ROW()-9,9)+1),"")</f>
        <v/>
      </c>
      <c r="C2446" s="9">
        <f t="shared" si="38"/>
        <v>0</v>
      </c>
    </row>
    <row r="2447" spans="1:3" x14ac:dyDescent="0.2">
      <c r="A2447" s="10" t="str">
        <f>IF(2439&gt;$C$9008,"",INDEX($B$9:$B$9008,MATCH(2439,$C$9:$C$9008,0)))</f>
        <v/>
      </c>
      <c r="B2447" s="9" t="str">
        <f>IFERROR(INDEX(Input!$L$20:$T$1019,INT((ROW()-9)/9)+1,MOD(ROW()-9,9)+1),"")</f>
        <v/>
      </c>
      <c r="C2447" s="9">
        <f t="shared" si="38"/>
        <v>0</v>
      </c>
    </row>
    <row r="2448" spans="1:3" x14ac:dyDescent="0.2">
      <c r="A2448" s="10" t="str">
        <f>IF(2440&gt;$C$9008,"",INDEX($B$9:$B$9008,MATCH(2440,$C$9:$C$9008,0)))</f>
        <v/>
      </c>
      <c r="B2448" s="9" t="str">
        <f>IFERROR(INDEX(Input!$L$20:$T$1019,INT((ROW()-9)/9)+1,MOD(ROW()-9,9)+1),"")</f>
        <v/>
      </c>
      <c r="C2448" s="9">
        <f t="shared" si="38"/>
        <v>0</v>
      </c>
    </row>
    <row r="2449" spans="1:3" x14ac:dyDescent="0.2">
      <c r="A2449" s="10" t="str">
        <f>IF(2441&gt;$C$9008,"",INDEX($B$9:$B$9008,MATCH(2441,$C$9:$C$9008,0)))</f>
        <v/>
      </c>
      <c r="B2449" s="9" t="str">
        <f>IFERROR(INDEX(Input!$L$20:$T$1019,INT((ROW()-9)/9)+1,MOD(ROW()-9,9)+1),"")</f>
        <v/>
      </c>
      <c r="C2449" s="9">
        <f t="shared" si="38"/>
        <v>0</v>
      </c>
    </row>
    <row r="2450" spans="1:3" x14ac:dyDescent="0.2">
      <c r="A2450" s="10" t="str">
        <f>IF(2442&gt;$C$9008,"",INDEX($B$9:$B$9008,MATCH(2442,$C$9:$C$9008,0)))</f>
        <v/>
      </c>
      <c r="B2450" s="9" t="str">
        <f>IFERROR(INDEX(Input!$L$20:$T$1019,INT((ROW()-9)/9)+1,MOD(ROW()-9,9)+1),"")</f>
        <v/>
      </c>
      <c r="C2450" s="9">
        <f t="shared" si="38"/>
        <v>0</v>
      </c>
    </row>
    <row r="2451" spans="1:3" x14ac:dyDescent="0.2">
      <c r="A2451" s="10" t="str">
        <f>IF(2443&gt;$C$9008,"",INDEX($B$9:$B$9008,MATCH(2443,$C$9:$C$9008,0)))</f>
        <v/>
      </c>
      <c r="B2451" s="9" t="str">
        <f>IFERROR(INDEX(Input!$L$20:$T$1019,INT((ROW()-9)/9)+1,MOD(ROW()-9,9)+1),"")</f>
        <v/>
      </c>
      <c r="C2451" s="9">
        <f t="shared" si="38"/>
        <v>0</v>
      </c>
    </row>
    <row r="2452" spans="1:3" x14ac:dyDescent="0.2">
      <c r="A2452" s="10" t="str">
        <f>IF(2444&gt;$C$9008,"",INDEX($B$9:$B$9008,MATCH(2444,$C$9:$C$9008,0)))</f>
        <v/>
      </c>
      <c r="B2452" s="9" t="str">
        <f>IFERROR(INDEX(Input!$L$20:$T$1019,INT((ROW()-9)/9)+1,MOD(ROW()-9,9)+1),"")</f>
        <v/>
      </c>
      <c r="C2452" s="9">
        <f t="shared" si="38"/>
        <v>0</v>
      </c>
    </row>
    <row r="2453" spans="1:3" x14ac:dyDescent="0.2">
      <c r="A2453" s="10" t="str">
        <f>IF(2445&gt;$C$9008,"",INDEX($B$9:$B$9008,MATCH(2445,$C$9:$C$9008,0)))</f>
        <v/>
      </c>
      <c r="B2453" s="9" t="str">
        <f>IFERROR(INDEX(Input!$L$20:$T$1019,INT((ROW()-9)/9)+1,MOD(ROW()-9,9)+1),"")</f>
        <v/>
      </c>
      <c r="C2453" s="9">
        <f t="shared" si="38"/>
        <v>0</v>
      </c>
    </row>
    <row r="2454" spans="1:3" x14ac:dyDescent="0.2">
      <c r="A2454" s="10" t="str">
        <f>IF(2446&gt;$C$9008,"",INDEX($B$9:$B$9008,MATCH(2446,$C$9:$C$9008,0)))</f>
        <v/>
      </c>
      <c r="B2454" s="9" t="str">
        <f>IFERROR(INDEX(Input!$L$20:$T$1019,INT((ROW()-9)/9)+1,MOD(ROW()-9,9)+1),"")</f>
        <v/>
      </c>
      <c r="C2454" s="9">
        <f t="shared" si="38"/>
        <v>0</v>
      </c>
    </row>
    <row r="2455" spans="1:3" x14ac:dyDescent="0.2">
      <c r="A2455" s="10" t="str">
        <f>IF(2447&gt;$C$9008,"",INDEX($B$9:$B$9008,MATCH(2447,$C$9:$C$9008,0)))</f>
        <v/>
      </c>
      <c r="B2455" s="9" t="str">
        <f>IFERROR(INDEX(Input!$L$20:$T$1019,INT((ROW()-9)/9)+1,MOD(ROW()-9,9)+1),"")</f>
        <v/>
      </c>
      <c r="C2455" s="9">
        <f t="shared" si="38"/>
        <v>0</v>
      </c>
    </row>
    <row r="2456" spans="1:3" x14ac:dyDescent="0.2">
      <c r="A2456" s="10" t="str">
        <f>IF(2448&gt;$C$9008,"",INDEX($B$9:$B$9008,MATCH(2448,$C$9:$C$9008,0)))</f>
        <v/>
      </c>
      <c r="B2456" s="9" t="str">
        <f>IFERROR(INDEX(Input!$L$20:$T$1019,INT((ROW()-9)/9)+1,MOD(ROW()-9,9)+1),"")</f>
        <v/>
      </c>
      <c r="C2456" s="9">
        <f t="shared" si="38"/>
        <v>0</v>
      </c>
    </row>
    <row r="2457" spans="1:3" x14ac:dyDescent="0.2">
      <c r="A2457" s="10" t="str">
        <f>IF(2449&gt;$C$9008,"",INDEX($B$9:$B$9008,MATCH(2449,$C$9:$C$9008,0)))</f>
        <v/>
      </c>
      <c r="B2457" s="9" t="str">
        <f>IFERROR(INDEX(Input!$L$20:$T$1019,INT((ROW()-9)/9)+1,MOD(ROW()-9,9)+1),"")</f>
        <v/>
      </c>
      <c r="C2457" s="9">
        <f t="shared" si="38"/>
        <v>0</v>
      </c>
    </row>
    <row r="2458" spans="1:3" x14ac:dyDescent="0.2">
      <c r="A2458" s="10" t="str">
        <f>IF(2450&gt;$C$9008,"",INDEX($B$9:$B$9008,MATCH(2450,$C$9:$C$9008,0)))</f>
        <v/>
      </c>
      <c r="B2458" s="9" t="str">
        <f>IFERROR(INDEX(Input!$L$20:$T$1019,INT((ROW()-9)/9)+1,MOD(ROW()-9,9)+1),"")</f>
        <v/>
      </c>
      <c r="C2458" s="9">
        <f t="shared" si="38"/>
        <v>0</v>
      </c>
    </row>
    <row r="2459" spans="1:3" x14ac:dyDescent="0.2">
      <c r="A2459" s="10" t="str">
        <f>IF(2451&gt;$C$9008,"",INDEX($B$9:$B$9008,MATCH(2451,$C$9:$C$9008,0)))</f>
        <v/>
      </c>
      <c r="B2459" s="9" t="str">
        <f>IFERROR(INDEX(Input!$L$20:$T$1019,INT((ROW()-9)/9)+1,MOD(ROW()-9,9)+1),"")</f>
        <v/>
      </c>
      <c r="C2459" s="9">
        <f t="shared" si="38"/>
        <v>0</v>
      </c>
    </row>
    <row r="2460" spans="1:3" x14ac:dyDescent="0.2">
      <c r="A2460" s="10" t="str">
        <f>IF(2452&gt;$C$9008,"",INDEX($B$9:$B$9008,MATCH(2452,$C$9:$C$9008,0)))</f>
        <v/>
      </c>
      <c r="B2460" s="9" t="str">
        <f>IFERROR(INDEX(Input!$L$20:$T$1019,INT((ROW()-9)/9)+1,MOD(ROW()-9,9)+1),"")</f>
        <v/>
      </c>
      <c r="C2460" s="9">
        <f t="shared" si="38"/>
        <v>0</v>
      </c>
    </row>
    <row r="2461" spans="1:3" x14ac:dyDescent="0.2">
      <c r="A2461" s="10" t="str">
        <f>IF(2453&gt;$C$9008,"",INDEX($B$9:$B$9008,MATCH(2453,$C$9:$C$9008,0)))</f>
        <v/>
      </c>
      <c r="B2461" s="9" t="str">
        <f>IFERROR(INDEX(Input!$L$20:$T$1019,INT((ROW()-9)/9)+1,MOD(ROW()-9,9)+1),"")</f>
        <v/>
      </c>
      <c r="C2461" s="9">
        <f t="shared" si="38"/>
        <v>0</v>
      </c>
    </row>
    <row r="2462" spans="1:3" x14ac:dyDescent="0.2">
      <c r="A2462" s="10" t="str">
        <f>IF(2454&gt;$C$9008,"",INDEX($B$9:$B$9008,MATCH(2454,$C$9:$C$9008,0)))</f>
        <v/>
      </c>
      <c r="B2462" s="9" t="str">
        <f>IFERROR(INDEX(Input!$L$20:$T$1019,INT((ROW()-9)/9)+1,MOD(ROW()-9,9)+1),"")</f>
        <v/>
      </c>
      <c r="C2462" s="9">
        <f t="shared" si="38"/>
        <v>0</v>
      </c>
    </row>
    <row r="2463" spans="1:3" x14ac:dyDescent="0.2">
      <c r="A2463" s="10" t="str">
        <f>IF(2455&gt;$C$9008,"",INDEX($B$9:$B$9008,MATCH(2455,$C$9:$C$9008,0)))</f>
        <v/>
      </c>
      <c r="B2463" s="9" t="str">
        <f>IFERROR(INDEX(Input!$L$20:$T$1019,INT((ROW()-9)/9)+1,MOD(ROW()-9,9)+1),"")</f>
        <v/>
      </c>
      <c r="C2463" s="9">
        <f t="shared" si="38"/>
        <v>0</v>
      </c>
    </row>
    <row r="2464" spans="1:3" x14ac:dyDescent="0.2">
      <c r="A2464" s="10" t="str">
        <f>IF(2456&gt;$C$9008,"",INDEX($B$9:$B$9008,MATCH(2456,$C$9:$C$9008,0)))</f>
        <v/>
      </c>
      <c r="B2464" s="9" t="str">
        <f>IFERROR(INDEX(Input!$L$20:$T$1019,INT((ROW()-9)/9)+1,MOD(ROW()-9,9)+1),"")</f>
        <v/>
      </c>
      <c r="C2464" s="9">
        <f t="shared" si="38"/>
        <v>0</v>
      </c>
    </row>
    <row r="2465" spans="1:3" x14ac:dyDescent="0.2">
      <c r="A2465" s="10" t="str">
        <f>IF(2457&gt;$C$9008,"",INDEX($B$9:$B$9008,MATCH(2457,$C$9:$C$9008,0)))</f>
        <v/>
      </c>
      <c r="B2465" s="9" t="str">
        <f>IFERROR(INDEX(Input!$L$20:$T$1019,INT((ROW()-9)/9)+1,MOD(ROW()-9,9)+1),"")</f>
        <v/>
      </c>
      <c r="C2465" s="9">
        <f t="shared" si="38"/>
        <v>0</v>
      </c>
    </row>
    <row r="2466" spans="1:3" x14ac:dyDescent="0.2">
      <c r="A2466" s="10" t="str">
        <f>IF(2458&gt;$C$9008,"",INDEX($B$9:$B$9008,MATCH(2458,$C$9:$C$9008,0)))</f>
        <v/>
      </c>
      <c r="B2466" s="9" t="str">
        <f>IFERROR(INDEX(Input!$L$20:$T$1019,INT((ROW()-9)/9)+1,MOD(ROW()-9,9)+1),"")</f>
        <v/>
      </c>
      <c r="C2466" s="9">
        <f t="shared" si="38"/>
        <v>0</v>
      </c>
    </row>
    <row r="2467" spans="1:3" x14ac:dyDescent="0.2">
      <c r="A2467" s="10" t="str">
        <f>IF(2459&gt;$C$9008,"",INDEX($B$9:$B$9008,MATCH(2459,$C$9:$C$9008,0)))</f>
        <v/>
      </c>
      <c r="B2467" s="9" t="str">
        <f>IFERROR(INDEX(Input!$L$20:$T$1019,INT((ROW()-9)/9)+1,MOD(ROW()-9,9)+1),"")</f>
        <v/>
      </c>
      <c r="C2467" s="9">
        <f t="shared" si="38"/>
        <v>0</v>
      </c>
    </row>
    <row r="2468" spans="1:3" x14ac:dyDescent="0.2">
      <c r="A2468" s="10" t="str">
        <f>IF(2460&gt;$C$9008,"",INDEX($B$9:$B$9008,MATCH(2460,$C$9:$C$9008,0)))</f>
        <v/>
      </c>
      <c r="B2468" s="9" t="str">
        <f>IFERROR(INDEX(Input!$L$20:$T$1019,INT((ROW()-9)/9)+1,MOD(ROW()-9,9)+1),"")</f>
        <v/>
      </c>
      <c r="C2468" s="9">
        <f t="shared" si="38"/>
        <v>0</v>
      </c>
    </row>
    <row r="2469" spans="1:3" x14ac:dyDescent="0.2">
      <c r="A2469" s="10" t="str">
        <f>IF(2461&gt;$C$9008,"",INDEX($B$9:$B$9008,MATCH(2461,$C$9:$C$9008,0)))</f>
        <v/>
      </c>
      <c r="B2469" s="9" t="str">
        <f>IFERROR(INDEX(Input!$L$20:$T$1019,INT((ROW()-9)/9)+1,MOD(ROW()-9,9)+1),"")</f>
        <v/>
      </c>
      <c r="C2469" s="9">
        <f t="shared" si="38"/>
        <v>0</v>
      </c>
    </row>
    <row r="2470" spans="1:3" x14ac:dyDescent="0.2">
      <c r="A2470" s="10" t="str">
        <f>IF(2462&gt;$C$9008,"",INDEX($B$9:$B$9008,MATCH(2462,$C$9:$C$9008,0)))</f>
        <v/>
      </c>
      <c r="B2470" s="9" t="str">
        <f>IFERROR(INDEX(Input!$L$20:$T$1019,INT((ROW()-9)/9)+1,MOD(ROW()-9,9)+1),"")</f>
        <v/>
      </c>
      <c r="C2470" s="9">
        <f t="shared" si="38"/>
        <v>0</v>
      </c>
    </row>
    <row r="2471" spans="1:3" x14ac:dyDescent="0.2">
      <c r="A2471" s="10" t="str">
        <f>IF(2463&gt;$C$9008,"",INDEX($B$9:$B$9008,MATCH(2463,$C$9:$C$9008,0)))</f>
        <v/>
      </c>
      <c r="B2471" s="9" t="str">
        <f>IFERROR(INDEX(Input!$L$20:$T$1019,INT((ROW()-9)/9)+1,MOD(ROW()-9,9)+1),"")</f>
        <v/>
      </c>
      <c r="C2471" s="9">
        <f t="shared" si="38"/>
        <v>0</v>
      </c>
    </row>
    <row r="2472" spans="1:3" x14ac:dyDescent="0.2">
      <c r="A2472" s="10" t="str">
        <f>IF(2464&gt;$C$9008,"",INDEX($B$9:$B$9008,MATCH(2464,$C$9:$C$9008,0)))</f>
        <v/>
      </c>
      <c r="B2472" s="9" t="str">
        <f>IFERROR(INDEX(Input!$L$20:$T$1019,INT((ROW()-9)/9)+1,MOD(ROW()-9,9)+1),"")</f>
        <v/>
      </c>
      <c r="C2472" s="9">
        <f t="shared" si="38"/>
        <v>0</v>
      </c>
    </row>
    <row r="2473" spans="1:3" x14ac:dyDescent="0.2">
      <c r="A2473" s="10" t="str">
        <f>IF(2465&gt;$C$9008,"",INDEX($B$9:$B$9008,MATCH(2465,$C$9:$C$9008,0)))</f>
        <v/>
      </c>
      <c r="B2473" s="9" t="str">
        <f>IFERROR(INDEX(Input!$L$20:$T$1019,INT((ROW()-9)/9)+1,MOD(ROW()-9,9)+1),"")</f>
        <v/>
      </c>
      <c r="C2473" s="9">
        <f t="shared" si="38"/>
        <v>0</v>
      </c>
    </row>
    <row r="2474" spans="1:3" x14ac:dyDescent="0.2">
      <c r="A2474" s="10" t="str">
        <f>IF(2466&gt;$C$9008,"",INDEX($B$9:$B$9008,MATCH(2466,$C$9:$C$9008,0)))</f>
        <v/>
      </c>
      <c r="B2474" s="9" t="str">
        <f>IFERROR(INDEX(Input!$L$20:$T$1019,INT((ROW()-9)/9)+1,MOD(ROW()-9,9)+1),"")</f>
        <v/>
      </c>
      <c r="C2474" s="9">
        <f t="shared" si="38"/>
        <v>0</v>
      </c>
    </row>
    <row r="2475" spans="1:3" x14ac:dyDescent="0.2">
      <c r="A2475" s="10" t="str">
        <f>IF(2467&gt;$C$9008,"",INDEX($B$9:$B$9008,MATCH(2467,$C$9:$C$9008,0)))</f>
        <v/>
      </c>
      <c r="B2475" s="9" t="str">
        <f>IFERROR(INDEX(Input!$L$20:$T$1019,INT((ROW()-9)/9)+1,MOD(ROW()-9,9)+1),"")</f>
        <v/>
      </c>
      <c r="C2475" s="9">
        <f t="shared" si="38"/>
        <v>0</v>
      </c>
    </row>
    <row r="2476" spans="1:3" x14ac:dyDescent="0.2">
      <c r="A2476" s="10" t="str">
        <f>IF(2468&gt;$C$9008,"",INDEX($B$9:$B$9008,MATCH(2468,$C$9:$C$9008,0)))</f>
        <v/>
      </c>
      <c r="B2476" s="9" t="str">
        <f>IFERROR(INDEX(Input!$L$20:$T$1019,INT((ROW()-9)/9)+1,MOD(ROW()-9,9)+1),"")</f>
        <v/>
      </c>
      <c r="C2476" s="9">
        <f t="shared" si="38"/>
        <v>0</v>
      </c>
    </row>
    <row r="2477" spans="1:3" x14ac:dyDescent="0.2">
      <c r="A2477" s="10" t="str">
        <f>IF(2469&gt;$C$9008,"",INDEX($B$9:$B$9008,MATCH(2469,$C$9:$C$9008,0)))</f>
        <v/>
      </c>
      <c r="B2477" s="9" t="str">
        <f>IFERROR(INDEX(Input!$L$20:$T$1019,INT((ROW()-9)/9)+1,MOD(ROW()-9,9)+1),"")</f>
        <v/>
      </c>
      <c r="C2477" s="9">
        <f t="shared" si="38"/>
        <v>0</v>
      </c>
    </row>
    <row r="2478" spans="1:3" x14ac:dyDescent="0.2">
      <c r="A2478" s="10" t="str">
        <f>IF(2470&gt;$C$9008,"",INDEX($B$9:$B$9008,MATCH(2470,$C$9:$C$9008,0)))</f>
        <v/>
      </c>
      <c r="B2478" s="9" t="str">
        <f>IFERROR(INDEX(Input!$L$20:$T$1019,INT((ROW()-9)/9)+1,MOD(ROW()-9,9)+1),"")</f>
        <v/>
      </c>
      <c r="C2478" s="9">
        <f t="shared" si="38"/>
        <v>0</v>
      </c>
    </row>
    <row r="2479" spans="1:3" x14ac:dyDescent="0.2">
      <c r="A2479" s="10" t="str">
        <f>IF(2471&gt;$C$9008,"",INDEX($B$9:$B$9008,MATCH(2471,$C$9:$C$9008,0)))</f>
        <v/>
      </c>
      <c r="B2479" s="9" t="str">
        <f>IFERROR(INDEX(Input!$L$20:$T$1019,INT((ROW()-9)/9)+1,MOD(ROW()-9,9)+1),"")</f>
        <v/>
      </c>
      <c r="C2479" s="9">
        <f t="shared" si="38"/>
        <v>0</v>
      </c>
    </row>
    <row r="2480" spans="1:3" x14ac:dyDescent="0.2">
      <c r="A2480" s="10" t="str">
        <f>IF(2472&gt;$C$9008,"",INDEX($B$9:$B$9008,MATCH(2472,$C$9:$C$9008,0)))</f>
        <v/>
      </c>
      <c r="B2480" s="9" t="str">
        <f>IFERROR(INDEX(Input!$L$20:$T$1019,INT((ROW()-9)/9)+1,MOD(ROW()-9,9)+1),"")</f>
        <v/>
      </c>
      <c r="C2480" s="9">
        <f t="shared" si="38"/>
        <v>0</v>
      </c>
    </row>
    <row r="2481" spans="1:3" x14ac:dyDescent="0.2">
      <c r="A2481" s="10" t="str">
        <f>IF(2473&gt;$C$9008,"",INDEX($B$9:$B$9008,MATCH(2473,$C$9:$C$9008,0)))</f>
        <v/>
      </c>
      <c r="B2481" s="9" t="str">
        <f>IFERROR(INDEX(Input!$L$20:$T$1019,INT((ROW()-9)/9)+1,MOD(ROW()-9,9)+1),"")</f>
        <v/>
      </c>
      <c r="C2481" s="9">
        <f t="shared" si="38"/>
        <v>0</v>
      </c>
    </row>
    <row r="2482" spans="1:3" x14ac:dyDescent="0.2">
      <c r="A2482" s="10" t="str">
        <f>IF(2474&gt;$C$9008,"",INDEX($B$9:$B$9008,MATCH(2474,$C$9:$C$9008,0)))</f>
        <v/>
      </c>
      <c r="B2482" s="9" t="str">
        <f>IFERROR(INDEX(Input!$L$20:$T$1019,INT((ROW()-9)/9)+1,MOD(ROW()-9,9)+1),"")</f>
        <v/>
      </c>
      <c r="C2482" s="9">
        <f t="shared" si="38"/>
        <v>0</v>
      </c>
    </row>
    <row r="2483" spans="1:3" x14ac:dyDescent="0.2">
      <c r="A2483" s="10" t="str">
        <f>IF(2475&gt;$C$9008,"",INDEX($B$9:$B$9008,MATCH(2475,$C$9:$C$9008,0)))</f>
        <v/>
      </c>
      <c r="B2483" s="9" t="str">
        <f>IFERROR(INDEX(Input!$L$20:$T$1019,INT((ROW()-9)/9)+1,MOD(ROW()-9,9)+1),"")</f>
        <v/>
      </c>
      <c r="C2483" s="9">
        <f t="shared" si="38"/>
        <v>0</v>
      </c>
    </row>
    <row r="2484" spans="1:3" x14ac:dyDescent="0.2">
      <c r="A2484" s="10" t="str">
        <f>IF(2476&gt;$C$9008,"",INDEX($B$9:$B$9008,MATCH(2476,$C$9:$C$9008,0)))</f>
        <v/>
      </c>
      <c r="B2484" s="9" t="str">
        <f>IFERROR(INDEX(Input!$L$20:$T$1019,INT((ROW()-9)/9)+1,MOD(ROW()-9,9)+1),"")</f>
        <v/>
      </c>
      <c r="C2484" s="9">
        <f t="shared" si="38"/>
        <v>0</v>
      </c>
    </row>
    <row r="2485" spans="1:3" x14ac:dyDescent="0.2">
      <c r="A2485" s="10" t="str">
        <f>IF(2477&gt;$C$9008,"",INDEX($B$9:$B$9008,MATCH(2477,$C$9:$C$9008,0)))</f>
        <v/>
      </c>
      <c r="B2485" s="9" t="str">
        <f>IFERROR(INDEX(Input!$L$20:$T$1019,INT((ROW()-9)/9)+1,MOD(ROW()-9,9)+1),"")</f>
        <v/>
      </c>
      <c r="C2485" s="9">
        <f t="shared" si="38"/>
        <v>0</v>
      </c>
    </row>
    <row r="2486" spans="1:3" x14ac:dyDescent="0.2">
      <c r="A2486" s="10" t="str">
        <f>IF(2478&gt;$C$9008,"",INDEX($B$9:$B$9008,MATCH(2478,$C$9:$C$9008,0)))</f>
        <v/>
      </c>
      <c r="B2486" s="9" t="str">
        <f>IFERROR(INDEX(Input!$L$20:$T$1019,INT((ROW()-9)/9)+1,MOD(ROW()-9,9)+1),"")</f>
        <v/>
      </c>
      <c r="C2486" s="9">
        <f t="shared" si="38"/>
        <v>0</v>
      </c>
    </row>
    <row r="2487" spans="1:3" x14ac:dyDescent="0.2">
      <c r="A2487" s="10" t="str">
        <f>IF(2479&gt;$C$9008,"",INDEX($B$9:$B$9008,MATCH(2479,$C$9:$C$9008,0)))</f>
        <v/>
      </c>
      <c r="B2487" s="9" t="str">
        <f>IFERROR(INDEX(Input!$L$20:$T$1019,INT((ROW()-9)/9)+1,MOD(ROW()-9,9)+1),"")</f>
        <v/>
      </c>
      <c r="C2487" s="9">
        <f t="shared" si="38"/>
        <v>0</v>
      </c>
    </row>
    <row r="2488" spans="1:3" x14ac:dyDescent="0.2">
      <c r="A2488" s="10" t="str">
        <f>IF(2480&gt;$C$9008,"",INDEX($B$9:$B$9008,MATCH(2480,$C$9:$C$9008,0)))</f>
        <v/>
      </c>
      <c r="B2488" s="9" t="str">
        <f>IFERROR(INDEX(Input!$L$20:$T$1019,INT((ROW()-9)/9)+1,MOD(ROW()-9,9)+1),"")</f>
        <v/>
      </c>
      <c r="C2488" s="9">
        <f t="shared" si="38"/>
        <v>0</v>
      </c>
    </row>
    <row r="2489" spans="1:3" x14ac:dyDescent="0.2">
      <c r="A2489" s="10" t="str">
        <f>IF(2481&gt;$C$9008,"",INDEX($B$9:$B$9008,MATCH(2481,$C$9:$C$9008,0)))</f>
        <v/>
      </c>
      <c r="B2489" s="9" t="str">
        <f>IFERROR(INDEX(Input!$L$20:$T$1019,INT((ROW()-9)/9)+1,MOD(ROW()-9,9)+1),"")</f>
        <v/>
      </c>
      <c r="C2489" s="9">
        <f t="shared" si="38"/>
        <v>0</v>
      </c>
    </row>
    <row r="2490" spans="1:3" x14ac:dyDescent="0.2">
      <c r="A2490" s="10" t="str">
        <f>IF(2482&gt;$C$9008,"",INDEX($B$9:$B$9008,MATCH(2482,$C$9:$C$9008,0)))</f>
        <v/>
      </c>
      <c r="B2490" s="9" t="str">
        <f>IFERROR(INDEX(Input!$L$20:$T$1019,INT((ROW()-9)/9)+1,MOD(ROW()-9,9)+1),"")</f>
        <v/>
      </c>
      <c r="C2490" s="9">
        <f t="shared" si="38"/>
        <v>0</v>
      </c>
    </row>
    <row r="2491" spans="1:3" x14ac:dyDescent="0.2">
      <c r="A2491" s="10" t="str">
        <f>IF(2483&gt;$C$9008,"",INDEX($B$9:$B$9008,MATCH(2483,$C$9:$C$9008,0)))</f>
        <v/>
      </c>
      <c r="B2491" s="9" t="str">
        <f>IFERROR(INDEX(Input!$L$20:$T$1019,INT((ROW()-9)/9)+1,MOD(ROW()-9,9)+1),"")</f>
        <v/>
      </c>
      <c r="C2491" s="9">
        <f t="shared" si="38"/>
        <v>0</v>
      </c>
    </row>
    <row r="2492" spans="1:3" x14ac:dyDescent="0.2">
      <c r="A2492" s="10" t="str">
        <f>IF(2484&gt;$C$9008,"",INDEX($B$9:$B$9008,MATCH(2484,$C$9:$C$9008,0)))</f>
        <v/>
      </c>
      <c r="B2492" s="9" t="str">
        <f>IFERROR(INDEX(Input!$L$20:$T$1019,INT((ROW()-9)/9)+1,MOD(ROW()-9,9)+1),"")</f>
        <v/>
      </c>
      <c r="C2492" s="9">
        <f t="shared" si="38"/>
        <v>0</v>
      </c>
    </row>
    <row r="2493" spans="1:3" x14ac:dyDescent="0.2">
      <c r="A2493" s="10" t="str">
        <f>IF(2485&gt;$C$9008,"",INDEX($B$9:$B$9008,MATCH(2485,$C$9:$C$9008,0)))</f>
        <v/>
      </c>
      <c r="B2493" s="9" t="str">
        <f>IFERROR(INDEX(Input!$L$20:$T$1019,INT((ROW()-9)/9)+1,MOD(ROW()-9,9)+1),"")</f>
        <v/>
      </c>
      <c r="C2493" s="9">
        <f t="shared" si="38"/>
        <v>0</v>
      </c>
    </row>
    <row r="2494" spans="1:3" x14ac:dyDescent="0.2">
      <c r="A2494" s="10" t="str">
        <f>IF(2486&gt;$C$9008,"",INDEX($B$9:$B$9008,MATCH(2486,$C$9:$C$9008,0)))</f>
        <v/>
      </c>
      <c r="B2494" s="9" t="str">
        <f>IFERROR(INDEX(Input!$L$20:$T$1019,INT((ROW()-9)/9)+1,MOD(ROW()-9,9)+1),"")</f>
        <v/>
      </c>
      <c r="C2494" s="9">
        <f t="shared" si="38"/>
        <v>0</v>
      </c>
    </row>
    <row r="2495" spans="1:3" x14ac:dyDescent="0.2">
      <c r="A2495" s="10" t="str">
        <f>IF(2487&gt;$C$9008,"",INDEX($B$9:$B$9008,MATCH(2487,$C$9:$C$9008,0)))</f>
        <v/>
      </c>
      <c r="B2495" s="9" t="str">
        <f>IFERROR(INDEX(Input!$L$20:$T$1019,INT((ROW()-9)/9)+1,MOD(ROW()-9,9)+1),"")</f>
        <v/>
      </c>
      <c r="C2495" s="9">
        <f t="shared" si="38"/>
        <v>0</v>
      </c>
    </row>
    <row r="2496" spans="1:3" x14ac:dyDescent="0.2">
      <c r="A2496" s="10" t="str">
        <f>IF(2488&gt;$C$9008,"",INDEX($B$9:$B$9008,MATCH(2488,$C$9:$C$9008,0)))</f>
        <v/>
      </c>
      <c r="B2496" s="9" t="str">
        <f>IFERROR(INDEX(Input!$L$20:$T$1019,INT((ROW()-9)/9)+1,MOD(ROW()-9,9)+1),"")</f>
        <v/>
      </c>
      <c r="C2496" s="9">
        <f t="shared" si="38"/>
        <v>0</v>
      </c>
    </row>
    <row r="2497" spans="1:3" x14ac:dyDescent="0.2">
      <c r="A2497" s="10" t="str">
        <f>IF(2489&gt;$C$9008,"",INDEX($B$9:$B$9008,MATCH(2489,$C$9:$C$9008,0)))</f>
        <v/>
      </c>
      <c r="B2497" s="9" t="str">
        <f>IFERROR(INDEX(Input!$L$20:$T$1019,INT((ROW()-9)/9)+1,MOD(ROW()-9,9)+1),"")</f>
        <v/>
      </c>
      <c r="C2497" s="9">
        <f t="shared" si="38"/>
        <v>0</v>
      </c>
    </row>
    <row r="2498" spans="1:3" x14ac:dyDescent="0.2">
      <c r="A2498" s="10" t="str">
        <f>IF(2490&gt;$C$9008,"",INDEX($B$9:$B$9008,MATCH(2490,$C$9:$C$9008,0)))</f>
        <v/>
      </c>
      <c r="B2498" s="9" t="str">
        <f>IFERROR(INDEX(Input!$L$20:$T$1019,INT((ROW()-9)/9)+1,MOD(ROW()-9,9)+1),"")</f>
        <v/>
      </c>
      <c r="C2498" s="9">
        <f t="shared" si="38"/>
        <v>0</v>
      </c>
    </row>
    <row r="2499" spans="1:3" x14ac:dyDescent="0.2">
      <c r="A2499" s="10" t="str">
        <f>IF(2491&gt;$C$9008,"",INDEX($B$9:$B$9008,MATCH(2491,$C$9:$C$9008,0)))</f>
        <v/>
      </c>
      <c r="B2499" s="9" t="str">
        <f>IFERROR(INDEX(Input!$L$20:$T$1019,INT((ROW()-9)/9)+1,MOD(ROW()-9,9)+1),"")</f>
        <v/>
      </c>
      <c r="C2499" s="9">
        <f t="shared" si="38"/>
        <v>0</v>
      </c>
    </row>
    <row r="2500" spans="1:3" x14ac:dyDescent="0.2">
      <c r="A2500" s="10" t="str">
        <f>IF(2492&gt;$C$9008,"",INDEX($B$9:$B$9008,MATCH(2492,$C$9:$C$9008,0)))</f>
        <v/>
      </c>
      <c r="B2500" s="9" t="str">
        <f>IFERROR(INDEX(Input!$L$20:$T$1019,INT((ROW()-9)/9)+1,MOD(ROW()-9,9)+1),"")</f>
        <v/>
      </c>
      <c r="C2500" s="9">
        <f t="shared" si="38"/>
        <v>0</v>
      </c>
    </row>
    <row r="2501" spans="1:3" x14ac:dyDescent="0.2">
      <c r="A2501" s="10" t="str">
        <f>IF(2493&gt;$C$9008,"",INDEX($B$9:$B$9008,MATCH(2493,$C$9:$C$9008,0)))</f>
        <v/>
      </c>
      <c r="B2501" s="9" t="str">
        <f>IFERROR(INDEX(Input!$L$20:$T$1019,INT((ROW()-9)/9)+1,MOD(ROW()-9,9)+1),"")</f>
        <v/>
      </c>
      <c r="C2501" s="9">
        <f t="shared" si="38"/>
        <v>0</v>
      </c>
    </row>
    <row r="2502" spans="1:3" x14ac:dyDescent="0.2">
      <c r="A2502" s="10" t="str">
        <f>IF(2494&gt;$C$9008,"",INDEX($B$9:$B$9008,MATCH(2494,$C$9:$C$9008,0)))</f>
        <v/>
      </c>
      <c r="B2502" s="9" t="str">
        <f>IFERROR(INDEX(Input!$L$20:$T$1019,INT((ROW()-9)/9)+1,MOD(ROW()-9,9)+1),"")</f>
        <v/>
      </c>
      <c r="C2502" s="9">
        <f t="shared" si="38"/>
        <v>0</v>
      </c>
    </row>
    <row r="2503" spans="1:3" x14ac:dyDescent="0.2">
      <c r="A2503" s="10" t="str">
        <f>IF(2495&gt;$C$9008,"",INDEX($B$9:$B$9008,MATCH(2495,$C$9:$C$9008,0)))</f>
        <v/>
      </c>
      <c r="B2503" s="9" t="str">
        <f>IFERROR(INDEX(Input!$L$20:$T$1019,INT((ROW()-9)/9)+1,MOD(ROW()-9,9)+1),"")</f>
        <v/>
      </c>
      <c r="C2503" s="9">
        <f t="shared" si="38"/>
        <v>0</v>
      </c>
    </row>
    <row r="2504" spans="1:3" x14ac:dyDescent="0.2">
      <c r="A2504" s="10" t="str">
        <f>IF(2496&gt;$C$9008,"",INDEX($B$9:$B$9008,MATCH(2496,$C$9:$C$9008,0)))</f>
        <v/>
      </c>
      <c r="B2504" s="9" t="str">
        <f>IFERROR(INDEX(Input!$L$20:$T$1019,INT((ROW()-9)/9)+1,MOD(ROW()-9,9)+1),"")</f>
        <v/>
      </c>
      <c r="C2504" s="9">
        <f t="shared" si="38"/>
        <v>0</v>
      </c>
    </row>
    <row r="2505" spans="1:3" x14ac:dyDescent="0.2">
      <c r="A2505" s="10" t="str">
        <f>IF(2497&gt;$C$9008,"",INDEX($B$9:$B$9008,MATCH(2497,$C$9:$C$9008,0)))</f>
        <v/>
      </c>
      <c r="B2505" s="9" t="str">
        <f>IFERROR(INDEX(Input!$L$20:$T$1019,INT((ROW()-9)/9)+1,MOD(ROW()-9,9)+1),"")</f>
        <v/>
      </c>
      <c r="C2505" s="9">
        <f t="shared" ref="C2505:C2568" si="39">$C2504+IF($B2505&lt;&gt;"",1,0)</f>
        <v>0</v>
      </c>
    </row>
    <row r="2506" spans="1:3" x14ac:dyDescent="0.2">
      <c r="A2506" s="10" t="str">
        <f>IF(2498&gt;$C$9008,"",INDEX($B$9:$B$9008,MATCH(2498,$C$9:$C$9008,0)))</f>
        <v/>
      </c>
      <c r="B2506" s="9" t="str">
        <f>IFERROR(INDEX(Input!$L$20:$T$1019,INT((ROW()-9)/9)+1,MOD(ROW()-9,9)+1),"")</f>
        <v/>
      </c>
      <c r="C2506" s="9">
        <f t="shared" si="39"/>
        <v>0</v>
      </c>
    </row>
    <row r="2507" spans="1:3" x14ac:dyDescent="0.2">
      <c r="A2507" s="10" t="str">
        <f>IF(2499&gt;$C$9008,"",INDEX($B$9:$B$9008,MATCH(2499,$C$9:$C$9008,0)))</f>
        <v/>
      </c>
      <c r="B2507" s="9" t="str">
        <f>IFERROR(INDEX(Input!$L$20:$T$1019,INT((ROW()-9)/9)+1,MOD(ROW()-9,9)+1),"")</f>
        <v/>
      </c>
      <c r="C2507" s="9">
        <f t="shared" si="39"/>
        <v>0</v>
      </c>
    </row>
    <row r="2508" spans="1:3" x14ac:dyDescent="0.2">
      <c r="A2508" s="10" t="str">
        <f>IF(2500&gt;$C$9008,"",INDEX($B$9:$B$9008,MATCH(2500,$C$9:$C$9008,0)))</f>
        <v/>
      </c>
      <c r="B2508" s="9" t="str">
        <f>IFERROR(INDEX(Input!$L$20:$T$1019,INT((ROW()-9)/9)+1,MOD(ROW()-9,9)+1),"")</f>
        <v/>
      </c>
      <c r="C2508" s="9">
        <f t="shared" si="39"/>
        <v>0</v>
      </c>
    </row>
    <row r="2509" spans="1:3" x14ac:dyDescent="0.2">
      <c r="A2509" s="10" t="str">
        <f>IF(2501&gt;$C$9008,"",INDEX($B$9:$B$9008,MATCH(2501,$C$9:$C$9008,0)))</f>
        <v/>
      </c>
      <c r="B2509" s="9" t="str">
        <f>IFERROR(INDEX(Input!$L$20:$T$1019,INT((ROW()-9)/9)+1,MOD(ROW()-9,9)+1),"")</f>
        <v/>
      </c>
      <c r="C2509" s="9">
        <f t="shared" si="39"/>
        <v>0</v>
      </c>
    </row>
    <row r="2510" spans="1:3" x14ac:dyDescent="0.2">
      <c r="A2510" s="10" t="str">
        <f>IF(2502&gt;$C$9008,"",INDEX($B$9:$B$9008,MATCH(2502,$C$9:$C$9008,0)))</f>
        <v/>
      </c>
      <c r="B2510" s="9" t="str">
        <f>IFERROR(INDEX(Input!$L$20:$T$1019,INT((ROW()-9)/9)+1,MOD(ROW()-9,9)+1),"")</f>
        <v/>
      </c>
      <c r="C2510" s="9">
        <f t="shared" si="39"/>
        <v>0</v>
      </c>
    </row>
    <row r="2511" spans="1:3" x14ac:dyDescent="0.2">
      <c r="A2511" s="10" t="str">
        <f>IF(2503&gt;$C$9008,"",INDEX($B$9:$B$9008,MATCH(2503,$C$9:$C$9008,0)))</f>
        <v/>
      </c>
      <c r="B2511" s="9" t="str">
        <f>IFERROR(INDEX(Input!$L$20:$T$1019,INT((ROW()-9)/9)+1,MOD(ROW()-9,9)+1),"")</f>
        <v/>
      </c>
      <c r="C2511" s="9">
        <f t="shared" si="39"/>
        <v>0</v>
      </c>
    </row>
    <row r="2512" spans="1:3" x14ac:dyDescent="0.2">
      <c r="A2512" s="10" t="str">
        <f>IF(2504&gt;$C$9008,"",INDEX($B$9:$B$9008,MATCH(2504,$C$9:$C$9008,0)))</f>
        <v/>
      </c>
      <c r="B2512" s="9" t="str">
        <f>IFERROR(INDEX(Input!$L$20:$T$1019,INT((ROW()-9)/9)+1,MOD(ROW()-9,9)+1),"")</f>
        <v/>
      </c>
      <c r="C2512" s="9">
        <f t="shared" si="39"/>
        <v>0</v>
      </c>
    </row>
    <row r="2513" spans="1:3" x14ac:dyDescent="0.2">
      <c r="A2513" s="10" t="str">
        <f>IF(2505&gt;$C$9008,"",INDEX($B$9:$B$9008,MATCH(2505,$C$9:$C$9008,0)))</f>
        <v/>
      </c>
      <c r="B2513" s="9" t="str">
        <f>IFERROR(INDEX(Input!$L$20:$T$1019,INT((ROW()-9)/9)+1,MOD(ROW()-9,9)+1),"")</f>
        <v/>
      </c>
      <c r="C2513" s="9">
        <f t="shared" si="39"/>
        <v>0</v>
      </c>
    </row>
    <row r="2514" spans="1:3" x14ac:dyDescent="0.2">
      <c r="A2514" s="10" t="str">
        <f>IF(2506&gt;$C$9008,"",INDEX($B$9:$B$9008,MATCH(2506,$C$9:$C$9008,0)))</f>
        <v/>
      </c>
      <c r="B2514" s="9" t="str">
        <f>IFERROR(INDEX(Input!$L$20:$T$1019,INT((ROW()-9)/9)+1,MOD(ROW()-9,9)+1),"")</f>
        <v/>
      </c>
      <c r="C2514" s="9">
        <f t="shared" si="39"/>
        <v>0</v>
      </c>
    </row>
    <row r="2515" spans="1:3" x14ac:dyDescent="0.2">
      <c r="A2515" s="10" t="str">
        <f>IF(2507&gt;$C$9008,"",INDEX($B$9:$B$9008,MATCH(2507,$C$9:$C$9008,0)))</f>
        <v/>
      </c>
      <c r="B2515" s="9" t="str">
        <f>IFERROR(INDEX(Input!$L$20:$T$1019,INT((ROW()-9)/9)+1,MOD(ROW()-9,9)+1),"")</f>
        <v/>
      </c>
      <c r="C2515" s="9">
        <f t="shared" si="39"/>
        <v>0</v>
      </c>
    </row>
    <row r="2516" spans="1:3" x14ac:dyDescent="0.2">
      <c r="A2516" s="10" t="str">
        <f>IF(2508&gt;$C$9008,"",INDEX($B$9:$B$9008,MATCH(2508,$C$9:$C$9008,0)))</f>
        <v/>
      </c>
      <c r="B2516" s="9" t="str">
        <f>IFERROR(INDEX(Input!$L$20:$T$1019,INT((ROW()-9)/9)+1,MOD(ROW()-9,9)+1),"")</f>
        <v/>
      </c>
      <c r="C2516" s="9">
        <f t="shared" si="39"/>
        <v>0</v>
      </c>
    </row>
    <row r="2517" spans="1:3" x14ac:dyDescent="0.2">
      <c r="A2517" s="10" t="str">
        <f>IF(2509&gt;$C$9008,"",INDEX($B$9:$B$9008,MATCH(2509,$C$9:$C$9008,0)))</f>
        <v/>
      </c>
      <c r="B2517" s="9" t="str">
        <f>IFERROR(INDEX(Input!$L$20:$T$1019,INT((ROW()-9)/9)+1,MOD(ROW()-9,9)+1),"")</f>
        <v/>
      </c>
      <c r="C2517" s="9">
        <f t="shared" si="39"/>
        <v>0</v>
      </c>
    </row>
    <row r="2518" spans="1:3" x14ac:dyDescent="0.2">
      <c r="A2518" s="10" t="str">
        <f>IF(2510&gt;$C$9008,"",INDEX($B$9:$B$9008,MATCH(2510,$C$9:$C$9008,0)))</f>
        <v/>
      </c>
      <c r="B2518" s="9" t="str">
        <f>IFERROR(INDEX(Input!$L$20:$T$1019,INT((ROW()-9)/9)+1,MOD(ROW()-9,9)+1),"")</f>
        <v/>
      </c>
      <c r="C2518" s="9">
        <f t="shared" si="39"/>
        <v>0</v>
      </c>
    </row>
    <row r="2519" spans="1:3" x14ac:dyDescent="0.2">
      <c r="A2519" s="10" t="str">
        <f>IF(2511&gt;$C$9008,"",INDEX($B$9:$B$9008,MATCH(2511,$C$9:$C$9008,0)))</f>
        <v/>
      </c>
      <c r="B2519" s="9" t="str">
        <f>IFERROR(INDEX(Input!$L$20:$T$1019,INT((ROW()-9)/9)+1,MOD(ROW()-9,9)+1),"")</f>
        <v/>
      </c>
      <c r="C2519" s="9">
        <f t="shared" si="39"/>
        <v>0</v>
      </c>
    </row>
    <row r="2520" spans="1:3" x14ac:dyDescent="0.2">
      <c r="A2520" s="10" t="str">
        <f>IF(2512&gt;$C$9008,"",INDEX($B$9:$B$9008,MATCH(2512,$C$9:$C$9008,0)))</f>
        <v/>
      </c>
      <c r="B2520" s="9" t="str">
        <f>IFERROR(INDEX(Input!$L$20:$T$1019,INT((ROW()-9)/9)+1,MOD(ROW()-9,9)+1),"")</f>
        <v/>
      </c>
      <c r="C2520" s="9">
        <f t="shared" si="39"/>
        <v>0</v>
      </c>
    </row>
    <row r="2521" spans="1:3" x14ac:dyDescent="0.2">
      <c r="A2521" s="10" t="str">
        <f>IF(2513&gt;$C$9008,"",INDEX($B$9:$B$9008,MATCH(2513,$C$9:$C$9008,0)))</f>
        <v/>
      </c>
      <c r="B2521" s="9" t="str">
        <f>IFERROR(INDEX(Input!$L$20:$T$1019,INT((ROW()-9)/9)+1,MOD(ROW()-9,9)+1),"")</f>
        <v/>
      </c>
      <c r="C2521" s="9">
        <f t="shared" si="39"/>
        <v>0</v>
      </c>
    </row>
    <row r="2522" spans="1:3" x14ac:dyDescent="0.2">
      <c r="A2522" s="10" t="str">
        <f>IF(2514&gt;$C$9008,"",INDEX($B$9:$B$9008,MATCH(2514,$C$9:$C$9008,0)))</f>
        <v/>
      </c>
      <c r="B2522" s="9" t="str">
        <f>IFERROR(INDEX(Input!$L$20:$T$1019,INT((ROW()-9)/9)+1,MOD(ROW()-9,9)+1),"")</f>
        <v/>
      </c>
      <c r="C2522" s="9">
        <f t="shared" si="39"/>
        <v>0</v>
      </c>
    </row>
    <row r="2523" spans="1:3" x14ac:dyDescent="0.2">
      <c r="A2523" s="10" t="str">
        <f>IF(2515&gt;$C$9008,"",INDEX($B$9:$B$9008,MATCH(2515,$C$9:$C$9008,0)))</f>
        <v/>
      </c>
      <c r="B2523" s="9" t="str">
        <f>IFERROR(INDEX(Input!$L$20:$T$1019,INT((ROW()-9)/9)+1,MOD(ROW()-9,9)+1),"")</f>
        <v/>
      </c>
      <c r="C2523" s="9">
        <f t="shared" si="39"/>
        <v>0</v>
      </c>
    </row>
    <row r="2524" spans="1:3" x14ac:dyDescent="0.2">
      <c r="A2524" s="10" t="str">
        <f>IF(2516&gt;$C$9008,"",INDEX($B$9:$B$9008,MATCH(2516,$C$9:$C$9008,0)))</f>
        <v/>
      </c>
      <c r="B2524" s="9" t="str">
        <f>IFERROR(INDEX(Input!$L$20:$T$1019,INT((ROW()-9)/9)+1,MOD(ROW()-9,9)+1),"")</f>
        <v/>
      </c>
      <c r="C2524" s="9">
        <f t="shared" si="39"/>
        <v>0</v>
      </c>
    </row>
    <row r="2525" spans="1:3" x14ac:dyDescent="0.2">
      <c r="A2525" s="10" t="str">
        <f>IF(2517&gt;$C$9008,"",INDEX($B$9:$B$9008,MATCH(2517,$C$9:$C$9008,0)))</f>
        <v/>
      </c>
      <c r="B2525" s="9" t="str">
        <f>IFERROR(INDEX(Input!$L$20:$T$1019,INT((ROW()-9)/9)+1,MOD(ROW()-9,9)+1),"")</f>
        <v/>
      </c>
      <c r="C2525" s="9">
        <f t="shared" si="39"/>
        <v>0</v>
      </c>
    </row>
    <row r="2526" spans="1:3" x14ac:dyDescent="0.2">
      <c r="A2526" s="10" t="str">
        <f>IF(2518&gt;$C$9008,"",INDEX($B$9:$B$9008,MATCH(2518,$C$9:$C$9008,0)))</f>
        <v/>
      </c>
      <c r="B2526" s="9" t="str">
        <f>IFERROR(INDEX(Input!$L$20:$T$1019,INT((ROW()-9)/9)+1,MOD(ROW()-9,9)+1),"")</f>
        <v/>
      </c>
      <c r="C2526" s="9">
        <f t="shared" si="39"/>
        <v>0</v>
      </c>
    </row>
    <row r="2527" spans="1:3" x14ac:dyDescent="0.2">
      <c r="A2527" s="10" t="str">
        <f>IF(2519&gt;$C$9008,"",INDEX($B$9:$B$9008,MATCH(2519,$C$9:$C$9008,0)))</f>
        <v/>
      </c>
      <c r="B2527" s="9" t="str">
        <f>IFERROR(INDEX(Input!$L$20:$T$1019,INT((ROW()-9)/9)+1,MOD(ROW()-9,9)+1),"")</f>
        <v/>
      </c>
      <c r="C2527" s="9">
        <f t="shared" si="39"/>
        <v>0</v>
      </c>
    </row>
    <row r="2528" spans="1:3" x14ac:dyDescent="0.2">
      <c r="A2528" s="10" t="str">
        <f>IF(2520&gt;$C$9008,"",INDEX($B$9:$B$9008,MATCH(2520,$C$9:$C$9008,0)))</f>
        <v/>
      </c>
      <c r="B2528" s="9" t="str">
        <f>IFERROR(INDEX(Input!$L$20:$T$1019,INT((ROW()-9)/9)+1,MOD(ROW()-9,9)+1),"")</f>
        <v/>
      </c>
      <c r="C2528" s="9">
        <f t="shared" si="39"/>
        <v>0</v>
      </c>
    </row>
    <row r="2529" spans="1:3" x14ac:dyDescent="0.2">
      <c r="A2529" s="10" t="str">
        <f>IF(2521&gt;$C$9008,"",INDEX($B$9:$B$9008,MATCH(2521,$C$9:$C$9008,0)))</f>
        <v/>
      </c>
      <c r="B2529" s="9" t="str">
        <f>IFERROR(INDEX(Input!$L$20:$T$1019,INT((ROW()-9)/9)+1,MOD(ROW()-9,9)+1),"")</f>
        <v/>
      </c>
      <c r="C2529" s="9">
        <f t="shared" si="39"/>
        <v>0</v>
      </c>
    </row>
    <row r="2530" spans="1:3" x14ac:dyDescent="0.2">
      <c r="A2530" s="10" t="str">
        <f>IF(2522&gt;$C$9008,"",INDEX($B$9:$B$9008,MATCH(2522,$C$9:$C$9008,0)))</f>
        <v/>
      </c>
      <c r="B2530" s="9" t="str">
        <f>IFERROR(INDEX(Input!$L$20:$T$1019,INT((ROW()-9)/9)+1,MOD(ROW()-9,9)+1),"")</f>
        <v/>
      </c>
      <c r="C2530" s="9">
        <f t="shared" si="39"/>
        <v>0</v>
      </c>
    </row>
    <row r="2531" spans="1:3" x14ac:dyDescent="0.2">
      <c r="A2531" s="10" t="str">
        <f>IF(2523&gt;$C$9008,"",INDEX($B$9:$B$9008,MATCH(2523,$C$9:$C$9008,0)))</f>
        <v/>
      </c>
      <c r="B2531" s="9" t="str">
        <f>IFERROR(INDEX(Input!$L$20:$T$1019,INT((ROW()-9)/9)+1,MOD(ROW()-9,9)+1),"")</f>
        <v/>
      </c>
      <c r="C2531" s="9">
        <f t="shared" si="39"/>
        <v>0</v>
      </c>
    </row>
    <row r="2532" spans="1:3" x14ac:dyDescent="0.2">
      <c r="A2532" s="10" t="str">
        <f>IF(2524&gt;$C$9008,"",INDEX($B$9:$B$9008,MATCH(2524,$C$9:$C$9008,0)))</f>
        <v/>
      </c>
      <c r="B2532" s="9" t="str">
        <f>IFERROR(INDEX(Input!$L$20:$T$1019,INT((ROW()-9)/9)+1,MOD(ROW()-9,9)+1),"")</f>
        <v/>
      </c>
      <c r="C2532" s="9">
        <f t="shared" si="39"/>
        <v>0</v>
      </c>
    </row>
    <row r="2533" spans="1:3" x14ac:dyDescent="0.2">
      <c r="A2533" s="10" t="str">
        <f>IF(2525&gt;$C$9008,"",INDEX($B$9:$B$9008,MATCH(2525,$C$9:$C$9008,0)))</f>
        <v/>
      </c>
      <c r="B2533" s="9" t="str">
        <f>IFERROR(INDEX(Input!$L$20:$T$1019,INT((ROW()-9)/9)+1,MOD(ROW()-9,9)+1),"")</f>
        <v/>
      </c>
      <c r="C2533" s="9">
        <f t="shared" si="39"/>
        <v>0</v>
      </c>
    </row>
    <row r="2534" spans="1:3" x14ac:dyDescent="0.2">
      <c r="A2534" s="10" t="str">
        <f>IF(2526&gt;$C$9008,"",INDEX($B$9:$B$9008,MATCH(2526,$C$9:$C$9008,0)))</f>
        <v/>
      </c>
      <c r="B2534" s="9" t="str">
        <f>IFERROR(INDEX(Input!$L$20:$T$1019,INT((ROW()-9)/9)+1,MOD(ROW()-9,9)+1),"")</f>
        <v/>
      </c>
      <c r="C2534" s="9">
        <f t="shared" si="39"/>
        <v>0</v>
      </c>
    </row>
    <row r="2535" spans="1:3" x14ac:dyDescent="0.2">
      <c r="A2535" s="10" t="str">
        <f>IF(2527&gt;$C$9008,"",INDEX($B$9:$B$9008,MATCH(2527,$C$9:$C$9008,0)))</f>
        <v/>
      </c>
      <c r="B2535" s="9" t="str">
        <f>IFERROR(INDEX(Input!$L$20:$T$1019,INT((ROW()-9)/9)+1,MOD(ROW()-9,9)+1),"")</f>
        <v/>
      </c>
      <c r="C2535" s="9">
        <f t="shared" si="39"/>
        <v>0</v>
      </c>
    </row>
    <row r="2536" spans="1:3" x14ac:dyDescent="0.2">
      <c r="A2536" s="10" t="str">
        <f>IF(2528&gt;$C$9008,"",INDEX($B$9:$B$9008,MATCH(2528,$C$9:$C$9008,0)))</f>
        <v/>
      </c>
      <c r="B2536" s="9" t="str">
        <f>IFERROR(INDEX(Input!$L$20:$T$1019,INT((ROW()-9)/9)+1,MOD(ROW()-9,9)+1),"")</f>
        <v/>
      </c>
      <c r="C2536" s="9">
        <f t="shared" si="39"/>
        <v>0</v>
      </c>
    </row>
    <row r="2537" spans="1:3" x14ac:dyDescent="0.2">
      <c r="A2537" s="10" t="str">
        <f>IF(2529&gt;$C$9008,"",INDEX($B$9:$B$9008,MATCH(2529,$C$9:$C$9008,0)))</f>
        <v/>
      </c>
      <c r="B2537" s="9" t="str">
        <f>IFERROR(INDEX(Input!$L$20:$T$1019,INT((ROW()-9)/9)+1,MOD(ROW()-9,9)+1),"")</f>
        <v/>
      </c>
      <c r="C2537" s="9">
        <f t="shared" si="39"/>
        <v>0</v>
      </c>
    </row>
    <row r="2538" spans="1:3" x14ac:dyDescent="0.2">
      <c r="A2538" s="10" t="str">
        <f>IF(2530&gt;$C$9008,"",INDEX($B$9:$B$9008,MATCH(2530,$C$9:$C$9008,0)))</f>
        <v/>
      </c>
      <c r="B2538" s="9" t="str">
        <f>IFERROR(INDEX(Input!$L$20:$T$1019,INT((ROW()-9)/9)+1,MOD(ROW()-9,9)+1),"")</f>
        <v/>
      </c>
      <c r="C2538" s="9">
        <f t="shared" si="39"/>
        <v>0</v>
      </c>
    </row>
    <row r="2539" spans="1:3" x14ac:dyDescent="0.2">
      <c r="A2539" s="10" t="str">
        <f>IF(2531&gt;$C$9008,"",INDEX($B$9:$B$9008,MATCH(2531,$C$9:$C$9008,0)))</f>
        <v/>
      </c>
      <c r="B2539" s="9" t="str">
        <f>IFERROR(INDEX(Input!$L$20:$T$1019,INT((ROW()-9)/9)+1,MOD(ROW()-9,9)+1),"")</f>
        <v/>
      </c>
      <c r="C2539" s="9">
        <f t="shared" si="39"/>
        <v>0</v>
      </c>
    </row>
    <row r="2540" spans="1:3" x14ac:dyDescent="0.2">
      <c r="A2540" s="10" t="str">
        <f>IF(2532&gt;$C$9008,"",INDEX($B$9:$B$9008,MATCH(2532,$C$9:$C$9008,0)))</f>
        <v/>
      </c>
      <c r="B2540" s="9" t="str">
        <f>IFERROR(INDEX(Input!$L$20:$T$1019,INT((ROW()-9)/9)+1,MOD(ROW()-9,9)+1),"")</f>
        <v/>
      </c>
      <c r="C2540" s="9">
        <f t="shared" si="39"/>
        <v>0</v>
      </c>
    </row>
    <row r="2541" spans="1:3" x14ac:dyDescent="0.2">
      <c r="A2541" s="10" t="str">
        <f>IF(2533&gt;$C$9008,"",INDEX($B$9:$B$9008,MATCH(2533,$C$9:$C$9008,0)))</f>
        <v/>
      </c>
      <c r="B2541" s="9" t="str">
        <f>IFERROR(INDEX(Input!$L$20:$T$1019,INT((ROW()-9)/9)+1,MOD(ROW()-9,9)+1),"")</f>
        <v/>
      </c>
      <c r="C2541" s="9">
        <f t="shared" si="39"/>
        <v>0</v>
      </c>
    </row>
    <row r="2542" spans="1:3" x14ac:dyDescent="0.2">
      <c r="A2542" s="10" t="str">
        <f>IF(2534&gt;$C$9008,"",INDEX($B$9:$B$9008,MATCH(2534,$C$9:$C$9008,0)))</f>
        <v/>
      </c>
      <c r="B2542" s="9" t="str">
        <f>IFERROR(INDEX(Input!$L$20:$T$1019,INT((ROW()-9)/9)+1,MOD(ROW()-9,9)+1),"")</f>
        <v/>
      </c>
      <c r="C2542" s="9">
        <f t="shared" si="39"/>
        <v>0</v>
      </c>
    </row>
    <row r="2543" spans="1:3" x14ac:dyDescent="0.2">
      <c r="A2543" s="10" t="str">
        <f>IF(2535&gt;$C$9008,"",INDEX($B$9:$B$9008,MATCH(2535,$C$9:$C$9008,0)))</f>
        <v/>
      </c>
      <c r="B2543" s="9" t="str">
        <f>IFERROR(INDEX(Input!$L$20:$T$1019,INT((ROW()-9)/9)+1,MOD(ROW()-9,9)+1),"")</f>
        <v/>
      </c>
      <c r="C2543" s="9">
        <f t="shared" si="39"/>
        <v>0</v>
      </c>
    </row>
    <row r="2544" spans="1:3" x14ac:dyDescent="0.2">
      <c r="A2544" s="10" t="str">
        <f>IF(2536&gt;$C$9008,"",INDEX($B$9:$B$9008,MATCH(2536,$C$9:$C$9008,0)))</f>
        <v/>
      </c>
      <c r="B2544" s="9" t="str">
        <f>IFERROR(INDEX(Input!$L$20:$T$1019,INT((ROW()-9)/9)+1,MOD(ROW()-9,9)+1),"")</f>
        <v/>
      </c>
      <c r="C2544" s="9">
        <f t="shared" si="39"/>
        <v>0</v>
      </c>
    </row>
    <row r="2545" spans="1:3" x14ac:dyDescent="0.2">
      <c r="A2545" s="10" t="str">
        <f>IF(2537&gt;$C$9008,"",INDEX($B$9:$B$9008,MATCH(2537,$C$9:$C$9008,0)))</f>
        <v/>
      </c>
      <c r="B2545" s="9" t="str">
        <f>IFERROR(INDEX(Input!$L$20:$T$1019,INT((ROW()-9)/9)+1,MOD(ROW()-9,9)+1),"")</f>
        <v/>
      </c>
      <c r="C2545" s="9">
        <f t="shared" si="39"/>
        <v>0</v>
      </c>
    </row>
    <row r="2546" spans="1:3" x14ac:dyDescent="0.2">
      <c r="A2546" s="10" t="str">
        <f>IF(2538&gt;$C$9008,"",INDEX($B$9:$B$9008,MATCH(2538,$C$9:$C$9008,0)))</f>
        <v/>
      </c>
      <c r="B2546" s="9" t="str">
        <f>IFERROR(INDEX(Input!$L$20:$T$1019,INT((ROW()-9)/9)+1,MOD(ROW()-9,9)+1),"")</f>
        <v/>
      </c>
      <c r="C2546" s="9">
        <f t="shared" si="39"/>
        <v>0</v>
      </c>
    </row>
    <row r="2547" spans="1:3" x14ac:dyDescent="0.2">
      <c r="A2547" s="10" t="str">
        <f>IF(2539&gt;$C$9008,"",INDEX($B$9:$B$9008,MATCH(2539,$C$9:$C$9008,0)))</f>
        <v/>
      </c>
      <c r="B2547" s="9" t="str">
        <f>IFERROR(INDEX(Input!$L$20:$T$1019,INT((ROW()-9)/9)+1,MOD(ROW()-9,9)+1),"")</f>
        <v/>
      </c>
      <c r="C2547" s="9">
        <f t="shared" si="39"/>
        <v>0</v>
      </c>
    </row>
    <row r="2548" spans="1:3" x14ac:dyDescent="0.2">
      <c r="A2548" s="10" t="str">
        <f>IF(2540&gt;$C$9008,"",INDEX($B$9:$B$9008,MATCH(2540,$C$9:$C$9008,0)))</f>
        <v/>
      </c>
      <c r="B2548" s="9" t="str">
        <f>IFERROR(INDEX(Input!$L$20:$T$1019,INT((ROW()-9)/9)+1,MOD(ROW()-9,9)+1),"")</f>
        <v/>
      </c>
      <c r="C2548" s="9">
        <f t="shared" si="39"/>
        <v>0</v>
      </c>
    </row>
    <row r="2549" spans="1:3" x14ac:dyDescent="0.2">
      <c r="A2549" s="10" t="str">
        <f>IF(2541&gt;$C$9008,"",INDEX($B$9:$B$9008,MATCH(2541,$C$9:$C$9008,0)))</f>
        <v/>
      </c>
      <c r="B2549" s="9" t="str">
        <f>IFERROR(INDEX(Input!$L$20:$T$1019,INT((ROW()-9)/9)+1,MOD(ROW()-9,9)+1),"")</f>
        <v/>
      </c>
      <c r="C2549" s="9">
        <f t="shared" si="39"/>
        <v>0</v>
      </c>
    </row>
    <row r="2550" spans="1:3" x14ac:dyDescent="0.2">
      <c r="A2550" s="10" t="str">
        <f>IF(2542&gt;$C$9008,"",INDEX($B$9:$B$9008,MATCH(2542,$C$9:$C$9008,0)))</f>
        <v/>
      </c>
      <c r="B2550" s="9" t="str">
        <f>IFERROR(INDEX(Input!$L$20:$T$1019,INT((ROW()-9)/9)+1,MOD(ROW()-9,9)+1),"")</f>
        <v/>
      </c>
      <c r="C2550" s="9">
        <f t="shared" si="39"/>
        <v>0</v>
      </c>
    </row>
    <row r="2551" spans="1:3" x14ac:dyDescent="0.2">
      <c r="A2551" s="10" t="str">
        <f>IF(2543&gt;$C$9008,"",INDEX($B$9:$B$9008,MATCH(2543,$C$9:$C$9008,0)))</f>
        <v/>
      </c>
      <c r="B2551" s="9" t="str">
        <f>IFERROR(INDEX(Input!$L$20:$T$1019,INT((ROW()-9)/9)+1,MOD(ROW()-9,9)+1),"")</f>
        <v/>
      </c>
      <c r="C2551" s="9">
        <f t="shared" si="39"/>
        <v>0</v>
      </c>
    </row>
    <row r="2552" spans="1:3" x14ac:dyDescent="0.2">
      <c r="A2552" s="10" t="str">
        <f>IF(2544&gt;$C$9008,"",INDEX($B$9:$B$9008,MATCH(2544,$C$9:$C$9008,0)))</f>
        <v/>
      </c>
      <c r="B2552" s="9" t="str">
        <f>IFERROR(INDEX(Input!$L$20:$T$1019,INT((ROW()-9)/9)+1,MOD(ROW()-9,9)+1),"")</f>
        <v/>
      </c>
      <c r="C2552" s="9">
        <f t="shared" si="39"/>
        <v>0</v>
      </c>
    </row>
    <row r="2553" spans="1:3" x14ac:dyDescent="0.2">
      <c r="A2553" s="10" t="str">
        <f>IF(2545&gt;$C$9008,"",INDEX($B$9:$B$9008,MATCH(2545,$C$9:$C$9008,0)))</f>
        <v/>
      </c>
      <c r="B2553" s="9" t="str">
        <f>IFERROR(INDEX(Input!$L$20:$T$1019,INT((ROW()-9)/9)+1,MOD(ROW()-9,9)+1),"")</f>
        <v/>
      </c>
      <c r="C2553" s="9">
        <f t="shared" si="39"/>
        <v>0</v>
      </c>
    </row>
    <row r="2554" spans="1:3" x14ac:dyDescent="0.2">
      <c r="A2554" s="10" t="str">
        <f>IF(2546&gt;$C$9008,"",INDEX($B$9:$B$9008,MATCH(2546,$C$9:$C$9008,0)))</f>
        <v/>
      </c>
      <c r="B2554" s="9" t="str">
        <f>IFERROR(INDEX(Input!$L$20:$T$1019,INT((ROW()-9)/9)+1,MOD(ROW()-9,9)+1),"")</f>
        <v/>
      </c>
      <c r="C2554" s="9">
        <f t="shared" si="39"/>
        <v>0</v>
      </c>
    </row>
    <row r="2555" spans="1:3" x14ac:dyDescent="0.2">
      <c r="A2555" s="10" t="str">
        <f>IF(2547&gt;$C$9008,"",INDEX($B$9:$B$9008,MATCH(2547,$C$9:$C$9008,0)))</f>
        <v/>
      </c>
      <c r="B2555" s="9" t="str">
        <f>IFERROR(INDEX(Input!$L$20:$T$1019,INT((ROW()-9)/9)+1,MOD(ROW()-9,9)+1),"")</f>
        <v/>
      </c>
      <c r="C2555" s="9">
        <f t="shared" si="39"/>
        <v>0</v>
      </c>
    </row>
    <row r="2556" spans="1:3" x14ac:dyDescent="0.2">
      <c r="A2556" s="10" t="str">
        <f>IF(2548&gt;$C$9008,"",INDEX($B$9:$B$9008,MATCH(2548,$C$9:$C$9008,0)))</f>
        <v/>
      </c>
      <c r="B2556" s="9" t="str">
        <f>IFERROR(INDEX(Input!$L$20:$T$1019,INT((ROW()-9)/9)+1,MOD(ROW()-9,9)+1),"")</f>
        <v/>
      </c>
      <c r="C2556" s="9">
        <f t="shared" si="39"/>
        <v>0</v>
      </c>
    </row>
    <row r="2557" spans="1:3" x14ac:dyDescent="0.2">
      <c r="A2557" s="10" t="str">
        <f>IF(2549&gt;$C$9008,"",INDEX($B$9:$B$9008,MATCH(2549,$C$9:$C$9008,0)))</f>
        <v/>
      </c>
      <c r="B2557" s="9" t="str">
        <f>IFERROR(INDEX(Input!$L$20:$T$1019,INT((ROW()-9)/9)+1,MOD(ROW()-9,9)+1),"")</f>
        <v/>
      </c>
      <c r="C2557" s="9">
        <f t="shared" si="39"/>
        <v>0</v>
      </c>
    </row>
    <row r="2558" spans="1:3" x14ac:dyDescent="0.2">
      <c r="A2558" s="10" t="str">
        <f>IF(2550&gt;$C$9008,"",INDEX($B$9:$B$9008,MATCH(2550,$C$9:$C$9008,0)))</f>
        <v/>
      </c>
      <c r="B2558" s="9" t="str">
        <f>IFERROR(INDEX(Input!$L$20:$T$1019,INT((ROW()-9)/9)+1,MOD(ROW()-9,9)+1),"")</f>
        <v/>
      </c>
      <c r="C2558" s="9">
        <f t="shared" si="39"/>
        <v>0</v>
      </c>
    </row>
    <row r="2559" spans="1:3" x14ac:dyDescent="0.2">
      <c r="A2559" s="10" t="str">
        <f>IF(2551&gt;$C$9008,"",INDEX($B$9:$B$9008,MATCH(2551,$C$9:$C$9008,0)))</f>
        <v/>
      </c>
      <c r="B2559" s="9" t="str">
        <f>IFERROR(INDEX(Input!$L$20:$T$1019,INT((ROW()-9)/9)+1,MOD(ROW()-9,9)+1),"")</f>
        <v/>
      </c>
      <c r="C2559" s="9">
        <f t="shared" si="39"/>
        <v>0</v>
      </c>
    </row>
    <row r="2560" spans="1:3" x14ac:dyDescent="0.2">
      <c r="A2560" s="10" t="str">
        <f>IF(2552&gt;$C$9008,"",INDEX($B$9:$B$9008,MATCH(2552,$C$9:$C$9008,0)))</f>
        <v/>
      </c>
      <c r="B2560" s="9" t="str">
        <f>IFERROR(INDEX(Input!$L$20:$T$1019,INT((ROW()-9)/9)+1,MOD(ROW()-9,9)+1),"")</f>
        <v/>
      </c>
      <c r="C2560" s="9">
        <f t="shared" si="39"/>
        <v>0</v>
      </c>
    </row>
    <row r="2561" spans="1:3" x14ac:dyDescent="0.2">
      <c r="A2561" s="10" t="str">
        <f>IF(2553&gt;$C$9008,"",INDEX($B$9:$B$9008,MATCH(2553,$C$9:$C$9008,0)))</f>
        <v/>
      </c>
      <c r="B2561" s="9" t="str">
        <f>IFERROR(INDEX(Input!$L$20:$T$1019,INT((ROW()-9)/9)+1,MOD(ROW()-9,9)+1),"")</f>
        <v/>
      </c>
      <c r="C2561" s="9">
        <f t="shared" si="39"/>
        <v>0</v>
      </c>
    </row>
    <row r="2562" spans="1:3" x14ac:dyDescent="0.2">
      <c r="A2562" s="10" t="str">
        <f>IF(2554&gt;$C$9008,"",INDEX($B$9:$B$9008,MATCH(2554,$C$9:$C$9008,0)))</f>
        <v/>
      </c>
      <c r="B2562" s="9" t="str">
        <f>IFERROR(INDEX(Input!$L$20:$T$1019,INT((ROW()-9)/9)+1,MOD(ROW()-9,9)+1),"")</f>
        <v/>
      </c>
      <c r="C2562" s="9">
        <f t="shared" si="39"/>
        <v>0</v>
      </c>
    </row>
    <row r="2563" spans="1:3" x14ac:dyDescent="0.2">
      <c r="A2563" s="10" t="str">
        <f>IF(2555&gt;$C$9008,"",INDEX($B$9:$B$9008,MATCH(2555,$C$9:$C$9008,0)))</f>
        <v/>
      </c>
      <c r="B2563" s="9" t="str">
        <f>IFERROR(INDEX(Input!$L$20:$T$1019,INT((ROW()-9)/9)+1,MOD(ROW()-9,9)+1),"")</f>
        <v/>
      </c>
      <c r="C2563" s="9">
        <f t="shared" si="39"/>
        <v>0</v>
      </c>
    </row>
    <row r="2564" spans="1:3" x14ac:dyDescent="0.2">
      <c r="A2564" s="10" t="str">
        <f>IF(2556&gt;$C$9008,"",INDEX($B$9:$B$9008,MATCH(2556,$C$9:$C$9008,0)))</f>
        <v/>
      </c>
      <c r="B2564" s="9" t="str">
        <f>IFERROR(INDEX(Input!$L$20:$T$1019,INT((ROW()-9)/9)+1,MOD(ROW()-9,9)+1),"")</f>
        <v/>
      </c>
      <c r="C2564" s="9">
        <f t="shared" si="39"/>
        <v>0</v>
      </c>
    </row>
    <row r="2565" spans="1:3" x14ac:dyDescent="0.2">
      <c r="A2565" s="10" t="str">
        <f>IF(2557&gt;$C$9008,"",INDEX($B$9:$B$9008,MATCH(2557,$C$9:$C$9008,0)))</f>
        <v/>
      </c>
      <c r="B2565" s="9" t="str">
        <f>IFERROR(INDEX(Input!$L$20:$T$1019,INT((ROW()-9)/9)+1,MOD(ROW()-9,9)+1),"")</f>
        <v/>
      </c>
      <c r="C2565" s="9">
        <f t="shared" si="39"/>
        <v>0</v>
      </c>
    </row>
    <row r="2566" spans="1:3" x14ac:dyDescent="0.2">
      <c r="A2566" s="10" t="str">
        <f>IF(2558&gt;$C$9008,"",INDEX($B$9:$B$9008,MATCH(2558,$C$9:$C$9008,0)))</f>
        <v/>
      </c>
      <c r="B2566" s="9" t="str">
        <f>IFERROR(INDEX(Input!$L$20:$T$1019,INT((ROW()-9)/9)+1,MOD(ROW()-9,9)+1),"")</f>
        <v/>
      </c>
      <c r="C2566" s="9">
        <f t="shared" si="39"/>
        <v>0</v>
      </c>
    </row>
    <row r="2567" spans="1:3" x14ac:dyDescent="0.2">
      <c r="A2567" s="10" t="str">
        <f>IF(2559&gt;$C$9008,"",INDEX($B$9:$B$9008,MATCH(2559,$C$9:$C$9008,0)))</f>
        <v/>
      </c>
      <c r="B2567" s="9" t="str">
        <f>IFERROR(INDEX(Input!$L$20:$T$1019,INT((ROW()-9)/9)+1,MOD(ROW()-9,9)+1),"")</f>
        <v/>
      </c>
      <c r="C2567" s="9">
        <f t="shared" si="39"/>
        <v>0</v>
      </c>
    </row>
    <row r="2568" spans="1:3" x14ac:dyDescent="0.2">
      <c r="A2568" s="10" t="str">
        <f>IF(2560&gt;$C$9008,"",INDEX($B$9:$B$9008,MATCH(2560,$C$9:$C$9008,0)))</f>
        <v/>
      </c>
      <c r="B2568" s="9" t="str">
        <f>IFERROR(INDEX(Input!$L$20:$T$1019,INT((ROW()-9)/9)+1,MOD(ROW()-9,9)+1),"")</f>
        <v/>
      </c>
      <c r="C2568" s="9">
        <f t="shared" si="39"/>
        <v>0</v>
      </c>
    </row>
    <row r="2569" spans="1:3" x14ac:dyDescent="0.2">
      <c r="A2569" s="10" t="str">
        <f>IF(2561&gt;$C$9008,"",INDEX($B$9:$B$9008,MATCH(2561,$C$9:$C$9008,0)))</f>
        <v/>
      </c>
      <c r="B2569" s="9" t="str">
        <f>IFERROR(INDEX(Input!$L$20:$T$1019,INT((ROW()-9)/9)+1,MOD(ROW()-9,9)+1),"")</f>
        <v/>
      </c>
      <c r="C2569" s="9">
        <f t="shared" ref="C2569:C2632" si="40">$C2568+IF($B2569&lt;&gt;"",1,0)</f>
        <v>0</v>
      </c>
    </row>
    <row r="2570" spans="1:3" x14ac:dyDescent="0.2">
      <c r="A2570" s="10" t="str">
        <f>IF(2562&gt;$C$9008,"",INDEX($B$9:$B$9008,MATCH(2562,$C$9:$C$9008,0)))</f>
        <v/>
      </c>
      <c r="B2570" s="9" t="str">
        <f>IFERROR(INDEX(Input!$L$20:$T$1019,INT((ROW()-9)/9)+1,MOD(ROW()-9,9)+1),"")</f>
        <v/>
      </c>
      <c r="C2570" s="9">
        <f t="shared" si="40"/>
        <v>0</v>
      </c>
    </row>
    <row r="2571" spans="1:3" x14ac:dyDescent="0.2">
      <c r="A2571" s="10" t="str">
        <f>IF(2563&gt;$C$9008,"",INDEX($B$9:$B$9008,MATCH(2563,$C$9:$C$9008,0)))</f>
        <v/>
      </c>
      <c r="B2571" s="9" t="str">
        <f>IFERROR(INDEX(Input!$L$20:$T$1019,INT((ROW()-9)/9)+1,MOD(ROW()-9,9)+1),"")</f>
        <v/>
      </c>
      <c r="C2571" s="9">
        <f t="shared" si="40"/>
        <v>0</v>
      </c>
    </row>
    <row r="2572" spans="1:3" x14ac:dyDescent="0.2">
      <c r="A2572" s="10" t="str">
        <f>IF(2564&gt;$C$9008,"",INDEX($B$9:$B$9008,MATCH(2564,$C$9:$C$9008,0)))</f>
        <v/>
      </c>
      <c r="B2572" s="9" t="str">
        <f>IFERROR(INDEX(Input!$L$20:$T$1019,INT((ROW()-9)/9)+1,MOD(ROW()-9,9)+1),"")</f>
        <v/>
      </c>
      <c r="C2572" s="9">
        <f t="shared" si="40"/>
        <v>0</v>
      </c>
    </row>
    <row r="2573" spans="1:3" x14ac:dyDescent="0.2">
      <c r="A2573" s="10" t="str">
        <f>IF(2565&gt;$C$9008,"",INDEX($B$9:$B$9008,MATCH(2565,$C$9:$C$9008,0)))</f>
        <v/>
      </c>
      <c r="B2573" s="9" t="str">
        <f>IFERROR(INDEX(Input!$L$20:$T$1019,INT((ROW()-9)/9)+1,MOD(ROW()-9,9)+1),"")</f>
        <v/>
      </c>
      <c r="C2573" s="9">
        <f t="shared" si="40"/>
        <v>0</v>
      </c>
    </row>
    <row r="2574" spans="1:3" x14ac:dyDescent="0.2">
      <c r="A2574" s="10" t="str">
        <f>IF(2566&gt;$C$9008,"",INDEX($B$9:$B$9008,MATCH(2566,$C$9:$C$9008,0)))</f>
        <v/>
      </c>
      <c r="B2574" s="9" t="str">
        <f>IFERROR(INDEX(Input!$L$20:$T$1019,INT((ROW()-9)/9)+1,MOD(ROW()-9,9)+1),"")</f>
        <v/>
      </c>
      <c r="C2574" s="9">
        <f t="shared" si="40"/>
        <v>0</v>
      </c>
    </row>
    <row r="2575" spans="1:3" x14ac:dyDescent="0.2">
      <c r="A2575" s="10" t="str">
        <f>IF(2567&gt;$C$9008,"",INDEX($B$9:$B$9008,MATCH(2567,$C$9:$C$9008,0)))</f>
        <v/>
      </c>
      <c r="B2575" s="9" t="str">
        <f>IFERROR(INDEX(Input!$L$20:$T$1019,INT((ROW()-9)/9)+1,MOD(ROW()-9,9)+1),"")</f>
        <v/>
      </c>
      <c r="C2575" s="9">
        <f t="shared" si="40"/>
        <v>0</v>
      </c>
    </row>
    <row r="2576" spans="1:3" x14ac:dyDescent="0.2">
      <c r="A2576" s="10" t="str">
        <f>IF(2568&gt;$C$9008,"",INDEX($B$9:$B$9008,MATCH(2568,$C$9:$C$9008,0)))</f>
        <v/>
      </c>
      <c r="B2576" s="9" t="str">
        <f>IFERROR(INDEX(Input!$L$20:$T$1019,INT((ROW()-9)/9)+1,MOD(ROW()-9,9)+1),"")</f>
        <v/>
      </c>
      <c r="C2576" s="9">
        <f t="shared" si="40"/>
        <v>0</v>
      </c>
    </row>
    <row r="2577" spans="1:3" x14ac:dyDescent="0.2">
      <c r="A2577" s="10" t="str">
        <f>IF(2569&gt;$C$9008,"",INDEX($B$9:$B$9008,MATCH(2569,$C$9:$C$9008,0)))</f>
        <v/>
      </c>
      <c r="B2577" s="9" t="str">
        <f>IFERROR(INDEX(Input!$L$20:$T$1019,INT((ROW()-9)/9)+1,MOD(ROW()-9,9)+1),"")</f>
        <v/>
      </c>
      <c r="C2577" s="9">
        <f t="shared" si="40"/>
        <v>0</v>
      </c>
    </row>
    <row r="2578" spans="1:3" x14ac:dyDescent="0.2">
      <c r="A2578" s="10" t="str">
        <f>IF(2570&gt;$C$9008,"",INDEX($B$9:$B$9008,MATCH(2570,$C$9:$C$9008,0)))</f>
        <v/>
      </c>
      <c r="B2578" s="9" t="str">
        <f>IFERROR(INDEX(Input!$L$20:$T$1019,INT((ROW()-9)/9)+1,MOD(ROW()-9,9)+1),"")</f>
        <v/>
      </c>
      <c r="C2578" s="9">
        <f t="shared" si="40"/>
        <v>0</v>
      </c>
    </row>
    <row r="2579" spans="1:3" x14ac:dyDescent="0.2">
      <c r="A2579" s="10" t="str">
        <f>IF(2571&gt;$C$9008,"",INDEX($B$9:$B$9008,MATCH(2571,$C$9:$C$9008,0)))</f>
        <v/>
      </c>
      <c r="B2579" s="9" t="str">
        <f>IFERROR(INDEX(Input!$L$20:$T$1019,INT((ROW()-9)/9)+1,MOD(ROW()-9,9)+1),"")</f>
        <v/>
      </c>
      <c r="C2579" s="9">
        <f t="shared" si="40"/>
        <v>0</v>
      </c>
    </row>
    <row r="2580" spans="1:3" x14ac:dyDescent="0.2">
      <c r="A2580" s="10" t="str">
        <f>IF(2572&gt;$C$9008,"",INDEX($B$9:$B$9008,MATCH(2572,$C$9:$C$9008,0)))</f>
        <v/>
      </c>
      <c r="B2580" s="9" t="str">
        <f>IFERROR(INDEX(Input!$L$20:$T$1019,INT((ROW()-9)/9)+1,MOD(ROW()-9,9)+1),"")</f>
        <v/>
      </c>
      <c r="C2580" s="9">
        <f t="shared" si="40"/>
        <v>0</v>
      </c>
    </row>
    <row r="2581" spans="1:3" x14ac:dyDescent="0.2">
      <c r="A2581" s="10" t="str">
        <f>IF(2573&gt;$C$9008,"",INDEX($B$9:$B$9008,MATCH(2573,$C$9:$C$9008,0)))</f>
        <v/>
      </c>
      <c r="B2581" s="9" t="str">
        <f>IFERROR(INDEX(Input!$L$20:$T$1019,INT((ROW()-9)/9)+1,MOD(ROW()-9,9)+1),"")</f>
        <v/>
      </c>
      <c r="C2581" s="9">
        <f t="shared" si="40"/>
        <v>0</v>
      </c>
    </row>
    <row r="2582" spans="1:3" x14ac:dyDescent="0.2">
      <c r="A2582" s="10" t="str">
        <f>IF(2574&gt;$C$9008,"",INDEX($B$9:$B$9008,MATCH(2574,$C$9:$C$9008,0)))</f>
        <v/>
      </c>
      <c r="B2582" s="9" t="str">
        <f>IFERROR(INDEX(Input!$L$20:$T$1019,INT((ROW()-9)/9)+1,MOD(ROW()-9,9)+1),"")</f>
        <v/>
      </c>
      <c r="C2582" s="9">
        <f t="shared" si="40"/>
        <v>0</v>
      </c>
    </row>
    <row r="2583" spans="1:3" x14ac:dyDescent="0.2">
      <c r="A2583" s="10" t="str">
        <f>IF(2575&gt;$C$9008,"",INDEX($B$9:$B$9008,MATCH(2575,$C$9:$C$9008,0)))</f>
        <v/>
      </c>
      <c r="B2583" s="9" t="str">
        <f>IFERROR(INDEX(Input!$L$20:$T$1019,INT((ROW()-9)/9)+1,MOD(ROW()-9,9)+1),"")</f>
        <v/>
      </c>
      <c r="C2583" s="9">
        <f t="shared" si="40"/>
        <v>0</v>
      </c>
    </row>
    <row r="2584" spans="1:3" x14ac:dyDescent="0.2">
      <c r="A2584" s="10" t="str">
        <f>IF(2576&gt;$C$9008,"",INDEX($B$9:$B$9008,MATCH(2576,$C$9:$C$9008,0)))</f>
        <v/>
      </c>
      <c r="B2584" s="9" t="str">
        <f>IFERROR(INDEX(Input!$L$20:$T$1019,INT((ROW()-9)/9)+1,MOD(ROW()-9,9)+1),"")</f>
        <v/>
      </c>
      <c r="C2584" s="9">
        <f t="shared" si="40"/>
        <v>0</v>
      </c>
    </row>
    <row r="2585" spans="1:3" x14ac:dyDescent="0.2">
      <c r="A2585" s="10" t="str">
        <f>IF(2577&gt;$C$9008,"",INDEX($B$9:$B$9008,MATCH(2577,$C$9:$C$9008,0)))</f>
        <v/>
      </c>
      <c r="B2585" s="9" t="str">
        <f>IFERROR(INDEX(Input!$L$20:$T$1019,INT((ROW()-9)/9)+1,MOD(ROW()-9,9)+1),"")</f>
        <v/>
      </c>
      <c r="C2585" s="9">
        <f t="shared" si="40"/>
        <v>0</v>
      </c>
    </row>
    <row r="2586" spans="1:3" x14ac:dyDescent="0.2">
      <c r="A2586" s="10" t="str">
        <f>IF(2578&gt;$C$9008,"",INDEX($B$9:$B$9008,MATCH(2578,$C$9:$C$9008,0)))</f>
        <v/>
      </c>
      <c r="B2586" s="9" t="str">
        <f>IFERROR(INDEX(Input!$L$20:$T$1019,INT((ROW()-9)/9)+1,MOD(ROW()-9,9)+1),"")</f>
        <v/>
      </c>
      <c r="C2586" s="9">
        <f t="shared" si="40"/>
        <v>0</v>
      </c>
    </row>
    <row r="2587" spans="1:3" x14ac:dyDescent="0.2">
      <c r="A2587" s="10" t="str">
        <f>IF(2579&gt;$C$9008,"",INDEX($B$9:$B$9008,MATCH(2579,$C$9:$C$9008,0)))</f>
        <v/>
      </c>
      <c r="B2587" s="9" t="str">
        <f>IFERROR(INDEX(Input!$L$20:$T$1019,INT((ROW()-9)/9)+1,MOD(ROW()-9,9)+1),"")</f>
        <v/>
      </c>
      <c r="C2587" s="9">
        <f t="shared" si="40"/>
        <v>0</v>
      </c>
    </row>
    <row r="2588" spans="1:3" x14ac:dyDescent="0.2">
      <c r="A2588" s="10" t="str">
        <f>IF(2580&gt;$C$9008,"",INDEX($B$9:$B$9008,MATCH(2580,$C$9:$C$9008,0)))</f>
        <v/>
      </c>
      <c r="B2588" s="9" t="str">
        <f>IFERROR(INDEX(Input!$L$20:$T$1019,INT((ROW()-9)/9)+1,MOD(ROW()-9,9)+1),"")</f>
        <v/>
      </c>
      <c r="C2588" s="9">
        <f t="shared" si="40"/>
        <v>0</v>
      </c>
    </row>
    <row r="2589" spans="1:3" x14ac:dyDescent="0.2">
      <c r="A2589" s="10" t="str">
        <f>IF(2581&gt;$C$9008,"",INDEX($B$9:$B$9008,MATCH(2581,$C$9:$C$9008,0)))</f>
        <v/>
      </c>
      <c r="B2589" s="9" t="str">
        <f>IFERROR(INDEX(Input!$L$20:$T$1019,INT((ROW()-9)/9)+1,MOD(ROW()-9,9)+1),"")</f>
        <v/>
      </c>
      <c r="C2589" s="9">
        <f t="shared" si="40"/>
        <v>0</v>
      </c>
    </row>
    <row r="2590" spans="1:3" x14ac:dyDescent="0.2">
      <c r="A2590" s="10" t="str">
        <f>IF(2582&gt;$C$9008,"",INDEX($B$9:$B$9008,MATCH(2582,$C$9:$C$9008,0)))</f>
        <v/>
      </c>
      <c r="B2590" s="9" t="str">
        <f>IFERROR(INDEX(Input!$L$20:$T$1019,INT((ROW()-9)/9)+1,MOD(ROW()-9,9)+1),"")</f>
        <v/>
      </c>
      <c r="C2590" s="9">
        <f t="shared" si="40"/>
        <v>0</v>
      </c>
    </row>
    <row r="2591" spans="1:3" x14ac:dyDescent="0.2">
      <c r="A2591" s="10" t="str">
        <f>IF(2583&gt;$C$9008,"",INDEX($B$9:$B$9008,MATCH(2583,$C$9:$C$9008,0)))</f>
        <v/>
      </c>
      <c r="B2591" s="9" t="str">
        <f>IFERROR(INDEX(Input!$L$20:$T$1019,INT((ROW()-9)/9)+1,MOD(ROW()-9,9)+1),"")</f>
        <v/>
      </c>
      <c r="C2591" s="9">
        <f t="shared" si="40"/>
        <v>0</v>
      </c>
    </row>
    <row r="2592" spans="1:3" x14ac:dyDescent="0.2">
      <c r="A2592" s="10" t="str">
        <f>IF(2584&gt;$C$9008,"",INDEX($B$9:$B$9008,MATCH(2584,$C$9:$C$9008,0)))</f>
        <v/>
      </c>
      <c r="B2592" s="9" t="str">
        <f>IFERROR(INDEX(Input!$L$20:$T$1019,INT((ROW()-9)/9)+1,MOD(ROW()-9,9)+1),"")</f>
        <v/>
      </c>
      <c r="C2592" s="9">
        <f t="shared" si="40"/>
        <v>0</v>
      </c>
    </row>
    <row r="2593" spans="1:3" x14ac:dyDescent="0.2">
      <c r="A2593" s="10" t="str">
        <f>IF(2585&gt;$C$9008,"",INDEX($B$9:$B$9008,MATCH(2585,$C$9:$C$9008,0)))</f>
        <v/>
      </c>
      <c r="B2593" s="9" t="str">
        <f>IFERROR(INDEX(Input!$L$20:$T$1019,INT((ROW()-9)/9)+1,MOD(ROW()-9,9)+1),"")</f>
        <v/>
      </c>
      <c r="C2593" s="9">
        <f t="shared" si="40"/>
        <v>0</v>
      </c>
    </row>
    <row r="2594" spans="1:3" x14ac:dyDescent="0.2">
      <c r="A2594" s="10" t="str">
        <f>IF(2586&gt;$C$9008,"",INDEX($B$9:$B$9008,MATCH(2586,$C$9:$C$9008,0)))</f>
        <v/>
      </c>
      <c r="B2594" s="9" t="str">
        <f>IFERROR(INDEX(Input!$L$20:$T$1019,INT((ROW()-9)/9)+1,MOD(ROW()-9,9)+1),"")</f>
        <v/>
      </c>
      <c r="C2594" s="9">
        <f t="shared" si="40"/>
        <v>0</v>
      </c>
    </row>
    <row r="2595" spans="1:3" x14ac:dyDescent="0.2">
      <c r="A2595" s="10" t="str">
        <f>IF(2587&gt;$C$9008,"",INDEX($B$9:$B$9008,MATCH(2587,$C$9:$C$9008,0)))</f>
        <v/>
      </c>
      <c r="B2595" s="9" t="str">
        <f>IFERROR(INDEX(Input!$L$20:$T$1019,INT((ROW()-9)/9)+1,MOD(ROW()-9,9)+1),"")</f>
        <v/>
      </c>
      <c r="C2595" s="9">
        <f t="shared" si="40"/>
        <v>0</v>
      </c>
    </row>
    <row r="2596" spans="1:3" x14ac:dyDescent="0.2">
      <c r="A2596" s="10" t="str">
        <f>IF(2588&gt;$C$9008,"",INDEX($B$9:$B$9008,MATCH(2588,$C$9:$C$9008,0)))</f>
        <v/>
      </c>
      <c r="B2596" s="9" t="str">
        <f>IFERROR(INDEX(Input!$L$20:$T$1019,INT((ROW()-9)/9)+1,MOD(ROW()-9,9)+1),"")</f>
        <v/>
      </c>
      <c r="C2596" s="9">
        <f t="shared" si="40"/>
        <v>0</v>
      </c>
    </row>
    <row r="2597" spans="1:3" x14ac:dyDescent="0.2">
      <c r="A2597" s="10" t="str">
        <f>IF(2589&gt;$C$9008,"",INDEX($B$9:$B$9008,MATCH(2589,$C$9:$C$9008,0)))</f>
        <v/>
      </c>
      <c r="B2597" s="9" t="str">
        <f>IFERROR(INDEX(Input!$L$20:$T$1019,INT((ROW()-9)/9)+1,MOD(ROW()-9,9)+1),"")</f>
        <v/>
      </c>
      <c r="C2597" s="9">
        <f t="shared" si="40"/>
        <v>0</v>
      </c>
    </row>
    <row r="2598" spans="1:3" x14ac:dyDescent="0.2">
      <c r="A2598" s="10" t="str">
        <f>IF(2590&gt;$C$9008,"",INDEX($B$9:$B$9008,MATCH(2590,$C$9:$C$9008,0)))</f>
        <v/>
      </c>
      <c r="B2598" s="9" t="str">
        <f>IFERROR(INDEX(Input!$L$20:$T$1019,INT((ROW()-9)/9)+1,MOD(ROW()-9,9)+1),"")</f>
        <v/>
      </c>
      <c r="C2598" s="9">
        <f t="shared" si="40"/>
        <v>0</v>
      </c>
    </row>
    <row r="2599" spans="1:3" x14ac:dyDescent="0.2">
      <c r="A2599" s="10" t="str">
        <f>IF(2591&gt;$C$9008,"",INDEX($B$9:$B$9008,MATCH(2591,$C$9:$C$9008,0)))</f>
        <v/>
      </c>
      <c r="B2599" s="9" t="str">
        <f>IFERROR(INDEX(Input!$L$20:$T$1019,INT((ROW()-9)/9)+1,MOD(ROW()-9,9)+1),"")</f>
        <v/>
      </c>
      <c r="C2599" s="9">
        <f t="shared" si="40"/>
        <v>0</v>
      </c>
    </row>
    <row r="2600" spans="1:3" x14ac:dyDescent="0.2">
      <c r="A2600" s="10" t="str">
        <f>IF(2592&gt;$C$9008,"",INDEX($B$9:$B$9008,MATCH(2592,$C$9:$C$9008,0)))</f>
        <v/>
      </c>
      <c r="B2600" s="9" t="str">
        <f>IFERROR(INDEX(Input!$L$20:$T$1019,INT((ROW()-9)/9)+1,MOD(ROW()-9,9)+1),"")</f>
        <v/>
      </c>
      <c r="C2600" s="9">
        <f t="shared" si="40"/>
        <v>0</v>
      </c>
    </row>
    <row r="2601" spans="1:3" x14ac:dyDescent="0.2">
      <c r="A2601" s="10" t="str">
        <f>IF(2593&gt;$C$9008,"",INDEX($B$9:$B$9008,MATCH(2593,$C$9:$C$9008,0)))</f>
        <v/>
      </c>
      <c r="B2601" s="9" t="str">
        <f>IFERROR(INDEX(Input!$L$20:$T$1019,INT((ROW()-9)/9)+1,MOD(ROW()-9,9)+1),"")</f>
        <v/>
      </c>
      <c r="C2601" s="9">
        <f t="shared" si="40"/>
        <v>0</v>
      </c>
    </row>
    <row r="2602" spans="1:3" x14ac:dyDescent="0.2">
      <c r="A2602" s="10" t="str">
        <f>IF(2594&gt;$C$9008,"",INDEX($B$9:$B$9008,MATCH(2594,$C$9:$C$9008,0)))</f>
        <v/>
      </c>
      <c r="B2602" s="9" t="str">
        <f>IFERROR(INDEX(Input!$L$20:$T$1019,INT((ROW()-9)/9)+1,MOD(ROW()-9,9)+1),"")</f>
        <v/>
      </c>
      <c r="C2602" s="9">
        <f t="shared" si="40"/>
        <v>0</v>
      </c>
    </row>
    <row r="2603" spans="1:3" x14ac:dyDescent="0.2">
      <c r="A2603" s="10" t="str">
        <f>IF(2595&gt;$C$9008,"",INDEX($B$9:$B$9008,MATCH(2595,$C$9:$C$9008,0)))</f>
        <v/>
      </c>
      <c r="B2603" s="9" t="str">
        <f>IFERROR(INDEX(Input!$L$20:$T$1019,INT((ROW()-9)/9)+1,MOD(ROW()-9,9)+1),"")</f>
        <v/>
      </c>
      <c r="C2603" s="9">
        <f t="shared" si="40"/>
        <v>0</v>
      </c>
    </row>
    <row r="2604" spans="1:3" x14ac:dyDescent="0.2">
      <c r="A2604" s="10" t="str">
        <f>IF(2596&gt;$C$9008,"",INDEX($B$9:$B$9008,MATCH(2596,$C$9:$C$9008,0)))</f>
        <v/>
      </c>
      <c r="B2604" s="9" t="str">
        <f>IFERROR(INDEX(Input!$L$20:$T$1019,INT((ROW()-9)/9)+1,MOD(ROW()-9,9)+1),"")</f>
        <v/>
      </c>
      <c r="C2604" s="9">
        <f t="shared" si="40"/>
        <v>0</v>
      </c>
    </row>
    <row r="2605" spans="1:3" x14ac:dyDescent="0.2">
      <c r="A2605" s="10" t="str">
        <f>IF(2597&gt;$C$9008,"",INDEX($B$9:$B$9008,MATCH(2597,$C$9:$C$9008,0)))</f>
        <v/>
      </c>
      <c r="B2605" s="9" t="str">
        <f>IFERROR(INDEX(Input!$L$20:$T$1019,INT((ROW()-9)/9)+1,MOD(ROW()-9,9)+1),"")</f>
        <v/>
      </c>
      <c r="C2605" s="9">
        <f t="shared" si="40"/>
        <v>0</v>
      </c>
    </row>
    <row r="2606" spans="1:3" x14ac:dyDescent="0.2">
      <c r="A2606" s="10" t="str">
        <f>IF(2598&gt;$C$9008,"",INDEX($B$9:$B$9008,MATCH(2598,$C$9:$C$9008,0)))</f>
        <v/>
      </c>
      <c r="B2606" s="9" t="str">
        <f>IFERROR(INDEX(Input!$L$20:$T$1019,INT((ROW()-9)/9)+1,MOD(ROW()-9,9)+1),"")</f>
        <v/>
      </c>
      <c r="C2606" s="9">
        <f t="shared" si="40"/>
        <v>0</v>
      </c>
    </row>
    <row r="2607" spans="1:3" x14ac:dyDescent="0.2">
      <c r="A2607" s="10" t="str">
        <f>IF(2599&gt;$C$9008,"",INDEX($B$9:$B$9008,MATCH(2599,$C$9:$C$9008,0)))</f>
        <v/>
      </c>
      <c r="B2607" s="9" t="str">
        <f>IFERROR(INDEX(Input!$L$20:$T$1019,INT((ROW()-9)/9)+1,MOD(ROW()-9,9)+1),"")</f>
        <v/>
      </c>
      <c r="C2607" s="9">
        <f t="shared" si="40"/>
        <v>0</v>
      </c>
    </row>
    <row r="2608" spans="1:3" x14ac:dyDescent="0.2">
      <c r="A2608" s="10" t="str">
        <f>IF(2600&gt;$C$9008,"",INDEX($B$9:$B$9008,MATCH(2600,$C$9:$C$9008,0)))</f>
        <v/>
      </c>
      <c r="B2608" s="9" t="str">
        <f>IFERROR(INDEX(Input!$L$20:$T$1019,INT((ROW()-9)/9)+1,MOD(ROW()-9,9)+1),"")</f>
        <v/>
      </c>
      <c r="C2608" s="9">
        <f t="shared" si="40"/>
        <v>0</v>
      </c>
    </row>
    <row r="2609" spans="1:3" x14ac:dyDescent="0.2">
      <c r="A2609" s="10" t="str">
        <f>IF(2601&gt;$C$9008,"",INDEX($B$9:$B$9008,MATCH(2601,$C$9:$C$9008,0)))</f>
        <v/>
      </c>
      <c r="B2609" s="9" t="str">
        <f>IFERROR(INDEX(Input!$L$20:$T$1019,INT((ROW()-9)/9)+1,MOD(ROW()-9,9)+1),"")</f>
        <v/>
      </c>
      <c r="C2609" s="9">
        <f t="shared" si="40"/>
        <v>0</v>
      </c>
    </row>
    <row r="2610" spans="1:3" x14ac:dyDescent="0.2">
      <c r="A2610" s="10" t="str">
        <f>IF(2602&gt;$C$9008,"",INDEX($B$9:$B$9008,MATCH(2602,$C$9:$C$9008,0)))</f>
        <v/>
      </c>
      <c r="B2610" s="9" t="str">
        <f>IFERROR(INDEX(Input!$L$20:$T$1019,INT((ROW()-9)/9)+1,MOD(ROW()-9,9)+1),"")</f>
        <v/>
      </c>
      <c r="C2610" s="9">
        <f t="shared" si="40"/>
        <v>0</v>
      </c>
    </row>
    <row r="2611" spans="1:3" x14ac:dyDescent="0.2">
      <c r="A2611" s="10" t="str">
        <f>IF(2603&gt;$C$9008,"",INDEX($B$9:$B$9008,MATCH(2603,$C$9:$C$9008,0)))</f>
        <v/>
      </c>
      <c r="B2611" s="9" t="str">
        <f>IFERROR(INDEX(Input!$L$20:$T$1019,INT((ROW()-9)/9)+1,MOD(ROW()-9,9)+1),"")</f>
        <v/>
      </c>
      <c r="C2611" s="9">
        <f t="shared" si="40"/>
        <v>0</v>
      </c>
    </row>
    <row r="2612" spans="1:3" x14ac:dyDescent="0.2">
      <c r="A2612" s="10" t="str">
        <f>IF(2604&gt;$C$9008,"",INDEX($B$9:$B$9008,MATCH(2604,$C$9:$C$9008,0)))</f>
        <v/>
      </c>
      <c r="B2612" s="9" t="str">
        <f>IFERROR(INDEX(Input!$L$20:$T$1019,INT((ROW()-9)/9)+1,MOD(ROW()-9,9)+1),"")</f>
        <v/>
      </c>
      <c r="C2612" s="9">
        <f t="shared" si="40"/>
        <v>0</v>
      </c>
    </row>
    <row r="2613" spans="1:3" x14ac:dyDescent="0.2">
      <c r="A2613" s="10" t="str">
        <f>IF(2605&gt;$C$9008,"",INDEX($B$9:$B$9008,MATCH(2605,$C$9:$C$9008,0)))</f>
        <v/>
      </c>
      <c r="B2613" s="9" t="str">
        <f>IFERROR(INDEX(Input!$L$20:$T$1019,INT((ROW()-9)/9)+1,MOD(ROW()-9,9)+1),"")</f>
        <v/>
      </c>
      <c r="C2613" s="9">
        <f t="shared" si="40"/>
        <v>0</v>
      </c>
    </row>
    <row r="2614" spans="1:3" x14ac:dyDescent="0.2">
      <c r="A2614" s="10" t="str">
        <f>IF(2606&gt;$C$9008,"",INDEX($B$9:$B$9008,MATCH(2606,$C$9:$C$9008,0)))</f>
        <v/>
      </c>
      <c r="B2614" s="9" t="str">
        <f>IFERROR(INDEX(Input!$L$20:$T$1019,INT((ROW()-9)/9)+1,MOD(ROW()-9,9)+1),"")</f>
        <v/>
      </c>
      <c r="C2614" s="9">
        <f t="shared" si="40"/>
        <v>0</v>
      </c>
    </row>
    <row r="2615" spans="1:3" x14ac:dyDescent="0.2">
      <c r="A2615" s="10" t="str">
        <f>IF(2607&gt;$C$9008,"",INDEX($B$9:$B$9008,MATCH(2607,$C$9:$C$9008,0)))</f>
        <v/>
      </c>
      <c r="B2615" s="9" t="str">
        <f>IFERROR(INDEX(Input!$L$20:$T$1019,INT((ROW()-9)/9)+1,MOD(ROW()-9,9)+1),"")</f>
        <v/>
      </c>
      <c r="C2615" s="9">
        <f t="shared" si="40"/>
        <v>0</v>
      </c>
    </row>
    <row r="2616" spans="1:3" x14ac:dyDescent="0.2">
      <c r="A2616" s="10" t="str">
        <f>IF(2608&gt;$C$9008,"",INDEX($B$9:$B$9008,MATCH(2608,$C$9:$C$9008,0)))</f>
        <v/>
      </c>
      <c r="B2616" s="9" t="str">
        <f>IFERROR(INDEX(Input!$L$20:$T$1019,INT((ROW()-9)/9)+1,MOD(ROW()-9,9)+1),"")</f>
        <v/>
      </c>
      <c r="C2616" s="9">
        <f t="shared" si="40"/>
        <v>0</v>
      </c>
    </row>
    <row r="2617" spans="1:3" x14ac:dyDescent="0.2">
      <c r="A2617" s="10" t="str">
        <f>IF(2609&gt;$C$9008,"",INDEX($B$9:$B$9008,MATCH(2609,$C$9:$C$9008,0)))</f>
        <v/>
      </c>
      <c r="B2617" s="9" t="str">
        <f>IFERROR(INDEX(Input!$L$20:$T$1019,INT((ROW()-9)/9)+1,MOD(ROW()-9,9)+1),"")</f>
        <v/>
      </c>
      <c r="C2617" s="9">
        <f t="shared" si="40"/>
        <v>0</v>
      </c>
    </row>
    <row r="2618" spans="1:3" x14ac:dyDescent="0.2">
      <c r="A2618" s="10" t="str">
        <f>IF(2610&gt;$C$9008,"",INDEX($B$9:$B$9008,MATCH(2610,$C$9:$C$9008,0)))</f>
        <v/>
      </c>
      <c r="B2618" s="9" t="str">
        <f>IFERROR(INDEX(Input!$L$20:$T$1019,INT((ROW()-9)/9)+1,MOD(ROW()-9,9)+1),"")</f>
        <v/>
      </c>
      <c r="C2618" s="9">
        <f t="shared" si="40"/>
        <v>0</v>
      </c>
    </row>
    <row r="2619" spans="1:3" x14ac:dyDescent="0.2">
      <c r="A2619" s="10" t="str">
        <f>IF(2611&gt;$C$9008,"",INDEX($B$9:$B$9008,MATCH(2611,$C$9:$C$9008,0)))</f>
        <v/>
      </c>
      <c r="B2619" s="9" t="str">
        <f>IFERROR(INDEX(Input!$L$20:$T$1019,INT((ROW()-9)/9)+1,MOD(ROW()-9,9)+1),"")</f>
        <v/>
      </c>
      <c r="C2619" s="9">
        <f t="shared" si="40"/>
        <v>0</v>
      </c>
    </row>
    <row r="2620" spans="1:3" x14ac:dyDescent="0.2">
      <c r="A2620" s="10" t="str">
        <f>IF(2612&gt;$C$9008,"",INDEX($B$9:$B$9008,MATCH(2612,$C$9:$C$9008,0)))</f>
        <v/>
      </c>
      <c r="B2620" s="9" t="str">
        <f>IFERROR(INDEX(Input!$L$20:$T$1019,INT((ROW()-9)/9)+1,MOD(ROW()-9,9)+1),"")</f>
        <v/>
      </c>
      <c r="C2620" s="9">
        <f t="shared" si="40"/>
        <v>0</v>
      </c>
    </row>
    <row r="2621" spans="1:3" x14ac:dyDescent="0.2">
      <c r="A2621" s="10" t="str">
        <f>IF(2613&gt;$C$9008,"",INDEX($B$9:$B$9008,MATCH(2613,$C$9:$C$9008,0)))</f>
        <v/>
      </c>
      <c r="B2621" s="9" t="str">
        <f>IFERROR(INDEX(Input!$L$20:$T$1019,INT((ROW()-9)/9)+1,MOD(ROW()-9,9)+1),"")</f>
        <v/>
      </c>
      <c r="C2621" s="9">
        <f t="shared" si="40"/>
        <v>0</v>
      </c>
    </row>
    <row r="2622" spans="1:3" x14ac:dyDescent="0.2">
      <c r="A2622" s="10" t="str">
        <f>IF(2614&gt;$C$9008,"",INDEX($B$9:$B$9008,MATCH(2614,$C$9:$C$9008,0)))</f>
        <v/>
      </c>
      <c r="B2622" s="9" t="str">
        <f>IFERROR(INDEX(Input!$L$20:$T$1019,INT((ROW()-9)/9)+1,MOD(ROW()-9,9)+1),"")</f>
        <v/>
      </c>
      <c r="C2622" s="9">
        <f t="shared" si="40"/>
        <v>0</v>
      </c>
    </row>
    <row r="2623" spans="1:3" x14ac:dyDescent="0.2">
      <c r="A2623" s="10" t="str">
        <f>IF(2615&gt;$C$9008,"",INDEX($B$9:$B$9008,MATCH(2615,$C$9:$C$9008,0)))</f>
        <v/>
      </c>
      <c r="B2623" s="9" t="str">
        <f>IFERROR(INDEX(Input!$L$20:$T$1019,INT((ROW()-9)/9)+1,MOD(ROW()-9,9)+1),"")</f>
        <v/>
      </c>
      <c r="C2623" s="9">
        <f t="shared" si="40"/>
        <v>0</v>
      </c>
    </row>
    <row r="2624" spans="1:3" x14ac:dyDescent="0.2">
      <c r="A2624" s="10" t="str">
        <f>IF(2616&gt;$C$9008,"",INDEX($B$9:$B$9008,MATCH(2616,$C$9:$C$9008,0)))</f>
        <v/>
      </c>
      <c r="B2624" s="9" t="str">
        <f>IFERROR(INDEX(Input!$L$20:$T$1019,INT((ROW()-9)/9)+1,MOD(ROW()-9,9)+1),"")</f>
        <v/>
      </c>
      <c r="C2624" s="9">
        <f t="shared" si="40"/>
        <v>0</v>
      </c>
    </row>
    <row r="2625" spans="1:3" x14ac:dyDescent="0.2">
      <c r="A2625" s="10" t="str">
        <f>IF(2617&gt;$C$9008,"",INDEX($B$9:$B$9008,MATCH(2617,$C$9:$C$9008,0)))</f>
        <v/>
      </c>
      <c r="B2625" s="9" t="str">
        <f>IFERROR(INDEX(Input!$L$20:$T$1019,INT((ROW()-9)/9)+1,MOD(ROW()-9,9)+1),"")</f>
        <v/>
      </c>
      <c r="C2625" s="9">
        <f t="shared" si="40"/>
        <v>0</v>
      </c>
    </row>
    <row r="2626" spans="1:3" x14ac:dyDescent="0.2">
      <c r="A2626" s="10" t="str">
        <f>IF(2618&gt;$C$9008,"",INDEX($B$9:$B$9008,MATCH(2618,$C$9:$C$9008,0)))</f>
        <v/>
      </c>
      <c r="B2626" s="9" t="str">
        <f>IFERROR(INDEX(Input!$L$20:$T$1019,INT((ROW()-9)/9)+1,MOD(ROW()-9,9)+1),"")</f>
        <v/>
      </c>
      <c r="C2626" s="9">
        <f t="shared" si="40"/>
        <v>0</v>
      </c>
    </row>
    <row r="2627" spans="1:3" x14ac:dyDescent="0.2">
      <c r="A2627" s="10" t="str">
        <f>IF(2619&gt;$C$9008,"",INDEX($B$9:$B$9008,MATCH(2619,$C$9:$C$9008,0)))</f>
        <v/>
      </c>
      <c r="B2627" s="9" t="str">
        <f>IFERROR(INDEX(Input!$L$20:$T$1019,INT((ROW()-9)/9)+1,MOD(ROW()-9,9)+1),"")</f>
        <v/>
      </c>
      <c r="C2627" s="9">
        <f t="shared" si="40"/>
        <v>0</v>
      </c>
    </row>
    <row r="2628" spans="1:3" x14ac:dyDescent="0.2">
      <c r="A2628" s="10" t="str">
        <f>IF(2620&gt;$C$9008,"",INDEX($B$9:$B$9008,MATCH(2620,$C$9:$C$9008,0)))</f>
        <v/>
      </c>
      <c r="B2628" s="9" t="str">
        <f>IFERROR(INDEX(Input!$L$20:$T$1019,INT((ROW()-9)/9)+1,MOD(ROW()-9,9)+1),"")</f>
        <v/>
      </c>
      <c r="C2628" s="9">
        <f t="shared" si="40"/>
        <v>0</v>
      </c>
    </row>
    <row r="2629" spans="1:3" x14ac:dyDescent="0.2">
      <c r="A2629" s="10" t="str">
        <f>IF(2621&gt;$C$9008,"",INDEX($B$9:$B$9008,MATCH(2621,$C$9:$C$9008,0)))</f>
        <v/>
      </c>
      <c r="B2629" s="9" t="str">
        <f>IFERROR(INDEX(Input!$L$20:$T$1019,INT((ROW()-9)/9)+1,MOD(ROW()-9,9)+1),"")</f>
        <v/>
      </c>
      <c r="C2629" s="9">
        <f t="shared" si="40"/>
        <v>0</v>
      </c>
    </row>
    <row r="2630" spans="1:3" x14ac:dyDescent="0.2">
      <c r="A2630" s="10" t="str">
        <f>IF(2622&gt;$C$9008,"",INDEX($B$9:$B$9008,MATCH(2622,$C$9:$C$9008,0)))</f>
        <v/>
      </c>
      <c r="B2630" s="9" t="str">
        <f>IFERROR(INDEX(Input!$L$20:$T$1019,INT((ROW()-9)/9)+1,MOD(ROW()-9,9)+1),"")</f>
        <v/>
      </c>
      <c r="C2630" s="9">
        <f t="shared" si="40"/>
        <v>0</v>
      </c>
    </row>
    <row r="2631" spans="1:3" x14ac:dyDescent="0.2">
      <c r="A2631" s="10" t="str">
        <f>IF(2623&gt;$C$9008,"",INDEX($B$9:$B$9008,MATCH(2623,$C$9:$C$9008,0)))</f>
        <v/>
      </c>
      <c r="B2631" s="9" t="str">
        <f>IFERROR(INDEX(Input!$L$20:$T$1019,INT((ROW()-9)/9)+1,MOD(ROW()-9,9)+1),"")</f>
        <v/>
      </c>
      <c r="C2631" s="9">
        <f t="shared" si="40"/>
        <v>0</v>
      </c>
    </row>
    <row r="2632" spans="1:3" x14ac:dyDescent="0.2">
      <c r="A2632" s="10" t="str">
        <f>IF(2624&gt;$C$9008,"",INDEX($B$9:$B$9008,MATCH(2624,$C$9:$C$9008,0)))</f>
        <v/>
      </c>
      <c r="B2632" s="9" t="str">
        <f>IFERROR(INDEX(Input!$L$20:$T$1019,INT((ROW()-9)/9)+1,MOD(ROW()-9,9)+1),"")</f>
        <v/>
      </c>
      <c r="C2632" s="9">
        <f t="shared" si="40"/>
        <v>0</v>
      </c>
    </row>
    <row r="2633" spans="1:3" x14ac:dyDescent="0.2">
      <c r="A2633" s="10" t="str">
        <f>IF(2625&gt;$C$9008,"",INDEX($B$9:$B$9008,MATCH(2625,$C$9:$C$9008,0)))</f>
        <v/>
      </c>
      <c r="B2633" s="9" t="str">
        <f>IFERROR(INDEX(Input!$L$20:$T$1019,INT((ROW()-9)/9)+1,MOD(ROW()-9,9)+1),"")</f>
        <v/>
      </c>
      <c r="C2633" s="9">
        <f t="shared" ref="C2633:C2696" si="41">$C2632+IF($B2633&lt;&gt;"",1,0)</f>
        <v>0</v>
      </c>
    </row>
    <row r="2634" spans="1:3" x14ac:dyDescent="0.2">
      <c r="A2634" s="10" t="str">
        <f>IF(2626&gt;$C$9008,"",INDEX($B$9:$B$9008,MATCH(2626,$C$9:$C$9008,0)))</f>
        <v/>
      </c>
      <c r="B2634" s="9" t="str">
        <f>IFERROR(INDEX(Input!$L$20:$T$1019,INT((ROW()-9)/9)+1,MOD(ROW()-9,9)+1),"")</f>
        <v/>
      </c>
      <c r="C2634" s="9">
        <f t="shared" si="41"/>
        <v>0</v>
      </c>
    </row>
    <row r="2635" spans="1:3" x14ac:dyDescent="0.2">
      <c r="A2635" s="10" t="str">
        <f>IF(2627&gt;$C$9008,"",INDEX($B$9:$B$9008,MATCH(2627,$C$9:$C$9008,0)))</f>
        <v/>
      </c>
      <c r="B2635" s="9" t="str">
        <f>IFERROR(INDEX(Input!$L$20:$T$1019,INT((ROW()-9)/9)+1,MOD(ROW()-9,9)+1),"")</f>
        <v/>
      </c>
      <c r="C2635" s="9">
        <f t="shared" si="41"/>
        <v>0</v>
      </c>
    </row>
    <row r="2636" spans="1:3" x14ac:dyDescent="0.2">
      <c r="A2636" s="10" t="str">
        <f>IF(2628&gt;$C$9008,"",INDEX($B$9:$B$9008,MATCH(2628,$C$9:$C$9008,0)))</f>
        <v/>
      </c>
      <c r="B2636" s="9" t="str">
        <f>IFERROR(INDEX(Input!$L$20:$T$1019,INT((ROW()-9)/9)+1,MOD(ROW()-9,9)+1),"")</f>
        <v/>
      </c>
      <c r="C2636" s="9">
        <f t="shared" si="41"/>
        <v>0</v>
      </c>
    </row>
    <row r="2637" spans="1:3" x14ac:dyDescent="0.2">
      <c r="A2637" s="10" t="str">
        <f>IF(2629&gt;$C$9008,"",INDEX($B$9:$B$9008,MATCH(2629,$C$9:$C$9008,0)))</f>
        <v/>
      </c>
      <c r="B2637" s="9" t="str">
        <f>IFERROR(INDEX(Input!$L$20:$T$1019,INT((ROW()-9)/9)+1,MOD(ROW()-9,9)+1),"")</f>
        <v/>
      </c>
      <c r="C2637" s="9">
        <f t="shared" si="41"/>
        <v>0</v>
      </c>
    </row>
    <row r="2638" spans="1:3" x14ac:dyDescent="0.2">
      <c r="A2638" s="10" t="str">
        <f>IF(2630&gt;$C$9008,"",INDEX($B$9:$B$9008,MATCH(2630,$C$9:$C$9008,0)))</f>
        <v/>
      </c>
      <c r="B2638" s="9" t="str">
        <f>IFERROR(INDEX(Input!$L$20:$T$1019,INT((ROW()-9)/9)+1,MOD(ROW()-9,9)+1),"")</f>
        <v/>
      </c>
      <c r="C2638" s="9">
        <f t="shared" si="41"/>
        <v>0</v>
      </c>
    </row>
    <row r="2639" spans="1:3" x14ac:dyDescent="0.2">
      <c r="A2639" s="10" t="str">
        <f>IF(2631&gt;$C$9008,"",INDEX($B$9:$B$9008,MATCH(2631,$C$9:$C$9008,0)))</f>
        <v/>
      </c>
      <c r="B2639" s="9" t="str">
        <f>IFERROR(INDEX(Input!$L$20:$T$1019,INT((ROW()-9)/9)+1,MOD(ROW()-9,9)+1),"")</f>
        <v/>
      </c>
      <c r="C2639" s="9">
        <f t="shared" si="41"/>
        <v>0</v>
      </c>
    </row>
    <row r="2640" spans="1:3" x14ac:dyDescent="0.2">
      <c r="A2640" s="10" t="str">
        <f>IF(2632&gt;$C$9008,"",INDEX($B$9:$B$9008,MATCH(2632,$C$9:$C$9008,0)))</f>
        <v/>
      </c>
      <c r="B2640" s="9" t="str">
        <f>IFERROR(INDEX(Input!$L$20:$T$1019,INT((ROW()-9)/9)+1,MOD(ROW()-9,9)+1),"")</f>
        <v/>
      </c>
      <c r="C2640" s="9">
        <f t="shared" si="41"/>
        <v>0</v>
      </c>
    </row>
    <row r="2641" spans="1:3" x14ac:dyDescent="0.2">
      <c r="A2641" s="10" t="str">
        <f>IF(2633&gt;$C$9008,"",INDEX($B$9:$B$9008,MATCH(2633,$C$9:$C$9008,0)))</f>
        <v/>
      </c>
      <c r="B2641" s="9" t="str">
        <f>IFERROR(INDEX(Input!$L$20:$T$1019,INT((ROW()-9)/9)+1,MOD(ROW()-9,9)+1),"")</f>
        <v/>
      </c>
      <c r="C2641" s="9">
        <f t="shared" si="41"/>
        <v>0</v>
      </c>
    </row>
    <row r="2642" spans="1:3" x14ac:dyDescent="0.2">
      <c r="A2642" s="10" t="str">
        <f>IF(2634&gt;$C$9008,"",INDEX($B$9:$B$9008,MATCH(2634,$C$9:$C$9008,0)))</f>
        <v/>
      </c>
      <c r="B2642" s="9" t="str">
        <f>IFERROR(INDEX(Input!$L$20:$T$1019,INT((ROW()-9)/9)+1,MOD(ROW()-9,9)+1),"")</f>
        <v/>
      </c>
      <c r="C2642" s="9">
        <f t="shared" si="41"/>
        <v>0</v>
      </c>
    </row>
    <row r="2643" spans="1:3" x14ac:dyDescent="0.2">
      <c r="A2643" s="10" t="str">
        <f>IF(2635&gt;$C$9008,"",INDEX($B$9:$B$9008,MATCH(2635,$C$9:$C$9008,0)))</f>
        <v/>
      </c>
      <c r="B2643" s="9" t="str">
        <f>IFERROR(INDEX(Input!$L$20:$T$1019,INT((ROW()-9)/9)+1,MOD(ROW()-9,9)+1),"")</f>
        <v/>
      </c>
      <c r="C2643" s="9">
        <f t="shared" si="41"/>
        <v>0</v>
      </c>
    </row>
    <row r="2644" spans="1:3" x14ac:dyDescent="0.2">
      <c r="A2644" s="10" t="str">
        <f>IF(2636&gt;$C$9008,"",INDEX($B$9:$B$9008,MATCH(2636,$C$9:$C$9008,0)))</f>
        <v/>
      </c>
      <c r="B2644" s="9" t="str">
        <f>IFERROR(INDEX(Input!$L$20:$T$1019,INT((ROW()-9)/9)+1,MOD(ROW()-9,9)+1),"")</f>
        <v/>
      </c>
      <c r="C2644" s="9">
        <f t="shared" si="41"/>
        <v>0</v>
      </c>
    </row>
    <row r="2645" spans="1:3" x14ac:dyDescent="0.2">
      <c r="A2645" s="10" t="str">
        <f>IF(2637&gt;$C$9008,"",INDEX($B$9:$B$9008,MATCH(2637,$C$9:$C$9008,0)))</f>
        <v/>
      </c>
      <c r="B2645" s="9" t="str">
        <f>IFERROR(INDEX(Input!$L$20:$T$1019,INT((ROW()-9)/9)+1,MOD(ROW()-9,9)+1),"")</f>
        <v/>
      </c>
      <c r="C2645" s="9">
        <f t="shared" si="41"/>
        <v>0</v>
      </c>
    </row>
    <row r="2646" spans="1:3" x14ac:dyDescent="0.2">
      <c r="A2646" s="10" t="str">
        <f>IF(2638&gt;$C$9008,"",INDEX($B$9:$B$9008,MATCH(2638,$C$9:$C$9008,0)))</f>
        <v/>
      </c>
      <c r="B2646" s="9" t="str">
        <f>IFERROR(INDEX(Input!$L$20:$T$1019,INT((ROW()-9)/9)+1,MOD(ROW()-9,9)+1),"")</f>
        <v/>
      </c>
      <c r="C2646" s="9">
        <f t="shared" si="41"/>
        <v>0</v>
      </c>
    </row>
    <row r="2647" spans="1:3" x14ac:dyDescent="0.2">
      <c r="A2647" s="10" t="str">
        <f>IF(2639&gt;$C$9008,"",INDEX($B$9:$B$9008,MATCH(2639,$C$9:$C$9008,0)))</f>
        <v/>
      </c>
      <c r="B2647" s="9" t="str">
        <f>IFERROR(INDEX(Input!$L$20:$T$1019,INT((ROW()-9)/9)+1,MOD(ROW()-9,9)+1),"")</f>
        <v/>
      </c>
      <c r="C2647" s="9">
        <f t="shared" si="41"/>
        <v>0</v>
      </c>
    </row>
    <row r="2648" spans="1:3" x14ac:dyDescent="0.2">
      <c r="A2648" s="10" t="str">
        <f>IF(2640&gt;$C$9008,"",INDEX($B$9:$B$9008,MATCH(2640,$C$9:$C$9008,0)))</f>
        <v/>
      </c>
      <c r="B2648" s="9" t="str">
        <f>IFERROR(INDEX(Input!$L$20:$T$1019,INT((ROW()-9)/9)+1,MOD(ROW()-9,9)+1),"")</f>
        <v/>
      </c>
      <c r="C2648" s="9">
        <f t="shared" si="41"/>
        <v>0</v>
      </c>
    </row>
    <row r="2649" spans="1:3" x14ac:dyDescent="0.2">
      <c r="A2649" s="10" t="str">
        <f>IF(2641&gt;$C$9008,"",INDEX($B$9:$B$9008,MATCH(2641,$C$9:$C$9008,0)))</f>
        <v/>
      </c>
      <c r="B2649" s="9" t="str">
        <f>IFERROR(INDEX(Input!$L$20:$T$1019,INT((ROW()-9)/9)+1,MOD(ROW()-9,9)+1),"")</f>
        <v/>
      </c>
      <c r="C2649" s="9">
        <f t="shared" si="41"/>
        <v>0</v>
      </c>
    </row>
    <row r="2650" spans="1:3" x14ac:dyDescent="0.2">
      <c r="A2650" s="10" t="str">
        <f>IF(2642&gt;$C$9008,"",INDEX($B$9:$B$9008,MATCH(2642,$C$9:$C$9008,0)))</f>
        <v/>
      </c>
      <c r="B2650" s="9" t="str">
        <f>IFERROR(INDEX(Input!$L$20:$T$1019,INT((ROW()-9)/9)+1,MOD(ROW()-9,9)+1),"")</f>
        <v/>
      </c>
      <c r="C2650" s="9">
        <f t="shared" si="41"/>
        <v>0</v>
      </c>
    </row>
    <row r="2651" spans="1:3" x14ac:dyDescent="0.2">
      <c r="A2651" s="10" t="str">
        <f>IF(2643&gt;$C$9008,"",INDEX($B$9:$B$9008,MATCH(2643,$C$9:$C$9008,0)))</f>
        <v/>
      </c>
      <c r="B2651" s="9" t="str">
        <f>IFERROR(INDEX(Input!$L$20:$T$1019,INT((ROW()-9)/9)+1,MOD(ROW()-9,9)+1),"")</f>
        <v/>
      </c>
      <c r="C2651" s="9">
        <f t="shared" si="41"/>
        <v>0</v>
      </c>
    </row>
    <row r="2652" spans="1:3" x14ac:dyDescent="0.2">
      <c r="A2652" s="10" t="str">
        <f>IF(2644&gt;$C$9008,"",INDEX($B$9:$B$9008,MATCH(2644,$C$9:$C$9008,0)))</f>
        <v/>
      </c>
      <c r="B2652" s="9" t="str">
        <f>IFERROR(INDEX(Input!$L$20:$T$1019,INT((ROW()-9)/9)+1,MOD(ROW()-9,9)+1),"")</f>
        <v/>
      </c>
      <c r="C2652" s="9">
        <f t="shared" si="41"/>
        <v>0</v>
      </c>
    </row>
    <row r="2653" spans="1:3" x14ac:dyDescent="0.2">
      <c r="A2653" s="10" t="str">
        <f>IF(2645&gt;$C$9008,"",INDEX($B$9:$B$9008,MATCH(2645,$C$9:$C$9008,0)))</f>
        <v/>
      </c>
      <c r="B2653" s="9" t="str">
        <f>IFERROR(INDEX(Input!$L$20:$T$1019,INT((ROW()-9)/9)+1,MOD(ROW()-9,9)+1),"")</f>
        <v/>
      </c>
      <c r="C2653" s="9">
        <f t="shared" si="41"/>
        <v>0</v>
      </c>
    </row>
    <row r="2654" spans="1:3" x14ac:dyDescent="0.2">
      <c r="A2654" s="10" t="str">
        <f>IF(2646&gt;$C$9008,"",INDEX($B$9:$B$9008,MATCH(2646,$C$9:$C$9008,0)))</f>
        <v/>
      </c>
      <c r="B2654" s="9" t="str">
        <f>IFERROR(INDEX(Input!$L$20:$T$1019,INT((ROW()-9)/9)+1,MOD(ROW()-9,9)+1),"")</f>
        <v/>
      </c>
      <c r="C2654" s="9">
        <f t="shared" si="41"/>
        <v>0</v>
      </c>
    </row>
    <row r="2655" spans="1:3" x14ac:dyDescent="0.2">
      <c r="A2655" s="10" t="str">
        <f>IF(2647&gt;$C$9008,"",INDEX($B$9:$B$9008,MATCH(2647,$C$9:$C$9008,0)))</f>
        <v/>
      </c>
      <c r="B2655" s="9" t="str">
        <f>IFERROR(INDEX(Input!$L$20:$T$1019,INT((ROW()-9)/9)+1,MOD(ROW()-9,9)+1),"")</f>
        <v/>
      </c>
      <c r="C2655" s="9">
        <f t="shared" si="41"/>
        <v>0</v>
      </c>
    </row>
    <row r="2656" spans="1:3" x14ac:dyDescent="0.2">
      <c r="A2656" s="10" t="str">
        <f>IF(2648&gt;$C$9008,"",INDEX($B$9:$B$9008,MATCH(2648,$C$9:$C$9008,0)))</f>
        <v/>
      </c>
      <c r="B2656" s="9" t="str">
        <f>IFERROR(INDEX(Input!$L$20:$T$1019,INT((ROW()-9)/9)+1,MOD(ROW()-9,9)+1),"")</f>
        <v/>
      </c>
      <c r="C2656" s="9">
        <f t="shared" si="41"/>
        <v>0</v>
      </c>
    </row>
    <row r="2657" spans="1:3" x14ac:dyDescent="0.2">
      <c r="A2657" s="10" t="str">
        <f>IF(2649&gt;$C$9008,"",INDEX($B$9:$B$9008,MATCH(2649,$C$9:$C$9008,0)))</f>
        <v/>
      </c>
      <c r="B2657" s="9" t="str">
        <f>IFERROR(INDEX(Input!$L$20:$T$1019,INT((ROW()-9)/9)+1,MOD(ROW()-9,9)+1),"")</f>
        <v/>
      </c>
      <c r="C2657" s="9">
        <f t="shared" si="41"/>
        <v>0</v>
      </c>
    </row>
    <row r="2658" spans="1:3" x14ac:dyDescent="0.2">
      <c r="A2658" s="10" t="str">
        <f>IF(2650&gt;$C$9008,"",INDEX($B$9:$B$9008,MATCH(2650,$C$9:$C$9008,0)))</f>
        <v/>
      </c>
      <c r="B2658" s="9" t="str">
        <f>IFERROR(INDEX(Input!$L$20:$T$1019,INT((ROW()-9)/9)+1,MOD(ROW()-9,9)+1),"")</f>
        <v/>
      </c>
      <c r="C2658" s="9">
        <f t="shared" si="41"/>
        <v>0</v>
      </c>
    </row>
    <row r="2659" spans="1:3" x14ac:dyDescent="0.2">
      <c r="A2659" s="10" t="str">
        <f>IF(2651&gt;$C$9008,"",INDEX($B$9:$B$9008,MATCH(2651,$C$9:$C$9008,0)))</f>
        <v/>
      </c>
      <c r="B2659" s="9" t="str">
        <f>IFERROR(INDEX(Input!$L$20:$T$1019,INT((ROW()-9)/9)+1,MOD(ROW()-9,9)+1),"")</f>
        <v/>
      </c>
      <c r="C2659" s="9">
        <f t="shared" si="41"/>
        <v>0</v>
      </c>
    </row>
    <row r="2660" spans="1:3" x14ac:dyDescent="0.2">
      <c r="A2660" s="10" t="str">
        <f>IF(2652&gt;$C$9008,"",INDEX($B$9:$B$9008,MATCH(2652,$C$9:$C$9008,0)))</f>
        <v/>
      </c>
      <c r="B2660" s="9" t="str">
        <f>IFERROR(INDEX(Input!$L$20:$T$1019,INT((ROW()-9)/9)+1,MOD(ROW()-9,9)+1),"")</f>
        <v/>
      </c>
      <c r="C2660" s="9">
        <f t="shared" si="41"/>
        <v>0</v>
      </c>
    </row>
    <row r="2661" spans="1:3" x14ac:dyDescent="0.2">
      <c r="A2661" s="10" t="str">
        <f>IF(2653&gt;$C$9008,"",INDEX($B$9:$B$9008,MATCH(2653,$C$9:$C$9008,0)))</f>
        <v/>
      </c>
      <c r="B2661" s="9" t="str">
        <f>IFERROR(INDEX(Input!$L$20:$T$1019,INT((ROW()-9)/9)+1,MOD(ROW()-9,9)+1),"")</f>
        <v/>
      </c>
      <c r="C2661" s="9">
        <f t="shared" si="41"/>
        <v>0</v>
      </c>
    </row>
    <row r="2662" spans="1:3" x14ac:dyDescent="0.2">
      <c r="A2662" s="10" t="str">
        <f>IF(2654&gt;$C$9008,"",INDEX($B$9:$B$9008,MATCH(2654,$C$9:$C$9008,0)))</f>
        <v/>
      </c>
      <c r="B2662" s="9" t="str">
        <f>IFERROR(INDEX(Input!$L$20:$T$1019,INT((ROW()-9)/9)+1,MOD(ROW()-9,9)+1),"")</f>
        <v/>
      </c>
      <c r="C2662" s="9">
        <f t="shared" si="41"/>
        <v>0</v>
      </c>
    </row>
    <row r="2663" spans="1:3" x14ac:dyDescent="0.2">
      <c r="A2663" s="10" t="str">
        <f>IF(2655&gt;$C$9008,"",INDEX($B$9:$B$9008,MATCH(2655,$C$9:$C$9008,0)))</f>
        <v/>
      </c>
      <c r="B2663" s="9" t="str">
        <f>IFERROR(INDEX(Input!$L$20:$T$1019,INT((ROW()-9)/9)+1,MOD(ROW()-9,9)+1),"")</f>
        <v/>
      </c>
      <c r="C2663" s="9">
        <f t="shared" si="41"/>
        <v>0</v>
      </c>
    </row>
    <row r="2664" spans="1:3" x14ac:dyDescent="0.2">
      <c r="A2664" s="10" t="str">
        <f>IF(2656&gt;$C$9008,"",INDEX($B$9:$B$9008,MATCH(2656,$C$9:$C$9008,0)))</f>
        <v/>
      </c>
      <c r="B2664" s="9" t="str">
        <f>IFERROR(INDEX(Input!$L$20:$T$1019,INT((ROW()-9)/9)+1,MOD(ROW()-9,9)+1),"")</f>
        <v/>
      </c>
      <c r="C2664" s="9">
        <f t="shared" si="41"/>
        <v>0</v>
      </c>
    </row>
    <row r="2665" spans="1:3" x14ac:dyDescent="0.2">
      <c r="A2665" s="10" t="str">
        <f>IF(2657&gt;$C$9008,"",INDEX($B$9:$B$9008,MATCH(2657,$C$9:$C$9008,0)))</f>
        <v/>
      </c>
      <c r="B2665" s="9" t="str">
        <f>IFERROR(INDEX(Input!$L$20:$T$1019,INT((ROW()-9)/9)+1,MOD(ROW()-9,9)+1),"")</f>
        <v/>
      </c>
      <c r="C2665" s="9">
        <f t="shared" si="41"/>
        <v>0</v>
      </c>
    </row>
    <row r="2666" spans="1:3" x14ac:dyDescent="0.2">
      <c r="A2666" s="10" t="str">
        <f>IF(2658&gt;$C$9008,"",INDEX($B$9:$B$9008,MATCH(2658,$C$9:$C$9008,0)))</f>
        <v/>
      </c>
      <c r="B2666" s="9" t="str">
        <f>IFERROR(INDEX(Input!$L$20:$T$1019,INT((ROW()-9)/9)+1,MOD(ROW()-9,9)+1),"")</f>
        <v/>
      </c>
      <c r="C2666" s="9">
        <f t="shared" si="41"/>
        <v>0</v>
      </c>
    </row>
    <row r="2667" spans="1:3" x14ac:dyDescent="0.2">
      <c r="A2667" s="10" t="str">
        <f>IF(2659&gt;$C$9008,"",INDEX($B$9:$B$9008,MATCH(2659,$C$9:$C$9008,0)))</f>
        <v/>
      </c>
      <c r="B2667" s="9" t="str">
        <f>IFERROR(INDEX(Input!$L$20:$T$1019,INT((ROW()-9)/9)+1,MOD(ROW()-9,9)+1),"")</f>
        <v/>
      </c>
      <c r="C2667" s="9">
        <f t="shared" si="41"/>
        <v>0</v>
      </c>
    </row>
    <row r="2668" spans="1:3" x14ac:dyDescent="0.2">
      <c r="A2668" s="10" t="str">
        <f>IF(2660&gt;$C$9008,"",INDEX($B$9:$B$9008,MATCH(2660,$C$9:$C$9008,0)))</f>
        <v/>
      </c>
      <c r="B2668" s="9" t="str">
        <f>IFERROR(INDEX(Input!$L$20:$T$1019,INT((ROW()-9)/9)+1,MOD(ROW()-9,9)+1),"")</f>
        <v/>
      </c>
      <c r="C2668" s="9">
        <f t="shared" si="41"/>
        <v>0</v>
      </c>
    </row>
    <row r="2669" spans="1:3" x14ac:dyDescent="0.2">
      <c r="A2669" s="10" t="str">
        <f>IF(2661&gt;$C$9008,"",INDEX($B$9:$B$9008,MATCH(2661,$C$9:$C$9008,0)))</f>
        <v/>
      </c>
      <c r="B2669" s="9" t="str">
        <f>IFERROR(INDEX(Input!$L$20:$T$1019,INT((ROW()-9)/9)+1,MOD(ROW()-9,9)+1),"")</f>
        <v/>
      </c>
      <c r="C2669" s="9">
        <f t="shared" si="41"/>
        <v>0</v>
      </c>
    </row>
    <row r="2670" spans="1:3" x14ac:dyDescent="0.2">
      <c r="A2670" s="10" t="str">
        <f>IF(2662&gt;$C$9008,"",INDEX($B$9:$B$9008,MATCH(2662,$C$9:$C$9008,0)))</f>
        <v/>
      </c>
      <c r="B2670" s="9" t="str">
        <f>IFERROR(INDEX(Input!$L$20:$T$1019,INT((ROW()-9)/9)+1,MOD(ROW()-9,9)+1),"")</f>
        <v/>
      </c>
      <c r="C2670" s="9">
        <f t="shared" si="41"/>
        <v>0</v>
      </c>
    </row>
    <row r="2671" spans="1:3" x14ac:dyDescent="0.2">
      <c r="A2671" s="10" t="str">
        <f>IF(2663&gt;$C$9008,"",INDEX($B$9:$B$9008,MATCH(2663,$C$9:$C$9008,0)))</f>
        <v/>
      </c>
      <c r="B2671" s="9" t="str">
        <f>IFERROR(INDEX(Input!$L$20:$T$1019,INT((ROW()-9)/9)+1,MOD(ROW()-9,9)+1),"")</f>
        <v/>
      </c>
      <c r="C2671" s="9">
        <f t="shared" si="41"/>
        <v>0</v>
      </c>
    </row>
    <row r="2672" spans="1:3" x14ac:dyDescent="0.2">
      <c r="A2672" s="10" t="str">
        <f>IF(2664&gt;$C$9008,"",INDEX($B$9:$B$9008,MATCH(2664,$C$9:$C$9008,0)))</f>
        <v/>
      </c>
      <c r="B2672" s="9" t="str">
        <f>IFERROR(INDEX(Input!$L$20:$T$1019,INT((ROW()-9)/9)+1,MOD(ROW()-9,9)+1),"")</f>
        <v/>
      </c>
      <c r="C2672" s="9">
        <f t="shared" si="41"/>
        <v>0</v>
      </c>
    </row>
    <row r="2673" spans="1:3" x14ac:dyDescent="0.2">
      <c r="A2673" s="10" t="str">
        <f>IF(2665&gt;$C$9008,"",INDEX($B$9:$B$9008,MATCH(2665,$C$9:$C$9008,0)))</f>
        <v/>
      </c>
      <c r="B2673" s="9" t="str">
        <f>IFERROR(INDEX(Input!$L$20:$T$1019,INT((ROW()-9)/9)+1,MOD(ROW()-9,9)+1),"")</f>
        <v/>
      </c>
      <c r="C2673" s="9">
        <f t="shared" si="41"/>
        <v>0</v>
      </c>
    </row>
    <row r="2674" spans="1:3" x14ac:dyDescent="0.2">
      <c r="A2674" s="10" t="str">
        <f>IF(2666&gt;$C$9008,"",INDEX($B$9:$B$9008,MATCH(2666,$C$9:$C$9008,0)))</f>
        <v/>
      </c>
      <c r="B2674" s="9" t="str">
        <f>IFERROR(INDEX(Input!$L$20:$T$1019,INT((ROW()-9)/9)+1,MOD(ROW()-9,9)+1),"")</f>
        <v/>
      </c>
      <c r="C2674" s="9">
        <f t="shared" si="41"/>
        <v>0</v>
      </c>
    </row>
    <row r="2675" spans="1:3" x14ac:dyDescent="0.2">
      <c r="A2675" s="10" t="str">
        <f>IF(2667&gt;$C$9008,"",INDEX($B$9:$B$9008,MATCH(2667,$C$9:$C$9008,0)))</f>
        <v/>
      </c>
      <c r="B2675" s="9" t="str">
        <f>IFERROR(INDEX(Input!$L$20:$T$1019,INT((ROW()-9)/9)+1,MOD(ROW()-9,9)+1),"")</f>
        <v/>
      </c>
      <c r="C2675" s="9">
        <f t="shared" si="41"/>
        <v>0</v>
      </c>
    </row>
    <row r="2676" spans="1:3" x14ac:dyDescent="0.2">
      <c r="A2676" s="10" t="str">
        <f>IF(2668&gt;$C$9008,"",INDEX($B$9:$B$9008,MATCH(2668,$C$9:$C$9008,0)))</f>
        <v/>
      </c>
      <c r="B2676" s="9" t="str">
        <f>IFERROR(INDEX(Input!$L$20:$T$1019,INT((ROW()-9)/9)+1,MOD(ROW()-9,9)+1),"")</f>
        <v/>
      </c>
      <c r="C2676" s="9">
        <f t="shared" si="41"/>
        <v>0</v>
      </c>
    </row>
    <row r="2677" spans="1:3" x14ac:dyDescent="0.2">
      <c r="A2677" s="10" t="str">
        <f>IF(2669&gt;$C$9008,"",INDEX($B$9:$B$9008,MATCH(2669,$C$9:$C$9008,0)))</f>
        <v/>
      </c>
      <c r="B2677" s="9" t="str">
        <f>IFERROR(INDEX(Input!$L$20:$T$1019,INT((ROW()-9)/9)+1,MOD(ROW()-9,9)+1),"")</f>
        <v/>
      </c>
      <c r="C2677" s="9">
        <f t="shared" si="41"/>
        <v>0</v>
      </c>
    </row>
    <row r="2678" spans="1:3" x14ac:dyDescent="0.2">
      <c r="A2678" s="10" t="str">
        <f>IF(2670&gt;$C$9008,"",INDEX($B$9:$B$9008,MATCH(2670,$C$9:$C$9008,0)))</f>
        <v/>
      </c>
      <c r="B2678" s="9" t="str">
        <f>IFERROR(INDEX(Input!$L$20:$T$1019,INT((ROW()-9)/9)+1,MOD(ROW()-9,9)+1),"")</f>
        <v/>
      </c>
      <c r="C2678" s="9">
        <f t="shared" si="41"/>
        <v>0</v>
      </c>
    </row>
    <row r="2679" spans="1:3" x14ac:dyDescent="0.2">
      <c r="A2679" s="10" t="str">
        <f>IF(2671&gt;$C$9008,"",INDEX($B$9:$B$9008,MATCH(2671,$C$9:$C$9008,0)))</f>
        <v/>
      </c>
      <c r="B2679" s="9" t="str">
        <f>IFERROR(INDEX(Input!$L$20:$T$1019,INT((ROW()-9)/9)+1,MOD(ROW()-9,9)+1),"")</f>
        <v/>
      </c>
      <c r="C2679" s="9">
        <f t="shared" si="41"/>
        <v>0</v>
      </c>
    </row>
    <row r="2680" spans="1:3" x14ac:dyDescent="0.2">
      <c r="A2680" s="10" t="str">
        <f>IF(2672&gt;$C$9008,"",INDEX($B$9:$B$9008,MATCH(2672,$C$9:$C$9008,0)))</f>
        <v/>
      </c>
      <c r="B2680" s="9" t="str">
        <f>IFERROR(INDEX(Input!$L$20:$T$1019,INT((ROW()-9)/9)+1,MOD(ROW()-9,9)+1),"")</f>
        <v/>
      </c>
      <c r="C2680" s="9">
        <f t="shared" si="41"/>
        <v>0</v>
      </c>
    </row>
    <row r="2681" spans="1:3" x14ac:dyDescent="0.2">
      <c r="A2681" s="10" t="str">
        <f>IF(2673&gt;$C$9008,"",INDEX($B$9:$B$9008,MATCH(2673,$C$9:$C$9008,0)))</f>
        <v/>
      </c>
      <c r="B2681" s="9" t="str">
        <f>IFERROR(INDEX(Input!$L$20:$T$1019,INT((ROW()-9)/9)+1,MOD(ROW()-9,9)+1),"")</f>
        <v/>
      </c>
      <c r="C2681" s="9">
        <f t="shared" si="41"/>
        <v>0</v>
      </c>
    </row>
    <row r="2682" spans="1:3" x14ac:dyDescent="0.2">
      <c r="A2682" s="10" t="str">
        <f>IF(2674&gt;$C$9008,"",INDEX($B$9:$B$9008,MATCH(2674,$C$9:$C$9008,0)))</f>
        <v/>
      </c>
      <c r="B2682" s="9" t="str">
        <f>IFERROR(INDEX(Input!$L$20:$T$1019,INT((ROW()-9)/9)+1,MOD(ROW()-9,9)+1),"")</f>
        <v/>
      </c>
      <c r="C2682" s="9">
        <f t="shared" si="41"/>
        <v>0</v>
      </c>
    </row>
    <row r="2683" spans="1:3" x14ac:dyDescent="0.2">
      <c r="A2683" s="10" t="str">
        <f>IF(2675&gt;$C$9008,"",INDEX($B$9:$B$9008,MATCH(2675,$C$9:$C$9008,0)))</f>
        <v/>
      </c>
      <c r="B2683" s="9" t="str">
        <f>IFERROR(INDEX(Input!$L$20:$T$1019,INT((ROW()-9)/9)+1,MOD(ROW()-9,9)+1),"")</f>
        <v/>
      </c>
      <c r="C2683" s="9">
        <f t="shared" si="41"/>
        <v>0</v>
      </c>
    </row>
    <row r="2684" spans="1:3" x14ac:dyDescent="0.2">
      <c r="A2684" s="10" t="str">
        <f>IF(2676&gt;$C$9008,"",INDEX($B$9:$B$9008,MATCH(2676,$C$9:$C$9008,0)))</f>
        <v/>
      </c>
      <c r="B2684" s="9" t="str">
        <f>IFERROR(INDEX(Input!$L$20:$T$1019,INT((ROW()-9)/9)+1,MOD(ROW()-9,9)+1),"")</f>
        <v/>
      </c>
      <c r="C2684" s="9">
        <f t="shared" si="41"/>
        <v>0</v>
      </c>
    </row>
    <row r="2685" spans="1:3" x14ac:dyDescent="0.2">
      <c r="A2685" s="10" t="str">
        <f>IF(2677&gt;$C$9008,"",INDEX($B$9:$B$9008,MATCH(2677,$C$9:$C$9008,0)))</f>
        <v/>
      </c>
      <c r="B2685" s="9" t="str">
        <f>IFERROR(INDEX(Input!$L$20:$T$1019,INT((ROW()-9)/9)+1,MOD(ROW()-9,9)+1),"")</f>
        <v/>
      </c>
      <c r="C2685" s="9">
        <f t="shared" si="41"/>
        <v>0</v>
      </c>
    </row>
    <row r="2686" spans="1:3" x14ac:dyDescent="0.2">
      <c r="A2686" s="10" t="str">
        <f>IF(2678&gt;$C$9008,"",INDEX($B$9:$B$9008,MATCH(2678,$C$9:$C$9008,0)))</f>
        <v/>
      </c>
      <c r="B2686" s="9" t="str">
        <f>IFERROR(INDEX(Input!$L$20:$T$1019,INT((ROW()-9)/9)+1,MOD(ROW()-9,9)+1),"")</f>
        <v/>
      </c>
      <c r="C2686" s="9">
        <f t="shared" si="41"/>
        <v>0</v>
      </c>
    </row>
    <row r="2687" spans="1:3" x14ac:dyDescent="0.2">
      <c r="A2687" s="10" t="str">
        <f>IF(2679&gt;$C$9008,"",INDEX($B$9:$B$9008,MATCH(2679,$C$9:$C$9008,0)))</f>
        <v/>
      </c>
      <c r="B2687" s="9" t="str">
        <f>IFERROR(INDEX(Input!$L$20:$T$1019,INT((ROW()-9)/9)+1,MOD(ROW()-9,9)+1),"")</f>
        <v/>
      </c>
      <c r="C2687" s="9">
        <f t="shared" si="41"/>
        <v>0</v>
      </c>
    </row>
    <row r="2688" spans="1:3" x14ac:dyDescent="0.2">
      <c r="A2688" s="10" t="str">
        <f>IF(2680&gt;$C$9008,"",INDEX($B$9:$B$9008,MATCH(2680,$C$9:$C$9008,0)))</f>
        <v/>
      </c>
      <c r="B2688" s="9" t="str">
        <f>IFERROR(INDEX(Input!$L$20:$T$1019,INT((ROW()-9)/9)+1,MOD(ROW()-9,9)+1),"")</f>
        <v/>
      </c>
      <c r="C2688" s="9">
        <f t="shared" si="41"/>
        <v>0</v>
      </c>
    </row>
    <row r="2689" spans="1:3" x14ac:dyDescent="0.2">
      <c r="A2689" s="10" t="str">
        <f>IF(2681&gt;$C$9008,"",INDEX($B$9:$B$9008,MATCH(2681,$C$9:$C$9008,0)))</f>
        <v/>
      </c>
      <c r="B2689" s="9" t="str">
        <f>IFERROR(INDEX(Input!$L$20:$T$1019,INT((ROW()-9)/9)+1,MOD(ROW()-9,9)+1),"")</f>
        <v/>
      </c>
      <c r="C2689" s="9">
        <f t="shared" si="41"/>
        <v>0</v>
      </c>
    </row>
    <row r="2690" spans="1:3" x14ac:dyDescent="0.2">
      <c r="A2690" s="10" t="str">
        <f>IF(2682&gt;$C$9008,"",INDEX($B$9:$B$9008,MATCH(2682,$C$9:$C$9008,0)))</f>
        <v/>
      </c>
      <c r="B2690" s="9" t="str">
        <f>IFERROR(INDEX(Input!$L$20:$T$1019,INT((ROW()-9)/9)+1,MOD(ROW()-9,9)+1),"")</f>
        <v/>
      </c>
      <c r="C2690" s="9">
        <f t="shared" si="41"/>
        <v>0</v>
      </c>
    </row>
    <row r="2691" spans="1:3" x14ac:dyDescent="0.2">
      <c r="A2691" s="10" t="str">
        <f>IF(2683&gt;$C$9008,"",INDEX($B$9:$B$9008,MATCH(2683,$C$9:$C$9008,0)))</f>
        <v/>
      </c>
      <c r="B2691" s="9" t="str">
        <f>IFERROR(INDEX(Input!$L$20:$T$1019,INT((ROW()-9)/9)+1,MOD(ROW()-9,9)+1),"")</f>
        <v/>
      </c>
      <c r="C2691" s="9">
        <f t="shared" si="41"/>
        <v>0</v>
      </c>
    </row>
    <row r="2692" spans="1:3" x14ac:dyDescent="0.2">
      <c r="A2692" s="10" t="str">
        <f>IF(2684&gt;$C$9008,"",INDEX($B$9:$B$9008,MATCH(2684,$C$9:$C$9008,0)))</f>
        <v/>
      </c>
      <c r="B2692" s="9" t="str">
        <f>IFERROR(INDEX(Input!$L$20:$T$1019,INT((ROW()-9)/9)+1,MOD(ROW()-9,9)+1),"")</f>
        <v/>
      </c>
      <c r="C2692" s="9">
        <f t="shared" si="41"/>
        <v>0</v>
      </c>
    </row>
    <row r="2693" spans="1:3" x14ac:dyDescent="0.2">
      <c r="A2693" s="10" t="str">
        <f>IF(2685&gt;$C$9008,"",INDEX($B$9:$B$9008,MATCH(2685,$C$9:$C$9008,0)))</f>
        <v/>
      </c>
      <c r="B2693" s="9" t="str">
        <f>IFERROR(INDEX(Input!$L$20:$T$1019,INT((ROW()-9)/9)+1,MOD(ROW()-9,9)+1),"")</f>
        <v/>
      </c>
      <c r="C2693" s="9">
        <f t="shared" si="41"/>
        <v>0</v>
      </c>
    </row>
    <row r="2694" spans="1:3" x14ac:dyDescent="0.2">
      <c r="A2694" s="10" t="str">
        <f>IF(2686&gt;$C$9008,"",INDEX($B$9:$B$9008,MATCH(2686,$C$9:$C$9008,0)))</f>
        <v/>
      </c>
      <c r="B2694" s="9" t="str">
        <f>IFERROR(INDEX(Input!$L$20:$T$1019,INT((ROW()-9)/9)+1,MOD(ROW()-9,9)+1),"")</f>
        <v/>
      </c>
      <c r="C2694" s="9">
        <f t="shared" si="41"/>
        <v>0</v>
      </c>
    </row>
    <row r="2695" spans="1:3" x14ac:dyDescent="0.2">
      <c r="A2695" s="10" t="str">
        <f>IF(2687&gt;$C$9008,"",INDEX($B$9:$B$9008,MATCH(2687,$C$9:$C$9008,0)))</f>
        <v/>
      </c>
      <c r="B2695" s="9" t="str">
        <f>IFERROR(INDEX(Input!$L$20:$T$1019,INT((ROW()-9)/9)+1,MOD(ROW()-9,9)+1),"")</f>
        <v/>
      </c>
      <c r="C2695" s="9">
        <f t="shared" si="41"/>
        <v>0</v>
      </c>
    </row>
    <row r="2696" spans="1:3" x14ac:dyDescent="0.2">
      <c r="A2696" s="10" t="str">
        <f>IF(2688&gt;$C$9008,"",INDEX($B$9:$B$9008,MATCH(2688,$C$9:$C$9008,0)))</f>
        <v/>
      </c>
      <c r="B2696" s="9" t="str">
        <f>IFERROR(INDEX(Input!$L$20:$T$1019,INT((ROW()-9)/9)+1,MOD(ROW()-9,9)+1),"")</f>
        <v/>
      </c>
      <c r="C2696" s="9">
        <f t="shared" si="41"/>
        <v>0</v>
      </c>
    </row>
    <row r="2697" spans="1:3" x14ac:dyDescent="0.2">
      <c r="A2697" s="10" t="str">
        <f>IF(2689&gt;$C$9008,"",INDEX($B$9:$B$9008,MATCH(2689,$C$9:$C$9008,0)))</f>
        <v/>
      </c>
      <c r="B2697" s="9" t="str">
        <f>IFERROR(INDEX(Input!$L$20:$T$1019,INT((ROW()-9)/9)+1,MOD(ROW()-9,9)+1),"")</f>
        <v/>
      </c>
      <c r="C2697" s="9">
        <f t="shared" ref="C2697:C2760" si="42">$C2696+IF($B2697&lt;&gt;"",1,0)</f>
        <v>0</v>
      </c>
    </row>
    <row r="2698" spans="1:3" x14ac:dyDescent="0.2">
      <c r="A2698" s="10" t="str">
        <f>IF(2690&gt;$C$9008,"",INDEX($B$9:$B$9008,MATCH(2690,$C$9:$C$9008,0)))</f>
        <v/>
      </c>
      <c r="B2698" s="9" t="str">
        <f>IFERROR(INDEX(Input!$L$20:$T$1019,INT((ROW()-9)/9)+1,MOD(ROW()-9,9)+1),"")</f>
        <v/>
      </c>
      <c r="C2698" s="9">
        <f t="shared" si="42"/>
        <v>0</v>
      </c>
    </row>
    <row r="2699" spans="1:3" x14ac:dyDescent="0.2">
      <c r="A2699" s="10" t="str">
        <f>IF(2691&gt;$C$9008,"",INDEX($B$9:$B$9008,MATCH(2691,$C$9:$C$9008,0)))</f>
        <v/>
      </c>
      <c r="B2699" s="9" t="str">
        <f>IFERROR(INDEX(Input!$L$20:$T$1019,INT((ROW()-9)/9)+1,MOD(ROW()-9,9)+1),"")</f>
        <v/>
      </c>
      <c r="C2699" s="9">
        <f t="shared" si="42"/>
        <v>0</v>
      </c>
    </row>
    <row r="2700" spans="1:3" x14ac:dyDescent="0.2">
      <c r="A2700" s="10" t="str">
        <f>IF(2692&gt;$C$9008,"",INDEX($B$9:$B$9008,MATCH(2692,$C$9:$C$9008,0)))</f>
        <v/>
      </c>
      <c r="B2700" s="9" t="str">
        <f>IFERROR(INDEX(Input!$L$20:$T$1019,INT((ROW()-9)/9)+1,MOD(ROW()-9,9)+1),"")</f>
        <v/>
      </c>
      <c r="C2700" s="9">
        <f t="shared" si="42"/>
        <v>0</v>
      </c>
    </row>
    <row r="2701" spans="1:3" x14ac:dyDescent="0.2">
      <c r="A2701" s="10" t="str">
        <f>IF(2693&gt;$C$9008,"",INDEX($B$9:$B$9008,MATCH(2693,$C$9:$C$9008,0)))</f>
        <v/>
      </c>
      <c r="B2701" s="9" t="str">
        <f>IFERROR(INDEX(Input!$L$20:$T$1019,INT((ROW()-9)/9)+1,MOD(ROW()-9,9)+1),"")</f>
        <v/>
      </c>
      <c r="C2701" s="9">
        <f t="shared" si="42"/>
        <v>0</v>
      </c>
    </row>
    <row r="2702" spans="1:3" x14ac:dyDescent="0.2">
      <c r="A2702" s="10" t="str">
        <f>IF(2694&gt;$C$9008,"",INDEX($B$9:$B$9008,MATCH(2694,$C$9:$C$9008,0)))</f>
        <v/>
      </c>
      <c r="B2702" s="9" t="str">
        <f>IFERROR(INDEX(Input!$L$20:$T$1019,INT((ROW()-9)/9)+1,MOD(ROW()-9,9)+1),"")</f>
        <v/>
      </c>
      <c r="C2702" s="9">
        <f t="shared" si="42"/>
        <v>0</v>
      </c>
    </row>
    <row r="2703" spans="1:3" x14ac:dyDescent="0.2">
      <c r="A2703" s="10" t="str">
        <f>IF(2695&gt;$C$9008,"",INDEX($B$9:$B$9008,MATCH(2695,$C$9:$C$9008,0)))</f>
        <v/>
      </c>
      <c r="B2703" s="9" t="str">
        <f>IFERROR(INDEX(Input!$L$20:$T$1019,INT((ROW()-9)/9)+1,MOD(ROW()-9,9)+1),"")</f>
        <v/>
      </c>
      <c r="C2703" s="9">
        <f t="shared" si="42"/>
        <v>0</v>
      </c>
    </row>
    <row r="2704" spans="1:3" x14ac:dyDescent="0.2">
      <c r="A2704" s="10" t="str">
        <f>IF(2696&gt;$C$9008,"",INDEX($B$9:$B$9008,MATCH(2696,$C$9:$C$9008,0)))</f>
        <v/>
      </c>
      <c r="B2704" s="9" t="str">
        <f>IFERROR(INDEX(Input!$L$20:$T$1019,INT((ROW()-9)/9)+1,MOD(ROW()-9,9)+1),"")</f>
        <v/>
      </c>
      <c r="C2704" s="9">
        <f t="shared" si="42"/>
        <v>0</v>
      </c>
    </row>
    <row r="2705" spans="1:3" x14ac:dyDescent="0.2">
      <c r="A2705" s="10" t="str">
        <f>IF(2697&gt;$C$9008,"",INDEX($B$9:$B$9008,MATCH(2697,$C$9:$C$9008,0)))</f>
        <v/>
      </c>
      <c r="B2705" s="9" t="str">
        <f>IFERROR(INDEX(Input!$L$20:$T$1019,INT((ROW()-9)/9)+1,MOD(ROW()-9,9)+1),"")</f>
        <v/>
      </c>
      <c r="C2705" s="9">
        <f t="shared" si="42"/>
        <v>0</v>
      </c>
    </row>
    <row r="2706" spans="1:3" x14ac:dyDescent="0.2">
      <c r="A2706" s="10" t="str">
        <f>IF(2698&gt;$C$9008,"",INDEX($B$9:$B$9008,MATCH(2698,$C$9:$C$9008,0)))</f>
        <v/>
      </c>
      <c r="B2706" s="9" t="str">
        <f>IFERROR(INDEX(Input!$L$20:$T$1019,INT((ROW()-9)/9)+1,MOD(ROW()-9,9)+1),"")</f>
        <v/>
      </c>
      <c r="C2706" s="9">
        <f t="shared" si="42"/>
        <v>0</v>
      </c>
    </row>
    <row r="2707" spans="1:3" x14ac:dyDescent="0.2">
      <c r="A2707" s="10" t="str">
        <f>IF(2699&gt;$C$9008,"",INDEX($B$9:$B$9008,MATCH(2699,$C$9:$C$9008,0)))</f>
        <v/>
      </c>
      <c r="B2707" s="9" t="str">
        <f>IFERROR(INDEX(Input!$L$20:$T$1019,INT((ROW()-9)/9)+1,MOD(ROW()-9,9)+1),"")</f>
        <v/>
      </c>
      <c r="C2707" s="9">
        <f t="shared" si="42"/>
        <v>0</v>
      </c>
    </row>
    <row r="2708" spans="1:3" x14ac:dyDescent="0.2">
      <c r="A2708" s="10" t="str">
        <f>IF(2700&gt;$C$9008,"",INDEX($B$9:$B$9008,MATCH(2700,$C$9:$C$9008,0)))</f>
        <v/>
      </c>
      <c r="B2708" s="9" t="str">
        <f>IFERROR(INDEX(Input!$L$20:$T$1019,INT((ROW()-9)/9)+1,MOD(ROW()-9,9)+1),"")</f>
        <v/>
      </c>
      <c r="C2708" s="9">
        <f t="shared" si="42"/>
        <v>0</v>
      </c>
    </row>
    <row r="2709" spans="1:3" x14ac:dyDescent="0.2">
      <c r="A2709" s="10" t="str">
        <f>IF(2701&gt;$C$9008,"",INDEX($B$9:$B$9008,MATCH(2701,$C$9:$C$9008,0)))</f>
        <v/>
      </c>
      <c r="B2709" s="9" t="str">
        <f>IFERROR(INDEX(Input!$L$20:$T$1019,INT((ROW()-9)/9)+1,MOD(ROW()-9,9)+1),"")</f>
        <v/>
      </c>
      <c r="C2709" s="9">
        <f t="shared" si="42"/>
        <v>0</v>
      </c>
    </row>
    <row r="2710" spans="1:3" x14ac:dyDescent="0.2">
      <c r="A2710" s="10" t="str">
        <f>IF(2702&gt;$C$9008,"",INDEX($B$9:$B$9008,MATCH(2702,$C$9:$C$9008,0)))</f>
        <v/>
      </c>
      <c r="B2710" s="9" t="str">
        <f>IFERROR(INDEX(Input!$L$20:$T$1019,INT((ROW()-9)/9)+1,MOD(ROW()-9,9)+1),"")</f>
        <v/>
      </c>
      <c r="C2710" s="9">
        <f t="shared" si="42"/>
        <v>0</v>
      </c>
    </row>
    <row r="2711" spans="1:3" x14ac:dyDescent="0.2">
      <c r="A2711" s="10" t="str">
        <f>IF(2703&gt;$C$9008,"",INDEX($B$9:$B$9008,MATCH(2703,$C$9:$C$9008,0)))</f>
        <v/>
      </c>
      <c r="B2711" s="9" t="str">
        <f>IFERROR(INDEX(Input!$L$20:$T$1019,INT((ROW()-9)/9)+1,MOD(ROW()-9,9)+1),"")</f>
        <v/>
      </c>
      <c r="C2711" s="9">
        <f t="shared" si="42"/>
        <v>0</v>
      </c>
    </row>
    <row r="2712" spans="1:3" x14ac:dyDescent="0.2">
      <c r="A2712" s="10" t="str">
        <f>IF(2704&gt;$C$9008,"",INDEX($B$9:$B$9008,MATCH(2704,$C$9:$C$9008,0)))</f>
        <v/>
      </c>
      <c r="B2712" s="9" t="str">
        <f>IFERROR(INDEX(Input!$L$20:$T$1019,INT((ROW()-9)/9)+1,MOD(ROW()-9,9)+1),"")</f>
        <v/>
      </c>
      <c r="C2712" s="9">
        <f t="shared" si="42"/>
        <v>0</v>
      </c>
    </row>
    <row r="2713" spans="1:3" x14ac:dyDescent="0.2">
      <c r="A2713" s="10" t="str">
        <f>IF(2705&gt;$C$9008,"",INDEX($B$9:$B$9008,MATCH(2705,$C$9:$C$9008,0)))</f>
        <v/>
      </c>
      <c r="B2713" s="9" t="str">
        <f>IFERROR(INDEX(Input!$L$20:$T$1019,INT((ROW()-9)/9)+1,MOD(ROW()-9,9)+1),"")</f>
        <v/>
      </c>
      <c r="C2713" s="9">
        <f t="shared" si="42"/>
        <v>0</v>
      </c>
    </row>
    <row r="2714" spans="1:3" x14ac:dyDescent="0.2">
      <c r="A2714" s="10" t="str">
        <f>IF(2706&gt;$C$9008,"",INDEX($B$9:$B$9008,MATCH(2706,$C$9:$C$9008,0)))</f>
        <v/>
      </c>
      <c r="B2714" s="9" t="str">
        <f>IFERROR(INDEX(Input!$L$20:$T$1019,INT((ROW()-9)/9)+1,MOD(ROW()-9,9)+1),"")</f>
        <v/>
      </c>
      <c r="C2714" s="9">
        <f t="shared" si="42"/>
        <v>0</v>
      </c>
    </row>
    <row r="2715" spans="1:3" x14ac:dyDescent="0.2">
      <c r="A2715" s="10" t="str">
        <f>IF(2707&gt;$C$9008,"",INDEX($B$9:$B$9008,MATCH(2707,$C$9:$C$9008,0)))</f>
        <v/>
      </c>
      <c r="B2715" s="9" t="str">
        <f>IFERROR(INDEX(Input!$L$20:$T$1019,INT((ROW()-9)/9)+1,MOD(ROW()-9,9)+1),"")</f>
        <v/>
      </c>
      <c r="C2715" s="9">
        <f t="shared" si="42"/>
        <v>0</v>
      </c>
    </row>
    <row r="2716" spans="1:3" x14ac:dyDescent="0.2">
      <c r="A2716" s="10" t="str">
        <f>IF(2708&gt;$C$9008,"",INDEX($B$9:$B$9008,MATCH(2708,$C$9:$C$9008,0)))</f>
        <v/>
      </c>
      <c r="B2716" s="9" t="str">
        <f>IFERROR(INDEX(Input!$L$20:$T$1019,INT((ROW()-9)/9)+1,MOD(ROW()-9,9)+1),"")</f>
        <v/>
      </c>
      <c r="C2716" s="9">
        <f t="shared" si="42"/>
        <v>0</v>
      </c>
    </row>
    <row r="2717" spans="1:3" x14ac:dyDescent="0.2">
      <c r="A2717" s="10" t="str">
        <f>IF(2709&gt;$C$9008,"",INDEX($B$9:$B$9008,MATCH(2709,$C$9:$C$9008,0)))</f>
        <v/>
      </c>
      <c r="B2717" s="9" t="str">
        <f>IFERROR(INDEX(Input!$L$20:$T$1019,INT((ROW()-9)/9)+1,MOD(ROW()-9,9)+1),"")</f>
        <v/>
      </c>
      <c r="C2717" s="9">
        <f t="shared" si="42"/>
        <v>0</v>
      </c>
    </row>
    <row r="2718" spans="1:3" x14ac:dyDescent="0.2">
      <c r="A2718" s="10" t="str">
        <f>IF(2710&gt;$C$9008,"",INDEX($B$9:$B$9008,MATCH(2710,$C$9:$C$9008,0)))</f>
        <v/>
      </c>
      <c r="B2718" s="9" t="str">
        <f>IFERROR(INDEX(Input!$L$20:$T$1019,INT((ROW()-9)/9)+1,MOD(ROW()-9,9)+1),"")</f>
        <v/>
      </c>
      <c r="C2718" s="9">
        <f t="shared" si="42"/>
        <v>0</v>
      </c>
    </row>
    <row r="2719" spans="1:3" x14ac:dyDescent="0.2">
      <c r="A2719" s="10" t="str">
        <f>IF(2711&gt;$C$9008,"",INDEX($B$9:$B$9008,MATCH(2711,$C$9:$C$9008,0)))</f>
        <v/>
      </c>
      <c r="B2719" s="9" t="str">
        <f>IFERROR(INDEX(Input!$L$20:$T$1019,INT((ROW()-9)/9)+1,MOD(ROW()-9,9)+1),"")</f>
        <v/>
      </c>
      <c r="C2719" s="9">
        <f t="shared" si="42"/>
        <v>0</v>
      </c>
    </row>
    <row r="2720" spans="1:3" x14ac:dyDescent="0.2">
      <c r="A2720" s="10" t="str">
        <f>IF(2712&gt;$C$9008,"",INDEX($B$9:$B$9008,MATCH(2712,$C$9:$C$9008,0)))</f>
        <v/>
      </c>
      <c r="B2720" s="9" t="str">
        <f>IFERROR(INDEX(Input!$L$20:$T$1019,INT((ROW()-9)/9)+1,MOD(ROW()-9,9)+1),"")</f>
        <v/>
      </c>
      <c r="C2720" s="9">
        <f t="shared" si="42"/>
        <v>0</v>
      </c>
    </row>
    <row r="2721" spans="1:3" x14ac:dyDescent="0.2">
      <c r="A2721" s="10" t="str">
        <f>IF(2713&gt;$C$9008,"",INDEX($B$9:$B$9008,MATCH(2713,$C$9:$C$9008,0)))</f>
        <v/>
      </c>
      <c r="B2721" s="9" t="str">
        <f>IFERROR(INDEX(Input!$L$20:$T$1019,INT((ROW()-9)/9)+1,MOD(ROW()-9,9)+1),"")</f>
        <v/>
      </c>
      <c r="C2721" s="9">
        <f t="shared" si="42"/>
        <v>0</v>
      </c>
    </row>
    <row r="2722" spans="1:3" x14ac:dyDescent="0.2">
      <c r="A2722" s="10" t="str">
        <f>IF(2714&gt;$C$9008,"",INDEX($B$9:$B$9008,MATCH(2714,$C$9:$C$9008,0)))</f>
        <v/>
      </c>
      <c r="B2722" s="9" t="str">
        <f>IFERROR(INDEX(Input!$L$20:$T$1019,INT((ROW()-9)/9)+1,MOD(ROW()-9,9)+1),"")</f>
        <v/>
      </c>
      <c r="C2722" s="9">
        <f t="shared" si="42"/>
        <v>0</v>
      </c>
    </row>
    <row r="2723" spans="1:3" x14ac:dyDescent="0.2">
      <c r="A2723" s="10" t="str">
        <f>IF(2715&gt;$C$9008,"",INDEX($B$9:$B$9008,MATCH(2715,$C$9:$C$9008,0)))</f>
        <v/>
      </c>
      <c r="B2723" s="9" t="str">
        <f>IFERROR(INDEX(Input!$L$20:$T$1019,INT((ROW()-9)/9)+1,MOD(ROW()-9,9)+1),"")</f>
        <v/>
      </c>
      <c r="C2723" s="9">
        <f t="shared" si="42"/>
        <v>0</v>
      </c>
    </row>
    <row r="2724" spans="1:3" x14ac:dyDescent="0.2">
      <c r="A2724" s="10" t="str">
        <f>IF(2716&gt;$C$9008,"",INDEX($B$9:$B$9008,MATCH(2716,$C$9:$C$9008,0)))</f>
        <v/>
      </c>
      <c r="B2724" s="9" t="str">
        <f>IFERROR(INDEX(Input!$L$20:$T$1019,INT((ROW()-9)/9)+1,MOD(ROW()-9,9)+1),"")</f>
        <v/>
      </c>
      <c r="C2724" s="9">
        <f t="shared" si="42"/>
        <v>0</v>
      </c>
    </row>
    <row r="2725" spans="1:3" x14ac:dyDescent="0.2">
      <c r="A2725" s="10" t="str">
        <f>IF(2717&gt;$C$9008,"",INDEX($B$9:$B$9008,MATCH(2717,$C$9:$C$9008,0)))</f>
        <v/>
      </c>
      <c r="B2725" s="9" t="str">
        <f>IFERROR(INDEX(Input!$L$20:$T$1019,INT((ROW()-9)/9)+1,MOD(ROW()-9,9)+1),"")</f>
        <v/>
      </c>
      <c r="C2725" s="9">
        <f t="shared" si="42"/>
        <v>0</v>
      </c>
    </row>
    <row r="2726" spans="1:3" x14ac:dyDescent="0.2">
      <c r="A2726" s="10" t="str">
        <f>IF(2718&gt;$C$9008,"",INDEX($B$9:$B$9008,MATCH(2718,$C$9:$C$9008,0)))</f>
        <v/>
      </c>
      <c r="B2726" s="9" t="str">
        <f>IFERROR(INDEX(Input!$L$20:$T$1019,INT((ROW()-9)/9)+1,MOD(ROW()-9,9)+1),"")</f>
        <v/>
      </c>
      <c r="C2726" s="9">
        <f t="shared" si="42"/>
        <v>0</v>
      </c>
    </row>
    <row r="2727" spans="1:3" x14ac:dyDescent="0.2">
      <c r="A2727" s="10" t="str">
        <f>IF(2719&gt;$C$9008,"",INDEX($B$9:$B$9008,MATCH(2719,$C$9:$C$9008,0)))</f>
        <v/>
      </c>
      <c r="B2727" s="9" t="str">
        <f>IFERROR(INDEX(Input!$L$20:$T$1019,INT((ROW()-9)/9)+1,MOD(ROW()-9,9)+1),"")</f>
        <v/>
      </c>
      <c r="C2727" s="9">
        <f t="shared" si="42"/>
        <v>0</v>
      </c>
    </row>
    <row r="2728" spans="1:3" x14ac:dyDescent="0.2">
      <c r="A2728" s="10" t="str">
        <f>IF(2720&gt;$C$9008,"",INDEX($B$9:$B$9008,MATCH(2720,$C$9:$C$9008,0)))</f>
        <v/>
      </c>
      <c r="B2728" s="9" t="str">
        <f>IFERROR(INDEX(Input!$L$20:$T$1019,INT((ROW()-9)/9)+1,MOD(ROW()-9,9)+1),"")</f>
        <v/>
      </c>
      <c r="C2728" s="9">
        <f t="shared" si="42"/>
        <v>0</v>
      </c>
    </row>
    <row r="2729" spans="1:3" x14ac:dyDescent="0.2">
      <c r="A2729" s="10" t="str">
        <f>IF(2721&gt;$C$9008,"",INDEX($B$9:$B$9008,MATCH(2721,$C$9:$C$9008,0)))</f>
        <v/>
      </c>
      <c r="B2729" s="9" t="str">
        <f>IFERROR(INDEX(Input!$L$20:$T$1019,INT((ROW()-9)/9)+1,MOD(ROW()-9,9)+1),"")</f>
        <v/>
      </c>
      <c r="C2729" s="9">
        <f t="shared" si="42"/>
        <v>0</v>
      </c>
    </row>
    <row r="2730" spans="1:3" x14ac:dyDescent="0.2">
      <c r="A2730" s="10" t="str">
        <f>IF(2722&gt;$C$9008,"",INDEX($B$9:$B$9008,MATCH(2722,$C$9:$C$9008,0)))</f>
        <v/>
      </c>
      <c r="B2730" s="9" t="str">
        <f>IFERROR(INDEX(Input!$L$20:$T$1019,INT((ROW()-9)/9)+1,MOD(ROW()-9,9)+1),"")</f>
        <v/>
      </c>
      <c r="C2730" s="9">
        <f t="shared" si="42"/>
        <v>0</v>
      </c>
    </row>
    <row r="2731" spans="1:3" x14ac:dyDescent="0.2">
      <c r="A2731" s="10" t="str">
        <f>IF(2723&gt;$C$9008,"",INDEX($B$9:$B$9008,MATCH(2723,$C$9:$C$9008,0)))</f>
        <v/>
      </c>
      <c r="B2731" s="9" t="str">
        <f>IFERROR(INDEX(Input!$L$20:$T$1019,INT((ROW()-9)/9)+1,MOD(ROW()-9,9)+1),"")</f>
        <v/>
      </c>
      <c r="C2731" s="9">
        <f t="shared" si="42"/>
        <v>0</v>
      </c>
    </row>
    <row r="2732" spans="1:3" x14ac:dyDescent="0.2">
      <c r="A2732" s="10" t="str">
        <f>IF(2724&gt;$C$9008,"",INDEX($B$9:$B$9008,MATCH(2724,$C$9:$C$9008,0)))</f>
        <v/>
      </c>
      <c r="B2732" s="9" t="str">
        <f>IFERROR(INDEX(Input!$L$20:$T$1019,INT((ROW()-9)/9)+1,MOD(ROW()-9,9)+1),"")</f>
        <v/>
      </c>
      <c r="C2732" s="9">
        <f t="shared" si="42"/>
        <v>0</v>
      </c>
    </row>
    <row r="2733" spans="1:3" x14ac:dyDescent="0.2">
      <c r="A2733" s="10" t="str">
        <f>IF(2725&gt;$C$9008,"",INDEX($B$9:$B$9008,MATCH(2725,$C$9:$C$9008,0)))</f>
        <v/>
      </c>
      <c r="B2733" s="9" t="str">
        <f>IFERROR(INDEX(Input!$L$20:$T$1019,INT((ROW()-9)/9)+1,MOD(ROW()-9,9)+1),"")</f>
        <v/>
      </c>
      <c r="C2733" s="9">
        <f t="shared" si="42"/>
        <v>0</v>
      </c>
    </row>
    <row r="2734" spans="1:3" x14ac:dyDescent="0.2">
      <c r="A2734" s="10" t="str">
        <f>IF(2726&gt;$C$9008,"",INDEX($B$9:$B$9008,MATCH(2726,$C$9:$C$9008,0)))</f>
        <v/>
      </c>
      <c r="B2734" s="9" t="str">
        <f>IFERROR(INDEX(Input!$L$20:$T$1019,INT((ROW()-9)/9)+1,MOD(ROW()-9,9)+1),"")</f>
        <v/>
      </c>
      <c r="C2734" s="9">
        <f t="shared" si="42"/>
        <v>0</v>
      </c>
    </row>
    <row r="2735" spans="1:3" x14ac:dyDescent="0.2">
      <c r="A2735" s="10" t="str">
        <f>IF(2727&gt;$C$9008,"",INDEX($B$9:$B$9008,MATCH(2727,$C$9:$C$9008,0)))</f>
        <v/>
      </c>
      <c r="B2735" s="9" t="str">
        <f>IFERROR(INDEX(Input!$L$20:$T$1019,INT((ROW()-9)/9)+1,MOD(ROW()-9,9)+1),"")</f>
        <v/>
      </c>
      <c r="C2735" s="9">
        <f t="shared" si="42"/>
        <v>0</v>
      </c>
    </row>
    <row r="2736" spans="1:3" x14ac:dyDescent="0.2">
      <c r="A2736" s="10" t="str">
        <f>IF(2728&gt;$C$9008,"",INDEX($B$9:$B$9008,MATCH(2728,$C$9:$C$9008,0)))</f>
        <v/>
      </c>
      <c r="B2736" s="9" t="str">
        <f>IFERROR(INDEX(Input!$L$20:$T$1019,INT((ROW()-9)/9)+1,MOD(ROW()-9,9)+1),"")</f>
        <v/>
      </c>
      <c r="C2736" s="9">
        <f t="shared" si="42"/>
        <v>0</v>
      </c>
    </row>
    <row r="2737" spans="1:3" x14ac:dyDescent="0.2">
      <c r="A2737" s="10" t="str">
        <f>IF(2729&gt;$C$9008,"",INDEX($B$9:$B$9008,MATCH(2729,$C$9:$C$9008,0)))</f>
        <v/>
      </c>
      <c r="B2737" s="9" t="str">
        <f>IFERROR(INDEX(Input!$L$20:$T$1019,INT((ROW()-9)/9)+1,MOD(ROW()-9,9)+1),"")</f>
        <v/>
      </c>
      <c r="C2737" s="9">
        <f t="shared" si="42"/>
        <v>0</v>
      </c>
    </row>
    <row r="2738" spans="1:3" x14ac:dyDescent="0.2">
      <c r="A2738" s="10" t="str">
        <f>IF(2730&gt;$C$9008,"",INDEX($B$9:$B$9008,MATCH(2730,$C$9:$C$9008,0)))</f>
        <v/>
      </c>
      <c r="B2738" s="9" t="str">
        <f>IFERROR(INDEX(Input!$L$20:$T$1019,INT((ROW()-9)/9)+1,MOD(ROW()-9,9)+1),"")</f>
        <v/>
      </c>
      <c r="C2738" s="9">
        <f t="shared" si="42"/>
        <v>0</v>
      </c>
    </row>
    <row r="2739" spans="1:3" x14ac:dyDescent="0.2">
      <c r="A2739" s="10" t="str">
        <f>IF(2731&gt;$C$9008,"",INDEX($B$9:$B$9008,MATCH(2731,$C$9:$C$9008,0)))</f>
        <v/>
      </c>
      <c r="B2739" s="9" t="str">
        <f>IFERROR(INDEX(Input!$L$20:$T$1019,INT((ROW()-9)/9)+1,MOD(ROW()-9,9)+1),"")</f>
        <v/>
      </c>
      <c r="C2739" s="9">
        <f t="shared" si="42"/>
        <v>0</v>
      </c>
    </row>
    <row r="2740" spans="1:3" x14ac:dyDescent="0.2">
      <c r="A2740" s="10" t="str">
        <f>IF(2732&gt;$C$9008,"",INDEX($B$9:$B$9008,MATCH(2732,$C$9:$C$9008,0)))</f>
        <v/>
      </c>
      <c r="B2740" s="9" t="str">
        <f>IFERROR(INDEX(Input!$L$20:$T$1019,INT((ROW()-9)/9)+1,MOD(ROW()-9,9)+1),"")</f>
        <v/>
      </c>
      <c r="C2740" s="9">
        <f t="shared" si="42"/>
        <v>0</v>
      </c>
    </row>
    <row r="2741" spans="1:3" x14ac:dyDescent="0.2">
      <c r="A2741" s="10" t="str">
        <f>IF(2733&gt;$C$9008,"",INDEX($B$9:$B$9008,MATCH(2733,$C$9:$C$9008,0)))</f>
        <v/>
      </c>
      <c r="B2741" s="9" t="str">
        <f>IFERROR(INDEX(Input!$L$20:$T$1019,INT((ROW()-9)/9)+1,MOD(ROW()-9,9)+1),"")</f>
        <v/>
      </c>
      <c r="C2741" s="9">
        <f t="shared" si="42"/>
        <v>0</v>
      </c>
    </row>
    <row r="2742" spans="1:3" x14ac:dyDescent="0.2">
      <c r="A2742" s="10" t="str">
        <f>IF(2734&gt;$C$9008,"",INDEX($B$9:$B$9008,MATCH(2734,$C$9:$C$9008,0)))</f>
        <v/>
      </c>
      <c r="B2742" s="9" t="str">
        <f>IFERROR(INDEX(Input!$L$20:$T$1019,INT((ROW()-9)/9)+1,MOD(ROW()-9,9)+1),"")</f>
        <v/>
      </c>
      <c r="C2742" s="9">
        <f t="shared" si="42"/>
        <v>0</v>
      </c>
    </row>
    <row r="2743" spans="1:3" x14ac:dyDescent="0.2">
      <c r="A2743" s="10" t="str">
        <f>IF(2735&gt;$C$9008,"",INDEX($B$9:$B$9008,MATCH(2735,$C$9:$C$9008,0)))</f>
        <v/>
      </c>
      <c r="B2743" s="9" t="str">
        <f>IFERROR(INDEX(Input!$L$20:$T$1019,INT((ROW()-9)/9)+1,MOD(ROW()-9,9)+1),"")</f>
        <v/>
      </c>
      <c r="C2743" s="9">
        <f t="shared" si="42"/>
        <v>0</v>
      </c>
    </row>
    <row r="2744" spans="1:3" x14ac:dyDescent="0.2">
      <c r="A2744" s="10" t="str">
        <f>IF(2736&gt;$C$9008,"",INDEX($B$9:$B$9008,MATCH(2736,$C$9:$C$9008,0)))</f>
        <v/>
      </c>
      <c r="B2744" s="9" t="str">
        <f>IFERROR(INDEX(Input!$L$20:$T$1019,INT((ROW()-9)/9)+1,MOD(ROW()-9,9)+1),"")</f>
        <v/>
      </c>
      <c r="C2744" s="9">
        <f t="shared" si="42"/>
        <v>0</v>
      </c>
    </row>
    <row r="2745" spans="1:3" x14ac:dyDescent="0.2">
      <c r="A2745" s="10" t="str">
        <f>IF(2737&gt;$C$9008,"",INDEX($B$9:$B$9008,MATCH(2737,$C$9:$C$9008,0)))</f>
        <v/>
      </c>
      <c r="B2745" s="9" t="str">
        <f>IFERROR(INDEX(Input!$L$20:$T$1019,INT((ROW()-9)/9)+1,MOD(ROW()-9,9)+1),"")</f>
        <v/>
      </c>
      <c r="C2745" s="9">
        <f t="shared" si="42"/>
        <v>0</v>
      </c>
    </row>
    <row r="2746" spans="1:3" x14ac:dyDescent="0.2">
      <c r="A2746" s="10" t="str">
        <f>IF(2738&gt;$C$9008,"",INDEX($B$9:$B$9008,MATCH(2738,$C$9:$C$9008,0)))</f>
        <v/>
      </c>
      <c r="B2746" s="9" t="str">
        <f>IFERROR(INDEX(Input!$L$20:$T$1019,INT((ROW()-9)/9)+1,MOD(ROW()-9,9)+1),"")</f>
        <v/>
      </c>
      <c r="C2746" s="9">
        <f t="shared" si="42"/>
        <v>0</v>
      </c>
    </row>
    <row r="2747" spans="1:3" x14ac:dyDescent="0.2">
      <c r="A2747" s="10" t="str">
        <f>IF(2739&gt;$C$9008,"",INDEX($B$9:$B$9008,MATCH(2739,$C$9:$C$9008,0)))</f>
        <v/>
      </c>
      <c r="B2747" s="9" t="str">
        <f>IFERROR(INDEX(Input!$L$20:$T$1019,INT((ROW()-9)/9)+1,MOD(ROW()-9,9)+1),"")</f>
        <v/>
      </c>
      <c r="C2747" s="9">
        <f t="shared" si="42"/>
        <v>0</v>
      </c>
    </row>
    <row r="2748" spans="1:3" x14ac:dyDescent="0.2">
      <c r="A2748" s="10" t="str">
        <f>IF(2740&gt;$C$9008,"",INDEX($B$9:$B$9008,MATCH(2740,$C$9:$C$9008,0)))</f>
        <v/>
      </c>
      <c r="B2748" s="9" t="str">
        <f>IFERROR(INDEX(Input!$L$20:$T$1019,INT((ROW()-9)/9)+1,MOD(ROW()-9,9)+1),"")</f>
        <v/>
      </c>
      <c r="C2748" s="9">
        <f t="shared" si="42"/>
        <v>0</v>
      </c>
    </row>
    <row r="2749" spans="1:3" x14ac:dyDescent="0.2">
      <c r="A2749" s="10" t="str">
        <f>IF(2741&gt;$C$9008,"",INDEX($B$9:$B$9008,MATCH(2741,$C$9:$C$9008,0)))</f>
        <v/>
      </c>
      <c r="B2749" s="9" t="str">
        <f>IFERROR(INDEX(Input!$L$20:$T$1019,INT((ROW()-9)/9)+1,MOD(ROW()-9,9)+1),"")</f>
        <v/>
      </c>
      <c r="C2749" s="9">
        <f t="shared" si="42"/>
        <v>0</v>
      </c>
    </row>
    <row r="2750" spans="1:3" x14ac:dyDescent="0.2">
      <c r="A2750" s="10" t="str">
        <f>IF(2742&gt;$C$9008,"",INDEX($B$9:$B$9008,MATCH(2742,$C$9:$C$9008,0)))</f>
        <v/>
      </c>
      <c r="B2750" s="9" t="str">
        <f>IFERROR(INDEX(Input!$L$20:$T$1019,INT((ROW()-9)/9)+1,MOD(ROW()-9,9)+1),"")</f>
        <v/>
      </c>
      <c r="C2750" s="9">
        <f t="shared" si="42"/>
        <v>0</v>
      </c>
    </row>
    <row r="2751" spans="1:3" x14ac:dyDescent="0.2">
      <c r="A2751" s="10" t="str">
        <f>IF(2743&gt;$C$9008,"",INDEX($B$9:$B$9008,MATCH(2743,$C$9:$C$9008,0)))</f>
        <v/>
      </c>
      <c r="B2751" s="9" t="str">
        <f>IFERROR(INDEX(Input!$L$20:$T$1019,INT((ROW()-9)/9)+1,MOD(ROW()-9,9)+1),"")</f>
        <v/>
      </c>
      <c r="C2751" s="9">
        <f t="shared" si="42"/>
        <v>0</v>
      </c>
    </row>
    <row r="2752" spans="1:3" x14ac:dyDescent="0.2">
      <c r="A2752" s="10" t="str">
        <f>IF(2744&gt;$C$9008,"",INDEX($B$9:$B$9008,MATCH(2744,$C$9:$C$9008,0)))</f>
        <v/>
      </c>
      <c r="B2752" s="9" t="str">
        <f>IFERROR(INDEX(Input!$L$20:$T$1019,INT((ROW()-9)/9)+1,MOD(ROW()-9,9)+1),"")</f>
        <v/>
      </c>
      <c r="C2752" s="9">
        <f t="shared" si="42"/>
        <v>0</v>
      </c>
    </row>
    <row r="2753" spans="1:3" x14ac:dyDescent="0.2">
      <c r="A2753" s="10" t="str">
        <f>IF(2745&gt;$C$9008,"",INDEX($B$9:$B$9008,MATCH(2745,$C$9:$C$9008,0)))</f>
        <v/>
      </c>
      <c r="B2753" s="9" t="str">
        <f>IFERROR(INDEX(Input!$L$20:$T$1019,INT((ROW()-9)/9)+1,MOD(ROW()-9,9)+1),"")</f>
        <v/>
      </c>
      <c r="C2753" s="9">
        <f t="shared" si="42"/>
        <v>0</v>
      </c>
    </row>
    <row r="2754" spans="1:3" x14ac:dyDescent="0.2">
      <c r="A2754" s="10" t="str">
        <f>IF(2746&gt;$C$9008,"",INDEX($B$9:$B$9008,MATCH(2746,$C$9:$C$9008,0)))</f>
        <v/>
      </c>
      <c r="B2754" s="9" t="str">
        <f>IFERROR(INDEX(Input!$L$20:$T$1019,INT((ROW()-9)/9)+1,MOD(ROW()-9,9)+1),"")</f>
        <v/>
      </c>
      <c r="C2754" s="9">
        <f t="shared" si="42"/>
        <v>0</v>
      </c>
    </row>
    <row r="2755" spans="1:3" x14ac:dyDescent="0.2">
      <c r="A2755" s="10" t="str">
        <f>IF(2747&gt;$C$9008,"",INDEX($B$9:$B$9008,MATCH(2747,$C$9:$C$9008,0)))</f>
        <v/>
      </c>
      <c r="B2755" s="9" t="str">
        <f>IFERROR(INDEX(Input!$L$20:$T$1019,INT((ROW()-9)/9)+1,MOD(ROW()-9,9)+1),"")</f>
        <v/>
      </c>
      <c r="C2755" s="9">
        <f t="shared" si="42"/>
        <v>0</v>
      </c>
    </row>
    <row r="2756" spans="1:3" x14ac:dyDescent="0.2">
      <c r="A2756" s="10" t="str">
        <f>IF(2748&gt;$C$9008,"",INDEX($B$9:$B$9008,MATCH(2748,$C$9:$C$9008,0)))</f>
        <v/>
      </c>
      <c r="B2756" s="9" t="str">
        <f>IFERROR(INDEX(Input!$L$20:$T$1019,INT((ROW()-9)/9)+1,MOD(ROW()-9,9)+1),"")</f>
        <v/>
      </c>
      <c r="C2756" s="9">
        <f t="shared" si="42"/>
        <v>0</v>
      </c>
    </row>
    <row r="2757" spans="1:3" x14ac:dyDescent="0.2">
      <c r="A2757" s="10" t="str">
        <f>IF(2749&gt;$C$9008,"",INDEX($B$9:$B$9008,MATCH(2749,$C$9:$C$9008,0)))</f>
        <v/>
      </c>
      <c r="B2757" s="9" t="str">
        <f>IFERROR(INDEX(Input!$L$20:$T$1019,INT((ROW()-9)/9)+1,MOD(ROW()-9,9)+1),"")</f>
        <v/>
      </c>
      <c r="C2757" s="9">
        <f t="shared" si="42"/>
        <v>0</v>
      </c>
    </row>
    <row r="2758" spans="1:3" x14ac:dyDescent="0.2">
      <c r="A2758" s="10" t="str">
        <f>IF(2750&gt;$C$9008,"",INDEX($B$9:$B$9008,MATCH(2750,$C$9:$C$9008,0)))</f>
        <v/>
      </c>
      <c r="B2758" s="9" t="str">
        <f>IFERROR(INDEX(Input!$L$20:$T$1019,INT((ROW()-9)/9)+1,MOD(ROW()-9,9)+1),"")</f>
        <v/>
      </c>
      <c r="C2758" s="9">
        <f t="shared" si="42"/>
        <v>0</v>
      </c>
    </row>
    <row r="2759" spans="1:3" x14ac:dyDescent="0.2">
      <c r="A2759" s="10" t="str">
        <f>IF(2751&gt;$C$9008,"",INDEX($B$9:$B$9008,MATCH(2751,$C$9:$C$9008,0)))</f>
        <v/>
      </c>
      <c r="B2759" s="9" t="str">
        <f>IFERROR(INDEX(Input!$L$20:$T$1019,INT((ROW()-9)/9)+1,MOD(ROW()-9,9)+1),"")</f>
        <v/>
      </c>
      <c r="C2759" s="9">
        <f t="shared" si="42"/>
        <v>0</v>
      </c>
    </row>
    <row r="2760" spans="1:3" x14ac:dyDescent="0.2">
      <c r="A2760" s="10" t="str">
        <f>IF(2752&gt;$C$9008,"",INDEX($B$9:$B$9008,MATCH(2752,$C$9:$C$9008,0)))</f>
        <v/>
      </c>
      <c r="B2760" s="9" t="str">
        <f>IFERROR(INDEX(Input!$L$20:$T$1019,INT((ROW()-9)/9)+1,MOD(ROW()-9,9)+1),"")</f>
        <v/>
      </c>
      <c r="C2760" s="9">
        <f t="shared" si="42"/>
        <v>0</v>
      </c>
    </row>
    <row r="2761" spans="1:3" x14ac:dyDescent="0.2">
      <c r="A2761" s="10" t="str">
        <f>IF(2753&gt;$C$9008,"",INDEX($B$9:$B$9008,MATCH(2753,$C$9:$C$9008,0)))</f>
        <v/>
      </c>
      <c r="B2761" s="9" t="str">
        <f>IFERROR(INDEX(Input!$L$20:$T$1019,INT((ROW()-9)/9)+1,MOD(ROW()-9,9)+1),"")</f>
        <v/>
      </c>
      <c r="C2761" s="9">
        <f t="shared" ref="C2761:C2824" si="43">$C2760+IF($B2761&lt;&gt;"",1,0)</f>
        <v>0</v>
      </c>
    </row>
    <row r="2762" spans="1:3" x14ac:dyDescent="0.2">
      <c r="A2762" s="10" t="str">
        <f>IF(2754&gt;$C$9008,"",INDEX($B$9:$B$9008,MATCH(2754,$C$9:$C$9008,0)))</f>
        <v/>
      </c>
      <c r="B2762" s="9" t="str">
        <f>IFERROR(INDEX(Input!$L$20:$T$1019,INT((ROW()-9)/9)+1,MOD(ROW()-9,9)+1),"")</f>
        <v/>
      </c>
      <c r="C2762" s="9">
        <f t="shared" si="43"/>
        <v>0</v>
      </c>
    </row>
    <row r="2763" spans="1:3" x14ac:dyDescent="0.2">
      <c r="A2763" s="10" t="str">
        <f>IF(2755&gt;$C$9008,"",INDEX($B$9:$B$9008,MATCH(2755,$C$9:$C$9008,0)))</f>
        <v/>
      </c>
      <c r="B2763" s="9" t="str">
        <f>IFERROR(INDEX(Input!$L$20:$T$1019,INT((ROW()-9)/9)+1,MOD(ROW()-9,9)+1),"")</f>
        <v/>
      </c>
      <c r="C2763" s="9">
        <f t="shared" si="43"/>
        <v>0</v>
      </c>
    </row>
    <row r="2764" spans="1:3" x14ac:dyDescent="0.2">
      <c r="A2764" s="10" t="str">
        <f>IF(2756&gt;$C$9008,"",INDEX($B$9:$B$9008,MATCH(2756,$C$9:$C$9008,0)))</f>
        <v/>
      </c>
      <c r="B2764" s="9" t="str">
        <f>IFERROR(INDEX(Input!$L$20:$T$1019,INT((ROW()-9)/9)+1,MOD(ROW()-9,9)+1),"")</f>
        <v/>
      </c>
      <c r="C2764" s="9">
        <f t="shared" si="43"/>
        <v>0</v>
      </c>
    </row>
    <row r="2765" spans="1:3" x14ac:dyDescent="0.2">
      <c r="A2765" s="10" t="str">
        <f>IF(2757&gt;$C$9008,"",INDEX($B$9:$B$9008,MATCH(2757,$C$9:$C$9008,0)))</f>
        <v/>
      </c>
      <c r="B2765" s="9" t="str">
        <f>IFERROR(INDEX(Input!$L$20:$T$1019,INT((ROW()-9)/9)+1,MOD(ROW()-9,9)+1),"")</f>
        <v/>
      </c>
      <c r="C2765" s="9">
        <f t="shared" si="43"/>
        <v>0</v>
      </c>
    </row>
    <row r="2766" spans="1:3" x14ac:dyDescent="0.2">
      <c r="A2766" s="10" t="str">
        <f>IF(2758&gt;$C$9008,"",INDEX($B$9:$B$9008,MATCH(2758,$C$9:$C$9008,0)))</f>
        <v/>
      </c>
      <c r="B2766" s="9" t="str">
        <f>IFERROR(INDEX(Input!$L$20:$T$1019,INT((ROW()-9)/9)+1,MOD(ROW()-9,9)+1),"")</f>
        <v/>
      </c>
      <c r="C2766" s="9">
        <f t="shared" si="43"/>
        <v>0</v>
      </c>
    </row>
    <row r="2767" spans="1:3" x14ac:dyDescent="0.2">
      <c r="A2767" s="10" t="str">
        <f>IF(2759&gt;$C$9008,"",INDEX($B$9:$B$9008,MATCH(2759,$C$9:$C$9008,0)))</f>
        <v/>
      </c>
      <c r="B2767" s="9" t="str">
        <f>IFERROR(INDEX(Input!$L$20:$T$1019,INT((ROW()-9)/9)+1,MOD(ROW()-9,9)+1),"")</f>
        <v/>
      </c>
      <c r="C2767" s="9">
        <f t="shared" si="43"/>
        <v>0</v>
      </c>
    </row>
    <row r="2768" spans="1:3" x14ac:dyDescent="0.2">
      <c r="A2768" s="10" t="str">
        <f>IF(2760&gt;$C$9008,"",INDEX($B$9:$B$9008,MATCH(2760,$C$9:$C$9008,0)))</f>
        <v/>
      </c>
      <c r="B2768" s="9" t="str">
        <f>IFERROR(INDEX(Input!$L$20:$T$1019,INT((ROW()-9)/9)+1,MOD(ROW()-9,9)+1),"")</f>
        <v/>
      </c>
      <c r="C2768" s="9">
        <f t="shared" si="43"/>
        <v>0</v>
      </c>
    </row>
    <row r="2769" spans="1:3" x14ac:dyDescent="0.2">
      <c r="A2769" s="10" t="str">
        <f>IF(2761&gt;$C$9008,"",INDEX($B$9:$B$9008,MATCH(2761,$C$9:$C$9008,0)))</f>
        <v/>
      </c>
      <c r="B2769" s="9" t="str">
        <f>IFERROR(INDEX(Input!$L$20:$T$1019,INT((ROW()-9)/9)+1,MOD(ROW()-9,9)+1),"")</f>
        <v/>
      </c>
      <c r="C2769" s="9">
        <f t="shared" si="43"/>
        <v>0</v>
      </c>
    </row>
    <row r="2770" spans="1:3" x14ac:dyDescent="0.2">
      <c r="A2770" s="10" t="str">
        <f>IF(2762&gt;$C$9008,"",INDEX($B$9:$B$9008,MATCH(2762,$C$9:$C$9008,0)))</f>
        <v/>
      </c>
      <c r="B2770" s="9" t="str">
        <f>IFERROR(INDEX(Input!$L$20:$T$1019,INT((ROW()-9)/9)+1,MOD(ROW()-9,9)+1),"")</f>
        <v/>
      </c>
      <c r="C2770" s="9">
        <f t="shared" si="43"/>
        <v>0</v>
      </c>
    </row>
    <row r="2771" spans="1:3" x14ac:dyDescent="0.2">
      <c r="A2771" s="10" t="str">
        <f>IF(2763&gt;$C$9008,"",INDEX($B$9:$B$9008,MATCH(2763,$C$9:$C$9008,0)))</f>
        <v/>
      </c>
      <c r="B2771" s="9" t="str">
        <f>IFERROR(INDEX(Input!$L$20:$T$1019,INT((ROW()-9)/9)+1,MOD(ROW()-9,9)+1),"")</f>
        <v/>
      </c>
      <c r="C2771" s="9">
        <f t="shared" si="43"/>
        <v>0</v>
      </c>
    </row>
    <row r="2772" spans="1:3" x14ac:dyDescent="0.2">
      <c r="A2772" s="10" t="str">
        <f>IF(2764&gt;$C$9008,"",INDEX($B$9:$B$9008,MATCH(2764,$C$9:$C$9008,0)))</f>
        <v/>
      </c>
      <c r="B2772" s="9" t="str">
        <f>IFERROR(INDEX(Input!$L$20:$T$1019,INT((ROW()-9)/9)+1,MOD(ROW()-9,9)+1),"")</f>
        <v/>
      </c>
      <c r="C2772" s="9">
        <f t="shared" si="43"/>
        <v>0</v>
      </c>
    </row>
    <row r="2773" spans="1:3" x14ac:dyDescent="0.2">
      <c r="A2773" s="10" t="str">
        <f>IF(2765&gt;$C$9008,"",INDEX($B$9:$B$9008,MATCH(2765,$C$9:$C$9008,0)))</f>
        <v/>
      </c>
      <c r="B2773" s="9" t="str">
        <f>IFERROR(INDEX(Input!$L$20:$T$1019,INT((ROW()-9)/9)+1,MOD(ROW()-9,9)+1),"")</f>
        <v/>
      </c>
      <c r="C2773" s="9">
        <f t="shared" si="43"/>
        <v>0</v>
      </c>
    </row>
    <row r="2774" spans="1:3" x14ac:dyDescent="0.2">
      <c r="A2774" s="10" t="str">
        <f>IF(2766&gt;$C$9008,"",INDEX($B$9:$B$9008,MATCH(2766,$C$9:$C$9008,0)))</f>
        <v/>
      </c>
      <c r="B2774" s="9" t="str">
        <f>IFERROR(INDEX(Input!$L$20:$T$1019,INT((ROW()-9)/9)+1,MOD(ROW()-9,9)+1),"")</f>
        <v/>
      </c>
      <c r="C2774" s="9">
        <f t="shared" si="43"/>
        <v>0</v>
      </c>
    </row>
    <row r="2775" spans="1:3" x14ac:dyDescent="0.2">
      <c r="A2775" s="10" t="str">
        <f>IF(2767&gt;$C$9008,"",INDEX($B$9:$B$9008,MATCH(2767,$C$9:$C$9008,0)))</f>
        <v/>
      </c>
      <c r="B2775" s="9" t="str">
        <f>IFERROR(INDEX(Input!$L$20:$T$1019,INT((ROW()-9)/9)+1,MOD(ROW()-9,9)+1),"")</f>
        <v/>
      </c>
      <c r="C2775" s="9">
        <f t="shared" si="43"/>
        <v>0</v>
      </c>
    </row>
    <row r="2776" spans="1:3" x14ac:dyDescent="0.2">
      <c r="A2776" s="10" t="str">
        <f>IF(2768&gt;$C$9008,"",INDEX($B$9:$B$9008,MATCH(2768,$C$9:$C$9008,0)))</f>
        <v/>
      </c>
      <c r="B2776" s="9" t="str">
        <f>IFERROR(INDEX(Input!$L$20:$T$1019,INT((ROW()-9)/9)+1,MOD(ROW()-9,9)+1),"")</f>
        <v/>
      </c>
      <c r="C2776" s="9">
        <f t="shared" si="43"/>
        <v>0</v>
      </c>
    </row>
    <row r="2777" spans="1:3" x14ac:dyDescent="0.2">
      <c r="A2777" s="10" t="str">
        <f>IF(2769&gt;$C$9008,"",INDEX($B$9:$B$9008,MATCH(2769,$C$9:$C$9008,0)))</f>
        <v/>
      </c>
      <c r="B2777" s="9" t="str">
        <f>IFERROR(INDEX(Input!$L$20:$T$1019,INT((ROW()-9)/9)+1,MOD(ROW()-9,9)+1),"")</f>
        <v/>
      </c>
      <c r="C2777" s="9">
        <f t="shared" si="43"/>
        <v>0</v>
      </c>
    </row>
    <row r="2778" spans="1:3" x14ac:dyDescent="0.2">
      <c r="A2778" s="10" t="str">
        <f>IF(2770&gt;$C$9008,"",INDEX($B$9:$B$9008,MATCH(2770,$C$9:$C$9008,0)))</f>
        <v/>
      </c>
      <c r="B2778" s="9" t="str">
        <f>IFERROR(INDEX(Input!$L$20:$T$1019,INT((ROW()-9)/9)+1,MOD(ROW()-9,9)+1),"")</f>
        <v/>
      </c>
      <c r="C2778" s="9">
        <f t="shared" si="43"/>
        <v>0</v>
      </c>
    </row>
    <row r="2779" spans="1:3" x14ac:dyDescent="0.2">
      <c r="A2779" s="10" t="str">
        <f>IF(2771&gt;$C$9008,"",INDEX($B$9:$B$9008,MATCH(2771,$C$9:$C$9008,0)))</f>
        <v/>
      </c>
      <c r="B2779" s="9" t="str">
        <f>IFERROR(INDEX(Input!$L$20:$T$1019,INT((ROW()-9)/9)+1,MOD(ROW()-9,9)+1),"")</f>
        <v/>
      </c>
      <c r="C2779" s="9">
        <f t="shared" si="43"/>
        <v>0</v>
      </c>
    </row>
    <row r="2780" spans="1:3" x14ac:dyDescent="0.2">
      <c r="A2780" s="10" t="str">
        <f>IF(2772&gt;$C$9008,"",INDEX($B$9:$B$9008,MATCH(2772,$C$9:$C$9008,0)))</f>
        <v/>
      </c>
      <c r="B2780" s="9" t="str">
        <f>IFERROR(INDEX(Input!$L$20:$T$1019,INT((ROW()-9)/9)+1,MOD(ROW()-9,9)+1),"")</f>
        <v/>
      </c>
      <c r="C2780" s="9">
        <f t="shared" si="43"/>
        <v>0</v>
      </c>
    </row>
    <row r="2781" spans="1:3" x14ac:dyDescent="0.2">
      <c r="A2781" s="10" t="str">
        <f>IF(2773&gt;$C$9008,"",INDEX($B$9:$B$9008,MATCH(2773,$C$9:$C$9008,0)))</f>
        <v/>
      </c>
      <c r="B2781" s="9" t="str">
        <f>IFERROR(INDEX(Input!$L$20:$T$1019,INT((ROW()-9)/9)+1,MOD(ROW()-9,9)+1),"")</f>
        <v/>
      </c>
      <c r="C2781" s="9">
        <f t="shared" si="43"/>
        <v>0</v>
      </c>
    </row>
    <row r="2782" spans="1:3" x14ac:dyDescent="0.2">
      <c r="A2782" s="10" t="str">
        <f>IF(2774&gt;$C$9008,"",INDEX($B$9:$B$9008,MATCH(2774,$C$9:$C$9008,0)))</f>
        <v/>
      </c>
      <c r="B2782" s="9" t="str">
        <f>IFERROR(INDEX(Input!$L$20:$T$1019,INT((ROW()-9)/9)+1,MOD(ROW()-9,9)+1),"")</f>
        <v/>
      </c>
      <c r="C2782" s="9">
        <f t="shared" si="43"/>
        <v>0</v>
      </c>
    </row>
    <row r="2783" spans="1:3" x14ac:dyDescent="0.2">
      <c r="A2783" s="10" t="str">
        <f>IF(2775&gt;$C$9008,"",INDEX($B$9:$B$9008,MATCH(2775,$C$9:$C$9008,0)))</f>
        <v/>
      </c>
      <c r="B2783" s="9" t="str">
        <f>IFERROR(INDEX(Input!$L$20:$T$1019,INT((ROW()-9)/9)+1,MOD(ROW()-9,9)+1),"")</f>
        <v/>
      </c>
      <c r="C2783" s="9">
        <f t="shared" si="43"/>
        <v>0</v>
      </c>
    </row>
    <row r="2784" spans="1:3" x14ac:dyDescent="0.2">
      <c r="A2784" s="10" t="str">
        <f>IF(2776&gt;$C$9008,"",INDEX($B$9:$B$9008,MATCH(2776,$C$9:$C$9008,0)))</f>
        <v/>
      </c>
      <c r="B2784" s="9" t="str">
        <f>IFERROR(INDEX(Input!$L$20:$T$1019,INT((ROW()-9)/9)+1,MOD(ROW()-9,9)+1),"")</f>
        <v/>
      </c>
      <c r="C2784" s="9">
        <f t="shared" si="43"/>
        <v>0</v>
      </c>
    </row>
    <row r="2785" spans="1:3" x14ac:dyDescent="0.2">
      <c r="A2785" s="10" t="str">
        <f>IF(2777&gt;$C$9008,"",INDEX($B$9:$B$9008,MATCH(2777,$C$9:$C$9008,0)))</f>
        <v/>
      </c>
      <c r="B2785" s="9" t="str">
        <f>IFERROR(INDEX(Input!$L$20:$T$1019,INT((ROW()-9)/9)+1,MOD(ROW()-9,9)+1),"")</f>
        <v/>
      </c>
      <c r="C2785" s="9">
        <f t="shared" si="43"/>
        <v>0</v>
      </c>
    </row>
    <row r="2786" spans="1:3" x14ac:dyDescent="0.2">
      <c r="A2786" s="10" t="str">
        <f>IF(2778&gt;$C$9008,"",INDEX($B$9:$B$9008,MATCH(2778,$C$9:$C$9008,0)))</f>
        <v/>
      </c>
      <c r="B2786" s="9" t="str">
        <f>IFERROR(INDEX(Input!$L$20:$T$1019,INT((ROW()-9)/9)+1,MOD(ROW()-9,9)+1),"")</f>
        <v/>
      </c>
      <c r="C2786" s="9">
        <f t="shared" si="43"/>
        <v>0</v>
      </c>
    </row>
    <row r="2787" spans="1:3" x14ac:dyDescent="0.2">
      <c r="A2787" s="10" t="str">
        <f>IF(2779&gt;$C$9008,"",INDEX($B$9:$B$9008,MATCH(2779,$C$9:$C$9008,0)))</f>
        <v/>
      </c>
      <c r="B2787" s="9" t="str">
        <f>IFERROR(INDEX(Input!$L$20:$T$1019,INT((ROW()-9)/9)+1,MOD(ROW()-9,9)+1),"")</f>
        <v/>
      </c>
      <c r="C2787" s="9">
        <f t="shared" si="43"/>
        <v>0</v>
      </c>
    </row>
    <row r="2788" spans="1:3" x14ac:dyDescent="0.2">
      <c r="A2788" s="10" t="str">
        <f>IF(2780&gt;$C$9008,"",INDEX($B$9:$B$9008,MATCH(2780,$C$9:$C$9008,0)))</f>
        <v/>
      </c>
      <c r="B2788" s="9" t="str">
        <f>IFERROR(INDEX(Input!$L$20:$T$1019,INT((ROW()-9)/9)+1,MOD(ROW()-9,9)+1),"")</f>
        <v/>
      </c>
      <c r="C2788" s="9">
        <f t="shared" si="43"/>
        <v>0</v>
      </c>
    </row>
    <row r="2789" spans="1:3" x14ac:dyDescent="0.2">
      <c r="A2789" s="10" t="str">
        <f>IF(2781&gt;$C$9008,"",INDEX($B$9:$B$9008,MATCH(2781,$C$9:$C$9008,0)))</f>
        <v/>
      </c>
      <c r="B2789" s="9" t="str">
        <f>IFERROR(INDEX(Input!$L$20:$T$1019,INT((ROW()-9)/9)+1,MOD(ROW()-9,9)+1),"")</f>
        <v/>
      </c>
      <c r="C2789" s="9">
        <f t="shared" si="43"/>
        <v>0</v>
      </c>
    </row>
    <row r="2790" spans="1:3" x14ac:dyDescent="0.2">
      <c r="A2790" s="10" t="str">
        <f>IF(2782&gt;$C$9008,"",INDEX($B$9:$B$9008,MATCH(2782,$C$9:$C$9008,0)))</f>
        <v/>
      </c>
      <c r="B2790" s="9" t="str">
        <f>IFERROR(INDEX(Input!$L$20:$T$1019,INT((ROW()-9)/9)+1,MOD(ROW()-9,9)+1),"")</f>
        <v/>
      </c>
      <c r="C2790" s="9">
        <f t="shared" si="43"/>
        <v>0</v>
      </c>
    </row>
    <row r="2791" spans="1:3" x14ac:dyDescent="0.2">
      <c r="A2791" s="10" t="str">
        <f>IF(2783&gt;$C$9008,"",INDEX($B$9:$B$9008,MATCH(2783,$C$9:$C$9008,0)))</f>
        <v/>
      </c>
      <c r="B2791" s="9" t="str">
        <f>IFERROR(INDEX(Input!$L$20:$T$1019,INT((ROW()-9)/9)+1,MOD(ROW()-9,9)+1),"")</f>
        <v/>
      </c>
      <c r="C2791" s="9">
        <f t="shared" si="43"/>
        <v>0</v>
      </c>
    </row>
    <row r="2792" spans="1:3" x14ac:dyDescent="0.2">
      <c r="A2792" s="10" t="str">
        <f>IF(2784&gt;$C$9008,"",INDEX($B$9:$B$9008,MATCH(2784,$C$9:$C$9008,0)))</f>
        <v/>
      </c>
      <c r="B2792" s="9" t="str">
        <f>IFERROR(INDEX(Input!$L$20:$T$1019,INT((ROW()-9)/9)+1,MOD(ROW()-9,9)+1),"")</f>
        <v/>
      </c>
      <c r="C2792" s="9">
        <f t="shared" si="43"/>
        <v>0</v>
      </c>
    </row>
    <row r="2793" spans="1:3" x14ac:dyDescent="0.2">
      <c r="A2793" s="10" t="str">
        <f>IF(2785&gt;$C$9008,"",INDEX($B$9:$B$9008,MATCH(2785,$C$9:$C$9008,0)))</f>
        <v/>
      </c>
      <c r="B2793" s="9" t="str">
        <f>IFERROR(INDEX(Input!$L$20:$T$1019,INT((ROW()-9)/9)+1,MOD(ROW()-9,9)+1),"")</f>
        <v/>
      </c>
      <c r="C2793" s="9">
        <f t="shared" si="43"/>
        <v>0</v>
      </c>
    </row>
    <row r="2794" spans="1:3" x14ac:dyDescent="0.2">
      <c r="A2794" s="10" t="str">
        <f>IF(2786&gt;$C$9008,"",INDEX($B$9:$B$9008,MATCH(2786,$C$9:$C$9008,0)))</f>
        <v/>
      </c>
      <c r="B2794" s="9" t="str">
        <f>IFERROR(INDEX(Input!$L$20:$T$1019,INT((ROW()-9)/9)+1,MOD(ROW()-9,9)+1),"")</f>
        <v/>
      </c>
      <c r="C2794" s="9">
        <f t="shared" si="43"/>
        <v>0</v>
      </c>
    </row>
    <row r="2795" spans="1:3" x14ac:dyDescent="0.2">
      <c r="A2795" s="10" t="str">
        <f>IF(2787&gt;$C$9008,"",INDEX($B$9:$B$9008,MATCH(2787,$C$9:$C$9008,0)))</f>
        <v/>
      </c>
      <c r="B2795" s="9" t="str">
        <f>IFERROR(INDEX(Input!$L$20:$T$1019,INT((ROW()-9)/9)+1,MOD(ROW()-9,9)+1),"")</f>
        <v/>
      </c>
      <c r="C2795" s="9">
        <f t="shared" si="43"/>
        <v>0</v>
      </c>
    </row>
    <row r="2796" spans="1:3" x14ac:dyDescent="0.2">
      <c r="A2796" s="10" t="str">
        <f>IF(2788&gt;$C$9008,"",INDEX($B$9:$B$9008,MATCH(2788,$C$9:$C$9008,0)))</f>
        <v/>
      </c>
      <c r="B2796" s="9" t="str">
        <f>IFERROR(INDEX(Input!$L$20:$T$1019,INT((ROW()-9)/9)+1,MOD(ROW()-9,9)+1),"")</f>
        <v/>
      </c>
      <c r="C2796" s="9">
        <f t="shared" si="43"/>
        <v>0</v>
      </c>
    </row>
    <row r="2797" spans="1:3" x14ac:dyDescent="0.2">
      <c r="A2797" s="10" t="str">
        <f>IF(2789&gt;$C$9008,"",INDEX($B$9:$B$9008,MATCH(2789,$C$9:$C$9008,0)))</f>
        <v/>
      </c>
      <c r="B2797" s="9" t="str">
        <f>IFERROR(INDEX(Input!$L$20:$T$1019,INT((ROW()-9)/9)+1,MOD(ROW()-9,9)+1),"")</f>
        <v/>
      </c>
      <c r="C2797" s="9">
        <f t="shared" si="43"/>
        <v>0</v>
      </c>
    </row>
    <row r="2798" spans="1:3" x14ac:dyDescent="0.2">
      <c r="A2798" s="10" t="str">
        <f>IF(2790&gt;$C$9008,"",INDEX($B$9:$B$9008,MATCH(2790,$C$9:$C$9008,0)))</f>
        <v/>
      </c>
      <c r="B2798" s="9" t="str">
        <f>IFERROR(INDEX(Input!$L$20:$T$1019,INT((ROW()-9)/9)+1,MOD(ROW()-9,9)+1),"")</f>
        <v/>
      </c>
      <c r="C2798" s="9">
        <f t="shared" si="43"/>
        <v>0</v>
      </c>
    </row>
    <row r="2799" spans="1:3" x14ac:dyDescent="0.2">
      <c r="A2799" s="10" t="str">
        <f>IF(2791&gt;$C$9008,"",INDEX($B$9:$B$9008,MATCH(2791,$C$9:$C$9008,0)))</f>
        <v/>
      </c>
      <c r="B2799" s="9" t="str">
        <f>IFERROR(INDEX(Input!$L$20:$T$1019,INT((ROW()-9)/9)+1,MOD(ROW()-9,9)+1),"")</f>
        <v/>
      </c>
      <c r="C2799" s="9">
        <f t="shared" si="43"/>
        <v>0</v>
      </c>
    </row>
    <row r="2800" spans="1:3" x14ac:dyDescent="0.2">
      <c r="A2800" s="10" t="str">
        <f>IF(2792&gt;$C$9008,"",INDEX($B$9:$B$9008,MATCH(2792,$C$9:$C$9008,0)))</f>
        <v/>
      </c>
      <c r="B2800" s="9" t="str">
        <f>IFERROR(INDEX(Input!$L$20:$T$1019,INT((ROW()-9)/9)+1,MOD(ROW()-9,9)+1),"")</f>
        <v/>
      </c>
      <c r="C2800" s="9">
        <f t="shared" si="43"/>
        <v>0</v>
      </c>
    </row>
    <row r="2801" spans="1:3" x14ac:dyDescent="0.2">
      <c r="A2801" s="10" t="str">
        <f>IF(2793&gt;$C$9008,"",INDEX($B$9:$B$9008,MATCH(2793,$C$9:$C$9008,0)))</f>
        <v/>
      </c>
      <c r="B2801" s="9" t="str">
        <f>IFERROR(INDEX(Input!$L$20:$T$1019,INT((ROW()-9)/9)+1,MOD(ROW()-9,9)+1),"")</f>
        <v/>
      </c>
      <c r="C2801" s="9">
        <f t="shared" si="43"/>
        <v>0</v>
      </c>
    </row>
    <row r="2802" spans="1:3" x14ac:dyDescent="0.2">
      <c r="A2802" s="10" t="str">
        <f>IF(2794&gt;$C$9008,"",INDEX($B$9:$B$9008,MATCH(2794,$C$9:$C$9008,0)))</f>
        <v/>
      </c>
      <c r="B2802" s="9" t="str">
        <f>IFERROR(INDEX(Input!$L$20:$T$1019,INT((ROW()-9)/9)+1,MOD(ROW()-9,9)+1),"")</f>
        <v/>
      </c>
      <c r="C2802" s="9">
        <f t="shared" si="43"/>
        <v>0</v>
      </c>
    </row>
    <row r="2803" spans="1:3" x14ac:dyDescent="0.2">
      <c r="A2803" s="10" t="str">
        <f>IF(2795&gt;$C$9008,"",INDEX($B$9:$B$9008,MATCH(2795,$C$9:$C$9008,0)))</f>
        <v/>
      </c>
      <c r="B2803" s="9" t="str">
        <f>IFERROR(INDEX(Input!$L$20:$T$1019,INT((ROW()-9)/9)+1,MOD(ROW()-9,9)+1),"")</f>
        <v/>
      </c>
      <c r="C2803" s="9">
        <f t="shared" si="43"/>
        <v>0</v>
      </c>
    </row>
    <row r="2804" spans="1:3" x14ac:dyDescent="0.2">
      <c r="A2804" s="10" t="str">
        <f>IF(2796&gt;$C$9008,"",INDEX($B$9:$B$9008,MATCH(2796,$C$9:$C$9008,0)))</f>
        <v/>
      </c>
      <c r="B2804" s="9" t="str">
        <f>IFERROR(INDEX(Input!$L$20:$T$1019,INT((ROW()-9)/9)+1,MOD(ROW()-9,9)+1),"")</f>
        <v/>
      </c>
      <c r="C2804" s="9">
        <f t="shared" si="43"/>
        <v>0</v>
      </c>
    </row>
    <row r="2805" spans="1:3" x14ac:dyDescent="0.2">
      <c r="A2805" s="10" t="str">
        <f>IF(2797&gt;$C$9008,"",INDEX($B$9:$B$9008,MATCH(2797,$C$9:$C$9008,0)))</f>
        <v/>
      </c>
      <c r="B2805" s="9" t="str">
        <f>IFERROR(INDEX(Input!$L$20:$T$1019,INT((ROW()-9)/9)+1,MOD(ROW()-9,9)+1),"")</f>
        <v/>
      </c>
      <c r="C2805" s="9">
        <f t="shared" si="43"/>
        <v>0</v>
      </c>
    </row>
    <row r="2806" spans="1:3" x14ac:dyDescent="0.2">
      <c r="A2806" s="10" t="str">
        <f>IF(2798&gt;$C$9008,"",INDEX($B$9:$B$9008,MATCH(2798,$C$9:$C$9008,0)))</f>
        <v/>
      </c>
      <c r="B2806" s="9" t="str">
        <f>IFERROR(INDEX(Input!$L$20:$T$1019,INT((ROW()-9)/9)+1,MOD(ROW()-9,9)+1),"")</f>
        <v/>
      </c>
      <c r="C2806" s="9">
        <f t="shared" si="43"/>
        <v>0</v>
      </c>
    </row>
    <row r="2807" spans="1:3" x14ac:dyDescent="0.2">
      <c r="A2807" s="10" t="str">
        <f>IF(2799&gt;$C$9008,"",INDEX($B$9:$B$9008,MATCH(2799,$C$9:$C$9008,0)))</f>
        <v/>
      </c>
      <c r="B2807" s="9" t="str">
        <f>IFERROR(INDEX(Input!$L$20:$T$1019,INT((ROW()-9)/9)+1,MOD(ROW()-9,9)+1),"")</f>
        <v/>
      </c>
      <c r="C2807" s="9">
        <f t="shared" si="43"/>
        <v>0</v>
      </c>
    </row>
    <row r="2808" spans="1:3" x14ac:dyDescent="0.2">
      <c r="A2808" s="10" t="str">
        <f>IF(2800&gt;$C$9008,"",INDEX($B$9:$B$9008,MATCH(2800,$C$9:$C$9008,0)))</f>
        <v/>
      </c>
      <c r="B2808" s="9" t="str">
        <f>IFERROR(INDEX(Input!$L$20:$T$1019,INT((ROW()-9)/9)+1,MOD(ROW()-9,9)+1),"")</f>
        <v/>
      </c>
      <c r="C2808" s="9">
        <f t="shared" si="43"/>
        <v>0</v>
      </c>
    </row>
    <row r="2809" spans="1:3" x14ac:dyDescent="0.2">
      <c r="A2809" s="10" t="str">
        <f>IF(2801&gt;$C$9008,"",INDEX($B$9:$B$9008,MATCH(2801,$C$9:$C$9008,0)))</f>
        <v/>
      </c>
      <c r="B2809" s="9" t="str">
        <f>IFERROR(INDEX(Input!$L$20:$T$1019,INT((ROW()-9)/9)+1,MOD(ROW()-9,9)+1),"")</f>
        <v/>
      </c>
      <c r="C2809" s="9">
        <f t="shared" si="43"/>
        <v>0</v>
      </c>
    </row>
    <row r="2810" spans="1:3" x14ac:dyDescent="0.2">
      <c r="A2810" s="10" t="str">
        <f>IF(2802&gt;$C$9008,"",INDEX($B$9:$B$9008,MATCH(2802,$C$9:$C$9008,0)))</f>
        <v/>
      </c>
      <c r="B2810" s="9" t="str">
        <f>IFERROR(INDEX(Input!$L$20:$T$1019,INT((ROW()-9)/9)+1,MOD(ROW()-9,9)+1),"")</f>
        <v/>
      </c>
      <c r="C2810" s="9">
        <f t="shared" si="43"/>
        <v>0</v>
      </c>
    </row>
    <row r="2811" spans="1:3" x14ac:dyDescent="0.2">
      <c r="A2811" s="10" t="str">
        <f>IF(2803&gt;$C$9008,"",INDEX($B$9:$B$9008,MATCH(2803,$C$9:$C$9008,0)))</f>
        <v/>
      </c>
      <c r="B2811" s="9" t="str">
        <f>IFERROR(INDEX(Input!$L$20:$T$1019,INT((ROW()-9)/9)+1,MOD(ROW()-9,9)+1),"")</f>
        <v/>
      </c>
      <c r="C2811" s="9">
        <f t="shared" si="43"/>
        <v>0</v>
      </c>
    </row>
    <row r="2812" spans="1:3" x14ac:dyDescent="0.2">
      <c r="A2812" s="10" t="str">
        <f>IF(2804&gt;$C$9008,"",INDEX($B$9:$B$9008,MATCH(2804,$C$9:$C$9008,0)))</f>
        <v/>
      </c>
      <c r="B2812" s="9" t="str">
        <f>IFERROR(INDEX(Input!$L$20:$T$1019,INT((ROW()-9)/9)+1,MOD(ROW()-9,9)+1),"")</f>
        <v/>
      </c>
      <c r="C2812" s="9">
        <f t="shared" si="43"/>
        <v>0</v>
      </c>
    </row>
    <row r="2813" spans="1:3" x14ac:dyDescent="0.2">
      <c r="A2813" s="10" t="str">
        <f>IF(2805&gt;$C$9008,"",INDEX($B$9:$B$9008,MATCH(2805,$C$9:$C$9008,0)))</f>
        <v/>
      </c>
      <c r="B2813" s="9" t="str">
        <f>IFERROR(INDEX(Input!$L$20:$T$1019,INT((ROW()-9)/9)+1,MOD(ROW()-9,9)+1),"")</f>
        <v/>
      </c>
      <c r="C2813" s="9">
        <f t="shared" si="43"/>
        <v>0</v>
      </c>
    </row>
    <row r="2814" spans="1:3" x14ac:dyDescent="0.2">
      <c r="A2814" s="10" t="str">
        <f>IF(2806&gt;$C$9008,"",INDEX($B$9:$B$9008,MATCH(2806,$C$9:$C$9008,0)))</f>
        <v/>
      </c>
      <c r="B2814" s="9" t="str">
        <f>IFERROR(INDEX(Input!$L$20:$T$1019,INT((ROW()-9)/9)+1,MOD(ROW()-9,9)+1),"")</f>
        <v/>
      </c>
      <c r="C2814" s="9">
        <f t="shared" si="43"/>
        <v>0</v>
      </c>
    </row>
    <row r="2815" spans="1:3" x14ac:dyDescent="0.2">
      <c r="A2815" s="10" t="str">
        <f>IF(2807&gt;$C$9008,"",INDEX($B$9:$B$9008,MATCH(2807,$C$9:$C$9008,0)))</f>
        <v/>
      </c>
      <c r="B2815" s="9" t="str">
        <f>IFERROR(INDEX(Input!$L$20:$T$1019,INT((ROW()-9)/9)+1,MOD(ROW()-9,9)+1),"")</f>
        <v/>
      </c>
      <c r="C2815" s="9">
        <f t="shared" si="43"/>
        <v>0</v>
      </c>
    </row>
    <row r="2816" spans="1:3" x14ac:dyDescent="0.2">
      <c r="A2816" s="10" t="str">
        <f>IF(2808&gt;$C$9008,"",INDEX($B$9:$B$9008,MATCH(2808,$C$9:$C$9008,0)))</f>
        <v/>
      </c>
      <c r="B2816" s="9" t="str">
        <f>IFERROR(INDEX(Input!$L$20:$T$1019,INT((ROW()-9)/9)+1,MOD(ROW()-9,9)+1),"")</f>
        <v/>
      </c>
      <c r="C2816" s="9">
        <f t="shared" si="43"/>
        <v>0</v>
      </c>
    </row>
    <row r="2817" spans="1:3" x14ac:dyDescent="0.2">
      <c r="A2817" s="10" t="str">
        <f>IF(2809&gt;$C$9008,"",INDEX($B$9:$B$9008,MATCH(2809,$C$9:$C$9008,0)))</f>
        <v/>
      </c>
      <c r="B2817" s="9" t="str">
        <f>IFERROR(INDEX(Input!$L$20:$T$1019,INT((ROW()-9)/9)+1,MOD(ROW()-9,9)+1),"")</f>
        <v/>
      </c>
      <c r="C2817" s="9">
        <f t="shared" si="43"/>
        <v>0</v>
      </c>
    </row>
    <row r="2818" spans="1:3" x14ac:dyDescent="0.2">
      <c r="A2818" s="10" t="str">
        <f>IF(2810&gt;$C$9008,"",INDEX($B$9:$B$9008,MATCH(2810,$C$9:$C$9008,0)))</f>
        <v/>
      </c>
      <c r="B2818" s="9" t="str">
        <f>IFERROR(INDEX(Input!$L$20:$T$1019,INT((ROW()-9)/9)+1,MOD(ROW()-9,9)+1),"")</f>
        <v/>
      </c>
      <c r="C2818" s="9">
        <f t="shared" si="43"/>
        <v>0</v>
      </c>
    </row>
    <row r="2819" spans="1:3" x14ac:dyDescent="0.2">
      <c r="A2819" s="10" t="str">
        <f>IF(2811&gt;$C$9008,"",INDEX($B$9:$B$9008,MATCH(2811,$C$9:$C$9008,0)))</f>
        <v/>
      </c>
      <c r="B2819" s="9" t="str">
        <f>IFERROR(INDEX(Input!$L$20:$T$1019,INT((ROW()-9)/9)+1,MOD(ROW()-9,9)+1),"")</f>
        <v/>
      </c>
      <c r="C2819" s="9">
        <f t="shared" si="43"/>
        <v>0</v>
      </c>
    </row>
    <row r="2820" spans="1:3" x14ac:dyDescent="0.2">
      <c r="A2820" s="10" t="str">
        <f>IF(2812&gt;$C$9008,"",INDEX($B$9:$B$9008,MATCH(2812,$C$9:$C$9008,0)))</f>
        <v/>
      </c>
      <c r="B2820" s="9" t="str">
        <f>IFERROR(INDEX(Input!$L$20:$T$1019,INT((ROW()-9)/9)+1,MOD(ROW()-9,9)+1),"")</f>
        <v/>
      </c>
      <c r="C2820" s="9">
        <f t="shared" si="43"/>
        <v>0</v>
      </c>
    </row>
    <row r="2821" spans="1:3" x14ac:dyDescent="0.2">
      <c r="A2821" s="10" t="str">
        <f>IF(2813&gt;$C$9008,"",INDEX($B$9:$B$9008,MATCH(2813,$C$9:$C$9008,0)))</f>
        <v/>
      </c>
      <c r="B2821" s="9" t="str">
        <f>IFERROR(INDEX(Input!$L$20:$T$1019,INT((ROW()-9)/9)+1,MOD(ROW()-9,9)+1),"")</f>
        <v/>
      </c>
      <c r="C2821" s="9">
        <f t="shared" si="43"/>
        <v>0</v>
      </c>
    </row>
    <row r="2822" spans="1:3" x14ac:dyDescent="0.2">
      <c r="A2822" s="10" t="str">
        <f>IF(2814&gt;$C$9008,"",INDEX($B$9:$B$9008,MATCH(2814,$C$9:$C$9008,0)))</f>
        <v/>
      </c>
      <c r="B2822" s="9" t="str">
        <f>IFERROR(INDEX(Input!$L$20:$T$1019,INT((ROW()-9)/9)+1,MOD(ROW()-9,9)+1),"")</f>
        <v/>
      </c>
      <c r="C2822" s="9">
        <f t="shared" si="43"/>
        <v>0</v>
      </c>
    </row>
    <row r="2823" spans="1:3" x14ac:dyDescent="0.2">
      <c r="A2823" s="10" t="str">
        <f>IF(2815&gt;$C$9008,"",INDEX($B$9:$B$9008,MATCH(2815,$C$9:$C$9008,0)))</f>
        <v/>
      </c>
      <c r="B2823" s="9" t="str">
        <f>IFERROR(INDEX(Input!$L$20:$T$1019,INT((ROW()-9)/9)+1,MOD(ROW()-9,9)+1),"")</f>
        <v/>
      </c>
      <c r="C2823" s="9">
        <f t="shared" si="43"/>
        <v>0</v>
      </c>
    </row>
    <row r="2824" spans="1:3" x14ac:dyDescent="0.2">
      <c r="A2824" s="10" t="str">
        <f>IF(2816&gt;$C$9008,"",INDEX($B$9:$B$9008,MATCH(2816,$C$9:$C$9008,0)))</f>
        <v/>
      </c>
      <c r="B2824" s="9" t="str">
        <f>IFERROR(INDEX(Input!$L$20:$T$1019,INT((ROW()-9)/9)+1,MOD(ROW()-9,9)+1),"")</f>
        <v/>
      </c>
      <c r="C2824" s="9">
        <f t="shared" si="43"/>
        <v>0</v>
      </c>
    </row>
    <row r="2825" spans="1:3" x14ac:dyDescent="0.2">
      <c r="A2825" s="10" t="str">
        <f>IF(2817&gt;$C$9008,"",INDEX($B$9:$B$9008,MATCH(2817,$C$9:$C$9008,0)))</f>
        <v/>
      </c>
      <c r="B2825" s="9" t="str">
        <f>IFERROR(INDEX(Input!$L$20:$T$1019,INT((ROW()-9)/9)+1,MOD(ROW()-9,9)+1),"")</f>
        <v/>
      </c>
      <c r="C2825" s="9">
        <f t="shared" ref="C2825:C2888" si="44">$C2824+IF($B2825&lt;&gt;"",1,0)</f>
        <v>0</v>
      </c>
    </row>
    <row r="2826" spans="1:3" x14ac:dyDescent="0.2">
      <c r="A2826" s="10" t="str">
        <f>IF(2818&gt;$C$9008,"",INDEX($B$9:$B$9008,MATCH(2818,$C$9:$C$9008,0)))</f>
        <v/>
      </c>
      <c r="B2826" s="9" t="str">
        <f>IFERROR(INDEX(Input!$L$20:$T$1019,INT((ROW()-9)/9)+1,MOD(ROW()-9,9)+1),"")</f>
        <v/>
      </c>
      <c r="C2826" s="9">
        <f t="shared" si="44"/>
        <v>0</v>
      </c>
    </row>
    <row r="2827" spans="1:3" x14ac:dyDescent="0.2">
      <c r="A2827" s="10" t="str">
        <f>IF(2819&gt;$C$9008,"",INDEX($B$9:$B$9008,MATCH(2819,$C$9:$C$9008,0)))</f>
        <v/>
      </c>
      <c r="B2827" s="9" t="str">
        <f>IFERROR(INDEX(Input!$L$20:$T$1019,INT((ROW()-9)/9)+1,MOD(ROW()-9,9)+1),"")</f>
        <v/>
      </c>
      <c r="C2827" s="9">
        <f t="shared" si="44"/>
        <v>0</v>
      </c>
    </row>
    <row r="2828" spans="1:3" x14ac:dyDescent="0.2">
      <c r="A2828" s="10" t="str">
        <f>IF(2820&gt;$C$9008,"",INDEX($B$9:$B$9008,MATCH(2820,$C$9:$C$9008,0)))</f>
        <v/>
      </c>
      <c r="B2828" s="9" t="str">
        <f>IFERROR(INDEX(Input!$L$20:$T$1019,INT((ROW()-9)/9)+1,MOD(ROW()-9,9)+1),"")</f>
        <v/>
      </c>
      <c r="C2828" s="9">
        <f t="shared" si="44"/>
        <v>0</v>
      </c>
    </row>
    <row r="2829" spans="1:3" x14ac:dyDescent="0.2">
      <c r="A2829" s="10" t="str">
        <f>IF(2821&gt;$C$9008,"",INDEX($B$9:$B$9008,MATCH(2821,$C$9:$C$9008,0)))</f>
        <v/>
      </c>
      <c r="B2829" s="9" t="str">
        <f>IFERROR(INDEX(Input!$L$20:$T$1019,INT((ROW()-9)/9)+1,MOD(ROW()-9,9)+1),"")</f>
        <v/>
      </c>
      <c r="C2829" s="9">
        <f t="shared" si="44"/>
        <v>0</v>
      </c>
    </row>
    <row r="2830" spans="1:3" x14ac:dyDescent="0.2">
      <c r="A2830" s="10" t="str">
        <f>IF(2822&gt;$C$9008,"",INDEX($B$9:$B$9008,MATCH(2822,$C$9:$C$9008,0)))</f>
        <v/>
      </c>
      <c r="B2830" s="9" t="str">
        <f>IFERROR(INDEX(Input!$L$20:$T$1019,INT((ROW()-9)/9)+1,MOD(ROW()-9,9)+1),"")</f>
        <v/>
      </c>
      <c r="C2830" s="9">
        <f t="shared" si="44"/>
        <v>0</v>
      </c>
    </row>
    <row r="2831" spans="1:3" x14ac:dyDescent="0.2">
      <c r="A2831" s="10" t="str">
        <f>IF(2823&gt;$C$9008,"",INDEX($B$9:$B$9008,MATCH(2823,$C$9:$C$9008,0)))</f>
        <v/>
      </c>
      <c r="B2831" s="9" t="str">
        <f>IFERROR(INDEX(Input!$L$20:$T$1019,INT((ROW()-9)/9)+1,MOD(ROW()-9,9)+1),"")</f>
        <v/>
      </c>
      <c r="C2831" s="9">
        <f t="shared" si="44"/>
        <v>0</v>
      </c>
    </row>
    <row r="2832" spans="1:3" x14ac:dyDescent="0.2">
      <c r="A2832" s="10" t="str">
        <f>IF(2824&gt;$C$9008,"",INDEX($B$9:$B$9008,MATCH(2824,$C$9:$C$9008,0)))</f>
        <v/>
      </c>
      <c r="B2832" s="9" t="str">
        <f>IFERROR(INDEX(Input!$L$20:$T$1019,INT((ROW()-9)/9)+1,MOD(ROW()-9,9)+1),"")</f>
        <v/>
      </c>
      <c r="C2832" s="9">
        <f t="shared" si="44"/>
        <v>0</v>
      </c>
    </row>
    <row r="2833" spans="1:3" x14ac:dyDescent="0.2">
      <c r="A2833" s="10" t="str">
        <f>IF(2825&gt;$C$9008,"",INDEX($B$9:$B$9008,MATCH(2825,$C$9:$C$9008,0)))</f>
        <v/>
      </c>
      <c r="B2833" s="9" t="str">
        <f>IFERROR(INDEX(Input!$L$20:$T$1019,INT((ROW()-9)/9)+1,MOD(ROW()-9,9)+1),"")</f>
        <v/>
      </c>
      <c r="C2833" s="9">
        <f t="shared" si="44"/>
        <v>0</v>
      </c>
    </row>
    <row r="2834" spans="1:3" x14ac:dyDescent="0.2">
      <c r="A2834" s="10" t="str">
        <f>IF(2826&gt;$C$9008,"",INDEX($B$9:$B$9008,MATCH(2826,$C$9:$C$9008,0)))</f>
        <v/>
      </c>
      <c r="B2834" s="9" t="str">
        <f>IFERROR(INDEX(Input!$L$20:$T$1019,INT((ROW()-9)/9)+1,MOD(ROW()-9,9)+1),"")</f>
        <v/>
      </c>
      <c r="C2834" s="9">
        <f t="shared" si="44"/>
        <v>0</v>
      </c>
    </row>
    <row r="2835" spans="1:3" x14ac:dyDescent="0.2">
      <c r="A2835" s="10" t="str">
        <f>IF(2827&gt;$C$9008,"",INDEX($B$9:$B$9008,MATCH(2827,$C$9:$C$9008,0)))</f>
        <v/>
      </c>
      <c r="B2835" s="9" t="str">
        <f>IFERROR(INDEX(Input!$L$20:$T$1019,INT((ROW()-9)/9)+1,MOD(ROW()-9,9)+1),"")</f>
        <v/>
      </c>
      <c r="C2835" s="9">
        <f t="shared" si="44"/>
        <v>0</v>
      </c>
    </row>
    <row r="2836" spans="1:3" x14ac:dyDescent="0.2">
      <c r="A2836" s="10" t="str">
        <f>IF(2828&gt;$C$9008,"",INDEX($B$9:$B$9008,MATCH(2828,$C$9:$C$9008,0)))</f>
        <v/>
      </c>
      <c r="B2836" s="9" t="str">
        <f>IFERROR(INDEX(Input!$L$20:$T$1019,INT((ROW()-9)/9)+1,MOD(ROW()-9,9)+1),"")</f>
        <v/>
      </c>
      <c r="C2836" s="9">
        <f t="shared" si="44"/>
        <v>0</v>
      </c>
    </row>
    <row r="2837" spans="1:3" x14ac:dyDescent="0.2">
      <c r="A2837" s="10" t="str">
        <f>IF(2829&gt;$C$9008,"",INDEX($B$9:$B$9008,MATCH(2829,$C$9:$C$9008,0)))</f>
        <v/>
      </c>
      <c r="B2837" s="9" t="str">
        <f>IFERROR(INDEX(Input!$L$20:$T$1019,INT((ROW()-9)/9)+1,MOD(ROW()-9,9)+1),"")</f>
        <v/>
      </c>
      <c r="C2837" s="9">
        <f t="shared" si="44"/>
        <v>0</v>
      </c>
    </row>
    <row r="2838" spans="1:3" x14ac:dyDescent="0.2">
      <c r="A2838" s="10" t="str">
        <f>IF(2830&gt;$C$9008,"",INDEX($B$9:$B$9008,MATCH(2830,$C$9:$C$9008,0)))</f>
        <v/>
      </c>
      <c r="B2838" s="9" t="str">
        <f>IFERROR(INDEX(Input!$L$20:$T$1019,INT((ROW()-9)/9)+1,MOD(ROW()-9,9)+1),"")</f>
        <v/>
      </c>
      <c r="C2838" s="9">
        <f t="shared" si="44"/>
        <v>0</v>
      </c>
    </row>
    <row r="2839" spans="1:3" x14ac:dyDescent="0.2">
      <c r="A2839" s="10" t="str">
        <f>IF(2831&gt;$C$9008,"",INDEX($B$9:$B$9008,MATCH(2831,$C$9:$C$9008,0)))</f>
        <v/>
      </c>
      <c r="B2839" s="9" t="str">
        <f>IFERROR(INDEX(Input!$L$20:$T$1019,INT((ROW()-9)/9)+1,MOD(ROW()-9,9)+1),"")</f>
        <v/>
      </c>
      <c r="C2839" s="9">
        <f t="shared" si="44"/>
        <v>0</v>
      </c>
    </row>
    <row r="2840" spans="1:3" x14ac:dyDescent="0.2">
      <c r="A2840" s="10" t="str">
        <f>IF(2832&gt;$C$9008,"",INDEX($B$9:$B$9008,MATCH(2832,$C$9:$C$9008,0)))</f>
        <v/>
      </c>
      <c r="B2840" s="9" t="str">
        <f>IFERROR(INDEX(Input!$L$20:$T$1019,INT((ROW()-9)/9)+1,MOD(ROW()-9,9)+1),"")</f>
        <v/>
      </c>
      <c r="C2840" s="9">
        <f t="shared" si="44"/>
        <v>0</v>
      </c>
    </row>
    <row r="2841" spans="1:3" x14ac:dyDescent="0.2">
      <c r="A2841" s="10" t="str">
        <f>IF(2833&gt;$C$9008,"",INDEX($B$9:$B$9008,MATCH(2833,$C$9:$C$9008,0)))</f>
        <v/>
      </c>
      <c r="B2841" s="9" t="str">
        <f>IFERROR(INDEX(Input!$L$20:$T$1019,INT((ROW()-9)/9)+1,MOD(ROW()-9,9)+1),"")</f>
        <v/>
      </c>
      <c r="C2841" s="9">
        <f t="shared" si="44"/>
        <v>0</v>
      </c>
    </row>
    <row r="2842" spans="1:3" x14ac:dyDescent="0.2">
      <c r="A2842" s="10" t="str">
        <f>IF(2834&gt;$C$9008,"",INDEX($B$9:$B$9008,MATCH(2834,$C$9:$C$9008,0)))</f>
        <v/>
      </c>
      <c r="B2842" s="9" t="str">
        <f>IFERROR(INDEX(Input!$L$20:$T$1019,INT((ROW()-9)/9)+1,MOD(ROW()-9,9)+1),"")</f>
        <v/>
      </c>
      <c r="C2842" s="9">
        <f t="shared" si="44"/>
        <v>0</v>
      </c>
    </row>
    <row r="2843" spans="1:3" x14ac:dyDescent="0.2">
      <c r="A2843" s="10" t="str">
        <f>IF(2835&gt;$C$9008,"",INDEX($B$9:$B$9008,MATCH(2835,$C$9:$C$9008,0)))</f>
        <v/>
      </c>
      <c r="B2843" s="9" t="str">
        <f>IFERROR(INDEX(Input!$L$20:$T$1019,INT((ROW()-9)/9)+1,MOD(ROW()-9,9)+1),"")</f>
        <v/>
      </c>
      <c r="C2843" s="9">
        <f t="shared" si="44"/>
        <v>0</v>
      </c>
    </row>
    <row r="2844" spans="1:3" x14ac:dyDescent="0.2">
      <c r="A2844" s="10" t="str">
        <f>IF(2836&gt;$C$9008,"",INDEX($B$9:$B$9008,MATCH(2836,$C$9:$C$9008,0)))</f>
        <v/>
      </c>
      <c r="B2844" s="9" t="str">
        <f>IFERROR(INDEX(Input!$L$20:$T$1019,INT((ROW()-9)/9)+1,MOD(ROW()-9,9)+1),"")</f>
        <v/>
      </c>
      <c r="C2844" s="9">
        <f t="shared" si="44"/>
        <v>0</v>
      </c>
    </row>
    <row r="2845" spans="1:3" x14ac:dyDescent="0.2">
      <c r="A2845" s="10" t="str">
        <f>IF(2837&gt;$C$9008,"",INDEX($B$9:$B$9008,MATCH(2837,$C$9:$C$9008,0)))</f>
        <v/>
      </c>
      <c r="B2845" s="9" t="str">
        <f>IFERROR(INDEX(Input!$L$20:$T$1019,INT((ROW()-9)/9)+1,MOD(ROW()-9,9)+1),"")</f>
        <v/>
      </c>
      <c r="C2845" s="9">
        <f t="shared" si="44"/>
        <v>0</v>
      </c>
    </row>
    <row r="2846" spans="1:3" x14ac:dyDescent="0.2">
      <c r="A2846" s="10" t="str">
        <f>IF(2838&gt;$C$9008,"",INDEX($B$9:$B$9008,MATCH(2838,$C$9:$C$9008,0)))</f>
        <v/>
      </c>
      <c r="B2846" s="9" t="str">
        <f>IFERROR(INDEX(Input!$L$20:$T$1019,INT((ROW()-9)/9)+1,MOD(ROW()-9,9)+1),"")</f>
        <v/>
      </c>
      <c r="C2846" s="9">
        <f t="shared" si="44"/>
        <v>0</v>
      </c>
    </row>
    <row r="2847" spans="1:3" x14ac:dyDescent="0.2">
      <c r="A2847" s="10" t="str">
        <f>IF(2839&gt;$C$9008,"",INDEX($B$9:$B$9008,MATCH(2839,$C$9:$C$9008,0)))</f>
        <v/>
      </c>
      <c r="B2847" s="9" t="str">
        <f>IFERROR(INDEX(Input!$L$20:$T$1019,INT((ROW()-9)/9)+1,MOD(ROW()-9,9)+1),"")</f>
        <v/>
      </c>
      <c r="C2847" s="9">
        <f t="shared" si="44"/>
        <v>0</v>
      </c>
    </row>
    <row r="2848" spans="1:3" x14ac:dyDescent="0.2">
      <c r="A2848" s="10" t="str">
        <f>IF(2840&gt;$C$9008,"",INDEX($B$9:$B$9008,MATCH(2840,$C$9:$C$9008,0)))</f>
        <v/>
      </c>
      <c r="B2848" s="9" t="str">
        <f>IFERROR(INDEX(Input!$L$20:$T$1019,INT((ROW()-9)/9)+1,MOD(ROW()-9,9)+1),"")</f>
        <v/>
      </c>
      <c r="C2848" s="9">
        <f t="shared" si="44"/>
        <v>0</v>
      </c>
    </row>
    <row r="2849" spans="1:3" x14ac:dyDescent="0.2">
      <c r="A2849" s="10" t="str">
        <f>IF(2841&gt;$C$9008,"",INDEX($B$9:$B$9008,MATCH(2841,$C$9:$C$9008,0)))</f>
        <v/>
      </c>
      <c r="B2849" s="9" t="str">
        <f>IFERROR(INDEX(Input!$L$20:$T$1019,INT((ROW()-9)/9)+1,MOD(ROW()-9,9)+1),"")</f>
        <v/>
      </c>
      <c r="C2849" s="9">
        <f t="shared" si="44"/>
        <v>0</v>
      </c>
    </row>
    <row r="2850" spans="1:3" x14ac:dyDescent="0.2">
      <c r="A2850" s="10" t="str">
        <f>IF(2842&gt;$C$9008,"",INDEX($B$9:$B$9008,MATCH(2842,$C$9:$C$9008,0)))</f>
        <v/>
      </c>
      <c r="B2850" s="9" t="str">
        <f>IFERROR(INDEX(Input!$L$20:$T$1019,INT((ROW()-9)/9)+1,MOD(ROW()-9,9)+1),"")</f>
        <v/>
      </c>
      <c r="C2850" s="9">
        <f t="shared" si="44"/>
        <v>0</v>
      </c>
    </row>
    <row r="2851" spans="1:3" x14ac:dyDescent="0.2">
      <c r="A2851" s="10" t="str">
        <f>IF(2843&gt;$C$9008,"",INDEX($B$9:$B$9008,MATCH(2843,$C$9:$C$9008,0)))</f>
        <v/>
      </c>
      <c r="B2851" s="9" t="str">
        <f>IFERROR(INDEX(Input!$L$20:$T$1019,INT((ROW()-9)/9)+1,MOD(ROW()-9,9)+1),"")</f>
        <v/>
      </c>
      <c r="C2851" s="9">
        <f t="shared" si="44"/>
        <v>0</v>
      </c>
    </row>
    <row r="2852" spans="1:3" x14ac:dyDescent="0.2">
      <c r="A2852" s="10" t="str">
        <f>IF(2844&gt;$C$9008,"",INDEX($B$9:$B$9008,MATCH(2844,$C$9:$C$9008,0)))</f>
        <v/>
      </c>
      <c r="B2852" s="9" t="str">
        <f>IFERROR(INDEX(Input!$L$20:$T$1019,INT((ROW()-9)/9)+1,MOD(ROW()-9,9)+1),"")</f>
        <v/>
      </c>
      <c r="C2852" s="9">
        <f t="shared" si="44"/>
        <v>0</v>
      </c>
    </row>
    <row r="2853" spans="1:3" x14ac:dyDescent="0.2">
      <c r="A2853" s="10" t="str">
        <f>IF(2845&gt;$C$9008,"",INDEX($B$9:$B$9008,MATCH(2845,$C$9:$C$9008,0)))</f>
        <v/>
      </c>
      <c r="B2853" s="9" t="str">
        <f>IFERROR(INDEX(Input!$L$20:$T$1019,INT((ROW()-9)/9)+1,MOD(ROW()-9,9)+1),"")</f>
        <v/>
      </c>
      <c r="C2853" s="9">
        <f t="shared" si="44"/>
        <v>0</v>
      </c>
    </row>
    <row r="2854" spans="1:3" x14ac:dyDescent="0.2">
      <c r="A2854" s="10" t="str">
        <f>IF(2846&gt;$C$9008,"",INDEX($B$9:$B$9008,MATCH(2846,$C$9:$C$9008,0)))</f>
        <v/>
      </c>
      <c r="B2854" s="9" t="str">
        <f>IFERROR(INDEX(Input!$L$20:$T$1019,INT((ROW()-9)/9)+1,MOD(ROW()-9,9)+1),"")</f>
        <v/>
      </c>
      <c r="C2854" s="9">
        <f t="shared" si="44"/>
        <v>0</v>
      </c>
    </row>
    <row r="2855" spans="1:3" x14ac:dyDescent="0.2">
      <c r="A2855" s="10" t="str">
        <f>IF(2847&gt;$C$9008,"",INDEX($B$9:$B$9008,MATCH(2847,$C$9:$C$9008,0)))</f>
        <v/>
      </c>
      <c r="B2855" s="9" t="str">
        <f>IFERROR(INDEX(Input!$L$20:$T$1019,INT((ROW()-9)/9)+1,MOD(ROW()-9,9)+1),"")</f>
        <v/>
      </c>
      <c r="C2855" s="9">
        <f t="shared" si="44"/>
        <v>0</v>
      </c>
    </row>
    <row r="2856" spans="1:3" x14ac:dyDescent="0.2">
      <c r="A2856" s="10" t="str">
        <f>IF(2848&gt;$C$9008,"",INDEX($B$9:$B$9008,MATCH(2848,$C$9:$C$9008,0)))</f>
        <v/>
      </c>
      <c r="B2856" s="9" t="str">
        <f>IFERROR(INDEX(Input!$L$20:$T$1019,INT((ROW()-9)/9)+1,MOD(ROW()-9,9)+1),"")</f>
        <v/>
      </c>
      <c r="C2856" s="9">
        <f t="shared" si="44"/>
        <v>0</v>
      </c>
    </row>
    <row r="2857" spans="1:3" x14ac:dyDescent="0.2">
      <c r="A2857" s="10" t="str">
        <f>IF(2849&gt;$C$9008,"",INDEX($B$9:$B$9008,MATCH(2849,$C$9:$C$9008,0)))</f>
        <v/>
      </c>
      <c r="B2857" s="9" t="str">
        <f>IFERROR(INDEX(Input!$L$20:$T$1019,INT((ROW()-9)/9)+1,MOD(ROW()-9,9)+1),"")</f>
        <v/>
      </c>
      <c r="C2857" s="9">
        <f t="shared" si="44"/>
        <v>0</v>
      </c>
    </row>
    <row r="2858" spans="1:3" x14ac:dyDescent="0.2">
      <c r="A2858" s="10" t="str">
        <f>IF(2850&gt;$C$9008,"",INDEX($B$9:$B$9008,MATCH(2850,$C$9:$C$9008,0)))</f>
        <v/>
      </c>
      <c r="B2858" s="9" t="str">
        <f>IFERROR(INDEX(Input!$L$20:$T$1019,INT((ROW()-9)/9)+1,MOD(ROW()-9,9)+1),"")</f>
        <v/>
      </c>
      <c r="C2858" s="9">
        <f t="shared" si="44"/>
        <v>0</v>
      </c>
    </row>
    <row r="2859" spans="1:3" x14ac:dyDescent="0.2">
      <c r="A2859" s="10" t="str">
        <f>IF(2851&gt;$C$9008,"",INDEX($B$9:$B$9008,MATCH(2851,$C$9:$C$9008,0)))</f>
        <v/>
      </c>
      <c r="B2859" s="9" t="str">
        <f>IFERROR(INDEX(Input!$L$20:$T$1019,INT((ROW()-9)/9)+1,MOD(ROW()-9,9)+1),"")</f>
        <v/>
      </c>
      <c r="C2859" s="9">
        <f t="shared" si="44"/>
        <v>0</v>
      </c>
    </row>
    <row r="2860" spans="1:3" x14ac:dyDescent="0.2">
      <c r="A2860" s="10" t="str">
        <f>IF(2852&gt;$C$9008,"",INDEX($B$9:$B$9008,MATCH(2852,$C$9:$C$9008,0)))</f>
        <v/>
      </c>
      <c r="B2860" s="9" t="str">
        <f>IFERROR(INDEX(Input!$L$20:$T$1019,INT((ROW()-9)/9)+1,MOD(ROW()-9,9)+1),"")</f>
        <v/>
      </c>
      <c r="C2860" s="9">
        <f t="shared" si="44"/>
        <v>0</v>
      </c>
    </row>
    <row r="2861" spans="1:3" x14ac:dyDescent="0.2">
      <c r="A2861" s="10" t="str">
        <f>IF(2853&gt;$C$9008,"",INDEX($B$9:$B$9008,MATCH(2853,$C$9:$C$9008,0)))</f>
        <v/>
      </c>
      <c r="B2861" s="9" t="str">
        <f>IFERROR(INDEX(Input!$L$20:$T$1019,INT((ROW()-9)/9)+1,MOD(ROW()-9,9)+1),"")</f>
        <v/>
      </c>
      <c r="C2861" s="9">
        <f t="shared" si="44"/>
        <v>0</v>
      </c>
    </row>
    <row r="2862" spans="1:3" x14ac:dyDescent="0.2">
      <c r="A2862" s="10" t="str">
        <f>IF(2854&gt;$C$9008,"",INDEX($B$9:$B$9008,MATCH(2854,$C$9:$C$9008,0)))</f>
        <v/>
      </c>
      <c r="B2862" s="9" t="str">
        <f>IFERROR(INDEX(Input!$L$20:$T$1019,INT((ROW()-9)/9)+1,MOD(ROW()-9,9)+1),"")</f>
        <v/>
      </c>
      <c r="C2862" s="9">
        <f t="shared" si="44"/>
        <v>0</v>
      </c>
    </row>
    <row r="2863" spans="1:3" x14ac:dyDescent="0.2">
      <c r="A2863" s="10" t="str">
        <f>IF(2855&gt;$C$9008,"",INDEX($B$9:$B$9008,MATCH(2855,$C$9:$C$9008,0)))</f>
        <v/>
      </c>
      <c r="B2863" s="9" t="str">
        <f>IFERROR(INDEX(Input!$L$20:$T$1019,INT((ROW()-9)/9)+1,MOD(ROW()-9,9)+1),"")</f>
        <v/>
      </c>
      <c r="C2863" s="9">
        <f t="shared" si="44"/>
        <v>0</v>
      </c>
    </row>
    <row r="2864" spans="1:3" x14ac:dyDescent="0.2">
      <c r="A2864" s="10" t="str">
        <f>IF(2856&gt;$C$9008,"",INDEX($B$9:$B$9008,MATCH(2856,$C$9:$C$9008,0)))</f>
        <v/>
      </c>
      <c r="B2864" s="9" t="str">
        <f>IFERROR(INDEX(Input!$L$20:$T$1019,INT((ROW()-9)/9)+1,MOD(ROW()-9,9)+1),"")</f>
        <v/>
      </c>
      <c r="C2864" s="9">
        <f t="shared" si="44"/>
        <v>0</v>
      </c>
    </row>
    <row r="2865" spans="1:3" x14ac:dyDescent="0.2">
      <c r="A2865" s="10" t="str">
        <f>IF(2857&gt;$C$9008,"",INDEX($B$9:$B$9008,MATCH(2857,$C$9:$C$9008,0)))</f>
        <v/>
      </c>
      <c r="B2865" s="9" t="str">
        <f>IFERROR(INDEX(Input!$L$20:$T$1019,INT((ROW()-9)/9)+1,MOD(ROW()-9,9)+1),"")</f>
        <v/>
      </c>
      <c r="C2865" s="9">
        <f t="shared" si="44"/>
        <v>0</v>
      </c>
    </row>
    <row r="2866" spans="1:3" x14ac:dyDescent="0.2">
      <c r="A2866" s="10" t="str">
        <f>IF(2858&gt;$C$9008,"",INDEX($B$9:$B$9008,MATCH(2858,$C$9:$C$9008,0)))</f>
        <v/>
      </c>
      <c r="B2866" s="9" t="str">
        <f>IFERROR(INDEX(Input!$L$20:$T$1019,INT((ROW()-9)/9)+1,MOD(ROW()-9,9)+1),"")</f>
        <v/>
      </c>
      <c r="C2866" s="9">
        <f t="shared" si="44"/>
        <v>0</v>
      </c>
    </row>
    <row r="2867" spans="1:3" x14ac:dyDescent="0.2">
      <c r="A2867" s="10" t="str">
        <f>IF(2859&gt;$C$9008,"",INDEX($B$9:$B$9008,MATCH(2859,$C$9:$C$9008,0)))</f>
        <v/>
      </c>
      <c r="B2867" s="9" t="str">
        <f>IFERROR(INDEX(Input!$L$20:$T$1019,INT((ROW()-9)/9)+1,MOD(ROW()-9,9)+1),"")</f>
        <v/>
      </c>
      <c r="C2867" s="9">
        <f t="shared" si="44"/>
        <v>0</v>
      </c>
    </row>
    <row r="2868" spans="1:3" x14ac:dyDescent="0.2">
      <c r="A2868" s="10" t="str">
        <f>IF(2860&gt;$C$9008,"",INDEX($B$9:$B$9008,MATCH(2860,$C$9:$C$9008,0)))</f>
        <v/>
      </c>
      <c r="B2868" s="9" t="str">
        <f>IFERROR(INDEX(Input!$L$20:$T$1019,INT((ROW()-9)/9)+1,MOD(ROW()-9,9)+1),"")</f>
        <v/>
      </c>
      <c r="C2868" s="9">
        <f t="shared" si="44"/>
        <v>0</v>
      </c>
    </row>
    <row r="2869" spans="1:3" x14ac:dyDescent="0.2">
      <c r="A2869" s="10" t="str">
        <f>IF(2861&gt;$C$9008,"",INDEX($B$9:$B$9008,MATCH(2861,$C$9:$C$9008,0)))</f>
        <v/>
      </c>
      <c r="B2869" s="9" t="str">
        <f>IFERROR(INDEX(Input!$L$20:$T$1019,INT((ROW()-9)/9)+1,MOD(ROW()-9,9)+1),"")</f>
        <v/>
      </c>
      <c r="C2869" s="9">
        <f t="shared" si="44"/>
        <v>0</v>
      </c>
    </row>
    <row r="2870" spans="1:3" x14ac:dyDescent="0.2">
      <c r="A2870" s="10" t="str">
        <f>IF(2862&gt;$C$9008,"",INDEX($B$9:$B$9008,MATCH(2862,$C$9:$C$9008,0)))</f>
        <v/>
      </c>
      <c r="B2870" s="9" t="str">
        <f>IFERROR(INDEX(Input!$L$20:$T$1019,INT((ROW()-9)/9)+1,MOD(ROW()-9,9)+1),"")</f>
        <v/>
      </c>
      <c r="C2870" s="9">
        <f t="shared" si="44"/>
        <v>0</v>
      </c>
    </row>
    <row r="2871" spans="1:3" x14ac:dyDescent="0.2">
      <c r="A2871" s="10" t="str">
        <f>IF(2863&gt;$C$9008,"",INDEX($B$9:$B$9008,MATCH(2863,$C$9:$C$9008,0)))</f>
        <v/>
      </c>
      <c r="B2871" s="9" t="str">
        <f>IFERROR(INDEX(Input!$L$20:$T$1019,INT((ROW()-9)/9)+1,MOD(ROW()-9,9)+1),"")</f>
        <v/>
      </c>
      <c r="C2871" s="9">
        <f t="shared" si="44"/>
        <v>0</v>
      </c>
    </row>
    <row r="2872" spans="1:3" x14ac:dyDescent="0.2">
      <c r="A2872" s="10" t="str">
        <f>IF(2864&gt;$C$9008,"",INDEX($B$9:$B$9008,MATCH(2864,$C$9:$C$9008,0)))</f>
        <v/>
      </c>
      <c r="B2872" s="9" t="str">
        <f>IFERROR(INDEX(Input!$L$20:$T$1019,INT((ROW()-9)/9)+1,MOD(ROW()-9,9)+1),"")</f>
        <v/>
      </c>
      <c r="C2872" s="9">
        <f t="shared" si="44"/>
        <v>0</v>
      </c>
    </row>
    <row r="2873" spans="1:3" x14ac:dyDescent="0.2">
      <c r="A2873" s="10" t="str">
        <f>IF(2865&gt;$C$9008,"",INDEX($B$9:$B$9008,MATCH(2865,$C$9:$C$9008,0)))</f>
        <v/>
      </c>
      <c r="B2873" s="9" t="str">
        <f>IFERROR(INDEX(Input!$L$20:$T$1019,INT((ROW()-9)/9)+1,MOD(ROW()-9,9)+1),"")</f>
        <v/>
      </c>
      <c r="C2873" s="9">
        <f t="shared" si="44"/>
        <v>0</v>
      </c>
    </row>
    <row r="2874" spans="1:3" x14ac:dyDescent="0.2">
      <c r="A2874" s="10" t="str">
        <f>IF(2866&gt;$C$9008,"",INDEX($B$9:$B$9008,MATCH(2866,$C$9:$C$9008,0)))</f>
        <v/>
      </c>
      <c r="B2874" s="9" t="str">
        <f>IFERROR(INDEX(Input!$L$20:$T$1019,INT((ROW()-9)/9)+1,MOD(ROW()-9,9)+1),"")</f>
        <v/>
      </c>
      <c r="C2874" s="9">
        <f t="shared" si="44"/>
        <v>0</v>
      </c>
    </row>
    <row r="2875" spans="1:3" x14ac:dyDescent="0.2">
      <c r="A2875" s="10" t="str">
        <f>IF(2867&gt;$C$9008,"",INDEX($B$9:$B$9008,MATCH(2867,$C$9:$C$9008,0)))</f>
        <v/>
      </c>
      <c r="B2875" s="9" t="str">
        <f>IFERROR(INDEX(Input!$L$20:$T$1019,INT((ROW()-9)/9)+1,MOD(ROW()-9,9)+1),"")</f>
        <v/>
      </c>
      <c r="C2875" s="9">
        <f t="shared" si="44"/>
        <v>0</v>
      </c>
    </row>
    <row r="2876" spans="1:3" x14ac:dyDescent="0.2">
      <c r="A2876" s="10" t="str">
        <f>IF(2868&gt;$C$9008,"",INDEX($B$9:$B$9008,MATCH(2868,$C$9:$C$9008,0)))</f>
        <v/>
      </c>
      <c r="B2876" s="9" t="str">
        <f>IFERROR(INDEX(Input!$L$20:$T$1019,INT((ROW()-9)/9)+1,MOD(ROW()-9,9)+1),"")</f>
        <v/>
      </c>
      <c r="C2876" s="9">
        <f t="shared" si="44"/>
        <v>0</v>
      </c>
    </row>
    <row r="2877" spans="1:3" x14ac:dyDescent="0.2">
      <c r="A2877" s="10" t="str">
        <f>IF(2869&gt;$C$9008,"",INDEX($B$9:$B$9008,MATCH(2869,$C$9:$C$9008,0)))</f>
        <v/>
      </c>
      <c r="B2877" s="9" t="str">
        <f>IFERROR(INDEX(Input!$L$20:$T$1019,INT((ROW()-9)/9)+1,MOD(ROW()-9,9)+1),"")</f>
        <v/>
      </c>
      <c r="C2877" s="9">
        <f t="shared" si="44"/>
        <v>0</v>
      </c>
    </row>
    <row r="2878" spans="1:3" x14ac:dyDescent="0.2">
      <c r="A2878" s="10" t="str">
        <f>IF(2870&gt;$C$9008,"",INDEX($B$9:$B$9008,MATCH(2870,$C$9:$C$9008,0)))</f>
        <v/>
      </c>
      <c r="B2878" s="9" t="str">
        <f>IFERROR(INDEX(Input!$L$20:$T$1019,INT((ROW()-9)/9)+1,MOD(ROW()-9,9)+1),"")</f>
        <v/>
      </c>
      <c r="C2878" s="9">
        <f t="shared" si="44"/>
        <v>0</v>
      </c>
    </row>
    <row r="2879" spans="1:3" x14ac:dyDescent="0.2">
      <c r="A2879" s="10" t="str">
        <f>IF(2871&gt;$C$9008,"",INDEX($B$9:$B$9008,MATCH(2871,$C$9:$C$9008,0)))</f>
        <v/>
      </c>
      <c r="B2879" s="9" t="str">
        <f>IFERROR(INDEX(Input!$L$20:$T$1019,INT((ROW()-9)/9)+1,MOD(ROW()-9,9)+1),"")</f>
        <v/>
      </c>
      <c r="C2879" s="9">
        <f t="shared" si="44"/>
        <v>0</v>
      </c>
    </row>
    <row r="2880" spans="1:3" x14ac:dyDescent="0.2">
      <c r="A2880" s="10" t="str">
        <f>IF(2872&gt;$C$9008,"",INDEX($B$9:$B$9008,MATCH(2872,$C$9:$C$9008,0)))</f>
        <v/>
      </c>
      <c r="B2880" s="9" t="str">
        <f>IFERROR(INDEX(Input!$L$20:$T$1019,INT((ROW()-9)/9)+1,MOD(ROW()-9,9)+1),"")</f>
        <v/>
      </c>
      <c r="C2880" s="9">
        <f t="shared" si="44"/>
        <v>0</v>
      </c>
    </row>
    <row r="2881" spans="1:3" x14ac:dyDescent="0.2">
      <c r="A2881" s="10" t="str">
        <f>IF(2873&gt;$C$9008,"",INDEX($B$9:$B$9008,MATCH(2873,$C$9:$C$9008,0)))</f>
        <v/>
      </c>
      <c r="B2881" s="9" t="str">
        <f>IFERROR(INDEX(Input!$L$20:$T$1019,INT((ROW()-9)/9)+1,MOD(ROW()-9,9)+1),"")</f>
        <v/>
      </c>
      <c r="C2881" s="9">
        <f t="shared" si="44"/>
        <v>0</v>
      </c>
    </row>
    <row r="2882" spans="1:3" x14ac:dyDescent="0.2">
      <c r="A2882" s="10" t="str">
        <f>IF(2874&gt;$C$9008,"",INDEX($B$9:$B$9008,MATCH(2874,$C$9:$C$9008,0)))</f>
        <v/>
      </c>
      <c r="B2882" s="9" t="str">
        <f>IFERROR(INDEX(Input!$L$20:$T$1019,INT((ROW()-9)/9)+1,MOD(ROW()-9,9)+1),"")</f>
        <v/>
      </c>
      <c r="C2882" s="9">
        <f t="shared" si="44"/>
        <v>0</v>
      </c>
    </row>
    <row r="2883" spans="1:3" x14ac:dyDescent="0.2">
      <c r="A2883" s="10" t="str">
        <f>IF(2875&gt;$C$9008,"",INDEX($B$9:$B$9008,MATCH(2875,$C$9:$C$9008,0)))</f>
        <v/>
      </c>
      <c r="B2883" s="9" t="str">
        <f>IFERROR(INDEX(Input!$L$20:$T$1019,INT((ROW()-9)/9)+1,MOD(ROW()-9,9)+1),"")</f>
        <v/>
      </c>
      <c r="C2883" s="9">
        <f t="shared" si="44"/>
        <v>0</v>
      </c>
    </row>
    <row r="2884" spans="1:3" x14ac:dyDescent="0.2">
      <c r="A2884" s="10" t="str">
        <f>IF(2876&gt;$C$9008,"",INDEX($B$9:$B$9008,MATCH(2876,$C$9:$C$9008,0)))</f>
        <v/>
      </c>
      <c r="B2884" s="9" t="str">
        <f>IFERROR(INDEX(Input!$L$20:$T$1019,INT((ROW()-9)/9)+1,MOD(ROW()-9,9)+1),"")</f>
        <v/>
      </c>
      <c r="C2884" s="9">
        <f t="shared" si="44"/>
        <v>0</v>
      </c>
    </row>
    <row r="2885" spans="1:3" x14ac:dyDescent="0.2">
      <c r="A2885" s="10" t="str">
        <f>IF(2877&gt;$C$9008,"",INDEX($B$9:$B$9008,MATCH(2877,$C$9:$C$9008,0)))</f>
        <v/>
      </c>
      <c r="B2885" s="9" t="str">
        <f>IFERROR(INDEX(Input!$L$20:$T$1019,INT((ROW()-9)/9)+1,MOD(ROW()-9,9)+1),"")</f>
        <v/>
      </c>
      <c r="C2885" s="9">
        <f t="shared" si="44"/>
        <v>0</v>
      </c>
    </row>
    <row r="2886" spans="1:3" x14ac:dyDescent="0.2">
      <c r="A2886" s="10" t="str">
        <f>IF(2878&gt;$C$9008,"",INDEX($B$9:$B$9008,MATCH(2878,$C$9:$C$9008,0)))</f>
        <v/>
      </c>
      <c r="B2886" s="9" t="str">
        <f>IFERROR(INDEX(Input!$L$20:$T$1019,INT((ROW()-9)/9)+1,MOD(ROW()-9,9)+1),"")</f>
        <v/>
      </c>
      <c r="C2886" s="9">
        <f t="shared" si="44"/>
        <v>0</v>
      </c>
    </row>
    <row r="2887" spans="1:3" x14ac:dyDescent="0.2">
      <c r="A2887" s="10" t="str">
        <f>IF(2879&gt;$C$9008,"",INDEX($B$9:$B$9008,MATCH(2879,$C$9:$C$9008,0)))</f>
        <v/>
      </c>
      <c r="B2887" s="9" t="str">
        <f>IFERROR(INDEX(Input!$L$20:$T$1019,INT((ROW()-9)/9)+1,MOD(ROW()-9,9)+1),"")</f>
        <v/>
      </c>
      <c r="C2887" s="9">
        <f t="shared" si="44"/>
        <v>0</v>
      </c>
    </row>
    <row r="2888" spans="1:3" x14ac:dyDescent="0.2">
      <c r="A2888" s="10" t="str">
        <f>IF(2880&gt;$C$9008,"",INDEX($B$9:$B$9008,MATCH(2880,$C$9:$C$9008,0)))</f>
        <v/>
      </c>
      <c r="B2888" s="9" t="str">
        <f>IFERROR(INDEX(Input!$L$20:$T$1019,INT((ROW()-9)/9)+1,MOD(ROW()-9,9)+1),"")</f>
        <v/>
      </c>
      <c r="C2888" s="9">
        <f t="shared" si="44"/>
        <v>0</v>
      </c>
    </row>
    <row r="2889" spans="1:3" x14ac:dyDescent="0.2">
      <c r="A2889" s="10" t="str">
        <f>IF(2881&gt;$C$9008,"",INDEX($B$9:$B$9008,MATCH(2881,$C$9:$C$9008,0)))</f>
        <v/>
      </c>
      <c r="B2889" s="9" t="str">
        <f>IFERROR(INDEX(Input!$L$20:$T$1019,INT((ROW()-9)/9)+1,MOD(ROW()-9,9)+1),"")</f>
        <v/>
      </c>
      <c r="C2889" s="9">
        <f t="shared" ref="C2889:C2952" si="45">$C2888+IF($B2889&lt;&gt;"",1,0)</f>
        <v>0</v>
      </c>
    </row>
    <row r="2890" spans="1:3" x14ac:dyDescent="0.2">
      <c r="A2890" s="10" t="str">
        <f>IF(2882&gt;$C$9008,"",INDEX($B$9:$B$9008,MATCH(2882,$C$9:$C$9008,0)))</f>
        <v/>
      </c>
      <c r="B2890" s="9" t="str">
        <f>IFERROR(INDEX(Input!$L$20:$T$1019,INT((ROW()-9)/9)+1,MOD(ROW()-9,9)+1),"")</f>
        <v/>
      </c>
      <c r="C2890" s="9">
        <f t="shared" si="45"/>
        <v>0</v>
      </c>
    </row>
    <row r="2891" spans="1:3" x14ac:dyDescent="0.2">
      <c r="A2891" s="10" t="str">
        <f>IF(2883&gt;$C$9008,"",INDEX($B$9:$B$9008,MATCH(2883,$C$9:$C$9008,0)))</f>
        <v/>
      </c>
      <c r="B2891" s="9" t="str">
        <f>IFERROR(INDEX(Input!$L$20:$T$1019,INT((ROW()-9)/9)+1,MOD(ROW()-9,9)+1),"")</f>
        <v/>
      </c>
      <c r="C2891" s="9">
        <f t="shared" si="45"/>
        <v>0</v>
      </c>
    </row>
    <row r="2892" spans="1:3" x14ac:dyDescent="0.2">
      <c r="A2892" s="10" t="str">
        <f>IF(2884&gt;$C$9008,"",INDEX($B$9:$B$9008,MATCH(2884,$C$9:$C$9008,0)))</f>
        <v/>
      </c>
      <c r="B2892" s="9" t="str">
        <f>IFERROR(INDEX(Input!$L$20:$T$1019,INT((ROW()-9)/9)+1,MOD(ROW()-9,9)+1),"")</f>
        <v/>
      </c>
      <c r="C2892" s="9">
        <f t="shared" si="45"/>
        <v>0</v>
      </c>
    </row>
    <row r="2893" spans="1:3" x14ac:dyDescent="0.2">
      <c r="A2893" s="10" t="str">
        <f>IF(2885&gt;$C$9008,"",INDEX($B$9:$B$9008,MATCH(2885,$C$9:$C$9008,0)))</f>
        <v/>
      </c>
      <c r="B2893" s="9" t="str">
        <f>IFERROR(INDEX(Input!$L$20:$T$1019,INT((ROW()-9)/9)+1,MOD(ROW()-9,9)+1),"")</f>
        <v/>
      </c>
      <c r="C2893" s="9">
        <f t="shared" si="45"/>
        <v>0</v>
      </c>
    </row>
    <row r="2894" spans="1:3" x14ac:dyDescent="0.2">
      <c r="A2894" s="10" t="str">
        <f>IF(2886&gt;$C$9008,"",INDEX($B$9:$B$9008,MATCH(2886,$C$9:$C$9008,0)))</f>
        <v/>
      </c>
      <c r="B2894" s="9" t="str">
        <f>IFERROR(INDEX(Input!$L$20:$T$1019,INT((ROW()-9)/9)+1,MOD(ROW()-9,9)+1),"")</f>
        <v/>
      </c>
      <c r="C2894" s="9">
        <f t="shared" si="45"/>
        <v>0</v>
      </c>
    </row>
    <row r="2895" spans="1:3" x14ac:dyDescent="0.2">
      <c r="A2895" s="10" t="str">
        <f>IF(2887&gt;$C$9008,"",INDEX($B$9:$B$9008,MATCH(2887,$C$9:$C$9008,0)))</f>
        <v/>
      </c>
      <c r="B2895" s="9" t="str">
        <f>IFERROR(INDEX(Input!$L$20:$T$1019,INT((ROW()-9)/9)+1,MOD(ROW()-9,9)+1),"")</f>
        <v/>
      </c>
      <c r="C2895" s="9">
        <f t="shared" si="45"/>
        <v>0</v>
      </c>
    </row>
    <row r="2896" spans="1:3" x14ac:dyDescent="0.2">
      <c r="A2896" s="10" t="str">
        <f>IF(2888&gt;$C$9008,"",INDEX($B$9:$B$9008,MATCH(2888,$C$9:$C$9008,0)))</f>
        <v/>
      </c>
      <c r="B2896" s="9" t="str">
        <f>IFERROR(INDEX(Input!$L$20:$T$1019,INT((ROW()-9)/9)+1,MOD(ROW()-9,9)+1),"")</f>
        <v/>
      </c>
      <c r="C2896" s="9">
        <f t="shared" si="45"/>
        <v>0</v>
      </c>
    </row>
    <row r="2897" spans="1:3" x14ac:dyDescent="0.2">
      <c r="A2897" s="10" t="str">
        <f>IF(2889&gt;$C$9008,"",INDEX($B$9:$B$9008,MATCH(2889,$C$9:$C$9008,0)))</f>
        <v/>
      </c>
      <c r="B2897" s="9" t="str">
        <f>IFERROR(INDEX(Input!$L$20:$T$1019,INT((ROW()-9)/9)+1,MOD(ROW()-9,9)+1),"")</f>
        <v/>
      </c>
      <c r="C2897" s="9">
        <f t="shared" si="45"/>
        <v>0</v>
      </c>
    </row>
    <row r="2898" spans="1:3" x14ac:dyDescent="0.2">
      <c r="A2898" s="10" t="str">
        <f>IF(2890&gt;$C$9008,"",INDEX($B$9:$B$9008,MATCH(2890,$C$9:$C$9008,0)))</f>
        <v/>
      </c>
      <c r="B2898" s="9" t="str">
        <f>IFERROR(INDEX(Input!$L$20:$T$1019,INT((ROW()-9)/9)+1,MOD(ROW()-9,9)+1),"")</f>
        <v/>
      </c>
      <c r="C2898" s="9">
        <f t="shared" si="45"/>
        <v>0</v>
      </c>
    </row>
    <row r="2899" spans="1:3" x14ac:dyDescent="0.2">
      <c r="A2899" s="10" t="str">
        <f>IF(2891&gt;$C$9008,"",INDEX($B$9:$B$9008,MATCH(2891,$C$9:$C$9008,0)))</f>
        <v/>
      </c>
      <c r="B2899" s="9" t="str">
        <f>IFERROR(INDEX(Input!$L$20:$T$1019,INT((ROW()-9)/9)+1,MOD(ROW()-9,9)+1),"")</f>
        <v/>
      </c>
      <c r="C2899" s="9">
        <f t="shared" si="45"/>
        <v>0</v>
      </c>
    </row>
    <row r="2900" spans="1:3" x14ac:dyDescent="0.2">
      <c r="A2900" s="10" t="str">
        <f>IF(2892&gt;$C$9008,"",INDEX($B$9:$B$9008,MATCH(2892,$C$9:$C$9008,0)))</f>
        <v/>
      </c>
      <c r="B2900" s="9" t="str">
        <f>IFERROR(INDEX(Input!$L$20:$T$1019,INT((ROW()-9)/9)+1,MOD(ROW()-9,9)+1),"")</f>
        <v/>
      </c>
      <c r="C2900" s="9">
        <f t="shared" si="45"/>
        <v>0</v>
      </c>
    </row>
    <row r="2901" spans="1:3" x14ac:dyDescent="0.2">
      <c r="A2901" s="10" t="str">
        <f>IF(2893&gt;$C$9008,"",INDEX($B$9:$B$9008,MATCH(2893,$C$9:$C$9008,0)))</f>
        <v/>
      </c>
      <c r="B2901" s="9" t="str">
        <f>IFERROR(INDEX(Input!$L$20:$T$1019,INT((ROW()-9)/9)+1,MOD(ROW()-9,9)+1),"")</f>
        <v/>
      </c>
      <c r="C2901" s="9">
        <f t="shared" si="45"/>
        <v>0</v>
      </c>
    </row>
    <row r="2902" spans="1:3" x14ac:dyDescent="0.2">
      <c r="A2902" s="10" t="str">
        <f>IF(2894&gt;$C$9008,"",INDEX($B$9:$B$9008,MATCH(2894,$C$9:$C$9008,0)))</f>
        <v/>
      </c>
      <c r="B2902" s="9" t="str">
        <f>IFERROR(INDEX(Input!$L$20:$T$1019,INT((ROW()-9)/9)+1,MOD(ROW()-9,9)+1),"")</f>
        <v/>
      </c>
      <c r="C2902" s="9">
        <f t="shared" si="45"/>
        <v>0</v>
      </c>
    </row>
    <row r="2903" spans="1:3" x14ac:dyDescent="0.2">
      <c r="A2903" s="10" t="str">
        <f>IF(2895&gt;$C$9008,"",INDEX($B$9:$B$9008,MATCH(2895,$C$9:$C$9008,0)))</f>
        <v/>
      </c>
      <c r="B2903" s="9" t="str">
        <f>IFERROR(INDEX(Input!$L$20:$T$1019,INT((ROW()-9)/9)+1,MOD(ROW()-9,9)+1),"")</f>
        <v/>
      </c>
      <c r="C2903" s="9">
        <f t="shared" si="45"/>
        <v>0</v>
      </c>
    </row>
    <row r="2904" spans="1:3" x14ac:dyDescent="0.2">
      <c r="A2904" s="10" t="str">
        <f>IF(2896&gt;$C$9008,"",INDEX($B$9:$B$9008,MATCH(2896,$C$9:$C$9008,0)))</f>
        <v/>
      </c>
      <c r="B2904" s="9" t="str">
        <f>IFERROR(INDEX(Input!$L$20:$T$1019,INT((ROW()-9)/9)+1,MOD(ROW()-9,9)+1),"")</f>
        <v/>
      </c>
      <c r="C2904" s="9">
        <f t="shared" si="45"/>
        <v>0</v>
      </c>
    </row>
    <row r="2905" spans="1:3" x14ac:dyDescent="0.2">
      <c r="A2905" s="10" t="str">
        <f>IF(2897&gt;$C$9008,"",INDEX($B$9:$B$9008,MATCH(2897,$C$9:$C$9008,0)))</f>
        <v/>
      </c>
      <c r="B2905" s="9" t="str">
        <f>IFERROR(INDEX(Input!$L$20:$T$1019,INT((ROW()-9)/9)+1,MOD(ROW()-9,9)+1),"")</f>
        <v/>
      </c>
      <c r="C2905" s="9">
        <f t="shared" si="45"/>
        <v>0</v>
      </c>
    </row>
    <row r="2906" spans="1:3" x14ac:dyDescent="0.2">
      <c r="A2906" s="10" t="str">
        <f>IF(2898&gt;$C$9008,"",INDEX($B$9:$B$9008,MATCH(2898,$C$9:$C$9008,0)))</f>
        <v/>
      </c>
      <c r="B2906" s="9" t="str">
        <f>IFERROR(INDEX(Input!$L$20:$T$1019,INT((ROW()-9)/9)+1,MOD(ROW()-9,9)+1),"")</f>
        <v/>
      </c>
      <c r="C2906" s="9">
        <f t="shared" si="45"/>
        <v>0</v>
      </c>
    </row>
    <row r="2907" spans="1:3" x14ac:dyDescent="0.2">
      <c r="A2907" s="10" t="str">
        <f>IF(2899&gt;$C$9008,"",INDEX($B$9:$B$9008,MATCH(2899,$C$9:$C$9008,0)))</f>
        <v/>
      </c>
      <c r="B2907" s="9" t="str">
        <f>IFERROR(INDEX(Input!$L$20:$T$1019,INT((ROW()-9)/9)+1,MOD(ROW()-9,9)+1),"")</f>
        <v/>
      </c>
      <c r="C2907" s="9">
        <f t="shared" si="45"/>
        <v>0</v>
      </c>
    </row>
    <row r="2908" spans="1:3" x14ac:dyDescent="0.2">
      <c r="A2908" s="10" t="str">
        <f>IF(2900&gt;$C$9008,"",INDEX($B$9:$B$9008,MATCH(2900,$C$9:$C$9008,0)))</f>
        <v/>
      </c>
      <c r="B2908" s="9" t="str">
        <f>IFERROR(INDEX(Input!$L$20:$T$1019,INT((ROW()-9)/9)+1,MOD(ROW()-9,9)+1),"")</f>
        <v/>
      </c>
      <c r="C2908" s="9">
        <f t="shared" si="45"/>
        <v>0</v>
      </c>
    </row>
    <row r="2909" spans="1:3" x14ac:dyDescent="0.2">
      <c r="A2909" s="10" t="str">
        <f>IF(2901&gt;$C$9008,"",INDEX($B$9:$B$9008,MATCH(2901,$C$9:$C$9008,0)))</f>
        <v/>
      </c>
      <c r="B2909" s="9" t="str">
        <f>IFERROR(INDEX(Input!$L$20:$T$1019,INT((ROW()-9)/9)+1,MOD(ROW()-9,9)+1),"")</f>
        <v/>
      </c>
      <c r="C2909" s="9">
        <f t="shared" si="45"/>
        <v>0</v>
      </c>
    </row>
    <row r="2910" spans="1:3" x14ac:dyDescent="0.2">
      <c r="A2910" s="10" t="str">
        <f>IF(2902&gt;$C$9008,"",INDEX($B$9:$B$9008,MATCH(2902,$C$9:$C$9008,0)))</f>
        <v/>
      </c>
      <c r="B2910" s="9" t="str">
        <f>IFERROR(INDEX(Input!$L$20:$T$1019,INT((ROW()-9)/9)+1,MOD(ROW()-9,9)+1),"")</f>
        <v/>
      </c>
      <c r="C2910" s="9">
        <f t="shared" si="45"/>
        <v>0</v>
      </c>
    </row>
    <row r="2911" spans="1:3" x14ac:dyDescent="0.2">
      <c r="A2911" s="10" t="str">
        <f>IF(2903&gt;$C$9008,"",INDEX($B$9:$B$9008,MATCH(2903,$C$9:$C$9008,0)))</f>
        <v/>
      </c>
      <c r="B2911" s="9" t="str">
        <f>IFERROR(INDEX(Input!$L$20:$T$1019,INT((ROW()-9)/9)+1,MOD(ROW()-9,9)+1),"")</f>
        <v/>
      </c>
      <c r="C2911" s="9">
        <f t="shared" si="45"/>
        <v>0</v>
      </c>
    </row>
    <row r="2912" spans="1:3" x14ac:dyDescent="0.2">
      <c r="A2912" s="10" t="str">
        <f>IF(2904&gt;$C$9008,"",INDEX($B$9:$B$9008,MATCH(2904,$C$9:$C$9008,0)))</f>
        <v/>
      </c>
      <c r="B2912" s="9" t="str">
        <f>IFERROR(INDEX(Input!$L$20:$T$1019,INT((ROW()-9)/9)+1,MOD(ROW()-9,9)+1),"")</f>
        <v/>
      </c>
      <c r="C2912" s="9">
        <f t="shared" si="45"/>
        <v>0</v>
      </c>
    </row>
    <row r="2913" spans="1:3" x14ac:dyDescent="0.2">
      <c r="A2913" s="10" t="str">
        <f>IF(2905&gt;$C$9008,"",INDEX($B$9:$B$9008,MATCH(2905,$C$9:$C$9008,0)))</f>
        <v/>
      </c>
      <c r="B2913" s="9" t="str">
        <f>IFERROR(INDEX(Input!$L$20:$T$1019,INT((ROW()-9)/9)+1,MOD(ROW()-9,9)+1),"")</f>
        <v/>
      </c>
      <c r="C2913" s="9">
        <f t="shared" si="45"/>
        <v>0</v>
      </c>
    </row>
    <row r="2914" spans="1:3" x14ac:dyDescent="0.2">
      <c r="A2914" s="10" t="str">
        <f>IF(2906&gt;$C$9008,"",INDEX($B$9:$B$9008,MATCH(2906,$C$9:$C$9008,0)))</f>
        <v/>
      </c>
      <c r="B2914" s="9" t="str">
        <f>IFERROR(INDEX(Input!$L$20:$T$1019,INT((ROW()-9)/9)+1,MOD(ROW()-9,9)+1),"")</f>
        <v/>
      </c>
      <c r="C2914" s="9">
        <f t="shared" si="45"/>
        <v>0</v>
      </c>
    </row>
    <row r="2915" spans="1:3" x14ac:dyDescent="0.2">
      <c r="A2915" s="10" t="str">
        <f>IF(2907&gt;$C$9008,"",INDEX($B$9:$B$9008,MATCH(2907,$C$9:$C$9008,0)))</f>
        <v/>
      </c>
      <c r="B2915" s="9" t="str">
        <f>IFERROR(INDEX(Input!$L$20:$T$1019,INT((ROW()-9)/9)+1,MOD(ROW()-9,9)+1),"")</f>
        <v/>
      </c>
      <c r="C2915" s="9">
        <f t="shared" si="45"/>
        <v>0</v>
      </c>
    </row>
    <row r="2916" spans="1:3" x14ac:dyDescent="0.2">
      <c r="A2916" s="10" t="str">
        <f>IF(2908&gt;$C$9008,"",INDEX($B$9:$B$9008,MATCH(2908,$C$9:$C$9008,0)))</f>
        <v/>
      </c>
      <c r="B2916" s="9" t="str">
        <f>IFERROR(INDEX(Input!$L$20:$T$1019,INT((ROW()-9)/9)+1,MOD(ROW()-9,9)+1),"")</f>
        <v/>
      </c>
      <c r="C2916" s="9">
        <f t="shared" si="45"/>
        <v>0</v>
      </c>
    </row>
    <row r="2917" spans="1:3" x14ac:dyDescent="0.2">
      <c r="A2917" s="10" t="str">
        <f>IF(2909&gt;$C$9008,"",INDEX($B$9:$B$9008,MATCH(2909,$C$9:$C$9008,0)))</f>
        <v/>
      </c>
      <c r="B2917" s="9" t="str">
        <f>IFERROR(INDEX(Input!$L$20:$T$1019,INT((ROW()-9)/9)+1,MOD(ROW()-9,9)+1),"")</f>
        <v/>
      </c>
      <c r="C2917" s="9">
        <f t="shared" si="45"/>
        <v>0</v>
      </c>
    </row>
    <row r="2918" spans="1:3" x14ac:dyDescent="0.2">
      <c r="A2918" s="10" t="str">
        <f>IF(2910&gt;$C$9008,"",INDEX($B$9:$B$9008,MATCH(2910,$C$9:$C$9008,0)))</f>
        <v/>
      </c>
      <c r="B2918" s="9" t="str">
        <f>IFERROR(INDEX(Input!$L$20:$T$1019,INT((ROW()-9)/9)+1,MOD(ROW()-9,9)+1),"")</f>
        <v/>
      </c>
      <c r="C2918" s="9">
        <f t="shared" si="45"/>
        <v>0</v>
      </c>
    </row>
    <row r="2919" spans="1:3" x14ac:dyDescent="0.2">
      <c r="A2919" s="10" t="str">
        <f>IF(2911&gt;$C$9008,"",INDEX($B$9:$B$9008,MATCH(2911,$C$9:$C$9008,0)))</f>
        <v/>
      </c>
      <c r="B2919" s="9" t="str">
        <f>IFERROR(INDEX(Input!$L$20:$T$1019,INT((ROW()-9)/9)+1,MOD(ROW()-9,9)+1),"")</f>
        <v/>
      </c>
      <c r="C2919" s="9">
        <f t="shared" si="45"/>
        <v>0</v>
      </c>
    </row>
    <row r="2920" spans="1:3" x14ac:dyDescent="0.2">
      <c r="A2920" s="10" t="str">
        <f>IF(2912&gt;$C$9008,"",INDEX($B$9:$B$9008,MATCH(2912,$C$9:$C$9008,0)))</f>
        <v/>
      </c>
      <c r="B2920" s="9" t="str">
        <f>IFERROR(INDEX(Input!$L$20:$T$1019,INT((ROW()-9)/9)+1,MOD(ROW()-9,9)+1),"")</f>
        <v/>
      </c>
      <c r="C2920" s="9">
        <f t="shared" si="45"/>
        <v>0</v>
      </c>
    </row>
    <row r="2921" spans="1:3" x14ac:dyDescent="0.2">
      <c r="A2921" s="10" t="str">
        <f>IF(2913&gt;$C$9008,"",INDEX($B$9:$B$9008,MATCH(2913,$C$9:$C$9008,0)))</f>
        <v/>
      </c>
      <c r="B2921" s="9" t="str">
        <f>IFERROR(INDEX(Input!$L$20:$T$1019,INT((ROW()-9)/9)+1,MOD(ROW()-9,9)+1),"")</f>
        <v/>
      </c>
      <c r="C2921" s="9">
        <f t="shared" si="45"/>
        <v>0</v>
      </c>
    </row>
    <row r="2922" spans="1:3" x14ac:dyDescent="0.2">
      <c r="A2922" s="10" t="str">
        <f>IF(2914&gt;$C$9008,"",INDEX($B$9:$B$9008,MATCH(2914,$C$9:$C$9008,0)))</f>
        <v/>
      </c>
      <c r="B2922" s="9" t="str">
        <f>IFERROR(INDEX(Input!$L$20:$T$1019,INT((ROW()-9)/9)+1,MOD(ROW()-9,9)+1),"")</f>
        <v/>
      </c>
      <c r="C2922" s="9">
        <f t="shared" si="45"/>
        <v>0</v>
      </c>
    </row>
    <row r="2923" spans="1:3" x14ac:dyDescent="0.2">
      <c r="A2923" s="10" t="str">
        <f>IF(2915&gt;$C$9008,"",INDEX($B$9:$B$9008,MATCH(2915,$C$9:$C$9008,0)))</f>
        <v/>
      </c>
      <c r="B2923" s="9" t="str">
        <f>IFERROR(INDEX(Input!$L$20:$T$1019,INT((ROW()-9)/9)+1,MOD(ROW()-9,9)+1),"")</f>
        <v/>
      </c>
      <c r="C2923" s="9">
        <f t="shared" si="45"/>
        <v>0</v>
      </c>
    </row>
    <row r="2924" spans="1:3" x14ac:dyDescent="0.2">
      <c r="A2924" s="10" t="str">
        <f>IF(2916&gt;$C$9008,"",INDEX($B$9:$B$9008,MATCH(2916,$C$9:$C$9008,0)))</f>
        <v/>
      </c>
      <c r="B2924" s="9" t="str">
        <f>IFERROR(INDEX(Input!$L$20:$T$1019,INT((ROW()-9)/9)+1,MOD(ROW()-9,9)+1),"")</f>
        <v/>
      </c>
      <c r="C2924" s="9">
        <f t="shared" si="45"/>
        <v>0</v>
      </c>
    </row>
    <row r="2925" spans="1:3" x14ac:dyDescent="0.2">
      <c r="A2925" s="10" t="str">
        <f>IF(2917&gt;$C$9008,"",INDEX($B$9:$B$9008,MATCH(2917,$C$9:$C$9008,0)))</f>
        <v/>
      </c>
      <c r="B2925" s="9" t="str">
        <f>IFERROR(INDEX(Input!$L$20:$T$1019,INT((ROW()-9)/9)+1,MOD(ROW()-9,9)+1),"")</f>
        <v/>
      </c>
      <c r="C2925" s="9">
        <f t="shared" si="45"/>
        <v>0</v>
      </c>
    </row>
    <row r="2926" spans="1:3" x14ac:dyDescent="0.2">
      <c r="A2926" s="10" t="str">
        <f>IF(2918&gt;$C$9008,"",INDEX($B$9:$B$9008,MATCH(2918,$C$9:$C$9008,0)))</f>
        <v/>
      </c>
      <c r="B2926" s="9" t="str">
        <f>IFERROR(INDEX(Input!$L$20:$T$1019,INT((ROW()-9)/9)+1,MOD(ROW()-9,9)+1),"")</f>
        <v/>
      </c>
      <c r="C2926" s="9">
        <f t="shared" si="45"/>
        <v>0</v>
      </c>
    </row>
    <row r="2927" spans="1:3" x14ac:dyDescent="0.2">
      <c r="A2927" s="10" t="str">
        <f>IF(2919&gt;$C$9008,"",INDEX($B$9:$B$9008,MATCH(2919,$C$9:$C$9008,0)))</f>
        <v/>
      </c>
      <c r="B2927" s="9" t="str">
        <f>IFERROR(INDEX(Input!$L$20:$T$1019,INT((ROW()-9)/9)+1,MOD(ROW()-9,9)+1),"")</f>
        <v/>
      </c>
      <c r="C2927" s="9">
        <f t="shared" si="45"/>
        <v>0</v>
      </c>
    </row>
    <row r="2928" spans="1:3" x14ac:dyDescent="0.2">
      <c r="A2928" s="10" t="str">
        <f>IF(2920&gt;$C$9008,"",INDEX($B$9:$B$9008,MATCH(2920,$C$9:$C$9008,0)))</f>
        <v/>
      </c>
      <c r="B2928" s="9" t="str">
        <f>IFERROR(INDEX(Input!$L$20:$T$1019,INT((ROW()-9)/9)+1,MOD(ROW()-9,9)+1),"")</f>
        <v/>
      </c>
      <c r="C2928" s="9">
        <f t="shared" si="45"/>
        <v>0</v>
      </c>
    </row>
    <row r="2929" spans="1:3" x14ac:dyDescent="0.2">
      <c r="A2929" s="10" t="str">
        <f>IF(2921&gt;$C$9008,"",INDEX($B$9:$B$9008,MATCH(2921,$C$9:$C$9008,0)))</f>
        <v/>
      </c>
      <c r="B2929" s="9" t="str">
        <f>IFERROR(INDEX(Input!$L$20:$T$1019,INT((ROW()-9)/9)+1,MOD(ROW()-9,9)+1),"")</f>
        <v/>
      </c>
      <c r="C2929" s="9">
        <f t="shared" si="45"/>
        <v>0</v>
      </c>
    </row>
    <row r="2930" spans="1:3" x14ac:dyDescent="0.2">
      <c r="A2930" s="10" t="str">
        <f>IF(2922&gt;$C$9008,"",INDEX($B$9:$B$9008,MATCH(2922,$C$9:$C$9008,0)))</f>
        <v/>
      </c>
      <c r="B2930" s="9" t="str">
        <f>IFERROR(INDEX(Input!$L$20:$T$1019,INT((ROW()-9)/9)+1,MOD(ROW()-9,9)+1),"")</f>
        <v/>
      </c>
      <c r="C2930" s="9">
        <f t="shared" si="45"/>
        <v>0</v>
      </c>
    </row>
    <row r="2931" spans="1:3" x14ac:dyDescent="0.2">
      <c r="A2931" s="10" t="str">
        <f>IF(2923&gt;$C$9008,"",INDEX($B$9:$B$9008,MATCH(2923,$C$9:$C$9008,0)))</f>
        <v/>
      </c>
      <c r="B2931" s="9" t="str">
        <f>IFERROR(INDEX(Input!$L$20:$T$1019,INT((ROW()-9)/9)+1,MOD(ROW()-9,9)+1),"")</f>
        <v/>
      </c>
      <c r="C2931" s="9">
        <f t="shared" si="45"/>
        <v>0</v>
      </c>
    </row>
    <row r="2932" spans="1:3" x14ac:dyDescent="0.2">
      <c r="A2932" s="10" t="str">
        <f>IF(2924&gt;$C$9008,"",INDEX($B$9:$B$9008,MATCH(2924,$C$9:$C$9008,0)))</f>
        <v/>
      </c>
      <c r="B2932" s="9" t="str">
        <f>IFERROR(INDEX(Input!$L$20:$T$1019,INT((ROW()-9)/9)+1,MOD(ROW()-9,9)+1),"")</f>
        <v/>
      </c>
      <c r="C2932" s="9">
        <f t="shared" si="45"/>
        <v>0</v>
      </c>
    </row>
    <row r="2933" spans="1:3" x14ac:dyDescent="0.2">
      <c r="A2933" s="10" t="str">
        <f>IF(2925&gt;$C$9008,"",INDEX($B$9:$B$9008,MATCH(2925,$C$9:$C$9008,0)))</f>
        <v/>
      </c>
      <c r="B2933" s="9" t="str">
        <f>IFERROR(INDEX(Input!$L$20:$T$1019,INT((ROW()-9)/9)+1,MOD(ROW()-9,9)+1),"")</f>
        <v/>
      </c>
      <c r="C2933" s="9">
        <f t="shared" si="45"/>
        <v>0</v>
      </c>
    </row>
    <row r="2934" spans="1:3" x14ac:dyDescent="0.2">
      <c r="A2934" s="10" t="str">
        <f>IF(2926&gt;$C$9008,"",INDEX($B$9:$B$9008,MATCH(2926,$C$9:$C$9008,0)))</f>
        <v/>
      </c>
      <c r="B2934" s="9" t="str">
        <f>IFERROR(INDEX(Input!$L$20:$T$1019,INT((ROW()-9)/9)+1,MOD(ROW()-9,9)+1),"")</f>
        <v/>
      </c>
      <c r="C2934" s="9">
        <f t="shared" si="45"/>
        <v>0</v>
      </c>
    </row>
    <row r="2935" spans="1:3" x14ac:dyDescent="0.2">
      <c r="A2935" s="10" t="str">
        <f>IF(2927&gt;$C$9008,"",INDEX($B$9:$B$9008,MATCH(2927,$C$9:$C$9008,0)))</f>
        <v/>
      </c>
      <c r="B2935" s="9" t="str">
        <f>IFERROR(INDEX(Input!$L$20:$T$1019,INT((ROW()-9)/9)+1,MOD(ROW()-9,9)+1),"")</f>
        <v/>
      </c>
      <c r="C2935" s="9">
        <f t="shared" si="45"/>
        <v>0</v>
      </c>
    </row>
    <row r="2936" spans="1:3" x14ac:dyDescent="0.2">
      <c r="A2936" s="10" t="str">
        <f>IF(2928&gt;$C$9008,"",INDEX($B$9:$B$9008,MATCH(2928,$C$9:$C$9008,0)))</f>
        <v/>
      </c>
      <c r="B2936" s="9" t="str">
        <f>IFERROR(INDEX(Input!$L$20:$T$1019,INT((ROW()-9)/9)+1,MOD(ROW()-9,9)+1),"")</f>
        <v/>
      </c>
      <c r="C2936" s="9">
        <f t="shared" si="45"/>
        <v>0</v>
      </c>
    </row>
    <row r="2937" spans="1:3" x14ac:dyDescent="0.2">
      <c r="A2937" s="10" t="str">
        <f>IF(2929&gt;$C$9008,"",INDEX($B$9:$B$9008,MATCH(2929,$C$9:$C$9008,0)))</f>
        <v/>
      </c>
      <c r="B2937" s="9" t="str">
        <f>IFERROR(INDEX(Input!$L$20:$T$1019,INT((ROW()-9)/9)+1,MOD(ROW()-9,9)+1),"")</f>
        <v/>
      </c>
      <c r="C2937" s="9">
        <f t="shared" si="45"/>
        <v>0</v>
      </c>
    </row>
    <row r="2938" spans="1:3" x14ac:dyDescent="0.2">
      <c r="A2938" s="10" t="str">
        <f>IF(2930&gt;$C$9008,"",INDEX($B$9:$B$9008,MATCH(2930,$C$9:$C$9008,0)))</f>
        <v/>
      </c>
      <c r="B2938" s="9" t="str">
        <f>IFERROR(INDEX(Input!$L$20:$T$1019,INT((ROW()-9)/9)+1,MOD(ROW()-9,9)+1),"")</f>
        <v/>
      </c>
      <c r="C2938" s="9">
        <f t="shared" si="45"/>
        <v>0</v>
      </c>
    </row>
    <row r="2939" spans="1:3" x14ac:dyDescent="0.2">
      <c r="A2939" s="10" t="str">
        <f>IF(2931&gt;$C$9008,"",INDEX($B$9:$B$9008,MATCH(2931,$C$9:$C$9008,0)))</f>
        <v/>
      </c>
      <c r="B2939" s="9" t="str">
        <f>IFERROR(INDEX(Input!$L$20:$T$1019,INT((ROW()-9)/9)+1,MOD(ROW()-9,9)+1),"")</f>
        <v/>
      </c>
      <c r="C2939" s="9">
        <f t="shared" si="45"/>
        <v>0</v>
      </c>
    </row>
    <row r="2940" spans="1:3" x14ac:dyDescent="0.2">
      <c r="A2940" s="10" t="str">
        <f>IF(2932&gt;$C$9008,"",INDEX($B$9:$B$9008,MATCH(2932,$C$9:$C$9008,0)))</f>
        <v/>
      </c>
      <c r="B2940" s="9" t="str">
        <f>IFERROR(INDEX(Input!$L$20:$T$1019,INT((ROW()-9)/9)+1,MOD(ROW()-9,9)+1),"")</f>
        <v/>
      </c>
      <c r="C2940" s="9">
        <f t="shared" si="45"/>
        <v>0</v>
      </c>
    </row>
    <row r="2941" spans="1:3" x14ac:dyDescent="0.2">
      <c r="A2941" s="10" t="str">
        <f>IF(2933&gt;$C$9008,"",INDEX($B$9:$B$9008,MATCH(2933,$C$9:$C$9008,0)))</f>
        <v/>
      </c>
      <c r="B2941" s="9" t="str">
        <f>IFERROR(INDEX(Input!$L$20:$T$1019,INT((ROW()-9)/9)+1,MOD(ROW()-9,9)+1),"")</f>
        <v/>
      </c>
      <c r="C2941" s="9">
        <f t="shared" si="45"/>
        <v>0</v>
      </c>
    </row>
    <row r="2942" spans="1:3" x14ac:dyDescent="0.2">
      <c r="A2942" s="10" t="str">
        <f>IF(2934&gt;$C$9008,"",INDEX($B$9:$B$9008,MATCH(2934,$C$9:$C$9008,0)))</f>
        <v/>
      </c>
      <c r="B2942" s="9" t="str">
        <f>IFERROR(INDEX(Input!$L$20:$T$1019,INT((ROW()-9)/9)+1,MOD(ROW()-9,9)+1),"")</f>
        <v/>
      </c>
      <c r="C2942" s="9">
        <f t="shared" si="45"/>
        <v>0</v>
      </c>
    </row>
    <row r="2943" spans="1:3" x14ac:dyDescent="0.2">
      <c r="A2943" s="10" t="str">
        <f>IF(2935&gt;$C$9008,"",INDEX($B$9:$B$9008,MATCH(2935,$C$9:$C$9008,0)))</f>
        <v/>
      </c>
      <c r="B2943" s="9" t="str">
        <f>IFERROR(INDEX(Input!$L$20:$T$1019,INT((ROW()-9)/9)+1,MOD(ROW()-9,9)+1),"")</f>
        <v/>
      </c>
      <c r="C2943" s="9">
        <f t="shared" si="45"/>
        <v>0</v>
      </c>
    </row>
    <row r="2944" spans="1:3" x14ac:dyDescent="0.2">
      <c r="A2944" s="10" t="str">
        <f>IF(2936&gt;$C$9008,"",INDEX($B$9:$B$9008,MATCH(2936,$C$9:$C$9008,0)))</f>
        <v/>
      </c>
      <c r="B2944" s="9" t="str">
        <f>IFERROR(INDEX(Input!$L$20:$T$1019,INT((ROW()-9)/9)+1,MOD(ROW()-9,9)+1),"")</f>
        <v/>
      </c>
      <c r="C2944" s="9">
        <f t="shared" si="45"/>
        <v>0</v>
      </c>
    </row>
    <row r="2945" spans="1:3" x14ac:dyDescent="0.2">
      <c r="A2945" s="10" t="str">
        <f>IF(2937&gt;$C$9008,"",INDEX($B$9:$B$9008,MATCH(2937,$C$9:$C$9008,0)))</f>
        <v/>
      </c>
      <c r="B2945" s="9" t="str">
        <f>IFERROR(INDEX(Input!$L$20:$T$1019,INT((ROW()-9)/9)+1,MOD(ROW()-9,9)+1),"")</f>
        <v/>
      </c>
      <c r="C2945" s="9">
        <f t="shared" si="45"/>
        <v>0</v>
      </c>
    </row>
    <row r="2946" spans="1:3" x14ac:dyDescent="0.2">
      <c r="A2946" s="10" t="str">
        <f>IF(2938&gt;$C$9008,"",INDEX($B$9:$B$9008,MATCH(2938,$C$9:$C$9008,0)))</f>
        <v/>
      </c>
      <c r="B2946" s="9" t="str">
        <f>IFERROR(INDEX(Input!$L$20:$T$1019,INT((ROW()-9)/9)+1,MOD(ROW()-9,9)+1),"")</f>
        <v/>
      </c>
      <c r="C2946" s="9">
        <f t="shared" si="45"/>
        <v>0</v>
      </c>
    </row>
    <row r="2947" spans="1:3" x14ac:dyDescent="0.2">
      <c r="A2947" s="10" t="str">
        <f>IF(2939&gt;$C$9008,"",INDEX($B$9:$B$9008,MATCH(2939,$C$9:$C$9008,0)))</f>
        <v/>
      </c>
      <c r="B2947" s="9" t="str">
        <f>IFERROR(INDEX(Input!$L$20:$T$1019,INT((ROW()-9)/9)+1,MOD(ROW()-9,9)+1),"")</f>
        <v/>
      </c>
      <c r="C2947" s="9">
        <f t="shared" si="45"/>
        <v>0</v>
      </c>
    </row>
    <row r="2948" spans="1:3" x14ac:dyDescent="0.2">
      <c r="A2948" s="10" t="str">
        <f>IF(2940&gt;$C$9008,"",INDEX($B$9:$B$9008,MATCH(2940,$C$9:$C$9008,0)))</f>
        <v/>
      </c>
      <c r="B2948" s="9" t="str">
        <f>IFERROR(INDEX(Input!$L$20:$T$1019,INT((ROW()-9)/9)+1,MOD(ROW()-9,9)+1),"")</f>
        <v/>
      </c>
      <c r="C2948" s="9">
        <f t="shared" si="45"/>
        <v>0</v>
      </c>
    </row>
    <row r="2949" spans="1:3" x14ac:dyDescent="0.2">
      <c r="A2949" s="10" t="str">
        <f>IF(2941&gt;$C$9008,"",INDEX($B$9:$B$9008,MATCH(2941,$C$9:$C$9008,0)))</f>
        <v/>
      </c>
      <c r="B2949" s="9" t="str">
        <f>IFERROR(INDEX(Input!$L$20:$T$1019,INT((ROW()-9)/9)+1,MOD(ROW()-9,9)+1),"")</f>
        <v/>
      </c>
      <c r="C2949" s="9">
        <f t="shared" si="45"/>
        <v>0</v>
      </c>
    </row>
    <row r="2950" spans="1:3" x14ac:dyDescent="0.2">
      <c r="A2950" s="10" t="str">
        <f>IF(2942&gt;$C$9008,"",INDEX($B$9:$B$9008,MATCH(2942,$C$9:$C$9008,0)))</f>
        <v/>
      </c>
      <c r="B2950" s="9" t="str">
        <f>IFERROR(INDEX(Input!$L$20:$T$1019,INT((ROW()-9)/9)+1,MOD(ROW()-9,9)+1),"")</f>
        <v/>
      </c>
      <c r="C2950" s="9">
        <f t="shared" si="45"/>
        <v>0</v>
      </c>
    </row>
    <row r="2951" spans="1:3" x14ac:dyDescent="0.2">
      <c r="A2951" s="10" t="str">
        <f>IF(2943&gt;$C$9008,"",INDEX($B$9:$B$9008,MATCH(2943,$C$9:$C$9008,0)))</f>
        <v/>
      </c>
      <c r="B2951" s="9" t="str">
        <f>IFERROR(INDEX(Input!$L$20:$T$1019,INT((ROW()-9)/9)+1,MOD(ROW()-9,9)+1),"")</f>
        <v/>
      </c>
      <c r="C2951" s="9">
        <f t="shared" si="45"/>
        <v>0</v>
      </c>
    </row>
    <row r="2952" spans="1:3" x14ac:dyDescent="0.2">
      <c r="A2952" s="10" t="str">
        <f>IF(2944&gt;$C$9008,"",INDEX($B$9:$B$9008,MATCH(2944,$C$9:$C$9008,0)))</f>
        <v/>
      </c>
      <c r="B2952" s="9" t="str">
        <f>IFERROR(INDEX(Input!$L$20:$T$1019,INT((ROW()-9)/9)+1,MOD(ROW()-9,9)+1),"")</f>
        <v/>
      </c>
      <c r="C2952" s="9">
        <f t="shared" si="45"/>
        <v>0</v>
      </c>
    </row>
    <row r="2953" spans="1:3" x14ac:dyDescent="0.2">
      <c r="A2953" s="10" t="str">
        <f>IF(2945&gt;$C$9008,"",INDEX($B$9:$B$9008,MATCH(2945,$C$9:$C$9008,0)))</f>
        <v/>
      </c>
      <c r="B2953" s="9" t="str">
        <f>IFERROR(INDEX(Input!$L$20:$T$1019,INT((ROW()-9)/9)+1,MOD(ROW()-9,9)+1),"")</f>
        <v/>
      </c>
      <c r="C2953" s="9">
        <f t="shared" ref="C2953:C3016" si="46">$C2952+IF($B2953&lt;&gt;"",1,0)</f>
        <v>0</v>
      </c>
    </row>
    <row r="2954" spans="1:3" x14ac:dyDescent="0.2">
      <c r="A2954" s="10" t="str">
        <f>IF(2946&gt;$C$9008,"",INDEX($B$9:$B$9008,MATCH(2946,$C$9:$C$9008,0)))</f>
        <v/>
      </c>
      <c r="B2954" s="9" t="str">
        <f>IFERROR(INDEX(Input!$L$20:$T$1019,INT((ROW()-9)/9)+1,MOD(ROW()-9,9)+1),"")</f>
        <v/>
      </c>
      <c r="C2954" s="9">
        <f t="shared" si="46"/>
        <v>0</v>
      </c>
    </row>
    <row r="2955" spans="1:3" x14ac:dyDescent="0.2">
      <c r="A2955" s="10" t="str">
        <f>IF(2947&gt;$C$9008,"",INDEX($B$9:$B$9008,MATCH(2947,$C$9:$C$9008,0)))</f>
        <v/>
      </c>
      <c r="B2955" s="9" t="str">
        <f>IFERROR(INDEX(Input!$L$20:$T$1019,INT((ROW()-9)/9)+1,MOD(ROW()-9,9)+1),"")</f>
        <v/>
      </c>
      <c r="C2955" s="9">
        <f t="shared" si="46"/>
        <v>0</v>
      </c>
    </row>
    <row r="2956" spans="1:3" x14ac:dyDescent="0.2">
      <c r="A2956" s="10" t="str">
        <f>IF(2948&gt;$C$9008,"",INDEX($B$9:$B$9008,MATCH(2948,$C$9:$C$9008,0)))</f>
        <v/>
      </c>
      <c r="B2956" s="9" t="str">
        <f>IFERROR(INDEX(Input!$L$20:$T$1019,INT((ROW()-9)/9)+1,MOD(ROW()-9,9)+1),"")</f>
        <v/>
      </c>
      <c r="C2956" s="9">
        <f t="shared" si="46"/>
        <v>0</v>
      </c>
    </row>
    <row r="2957" spans="1:3" x14ac:dyDescent="0.2">
      <c r="A2957" s="10" t="str">
        <f>IF(2949&gt;$C$9008,"",INDEX($B$9:$B$9008,MATCH(2949,$C$9:$C$9008,0)))</f>
        <v/>
      </c>
      <c r="B2957" s="9" t="str">
        <f>IFERROR(INDEX(Input!$L$20:$T$1019,INT((ROW()-9)/9)+1,MOD(ROW()-9,9)+1),"")</f>
        <v/>
      </c>
      <c r="C2957" s="9">
        <f t="shared" si="46"/>
        <v>0</v>
      </c>
    </row>
    <row r="2958" spans="1:3" x14ac:dyDescent="0.2">
      <c r="A2958" s="10" t="str">
        <f>IF(2950&gt;$C$9008,"",INDEX($B$9:$B$9008,MATCH(2950,$C$9:$C$9008,0)))</f>
        <v/>
      </c>
      <c r="B2958" s="9" t="str">
        <f>IFERROR(INDEX(Input!$L$20:$T$1019,INT((ROW()-9)/9)+1,MOD(ROW()-9,9)+1),"")</f>
        <v/>
      </c>
      <c r="C2958" s="9">
        <f t="shared" si="46"/>
        <v>0</v>
      </c>
    </row>
    <row r="2959" spans="1:3" x14ac:dyDescent="0.2">
      <c r="A2959" s="10" t="str">
        <f>IF(2951&gt;$C$9008,"",INDEX($B$9:$B$9008,MATCH(2951,$C$9:$C$9008,0)))</f>
        <v/>
      </c>
      <c r="B2959" s="9" t="str">
        <f>IFERROR(INDEX(Input!$L$20:$T$1019,INT((ROW()-9)/9)+1,MOD(ROW()-9,9)+1),"")</f>
        <v/>
      </c>
      <c r="C2959" s="9">
        <f t="shared" si="46"/>
        <v>0</v>
      </c>
    </row>
    <row r="2960" spans="1:3" x14ac:dyDescent="0.2">
      <c r="A2960" s="10" t="str">
        <f>IF(2952&gt;$C$9008,"",INDEX($B$9:$B$9008,MATCH(2952,$C$9:$C$9008,0)))</f>
        <v/>
      </c>
      <c r="B2960" s="9" t="str">
        <f>IFERROR(INDEX(Input!$L$20:$T$1019,INT((ROW()-9)/9)+1,MOD(ROW()-9,9)+1),"")</f>
        <v/>
      </c>
      <c r="C2960" s="9">
        <f t="shared" si="46"/>
        <v>0</v>
      </c>
    </row>
    <row r="2961" spans="1:3" x14ac:dyDescent="0.2">
      <c r="A2961" s="10" t="str">
        <f>IF(2953&gt;$C$9008,"",INDEX($B$9:$B$9008,MATCH(2953,$C$9:$C$9008,0)))</f>
        <v/>
      </c>
      <c r="B2961" s="9" t="str">
        <f>IFERROR(INDEX(Input!$L$20:$T$1019,INT((ROW()-9)/9)+1,MOD(ROW()-9,9)+1),"")</f>
        <v/>
      </c>
      <c r="C2961" s="9">
        <f t="shared" si="46"/>
        <v>0</v>
      </c>
    </row>
    <row r="2962" spans="1:3" x14ac:dyDescent="0.2">
      <c r="A2962" s="10" t="str">
        <f>IF(2954&gt;$C$9008,"",INDEX($B$9:$B$9008,MATCH(2954,$C$9:$C$9008,0)))</f>
        <v/>
      </c>
      <c r="B2962" s="9" t="str">
        <f>IFERROR(INDEX(Input!$L$20:$T$1019,INT((ROW()-9)/9)+1,MOD(ROW()-9,9)+1),"")</f>
        <v/>
      </c>
      <c r="C2962" s="9">
        <f t="shared" si="46"/>
        <v>0</v>
      </c>
    </row>
    <row r="2963" spans="1:3" x14ac:dyDescent="0.2">
      <c r="A2963" s="10" t="str">
        <f>IF(2955&gt;$C$9008,"",INDEX($B$9:$B$9008,MATCH(2955,$C$9:$C$9008,0)))</f>
        <v/>
      </c>
      <c r="B2963" s="9" t="str">
        <f>IFERROR(INDEX(Input!$L$20:$T$1019,INT((ROW()-9)/9)+1,MOD(ROW()-9,9)+1),"")</f>
        <v/>
      </c>
      <c r="C2963" s="9">
        <f t="shared" si="46"/>
        <v>0</v>
      </c>
    </row>
    <row r="2964" spans="1:3" x14ac:dyDescent="0.2">
      <c r="A2964" s="10" t="str">
        <f>IF(2956&gt;$C$9008,"",INDEX($B$9:$B$9008,MATCH(2956,$C$9:$C$9008,0)))</f>
        <v/>
      </c>
      <c r="B2964" s="9" t="str">
        <f>IFERROR(INDEX(Input!$L$20:$T$1019,INT((ROW()-9)/9)+1,MOD(ROW()-9,9)+1),"")</f>
        <v/>
      </c>
      <c r="C2964" s="9">
        <f t="shared" si="46"/>
        <v>0</v>
      </c>
    </row>
    <row r="2965" spans="1:3" x14ac:dyDescent="0.2">
      <c r="A2965" s="10" t="str">
        <f>IF(2957&gt;$C$9008,"",INDEX($B$9:$B$9008,MATCH(2957,$C$9:$C$9008,0)))</f>
        <v/>
      </c>
      <c r="B2965" s="9" t="str">
        <f>IFERROR(INDEX(Input!$L$20:$T$1019,INT((ROW()-9)/9)+1,MOD(ROW()-9,9)+1),"")</f>
        <v/>
      </c>
      <c r="C2965" s="9">
        <f t="shared" si="46"/>
        <v>0</v>
      </c>
    </row>
    <row r="2966" spans="1:3" x14ac:dyDescent="0.2">
      <c r="A2966" s="10" t="str">
        <f>IF(2958&gt;$C$9008,"",INDEX($B$9:$B$9008,MATCH(2958,$C$9:$C$9008,0)))</f>
        <v/>
      </c>
      <c r="B2966" s="9" t="str">
        <f>IFERROR(INDEX(Input!$L$20:$T$1019,INT((ROW()-9)/9)+1,MOD(ROW()-9,9)+1),"")</f>
        <v/>
      </c>
      <c r="C2966" s="9">
        <f t="shared" si="46"/>
        <v>0</v>
      </c>
    </row>
    <row r="2967" spans="1:3" x14ac:dyDescent="0.2">
      <c r="A2967" s="10" t="str">
        <f>IF(2959&gt;$C$9008,"",INDEX($B$9:$B$9008,MATCH(2959,$C$9:$C$9008,0)))</f>
        <v/>
      </c>
      <c r="B2967" s="9" t="str">
        <f>IFERROR(INDEX(Input!$L$20:$T$1019,INT((ROW()-9)/9)+1,MOD(ROW()-9,9)+1),"")</f>
        <v/>
      </c>
      <c r="C2967" s="9">
        <f t="shared" si="46"/>
        <v>0</v>
      </c>
    </row>
    <row r="2968" spans="1:3" x14ac:dyDescent="0.2">
      <c r="A2968" s="10" t="str">
        <f>IF(2960&gt;$C$9008,"",INDEX($B$9:$B$9008,MATCH(2960,$C$9:$C$9008,0)))</f>
        <v/>
      </c>
      <c r="B2968" s="9" t="str">
        <f>IFERROR(INDEX(Input!$L$20:$T$1019,INT((ROW()-9)/9)+1,MOD(ROW()-9,9)+1),"")</f>
        <v/>
      </c>
      <c r="C2968" s="9">
        <f t="shared" si="46"/>
        <v>0</v>
      </c>
    </row>
    <row r="2969" spans="1:3" x14ac:dyDescent="0.2">
      <c r="A2969" s="10" t="str">
        <f>IF(2961&gt;$C$9008,"",INDEX($B$9:$B$9008,MATCH(2961,$C$9:$C$9008,0)))</f>
        <v/>
      </c>
      <c r="B2969" s="9" t="str">
        <f>IFERROR(INDEX(Input!$L$20:$T$1019,INT((ROW()-9)/9)+1,MOD(ROW()-9,9)+1),"")</f>
        <v/>
      </c>
      <c r="C2969" s="9">
        <f t="shared" si="46"/>
        <v>0</v>
      </c>
    </row>
    <row r="2970" spans="1:3" x14ac:dyDescent="0.2">
      <c r="A2970" s="10" t="str">
        <f>IF(2962&gt;$C$9008,"",INDEX($B$9:$B$9008,MATCH(2962,$C$9:$C$9008,0)))</f>
        <v/>
      </c>
      <c r="B2970" s="9" t="str">
        <f>IFERROR(INDEX(Input!$L$20:$T$1019,INT((ROW()-9)/9)+1,MOD(ROW()-9,9)+1),"")</f>
        <v/>
      </c>
      <c r="C2970" s="9">
        <f t="shared" si="46"/>
        <v>0</v>
      </c>
    </row>
    <row r="2971" spans="1:3" x14ac:dyDescent="0.2">
      <c r="A2971" s="10" t="str">
        <f>IF(2963&gt;$C$9008,"",INDEX($B$9:$B$9008,MATCH(2963,$C$9:$C$9008,0)))</f>
        <v/>
      </c>
      <c r="B2971" s="9" t="str">
        <f>IFERROR(INDEX(Input!$L$20:$T$1019,INT((ROW()-9)/9)+1,MOD(ROW()-9,9)+1),"")</f>
        <v/>
      </c>
      <c r="C2971" s="9">
        <f t="shared" si="46"/>
        <v>0</v>
      </c>
    </row>
    <row r="2972" spans="1:3" x14ac:dyDescent="0.2">
      <c r="A2972" s="10" t="str">
        <f>IF(2964&gt;$C$9008,"",INDEX($B$9:$B$9008,MATCH(2964,$C$9:$C$9008,0)))</f>
        <v/>
      </c>
      <c r="B2972" s="9" t="str">
        <f>IFERROR(INDEX(Input!$L$20:$T$1019,INT((ROW()-9)/9)+1,MOD(ROW()-9,9)+1),"")</f>
        <v/>
      </c>
      <c r="C2972" s="9">
        <f t="shared" si="46"/>
        <v>0</v>
      </c>
    </row>
    <row r="2973" spans="1:3" x14ac:dyDescent="0.2">
      <c r="A2973" s="10" t="str">
        <f>IF(2965&gt;$C$9008,"",INDEX($B$9:$B$9008,MATCH(2965,$C$9:$C$9008,0)))</f>
        <v/>
      </c>
      <c r="B2973" s="9" t="str">
        <f>IFERROR(INDEX(Input!$L$20:$T$1019,INT((ROW()-9)/9)+1,MOD(ROW()-9,9)+1),"")</f>
        <v/>
      </c>
      <c r="C2973" s="9">
        <f t="shared" si="46"/>
        <v>0</v>
      </c>
    </row>
    <row r="2974" spans="1:3" x14ac:dyDescent="0.2">
      <c r="A2974" s="10" t="str">
        <f>IF(2966&gt;$C$9008,"",INDEX($B$9:$B$9008,MATCH(2966,$C$9:$C$9008,0)))</f>
        <v/>
      </c>
      <c r="B2974" s="9" t="str">
        <f>IFERROR(INDEX(Input!$L$20:$T$1019,INT((ROW()-9)/9)+1,MOD(ROW()-9,9)+1),"")</f>
        <v/>
      </c>
      <c r="C2974" s="9">
        <f t="shared" si="46"/>
        <v>0</v>
      </c>
    </row>
    <row r="2975" spans="1:3" x14ac:dyDescent="0.2">
      <c r="A2975" s="10" t="str">
        <f>IF(2967&gt;$C$9008,"",INDEX($B$9:$B$9008,MATCH(2967,$C$9:$C$9008,0)))</f>
        <v/>
      </c>
      <c r="B2975" s="9" t="str">
        <f>IFERROR(INDEX(Input!$L$20:$T$1019,INT((ROW()-9)/9)+1,MOD(ROW()-9,9)+1),"")</f>
        <v/>
      </c>
      <c r="C2975" s="9">
        <f t="shared" si="46"/>
        <v>0</v>
      </c>
    </row>
    <row r="2976" spans="1:3" x14ac:dyDescent="0.2">
      <c r="A2976" s="10" t="str">
        <f>IF(2968&gt;$C$9008,"",INDEX($B$9:$B$9008,MATCH(2968,$C$9:$C$9008,0)))</f>
        <v/>
      </c>
      <c r="B2976" s="9" t="str">
        <f>IFERROR(INDEX(Input!$L$20:$T$1019,INT((ROW()-9)/9)+1,MOD(ROW()-9,9)+1),"")</f>
        <v/>
      </c>
      <c r="C2976" s="9">
        <f t="shared" si="46"/>
        <v>0</v>
      </c>
    </row>
    <row r="2977" spans="1:3" x14ac:dyDescent="0.2">
      <c r="A2977" s="10" t="str">
        <f>IF(2969&gt;$C$9008,"",INDEX($B$9:$B$9008,MATCH(2969,$C$9:$C$9008,0)))</f>
        <v/>
      </c>
      <c r="B2977" s="9" t="str">
        <f>IFERROR(INDEX(Input!$L$20:$T$1019,INT((ROW()-9)/9)+1,MOD(ROW()-9,9)+1),"")</f>
        <v/>
      </c>
      <c r="C2977" s="9">
        <f t="shared" si="46"/>
        <v>0</v>
      </c>
    </row>
    <row r="2978" spans="1:3" x14ac:dyDescent="0.2">
      <c r="A2978" s="10" t="str">
        <f>IF(2970&gt;$C$9008,"",INDEX($B$9:$B$9008,MATCH(2970,$C$9:$C$9008,0)))</f>
        <v/>
      </c>
      <c r="B2978" s="9" t="str">
        <f>IFERROR(INDEX(Input!$L$20:$T$1019,INT((ROW()-9)/9)+1,MOD(ROW()-9,9)+1),"")</f>
        <v/>
      </c>
      <c r="C2978" s="9">
        <f t="shared" si="46"/>
        <v>0</v>
      </c>
    </row>
    <row r="2979" spans="1:3" x14ac:dyDescent="0.2">
      <c r="A2979" s="10" t="str">
        <f>IF(2971&gt;$C$9008,"",INDEX($B$9:$B$9008,MATCH(2971,$C$9:$C$9008,0)))</f>
        <v/>
      </c>
      <c r="B2979" s="9" t="str">
        <f>IFERROR(INDEX(Input!$L$20:$T$1019,INT((ROW()-9)/9)+1,MOD(ROW()-9,9)+1),"")</f>
        <v/>
      </c>
      <c r="C2979" s="9">
        <f t="shared" si="46"/>
        <v>0</v>
      </c>
    </row>
    <row r="2980" spans="1:3" x14ac:dyDescent="0.2">
      <c r="A2980" s="10" t="str">
        <f>IF(2972&gt;$C$9008,"",INDEX($B$9:$B$9008,MATCH(2972,$C$9:$C$9008,0)))</f>
        <v/>
      </c>
      <c r="B2980" s="9" t="str">
        <f>IFERROR(INDEX(Input!$L$20:$T$1019,INT((ROW()-9)/9)+1,MOD(ROW()-9,9)+1),"")</f>
        <v/>
      </c>
      <c r="C2980" s="9">
        <f t="shared" si="46"/>
        <v>0</v>
      </c>
    </row>
    <row r="2981" spans="1:3" x14ac:dyDescent="0.2">
      <c r="A2981" s="10" t="str">
        <f>IF(2973&gt;$C$9008,"",INDEX($B$9:$B$9008,MATCH(2973,$C$9:$C$9008,0)))</f>
        <v/>
      </c>
      <c r="B2981" s="9" t="str">
        <f>IFERROR(INDEX(Input!$L$20:$T$1019,INT((ROW()-9)/9)+1,MOD(ROW()-9,9)+1),"")</f>
        <v/>
      </c>
      <c r="C2981" s="9">
        <f t="shared" si="46"/>
        <v>0</v>
      </c>
    </row>
    <row r="2982" spans="1:3" x14ac:dyDescent="0.2">
      <c r="A2982" s="10" t="str">
        <f>IF(2974&gt;$C$9008,"",INDEX($B$9:$B$9008,MATCH(2974,$C$9:$C$9008,0)))</f>
        <v/>
      </c>
      <c r="B2982" s="9" t="str">
        <f>IFERROR(INDEX(Input!$L$20:$T$1019,INT((ROW()-9)/9)+1,MOD(ROW()-9,9)+1),"")</f>
        <v/>
      </c>
      <c r="C2982" s="9">
        <f t="shared" si="46"/>
        <v>0</v>
      </c>
    </row>
    <row r="2983" spans="1:3" x14ac:dyDescent="0.2">
      <c r="A2983" s="10" t="str">
        <f>IF(2975&gt;$C$9008,"",INDEX($B$9:$B$9008,MATCH(2975,$C$9:$C$9008,0)))</f>
        <v/>
      </c>
      <c r="B2983" s="9" t="str">
        <f>IFERROR(INDEX(Input!$L$20:$T$1019,INT((ROW()-9)/9)+1,MOD(ROW()-9,9)+1),"")</f>
        <v/>
      </c>
      <c r="C2983" s="9">
        <f t="shared" si="46"/>
        <v>0</v>
      </c>
    </row>
    <row r="2984" spans="1:3" x14ac:dyDescent="0.2">
      <c r="A2984" s="10" t="str">
        <f>IF(2976&gt;$C$9008,"",INDEX($B$9:$B$9008,MATCH(2976,$C$9:$C$9008,0)))</f>
        <v/>
      </c>
      <c r="B2984" s="9" t="str">
        <f>IFERROR(INDEX(Input!$L$20:$T$1019,INT((ROW()-9)/9)+1,MOD(ROW()-9,9)+1),"")</f>
        <v/>
      </c>
      <c r="C2984" s="9">
        <f t="shared" si="46"/>
        <v>0</v>
      </c>
    </row>
    <row r="2985" spans="1:3" x14ac:dyDescent="0.2">
      <c r="A2985" s="10" t="str">
        <f>IF(2977&gt;$C$9008,"",INDEX($B$9:$B$9008,MATCH(2977,$C$9:$C$9008,0)))</f>
        <v/>
      </c>
      <c r="B2985" s="9" t="str">
        <f>IFERROR(INDEX(Input!$L$20:$T$1019,INT((ROW()-9)/9)+1,MOD(ROW()-9,9)+1),"")</f>
        <v/>
      </c>
      <c r="C2985" s="9">
        <f t="shared" si="46"/>
        <v>0</v>
      </c>
    </row>
    <row r="2986" spans="1:3" x14ac:dyDescent="0.2">
      <c r="A2986" s="10" t="str">
        <f>IF(2978&gt;$C$9008,"",INDEX($B$9:$B$9008,MATCH(2978,$C$9:$C$9008,0)))</f>
        <v/>
      </c>
      <c r="B2986" s="9" t="str">
        <f>IFERROR(INDEX(Input!$L$20:$T$1019,INT((ROW()-9)/9)+1,MOD(ROW()-9,9)+1),"")</f>
        <v/>
      </c>
      <c r="C2986" s="9">
        <f t="shared" si="46"/>
        <v>0</v>
      </c>
    </row>
    <row r="2987" spans="1:3" x14ac:dyDescent="0.2">
      <c r="A2987" s="10" t="str">
        <f>IF(2979&gt;$C$9008,"",INDEX($B$9:$B$9008,MATCH(2979,$C$9:$C$9008,0)))</f>
        <v/>
      </c>
      <c r="B2987" s="9" t="str">
        <f>IFERROR(INDEX(Input!$L$20:$T$1019,INT((ROW()-9)/9)+1,MOD(ROW()-9,9)+1),"")</f>
        <v/>
      </c>
      <c r="C2987" s="9">
        <f t="shared" si="46"/>
        <v>0</v>
      </c>
    </row>
    <row r="2988" spans="1:3" x14ac:dyDescent="0.2">
      <c r="A2988" s="10" t="str">
        <f>IF(2980&gt;$C$9008,"",INDEX($B$9:$B$9008,MATCH(2980,$C$9:$C$9008,0)))</f>
        <v/>
      </c>
      <c r="B2988" s="9" t="str">
        <f>IFERROR(INDEX(Input!$L$20:$T$1019,INT((ROW()-9)/9)+1,MOD(ROW()-9,9)+1),"")</f>
        <v/>
      </c>
      <c r="C2988" s="9">
        <f t="shared" si="46"/>
        <v>0</v>
      </c>
    </row>
    <row r="2989" spans="1:3" x14ac:dyDescent="0.2">
      <c r="A2989" s="10" t="str">
        <f>IF(2981&gt;$C$9008,"",INDEX($B$9:$B$9008,MATCH(2981,$C$9:$C$9008,0)))</f>
        <v/>
      </c>
      <c r="B2989" s="9" t="str">
        <f>IFERROR(INDEX(Input!$L$20:$T$1019,INT((ROW()-9)/9)+1,MOD(ROW()-9,9)+1),"")</f>
        <v/>
      </c>
      <c r="C2989" s="9">
        <f t="shared" si="46"/>
        <v>0</v>
      </c>
    </row>
    <row r="2990" spans="1:3" x14ac:dyDescent="0.2">
      <c r="A2990" s="10" t="str">
        <f>IF(2982&gt;$C$9008,"",INDEX($B$9:$B$9008,MATCH(2982,$C$9:$C$9008,0)))</f>
        <v/>
      </c>
      <c r="B2990" s="9" t="str">
        <f>IFERROR(INDEX(Input!$L$20:$T$1019,INT((ROW()-9)/9)+1,MOD(ROW()-9,9)+1),"")</f>
        <v/>
      </c>
      <c r="C2990" s="9">
        <f t="shared" si="46"/>
        <v>0</v>
      </c>
    </row>
    <row r="2991" spans="1:3" x14ac:dyDescent="0.2">
      <c r="A2991" s="10" t="str">
        <f>IF(2983&gt;$C$9008,"",INDEX($B$9:$B$9008,MATCH(2983,$C$9:$C$9008,0)))</f>
        <v/>
      </c>
      <c r="B2991" s="9" t="str">
        <f>IFERROR(INDEX(Input!$L$20:$T$1019,INT((ROW()-9)/9)+1,MOD(ROW()-9,9)+1),"")</f>
        <v/>
      </c>
      <c r="C2991" s="9">
        <f t="shared" si="46"/>
        <v>0</v>
      </c>
    </row>
    <row r="2992" spans="1:3" x14ac:dyDescent="0.2">
      <c r="A2992" s="10" t="str">
        <f>IF(2984&gt;$C$9008,"",INDEX($B$9:$B$9008,MATCH(2984,$C$9:$C$9008,0)))</f>
        <v/>
      </c>
      <c r="B2992" s="9" t="str">
        <f>IFERROR(INDEX(Input!$L$20:$T$1019,INT((ROW()-9)/9)+1,MOD(ROW()-9,9)+1),"")</f>
        <v/>
      </c>
      <c r="C2992" s="9">
        <f t="shared" si="46"/>
        <v>0</v>
      </c>
    </row>
    <row r="2993" spans="1:3" x14ac:dyDescent="0.2">
      <c r="A2993" s="10" t="str">
        <f>IF(2985&gt;$C$9008,"",INDEX($B$9:$B$9008,MATCH(2985,$C$9:$C$9008,0)))</f>
        <v/>
      </c>
      <c r="B2993" s="9" t="str">
        <f>IFERROR(INDEX(Input!$L$20:$T$1019,INT((ROW()-9)/9)+1,MOD(ROW()-9,9)+1),"")</f>
        <v/>
      </c>
      <c r="C2993" s="9">
        <f t="shared" si="46"/>
        <v>0</v>
      </c>
    </row>
    <row r="2994" spans="1:3" x14ac:dyDescent="0.2">
      <c r="A2994" s="10" t="str">
        <f>IF(2986&gt;$C$9008,"",INDEX($B$9:$B$9008,MATCH(2986,$C$9:$C$9008,0)))</f>
        <v/>
      </c>
      <c r="B2994" s="9" t="str">
        <f>IFERROR(INDEX(Input!$L$20:$T$1019,INT((ROW()-9)/9)+1,MOD(ROW()-9,9)+1),"")</f>
        <v/>
      </c>
      <c r="C2994" s="9">
        <f t="shared" si="46"/>
        <v>0</v>
      </c>
    </row>
    <row r="2995" spans="1:3" x14ac:dyDescent="0.2">
      <c r="A2995" s="10" t="str">
        <f>IF(2987&gt;$C$9008,"",INDEX($B$9:$B$9008,MATCH(2987,$C$9:$C$9008,0)))</f>
        <v/>
      </c>
      <c r="B2995" s="9" t="str">
        <f>IFERROR(INDEX(Input!$L$20:$T$1019,INT((ROW()-9)/9)+1,MOD(ROW()-9,9)+1),"")</f>
        <v/>
      </c>
      <c r="C2995" s="9">
        <f t="shared" si="46"/>
        <v>0</v>
      </c>
    </row>
    <row r="2996" spans="1:3" x14ac:dyDescent="0.2">
      <c r="A2996" s="10" t="str">
        <f>IF(2988&gt;$C$9008,"",INDEX($B$9:$B$9008,MATCH(2988,$C$9:$C$9008,0)))</f>
        <v/>
      </c>
      <c r="B2996" s="9" t="str">
        <f>IFERROR(INDEX(Input!$L$20:$T$1019,INT((ROW()-9)/9)+1,MOD(ROW()-9,9)+1),"")</f>
        <v/>
      </c>
      <c r="C2996" s="9">
        <f t="shared" si="46"/>
        <v>0</v>
      </c>
    </row>
    <row r="2997" spans="1:3" x14ac:dyDescent="0.2">
      <c r="A2997" s="10" t="str">
        <f>IF(2989&gt;$C$9008,"",INDEX($B$9:$B$9008,MATCH(2989,$C$9:$C$9008,0)))</f>
        <v/>
      </c>
      <c r="B2997" s="9" t="str">
        <f>IFERROR(INDEX(Input!$L$20:$T$1019,INT((ROW()-9)/9)+1,MOD(ROW()-9,9)+1),"")</f>
        <v/>
      </c>
      <c r="C2997" s="9">
        <f t="shared" si="46"/>
        <v>0</v>
      </c>
    </row>
    <row r="2998" spans="1:3" x14ac:dyDescent="0.2">
      <c r="A2998" s="10" t="str">
        <f>IF(2990&gt;$C$9008,"",INDEX($B$9:$B$9008,MATCH(2990,$C$9:$C$9008,0)))</f>
        <v/>
      </c>
      <c r="B2998" s="9" t="str">
        <f>IFERROR(INDEX(Input!$L$20:$T$1019,INT((ROW()-9)/9)+1,MOD(ROW()-9,9)+1),"")</f>
        <v/>
      </c>
      <c r="C2998" s="9">
        <f t="shared" si="46"/>
        <v>0</v>
      </c>
    </row>
    <row r="2999" spans="1:3" x14ac:dyDescent="0.2">
      <c r="A2999" s="10" t="str">
        <f>IF(2991&gt;$C$9008,"",INDEX($B$9:$B$9008,MATCH(2991,$C$9:$C$9008,0)))</f>
        <v/>
      </c>
      <c r="B2999" s="9" t="str">
        <f>IFERROR(INDEX(Input!$L$20:$T$1019,INT((ROW()-9)/9)+1,MOD(ROW()-9,9)+1),"")</f>
        <v/>
      </c>
      <c r="C2999" s="9">
        <f t="shared" si="46"/>
        <v>0</v>
      </c>
    </row>
    <row r="3000" spans="1:3" x14ac:dyDescent="0.2">
      <c r="A3000" s="10" t="str">
        <f>IF(2992&gt;$C$9008,"",INDEX($B$9:$B$9008,MATCH(2992,$C$9:$C$9008,0)))</f>
        <v/>
      </c>
      <c r="B3000" s="9" t="str">
        <f>IFERROR(INDEX(Input!$L$20:$T$1019,INT((ROW()-9)/9)+1,MOD(ROW()-9,9)+1),"")</f>
        <v/>
      </c>
      <c r="C3000" s="9">
        <f t="shared" si="46"/>
        <v>0</v>
      </c>
    </row>
    <row r="3001" spans="1:3" x14ac:dyDescent="0.2">
      <c r="A3001" s="10" t="str">
        <f>IF(2993&gt;$C$9008,"",INDEX($B$9:$B$9008,MATCH(2993,$C$9:$C$9008,0)))</f>
        <v/>
      </c>
      <c r="B3001" s="9" t="str">
        <f>IFERROR(INDEX(Input!$L$20:$T$1019,INT((ROW()-9)/9)+1,MOD(ROW()-9,9)+1),"")</f>
        <v/>
      </c>
      <c r="C3001" s="9">
        <f t="shared" si="46"/>
        <v>0</v>
      </c>
    </row>
    <row r="3002" spans="1:3" x14ac:dyDescent="0.2">
      <c r="A3002" s="10" t="str">
        <f>IF(2994&gt;$C$9008,"",INDEX($B$9:$B$9008,MATCH(2994,$C$9:$C$9008,0)))</f>
        <v/>
      </c>
      <c r="B3002" s="9" t="str">
        <f>IFERROR(INDEX(Input!$L$20:$T$1019,INT((ROW()-9)/9)+1,MOD(ROW()-9,9)+1),"")</f>
        <v/>
      </c>
      <c r="C3002" s="9">
        <f t="shared" si="46"/>
        <v>0</v>
      </c>
    </row>
    <row r="3003" spans="1:3" x14ac:dyDescent="0.2">
      <c r="A3003" s="10" t="str">
        <f>IF(2995&gt;$C$9008,"",INDEX($B$9:$B$9008,MATCH(2995,$C$9:$C$9008,0)))</f>
        <v/>
      </c>
      <c r="B3003" s="9" t="str">
        <f>IFERROR(INDEX(Input!$L$20:$T$1019,INT((ROW()-9)/9)+1,MOD(ROW()-9,9)+1),"")</f>
        <v/>
      </c>
      <c r="C3003" s="9">
        <f t="shared" si="46"/>
        <v>0</v>
      </c>
    </row>
    <row r="3004" spans="1:3" x14ac:dyDescent="0.2">
      <c r="A3004" s="10" t="str">
        <f>IF(2996&gt;$C$9008,"",INDEX($B$9:$B$9008,MATCH(2996,$C$9:$C$9008,0)))</f>
        <v/>
      </c>
      <c r="B3004" s="9" t="str">
        <f>IFERROR(INDEX(Input!$L$20:$T$1019,INT((ROW()-9)/9)+1,MOD(ROW()-9,9)+1),"")</f>
        <v/>
      </c>
      <c r="C3004" s="9">
        <f t="shared" si="46"/>
        <v>0</v>
      </c>
    </row>
    <row r="3005" spans="1:3" x14ac:dyDescent="0.2">
      <c r="A3005" s="10" t="str">
        <f>IF(2997&gt;$C$9008,"",INDEX($B$9:$B$9008,MATCH(2997,$C$9:$C$9008,0)))</f>
        <v/>
      </c>
      <c r="B3005" s="9" t="str">
        <f>IFERROR(INDEX(Input!$L$20:$T$1019,INT((ROW()-9)/9)+1,MOD(ROW()-9,9)+1),"")</f>
        <v/>
      </c>
      <c r="C3005" s="9">
        <f t="shared" si="46"/>
        <v>0</v>
      </c>
    </row>
    <row r="3006" spans="1:3" x14ac:dyDescent="0.2">
      <c r="A3006" s="10" t="str">
        <f>IF(2998&gt;$C$9008,"",INDEX($B$9:$B$9008,MATCH(2998,$C$9:$C$9008,0)))</f>
        <v/>
      </c>
      <c r="B3006" s="9" t="str">
        <f>IFERROR(INDEX(Input!$L$20:$T$1019,INT((ROW()-9)/9)+1,MOD(ROW()-9,9)+1),"")</f>
        <v/>
      </c>
      <c r="C3006" s="9">
        <f t="shared" si="46"/>
        <v>0</v>
      </c>
    </row>
    <row r="3007" spans="1:3" x14ac:dyDescent="0.2">
      <c r="A3007" s="10" t="str">
        <f>IF(2999&gt;$C$9008,"",INDEX($B$9:$B$9008,MATCH(2999,$C$9:$C$9008,0)))</f>
        <v/>
      </c>
      <c r="B3007" s="9" t="str">
        <f>IFERROR(INDEX(Input!$L$20:$T$1019,INT((ROW()-9)/9)+1,MOD(ROW()-9,9)+1),"")</f>
        <v/>
      </c>
      <c r="C3007" s="9">
        <f t="shared" si="46"/>
        <v>0</v>
      </c>
    </row>
    <row r="3008" spans="1:3" x14ac:dyDescent="0.2">
      <c r="A3008" s="10" t="str">
        <f>IF(3000&gt;$C$9008,"",INDEX($B$9:$B$9008,MATCH(3000,$C$9:$C$9008,0)))</f>
        <v/>
      </c>
      <c r="B3008" s="9" t="str">
        <f>IFERROR(INDEX(Input!$L$20:$T$1019,INT((ROW()-9)/9)+1,MOD(ROW()-9,9)+1),"")</f>
        <v/>
      </c>
      <c r="C3008" s="9">
        <f t="shared" si="46"/>
        <v>0</v>
      </c>
    </row>
    <row r="3009" spans="1:3" x14ac:dyDescent="0.2">
      <c r="A3009" s="10" t="str">
        <f>IF(3001&gt;$C$9008,"",INDEX($B$9:$B$9008,MATCH(3001,$C$9:$C$9008,0)))</f>
        <v/>
      </c>
      <c r="B3009" s="9" t="str">
        <f>IFERROR(INDEX(Input!$L$20:$T$1019,INT((ROW()-9)/9)+1,MOD(ROW()-9,9)+1),"")</f>
        <v/>
      </c>
      <c r="C3009" s="9">
        <f t="shared" si="46"/>
        <v>0</v>
      </c>
    </row>
    <row r="3010" spans="1:3" x14ac:dyDescent="0.2">
      <c r="A3010" s="10" t="str">
        <f>IF(3002&gt;$C$9008,"",INDEX($B$9:$B$9008,MATCH(3002,$C$9:$C$9008,0)))</f>
        <v/>
      </c>
      <c r="B3010" s="9" t="str">
        <f>IFERROR(INDEX(Input!$L$20:$T$1019,INT((ROW()-9)/9)+1,MOD(ROW()-9,9)+1),"")</f>
        <v/>
      </c>
      <c r="C3010" s="9">
        <f t="shared" si="46"/>
        <v>0</v>
      </c>
    </row>
    <row r="3011" spans="1:3" x14ac:dyDescent="0.2">
      <c r="A3011" s="10" t="str">
        <f>IF(3003&gt;$C$9008,"",INDEX($B$9:$B$9008,MATCH(3003,$C$9:$C$9008,0)))</f>
        <v/>
      </c>
      <c r="B3011" s="9" t="str">
        <f>IFERROR(INDEX(Input!$L$20:$T$1019,INT((ROW()-9)/9)+1,MOD(ROW()-9,9)+1),"")</f>
        <v/>
      </c>
      <c r="C3011" s="9">
        <f t="shared" si="46"/>
        <v>0</v>
      </c>
    </row>
    <row r="3012" spans="1:3" x14ac:dyDescent="0.2">
      <c r="A3012" s="10" t="str">
        <f>IF(3004&gt;$C$9008,"",INDEX($B$9:$B$9008,MATCH(3004,$C$9:$C$9008,0)))</f>
        <v/>
      </c>
      <c r="B3012" s="9" t="str">
        <f>IFERROR(INDEX(Input!$L$20:$T$1019,INT((ROW()-9)/9)+1,MOD(ROW()-9,9)+1),"")</f>
        <v/>
      </c>
      <c r="C3012" s="9">
        <f t="shared" si="46"/>
        <v>0</v>
      </c>
    </row>
    <row r="3013" spans="1:3" x14ac:dyDescent="0.2">
      <c r="A3013" s="10" t="str">
        <f>IF(3005&gt;$C$9008,"",INDEX($B$9:$B$9008,MATCH(3005,$C$9:$C$9008,0)))</f>
        <v/>
      </c>
      <c r="B3013" s="9" t="str">
        <f>IFERROR(INDEX(Input!$L$20:$T$1019,INT((ROW()-9)/9)+1,MOD(ROW()-9,9)+1),"")</f>
        <v/>
      </c>
      <c r="C3013" s="9">
        <f t="shared" si="46"/>
        <v>0</v>
      </c>
    </row>
    <row r="3014" spans="1:3" x14ac:dyDescent="0.2">
      <c r="A3014" s="10" t="str">
        <f>IF(3006&gt;$C$9008,"",INDEX($B$9:$B$9008,MATCH(3006,$C$9:$C$9008,0)))</f>
        <v/>
      </c>
      <c r="B3014" s="9" t="str">
        <f>IFERROR(INDEX(Input!$L$20:$T$1019,INT((ROW()-9)/9)+1,MOD(ROW()-9,9)+1),"")</f>
        <v/>
      </c>
      <c r="C3014" s="9">
        <f t="shared" si="46"/>
        <v>0</v>
      </c>
    </row>
    <row r="3015" spans="1:3" x14ac:dyDescent="0.2">
      <c r="A3015" s="10" t="str">
        <f>IF(3007&gt;$C$9008,"",INDEX($B$9:$B$9008,MATCH(3007,$C$9:$C$9008,0)))</f>
        <v/>
      </c>
      <c r="B3015" s="9" t="str">
        <f>IFERROR(INDEX(Input!$L$20:$T$1019,INT((ROW()-9)/9)+1,MOD(ROW()-9,9)+1),"")</f>
        <v/>
      </c>
      <c r="C3015" s="9">
        <f t="shared" si="46"/>
        <v>0</v>
      </c>
    </row>
    <row r="3016" spans="1:3" x14ac:dyDescent="0.2">
      <c r="A3016" s="10" t="str">
        <f>IF(3008&gt;$C$9008,"",INDEX($B$9:$B$9008,MATCH(3008,$C$9:$C$9008,0)))</f>
        <v/>
      </c>
      <c r="B3016" s="9" t="str">
        <f>IFERROR(INDEX(Input!$L$20:$T$1019,INT((ROW()-9)/9)+1,MOD(ROW()-9,9)+1),"")</f>
        <v/>
      </c>
      <c r="C3016" s="9">
        <f t="shared" si="46"/>
        <v>0</v>
      </c>
    </row>
    <row r="3017" spans="1:3" x14ac:dyDescent="0.2">
      <c r="A3017" s="10" t="str">
        <f>IF(3009&gt;$C$9008,"",INDEX($B$9:$B$9008,MATCH(3009,$C$9:$C$9008,0)))</f>
        <v/>
      </c>
      <c r="B3017" s="9" t="str">
        <f>IFERROR(INDEX(Input!$L$20:$T$1019,INT((ROW()-9)/9)+1,MOD(ROW()-9,9)+1),"")</f>
        <v/>
      </c>
      <c r="C3017" s="9">
        <f t="shared" ref="C3017:C3080" si="47">$C3016+IF($B3017&lt;&gt;"",1,0)</f>
        <v>0</v>
      </c>
    </row>
    <row r="3018" spans="1:3" x14ac:dyDescent="0.2">
      <c r="A3018" s="10" t="str">
        <f>IF(3010&gt;$C$9008,"",INDEX($B$9:$B$9008,MATCH(3010,$C$9:$C$9008,0)))</f>
        <v/>
      </c>
      <c r="B3018" s="9" t="str">
        <f>IFERROR(INDEX(Input!$L$20:$T$1019,INT((ROW()-9)/9)+1,MOD(ROW()-9,9)+1),"")</f>
        <v/>
      </c>
      <c r="C3018" s="9">
        <f t="shared" si="47"/>
        <v>0</v>
      </c>
    </row>
    <row r="3019" spans="1:3" x14ac:dyDescent="0.2">
      <c r="A3019" s="10" t="str">
        <f>IF(3011&gt;$C$9008,"",INDEX($B$9:$B$9008,MATCH(3011,$C$9:$C$9008,0)))</f>
        <v/>
      </c>
      <c r="B3019" s="9" t="str">
        <f>IFERROR(INDEX(Input!$L$20:$T$1019,INT((ROW()-9)/9)+1,MOD(ROW()-9,9)+1),"")</f>
        <v/>
      </c>
      <c r="C3019" s="9">
        <f t="shared" si="47"/>
        <v>0</v>
      </c>
    </row>
    <row r="3020" spans="1:3" x14ac:dyDescent="0.2">
      <c r="A3020" s="10" t="str">
        <f>IF(3012&gt;$C$9008,"",INDEX($B$9:$B$9008,MATCH(3012,$C$9:$C$9008,0)))</f>
        <v/>
      </c>
      <c r="B3020" s="9" t="str">
        <f>IFERROR(INDEX(Input!$L$20:$T$1019,INT((ROW()-9)/9)+1,MOD(ROW()-9,9)+1),"")</f>
        <v/>
      </c>
      <c r="C3020" s="9">
        <f t="shared" si="47"/>
        <v>0</v>
      </c>
    </row>
    <row r="3021" spans="1:3" x14ac:dyDescent="0.2">
      <c r="A3021" s="10" t="str">
        <f>IF(3013&gt;$C$9008,"",INDEX($B$9:$B$9008,MATCH(3013,$C$9:$C$9008,0)))</f>
        <v/>
      </c>
      <c r="B3021" s="9" t="str">
        <f>IFERROR(INDEX(Input!$L$20:$T$1019,INT((ROW()-9)/9)+1,MOD(ROW()-9,9)+1),"")</f>
        <v/>
      </c>
      <c r="C3021" s="9">
        <f t="shared" si="47"/>
        <v>0</v>
      </c>
    </row>
    <row r="3022" spans="1:3" x14ac:dyDescent="0.2">
      <c r="A3022" s="10" t="str">
        <f>IF(3014&gt;$C$9008,"",INDEX($B$9:$B$9008,MATCH(3014,$C$9:$C$9008,0)))</f>
        <v/>
      </c>
      <c r="B3022" s="9" t="str">
        <f>IFERROR(INDEX(Input!$L$20:$T$1019,INT((ROW()-9)/9)+1,MOD(ROW()-9,9)+1),"")</f>
        <v/>
      </c>
      <c r="C3022" s="9">
        <f t="shared" si="47"/>
        <v>0</v>
      </c>
    </row>
    <row r="3023" spans="1:3" x14ac:dyDescent="0.2">
      <c r="A3023" s="10" t="str">
        <f>IF(3015&gt;$C$9008,"",INDEX($B$9:$B$9008,MATCH(3015,$C$9:$C$9008,0)))</f>
        <v/>
      </c>
      <c r="B3023" s="9" t="str">
        <f>IFERROR(INDEX(Input!$L$20:$T$1019,INT((ROW()-9)/9)+1,MOD(ROW()-9,9)+1),"")</f>
        <v/>
      </c>
      <c r="C3023" s="9">
        <f t="shared" si="47"/>
        <v>0</v>
      </c>
    </row>
    <row r="3024" spans="1:3" x14ac:dyDescent="0.2">
      <c r="A3024" s="10" t="str">
        <f>IF(3016&gt;$C$9008,"",INDEX($B$9:$B$9008,MATCH(3016,$C$9:$C$9008,0)))</f>
        <v/>
      </c>
      <c r="B3024" s="9" t="str">
        <f>IFERROR(INDEX(Input!$L$20:$T$1019,INT((ROW()-9)/9)+1,MOD(ROW()-9,9)+1),"")</f>
        <v/>
      </c>
      <c r="C3024" s="9">
        <f t="shared" si="47"/>
        <v>0</v>
      </c>
    </row>
    <row r="3025" spans="1:3" x14ac:dyDescent="0.2">
      <c r="A3025" s="10" t="str">
        <f>IF(3017&gt;$C$9008,"",INDEX($B$9:$B$9008,MATCH(3017,$C$9:$C$9008,0)))</f>
        <v/>
      </c>
      <c r="B3025" s="9" t="str">
        <f>IFERROR(INDEX(Input!$L$20:$T$1019,INT((ROW()-9)/9)+1,MOD(ROW()-9,9)+1),"")</f>
        <v/>
      </c>
      <c r="C3025" s="9">
        <f t="shared" si="47"/>
        <v>0</v>
      </c>
    </row>
    <row r="3026" spans="1:3" x14ac:dyDescent="0.2">
      <c r="A3026" s="10" t="str">
        <f>IF(3018&gt;$C$9008,"",INDEX($B$9:$B$9008,MATCH(3018,$C$9:$C$9008,0)))</f>
        <v/>
      </c>
      <c r="B3026" s="9" t="str">
        <f>IFERROR(INDEX(Input!$L$20:$T$1019,INT((ROW()-9)/9)+1,MOD(ROW()-9,9)+1),"")</f>
        <v/>
      </c>
      <c r="C3026" s="9">
        <f t="shared" si="47"/>
        <v>0</v>
      </c>
    </row>
    <row r="3027" spans="1:3" x14ac:dyDescent="0.2">
      <c r="A3027" s="10" t="str">
        <f>IF(3019&gt;$C$9008,"",INDEX($B$9:$B$9008,MATCH(3019,$C$9:$C$9008,0)))</f>
        <v/>
      </c>
      <c r="B3027" s="9" t="str">
        <f>IFERROR(INDEX(Input!$L$20:$T$1019,INT((ROW()-9)/9)+1,MOD(ROW()-9,9)+1),"")</f>
        <v/>
      </c>
      <c r="C3027" s="9">
        <f t="shared" si="47"/>
        <v>0</v>
      </c>
    </row>
    <row r="3028" spans="1:3" x14ac:dyDescent="0.2">
      <c r="A3028" s="10" t="str">
        <f>IF(3020&gt;$C$9008,"",INDEX($B$9:$B$9008,MATCH(3020,$C$9:$C$9008,0)))</f>
        <v/>
      </c>
      <c r="B3028" s="9" t="str">
        <f>IFERROR(INDEX(Input!$L$20:$T$1019,INT((ROW()-9)/9)+1,MOD(ROW()-9,9)+1),"")</f>
        <v/>
      </c>
      <c r="C3028" s="9">
        <f t="shared" si="47"/>
        <v>0</v>
      </c>
    </row>
    <row r="3029" spans="1:3" x14ac:dyDescent="0.2">
      <c r="A3029" s="10" t="str">
        <f>IF(3021&gt;$C$9008,"",INDEX($B$9:$B$9008,MATCH(3021,$C$9:$C$9008,0)))</f>
        <v/>
      </c>
      <c r="B3029" s="9" t="str">
        <f>IFERROR(INDEX(Input!$L$20:$T$1019,INT((ROW()-9)/9)+1,MOD(ROW()-9,9)+1),"")</f>
        <v/>
      </c>
      <c r="C3029" s="9">
        <f t="shared" si="47"/>
        <v>0</v>
      </c>
    </row>
    <row r="3030" spans="1:3" x14ac:dyDescent="0.2">
      <c r="A3030" s="10" t="str">
        <f>IF(3022&gt;$C$9008,"",INDEX($B$9:$B$9008,MATCH(3022,$C$9:$C$9008,0)))</f>
        <v/>
      </c>
      <c r="B3030" s="9" t="str">
        <f>IFERROR(INDEX(Input!$L$20:$T$1019,INT((ROW()-9)/9)+1,MOD(ROW()-9,9)+1),"")</f>
        <v/>
      </c>
      <c r="C3030" s="9">
        <f t="shared" si="47"/>
        <v>0</v>
      </c>
    </row>
    <row r="3031" spans="1:3" x14ac:dyDescent="0.2">
      <c r="A3031" s="10" t="str">
        <f>IF(3023&gt;$C$9008,"",INDEX($B$9:$B$9008,MATCH(3023,$C$9:$C$9008,0)))</f>
        <v/>
      </c>
      <c r="B3031" s="9" t="str">
        <f>IFERROR(INDEX(Input!$L$20:$T$1019,INT((ROW()-9)/9)+1,MOD(ROW()-9,9)+1),"")</f>
        <v/>
      </c>
      <c r="C3031" s="9">
        <f t="shared" si="47"/>
        <v>0</v>
      </c>
    </row>
    <row r="3032" spans="1:3" x14ac:dyDescent="0.2">
      <c r="A3032" s="10" t="str">
        <f>IF(3024&gt;$C$9008,"",INDEX($B$9:$B$9008,MATCH(3024,$C$9:$C$9008,0)))</f>
        <v/>
      </c>
      <c r="B3032" s="9" t="str">
        <f>IFERROR(INDEX(Input!$L$20:$T$1019,INT((ROW()-9)/9)+1,MOD(ROW()-9,9)+1),"")</f>
        <v/>
      </c>
      <c r="C3032" s="9">
        <f t="shared" si="47"/>
        <v>0</v>
      </c>
    </row>
    <row r="3033" spans="1:3" x14ac:dyDescent="0.2">
      <c r="A3033" s="10" t="str">
        <f>IF(3025&gt;$C$9008,"",INDEX($B$9:$B$9008,MATCH(3025,$C$9:$C$9008,0)))</f>
        <v/>
      </c>
      <c r="B3033" s="9" t="str">
        <f>IFERROR(INDEX(Input!$L$20:$T$1019,INT((ROW()-9)/9)+1,MOD(ROW()-9,9)+1),"")</f>
        <v/>
      </c>
      <c r="C3033" s="9">
        <f t="shared" si="47"/>
        <v>0</v>
      </c>
    </row>
    <row r="3034" spans="1:3" x14ac:dyDescent="0.2">
      <c r="A3034" s="10" t="str">
        <f>IF(3026&gt;$C$9008,"",INDEX($B$9:$B$9008,MATCH(3026,$C$9:$C$9008,0)))</f>
        <v/>
      </c>
      <c r="B3034" s="9" t="str">
        <f>IFERROR(INDEX(Input!$L$20:$T$1019,INT((ROW()-9)/9)+1,MOD(ROW()-9,9)+1),"")</f>
        <v/>
      </c>
      <c r="C3034" s="9">
        <f t="shared" si="47"/>
        <v>0</v>
      </c>
    </row>
    <row r="3035" spans="1:3" x14ac:dyDescent="0.2">
      <c r="A3035" s="10" t="str">
        <f>IF(3027&gt;$C$9008,"",INDEX($B$9:$B$9008,MATCH(3027,$C$9:$C$9008,0)))</f>
        <v/>
      </c>
      <c r="B3035" s="9" t="str">
        <f>IFERROR(INDEX(Input!$L$20:$T$1019,INT((ROW()-9)/9)+1,MOD(ROW()-9,9)+1),"")</f>
        <v/>
      </c>
      <c r="C3035" s="9">
        <f t="shared" si="47"/>
        <v>0</v>
      </c>
    </row>
    <row r="3036" spans="1:3" x14ac:dyDescent="0.2">
      <c r="A3036" s="10" t="str">
        <f>IF(3028&gt;$C$9008,"",INDEX($B$9:$B$9008,MATCH(3028,$C$9:$C$9008,0)))</f>
        <v/>
      </c>
      <c r="B3036" s="9" t="str">
        <f>IFERROR(INDEX(Input!$L$20:$T$1019,INT((ROW()-9)/9)+1,MOD(ROW()-9,9)+1),"")</f>
        <v/>
      </c>
      <c r="C3036" s="9">
        <f t="shared" si="47"/>
        <v>0</v>
      </c>
    </row>
    <row r="3037" spans="1:3" x14ac:dyDescent="0.2">
      <c r="A3037" s="10" t="str">
        <f>IF(3029&gt;$C$9008,"",INDEX($B$9:$B$9008,MATCH(3029,$C$9:$C$9008,0)))</f>
        <v/>
      </c>
      <c r="B3037" s="9" t="str">
        <f>IFERROR(INDEX(Input!$L$20:$T$1019,INT((ROW()-9)/9)+1,MOD(ROW()-9,9)+1),"")</f>
        <v/>
      </c>
      <c r="C3037" s="9">
        <f t="shared" si="47"/>
        <v>0</v>
      </c>
    </row>
    <row r="3038" spans="1:3" x14ac:dyDescent="0.2">
      <c r="A3038" s="10" t="str">
        <f>IF(3030&gt;$C$9008,"",INDEX($B$9:$B$9008,MATCH(3030,$C$9:$C$9008,0)))</f>
        <v/>
      </c>
      <c r="B3038" s="9" t="str">
        <f>IFERROR(INDEX(Input!$L$20:$T$1019,INT((ROW()-9)/9)+1,MOD(ROW()-9,9)+1),"")</f>
        <v/>
      </c>
      <c r="C3038" s="9">
        <f t="shared" si="47"/>
        <v>0</v>
      </c>
    </row>
    <row r="3039" spans="1:3" x14ac:dyDescent="0.2">
      <c r="A3039" s="10" t="str">
        <f>IF(3031&gt;$C$9008,"",INDEX($B$9:$B$9008,MATCH(3031,$C$9:$C$9008,0)))</f>
        <v/>
      </c>
      <c r="B3039" s="9" t="str">
        <f>IFERROR(INDEX(Input!$L$20:$T$1019,INT((ROW()-9)/9)+1,MOD(ROW()-9,9)+1),"")</f>
        <v/>
      </c>
      <c r="C3039" s="9">
        <f t="shared" si="47"/>
        <v>0</v>
      </c>
    </row>
    <row r="3040" spans="1:3" x14ac:dyDescent="0.2">
      <c r="A3040" s="10" t="str">
        <f>IF(3032&gt;$C$9008,"",INDEX($B$9:$B$9008,MATCH(3032,$C$9:$C$9008,0)))</f>
        <v/>
      </c>
      <c r="B3040" s="9" t="str">
        <f>IFERROR(INDEX(Input!$L$20:$T$1019,INT((ROW()-9)/9)+1,MOD(ROW()-9,9)+1),"")</f>
        <v/>
      </c>
      <c r="C3040" s="9">
        <f t="shared" si="47"/>
        <v>0</v>
      </c>
    </row>
    <row r="3041" spans="1:3" x14ac:dyDescent="0.2">
      <c r="A3041" s="10" t="str">
        <f>IF(3033&gt;$C$9008,"",INDEX($B$9:$B$9008,MATCH(3033,$C$9:$C$9008,0)))</f>
        <v/>
      </c>
      <c r="B3041" s="9" t="str">
        <f>IFERROR(INDEX(Input!$L$20:$T$1019,INT((ROW()-9)/9)+1,MOD(ROW()-9,9)+1),"")</f>
        <v/>
      </c>
      <c r="C3041" s="9">
        <f t="shared" si="47"/>
        <v>0</v>
      </c>
    </row>
    <row r="3042" spans="1:3" x14ac:dyDescent="0.2">
      <c r="A3042" s="10" t="str">
        <f>IF(3034&gt;$C$9008,"",INDEX($B$9:$B$9008,MATCH(3034,$C$9:$C$9008,0)))</f>
        <v/>
      </c>
      <c r="B3042" s="9" t="str">
        <f>IFERROR(INDEX(Input!$L$20:$T$1019,INT((ROW()-9)/9)+1,MOD(ROW()-9,9)+1),"")</f>
        <v/>
      </c>
      <c r="C3042" s="9">
        <f t="shared" si="47"/>
        <v>0</v>
      </c>
    </row>
    <row r="3043" spans="1:3" x14ac:dyDescent="0.2">
      <c r="A3043" s="10" t="str">
        <f>IF(3035&gt;$C$9008,"",INDEX($B$9:$B$9008,MATCH(3035,$C$9:$C$9008,0)))</f>
        <v/>
      </c>
      <c r="B3043" s="9" t="str">
        <f>IFERROR(INDEX(Input!$L$20:$T$1019,INT((ROW()-9)/9)+1,MOD(ROW()-9,9)+1),"")</f>
        <v/>
      </c>
      <c r="C3043" s="9">
        <f t="shared" si="47"/>
        <v>0</v>
      </c>
    </row>
    <row r="3044" spans="1:3" x14ac:dyDescent="0.2">
      <c r="A3044" s="10" t="str">
        <f>IF(3036&gt;$C$9008,"",INDEX($B$9:$B$9008,MATCH(3036,$C$9:$C$9008,0)))</f>
        <v/>
      </c>
      <c r="B3044" s="9" t="str">
        <f>IFERROR(INDEX(Input!$L$20:$T$1019,INT((ROW()-9)/9)+1,MOD(ROW()-9,9)+1),"")</f>
        <v/>
      </c>
      <c r="C3044" s="9">
        <f t="shared" si="47"/>
        <v>0</v>
      </c>
    </row>
    <row r="3045" spans="1:3" x14ac:dyDescent="0.2">
      <c r="A3045" s="10" t="str">
        <f>IF(3037&gt;$C$9008,"",INDEX($B$9:$B$9008,MATCH(3037,$C$9:$C$9008,0)))</f>
        <v/>
      </c>
      <c r="B3045" s="9" t="str">
        <f>IFERROR(INDEX(Input!$L$20:$T$1019,INT((ROW()-9)/9)+1,MOD(ROW()-9,9)+1),"")</f>
        <v/>
      </c>
      <c r="C3045" s="9">
        <f t="shared" si="47"/>
        <v>0</v>
      </c>
    </row>
    <row r="3046" spans="1:3" x14ac:dyDescent="0.2">
      <c r="A3046" s="10" t="str">
        <f>IF(3038&gt;$C$9008,"",INDEX($B$9:$B$9008,MATCH(3038,$C$9:$C$9008,0)))</f>
        <v/>
      </c>
      <c r="B3046" s="9" t="str">
        <f>IFERROR(INDEX(Input!$L$20:$T$1019,INT((ROW()-9)/9)+1,MOD(ROW()-9,9)+1),"")</f>
        <v/>
      </c>
      <c r="C3046" s="9">
        <f t="shared" si="47"/>
        <v>0</v>
      </c>
    </row>
    <row r="3047" spans="1:3" x14ac:dyDescent="0.2">
      <c r="A3047" s="10" t="str">
        <f>IF(3039&gt;$C$9008,"",INDEX($B$9:$B$9008,MATCH(3039,$C$9:$C$9008,0)))</f>
        <v/>
      </c>
      <c r="B3047" s="9" t="str">
        <f>IFERROR(INDEX(Input!$L$20:$T$1019,INT((ROW()-9)/9)+1,MOD(ROW()-9,9)+1),"")</f>
        <v/>
      </c>
      <c r="C3047" s="9">
        <f t="shared" si="47"/>
        <v>0</v>
      </c>
    </row>
    <row r="3048" spans="1:3" x14ac:dyDescent="0.2">
      <c r="A3048" s="10" t="str">
        <f>IF(3040&gt;$C$9008,"",INDEX($B$9:$B$9008,MATCH(3040,$C$9:$C$9008,0)))</f>
        <v/>
      </c>
      <c r="B3048" s="9" t="str">
        <f>IFERROR(INDEX(Input!$L$20:$T$1019,INT((ROW()-9)/9)+1,MOD(ROW()-9,9)+1),"")</f>
        <v/>
      </c>
      <c r="C3048" s="9">
        <f t="shared" si="47"/>
        <v>0</v>
      </c>
    </row>
    <row r="3049" spans="1:3" x14ac:dyDescent="0.2">
      <c r="A3049" s="10" t="str">
        <f>IF(3041&gt;$C$9008,"",INDEX($B$9:$B$9008,MATCH(3041,$C$9:$C$9008,0)))</f>
        <v/>
      </c>
      <c r="B3049" s="9" t="str">
        <f>IFERROR(INDEX(Input!$L$20:$T$1019,INT((ROW()-9)/9)+1,MOD(ROW()-9,9)+1),"")</f>
        <v/>
      </c>
      <c r="C3049" s="9">
        <f t="shared" si="47"/>
        <v>0</v>
      </c>
    </row>
    <row r="3050" spans="1:3" x14ac:dyDescent="0.2">
      <c r="A3050" s="10" t="str">
        <f>IF(3042&gt;$C$9008,"",INDEX($B$9:$B$9008,MATCH(3042,$C$9:$C$9008,0)))</f>
        <v/>
      </c>
      <c r="B3050" s="9" t="str">
        <f>IFERROR(INDEX(Input!$L$20:$T$1019,INT((ROW()-9)/9)+1,MOD(ROW()-9,9)+1),"")</f>
        <v/>
      </c>
      <c r="C3050" s="9">
        <f t="shared" si="47"/>
        <v>0</v>
      </c>
    </row>
    <row r="3051" spans="1:3" x14ac:dyDescent="0.2">
      <c r="A3051" s="10" t="str">
        <f>IF(3043&gt;$C$9008,"",INDEX($B$9:$B$9008,MATCH(3043,$C$9:$C$9008,0)))</f>
        <v/>
      </c>
      <c r="B3051" s="9" t="str">
        <f>IFERROR(INDEX(Input!$L$20:$T$1019,INT((ROW()-9)/9)+1,MOD(ROW()-9,9)+1),"")</f>
        <v/>
      </c>
      <c r="C3051" s="9">
        <f t="shared" si="47"/>
        <v>0</v>
      </c>
    </row>
    <row r="3052" spans="1:3" x14ac:dyDescent="0.2">
      <c r="A3052" s="10" t="str">
        <f>IF(3044&gt;$C$9008,"",INDEX($B$9:$B$9008,MATCH(3044,$C$9:$C$9008,0)))</f>
        <v/>
      </c>
      <c r="B3052" s="9" t="str">
        <f>IFERROR(INDEX(Input!$L$20:$T$1019,INT((ROW()-9)/9)+1,MOD(ROW()-9,9)+1),"")</f>
        <v/>
      </c>
      <c r="C3052" s="9">
        <f t="shared" si="47"/>
        <v>0</v>
      </c>
    </row>
    <row r="3053" spans="1:3" x14ac:dyDescent="0.2">
      <c r="A3053" s="10" t="str">
        <f>IF(3045&gt;$C$9008,"",INDEX($B$9:$B$9008,MATCH(3045,$C$9:$C$9008,0)))</f>
        <v/>
      </c>
      <c r="B3053" s="9" t="str">
        <f>IFERROR(INDEX(Input!$L$20:$T$1019,INT((ROW()-9)/9)+1,MOD(ROW()-9,9)+1),"")</f>
        <v/>
      </c>
      <c r="C3053" s="9">
        <f t="shared" si="47"/>
        <v>0</v>
      </c>
    </row>
    <row r="3054" spans="1:3" x14ac:dyDescent="0.2">
      <c r="A3054" s="10" t="str">
        <f>IF(3046&gt;$C$9008,"",INDEX($B$9:$B$9008,MATCH(3046,$C$9:$C$9008,0)))</f>
        <v/>
      </c>
      <c r="B3054" s="9" t="str">
        <f>IFERROR(INDEX(Input!$L$20:$T$1019,INT((ROW()-9)/9)+1,MOD(ROW()-9,9)+1),"")</f>
        <v/>
      </c>
      <c r="C3054" s="9">
        <f t="shared" si="47"/>
        <v>0</v>
      </c>
    </row>
    <row r="3055" spans="1:3" x14ac:dyDescent="0.2">
      <c r="A3055" s="10" t="str">
        <f>IF(3047&gt;$C$9008,"",INDEX($B$9:$B$9008,MATCH(3047,$C$9:$C$9008,0)))</f>
        <v/>
      </c>
      <c r="B3055" s="9" t="str">
        <f>IFERROR(INDEX(Input!$L$20:$T$1019,INT((ROW()-9)/9)+1,MOD(ROW()-9,9)+1),"")</f>
        <v/>
      </c>
      <c r="C3055" s="9">
        <f t="shared" si="47"/>
        <v>0</v>
      </c>
    </row>
    <row r="3056" spans="1:3" x14ac:dyDescent="0.2">
      <c r="A3056" s="10" t="str">
        <f>IF(3048&gt;$C$9008,"",INDEX($B$9:$B$9008,MATCH(3048,$C$9:$C$9008,0)))</f>
        <v/>
      </c>
      <c r="B3056" s="9" t="str">
        <f>IFERROR(INDEX(Input!$L$20:$T$1019,INT((ROW()-9)/9)+1,MOD(ROW()-9,9)+1),"")</f>
        <v/>
      </c>
      <c r="C3056" s="9">
        <f t="shared" si="47"/>
        <v>0</v>
      </c>
    </row>
    <row r="3057" spans="1:3" x14ac:dyDescent="0.2">
      <c r="A3057" s="10" t="str">
        <f>IF(3049&gt;$C$9008,"",INDEX($B$9:$B$9008,MATCH(3049,$C$9:$C$9008,0)))</f>
        <v/>
      </c>
      <c r="B3057" s="9" t="str">
        <f>IFERROR(INDEX(Input!$L$20:$T$1019,INT((ROW()-9)/9)+1,MOD(ROW()-9,9)+1),"")</f>
        <v/>
      </c>
      <c r="C3057" s="9">
        <f t="shared" si="47"/>
        <v>0</v>
      </c>
    </row>
    <row r="3058" spans="1:3" x14ac:dyDescent="0.2">
      <c r="A3058" s="10" t="str">
        <f>IF(3050&gt;$C$9008,"",INDEX($B$9:$B$9008,MATCH(3050,$C$9:$C$9008,0)))</f>
        <v/>
      </c>
      <c r="B3058" s="9" t="str">
        <f>IFERROR(INDEX(Input!$L$20:$T$1019,INT((ROW()-9)/9)+1,MOD(ROW()-9,9)+1),"")</f>
        <v/>
      </c>
      <c r="C3058" s="9">
        <f t="shared" si="47"/>
        <v>0</v>
      </c>
    </row>
    <row r="3059" spans="1:3" x14ac:dyDescent="0.2">
      <c r="A3059" s="10" t="str">
        <f>IF(3051&gt;$C$9008,"",INDEX($B$9:$B$9008,MATCH(3051,$C$9:$C$9008,0)))</f>
        <v/>
      </c>
      <c r="B3059" s="9" t="str">
        <f>IFERROR(INDEX(Input!$L$20:$T$1019,INT((ROW()-9)/9)+1,MOD(ROW()-9,9)+1),"")</f>
        <v/>
      </c>
      <c r="C3059" s="9">
        <f t="shared" si="47"/>
        <v>0</v>
      </c>
    </row>
    <row r="3060" spans="1:3" x14ac:dyDescent="0.2">
      <c r="A3060" s="10" t="str">
        <f>IF(3052&gt;$C$9008,"",INDEX($B$9:$B$9008,MATCH(3052,$C$9:$C$9008,0)))</f>
        <v/>
      </c>
      <c r="B3060" s="9" t="str">
        <f>IFERROR(INDEX(Input!$L$20:$T$1019,INT((ROW()-9)/9)+1,MOD(ROW()-9,9)+1),"")</f>
        <v/>
      </c>
      <c r="C3060" s="9">
        <f t="shared" si="47"/>
        <v>0</v>
      </c>
    </row>
    <row r="3061" spans="1:3" x14ac:dyDescent="0.2">
      <c r="A3061" s="10" t="str">
        <f>IF(3053&gt;$C$9008,"",INDEX($B$9:$B$9008,MATCH(3053,$C$9:$C$9008,0)))</f>
        <v/>
      </c>
      <c r="B3061" s="9" t="str">
        <f>IFERROR(INDEX(Input!$L$20:$T$1019,INT((ROW()-9)/9)+1,MOD(ROW()-9,9)+1),"")</f>
        <v/>
      </c>
      <c r="C3061" s="9">
        <f t="shared" si="47"/>
        <v>0</v>
      </c>
    </row>
    <row r="3062" spans="1:3" x14ac:dyDescent="0.2">
      <c r="A3062" s="10" t="str">
        <f>IF(3054&gt;$C$9008,"",INDEX($B$9:$B$9008,MATCH(3054,$C$9:$C$9008,0)))</f>
        <v/>
      </c>
      <c r="B3062" s="9" t="str">
        <f>IFERROR(INDEX(Input!$L$20:$T$1019,INT((ROW()-9)/9)+1,MOD(ROW()-9,9)+1),"")</f>
        <v/>
      </c>
      <c r="C3062" s="9">
        <f t="shared" si="47"/>
        <v>0</v>
      </c>
    </row>
    <row r="3063" spans="1:3" x14ac:dyDescent="0.2">
      <c r="A3063" s="10" t="str">
        <f>IF(3055&gt;$C$9008,"",INDEX($B$9:$B$9008,MATCH(3055,$C$9:$C$9008,0)))</f>
        <v/>
      </c>
      <c r="B3063" s="9" t="str">
        <f>IFERROR(INDEX(Input!$L$20:$T$1019,INT((ROW()-9)/9)+1,MOD(ROW()-9,9)+1),"")</f>
        <v/>
      </c>
      <c r="C3063" s="9">
        <f t="shared" si="47"/>
        <v>0</v>
      </c>
    </row>
    <row r="3064" spans="1:3" x14ac:dyDescent="0.2">
      <c r="A3064" s="10" t="str">
        <f>IF(3056&gt;$C$9008,"",INDEX($B$9:$B$9008,MATCH(3056,$C$9:$C$9008,0)))</f>
        <v/>
      </c>
      <c r="B3064" s="9" t="str">
        <f>IFERROR(INDEX(Input!$L$20:$T$1019,INT((ROW()-9)/9)+1,MOD(ROW()-9,9)+1),"")</f>
        <v/>
      </c>
      <c r="C3064" s="9">
        <f t="shared" si="47"/>
        <v>0</v>
      </c>
    </row>
    <row r="3065" spans="1:3" x14ac:dyDescent="0.2">
      <c r="A3065" s="10" t="str">
        <f>IF(3057&gt;$C$9008,"",INDEX($B$9:$B$9008,MATCH(3057,$C$9:$C$9008,0)))</f>
        <v/>
      </c>
      <c r="B3065" s="9" t="str">
        <f>IFERROR(INDEX(Input!$L$20:$T$1019,INT((ROW()-9)/9)+1,MOD(ROW()-9,9)+1),"")</f>
        <v/>
      </c>
      <c r="C3065" s="9">
        <f t="shared" si="47"/>
        <v>0</v>
      </c>
    </row>
    <row r="3066" spans="1:3" x14ac:dyDescent="0.2">
      <c r="A3066" s="10" t="str">
        <f>IF(3058&gt;$C$9008,"",INDEX($B$9:$B$9008,MATCH(3058,$C$9:$C$9008,0)))</f>
        <v/>
      </c>
      <c r="B3066" s="9" t="str">
        <f>IFERROR(INDEX(Input!$L$20:$T$1019,INT((ROW()-9)/9)+1,MOD(ROW()-9,9)+1),"")</f>
        <v/>
      </c>
      <c r="C3066" s="9">
        <f t="shared" si="47"/>
        <v>0</v>
      </c>
    </row>
    <row r="3067" spans="1:3" x14ac:dyDescent="0.2">
      <c r="A3067" s="10" t="str">
        <f>IF(3059&gt;$C$9008,"",INDEX($B$9:$B$9008,MATCH(3059,$C$9:$C$9008,0)))</f>
        <v/>
      </c>
      <c r="B3067" s="9" t="str">
        <f>IFERROR(INDEX(Input!$L$20:$T$1019,INT((ROW()-9)/9)+1,MOD(ROW()-9,9)+1),"")</f>
        <v/>
      </c>
      <c r="C3067" s="9">
        <f t="shared" si="47"/>
        <v>0</v>
      </c>
    </row>
    <row r="3068" spans="1:3" x14ac:dyDescent="0.2">
      <c r="A3068" s="10" t="str">
        <f>IF(3060&gt;$C$9008,"",INDEX($B$9:$B$9008,MATCH(3060,$C$9:$C$9008,0)))</f>
        <v/>
      </c>
      <c r="B3068" s="9" t="str">
        <f>IFERROR(INDEX(Input!$L$20:$T$1019,INT((ROW()-9)/9)+1,MOD(ROW()-9,9)+1),"")</f>
        <v/>
      </c>
      <c r="C3068" s="9">
        <f t="shared" si="47"/>
        <v>0</v>
      </c>
    </row>
    <row r="3069" spans="1:3" x14ac:dyDescent="0.2">
      <c r="A3069" s="10" t="str">
        <f>IF(3061&gt;$C$9008,"",INDEX($B$9:$B$9008,MATCH(3061,$C$9:$C$9008,0)))</f>
        <v/>
      </c>
      <c r="B3069" s="9" t="str">
        <f>IFERROR(INDEX(Input!$L$20:$T$1019,INT((ROW()-9)/9)+1,MOD(ROW()-9,9)+1),"")</f>
        <v/>
      </c>
      <c r="C3069" s="9">
        <f t="shared" si="47"/>
        <v>0</v>
      </c>
    </row>
    <row r="3070" spans="1:3" x14ac:dyDescent="0.2">
      <c r="A3070" s="10" t="str">
        <f>IF(3062&gt;$C$9008,"",INDEX($B$9:$B$9008,MATCH(3062,$C$9:$C$9008,0)))</f>
        <v/>
      </c>
      <c r="B3070" s="9" t="str">
        <f>IFERROR(INDEX(Input!$L$20:$T$1019,INT((ROW()-9)/9)+1,MOD(ROW()-9,9)+1),"")</f>
        <v/>
      </c>
      <c r="C3070" s="9">
        <f t="shared" si="47"/>
        <v>0</v>
      </c>
    </row>
    <row r="3071" spans="1:3" x14ac:dyDescent="0.2">
      <c r="A3071" s="10" t="str">
        <f>IF(3063&gt;$C$9008,"",INDEX($B$9:$B$9008,MATCH(3063,$C$9:$C$9008,0)))</f>
        <v/>
      </c>
      <c r="B3071" s="9" t="str">
        <f>IFERROR(INDEX(Input!$L$20:$T$1019,INT((ROW()-9)/9)+1,MOD(ROW()-9,9)+1),"")</f>
        <v/>
      </c>
      <c r="C3071" s="9">
        <f t="shared" si="47"/>
        <v>0</v>
      </c>
    </row>
    <row r="3072" spans="1:3" x14ac:dyDescent="0.2">
      <c r="A3072" s="10" t="str">
        <f>IF(3064&gt;$C$9008,"",INDEX($B$9:$B$9008,MATCH(3064,$C$9:$C$9008,0)))</f>
        <v/>
      </c>
      <c r="B3072" s="9" t="str">
        <f>IFERROR(INDEX(Input!$L$20:$T$1019,INT((ROW()-9)/9)+1,MOD(ROW()-9,9)+1),"")</f>
        <v/>
      </c>
      <c r="C3072" s="9">
        <f t="shared" si="47"/>
        <v>0</v>
      </c>
    </row>
    <row r="3073" spans="1:3" x14ac:dyDescent="0.2">
      <c r="A3073" s="10" t="str">
        <f>IF(3065&gt;$C$9008,"",INDEX($B$9:$B$9008,MATCH(3065,$C$9:$C$9008,0)))</f>
        <v/>
      </c>
      <c r="B3073" s="9" t="str">
        <f>IFERROR(INDEX(Input!$L$20:$T$1019,INT((ROW()-9)/9)+1,MOD(ROW()-9,9)+1),"")</f>
        <v/>
      </c>
      <c r="C3073" s="9">
        <f t="shared" si="47"/>
        <v>0</v>
      </c>
    </row>
    <row r="3074" spans="1:3" x14ac:dyDescent="0.2">
      <c r="A3074" s="10" t="str">
        <f>IF(3066&gt;$C$9008,"",INDEX($B$9:$B$9008,MATCH(3066,$C$9:$C$9008,0)))</f>
        <v/>
      </c>
      <c r="B3074" s="9" t="str">
        <f>IFERROR(INDEX(Input!$L$20:$T$1019,INT((ROW()-9)/9)+1,MOD(ROW()-9,9)+1),"")</f>
        <v/>
      </c>
      <c r="C3074" s="9">
        <f t="shared" si="47"/>
        <v>0</v>
      </c>
    </row>
    <row r="3075" spans="1:3" x14ac:dyDescent="0.2">
      <c r="A3075" s="10" t="str">
        <f>IF(3067&gt;$C$9008,"",INDEX($B$9:$B$9008,MATCH(3067,$C$9:$C$9008,0)))</f>
        <v/>
      </c>
      <c r="B3075" s="9" t="str">
        <f>IFERROR(INDEX(Input!$L$20:$T$1019,INT((ROW()-9)/9)+1,MOD(ROW()-9,9)+1),"")</f>
        <v/>
      </c>
      <c r="C3075" s="9">
        <f t="shared" si="47"/>
        <v>0</v>
      </c>
    </row>
    <row r="3076" spans="1:3" x14ac:dyDescent="0.2">
      <c r="A3076" s="10" t="str">
        <f>IF(3068&gt;$C$9008,"",INDEX($B$9:$B$9008,MATCH(3068,$C$9:$C$9008,0)))</f>
        <v/>
      </c>
      <c r="B3076" s="9" t="str">
        <f>IFERROR(INDEX(Input!$L$20:$T$1019,INT((ROW()-9)/9)+1,MOD(ROW()-9,9)+1),"")</f>
        <v/>
      </c>
      <c r="C3076" s="9">
        <f t="shared" si="47"/>
        <v>0</v>
      </c>
    </row>
    <row r="3077" spans="1:3" x14ac:dyDescent="0.2">
      <c r="A3077" s="10" t="str">
        <f>IF(3069&gt;$C$9008,"",INDEX($B$9:$B$9008,MATCH(3069,$C$9:$C$9008,0)))</f>
        <v/>
      </c>
      <c r="B3077" s="9" t="str">
        <f>IFERROR(INDEX(Input!$L$20:$T$1019,INT((ROW()-9)/9)+1,MOD(ROW()-9,9)+1),"")</f>
        <v/>
      </c>
      <c r="C3077" s="9">
        <f t="shared" si="47"/>
        <v>0</v>
      </c>
    </row>
    <row r="3078" spans="1:3" x14ac:dyDescent="0.2">
      <c r="A3078" s="10" t="str">
        <f>IF(3070&gt;$C$9008,"",INDEX($B$9:$B$9008,MATCH(3070,$C$9:$C$9008,0)))</f>
        <v/>
      </c>
      <c r="B3078" s="9" t="str">
        <f>IFERROR(INDEX(Input!$L$20:$T$1019,INT((ROW()-9)/9)+1,MOD(ROW()-9,9)+1),"")</f>
        <v/>
      </c>
      <c r="C3078" s="9">
        <f t="shared" si="47"/>
        <v>0</v>
      </c>
    </row>
    <row r="3079" spans="1:3" x14ac:dyDescent="0.2">
      <c r="A3079" s="10" t="str">
        <f>IF(3071&gt;$C$9008,"",INDEX($B$9:$B$9008,MATCH(3071,$C$9:$C$9008,0)))</f>
        <v/>
      </c>
      <c r="B3079" s="9" t="str">
        <f>IFERROR(INDEX(Input!$L$20:$T$1019,INT((ROW()-9)/9)+1,MOD(ROW()-9,9)+1),"")</f>
        <v/>
      </c>
      <c r="C3079" s="9">
        <f t="shared" si="47"/>
        <v>0</v>
      </c>
    </row>
    <row r="3080" spans="1:3" x14ac:dyDescent="0.2">
      <c r="A3080" s="10" t="str">
        <f>IF(3072&gt;$C$9008,"",INDEX($B$9:$B$9008,MATCH(3072,$C$9:$C$9008,0)))</f>
        <v/>
      </c>
      <c r="B3080" s="9" t="str">
        <f>IFERROR(INDEX(Input!$L$20:$T$1019,INT((ROW()-9)/9)+1,MOD(ROW()-9,9)+1),"")</f>
        <v/>
      </c>
      <c r="C3080" s="9">
        <f t="shared" si="47"/>
        <v>0</v>
      </c>
    </row>
    <row r="3081" spans="1:3" x14ac:dyDescent="0.2">
      <c r="A3081" s="10" t="str">
        <f>IF(3073&gt;$C$9008,"",INDEX($B$9:$B$9008,MATCH(3073,$C$9:$C$9008,0)))</f>
        <v/>
      </c>
      <c r="B3081" s="9" t="str">
        <f>IFERROR(INDEX(Input!$L$20:$T$1019,INT((ROW()-9)/9)+1,MOD(ROW()-9,9)+1),"")</f>
        <v/>
      </c>
      <c r="C3081" s="9">
        <f t="shared" ref="C3081:C3144" si="48">$C3080+IF($B3081&lt;&gt;"",1,0)</f>
        <v>0</v>
      </c>
    </row>
    <row r="3082" spans="1:3" x14ac:dyDescent="0.2">
      <c r="A3082" s="10" t="str">
        <f>IF(3074&gt;$C$9008,"",INDEX($B$9:$B$9008,MATCH(3074,$C$9:$C$9008,0)))</f>
        <v/>
      </c>
      <c r="B3082" s="9" t="str">
        <f>IFERROR(INDEX(Input!$L$20:$T$1019,INT((ROW()-9)/9)+1,MOD(ROW()-9,9)+1),"")</f>
        <v/>
      </c>
      <c r="C3082" s="9">
        <f t="shared" si="48"/>
        <v>0</v>
      </c>
    </row>
    <row r="3083" spans="1:3" x14ac:dyDescent="0.2">
      <c r="A3083" s="10" t="str">
        <f>IF(3075&gt;$C$9008,"",INDEX($B$9:$B$9008,MATCH(3075,$C$9:$C$9008,0)))</f>
        <v/>
      </c>
      <c r="B3083" s="9" t="str">
        <f>IFERROR(INDEX(Input!$L$20:$T$1019,INT((ROW()-9)/9)+1,MOD(ROW()-9,9)+1),"")</f>
        <v/>
      </c>
      <c r="C3083" s="9">
        <f t="shared" si="48"/>
        <v>0</v>
      </c>
    </row>
    <row r="3084" spans="1:3" x14ac:dyDescent="0.2">
      <c r="A3084" s="10" t="str">
        <f>IF(3076&gt;$C$9008,"",INDEX($B$9:$B$9008,MATCH(3076,$C$9:$C$9008,0)))</f>
        <v/>
      </c>
      <c r="B3084" s="9" t="str">
        <f>IFERROR(INDEX(Input!$L$20:$T$1019,INT((ROW()-9)/9)+1,MOD(ROW()-9,9)+1),"")</f>
        <v/>
      </c>
      <c r="C3084" s="9">
        <f t="shared" si="48"/>
        <v>0</v>
      </c>
    </row>
    <row r="3085" spans="1:3" x14ac:dyDescent="0.2">
      <c r="A3085" s="10" t="str">
        <f>IF(3077&gt;$C$9008,"",INDEX($B$9:$B$9008,MATCH(3077,$C$9:$C$9008,0)))</f>
        <v/>
      </c>
      <c r="B3085" s="9" t="str">
        <f>IFERROR(INDEX(Input!$L$20:$T$1019,INT((ROW()-9)/9)+1,MOD(ROW()-9,9)+1),"")</f>
        <v/>
      </c>
      <c r="C3085" s="9">
        <f t="shared" si="48"/>
        <v>0</v>
      </c>
    </row>
    <row r="3086" spans="1:3" x14ac:dyDescent="0.2">
      <c r="A3086" s="10" t="str">
        <f>IF(3078&gt;$C$9008,"",INDEX($B$9:$B$9008,MATCH(3078,$C$9:$C$9008,0)))</f>
        <v/>
      </c>
      <c r="B3086" s="9" t="str">
        <f>IFERROR(INDEX(Input!$L$20:$T$1019,INT((ROW()-9)/9)+1,MOD(ROW()-9,9)+1),"")</f>
        <v/>
      </c>
      <c r="C3086" s="9">
        <f t="shared" si="48"/>
        <v>0</v>
      </c>
    </row>
    <row r="3087" spans="1:3" x14ac:dyDescent="0.2">
      <c r="A3087" s="10" t="str">
        <f>IF(3079&gt;$C$9008,"",INDEX($B$9:$B$9008,MATCH(3079,$C$9:$C$9008,0)))</f>
        <v/>
      </c>
      <c r="B3087" s="9" t="str">
        <f>IFERROR(INDEX(Input!$L$20:$T$1019,INT((ROW()-9)/9)+1,MOD(ROW()-9,9)+1),"")</f>
        <v/>
      </c>
      <c r="C3087" s="9">
        <f t="shared" si="48"/>
        <v>0</v>
      </c>
    </row>
    <row r="3088" spans="1:3" x14ac:dyDescent="0.2">
      <c r="A3088" s="10" t="str">
        <f>IF(3080&gt;$C$9008,"",INDEX($B$9:$B$9008,MATCH(3080,$C$9:$C$9008,0)))</f>
        <v/>
      </c>
      <c r="B3088" s="9" t="str">
        <f>IFERROR(INDEX(Input!$L$20:$T$1019,INT((ROW()-9)/9)+1,MOD(ROW()-9,9)+1),"")</f>
        <v/>
      </c>
      <c r="C3088" s="9">
        <f t="shared" si="48"/>
        <v>0</v>
      </c>
    </row>
    <row r="3089" spans="1:3" x14ac:dyDescent="0.2">
      <c r="A3089" s="10" t="str">
        <f>IF(3081&gt;$C$9008,"",INDEX($B$9:$B$9008,MATCH(3081,$C$9:$C$9008,0)))</f>
        <v/>
      </c>
      <c r="B3089" s="9" t="str">
        <f>IFERROR(INDEX(Input!$L$20:$T$1019,INT((ROW()-9)/9)+1,MOD(ROW()-9,9)+1),"")</f>
        <v/>
      </c>
      <c r="C3089" s="9">
        <f t="shared" si="48"/>
        <v>0</v>
      </c>
    </row>
    <row r="3090" spans="1:3" x14ac:dyDescent="0.2">
      <c r="A3090" s="10" t="str">
        <f>IF(3082&gt;$C$9008,"",INDEX($B$9:$B$9008,MATCH(3082,$C$9:$C$9008,0)))</f>
        <v/>
      </c>
      <c r="B3090" s="9" t="str">
        <f>IFERROR(INDEX(Input!$L$20:$T$1019,INT((ROW()-9)/9)+1,MOD(ROW()-9,9)+1),"")</f>
        <v/>
      </c>
      <c r="C3090" s="9">
        <f t="shared" si="48"/>
        <v>0</v>
      </c>
    </row>
    <row r="3091" spans="1:3" x14ac:dyDescent="0.2">
      <c r="A3091" s="10" t="str">
        <f>IF(3083&gt;$C$9008,"",INDEX($B$9:$B$9008,MATCH(3083,$C$9:$C$9008,0)))</f>
        <v/>
      </c>
      <c r="B3091" s="9" t="str">
        <f>IFERROR(INDEX(Input!$L$20:$T$1019,INT((ROW()-9)/9)+1,MOD(ROW()-9,9)+1),"")</f>
        <v/>
      </c>
      <c r="C3091" s="9">
        <f t="shared" si="48"/>
        <v>0</v>
      </c>
    </row>
    <row r="3092" spans="1:3" x14ac:dyDescent="0.2">
      <c r="A3092" s="10" t="str">
        <f>IF(3084&gt;$C$9008,"",INDEX($B$9:$B$9008,MATCH(3084,$C$9:$C$9008,0)))</f>
        <v/>
      </c>
      <c r="B3092" s="9" t="str">
        <f>IFERROR(INDEX(Input!$L$20:$T$1019,INT((ROW()-9)/9)+1,MOD(ROW()-9,9)+1),"")</f>
        <v/>
      </c>
      <c r="C3092" s="9">
        <f t="shared" si="48"/>
        <v>0</v>
      </c>
    </row>
    <row r="3093" spans="1:3" x14ac:dyDescent="0.2">
      <c r="A3093" s="10" t="str">
        <f>IF(3085&gt;$C$9008,"",INDEX($B$9:$B$9008,MATCH(3085,$C$9:$C$9008,0)))</f>
        <v/>
      </c>
      <c r="B3093" s="9" t="str">
        <f>IFERROR(INDEX(Input!$L$20:$T$1019,INT((ROW()-9)/9)+1,MOD(ROW()-9,9)+1),"")</f>
        <v/>
      </c>
      <c r="C3093" s="9">
        <f t="shared" si="48"/>
        <v>0</v>
      </c>
    </row>
    <row r="3094" spans="1:3" x14ac:dyDescent="0.2">
      <c r="A3094" s="10" t="str">
        <f>IF(3086&gt;$C$9008,"",INDEX($B$9:$B$9008,MATCH(3086,$C$9:$C$9008,0)))</f>
        <v/>
      </c>
      <c r="B3094" s="9" t="str">
        <f>IFERROR(INDEX(Input!$L$20:$T$1019,INT((ROW()-9)/9)+1,MOD(ROW()-9,9)+1),"")</f>
        <v/>
      </c>
      <c r="C3094" s="9">
        <f t="shared" si="48"/>
        <v>0</v>
      </c>
    </row>
    <row r="3095" spans="1:3" x14ac:dyDescent="0.2">
      <c r="A3095" s="10" t="str">
        <f>IF(3087&gt;$C$9008,"",INDEX($B$9:$B$9008,MATCH(3087,$C$9:$C$9008,0)))</f>
        <v/>
      </c>
      <c r="B3095" s="9" t="str">
        <f>IFERROR(INDEX(Input!$L$20:$T$1019,INT((ROW()-9)/9)+1,MOD(ROW()-9,9)+1),"")</f>
        <v/>
      </c>
      <c r="C3095" s="9">
        <f t="shared" si="48"/>
        <v>0</v>
      </c>
    </row>
    <row r="3096" spans="1:3" x14ac:dyDescent="0.2">
      <c r="A3096" s="10" t="str">
        <f>IF(3088&gt;$C$9008,"",INDEX($B$9:$B$9008,MATCH(3088,$C$9:$C$9008,0)))</f>
        <v/>
      </c>
      <c r="B3096" s="9" t="str">
        <f>IFERROR(INDEX(Input!$L$20:$T$1019,INT((ROW()-9)/9)+1,MOD(ROW()-9,9)+1),"")</f>
        <v/>
      </c>
      <c r="C3096" s="9">
        <f t="shared" si="48"/>
        <v>0</v>
      </c>
    </row>
    <row r="3097" spans="1:3" x14ac:dyDescent="0.2">
      <c r="A3097" s="10" t="str">
        <f>IF(3089&gt;$C$9008,"",INDEX($B$9:$B$9008,MATCH(3089,$C$9:$C$9008,0)))</f>
        <v/>
      </c>
      <c r="B3097" s="9" t="str">
        <f>IFERROR(INDEX(Input!$L$20:$T$1019,INT((ROW()-9)/9)+1,MOD(ROW()-9,9)+1),"")</f>
        <v/>
      </c>
      <c r="C3097" s="9">
        <f t="shared" si="48"/>
        <v>0</v>
      </c>
    </row>
    <row r="3098" spans="1:3" x14ac:dyDescent="0.2">
      <c r="A3098" s="10" t="str">
        <f>IF(3090&gt;$C$9008,"",INDEX($B$9:$B$9008,MATCH(3090,$C$9:$C$9008,0)))</f>
        <v/>
      </c>
      <c r="B3098" s="9" t="str">
        <f>IFERROR(INDEX(Input!$L$20:$T$1019,INT((ROW()-9)/9)+1,MOD(ROW()-9,9)+1),"")</f>
        <v/>
      </c>
      <c r="C3098" s="9">
        <f t="shared" si="48"/>
        <v>0</v>
      </c>
    </row>
    <row r="3099" spans="1:3" x14ac:dyDescent="0.2">
      <c r="A3099" s="10" t="str">
        <f>IF(3091&gt;$C$9008,"",INDEX($B$9:$B$9008,MATCH(3091,$C$9:$C$9008,0)))</f>
        <v/>
      </c>
      <c r="B3099" s="9" t="str">
        <f>IFERROR(INDEX(Input!$L$20:$T$1019,INT((ROW()-9)/9)+1,MOD(ROW()-9,9)+1),"")</f>
        <v/>
      </c>
      <c r="C3099" s="9">
        <f t="shared" si="48"/>
        <v>0</v>
      </c>
    </row>
    <row r="3100" spans="1:3" x14ac:dyDescent="0.2">
      <c r="A3100" s="10" t="str">
        <f>IF(3092&gt;$C$9008,"",INDEX($B$9:$B$9008,MATCH(3092,$C$9:$C$9008,0)))</f>
        <v/>
      </c>
      <c r="B3100" s="9" t="str">
        <f>IFERROR(INDEX(Input!$L$20:$T$1019,INT((ROW()-9)/9)+1,MOD(ROW()-9,9)+1),"")</f>
        <v/>
      </c>
      <c r="C3100" s="9">
        <f t="shared" si="48"/>
        <v>0</v>
      </c>
    </row>
    <row r="3101" spans="1:3" x14ac:dyDescent="0.2">
      <c r="A3101" s="10" t="str">
        <f>IF(3093&gt;$C$9008,"",INDEX($B$9:$B$9008,MATCH(3093,$C$9:$C$9008,0)))</f>
        <v/>
      </c>
      <c r="B3101" s="9" t="str">
        <f>IFERROR(INDEX(Input!$L$20:$T$1019,INT((ROW()-9)/9)+1,MOD(ROW()-9,9)+1),"")</f>
        <v/>
      </c>
      <c r="C3101" s="9">
        <f t="shared" si="48"/>
        <v>0</v>
      </c>
    </row>
    <row r="3102" spans="1:3" x14ac:dyDescent="0.2">
      <c r="A3102" s="10" t="str">
        <f>IF(3094&gt;$C$9008,"",INDEX($B$9:$B$9008,MATCH(3094,$C$9:$C$9008,0)))</f>
        <v/>
      </c>
      <c r="B3102" s="9" t="str">
        <f>IFERROR(INDEX(Input!$L$20:$T$1019,INT((ROW()-9)/9)+1,MOD(ROW()-9,9)+1),"")</f>
        <v/>
      </c>
      <c r="C3102" s="9">
        <f t="shared" si="48"/>
        <v>0</v>
      </c>
    </row>
    <row r="3103" spans="1:3" x14ac:dyDescent="0.2">
      <c r="A3103" s="10" t="str">
        <f>IF(3095&gt;$C$9008,"",INDEX($B$9:$B$9008,MATCH(3095,$C$9:$C$9008,0)))</f>
        <v/>
      </c>
      <c r="B3103" s="9" t="str">
        <f>IFERROR(INDEX(Input!$L$20:$T$1019,INT((ROW()-9)/9)+1,MOD(ROW()-9,9)+1),"")</f>
        <v/>
      </c>
      <c r="C3103" s="9">
        <f t="shared" si="48"/>
        <v>0</v>
      </c>
    </row>
    <row r="3104" spans="1:3" x14ac:dyDescent="0.2">
      <c r="A3104" s="10" t="str">
        <f>IF(3096&gt;$C$9008,"",INDEX($B$9:$B$9008,MATCH(3096,$C$9:$C$9008,0)))</f>
        <v/>
      </c>
      <c r="B3104" s="9" t="str">
        <f>IFERROR(INDEX(Input!$L$20:$T$1019,INT((ROW()-9)/9)+1,MOD(ROW()-9,9)+1),"")</f>
        <v/>
      </c>
      <c r="C3104" s="9">
        <f t="shared" si="48"/>
        <v>0</v>
      </c>
    </row>
    <row r="3105" spans="1:3" x14ac:dyDescent="0.2">
      <c r="A3105" s="10" t="str">
        <f>IF(3097&gt;$C$9008,"",INDEX($B$9:$B$9008,MATCH(3097,$C$9:$C$9008,0)))</f>
        <v/>
      </c>
      <c r="B3105" s="9" t="str">
        <f>IFERROR(INDEX(Input!$L$20:$T$1019,INT((ROW()-9)/9)+1,MOD(ROW()-9,9)+1),"")</f>
        <v/>
      </c>
      <c r="C3105" s="9">
        <f t="shared" si="48"/>
        <v>0</v>
      </c>
    </row>
    <row r="3106" spans="1:3" x14ac:dyDescent="0.2">
      <c r="A3106" s="10" t="str">
        <f>IF(3098&gt;$C$9008,"",INDEX($B$9:$B$9008,MATCH(3098,$C$9:$C$9008,0)))</f>
        <v/>
      </c>
      <c r="B3106" s="9" t="str">
        <f>IFERROR(INDEX(Input!$L$20:$T$1019,INT((ROW()-9)/9)+1,MOD(ROW()-9,9)+1),"")</f>
        <v/>
      </c>
      <c r="C3106" s="9">
        <f t="shared" si="48"/>
        <v>0</v>
      </c>
    </row>
    <row r="3107" spans="1:3" x14ac:dyDescent="0.2">
      <c r="A3107" s="10" t="str">
        <f>IF(3099&gt;$C$9008,"",INDEX($B$9:$B$9008,MATCH(3099,$C$9:$C$9008,0)))</f>
        <v/>
      </c>
      <c r="B3107" s="9" t="str">
        <f>IFERROR(INDEX(Input!$L$20:$T$1019,INT((ROW()-9)/9)+1,MOD(ROW()-9,9)+1),"")</f>
        <v/>
      </c>
      <c r="C3107" s="9">
        <f t="shared" si="48"/>
        <v>0</v>
      </c>
    </row>
    <row r="3108" spans="1:3" x14ac:dyDescent="0.2">
      <c r="A3108" s="10" t="str">
        <f>IF(3100&gt;$C$9008,"",INDEX($B$9:$B$9008,MATCH(3100,$C$9:$C$9008,0)))</f>
        <v/>
      </c>
      <c r="B3108" s="9" t="str">
        <f>IFERROR(INDEX(Input!$L$20:$T$1019,INT((ROW()-9)/9)+1,MOD(ROW()-9,9)+1),"")</f>
        <v/>
      </c>
      <c r="C3108" s="9">
        <f t="shared" si="48"/>
        <v>0</v>
      </c>
    </row>
    <row r="3109" spans="1:3" x14ac:dyDescent="0.2">
      <c r="A3109" s="10" t="str">
        <f>IF(3101&gt;$C$9008,"",INDEX($B$9:$B$9008,MATCH(3101,$C$9:$C$9008,0)))</f>
        <v/>
      </c>
      <c r="B3109" s="9" t="str">
        <f>IFERROR(INDEX(Input!$L$20:$T$1019,INT((ROW()-9)/9)+1,MOD(ROW()-9,9)+1),"")</f>
        <v/>
      </c>
      <c r="C3109" s="9">
        <f t="shared" si="48"/>
        <v>0</v>
      </c>
    </row>
    <row r="3110" spans="1:3" x14ac:dyDescent="0.2">
      <c r="A3110" s="10" t="str">
        <f>IF(3102&gt;$C$9008,"",INDEX($B$9:$B$9008,MATCH(3102,$C$9:$C$9008,0)))</f>
        <v/>
      </c>
      <c r="B3110" s="9" t="str">
        <f>IFERROR(INDEX(Input!$L$20:$T$1019,INT((ROW()-9)/9)+1,MOD(ROW()-9,9)+1),"")</f>
        <v/>
      </c>
      <c r="C3110" s="9">
        <f t="shared" si="48"/>
        <v>0</v>
      </c>
    </row>
    <row r="3111" spans="1:3" x14ac:dyDescent="0.2">
      <c r="A3111" s="10" t="str">
        <f>IF(3103&gt;$C$9008,"",INDEX($B$9:$B$9008,MATCH(3103,$C$9:$C$9008,0)))</f>
        <v/>
      </c>
      <c r="B3111" s="9" t="str">
        <f>IFERROR(INDEX(Input!$L$20:$T$1019,INT((ROW()-9)/9)+1,MOD(ROW()-9,9)+1),"")</f>
        <v/>
      </c>
      <c r="C3111" s="9">
        <f t="shared" si="48"/>
        <v>0</v>
      </c>
    </row>
    <row r="3112" spans="1:3" x14ac:dyDescent="0.2">
      <c r="A3112" s="10" t="str">
        <f>IF(3104&gt;$C$9008,"",INDEX($B$9:$B$9008,MATCH(3104,$C$9:$C$9008,0)))</f>
        <v/>
      </c>
      <c r="B3112" s="9" t="str">
        <f>IFERROR(INDEX(Input!$L$20:$T$1019,INT((ROW()-9)/9)+1,MOD(ROW()-9,9)+1),"")</f>
        <v/>
      </c>
      <c r="C3112" s="9">
        <f t="shared" si="48"/>
        <v>0</v>
      </c>
    </row>
    <row r="3113" spans="1:3" x14ac:dyDescent="0.2">
      <c r="A3113" s="10" t="str">
        <f>IF(3105&gt;$C$9008,"",INDEX($B$9:$B$9008,MATCH(3105,$C$9:$C$9008,0)))</f>
        <v/>
      </c>
      <c r="B3113" s="9" t="str">
        <f>IFERROR(INDEX(Input!$L$20:$T$1019,INT((ROW()-9)/9)+1,MOD(ROW()-9,9)+1),"")</f>
        <v/>
      </c>
      <c r="C3113" s="9">
        <f t="shared" si="48"/>
        <v>0</v>
      </c>
    </row>
    <row r="3114" spans="1:3" x14ac:dyDescent="0.2">
      <c r="A3114" s="10" t="str">
        <f>IF(3106&gt;$C$9008,"",INDEX($B$9:$B$9008,MATCH(3106,$C$9:$C$9008,0)))</f>
        <v/>
      </c>
      <c r="B3114" s="9" t="str">
        <f>IFERROR(INDEX(Input!$L$20:$T$1019,INT((ROW()-9)/9)+1,MOD(ROW()-9,9)+1),"")</f>
        <v/>
      </c>
      <c r="C3114" s="9">
        <f t="shared" si="48"/>
        <v>0</v>
      </c>
    </row>
    <row r="3115" spans="1:3" x14ac:dyDescent="0.2">
      <c r="A3115" s="10" t="str">
        <f>IF(3107&gt;$C$9008,"",INDEX($B$9:$B$9008,MATCH(3107,$C$9:$C$9008,0)))</f>
        <v/>
      </c>
      <c r="B3115" s="9" t="str">
        <f>IFERROR(INDEX(Input!$L$20:$T$1019,INT((ROW()-9)/9)+1,MOD(ROW()-9,9)+1),"")</f>
        <v/>
      </c>
      <c r="C3115" s="9">
        <f t="shared" si="48"/>
        <v>0</v>
      </c>
    </row>
    <row r="3116" spans="1:3" x14ac:dyDescent="0.2">
      <c r="A3116" s="10" t="str">
        <f>IF(3108&gt;$C$9008,"",INDEX($B$9:$B$9008,MATCH(3108,$C$9:$C$9008,0)))</f>
        <v/>
      </c>
      <c r="B3116" s="9" t="str">
        <f>IFERROR(INDEX(Input!$L$20:$T$1019,INT((ROW()-9)/9)+1,MOD(ROW()-9,9)+1),"")</f>
        <v/>
      </c>
      <c r="C3116" s="9">
        <f t="shared" si="48"/>
        <v>0</v>
      </c>
    </row>
    <row r="3117" spans="1:3" x14ac:dyDescent="0.2">
      <c r="A3117" s="10" t="str">
        <f>IF(3109&gt;$C$9008,"",INDEX($B$9:$B$9008,MATCH(3109,$C$9:$C$9008,0)))</f>
        <v/>
      </c>
      <c r="B3117" s="9" t="str">
        <f>IFERROR(INDEX(Input!$L$20:$T$1019,INT((ROW()-9)/9)+1,MOD(ROW()-9,9)+1),"")</f>
        <v/>
      </c>
      <c r="C3117" s="9">
        <f t="shared" si="48"/>
        <v>0</v>
      </c>
    </row>
    <row r="3118" spans="1:3" x14ac:dyDescent="0.2">
      <c r="A3118" s="10" t="str">
        <f>IF(3110&gt;$C$9008,"",INDEX($B$9:$B$9008,MATCH(3110,$C$9:$C$9008,0)))</f>
        <v/>
      </c>
      <c r="B3118" s="9" t="str">
        <f>IFERROR(INDEX(Input!$L$20:$T$1019,INT((ROW()-9)/9)+1,MOD(ROW()-9,9)+1),"")</f>
        <v/>
      </c>
      <c r="C3118" s="9">
        <f t="shared" si="48"/>
        <v>0</v>
      </c>
    </row>
    <row r="3119" spans="1:3" x14ac:dyDescent="0.2">
      <c r="A3119" s="10" t="str">
        <f>IF(3111&gt;$C$9008,"",INDEX($B$9:$B$9008,MATCH(3111,$C$9:$C$9008,0)))</f>
        <v/>
      </c>
      <c r="B3119" s="9" t="str">
        <f>IFERROR(INDEX(Input!$L$20:$T$1019,INT((ROW()-9)/9)+1,MOD(ROW()-9,9)+1),"")</f>
        <v/>
      </c>
      <c r="C3119" s="9">
        <f t="shared" si="48"/>
        <v>0</v>
      </c>
    </row>
    <row r="3120" spans="1:3" x14ac:dyDescent="0.2">
      <c r="A3120" s="10" t="str">
        <f>IF(3112&gt;$C$9008,"",INDEX($B$9:$B$9008,MATCH(3112,$C$9:$C$9008,0)))</f>
        <v/>
      </c>
      <c r="B3120" s="9" t="str">
        <f>IFERROR(INDEX(Input!$L$20:$T$1019,INT((ROW()-9)/9)+1,MOD(ROW()-9,9)+1),"")</f>
        <v/>
      </c>
      <c r="C3120" s="9">
        <f t="shared" si="48"/>
        <v>0</v>
      </c>
    </row>
    <row r="3121" spans="1:3" x14ac:dyDescent="0.2">
      <c r="A3121" s="10" t="str">
        <f>IF(3113&gt;$C$9008,"",INDEX($B$9:$B$9008,MATCH(3113,$C$9:$C$9008,0)))</f>
        <v/>
      </c>
      <c r="B3121" s="9" t="str">
        <f>IFERROR(INDEX(Input!$L$20:$T$1019,INT((ROW()-9)/9)+1,MOD(ROW()-9,9)+1),"")</f>
        <v/>
      </c>
      <c r="C3121" s="9">
        <f t="shared" si="48"/>
        <v>0</v>
      </c>
    </row>
    <row r="3122" spans="1:3" x14ac:dyDescent="0.2">
      <c r="A3122" s="10" t="str">
        <f>IF(3114&gt;$C$9008,"",INDEX($B$9:$B$9008,MATCH(3114,$C$9:$C$9008,0)))</f>
        <v/>
      </c>
      <c r="B3122" s="9" t="str">
        <f>IFERROR(INDEX(Input!$L$20:$T$1019,INT((ROW()-9)/9)+1,MOD(ROW()-9,9)+1),"")</f>
        <v/>
      </c>
      <c r="C3122" s="9">
        <f t="shared" si="48"/>
        <v>0</v>
      </c>
    </row>
    <row r="3123" spans="1:3" x14ac:dyDescent="0.2">
      <c r="A3123" s="10" t="str">
        <f>IF(3115&gt;$C$9008,"",INDEX($B$9:$B$9008,MATCH(3115,$C$9:$C$9008,0)))</f>
        <v/>
      </c>
      <c r="B3123" s="9" t="str">
        <f>IFERROR(INDEX(Input!$L$20:$T$1019,INT((ROW()-9)/9)+1,MOD(ROW()-9,9)+1),"")</f>
        <v/>
      </c>
      <c r="C3123" s="9">
        <f t="shared" si="48"/>
        <v>0</v>
      </c>
    </row>
    <row r="3124" spans="1:3" x14ac:dyDescent="0.2">
      <c r="A3124" s="10" t="str">
        <f>IF(3116&gt;$C$9008,"",INDEX($B$9:$B$9008,MATCH(3116,$C$9:$C$9008,0)))</f>
        <v/>
      </c>
      <c r="B3124" s="9" t="str">
        <f>IFERROR(INDEX(Input!$L$20:$T$1019,INT((ROW()-9)/9)+1,MOD(ROW()-9,9)+1),"")</f>
        <v/>
      </c>
      <c r="C3124" s="9">
        <f t="shared" si="48"/>
        <v>0</v>
      </c>
    </row>
    <row r="3125" spans="1:3" x14ac:dyDescent="0.2">
      <c r="A3125" s="10" t="str">
        <f>IF(3117&gt;$C$9008,"",INDEX($B$9:$B$9008,MATCH(3117,$C$9:$C$9008,0)))</f>
        <v/>
      </c>
      <c r="B3125" s="9" t="str">
        <f>IFERROR(INDEX(Input!$L$20:$T$1019,INT((ROW()-9)/9)+1,MOD(ROW()-9,9)+1),"")</f>
        <v/>
      </c>
      <c r="C3125" s="9">
        <f t="shared" si="48"/>
        <v>0</v>
      </c>
    </row>
    <row r="3126" spans="1:3" x14ac:dyDescent="0.2">
      <c r="A3126" s="10" t="str">
        <f>IF(3118&gt;$C$9008,"",INDEX($B$9:$B$9008,MATCH(3118,$C$9:$C$9008,0)))</f>
        <v/>
      </c>
      <c r="B3126" s="9" t="str">
        <f>IFERROR(INDEX(Input!$L$20:$T$1019,INT((ROW()-9)/9)+1,MOD(ROW()-9,9)+1),"")</f>
        <v/>
      </c>
      <c r="C3126" s="9">
        <f t="shared" si="48"/>
        <v>0</v>
      </c>
    </row>
    <row r="3127" spans="1:3" x14ac:dyDescent="0.2">
      <c r="A3127" s="10" t="str">
        <f>IF(3119&gt;$C$9008,"",INDEX($B$9:$B$9008,MATCH(3119,$C$9:$C$9008,0)))</f>
        <v/>
      </c>
      <c r="B3127" s="9" t="str">
        <f>IFERROR(INDEX(Input!$L$20:$T$1019,INT((ROW()-9)/9)+1,MOD(ROW()-9,9)+1),"")</f>
        <v/>
      </c>
      <c r="C3127" s="9">
        <f t="shared" si="48"/>
        <v>0</v>
      </c>
    </row>
    <row r="3128" spans="1:3" x14ac:dyDescent="0.2">
      <c r="A3128" s="10" t="str">
        <f>IF(3120&gt;$C$9008,"",INDEX($B$9:$B$9008,MATCH(3120,$C$9:$C$9008,0)))</f>
        <v/>
      </c>
      <c r="B3128" s="9" t="str">
        <f>IFERROR(INDEX(Input!$L$20:$T$1019,INT((ROW()-9)/9)+1,MOD(ROW()-9,9)+1),"")</f>
        <v/>
      </c>
      <c r="C3128" s="9">
        <f t="shared" si="48"/>
        <v>0</v>
      </c>
    </row>
    <row r="3129" spans="1:3" x14ac:dyDescent="0.2">
      <c r="A3129" s="10" t="str">
        <f>IF(3121&gt;$C$9008,"",INDEX($B$9:$B$9008,MATCH(3121,$C$9:$C$9008,0)))</f>
        <v/>
      </c>
      <c r="B3129" s="9" t="str">
        <f>IFERROR(INDEX(Input!$L$20:$T$1019,INT((ROW()-9)/9)+1,MOD(ROW()-9,9)+1),"")</f>
        <v/>
      </c>
      <c r="C3129" s="9">
        <f t="shared" si="48"/>
        <v>0</v>
      </c>
    </row>
    <row r="3130" spans="1:3" x14ac:dyDescent="0.2">
      <c r="A3130" s="10" t="str">
        <f>IF(3122&gt;$C$9008,"",INDEX($B$9:$B$9008,MATCH(3122,$C$9:$C$9008,0)))</f>
        <v/>
      </c>
      <c r="B3130" s="9" t="str">
        <f>IFERROR(INDEX(Input!$L$20:$T$1019,INT((ROW()-9)/9)+1,MOD(ROW()-9,9)+1),"")</f>
        <v/>
      </c>
      <c r="C3130" s="9">
        <f t="shared" si="48"/>
        <v>0</v>
      </c>
    </row>
    <row r="3131" spans="1:3" x14ac:dyDescent="0.2">
      <c r="A3131" s="10" t="str">
        <f>IF(3123&gt;$C$9008,"",INDEX($B$9:$B$9008,MATCH(3123,$C$9:$C$9008,0)))</f>
        <v/>
      </c>
      <c r="B3131" s="9" t="str">
        <f>IFERROR(INDEX(Input!$L$20:$T$1019,INT((ROW()-9)/9)+1,MOD(ROW()-9,9)+1),"")</f>
        <v/>
      </c>
      <c r="C3131" s="9">
        <f t="shared" si="48"/>
        <v>0</v>
      </c>
    </row>
    <row r="3132" spans="1:3" x14ac:dyDescent="0.2">
      <c r="A3132" s="10" t="str">
        <f>IF(3124&gt;$C$9008,"",INDEX($B$9:$B$9008,MATCH(3124,$C$9:$C$9008,0)))</f>
        <v/>
      </c>
      <c r="B3132" s="9" t="str">
        <f>IFERROR(INDEX(Input!$L$20:$T$1019,INT((ROW()-9)/9)+1,MOD(ROW()-9,9)+1),"")</f>
        <v/>
      </c>
      <c r="C3132" s="9">
        <f t="shared" si="48"/>
        <v>0</v>
      </c>
    </row>
    <row r="3133" spans="1:3" x14ac:dyDescent="0.2">
      <c r="A3133" s="10" t="str">
        <f>IF(3125&gt;$C$9008,"",INDEX($B$9:$B$9008,MATCH(3125,$C$9:$C$9008,0)))</f>
        <v/>
      </c>
      <c r="B3133" s="9" t="str">
        <f>IFERROR(INDEX(Input!$L$20:$T$1019,INT((ROW()-9)/9)+1,MOD(ROW()-9,9)+1),"")</f>
        <v/>
      </c>
      <c r="C3133" s="9">
        <f t="shared" si="48"/>
        <v>0</v>
      </c>
    </row>
    <row r="3134" spans="1:3" x14ac:dyDescent="0.2">
      <c r="A3134" s="10" t="str">
        <f>IF(3126&gt;$C$9008,"",INDEX($B$9:$B$9008,MATCH(3126,$C$9:$C$9008,0)))</f>
        <v/>
      </c>
      <c r="B3134" s="9" t="str">
        <f>IFERROR(INDEX(Input!$L$20:$T$1019,INT((ROW()-9)/9)+1,MOD(ROW()-9,9)+1),"")</f>
        <v/>
      </c>
      <c r="C3134" s="9">
        <f t="shared" si="48"/>
        <v>0</v>
      </c>
    </row>
    <row r="3135" spans="1:3" x14ac:dyDescent="0.2">
      <c r="A3135" s="10" t="str">
        <f>IF(3127&gt;$C$9008,"",INDEX($B$9:$B$9008,MATCH(3127,$C$9:$C$9008,0)))</f>
        <v/>
      </c>
      <c r="B3135" s="9" t="str">
        <f>IFERROR(INDEX(Input!$L$20:$T$1019,INT((ROW()-9)/9)+1,MOD(ROW()-9,9)+1),"")</f>
        <v/>
      </c>
      <c r="C3135" s="9">
        <f t="shared" si="48"/>
        <v>0</v>
      </c>
    </row>
    <row r="3136" spans="1:3" x14ac:dyDescent="0.2">
      <c r="A3136" s="10" t="str">
        <f>IF(3128&gt;$C$9008,"",INDEX($B$9:$B$9008,MATCH(3128,$C$9:$C$9008,0)))</f>
        <v/>
      </c>
      <c r="B3136" s="9" t="str">
        <f>IFERROR(INDEX(Input!$L$20:$T$1019,INT((ROW()-9)/9)+1,MOD(ROW()-9,9)+1),"")</f>
        <v/>
      </c>
      <c r="C3136" s="9">
        <f t="shared" si="48"/>
        <v>0</v>
      </c>
    </row>
    <row r="3137" spans="1:3" x14ac:dyDescent="0.2">
      <c r="A3137" s="10" t="str">
        <f>IF(3129&gt;$C$9008,"",INDEX($B$9:$B$9008,MATCH(3129,$C$9:$C$9008,0)))</f>
        <v/>
      </c>
      <c r="B3137" s="9" t="str">
        <f>IFERROR(INDEX(Input!$L$20:$T$1019,INT((ROW()-9)/9)+1,MOD(ROW()-9,9)+1),"")</f>
        <v/>
      </c>
      <c r="C3137" s="9">
        <f t="shared" si="48"/>
        <v>0</v>
      </c>
    </row>
    <row r="3138" spans="1:3" x14ac:dyDescent="0.2">
      <c r="A3138" s="10" t="str">
        <f>IF(3130&gt;$C$9008,"",INDEX($B$9:$B$9008,MATCH(3130,$C$9:$C$9008,0)))</f>
        <v/>
      </c>
      <c r="B3138" s="9" t="str">
        <f>IFERROR(INDEX(Input!$L$20:$T$1019,INT((ROW()-9)/9)+1,MOD(ROW()-9,9)+1),"")</f>
        <v/>
      </c>
      <c r="C3138" s="9">
        <f t="shared" si="48"/>
        <v>0</v>
      </c>
    </row>
    <row r="3139" spans="1:3" x14ac:dyDescent="0.2">
      <c r="A3139" s="10" t="str">
        <f>IF(3131&gt;$C$9008,"",INDEX($B$9:$B$9008,MATCH(3131,$C$9:$C$9008,0)))</f>
        <v/>
      </c>
      <c r="B3139" s="9" t="str">
        <f>IFERROR(INDEX(Input!$L$20:$T$1019,INT((ROW()-9)/9)+1,MOD(ROW()-9,9)+1),"")</f>
        <v/>
      </c>
      <c r="C3139" s="9">
        <f t="shared" si="48"/>
        <v>0</v>
      </c>
    </row>
    <row r="3140" spans="1:3" x14ac:dyDescent="0.2">
      <c r="A3140" s="10" t="str">
        <f>IF(3132&gt;$C$9008,"",INDEX($B$9:$B$9008,MATCH(3132,$C$9:$C$9008,0)))</f>
        <v/>
      </c>
      <c r="B3140" s="9" t="str">
        <f>IFERROR(INDEX(Input!$L$20:$T$1019,INT((ROW()-9)/9)+1,MOD(ROW()-9,9)+1),"")</f>
        <v/>
      </c>
      <c r="C3140" s="9">
        <f t="shared" si="48"/>
        <v>0</v>
      </c>
    </row>
    <row r="3141" spans="1:3" x14ac:dyDescent="0.2">
      <c r="A3141" s="10" t="str">
        <f>IF(3133&gt;$C$9008,"",INDEX($B$9:$B$9008,MATCH(3133,$C$9:$C$9008,0)))</f>
        <v/>
      </c>
      <c r="B3141" s="9" t="str">
        <f>IFERROR(INDEX(Input!$L$20:$T$1019,INT((ROW()-9)/9)+1,MOD(ROW()-9,9)+1),"")</f>
        <v/>
      </c>
      <c r="C3141" s="9">
        <f t="shared" si="48"/>
        <v>0</v>
      </c>
    </row>
    <row r="3142" spans="1:3" x14ac:dyDescent="0.2">
      <c r="A3142" s="10" t="str">
        <f>IF(3134&gt;$C$9008,"",INDEX($B$9:$B$9008,MATCH(3134,$C$9:$C$9008,0)))</f>
        <v/>
      </c>
      <c r="B3142" s="9" t="str">
        <f>IFERROR(INDEX(Input!$L$20:$T$1019,INT((ROW()-9)/9)+1,MOD(ROW()-9,9)+1),"")</f>
        <v/>
      </c>
      <c r="C3142" s="9">
        <f t="shared" si="48"/>
        <v>0</v>
      </c>
    </row>
    <row r="3143" spans="1:3" x14ac:dyDescent="0.2">
      <c r="A3143" s="10" t="str">
        <f>IF(3135&gt;$C$9008,"",INDEX($B$9:$B$9008,MATCH(3135,$C$9:$C$9008,0)))</f>
        <v/>
      </c>
      <c r="B3143" s="9" t="str">
        <f>IFERROR(INDEX(Input!$L$20:$T$1019,INT((ROW()-9)/9)+1,MOD(ROW()-9,9)+1),"")</f>
        <v/>
      </c>
      <c r="C3143" s="9">
        <f t="shared" si="48"/>
        <v>0</v>
      </c>
    </row>
    <row r="3144" spans="1:3" x14ac:dyDescent="0.2">
      <c r="A3144" s="10" t="str">
        <f>IF(3136&gt;$C$9008,"",INDEX($B$9:$B$9008,MATCH(3136,$C$9:$C$9008,0)))</f>
        <v/>
      </c>
      <c r="B3144" s="9" t="str">
        <f>IFERROR(INDEX(Input!$L$20:$T$1019,INT((ROW()-9)/9)+1,MOD(ROW()-9,9)+1),"")</f>
        <v/>
      </c>
      <c r="C3144" s="9">
        <f t="shared" si="48"/>
        <v>0</v>
      </c>
    </row>
    <row r="3145" spans="1:3" x14ac:dyDescent="0.2">
      <c r="A3145" s="10" t="str">
        <f>IF(3137&gt;$C$9008,"",INDEX($B$9:$B$9008,MATCH(3137,$C$9:$C$9008,0)))</f>
        <v/>
      </c>
      <c r="B3145" s="9" t="str">
        <f>IFERROR(INDEX(Input!$L$20:$T$1019,INT((ROW()-9)/9)+1,MOD(ROW()-9,9)+1),"")</f>
        <v/>
      </c>
      <c r="C3145" s="9">
        <f t="shared" ref="C3145:C3208" si="49">$C3144+IF($B3145&lt;&gt;"",1,0)</f>
        <v>0</v>
      </c>
    </row>
    <row r="3146" spans="1:3" x14ac:dyDescent="0.2">
      <c r="A3146" s="10" t="str">
        <f>IF(3138&gt;$C$9008,"",INDEX($B$9:$B$9008,MATCH(3138,$C$9:$C$9008,0)))</f>
        <v/>
      </c>
      <c r="B3146" s="9" t="str">
        <f>IFERROR(INDEX(Input!$L$20:$T$1019,INT((ROW()-9)/9)+1,MOD(ROW()-9,9)+1),"")</f>
        <v/>
      </c>
      <c r="C3146" s="9">
        <f t="shared" si="49"/>
        <v>0</v>
      </c>
    </row>
    <row r="3147" spans="1:3" x14ac:dyDescent="0.2">
      <c r="A3147" s="10" t="str">
        <f>IF(3139&gt;$C$9008,"",INDEX($B$9:$B$9008,MATCH(3139,$C$9:$C$9008,0)))</f>
        <v/>
      </c>
      <c r="B3147" s="9" t="str">
        <f>IFERROR(INDEX(Input!$L$20:$T$1019,INT((ROW()-9)/9)+1,MOD(ROW()-9,9)+1),"")</f>
        <v/>
      </c>
      <c r="C3147" s="9">
        <f t="shared" si="49"/>
        <v>0</v>
      </c>
    </row>
    <row r="3148" spans="1:3" x14ac:dyDescent="0.2">
      <c r="A3148" s="10" t="str">
        <f>IF(3140&gt;$C$9008,"",INDEX($B$9:$B$9008,MATCH(3140,$C$9:$C$9008,0)))</f>
        <v/>
      </c>
      <c r="B3148" s="9" t="str">
        <f>IFERROR(INDEX(Input!$L$20:$T$1019,INT((ROW()-9)/9)+1,MOD(ROW()-9,9)+1),"")</f>
        <v/>
      </c>
      <c r="C3148" s="9">
        <f t="shared" si="49"/>
        <v>0</v>
      </c>
    </row>
    <row r="3149" spans="1:3" x14ac:dyDescent="0.2">
      <c r="A3149" s="10" t="str">
        <f>IF(3141&gt;$C$9008,"",INDEX($B$9:$B$9008,MATCH(3141,$C$9:$C$9008,0)))</f>
        <v/>
      </c>
      <c r="B3149" s="9" t="str">
        <f>IFERROR(INDEX(Input!$L$20:$T$1019,INT((ROW()-9)/9)+1,MOD(ROW()-9,9)+1),"")</f>
        <v/>
      </c>
      <c r="C3149" s="9">
        <f t="shared" si="49"/>
        <v>0</v>
      </c>
    </row>
    <row r="3150" spans="1:3" x14ac:dyDescent="0.2">
      <c r="A3150" s="10" t="str">
        <f>IF(3142&gt;$C$9008,"",INDEX($B$9:$B$9008,MATCH(3142,$C$9:$C$9008,0)))</f>
        <v/>
      </c>
      <c r="B3150" s="9" t="str">
        <f>IFERROR(INDEX(Input!$L$20:$T$1019,INT((ROW()-9)/9)+1,MOD(ROW()-9,9)+1),"")</f>
        <v/>
      </c>
      <c r="C3150" s="9">
        <f t="shared" si="49"/>
        <v>0</v>
      </c>
    </row>
    <row r="3151" spans="1:3" x14ac:dyDescent="0.2">
      <c r="A3151" s="10" t="str">
        <f>IF(3143&gt;$C$9008,"",INDEX($B$9:$B$9008,MATCH(3143,$C$9:$C$9008,0)))</f>
        <v/>
      </c>
      <c r="B3151" s="9" t="str">
        <f>IFERROR(INDEX(Input!$L$20:$T$1019,INT((ROW()-9)/9)+1,MOD(ROW()-9,9)+1),"")</f>
        <v/>
      </c>
      <c r="C3151" s="9">
        <f t="shared" si="49"/>
        <v>0</v>
      </c>
    </row>
    <row r="3152" spans="1:3" x14ac:dyDescent="0.2">
      <c r="A3152" s="10" t="str">
        <f>IF(3144&gt;$C$9008,"",INDEX($B$9:$B$9008,MATCH(3144,$C$9:$C$9008,0)))</f>
        <v/>
      </c>
      <c r="B3152" s="9" t="str">
        <f>IFERROR(INDEX(Input!$L$20:$T$1019,INT((ROW()-9)/9)+1,MOD(ROW()-9,9)+1),"")</f>
        <v/>
      </c>
      <c r="C3152" s="9">
        <f t="shared" si="49"/>
        <v>0</v>
      </c>
    </row>
    <row r="3153" spans="1:3" x14ac:dyDescent="0.2">
      <c r="A3153" s="10" t="str">
        <f>IF(3145&gt;$C$9008,"",INDEX($B$9:$B$9008,MATCH(3145,$C$9:$C$9008,0)))</f>
        <v/>
      </c>
      <c r="B3153" s="9" t="str">
        <f>IFERROR(INDEX(Input!$L$20:$T$1019,INT((ROW()-9)/9)+1,MOD(ROW()-9,9)+1),"")</f>
        <v/>
      </c>
      <c r="C3153" s="9">
        <f t="shared" si="49"/>
        <v>0</v>
      </c>
    </row>
    <row r="3154" spans="1:3" x14ac:dyDescent="0.2">
      <c r="A3154" s="10" t="str">
        <f>IF(3146&gt;$C$9008,"",INDEX($B$9:$B$9008,MATCH(3146,$C$9:$C$9008,0)))</f>
        <v/>
      </c>
      <c r="B3154" s="9" t="str">
        <f>IFERROR(INDEX(Input!$L$20:$T$1019,INT((ROW()-9)/9)+1,MOD(ROW()-9,9)+1),"")</f>
        <v/>
      </c>
      <c r="C3154" s="9">
        <f t="shared" si="49"/>
        <v>0</v>
      </c>
    </row>
    <row r="3155" spans="1:3" x14ac:dyDescent="0.2">
      <c r="A3155" s="10" t="str">
        <f>IF(3147&gt;$C$9008,"",INDEX($B$9:$B$9008,MATCH(3147,$C$9:$C$9008,0)))</f>
        <v/>
      </c>
      <c r="B3155" s="9" t="str">
        <f>IFERROR(INDEX(Input!$L$20:$T$1019,INT((ROW()-9)/9)+1,MOD(ROW()-9,9)+1),"")</f>
        <v/>
      </c>
      <c r="C3155" s="9">
        <f t="shared" si="49"/>
        <v>0</v>
      </c>
    </row>
    <row r="3156" spans="1:3" x14ac:dyDescent="0.2">
      <c r="A3156" s="10" t="str">
        <f>IF(3148&gt;$C$9008,"",INDEX($B$9:$B$9008,MATCH(3148,$C$9:$C$9008,0)))</f>
        <v/>
      </c>
      <c r="B3156" s="9" t="str">
        <f>IFERROR(INDEX(Input!$L$20:$T$1019,INT((ROW()-9)/9)+1,MOD(ROW()-9,9)+1),"")</f>
        <v/>
      </c>
      <c r="C3156" s="9">
        <f t="shared" si="49"/>
        <v>0</v>
      </c>
    </row>
    <row r="3157" spans="1:3" x14ac:dyDescent="0.2">
      <c r="A3157" s="10" t="str">
        <f>IF(3149&gt;$C$9008,"",INDEX($B$9:$B$9008,MATCH(3149,$C$9:$C$9008,0)))</f>
        <v/>
      </c>
      <c r="B3157" s="9" t="str">
        <f>IFERROR(INDEX(Input!$L$20:$T$1019,INT((ROW()-9)/9)+1,MOD(ROW()-9,9)+1),"")</f>
        <v/>
      </c>
      <c r="C3157" s="9">
        <f t="shared" si="49"/>
        <v>0</v>
      </c>
    </row>
    <row r="3158" spans="1:3" x14ac:dyDescent="0.2">
      <c r="A3158" s="10" t="str">
        <f>IF(3150&gt;$C$9008,"",INDEX($B$9:$B$9008,MATCH(3150,$C$9:$C$9008,0)))</f>
        <v/>
      </c>
      <c r="B3158" s="9" t="str">
        <f>IFERROR(INDEX(Input!$L$20:$T$1019,INT((ROW()-9)/9)+1,MOD(ROW()-9,9)+1),"")</f>
        <v/>
      </c>
      <c r="C3158" s="9">
        <f t="shared" si="49"/>
        <v>0</v>
      </c>
    </row>
    <row r="3159" spans="1:3" x14ac:dyDescent="0.2">
      <c r="A3159" s="10" t="str">
        <f>IF(3151&gt;$C$9008,"",INDEX($B$9:$B$9008,MATCH(3151,$C$9:$C$9008,0)))</f>
        <v/>
      </c>
      <c r="B3159" s="9" t="str">
        <f>IFERROR(INDEX(Input!$L$20:$T$1019,INT((ROW()-9)/9)+1,MOD(ROW()-9,9)+1),"")</f>
        <v/>
      </c>
      <c r="C3159" s="9">
        <f t="shared" si="49"/>
        <v>0</v>
      </c>
    </row>
    <row r="3160" spans="1:3" x14ac:dyDescent="0.2">
      <c r="A3160" s="10" t="str">
        <f>IF(3152&gt;$C$9008,"",INDEX($B$9:$B$9008,MATCH(3152,$C$9:$C$9008,0)))</f>
        <v/>
      </c>
      <c r="B3160" s="9" t="str">
        <f>IFERROR(INDEX(Input!$L$20:$T$1019,INT((ROW()-9)/9)+1,MOD(ROW()-9,9)+1),"")</f>
        <v/>
      </c>
      <c r="C3160" s="9">
        <f t="shared" si="49"/>
        <v>0</v>
      </c>
    </row>
    <row r="3161" spans="1:3" x14ac:dyDescent="0.2">
      <c r="A3161" s="10" t="str">
        <f>IF(3153&gt;$C$9008,"",INDEX($B$9:$B$9008,MATCH(3153,$C$9:$C$9008,0)))</f>
        <v/>
      </c>
      <c r="B3161" s="9" t="str">
        <f>IFERROR(INDEX(Input!$L$20:$T$1019,INT((ROW()-9)/9)+1,MOD(ROW()-9,9)+1),"")</f>
        <v/>
      </c>
      <c r="C3161" s="9">
        <f t="shared" si="49"/>
        <v>0</v>
      </c>
    </row>
    <row r="3162" spans="1:3" x14ac:dyDescent="0.2">
      <c r="A3162" s="10" t="str">
        <f>IF(3154&gt;$C$9008,"",INDEX($B$9:$B$9008,MATCH(3154,$C$9:$C$9008,0)))</f>
        <v/>
      </c>
      <c r="B3162" s="9" t="str">
        <f>IFERROR(INDEX(Input!$L$20:$T$1019,INT((ROW()-9)/9)+1,MOD(ROW()-9,9)+1),"")</f>
        <v/>
      </c>
      <c r="C3162" s="9">
        <f t="shared" si="49"/>
        <v>0</v>
      </c>
    </row>
    <row r="3163" spans="1:3" x14ac:dyDescent="0.2">
      <c r="A3163" s="10" t="str">
        <f>IF(3155&gt;$C$9008,"",INDEX($B$9:$B$9008,MATCH(3155,$C$9:$C$9008,0)))</f>
        <v/>
      </c>
      <c r="B3163" s="9" t="str">
        <f>IFERROR(INDEX(Input!$L$20:$T$1019,INT((ROW()-9)/9)+1,MOD(ROW()-9,9)+1),"")</f>
        <v/>
      </c>
      <c r="C3163" s="9">
        <f t="shared" si="49"/>
        <v>0</v>
      </c>
    </row>
    <row r="3164" spans="1:3" x14ac:dyDescent="0.2">
      <c r="A3164" s="10" t="str">
        <f>IF(3156&gt;$C$9008,"",INDEX($B$9:$B$9008,MATCH(3156,$C$9:$C$9008,0)))</f>
        <v/>
      </c>
      <c r="B3164" s="9" t="str">
        <f>IFERROR(INDEX(Input!$L$20:$T$1019,INT((ROW()-9)/9)+1,MOD(ROW()-9,9)+1),"")</f>
        <v/>
      </c>
      <c r="C3164" s="9">
        <f t="shared" si="49"/>
        <v>0</v>
      </c>
    </row>
    <row r="3165" spans="1:3" x14ac:dyDescent="0.2">
      <c r="A3165" s="10" t="str">
        <f>IF(3157&gt;$C$9008,"",INDEX($B$9:$B$9008,MATCH(3157,$C$9:$C$9008,0)))</f>
        <v/>
      </c>
      <c r="B3165" s="9" t="str">
        <f>IFERROR(INDEX(Input!$L$20:$T$1019,INT((ROW()-9)/9)+1,MOD(ROW()-9,9)+1),"")</f>
        <v/>
      </c>
      <c r="C3165" s="9">
        <f t="shared" si="49"/>
        <v>0</v>
      </c>
    </row>
    <row r="3166" spans="1:3" x14ac:dyDescent="0.2">
      <c r="A3166" s="10" t="str">
        <f>IF(3158&gt;$C$9008,"",INDEX($B$9:$B$9008,MATCH(3158,$C$9:$C$9008,0)))</f>
        <v/>
      </c>
      <c r="B3166" s="9" t="str">
        <f>IFERROR(INDEX(Input!$L$20:$T$1019,INT((ROW()-9)/9)+1,MOD(ROW()-9,9)+1),"")</f>
        <v/>
      </c>
      <c r="C3166" s="9">
        <f t="shared" si="49"/>
        <v>0</v>
      </c>
    </row>
    <row r="3167" spans="1:3" x14ac:dyDescent="0.2">
      <c r="A3167" s="10" t="str">
        <f>IF(3159&gt;$C$9008,"",INDEX($B$9:$B$9008,MATCH(3159,$C$9:$C$9008,0)))</f>
        <v/>
      </c>
      <c r="B3167" s="9" t="str">
        <f>IFERROR(INDEX(Input!$L$20:$T$1019,INT((ROW()-9)/9)+1,MOD(ROW()-9,9)+1),"")</f>
        <v/>
      </c>
      <c r="C3167" s="9">
        <f t="shared" si="49"/>
        <v>0</v>
      </c>
    </row>
    <row r="3168" spans="1:3" x14ac:dyDescent="0.2">
      <c r="A3168" s="10" t="str">
        <f>IF(3160&gt;$C$9008,"",INDEX($B$9:$B$9008,MATCH(3160,$C$9:$C$9008,0)))</f>
        <v/>
      </c>
      <c r="B3168" s="9" t="str">
        <f>IFERROR(INDEX(Input!$L$20:$T$1019,INT((ROW()-9)/9)+1,MOD(ROW()-9,9)+1),"")</f>
        <v/>
      </c>
      <c r="C3168" s="9">
        <f t="shared" si="49"/>
        <v>0</v>
      </c>
    </row>
    <row r="3169" spans="1:3" x14ac:dyDescent="0.2">
      <c r="A3169" s="10" t="str">
        <f>IF(3161&gt;$C$9008,"",INDEX($B$9:$B$9008,MATCH(3161,$C$9:$C$9008,0)))</f>
        <v/>
      </c>
      <c r="B3169" s="9" t="str">
        <f>IFERROR(INDEX(Input!$L$20:$T$1019,INT((ROW()-9)/9)+1,MOD(ROW()-9,9)+1),"")</f>
        <v/>
      </c>
      <c r="C3169" s="9">
        <f t="shared" si="49"/>
        <v>0</v>
      </c>
    </row>
    <row r="3170" spans="1:3" x14ac:dyDescent="0.2">
      <c r="A3170" s="10" t="str">
        <f>IF(3162&gt;$C$9008,"",INDEX($B$9:$B$9008,MATCH(3162,$C$9:$C$9008,0)))</f>
        <v/>
      </c>
      <c r="B3170" s="9" t="str">
        <f>IFERROR(INDEX(Input!$L$20:$T$1019,INT((ROW()-9)/9)+1,MOD(ROW()-9,9)+1),"")</f>
        <v/>
      </c>
      <c r="C3170" s="9">
        <f t="shared" si="49"/>
        <v>0</v>
      </c>
    </row>
    <row r="3171" spans="1:3" x14ac:dyDescent="0.2">
      <c r="A3171" s="10" t="str">
        <f>IF(3163&gt;$C$9008,"",INDEX($B$9:$B$9008,MATCH(3163,$C$9:$C$9008,0)))</f>
        <v/>
      </c>
      <c r="B3171" s="9" t="str">
        <f>IFERROR(INDEX(Input!$L$20:$T$1019,INT((ROW()-9)/9)+1,MOD(ROW()-9,9)+1),"")</f>
        <v/>
      </c>
      <c r="C3171" s="9">
        <f t="shared" si="49"/>
        <v>0</v>
      </c>
    </row>
    <row r="3172" spans="1:3" x14ac:dyDescent="0.2">
      <c r="A3172" s="10" t="str">
        <f>IF(3164&gt;$C$9008,"",INDEX($B$9:$B$9008,MATCH(3164,$C$9:$C$9008,0)))</f>
        <v/>
      </c>
      <c r="B3172" s="9" t="str">
        <f>IFERROR(INDEX(Input!$L$20:$T$1019,INT((ROW()-9)/9)+1,MOD(ROW()-9,9)+1),"")</f>
        <v/>
      </c>
      <c r="C3172" s="9">
        <f t="shared" si="49"/>
        <v>0</v>
      </c>
    </row>
    <row r="3173" spans="1:3" x14ac:dyDescent="0.2">
      <c r="A3173" s="10" t="str">
        <f>IF(3165&gt;$C$9008,"",INDEX($B$9:$B$9008,MATCH(3165,$C$9:$C$9008,0)))</f>
        <v/>
      </c>
      <c r="B3173" s="9" t="str">
        <f>IFERROR(INDEX(Input!$L$20:$T$1019,INT((ROW()-9)/9)+1,MOD(ROW()-9,9)+1),"")</f>
        <v/>
      </c>
      <c r="C3173" s="9">
        <f t="shared" si="49"/>
        <v>0</v>
      </c>
    </row>
    <row r="3174" spans="1:3" x14ac:dyDescent="0.2">
      <c r="A3174" s="10" t="str">
        <f>IF(3166&gt;$C$9008,"",INDEX($B$9:$B$9008,MATCH(3166,$C$9:$C$9008,0)))</f>
        <v/>
      </c>
      <c r="B3174" s="9" t="str">
        <f>IFERROR(INDEX(Input!$L$20:$T$1019,INT((ROW()-9)/9)+1,MOD(ROW()-9,9)+1),"")</f>
        <v/>
      </c>
      <c r="C3174" s="9">
        <f t="shared" si="49"/>
        <v>0</v>
      </c>
    </row>
    <row r="3175" spans="1:3" x14ac:dyDescent="0.2">
      <c r="A3175" s="10" t="str">
        <f>IF(3167&gt;$C$9008,"",INDEX($B$9:$B$9008,MATCH(3167,$C$9:$C$9008,0)))</f>
        <v/>
      </c>
      <c r="B3175" s="9" t="str">
        <f>IFERROR(INDEX(Input!$L$20:$T$1019,INT((ROW()-9)/9)+1,MOD(ROW()-9,9)+1),"")</f>
        <v/>
      </c>
      <c r="C3175" s="9">
        <f t="shared" si="49"/>
        <v>0</v>
      </c>
    </row>
    <row r="3176" spans="1:3" x14ac:dyDescent="0.2">
      <c r="A3176" s="10" t="str">
        <f>IF(3168&gt;$C$9008,"",INDEX($B$9:$B$9008,MATCH(3168,$C$9:$C$9008,0)))</f>
        <v/>
      </c>
      <c r="B3176" s="9" t="str">
        <f>IFERROR(INDEX(Input!$L$20:$T$1019,INT((ROW()-9)/9)+1,MOD(ROW()-9,9)+1),"")</f>
        <v/>
      </c>
      <c r="C3176" s="9">
        <f t="shared" si="49"/>
        <v>0</v>
      </c>
    </row>
    <row r="3177" spans="1:3" x14ac:dyDescent="0.2">
      <c r="A3177" s="10" t="str">
        <f>IF(3169&gt;$C$9008,"",INDEX($B$9:$B$9008,MATCH(3169,$C$9:$C$9008,0)))</f>
        <v/>
      </c>
      <c r="B3177" s="9" t="str">
        <f>IFERROR(INDEX(Input!$L$20:$T$1019,INT((ROW()-9)/9)+1,MOD(ROW()-9,9)+1),"")</f>
        <v/>
      </c>
      <c r="C3177" s="9">
        <f t="shared" si="49"/>
        <v>0</v>
      </c>
    </row>
    <row r="3178" spans="1:3" x14ac:dyDescent="0.2">
      <c r="A3178" s="10" t="str">
        <f>IF(3170&gt;$C$9008,"",INDEX($B$9:$B$9008,MATCH(3170,$C$9:$C$9008,0)))</f>
        <v/>
      </c>
      <c r="B3178" s="9" t="str">
        <f>IFERROR(INDEX(Input!$L$20:$T$1019,INT((ROW()-9)/9)+1,MOD(ROW()-9,9)+1),"")</f>
        <v/>
      </c>
      <c r="C3178" s="9">
        <f t="shared" si="49"/>
        <v>0</v>
      </c>
    </row>
    <row r="3179" spans="1:3" x14ac:dyDescent="0.2">
      <c r="A3179" s="10" t="str">
        <f>IF(3171&gt;$C$9008,"",INDEX($B$9:$B$9008,MATCH(3171,$C$9:$C$9008,0)))</f>
        <v/>
      </c>
      <c r="B3179" s="9" t="str">
        <f>IFERROR(INDEX(Input!$L$20:$T$1019,INT((ROW()-9)/9)+1,MOD(ROW()-9,9)+1),"")</f>
        <v/>
      </c>
      <c r="C3179" s="9">
        <f t="shared" si="49"/>
        <v>0</v>
      </c>
    </row>
    <row r="3180" spans="1:3" x14ac:dyDescent="0.2">
      <c r="A3180" s="10" t="str">
        <f>IF(3172&gt;$C$9008,"",INDEX($B$9:$B$9008,MATCH(3172,$C$9:$C$9008,0)))</f>
        <v/>
      </c>
      <c r="B3180" s="9" t="str">
        <f>IFERROR(INDEX(Input!$L$20:$T$1019,INT((ROW()-9)/9)+1,MOD(ROW()-9,9)+1),"")</f>
        <v/>
      </c>
      <c r="C3180" s="9">
        <f t="shared" si="49"/>
        <v>0</v>
      </c>
    </row>
    <row r="3181" spans="1:3" x14ac:dyDescent="0.2">
      <c r="A3181" s="10" t="str">
        <f>IF(3173&gt;$C$9008,"",INDEX($B$9:$B$9008,MATCH(3173,$C$9:$C$9008,0)))</f>
        <v/>
      </c>
      <c r="B3181" s="9" t="str">
        <f>IFERROR(INDEX(Input!$L$20:$T$1019,INT((ROW()-9)/9)+1,MOD(ROW()-9,9)+1),"")</f>
        <v/>
      </c>
      <c r="C3181" s="9">
        <f t="shared" si="49"/>
        <v>0</v>
      </c>
    </row>
    <row r="3182" spans="1:3" x14ac:dyDescent="0.2">
      <c r="A3182" s="10" t="str">
        <f>IF(3174&gt;$C$9008,"",INDEX($B$9:$B$9008,MATCH(3174,$C$9:$C$9008,0)))</f>
        <v/>
      </c>
      <c r="B3182" s="9" t="str">
        <f>IFERROR(INDEX(Input!$L$20:$T$1019,INT((ROW()-9)/9)+1,MOD(ROW()-9,9)+1),"")</f>
        <v/>
      </c>
      <c r="C3182" s="9">
        <f t="shared" si="49"/>
        <v>0</v>
      </c>
    </row>
    <row r="3183" spans="1:3" x14ac:dyDescent="0.2">
      <c r="A3183" s="10" t="str">
        <f>IF(3175&gt;$C$9008,"",INDEX($B$9:$B$9008,MATCH(3175,$C$9:$C$9008,0)))</f>
        <v/>
      </c>
      <c r="B3183" s="9" t="str">
        <f>IFERROR(INDEX(Input!$L$20:$T$1019,INT((ROW()-9)/9)+1,MOD(ROW()-9,9)+1),"")</f>
        <v/>
      </c>
      <c r="C3183" s="9">
        <f t="shared" si="49"/>
        <v>0</v>
      </c>
    </row>
    <row r="3184" spans="1:3" x14ac:dyDescent="0.2">
      <c r="A3184" s="10" t="str">
        <f>IF(3176&gt;$C$9008,"",INDEX($B$9:$B$9008,MATCH(3176,$C$9:$C$9008,0)))</f>
        <v/>
      </c>
      <c r="B3184" s="9" t="str">
        <f>IFERROR(INDEX(Input!$L$20:$T$1019,INT((ROW()-9)/9)+1,MOD(ROW()-9,9)+1),"")</f>
        <v/>
      </c>
      <c r="C3184" s="9">
        <f t="shared" si="49"/>
        <v>0</v>
      </c>
    </row>
    <row r="3185" spans="1:3" x14ac:dyDescent="0.2">
      <c r="A3185" s="10" t="str">
        <f>IF(3177&gt;$C$9008,"",INDEX($B$9:$B$9008,MATCH(3177,$C$9:$C$9008,0)))</f>
        <v/>
      </c>
      <c r="B3185" s="9" t="str">
        <f>IFERROR(INDEX(Input!$L$20:$T$1019,INT((ROW()-9)/9)+1,MOD(ROW()-9,9)+1),"")</f>
        <v/>
      </c>
      <c r="C3185" s="9">
        <f t="shared" si="49"/>
        <v>0</v>
      </c>
    </row>
    <row r="3186" spans="1:3" x14ac:dyDescent="0.2">
      <c r="A3186" s="10" t="str">
        <f>IF(3178&gt;$C$9008,"",INDEX($B$9:$B$9008,MATCH(3178,$C$9:$C$9008,0)))</f>
        <v/>
      </c>
      <c r="B3186" s="9" t="str">
        <f>IFERROR(INDEX(Input!$L$20:$T$1019,INT((ROW()-9)/9)+1,MOD(ROW()-9,9)+1),"")</f>
        <v/>
      </c>
      <c r="C3186" s="9">
        <f t="shared" si="49"/>
        <v>0</v>
      </c>
    </row>
    <row r="3187" spans="1:3" x14ac:dyDescent="0.2">
      <c r="A3187" s="10" t="str">
        <f>IF(3179&gt;$C$9008,"",INDEX($B$9:$B$9008,MATCH(3179,$C$9:$C$9008,0)))</f>
        <v/>
      </c>
      <c r="B3187" s="9" t="str">
        <f>IFERROR(INDEX(Input!$L$20:$T$1019,INT((ROW()-9)/9)+1,MOD(ROW()-9,9)+1),"")</f>
        <v/>
      </c>
      <c r="C3187" s="9">
        <f t="shared" si="49"/>
        <v>0</v>
      </c>
    </row>
    <row r="3188" spans="1:3" x14ac:dyDescent="0.2">
      <c r="A3188" s="10" t="str">
        <f>IF(3180&gt;$C$9008,"",INDEX($B$9:$B$9008,MATCH(3180,$C$9:$C$9008,0)))</f>
        <v/>
      </c>
      <c r="B3188" s="9" t="str">
        <f>IFERROR(INDEX(Input!$L$20:$T$1019,INT((ROW()-9)/9)+1,MOD(ROW()-9,9)+1),"")</f>
        <v/>
      </c>
      <c r="C3188" s="9">
        <f t="shared" si="49"/>
        <v>0</v>
      </c>
    </row>
    <row r="3189" spans="1:3" x14ac:dyDescent="0.2">
      <c r="A3189" s="10" t="str">
        <f>IF(3181&gt;$C$9008,"",INDEX($B$9:$B$9008,MATCH(3181,$C$9:$C$9008,0)))</f>
        <v/>
      </c>
      <c r="B3189" s="9" t="str">
        <f>IFERROR(INDEX(Input!$L$20:$T$1019,INT((ROW()-9)/9)+1,MOD(ROW()-9,9)+1),"")</f>
        <v/>
      </c>
      <c r="C3189" s="9">
        <f t="shared" si="49"/>
        <v>0</v>
      </c>
    </row>
    <row r="3190" spans="1:3" x14ac:dyDescent="0.2">
      <c r="A3190" s="10" t="str">
        <f>IF(3182&gt;$C$9008,"",INDEX($B$9:$B$9008,MATCH(3182,$C$9:$C$9008,0)))</f>
        <v/>
      </c>
      <c r="B3190" s="9" t="str">
        <f>IFERROR(INDEX(Input!$L$20:$T$1019,INT((ROW()-9)/9)+1,MOD(ROW()-9,9)+1),"")</f>
        <v/>
      </c>
      <c r="C3190" s="9">
        <f t="shared" si="49"/>
        <v>0</v>
      </c>
    </row>
    <row r="3191" spans="1:3" x14ac:dyDescent="0.2">
      <c r="A3191" s="10" t="str">
        <f>IF(3183&gt;$C$9008,"",INDEX($B$9:$B$9008,MATCH(3183,$C$9:$C$9008,0)))</f>
        <v/>
      </c>
      <c r="B3191" s="9" t="str">
        <f>IFERROR(INDEX(Input!$L$20:$T$1019,INT((ROW()-9)/9)+1,MOD(ROW()-9,9)+1),"")</f>
        <v/>
      </c>
      <c r="C3191" s="9">
        <f t="shared" si="49"/>
        <v>0</v>
      </c>
    </row>
    <row r="3192" spans="1:3" x14ac:dyDescent="0.2">
      <c r="A3192" s="10" t="str">
        <f>IF(3184&gt;$C$9008,"",INDEX($B$9:$B$9008,MATCH(3184,$C$9:$C$9008,0)))</f>
        <v/>
      </c>
      <c r="B3192" s="9" t="str">
        <f>IFERROR(INDEX(Input!$L$20:$T$1019,INT((ROW()-9)/9)+1,MOD(ROW()-9,9)+1),"")</f>
        <v/>
      </c>
      <c r="C3192" s="9">
        <f t="shared" si="49"/>
        <v>0</v>
      </c>
    </row>
    <row r="3193" spans="1:3" x14ac:dyDescent="0.2">
      <c r="A3193" s="10" t="str">
        <f>IF(3185&gt;$C$9008,"",INDEX($B$9:$B$9008,MATCH(3185,$C$9:$C$9008,0)))</f>
        <v/>
      </c>
      <c r="B3193" s="9" t="str">
        <f>IFERROR(INDEX(Input!$L$20:$T$1019,INT((ROW()-9)/9)+1,MOD(ROW()-9,9)+1),"")</f>
        <v/>
      </c>
      <c r="C3193" s="9">
        <f t="shared" si="49"/>
        <v>0</v>
      </c>
    </row>
    <row r="3194" spans="1:3" x14ac:dyDescent="0.2">
      <c r="A3194" s="10" t="str">
        <f>IF(3186&gt;$C$9008,"",INDEX($B$9:$B$9008,MATCH(3186,$C$9:$C$9008,0)))</f>
        <v/>
      </c>
      <c r="B3194" s="9" t="str">
        <f>IFERROR(INDEX(Input!$L$20:$T$1019,INT((ROW()-9)/9)+1,MOD(ROW()-9,9)+1),"")</f>
        <v/>
      </c>
      <c r="C3194" s="9">
        <f t="shared" si="49"/>
        <v>0</v>
      </c>
    </row>
    <row r="3195" spans="1:3" x14ac:dyDescent="0.2">
      <c r="A3195" s="10" t="str">
        <f>IF(3187&gt;$C$9008,"",INDEX($B$9:$B$9008,MATCH(3187,$C$9:$C$9008,0)))</f>
        <v/>
      </c>
      <c r="B3195" s="9" t="str">
        <f>IFERROR(INDEX(Input!$L$20:$T$1019,INT((ROW()-9)/9)+1,MOD(ROW()-9,9)+1),"")</f>
        <v/>
      </c>
      <c r="C3195" s="9">
        <f t="shared" si="49"/>
        <v>0</v>
      </c>
    </row>
    <row r="3196" spans="1:3" x14ac:dyDescent="0.2">
      <c r="A3196" s="10" t="str">
        <f>IF(3188&gt;$C$9008,"",INDEX($B$9:$B$9008,MATCH(3188,$C$9:$C$9008,0)))</f>
        <v/>
      </c>
      <c r="B3196" s="9" t="str">
        <f>IFERROR(INDEX(Input!$L$20:$T$1019,INT((ROW()-9)/9)+1,MOD(ROW()-9,9)+1),"")</f>
        <v/>
      </c>
      <c r="C3196" s="9">
        <f t="shared" si="49"/>
        <v>0</v>
      </c>
    </row>
    <row r="3197" spans="1:3" x14ac:dyDescent="0.2">
      <c r="A3197" s="10" t="str">
        <f>IF(3189&gt;$C$9008,"",INDEX($B$9:$B$9008,MATCH(3189,$C$9:$C$9008,0)))</f>
        <v/>
      </c>
      <c r="B3197" s="9" t="str">
        <f>IFERROR(INDEX(Input!$L$20:$T$1019,INT((ROW()-9)/9)+1,MOD(ROW()-9,9)+1),"")</f>
        <v/>
      </c>
      <c r="C3197" s="9">
        <f t="shared" si="49"/>
        <v>0</v>
      </c>
    </row>
    <row r="3198" spans="1:3" x14ac:dyDescent="0.2">
      <c r="A3198" s="10" t="str">
        <f>IF(3190&gt;$C$9008,"",INDEX($B$9:$B$9008,MATCH(3190,$C$9:$C$9008,0)))</f>
        <v/>
      </c>
      <c r="B3198" s="9" t="str">
        <f>IFERROR(INDEX(Input!$L$20:$T$1019,INT((ROW()-9)/9)+1,MOD(ROW()-9,9)+1),"")</f>
        <v/>
      </c>
      <c r="C3198" s="9">
        <f t="shared" si="49"/>
        <v>0</v>
      </c>
    </row>
    <row r="3199" spans="1:3" x14ac:dyDescent="0.2">
      <c r="A3199" s="10" t="str">
        <f>IF(3191&gt;$C$9008,"",INDEX($B$9:$B$9008,MATCH(3191,$C$9:$C$9008,0)))</f>
        <v/>
      </c>
      <c r="B3199" s="9" t="str">
        <f>IFERROR(INDEX(Input!$L$20:$T$1019,INT((ROW()-9)/9)+1,MOD(ROW()-9,9)+1),"")</f>
        <v/>
      </c>
      <c r="C3199" s="9">
        <f t="shared" si="49"/>
        <v>0</v>
      </c>
    </row>
    <row r="3200" spans="1:3" x14ac:dyDescent="0.2">
      <c r="A3200" s="10" t="str">
        <f>IF(3192&gt;$C$9008,"",INDEX($B$9:$B$9008,MATCH(3192,$C$9:$C$9008,0)))</f>
        <v/>
      </c>
      <c r="B3200" s="9" t="str">
        <f>IFERROR(INDEX(Input!$L$20:$T$1019,INT((ROW()-9)/9)+1,MOD(ROW()-9,9)+1),"")</f>
        <v/>
      </c>
      <c r="C3200" s="9">
        <f t="shared" si="49"/>
        <v>0</v>
      </c>
    </row>
    <row r="3201" spans="1:3" x14ac:dyDescent="0.2">
      <c r="A3201" s="10" t="str">
        <f>IF(3193&gt;$C$9008,"",INDEX($B$9:$B$9008,MATCH(3193,$C$9:$C$9008,0)))</f>
        <v/>
      </c>
      <c r="B3201" s="9" t="str">
        <f>IFERROR(INDEX(Input!$L$20:$T$1019,INT((ROW()-9)/9)+1,MOD(ROW()-9,9)+1),"")</f>
        <v/>
      </c>
      <c r="C3201" s="9">
        <f t="shared" si="49"/>
        <v>0</v>
      </c>
    </row>
    <row r="3202" spans="1:3" x14ac:dyDescent="0.2">
      <c r="A3202" s="10" t="str">
        <f>IF(3194&gt;$C$9008,"",INDEX($B$9:$B$9008,MATCH(3194,$C$9:$C$9008,0)))</f>
        <v/>
      </c>
      <c r="B3202" s="9" t="str">
        <f>IFERROR(INDEX(Input!$L$20:$T$1019,INT((ROW()-9)/9)+1,MOD(ROW()-9,9)+1),"")</f>
        <v/>
      </c>
      <c r="C3202" s="9">
        <f t="shared" si="49"/>
        <v>0</v>
      </c>
    </row>
    <row r="3203" spans="1:3" x14ac:dyDescent="0.2">
      <c r="A3203" s="10" t="str">
        <f>IF(3195&gt;$C$9008,"",INDEX($B$9:$B$9008,MATCH(3195,$C$9:$C$9008,0)))</f>
        <v/>
      </c>
      <c r="B3203" s="9" t="str">
        <f>IFERROR(INDEX(Input!$L$20:$T$1019,INT((ROW()-9)/9)+1,MOD(ROW()-9,9)+1),"")</f>
        <v/>
      </c>
      <c r="C3203" s="9">
        <f t="shared" si="49"/>
        <v>0</v>
      </c>
    </row>
    <row r="3204" spans="1:3" x14ac:dyDescent="0.2">
      <c r="A3204" s="10" t="str">
        <f>IF(3196&gt;$C$9008,"",INDEX($B$9:$B$9008,MATCH(3196,$C$9:$C$9008,0)))</f>
        <v/>
      </c>
      <c r="B3204" s="9" t="str">
        <f>IFERROR(INDEX(Input!$L$20:$T$1019,INT((ROW()-9)/9)+1,MOD(ROW()-9,9)+1),"")</f>
        <v/>
      </c>
      <c r="C3204" s="9">
        <f t="shared" si="49"/>
        <v>0</v>
      </c>
    </row>
    <row r="3205" spans="1:3" x14ac:dyDescent="0.2">
      <c r="A3205" s="10" t="str">
        <f>IF(3197&gt;$C$9008,"",INDEX($B$9:$B$9008,MATCH(3197,$C$9:$C$9008,0)))</f>
        <v/>
      </c>
      <c r="B3205" s="9" t="str">
        <f>IFERROR(INDEX(Input!$L$20:$T$1019,INT((ROW()-9)/9)+1,MOD(ROW()-9,9)+1),"")</f>
        <v/>
      </c>
      <c r="C3205" s="9">
        <f t="shared" si="49"/>
        <v>0</v>
      </c>
    </row>
    <row r="3206" spans="1:3" x14ac:dyDescent="0.2">
      <c r="A3206" s="10" t="str">
        <f>IF(3198&gt;$C$9008,"",INDEX($B$9:$B$9008,MATCH(3198,$C$9:$C$9008,0)))</f>
        <v/>
      </c>
      <c r="B3206" s="9" t="str">
        <f>IFERROR(INDEX(Input!$L$20:$T$1019,INT((ROW()-9)/9)+1,MOD(ROW()-9,9)+1),"")</f>
        <v/>
      </c>
      <c r="C3206" s="9">
        <f t="shared" si="49"/>
        <v>0</v>
      </c>
    </row>
    <row r="3207" spans="1:3" x14ac:dyDescent="0.2">
      <c r="A3207" s="10" t="str">
        <f>IF(3199&gt;$C$9008,"",INDEX($B$9:$B$9008,MATCH(3199,$C$9:$C$9008,0)))</f>
        <v/>
      </c>
      <c r="B3207" s="9" t="str">
        <f>IFERROR(INDEX(Input!$L$20:$T$1019,INT((ROW()-9)/9)+1,MOD(ROW()-9,9)+1),"")</f>
        <v/>
      </c>
      <c r="C3207" s="9">
        <f t="shared" si="49"/>
        <v>0</v>
      </c>
    </row>
    <row r="3208" spans="1:3" x14ac:dyDescent="0.2">
      <c r="A3208" s="10" t="str">
        <f>IF(3200&gt;$C$9008,"",INDEX($B$9:$B$9008,MATCH(3200,$C$9:$C$9008,0)))</f>
        <v/>
      </c>
      <c r="B3208" s="9" t="str">
        <f>IFERROR(INDEX(Input!$L$20:$T$1019,INT((ROW()-9)/9)+1,MOD(ROW()-9,9)+1),"")</f>
        <v/>
      </c>
      <c r="C3208" s="9">
        <f t="shared" si="49"/>
        <v>0</v>
      </c>
    </row>
    <row r="3209" spans="1:3" x14ac:dyDescent="0.2">
      <c r="A3209" s="10" t="str">
        <f>IF(3201&gt;$C$9008,"",INDEX($B$9:$B$9008,MATCH(3201,$C$9:$C$9008,0)))</f>
        <v/>
      </c>
      <c r="B3209" s="9" t="str">
        <f>IFERROR(INDEX(Input!$L$20:$T$1019,INT((ROW()-9)/9)+1,MOD(ROW()-9,9)+1),"")</f>
        <v/>
      </c>
      <c r="C3209" s="9">
        <f t="shared" ref="C3209:C3272" si="50">$C3208+IF($B3209&lt;&gt;"",1,0)</f>
        <v>0</v>
      </c>
    </row>
    <row r="3210" spans="1:3" x14ac:dyDescent="0.2">
      <c r="A3210" s="10" t="str">
        <f>IF(3202&gt;$C$9008,"",INDEX($B$9:$B$9008,MATCH(3202,$C$9:$C$9008,0)))</f>
        <v/>
      </c>
      <c r="B3210" s="9" t="str">
        <f>IFERROR(INDEX(Input!$L$20:$T$1019,INT((ROW()-9)/9)+1,MOD(ROW()-9,9)+1),"")</f>
        <v/>
      </c>
      <c r="C3210" s="9">
        <f t="shared" si="50"/>
        <v>0</v>
      </c>
    </row>
    <row r="3211" spans="1:3" x14ac:dyDescent="0.2">
      <c r="A3211" s="10" t="str">
        <f>IF(3203&gt;$C$9008,"",INDEX($B$9:$B$9008,MATCH(3203,$C$9:$C$9008,0)))</f>
        <v/>
      </c>
      <c r="B3211" s="9" t="str">
        <f>IFERROR(INDEX(Input!$L$20:$T$1019,INT((ROW()-9)/9)+1,MOD(ROW()-9,9)+1),"")</f>
        <v/>
      </c>
      <c r="C3211" s="9">
        <f t="shared" si="50"/>
        <v>0</v>
      </c>
    </row>
    <row r="3212" spans="1:3" x14ac:dyDescent="0.2">
      <c r="A3212" s="10" t="str">
        <f>IF(3204&gt;$C$9008,"",INDEX($B$9:$B$9008,MATCH(3204,$C$9:$C$9008,0)))</f>
        <v/>
      </c>
      <c r="B3212" s="9" t="str">
        <f>IFERROR(INDEX(Input!$L$20:$T$1019,INT((ROW()-9)/9)+1,MOD(ROW()-9,9)+1),"")</f>
        <v/>
      </c>
      <c r="C3212" s="9">
        <f t="shared" si="50"/>
        <v>0</v>
      </c>
    </row>
    <row r="3213" spans="1:3" x14ac:dyDescent="0.2">
      <c r="A3213" s="10" t="str">
        <f>IF(3205&gt;$C$9008,"",INDEX($B$9:$B$9008,MATCH(3205,$C$9:$C$9008,0)))</f>
        <v/>
      </c>
      <c r="B3213" s="9" t="str">
        <f>IFERROR(INDEX(Input!$L$20:$T$1019,INT((ROW()-9)/9)+1,MOD(ROW()-9,9)+1),"")</f>
        <v/>
      </c>
      <c r="C3213" s="9">
        <f t="shared" si="50"/>
        <v>0</v>
      </c>
    </row>
    <row r="3214" spans="1:3" x14ac:dyDescent="0.2">
      <c r="A3214" s="10" t="str">
        <f>IF(3206&gt;$C$9008,"",INDEX($B$9:$B$9008,MATCH(3206,$C$9:$C$9008,0)))</f>
        <v/>
      </c>
      <c r="B3214" s="9" t="str">
        <f>IFERROR(INDEX(Input!$L$20:$T$1019,INT((ROW()-9)/9)+1,MOD(ROW()-9,9)+1),"")</f>
        <v/>
      </c>
      <c r="C3214" s="9">
        <f t="shared" si="50"/>
        <v>0</v>
      </c>
    </row>
    <row r="3215" spans="1:3" x14ac:dyDescent="0.2">
      <c r="A3215" s="10" t="str">
        <f>IF(3207&gt;$C$9008,"",INDEX($B$9:$B$9008,MATCH(3207,$C$9:$C$9008,0)))</f>
        <v/>
      </c>
      <c r="B3215" s="9" t="str">
        <f>IFERROR(INDEX(Input!$L$20:$T$1019,INT((ROW()-9)/9)+1,MOD(ROW()-9,9)+1),"")</f>
        <v/>
      </c>
      <c r="C3215" s="9">
        <f t="shared" si="50"/>
        <v>0</v>
      </c>
    </row>
    <row r="3216" spans="1:3" x14ac:dyDescent="0.2">
      <c r="A3216" s="10" t="str">
        <f>IF(3208&gt;$C$9008,"",INDEX($B$9:$B$9008,MATCH(3208,$C$9:$C$9008,0)))</f>
        <v/>
      </c>
      <c r="B3216" s="9" t="str">
        <f>IFERROR(INDEX(Input!$L$20:$T$1019,INT((ROW()-9)/9)+1,MOD(ROW()-9,9)+1),"")</f>
        <v/>
      </c>
      <c r="C3216" s="9">
        <f t="shared" si="50"/>
        <v>0</v>
      </c>
    </row>
    <row r="3217" spans="1:3" x14ac:dyDescent="0.2">
      <c r="A3217" s="10" t="str">
        <f>IF(3209&gt;$C$9008,"",INDEX($B$9:$B$9008,MATCH(3209,$C$9:$C$9008,0)))</f>
        <v/>
      </c>
      <c r="B3217" s="9" t="str">
        <f>IFERROR(INDEX(Input!$L$20:$T$1019,INT((ROW()-9)/9)+1,MOD(ROW()-9,9)+1),"")</f>
        <v/>
      </c>
      <c r="C3217" s="9">
        <f t="shared" si="50"/>
        <v>0</v>
      </c>
    </row>
    <row r="3218" spans="1:3" x14ac:dyDescent="0.2">
      <c r="A3218" s="10" t="str">
        <f>IF(3210&gt;$C$9008,"",INDEX($B$9:$B$9008,MATCH(3210,$C$9:$C$9008,0)))</f>
        <v/>
      </c>
      <c r="B3218" s="9" t="str">
        <f>IFERROR(INDEX(Input!$L$20:$T$1019,INT((ROW()-9)/9)+1,MOD(ROW()-9,9)+1),"")</f>
        <v/>
      </c>
      <c r="C3218" s="9">
        <f t="shared" si="50"/>
        <v>0</v>
      </c>
    </row>
    <row r="3219" spans="1:3" x14ac:dyDescent="0.2">
      <c r="A3219" s="10" t="str">
        <f>IF(3211&gt;$C$9008,"",INDEX($B$9:$B$9008,MATCH(3211,$C$9:$C$9008,0)))</f>
        <v/>
      </c>
      <c r="B3219" s="9" t="str">
        <f>IFERROR(INDEX(Input!$L$20:$T$1019,INT((ROW()-9)/9)+1,MOD(ROW()-9,9)+1),"")</f>
        <v/>
      </c>
      <c r="C3219" s="9">
        <f t="shared" si="50"/>
        <v>0</v>
      </c>
    </row>
    <row r="3220" spans="1:3" x14ac:dyDescent="0.2">
      <c r="A3220" s="10" t="str">
        <f>IF(3212&gt;$C$9008,"",INDEX($B$9:$B$9008,MATCH(3212,$C$9:$C$9008,0)))</f>
        <v/>
      </c>
      <c r="B3220" s="9" t="str">
        <f>IFERROR(INDEX(Input!$L$20:$T$1019,INT((ROW()-9)/9)+1,MOD(ROW()-9,9)+1),"")</f>
        <v/>
      </c>
      <c r="C3220" s="9">
        <f t="shared" si="50"/>
        <v>0</v>
      </c>
    </row>
    <row r="3221" spans="1:3" x14ac:dyDescent="0.2">
      <c r="A3221" s="10" t="str">
        <f>IF(3213&gt;$C$9008,"",INDEX($B$9:$B$9008,MATCH(3213,$C$9:$C$9008,0)))</f>
        <v/>
      </c>
      <c r="B3221" s="9" t="str">
        <f>IFERROR(INDEX(Input!$L$20:$T$1019,INT((ROW()-9)/9)+1,MOD(ROW()-9,9)+1),"")</f>
        <v/>
      </c>
      <c r="C3221" s="9">
        <f t="shared" si="50"/>
        <v>0</v>
      </c>
    </row>
    <row r="3222" spans="1:3" x14ac:dyDescent="0.2">
      <c r="A3222" s="10" t="str">
        <f>IF(3214&gt;$C$9008,"",INDEX($B$9:$B$9008,MATCH(3214,$C$9:$C$9008,0)))</f>
        <v/>
      </c>
      <c r="B3222" s="9" t="str">
        <f>IFERROR(INDEX(Input!$L$20:$T$1019,INT((ROW()-9)/9)+1,MOD(ROW()-9,9)+1),"")</f>
        <v/>
      </c>
      <c r="C3222" s="9">
        <f t="shared" si="50"/>
        <v>0</v>
      </c>
    </row>
    <row r="3223" spans="1:3" x14ac:dyDescent="0.2">
      <c r="A3223" s="10" t="str">
        <f>IF(3215&gt;$C$9008,"",INDEX($B$9:$B$9008,MATCH(3215,$C$9:$C$9008,0)))</f>
        <v/>
      </c>
      <c r="B3223" s="9" t="str">
        <f>IFERROR(INDEX(Input!$L$20:$T$1019,INT((ROW()-9)/9)+1,MOD(ROW()-9,9)+1),"")</f>
        <v/>
      </c>
      <c r="C3223" s="9">
        <f t="shared" si="50"/>
        <v>0</v>
      </c>
    </row>
    <row r="3224" spans="1:3" x14ac:dyDescent="0.2">
      <c r="A3224" s="10" t="str">
        <f>IF(3216&gt;$C$9008,"",INDEX($B$9:$B$9008,MATCH(3216,$C$9:$C$9008,0)))</f>
        <v/>
      </c>
      <c r="B3224" s="9" t="str">
        <f>IFERROR(INDEX(Input!$L$20:$T$1019,INT((ROW()-9)/9)+1,MOD(ROW()-9,9)+1),"")</f>
        <v/>
      </c>
      <c r="C3224" s="9">
        <f t="shared" si="50"/>
        <v>0</v>
      </c>
    </row>
    <row r="3225" spans="1:3" x14ac:dyDescent="0.2">
      <c r="A3225" s="10" t="str">
        <f>IF(3217&gt;$C$9008,"",INDEX($B$9:$B$9008,MATCH(3217,$C$9:$C$9008,0)))</f>
        <v/>
      </c>
      <c r="B3225" s="9" t="str">
        <f>IFERROR(INDEX(Input!$L$20:$T$1019,INT((ROW()-9)/9)+1,MOD(ROW()-9,9)+1),"")</f>
        <v/>
      </c>
      <c r="C3225" s="9">
        <f t="shared" si="50"/>
        <v>0</v>
      </c>
    </row>
    <row r="3226" spans="1:3" x14ac:dyDescent="0.2">
      <c r="A3226" s="10" t="str">
        <f>IF(3218&gt;$C$9008,"",INDEX($B$9:$B$9008,MATCH(3218,$C$9:$C$9008,0)))</f>
        <v/>
      </c>
      <c r="B3226" s="9" t="str">
        <f>IFERROR(INDEX(Input!$L$20:$T$1019,INT((ROW()-9)/9)+1,MOD(ROW()-9,9)+1),"")</f>
        <v/>
      </c>
      <c r="C3226" s="9">
        <f t="shared" si="50"/>
        <v>0</v>
      </c>
    </row>
    <row r="3227" spans="1:3" x14ac:dyDescent="0.2">
      <c r="A3227" s="10" t="str">
        <f>IF(3219&gt;$C$9008,"",INDEX($B$9:$B$9008,MATCH(3219,$C$9:$C$9008,0)))</f>
        <v/>
      </c>
      <c r="B3227" s="9" t="str">
        <f>IFERROR(INDEX(Input!$L$20:$T$1019,INT((ROW()-9)/9)+1,MOD(ROW()-9,9)+1),"")</f>
        <v/>
      </c>
      <c r="C3227" s="9">
        <f t="shared" si="50"/>
        <v>0</v>
      </c>
    </row>
    <row r="3228" spans="1:3" x14ac:dyDescent="0.2">
      <c r="A3228" s="10" t="str">
        <f>IF(3220&gt;$C$9008,"",INDEX($B$9:$B$9008,MATCH(3220,$C$9:$C$9008,0)))</f>
        <v/>
      </c>
      <c r="B3228" s="9" t="str">
        <f>IFERROR(INDEX(Input!$L$20:$T$1019,INT((ROW()-9)/9)+1,MOD(ROW()-9,9)+1),"")</f>
        <v/>
      </c>
      <c r="C3228" s="9">
        <f t="shared" si="50"/>
        <v>0</v>
      </c>
    </row>
    <row r="3229" spans="1:3" x14ac:dyDescent="0.2">
      <c r="A3229" s="10" t="str">
        <f>IF(3221&gt;$C$9008,"",INDEX($B$9:$B$9008,MATCH(3221,$C$9:$C$9008,0)))</f>
        <v/>
      </c>
      <c r="B3229" s="9" t="str">
        <f>IFERROR(INDEX(Input!$L$20:$T$1019,INT((ROW()-9)/9)+1,MOD(ROW()-9,9)+1),"")</f>
        <v/>
      </c>
      <c r="C3229" s="9">
        <f t="shared" si="50"/>
        <v>0</v>
      </c>
    </row>
    <row r="3230" spans="1:3" x14ac:dyDescent="0.2">
      <c r="A3230" s="10" t="str">
        <f>IF(3222&gt;$C$9008,"",INDEX($B$9:$B$9008,MATCH(3222,$C$9:$C$9008,0)))</f>
        <v/>
      </c>
      <c r="B3230" s="9" t="str">
        <f>IFERROR(INDEX(Input!$L$20:$T$1019,INT((ROW()-9)/9)+1,MOD(ROW()-9,9)+1),"")</f>
        <v/>
      </c>
      <c r="C3230" s="9">
        <f t="shared" si="50"/>
        <v>0</v>
      </c>
    </row>
    <row r="3231" spans="1:3" x14ac:dyDescent="0.2">
      <c r="A3231" s="10" t="str">
        <f>IF(3223&gt;$C$9008,"",INDEX($B$9:$B$9008,MATCH(3223,$C$9:$C$9008,0)))</f>
        <v/>
      </c>
      <c r="B3231" s="9" t="str">
        <f>IFERROR(INDEX(Input!$L$20:$T$1019,INT((ROW()-9)/9)+1,MOD(ROW()-9,9)+1),"")</f>
        <v/>
      </c>
      <c r="C3231" s="9">
        <f t="shared" si="50"/>
        <v>0</v>
      </c>
    </row>
    <row r="3232" spans="1:3" x14ac:dyDescent="0.2">
      <c r="A3232" s="10" t="str">
        <f>IF(3224&gt;$C$9008,"",INDEX($B$9:$B$9008,MATCH(3224,$C$9:$C$9008,0)))</f>
        <v/>
      </c>
      <c r="B3232" s="9" t="str">
        <f>IFERROR(INDEX(Input!$L$20:$T$1019,INT((ROW()-9)/9)+1,MOD(ROW()-9,9)+1),"")</f>
        <v/>
      </c>
      <c r="C3232" s="9">
        <f t="shared" si="50"/>
        <v>0</v>
      </c>
    </row>
    <row r="3233" spans="1:3" x14ac:dyDescent="0.2">
      <c r="A3233" s="10" t="str">
        <f>IF(3225&gt;$C$9008,"",INDEX($B$9:$B$9008,MATCH(3225,$C$9:$C$9008,0)))</f>
        <v/>
      </c>
      <c r="B3233" s="9" t="str">
        <f>IFERROR(INDEX(Input!$L$20:$T$1019,INT((ROW()-9)/9)+1,MOD(ROW()-9,9)+1),"")</f>
        <v/>
      </c>
      <c r="C3233" s="9">
        <f t="shared" si="50"/>
        <v>0</v>
      </c>
    </row>
    <row r="3234" spans="1:3" x14ac:dyDescent="0.2">
      <c r="A3234" s="10" t="str">
        <f>IF(3226&gt;$C$9008,"",INDEX($B$9:$B$9008,MATCH(3226,$C$9:$C$9008,0)))</f>
        <v/>
      </c>
      <c r="B3234" s="9" t="str">
        <f>IFERROR(INDEX(Input!$L$20:$T$1019,INT((ROW()-9)/9)+1,MOD(ROW()-9,9)+1),"")</f>
        <v/>
      </c>
      <c r="C3234" s="9">
        <f t="shared" si="50"/>
        <v>0</v>
      </c>
    </row>
    <row r="3235" spans="1:3" x14ac:dyDescent="0.2">
      <c r="A3235" s="10" t="str">
        <f>IF(3227&gt;$C$9008,"",INDEX($B$9:$B$9008,MATCH(3227,$C$9:$C$9008,0)))</f>
        <v/>
      </c>
      <c r="B3235" s="9" t="str">
        <f>IFERROR(INDEX(Input!$L$20:$T$1019,INT((ROW()-9)/9)+1,MOD(ROW()-9,9)+1),"")</f>
        <v/>
      </c>
      <c r="C3235" s="9">
        <f t="shared" si="50"/>
        <v>0</v>
      </c>
    </row>
    <row r="3236" spans="1:3" x14ac:dyDescent="0.2">
      <c r="A3236" s="10" t="str">
        <f>IF(3228&gt;$C$9008,"",INDEX($B$9:$B$9008,MATCH(3228,$C$9:$C$9008,0)))</f>
        <v/>
      </c>
      <c r="B3236" s="9" t="str">
        <f>IFERROR(INDEX(Input!$L$20:$T$1019,INT((ROW()-9)/9)+1,MOD(ROW()-9,9)+1),"")</f>
        <v/>
      </c>
      <c r="C3236" s="9">
        <f t="shared" si="50"/>
        <v>0</v>
      </c>
    </row>
    <row r="3237" spans="1:3" x14ac:dyDescent="0.2">
      <c r="A3237" s="10" t="str">
        <f>IF(3229&gt;$C$9008,"",INDEX($B$9:$B$9008,MATCH(3229,$C$9:$C$9008,0)))</f>
        <v/>
      </c>
      <c r="B3237" s="9" t="str">
        <f>IFERROR(INDEX(Input!$L$20:$T$1019,INT((ROW()-9)/9)+1,MOD(ROW()-9,9)+1),"")</f>
        <v/>
      </c>
      <c r="C3237" s="9">
        <f t="shared" si="50"/>
        <v>0</v>
      </c>
    </row>
    <row r="3238" spans="1:3" x14ac:dyDescent="0.2">
      <c r="A3238" s="10" t="str">
        <f>IF(3230&gt;$C$9008,"",INDEX($B$9:$B$9008,MATCH(3230,$C$9:$C$9008,0)))</f>
        <v/>
      </c>
      <c r="B3238" s="9" t="str">
        <f>IFERROR(INDEX(Input!$L$20:$T$1019,INT((ROW()-9)/9)+1,MOD(ROW()-9,9)+1),"")</f>
        <v/>
      </c>
      <c r="C3238" s="9">
        <f t="shared" si="50"/>
        <v>0</v>
      </c>
    </row>
    <row r="3239" spans="1:3" x14ac:dyDescent="0.2">
      <c r="A3239" s="10" t="str">
        <f>IF(3231&gt;$C$9008,"",INDEX($B$9:$B$9008,MATCH(3231,$C$9:$C$9008,0)))</f>
        <v/>
      </c>
      <c r="B3239" s="9" t="str">
        <f>IFERROR(INDEX(Input!$L$20:$T$1019,INT((ROW()-9)/9)+1,MOD(ROW()-9,9)+1),"")</f>
        <v/>
      </c>
      <c r="C3239" s="9">
        <f t="shared" si="50"/>
        <v>0</v>
      </c>
    </row>
    <row r="3240" spans="1:3" x14ac:dyDescent="0.2">
      <c r="A3240" s="10" t="str">
        <f>IF(3232&gt;$C$9008,"",INDEX($B$9:$B$9008,MATCH(3232,$C$9:$C$9008,0)))</f>
        <v/>
      </c>
      <c r="B3240" s="9" t="str">
        <f>IFERROR(INDEX(Input!$L$20:$T$1019,INT((ROW()-9)/9)+1,MOD(ROW()-9,9)+1),"")</f>
        <v/>
      </c>
      <c r="C3240" s="9">
        <f t="shared" si="50"/>
        <v>0</v>
      </c>
    </row>
    <row r="3241" spans="1:3" x14ac:dyDescent="0.2">
      <c r="A3241" s="10" t="str">
        <f>IF(3233&gt;$C$9008,"",INDEX($B$9:$B$9008,MATCH(3233,$C$9:$C$9008,0)))</f>
        <v/>
      </c>
      <c r="B3241" s="9" t="str">
        <f>IFERROR(INDEX(Input!$L$20:$T$1019,INT((ROW()-9)/9)+1,MOD(ROW()-9,9)+1),"")</f>
        <v/>
      </c>
      <c r="C3241" s="9">
        <f t="shared" si="50"/>
        <v>0</v>
      </c>
    </row>
    <row r="3242" spans="1:3" x14ac:dyDescent="0.2">
      <c r="A3242" s="10" t="str">
        <f>IF(3234&gt;$C$9008,"",INDEX($B$9:$B$9008,MATCH(3234,$C$9:$C$9008,0)))</f>
        <v/>
      </c>
      <c r="B3242" s="9" t="str">
        <f>IFERROR(INDEX(Input!$L$20:$T$1019,INT((ROW()-9)/9)+1,MOD(ROW()-9,9)+1),"")</f>
        <v/>
      </c>
      <c r="C3242" s="9">
        <f t="shared" si="50"/>
        <v>0</v>
      </c>
    </row>
    <row r="3243" spans="1:3" x14ac:dyDescent="0.2">
      <c r="A3243" s="10" t="str">
        <f>IF(3235&gt;$C$9008,"",INDEX($B$9:$B$9008,MATCH(3235,$C$9:$C$9008,0)))</f>
        <v/>
      </c>
      <c r="B3243" s="9" t="str">
        <f>IFERROR(INDEX(Input!$L$20:$T$1019,INT((ROW()-9)/9)+1,MOD(ROW()-9,9)+1),"")</f>
        <v/>
      </c>
      <c r="C3243" s="9">
        <f t="shared" si="50"/>
        <v>0</v>
      </c>
    </row>
    <row r="3244" spans="1:3" x14ac:dyDescent="0.2">
      <c r="A3244" s="10" t="str">
        <f>IF(3236&gt;$C$9008,"",INDEX($B$9:$B$9008,MATCH(3236,$C$9:$C$9008,0)))</f>
        <v/>
      </c>
      <c r="B3244" s="9" t="str">
        <f>IFERROR(INDEX(Input!$L$20:$T$1019,INT((ROW()-9)/9)+1,MOD(ROW()-9,9)+1),"")</f>
        <v/>
      </c>
      <c r="C3244" s="9">
        <f t="shared" si="50"/>
        <v>0</v>
      </c>
    </row>
    <row r="3245" spans="1:3" x14ac:dyDescent="0.2">
      <c r="A3245" s="10" t="str">
        <f>IF(3237&gt;$C$9008,"",INDEX($B$9:$B$9008,MATCH(3237,$C$9:$C$9008,0)))</f>
        <v/>
      </c>
      <c r="B3245" s="9" t="str">
        <f>IFERROR(INDEX(Input!$L$20:$T$1019,INT((ROW()-9)/9)+1,MOD(ROW()-9,9)+1),"")</f>
        <v/>
      </c>
      <c r="C3245" s="9">
        <f t="shared" si="50"/>
        <v>0</v>
      </c>
    </row>
    <row r="3246" spans="1:3" x14ac:dyDescent="0.2">
      <c r="A3246" s="10" t="str">
        <f>IF(3238&gt;$C$9008,"",INDEX($B$9:$B$9008,MATCH(3238,$C$9:$C$9008,0)))</f>
        <v/>
      </c>
      <c r="B3246" s="9" t="str">
        <f>IFERROR(INDEX(Input!$L$20:$T$1019,INT((ROW()-9)/9)+1,MOD(ROW()-9,9)+1),"")</f>
        <v/>
      </c>
      <c r="C3246" s="9">
        <f t="shared" si="50"/>
        <v>0</v>
      </c>
    </row>
    <row r="3247" spans="1:3" x14ac:dyDescent="0.2">
      <c r="A3247" s="10" t="str">
        <f>IF(3239&gt;$C$9008,"",INDEX($B$9:$B$9008,MATCH(3239,$C$9:$C$9008,0)))</f>
        <v/>
      </c>
      <c r="B3247" s="9" t="str">
        <f>IFERROR(INDEX(Input!$L$20:$T$1019,INT((ROW()-9)/9)+1,MOD(ROW()-9,9)+1),"")</f>
        <v/>
      </c>
      <c r="C3247" s="9">
        <f t="shared" si="50"/>
        <v>0</v>
      </c>
    </row>
    <row r="3248" spans="1:3" x14ac:dyDescent="0.2">
      <c r="A3248" s="10" t="str">
        <f>IF(3240&gt;$C$9008,"",INDEX($B$9:$B$9008,MATCH(3240,$C$9:$C$9008,0)))</f>
        <v/>
      </c>
      <c r="B3248" s="9" t="str">
        <f>IFERROR(INDEX(Input!$L$20:$T$1019,INT((ROW()-9)/9)+1,MOD(ROW()-9,9)+1),"")</f>
        <v/>
      </c>
      <c r="C3248" s="9">
        <f t="shared" si="50"/>
        <v>0</v>
      </c>
    </row>
    <row r="3249" spans="1:3" x14ac:dyDescent="0.2">
      <c r="A3249" s="10" t="str">
        <f>IF(3241&gt;$C$9008,"",INDEX($B$9:$B$9008,MATCH(3241,$C$9:$C$9008,0)))</f>
        <v/>
      </c>
      <c r="B3249" s="9" t="str">
        <f>IFERROR(INDEX(Input!$L$20:$T$1019,INT((ROW()-9)/9)+1,MOD(ROW()-9,9)+1),"")</f>
        <v/>
      </c>
      <c r="C3249" s="9">
        <f t="shared" si="50"/>
        <v>0</v>
      </c>
    </row>
    <row r="3250" spans="1:3" x14ac:dyDescent="0.2">
      <c r="A3250" s="10" t="str">
        <f>IF(3242&gt;$C$9008,"",INDEX($B$9:$B$9008,MATCH(3242,$C$9:$C$9008,0)))</f>
        <v/>
      </c>
      <c r="B3250" s="9" t="str">
        <f>IFERROR(INDEX(Input!$L$20:$T$1019,INT((ROW()-9)/9)+1,MOD(ROW()-9,9)+1),"")</f>
        <v/>
      </c>
      <c r="C3250" s="9">
        <f t="shared" si="50"/>
        <v>0</v>
      </c>
    </row>
    <row r="3251" spans="1:3" x14ac:dyDescent="0.2">
      <c r="A3251" s="10" t="str">
        <f>IF(3243&gt;$C$9008,"",INDEX($B$9:$B$9008,MATCH(3243,$C$9:$C$9008,0)))</f>
        <v/>
      </c>
      <c r="B3251" s="9" t="str">
        <f>IFERROR(INDEX(Input!$L$20:$T$1019,INT((ROW()-9)/9)+1,MOD(ROW()-9,9)+1),"")</f>
        <v/>
      </c>
      <c r="C3251" s="9">
        <f t="shared" si="50"/>
        <v>0</v>
      </c>
    </row>
    <row r="3252" spans="1:3" x14ac:dyDescent="0.2">
      <c r="A3252" s="10" t="str">
        <f>IF(3244&gt;$C$9008,"",INDEX($B$9:$B$9008,MATCH(3244,$C$9:$C$9008,0)))</f>
        <v/>
      </c>
      <c r="B3252" s="9" t="str">
        <f>IFERROR(INDEX(Input!$L$20:$T$1019,INT((ROW()-9)/9)+1,MOD(ROW()-9,9)+1),"")</f>
        <v/>
      </c>
      <c r="C3252" s="9">
        <f t="shared" si="50"/>
        <v>0</v>
      </c>
    </row>
    <row r="3253" spans="1:3" x14ac:dyDescent="0.2">
      <c r="A3253" s="10" t="str">
        <f>IF(3245&gt;$C$9008,"",INDEX($B$9:$B$9008,MATCH(3245,$C$9:$C$9008,0)))</f>
        <v/>
      </c>
      <c r="B3253" s="9" t="str">
        <f>IFERROR(INDEX(Input!$L$20:$T$1019,INT((ROW()-9)/9)+1,MOD(ROW()-9,9)+1),"")</f>
        <v/>
      </c>
      <c r="C3253" s="9">
        <f t="shared" si="50"/>
        <v>0</v>
      </c>
    </row>
    <row r="3254" spans="1:3" x14ac:dyDescent="0.2">
      <c r="A3254" s="10" t="str">
        <f>IF(3246&gt;$C$9008,"",INDEX($B$9:$B$9008,MATCH(3246,$C$9:$C$9008,0)))</f>
        <v/>
      </c>
      <c r="B3254" s="9" t="str">
        <f>IFERROR(INDEX(Input!$L$20:$T$1019,INT((ROW()-9)/9)+1,MOD(ROW()-9,9)+1),"")</f>
        <v/>
      </c>
      <c r="C3254" s="9">
        <f t="shared" si="50"/>
        <v>0</v>
      </c>
    </row>
    <row r="3255" spans="1:3" x14ac:dyDescent="0.2">
      <c r="A3255" s="10" t="str">
        <f>IF(3247&gt;$C$9008,"",INDEX($B$9:$B$9008,MATCH(3247,$C$9:$C$9008,0)))</f>
        <v/>
      </c>
      <c r="B3255" s="9" t="str">
        <f>IFERROR(INDEX(Input!$L$20:$T$1019,INT((ROW()-9)/9)+1,MOD(ROW()-9,9)+1),"")</f>
        <v/>
      </c>
      <c r="C3255" s="9">
        <f t="shared" si="50"/>
        <v>0</v>
      </c>
    </row>
    <row r="3256" spans="1:3" x14ac:dyDescent="0.2">
      <c r="A3256" s="10" t="str">
        <f>IF(3248&gt;$C$9008,"",INDEX($B$9:$B$9008,MATCH(3248,$C$9:$C$9008,0)))</f>
        <v/>
      </c>
      <c r="B3256" s="9" t="str">
        <f>IFERROR(INDEX(Input!$L$20:$T$1019,INT((ROW()-9)/9)+1,MOD(ROW()-9,9)+1),"")</f>
        <v/>
      </c>
      <c r="C3256" s="9">
        <f t="shared" si="50"/>
        <v>0</v>
      </c>
    </row>
    <row r="3257" spans="1:3" x14ac:dyDescent="0.2">
      <c r="A3257" s="10" t="str">
        <f>IF(3249&gt;$C$9008,"",INDEX($B$9:$B$9008,MATCH(3249,$C$9:$C$9008,0)))</f>
        <v/>
      </c>
      <c r="B3257" s="9" t="str">
        <f>IFERROR(INDEX(Input!$L$20:$T$1019,INT((ROW()-9)/9)+1,MOD(ROW()-9,9)+1),"")</f>
        <v/>
      </c>
      <c r="C3257" s="9">
        <f t="shared" si="50"/>
        <v>0</v>
      </c>
    </row>
    <row r="3258" spans="1:3" x14ac:dyDescent="0.2">
      <c r="A3258" s="10" t="str">
        <f>IF(3250&gt;$C$9008,"",INDEX($B$9:$B$9008,MATCH(3250,$C$9:$C$9008,0)))</f>
        <v/>
      </c>
      <c r="B3258" s="9" t="str">
        <f>IFERROR(INDEX(Input!$L$20:$T$1019,INT((ROW()-9)/9)+1,MOD(ROW()-9,9)+1),"")</f>
        <v/>
      </c>
      <c r="C3258" s="9">
        <f t="shared" si="50"/>
        <v>0</v>
      </c>
    </row>
    <row r="3259" spans="1:3" x14ac:dyDescent="0.2">
      <c r="A3259" s="10" t="str">
        <f>IF(3251&gt;$C$9008,"",INDEX($B$9:$B$9008,MATCH(3251,$C$9:$C$9008,0)))</f>
        <v/>
      </c>
      <c r="B3259" s="9" t="str">
        <f>IFERROR(INDEX(Input!$L$20:$T$1019,INT((ROW()-9)/9)+1,MOD(ROW()-9,9)+1),"")</f>
        <v/>
      </c>
      <c r="C3259" s="9">
        <f t="shared" si="50"/>
        <v>0</v>
      </c>
    </row>
    <row r="3260" spans="1:3" x14ac:dyDescent="0.2">
      <c r="A3260" s="10" t="str">
        <f>IF(3252&gt;$C$9008,"",INDEX($B$9:$B$9008,MATCH(3252,$C$9:$C$9008,0)))</f>
        <v/>
      </c>
      <c r="B3260" s="9" t="str">
        <f>IFERROR(INDEX(Input!$L$20:$T$1019,INT((ROW()-9)/9)+1,MOD(ROW()-9,9)+1),"")</f>
        <v/>
      </c>
      <c r="C3260" s="9">
        <f t="shared" si="50"/>
        <v>0</v>
      </c>
    </row>
    <row r="3261" spans="1:3" x14ac:dyDescent="0.2">
      <c r="A3261" s="10" t="str">
        <f>IF(3253&gt;$C$9008,"",INDEX($B$9:$B$9008,MATCH(3253,$C$9:$C$9008,0)))</f>
        <v/>
      </c>
      <c r="B3261" s="9" t="str">
        <f>IFERROR(INDEX(Input!$L$20:$T$1019,INT((ROW()-9)/9)+1,MOD(ROW()-9,9)+1),"")</f>
        <v/>
      </c>
      <c r="C3261" s="9">
        <f t="shared" si="50"/>
        <v>0</v>
      </c>
    </row>
    <row r="3262" spans="1:3" x14ac:dyDescent="0.2">
      <c r="A3262" s="10" t="str">
        <f>IF(3254&gt;$C$9008,"",INDEX($B$9:$B$9008,MATCH(3254,$C$9:$C$9008,0)))</f>
        <v/>
      </c>
      <c r="B3262" s="9" t="str">
        <f>IFERROR(INDEX(Input!$L$20:$T$1019,INT((ROW()-9)/9)+1,MOD(ROW()-9,9)+1),"")</f>
        <v/>
      </c>
      <c r="C3262" s="9">
        <f t="shared" si="50"/>
        <v>0</v>
      </c>
    </row>
    <row r="3263" spans="1:3" x14ac:dyDescent="0.2">
      <c r="A3263" s="10" t="str">
        <f>IF(3255&gt;$C$9008,"",INDEX($B$9:$B$9008,MATCH(3255,$C$9:$C$9008,0)))</f>
        <v/>
      </c>
      <c r="B3263" s="9" t="str">
        <f>IFERROR(INDEX(Input!$L$20:$T$1019,INT((ROW()-9)/9)+1,MOD(ROW()-9,9)+1),"")</f>
        <v/>
      </c>
      <c r="C3263" s="9">
        <f t="shared" si="50"/>
        <v>0</v>
      </c>
    </row>
    <row r="3264" spans="1:3" x14ac:dyDescent="0.2">
      <c r="A3264" s="10" t="str">
        <f>IF(3256&gt;$C$9008,"",INDEX($B$9:$B$9008,MATCH(3256,$C$9:$C$9008,0)))</f>
        <v/>
      </c>
      <c r="B3264" s="9" t="str">
        <f>IFERROR(INDEX(Input!$L$20:$T$1019,INT((ROW()-9)/9)+1,MOD(ROW()-9,9)+1),"")</f>
        <v/>
      </c>
      <c r="C3264" s="9">
        <f t="shared" si="50"/>
        <v>0</v>
      </c>
    </row>
    <row r="3265" spans="1:3" x14ac:dyDescent="0.2">
      <c r="A3265" s="10" t="str">
        <f>IF(3257&gt;$C$9008,"",INDEX($B$9:$B$9008,MATCH(3257,$C$9:$C$9008,0)))</f>
        <v/>
      </c>
      <c r="B3265" s="9" t="str">
        <f>IFERROR(INDEX(Input!$L$20:$T$1019,INT((ROW()-9)/9)+1,MOD(ROW()-9,9)+1),"")</f>
        <v/>
      </c>
      <c r="C3265" s="9">
        <f t="shared" si="50"/>
        <v>0</v>
      </c>
    </row>
    <row r="3266" spans="1:3" x14ac:dyDescent="0.2">
      <c r="A3266" s="10" t="str">
        <f>IF(3258&gt;$C$9008,"",INDEX($B$9:$B$9008,MATCH(3258,$C$9:$C$9008,0)))</f>
        <v/>
      </c>
      <c r="B3266" s="9" t="str">
        <f>IFERROR(INDEX(Input!$L$20:$T$1019,INT((ROW()-9)/9)+1,MOD(ROW()-9,9)+1),"")</f>
        <v/>
      </c>
      <c r="C3266" s="9">
        <f t="shared" si="50"/>
        <v>0</v>
      </c>
    </row>
    <row r="3267" spans="1:3" x14ac:dyDescent="0.2">
      <c r="A3267" s="10" t="str">
        <f>IF(3259&gt;$C$9008,"",INDEX($B$9:$B$9008,MATCH(3259,$C$9:$C$9008,0)))</f>
        <v/>
      </c>
      <c r="B3267" s="9" t="str">
        <f>IFERROR(INDEX(Input!$L$20:$T$1019,INT((ROW()-9)/9)+1,MOD(ROW()-9,9)+1),"")</f>
        <v/>
      </c>
      <c r="C3267" s="9">
        <f t="shared" si="50"/>
        <v>0</v>
      </c>
    </row>
    <row r="3268" spans="1:3" x14ac:dyDescent="0.2">
      <c r="A3268" s="10" t="str">
        <f>IF(3260&gt;$C$9008,"",INDEX($B$9:$B$9008,MATCH(3260,$C$9:$C$9008,0)))</f>
        <v/>
      </c>
      <c r="B3268" s="9" t="str">
        <f>IFERROR(INDEX(Input!$L$20:$T$1019,INT((ROW()-9)/9)+1,MOD(ROW()-9,9)+1),"")</f>
        <v/>
      </c>
      <c r="C3268" s="9">
        <f t="shared" si="50"/>
        <v>0</v>
      </c>
    </row>
    <row r="3269" spans="1:3" x14ac:dyDescent="0.2">
      <c r="A3269" s="10" t="str">
        <f>IF(3261&gt;$C$9008,"",INDEX($B$9:$B$9008,MATCH(3261,$C$9:$C$9008,0)))</f>
        <v/>
      </c>
      <c r="B3269" s="9" t="str">
        <f>IFERROR(INDEX(Input!$L$20:$T$1019,INT((ROW()-9)/9)+1,MOD(ROW()-9,9)+1),"")</f>
        <v/>
      </c>
      <c r="C3269" s="9">
        <f t="shared" si="50"/>
        <v>0</v>
      </c>
    </row>
    <row r="3270" spans="1:3" x14ac:dyDescent="0.2">
      <c r="A3270" s="10" t="str">
        <f>IF(3262&gt;$C$9008,"",INDEX($B$9:$B$9008,MATCH(3262,$C$9:$C$9008,0)))</f>
        <v/>
      </c>
      <c r="B3270" s="9" t="str">
        <f>IFERROR(INDEX(Input!$L$20:$T$1019,INT((ROW()-9)/9)+1,MOD(ROW()-9,9)+1),"")</f>
        <v/>
      </c>
      <c r="C3270" s="9">
        <f t="shared" si="50"/>
        <v>0</v>
      </c>
    </row>
    <row r="3271" spans="1:3" x14ac:dyDescent="0.2">
      <c r="A3271" s="10" t="str">
        <f>IF(3263&gt;$C$9008,"",INDEX($B$9:$B$9008,MATCH(3263,$C$9:$C$9008,0)))</f>
        <v/>
      </c>
      <c r="B3271" s="9" t="str">
        <f>IFERROR(INDEX(Input!$L$20:$T$1019,INT((ROW()-9)/9)+1,MOD(ROW()-9,9)+1),"")</f>
        <v/>
      </c>
      <c r="C3271" s="9">
        <f t="shared" si="50"/>
        <v>0</v>
      </c>
    </row>
    <row r="3272" spans="1:3" x14ac:dyDescent="0.2">
      <c r="A3272" s="10" t="str">
        <f>IF(3264&gt;$C$9008,"",INDEX($B$9:$B$9008,MATCH(3264,$C$9:$C$9008,0)))</f>
        <v/>
      </c>
      <c r="B3272" s="9" t="str">
        <f>IFERROR(INDEX(Input!$L$20:$T$1019,INT((ROW()-9)/9)+1,MOD(ROW()-9,9)+1),"")</f>
        <v/>
      </c>
      <c r="C3272" s="9">
        <f t="shared" si="50"/>
        <v>0</v>
      </c>
    </row>
    <row r="3273" spans="1:3" x14ac:dyDescent="0.2">
      <c r="A3273" s="10" t="str">
        <f>IF(3265&gt;$C$9008,"",INDEX($B$9:$B$9008,MATCH(3265,$C$9:$C$9008,0)))</f>
        <v/>
      </c>
      <c r="B3273" s="9" t="str">
        <f>IFERROR(INDEX(Input!$L$20:$T$1019,INT((ROW()-9)/9)+1,MOD(ROW()-9,9)+1),"")</f>
        <v/>
      </c>
      <c r="C3273" s="9">
        <f t="shared" ref="C3273:C3336" si="51">$C3272+IF($B3273&lt;&gt;"",1,0)</f>
        <v>0</v>
      </c>
    </row>
    <row r="3274" spans="1:3" x14ac:dyDescent="0.2">
      <c r="A3274" s="10" t="str">
        <f>IF(3266&gt;$C$9008,"",INDEX($B$9:$B$9008,MATCH(3266,$C$9:$C$9008,0)))</f>
        <v/>
      </c>
      <c r="B3274" s="9" t="str">
        <f>IFERROR(INDEX(Input!$L$20:$T$1019,INT((ROW()-9)/9)+1,MOD(ROW()-9,9)+1),"")</f>
        <v/>
      </c>
      <c r="C3274" s="9">
        <f t="shared" si="51"/>
        <v>0</v>
      </c>
    </row>
    <row r="3275" spans="1:3" x14ac:dyDescent="0.2">
      <c r="A3275" s="10" t="str">
        <f>IF(3267&gt;$C$9008,"",INDEX($B$9:$B$9008,MATCH(3267,$C$9:$C$9008,0)))</f>
        <v/>
      </c>
      <c r="B3275" s="9" t="str">
        <f>IFERROR(INDEX(Input!$L$20:$T$1019,INT((ROW()-9)/9)+1,MOD(ROW()-9,9)+1),"")</f>
        <v/>
      </c>
      <c r="C3275" s="9">
        <f t="shared" si="51"/>
        <v>0</v>
      </c>
    </row>
    <row r="3276" spans="1:3" x14ac:dyDescent="0.2">
      <c r="A3276" s="10" t="str">
        <f>IF(3268&gt;$C$9008,"",INDEX($B$9:$B$9008,MATCH(3268,$C$9:$C$9008,0)))</f>
        <v/>
      </c>
      <c r="B3276" s="9" t="str">
        <f>IFERROR(INDEX(Input!$L$20:$T$1019,INT((ROW()-9)/9)+1,MOD(ROW()-9,9)+1),"")</f>
        <v/>
      </c>
      <c r="C3276" s="9">
        <f t="shared" si="51"/>
        <v>0</v>
      </c>
    </row>
    <row r="3277" spans="1:3" x14ac:dyDescent="0.2">
      <c r="A3277" s="10" t="str">
        <f>IF(3269&gt;$C$9008,"",INDEX($B$9:$B$9008,MATCH(3269,$C$9:$C$9008,0)))</f>
        <v/>
      </c>
      <c r="B3277" s="9" t="str">
        <f>IFERROR(INDEX(Input!$L$20:$T$1019,INT((ROW()-9)/9)+1,MOD(ROW()-9,9)+1),"")</f>
        <v/>
      </c>
      <c r="C3277" s="9">
        <f t="shared" si="51"/>
        <v>0</v>
      </c>
    </row>
    <row r="3278" spans="1:3" x14ac:dyDescent="0.2">
      <c r="A3278" s="10" t="str">
        <f>IF(3270&gt;$C$9008,"",INDEX($B$9:$B$9008,MATCH(3270,$C$9:$C$9008,0)))</f>
        <v/>
      </c>
      <c r="B3278" s="9" t="str">
        <f>IFERROR(INDEX(Input!$L$20:$T$1019,INT((ROW()-9)/9)+1,MOD(ROW()-9,9)+1),"")</f>
        <v/>
      </c>
      <c r="C3278" s="9">
        <f t="shared" si="51"/>
        <v>0</v>
      </c>
    </row>
    <row r="3279" spans="1:3" x14ac:dyDescent="0.2">
      <c r="A3279" s="10" t="str">
        <f>IF(3271&gt;$C$9008,"",INDEX($B$9:$B$9008,MATCH(3271,$C$9:$C$9008,0)))</f>
        <v/>
      </c>
      <c r="B3279" s="9" t="str">
        <f>IFERROR(INDEX(Input!$L$20:$T$1019,INT((ROW()-9)/9)+1,MOD(ROW()-9,9)+1),"")</f>
        <v/>
      </c>
      <c r="C3279" s="9">
        <f t="shared" si="51"/>
        <v>0</v>
      </c>
    </row>
    <row r="3280" spans="1:3" x14ac:dyDescent="0.2">
      <c r="A3280" s="10" t="str">
        <f>IF(3272&gt;$C$9008,"",INDEX($B$9:$B$9008,MATCH(3272,$C$9:$C$9008,0)))</f>
        <v/>
      </c>
      <c r="B3280" s="9" t="str">
        <f>IFERROR(INDEX(Input!$L$20:$T$1019,INT((ROW()-9)/9)+1,MOD(ROW()-9,9)+1),"")</f>
        <v/>
      </c>
      <c r="C3280" s="9">
        <f t="shared" si="51"/>
        <v>0</v>
      </c>
    </row>
    <row r="3281" spans="1:3" x14ac:dyDescent="0.2">
      <c r="A3281" s="10" t="str">
        <f>IF(3273&gt;$C$9008,"",INDEX($B$9:$B$9008,MATCH(3273,$C$9:$C$9008,0)))</f>
        <v/>
      </c>
      <c r="B3281" s="9" t="str">
        <f>IFERROR(INDEX(Input!$L$20:$T$1019,INT((ROW()-9)/9)+1,MOD(ROW()-9,9)+1),"")</f>
        <v/>
      </c>
      <c r="C3281" s="9">
        <f t="shared" si="51"/>
        <v>0</v>
      </c>
    </row>
    <row r="3282" spans="1:3" x14ac:dyDescent="0.2">
      <c r="A3282" s="10" t="str">
        <f>IF(3274&gt;$C$9008,"",INDEX($B$9:$B$9008,MATCH(3274,$C$9:$C$9008,0)))</f>
        <v/>
      </c>
      <c r="B3282" s="9" t="str">
        <f>IFERROR(INDEX(Input!$L$20:$T$1019,INT((ROW()-9)/9)+1,MOD(ROW()-9,9)+1),"")</f>
        <v/>
      </c>
      <c r="C3282" s="9">
        <f t="shared" si="51"/>
        <v>0</v>
      </c>
    </row>
    <row r="3283" spans="1:3" x14ac:dyDescent="0.2">
      <c r="A3283" s="10" t="str">
        <f>IF(3275&gt;$C$9008,"",INDEX($B$9:$B$9008,MATCH(3275,$C$9:$C$9008,0)))</f>
        <v/>
      </c>
      <c r="B3283" s="9" t="str">
        <f>IFERROR(INDEX(Input!$L$20:$T$1019,INT((ROW()-9)/9)+1,MOD(ROW()-9,9)+1),"")</f>
        <v/>
      </c>
      <c r="C3283" s="9">
        <f t="shared" si="51"/>
        <v>0</v>
      </c>
    </row>
    <row r="3284" spans="1:3" x14ac:dyDescent="0.2">
      <c r="A3284" s="10" t="str">
        <f>IF(3276&gt;$C$9008,"",INDEX($B$9:$B$9008,MATCH(3276,$C$9:$C$9008,0)))</f>
        <v/>
      </c>
      <c r="B3284" s="9" t="str">
        <f>IFERROR(INDEX(Input!$L$20:$T$1019,INT((ROW()-9)/9)+1,MOD(ROW()-9,9)+1),"")</f>
        <v/>
      </c>
      <c r="C3284" s="9">
        <f t="shared" si="51"/>
        <v>0</v>
      </c>
    </row>
    <row r="3285" spans="1:3" x14ac:dyDescent="0.2">
      <c r="A3285" s="10" t="str">
        <f>IF(3277&gt;$C$9008,"",INDEX($B$9:$B$9008,MATCH(3277,$C$9:$C$9008,0)))</f>
        <v/>
      </c>
      <c r="B3285" s="9" t="str">
        <f>IFERROR(INDEX(Input!$L$20:$T$1019,INT((ROW()-9)/9)+1,MOD(ROW()-9,9)+1),"")</f>
        <v/>
      </c>
      <c r="C3285" s="9">
        <f t="shared" si="51"/>
        <v>0</v>
      </c>
    </row>
    <row r="3286" spans="1:3" x14ac:dyDescent="0.2">
      <c r="A3286" s="10" t="str">
        <f>IF(3278&gt;$C$9008,"",INDEX($B$9:$B$9008,MATCH(3278,$C$9:$C$9008,0)))</f>
        <v/>
      </c>
      <c r="B3286" s="9" t="str">
        <f>IFERROR(INDEX(Input!$L$20:$T$1019,INT((ROW()-9)/9)+1,MOD(ROW()-9,9)+1),"")</f>
        <v/>
      </c>
      <c r="C3286" s="9">
        <f t="shared" si="51"/>
        <v>0</v>
      </c>
    </row>
    <row r="3287" spans="1:3" x14ac:dyDescent="0.2">
      <c r="A3287" s="10" t="str">
        <f>IF(3279&gt;$C$9008,"",INDEX($B$9:$B$9008,MATCH(3279,$C$9:$C$9008,0)))</f>
        <v/>
      </c>
      <c r="B3287" s="9" t="str">
        <f>IFERROR(INDEX(Input!$L$20:$T$1019,INT((ROW()-9)/9)+1,MOD(ROW()-9,9)+1),"")</f>
        <v/>
      </c>
      <c r="C3287" s="9">
        <f t="shared" si="51"/>
        <v>0</v>
      </c>
    </row>
    <row r="3288" spans="1:3" x14ac:dyDescent="0.2">
      <c r="A3288" s="10" t="str">
        <f>IF(3280&gt;$C$9008,"",INDEX($B$9:$B$9008,MATCH(3280,$C$9:$C$9008,0)))</f>
        <v/>
      </c>
      <c r="B3288" s="9" t="str">
        <f>IFERROR(INDEX(Input!$L$20:$T$1019,INT((ROW()-9)/9)+1,MOD(ROW()-9,9)+1),"")</f>
        <v/>
      </c>
      <c r="C3288" s="9">
        <f t="shared" si="51"/>
        <v>0</v>
      </c>
    </row>
    <row r="3289" spans="1:3" x14ac:dyDescent="0.2">
      <c r="A3289" s="10" t="str">
        <f>IF(3281&gt;$C$9008,"",INDEX($B$9:$B$9008,MATCH(3281,$C$9:$C$9008,0)))</f>
        <v/>
      </c>
      <c r="B3289" s="9" t="str">
        <f>IFERROR(INDEX(Input!$L$20:$T$1019,INT((ROW()-9)/9)+1,MOD(ROW()-9,9)+1),"")</f>
        <v/>
      </c>
      <c r="C3289" s="9">
        <f t="shared" si="51"/>
        <v>0</v>
      </c>
    </row>
    <row r="3290" spans="1:3" x14ac:dyDescent="0.2">
      <c r="A3290" s="10" t="str">
        <f>IF(3282&gt;$C$9008,"",INDEX($B$9:$B$9008,MATCH(3282,$C$9:$C$9008,0)))</f>
        <v/>
      </c>
      <c r="B3290" s="9" t="str">
        <f>IFERROR(INDEX(Input!$L$20:$T$1019,INT((ROW()-9)/9)+1,MOD(ROW()-9,9)+1),"")</f>
        <v/>
      </c>
      <c r="C3290" s="9">
        <f t="shared" si="51"/>
        <v>0</v>
      </c>
    </row>
    <row r="3291" spans="1:3" x14ac:dyDescent="0.2">
      <c r="A3291" s="10" t="str">
        <f>IF(3283&gt;$C$9008,"",INDEX($B$9:$B$9008,MATCH(3283,$C$9:$C$9008,0)))</f>
        <v/>
      </c>
      <c r="B3291" s="9" t="str">
        <f>IFERROR(INDEX(Input!$L$20:$T$1019,INT((ROW()-9)/9)+1,MOD(ROW()-9,9)+1),"")</f>
        <v/>
      </c>
      <c r="C3291" s="9">
        <f t="shared" si="51"/>
        <v>0</v>
      </c>
    </row>
    <row r="3292" spans="1:3" x14ac:dyDescent="0.2">
      <c r="A3292" s="10" t="str">
        <f>IF(3284&gt;$C$9008,"",INDEX($B$9:$B$9008,MATCH(3284,$C$9:$C$9008,0)))</f>
        <v/>
      </c>
      <c r="B3292" s="9" t="str">
        <f>IFERROR(INDEX(Input!$L$20:$T$1019,INT((ROW()-9)/9)+1,MOD(ROW()-9,9)+1),"")</f>
        <v/>
      </c>
      <c r="C3292" s="9">
        <f t="shared" si="51"/>
        <v>0</v>
      </c>
    </row>
    <row r="3293" spans="1:3" x14ac:dyDescent="0.2">
      <c r="A3293" s="10" t="str">
        <f>IF(3285&gt;$C$9008,"",INDEX($B$9:$B$9008,MATCH(3285,$C$9:$C$9008,0)))</f>
        <v/>
      </c>
      <c r="B3293" s="9" t="str">
        <f>IFERROR(INDEX(Input!$L$20:$T$1019,INT((ROW()-9)/9)+1,MOD(ROW()-9,9)+1),"")</f>
        <v/>
      </c>
      <c r="C3293" s="9">
        <f t="shared" si="51"/>
        <v>0</v>
      </c>
    </row>
    <row r="3294" spans="1:3" x14ac:dyDescent="0.2">
      <c r="A3294" s="10" t="str">
        <f>IF(3286&gt;$C$9008,"",INDEX($B$9:$B$9008,MATCH(3286,$C$9:$C$9008,0)))</f>
        <v/>
      </c>
      <c r="B3294" s="9" t="str">
        <f>IFERROR(INDEX(Input!$L$20:$T$1019,INT((ROW()-9)/9)+1,MOD(ROW()-9,9)+1),"")</f>
        <v/>
      </c>
      <c r="C3294" s="9">
        <f t="shared" si="51"/>
        <v>0</v>
      </c>
    </row>
    <row r="3295" spans="1:3" x14ac:dyDescent="0.2">
      <c r="A3295" s="10" t="str">
        <f>IF(3287&gt;$C$9008,"",INDEX($B$9:$B$9008,MATCH(3287,$C$9:$C$9008,0)))</f>
        <v/>
      </c>
      <c r="B3295" s="9" t="str">
        <f>IFERROR(INDEX(Input!$L$20:$T$1019,INT((ROW()-9)/9)+1,MOD(ROW()-9,9)+1),"")</f>
        <v/>
      </c>
      <c r="C3295" s="9">
        <f t="shared" si="51"/>
        <v>0</v>
      </c>
    </row>
    <row r="3296" spans="1:3" x14ac:dyDescent="0.2">
      <c r="A3296" s="10" t="str">
        <f>IF(3288&gt;$C$9008,"",INDEX($B$9:$B$9008,MATCH(3288,$C$9:$C$9008,0)))</f>
        <v/>
      </c>
      <c r="B3296" s="9" t="str">
        <f>IFERROR(INDEX(Input!$L$20:$T$1019,INT((ROW()-9)/9)+1,MOD(ROW()-9,9)+1),"")</f>
        <v/>
      </c>
      <c r="C3296" s="9">
        <f t="shared" si="51"/>
        <v>0</v>
      </c>
    </row>
    <row r="3297" spans="1:3" x14ac:dyDescent="0.2">
      <c r="A3297" s="10" t="str">
        <f>IF(3289&gt;$C$9008,"",INDEX($B$9:$B$9008,MATCH(3289,$C$9:$C$9008,0)))</f>
        <v/>
      </c>
      <c r="B3297" s="9" t="str">
        <f>IFERROR(INDEX(Input!$L$20:$T$1019,INT((ROW()-9)/9)+1,MOD(ROW()-9,9)+1),"")</f>
        <v/>
      </c>
      <c r="C3297" s="9">
        <f t="shared" si="51"/>
        <v>0</v>
      </c>
    </row>
    <row r="3298" spans="1:3" x14ac:dyDescent="0.2">
      <c r="A3298" s="10" t="str">
        <f>IF(3290&gt;$C$9008,"",INDEX($B$9:$B$9008,MATCH(3290,$C$9:$C$9008,0)))</f>
        <v/>
      </c>
      <c r="B3298" s="9" t="str">
        <f>IFERROR(INDEX(Input!$L$20:$T$1019,INT((ROW()-9)/9)+1,MOD(ROW()-9,9)+1),"")</f>
        <v/>
      </c>
      <c r="C3298" s="9">
        <f t="shared" si="51"/>
        <v>0</v>
      </c>
    </row>
    <row r="3299" spans="1:3" x14ac:dyDescent="0.2">
      <c r="A3299" s="10" t="str">
        <f>IF(3291&gt;$C$9008,"",INDEX($B$9:$B$9008,MATCH(3291,$C$9:$C$9008,0)))</f>
        <v/>
      </c>
      <c r="B3299" s="9" t="str">
        <f>IFERROR(INDEX(Input!$L$20:$T$1019,INT((ROW()-9)/9)+1,MOD(ROW()-9,9)+1),"")</f>
        <v/>
      </c>
      <c r="C3299" s="9">
        <f t="shared" si="51"/>
        <v>0</v>
      </c>
    </row>
    <row r="3300" spans="1:3" x14ac:dyDescent="0.2">
      <c r="A3300" s="10" t="str">
        <f>IF(3292&gt;$C$9008,"",INDEX($B$9:$B$9008,MATCH(3292,$C$9:$C$9008,0)))</f>
        <v/>
      </c>
      <c r="B3300" s="9" t="str">
        <f>IFERROR(INDEX(Input!$L$20:$T$1019,INT((ROW()-9)/9)+1,MOD(ROW()-9,9)+1),"")</f>
        <v/>
      </c>
      <c r="C3300" s="9">
        <f t="shared" si="51"/>
        <v>0</v>
      </c>
    </row>
    <row r="3301" spans="1:3" x14ac:dyDescent="0.2">
      <c r="A3301" s="10" t="str">
        <f>IF(3293&gt;$C$9008,"",INDEX($B$9:$B$9008,MATCH(3293,$C$9:$C$9008,0)))</f>
        <v/>
      </c>
      <c r="B3301" s="9" t="str">
        <f>IFERROR(INDEX(Input!$L$20:$T$1019,INT((ROW()-9)/9)+1,MOD(ROW()-9,9)+1),"")</f>
        <v/>
      </c>
      <c r="C3301" s="9">
        <f t="shared" si="51"/>
        <v>0</v>
      </c>
    </row>
    <row r="3302" spans="1:3" x14ac:dyDescent="0.2">
      <c r="A3302" s="10" t="str">
        <f>IF(3294&gt;$C$9008,"",INDEX($B$9:$B$9008,MATCH(3294,$C$9:$C$9008,0)))</f>
        <v/>
      </c>
      <c r="B3302" s="9" t="str">
        <f>IFERROR(INDEX(Input!$L$20:$T$1019,INT((ROW()-9)/9)+1,MOD(ROW()-9,9)+1),"")</f>
        <v/>
      </c>
      <c r="C3302" s="9">
        <f t="shared" si="51"/>
        <v>0</v>
      </c>
    </row>
    <row r="3303" spans="1:3" x14ac:dyDescent="0.2">
      <c r="A3303" s="10" t="str">
        <f>IF(3295&gt;$C$9008,"",INDEX($B$9:$B$9008,MATCH(3295,$C$9:$C$9008,0)))</f>
        <v/>
      </c>
      <c r="B3303" s="9" t="str">
        <f>IFERROR(INDEX(Input!$L$20:$T$1019,INT((ROW()-9)/9)+1,MOD(ROW()-9,9)+1),"")</f>
        <v/>
      </c>
      <c r="C3303" s="9">
        <f t="shared" si="51"/>
        <v>0</v>
      </c>
    </row>
    <row r="3304" spans="1:3" x14ac:dyDescent="0.2">
      <c r="A3304" s="10" t="str">
        <f>IF(3296&gt;$C$9008,"",INDEX($B$9:$B$9008,MATCH(3296,$C$9:$C$9008,0)))</f>
        <v/>
      </c>
      <c r="B3304" s="9" t="str">
        <f>IFERROR(INDEX(Input!$L$20:$T$1019,INT((ROW()-9)/9)+1,MOD(ROW()-9,9)+1),"")</f>
        <v/>
      </c>
      <c r="C3304" s="9">
        <f t="shared" si="51"/>
        <v>0</v>
      </c>
    </row>
    <row r="3305" spans="1:3" x14ac:dyDescent="0.2">
      <c r="A3305" s="10" t="str">
        <f>IF(3297&gt;$C$9008,"",INDEX($B$9:$B$9008,MATCH(3297,$C$9:$C$9008,0)))</f>
        <v/>
      </c>
      <c r="B3305" s="9" t="str">
        <f>IFERROR(INDEX(Input!$L$20:$T$1019,INT((ROW()-9)/9)+1,MOD(ROW()-9,9)+1),"")</f>
        <v/>
      </c>
      <c r="C3305" s="9">
        <f t="shared" si="51"/>
        <v>0</v>
      </c>
    </row>
    <row r="3306" spans="1:3" x14ac:dyDescent="0.2">
      <c r="A3306" s="10" t="str">
        <f>IF(3298&gt;$C$9008,"",INDEX($B$9:$B$9008,MATCH(3298,$C$9:$C$9008,0)))</f>
        <v/>
      </c>
      <c r="B3306" s="9" t="str">
        <f>IFERROR(INDEX(Input!$L$20:$T$1019,INT((ROW()-9)/9)+1,MOD(ROW()-9,9)+1),"")</f>
        <v/>
      </c>
      <c r="C3306" s="9">
        <f t="shared" si="51"/>
        <v>0</v>
      </c>
    </row>
    <row r="3307" spans="1:3" x14ac:dyDescent="0.2">
      <c r="A3307" s="10" t="str">
        <f>IF(3299&gt;$C$9008,"",INDEX($B$9:$B$9008,MATCH(3299,$C$9:$C$9008,0)))</f>
        <v/>
      </c>
      <c r="B3307" s="9" t="str">
        <f>IFERROR(INDEX(Input!$L$20:$T$1019,INT((ROW()-9)/9)+1,MOD(ROW()-9,9)+1),"")</f>
        <v/>
      </c>
      <c r="C3307" s="9">
        <f t="shared" si="51"/>
        <v>0</v>
      </c>
    </row>
    <row r="3308" spans="1:3" x14ac:dyDescent="0.2">
      <c r="A3308" s="10" t="str">
        <f>IF(3300&gt;$C$9008,"",INDEX($B$9:$B$9008,MATCH(3300,$C$9:$C$9008,0)))</f>
        <v/>
      </c>
      <c r="B3308" s="9" t="str">
        <f>IFERROR(INDEX(Input!$L$20:$T$1019,INT((ROW()-9)/9)+1,MOD(ROW()-9,9)+1),"")</f>
        <v/>
      </c>
      <c r="C3308" s="9">
        <f t="shared" si="51"/>
        <v>0</v>
      </c>
    </row>
    <row r="3309" spans="1:3" x14ac:dyDescent="0.2">
      <c r="A3309" s="10" t="str">
        <f>IF(3301&gt;$C$9008,"",INDEX($B$9:$B$9008,MATCH(3301,$C$9:$C$9008,0)))</f>
        <v/>
      </c>
      <c r="B3309" s="9" t="str">
        <f>IFERROR(INDEX(Input!$L$20:$T$1019,INT((ROW()-9)/9)+1,MOD(ROW()-9,9)+1),"")</f>
        <v/>
      </c>
      <c r="C3309" s="9">
        <f t="shared" si="51"/>
        <v>0</v>
      </c>
    </row>
    <row r="3310" spans="1:3" x14ac:dyDescent="0.2">
      <c r="A3310" s="10" t="str">
        <f>IF(3302&gt;$C$9008,"",INDEX($B$9:$B$9008,MATCH(3302,$C$9:$C$9008,0)))</f>
        <v/>
      </c>
      <c r="B3310" s="9" t="str">
        <f>IFERROR(INDEX(Input!$L$20:$T$1019,INT((ROW()-9)/9)+1,MOD(ROW()-9,9)+1),"")</f>
        <v/>
      </c>
      <c r="C3310" s="9">
        <f t="shared" si="51"/>
        <v>0</v>
      </c>
    </row>
    <row r="3311" spans="1:3" x14ac:dyDescent="0.2">
      <c r="A3311" s="10" t="str">
        <f>IF(3303&gt;$C$9008,"",INDEX($B$9:$B$9008,MATCH(3303,$C$9:$C$9008,0)))</f>
        <v/>
      </c>
      <c r="B3311" s="9" t="str">
        <f>IFERROR(INDEX(Input!$L$20:$T$1019,INT((ROW()-9)/9)+1,MOD(ROW()-9,9)+1),"")</f>
        <v/>
      </c>
      <c r="C3311" s="9">
        <f t="shared" si="51"/>
        <v>0</v>
      </c>
    </row>
    <row r="3312" spans="1:3" x14ac:dyDescent="0.2">
      <c r="A3312" s="10" t="str">
        <f>IF(3304&gt;$C$9008,"",INDEX($B$9:$B$9008,MATCH(3304,$C$9:$C$9008,0)))</f>
        <v/>
      </c>
      <c r="B3312" s="9" t="str">
        <f>IFERROR(INDEX(Input!$L$20:$T$1019,INT((ROW()-9)/9)+1,MOD(ROW()-9,9)+1),"")</f>
        <v/>
      </c>
      <c r="C3312" s="9">
        <f t="shared" si="51"/>
        <v>0</v>
      </c>
    </row>
    <row r="3313" spans="1:3" x14ac:dyDescent="0.2">
      <c r="A3313" s="10" t="str">
        <f>IF(3305&gt;$C$9008,"",INDEX($B$9:$B$9008,MATCH(3305,$C$9:$C$9008,0)))</f>
        <v/>
      </c>
      <c r="B3313" s="9" t="str">
        <f>IFERROR(INDEX(Input!$L$20:$T$1019,INT((ROW()-9)/9)+1,MOD(ROW()-9,9)+1),"")</f>
        <v/>
      </c>
      <c r="C3313" s="9">
        <f t="shared" si="51"/>
        <v>0</v>
      </c>
    </row>
    <row r="3314" spans="1:3" x14ac:dyDescent="0.2">
      <c r="A3314" s="10" t="str">
        <f>IF(3306&gt;$C$9008,"",INDEX($B$9:$B$9008,MATCH(3306,$C$9:$C$9008,0)))</f>
        <v/>
      </c>
      <c r="B3314" s="9" t="str">
        <f>IFERROR(INDEX(Input!$L$20:$T$1019,INT((ROW()-9)/9)+1,MOD(ROW()-9,9)+1),"")</f>
        <v/>
      </c>
      <c r="C3314" s="9">
        <f t="shared" si="51"/>
        <v>0</v>
      </c>
    </row>
    <row r="3315" spans="1:3" x14ac:dyDescent="0.2">
      <c r="A3315" s="10" t="str">
        <f>IF(3307&gt;$C$9008,"",INDEX($B$9:$B$9008,MATCH(3307,$C$9:$C$9008,0)))</f>
        <v/>
      </c>
      <c r="B3315" s="9" t="str">
        <f>IFERROR(INDEX(Input!$L$20:$T$1019,INT((ROW()-9)/9)+1,MOD(ROW()-9,9)+1),"")</f>
        <v/>
      </c>
      <c r="C3315" s="9">
        <f t="shared" si="51"/>
        <v>0</v>
      </c>
    </row>
    <row r="3316" spans="1:3" x14ac:dyDescent="0.2">
      <c r="A3316" s="10" t="str">
        <f>IF(3308&gt;$C$9008,"",INDEX($B$9:$B$9008,MATCH(3308,$C$9:$C$9008,0)))</f>
        <v/>
      </c>
      <c r="B3316" s="9" t="str">
        <f>IFERROR(INDEX(Input!$L$20:$T$1019,INT((ROW()-9)/9)+1,MOD(ROW()-9,9)+1),"")</f>
        <v/>
      </c>
      <c r="C3316" s="9">
        <f t="shared" si="51"/>
        <v>0</v>
      </c>
    </row>
    <row r="3317" spans="1:3" x14ac:dyDescent="0.2">
      <c r="A3317" s="10" t="str">
        <f>IF(3309&gt;$C$9008,"",INDEX($B$9:$B$9008,MATCH(3309,$C$9:$C$9008,0)))</f>
        <v/>
      </c>
      <c r="B3317" s="9" t="str">
        <f>IFERROR(INDEX(Input!$L$20:$T$1019,INT((ROW()-9)/9)+1,MOD(ROW()-9,9)+1),"")</f>
        <v/>
      </c>
      <c r="C3317" s="9">
        <f t="shared" si="51"/>
        <v>0</v>
      </c>
    </row>
    <row r="3318" spans="1:3" x14ac:dyDescent="0.2">
      <c r="A3318" s="10" t="str">
        <f>IF(3310&gt;$C$9008,"",INDEX($B$9:$B$9008,MATCH(3310,$C$9:$C$9008,0)))</f>
        <v/>
      </c>
      <c r="B3318" s="9" t="str">
        <f>IFERROR(INDEX(Input!$L$20:$T$1019,INT((ROW()-9)/9)+1,MOD(ROW()-9,9)+1),"")</f>
        <v/>
      </c>
      <c r="C3318" s="9">
        <f t="shared" si="51"/>
        <v>0</v>
      </c>
    </row>
    <row r="3319" spans="1:3" x14ac:dyDescent="0.2">
      <c r="A3319" s="10" t="str">
        <f>IF(3311&gt;$C$9008,"",INDEX($B$9:$B$9008,MATCH(3311,$C$9:$C$9008,0)))</f>
        <v/>
      </c>
      <c r="B3319" s="9" t="str">
        <f>IFERROR(INDEX(Input!$L$20:$T$1019,INT((ROW()-9)/9)+1,MOD(ROW()-9,9)+1),"")</f>
        <v/>
      </c>
      <c r="C3319" s="9">
        <f t="shared" si="51"/>
        <v>0</v>
      </c>
    </row>
    <row r="3320" spans="1:3" x14ac:dyDescent="0.2">
      <c r="A3320" s="10" t="str">
        <f>IF(3312&gt;$C$9008,"",INDEX($B$9:$B$9008,MATCH(3312,$C$9:$C$9008,0)))</f>
        <v/>
      </c>
      <c r="B3320" s="9" t="str">
        <f>IFERROR(INDEX(Input!$L$20:$T$1019,INT((ROW()-9)/9)+1,MOD(ROW()-9,9)+1),"")</f>
        <v/>
      </c>
      <c r="C3320" s="9">
        <f t="shared" si="51"/>
        <v>0</v>
      </c>
    </row>
    <row r="3321" spans="1:3" x14ac:dyDescent="0.2">
      <c r="A3321" s="10" t="str">
        <f>IF(3313&gt;$C$9008,"",INDEX($B$9:$B$9008,MATCH(3313,$C$9:$C$9008,0)))</f>
        <v/>
      </c>
      <c r="B3321" s="9" t="str">
        <f>IFERROR(INDEX(Input!$L$20:$T$1019,INT((ROW()-9)/9)+1,MOD(ROW()-9,9)+1),"")</f>
        <v/>
      </c>
      <c r="C3321" s="9">
        <f t="shared" si="51"/>
        <v>0</v>
      </c>
    </row>
    <row r="3322" spans="1:3" x14ac:dyDescent="0.2">
      <c r="A3322" s="10" t="str">
        <f>IF(3314&gt;$C$9008,"",INDEX($B$9:$B$9008,MATCH(3314,$C$9:$C$9008,0)))</f>
        <v/>
      </c>
      <c r="B3322" s="9" t="str">
        <f>IFERROR(INDEX(Input!$L$20:$T$1019,INT((ROW()-9)/9)+1,MOD(ROW()-9,9)+1),"")</f>
        <v/>
      </c>
      <c r="C3322" s="9">
        <f t="shared" si="51"/>
        <v>0</v>
      </c>
    </row>
    <row r="3323" spans="1:3" x14ac:dyDescent="0.2">
      <c r="A3323" s="10" t="str">
        <f>IF(3315&gt;$C$9008,"",INDEX($B$9:$B$9008,MATCH(3315,$C$9:$C$9008,0)))</f>
        <v/>
      </c>
      <c r="B3323" s="9" t="str">
        <f>IFERROR(INDEX(Input!$L$20:$T$1019,INT((ROW()-9)/9)+1,MOD(ROW()-9,9)+1),"")</f>
        <v/>
      </c>
      <c r="C3323" s="9">
        <f t="shared" si="51"/>
        <v>0</v>
      </c>
    </row>
    <row r="3324" spans="1:3" x14ac:dyDescent="0.2">
      <c r="A3324" s="10" t="str">
        <f>IF(3316&gt;$C$9008,"",INDEX($B$9:$B$9008,MATCH(3316,$C$9:$C$9008,0)))</f>
        <v/>
      </c>
      <c r="B3324" s="9" t="str">
        <f>IFERROR(INDEX(Input!$L$20:$T$1019,INT((ROW()-9)/9)+1,MOD(ROW()-9,9)+1),"")</f>
        <v/>
      </c>
      <c r="C3324" s="9">
        <f t="shared" si="51"/>
        <v>0</v>
      </c>
    </row>
    <row r="3325" spans="1:3" x14ac:dyDescent="0.2">
      <c r="A3325" s="10" t="str">
        <f>IF(3317&gt;$C$9008,"",INDEX($B$9:$B$9008,MATCH(3317,$C$9:$C$9008,0)))</f>
        <v/>
      </c>
      <c r="B3325" s="9" t="str">
        <f>IFERROR(INDEX(Input!$L$20:$T$1019,INT((ROW()-9)/9)+1,MOD(ROW()-9,9)+1),"")</f>
        <v/>
      </c>
      <c r="C3325" s="9">
        <f t="shared" si="51"/>
        <v>0</v>
      </c>
    </row>
    <row r="3326" spans="1:3" x14ac:dyDescent="0.2">
      <c r="A3326" s="10" t="str">
        <f>IF(3318&gt;$C$9008,"",INDEX($B$9:$B$9008,MATCH(3318,$C$9:$C$9008,0)))</f>
        <v/>
      </c>
      <c r="B3326" s="9" t="str">
        <f>IFERROR(INDEX(Input!$L$20:$T$1019,INT((ROW()-9)/9)+1,MOD(ROW()-9,9)+1),"")</f>
        <v/>
      </c>
      <c r="C3326" s="9">
        <f t="shared" si="51"/>
        <v>0</v>
      </c>
    </row>
    <row r="3327" spans="1:3" x14ac:dyDescent="0.2">
      <c r="A3327" s="10" t="str">
        <f>IF(3319&gt;$C$9008,"",INDEX($B$9:$B$9008,MATCH(3319,$C$9:$C$9008,0)))</f>
        <v/>
      </c>
      <c r="B3327" s="9" t="str">
        <f>IFERROR(INDEX(Input!$L$20:$T$1019,INT((ROW()-9)/9)+1,MOD(ROW()-9,9)+1),"")</f>
        <v/>
      </c>
      <c r="C3327" s="9">
        <f t="shared" si="51"/>
        <v>0</v>
      </c>
    </row>
    <row r="3328" spans="1:3" x14ac:dyDescent="0.2">
      <c r="A3328" s="10" t="str">
        <f>IF(3320&gt;$C$9008,"",INDEX($B$9:$B$9008,MATCH(3320,$C$9:$C$9008,0)))</f>
        <v/>
      </c>
      <c r="B3328" s="9" t="str">
        <f>IFERROR(INDEX(Input!$L$20:$T$1019,INT((ROW()-9)/9)+1,MOD(ROW()-9,9)+1),"")</f>
        <v/>
      </c>
      <c r="C3328" s="9">
        <f t="shared" si="51"/>
        <v>0</v>
      </c>
    </row>
    <row r="3329" spans="1:3" x14ac:dyDescent="0.2">
      <c r="A3329" s="10" t="str">
        <f>IF(3321&gt;$C$9008,"",INDEX($B$9:$B$9008,MATCH(3321,$C$9:$C$9008,0)))</f>
        <v/>
      </c>
      <c r="B3329" s="9" t="str">
        <f>IFERROR(INDEX(Input!$L$20:$T$1019,INT((ROW()-9)/9)+1,MOD(ROW()-9,9)+1),"")</f>
        <v/>
      </c>
      <c r="C3329" s="9">
        <f t="shared" si="51"/>
        <v>0</v>
      </c>
    </row>
    <row r="3330" spans="1:3" x14ac:dyDescent="0.2">
      <c r="A3330" s="10" t="str">
        <f>IF(3322&gt;$C$9008,"",INDEX($B$9:$B$9008,MATCH(3322,$C$9:$C$9008,0)))</f>
        <v/>
      </c>
      <c r="B3330" s="9" t="str">
        <f>IFERROR(INDEX(Input!$L$20:$T$1019,INT((ROW()-9)/9)+1,MOD(ROW()-9,9)+1),"")</f>
        <v/>
      </c>
      <c r="C3330" s="9">
        <f t="shared" si="51"/>
        <v>0</v>
      </c>
    </row>
    <row r="3331" spans="1:3" x14ac:dyDescent="0.2">
      <c r="A3331" s="10" t="str">
        <f>IF(3323&gt;$C$9008,"",INDEX($B$9:$B$9008,MATCH(3323,$C$9:$C$9008,0)))</f>
        <v/>
      </c>
      <c r="B3331" s="9" t="str">
        <f>IFERROR(INDEX(Input!$L$20:$T$1019,INT((ROW()-9)/9)+1,MOD(ROW()-9,9)+1),"")</f>
        <v/>
      </c>
      <c r="C3331" s="9">
        <f t="shared" si="51"/>
        <v>0</v>
      </c>
    </row>
    <row r="3332" spans="1:3" x14ac:dyDescent="0.2">
      <c r="A3332" s="10" t="str">
        <f>IF(3324&gt;$C$9008,"",INDEX($B$9:$B$9008,MATCH(3324,$C$9:$C$9008,0)))</f>
        <v/>
      </c>
      <c r="B3332" s="9" t="str">
        <f>IFERROR(INDEX(Input!$L$20:$T$1019,INT((ROW()-9)/9)+1,MOD(ROW()-9,9)+1),"")</f>
        <v/>
      </c>
      <c r="C3332" s="9">
        <f t="shared" si="51"/>
        <v>0</v>
      </c>
    </row>
    <row r="3333" spans="1:3" x14ac:dyDescent="0.2">
      <c r="A3333" s="10" t="str">
        <f>IF(3325&gt;$C$9008,"",INDEX($B$9:$B$9008,MATCH(3325,$C$9:$C$9008,0)))</f>
        <v/>
      </c>
      <c r="B3333" s="9" t="str">
        <f>IFERROR(INDEX(Input!$L$20:$T$1019,INT((ROW()-9)/9)+1,MOD(ROW()-9,9)+1),"")</f>
        <v/>
      </c>
      <c r="C3333" s="9">
        <f t="shared" si="51"/>
        <v>0</v>
      </c>
    </row>
    <row r="3334" spans="1:3" x14ac:dyDescent="0.2">
      <c r="A3334" s="10" t="str">
        <f>IF(3326&gt;$C$9008,"",INDEX($B$9:$B$9008,MATCH(3326,$C$9:$C$9008,0)))</f>
        <v/>
      </c>
      <c r="B3334" s="9" t="str">
        <f>IFERROR(INDEX(Input!$L$20:$T$1019,INT((ROW()-9)/9)+1,MOD(ROW()-9,9)+1),"")</f>
        <v/>
      </c>
      <c r="C3334" s="9">
        <f t="shared" si="51"/>
        <v>0</v>
      </c>
    </row>
    <row r="3335" spans="1:3" x14ac:dyDescent="0.2">
      <c r="A3335" s="10" t="str">
        <f>IF(3327&gt;$C$9008,"",INDEX($B$9:$B$9008,MATCH(3327,$C$9:$C$9008,0)))</f>
        <v/>
      </c>
      <c r="B3335" s="9" t="str">
        <f>IFERROR(INDEX(Input!$L$20:$T$1019,INT((ROW()-9)/9)+1,MOD(ROW()-9,9)+1),"")</f>
        <v/>
      </c>
      <c r="C3335" s="9">
        <f t="shared" si="51"/>
        <v>0</v>
      </c>
    </row>
    <row r="3336" spans="1:3" x14ac:dyDescent="0.2">
      <c r="A3336" s="10" t="str">
        <f>IF(3328&gt;$C$9008,"",INDEX($B$9:$B$9008,MATCH(3328,$C$9:$C$9008,0)))</f>
        <v/>
      </c>
      <c r="B3336" s="9" t="str">
        <f>IFERROR(INDEX(Input!$L$20:$T$1019,INT((ROW()-9)/9)+1,MOD(ROW()-9,9)+1),"")</f>
        <v/>
      </c>
      <c r="C3336" s="9">
        <f t="shared" si="51"/>
        <v>0</v>
      </c>
    </row>
    <row r="3337" spans="1:3" x14ac:dyDescent="0.2">
      <c r="A3337" s="10" t="str">
        <f>IF(3329&gt;$C$9008,"",INDEX($B$9:$B$9008,MATCH(3329,$C$9:$C$9008,0)))</f>
        <v/>
      </c>
      <c r="B3337" s="9" t="str">
        <f>IFERROR(INDEX(Input!$L$20:$T$1019,INT((ROW()-9)/9)+1,MOD(ROW()-9,9)+1),"")</f>
        <v/>
      </c>
      <c r="C3337" s="9">
        <f t="shared" ref="C3337:C3400" si="52">$C3336+IF($B3337&lt;&gt;"",1,0)</f>
        <v>0</v>
      </c>
    </row>
    <row r="3338" spans="1:3" x14ac:dyDescent="0.2">
      <c r="A3338" s="10" t="str">
        <f>IF(3330&gt;$C$9008,"",INDEX($B$9:$B$9008,MATCH(3330,$C$9:$C$9008,0)))</f>
        <v/>
      </c>
      <c r="B3338" s="9" t="str">
        <f>IFERROR(INDEX(Input!$L$20:$T$1019,INT((ROW()-9)/9)+1,MOD(ROW()-9,9)+1),"")</f>
        <v/>
      </c>
      <c r="C3338" s="9">
        <f t="shared" si="52"/>
        <v>0</v>
      </c>
    </row>
    <row r="3339" spans="1:3" x14ac:dyDescent="0.2">
      <c r="A3339" s="10" t="str">
        <f>IF(3331&gt;$C$9008,"",INDEX($B$9:$B$9008,MATCH(3331,$C$9:$C$9008,0)))</f>
        <v/>
      </c>
      <c r="B3339" s="9" t="str">
        <f>IFERROR(INDEX(Input!$L$20:$T$1019,INT((ROW()-9)/9)+1,MOD(ROW()-9,9)+1),"")</f>
        <v/>
      </c>
      <c r="C3339" s="9">
        <f t="shared" si="52"/>
        <v>0</v>
      </c>
    </row>
    <row r="3340" spans="1:3" x14ac:dyDescent="0.2">
      <c r="A3340" s="10" t="str">
        <f>IF(3332&gt;$C$9008,"",INDEX($B$9:$B$9008,MATCH(3332,$C$9:$C$9008,0)))</f>
        <v/>
      </c>
      <c r="B3340" s="9" t="str">
        <f>IFERROR(INDEX(Input!$L$20:$T$1019,INT((ROW()-9)/9)+1,MOD(ROW()-9,9)+1),"")</f>
        <v/>
      </c>
      <c r="C3340" s="9">
        <f t="shared" si="52"/>
        <v>0</v>
      </c>
    </row>
    <row r="3341" spans="1:3" x14ac:dyDescent="0.2">
      <c r="A3341" s="10" t="str">
        <f>IF(3333&gt;$C$9008,"",INDEX($B$9:$B$9008,MATCH(3333,$C$9:$C$9008,0)))</f>
        <v/>
      </c>
      <c r="B3341" s="9" t="str">
        <f>IFERROR(INDEX(Input!$L$20:$T$1019,INT((ROW()-9)/9)+1,MOD(ROW()-9,9)+1),"")</f>
        <v/>
      </c>
      <c r="C3341" s="9">
        <f t="shared" si="52"/>
        <v>0</v>
      </c>
    </row>
    <row r="3342" spans="1:3" x14ac:dyDescent="0.2">
      <c r="A3342" s="10" t="str">
        <f>IF(3334&gt;$C$9008,"",INDEX($B$9:$B$9008,MATCH(3334,$C$9:$C$9008,0)))</f>
        <v/>
      </c>
      <c r="B3342" s="9" t="str">
        <f>IFERROR(INDEX(Input!$L$20:$T$1019,INT((ROW()-9)/9)+1,MOD(ROW()-9,9)+1),"")</f>
        <v/>
      </c>
      <c r="C3342" s="9">
        <f t="shared" si="52"/>
        <v>0</v>
      </c>
    </row>
    <row r="3343" spans="1:3" x14ac:dyDescent="0.2">
      <c r="A3343" s="10" t="str">
        <f>IF(3335&gt;$C$9008,"",INDEX($B$9:$B$9008,MATCH(3335,$C$9:$C$9008,0)))</f>
        <v/>
      </c>
      <c r="B3343" s="9" t="str">
        <f>IFERROR(INDEX(Input!$L$20:$T$1019,INT((ROW()-9)/9)+1,MOD(ROW()-9,9)+1),"")</f>
        <v/>
      </c>
      <c r="C3343" s="9">
        <f t="shared" si="52"/>
        <v>0</v>
      </c>
    </row>
    <row r="3344" spans="1:3" x14ac:dyDescent="0.2">
      <c r="A3344" s="10" t="str">
        <f>IF(3336&gt;$C$9008,"",INDEX($B$9:$B$9008,MATCH(3336,$C$9:$C$9008,0)))</f>
        <v/>
      </c>
      <c r="B3344" s="9" t="str">
        <f>IFERROR(INDEX(Input!$L$20:$T$1019,INT((ROW()-9)/9)+1,MOD(ROW()-9,9)+1),"")</f>
        <v/>
      </c>
      <c r="C3344" s="9">
        <f t="shared" si="52"/>
        <v>0</v>
      </c>
    </row>
    <row r="3345" spans="1:3" x14ac:dyDescent="0.2">
      <c r="A3345" s="10" t="str">
        <f>IF(3337&gt;$C$9008,"",INDEX($B$9:$B$9008,MATCH(3337,$C$9:$C$9008,0)))</f>
        <v/>
      </c>
      <c r="B3345" s="9" t="str">
        <f>IFERROR(INDEX(Input!$L$20:$T$1019,INT((ROW()-9)/9)+1,MOD(ROW()-9,9)+1),"")</f>
        <v/>
      </c>
      <c r="C3345" s="9">
        <f t="shared" si="52"/>
        <v>0</v>
      </c>
    </row>
    <row r="3346" spans="1:3" x14ac:dyDescent="0.2">
      <c r="A3346" s="10" t="str">
        <f>IF(3338&gt;$C$9008,"",INDEX($B$9:$B$9008,MATCH(3338,$C$9:$C$9008,0)))</f>
        <v/>
      </c>
      <c r="B3346" s="9" t="str">
        <f>IFERROR(INDEX(Input!$L$20:$T$1019,INT((ROW()-9)/9)+1,MOD(ROW()-9,9)+1),"")</f>
        <v/>
      </c>
      <c r="C3346" s="9">
        <f t="shared" si="52"/>
        <v>0</v>
      </c>
    </row>
    <row r="3347" spans="1:3" x14ac:dyDescent="0.2">
      <c r="A3347" s="10" t="str">
        <f>IF(3339&gt;$C$9008,"",INDEX($B$9:$B$9008,MATCH(3339,$C$9:$C$9008,0)))</f>
        <v/>
      </c>
      <c r="B3347" s="9" t="str">
        <f>IFERROR(INDEX(Input!$L$20:$T$1019,INT((ROW()-9)/9)+1,MOD(ROW()-9,9)+1),"")</f>
        <v/>
      </c>
      <c r="C3347" s="9">
        <f t="shared" si="52"/>
        <v>0</v>
      </c>
    </row>
    <row r="3348" spans="1:3" x14ac:dyDescent="0.2">
      <c r="A3348" s="10" t="str">
        <f>IF(3340&gt;$C$9008,"",INDEX($B$9:$B$9008,MATCH(3340,$C$9:$C$9008,0)))</f>
        <v/>
      </c>
      <c r="B3348" s="9" t="str">
        <f>IFERROR(INDEX(Input!$L$20:$T$1019,INT((ROW()-9)/9)+1,MOD(ROW()-9,9)+1),"")</f>
        <v/>
      </c>
      <c r="C3348" s="9">
        <f t="shared" si="52"/>
        <v>0</v>
      </c>
    </row>
    <row r="3349" spans="1:3" x14ac:dyDescent="0.2">
      <c r="A3349" s="10" t="str">
        <f>IF(3341&gt;$C$9008,"",INDEX($B$9:$B$9008,MATCH(3341,$C$9:$C$9008,0)))</f>
        <v/>
      </c>
      <c r="B3349" s="9" t="str">
        <f>IFERROR(INDEX(Input!$L$20:$T$1019,INT((ROW()-9)/9)+1,MOD(ROW()-9,9)+1),"")</f>
        <v/>
      </c>
      <c r="C3349" s="9">
        <f t="shared" si="52"/>
        <v>0</v>
      </c>
    </row>
    <row r="3350" spans="1:3" x14ac:dyDescent="0.2">
      <c r="A3350" s="10" t="str">
        <f>IF(3342&gt;$C$9008,"",INDEX($B$9:$B$9008,MATCH(3342,$C$9:$C$9008,0)))</f>
        <v/>
      </c>
      <c r="B3350" s="9" t="str">
        <f>IFERROR(INDEX(Input!$L$20:$T$1019,INT((ROW()-9)/9)+1,MOD(ROW()-9,9)+1),"")</f>
        <v/>
      </c>
      <c r="C3350" s="9">
        <f t="shared" si="52"/>
        <v>0</v>
      </c>
    </row>
    <row r="3351" spans="1:3" x14ac:dyDescent="0.2">
      <c r="A3351" s="10" t="str">
        <f>IF(3343&gt;$C$9008,"",INDEX($B$9:$B$9008,MATCH(3343,$C$9:$C$9008,0)))</f>
        <v/>
      </c>
      <c r="B3351" s="9" t="str">
        <f>IFERROR(INDEX(Input!$L$20:$T$1019,INT((ROW()-9)/9)+1,MOD(ROW()-9,9)+1),"")</f>
        <v/>
      </c>
      <c r="C3351" s="9">
        <f t="shared" si="52"/>
        <v>0</v>
      </c>
    </row>
    <row r="3352" spans="1:3" x14ac:dyDescent="0.2">
      <c r="A3352" s="10" t="str">
        <f>IF(3344&gt;$C$9008,"",INDEX($B$9:$B$9008,MATCH(3344,$C$9:$C$9008,0)))</f>
        <v/>
      </c>
      <c r="B3352" s="9" t="str">
        <f>IFERROR(INDEX(Input!$L$20:$T$1019,INT((ROW()-9)/9)+1,MOD(ROW()-9,9)+1),"")</f>
        <v/>
      </c>
      <c r="C3352" s="9">
        <f t="shared" si="52"/>
        <v>0</v>
      </c>
    </row>
    <row r="3353" spans="1:3" x14ac:dyDescent="0.2">
      <c r="A3353" s="10" t="str">
        <f>IF(3345&gt;$C$9008,"",INDEX($B$9:$B$9008,MATCH(3345,$C$9:$C$9008,0)))</f>
        <v/>
      </c>
      <c r="B3353" s="9" t="str">
        <f>IFERROR(INDEX(Input!$L$20:$T$1019,INT((ROW()-9)/9)+1,MOD(ROW()-9,9)+1),"")</f>
        <v/>
      </c>
      <c r="C3353" s="9">
        <f t="shared" si="52"/>
        <v>0</v>
      </c>
    </row>
    <row r="3354" spans="1:3" x14ac:dyDescent="0.2">
      <c r="A3354" s="10" t="str">
        <f>IF(3346&gt;$C$9008,"",INDEX($B$9:$B$9008,MATCH(3346,$C$9:$C$9008,0)))</f>
        <v/>
      </c>
      <c r="B3354" s="9" t="str">
        <f>IFERROR(INDEX(Input!$L$20:$T$1019,INT((ROW()-9)/9)+1,MOD(ROW()-9,9)+1),"")</f>
        <v/>
      </c>
      <c r="C3354" s="9">
        <f t="shared" si="52"/>
        <v>0</v>
      </c>
    </row>
    <row r="3355" spans="1:3" x14ac:dyDescent="0.2">
      <c r="A3355" s="10" t="str">
        <f>IF(3347&gt;$C$9008,"",INDEX($B$9:$B$9008,MATCH(3347,$C$9:$C$9008,0)))</f>
        <v/>
      </c>
      <c r="B3355" s="9" t="str">
        <f>IFERROR(INDEX(Input!$L$20:$T$1019,INT((ROW()-9)/9)+1,MOD(ROW()-9,9)+1),"")</f>
        <v/>
      </c>
      <c r="C3355" s="9">
        <f t="shared" si="52"/>
        <v>0</v>
      </c>
    </row>
    <row r="3356" spans="1:3" x14ac:dyDescent="0.2">
      <c r="A3356" s="10" t="str">
        <f>IF(3348&gt;$C$9008,"",INDEX($B$9:$B$9008,MATCH(3348,$C$9:$C$9008,0)))</f>
        <v/>
      </c>
      <c r="B3356" s="9" t="str">
        <f>IFERROR(INDEX(Input!$L$20:$T$1019,INT((ROW()-9)/9)+1,MOD(ROW()-9,9)+1),"")</f>
        <v/>
      </c>
      <c r="C3356" s="9">
        <f t="shared" si="52"/>
        <v>0</v>
      </c>
    </row>
    <row r="3357" spans="1:3" x14ac:dyDescent="0.2">
      <c r="A3357" s="10" t="str">
        <f>IF(3349&gt;$C$9008,"",INDEX($B$9:$B$9008,MATCH(3349,$C$9:$C$9008,0)))</f>
        <v/>
      </c>
      <c r="B3357" s="9" t="str">
        <f>IFERROR(INDEX(Input!$L$20:$T$1019,INT((ROW()-9)/9)+1,MOD(ROW()-9,9)+1),"")</f>
        <v/>
      </c>
      <c r="C3357" s="9">
        <f t="shared" si="52"/>
        <v>0</v>
      </c>
    </row>
    <row r="3358" spans="1:3" x14ac:dyDescent="0.2">
      <c r="A3358" s="10" t="str">
        <f>IF(3350&gt;$C$9008,"",INDEX($B$9:$B$9008,MATCH(3350,$C$9:$C$9008,0)))</f>
        <v/>
      </c>
      <c r="B3358" s="9" t="str">
        <f>IFERROR(INDEX(Input!$L$20:$T$1019,INT((ROW()-9)/9)+1,MOD(ROW()-9,9)+1),"")</f>
        <v/>
      </c>
      <c r="C3358" s="9">
        <f t="shared" si="52"/>
        <v>0</v>
      </c>
    </row>
    <row r="3359" spans="1:3" x14ac:dyDescent="0.2">
      <c r="A3359" s="10" t="str">
        <f>IF(3351&gt;$C$9008,"",INDEX($B$9:$B$9008,MATCH(3351,$C$9:$C$9008,0)))</f>
        <v/>
      </c>
      <c r="B3359" s="9" t="str">
        <f>IFERROR(INDEX(Input!$L$20:$T$1019,INT((ROW()-9)/9)+1,MOD(ROW()-9,9)+1),"")</f>
        <v/>
      </c>
      <c r="C3359" s="9">
        <f t="shared" si="52"/>
        <v>0</v>
      </c>
    </row>
    <row r="3360" spans="1:3" x14ac:dyDescent="0.2">
      <c r="A3360" s="10" t="str">
        <f>IF(3352&gt;$C$9008,"",INDEX($B$9:$B$9008,MATCH(3352,$C$9:$C$9008,0)))</f>
        <v/>
      </c>
      <c r="B3360" s="9" t="str">
        <f>IFERROR(INDEX(Input!$L$20:$T$1019,INT((ROW()-9)/9)+1,MOD(ROW()-9,9)+1),"")</f>
        <v/>
      </c>
      <c r="C3360" s="9">
        <f t="shared" si="52"/>
        <v>0</v>
      </c>
    </row>
    <row r="3361" spans="1:3" x14ac:dyDescent="0.2">
      <c r="A3361" s="10" t="str">
        <f>IF(3353&gt;$C$9008,"",INDEX($B$9:$B$9008,MATCH(3353,$C$9:$C$9008,0)))</f>
        <v/>
      </c>
      <c r="B3361" s="9" t="str">
        <f>IFERROR(INDEX(Input!$L$20:$T$1019,INT((ROW()-9)/9)+1,MOD(ROW()-9,9)+1),"")</f>
        <v/>
      </c>
      <c r="C3361" s="9">
        <f t="shared" si="52"/>
        <v>0</v>
      </c>
    </row>
    <row r="3362" spans="1:3" x14ac:dyDescent="0.2">
      <c r="A3362" s="10" t="str">
        <f>IF(3354&gt;$C$9008,"",INDEX($B$9:$B$9008,MATCH(3354,$C$9:$C$9008,0)))</f>
        <v/>
      </c>
      <c r="B3362" s="9" t="str">
        <f>IFERROR(INDEX(Input!$L$20:$T$1019,INT((ROW()-9)/9)+1,MOD(ROW()-9,9)+1),"")</f>
        <v/>
      </c>
      <c r="C3362" s="9">
        <f t="shared" si="52"/>
        <v>0</v>
      </c>
    </row>
    <row r="3363" spans="1:3" x14ac:dyDescent="0.2">
      <c r="A3363" s="10" t="str">
        <f>IF(3355&gt;$C$9008,"",INDEX($B$9:$B$9008,MATCH(3355,$C$9:$C$9008,0)))</f>
        <v/>
      </c>
      <c r="B3363" s="9" t="str">
        <f>IFERROR(INDEX(Input!$L$20:$T$1019,INT((ROW()-9)/9)+1,MOD(ROW()-9,9)+1),"")</f>
        <v/>
      </c>
      <c r="C3363" s="9">
        <f t="shared" si="52"/>
        <v>0</v>
      </c>
    </row>
    <row r="3364" spans="1:3" x14ac:dyDescent="0.2">
      <c r="A3364" s="10" t="str">
        <f>IF(3356&gt;$C$9008,"",INDEX($B$9:$B$9008,MATCH(3356,$C$9:$C$9008,0)))</f>
        <v/>
      </c>
      <c r="B3364" s="9" t="str">
        <f>IFERROR(INDEX(Input!$L$20:$T$1019,INT((ROW()-9)/9)+1,MOD(ROW()-9,9)+1),"")</f>
        <v/>
      </c>
      <c r="C3364" s="9">
        <f t="shared" si="52"/>
        <v>0</v>
      </c>
    </row>
    <row r="3365" spans="1:3" x14ac:dyDescent="0.2">
      <c r="A3365" s="10" t="str">
        <f>IF(3357&gt;$C$9008,"",INDEX($B$9:$B$9008,MATCH(3357,$C$9:$C$9008,0)))</f>
        <v/>
      </c>
      <c r="B3365" s="9" t="str">
        <f>IFERROR(INDEX(Input!$L$20:$T$1019,INT((ROW()-9)/9)+1,MOD(ROW()-9,9)+1),"")</f>
        <v/>
      </c>
      <c r="C3365" s="9">
        <f t="shared" si="52"/>
        <v>0</v>
      </c>
    </row>
    <row r="3366" spans="1:3" x14ac:dyDescent="0.2">
      <c r="A3366" s="10" t="str">
        <f>IF(3358&gt;$C$9008,"",INDEX($B$9:$B$9008,MATCH(3358,$C$9:$C$9008,0)))</f>
        <v/>
      </c>
      <c r="B3366" s="9" t="str">
        <f>IFERROR(INDEX(Input!$L$20:$T$1019,INT((ROW()-9)/9)+1,MOD(ROW()-9,9)+1),"")</f>
        <v/>
      </c>
      <c r="C3366" s="9">
        <f t="shared" si="52"/>
        <v>0</v>
      </c>
    </row>
    <row r="3367" spans="1:3" x14ac:dyDescent="0.2">
      <c r="A3367" s="10" t="str">
        <f>IF(3359&gt;$C$9008,"",INDEX($B$9:$B$9008,MATCH(3359,$C$9:$C$9008,0)))</f>
        <v/>
      </c>
      <c r="B3367" s="9" t="str">
        <f>IFERROR(INDEX(Input!$L$20:$T$1019,INT((ROW()-9)/9)+1,MOD(ROW()-9,9)+1),"")</f>
        <v/>
      </c>
      <c r="C3367" s="9">
        <f t="shared" si="52"/>
        <v>0</v>
      </c>
    </row>
    <row r="3368" spans="1:3" x14ac:dyDescent="0.2">
      <c r="A3368" s="10" t="str">
        <f>IF(3360&gt;$C$9008,"",INDEX($B$9:$B$9008,MATCH(3360,$C$9:$C$9008,0)))</f>
        <v/>
      </c>
      <c r="B3368" s="9" t="str">
        <f>IFERROR(INDEX(Input!$L$20:$T$1019,INT((ROW()-9)/9)+1,MOD(ROW()-9,9)+1),"")</f>
        <v/>
      </c>
      <c r="C3368" s="9">
        <f t="shared" si="52"/>
        <v>0</v>
      </c>
    </row>
    <row r="3369" spans="1:3" x14ac:dyDescent="0.2">
      <c r="A3369" s="10" t="str">
        <f>IF(3361&gt;$C$9008,"",INDEX($B$9:$B$9008,MATCH(3361,$C$9:$C$9008,0)))</f>
        <v/>
      </c>
      <c r="B3369" s="9" t="str">
        <f>IFERROR(INDEX(Input!$L$20:$T$1019,INT((ROW()-9)/9)+1,MOD(ROW()-9,9)+1),"")</f>
        <v/>
      </c>
      <c r="C3369" s="9">
        <f t="shared" si="52"/>
        <v>0</v>
      </c>
    </row>
    <row r="3370" spans="1:3" x14ac:dyDescent="0.2">
      <c r="A3370" s="10" t="str">
        <f>IF(3362&gt;$C$9008,"",INDEX($B$9:$B$9008,MATCH(3362,$C$9:$C$9008,0)))</f>
        <v/>
      </c>
      <c r="B3370" s="9" t="str">
        <f>IFERROR(INDEX(Input!$L$20:$T$1019,INT((ROW()-9)/9)+1,MOD(ROW()-9,9)+1),"")</f>
        <v/>
      </c>
      <c r="C3370" s="9">
        <f t="shared" si="52"/>
        <v>0</v>
      </c>
    </row>
    <row r="3371" spans="1:3" x14ac:dyDescent="0.2">
      <c r="A3371" s="10" t="str">
        <f>IF(3363&gt;$C$9008,"",INDEX($B$9:$B$9008,MATCH(3363,$C$9:$C$9008,0)))</f>
        <v/>
      </c>
      <c r="B3371" s="9" t="str">
        <f>IFERROR(INDEX(Input!$L$20:$T$1019,INT((ROW()-9)/9)+1,MOD(ROW()-9,9)+1),"")</f>
        <v/>
      </c>
      <c r="C3371" s="9">
        <f t="shared" si="52"/>
        <v>0</v>
      </c>
    </row>
    <row r="3372" spans="1:3" x14ac:dyDescent="0.2">
      <c r="A3372" s="10" t="str">
        <f>IF(3364&gt;$C$9008,"",INDEX($B$9:$B$9008,MATCH(3364,$C$9:$C$9008,0)))</f>
        <v/>
      </c>
      <c r="B3372" s="9" t="str">
        <f>IFERROR(INDEX(Input!$L$20:$T$1019,INT((ROW()-9)/9)+1,MOD(ROW()-9,9)+1),"")</f>
        <v/>
      </c>
      <c r="C3372" s="9">
        <f t="shared" si="52"/>
        <v>0</v>
      </c>
    </row>
    <row r="3373" spans="1:3" x14ac:dyDescent="0.2">
      <c r="A3373" s="10" t="str">
        <f>IF(3365&gt;$C$9008,"",INDEX($B$9:$B$9008,MATCH(3365,$C$9:$C$9008,0)))</f>
        <v/>
      </c>
      <c r="B3373" s="9" t="str">
        <f>IFERROR(INDEX(Input!$L$20:$T$1019,INT((ROW()-9)/9)+1,MOD(ROW()-9,9)+1),"")</f>
        <v/>
      </c>
      <c r="C3373" s="9">
        <f t="shared" si="52"/>
        <v>0</v>
      </c>
    </row>
    <row r="3374" spans="1:3" x14ac:dyDescent="0.2">
      <c r="A3374" s="10" t="str">
        <f>IF(3366&gt;$C$9008,"",INDEX($B$9:$B$9008,MATCH(3366,$C$9:$C$9008,0)))</f>
        <v/>
      </c>
      <c r="B3374" s="9" t="str">
        <f>IFERROR(INDEX(Input!$L$20:$T$1019,INT((ROW()-9)/9)+1,MOD(ROW()-9,9)+1),"")</f>
        <v/>
      </c>
      <c r="C3374" s="9">
        <f t="shared" si="52"/>
        <v>0</v>
      </c>
    </row>
    <row r="3375" spans="1:3" x14ac:dyDescent="0.2">
      <c r="A3375" s="10" t="str">
        <f>IF(3367&gt;$C$9008,"",INDEX($B$9:$B$9008,MATCH(3367,$C$9:$C$9008,0)))</f>
        <v/>
      </c>
      <c r="B3375" s="9" t="str">
        <f>IFERROR(INDEX(Input!$L$20:$T$1019,INT((ROW()-9)/9)+1,MOD(ROW()-9,9)+1),"")</f>
        <v/>
      </c>
      <c r="C3375" s="9">
        <f t="shared" si="52"/>
        <v>0</v>
      </c>
    </row>
    <row r="3376" spans="1:3" x14ac:dyDescent="0.2">
      <c r="A3376" s="10" t="str">
        <f>IF(3368&gt;$C$9008,"",INDEX($B$9:$B$9008,MATCH(3368,$C$9:$C$9008,0)))</f>
        <v/>
      </c>
      <c r="B3376" s="9" t="str">
        <f>IFERROR(INDEX(Input!$L$20:$T$1019,INT((ROW()-9)/9)+1,MOD(ROW()-9,9)+1),"")</f>
        <v/>
      </c>
      <c r="C3376" s="9">
        <f t="shared" si="52"/>
        <v>0</v>
      </c>
    </row>
    <row r="3377" spans="1:3" x14ac:dyDescent="0.2">
      <c r="A3377" s="10" t="str">
        <f>IF(3369&gt;$C$9008,"",INDEX($B$9:$B$9008,MATCH(3369,$C$9:$C$9008,0)))</f>
        <v/>
      </c>
      <c r="B3377" s="9" t="str">
        <f>IFERROR(INDEX(Input!$L$20:$T$1019,INT((ROW()-9)/9)+1,MOD(ROW()-9,9)+1),"")</f>
        <v/>
      </c>
      <c r="C3377" s="9">
        <f t="shared" si="52"/>
        <v>0</v>
      </c>
    </row>
    <row r="3378" spans="1:3" x14ac:dyDescent="0.2">
      <c r="A3378" s="10" t="str">
        <f>IF(3370&gt;$C$9008,"",INDEX($B$9:$B$9008,MATCH(3370,$C$9:$C$9008,0)))</f>
        <v/>
      </c>
      <c r="B3378" s="9" t="str">
        <f>IFERROR(INDEX(Input!$L$20:$T$1019,INT((ROW()-9)/9)+1,MOD(ROW()-9,9)+1),"")</f>
        <v/>
      </c>
      <c r="C3378" s="9">
        <f t="shared" si="52"/>
        <v>0</v>
      </c>
    </row>
    <row r="3379" spans="1:3" x14ac:dyDescent="0.2">
      <c r="A3379" s="10" t="str">
        <f>IF(3371&gt;$C$9008,"",INDEX($B$9:$B$9008,MATCH(3371,$C$9:$C$9008,0)))</f>
        <v/>
      </c>
      <c r="B3379" s="9" t="str">
        <f>IFERROR(INDEX(Input!$L$20:$T$1019,INT((ROW()-9)/9)+1,MOD(ROW()-9,9)+1),"")</f>
        <v/>
      </c>
      <c r="C3379" s="9">
        <f t="shared" si="52"/>
        <v>0</v>
      </c>
    </row>
    <row r="3380" spans="1:3" x14ac:dyDescent="0.2">
      <c r="A3380" s="10" t="str">
        <f>IF(3372&gt;$C$9008,"",INDEX($B$9:$B$9008,MATCH(3372,$C$9:$C$9008,0)))</f>
        <v/>
      </c>
      <c r="B3380" s="9" t="str">
        <f>IFERROR(INDEX(Input!$L$20:$T$1019,INT((ROW()-9)/9)+1,MOD(ROW()-9,9)+1),"")</f>
        <v/>
      </c>
      <c r="C3380" s="9">
        <f t="shared" si="52"/>
        <v>0</v>
      </c>
    </row>
    <row r="3381" spans="1:3" x14ac:dyDescent="0.2">
      <c r="A3381" s="10" t="str">
        <f>IF(3373&gt;$C$9008,"",INDEX($B$9:$B$9008,MATCH(3373,$C$9:$C$9008,0)))</f>
        <v/>
      </c>
      <c r="B3381" s="9" t="str">
        <f>IFERROR(INDEX(Input!$L$20:$T$1019,INT((ROW()-9)/9)+1,MOD(ROW()-9,9)+1),"")</f>
        <v/>
      </c>
      <c r="C3381" s="9">
        <f t="shared" si="52"/>
        <v>0</v>
      </c>
    </row>
    <row r="3382" spans="1:3" x14ac:dyDescent="0.2">
      <c r="A3382" s="10" t="str">
        <f>IF(3374&gt;$C$9008,"",INDEX($B$9:$B$9008,MATCH(3374,$C$9:$C$9008,0)))</f>
        <v/>
      </c>
      <c r="B3382" s="9" t="str">
        <f>IFERROR(INDEX(Input!$L$20:$T$1019,INT((ROW()-9)/9)+1,MOD(ROW()-9,9)+1),"")</f>
        <v/>
      </c>
      <c r="C3382" s="9">
        <f t="shared" si="52"/>
        <v>0</v>
      </c>
    </row>
    <row r="3383" spans="1:3" x14ac:dyDescent="0.2">
      <c r="A3383" s="10" t="str">
        <f>IF(3375&gt;$C$9008,"",INDEX($B$9:$B$9008,MATCH(3375,$C$9:$C$9008,0)))</f>
        <v/>
      </c>
      <c r="B3383" s="9" t="str">
        <f>IFERROR(INDEX(Input!$L$20:$T$1019,INT((ROW()-9)/9)+1,MOD(ROW()-9,9)+1),"")</f>
        <v/>
      </c>
      <c r="C3383" s="9">
        <f t="shared" si="52"/>
        <v>0</v>
      </c>
    </row>
    <row r="3384" spans="1:3" x14ac:dyDescent="0.2">
      <c r="A3384" s="10" t="str">
        <f>IF(3376&gt;$C$9008,"",INDEX($B$9:$B$9008,MATCH(3376,$C$9:$C$9008,0)))</f>
        <v/>
      </c>
      <c r="B3384" s="9" t="str">
        <f>IFERROR(INDEX(Input!$L$20:$T$1019,INT((ROW()-9)/9)+1,MOD(ROW()-9,9)+1),"")</f>
        <v/>
      </c>
      <c r="C3384" s="9">
        <f t="shared" si="52"/>
        <v>0</v>
      </c>
    </row>
    <row r="3385" spans="1:3" x14ac:dyDescent="0.2">
      <c r="A3385" s="10" t="str">
        <f>IF(3377&gt;$C$9008,"",INDEX($B$9:$B$9008,MATCH(3377,$C$9:$C$9008,0)))</f>
        <v/>
      </c>
      <c r="B3385" s="9" t="str">
        <f>IFERROR(INDEX(Input!$L$20:$T$1019,INT((ROW()-9)/9)+1,MOD(ROW()-9,9)+1),"")</f>
        <v/>
      </c>
      <c r="C3385" s="9">
        <f t="shared" si="52"/>
        <v>0</v>
      </c>
    </row>
    <row r="3386" spans="1:3" x14ac:dyDescent="0.2">
      <c r="A3386" s="10" t="str">
        <f>IF(3378&gt;$C$9008,"",INDEX($B$9:$B$9008,MATCH(3378,$C$9:$C$9008,0)))</f>
        <v/>
      </c>
      <c r="B3386" s="9" t="str">
        <f>IFERROR(INDEX(Input!$L$20:$T$1019,INT((ROW()-9)/9)+1,MOD(ROW()-9,9)+1),"")</f>
        <v/>
      </c>
      <c r="C3386" s="9">
        <f t="shared" si="52"/>
        <v>0</v>
      </c>
    </row>
    <row r="3387" spans="1:3" x14ac:dyDescent="0.2">
      <c r="A3387" s="10" t="str">
        <f>IF(3379&gt;$C$9008,"",INDEX($B$9:$B$9008,MATCH(3379,$C$9:$C$9008,0)))</f>
        <v/>
      </c>
      <c r="B3387" s="9" t="str">
        <f>IFERROR(INDEX(Input!$L$20:$T$1019,INT((ROW()-9)/9)+1,MOD(ROW()-9,9)+1),"")</f>
        <v/>
      </c>
      <c r="C3387" s="9">
        <f t="shared" si="52"/>
        <v>0</v>
      </c>
    </row>
    <row r="3388" spans="1:3" x14ac:dyDescent="0.2">
      <c r="A3388" s="10" t="str">
        <f>IF(3380&gt;$C$9008,"",INDEX($B$9:$B$9008,MATCH(3380,$C$9:$C$9008,0)))</f>
        <v/>
      </c>
      <c r="B3388" s="9" t="str">
        <f>IFERROR(INDEX(Input!$L$20:$T$1019,INT((ROW()-9)/9)+1,MOD(ROW()-9,9)+1),"")</f>
        <v/>
      </c>
      <c r="C3388" s="9">
        <f t="shared" si="52"/>
        <v>0</v>
      </c>
    </row>
    <row r="3389" spans="1:3" x14ac:dyDescent="0.2">
      <c r="A3389" s="10" t="str">
        <f>IF(3381&gt;$C$9008,"",INDEX($B$9:$B$9008,MATCH(3381,$C$9:$C$9008,0)))</f>
        <v/>
      </c>
      <c r="B3389" s="9" t="str">
        <f>IFERROR(INDEX(Input!$L$20:$T$1019,INT((ROW()-9)/9)+1,MOD(ROW()-9,9)+1),"")</f>
        <v/>
      </c>
      <c r="C3389" s="9">
        <f t="shared" si="52"/>
        <v>0</v>
      </c>
    </row>
    <row r="3390" spans="1:3" x14ac:dyDescent="0.2">
      <c r="A3390" s="10" t="str">
        <f>IF(3382&gt;$C$9008,"",INDEX($B$9:$B$9008,MATCH(3382,$C$9:$C$9008,0)))</f>
        <v/>
      </c>
      <c r="B3390" s="9" t="str">
        <f>IFERROR(INDEX(Input!$L$20:$T$1019,INT((ROW()-9)/9)+1,MOD(ROW()-9,9)+1),"")</f>
        <v/>
      </c>
      <c r="C3390" s="9">
        <f t="shared" si="52"/>
        <v>0</v>
      </c>
    </row>
    <row r="3391" spans="1:3" x14ac:dyDescent="0.2">
      <c r="A3391" s="10" t="str">
        <f>IF(3383&gt;$C$9008,"",INDEX($B$9:$B$9008,MATCH(3383,$C$9:$C$9008,0)))</f>
        <v/>
      </c>
      <c r="B3391" s="9" t="str">
        <f>IFERROR(INDEX(Input!$L$20:$T$1019,INT((ROW()-9)/9)+1,MOD(ROW()-9,9)+1),"")</f>
        <v/>
      </c>
      <c r="C3391" s="9">
        <f t="shared" si="52"/>
        <v>0</v>
      </c>
    </row>
    <row r="3392" spans="1:3" x14ac:dyDescent="0.2">
      <c r="A3392" s="10" t="str">
        <f>IF(3384&gt;$C$9008,"",INDEX($B$9:$B$9008,MATCH(3384,$C$9:$C$9008,0)))</f>
        <v/>
      </c>
      <c r="B3392" s="9" t="str">
        <f>IFERROR(INDEX(Input!$L$20:$T$1019,INT((ROW()-9)/9)+1,MOD(ROW()-9,9)+1),"")</f>
        <v/>
      </c>
      <c r="C3392" s="9">
        <f t="shared" si="52"/>
        <v>0</v>
      </c>
    </row>
    <row r="3393" spans="1:3" x14ac:dyDescent="0.2">
      <c r="A3393" s="10" t="str">
        <f>IF(3385&gt;$C$9008,"",INDEX($B$9:$B$9008,MATCH(3385,$C$9:$C$9008,0)))</f>
        <v/>
      </c>
      <c r="B3393" s="9" t="str">
        <f>IFERROR(INDEX(Input!$L$20:$T$1019,INT((ROW()-9)/9)+1,MOD(ROW()-9,9)+1),"")</f>
        <v/>
      </c>
      <c r="C3393" s="9">
        <f t="shared" si="52"/>
        <v>0</v>
      </c>
    </row>
    <row r="3394" spans="1:3" x14ac:dyDescent="0.2">
      <c r="A3394" s="10" t="str">
        <f>IF(3386&gt;$C$9008,"",INDEX($B$9:$B$9008,MATCH(3386,$C$9:$C$9008,0)))</f>
        <v/>
      </c>
      <c r="B3394" s="9" t="str">
        <f>IFERROR(INDEX(Input!$L$20:$T$1019,INT((ROW()-9)/9)+1,MOD(ROW()-9,9)+1),"")</f>
        <v/>
      </c>
      <c r="C3394" s="9">
        <f t="shared" si="52"/>
        <v>0</v>
      </c>
    </row>
    <row r="3395" spans="1:3" x14ac:dyDescent="0.2">
      <c r="A3395" s="10" t="str">
        <f>IF(3387&gt;$C$9008,"",INDEX($B$9:$B$9008,MATCH(3387,$C$9:$C$9008,0)))</f>
        <v/>
      </c>
      <c r="B3395" s="9" t="str">
        <f>IFERROR(INDEX(Input!$L$20:$T$1019,INT((ROW()-9)/9)+1,MOD(ROW()-9,9)+1),"")</f>
        <v/>
      </c>
      <c r="C3395" s="9">
        <f t="shared" si="52"/>
        <v>0</v>
      </c>
    </row>
    <row r="3396" spans="1:3" x14ac:dyDescent="0.2">
      <c r="A3396" s="10" t="str">
        <f>IF(3388&gt;$C$9008,"",INDEX($B$9:$B$9008,MATCH(3388,$C$9:$C$9008,0)))</f>
        <v/>
      </c>
      <c r="B3396" s="9" t="str">
        <f>IFERROR(INDEX(Input!$L$20:$T$1019,INT((ROW()-9)/9)+1,MOD(ROW()-9,9)+1),"")</f>
        <v/>
      </c>
      <c r="C3396" s="9">
        <f t="shared" si="52"/>
        <v>0</v>
      </c>
    </row>
    <row r="3397" spans="1:3" x14ac:dyDescent="0.2">
      <c r="A3397" s="10" t="str">
        <f>IF(3389&gt;$C$9008,"",INDEX($B$9:$B$9008,MATCH(3389,$C$9:$C$9008,0)))</f>
        <v/>
      </c>
      <c r="B3397" s="9" t="str">
        <f>IFERROR(INDEX(Input!$L$20:$T$1019,INT((ROW()-9)/9)+1,MOD(ROW()-9,9)+1),"")</f>
        <v/>
      </c>
      <c r="C3397" s="9">
        <f t="shared" si="52"/>
        <v>0</v>
      </c>
    </row>
    <row r="3398" spans="1:3" x14ac:dyDescent="0.2">
      <c r="A3398" s="10" t="str">
        <f>IF(3390&gt;$C$9008,"",INDEX($B$9:$B$9008,MATCH(3390,$C$9:$C$9008,0)))</f>
        <v/>
      </c>
      <c r="B3398" s="9" t="str">
        <f>IFERROR(INDEX(Input!$L$20:$T$1019,INT((ROW()-9)/9)+1,MOD(ROW()-9,9)+1),"")</f>
        <v/>
      </c>
      <c r="C3398" s="9">
        <f t="shared" si="52"/>
        <v>0</v>
      </c>
    </row>
    <row r="3399" spans="1:3" x14ac:dyDescent="0.2">
      <c r="A3399" s="10" t="str">
        <f>IF(3391&gt;$C$9008,"",INDEX($B$9:$B$9008,MATCH(3391,$C$9:$C$9008,0)))</f>
        <v/>
      </c>
      <c r="B3399" s="9" t="str">
        <f>IFERROR(INDEX(Input!$L$20:$T$1019,INT((ROW()-9)/9)+1,MOD(ROW()-9,9)+1),"")</f>
        <v/>
      </c>
      <c r="C3399" s="9">
        <f t="shared" si="52"/>
        <v>0</v>
      </c>
    </row>
    <row r="3400" spans="1:3" x14ac:dyDescent="0.2">
      <c r="A3400" s="10" t="str">
        <f>IF(3392&gt;$C$9008,"",INDEX($B$9:$B$9008,MATCH(3392,$C$9:$C$9008,0)))</f>
        <v/>
      </c>
      <c r="B3400" s="9" t="str">
        <f>IFERROR(INDEX(Input!$L$20:$T$1019,INT((ROW()-9)/9)+1,MOD(ROW()-9,9)+1),"")</f>
        <v/>
      </c>
      <c r="C3400" s="9">
        <f t="shared" si="52"/>
        <v>0</v>
      </c>
    </row>
    <row r="3401" spans="1:3" x14ac:dyDescent="0.2">
      <c r="A3401" s="10" t="str">
        <f>IF(3393&gt;$C$9008,"",INDEX($B$9:$B$9008,MATCH(3393,$C$9:$C$9008,0)))</f>
        <v/>
      </c>
      <c r="B3401" s="9" t="str">
        <f>IFERROR(INDEX(Input!$L$20:$T$1019,INT((ROW()-9)/9)+1,MOD(ROW()-9,9)+1),"")</f>
        <v/>
      </c>
      <c r="C3401" s="9">
        <f t="shared" ref="C3401:C3464" si="53">$C3400+IF($B3401&lt;&gt;"",1,0)</f>
        <v>0</v>
      </c>
    </row>
    <row r="3402" spans="1:3" x14ac:dyDescent="0.2">
      <c r="A3402" s="10" t="str">
        <f>IF(3394&gt;$C$9008,"",INDEX($B$9:$B$9008,MATCH(3394,$C$9:$C$9008,0)))</f>
        <v/>
      </c>
      <c r="B3402" s="9" t="str">
        <f>IFERROR(INDEX(Input!$L$20:$T$1019,INT((ROW()-9)/9)+1,MOD(ROW()-9,9)+1),"")</f>
        <v/>
      </c>
      <c r="C3402" s="9">
        <f t="shared" si="53"/>
        <v>0</v>
      </c>
    </row>
    <row r="3403" spans="1:3" x14ac:dyDescent="0.2">
      <c r="A3403" s="10" t="str">
        <f>IF(3395&gt;$C$9008,"",INDEX($B$9:$B$9008,MATCH(3395,$C$9:$C$9008,0)))</f>
        <v/>
      </c>
      <c r="B3403" s="9" t="str">
        <f>IFERROR(INDEX(Input!$L$20:$T$1019,INT((ROW()-9)/9)+1,MOD(ROW()-9,9)+1),"")</f>
        <v/>
      </c>
      <c r="C3403" s="9">
        <f t="shared" si="53"/>
        <v>0</v>
      </c>
    </row>
    <row r="3404" spans="1:3" x14ac:dyDescent="0.2">
      <c r="A3404" s="10" t="str">
        <f>IF(3396&gt;$C$9008,"",INDEX($B$9:$B$9008,MATCH(3396,$C$9:$C$9008,0)))</f>
        <v/>
      </c>
      <c r="B3404" s="9" t="str">
        <f>IFERROR(INDEX(Input!$L$20:$T$1019,INT((ROW()-9)/9)+1,MOD(ROW()-9,9)+1),"")</f>
        <v/>
      </c>
      <c r="C3404" s="9">
        <f t="shared" si="53"/>
        <v>0</v>
      </c>
    </row>
    <row r="3405" spans="1:3" x14ac:dyDescent="0.2">
      <c r="A3405" s="10" t="str">
        <f>IF(3397&gt;$C$9008,"",INDEX($B$9:$B$9008,MATCH(3397,$C$9:$C$9008,0)))</f>
        <v/>
      </c>
      <c r="B3405" s="9" t="str">
        <f>IFERROR(INDEX(Input!$L$20:$T$1019,INT((ROW()-9)/9)+1,MOD(ROW()-9,9)+1),"")</f>
        <v/>
      </c>
      <c r="C3405" s="9">
        <f t="shared" si="53"/>
        <v>0</v>
      </c>
    </row>
    <row r="3406" spans="1:3" x14ac:dyDescent="0.2">
      <c r="A3406" s="10" t="str">
        <f>IF(3398&gt;$C$9008,"",INDEX($B$9:$B$9008,MATCH(3398,$C$9:$C$9008,0)))</f>
        <v/>
      </c>
      <c r="B3406" s="9" t="str">
        <f>IFERROR(INDEX(Input!$L$20:$T$1019,INT((ROW()-9)/9)+1,MOD(ROW()-9,9)+1),"")</f>
        <v/>
      </c>
      <c r="C3406" s="9">
        <f t="shared" si="53"/>
        <v>0</v>
      </c>
    </row>
    <row r="3407" spans="1:3" x14ac:dyDescent="0.2">
      <c r="A3407" s="10" t="str">
        <f>IF(3399&gt;$C$9008,"",INDEX($B$9:$B$9008,MATCH(3399,$C$9:$C$9008,0)))</f>
        <v/>
      </c>
      <c r="B3407" s="9" t="str">
        <f>IFERROR(INDEX(Input!$L$20:$T$1019,INT((ROW()-9)/9)+1,MOD(ROW()-9,9)+1),"")</f>
        <v/>
      </c>
      <c r="C3407" s="9">
        <f t="shared" si="53"/>
        <v>0</v>
      </c>
    </row>
    <row r="3408" spans="1:3" x14ac:dyDescent="0.2">
      <c r="A3408" s="10" t="str">
        <f>IF(3400&gt;$C$9008,"",INDEX($B$9:$B$9008,MATCH(3400,$C$9:$C$9008,0)))</f>
        <v/>
      </c>
      <c r="B3408" s="9" t="str">
        <f>IFERROR(INDEX(Input!$L$20:$T$1019,INT((ROW()-9)/9)+1,MOD(ROW()-9,9)+1),"")</f>
        <v/>
      </c>
      <c r="C3408" s="9">
        <f t="shared" si="53"/>
        <v>0</v>
      </c>
    </row>
    <row r="3409" spans="1:3" x14ac:dyDescent="0.2">
      <c r="A3409" s="10" t="str">
        <f>IF(3401&gt;$C$9008,"",INDEX($B$9:$B$9008,MATCH(3401,$C$9:$C$9008,0)))</f>
        <v/>
      </c>
      <c r="B3409" s="9" t="str">
        <f>IFERROR(INDEX(Input!$L$20:$T$1019,INT((ROW()-9)/9)+1,MOD(ROW()-9,9)+1),"")</f>
        <v/>
      </c>
      <c r="C3409" s="9">
        <f t="shared" si="53"/>
        <v>0</v>
      </c>
    </row>
    <row r="3410" spans="1:3" x14ac:dyDescent="0.2">
      <c r="A3410" s="10" t="str">
        <f>IF(3402&gt;$C$9008,"",INDEX($B$9:$B$9008,MATCH(3402,$C$9:$C$9008,0)))</f>
        <v/>
      </c>
      <c r="B3410" s="9" t="str">
        <f>IFERROR(INDEX(Input!$L$20:$T$1019,INT((ROW()-9)/9)+1,MOD(ROW()-9,9)+1),"")</f>
        <v/>
      </c>
      <c r="C3410" s="9">
        <f t="shared" si="53"/>
        <v>0</v>
      </c>
    </row>
    <row r="3411" spans="1:3" x14ac:dyDescent="0.2">
      <c r="A3411" s="10" t="str">
        <f>IF(3403&gt;$C$9008,"",INDEX($B$9:$B$9008,MATCH(3403,$C$9:$C$9008,0)))</f>
        <v/>
      </c>
      <c r="B3411" s="9" t="str">
        <f>IFERROR(INDEX(Input!$L$20:$T$1019,INT((ROW()-9)/9)+1,MOD(ROW()-9,9)+1),"")</f>
        <v/>
      </c>
      <c r="C3411" s="9">
        <f t="shared" si="53"/>
        <v>0</v>
      </c>
    </row>
    <row r="3412" spans="1:3" x14ac:dyDescent="0.2">
      <c r="A3412" s="10" t="str">
        <f>IF(3404&gt;$C$9008,"",INDEX($B$9:$B$9008,MATCH(3404,$C$9:$C$9008,0)))</f>
        <v/>
      </c>
      <c r="B3412" s="9" t="str">
        <f>IFERROR(INDEX(Input!$L$20:$T$1019,INT((ROW()-9)/9)+1,MOD(ROW()-9,9)+1),"")</f>
        <v/>
      </c>
      <c r="C3412" s="9">
        <f t="shared" si="53"/>
        <v>0</v>
      </c>
    </row>
    <row r="3413" spans="1:3" x14ac:dyDescent="0.2">
      <c r="A3413" s="10" t="str">
        <f>IF(3405&gt;$C$9008,"",INDEX($B$9:$B$9008,MATCH(3405,$C$9:$C$9008,0)))</f>
        <v/>
      </c>
      <c r="B3413" s="9" t="str">
        <f>IFERROR(INDEX(Input!$L$20:$T$1019,INT((ROW()-9)/9)+1,MOD(ROW()-9,9)+1),"")</f>
        <v/>
      </c>
      <c r="C3413" s="9">
        <f t="shared" si="53"/>
        <v>0</v>
      </c>
    </row>
    <row r="3414" spans="1:3" x14ac:dyDescent="0.2">
      <c r="A3414" s="10" t="str">
        <f>IF(3406&gt;$C$9008,"",INDEX($B$9:$B$9008,MATCH(3406,$C$9:$C$9008,0)))</f>
        <v/>
      </c>
      <c r="B3414" s="9" t="str">
        <f>IFERROR(INDEX(Input!$L$20:$T$1019,INT((ROW()-9)/9)+1,MOD(ROW()-9,9)+1),"")</f>
        <v/>
      </c>
      <c r="C3414" s="9">
        <f t="shared" si="53"/>
        <v>0</v>
      </c>
    </row>
    <row r="3415" spans="1:3" x14ac:dyDescent="0.2">
      <c r="A3415" s="10" t="str">
        <f>IF(3407&gt;$C$9008,"",INDEX($B$9:$B$9008,MATCH(3407,$C$9:$C$9008,0)))</f>
        <v/>
      </c>
      <c r="B3415" s="9" t="str">
        <f>IFERROR(INDEX(Input!$L$20:$T$1019,INT((ROW()-9)/9)+1,MOD(ROW()-9,9)+1),"")</f>
        <v/>
      </c>
      <c r="C3415" s="9">
        <f t="shared" si="53"/>
        <v>0</v>
      </c>
    </row>
    <row r="3416" spans="1:3" x14ac:dyDescent="0.2">
      <c r="A3416" s="10" t="str">
        <f>IF(3408&gt;$C$9008,"",INDEX($B$9:$B$9008,MATCH(3408,$C$9:$C$9008,0)))</f>
        <v/>
      </c>
      <c r="B3416" s="9" t="str">
        <f>IFERROR(INDEX(Input!$L$20:$T$1019,INT((ROW()-9)/9)+1,MOD(ROW()-9,9)+1),"")</f>
        <v/>
      </c>
      <c r="C3416" s="9">
        <f t="shared" si="53"/>
        <v>0</v>
      </c>
    </row>
    <row r="3417" spans="1:3" x14ac:dyDescent="0.2">
      <c r="A3417" s="10" t="str">
        <f>IF(3409&gt;$C$9008,"",INDEX($B$9:$B$9008,MATCH(3409,$C$9:$C$9008,0)))</f>
        <v/>
      </c>
      <c r="B3417" s="9" t="str">
        <f>IFERROR(INDEX(Input!$L$20:$T$1019,INT((ROW()-9)/9)+1,MOD(ROW()-9,9)+1),"")</f>
        <v/>
      </c>
      <c r="C3417" s="9">
        <f t="shared" si="53"/>
        <v>0</v>
      </c>
    </row>
    <row r="3418" spans="1:3" x14ac:dyDescent="0.2">
      <c r="A3418" s="10" t="str">
        <f>IF(3410&gt;$C$9008,"",INDEX($B$9:$B$9008,MATCH(3410,$C$9:$C$9008,0)))</f>
        <v/>
      </c>
      <c r="B3418" s="9" t="str">
        <f>IFERROR(INDEX(Input!$L$20:$T$1019,INT((ROW()-9)/9)+1,MOD(ROW()-9,9)+1),"")</f>
        <v/>
      </c>
      <c r="C3418" s="9">
        <f t="shared" si="53"/>
        <v>0</v>
      </c>
    </row>
    <row r="3419" spans="1:3" x14ac:dyDescent="0.2">
      <c r="A3419" s="10" t="str">
        <f>IF(3411&gt;$C$9008,"",INDEX($B$9:$B$9008,MATCH(3411,$C$9:$C$9008,0)))</f>
        <v/>
      </c>
      <c r="B3419" s="9" t="str">
        <f>IFERROR(INDEX(Input!$L$20:$T$1019,INT((ROW()-9)/9)+1,MOD(ROW()-9,9)+1),"")</f>
        <v/>
      </c>
      <c r="C3419" s="9">
        <f t="shared" si="53"/>
        <v>0</v>
      </c>
    </row>
    <row r="3420" spans="1:3" x14ac:dyDescent="0.2">
      <c r="A3420" s="10" t="str">
        <f>IF(3412&gt;$C$9008,"",INDEX($B$9:$B$9008,MATCH(3412,$C$9:$C$9008,0)))</f>
        <v/>
      </c>
      <c r="B3420" s="9" t="str">
        <f>IFERROR(INDEX(Input!$L$20:$T$1019,INT((ROW()-9)/9)+1,MOD(ROW()-9,9)+1),"")</f>
        <v/>
      </c>
      <c r="C3420" s="9">
        <f t="shared" si="53"/>
        <v>0</v>
      </c>
    </row>
    <row r="3421" spans="1:3" x14ac:dyDescent="0.2">
      <c r="A3421" s="10" t="str">
        <f>IF(3413&gt;$C$9008,"",INDEX($B$9:$B$9008,MATCH(3413,$C$9:$C$9008,0)))</f>
        <v/>
      </c>
      <c r="B3421" s="9" t="str">
        <f>IFERROR(INDEX(Input!$L$20:$T$1019,INT((ROW()-9)/9)+1,MOD(ROW()-9,9)+1),"")</f>
        <v/>
      </c>
      <c r="C3421" s="9">
        <f t="shared" si="53"/>
        <v>0</v>
      </c>
    </row>
    <row r="3422" spans="1:3" x14ac:dyDescent="0.2">
      <c r="A3422" s="10" t="str">
        <f>IF(3414&gt;$C$9008,"",INDEX($B$9:$B$9008,MATCH(3414,$C$9:$C$9008,0)))</f>
        <v/>
      </c>
      <c r="B3422" s="9" t="str">
        <f>IFERROR(INDEX(Input!$L$20:$T$1019,INT((ROW()-9)/9)+1,MOD(ROW()-9,9)+1),"")</f>
        <v/>
      </c>
      <c r="C3422" s="9">
        <f t="shared" si="53"/>
        <v>0</v>
      </c>
    </row>
    <row r="3423" spans="1:3" x14ac:dyDescent="0.2">
      <c r="A3423" s="10" t="str">
        <f>IF(3415&gt;$C$9008,"",INDEX($B$9:$B$9008,MATCH(3415,$C$9:$C$9008,0)))</f>
        <v/>
      </c>
      <c r="B3423" s="9" t="str">
        <f>IFERROR(INDEX(Input!$L$20:$T$1019,INT((ROW()-9)/9)+1,MOD(ROW()-9,9)+1),"")</f>
        <v/>
      </c>
      <c r="C3423" s="9">
        <f t="shared" si="53"/>
        <v>0</v>
      </c>
    </row>
    <row r="3424" spans="1:3" x14ac:dyDescent="0.2">
      <c r="A3424" s="10" t="str">
        <f>IF(3416&gt;$C$9008,"",INDEX($B$9:$B$9008,MATCH(3416,$C$9:$C$9008,0)))</f>
        <v/>
      </c>
      <c r="B3424" s="9" t="str">
        <f>IFERROR(INDEX(Input!$L$20:$T$1019,INT((ROW()-9)/9)+1,MOD(ROW()-9,9)+1),"")</f>
        <v/>
      </c>
      <c r="C3424" s="9">
        <f t="shared" si="53"/>
        <v>0</v>
      </c>
    </row>
    <row r="3425" spans="1:3" x14ac:dyDescent="0.2">
      <c r="A3425" s="10" t="str">
        <f>IF(3417&gt;$C$9008,"",INDEX($B$9:$B$9008,MATCH(3417,$C$9:$C$9008,0)))</f>
        <v/>
      </c>
      <c r="B3425" s="9" t="str">
        <f>IFERROR(INDEX(Input!$L$20:$T$1019,INT((ROW()-9)/9)+1,MOD(ROW()-9,9)+1),"")</f>
        <v/>
      </c>
      <c r="C3425" s="9">
        <f t="shared" si="53"/>
        <v>0</v>
      </c>
    </row>
    <row r="3426" spans="1:3" x14ac:dyDescent="0.2">
      <c r="A3426" s="10" t="str">
        <f>IF(3418&gt;$C$9008,"",INDEX($B$9:$B$9008,MATCH(3418,$C$9:$C$9008,0)))</f>
        <v/>
      </c>
      <c r="B3426" s="9" t="str">
        <f>IFERROR(INDEX(Input!$L$20:$T$1019,INT((ROW()-9)/9)+1,MOD(ROW()-9,9)+1),"")</f>
        <v/>
      </c>
      <c r="C3426" s="9">
        <f t="shared" si="53"/>
        <v>0</v>
      </c>
    </row>
    <row r="3427" spans="1:3" x14ac:dyDescent="0.2">
      <c r="A3427" s="10" t="str">
        <f>IF(3419&gt;$C$9008,"",INDEX($B$9:$B$9008,MATCH(3419,$C$9:$C$9008,0)))</f>
        <v/>
      </c>
      <c r="B3427" s="9" t="str">
        <f>IFERROR(INDEX(Input!$L$20:$T$1019,INT((ROW()-9)/9)+1,MOD(ROW()-9,9)+1),"")</f>
        <v/>
      </c>
      <c r="C3427" s="9">
        <f t="shared" si="53"/>
        <v>0</v>
      </c>
    </row>
    <row r="3428" spans="1:3" x14ac:dyDescent="0.2">
      <c r="A3428" s="10" t="str">
        <f>IF(3420&gt;$C$9008,"",INDEX($B$9:$B$9008,MATCH(3420,$C$9:$C$9008,0)))</f>
        <v/>
      </c>
      <c r="B3428" s="9" t="str">
        <f>IFERROR(INDEX(Input!$L$20:$T$1019,INT((ROW()-9)/9)+1,MOD(ROW()-9,9)+1),"")</f>
        <v/>
      </c>
      <c r="C3428" s="9">
        <f t="shared" si="53"/>
        <v>0</v>
      </c>
    </row>
    <row r="3429" spans="1:3" x14ac:dyDescent="0.2">
      <c r="A3429" s="10" t="str">
        <f>IF(3421&gt;$C$9008,"",INDEX($B$9:$B$9008,MATCH(3421,$C$9:$C$9008,0)))</f>
        <v/>
      </c>
      <c r="B3429" s="9" t="str">
        <f>IFERROR(INDEX(Input!$L$20:$T$1019,INT((ROW()-9)/9)+1,MOD(ROW()-9,9)+1),"")</f>
        <v/>
      </c>
      <c r="C3429" s="9">
        <f t="shared" si="53"/>
        <v>0</v>
      </c>
    </row>
    <row r="3430" spans="1:3" x14ac:dyDescent="0.2">
      <c r="A3430" s="10" t="str">
        <f>IF(3422&gt;$C$9008,"",INDEX($B$9:$B$9008,MATCH(3422,$C$9:$C$9008,0)))</f>
        <v/>
      </c>
      <c r="B3430" s="9" t="str">
        <f>IFERROR(INDEX(Input!$L$20:$T$1019,INT((ROW()-9)/9)+1,MOD(ROW()-9,9)+1),"")</f>
        <v/>
      </c>
      <c r="C3430" s="9">
        <f t="shared" si="53"/>
        <v>0</v>
      </c>
    </row>
    <row r="3431" spans="1:3" x14ac:dyDescent="0.2">
      <c r="A3431" s="10" t="str">
        <f>IF(3423&gt;$C$9008,"",INDEX($B$9:$B$9008,MATCH(3423,$C$9:$C$9008,0)))</f>
        <v/>
      </c>
      <c r="B3431" s="9" t="str">
        <f>IFERROR(INDEX(Input!$L$20:$T$1019,INT((ROW()-9)/9)+1,MOD(ROW()-9,9)+1),"")</f>
        <v/>
      </c>
      <c r="C3431" s="9">
        <f t="shared" si="53"/>
        <v>0</v>
      </c>
    </row>
    <row r="3432" spans="1:3" x14ac:dyDescent="0.2">
      <c r="A3432" s="10" t="str">
        <f>IF(3424&gt;$C$9008,"",INDEX($B$9:$B$9008,MATCH(3424,$C$9:$C$9008,0)))</f>
        <v/>
      </c>
      <c r="B3432" s="9" t="str">
        <f>IFERROR(INDEX(Input!$L$20:$T$1019,INT((ROW()-9)/9)+1,MOD(ROW()-9,9)+1),"")</f>
        <v/>
      </c>
      <c r="C3432" s="9">
        <f t="shared" si="53"/>
        <v>0</v>
      </c>
    </row>
    <row r="3433" spans="1:3" x14ac:dyDescent="0.2">
      <c r="A3433" s="10" t="str">
        <f>IF(3425&gt;$C$9008,"",INDEX($B$9:$B$9008,MATCH(3425,$C$9:$C$9008,0)))</f>
        <v/>
      </c>
      <c r="B3433" s="9" t="str">
        <f>IFERROR(INDEX(Input!$L$20:$T$1019,INT((ROW()-9)/9)+1,MOD(ROW()-9,9)+1),"")</f>
        <v/>
      </c>
      <c r="C3433" s="9">
        <f t="shared" si="53"/>
        <v>0</v>
      </c>
    </row>
    <row r="3434" spans="1:3" x14ac:dyDescent="0.2">
      <c r="A3434" s="10" t="str">
        <f>IF(3426&gt;$C$9008,"",INDEX($B$9:$B$9008,MATCH(3426,$C$9:$C$9008,0)))</f>
        <v/>
      </c>
      <c r="B3434" s="9" t="str">
        <f>IFERROR(INDEX(Input!$L$20:$T$1019,INT((ROW()-9)/9)+1,MOD(ROW()-9,9)+1),"")</f>
        <v/>
      </c>
      <c r="C3434" s="9">
        <f t="shared" si="53"/>
        <v>0</v>
      </c>
    </row>
    <row r="3435" spans="1:3" x14ac:dyDescent="0.2">
      <c r="A3435" s="10" t="str">
        <f>IF(3427&gt;$C$9008,"",INDEX($B$9:$B$9008,MATCH(3427,$C$9:$C$9008,0)))</f>
        <v/>
      </c>
      <c r="B3435" s="9" t="str">
        <f>IFERROR(INDEX(Input!$L$20:$T$1019,INT((ROW()-9)/9)+1,MOD(ROW()-9,9)+1),"")</f>
        <v/>
      </c>
      <c r="C3435" s="9">
        <f t="shared" si="53"/>
        <v>0</v>
      </c>
    </row>
    <row r="3436" spans="1:3" x14ac:dyDescent="0.2">
      <c r="A3436" s="10" t="str">
        <f>IF(3428&gt;$C$9008,"",INDEX($B$9:$B$9008,MATCH(3428,$C$9:$C$9008,0)))</f>
        <v/>
      </c>
      <c r="B3436" s="9" t="str">
        <f>IFERROR(INDEX(Input!$L$20:$T$1019,INT((ROW()-9)/9)+1,MOD(ROW()-9,9)+1),"")</f>
        <v/>
      </c>
      <c r="C3436" s="9">
        <f t="shared" si="53"/>
        <v>0</v>
      </c>
    </row>
    <row r="3437" spans="1:3" x14ac:dyDescent="0.2">
      <c r="A3437" s="10" t="str">
        <f>IF(3429&gt;$C$9008,"",INDEX($B$9:$B$9008,MATCH(3429,$C$9:$C$9008,0)))</f>
        <v/>
      </c>
      <c r="B3437" s="9" t="str">
        <f>IFERROR(INDEX(Input!$L$20:$T$1019,INT((ROW()-9)/9)+1,MOD(ROW()-9,9)+1),"")</f>
        <v/>
      </c>
      <c r="C3437" s="9">
        <f t="shared" si="53"/>
        <v>0</v>
      </c>
    </row>
    <row r="3438" spans="1:3" x14ac:dyDescent="0.2">
      <c r="A3438" s="10" t="str">
        <f>IF(3430&gt;$C$9008,"",INDEX($B$9:$B$9008,MATCH(3430,$C$9:$C$9008,0)))</f>
        <v/>
      </c>
      <c r="B3438" s="9" t="str">
        <f>IFERROR(INDEX(Input!$L$20:$T$1019,INT((ROW()-9)/9)+1,MOD(ROW()-9,9)+1),"")</f>
        <v/>
      </c>
      <c r="C3438" s="9">
        <f t="shared" si="53"/>
        <v>0</v>
      </c>
    </row>
    <row r="3439" spans="1:3" x14ac:dyDescent="0.2">
      <c r="A3439" s="10" t="str">
        <f>IF(3431&gt;$C$9008,"",INDEX($B$9:$B$9008,MATCH(3431,$C$9:$C$9008,0)))</f>
        <v/>
      </c>
      <c r="B3439" s="9" t="str">
        <f>IFERROR(INDEX(Input!$L$20:$T$1019,INT((ROW()-9)/9)+1,MOD(ROW()-9,9)+1),"")</f>
        <v/>
      </c>
      <c r="C3439" s="9">
        <f t="shared" si="53"/>
        <v>0</v>
      </c>
    </row>
    <row r="3440" spans="1:3" x14ac:dyDescent="0.2">
      <c r="A3440" s="10" t="str">
        <f>IF(3432&gt;$C$9008,"",INDEX($B$9:$B$9008,MATCH(3432,$C$9:$C$9008,0)))</f>
        <v/>
      </c>
      <c r="B3440" s="9" t="str">
        <f>IFERROR(INDEX(Input!$L$20:$T$1019,INT((ROW()-9)/9)+1,MOD(ROW()-9,9)+1),"")</f>
        <v/>
      </c>
      <c r="C3440" s="9">
        <f t="shared" si="53"/>
        <v>0</v>
      </c>
    </row>
    <row r="3441" spans="1:3" x14ac:dyDescent="0.2">
      <c r="A3441" s="10" t="str">
        <f>IF(3433&gt;$C$9008,"",INDEX($B$9:$B$9008,MATCH(3433,$C$9:$C$9008,0)))</f>
        <v/>
      </c>
      <c r="B3441" s="9" t="str">
        <f>IFERROR(INDEX(Input!$L$20:$T$1019,INT((ROW()-9)/9)+1,MOD(ROW()-9,9)+1),"")</f>
        <v/>
      </c>
      <c r="C3441" s="9">
        <f t="shared" si="53"/>
        <v>0</v>
      </c>
    </row>
    <row r="3442" spans="1:3" x14ac:dyDescent="0.2">
      <c r="A3442" s="10" t="str">
        <f>IF(3434&gt;$C$9008,"",INDEX($B$9:$B$9008,MATCH(3434,$C$9:$C$9008,0)))</f>
        <v/>
      </c>
      <c r="B3442" s="9" t="str">
        <f>IFERROR(INDEX(Input!$L$20:$T$1019,INT((ROW()-9)/9)+1,MOD(ROW()-9,9)+1),"")</f>
        <v/>
      </c>
      <c r="C3442" s="9">
        <f t="shared" si="53"/>
        <v>0</v>
      </c>
    </row>
    <row r="3443" spans="1:3" x14ac:dyDescent="0.2">
      <c r="A3443" s="10" t="str">
        <f>IF(3435&gt;$C$9008,"",INDEX($B$9:$B$9008,MATCH(3435,$C$9:$C$9008,0)))</f>
        <v/>
      </c>
      <c r="B3443" s="9" t="str">
        <f>IFERROR(INDEX(Input!$L$20:$T$1019,INT((ROW()-9)/9)+1,MOD(ROW()-9,9)+1),"")</f>
        <v/>
      </c>
      <c r="C3443" s="9">
        <f t="shared" si="53"/>
        <v>0</v>
      </c>
    </row>
    <row r="3444" spans="1:3" x14ac:dyDescent="0.2">
      <c r="A3444" s="10" t="str">
        <f>IF(3436&gt;$C$9008,"",INDEX($B$9:$B$9008,MATCH(3436,$C$9:$C$9008,0)))</f>
        <v/>
      </c>
      <c r="B3444" s="9" t="str">
        <f>IFERROR(INDEX(Input!$L$20:$T$1019,INT((ROW()-9)/9)+1,MOD(ROW()-9,9)+1),"")</f>
        <v/>
      </c>
      <c r="C3444" s="9">
        <f t="shared" si="53"/>
        <v>0</v>
      </c>
    </row>
    <row r="3445" spans="1:3" x14ac:dyDescent="0.2">
      <c r="A3445" s="10" t="str">
        <f>IF(3437&gt;$C$9008,"",INDEX($B$9:$B$9008,MATCH(3437,$C$9:$C$9008,0)))</f>
        <v/>
      </c>
      <c r="B3445" s="9" t="str">
        <f>IFERROR(INDEX(Input!$L$20:$T$1019,INT((ROW()-9)/9)+1,MOD(ROW()-9,9)+1),"")</f>
        <v/>
      </c>
      <c r="C3445" s="9">
        <f t="shared" si="53"/>
        <v>0</v>
      </c>
    </row>
    <row r="3446" spans="1:3" x14ac:dyDescent="0.2">
      <c r="A3446" s="10" t="str">
        <f>IF(3438&gt;$C$9008,"",INDEX($B$9:$B$9008,MATCH(3438,$C$9:$C$9008,0)))</f>
        <v/>
      </c>
      <c r="B3446" s="9" t="str">
        <f>IFERROR(INDEX(Input!$L$20:$T$1019,INT((ROW()-9)/9)+1,MOD(ROW()-9,9)+1),"")</f>
        <v/>
      </c>
      <c r="C3446" s="9">
        <f t="shared" si="53"/>
        <v>0</v>
      </c>
    </row>
    <row r="3447" spans="1:3" x14ac:dyDescent="0.2">
      <c r="A3447" s="10" t="str">
        <f>IF(3439&gt;$C$9008,"",INDEX($B$9:$B$9008,MATCH(3439,$C$9:$C$9008,0)))</f>
        <v/>
      </c>
      <c r="B3447" s="9" t="str">
        <f>IFERROR(INDEX(Input!$L$20:$T$1019,INT((ROW()-9)/9)+1,MOD(ROW()-9,9)+1),"")</f>
        <v/>
      </c>
      <c r="C3447" s="9">
        <f t="shared" si="53"/>
        <v>0</v>
      </c>
    </row>
    <row r="3448" spans="1:3" x14ac:dyDescent="0.2">
      <c r="A3448" s="10" t="str">
        <f>IF(3440&gt;$C$9008,"",INDEX($B$9:$B$9008,MATCH(3440,$C$9:$C$9008,0)))</f>
        <v/>
      </c>
      <c r="B3448" s="9" t="str">
        <f>IFERROR(INDEX(Input!$L$20:$T$1019,INT((ROW()-9)/9)+1,MOD(ROW()-9,9)+1),"")</f>
        <v/>
      </c>
      <c r="C3448" s="9">
        <f t="shared" si="53"/>
        <v>0</v>
      </c>
    </row>
    <row r="3449" spans="1:3" x14ac:dyDescent="0.2">
      <c r="A3449" s="10" t="str">
        <f>IF(3441&gt;$C$9008,"",INDEX($B$9:$B$9008,MATCH(3441,$C$9:$C$9008,0)))</f>
        <v/>
      </c>
      <c r="B3449" s="9" t="str">
        <f>IFERROR(INDEX(Input!$L$20:$T$1019,INT((ROW()-9)/9)+1,MOD(ROW()-9,9)+1),"")</f>
        <v/>
      </c>
      <c r="C3449" s="9">
        <f t="shared" si="53"/>
        <v>0</v>
      </c>
    </row>
    <row r="3450" spans="1:3" x14ac:dyDescent="0.2">
      <c r="A3450" s="10" t="str">
        <f>IF(3442&gt;$C$9008,"",INDEX($B$9:$B$9008,MATCH(3442,$C$9:$C$9008,0)))</f>
        <v/>
      </c>
      <c r="B3450" s="9" t="str">
        <f>IFERROR(INDEX(Input!$L$20:$T$1019,INT((ROW()-9)/9)+1,MOD(ROW()-9,9)+1),"")</f>
        <v/>
      </c>
      <c r="C3450" s="9">
        <f t="shared" si="53"/>
        <v>0</v>
      </c>
    </row>
    <row r="3451" spans="1:3" x14ac:dyDescent="0.2">
      <c r="A3451" s="10" t="str">
        <f>IF(3443&gt;$C$9008,"",INDEX($B$9:$B$9008,MATCH(3443,$C$9:$C$9008,0)))</f>
        <v/>
      </c>
      <c r="B3451" s="9" t="str">
        <f>IFERROR(INDEX(Input!$L$20:$T$1019,INT((ROW()-9)/9)+1,MOD(ROW()-9,9)+1),"")</f>
        <v/>
      </c>
      <c r="C3451" s="9">
        <f t="shared" si="53"/>
        <v>0</v>
      </c>
    </row>
    <row r="3452" spans="1:3" x14ac:dyDescent="0.2">
      <c r="A3452" s="10" t="str">
        <f>IF(3444&gt;$C$9008,"",INDEX($B$9:$B$9008,MATCH(3444,$C$9:$C$9008,0)))</f>
        <v/>
      </c>
      <c r="B3452" s="9" t="str">
        <f>IFERROR(INDEX(Input!$L$20:$T$1019,INT((ROW()-9)/9)+1,MOD(ROW()-9,9)+1),"")</f>
        <v/>
      </c>
      <c r="C3452" s="9">
        <f t="shared" si="53"/>
        <v>0</v>
      </c>
    </row>
    <row r="3453" spans="1:3" x14ac:dyDescent="0.2">
      <c r="A3453" s="10" t="str">
        <f>IF(3445&gt;$C$9008,"",INDEX($B$9:$B$9008,MATCH(3445,$C$9:$C$9008,0)))</f>
        <v/>
      </c>
      <c r="B3453" s="9" t="str">
        <f>IFERROR(INDEX(Input!$L$20:$T$1019,INT((ROW()-9)/9)+1,MOD(ROW()-9,9)+1),"")</f>
        <v/>
      </c>
      <c r="C3453" s="9">
        <f t="shared" si="53"/>
        <v>0</v>
      </c>
    </row>
    <row r="3454" spans="1:3" x14ac:dyDescent="0.2">
      <c r="A3454" s="10" t="str">
        <f>IF(3446&gt;$C$9008,"",INDEX($B$9:$B$9008,MATCH(3446,$C$9:$C$9008,0)))</f>
        <v/>
      </c>
      <c r="B3454" s="9" t="str">
        <f>IFERROR(INDEX(Input!$L$20:$T$1019,INT((ROW()-9)/9)+1,MOD(ROW()-9,9)+1),"")</f>
        <v/>
      </c>
      <c r="C3454" s="9">
        <f t="shared" si="53"/>
        <v>0</v>
      </c>
    </row>
    <row r="3455" spans="1:3" x14ac:dyDescent="0.2">
      <c r="A3455" s="10" t="str">
        <f>IF(3447&gt;$C$9008,"",INDEX($B$9:$B$9008,MATCH(3447,$C$9:$C$9008,0)))</f>
        <v/>
      </c>
      <c r="B3455" s="9" t="str">
        <f>IFERROR(INDEX(Input!$L$20:$T$1019,INT((ROW()-9)/9)+1,MOD(ROW()-9,9)+1),"")</f>
        <v/>
      </c>
      <c r="C3455" s="9">
        <f t="shared" si="53"/>
        <v>0</v>
      </c>
    </row>
    <row r="3456" spans="1:3" x14ac:dyDescent="0.2">
      <c r="A3456" s="10" t="str">
        <f>IF(3448&gt;$C$9008,"",INDEX($B$9:$B$9008,MATCH(3448,$C$9:$C$9008,0)))</f>
        <v/>
      </c>
      <c r="B3456" s="9" t="str">
        <f>IFERROR(INDEX(Input!$L$20:$T$1019,INT((ROW()-9)/9)+1,MOD(ROW()-9,9)+1),"")</f>
        <v/>
      </c>
      <c r="C3456" s="9">
        <f t="shared" si="53"/>
        <v>0</v>
      </c>
    </row>
    <row r="3457" spans="1:3" x14ac:dyDescent="0.2">
      <c r="A3457" s="10" t="str">
        <f>IF(3449&gt;$C$9008,"",INDEX($B$9:$B$9008,MATCH(3449,$C$9:$C$9008,0)))</f>
        <v/>
      </c>
      <c r="B3457" s="9" t="str">
        <f>IFERROR(INDEX(Input!$L$20:$T$1019,INT((ROW()-9)/9)+1,MOD(ROW()-9,9)+1),"")</f>
        <v/>
      </c>
      <c r="C3457" s="9">
        <f t="shared" si="53"/>
        <v>0</v>
      </c>
    </row>
    <row r="3458" spans="1:3" x14ac:dyDescent="0.2">
      <c r="A3458" s="10" t="str">
        <f>IF(3450&gt;$C$9008,"",INDEX($B$9:$B$9008,MATCH(3450,$C$9:$C$9008,0)))</f>
        <v/>
      </c>
      <c r="B3458" s="9" t="str">
        <f>IFERROR(INDEX(Input!$L$20:$T$1019,INT((ROW()-9)/9)+1,MOD(ROW()-9,9)+1),"")</f>
        <v/>
      </c>
      <c r="C3458" s="9">
        <f t="shared" si="53"/>
        <v>0</v>
      </c>
    </row>
    <row r="3459" spans="1:3" x14ac:dyDescent="0.2">
      <c r="A3459" s="10" t="str">
        <f>IF(3451&gt;$C$9008,"",INDEX($B$9:$B$9008,MATCH(3451,$C$9:$C$9008,0)))</f>
        <v/>
      </c>
      <c r="B3459" s="9" t="str">
        <f>IFERROR(INDEX(Input!$L$20:$T$1019,INT((ROW()-9)/9)+1,MOD(ROW()-9,9)+1),"")</f>
        <v/>
      </c>
      <c r="C3459" s="9">
        <f t="shared" si="53"/>
        <v>0</v>
      </c>
    </row>
    <row r="3460" spans="1:3" x14ac:dyDescent="0.2">
      <c r="A3460" s="10" t="str">
        <f>IF(3452&gt;$C$9008,"",INDEX($B$9:$B$9008,MATCH(3452,$C$9:$C$9008,0)))</f>
        <v/>
      </c>
      <c r="B3460" s="9" t="str">
        <f>IFERROR(INDEX(Input!$L$20:$T$1019,INT((ROW()-9)/9)+1,MOD(ROW()-9,9)+1),"")</f>
        <v/>
      </c>
      <c r="C3460" s="9">
        <f t="shared" si="53"/>
        <v>0</v>
      </c>
    </row>
    <row r="3461" spans="1:3" x14ac:dyDescent="0.2">
      <c r="A3461" s="10" t="str">
        <f>IF(3453&gt;$C$9008,"",INDEX($B$9:$B$9008,MATCH(3453,$C$9:$C$9008,0)))</f>
        <v/>
      </c>
      <c r="B3461" s="9" t="str">
        <f>IFERROR(INDEX(Input!$L$20:$T$1019,INT((ROW()-9)/9)+1,MOD(ROW()-9,9)+1),"")</f>
        <v/>
      </c>
      <c r="C3461" s="9">
        <f t="shared" si="53"/>
        <v>0</v>
      </c>
    </row>
    <row r="3462" spans="1:3" x14ac:dyDescent="0.2">
      <c r="A3462" s="10" t="str">
        <f>IF(3454&gt;$C$9008,"",INDEX($B$9:$B$9008,MATCH(3454,$C$9:$C$9008,0)))</f>
        <v/>
      </c>
      <c r="B3462" s="9" t="str">
        <f>IFERROR(INDEX(Input!$L$20:$T$1019,INT((ROW()-9)/9)+1,MOD(ROW()-9,9)+1),"")</f>
        <v/>
      </c>
      <c r="C3462" s="9">
        <f t="shared" si="53"/>
        <v>0</v>
      </c>
    </row>
    <row r="3463" spans="1:3" x14ac:dyDescent="0.2">
      <c r="A3463" s="10" t="str">
        <f>IF(3455&gt;$C$9008,"",INDEX($B$9:$B$9008,MATCH(3455,$C$9:$C$9008,0)))</f>
        <v/>
      </c>
      <c r="B3463" s="9" t="str">
        <f>IFERROR(INDEX(Input!$L$20:$T$1019,INT((ROW()-9)/9)+1,MOD(ROW()-9,9)+1),"")</f>
        <v/>
      </c>
      <c r="C3463" s="9">
        <f t="shared" si="53"/>
        <v>0</v>
      </c>
    </row>
    <row r="3464" spans="1:3" x14ac:dyDescent="0.2">
      <c r="A3464" s="10" t="str">
        <f>IF(3456&gt;$C$9008,"",INDEX($B$9:$B$9008,MATCH(3456,$C$9:$C$9008,0)))</f>
        <v/>
      </c>
      <c r="B3464" s="9" t="str">
        <f>IFERROR(INDEX(Input!$L$20:$T$1019,INT((ROW()-9)/9)+1,MOD(ROW()-9,9)+1),"")</f>
        <v/>
      </c>
      <c r="C3464" s="9">
        <f t="shared" si="53"/>
        <v>0</v>
      </c>
    </row>
    <row r="3465" spans="1:3" x14ac:dyDescent="0.2">
      <c r="A3465" s="10" t="str">
        <f>IF(3457&gt;$C$9008,"",INDEX($B$9:$B$9008,MATCH(3457,$C$9:$C$9008,0)))</f>
        <v/>
      </c>
      <c r="B3465" s="9" t="str">
        <f>IFERROR(INDEX(Input!$L$20:$T$1019,INT((ROW()-9)/9)+1,MOD(ROW()-9,9)+1),"")</f>
        <v/>
      </c>
      <c r="C3465" s="9">
        <f t="shared" ref="C3465:C3528" si="54">$C3464+IF($B3465&lt;&gt;"",1,0)</f>
        <v>0</v>
      </c>
    </row>
    <row r="3466" spans="1:3" x14ac:dyDescent="0.2">
      <c r="A3466" s="10" t="str">
        <f>IF(3458&gt;$C$9008,"",INDEX($B$9:$B$9008,MATCH(3458,$C$9:$C$9008,0)))</f>
        <v/>
      </c>
      <c r="B3466" s="9" t="str">
        <f>IFERROR(INDEX(Input!$L$20:$T$1019,INT((ROW()-9)/9)+1,MOD(ROW()-9,9)+1),"")</f>
        <v/>
      </c>
      <c r="C3466" s="9">
        <f t="shared" si="54"/>
        <v>0</v>
      </c>
    </row>
    <row r="3467" spans="1:3" x14ac:dyDescent="0.2">
      <c r="A3467" s="10" t="str">
        <f>IF(3459&gt;$C$9008,"",INDEX($B$9:$B$9008,MATCH(3459,$C$9:$C$9008,0)))</f>
        <v/>
      </c>
      <c r="B3467" s="9" t="str">
        <f>IFERROR(INDEX(Input!$L$20:$T$1019,INT((ROW()-9)/9)+1,MOD(ROW()-9,9)+1),"")</f>
        <v/>
      </c>
      <c r="C3467" s="9">
        <f t="shared" si="54"/>
        <v>0</v>
      </c>
    </row>
    <row r="3468" spans="1:3" x14ac:dyDescent="0.2">
      <c r="A3468" s="10" t="str">
        <f>IF(3460&gt;$C$9008,"",INDEX($B$9:$B$9008,MATCH(3460,$C$9:$C$9008,0)))</f>
        <v/>
      </c>
      <c r="B3468" s="9" t="str">
        <f>IFERROR(INDEX(Input!$L$20:$T$1019,INT((ROW()-9)/9)+1,MOD(ROW()-9,9)+1),"")</f>
        <v/>
      </c>
      <c r="C3468" s="9">
        <f t="shared" si="54"/>
        <v>0</v>
      </c>
    </row>
    <row r="3469" spans="1:3" x14ac:dyDescent="0.2">
      <c r="A3469" s="10" t="str">
        <f>IF(3461&gt;$C$9008,"",INDEX($B$9:$B$9008,MATCH(3461,$C$9:$C$9008,0)))</f>
        <v/>
      </c>
      <c r="B3469" s="9" t="str">
        <f>IFERROR(INDEX(Input!$L$20:$T$1019,INT((ROW()-9)/9)+1,MOD(ROW()-9,9)+1),"")</f>
        <v/>
      </c>
      <c r="C3469" s="9">
        <f t="shared" si="54"/>
        <v>0</v>
      </c>
    </row>
    <row r="3470" spans="1:3" x14ac:dyDescent="0.2">
      <c r="A3470" s="10" t="str">
        <f>IF(3462&gt;$C$9008,"",INDEX($B$9:$B$9008,MATCH(3462,$C$9:$C$9008,0)))</f>
        <v/>
      </c>
      <c r="B3470" s="9" t="str">
        <f>IFERROR(INDEX(Input!$L$20:$T$1019,INT((ROW()-9)/9)+1,MOD(ROW()-9,9)+1),"")</f>
        <v/>
      </c>
      <c r="C3470" s="9">
        <f t="shared" si="54"/>
        <v>0</v>
      </c>
    </row>
    <row r="3471" spans="1:3" x14ac:dyDescent="0.2">
      <c r="A3471" s="10" t="str">
        <f>IF(3463&gt;$C$9008,"",INDEX($B$9:$B$9008,MATCH(3463,$C$9:$C$9008,0)))</f>
        <v/>
      </c>
      <c r="B3471" s="9" t="str">
        <f>IFERROR(INDEX(Input!$L$20:$T$1019,INT((ROW()-9)/9)+1,MOD(ROW()-9,9)+1),"")</f>
        <v/>
      </c>
      <c r="C3471" s="9">
        <f t="shared" si="54"/>
        <v>0</v>
      </c>
    </row>
    <row r="3472" spans="1:3" x14ac:dyDescent="0.2">
      <c r="A3472" s="10" t="str">
        <f>IF(3464&gt;$C$9008,"",INDEX($B$9:$B$9008,MATCH(3464,$C$9:$C$9008,0)))</f>
        <v/>
      </c>
      <c r="B3472" s="9" t="str">
        <f>IFERROR(INDEX(Input!$L$20:$T$1019,INT((ROW()-9)/9)+1,MOD(ROW()-9,9)+1),"")</f>
        <v/>
      </c>
      <c r="C3472" s="9">
        <f t="shared" si="54"/>
        <v>0</v>
      </c>
    </row>
    <row r="3473" spans="1:3" x14ac:dyDescent="0.2">
      <c r="A3473" s="10" t="str">
        <f>IF(3465&gt;$C$9008,"",INDEX($B$9:$B$9008,MATCH(3465,$C$9:$C$9008,0)))</f>
        <v/>
      </c>
      <c r="B3473" s="9" t="str">
        <f>IFERROR(INDEX(Input!$L$20:$T$1019,INT((ROW()-9)/9)+1,MOD(ROW()-9,9)+1),"")</f>
        <v/>
      </c>
      <c r="C3473" s="9">
        <f t="shared" si="54"/>
        <v>0</v>
      </c>
    </row>
    <row r="3474" spans="1:3" x14ac:dyDescent="0.2">
      <c r="A3474" s="10" t="str">
        <f>IF(3466&gt;$C$9008,"",INDEX($B$9:$B$9008,MATCH(3466,$C$9:$C$9008,0)))</f>
        <v/>
      </c>
      <c r="B3474" s="9" t="str">
        <f>IFERROR(INDEX(Input!$L$20:$T$1019,INT((ROW()-9)/9)+1,MOD(ROW()-9,9)+1),"")</f>
        <v/>
      </c>
      <c r="C3474" s="9">
        <f t="shared" si="54"/>
        <v>0</v>
      </c>
    </row>
    <row r="3475" spans="1:3" x14ac:dyDescent="0.2">
      <c r="A3475" s="10" t="str">
        <f>IF(3467&gt;$C$9008,"",INDEX($B$9:$B$9008,MATCH(3467,$C$9:$C$9008,0)))</f>
        <v/>
      </c>
      <c r="B3475" s="9" t="str">
        <f>IFERROR(INDEX(Input!$L$20:$T$1019,INT((ROW()-9)/9)+1,MOD(ROW()-9,9)+1),"")</f>
        <v/>
      </c>
      <c r="C3475" s="9">
        <f t="shared" si="54"/>
        <v>0</v>
      </c>
    </row>
    <row r="3476" spans="1:3" x14ac:dyDescent="0.2">
      <c r="A3476" s="10" t="str">
        <f>IF(3468&gt;$C$9008,"",INDEX($B$9:$B$9008,MATCH(3468,$C$9:$C$9008,0)))</f>
        <v/>
      </c>
      <c r="B3476" s="9" t="str">
        <f>IFERROR(INDEX(Input!$L$20:$T$1019,INT((ROW()-9)/9)+1,MOD(ROW()-9,9)+1),"")</f>
        <v/>
      </c>
      <c r="C3476" s="9">
        <f t="shared" si="54"/>
        <v>0</v>
      </c>
    </row>
    <row r="3477" spans="1:3" x14ac:dyDescent="0.2">
      <c r="A3477" s="10" t="str">
        <f>IF(3469&gt;$C$9008,"",INDEX($B$9:$B$9008,MATCH(3469,$C$9:$C$9008,0)))</f>
        <v/>
      </c>
      <c r="B3477" s="9" t="str">
        <f>IFERROR(INDEX(Input!$L$20:$T$1019,INT((ROW()-9)/9)+1,MOD(ROW()-9,9)+1),"")</f>
        <v/>
      </c>
      <c r="C3477" s="9">
        <f t="shared" si="54"/>
        <v>0</v>
      </c>
    </row>
    <row r="3478" spans="1:3" x14ac:dyDescent="0.2">
      <c r="A3478" s="10" t="str">
        <f>IF(3470&gt;$C$9008,"",INDEX($B$9:$B$9008,MATCH(3470,$C$9:$C$9008,0)))</f>
        <v/>
      </c>
      <c r="B3478" s="9" t="str">
        <f>IFERROR(INDEX(Input!$L$20:$T$1019,INT((ROW()-9)/9)+1,MOD(ROW()-9,9)+1),"")</f>
        <v/>
      </c>
      <c r="C3478" s="9">
        <f t="shared" si="54"/>
        <v>0</v>
      </c>
    </row>
    <row r="3479" spans="1:3" x14ac:dyDescent="0.2">
      <c r="A3479" s="10" t="str">
        <f>IF(3471&gt;$C$9008,"",INDEX($B$9:$B$9008,MATCH(3471,$C$9:$C$9008,0)))</f>
        <v/>
      </c>
      <c r="B3479" s="9" t="str">
        <f>IFERROR(INDEX(Input!$L$20:$T$1019,INT((ROW()-9)/9)+1,MOD(ROW()-9,9)+1),"")</f>
        <v/>
      </c>
      <c r="C3479" s="9">
        <f t="shared" si="54"/>
        <v>0</v>
      </c>
    </row>
    <row r="3480" spans="1:3" x14ac:dyDescent="0.2">
      <c r="A3480" s="10" t="str">
        <f>IF(3472&gt;$C$9008,"",INDEX($B$9:$B$9008,MATCH(3472,$C$9:$C$9008,0)))</f>
        <v/>
      </c>
      <c r="B3480" s="9" t="str">
        <f>IFERROR(INDEX(Input!$L$20:$T$1019,INT((ROW()-9)/9)+1,MOD(ROW()-9,9)+1),"")</f>
        <v/>
      </c>
      <c r="C3480" s="9">
        <f t="shared" si="54"/>
        <v>0</v>
      </c>
    </row>
    <row r="3481" spans="1:3" x14ac:dyDescent="0.2">
      <c r="A3481" s="10" t="str">
        <f>IF(3473&gt;$C$9008,"",INDEX($B$9:$B$9008,MATCH(3473,$C$9:$C$9008,0)))</f>
        <v/>
      </c>
      <c r="B3481" s="9" t="str">
        <f>IFERROR(INDEX(Input!$L$20:$T$1019,INT((ROW()-9)/9)+1,MOD(ROW()-9,9)+1),"")</f>
        <v/>
      </c>
      <c r="C3481" s="9">
        <f t="shared" si="54"/>
        <v>0</v>
      </c>
    </row>
    <row r="3482" spans="1:3" x14ac:dyDescent="0.2">
      <c r="A3482" s="10" t="str">
        <f>IF(3474&gt;$C$9008,"",INDEX($B$9:$B$9008,MATCH(3474,$C$9:$C$9008,0)))</f>
        <v/>
      </c>
      <c r="B3482" s="9" t="str">
        <f>IFERROR(INDEX(Input!$L$20:$T$1019,INT((ROW()-9)/9)+1,MOD(ROW()-9,9)+1),"")</f>
        <v/>
      </c>
      <c r="C3482" s="9">
        <f t="shared" si="54"/>
        <v>0</v>
      </c>
    </row>
    <row r="3483" spans="1:3" x14ac:dyDescent="0.2">
      <c r="A3483" s="10" t="str">
        <f>IF(3475&gt;$C$9008,"",INDEX($B$9:$B$9008,MATCH(3475,$C$9:$C$9008,0)))</f>
        <v/>
      </c>
      <c r="B3483" s="9" t="str">
        <f>IFERROR(INDEX(Input!$L$20:$T$1019,INT((ROW()-9)/9)+1,MOD(ROW()-9,9)+1),"")</f>
        <v/>
      </c>
      <c r="C3483" s="9">
        <f t="shared" si="54"/>
        <v>0</v>
      </c>
    </row>
    <row r="3484" spans="1:3" x14ac:dyDescent="0.2">
      <c r="A3484" s="10" t="str">
        <f>IF(3476&gt;$C$9008,"",INDEX($B$9:$B$9008,MATCH(3476,$C$9:$C$9008,0)))</f>
        <v/>
      </c>
      <c r="B3484" s="9" t="str">
        <f>IFERROR(INDEX(Input!$L$20:$T$1019,INT((ROW()-9)/9)+1,MOD(ROW()-9,9)+1),"")</f>
        <v/>
      </c>
      <c r="C3484" s="9">
        <f t="shared" si="54"/>
        <v>0</v>
      </c>
    </row>
    <row r="3485" spans="1:3" x14ac:dyDescent="0.2">
      <c r="A3485" s="10" t="str">
        <f>IF(3477&gt;$C$9008,"",INDEX($B$9:$B$9008,MATCH(3477,$C$9:$C$9008,0)))</f>
        <v/>
      </c>
      <c r="B3485" s="9" t="str">
        <f>IFERROR(INDEX(Input!$L$20:$T$1019,INT((ROW()-9)/9)+1,MOD(ROW()-9,9)+1),"")</f>
        <v/>
      </c>
      <c r="C3485" s="9">
        <f t="shared" si="54"/>
        <v>0</v>
      </c>
    </row>
    <row r="3486" spans="1:3" x14ac:dyDescent="0.2">
      <c r="A3486" s="10" t="str">
        <f>IF(3478&gt;$C$9008,"",INDEX($B$9:$B$9008,MATCH(3478,$C$9:$C$9008,0)))</f>
        <v/>
      </c>
      <c r="B3486" s="9" t="str">
        <f>IFERROR(INDEX(Input!$L$20:$T$1019,INT((ROW()-9)/9)+1,MOD(ROW()-9,9)+1),"")</f>
        <v/>
      </c>
      <c r="C3486" s="9">
        <f t="shared" si="54"/>
        <v>0</v>
      </c>
    </row>
    <row r="3487" spans="1:3" x14ac:dyDescent="0.2">
      <c r="A3487" s="10" t="str">
        <f>IF(3479&gt;$C$9008,"",INDEX($B$9:$B$9008,MATCH(3479,$C$9:$C$9008,0)))</f>
        <v/>
      </c>
      <c r="B3487" s="9" t="str">
        <f>IFERROR(INDEX(Input!$L$20:$T$1019,INT((ROW()-9)/9)+1,MOD(ROW()-9,9)+1),"")</f>
        <v/>
      </c>
      <c r="C3487" s="9">
        <f t="shared" si="54"/>
        <v>0</v>
      </c>
    </row>
    <row r="3488" spans="1:3" x14ac:dyDescent="0.2">
      <c r="A3488" s="10" t="str">
        <f>IF(3480&gt;$C$9008,"",INDEX($B$9:$B$9008,MATCH(3480,$C$9:$C$9008,0)))</f>
        <v/>
      </c>
      <c r="B3488" s="9" t="str">
        <f>IFERROR(INDEX(Input!$L$20:$T$1019,INT((ROW()-9)/9)+1,MOD(ROW()-9,9)+1),"")</f>
        <v/>
      </c>
      <c r="C3488" s="9">
        <f t="shared" si="54"/>
        <v>0</v>
      </c>
    </row>
    <row r="3489" spans="1:3" x14ac:dyDescent="0.2">
      <c r="A3489" s="10" t="str">
        <f>IF(3481&gt;$C$9008,"",INDEX($B$9:$B$9008,MATCH(3481,$C$9:$C$9008,0)))</f>
        <v/>
      </c>
      <c r="B3489" s="9" t="str">
        <f>IFERROR(INDEX(Input!$L$20:$T$1019,INT((ROW()-9)/9)+1,MOD(ROW()-9,9)+1),"")</f>
        <v/>
      </c>
      <c r="C3489" s="9">
        <f t="shared" si="54"/>
        <v>0</v>
      </c>
    </row>
    <row r="3490" spans="1:3" x14ac:dyDescent="0.2">
      <c r="A3490" s="10" t="str">
        <f>IF(3482&gt;$C$9008,"",INDEX($B$9:$B$9008,MATCH(3482,$C$9:$C$9008,0)))</f>
        <v/>
      </c>
      <c r="B3490" s="9" t="str">
        <f>IFERROR(INDEX(Input!$L$20:$T$1019,INT((ROW()-9)/9)+1,MOD(ROW()-9,9)+1),"")</f>
        <v/>
      </c>
      <c r="C3490" s="9">
        <f t="shared" si="54"/>
        <v>0</v>
      </c>
    </row>
    <row r="3491" spans="1:3" x14ac:dyDescent="0.2">
      <c r="A3491" s="10" t="str">
        <f>IF(3483&gt;$C$9008,"",INDEX($B$9:$B$9008,MATCH(3483,$C$9:$C$9008,0)))</f>
        <v/>
      </c>
      <c r="B3491" s="9" t="str">
        <f>IFERROR(INDEX(Input!$L$20:$T$1019,INT((ROW()-9)/9)+1,MOD(ROW()-9,9)+1),"")</f>
        <v/>
      </c>
      <c r="C3491" s="9">
        <f t="shared" si="54"/>
        <v>0</v>
      </c>
    </row>
    <row r="3492" spans="1:3" x14ac:dyDescent="0.2">
      <c r="A3492" s="10" t="str">
        <f>IF(3484&gt;$C$9008,"",INDEX($B$9:$B$9008,MATCH(3484,$C$9:$C$9008,0)))</f>
        <v/>
      </c>
      <c r="B3492" s="9" t="str">
        <f>IFERROR(INDEX(Input!$L$20:$T$1019,INT((ROW()-9)/9)+1,MOD(ROW()-9,9)+1),"")</f>
        <v/>
      </c>
      <c r="C3492" s="9">
        <f t="shared" si="54"/>
        <v>0</v>
      </c>
    </row>
    <row r="3493" spans="1:3" x14ac:dyDescent="0.2">
      <c r="A3493" s="10" t="str">
        <f>IF(3485&gt;$C$9008,"",INDEX($B$9:$B$9008,MATCH(3485,$C$9:$C$9008,0)))</f>
        <v/>
      </c>
      <c r="B3493" s="9" t="str">
        <f>IFERROR(INDEX(Input!$L$20:$T$1019,INT((ROW()-9)/9)+1,MOD(ROW()-9,9)+1),"")</f>
        <v/>
      </c>
      <c r="C3493" s="9">
        <f t="shared" si="54"/>
        <v>0</v>
      </c>
    </row>
    <row r="3494" spans="1:3" x14ac:dyDescent="0.2">
      <c r="A3494" s="10" t="str">
        <f>IF(3486&gt;$C$9008,"",INDEX($B$9:$B$9008,MATCH(3486,$C$9:$C$9008,0)))</f>
        <v/>
      </c>
      <c r="B3494" s="9" t="str">
        <f>IFERROR(INDEX(Input!$L$20:$T$1019,INT((ROW()-9)/9)+1,MOD(ROW()-9,9)+1),"")</f>
        <v/>
      </c>
      <c r="C3494" s="9">
        <f t="shared" si="54"/>
        <v>0</v>
      </c>
    </row>
    <row r="3495" spans="1:3" x14ac:dyDescent="0.2">
      <c r="A3495" s="10" t="str">
        <f>IF(3487&gt;$C$9008,"",INDEX($B$9:$B$9008,MATCH(3487,$C$9:$C$9008,0)))</f>
        <v/>
      </c>
      <c r="B3495" s="9" t="str">
        <f>IFERROR(INDEX(Input!$L$20:$T$1019,INT((ROW()-9)/9)+1,MOD(ROW()-9,9)+1),"")</f>
        <v/>
      </c>
      <c r="C3495" s="9">
        <f t="shared" si="54"/>
        <v>0</v>
      </c>
    </row>
    <row r="3496" spans="1:3" x14ac:dyDescent="0.2">
      <c r="A3496" s="10" t="str">
        <f>IF(3488&gt;$C$9008,"",INDEX($B$9:$B$9008,MATCH(3488,$C$9:$C$9008,0)))</f>
        <v/>
      </c>
      <c r="B3496" s="9" t="str">
        <f>IFERROR(INDEX(Input!$L$20:$T$1019,INT((ROW()-9)/9)+1,MOD(ROW()-9,9)+1),"")</f>
        <v/>
      </c>
      <c r="C3496" s="9">
        <f t="shared" si="54"/>
        <v>0</v>
      </c>
    </row>
    <row r="3497" spans="1:3" x14ac:dyDescent="0.2">
      <c r="A3497" s="10" t="str">
        <f>IF(3489&gt;$C$9008,"",INDEX($B$9:$B$9008,MATCH(3489,$C$9:$C$9008,0)))</f>
        <v/>
      </c>
      <c r="B3497" s="9" t="str">
        <f>IFERROR(INDEX(Input!$L$20:$T$1019,INT((ROW()-9)/9)+1,MOD(ROW()-9,9)+1),"")</f>
        <v/>
      </c>
      <c r="C3497" s="9">
        <f t="shared" si="54"/>
        <v>0</v>
      </c>
    </row>
    <row r="3498" spans="1:3" x14ac:dyDescent="0.2">
      <c r="A3498" s="10" t="str">
        <f>IF(3490&gt;$C$9008,"",INDEX($B$9:$B$9008,MATCH(3490,$C$9:$C$9008,0)))</f>
        <v/>
      </c>
      <c r="B3498" s="9" t="str">
        <f>IFERROR(INDEX(Input!$L$20:$T$1019,INT((ROW()-9)/9)+1,MOD(ROW()-9,9)+1),"")</f>
        <v/>
      </c>
      <c r="C3498" s="9">
        <f t="shared" si="54"/>
        <v>0</v>
      </c>
    </row>
    <row r="3499" spans="1:3" x14ac:dyDescent="0.2">
      <c r="A3499" s="10" t="str">
        <f>IF(3491&gt;$C$9008,"",INDEX($B$9:$B$9008,MATCH(3491,$C$9:$C$9008,0)))</f>
        <v/>
      </c>
      <c r="B3499" s="9" t="str">
        <f>IFERROR(INDEX(Input!$L$20:$T$1019,INT((ROW()-9)/9)+1,MOD(ROW()-9,9)+1),"")</f>
        <v/>
      </c>
      <c r="C3499" s="9">
        <f t="shared" si="54"/>
        <v>0</v>
      </c>
    </row>
    <row r="3500" spans="1:3" x14ac:dyDescent="0.2">
      <c r="A3500" s="10" t="str">
        <f>IF(3492&gt;$C$9008,"",INDEX($B$9:$B$9008,MATCH(3492,$C$9:$C$9008,0)))</f>
        <v/>
      </c>
      <c r="B3500" s="9" t="str">
        <f>IFERROR(INDEX(Input!$L$20:$T$1019,INT((ROW()-9)/9)+1,MOD(ROW()-9,9)+1),"")</f>
        <v/>
      </c>
      <c r="C3500" s="9">
        <f t="shared" si="54"/>
        <v>0</v>
      </c>
    </row>
    <row r="3501" spans="1:3" x14ac:dyDescent="0.2">
      <c r="A3501" s="10" t="str">
        <f>IF(3493&gt;$C$9008,"",INDEX($B$9:$B$9008,MATCH(3493,$C$9:$C$9008,0)))</f>
        <v/>
      </c>
      <c r="B3501" s="9" t="str">
        <f>IFERROR(INDEX(Input!$L$20:$T$1019,INT((ROW()-9)/9)+1,MOD(ROW()-9,9)+1),"")</f>
        <v/>
      </c>
      <c r="C3501" s="9">
        <f t="shared" si="54"/>
        <v>0</v>
      </c>
    </row>
    <row r="3502" spans="1:3" x14ac:dyDescent="0.2">
      <c r="A3502" s="10" t="str">
        <f>IF(3494&gt;$C$9008,"",INDEX($B$9:$B$9008,MATCH(3494,$C$9:$C$9008,0)))</f>
        <v/>
      </c>
      <c r="B3502" s="9" t="str">
        <f>IFERROR(INDEX(Input!$L$20:$T$1019,INT((ROW()-9)/9)+1,MOD(ROW()-9,9)+1),"")</f>
        <v/>
      </c>
      <c r="C3502" s="9">
        <f t="shared" si="54"/>
        <v>0</v>
      </c>
    </row>
    <row r="3503" spans="1:3" x14ac:dyDescent="0.2">
      <c r="A3503" s="10" t="str">
        <f>IF(3495&gt;$C$9008,"",INDEX($B$9:$B$9008,MATCH(3495,$C$9:$C$9008,0)))</f>
        <v/>
      </c>
      <c r="B3503" s="9" t="str">
        <f>IFERROR(INDEX(Input!$L$20:$T$1019,INT((ROW()-9)/9)+1,MOD(ROW()-9,9)+1),"")</f>
        <v/>
      </c>
      <c r="C3503" s="9">
        <f t="shared" si="54"/>
        <v>0</v>
      </c>
    </row>
    <row r="3504" spans="1:3" x14ac:dyDescent="0.2">
      <c r="A3504" s="10" t="str">
        <f>IF(3496&gt;$C$9008,"",INDEX($B$9:$B$9008,MATCH(3496,$C$9:$C$9008,0)))</f>
        <v/>
      </c>
      <c r="B3504" s="9" t="str">
        <f>IFERROR(INDEX(Input!$L$20:$T$1019,INT((ROW()-9)/9)+1,MOD(ROW()-9,9)+1),"")</f>
        <v/>
      </c>
      <c r="C3504" s="9">
        <f t="shared" si="54"/>
        <v>0</v>
      </c>
    </row>
    <row r="3505" spans="1:3" x14ac:dyDescent="0.2">
      <c r="A3505" s="10" t="str">
        <f>IF(3497&gt;$C$9008,"",INDEX($B$9:$B$9008,MATCH(3497,$C$9:$C$9008,0)))</f>
        <v/>
      </c>
      <c r="B3505" s="9" t="str">
        <f>IFERROR(INDEX(Input!$L$20:$T$1019,INT((ROW()-9)/9)+1,MOD(ROW()-9,9)+1),"")</f>
        <v/>
      </c>
      <c r="C3505" s="9">
        <f t="shared" si="54"/>
        <v>0</v>
      </c>
    </row>
    <row r="3506" spans="1:3" x14ac:dyDescent="0.2">
      <c r="A3506" s="10" t="str">
        <f>IF(3498&gt;$C$9008,"",INDEX($B$9:$B$9008,MATCH(3498,$C$9:$C$9008,0)))</f>
        <v/>
      </c>
      <c r="B3506" s="9" t="str">
        <f>IFERROR(INDEX(Input!$L$20:$T$1019,INT((ROW()-9)/9)+1,MOD(ROW()-9,9)+1),"")</f>
        <v/>
      </c>
      <c r="C3506" s="9">
        <f t="shared" si="54"/>
        <v>0</v>
      </c>
    </row>
    <row r="3507" spans="1:3" x14ac:dyDescent="0.2">
      <c r="A3507" s="10" t="str">
        <f>IF(3499&gt;$C$9008,"",INDEX($B$9:$B$9008,MATCH(3499,$C$9:$C$9008,0)))</f>
        <v/>
      </c>
      <c r="B3507" s="9" t="str">
        <f>IFERROR(INDEX(Input!$L$20:$T$1019,INT((ROW()-9)/9)+1,MOD(ROW()-9,9)+1),"")</f>
        <v/>
      </c>
      <c r="C3507" s="9">
        <f t="shared" si="54"/>
        <v>0</v>
      </c>
    </row>
    <row r="3508" spans="1:3" x14ac:dyDescent="0.2">
      <c r="A3508" s="10" t="str">
        <f>IF(3500&gt;$C$9008,"",INDEX($B$9:$B$9008,MATCH(3500,$C$9:$C$9008,0)))</f>
        <v/>
      </c>
      <c r="B3508" s="9" t="str">
        <f>IFERROR(INDEX(Input!$L$20:$T$1019,INT((ROW()-9)/9)+1,MOD(ROW()-9,9)+1),"")</f>
        <v/>
      </c>
      <c r="C3508" s="9">
        <f t="shared" si="54"/>
        <v>0</v>
      </c>
    </row>
    <row r="3509" spans="1:3" x14ac:dyDescent="0.2">
      <c r="A3509" s="10" t="str">
        <f>IF(3501&gt;$C$9008,"",INDEX($B$9:$B$9008,MATCH(3501,$C$9:$C$9008,0)))</f>
        <v/>
      </c>
      <c r="B3509" s="9" t="str">
        <f>IFERROR(INDEX(Input!$L$20:$T$1019,INT((ROW()-9)/9)+1,MOD(ROW()-9,9)+1),"")</f>
        <v/>
      </c>
      <c r="C3509" s="9">
        <f t="shared" si="54"/>
        <v>0</v>
      </c>
    </row>
    <row r="3510" spans="1:3" x14ac:dyDescent="0.2">
      <c r="A3510" s="10" t="str">
        <f>IF(3502&gt;$C$9008,"",INDEX($B$9:$B$9008,MATCH(3502,$C$9:$C$9008,0)))</f>
        <v/>
      </c>
      <c r="B3510" s="9" t="str">
        <f>IFERROR(INDEX(Input!$L$20:$T$1019,INT((ROW()-9)/9)+1,MOD(ROW()-9,9)+1),"")</f>
        <v/>
      </c>
      <c r="C3510" s="9">
        <f t="shared" si="54"/>
        <v>0</v>
      </c>
    </row>
    <row r="3511" spans="1:3" x14ac:dyDescent="0.2">
      <c r="A3511" s="10" t="str">
        <f>IF(3503&gt;$C$9008,"",INDEX($B$9:$B$9008,MATCH(3503,$C$9:$C$9008,0)))</f>
        <v/>
      </c>
      <c r="B3511" s="9" t="str">
        <f>IFERROR(INDEX(Input!$L$20:$T$1019,INT((ROW()-9)/9)+1,MOD(ROW()-9,9)+1),"")</f>
        <v/>
      </c>
      <c r="C3511" s="9">
        <f t="shared" si="54"/>
        <v>0</v>
      </c>
    </row>
    <row r="3512" spans="1:3" x14ac:dyDescent="0.2">
      <c r="A3512" s="10" t="str">
        <f>IF(3504&gt;$C$9008,"",INDEX($B$9:$B$9008,MATCH(3504,$C$9:$C$9008,0)))</f>
        <v/>
      </c>
      <c r="B3512" s="9" t="str">
        <f>IFERROR(INDEX(Input!$L$20:$T$1019,INT((ROW()-9)/9)+1,MOD(ROW()-9,9)+1),"")</f>
        <v/>
      </c>
      <c r="C3512" s="9">
        <f t="shared" si="54"/>
        <v>0</v>
      </c>
    </row>
    <row r="3513" spans="1:3" x14ac:dyDescent="0.2">
      <c r="A3513" s="10" t="str">
        <f>IF(3505&gt;$C$9008,"",INDEX($B$9:$B$9008,MATCH(3505,$C$9:$C$9008,0)))</f>
        <v/>
      </c>
      <c r="B3513" s="9" t="str">
        <f>IFERROR(INDEX(Input!$L$20:$T$1019,INT((ROW()-9)/9)+1,MOD(ROW()-9,9)+1),"")</f>
        <v/>
      </c>
      <c r="C3513" s="9">
        <f t="shared" si="54"/>
        <v>0</v>
      </c>
    </row>
    <row r="3514" spans="1:3" x14ac:dyDescent="0.2">
      <c r="A3514" s="10" t="str">
        <f>IF(3506&gt;$C$9008,"",INDEX($B$9:$B$9008,MATCH(3506,$C$9:$C$9008,0)))</f>
        <v/>
      </c>
      <c r="B3514" s="9" t="str">
        <f>IFERROR(INDEX(Input!$L$20:$T$1019,INT((ROW()-9)/9)+1,MOD(ROW()-9,9)+1),"")</f>
        <v/>
      </c>
      <c r="C3514" s="9">
        <f t="shared" si="54"/>
        <v>0</v>
      </c>
    </row>
    <row r="3515" spans="1:3" x14ac:dyDescent="0.2">
      <c r="A3515" s="10" t="str">
        <f>IF(3507&gt;$C$9008,"",INDEX($B$9:$B$9008,MATCH(3507,$C$9:$C$9008,0)))</f>
        <v/>
      </c>
      <c r="B3515" s="9" t="str">
        <f>IFERROR(INDEX(Input!$L$20:$T$1019,INT((ROW()-9)/9)+1,MOD(ROW()-9,9)+1),"")</f>
        <v/>
      </c>
      <c r="C3515" s="9">
        <f t="shared" si="54"/>
        <v>0</v>
      </c>
    </row>
    <row r="3516" spans="1:3" x14ac:dyDescent="0.2">
      <c r="A3516" s="10" t="str">
        <f>IF(3508&gt;$C$9008,"",INDEX($B$9:$B$9008,MATCH(3508,$C$9:$C$9008,0)))</f>
        <v/>
      </c>
      <c r="B3516" s="9" t="str">
        <f>IFERROR(INDEX(Input!$L$20:$T$1019,INT((ROW()-9)/9)+1,MOD(ROW()-9,9)+1),"")</f>
        <v/>
      </c>
      <c r="C3516" s="9">
        <f t="shared" si="54"/>
        <v>0</v>
      </c>
    </row>
    <row r="3517" spans="1:3" x14ac:dyDescent="0.2">
      <c r="A3517" s="10" t="str">
        <f>IF(3509&gt;$C$9008,"",INDEX($B$9:$B$9008,MATCH(3509,$C$9:$C$9008,0)))</f>
        <v/>
      </c>
      <c r="B3517" s="9" t="str">
        <f>IFERROR(INDEX(Input!$L$20:$T$1019,INT((ROW()-9)/9)+1,MOD(ROW()-9,9)+1),"")</f>
        <v/>
      </c>
      <c r="C3517" s="9">
        <f t="shared" si="54"/>
        <v>0</v>
      </c>
    </row>
    <row r="3518" spans="1:3" x14ac:dyDescent="0.2">
      <c r="A3518" s="10" t="str">
        <f>IF(3510&gt;$C$9008,"",INDEX($B$9:$B$9008,MATCH(3510,$C$9:$C$9008,0)))</f>
        <v/>
      </c>
      <c r="B3518" s="9" t="str">
        <f>IFERROR(INDEX(Input!$L$20:$T$1019,INT((ROW()-9)/9)+1,MOD(ROW()-9,9)+1),"")</f>
        <v/>
      </c>
      <c r="C3518" s="9">
        <f t="shared" si="54"/>
        <v>0</v>
      </c>
    </row>
    <row r="3519" spans="1:3" x14ac:dyDescent="0.2">
      <c r="A3519" s="10" t="str">
        <f>IF(3511&gt;$C$9008,"",INDEX($B$9:$B$9008,MATCH(3511,$C$9:$C$9008,0)))</f>
        <v/>
      </c>
      <c r="B3519" s="9" t="str">
        <f>IFERROR(INDEX(Input!$L$20:$T$1019,INT((ROW()-9)/9)+1,MOD(ROW()-9,9)+1),"")</f>
        <v/>
      </c>
      <c r="C3519" s="9">
        <f t="shared" si="54"/>
        <v>0</v>
      </c>
    </row>
    <row r="3520" spans="1:3" x14ac:dyDescent="0.2">
      <c r="A3520" s="10" t="str">
        <f>IF(3512&gt;$C$9008,"",INDEX($B$9:$B$9008,MATCH(3512,$C$9:$C$9008,0)))</f>
        <v/>
      </c>
      <c r="B3520" s="9" t="str">
        <f>IFERROR(INDEX(Input!$L$20:$T$1019,INT((ROW()-9)/9)+1,MOD(ROW()-9,9)+1),"")</f>
        <v/>
      </c>
      <c r="C3520" s="9">
        <f t="shared" si="54"/>
        <v>0</v>
      </c>
    </row>
    <row r="3521" spans="1:3" x14ac:dyDescent="0.2">
      <c r="A3521" s="10" t="str">
        <f>IF(3513&gt;$C$9008,"",INDEX($B$9:$B$9008,MATCH(3513,$C$9:$C$9008,0)))</f>
        <v/>
      </c>
      <c r="B3521" s="9" t="str">
        <f>IFERROR(INDEX(Input!$L$20:$T$1019,INT((ROW()-9)/9)+1,MOD(ROW()-9,9)+1),"")</f>
        <v/>
      </c>
      <c r="C3521" s="9">
        <f t="shared" si="54"/>
        <v>0</v>
      </c>
    </row>
    <row r="3522" spans="1:3" x14ac:dyDescent="0.2">
      <c r="A3522" s="10" t="str">
        <f>IF(3514&gt;$C$9008,"",INDEX($B$9:$B$9008,MATCH(3514,$C$9:$C$9008,0)))</f>
        <v/>
      </c>
      <c r="B3522" s="9" t="str">
        <f>IFERROR(INDEX(Input!$L$20:$T$1019,INT((ROW()-9)/9)+1,MOD(ROW()-9,9)+1),"")</f>
        <v/>
      </c>
      <c r="C3522" s="9">
        <f t="shared" si="54"/>
        <v>0</v>
      </c>
    </row>
    <row r="3523" spans="1:3" x14ac:dyDescent="0.2">
      <c r="A3523" s="10" t="str">
        <f>IF(3515&gt;$C$9008,"",INDEX($B$9:$B$9008,MATCH(3515,$C$9:$C$9008,0)))</f>
        <v/>
      </c>
      <c r="B3523" s="9" t="str">
        <f>IFERROR(INDEX(Input!$L$20:$T$1019,INT((ROW()-9)/9)+1,MOD(ROW()-9,9)+1),"")</f>
        <v/>
      </c>
      <c r="C3523" s="9">
        <f t="shared" si="54"/>
        <v>0</v>
      </c>
    </row>
    <row r="3524" spans="1:3" x14ac:dyDescent="0.2">
      <c r="A3524" s="10" t="str">
        <f>IF(3516&gt;$C$9008,"",INDEX($B$9:$B$9008,MATCH(3516,$C$9:$C$9008,0)))</f>
        <v/>
      </c>
      <c r="B3524" s="9" t="str">
        <f>IFERROR(INDEX(Input!$L$20:$T$1019,INT((ROW()-9)/9)+1,MOD(ROW()-9,9)+1),"")</f>
        <v/>
      </c>
      <c r="C3524" s="9">
        <f t="shared" si="54"/>
        <v>0</v>
      </c>
    </row>
    <row r="3525" spans="1:3" x14ac:dyDescent="0.2">
      <c r="A3525" s="10" t="str">
        <f>IF(3517&gt;$C$9008,"",INDEX($B$9:$B$9008,MATCH(3517,$C$9:$C$9008,0)))</f>
        <v/>
      </c>
      <c r="B3525" s="9" t="str">
        <f>IFERROR(INDEX(Input!$L$20:$T$1019,INT((ROW()-9)/9)+1,MOD(ROW()-9,9)+1),"")</f>
        <v/>
      </c>
      <c r="C3525" s="9">
        <f t="shared" si="54"/>
        <v>0</v>
      </c>
    </row>
    <row r="3526" spans="1:3" x14ac:dyDescent="0.2">
      <c r="A3526" s="10" t="str">
        <f>IF(3518&gt;$C$9008,"",INDEX($B$9:$B$9008,MATCH(3518,$C$9:$C$9008,0)))</f>
        <v/>
      </c>
      <c r="B3526" s="9" t="str">
        <f>IFERROR(INDEX(Input!$L$20:$T$1019,INT((ROW()-9)/9)+1,MOD(ROW()-9,9)+1),"")</f>
        <v/>
      </c>
      <c r="C3526" s="9">
        <f t="shared" si="54"/>
        <v>0</v>
      </c>
    </row>
    <row r="3527" spans="1:3" x14ac:dyDescent="0.2">
      <c r="A3527" s="10" t="str">
        <f>IF(3519&gt;$C$9008,"",INDEX($B$9:$B$9008,MATCH(3519,$C$9:$C$9008,0)))</f>
        <v/>
      </c>
      <c r="B3527" s="9" t="str">
        <f>IFERROR(INDEX(Input!$L$20:$T$1019,INT((ROW()-9)/9)+1,MOD(ROW()-9,9)+1),"")</f>
        <v/>
      </c>
      <c r="C3527" s="9">
        <f t="shared" si="54"/>
        <v>0</v>
      </c>
    </row>
    <row r="3528" spans="1:3" x14ac:dyDescent="0.2">
      <c r="A3528" s="10" t="str">
        <f>IF(3520&gt;$C$9008,"",INDEX($B$9:$B$9008,MATCH(3520,$C$9:$C$9008,0)))</f>
        <v/>
      </c>
      <c r="B3528" s="9" t="str">
        <f>IFERROR(INDEX(Input!$L$20:$T$1019,INT((ROW()-9)/9)+1,MOD(ROW()-9,9)+1),"")</f>
        <v/>
      </c>
      <c r="C3528" s="9">
        <f t="shared" si="54"/>
        <v>0</v>
      </c>
    </row>
    <row r="3529" spans="1:3" x14ac:dyDescent="0.2">
      <c r="A3529" s="10" t="str">
        <f>IF(3521&gt;$C$9008,"",INDEX($B$9:$B$9008,MATCH(3521,$C$9:$C$9008,0)))</f>
        <v/>
      </c>
      <c r="B3529" s="9" t="str">
        <f>IFERROR(INDEX(Input!$L$20:$T$1019,INT((ROW()-9)/9)+1,MOD(ROW()-9,9)+1),"")</f>
        <v/>
      </c>
      <c r="C3529" s="9">
        <f t="shared" ref="C3529:C3592" si="55">$C3528+IF($B3529&lt;&gt;"",1,0)</f>
        <v>0</v>
      </c>
    </row>
    <row r="3530" spans="1:3" x14ac:dyDescent="0.2">
      <c r="A3530" s="10" t="str">
        <f>IF(3522&gt;$C$9008,"",INDEX($B$9:$B$9008,MATCH(3522,$C$9:$C$9008,0)))</f>
        <v/>
      </c>
      <c r="B3530" s="9" t="str">
        <f>IFERROR(INDEX(Input!$L$20:$T$1019,INT((ROW()-9)/9)+1,MOD(ROW()-9,9)+1),"")</f>
        <v/>
      </c>
      <c r="C3530" s="9">
        <f t="shared" si="55"/>
        <v>0</v>
      </c>
    </row>
    <row r="3531" spans="1:3" x14ac:dyDescent="0.2">
      <c r="A3531" s="10" t="str">
        <f>IF(3523&gt;$C$9008,"",INDEX($B$9:$B$9008,MATCH(3523,$C$9:$C$9008,0)))</f>
        <v/>
      </c>
      <c r="B3531" s="9" t="str">
        <f>IFERROR(INDEX(Input!$L$20:$T$1019,INT((ROW()-9)/9)+1,MOD(ROW()-9,9)+1),"")</f>
        <v/>
      </c>
      <c r="C3531" s="9">
        <f t="shared" si="55"/>
        <v>0</v>
      </c>
    </row>
    <row r="3532" spans="1:3" x14ac:dyDescent="0.2">
      <c r="A3532" s="10" t="str">
        <f>IF(3524&gt;$C$9008,"",INDEX($B$9:$B$9008,MATCH(3524,$C$9:$C$9008,0)))</f>
        <v/>
      </c>
      <c r="B3532" s="9" t="str">
        <f>IFERROR(INDEX(Input!$L$20:$T$1019,INT((ROW()-9)/9)+1,MOD(ROW()-9,9)+1),"")</f>
        <v/>
      </c>
      <c r="C3532" s="9">
        <f t="shared" si="55"/>
        <v>0</v>
      </c>
    </row>
    <row r="3533" spans="1:3" x14ac:dyDescent="0.2">
      <c r="A3533" s="10" t="str">
        <f>IF(3525&gt;$C$9008,"",INDEX($B$9:$B$9008,MATCH(3525,$C$9:$C$9008,0)))</f>
        <v/>
      </c>
      <c r="B3533" s="9" t="str">
        <f>IFERROR(INDEX(Input!$L$20:$T$1019,INT((ROW()-9)/9)+1,MOD(ROW()-9,9)+1),"")</f>
        <v/>
      </c>
      <c r="C3533" s="9">
        <f t="shared" si="55"/>
        <v>0</v>
      </c>
    </row>
    <row r="3534" spans="1:3" x14ac:dyDescent="0.2">
      <c r="A3534" s="10" t="str">
        <f>IF(3526&gt;$C$9008,"",INDEX($B$9:$B$9008,MATCH(3526,$C$9:$C$9008,0)))</f>
        <v/>
      </c>
      <c r="B3534" s="9" t="str">
        <f>IFERROR(INDEX(Input!$L$20:$T$1019,INT((ROW()-9)/9)+1,MOD(ROW()-9,9)+1),"")</f>
        <v/>
      </c>
      <c r="C3534" s="9">
        <f t="shared" si="55"/>
        <v>0</v>
      </c>
    </row>
    <row r="3535" spans="1:3" x14ac:dyDescent="0.2">
      <c r="A3535" s="10" t="str">
        <f>IF(3527&gt;$C$9008,"",INDEX($B$9:$B$9008,MATCH(3527,$C$9:$C$9008,0)))</f>
        <v/>
      </c>
      <c r="B3535" s="9" t="str">
        <f>IFERROR(INDEX(Input!$L$20:$T$1019,INT((ROW()-9)/9)+1,MOD(ROW()-9,9)+1),"")</f>
        <v/>
      </c>
      <c r="C3535" s="9">
        <f t="shared" si="55"/>
        <v>0</v>
      </c>
    </row>
    <row r="3536" spans="1:3" x14ac:dyDescent="0.2">
      <c r="A3536" s="10" t="str">
        <f>IF(3528&gt;$C$9008,"",INDEX($B$9:$B$9008,MATCH(3528,$C$9:$C$9008,0)))</f>
        <v/>
      </c>
      <c r="B3536" s="9" t="str">
        <f>IFERROR(INDEX(Input!$L$20:$T$1019,INT((ROW()-9)/9)+1,MOD(ROW()-9,9)+1),"")</f>
        <v/>
      </c>
      <c r="C3536" s="9">
        <f t="shared" si="55"/>
        <v>0</v>
      </c>
    </row>
    <row r="3537" spans="1:3" x14ac:dyDescent="0.2">
      <c r="A3537" s="10" t="str">
        <f>IF(3529&gt;$C$9008,"",INDEX($B$9:$B$9008,MATCH(3529,$C$9:$C$9008,0)))</f>
        <v/>
      </c>
      <c r="B3537" s="9" t="str">
        <f>IFERROR(INDEX(Input!$L$20:$T$1019,INT((ROW()-9)/9)+1,MOD(ROW()-9,9)+1),"")</f>
        <v/>
      </c>
      <c r="C3537" s="9">
        <f t="shared" si="55"/>
        <v>0</v>
      </c>
    </row>
    <row r="3538" spans="1:3" x14ac:dyDescent="0.2">
      <c r="A3538" s="10" t="str">
        <f>IF(3530&gt;$C$9008,"",INDEX($B$9:$B$9008,MATCH(3530,$C$9:$C$9008,0)))</f>
        <v/>
      </c>
      <c r="B3538" s="9" t="str">
        <f>IFERROR(INDEX(Input!$L$20:$T$1019,INT((ROW()-9)/9)+1,MOD(ROW()-9,9)+1),"")</f>
        <v/>
      </c>
      <c r="C3538" s="9">
        <f t="shared" si="55"/>
        <v>0</v>
      </c>
    </row>
    <row r="3539" spans="1:3" x14ac:dyDescent="0.2">
      <c r="A3539" s="10" t="str">
        <f>IF(3531&gt;$C$9008,"",INDEX($B$9:$B$9008,MATCH(3531,$C$9:$C$9008,0)))</f>
        <v/>
      </c>
      <c r="B3539" s="9" t="str">
        <f>IFERROR(INDEX(Input!$L$20:$T$1019,INT((ROW()-9)/9)+1,MOD(ROW()-9,9)+1),"")</f>
        <v/>
      </c>
      <c r="C3539" s="9">
        <f t="shared" si="55"/>
        <v>0</v>
      </c>
    </row>
    <row r="3540" spans="1:3" x14ac:dyDescent="0.2">
      <c r="A3540" s="10" t="str">
        <f>IF(3532&gt;$C$9008,"",INDEX($B$9:$B$9008,MATCH(3532,$C$9:$C$9008,0)))</f>
        <v/>
      </c>
      <c r="B3540" s="9" t="str">
        <f>IFERROR(INDEX(Input!$L$20:$T$1019,INT((ROW()-9)/9)+1,MOD(ROW()-9,9)+1),"")</f>
        <v/>
      </c>
      <c r="C3540" s="9">
        <f t="shared" si="55"/>
        <v>0</v>
      </c>
    </row>
    <row r="3541" spans="1:3" x14ac:dyDescent="0.2">
      <c r="A3541" s="10" t="str">
        <f>IF(3533&gt;$C$9008,"",INDEX($B$9:$B$9008,MATCH(3533,$C$9:$C$9008,0)))</f>
        <v/>
      </c>
      <c r="B3541" s="9" t="str">
        <f>IFERROR(INDEX(Input!$L$20:$T$1019,INT((ROW()-9)/9)+1,MOD(ROW()-9,9)+1),"")</f>
        <v/>
      </c>
      <c r="C3541" s="9">
        <f t="shared" si="55"/>
        <v>0</v>
      </c>
    </row>
    <row r="3542" spans="1:3" x14ac:dyDescent="0.2">
      <c r="A3542" s="10" t="str">
        <f>IF(3534&gt;$C$9008,"",INDEX($B$9:$B$9008,MATCH(3534,$C$9:$C$9008,0)))</f>
        <v/>
      </c>
      <c r="B3542" s="9" t="str">
        <f>IFERROR(INDEX(Input!$L$20:$T$1019,INT((ROW()-9)/9)+1,MOD(ROW()-9,9)+1),"")</f>
        <v/>
      </c>
      <c r="C3542" s="9">
        <f t="shared" si="55"/>
        <v>0</v>
      </c>
    </row>
    <row r="3543" spans="1:3" x14ac:dyDescent="0.2">
      <c r="A3543" s="10" t="str">
        <f>IF(3535&gt;$C$9008,"",INDEX($B$9:$B$9008,MATCH(3535,$C$9:$C$9008,0)))</f>
        <v/>
      </c>
      <c r="B3543" s="9" t="str">
        <f>IFERROR(INDEX(Input!$L$20:$T$1019,INT((ROW()-9)/9)+1,MOD(ROW()-9,9)+1),"")</f>
        <v/>
      </c>
      <c r="C3543" s="9">
        <f t="shared" si="55"/>
        <v>0</v>
      </c>
    </row>
    <row r="3544" spans="1:3" x14ac:dyDescent="0.2">
      <c r="A3544" s="10" t="str">
        <f>IF(3536&gt;$C$9008,"",INDEX($B$9:$B$9008,MATCH(3536,$C$9:$C$9008,0)))</f>
        <v/>
      </c>
      <c r="B3544" s="9" t="str">
        <f>IFERROR(INDEX(Input!$L$20:$T$1019,INT((ROW()-9)/9)+1,MOD(ROW()-9,9)+1),"")</f>
        <v/>
      </c>
      <c r="C3544" s="9">
        <f t="shared" si="55"/>
        <v>0</v>
      </c>
    </row>
    <row r="3545" spans="1:3" x14ac:dyDescent="0.2">
      <c r="A3545" s="10" t="str">
        <f>IF(3537&gt;$C$9008,"",INDEX($B$9:$B$9008,MATCH(3537,$C$9:$C$9008,0)))</f>
        <v/>
      </c>
      <c r="B3545" s="9" t="str">
        <f>IFERROR(INDEX(Input!$L$20:$T$1019,INT((ROW()-9)/9)+1,MOD(ROW()-9,9)+1),"")</f>
        <v/>
      </c>
      <c r="C3545" s="9">
        <f t="shared" si="55"/>
        <v>0</v>
      </c>
    </row>
    <row r="3546" spans="1:3" x14ac:dyDescent="0.2">
      <c r="A3546" s="10" t="str">
        <f>IF(3538&gt;$C$9008,"",INDEX($B$9:$B$9008,MATCH(3538,$C$9:$C$9008,0)))</f>
        <v/>
      </c>
      <c r="B3546" s="9" t="str">
        <f>IFERROR(INDEX(Input!$L$20:$T$1019,INT((ROW()-9)/9)+1,MOD(ROW()-9,9)+1),"")</f>
        <v/>
      </c>
      <c r="C3546" s="9">
        <f t="shared" si="55"/>
        <v>0</v>
      </c>
    </row>
    <row r="3547" spans="1:3" x14ac:dyDescent="0.2">
      <c r="A3547" s="10" t="str">
        <f>IF(3539&gt;$C$9008,"",INDEX($B$9:$B$9008,MATCH(3539,$C$9:$C$9008,0)))</f>
        <v/>
      </c>
      <c r="B3547" s="9" t="str">
        <f>IFERROR(INDEX(Input!$L$20:$T$1019,INT((ROW()-9)/9)+1,MOD(ROW()-9,9)+1),"")</f>
        <v/>
      </c>
      <c r="C3547" s="9">
        <f t="shared" si="55"/>
        <v>0</v>
      </c>
    </row>
    <row r="3548" spans="1:3" x14ac:dyDescent="0.2">
      <c r="A3548" s="10" t="str">
        <f>IF(3540&gt;$C$9008,"",INDEX($B$9:$B$9008,MATCH(3540,$C$9:$C$9008,0)))</f>
        <v/>
      </c>
      <c r="B3548" s="9" t="str">
        <f>IFERROR(INDEX(Input!$L$20:$T$1019,INT((ROW()-9)/9)+1,MOD(ROW()-9,9)+1),"")</f>
        <v/>
      </c>
      <c r="C3548" s="9">
        <f t="shared" si="55"/>
        <v>0</v>
      </c>
    </row>
    <row r="3549" spans="1:3" x14ac:dyDescent="0.2">
      <c r="A3549" s="10" t="str">
        <f>IF(3541&gt;$C$9008,"",INDEX($B$9:$B$9008,MATCH(3541,$C$9:$C$9008,0)))</f>
        <v/>
      </c>
      <c r="B3549" s="9" t="str">
        <f>IFERROR(INDEX(Input!$L$20:$T$1019,INT((ROW()-9)/9)+1,MOD(ROW()-9,9)+1),"")</f>
        <v/>
      </c>
      <c r="C3549" s="9">
        <f t="shared" si="55"/>
        <v>0</v>
      </c>
    </row>
    <row r="3550" spans="1:3" x14ac:dyDescent="0.2">
      <c r="A3550" s="10" t="str">
        <f>IF(3542&gt;$C$9008,"",INDEX($B$9:$B$9008,MATCH(3542,$C$9:$C$9008,0)))</f>
        <v/>
      </c>
      <c r="B3550" s="9" t="str">
        <f>IFERROR(INDEX(Input!$L$20:$T$1019,INT((ROW()-9)/9)+1,MOD(ROW()-9,9)+1),"")</f>
        <v/>
      </c>
      <c r="C3550" s="9">
        <f t="shared" si="55"/>
        <v>0</v>
      </c>
    </row>
    <row r="3551" spans="1:3" x14ac:dyDescent="0.2">
      <c r="A3551" s="10" t="str">
        <f>IF(3543&gt;$C$9008,"",INDEX($B$9:$B$9008,MATCH(3543,$C$9:$C$9008,0)))</f>
        <v/>
      </c>
      <c r="B3551" s="9" t="str">
        <f>IFERROR(INDEX(Input!$L$20:$T$1019,INT((ROW()-9)/9)+1,MOD(ROW()-9,9)+1),"")</f>
        <v/>
      </c>
      <c r="C3551" s="9">
        <f t="shared" si="55"/>
        <v>0</v>
      </c>
    </row>
    <row r="3552" spans="1:3" x14ac:dyDescent="0.2">
      <c r="A3552" s="10" t="str">
        <f>IF(3544&gt;$C$9008,"",INDEX($B$9:$B$9008,MATCH(3544,$C$9:$C$9008,0)))</f>
        <v/>
      </c>
      <c r="B3552" s="9" t="str">
        <f>IFERROR(INDEX(Input!$L$20:$T$1019,INT((ROW()-9)/9)+1,MOD(ROW()-9,9)+1),"")</f>
        <v/>
      </c>
      <c r="C3552" s="9">
        <f t="shared" si="55"/>
        <v>0</v>
      </c>
    </row>
    <row r="3553" spans="1:3" x14ac:dyDescent="0.2">
      <c r="A3553" s="10" t="str">
        <f>IF(3545&gt;$C$9008,"",INDEX($B$9:$B$9008,MATCH(3545,$C$9:$C$9008,0)))</f>
        <v/>
      </c>
      <c r="B3553" s="9" t="str">
        <f>IFERROR(INDEX(Input!$L$20:$T$1019,INT((ROW()-9)/9)+1,MOD(ROW()-9,9)+1),"")</f>
        <v/>
      </c>
      <c r="C3553" s="9">
        <f t="shared" si="55"/>
        <v>0</v>
      </c>
    </row>
    <row r="3554" spans="1:3" x14ac:dyDescent="0.2">
      <c r="A3554" s="10" t="str">
        <f>IF(3546&gt;$C$9008,"",INDEX($B$9:$B$9008,MATCH(3546,$C$9:$C$9008,0)))</f>
        <v/>
      </c>
      <c r="B3554" s="9" t="str">
        <f>IFERROR(INDEX(Input!$L$20:$T$1019,INT((ROW()-9)/9)+1,MOD(ROW()-9,9)+1),"")</f>
        <v/>
      </c>
      <c r="C3554" s="9">
        <f t="shared" si="55"/>
        <v>0</v>
      </c>
    </row>
    <row r="3555" spans="1:3" x14ac:dyDescent="0.2">
      <c r="A3555" s="10" t="str">
        <f>IF(3547&gt;$C$9008,"",INDEX($B$9:$B$9008,MATCH(3547,$C$9:$C$9008,0)))</f>
        <v/>
      </c>
      <c r="B3555" s="9" t="str">
        <f>IFERROR(INDEX(Input!$L$20:$T$1019,INT((ROW()-9)/9)+1,MOD(ROW()-9,9)+1),"")</f>
        <v/>
      </c>
      <c r="C3555" s="9">
        <f t="shared" si="55"/>
        <v>0</v>
      </c>
    </row>
    <row r="3556" spans="1:3" x14ac:dyDescent="0.2">
      <c r="A3556" s="10" t="str">
        <f>IF(3548&gt;$C$9008,"",INDEX($B$9:$B$9008,MATCH(3548,$C$9:$C$9008,0)))</f>
        <v/>
      </c>
      <c r="B3556" s="9" t="str">
        <f>IFERROR(INDEX(Input!$L$20:$T$1019,INT((ROW()-9)/9)+1,MOD(ROW()-9,9)+1),"")</f>
        <v/>
      </c>
      <c r="C3556" s="9">
        <f t="shared" si="55"/>
        <v>0</v>
      </c>
    </row>
    <row r="3557" spans="1:3" x14ac:dyDescent="0.2">
      <c r="A3557" s="10" t="str">
        <f>IF(3549&gt;$C$9008,"",INDEX($B$9:$B$9008,MATCH(3549,$C$9:$C$9008,0)))</f>
        <v/>
      </c>
      <c r="B3557" s="9" t="str">
        <f>IFERROR(INDEX(Input!$L$20:$T$1019,INT((ROW()-9)/9)+1,MOD(ROW()-9,9)+1),"")</f>
        <v/>
      </c>
      <c r="C3557" s="9">
        <f t="shared" si="55"/>
        <v>0</v>
      </c>
    </row>
    <row r="3558" spans="1:3" x14ac:dyDescent="0.2">
      <c r="A3558" s="10" t="str">
        <f>IF(3550&gt;$C$9008,"",INDEX($B$9:$B$9008,MATCH(3550,$C$9:$C$9008,0)))</f>
        <v/>
      </c>
      <c r="B3558" s="9" t="str">
        <f>IFERROR(INDEX(Input!$L$20:$T$1019,INT((ROW()-9)/9)+1,MOD(ROW()-9,9)+1),"")</f>
        <v/>
      </c>
      <c r="C3558" s="9">
        <f t="shared" si="55"/>
        <v>0</v>
      </c>
    </row>
    <row r="3559" spans="1:3" x14ac:dyDescent="0.2">
      <c r="A3559" s="10" t="str">
        <f>IF(3551&gt;$C$9008,"",INDEX($B$9:$B$9008,MATCH(3551,$C$9:$C$9008,0)))</f>
        <v/>
      </c>
      <c r="B3559" s="9" t="str">
        <f>IFERROR(INDEX(Input!$L$20:$T$1019,INT((ROW()-9)/9)+1,MOD(ROW()-9,9)+1),"")</f>
        <v/>
      </c>
      <c r="C3559" s="9">
        <f t="shared" si="55"/>
        <v>0</v>
      </c>
    </row>
    <row r="3560" spans="1:3" x14ac:dyDescent="0.2">
      <c r="A3560" s="10" t="str">
        <f>IF(3552&gt;$C$9008,"",INDEX($B$9:$B$9008,MATCH(3552,$C$9:$C$9008,0)))</f>
        <v/>
      </c>
      <c r="B3560" s="9" t="str">
        <f>IFERROR(INDEX(Input!$L$20:$T$1019,INT((ROW()-9)/9)+1,MOD(ROW()-9,9)+1),"")</f>
        <v/>
      </c>
      <c r="C3560" s="9">
        <f t="shared" si="55"/>
        <v>0</v>
      </c>
    </row>
    <row r="3561" spans="1:3" x14ac:dyDescent="0.2">
      <c r="A3561" s="10" t="str">
        <f>IF(3553&gt;$C$9008,"",INDEX($B$9:$B$9008,MATCH(3553,$C$9:$C$9008,0)))</f>
        <v/>
      </c>
      <c r="B3561" s="9" t="str">
        <f>IFERROR(INDEX(Input!$L$20:$T$1019,INT((ROW()-9)/9)+1,MOD(ROW()-9,9)+1),"")</f>
        <v/>
      </c>
      <c r="C3561" s="9">
        <f t="shared" si="55"/>
        <v>0</v>
      </c>
    </row>
    <row r="3562" spans="1:3" x14ac:dyDescent="0.2">
      <c r="A3562" s="10" t="str">
        <f>IF(3554&gt;$C$9008,"",INDEX($B$9:$B$9008,MATCH(3554,$C$9:$C$9008,0)))</f>
        <v/>
      </c>
      <c r="B3562" s="9" t="str">
        <f>IFERROR(INDEX(Input!$L$20:$T$1019,INT((ROW()-9)/9)+1,MOD(ROW()-9,9)+1),"")</f>
        <v/>
      </c>
      <c r="C3562" s="9">
        <f t="shared" si="55"/>
        <v>0</v>
      </c>
    </row>
    <row r="3563" spans="1:3" x14ac:dyDescent="0.2">
      <c r="A3563" s="10" t="str">
        <f>IF(3555&gt;$C$9008,"",INDEX($B$9:$B$9008,MATCH(3555,$C$9:$C$9008,0)))</f>
        <v/>
      </c>
      <c r="B3563" s="9" t="str">
        <f>IFERROR(INDEX(Input!$L$20:$T$1019,INT((ROW()-9)/9)+1,MOD(ROW()-9,9)+1),"")</f>
        <v/>
      </c>
      <c r="C3563" s="9">
        <f t="shared" si="55"/>
        <v>0</v>
      </c>
    </row>
    <row r="3564" spans="1:3" x14ac:dyDescent="0.2">
      <c r="A3564" s="10" t="str">
        <f>IF(3556&gt;$C$9008,"",INDEX($B$9:$B$9008,MATCH(3556,$C$9:$C$9008,0)))</f>
        <v/>
      </c>
      <c r="B3564" s="9" t="str">
        <f>IFERROR(INDEX(Input!$L$20:$T$1019,INT((ROW()-9)/9)+1,MOD(ROW()-9,9)+1),"")</f>
        <v/>
      </c>
      <c r="C3564" s="9">
        <f t="shared" si="55"/>
        <v>0</v>
      </c>
    </row>
    <row r="3565" spans="1:3" x14ac:dyDescent="0.2">
      <c r="A3565" s="10" t="str">
        <f>IF(3557&gt;$C$9008,"",INDEX($B$9:$B$9008,MATCH(3557,$C$9:$C$9008,0)))</f>
        <v/>
      </c>
      <c r="B3565" s="9" t="str">
        <f>IFERROR(INDEX(Input!$L$20:$T$1019,INT((ROW()-9)/9)+1,MOD(ROW()-9,9)+1),"")</f>
        <v/>
      </c>
      <c r="C3565" s="9">
        <f t="shared" si="55"/>
        <v>0</v>
      </c>
    </row>
    <row r="3566" spans="1:3" x14ac:dyDescent="0.2">
      <c r="A3566" s="10" t="str">
        <f>IF(3558&gt;$C$9008,"",INDEX($B$9:$B$9008,MATCH(3558,$C$9:$C$9008,0)))</f>
        <v/>
      </c>
      <c r="B3566" s="9" t="str">
        <f>IFERROR(INDEX(Input!$L$20:$T$1019,INT((ROW()-9)/9)+1,MOD(ROW()-9,9)+1),"")</f>
        <v/>
      </c>
      <c r="C3566" s="9">
        <f t="shared" si="55"/>
        <v>0</v>
      </c>
    </row>
    <row r="3567" spans="1:3" x14ac:dyDescent="0.2">
      <c r="A3567" s="10" t="str">
        <f>IF(3559&gt;$C$9008,"",INDEX($B$9:$B$9008,MATCH(3559,$C$9:$C$9008,0)))</f>
        <v/>
      </c>
      <c r="B3567" s="9" t="str">
        <f>IFERROR(INDEX(Input!$L$20:$T$1019,INT((ROW()-9)/9)+1,MOD(ROW()-9,9)+1),"")</f>
        <v/>
      </c>
      <c r="C3567" s="9">
        <f t="shared" si="55"/>
        <v>0</v>
      </c>
    </row>
    <row r="3568" spans="1:3" x14ac:dyDescent="0.2">
      <c r="A3568" s="10" t="str">
        <f>IF(3560&gt;$C$9008,"",INDEX($B$9:$B$9008,MATCH(3560,$C$9:$C$9008,0)))</f>
        <v/>
      </c>
      <c r="B3568" s="9" t="str">
        <f>IFERROR(INDEX(Input!$L$20:$T$1019,INT((ROW()-9)/9)+1,MOD(ROW()-9,9)+1),"")</f>
        <v/>
      </c>
      <c r="C3568" s="9">
        <f t="shared" si="55"/>
        <v>0</v>
      </c>
    </row>
    <row r="3569" spans="1:3" x14ac:dyDescent="0.2">
      <c r="A3569" s="10" t="str">
        <f>IF(3561&gt;$C$9008,"",INDEX($B$9:$B$9008,MATCH(3561,$C$9:$C$9008,0)))</f>
        <v/>
      </c>
      <c r="B3569" s="9" t="str">
        <f>IFERROR(INDEX(Input!$L$20:$T$1019,INT((ROW()-9)/9)+1,MOD(ROW()-9,9)+1),"")</f>
        <v/>
      </c>
      <c r="C3569" s="9">
        <f t="shared" si="55"/>
        <v>0</v>
      </c>
    </row>
    <row r="3570" spans="1:3" x14ac:dyDescent="0.2">
      <c r="A3570" s="10" t="str">
        <f>IF(3562&gt;$C$9008,"",INDEX($B$9:$B$9008,MATCH(3562,$C$9:$C$9008,0)))</f>
        <v/>
      </c>
      <c r="B3570" s="9" t="str">
        <f>IFERROR(INDEX(Input!$L$20:$T$1019,INT((ROW()-9)/9)+1,MOD(ROW()-9,9)+1),"")</f>
        <v/>
      </c>
      <c r="C3570" s="9">
        <f t="shared" si="55"/>
        <v>0</v>
      </c>
    </row>
    <row r="3571" spans="1:3" x14ac:dyDescent="0.2">
      <c r="A3571" s="10" t="str">
        <f>IF(3563&gt;$C$9008,"",INDEX($B$9:$B$9008,MATCH(3563,$C$9:$C$9008,0)))</f>
        <v/>
      </c>
      <c r="B3571" s="9" t="str">
        <f>IFERROR(INDEX(Input!$L$20:$T$1019,INT((ROW()-9)/9)+1,MOD(ROW()-9,9)+1),"")</f>
        <v/>
      </c>
      <c r="C3571" s="9">
        <f t="shared" si="55"/>
        <v>0</v>
      </c>
    </row>
    <row r="3572" spans="1:3" x14ac:dyDescent="0.2">
      <c r="A3572" s="10" t="str">
        <f>IF(3564&gt;$C$9008,"",INDEX($B$9:$B$9008,MATCH(3564,$C$9:$C$9008,0)))</f>
        <v/>
      </c>
      <c r="B3572" s="9" t="str">
        <f>IFERROR(INDEX(Input!$L$20:$T$1019,INT((ROW()-9)/9)+1,MOD(ROW()-9,9)+1),"")</f>
        <v/>
      </c>
      <c r="C3572" s="9">
        <f t="shared" si="55"/>
        <v>0</v>
      </c>
    </row>
    <row r="3573" spans="1:3" x14ac:dyDescent="0.2">
      <c r="A3573" s="10" t="str">
        <f>IF(3565&gt;$C$9008,"",INDEX($B$9:$B$9008,MATCH(3565,$C$9:$C$9008,0)))</f>
        <v/>
      </c>
      <c r="B3573" s="9" t="str">
        <f>IFERROR(INDEX(Input!$L$20:$T$1019,INT((ROW()-9)/9)+1,MOD(ROW()-9,9)+1),"")</f>
        <v/>
      </c>
      <c r="C3573" s="9">
        <f t="shared" si="55"/>
        <v>0</v>
      </c>
    </row>
    <row r="3574" spans="1:3" x14ac:dyDescent="0.2">
      <c r="A3574" s="10" t="str">
        <f>IF(3566&gt;$C$9008,"",INDEX($B$9:$B$9008,MATCH(3566,$C$9:$C$9008,0)))</f>
        <v/>
      </c>
      <c r="B3574" s="9" t="str">
        <f>IFERROR(INDEX(Input!$L$20:$T$1019,INT((ROW()-9)/9)+1,MOD(ROW()-9,9)+1),"")</f>
        <v/>
      </c>
      <c r="C3574" s="9">
        <f t="shared" si="55"/>
        <v>0</v>
      </c>
    </row>
    <row r="3575" spans="1:3" x14ac:dyDescent="0.2">
      <c r="A3575" s="10" t="str">
        <f>IF(3567&gt;$C$9008,"",INDEX($B$9:$B$9008,MATCH(3567,$C$9:$C$9008,0)))</f>
        <v/>
      </c>
      <c r="B3575" s="9" t="str">
        <f>IFERROR(INDEX(Input!$L$20:$T$1019,INT((ROW()-9)/9)+1,MOD(ROW()-9,9)+1),"")</f>
        <v/>
      </c>
      <c r="C3575" s="9">
        <f t="shared" si="55"/>
        <v>0</v>
      </c>
    </row>
    <row r="3576" spans="1:3" x14ac:dyDescent="0.2">
      <c r="A3576" s="10" t="str">
        <f>IF(3568&gt;$C$9008,"",INDEX($B$9:$B$9008,MATCH(3568,$C$9:$C$9008,0)))</f>
        <v/>
      </c>
      <c r="B3576" s="9" t="str">
        <f>IFERROR(INDEX(Input!$L$20:$T$1019,INT((ROW()-9)/9)+1,MOD(ROW()-9,9)+1),"")</f>
        <v/>
      </c>
      <c r="C3576" s="9">
        <f t="shared" si="55"/>
        <v>0</v>
      </c>
    </row>
    <row r="3577" spans="1:3" x14ac:dyDescent="0.2">
      <c r="A3577" s="10" t="str">
        <f>IF(3569&gt;$C$9008,"",INDEX($B$9:$B$9008,MATCH(3569,$C$9:$C$9008,0)))</f>
        <v/>
      </c>
      <c r="B3577" s="9" t="str">
        <f>IFERROR(INDEX(Input!$L$20:$T$1019,INT((ROW()-9)/9)+1,MOD(ROW()-9,9)+1),"")</f>
        <v/>
      </c>
      <c r="C3577" s="9">
        <f t="shared" si="55"/>
        <v>0</v>
      </c>
    </row>
    <row r="3578" spans="1:3" x14ac:dyDescent="0.2">
      <c r="A3578" s="10" t="str">
        <f>IF(3570&gt;$C$9008,"",INDEX($B$9:$B$9008,MATCH(3570,$C$9:$C$9008,0)))</f>
        <v/>
      </c>
      <c r="B3578" s="9" t="str">
        <f>IFERROR(INDEX(Input!$L$20:$T$1019,INT((ROW()-9)/9)+1,MOD(ROW()-9,9)+1),"")</f>
        <v/>
      </c>
      <c r="C3578" s="9">
        <f t="shared" si="55"/>
        <v>0</v>
      </c>
    </row>
    <row r="3579" spans="1:3" x14ac:dyDescent="0.2">
      <c r="A3579" s="10" t="str">
        <f>IF(3571&gt;$C$9008,"",INDEX($B$9:$B$9008,MATCH(3571,$C$9:$C$9008,0)))</f>
        <v/>
      </c>
      <c r="B3579" s="9" t="str">
        <f>IFERROR(INDEX(Input!$L$20:$T$1019,INT((ROW()-9)/9)+1,MOD(ROW()-9,9)+1),"")</f>
        <v/>
      </c>
      <c r="C3579" s="9">
        <f t="shared" si="55"/>
        <v>0</v>
      </c>
    </row>
    <row r="3580" spans="1:3" x14ac:dyDescent="0.2">
      <c r="A3580" s="10" t="str">
        <f>IF(3572&gt;$C$9008,"",INDEX($B$9:$B$9008,MATCH(3572,$C$9:$C$9008,0)))</f>
        <v/>
      </c>
      <c r="B3580" s="9" t="str">
        <f>IFERROR(INDEX(Input!$L$20:$T$1019,INT((ROW()-9)/9)+1,MOD(ROW()-9,9)+1),"")</f>
        <v/>
      </c>
      <c r="C3580" s="9">
        <f t="shared" si="55"/>
        <v>0</v>
      </c>
    </row>
    <row r="3581" spans="1:3" x14ac:dyDescent="0.2">
      <c r="A3581" s="10" t="str">
        <f>IF(3573&gt;$C$9008,"",INDEX($B$9:$B$9008,MATCH(3573,$C$9:$C$9008,0)))</f>
        <v/>
      </c>
      <c r="B3581" s="9" t="str">
        <f>IFERROR(INDEX(Input!$L$20:$T$1019,INT((ROW()-9)/9)+1,MOD(ROW()-9,9)+1),"")</f>
        <v/>
      </c>
      <c r="C3581" s="9">
        <f t="shared" si="55"/>
        <v>0</v>
      </c>
    </row>
    <row r="3582" spans="1:3" x14ac:dyDescent="0.2">
      <c r="A3582" s="10" t="str">
        <f>IF(3574&gt;$C$9008,"",INDEX($B$9:$B$9008,MATCH(3574,$C$9:$C$9008,0)))</f>
        <v/>
      </c>
      <c r="B3582" s="9" t="str">
        <f>IFERROR(INDEX(Input!$L$20:$T$1019,INT((ROW()-9)/9)+1,MOD(ROW()-9,9)+1),"")</f>
        <v/>
      </c>
      <c r="C3582" s="9">
        <f t="shared" si="55"/>
        <v>0</v>
      </c>
    </row>
    <row r="3583" spans="1:3" x14ac:dyDescent="0.2">
      <c r="A3583" s="10" t="str">
        <f>IF(3575&gt;$C$9008,"",INDEX($B$9:$B$9008,MATCH(3575,$C$9:$C$9008,0)))</f>
        <v/>
      </c>
      <c r="B3583" s="9" t="str">
        <f>IFERROR(INDEX(Input!$L$20:$T$1019,INT((ROW()-9)/9)+1,MOD(ROW()-9,9)+1),"")</f>
        <v/>
      </c>
      <c r="C3583" s="9">
        <f t="shared" si="55"/>
        <v>0</v>
      </c>
    </row>
    <row r="3584" spans="1:3" x14ac:dyDescent="0.2">
      <c r="A3584" s="10" t="str">
        <f>IF(3576&gt;$C$9008,"",INDEX($B$9:$B$9008,MATCH(3576,$C$9:$C$9008,0)))</f>
        <v/>
      </c>
      <c r="B3584" s="9" t="str">
        <f>IFERROR(INDEX(Input!$L$20:$T$1019,INT((ROW()-9)/9)+1,MOD(ROW()-9,9)+1),"")</f>
        <v/>
      </c>
      <c r="C3584" s="9">
        <f t="shared" si="55"/>
        <v>0</v>
      </c>
    </row>
    <row r="3585" spans="1:3" x14ac:dyDescent="0.2">
      <c r="A3585" s="10" t="str">
        <f>IF(3577&gt;$C$9008,"",INDEX($B$9:$B$9008,MATCH(3577,$C$9:$C$9008,0)))</f>
        <v/>
      </c>
      <c r="B3585" s="9" t="str">
        <f>IFERROR(INDEX(Input!$L$20:$T$1019,INT((ROW()-9)/9)+1,MOD(ROW()-9,9)+1),"")</f>
        <v/>
      </c>
      <c r="C3585" s="9">
        <f t="shared" si="55"/>
        <v>0</v>
      </c>
    </row>
    <row r="3586" spans="1:3" x14ac:dyDescent="0.2">
      <c r="A3586" s="10" t="str">
        <f>IF(3578&gt;$C$9008,"",INDEX($B$9:$B$9008,MATCH(3578,$C$9:$C$9008,0)))</f>
        <v/>
      </c>
      <c r="B3586" s="9" t="str">
        <f>IFERROR(INDEX(Input!$L$20:$T$1019,INT((ROW()-9)/9)+1,MOD(ROW()-9,9)+1),"")</f>
        <v/>
      </c>
      <c r="C3586" s="9">
        <f t="shared" si="55"/>
        <v>0</v>
      </c>
    </row>
    <row r="3587" spans="1:3" x14ac:dyDescent="0.2">
      <c r="A3587" s="10" t="str">
        <f>IF(3579&gt;$C$9008,"",INDEX($B$9:$B$9008,MATCH(3579,$C$9:$C$9008,0)))</f>
        <v/>
      </c>
      <c r="B3587" s="9" t="str">
        <f>IFERROR(INDEX(Input!$L$20:$T$1019,INT((ROW()-9)/9)+1,MOD(ROW()-9,9)+1),"")</f>
        <v/>
      </c>
      <c r="C3587" s="9">
        <f t="shared" si="55"/>
        <v>0</v>
      </c>
    </row>
    <row r="3588" spans="1:3" x14ac:dyDescent="0.2">
      <c r="A3588" s="10" t="str">
        <f>IF(3580&gt;$C$9008,"",INDEX($B$9:$B$9008,MATCH(3580,$C$9:$C$9008,0)))</f>
        <v/>
      </c>
      <c r="B3588" s="9" t="str">
        <f>IFERROR(INDEX(Input!$L$20:$T$1019,INT((ROW()-9)/9)+1,MOD(ROW()-9,9)+1),"")</f>
        <v/>
      </c>
      <c r="C3588" s="9">
        <f t="shared" si="55"/>
        <v>0</v>
      </c>
    </row>
    <row r="3589" spans="1:3" x14ac:dyDescent="0.2">
      <c r="A3589" s="10" t="str">
        <f>IF(3581&gt;$C$9008,"",INDEX($B$9:$B$9008,MATCH(3581,$C$9:$C$9008,0)))</f>
        <v/>
      </c>
      <c r="B3589" s="9" t="str">
        <f>IFERROR(INDEX(Input!$L$20:$T$1019,INT((ROW()-9)/9)+1,MOD(ROW()-9,9)+1),"")</f>
        <v/>
      </c>
      <c r="C3589" s="9">
        <f t="shared" si="55"/>
        <v>0</v>
      </c>
    </row>
    <row r="3590" spans="1:3" x14ac:dyDescent="0.2">
      <c r="A3590" s="10" t="str">
        <f>IF(3582&gt;$C$9008,"",INDEX($B$9:$B$9008,MATCH(3582,$C$9:$C$9008,0)))</f>
        <v/>
      </c>
      <c r="B3590" s="9" t="str">
        <f>IFERROR(INDEX(Input!$L$20:$T$1019,INT((ROW()-9)/9)+1,MOD(ROW()-9,9)+1),"")</f>
        <v/>
      </c>
      <c r="C3590" s="9">
        <f t="shared" si="55"/>
        <v>0</v>
      </c>
    </row>
    <row r="3591" spans="1:3" x14ac:dyDescent="0.2">
      <c r="A3591" s="10" t="str">
        <f>IF(3583&gt;$C$9008,"",INDEX($B$9:$B$9008,MATCH(3583,$C$9:$C$9008,0)))</f>
        <v/>
      </c>
      <c r="B3591" s="9" t="str">
        <f>IFERROR(INDEX(Input!$L$20:$T$1019,INT((ROW()-9)/9)+1,MOD(ROW()-9,9)+1),"")</f>
        <v/>
      </c>
      <c r="C3591" s="9">
        <f t="shared" si="55"/>
        <v>0</v>
      </c>
    </row>
    <row r="3592" spans="1:3" x14ac:dyDescent="0.2">
      <c r="A3592" s="10" t="str">
        <f>IF(3584&gt;$C$9008,"",INDEX($B$9:$B$9008,MATCH(3584,$C$9:$C$9008,0)))</f>
        <v/>
      </c>
      <c r="B3592" s="9" t="str">
        <f>IFERROR(INDEX(Input!$L$20:$T$1019,INT((ROW()-9)/9)+1,MOD(ROW()-9,9)+1),"")</f>
        <v/>
      </c>
      <c r="C3592" s="9">
        <f t="shared" si="55"/>
        <v>0</v>
      </c>
    </row>
    <row r="3593" spans="1:3" x14ac:dyDescent="0.2">
      <c r="A3593" s="10" t="str">
        <f>IF(3585&gt;$C$9008,"",INDEX($B$9:$B$9008,MATCH(3585,$C$9:$C$9008,0)))</f>
        <v/>
      </c>
      <c r="B3593" s="9" t="str">
        <f>IFERROR(INDEX(Input!$L$20:$T$1019,INT((ROW()-9)/9)+1,MOD(ROW()-9,9)+1),"")</f>
        <v/>
      </c>
      <c r="C3593" s="9">
        <f t="shared" ref="C3593:C3656" si="56">$C3592+IF($B3593&lt;&gt;"",1,0)</f>
        <v>0</v>
      </c>
    </row>
    <row r="3594" spans="1:3" x14ac:dyDescent="0.2">
      <c r="A3594" s="10" t="str">
        <f>IF(3586&gt;$C$9008,"",INDEX($B$9:$B$9008,MATCH(3586,$C$9:$C$9008,0)))</f>
        <v/>
      </c>
      <c r="B3594" s="9" t="str">
        <f>IFERROR(INDEX(Input!$L$20:$T$1019,INT((ROW()-9)/9)+1,MOD(ROW()-9,9)+1),"")</f>
        <v/>
      </c>
      <c r="C3594" s="9">
        <f t="shared" si="56"/>
        <v>0</v>
      </c>
    </row>
    <row r="3595" spans="1:3" x14ac:dyDescent="0.2">
      <c r="A3595" s="10" t="str">
        <f>IF(3587&gt;$C$9008,"",INDEX($B$9:$B$9008,MATCH(3587,$C$9:$C$9008,0)))</f>
        <v/>
      </c>
      <c r="B3595" s="9" t="str">
        <f>IFERROR(INDEX(Input!$L$20:$T$1019,INT((ROW()-9)/9)+1,MOD(ROW()-9,9)+1),"")</f>
        <v/>
      </c>
      <c r="C3595" s="9">
        <f t="shared" si="56"/>
        <v>0</v>
      </c>
    </row>
    <row r="3596" spans="1:3" x14ac:dyDescent="0.2">
      <c r="A3596" s="10" t="str">
        <f>IF(3588&gt;$C$9008,"",INDEX($B$9:$B$9008,MATCH(3588,$C$9:$C$9008,0)))</f>
        <v/>
      </c>
      <c r="B3596" s="9" t="str">
        <f>IFERROR(INDEX(Input!$L$20:$T$1019,INT((ROW()-9)/9)+1,MOD(ROW()-9,9)+1),"")</f>
        <v/>
      </c>
      <c r="C3596" s="9">
        <f t="shared" si="56"/>
        <v>0</v>
      </c>
    </row>
    <row r="3597" spans="1:3" x14ac:dyDescent="0.2">
      <c r="A3597" s="10" t="str">
        <f>IF(3589&gt;$C$9008,"",INDEX($B$9:$B$9008,MATCH(3589,$C$9:$C$9008,0)))</f>
        <v/>
      </c>
      <c r="B3597" s="9" t="str">
        <f>IFERROR(INDEX(Input!$L$20:$T$1019,INT((ROW()-9)/9)+1,MOD(ROW()-9,9)+1),"")</f>
        <v/>
      </c>
      <c r="C3597" s="9">
        <f t="shared" si="56"/>
        <v>0</v>
      </c>
    </row>
    <row r="3598" spans="1:3" x14ac:dyDescent="0.2">
      <c r="A3598" s="10" t="str">
        <f>IF(3590&gt;$C$9008,"",INDEX($B$9:$B$9008,MATCH(3590,$C$9:$C$9008,0)))</f>
        <v/>
      </c>
      <c r="B3598" s="9" t="str">
        <f>IFERROR(INDEX(Input!$L$20:$T$1019,INT((ROW()-9)/9)+1,MOD(ROW()-9,9)+1),"")</f>
        <v/>
      </c>
      <c r="C3598" s="9">
        <f t="shared" si="56"/>
        <v>0</v>
      </c>
    </row>
    <row r="3599" spans="1:3" x14ac:dyDescent="0.2">
      <c r="A3599" s="10" t="str">
        <f>IF(3591&gt;$C$9008,"",INDEX($B$9:$B$9008,MATCH(3591,$C$9:$C$9008,0)))</f>
        <v/>
      </c>
      <c r="B3599" s="9" t="str">
        <f>IFERROR(INDEX(Input!$L$20:$T$1019,INT((ROW()-9)/9)+1,MOD(ROW()-9,9)+1),"")</f>
        <v/>
      </c>
      <c r="C3599" s="9">
        <f t="shared" si="56"/>
        <v>0</v>
      </c>
    </row>
    <row r="3600" spans="1:3" x14ac:dyDescent="0.2">
      <c r="A3600" s="10" t="str">
        <f>IF(3592&gt;$C$9008,"",INDEX($B$9:$B$9008,MATCH(3592,$C$9:$C$9008,0)))</f>
        <v/>
      </c>
      <c r="B3600" s="9" t="str">
        <f>IFERROR(INDEX(Input!$L$20:$T$1019,INT((ROW()-9)/9)+1,MOD(ROW()-9,9)+1),"")</f>
        <v/>
      </c>
      <c r="C3600" s="9">
        <f t="shared" si="56"/>
        <v>0</v>
      </c>
    </row>
    <row r="3601" spans="1:3" x14ac:dyDescent="0.2">
      <c r="A3601" s="10" t="str">
        <f>IF(3593&gt;$C$9008,"",INDEX($B$9:$B$9008,MATCH(3593,$C$9:$C$9008,0)))</f>
        <v/>
      </c>
      <c r="B3601" s="9" t="str">
        <f>IFERROR(INDEX(Input!$L$20:$T$1019,INT((ROW()-9)/9)+1,MOD(ROW()-9,9)+1),"")</f>
        <v/>
      </c>
      <c r="C3601" s="9">
        <f t="shared" si="56"/>
        <v>0</v>
      </c>
    </row>
    <row r="3602" spans="1:3" x14ac:dyDescent="0.2">
      <c r="A3602" s="10" t="str">
        <f>IF(3594&gt;$C$9008,"",INDEX($B$9:$B$9008,MATCH(3594,$C$9:$C$9008,0)))</f>
        <v/>
      </c>
      <c r="B3602" s="9" t="str">
        <f>IFERROR(INDEX(Input!$L$20:$T$1019,INT((ROW()-9)/9)+1,MOD(ROW()-9,9)+1),"")</f>
        <v/>
      </c>
      <c r="C3602" s="9">
        <f t="shared" si="56"/>
        <v>0</v>
      </c>
    </row>
    <row r="3603" spans="1:3" x14ac:dyDescent="0.2">
      <c r="A3603" s="10" t="str">
        <f>IF(3595&gt;$C$9008,"",INDEX($B$9:$B$9008,MATCH(3595,$C$9:$C$9008,0)))</f>
        <v/>
      </c>
      <c r="B3603" s="9" t="str">
        <f>IFERROR(INDEX(Input!$L$20:$T$1019,INT((ROW()-9)/9)+1,MOD(ROW()-9,9)+1),"")</f>
        <v/>
      </c>
      <c r="C3603" s="9">
        <f t="shared" si="56"/>
        <v>0</v>
      </c>
    </row>
    <row r="3604" spans="1:3" x14ac:dyDescent="0.2">
      <c r="A3604" s="10" t="str">
        <f>IF(3596&gt;$C$9008,"",INDEX($B$9:$B$9008,MATCH(3596,$C$9:$C$9008,0)))</f>
        <v/>
      </c>
      <c r="B3604" s="9" t="str">
        <f>IFERROR(INDEX(Input!$L$20:$T$1019,INT((ROW()-9)/9)+1,MOD(ROW()-9,9)+1),"")</f>
        <v/>
      </c>
      <c r="C3604" s="9">
        <f t="shared" si="56"/>
        <v>0</v>
      </c>
    </row>
    <row r="3605" spans="1:3" x14ac:dyDescent="0.2">
      <c r="A3605" s="10" t="str">
        <f>IF(3597&gt;$C$9008,"",INDEX($B$9:$B$9008,MATCH(3597,$C$9:$C$9008,0)))</f>
        <v/>
      </c>
      <c r="B3605" s="9" t="str">
        <f>IFERROR(INDEX(Input!$L$20:$T$1019,INT((ROW()-9)/9)+1,MOD(ROW()-9,9)+1),"")</f>
        <v/>
      </c>
      <c r="C3605" s="9">
        <f t="shared" si="56"/>
        <v>0</v>
      </c>
    </row>
    <row r="3606" spans="1:3" x14ac:dyDescent="0.2">
      <c r="A3606" s="10" t="str">
        <f>IF(3598&gt;$C$9008,"",INDEX($B$9:$B$9008,MATCH(3598,$C$9:$C$9008,0)))</f>
        <v/>
      </c>
      <c r="B3606" s="9" t="str">
        <f>IFERROR(INDEX(Input!$L$20:$T$1019,INT((ROW()-9)/9)+1,MOD(ROW()-9,9)+1),"")</f>
        <v/>
      </c>
      <c r="C3606" s="9">
        <f t="shared" si="56"/>
        <v>0</v>
      </c>
    </row>
    <row r="3607" spans="1:3" x14ac:dyDescent="0.2">
      <c r="A3607" s="10" t="str">
        <f>IF(3599&gt;$C$9008,"",INDEX($B$9:$B$9008,MATCH(3599,$C$9:$C$9008,0)))</f>
        <v/>
      </c>
      <c r="B3607" s="9" t="str">
        <f>IFERROR(INDEX(Input!$L$20:$T$1019,INT((ROW()-9)/9)+1,MOD(ROW()-9,9)+1),"")</f>
        <v/>
      </c>
      <c r="C3607" s="9">
        <f t="shared" si="56"/>
        <v>0</v>
      </c>
    </row>
    <row r="3608" spans="1:3" x14ac:dyDescent="0.2">
      <c r="A3608" s="10" t="str">
        <f>IF(3600&gt;$C$9008,"",INDEX($B$9:$B$9008,MATCH(3600,$C$9:$C$9008,0)))</f>
        <v/>
      </c>
      <c r="B3608" s="9" t="str">
        <f>IFERROR(INDEX(Input!$L$20:$T$1019,INT((ROW()-9)/9)+1,MOD(ROW()-9,9)+1),"")</f>
        <v/>
      </c>
      <c r="C3608" s="9">
        <f t="shared" si="56"/>
        <v>0</v>
      </c>
    </row>
    <row r="3609" spans="1:3" x14ac:dyDescent="0.2">
      <c r="A3609" s="10" t="str">
        <f>IF(3601&gt;$C$9008,"",INDEX($B$9:$B$9008,MATCH(3601,$C$9:$C$9008,0)))</f>
        <v/>
      </c>
      <c r="B3609" s="9" t="str">
        <f>IFERROR(INDEX(Input!$L$20:$T$1019,INT((ROW()-9)/9)+1,MOD(ROW()-9,9)+1),"")</f>
        <v/>
      </c>
      <c r="C3609" s="9">
        <f t="shared" si="56"/>
        <v>0</v>
      </c>
    </row>
    <row r="3610" spans="1:3" x14ac:dyDescent="0.2">
      <c r="A3610" s="10" t="str">
        <f>IF(3602&gt;$C$9008,"",INDEX($B$9:$B$9008,MATCH(3602,$C$9:$C$9008,0)))</f>
        <v/>
      </c>
      <c r="B3610" s="9" t="str">
        <f>IFERROR(INDEX(Input!$L$20:$T$1019,INT((ROW()-9)/9)+1,MOD(ROW()-9,9)+1),"")</f>
        <v/>
      </c>
      <c r="C3610" s="9">
        <f t="shared" si="56"/>
        <v>0</v>
      </c>
    </row>
    <row r="3611" spans="1:3" x14ac:dyDescent="0.2">
      <c r="A3611" s="10" t="str">
        <f>IF(3603&gt;$C$9008,"",INDEX($B$9:$B$9008,MATCH(3603,$C$9:$C$9008,0)))</f>
        <v/>
      </c>
      <c r="B3611" s="9" t="str">
        <f>IFERROR(INDEX(Input!$L$20:$T$1019,INT((ROW()-9)/9)+1,MOD(ROW()-9,9)+1),"")</f>
        <v/>
      </c>
      <c r="C3611" s="9">
        <f t="shared" si="56"/>
        <v>0</v>
      </c>
    </row>
    <row r="3612" spans="1:3" x14ac:dyDescent="0.2">
      <c r="A3612" s="10" t="str">
        <f>IF(3604&gt;$C$9008,"",INDEX($B$9:$B$9008,MATCH(3604,$C$9:$C$9008,0)))</f>
        <v/>
      </c>
      <c r="B3612" s="9" t="str">
        <f>IFERROR(INDEX(Input!$L$20:$T$1019,INT((ROW()-9)/9)+1,MOD(ROW()-9,9)+1),"")</f>
        <v/>
      </c>
      <c r="C3612" s="9">
        <f t="shared" si="56"/>
        <v>0</v>
      </c>
    </row>
    <row r="3613" spans="1:3" x14ac:dyDescent="0.2">
      <c r="A3613" s="10" t="str">
        <f>IF(3605&gt;$C$9008,"",INDEX($B$9:$B$9008,MATCH(3605,$C$9:$C$9008,0)))</f>
        <v/>
      </c>
      <c r="B3613" s="9" t="str">
        <f>IFERROR(INDEX(Input!$L$20:$T$1019,INT((ROW()-9)/9)+1,MOD(ROW()-9,9)+1),"")</f>
        <v/>
      </c>
      <c r="C3613" s="9">
        <f t="shared" si="56"/>
        <v>0</v>
      </c>
    </row>
    <row r="3614" spans="1:3" x14ac:dyDescent="0.2">
      <c r="A3614" s="10" t="str">
        <f>IF(3606&gt;$C$9008,"",INDEX($B$9:$B$9008,MATCH(3606,$C$9:$C$9008,0)))</f>
        <v/>
      </c>
      <c r="B3614" s="9" t="str">
        <f>IFERROR(INDEX(Input!$L$20:$T$1019,INT((ROW()-9)/9)+1,MOD(ROW()-9,9)+1),"")</f>
        <v/>
      </c>
      <c r="C3614" s="9">
        <f t="shared" si="56"/>
        <v>0</v>
      </c>
    </row>
    <row r="3615" spans="1:3" x14ac:dyDescent="0.2">
      <c r="A3615" s="10" t="str">
        <f>IF(3607&gt;$C$9008,"",INDEX($B$9:$B$9008,MATCH(3607,$C$9:$C$9008,0)))</f>
        <v/>
      </c>
      <c r="B3615" s="9" t="str">
        <f>IFERROR(INDEX(Input!$L$20:$T$1019,INT((ROW()-9)/9)+1,MOD(ROW()-9,9)+1),"")</f>
        <v/>
      </c>
      <c r="C3615" s="9">
        <f t="shared" si="56"/>
        <v>0</v>
      </c>
    </row>
    <row r="3616" spans="1:3" x14ac:dyDescent="0.2">
      <c r="A3616" s="10" t="str">
        <f>IF(3608&gt;$C$9008,"",INDEX($B$9:$B$9008,MATCH(3608,$C$9:$C$9008,0)))</f>
        <v/>
      </c>
      <c r="B3616" s="9" t="str">
        <f>IFERROR(INDEX(Input!$L$20:$T$1019,INT((ROW()-9)/9)+1,MOD(ROW()-9,9)+1),"")</f>
        <v/>
      </c>
      <c r="C3616" s="9">
        <f t="shared" si="56"/>
        <v>0</v>
      </c>
    </row>
    <row r="3617" spans="1:3" x14ac:dyDescent="0.2">
      <c r="A3617" s="10" t="str">
        <f>IF(3609&gt;$C$9008,"",INDEX($B$9:$B$9008,MATCH(3609,$C$9:$C$9008,0)))</f>
        <v/>
      </c>
      <c r="B3617" s="9" t="str">
        <f>IFERROR(INDEX(Input!$L$20:$T$1019,INT((ROW()-9)/9)+1,MOD(ROW()-9,9)+1),"")</f>
        <v/>
      </c>
      <c r="C3617" s="9">
        <f t="shared" si="56"/>
        <v>0</v>
      </c>
    </row>
    <row r="3618" spans="1:3" x14ac:dyDescent="0.2">
      <c r="A3618" s="10" t="str">
        <f>IF(3610&gt;$C$9008,"",INDEX($B$9:$B$9008,MATCH(3610,$C$9:$C$9008,0)))</f>
        <v/>
      </c>
      <c r="B3618" s="9" t="str">
        <f>IFERROR(INDEX(Input!$L$20:$T$1019,INT((ROW()-9)/9)+1,MOD(ROW()-9,9)+1),"")</f>
        <v/>
      </c>
      <c r="C3618" s="9">
        <f t="shared" si="56"/>
        <v>0</v>
      </c>
    </row>
    <row r="3619" spans="1:3" x14ac:dyDescent="0.2">
      <c r="A3619" s="10" t="str">
        <f>IF(3611&gt;$C$9008,"",INDEX($B$9:$B$9008,MATCH(3611,$C$9:$C$9008,0)))</f>
        <v/>
      </c>
      <c r="B3619" s="9" t="str">
        <f>IFERROR(INDEX(Input!$L$20:$T$1019,INT((ROW()-9)/9)+1,MOD(ROW()-9,9)+1),"")</f>
        <v/>
      </c>
      <c r="C3619" s="9">
        <f t="shared" si="56"/>
        <v>0</v>
      </c>
    </row>
    <row r="3620" spans="1:3" x14ac:dyDescent="0.2">
      <c r="A3620" s="10" t="str">
        <f>IF(3612&gt;$C$9008,"",INDEX($B$9:$B$9008,MATCH(3612,$C$9:$C$9008,0)))</f>
        <v/>
      </c>
      <c r="B3620" s="9" t="str">
        <f>IFERROR(INDEX(Input!$L$20:$T$1019,INT((ROW()-9)/9)+1,MOD(ROW()-9,9)+1),"")</f>
        <v/>
      </c>
      <c r="C3620" s="9">
        <f t="shared" si="56"/>
        <v>0</v>
      </c>
    </row>
    <row r="3621" spans="1:3" x14ac:dyDescent="0.2">
      <c r="A3621" s="10" t="str">
        <f>IF(3613&gt;$C$9008,"",INDEX($B$9:$B$9008,MATCH(3613,$C$9:$C$9008,0)))</f>
        <v/>
      </c>
      <c r="B3621" s="9" t="str">
        <f>IFERROR(INDEX(Input!$L$20:$T$1019,INT((ROW()-9)/9)+1,MOD(ROW()-9,9)+1),"")</f>
        <v/>
      </c>
      <c r="C3621" s="9">
        <f t="shared" si="56"/>
        <v>0</v>
      </c>
    </row>
    <row r="3622" spans="1:3" x14ac:dyDescent="0.2">
      <c r="A3622" s="10" t="str">
        <f>IF(3614&gt;$C$9008,"",INDEX($B$9:$B$9008,MATCH(3614,$C$9:$C$9008,0)))</f>
        <v/>
      </c>
      <c r="B3622" s="9" t="str">
        <f>IFERROR(INDEX(Input!$L$20:$T$1019,INT((ROW()-9)/9)+1,MOD(ROW()-9,9)+1),"")</f>
        <v/>
      </c>
      <c r="C3622" s="9">
        <f t="shared" si="56"/>
        <v>0</v>
      </c>
    </row>
    <row r="3623" spans="1:3" x14ac:dyDescent="0.2">
      <c r="A3623" s="10" t="str">
        <f>IF(3615&gt;$C$9008,"",INDEX($B$9:$B$9008,MATCH(3615,$C$9:$C$9008,0)))</f>
        <v/>
      </c>
      <c r="B3623" s="9" t="str">
        <f>IFERROR(INDEX(Input!$L$20:$T$1019,INT((ROW()-9)/9)+1,MOD(ROW()-9,9)+1),"")</f>
        <v/>
      </c>
      <c r="C3623" s="9">
        <f t="shared" si="56"/>
        <v>0</v>
      </c>
    </row>
    <row r="3624" spans="1:3" x14ac:dyDescent="0.2">
      <c r="A3624" s="10" t="str">
        <f>IF(3616&gt;$C$9008,"",INDEX($B$9:$B$9008,MATCH(3616,$C$9:$C$9008,0)))</f>
        <v/>
      </c>
      <c r="B3624" s="9" t="str">
        <f>IFERROR(INDEX(Input!$L$20:$T$1019,INT((ROW()-9)/9)+1,MOD(ROW()-9,9)+1),"")</f>
        <v/>
      </c>
      <c r="C3624" s="9">
        <f t="shared" si="56"/>
        <v>0</v>
      </c>
    </row>
    <row r="3625" spans="1:3" x14ac:dyDescent="0.2">
      <c r="A3625" s="10" t="str">
        <f>IF(3617&gt;$C$9008,"",INDEX($B$9:$B$9008,MATCH(3617,$C$9:$C$9008,0)))</f>
        <v/>
      </c>
      <c r="B3625" s="9" t="str">
        <f>IFERROR(INDEX(Input!$L$20:$T$1019,INT((ROW()-9)/9)+1,MOD(ROW()-9,9)+1),"")</f>
        <v/>
      </c>
      <c r="C3625" s="9">
        <f t="shared" si="56"/>
        <v>0</v>
      </c>
    </row>
    <row r="3626" spans="1:3" x14ac:dyDescent="0.2">
      <c r="A3626" s="10" t="str">
        <f>IF(3618&gt;$C$9008,"",INDEX($B$9:$B$9008,MATCH(3618,$C$9:$C$9008,0)))</f>
        <v/>
      </c>
      <c r="B3626" s="9" t="str">
        <f>IFERROR(INDEX(Input!$L$20:$T$1019,INT((ROW()-9)/9)+1,MOD(ROW()-9,9)+1),"")</f>
        <v/>
      </c>
      <c r="C3626" s="9">
        <f t="shared" si="56"/>
        <v>0</v>
      </c>
    </row>
    <row r="3627" spans="1:3" x14ac:dyDescent="0.2">
      <c r="A3627" s="10" t="str">
        <f>IF(3619&gt;$C$9008,"",INDEX($B$9:$B$9008,MATCH(3619,$C$9:$C$9008,0)))</f>
        <v/>
      </c>
      <c r="B3627" s="9" t="str">
        <f>IFERROR(INDEX(Input!$L$20:$T$1019,INT((ROW()-9)/9)+1,MOD(ROW()-9,9)+1),"")</f>
        <v/>
      </c>
      <c r="C3627" s="9">
        <f t="shared" si="56"/>
        <v>0</v>
      </c>
    </row>
    <row r="3628" spans="1:3" x14ac:dyDescent="0.2">
      <c r="A3628" s="10" t="str">
        <f>IF(3620&gt;$C$9008,"",INDEX($B$9:$B$9008,MATCH(3620,$C$9:$C$9008,0)))</f>
        <v/>
      </c>
      <c r="B3628" s="9" t="str">
        <f>IFERROR(INDEX(Input!$L$20:$T$1019,INT((ROW()-9)/9)+1,MOD(ROW()-9,9)+1),"")</f>
        <v/>
      </c>
      <c r="C3628" s="9">
        <f t="shared" si="56"/>
        <v>0</v>
      </c>
    </row>
    <row r="3629" spans="1:3" x14ac:dyDescent="0.2">
      <c r="A3629" s="10" t="str">
        <f>IF(3621&gt;$C$9008,"",INDEX($B$9:$B$9008,MATCH(3621,$C$9:$C$9008,0)))</f>
        <v/>
      </c>
      <c r="B3629" s="9" t="str">
        <f>IFERROR(INDEX(Input!$L$20:$T$1019,INT((ROW()-9)/9)+1,MOD(ROW()-9,9)+1),"")</f>
        <v/>
      </c>
      <c r="C3629" s="9">
        <f t="shared" si="56"/>
        <v>0</v>
      </c>
    </row>
    <row r="3630" spans="1:3" x14ac:dyDescent="0.2">
      <c r="A3630" s="10" t="str">
        <f>IF(3622&gt;$C$9008,"",INDEX($B$9:$B$9008,MATCH(3622,$C$9:$C$9008,0)))</f>
        <v/>
      </c>
      <c r="B3630" s="9" t="str">
        <f>IFERROR(INDEX(Input!$L$20:$T$1019,INT((ROW()-9)/9)+1,MOD(ROW()-9,9)+1),"")</f>
        <v/>
      </c>
      <c r="C3630" s="9">
        <f t="shared" si="56"/>
        <v>0</v>
      </c>
    </row>
    <row r="3631" spans="1:3" x14ac:dyDescent="0.2">
      <c r="A3631" s="10" t="str">
        <f>IF(3623&gt;$C$9008,"",INDEX($B$9:$B$9008,MATCH(3623,$C$9:$C$9008,0)))</f>
        <v/>
      </c>
      <c r="B3631" s="9" t="str">
        <f>IFERROR(INDEX(Input!$L$20:$T$1019,INT((ROW()-9)/9)+1,MOD(ROW()-9,9)+1),"")</f>
        <v/>
      </c>
      <c r="C3631" s="9">
        <f t="shared" si="56"/>
        <v>0</v>
      </c>
    </row>
    <row r="3632" spans="1:3" x14ac:dyDescent="0.2">
      <c r="A3632" s="10" t="str">
        <f>IF(3624&gt;$C$9008,"",INDEX($B$9:$B$9008,MATCH(3624,$C$9:$C$9008,0)))</f>
        <v/>
      </c>
      <c r="B3632" s="9" t="str">
        <f>IFERROR(INDEX(Input!$L$20:$T$1019,INT((ROW()-9)/9)+1,MOD(ROW()-9,9)+1),"")</f>
        <v/>
      </c>
      <c r="C3632" s="9">
        <f t="shared" si="56"/>
        <v>0</v>
      </c>
    </row>
    <row r="3633" spans="1:3" x14ac:dyDescent="0.2">
      <c r="A3633" s="10" t="str">
        <f>IF(3625&gt;$C$9008,"",INDEX($B$9:$B$9008,MATCH(3625,$C$9:$C$9008,0)))</f>
        <v/>
      </c>
      <c r="B3633" s="9" t="str">
        <f>IFERROR(INDEX(Input!$L$20:$T$1019,INT((ROW()-9)/9)+1,MOD(ROW()-9,9)+1),"")</f>
        <v/>
      </c>
      <c r="C3633" s="9">
        <f t="shared" si="56"/>
        <v>0</v>
      </c>
    </row>
    <row r="3634" spans="1:3" x14ac:dyDescent="0.2">
      <c r="A3634" s="10" t="str">
        <f>IF(3626&gt;$C$9008,"",INDEX($B$9:$B$9008,MATCH(3626,$C$9:$C$9008,0)))</f>
        <v/>
      </c>
      <c r="B3634" s="9" t="str">
        <f>IFERROR(INDEX(Input!$L$20:$T$1019,INT((ROW()-9)/9)+1,MOD(ROW()-9,9)+1),"")</f>
        <v/>
      </c>
      <c r="C3634" s="9">
        <f t="shared" si="56"/>
        <v>0</v>
      </c>
    </row>
    <row r="3635" spans="1:3" x14ac:dyDescent="0.2">
      <c r="A3635" s="10" t="str">
        <f>IF(3627&gt;$C$9008,"",INDEX($B$9:$B$9008,MATCH(3627,$C$9:$C$9008,0)))</f>
        <v/>
      </c>
      <c r="B3635" s="9" t="str">
        <f>IFERROR(INDEX(Input!$L$20:$T$1019,INT((ROW()-9)/9)+1,MOD(ROW()-9,9)+1),"")</f>
        <v/>
      </c>
      <c r="C3635" s="9">
        <f t="shared" si="56"/>
        <v>0</v>
      </c>
    </row>
    <row r="3636" spans="1:3" x14ac:dyDescent="0.2">
      <c r="A3636" s="10" t="str">
        <f>IF(3628&gt;$C$9008,"",INDEX($B$9:$B$9008,MATCH(3628,$C$9:$C$9008,0)))</f>
        <v/>
      </c>
      <c r="B3636" s="9" t="str">
        <f>IFERROR(INDEX(Input!$L$20:$T$1019,INT((ROW()-9)/9)+1,MOD(ROW()-9,9)+1),"")</f>
        <v/>
      </c>
      <c r="C3636" s="9">
        <f t="shared" si="56"/>
        <v>0</v>
      </c>
    </row>
    <row r="3637" spans="1:3" x14ac:dyDescent="0.2">
      <c r="A3637" s="10" t="str">
        <f>IF(3629&gt;$C$9008,"",INDEX($B$9:$B$9008,MATCH(3629,$C$9:$C$9008,0)))</f>
        <v/>
      </c>
      <c r="B3637" s="9" t="str">
        <f>IFERROR(INDEX(Input!$L$20:$T$1019,INT((ROW()-9)/9)+1,MOD(ROW()-9,9)+1),"")</f>
        <v/>
      </c>
      <c r="C3637" s="9">
        <f t="shared" si="56"/>
        <v>0</v>
      </c>
    </row>
    <row r="3638" spans="1:3" x14ac:dyDescent="0.2">
      <c r="A3638" s="10" t="str">
        <f>IF(3630&gt;$C$9008,"",INDEX($B$9:$B$9008,MATCH(3630,$C$9:$C$9008,0)))</f>
        <v/>
      </c>
      <c r="B3638" s="9" t="str">
        <f>IFERROR(INDEX(Input!$L$20:$T$1019,INT((ROW()-9)/9)+1,MOD(ROW()-9,9)+1),"")</f>
        <v/>
      </c>
      <c r="C3638" s="9">
        <f t="shared" si="56"/>
        <v>0</v>
      </c>
    </row>
    <row r="3639" spans="1:3" x14ac:dyDescent="0.2">
      <c r="A3639" s="10" t="str">
        <f>IF(3631&gt;$C$9008,"",INDEX($B$9:$B$9008,MATCH(3631,$C$9:$C$9008,0)))</f>
        <v/>
      </c>
      <c r="B3639" s="9" t="str">
        <f>IFERROR(INDEX(Input!$L$20:$T$1019,INT((ROW()-9)/9)+1,MOD(ROW()-9,9)+1),"")</f>
        <v/>
      </c>
      <c r="C3639" s="9">
        <f t="shared" si="56"/>
        <v>0</v>
      </c>
    </row>
    <row r="3640" spans="1:3" x14ac:dyDescent="0.2">
      <c r="A3640" s="10" t="str">
        <f>IF(3632&gt;$C$9008,"",INDEX($B$9:$B$9008,MATCH(3632,$C$9:$C$9008,0)))</f>
        <v/>
      </c>
      <c r="B3640" s="9" t="str">
        <f>IFERROR(INDEX(Input!$L$20:$T$1019,INT((ROW()-9)/9)+1,MOD(ROW()-9,9)+1),"")</f>
        <v/>
      </c>
      <c r="C3640" s="9">
        <f t="shared" si="56"/>
        <v>0</v>
      </c>
    </row>
    <row r="3641" spans="1:3" x14ac:dyDescent="0.2">
      <c r="A3641" s="10" t="str">
        <f>IF(3633&gt;$C$9008,"",INDEX($B$9:$B$9008,MATCH(3633,$C$9:$C$9008,0)))</f>
        <v/>
      </c>
      <c r="B3641" s="9" t="str">
        <f>IFERROR(INDEX(Input!$L$20:$T$1019,INT((ROW()-9)/9)+1,MOD(ROW()-9,9)+1),"")</f>
        <v/>
      </c>
      <c r="C3641" s="9">
        <f t="shared" si="56"/>
        <v>0</v>
      </c>
    </row>
    <row r="3642" spans="1:3" x14ac:dyDescent="0.2">
      <c r="A3642" s="10" t="str">
        <f>IF(3634&gt;$C$9008,"",INDEX($B$9:$B$9008,MATCH(3634,$C$9:$C$9008,0)))</f>
        <v/>
      </c>
      <c r="B3642" s="9" t="str">
        <f>IFERROR(INDEX(Input!$L$20:$T$1019,INT((ROW()-9)/9)+1,MOD(ROW()-9,9)+1),"")</f>
        <v/>
      </c>
      <c r="C3642" s="9">
        <f t="shared" si="56"/>
        <v>0</v>
      </c>
    </row>
    <row r="3643" spans="1:3" x14ac:dyDescent="0.2">
      <c r="A3643" s="10" t="str">
        <f>IF(3635&gt;$C$9008,"",INDEX($B$9:$B$9008,MATCH(3635,$C$9:$C$9008,0)))</f>
        <v/>
      </c>
      <c r="B3643" s="9" t="str">
        <f>IFERROR(INDEX(Input!$L$20:$T$1019,INT((ROW()-9)/9)+1,MOD(ROW()-9,9)+1),"")</f>
        <v/>
      </c>
      <c r="C3643" s="9">
        <f t="shared" si="56"/>
        <v>0</v>
      </c>
    </row>
    <row r="3644" spans="1:3" x14ac:dyDescent="0.2">
      <c r="A3644" s="10" t="str">
        <f>IF(3636&gt;$C$9008,"",INDEX($B$9:$B$9008,MATCH(3636,$C$9:$C$9008,0)))</f>
        <v/>
      </c>
      <c r="B3644" s="9" t="str">
        <f>IFERROR(INDEX(Input!$L$20:$T$1019,INT((ROW()-9)/9)+1,MOD(ROW()-9,9)+1),"")</f>
        <v/>
      </c>
      <c r="C3644" s="9">
        <f t="shared" si="56"/>
        <v>0</v>
      </c>
    </row>
    <row r="3645" spans="1:3" x14ac:dyDescent="0.2">
      <c r="A3645" s="10" t="str">
        <f>IF(3637&gt;$C$9008,"",INDEX($B$9:$B$9008,MATCH(3637,$C$9:$C$9008,0)))</f>
        <v/>
      </c>
      <c r="B3645" s="9" t="str">
        <f>IFERROR(INDEX(Input!$L$20:$T$1019,INT((ROW()-9)/9)+1,MOD(ROW()-9,9)+1),"")</f>
        <v/>
      </c>
      <c r="C3645" s="9">
        <f t="shared" si="56"/>
        <v>0</v>
      </c>
    </row>
    <row r="3646" spans="1:3" x14ac:dyDescent="0.2">
      <c r="A3646" s="10" t="str">
        <f>IF(3638&gt;$C$9008,"",INDEX($B$9:$B$9008,MATCH(3638,$C$9:$C$9008,0)))</f>
        <v/>
      </c>
      <c r="B3646" s="9" t="str">
        <f>IFERROR(INDEX(Input!$L$20:$T$1019,INT((ROW()-9)/9)+1,MOD(ROW()-9,9)+1),"")</f>
        <v/>
      </c>
      <c r="C3646" s="9">
        <f t="shared" si="56"/>
        <v>0</v>
      </c>
    </row>
    <row r="3647" spans="1:3" x14ac:dyDescent="0.2">
      <c r="A3647" s="10" t="str">
        <f>IF(3639&gt;$C$9008,"",INDEX($B$9:$B$9008,MATCH(3639,$C$9:$C$9008,0)))</f>
        <v/>
      </c>
      <c r="B3647" s="9" t="str">
        <f>IFERROR(INDEX(Input!$L$20:$T$1019,INT((ROW()-9)/9)+1,MOD(ROW()-9,9)+1),"")</f>
        <v/>
      </c>
      <c r="C3647" s="9">
        <f t="shared" si="56"/>
        <v>0</v>
      </c>
    </row>
    <row r="3648" spans="1:3" x14ac:dyDescent="0.2">
      <c r="A3648" s="10" t="str">
        <f>IF(3640&gt;$C$9008,"",INDEX($B$9:$B$9008,MATCH(3640,$C$9:$C$9008,0)))</f>
        <v/>
      </c>
      <c r="B3648" s="9" t="str">
        <f>IFERROR(INDEX(Input!$L$20:$T$1019,INT((ROW()-9)/9)+1,MOD(ROW()-9,9)+1),"")</f>
        <v/>
      </c>
      <c r="C3648" s="9">
        <f t="shared" si="56"/>
        <v>0</v>
      </c>
    </row>
    <row r="3649" spans="1:3" x14ac:dyDescent="0.2">
      <c r="A3649" s="10" t="str">
        <f>IF(3641&gt;$C$9008,"",INDEX($B$9:$B$9008,MATCH(3641,$C$9:$C$9008,0)))</f>
        <v/>
      </c>
      <c r="B3649" s="9" t="str">
        <f>IFERROR(INDEX(Input!$L$20:$T$1019,INT((ROW()-9)/9)+1,MOD(ROW()-9,9)+1),"")</f>
        <v/>
      </c>
      <c r="C3649" s="9">
        <f t="shared" si="56"/>
        <v>0</v>
      </c>
    </row>
    <row r="3650" spans="1:3" x14ac:dyDescent="0.2">
      <c r="A3650" s="10" t="str">
        <f>IF(3642&gt;$C$9008,"",INDEX($B$9:$B$9008,MATCH(3642,$C$9:$C$9008,0)))</f>
        <v/>
      </c>
      <c r="B3650" s="9" t="str">
        <f>IFERROR(INDEX(Input!$L$20:$T$1019,INT((ROW()-9)/9)+1,MOD(ROW()-9,9)+1),"")</f>
        <v/>
      </c>
      <c r="C3650" s="9">
        <f t="shared" si="56"/>
        <v>0</v>
      </c>
    </row>
    <row r="3651" spans="1:3" x14ac:dyDescent="0.2">
      <c r="A3651" s="10" t="str">
        <f>IF(3643&gt;$C$9008,"",INDEX($B$9:$B$9008,MATCH(3643,$C$9:$C$9008,0)))</f>
        <v/>
      </c>
      <c r="B3651" s="9" t="str">
        <f>IFERROR(INDEX(Input!$L$20:$T$1019,INT((ROW()-9)/9)+1,MOD(ROW()-9,9)+1),"")</f>
        <v/>
      </c>
      <c r="C3651" s="9">
        <f t="shared" si="56"/>
        <v>0</v>
      </c>
    </row>
    <row r="3652" spans="1:3" x14ac:dyDescent="0.2">
      <c r="A3652" s="10" t="str">
        <f>IF(3644&gt;$C$9008,"",INDEX($B$9:$B$9008,MATCH(3644,$C$9:$C$9008,0)))</f>
        <v/>
      </c>
      <c r="B3652" s="9" t="str">
        <f>IFERROR(INDEX(Input!$L$20:$T$1019,INT((ROW()-9)/9)+1,MOD(ROW()-9,9)+1),"")</f>
        <v/>
      </c>
      <c r="C3652" s="9">
        <f t="shared" si="56"/>
        <v>0</v>
      </c>
    </row>
    <row r="3653" spans="1:3" x14ac:dyDescent="0.2">
      <c r="A3653" s="10" t="str">
        <f>IF(3645&gt;$C$9008,"",INDEX($B$9:$B$9008,MATCH(3645,$C$9:$C$9008,0)))</f>
        <v/>
      </c>
      <c r="B3653" s="9" t="str">
        <f>IFERROR(INDEX(Input!$L$20:$T$1019,INT((ROW()-9)/9)+1,MOD(ROW()-9,9)+1),"")</f>
        <v/>
      </c>
      <c r="C3653" s="9">
        <f t="shared" si="56"/>
        <v>0</v>
      </c>
    </row>
    <row r="3654" spans="1:3" x14ac:dyDescent="0.2">
      <c r="A3654" s="10" t="str">
        <f>IF(3646&gt;$C$9008,"",INDEX($B$9:$B$9008,MATCH(3646,$C$9:$C$9008,0)))</f>
        <v/>
      </c>
      <c r="B3654" s="9" t="str">
        <f>IFERROR(INDEX(Input!$L$20:$T$1019,INT((ROW()-9)/9)+1,MOD(ROW()-9,9)+1),"")</f>
        <v/>
      </c>
      <c r="C3654" s="9">
        <f t="shared" si="56"/>
        <v>0</v>
      </c>
    </row>
    <row r="3655" spans="1:3" x14ac:dyDescent="0.2">
      <c r="A3655" s="10" t="str">
        <f>IF(3647&gt;$C$9008,"",INDEX($B$9:$B$9008,MATCH(3647,$C$9:$C$9008,0)))</f>
        <v/>
      </c>
      <c r="B3655" s="9" t="str">
        <f>IFERROR(INDEX(Input!$L$20:$T$1019,INT((ROW()-9)/9)+1,MOD(ROW()-9,9)+1),"")</f>
        <v/>
      </c>
      <c r="C3655" s="9">
        <f t="shared" si="56"/>
        <v>0</v>
      </c>
    </row>
    <row r="3656" spans="1:3" x14ac:dyDescent="0.2">
      <c r="A3656" s="10" t="str">
        <f>IF(3648&gt;$C$9008,"",INDEX($B$9:$B$9008,MATCH(3648,$C$9:$C$9008,0)))</f>
        <v/>
      </c>
      <c r="B3656" s="9" t="str">
        <f>IFERROR(INDEX(Input!$L$20:$T$1019,INT((ROW()-9)/9)+1,MOD(ROW()-9,9)+1),"")</f>
        <v/>
      </c>
      <c r="C3656" s="9">
        <f t="shared" si="56"/>
        <v>0</v>
      </c>
    </row>
    <row r="3657" spans="1:3" x14ac:dyDescent="0.2">
      <c r="A3657" s="10" t="str">
        <f>IF(3649&gt;$C$9008,"",INDEX($B$9:$B$9008,MATCH(3649,$C$9:$C$9008,0)))</f>
        <v/>
      </c>
      <c r="B3657" s="9" t="str">
        <f>IFERROR(INDEX(Input!$L$20:$T$1019,INT((ROW()-9)/9)+1,MOD(ROW()-9,9)+1),"")</f>
        <v/>
      </c>
      <c r="C3657" s="9">
        <f t="shared" ref="C3657:C3720" si="57">$C3656+IF($B3657&lt;&gt;"",1,0)</f>
        <v>0</v>
      </c>
    </row>
    <row r="3658" spans="1:3" x14ac:dyDescent="0.2">
      <c r="A3658" s="10" t="str">
        <f>IF(3650&gt;$C$9008,"",INDEX($B$9:$B$9008,MATCH(3650,$C$9:$C$9008,0)))</f>
        <v/>
      </c>
      <c r="B3658" s="9" t="str">
        <f>IFERROR(INDEX(Input!$L$20:$T$1019,INT((ROW()-9)/9)+1,MOD(ROW()-9,9)+1),"")</f>
        <v/>
      </c>
      <c r="C3658" s="9">
        <f t="shared" si="57"/>
        <v>0</v>
      </c>
    </row>
    <row r="3659" spans="1:3" x14ac:dyDescent="0.2">
      <c r="A3659" s="10" t="str">
        <f>IF(3651&gt;$C$9008,"",INDEX($B$9:$B$9008,MATCH(3651,$C$9:$C$9008,0)))</f>
        <v/>
      </c>
      <c r="B3659" s="9" t="str">
        <f>IFERROR(INDEX(Input!$L$20:$T$1019,INT((ROW()-9)/9)+1,MOD(ROW()-9,9)+1),"")</f>
        <v/>
      </c>
      <c r="C3659" s="9">
        <f t="shared" si="57"/>
        <v>0</v>
      </c>
    </row>
    <row r="3660" spans="1:3" x14ac:dyDescent="0.2">
      <c r="A3660" s="10" t="str">
        <f>IF(3652&gt;$C$9008,"",INDEX($B$9:$B$9008,MATCH(3652,$C$9:$C$9008,0)))</f>
        <v/>
      </c>
      <c r="B3660" s="9" t="str">
        <f>IFERROR(INDEX(Input!$L$20:$T$1019,INT((ROW()-9)/9)+1,MOD(ROW()-9,9)+1),"")</f>
        <v/>
      </c>
      <c r="C3660" s="9">
        <f t="shared" si="57"/>
        <v>0</v>
      </c>
    </row>
    <row r="3661" spans="1:3" x14ac:dyDescent="0.2">
      <c r="A3661" s="10" t="str">
        <f>IF(3653&gt;$C$9008,"",INDEX($B$9:$B$9008,MATCH(3653,$C$9:$C$9008,0)))</f>
        <v/>
      </c>
      <c r="B3661" s="9" t="str">
        <f>IFERROR(INDEX(Input!$L$20:$T$1019,INT((ROW()-9)/9)+1,MOD(ROW()-9,9)+1),"")</f>
        <v/>
      </c>
      <c r="C3661" s="9">
        <f t="shared" si="57"/>
        <v>0</v>
      </c>
    </row>
    <row r="3662" spans="1:3" x14ac:dyDescent="0.2">
      <c r="A3662" s="10" t="str">
        <f>IF(3654&gt;$C$9008,"",INDEX($B$9:$B$9008,MATCH(3654,$C$9:$C$9008,0)))</f>
        <v/>
      </c>
      <c r="B3662" s="9" t="str">
        <f>IFERROR(INDEX(Input!$L$20:$T$1019,INT((ROW()-9)/9)+1,MOD(ROW()-9,9)+1),"")</f>
        <v/>
      </c>
      <c r="C3662" s="9">
        <f t="shared" si="57"/>
        <v>0</v>
      </c>
    </row>
    <row r="3663" spans="1:3" x14ac:dyDescent="0.2">
      <c r="A3663" s="10" t="str">
        <f>IF(3655&gt;$C$9008,"",INDEX($B$9:$B$9008,MATCH(3655,$C$9:$C$9008,0)))</f>
        <v/>
      </c>
      <c r="B3663" s="9" t="str">
        <f>IFERROR(INDEX(Input!$L$20:$T$1019,INT((ROW()-9)/9)+1,MOD(ROW()-9,9)+1),"")</f>
        <v/>
      </c>
      <c r="C3663" s="9">
        <f t="shared" si="57"/>
        <v>0</v>
      </c>
    </row>
    <row r="3664" spans="1:3" x14ac:dyDescent="0.2">
      <c r="A3664" s="10" t="str">
        <f>IF(3656&gt;$C$9008,"",INDEX($B$9:$B$9008,MATCH(3656,$C$9:$C$9008,0)))</f>
        <v/>
      </c>
      <c r="B3664" s="9" t="str">
        <f>IFERROR(INDEX(Input!$L$20:$T$1019,INT((ROW()-9)/9)+1,MOD(ROW()-9,9)+1),"")</f>
        <v/>
      </c>
      <c r="C3664" s="9">
        <f t="shared" si="57"/>
        <v>0</v>
      </c>
    </row>
    <row r="3665" spans="1:3" x14ac:dyDescent="0.2">
      <c r="A3665" s="10" t="str">
        <f>IF(3657&gt;$C$9008,"",INDEX($B$9:$B$9008,MATCH(3657,$C$9:$C$9008,0)))</f>
        <v/>
      </c>
      <c r="B3665" s="9" t="str">
        <f>IFERROR(INDEX(Input!$L$20:$T$1019,INT((ROW()-9)/9)+1,MOD(ROW()-9,9)+1),"")</f>
        <v/>
      </c>
      <c r="C3665" s="9">
        <f t="shared" si="57"/>
        <v>0</v>
      </c>
    </row>
    <row r="3666" spans="1:3" x14ac:dyDescent="0.2">
      <c r="A3666" s="10" t="str">
        <f>IF(3658&gt;$C$9008,"",INDEX($B$9:$B$9008,MATCH(3658,$C$9:$C$9008,0)))</f>
        <v/>
      </c>
      <c r="B3666" s="9" t="str">
        <f>IFERROR(INDEX(Input!$L$20:$T$1019,INT((ROW()-9)/9)+1,MOD(ROW()-9,9)+1),"")</f>
        <v/>
      </c>
      <c r="C3666" s="9">
        <f t="shared" si="57"/>
        <v>0</v>
      </c>
    </row>
    <row r="3667" spans="1:3" x14ac:dyDescent="0.2">
      <c r="A3667" s="10" t="str">
        <f>IF(3659&gt;$C$9008,"",INDEX($B$9:$B$9008,MATCH(3659,$C$9:$C$9008,0)))</f>
        <v/>
      </c>
      <c r="B3667" s="9" t="str">
        <f>IFERROR(INDEX(Input!$L$20:$T$1019,INT((ROW()-9)/9)+1,MOD(ROW()-9,9)+1),"")</f>
        <v/>
      </c>
      <c r="C3667" s="9">
        <f t="shared" si="57"/>
        <v>0</v>
      </c>
    </row>
    <row r="3668" spans="1:3" x14ac:dyDescent="0.2">
      <c r="A3668" s="10" t="str">
        <f>IF(3660&gt;$C$9008,"",INDEX($B$9:$B$9008,MATCH(3660,$C$9:$C$9008,0)))</f>
        <v/>
      </c>
      <c r="B3668" s="9" t="str">
        <f>IFERROR(INDEX(Input!$L$20:$T$1019,INT((ROW()-9)/9)+1,MOD(ROW()-9,9)+1),"")</f>
        <v/>
      </c>
      <c r="C3668" s="9">
        <f t="shared" si="57"/>
        <v>0</v>
      </c>
    </row>
    <row r="3669" spans="1:3" x14ac:dyDescent="0.2">
      <c r="A3669" s="10" t="str">
        <f>IF(3661&gt;$C$9008,"",INDEX($B$9:$B$9008,MATCH(3661,$C$9:$C$9008,0)))</f>
        <v/>
      </c>
      <c r="B3669" s="9" t="str">
        <f>IFERROR(INDEX(Input!$L$20:$T$1019,INT((ROW()-9)/9)+1,MOD(ROW()-9,9)+1),"")</f>
        <v/>
      </c>
      <c r="C3669" s="9">
        <f t="shared" si="57"/>
        <v>0</v>
      </c>
    </row>
    <row r="3670" spans="1:3" x14ac:dyDescent="0.2">
      <c r="A3670" s="10" t="str">
        <f>IF(3662&gt;$C$9008,"",INDEX($B$9:$B$9008,MATCH(3662,$C$9:$C$9008,0)))</f>
        <v/>
      </c>
      <c r="B3670" s="9" t="str">
        <f>IFERROR(INDEX(Input!$L$20:$T$1019,INT((ROW()-9)/9)+1,MOD(ROW()-9,9)+1),"")</f>
        <v/>
      </c>
      <c r="C3670" s="9">
        <f t="shared" si="57"/>
        <v>0</v>
      </c>
    </row>
    <row r="3671" spans="1:3" x14ac:dyDescent="0.2">
      <c r="A3671" s="10" t="str">
        <f>IF(3663&gt;$C$9008,"",INDEX($B$9:$B$9008,MATCH(3663,$C$9:$C$9008,0)))</f>
        <v/>
      </c>
      <c r="B3671" s="9" t="str">
        <f>IFERROR(INDEX(Input!$L$20:$T$1019,INT((ROW()-9)/9)+1,MOD(ROW()-9,9)+1),"")</f>
        <v/>
      </c>
      <c r="C3671" s="9">
        <f t="shared" si="57"/>
        <v>0</v>
      </c>
    </row>
    <row r="3672" spans="1:3" x14ac:dyDescent="0.2">
      <c r="A3672" s="10" t="str">
        <f>IF(3664&gt;$C$9008,"",INDEX($B$9:$B$9008,MATCH(3664,$C$9:$C$9008,0)))</f>
        <v/>
      </c>
      <c r="B3672" s="9" t="str">
        <f>IFERROR(INDEX(Input!$L$20:$T$1019,INT((ROW()-9)/9)+1,MOD(ROW()-9,9)+1),"")</f>
        <v/>
      </c>
      <c r="C3672" s="9">
        <f t="shared" si="57"/>
        <v>0</v>
      </c>
    </row>
    <row r="3673" spans="1:3" x14ac:dyDescent="0.2">
      <c r="A3673" s="10" t="str">
        <f>IF(3665&gt;$C$9008,"",INDEX($B$9:$B$9008,MATCH(3665,$C$9:$C$9008,0)))</f>
        <v/>
      </c>
      <c r="B3673" s="9" t="str">
        <f>IFERROR(INDEX(Input!$L$20:$T$1019,INT((ROW()-9)/9)+1,MOD(ROW()-9,9)+1),"")</f>
        <v/>
      </c>
      <c r="C3673" s="9">
        <f t="shared" si="57"/>
        <v>0</v>
      </c>
    </row>
    <row r="3674" spans="1:3" x14ac:dyDescent="0.2">
      <c r="A3674" s="10" t="str">
        <f>IF(3666&gt;$C$9008,"",INDEX($B$9:$B$9008,MATCH(3666,$C$9:$C$9008,0)))</f>
        <v/>
      </c>
      <c r="B3674" s="9" t="str">
        <f>IFERROR(INDEX(Input!$L$20:$T$1019,INT((ROW()-9)/9)+1,MOD(ROW()-9,9)+1),"")</f>
        <v/>
      </c>
      <c r="C3674" s="9">
        <f t="shared" si="57"/>
        <v>0</v>
      </c>
    </row>
    <row r="3675" spans="1:3" x14ac:dyDescent="0.2">
      <c r="A3675" s="10" t="str">
        <f>IF(3667&gt;$C$9008,"",INDEX($B$9:$B$9008,MATCH(3667,$C$9:$C$9008,0)))</f>
        <v/>
      </c>
      <c r="B3675" s="9" t="str">
        <f>IFERROR(INDEX(Input!$L$20:$T$1019,INT((ROW()-9)/9)+1,MOD(ROW()-9,9)+1),"")</f>
        <v/>
      </c>
      <c r="C3675" s="9">
        <f t="shared" si="57"/>
        <v>0</v>
      </c>
    </row>
    <row r="3676" spans="1:3" x14ac:dyDescent="0.2">
      <c r="A3676" s="10" t="str">
        <f>IF(3668&gt;$C$9008,"",INDEX($B$9:$B$9008,MATCH(3668,$C$9:$C$9008,0)))</f>
        <v/>
      </c>
      <c r="B3676" s="9" t="str">
        <f>IFERROR(INDEX(Input!$L$20:$T$1019,INT((ROW()-9)/9)+1,MOD(ROW()-9,9)+1),"")</f>
        <v/>
      </c>
      <c r="C3676" s="9">
        <f t="shared" si="57"/>
        <v>0</v>
      </c>
    </row>
    <row r="3677" spans="1:3" x14ac:dyDescent="0.2">
      <c r="A3677" s="10" t="str">
        <f>IF(3669&gt;$C$9008,"",INDEX($B$9:$B$9008,MATCH(3669,$C$9:$C$9008,0)))</f>
        <v/>
      </c>
      <c r="B3677" s="9" t="str">
        <f>IFERROR(INDEX(Input!$L$20:$T$1019,INT((ROW()-9)/9)+1,MOD(ROW()-9,9)+1),"")</f>
        <v/>
      </c>
      <c r="C3677" s="9">
        <f t="shared" si="57"/>
        <v>0</v>
      </c>
    </row>
    <row r="3678" spans="1:3" x14ac:dyDescent="0.2">
      <c r="A3678" s="10" t="str">
        <f>IF(3670&gt;$C$9008,"",INDEX($B$9:$B$9008,MATCH(3670,$C$9:$C$9008,0)))</f>
        <v/>
      </c>
      <c r="B3678" s="9" t="str">
        <f>IFERROR(INDEX(Input!$L$20:$T$1019,INT((ROW()-9)/9)+1,MOD(ROW()-9,9)+1),"")</f>
        <v/>
      </c>
      <c r="C3678" s="9">
        <f t="shared" si="57"/>
        <v>0</v>
      </c>
    </row>
    <row r="3679" spans="1:3" x14ac:dyDescent="0.2">
      <c r="A3679" s="10" t="str">
        <f>IF(3671&gt;$C$9008,"",INDEX($B$9:$B$9008,MATCH(3671,$C$9:$C$9008,0)))</f>
        <v/>
      </c>
      <c r="B3679" s="9" t="str">
        <f>IFERROR(INDEX(Input!$L$20:$T$1019,INT((ROW()-9)/9)+1,MOD(ROW()-9,9)+1),"")</f>
        <v/>
      </c>
      <c r="C3679" s="9">
        <f t="shared" si="57"/>
        <v>0</v>
      </c>
    </row>
    <row r="3680" spans="1:3" x14ac:dyDescent="0.2">
      <c r="A3680" s="10" t="str">
        <f>IF(3672&gt;$C$9008,"",INDEX($B$9:$B$9008,MATCH(3672,$C$9:$C$9008,0)))</f>
        <v/>
      </c>
      <c r="B3680" s="9" t="str">
        <f>IFERROR(INDEX(Input!$L$20:$T$1019,INT((ROW()-9)/9)+1,MOD(ROW()-9,9)+1),"")</f>
        <v/>
      </c>
      <c r="C3680" s="9">
        <f t="shared" si="57"/>
        <v>0</v>
      </c>
    </row>
    <row r="3681" spans="1:3" x14ac:dyDescent="0.2">
      <c r="A3681" s="10" t="str">
        <f>IF(3673&gt;$C$9008,"",INDEX($B$9:$B$9008,MATCH(3673,$C$9:$C$9008,0)))</f>
        <v/>
      </c>
      <c r="B3681" s="9" t="str">
        <f>IFERROR(INDEX(Input!$L$20:$T$1019,INT((ROW()-9)/9)+1,MOD(ROW()-9,9)+1),"")</f>
        <v/>
      </c>
      <c r="C3681" s="9">
        <f t="shared" si="57"/>
        <v>0</v>
      </c>
    </row>
    <row r="3682" spans="1:3" x14ac:dyDescent="0.2">
      <c r="A3682" s="10" t="str">
        <f>IF(3674&gt;$C$9008,"",INDEX($B$9:$B$9008,MATCH(3674,$C$9:$C$9008,0)))</f>
        <v/>
      </c>
      <c r="B3682" s="9" t="str">
        <f>IFERROR(INDEX(Input!$L$20:$T$1019,INT((ROW()-9)/9)+1,MOD(ROW()-9,9)+1),"")</f>
        <v/>
      </c>
      <c r="C3682" s="9">
        <f t="shared" si="57"/>
        <v>0</v>
      </c>
    </row>
    <row r="3683" spans="1:3" x14ac:dyDescent="0.2">
      <c r="A3683" s="10" t="str">
        <f>IF(3675&gt;$C$9008,"",INDEX($B$9:$B$9008,MATCH(3675,$C$9:$C$9008,0)))</f>
        <v/>
      </c>
      <c r="B3683" s="9" t="str">
        <f>IFERROR(INDEX(Input!$L$20:$T$1019,INT((ROW()-9)/9)+1,MOD(ROW()-9,9)+1),"")</f>
        <v/>
      </c>
      <c r="C3683" s="9">
        <f t="shared" si="57"/>
        <v>0</v>
      </c>
    </row>
    <row r="3684" spans="1:3" x14ac:dyDescent="0.2">
      <c r="A3684" s="10" t="str">
        <f>IF(3676&gt;$C$9008,"",INDEX($B$9:$B$9008,MATCH(3676,$C$9:$C$9008,0)))</f>
        <v/>
      </c>
      <c r="B3684" s="9" t="str">
        <f>IFERROR(INDEX(Input!$L$20:$T$1019,INT((ROW()-9)/9)+1,MOD(ROW()-9,9)+1),"")</f>
        <v/>
      </c>
      <c r="C3684" s="9">
        <f t="shared" si="57"/>
        <v>0</v>
      </c>
    </row>
    <row r="3685" spans="1:3" x14ac:dyDescent="0.2">
      <c r="A3685" s="10" t="str">
        <f>IF(3677&gt;$C$9008,"",INDEX($B$9:$B$9008,MATCH(3677,$C$9:$C$9008,0)))</f>
        <v/>
      </c>
      <c r="B3685" s="9" t="str">
        <f>IFERROR(INDEX(Input!$L$20:$T$1019,INT((ROW()-9)/9)+1,MOD(ROW()-9,9)+1),"")</f>
        <v/>
      </c>
      <c r="C3685" s="9">
        <f t="shared" si="57"/>
        <v>0</v>
      </c>
    </row>
    <row r="3686" spans="1:3" x14ac:dyDescent="0.2">
      <c r="A3686" s="10" t="str">
        <f>IF(3678&gt;$C$9008,"",INDEX($B$9:$B$9008,MATCH(3678,$C$9:$C$9008,0)))</f>
        <v/>
      </c>
      <c r="B3686" s="9" t="str">
        <f>IFERROR(INDEX(Input!$L$20:$T$1019,INT((ROW()-9)/9)+1,MOD(ROW()-9,9)+1),"")</f>
        <v/>
      </c>
      <c r="C3686" s="9">
        <f t="shared" si="57"/>
        <v>0</v>
      </c>
    </row>
    <row r="3687" spans="1:3" x14ac:dyDescent="0.2">
      <c r="A3687" s="10" t="str">
        <f>IF(3679&gt;$C$9008,"",INDEX($B$9:$B$9008,MATCH(3679,$C$9:$C$9008,0)))</f>
        <v/>
      </c>
      <c r="B3687" s="9" t="str">
        <f>IFERROR(INDEX(Input!$L$20:$T$1019,INT((ROW()-9)/9)+1,MOD(ROW()-9,9)+1),"")</f>
        <v/>
      </c>
      <c r="C3687" s="9">
        <f t="shared" si="57"/>
        <v>0</v>
      </c>
    </row>
    <row r="3688" spans="1:3" x14ac:dyDescent="0.2">
      <c r="A3688" s="10" t="str">
        <f>IF(3680&gt;$C$9008,"",INDEX($B$9:$B$9008,MATCH(3680,$C$9:$C$9008,0)))</f>
        <v/>
      </c>
      <c r="B3688" s="9" t="str">
        <f>IFERROR(INDEX(Input!$L$20:$T$1019,INT((ROW()-9)/9)+1,MOD(ROW()-9,9)+1),"")</f>
        <v/>
      </c>
      <c r="C3688" s="9">
        <f t="shared" si="57"/>
        <v>0</v>
      </c>
    </row>
    <row r="3689" spans="1:3" x14ac:dyDescent="0.2">
      <c r="A3689" s="10" t="str">
        <f>IF(3681&gt;$C$9008,"",INDEX($B$9:$B$9008,MATCH(3681,$C$9:$C$9008,0)))</f>
        <v/>
      </c>
      <c r="B3689" s="9" t="str">
        <f>IFERROR(INDEX(Input!$L$20:$T$1019,INT((ROW()-9)/9)+1,MOD(ROW()-9,9)+1),"")</f>
        <v/>
      </c>
      <c r="C3689" s="9">
        <f t="shared" si="57"/>
        <v>0</v>
      </c>
    </row>
    <row r="3690" spans="1:3" x14ac:dyDescent="0.2">
      <c r="A3690" s="10" t="str">
        <f>IF(3682&gt;$C$9008,"",INDEX($B$9:$B$9008,MATCH(3682,$C$9:$C$9008,0)))</f>
        <v/>
      </c>
      <c r="B3690" s="9" t="str">
        <f>IFERROR(INDEX(Input!$L$20:$T$1019,INT((ROW()-9)/9)+1,MOD(ROW()-9,9)+1),"")</f>
        <v/>
      </c>
      <c r="C3690" s="9">
        <f t="shared" si="57"/>
        <v>0</v>
      </c>
    </row>
    <row r="3691" spans="1:3" x14ac:dyDescent="0.2">
      <c r="A3691" s="10" t="str">
        <f>IF(3683&gt;$C$9008,"",INDEX($B$9:$B$9008,MATCH(3683,$C$9:$C$9008,0)))</f>
        <v/>
      </c>
      <c r="B3691" s="9" t="str">
        <f>IFERROR(INDEX(Input!$L$20:$T$1019,INT((ROW()-9)/9)+1,MOD(ROW()-9,9)+1),"")</f>
        <v/>
      </c>
      <c r="C3691" s="9">
        <f t="shared" si="57"/>
        <v>0</v>
      </c>
    </row>
    <row r="3692" spans="1:3" x14ac:dyDescent="0.2">
      <c r="A3692" s="10" t="str">
        <f>IF(3684&gt;$C$9008,"",INDEX($B$9:$B$9008,MATCH(3684,$C$9:$C$9008,0)))</f>
        <v/>
      </c>
      <c r="B3692" s="9" t="str">
        <f>IFERROR(INDEX(Input!$L$20:$T$1019,INT((ROW()-9)/9)+1,MOD(ROW()-9,9)+1),"")</f>
        <v/>
      </c>
      <c r="C3692" s="9">
        <f t="shared" si="57"/>
        <v>0</v>
      </c>
    </row>
    <row r="3693" spans="1:3" x14ac:dyDescent="0.2">
      <c r="A3693" s="10" t="str">
        <f>IF(3685&gt;$C$9008,"",INDEX($B$9:$B$9008,MATCH(3685,$C$9:$C$9008,0)))</f>
        <v/>
      </c>
      <c r="B3693" s="9" t="str">
        <f>IFERROR(INDEX(Input!$L$20:$T$1019,INT((ROW()-9)/9)+1,MOD(ROW()-9,9)+1),"")</f>
        <v/>
      </c>
      <c r="C3693" s="9">
        <f t="shared" si="57"/>
        <v>0</v>
      </c>
    </row>
    <row r="3694" spans="1:3" x14ac:dyDescent="0.2">
      <c r="A3694" s="10" t="str">
        <f>IF(3686&gt;$C$9008,"",INDEX($B$9:$B$9008,MATCH(3686,$C$9:$C$9008,0)))</f>
        <v/>
      </c>
      <c r="B3694" s="9" t="str">
        <f>IFERROR(INDEX(Input!$L$20:$T$1019,INT((ROW()-9)/9)+1,MOD(ROW()-9,9)+1),"")</f>
        <v/>
      </c>
      <c r="C3694" s="9">
        <f t="shared" si="57"/>
        <v>0</v>
      </c>
    </row>
    <row r="3695" spans="1:3" x14ac:dyDescent="0.2">
      <c r="A3695" s="10" t="str">
        <f>IF(3687&gt;$C$9008,"",INDEX($B$9:$B$9008,MATCH(3687,$C$9:$C$9008,0)))</f>
        <v/>
      </c>
      <c r="B3695" s="9" t="str">
        <f>IFERROR(INDEX(Input!$L$20:$T$1019,INT((ROW()-9)/9)+1,MOD(ROW()-9,9)+1),"")</f>
        <v/>
      </c>
      <c r="C3695" s="9">
        <f t="shared" si="57"/>
        <v>0</v>
      </c>
    </row>
    <row r="3696" spans="1:3" x14ac:dyDescent="0.2">
      <c r="A3696" s="10" t="str">
        <f>IF(3688&gt;$C$9008,"",INDEX($B$9:$B$9008,MATCH(3688,$C$9:$C$9008,0)))</f>
        <v/>
      </c>
      <c r="B3696" s="9" t="str">
        <f>IFERROR(INDEX(Input!$L$20:$T$1019,INT((ROW()-9)/9)+1,MOD(ROW()-9,9)+1),"")</f>
        <v/>
      </c>
      <c r="C3696" s="9">
        <f t="shared" si="57"/>
        <v>0</v>
      </c>
    </row>
    <row r="3697" spans="1:3" x14ac:dyDescent="0.2">
      <c r="A3697" s="10" t="str">
        <f>IF(3689&gt;$C$9008,"",INDEX($B$9:$B$9008,MATCH(3689,$C$9:$C$9008,0)))</f>
        <v/>
      </c>
      <c r="B3697" s="9" t="str">
        <f>IFERROR(INDEX(Input!$L$20:$T$1019,INT((ROW()-9)/9)+1,MOD(ROW()-9,9)+1),"")</f>
        <v/>
      </c>
      <c r="C3697" s="9">
        <f t="shared" si="57"/>
        <v>0</v>
      </c>
    </row>
    <row r="3698" spans="1:3" x14ac:dyDescent="0.2">
      <c r="A3698" s="10" t="str">
        <f>IF(3690&gt;$C$9008,"",INDEX($B$9:$B$9008,MATCH(3690,$C$9:$C$9008,0)))</f>
        <v/>
      </c>
      <c r="B3698" s="9" t="str">
        <f>IFERROR(INDEX(Input!$L$20:$T$1019,INT((ROW()-9)/9)+1,MOD(ROW()-9,9)+1),"")</f>
        <v/>
      </c>
      <c r="C3698" s="9">
        <f t="shared" si="57"/>
        <v>0</v>
      </c>
    </row>
    <row r="3699" spans="1:3" x14ac:dyDescent="0.2">
      <c r="A3699" s="10" t="str">
        <f>IF(3691&gt;$C$9008,"",INDEX($B$9:$B$9008,MATCH(3691,$C$9:$C$9008,0)))</f>
        <v/>
      </c>
      <c r="B3699" s="9" t="str">
        <f>IFERROR(INDEX(Input!$L$20:$T$1019,INT((ROW()-9)/9)+1,MOD(ROW()-9,9)+1),"")</f>
        <v/>
      </c>
      <c r="C3699" s="9">
        <f t="shared" si="57"/>
        <v>0</v>
      </c>
    </row>
    <row r="3700" spans="1:3" x14ac:dyDescent="0.2">
      <c r="A3700" s="10" t="str">
        <f>IF(3692&gt;$C$9008,"",INDEX($B$9:$B$9008,MATCH(3692,$C$9:$C$9008,0)))</f>
        <v/>
      </c>
      <c r="B3700" s="9" t="str">
        <f>IFERROR(INDEX(Input!$L$20:$T$1019,INT((ROW()-9)/9)+1,MOD(ROW()-9,9)+1),"")</f>
        <v/>
      </c>
      <c r="C3700" s="9">
        <f t="shared" si="57"/>
        <v>0</v>
      </c>
    </row>
    <row r="3701" spans="1:3" x14ac:dyDescent="0.2">
      <c r="A3701" s="10" t="str">
        <f>IF(3693&gt;$C$9008,"",INDEX($B$9:$B$9008,MATCH(3693,$C$9:$C$9008,0)))</f>
        <v/>
      </c>
      <c r="B3701" s="9" t="str">
        <f>IFERROR(INDEX(Input!$L$20:$T$1019,INT((ROW()-9)/9)+1,MOD(ROW()-9,9)+1),"")</f>
        <v/>
      </c>
      <c r="C3701" s="9">
        <f t="shared" si="57"/>
        <v>0</v>
      </c>
    </row>
    <row r="3702" spans="1:3" x14ac:dyDescent="0.2">
      <c r="A3702" s="10" t="str">
        <f>IF(3694&gt;$C$9008,"",INDEX($B$9:$B$9008,MATCH(3694,$C$9:$C$9008,0)))</f>
        <v/>
      </c>
      <c r="B3702" s="9" t="str">
        <f>IFERROR(INDEX(Input!$L$20:$T$1019,INT((ROW()-9)/9)+1,MOD(ROW()-9,9)+1),"")</f>
        <v/>
      </c>
      <c r="C3702" s="9">
        <f t="shared" si="57"/>
        <v>0</v>
      </c>
    </row>
    <row r="3703" spans="1:3" x14ac:dyDescent="0.2">
      <c r="A3703" s="10" t="str">
        <f>IF(3695&gt;$C$9008,"",INDEX($B$9:$B$9008,MATCH(3695,$C$9:$C$9008,0)))</f>
        <v/>
      </c>
      <c r="B3703" s="9" t="str">
        <f>IFERROR(INDEX(Input!$L$20:$T$1019,INT((ROW()-9)/9)+1,MOD(ROW()-9,9)+1),"")</f>
        <v/>
      </c>
      <c r="C3703" s="9">
        <f t="shared" si="57"/>
        <v>0</v>
      </c>
    </row>
    <row r="3704" spans="1:3" x14ac:dyDescent="0.2">
      <c r="A3704" s="10" t="str">
        <f>IF(3696&gt;$C$9008,"",INDEX($B$9:$B$9008,MATCH(3696,$C$9:$C$9008,0)))</f>
        <v/>
      </c>
      <c r="B3704" s="9" t="str">
        <f>IFERROR(INDEX(Input!$L$20:$T$1019,INT((ROW()-9)/9)+1,MOD(ROW()-9,9)+1),"")</f>
        <v/>
      </c>
      <c r="C3704" s="9">
        <f t="shared" si="57"/>
        <v>0</v>
      </c>
    </row>
    <row r="3705" spans="1:3" x14ac:dyDescent="0.2">
      <c r="A3705" s="10" t="str">
        <f>IF(3697&gt;$C$9008,"",INDEX($B$9:$B$9008,MATCH(3697,$C$9:$C$9008,0)))</f>
        <v/>
      </c>
      <c r="B3705" s="9" t="str">
        <f>IFERROR(INDEX(Input!$L$20:$T$1019,INT((ROW()-9)/9)+1,MOD(ROW()-9,9)+1),"")</f>
        <v/>
      </c>
      <c r="C3705" s="9">
        <f t="shared" si="57"/>
        <v>0</v>
      </c>
    </row>
    <row r="3706" spans="1:3" x14ac:dyDescent="0.2">
      <c r="A3706" s="10" t="str">
        <f>IF(3698&gt;$C$9008,"",INDEX($B$9:$B$9008,MATCH(3698,$C$9:$C$9008,0)))</f>
        <v/>
      </c>
      <c r="B3706" s="9" t="str">
        <f>IFERROR(INDEX(Input!$L$20:$T$1019,INT((ROW()-9)/9)+1,MOD(ROW()-9,9)+1),"")</f>
        <v/>
      </c>
      <c r="C3706" s="9">
        <f t="shared" si="57"/>
        <v>0</v>
      </c>
    </row>
    <row r="3707" spans="1:3" x14ac:dyDescent="0.2">
      <c r="A3707" s="10" t="str">
        <f>IF(3699&gt;$C$9008,"",INDEX($B$9:$B$9008,MATCH(3699,$C$9:$C$9008,0)))</f>
        <v/>
      </c>
      <c r="B3707" s="9" t="str">
        <f>IFERROR(INDEX(Input!$L$20:$T$1019,INT((ROW()-9)/9)+1,MOD(ROW()-9,9)+1),"")</f>
        <v/>
      </c>
      <c r="C3707" s="9">
        <f t="shared" si="57"/>
        <v>0</v>
      </c>
    </row>
    <row r="3708" spans="1:3" x14ac:dyDescent="0.2">
      <c r="A3708" s="10" t="str">
        <f>IF(3700&gt;$C$9008,"",INDEX($B$9:$B$9008,MATCH(3700,$C$9:$C$9008,0)))</f>
        <v/>
      </c>
      <c r="B3708" s="9" t="str">
        <f>IFERROR(INDEX(Input!$L$20:$T$1019,INT((ROW()-9)/9)+1,MOD(ROW()-9,9)+1),"")</f>
        <v/>
      </c>
      <c r="C3708" s="9">
        <f t="shared" si="57"/>
        <v>0</v>
      </c>
    </row>
    <row r="3709" spans="1:3" x14ac:dyDescent="0.2">
      <c r="A3709" s="10" t="str">
        <f>IF(3701&gt;$C$9008,"",INDEX($B$9:$B$9008,MATCH(3701,$C$9:$C$9008,0)))</f>
        <v/>
      </c>
      <c r="B3709" s="9" t="str">
        <f>IFERROR(INDEX(Input!$L$20:$T$1019,INT((ROW()-9)/9)+1,MOD(ROW()-9,9)+1),"")</f>
        <v/>
      </c>
      <c r="C3709" s="9">
        <f t="shared" si="57"/>
        <v>0</v>
      </c>
    </row>
    <row r="3710" spans="1:3" x14ac:dyDescent="0.2">
      <c r="A3710" s="10" t="str">
        <f>IF(3702&gt;$C$9008,"",INDEX($B$9:$B$9008,MATCH(3702,$C$9:$C$9008,0)))</f>
        <v/>
      </c>
      <c r="B3710" s="9" t="str">
        <f>IFERROR(INDEX(Input!$L$20:$T$1019,INT((ROW()-9)/9)+1,MOD(ROW()-9,9)+1),"")</f>
        <v/>
      </c>
      <c r="C3710" s="9">
        <f t="shared" si="57"/>
        <v>0</v>
      </c>
    </row>
    <row r="3711" spans="1:3" x14ac:dyDescent="0.2">
      <c r="A3711" s="10" t="str">
        <f>IF(3703&gt;$C$9008,"",INDEX($B$9:$B$9008,MATCH(3703,$C$9:$C$9008,0)))</f>
        <v/>
      </c>
      <c r="B3711" s="9" t="str">
        <f>IFERROR(INDEX(Input!$L$20:$T$1019,INT((ROW()-9)/9)+1,MOD(ROW()-9,9)+1),"")</f>
        <v/>
      </c>
      <c r="C3711" s="9">
        <f t="shared" si="57"/>
        <v>0</v>
      </c>
    </row>
    <row r="3712" spans="1:3" x14ac:dyDescent="0.2">
      <c r="A3712" s="10" t="str">
        <f>IF(3704&gt;$C$9008,"",INDEX($B$9:$B$9008,MATCH(3704,$C$9:$C$9008,0)))</f>
        <v/>
      </c>
      <c r="B3712" s="9" t="str">
        <f>IFERROR(INDEX(Input!$L$20:$T$1019,INT((ROW()-9)/9)+1,MOD(ROW()-9,9)+1),"")</f>
        <v/>
      </c>
      <c r="C3712" s="9">
        <f t="shared" si="57"/>
        <v>0</v>
      </c>
    </row>
    <row r="3713" spans="1:3" x14ac:dyDescent="0.2">
      <c r="A3713" s="10" t="str">
        <f>IF(3705&gt;$C$9008,"",INDEX($B$9:$B$9008,MATCH(3705,$C$9:$C$9008,0)))</f>
        <v/>
      </c>
      <c r="B3713" s="9" t="str">
        <f>IFERROR(INDEX(Input!$L$20:$T$1019,INT((ROW()-9)/9)+1,MOD(ROW()-9,9)+1),"")</f>
        <v/>
      </c>
      <c r="C3713" s="9">
        <f t="shared" si="57"/>
        <v>0</v>
      </c>
    </row>
    <row r="3714" spans="1:3" x14ac:dyDescent="0.2">
      <c r="A3714" s="10" t="str">
        <f>IF(3706&gt;$C$9008,"",INDEX($B$9:$B$9008,MATCH(3706,$C$9:$C$9008,0)))</f>
        <v/>
      </c>
      <c r="B3714" s="9" t="str">
        <f>IFERROR(INDEX(Input!$L$20:$T$1019,INT((ROW()-9)/9)+1,MOD(ROW()-9,9)+1),"")</f>
        <v/>
      </c>
      <c r="C3714" s="9">
        <f t="shared" si="57"/>
        <v>0</v>
      </c>
    </row>
    <row r="3715" spans="1:3" x14ac:dyDescent="0.2">
      <c r="A3715" s="10" t="str">
        <f>IF(3707&gt;$C$9008,"",INDEX($B$9:$B$9008,MATCH(3707,$C$9:$C$9008,0)))</f>
        <v/>
      </c>
      <c r="B3715" s="9" t="str">
        <f>IFERROR(INDEX(Input!$L$20:$T$1019,INT((ROW()-9)/9)+1,MOD(ROW()-9,9)+1),"")</f>
        <v/>
      </c>
      <c r="C3715" s="9">
        <f t="shared" si="57"/>
        <v>0</v>
      </c>
    </row>
    <row r="3716" spans="1:3" x14ac:dyDescent="0.2">
      <c r="A3716" s="10" t="str">
        <f>IF(3708&gt;$C$9008,"",INDEX($B$9:$B$9008,MATCH(3708,$C$9:$C$9008,0)))</f>
        <v/>
      </c>
      <c r="B3716" s="9" t="str">
        <f>IFERROR(INDEX(Input!$L$20:$T$1019,INT((ROW()-9)/9)+1,MOD(ROW()-9,9)+1),"")</f>
        <v/>
      </c>
      <c r="C3716" s="9">
        <f t="shared" si="57"/>
        <v>0</v>
      </c>
    </row>
    <row r="3717" spans="1:3" x14ac:dyDescent="0.2">
      <c r="A3717" s="10" t="str">
        <f>IF(3709&gt;$C$9008,"",INDEX($B$9:$B$9008,MATCH(3709,$C$9:$C$9008,0)))</f>
        <v/>
      </c>
      <c r="B3717" s="9" t="str">
        <f>IFERROR(INDEX(Input!$L$20:$T$1019,INT((ROW()-9)/9)+1,MOD(ROW()-9,9)+1),"")</f>
        <v/>
      </c>
      <c r="C3717" s="9">
        <f t="shared" si="57"/>
        <v>0</v>
      </c>
    </row>
    <row r="3718" spans="1:3" x14ac:dyDescent="0.2">
      <c r="A3718" s="10" t="str">
        <f>IF(3710&gt;$C$9008,"",INDEX($B$9:$B$9008,MATCH(3710,$C$9:$C$9008,0)))</f>
        <v/>
      </c>
      <c r="B3718" s="9" t="str">
        <f>IFERROR(INDEX(Input!$L$20:$T$1019,INT((ROW()-9)/9)+1,MOD(ROW()-9,9)+1),"")</f>
        <v/>
      </c>
      <c r="C3718" s="9">
        <f t="shared" si="57"/>
        <v>0</v>
      </c>
    </row>
    <row r="3719" spans="1:3" x14ac:dyDescent="0.2">
      <c r="A3719" s="10" t="str">
        <f>IF(3711&gt;$C$9008,"",INDEX($B$9:$B$9008,MATCH(3711,$C$9:$C$9008,0)))</f>
        <v/>
      </c>
      <c r="B3719" s="9" t="str">
        <f>IFERROR(INDEX(Input!$L$20:$T$1019,INT((ROW()-9)/9)+1,MOD(ROW()-9,9)+1),"")</f>
        <v/>
      </c>
      <c r="C3719" s="9">
        <f t="shared" si="57"/>
        <v>0</v>
      </c>
    </row>
    <row r="3720" spans="1:3" x14ac:dyDescent="0.2">
      <c r="A3720" s="10" t="str">
        <f>IF(3712&gt;$C$9008,"",INDEX($B$9:$B$9008,MATCH(3712,$C$9:$C$9008,0)))</f>
        <v/>
      </c>
      <c r="B3720" s="9" t="str">
        <f>IFERROR(INDEX(Input!$L$20:$T$1019,INT((ROW()-9)/9)+1,MOD(ROW()-9,9)+1),"")</f>
        <v/>
      </c>
      <c r="C3720" s="9">
        <f t="shared" si="57"/>
        <v>0</v>
      </c>
    </row>
    <row r="3721" spans="1:3" x14ac:dyDescent="0.2">
      <c r="A3721" s="10" t="str">
        <f>IF(3713&gt;$C$9008,"",INDEX($B$9:$B$9008,MATCH(3713,$C$9:$C$9008,0)))</f>
        <v/>
      </c>
      <c r="B3721" s="9" t="str">
        <f>IFERROR(INDEX(Input!$L$20:$T$1019,INT((ROW()-9)/9)+1,MOD(ROW()-9,9)+1),"")</f>
        <v/>
      </c>
      <c r="C3721" s="9">
        <f t="shared" ref="C3721:C3784" si="58">$C3720+IF($B3721&lt;&gt;"",1,0)</f>
        <v>0</v>
      </c>
    </row>
    <row r="3722" spans="1:3" x14ac:dyDescent="0.2">
      <c r="A3722" s="10" t="str">
        <f>IF(3714&gt;$C$9008,"",INDEX($B$9:$B$9008,MATCH(3714,$C$9:$C$9008,0)))</f>
        <v/>
      </c>
      <c r="B3722" s="9" t="str">
        <f>IFERROR(INDEX(Input!$L$20:$T$1019,INT((ROW()-9)/9)+1,MOD(ROW()-9,9)+1),"")</f>
        <v/>
      </c>
      <c r="C3722" s="9">
        <f t="shared" si="58"/>
        <v>0</v>
      </c>
    </row>
    <row r="3723" spans="1:3" x14ac:dyDescent="0.2">
      <c r="A3723" s="10" t="str">
        <f>IF(3715&gt;$C$9008,"",INDEX($B$9:$B$9008,MATCH(3715,$C$9:$C$9008,0)))</f>
        <v/>
      </c>
      <c r="B3723" s="9" t="str">
        <f>IFERROR(INDEX(Input!$L$20:$T$1019,INT((ROW()-9)/9)+1,MOD(ROW()-9,9)+1),"")</f>
        <v/>
      </c>
      <c r="C3723" s="9">
        <f t="shared" si="58"/>
        <v>0</v>
      </c>
    </row>
    <row r="3724" spans="1:3" x14ac:dyDescent="0.2">
      <c r="A3724" s="10" t="str">
        <f>IF(3716&gt;$C$9008,"",INDEX($B$9:$B$9008,MATCH(3716,$C$9:$C$9008,0)))</f>
        <v/>
      </c>
      <c r="B3724" s="9" t="str">
        <f>IFERROR(INDEX(Input!$L$20:$T$1019,INT((ROW()-9)/9)+1,MOD(ROW()-9,9)+1),"")</f>
        <v/>
      </c>
      <c r="C3724" s="9">
        <f t="shared" si="58"/>
        <v>0</v>
      </c>
    </row>
    <row r="3725" spans="1:3" x14ac:dyDescent="0.2">
      <c r="A3725" s="10" t="str">
        <f>IF(3717&gt;$C$9008,"",INDEX($B$9:$B$9008,MATCH(3717,$C$9:$C$9008,0)))</f>
        <v/>
      </c>
      <c r="B3725" s="9" t="str">
        <f>IFERROR(INDEX(Input!$L$20:$T$1019,INT((ROW()-9)/9)+1,MOD(ROW()-9,9)+1),"")</f>
        <v/>
      </c>
      <c r="C3725" s="9">
        <f t="shared" si="58"/>
        <v>0</v>
      </c>
    </row>
    <row r="3726" spans="1:3" x14ac:dyDescent="0.2">
      <c r="A3726" s="10" t="str">
        <f>IF(3718&gt;$C$9008,"",INDEX($B$9:$B$9008,MATCH(3718,$C$9:$C$9008,0)))</f>
        <v/>
      </c>
      <c r="B3726" s="9" t="str">
        <f>IFERROR(INDEX(Input!$L$20:$T$1019,INT((ROW()-9)/9)+1,MOD(ROW()-9,9)+1),"")</f>
        <v/>
      </c>
      <c r="C3726" s="9">
        <f t="shared" si="58"/>
        <v>0</v>
      </c>
    </row>
    <row r="3727" spans="1:3" x14ac:dyDescent="0.2">
      <c r="A3727" s="10" t="str">
        <f>IF(3719&gt;$C$9008,"",INDEX($B$9:$B$9008,MATCH(3719,$C$9:$C$9008,0)))</f>
        <v/>
      </c>
      <c r="B3727" s="9" t="str">
        <f>IFERROR(INDEX(Input!$L$20:$T$1019,INT((ROW()-9)/9)+1,MOD(ROW()-9,9)+1),"")</f>
        <v/>
      </c>
      <c r="C3727" s="9">
        <f t="shared" si="58"/>
        <v>0</v>
      </c>
    </row>
    <row r="3728" spans="1:3" x14ac:dyDescent="0.2">
      <c r="A3728" s="10" t="str">
        <f>IF(3720&gt;$C$9008,"",INDEX($B$9:$B$9008,MATCH(3720,$C$9:$C$9008,0)))</f>
        <v/>
      </c>
      <c r="B3728" s="9" t="str">
        <f>IFERROR(INDEX(Input!$L$20:$T$1019,INT((ROW()-9)/9)+1,MOD(ROW()-9,9)+1),"")</f>
        <v/>
      </c>
      <c r="C3728" s="9">
        <f t="shared" si="58"/>
        <v>0</v>
      </c>
    </row>
    <row r="3729" spans="1:3" x14ac:dyDescent="0.2">
      <c r="A3729" s="10" t="str">
        <f>IF(3721&gt;$C$9008,"",INDEX($B$9:$B$9008,MATCH(3721,$C$9:$C$9008,0)))</f>
        <v/>
      </c>
      <c r="B3729" s="9" t="str">
        <f>IFERROR(INDEX(Input!$L$20:$T$1019,INT((ROW()-9)/9)+1,MOD(ROW()-9,9)+1),"")</f>
        <v/>
      </c>
      <c r="C3729" s="9">
        <f t="shared" si="58"/>
        <v>0</v>
      </c>
    </row>
    <row r="3730" spans="1:3" x14ac:dyDescent="0.2">
      <c r="A3730" s="10" t="str">
        <f>IF(3722&gt;$C$9008,"",INDEX($B$9:$B$9008,MATCH(3722,$C$9:$C$9008,0)))</f>
        <v/>
      </c>
      <c r="B3730" s="9" t="str">
        <f>IFERROR(INDEX(Input!$L$20:$T$1019,INT((ROW()-9)/9)+1,MOD(ROW()-9,9)+1),"")</f>
        <v/>
      </c>
      <c r="C3730" s="9">
        <f t="shared" si="58"/>
        <v>0</v>
      </c>
    </row>
    <row r="3731" spans="1:3" x14ac:dyDescent="0.2">
      <c r="A3731" s="10" t="str">
        <f>IF(3723&gt;$C$9008,"",INDEX($B$9:$B$9008,MATCH(3723,$C$9:$C$9008,0)))</f>
        <v/>
      </c>
      <c r="B3731" s="9" t="str">
        <f>IFERROR(INDEX(Input!$L$20:$T$1019,INT((ROW()-9)/9)+1,MOD(ROW()-9,9)+1),"")</f>
        <v/>
      </c>
      <c r="C3731" s="9">
        <f t="shared" si="58"/>
        <v>0</v>
      </c>
    </row>
    <row r="3732" spans="1:3" x14ac:dyDescent="0.2">
      <c r="A3732" s="10" t="str">
        <f>IF(3724&gt;$C$9008,"",INDEX($B$9:$B$9008,MATCH(3724,$C$9:$C$9008,0)))</f>
        <v/>
      </c>
      <c r="B3732" s="9" t="str">
        <f>IFERROR(INDEX(Input!$L$20:$T$1019,INT((ROW()-9)/9)+1,MOD(ROW()-9,9)+1),"")</f>
        <v/>
      </c>
      <c r="C3732" s="9">
        <f t="shared" si="58"/>
        <v>0</v>
      </c>
    </row>
    <row r="3733" spans="1:3" x14ac:dyDescent="0.2">
      <c r="A3733" s="10" t="str">
        <f>IF(3725&gt;$C$9008,"",INDEX($B$9:$B$9008,MATCH(3725,$C$9:$C$9008,0)))</f>
        <v/>
      </c>
      <c r="B3733" s="9" t="str">
        <f>IFERROR(INDEX(Input!$L$20:$T$1019,INT((ROW()-9)/9)+1,MOD(ROW()-9,9)+1),"")</f>
        <v/>
      </c>
      <c r="C3733" s="9">
        <f t="shared" si="58"/>
        <v>0</v>
      </c>
    </row>
    <row r="3734" spans="1:3" x14ac:dyDescent="0.2">
      <c r="A3734" s="10" t="str">
        <f>IF(3726&gt;$C$9008,"",INDEX($B$9:$B$9008,MATCH(3726,$C$9:$C$9008,0)))</f>
        <v/>
      </c>
      <c r="B3734" s="9" t="str">
        <f>IFERROR(INDEX(Input!$L$20:$T$1019,INT((ROW()-9)/9)+1,MOD(ROW()-9,9)+1),"")</f>
        <v/>
      </c>
      <c r="C3734" s="9">
        <f t="shared" si="58"/>
        <v>0</v>
      </c>
    </row>
    <row r="3735" spans="1:3" x14ac:dyDescent="0.2">
      <c r="A3735" s="10" t="str">
        <f>IF(3727&gt;$C$9008,"",INDEX($B$9:$B$9008,MATCH(3727,$C$9:$C$9008,0)))</f>
        <v/>
      </c>
      <c r="B3735" s="9" t="str">
        <f>IFERROR(INDEX(Input!$L$20:$T$1019,INT((ROW()-9)/9)+1,MOD(ROW()-9,9)+1),"")</f>
        <v/>
      </c>
      <c r="C3735" s="9">
        <f t="shared" si="58"/>
        <v>0</v>
      </c>
    </row>
    <row r="3736" spans="1:3" x14ac:dyDescent="0.2">
      <c r="A3736" s="10" t="str">
        <f>IF(3728&gt;$C$9008,"",INDEX($B$9:$B$9008,MATCH(3728,$C$9:$C$9008,0)))</f>
        <v/>
      </c>
      <c r="B3736" s="9" t="str">
        <f>IFERROR(INDEX(Input!$L$20:$T$1019,INT((ROW()-9)/9)+1,MOD(ROW()-9,9)+1),"")</f>
        <v/>
      </c>
      <c r="C3736" s="9">
        <f t="shared" si="58"/>
        <v>0</v>
      </c>
    </row>
    <row r="3737" spans="1:3" x14ac:dyDescent="0.2">
      <c r="A3737" s="10" t="str">
        <f>IF(3729&gt;$C$9008,"",INDEX($B$9:$B$9008,MATCH(3729,$C$9:$C$9008,0)))</f>
        <v/>
      </c>
      <c r="B3737" s="9" t="str">
        <f>IFERROR(INDEX(Input!$L$20:$T$1019,INT((ROW()-9)/9)+1,MOD(ROW()-9,9)+1),"")</f>
        <v/>
      </c>
      <c r="C3737" s="9">
        <f t="shared" si="58"/>
        <v>0</v>
      </c>
    </row>
    <row r="3738" spans="1:3" x14ac:dyDescent="0.2">
      <c r="A3738" s="10" t="str">
        <f>IF(3730&gt;$C$9008,"",INDEX($B$9:$B$9008,MATCH(3730,$C$9:$C$9008,0)))</f>
        <v/>
      </c>
      <c r="B3738" s="9" t="str">
        <f>IFERROR(INDEX(Input!$L$20:$T$1019,INT((ROW()-9)/9)+1,MOD(ROW()-9,9)+1),"")</f>
        <v/>
      </c>
      <c r="C3738" s="9">
        <f t="shared" si="58"/>
        <v>0</v>
      </c>
    </row>
    <row r="3739" spans="1:3" x14ac:dyDescent="0.2">
      <c r="A3739" s="10" t="str">
        <f>IF(3731&gt;$C$9008,"",INDEX($B$9:$B$9008,MATCH(3731,$C$9:$C$9008,0)))</f>
        <v/>
      </c>
      <c r="B3739" s="9" t="str">
        <f>IFERROR(INDEX(Input!$L$20:$T$1019,INT((ROW()-9)/9)+1,MOD(ROW()-9,9)+1),"")</f>
        <v/>
      </c>
      <c r="C3739" s="9">
        <f t="shared" si="58"/>
        <v>0</v>
      </c>
    </row>
    <row r="3740" spans="1:3" x14ac:dyDescent="0.2">
      <c r="A3740" s="10" t="str">
        <f>IF(3732&gt;$C$9008,"",INDEX($B$9:$B$9008,MATCH(3732,$C$9:$C$9008,0)))</f>
        <v/>
      </c>
      <c r="B3740" s="9" t="str">
        <f>IFERROR(INDEX(Input!$L$20:$T$1019,INT((ROW()-9)/9)+1,MOD(ROW()-9,9)+1),"")</f>
        <v/>
      </c>
      <c r="C3740" s="9">
        <f t="shared" si="58"/>
        <v>0</v>
      </c>
    </row>
    <row r="3741" spans="1:3" x14ac:dyDescent="0.2">
      <c r="A3741" s="10" t="str">
        <f>IF(3733&gt;$C$9008,"",INDEX($B$9:$B$9008,MATCH(3733,$C$9:$C$9008,0)))</f>
        <v/>
      </c>
      <c r="B3741" s="9" t="str">
        <f>IFERROR(INDEX(Input!$L$20:$T$1019,INT((ROW()-9)/9)+1,MOD(ROW()-9,9)+1),"")</f>
        <v/>
      </c>
      <c r="C3741" s="9">
        <f t="shared" si="58"/>
        <v>0</v>
      </c>
    </row>
    <row r="3742" spans="1:3" x14ac:dyDescent="0.2">
      <c r="A3742" s="10" t="str">
        <f>IF(3734&gt;$C$9008,"",INDEX($B$9:$B$9008,MATCH(3734,$C$9:$C$9008,0)))</f>
        <v/>
      </c>
      <c r="B3742" s="9" t="str">
        <f>IFERROR(INDEX(Input!$L$20:$T$1019,INT((ROW()-9)/9)+1,MOD(ROW()-9,9)+1),"")</f>
        <v/>
      </c>
      <c r="C3742" s="9">
        <f t="shared" si="58"/>
        <v>0</v>
      </c>
    </row>
    <row r="3743" spans="1:3" x14ac:dyDescent="0.2">
      <c r="A3743" s="10" t="str">
        <f>IF(3735&gt;$C$9008,"",INDEX($B$9:$B$9008,MATCH(3735,$C$9:$C$9008,0)))</f>
        <v/>
      </c>
      <c r="B3743" s="9" t="str">
        <f>IFERROR(INDEX(Input!$L$20:$T$1019,INT((ROW()-9)/9)+1,MOD(ROW()-9,9)+1),"")</f>
        <v/>
      </c>
      <c r="C3743" s="9">
        <f t="shared" si="58"/>
        <v>0</v>
      </c>
    </row>
    <row r="3744" spans="1:3" x14ac:dyDescent="0.2">
      <c r="A3744" s="10" t="str">
        <f>IF(3736&gt;$C$9008,"",INDEX($B$9:$B$9008,MATCH(3736,$C$9:$C$9008,0)))</f>
        <v/>
      </c>
      <c r="B3744" s="9" t="str">
        <f>IFERROR(INDEX(Input!$L$20:$T$1019,INT((ROW()-9)/9)+1,MOD(ROW()-9,9)+1),"")</f>
        <v/>
      </c>
      <c r="C3744" s="9">
        <f t="shared" si="58"/>
        <v>0</v>
      </c>
    </row>
    <row r="3745" spans="1:3" x14ac:dyDescent="0.2">
      <c r="A3745" s="10" t="str">
        <f>IF(3737&gt;$C$9008,"",INDEX($B$9:$B$9008,MATCH(3737,$C$9:$C$9008,0)))</f>
        <v/>
      </c>
      <c r="B3745" s="9" t="str">
        <f>IFERROR(INDEX(Input!$L$20:$T$1019,INT((ROW()-9)/9)+1,MOD(ROW()-9,9)+1),"")</f>
        <v/>
      </c>
      <c r="C3745" s="9">
        <f t="shared" si="58"/>
        <v>0</v>
      </c>
    </row>
    <row r="3746" spans="1:3" x14ac:dyDescent="0.2">
      <c r="A3746" s="10" t="str">
        <f>IF(3738&gt;$C$9008,"",INDEX($B$9:$B$9008,MATCH(3738,$C$9:$C$9008,0)))</f>
        <v/>
      </c>
      <c r="B3746" s="9" t="str">
        <f>IFERROR(INDEX(Input!$L$20:$T$1019,INT((ROW()-9)/9)+1,MOD(ROW()-9,9)+1),"")</f>
        <v/>
      </c>
      <c r="C3746" s="9">
        <f t="shared" si="58"/>
        <v>0</v>
      </c>
    </row>
    <row r="3747" spans="1:3" x14ac:dyDescent="0.2">
      <c r="A3747" s="10" t="str">
        <f>IF(3739&gt;$C$9008,"",INDEX($B$9:$B$9008,MATCH(3739,$C$9:$C$9008,0)))</f>
        <v/>
      </c>
      <c r="B3747" s="9" t="str">
        <f>IFERROR(INDEX(Input!$L$20:$T$1019,INT((ROW()-9)/9)+1,MOD(ROW()-9,9)+1),"")</f>
        <v/>
      </c>
      <c r="C3747" s="9">
        <f t="shared" si="58"/>
        <v>0</v>
      </c>
    </row>
    <row r="3748" spans="1:3" x14ac:dyDescent="0.2">
      <c r="A3748" s="10" t="str">
        <f>IF(3740&gt;$C$9008,"",INDEX($B$9:$B$9008,MATCH(3740,$C$9:$C$9008,0)))</f>
        <v/>
      </c>
      <c r="B3748" s="9" t="str">
        <f>IFERROR(INDEX(Input!$L$20:$T$1019,INT((ROW()-9)/9)+1,MOD(ROW()-9,9)+1),"")</f>
        <v/>
      </c>
      <c r="C3748" s="9">
        <f t="shared" si="58"/>
        <v>0</v>
      </c>
    </row>
    <row r="3749" spans="1:3" x14ac:dyDescent="0.2">
      <c r="A3749" s="10" t="str">
        <f>IF(3741&gt;$C$9008,"",INDEX($B$9:$B$9008,MATCH(3741,$C$9:$C$9008,0)))</f>
        <v/>
      </c>
      <c r="B3749" s="9" t="str">
        <f>IFERROR(INDEX(Input!$L$20:$T$1019,INT((ROW()-9)/9)+1,MOD(ROW()-9,9)+1),"")</f>
        <v/>
      </c>
      <c r="C3749" s="9">
        <f t="shared" si="58"/>
        <v>0</v>
      </c>
    </row>
    <row r="3750" spans="1:3" x14ac:dyDescent="0.2">
      <c r="A3750" s="10" t="str">
        <f>IF(3742&gt;$C$9008,"",INDEX($B$9:$B$9008,MATCH(3742,$C$9:$C$9008,0)))</f>
        <v/>
      </c>
      <c r="B3750" s="9" t="str">
        <f>IFERROR(INDEX(Input!$L$20:$T$1019,INT((ROW()-9)/9)+1,MOD(ROW()-9,9)+1),"")</f>
        <v/>
      </c>
      <c r="C3750" s="9">
        <f t="shared" si="58"/>
        <v>0</v>
      </c>
    </row>
    <row r="3751" spans="1:3" x14ac:dyDescent="0.2">
      <c r="A3751" s="10" t="str">
        <f>IF(3743&gt;$C$9008,"",INDEX($B$9:$B$9008,MATCH(3743,$C$9:$C$9008,0)))</f>
        <v/>
      </c>
      <c r="B3751" s="9" t="str">
        <f>IFERROR(INDEX(Input!$L$20:$T$1019,INT((ROW()-9)/9)+1,MOD(ROW()-9,9)+1),"")</f>
        <v/>
      </c>
      <c r="C3751" s="9">
        <f t="shared" si="58"/>
        <v>0</v>
      </c>
    </row>
    <row r="3752" spans="1:3" x14ac:dyDescent="0.2">
      <c r="A3752" s="10" t="str">
        <f>IF(3744&gt;$C$9008,"",INDEX($B$9:$B$9008,MATCH(3744,$C$9:$C$9008,0)))</f>
        <v/>
      </c>
      <c r="B3752" s="9" t="str">
        <f>IFERROR(INDEX(Input!$L$20:$T$1019,INT((ROW()-9)/9)+1,MOD(ROW()-9,9)+1),"")</f>
        <v/>
      </c>
      <c r="C3752" s="9">
        <f t="shared" si="58"/>
        <v>0</v>
      </c>
    </row>
    <row r="3753" spans="1:3" x14ac:dyDescent="0.2">
      <c r="A3753" s="10" t="str">
        <f>IF(3745&gt;$C$9008,"",INDEX($B$9:$B$9008,MATCH(3745,$C$9:$C$9008,0)))</f>
        <v/>
      </c>
      <c r="B3753" s="9" t="str">
        <f>IFERROR(INDEX(Input!$L$20:$T$1019,INT((ROW()-9)/9)+1,MOD(ROW()-9,9)+1),"")</f>
        <v/>
      </c>
      <c r="C3753" s="9">
        <f t="shared" si="58"/>
        <v>0</v>
      </c>
    </row>
    <row r="3754" spans="1:3" x14ac:dyDescent="0.2">
      <c r="A3754" s="10" t="str">
        <f>IF(3746&gt;$C$9008,"",INDEX($B$9:$B$9008,MATCH(3746,$C$9:$C$9008,0)))</f>
        <v/>
      </c>
      <c r="B3754" s="9" t="str">
        <f>IFERROR(INDEX(Input!$L$20:$T$1019,INT((ROW()-9)/9)+1,MOD(ROW()-9,9)+1),"")</f>
        <v/>
      </c>
      <c r="C3754" s="9">
        <f t="shared" si="58"/>
        <v>0</v>
      </c>
    </row>
    <row r="3755" spans="1:3" x14ac:dyDescent="0.2">
      <c r="A3755" s="10" t="str">
        <f>IF(3747&gt;$C$9008,"",INDEX($B$9:$B$9008,MATCH(3747,$C$9:$C$9008,0)))</f>
        <v/>
      </c>
      <c r="B3755" s="9" t="str">
        <f>IFERROR(INDEX(Input!$L$20:$T$1019,INT((ROW()-9)/9)+1,MOD(ROW()-9,9)+1),"")</f>
        <v/>
      </c>
      <c r="C3755" s="9">
        <f t="shared" si="58"/>
        <v>0</v>
      </c>
    </row>
    <row r="3756" spans="1:3" x14ac:dyDescent="0.2">
      <c r="A3756" s="10" t="str">
        <f>IF(3748&gt;$C$9008,"",INDEX($B$9:$B$9008,MATCH(3748,$C$9:$C$9008,0)))</f>
        <v/>
      </c>
      <c r="B3756" s="9" t="str">
        <f>IFERROR(INDEX(Input!$L$20:$T$1019,INT((ROW()-9)/9)+1,MOD(ROW()-9,9)+1),"")</f>
        <v/>
      </c>
      <c r="C3756" s="9">
        <f t="shared" si="58"/>
        <v>0</v>
      </c>
    </row>
    <row r="3757" spans="1:3" x14ac:dyDescent="0.2">
      <c r="A3757" s="10" t="str">
        <f>IF(3749&gt;$C$9008,"",INDEX($B$9:$B$9008,MATCH(3749,$C$9:$C$9008,0)))</f>
        <v/>
      </c>
      <c r="B3757" s="9" t="str">
        <f>IFERROR(INDEX(Input!$L$20:$T$1019,INT((ROW()-9)/9)+1,MOD(ROW()-9,9)+1),"")</f>
        <v/>
      </c>
      <c r="C3757" s="9">
        <f t="shared" si="58"/>
        <v>0</v>
      </c>
    </row>
    <row r="3758" spans="1:3" x14ac:dyDescent="0.2">
      <c r="A3758" s="10" t="str">
        <f>IF(3750&gt;$C$9008,"",INDEX($B$9:$B$9008,MATCH(3750,$C$9:$C$9008,0)))</f>
        <v/>
      </c>
      <c r="B3758" s="9" t="str">
        <f>IFERROR(INDEX(Input!$L$20:$T$1019,INT((ROW()-9)/9)+1,MOD(ROW()-9,9)+1),"")</f>
        <v/>
      </c>
      <c r="C3758" s="9">
        <f t="shared" si="58"/>
        <v>0</v>
      </c>
    </row>
    <row r="3759" spans="1:3" x14ac:dyDescent="0.2">
      <c r="A3759" s="10" t="str">
        <f>IF(3751&gt;$C$9008,"",INDEX($B$9:$B$9008,MATCH(3751,$C$9:$C$9008,0)))</f>
        <v/>
      </c>
      <c r="B3759" s="9" t="str">
        <f>IFERROR(INDEX(Input!$L$20:$T$1019,INT((ROW()-9)/9)+1,MOD(ROW()-9,9)+1),"")</f>
        <v/>
      </c>
      <c r="C3759" s="9">
        <f t="shared" si="58"/>
        <v>0</v>
      </c>
    </row>
    <row r="3760" spans="1:3" x14ac:dyDescent="0.2">
      <c r="A3760" s="10" t="str">
        <f>IF(3752&gt;$C$9008,"",INDEX($B$9:$B$9008,MATCH(3752,$C$9:$C$9008,0)))</f>
        <v/>
      </c>
      <c r="B3760" s="9" t="str">
        <f>IFERROR(INDEX(Input!$L$20:$T$1019,INT((ROW()-9)/9)+1,MOD(ROW()-9,9)+1),"")</f>
        <v/>
      </c>
      <c r="C3760" s="9">
        <f t="shared" si="58"/>
        <v>0</v>
      </c>
    </row>
    <row r="3761" spans="1:3" x14ac:dyDescent="0.2">
      <c r="A3761" s="10" t="str">
        <f>IF(3753&gt;$C$9008,"",INDEX($B$9:$B$9008,MATCH(3753,$C$9:$C$9008,0)))</f>
        <v/>
      </c>
      <c r="B3761" s="9" t="str">
        <f>IFERROR(INDEX(Input!$L$20:$T$1019,INT((ROW()-9)/9)+1,MOD(ROW()-9,9)+1),"")</f>
        <v/>
      </c>
      <c r="C3761" s="9">
        <f t="shared" si="58"/>
        <v>0</v>
      </c>
    </row>
    <row r="3762" spans="1:3" x14ac:dyDescent="0.2">
      <c r="A3762" s="10" t="str">
        <f>IF(3754&gt;$C$9008,"",INDEX($B$9:$B$9008,MATCH(3754,$C$9:$C$9008,0)))</f>
        <v/>
      </c>
      <c r="B3762" s="9" t="str">
        <f>IFERROR(INDEX(Input!$L$20:$T$1019,INT((ROW()-9)/9)+1,MOD(ROW()-9,9)+1),"")</f>
        <v/>
      </c>
      <c r="C3762" s="9">
        <f t="shared" si="58"/>
        <v>0</v>
      </c>
    </row>
    <row r="3763" spans="1:3" x14ac:dyDescent="0.2">
      <c r="A3763" s="10" t="str">
        <f>IF(3755&gt;$C$9008,"",INDEX($B$9:$B$9008,MATCH(3755,$C$9:$C$9008,0)))</f>
        <v/>
      </c>
      <c r="B3763" s="9" t="str">
        <f>IFERROR(INDEX(Input!$L$20:$T$1019,INT((ROW()-9)/9)+1,MOD(ROW()-9,9)+1),"")</f>
        <v/>
      </c>
      <c r="C3763" s="9">
        <f t="shared" si="58"/>
        <v>0</v>
      </c>
    </row>
    <row r="3764" spans="1:3" x14ac:dyDescent="0.2">
      <c r="A3764" s="10" t="str">
        <f>IF(3756&gt;$C$9008,"",INDEX($B$9:$B$9008,MATCH(3756,$C$9:$C$9008,0)))</f>
        <v/>
      </c>
      <c r="B3764" s="9" t="str">
        <f>IFERROR(INDEX(Input!$L$20:$T$1019,INT((ROW()-9)/9)+1,MOD(ROW()-9,9)+1),"")</f>
        <v/>
      </c>
      <c r="C3764" s="9">
        <f t="shared" si="58"/>
        <v>0</v>
      </c>
    </row>
    <row r="3765" spans="1:3" x14ac:dyDescent="0.2">
      <c r="A3765" s="10" t="str">
        <f>IF(3757&gt;$C$9008,"",INDEX($B$9:$B$9008,MATCH(3757,$C$9:$C$9008,0)))</f>
        <v/>
      </c>
      <c r="B3765" s="9" t="str">
        <f>IFERROR(INDEX(Input!$L$20:$T$1019,INT((ROW()-9)/9)+1,MOD(ROW()-9,9)+1),"")</f>
        <v/>
      </c>
      <c r="C3765" s="9">
        <f t="shared" si="58"/>
        <v>0</v>
      </c>
    </row>
    <row r="3766" spans="1:3" x14ac:dyDescent="0.2">
      <c r="A3766" s="10" t="str">
        <f>IF(3758&gt;$C$9008,"",INDEX($B$9:$B$9008,MATCH(3758,$C$9:$C$9008,0)))</f>
        <v/>
      </c>
      <c r="B3766" s="9" t="str">
        <f>IFERROR(INDEX(Input!$L$20:$T$1019,INT((ROW()-9)/9)+1,MOD(ROW()-9,9)+1),"")</f>
        <v/>
      </c>
      <c r="C3766" s="9">
        <f t="shared" si="58"/>
        <v>0</v>
      </c>
    </row>
    <row r="3767" spans="1:3" x14ac:dyDescent="0.2">
      <c r="A3767" s="10" t="str">
        <f>IF(3759&gt;$C$9008,"",INDEX($B$9:$B$9008,MATCH(3759,$C$9:$C$9008,0)))</f>
        <v/>
      </c>
      <c r="B3767" s="9" t="str">
        <f>IFERROR(INDEX(Input!$L$20:$T$1019,INT((ROW()-9)/9)+1,MOD(ROW()-9,9)+1),"")</f>
        <v/>
      </c>
      <c r="C3767" s="9">
        <f t="shared" si="58"/>
        <v>0</v>
      </c>
    </row>
    <row r="3768" spans="1:3" x14ac:dyDescent="0.2">
      <c r="A3768" s="10" t="str">
        <f>IF(3760&gt;$C$9008,"",INDEX($B$9:$B$9008,MATCH(3760,$C$9:$C$9008,0)))</f>
        <v/>
      </c>
      <c r="B3768" s="9" t="str">
        <f>IFERROR(INDEX(Input!$L$20:$T$1019,INT((ROW()-9)/9)+1,MOD(ROW()-9,9)+1),"")</f>
        <v/>
      </c>
      <c r="C3768" s="9">
        <f t="shared" si="58"/>
        <v>0</v>
      </c>
    </row>
    <row r="3769" spans="1:3" x14ac:dyDescent="0.2">
      <c r="A3769" s="10" t="str">
        <f>IF(3761&gt;$C$9008,"",INDEX($B$9:$B$9008,MATCH(3761,$C$9:$C$9008,0)))</f>
        <v/>
      </c>
      <c r="B3769" s="9" t="str">
        <f>IFERROR(INDEX(Input!$L$20:$T$1019,INT((ROW()-9)/9)+1,MOD(ROW()-9,9)+1),"")</f>
        <v/>
      </c>
      <c r="C3769" s="9">
        <f t="shared" si="58"/>
        <v>0</v>
      </c>
    </row>
    <row r="3770" spans="1:3" x14ac:dyDescent="0.2">
      <c r="A3770" s="10" t="str">
        <f>IF(3762&gt;$C$9008,"",INDEX($B$9:$B$9008,MATCH(3762,$C$9:$C$9008,0)))</f>
        <v/>
      </c>
      <c r="B3770" s="9" t="str">
        <f>IFERROR(INDEX(Input!$L$20:$T$1019,INT((ROW()-9)/9)+1,MOD(ROW()-9,9)+1),"")</f>
        <v/>
      </c>
      <c r="C3770" s="9">
        <f t="shared" si="58"/>
        <v>0</v>
      </c>
    </row>
    <row r="3771" spans="1:3" x14ac:dyDescent="0.2">
      <c r="A3771" s="10" t="str">
        <f>IF(3763&gt;$C$9008,"",INDEX($B$9:$B$9008,MATCH(3763,$C$9:$C$9008,0)))</f>
        <v/>
      </c>
      <c r="B3771" s="9" t="str">
        <f>IFERROR(INDEX(Input!$L$20:$T$1019,INT((ROW()-9)/9)+1,MOD(ROW()-9,9)+1),"")</f>
        <v/>
      </c>
      <c r="C3771" s="9">
        <f t="shared" si="58"/>
        <v>0</v>
      </c>
    </row>
    <row r="3772" spans="1:3" x14ac:dyDescent="0.2">
      <c r="A3772" s="10" t="str">
        <f>IF(3764&gt;$C$9008,"",INDEX($B$9:$B$9008,MATCH(3764,$C$9:$C$9008,0)))</f>
        <v/>
      </c>
      <c r="B3772" s="9" t="str">
        <f>IFERROR(INDEX(Input!$L$20:$T$1019,INT((ROW()-9)/9)+1,MOD(ROW()-9,9)+1),"")</f>
        <v/>
      </c>
      <c r="C3772" s="9">
        <f t="shared" si="58"/>
        <v>0</v>
      </c>
    </row>
    <row r="3773" spans="1:3" x14ac:dyDescent="0.2">
      <c r="A3773" s="10" t="str">
        <f>IF(3765&gt;$C$9008,"",INDEX($B$9:$B$9008,MATCH(3765,$C$9:$C$9008,0)))</f>
        <v/>
      </c>
      <c r="B3773" s="9" t="str">
        <f>IFERROR(INDEX(Input!$L$20:$T$1019,INT((ROW()-9)/9)+1,MOD(ROW()-9,9)+1),"")</f>
        <v/>
      </c>
      <c r="C3773" s="9">
        <f t="shared" si="58"/>
        <v>0</v>
      </c>
    </row>
    <row r="3774" spans="1:3" x14ac:dyDescent="0.2">
      <c r="A3774" s="10" t="str">
        <f>IF(3766&gt;$C$9008,"",INDEX($B$9:$B$9008,MATCH(3766,$C$9:$C$9008,0)))</f>
        <v/>
      </c>
      <c r="B3774" s="9" t="str">
        <f>IFERROR(INDEX(Input!$L$20:$T$1019,INT((ROW()-9)/9)+1,MOD(ROW()-9,9)+1),"")</f>
        <v/>
      </c>
      <c r="C3774" s="9">
        <f t="shared" si="58"/>
        <v>0</v>
      </c>
    </row>
    <row r="3775" spans="1:3" x14ac:dyDescent="0.2">
      <c r="A3775" s="10" t="str">
        <f>IF(3767&gt;$C$9008,"",INDEX($B$9:$B$9008,MATCH(3767,$C$9:$C$9008,0)))</f>
        <v/>
      </c>
      <c r="B3775" s="9" t="str">
        <f>IFERROR(INDEX(Input!$L$20:$T$1019,INT((ROW()-9)/9)+1,MOD(ROW()-9,9)+1),"")</f>
        <v/>
      </c>
      <c r="C3775" s="9">
        <f t="shared" si="58"/>
        <v>0</v>
      </c>
    </row>
    <row r="3776" spans="1:3" x14ac:dyDescent="0.2">
      <c r="A3776" s="10" t="str">
        <f>IF(3768&gt;$C$9008,"",INDEX($B$9:$B$9008,MATCH(3768,$C$9:$C$9008,0)))</f>
        <v/>
      </c>
      <c r="B3776" s="9" t="str">
        <f>IFERROR(INDEX(Input!$L$20:$T$1019,INT((ROW()-9)/9)+1,MOD(ROW()-9,9)+1),"")</f>
        <v/>
      </c>
      <c r="C3776" s="9">
        <f t="shared" si="58"/>
        <v>0</v>
      </c>
    </row>
    <row r="3777" spans="1:3" x14ac:dyDescent="0.2">
      <c r="A3777" s="10" t="str">
        <f>IF(3769&gt;$C$9008,"",INDEX($B$9:$B$9008,MATCH(3769,$C$9:$C$9008,0)))</f>
        <v/>
      </c>
      <c r="B3777" s="9" t="str">
        <f>IFERROR(INDEX(Input!$L$20:$T$1019,INT((ROW()-9)/9)+1,MOD(ROW()-9,9)+1),"")</f>
        <v/>
      </c>
      <c r="C3777" s="9">
        <f t="shared" si="58"/>
        <v>0</v>
      </c>
    </row>
    <row r="3778" spans="1:3" x14ac:dyDescent="0.2">
      <c r="A3778" s="10" t="str">
        <f>IF(3770&gt;$C$9008,"",INDEX($B$9:$B$9008,MATCH(3770,$C$9:$C$9008,0)))</f>
        <v/>
      </c>
      <c r="B3778" s="9" t="str">
        <f>IFERROR(INDEX(Input!$L$20:$T$1019,INT((ROW()-9)/9)+1,MOD(ROW()-9,9)+1),"")</f>
        <v/>
      </c>
      <c r="C3778" s="9">
        <f t="shared" si="58"/>
        <v>0</v>
      </c>
    </row>
    <row r="3779" spans="1:3" x14ac:dyDescent="0.2">
      <c r="A3779" s="10" t="str">
        <f>IF(3771&gt;$C$9008,"",INDEX($B$9:$B$9008,MATCH(3771,$C$9:$C$9008,0)))</f>
        <v/>
      </c>
      <c r="B3779" s="9" t="str">
        <f>IFERROR(INDEX(Input!$L$20:$T$1019,INT((ROW()-9)/9)+1,MOD(ROW()-9,9)+1),"")</f>
        <v/>
      </c>
      <c r="C3779" s="9">
        <f t="shared" si="58"/>
        <v>0</v>
      </c>
    </row>
    <row r="3780" spans="1:3" x14ac:dyDescent="0.2">
      <c r="A3780" s="10" t="str">
        <f>IF(3772&gt;$C$9008,"",INDEX($B$9:$B$9008,MATCH(3772,$C$9:$C$9008,0)))</f>
        <v/>
      </c>
      <c r="B3780" s="9" t="str">
        <f>IFERROR(INDEX(Input!$L$20:$T$1019,INT((ROW()-9)/9)+1,MOD(ROW()-9,9)+1),"")</f>
        <v/>
      </c>
      <c r="C3780" s="9">
        <f t="shared" si="58"/>
        <v>0</v>
      </c>
    </row>
    <row r="3781" spans="1:3" x14ac:dyDescent="0.2">
      <c r="A3781" s="10" t="str">
        <f>IF(3773&gt;$C$9008,"",INDEX($B$9:$B$9008,MATCH(3773,$C$9:$C$9008,0)))</f>
        <v/>
      </c>
      <c r="B3781" s="9" t="str">
        <f>IFERROR(INDEX(Input!$L$20:$T$1019,INT((ROW()-9)/9)+1,MOD(ROW()-9,9)+1),"")</f>
        <v/>
      </c>
      <c r="C3781" s="9">
        <f t="shared" si="58"/>
        <v>0</v>
      </c>
    </row>
    <row r="3782" spans="1:3" x14ac:dyDescent="0.2">
      <c r="A3782" s="10" t="str">
        <f>IF(3774&gt;$C$9008,"",INDEX($B$9:$B$9008,MATCH(3774,$C$9:$C$9008,0)))</f>
        <v/>
      </c>
      <c r="B3782" s="9" t="str">
        <f>IFERROR(INDEX(Input!$L$20:$T$1019,INT((ROW()-9)/9)+1,MOD(ROW()-9,9)+1),"")</f>
        <v/>
      </c>
      <c r="C3782" s="9">
        <f t="shared" si="58"/>
        <v>0</v>
      </c>
    </row>
    <row r="3783" spans="1:3" x14ac:dyDescent="0.2">
      <c r="A3783" s="10" t="str">
        <f>IF(3775&gt;$C$9008,"",INDEX($B$9:$B$9008,MATCH(3775,$C$9:$C$9008,0)))</f>
        <v/>
      </c>
      <c r="B3783" s="9" t="str">
        <f>IFERROR(INDEX(Input!$L$20:$T$1019,INT((ROW()-9)/9)+1,MOD(ROW()-9,9)+1),"")</f>
        <v/>
      </c>
      <c r="C3783" s="9">
        <f t="shared" si="58"/>
        <v>0</v>
      </c>
    </row>
    <row r="3784" spans="1:3" x14ac:dyDescent="0.2">
      <c r="A3784" s="10" t="str">
        <f>IF(3776&gt;$C$9008,"",INDEX($B$9:$B$9008,MATCH(3776,$C$9:$C$9008,0)))</f>
        <v/>
      </c>
      <c r="B3784" s="9" t="str">
        <f>IFERROR(INDEX(Input!$L$20:$T$1019,INT((ROW()-9)/9)+1,MOD(ROW()-9,9)+1),"")</f>
        <v/>
      </c>
      <c r="C3784" s="9">
        <f t="shared" si="58"/>
        <v>0</v>
      </c>
    </row>
    <row r="3785" spans="1:3" x14ac:dyDescent="0.2">
      <c r="A3785" s="10" t="str">
        <f>IF(3777&gt;$C$9008,"",INDEX($B$9:$B$9008,MATCH(3777,$C$9:$C$9008,0)))</f>
        <v/>
      </c>
      <c r="B3785" s="9" t="str">
        <f>IFERROR(INDEX(Input!$L$20:$T$1019,INT((ROW()-9)/9)+1,MOD(ROW()-9,9)+1),"")</f>
        <v/>
      </c>
      <c r="C3785" s="9">
        <f t="shared" ref="C3785:C3848" si="59">$C3784+IF($B3785&lt;&gt;"",1,0)</f>
        <v>0</v>
      </c>
    </row>
    <row r="3786" spans="1:3" x14ac:dyDescent="0.2">
      <c r="A3786" s="10" t="str">
        <f>IF(3778&gt;$C$9008,"",INDEX($B$9:$B$9008,MATCH(3778,$C$9:$C$9008,0)))</f>
        <v/>
      </c>
      <c r="B3786" s="9" t="str">
        <f>IFERROR(INDEX(Input!$L$20:$T$1019,INT((ROW()-9)/9)+1,MOD(ROW()-9,9)+1),"")</f>
        <v/>
      </c>
      <c r="C3786" s="9">
        <f t="shared" si="59"/>
        <v>0</v>
      </c>
    </row>
    <row r="3787" spans="1:3" x14ac:dyDescent="0.2">
      <c r="A3787" s="10" t="str">
        <f>IF(3779&gt;$C$9008,"",INDEX($B$9:$B$9008,MATCH(3779,$C$9:$C$9008,0)))</f>
        <v/>
      </c>
      <c r="B3787" s="9" t="str">
        <f>IFERROR(INDEX(Input!$L$20:$T$1019,INT((ROW()-9)/9)+1,MOD(ROW()-9,9)+1),"")</f>
        <v/>
      </c>
      <c r="C3787" s="9">
        <f t="shared" si="59"/>
        <v>0</v>
      </c>
    </row>
    <row r="3788" spans="1:3" x14ac:dyDescent="0.2">
      <c r="A3788" s="10" t="str">
        <f>IF(3780&gt;$C$9008,"",INDEX($B$9:$B$9008,MATCH(3780,$C$9:$C$9008,0)))</f>
        <v/>
      </c>
      <c r="B3788" s="9" t="str">
        <f>IFERROR(INDEX(Input!$L$20:$T$1019,INT((ROW()-9)/9)+1,MOD(ROW()-9,9)+1),"")</f>
        <v/>
      </c>
      <c r="C3788" s="9">
        <f t="shared" si="59"/>
        <v>0</v>
      </c>
    </row>
    <row r="3789" spans="1:3" x14ac:dyDescent="0.2">
      <c r="A3789" s="10" t="str">
        <f>IF(3781&gt;$C$9008,"",INDEX($B$9:$B$9008,MATCH(3781,$C$9:$C$9008,0)))</f>
        <v/>
      </c>
      <c r="B3789" s="9" t="str">
        <f>IFERROR(INDEX(Input!$L$20:$T$1019,INT((ROW()-9)/9)+1,MOD(ROW()-9,9)+1),"")</f>
        <v/>
      </c>
      <c r="C3789" s="9">
        <f t="shared" si="59"/>
        <v>0</v>
      </c>
    </row>
    <row r="3790" spans="1:3" x14ac:dyDescent="0.2">
      <c r="A3790" s="10" t="str">
        <f>IF(3782&gt;$C$9008,"",INDEX($B$9:$B$9008,MATCH(3782,$C$9:$C$9008,0)))</f>
        <v/>
      </c>
      <c r="B3790" s="9" t="str">
        <f>IFERROR(INDEX(Input!$L$20:$T$1019,INT((ROW()-9)/9)+1,MOD(ROW()-9,9)+1),"")</f>
        <v/>
      </c>
      <c r="C3790" s="9">
        <f t="shared" si="59"/>
        <v>0</v>
      </c>
    </row>
    <row r="3791" spans="1:3" x14ac:dyDescent="0.2">
      <c r="A3791" s="10" t="str">
        <f>IF(3783&gt;$C$9008,"",INDEX($B$9:$B$9008,MATCH(3783,$C$9:$C$9008,0)))</f>
        <v/>
      </c>
      <c r="B3791" s="9" t="str">
        <f>IFERROR(INDEX(Input!$L$20:$T$1019,INT((ROW()-9)/9)+1,MOD(ROW()-9,9)+1),"")</f>
        <v/>
      </c>
      <c r="C3791" s="9">
        <f t="shared" si="59"/>
        <v>0</v>
      </c>
    </row>
    <row r="3792" spans="1:3" x14ac:dyDescent="0.2">
      <c r="A3792" s="10" t="str">
        <f>IF(3784&gt;$C$9008,"",INDEX($B$9:$B$9008,MATCH(3784,$C$9:$C$9008,0)))</f>
        <v/>
      </c>
      <c r="B3792" s="9" t="str">
        <f>IFERROR(INDEX(Input!$L$20:$T$1019,INT((ROW()-9)/9)+1,MOD(ROW()-9,9)+1),"")</f>
        <v/>
      </c>
      <c r="C3792" s="9">
        <f t="shared" si="59"/>
        <v>0</v>
      </c>
    </row>
    <row r="3793" spans="1:3" x14ac:dyDescent="0.2">
      <c r="A3793" s="10" t="str">
        <f>IF(3785&gt;$C$9008,"",INDEX($B$9:$B$9008,MATCH(3785,$C$9:$C$9008,0)))</f>
        <v/>
      </c>
      <c r="B3793" s="9" t="str">
        <f>IFERROR(INDEX(Input!$L$20:$T$1019,INT((ROW()-9)/9)+1,MOD(ROW()-9,9)+1),"")</f>
        <v/>
      </c>
      <c r="C3793" s="9">
        <f t="shared" si="59"/>
        <v>0</v>
      </c>
    </row>
    <row r="3794" spans="1:3" x14ac:dyDescent="0.2">
      <c r="A3794" s="10" t="str">
        <f>IF(3786&gt;$C$9008,"",INDEX($B$9:$B$9008,MATCH(3786,$C$9:$C$9008,0)))</f>
        <v/>
      </c>
      <c r="B3794" s="9" t="str">
        <f>IFERROR(INDEX(Input!$L$20:$T$1019,INT((ROW()-9)/9)+1,MOD(ROW()-9,9)+1),"")</f>
        <v/>
      </c>
      <c r="C3794" s="9">
        <f t="shared" si="59"/>
        <v>0</v>
      </c>
    </row>
    <row r="3795" spans="1:3" x14ac:dyDescent="0.2">
      <c r="A3795" s="10" t="str">
        <f>IF(3787&gt;$C$9008,"",INDEX($B$9:$B$9008,MATCH(3787,$C$9:$C$9008,0)))</f>
        <v/>
      </c>
      <c r="B3795" s="9" t="str">
        <f>IFERROR(INDEX(Input!$L$20:$T$1019,INT((ROW()-9)/9)+1,MOD(ROW()-9,9)+1),"")</f>
        <v/>
      </c>
      <c r="C3795" s="9">
        <f t="shared" si="59"/>
        <v>0</v>
      </c>
    </row>
    <row r="3796" spans="1:3" x14ac:dyDescent="0.2">
      <c r="A3796" s="10" t="str">
        <f>IF(3788&gt;$C$9008,"",INDEX($B$9:$B$9008,MATCH(3788,$C$9:$C$9008,0)))</f>
        <v/>
      </c>
      <c r="B3796" s="9" t="str">
        <f>IFERROR(INDEX(Input!$L$20:$T$1019,INT((ROW()-9)/9)+1,MOD(ROW()-9,9)+1),"")</f>
        <v/>
      </c>
      <c r="C3796" s="9">
        <f t="shared" si="59"/>
        <v>0</v>
      </c>
    </row>
    <row r="3797" spans="1:3" x14ac:dyDescent="0.2">
      <c r="A3797" s="10" t="str">
        <f>IF(3789&gt;$C$9008,"",INDEX($B$9:$B$9008,MATCH(3789,$C$9:$C$9008,0)))</f>
        <v/>
      </c>
      <c r="B3797" s="9" t="str">
        <f>IFERROR(INDEX(Input!$L$20:$T$1019,INT((ROW()-9)/9)+1,MOD(ROW()-9,9)+1),"")</f>
        <v/>
      </c>
      <c r="C3797" s="9">
        <f t="shared" si="59"/>
        <v>0</v>
      </c>
    </row>
    <row r="3798" spans="1:3" x14ac:dyDescent="0.2">
      <c r="A3798" s="10" t="str">
        <f>IF(3790&gt;$C$9008,"",INDEX($B$9:$B$9008,MATCH(3790,$C$9:$C$9008,0)))</f>
        <v/>
      </c>
      <c r="B3798" s="9" t="str">
        <f>IFERROR(INDEX(Input!$L$20:$T$1019,INT((ROW()-9)/9)+1,MOD(ROW()-9,9)+1),"")</f>
        <v/>
      </c>
      <c r="C3798" s="9">
        <f t="shared" si="59"/>
        <v>0</v>
      </c>
    </row>
    <row r="3799" spans="1:3" x14ac:dyDescent="0.2">
      <c r="A3799" s="10" t="str">
        <f>IF(3791&gt;$C$9008,"",INDEX($B$9:$B$9008,MATCH(3791,$C$9:$C$9008,0)))</f>
        <v/>
      </c>
      <c r="B3799" s="9" t="str">
        <f>IFERROR(INDEX(Input!$L$20:$T$1019,INT((ROW()-9)/9)+1,MOD(ROW()-9,9)+1),"")</f>
        <v/>
      </c>
      <c r="C3799" s="9">
        <f t="shared" si="59"/>
        <v>0</v>
      </c>
    </row>
    <row r="3800" spans="1:3" x14ac:dyDescent="0.2">
      <c r="A3800" s="10" t="str">
        <f>IF(3792&gt;$C$9008,"",INDEX($B$9:$B$9008,MATCH(3792,$C$9:$C$9008,0)))</f>
        <v/>
      </c>
      <c r="B3800" s="9" t="str">
        <f>IFERROR(INDEX(Input!$L$20:$T$1019,INT((ROW()-9)/9)+1,MOD(ROW()-9,9)+1),"")</f>
        <v/>
      </c>
      <c r="C3800" s="9">
        <f t="shared" si="59"/>
        <v>0</v>
      </c>
    </row>
    <row r="3801" spans="1:3" x14ac:dyDescent="0.2">
      <c r="A3801" s="10" t="str">
        <f>IF(3793&gt;$C$9008,"",INDEX($B$9:$B$9008,MATCH(3793,$C$9:$C$9008,0)))</f>
        <v/>
      </c>
      <c r="B3801" s="9" t="str">
        <f>IFERROR(INDEX(Input!$L$20:$T$1019,INT((ROW()-9)/9)+1,MOD(ROW()-9,9)+1),"")</f>
        <v/>
      </c>
      <c r="C3801" s="9">
        <f t="shared" si="59"/>
        <v>0</v>
      </c>
    </row>
    <row r="3802" spans="1:3" x14ac:dyDescent="0.2">
      <c r="A3802" s="10" t="str">
        <f>IF(3794&gt;$C$9008,"",INDEX($B$9:$B$9008,MATCH(3794,$C$9:$C$9008,0)))</f>
        <v/>
      </c>
      <c r="B3802" s="9" t="str">
        <f>IFERROR(INDEX(Input!$L$20:$T$1019,INT((ROW()-9)/9)+1,MOD(ROW()-9,9)+1),"")</f>
        <v/>
      </c>
      <c r="C3802" s="9">
        <f t="shared" si="59"/>
        <v>0</v>
      </c>
    </row>
    <row r="3803" spans="1:3" x14ac:dyDescent="0.2">
      <c r="A3803" s="10" t="str">
        <f>IF(3795&gt;$C$9008,"",INDEX($B$9:$B$9008,MATCH(3795,$C$9:$C$9008,0)))</f>
        <v/>
      </c>
      <c r="B3803" s="9" t="str">
        <f>IFERROR(INDEX(Input!$L$20:$T$1019,INT((ROW()-9)/9)+1,MOD(ROW()-9,9)+1),"")</f>
        <v/>
      </c>
      <c r="C3803" s="9">
        <f t="shared" si="59"/>
        <v>0</v>
      </c>
    </row>
    <row r="3804" spans="1:3" x14ac:dyDescent="0.2">
      <c r="A3804" s="10" t="str">
        <f>IF(3796&gt;$C$9008,"",INDEX($B$9:$B$9008,MATCH(3796,$C$9:$C$9008,0)))</f>
        <v/>
      </c>
      <c r="B3804" s="9" t="str">
        <f>IFERROR(INDEX(Input!$L$20:$T$1019,INT((ROW()-9)/9)+1,MOD(ROW()-9,9)+1),"")</f>
        <v/>
      </c>
      <c r="C3804" s="9">
        <f t="shared" si="59"/>
        <v>0</v>
      </c>
    </row>
    <row r="3805" spans="1:3" x14ac:dyDescent="0.2">
      <c r="A3805" s="10" t="str">
        <f>IF(3797&gt;$C$9008,"",INDEX($B$9:$B$9008,MATCH(3797,$C$9:$C$9008,0)))</f>
        <v/>
      </c>
      <c r="B3805" s="9" t="str">
        <f>IFERROR(INDEX(Input!$L$20:$T$1019,INT((ROW()-9)/9)+1,MOD(ROW()-9,9)+1),"")</f>
        <v/>
      </c>
      <c r="C3805" s="9">
        <f t="shared" si="59"/>
        <v>0</v>
      </c>
    </row>
    <row r="3806" spans="1:3" x14ac:dyDescent="0.2">
      <c r="A3806" s="10" t="str">
        <f>IF(3798&gt;$C$9008,"",INDEX($B$9:$B$9008,MATCH(3798,$C$9:$C$9008,0)))</f>
        <v/>
      </c>
      <c r="B3806" s="9" t="str">
        <f>IFERROR(INDEX(Input!$L$20:$T$1019,INT((ROW()-9)/9)+1,MOD(ROW()-9,9)+1),"")</f>
        <v/>
      </c>
      <c r="C3806" s="9">
        <f t="shared" si="59"/>
        <v>0</v>
      </c>
    </row>
    <row r="3807" spans="1:3" x14ac:dyDescent="0.2">
      <c r="A3807" s="10" t="str">
        <f>IF(3799&gt;$C$9008,"",INDEX($B$9:$B$9008,MATCH(3799,$C$9:$C$9008,0)))</f>
        <v/>
      </c>
      <c r="B3807" s="9" t="str">
        <f>IFERROR(INDEX(Input!$L$20:$T$1019,INT((ROW()-9)/9)+1,MOD(ROW()-9,9)+1),"")</f>
        <v/>
      </c>
      <c r="C3807" s="9">
        <f t="shared" si="59"/>
        <v>0</v>
      </c>
    </row>
    <row r="3808" spans="1:3" x14ac:dyDescent="0.2">
      <c r="A3808" s="10" t="str">
        <f>IF(3800&gt;$C$9008,"",INDEX($B$9:$B$9008,MATCH(3800,$C$9:$C$9008,0)))</f>
        <v/>
      </c>
      <c r="B3808" s="9" t="str">
        <f>IFERROR(INDEX(Input!$L$20:$T$1019,INT((ROW()-9)/9)+1,MOD(ROW()-9,9)+1),"")</f>
        <v/>
      </c>
      <c r="C3808" s="9">
        <f t="shared" si="59"/>
        <v>0</v>
      </c>
    </row>
    <row r="3809" spans="1:3" x14ac:dyDescent="0.2">
      <c r="A3809" s="10" t="str">
        <f>IF(3801&gt;$C$9008,"",INDEX($B$9:$B$9008,MATCH(3801,$C$9:$C$9008,0)))</f>
        <v/>
      </c>
      <c r="B3809" s="9" t="str">
        <f>IFERROR(INDEX(Input!$L$20:$T$1019,INT((ROW()-9)/9)+1,MOD(ROW()-9,9)+1),"")</f>
        <v/>
      </c>
      <c r="C3809" s="9">
        <f t="shared" si="59"/>
        <v>0</v>
      </c>
    </row>
    <row r="3810" spans="1:3" x14ac:dyDescent="0.2">
      <c r="A3810" s="10" t="str">
        <f>IF(3802&gt;$C$9008,"",INDEX($B$9:$B$9008,MATCH(3802,$C$9:$C$9008,0)))</f>
        <v/>
      </c>
      <c r="B3810" s="9" t="str">
        <f>IFERROR(INDEX(Input!$L$20:$T$1019,INT((ROW()-9)/9)+1,MOD(ROW()-9,9)+1),"")</f>
        <v/>
      </c>
      <c r="C3810" s="9">
        <f t="shared" si="59"/>
        <v>0</v>
      </c>
    </row>
    <row r="3811" spans="1:3" x14ac:dyDescent="0.2">
      <c r="A3811" s="10" t="str">
        <f>IF(3803&gt;$C$9008,"",INDEX($B$9:$B$9008,MATCH(3803,$C$9:$C$9008,0)))</f>
        <v/>
      </c>
      <c r="B3811" s="9" t="str">
        <f>IFERROR(INDEX(Input!$L$20:$T$1019,INT((ROW()-9)/9)+1,MOD(ROW()-9,9)+1),"")</f>
        <v/>
      </c>
      <c r="C3811" s="9">
        <f t="shared" si="59"/>
        <v>0</v>
      </c>
    </row>
    <row r="3812" spans="1:3" x14ac:dyDescent="0.2">
      <c r="A3812" s="10" t="str">
        <f>IF(3804&gt;$C$9008,"",INDEX($B$9:$B$9008,MATCH(3804,$C$9:$C$9008,0)))</f>
        <v/>
      </c>
      <c r="B3812" s="9" t="str">
        <f>IFERROR(INDEX(Input!$L$20:$T$1019,INT((ROW()-9)/9)+1,MOD(ROW()-9,9)+1),"")</f>
        <v/>
      </c>
      <c r="C3812" s="9">
        <f t="shared" si="59"/>
        <v>0</v>
      </c>
    </row>
    <row r="3813" spans="1:3" x14ac:dyDescent="0.2">
      <c r="A3813" s="10" t="str">
        <f>IF(3805&gt;$C$9008,"",INDEX($B$9:$B$9008,MATCH(3805,$C$9:$C$9008,0)))</f>
        <v/>
      </c>
      <c r="B3813" s="9" t="str">
        <f>IFERROR(INDEX(Input!$L$20:$T$1019,INT((ROW()-9)/9)+1,MOD(ROW()-9,9)+1),"")</f>
        <v/>
      </c>
      <c r="C3813" s="9">
        <f t="shared" si="59"/>
        <v>0</v>
      </c>
    </row>
    <row r="3814" spans="1:3" x14ac:dyDescent="0.2">
      <c r="A3814" s="10" t="str">
        <f>IF(3806&gt;$C$9008,"",INDEX($B$9:$B$9008,MATCH(3806,$C$9:$C$9008,0)))</f>
        <v/>
      </c>
      <c r="B3814" s="9" t="str">
        <f>IFERROR(INDEX(Input!$L$20:$T$1019,INT((ROW()-9)/9)+1,MOD(ROW()-9,9)+1),"")</f>
        <v/>
      </c>
      <c r="C3814" s="9">
        <f t="shared" si="59"/>
        <v>0</v>
      </c>
    </row>
    <row r="3815" spans="1:3" x14ac:dyDescent="0.2">
      <c r="A3815" s="10" t="str">
        <f>IF(3807&gt;$C$9008,"",INDEX($B$9:$B$9008,MATCH(3807,$C$9:$C$9008,0)))</f>
        <v/>
      </c>
      <c r="B3815" s="9" t="str">
        <f>IFERROR(INDEX(Input!$L$20:$T$1019,INT((ROW()-9)/9)+1,MOD(ROW()-9,9)+1),"")</f>
        <v/>
      </c>
      <c r="C3815" s="9">
        <f t="shared" si="59"/>
        <v>0</v>
      </c>
    </row>
    <row r="3816" spans="1:3" x14ac:dyDescent="0.2">
      <c r="A3816" s="10" t="str">
        <f>IF(3808&gt;$C$9008,"",INDEX($B$9:$B$9008,MATCH(3808,$C$9:$C$9008,0)))</f>
        <v/>
      </c>
      <c r="B3816" s="9" t="str">
        <f>IFERROR(INDEX(Input!$L$20:$T$1019,INT((ROW()-9)/9)+1,MOD(ROW()-9,9)+1),"")</f>
        <v/>
      </c>
      <c r="C3816" s="9">
        <f t="shared" si="59"/>
        <v>0</v>
      </c>
    </row>
    <row r="3817" spans="1:3" x14ac:dyDescent="0.2">
      <c r="A3817" s="10" t="str">
        <f>IF(3809&gt;$C$9008,"",INDEX($B$9:$B$9008,MATCH(3809,$C$9:$C$9008,0)))</f>
        <v/>
      </c>
      <c r="B3817" s="9" t="str">
        <f>IFERROR(INDEX(Input!$L$20:$T$1019,INT((ROW()-9)/9)+1,MOD(ROW()-9,9)+1),"")</f>
        <v/>
      </c>
      <c r="C3817" s="9">
        <f t="shared" si="59"/>
        <v>0</v>
      </c>
    </row>
    <row r="3818" spans="1:3" x14ac:dyDescent="0.2">
      <c r="A3818" s="10" t="str">
        <f>IF(3810&gt;$C$9008,"",INDEX($B$9:$B$9008,MATCH(3810,$C$9:$C$9008,0)))</f>
        <v/>
      </c>
      <c r="B3818" s="9" t="str">
        <f>IFERROR(INDEX(Input!$L$20:$T$1019,INT((ROW()-9)/9)+1,MOD(ROW()-9,9)+1),"")</f>
        <v/>
      </c>
      <c r="C3818" s="9">
        <f t="shared" si="59"/>
        <v>0</v>
      </c>
    </row>
    <row r="3819" spans="1:3" x14ac:dyDescent="0.2">
      <c r="A3819" s="10" t="str">
        <f>IF(3811&gt;$C$9008,"",INDEX($B$9:$B$9008,MATCH(3811,$C$9:$C$9008,0)))</f>
        <v/>
      </c>
      <c r="B3819" s="9" t="str">
        <f>IFERROR(INDEX(Input!$L$20:$T$1019,INT((ROW()-9)/9)+1,MOD(ROW()-9,9)+1),"")</f>
        <v/>
      </c>
      <c r="C3819" s="9">
        <f t="shared" si="59"/>
        <v>0</v>
      </c>
    </row>
    <row r="3820" spans="1:3" x14ac:dyDescent="0.2">
      <c r="A3820" s="10" t="str">
        <f>IF(3812&gt;$C$9008,"",INDEX($B$9:$B$9008,MATCH(3812,$C$9:$C$9008,0)))</f>
        <v/>
      </c>
      <c r="B3820" s="9" t="str">
        <f>IFERROR(INDEX(Input!$L$20:$T$1019,INT((ROW()-9)/9)+1,MOD(ROW()-9,9)+1),"")</f>
        <v/>
      </c>
      <c r="C3820" s="9">
        <f t="shared" si="59"/>
        <v>0</v>
      </c>
    </row>
    <row r="3821" spans="1:3" x14ac:dyDescent="0.2">
      <c r="A3821" s="10" t="str">
        <f>IF(3813&gt;$C$9008,"",INDEX($B$9:$B$9008,MATCH(3813,$C$9:$C$9008,0)))</f>
        <v/>
      </c>
      <c r="B3821" s="9" t="str">
        <f>IFERROR(INDEX(Input!$L$20:$T$1019,INT((ROW()-9)/9)+1,MOD(ROW()-9,9)+1),"")</f>
        <v/>
      </c>
      <c r="C3821" s="9">
        <f t="shared" si="59"/>
        <v>0</v>
      </c>
    </row>
    <row r="3822" spans="1:3" x14ac:dyDescent="0.2">
      <c r="A3822" s="10" t="str">
        <f>IF(3814&gt;$C$9008,"",INDEX($B$9:$B$9008,MATCH(3814,$C$9:$C$9008,0)))</f>
        <v/>
      </c>
      <c r="B3822" s="9" t="str">
        <f>IFERROR(INDEX(Input!$L$20:$T$1019,INT((ROW()-9)/9)+1,MOD(ROW()-9,9)+1),"")</f>
        <v/>
      </c>
      <c r="C3822" s="9">
        <f t="shared" si="59"/>
        <v>0</v>
      </c>
    </row>
    <row r="3823" spans="1:3" x14ac:dyDescent="0.2">
      <c r="A3823" s="10" t="str">
        <f>IF(3815&gt;$C$9008,"",INDEX($B$9:$B$9008,MATCH(3815,$C$9:$C$9008,0)))</f>
        <v/>
      </c>
      <c r="B3823" s="9" t="str">
        <f>IFERROR(INDEX(Input!$L$20:$T$1019,INT((ROW()-9)/9)+1,MOD(ROW()-9,9)+1),"")</f>
        <v/>
      </c>
      <c r="C3823" s="9">
        <f t="shared" si="59"/>
        <v>0</v>
      </c>
    </row>
    <row r="3824" spans="1:3" x14ac:dyDescent="0.2">
      <c r="A3824" s="10" t="str">
        <f>IF(3816&gt;$C$9008,"",INDEX($B$9:$B$9008,MATCH(3816,$C$9:$C$9008,0)))</f>
        <v/>
      </c>
      <c r="B3824" s="9" t="str">
        <f>IFERROR(INDEX(Input!$L$20:$T$1019,INT((ROW()-9)/9)+1,MOD(ROW()-9,9)+1),"")</f>
        <v/>
      </c>
      <c r="C3824" s="9">
        <f t="shared" si="59"/>
        <v>0</v>
      </c>
    </row>
    <row r="3825" spans="1:3" x14ac:dyDescent="0.2">
      <c r="A3825" s="10" t="str">
        <f>IF(3817&gt;$C$9008,"",INDEX($B$9:$B$9008,MATCH(3817,$C$9:$C$9008,0)))</f>
        <v/>
      </c>
      <c r="B3825" s="9" t="str">
        <f>IFERROR(INDEX(Input!$L$20:$T$1019,INT((ROW()-9)/9)+1,MOD(ROW()-9,9)+1),"")</f>
        <v/>
      </c>
      <c r="C3825" s="9">
        <f t="shared" si="59"/>
        <v>0</v>
      </c>
    </row>
    <row r="3826" spans="1:3" x14ac:dyDescent="0.2">
      <c r="A3826" s="10" t="str">
        <f>IF(3818&gt;$C$9008,"",INDEX($B$9:$B$9008,MATCH(3818,$C$9:$C$9008,0)))</f>
        <v/>
      </c>
      <c r="B3826" s="9" t="str">
        <f>IFERROR(INDEX(Input!$L$20:$T$1019,INT((ROW()-9)/9)+1,MOD(ROW()-9,9)+1),"")</f>
        <v/>
      </c>
      <c r="C3826" s="9">
        <f t="shared" si="59"/>
        <v>0</v>
      </c>
    </row>
    <row r="3827" spans="1:3" x14ac:dyDescent="0.2">
      <c r="A3827" s="10" t="str">
        <f>IF(3819&gt;$C$9008,"",INDEX($B$9:$B$9008,MATCH(3819,$C$9:$C$9008,0)))</f>
        <v/>
      </c>
      <c r="B3827" s="9" t="str">
        <f>IFERROR(INDEX(Input!$L$20:$T$1019,INT((ROW()-9)/9)+1,MOD(ROW()-9,9)+1),"")</f>
        <v/>
      </c>
      <c r="C3827" s="9">
        <f t="shared" si="59"/>
        <v>0</v>
      </c>
    </row>
    <row r="3828" spans="1:3" x14ac:dyDescent="0.2">
      <c r="A3828" s="10" t="str">
        <f>IF(3820&gt;$C$9008,"",INDEX($B$9:$B$9008,MATCH(3820,$C$9:$C$9008,0)))</f>
        <v/>
      </c>
      <c r="B3828" s="9" t="str">
        <f>IFERROR(INDEX(Input!$L$20:$T$1019,INT((ROW()-9)/9)+1,MOD(ROW()-9,9)+1),"")</f>
        <v/>
      </c>
      <c r="C3828" s="9">
        <f t="shared" si="59"/>
        <v>0</v>
      </c>
    </row>
    <row r="3829" spans="1:3" x14ac:dyDescent="0.2">
      <c r="A3829" s="10" t="str">
        <f>IF(3821&gt;$C$9008,"",INDEX($B$9:$B$9008,MATCH(3821,$C$9:$C$9008,0)))</f>
        <v/>
      </c>
      <c r="B3829" s="9" t="str">
        <f>IFERROR(INDEX(Input!$L$20:$T$1019,INT((ROW()-9)/9)+1,MOD(ROW()-9,9)+1),"")</f>
        <v/>
      </c>
      <c r="C3829" s="9">
        <f t="shared" si="59"/>
        <v>0</v>
      </c>
    </row>
    <row r="3830" spans="1:3" x14ac:dyDescent="0.2">
      <c r="A3830" s="10" t="str">
        <f>IF(3822&gt;$C$9008,"",INDEX($B$9:$B$9008,MATCH(3822,$C$9:$C$9008,0)))</f>
        <v/>
      </c>
      <c r="B3830" s="9" t="str">
        <f>IFERROR(INDEX(Input!$L$20:$T$1019,INT((ROW()-9)/9)+1,MOD(ROW()-9,9)+1),"")</f>
        <v/>
      </c>
      <c r="C3830" s="9">
        <f t="shared" si="59"/>
        <v>0</v>
      </c>
    </row>
    <row r="3831" spans="1:3" x14ac:dyDescent="0.2">
      <c r="A3831" s="10" t="str">
        <f>IF(3823&gt;$C$9008,"",INDEX($B$9:$B$9008,MATCH(3823,$C$9:$C$9008,0)))</f>
        <v/>
      </c>
      <c r="B3831" s="9" t="str">
        <f>IFERROR(INDEX(Input!$L$20:$T$1019,INT((ROW()-9)/9)+1,MOD(ROW()-9,9)+1),"")</f>
        <v/>
      </c>
      <c r="C3831" s="9">
        <f t="shared" si="59"/>
        <v>0</v>
      </c>
    </row>
    <row r="3832" spans="1:3" x14ac:dyDescent="0.2">
      <c r="A3832" s="10" t="str">
        <f>IF(3824&gt;$C$9008,"",INDEX($B$9:$B$9008,MATCH(3824,$C$9:$C$9008,0)))</f>
        <v/>
      </c>
      <c r="B3832" s="9" t="str">
        <f>IFERROR(INDEX(Input!$L$20:$T$1019,INT((ROW()-9)/9)+1,MOD(ROW()-9,9)+1),"")</f>
        <v/>
      </c>
      <c r="C3832" s="9">
        <f t="shared" si="59"/>
        <v>0</v>
      </c>
    </row>
    <row r="3833" spans="1:3" x14ac:dyDescent="0.2">
      <c r="A3833" s="10" t="str">
        <f>IF(3825&gt;$C$9008,"",INDEX($B$9:$B$9008,MATCH(3825,$C$9:$C$9008,0)))</f>
        <v/>
      </c>
      <c r="B3833" s="9" t="str">
        <f>IFERROR(INDEX(Input!$L$20:$T$1019,INT((ROW()-9)/9)+1,MOD(ROW()-9,9)+1),"")</f>
        <v/>
      </c>
      <c r="C3833" s="9">
        <f t="shared" si="59"/>
        <v>0</v>
      </c>
    </row>
    <row r="3834" spans="1:3" x14ac:dyDescent="0.2">
      <c r="A3834" s="10" t="str">
        <f>IF(3826&gt;$C$9008,"",INDEX($B$9:$B$9008,MATCH(3826,$C$9:$C$9008,0)))</f>
        <v/>
      </c>
      <c r="B3834" s="9" t="str">
        <f>IFERROR(INDEX(Input!$L$20:$T$1019,INT((ROW()-9)/9)+1,MOD(ROW()-9,9)+1),"")</f>
        <v/>
      </c>
      <c r="C3834" s="9">
        <f t="shared" si="59"/>
        <v>0</v>
      </c>
    </row>
    <row r="3835" spans="1:3" x14ac:dyDescent="0.2">
      <c r="A3835" s="10" t="str">
        <f>IF(3827&gt;$C$9008,"",INDEX($B$9:$B$9008,MATCH(3827,$C$9:$C$9008,0)))</f>
        <v/>
      </c>
      <c r="B3835" s="9" t="str">
        <f>IFERROR(INDEX(Input!$L$20:$T$1019,INT((ROW()-9)/9)+1,MOD(ROW()-9,9)+1),"")</f>
        <v/>
      </c>
      <c r="C3835" s="9">
        <f t="shared" si="59"/>
        <v>0</v>
      </c>
    </row>
    <row r="3836" spans="1:3" x14ac:dyDescent="0.2">
      <c r="A3836" s="10" t="str">
        <f>IF(3828&gt;$C$9008,"",INDEX($B$9:$B$9008,MATCH(3828,$C$9:$C$9008,0)))</f>
        <v/>
      </c>
      <c r="B3836" s="9" t="str">
        <f>IFERROR(INDEX(Input!$L$20:$T$1019,INT((ROW()-9)/9)+1,MOD(ROW()-9,9)+1),"")</f>
        <v/>
      </c>
      <c r="C3836" s="9">
        <f t="shared" si="59"/>
        <v>0</v>
      </c>
    </row>
    <row r="3837" spans="1:3" x14ac:dyDescent="0.2">
      <c r="A3837" s="10" t="str">
        <f>IF(3829&gt;$C$9008,"",INDEX($B$9:$B$9008,MATCH(3829,$C$9:$C$9008,0)))</f>
        <v/>
      </c>
      <c r="B3837" s="9" t="str">
        <f>IFERROR(INDEX(Input!$L$20:$T$1019,INT((ROW()-9)/9)+1,MOD(ROW()-9,9)+1),"")</f>
        <v/>
      </c>
      <c r="C3837" s="9">
        <f t="shared" si="59"/>
        <v>0</v>
      </c>
    </row>
    <row r="3838" spans="1:3" x14ac:dyDescent="0.2">
      <c r="A3838" s="10" t="str">
        <f>IF(3830&gt;$C$9008,"",INDEX($B$9:$B$9008,MATCH(3830,$C$9:$C$9008,0)))</f>
        <v/>
      </c>
      <c r="B3838" s="9" t="str">
        <f>IFERROR(INDEX(Input!$L$20:$T$1019,INT((ROW()-9)/9)+1,MOD(ROW()-9,9)+1),"")</f>
        <v/>
      </c>
      <c r="C3838" s="9">
        <f t="shared" si="59"/>
        <v>0</v>
      </c>
    </row>
    <row r="3839" spans="1:3" x14ac:dyDescent="0.2">
      <c r="A3839" s="10" t="str">
        <f>IF(3831&gt;$C$9008,"",INDEX($B$9:$B$9008,MATCH(3831,$C$9:$C$9008,0)))</f>
        <v/>
      </c>
      <c r="B3839" s="9" t="str">
        <f>IFERROR(INDEX(Input!$L$20:$T$1019,INT((ROW()-9)/9)+1,MOD(ROW()-9,9)+1),"")</f>
        <v/>
      </c>
      <c r="C3839" s="9">
        <f t="shared" si="59"/>
        <v>0</v>
      </c>
    </row>
    <row r="3840" spans="1:3" x14ac:dyDescent="0.2">
      <c r="A3840" s="10" t="str">
        <f>IF(3832&gt;$C$9008,"",INDEX($B$9:$B$9008,MATCH(3832,$C$9:$C$9008,0)))</f>
        <v/>
      </c>
      <c r="B3840" s="9" t="str">
        <f>IFERROR(INDEX(Input!$L$20:$T$1019,INT((ROW()-9)/9)+1,MOD(ROW()-9,9)+1),"")</f>
        <v/>
      </c>
      <c r="C3840" s="9">
        <f t="shared" si="59"/>
        <v>0</v>
      </c>
    </row>
    <row r="3841" spans="1:3" x14ac:dyDescent="0.2">
      <c r="A3841" s="10" t="str">
        <f>IF(3833&gt;$C$9008,"",INDEX($B$9:$B$9008,MATCH(3833,$C$9:$C$9008,0)))</f>
        <v/>
      </c>
      <c r="B3841" s="9" t="str">
        <f>IFERROR(INDEX(Input!$L$20:$T$1019,INT((ROW()-9)/9)+1,MOD(ROW()-9,9)+1),"")</f>
        <v/>
      </c>
      <c r="C3841" s="9">
        <f t="shared" si="59"/>
        <v>0</v>
      </c>
    </row>
    <row r="3842" spans="1:3" x14ac:dyDescent="0.2">
      <c r="A3842" s="10" t="str">
        <f>IF(3834&gt;$C$9008,"",INDEX($B$9:$B$9008,MATCH(3834,$C$9:$C$9008,0)))</f>
        <v/>
      </c>
      <c r="B3842" s="9" t="str">
        <f>IFERROR(INDEX(Input!$L$20:$T$1019,INT((ROW()-9)/9)+1,MOD(ROW()-9,9)+1),"")</f>
        <v/>
      </c>
      <c r="C3842" s="9">
        <f t="shared" si="59"/>
        <v>0</v>
      </c>
    </row>
    <row r="3843" spans="1:3" x14ac:dyDescent="0.2">
      <c r="A3843" s="10" t="str">
        <f>IF(3835&gt;$C$9008,"",INDEX($B$9:$B$9008,MATCH(3835,$C$9:$C$9008,0)))</f>
        <v/>
      </c>
      <c r="B3843" s="9" t="str">
        <f>IFERROR(INDEX(Input!$L$20:$T$1019,INT((ROW()-9)/9)+1,MOD(ROW()-9,9)+1),"")</f>
        <v/>
      </c>
      <c r="C3843" s="9">
        <f t="shared" si="59"/>
        <v>0</v>
      </c>
    </row>
    <row r="3844" spans="1:3" x14ac:dyDescent="0.2">
      <c r="A3844" s="10" t="str">
        <f>IF(3836&gt;$C$9008,"",INDEX($B$9:$B$9008,MATCH(3836,$C$9:$C$9008,0)))</f>
        <v/>
      </c>
      <c r="B3844" s="9" t="str">
        <f>IFERROR(INDEX(Input!$L$20:$T$1019,INT((ROW()-9)/9)+1,MOD(ROW()-9,9)+1),"")</f>
        <v/>
      </c>
      <c r="C3844" s="9">
        <f t="shared" si="59"/>
        <v>0</v>
      </c>
    </row>
    <row r="3845" spans="1:3" x14ac:dyDescent="0.2">
      <c r="A3845" s="10" t="str">
        <f>IF(3837&gt;$C$9008,"",INDEX($B$9:$B$9008,MATCH(3837,$C$9:$C$9008,0)))</f>
        <v/>
      </c>
      <c r="B3845" s="9" t="str">
        <f>IFERROR(INDEX(Input!$L$20:$T$1019,INT((ROW()-9)/9)+1,MOD(ROW()-9,9)+1),"")</f>
        <v/>
      </c>
      <c r="C3845" s="9">
        <f t="shared" si="59"/>
        <v>0</v>
      </c>
    </row>
    <row r="3846" spans="1:3" x14ac:dyDescent="0.2">
      <c r="A3846" s="10" t="str">
        <f>IF(3838&gt;$C$9008,"",INDEX($B$9:$B$9008,MATCH(3838,$C$9:$C$9008,0)))</f>
        <v/>
      </c>
      <c r="B3846" s="9" t="str">
        <f>IFERROR(INDEX(Input!$L$20:$T$1019,INT((ROW()-9)/9)+1,MOD(ROW()-9,9)+1),"")</f>
        <v/>
      </c>
      <c r="C3846" s="9">
        <f t="shared" si="59"/>
        <v>0</v>
      </c>
    </row>
    <row r="3847" spans="1:3" x14ac:dyDescent="0.2">
      <c r="A3847" s="10" t="str">
        <f>IF(3839&gt;$C$9008,"",INDEX($B$9:$B$9008,MATCH(3839,$C$9:$C$9008,0)))</f>
        <v/>
      </c>
      <c r="B3847" s="9" t="str">
        <f>IFERROR(INDEX(Input!$L$20:$T$1019,INT((ROW()-9)/9)+1,MOD(ROW()-9,9)+1),"")</f>
        <v/>
      </c>
      <c r="C3847" s="9">
        <f t="shared" si="59"/>
        <v>0</v>
      </c>
    </row>
    <row r="3848" spans="1:3" x14ac:dyDescent="0.2">
      <c r="A3848" s="10" t="str">
        <f>IF(3840&gt;$C$9008,"",INDEX($B$9:$B$9008,MATCH(3840,$C$9:$C$9008,0)))</f>
        <v/>
      </c>
      <c r="B3848" s="9" t="str">
        <f>IFERROR(INDEX(Input!$L$20:$T$1019,INT((ROW()-9)/9)+1,MOD(ROW()-9,9)+1),"")</f>
        <v/>
      </c>
      <c r="C3848" s="9">
        <f t="shared" si="59"/>
        <v>0</v>
      </c>
    </row>
    <row r="3849" spans="1:3" x14ac:dyDescent="0.2">
      <c r="A3849" s="10" t="str">
        <f>IF(3841&gt;$C$9008,"",INDEX($B$9:$B$9008,MATCH(3841,$C$9:$C$9008,0)))</f>
        <v/>
      </c>
      <c r="B3849" s="9" t="str">
        <f>IFERROR(INDEX(Input!$L$20:$T$1019,INT((ROW()-9)/9)+1,MOD(ROW()-9,9)+1),"")</f>
        <v/>
      </c>
      <c r="C3849" s="9">
        <f t="shared" ref="C3849:C3912" si="60">$C3848+IF($B3849&lt;&gt;"",1,0)</f>
        <v>0</v>
      </c>
    </row>
    <row r="3850" spans="1:3" x14ac:dyDescent="0.2">
      <c r="A3850" s="10" t="str">
        <f>IF(3842&gt;$C$9008,"",INDEX($B$9:$B$9008,MATCH(3842,$C$9:$C$9008,0)))</f>
        <v/>
      </c>
      <c r="B3850" s="9" t="str">
        <f>IFERROR(INDEX(Input!$L$20:$T$1019,INT((ROW()-9)/9)+1,MOD(ROW()-9,9)+1),"")</f>
        <v/>
      </c>
      <c r="C3850" s="9">
        <f t="shared" si="60"/>
        <v>0</v>
      </c>
    </row>
    <row r="3851" spans="1:3" x14ac:dyDescent="0.2">
      <c r="A3851" s="10" t="str">
        <f>IF(3843&gt;$C$9008,"",INDEX($B$9:$B$9008,MATCH(3843,$C$9:$C$9008,0)))</f>
        <v/>
      </c>
      <c r="B3851" s="9" t="str">
        <f>IFERROR(INDEX(Input!$L$20:$T$1019,INT((ROW()-9)/9)+1,MOD(ROW()-9,9)+1),"")</f>
        <v/>
      </c>
      <c r="C3851" s="9">
        <f t="shared" si="60"/>
        <v>0</v>
      </c>
    </row>
    <row r="3852" spans="1:3" x14ac:dyDescent="0.2">
      <c r="A3852" s="10" t="str">
        <f>IF(3844&gt;$C$9008,"",INDEX($B$9:$B$9008,MATCH(3844,$C$9:$C$9008,0)))</f>
        <v/>
      </c>
      <c r="B3852" s="9" t="str">
        <f>IFERROR(INDEX(Input!$L$20:$T$1019,INT((ROW()-9)/9)+1,MOD(ROW()-9,9)+1),"")</f>
        <v/>
      </c>
      <c r="C3852" s="9">
        <f t="shared" si="60"/>
        <v>0</v>
      </c>
    </row>
    <row r="3853" spans="1:3" x14ac:dyDescent="0.2">
      <c r="A3853" s="10" t="str">
        <f>IF(3845&gt;$C$9008,"",INDEX($B$9:$B$9008,MATCH(3845,$C$9:$C$9008,0)))</f>
        <v/>
      </c>
      <c r="B3853" s="9" t="str">
        <f>IFERROR(INDEX(Input!$L$20:$T$1019,INT((ROW()-9)/9)+1,MOD(ROW()-9,9)+1),"")</f>
        <v/>
      </c>
      <c r="C3853" s="9">
        <f t="shared" si="60"/>
        <v>0</v>
      </c>
    </row>
    <row r="3854" spans="1:3" x14ac:dyDescent="0.2">
      <c r="A3854" s="10" t="str">
        <f>IF(3846&gt;$C$9008,"",INDEX($B$9:$B$9008,MATCH(3846,$C$9:$C$9008,0)))</f>
        <v/>
      </c>
      <c r="B3854" s="9" t="str">
        <f>IFERROR(INDEX(Input!$L$20:$T$1019,INT((ROW()-9)/9)+1,MOD(ROW()-9,9)+1),"")</f>
        <v/>
      </c>
      <c r="C3854" s="9">
        <f t="shared" si="60"/>
        <v>0</v>
      </c>
    </row>
    <row r="3855" spans="1:3" x14ac:dyDescent="0.2">
      <c r="A3855" s="10" t="str">
        <f>IF(3847&gt;$C$9008,"",INDEX($B$9:$B$9008,MATCH(3847,$C$9:$C$9008,0)))</f>
        <v/>
      </c>
      <c r="B3855" s="9" t="str">
        <f>IFERROR(INDEX(Input!$L$20:$T$1019,INT((ROW()-9)/9)+1,MOD(ROW()-9,9)+1),"")</f>
        <v/>
      </c>
      <c r="C3855" s="9">
        <f t="shared" si="60"/>
        <v>0</v>
      </c>
    </row>
    <row r="3856" spans="1:3" x14ac:dyDescent="0.2">
      <c r="A3856" s="10" t="str">
        <f>IF(3848&gt;$C$9008,"",INDEX($B$9:$B$9008,MATCH(3848,$C$9:$C$9008,0)))</f>
        <v/>
      </c>
      <c r="B3856" s="9" t="str">
        <f>IFERROR(INDEX(Input!$L$20:$T$1019,INT((ROW()-9)/9)+1,MOD(ROW()-9,9)+1),"")</f>
        <v/>
      </c>
      <c r="C3856" s="9">
        <f t="shared" si="60"/>
        <v>0</v>
      </c>
    </row>
    <row r="3857" spans="1:3" x14ac:dyDescent="0.2">
      <c r="A3857" s="10" t="str">
        <f>IF(3849&gt;$C$9008,"",INDEX($B$9:$B$9008,MATCH(3849,$C$9:$C$9008,0)))</f>
        <v/>
      </c>
      <c r="B3857" s="9" t="str">
        <f>IFERROR(INDEX(Input!$L$20:$T$1019,INT((ROW()-9)/9)+1,MOD(ROW()-9,9)+1),"")</f>
        <v/>
      </c>
      <c r="C3857" s="9">
        <f t="shared" si="60"/>
        <v>0</v>
      </c>
    </row>
    <row r="3858" spans="1:3" x14ac:dyDescent="0.2">
      <c r="A3858" s="10" t="str">
        <f>IF(3850&gt;$C$9008,"",INDEX($B$9:$B$9008,MATCH(3850,$C$9:$C$9008,0)))</f>
        <v/>
      </c>
      <c r="B3858" s="9" t="str">
        <f>IFERROR(INDEX(Input!$L$20:$T$1019,INT((ROW()-9)/9)+1,MOD(ROW()-9,9)+1),"")</f>
        <v/>
      </c>
      <c r="C3858" s="9">
        <f t="shared" si="60"/>
        <v>0</v>
      </c>
    </row>
    <row r="3859" spans="1:3" x14ac:dyDescent="0.2">
      <c r="A3859" s="10" t="str">
        <f>IF(3851&gt;$C$9008,"",INDEX($B$9:$B$9008,MATCH(3851,$C$9:$C$9008,0)))</f>
        <v/>
      </c>
      <c r="B3859" s="9" t="str">
        <f>IFERROR(INDEX(Input!$L$20:$T$1019,INT((ROW()-9)/9)+1,MOD(ROW()-9,9)+1),"")</f>
        <v/>
      </c>
      <c r="C3859" s="9">
        <f t="shared" si="60"/>
        <v>0</v>
      </c>
    </row>
    <row r="3860" spans="1:3" x14ac:dyDescent="0.2">
      <c r="A3860" s="10" t="str">
        <f>IF(3852&gt;$C$9008,"",INDEX($B$9:$B$9008,MATCH(3852,$C$9:$C$9008,0)))</f>
        <v/>
      </c>
      <c r="B3860" s="9" t="str">
        <f>IFERROR(INDEX(Input!$L$20:$T$1019,INT((ROW()-9)/9)+1,MOD(ROW()-9,9)+1),"")</f>
        <v/>
      </c>
      <c r="C3860" s="9">
        <f t="shared" si="60"/>
        <v>0</v>
      </c>
    </row>
    <row r="3861" spans="1:3" x14ac:dyDescent="0.2">
      <c r="A3861" s="10" t="str">
        <f>IF(3853&gt;$C$9008,"",INDEX($B$9:$B$9008,MATCH(3853,$C$9:$C$9008,0)))</f>
        <v/>
      </c>
      <c r="B3861" s="9" t="str">
        <f>IFERROR(INDEX(Input!$L$20:$T$1019,INT((ROW()-9)/9)+1,MOD(ROW()-9,9)+1),"")</f>
        <v/>
      </c>
      <c r="C3861" s="9">
        <f t="shared" si="60"/>
        <v>0</v>
      </c>
    </row>
    <row r="3862" spans="1:3" x14ac:dyDescent="0.2">
      <c r="A3862" s="10" t="str">
        <f>IF(3854&gt;$C$9008,"",INDEX($B$9:$B$9008,MATCH(3854,$C$9:$C$9008,0)))</f>
        <v/>
      </c>
      <c r="B3862" s="9" t="str">
        <f>IFERROR(INDEX(Input!$L$20:$T$1019,INT((ROW()-9)/9)+1,MOD(ROW()-9,9)+1),"")</f>
        <v/>
      </c>
      <c r="C3862" s="9">
        <f t="shared" si="60"/>
        <v>0</v>
      </c>
    </row>
    <row r="3863" spans="1:3" x14ac:dyDescent="0.2">
      <c r="A3863" s="10" t="str">
        <f>IF(3855&gt;$C$9008,"",INDEX($B$9:$B$9008,MATCH(3855,$C$9:$C$9008,0)))</f>
        <v/>
      </c>
      <c r="B3863" s="9" t="str">
        <f>IFERROR(INDEX(Input!$L$20:$T$1019,INT((ROW()-9)/9)+1,MOD(ROW()-9,9)+1),"")</f>
        <v/>
      </c>
      <c r="C3863" s="9">
        <f t="shared" si="60"/>
        <v>0</v>
      </c>
    </row>
    <row r="3864" spans="1:3" x14ac:dyDescent="0.2">
      <c r="A3864" s="10" t="str">
        <f>IF(3856&gt;$C$9008,"",INDEX($B$9:$B$9008,MATCH(3856,$C$9:$C$9008,0)))</f>
        <v/>
      </c>
      <c r="B3864" s="9" t="str">
        <f>IFERROR(INDEX(Input!$L$20:$T$1019,INT((ROW()-9)/9)+1,MOD(ROW()-9,9)+1),"")</f>
        <v/>
      </c>
      <c r="C3864" s="9">
        <f t="shared" si="60"/>
        <v>0</v>
      </c>
    </row>
    <row r="3865" spans="1:3" x14ac:dyDescent="0.2">
      <c r="A3865" s="10" t="str">
        <f>IF(3857&gt;$C$9008,"",INDEX($B$9:$B$9008,MATCH(3857,$C$9:$C$9008,0)))</f>
        <v/>
      </c>
      <c r="B3865" s="9" t="str">
        <f>IFERROR(INDEX(Input!$L$20:$T$1019,INT((ROW()-9)/9)+1,MOD(ROW()-9,9)+1),"")</f>
        <v/>
      </c>
      <c r="C3865" s="9">
        <f t="shared" si="60"/>
        <v>0</v>
      </c>
    </row>
    <row r="3866" spans="1:3" x14ac:dyDescent="0.2">
      <c r="A3866" s="10" t="str">
        <f>IF(3858&gt;$C$9008,"",INDEX($B$9:$B$9008,MATCH(3858,$C$9:$C$9008,0)))</f>
        <v/>
      </c>
      <c r="B3866" s="9" t="str">
        <f>IFERROR(INDEX(Input!$L$20:$T$1019,INT((ROW()-9)/9)+1,MOD(ROW()-9,9)+1),"")</f>
        <v/>
      </c>
      <c r="C3866" s="9">
        <f t="shared" si="60"/>
        <v>0</v>
      </c>
    </row>
    <row r="3867" spans="1:3" x14ac:dyDescent="0.2">
      <c r="A3867" s="10" t="str">
        <f>IF(3859&gt;$C$9008,"",INDEX($B$9:$B$9008,MATCH(3859,$C$9:$C$9008,0)))</f>
        <v/>
      </c>
      <c r="B3867" s="9" t="str">
        <f>IFERROR(INDEX(Input!$L$20:$T$1019,INT((ROW()-9)/9)+1,MOD(ROW()-9,9)+1),"")</f>
        <v/>
      </c>
      <c r="C3867" s="9">
        <f t="shared" si="60"/>
        <v>0</v>
      </c>
    </row>
    <row r="3868" spans="1:3" x14ac:dyDescent="0.2">
      <c r="A3868" s="10" t="str">
        <f>IF(3860&gt;$C$9008,"",INDEX($B$9:$B$9008,MATCH(3860,$C$9:$C$9008,0)))</f>
        <v/>
      </c>
      <c r="B3868" s="9" t="str">
        <f>IFERROR(INDEX(Input!$L$20:$T$1019,INT((ROW()-9)/9)+1,MOD(ROW()-9,9)+1),"")</f>
        <v/>
      </c>
      <c r="C3868" s="9">
        <f t="shared" si="60"/>
        <v>0</v>
      </c>
    </row>
    <row r="3869" spans="1:3" x14ac:dyDescent="0.2">
      <c r="A3869" s="10" t="str">
        <f>IF(3861&gt;$C$9008,"",INDEX($B$9:$B$9008,MATCH(3861,$C$9:$C$9008,0)))</f>
        <v/>
      </c>
      <c r="B3869" s="9" t="str">
        <f>IFERROR(INDEX(Input!$L$20:$T$1019,INT((ROW()-9)/9)+1,MOD(ROW()-9,9)+1),"")</f>
        <v/>
      </c>
      <c r="C3869" s="9">
        <f t="shared" si="60"/>
        <v>0</v>
      </c>
    </row>
    <row r="3870" spans="1:3" x14ac:dyDescent="0.2">
      <c r="A3870" s="10" t="str">
        <f>IF(3862&gt;$C$9008,"",INDEX($B$9:$B$9008,MATCH(3862,$C$9:$C$9008,0)))</f>
        <v/>
      </c>
      <c r="B3870" s="9" t="str">
        <f>IFERROR(INDEX(Input!$L$20:$T$1019,INT((ROW()-9)/9)+1,MOD(ROW()-9,9)+1),"")</f>
        <v/>
      </c>
      <c r="C3870" s="9">
        <f t="shared" si="60"/>
        <v>0</v>
      </c>
    </row>
    <row r="3871" spans="1:3" x14ac:dyDescent="0.2">
      <c r="A3871" s="10" t="str">
        <f>IF(3863&gt;$C$9008,"",INDEX($B$9:$B$9008,MATCH(3863,$C$9:$C$9008,0)))</f>
        <v/>
      </c>
      <c r="B3871" s="9" t="str">
        <f>IFERROR(INDEX(Input!$L$20:$T$1019,INT((ROW()-9)/9)+1,MOD(ROW()-9,9)+1),"")</f>
        <v/>
      </c>
      <c r="C3871" s="9">
        <f t="shared" si="60"/>
        <v>0</v>
      </c>
    </row>
    <row r="3872" spans="1:3" x14ac:dyDescent="0.2">
      <c r="A3872" s="10" t="str">
        <f>IF(3864&gt;$C$9008,"",INDEX($B$9:$B$9008,MATCH(3864,$C$9:$C$9008,0)))</f>
        <v/>
      </c>
      <c r="B3872" s="9" t="str">
        <f>IFERROR(INDEX(Input!$L$20:$T$1019,INT((ROW()-9)/9)+1,MOD(ROW()-9,9)+1),"")</f>
        <v/>
      </c>
      <c r="C3872" s="9">
        <f t="shared" si="60"/>
        <v>0</v>
      </c>
    </row>
    <row r="3873" spans="1:3" x14ac:dyDescent="0.2">
      <c r="A3873" s="10" t="str">
        <f>IF(3865&gt;$C$9008,"",INDEX($B$9:$B$9008,MATCH(3865,$C$9:$C$9008,0)))</f>
        <v/>
      </c>
      <c r="B3873" s="9" t="str">
        <f>IFERROR(INDEX(Input!$L$20:$T$1019,INT((ROW()-9)/9)+1,MOD(ROW()-9,9)+1),"")</f>
        <v/>
      </c>
      <c r="C3873" s="9">
        <f t="shared" si="60"/>
        <v>0</v>
      </c>
    </row>
    <row r="3874" spans="1:3" x14ac:dyDescent="0.2">
      <c r="A3874" s="10" t="str">
        <f>IF(3866&gt;$C$9008,"",INDEX($B$9:$B$9008,MATCH(3866,$C$9:$C$9008,0)))</f>
        <v/>
      </c>
      <c r="B3874" s="9" t="str">
        <f>IFERROR(INDEX(Input!$L$20:$T$1019,INT((ROW()-9)/9)+1,MOD(ROW()-9,9)+1),"")</f>
        <v/>
      </c>
      <c r="C3874" s="9">
        <f t="shared" si="60"/>
        <v>0</v>
      </c>
    </row>
    <row r="3875" spans="1:3" x14ac:dyDescent="0.2">
      <c r="A3875" s="10" t="str">
        <f>IF(3867&gt;$C$9008,"",INDEX($B$9:$B$9008,MATCH(3867,$C$9:$C$9008,0)))</f>
        <v/>
      </c>
      <c r="B3875" s="9" t="str">
        <f>IFERROR(INDEX(Input!$L$20:$T$1019,INT((ROW()-9)/9)+1,MOD(ROW()-9,9)+1),"")</f>
        <v/>
      </c>
      <c r="C3875" s="9">
        <f t="shared" si="60"/>
        <v>0</v>
      </c>
    </row>
    <row r="3876" spans="1:3" x14ac:dyDescent="0.2">
      <c r="A3876" s="10" t="str">
        <f>IF(3868&gt;$C$9008,"",INDEX($B$9:$B$9008,MATCH(3868,$C$9:$C$9008,0)))</f>
        <v/>
      </c>
      <c r="B3876" s="9" t="str">
        <f>IFERROR(INDEX(Input!$L$20:$T$1019,INT((ROW()-9)/9)+1,MOD(ROW()-9,9)+1),"")</f>
        <v/>
      </c>
      <c r="C3876" s="9">
        <f t="shared" si="60"/>
        <v>0</v>
      </c>
    </row>
    <row r="3877" spans="1:3" x14ac:dyDescent="0.2">
      <c r="A3877" s="10" t="str">
        <f>IF(3869&gt;$C$9008,"",INDEX($B$9:$B$9008,MATCH(3869,$C$9:$C$9008,0)))</f>
        <v/>
      </c>
      <c r="B3877" s="9" t="str">
        <f>IFERROR(INDEX(Input!$L$20:$T$1019,INT((ROW()-9)/9)+1,MOD(ROW()-9,9)+1),"")</f>
        <v/>
      </c>
      <c r="C3877" s="9">
        <f t="shared" si="60"/>
        <v>0</v>
      </c>
    </row>
    <row r="3878" spans="1:3" x14ac:dyDescent="0.2">
      <c r="A3878" s="10" t="str">
        <f>IF(3870&gt;$C$9008,"",INDEX($B$9:$B$9008,MATCH(3870,$C$9:$C$9008,0)))</f>
        <v/>
      </c>
      <c r="B3878" s="9" t="str">
        <f>IFERROR(INDEX(Input!$L$20:$T$1019,INT((ROW()-9)/9)+1,MOD(ROW()-9,9)+1),"")</f>
        <v/>
      </c>
      <c r="C3878" s="9">
        <f t="shared" si="60"/>
        <v>0</v>
      </c>
    </row>
    <row r="3879" spans="1:3" x14ac:dyDescent="0.2">
      <c r="A3879" s="10" t="str">
        <f>IF(3871&gt;$C$9008,"",INDEX($B$9:$B$9008,MATCH(3871,$C$9:$C$9008,0)))</f>
        <v/>
      </c>
      <c r="B3879" s="9" t="str">
        <f>IFERROR(INDEX(Input!$L$20:$T$1019,INT((ROW()-9)/9)+1,MOD(ROW()-9,9)+1),"")</f>
        <v/>
      </c>
      <c r="C3879" s="9">
        <f t="shared" si="60"/>
        <v>0</v>
      </c>
    </row>
    <row r="3880" spans="1:3" x14ac:dyDescent="0.2">
      <c r="A3880" s="10" t="str">
        <f>IF(3872&gt;$C$9008,"",INDEX($B$9:$B$9008,MATCH(3872,$C$9:$C$9008,0)))</f>
        <v/>
      </c>
      <c r="B3880" s="9" t="str">
        <f>IFERROR(INDEX(Input!$L$20:$T$1019,INT((ROW()-9)/9)+1,MOD(ROW()-9,9)+1),"")</f>
        <v/>
      </c>
      <c r="C3880" s="9">
        <f t="shared" si="60"/>
        <v>0</v>
      </c>
    </row>
    <row r="3881" spans="1:3" x14ac:dyDescent="0.2">
      <c r="A3881" s="10" t="str">
        <f>IF(3873&gt;$C$9008,"",INDEX($B$9:$B$9008,MATCH(3873,$C$9:$C$9008,0)))</f>
        <v/>
      </c>
      <c r="B3881" s="9" t="str">
        <f>IFERROR(INDEX(Input!$L$20:$T$1019,INT((ROW()-9)/9)+1,MOD(ROW()-9,9)+1),"")</f>
        <v/>
      </c>
      <c r="C3881" s="9">
        <f t="shared" si="60"/>
        <v>0</v>
      </c>
    </row>
    <row r="3882" spans="1:3" x14ac:dyDescent="0.2">
      <c r="A3882" s="10" t="str">
        <f>IF(3874&gt;$C$9008,"",INDEX($B$9:$B$9008,MATCH(3874,$C$9:$C$9008,0)))</f>
        <v/>
      </c>
      <c r="B3882" s="9" t="str">
        <f>IFERROR(INDEX(Input!$L$20:$T$1019,INT((ROW()-9)/9)+1,MOD(ROW()-9,9)+1),"")</f>
        <v/>
      </c>
      <c r="C3882" s="9">
        <f t="shared" si="60"/>
        <v>0</v>
      </c>
    </row>
    <row r="3883" spans="1:3" x14ac:dyDescent="0.2">
      <c r="A3883" s="10" t="str">
        <f>IF(3875&gt;$C$9008,"",INDEX($B$9:$B$9008,MATCH(3875,$C$9:$C$9008,0)))</f>
        <v/>
      </c>
      <c r="B3883" s="9" t="str">
        <f>IFERROR(INDEX(Input!$L$20:$T$1019,INT((ROW()-9)/9)+1,MOD(ROW()-9,9)+1),"")</f>
        <v/>
      </c>
      <c r="C3883" s="9">
        <f t="shared" si="60"/>
        <v>0</v>
      </c>
    </row>
    <row r="3884" spans="1:3" x14ac:dyDescent="0.2">
      <c r="A3884" s="10" t="str">
        <f>IF(3876&gt;$C$9008,"",INDEX($B$9:$B$9008,MATCH(3876,$C$9:$C$9008,0)))</f>
        <v/>
      </c>
      <c r="B3884" s="9" t="str">
        <f>IFERROR(INDEX(Input!$L$20:$T$1019,INT((ROW()-9)/9)+1,MOD(ROW()-9,9)+1),"")</f>
        <v/>
      </c>
      <c r="C3884" s="9">
        <f t="shared" si="60"/>
        <v>0</v>
      </c>
    </row>
    <row r="3885" spans="1:3" x14ac:dyDescent="0.2">
      <c r="A3885" s="10" t="str">
        <f>IF(3877&gt;$C$9008,"",INDEX($B$9:$B$9008,MATCH(3877,$C$9:$C$9008,0)))</f>
        <v/>
      </c>
      <c r="B3885" s="9" t="str">
        <f>IFERROR(INDEX(Input!$L$20:$T$1019,INT((ROW()-9)/9)+1,MOD(ROW()-9,9)+1),"")</f>
        <v/>
      </c>
      <c r="C3885" s="9">
        <f t="shared" si="60"/>
        <v>0</v>
      </c>
    </row>
    <row r="3886" spans="1:3" x14ac:dyDescent="0.2">
      <c r="A3886" s="10" t="str">
        <f>IF(3878&gt;$C$9008,"",INDEX($B$9:$B$9008,MATCH(3878,$C$9:$C$9008,0)))</f>
        <v/>
      </c>
      <c r="B3886" s="9" t="str">
        <f>IFERROR(INDEX(Input!$L$20:$T$1019,INT((ROW()-9)/9)+1,MOD(ROW()-9,9)+1),"")</f>
        <v/>
      </c>
      <c r="C3886" s="9">
        <f t="shared" si="60"/>
        <v>0</v>
      </c>
    </row>
    <row r="3887" spans="1:3" x14ac:dyDescent="0.2">
      <c r="A3887" s="10" t="str">
        <f>IF(3879&gt;$C$9008,"",INDEX($B$9:$B$9008,MATCH(3879,$C$9:$C$9008,0)))</f>
        <v/>
      </c>
      <c r="B3887" s="9" t="str">
        <f>IFERROR(INDEX(Input!$L$20:$T$1019,INT((ROW()-9)/9)+1,MOD(ROW()-9,9)+1),"")</f>
        <v/>
      </c>
      <c r="C3887" s="9">
        <f t="shared" si="60"/>
        <v>0</v>
      </c>
    </row>
    <row r="3888" spans="1:3" x14ac:dyDescent="0.2">
      <c r="A3888" s="10" t="str">
        <f>IF(3880&gt;$C$9008,"",INDEX($B$9:$B$9008,MATCH(3880,$C$9:$C$9008,0)))</f>
        <v/>
      </c>
      <c r="B3888" s="9" t="str">
        <f>IFERROR(INDEX(Input!$L$20:$T$1019,INT((ROW()-9)/9)+1,MOD(ROW()-9,9)+1),"")</f>
        <v/>
      </c>
      <c r="C3888" s="9">
        <f t="shared" si="60"/>
        <v>0</v>
      </c>
    </row>
    <row r="3889" spans="1:3" x14ac:dyDescent="0.2">
      <c r="A3889" s="10" t="str">
        <f>IF(3881&gt;$C$9008,"",INDEX($B$9:$B$9008,MATCH(3881,$C$9:$C$9008,0)))</f>
        <v/>
      </c>
      <c r="B3889" s="9" t="str">
        <f>IFERROR(INDEX(Input!$L$20:$T$1019,INT((ROW()-9)/9)+1,MOD(ROW()-9,9)+1),"")</f>
        <v/>
      </c>
      <c r="C3889" s="9">
        <f t="shared" si="60"/>
        <v>0</v>
      </c>
    </row>
    <row r="3890" spans="1:3" x14ac:dyDescent="0.2">
      <c r="A3890" s="10" t="str">
        <f>IF(3882&gt;$C$9008,"",INDEX($B$9:$B$9008,MATCH(3882,$C$9:$C$9008,0)))</f>
        <v/>
      </c>
      <c r="B3890" s="9" t="str">
        <f>IFERROR(INDEX(Input!$L$20:$T$1019,INT((ROW()-9)/9)+1,MOD(ROW()-9,9)+1),"")</f>
        <v/>
      </c>
      <c r="C3890" s="9">
        <f t="shared" si="60"/>
        <v>0</v>
      </c>
    </row>
    <row r="3891" spans="1:3" x14ac:dyDescent="0.2">
      <c r="A3891" s="10" t="str">
        <f>IF(3883&gt;$C$9008,"",INDEX($B$9:$B$9008,MATCH(3883,$C$9:$C$9008,0)))</f>
        <v/>
      </c>
      <c r="B3891" s="9" t="str">
        <f>IFERROR(INDEX(Input!$L$20:$T$1019,INT((ROW()-9)/9)+1,MOD(ROW()-9,9)+1),"")</f>
        <v/>
      </c>
      <c r="C3891" s="9">
        <f t="shared" si="60"/>
        <v>0</v>
      </c>
    </row>
    <row r="3892" spans="1:3" x14ac:dyDescent="0.2">
      <c r="A3892" s="10" t="str">
        <f>IF(3884&gt;$C$9008,"",INDEX($B$9:$B$9008,MATCH(3884,$C$9:$C$9008,0)))</f>
        <v/>
      </c>
      <c r="B3892" s="9" t="str">
        <f>IFERROR(INDEX(Input!$L$20:$T$1019,INT((ROW()-9)/9)+1,MOD(ROW()-9,9)+1),"")</f>
        <v/>
      </c>
      <c r="C3892" s="9">
        <f t="shared" si="60"/>
        <v>0</v>
      </c>
    </row>
    <row r="3893" spans="1:3" x14ac:dyDescent="0.2">
      <c r="A3893" s="10" t="str">
        <f>IF(3885&gt;$C$9008,"",INDEX($B$9:$B$9008,MATCH(3885,$C$9:$C$9008,0)))</f>
        <v/>
      </c>
      <c r="B3893" s="9" t="str">
        <f>IFERROR(INDEX(Input!$L$20:$T$1019,INT((ROW()-9)/9)+1,MOD(ROW()-9,9)+1),"")</f>
        <v/>
      </c>
      <c r="C3893" s="9">
        <f t="shared" si="60"/>
        <v>0</v>
      </c>
    </row>
    <row r="3894" spans="1:3" x14ac:dyDescent="0.2">
      <c r="A3894" s="10" t="str">
        <f>IF(3886&gt;$C$9008,"",INDEX($B$9:$B$9008,MATCH(3886,$C$9:$C$9008,0)))</f>
        <v/>
      </c>
      <c r="B3894" s="9" t="str">
        <f>IFERROR(INDEX(Input!$L$20:$T$1019,INT((ROW()-9)/9)+1,MOD(ROW()-9,9)+1),"")</f>
        <v/>
      </c>
      <c r="C3894" s="9">
        <f t="shared" si="60"/>
        <v>0</v>
      </c>
    </row>
    <row r="3895" spans="1:3" x14ac:dyDescent="0.2">
      <c r="A3895" s="10" t="str">
        <f>IF(3887&gt;$C$9008,"",INDEX($B$9:$B$9008,MATCH(3887,$C$9:$C$9008,0)))</f>
        <v/>
      </c>
      <c r="B3895" s="9" t="str">
        <f>IFERROR(INDEX(Input!$L$20:$T$1019,INT((ROW()-9)/9)+1,MOD(ROW()-9,9)+1),"")</f>
        <v/>
      </c>
      <c r="C3895" s="9">
        <f t="shared" si="60"/>
        <v>0</v>
      </c>
    </row>
    <row r="3896" spans="1:3" x14ac:dyDescent="0.2">
      <c r="A3896" s="10" t="str">
        <f>IF(3888&gt;$C$9008,"",INDEX($B$9:$B$9008,MATCH(3888,$C$9:$C$9008,0)))</f>
        <v/>
      </c>
      <c r="B3896" s="9" t="str">
        <f>IFERROR(INDEX(Input!$L$20:$T$1019,INT((ROW()-9)/9)+1,MOD(ROW()-9,9)+1),"")</f>
        <v/>
      </c>
      <c r="C3896" s="9">
        <f t="shared" si="60"/>
        <v>0</v>
      </c>
    </row>
    <row r="3897" spans="1:3" x14ac:dyDescent="0.2">
      <c r="A3897" s="10" t="str">
        <f>IF(3889&gt;$C$9008,"",INDEX($B$9:$B$9008,MATCH(3889,$C$9:$C$9008,0)))</f>
        <v/>
      </c>
      <c r="B3897" s="9" t="str">
        <f>IFERROR(INDEX(Input!$L$20:$T$1019,INT((ROW()-9)/9)+1,MOD(ROW()-9,9)+1),"")</f>
        <v/>
      </c>
      <c r="C3897" s="9">
        <f t="shared" si="60"/>
        <v>0</v>
      </c>
    </row>
    <row r="3898" spans="1:3" x14ac:dyDescent="0.2">
      <c r="A3898" s="10" t="str">
        <f>IF(3890&gt;$C$9008,"",INDEX($B$9:$B$9008,MATCH(3890,$C$9:$C$9008,0)))</f>
        <v/>
      </c>
      <c r="B3898" s="9" t="str">
        <f>IFERROR(INDEX(Input!$L$20:$T$1019,INT((ROW()-9)/9)+1,MOD(ROW()-9,9)+1),"")</f>
        <v/>
      </c>
      <c r="C3898" s="9">
        <f t="shared" si="60"/>
        <v>0</v>
      </c>
    </row>
    <row r="3899" spans="1:3" x14ac:dyDescent="0.2">
      <c r="A3899" s="10" t="str">
        <f>IF(3891&gt;$C$9008,"",INDEX($B$9:$B$9008,MATCH(3891,$C$9:$C$9008,0)))</f>
        <v/>
      </c>
      <c r="B3899" s="9" t="str">
        <f>IFERROR(INDEX(Input!$L$20:$T$1019,INT((ROW()-9)/9)+1,MOD(ROW()-9,9)+1),"")</f>
        <v/>
      </c>
      <c r="C3899" s="9">
        <f t="shared" si="60"/>
        <v>0</v>
      </c>
    </row>
    <row r="3900" spans="1:3" x14ac:dyDescent="0.2">
      <c r="A3900" s="10" t="str">
        <f>IF(3892&gt;$C$9008,"",INDEX($B$9:$B$9008,MATCH(3892,$C$9:$C$9008,0)))</f>
        <v/>
      </c>
      <c r="B3900" s="9" t="str">
        <f>IFERROR(INDEX(Input!$L$20:$T$1019,INT((ROW()-9)/9)+1,MOD(ROW()-9,9)+1),"")</f>
        <v/>
      </c>
      <c r="C3900" s="9">
        <f t="shared" si="60"/>
        <v>0</v>
      </c>
    </row>
    <row r="3901" spans="1:3" x14ac:dyDescent="0.2">
      <c r="A3901" s="10" t="str">
        <f>IF(3893&gt;$C$9008,"",INDEX($B$9:$B$9008,MATCH(3893,$C$9:$C$9008,0)))</f>
        <v/>
      </c>
      <c r="B3901" s="9" t="str">
        <f>IFERROR(INDEX(Input!$L$20:$T$1019,INT((ROW()-9)/9)+1,MOD(ROW()-9,9)+1),"")</f>
        <v/>
      </c>
      <c r="C3901" s="9">
        <f t="shared" si="60"/>
        <v>0</v>
      </c>
    </row>
    <row r="3902" spans="1:3" x14ac:dyDescent="0.2">
      <c r="A3902" s="10" t="str">
        <f>IF(3894&gt;$C$9008,"",INDEX($B$9:$B$9008,MATCH(3894,$C$9:$C$9008,0)))</f>
        <v/>
      </c>
      <c r="B3902" s="9" t="str">
        <f>IFERROR(INDEX(Input!$L$20:$T$1019,INT((ROW()-9)/9)+1,MOD(ROW()-9,9)+1),"")</f>
        <v/>
      </c>
      <c r="C3902" s="9">
        <f t="shared" si="60"/>
        <v>0</v>
      </c>
    </row>
    <row r="3903" spans="1:3" x14ac:dyDescent="0.2">
      <c r="A3903" s="10" t="str">
        <f>IF(3895&gt;$C$9008,"",INDEX($B$9:$B$9008,MATCH(3895,$C$9:$C$9008,0)))</f>
        <v/>
      </c>
      <c r="B3903" s="9" t="str">
        <f>IFERROR(INDEX(Input!$L$20:$T$1019,INT((ROW()-9)/9)+1,MOD(ROW()-9,9)+1),"")</f>
        <v/>
      </c>
      <c r="C3903" s="9">
        <f t="shared" si="60"/>
        <v>0</v>
      </c>
    </row>
    <row r="3904" spans="1:3" x14ac:dyDescent="0.2">
      <c r="A3904" s="10" t="str">
        <f>IF(3896&gt;$C$9008,"",INDEX($B$9:$B$9008,MATCH(3896,$C$9:$C$9008,0)))</f>
        <v/>
      </c>
      <c r="B3904" s="9" t="str">
        <f>IFERROR(INDEX(Input!$L$20:$T$1019,INT((ROW()-9)/9)+1,MOD(ROW()-9,9)+1),"")</f>
        <v/>
      </c>
      <c r="C3904" s="9">
        <f t="shared" si="60"/>
        <v>0</v>
      </c>
    </row>
    <row r="3905" spans="1:3" x14ac:dyDescent="0.2">
      <c r="A3905" s="10" t="str">
        <f>IF(3897&gt;$C$9008,"",INDEX($B$9:$B$9008,MATCH(3897,$C$9:$C$9008,0)))</f>
        <v/>
      </c>
      <c r="B3905" s="9" t="str">
        <f>IFERROR(INDEX(Input!$L$20:$T$1019,INT((ROW()-9)/9)+1,MOD(ROW()-9,9)+1),"")</f>
        <v/>
      </c>
      <c r="C3905" s="9">
        <f t="shared" si="60"/>
        <v>0</v>
      </c>
    </row>
    <row r="3906" spans="1:3" x14ac:dyDescent="0.2">
      <c r="A3906" s="10" t="str">
        <f>IF(3898&gt;$C$9008,"",INDEX($B$9:$B$9008,MATCH(3898,$C$9:$C$9008,0)))</f>
        <v/>
      </c>
      <c r="B3906" s="9" t="str">
        <f>IFERROR(INDEX(Input!$L$20:$T$1019,INT((ROW()-9)/9)+1,MOD(ROW()-9,9)+1),"")</f>
        <v/>
      </c>
      <c r="C3906" s="9">
        <f t="shared" si="60"/>
        <v>0</v>
      </c>
    </row>
    <row r="3907" spans="1:3" x14ac:dyDescent="0.2">
      <c r="A3907" s="10" t="str">
        <f>IF(3899&gt;$C$9008,"",INDEX($B$9:$B$9008,MATCH(3899,$C$9:$C$9008,0)))</f>
        <v/>
      </c>
      <c r="B3907" s="9" t="str">
        <f>IFERROR(INDEX(Input!$L$20:$T$1019,INT((ROW()-9)/9)+1,MOD(ROW()-9,9)+1),"")</f>
        <v/>
      </c>
      <c r="C3907" s="9">
        <f t="shared" si="60"/>
        <v>0</v>
      </c>
    </row>
    <row r="3908" spans="1:3" x14ac:dyDescent="0.2">
      <c r="A3908" s="10" t="str">
        <f>IF(3900&gt;$C$9008,"",INDEX($B$9:$B$9008,MATCH(3900,$C$9:$C$9008,0)))</f>
        <v/>
      </c>
      <c r="B3908" s="9" t="str">
        <f>IFERROR(INDEX(Input!$L$20:$T$1019,INT((ROW()-9)/9)+1,MOD(ROW()-9,9)+1),"")</f>
        <v/>
      </c>
      <c r="C3908" s="9">
        <f t="shared" si="60"/>
        <v>0</v>
      </c>
    </row>
    <row r="3909" spans="1:3" x14ac:dyDescent="0.2">
      <c r="A3909" s="10" t="str">
        <f>IF(3901&gt;$C$9008,"",INDEX($B$9:$B$9008,MATCH(3901,$C$9:$C$9008,0)))</f>
        <v/>
      </c>
      <c r="B3909" s="9" t="str">
        <f>IFERROR(INDEX(Input!$L$20:$T$1019,INT((ROW()-9)/9)+1,MOD(ROW()-9,9)+1),"")</f>
        <v/>
      </c>
      <c r="C3909" s="9">
        <f t="shared" si="60"/>
        <v>0</v>
      </c>
    </row>
    <row r="3910" spans="1:3" x14ac:dyDescent="0.2">
      <c r="A3910" s="10" t="str">
        <f>IF(3902&gt;$C$9008,"",INDEX($B$9:$B$9008,MATCH(3902,$C$9:$C$9008,0)))</f>
        <v/>
      </c>
      <c r="B3910" s="9" t="str">
        <f>IFERROR(INDEX(Input!$L$20:$T$1019,INT((ROW()-9)/9)+1,MOD(ROW()-9,9)+1),"")</f>
        <v/>
      </c>
      <c r="C3910" s="9">
        <f t="shared" si="60"/>
        <v>0</v>
      </c>
    </row>
    <row r="3911" spans="1:3" x14ac:dyDescent="0.2">
      <c r="A3911" s="10" t="str">
        <f>IF(3903&gt;$C$9008,"",INDEX($B$9:$B$9008,MATCH(3903,$C$9:$C$9008,0)))</f>
        <v/>
      </c>
      <c r="B3911" s="9" t="str">
        <f>IFERROR(INDEX(Input!$L$20:$T$1019,INT((ROW()-9)/9)+1,MOD(ROW()-9,9)+1),"")</f>
        <v/>
      </c>
      <c r="C3911" s="9">
        <f t="shared" si="60"/>
        <v>0</v>
      </c>
    </row>
    <row r="3912" spans="1:3" x14ac:dyDescent="0.2">
      <c r="A3912" s="10" t="str">
        <f>IF(3904&gt;$C$9008,"",INDEX($B$9:$B$9008,MATCH(3904,$C$9:$C$9008,0)))</f>
        <v/>
      </c>
      <c r="B3912" s="9" t="str">
        <f>IFERROR(INDEX(Input!$L$20:$T$1019,INT((ROW()-9)/9)+1,MOD(ROW()-9,9)+1),"")</f>
        <v/>
      </c>
      <c r="C3912" s="9">
        <f t="shared" si="60"/>
        <v>0</v>
      </c>
    </row>
    <row r="3913" spans="1:3" x14ac:dyDescent="0.2">
      <c r="A3913" s="10" t="str">
        <f>IF(3905&gt;$C$9008,"",INDEX($B$9:$B$9008,MATCH(3905,$C$9:$C$9008,0)))</f>
        <v/>
      </c>
      <c r="B3913" s="9" t="str">
        <f>IFERROR(INDEX(Input!$L$20:$T$1019,INT((ROW()-9)/9)+1,MOD(ROW()-9,9)+1),"")</f>
        <v/>
      </c>
      <c r="C3913" s="9">
        <f t="shared" ref="C3913:C3976" si="61">$C3912+IF($B3913&lt;&gt;"",1,0)</f>
        <v>0</v>
      </c>
    </row>
    <row r="3914" spans="1:3" x14ac:dyDescent="0.2">
      <c r="A3914" s="10" t="str">
        <f>IF(3906&gt;$C$9008,"",INDEX($B$9:$B$9008,MATCH(3906,$C$9:$C$9008,0)))</f>
        <v/>
      </c>
      <c r="B3914" s="9" t="str">
        <f>IFERROR(INDEX(Input!$L$20:$T$1019,INT((ROW()-9)/9)+1,MOD(ROW()-9,9)+1),"")</f>
        <v/>
      </c>
      <c r="C3914" s="9">
        <f t="shared" si="61"/>
        <v>0</v>
      </c>
    </row>
    <row r="3915" spans="1:3" x14ac:dyDescent="0.2">
      <c r="A3915" s="10" t="str">
        <f>IF(3907&gt;$C$9008,"",INDEX($B$9:$B$9008,MATCH(3907,$C$9:$C$9008,0)))</f>
        <v/>
      </c>
      <c r="B3915" s="9" t="str">
        <f>IFERROR(INDEX(Input!$L$20:$T$1019,INT((ROW()-9)/9)+1,MOD(ROW()-9,9)+1),"")</f>
        <v/>
      </c>
      <c r="C3915" s="9">
        <f t="shared" si="61"/>
        <v>0</v>
      </c>
    </row>
    <row r="3916" spans="1:3" x14ac:dyDescent="0.2">
      <c r="A3916" s="10" t="str">
        <f>IF(3908&gt;$C$9008,"",INDEX($B$9:$B$9008,MATCH(3908,$C$9:$C$9008,0)))</f>
        <v/>
      </c>
      <c r="B3916" s="9" t="str">
        <f>IFERROR(INDEX(Input!$L$20:$T$1019,INT((ROW()-9)/9)+1,MOD(ROW()-9,9)+1),"")</f>
        <v/>
      </c>
      <c r="C3916" s="9">
        <f t="shared" si="61"/>
        <v>0</v>
      </c>
    </row>
    <row r="3917" spans="1:3" x14ac:dyDescent="0.2">
      <c r="A3917" s="10" t="str">
        <f>IF(3909&gt;$C$9008,"",INDEX($B$9:$B$9008,MATCH(3909,$C$9:$C$9008,0)))</f>
        <v/>
      </c>
      <c r="B3917" s="9" t="str">
        <f>IFERROR(INDEX(Input!$L$20:$T$1019,INT((ROW()-9)/9)+1,MOD(ROW()-9,9)+1),"")</f>
        <v/>
      </c>
      <c r="C3917" s="9">
        <f t="shared" si="61"/>
        <v>0</v>
      </c>
    </row>
    <row r="3918" spans="1:3" x14ac:dyDescent="0.2">
      <c r="A3918" s="10" t="str">
        <f>IF(3910&gt;$C$9008,"",INDEX($B$9:$B$9008,MATCH(3910,$C$9:$C$9008,0)))</f>
        <v/>
      </c>
      <c r="B3918" s="9" t="str">
        <f>IFERROR(INDEX(Input!$L$20:$T$1019,INT((ROW()-9)/9)+1,MOD(ROW()-9,9)+1),"")</f>
        <v/>
      </c>
      <c r="C3918" s="9">
        <f t="shared" si="61"/>
        <v>0</v>
      </c>
    </row>
    <row r="3919" spans="1:3" x14ac:dyDescent="0.2">
      <c r="A3919" s="10" t="str">
        <f>IF(3911&gt;$C$9008,"",INDEX($B$9:$B$9008,MATCH(3911,$C$9:$C$9008,0)))</f>
        <v/>
      </c>
      <c r="B3919" s="9" t="str">
        <f>IFERROR(INDEX(Input!$L$20:$T$1019,INT((ROW()-9)/9)+1,MOD(ROW()-9,9)+1),"")</f>
        <v/>
      </c>
      <c r="C3919" s="9">
        <f t="shared" si="61"/>
        <v>0</v>
      </c>
    </row>
    <row r="3920" spans="1:3" x14ac:dyDescent="0.2">
      <c r="A3920" s="10" t="str">
        <f>IF(3912&gt;$C$9008,"",INDEX($B$9:$B$9008,MATCH(3912,$C$9:$C$9008,0)))</f>
        <v/>
      </c>
      <c r="B3920" s="9" t="str">
        <f>IFERROR(INDEX(Input!$L$20:$T$1019,INT((ROW()-9)/9)+1,MOD(ROW()-9,9)+1),"")</f>
        <v/>
      </c>
      <c r="C3920" s="9">
        <f t="shared" si="61"/>
        <v>0</v>
      </c>
    </row>
    <row r="3921" spans="1:3" x14ac:dyDescent="0.2">
      <c r="A3921" s="10" t="str">
        <f>IF(3913&gt;$C$9008,"",INDEX($B$9:$B$9008,MATCH(3913,$C$9:$C$9008,0)))</f>
        <v/>
      </c>
      <c r="B3921" s="9" t="str">
        <f>IFERROR(INDEX(Input!$L$20:$T$1019,INT((ROW()-9)/9)+1,MOD(ROW()-9,9)+1),"")</f>
        <v/>
      </c>
      <c r="C3921" s="9">
        <f t="shared" si="61"/>
        <v>0</v>
      </c>
    </row>
    <row r="3922" spans="1:3" x14ac:dyDescent="0.2">
      <c r="A3922" s="10" t="str">
        <f>IF(3914&gt;$C$9008,"",INDEX($B$9:$B$9008,MATCH(3914,$C$9:$C$9008,0)))</f>
        <v/>
      </c>
      <c r="B3922" s="9" t="str">
        <f>IFERROR(INDEX(Input!$L$20:$T$1019,INT((ROW()-9)/9)+1,MOD(ROW()-9,9)+1),"")</f>
        <v/>
      </c>
      <c r="C3922" s="9">
        <f t="shared" si="61"/>
        <v>0</v>
      </c>
    </row>
    <row r="3923" spans="1:3" x14ac:dyDescent="0.2">
      <c r="A3923" s="10" t="str">
        <f>IF(3915&gt;$C$9008,"",INDEX($B$9:$B$9008,MATCH(3915,$C$9:$C$9008,0)))</f>
        <v/>
      </c>
      <c r="B3923" s="9" t="str">
        <f>IFERROR(INDEX(Input!$L$20:$T$1019,INT((ROW()-9)/9)+1,MOD(ROW()-9,9)+1),"")</f>
        <v/>
      </c>
      <c r="C3923" s="9">
        <f t="shared" si="61"/>
        <v>0</v>
      </c>
    </row>
    <row r="3924" spans="1:3" x14ac:dyDescent="0.2">
      <c r="A3924" s="10" t="str">
        <f>IF(3916&gt;$C$9008,"",INDEX($B$9:$B$9008,MATCH(3916,$C$9:$C$9008,0)))</f>
        <v/>
      </c>
      <c r="B3924" s="9" t="str">
        <f>IFERROR(INDEX(Input!$L$20:$T$1019,INT((ROW()-9)/9)+1,MOD(ROW()-9,9)+1),"")</f>
        <v/>
      </c>
      <c r="C3924" s="9">
        <f t="shared" si="61"/>
        <v>0</v>
      </c>
    </row>
    <row r="3925" spans="1:3" x14ac:dyDescent="0.2">
      <c r="A3925" s="10" t="str">
        <f>IF(3917&gt;$C$9008,"",INDEX($B$9:$B$9008,MATCH(3917,$C$9:$C$9008,0)))</f>
        <v/>
      </c>
      <c r="B3925" s="9" t="str">
        <f>IFERROR(INDEX(Input!$L$20:$T$1019,INT((ROW()-9)/9)+1,MOD(ROW()-9,9)+1),"")</f>
        <v/>
      </c>
      <c r="C3925" s="9">
        <f t="shared" si="61"/>
        <v>0</v>
      </c>
    </row>
    <row r="3926" spans="1:3" x14ac:dyDescent="0.2">
      <c r="A3926" s="10" t="str">
        <f>IF(3918&gt;$C$9008,"",INDEX($B$9:$B$9008,MATCH(3918,$C$9:$C$9008,0)))</f>
        <v/>
      </c>
      <c r="B3926" s="9" t="str">
        <f>IFERROR(INDEX(Input!$L$20:$T$1019,INT((ROW()-9)/9)+1,MOD(ROW()-9,9)+1),"")</f>
        <v/>
      </c>
      <c r="C3926" s="9">
        <f t="shared" si="61"/>
        <v>0</v>
      </c>
    </row>
    <row r="3927" spans="1:3" x14ac:dyDescent="0.2">
      <c r="A3927" s="10" t="str">
        <f>IF(3919&gt;$C$9008,"",INDEX($B$9:$B$9008,MATCH(3919,$C$9:$C$9008,0)))</f>
        <v/>
      </c>
      <c r="B3927" s="9" t="str">
        <f>IFERROR(INDEX(Input!$L$20:$T$1019,INT((ROW()-9)/9)+1,MOD(ROW()-9,9)+1),"")</f>
        <v/>
      </c>
      <c r="C3927" s="9">
        <f t="shared" si="61"/>
        <v>0</v>
      </c>
    </row>
    <row r="3928" spans="1:3" x14ac:dyDescent="0.2">
      <c r="A3928" s="10" t="str">
        <f>IF(3920&gt;$C$9008,"",INDEX($B$9:$B$9008,MATCH(3920,$C$9:$C$9008,0)))</f>
        <v/>
      </c>
      <c r="B3928" s="9" t="str">
        <f>IFERROR(INDEX(Input!$L$20:$T$1019,INT((ROW()-9)/9)+1,MOD(ROW()-9,9)+1),"")</f>
        <v/>
      </c>
      <c r="C3928" s="9">
        <f t="shared" si="61"/>
        <v>0</v>
      </c>
    </row>
    <row r="3929" spans="1:3" x14ac:dyDescent="0.2">
      <c r="A3929" s="10" t="str">
        <f>IF(3921&gt;$C$9008,"",INDEX($B$9:$B$9008,MATCH(3921,$C$9:$C$9008,0)))</f>
        <v/>
      </c>
      <c r="B3929" s="9" t="str">
        <f>IFERROR(INDEX(Input!$L$20:$T$1019,INT((ROW()-9)/9)+1,MOD(ROW()-9,9)+1),"")</f>
        <v/>
      </c>
      <c r="C3929" s="9">
        <f t="shared" si="61"/>
        <v>0</v>
      </c>
    </row>
    <row r="3930" spans="1:3" x14ac:dyDescent="0.2">
      <c r="A3930" s="10" t="str">
        <f>IF(3922&gt;$C$9008,"",INDEX($B$9:$B$9008,MATCH(3922,$C$9:$C$9008,0)))</f>
        <v/>
      </c>
      <c r="B3930" s="9" t="str">
        <f>IFERROR(INDEX(Input!$L$20:$T$1019,INT((ROW()-9)/9)+1,MOD(ROW()-9,9)+1),"")</f>
        <v/>
      </c>
      <c r="C3930" s="9">
        <f t="shared" si="61"/>
        <v>0</v>
      </c>
    </row>
    <row r="3931" spans="1:3" x14ac:dyDescent="0.2">
      <c r="A3931" s="10" t="str">
        <f>IF(3923&gt;$C$9008,"",INDEX($B$9:$B$9008,MATCH(3923,$C$9:$C$9008,0)))</f>
        <v/>
      </c>
      <c r="B3931" s="9" t="str">
        <f>IFERROR(INDEX(Input!$L$20:$T$1019,INT((ROW()-9)/9)+1,MOD(ROW()-9,9)+1),"")</f>
        <v/>
      </c>
      <c r="C3931" s="9">
        <f t="shared" si="61"/>
        <v>0</v>
      </c>
    </row>
    <row r="3932" spans="1:3" x14ac:dyDescent="0.2">
      <c r="A3932" s="10" t="str">
        <f>IF(3924&gt;$C$9008,"",INDEX($B$9:$B$9008,MATCH(3924,$C$9:$C$9008,0)))</f>
        <v/>
      </c>
      <c r="B3932" s="9" t="str">
        <f>IFERROR(INDEX(Input!$L$20:$T$1019,INT((ROW()-9)/9)+1,MOD(ROW()-9,9)+1),"")</f>
        <v/>
      </c>
      <c r="C3932" s="9">
        <f t="shared" si="61"/>
        <v>0</v>
      </c>
    </row>
    <row r="3933" spans="1:3" x14ac:dyDescent="0.2">
      <c r="A3933" s="10" t="str">
        <f>IF(3925&gt;$C$9008,"",INDEX($B$9:$B$9008,MATCH(3925,$C$9:$C$9008,0)))</f>
        <v/>
      </c>
      <c r="B3933" s="9" t="str">
        <f>IFERROR(INDEX(Input!$L$20:$T$1019,INT((ROW()-9)/9)+1,MOD(ROW()-9,9)+1),"")</f>
        <v/>
      </c>
      <c r="C3933" s="9">
        <f t="shared" si="61"/>
        <v>0</v>
      </c>
    </row>
    <row r="3934" spans="1:3" x14ac:dyDescent="0.2">
      <c r="A3934" s="10" t="str">
        <f>IF(3926&gt;$C$9008,"",INDEX($B$9:$B$9008,MATCH(3926,$C$9:$C$9008,0)))</f>
        <v/>
      </c>
      <c r="B3934" s="9" t="str">
        <f>IFERROR(INDEX(Input!$L$20:$T$1019,INT((ROW()-9)/9)+1,MOD(ROW()-9,9)+1),"")</f>
        <v/>
      </c>
      <c r="C3934" s="9">
        <f t="shared" si="61"/>
        <v>0</v>
      </c>
    </row>
    <row r="3935" spans="1:3" x14ac:dyDescent="0.2">
      <c r="A3935" s="10" t="str">
        <f>IF(3927&gt;$C$9008,"",INDEX($B$9:$B$9008,MATCH(3927,$C$9:$C$9008,0)))</f>
        <v/>
      </c>
      <c r="B3935" s="9" t="str">
        <f>IFERROR(INDEX(Input!$L$20:$T$1019,INT((ROW()-9)/9)+1,MOD(ROW()-9,9)+1),"")</f>
        <v/>
      </c>
      <c r="C3935" s="9">
        <f t="shared" si="61"/>
        <v>0</v>
      </c>
    </row>
    <row r="3936" spans="1:3" x14ac:dyDescent="0.2">
      <c r="A3936" s="10" t="str">
        <f>IF(3928&gt;$C$9008,"",INDEX($B$9:$B$9008,MATCH(3928,$C$9:$C$9008,0)))</f>
        <v/>
      </c>
      <c r="B3936" s="9" t="str">
        <f>IFERROR(INDEX(Input!$L$20:$T$1019,INT((ROW()-9)/9)+1,MOD(ROW()-9,9)+1),"")</f>
        <v/>
      </c>
      <c r="C3936" s="9">
        <f t="shared" si="61"/>
        <v>0</v>
      </c>
    </row>
    <row r="3937" spans="1:3" x14ac:dyDescent="0.2">
      <c r="A3937" s="10" t="str">
        <f>IF(3929&gt;$C$9008,"",INDEX($B$9:$B$9008,MATCH(3929,$C$9:$C$9008,0)))</f>
        <v/>
      </c>
      <c r="B3937" s="9" t="str">
        <f>IFERROR(INDEX(Input!$L$20:$T$1019,INT((ROW()-9)/9)+1,MOD(ROW()-9,9)+1),"")</f>
        <v/>
      </c>
      <c r="C3937" s="9">
        <f t="shared" si="61"/>
        <v>0</v>
      </c>
    </row>
    <row r="3938" spans="1:3" x14ac:dyDescent="0.2">
      <c r="A3938" s="10" t="str">
        <f>IF(3930&gt;$C$9008,"",INDEX($B$9:$B$9008,MATCH(3930,$C$9:$C$9008,0)))</f>
        <v/>
      </c>
      <c r="B3938" s="9" t="str">
        <f>IFERROR(INDEX(Input!$L$20:$T$1019,INT((ROW()-9)/9)+1,MOD(ROW()-9,9)+1),"")</f>
        <v/>
      </c>
      <c r="C3938" s="9">
        <f t="shared" si="61"/>
        <v>0</v>
      </c>
    </row>
    <row r="3939" spans="1:3" x14ac:dyDescent="0.2">
      <c r="A3939" s="10" t="str">
        <f>IF(3931&gt;$C$9008,"",INDEX($B$9:$B$9008,MATCH(3931,$C$9:$C$9008,0)))</f>
        <v/>
      </c>
      <c r="B3939" s="9" t="str">
        <f>IFERROR(INDEX(Input!$L$20:$T$1019,INT((ROW()-9)/9)+1,MOD(ROW()-9,9)+1),"")</f>
        <v/>
      </c>
      <c r="C3939" s="9">
        <f t="shared" si="61"/>
        <v>0</v>
      </c>
    </row>
    <row r="3940" spans="1:3" x14ac:dyDescent="0.2">
      <c r="A3940" s="10" t="str">
        <f>IF(3932&gt;$C$9008,"",INDEX($B$9:$B$9008,MATCH(3932,$C$9:$C$9008,0)))</f>
        <v/>
      </c>
      <c r="B3940" s="9" t="str">
        <f>IFERROR(INDEX(Input!$L$20:$T$1019,INT((ROW()-9)/9)+1,MOD(ROW()-9,9)+1),"")</f>
        <v/>
      </c>
      <c r="C3940" s="9">
        <f t="shared" si="61"/>
        <v>0</v>
      </c>
    </row>
    <row r="3941" spans="1:3" x14ac:dyDescent="0.2">
      <c r="A3941" s="10" t="str">
        <f>IF(3933&gt;$C$9008,"",INDEX($B$9:$B$9008,MATCH(3933,$C$9:$C$9008,0)))</f>
        <v/>
      </c>
      <c r="B3941" s="9" t="str">
        <f>IFERROR(INDEX(Input!$L$20:$T$1019,INT((ROW()-9)/9)+1,MOD(ROW()-9,9)+1),"")</f>
        <v/>
      </c>
      <c r="C3941" s="9">
        <f t="shared" si="61"/>
        <v>0</v>
      </c>
    </row>
    <row r="3942" spans="1:3" x14ac:dyDescent="0.2">
      <c r="A3942" s="10" t="str">
        <f>IF(3934&gt;$C$9008,"",INDEX($B$9:$B$9008,MATCH(3934,$C$9:$C$9008,0)))</f>
        <v/>
      </c>
      <c r="B3942" s="9" t="str">
        <f>IFERROR(INDEX(Input!$L$20:$T$1019,INT((ROW()-9)/9)+1,MOD(ROW()-9,9)+1),"")</f>
        <v/>
      </c>
      <c r="C3942" s="9">
        <f t="shared" si="61"/>
        <v>0</v>
      </c>
    </row>
    <row r="3943" spans="1:3" x14ac:dyDescent="0.2">
      <c r="A3943" s="10" t="str">
        <f>IF(3935&gt;$C$9008,"",INDEX($B$9:$B$9008,MATCH(3935,$C$9:$C$9008,0)))</f>
        <v/>
      </c>
      <c r="B3943" s="9" t="str">
        <f>IFERROR(INDEX(Input!$L$20:$T$1019,INT((ROW()-9)/9)+1,MOD(ROW()-9,9)+1),"")</f>
        <v/>
      </c>
      <c r="C3943" s="9">
        <f t="shared" si="61"/>
        <v>0</v>
      </c>
    </row>
    <row r="3944" spans="1:3" x14ac:dyDescent="0.2">
      <c r="A3944" s="10" t="str">
        <f>IF(3936&gt;$C$9008,"",INDEX($B$9:$B$9008,MATCH(3936,$C$9:$C$9008,0)))</f>
        <v/>
      </c>
      <c r="B3944" s="9" t="str">
        <f>IFERROR(INDEX(Input!$L$20:$T$1019,INT((ROW()-9)/9)+1,MOD(ROW()-9,9)+1),"")</f>
        <v/>
      </c>
      <c r="C3944" s="9">
        <f t="shared" si="61"/>
        <v>0</v>
      </c>
    </row>
    <row r="3945" spans="1:3" x14ac:dyDescent="0.2">
      <c r="A3945" s="10" t="str">
        <f>IF(3937&gt;$C$9008,"",INDEX($B$9:$B$9008,MATCH(3937,$C$9:$C$9008,0)))</f>
        <v/>
      </c>
      <c r="B3945" s="9" t="str">
        <f>IFERROR(INDEX(Input!$L$20:$T$1019,INT((ROW()-9)/9)+1,MOD(ROW()-9,9)+1),"")</f>
        <v/>
      </c>
      <c r="C3945" s="9">
        <f t="shared" si="61"/>
        <v>0</v>
      </c>
    </row>
    <row r="3946" spans="1:3" x14ac:dyDescent="0.2">
      <c r="A3946" s="10" t="str">
        <f>IF(3938&gt;$C$9008,"",INDEX($B$9:$B$9008,MATCH(3938,$C$9:$C$9008,0)))</f>
        <v/>
      </c>
      <c r="B3946" s="9" t="str">
        <f>IFERROR(INDEX(Input!$L$20:$T$1019,INT((ROW()-9)/9)+1,MOD(ROW()-9,9)+1),"")</f>
        <v/>
      </c>
      <c r="C3946" s="9">
        <f t="shared" si="61"/>
        <v>0</v>
      </c>
    </row>
    <row r="3947" spans="1:3" x14ac:dyDescent="0.2">
      <c r="A3947" s="10" t="str">
        <f>IF(3939&gt;$C$9008,"",INDEX($B$9:$B$9008,MATCH(3939,$C$9:$C$9008,0)))</f>
        <v/>
      </c>
      <c r="B3947" s="9" t="str">
        <f>IFERROR(INDEX(Input!$L$20:$T$1019,INT((ROW()-9)/9)+1,MOD(ROW()-9,9)+1),"")</f>
        <v/>
      </c>
      <c r="C3947" s="9">
        <f t="shared" si="61"/>
        <v>0</v>
      </c>
    </row>
    <row r="3948" spans="1:3" x14ac:dyDescent="0.2">
      <c r="A3948" s="10" t="str">
        <f>IF(3940&gt;$C$9008,"",INDEX($B$9:$B$9008,MATCH(3940,$C$9:$C$9008,0)))</f>
        <v/>
      </c>
      <c r="B3948" s="9" t="str">
        <f>IFERROR(INDEX(Input!$L$20:$T$1019,INT((ROW()-9)/9)+1,MOD(ROW()-9,9)+1),"")</f>
        <v/>
      </c>
      <c r="C3948" s="9">
        <f t="shared" si="61"/>
        <v>0</v>
      </c>
    </row>
    <row r="3949" spans="1:3" x14ac:dyDescent="0.2">
      <c r="A3949" s="10" t="str">
        <f>IF(3941&gt;$C$9008,"",INDEX($B$9:$B$9008,MATCH(3941,$C$9:$C$9008,0)))</f>
        <v/>
      </c>
      <c r="B3949" s="9" t="str">
        <f>IFERROR(INDEX(Input!$L$20:$T$1019,INT((ROW()-9)/9)+1,MOD(ROW()-9,9)+1),"")</f>
        <v/>
      </c>
      <c r="C3949" s="9">
        <f t="shared" si="61"/>
        <v>0</v>
      </c>
    </row>
    <row r="3950" spans="1:3" x14ac:dyDescent="0.2">
      <c r="A3950" s="10" t="str">
        <f>IF(3942&gt;$C$9008,"",INDEX($B$9:$B$9008,MATCH(3942,$C$9:$C$9008,0)))</f>
        <v/>
      </c>
      <c r="B3950" s="9" t="str">
        <f>IFERROR(INDEX(Input!$L$20:$T$1019,INT((ROW()-9)/9)+1,MOD(ROW()-9,9)+1),"")</f>
        <v/>
      </c>
      <c r="C3950" s="9">
        <f t="shared" si="61"/>
        <v>0</v>
      </c>
    </row>
    <row r="3951" spans="1:3" x14ac:dyDescent="0.2">
      <c r="A3951" s="10" t="str">
        <f>IF(3943&gt;$C$9008,"",INDEX($B$9:$B$9008,MATCH(3943,$C$9:$C$9008,0)))</f>
        <v/>
      </c>
      <c r="B3951" s="9" t="str">
        <f>IFERROR(INDEX(Input!$L$20:$T$1019,INT((ROW()-9)/9)+1,MOD(ROW()-9,9)+1),"")</f>
        <v/>
      </c>
      <c r="C3951" s="9">
        <f t="shared" si="61"/>
        <v>0</v>
      </c>
    </row>
    <row r="3952" spans="1:3" x14ac:dyDescent="0.2">
      <c r="A3952" s="10" t="str">
        <f>IF(3944&gt;$C$9008,"",INDEX($B$9:$B$9008,MATCH(3944,$C$9:$C$9008,0)))</f>
        <v/>
      </c>
      <c r="B3952" s="9" t="str">
        <f>IFERROR(INDEX(Input!$L$20:$T$1019,INT((ROW()-9)/9)+1,MOD(ROW()-9,9)+1),"")</f>
        <v/>
      </c>
      <c r="C3952" s="9">
        <f t="shared" si="61"/>
        <v>0</v>
      </c>
    </row>
    <row r="3953" spans="1:3" x14ac:dyDescent="0.2">
      <c r="A3953" s="10" t="str">
        <f>IF(3945&gt;$C$9008,"",INDEX($B$9:$B$9008,MATCH(3945,$C$9:$C$9008,0)))</f>
        <v/>
      </c>
      <c r="B3953" s="9" t="str">
        <f>IFERROR(INDEX(Input!$L$20:$T$1019,INT((ROW()-9)/9)+1,MOD(ROW()-9,9)+1),"")</f>
        <v/>
      </c>
      <c r="C3953" s="9">
        <f t="shared" si="61"/>
        <v>0</v>
      </c>
    </row>
    <row r="3954" spans="1:3" x14ac:dyDescent="0.2">
      <c r="A3954" s="10" t="str">
        <f>IF(3946&gt;$C$9008,"",INDEX($B$9:$B$9008,MATCH(3946,$C$9:$C$9008,0)))</f>
        <v/>
      </c>
      <c r="B3954" s="9" t="str">
        <f>IFERROR(INDEX(Input!$L$20:$T$1019,INT((ROW()-9)/9)+1,MOD(ROW()-9,9)+1),"")</f>
        <v/>
      </c>
      <c r="C3954" s="9">
        <f t="shared" si="61"/>
        <v>0</v>
      </c>
    </row>
    <row r="3955" spans="1:3" x14ac:dyDescent="0.2">
      <c r="A3955" s="10" t="str">
        <f>IF(3947&gt;$C$9008,"",INDEX($B$9:$B$9008,MATCH(3947,$C$9:$C$9008,0)))</f>
        <v/>
      </c>
      <c r="B3955" s="9" t="str">
        <f>IFERROR(INDEX(Input!$L$20:$T$1019,INT((ROW()-9)/9)+1,MOD(ROW()-9,9)+1),"")</f>
        <v/>
      </c>
      <c r="C3955" s="9">
        <f t="shared" si="61"/>
        <v>0</v>
      </c>
    </row>
    <row r="3956" spans="1:3" x14ac:dyDescent="0.2">
      <c r="A3956" s="10" t="str">
        <f>IF(3948&gt;$C$9008,"",INDEX($B$9:$B$9008,MATCH(3948,$C$9:$C$9008,0)))</f>
        <v/>
      </c>
      <c r="B3956" s="9" t="str">
        <f>IFERROR(INDEX(Input!$L$20:$T$1019,INT((ROW()-9)/9)+1,MOD(ROW()-9,9)+1),"")</f>
        <v/>
      </c>
      <c r="C3956" s="9">
        <f t="shared" si="61"/>
        <v>0</v>
      </c>
    </row>
    <row r="3957" spans="1:3" x14ac:dyDescent="0.2">
      <c r="A3957" s="10" t="str">
        <f>IF(3949&gt;$C$9008,"",INDEX($B$9:$B$9008,MATCH(3949,$C$9:$C$9008,0)))</f>
        <v/>
      </c>
      <c r="B3957" s="9" t="str">
        <f>IFERROR(INDEX(Input!$L$20:$T$1019,INT((ROW()-9)/9)+1,MOD(ROW()-9,9)+1),"")</f>
        <v/>
      </c>
      <c r="C3957" s="9">
        <f t="shared" si="61"/>
        <v>0</v>
      </c>
    </row>
    <row r="3958" spans="1:3" x14ac:dyDescent="0.2">
      <c r="A3958" s="10" t="str">
        <f>IF(3950&gt;$C$9008,"",INDEX($B$9:$B$9008,MATCH(3950,$C$9:$C$9008,0)))</f>
        <v/>
      </c>
      <c r="B3958" s="9" t="str">
        <f>IFERROR(INDEX(Input!$L$20:$T$1019,INT((ROW()-9)/9)+1,MOD(ROW()-9,9)+1),"")</f>
        <v/>
      </c>
      <c r="C3958" s="9">
        <f t="shared" si="61"/>
        <v>0</v>
      </c>
    </row>
    <row r="3959" spans="1:3" x14ac:dyDescent="0.2">
      <c r="A3959" s="10" t="str">
        <f>IF(3951&gt;$C$9008,"",INDEX($B$9:$B$9008,MATCH(3951,$C$9:$C$9008,0)))</f>
        <v/>
      </c>
      <c r="B3959" s="9" t="str">
        <f>IFERROR(INDEX(Input!$L$20:$T$1019,INT((ROW()-9)/9)+1,MOD(ROW()-9,9)+1),"")</f>
        <v/>
      </c>
      <c r="C3959" s="9">
        <f t="shared" si="61"/>
        <v>0</v>
      </c>
    </row>
    <row r="3960" spans="1:3" x14ac:dyDescent="0.2">
      <c r="A3960" s="10" t="str">
        <f>IF(3952&gt;$C$9008,"",INDEX($B$9:$B$9008,MATCH(3952,$C$9:$C$9008,0)))</f>
        <v/>
      </c>
      <c r="B3960" s="9" t="str">
        <f>IFERROR(INDEX(Input!$L$20:$T$1019,INT((ROW()-9)/9)+1,MOD(ROW()-9,9)+1),"")</f>
        <v/>
      </c>
      <c r="C3960" s="9">
        <f t="shared" si="61"/>
        <v>0</v>
      </c>
    </row>
    <row r="3961" spans="1:3" x14ac:dyDescent="0.2">
      <c r="A3961" s="10" t="str">
        <f>IF(3953&gt;$C$9008,"",INDEX($B$9:$B$9008,MATCH(3953,$C$9:$C$9008,0)))</f>
        <v/>
      </c>
      <c r="B3961" s="9" t="str">
        <f>IFERROR(INDEX(Input!$L$20:$T$1019,INT((ROW()-9)/9)+1,MOD(ROW()-9,9)+1),"")</f>
        <v/>
      </c>
      <c r="C3961" s="9">
        <f t="shared" si="61"/>
        <v>0</v>
      </c>
    </row>
    <row r="3962" spans="1:3" x14ac:dyDescent="0.2">
      <c r="A3962" s="10" t="str">
        <f>IF(3954&gt;$C$9008,"",INDEX($B$9:$B$9008,MATCH(3954,$C$9:$C$9008,0)))</f>
        <v/>
      </c>
      <c r="B3962" s="9" t="str">
        <f>IFERROR(INDEX(Input!$L$20:$T$1019,INT((ROW()-9)/9)+1,MOD(ROW()-9,9)+1),"")</f>
        <v/>
      </c>
      <c r="C3962" s="9">
        <f t="shared" si="61"/>
        <v>0</v>
      </c>
    </row>
    <row r="3963" spans="1:3" x14ac:dyDescent="0.2">
      <c r="A3963" s="10" t="str">
        <f>IF(3955&gt;$C$9008,"",INDEX($B$9:$B$9008,MATCH(3955,$C$9:$C$9008,0)))</f>
        <v/>
      </c>
      <c r="B3963" s="9" t="str">
        <f>IFERROR(INDEX(Input!$L$20:$T$1019,INT((ROW()-9)/9)+1,MOD(ROW()-9,9)+1),"")</f>
        <v/>
      </c>
      <c r="C3963" s="9">
        <f t="shared" si="61"/>
        <v>0</v>
      </c>
    </row>
    <row r="3964" spans="1:3" x14ac:dyDescent="0.2">
      <c r="A3964" s="10" t="str">
        <f>IF(3956&gt;$C$9008,"",INDEX($B$9:$B$9008,MATCH(3956,$C$9:$C$9008,0)))</f>
        <v/>
      </c>
      <c r="B3964" s="9" t="str">
        <f>IFERROR(INDEX(Input!$L$20:$T$1019,INT((ROW()-9)/9)+1,MOD(ROW()-9,9)+1),"")</f>
        <v/>
      </c>
      <c r="C3964" s="9">
        <f t="shared" si="61"/>
        <v>0</v>
      </c>
    </row>
    <row r="3965" spans="1:3" x14ac:dyDescent="0.2">
      <c r="A3965" s="10" t="str">
        <f>IF(3957&gt;$C$9008,"",INDEX($B$9:$B$9008,MATCH(3957,$C$9:$C$9008,0)))</f>
        <v/>
      </c>
      <c r="B3965" s="9" t="str">
        <f>IFERROR(INDEX(Input!$L$20:$T$1019,INT((ROW()-9)/9)+1,MOD(ROW()-9,9)+1),"")</f>
        <v/>
      </c>
      <c r="C3965" s="9">
        <f t="shared" si="61"/>
        <v>0</v>
      </c>
    </row>
    <row r="3966" spans="1:3" x14ac:dyDescent="0.2">
      <c r="A3966" s="10" t="str">
        <f>IF(3958&gt;$C$9008,"",INDEX($B$9:$B$9008,MATCH(3958,$C$9:$C$9008,0)))</f>
        <v/>
      </c>
      <c r="B3966" s="9" t="str">
        <f>IFERROR(INDEX(Input!$L$20:$T$1019,INT((ROW()-9)/9)+1,MOD(ROW()-9,9)+1),"")</f>
        <v/>
      </c>
      <c r="C3966" s="9">
        <f t="shared" si="61"/>
        <v>0</v>
      </c>
    </row>
    <row r="3967" spans="1:3" x14ac:dyDescent="0.2">
      <c r="A3967" s="10" t="str">
        <f>IF(3959&gt;$C$9008,"",INDEX($B$9:$B$9008,MATCH(3959,$C$9:$C$9008,0)))</f>
        <v/>
      </c>
      <c r="B3967" s="9" t="str">
        <f>IFERROR(INDEX(Input!$L$20:$T$1019,INT((ROW()-9)/9)+1,MOD(ROW()-9,9)+1),"")</f>
        <v/>
      </c>
      <c r="C3967" s="9">
        <f t="shared" si="61"/>
        <v>0</v>
      </c>
    </row>
    <row r="3968" spans="1:3" x14ac:dyDescent="0.2">
      <c r="A3968" s="10" t="str">
        <f>IF(3960&gt;$C$9008,"",INDEX($B$9:$B$9008,MATCH(3960,$C$9:$C$9008,0)))</f>
        <v/>
      </c>
      <c r="B3968" s="9" t="str">
        <f>IFERROR(INDEX(Input!$L$20:$T$1019,INT((ROW()-9)/9)+1,MOD(ROW()-9,9)+1),"")</f>
        <v/>
      </c>
      <c r="C3968" s="9">
        <f t="shared" si="61"/>
        <v>0</v>
      </c>
    </row>
    <row r="3969" spans="1:3" x14ac:dyDescent="0.2">
      <c r="A3969" s="10" t="str">
        <f>IF(3961&gt;$C$9008,"",INDEX($B$9:$B$9008,MATCH(3961,$C$9:$C$9008,0)))</f>
        <v/>
      </c>
      <c r="B3969" s="9" t="str">
        <f>IFERROR(INDEX(Input!$L$20:$T$1019,INT((ROW()-9)/9)+1,MOD(ROW()-9,9)+1),"")</f>
        <v/>
      </c>
      <c r="C3969" s="9">
        <f t="shared" si="61"/>
        <v>0</v>
      </c>
    </row>
    <row r="3970" spans="1:3" x14ac:dyDescent="0.2">
      <c r="A3970" s="10" t="str">
        <f>IF(3962&gt;$C$9008,"",INDEX($B$9:$B$9008,MATCH(3962,$C$9:$C$9008,0)))</f>
        <v/>
      </c>
      <c r="B3970" s="9" t="str">
        <f>IFERROR(INDEX(Input!$L$20:$T$1019,INT((ROW()-9)/9)+1,MOD(ROW()-9,9)+1),"")</f>
        <v/>
      </c>
      <c r="C3970" s="9">
        <f t="shared" si="61"/>
        <v>0</v>
      </c>
    </row>
    <row r="3971" spans="1:3" x14ac:dyDescent="0.2">
      <c r="A3971" s="10" t="str">
        <f>IF(3963&gt;$C$9008,"",INDEX($B$9:$B$9008,MATCH(3963,$C$9:$C$9008,0)))</f>
        <v/>
      </c>
      <c r="B3971" s="9" t="str">
        <f>IFERROR(INDEX(Input!$L$20:$T$1019,INT((ROW()-9)/9)+1,MOD(ROW()-9,9)+1),"")</f>
        <v/>
      </c>
      <c r="C3971" s="9">
        <f t="shared" si="61"/>
        <v>0</v>
      </c>
    </row>
    <row r="3972" spans="1:3" x14ac:dyDescent="0.2">
      <c r="A3972" s="10" t="str">
        <f>IF(3964&gt;$C$9008,"",INDEX($B$9:$B$9008,MATCH(3964,$C$9:$C$9008,0)))</f>
        <v/>
      </c>
      <c r="B3972" s="9" t="str">
        <f>IFERROR(INDEX(Input!$L$20:$T$1019,INT((ROW()-9)/9)+1,MOD(ROW()-9,9)+1),"")</f>
        <v/>
      </c>
      <c r="C3972" s="9">
        <f t="shared" si="61"/>
        <v>0</v>
      </c>
    </row>
    <row r="3973" spans="1:3" x14ac:dyDescent="0.2">
      <c r="A3973" s="10" t="str">
        <f>IF(3965&gt;$C$9008,"",INDEX($B$9:$B$9008,MATCH(3965,$C$9:$C$9008,0)))</f>
        <v/>
      </c>
      <c r="B3973" s="9" t="str">
        <f>IFERROR(INDEX(Input!$L$20:$T$1019,INT((ROW()-9)/9)+1,MOD(ROW()-9,9)+1),"")</f>
        <v/>
      </c>
      <c r="C3973" s="9">
        <f t="shared" si="61"/>
        <v>0</v>
      </c>
    </row>
    <row r="3974" spans="1:3" x14ac:dyDescent="0.2">
      <c r="A3974" s="10" t="str">
        <f>IF(3966&gt;$C$9008,"",INDEX($B$9:$B$9008,MATCH(3966,$C$9:$C$9008,0)))</f>
        <v/>
      </c>
      <c r="B3974" s="9" t="str">
        <f>IFERROR(INDEX(Input!$L$20:$T$1019,INT((ROW()-9)/9)+1,MOD(ROW()-9,9)+1),"")</f>
        <v/>
      </c>
      <c r="C3974" s="9">
        <f t="shared" si="61"/>
        <v>0</v>
      </c>
    </row>
    <row r="3975" spans="1:3" x14ac:dyDescent="0.2">
      <c r="A3975" s="10" t="str">
        <f>IF(3967&gt;$C$9008,"",INDEX($B$9:$B$9008,MATCH(3967,$C$9:$C$9008,0)))</f>
        <v/>
      </c>
      <c r="B3975" s="9" t="str">
        <f>IFERROR(INDEX(Input!$L$20:$T$1019,INT((ROW()-9)/9)+1,MOD(ROW()-9,9)+1),"")</f>
        <v/>
      </c>
      <c r="C3975" s="9">
        <f t="shared" si="61"/>
        <v>0</v>
      </c>
    </row>
    <row r="3976" spans="1:3" x14ac:dyDescent="0.2">
      <c r="A3976" s="10" t="str">
        <f>IF(3968&gt;$C$9008,"",INDEX($B$9:$B$9008,MATCH(3968,$C$9:$C$9008,0)))</f>
        <v/>
      </c>
      <c r="B3976" s="9" t="str">
        <f>IFERROR(INDEX(Input!$L$20:$T$1019,INT((ROW()-9)/9)+1,MOD(ROW()-9,9)+1),"")</f>
        <v/>
      </c>
      <c r="C3976" s="9">
        <f t="shared" si="61"/>
        <v>0</v>
      </c>
    </row>
    <row r="3977" spans="1:3" x14ac:dyDescent="0.2">
      <c r="A3977" s="10" t="str">
        <f>IF(3969&gt;$C$9008,"",INDEX($B$9:$B$9008,MATCH(3969,$C$9:$C$9008,0)))</f>
        <v/>
      </c>
      <c r="B3977" s="9" t="str">
        <f>IFERROR(INDEX(Input!$L$20:$T$1019,INT((ROW()-9)/9)+1,MOD(ROW()-9,9)+1),"")</f>
        <v/>
      </c>
      <c r="C3977" s="9">
        <f t="shared" ref="C3977:C4040" si="62">$C3976+IF($B3977&lt;&gt;"",1,0)</f>
        <v>0</v>
      </c>
    </row>
    <row r="3978" spans="1:3" x14ac:dyDescent="0.2">
      <c r="A3978" s="10" t="str">
        <f>IF(3970&gt;$C$9008,"",INDEX($B$9:$B$9008,MATCH(3970,$C$9:$C$9008,0)))</f>
        <v/>
      </c>
      <c r="B3978" s="9" t="str">
        <f>IFERROR(INDEX(Input!$L$20:$T$1019,INT((ROW()-9)/9)+1,MOD(ROW()-9,9)+1),"")</f>
        <v/>
      </c>
      <c r="C3978" s="9">
        <f t="shared" si="62"/>
        <v>0</v>
      </c>
    </row>
    <row r="3979" spans="1:3" x14ac:dyDescent="0.2">
      <c r="A3979" s="10" t="str">
        <f>IF(3971&gt;$C$9008,"",INDEX($B$9:$B$9008,MATCH(3971,$C$9:$C$9008,0)))</f>
        <v/>
      </c>
      <c r="B3979" s="9" t="str">
        <f>IFERROR(INDEX(Input!$L$20:$T$1019,INT((ROW()-9)/9)+1,MOD(ROW()-9,9)+1),"")</f>
        <v/>
      </c>
      <c r="C3979" s="9">
        <f t="shared" si="62"/>
        <v>0</v>
      </c>
    </row>
    <row r="3980" spans="1:3" x14ac:dyDescent="0.2">
      <c r="A3980" s="10" t="str">
        <f>IF(3972&gt;$C$9008,"",INDEX($B$9:$B$9008,MATCH(3972,$C$9:$C$9008,0)))</f>
        <v/>
      </c>
      <c r="B3980" s="9" t="str">
        <f>IFERROR(INDEX(Input!$L$20:$T$1019,INT((ROW()-9)/9)+1,MOD(ROW()-9,9)+1),"")</f>
        <v/>
      </c>
      <c r="C3980" s="9">
        <f t="shared" si="62"/>
        <v>0</v>
      </c>
    </row>
    <row r="3981" spans="1:3" x14ac:dyDescent="0.2">
      <c r="A3981" s="10" t="str">
        <f>IF(3973&gt;$C$9008,"",INDEX($B$9:$B$9008,MATCH(3973,$C$9:$C$9008,0)))</f>
        <v/>
      </c>
      <c r="B3981" s="9" t="str">
        <f>IFERROR(INDEX(Input!$L$20:$T$1019,INT((ROW()-9)/9)+1,MOD(ROW()-9,9)+1),"")</f>
        <v/>
      </c>
      <c r="C3981" s="9">
        <f t="shared" si="62"/>
        <v>0</v>
      </c>
    </row>
    <row r="3982" spans="1:3" x14ac:dyDescent="0.2">
      <c r="A3982" s="10" t="str">
        <f>IF(3974&gt;$C$9008,"",INDEX($B$9:$B$9008,MATCH(3974,$C$9:$C$9008,0)))</f>
        <v/>
      </c>
      <c r="B3982" s="9" t="str">
        <f>IFERROR(INDEX(Input!$L$20:$T$1019,INT((ROW()-9)/9)+1,MOD(ROW()-9,9)+1),"")</f>
        <v/>
      </c>
      <c r="C3982" s="9">
        <f t="shared" si="62"/>
        <v>0</v>
      </c>
    </row>
    <row r="3983" spans="1:3" x14ac:dyDescent="0.2">
      <c r="A3983" s="10" t="str">
        <f>IF(3975&gt;$C$9008,"",INDEX($B$9:$B$9008,MATCH(3975,$C$9:$C$9008,0)))</f>
        <v/>
      </c>
      <c r="B3983" s="9" t="str">
        <f>IFERROR(INDEX(Input!$L$20:$T$1019,INT((ROW()-9)/9)+1,MOD(ROW()-9,9)+1),"")</f>
        <v/>
      </c>
      <c r="C3983" s="9">
        <f t="shared" si="62"/>
        <v>0</v>
      </c>
    </row>
    <row r="3984" spans="1:3" x14ac:dyDescent="0.2">
      <c r="A3984" s="10" t="str">
        <f>IF(3976&gt;$C$9008,"",INDEX($B$9:$B$9008,MATCH(3976,$C$9:$C$9008,0)))</f>
        <v/>
      </c>
      <c r="B3984" s="9" t="str">
        <f>IFERROR(INDEX(Input!$L$20:$T$1019,INT((ROW()-9)/9)+1,MOD(ROW()-9,9)+1),"")</f>
        <v/>
      </c>
      <c r="C3984" s="9">
        <f t="shared" si="62"/>
        <v>0</v>
      </c>
    </row>
    <row r="3985" spans="1:3" x14ac:dyDescent="0.2">
      <c r="A3985" s="10" t="str">
        <f>IF(3977&gt;$C$9008,"",INDEX($B$9:$B$9008,MATCH(3977,$C$9:$C$9008,0)))</f>
        <v/>
      </c>
      <c r="B3985" s="9" t="str">
        <f>IFERROR(INDEX(Input!$L$20:$T$1019,INT((ROW()-9)/9)+1,MOD(ROW()-9,9)+1),"")</f>
        <v/>
      </c>
      <c r="C3985" s="9">
        <f t="shared" si="62"/>
        <v>0</v>
      </c>
    </row>
    <row r="3986" spans="1:3" x14ac:dyDescent="0.2">
      <c r="A3986" s="10" t="str">
        <f>IF(3978&gt;$C$9008,"",INDEX($B$9:$B$9008,MATCH(3978,$C$9:$C$9008,0)))</f>
        <v/>
      </c>
      <c r="B3986" s="9" t="str">
        <f>IFERROR(INDEX(Input!$L$20:$T$1019,INT((ROW()-9)/9)+1,MOD(ROW()-9,9)+1),"")</f>
        <v/>
      </c>
      <c r="C3986" s="9">
        <f t="shared" si="62"/>
        <v>0</v>
      </c>
    </row>
    <row r="3987" spans="1:3" x14ac:dyDescent="0.2">
      <c r="A3987" s="10" t="str">
        <f>IF(3979&gt;$C$9008,"",INDEX($B$9:$B$9008,MATCH(3979,$C$9:$C$9008,0)))</f>
        <v/>
      </c>
      <c r="B3987" s="9" t="str">
        <f>IFERROR(INDEX(Input!$L$20:$T$1019,INT((ROW()-9)/9)+1,MOD(ROW()-9,9)+1),"")</f>
        <v/>
      </c>
      <c r="C3987" s="9">
        <f t="shared" si="62"/>
        <v>0</v>
      </c>
    </row>
    <row r="3988" spans="1:3" x14ac:dyDescent="0.2">
      <c r="A3988" s="10" t="str">
        <f>IF(3980&gt;$C$9008,"",INDEX($B$9:$B$9008,MATCH(3980,$C$9:$C$9008,0)))</f>
        <v/>
      </c>
      <c r="B3988" s="9" t="str">
        <f>IFERROR(INDEX(Input!$L$20:$T$1019,INT((ROW()-9)/9)+1,MOD(ROW()-9,9)+1),"")</f>
        <v/>
      </c>
      <c r="C3988" s="9">
        <f t="shared" si="62"/>
        <v>0</v>
      </c>
    </row>
    <row r="3989" spans="1:3" x14ac:dyDescent="0.2">
      <c r="A3989" s="10" t="str">
        <f>IF(3981&gt;$C$9008,"",INDEX($B$9:$B$9008,MATCH(3981,$C$9:$C$9008,0)))</f>
        <v/>
      </c>
      <c r="B3989" s="9" t="str">
        <f>IFERROR(INDEX(Input!$L$20:$T$1019,INT((ROW()-9)/9)+1,MOD(ROW()-9,9)+1),"")</f>
        <v/>
      </c>
      <c r="C3989" s="9">
        <f t="shared" si="62"/>
        <v>0</v>
      </c>
    </row>
    <row r="3990" spans="1:3" x14ac:dyDescent="0.2">
      <c r="A3990" s="10" t="str">
        <f>IF(3982&gt;$C$9008,"",INDEX($B$9:$B$9008,MATCH(3982,$C$9:$C$9008,0)))</f>
        <v/>
      </c>
      <c r="B3990" s="9" t="str">
        <f>IFERROR(INDEX(Input!$L$20:$T$1019,INT((ROW()-9)/9)+1,MOD(ROW()-9,9)+1),"")</f>
        <v/>
      </c>
      <c r="C3990" s="9">
        <f t="shared" si="62"/>
        <v>0</v>
      </c>
    </row>
    <row r="3991" spans="1:3" x14ac:dyDescent="0.2">
      <c r="A3991" s="10" t="str">
        <f>IF(3983&gt;$C$9008,"",INDEX($B$9:$B$9008,MATCH(3983,$C$9:$C$9008,0)))</f>
        <v/>
      </c>
      <c r="B3991" s="9" t="str">
        <f>IFERROR(INDEX(Input!$L$20:$T$1019,INT((ROW()-9)/9)+1,MOD(ROW()-9,9)+1),"")</f>
        <v/>
      </c>
      <c r="C3991" s="9">
        <f t="shared" si="62"/>
        <v>0</v>
      </c>
    </row>
    <row r="3992" spans="1:3" x14ac:dyDescent="0.2">
      <c r="A3992" s="10" t="str">
        <f>IF(3984&gt;$C$9008,"",INDEX($B$9:$B$9008,MATCH(3984,$C$9:$C$9008,0)))</f>
        <v/>
      </c>
      <c r="B3992" s="9" t="str">
        <f>IFERROR(INDEX(Input!$L$20:$T$1019,INT((ROW()-9)/9)+1,MOD(ROW()-9,9)+1),"")</f>
        <v/>
      </c>
      <c r="C3992" s="9">
        <f t="shared" si="62"/>
        <v>0</v>
      </c>
    </row>
    <row r="3993" spans="1:3" x14ac:dyDescent="0.2">
      <c r="A3993" s="10" t="str">
        <f>IF(3985&gt;$C$9008,"",INDEX($B$9:$B$9008,MATCH(3985,$C$9:$C$9008,0)))</f>
        <v/>
      </c>
      <c r="B3993" s="9" t="str">
        <f>IFERROR(INDEX(Input!$L$20:$T$1019,INT((ROW()-9)/9)+1,MOD(ROW()-9,9)+1),"")</f>
        <v/>
      </c>
      <c r="C3993" s="9">
        <f t="shared" si="62"/>
        <v>0</v>
      </c>
    </row>
    <row r="3994" spans="1:3" x14ac:dyDescent="0.2">
      <c r="A3994" s="10" t="str">
        <f>IF(3986&gt;$C$9008,"",INDEX($B$9:$B$9008,MATCH(3986,$C$9:$C$9008,0)))</f>
        <v/>
      </c>
      <c r="B3994" s="9" t="str">
        <f>IFERROR(INDEX(Input!$L$20:$T$1019,INT((ROW()-9)/9)+1,MOD(ROW()-9,9)+1),"")</f>
        <v/>
      </c>
      <c r="C3994" s="9">
        <f t="shared" si="62"/>
        <v>0</v>
      </c>
    </row>
    <row r="3995" spans="1:3" x14ac:dyDescent="0.2">
      <c r="A3995" s="10" t="str">
        <f>IF(3987&gt;$C$9008,"",INDEX($B$9:$B$9008,MATCH(3987,$C$9:$C$9008,0)))</f>
        <v/>
      </c>
      <c r="B3995" s="9" t="str">
        <f>IFERROR(INDEX(Input!$L$20:$T$1019,INT((ROW()-9)/9)+1,MOD(ROW()-9,9)+1),"")</f>
        <v/>
      </c>
      <c r="C3995" s="9">
        <f t="shared" si="62"/>
        <v>0</v>
      </c>
    </row>
    <row r="3996" spans="1:3" x14ac:dyDescent="0.2">
      <c r="A3996" s="10" t="str">
        <f>IF(3988&gt;$C$9008,"",INDEX($B$9:$B$9008,MATCH(3988,$C$9:$C$9008,0)))</f>
        <v/>
      </c>
      <c r="B3996" s="9" t="str">
        <f>IFERROR(INDEX(Input!$L$20:$T$1019,INT((ROW()-9)/9)+1,MOD(ROW()-9,9)+1),"")</f>
        <v/>
      </c>
      <c r="C3996" s="9">
        <f t="shared" si="62"/>
        <v>0</v>
      </c>
    </row>
    <row r="3997" spans="1:3" x14ac:dyDescent="0.2">
      <c r="A3997" s="10" t="str">
        <f>IF(3989&gt;$C$9008,"",INDEX($B$9:$B$9008,MATCH(3989,$C$9:$C$9008,0)))</f>
        <v/>
      </c>
      <c r="B3997" s="9" t="str">
        <f>IFERROR(INDEX(Input!$L$20:$T$1019,INT((ROW()-9)/9)+1,MOD(ROW()-9,9)+1),"")</f>
        <v/>
      </c>
      <c r="C3997" s="9">
        <f t="shared" si="62"/>
        <v>0</v>
      </c>
    </row>
    <row r="3998" spans="1:3" x14ac:dyDescent="0.2">
      <c r="A3998" s="10" t="str">
        <f>IF(3990&gt;$C$9008,"",INDEX($B$9:$B$9008,MATCH(3990,$C$9:$C$9008,0)))</f>
        <v/>
      </c>
      <c r="B3998" s="9" t="str">
        <f>IFERROR(INDEX(Input!$L$20:$T$1019,INT((ROW()-9)/9)+1,MOD(ROW()-9,9)+1),"")</f>
        <v/>
      </c>
      <c r="C3998" s="9">
        <f t="shared" si="62"/>
        <v>0</v>
      </c>
    </row>
    <row r="3999" spans="1:3" x14ac:dyDescent="0.2">
      <c r="A3999" s="10" t="str">
        <f>IF(3991&gt;$C$9008,"",INDEX($B$9:$B$9008,MATCH(3991,$C$9:$C$9008,0)))</f>
        <v/>
      </c>
      <c r="B3999" s="9" t="str">
        <f>IFERROR(INDEX(Input!$L$20:$T$1019,INT((ROW()-9)/9)+1,MOD(ROW()-9,9)+1),"")</f>
        <v/>
      </c>
      <c r="C3999" s="9">
        <f t="shared" si="62"/>
        <v>0</v>
      </c>
    </row>
    <row r="4000" spans="1:3" x14ac:dyDescent="0.2">
      <c r="A4000" s="10" t="str">
        <f>IF(3992&gt;$C$9008,"",INDEX($B$9:$B$9008,MATCH(3992,$C$9:$C$9008,0)))</f>
        <v/>
      </c>
      <c r="B4000" s="9" t="str">
        <f>IFERROR(INDEX(Input!$L$20:$T$1019,INT((ROW()-9)/9)+1,MOD(ROW()-9,9)+1),"")</f>
        <v/>
      </c>
      <c r="C4000" s="9">
        <f t="shared" si="62"/>
        <v>0</v>
      </c>
    </row>
    <row r="4001" spans="1:3" x14ac:dyDescent="0.2">
      <c r="A4001" s="10" t="str">
        <f>IF(3993&gt;$C$9008,"",INDEX($B$9:$B$9008,MATCH(3993,$C$9:$C$9008,0)))</f>
        <v/>
      </c>
      <c r="B4001" s="9" t="str">
        <f>IFERROR(INDEX(Input!$L$20:$T$1019,INT((ROW()-9)/9)+1,MOD(ROW()-9,9)+1),"")</f>
        <v/>
      </c>
      <c r="C4001" s="9">
        <f t="shared" si="62"/>
        <v>0</v>
      </c>
    </row>
    <row r="4002" spans="1:3" x14ac:dyDescent="0.2">
      <c r="A4002" s="10" t="str">
        <f>IF(3994&gt;$C$9008,"",INDEX($B$9:$B$9008,MATCH(3994,$C$9:$C$9008,0)))</f>
        <v/>
      </c>
      <c r="B4002" s="9" t="str">
        <f>IFERROR(INDEX(Input!$L$20:$T$1019,INT((ROW()-9)/9)+1,MOD(ROW()-9,9)+1),"")</f>
        <v/>
      </c>
      <c r="C4002" s="9">
        <f t="shared" si="62"/>
        <v>0</v>
      </c>
    </row>
    <row r="4003" spans="1:3" x14ac:dyDescent="0.2">
      <c r="A4003" s="10" t="str">
        <f>IF(3995&gt;$C$9008,"",INDEX($B$9:$B$9008,MATCH(3995,$C$9:$C$9008,0)))</f>
        <v/>
      </c>
      <c r="B4003" s="9" t="str">
        <f>IFERROR(INDEX(Input!$L$20:$T$1019,INT((ROW()-9)/9)+1,MOD(ROW()-9,9)+1),"")</f>
        <v/>
      </c>
      <c r="C4003" s="9">
        <f t="shared" si="62"/>
        <v>0</v>
      </c>
    </row>
    <row r="4004" spans="1:3" x14ac:dyDescent="0.2">
      <c r="A4004" s="10" t="str">
        <f>IF(3996&gt;$C$9008,"",INDEX($B$9:$B$9008,MATCH(3996,$C$9:$C$9008,0)))</f>
        <v/>
      </c>
      <c r="B4004" s="9" t="str">
        <f>IFERROR(INDEX(Input!$L$20:$T$1019,INT((ROW()-9)/9)+1,MOD(ROW()-9,9)+1),"")</f>
        <v/>
      </c>
      <c r="C4004" s="9">
        <f t="shared" si="62"/>
        <v>0</v>
      </c>
    </row>
    <row r="4005" spans="1:3" x14ac:dyDescent="0.2">
      <c r="A4005" s="10" t="str">
        <f>IF(3997&gt;$C$9008,"",INDEX($B$9:$B$9008,MATCH(3997,$C$9:$C$9008,0)))</f>
        <v/>
      </c>
      <c r="B4005" s="9" t="str">
        <f>IFERROR(INDEX(Input!$L$20:$T$1019,INT((ROW()-9)/9)+1,MOD(ROW()-9,9)+1),"")</f>
        <v/>
      </c>
      <c r="C4005" s="9">
        <f t="shared" si="62"/>
        <v>0</v>
      </c>
    </row>
    <row r="4006" spans="1:3" x14ac:dyDescent="0.2">
      <c r="A4006" s="10" t="str">
        <f>IF(3998&gt;$C$9008,"",INDEX($B$9:$B$9008,MATCH(3998,$C$9:$C$9008,0)))</f>
        <v/>
      </c>
      <c r="B4006" s="9" t="str">
        <f>IFERROR(INDEX(Input!$L$20:$T$1019,INT((ROW()-9)/9)+1,MOD(ROW()-9,9)+1),"")</f>
        <v/>
      </c>
      <c r="C4006" s="9">
        <f t="shared" si="62"/>
        <v>0</v>
      </c>
    </row>
    <row r="4007" spans="1:3" x14ac:dyDescent="0.2">
      <c r="A4007" s="10" t="str">
        <f>IF(3999&gt;$C$9008,"",INDEX($B$9:$B$9008,MATCH(3999,$C$9:$C$9008,0)))</f>
        <v/>
      </c>
      <c r="B4007" s="9" t="str">
        <f>IFERROR(INDEX(Input!$L$20:$T$1019,INT((ROW()-9)/9)+1,MOD(ROW()-9,9)+1),"")</f>
        <v/>
      </c>
      <c r="C4007" s="9">
        <f t="shared" si="62"/>
        <v>0</v>
      </c>
    </row>
    <row r="4008" spans="1:3" x14ac:dyDescent="0.2">
      <c r="A4008" s="10" t="str">
        <f>IF(4000&gt;$C$9008,"",INDEX($B$9:$B$9008,MATCH(4000,$C$9:$C$9008,0)))</f>
        <v/>
      </c>
      <c r="B4008" s="9" t="str">
        <f>IFERROR(INDEX(Input!$L$20:$T$1019,INT((ROW()-9)/9)+1,MOD(ROW()-9,9)+1),"")</f>
        <v/>
      </c>
      <c r="C4008" s="9">
        <f t="shared" si="62"/>
        <v>0</v>
      </c>
    </row>
    <row r="4009" spans="1:3" x14ac:dyDescent="0.2">
      <c r="A4009" s="10" t="str">
        <f>IF(4001&gt;$C$9008,"",INDEX($B$9:$B$9008,MATCH(4001,$C$9:$C$9008,0)))</f>
        <v/>
      </c>
      <c r="B4009" s="9" t="str">
        <f>IFERROR(INDEX(Input!$L$20:$T$1019,INT((ROW()-9)/9)+1,MOD(ROW()-9,9)+1),"")</f>
        <v/>
      </c>
      <c r="C4009" s="9">
        <f t="shared" si="62"/>
        <v>0</v>
      </c>
    </row>
    <row r="4010" spans="1:3" x14ac:dyDescent="0.2">
      <c r="A4010" s="10" t="str">
        <f>IF(4002&gt;$C$9008,"",INDEX($B$9:$B$9008,MATCH(4002,$C$9:$C$9008,0)))</f>
        <v/>
      </c>
      <c r="B4010" s="9" t="str">
        <f>IFERROR(INDEX(Input!$L$20:$T$1019,INT((ROW()-9)/9)+1,MOD(ROW()-9,9)+1),"")</f>
        <v/>
      </c>
      <c r="C4010" s="9">
        <f t="shared" si="62"/>
        <v>0</v>
      </c>
    </row>
    <row r="4011" spans="1:3" x14ac:dyDescent="0.2">
      <c r="A4011" s="10" t="str">
        <f>IF(4003&gt;$C$9008,"",INDEX($B$9:$B$9008,MATCH(4003,$C$9:$C$9008,0)))</f>
        <v/>
      </c>
      <c r="B4011" s="9" t="str">
        <f>IFERROR(INDEX(Input!$L$20:$T$1019,INT((ROW()-9)/9)+1,MOD(ROW()-9,9)+1),"")</f>
        <v/>
      </c>
      <c r="C4011" s="9">
        <f t="shared" si="62"/>
        <v>0</v>
      </c>
    </row>
    <row r="4012" spans="1:3" x14ac:dyDescent="0.2">
      <c r="A4012" s="10" t="str">
        <f>IF(4004&gt;$C$9008,"",INDEX($B$9:$B$9008,MATCH(4004,$C$9:$C$9008,0)))</f>
        <v/>
      </c>
      <c r="B4012" s="9" t="str">
        <f>IFERROR(INDEX(Input!$L$20:$T$1019,INT((ROW()-9)/9)+1,MOD(ROW()-9,9)+1),"")</f>
        <v/>
      </c>
      <c r="C4012" s="9">
        <f t="shared" si="62"/>
        <v>0</v>
      </c>
    </row>
    <row r="4013" spans="1:3" x14ac:dyDescent="0.2">
      <c r="A4013" s="10" t="str">
        <f>IF(4005&gt;$C$9008,"",INDEX($B$9:$B$9008,MATCH(4005,$C$9:$C$9008,0)))</f>
        <v/>
      </c>
      <c r="B4013" s="9" t="str">
        <f>IFERROR(INDEX(Input!$L$20:$T$1019,INT((ROW()-9)/9)+1,MOD(ROW()-9,9)+1),"")</f>
        <v/>
      </c>
      <c r="C4013" s="9">
        <f t="shared" si="62"/>
        <v>0</v>
      </c>
    </row>
    <row r="4014" spans="1:3" x14ac:dyDescent="0.2">
      <c r="A4014" s="10" t="str">
        <f>IF(4006&gt;$C$9008,"",INDEX($B$9:$B$9008,MATCH(4006,$C$9:$C$9008,0)))</f>
        <v/>
      </c>
      <c r="B4014" s="9" t="str">
        <f>IFERROR(INDEX(Input!$L$20:$T$1019,INT((ROW()-9)/9)+1,MOD(ROW()-9,9)+1),"")</f>
        <v/>
      </c>
      <c r="C4014" s="9">
        <f t="shared" si="62"/>
        <v>0</v>
      </c>
    </row>
    <row r="4015" spans="1:3" x14ac:dyDescent="0.2">
      <c r="A4015" s="10" t="str">
        <f>IF(4007&gt;$C$9008,"",INDEX($B$9:$B$9008,MATCH(4007,$C$9:$C$9008,0)))</f>
        <v/>
      </c>
      <c r="B4015" s="9" t="str">
        <f>IFERROR(INDEX(Input!$L$20:$T$1019,INT((ROW()-9)/9)+1,MOD(ROW()-9,9)+1),"")</f>
        <v/>
      </c>
      <c r="C4015" s="9">
        <f t="shared" si="62"/>
        <v>0</v>
      </c>
    </row>
    <row r="4016" spans="1:3" x14ac:dyDescent="0.2">
      <c r="A4016" s="10" t="str">
        <f>IF(4008&gt;$C$9008,"",INDEX($B$9:$B$9008,MATCH(4008,$C$9:$C$9008,0)))</f>
        <v/>
      </c>
      <c r="B4016" s="9" t="str">
        <f>IFERROR(INDEX(Input!$L$20:$T$1019,INT((ROW()-9)/9)+1,MOD(ROW()-9,9)+1),"")</f>
        <v/>
      </c>
      <c r="C4016" s="9">
        <f t="shared" si="62"/>
        <v>0</v>
      </c>
    </row>
    <row r="4017" spans="1:3" x14ac:dyDescent="0.2">
      <c r="A4017" s="10" t="str">
        <f>IF(4009&gt;$C$9008,"",INDEX($B$9:$B$9008,MATCH(4009,$C$9:$C$9008,0)))</f>
        <v/>
      </c>
      <c r="B4017" s="9" t="str">
        <f>IFERROR(INDEX(Input!$L$20:$T$1019,INT((ROW()-9)/9)+1,MOD(ROW()-9,9)+1),"")</f>
        <v/>
      </c>
      <c r="C4017" s="9">
        <f t="shared" si="62"/>
        <v>0</v>
      </c>
    </row>
    <row r="4018" spans="1:3" x14ac:dyDescent="0.2">
      <c r="A4018" s="10" t="str">
        <f>IF(4010&gt;$C$9008,"",INDEX($B$9:$B$9008,MATCH(4010,$C$9:$C$9008,0)))</f>
        <v/>
      </c>
      <c r="B4018" s="9" t="str">
        <f>IFERROR(INDEX(Input!$L$20:$T$1019,INT((ROW()-9)/9)+1,MOD(ROW()-9,9)+1),"")</f>
        <v/>
      </c>
      <c r="C4018" s="9">
        <f t="shared" si="62"/>
        <v>0</v>
      </c>
    </row>
    <row r="4019" spans="1:3" x14ac:dyDescent="0.2">
      <c r="A4019" s="10" t="str">
        <f>IF(4011&gt;$C$9008,"",INDEX($B$9:$B$9008,MATCH(4011,$C$9:$C$9008,0)))</f>
        <v/>
      </c>
      <c r="B4019" s="9" t="str">
        <f>IFERROR(INDEX(Input!$L$20:$T$1019,INT((ROW()-9)/9)+1,MOD(ROW()-9,9)+1),"")</f>
        <v/>
      </c>
      <c r="C4019" s="9">
        <f t="shared" si="62"/>
        <v>0</v>
      </c>
    </row>
    <row r="4020" spans="1:3" x14ac:dyDescent="0.2">
      <c r="A4020" s="10" t="str">
        <f>IF(4012&gt;$C$9008,"",INDEX($B$9:$B$9008,MATCH(4012,$C$9:$C$9008,0)))</f>
        <v/>
      </c>
      <c r="B4020" s="9" t="str">
        <f>IFERROR(INDEX(Input!$L$20:$T$1019,INT((ROW()-9)/9)+1,MOD(ROW()-9,9)+1),"")</f>
        <v/>
      </c>
      <c r="C4020" s="9">
        <f t="shared" si="62"/>
        <v>0</v>
      </c>
    </row>
    <row r="4021" spans="1:3" x14ac:dyDescent="0.2">
      <c r="A4021" s="10" t="str">
        <f>IF(4013&gt;$C$9008,"",INDEX($B$9:$B$9008,MATCH(4013,$C$9:$C$9008,0)))</f>
        <v/>
      </c>
      <c r="B4021" s="9" t="str">
        <f>IFERROR(INDEX(Input!$L$20:$T$1019,INT((ROW()-9)/9)+1,MOD(ROW()-9,9)+1),"")</f>
        <v/>
      </c>
      <c r="C4021" s="9">
        <f t="shared" si="62"/>
        <v>0</v>
      </c>
    </row>
    <row r="4022" spans="1:3" x14ac:dyDescent="0.2">
      <c r="A4022" s="10" t="str">
        <f>IF(4014&gt;$C$9008,"",INDEX($B$9:$B$9008,MATCH(4014,$C$9:$C$9008,0)))</f>
        <v/>
      </c>
      <c r="B4022" s="9" t="str">
        <f>IFERROR(INDEX(Input!$L$20:$T$1019,INT((ROW()-9)/9)+1,MOD(ROW()-9,9)+1),"")</f>
        <v/>
      </c>
      <c r="C4022" s="9">
        <f t="shared" si="62"/>
        <v>0</v>
      </c>
    </row>
    <row r="4023" spans="1:3" x14ac:dyDescent="0.2">
      <c r="A4023" s="10" t="str">
        <f>IF(4015&gt;$C$9008,"",INDEX($B$9:$B$9008,MATCH(4015,$C$9:$C$9008,0)))</f>
        <v/>
      </c>
      <c r="B4023" s="9" t="str">
        <f>IFERROR(INDEX(Input!$L$20:$T$1019,INT((ROW()-9)/9)+1,MOD(ROW()-9,9)+1),"")</f>
        <v/>
      </c>
      <c r="C4023" s="9">
        <f t="shared" si="62"/>
        <v>0</v>
      </c>
    </row>
    <row r="4024" spans="1:3" x14ac:dyDescent="0.2">
      <c r="A4024" s="10" t="str">
        <f>IF(4016&gt;$C$9008,"",INDEX($B$9:$B$9008,MATCH(4016,$C$9:$C$9008,0)))</f>
        <v/>
      </c>
      <c r="B4024" s="9" t="str">
        <f>IFERROR(INDEX(Input!$L$20:$T$1019,INT((ROW()-9)/9)+1,MOD(ROW()-9,9)+1),"")</f>
        <v/>
      </c>
      <c r="C4024" s="9">
        <f t="shared" si="62"/>
        <v>0</v>
      </c>
    </row>
    <row r="4025" spans="1:3" x14ac:dyDescent="0.2">
      <c r="A4025" s="10" t="str">
        <f>IF(4017&gt;$C$9008,"",INDEX($B$9:$B$9008,MATCH(4017,$C$9:$C$9008,0)))</f>
        <v/>
      </c>
      <c r="B4025" s="9" t="str">
        <f>IFERROR(INDEX(Input!$L$20:$T$1019,INT((ROW()-9)/9)+1,MOD(ROW()-9,9)+1),"")</f>
        <v/>
      </c>
      <c r="C4025" s="9">
        <f t="shared" si="62"/>
        <v>0</v>
      </c>
    </row>
    <row r="4026" spans="1:3" x14ac:dyDescent="0.2">
      <c r="A4026" s="10" t="str">
        <f>IF(4018&gt;$C$9008,"",INDEX($B$9:$B$9008,MATCH(4018,$C$9:$C$9008,0)))</f>
        <v/>
      </c>
      <c r="B4026" s="9" t="str">
        <f>IFERROR(INDEX(Input!$L$20:$T$1019,INT((ROW()-9)/9)+1,MOD(ROW()-9,9)+1),"")</f>
        <v/>
      </c>
      <c r="C4026" s="9">
        <f t="shared" si="62"/>
        <v>0</v>
      </c>
    </row>
    <row r="4027" spans="1:3" x14ac:dyDescent="0.2">
      <c r="A4027" s="10" t="str">
        <f>IF(4019&gt;$C$9008,"",INDEX($B$9:$B$9008,MATCH(4019,$C$9:$C$9008,0)))</f>
        <v/>
      </c>
      <c r="B4027" s="9" t="str">
        <f>IFERROR(INDEX(Input!$L$20:$T$1019,INT((ROW()-9)/9)+1,MOD(ROW()-9,9)+1),"")</f>
        <v/>
      </c>
      <c r="C4027" s="9">
        <f t="shared" si="62"/>
        <v>0</v>
      </c>
    </row>
    <row r="4028" spans="1:3" x14ac:dyDescent="0.2">
      <c r="A4028" s="10" t="str">
        <f>IF(4020&gt;$C$9008,"",INDEX($B$9:$B$9008,MATCH(4020,$C$9:$C$9008,0)))</f>
        <v/>
      </c>
      <c r="B4028" s="9" t="str">
        <f>IFERROR(INDEX(Input!$L$20:$T$1019,INT((ROW()-9)/9)+1,MOD(ROW()-9,9)+1),"")</f>
        <v/>
      </c>
      <c r="C4028" s="9">
        <f t="shared" si="62"/>
        <v>0</v>
      </c>
    </row>
    <row r="4029" spans="1:3" x14ac:dyDescent="0.2">
      <c r="A4029" s="10" t="str">
        <f>IF(4021&gt;$C$9008,"",INDEX($B$9:$B$9008,MATCH(4021,$C$9:$C$9008,0)))</f>
        <v/>
      </c>
      <c r="B4029" s="9" t="str">
        <f>IFERROR(INDEX(Input!$L$20:$T$1019,INT((ROW()-9)/9)+1,MOD(ROW()-9,9)+1),"")</f>
        <v/>
      </c>
      <c r="C4029" s="9">
        <f t="shared" si="62"/>
        <v>0</v>
      </c>
    </row>
    <row r="4030" spans="1:3" x14ac:dyDescent="0.2">
      <c r="A4030" s="10" t="str">
        <f>IF(4022&gt;$C$9008,"",INDEX($B$9:$B$9008,MATCH(4022,$C$9:$C$9008,0)))</f>
        <v/>
      </c>
      <c r="B4030" s="9" t="str">
        <f>IFERROR(INDEX(Input!$L$20:$T$1019,INT((ROW()-9)/9)+1,MOD(ROW()-9,9)+1),"")</f>
        <v/>
      </c>
      <c r="C4030" s="9">
        <f t="shared" si="62"/>
        <v>0</v>
      </c>
    </row>
    <row r="4031" spans="1:3" x14ac:dyDescent="0.2">
      <c r="A4031" s="10" t="str">
        <f>IF(4023&gt;$C$9008,"",INDEX($B$9:$B$9008,MATCH(4023,$C$9:$C$9008,0)))</f>
        <v/>
      </c>
      <c r="B4031" s="9" t="str">
        <f>IFERROR(INDEX(Input!$L$20:$T$1019,INT((ROW()-9)/9)+1,MOD(ROW()-9,9)+1),"")</f>
        <v/>
      </c>
      <c r="C4031" s="9">
        <f t="shared" si="62"/>
        <v>0</v>
      </c>
    </row>
    <row r="4032" spans="1:3" x14ac:dyDescent="0.2">
      <c r="A4032" s="10" t="str">
        <f>IF(4024&gt;$C$9008,"",INDEX($B$9:$B$9008,MATCH(4024,$C$9:$C$9008,0)))</f>
        <v/>
      </c>
      <c r="B4032" s="9" t="str">
        <f>IFERROR(INDEX(Input!$L$20:$T$1019,INT((ROW()-9)/9)+1,MOD(ROW()-9,9)+1),"")</f>
        <v/>
      </c>
      <c r="C4032" s="9">
        <f t="shared" si="62"/>
        <v>0</v>
      </c>
    </row>
    <row r="4033" spans="1:3" x14ac:dyDescent="0.2">
      <c r="A4033" s="10" t="str">
        <f>IF(4025&gt;$C$9008,"",INDEX($B$9:$B$9008,MATCH(4025,$C$9:$C$9008,0)))</f>
        <v/>
      </c>
      <c r="B4033" s="9" t="str">
        <f>IFERROR(INDEX(Input!$L$20:$T$1019,INT((ROW()-9)/9)+1,MOD(ROW()-9,9)+1),"")</f>
        <v/>
      </c>
      <c r="C4033" s="9">
        <f t="shared" si="62"/>
        <v>0</v>
      </c>
    </row>
    <row r="4034" spans="1:3" x14ac:dyDescent="0.2">
      <c r="A4034" s="10" t="str">
        <f>IF(4026&gt;$C$9008,"",INDEX($B$9:$B$9008,MATCH(4026,$C$9:$C$9008,0)))</f>
        <v/>
      </c>
      <c r="B4034" s="9" t="str">
        <f>IFERROR(INDEX(Input!$L$20:$T$1019,INT((ROW()-9)/9)+1,MOD(ROW()-9,9)+1),"")</f>
        <v/>
      </c>
      <c r="C4034" s="9">
        <f t="shared" si="62"/>
        <v>0</v>
      </c>
    </row>
    <row r="4035" spans="1:3" x14ac:dyDescent="0.2">
      <c r="A4035" s="10" t="str">
        <f>IF(4027&gt;$C$9008,"",INDEX($B$9:$B$9008,MATCH(4027,$C$9:$C$9008,0)))</f>
        <v/>
      </c>
      <c r="B4035" s="9" t="str">
        <f>IFERROR(INDEX(Input!$L$20:$T$1019,INT((ROW()-9)/9)+1,MOD(ROW()-9,9)+1),"")</f>
        <v/>
      </c>
      <c r="C4035" s="9">
        <f t="shared" si="62"/>
        <v>0</v>
      </c>
    </row>
    <row r="4036" spans="1:3" x14ac:dyDescent="0.2">
      <c r="A4036" s="10" t="str">
        <f>IF(4028&gt;$C$9008,"",INDEX($B$9:$B$9008,MATCH(4028,$C$9:$C$9008,0)))</f>
        <v/>
      </c>
      <c r="B4036" s="9" t="str">
        <f>IFERROR(INDEX(Input!$L$20:$T$1019,INT((ROW()-9)/9)+1,MOD(ROW()-9,9)+1),"")</f>
        <v/>
      </c>
      <c r="C4036" s="9">
        <f t="shared" si="62"/>
        <v>0</v>
      </c>
    </row>
    <row r="4037" spans="1:3" x14ac:dyDescent="0.2">
      <c r="A4037" s="10" t="str">
        <f>IF(4029&gt;$C$9008,"",INDEX($B$9:$B$9008,MATCH(4029,$C$9:$C$9008,0)))</f>
        <v/>
      </c>
      <c r="B4037" s="9" t="str">
        <f>IFERROR(INDEX(Input!$L$20:$T$1019,INT((ROW()-9)/9)+1,MOD(ROW()-9,9)+1),"")</f>
        <v/>
      </c>
      <c r="C4037" s="9">
        <f t="shared" si="62"/>
        <v>0</v>
      </c>
    </row>
    <row r="4038" spans="1:3" x14ac:dyDescent="0.2">
      <c r="A4038" s="10" t="str">
        <f>IF(4030&gt;$C$9008,"",INDEX($B$9:$B$9008,MATCH(4030,$C$9:$C$9008,0)))</f>
        <v/>
      </c>
      <c r="B4038" s="9" t="str">
        <f>IFERROR(INDEX(Input!$L$20:$T$1019,INT((ROW()-9)/9)+1,MOD(ROW()-9,9)+1),"")</f>
        <v/>
      </c>
      <c r="C4038" s="9">
        <f t="shared" si="62"/>
        <v>0</v>
      </c>
    </row>
    <row r="4039" spans="1:3" x14ac:dyDescent="0.2">
      <c r="A4039" s="10" t="str">
        <f>IF(4031&gt;$C$9008,"",INDEX($B$9:$B$9008,MATCH(4031,$C$9:$C$9008,0)))</f>
        <v/>
      </c>
      <c r="B4039" s="9" t="str">
        <f>IFERROR(INDEX(Input!$L$20:$T$1019,INT((ROW()-9)/9)+1,MOD(ROW()-9,9)+1),"")</f>
        <v/>
      </c>
      <c r="C4039" s="9">
        <f t="shared" si="62"/>
        <v>0</v>
      </c>
    </row>
    <row r="4040" spans="1:3" x14ac:dyDescent="0.2">
      <c r="A4040" s="10" t="str">
        <f>IF(4032&gt;$C$9008,"",INDEX($B$9:$B$9008,MATCH(4032,$C$9:$C$9008,0)))</f>
        <v/>
      </c>
      <c r="B4040" s="9" t="str">
        <f>IFERROR(INDEX(Input!$L$20:$T$1019,INT((ROW()-9)/9)+1,MOD(ROW()-9,9)+1),"")</f>
        <v/>
      </c>
      <c r="C4040" s="9">
        <f t="shared" si="62"/>
        <v>0</v>
      </c>
    </row>
    <row r="4041" spans="1:3" x14ac:dyDescent="0.2">
      <c r="A4041" s="10" t="str">
        <f>IF(4033&gt;$C$9008,"",INDEX($B$9:$B$9008,MATCH(4033,$C$9:$C$9008,0)))</f>
        <v/>
      </c>
      <c r="B4041" s="9" t="str">
        <f>IFERROR(INDEX(Input!$L$20:$T$1019,INT((ROW()-9)/9)+1,MOD(ROW()-9,9)+1),"")</f>
        <v/>
      </c>
      <c r="C4041" s="9">
        <f t="shared" ref="C4041:C4104" si="63">$C4040+IF($B4041&lt;&gt;"",1,0)</f>
        <v>0</v>
      </c>
    </row>
    <row r="4042" spans="1:3" x14ac:dyDescent="0.2">
      <c r="A4042" s="10" t="str">
        <f>IF(4034&gt;$C$9008,"",INDEX($B$9:$B$9008,MATCH(4034,$C$9:$C$9008,0)))</f>
        <v/>
      </c>
      <c r="B4042" s="9" t="str">
        <f>IFERROR(INDEX(Input!$L$20:$T$1019,INT((ROW()-9)/9)+1,MOD(ROW()-9,9)+1),"")</f>
        <v/>
      </c>
      <c r="C4042" s="9">
        <f t="shared" si="63"/>
        <v>0</v>
      </c>
    </row>
    <row r="4043" spans="1:3" x14ac:dyDescent="0.2">
      <c r="A4043" s="10" t="str">
        <f>IF(4035&gt;$C$9008,"",INDEX($B$9:$B$9008,MATCH(4035,$C$9:$C$9008,0)))</f>
        <v/>
      </c>
      <c r="B4043" s="9" t="str">
        <f>IFERROR(INDEX(Input!$L$20:$T$1019,INT((ROW()-9)/9)+1,MOD(ROW()-9,9)+1),"")</f>
        <v/>
      </c>
      <c r="C4043" s="9">
        <f t="shared" si="63"/>
        <v>0</v>
      </c>
    </row>
    <row r="4044" spans="1:3" x14ac:dyDescent="0.2">
      <c r="A4044" s="10" t="str">
        <f>IF(4036&gt;$C$9008,"",INDEX($B$9:$B$9008,MATCH(4036,$C$9:$C$9008,0)))</f>
        <v/>
      </c>
      <c r="B4044" s="9" t="str">
        <f>IFERROR(INDEX(Input!$L$20:$T$1019,INT((ROW()-9)/9)+1,MOD(ROW()-9,9)+1),"")</f>
        <v/>
      </c>
      <c r="C4044" s="9">
        <f t="shared" si="63"/>
        <v>0</v>
      </c>
    </row>
    <row r="4045" spans="1:3" x14ac:dyDescent="0.2">
      <c r="A4045" s="10" t="str">
        <f>IF(4037&gt;$C$9008,"",INDEX($B$9:$B$9008,MATCH(4037,$C$9:$C$9008,0)))</f>
        <v/>
      </c>
      <c r="B4045" s="9" t="str">
        <f>IFERROR(INDEX(Input!$L$20:$T$1019,INT((ROW()-9)/9)+1,MOD(ROW()-9,9)+1),"")</f>
        <v/>
      </c>
      <c r="C4045" s="9">
        <f t="shared" si="63"/>
        <v>0</v>
      </c>
    </row>
    <row r="4046" spans="1:3" x14ac:dyDescent="0.2">
      <c r="A4046" s="10" t="str">
        <f>IF(4038&gt;$C$9008,"",INDEX($B$9:$B$9008,MATCH(4038,$C$9:$C$9008,0)))</f>
        <v/>
      </c>
      <c r="B4046" s="9" t="str">
        <f>IFERROR(INDEX(Input!$L$20:$T$1019,INT((ROW()-9)/9)+1,MOD(ROW()-9,9)+1),"")</f>
        <v/>
      </c>
      <c r="C4046" s="9">
        <f t="shared" si="63"/>
        <v>0</v>
      </c>
    </row>
    <row r="4047" spans="1:3" x14ac:dyDescent="0.2">
      <c r="A4047" s="10" t="str">
        <f>IF(4039&gt;$C$9008,"",INDEX($B$9:$B$9008,MATCH(4039,$C$9:$C$9008,0)))</f>
        <v/>
      </c>
      <c r="B4047" s="9" t="str">
        <f>IFERROR(INDEX(Input!$L$20:$T$1019,INT((ROW()-9)/9)+1,MOD(ROW()-9,9)+1),"")</f>
        <v/>
      </c>
      <c r="C4047" s="9">
        <f t="shared" si="63"/>
        <v>0</v>
      </c>
    </row>
    <row r="4048" spans="1:3" x14ac:dyDescent="0.2">
      <c r="A4048" s="10" t="str">
        <f>IF(4040&gt;$C$9008,"",INDEX($B$9:$B$9008,MATCH(4040,$C$9:$C$9008,0)))</f>
        <v/>
      </c>
      <c r="B4048" s="9" t="str">
        <f>IFERROR(INDEX(Input!$L$20:$T$1019,INT((ROW()-9)/9)+1,MOD(ROW()-9,9)+1),"")</f>
        <v/>
      </c>
      <c r="C4048" s="9">
        <f t="shared" si="63"/>
        <v>0</v>
      </c>
    </row>
    <row r="4049" spans="1:3" x14ac:dyDescent="0.2">
      <c r="A4049" s="10" t="str">
        <f>IF(4041&gt;$C$9008,"",INDEX($B$9:$B$9008,MATCH(4041,$C$9:$C$9008,0)))</f>
        <v/>
      </c>
      <c r="B4049" s="9" t="str">
        <f>IFERROR(INDEX(Input!$L$20:$T$1019,INT((ROW()-9)/9)+1,MOD(ROW()-9,9)+1),"")</f>
        <v/>
      </c>
      <c r="C4049" s="9">
        <f t="shared" si="63"/>
        <v>0</v>
      </c>
    </row>
    <row r="4050" spans="1:3" x14ac:dyDescent="0.2">
      <c r="A4050" s="10" t="str">
        <f>IF(4042&gt;$C$9008,"",INDEX($B$9:$B$9008,MATCH(4042,$C$9:$C$9008,0)))</f>
        <v/>
      </c>
      <c r="B4050" s="9" t="str">
        <f>IFERROR(INDEX(Input!$L$20:$T$1019,INT((ROW()-9)/9)+1,MOD(ROW()-9,9)+1),"")</f>
        <v/>
      </c>
      <c r="C4050" s="9">
        <f t="shared" si="63"/>
        <v>0</v>
      </c>
    </row>
    <row r="4051" spans="1:3" x14ac:dyDescent="0.2">
      <c r="A4051" s="10" t="str">
        <f>IF(4043&gt;$C$9008,"",INDEX($B$9:$B$9008,MATCH(4043,$C$9:$C$9008,0)))</f>
        <v/>
      </c>
      <c r="B4051" s="9" t="str">
        <f>IFERROR(INDEX(Input!$L$20:$T$1019,INT((ROW()-9)/9)+1,MOD(ROW()-9,9)+1),"")</f>
        <v/>
      </c>
      <c r="C4051" s="9">
        <f t="shared" si="63"/>
        <v>0</v>
      </c>
    </row>
    <row r="4052" spans="1:3" x14ac:dyDescent="0.2">
      <c r="A4052" s="10" t="str">
        <f>IF(4044&gt;$C$9008,"",INDEX($B$9:$B$9008,MATCH(4044,$C$9:$C$9008,0)))</f>
        <v/>
      </c>
      <c r="B4052" s="9" t="str">
        <f>IFERROR(INDEX(Input!$L$20:$T$1019,INT((ROW()-9)/9)+1,MOD(ROW()-9,9)+1),"")</f>
        <v/>
      </c>
      <c r="C4052" s="9">
        <f t="shared" si="63"/>
        <v>0</v>
      </c>
    </row>
    <row r="4053" spans="1:3" x14ac:dyDescent="0.2">
      <c r="A4053" s="10" t="str">
        <f>IF(4045&gt;$C$9008,"",INDEX($B$9:$B$9008,MATCH(4045,$C$9:$C$9008,0)))</f>
        <v/>
      </c>
      <c r="B4053" s="9" t="str">
        <f>IFERROR(INDEX(Input!$L$20:$T$1019,INT((ROW()-9)/9)+1,MOD(ROW()-9,9)+1),"")</f>
        <v/>
      </c>
      <c r="C4053" s="9">
        <f t="shared" si="63"/>
        <v>0</v>
      </c>
    </row>
    <row r="4054" spans="1:3" x14ac:dyDescent="0.2">
      <c r="A4054" s="10" t="str">
        <f>IF(4046&gt;$C$9008,"",INDEX($B$9:$B$9008,MATCH(4046,$C$9:$C$9008,0)))</f>
        <v/>
      </c>
      <c r="B4054" s="9" t="str">
        <f>IFERROR(INDEX(Input!$L$20:$T$1019,INT((ROW()-9)/9)+1,MOD(ROW()-9,9)+1),"")</f>
        <v/>
      </c>
      <c r="C4054" s="9">
        <f t="shared" si="63"/>
        <v>0</v>
      </c>
    </row>
    <row r="4055" spans="1:3" x14ac:dyDescent="0.2">
      <c r="A4055" s="10" t="str">
        <f>IF(4047&gt;$C$9008,"",INDEX($B$9:$B$9008,MATCH(4047,$C$9:$C$9008,0)))</f>
        <v/>
      </c>
      <c r="B4055" s="9" t="str">
        <f>IFERROR(INDEX(Input!$L$20:$T$1019,INT((ROW()-9)/9)+1,MOD(ROW()-9,9)+1),"")</f>
        <v/>
      </c>
      <c r="C4055" s="9">
        <f t="shared" si="63"/>
        <v>0</v>
      </c>
    </row>
    <row r="4056" spans="1:3" x14ac:dyDescent="0.2">
      <c r="A4056" s="10" t="str">
        <f>IF(4048&gt;$C$9008,"",INDEX($B$9:$B$9008,MATCH(4048,$C$9:$C$9008,0)))</f>
        <v/>
      </c>
      <c r="B4056" s="9" t="str">
        <f>IFERROR(INDEX(Input!$L$20:$T$1019,INT((ROW()-9)/9)+1,MOD(ROW()-9,9)+1),"")</f>
        <v/>
      </c>
      <c r="C4056" s="9">
        <f t="shared" si="63"/>
        <v>0</v>
      </c>
    </row>
    <row r="4057" spans="1:3" x14ac:dyDescent="0.2">
      <c r="A4057" s="10" t="str">
        <f>IF(4049&gt;$C$9008,"",INDEX($B$9:$B$9008,MATCH(4049,$C$9:$C$9008,0)))</f>
        <v/>
      </c>
      <c r="B4057" s="9" t="str">
        <f>IFERROR(INDEX(Input!$L$20:$T$1019,INT((ROW()-9)/9)+1,MOD(ROW()-9,9)+1),"")</f>
        <v/>
      </c>
      <c r="C4057" s="9">
        <f t="shared" si="63"/>
        <v>0</v>
      </c>
    </row>
    <row r="4058" spans="1:3" x14ac:dyDescent="0.2">
      <c r="A4058" s="10" t="str">
        <f>IF(4050&gt;$C$9008,"",INDEX($B$9:$B$9008,MATCH(4050,$C$9:$C$9008,0)))</f>
        <v/>
      </c>
      <c r="B4058" s="9" t="str">
        <f>IFERROR(INDEX(Input!$L$20:$T$1019,INT((ROW()-9)/9)+1,MOD(ROW()-9,9)+1),"")</f>
        <v/>
      </c>
      <c r="C4058" s="9">
        <f t="shared" si="63"/>
        <v>0</v>
      </c>
    </row>
    <row r="4059" spans="1:3" x14ac:dyDescent="0.2">
      <c r="A4059" s="10" t="str">
        <f>IF(4051&gt;$C$9008,"",INDEX($B$9:$B$9008,MATCH(4051,$C$9:$C$9008,0)))</f>
        <v/>
      </c>
      <c r="B4059" s="9" t="str">
        <f>IFERROR(INDEX(Input!$L$20:$T$1019,INT((ROW()-9)/9)+1,MOD(ROW()-9,9)+1),"")</f>
        <v/>
      </c>
      <c r="C4059" s="9">
        <f t="shared" si="63"/>
        <v>0</v>
      </c>
    </row>
    <row r="4060" spans="1:3" x14ac:dyDescent="0.2">
      <c r="A4060" s="10" t="str">
        <f>IF(4052&gt;$C$9008,"",INDEX($B$9:$B$9008,MATCH(4052,$C$9:$C$9008,0)))</f>
        <v/>
      </c>
      <c r="B4060" s="9" t="str">
        <f>IFERROR(INDEX(Input!$L$20:$T$1019,INT((ROW()-9)/9)+1,MOD(ROW()-9,9)+1),"")</f>
        <v/>
      </c>
      <c r="C4060" s="9">
        <f t="shared" si="63"/>
        <v>0</v>
      </c>
    </row>
    <row r="4061" spans="1:3" x14ac:dyDescent="0.2">
      <c r="A4061" s="10" t="str">
        <f>IF(4053&gt;$C$9008,"",INDEX($B$9:$B$9008,MATCH(4053,$C$9:$C$9008,0)))</f>
        <v/>
      </c>
      <c r="B4061" s="9" t="str">
        <f>IFERROR(INDEX(Input!$L$20:$T$1019,INT((ROW()-9)/9)+1,MOD(ROW()-9,9)+1),"")</f>
        <v/>
      </c>
      <c r="C4061" s="9">
        <f t="shared" si="63"/>
        <v>0</v>
      </c>
    </row>
    <row r="4062" spans="1:3" x14ac:dyDescent="0.2">
      <c r="A4062" s="10" t="str">
        <f>IF(4054&gt;$C$9008,"",INDEX($B$9:$B$9008,MATCH(4054,$C$9:$C$9008,0)))</f>
        <v/>
      </c>
      <c r="B4062" s="9" t="str">
        <f>IFERROR(INDEX(Input!$L$20:$T$1019,INT((ROW()-9)/9)+1,MOD(ROW()-9,9)+1),"")</f>
        <v/>
      </c>
      <c r="C4062" s="9">
        <f t="shared" si="63"/>
        <v>0</v>
      </c>
    </row>
    <row r="4063" spans="1:3" x14ac:dyDescent="0.2">
      <c r="A4063" s="10" t="str">
        <f>IF(4055&gt;$C$9008,"",INDEX($B$9:$B$9008,MATCH(4055,$C$9:$C$9008,0)))</f>
        <v/>
      </c>
      <c r="B4063" s="9" t="str">
        <f>IFERROR(INDEX(Input!$L$20:$T$1019,INT((ROW()-9)/9)+1,MOD(ROW()-9,9)+1),"")</f>
        <v/>
      </c>
      <c r="C4063" s="9">
        <f t="shared" si="63"/>
        <v>0</v>
      </c>
    </row>
    <row r="4064" spans="1:3" x14ac:dyDescent="0.2">
      <c r="A4064" s="10" t="str">
        <f>IF(4056&gt;$C$9008,"",INDEX($B$9:$B$9008,MATCH(4056,$C$9:$C$9008,0)))</f>
        <v/>
      </c>
      <c r="B4064" s="9" t="str">
        <f>IFERROR(INDEX(Input!$L$20:$T$1019,INT((ROW()-9)/9)+1,MOD(ROW()-9,9)+1),"")</f>
        <v/>
      </c>
      <c r="C4064" s="9">
        <f t="shared" si="63"/>
        <v>0</v>
      </c>
    </row>
    <row r="4065" spans="1:3" x14ac:dyDescent="0.2">
      <c r="A4065" s="10" t="str">
        <f>IF(4057&gt;$C$9008,"",INDEX($B$9:$B$9008,MATCH(4057,$C$9:$C$9008,0)))</f>
        <v/>
      </c>
      <c r="B4065" s="9" t="str">
        <f>IFERROR(INDEX(Input!$L$20:$T$1019,INT((ROW()-9)/9)+1,MOD(ROW()-9,9)+1),"")</f>
        <v/>
      </c>
      <c r="C4065" s="9">
        <f t="shared" si="63"/>
        <v>0</v>
      </c>
    </row>
    <row r="4066" spans="1:3" x14ac:dyDescent="0.2">
      <c r="A4066" s="10" t="str">
        <f>IF(4058&gt;$C$9008,"",INDEX($B$9:$B$9008,MATCH(4058,$C$9:$C$9008,0)))</f>
        <v/>
      </c>
      <c r="B4066" s="9" t="str">
        <f>IFERROR(INDEX(Input!$L$20:$T$1019,INT((ROW()-9)/9)+1,MOD(ROW()-9,9)+1),"")</f>
        <v/>
      </c>
      <c r="C4066" s="9">
        <f t="shared" si="63"/>
        <v>0</v>
      </c>
    </row>
    <row r="4067" spans="1:3" x14ac:dyDescent="0.2">
      <c r="A4067" s="10" t="str">
        <f>IF(4059&gt;$C$9008,"",INDEX($B$9:$B$9008,MATCH(4059,$C$9:$C$9008,0)))</f>
        <v/>
      </c>
      <c r="B4067" s="9" t="str">
        <f>IFERROR(INDEX(Input!$L$20:$T$1019,INT((ROW()-9)/9)+1,MOD(ROW()-9,9)+1),"")</f>
        <v/>
      </c>
      <c r="C4067" s="9">
        <f t="shared" si="63"/>
        <v>0</v>
      </c>
    </row>
    <row r="4068" spans="1:3" x14ac:dyDescent="0.2">
      <c r="A4068" s="10" t="str">
        <f>IF(4060&gt;$C$9008,"",INDEX($B$9:$B$9008,MATCH(4060,$C$9:$C$9008,0)))</f>
        <v/>
      </c>
      <c r="B4068" s="9" t="str">
        <f>IFERROR(INDEX(Input!$L$20:$T$1019,INT((ROW()-9)/9)+1,MOD(ROW()-9,9)+1),"")</f>
        <v/>
      </c>
      <c r="C4068" s="9">
        <f t="shared" si="63"/>
        <v>0</v>
      </c>
    </row>
    <row r="4069" spans="1:3" x14ac:dyDescent="0.2">
      <c r="A4069" s="10" t="str">
        <f>IF(4061&gt;$C$9008,"",INDEX($B$9:$B$9008,MATCH(4061,$C$9:$C$9008,0)))</f>
        <v/>
      </c>
      <c r="B4069" s="9" t="str">
        <f>IFERROR(INDEX(Input!$L$20:$T$1019,INT((ROW()-9)/9)+1,MOD(ROW()-9,9)+1),"")</f>
        <v/>
      </c>
      <c r="C4069" s="9">
        <f t="shared" si="63"/>
        <v>0</v>
      </c>
    </row>
    <row r="4070" spans="1:3" x14ac:dyDescent="0.2">
      <c r="A4070" s="10" t="str">
        <f>IF(4062&gt;$C$9008,"",INDEX($B$9:$B$9008,MATCH(4062,$C$9:$C$9008,0)))</f>
        <v/>
      </c>
      <c r="B4070" s="9" t="str">
        <f>IFERROR(INDEX(Input!$L$20:$T$1019,INT((ROW()-9)/9)+1,MOD(ROW()-9,9)+1),"")</f>
        <v/>
      </c>
      <c r="C4070" s="9">
        <f t="shared" si="63"/>
        <v>0</v>
      </c>
    </row>
    <row r="4071" spans="1:3" x14ac:dyDescent="0.2">
      <c r="A4071" s="10" t="str">
        <f>IF(4063&gt;$C$9008,"",INDEX($B$9:$B$9008,MATCH(4063,$C$9:$C$9008,0)))</f>
        <v/>
      </c>
      <c r="B4071" s="9" t="str">
        <f>IFERROR(INDEX(Input!$L$20:$T$1019,INT((ROW()-9)/9)+1,MOD(ROW()-9,9)+1),"")</f>
        <v/>
      </c>
      <c r="C4071" s="9">
        <f t="shared" si="63"/>
        <v>0</v>
      </c>
    </row>
    <row r="4072" spans="1:3" x14ac:dyDescent="0.2">
      <c r="A4072" s="10" t="str">
        <f>IF(4064&gt;$C$9008,"",INDEX($B$9:$B$9008,MATCH(4064,$C$9:$C$9008,0)))</f>
        <v/>
      </c>
      <c r="B4072" s="9" t="str">
        <f>IFERROR(INDEX(Input!$L$20:$T$1019,INT((ROW()-9)/9)+1,MOD(ROW()-9,9)+1),"")</f>
        <v/>
      </c>
      <c r="C4072" s="9">
        <f t="shared" si="63"/>
        <v>0</v>
      </c>
    </row>
    <row r="4073" spans="1:3" x14ac:dyDescent="0.2">
      <c r="A4073" s="10" t="str">
        <f>IF(4065&gt;$C$9008,"",INDEX($B$9:$B$9008,MATCH(4065,$C$9:$C$9008,0)))</f>
        <v/>
      </c>
      <c r="B4073" s="9" t="str">
        <f>IFERROR(INDEX(Input!$L$20:$T$1019,INT((ROW()-9)/9)+1,MOD(ROW()-9,9)+1),"")</f>
        <v/>
      </c>
      <c r="C4073" s="9">
        <f t="shared" si="63"/>
        <v>0</v>
      </c>
    </row>
    <row r="4074" spans="1:3" x14ac:dyDescent="0.2">
      <c r="A4074" s="10" t="str">
        <f>IF(4066&gt;$C$9008,"",INDEX($B$9:$B$9008,MATCH(4066,$C$9:$C$9008,0)))</f>
        <v/>
      </c>
      <c r="B4074" s="9" t="str">
        <f>IFERROR(INDEX(Input!$L$20:$T$1019,INT((ROW()-9)/9)+1,MOD(ROW()-9,9)+1),"")</f>
        <v/>
      </c>
      <c r="C4074" s="9">
        <f t="shared" si="63"/>
        <v>0</v>
      </c>
    </row>
    <row r="4075" spans="1:3" x14ac:dyDescent="0.2">
      <c r="A4075" s="10" t="str">
        <f>IF(4067&gt;$C$9008,"",INDEX($B$9:$B$9008,MATCH(4067,$C$9:$C$9008,0)))</f>
        <v/>
      </c>
      <c r="B4075" s="9" t="str">
        <f>IFERROR(INDEX(Input!$L$20:$T$1019,INT((ROW()-9)/9)+1,MOD(ROW()-9,9)+1),"")</f>
        <v/>
      </c>
      <c r="C4075" s="9">
        <f t="shared" si="63"/>
        <v>0</v>
      </c>
    </row>
    <row r="4076" spans="1:3" x14ac:dyDescent="0.2">
      <c r="A4076" s="10" t="str">
        <f>IF(4068&gt;$C$9008,"",INDEX($B$9:$B$9008,MATCH(4068,$C$9:$C$9008,0)))</f>
        <v/>
      </c>
      <c r="B4076" s="9" t="str">
        <f>IFERROR(INDEX(Input!$L$20:$T$1019,INT((ROW()-9)/9)+1,MOD(ROW()-9,9)+1),"")</f>
        <v/>
      </c>
      <c r="C4076" s="9">
        <f t="shared" si="63"/>
        <v>0</v>
      </c>
    </row>
    <row r="4077" spans="1:3" x14ac:dyDescent="0.2">
      <c r="A4077" s="10" t="str">
        <f>IF(4069&gt;$C$9008,"",INDEX($B$9:$B$9008,MATCH(4069,$C$9:$C$9008,0)))</f>
        <v/>
      </c>
      <c r="B4077" s="9" t="str">
        <f>IFERROR(INDEX(Input!$L$20:$T$1019,INT((ROW()-9)/9)+1,MOD(ROW()-9,9)+1),"")</f>
        <v/>
      </c>
      <c r="C4077" s="9">
        <f t="shared" si="63"/>
        <v>0</v>
      </c>
    </row>
    <row r="4078" spans="1:3" x14ac:dyDescent="0.2">
      <c r="A4078" s="10" t="str">
        <f>IF(4070&gt;$C$9008,"",INDEX($B$9:$B$9008,MATCH(4070,$C$9:$C$9008,0)))</f>
        <v/>
      </c>
      <c r="B4078" s="9" t="str">
        <f>IFERROR(INDEX(Input!$L$20:$T$1019,INT((ROW()-9)/9)+1,MOD(ROW()-9,9)+1),"")</f>
        <v/>
      </c>
      <c r="C4078" s="9">
        <f t="shared" si="63"/>
        <v>0</v>
      </c>
    </row>
    <row r="4079" spans="1:3" x14ac:dyDescent="0.2">
      <c r="A4079" s="10" t="str">
        <f>IF(4071&gt;$C$9008,"",INDEX($B$9:$B$9008,MATCH(4071,$C$9:$C$9008,0)))</f>
        <v/>
      </c>
      <c r="B4079" s="9" t="str">
        <f>IFERROR(INDEX(Input!$L$20:$T$1019,INT((ROW()-9)/9)+1,MOD(ROW()-9,9)+1),"")</f>
        <v/>
      </c>
      <c r="C4079" s="9">
        <f t="shared" si="63"/>
        <v>0</v>
      </c>
    </row>
    <row r="4080" spans="1:3" x14ac:dyDescent="0.2">
      <c r="A4080" s="10" t="str">
        <f>IF(4072&gt;$C$9008,"",INDEX($B$9:$B$9008,MATCH(4072,$C$9:$C$9008,0)))</f>
        <v/>
      </c>
      <c r="B4080" s="9" t="str">
        <f>IFERROR(INDEX(Input!$L$20:$T$1019,INT((ROW()-9)/9)+1,MOD(ROW()-9,9)+1),"")</f>
        <v/>
      </c>
      <c r="C4080" s="9">
        <f t="shared" si="63"/>
        <v>0</v>
      </c>
    </row>
    <row r="4081" spans="1:3" x14ac:dyDescent="0.2">
      <c r="A4081" s="10" t="str">
        <f>IF(4073&gt;$C$9008,"",INDEX($B$9:$B$9008,MATCH(4073,$C$9:$C$9008,0)))</f>
        <v/>
      </c>
      <c r="B4081" s="9" t="str">
        <f>IFERROR(INDEX(Input!$L$20:$T$1019,INT((ROW()-9)/9)+1,MOD(ROW()-9,9)+1),"")</f>
        <v/>
      </c>
      <c r="C4081" s="9">
        <f t="shared" si="63"/>
        <v>0</v>
      </c>
    </row>
    <row r="4082" spans="1:3" x14ac:dyDescent="0.2">
      <c r="A4082" s="10" t="str">
        <f>IF(4074&gt;$C$9008,"",INDEX($B$9:$B$9008,MATCH(4074,$C$9:$C$9008,0)))</f>
        <v/>
      </c>
      <c r="B4082" s="9" t="str">
        <f>IFERROR(INDEX(Input!$L$20:$T$1019,INT((ROW()-9)/9)+1,MOD(ROW()-9,9)+1),"")</f>
        <v/>
      </c>
      <c r="C4082" s="9">
        <f t="shared" si="63"/>
        <v>0</v>
      </c>
    </row>
    <row r="4083" spans="1:3" x14ac:dyDescent="0.2">
      <c r="A4083" s="10" t="str">
        <f>IF(4075&gt;$C$9008,"",INDEX($B$9:$B$9008,MATCH(4075,$C$9:$C$9008,0)))</f>
        <v/>
      </c>
      <c r="B4083" s="9" t="str">
        <f>IFERROR(INDEX(Input!$L$20:$T$1019,INT((ROW()-9)/9)+1,MOD(ROW()-9,9)+1),"")</f>
        <v/>
      </c>
      <c r="C4083" s="9">
        <f t="shared" si="63"/>
        <v>0</v>
      </c>
    </row>
    <row r="4084" spans="1:3" x14ac:dyDescent="0.2">
      <c r="A4084" s="10" t="str">
        <f>IF(4076&gt;$C$9008,"",INDEX($B$9:$B$9008,MATCH(4076,$C$9:$C$9008,0)))</f>
        <v/>
      </c>
      <c r="B4084" s="9" t="str">
        <f>IFERROR(INDEX(Input!$L$20:$T$1019,INT((ROW()-9)/9)+1,MOD(ROW()-9,9)+1),"")</f>
        <v/>
      </c>
      <c r="C4084" s="9">
        <f t="shared" si="63"/>
        <v>0</v>
      </c>
    </row>
    <row r="4085" spans="1:3" x14ac:dyDescent="0.2">
      <c r="A4085" s="10" t="str">
        <f>IF(4077&gt;$C$9008,"",INDEX($B$9:$B$9008,MATCH(4077,$C$9:$C$9008,0)))</f>
        <v/>
      </c>
      <c r="B4085" s="9" t="str">
        <f>IFERROR(INDEX(Input!$L$20:$T$1019,INT((ROW()-9)/9)+1,MOD(ROW()-9,9)+1),"")</f>
        <v/>
      </c>
      <c r="C4085" s="9">
        <f t="shared" si="63"/>
        <v>0</v>
      </c>
    </row>
    <row r="4086" spans="1:3" x14ac:dyDescent="0.2">
      <c r="A4086" s="10" t="str">
        <f>IF(4078&gt;$C$9008,"",INDEX($B$9:$B$9008,MATCH(4078,$C$9:$C$9008,0)))</f>
        <v/>
      </c>
      <c r="B4086" s="9" t="str">
        <f>IFERROR(INDEX(Input!$L$20:$T$1019,INT((ROW()-9)/9)+1,MOD(ROW()-9,9)+1),"")</f>
        <v/>
      </c>
      <c r="C4086" s="9">
        <f t="shared" si="63"/>
        <v>0</v>
      </c>
    </row>
    <row r="4087" spans="1:3" x14ac:dyDescent="0.2">
      <c r="A4087" s="10" t="str">
        <f>IF(4079&gt;$C$9008,"",INDEX($B$9:$B$9008,MATCH(4079,$C$9:$C$9008,0)))</f>
        <v/>
      </c>
      <c r="B4087" s="9" t="str">
        <f>IFERROR(INDEX(Input!$L$20:$T$1019,INT((ROW()-9)/9)+1,MOD(ROW()-9,9)+1),"")</f>
        <v/>
      </c>
      <c r="C4087" s="9">
        <f t="shared" si="63"/>
        <v>0</v>
      </c>
    </row>
    <row r="4088" spans="1:3" x14ac:dyDescent="0.2">
      <c r="A4088" s="10" t="str">
        <f>IF(4080&gt;$C$9008,"",INDEX($B$9:$B$9008,MATCH(4080,$C$9:$C$9008,0)))</f>
        <v/>
      </c>
      <c r="B4088" s="9" t="str">
        <f>IFERROR(INDEX(Input!$L$20:$T$1019,INT((ROW()-9)/9)+1,MOD(ROW()-9,9)+1),"")</f>
        <v/>
      </c>
      <c r="C4088" s="9">
        <f t="shared" si="63"/>
        <v>0</v>
      </c>
    </row>
    <row r="4089" spans="1:3" x14ac:dyDescent="0.2">
      <c r="A4089" s="10" t="str">
        <f>IF(4081&gt;$C$9008,"",INDEX($B$9:$B$9008,MATCH(4081,$C$9:$C$9008,0)))</f>
        <v/>
      </c>
      <c r="B4089" s="9" t="str">
        <f>IFERROR(INDEX(Input!$L$20:$T$1019,INT((ROW()-9)/9)+1,MOD(ROW()-9,9)+1),"")</f>
        <v/>
      </c>
      <c r="C4089" s="9">
        <f t="shared" si="63"/>
        <v>0</v>
      </c>
    </row>
    <row r="4090" spans="1:3" x14ac:dyDescent="0.2">
      <c r="A4090" s="10" t="str">
        <f>IF(4082&gt;$C$9008,"",INDEX($B$9:$B$9008,MATCH(4082,$C$9:$C$9008,0)))</f>
        <v/>
      </c>
      <c r="B4090" s="9" t="str">
        <f>IFERROR(INDEX(Input!$L$20:$T$1019,INT((ROW()-9)/9)+1,MOD(ROW()-9,9)+1),"")</f>
        <v/>
      </c>
      <c r="C4090" s="9">
        <f t="shared" si="63"/>
        <v>0</v>
      </c>
    </row>
    <row r="4091" spans="1:3" x14ac:dyDescent="0.2">
      <c r="A4091" s="10" t="str">
        <f>IF(4083&gt;$C$9008,"",INDEX($B$9:$B$9008,MATCH(4083,$C$9:$C$9008,0)))</f>
        <v/>
      </c>
      <c r="B4091" s="9" t="str">
        <f>IFERROR(INDEX(Input!$L$20:$T$1019,INT((ROW()-9)/9)+1,MOD(ROW()-9,9)+1),"")</f>
        <v/>
      </c>
      <c r="C4091" s="9">
        <f t="shared" si="63"/>
        <v>0</v>
      </c>
    </row>
    <row r="4092" spans="1:3" x14ac:dyDescent="0.2">
      <c r="A4092" s="10" t="str">
        <f>IF(4084&gt;$C$9008,"",INDEX($B$9:$B$9008,MATCH(4084,$C$9:$C$9008,0)))</f>
        <v/>
      </c>
      <c r="B4092" s="9" t="str">
        <f>IFERROR(INDEX(Input!$L$20:$T$1019,INT((ROW()-9)/9)+1,MOD(ROW()-9,9)+1),"")</f>
        <v/>
      </c>
      <c r="C4092" s="9">
        <f t="shared" si="63"/>
        <v>0</v>
      </c>
    </row>
    <row r="4093" spans="1:3" x14ac:dyDescent="0.2">
      <c r="A4093" s="10" t="str">
        <f>IF(4085&gt;$C$9008,"",INDEX($B$9:$B$9008,MATCH(4085,$C$9:$C$9008,0)))</f>
        <v/>
      </c>
      <c r="B4093" s="9" t="str">
        <f>IFERROR(INDEX(Input!$L$20:$T$1019,INT((ROW()-9)/9)+1,MOD(ROW()-9,9)+1),"")</f>
        <v/>
      </c>
      <c r="C4093" s="9">
        <f t="shared" si="63"/>
        <v>0</v>
      </c>
    </row>
    <row r="4094" spans="1:3" x14ac:dyDescent="0.2">
      <c r="A4094" s="10" t="str">
        <f>IF(4086&gt;$C$9008,"",INDEX($B$9:$B$9008,MATCH(4086,$C$9:$C$9008,0)))</f>
        <v/>
      </c>
      <c r="B4094" s="9" t="str">
        <f>IFERROR(INDEX(Input!$L$20:$T$1019,INT((ROW()-9)/9)+1,MOD(ROW()-9,9)+1),"")</f>
        <v/>
      </c>
      <c r="C4094" s="9">
        <f t="shared" si="63"/>
        <v>0</v>
      </c>
    </row>
    <row r="4095" spans="1:3" x14ac:dyDescent="0.2">
      <c r="A4095" s="10" t="str">
        <f>IF(4087&gt;$C$9008,"",INDEX($B$9:$B$9008,MATCH(4087,$C$9:$C$9008,0)))</f>
        <v/>
      </c>
      <c r="B4095" s="9" t="str">
        <f>IFERROR(INDEX(Input!$L$20:$T$1019,INT((ROW()-9)/9)+1,MOD(ROW()-9,9)+1),"")</f>
        <v/>
      </c>
      <c r="C4095" s="9">
        <f t="shared" si="63"/>
        <v>0</v>
      </c>
    </row>
    <row r="4096" spans="1:3" x14ac:dyDescent="0.2">
      <c r="A4096" s="10" t="str">
        <f>IF(4088&gt;$C$9008,"",INDEX($B$9:$B$9008,MATCH(4088,$C$9:$C$9008,0)))</f>
        <v/>
      </c>
      <c r="B4096" s="9" t="str">
        <f>IFERROR(INDEX(Input!$L$20:$T$1019,INT((ROW()-9)/9)+1,MOD(ROW()-9,9)+1),"")</f>
        <v/>
      </c>
      <c r="C4096" s="9">
        <f t="shared" si="63"/>
        <v>0</v>
      </c>
    </row>
    <row r="4097" spans="1:3" x14ac:dyDescent="0.2">
      <c r="A4097" s="10" t="str">
        <f>IF(4089&gt;$C$9008,"",INDEX($B$9:$B$9008,MATCH(4089,$C$9:$C$9008,0)))</f>
        <v/>
      </c>
      <c r="B4097" s="9" t="str">
        <f>IFERROR(INDEX(Input!$L$20:$T$1019,INT((ROW()-9)/9)+1,MOD(ROW()-9,9)+1),"")</f>
        <v/>
      </c>
      <c r="C4097" s="9">
        <f t="shared" si="63"/>
        <v>0</v>
      </c>
    </row>
    <row r="4098" spans="1:3" x14ac:dyDescent="0.2">
      <c r="A4098" s="10" t="str">
        <f>IF(4090&gt;$C$9008,"",INDEX($B$9:$B$9008,MATCH(4090,$C$9:$C$9008,0)))</f>
        <v/>
      </c>
      <c r="B4098" s="9" t="str">
        <f>IFERROR(INDEX(Input!$L$20:$T$1019,INT((ROW()-9)/9)+1,MOD(ROW()-9,9)+1),"")</f>
        <v/>
      </c>
      <c r="C4098" s="9">
        <f t="shared" si="63"/>
        <v>0</v>
      </c>
    </row>
    <row r="4099" spans="1:3" x14ac:dyDescent="0.2">
      <c r="A4099" s="10" t="str">
        <f>IF(4091&gt;$C$9008,"",INDEX($B$9:$B$9008,MATCH(4091,$C$9:$C$9008,0)))</f>
        <v/>
      </c>
      <c r="B4099" s="9" t="str">
        <f>IFERROR(INDEX(Input!$L$20:$T$1019,INT((ROW()-9)/9)+1,MOD(ROW()-9,9)+1),"")</f>
        <v/>
      </c>
      <c r="C4099" s="9">
        <f t="shared" si="63"/>
        <v>0</v>
      </c>
    </row>
    <row r="4100" spans="1:3" x14ac:dyDescent="0.2">
      <c r="A4100" s="10" t="str">
        <f>IF(4092&gt;$C$9008,"",INDEX($B$9:$B$9008,MATCH(4092,$C$9:$C$9008,0)))</f>
        <v/>
      </c>
      <c r="B4100" s="9" t="str">
        <f>IFERROR(INDEX(Input!$L$20:$T$1019,INT((ROW()-9)/9)+1,MOD(ROW()-9,9)+1),"")</f>
        <v/>
      </c>
      <c r="C4100" s="9">
        <f t="shared" si="63"/>
        <v>0</v>
      </c>
    </row>
    <row r="4101" spans="1:3" x14ac:dyDescent="0.2">
      <c r="A4101" s="10" t="str">
        <f>IF(4093&gt;$C$9008,"",INDEX($B$9:$B$9008,MATCH(4093,$C$9:$C$9008,0)))</f>
        <v/>
      </c>
      <c r="B4101" s="9" t="str">
        <f>IFERROR(INDEX(Input!$L$20:$T$1019,INT((ROW()-9)/9)+1,MOD(ROW()-9,9)+1),"")</f>
        <v/>
      </c>
      <c r="C4101" s="9">
        <f t="shared" si="63"/>
        <v>0</v>
      </c>
    </row>
    <row r="4102" spans="1:3" x14ac:dyDescent="0.2">
      <c r="A4102" s="10" t="str">
        <f>IF(4094&gt;$C$9008,"",INDEX($B$9:$B$9008,MATCH(4094,$C$9:$C$9008,0)))</f>
        <v/>
      </c>
      <c r="B4102" s="9" t="str">
        <f>IFERROR(INDEX(Input!$L$20:$T$1019,INT((ROW()-9)/9)+1,MOD(ROW()-9,9)+1),"")</f>
        <v/>
      </c>
      <c r="C4102" s="9">
        <f t="shared" si="63"/>
        <v>0</v>
      </c>
    </row>
    <row r="4103" spans="1:3" x14ac:dyDescent="0.2">
      <c r="A4103" s="10" t="str">
        <f>IF(4095&gt;$C$9008,"",INDEX($B$9:$B$9008,MATCH(4095,$C$9:$C$9008,0)))</f>
        <v/>
      </c>
      <c r="B4103" s="9" t="str">
        <f>IFERROR(INDEX(Input!$L$20:$T$1019,INT((ROW()-9)/9)+1,MOD(ROW()-9,9)+1),"")</f>
        <v/>
      </c>
      <c r="C4103" s="9">
        <f t="shared" si="63"/>
        <v>0</v>
      </c>
    </row>
    <row r="4104" spans="1:3" x14ac:dyDescent="0.2">
      <c r="A4104" s="10" t="str">
        <f>IF(4096&gt;$C$9008,"",INDEX($B$9:$B$9008,MATCH(4096,$C$9:$C$9008,0)))</f>
        <v/>
      </c>
      <c r="B4104" s="9" t="str">
        <f>IFERROR(INDEX(Input!$L$20:$T$1019,INT((ROW()-9)/9)+1,MOD(ROW()-9,9)+1),"")</f>
        <v/>
      </c>
      <c r="C4104" s="9">
        <f t="shared" si="63"/>
        <v>0</v>
      </c>
    </row>
    <row r="4105" spans="1:3" x14ac:dyDescent="0.2">
      <c r="A4105" s="10" t="str">
        <f>IF(4097&gt;$C$9008,"",INDEX($B$9:$B$9008,MATCH(4097,$C$9:$C$9008,0)))</f>
        <v/>
      </c>
      <c r="B4105" s="9" t="str">
        <f>IFERROR(INDEX(Input!$L$20:$T$1019,INT((ROW()-9)/9)+1,MOD(ROW()-9,9)+1),"")</f>
        <v/>
      </c>
      <c r="C4105" s="9">
        <f t="shared" ref="C4105:C4168" si="64">$C4104+IF($B4105&lt;&gt;"",1,0)</f>
        <v>0</v>
      </c>
    </row>
    <row r="4106" spans="1:3" x14ac:dyDescent="0.2">
      <c r="A4106" s="10" t="str">
        <f>IF(4098&gt;$C$9008,"",INDEX($B$9:$B$9008,MATCH(4098,$C$9:$C$9008,0)))</f>
        <v/>
      </c>
      <c r="B4106" s="9" t="str">
        <f>IFERROR(INDEX(Input!$L$20:$T$1019,INT((ROW()-9)/9)+1,MOD(ROW()-9,9)+1),"")</f>
        <v/>
      </c>
      <c r="C4106" s="9">
        <f t="shared" si="64"/>
        <v>0</v>
      </c>
    </row>
    <row r="4107" spans="1:3" x14ac:dyDescent="0.2">
      <c r="A4107" s="10" t="str">
        <f>IF(4099&gt;$C$9008,"",INDEX($B$9:$B$9008,MATCH(4099,$C$9:$C$9008,0)))</f>
        <v/>
      </c>
      <c r="B4107" s="9" t="str">
        <f>IFERROR(INDEX(Input!$L$20:$T$1019,INT((ROW()-9)/9)+1,MOD(ROW()-9,9)+1),"")</f>
        <v/>
      </c>
      <c r="C4107" s="9">
        <f t="shared" si="64"/>
        <v>0</v>
      </c>
    </row>
    <row r="4108" spans="1:3" x14ac:dyDescent="0.2">
      <c r="A4108" s="10" t="str">
        <f>IF(4100&gt;$C$9008,"",INDEX($B$9:$B$9008,MATCH(4100,$C$9:$C$9008,0)))</f>
        <v/>
      </c>
      <c r="B4108" s="9" t="str">
        <f>IFERROR(INDEX(Input!$L$20:$T$1019,INT((ROW()-9)/9)+1,MOD(ROW()-9,9)+1),"")</f>
        <v/>
      </c>
      <c r="C4108" s="9">
        <f t="shared" si="64"/>
        <v>0</v>
      </c>
    </row>
    <row r="4109" spans="1:3" x14ac:dyDescent="0.2">
      <c r="A4109" s="10" t="str">
        <f>IF(4101&gt;$C$9008,"",INDEX($B$9:$B$9008,MATCH(4101,$C$9:$C$9008,0)))</f>
        <v/>
      </c>
      <c r="B4109" s="9" t="str">
        <f>IFERROR(INDEX(Input!$L$20:$T$1019,INT((ROW()-9)/9)+1,MOD(ROW()-9,9)+1),"")</f>
        <v/>
      </c>
      <c r="C4109" s="9">
        <f t="shared" si="64"/>
        <v>0</v>
      </c>
    </row>
    <row r="4110" spans="1:3" x14ac:dyDescent="0.2">
      <c r="A4110" s="10" t="str">
        <f>IF(4102&gt;$C$9008,"",INDEX($B$9:$B$9008,MATCH(4102,$C$9:$C$9008,0)))</f>
        <v/>
      </c>
      <c r="B4110" s="9" t="str">
        <f>IFERROR(INDEX(Input!$L$20:$T$1019,INT((ROW()-9)/9)+1,MOD(ROW()-9,9)+1),"")</f>
        <v/>
      </c>
      <c r="C4110" s="9">
        <f t="shared" si="64"/>
        <v>0</v>
      </c>
    </row>
    <row r="4111" spans="1:3" x14ac:dyDescent="0.2">
      <c r="A4111" s="10" t="str">
        <f>IF(4103&gt;$C$9008,"",INDEX($B$9:$B$9008,MATCH(4103,$C$9:$C$9008,0)))</f>
        <v/>
      </c>
      <c r="B4111" s="9" t="str">
        <f>IFERROR(INDEX(Input!$L$20:$T$1019,INT((ROW()-9)/9)+1,MOD(ROW()-9,9)+1),"")</f>
        <v/>
      </c>
      <c r="C4111" s="9">
        <f t="shared" si="64"/>
        <v>0</v>
      </c>
    </row>
    <row r="4112" spans="1:3" x14ac:dyDescent="0.2">
      <c r="A4112" s="10" t="str">
        <f>IF(4104&gt;$C$9008,"",INDEX($B$9:$B$9008,MATCH(4104,$C$9:$C$9008,0)))</f>
        <v/>
      </c>
      <c r="B4112" s="9" t="str">
        <f>IFERROR(INDEX(Input!$L$20:$T$1019,INT((ROW()-9)/9)+1,MOD(ROW()-9,9)+1),"")</f>
        <v/>
      </c>
      <c r="C4112" s="9">
        <f t="shared" si="64"/>
        <v>0</v>
      </c>
    </row>
    <row r="4113" spans="1:3" x14ac:dyDescent="0.2">
      <c r="A4113" s="10" t="str">
        <f>IF(4105&gt;$C$9008,"",INDEX($B$9:$B$9008,MATCH(4105,$C$9:$C$9008,0)))</f>
        <v/>
      </c>
      <c r="B4113" s="9" t="str">
        <f>IFERROR(INDEX(Input!$L$20:$T$1019,INT((ROW()-9)/9)+1,MOD(ROW()-9,9)+1),"")</f>
        <v/>
      </c>
      <c r="C4113" s="9">
        <f t="shared" si="64"/>
        <v>0</v>
      </c>
    </row>
    <row r="4114" spans="1:3" x14ac:dyDescent="0.2">
      <c r="A4114" s="10" t="str">
        <f>IF(4106&gt;$C$9008,"",INDEX($B$9:$B$9008,MATCH(4106,$C$9:$C$9008,0)))</f>
        <v/>
      </c>
      <c r="B4114" s="9" t="str">
        <f>IFERROR(INDEX(Input!$L$20:$T$1019,INT((ROW()-9)/9)+1,MOD(ROW()-9,9)+1),"")</f>
        <v/>
      </c>
      <c r="C4114" s="9">
        <f t="shared" si="64"/>
        <v>0</v>
      </c>
    </row>
    <row r="4115" spans="1:3" x14ac:dyDescent="0.2">
      <c r="A4115" s="10" t="str">
        <f>IF(4107&gt;$C$9008,"",INDEX($B$9:$B$9008,MATCH(4107,$C$9:$C$9008,0)))</f>
        <v/>
      </c>
      <c r="B4115" s="9" t="str">
        <f>IFERROR(INDEX(Input!$L$20:$T$1019,INT((ROW()-9)/9)+1,MOD(ROW()-9,9)+1),"")</f>
        <v/>
      </c>
      <c r="C4115" s="9">
        <f t="shared" si="64"/>
        <v>0</v>
      </c>
    </row>
    <row r="4116" spans="1:3" x14ac:dyDescent="0.2">
      <c r="A4116" s="10" t="str">
        <f>IF(4108&gt;$C$9008,"",INDEX($B$9:$B$9008,MATCH(4108,$C$9:$C$9008,0)))</f>
        <v/>
      </c>
      <c r="B4116" s="9" t="str">
        <f>IFERROR(INDEX(Input!$L$20:$T$1019,INT((ROW()-9)/9)+1,MOD(ROW()-9,9)+1),"")</f>
        <v/>
      </c>
      <c r="C4116" s="9">
        <f t="shared" si="64"/>
        <v>0</v>
      </c>
    </row>
    <row r="4117" spans="1:3" x14ac:dyDescent="0.2">
      <c r="A4117" s="10" t="str">
        <f>IF(4109&gt;$C$9008,"",INDEX($B$9:$B$9008,MATCH(4109,$C$9:$C$9008,0)))</f>
        <v/>
      </c>
      <c r="B4117" s="9" t="str">
        <f>IFERROR(INDEX(Input!$L$20:$T$1019,INT((ROW()-9)/9)+1,MOD(ROW()-9,9)+1),"")</f>
        <v/>
      </c>
      <c r="C4117" s="9">
        <f t="shared" si="64"/>
        <v>0</v>
      </c>
    </row>
    <row r="4118" spans="1:3" x14ac:dyDescent="0.2">
      <c r="A4118" s="10" t="str">
        <f>IF(4110&gt;$C$9008,"",INDEX($B$9:$B$9008,MATCH(4110,$C$9:$C$9008,0)))</f>
        <v/>
      </c>
      <c r="B4118" s="9" t="str">
        <f>IFERROR(INDEX(Input!$L$20:$T$1019,INT((ROW()-9)/9)+1,MOD(ROW()-9,9)+1),"")</f>
        <v/>
      </c>
      <c r="C4118" s="9">
        <f t="shared" si="64"/>
        <v>0</v>
      </c>
    </row>
    <row r="4119" spans="1:3" x14ac:dyDescent="0.2">
      <c r="A4119" s="10" t="str">
        <f>IF(4111&gt;$C$9008,"",INDEX($B$9:$B$9008,MATCH(4111,$C$9:$C$9008,0)))</f>
        <v/>
      </c>
      <c r="B4119" s="9" t="str">
        <f>IFERROR(INDEX(Input!$L$20:$T$1019,INT((ROW()-9)/9)+1,MOD(ROW()-9,9)+1),"")</f>
        <v/>
      </c>
      <c r="C4119" s="9">
        <f t="shared" si="64"/>
        <v>0</v>
      </c>
    </row>
    <row r="4120" spans="1:3" x14ac:dyDescent="0.2">
      <c r="A4120" s="10" t="str">
        <f>IF(4112&gt;$C$9008,"",INDEX($B$9:$B$9008,MATCH(4112,$C$9:$C$9008,0)))</f>
        <v/>
      </c>
      <c r="B4120" s="9" t="str">
        <f>IFERROR(INDEX(Input!$L$20:$T$1019,INT((ROW()-9)/9)+1,MOD(ROW()-9,9)+1),"")</f>
        <v/>
      </c>
      <c r="C4120" s="9">
        <f t="shared" si="64"/>
        <v>0</v>
      </c>
    </row>
    <row r="4121" spans="1:3" x14ac:dyDescent="0.2">
      <c r="A4121" s="10" t="str">
        <f>IF(4113&gt;$C$9008,"",INDEX($B$9:$B$9008,MATCH(4113,$C$9:$C$9008,0)))</f>
        <v/>
      </c>
      <c r="B4121" s="9" t="str">
        <f>IFERROR(INDEX(Input!$L$20:$T$1019,INT((ROW()-9)/9)+1,MOD(ROW()-9,9)+1),"")</f>
        <v/>
      </c>
      <c r="C4121" s="9">
        <f t="shared" si="64"/>
        <v>0</v>
      </c>
    </row>
    <row r="4122" spans="1:3" x14ac:dyDescent="0.2">
      <c r="A4122" s="10" t="str">
        <f>IF(4114&gt;$C$9008,"",INDEX($B$9:$B$9008,MATCH(4114,$C$9:$C$9008,0)))</f>
        <v/>
      </c>
      <c r="B4122" s="9" t="str">
        <f>IFERROR(INDEX(Input!$L$20:$T$1019,INT((ROW()-9)/9)+1,MOD(ROW()-9,9)+1),"")</f>
        <v/>
      </c>
      <c r="C4122" s="9">
        <f t="shared" si="64"/>
        <v>0</v>
      </c>
    </row>
    <row r="4123" spans="1:3" x14ac:dyDescent="0.2">
      <c r="A4123" s="10" t="str">
        <f>IF(4115&gt;$C$9008,"",INDEX($B$9:$B$9008,MATCH(4115,$C$9:$C$9008,0)))</f>
        <v/>
      </c>
      <c r="B4123" s="9" t="str">
        <f>IFERROR(INDEX(Input!$L$20:$T$1019,INT((ROW()-9)/9)+1,MOD(ROW()-9,9)+1),"")</f>
        <v/>
      </c>
      <c r="C4123" s="9">
        <f t="shared" si="64"/>
        <v>0</v>
      </c>
    </row>
    <row r="4124" spans="1:3" x14ac:dyDescent="0.2">
      <c r="A4124" s="10" t="str">
        <f>IF(4116&gt;$C$9008,"",INDEX($B$9:$B$9008,MATCH(4116,$C$9:$C$9008,0)))</f>
        <v/>
      </c>
      <c r="B4124" s="9" t="str">
        <f>IFERROR(INDEX(Input!$L$20:$T$1019,INT((ROW()-9)/9)+1,MOD(ROW()-9,9)+1),"")</f>
        <v/>
      </c>
      <c r="C4124" s="9">
        <f t="shared" si="64"/>
        <v>0</v>
      </c>
    </row>
    <row r="4125" spans="1:3" x14ac:dyDescent="0.2">
      <c r="A4125" s="10" t="str">
        <f>IF(4117&gt;$C$9008,"",INDEX($B$9:$B$9008,MATCH(4117,$C$9:$C$9008,0)))</f>
        <v/>
      </c>
      <c r="B4125" s="9" t="str">
        <f>IFERROR(INDEX(Input!$L$20:$T$1019,INT((ROW()-9)/9)+1,MOD(ROW()-9,9)+1),"")</f>
        <v/>
      </c>
      <c r="C4125" s="9">
        <f t="shared" si="64"/>
        <v>0</v>
      </c>
    </row>
    <row r="4126" spans="1:3" x14ac:dyDescent="0.2">
      <c r="A4126" s="10" t="str">
        <f>IF(4118&gt;$C$9008,"",INDEX($B$9:$B$9008,MATCH(4118,$C$9:$C$9008,0)))</f>
        <v/>
      </c>
      <c r="B4126" s="9" t="str">
        <f>IFERROR(INDEX(Input!$L$20:$T$1019,INT((ROW()-9)/9)+1,MOD(ROW()-9,9)+1),"")</f>
        <v/>
      </c>
      <c r="C4126" s="9">
        <f t="shared" si="64"/>
        <v>0</v>
      </c>
    </row>
    <row r="4127" spans="1:3" x14ac:dyDescent="0.2">
      <c r="A4127" s="10" t="str">
        <f>IF(4119&gt;$C$9008,"",INDEX($B$9:$B$9008,MATCH(4119,$C$9:$C$9008,0)))</f>
        <v/>
      </c>
      <c r="B4127" s="9" t="str">
        <f>IFERROR(INDEX(Input!$L$20:$T$1019,INT((ROW()-9)/9)+1,MOD(ROW()-9,9)+1),"")</f>
        <v/>
      </c>
      <c r="C4127" s="9">
        <f t="shared" si="64"/>
        <v>0</v>
      </c>
    </row>
    <row r="4128" spans="1:3" x14ac:dyDescent="0.2">
      <c r="A4128" s="10" t="str">
        <f>IF(4120&gt;$C$9008,"",INDEX($B$9:$B$9008,MATCH(4120,$C$9:$C$9008,0)))</f>
        <v/>
      </c>
      <c r="B4128" s="9" t="str">
        <f>IFERROR(INDEX(Input!$L$20:$T$1019,INT((ROW()-9)/9)+1,MOD(ROW()-9,9)+1),"")</f>
        <v/>
      </c>
      <c r="C4128" s="9">
        <f t="shared" si="64"/>
        <v>0</v>
      </c>
    </row>
    <row r="4129" spans="1:3" x14ac:dyDescent="0.2">
      <c r="A4129" s="10" t="str">
        <f>IF(4121&gt;$C$9008,"",INDEX($B$9:$B$9008,MATCH(4121,$C$9:$C$9008,0)))</f>
        <v/>
      </c>
      <c r="B4129" s="9" t="str">
        <f>IFERROR(INDEX(Input!$L$20:$T$1019,INT((ROW()-9)/9)+1,MOD(ROW()-9,9)+1),"")</f>
        <v/>
      </c>
      <c r="C4129" s="9">
        <f t="shared" si="64"/>
        <v>0</v>
      </c>
    </row>
    <row r="4130" spans="1:3" x14ac:dyDescent="0.2">
      <c r="A4130" s="10" t="str">
        <f>IF(4122&gt;$C$9008,"",INDEX($B$9:$B$9008,MATCH(4122,$C$9:$C$9008,0)))</f>
        <v/>
      </c>
      <c r="B4130" s="9" t="str">
        <f>IFERROR(INDEX(Input!$L$20:$T$1019,INT((ROW()-9)/9)+1,MOD(ROW()-9,9)+1),"")</f>
        <v/>
      </c>
      <c r="C4130" s="9">
        <f t="shared" si="64"/>
        <v>0</v>
      </c>
    </row>
    <row r="4131" spans="1:3" x14ac:dyDescent="0.2">
      <c r="A4131" s="10" t="str">
        <f>IF(4123&gt;$C$9008,"",INDEX($B$9:$B$9008,MATCH(4123,$C$9:$C$9008,0)))</f>
        <v/>
      </c>
      <c r="B4131" s="9" t="str">
        <f>IFERROR(INDEX(Input!$L$20:$T$1019,INT((ROW()-9)/9)+1,MOD(ROW()-9,9)+1),"")</f>
        <v/>
      </c>
      <c r="C4131" s="9">
        <f t="shared" si="64"/>
        <v>0</v>
      </c>
    </row>
    <row r="4132" spans="1:3" x14ac:dyDescent="0.2">
      <c r="A4132" s="10" t="str">
        <f>IF(4124&gt;$C$9008,"",INDEX($B$9:$B$9008,MATCH(4124,$C$9:$C$9008,0)))</f>
        <v/>
      </c>
      <c r="B4132" s="9" t="str">
        <f>IFERROR(INDEX(Input!$L$20:$T$1019,INT((ROW()-9)/9)+1,MOD(ROW()-9,9)+1),"")</f>
        <v/>
      </c>
      <c r="C4132" s="9">
        <f t="shared" si="64"/>
        <v>0</v>
      </c>
    </row>
    <row r="4133" spans="1:3" x14ac:dyDescent="0.2">
      <c r="A4133" s="10" t="str">
        <f>IF(4125&gt;$C$9008,"",INDEX($B$9:$B$9008,MATCH(4125,$C$9:$C$9008,0)))</f>
        <v/>
      </c>
      <c r="B4133" s="9" t="str">
        <f>IFERROR(INDEX(Input!$L$20:$T$1019,INT((ROW()-9)/9)+1,MOD(ROW()-9,9)+1),"")</f>
        <v/>
      </c>
      <c r="C4133" s="9">
        <f t="shared" si="64"/>
        <v>0</v>
      </c>
    </row>
    <row r="4134" spans="1:3" x14ac:dyDescent="0.2">
      <c r="A4134" s="10" t="str">
        <f>IF(4126&gt;$C$9008,"",INDEX($B$9:$B$9008,MATCH(4126,$C$9:$C$9008,0)))</f>
        <v/>
      </c>
      <c r="B4134" s="9" t="str">
        <f>IFERROR(INDEX(Input!$L$20:$T$1019,INT((ROW()-9)/9)+1,MOD(ROW()-9,9)+1),"")</f>
        <v/>
      </c>
      <c r="C4134" s="9">
        <f t="shared" si="64"/>
        <v>0</v>
      </c>
    </row>
    <row r="4135" spans="1:3" x14ac:dyDescent="0.2">
      <c r="A4135" s="10" t="str">
        <f>IF(4127&gt;$C$9008,"",INDEX($B$9:$B$9008,MATCH(4127,$C$9:$C$9008,0)))</f>
        <v/>
      </c>
      <c r="B4135" s="9" t="str">
        <f>IFERROR(INDEX(Input!$L$20:$T$1019,INT((ROW()-9)/9)+1,MOD(ROW()-9,9)+1),"")</f>
        <v/>
      </c>
      <c r="C4135" s="9">
        <f t="shared" si="64"/>
        <v>0</v>
      </c>
    </row>
    <row r="4136" spans="1:3" x14ac:dyDescent="0.2">
      <c r="A4136" s="10" t="str">
        <f>IF(4128&gt;$C$9008,"",INDEX($B$9:$B$9008,MATCH(4128,$C$9:$C$9008,0)))</f>
        <v/>
      </c>
      <c r="B4136" s="9" t="str">
        <f>IFERROR(INDEX(Input!$L$20:$T$1019,INT((ROW()-9)/9)+1,MOD(ROW()-9,9)+1),"")</f>
        <v/>
      </c>
      <c r="C4136" s="9">
        <f t="shared" si="64"/>
        <v>0</v>
      </c>
    </row>
    <row r="4137" spans="1:3" x14ac:dyDescent="0.2">
      <c r="A4137" s="10" t="str">
        <f>IF(4129&gt;$C$9008,"",INDEX($B$9:$B$9008,MATCH(4129,$C$9:$C$9008,0)))</f>
        <v/>
      </c>
      <c r="B4137" s="9" t="str">
        <f>IFERROR(INDEX(Input!$L$20:$T$1019,INT((ROW()-9)/9)+1,MOD(ROW()-9,9)+1),"")</f>
        <v/>
      </c>
      <c r="C4137" s="9">
        <f t="shared" si="64"/>
        <v>0</v>
      </c>
    </row>
    <row r="4138" spans="1:3" x14ac:dyDescent="0.2">
      <c r="A4138" s="10" t="str">
        <f>IF(4130&gt;$C$9008,"",INDEX($B$9:$B$9008,MATCH(4130,$C$9:$C$9008,0)))</f>
        <v/>
      </c>
      <c r="B4138" s="9" t="str">
        <f>IFERROR(INDEX(Input!$L$20:$T$1019,INT((ROW()-9)/9)+1,MOD(ROW()-9,9)+1),"")</f>
        <v/>
      </c>
      <c r="C4138" s="9">
        <f t="shared" si="64"/>
        <v>0</v>
      </c>
    </row>
    <row r="4139" spans="1:3" x14ac:dyDescent="0.2">
      <c r="A4139" s="10" t="str">
        <f>IF(4131&gt;$C$9008,"",INDEX($B$9:$B$9008,MATCH(4131,$C$9:$C$9008,0)))</f>
        <v/>
      </c>
      <c r="B4139" s="9" t="str">
        <f>IFERROR(INDEX(Input!$L$20:$T$1019,INT((ROW()-9)/9)+1,MOD(ROW()-9,9)+1),"")</f>
        <v/>
      </c>
      <c r="C4139" s="9">
        <f t="shared" si="64"/>
        <v>0</v>
      </c>
    </row>
    <row r="4140" spans="1:3" x14ac:dyDescent="0.2">
      <c r="A4140" s="10" t="str">
        <f>IF(4132&gt;$C$9008,"",INDEX($B$9:$B$9008,MATCH(4132,$C$9:$C$9008,0)))</f>
        <v/>
      </c>
      <c r="B4140" s="9" t="str">
        <f>IFERROR(INDEX(Input!$L$20:$T$1019,INT((ROW()-9)/9)+1,MOD(ROW()-9,9)+1),"")</f>
        <v/>
      </c>
      <c r="C4140" s="9">
        <f t="shared" si="64"/>
        <v>0</v>
      </c>
    </row>
    <row r="4141" spans="1:3" x14ac:dyDescent="0.2">
      <c r="A4141" s="10" t="str">
        <f>IF(4133&gt;$C$9008,"",INDEX($B$9:$B$9008,MATCH(4133,$C$9:$C$9008,0)))</f>
        <v/>
      </c>
      <c r="B4141" s="9" t="str">
        <f>IFERROR(INDEX(Input!$L$20:$T$1019,INT((ROW()-9)/9)+1,MOD(ROW()-9,9)+1),"")</f>
        <v/>
      </c>
      <c r="C4141" s="9">
        <f t="shared" si="64"/>
        <v>0</v>
      </c>
    </row>
    <row r="4142" spans="1:3" x14ac:dyDescent="0.2">
      <c r="A4142" s="10" t="str">
        <f>IF(4134&gt;$C$9008,"",INDEX($B$9:$B$9008,MATCH(4134,$C$9:$C$9008,0)))</f>
        <v/>
      </c>
      <c r="B4142" s="9" t="str">
        <f>IFERROR(INDEX(Input!$L$20:$T$1019,INT((ROW()-9)/9)+1,MOD(ROW()-9,9)+1),"")</f>
        <v/>
      </c>
      <c r="C4142" s="9">
        <f t="shared" si="64"/>
        <v>0</v>
      </c>
    </row>
    <row r="4143" spans="1:3" x14ac:dyDescent="0.2">
      <c r="A4143" s="10" t="str">
        <f>IF(4135&gt;$C$9008,"",INDEX($B$9:$B$9008,MATCH(4135,$C$9:$C$9008,0)))</f>
        <v/>
      </c>
      <c r="B4143" s="9" t="str">
        <f>IFERROR(INDEX(Input!$L$20:$T$1019,INT((ROW()-9)/9)+1,MOD(ROW()-9,9)+1),"")</f>
        <v/>
      </c>
      <c r="C4143" s="9">
        <f t="shared" si="64"/>
        <v>0</v>
      </c>
    </row>
    <row r="4144" spans="1:3" x14ac:dyDescent="0.2">
      <c r="A4144" s="10" t="str">
        <f>IF(4136&gt;$C$9008,"",INDEX($B$9:$B$9008,MATCH(4136,$C$9:$C$9008,0)))</f>
        <v/>
      </c>
      <c r="B4144" s="9" t="str">
        <f>IFERROR(INDEX(Input!$L$20:$T$1019,INT((ROW()-9)/9)+1,MOD(ROW()-9,9)+1),"")</f>
        <v/>
      </c>
      <c r="C4144" s="9">
        <f t="shared" si="64"/>
        <v>0</v>
      </c>
    </row>
    <row r="4145" spans="1:3" x14ac:dyDescent="0.2">
      <c r="A4145" s="10" t="str">
        <f>IF(4137&gt;$C$9008,"",INDEX($B$9:$B$9008,MATCH(4137,$C$9:$C$9008,0)))</f>
        <v/>
      </c>
      <c r="B4145" s="9" t="str">
        <f>IFERROR(INDEX(Input!$L$20:$T$1019,INT((ROW()-9)/9)+1,MOD(ROW()-9,9)+1),"")</f>
        <v/>
      </c>
      <c r="C4145" s="9">
        <f t="shared" si="64"/>
        <v>0</v>
      </c>
    </row>
    <row r="4146" spans="1:3" x14ac:dyDescent="0.2">
      <c r="A4146" s="10" t="str">
        <f>IF(4138&gt;$C$9008,"",INDEX($B$9:$B$9008,MATCH(4138,$C$9:$C$9008,0)))</f>
        <v/>
      </c>
      <c r="B4146" s="9" t="str">
        <f>IFERROR(INDEX(Input!$L$20:$T$1019,INT((ROW()-9)/9)+1,MOD(ROW()-9,9)+1),"")</f>
        <v/>
      </c>
      <c r="C4146" s="9">
        <f t="shared" si="64"/>
        <v>0</v>
      </c>
    </row>
    <row r="4147" spans="1:3" x14ac:dyDescent="0.2">
      <c r="A4147" s="10" t="str">
        <f>IF(4139&gt;$C$9008,"",INDEX($B$9:$B$9008,MATCH(4139,$C$9:$C$9008,0)))</f>
        <v/>
      </c>
      <c r="B4147" s="9" t="str">
        <f>IFERROR(INDEX(Input!$L$20:$T$1019,INT((ROW()-9)/9)+1,MOD(ROW()-9,9)+1),"")</f>
        <v/>
      </c>
      <c r="C4147" s="9">
        <f t="shared" si="64"/>
        <v>0</v>
      </c>
    </row>
    <row r="4148" spans="1:3" x14ac:dyDescent="0.2">
      <c r="A4148" s="10" t="str">
        <f>IF(4140&gt;$C$9008,"",INDEX($B$9:$B$9008,MATCH(4140,$C$9:$C$9008,0)))</f>
        <v/>
      </c>
      <c r="B4148" s="9" t="str">
        <f>IFERROR(INDEX(Input!$L$20:$T$1019,INT((ROW()-9)/9)+1,MOD(ROW()-9,9)+1),"")</f>
        <v/>
      </c>
      <c r="C4148" s="9">
        <f t="shared" si="64"/>
        <v>0</v>
      </c>
    </row>
    <row r="4149" spans="1:3" x14ac:dyDescent="0.2">
      <c r="A4149" s="10" t="str">
        <f>IF(4141&gt;$C$9008,"",INDEX($B$9:$B$9008,MATCH(4141,$C$9:$C$9008,0)))</f>
        <v/>
      </c>
      <c r="B4149" s="9" t="str">
        <f>IFERROR(INDEX(Input!$L$20:$T$1019,INT((ROW()-9)/9)+1,MOD(ROW()-9,9)+1),"")</f>
        <v/>
      </c>
      <c r="C4149" s="9">
        <f t="shared" si="64"/>
        <v>0</v>
      </c>
    </row>
    <row r="4150" spans="1:3" x14ac:dyDescent="0.2">
      <c r="A4150" s="10" t="str">
        <f>IF(4142&gt;$C$9008,"",INDEX($B$9:$B$9008,MATCH(4142,$C$9:$C$9008,0)))</f>
        <v/>
      </c>
      <c r="B4150" s="9" t="str">
        <f>IFERROR(INDEX(Input!$L$20:$T$1019,INT((ROW()-9)/9)+1,MOD(ROW()-9,9)+1),"")</f>
        <v/>
      </c>
      <c r="C4150" s="9">
        <f t="shared" si="64"/>
        <v>0</v>
      </c>
    </row>
    <row r="4151" spans="1:3" x14ac:dyDescent="0.2">
      <c r="A4151" s="10" t="str">
        <f>IF(4143&gt;$C$9008,"",INDEX($B$9:$B$9008,MATCH(4143,$C$9:$C$9008,0)))</f>
        <v/>
      </c>
      <c r="B4151" s="9" t="str">
        <f>IFERROR(INDEX(Input!$L$20:$T$1019,INT((ROW()-9)/9)+1,MOD(ROW()-9,9)+1),"")</f>
        <v/>
      </c>
      <c r="C4151" s="9">
        <f t="shared" si="64"/>
        <v>0</v>
      </c>
    </row>
    <row r="4152" spans="1:3" x14ac:dyDescent="0.2">
      <c r="A4152" s="10" t="str">
        <f>IF(4144&gt;$C$9008,"",INDEX($B$9:$B$9008,MATCH(4144,$C$9:$C$9008,0)))</f>
        <v/>
      </c>
      <c r="B4152" s="9" t="str">
        <f>IFERROR(INDEX(Input!$L$20:$T$1019,INT((ROW()-9)/9)+1,MOD(ROW()-9,9)+1),"")</f>
        <v/>
      </c>
      <c r="C4152" s="9">
        <f t="shared" si="64"/>
        <v>0</v>
      </c>
    </row>
    <row r="4153" spans="1:3" x14ac:dyDescent="0.2">
      <c r="A4153" s="10" t="str">
        <f>IF(4145&gt;$C$9008,"",INDEX($B$9:$B$9008,MATCH(4145,$C$9:$C$9008,0)))</f>
        <v/>
      </c>
      <c r="B4153" s="9" t="str">
        <f>IFERROR(INDEX(Input!$L$20:$T$1019,INT((ROW()-9)/9)+1,MOD(ROW()-9,9)+1),"")</f>
        <v/>
      </c>
      <c r="C4153" s="9">
        <f t="shared" si="64"/>
        <v>0</v>
      </c>
    </row>
    <row r="4154" spans="1:3" x14ac:dyDescent="0.2">
      <c r="A4154" s="10" t="str">
        <f>IF(4146&gt;$C$9008,"",INDEX($B$9:$B$9008,MATCH(4146,$C$9:$C$9008,0)))</f>
        <v/>
      </c>
      <c r="B4154" s="9" t="str">
        <f>IFERROR(INDEX(Input!$L$20:$T$1019,INT((ROW()-9)/9)+1,MOD(ROW()-9,9)+1),"")</f>
        <v/>
      </c>
      <c r="C4154" s="9">
        <f t="shared" si="64"/>
        <v>0</v>
      </c>
    </row>
    <row r="4155" spans="1:3" x14ac:dyDescent="0.2">
      <c r="A4155" s="10" t="str">
        <f>IF(4147&gt;$C$9008,"",INDEX($B$9:$B$9008,MATCH(4147,$C$9:$C$9008,0)))</f>
        <v/>
      </c>
      <c r="B4155" s="9" t="str">
        <f>IFERROR(INDEX(Input!$L$20:$T$1019,INT((ROW()-9)/9)+1,MOD(ROW()-9,9)+1),"")</f>
        <v/>
      </c>
      <c r="C4155" s="9">
        <f t="shared" si="64"/>
        <v>0</v>
      </c>
    </row>
    <row r="4156" spans="1:3" x14ac:dyDescent="0.2">
      <c r="A4156" s="10" t="str">
        <f>IF(4148&gt;$C$9008,"",INDEX($B$9:$B$9008,MATCH(4148,$C$9:$C$9008,0)))</f>
        <v/>
      </c>
      <c r="B4156" s="9" t="str">
        <f>IFERROR(INDEX(Input!$L$20:$T$1019,INT((ROW()-9)/9)+1,MOD(ROW()-9,9)+1),"")</f>
        <v/>
      </c>
      <c r="C4156" s="9">
        <f t="shared" si="64"/>
        <v>0</v>
      </c>
    </row>
    <row r="4157" spans="1:3" x14ac:dyDescent="0.2">
      <c r="A4157" s="10" t="str">
        <f>IF(4149&gt;$C$9008,"",INDEX($B$9:$B$9008,MATCH(4149,$C$9:$C$9008,0)))</f>
        <v/>
      </c>
      <c r="B4157" s="9" t="str">
        <f>IFERROR(INDEX(Input!$L$20:$T$1019,INT((ROW()-9)/9)+1,MOD(ROW()-9,9)+1),"")</f>
        <v/>
      </c>
      <c r="C4157" s="9">
        <f t="shared" si="64"/>
        <v>0</v>
      </c>
    </row>
    <row r="4158" spans="1:3" x14ac:dyDescent="0.2">
      <c r="A4158" s="10" t="str">
        <f>IF(4150&gt;$C$9008,"",INDEX($B$9:$B$9008,MATCH(4150,$C$9:$C$9008,0)))</f>
        <v/>
      </c>
      <c r="B4158" s="9" t="str">
        <f>IFERROR(INDEX(Input!$L$20:$T$1019,INT((ROW()-9)/9)+1,MOD(ROW()-9,9)+1),"")</f>
        <v/>
      </c>
      <c r="C4158" s="9">
        <f t="shared" si="64"/>
        <v>0</v>
      </c>
    </row>
    <row r="4159" spans="1:3" x14ac:dyDescent="0.2">
      <c r="A4159" s="10" t="str">
        <f>IF(4151&gt;$C$9008,"",INDEX($B$9:$B$9008,MATCH(4151,$C$9:$C$9008,0)))</f>
        <v/>
      </c>
      <c r="B4159" s="9" t="str">
        <f>IFERROR(INDEX(Input!$L$20:$T$1019,INT((ROW()-9)/9)+1,MOD(ROW()-9,9)+1),"")</f>
        <v/>
      </c>
      <c r="C4159" s="9">
        <f t="shared" si="64"/>
        <v>0</v>
      </c>
    </row>
    <row r="4160" spans="1:3" x14ac:dyDescent="0.2">
      <c r="A4160" s="10" t="str">
        <f>IF(4152&gt;$C$9008,"",INDEX($B$9:$B$9008,MATCH(4152,$C$9:$C$9008,0)))</f>
        <v/>
      </c>
      <c r="B4160" s="9" t="str">
        <f>IFERROR(INDEX(Input!$L$20:$T$1019,INT((ROW()-9)/9)+1,MOD(ROW()-9,9)+1),"")</f>
        <v/>
      </c>
      <c r="C4160" s="9">
        <f t="shared" si="64"/>
        <v>0</v>
      </c>
    </row>
    <row r="4161" spans="1:3" x14ac:dyDescent="0.2">
      <c r="A4161" s="10" t="str">
        <f>IF(4153&gt;$C$9008,"",INDEX($B$9:$B$9008,MATCH(4153,$C$9:$C$9008,0)))</f>
        <v/>
      </c>
      <c r="B4161" s="9" t="str">
        <f>IFERROR(INDEX(Input!$L$20:$T$1019,INT((ROW()-9)/9)+1,MOD(ROW()-9,9)+1),"")</f>
        <v/>
      </c>
      <c r="C4161" s="9">
        <f t="shared" si="64"/>
        <v>0</v>
      </c>
    </row>
    <row r="4162" spans="1:3" x14ac:dyDescent="0.2">
      <c r="A4162" s="10" t="str">
        <f>IF(4154&gt;$C$9008,"",INDEX($B$9:$B$9008,MATCH(4154,$C$9:$C$9008,0)))</f>
        <v/>
      </c>
      <c r="B4162" s="9" t="str">
        <f>IFERROR(INDEX(Input!$L$20:$T$1019,INT((ROW()-9)/9)+1,MOD(ROW()-9,9)+1),"")</f>
        <v/>
      </c>
      <c r="C4162" s="9">
        <f t="shared" si="64"/>
        <v>0</v>
      </c>
    </row>
    <row r="4163" spans="1:3" x14ac:dyDescent="0.2">
      <c r="A4163" s="10" t="str">
        <f>IF(4155&gt;$C$9008,"",INDEX($B$9:$B$9008,MATCH(4155,$C$9:$C$9008,0)))</f>
        <v/>
      </c>
      <c r="B4163" s="9" t="str">
        <f>IFERROR(INDEX(Input!$L$20:$T$1019,INT((ROW()-9)/9)+1,MOD(ROW()-9,9)+1),"")</f>
        <v/>
      </c>
      <c r="C4163" s="9">
        <f t="shared" si="64"/>
        <v>0</v>
      </c>
    </row>
    <row r="4164" spans="1:3" x14ac:dyDescent="0.2">
      <c r="A4164" s="10" t="str">
        <f>IF(4156&gt;$C$9008,"",INDEX($B$9:$B$9008,MATCH(4156,$C$9:$C$9008,0)))</f>
        <v/>
      </c>
      <c r="B4164" s="9" t="str">
        <f>IFERROR(INDEX(Input!$L$20:$T$1019,INT((ROW()-9)/9)+1,MOD(ROW()-9,9)+1),"")</f>
        <v/>
      </c>
      <c r="C4164" s="9">
        <f t="shared" si="64"/>
        <v>0</v>
      </c>
    </row>
    <row r="4165" spans="1:3" x14ac:dyDescent="0.2">
      <c r="A4165" s="10" t="str">
        <f>IF(4157&gt;$C$9008,"",INDEX($B$9:$B$9008,MATCH(4157,$C$9:$C$9008,0)))</f>
        <v/>
      </c>
      <c r="B4165" s="9" t="str">
        <f>IFERROR(INDEX(Input!$L$20:$T$1019,INT((ROW()-9)/9)+1,MOD(ROW()-9,9)+1),"")</f>
        <v/>
      </c>
      <c r="C4165" s="9">
        <f t="shared" si="64"/>
        <v>0</v>
      </c>
    </row>
    <row r="4166" spans="1:3" x14ac:dyDescent="0.2">
      <c r="A4166" s="10" t="str">
        <f>IF(4158&gt;$C$9008,"",INDEX($B$9:$B$9008,MATCH(4158,$C$9:$C$9008,0)))</f>
        <v/>
      </c>
      <c r="B4166" s="9" t="str">
        <f>IFERROR(INDEX(Input!$L$20:$T$1019,INT((ROW()-9)/9)+1,MOD(ROW()-9,9)+1),"")</f>
        <v/>
      </c>
      <c r="C4166" s="9">
        <f t="shared" si="64"/>
        <v>0</v>
      </c>
    </row>
    <row r="4167" spans="1:3" x14ac:dyDescent="0.2">
      <c r="A4167" s="10" t="str">
        <f>IF(4159&gt;$C$9008,"",INDEX($B$9:$B$9008,MATCH(4159,$C$9:$C$9008,0)))</f>
        <v/>
      </c>
      <c r="B4167" s="9" t="str">
        <f>IFERROR(INDEX(Input!$L$20:$T$1019,INT((ROW()-9)/9)+1,MOD(ROW()-9,9)+1),"")</f>
        <v/>
      </c>
      <c r="C4167" s="9">
        <f t="shared" si="64"/>
        <v>0</v>
      </c>
    </row>
    <row r="4168" spans="1:3" x14ac:dyDescent="0.2">
      <c r="A4168" s="10" t="str">
        <f>IF(4160&gt;$C$9008,"",INDEX($B$9:$B$9008,MATCH(4160,$C$9:$C$9008,0)))</f>
        <v/>
      </c>
      <c r="B4168" s="9" t="str">
        <f>IFERROR(INDEX(Input!$L$20:$T$1019,INT((ROW()-9)/9)+1,MOD(ROW()-9,9)+1),"")</f>
        <v/>
      </c>
      <c r="C4168" s="9">
        <f t="shared" si="64"/>
        <v>0</v>
      </c>
    </row>
    <row r="4169" spans="1:3" x14ac:dyDescent="0.2">
      <c r="A4169" s="10" t="str">
        <f>IF(4161&gt;$C$9008,"",INDEX($B$9:$B$9008,MATCH(4161,$C$9:$C$9008,0)))</f>
        <v/>
      </c>
      <c r="B4169" s="9" t="str">
        <f>IFERROR(INDEX(Input!$L$20:$T$1019,INT((ROW()-9)/9)+1,MOD(ROW()-9,9)+1),"")</f>
        <v/>
      </c>
      <c r="C4169" s="9">
        <f t="shared" ref="C4169:C4232" si="65">$C4168+IF($B4169&lt;&gt;"",1,0)</f>
        <v>0</v>
      </c>
    </row>
    <row r="4170" spans="1:3" x14ac:dyDescent="0.2">
      <c r="A4170" s="10" t="str">
        <f>IF(4162&gt;$C$9008,"",INDEX($B$9:$B$9008,MATCH(4162,$C$9:$C$9008,0)))</f>
        <v/>
      </c>
      <c r="B4170" s="9" t="str">
        <f>IFERROR(INDEX(Input!$L$20:$T$1019,INT((ROW()-9)/9)+1,MOD(ROW()-9,9)+1),"")</f>
        <v/>
      </c>
      <c r="C4170" s="9">
        <f t="shared" si="65"/>
        <v>0</v>
      </c>
    </row>
    <row r="4171" spans="1:3" x14ac:dyDescent="0.2">
      <c r="A4171" s="10" t="str">
        <f>IF(4163&gt;$C$9008,"",INDEX($B$9:$B$9008,MATCH(4163,$C$9:$C$9008,0)))</f>
        <v/>
      </c>
      <c r="B4171" s="9" t="str">
        <f>IFERROR(INDEX(Input!$L$20:$T$1019,INT((ROW()-9)/9)+1,MOD(ROW()-9,9)+1),"")</f>
        <v/>
      </c>
      <c r="C4171" s="9">
        <f t="shared" si="65"/>
        <v>0</v>
      </c>
    </row>
    <row r="4172" spans="1:3" x14ac:dyDescent="0.2">
      <c r="A4172" s="10" t="str">
        <f>IF(4164&gt;$C$9008,"",INDEX($B$9:$B$9008,MATCH(4164,$C$9:$C$9008,0)))</f>
        <v/>
      </c>
      <c r="B4172" s="9" t="str">
        <f>IFERROR(INDEX(Input!$L$20:$T$1019,INT((ROW()-9)/9)+1,MOD(ROW()-9,9)+1),"")</f>
        <v/>
      </c>
      <c r="C4172" s="9">
        <f t="shared" si="65"/>
        <v>0</v>
      </c>
    </row>
    <row r="4173" spans="1:3" x14ac:dyDescent="0.2">
      <c r="A4173" s="10" t="str">
        <f>IF(4165&gt;$C$9008,"",INDEX($B$9:$B$9008,MATCH(4165,$C$9:$C$9008,0)))</f>
        <v/>
      </c>
      <c r="B4173" s="9" t="str">
        <f>IFERROR(INDEX(Input!$L$20:$T$1019,INT((ROW()-9)/9)+1,MOD(ROW()-9,9)+1),"")</f>
        <v/>
      </c>
      <c r="C4173" s="9">
        <f t="shared" si="65"/>
        <v>0</v>
      </c>
    </row>
    <row r="4174" spans="1:3" x14ac:dyDescent="0.2">
      <c r="A4174" s="10" t="str">
        <f>IF(4166&gt;$C$9008,"",INDEX($B$9:$B$9008,MATCH(4166,$C$9:$C$9008,0)))</f>
        <v/>
      </c>
      <c r="B4174" s="9" t="str">
        <f>IFERROR(INDEX(Input!$L$20:$T$1019,INT((ROW()-9)/9)+1,MOD(ROW()-9,9)+1),"")</f>
        <v/>
      </c>
      <c r="C4174" s="9">
        <f t="shared" si="65"/>
        <v>0</v>
      </c>
    </row>
    <row r="4175" spans="1:3" x14ac:dyDescent="0.2">
      <c r="A4175" s="10" t="str">
        <f>IF(4167&gt;$C$9008,"",INDEX($B$9:$B$9008,MATCH(4167,$C$9:$C$9008,0)))</f>
        <v/>
      </c>
      <c r="B4175" s="9" t="str">
        <f>IFERROR(INDEX(Input!$L$20:$T$1019,INT((ROW()-9)/9)+1,MOD(ROW()-9,9)+1),"")</f>
        <v/>
      </c>
      <c r="C4175" s="9">
        <f t="shared" si="65"/>
        <v>0</v>
      </c>
    </row>
    <row r="4176" spans="1:3" x14ac:dyDescent="0.2">
      <c r="A4176" s="10" t="str">
        <f>IF(4168&gt;$C$9008,"",INDEX($B$9:$B$9008,MATCH(4168,$C$9:$C$9008,0)))</f>
        <v/>
      </c>
      <c r="B4176" s="9" t="str">
        <f>IFERROR(INDEX(Input!$L$20:$T$1019,INT((ROW()-9)/9)+1,MOD(ROW()-9,9)+1),"")</f>
        <v/>
      </c>
      <c r="C4176" s="9">
        <f t="shared" si="65"/>
        <v>0</v>
      </c>
    </row>
    <row r="4177" spans="1:3" x14ac:dyDescent="0.2">
      <c r="A4177" s="10" t="str">
        <f>IF(4169&gt;$C$9008,"",INDEX($B$9:$B$9008,MATCH(4169,$C$9:$C$9008,0)))</f>
        <v/>
      </c>
      <c r="B4177" s="9" t="str">
        <f>IFERROR(INDEX(Input!$L$20:$T$1019,INT((ROW()-9)/9)+1,MOD(ROW()-9,9)+1),"")</f>
        <v/>
      </c>
      <c r="C4177" s="9">
        <f t="shared" si="65"/>
        <v>0</v>
      </c>
    </row>
    <row r="4178" spans="1:3" x14ac:dyDescent="0.2">
      <c r="A4178" s="10" t="str">
        <f>IF(4170&gt;$C$9008,"",INDEX($B$9:$B$9008,MATCH(4170,$C$9:$C$9008,0)))</f>
        <v/>
      </c>
      <c r="B4178" s="9" t="str">
        <f>IFERROR(INDEX(Input!$L$20:$T$1019,INT((ROW()-9)/9)+1,MOD(ROW()-9,9)+1),"")</f>
        <v/>
      </c>
      <c r="C4178" s="9">
        <f t="shared" si="65"/>
        <v>0</v>
      </c>
    </row>
    <row r="4179" spans="1:3" x14ac:dyDescent="0.2">
      <c r="A4179" s="10" t="str">
        <f>IF(4171&gt;$C$9008,"",INDEX($B$9:$B$9008,MATCH(4171,$C$9:$C$9008,0)))</f>
        <v/>
      </c>
      <c r="B4179" s="9" t="str">
        <f>IFERROR(INDEX(Input!$L$20:$T$1019,INT((ROW()-9)/9)+1,MOD(ROW()-9,9)+1),"")</f>
        <v/>
      </c>
      <c r="C4179" s="9">
        <f t="shared" si="65"/>
        <v>0</v>
      </c>
    </row>
    <row r="4180" spans="1:3" x14ac:dyDescent="0.2">
      <c r="A4180" s="10" t="str">
        <f>IF(4172&gt;$C$9008,"",INDEX($B$9:$B$9008,MATCH(4172,$C$9:$C$9008,0)))</f>
        <v/>
      </c>
      <c r="B4180" s="9" t="str">
        <f>IFERROR(INDEX(Input!$L$20:$T$1019,INT((ROW()-9)/9)+1,MOD(ROW()-9,9)+1),"")</f>
        <v/>
      </c>
      <c r="C4180" s="9">
        <f t="shared" si="65"/>
        <v>0</v>
      </c>
    </row>
    <row r="4181" spans="1:3" x14ac:dyDescent="0.2">
      <c r="A4181" s="10" t="str">
        <f>IF(4173&gt;$C$9008,"",INDEX($B$9:$B$9008,MATCH(4173,$C$9:$C$9008,0)))</f>
        <v/>
      </c>
      <c r="B4181" s="9" t="str">
        <f>IFERROR(INDEX(Input!$L$20:$T$1019,INT((ROW()-9)/9)+1,MOD(ROW()-9,9)+1),"")</f>
        <v/>
      </c>
      <c r="C4181" s="9">
        <f t="shared" si="65"/>
        <v>0</v>
      </c>
    </row>
    <row r="4182" spans="1:3" x14ac:dyDescent="0.2">
      <c r="A4182" s="10" t="str">
        <f>IF(4174&gt;$C$9008,"",INDEX($B$9:$B$9008,MATCH(4174,$C$9:$C$9008,0)))</f>
        <v/>
      </c>
      <c r="B4182" s="9" t="str">
        <f>IFERROR(INDEX(Input!$L$20:$T$1019,INT((ROW()-9)/9)+1,MOD(ROW()-9,9)+1),"")</f>
        <v/>
      </c>
      <c r="C4182" s="9">
        <f t="shared" si="65"/>
        <v>0</v>
      </c>
    </row>
    <row r="4183" spans="1:3" x14ac:dyDescent="0.2">
      <c r="A4183" s="10" t="str">
        <f>IF(4175&gt;$C$9008,"",INDEX($B$9:$B$9008,MATCH(4175,$C$9:$C$9008,0)))</f>
        <v/>
      </c>
      <c r="B4183" s="9" t="str">
        <f>IFERROR(INDEX(Input!$L$20:$T$1019,INT((ROW()-9)/9)+1,MOD(ROW()-9,9)+1),"")</f>
        <v/>
      </c>
      <c r="C4183" s="9">
        <f t="shared" si="65"/>
        <v>0</v>
      </c>
    </row>
    <row r="4184" spans="1:3" x14ac:dyDescent="0.2">
      <c r="A4184" s="10" t="str">
        <f>IF(4176&gt;$C$9008,"",INDEX($B$9:$B$9008,MATCH(4176,$C$9:$C$9008,0)))</f>
        <v/>
      </c>
      <c r="B4184" s="9" t="str">
        <f>IFERROR(INDEX(Input!$L$20:$T$1019,INT((ROW()-9)/9)+1,MOD(ROW()-9,9)+1),"")</f>
        <v/>
      </c>
      <c r="C4184" s="9">
        <f t="shared" si="65"/>
        <v>0</v>
      </c>
    </row>
    <row r="4185" spans="1:3" x14ac:dyDescent="0.2">
      <c r="A4185" s="10" t="str">
        <f>IF(4177&gt;$C$9008,"",INDEX($B$9:$B$9008,MATCH(4177,$C$9:$C$9008,0)))</f>
        <v/>
      </c>
      <c r="B4185" s="9" t="str">
        <f>IFERROR(INDEX(Input!$L$20:$T$1019,INT((ROW()-9)/9)+1,MOD(ROW()-9,9)+1),"")</f>
        <v/>
      </c>
      <c r="C4185" s="9">
        <f t="shared" si="65"/>
        <v>0</v>
      </c>
    </row>
    <row r="4186" spans="1:3" x14ac:dyDescent="0.2">
      <c r="A4186" s="10" t="str">
        <f>IF(4178&gt;$C$9008,"",INDEX($B$9:$B$9008,MATCH(4178,$C$9:$C$9008,0)))</f>
        <v/>
      </c>
      <c r="B4186" s="9" t="str">
        <f>IFERROR(INDEX(Input!$L$20:$T$1019,INT((ROW()-9)/9)+1,MOD(ROW()-9,9)+1),"")</f>
        <v/>
      </c>
      <c r="C4186" s="9">
        <f t="shared" si="65"/>
        <v>0</v>
      </c>
    </row>
    <row r="4187" spans="1:3" x14ac:dyDescent="0.2">
      <c r="A4187" s="10" t="str">
        <f>IF(4179&gt;$C$9008,"",INDEX($B$9:$B$9008,MATCH(4179,$C$9:$C$9008,0)))</f>
        <v/>
      </c>
      <c r="B4187" s="9" t="str">
        <f>IFERROR(INDEX(Input!$L$20:$T$1019,INT((ROW()-9)/9)+1,MOD(ROW()-9,9)+1),"")</f>
        <v/>
      </c>
      <c r="C4187" s="9">
        <f t="shared" si="65"/>
        <v>0</v>
      </c>
    </row>
    <row r="4188" spans="1:3" x14ac:dyDescent="0.2">
      <c r="A4188" s="10" t="str">
        <f>IF(4180&gt;$C$9008,"",INDEX($B$9:$B$9008,MATCH(4180,$C$9:$C$9008,0)))</f>
        <v/>
      </c>
      <c r="B4188" s="9" t="str">
        <f>IFERROR(INDEX(Input!$L$20:$T$1019,INT((ROW()-9)/9)+1,MOD(ROW()-9,9)+1),"")</f>
        <v/>
      </c>
      <c r="C4188" s="9">
        <f t="shared" si="65"/>
        <v>0</v>
      </c>
    </row>
    <row r="4189" spans="1:3" x14ac:dyDescent="0.2">
      <c r="A4189" s="10" t="str">
        <f>IF(4181&gt;$C$9008,"",INDEX($B$9:$B$9008,MATCH(4181,$C$9:$C$9008,0)))</f>
        <v/>
      </c>
      <c r="B4189" s="9" t="str">
        <f>IFERROR(INDEX(Input!$L$20:$T$1019,INT((ROW()-9)/9)+1,MOD(ROW()-9,9)+1),"")</f>
        <v/>
      </c>
      <c r="C4189" s="9">
        <f t="shared" si="65"/>
        <v>0</v>
      </c>
    </row>
    <row r="4190" spans="1:3" x14ac:dyDescent="0.2">
      <c r="A4190" s="10" t="str">
        <f>IF(4182&gt;$C$9008,"",INDEX($B$9:$B$9008,MATCH(4182,$C$9:$C$9008,0)))</f>
        <v/>
      </c>
      <c r="B4190" s="9" t="str">
        <f>IFERROR(INDEX(Input!$L$20:$T$1019,INT((ROW()-9)/9)+1,MOD(ROW()-9,9)+1),"")</f>
        <v/>
      </c>
      <c r="C4190" s="9">
        <f t="shared" si="65"/>
        <v>0</v>
      </c>
    </row>
    <row r="4191" spans="1:3" x14ac:dyDescent="0.2">
      <c r="A4191" s="10" t="str">
        <f>IF(4183&gt;$C$9008,"",INDEX($B$9:$B$9008,MATCH(4183,$C$9:$C$9008,0)))</f>
        <v/>
      </c>
      <c r="B4191" s="9" t="str">
        <f>IFERROR(INDEX(Input!$L$20:$T$1019,INT((ROW()-9)/9)+1,MOD(ROW()-9,9)+1),"")</f>
        <v/>
      </c>
      <c r="C4191" s="9">
        <f t="shared" si="65"/>
        <v>0</v>
      </c>
    </row>
    <row r="4192" spans="1:3" x14ac:dyDescent="0.2">
      <c r="A4192" s="10" t="str">
        <f>IF(4184&gt;$C$9008,"",INDEX($B$9:$B$9008,MATCH(4184,$C$9:$C$9008,0)))</f>
        <v/>
      </c>
      <c r="B4192" s="9" t="str">
        <f>IFERROR(INDEX(Input!$L$20:$T$1019,INT((ROW()-9)/9)+1,MOD(ROW()-9,9)+1),"")</f>
        <v/>
      </c>
      <c r="C4192" s="9">
        <f t="shared" si="65"/>
        <v>0</v>
      </c>
    </row>
    <row r="4193" spans="1:3" x14ac:dyDescent="0.2">
      <c r="A4193" s="10" t="str">
        <f>IF(4185&gt;$C$9008,"",INDEX($B$9:$B$9008,MATCH(4185,$C$9:$C$9008,0)))</f>
        <v/>
      </c>
      <c r="B4193" s="9" t="str">
        <f>IFERROR(INDEX(Input!$L$20:$T$1019,INT((ROW()-9)/9)+1,MOD(ROW()-9,9)+1),"")</f>
        <v/>
      </c>
      <c r="C4193" s="9">
        <f t="shared" si="65"/>
        <v>0</v>
      </c>
    </row>
    <row r="4194" spans="1:3" x14ac:dyDescent="0.2">
      <c r="A4194" s="10" t="str">
        <f>IF(4186&gt;$C$9008,"",INDEX($B$9:$B$9008,MATCH(4186,$C$9:$C$9008,0)))</f>
        <v/>
      </c>
      <c r="B4194" s="9" t="str">
        <f>IFERROR(INDEX(Input!$L$20:$T$1019,INT((ROW()-9)/9)+1,MOD(ROW()-9,9)+1),"")</f>
        <v/>
      </c>
      <c r="C4194" s="9">
        <f t="shared" si="65"/>
        <v>0</v>
      </c>
    </row>
    <row r="4195" spans="1:3" x14ac:dyDescent="0.2">
      <c r="A4195" s="10" t="str">
        <f>IF(4187&gt;$C$9008,"",INDEX($B$9:$B$9008,MATCH(4187,$C$9:$C$9008,0)))</f>
        <v/>
      </c>
      <c r="B4195" s="9" t="str">
        <f>IFERROR(INDEX(Input!$L$20:$T$1019,INT((ROW()-9)/9)+1,MOD(ROW()-9,9)+1),"")</f>
        <v/>
      </c>
      <c r="C4195" s="9">
        <f t="shared" si="65"/>
        <v>0</v>
      </c>
    </row>
    <row r="4196" spans="1:3" x14ac:dyDescent="0.2">
      <c r="A4196" s="10" t="str">
        <f>IF(4188&gt;$C$9008,"",INDEX($B$9:$B$9008,MATCH(4188,$C$9:$C$9008,0)))</f>
        <v/>
      </c>
      <c r="B4196" s="9" t="str">
        <f>IFERROR(INDEX(Input!$L$20:$T$1019,INT((ROW()-9)/9)+1,MOD(ROW()-9,9)+1),"")</f>
        <v/>
      </c>
      <c r="C4196" s="9">
        <f t="shared" si="65"/>
        <v>0</v>
      </c>
    </row>
    <row r="4197" spans="1:3" x14ac:dyDescent="0.2">
      <c r="A4197" s="10" t="str">
        <f>IF(4189&gt;$C$9008,"",INDEX($B$9:$B$9008,MATCH(4189,$C$9:$C$9008,0)))</f>
        <v/>
      </c>
      <c r="B4197" s="9" t="str">
        <f>IFERROR(INDEX(Input!$L$20:$T$1019,INT((ROW()-9)/9)+1,MOD(ROW()-9,9)+1),"")</f>
        <v/>
      </c>
      <c r="C4197" s="9">
        <f t="shared" si="65"/>
        <v>0</v>
      </c>
    </row>
    <row r="4198" spans="1:3" x14ac:dyDescent="0.2">
      <c r="A4198" s="10" t="str">
        <f>IF(4190&gt;$C$9008,"",INDEX($B$9:$B$9008,MATCH(4190,$C$9:$C$9008,0)))</f>
        <v/>
      </c>
      <c r="B4198" s="9" t="str">
        <f>IFERROR(INDEX(Input!$L$20:$T$1019,INT((ROW()-9)/9)+1,MOD(ROW()-9,9)+1),"")</f>
        <v/>
      </c>
      <c r="C4198" s="9">
        <f t="shared" si="65"/>
        <v>0</v>
      </c>
    </row>
    <row r="4199" spans="1:3" x14ac:dyDescent="0.2">
      <c r="A4199" s="10" t="str">
        <f>IF(4191&gt;$C$9008,"",INDEX($B$9:$B$9008,MATCH(4191,$C$9:$C$9008,0)))</f>
        <v/>
      </c>
      <c r="B4199" s="9" t="str">
        <f>IFERROR(INDEX(Input!$L$20:$T$1019,INT((ROW()-9)/9)+1,MOD(ROW()-9,9)+1),"")</f>
        <v/>
      </c>
      <c r="C4199" s="9">
        <f t="shared" si="65"/>
        <v>0</v>
      </c>
    </row>
    <row r="4200" spans="1:3" x14ac:dyDescent="0.2">
      <c r="A4200" s="10" t="str">
        <f>IF(4192&gt;$C$9008,"",INDEX($B$9:$B$9008,MATCH(4192,$C$9:$C$9008,0)))</f>
        <v/>
      </c>
      <c r="B4200" s="9" t="str">
        <f>IFERROR(INDEX(Input!$L$20:$T$1019,INT((ROW()-9)/9)+1,MOD(ROW()-9,9)+1),"")</f>
        <v/>
      </c>
      <c r="C4200" s="9">
        <f t="shared" si="65"/>
        <v>0</v>
      </c>
    </row>
    <row r="4201" spans="1:3" x14ac:dyDescent="0.2">
      <c r="A4201" s="10" t="str">
        <f>IF(4193&gt;$C$9008,"",INDEX($B$9:$B$9008,MATCH(4193,$C$9:$C$9008,0)))</f>
        <v/>
      </c>
      <c r="B4201" s="9" t="str">
        <f>IFERROR(INDEX(Input!$L$20:$T$1019,INT((ROW()-9)/9)+1,MOD(ROW()-9,9)+1),"")</f>
        <v/>
      </c>
      <c r="C4201" s="9">
        <f t="shared" si="65"/>
        <v>0</v>
      </c>
    </row>
    <row r="4202" spans="1:3" x14ac:dyDescent="0.2">
      <c r="A4202" s="10" t="str">
        <f>IF(4194&gt;$C$9008,"",INDEX($B$9:$B$9008,MATCH(4194,$C$9:$C$9008,0)))</f>
        <v/>
      </c>
      <c r="B4202" s="9" t="str">
        <f>IFERROR(INDEX(Input!$L$20:$T$1019,INT((ROW()-9)/9)+1,MOD(ROW()-9,9)+1),"")</f>
        <v/>
      </c>
      <c r="C4202" s="9">
        <f t="shared" si="65"/>
        <v>0</v>
      </c>
    </row>
    <row r="4203" spans="1:3" x14ac:dyDescent="0.2">
      <c r="A4203" s="10" t="str">
        <f>IF(4195&gt;$C$9008,"",INDEX($B$9:$B$9008,MATCH(4195,$C$9:$C$9008,0)))</f>
        <v/>
      </c>
      <c r="B4203" s="9" t="str">
        <f>IFERROR(INDEX(Input!$L$20:$T$1019,INT((ROW()-9)/9)+1,MOD(ROW()-9,9)+1),"")</f>
        <v/>
      </c>
      <c r="C4203" s="9">
        <f t="shared" si="65"/>
        <v>0</v>
      </c>
    </row>
    <row r="4204" spans="1:3" x14ac:dyDescent="0.2">
      <c r="A4204" s="10" t="str">
        <f>IF(4196&gt;$C$9008,"",INDEX($B$9:$B$9008,MATCH(4196,$C$9:$C$9008,0)))</f>
        <v/>
      </c>
      <c r="B4204" s="9" t="str">
        <f>IFERROR(INDEX(Input!$L$20:$T$1019,INT((ROW()-9)/9)+1,MOD(ROW()-9,9)+1),"")</f>
        <v/>
      </c>
      <c r="C4204" s="9">
        <f t="shared" si="65"/>
        <v>0</v>
      </c>
    </row>
    <row r="4205" spans="1:3" x14ac:dyDescent="0.2">
      <c r="A4205" s="10" t="str">
        <f>IF(4197&gt;$C$9008,"",INDEX($B$9:$B$9008,MATCH(4197,$C$9:$C$9008,0)))</f>
        <v/>
      </c>
      <c r="B4205" s="9" t="str">
        <f>IFERROR(INDEX(Input!$L$20:$T$1019,INT((ROW()-9)/9)+1,MOD(ROW()-9,9)+1),"")</f>
        <v/>
      </c>
      <c r="C4205" s="9">
        <f t="shared" si="65"/>
        <v>0</v>
      </c>
    </row>
    <row r="4206" spans="1:3" x14ac:dyDescent="0.2">
      <c r="A4206" s="10" t="str">
        <f>IF(4198&gt;$C$9008,"",INDEX($B$9:$B$9008,MATCH(4198,$C$9:$C$9008,0)))</f>
        <v/>
      </c>
      <c r="B4206" s="9" t="str">
        <f>IFERROR(INDEX(Input!$L$20:$T$1019,INT((ROW()-9)/9)+1,MOD(ROW()-9,9)+1),"")</f>
        <v/>
      </c>
      <c r="C4206" s="9">
        <f t="shared" si="65"/>
        <v>0</v>
      </c>
    </row>
    <row r="4207" spans="1:3" x14ac:dyDescent="0.2">
      <c r="A4207" s="10" t="str">
        <f>IF(4199&gt;$C$9008,"",INDEX($B$9:$B$9008,MATCH(4199,$C$9:$C$9008,0)))</f>
        <v/>
      </c>
      <c r="B4207" s="9" t="str">
        <f>IFERROR(INDEX(Input!$L$20:$T$1019,INT((ROW()-9)/9)+1,MOD(ROW()-9,9)+1),"")</f>
        <v/>
      </c>
      <c r="C4207" s="9">
        <f t="shared" si="65"/>
        <v>0</v>
      </c>
    </row>
    <row r="4208" spans="1:3" x14ac:dyDescent="0.2">
      <c r="A4208" s="10" t="str">
        <f>IF(4200&gt;$C$9008,"",INDEX($B$9:$B$9008,MATCH(4200,$C$9:$C$9008,0)))</f>
        <v/>
      </c>
      <c r="B4208" s="9" t="str">
        <f>IFERROR(INDEX(Input!$L$20:$T$1019,INT((ROW()-9)/9)+1,MOD(ROW()-9,9)+1),"")</f>
        <v/>
      </c>
      <c r="C4208" s="9">
        <f t="shared" si="65"/>
        <v>0</v>
      </c>
    </row>
    <row r="4209" spans="1:3" x14ac:dyDescent="0.2">
      <c r="A4209" s="10" t="str">
        <f>IF(4201&gt;$C$9008,"",INDEX($B$9:$B$9008,MATCH(4201,$C$9:$C$9008,0)))</f>
        <v/>
      </c>
      <c r="B4209" s="9" t="str">
        <f>IFERROR(INDEX(Input!$L$20:$T$1019,INT((ROW()-9)/9)+1,MOD(ROW()-9,9)+1),"")</f>
        <v/>
      </c>
      <c r="C4209" s="9">
        <f t="shared" si="65"/>
        <v>0</v>
      </c>
    </row>
    <row r="4210" spans="1:3" x14ac:dyDescent="0.2">
      <c r="A4210" s="10" t="str">
        <f>IF(4202&gt;$C$9008,"",INDEX($B$9:$B$9008,MATCH(4202,$C$9:$C$9008,0)))</f>
        <v/>
      </c>
      <c r="B4210" s="9" t="str">
        <f>IFERROR(INDEX(Input!$L$20:$T$1019,INT((ROW()-9)/9)+1,MOD(ROW()-9,9)+1),"")</f>
        <v/>
      </c>
      <c r="C4210" s="9">
        <f t="shared" si="65"/>
        <v>0</v>
      </c>
    </row>
    <row r="4211" spans="1:3" x14ac:dyDescent="0.2">
      <c r="A4211" s="10" t="str">
        <f>IF(4203&gt;$C$9008,"",INDEX($B$9:$B$9008,MATCH(4203,$C$9:$C$9008,0)))</f>
        <v/>
      </c>
      <c r="B4211" s="9" t="str">
        <f>IFERROR(INDEX(Input!$L$20:$T$1019,INT((ROW()-9)/9)+1,MOD(ROW()-9,9)+1),"")</f>
        <v/>
      </c>
      <c r="C4211" s="9">
        <f t="shared" si="65"/>
        <v>0</v>
      </c>
    </row>
    <row r="4212" spans="1:3" x14ac:dyDescent="0.2">
      <c r="A4212" s="10" t="str">
        <f>IF(4204&gt;$C$9008,"",INDEX($B$9:$B$9008,MATCH(4204,$C$9:$C$9008,0)))</f>
        <v/>
      </c>
      <c r="B4212" s="9" t="str">
        <f>IFERROR(INDEX(Input!$L$20:$T$1019,INT((ROW()-9)/9)+1,MOD(ROW()-9,9)+1),"")</f>
        <v/>
      </c>
      <c r="C4212" s="9">
        <f t="shared" si="65"/>
        <v>0</v>
      </c>
    </row>
    <row r="4213" spans="1:3" x14ac:dyDescent="0.2">
      <c r="A4213" s="10" t="str">
        <f>IF(4205&gt;$C$9008,"",INDEX($B$9:$B$9008,MATCH(4205,$C$9:$C$9008,0)))</f>
        <v/>
      </c>
      <c r="B4213" s="9" t="str">
        <f>IFERROR(INDEX(Input!$L$20:$T$1019,INT((ROW()-9)/9)+1,MOD(ROW()-9,9)+1),"")</f>
        <v/>
      </c>
      <c r="C4213" s="9">
        <f t="shared" si="65"/>
        <v>0</v>
      </c>
    </row>
    <row r="4214" spans="1:3" x14ac:dyDescent="0.2">
      <c r="A4214" s="10" t="str">
        <f>IF(4206&gt;$C$9008,"",INDEX($B$9:$B$9008,MATCH(4206,$C$9:$C$9008,0)))</f>
        <v/>
      </c>
      <c r="B4214" s="9" t="str">
        <f>IFERROR(INDEX(Input!$L$20:$T$1019,INT((ROW()-9)/9)+1,MOD(ROW()-9,9)+1),"")</f>
        <v/>
      </c>
      <c r="C4214" s="9">
        <f t="shared" si="65"/>
        <v>0</v>
      </c>
    </row>
    <row r="4215" spans="1:3" x14ac:dyDescent="0.2">
      <c r="A4215" s="10" t="str">
        <f>IF(4207&gt;$C$9008,"",INDEX($B$9:$B$9008,MATCH(4207,$C$9:$C$9008,0)))</f>
        <v/>
      </c>
      <c r="B4215" s="9" t="str">
        <f>IFERROR(INDEX(Input!$L$20:$T$1019,INT((ROW()-9)/9)+1,MOD(ROW()-9,9)+1),"")</f>
        <v/>
      </c>
      <c r="C4215" s="9">
        <f t="shared" si="65"/>
        <v>0</v>
      </c>
    </row>
    <row r="4216" spans="1:3" x14ac:dyDescent="0.2">
      <c r="A4216" s="10" t="str">
        <f>IF(4208&gt;$C$9008,"",INDEX($B$9:$B$9008,MATCH(4208,$C$9:$C$9008,0)))</f>
        <v/>
      </c>
      <c r="B4216" s="9" t="str">
        <f>IFERROR(INDEX(Input!$L$20:$T$1019,INT((ROW()-9)/9)+1,MOD(ROW()-9,9)+1),"")</f>
        <v/>
      </c>
      <c r="C4216" s="9">
        <f t="shared" si="65"/>
        <v>0</v>
      </c>
    </row>
    <row r="4217" spans="1:3" x14ac:dyDescent="0.2">
      <c r="A4217" s="10" t="str">
        <f>IF(4209&gt;$C$9008,"",INDEX($B$9:$B$9008,MATCH(4209,$C$9:$C$9008,0)))</f>
        <v/>
      </c>
      <c r="B4217" s="9" t="str">
        <f>IFERROR(INDEX(Input!$L$20:$T$1019,INT((ROW()-9)/9)+1,MOD(ROW()-9,9)+1),"")</f>
        <v/>
      </c>
      <c r="C4217" s="9">
        <f t="shared" si="65"/>
        <v>0</v>
      </c>
    </row>
    <row r="4218" spans="1:3" x14ac:dyDescent="0.2">
      <c r="A4218" s="10" t="str">
        <f>IF(4210&gt;$C$9008,"",INDEX($B$9:$B$9008,MATCH(4210,$C$9:$C$9008,0)))</f>
        <v/>
      </c>
      <c r="B4218" s="9" t="str">
        <f>IFERROR(INDEX(Input!$L$20:$T$1019,INT((ROW()-9)/9)+1,MOD(ROW()-9,9)+1),"")</f>
        <v/>
      </c>
      <c r="C4218" s="9">
        <f t="shared" si="65"/>
        <v>0</v>
      </c>
    </row>
    <row r="4219" spans="1:3" x14ac:dyDescent="0.2">
      <c r="A4219" s="10" t="str">
        <f>IF(4211&gt;$C$9008,"",INDEX($B$9:$B$9008,MATCH(4211,$C$9:$C$9008,0)))</f>
        <v/>
      </c>
      <c r="B4219" s="9" t="str">
        <f>IFERROR(INDEX(Input!$L$20:$T$1019,INT((ROW()-9)/9)+1,MOD(ROW()-9,9)+1),"")</f>
        <v/>
      </c>
      <c r="C4219" s="9">
        <f t="shared" si="65"/>
        <v>0</v>
      </c>
    </row>
    <row r="4220" spans="1:3" x14ac:dyDescent="0.2">
      <c r="A4220" s="10" t="str">
        <f>IF(4212&gt;$C$9008,"",INDEX($B$9:$B$9008,MATCH(4212,$C$9:$C$9008,0)))</f>
        <v/>
      </c>
      <c r="B4220" s="9" t="str">
        <f>IFERROR(INDEX(Input!$L$20:$T$1019,INT((ROW()-9)/9)+1,MOD(ROW()-9,9)+1),"")</f>
        <v/>
      </c>
      <c r="C4220" s="9">
        <f t="shared" si="65"/>
        <v>0</v>
      </c>
    </row>
    <row r="4221" spans="1:3" x14ac:dyDescent="0.2">
      <c r="A4221" s="10" t="str">
        <f>IF(4213&gt;$C$9008,"",INDEX($B$9:$B$9008,MATCH(4213,$C$9:$C$9008,0)))</f>
        <v/>
      </c>
      <c r="B4221" s="9" t="str">
        <f>IFERROR(INDEX(Input!$L$20:$T$1019,INT((ROW()-9)/9)+1,MOD(ROW()-9,9)+1),"")</f>
        <v/>
      </c>
      <c r="C4221" s="9">
        <f t="shared" si="65"/>
        <v>0</v>
      </c>
    </row>
    <row r="4222" spans="1:3" x14ac:dyDescent="0.2">
      <c r="A4222" s="10" t="str">
        <f>IF(4214&gt;$C$9008,"",INDEX($B$9:$B$9008,MATCH(4214,$C$9:$C$9008,0)))</f>
        <v/>
      </c>
      <c r="B4222" s="9" t="str">
        <f>IFERROR(INDEX(Input!$L$20:$T$1019,INT((ROW()-9)/9)+1,MOD(ROW()-9,9)+1),"")</f>
        <v/>
      </c>
      <c r="C4222" s="9">
        <f t="shared" si="65"/>
        <v>0</v>
      </c>
    </row>
    <row r="4223" spans="1:3" x14ac:dyDescent="0.2">
      <c r="A4223" s="10" t="str">
        <f>IF(4215&gt;$C$9008,"",INDEX($B$9:$B$9008,MATCH(4215,$C$9:$C$9008,0)))</f>
        <v/>
      </c>
      <c r="B4223" s="9" t="str">
        <f>IFERROR(INDEX(Input!$L$20:$T$1019,INT((ROW()-9)/9)+1,MOD(ROW()-9,9)+1),"")</f>
        <v/>
      </c>
      <c r="C4223" s="9">
        <f t="shared" si="65"/>
        <v>0</v>
      </c>
    </row>
    <row r="4224" spans="1:3" x14ac:dyDescent="0.2">
      <c r="A4224" s="10" t="str">
        <f>IF(4216&gt;$C$9008,"",INDEX($B$9:$B$9008,MATCH(4216,$C$9:$C$9008,0)))</f>
        <v/>
      </c>
      <c r="B4224" s="9" t="str">
        <f>IFERROR(INDEX(Input!$L$20:$T$1019,INT((ROW()-9)/9)+1,MOD(ROW()-9,9)+1),"")</f>
        <v/>
      </c>
      <c r="C4224" s="9">
        <f t="shared" si="65"/>
        <v>0</v>
      </c>
    </row>
    <row r="4225" spans="1:3" x14ac:dyDescent="0.2">
      <c r="A4225" s="10" t="str">
        <f>IF(4217&gt;$C$9008,"",INDEX($B$9:$B$9008,MATCH(4217,$C$9:$C$9008,0)))</f>
        <v/>
      </c>
      <c r="B4225" s="9" t="str">
        <f>IFERROR(INDEX(Input!$L$20:$T$1019,INT((ROW()-9)/9)+1,MOD(ROW()-9,9)+1),"")</f>
        <v/>
      </c>
      <c r="C4225" s="9">
        <f t="shared" si="65"/>
        <v>0</v>
      </c>
    </row>
    <row r="4226" spans="1:3" x14ac:dyDescent="0.2">
      <c r="A4226" s="10" t="str">
        <f>IF(4218&gt;$C$9008,"",INDEX($B$9:$B$9008,MATCH(4218,$C$9:$C$9008,0)))</f>
        <v/>
      </c>
      <c r="B4226" s="9" t="str">
        <f>IFERROR(INDEX(Input!$L$20:$T$1019,INT((ROW()-9)/9)+1,MOD(ROW()-9,9)+1),"")</f>
        <v/>
      </c>
      <c r="C4226" s="9">
        <f t="shared" si="65"/>
        <v>0</v>
      </c>
    </row>
    <row r="4227" spans="1:3" x14ac:dyDescent="0.2">
      <c r="A4227" s="10" t="str">
        <f>IF(4219&gt;$C$9008,"",INDEX($B$9:$B$9008,MATCH(4219,$C$9:$C$9008,0)))</f>
        <v/>
      </c>
      <c r="B4227" s="9" t="str">
        <f>IFERROR(INDEX(Input!$L$20:$T$1019,INT((ROW()-9)/9)+1,MOD(ROW()-9,9)+1),"")</f>
        <v/>
      </c>
      <c r="C4227" s="9">
        <f t="shared" si="65"/>
        <v>0</v>
      </c>
    </row>
    <row r="4228" spans="1:3" x14ac:dyDescent="0.2">
      <c r="A4228" s="10" t="str">
        <f>IF(4220&gt;$C$9008,"",INDEX($B$9:$B$9008,MATCH(4220,$C$9:$C$9008,0)))</f>
        <v/>
      </c>
      <c r="B4228" s="9" t="str">
        <f>IFERROR(INDEX(Input!$L$20:$T$1019,INT((ROW()-9)/9)+1,MOD(ROW()-9,9)+1),"")</f>
        <v/>
      </c>
      <c r="C4228" s="9">
        <f t="shared" si="65"/>
        <v>0</v>
      </c>
    </row>
    <row r="4229" spans="1:3" x14ac:dyDescent="0.2">
      <c r="A4229" s="10" t="str">
        <f>IF(4221&gt;$C$9008,"",INDEX($B$9:$B$9008,MATCH(4221,$C$9:$C$9008,0)))</f>
        <v/>
      </c>
      <c r="B4229" s="9" t="str">
        <f>IFERROR(INDEX(Input!$L$20:$T$1019,INT((ROW()-9)/9)+1,MOD(ROW()-9,9)+1),"")</f>
        <v/>
      </c>
      <c r="C4229" s="9">
        <f t="shared" si="65"/>
        <v>0</v>
      </c>
    </row>
    <row r="4230" spans="1:3" x14ac:dyDescent="0.2">
      <c r="A4230" s="10" t="str">
        <f>IF(4222&gt;$C$9008,"",INDEX($B$9:$B$9008,MATCH(4222,$C$9:$C$9008,0)))</f>
        <v/>
      </c>
      <c r="B4230" s="9" t="str">
        <f>IFERROR(INDEX(Input!$L$20:$T$1019,INT((ROW()-9)/9)+1,MOD(ROW()-9,9)+1),"")</f>
        <v/>
      </c>
      <c r="C4230" s="9">
        <f t="shared" si="65"/>
        <v>0</v>
      </c>
    </row>
    <row r="4231" spans="1:3" x14ac:dyDescent="0.2">
      <c r="A4231" s="10" t="str">
        <f>IF(4223&gt;$C$9008,"",INDEX($B$9:$B$9008,MATCH(4223,$C$9:$C$9008,0)))</f>
        <v/>
      </c>
      <c r="B4231" s="9" t="str">
        <f>IFERROR(INDEX(Input!$L$20:$T$1019,INT((ROW()-9)/9)+1,MOD(ROW()-9,9)+1),"")</f>
        <v/>
      </c>
      <c r="C4231" s="9">
        <f t="shared" si="65"/>
        <v>0</v>
      </c>
    </row>
    <row r="4232" spans="1:3" x14ac:dyDescent="0.2">
      <c r="A4232" s="10" t="str">
        <f>IF(4224&gt;$C$9008,"",INDEX($B$9:$B$9008,MATCH(4224,$C$9:$C$9008,0)))</f>
        <v/>
      </c>
      <c r="B4232" s="9" t="str">
        <f>IFERROR(INDEX(Input!$L$20:$T$1019,INT((ROW()-9)/9)+1,MOD(ROW()-9,9)+1),"")</f>
        <v/>
      </c>
      <c r="C4232" s="9">
        <f t="shared" si="65"/>
        <v>0</v>
      </c>
    </row>
    <row r="4233" spans="1:3" x14ac:dyDescent="0.2">
      <c r="A4233" s="10" t="str">
        <f>IF(4225&gt;$C$9008,"",INDEX($B$9:$B$9008,MATCH(4225,$C$9:$C$9008,0)))</f>
        <v/>
      </c>
      <c r="B4233" s="9" t="str">
        <f>IFERROR(INDEX(Input!$L$20:$T$1019,INT((ROW()-9)/9)+1,MOD(ROW()-9,9)+1),"")</f>
        <v/>
      </c>
      <c r="C4233" s="9">
        <f t="shared" ref="C4233:C4296" si="66">$C4232+IF($B4233&lt;&gt;"",1,0)</f>
        <v>0</v>
      </c>
    </row>
    <row r="4234" spans="1:3" x14ac:dyDescent="0.2">
      <c r="A4234" s="10" t="str">
        <f>IF(4226&gt;$C$9008,"",INDEX($B$9:$B$9008,MATCH(4226,$C$9:$C$9008,0)))</f>
        <v/>
      </c>
      <c r="B4234" s="9" t="str">
        <f>IFERROR(INDEX(Input!$L$20:$T$1019,INT((ROW()-9)/9)+1,MOD(ROW()-9,9)+1),"")</f>
        <v/>
      </c>
      <c r="C4234" s="9">
        <f t="shared" si="66"/>
        <v>0</v>
      </c>
    </row>
    <row r="4235" spans="1:3" x14ac:dyDescent="0.2">
      <c r="A4235" s="10" t="str">
        <f>IF(4227&gt;$C$9008,"",INDEX($B$9:$B$9008,MATCH(4227,$C$9:$C$9008,0)))</f>
        <v/>
      </c>
      <c r="B4235" s="9" t="str">
        <f>IFERROR(INDEX(Input!$L$20:$T$1019,INT((ROW()-9)/9)+1,MOD(ROW()-9,9)+1),"")</f>
        <v/>
      </c>
      <c r="C4235" s="9">
        <f t="shared" si="66"/>
        <v>0</v>
      </c>
    </row>
    <row r="4236" spans="1:3" x14ac:dyDescent="0.2">
      <c r="A4236" s="10" t="str">
        <f>IF(4228&gt;$C$9008,"",INDEX($B$9:$B$9008,MATCH(4228,$C$9:$C$9008,0)))</f>
        <v/>
      </c>
      <c r="B4236" s="9" t="str">
        <f>IFERROR(INDEX(Input!$L$20:$T$1019,INT((ROW()-9)/9)+1,MOD(ROW()-9,9)+1),"")</f>
        <v/>
      </c>
      <c r="C4236" s="9">
        <f t="shared" si="66"/>
        <v>0</v>
      </c>
    </row>
    <row r="4237" spans="1:3" x14ac:dyDescent="0.2">
      <c r="A4237" s="10" t="str">
        <f>IF(4229&gt;$C$9008,"",INDEX($B$9:$B$9008,MATCH(4229,$C$9:$C$9008,0)))</f>
        <v/>
      </c>
      <c r="B4237" s="9" t="str">
        <f>IFERROR(INDEX(Input!$L$20:$T$1019,INT((ROW()-9)/9)+1,MOD(ROW()-9,9)+1),"")</f>
        <v/>
      </c>
      <c r="C4237" s="9">
        <f t="shared" si="66"/>
        <v>0</v>
      </c>
    </row>
    <row r="4238" spans="1:3" x14ac:dyDescent="0.2">
      <c r="A4238" s="10" t="str">
        <f>IF(4230&gt;$C$9008,"",INDEX($B$9:$B$9008,MATCH(4230,$C$9:$C$9008,0)))</f>
        <v/>
      </c>
      <c r="B4238" s="9" t="str">
        <f>IFERROR(INDEX(Input!$L$20:$T$1019,INT((ROW()-9)/9)+1,MOD(ROW()-9,9)+1),"")</f>
        <v/>
      </c>
      <c r="C4238" s="9">
        <f t="shared" si="66"/>
        <v>0</v>
      </c>
    </row>
    <row r="4239" spans="1:3" x14ac:dyDescent="0.2">
      <c r="A4239" s="10" t="str">
        <f>IF(4231&gt;$C$9008,"",INDEX($B$9:$B$9008,MATCH(4231,$C$9:$C$9008,0)))</f>
        <v/>
      </c>
      <c r="B4239" s="9" t="str">
        <f>IFERROR(INDEX(Input!$L$20:$T$1019,INT((ROW()-9)/9)+1,MOD(ROW()-9,9)+1),"")</f>
        <v/>
      </c>
      <c r="C4239" s="9">
        <f t="shared" si="66"/>
        <v>0</v>
      </c>
    </row>
    <row r="4240" spans="1:3" x14ac:dyDescent="0.2">
      <c r="A4240" s="10" t="str">
        <f>IF(4232&gt;$C$9008,"",INDEX($B$9:$B$9008,MATCH(4232,$C$9:$C$9008,0)))</f>
        <v/>
      </c>
      <c r="B4240" s="9" t="str">
        <f>IFERROR(INDEX(Input!$L$20:$T$1019,INT((ROW()-9)/9)+1,MOD(ROW()-9,9)+1),"")</f>
        <v/>
      </c>
      <c r="C4240" s="9">
        <f t="shared" si="66"/>
        <v>0</v>
      </c>
    </row>
    <row r="4241" spans="1:3" x14ac:dyDescent="0.2">
      <c r="A4241" s="10" t="str">
        <f>IF(4233&gt;$C$9008,"",INDEX($B$9:$B$9008,MATCH(4233,$C$9:$C$9008,0)))</f>
        <v/>
      </c>
      <c r="B4241" s="9" t="str">
        <f>IFERROR(INDEX(Input!$L$20:$T$1019,INT((ROW()-9)/9)+1,MOD(ROW()-9,9)+1),"")</f>
        <v/>
      </c>
      <c r="C4241" s="9">
        <f t="shared" si="66"/>
        <v>0</v>
      </c>
    </row>
    <row r="4242" spans="1:3" x14ac:dyDescent="0.2">
      <c r="A4242" s="10" t="str">
        <f>IF(4234&gt;$C$9008,"",INDEX($B$9:$B$9008,MATCH(4234,$C$9:$C$9008,0)))</f>
        <v/>
      </c>
      <c r="B4242" s="9" t="str">
        <f>IFERROR(INDEX(Input!$L$20:$T$1019,INT((ROW()-9)/9)+1,MOD(ROW()-9,9)+1),"")</f>
        <v/>
      </c>
      <c r="C4242" s="9">
        <f t="shared" si="66"/>
        <v>0</v>
      </c>
    </row>
    <row r="4243" spans="1:3" x14ac:dyDescent="0.2">
      <c r="A4243" s="10" t="str">
        <f>IF(4235&gt;$C$9008,"",INDEX($B$9:$B$9008,MATCH(4235,$C$9:$C$9008,0)))</f>
        <v/>
      </c>
      <c r="B4243" s="9" t="str">
        <f>IFERROR(INDEX(Input!$L$20:$T$1019,INT((ROW()-9)/9)+1,MOD(ROW()-9,9)+1),"")</f>
        <v/>
      </c>
      <c r="C4243" s="9">
        <f t="shared" si="66"/>
        <v>0</v>
      </c>
    </row>
    <row r="4244" spans="1:3" x14ac:dyDescent="0.2">
      <c r="A4244" s="10" t="str">
        <f>IF(4236&gt;$C$9008,"",INDEX($B$9:$B$9008,MATCH(4236,$C$9:$C$9008,0)))</f>
        <v/>
      </c>
      <c r="B4244" s="9" t="str">
        <f>IFERROR(INDEX(Input!$L$20:$T$1019,INT((ROW()-9)/9)+1,MOD(ROW()-9,9)+1),"")</f>
        <v/>
      </c>
      <c r="C4244" s="9">
        <f t="shared" si="66"/>
        <v>0</v>
      </c>
    </row>
    <row r="4245" spans="1:3" x14ac:dyDescent="0.2">
      <c r="A4245" s="10" t="str">
        <f>IF(4237&gt;$C$9008,"",INDEX($B$9:$B$9008,MATCH(4237,$C$9:$C$9008,0)))</f>
        <v/>
      </c>
      <c r="B4245" s="9" t="str">
        <f>IFERROR(INDEX(Input!$L$20:$T$1019,INT((ROW()-9)/9)+1,MOD(ROW()-9,9)+1),"")</f>
        <v/>
      </c>
      <c r="C4245" s="9">
        <f t="shared" si="66"/>
        <v>0</v>
      </c>
    </row>
    <row r="4246" spans="1:3" x14ac:dyDescent="0.2">
      <c r="A4246" s="10" t="str">
        <f>IF(4238&gt;$C$9008,"",INDEX($B$9:$B$9008,MATCH(4238,$C$9:$C$9008,0)))</f>
        <v/>
      </c>
      <c r="B4246" s="9" t="str">
        <f>IFERROR(INDEX(Input!$L$20:$T$1019,INT((ROW()-9)/9)+1,MOD(ROW()-9,9)+1),"")</f>
        <v/>
      </c>
      <c r="C4246" s="9">
        <f t="shared" si="66"/>
        <v>0</v>
      </c>
    </row>
    <row r="4247" spans="1:3" x14ac:dyDescent="0.2">
      <c r="A4247" s="10" t="str">
        <f>IF(4239&gt;$C$9008,"",INDEX($B$9:$B$9008,MATCH(4239,$C$9:$C$9008,0)))</f>
        <v/>
      </c>
      <c r="B4247" s="9" t="str">
        <f>IFERROR(INDEX(Input!$L$20:$T$1019,INT((ROW()-9)/9)+1,MOD(ROW()-9,9)+1),"")</f>
        <v/>
      </c>
      <c r="C4247" s="9">
        <f t="shared" si="66"/>
        <v>0</v>
      </c>
    </row>
    <row r="4248" spans="1:3" x14ac:dyDescent="0.2">
      <c r="A4248" s="10" t="str">
        <f>IF(4240&gt;$C$9008,"",INDEX($B$9:$B$9008,MATCH(4240,$C$9:$C$9008,0)))</f>
        <v/>
      </c>
      <c r="B4248" s="9" t="str">
        <f>IFERROR(INDEX(Input!$L$20:$T$1019,INT((ROW()-9)/9)+1,MOD(ROW()-9,9)+1),"")</f>
        <v/>
      </c>
      <c r="C4248" s="9">
        <f t="shared" si="66"/>
        <v>0</v>
      </c>
    </row>
    <row r="4249" spans="1:3" x14ac:dyDescent="0.2">
      <c r="A4249" s="10" t="str">
        <f>IF(4241&gt;$C$9008,"",INDEX($B$9:$B$9008,MATCH(4241,$C$9:$C$9008,0)))</f>
        <v/>
      </c>
      <c r="B4249" s="9" t="str">
        <f>IFERROR(INDEX(Input!$L$20:$T$1019,INT((ROW()-9)/9)+1,MOD(ROW()-9,9)+1),"")</f>
        <v/>
      </c>
      <c r="C4249" s="9">
        <f t="shared" si="66"/>
        <v>0</v>
      </c>
    </row>
    <row r="4250" spans="1:3" x14ac:dyDescent="0.2">
      <c r="A4250" s="10" t="str">
        <f>IF(4242&gt;$C$9008,"",INDEX($B$9:$B$9008,MATCH(4242,$C$9:$C$9008,0)))</f>
        <v/>
      </c>
      <c r="B4250" s="9" t="str">
        <f>IFERROR(INDEX(Input!$L$20:$T$1019,INT((ROW()-9)/9)+1,MOD(ROW()-9,9)+1),"")</f>
        <v/>
      </c>
      <c r="C4250" s="9">
        <f t="shared" si="66"/>
        <v>0</v>
      </c>
    </row>
    <row r="4251" spans="1:3" x14ac:dyDescent="0.2">
      <c r="A4251" s="10" t="str">
        <f>IF(4243&gt;$C$9008,"",INDEX($B$9:$B$9008,MATCH(4243,$C$9:$C$9008,0)))</f>
        <v/>
      </c>
      <c r="B4251" s="9" t="str">
        <f>IFERROR(INDEX(Input!$L$20:$T$1019,INT((ROW()-9)/9)+1,MOD(ROW()-9,9)+1),"")</f>
        <v/>
      </c>
      <c r="C4251" s="9">
        <f t="shared" si="66"/>
        <v>0</v>
      </c>
    </row>
    <row r="4252" spans="1:3" x14ac:dyDescent="0.2">
      <c r="A4252" s="10" t="str">
        <f>IF(4244&gt;$C$9008,"",INDEX($B$9:$B$9008,MATCH(4244,$C$9:$C$9008,0)))</f>
        <v/>
      </c>
      <c r="B4252" s="9" t="str">
        <f>IFERROR(INDEX(Input!$L$20:$T$1019,INT((ROW()-9)/9)+1,MOD(ROW()-9,9)+1),"")</f>
        <v/>
      </c>
      <c r="C4252" s="9">
        <f t="shared" si="66"/>
        <v>0</v>
      </c>
    </row>
    <row r="4253" spans="1:3" x14ac:dyDescent="0.2">
      <c r="A4253" s="10" t="str">
        <f>IF(4245&gt;$C$9008,"",INDEX($B$9:$B$9008,MATCH(4245,$C$9:$C$9008,0)))</f>
        <v/>
      </c>
      <c r="B4253" s="9" t="str">
        <f>IFERROR(INDEX(Input!$L$20:$T$1019,INT((ROW()-9)/9)+1,MOD(ROW()-9,9)+1),"")</f>
        <v/>
      </c>
      <c r="C4253" s="9">
        <f t="shared" si="66"/>
        <v>0</v>
      </c>
    </row>
    <row r="4254" spans="1:3" x14ac:dyDescent="0.2">
      <c r="A4254" s="10" t="str">
        <f>IF(4246&gt;$C$9008,"",INDEX($B$9:$B$9008,MATCH(4246,$C$9:$C$9008,0)))</f>
        <v/>
      </c>
      <c r="B4254" s="9" t="str">
        <f>IFERROR(INDEX(Input!$L$20:$T$1019,INT((ROW()-9)/9)+1,MOD(ROW()-9,9)+1),"")</f>
        <v/>
      </c>
      <c r="C4254" s="9">
        <f t="shared" si="66"/>
        <v>0</v>
      </c>
    </row>
    <row r="4255" spans="1:3" x14ac:dyDescent="0.2">
      <c r="A4255" s="10" t="str">
        <f>IF(4247&gt;$C$9008,"",INDEX($B$9:$B$9008,MATCH(4247,$C$9:$C$9008,0)))</f>
        <v/>
      </c>
      <c r="B4255" s="9" t="str">
        <f>IFERROR(INDEX(Input!$L$20:$T$1019,INT((ROW()-9)/9)+1,MOD(ROW()-9,9)+1),"")</f>
        <v/>
      </c>
      <c r="C4255" s="9">
        <f t="shared" si="66"/>
        <v>0</v>
      </c>
    </row>
    <row r="4256" spans="1:3" x14ac:dyDescent="0.2">
      <c r="A4256" s="10" t="str">
        <f>IF(4248&gt;$C$9008,"",INDEX($B$9:$B$9008,MATCH(4248,$C$9:$C$9008,0)))</f>
        <v/>
      </c>
      <c r="B4256" s="9" t="str">
        <f>IFERROR(INDEX(Input!$L$20:$T$1019,INT((ROW()-9)/9)+1,MOD(ROW()-9,9)+1),"")</f>
        <v/>
      </c>
      <c r="C4256" s="9">
        <f t="shared" si="66"/>
        <v>0</v>
      </c>
    </row>
    <row r="4257" spans="1:3" x14ac:dyDescent="0.2">
      <c r="A4257" s="10" t="str">
        <f>IF(4249&gt;$C$9008,"",INDEX($B$9:$B$9008,MATCH(4249,$C$9:$C$9008,0)))</f>
        <v/>
      </c>
      <c r="B4257" s="9" t="str">
        <f>IFERROR(INDEX(Input!$L$20:$T$1019,INT((ROW()-9)/9)+1,MOD(ROW()-9,9)+1),"")</f>
        <v/>
      </c>
      <c r="C4257" s="9">
        <f t="shared" si="66"/>
        <v>0</v>
      </c>
    </row>
    <row r="4258" spans="1:3" x14ac:dyDescent="0.2">
      <c r="A4258" s="10" t="str">
        <f>IF(4250&gt;$C$9008,"",INDEX($B$9:$B$9008,MATCH(4250,$C$9:$C$9008,0)))</f>
        <v/>
      </c>
      <c r="B4258" s="9" t="str">
        <f>IFERROR(INDEX(Input!$L$20:$T$1019,INT((ROW()-9)/9)+1,MOD(ROW()-9,9)+1),"")</f>
        <v/>
      </c>
      <c r="C4258" s="9">
        <f t="shared" si="66"/>
        <v>0</v>
      </c>
    </row>
    <row r="4259" spans="1:3" x14ac:dyDescent="0.2">
      <c r="A4259" s="10" t="str">
        <f>IF(4251&gt;$C$9008,"",INDEX($B$9:$B$9008,MATCH(4251,$C$9:$C$9008,0)))</f>
        <v/>
      </c>
      <c r="B4259" s="9" t="str">
        <f>IFERROR(INDEX(Input!$L$20:$T$1019,INT((ROW()-9)/9)+1,MOD(ROW()-9,9)+1),"")</f>
        <v/>
      </c>
      <c r="C4259" s="9">
        <f t="shared" si="66"/>
        <v>0</v>
      </c>
    </row>
    <row r="4260" spans="1:3" x14ac:dyDescent="0.2">
      <c r="A4260" s="10" t="str">
        <f>IF(4252&gt;$C$9008,"",INDEX($B$9:$B$9008,MATCH(4252,$C$9:$C$9008,0)))</f>
        <v/>
      </c>
      <c r="B4260" s="9" t="str">
        <f>IFERROR(INDEX(Input!$L$20:$T$1019,INT((ROW()-9)/9)+1,MOD(ROW()-9,9)+1),"")</f>
        <v/>
      </c>
      <c r="C4260" s="9">
        <f t="shared" si="66"/>
        <v>0</v>
      </c>
    </row>
    <row r="4261" spans="1:3" x14ac:dyDescent="0.2">
      <c r="A4261" s="10" t="str">
        <f>IF(4253&gt;$C$9008,"",INDEX($B$9:$B$9008,MATCH(4253,$C$9:$C$9008,0)))</f>
        <v/>
      </c>
      <c r="B4261" s="9" t="str">
        <f>IFERROR(INDEX(Input!$L$20:$T$1019,INT((ROW()-9)/9)+1,MOD(ROW()-9,9)+1),"")</f>
        <v/>
      </c>
      <c r="C4261" s="9">
        <f t="shared" si="66"/>
        <v>0</v>
      </c>
    </row>
    <row r="4262" spans="1:3" x14ac:dyDescent="0.2">
      <c r="A4262" s="10" t="str">
        <f>IF(4254&gt;$C$9008,"",INDEX($B$9:$B$9008,MATCH(4254,$C$9:$C$9008,0)))</f>
        <v/>
      </c>
      <c r="B4262" s="9" t="str">
        <f>IFERROR(INDEX(Input!$L$20:$T$1019,INT((ROW()-9)/9)+1,MOD(ROW()-9,9)+1),"")</f>
        <v/>
      </c>
      <c r="C4262" s="9">
        <f t="shared" si="66"/>
        <v>0</v>
      </c>
    </row>
    <row r="4263" spans="1:3" x14ac:dyDescent="0.2">
      <c r="A4263" s="10" t="str">
        <f>IF(4255&gt;$C$9008,"",INDEX($B$9:$B$9008,MATCH(4255,$C$9:$C$9008,0)))</f>
        <v/>
      </c>
      <c r="B4263" s="9" t="str">
        <f>IFERROR(INDEX(Input!$L$20:$T$1019,INT((ROW()-9)/9)+1,MOD(ROW()-9,9)+1),"")</f>
        <v/>
      </c>
      <c r="C4263" s="9">
        <f t="shared" si="66"/>
        <v>0</v>
      </c>
    </row>
    <row r="4264" spans="1:3" x14ac:dyDescent="0.2">
      <c r="A4264" s="10" t="str">
        <f>IF(4256&gt;$C$9008,"",INDEX($B$9:$B$9008,MATCH(4256,$C$9:$C$9008,0)))</f>
        <v/>
      </c>
      <c r="B4264" s="9" t="str">
        <f>IFERROR(INDEX(Input!$L$20:$T$1019,INT((ROW()-9)/9)+1,MOD(ROW()-9,9)+1),"")</f>
        <v/>
      </c>
      <c r="C4264" s="9">
        <f t="shared" si="66"/>
        <v>0</v>
      </c>
    </row>
    <row r="4265" spans="1:3" x14ac:dyDescent="0.2">
      <c r="A4265" s="10" t="str">
        <f>IF(4257&gt;$C$9008,"",INDEX($B$9:$B$9008,MATCH(4257,$C$9:$C$9008,0)))</f>
        <v/>
      </c>
      <c r="B4265" s="9" t="str">
        <f>IFERROR(INDEX(Input!$L$20:$T$1019,INT((ROW()-9)/9)+1,MOD(ROW()-9,9)+1),"")</f>
        <v/>
      </c>
      <c r="C4265" s="9">
        <f t="shared" si="66"/>
        <v>0</v>
      </c>
    </row>
    <row r="4266" spans="1:3" x14ac:dyDescent="0.2">
      <c r="A4266" s="10" t="str">
        <f>IF(4258&gt;$C$9008,"",INDEX($B$9:$B$9008,MATCH(4258,$C$9:$C$9008,0)))</f>
        <v/>
      </c>
      <c r="B4266" s="9" t="str">
        <f>IFERROR(INDEX(Input!$L$20:$T$1019,INT((ROW()-9)/9)+1,MOD(ROW()-9,9)+1),"")</f>
        <v/>
      </c>
      <c r="C4266" s="9">
        <f t="shared" si="66"/>
        <v>0</v>
      </c>
    </row>
    <row r="4267" spans="1:3" x14ac:dyDescent="0.2">
      <c r="A4267" s="10" t="str">
        <f>IF(4259&gt;$C$9008,"",INDEX($B$9:$B$9008,MATCH(4259,$C$9:$C$9008,0)))</f>
        <v/>
      </c>
      <c r="B4267" s="9" t="str">
        <f>IFERROR(INDEX(Input!$L$20:$T$1019,INT((ROW()-9)/9)+1,MOD(ROW()-9,9)+1),"")</f>
        <v/>
      </c>
      <c r="C4267" s="9">
        <f t="shared" si="66"/>
        <v>0</v>
      </c>
    </row>
    <row r="4268" spans="1:3" x14ac:dyDescent="0.2">
      <c r="A4268" s="10" t="str">
        <f>IF(4260&gt;$C$9008,"",INDEX($B$9:$B$9008,MATCH(4260,$C$9:$C$9008,0)))</f>
        <v/>
      </c>
      <c r="B4268" s="9" t="str">
        <f>IFERROR(INDEX(Input!$L$20:$T$1019,INT((ROW()-9)/9)+1,MOD(ROW()-9,9)+1),"")</f>
        <v/>
      </c>
      <c r="C4268" s="9">
        <f t="shared" si="66"/>
        <v>0</v>
      </c>
    </row>
    <row r="4269" spans="1:3" x14ac:dyDescent="0.2">
      <c r="A4269" s="10" t="str">
        <f>IF(4261&gt;$C$9008,"",INDEX($B$9:$B$9008,MATCH(4261,$C$9:$C$9008,0)))</f>
        <v/>
      </c>
      <c r="B4269" s="9" t="str">
        <f>IFERROR(INDEX(Input!$L$20:$T$1019,INT((ROW()-9)/9)+1,MOD(ROW()-9,9)+1),"")</f>
        <v/>
      </c>
      <c r="C4269" s="9">
        <f t="shared" si="66"/>
        <v>0</v>
      </c>
    </row>
    <row r="4270" spans="1:3" x14ac:dyDescent="0.2">
      <c r="A4270" s="10" t="str">
        <f>IF(4262&gt;$C$9008,"",INDEX($B$9:$B$9008,MATCH(4262,$C$9:$C$9008,0)))</f>
        <v/>
      </c>
      <c r="B4270" s="9" t="str">
        <f>IFERROR(INDEX(Input!$L$20:$T$1019,INT((ROW()-9)/9)+1,MOD(ROW()-9,9)+1),"")</f>
        <v/>
      </c>
      <c r="C4270" s="9">
        <f t="shared" si="66"/>
        <v>0</v>
      </c>
    </row>
    <row r="4271" spans="1:3" x14ac:dyDescent="0.2">
      <c r="A4271" s="10" t="str">
        <f>IF(4263&gt;$C$9008,"",INDEX($B$9:$B$9008,MATCH(4263,$C$9:$C$9008,0)))</f>
        <v/>
      </c>
      <c r="B4271" s="9" t="str">
        <f>IFERROR(INDEX(Input!$L$20:$T$1019,INT((ROW()-9)/9)+1,MOD(ROW()-9,9)+1),"")</f>
        <v/>
      </c>
      <c r="C4271" s="9">
        <f t="shared" si="66"/>
        <v>0</v>
      </c>
    </row>
    <row r="4272" spans="1:3" x14ac:dyDescent="0.2">
      <c r="A4272" s="10" t="str">
        <f>IF(4264&gt;$C$9008,"",INDEX($B$9:$B$9008,MATCH(4264,$C$9:$C$9008,0)))</f>
        <v/>
      </c>
      <c r="B4272" s="9" t="str">
        <f>IFERROR(INDEX(Input!$L$20:$T$1019,INT((ROW()-9)/9)+1,MOD(ROW()-9,9)+1),"")</f>
        <v/>
      </c>
      <c r="C4272" s="9">
        <f t="shared" si="66"/>
        <v>0</v>
      </c>
    </row>
    <row r="4273" spans="1:3" x14ac:dyDescent="0.2">
      <c r="A4273" s="10" t="str">
        <f>IF(4265&gt;$C$9008,"",INDEX($B$9:$B$9008,MATCH(4265,$C$9:$C$9008,0)))</f>
        <v/>
      </c>
      <c r="B4273" s="9" t="str">
        <f>IFERROR(INDEX(Input!$L$20:$T$1019,INT((ROW()-9)/9)+1,MOD(ROW()-9,9)+1),"")</f>
        <v/>
      </c>
      <c r="C4273" s="9">
        <f t="shared" si="66"/>
        <v>0</v>
      </c>
    </row>
    <row r="4274" spans="1:3" x14ac:dyDescent="0.2">
      <c r="A4274" s="10" t="str">
        <f>IF(4266&gt;$C$9008,"",INDEX($B$9:$B$9008,MATCH(4266,$C$9:$C$9008,0)))</f>
        <v/>
      </c>
      <c r="B4274" s="9" t="str">
        <f>IFERROR(INDEX(Input!$L$20:$T$1019,INT((ROW()-9)/9)+1,MOD(ROW()-9,9)+1),"")</f>
        <v/>
      </c>
      <c r="C4274" s="9">
        <f t="shared" si="66"/>
        <v>0</v>
      </c>
    </row>
    <row r="4275" spans="1:3" x14ac:dyDescent="0.2">
      <c r="A4275" s="10" t="str">
        <f>IF(4267&gt;$C$9008,"",INDEX($B$9:$B$9008,MATCH(4267,$C$9:$C$9008,0)))</f>
        <v/>
      </c>
      <c r="B4275" s="9" t="str">
        <f>IFERROR(INDEX(Input!$L$20:$T$1019,INT((ROW()-9)/9)+1,MOD(ROW()-9,9)+1),"")</f>
        <v/>
      </c>
      <c r="C4275" s="9">
        <f t="shared" si="66"/>
        <v>0</v>
      </c>
    </row>
    <row r="4276" spans="1:3" x14ac:dyDescent="0.2">
      <c r="A4276" s="10" t="str">
        <f>IF(4268&gt;$C$9008,"",INDEX($B$9:$B$9008,MATCH(4268,$C$9:$C$9008,0)))</f>
        <v/>
      </c>
      <c r="B4276" s="9" t="str">
        <f>IFERROR(INDEX(Input!$L$20:$T$1019,INT((ROW()-9)/9)+1,MOD(ROW()-9,9)+1),"")</f>
        <v/>
      </c>
      <c r="C4276" s="9">
        <f t="shared" si="66"/>
        <v>0</v>
      </c>
    </row>
    <row r="4277" spans="1:3" x14ac:dyDescent="0.2">
      <c r="A4277" s="10" t="str">
        <f>IF(4269&gt;$C$9008,"",INDEX($B$9:$B$9008,MATCH(4269,$C$9:$C$9008,0)))</f>
        <v/>
      </c>
      <c r="B4277" s="9" t="str">
        <f>IFERROR(INDEX(Input!$L$20:$T$1019,INT((ROW()-9)/9)+1,MOD(ROW()-9,9)+1),"")</f>
        <v/>
      </c>
      <c r="C4277" s="9">
        <f t="shared" si="66"/>
        <v>0</v>
      </c>
    </row>
    <row r="4278" spans="1:3" x14ac:dyDescent="0.2">
      <c r="A4278" s="10" t="str">
        <f>IF(4270&gt;$C$9008,"",INDEX($B$9:$B$9008,MATCH(4270,$C$9:$C$9008,0)))</f>
        <v/>
      </c>
      <c r="B4278" s="9" t="str">
        <f>IFERROR(INDEX(Input!$L$20:$T$1019,INT((ROW()-9)/9)+1,MOD(ROW()-9,9)+1),"")</f>
        <v/>
      </c>
      <c r="C4278" s="9">
        <f t="shared" si="66"/>
        <v>0</v>
      </c>
    </row>
    <row r="4279" spans="1:3" x14ac:dyDescent="0.2">
      <c r="A4279" s="10" t="str">
        <f>IF(4271&gt;$C$9008,"",INDEX($B$9:$B$9008,MATCH(4271,$C$9:$C$9008,0)))</f>
        <v/>
      </c>
      <c r="B4279" s="9" t="str">
        <f>IFERROR(INDEX(Input!$L$20:$T$1019,INT((ROW()-9)/9)+1,MOD(ROW()-9,9)+1),"")</f>
        <v/>
      </c>
      <c r="C4279" s="9">
        <f t="shared" si="66"/>
        <v>0</v>
      </c>
    </row>
    <row r="4280" spans="1:3" x14ac:dyDescent="0.2">
      <c r="A4280" s="10" t="str">
        <f>IF(4272&gt;$C$9008,"",INDEX($B$9:$B$9008,MATCH(4272,$C$9:$C$9008,0)))</f>
        <v/>
      </c>
      <c r="B4280" s="9" t="str">
        <f>IFERROR(INDEX(Input!$L$20:$T$1019,INT((ROW()-9)/9)+1,MOD(ROW()-9,9)+1),"")</f>
        <v/>
      </c>
      <c r="C4280" s="9">
        <f t="shared" si="66"/>
        <v>0</v>
      </c>
    </row>
    <row r="4281" spans="1:3" x14ac:dyDescent="0.2">
      <c r="A4281" s="10" t="str">
        <f>IF(4273&gt;$C$9008,"",INDEX($B$9:$B$9008,MATCH(4273,$C$9:$C$9008,0)))</f>
        <v/>
      </c>
      <c r="B4281" s="9" t="str">
        <f>IFERROR(INDEX(Input!$L$20:$T$1019,INT((ROW()-9)/9)+1,MOD(ROW()-9,9)+1),"")</f>
        <v/>
      </c>
      <c r="C4281" s="9">
        <f t="shared" si="66"/>
        <v>0</v>
      </c>
    </row>
    <row r="4282" spans="1:3" x14ac:dyDescent="0.2">
      <c r="A4282" s="10" t="str">
        <f>IF(4274&gt;$C$9008,"",INDEX($B$9:$B$9008,MATCH(4274,$C$9:$C$9008,0)))</f>
        <v/>
      </c>
      <c r="B4282" s="9" t="str">
        <f>IFERROR(INDEX(Input!$L$20:$T$1019,INT((ROW()-9)/9)+1,MOD(ROW()-9,9)+1),"")</f>
        <v/>
      </c>
      <c r="C4282" s="9">
        <f t="shared" si="66"/>
        <v>0</v>
      </c>
    </row>
    <row r="4283" spans="1:3" x14ac:dyDescent="0.2">
      <c r="A4283" s="10" t="str">
        <f>IF(4275&gt;$C$9008,"",INDEX($B$9:$B$9008,MATCH(4275,$C$9:$C$9008,0)))</f>
        <v/>
      </c>
      <c r="B4283" s="9" t="str">
        <f>IFERROR(INDEX(Input!$L$20:$T$1019,INT((ROW()-9)/9)+1,MOD(ROW()-9,9)+1),"")</f>
        <v/>
      </c>
      <c r="C4283" s="9">
        <f t="shared" si="66"/>
        <v>0</v>
      </c>
    </row>
    <row r="4284" spans="1:3" x14ac:dyDescent="0.2">
      <c r="A4284" s="10" t="str">
        <f>IF(4276&gt;$C$9008,"",INDEX($B$9:$B$9008,MATCH(4276,$C$9:$C$9008,0)))</f>
        <v/>
      </c>
      <c r="B4284" s="9" t="str">
        <f>IFERROR(INDEX(Input!$L$20:$T$1019,INT((ROW()-9)/9)+1,MOD(ROW()-9,9)+1),"")</f>
        <v/>
      </c>
      <c r="C4284" s="9">
        <f t="shared" si="66"/>
        <v>0</v>
      </c>
    </row>
    <row r="4285" spans="1:3" x14ac:dyDescent="0.2">
      <c r="A4285" s="10" t="str">
        <f>IF(4277&gt;$C$9008,"",INDEX($B$9:$B$9008,MATCH(4277,$C$9:$C$9008,0)))</f>
        <v/>
      </c>
      <c r="B4285" s="9" t="str">
        <f>IFERROR(INDEX(Input!$L$20:$T$1019,INT((ROW()-9)/9)+1,MOD(ROW()-9,9)+1),"")</f>
        <v/>
      </c>
      <c r="C4285" s="9">
        <f t="shared" si="66"/>
        <v>0</v>
      </c>
    </row>
    <row r="4286" spans="1:3" x14ac:dyDescent="0.2">
      <c r="A4286" s="10" t="str">
        <f>IF(4278&gt;$C$9008,"",INDEX($B$9:$B$9008,MATCH(4278,$C$9:$C$9008,0)))</f>
        <v/>
      </c>
      <c r="B4286" s="9" t="str">
        <f>IFERROR(INDEX(Input!$L$20:$T$1019,INT((ROW()-9)/9)+1,MOD(ROW()-9,9)+1),"")</f>
        <v/>
      </c>
      <c r="C4286" s="9">
        <f t="shared" si="66"/>
        <v>0</v>
      </c>
    </row>
    <row r="4287" spans="1:3" x14ac:dyDescent="0.2">
      <c r="A4287" s="10" t="str">
        <f>IF(4279&gt;$C$9008,"",INDEX($B$9:$B$9008,MATCH(4279,$C$9:$C$9008,0)))</f>
        <v/>
      </c>
      <c r="B4287" s="9" t="str">
        <f>IFERROR(INDEX(Input!$L$20:$T$1019,INT((ROW()-9)/9)+1,MOD(ROW()-9,9)+1),"")</f>
        <v/>
      </c>
      <c r="C4287" s="9">
        <f t="shared" si="66"/>
        <v>0</v>
      </c>
    </row>
    <row r="4288" spans="1:3" x14ac:dyDescent="0.2">
      <c r="A4288" s="10" t="str">
        <f>IF(4280&gt;$C$9008,"",INDEX($B$9:$B$9008,MATCH(4280,$C$9:$C$9008,0)))</f>
        <v/>
      </c>
      <c r="B4288" s="9" t="str">
        <f>IFERROR(INDEX(Input!$L$20:$T$1019,INT((ROW()-9)/9)+1,MOD(ROW()-9,9)+1),"")</f>
        <v/>
      </c>
      <c r="C4288" s="9">
        <f t="shared" si="66"/>
        <v>0</v>
      </c>
    </row>
    <row r="4289" spans="1:3" x14ac:dyDescent="0.2">
      <c r="A4289" s="10" t="str">
        <f>IF(4281&gt;$C$9008,"",INDEX($B$9:$B$9008,MATCH(4281,$C$9:$C$9008,0)))</f>
        <v/>
      </c>
      <c r="B4289" s="9" t="str">
        <f>IFERROR(INDEX(Input!$L$20:$T$1019,INT((ROW()-9)/9)+1,MOD(ROW()-9,9)+1),"")</f>
        <v/>
      </c>
      <c r="C4289" s="9">
        <f t="shared" si="66"/>
        <v>0</v>
      </c>
    </row>
    <row r="4290" spans="1:3" x14ac:dyDescent="0.2">
      <c r="A4290" s="10" t="str">
        <f>IF(4282&gt;$C$9008,"",INDEX($B$9:$B$9008,MATCH(4282,$C$9:$C$9008,0)))</f>
        <v/>
      </c>
      <c r="B4290" s="9" t="str">
        <f>IFERROR(INDEX(Input!$L$20:$T$1019,INT((ROW()-9)/9)+1,MOD(ROW()-9,9)+1),"")</f>
        <v/>
      </c>
      <c r="C4290" s="9">
        <f t="shared" si="66"/>
        <v>0</v>
      </c>
    </row>
    <row r="4291" spans="1:3" x14ac:dyDescent="0.2">
      <c r="A4291" s="10" t="str">
        <f>IF(4283&gt;$C$9008,"",INDEX($B$9:$B$9008,MATCH(4283,$C$9:$C$9008,0)))</f>
        <v/>
      </c>
      <c r="B4291" s="9" t="str">
        <f>IFERROR(INDEX(Input!$L$20:$T$1019,INT((ROW()-9)/9)+1,MOD(ROW()-9,9)+1),"")</f>
        <v/>
      </c>
      <c r="C4291" s="9">
        <f t="shared" si="66"/>
        <v>0</v>
      </c>
    </row>
    <row r="4292" spans="1:3" x14ac:dyDescent="0.2">
      <c r="A4292" s="10" t="str">
        <f>IF(4284&gt;$C$9008,"",INDEX($B$9:$B$9008,MATCH(4284,$C$9:$C$9008,0)))</f>
        <v/>
      </c>
      <c r="B4292" s="9" t="str">
        <f>IFERROR(INDEX(Input!$L$20:$T$1019,INT((ROW()-9)/9)+1,MOD(ROW()-9,9)+1),"")</f>
        <v/>
      </c>
      <c r="C4292" s="9">
        <f t="shared" si="66"/>
        <v>0</v>
      </c>
    </row>
    <row r="4293" spans="1:3" x14ac:dyDescent="0.2">
      <c r="A4293" s="10" t="str">
        <f>IF(4285&gt;$C$9008,"",INDEX($B$9:$B$9008,MATCH(4285,$C$9:$C$9008,0)))</f>
        <v/>
      </c>
      <c r="B4293" s="9" t="str">
        <f>IFERROR(INDEX(Input!$L$20:$T$1019,INT((ROW()-9)/9)+1,MOD(ROW()-9,9)+1),"")</f>
        <v/>
      </c>
      <c r="C4293" s="9">
        <f t="shared" si="66"/>
        <v>0</v>
      </c>
    </row>
    <row r="4294" spans="1:3" x14ac:dyDescent="0.2">
      <c r="A4294" s="10" t="str">
        <f>IF(4286&gt;$C$9008,"",INDEX($B$9:$B$9008,MATCH(4286,$C$9:$C$9008,0)))</f>
        <v/>
      </c>
      <c r="B4294" s="9" t="str">
        <f>IFERROR(INDEX(Input!$L$20:$T$1019,INT((ROW()-9)/9)+1,MOD(ROW()-9,9)+1),"")</f>
        <v/>
      </c>
      <c r="C4294" s="9">
        <f t="shared" si="66"/>
        <v>0</v>
      </c>
    </row>
    <row r="4295" spans="1:3" x14ac:dyDescent="0.2">
      <c r="A4295" s="10" t="str">
        <f>IF(4287&gt;$C$9008,"",INDEX($B$9:$B$9008,MATCH(4287,$C$9:$C$9008,0)))</f>
        <v/>
      </c>
      <c r="B4295" s="9" t="str">
        <f>IFERROR(INDEX(Input!$L$20:$T$1019,INT((ROW()-9)/9)+1,MOD(ROW()-9,9)+1),"")</f>
        <v/>
      </c>
      <c r="C4295" s="9">
        <f t="shared" si="66"/>
        <v>0</v>
      </c>
    </row>
    <row r="4296" spans="1:3" x14ac:dyDescent="0.2">
      <c r="A4296" s="10" t="str">
        <f>IF(4288&gt;$C$9008,"",INDEX($B$9:$B$9008,MATCH(4288,$C$9:$C$9008,0)))</f>
        <v/>
      </c>
      <c r="B4296" s="9" t="str">
        <f>IFERROR(INDEX(Input!$L$20:$T$1019,INT((ROW()-9)/9)+1,MOD(ROW()-9,9)+1),"")</f>
        <v/>
      </c>
      <c r="C4296" s="9">
        <f t="shared" si="66"/>
        <v>0</v>
      </c>
    </row>
    <row r="4297" spans="1:3" x14ac:dyDescent="0.2">
      <c r="A4297" s="10" t="str">
        <f>IF(4289&gt;$C$9008,"",INDEX($B$9:$B$9008,MATCH(4289,$C$9:$C$9008,0)))</f>
        <v/>
      </c>
      <c r="B4297" s="9" t="str">
        <f>IFERROR(INDEX(Input!$L$20:$T$1019,INT((ROW()-9)/9)+1,MOD(ROW()-9,9)+1),"")</f>
        <v/>
      </c>
      <c r="C4297" s="9">
        <f t="shared" ref="C4297:C4360" si="67">$C4296+IF($B4297&lt;&gt;"",1,0)</f>
        <v>0</v>
      </c>
    </row>
    <row r="4298" spans="1:3" x14ac:dyDescent="0.2">
      <c r="A4298" s="10" t="str">
        <f>IF(4290&gt;$C$9008,"",INDEX($B$9:$B$9008,MATCH(4290,$C$9:$C$9008,0)))</f>
        <v/>
      </c>
      <c r="B4298" s="9" t="str">
        <f>IFERROR(INDEX(Input!$L$20:$T$1019,INT((ROW()-9)/9)+1,MOD(ROW()-9,9)+1),"")</f>
        <v/>
      </c>
      <c r="C4298" s="9">
        <f t="shared" si="67"/>
        <v>0</v>
      </c>
    </row>
    <row r="4299" spans="1:3" x14ac:dyDescent="0.2">
      <c r="A4299" s="10" t="str">
        <f>IF(4291&gt;$C$9008,"",INDEX($B$9:$B$9008,MATCH(4291,$C$9:$C$9008,0)))</f>
        <v/>
      </c>
      <c r="B4299" s="9" t="str">
        <f>IFERROR(INDEX(Input!$L$20:$T$1019,INT((ROW()-9)/9)+1,MOD(ROW()-9,9)+1),"")</f>
        <v/>
      </c>
      <c r="C4299" s="9">
        <f t="shared" si="67"/>
        <v>0</v>
      </c>
    </row>
    <row r="4300" spans="1:3" x14ac:dyDescent="0.2">
      <c r="A4300" s="10" t="str">
        <f>IF(4292&gt;$C$9008,"",INDEX($B$9:$B$9008,MATCH(4292,$C$9:$C$9008,0)))</f>
        <v/>
      </c>
      <c r="B4300" s="9" t="str">
        <f>IFERROR(INDEX(Input!$L$20:$T$1019,INT((ROW()-9)/9)+1,MOD(ROW()-9,9)+1),"")</f>
        <v/>
      </c>
      <c r="C4300" s="9">
        <f t="shared" si="67"/>
        <v>0</v>
      </c>
    </row>
    <row r="4301" spans="1:3" x14ac:dyDescent="0.2">
      <c r="A4301" s="10" t="str">
        <f>IF(4293&gt;$C$9008,"",INDEX($B$9:$B$9008,MATCH(4293,$C$9:$C$9008,0)))</f>
        <v/>
      </c>
      <c r="B4301" s="9" t="str">
        <f>IFERROR(INDEX(Input!$L$20:$T$1019,INT((ROW()-9)/9)+1,MOD(ROW()-9,9)+1),"")</f>
        <v/>
      </c>
      <c r="C4301" s="9">
        <f t="shared" si="67"/>
        <v>0</v>
      </c>
    </row>
    <row r="4302" spans="1:3" x14ac:dyDescent="0.2">
      <c r="A4302" s="10" t="str">
        <f>IF(4294&gt;$C$9008,"",INDEX($B$9:$B$9008,MATCH(4294,$C$9:$C$9008,0)))</f>
        <v/>
      </c>
      <c r="B4302" s="9" t="str">
        <f>IFERROR(INDEX(Input!$L$20:$T$1019,INT((ROW()-9)/9)+1,MOD(ROW()-9,9)+1),"")</f>
        <v/>
      </c>
      <c r="C4302" s="9">
        <f t="shared" si="67"/>
        <v>0</v>
      </c>
    </row>
    <row r="4303" spans="1:3" x14ac:dyDescent="0.2">
      <c r="A4303" s="10" t="str">
        <f>IF(4295&gt;$C$9008,"",INDEX($B$9:$B$9008,MATCH(4295,$C$9:$C$9008,0)))</f>
        <v/>
      </c>
      <c r="B4303" s="9" t="str">
        <f>IFERROR(INDEX(Input!$L$20:$T$1019,INT((ROW()-9)/9)+1,MOD(ROW()-9,9)+1),"")</f>
        <v/>
      </c>
      <c r="C4303" s="9">
        <f t="shared" si="67"/>
        <v>0</v>
      </c>
    </row>
    <row r="4304" spans="1:3" x14ac:dyDescent="0.2">
      <c r="A4304" s="10" t="str">
        <f>IF(4296&gt;$C$9008,"",INDEX($B$9:$B$9008,MATCH(4296,$C$9:$C$9008,0)))</f>
        <v/>
      </c>
      <c r="B4304" s="9" t="str">
        <f>IFERROR(INDEX(Input!$L$20:$T$1019,INT((ROW()-9)/9)+1,MOD(ROW()-9,9)+1),"")</f>
        <v/>
      </c>
      <c r="C4304" s="9">
        <f t="shared" si="67"/>
        <v>0</v>
      </c>
    </row>
    <row r="4305" spans="1:3" x14ac:dyDescent="0.2">
      <c r="A4305" s="10" t="str">
        <f>IF(4297&gt;$C$9008,"",INDEX($B$9:$B$9008,MATCH(4297,$C$9:$C$9008,0)))</f>
        <v/>
      </c>
      <c r="B4305" s="9" t="str">
        <f>IFERROR(INDEX(Input!$L$20:$T$1019,INT((ROW()-9)/9)+1,MOD(ROW()-9,9)+1),"")</f>
        <v/>
      </c>
      <c r="C4305" s="9">
        <f t="shared" si="67"/>
        <v>0</v>
      </c>
    </row>
    <row r="4306" spans="1:3" x14ac:dyDescent="0.2">
      <c r="A4306" s="10" t="str">
        <f>IF(4298&gt;$C$9008,"",INDEX($B$9:$B$9008,MATCH(4298,$C$9:$C$9008,0)))</f>
        <v/>
      </c>
      <c r="B4306" s="9" t="str">
        <f>IFERROR(INDEX(Input!$L$20:$T$1019,INT((ROW()-9)/9)+1,MOD(ROW()-9,9)+1),"")</f>
        <v/>
      </c>
      <c r="C4306" s="9">
        <f t="shared" si="67"/>
        <v>0</v>
      </c>
    </row>
    <row r="4307" spans="1:3" x14ac:dyDescent="0.2">
      <c r="A4307" s="10" t="str">
        <f>IF(4299&gt;$C$9008,"",INDEX($B$9:$B$9008,MATCH(4299,$C$9:$C$9008,0)))</f>
        <v/>
      </c>
      <c r="B4307" s="9" t="str">
        <f>IFERROR(INDEX(Input!$L$20:$T$1019,INT((ROW()-9)/9)+1,MOD(ROW()-9,9)+1),"")</f>
        <v/>
      </c>
      <c r="C4307" s="9">
        <f t="shared" si="67"/>
        <v>0</v>
      </c>
    </row>
    <row r="4308" spans="1:3" x14ac:dyDescent="0.2">
      <c r="A4308" s="10" t="str">
        <f>IF(4300&gt;$C$9008,"",INDEX($B$9:$B$9008,MATCH(4300,$C$9:$C$9008,0)))</f>
        <v/>
      </c>
      <c r="B4308" s="9" t="str">
        <f>IFERROR(INDEX(Input!$L$20:$T$1019,INT((ROW()-9)/9)+1,MOD(ROW()-9,9)+1),"")</f>
        <v/>
      </c>
      <c r="C4308" s="9">
        <f t="shared" si="67"/>
        <v>0</v>
      </c>
    </row>
    <row r="4309" spans="1:3" x14ac:dyDescent="0.2">
      <c r="A4309" s="10" t="str">
        <f>IF(4301&gt;$C$9008,"",INDEX($B$9:$B$9008,MATCH(4301,$C$9:$C$9008,0)))</f>
        <v/>
      </c>
      <c r="B4309" s="9" t="str">
        <f>IFERROR(INDEX(Input!$L$20:$T$1019,INT((ROW()-9)/9)+1,MOD(ROW()-9,9)+1),"")</f>
        <v/>
      </c>
      <c r="C4309" s="9">
        <f t="shared" si="67"/>
        <v>0</v>
      </c>
    </row>
    <row r="4310" spans="1:3" x14ac:dyDescent="0.2">
      <c r="A4310" s="10" t="str">
        <f>IF(4302&gt;$C$9008,"",INDEX($B$9:$B$9008,MATCH(4302,$C$9:$C$9008,0)))</f>
        <v/>
      </c>
      <c r="B4310" s="9" t="str">
        <f>IFERROR(INDEX(Input!$L$20:$T$1019,INT((ROW()-9)/9)+1,MOD(ROW()-9,9)+1),"")</f>
        <v/>
      </c>
      <c r="C4310" s="9">
        <f t="shared" si="67"/>
        <v>0</v>
      </c>
    </row>
    <row r="4311" spans="1:3" x14ac:dyDescent="0.2">
      <c r="A4311" s="10" t="str">
        <f>IF(4303&gt;$C$9008,"",INDEX($B$9:$B$9008,MATCH(4303,$C$9:$C$9008,0)))</f>
        <v/>
      </c>
      <c r="B4311" s="9" t="str">
        <f>IFERROR(INDEX(Input!$L$20:$T$1019,INT((ROW()-9)/9)+1,MOD(ROW()-9,9)+1),"")</f>
        <v/>
      </c>
      <c r="C4311" s="9">
        <f t="shared" si="67"/>
        <v>0</v>
      </c>
    </row>
    <row r="4312" spans="1:3" x14ac:dyDescent="0.2">
      <c r="A4312" s="10" t="str">
        <f>IF(4304&gt;$C$9008,"",INDEX($B$9:$B$9008,MATCH(4304,$C$9:$C$9008,0)))</f>
        <v/>
      </c>
      <c r="B4312" s="9" t="str">
        <f>IFERROR(INDEX(Input!$L$20:$T$1019,INT((ROW()-9)/9)+1,MOD(ROW()-9,9)+1),"")</f>
        <v/>
      </c>
      <c r="C4312" s="9">
        <f t="shared" si="67"/>
        <v>0</v>
      </c>
    </row>
    <row r="4313" spans="1:3" x14ac:dyDescent="0.2">
      <c r="A4313" s="10" t="str">
        <f>IF(4305&gt;$C$9008,"",INDEX($B$9:$B$9008,MATCH(4305,$C$9:$C$9008,0)))</f>
        <v/>
      </c>
      <c r="B4313" s="9" t="str">
        <f>IFERROR(INDEX(Input!$L$20:$T$1019,INT((ROW()-9)/9)+1,MOD(ROW()-9,9)+1),"")</f>
        <v/>
      </c>
      <c r="C4313" s="9">
        <f t="shared" si="67"/>
        <v>0</v>
      </c>
    </row>
    <row r="4314" spans="1:3" x14ac:dyDescent="0.2">
      <c r="A4314" s="10" t="str">
        <f>IF(4306&gt;$C$9008,"",INDEX($B$9:$B$9008,MATCH(4306,$C$9:$C$9008,0)))</f>
        <v/>
      </c>
      <c r="B4314" s="9" t="str">
        <f>IFERROR(INDEX(Input!$L$20:$T$1019,INT((ROW()-9)/9)+1,MOD(ROW()-9,9)+1),"")</f>
        <v/>
      </c>
      <c r="C4314" s="9">
        <f t="shared" si="67"/>
        <v>0</v>
      </c>
    </row>
    <row r="4315" spans="1:3" x14ac:dyDescent="0.2">
      <c r="A4315" s="10" t="str">
        <f>IF(4307&gt;$C$9008,"",INDEX($B$9:$B$9008,MATCH(4307,$C$9:$C$9008,0)))</f>
        <v/>
      </c>
      <c r="B4315" s="9" t="str">
        <f>IFERROR(INDEX(Input!$L$20:$T$1019,INT((ROW()-9)/9)+1,MOD(ROW()-9,9)+1),"")</f>
        <v/>
      </c>
      <c r="C4315" s="9">
        <f t="shared" si="67"/>
        <v>0</v>
      </c>
    </row>
    <row r="4316" spans="1:3" x14ac:dyDescent="0.2">
      <c r="A4316" s="10" t="str">
        <f>IF(4308&gt;$C$9008,"",INDEX($B$9:$B$9008,MATCH(4308,$C$9:$C$9008,0)))</f>
        <v/>
      </c>
      <c r="B4316" s="9" t="str">
        <f>IFERROR(INDEX(Input!$L$20:$T$1019,INT((ROW()-9)/9)+1,MOD(ROW()-9,9)+1),"")</f>
        <v/>
      </c>
      <c r="C4316" s="9">
        <f t="shared" si="67"/>
        <v>0</v>
      </c>
    </row>
    <row r="4317" spans="1:3" x14ac:dyDescent="0.2">
      <c r="A4317" s="10" t="str">
        <f>IF(4309&gt;$C$9008,"",INDEX($B$9:$B$9008,MATCH(4309,$C$9:$C$9008,0)))</f>
        <v/>
      </c>
      <c r="B4317" s="9" t="str">
        <f>IFERROR(INDEX(Input!$L$20:$T$1019,INT((ROW()-9)/9)+1,MOD(ROW()-9,9)+1),"")</f>
        <v/>
      </c>
      <c r="C4317" s="9">
        <f t="shared" si="67"/>
        <v>0</v>
      </c>
    </row>
    <row r="4318" spans="1:3" x14ac:dyDescent="0.2">
      <c r="A4318" s="10" t="str">
        <f>IF(4310&gt;$C$9008,"",INDEX($B$9:$B$9008,MATCH(4310,$C$9:$C$9008,0)))</f>
        <v/>
      </c>
      <c r="B4318" s="9" t="str">
        <f>IFERROR(INDEX(Input!$L$20:$T$1019,INT((ROW()-9)/9)+1,MOD(ROW()-9,9)+1),"")</f>
        <v/>
      </c>
      <c r="C4318" s="9">
        <f t="shared" si="67"/>
        <v>0</v>
      </c>
    </row>
    <row r="4319" spans="1:3" x14ac:dyDescent="0.2">
      <c r="A4319" s="10" t="str">
        <f>IF(4311&gt;$C$9008,"",INDEX($B$9:$B$9008,MATCH(4311,$C$9:$C$9008,0)))</f>
        <v/>
      </c>
      <c r="B4319" s="9" t="str">
        <f>IFERROR(INDEX(Input!$L$20:$T$1019,INT((ROW()-9)/9)+1,MOD(ROW()-9,9)+1),"")</f>
        <v/>
      </c>
      <c r="C4319" s="9">
        <f t="shared" si="67"/>
        <v>0</v>
      </c>
    </row>
    <row r="4320" spans="1:3" x14ac:dyDescent="0.2">
      <c r="A4320" s="10" t="str">
        <f>IF(4312&gt;$C$9008,"",INDEX($B$9:$B$9008,MATCH(4312,$C$9:$C$9008,0)))</f>
        <v/>
      </c>
      <c r="B4320" s="9" t="str">
        <f>IFERROR(INDEX(Input!$L$20:$T$1019,INT((ROW()-9)/9)+1,MOD(ROW()-9,9)+1),"")</f>
        <v/>
      </c>
      <c r="C4320" s="9">
        <f t="shared" si="67"/>
        <v>0</v>
      </c>
    </row>
    <row r="4321" spans="1:3" x14ac:dyDescent="0.2">
      <c r="A4321" s="10" t="str">
        <f>IF(4313&gt;$C$9008,"",INDEX($B$9:$B$9008,MATCH(4313,$C$9:$C$9008,0)))</f>
        <v/>
      </c>
      <c r="B4321" s="9" t="str">
        <f>IFERROR(INDEX(Input!$L$20:$T$1019,INT((ROW()-9)/9)+1,MOD(ROW()-9,9)+1),"")</f>
        <v/>
      </c>
      <c r="C4321" s="9">
        <f t="shared" si="67"/>
        <v>0</v>
      </c>
    </row>
    <row r="4322" spans="1:3" x14ac:dyDescent="0.2">
      <c r="A4322" s="10" t="str">
        <f>IF(4314&gt;$C$9008,"",INDEX($B$9:$B$9008,MATCH(4314,$C$9:$C$9008,0)))</f>
        <v/>
      </c>
      <c r="B4322" s="9" t="str">
        <f>IFERROR(INDEX(Input!$L$20:$T$1019,INT((ROW()-9)/9)+1,MOD(ROW()-9,9)+1),"")</f>
        <v/>
      </c>
      <c r="C4322" s="9">
        <f t="shared" si="67"/>
        <v>0</v>
      </c>
    </row>
    <row r="4323" spans="1:3" x14ac:dyDescent="0.2">
      <c r="A4323" s="10" t="str">
        <f>IF(4315&gt;$C$9008,"",INDEX($B$9:$B$9008,MATCH(4315,$C$9:$C$9008,0)))</f>
        <v/>
      </c>
      <c r="B4323" s="9" t="str">
        <f>IFERROR(INDEX(Input!$L$20:$T$1019,INT((ROW()-9)/9)+1,MOD(ROW()-9,9)+1),"")</f>
        <v/>
      </c>
      <c r="C4323" s="9">
        <f t="shared" si="67"/>
        <v>0</v>
      </c>
    </row>
    <row r="4324" spans="1:3" x14ac:dyDescent="0.2">
      <c r="A4324" s="10" t="str">
        <f>IF(4316&gt;$C$9008,"",INDEX($B$9:$B$9008,MATCH(4316,$C$9:$C$9008,0)))</f>
        <v/>
      </c>
      <c r="B4324" s="9" t="str">
        <f>IFERROR(INDEX(Input!$L$20:$T$1019,INT((ROW()-9)/9)+1,MOD(ROW()-9,9)+1),"")</f>
        <v/>
      </c>
      <c r="C4324" s="9">
        <f t="shared" si="67"/>
        <v>0</v>
      </c>
    </row>
    <row r="4325" spans="1:3" x14ac:dyDescent="0.2">
      <c r="A4325" s="10" t="str">
        <f>IF(4317&gt;$C$9008,"",INDEX($B$9:$B$9008,MATCH(4317,$C$9:$C$9008,0)))</f>
        <v/>
      </c>
      <c r="B4325" s="9" t="str">
        <f>IFERROR(INDEX(Input!$L$20:$T$1019,INT((ROW()-9)/9)+1,MOD(ROW()-9,9)+1),"")</f>
        <v/>
      </c>
      <c r="C4325" s="9">
        <f t="shared" si="67"/>
        <v>0</v>
      </c>
    </row>
    <row r="4326" spans="1:3" x14ac:dyDescent="0.2">
      <c r="A4326" s="10" t="str">
        <f>IF(4318&gt;$C$9008,"",INDEX($B$9:$B$9008,MATCH(4318,$C$9:$C$9008,0)))</f>
        <v/>
      </c>
      <c r="B4326" s="9" t="str">
        <f>IFERROR(INDEX(Input!$L$20:$T$1019,INT((ROW()-9)/9)+1,MOD(ROW()-9,9)+1),"")</f>
        <v/>
      </c>
      <c r="C4326" s="9">
        <f t="shared" si="67"/>
        <v>0</v>
      </c>
    </row>
    <row r="4327" spans="1:3" x14ac:dyDescent="0.2">
      <c r="A4327" s="10" t="str">
        <f>IF(4319&gt;$C$9008,"",INDEX($B$9:$B$9008,MATCH(4319,$C$9:$C$9008,0)))</f>
        <v/>
      </c>
      <c r="B4327" s="9" t="str">
        <f>IFERROR(INDEX(Input!$L$20:$T$1019,INT((ROW()-9)/9)+1,MOD(ROW()-9,9)+1),"")</f>
        <v/>
      </c>
      <c r="C4327" s="9">
        <f t="shared" si="67"/>
        <v>0</v>
      </c>
    </row>
    <row r="4328" spans="1:3" x14ac:dyDescent="0.2">
      <c r="A4328" s="10" t="str">
        <f>IF(4320&gt;$C$9008,"",INDEX($B$9:$B$9008,MATCH(4320,$C$9:$C$9008,0)))</f>
        <v/>
      </c>
      <c r="B4328" s="9" t="str">
        <f>IFERROR(INDEX(Input!$L$20:$T$1019,INT((ROW()-9)/9)+1,MOD(ROW()-9,9)+1),"")</f>
        <v/>
      </c>
      <c r="C4328" s="9">
        <f t="shared" si="67"/>
        <v>0</v>
      </c>
    </row>
    <row r="4329" spans="1:3" x14ac:dyDescent="0.2">
      <c r="A4329" s="10" t="str">
        <f>IF(4321&gt;$C$9008,"",INDEX($B$9:$B$9008,MATCH(4321,$C$9:$C$9008,0)))</f>
        <v/>
      </c>
      <c r="B4329" s="9" t="str">
        <f>IFERROR(INDEX(Input!$L$20:$T$1019,INT((ROW()-9)/9)+1,MOD(ROW()-9,9)+1),"")</f>
        <v/>
      </c>
      <c r="C4329" s="9">
        <f t="shared" si="67"/>
        <v>0</v>
      </c>
    </row>
    <row r="4330" spans="1:3" x14ac:dyDescent="0.2">
      <c r="A4330" s="10" t="str">
        <f>IF(4322&gt;$C$9008,"",INDEX($B$9:$B$9008,MATCH(4322,$C$9:$C$9008,0)))</f>
        <v/>
      </c>
      <c r="B4330" s="9" t="str">
        <f>IFERROR(INDEX(Input!$L$20:$T$1019,INT((ROW()-9)/9)+1,MOD(ROW()-9,9)+1),"")</f>
        <v/>
      </c>
      <c r="C4330" s="9">
        <f t="shared" si="67"/>
        <v>0</v>
      </c>
    </row>
    <row r="4331" spans="1:3" x14ac:dyDescent="0.2">
      <c r="A4331" s="10" t="str">
        <f>IF(4323&gt;$C$9008,"",INDEX($B$9:$B$9008,MATCH(4323,$C$9:$C$9008,0)))</f>
        <v/>
      </c>
      <c r="B4331" s="9" t="str">
        <f>IFERROR(INDEX(Input!$L$20:$T$1019,INT((ROW()-9)/9)+1,MOD(ROW()-9,9)+1),"")</f>
        <v/>
      </c>
      <c r="C4331" s="9">
        <f t="shared" si="67"/>
        <v>0</v>
      </c>
    </row>
    <row r="4332" spans="1:3" x14ac:dyDescent="0.2">
      <c r="A4332" s="10" t="str">
        <f>IF(4324&gt;$C$9008,"",INDEX($B$9:$B$9008,MATCH(4324,$C$9:$C$9008,0)))</f>
        <v/>
      </c>
      <c r="B4332" s="9" t="str">
        <f>IFERROR(INDEX(Input!$L$20:$T$1019,INT((ROW()-9)/9)+1,MOD(ROW()-9,9)+1),"")</f>
        <v/>
      </c>
      <c r="C4332" s="9">
        <f t="shared" si="67"/>
        <v>0</v>
      </c>
    </row>
    <row r="4333" spans="1:3" x14ac:dyDescent="0.2">
      <c r="A4333" s="10" t="str">
        <f>IF(4325&gt;$C$9008,"",INDEX($B$9:$B$9008,MATCH(4325,$C$9:$C$9008,0)))</f>
        <v/>
      </c>
      <c r="B4333" s="9" t="str">
        <f>IFERROR(INDEX(Input!$L$20:$T$1019,INT((ROW()-9)/9)+1,MOD(ROW()-9,9)+1),"")</f>
        <v/>
      </c>
      <c r="C4333" s="9">
        <f t="shared" si="67"/>
        <v>0</v>
      </c>
    </row>
    <row r="4334" spans="1:3" x14ac:dyDescent="0.2">
      <c r="A4334" s="10" t="str">
        <f>IF(4326&gt;$C$9008,"",INDEX($B$9:$B$9008,MATCH(4326,$C$9:$C$9008,0)))</f>
        <v/>
      </c>
      <c r="B4334" s="9" t="str">
        <f>IFERROR(INDEX(Input!$L$20:$T$1019,INT((ROW()-9)/9)+1,MOD(ROW()-9,9)+1),"")</f>
        <v/>
      </c>
      <c r="C4334" s="9">
        <f t="shared" si="67"/>
        <v>0</v>
      </c>
    </row>
    <row r="4335" spans="1:3" x14ac:dyDescent="0.2">
      <c r="A4335" s="10" t="str">
        <f>IF(4327&gt;$C$9008,"",INDEX($B$9:$B$9008,MATCH(4327,$C$9:$C$9008,0)))</f>
        <v/>
      </c>
      <c r="B4335" s="9" t="str">
        <f>IFERROR(INDEX(Input!$L$20:$T$1019,INT((ROW()-9)/9)+1,MOD(ROW()-9,9)+1),"")</f>
        <v/>
      </c>
      <c r="C4335" s="9">
        <f t="shared" si="67"/>
        <v>0</v>
      </c>
    </row>
    <row r="4336" spans="1:3" x14ac:dyDescent="0.2">
      <c r="A4336" s="10" t="str">
        <f>IF(4328&gt;$C$9008,"",INDEX($B$9:$B$9008,MATCH(4328,$C$9:$C$9008,0)))</f>
        <v/>
      </c>
      <c r="B4336" s="9" t="str">
        <f>IFERROR(INDEX(Input!$L$20:$T$1019,INT((ROW()-9)/9)+1,MOD(ROW()-9,9)+1),"")</f>
        <v/>
      </c>
      <c r="C4336" s="9">
        <f t="shared" si="67"/>
        <v>0</v>
      </c>
    </row>
    <row r="4337" spans="1:3" x14ac:dyDescent="0.2">
      <c r="A4337" s="10" t="str">
        <f>IF(4329&gt;$C$9008,"",INDEX($B$9:$B$9008,MATCH(4329,$C$9:$C$9008,0)))</f>
        <v/>
      </c>
      <c r="B4337" s="9" t="str">
        <f>IFERROR(INDEX(Input!$L$20:$T$1019,INT((ROW()-9)/9)+1,MOD(ROW()-9,9)+1),"")</f>
        <v/>
      </c>
      <c r="C4337" s="9">
        <f t="shared" si="67"/>
        <v>0</v>
      </c>
    </row>
    <row r="4338" spans="1:3" x14ac:dyDescent="0.2">
      <c r="A4338" s="10" t="str">
        <f>IF(4330&gt;$C$9008,"",INDEX($B$9:$B$9008,MATCH(4330,$C$9:$C$9008,0)))</f>
        <v/>
      </c>
      <c r="B4338" s="9" t="str">
        <f>IFERROR(INDEX(Input!$L$20:$T$1019,INT((ROW()-9)/9)+1,MOD(ROW()-9,9)+1),"")</f>
        <v/>
      </c>
      <c r="C4338" s="9">
        <f t="shared" si="67"/>
        <v>0</v>
      </c>
    </row>
    <row r="4339" spans="1:3" x14ac:dyDescent="0.2">
      <c r="A4339" s="10" t="str">
        <f>IF(4331&gt;$C$9008,"",INDEX($B$9:$B$9008,MATCH(4331,$C$9:$C$9008,0)))</f>
        <v/>
      </c>
      <c r="B4339" s="9" t="str">
        <f>IFERROR(INDEX(Input!$L$20:$T$1019,INT((ROW()-9)/9)+1,MOD(ROW()-9,9)+1),"")</f>
        <v/>
      </c>
      <c r="C4339" s="9">
        <f t="shared" si="67"/>
        <v>0</v>
      </c>
    </row>
    <row r="4340" spans="1:3" x14ac:dyDescent="0.2">
      <c r="A4340" s="10" t="str">
        <f>IF(4332&gt;$C$9008,"",INDEX($B$9:$B$9008,MATCH(4332,$C$9:$C$9008,0)))</f>
        <v/>
      </c>
      <c r="B4340" s="9" t="str">
        <f>IFERROR(INDEX(Input!$L$20:$T$1019,INT((ROW()-9)/9)+1,MOD(ROW()-9,9)+1),"")</f>
        <v/>
      </c>
      <c r="C4340" s="9">
        <f t="shared" si="67"/>
        <v>0</v>
      </c>
    </row>
    <row r="4341" spans="1:3" x14ac:dyDescent="0.2">
      <c r="A4341" s="10" t="str">
        <f>IF(4333&gt;$C$9008,"",INDEX($B$9:$B$9008,MATCH(4333,$C$9:$C$9008,0)))</f>
        <v/>
      </c>
      <c r="B4341" s="9" t="str">
        <f>IFERROR(INDEX(Input!$L$20:$T$1019,INT((ROW()-9)/9)+1,MOD(ROW()-9,9)+1),"")</f>
        <v/>
      </c>
      <c r="C4341" s="9">
        <f t="shared" si="67"/>
        <v>0</v>
      </c>
    </row>
    <row r="4342" spans="1:3" x14ac:dyDescent="0.2">
      <c r="A4342" s="10" t="str">
        <f>IF(4334&gt;$C$9008,"",INDEX($B$9:$B$9008,MATCH(4334,$C$9:$C$9008,0)))</f>
        <v/>
      </c>
      <c r="B4342" s="9" t="str">
        <f>IFERROR(INDEX(Input!$L$20:$T$1019,INT((ROW()-9)/9)+1,MOD(ROW()-9,9)+1),"")</f>
        <v/>
      </c>
      <c r="C4342" s="9">
        <f t="shared" si="67"/>
        <v>0</v>
      </c>
    </row>
    <row r="4343" spans="1:3" x14ac:dyDescent="0.2">
      <c r="A4343" s="10" t="str">
        <f>IF(4335&gt;$C$9008,"",INDEX($B$9:$B$9008,MATCH(4335,$C$9:$C$9008,0)))</f>
        <v/>
      </c>
      <c r="B4343" s="9" t="str">
        <f>IFERROR(INDEX(Input!$L$20:$T$1019,INT((ROW()-9)/9)+1,MOD(ROW()-9,9)+1),"")</f>
        <v/>
      </c>
      <c r="C4343" s="9">
        <f t="shared" si="67"/>
        <v>0</v>
      </c>
    </row>
    <row r="4344" spans="1:3" x14ac:dyDescent="0.2">
      <c r="A4344" s="10" t="str">
        <f>IF(4336&gt;$C$9008,"",INDEX($B$9:$B$9008,MATCH(4336,$C$9:$C$9008,0)))</f>
        <v/>
      </c>
      <c r="B4344" s="9" t="str">
        <f>IFERROR(INDEX(Input!$L$20:$T$1019,INT((ROW()-9)/9)+1,MOD(ROW()-9,9)+1),"")</f>
        <v/>
      </c>
      <c r="C4344" s="9">
        <f t="shared" si="67"/>
        <v>0</v>
      </c>
    </row>
    <row r="4345" spans="1:3" x14ac:dyDescent="0.2">
      <c r="A4345" s="10" t="str">
        <f>IF(4337&gt;$C$9008,"",INDEX($B$9:$B$9008,MATCH(4337,$C$9:$C$9008,0)))</f>
        <v/>
      </c>
      <c r="B4345" s="9" t="str">
        <f>IFERROR(INDEX(Input!$L$20:$T$1019,INT((ROW()-9)/9)+1,MOD(ROW()-9,9)+1),"")</f>
        <v/>
      </c>
      <c r="C4345" s="9">
        <f t="shared" si="67"/>
        <v>0</v>
      </c>
    </row>
    <row r="4346" spans="1:3" x14ac:dyDescent="0.2">
      <c r="A4346" s="10" t="str">
        <f>IF(4338&gt;$C$9008,"",INDEX($B$9:$B$9008,MATCH(4338,$C$9:$C$9008,0)))</f>
        <v/>
      </c>
      <c r="B4346" s="9" t="str">
        <f>IFERROR(INDEX(Input!$L$20:$T$1019,INT((ROW()-9)/9)+1,MOD(ROW()-9,9)+1),"")</f>
        <v/>
      </c>
      <c r="C4346" s="9">
        <f t="shared" si="67"/>
        <v>0</v>
      </c>
    </row>
    <row r="4347" spans="1:3" x14ac:dyDescent="0.2">
      <c r="A4347" s="10" t="str">
        <f>IF(4339&gt;$C$9008,"",INDEX($B$9:$B$9008,MATCH(4339,$C$9:$C$9008,0)))</f>
        <v/>
      </c>
      <c r="B4347" s="9" t="str">
        <f>IFERROR(INDEX(Input!$L$20:$T$1019,INT((ROW()-9)/9)+1,MOD(ROW()-9,9)+1),"")</f>
        <v/>
      </c>
      <c r="C4347" s="9">
        <f t="shared" si="67"/>
        <v>0</v>
      </c>
    </row>
    <row r="4348" spans="1:3" x14ac:dyDescent="0.2">
      <c r="A4348" s="10" t="str">
        <f>IF(4340&gt;$C$9008,"",INDEX($B$9:$B$9008,MATCH(4340,$C$9:$C$9008,0)))</f>
        <v/>
      </c>
      <c r="B4348" s="9" t="str">
        <f>IFERROR(INDEX(Input!$L$20:$T$1019,INT((ROW()-9)/9)+1,MOD(ROW()-9,9)+1),"")</f>
        <v/>
      </c>
      <c r="C4348" s="9">
        <f t="shared" si="67"/>
        <v>0</v>
      </c>
    </row>
    <row r="4349" spans="1:3" x14ac:dyDescent="0.2">
      <c r="A4349" s="10" t="str">
        <f>IF(4341&gt;$C$9008,"",INDEX($B$9:$B$9008,MATCH(4341,$C$9:$C$9008,0)))</f>
        <v/>
      </c>
      <c r="B4349" s="9" t="str">
        <f>IFERROR(INDEX(Input!$L$20:$T$1019,INT((ROW()-9)/9)+1,MOD(ROW()-9,9)+1),"")</f>
        <v/>
      </c>
      <c r="C4349" s="9">
        <f t="shared" si="67"/>
        <v>0</v>
      </c>
    </row>
    <row r="4350" spans="1:3" x14ac:dyDescent="0.2">
      <c r="A4350" s="10" t="str">
        <f>IF(4342&gt;$C$9008,"",INDEX($B$9:$B$9008,MATCH(4342,$C$9:$C$9008,0)))</f>
        <v/>
      </c>
      <c r="B4350" s="9" t="str">
        <f>IFERROR(INDEX(Input!$L$20:$T$1019,INT((ROW()-9)/9)+1,MOD(ROW()-9,9)+1),"")</f>
        <v/>
      </c>
      <c r="C4350" s="9">
        <f t="shared" si="67"/>
        <v>0</v>
      </c>
    </row>
    <row r="4351" spans="1:3" x14ac:dyDescent="0.2">
      <c r="A4351" s="10" t="str">
        <f>IF(4343&gt;$C$9008,"",INDEX($B$9:$B$9008,MATCH(4343,$C$9:$C$9008,0)))</f>
        <v/>
      </c>
      <c r="B4351" s="9" t="str">
        <f>IFERROR(INDEX(Input!$L$20:$T$1019,INT((ROW()-9)/9)+1,MOD(ROW()-9,9)+1),"")</f>
        <v/>
      </c>
      <c r="C4351" s="9">
        <f t="shared" si="67"/>
        <v>0</v>
      </c>
    </row>
    <row r="4352" spans="1:3" x14ac:dyDescent="0.2">
      <c r="A4352" s="10" t="str">
        <f>IF(4344&gt;$C$9008,"",INDEX($B$9:$B$9008,MATCH(4344,$C$9:$C$9008,0)))</f>
        <v/>
      </c>
      <c r="B4352" s="9" t="str">
        <f>IFERROR(INDEX(Input!$L$20:$T$1019,INT((ROW()-9)/9)+1,MOD(ROW()-9,9)+1),"")</f>
        <v/>
      </c>
      <c r="C4352" s="9">
        <f t="shared" si="67"/>
        <v>0</v>
      </c>
    </row>
    <row r="4353" spans="1:3" x14ac:dyDescent="0.2">
      <c r="A4353" s="10" t="str">
        <f>IF(4345&gt;$C$9008,"",INDEX($B$9:$B$9008,MATCH(4345,$C$9:$C$9008,0)))</f>
        <v/>
      </c>
      <c r="B4353" s="9" t="str">
        <f>IFERROR(INDEX(Input!$L$20:$T$1019,INT((ROW()-9)/9)+1,MOD(ROW()-9,9)+1),"")</f>
        <v/>
      </c>
      <c r="C4353" s="9">
        <f t="shared" si="67"/>
        <v>0</v>
      </c>
    </row>
    <row r="4354" spans="1:3" x14ac:dyDescent="0.2">
      <c r="A4354" s="10" t="str">
        <f>IF(4346&gt;$C$9008,"",INDEX($B$9:$B$9008,MATCH(4346,$C$9:$C$9008,0)))</f>
        <v/>
      </c>
      <c r="B4354" s="9" t="str">
        <f>IFERROR(INDEX(Input!$L$20:$T$1019,INT((ROW()-9)/9)+1,MOD(ROW()-9,9)+1),"")</f>
        <v/>
      </c>
      <c r="C4354" s="9">
        <f t="shared" si="67"/>
        <v>0</v>
      </c>
    </row>
    <row r="4355" spans="1:3" x14ac:dyDescent="0.2">
      <c r="A4355" s="10" t="str">
        <f>IF(4347&gt;$C$9008,"",INDEX($B$9:$B$9008,MATCH(4347,$C$9:$C$9008,0)))</f>
        <v/>
      </c>
      <c r="B4355" s="9" t="str">
        <f>IFERROR(INDEX(Input!$L$20:$T$1019,INT((ROW()-9)/9)+1,MOD(ROW()-9,9)+1),"")</f>
        <v/>
      </c>
      <c r="C4355" s="9">
        <f t="shared" si="67"/>
        <v>0</v>
      </c>
    </row>
    <row r="4356" spans="1:3" x14ac:dyDescent="0.2">
      <c r="A4356" s="10" t="str">
        <f>IF(4348&gt;$C$9008,"",INDEX($B$9:$B$9008,MATCH(4348,$C$9:$C$9008,0)))</f>
        <v/>
      </c>
      <c r="B4356" s="9" t="str">
        <f>IFERROR(INDEX(Input!$L$20:$T$1019,INT((ROW()-9)/9)+1,MOD(ROW()-9,9)+1),"")</f>
        <v/>
      </c>
      <c r="C4356" s="9">
        <f t="shared" si="67"/>
        <v>0</v>
      </c>
    </row>
    <row r="4357" spans="1:3" x14ac:dyDescent="0.2">
      <c r="A4357" s="10" t="str">
        <f>IF(4349&gt;$C$9008,"",INDEX($B$9:$B$9008,MATCH(4349,$C$9:$C$9008,0)))</f>
        <v/>
      </c>
      <c r="B4357" s="9" t="str">
        <f>IFERROR(INDEX(Input!$L$20:$T$1019,INT((ROW()-9)/9)+1,MOD(ROW()-9,9)+1),"")</f>
        <v/>
      </c>
      <c r="C4357" s="9">
        <f t="shared" si="67"/>
        <v>0</v>
      </c>
    </row>
    <row r="4358" spans="1:3" x14ac:dyDescent="0.2">
      <c r="A4358" s="10" t="str">
        <f>IF(4350&gt;$C$9008,"",INDEX($B$9:$B$9008,MATCH(4350,$C$9:$C$9008,0)))</f>
        <v/>
      </c>
      <c r="B4358" s="9" t="str">
        <f>IFERROR(INDEX(Input!$L$20:$T$1019,INT((ROW()-9)/9)+1,MOD(ROW()-9,9)+1),"")</f>
        <v/>
      </c>
      <c r="C4358" s="9">
        <f t="shared" si="67"/>
        <v>0</v>
      </c>
    </row>
    <row r="4359" spans="1:3" x14ac:dyDescent="0.2">
      <c r="A4359" s="10" t="str">
        <f>IF(4351&gt;$C$9008,"",INDEX($B$9:$B$9008,MATCH(4351,$C$9:$C$9008,0)))</f>
        <v/>
      </c>
      <c r="B4359" s="9" t="str">
        <f>IFERROR(INDEX(Input!$L$20:$T$1019,INT((ROW()-9)/9)+1,MOD(ROW()-9,9)+1),"")</f>
        <v/>
      </c>
      <c r="C4359" s="9">
        <f t="shared" si="67"/>
        <v>0</v>
      </c>
    </row>
    <row r="4360" spans="1:3" x14ac:dyDescent="0.2">
      <c r="A4360" s="10" t="str">
        <f>IF(4352&gt;$C$9008,"",INDEX($B$9:$B$9008,MATCH(4352,$C$9:$C$9008,0)))</f>
        <v/>
      </c>
      <c r="B4360" s="9" t="str">
        <f>IFERROR(INDEX(Input!$L$20:$T$1019,INT((ROW()-9)/9)+1,MOD(ROW()-9,9)+1),"")</f>
        <v/>
      </c>
      <c r="C4360" s="9">
        <f t="shared" si="67"/>
        <v>0</v>
      </c>
    </row>
    <row r="4361" spans="1:3" x14ac:dyDescent="0.2">
      <c r="A4361" s="10" t="str">
        <f>IF(4353&gt;$C$9008,"",INDEX($B$9:$B$9008,MATCH(4353,$C$9:$C$9008,0)))</f>
        <v/>
      </c>
      <c r="B4361" s="9" t="str">
        <f>IFERROR(INDEX(Input!$L$20:$T$1019,INT((ROW()-9)/9)+1,MOD(ROW()-9,9)+1),"")</f>
        <v/>
      </c>
      <c r="C4361" s="9">
        <f t="shared" ref="C4361:C4424" si="68">$C4360+IF($B4361&lt;&gt;"",1,0)</f>
        <v>0</v>
      </c>
    </row>
    <row r="4362" spans="1:3" x14ac:dyDescent="0.2">
      <c r="A4362" s="10" t="str">
        <f>IF(4354&gt;$C$9008,"",INDEX($B$9:$B$9008,MATCH(4354,$C$9:$C$9008,0)))</f>
        <v/>
      </c>
      <c r="B4362" s="9" t="str">
        <f>IFERROR(INDEX(Input!$L$20:$T$1019,INT((ROW()-9)/9)+1,MOD(ROW()-9,9)+1),"")</f>
        <v/>
      </c>
      <c r="C4362" s="9">
        <f t="shared" si="68"/>
        <v>0</v>
      </c>
    </row>
    <row r="4363" spans="1:3" x14ac:dyDescent="0.2">
      <c r="A4363" s="10" t="str">
        <f>IF(4355&gt;$C$9008,"",INDEX($B$9:$B$9008,MATCH(4355,$C$9:$C$9008,0)))</f>
        <v/>
      </c>
      <c r="B4363" s="9" t="str">
        <f>IFERROR(INDEX(Input!$L$20:$T$1019,INT((ROW()-9)/9)+1,MOD(ROW()-9,9)+1),"")</f>
        <v/>
      </c>
      <c r="C4363" s="9">
        <f t="shared" si="68"/>
        <v>0</v>
      </c>
    </row>
    <row r="4364" spans="1:3" x14ac:dyDescent="0.2">
      <c r="A4364" s="10" t="str">
        <f>IF(4356&gt;$C$9008,"",INDEX($B$9:$B$9008,MATCH(4356,$C$9:$C$9008,0)))</f>
        <v/>
      </c>
      <c r="B4364" s="9" t="str">
        <f>IFERROR(INDEX(Input!$L$20:$T$1019,INT((ROW()-9)/9)+1,MOD(ROW()-9,9)+1),"")</f>
        <v/>
      </c>
      <c r="C4364" s="9">
        <f t="shared" si="68"/>
        <v>0</v>
      </c>
    </row>
    <row r="4365" spans="1:3" x14ac:dyDescent="0.2">
      <c r="A4365" s="10" t="str">
        <f>IF(4357&gt;$C$9008,"",INDEX($B$9:$B$9008,MATCH(4357,$C$9:$C$9008,0)))</f>
        <v/>
      </c>
      <c r="B4365" s="9" t="str">
        <f>IFERROR(INDEX(Input!$L$20:$T$1019,INT((ROW()-9)/9)+1,MOD(ROW()-9,9)+1),"")</f>
        <v/>
      </c>
      <c r="C4365" s="9">
        <f t="shared" si="68"/>
        <v>0</v>
      </c>
    </row>
    <row r="4366" spans="1:3" x14ac:dyDescent="0.2">
      <c r="A4366" s="10" t="str">
        <f>IF(4358&gt;$C$9008,"",INDEX($B$9:$B$9008,MATCH(4358,$C$9:$C$9008,0)))</f>
        <v/>
      </c>
      <c r="B4366" s="9" t="str">
        <f>IFERROR(INDEX(Input!$L$20:$T$1019,INT((ROW()-9)/9)+1,MOD(ROW()-9,9)+1),"")</f>
        <v/>
      </c>
      <c r="C4366" s="9">
        <f t="shared" si="68"/>
        <v>0</v>
      </c>
    </row>
    <row r="4367" spans="1:3" x14ac:dyDescent="0.2">
      <c r="A4367" s="10" t="str">
        <f>IF(4359&gt;$C$9008,"",INDEX($B$9:$B$9008,MATCH(4359,$C$9:$C$9008,0)))</f>
        <v/>
      </c>
      <c r="B4367" s="9" t="str">
        <f>IFERROR(INDEX(Input!$L$20:$T$1019,INT((ROW()-9)/9)+1,MOD(ROW()-9,9)+1),"")</f>
        <v/>
      </c>
      <c r="C4367" s="9">
        <f t="shared" si="68"/>
        <v>0</v>
      </c>
    </row>
    <row r="4368" spans="1:3" x14ac:dyDescent="0.2">
      <c r="A4368" s="10" t="str">
        <f>IF(4360&gt;$C$9008,"",INDEX($B$9:$B$9008,MATCH(4360,$C$9:$C$9008,0)))</f>
        <v/>
      </c>
      <c r="B4368" s="9" t="str">
        <f>IFERROR(INDEX(Input!$L$20:$T$1019,INT((ROW()-9)/9)+1,MOD(ROW()-9,9)+1),"")</f>
        <v/>
      </c>
      <c r="C4368" s="9">
        <f t="shared" si="68"/>
        <v>0</v>
      </c>
    </row>
    <row r="4369" spans="1:3" x14ac:dyDescent="0.2">
      <c r="A4369" s="10" t="str">
        <f>IF(4361&gt;$C$9008,"",INDEX($B$9:$B$9008,MATCH(4361,$C$9:$C$9008,0)))</f>
        <v/>
      </c>
      <c r="B4369" s="9" t="str">
        <f>IFERROR(INDEX(Input!$L$20:$T$1019,INT((ROW()-9)/9)+1,MOD(ROW()-9,9)+1),"")</f>
        <v/>
      </c>
      <c r="C4369" s="9">
        <f t="shared" si="68"/>
        <v>0</v>
      </c>
    </row>
    <row r="4370" spans="1:3" x14ac:dyDescent="0.2">
      <c r="A4370" s="10" t="str">
        <f>IF(4362&gt;$C$9008,"",INDEX($B$9:$B$9008,MATCH(4362,$C$9:$C$9008,0)))</f>
        <v/>
      </c>
      <c r="B4370" s="9" t="str">
        <f>IFERROR(INDEX(Input!$L$20:$T$1019,INT((ROW()-9)/9)+1,MOD(ROW()-9,9)+1),"")</f>
        <v/>
      </c>
      <c r="C4370" s="9">
        <f t="shared" si="68"/>
        <v>0</v>
      </c>
    </row>
    <row r="4371" spans="1:3" x14ac:dyDescent="0.2">
      <c r="A4371" s="10" t="str">
        <f>IF(4363&gt;$C$9008,"",INDEX($B$9:$B$9008,MATCH(4363,$C$9:$C$9008,0)))</f>
        <v/>
      </c>
      <c r="B4371" s="9" t="str">
        <f>IFERROR(INDEX(Input!$L$20:$T$1019,INT((ROW()-9)/9)+1,MOD(ROW()-9,9)+1),"")</f>
        <v/>
      </c>
      <c r="C4371" s="9">
        <f t="shared" si="68"/>
        <v>0</v>
      </c>
    </row>
    <row r="4372" spans="1:3" x14ac:dyDescent="0.2">
      <c r="A4372" s="10" t="str">
        <f>IF(4364&gt;$C$9008,"",INDEX($B$9:$B$9008,MATCH(4364,$C$9:$C$9008,0)))</f>
        <v/>
      </c>
      <c r="B4372" s="9" t="str">
        <f>IFERROR(INDEX(Input!$L$20:$T$1019,INT((ROW()-9)/9)+1,MOD(ROW()-9,9)+1),"")</f>
        <v/>
      </c>
      <c r="C4372" s="9">
        <f t="shared" si="68"/>
        <v>0</v>
      </c>
    </row>
    <row r="4373" spans="1:3" x14ac:dyDescent="0.2">
      <c r="A4373" s="10" t="str">
        <f>IF(4365&gt;$C$9008,"",INDEX($B$9:$B$9008,MATCH(4365,$C$9:$C$9008,0)))</f>
        <v/>
      </c>
      <c r="B4373" s="9" t="str">
        <f>IFERROR(INDEX(Input!$L$20:$T$1019,INT((ROW()-9)/9)+1,MOD(ROW()-9,9)+1),"")</f>
        <v/>
      </c>
      <c r="C4373" s="9">
        <f t="shared" si="68"/>
        <v>0</v>
      </c>
    </row>
    <row r="4374" spans="1:3" x14ac:dyDescent="0.2">
      <c r="A4374" s="10" t="str">
        <f>IF(4366&gt;$C$9008,"",INDEX($B$9:$B$9008,MATCH(4366,$C$9:$C$9008,0)))</f>
        <v/>
      </c>
      <c r="B4374" s="9" t="str">
        <f>IFERROR(INDEX(Input!$L$20:$T$1019,INT((ROW()-9)/9)+1,MOD(ROW()-9,9)+1),"")</f>
        <v/>
      </c>
      <c r="C4374" s="9">
        <f t="shared" si="68"/>
        <v>0</v>
      </c>
    </row>
    <row r="4375" spans="1:3" x14ac:dyDescent="0.2">
      <c r="A4375" s="10" t="str">
        <f>IF(4367&gt;$C$9008,"",INDEX($B$9:$B$9008,MATCH(4367,$C$9:$C$9008,0)))</f>
        <v/>
      </c>
      <c r="B4375" s="9" t="str">
        <f>IFERROR(INDEX(Input!$L$20:$T$1019,INT((ROW()-9)/9)+1,MOD(ROW()-9,9)+1),"")</f>
        <v/>
      </c>
      <c r="C4375" s="9">
        <f t="shared" si="68"/>
        <v>0</v>
      </c>
    </row>
    <row r="4376" spans="1:3" x14ac:dyDescent="0.2">
      <c r="A4376" s="10" t="str">
        <f>IF(4368&gt;$C$9008,"",INDEX($B$9:$B$9008,MATCH(4368,$C$9:$C$9008,0)))</f>
        <v/>
      </c>
      <c r="B4376" s="9" t="str">
        <f>IFERROR(INDEX(Input!$L$20:$T$1019,INT((ROW()-9)/9)+1,MOD(ROW()-9,9)+1),"")</f>
        <v/>
      </c>
      <c r="C4376" s="9">
        <f t="shared" si="68"/>
        <v>0</v>
      </c>
    </row>
    <row r="4377" spans="1:3" x14ac:dyDescent="0.2">
      <c r="A4377" s="10" t="str">
        <f>IF(4369&gt;$C$9008,"",INDEX($B$9:$B$9008,MATCH(4369,$C$9:$C$9008,0)))</f>
        <v/>
      </c>
      <c r="B4377" s="9" t="str">
        <f>IFERROR(INDEX(Input!$L$20:$T$1019,INT((ROW()-9)/9)+1,MOD(ROW()-9,9)+1),"")</f>
        <v/>
      </c>
      <c r="C4377" s="9">
        <f t="shared" si="68"/>
        <v>0</v>
      </c>
    </row>
    <row r="4378" spans="1:3" x14ac:dyDescent="0.2">
      <c r="A4378" s="10" t="str">
        <f>IF(4370&gt;$C$9008,"",INDEX($B$9:$B$9008,MATCH(4370,$C$9:$C$9008,0)))</f>
        <v/>
      </c>
      <c r="B4378" s="9" t="str">
        <f>IFERROR(INDEX(Input!$L$20:$T$1019,INT((ROW()-9)/9)+1,MOD(ROW()-9,9)+1),"")</f>
        <v/>
      </c>
      <c r="C4378" s="9">
        <f t="shared" si="68"/>
        <v>0</v>
      </c>
    </row>
    <row r="4379" spans="1:3" x14ac:dyDescent="0.2">
      <c r="A4379" s="10" t="str">
        <f>IF(4371&gt;$C$9008,"",INDEX($B$9:$B$9008,MATCH(4371,$C$9:$C$9008,0)))</f>
        <v/>
      </c>
      <c r="B4379" s="9" t="str">
        <f>IFERROR(INDEX(Input!$L$20:$T$1019,INT((ROW()-9)/9)+1,MOD(ROW()-9,9)+1),"")</f>
        <v/>
      </c>
      <c r="C4379" s="9">
        <f t="shared" si="68"/>
        <v>0</v>
      </c>
    </row>
    <row r="4380" spans="1:3" x14ac:dyDescent="0.2">
      <c r="A4380" s="10" t="str">
        <f>IF(4372&gt;$C$9008,"",INDEX($B$9:$B$9008,MATCH(4372,$C$9:$C$9008,0)))</f>
        <v/>
      </c>
      <c r="B4380" s="9" t="str">
        <f>IFERROR(INDEX(Input!$L$20:$T$1019,INT((ROW()-9)/9)+1,MOD(ROW()-9,9)+1),"")</f>
        <v/>
      </c>
      <c r="C4380" s="9">
        <f t="shared" si="68"/>
        <v>0</v>
      </c>
    </row>
    <row r="4381" spans="1:3" x14ac:dyDescent="0.2">
      <c r="A4381" s="10" t="str">
        <f>IF(4373&gt;$C$9008,"",INDEX($B$9:$B$9008,MATCH(4373,$C$9:$C$9008,0)))</f>
        <v/>
      </c>
      <c r="B4381" s="9" t="str">
        <f>IFERROR(INDEX(Input!$L$20:$T$1019,INT((ROW()-9)/9)+1,MOD(ROW()-9,9)+1),"")</f>
        <v/>
      </c>
      <c r="C4381" s="9">
        <f t="shared" si="68"/>
        <v>0</v>
      </c>
    </row>
    <row r="4382" spans="1:3" x14ac:dyDescent="0.2">
      <c r="A4382" s="10" t="str">
        <f>IF(4374&gt;$C$9008,"",INDEX($B$9:$B$9008,MATCH(4374,$C$9:$C$9008,0)))</f>
        <v/>
      </c>
      <c r="B4382" s="9" t="str">
        <f>IFERROR(INDEX(Input!$L$20:$T$1019,INT((ROW()-9)/9)+1,MOD(ROW()-9,9)+1),"")</f>
        <v/>
      </c>
      <c r="C4382" s="9">
        <f t="shared" si="68"/>
        <v>0</v>
      </c>
    </row>
    <row r="4383" spans="1:3" x14ac:dyDescent="0.2">
      <c r="A4383" s="10" t="str">
        <f>IF(4375&gt;$C$9008,"",INDEX($B$9:$B$9008,MATCH(4375,$C$9:$C$9008,0)))</f>
        <v/>
      </c>
      <c r="B4383" s="9" t="str">
        <f>IFERROR(INDEX(Input!$L$20:$T$1019,INT((ROW()-9)/9)+1,MOD(ROW()-9,9)+1),"")</f>
        <v/>
      </c>
      <c r="C4383" s="9">
        <f t="shared" si="68"/>
        <v>0</v>
      </c>
    </row>
    <row r="4384" spans="1:3" x14ac:dyDescent="0.2">
      <c r="A4384" s="10" t="str">
        <f>IF(4376&gt;$C$9008,"",INDEX($B$9:$B$9008,MATCH(4376,$C$9:$C$9008,0)))</f>
        <v/>
      </c>
      <c r="B4384" s="9" t="str">
        <f>IFERROR(INDEX(Input!$L$20:$T$1019,INT((ROW()-9)/9)+1,MOD(ROW()-9,9)+1),"")</f>
        <v/>
      </c>
      <c r="C4384" s="9">
        <f t="shared" si="68"/>
        <v>0</v>
      </c>
    </row>
    <row r="4385" spans="1:3" x14ac:dyDescent="0.2">
      <c r="A4385" s="10" t="str">
        <f>IF(4377&gt;$C$9008,"",INDEX($B$9:$B$9008,MATCH(4377,$C$9:$C$9008,0)))</f>
        <v/>
      </c>
      <c r="B4385" s="9" t="str">
        <f>IFERROR(INDEX(Input!$L$20:$T$1019,INT((ROW()-9)/9)+1,MOD(ROW()-9,9)+1),"")</f>
        <v/>
      </c>
      <c r="C4385" s="9">
        <f t="shared" si="68"/>
        <v>0</v>
      </c>
    </row>
    <row r="4386" spans="1:3" x14ac:dyDescent="0.2">
      <c r="A4386" s="10" t="str">
        <f>IF(4378&gt;$C$9008,"",INDEX($B$9:$B$9008,MATCH(4378,$C$9:$C$9008,0)))</f>
        <v/>
      </c>
      <c r="B4386" s="9" t="str">
        <f>IFERROR(INDEX(Input!$L$20:$T$1019,INT((ROW()-9)/9)+1,MOD(ROW()-9,9)+1),"")</f>
        <v/>
      </c>
      <c r="C4386" s="9">
        <f t="shared" si="68"/>
        <v>0</v>
      </c>
    </row>
    <row r="4387" spans="1:3" x14ac:dyDescent="0.2">
      <c r="A4387" s="10" t="str">
        <f>IF(4379&gt;$C$9008,"",INDEX($B$9:$B$9008,MATCH(4379,$C$9:$C$9008,0)))</f>
        <v/>
      </c>
      <c r="B4387" s="9" t="str">
        <f>IFERROR(INDEX(Input!$L$20:$T$1019,INT((ROW()-9)/9)+1,MOD(ROW()-9,9)+1),"")</f>
        <v/>
      </c>
      <c r="C4387" s="9">
        <f t="shared" si="68"/>
        <v>0</v>
      </c>
    </row>
    <row r="4388" spans="1:3" x14ac:dyDescent="0.2">
      <c r="A4388" s="10" t="str">
        <f>IF(4380&gt;$C$9008,"",INDEX($B$9:$B$9008,MATCH(4380,$C$9:$C$9008,0)))</f>
        <v/>
      </c>
      <c r="B4388" s="9" t="str">
        <f>IFERROR(INDEX(Input!$L$20:$T$1019,INT((ROW()-9)/9)+1,MOD(ROW()-9,9)+1),"")</f>
        <v/>
      </c>
      <c r="C4388" s="9">
        <f t="shared" si="68"/>
        <v>0</v>
      </c>
    </row>
    <row r="4389" spans="1:3" x14ac:dyDescent="0.2">
      <c r="A4389" s="10" t="str">
        <f>IF(4381&gt;$C$9008,"",INDEX($B$9:$B$9008,MATCH(4381,$C$9:$C$9008,0)))</f>
        <v/>
      </c>
      <c r="B4389" s="9" t="str">
        <f>IFERROR(INDEX(Input!$L$20:$T$1019,INT((ROW()-9)/9)+1,MOD(ROW()-9,9)+1),"")</f>
        <v/>
      </c>
      <c r="C4389" s="9">
        <f t="shared" si="68"/>
        <v>0</v>
      </c>
    </row>
    <row r="4390" spans="1:3" x14ac:dyDescent="0.2">
      <c r="A4390" s="10" t="str">
        <f>IF(4382&gt;$C$9008,"",INDEX($B$9:$B$9008,MATCH(4382,$C$9:$C$9008,0)))</f>
        <v/>
      </c>
      <c r="B4390" s="9" t="str">
        <f>IFERROR(INDEX(Input!$L$20:$T$1019,INT((ROW()-9)/9)+1,MOD(ROW()-9,9)+1),"")</f>
        <v/>
      </c>
      <c r="C4390" s="9">
        <f t="shared" si="68"/>
        <v>0</v>
      </c>
    </row>
    <row r="4391" spans="1:3" x14ac:dyDescent="0.2">
      <c r="A4391" s="10" t="str">
        <f>IF(4383&gt;$C$9008,"",INDEX($B$9:$B$9008,MATCH(4383,$C$9:$C$9008,0)))</f>
        <v/>
      </c>
      <c r="B4391" s="9" t="str">
        <f>IFERROR(INDEX(Input!$L$20:$T$1019,INT((ROW()-9)/9)+1,MOD(ROW()-9,9)+1),"")</f>
        <v/>
      </c>
      <c r="C4391" s="9">
        <f t="shared" si="68"/>
        <v>0</v>
      </c>
    </row>
    <row r="4392" spans="1:3" x14ac:dyDescent="0.2">
      <c r="A4392" s="10" t="str">
        <f>IF(4384&gt;$C$9008,"",INDEX($B$9:$B$9008,MATCH(4384,$C$9:$C$9008,0)))</f>
        <v/>
      </c>
      <c r="B4392" s="9" t="str">
        <f>IFERROR(INDEX(Input!$L$20:$T$1019,INT((ROW()-9)/9)+1,MOD(ROW()-9,9)+1),"")</f>
        <v/>
      </c>
      <c r="C4392" s="9">
        <f t="shared" si="68"/>
        <v>0</v>
      </c>
    </row>
    <row r="4393" spans="1:3" x14ac:dyDescent="0.2">
      <c r="A4393" s="10" t="str">
        <f>IF(4385&gt;$C$9008,"",INDEX($B$9:$B$9008,MATCH(4385,$C$9:$C$9008,0)))</f>
        <v/>
      </c>
      <c r="B4393" s="9" t="str">
        <f>IFERROR(INDEX(Input!$L$20:$T$1019,INT((ROW()-9)/9)+1,MOD(ROW()-9,9)+1),"")</f>
        <v/>
      </c>
      <c r="C4393" s="9">
        <f t="shared" si="68"/>
        <v>0</v>
      </c>
    </row>
    <row r="4394" spans="1:3" x14ac:dyDescent="0.2">
      <c r="A4394" s="10" t="str">
        <f>IF(4386&gt;$C$9008,"",INDEX($B$9:$B$9008,MATCH(4386,$C$9:$C$9008,0)))</f>
        <v/>
      </c>
      <c r="B4394" s="9" t="str">
        <f>IFERROR(INDEX(Input!$L$20:$T$1019,INT((ROW()-9)/9)+1,MOD(ROW()-9,9)+1),"")</f>
        <v/>
      </c>
      <c r="C4394" s="9">
        <f t="shared" si="68"/>
        <v>0</v>
      </c>
    </row>
    <row r="4395" spans="1:3" x14ac:dyDescent="0.2">
      <c r="A4395" s="10" t="str">
        <f>IF(4387&gt;$C$9008,"",INDEX($B$9:$B$9008,MATCH(4387,$C$9:$C$9008,0)))</f>
        <v/>
      </c>
      <c r="B4395" s="9" t="str">
        <f>IFERROR(INDEX(Input!$L$20:$T$1019,INT((ROW()-9)/9)+1,MOD(ROW()-9,9)+1),"")</f>
        <v/>
      </c>
      <c r="C4395" s="9">
        <f t="shared" si="68"/>
        <v>0</v>
      </c>
    </row>
    <row r="4396" spans="1:3" x14ac:dyDescent="0.2">
      <c r="A4396" s="10" t="str">
        <f>IF(4388&gt;$C$9008,"",INDEX($B$9:$B$9008,MATCH(4388,$C$9:$C$9008,0)))</f>
        <v/>
      </c>
      <c r="B4396" s="9" t="str">
        <f>IFERROR(INDEX(Input!$L$20:$T$1019,INT((ROW()-9)/9)+1,MOD(ROW()-9,9)+1),"")</f>
        <v/>
      </c>
      <c r="C4396" s="9">
        <f t="shared" si="68"/>
        <v>0</v>
      </c>
    </row>
    <row r="4397" spans="1:3" x14ac:dyDescent="0.2">
      <c r="A4397" s="10" t="str">
        <f>IF(4389&gt;$C$9008,"",INDEX($B$9:$B$9008,MATCH(4389,$C$9:$C$9008,0)))</f>
        <v/>
      </c>
      <c r="B4397" s="9" t="str">
        <f>IFERROR(INDEX(Input!$L$20:$T$1019,INT((ROW()-9)/9)+1,MOD(ROW()-9,9)+1),"")</f>
        <v/>
      </c>
      <c r="C4397" s="9">
        <f t="shared" si="68"/>
        <v>0</v>
      </c>
    </row>
    <row r="4398" spans="1:3" x14ac:dyDescent="0.2">
      <c r="A4398" s="10" t="str">
        <f>IF(4390&gt;$C$9008,"",INDEX($B$9:$B$9008,MATCH(4390,$C$9:$C$9008,0)))</f>
        <v/>
      </c>
      <c r="B4398" s="9" t="str">
        <f>IFERROR(INDEX(Input!$L$20:$T$1019,INT((ROW()-9)/9)+1,MOD(ROW()-9,9)+1),"")</f>
        <v/>
      </c>
      <c r="C4398" s="9">
        <f t="shared" si="68"/>
        <v>0</v>
      </c>
    </row>
    <row r="4399" spans="1:3" x14ac:dyDescent="0.2">
      <c r="A4399" s="10" t="str">
        <f>IF(4391&gt;$C$9008,"",INDEX($B$9:$B$9008,MATCH(4391,$C$9:$C$9008,0)))</f>
        <v/>
      </c>
      <c r="B4399" s="9" t="str">
        <f>IFERROR(INDEX(Input!$L$20:$T$1019,INT((ROW()-9)/9)+1,MOD(ROW()-9,9)+1),"")</f>
        <v/>
      </c>
      <c r="C4399" s="9">
        <f t="shared" si="68"/>
        <v>0</v>
      </c>
    </row>
    <row r="4400" spans="1:3" x14ac:dyDescent="0.2">
      <c r="A4400" s="10" t="str">
        <f>IF(4392&gt;$C$9008,"",INDEX($B$9:$B$9008,MATCH(4392,$C$9:$C$9008,0)))</f>
        <v/>
      </c>
      <c r="B4400" s="9" t="str">
        <f>IFERROR(INDEX(Input!$L$20:$T$1019,INT((ROW()-9)/9)+1,MOD(ROW()-9,9)+1),"")</f>
        <v/>
      </c>
      <c r="C4400" s="9">
        <f t="shared" si="68"/>
        <v>0</v>
      </c>
    </row>
    <row r="4401" spans="1:3" x14ac:dyDescent="0.2">
      <c r="A4401" s="10" t="str">
        <f>IF(4393&gt;$C$9008,"",INDEX($B$9:$B$9008,MATCH(4393,$C$9:$C$9008,0)))</f>
        <v/>
      </c>
      <c r="B4401" s="9" t="str">
        <f>IFERROR(INDEX(Input!$L$20:$T$1019,INT((ROW()-9)/9)+1,MOD(ROW()-9,9)+1),"")</f>
        <v/>
      </c>
      <c r="C4401" s="9">
        <f t="shared" si="68"/>
        <v>0</v>
      </c>
    </row>
    <row r="4402" spans="1:3" x14ac:dyDescent="0.2">
      <c r="A4402" s="10" t="str">
        <f>IF(4394&gt;$C$9008,"",INDEX($B$9:$B$9008,MATCH(4394,$C$9:$C$9008,0)))</f>
        <v/>
      </c>
      <c r="B4402" s="9" t="str">
        <f>IFERROR(INDEX(Input!$L$20:$T$1019,INT((ROW()-9)/9)+1,MOD(ROW()-9,9)+1),"")</f>
        <v/>
      </c>
      <c r="C4402" s="9">
        <f t="shared" si="68"/>
        <v>0</v>
      </c>
    </row>
    <row r="4403" spans="1:3" x14ac:dyDescent="0.2">
      <c r="A4403" s="10" t="str">
        <f>IF(4395&gt;$C$9008,"",INDEX($B$9:$B$9008,MATCH(4395,$C$9:$C$9008,0)))</f>
        <v/>
      </c>
      <c r="B4403" s="9" t="str">
        <f>IFERROR(INDEX(Input!$L$20:$T$1019,INT((ROW()-9)/9)+1,MOD(ROW()-9,9)+1),"")</f>
        <v/>
      </c>
      <c r="C4403" s="9">
        <f t="shared" si="68"/>
        <v>0</v>
      </c>
    </row>
    <row r="4404" spans="1:3" x14ac:dyDescent="0.2">
      <c r="A4404" s="10" t="str">
        <f>IF(4396&gt;$C$9008,"",INDEX($B$9:$B$9008,MATCH(4396,$C$9:$C$9008,0)))</f>
        <v/>
      </c>
      <c r="B4404" s="9" t="str">
        <f>IFERROR(INDEX(Input!$L$20:$T$1019,INT((ROW()-9)/9)+1,MOD(ROW()-9,9)+1),"")</f>
        <v/>
      </c>
      <c r="C4404" s="9">
        <f t="shared" si="68"/>
        <v>0</v>
      </c>
    </row>
    <row r="4405" spans="1:3" x14ac:dyDescent="0.2">
      <c r="A4405" s="10" t="str">
        <f>IF(4397&gt;$C$9008,"",INDEX($B$9:$B$9008,MATCH(4397,$C$9:$C$9008,0)))</f>
        <v/>
      </c>
      <c r="B4405" s="9" t="str">
        <f>IFERROR(INDEX(Input!$L$20:$T$1019,INT((ROW()-9)/9)+1,MOD(ROW()-9,9)+1),"")</f>
        <v/>
      </c>
      <c r="C4405" s="9">
        <f t="shared" si="68"/>
        <v>0</v>
      </c>
    </row>
    <row r="4406" spans="1:3" x14ac:dyDescent="0.2">
      <c r="A4406" s="10" t="str">
        <f>IF(4398&gt;$C$9008,"",INDEX($B$9:$B$9008,MATCH(4398,$C$9:$C$9008,0)))</f>
        <v/>
      </c>
      <c r="B4406" s="9" t="str">
        <f>IFERROR(INDEX(Input!$L$20:$T$1019,INT((ROW()-9)/9)+1,MOD(ROW()-9,9)+1),"")</f>
        <v/>
      </c>
      <c r="C4406" s="9">
        <f t="shared" si="68"/>
        <v>0</v>
      </c>
    </row>
    <row r="4407" spans="1:3" x14ac:dyDescent="0.2">
      <c r="A4407" s="10" t="str">
        <f>IF(4399&gt;$C$9008,"",INDEX($B$9:$B$9008,MATCH(4399,$C$9:$C$9008,0)))</f>
        <v/>
      </c>
      <c r="B4407" s="9" t="str">
        <f>IFERROR(INDEX(Input!$L$20:$T$1019,INT((ROW()-9)/9)+1,MOD(ROW()-9,9)+1),"")</f>
        <v/>
      </c>
      <c r="C4407" s="9">
        <f t="shared" si="68"/>
        <v>0</v>
      </c>
    </row>
    <row r="4408" spans="1:3" x14ac:dyDescent="0.2">
      <c r="A4408" s="10" t="str">
        <f>IF(4400&gt;$C$9008,"",INDEX($B$9:$B$9008,MATCH(4400,$C$9:$C$9008,0)))</f>
        <v/>
      </c>
      <c r="B4408" s="9" t="str">
        <f>IFERROR(INDEX(Input!$L$20:$T$1019,INT((ROW()-9)/9)+1,MOD(ROW()-9,9)+1),"")</f>
        <v/>
      </c>
      <c r="C4408" s="9">
        <f t="shared" si="68"/>
        <v>0</v>
      </c>
    </row>
    <row r="4409" spans="1:3" x14ac:dyDescent="0.2">
      <c r="A4409" s="10" t="str">
        <f>IF(4401&gt;$C$9008,"",INDEX($B$9:$B$9008,MATCH(4401,$C$9:$C$9008,0)))</f>
        <v/>
      </c>
      <c r="B4409" s="9" t="str">
        <f>IFERROR(INDEX(Input!$L$20:$T$1019,INT((ROW()-9)/9)+1,MOD(ROW()-9,9)+1),"")</f>
        <v/>
      </c>
      <c r="C4409" s="9">
        <f t="shared" si="68"/>
        <v>0</v>
      </c>
    </row>
    <row r="4410" spans="1:3" x14ac:dyDescent="0.2">
      <c r="A4410" s="10" t="str">
        <f>IF(4402&gt;$C$9008,"",INDEX($B$9:$B$9008,MATCH(4402,$C$9:$C$9008,0)))</f>
        <v/>
      </c>
      <c r="B4410" s="9" t="str">
        <f>IFERROR(INDEX(Input!$L$20:$T$1019,INT((ROW()-9)/9)+1,MOD(ROW()-9,9)+1),"")</f>
        <v/>
      </c>
      <c r="C4410" s="9">
        <f t="shared" si="68"/>
        <v>0</v>
      </c>
    </row>
    <row r="4411" spans="1:3" x14ac:dyDescent="0.2">
      <c r="A4411" s="10" t="str">
        <f>IF(4403&gt;$C$9008,"",INDEX($B$9:$B$9008,MATCH(4403,$C$9:$C$9008,0)))</f>
        <v/>
      </c>
      <c r="B4411" s="9" t="str">
        <f>IFERROR(INDEX(Input!$L$20:$T$1019,INT((ROW()-9)/9)+1,MOD(ROW()-9,9)+1),"")</f>
        <v/>
      </c>
      <c r="C4411" s="9">
        <f t="shared" si="68"/>
        <v>0</v>
      </c>
    </row>
    <row r="4412" spans="1:3" x14ac:dyDescent="0.2">
      <c r="A4412" s="10" t="str">
        <f>IF(4404&gt;$C$9008,"",INDEX($B$9:$B$9008,MATCH(4404,$C$9:$C$9008,0)))</f>
        <v/>
      </c>
      <c r="B4412" s="9" t="str">
        <f>IFERROR(INDEX(Input!$L$20:$T$1019,INT((ROW()-9)/9)+1,MOD(ROW()-9,9)+1),"")</f>
        <v/>
      </c>
      <c r="C4412" s="9">
        <f t="shared" si="68"/>
        <v>0</v>
      </c>
    </row>
    <row r="4413" spans="1:3" x14ac:dyDescent="0.2">
      <c r="A4413" s="10" t="str">
        <f>IF(4405&gt;$C$9008,"",INDEX($B$9:$B$9008,MATCH(4405,$C$9:$C$9008,0)))</f>
        <v/>
      </c>
      <c r="B4413" s="9" t="str">
        <f>IFERROR(INDEX(Input!$L$20:$T$1019,INT((ROW()-9)/9)+1,MOD(ROW()-9,9)+1),"")</f>
        <v/>
      </c>
      <c r="C4413" s="9">
        <f t="shared" si="68"/>
        <v>0</v>
      </c>
    </row>
    <row r="4414" spans="1:3" x14ac:dyDescent="0.2">
      <c r="A4414" s="10" t="str">
        <f>IF(4406&gt;$C$9008,"",INDEX($B$9:$B$9008,MATCH(4406,$C$9:$C$9008,0)))</f>
        <v/>
      </c>
      <c r="B4414" s="9" t="str">
        <f>IFERROR(INDEX(Input!$L$20:$T$1019,INT((ROW()-9)/9)+1,MOD(ROW()-9,9)+1),"")</f>
        <v/>
      </c>
      <c r="C4414" s="9">
        <f t="shared" si="68"/>
        <v>0</v>
      </c>
    </row>
    <row r="4415" spans="1:3" x14ac:dyDescent="0.2">
      <c r="A4415" s="10" t="str">
        <f>IF(4407&gt;$C$9008,"",INDEX($B$9:$B$9008,MATCH(4407,$C$9:$C$9008,0)))</f>
        <v/>
      </c>
      <c r="B4415" s="9" t="str">
        <f>IFERROR(INDEX(Input!$L$20:$T$1019,INT((ROW()-9)/9)+1,MOD(ROW()-9,9)+1),"")</f>
        <v/>
      </c>
      <c r="C4415" s="9">
        <f t="shared" si="68"/>
        <v>0</v>
      </c>
    </row>
    <row r="4416" spans="1:3" x14ac:dyDescent="0.2">
      <c r="A4416" s="10" t="str">
        <f>IF(4408&gt;$C$9008,"",INDEX($B$9:$B$9008,MATCH(4408,$C$9:$C$9008,0)))</f>
        <v/>
      </c>
      <c r="B4416" s="9" t="str">
        <f>IFERROR(INDEX(Input!$L$20:$T$1019,INT((ROW()-9)/9)+1,MOD(ROW()-9,9)+1),"")</f>
        <v/>
      </c>
      <c r="C4416" s="9">
        <f t="shared" si="68"/>
        <v>0</v>
      </c>
    </row>
    <row r="4417" spans="1:3" x14ac:dyDescent="0.2">
      <c r="A4417" s="10" t="str">
        <f>IF(4409&gt;$C$9008,"",INDEX($B$9:$B$9008,MATCH(4409,$C$9:$C$9008,0)))</f>
        <v/>
      </c>
      <c r="B4417" s="9" t="str">
        <f>IFERROR(INDEX(Input!$L$20:$T$1019,INT((ROW()-9)/9)+1,MOD(ROW()-9,9)+1),"")</f>
        <v/>
      </c>
      <c r="C4417" s="9">
        <f t="shared" si="68"/>
        <v>0</v>
      </c>
    </row>
    <row r="4418" spans="1:3" x14ac:dyDescent="0.2">
      <c r="A4418" s="10" t="str">
        <f>IF(4410&gt;$C$9008,"",INDEX($B$9:$B$9008,MATCH(4410,$C$9:$C$9008,0)))</f>
        <v/>
      </c>
      <c r="B4418" s="9" t="str">
        <f>IFERROR(INDEX(Input!$L$20:$T$1019,INT((ROW()-9)/9)+1,MOD(ROW()-9,9)+1),"")</f>
        <v/>
      </c>
      <c r="C4418" s="9">
        <f t="shared" si="68"/>
        <v>0</v>
      </c>
    </row>
    <row r="4419" spans="1:3" x14ac:dyDescent="0.2">
      <c r="A4419" s="10" t="str">
        <f>IF(4411&gt;$C$9008,"",INDEX($B$9:$B$9008,MATCH(4411,$C$9:$C$9008,0)))</f>
        <v/>
      </c>
      <c r="B4419" s="9" t="str">
        <f>IFERROR(INDEX(Input!$L$20:$T$1019,INT((ROW()-9)/9)+1,MOD(ROW()-9,9)+1),"")</f>
        <v/>
      </c>
      <c r="C4419" s="9">
        <f t="shared" si="68"/>
        <v>0</v>
      </c>
    </row>
    <row r="4420" spans="1:3" x14ac:dyDescent="0.2">
      <c r="A4420" s="10" t="str">
        <f>IF(4412&gt;$C$9008,"",INDEX($B$9:$B$9008,MATCH(4412,$C$9:$C$9008,0)))</f>
        <v/>
      </c>
      <c r="B4420" s="9" t="str">
        <f>IFERROR(INDEX(Input!$L$20:$T$1019,INT((ROW()-9)/9)+1,MOD(ROW()-9,9)+1),"")</f>
        <v/>
      </c>
      <c r="C4420" s="9">
        <f t="shared" si="68"/>
        <v>0</v>
      </c>
    </row>
    <row r="4421" spans="1:3" x14ac:dyDescent="0.2">
      <c r="A4421" s="10" t="str">
        <f>IF(4413&gt;$C$9008,"",INDEX($B$9:$B$9008,MATCH(4413,$C$9:$C$9008,0)))</f>
        <v/>
      </c>
      <c r="B4421" s="9" t="str">
        <f>IFERROR(INDEX(Input!$L$20:$T$1019,INT((ROW()-9)/9)+1,MOD(ROW()-9,9)+1),"")</f>
        <v/>
      </c>
      <c r="C4421" s="9">
        <f t="shared" si="68"/>
        <v>0</v>
      </c>
    </row>
    <row r="4422" spans="1:3" x14ac:dyDescent="0.2">
      <c r="A4422" s="10" t="str">
        <f>IF(4414&gt;$C$9008,"",INDEX($B$9:$B$9008,MATCH(4414,$C$9:$C$9008,0)))</f>
        <v/>
      </c>
      <c r="B4422" s="9" t="str">
        <f>IFERROR(INDEX(Input!$L$20:$T$1019,INT((ROW()-9)/9)+1,MOD(ROW()-9,9)+1),"")</f>
        <v/>
      </c>
      <c r="C4422" s="9">
        <f t="shared" si="68"/>
        <v>0</v>
      </c>
    </row>
    <row r="4423" spans="1:3" x14ac:dyDescent="0.2">
      <c r="A4423" s="10" t="str">
        <f>IF(4415&gt;$C$9008,"",INDEX($B$9:$B$9008,MATCH(4415,$C$9:$C$9008,0)))</f>
        <v/>
      </c>
      <c r="B4423" s="9" t="str">
        <f>IFERROR(INDEX(Input!$L$20:$T$1019,INT((ROW()-9)/9)+1,MOD(ROW()-9,9)+1),"")</f>
        <v/>
      </c>
      <c r="C4423" s="9">
        <f t="shared" si="68"/>
        <v>0</v>
      </c>
    </row>
    <row r="4424" spans="1:3" x14ac:dyDescent="0.2">
      <c r="A4424" s="10" t="str">
        <f>IF(4416&gt;$C$9008,"",INDEX($B$9:$B$9008,MATCH(4416,$C$9:$C$9008,0)))</f>
        <v/>
      </c>
      <c r="B4424" s="9" t="str">
        <f>IFERROR(INDEX(Input!$L$20:$T$1019,INT((ROW()-9)/9)+1,MOD(ROW()-9,9)+1),"")</f>
        <v/>
      </c>
      <c r="C4424" s="9">
        <f t="shared" si="68"/>
        <v>0</v>
      </c>
    </row>
    <row r="4425" spans="1:3" x14ac:dyDescent="0.2">
      <c r="A4425" s="10" t="str">
        <f>IF(4417&gt;$C$9008,"",INDEX($B$9:$B$9008,MATCH(4417,$C$9:$C$9008,0)))</f>
        <v/>
      </c>
      <c r="B4425" s="9" t="str">
        <f>IFERROR(INDEX(Input!$L$20:$T$1019,INT((ROW()-9)/9)+1,MOD(ROW()-9,9)+1),"")</f>
        <v/>
      </c>
      <c r="C4425" s="9">
        <f t="shared" ref="C4425:C4488" si="69">$C4424+IF($B4425&lt;&gt;"",1,0)</f>
        <v>0</v>
      </c>
    </row>
    <row r="4426" spans="1:3" x14ac:dyDescent="0.2">
      <c r="A4426" s="10" t="str">
        <f>IF(4418&gt;$C$9008,"",INDEX($B$9:$B$9008,MATCH(4418,$C$9:$C$9008,0)))</f>
        <v/>
      </c>
      <c r="B4426" s="9" t="str">
        <f>IFERROR(INDEX(Input!$L$20:$T$1019,INT((ROW()-9)/9)+1,MOD(ROW()-9,9)+1),"")</f>
        <v/>
      </c>
      <c r="C4426" s="9">
        <f t="shared" si="69"/>
        <v>0</v>
      </c>
    </row>
    <row r="4427" spans="1:3" x14ac:dyDescent="0.2">
      <c r="A4427" s="10" t="str">
        <f>IF(4419&gt;$C$9008,"",INDEX($B$9:$B$9008,MATCH(4419,$C$9:$C$9008,0)))</f>
        <v/>
      </c>
      <c r="B4427" s="9" t="str">
        <f>IFERROR(INDEX(Input!$L$20:$T$1019,INT((ROW()-9)/9)+1,MOD(ROW()-9,9)+1),"")</f>
        <v/>
      </c>
      <c r="C4427" s="9">
        <f t="shared" si="69"/>
        <v>0</v>
      </c>
    </row>
    <row r="4428" spans="1:3" x14ac:dyDescent="0.2">
      <c r="A4428" s="10" t="str">
        <f>IF(4420&gt;$C$9008,"",INDEX($B$9:$B$9008,MATCH(4420,$C$9:$C$9008,0)))</f>
        <v/>
      </c>
      <c r="B4428" s="9" t="str">
        <f>IFERROR(INDEX(Input!$L$20:$T$1019,INT((ROW()-9)/9)+1,MOD(ROW()-9,9)+1),"")</f>
        <v/>
      </c>
      <c r="C4428" s="9">
        <f t="shared" si="69"/>
        <v>0</v>
      </c>
    </row>
    <row r="4429" spans="1:3" x14ac:dyDescent="0.2">
      <c r="A4429" s="10" t="str">
        <f>IF(4421&gt;$C$9008,"",INDEX($B$9:$B$9008,MATCH(4421,$C$9:$C$9008,0)))</f>
        <v/>
      </c>
      <c r="B4429" s="9" t="str">
        <f>IFERROR(INDEX(Input!$L$20:$T$1019,INT((ROW()-9)/9)+1,MOD(ROW()-9,9)+1),"")</f>
        <v/>
      </c>
      <c r="C4429" s="9">
        <f t="shared" si="69"/>
        <v>0</v>
      </c>
    </row>
    <row r="4430" spans="1:3" x14ac:dyDescent="0.2">
      <c r="A4430" s="10" t="str">
        <f>IF(4422&gt;$C$9008,"",INDEX($B$9:$B$9008,MATCH(4422,$C$9:$C$9008,0)))</f>
        <v/>
      </c>
      <c r="B4430" s="9" t="str">
        <f>IFERROR(INDEX(Input!$L$20:$T$1019,INT((ROW()-9)/9)+1,MOD(ROW()-9,9)+1),"")</f>
        <v/>
      </c>
      <c r="C4430" s="9">
        <f t="shared" si="69"/>
        <v>0</v>
      </c>
    </row>
    <row r="4431" spans="1:3" x14ac:dyDescent="0.2">
      <c r="A4431" s="10" t="str">
        <f>IF(4423&gt;$C$9008,"",INDEX($B$9:$B$9008,MATCH(4423,$C$9:$C$9008,0)))</f>
        <v/>
      </c>
      <c r="B4431" s="9" t="str">
        <f>IFERROR(INDEX(Input!$L$20:$T$1019,INT((ROW()-9)/9)+1,MOD(ROW()-9,9)+1),"")</f>
        <v/>
      </c>
      <c r="C4431" s="9">
        <f t="shared" si="69"/>
        <v>0</v>
      </c>
    </row>
    <row r="4432" spans="1:3" x14ac:dyDescent="0.2">
      <c r="A4432" s="10" t="str">
        <f>IF(4424&gt;$C$9008,"",INDEX($B$9:$B$9008,MATCH(4424,$C$9:$C$9008,0)))</f>
        <v/>
      </c>
      <c r="B4432" s="9" t="str">
        <f>IFERROR(INDEX(Input!$L$20:$T$1019,INT((ROW()-9)/9)+1,MOD(ROW()-9,9)+1),"")</f>
        <v/>
      </c>
      <c r="C4432" s="9">
        <f t="shared" si="69"/>
        <v>0</v>
      </c>
    </row>
    <row r="4433" spans="1:3" x14ac:dyDescent="0.2">
      <c r="A4433" s="10" t="str">
        <f>IF(4425&gt;$C$9008,"",INDEX($B$9:$B$9008,MATCH(4425,$C$9:$C$9008,0)))</f>
        <v/>
      </c>
      <c r="B4433" s="9" t="str">
        <f>IFERROR(INDEX(Input!$L$20:$T$1019,INT((ROW()-9)/9)+1,MOD(ROW()-9,9)+1),"")</f>
        <v/>
      </c>
      <c r="C4433" s="9">
        <f t="shared" si="69"/>
        <v>0</v>
      </c>
    </row>
    <row r="4434" spans="1:3" x14ac:dyDescent="0.2">
      <c r="A4434" s="10" t="str">
        <f>IF(4426&gt;$C$9008,"",INDEX($B$9:$B$9008,MATCH(4426,$C$9:$C$9008,0)))</f>
        <v/>
      </c>
      <c r="B4434" s="9" t="str">
        <f>IFERROR(INDEX(Input!$L$20:$T$1019,INT((ROW()-9)/9)+1,MOD(ROW()-9,9)+1),"")</f>
        <v/>
      </c>
      <c r="C4434" s="9">
        <f t="shared" si="69"/>
        <v>0</v>
      </c>
    </row>
    <row r="4435" spans="1:3" x14ac:dyDescent="0.2">
      <c r="A4435" s="10" t="str">
        <f>IF(4427&gt;$C$9008,"",INDEX($B$9:$B$9008,MATCH(4427,$C$9:$C$9008,0)))</f>
        <v/>
      </c>
      <c r="B4435" s="9" t="str">
        <f>IFERROR(INDEX(Input!$L$20:$T$1019,INT((ROW()-9)/9)+1,MOD(ROW()-9,9)+1),"")</f>
        <v/>
      </c>
      <c r="C4435" s="9">
        <f t="shared" si="69"/>
        <v>0</v>
      </c>
    </row>
    <row r="4436" spans="1:3" x14ac:dyDescent="0.2">
      <c r="A4436" s="10" t="str">
        <f>IF(4428&gt;$C$9008,"",INDEX($B$9:$B$9008,MATCH(4428,$C$9:$C$9008,0)))</f>
        <v/>
      </c>
      <c r="B4436" s="9" t="str">
        <f>IFERROR(INDEX(Input!$L$20:$T$1019,INT((ROW()-9)/9)+1,MOD(ROW()-9,9)+1),"")</f>
        <v/>
      </c>
      <c r="C4436" s="9">
        <f t="shared" si="69"/>
        <v>0</v>
      </c>
    </row>
    <row r="4437" spans="1:3" x14ac:dyDescent="0.2">
      <c r="A4437" s="10" t="str">
        <f>IF(4429&gt;$C$9008,"",INDEX($B$9:$B$9008,MATCH(4429,$C$9:$C$9008,0)))</f>
        <v/>
      </c>
      <c r="B4437" s="9" t="str">
        <f>IFERROR(INDEX(Input!$L$20:$T$1019,INT((ROW()-9)/9)+1,MOD(ROW()-9,9)+1),"")</f>
        <v/>
      </c>
      <c r="C4437" s="9">
        <f t="shared" si="69"/>
        <v>0</v>
      </c>
    </row>
    <row r="4438" spans="1:3" x14ac:dyDescent="0.2">
      <c r="A4438" s="10" t="str">
        <f>IF(4430&gt;$C$9008,"",INDEX($B$9:$B$9008,MATCH(4430,$C$9:$C$9008,0)))</f>
        <v/>
      </c>
      <c r="B4438" s="9" t="str">
        <f>IFERROR(INDEX(Input!$L$20:$T$1019,INT((ROW()-9)/9)+1,MOD(ROW()-9,9)+1),"")</f>
        <v/>
      </c>
      <c r="C4438" s="9">
        <f t="shared" si="69"/>
        <v>0</v>
      </c>
    </row>
    <row r="4439" spans="1:3" x14ac:dyDescent="0.2">
      <c r="A4439" s="10" t="str">
        <f>IF(4431&gt;$C$9008,"",INDEX($B$9:$B$9008,MATCH(4431,$C$9:$C$9008,0)))</f>
        <v/>
      </c>
      <c r="B4439" s="9" t="str">
        <f>IFERROR(INDEX(Input!$L$20:$T$1019,INT((ROW()-9)/9)+1,MOD(ROW()-9,9)+1),"")</f>
        <v/>
      </c>
      <c r="C4439" s="9">
        <f t="shared" si="69"/>
        <v>0</v>
      </c>
    </row>
    <row r="4440" spans="1:3" x14ac:dyDescent="0.2">
      <c r="A4440" s="10" t="str">
        <f>IF(4432&gt;$C$9008,"",INDEX($B$9:$B$9008,MATCH(4432,$C$9:$C$9008,0)))</f>
        <v/>
      </c>
      <c r="B4440" s="9" t="str">
        <f>IFERROR(INDEX(Input!$L$20:$T$1019,INT((ROW()-9)/9)+1,MOD(ROW()-9,9)+1),"")</f>
        <v/>
      </c>
      <c r="C4440" s="9">
        <f t="shared" si="69"/>
        <v>0</v>
      </c>
    </row>
    <row r="4441" spans="1:3" x14ac:dyDescent="0.2">
      <c r="A4441" s="10" t="str">
        <f>IF(4433&gt;$C$9008,"",INDEX($B$9:$B$9008,MATCH(4433,$C$9:$C$9008,0)))</f>
        <v/>
      </c>
      <c r="B4441" s="9" t="str">
        <f>IFERROR(INDEX(Input!$L$20:$T$1019,INT((ROW()-9)/9)+1,MOD(ROW()-9,9)+1),"")</f>
        <v/>
      </c>
      <c r="C4441" s="9">
        <f t="shared" si="69"/>
        <v>0</v>
      </c>
    </row>
    <row r="4442" spans="1:3" x14ac:dyDescent="0.2">
      <c r="A4442" s="10" t="str">
        <f>IF(4434&gt;$C$9008,"",INDEX($B$9:$B$9008,MATCH(4434,$C$9:$C$9008,0)))</f>
        <v/>
      </c>
      <c r="B4442" s="9" t="str">
        <f>IFERROR(INDEX(Input!$L$20:$T$1019,INT((ROW()-9)/9)+1,MOD(ROW()-9,9)+1),"")</f>
        <v/>
      </c>
      <c r="C4442" s="9">
        <f t="shared" si="69"/>
        <v>0</v>
      </c>
    </row>
    <row r="4443" spans="1:3" x14ac:dyDescent="0.2">
      <c r="A4443" s="10" t="str">
        <f>IF(4435&gt;$C$9008,"",INDEX($B$9:$B$9008,MATCH(4435,$C$9:$C$9008,0)))</f>
        <v/>
      </c>
      <c r="B4443" s="9" t="str">
        <f>IFERROR(INDEX(Input!$L$20:$T$1019,INT((ROW()-9)/9)+1,MOD(ROW()-9,9)+1),"")</f>
        <v/>
      </c>
      <c r="C4443" s="9">
        <f t="shared" si="69"/>
        <v>0</v>
      </c>
    </row>
    <row r="4444" spans="1:3" x14ac:dyDescent="0.2">
      <c r="A4444" s="10" t="str">
        <f>IF(4436&gt;$C$9008,"",INDEX($B$9:$B$9008,MATCH(4436,$C$9:$C$9008,0)))</f>
        <v/>
      </c>
      <c r="B4444" s="9" t="str">
        <f>IFERROR(INDEX(Input!$L$20:$T$1019,INT((ROW()-9)/9)+1,MOD(ROW()-9,9)+1),"")</f>
        <v/>
      </c>
      <c r="C4444" s="9">
        <f t="shared" si="69"/>
        <v>0</v>
      </c>
    </row>
    <row r="4445" spans="1:3" x14ac:dyDescent="0.2">
      <c r="A4445" s="10" t="str">
        <f>IF(4437&gt;$C$9008,"",INDEX($B$9:$B$9008,MATCH(4437,$C$9:$C$9008,0)))</f>
        <v/>
      </c>
      <c r="B4445" s="9" t="str">
        <f>IFERROR(INDEX(Input!$L$20:$T$1019,INT((ROW()-9)/9)+1,MOD(ROW()-9,9)+1),"")</f>
        <v/>
      </c>
      <c r="C4445" s="9">
        <f t="shared" si="69"/>
        <v>0</v>
      </c>
    </row>
    <row r="4446" spans="1:3" x14ac:dyDescent="0.2">
      <c r="A4446" s="10" t="str">
        <f>IF(4438&gt;$C$9008,"",INDEX($B$9:$B$9008,MATCH(4438,$C$9:$C$9008,0)))</f>
        <v/>
      </c>
      <c r="B4446" s="9" t="str">
        <f>IFERROR(INDEX(Input!$L$20:$T$1019,INT((ROW()-9)/9)+1,MOD(ROW()-9,9)+1),"")</f>
        <v/>
      </c>
      <c r="C4446" s="9">
        <f t="shared" si="69"/>
        <v>0</v>
      </c>
    </row>
    <row r="4447" spans="1:3" x14ac:dyDescent="0.2">
      <c r="A4447" s="10" t="str">
        <f>IF(4439&gt;$C$9008,"",INDEX($B$9:$B$9008,MATCH(4439,$C$9:$C$9008,0)))</f>
        <v/>
      </c>
      <c r="B4447" s="9" t="str">
        <f>IFERROR(INDEX(Input!$L$20:$T$1019,INT((ROW()-9)/9)+1,MOD(ROW()-9,9)+1),"")</f>
        <v/>
      </c>
      <c r="C4447" s="9">
        <f t="shared" si="69"/>
        <v>0</v>
      </c>
    </row>
    <row r="4448" spans="1:3" x14ac:dyDescent="0.2">
      <c r="A4448" s="10" t="str">
        <f>IF(4440&gt;$C$9008,"",INDEX($B$9:$B$9008,MATCH(4440,$C$9:$C$9008,0)))</f>
        <v/>
      </c>
      <c r="B4448" s="9" t="str">
        <f>IFERROR(INDEX(Input!$L$20:$T$1019,INT((ROW()-9)/9)+1,MOD(ROW()-9,9)+1),"")</f>
        <v/>
      </c>
      <c r="C4448" s="9">
        <f t="shared" si="69"/>
        <v>0</v>
      </c>
    </row>
    <row r="4449" spans="1:3" x14ac:dyDescent="0.2">
      <c r="A4449" s="10" t="str">
        <f>IF(4441&gt;$C$9008,"",INDEX($B$9:$B$9008,MATCH(4441,$C$9:$C$9008,0)))</f>
        <v/>
      </c>
      <c r="B4449" s="9" t="str">
        <f>IFERROR(INDEX(Input!$L$20:$T$1019,INT((ROW()-9)/9)+1,MOD(ROW()-9,9)+1),"")</f>
        <v/>
      </c>
      <c r="C4449" s="9">
        <f t="shared" si="69"/>
        <v>0</v>
      </c>
    </row>
    <row r="4450" spans="1:3" x14ac:dyDescent="0.2">
      <c r="A4450" s="10" t="str">
        <f>IF(4442&gt;$C$9008,"",INDEX($B$9:$B$9008,MATCH(4442,$C$9:$C$9008,0)))</f>
        <v/>
      </c>
      <c r="B4450" s="9" t="str">
        <f>IFERROR(INDEX(Input!$L$20:$T$1019,INT((ROW()-9)/9)+1,MOD(ROW()-9,9)+1),"")</f>
        <v/>
      </c>
      <c r="C4450" s="9">
        <f t="shared" si="69"/>
        <v>0</v>
      </c>
    </row>
    <row r="4451" spans="1:3" x14ac:dyDescent="0.2">
      <c r="A4451" s="10" t="str">
        <f>IF(4443&gt;$C$9008,"",INDEX($B$9:$B$9008,MATCH(4443,$C$9:$C$9008,0)))</f>
        <v/>
      </c>
      <c r="B4451" s="9" t="str">
        <f>IFERROR(INDEX(Input!$L$20:$T$1019,INT((ROW()-9)/9)+1,MOD(ROW()-9,9)+1),"")</f>
        <v/>
      </c>
      <c r="C4451" s="9">
        <f t="shared" si="69"/>
        <v>0</v>
      </c>
    </row>
    <row r="4452" spans="1:3" x14ac:dyDescent="0.2">
      <c r="A4452" s="10" t="str">
        <f>IF(4444&gt;$C$9008,"",INDEX($B$9:$B$9008,MATCH(4444,$C$9:$C$9008,0)))</f>
        <v/>
      </c>
      <c r="B4452" s="9" t="str">
        <f>IFERROR(INDEX(Input!$L$20:$T$1019,INT((ROW()-9)/9)+1,MOD(ROW()-9,9)+1),"")</f>
        <v/>
      </c>
      <c r="C4452" s="9">
        <f t="shared" si="69"/>
        <v>0</v>
      </c>
    </row>
    <row r="4453" spans="1:3" x14ac:dyDescent="0.2">
      <c r="A4453" s="10" t="str">
        <f>IF(4445&gt;$C$9008,"",INDEX($B$9:$B$9008,MATCH(4445,$C$9:$C$9008,0)))</f>
        <v/>
      </c>
      <c r="B4453" s="9" t="str">
        <f>IFERROR(INDEX(Input!$L$20:$T$1019,INT((ROW()-9)/9)+1,MOD(ROW()-9,9)+1),"")</f>
        <v/>
      </c>
      <c r="C4453" s="9">
        <f t="shared" si="69"/>
        <v>0</v>
      </c>
    </row>
    <row r="4454" spans="1:3" x14ac:dyDescent="0.2">
      <c r="A4454" s="10" t="str">
        <f>IF(4446&gt;$C$9008,"",INDEX($B$9:$B$9008,MATCH(4446,$C$9:$C$9008,0)))</f>
        <v/>
      </c>
      <c r="B4454" s="9" t="str">
        <f>IFERROR(INDEX(Input!$L$20:$T$1019,INT((ROW()-9)/9)+1,MOD(ROW()-9,9)+1),"")</f>
        <v/>
      </c>
      <c r="C4454" s="9">
        <f t="shared" si="69"/>
        <v>0</v>
      </c>
    </row>
    <row r="4455" spans="1:3" x14ac:dyDescent="0.2">
      <c r="A4455" s="10" t="str">
        <f>IF(4447&gt;$C$9008,"",INDEX($B$9:$B$9008,MATCH(4447,$C$9:$C$9008,0)))</f>
        <v/>
      </c>
      <c r="B4455" s="9" t="str">
        <f>IFERROR(INDEX(Input!$L$20:$T$1019,INT((ROW()-9)/9)+1,MOD(ROW()-9,9)+1),"")</f>
        <v/>
      </c>
      <c r="C4455" s="9">
        <f t="shared" si="69"/>
        <v>0</v>
      </c>
    </row>
    <row r="4456" spans="1:3" x14ac:dyDescent="0.2">
      <c r="A4456" s="10" t="str">
        <f>IF(4448&gt;$C$9008,"",INDEX($B$9:$B$9008,MATCH(4448,$C$9:$C$9008,0)))</f>
        <v/>
      </c>
      <c r="B4456" s="9" t="str">
        <f>IFERROR(INDEX(Input!$L$20:$T$1019,INT((ROW()-9)/9)+1,MOD(ROW()-9,9)+1),"")</f>
        <v/>
      </c>
      <c r="C4456" s="9">
        <f t="shared" si="69"/>
        <v>0</v>
      </c>
    </row>
    <row r="4457" spans="1:3" x14ac:dyDescent="0.2">
      <c r="A4457" s="10" t="str">
        <f>IF(4449&gt;$C$9008,"",INDEX($B$9:$B$9008,MATCH(4449,$C$9:$C$9008,0)))</f>
        <v/>
      </c>
      <c r="B4457" s="9" t="str">
        <f>IFERROR(INDEX(Input!$L$20:$T$1019,INT((ROW()-9)/9)+1,MOD(ROW()-9,9)+1),"")</f>
        <v/>
      </c>
      <c r="C4457" s="9">
        <f t="shared" si="69"/>
        <v>0</v>
      </c>
    </row>
    <row r="4458" spans="1:3" x14ac:dyDescent="0.2">
      <c r="A4458" s="10" t="str">
        <f>IF(4450&gt;$C$9008,"",INDEX($B$9:$B$9008,MATCH(4450,$C$9:$C$9008,0)))</f>
        <v/>
      </c>
      <c r="B4458" s="9" t="str">
        <f>IFERROR(INDEX(Input!$L$20:$T$1019,INT((ROW()-9)/9)+1,MOD(ROW()-9,9)+1),"")</f>
        <v/>
      </c>
      <c r="C4458" s="9">
        <f t="shared" si="69"/>
        <v>0</v>
      </c>
    </row>
    <row r="4459" spans="1:3" x14ac:dyDescent="0.2">
      <c r="A4459" s="10" t="str">
        <f>IF(4451&gt;$C$9008,"",INDEX($B$9:$B$9008,MATCH(4451,$C$9:$C$9008,0)))</f>
        <v/>
      </c>
      <c r="B4459" s="9" t="str">
        <f>IFERROR(INDEX(Input!$L$20:$T$1019,INT((ROW()-9)/9)+1,MOD(ROW()-9,9)+1),"")</f>
        <v/>
      </c>
      <c r="C4459" s="9">
        <f t="shared" si="69"/>
        <v>0</v>
      </c>
    </row>
    <row r="4460" spans="1:3" x14ac:dyDescent="0.2">
      <c r="A4460" s="10" t="str">
        <f>IF(4452&gt;$C$9008,"",INDEX($B$9:$B$9008,MATCH(4452,$C$9:$C$9008,0)))</f>
        <v/>
      </c>
      <c r="B4460" s="9" t="str">
        <f>IFERROR(INDEX(Input!$L$20:$T$1019,INT((ROW()-9)/9)+1,MOD(ROW()-9,9)+1),"")</f>
        <v/>
      </c>
      <c r="C4460" s="9">
        <f t="shared" si="69"/>
        <v>0</v>
      </c>
    </row>
    <row r="4461" spans="1:3" x14ac:dyDescent="0.2">
      <c r="A4461" s="10" t="str">
        <f>IF(4453&gt;$C$9008,"",INDEX($B$9:$B$9008,MATCH(4453,$C$9:$C$9008,0)))</f>
        <v/>
      </c>
      <c r="B4461" s="9" t="str">
        <f>IFERROR(INDEX(Input!$L$20:$T$1019,INT((ROW()-9)/9)+1,MOD(ROW()-9,9)+1),"")</f>
        <v/>
      </c>
      <c r="C4461" s="9">
        <f t="shared" si="69"/>
        <v>0</v>
      </c>
    </row>
    <row r="4462" spans="1:3" x14ac:dyDescent="0.2">
      <c r="A4462" s="10" t="str">
        <f>IF(4454&gt;$C$9008,"",INDEX($B$9:$B$9008,MATCH(4454,$C$9:$C$9008,0)))</f>
        <v/>
      </c>
      <c r="B4462" s="9" t="str">
        <f>IFERROR(INDEX(Input!$L$20:$T$1019,INT((ROW()-9)/9)+1,MOD(ROW()-9,9)+1),"")</f>
        <v/>
      </c>
      <c r="C4462" s="9">
        <f t="shared" si="69"/>
        <v>0</v>
      </c>
    </row>
    <row r="4463" spans="1:3" x14ac:dyDescent="0.2">
      <c r="A4463" s="10" t="str">
        <f>IF(4455&gt;$C$9008,"",INDEX($B$9:$B$9008,MATCH(4455,$C$9:$C$9008,0)))</f>
        <v/>
      </c>
      <c r="B4463" s="9" t="str">
        <f>IFERROR(INDEX(Input!$L$20:$T$1019,INT((ROW()-9)/9)+1,MOD(ROW()-9,9)+1),"")</f>
        <v/>
      </c>
      <c r="C4463" s="9">
        <f t="shared" si="69"/>
        <v>0</v>
      </c>
    </row>
    <row r="4464" spans="1:3" x14ac:dyDescent="0.2">
      <c r="A4464" s="10" t="str">
        <f>IF(4456&gt;$C$9008,"",INDEX($B$9:$B$9008,MATCH(4456,$C$9:$C$9008,0)))</f>
        <v/>
      </c>
      <c r="B4464" s="9" t="str">
        <f>IFERROR(INDEX(Input!$L$20:$T$1019,INT((ROW()-9)/9)+1,MOD(ROW()-9,9)+1),"")</f>
        <v/>
      </c>
      <c r="C4464" s="9">
        <f t="shared" si="69"/>
        <v>0</v>
      </c>
    </row>
    <row r="4465" spans="1:3" x14ac:dyDescent="0.2">
      <c r="A4465" s="10" t="str">
        <f>IF(4457&gt;$C$9008,"",INDEX($B$9:$B$9008,MATCH(4457,$C$9:$C$9008,0)))</f>
        <v/>
      </c>
      <c r="B4465" s="9" t="str">
        <f>IFERROR(INDEX(Input!$L$20:$T$1019,INT((ROW()-9)/9)+1,MOD(ROW()-9,9)+1),"")</f>
        <v/>
      </c>
      <c r="C4465" s="9">
        <f t="shared" si="69"/>
        <v>0</v>
      </c>
    </row>
    <row r="4466" spans="1:3" x14ac:dyDescent="0.2">
      <c r="A4466" s="10" t="str">
        <f>IF(4458&gt;$C$9008,"",INDEX($B$9:$B$9008,MATCH(4458,$C$9:$C$9008,0)))</f>
        <v/>
      </c>
      <c r="B4466" s="9" t="str">
        <f>IFERROR(INDEX(Input!$L$20:$T$1019,INT((ROW()-9)/9)+1,MOD(ROW()-9,9)+1),"")</f>
        <v/>
      </c>
      <c r="C4466" s="9">
        <f t="shared" si="69"/>
        <v>0</v>
      </c>
    </row>
    <row r="4467" spans="1:3" x14ac:dyDescent="0.2">
      <c r="A4467" s="10" t="str">
        <f>IF(4459&gt;$C$9008,"",INDEX($B$9:$B$9008,MATCH(4459,$C$9:$C$9008,0)))</f>
        <v/>
      </c>
      <c r="B4467" s="9" t="str">
        <f>IFERROR(INDEX(Input!$L$20:$T$1019,INT((ROW()-9)/9)+1,MOD(ROW()-9,9)+1),"")</f>
        <v/>
      </c>
      <c r="C4467" s="9">
        <f t="shared" si="69"/>
        <v>0</v>
      </c>
    </row>
    <row r="4468" spans="1:3" x14ac:dyDescent="0.2">
      <c r="A4468" s="10" t="str">
        <f>IF(4460&gt;$C$9008,"",INDEX($B$9:$B$9008,MATCH(4460,$C$9:$C$9008,0)))</f>
        <v/>
      </c>
      <c r="B4468" s="9" t="str">
        <f>IFERROR(INDEX(Input!$L$20:$T$1019,INT((ROW()-9)/9)+1,MOD(ROW()-9,9)+1),"")</f>
        <v/>
      </c>
      <c r="C4468" s="9">
        <f t="shared" si="69"/>
        <v>0</v>
      </c>
    </row>
    <row r="4469" spans="1:3" x14ac:dyDescent="0.2">
      <c r="A4469" s="10" t="str">
        <f>IF(4461&gt;$C$9008,"",INDEX($B$9:$B$9008,MATCH(4461,$C$9:$C$9008,0)))</f>
        <v/>
      </c>
      <c r="B4469" s="9" t="str">
        <f>IFERROR(INDEX(Input!$L$20:$T$1019,INT((ROW()-9)/9)+1,MOD(ROW()-9,9)+1),"")</f>
        <v/>
      </c>
      <c r="C4469" s="9">
        <f t="shared" si="69"/>
        <v>0</v>
      </c>
    </row>
    <row r="4470" spans="1:3" x14ac:dyDescent="0.2">
      <c r="A4470" s="10" t="str">
        <f>IF(4462&gt;$C$9008,"",INDEX($B$9:$B$9008,MATCH(4462,$C$9:$C$9008,0)))</f>
        <v/>
      </c>
      <c r="B4470" s="9" t="str">
        <f>IFERROR(INDEX(Input!$L$20:$T$1019,INT((ROW()-9)/9)+1,MOD(ROW()-9,9)+1),"")</f>
        <v/>
      </c>
      <c r="C4470" s="9">
        <f t="shared" si="69"/>
        <v>0</v>
      </c>
    </row>
    <row r="4471" spans="1:3" x14ac:dyDescent="0.2">
      <c r="A4471" s="10" t="str">
        <f>IF(4463&gt;$C$9008,"",INDEX($B$9:$B$9008,MATCH(4463,$C$9:$C$9008,0)))</f>
        <v/>
      </c>
      <c r="B4471" s="9" t="str">
        <f>IFERROR(INDEX(Input!$L$20:$T$1019,INT((ROW()-9)/9)+1,MOD(ROW()-9,9)+1),"")</f>
        <v/>
      </c>
      <c r="C4471" s="9">
        <f t="shared" si="69"/>
        <v>0</v>
      </c>
    </row>
    <row r="4472" spans="1:3" x14ac:dyDescent="0.2">
      <c r="A4472" s="10" t="str">
        <f>IF(4464&gt;$C$9008,"",INDEX($B$9:$B$9008,MATCH(4464,$C$9:$C$9008,0)))</f>
        <v/>
      </c>
      <c r="B4472" s="9" t="str">
        <f>IFERROR(INDEX(Input!$L$20:$T$1019,INT((ROW()-9)/9)+1,MOD(ROW()-9,9)+1),"")</f>
        <v/>
      </c>
      <c r="C4472" s="9">
        <f t="shared" si="69"/>
        <v>0</v>
      </c>
    </row>
    <row r="4473" spans="1:3" x14ac:dyDescent="0.2">
      <c r="A4473" s="10" t="str">
        <f>IF(4465&gt;$C$9008,"",INDEX($B$9:$B$9008,MATCH(4465,$C$9:$C$9008,0)))</f>
        <v/>
      </c>
      <c r="B4473" s="9" t="str">
        <f>IFERROR(INDEX(Input!$L$20:$T$1019,INT((ROW()-9)/9)+1,MOD(ROW()-9,9)+1),"")</f>
        <v/>
      </c>
      <c r="C4473" s="9">
        <f t="shared" si="69"/>
        <v>0</v>
      </c>
    </row>
    <row r="4474" spans="1:3" x14ac:dyDescent="0.2">
      <c r="A4474" s="10" t="str">
        <f>IF(4466&gt;$C$9008,"",INDEX($B$9:$B$9008,MATCH(4466,$C$9:$C$9008,0)))</f>
        <v/>
      </c>
      <c r="B4474" s="9" t="str">
        <f>IFERROR(INDEX(Input!$L$20:$T$1019,INT((ROW()-9)/9)+1,MOD(ROW()-9,9)+1),"")</f>
        <v/>
      </c>
      <c r="C4474" s="9">
        <f t="shared" si="69"/>
        <v>0</v>
      </c>
    </row>
    <row r="4475" spans="1:3" x14ac:dyDescent="0.2">
      <c r="A4475" s="10" t="str">
        <f>IF(4467&gt;$C$9008,"",INDEX($B$9:$B$9008,MATCH(4467,$C$9:$C$9008,0)))</f>
        <v/>
      </c>
      <c r="B4475" s="9" t="str">
        <f>IFERROR(INDEX(Input!$L$20:$T$1019,INT((ROW()-9)/9)+1,MOD(ROW()-9,9)+1),"")</f>
        <v/>
      </c>
      <c r="C4475" s="9">
        <f t="shared" si="69"/>
        <v>0</v>
      </c>
    </row>
    <row r="4476" spans="1:3" x14ac:dyDescent="0.2">
      <c r="A4476" s="10" t="str">
        <f>IF(4468&gt;$C$9008,"",INDEX($B$9:$B$9008,MATCH(4468,$C$9:$C$9008,0)))</f>
        <v/>
      </c>
      <c r="B4476" s="9" t="str">
        <f>IFERROR(INDEX(Input!$L$20:$T$1019,INT((ROW()-9)/9)+1,MOD(ROW()-9,9)+1),"")</f>
        <v/>
      </c>
      <c r="C4476" s="9">
        <f t="shared" si="69"/>
        <v>0</v>
      </c>
    </row>
    <row r="4477" spans="1:3" x14ac:dyDescent="0.2">
      <c r="A4477" s="10" t="str">
        <f>IF(4469&gt;$C$9008,"",INDEX($B$9:$B$9008,MATCH(4469,$C$9:$C$9008,0)))</f>
        <v/>
      </c>
      <c r="B4477" s="9" t="str">
        <f>IFERROR(INDEX(Input!$L$20:$T$1019,INT((ROW()-9)/9)+1,MOD(ROW()-9,9)+1),"")</f>
        <v/>
      </c>
      <c r="C4477" s="9">
        <f t="shared" si="69"/>
        <v>0</v>
      </c>
    </row>
    <row r="4478" spans="1:3" x14ac:dyDescent="0.2">
      <c r="A4478" s="10" t="str">
        <f>IF(4470&gt;$C$9008,"",INDEX($B$9:$B$9008,MATCH(4470,$C$9:$C$9008,0)))</f>
        <v/>
      </c>
      <c r="B4478" s="9" t="str">
        <f>IFERROR(INDEX(Input!$L$20:$T$1019,INT((ROW()-9)/9)+1,MOD(ROW()-9,9)+1),"")</f>
        <v/>
      </c>
      <c r="C4478" s="9">
        <f t="shared" si="69"/>
        <v>0</v>
      </c>
    </row>
    <row r="4479" spans="1:3" x14ac:dyDescent="0.2">
      <c r="A4479" s="10" t="str">
        <f>IF(4471&gt;$C$9008,"",INDEX($B$9:$B$9008,MATCH(4471,$C$9:$C$9008,0)))</f>
        <v/>
      </c>
      <c r="B4479" s="9" t="str">
        <f>IFERROR(INDEX(Input!$L$20:$T$1019,INT((ROW()-9)/9)+1,MOD(ROW()-9,9)+1),"")</f>
        <v/>
      </c>
      <c r="C4479" s="9">
        <f t="shared" si="69"/>
        <v>0</v>
      </c>
    </row>
    <row r="4480" spans="1:3" x14ac:dyDescent="0.2">
      <c r="A4480" s="10" t="str">
        <f>IF(4472&gt;$C$9008,"",INDEX($B$9:$B$9008,MATCH(4472,$C$9:$C$9008,0)))</f>
        <v/>
      </c>
      <c r="B4480" s="9" t="str">
        <f>IFERROR(INDEX(Input!$L$20:$T$1019,INT((ROW()-9)/9)+1,MOD(ROW()-9,9)+1),"")</f>
        <v/>
      </c>
      <c r="C4480" s="9">
        <f t="shared" si="69"/>
        <v>0</v>
      </c>
    </row>
    <row r="4481" spans="1:3" x14ac:dyDescent="0.2">
      <c r="A4481" s="10" t="str">
        <f>IF(4473&gt;$C$9008,"",INDEX($B$9:$B$9008,MATCH(4473,$C$9:$C$9008,0)))</f>
        <v/>
      </c>
      <c r="B4481" s="9" t="str">
        <f>IFERROR(INDEX(Input!$L$20:$T$1019,INT((ROW()-9)/9)+1,MOD(ROW()-9,9)+1),"")</f>
        <v/>
      </c>
      <c r="C4481" s="9">
        <f t="shared" si="69"/>
        <v>0</v>
      </c>
    </row>
    <row r="4482" spans="1:3" x14ac:dyDescent="0.2">
      <c r="A4482" s="10" t="str">
        <f>IF(4474&gt;$C$9008,"",INDEX($B$9:$B$9008,MATCH(4474,$C$9:$C$9008,0)))</f>
        <v/>
      </c>
      <c r="B4482" s="9" t="str">
        <f>IFERROR(INDEX(Input!$L$20:$T$1019,INT((ROW()-9)/9)+1,MOD(ROW()-9,9)+1),"")</f>
        <v/>
      </c>
      <c r="C4482" s="9">
        <f t="shared" si="69"/>
        <v>0</v>
      </c>
    </row>
    <row r="4483" spans="1:3" x14ac:dyDescent="0.2">
      <c r="A4483" s="10" t="str">
        <f>IF(4475&gt;$C$9008,"",INDEX($B$9:$B$9008,MATCH(4475,$C$9:$C$9008,0)))</f>
        <v/>
      </c>
      <c r="B4483" s="9" t="str">
        <f>IFERROR(INDEX(Input!$L$20:$T$1019,INT((ROW()-9)/9)+1,MOD(ROW()-9,9)+1),"")</f>
        <v/>
      </c>
      <c r="C4483" s="9">
        <f t="shared" si="69"/>
        <v>0</v>
      </c>
    </row>
    <row r="4484" spans="1:3" x14ac:dyDescent="0.2">
      <c r="A4484" s="10" t="str">
        <f>IF(4476&gt;$C$9008,"",INDEX($B$9:$B$9008,MATCH(4476,$C$9:$C$9008,0)))</f>
        <v/>
      </c>
      <c r="B4484" s="9" t="str">
        <f>IFERROR(INDEX(Input!$L$20:$T$1019,INT((ROW()-9)/9)+1,MOD(ROW()-9,9)+1),"")</f>
        <v/>
      </c>
      <c r="C4484" s="9">
        <f t="shared" si="69"/>
        <v>0</v>
      </c>
    </row>
    <row r="4485" spans="1:3" x14ac:dyDescent="0.2">
      <c r="A4485" s="10" t="str">
        <f>IF(4477&gt;$C$9008,"",INDEX($B$9:$B$9008,MATCH(4477,$C$9:$C$9008,0)))</f>
        <v/>
      </c>
      <c r="B4485" s="9" t="str">
        <f>IFERROR(INDEX(Input!$L$20:$T$1019,INT((ROW()-9)/9)+1,MOD(ROW()-9,9)+1),"")</f>
        <v/>
      </c>
      <c r="C4485" s="9">
        <f t="shared" si="69"/>
        <v>0</v>
      </c>
    </row>
    <row r="4486" spans="1:3" x14ac:dyDescent="0.2">
      <c r="A4486" s="10" t="str">
        <f>IF(4478&gt;$C$9008,"",INDEX($B$9:$B$9008,MATCH(4478,$C$9:$C$9008,0)))</f>
        <v/>
      </c>
      <c r="B4486" s="9" t="str">
        <f>IFERROR(INDEX(Input!$L$20:$T$1019,INT((ROW()-9)/9)+1,MOD(ROW()-9,9)+1),"")</f>
        <v/>
      </c>
      <c r="C4486" s="9">
        <f t="shared" si="69"/>
        <v>0</v>
      </c>
    </row>
    <row r="4487" spans="1:3" x14ac:dyDescent="0.2">
      <c r="A4487" s="10" t="str">
        <f>IF(4479&gt;$C$9008,"",INDEX($B$9:$B$9008,MATCH(4479,$C$9:$C$9008,0)))</f>
        <v/>
      </c>
      <c r="B4487" s="9" t="str">
        <f>IFERROR(INDEX(Input!$L$20:$T$1019,INT((ROW()-9)/9)+1,MOD(ROW()-9,9)+1),"")</f>
        <v/>
      </c>
      <c r="C4487" s="9">
        <f t="shared" si="69"/>
        <v>0</v>
      </c>
    </row>
    <row r="4488" spans="1:3" x14ac:dyDescent="0.2">
      <c r="A4488" s="10" t="str">
        <f>IF(4480&gt;$C$9008,"",INDEX($B$9:$B$9008,MATCH(4480,$C$9:$C$9008,0)))</f>
        <v/>
      </c>
      <c r="B4488" s="9" t="str">
        <f>IFERROR(INDEX(Input!$L$20:$T$1019,INT((ROW()-9)/9)+1,MOD(ROW()-9,9)+1),"")</f>
        <v/>
      </c>
      <c r="C4488" s="9">
        <f t="shared" si="69"/>
        <v>0</v>
      </c>
    </row>
    <row r="4489" spans="1:3" x14ac:dyDescent="0.2">
      <c r="A4489" s="10" t="str">
        <f>IF(4481&gt;$C$9008,"",INDEX($B$9:$B$9008,MATCH(4481,$C$9:$C$9008,0)))</f>
        <v/>
      </c>
      <c r="B4489" s="9" t="str">
        <f>IFERROR(INDEX(Input!$L$20:$T$1019,INT((ROW()-9)/9)+1,MOD(ROW()-9,9)+1),"")</f>
        <v/>
      </c>
      <c r="C4489" s="9">
        <f t="shared" ref="C4489:C4552" si="70">$C4488+IF($B4489&lt;&gt;"",1,0)</f>
        <v>0</v>
      </c>
    </row>
    <row r="4490" spans="1:3" x14ac:dyDescent="0.2">
      <c r="A4490" s="10" t="str">
        <f>IF(4482&gt;$C$9008,"",INDEX($B$9:$B$9008,MATCH(4482,$C$9:$C$9008,0)))</f>
        <v/>
      </c>
      <c r="B4490" s="9" t="str">
        <f>IFERROR(INDEX(Input!$L$20:$T$1019,INT((ROW()-9)/9)+1,MOD(ROW()-9,9)+1),"")</f>
        <v/>
      </c>
      <c r="C4490" s="9">
        <f t="shared" si="70"/>
        <v>0</v>
      </c>
    </row>
    <row r="4491" spans="1:3" x14ac:dyDescent="0.2">
      <c r="A4491" s="10" t="str">
        <f>IF(4483&gt;$C$9008,"",INDEX($B$9:$B$9008,MATCH(4483,$C$9:$C$9008,0)))</f>
        <v/>
      </c>
      <c r="B4491" s="9" t="str">
        <f>IFERROR(INDEX(Input!$L$20:$T$1019,INT((ROW()-9)/9)+1,MOD(ROW()-9,9)+1),"")</f>
        <v/>
      </c>
      <c r="C4491" s="9">
        <f t="shared" si="70"/>
        <v>0</v>
      </c>
    </row>
    <row r="4492" spans="1:3" x14ac:dyDescent="0.2">
      <c r="A4492" s="10" t="str">
        <f>IF(4484&gt;$C$9008,"",INDEX($B$9:$B$9008,MATCH(4484,$C$9:$C$9008,0)))</f>
        <v/>
      </c>
      <c r="B4492" s="9" t="str">
        <f>IFERROR(INDEX(Input!$L$20:$T$1019,INT((ROW()-9)/9)+1,MOD(ROW()-9,9)+1),"")</f>
        <v/>
      </c>
      <c r="C4492" s="9">
        <f t="shared" si="70"/>
        <v>0</v>
      </c>
    </row>
    <row r="4493" spans="1:3" x14ac:dyDescent="0.2">
      <c r="A4493" s="10" t="str">
        <f>IF(4485&gt;$C$9008,"",INDEX($B$9:$B$9008,MATCH(4485,$C$9:$C$9008,0)))</f>
        <v/>
      </c>
      <c r="B4493" s="9" t="str">
        <f>IFERROR(INDEX(Input!$L$20:$T$1019,INT((ROW()-9)/9)+1,MOD(ROW()-9,9)+1),"")</f>
        <v/>
      </c>
      <c r="C4493" s="9">
        <f t="shared" si="70"/>
        <v>0</v>
      </c>
    </row>
    <row r="4494" spans="1:3" x14ac:dyDescent="0.2">
      <c r="A4494" s="10" t="str">
        <f>IF(4486&gt;$C$9008,"",INDEX($B$9:$B$9008,MATCH(4486,$C$9:$C$9008,0)))</f>
        <v/>
      </c>
      <c r="B4494" s="9" t="str">
        <f>IFERROR(INDEX(Input!$L$20:$T$1019,INT((ROW()-9)/9)+1,MOD(ROW()-9,9)+1),"")</f>
        <v/>
      </c>
      <c r="C4494" s="9">
        <f t="shared" si="70"/>
        <v>0</v>
      </c>
    </row>
    <row r="4495" spans="1:3" x14ac:dyDescent="0.2">
      <c r="A4495" s="10" t="str">
        <f>IF(4487&gt;$C$9008,"",INDEX($B$9:$B$9008,MATCH(4487,$C$9:$C$9008,0)))</f>
        <v/>
      </c>
      <c r="B4495" s="9" t="str">
        <f>IFERROR(INDEX(Input!$L$20:$T$1019,INT((ROW()-9)/9)+1,MOD(ROW()-9,9)+1),"")</f>
        <v/>
      </c>
      <c r="C4495" s="9">
        <f t="shared" si="70"/>
        <v>0</v>
      </c>
    </row>
    <row r="4496" spans="1:3" x14ac:dyDescent="0.2">
      <c r="A4496" s="10" t="str">
        <f>IF(4488&gt;$C$9008,"",INDEX($B$9:$B$9008,MATCH(4488,$C$9:$C$9008,0)))</f>
        <v/>
      </c>
      <c r="B4496" s="9" t="str">
        <f>IFERROR(INDEX(Input!$L$20:$T$1019,INT((ROW()-9)/9)+1,MOD(ROW()-9,9)+1),"")</f>
        <v/>
      </c>
      <c r="C4496" s="9">
        <f t="shared" si="70"/>
        <v>0</v>
      </c>
    </row>
    <row r="4497" spans="1:3" x14ac:dyDescent="0.2">
      <c r="A4497" s="10" t="str">
        <f>IF(4489&gt;$C$9008,"",INDEX($B$9:$B$9008,MATCH(4489,$C$9:$C$9008,0)))</f>
        <v/>
      </c>
      <c r="B4497" s="9" t="str">
        <f>IFERROR(INDEX(Input!$L$20:$T$1019,INT((ROW()-9)/9)+1,MOD(ROW()-9,9)+1),"")</f>
        <v/>
      </c>
      <c r="C4497" s="9">
        <f t="shared" si="70"/>
        <v>0</v>
      </c>
    </row>
    <row r="4498" spans="1:3" x14ac:dyDescent="0.2">
      <c r="A4498" s="10" t="str">
        <f>IF(4490&gt;$C$9008,"",INDEX($B$9:$B$9008,MATCH(4490,$C$9:$C$9008,0)))</f>
        <v/>
      </c>
      <c r="B4498" s="9" t="str">
        <f>IFERROR(INDEX(Input!$L$20:$T$1019,INT((ROW()-9)/9)+1,MOD(ROW()-9,9)+1),"")</f>
        <v/>
      </c>
      <c r="C4498" s="9">
        <f t="shared" si="70"/>
        <v>0</v>
      </c>
    </row>
    <row r="4499" spans="1:3" x14ac:dyDescent="0.2">
      <c r="A4499" s="10" t="str">
        <f>IF(4491&gt;$C$9008,"",INDEX($B$9:$B$9008,MATCH(4491,$C$9:$C$9008,0)))</f>
        <v/>
      </c>
      <c r="B4499" s="9" t="str">
        <f>IFERROR(INDEX(Input!$L$20:$T$1019,INT((ROW()-9)/9)+1,MOD(ROW()-9,9)+1),"")</f>
        <v/>
      </c>
      <c r="C4499" s="9">
        <f t="shared" si="70"/>
        <v>0</v>
      </c>
    </row>
    <row r="4500" spans="1:3" x14ac:dyDescent="0.2">
      <c r="A4500" s="10" t="str">
        <f>IF(4492&gt;$C$9008,"",INDEX($B$9:$B$9008,MATCH(4492,$C$9:$C$9008,0)))</f>
        <v/>
      </c>
      <c r="B4500" s="9" t="str">
        <f>IFERROR(INDEX(Input!$L$20:$T$1019,INT((ROW()-9)/9)+1,MOD(ROW()-9,9)+1),"")</f>
        <v/>
      </c>
      <c r="C4500" s="9">
        <f t="shared" si="70"/>
        <v>0</v>
      </c>
    </row>
    <row r="4501" spans="1:3" x14ac:dyDescent="0.2">
      <c r="A4501" s="10" t="str">
        <f>IF(4493&gt;$C$9008,"",INDEX($B$9:$B$9008,MATCH(4493,$C$9:$C$9008,0)))</f>
        <v/>
      </c>
      <c r="B4501" s="9" t="str">
        <f>IFERROR(INDEX(Input!$L$20:$T$1019,INT((ROW()-9)/9)+1,MOD(ROW()-9,9)+1),"")</f>
        <v/>
      </c>
      <c r="C4501" s="9">
        <f t="shared" si="70"/>
        <v>0</v>
      </c>
    </row>
    <row r="4502" spans="1:3" x14ac:dyDescent="0.2">
      <c r="A4502" s="10" t="str">
        <f>IF(4494&gt;$C$9008,"",INDEX($B$9:$B$9008,MATCH(4494,$C$9:$C$9008,0)))</f>
        <v/>
      </c>
      <c r="B4502" s="9" t="str">
        <f>IFERROR(INDEX(Input!$L$20:$T$1019,INT((ROW()-9)/9)+1,MOD(ROW()-9,9)+1),"")</f>
        <v/>
      </c>
      <c r="C4502" s="9">
        <f t="shared" si="70"/>
        <v>0</v>
      </c>
    </row>
    <row r="4503" spans="1:3" x14ac:dyDescent="0.2">
      <c r="A4503" s="10" t="str">
        <f>IF(4495&gt;$C$9008,"",INDEX($B$9:$B$9008,MATCH(4495,$C$9:$C$9008,0)))</f>
        <v/>
      </c>
      <c r="B4503" s="9" t="str">
        <f>IFERROR(INDEX(Input!$L$20:$T$1019,INT((ROW()-9)/9)+1,MOD(ROW()-9,9)+1),"")</f>
        <v/>
      </c>
      <c r="C4503" s="9">
        <f t="shared" si="70"/>
        <v>0</v>
      </c>
    </row>
    <row r="4504" spans="1:3" x14ac:dyDescent="0.2">
      <c r="A4504" s="10" t="str">
        <f>IF(4496&gt;$C$9008,"",INDEX($B$9:$B$9008,MATCH(4496,$C$9:$C$9008,0)))</f>
        <v/>
      </c>
      <c r="B4504" s="9" t="str">
        <f>IFERROR(INDEX(Input!$L$20:$T$1019,INT((ROW()-9)/9)+1,MOD(ROW()-9,9)+1),"")</f>
        <v/>
      </c>
      <c r="C4504" s="9">
        <f t="shared" si="70"/>
        <v>0</v>
      </c>
    </row>
    <row r="4505" spans="1:3" x14ac:dyDescent="0.2">
      <c r="A4505" s="10" t="str">
        <f>IF(4497&gt;$C$9008,"",INDEX($B$9:$B$9008,MATCH(4497,$C$9:$C$9008,0)))</f>
        <v/>
      </c>
      <c r="B4505" s="9" t="str">
        <f>IFERROR(INDEX(Input!$L$20:$T$1019,INT((ROW()-9)/9)+1,MOD(ROW()-9,9)+1),"")</f>
        <v/>
      </c>
      <c r="C4505" s="9">
        <f t="shared" si="70"/>
        <v>0</v>
      </c>
    </row>
    <row r="4506" spans="1:3" x14ac:dyDescent="0.2">
      <c r="A4506" s="10" t="str">
        <f>IF(4498&gt;$C$9008,"",INDEX($B$9:$B$9008,MATCH(4498,$C$9:$C$9008,0)))</f>
        <v/>
      </c>
      <c r="B4506" s="9" t="str">
        <f>IFERROR(INDEX(Input!$L$20:$T$1019,INT((ROW()-9)/9)+1,MOD(ROW()-9,9)+1),"")</f>
        <v/>
      </c>
      <c r="C4506" s="9">
        <f t="shared" si="70"/>
        <v>0</v>
      </c>
    </row>
    <row r="4507" spans="1:3" x14ac:dyDescent="0.2">
      <c r="A4507" s="10" t="str">
        <f>IF(4499&gt;$C$9008,"",INDEX($B$9:$B$9008,MATCH(4499,$C$9:$C$9008,0)))</f>
        <v/>
      </c>
      <c r="B4507" s="9" t="str">
        <f>IFERROR(INDEX(Input!$L$20:$T$1019,INT((ROW()-9)/9)+1,MOD(ROW()-9,9)+1),"")</f>
        <v/>
      </c>
      <c r="C4507" s="9">
        <f t="shared" si="70"/>
        <v>0</v>
      </c>
    </row>
    <row r="4508" spans="1:3" x14ac:dyDescent="0.2">
      <c r="A4508" s="10" t="str">
        <f>IF(4500&gt;$C$9008,"",INDEX($B$9:$B$9008,MATCH(4500,$C$9:$C$9008,0)))</f>
        <v/>
      </c>
      <c r="B4508" s="9" t="str">
        <f>IFERROR(INDEX(Input!$L$20:$T$1019,INT((ROW()-9)/9)+1,MOD(ROW()-9,9)+1),"")</f>
        <v/>
      </c>
      <c r="C4508" s="9">
        <f t="shared" si="70"/>
        <v>0</v>
      </c>
    </row>
    <row r="4509" spans="1:3" x14ac:dyDescent="0.2">
      <c r="A4509" s="10" t="str">
        <f>IF(4501&gt;$C$9008,"",INDEX($B$9:$B$9008,MATCH(4501,$C$9:$C$9008,0)))</f>
        <v/>
      </c>
      <c r="B4509" s="9" t="str">
        <f>IFERROR(INDEX(Input!$L$20:$T$1019,INT((ROW()-9)/9)+1,MOD(ROW()-9,9)+1),"")</f>
        <v/>
      </c>
      <c r="C4509" s="9">
        <f t="shared" si="70"/>
        <v>0</v>
      </c>
    </row>
    <row r="4510" spans="1:3" x14ac:dyDescent="0.2">
      <c r="A4510" s="10" t="str">
        <f>IF(4502&gt;$C$9008,"",INDEX($B$9:$B$9008,MATCH(4502,$C$9:$C$9008,0)))</f>
        <v/>
      </c>
      <c r="B4510" s="9" t="str">
        <f>IFERROR(INDEX(Input!$L$20:$T$1019,INT((ROW()-9)/9)+1,MOD(ROW()-9,9)+1),"")</f>
        <v/>
      </c>
      <c r="C4510" s="9">
        <f t="shared" si="70"/>
        <v>0</v>
      </c>
    </row>
    <row r="4511" spans="1:3" x14ac:dyDescent="0.2">
      <c r="A4511" s="10" t="str">
        <f>IF(4503&gt;$C$9008,"",INDEX($B$9:$B$9008,MATCH(4503,$C$9:$C$9008,0)))</f>
        <v/>
      </c>
      <c r="B4511" s="9" t="str">
        <f>IFERROR(INDEX(Input!$L$20:$T$1019,INT((ROW()-9)/9)+1,MOD(ROW()-9,9)+1),"")</f>
        <v/>
      </c>
      <c r="C4511" s="9">
        <f t="shared" si="70"/>
        <v>0</v>
      </c>
    </row>
    <row r="4512" spans="1:3" x14ac:dyDescent="0.2">
      <c r="A4512" s="10" t="str">
        <f>IF(4504&gt;$C$9008,"",INDEX($B$9:$B$9008,MATCH(4504,$C$9:$C$9008,0)))</f>
        <v/>
      </c>
      <c r="B4512" s="9" t="str">
        <f>IFERROR(INDEX(Input!$L$20:$T$1019,INT((ROW()-9)/9)+1,MOD(ROW()-9,9)+1),"")</f>
        <v/>
      </c>
      <c r="C4512" s="9">
        <f t="shared" si="70"/>
        <v>0</v>
      </c>
    </row>
    <row r="4513" spans="1:3" x14ac:dyDescent="0.2">
      <c r="A4513" s="10" t="str">
        <f>IF(4505&gt;$C$9008,"",INDEX($B$9:$B$9008,MATCH(4505,$C$9:$C$9008,0)))</f>
        <v/>
      </c>
      <c r="B4513" s="9" t="str">
        <f>IFERROR(INDEX(Input!$L$20:$T$1019,INT((ROW()-9)/9)+1,MOD(ROW()-9,9)+1),"")</f>
        <v/>
      </c>
      <c r="C4513" s="9">
        <f t="shared" si="70"/>
        <v>0</v>
      </c>
    </row>
    <row r="4514" spans="1:3" x14ac:dyDescent="0.2">
      <c r="A4514" s="10" t="str">
        <f>IF(4506&gt;$C$9008,"",INDEX($B$9:$B$9008,MATCH(4506,$C$9:$C$9008,0)))</f>
        <v/>
      </c>
      <c r="B4514" s="9" t="str">
        <f>IFERROR(INDEX(Input!$L$20:$T$1019,INT((ROW()-9)/9)+1,MOD(ROW()-9,9)+1),"")</f>
        <v/>
      </c>
      <c r="C4514" s="9">
        <f t="shared" si="70"/>
        <v>0</v>
      </c>
    </row>
    <row r="4515" spans="1:3" x14ac:dyDescent="0.2">
      <c r="A4515" s="10" t="str">
        <f>IF(4507&gt;$C$9008,"",INDEX($B$9:$B$9008,MATCH(4507,$C$9:$C$9008,0)))</f>
        <v/>
      </c>
      <c r="B4515" s="9" t="str">
        <f>IFERROR(INDEX(Input!$L$20:$T$1019,INT((ROW()-9)/9)+1,MOD(ROW()-9,9)+1),"")</f>
        <v/>
      </c>
      <c r="C4515" s="9">
        <f t="shared" si="70"/>
        <v>0</v>
      </c>
    </row>
    <row r="4516" spans="1:3" x14ac:dyDescent="0.2">
      <c r="A4516" s="10" t="str">
        <f>IF(4508&gt;$C$9008,"",INDEX($B$9:$B$9008,MATCH(4508,$C$9:$C$9008,0)))</f>
        <v/>
      </c>
      <c r="B4516" s="9" t="str">
        <f>IFERROR(INDEX(Input!$L$20:$T$1019,INT((ROW()-9)/9)+1,MOD(ROW()-9,9)+1),"")</f>
        <v/>
      </c>
      <c r="C4516" s="9">
        <f t="shared" si="70"/>
        <v>0</v>
      </c>
    </row>
    <row r="4517" spans="1:3" x14ac:dyDescent="0.2">
      <c r="A4517" s="10" t="str">
        <f>IF(4509&gt;$C$9008,"",INDEX($B$9:$B$9008,MATCH(4509,$C$9:$C$9008,0)))</f>
        <v/>
      </c>
      <c r="B4517" s="9" t="str">
        <f>IFERROR(INDEX(Input!$L$20:$T$1019,INT((ROW()-9)/9)+1,MOD(ROW()-9,9)+1),"")</f>
        <v/>
      </c>
      <c r="C4517" s="9">
        <f t="shared" si="70"/>
        <v>0</v>
      </c>
    </row>
    <row r="4518" spans="1:3" x14ac:dyDescent="0.2">
      <c r="A4518" s="10" t="str">
        <f>IF(4510&gt;$C$9008,"",INDEX($B$9:$B$9008,MATCH(4510,$C$9:$C$9008,0)))</f>
        <v/>
      </c>
      <c r="B4518" s="9" t="str">
        <f>IFERROR(INDEX(Input!$L$20:$T$1019,INT((ROW()-9)/9)+1,MOD(ROW()-9,9)+1),"")</f>
        <v/>
      </c>
      <c r="C4518" s="9">
        <f t="shared" si="70"/>
        <v>0</v>
      </c>
    </row>
    <row r="4519" spans="1:3" x14ac:dyDescent="0.2">
      <c r="A4519" s="10" t="str">
        <f>IF(4511&gt;$C$9008,"",INDEX($B$9:$B$9008,MATCH(4511,$C$9:$C$9008,0)))</f>
        <v/>
      </c>
      <c r="B4519" s="9" t="str">
        <f>IFERROR(INDEX(Input!$L$20:$T$1019,INT((ROW()-9)/9)+1,MOD(ROW()-9,9)+1),"")</f>
        <v/>
      </c>
      <c r="C4519" s="9">
        <f t="shared" si="70"/>
        <v>0</v>
      </c>
    </row>
    <row r="4520" spans="1:3" x14ac:dyDescent="0.2">
      <c r="A4520" s="10" t="str">
        <f>IF(4512&gt;$C$9008,"",INDEX($B$9:$B$9008,MATCH(4512,$C$9:$C$9008,0)))</f>
        <v/>
      </c>
      <c r="B4520" s="9" t="str">
        <f>IFERROR(INDEX(Input!$L$20:$T$1019,INT((ROW()-9)/9)+1,MOD(ROW()-9,9)+1),"")</f>
        <v/>
      </c>
      <c r="C4520" s="9">
        <f t="shared" si="70"/>
        <v>0</v>
      </c>
    </row>
    <row r="4521" spans="1:3" x14ac:dyDescent="0.2">
      <c r="A4521" s="10" t="str">
        <f>IF(4513&gt;$C$9008,"",INDEX($B$9:$B$9008,MATCH(4513,$C$9:$C$9008,0)))</f>
        <v/>
      </c>
      <c r="B4521" s="9" t="str">
        <f>IFERROR(INDEX(Input!$L$20:$T$1019,INT((ROW()-9)/9)+1,MOD(ROW()-9,9)+1),"")</f>
        <v/>
      </c>
      <c r="C4521" s="9">
        <f t="shared" si="70"/>
        <v>0</v>
      </c>
    </row>
    <row r="4522" spans="1:3" x14ac:dyDescent="0.2">
      <c r="A4522" s="10" t="str">
        <f>IF(4514&gt;$C$9008,"",INDEX($B$9:$B$9008,MATCH(4514,$C$9:$C$9008,0)))</f>
        <v/>
      </c>
      <c r="B4522" s="9" t="str">
        <f>IFERROR(INDEX(Input!$L$20:$T$1019,INT((ROW()-9)/9)+1,MOD(ROW()-9,9)+1),"")</f>
        <v/>
      </c>
      <c r="C4522" s="9">
        <f t="shared" si="70"/>
        <v>0</v>
      </c>
    </row>
    <row r="4523" spans="1:3" x14ac:dyDescent="0.2">
      <c r="A4523" s="10" t="str">
        <f>IF(4515&gt;$C$9008,"",INDEX($B$9:$B$9008,MATCH(4515,$C$9:$C$9008,0)))</f>
        <v/>
      </c>
      <c r="B4523" s="9" t="str">
        <f>IFERROR(INDEX(Input!$L$20:$T$1019,INT((ROW()-9)/9)+1,MOD(ROW()-9,9)+1),"")</f>
        <v/>
      </c>
      <c r="C4523" s="9">
        <f t="shared" si="70"/>
        <v>0</v>
      </c>
    </row>
    <row r="4524" spans="1:3" x14ac:dyDescent="0.2">
      <c r="A4524" s="10" t="str">
        <f>IF(4516&gt;$C$9008,"",INDEX($B$9:$B$9008,MATCH(4516,$C$9:$C$9008,0)))</f>
        <v/>
      </c>
      <c r="B4524" s="9" t="str">
        <f>IFERROR(INDEX(Input!$L$20:$T$1019,INT((ROW()-9)/9)+1,MOD(ROW()-9,9)+1),"")</f>
        <v/>
      </c>
      <c r="C4524" s="9">
        <f t="shared" si="70"/>
        <v>0</v>
      </c>
    </row>
    <row r="4525" spans="1:3" x14ac:dyDescent="0.2">
      <c r="A4525" s="10" t="str">
        <f>IF(4517&gt;$C$9008,"",INDEX($B$9:$B$9008,MATCH(4517,$C$9:$C$9008,0)))</f>
        <v/>
      </c>
      <c r="B4525" s="9" t="str">
        <f>IFERROR(INDEX(Input!$L$20:$T$1019,INT((ROW()-9)/9)+1,MOD(ROW()-9,9)+1),"")</f>
        <v/>
      </c>
      <c r="C4525" s="9">
        <f t="shared" si="70"/>
        <v>0</v>
      </c>
    </row>
    <row r="4526" spans="1:3" x14ac:dyDescent="0.2">
      <c r="A4526" s="10" t="str">
        <f>IF(4518&gt;$C$9008,"",INDEX($B$9:$B$9008,MATCH(4518,$C$9:$C$9008,0)))</f>
        <v/>
      </c>
      <c r="B4526" s="9" t="str">
        <f>IFERROR(INDEX(Input!$L$20:$T$1019,INT((ROW()-9)/9)+1,MOD(ROW()-9,9)+1),"")</f>
        <v/>
      </c>
      <c r="C4526" s="9">
        <f t="shared" si="70"/>
        <v>0</v>
      </c>
    </row>
    <row r="4527" spans="1:3" x14ac:dyDescent="0.2">
      <c r="A4527" s="10" t="str">
        <f>IF(4519&gt;$C$9008,"",INDEX($B$9:$B$9008,MATCH(4519,$C$9:$C$9008,0)))</f>
        <v/>
      </c>
      <c r="B4527" s="9" t="str">
        <f>IFERROR(INDEX(Input!$L$20:$T$1019,INT((ROW()-9)/9)+1,MOD(ROW()-9,9)+1),"")</f>
        <v/>
      </c>
      <c r="C4527" s="9">
        <f t="shared" si="70"/>
        <v>0</v>
      </c>
    </row>
    <row r="4528" spans="1:3" x14ac:dyDescent="0.2">
      <c r="A4528" s="10" t="str">
        <f>IF(4520&gt;$C$9008,"",INDEX($B$9:$B$9008,MATCH(4520,$C$9:$C$9008,0)))</f>
        <v/>
      </c>
      <c r="B4528" s="9" t="str">
        <f>IFERROR(INDEX(Input!$L$20:$T$1019,INT((ROW()-9)/9)+1,MOD(ROW()-9,9)+1),"")</f>
        <v/>
      </c>
      <c r="C4528" s="9">
        <f t="shared" si="70"/>
        <v>0</v>
      </c>
    </row>
    <row r="4529" spans="1:3" x14ac:dyDescent="0.2">
      <c r="A4529" s="10" t="str">
        <f>IF(4521&gt;$C$9008,"",INDEX($B$9:$B$9008,MATCH(4521,$C$9:$C$9008,0)))</f>
        <v/>
      </c>
      <c r="B4529" s="9" t="str">
        <f>IFERROR(INDEX(Input!$L$20:$T$1019,INT((ROW()-9)/9)+1,MOD(ROW()-9,9)+1),"")</f>
        <v/>
      </c>
      <c r="C4529" s="9">
        <f t="shared" si="70"/>
        <v>0</v>
      </c>
    </row>
    <row r="4530" spans="1:3" x14ac:dyDescent="0.2">
      <c r="A4530" s="10" t="str">
        <f>IF(4522&gt;$C$9008,"",INDEX($B$9:$B$9008,MATCH(4522,$C$9:$C$9008,0)))</f>
        <v/>
      </c>
      <c r="B4530" s="9" t="str">
        <f>IFERROR(INDEX(Input!$L$20:$T$1019,INT((ROW()-9)/9)+1,MOD(ROW()-9,9)+1),"")</f>
        <v/>
      </c>
      <c r="C4530" s="9">
        <f t="shared" si="70"/>
        <v>0</v>
      </c>
    </row>
    <row r="4531" spans="1:3" x14ac:dyDescent="0.2">
      <c r="A4531" s="10" t="str">
        <f>IF(4523&gt;$C$9008,"",INDEX($B$9:$B$9008,MATCH(4523,$C$9:$C$9008,0)))</f>
        <v/>
      </c>
      <c r="B4531" s="9" t="str">
        <f>IFERROR(INDEX(Input!$L$20:$T$1019,INT((ROW()-9)/9)+1,MOD(ROW()-9,9)+1),"")</f>
        <v/>
      </c>
      <c r="C4531" s="9">
        <f t="shared" si="70"/>
        <v>0</v>
      </c>
    </row>
    <row r="4532" spans="1:3" x14ac:dyDescent="0.2">
      <c r="A4532" s="10" t="str">
        <f>IF(4524&gt;$C$9008,"",INDEX($B$9:$B$9008,MATCH(4524,$C$9:$C$9008,0)))</f>
        <v/>
      </c>
      <c r="B4532" s="9" t="str">
        <f>IFERROR(INDEX(Input!$L$20:$T$1019,INT((ROW()-9)/9)+1,MOD(ROW()-9,9)+1),"")</f>
        <v/>
      </c>
      <c r="C4532" s="9">
        <f t="shared" si="70"/>
        <v>0</v>
      </c>
    </row>
    <row r="4533" spans="1:3" x14ac:dyDescent="0.2">
      <c r="A4533" s="10" t="str">
        <f>IF(4525&gt;$C$9008,"",INDEX($B$9:$B$9008,MATCH(4525,$C$9:$C$9008,0)))</f>
        <v/>
      </c>
      <c r="B4533" s="9" t="str">
        <f>IFERROR(INDEX(Input!$L$20:$T$1019,INT((ROW()-9)/9)+1,MOD(ROW()-9,9)+1),"")</f>
        <v/>
      </c>
      <c r="C4533" s="9">
        <f t="shared" si="70"/>
        <v>0</v>
      </c>
    </row>
    <row r="4534" spans="1:3" x14ac:dyDescent="0.2">
      <c r="A4534" s="10" t="str">
        <f>IF(4526&gt;$C$9008,"",INDEX($B$9:$B$9008,MATCH(4526,$C$9:$C$9008,0)))</f>
        <v/>
      </c>
      <c r="B4534" s="9" t="str">
        <f>IFERROR(INDEX(Input!$L$20:$T$1019,INT((ROW()-9)/9)+1,MOD(ROW()-9,9)+1),"")</f>
        <v/>
      </c>
      <c r="C4534" s="9">
        <f t="shared" si="70"/>
        <v>0</v>
      </c>
    </row>
    <row r="4535" spans="1:3" x14ac:dyDescent="0.2">
      <c r="A4535" s="10" t="str">
        <f>IF(4527&gt;$C$9008,"",INDEX($B$9:$B$9008,MATCH(4527,$C$9:$C$9008,0)))</f>
        <v/>
      </c>
      <c r="B4535" s="9" t="str">
        <f>IFERROR(INDEX(Input!$L$20:$T$1019,INT((ROW()-9)/9)+1,MOD(ROW()-9,9)+1),"")</f>
        <v/>
      </c>
      <c r="C4535" s="9">
        <f t="shared" si="70"/>
        <v>0</v>
      </c>
    </row>
    <row r="4536" spans="1:3" x14ac:dyDescent="0.2">
      <c r="A4536" s="10" t="str">
        <f>IF(4528&gt;$C$9008,"",INDEX($B$9:$B$9008,MATCH(4528,$C$9:$C$9008,0)))</f>
        <v/>
      </c>
      <c r="B4536" s="9" t="str">
        <f>IFERROR(INDEX(Input!$L$20:$T$1019,INT((ROW()-9)/9)+1,MOD(ROW()-9,9)+1),"")</f>
        <v/>
      </c>
      <c r="C4536" s="9">
        <f t="shared" si="70"/>
        <v>0</v>
      </c>
    </row>
    <row r="4537" spans="1:3" x14ac:dyDescent="0.2">
      <c r="A4537" s="10" t="str">
        <f>IF(4529&gt;$C$9008,"",INDEX($B$9:$B$9008,MATCH(4529,$C$9:$C$9008,0)))</f>
        <v/>
      </c>
      <c r="B4537" s="9" t="str">
        <f>IFERROR(INDEX(Input!$L$20:$T$1019,INT((ROW()-9)/9)+1,MOD(ROW()-9,9)+1),"")</f>
        <v/>
      </c>
      <c r="C4537" s="9">
        <f t="shared" si="70"/>
        <v>0</v>
      </c>
    </row>
    <row r="4538" spans="1:3" x14ac:dyDescent="0.2">
      <c r="A4538" s="10" t="str">
        <f>IF(4530&gt;$C$9008,"",INDEX($B$9:$B$9008,MATCH(4530,$C$9:$C$9008,0)))</f>
        <v/>
      </c>
      <c r="B4538" s="9" t="str">
        <f>IFERROR(INDEX(Input!$L$20:$T$1019,INT((ROW()-9)/9)+1,MOD(ROW()-9,9)+1),"")</f>
        <v/>
      </c>
      <c r="C4538" s="9">
        <f t="shared" si="70"/>
        <v>0</v>
      </c>
    </row>
    <row r="4539" spans="1:3" x14ac:dyDescent="0.2">
      <c r="A4539" s="10" t="str">
        <f>IF(4531&gt;$C$9008,"",INDEX($B$9:$B$9008,MATCH(4531,$C$9:$C$9008,0)))</f>
        <v/>
      </c>
      <c r="B4539" s="9" t="str">
        <f>IFERROR(INDEX(Input!$L$20:$T$1019,INT((ROW()-9)/9)+1,MOD(ROW()-9,9)+1),"")</f>
        <v/>
      </c>
      <c r="C4539" s="9">
        <f t="shared" si="70"/>
        <v>0</v>
      </c>
    </row>
    <row r="4540" spans="1:3" x14ac:dyDescent="0.2">
      <c r="A4540" s="10" t="str">
        <f>IF(4532&gt;$C$9008,"",INDEX($B$9:$B$9008,MATCH(4532,$C$9:$C$9008,0)))</f>
        <v/>
      </c>
      <c r="B4540" s="9" t="str">
        <f>IFERROR(INDEX(Input!$L$20:$T$1019,INT((ROW()-9)/9)+1,MOD(ROW()-9,9)+1),"")</f>
        <v/>
      </c>
      <c r="C4540" s="9">
        <f t="shared" si="70"/>
        <v>0</v>
      </c>
    </row>
    <row r="4541" spans="1:3" x14ac:dyDescent="0.2">
      <c r="A4541" s="10" t="str">
        <f>IF(4533&gt;$C$9008,"",INDEX($B$9:$B$9008,MATCH(4533,$C$9:$C$9008,0)))</f>
        <v/>
      </c>
      <c r="B4541" s="9" t="str">
        <f>IFERROR(INDEX(Input!$L$20:$T$1019,INT((ROW()-9)/9)+1,MOD(ROW()-9,9)+1),"")</f>
        <v/>
      </c>
      <c r="C4541" s="9">
        <f t="shared" si="70"/>
        <v>0</v>
      </c>
    </row>
    <row r="4542" spans="1:3" x14ac:dyDescent="0.2">
      <c r="A4542" s="10" t="str">
        <f>IF(4534&gt;$C$9008,"",INDEX($B$9:$B$9008,MATCH(4534,$C$9:$C$9008,0)))</f>
        <v/>
      </c>
      <c r="B4542" s="9" t="str">
        <f>IFERROR(INDEX(Input!$L$20:$T$1019,INT((ROW()-9)/9)+1,MOD(ROW()-9,9)+1),"")</f>
        <v/>
      </c>
      <c r="C4542" s="9">
        <f t="shared" si="70"/>
        <v>0</v>
      </c>
    </row>
    <row r="4543" spans="1:3" x14ac:dyDescent="0.2">
      <c r="A4543" s="10" t="str">
        <f>IF(4535&gt;$C$9008,"",INDEX($B$9:$B$9008,MATCH(4535,$C$9:$C$9008,0)))</f>
        <v/>
      </c>
      <c r="B4543" s="9" t="str">
        <f>IFERROR(INDEX(Input!$L$20:$T$1019,INT((ROW()-9)/9)+1,MOD(ROW()-9,9)+1),"")</f>
        <v/>
      </c>
      <c r="C4543" s="9">
        <f t="shared" si="70"/>
        <v>0</v>
      </c>
    </row>
    <row r="4544" spans="1:3" x14ac:dyDescent="0.2">
      <c r="A4544" s="10" t="str">
        <f>IF(4536&gt;$C$9008,"",INDEX($B$9:$B$9008,MATCH(4536,$C$9:$C$9008,0)))</f>
        <v/>
      </c>
      <c r="B4544" s="9" t="str">
        <f>IFERROR(INDEX(Input!$L$20:$T$1019,INT((ROW()-9)/9)+1,MOD(ROW()-9,9)+1),"")</f>
        <v/>
      </c>
      <c r="C4544" s="9">
        <f t="shared" si="70"/>
        <v>0</v>
      </c>
    </row>
    <row r="4545" spans="1:3" x14ac:dyDescent="0.2">
      <c r="A4545" s="10" t="str">
        <f>IF(4537&gt;$C$9008,"",INDEX($B$9:$B$9008,MATCH(4537,$C$9:$C$9008,0)))</f>
        <v/>
      </c>
      <c r="B4545" s="9" t="str">
        <f>IFERROR(INDEX(Input!$L$20:$T$1019,INT((ROW()-9)/9)+1,MOD(ROW()-9,9)+1),"")</f>
        <v/>
      </c>
      <c r="C4545" s="9">
        <f t="shared" si="70"/>
        <v>0</v>
      </c>
    </row>
    <row r="4546" spans="1:3" x14ac:dyDescent="0.2">
      <c r="A4546" s="10" t="str">
        <f>IF(4538&gt;$C$9008,"",INDEX($B$9:$B$9008,MATCH(4538,$C$9:$C$9008,0)))</f>
        <v/>
      </c>
      <c r="B4546" s="9" t="str">
        <f>IFERROR(INDEX(Input!$L$20:$T$1019,INT((ROW()-9)/9)+1,MOD(ROW()-9,9)+1),"")</f>
        <v/>
      </c>
      <c r="C4546" s="9">
        <f t="shared" si="70"/>
        <v>0</v>
      </c>
    </row>
    <row r="4547" spans="1:3" x14ac:dyDescent="0.2">
      <c r="A4547" s="10" t="str">
        <f>IF(4539&gt;$C$9008,"",INDEX($B$9:$B$9008,MATCH(4539,$C$9:$C$9008,0)))</f>
        <v/>
      </c>
      <c r="B4547" s="9" t="str">
        <f>IFERROR(INDEX(Input!$L$20:$T$1019,INT((ROW()-9)/9)+1,MOD(ROW()-9,9)+1),"")</f>
        <v/>
      </c>
      <c r="C4547" s="9">
        <f t="shared" si="70"/>
        <v>0</v>
      </c>
    </row>
    <row r="4548" spans="1:3" x14ac:dyDescent="0.2">
      <c r="A4548" s="10" t="str">
        <f>IF(4540&gt;$C$9008,"",INDEX($B$9:$B$9008,MATCH(4540,$C$9:$C$9008,0)))</f>
        <v/>
      </c>
      <c r="B4548" s="9" t="str">
        <f>IFERROR(INDEX(Input!$L$20:$T$1019,INT((ROW()-9)/9)+1,MOD(ROW()-9,9)+1),"")</f>
        <v/>
      </c>
      <c r="C4548" s="9">
        <f t="shared" si="70"/>
        <v>0</v>
      </c>
    </row>
    <row r="4549" spans="1:3" x14ac:dyDescent="0.2">
      <c r="A4549" s="10" t="str">
        <f>IF(4541&gt;$C$9008,"",INDEX($B$9:$B$9008,MATCH(4541,$C$9:$C$9008,0)))</f>
        <v/>
      </c>
      <c r="B4549" s="9" t="str">
        <f>IFERROR(INDEX(Input!$L$20:$T$1019,INT((ROW()-9)/9)+1,MOD(ROW()-9,9)+1),"")</f>
        <v/>
      </c>
      <c r="C4549" s="9">
        <f t="shared" si="70"/>
        <v>0</v>
      </c>
    </row>
    <row r="4550" spans="1:3" x14ac:dyDescent="0.2">
      <c r="A4550" s="10" t="str">
        <f>IF(4542&gt;$C$9008,"",INDEX($B$9:$B$9008,MATCH(4542,$C$9:$C$9008,0)))</f>
        <v/>
      </c>
      <c r="B4550" s="9" t="str">
        <f>IFERROR(INDEX(Input!$L$20:$T$1019,INT((ROW()-9)/9)+1,MOD(ROW()-9,9)+1),"")</f>
        <v/>
      </c>
      <c r="C4550" s="9">
        <f t="shared" si="70"/>
        <v>0</v>
      </c>
    </row>
    <row r="4551" spans="1:3" x14ac:dyDescent="0.2">
      <c r="A4551" s="10" t="str">
        <f>IF(4543&gt;$C$9008,"",INDEX($B$9:$B$9008,MATCH(4543,$C$9:$C$9008,0)))</f>
        <v/>
      </c>
      <c r="B4551" s="9" t="str">
        <f>IFERROR(INDEX(Input!$L$20:$T$1019,INT((ROW()-9)/9)+1,MOD(ROW()-9,9)+1),"")</f>
        <v/>
      </c>
      <c r="C4551" s="9">
        <f t="shared" si="70"/>
        <v>0</v>
      </c>
    </row>
    <row r="4552" spans="1:3" x14ac:dyDescent="0.2">
      <c r="A4552" s="10" t="str">
        <f>IF(4544&gt;$C$9008,"",INDEX($B$9:$B$9008,MATCH(4544,$C$9:$C$9008,0)))</f>
        <v/>
      </c>
      <c r="B4552" s="9" t="str">
        <f>IFERROR(INDEX(Input!$L$20:$T$1019,INT((ROW()-9)/9)+1,MOD(ROW()-9,9)+1),"")</f>
        <v/>
      </c>
      <c r="C4552" s="9">
        <f t="shared" si="70"/>
        <v>0</v>
      </c>
    </row>
    <row r="4553" spans="1:3" x14ac:dyDescent="0.2">
      <c r="A4553" s="10" t="str">
        <f>IF(4545&gt;$C$9008,"",INDEX($B$9:$B$9008,MATCH(4545,$C$9:$C$9008,0)))</f>
        <v/>
      </c>
      <c r="B4553" s="9" t="str">
        <f>IFERROR(INDEX(Input!$L$20:$T$1019,INT((ROW()-9)/9)+1,MOD(ROW()-9,9)+1),"")</f>
        <v/>
      </c>
      <c r="C4553" s="9">
        <f t="shared" ref="C4553:C4616" si="71">$C4552+IF($B4553&lt;&gt;"",1,0)</f>
        <v>0</v>
      </c>
    </row>
    <row r="4554" spans="1:3" x14ac:dyDescent="0.2">
      <c r="A4554" s="10" t="str">
        <f>IF(4546&gt;$C$9008,"",INDEX($B$9:$B$9008,MATCH(4546,$C$9:$C$9008,0)))</f>
        <v/>
      </c>
      <c r="B4554" s="9" t="str">
        <f>IFERROR(INDEX(Input!$L$20:$T$1019,INT((ROW()-9)/9)+1,MOD(ROW()-9,9)+1),"")</f>
        <v/>
      </c>
      <c r="C4554" s="9">
        <f t="shared" si="71"/>
        <v>0</v>
      </c>
    </row>
    <row r="4555" spans="1:3" x14ac:dyDescent="0.2">
      <c r="A4555" s="10" t="str">
        <f>IF(4547&gt;$C$9008,"",INDEX($B$9:$B$9008,MATCH(4547,$C$9:$C$9008,0)))</f>
        <v/>
      </c>
      <c r="B4555" s="9" t="str">
        <f>IFERROR(INDEX(Input!$L$20:$T$1019,INT((ROW()-9)/9)+1,MOD(ROW()-9,9)+1),"")</f>
        <v/>
      </c>
      <c r="C4555" s="9">
        <f t="shared" si="71"/>
        <v>0</v>
      </c>
    </row>
    <row r="4556" spans="1:3" x14ac:dyDescent="0.2">
      <c r="A4556" s="10" t="str">
        <f>IF(4548&gt;$C$9008,"",INDEX($B$9:$B$9008,MATCH(4548,$C$9:$C$9008,0)))</f>
        <v/>
      </c>
      <c r="B4556" s="9" t="str">
        <f>IFERROR(INDEX(Input!$L$20:$T$1019,INT((ROW()-9)/9)+1,MOD(ROW()-9,9)+1),"")</f>
        <v/>
      </c>
      <c r="C4556" s="9">
        <f t="shared" si="71"/>
        <v>0</v>
      </c>
    </row>
    <row r="4557" spans="1:3" x14ac:dyDescent="0.2">
      <c r="A4557" s="10" t="str">
        <f>IF(4549&gt;$C$9008,"",INDEX($B$9:$B$9008,MATCH(4549,$C$9:$C$9008,0)))</f>
        <v/>
      </c>
      <c r="B4557" s="9" t="str">
        <f>IFERROR(INDEX(Input!$L$20:$T$1019,INT((ROW()-9)/9)+1,MOD(ROW()-9,9)+1),"")</f>
        <v/>
      </c>
      <c r="C4557" s="9">
        <f t="shared" si="71"/>
        <v>0</v>
      </c>
    </row>
    <row r="4558" spans="1:3" x14ac:dyDescent="0.2">
      <c r="A4558" s="10" t="str">
        <f>IF(4550&gt;$C$9008,"",INDEX($B$9:$B$9008,MATCH(4550,$C$9:$C$9008,0)))</f>
        <v/>
      </c>
      <c r="B4558" s="9" t="str">
        <f>IFERROR(INDEX(Input!$L$20:$T$1019,INT((ROW()-9)/9)+1,MOD(ROW()-9,9)+1),"")</f>
        <v/>
      </c>
      <c r="C4558" s="9">
        <f t="shared" si="71"/>
        <v>0</v>
      </c>
    </row>
    <row r="4559" spans="1:3" x14ac:dyDescent="0.2">
      <c r="A4559" s="10" t="str">
        <f>IF(4551&gt;$C$9008,"",INDEX($B$9:$B$9008,MATCH(4551,$C$9:$C$9008,0)))</f>
        <v/>
      </c>
      <c r="B4559" s="9" t="str">
        <f>IFERROR(INDEX(Input!$L$20:$T$1019,INT((ROW()-9)/9)+1,MOD(ROW()-9,9)+1),"")</f>
        <v/>
      </c>
      <c r="C4559" s="9">
        <f t="shared" si="71"/>
        <v>0</v>
      </c>
    </row>
    <row r="4560" spans="1:3" x14ac:dyDescent="0.2">
      <c r="A4560" s="10" t="str">
        <f>IF(4552&gt;$C$9008,"",INDEX($B$9:$B$9008,MATCH(4552,$C$9:$C$9008,0)))</f>
        <v/>
      </c>
      <c r="B4560" s="9" t="str">
        <f>IFERROR(INDEX(Input!$L$20:$T$1019,INT((ROW()-9)/9)+1,MOD(ROW()-9,9)+1),"")</f>
        <v/>
      </c>
      <c r="C4560" s="9">
        <f t="shared" si="71"/>
        <v>0</v>
      </c>
    </row>
    <row r="4561" spans="1:3" x14ac:dyDescent="0.2">
      <c r="A4561" s="10" t="str">
        <f>IF(4553&gt;$C$9008,"",INDEX($B$9:$B$9008,MATCH(4553,$C$9:$C$9008,0)))</f>
        <v/>
      </c>
      <c r="B4561" s="9" t="str">
        <f>IFERROR(INDEX(Input!$L$20:$T$1019,INT((ROW()-9)/9)+1,MOD(ROW()-9,9)+1),"")</f>
        <v/>
      </c>
      <c r="C4561" s="9">
        <f t="shared" si="71"/>
        <v>0</v>
      </c>
    </row>
    <row r="4562" spans="1:3" x14ac:dyDescent="0.2">
      <c r="A4562" s="10" t="str">
        <f>IF(4554&gt;$C$9008,"",INDEX($B$9:$B$9008,MATCH(4554,$C$9:$C$9008,0)))</f>
        <v/>
      </c>
      <c r="B4562" s="9" t="str">
        <f>IFERROR(INDEX(Input!$L$20:$T$1019,INT((ROW()-9)/9)+1,MOD(ROW()-9,9)+1),"")</f>
        <v/>
      </c>
      <c r="C4562" s="9">
        <f t="shared" si="71"/>
        <v>0</v>
      </c>
    </row>
    <row r="4563" spans="1:3" x14ac:dyDescent="0.2">
      <c r="A4563" s="10" t="str">
        <f>IF(4555&gt;$C$9008,"",INDEX($B$9:$B$9008,MATCH(4555,$C$9:$C$9008,0)))</f>
        <v/>
      </c>
      <c r="B4563" s="9" t="str">
        <f>IFERROR(INDEX(Input!$L$20:$T$1019,INT((ROW()-9)/9)+1,MOD(ROW()-9,9)+1),"")</f>
        <v/>
      </c>
      <c r="C4563" s="9">
        <f t="shared" si="71"/>
        <v>0</v>
      </c>
    </row>
    <row r="4564" spans="1:3" x14ac:dyDescent="0.2">
      <c r="A4564" s="10" t="str">
        <f>IF(4556&gt;$C$9008,"",INDEX($B$9:$B$9008,MATCH(4556,$C$9:$C$9008,0)))</f>
        <v/>
      </c>
      <c r="B4564" s="9" t="str">
        <f>IFERROR(INDEX(Input!$L$20:$T$1019,INT((ROW()-9)/9)+1,MOD(ROW()-9,9)+1),"")</f>
        <v/>
      </c>
      <c r="C4564" s="9">
        <f t="shared" si="71"/>
        <v>0</v>
      </c>
    </row>
    <row r="4565" spans="1:3" x14ac:dyDescent="0.2">
      <c r="A4565" s="10" t="str">
        <f>IF(4557&gt;$C$9008,"",INDEX($B$9:$B$9008,MATCH(4557,$C$9:$C$9008,0)))</f>
        <v/>
      </c>
      <c r="B4565" s="9" t="str">
        <f>IFERROR(INDEX(Input!$L$20:$T$1019,INT((ROW()-9)/9)+1,MOD(ROW()-9,9)+1),"")</f>
        <v/>
      </c>
      <c r="C4565" s="9">
        <f t="shared" si="71"/>
        <v>0</v>
      </c>
    </row>
    <row r="4566" spans="1:3" x14ac:dyDescent="0.2">
      <c r="A4566" s="10" t="str">
        <f>IF(4558&gt;$C$9008,"",INDEX($B$9:$B$9008,MATCH(4558,$C$9:$C$9008,0)))</f>
        <v/>
      </c>
      <c r="B4566" s="9" t="str">
        <f>IFERROR(INDEX(Input!$L$20:$T$1019,INT((ROW()-9)/9)+1,MOD(ROW()-9,9)+1),"")</f>
        <v/>
      </c>
      <c r="C4566" s="9">
        <f t="shared" si="71"/>
        <v>0</v>
      </c>
    </row>
    <row r="4567" spans="1:3" x14ac:dyDescent="0.2">
      <c r="A4567" s="10" t="str">
        <f>IF(4559&gt;$C$9008,"",INDEX($B$9:$B$9008,MATCH(4559,$C$9:$C$9008,0)))</f>
        <v/>
      </c>
      <c r="B4567" s="9" t="str">
        <f>IFERROR(INDEX(Input!$L$20:$T$1019,INT((ROW()-9)/9)+1,MOD(ROW()-9,9)+1),"")</f>
        <v/>
      </c>
      <c r="C4567" s="9">
        <f t="shared" si="71"/>
        <v>0</v>
      </c>
    </row>
    <row r="4568" spans="1:3" x14ac:dyDescent="0.2">
      <c r="A4568" s="10" t="str">
        <f>IF(4560&gt;$C$9008,"",INDEX($B$9:$B$9008,MATCH(4560,$C$9:$C$9008,0)))</f>
        <v/>
      </c>
      <c r="B4568" s="9" t="str">
        <f>IFERROR(INDEX(Input!$L$20:$T$1019,INT((ROW()-9)/9)+1,MOD(ROW()-9,9)+1),"")</f>
        <v/>
      </c>
      <c r="C4568" s="9">
        <f t="shared" si="71"/>
        <v>0</v>
      </c>
    </row>
    <row r="4569" spans="1:3" x14ac:dyDescent="0.2">
      <c r="A4569" s="10" t="str">
        <f>IF(4561&gt;$C$9008,"",INDEX($B$9:$B$9008,MATCH(4561,$C$9:$C$9008,0)))</f>
        <v/>
      </c>
      <c r="B4569" s="9" t="str">
        <f>IFERROR(INDEX(Input!$L$20:$T$1019,INT((ROW()-9)/9)+1,MOD(ROW()-9,9)+1),"")</f>
        <v/>
      </c>
      <c r="C4569" s="9">
        <f t="shared" si="71"/>
        <v>0</v>
      </c>
    </row>
    <row r="4570" spans="1:3" x14ac:dyDescent="0.2">
      <c r="A4570" s="10" t="str">
        <f>IF(4562&gt;$C$9008,"",INDEX($B$9:$B$9008,MATCH(4562,$C$9:$C$9008,0)))</f>
        <v/>
      </c>
      <c r="B4570" s="9" t="str">
        <f>IFERROR(INDEX(Input!$L$20:$T$1019,INT((ROW()-9)/9)+1,MOD(ROW()-9,9)+1),"")</f>
        <v/>
      </c>
      <c r="C4570" s="9">
        <f t="shared" si="71"/>
        <v>0</v>
      </c>
    </row>
    <row r="4571" spans="1:3" x14ac:dyDescent="0.2">
      <c r="A4571" s="10" t="str">
        <f>IF(4563&gt;$C$9008,"",INDEX($B$9:$B$9008,MATCH(4563,$C$9:$C$9008,0)))</f>
        <v/>
      </c>
      <c r="B4571" s="9" t="str">
        <f>IFERROR(INDEX(Input!$L$20:$T$1019,INT((ROW()-9)/9)+1,MOD(ROW()-9,9)+1),"")</f>
        <v/>
      </c>
      <c r="C4571" s="9">
        <f t="shared" si="71"/>
        <v>0</v>
      </c>
    </row>
    <row r="4572" spans="1:3" x14ac:dyDescent="0.2">
      <c r="A4572" s="10" t="str">
        <f>IF(4564&gt;$C$9008,"",INDEX($B$9:$B$9008,MATCH(4564,$C$9:$C$9008,0)))</f>
        <v/>
      </c>
      <c r="B4572" s="9" t="str">
        <f>IFERROR(INDEX(Input!$L$20:$T$1019,INT((ROW()-9)/9)+1,MOD(ROW()-9,9)+1),"")</f>
        <v/>
      </c>
      <c r="C4572" s="9">
        <f t="shared" si="71"/>
        <v>0</v>
      </c>
    </row>
    <row r="4573" spans="1:3" x14ac:dyDescent="0.2">
      <c r="A4573" s="10" t="str">
        <f>IF(4565&gt;$C$9008,"",INDEX($B$9:$B$9008,MATCH(4565,$C$9:$C$9008,0)))</f>
        <v/>
      </c>
      <c r="B4573" s="9" t="str">
        <f>IFERROR(INDEX(Input!$L$20:$T$1019,INT((ROW()-9)/9)+1,MOD(ROW()-9,9)+1),"")</f>
        <v/>
      </c>
      <c r="C4573" s="9">
        <f t="shared" si="71"/>
        <v>0</v>
      </c>
    </row>
    <row r="4574" spans="1:3" x14ac:dyDescent="0.2">
      <c r="A4574" s="10" t="str">
        <f>IF(4566&gt;$C$9008,"",INDEX($B$9:$B$9008,MATCH(4566,$C$9:$C$9008,0)))</f>
        <v/>
      </c>
      <c r="B4574" s="9" t="str">
        <f>IFERROR(INDEX(Input!$L$20:$T$1019,INT((ROW()-9)/9)+1,MOD(ROW()-9,9)+1),"")</f>
        <v/>
      </c>
      <c r="C4574" s="9">
        <f t="shared" si="71"/>
        <v>0</v>
      </c>
    </row>
    <row r="4575" spans="1:3" x14ac:dyDescent="0.2">
      <c r="A4575" s="10" t="str">
        <f>IF(4567&gt;$C$9008,"",INDEX($B$9:$B$9008,MATCH(4567,$C$9:$C$9008,0)))</f>
        <v/>
      </c>
      <c r="B4575" s="9" t="str">
        <f>IFERROR(INDEX(Input!$L$20:$T$1019,INT((ROW()-9)/9)+1,MOD(ROW()-9,9)+1),"")</f>
        <v/>
      </c>
      <c r="C4575" s="9">
        <f t="shared" si="71"/>
        <v>0</v>
      </c>
    </row>
    <row r="4576" spans="1:3" x14ac:dyDescent="0.2">
      <c r="A4576" s="10" t="str">
        <f>IF(4568&gt;$C$9008,"",INDEX($B$9:$B$9008,MATCH(4568,$C$9:$C$9008,0)))</f>
        <v/>
      </c>
      <c r="B4576" s="9" t="str">
        <f>IFERROR(INDEX(Input!$L$20:$T$1019,INT((ROW()-9)/9)+1,MOD(ROW()-9,9)+1),"")</f>
        <v/>
      </c>
      <c r="C4576" s="9">
        <f t="shared" si="71"/>
        <v>0</v>
      </c>
    </row>
    <row r="4577" spans="1:3" x14ac:dyDescent="0.2">
      <c r="A4577" s="10" t="str">
        <f>IF(4569&gt;$C$9008,"",INDEX($B$9:$B$9008,MATCH(4569,$C$9:$C$9008,0)))</f>
        <v/>
      </c>
      <c r="B4577" s="9" t="str">
        <f>IFERROR(INDEX(Input!$L$20:$T$1019,INT((ROW()-9)/9)+1,MOD(ROW()-9,9)+1),"")</f>
        <v/>
      </c>
      <c r="C4577" s="9">
        <f t="shared" si="71"/>
        <v>0</v>
      </c>
    </row>
    <row r="4578" spans="1:3" x14ac:dyDescent="0.2">
      <c r="A4578" s="10" t="str">
        <f>IF(4570&gt;$C$9008,"",INDEX($B$9:$B$9008,MATCH(4570,$C$9:$C$9008,0)))</f>
        <v/>
      </c>
      <c r="B4578" s="9" t="str">
        <f>IFERROR(INDEX(Input!$L$20:$T$1019,INT((ROW()-9)/9)+1,MOD(ROW()-9,9)+1),"")</f>
        <v/>
      </c>
      <c r="C4578" s="9">
        <f t="shared" si="71"/>
        <v>0</v>
      </c>
    </row>
    <row r="4579" spans="1:3" x14ac:dyDescent="0.2">
      <c r="A4579" s="10" t="str">
        <f>IF(4571&gt;$C$9008,"",INDEX($B$9:$B$9008,MATCH(4571,$C$9:$C$9008,0)))</f>
        <v/>
      </c>
      <c r="B4579" s="9" t="str">
        <f>IFERROR(INDEX(Input!$L$20:$T$1019,INT((ROW()-9)/9)+1,MOD(ROW()-9,9)+1),"")</f>
        <v/>
      </c>
      <c r="C4579" s="9">
        <f t="shared" si="71"/>
        <v>0</v>
      </c>
    </row>
    <row r="4580" spans="1:3" x14ac:dyDescent="0.2">
      <c r="A4580" s="10" t="str">
        <f>IF(4572&gt;$C$9008,"",INDEX($B$9:$B$9008,MATCH(4572,$C$9:$C$9008,0)))</f>
        <v/>
      </c>
      <c r="B4580" s="9" t="str">
        <f>IFERROR(INDEX(Input!$L$20:$T$1019,INT((ROW()-9)/9)+1,MOD(ROW()-9,9)+1),"")</f>
        <v/>
      </c>
      <c r="C4580" s="9">
        <f t="shared" si="71"/>
        <v>0</v>
      </c>
    </row>
    <row r="4581" spans="1:3" x14ac:dyDescent="0.2">
      <c r="A4581" s="10" t="str">
        <f>IF(4573&gt;$C$9008,"",INDEX($B$9:$B$9008,MATCH(4573,$C$9:$C$9008,0)))</f>
        <v/>
      </c>
      <c r="B4581" s="9" t="str">
        <f>IFERROR(INDEX(Input!$L$20:$T$1019,INT((ROW()-9)/9)+1,MOD(ROW()-9,9)+1),"")</f>
        <v/>
      </c>
      <c r="C4581" s="9">
        <f t="shared" si="71"/>
        <v>0</v>
      </c>
    </row>
    <row r="4582" spans="1:3" x14ac:dyDescent="0.2">
      <c r="A4582" s="10" t="str">
        <f>IF(4574&gt;$C$9008,"",INDEX($B$9:$B$9008,MATCH(4574,$C$9:$C$9008,0)))</f>
        <v/>
      </c>
      <c r="B4582" s="9" t="str">
        <f>IFERROR(INDEX(Input!$L$20:$T$1019,INT((ROW()-9)/9)+1,MOD(ROW()-9,9)+1),"")</f>
        <v/>
      </c>
      <c r="C4582" s="9">
        <f t="shared" si="71"/>
        <v>0</v>
      </c>
    </row>
    <row r="4583" spans="1:3" x14ac:dyDescent="0.2">
      <c r="A4583" s="10" t="str">
        <f>IF(4575&gt;$C$9008,"",INDEX($B$9:$B$9008,MATCH(4575,$C$9:$C$9008,0)))</f>
        <v/>
      </c>
      <c r="B4583" s="9" t="str">
        <f>IFERROR(INDEX(Input!$L$20:$T$1019,INT((ROW()-9)/9)+1,MOD(ROW()-9,9)+1),"")</f>
        <v/>
      </c>
      <c r="C4583" s="9">
        <f t="shared" si="71"/>
        <v>0</v>
      </c>
    </row>
    <row r="4584" spans="1:3" x14ac:dyDescent="0.2">
      <c r="A4584" s="10" t="str">
        <f>IF(4576&gt;$C$9008,"",INDEX($B$9:$B$9008,MATCH(4576,$C$9:$C$9008,0)))</f>
        <v/>
      </c>
      <c r="B4584" s="9" t="str">
        <f>IFERROR(INDEX(Input!$L$20:$T$1019,INT((ROW()-9)/9)+1,MOD(ROW()-9,9)+1),"")</f>
        <v/>
      </c>
      <c r="C4584" s="9">
        <f t="shared" si="71"/>
        <v>0</v>
      </c>
    </row>
    <row r="4585" spans="1:3" x14ac:dyDescent="0.2">
      <c r="A4585" s="10" t="str">
        <f>IF(4577&gt;$C$9008,"",INDEX($B$9:$B$9008,MATCH(4577,$C$9:$C$9008,0)))</f>
        <v/>
      </c>
      <c r="B4585" s="9" t="str">
        <f>IFERROR(INDEX(Input!$L$20:$T$1019,INT((ROW()-9)/9)+1,MOD(ROW()-9,9)+1),"")</f>
        <v/>
      </c>
      <c r="C4585" s="9">
        <f t="shared" si="71"/>
        <v>0</v>
      </c>
    </row>
    <row r="4586" spans="1:3" x14ac:dyDescent="0.2">
      <c r="A4586" s="10" t="str">
        <f>IF(4578&gt;$C$9008,"",INDEX($B$9:$B$9008,MATCH(4578,$C$9:$C$9008,0)))</f>
        <v/>
      </c>
      <c r="B4586" s="9" t="str">
        <f>IFERROR(INDEX(Input!$L$20:$T$1019,INT((ROW()-9)/9)+1,MOD(ROW()-9,9)+1),"")</f>
        <v/>
      </c>
      <c r="C4586" s="9">
        <f t="shared" si="71"/>
        <v>0</v>
      </c>
    </row>
    <row r="4587" spans="1:3" x14ac:dyDescent="0.2">
      <c r="A4587" s="10" t="str">
        <f>IF(4579&gt;$C$9008,"",INDEX($B$9:$B$9008,MATCH(4579,$C$9:$C$9008,0)))</f>
        <v/>
      </c>
      <c r="B4587" s="9" t="str">
        <f>IFERROR(INDEX(Input!$L$20:$T$1019,INT((ROW()-9)/9)+1,MOD(ROW()-9,9)+1),"")</f>
        <v/>
      </c>
      <c r="C4587" s="9">
        <f t="shared" si="71"/>
        <v>0</v>
      </c>
    </row>
    <row r="4588" spans="1:3" x14ac:dyDescent="0.2">
      <c r="A4588" s="10" t="str">
        <f>IF(4580&gt;$C$9008,"",INDEX($B$9:$B$9008,MATCH(4580,$C$9:$C$9008,0)))</f>
        <v/>
      </c>
      <c r="B4588" s="9" t="str">
        <f>IFERROR(INDEX(Input!$L$20:$T$1019,INT((ROW()-9)/9)+1,MOD(ROW()-9,9)+1),"")</f>
        <v/>
      </c>
      <c r="C4588" s="9">
        <f t="shared" si="71"/>
        <v>0</v>
      </c>
    </row>
    <row r="4589" spans="1:3" x14ac:dyDescent="0.2">
      <c r="A4589" s="10" t="str">
        <f>IF(4581&gt;$C$9008,"",INDEX($B$9:$B$9008,MATCH(4581,$C$9:$C$9008,0)))</f>
        <v/>
      </c>
      <c r="B4589" s="9" t="str">
        <f>IFERROR(INDEX(Input!$L$20:$T$1019,INT((ROW()-9)/9)+1,MOD(ROW()-9,9)+1),"")</f>
        <v/>
      </c>
      <c r="C4589" s="9">
        <f t="shared" si="71"/>
        <v>0</v>
      </c>
    </row>
    <row r="4590" spans="1:3" x14ac:dyDescent="0.2">
      <c r="A4590" s="10" t="str">
        <f>IF(4582&gt;$C$9008,"",INDEX($B$9:$B$9008,MATCH(4582,$C$9:$C$9008,0)))</f>
        <v/>
      </c>
      <c r="B4590" s="9" t="str">
        <f>IFERROR(INDEX(Input!$L$20:$T$1019,INT((ROW()-9)/9)+1,MOD(ROW()-9,9)+1),"")</f>
        <v/>
      </c>
      <c r="C4590" s="9">
        <f t="shared" si="71"/>
        <v>0</v>
      </c>
    </row>
    <row r="4591" spans="1:3" x14ac:dyDescent="0.2">
      <c r="A4591" s="10" t="str">
        <f>IF(4583&gt;$C$9008,"",INDEX($B$9:$B$9008,MATCH(4583,$C$9:$C$9008,0)))</f>
        <v/>
      </c>
      <c r="B4591" s="9" t="str">
        <f>IFERROR(INDEX(Input!$L$20:$T$1019,INT((ROW()-9)/9)+1,MOD(ROW()-9,9)+1),"")</f>
        <v/>
      </c>
      <c r="C4591" s="9">
        <f t="shared" si="71"/>
        <v>0</v>
      </c>
    </row>
    <row r="4592" spans="1:3" x14ac:dyDescent="0.2">
      <c r="A4592" s="10" t="str">
        <f>IF(4584&gt;$C$9008,"",INDEX($B$9:$B$9008,MATCH(4584,$C$9:$C$9008,0)))</f>
        <v/>
      </c>
      <c r="B4592" s="9" t="str">
        <f>IFERROR(INDEX(Input!$L$20:$T$1019,INT((ROW()-9)/9)+1,MOD(ROW()-9,9)+1),"")</f>
        <v/>
      </c>
      <c r="C4592" s="9">
        <f t="shared" si="71"/>
        <v>0</v>
      </c>
    </row>
    <row r="4593" spans="1:3" x14ac:dyDescent="0.2">
      <c r="A4593" s="10" t="str">
        <f>IF(4585&gt;$C$9008,"",INDEX($B$9:$B$9008,MATCH(4585,$C$9:$C$9008,0)))</f>
        <v/>
      </c>
      <c r="B4593" s="9" t="str">
        <f>IFERROR(INDEX(Input!$L$20:$T$1019,INT((ROW()-9)/9)+1,MOD(ROW()-9,9)+1),"")</f>
        <v/>
      </c>
      <c r="C4593" s="9">
        <f t="shared" si="71"/>
        <v>0</v>
      </c>
    </row>
    <row r="4594" spans="1:3" x14ac:dyDescent="0.2">
      <c r="A4594" s="10" t="str">
        <f>IF(4586&gt;$C$9008,"",INDEX($B$9:$B$9008,MATCH(4586,$C$9:$C$9008,0)))</f>
        <v/>
      </c>
      <c r="B4594" s="9" t="str">
        <f>IFERROR(INDEX(Input!$L$20:$T$1019,INT((ROW()-9)/9)+1,MOD(ROW()-9,9)+1),"")</f>
        <v/>
      </c>
      <c r="C4594" s="9">
        <f t="shared" si="71"/>
        <v>0</v>
      </c>
    </row>
    <row r="4595" spans="1:3" x14ac:dyDescent="0.2">
      <c r="A4595" s="10" t="str">
        <f>IF(4587&gt;$C$9008,"",INDEX($B$9:$B$9008,MATCH(4587,$C$9:$C$9008,0)))</f>
        <v/>
      </c>
      <c r="B4595" s="9" t="str">
        <f>IFERROR(INDEX(Input!$L$20:$T$1019,INT((ROW()-9)/9)+1,MOD(ROW()-9,9)+1),"")</f>
        <v/>
      </c>
      <c r="C4595" s="9">
        <f t="shared" si="71"/>
        <v>0</v>
      </c>
    </row>
    <row r="4596" spans="1:3" x14ac:dyDescent="0.2">
      <c r="A4596" s="10" t="str">
        <f>IF(4588&gt;$C$9008,"",INDEX($B$9:$B$9008,MATCH(4588,$C$9:$C$9008,0)))</f>
        <v/>
      </c>
      <c r="B4596" s="9" t="str">
        <f>IFERROR(INDEX(Input!$L$20:$T$1019,INT((ROW()-9)/9)+1,MOD(ROW()-9,9)+1),"")</f>
        <v/>
      </c>
      <c r="C4596" s="9">
        <f t="shared" si="71"/>
        <v>0</v>
      </c>
    </row>
    <row r="4597" spans="1:3" x14ac:dyDescent="0.2">
      <c r="A4597" s="10" t="str">
        <f>IF(4589&gt;$C$9008,"",INDEX($B$9:$B$9008,MATCH(4589,$C$9:$C$9008,0)))</f>
        <v/>
      </c>
      <c r="B4597" s="9" t="str">
        <f>IFERROR(INDEX(Input!$L$20:$T$1019,INT((ROW()-9)/9)+1,MOD(ROW()-9,9)+1),"")</f>
        <v/>
      </c>
      <c r="C4597" s="9">
        <f t="shared" si="71"/>
        <v>0</v>
      </c>
    </row>
    <row r="4598" spans="1:3" x14ac:dyDescent="0.2">
      <c r="A4598" s="10" t="str">
        <f>IF(4590&gt;$C$9008,"",INDEX($B$9:$B$9008,MATCH(4590,$C$9:$C$9008,0)))</f>
        <v/>
      </c>
      <c r="B4598" s="9" t="str">
        <f>IFERROR(INDEX(Input!$L$20:$T$1019,INT((ROW()-9)/9)+1,MOD(ROW()-9,9)+1),"")</f>
        <v/>
      </c>
      <c r="C4598" s="9">
        <f t="shared" si="71"/>
        <v>0</v>
      </c>
    </row>
    <row r="4599" spans="1:3" x14ac:dyDescent="0.2">
      <c r="A4599" s="10" t="str">
        <f>IF(4591&gt;$C$9008,"",INDEX($B$9:$B$9008,MATCH(4591,$C$9:$C$9008,0)))</f>
        <v/>
      </c>
      <c r="B4599" s="9" t="str">
        <f>IFERROR(INDEX(Input!$L$20:$T$1019,INT((ROW()-9)/9)+1,MOD(ROW()-9,9)+1),"")</f>
        <v/>
      </c>
      <c r="C4599" s="9">
        <f t="shared" si="71"/>
        <v>0</v>
      </c>
    </row>
    <row r="4600" spans="1:3" x14ac:dyDescent="0.2">
      <c r="A4600" s="10" t="str">
        <f>IF(4592&gt;$C$9008,"",INDEX($B$9:$B$9008,MATCH(4592,$C$9:$C$9008,0)))</f>
        <v/>
      </c>
      <c r="B4600" s="9" t="str">
        <f>IFERROR(INDEX(Input!$L$20:$T$1019,INT((ROW()-9)/9)+1,MOD(ROW()-9,9)+1),"")</f>
        <v/>
      </c>
      <c r="C4600" s="9">
        <f t="shared" si="71"/>
        <v>0</v>
      </c>
    </row>
    <row r="4601" spans="1:3" x14ac:dyDescent="0.2">
      <c r="A4601" s="10" t="str">
        <f>IF(4593&gt;$C$9008,"",INDEX($B$9:$B$9008,MATCH(4593,$C$9:$C$9008,0)))</f>
        <v/>
      </c>
      <c r="B4601" s="9" t="str">
        <f>IFERROR(INDEX(Input!$L$20:$T$1019,INT((ROW()-9)/9)+1,MOD(ROW()-9,9)+1),"")</f>
        <v/>
      </c>
      <c r="C4601" s="9">
        <f t="shared" si="71"/>
        <v>0</v>
      </c>
    </row>
    <row r="4602" spans="1:3" x14ac:dyDescent="0.2">
      <c r="A4602" s="10" t="str">
        <f>IF(4594&gt;$C$9008,"",INDEX($B$9:$B$9008,MATCH(4594,$C$9:$C$9008,0)))</f>
        <v/>
      </c>
      <c r="B4602" s="9" t="str">
        <f>IFERROR(INDEX(Input!$L$20:$T$1019,INT((ROW()-9)/9)+1,MOD(ROW()-9,9)+1),"")</f>
        <v/>
      </c>
      <c r="C4602" s="9">
        <f t="shared" si="71"/>
        <v>0</v>
      </c>
    </row>
    <row r="4603" spans="1:3" x14ac:dyDescent="0.2">
      <c r="A4603" s="10" t="str">
        <f>IF(4595&gt;$C$9008,"",INDEX($B$9:$B$9008,MATCH(4595,$C$9:$C$9008,0)))</f>
        <v/>
      </c>
      <c r="B4603" s="9" t="str">
        <f>IFERROR(INDEX(Input!$L$20:$T$1019,INT((ROW()-9)/9)+1,MOD(ROW()-9,9)+1),"")</f>
        <v/>
      </c>
      <c r="C4603" s="9">
        <f t="shared" si="71"/>
        <v>0</v>
      </c>
    </row>
    <row r="4604" spans="1:3" x14ac:dyDescent="0.2">
      <c r="A4604" s="10" t="str">
        <f>IF(4596&gt;$C$9008,"",INDEX($B$9:$B$9008,MATCH(4596,$C$9:$C$9008,0)))</f>
        <v/>
      </c>
      <c r="B4604" s="9" t="str">
        <f>IFERROR(INDEX(Input!$L$20:$T$1019,INT((ROW()-9)/9)+1,MOD(ROW()-9,9)+1),"")</f>
        <v/>
      </c>
      <c r="C4604" s="9">
        <f t="shared" si="71"/>
        <v>0</v>
      </c>
    </row>
    <row r="4605" spans="1:3" x14ac:dyDescent="0.2">
      <c r="A4605" s="10" t="str">
        <f>IF(4597&gt;$C$9008,"",INDEX($B$9:$B$9008,MATCH(4597,$C$9:$C$9008,0)))</f>
        <v/>
      </c>
      <c r="B4605" s="9" t="str">
        <f>IFERROR(INDEX(Input!$L$20:$T$1019,INT((ROW()-9)/9)+1,MOD(ROW()-9,9)+1),"")</f>
        <v/>
      </c>
      <c r="C4605" s="9">
        <f t="shared" si="71"/>
        <v>0</v>
      </c>
    </row>
    <row r="4606" spans="1:3" x14ac:dyDescent="0.2">
      <c r="A4606" s="10" t="str">
        <f>IF(4598&gt;$C$9008,"",INDEX($B$9:$B$9008,MATCH(4598,$C$9:$C$9008,0)))</f>
        <v/>
      </c>
      <c r="B4606" s="9" t="str">
        <f>IFERROR(INDEX(Input!$L$20:$T$1019,INT((ROW()-9)/9)+1,MOD(ROW()-9,9)+1),"")</f>
        <v/>
      </c>
      <c r="C4606" s="9">
        <f t="shared" si="71"/>
        <v>0</v>
      </c>
    </row>
    <row r="4607" spans="1:3" x14ac:dyDescent="0.2">
      <c r="A4607" s="10" t="str">
        <f>IF(4599&gt;$C$9008,"",INDEX($B$9:$B$9008,MATCH(4599,$C$9:$C$9008,0)))</f>
        <v/>
      </c>
      <c r="B4607" s="9" t="str">
        <f>IFERROR(INDEX(Input!$L$20:$T$1019,INT((ROW()-9)/9)+1,MOD(ROW()-9,9)+1),"")</f>
        <v/>
      </c>
      <c r="C4607" s="9">
        <f t="shared" si="71"/>
        <v>0</v>
      </c>
    </row>
    <row r="4608" spans="1:3" x14ac:dyDescent="0.2">
      <c r="A4608" s="10" t="str">
        <f>IF(4600&gt;$C$9008,"",INDEX($B$9:$B$9008,MATCH(4600,$C$9:$C$9008,0)))</f>
        <v/>
      </c>
      <c r="B4608" s="9" t="str">
        <f>IFERROR(INDEX(Input!$L$20:$T$1019,INT((ROW()-9)/9)+1,MOD(ROW()-9,9)+1),"")</f>
        <v/>
      </c>
      <c r="C4608" s="9">
        <f t="shared" si="71"/>
        <v>0</v>
      </c>
    </row>
    <row r="4609" spans="1:3" x14ac:dyDescent="0.2">
      <c r="A4609" s="10" t="str">
        <f>IF(4601&gt;$C$9008,"",INDEX($B$9:$B$9008,MATCH(4601,$C$9:$C$9008,0)))</f>
        <v/>
      </c>
      <c r="B4609" s="9" t="str">
        <f>IFERROR(INDEX(Input!$L$20:$T$1019,INT((ROW()-9)/9)+1,MOD(ROW()-9,9)+1),"")</f>
        <v/>
      </c>
      <c r="C4609" s="9">
        <f t="shared" si="71"/>
        <v>0</v>
      </c>
    </row>
    <row r="4610" spans="1:3" x14ac:dyDescent="0.2">
      <c r="A4610" s="10" t="str">
        <f>IF(4602&gt;$C$9008,"",INDEX($B$9:$B$9008,MATCH(4602,$C$9:$C$9008,0)))</f>
        <v/>
      </c>
      <c r="B4610" s="9" t="str">
        <f>IFERROR(INDEX(Input!$L$20:$T$1019,INT((ROW()-9)/9)+1,MOD(ROW()-9,9)+1),"")</f>
        <v/>
      </c>
      <c r="C4610" s="9">
        <f t="shared" si="71"/>
        <v>0</v>
      </c>
    </row>
    <row r="4611" spans="1:3" x14ac:dyDescent="0.2">
      <c r="A4611" s="10" t="str">
        <f>IF(4603&gt;$C$9008,"",INDEX($B$9:$B$9008,MATCH(4603,$C$9:$C$9008,0)))</f>
        <v/>
      </c>
      <c r="B4611" s="9" t="str">
        <f>IFERROR(INDEX(Input!$L$20:$T$1019,INT((ROW()-9)/9)+1,MOD(ROW()-9,9)+1),"")</f>
        <v/>
      </c>
      <c r="C4611" s="9">
        <f t="shared" si="71"/>
        <v>0</v>
      </c>
    </row>
    <row r="4612" spans="1:3" x14ac:dyDescent="0.2">
      <c r="A4612" s="10" t="str">
        <f>IF(4604&gt;$C$9008,"",INDEX($B$9:$B$9008,MATCH(4604,$C$9:$C$9008,0)))</f>
        <v/>
      </c>
      <c r="B4612" s="9" t="str">
        <f>IFERROR(INDEX(Input!$L$20:$T$1019,INT((ROW()-9)/9)+1,MOD(ROW()-9,9)+1),"")</f>
        <v/>
      </c>
      <c r="C4612" s="9">
        <f t="shared" si="71"/>
        <v>0</v>
      </c>
    </row>
    <row r="4613" spans="1:3" x14ac:dyDescent="0.2">
      <c r="A4613" s="10" t="str">
        <f>IF(4605&gt;$C$9008,"",INDEX($B$9:$B$9008,MATCH(4605,$C$9:$C$9008,0)))</f>
        <v/>
      </c>
      <c r="B4613" s="9" t="str">
        <f>IFERROR(INDEX(Input!$L$20:$T$1019,INT((ROW()-9)/9)+1,MOD(ROW()-9,9)+1),"")</f>
        <v/>
      </c>
      <c r="C4613" s="9">
        <f t="shared" si="71"/>
        <v>0</v>
      </c>
    </row>
    <row r="4614" spans="1:3" x14ac:dyDescent="0.2">
      <c r="A4614" s="10" t="str">
        <f>IF(4606&gt;$C$9008,"",INDEX($B$9:$B$9008,MATCH(4606,$C$9:$C$9008,0)))</f>
        <v/>
      </c>
      <c r="B4614" s="9" t="str">
        <f>IFERROR(INDEX(Input!$L$20:$T$1019,INT((ROW()-9)/9)+1,MOD(ROW()-9,9)+1),"")</f>
        <v/>
      </c>
      <c r="C4614" s="9">
        <f t="shared" si="71"/>
        <v>0</v>
      </c>
    </row>
    <row r="4615" spans="1:3" x14ac:dyDescent="0.2">
      <c r="A4615" s="10" t="str">
        <f>IF(4607&gt;$C$9008,"",INDEX($B$9:$B$9008,MATCH(4607,$C$9:$C$9008,0)))</f>
        <v/>
      </c>
      <c r="B4615" s="9" t="str">
        <f>IFERROR(INDEX(Input!$L$20:$T$1019,INT((ROW()-9)/9)+1,MOD(ROW()-9,9)+1),"")</f>
        <v/>
      </c>
      <c r="C4615" s="9">
        <f t="shared" si="71"/>
        <v>0</v>
      </c>
    </row>
    <row r="4616" spans="1:3" x14ac:dyDescent="0.2">
      <c r="A4616" s="10" t="str">
        <f>IF(4608&gt;$C$9008,"",INDEX($B$9:$B$9008,MATCH(4608,$C$9:$C$9008,0)))</f>
        <v/>
      </c>
      <c r="B4616" s="9" t="str">
        <f>IFERROR(INDEX(Input!$L$20:$T$1019,INT((ROW()-9)/9)+1,MOD(ROW()-9,9)+1),"")</f>
        <v/>
      </c>
      <c r="C4616" s="9">
        <f t="shared" si="71"/>
        <v>0</v>
      </c>
    </row>
    <row r="4617" spans="1:3" x14ac:dyDescent="0.2">
      <c r="A4617" s="10" t="str">
        <f>IF(4609&gt;$C$9008,"",INDEX($B$9:$B$9008,MATCH(4609,$C$9:$C$9008,0)))</f>
        <v/>
      </c>
      <c r="B4617" s="9" t="str">
        <f>IFERROR(INDEX(Input!$L$20:$T$1019,INT((ROW()-9)/9)+1,MOD(ROW()-9,9)+1),"")</f>
        <v/>
      </c>
      <c r="C4617" s="9">
        <f t="shared" ref="C4617:C4680" si="72">$C4616+IF($B4617&lt;&gt;"",1,0)</f>
        <v>0</v>
      </c>
    </row>
    <row r="4618" spans="1:3" x14ac:dyDescent="0.2">
      <c r="A4618" s="10" t="str">
        <f>IF(4610&gt;$C$9008,"",INDEX($B$9:$B$9008,MATCH(4610,$C$9:$C$9008,0)))</f>
        <v/>
      </c>
      <c r="B4618" s="9" t="str">
        <f>IFERROR(INDEX(Input!$L$20:$T$1019,INT((ROW()-9)/9)+1,MOD(ROW()-9,9)+1),"")</f>
        <v/>
      </c>
      <c r="C4618" s="9">
        <f t="shared" si="72"/>
        <v>0</v>
      </c>
    </row>
    <row r="4619" spans="1:3" x14ac:dyDescent="0.2">
      <c r="A4619" s="10" t="str">
        <f>IF(4611&gt;$C$9008,"",INDEX($B$9:$B$9008,MATCH(4611,$C$9:$C$9008,0)))</f>
        <v/>
      </c>
      <c r="B4619" s="9" t="str">
        <f>IFERROR(INDEX(Input!$L$20:$T$1019,INT((ROW()-9)/9)+1,MOD(ROW()-9,9)+1),"")</f>
        <v/>
      </c>
      <c r="C4619" s="9">
        <f t="shared" si="72"/>
        <v>0</v>
      </c>
    </row>
    <row r="4620" spans="1:3" x14ac:dyDescent="0.2">
      <c r="A4620" s="10" t="str">
        <f>IF(4612&gt;$C$9008,"",INDEX($B$9:$B$9008,MATCH(4612,$C$9:$C$9008,0)))</f>
        <v/>
      </c>
      <c r="B4620" s="9" t="str">
        <f>IFERROR(INDEX(Input!$L$20:$T$1019,INT((ROW()-9)/9)+1,MOD(ROW()-9,9)+1),"")</f>
        <v/>
      </c>
      <c r="C4620" s="9">
        <f t="shared" si="72"/>
        <v>0</v>
      </c>
    </row>
    <row r="4621" spans="1:3" x14ac:dyDescent="0.2">
      <c r="A4621" s="10" t="str">
        <f>IF(4613&gt;$C$9008,"",INDEX($B$9:$B$9008,MATCH(4613,$C$9:$C$9008,0)))</f>
        <v/>
      </c>
      <c r="B4621" s="9" t="str">
        <f>IFERROR(INDEX(Input!$L$20:$T$1019,INT((ROW()-9)/9)+1,MOD(ROW()-9,9)+1),"")</f>
        <v/>
      </c>
      <c r="C4621" s="9">
        <f t="shared" si="72"/>
        <v>0</v>
      </c>
    </row>
    <row r="4622" spans="1:3" x14ac:dyDescent="0.2">
      <c r="A4622" s="10" t="str">
        <f>IF(4614&gt;$C$9008,"",INDEX($B$9:$B$9008,MATCH(4614,$C$9:$C$9008,0)))</f>
        <v/>
      </c>
      <c r="B4622" s="9" t="str">
        <f>IFERROR(INDEX(Input!$L$20:$T$1019,INT((ROW()-9)/9)+1,MOD(ROW()-9,9)+1),"")</f>
        <v/>
      </c>
      <c r="C4622" s="9">
        <f t="shared" si="72"/>
        <v>0</v>
      </c>
    </row>
    <row r="4623" spans="1:3" x14ac:dyDescent="0.2">
      <c r="A4623" s="10" t="str">
        <f>IF(4615&gt;$C$9008,"",INDEX($B$9:$B$9008,MATCH(4615,$C$9:$C$9008,0)))</f>
        <v/>
      </c>
      <c r="B4623" s="9" t="str">
        <f>IFERROR(INDEX(Input!$L$20:$T$1019,INT((ROW()-9)/9)+1,MOD(ROW()-9,9)+1),"")</f>
        <v/>
      </c>
      <c r="C4623" s="9">
        <f t="shared" si="72"/>
        <v>0</v>
      </c>
    </row>
    <row r="4624" spans="1:3" x14ac:dyDescent="0.2">
      <c r="A4624" s="10" t="str">
        <f>IF(4616&gt;$C$9008,"",INDEX($B$9:$B$9008,MATCH(4616,$C$9:$C$9008,0)))</f>
        <v/>
      </c>
      <c r="B4624" s="9" t="str">
        <f>IFERROR(INDEX(Input!$L$20:$T$1019,INT((ROW()-9)/9)+1,MOD(ROW()-9,9)+1),"")</f>
        <v/>
      </c>
      <c r="C4624" s="9">
        <f t="shared" si="72"/>
        <v>0</v>
      </c>
    </row>
    <row r="4625" spans="1:3" x14ac:dyDescent="0.2">
      <c r="A4625" s="10" t="str">
        <f>IF(4617&gt;$C$9008,"",INDEX($B$9:$B$9008,MATCH(4617,$C$9:$C$9008,0)))</f>
        <v/>
      </c>
      <c r="B4625" s="9" t="str">
        <f>IFERROR(INDEX(Input!$L$20:$T$1019,INT((ROW()-9)/9)+1,MOD(ROW()-9,9)+1),"")</f>
        <v/>
      </c>
      <c r="C4625" s="9">
        <f t="shared" si="72"/>
        <v>0</v>
      </c>
    </row>
    <row r="4626" spans="1:3" x14ac:dyDescent="0.2">
      <c r="A4626" s="10" t="str">
        <f>IF(4618&gt;$C$9008,"",INDEX($B$9:$B$9008,MATCH(4618,$C$9:$C$9008,0)))</f>
        <v/>
      </c>
      <c r="B4626" s="9" t="str">
        <f>IFERROR(INDEX(Input!$L$20:$T$1019,INT((ROW()-9)/9)+1,MOD(ROW()-9,9)+1),"")</f>
        <v/>
      </c>
      <c r="C4626" s="9">
        <f t="shared" si="72"/>
        <v>0</v>
      </c>
    </row>
    <row r="4627" spans="1:3" x14ac:dyDescent="0.2">
      <c r="A4627" s="10" t="str">
        <f>IF(4619&gt;$C$9008,"",INDEX($B$9:$B$9008,MATCH(4619,$C$9:$C$9008,0)))</f>
        <v/>
      </c>
      <c r="B4627" s="9" t="str">
        <f>IFERROR(INDEX(Input!$L$20:$T$1019,INT((ROW()-9)/9)+1,MOD(ROW()-9,9)+1),"")</f>
        <v/>
      </c>
      <c r="C4627" s="9">
        <f t="shared" si="72"/>
        <v>0</v>
      </c>
    </row>
    <row r="4628" spans="1:3" x14ac:dyDescent="0.2">
      <c r="A4628" s="10" t="str">
        <f>IF(4620&gt;$C$9008,"",INDEX($B$9:$B$9008,MATCH(4620,$C$9:$C$9008,0)))</f>
        <v/>
      </c>
      <c r="B4628" s="9" t="str">
        <f>IFERROR(INDEX(Input!$L$20:$T$1019,INT((ROW()-9)/9)+1,MOD(ROW()-9,9)+1),"")</f>
        <v/>
      </c>
      <c r="C4628" s="9">
        <f t="shared" si="72"/>
        <v>0</v>
      </c>
    </row>
    <row r="4629" spans="1:3" x14ac:dyDescent="0.2">
      <c r="A4629" s="10" t="str">
        <f>IF(4621&gt;$C$9008,"",INDEX($B$9:$B$9008,MATCH(4621,$C$9:$C$9008,0)))</f>
        <v/>
      </c>
      <c r="B4629" s="9" t="str">
        <f>IFERROR(INDEX(Input!$L$20:$T$1019,INT((ROW()-9)/9)+1,MOD(ROW()-9,9)+1),"")</f>
        <v/>
      </c>
      <c r="C4629" s="9">
        <f t="shared" si="72"/>
        <v>0</v>
      </c>
    </row>
    <row r="4630" spans="1:3" x14ac:dyDescent="0.2">
      <c r="A4630" s="10" t="str">
        <f>IF(4622&gt;$C$9008,"",INDEX($B$9:$B$9008,MATCH(4622,$C$9:$C$9008,0)))</f>
        <v/>
      </c>
      <c r="B4630" s="9" t="str">
        <f>IFERROR(INDEX(Input!$L$20:$T$1019,INT((ROW()-9)/9)+1,MOD(ROW()-9,9)+1),"")</f>
        <v/>
      </c>
      <c r="C4630" s="9">
        <f t="shared" si="72"/>
        <v>0</v>
      </c>
    </row>
    <row r="4631" spans="1:3" x14ac:dyDescent="0.2">
      <c r="A4631" s="10" t="str">
        <f>IF(4623&gt;$C$9008,"",INDEX($B$9:$B$9008,MATCH(4623,$C$9:$C$9008,0)))</f>
        <v/>
      </c>
      <c r="B4631" s="9" t="str">
        <f>IFERROR(INDEX(Input!$L$20:$T$1019,INT((ROW()-9)/9)+1,MOD(ROW()-9,9)+1),"")</f>
        <v/>
      </c>
      <c r="C4631" s="9">
        <f t="shared" si="72"/>
        <v>0</v>
      </c>
    </row>
    <row r="4632" spans="1:3" x14ac:dyDescent="0.2">
      <c r="A4632" s="10" t="str">
        <f>IF(4624&gt;$C$9008,"",INDEX($B$9:$B$9008,MATCH(4624,$C$9:$C$9008,0)))</f>
        <v/>
      </c>
      <c r="B4632" s="9" t="str">
        <f>IFERROR(INDEX(Input!$L$20:$T$1019,INT((ROW()-9)/9)+1,MOD(ROW()-9,9)+1),"")</f>
        <v/>
      </c>
      <c r="C4632" s="9">
        <f t="shared" si="72"/>
        <v>0</v>
      </c>
    </row>
    <row r="4633" spans="1:3" x14ac:dyDescent="0.2">
      <c r="A4633" s="10" t="str">
        <f>IF(4625&gt;$C$9008,"",INDEX($B$9:$B$9008,MATCH(4625,$C$9:$C$9008,0)))</f>
        <v/>
      </c>
      <c r="B4633" s="9" t="str">
        <f>IFERROR(INDEX(Input!$L$20:$T$1019,INT((ROW()-9)/9)+1,MOD(ROW()-9,9)+1),"")</f>
        <v/>
      </c>
      <c r="C4633" s="9">
        <f t="shared" si="72"/>
        <v>0</v>
      </c>
    </row>
    <row r="4634" spans="1:3" x14ac:dyDescent="0.2">
      <c r="A4634" s="10" t="str">
        <f>IF(4626&gt;$C$9008,"",INDEX($B$9:$B$9008,MATCH(4626,$C$9:$C$9008,0)))</f>
        <v/>
      </c>
      <c r="B4634" s="9" t="str">
        <f>IFERROR(INDEX(Input!$L$20:$T$1019,INT((ROW()-9)/9)+1,MOD(ROW()-9,9)+1),"")</f>
        <v/>
      </c>
      <c r="C4634" s="9">
        <f t="shared" si="72"/>
        <v>0</v>
      </c>
    </row>
    <row r="4635" spans="1:3" x14ac:dyDescent="0.2">
      <c r="A4635" s="10" t="str">
        <f>IF(4627&gt;$C$9008,"",INDEX($B$9:$B$9008,MATCH(4627,$C$9:$C$9008,0)))</f>
        <v/>
      </c>
      <c r="B4635" s="9" t="str">
        <f>IFERROR(INDEX(Input!$L$20:$T$1019,INT((ROW()-9)/9)+1,MOD(ROW()-9,9)+1),"")</f>
        <v/>
      </c>
      <c r="C4635" s="9">
        <f t="shared" si="72"/>
        <v>0</v>
      </c>
    </row>
    <row r="4636" spans="1:3" x14ac:dyDescent="0.2">
      <c r="A4636" s="10" t="str">
        <f>IF(4628&gt;$C$9008,"",INDEX($B$9:$B$9008,MATCH(4628,$C$9:$C$9008,0)))</f>
        <v/>
      </c>
      <c r="B4636" s="9" t="str">
        <f>IFERROR(INDEX(Input!$L$20:$T$1019,INT((ROW()-9)/9)+1,MOD(ROW()-9,9)+1),"")</f>
        <v/>
      </c>
      <c r="C4636" s="9">
        <f t="shared" si="72"/>
        <v>0</v>
      </c>
    </row>
    <row r="4637" spans="1:3" x14ac:dyDescent="0.2">
      <c r="A4637" s="10" t="str">
        <f>IF(4629&gt;$C$9008,"",INDEX($B$9:$B$9008,MATCH(4629,$C$9:$C$9008,0)))</f>
        <v/>
      </c>
      <c r="B4637" s="9" t="str">
        <f>IFERROR(INDEX(Input!$L$20:$T$1019,INT((ROW()-9)/9)+1,MOD(ROW()-9,9)+1),"")</f>
        <v/>
      </c>
      <c r="C4637" s="9">
        <f t="shared" si="72"/>
        <v>0</v>
      </c>
    </row>
    <row r="4638" spans="1:3" x14ac:dyDescent="0.2">
      <c r="A4638" s="10" t="str">
        <f>IF(4630&gt;$C$9008,"",INDEX($B$9:$B$9008,MATCH(4630,$C$9:$C$9008,0)))</f>
        <v/>
      </c>
      <c r="B4638" s="9" t="str">
        <f>IFERROR(INDEX(Input!$L$20:$T$1019,INT((ROW()-9)/9)+1,MOD(ROW()-9,9)+1),"")</f>
        <v/>
      </c>
      <c r="C4638" s="9">
        <f t="shared" si="72"/>
        <v>0</v>
      </c>
    </row>
    <row r="4639" spans="1:3" x14ac:dyDescent="0.2">
      <c r="A4639" s="10" t="str">
        <f>IF(4631&gt;$C$9008,"",INDEX($B$9:$B$9008,MATCH(4631,$C$9:$C$9008,0)))</f>
        <v/>
      </c>
      <c r="B4639" s="9" t="str">
        <f>IFERROR(INDEX(Input!$L$20:$T$1019,INT((ROW()-9)/9)+1,MOD(ROW()-9,9)+1),"")</f>
        <v/>
      </c>
      <c r="C4639" s="9">
        <f t="shared" si="72"/>
        <v>0</v>
      </c>
    </row>
    <row r="4640" spans="1:3" x14ac:dyDescent="0.2">
      <c r="A4640" s="10" t="str">
        <f>IF(4632&gt;$C$9008,"",INDEX($B$9:$B$9008,MATCH(4632,$C$9:$C$9008,0)))</f>
        <v/>
      </c>
      <c r="B4640" s="9" t="str">
        <f>IFERROR(INDEX(Input!$L$20:$T$1019,INT((ROW()-9)/9)+1,MOD(ROW()-9,9)+1),"")</f>
        <v/>
      </c>
      <c r="C4640" s="9">
        <f t="shared" si="72"/>
        <v>0</v>
      </c>
    </row>
    <row r="4641" spans="1:3" x14ac:dyDescent="0.2">
      <c r="A4641" s="10" t="str">
        <f>IF(4633&gt;$C$9008,"",INDEX($B$9:$B$9008,MATCH(4633,$C$9:$C$9008,0)))</f>
        <v/>
      </c>
      <c r="B4641" s="9" t="str">
        <f>IFERROR(INDEX(Input!$L$20:$T$1019,INT((ROW()-9)/9)+1,MOD(ROW()-9,9)+1),"")</f>
        <v/>
      </c>
      <c r="C4641" s="9">
        <f t="shared" si="72"/>
        <v>0</v>
      </c>
    </row>
    <row r="4642" spans="1:3" x14ac:dyDescent="0.2">
      <c r="A4642" s="10" t="str">
        <f>IF(4634&gt;$C$9008,"",INDEX($B$9:$B$9008,MATCH(4634,$C$9:$C$9008,0)))</f>
        <v/>
      </c>
      <c r="B4642" s="9" t="str">
        <f>IFERROR(INDEX(Input!$L$20:$T$1019,INT((ROW()-9)/9)+1,MOD(ROW()-9,9)+1),"")</f>
        <v/>
      </c>
      <c r="C4642" s="9">
        <f t="shared" si="72"/>
        <v>0</v>
      </c>
    </row>
    <row r="4643" spans="1:3" x14ac:dyDescent="0.2">
      <c r="A4643" s="10" t="str">
        <f>IF(4635&gt;$C$9008,"",INDEX($B$9:$B$9008,MATCH(4635,$C$9:$C$9008,0)))</f>
        <v/>
      </c>
      <c r="B4643" s="9" t="str">
        <f>IFERROR(INDEX(Input!$L$20:$T$1019,INT((ROW()-9)/9)+1,MOD(ROW()-9,9)+1),"")</f>
        <v/>
      </c>
      <c r="C4643" s="9">
        <f t="shared" si="72"/>
        <v>0</v>
      </c>
    </row>
    <row r="4644" spans="1:3" x14ac:dyDescent="0.2">
      <c r="A4644" s="10" t="str">
        <f>IF(4636&gt;$C$9008,"",INDEX($B$9:$B$9008,MATCH(4636,$C$9:$C$9008,0)))</f>
        <v/>
      </c>
      <c r="B4644" s="9" t="str">
        <f>IFERROR(INDEX(Input!$L$20:$T$1019,INT((ROW()-9)/9)+1,MOD(ROW()-9,9)+1),"")</f>
        <v/>
      </c>
      <c r="C4644" s="9">
        <f t="shared" si="72"/>
        <v>0</v>
      </c>
    </row>
    <row r="4645" spans="1:3" x14ac:dyDescent="0.2">
      <c r="A4645" s="10" t="str">
        <f>IF(4637&gt;$C$9008,"",INDEX($B$9:$B$9008,MATCH(4637,$C$9:$C$9008,0)))</f>
        <v/>
      </c>
      <c r="B4645" s="9" t="str">
        <f>IFERROR(INDEX(Input!$L$20:$T$1019,INT((ROW()-9)/9)+1,MOD(ROW()-9,9)+1),"")</f>
        <v/>
      </c>
      <c r="C4645" s="9">
        <f t="shared" si="72"/>
        <v>0</v>
      </c>
    </row>
    <row r="4646" spans="1:3" x14ac:dyDescent="0.2">
      <c r="A4646" s="10" t="str">
        <f>IF(4638&gt;$C$9008,"",INDEX($B$9:$B$9008,MATCH(4638,$C$9:$C$9008,0)))</f>
        <v/>
      </c>
      <c r="B4646" s="9" t="str">
        <f>IFERROR(INDEX(Input!$L$20:$T$1019,INT((ROW()-9)/9)+1,MOD(ROW()-9,9)+1),"")</f>
        <v/>
      </c>
      <c r="C4646" s="9">
        <f t="shared" si="72"/>
        <v>0</v>
      </c>
    </row>
    <row r="4647" spans="1:3" x14ac:dyDescent="0.2">
      <c r="A4647" s="10" t="str">
        <f>IF(4639&gt;$C$9008,"",INDEX($B$9:$B$9008,MATCH(4639,$C$9:$C$9008,0)))</f>
        <v/>
      </c>
      <c r="B4647" s="9" t="str">
        <f>IFERROR(INDEX(Input!$L$20:$T$1019,INT((ROW()-9)/9)+1,MOD(ROW()-9,9)+1),"")</f>
        <v/>
      </c>
      <c r="C4647" s="9">
        <f t="shared" si="72"/>
        <v>0</v>
      </c>
    </row>
    <row r="4648" spans="1:3" x14ac:dyDescent="0.2">
      <c r="A4648" s="10" t="str">
        <f>IF(4640&gt;$C$9008,"",INDEX($B$9:$B$9008,MATCH(4640,$C$9:$C$9008,0)))</f>
        <v/>
      </c>
      <c r="B4648" s="9" t="str">
        <f>IFERROR(INDEX(Input!$L$20:$T$1019,INT((ROW()-9)/9)+1,MOD(ROW()-9,9)+1),"")</f>
        <v/>
      </c>
      <c r="C4648" s="9">
        <f t="shared" si="72"/>
        <v>0</v>
      </c>
    </row>
    <row r="4649" spans="1:3" x14ac:dyDescent="0.2">
      <c r="A4649" s="10" t="str">
        <f>IF(4641&gt;$C$9008,"",INDEX($B$9:$B$9008,MATCH(4641,$C$9:$C$9008,0)))</f>
        <v/>
      </c>
      <c r="B4649" s="9" t="str">
        <f>IFERROR(INDEX(Input!$L$20:$T$1019,INT((ROW()-9)/9)+1,MOD(ROW()-9,9)+1),"")</f>
        <v/>
      </c>
      <c r="C4649" s="9">
        <f t="shared" si="72"/>
        <v>0</v>
      </c>
    </row>
    <row r="4650" spans="1:3" x14ac:dyDescent="0.2">
      <c r="A4650" s="10" t="str">
        <f>IF(4642&gt;$C$9008,"",INDEX($B$9:$B$9008,MATCH(4642,$C$9:$C$9008,0)))</f>
        <v/>
      </c>
      <c r="B4650" s="9" t="str">
        <f>IFERROR(INDEX(Input!$L$20:$T$1019,INT((ROW()-9)/9)+1,MOD(ROW()-9,9)+1),"")</f>
        <v/>
      </c>
      <c r="C4650" s="9">
        <f t="shared" si="72"/>
        <v>0</v>
      </c>
    </row>
    <row r="4651" spans="1:3" x14ac:dyDescent="0.2">
      <c r="A4651" s="10" t="str">
        <f>IF(4643&gt;$C$9008,"",INDEX($B$9:$B$9008,MATCH(4643,$C$9:$C$9008,0)))</f>
        <v/>
      </c>
      <c r="B4651" s="9" t="str">
        <f>IFERROR(INDEX(Input!$L$20:$T$1019,INT((ROW()-9)/9)+1,MOD(ROW()-9,9)+1),"")</f>
        <v/>
      </c>
      <c r="C4651" s="9">
        <f t="shared" si="72"/>
        <v>0</v>
      </c>
    </row>
    <row r="4652" spans="1:3" x14ac:dyDescent="0.2">
      <c r="A4652" s="10" t="str">
        <f>IF(4644&gt;$C$9008,"",INDEX($B$9:$B$9008,MATCH(4644,$C$9:$C$9008,0)))</f>
        <v/>
      </c>
      <c r="B4652" s="9" t="str">
        <f>IFERROR(INDEX(Input!$L$20:$T$1019,INT((ROW()-9)/9)+1,MOD(ROW()-9,9)+1),"")</f>
        <v/>
      </c>
      <c r="C4652" s="9">
        <f t="shared" si="72"/>
        <v>0</v>
      </c>
    </row>
    <row r="4653" spans="1:3" x14ac:dyDescent="0.2">
      <c r="A4653" s="10" t="str">
        <f>IF(4645&gt;$C$9008,"",INDEX($B$9:$B$9008,MATCH(4645,$C$9:$C$9008,0)))</f>
        <v/>
      </c>
      <c r="B4653" s="9" t="str">
        <f>IFERROR(INDEX(Input!$L$20:$T$1019,INT((ROW()-9)/9)+1,MOD(ROW()-9,9)+1),"")</f>
        <v/>
      </c>
      <c r="C4653" s="9">
        <f t="shared" si="72"/>
        <v>0</v>
      </c>
    </row>
    <row r="4654" spans="1:3" x14ac:dyDescent="0.2">
      <c r="A4654" s="10" t="str">
        <f>IF(4646&gt;$C$9008,"",INDEX($B$9:$B$9008,MATCH(4646,$C$9:$C$9008,0)))</f>
        <v/>
      </c>
      <c r="B4654" s="9" t="str">
        <f>IFERROR(INDEX(Input!$L$20:$T$1019,INT((ROW()-9)/9)+1,MOD(ROW()-9,9)+1),"")</f>
        <v/>
      </c>
      <c r="C4654" s="9">
        <f t="shared" si="72"/>
        <v>0</v>
      </c>
    </row>
    <row r="4655" spans="1:3" x14ac:dyDescent="0.2">
      <c r="A4655" s="10" t="str">
        <f>IF(4647&gt;$C$9008,"",INDEX($B$9:$B$9008,MATCH(4647,$C$9:$C$9008,0)))</f>
        <v/>
      </c>
      <c r="B4655" s="9" t="str">
        <f>IFERROR(INDEX(Input!$L$20:$T$1019,INT((ROW()-9)/9)+1,MOD(ROW()-9,9)+1),"")</f>
        <v/>
      </c>
      <c r="C4655" s="9">
        <f t="shared" si="72"/>
        <v>0</v>
      </c>
    </row>
    <row r="4656" spans="1:3" x14ac:dyDescent="0.2">
      <c r="A4656" s="10" t="str">
        <f>IF(4648&gt;$C$9008,"",INDEX($B$9:$B$9008,MATCH(4648,$C$9:$C$9008,0)))</f>
        <v/>
      </c>
      <c r="B4656" s="9" t="str">
        <f>IFERROR(INDEX(Input!$L$20:$T$1019,INT((ROW()-9)/9)+1,MOD(ROW()-9,9)+1),"")</f>
        <v/>
      </c>
      <c r="C4656" s="9">
        <f t="shared" si="72"/>
        <v>0</v>
      </c>
    </row>
    <row r="4657" spans="1:3" x14ac:dyDescent="0.2">
      <c r="A4657" s="10" t="str">
        <f>IF(4649&gt;$C$9008,"",INDEX($B$9:$B$9008,MATCH(4649,$C$9:$C$9008,0)))</f>
        <v/>
      </c>
      <c r="B4657" s="9" t="str">
        <f>IFERROR(INDEX(Input!$L$20:$T$1019,INT((ROW()-9)/9)+1,MOD(ROW()-9,9)+1),"")</f>
        <v/>
      </c>
      <c r="C4657" s="9">
        <f t="shared" si="72"/>
        <v>0</v>
      </c>
    </row>
    <row r="4658" spans="1:3" x14ac:dyDescent="0.2">
      <c r="A4658" s="10" t="str">
        <f>IF(4650&gt;$C$9008,"",INDEX($B$9:$B$9008,MATCH(4650,$C$9:$C$9008,0)))</f>
        <v/>
      </c>
      <c r="B4658" s="9" t="str">
        <f>IFERROR(INDEX(Input!$L$20:$T$1019,INT((ROW()-9)/9)+1,MOD(ROW()-9,9)+1),"")</f>
        <v/>
      </c>
      <c r="C4658" s="9">
        <f t="shared" si="72"/>
        <v>0</v>
      </c>
    </row>
    <row r="4659" spans="1:3" x14ac:dyDescent="0.2">
      <c r="A4659" s="10" t="str">
        <f>IF(4651&gt;$C$9008,"",INDEX($B$9:$B$9008,MATCH(4651,$C$9:$C$9008,0)))</f>
        <v/>
      </c>
      <c r="B4659" s="9" t="str">
        <f>IFERROR(INDEX(Input!$L$20:$T$1019,INT((ROW()-9)/9)+1,MOD(ROW()-9,9)+1),"")</f>
        <v/>
      </c>
      <c r="C4659" s="9">
        <f t="shared" si="72"/>
        <v>0</v>
      </c>
    </row>
    <row r="4660" spans="1:3" x14ac:dyDescent="0.2">
      <c r="A4660" s="10" t="str">
        <f>IF(4652&gt;$C$9008,"",INDEX($B$9:$B$9008,MATCH(4652,$C$9:$C$9008,0)))</f>
        <v/>
      </c>
      <c r="B4660" s="9" t="str">
        <f>IFERROR(INDEX(Input!$L$20:$T$1019,INT((ROW()-9)/9)+1,MOD(ROW()-9,9)+1),"")</f>
        <v/>
      </c>
      <c r="C4660" s="9">
        <f t="shared" si="72"/>
        <v>0</v>
      </c>
    </row>
    <row r="4661" spans="1:3" x14ac:dyDescent="0.2">
      <c r="A4661" s="10" t="str">
        <f>IF(4653&gt;$C$9008,"",INDEX($B$9:$B$9008,MATCH(4653,$C$9:$C$9008,0)))</f>
        <v/>
      </c>
      <c r="B4661" s="9" t="str">
        <f>IFERROR(INDEX(Input!$L$20:$T$1019,INT((ROW()-9)/9)+1,MOD(ROW()-9,9)+1),"")</f>
        <v/>
      </c>
      <c r="C4661" s="9">
        <f t="shared" si="72"/>
        <v>0</v>
      </c>
    </row>
    <row r="4662" spans="1:3" x14ac:dyDescent="0.2">
      <c r="A4662" s="10" t="str">
        <f>IF(4654&gt;$C$9008,"",INDEX($B$9:$B$9008,MATCH(4654,$C$9:$C$9008,0)))</f>
        <v/>
      </c>
      <c r="B4662" s="9" t="str">
        <f>IFERROR(INDEX(Input!$L$20:$T$1019,INT((ROW()-9)/9)+1,MOD(ROW()-9,9)+1),"")</f>
        <v/>
      </c>
      <c r="C4662" s="9">
        <f t="shared" si="72"/>
        <v>0</v>
      </c>
    </row>
    <row r="4663" spans="1:3" x14ac:dyDescent="0.2">
      <c r="A4663" s="10" t="str">
        <f>IF(4655&gt;$C$9008,"",INDEX($B$9:$B$9008,MATCH(4655,$C$9:$C$9008,0)))</f>
        <v/>
      </c>
      <c r="B4663" s="9" t="str">
        <f>IFERROR(INDEX(Input!$L$20:$T$1019,INT((ROW()-9)/9)+1,MOD(ROW()-9,9)+1),"")</f>
        <v/>
      </c>
      <c r="C4663" s="9">
        <f t="shared" si="72"/>
        <v>0</v>
      </c>
    </row>
    <row r="4664" spans="1:3" x14ac:dyDescent="0.2">
      <c r="A4664" s="10" t="str">
        <f>IF(4656&gt;$C$9008,"",INDEX($B$9:$B$9008,MATCH(4656,$C$9:$C$9008,0)))</f>
        <v/>
      </c>
      <c r="B4664" s="9" t="str">
        <f>IFERROR(INDEX(Input!$L$20:$T$1019,INT((ROW()-9)/9)+1,MOD(ROW()-9,9)+1),"")</f>
        <v/>
      </c>
      <c r="C4664" s="9">
        <f t="shared" si="72"/>
        <v>0</v>
      </c>
    </row>
    <row r="4665" spans="1:3" x14ac:dyDescent="0.2">
      <c r="A4665" s="10" t="str">
        <f>IF(4657&gt;$C$9008,"",INDEX($B$9:$B$9008,MATCH(4657,$C$9:$C$9008,0)))</f>
        <v/>
      </c>
      <c r="B4665" s="9" t="str">
        <f>IFERROR(INDEX(Input!$L$20:$T$1019,INT((ROW()-9)/9)+1,MOD(ROW()-9,9)+1),"")</f>
        <v/>
      </c>
      <c r="C4665" s="9">
        <f t="shared" si="72"/>
        <v>0</v>
      </c>
    </row>
    <row r="4666" spans="1:3" x14ac:dyDescent="0.2">
      <c r="A4666" s="10" t="str">
        <f>IF(4658&gt;$C$9008,"",INDEX($B$9:$B$9008,MATCH(4658,$C$9:$C$9008,0)))</f>
        <v/>
      </c>
      <c r="B4666" s="9" t="str">
        <f>IFERROR(INDEX(Input!$L$20:$T$1019,INT((ROW()-9)/9)+1,MOD(ROW()-9,9)+1),"")</f>
        <v/>
      </c>
      <c r="C4666" s="9">
        <f t="shared" si="72"/>
        <v>0</v>
      </c>
    </row>
    <row r="4667" spans="1:3" x14ac:dyDescent="0.2">
      <c r="A4667" s="10" t="str">
        <f>IF(4659&gt;$C$9008,"",INDEX($B$9:$B$9008,MATCH(4659,$C$9:$C$9008,0)))</f>
        <v/>
      </c>
      <c r="B4667" s="9" t="str">
        <f>IFERROR(INDEX(Input!$L$20:$T$1019,INT((ROW()-9)/9)+1,MOD(ROW()-9,9)+1),"")</f>
        <v/>
      </c>
      <c r="C4667" s="9">
        <f t="shared" si="72"/>
        <v>0</v>
      </c>
    </row>
    <row r="4668" spans="1:3" x14ac:dyDescent="0.2">
      <c r="A4668" s="10" t="str">
        <f>IF(4660&gt;$C$9008,"",INDEX($B$9:$B$9008,MATCH(4660,$C$9:$C$9008,0)))</f>
        <v/>
      </c>
      <c r="B4668" s="9" t="str">
        <f>IFERROR(INDEX(Input!$L$20:$T$1019,INT((ROW()-9)/9)+1,MOD(ROW()-9,9)+1),"")</f>
        <v/>
      </c>
      <c r="C4668" s="9">
        <f t="shared" si="72"/>
        <v>0</v>
      </c>
    </row>
    <row r="4669" spans="1:3" x14ac:dyDescent="0.2">
      <c r="A4669" s="10" t="str">
        <f>IF(4661&gt;$C$9008,"",INDEX($B$9:$B$9008,MATCH(4661,$C$9:$C$9008,0)))</f>
        <v/>
      </c>
      <c r="B4669" s="9" t="str">
        <f>IFERROR(INDEX(Input!$L$20:$T$1019,INT((ROW()-9)/9)+1,MOD(ROW()-9,9)+1),"")</f>
        <v/>
      </c>
      <c r="C4669" s="9">
        <f t="shared" si="72"/>
        <v>0</v>
      </c>
    </row>
    <row r="4670" spans="1:3" x14ac:dyDescent="0.2">
      <c r="A4670" s="10" t="str">
        <f>IF(4662&gt;$C$9008,"",INDEX($B$9:$B$9008,MATCH(4662,$C$9:$C$9008,0)))</f>
        <v/>
      </c>
      <c r="B4670" s="9" t="str">
        <f>IFERROR(INDEX(Input!$L$20:$T$1019,INT((ROW()-9)/9)+1,MOD(ROW()-9,9)+1),"")</f>
        <v/>
      </c>
      <c r="C4670" s="9">
        <f t="shared" si="72"/>
        <v>0</v>
      </c>
    </row>
    <row r="4671" spans="1:3" x14ac:dyDescent="0.2">
      <c r="A4671" s="10" t="str">
        <f>IF(4663&gt;$C$9008,"",INDEX($B$9:$B$9008,MATCH(4663,$C$9:$C$9008,0)))</f>
        <v/>
      </c>
      <c r="B4671" s="9" t="str">
        <f>IFERROR(INDEX(Input!$L$20:$T$1019,INT((ROW()-9)/9)+1,MOD(ROW()-9,9)+1),"")</f>
        <v/>
      </c>
      <c r="C4671" s="9">
        <f t="shared" si="72"/>
        <v>0</v>
      </c>
    </row>
    <row r="4672" spans="1:3" x14ac:dyDescent="0.2">
      <c r="A4672" s="10" t="str">
        <f>IF(4664&gt;$C$9008,"",INDEX($B$9:$B$9008,MATCH(4664,$C$9:$C$9008,0)))</f>
        <v/>
      </c>
      <c r="B4672" s="9" t="str">
        <f>IFERROR(INDEX(Input!$L$20:$T$1019,INT((ROW()-9)/9)+1,MOD(ROW()-9,9)+1),"")</f>
        <v/>
      </c>
      <c r="C4672" s="9">
        <f t="shared" si="72"/>
        <v>0</v>
      </c>
    </row>
    <row r="4673" spans="1:3" x14ac:dyDescent="0.2">
      <c r="A4673" s="10" t="str">
        <f>IF(4665&gt;$C$9008,"",INDEX($B$9:$B$9008,MATCH(4665,$C$9:$C$9008,0)))</f>
        <v/>
      </c>
      <c r="B4673" s="9" t="str">
        <f>IFERROR(INDEX(Input!$L$20:$T$1019,INT((ROW()-9)/9)+1,MOD(ROW()-9,9)+1),"")</f>
        <v/>
      </c>
      <c r="C4673" s="9">
        <f t="shared" si="72"/>
        <v>0</v>
      </c>
    </row>
    <row r="4674" spans="1:3" x14ac:dyDescent="0.2">
      <c r="A4674" s="10" t="str">
        <f>IF(4666&gt;$C$9008,"",INDEX($B$9:$B$9008,MATCH(4666,$C$9:$C$9008,0)))</f>
        <v/>
      </c>
      <c r="B4674" s="9" t="str">
        <f>IFERROR(INDEX(Input!$L$20:$T$1019,INT((ROW()-9)/9)+1,MOD(ROW()-9,9)+1),"")</f>
        <v/>
      </c>
      <c r="C4674" s="9">
        <f t="shared" si="72"/>
        <v>0</v>
      </c>
    </row>
    <row r="4675" spans="1:3" x14ac:dyDescent="0.2">
      <c r="A4675" s="10" t="str">
        <f>IF(4667&gt;$C$9008,"",INDEX($B$9:$B$9008,MATCH(4667,$C$9:$C$9008,0)))</f>
        <v/>
      </c>
      <c r="B4675" s="9" t="str">
        <f>IFERROR(INDEX(Input!$L$20:$T$1019,INT((ROW()-9)/9)+1,MOD(ROW()-9,9)+1),"")</f>
        <v/>
      </c>
      <c r="C4675" s="9">
        <f t="shared" si="72"/>
        <v>0</v>
      </c>
    </row>
    <row r="4676" spans="1:3" x14ac:dyDescent="0.2">
      <c r="A4676" s="10" t="str">
        <f>IF(4668&gt;$C$9008,"",INDEX($B$9:$B$9008,MATCH(4668,$C$9:$C$9008,0)))</f>
        <v/>
      </c>
      <c r="B4676" s="9" t="str">
        <f>IFERROR(INDEX(Input!$L$20:$T$1019,INT((ROW()-9)/9)+1,MOD(ROW()-9,9)+1),"")</f>
        <v/>
      </c>
      <c r="C4676" s="9">
        <f t="shared" si="72"/>
        <v>0</v>
      </c>
    </row>
    <row r="4677" spans="1:3" x14ac:dyDescent="0.2">
      <c r="A4677" s="10" t="str">
        <f>IF(4669&gt;$C$9008,"",INDEX($B$9:$B$9008,MATCH(4669,$C$9:$C$9008,0)))</f>
        <v/>
      </c>
      <c r="B4677" s="9" t="str">
        <f>IFERROR(INDEX(Input!$L$20:$T$1019,INT((ROW()-9)/9)+1,MOD(ROW()-9,9)+1),"")</f>
        <v/>
      </c>
      <c r="C4677" s="9">
        <f t="shared" si="72"/>
        <v>0</v>
      </c>
    </row>
    <row r="4678" spans="1:3" x14ac:dyDescent="0.2">
      <c r="A4678" s="10" t="str">
        <f>IF(4670&gt;$C$9008,"",INDEX($B$9:$B$9008,MATCH(4670,$C$9:$C$9008,0)))</f>
        <v/>
      </c>
      <c r="B4678" s="9" t="str">
        <f>IFERROR(INDEX(Input!$L$20:$T$1019,INT((ROW()-9)/9)+1,MOD(ROW()-9,9)+1),"")</f>
        <v/>
      </c>
      <c r="C4678" s="9">
        <f t="shared" si="72"/>
        <v>0</v>
      </c>
    </row>
    <row r="4679" spans="1:3" x14ac:dyDescent="0.2">
      <c r="A4679" s="10" t="str">
        <f>IF(4671&gt;$C$9008,"",INDEX($B$9:$B$9008,MATCH(4671,$C$9:$C$9008,0)))</f>
        <v/>
      </c>
      <c r="B4679" s="9" t="str">
        <f>IFERROR(INDEX(Input!$L$20:$T$1019,INT((ROW()-9)/9)+1,MOD(ROW()-9,9)+1),"")</f>
        <v/>
      </c>
      <c r="C4679" s="9">
        <f t="shared" si="72"/>
        <v>0</v>
      </c>
    </row>
    <row r="4680" spans="1:3" x14ac:dyDescent="0.2">
      <c r="A4680" s="10" t="str">
        <f>IF(4672&gt;$C$9008,"",INDEX($B$9:$B$9008,MATCH(4672,$C$9:$C$9008,0)))</f>
        <v/>
      </c>
      <c r="B4680" s="9" t="str">
        <f>IFERROR(INDEX(Input!$L$20:$T$1019,INT((ROW()-9)/9)+1,MOD(ROW()-9,9)+1),"")</f>
        <v/>
      </c>
      <c r="C4680" s="9">
        <f t="shared" si="72"/>
        <v>0</v>
      </c>
    </row>
    <row r="4681" spans="1:3" x14ac:dyDescent="0.2">
      <c r="A4681" s="10" t="str">
        <f>IF(4673&gt;$C$9008,"",INDEX($B$9:$B$9008,MATCH(4673,$C$9:$C$9008,0)))</f>
        <v/>
      </c>
      <c r="B4681" s="9" t="str">
        <f>IFERROR(INDEX(Input!$L$20:$T$1019,INT((ROW()-9)/9)+1,MOD(ROW()-9,9)+1),"")</f>
        <v/>
      </c>
      <c r="C4681" s="9">
        <f t="shared" ref="C4681:C4744" si="73">$C4680+IF($B4681&lt;&gt;"",1,0)</f>
        <v>0</v>
      </c>
    </row>
    <row r="4682" spans="1:3" x14ac:dyDescent="0.2">
      <c r="A4682" s="10" t="str">
        <f>IF(4674&gt;$C$9008,"",INDEX($B$9:$B$9008,MATCH(4674,$C$9:$C$9008,0)))</f>
        <v/>
      </c>
      <c r="B4682" s="9" t="str">
        <f>IFERROR(INDEX(Input!$L$20:$T$1019,INT((ROW()-9)/9)+1,MOD(ROW()-9,9)+1),"")</f>
        <v/>
      </c>
      <c r="C4682" s="9">
        <f t="shared" si="73"/>
        <v>0</v>
      </c>
    </row>
    <row r="4683" spans="1:3" x14ac:dyDescent="0.2">
      <c r="A4683" s="10" t="str">
        <f>IF(4675&gt;$C$9008,"",INDEX($B$9:$B$9008,MATCH(4675,$C$9:$C$9008,0)))</f>
        <v/>
      </c>
      <c r="B4683" s="9" t="str">
        <f>IFERROR(INDEX(Input!$L$20:$T$1019,INT((ROW()-9)/9)+1,MOD(ROW()-9,9)+1),"")</f>
        <v/>
      </c>
      <c r="C4683" s="9">
        <f t="shared" si="73"/>
        <v>0</v>
      </c>
    </row>
    <row r="4684" spans="1:3" x14ac:dyDescent="0.2">
      <c r="A4684" s="10" t="str">
        <f>IF(4676&gt;$C$9008,"",INDEX($B$9:$B$9008,MATCH(4676,$C$9:$C$9008,0)))</f>
        <v/>
      </c>
      <c r="B4684" s="9" t="str">
        <f>IFERROR(INDEX(Input!$L$20:$T$1019,INT((ROW()-9)/9)+1,MOD(ROW()-9,9)+1),"")</f>
        <v/>
      </c>
      <c r="C4684" s="9">
        <f t="shared" si="73"/>
        <v>0</v>
      </c>
    </row>
    <row r="4685" spans="1:3" x14ac:dyDescent="0.2">
      <c r="A4685" s="10" t="str">
        <f>IF(4677&gt;$C$9008,"",INDEX($B$9:$B$9008,MATCH(4677,$C$9:$C$9008,0)))</f>
        <v/>
      </c>
      <c r="B4685" s="9" t="str">
        <f>IFERROR(INDEX(Input!$L$20:$T$1019,INT((ROW()-9)/9)+1,MOD(ROW()-9,9)+1),"")</f>
        <v/>
      </c>
      <c r="C4685" s="9">
        <f t="shared" si="73"/>
        <v>0</v>
      </c>
    </row>
    <row r="4686" spans="1:3" x14ac:dyDescent="0.2">
      <c r="A4686" s="10" t="str">
        <f>IF(4678&gt;$C$9008,"",INDEX($B$9:$B$9008,MATCH(4678,$C$9:$C$9008,0)))</f>
        <v/>
      </c>
      <c r="B4686" s="9" t="str">
        <f>IFERROR(INDEX(Input!$L$20:$T$1019,INT((ROW()-9)/9)+1,MOD(ROW()-9,9)+1),"")</f>
        <v/>
      </c>
      <c r="C4686" s="9">
        <f t="shared" si="73"/>
        <v>0</v>
      </c>
    </row>
    <row r="4687" spans="1:3" x14ac:dyDescent="0.2">
      <c r="A4687" s="10" t="str">
        <f>IF(4679&gt;$C$9008,"",INDEX($B$9:$B$9008,MATCH(4679,$C$9:$C$9008,0)))</f>
        <v/>
      </c>
      <c r="B4687" s="9" t="str">
        <f>IFERROR(INDEX(Input!$L$20:$T$1019,INT((ROW()-9)/9)+1,MOD(ROW()-9,9)+1),"")</f>
        <v/>
      </c>
      <c r="C4687" s="9">
        <f t="shared" si="73"/>
        <v>0</v>
      </c>
    </row>
    <row r="4688" spans="1:3" x14ac:dyDescent="0.2">
      <c r="A4688" s="10" t="str">
        <f>IF(4680&gt;$C$9008,"",INDEX($B$9:$B$9008,MATCH(4680,$C$9:$C$9008,0)))</f>
        <v/>
      </c>
      <c r="B4688" s="9" t="str">
        <f>IFERROR(INDEX(Input!$L$20:$T$1019,INT((ROW()-9)/9)+1,MOD(ROW()-9,9)+1),"")</f>
        <v/>
      </c>
      <c r="C4688" s="9">
        <f t="shared" si="73"/>
        <v>0</v>
      </c>
    </row>
    <row r="4689" spans="1:3" x14ac:dyDescent="0.2">
      <c r="A4689" s="10" t="str">
        <f>IF(4681&gt;$C$9008,"",INDEX($B$9:$B$9008,MATCH(4681,$C$9:$C$9008,0)))</f>
        <v/>
      </c>
      <c r="B4689" s="9" t="str">
        <f>IFERROR(INDEX(Input!$L$20:$T$1019,INT((ROW()-9)/9)+1,MOD(ROW()-9,9)+1),"")</f>
        <v/>
      </c>
      <c r="C4689" s="9">
        <f t="shared" si="73"/>
        <v>0</v>
      </c>
    </row>
    <row r="4690" spans="1:3" x14ac:dyDescent="0.2">
      <c r="A4690" s="10" t="str">
        <f>IF(4682&gt;$C$9008,"",INDEX($B$9:$B$9008,MATCH(4682,$C$9:$C$9008,0)))</f>
        <v/>
      </c>
      <c r="B4690" s="9" t="str">
        <f>IFERROR(INDEX(Input!$L$20:$T$1019,INT((ROW()-9)/9)+1,MOD(ROW()-9,9)+1),"")</f>
        <v/>
      </c>
      <c r="C4690" s="9">
        <f t="shared" si="73"/>
        <v>0</v>
      </c>
    </row>
    <row r="4691" spans="1:3" x14ac:dyDescent="0.2">
      <c r="A4691" s="10" t="str">
        <f>IF(4683&gt;$C$9008,"",INDEX($B$9:$B$9008,MATCH(4683,$C$9:$C$9008,0)))</f>
        <v/>
      </c>
      <c r="B4691" s="9" t="str">
        <f>IFERROR(INDEX(Input!$L$20:$T$1019,INT((ROW()-9)/9)+1,MOD(ROW()-9,9)+1),"")</f>
        <v/>
      </c>
      <c r="C4691" s="9">
        <f t="shared" si="73"/>
        <v>0</v>
      </c>
    </row>
    <row r="4692" spans="1:3" x14ac:dyDescent="0.2">
      <c r="A4692" s="10" t="str">
        <f>IF(4684&gt;$C$9008,"",INDEX($B$9:$B$9008,MATCH(4684,$C$9:$C$9008,0)))</f>
        <v/>
      </c>
      <c r="B4692" s="9" t="str">
        <f>IFERROR(INDEX(Input!$L$20:$T$1019,INT((ROW()-9)/9)+1,MOD(ROW()-9,9)+1),"")</f>
        <v/>
      </c>
      <c r="C4692" s="9">
        <f t="shared" si="73"/>
        <v>0</v>
      </c>
    </row>
    <row r="4693" spans="1:3" x14ac:dyDescent="0.2">
      <c r="A4693" s="10" t="str">
        <f>IF(4685&gt;$C$9008,"",INDEX($B$9:$B$9008,MATCH(4685,$C$9:$C$9008,0)))</f>
        <v/>
      </c>
      <c r="B4693" s="9" t="str">
        <f>IFERROR(INDEX(Input!$L$20:$T$1019,INT((ROW()-9)/9)+1,MOD(ROW()-9,9)+1),"")</f>
        <v/>
      </c>
      <c r="C4693" s="9">
        <f t="shared" si="73"/>
        <v>0</v>
      </c>
    </row>
    <row r="4694" spans="1:3" x14ac:dyDescent="0.2">
      <c r="A4694" s="10" t="str">
        <f>IF(4686&gt;$C$9008,"",INDEX($B$9:$B$9008,MATCH(4686,$C$9:$C$9008,0)))</f>
        <v/>
      </c>
      <c r="B4694" s="9" t="str">
        <f>IFERROR(INDEX(Input!$L$20:$T$1019,INT((ROW()-9)/9)+1,MOD(ROW()-9,9)+1),"")</f>
        <v/>
      </c>
      <c r="C4694" s="9">
        <f t="shared" si="73"/>
        <v>0</v>
      </c>
    </row>
    <row r="4695" spans="1:3" x14ac:dyDescent="0.2">
      <c r="A4695" s="10" t="str">
        <f>IF(4687&gt;$C$9008,"",INDEX($B$9:$B$9008,MATCH(4687,$C$9:$C$9008,0)))</f>
        <v/>
      </c>
      <c r="B4695" s="9" t="str">
        <f>IFERROR(INDEX(Input!$L$20:$T$1019,INT((ROW()-9)/9)+1,MOD(ROW()-9,9)+1),"")</f>
        <v/>
      </c>
      <c r="C4695" s="9">
        <f t="shared" si="73"/>
        <v>0</v>
      </c>
    </row>
    <row r="4696" spans="1:3" x14ac:dyDescent="0.2">
      <c r="A4696" s="10" t="str">
        <f>IF(4688&gt;$C$9008,"",INDEX($B$9:$B$9008,MATCH(4688,$C$9:$C$9008,0)))</f>
        <v/>
      </c>
      <c r="B4696" s="9" t="str">
        <f>IFERROR(INDEX(Input!$L$20:$T$1019,INT((ROW()-9)/9)+1,MOD(ROW()-9,9)+1),"")</f>
        <v/>
      </c>
      <c r="C4696" s="9">
        <f t="shared" si="73"/>
        <v>0</v>
      </c>
    </row>
    <row r="4697" spans="1:3" x14ac:dyDescent="0.2">
      <c r="A4697" s="10" t="str">
        <f>IF(4689&gt;$C$9008,"",INDEX($B$9:$B$9008,MATCH(4689,$C$9:$C$9008,0)))</f>
        <v/>
      </c>
      <c r="B4697" s="9" t="str">
        <f>IFERROR(INDEX(Input!$L$20:$T$1019,INT((ROW()-9)/9)+1,MOD(ROW()-9,9)+1),"")</f>
        <v/>
      </c>
      <c r="C4697" s="9">
        <f t="shared" si="73"/>
        <v>0</v>
      </c>
    </row>
    <row r="4698" spans="1:3" x14ac:dyDescent="0.2">
      <c r="A4698" s="10" t="str">
        <f>IF(4690&gt;$C$9008,"",INDEX($B$9:$B$9008,MATCH(4690,$C$9:$C$9008,0)))</f>
        <v/>
      </c>
      <c r="B4698" s="9" t="str">
        <f>IFERROR(INDEX(Input!$L$20:$T$1019,INT((ROW()-9)/9)+1,MOD(ROW()-9,9)+1),"")</f>
        <v/>
      </c>
      <c r="C4698" s="9">
        <f t="shared" si="73"/>
        <v>0</v>
      </c>
    </row>
    <row r="4699" spans="1:3" x14ac:dyDescent="0.2">
      <c r="A4699" s="10" t="str">
        <f>IF(4691&gt;$C$9008,"",INDEX($B$9:$B$9008,MATCH(4691,$C$9:$C$9008,0)))</f>
        <v/>
      </c>
      <c r="B4699" s="9" t="str">
        <f>IFERROR(INDEX(Input!$L$20:$T$1019,INT((ROW()-9)/9)+1,MOD(ROW()-9,9)+1),"")</f>
        <v/>
      </c>
      <c r="C4699" s="9">
        <f t="shared" si="73"/>
        <v>0</v>
      </c>
    </row>
    <row r="4700" spans="1:3" x14ac:dyDescent="0.2">
      <c r="A4700" s="10" t="str">
        <f>IF(4692&gt;$C$9008,"",INDEX($B$9:$B$9008,MATCH(4692,$C$9:$C$9008,0)))</f>
        <v/>
      </c>
      <c r="B4700" s="9" t="str">
        <f>IFERROR(INDEX(Input!$L$20:$T$1019,INT((ROW()-9)/9)+1,MOD(ROW()-9,9)+1),"")</f>
        <v/>
      </c>
      <c r="C4700" s="9">
        <f t="shared" si="73"/>
        <v>0</v>
      </c>
    </row>
    <row r="4701" spans="1:3" x14ac:dyDescent="0.2">
      <c r="A4701" s="10" t="str">
        <f>IF(4693&gt;$C$9008,"",INDEX($B$9:$B$9008,MATCH(4693,$C$9:$C$9008,0)))</f>
        <v/>
      </c>
      <c r="B4701" s="9" t="str">
        <f>IFERROR(INDEX(Input!$L$20:$T$1019,INT((ROW()-9)/9)+1,MOD(ROW()-9,9)+1),"")</f>
        <v/>
      </c>
      <c r="C4701" s="9">
        <f t="shared" si="73"/>
        <v>0</v>
      </c>
    </row>
    <row r="4702" spans="1:3" x14ac:dyDescent="0.2">
      <c r="A4702" s="10" t="str">
        <f>IF(4694&gt;$C$9008,"",INDEX($B$9:$B$9008,MATCH(4694,$C$9:$C$9008,0)))</f>
        <v/>
      </c>
      <c r="B4702" s="9" t="str">
        <f>IFERROR(INDEX(Input!$L$20:$T$1019,INT((ROW()-9)/9)+1,MOD(ROW()-9,9)+1),"")</f>
        <v/>
      </c>
      <c r="C4702" s="9">
        <f t="shared" si="73"/>
        <v>0</v>
      </c>
    </row>
    <row r="4703" spans="1:3" x14ac:dyDescent="0.2">
      <c r="A4703" s="10" t="str">
        <f>IF(4695&gt;$C$9008,"",INDEX($B$9:$B$9008,MATCH(4695,$C$9:$C$9008,0)))</f>
        <v/>
      </c>
      <c r="B4703" s="9" t="str">
        <f>IFERROR(INDEX(Input!$L$20:$T$1019,INT((ROW()-9)/9)+1,MOD(ROW()-9,9)+1),"")</f>
        <v/>
      </c>
      <c r="C4703" s="9">
        <f t="shared" si="73"/>
        <v>0</v>
      </c>
    </row>
    <row r="4704" spans="1:3" x14ac:dyDescent="0.2">
      <c r="A4704" s="10" t="str">
        <f>IF(4696&gt;$C$9008,"",INDEX($B$9:$B$9008,MATCH(4696,$C$9:$C$9008,0)))</f>
        <v/>
      </c>
      <c r="B4704" s="9" t="str">
        <f>IFERROR(INDEX(Input!$L$20:$T$1019,INT((ROW()-9)/9)+1,MOD(ROW()-9,9)+1),"")</f>
        <v/>
      </c>
      <c r="C4704" s="9">
        <f t="shared" si="73"/>
        <v>0</v>
      </c>
    </row>
    <row r="4705" spans="1:3" x14ac:dyDescent="0.2">
      <c r="A4705" s="10" t="str">
        <f>IF(4697&gt;$C$9008,"",INDEX($B$9:$B$9008,MATCH(4697,$C$9:$C$9008,0)))</f>
        <v/>
      </c>
      <c r="B4705" s="9" t="str">
        <f>IFERROR(INDEX(Input!$L$20:$T$1019,INT((ROW()-9)/9)+1,MOD(ROW()-9,9)+1),"")</f>
        <v/>
      </c>
      <c r="C4705" s="9">
        <f t="shared" si="73"/>
        <v>0</v>
      </c>
    </row>
    <row r="4706" spans="1:3" x14ac:dyDescent="0.2">
      <c r="A4706" s="10" t="str">
        <f>IF(4698&gt;$C$9008,"",INDEX($B$9:$B$9008,MATCH(4698,$C$9:$C$9008,0)))</f>
        <v/>
      </c>
      <c r="B4706" s="9" t="str">
        <f>IFERROR(INDEX(Input!$L$20:$T$1019,INT((ROW()-9)/9)+1,MOD(ROW()-9,9)+1),"")</f>
        <v/>
      </c>
      <c r="C4706" s="9">
        <f t="shared" si="73"/>
        <v>0</v>
      </c>
    </row>
    <row r="4707" spans="1:3" x14ac:dyDescent="0.2">
      <c r="A4707" s="10" t="str">
        <f>IF(4699&gt;$C$9008,"",INDEX($B$9:$B$9008,MATCH(4699,$C$9:$C$9008,0)))</f>
        <v/>
      </c>
      <c r="B4707" s="9" t="str">
        <f>IFERROR(INDEX(Input!$L$20:$T$1019,INT((ROW()-9)/9)+1,MOD(ROW()-9,9)+1),"")</f>
        <v/>
      </c>
      <c r="C4707" s="9">
        <f t="shared" si="73"/>
        <v>0</v>
      </c>
    </row>
    <row r="4708" spans="1:3" x14ac:dyDescent="0.2">
      <c r="A4708" s="10" t="str">
        <f>IF(4700&gt;$C$9008,"",INDEX($B$9:$B$9008,MATCH(4700,$C$9:$C$9008,0)))</f>
        <v/>
      </c>
      <c r="B4708" s="9" t="str">
        <f>IFERROR(INDEX(Input!$L$20:$T$1019,INT((ROW()-9)/9)+1,MOD(ROW()-9,9)+1),"")</f>
        <v/>
      </c>
      <c r="C4708" s="9">
        <f t="shared" si="73"/>
        <v>0</v>
      </c>
    </row>
    <row r="4709" spans="1:3" x14ac:dyDescent="0.2">
      <c r="A4709" s="10" t="str">
        <f>IF(4701&gt;$C$9008,"",INDEX($B$9:$B$9008,MATCH(4701,$C$9:$C$9008,0)))</f>
        <v/>
      </c>
      <c r="B4709" s="9" t="str">
        <f>IFERROR(INDEX(Input!$L$20:$T$1019,INT((ROW()-9)/9)+1,MOD(ROW()-9,9)+1),"")</f>
        <v/>
      </c>
      <c r="C4709" s="9">
        <f t="shared" si="73"/>
        <v>0</v>
      </c>
    </row>
    <row r="4710" spans="1:3" x14ac:dyDescent="0.2">
      <c r="A4710" s="10" t="str">
        <f>IF(4702&gt;$C$9008,"",INDEX($B$9:$B$9008,MATCH(4702,$C$9:$C$9008,0)))</f>
        <v/>
      </c>
      <c r="B4710" s="9" t="str">
        <f>IFERROR(INDEX(Input!$L$20:$T$1019,INT((ROW()-9)/9)+1,MOD(ROW()-9,9)+1),"")</f>
        <v/>
      </c>
      <c r="C4710" s="9">
        <f t="shared" si="73"/>
        <v>0</v>
      </c>
    </row>
    <row r="4711" spans="1:3" x14ac:dyDescent="0.2">
      <c r="A4711" s="10" t="str">
        <f>IF(4703&gt;$C$9008,"",INDEX($B$9:$B$9008,MATCH(4703,$C$9:$C$9008,0)))</f>
        <v/>
      </c>
      <c r="B4711" s="9" t="str">
        <f>IFERROR(INDEX(Input!$L$20:$T$1019,INT((ROW()-9)/9)+1,MOD(ROW()-9,9)+1),"")</f>
        <v/>
      </c>
      <c r="C4711" s="9">
        <f t="shared" si="73"/>
        <v>0</v>
      </c>
    </row>
    <row r="4712" spans="1:3" x14ac:dyDescent="0.2">
      <c r="A4712" s="10" t="str">
        <f>IF(4704&gt;$C$9008,"",INDEX($B$9:$B$9008,MATCH(4704,$C$9:$C$9008,0)))</f>
        <v/>
      </c>
      <c r="B4712" s="9" t="str">
        <f>IFERROR(INDEX(Input!$L$20:$T$1019,INT((ROW()-9)/9)+1,MOD(ROW()-9,9)+1),"")</f>
        <v/>
      </c>
      <c r="C4712" s="9">
        <f t="shared" si="73"/>
        <v>0</v>
      </c>
    </row>
    <row r="4713" spans="1:3" x14ac:dyDescent="0.2">
      <c r="A4713" s="10" t="str">
        <f>IF(4705&gt;$C$9008,"",INDEX($B$9:$B$9008,MATCH(4705,$C$9:$C$9008,0)))</f>
        <v/>
      </c>
      <c r="B4713" s="9" t="str">
        <f>IFERROR(INDEX(Input!$L$20:$T$1019,INT((ROW()-9)/9)+1,MOD(ROW()-9,9)+1),"")</f>
        <v/>
      </c>
      <c r="C4713" s="9">
        <f t="shared" si="73"/>
        <v>0</v>
      </c>
    </row>
    <row r="4714" spans="1:3" x14ac:dyDescent="0.2">
      <c r="A4714" s="10" t="str">
        <f>IF(4706&gt;$C$9008,"",INDEX($B$9:$B$9008,MATCH(4706,$C$9:$C$9008,0)))</f>
        <v/>
      </c>
      <c r="B4714" s="9" t="str">
        <f>IFERROR(INDEX(Input!$L$20:$T$1019,INT((ROW()-9)/9)+1,MOD(ROW()-9,9)+1),"")</f>
        <v/>
      </c>
      <c r="C4714" s="9">
        <f t="shared" si="73"/>
        <v>0</v>
      </c>
    </row>
    <row r="4715" spans="1:3" x14ac:dyDescent="0.2">
      <c r="A4715" s="10" t="str">
        <f>IF(4707&gt;$C$9008,"",INDEX($B$9:$B$9008,MATCH(4707,$C$9:$C$9008,0)))</f>
        <v/>
      </c>
      <c r="B4715" s="9" t="str">
        <f>IFERROR(INDEX(Input!$L$20:$T$1019,INT((ROW()-9)/9)+1,MOD(ROW()-9,9)+1),"")</f>
        <v/>
      </c>
      <c r="C4715" s="9">
        <f t="shared" si="73"/>
        <v>0</v>
      </c>
    </row>
    <row r="4716" spans="1:3" x14ac:dyDescent="0.2">
      <c r="A4716" s="10" t="str">
        <f>IF(4708&gt;$C$9008,"",INDEX($B$9:$B$9008,MATCH(4708,$C$9:$C$9008,0)))</f>
        <v/>
      </c>
      <c r="B4716" s="9" t="str">
        <f>IFERROR(INDEX(Input!$L$20:$T$1019,INT((ROW()-9)/9)+1,MOD(ROW()-9,9)+1),"")</f>
        <v/>
      </c>
      <c r="C4716" s="9">
        <f t="shared" si="73"/>
        <v>0</v>
      </c>
    </row>
    <row r="4717" spans="1:3" x14ac:dyDescent="0.2">
      <c r="A4717" s="10" t="str">
        <f>IF(4709&gt;$C$9008,"",INDEX($B$9:$B$9008,MATCH(4709,$C$9:$C$9008,0)))</f>
        <v/>
      </c>
      <c r="B4717" s="9" t="str">
        <f>IFERROR(INDEX(Input!$L$20:$T$1019,INT((ROW()-9)/9)+1,MOD(ROW()-9,9)+1),"")</f>
        <v/>
      </c>
      <c r="C4717" s="9">
        <f t="shared" si="73"/>
        <v>0</v>
      </c>
    </row>
    <row r="4718" spans="1:3" x14ac:dyDescent="0.2">
      <c r="A4718" s="10" t="str">
        <f>IF(4710&gt;$C$9008,"",INDEX($B$9:$B$9008,MATCH(4710,$C$9:$C$9008,0)))</f>
        <v/>
      </c>
      <c r="B4718" s="9" t="str">
        <f>IFERROR(INDEX(Input!$L$20:$T$1019,INT((ROW()-9)/9)+1,MOD(ROW()-9,9)+1),"")</f>
        <v/>
      </c>
      <c r="C4718" s="9">
        <f t="shared" si="73"/>
        <v>0</v>
      </c>
    </row>
    <row r="4719" spans="1:3" x14ac:dyDescent="0.2">
      <c r="A4719" s="10" t="str">
        <f>IF(4711&gt;$C$9008,"",INDEX($B$9:$B$9008,MATCH(4711,$C$9:$C$9008,0)))</f>
        <v/>
      </c>
      <c r="B4719" s="9" t="str">
        <f>IFERROR(INDEX(Input!$L$20:$T$1019,INT((ROW()-9)/9)+1,MOD(ROW()-9,9)+1),"")</f>
        <v/>
      </c>
      <c r="C4719" s="9">
        <f t="shared" si="73"/>
        <v>0</v>
      </c>
    </row>
    <row r="4720" spans="1:3" x14ac:dyDescent="0.2">
      <c r="A4720" s="10" t="str">
        <f>IF(4712&gt;$C$9008,"",INDEX($B$9:$B$9008,MATCH(4712,$C$9:$C$9008,0)))</f>
        <v/>
      </c>
      <c r="B4720" s="9" t="str">
        <f>IFERROR(INDEX(Input!$L$20:$T$1019,INT((ROW()-9)/9)+1,MOD(ROW()-9,9)+1),"")</f>
        <v/>
      </c>
      <c r="C4720" s="9">
        <f t="shared" si="73"/>
        <v>0</v>
      </c>
    </row>
    <row r="4721" spans="1:3" x14ac:dyDescent="0.2">
      <c r="A4721" s="10" t="str">
        <f>IF(4713&gt;$C$9008,"",INDEX($B$9:$B$9008,MATCH(4713,$C$9:$C$9008,0)))</f>
        <v/>
      </c>
      <c r="B4721" s="9" t="str">
        <f>IFERROR(INDEX(Input!$L$20:$T$1019,INT((ROW()-9)/9)+1,MOD(ROW()-9,9)+1),"")</f>
        <v/>
      </c>
      <c r="C4721" s="9">
        <f t="shared" si="73"/>
        <v>0</v>
      </c>
    </row>
    <row r="4722" spans="1:3" x14ac:dyDescent="0.2">
      <c r="A4722" s="10" t="str">
        <f>IF(4714&gt;$C$9008,"",INDEX($B$9:$B$9008,MATCH(4714,$C$9:$C$9008,0)))</f>
        <v/>
      </c>
      <c r="B4722" s="9" t="str">
        <f>IFERROR(INDEX(Input!$L$20:$T$1019,INT((ROW()-9)/9)+1,MOD(ROW()-9,9)+1),"")</f>
        <v/>
      </c>
      <c r="C4722" s="9">
        <f t="shared" si="73"/>
        <v>0</v>
      </c>
    </row>
    <row r="4723" spans="1:3" x14ac:dyDescent="0.2">
      <c r="A4723" s="10" t="str">
        <f>IF(4715&gt;$C$9008,"",INDEX($B$9:$B$9008,MATCH(4715,$C$9:$C$9008,0)))</f>
        <v/>
      </c>
      <c r="B4723" s="9" t="str">
        <f>IFERROR(INDEX(Input!$L$20:$T$1019,INT((ROW()-9)/9)+1,MOD(ROW()-9,9)+1),"")</f>
        <v/>
      </c>
      <c r="C4723" s="9">
        <f t="shared" si="73"/>
        <v>0</v>
      </c>
    </row>
    <row r="4724" spans="1:3" x14ac:dyDescent="0.2">
      <c r="A4724" s="10" t="str">
        <f>IF(4716&gt;$C$9008,"",INDEX($B$9:$B$9008,MATCH(4716,$C$9:$C$9008,0)))</f>
        <v/>
      </c>
      <c r="B4724" s="9" t="str">
        <f>IFERROR(INDEX(Input!$L$20:$T$1019,INT((ROW()-9)/9)+1,MOD(ROW()-9,9)+1),"")</f>
        <v/>
      </c>
      <c r="C4724" s="9">
        <f t="shared" si="73"/>
        <v>0</v>
      </c>
    </row>
    <row r="4725" spans="1:3" x14ac:dyDescent="0.2">
      <c r="A4725" s="10" t="str">
        <f>IF(4717&gt;$C$9008,"",INDEX($B$9:$B$9008,MATCH(4717,$C$9:$C$9008,0)))</f>
        <v/>
      </c>
      <c r="B4725" s="9" t="str">
        <f>IFERROR(INDEX(Input!$L$20:$T$1019,INT((ROW()-9)/9)+1,MOD(ROW()-9,9)+1),"")</f>
        <v/>
      </c>
      <c r="C4725" s="9">
        <f t="shared" si="73"/>
        <v>0</v>
      </c>
    </row>
    <row r="4726" spans="1:3" x14ac:dyDescent="0.2">
      <c r="A4726" s="10" t="str">
        <f>IF(4718&gt;$C$9008,"",INDEX($B$9:$B$9008,MATCH(4718,$C$9:$C$9008,0)))</f>
        <v/>
      </c>
      <c r="B4726" s="9" t="str">
        <f>IFERROR(INDEX(Input!$L$20:$T$1019,INT((ROW()-9)/9)+1,MOD(ROW()-9,9)+1),"")</f>
        <v/>
      </c>
      <c r="C4726" s="9">
        <f t="shared" si="73"/>
        <v>0</v>
      </c>
    </row>
    <row r="4727" spans="1:3" x14ac:dyDescent="0.2">
      <c r="A4727" s="10" t="str">
        <f>IF(4719&gt;$C$9008,"",INDEX($B$9:$B$9008,MATCH(4719,$C$9:$C$9008,0)))</f>
        <v/>
      </c>
      <c r="B4727" s="9" t="str">
        <f>IFERROR(INDEX(Input!$L$20:$T$1019,INT((ROW()-9)/9)+1,MOD(ROW()-9,9)+1),"")</f>
        <v/>
      </c>
      <c r="C4727" s="9">
        <f t="shared" si="73"/>
        <v>0</v>
      </c>
    </row>
    <row r="4728" spans="1:3" x14ac:dyDescent="0.2">
      <c r="A4728" s="10" t="str">
        <f>IF(4720&gt;$C$9008,"",INDEX($B$9:$B$9008,MATCH(4720,$C$9:$C$9008,0)))</f>
        <v/>
      </c>
      <c r="B4728" s="9" t="str">
        <f>IFERROR(INDEX(Input!$L$20:$T$1019,INT((ROW()-9)/9)+1,MOD(ROW()-9,9)+1),"")</f>
        <v/>
      </c>
      <c r="C4728" s="9">
        <f t="shared" si="73"/>
        <v>0</v>
      </c>
    </row>
    <row r="4729" spans="1:3" x14ac:dyDescent="0.2">
      <c r="A4729" s="10" t="str">
        <f>IF(4721&gt;$C$9008,"",INDEX($B$9:$B$9008,MATCH(4721,$C$9:$C$9008,0)))</f>
        <v/>
      </c>
      <c r="B4729" s="9" t="str">
        <f>IFERROR(INDEX(Input!$L$20:$T$1019,INT((ROW()-9)/9)+1,MOD(ROW()-9,9)+1),"")</f>
        <v/>
      </c>
      <c r="C4729" s="9">
        <f t="shared" si="73"/>
        <v>0</v>
      </c>
    </row>
    <row r="4730" spans="1:3" x14ac:dyDescent="0.2">
      <c r="A4730" s="10" t="str">
        <f>IF(4722&gt;$C$9008,"",INDEX($B$9:$B$9008,MATCH(4722,$C$9:$C$9008,0)))</f>
        <v/>
      </c>
      <c r="B4730" s="9" t="str">
        <f>IFERROR(INDEX(Input!$L$20:$T$1019,INT((ROW()-9)/9)+1,MOD(ROW()-9,9)+1),"")</f>
        <v/>
      </c>
      <c r="C4730" s="9">
        <f t="shared" si="73"/>
        <v>0</v>
      </c>
    </row>
    <row r="4731" spans="1:3" x14ac:dyDescent="0.2">
      <c r="A4731" s="10" t="str">
        <f>IF(4723&gt;$C$9008,"",INDEX($B$9:$B$9008,MATCH(4723,$C$9:$C$9008,0)))</f>
        <v/>
      </c>
      <c r="B4731" s="9" t="str">
        <f>IFERROR(INDEX(Input!$L$20:$T$1019,INT((ROW()-9)/9)+1,MOD(ROW()-9,9)+1),"")</f>
        <v/>
      </c>
      <c r="C4731" s="9">
        <f t="shared" si="73"/>
        <v>0</v>
      </c>
    </row>
    <row r="4732" spans="1:3" x14ac:dyDescent="0.2">
      <c r="A4732" s="10" t="str">
        <f>IF(4724&gt;$C$9008,"",INDEX($B$9:$B$9008,MATCH(4724,$C$9:$C$9008,0)))</f>
        <v/>
      </c>
      <c r="B4732" s="9" t="str">
        <f>IFERROR(INDEX(Input!$L$20:$T$1019,INT((ROW()-9)/9)+1,MOD(ROW()-9,9)+1),"")</f>
        <v/>
      </c>
      <c r="C4732" s="9">
        <f t="shared" si="73"/>
        <v>0</v>
      </c>
    </row>
    <row r="4733" spans="1:3" x14ac:dyDescent="0.2">
      <c r="A4733" s="10" t="str">
        <f>IF(4725&gt;$C$9008,"",INDEX($B$9:$B$9008,MATCH(4725,$C$9:$C$9008,0)))</f>
        <v/>
      </c>
      <c r="B4733" s="9" t="str">
        <f>IFERROR(INDEX(Input!$L$20:$T$1019,INT((ROW()-9)/9)+1,MOD(ROW()-9,9)+1),"")</f>
        <v/>
      </c>
      <c r="C4733" s="9">
        <f t="shared" si="73"/>
        <v>0</v>
      </c>
    </row>
    <row r="4734" spans="1:3" x14ac:dyDescent="0.2">
      <c r="A4734" s="10" t="str">
        <f>IF(4726&gt;$C$9008,"",INDEX($B$9:$B$9008,MATCH(4726,$C$9:$C$9008,0)))</f>
        <v/>
      </c>
      <c r="B4734" s="9" t="str">
        <f>IFERROR(INDEX(Input!$L$20:$T$1019,INT((ROW()-9)/9)+1,MOD(ROW()-9,9)+1),"")</f>
        <v/>
      </c>
      <c r="C4734" s="9">
        <f t="shared" si="73"/>
        <v>0</v>
      </c>
    </row>
    <row r="4735" spans="1:3" x14ac:dyDescent="0.2">
      <c r="A4735" s="10" t="str">
        <f>IF(4727&gt;$C$9008,"",INDEX($B$9:$B$9008,MATCH(4727,$C$9:$C$9008,0)))</f>
        <v/>
      </c>
      <c r="B4735" s="9" t="str">
        <f>IFERROR(INDEX(Input!$L$20:$T$1019,INT((ROW()-9)/9)+1,MOD(ROW()-9,9)+1),"")</f>
        <v/>
      </c>
      <c r="C4735" s="9">
        <f t="shared" si="73"/>
        <v>0</v>
      </c>
    </row>
    <row r="4736" spans="1:3" x14ac:dyDescent="0.2">
      <c r="A4736" s="10" t="str">
        <f>IF(4728&gt;$C$9008,"",INDEX($B$9:$B$9008,MATCH(4728,$C$9:$C$9008,0)))</f>
        <v/>
      </c>
      <c r="B4736" s="9" t="str">
        <f>IFERROR(INDEX(Input!$L$20:$T$1019,INT((ROW()-9)/9)+1,MOD(ROW()-9,9)+1),"")</f>
        <v/>
      </c>
      <c r="C4736" s="9">
        <f t="shared" si="73"/>
        <v>0</v>
      </c>
    </row>
    <row r="4737" spans="1:3" x14ac:dyDescent="0.2">
      <c r="A4737" s="10" t="str">
        <f>IF(4729&gt;$C$9008,"",INDEX($B$9:$B$9008,MATCH(4729,$C$9:$C$9008,0)))</f>
        <v/>
      </c>
      <c r="B4737" s="9" t="str">
        <f>IFERROR(INDEX(Input!$L$20:$T$1019,INT((ROW()-9)/9)+1,MOD(ROW()-9,9)+1),"")</f>
        <v/>
      </c>
      <c r="C4737" s="9">
        <f t="shared" si="73"/>
        <v>0</v>
      </c>
    </row>
    <row r="4738" spans="1:3" x14ac:dyDescent="0.2">
      <c r="A4738" s="10" t="str">
        <f>IF(4730&gt;$C$9008,"",INDEX($B$9:$B$9008,MATCH(4730,$C$9:$C$9008,0)))</f>
        <v/>
      </c>
      <c r="B4738" s="9" t="str">
        <f>IFERROR(INDEX(Input!$L$20:$T$1019,INT((ROW()-9)/9)+1,MOD(ROW()-9,9)+1),"")</f>
        <v/>
      </c>
      <c r="C4738" s="9">
        <f t="shared" si="73"/>
        <v>0</v>
      </c>
    </row>
    <row r="4739" spans="1:3" x14ac:dyDescent="0.2">
      <c r="A4739" s="10" t="str">
        <f>IF(4731&gt;$C$9008,"",INDEX($B$9:$B$9008,MATCH(4731,$C$9:$C$9008,0)))</f>
        <v/>
      </c>
      <c r="B4739" s="9" t="str">
        <f>IFERROR(INDEX(Input!$L$20:$T$1019,INT((ROW()-9)/9)+1,MOD(ROW()-9,9)+1),"")</f>
        <v/>
      </c>
      <c r="C4739" s="9">
        <f t="shared" si="73"/>
        <v>0</v>
      </c>
    </row>
    <row r="4740" spans="1:3" x14ac:dyDescent="0.2">
      <c r="A4740" s="10" t="str">
        <f>IF(4732&gt;$C$9008,"",INDEX($B$9:$B$9008,MATCH(4732,$C$9:$C$9008,0)))</f>
        <v/>
      </c>
      <c r="B4740" s="9" t="str">
        <f>IFERROR(INDEX(Input!$L$20:$T$1019,INT((ROW()-9)/9)+1,MOD(ROW()-9,9)+1),"")</f>
        <v/>
      </c>
      <c r="C4740" s="9">
        <f t="shared" si="73"/>
        <v>0</v>
      </c>
    </row>
    <row r="4741" spans="1:3" x14ac:dyDescent="0.2">
      <c r="A4741" s="10" t="str">
        <f>IF(4733&gt;$C$9008,"",INDEX($B$9:$B$9008,MATCH(4733,$C$9:$C$9008,0)))</f>
        <v/>
      </c>
      <c r="B4741" s="9" t="str">
        <f>IFERROR(INDEX(Input!$L$20:$T$1019,INT((ROW()-9)/9)+1,MOD(ROW()-9,9)+1),"")</f>
        <v/>
      </c>
      <c r="C4741" s="9">
        <f t="shared" si="73"/>
        <v>0</v>
      </c>
    </row>
    <row r="4742" spans="1:3" x14ac:dyDescent="0.2">
      <c r="A4742" s="10" t="str">
        <f>IF(4734&gt;$C$9008,"",INDEX($B$9:$B$9008,MATCH(4734,$C$9:$C$9008,0)))</f>
        <v/>
      </c>
      <c r="B4742" s="9" t="str">
        <f>IFERROR(INDEX(Input!$L$20:$T$1019,INT((ROW()-9)/9)+1,MOD(ROW()-9,9)+1),"")</f>
        <v/>
      </c>
      <c r="C4742" s="9">
        <f t="shared" si="73"/>
        <v>0</v>
      </c>
    </row>
    <row r="4743" spans="1:3" x14ac:dyDescent="0.2">
      <c r="A4743" s="10" t="str">
        <f>IF(4735&gt;$C$9008,"",INDEX($B$9:$B$9008,MATCH(4735,$C$9:$C$9008,0)))</f>
        <v/>
      </c>
      <c r="B4743" s="9" t="str">
        <f>IFERROR(INDEX(Input!$L$20:$T$1019,INT((ROW()-9)/9)+1,MOD(ROW()-9,9)+1),"")</f>
        <v/>
      </c>
      <c r="C4743" s="9">
        <f t="shared" si="73"/>
        <v>0</v>
      </c>
    </row>
    <row r="4744" spans="1:3" x14ac:dyDescent="0.2">
      <c r="A4744" s="10" t="str">
        <f>IF(4736&gt;$C$9008,"",INDEX($B$9:$B$9008,MATCH(4736,$C$9:$C$9008,0)))</f>
        <v/>
      </c>
      <c r="B4744" s="9" t="str">
        <f>IFERROR(INDEX(Input!$L$20:$T$1019,INT((ROW()-9)/9)+1,MOD(ROW()-9,9)+1),"")</f>
        <v/>
      </c>
      <c r="C4744" s="9">
        <f t="shared" si="73"/>
        <v>0</v>
      </c>
    </row>
    <row r="4745" spans="1:3" x14ac:dyDescent="0.2">
      <c r="A4745" s="10" t="str">
        <f>IF(4737&gt;$C$9008,"",INDEX($B$9:$B$9008,MATCH(4737,$C$9:$C$9008,0)))</f>
        <v/>
      </c>
      <c r="B4745" s="9" t="str">
        <f>IFERROR(INDEX(Input!$L$20:$T$1019,INT((ROW()-9)/9)+1,MOD(ROW()-9,9)+1),"")</f>
        <v/>
      </c>
      <c r="C4745" s="9">
        <f t="shared" ref="C4745:C4808" si="74">$C4744+IF($B4745&lt;&gt;"",1,0)</f>
        <v>0</v>
      </c>
    </row>
    <row r="4746" spans="1:3" x14ac:dyDescent="0.2">
      <c r="A4746" s="10" t="str">
        <f>IF(4738&gt;$C$9008,"",INDEX($B$9:$B$9008,MATCH(4738,$C$9:$C$9008,0)))</f>
        <v/>
      </c>
      <c r="B4746" s="9" t="str">
        <f>IFERROR(INDEX(Input!$L$20:$T$1019,INT((ROW()-9)/9)+1,MOD(ROW()-9,9)+1),"")</f>
        <v/>
      </c>
      <c r="C4746" s="9">
        <f t="shared" si="74"/>
        <v>0</v>
      </c>
    </row>
    <row r="4747" spans="1:3" x14ac:dyDescent="0.2">
      <c r="A4747" s="10" t="str">
        <f>IF(4739&gt;$C$9008,"",INDEX($B$9:$B$9008,MATCH(4739,$C$9:$C$9008,0)))</f>
        <v/>
      </c>
      <c r="B4747" s="9" t="str">
        <f>IFERROR(INDEX(Input!$L$20:$T$1019,INT((ROW()-9)/9)+1,MOD(ROW()-9,9)+1),"")</f>
        <v/>
      </c>
      <c r="C4747" s="9">
        <f t="shared" si="74"/>
        <v>0</v>
      </c>
    </row>
    <row r="4748" spans="1:3" x14ac:dyDescent="0.2">
      <c r="A4748" s="10" t="str">
        <f>IF(4740&gt;$C$9008,"",INDEX($B$9:$B$9008,MATCH(4740,$C$9:$C$9008,0)))</f>
        <v/>
      </c>
      <c r="B4748" s="9" t="str">
        <f>IFERROR(INDEX(Input!$L$20:$T$1019,INT((ROW()-9)/9)+1,MOD(ROW()-9,9)+1),"")</f>
        <v/>
      </c>
      <c r="C4748" s="9">
        <f t="shared" si="74"/>
        <v>0</v>
      </c>
    </row>
    <row r="4749" spans="1:3" x14ac:dyDescent="0.2">
      <c r="A4749" s="10" t="str">
        <f>IF(4741&gt;$C$9008,"",INDEX($B$9:$B$9008,MATCH(4741,$C$9:$C$9008,0)))</f>
        <v/>
      </c>
      <c r="B4749" s="9" t="str">
        <f>IFERROR(INDEX(Input!$L$20:$T$1019,INT((ROW()-9)/9)+1,MOD(ROW()-9,9)+1),"")</f>
        <v/>
      </c>
      <c r="C4749" s="9">
        <f t="shared" si="74"/>
        <v>0</v>
      </c>
    </row>
    <row r="4750" spans="1:3" x14ac:dyDescent="0.2">
      <c r="A4750" s="10" t="str">
        <f>IF(4742&gt;$C$9008,"",INDEX($B$9:$B$9008,MATCH(4742,$C$9:$C$9008,0)))</f>
        <v/>
      </c>
      <c r="B4750" s="9" t="str">
        <f>IFERROR(INDEX(Input!$L$20:$T$1019,INT((ROW()-9)/9)+1,MOD(ROW()-9,9)+1),"")</f>
        <v/>
      </c>
      <c r="C4750" s="9">
        <f t="shared" si="74"/>
        <v>0</v>
      </c>
    </row>
    <row r="4751" spans="1:3" x14ac:dyDescent="0.2">
      <c r="A4751" s="10" t="str">
        <f>IF(4743&gt;$C$9008,"",INDEX($B$9:$B$9008,MATCH(4743,$C$9:$C$9008,0)))</f>
        <v/>
      </c>
      <c r="B4751" s="9" t="str">
        <f>IFERROR(INDEX(Input!$L$20:$T$1019,INT((ROW()-9)/9)+1,MOD(ROW()-9,9)+1),"")</f>
        <v/>
      </c>
      <c r="C4751" s="9">
        <f t="shared" si="74"/>
        <v>0</v>
      </c>
    </row>
    <row r="4752" spans="1:3" x14ac:dyDescent="0.2">
      <c r="A4752" s="10" t="str">
        <f>IF(4744&gt;$C$9008,"",INDEX($B$9:$B$9008,MATCH(4744,$C$9:$C$9008,0)))</f>
        <v/>
      </c>
      <c r="B4752" s="9" t="str">
        <f>IFERROR(INDEX(Input!$L$20:$T$1019,INT((ROW()-9)/9)+1,MOD(ROW()-9,9)+1),"")</f>
        <v/>
      </c>
      <c r="C4752" s="9">
        <f t="shared" si="74"/>
        <v>0</v>
      </c>
    </row>
    <row r="4753" spans="1:3" x14ac:dyDescent="0.2">
      <c r="A4753" s="10" t="str">
        <f>IF(4745&gt;$C$9008,"",INDEX($B$9:$B$9008,MATCH(4745,$C$9:$C$9008,0)))</f>
        <v/>
      </c>
      <c r="B4753" s="9" t="str">
        <f>IFERROR(INDEX(Input!$L$20:$T$1019,INT((ROW()-9)/9)+1,MOD(ROW()-9,9)+1),"")</f>
        <v/>
      </c>
      <c r="C4753" s="9">
        <f t="shared" si="74"/>
        <v>0</v>
      </c>
    </row>
    <row r="4754" spans="1:3" x14ac:dyDescent="0.2">
      <c r="A4754" s="10" t="str">
        <f>IF(4746&gt;$C$9008,"",INDEX($B$9:$B$9008,MATCH(4746,$C$9:$C$9008,0)))</f>
        <v/>
      </c>
      <c r="B4754" s="9" t="str">
        <f>IFERROR(INDEX(Input!$L$20:$T$1019,INT((ROW()-9)/9)+1,MOD(ROW()-9,9)+1),"")</f>
        <v/>
      </c>
      <c r="C4754" s="9">
        <f t="shared" si="74"/>
        <v>0</v>
      </c>
    </row>
    <row r="4755" spans="1:3" x14ac:dyDescent="0.2">
      <c r="A4755" s="10" t="str">
        <f>IF(4747&gt;$C$9008,"",INDEX($B$9:$B$9008,MATCH(4747,$C$9:$C$9008,0)))</f>
        <v/>
      </c>
      <c r="B4755" s="9" t="str">
        <f>IFERROR(INDEX(Input!$L$20:$T$1019,INT((ROW()-9)/9)+1,MOD(ROW()-9,9)+1),"")</f>
        <v/>
      </c>
      <c r="C4755" s="9">
        <f t="shared" si="74"/>
        <v>0</v>
      </c>
    </row>
    <row r="4756" spans="1:3" x14ac:dyDescent="0.2">
      <c r="A4756" s="10" t="str">
        <f>IF(4748&gt;$C$9008,"",INDEX($B$9:$B$9008,MATCH(4748,$C$9:$C$9008,0)))</f>
        <v/>
      </c>
      <c r="B4756" s="9" t="str">
        <f>IFERROR(INDEX(Input!$L$20:$T$1019,INT((ROW()-9)/9)+1,MOD(ROW()-9,9)+1),"")</f>
        <v/>
      </c>
      <c r="C4756" s="9">
        <f t="shared" si="74"/>
        <v>0</v>
      </c>
    </row>
    <row r="4757" spans="1:3" x14ac:dyDescent="0.2">
      <c r="A4757" s="10" t="str">
        <f>IF(4749&gt;$C$9008,"",INDEX($B$9:$B$9008,MATCH(4749,$C$9:$C$9008,0)))</f>
        <v/>
      </c>
      <c r="B4757" s="9" t="str">
        <f>IFERROR(INDEX(Input!$L$20:$T$1019,INT((ROW()-9)/9)+1,MOD(ROW()-9,9)+1),"")</f>
        <v/>
      </c>
      <c r="C4757" s="9">
        <f t="shared" si="74"/>
        <v>0</v>
      </c>
    </row>
    <row r="4758" spans="1:3" x14ac:dyDescent="0.2">
      <c r="A4758" s="10" t="str">
        <f>IF(4750&gt;$C$9008,"",INDEX($B$9:$B$9008,MATCH(4750,$C$9:$C$9008,0)))</f>
        <v/>
      </c>
      <c r="B4758" s="9" t="str">
        <f>IFERROR(INDEX(Input!$L$20:$T$1019,INT((ROW()-9)/9)+1,MOD(ROW()-9,9)+1),"")</f>
        <v/>
      </c>
      <c r="C4758" s="9">
        <f t="shared" si="74"/>
        <v>0</v>
      </c>
    </row>
    <row r="4759" spans="1:3" x14ac:dyDescent="0.2">
      <c r="A4759" s="10" t="str">
        <f>IF(4751&gt;$C$9008,"",INDEX($B$9:$B$9008,MATCH(4751,$C$9:$C$9008,0)))</f>
        <v/>
      </c>
      <c r="B4759" s="9" t="str">
        <f>IFERROR(INDEX(Input!$L$20:$T$1019,INT((ROW()-9)/9)+1,MOD(ROW()-9,9)+1),"")</f>
        <v/>
      </c>
      <c r="C4759" s="9">
        <f t="shared" si="74"/>
        <v>0</v>
      </c>
    </row>
    <row r="4760" spans="1:3" x14ac:dyDescent="0.2">
      <c r="A4760" s="10" t="str">
        <f>IF(4752&gt;$C$9008,"",INDEX($B$9:$B$9008,MATCH(4752,$C$9:$C$9008,0)))</f>
        <v/>
      </c>
      <c r="B4760" s="9" t="str">
        <f>IFERROR(INDEX(Input!$L$20:$T$1019,INT((ROW()-9)/9)+1,MOD(ROW()-9,9)+1),"")</f>
        <v/>
      </c>
      <c r="C4760" s="9">
        <f t="shared" si="74"/>
        <v>0</v>
      </c>
    </row>
    <row r="4761" spans="1:3" x14ac:dyDescent="0.2">
      <c r="A4761" s="10" t="str">
        <f>IF(4753&gt;$C$9008,"",INDEX($B$9:$B$9008,MATCH(4753,$C$9:$C$9008,0)))</f>
        <v/>
      </c>
      <c r="B4761" s="9" t="str">
        <f>IFERROR(INDEX(Input!$L$20:$T$1019,INT((ROW()-9)/9)+1,MOD(ROW()-9,9)+1),"")</f>
        <v/>
      </c>
      <c r="C4761" s="9">
        <f t="shared" si="74"/>
        <v>0</v>
      </c>
    </row>
    <row r="4762" spans="1:3" x14ac:dyDescent="0.2">
      <c r="A4762" s="10" t="str">
        <f>IF(4754&gt;$C$9008,"",INDEX($B$9:$B$9008,MATCH(4754,$C$9:$C$9008,0)))</f>
        <v/>
      </c>
      <c r="B4762" s="9" t="str">
        <f>IFERROR(INDEX(Input!$L$20:$T$1019,INT((ROW()-9)/9)+1,MOD(ROW()-9,9)+1),"")</f>
        <v/>
      </c>
      <c r="C4762" s="9">
        <f t="shared" si="74"/>
        <v>0</v>
      </c>
    </row>
    <row r="4763" spans="1:3" x14ac:dyDescent="0.2">
      <c r="A4763" s="10" t="str">
        <f>IF(4755&gt;$C$9008,"",INDEX($B$9:$B$9008,MATCH(4755,$C$9:$C$9008,0)))</f>
        <v/>
      </c>
      <c r="B4763" s="9" t="str">
        <f>IFERROR(INDEX(Input!$L$20:$T$1019,INT((ROW()-9)/9)+1,MOD(ROW()-9,9)+1),"")</f>
        <v/>
      </c>
      <c r="C4763" s="9">
        <f t="shared" si="74"/>
        <v>0</v>
      </c>
    </row>
    <row r="4764" spans="1:3" x14ac:dyDescent="0.2">
      <c r="A4764" s="10" t="str">
        <f>IF(4756&gt;$C$9008,"",INDEX($B$9:$B$9008,MATCH(4756,$C$9:$C$9008,0)))</f>
        <v/>
      </c>
      <c r="B4764" s="9" t="str">
        <f>IFERROR(INDEX(Input!$L$20:$T$1019,INT((ROW()-9)/9)+1,MOD(ROW()-9,9)+1),"")</f>
        <v/>
      </c>
      <c r="C4764" s="9">
        <f t="shared" si="74"/>
        <v>0</v>
      </c>
    </row>
    <row r="4765" spans="1:3" x14ac:dyDescent="0.2">
      <c r="A4765" s="10" t="str">
        <f>IF(4757&gt;$C$9008,"",INDEX($B$9:$B$9008,MATCH(4757,$C$9:$C$9008,0)))</f>
        <v/>
      </c>
      <c r="B4765" s="9" t="str">
        <f>IFERROR(INDEX(Input!$L$20:$T$1019,INT((ROW()-9)/9)+1,MOD(ROW()-9,9)+1),"")</f>
        <v/>
      </c>
      <c r="C4765" s="9">
        <f t="shared" si="74"/>
        <v>0</v>
      </c>
    </row>
    <row r="4766" spans="1:3" x14ac:dyDescent="0.2">
      <c r="A4766" s="10" t="str">
        <f>IF(4758&gt;$C$9008,"",INDEX($B$9:$B$9008,MATCH(4758,$C$9:$C$9008,0)))</f>
        <v/>
      </c>
      <c r="B4766" s="9" t="str">
        <f>IFERROR(INDEX(Input!$L$20:$T$1019,INT((ROW()-9)/9)+1,MOD(ROW()-9,9)+1),"")</f>
        <v/>
      </c>
      <c r="C4766" s="9">
        <f t="shared" si="74"/>
        <v>0</v>
      </c>
    </row>
    <row r="4767" spans="1:3" x14ac:dyDescent="0.2">
      <c r="A4767" s="10" t="str">
        <f>IF(4759&gt;$C$9008,"",INDEX($B$9:$B$9008,MATCH(4759,$C$9:$C$9008,0)))</f>
        <v/>
      </c>
      <c r="B4767" s="9" t="str">
        <f>IFERROR(INDEX(Input!$L$20:$T$1019,INT((ROW()-9)/9)+1,MOD(ROW()-9,9)+1),"")</f>
        <v/>
      </c>
      <c r="C4767" s="9">
        <f t="shared" si="74"/>
        <v>0</v>
      </c>
    </row>
    <row r="4768" spans="1:3" x14ac:dyDescent="0.2">
      <c r="A4768" s="10" t="str">
        <f>IF(4760&gt;$C$9008,"",INDEX($B$9:$B$9008,MATCH(4760,$C$9:$C$9008,0)))</f>
        <v/>
      </c>
      <c r="B4768" s="9" t="str">
        <f>IFERROR(INDEX(Input!$L$20:$T$1019,INT((ROW()-9)/9)+1,MOD(ROW()-9,9)+1),"")</f>
        <v/>
      </c>
      <c r="C4768" s="9">
        <f t="shared" si="74"/>
        <v>0</v>
      </c>
    </row>
    <row r="4769" spans="1:3" x14ac:dyDescent="0.2">
      <c r="A4769" s="10" t="str">
        <f>IF(4761&gt;$C$9008,"",INDEX($B$9:$B$9008,MATCH(4761,$C$9:$C$9008,0)))</f>
        <v/>
      </c>
      <c r="B4769" s="9" t="str">
        <f>IFERROR(INDEX(Input!$L$20:$T$1019,INT((ROW()-9)/9)+1,MOD(ROW()-9,9)+1),"")</f>
        <v/>
      </c>
      <c r="C4769" s="9">
        <f t="shared" si="74"/>
        <v>0</v>
      </c>
    </row>
    <row r="4770" spans="1:3" x14ac:dyDescent="0.2">
      <c r="A4770" s="10" t="str">
        <f>IF(4762&gt;$C$9008,"",INDEX($B$9:$B$9008,MATCH(4762,$C$9:$C$9008,0)))</f>
        <v/>
      </c>
      <c r="B4770" s="9" t="str">
        <f>IFERROR(INDEX(Input!$L$20:$T$1019,INT((ROW()-9)/9)+1,MOD(ROW()-9,9)+1),"")</f>
        <v/>
      </c>
      <c r="C4770" s="9">
        <f t="shared" si="74"/>
        <v>0</v>
      </c>
    </row>
    <row r="4771" spans="1:3" x14ac:dyDescent="0.2">
      <c r="A4771" s="10" t="str">
        <f>IF(4763&gt;$C$9008,"",INDEX($B$9:$B$9008,MATCH(4763,$C$9:$C$9008,0)))</f>
        <v/>
      </c>
      <c r="B4771" s="9" t="str">
        <f>IFERROR(INDEX(Input!$L$20:$T$1019,INT((ROW()-9)/9)+1,MOD(ROW()-9,9)+1),"")</f>
        <v/>
      </c>
      <c r="C4771" s="9">
        <f t="shared" si="74"/>
        <v>0</v>
      </c>
    </row>
    <row r="4772" spans="1:3" x14ac:dyDescent="0.2">
      <c r="A4772" s="10" t="str">
        <f>IF(4764&gt;$C$9008,"",INDEX($B$9:$B$9008,MATCH(4764,$C$9:$C$9008,0)))</f>
        <v/>
      </c>
      <c r="B4772" s="9" t="str">
        <f>IFERROR(INDEX(Input!$L$20:$T$1019,INT((ROW()-9)/9)+1,MOD(ROW()-9,9)+1),"")</f>
        <v/>
      </c>
      <c r="C4772" s="9">
        <f t="shared" si="74"/>
        <v>0</v>
      </c>
    </row>
    <row r="4773" spans="1:3" x14ac:dyDescent="0.2">
      <c r="A4773" s="10" t="str">
        <f>IF(4765&gt;$C$9008,"",INDEX($B$9:$B$9008,MATCH(4765,$C$9:$C$9008,0)))</f>
        <v/>
      </c>
      <c r="B4773" s="9" t="str">
        <f>IFERROR(INDEX(Input!$L$20:$T$1019,INT((ROW()-9)/9)+1,MOD(ROW()-9,9)+1),"")</f>
        <v/>
      </c>
      <c r="C4773" s="9">
        <f t="shared" si="74"/>
        <v>0</v>
      </c>
    </row>
    <row r="4774" spans="1:3" x14ac:dyDescent="0.2">
      <c r="A4774" s="10" t="str">
        <f>IF(4766&gt;$C$9008,"",INDEX($B$9:$B$9008,MATCH(4766,$C$9:$C$9008,0)))</f>
        <v/>
      </c>
      <c r="B4774" s="9" t="str">
        <f>IFERROR(INDEX(Input!$L$20:$T$1019,INT((ROW()-9)/9)+1,MOD(ROW()-9,9)+1),"")</f>
        <v/>
      </c>
      <c r="C4774" s="9">
        <f t="shared" si="74"/>
        <v>0</v>
      </c>
    </row>
    <row r="4775" spans="1:3" x14ac:dyDescent="0.2">
      <c r="A4775" s="10" t="str">
        <f>IF(4767&gt;$C$9008,"",INDEX($B$9:$B$9008,MATCH(4767,$C$9:$C$9008,0)))</f>
        <v/>
      </c>
      <c r="B4775" s="9" t="str">
        <f>IFERROR(INDEX(Input!$L$20:$T$1019,INT((ROW()-9)/9)+1,MOD(ROW()-9,9)+1),"")</f>
        <v/>
      </c>
      <c r="C4775" s="9">
        <f t="shared" si="74"/>
        <v>0</v>
      </c>
    </row>
    <row r="4776" spans="1:3" x14ac:dyDescent="0.2">
      <c r="A4776" s="10" t="str">
        <f>IF(4768&gt;$C$9008,"",INDEX($B$9:$B$9008,MATCH(4768,$C$9:$C$9008,0)))</f>
        <v/>
      </c>
      <c r="B4776" s="9" t="str">
        <f>IFERROR(INDEX(Input!$L$20:$T$1019,INT((ROW()-9)/9)+1,MOD(ROW()-9,9)+1),"")</f>
        <v/>
      </c>
      <c r="C4776" s="9">
        <f t="shared" si="74"/>
        <v>0</v>
      </c>
    </row>
    <row r="4777" spans="1:3" x14ac:dyDescent="0.2">
      <c r="A4777" s="10" t="str">
        <f>IF(4769&gt;$C$9008,"",INDEX($B$9:$B$9008,MATCH(4769,$C$9:$C$9008,0)))</f>
        <v/>
      </c>
      <c r="B4777" s="9" t="str">
        <f>IFERROR(INDEX(Input!$L$20:$T$1019,INT((ROW()-9)/9)+1,MOD(ROW()-9,9)+1),"")</f>
        <v/>
      </c>
      <c r="C4777" s="9">
        <f t="shared" si="74"/>
        <v>0</v>
      </c>
    </row>
    <row r="4778" spans="1:3" x14ac:dyDescent="0.2">
      <c r="A4778" s="10" t="str">
        <f>IF(4770&gt;$C$9008,"",INDEX($B$9:$B$9008,MATCH(4770,$C$9:$C$9008,0)))</f>
        <v/>
      </c>
      <c r="B4778" s="9" t="str">
        <f>IFERROR(INDEX(Input!$L$20:$T$1019,INT((ROW()-9)/9)+1,MOD(ROW()-9,9)+1),"")</f>
        <v/>
      </c>
      <c r="C4778" s="9">
        <f t="shared" si="74"/>
        <v>0</v>
      </c>
    </row>
    <row r="4779" spans="1:3" x14ac:dyDescent="0.2">
      <c r="A4779" s="10" t="str">
        <f>IF(4771&gt;$C$9008,"",INDEX($B$9:$B$9008,MATCH(4771,$C$9:$C$9008,0)))</f>
        <v/>
      </c>
      <c r="B4779" s="9" t="str">
        <f>IFERROR(INDEX(Input!$L$20:$T$1019,INT((ROW()-9)/9)+1,MOD(ROW()-9,9)+1),"")</f>
        <v/>
      </c>
      <c r="C4779" s="9">
        <f t="shared" si="74"/>
        <v>0</v>
      </c>
    </row>
    <row r="4780" spans="1:3" x14ac:dyDescent="0.2">
      <c r="A4780" s="10" t="str">
        <f>IF(4772&gt;$C$9008,"",INDEX($B$9:$B$9008,MATCH(4772,$C$9:$C$9008,0)))</f>
        <v/>
      </c>
      <c r="B4780" s="9" t="str">
        <f>IFERROR(INDEX(Input!$L$20:$T$1019,INT((ROW()-9)/9)+1,MOD(ROW()-9,9)+1),"")</f>
        <v/>
      </c>
      <c r="C4780" s="9">
        <f t="shared" si="74"/>
        <v>0</v>
      </c>
    </row>
    <row r="4781" spans="1:3" x14ac:dyDescent="0.2">
      <c r="A4781" s="10" t="str">
        <f>IF(4773&gt;$C$9008,"",INDEX($B$9:$B$9008,MATCH(4773,$C$9:$C$9008,0)))</f>
        <v/>
      </c>
      <c r="B4781" s="9" t="str">
        <f>IFERROR(INDEX(Input!$L$20:$T$1019,INT((ROW()-9)/9)+1,MOD(ROW()-9,9)+1),"")</f>
        <v/>
      </c>
      <c r="C4781" s="9">
        <f t="shared" si="74"/>
        <v>0</v>
      </c>
    </row>
    <row r="4782" spans="1:3" x14ac:dyDescent="0.2">
      <c r="A4782" s="10" t="str">
        <f>IF(4774&gt;$C$9008,"",INDEX($B$9:$B$9008,MATCH(4774,$C$9:$C$9008,0)))</f>
        <v/>
      </c>
      <c r="B4782" s="9" t="str">
        <f>IFERROR(INDEX(Input!$L$20:$T$1019,INT((ROW()-9)/9)+1,MOD(ROW()-9,9)+1),"")</f>
        <v/>
      </c>
      <c r="C4782" s="9">
        <f t="shared" si="74"/>
        <v>0</v>
      </c>
    </row>
    <row r="4783" spans="1:3" x14ac:dyDescent="0.2">
      <c r="A4783" s="10" t="str">
        <f>IF(4775&gt;$C$9008,"",INDEX($B$9:$B$9008,MATCH(4775,$C$9:$C$9008,0)))</f>
        <v/>
      </c>
      <c r="B4783" s="9" t="str">
        <f>IFERROR(INDEX(Input!$L$20:$T$1019,INT((ROW()-9)/9)+1,MOD(ROW()-9,9)+1),"")</f>
        <v/>
      </c>
      <c r="C4783" s="9">
        <f t="shared" si="74"/>
        <v>0</v>
      </c>
    </row>
    <row r="4784" spans="1:3" x14ac:dyDescent="0.2">
      <c r="A4784" s="10" t="str">
        <f>IF(4776&gt;$C$9008,"",INDEX($B$9:$B$9008,MATCH(4776,$C$9:$C$9008,0)))</f>
        <v/>
      </c>
      <c r="B4784" s="9" t="str">
        <f>IFERROR(INDEX(Input!$L$20:$T$1019,INT((ROW()-9)/9)+1,MOD(ROW()-9,9)+1),"")</f>
        <v/>
      </c>
      <c r="C4784" s="9">
        <f t="shared" si="74"/>
        <v>0</v>
      </c>
    </row>
    <row r="4785" spans="1:3" x14ac:dyDescent="0.2">
      <c r="A4785" s="10" t="str">
        <f>IF(4777&gt;$C$9008,"",INDEX($B$9:$B$9008,MATCH(4777,$C$9:$C$9008,0)))</f>
        <v/>
      </c>
      <c r="B4785" s="9" t="str">
        <f>IFERROR(INDEX(Input!$L$20:$T$1019,INT((ROW()-9)/9)+1,MOD(ROW()-9,9)+1),"")</f>
        <v/>
      </c>
      <c r="C4785" s="9">
        <f t="shared" si="74"/>
        <v>0</v>
      </c>
    </row>
    <row r="4786" spans="1:3" x14ac:dyDescent="0.2">
      <c r="A4786" s="10" t="str">
        <f>IF(4778&gt;$C$9008,"",INDEX($B$9:$B$9008,MATCH(4778,$C$9:$C$9008,0)))</f>
        <v/>
      </c>
      <c r="B4786" s="9" t="str">
        <f>IFERROR(INDEX(Input!$L$20:$T$1019,INT((ROW()-9)/9)+1,MOD(ROW()-9,9)+1),"")</f>
        <v/>
      </c>
      <c r="C4786" s="9">
        <f t="shared" si="74"/>
        <v>0</v>
      </c>
    </row>
    <row r="4787" spans="1:3" x14ac:dyDescent="0.2">
      <c r="A4787" s="10" t="str">
        <f>IF(4779&gt;$C$9008,"",INDEX($B$9:$B$9008,MATCH(4779,$C$9:$C$9008,0)))</f>
        <v/>
      </c>
      <c r="B4787" s="9" t="str">
        <f>IFERROR(INDEX(Input!$L$20:$T$1019,INT((ROW()-9)/9)+1,MOD(ROW()-9,9)+1),"")</f>
        <v/>
      </c>
      <c r="C4787" s="9">
        <f t="shared" si="74"/>
        <v>0</v>
      </c>
    </row>
    <row r="4788" spans="1:3" x14ac:dyDescent="0.2">
      <c r="A4788" s="10" t="str">
        <f>IF(4780&gt;$C$9008,"",INDEX($B$9:$B$9008,MATCH(4780,$C$9:$C$9008,0)))</f>
        <v/>
      </c>
      <c r="B4788" s="9" t="str">
        <f>IFERROR(INDEX(Input!$L$20:$T$1019,INT((ROW()-9)/9)+1,MOD(ROW()-9,9)+1),"")</f>
        <v/>
      </c>
      <c r="C4788" s="9">
        <f t="shared" si="74"/>
        <v>0</v>
      </c>
    </row>
    <row r="4789" spans="1:3" x14ac:dyDescent="0.2">
      <c r="A4789" s="10" t="str">
        <f>IF(4781&gt;$C$9008,"",INDEX($B$9:$B$9008,MATCH(4781,$C$9:$C$9008,0)))</f>
        <v/>
      </c>
      <c r="B4789" s="9" t="str">
        <f>IFERROR(INDEX(Input!$L$20:$T$1019,INT((ROW()-9)/9)+1,MOD(ROW()-9,9)+1),"")</f>
        <v/>
      </c>
      <c r="C4789" s="9">
        <f t="shared" si="74"/>
        <v>0</v>
      </c>
    </row>
    <row r="4790" spans="1:3" x14ac:dyDescent="0.2">
      <c r="A4790" s="10" t="str">
        <f>IF(4782&gt;$C$9008,"",INDEX($B$9:$B$9008,MATCH(4782,$C$9:$C$9008,0)))</f>
        <v/>
      </c>
      <c r="B4790" s="9" t="str">
        <f>IFERROR(INDEX(Input!$L$20:$T$1019,INT((ROW()-9)/9)+1,MOD(ROW()-9,9)+1),"")</f>
        <v/>
      </c>
      <c r="C4790" s="9">
        <f t="shared" si="74"/>
        <v>0</v>
      </c>
    </row>
    <row r="4791" spans="1:3" x14ac:dyDescent="0.2">
      <c r="A4791" s="10" t="str">
        <f>IF(4783&gt;$C$9008,"",INDEX($B$9:$B$9008,MATCH(4783,$C$9:$C$9008,0)))</f>
        <v/>
      </c>
      <c r="B4791" s="9" t="str">
        <f>IFERROR(INDEX(Input!$L$20:$T$1019,INT((ROW()-9)/9)+1,MOD(ROW()-9,9)+1),"")</f>
        <v/>
      </c>
      <c r="C4791" s="9">
        <f t="shared" si="74"/>
        <v>0</v>
      </c>
    </row>
    <row r="4792" spans="1:3" x14ac:dyDescent="0.2">
      <c r="A4792" s="10" t="str">
        <f>IF(4784&gt;$C$9008,"",INDEX($B$9:$B$9008,MATCH(4784,$C$9:$C$9008,0)))</f>
        <v/>
      </c>
      <c r="B4792" s="9" t="str">
        <f>IFERROR(INDEX(Input!$L$20:$T$1019,INT((ROW()-9)/9)+1,MOD(ROW()-9,9)+1),"")</f>
        <v/>
      </c>
      <c r="C4792" s="9">
        <f t="shared" si="74"/>
        <v>0</v>
      </c>
    </row>
    <row r="4793" spans="1:3" x14ac:dyDescent="0.2">
      <c r="A4793" s="10" t="str">
        <f>IF(4785&gt;$C$9008,"",INDEX($B$9:$B$9008,MATCH(4785,$C$9:$C$9008,0)))</f>
        <v/>
      </c>
      <c r="B4793" s="9" t="str">
        <f>IFERROR(INDEX(Input!$L$20:$T$1019,INT((ROW()-9)/9)+1,MOD(ROW()-9,9)+1),"")</f>
        <v/>
      </c>
      <c r="C4793" s="9">
        <f t="shared" si="74"/>
        <v>0</v>
      </c>
    </row>
    <row r="4794" spans="1:3" x14ac:dyDescent="0.2">
      <c r="A4794" s="10" t="str">
        <f>IF(4786&gt;$C$9008,"",INDEX($B$9:$B$9008,MATCH(4786,$C$9:$C$9008,0)))</f>
        <v/>
      </c>
      <c r="B4794" s="9" t="str">
        <f>IFERROR(INDEX(Input!$L$20:$T$1019,INT((ROW()-9)/9)+1,MOD(ROW()-9,9)+1),"")</f>
        <v/>
      </c>
      <c r="C4794" s="9">
        <f t="shared" si="74"/>
        <v>0</v>
      </c>
    </row>
    <row r="4795" spans="1:3" x14ac:dyDescent="0.2">
      <c r="A4795" s="10" t="str">
        <f>IF(4787&gt;$C$9008,"",INDEX($B$9:$B$9008,MATCH(4787,$C$9:$C$9008,0)))</f>
        <v/>
      </c>
      <c r="B4795" s="9" t="str">
        <f>IFERROR(INDEX(Input!$L$20:$T$1019,INT((ROW()-9)/9)+1,MOD(ROW()-9,9)+1),"")</f>
        <v/>
      </c>
      <c r="C4795" s="9">
        <f t="shared" si="74"/>
        <v>0</v>
      </c>
    </row>
    <row r="4796" spans="1:3" x14ac:dyDescent="0.2">
      <c r="A4796" s="10" t="str">
        <f>IF(4788&gt;$C$9008,"",INDEX($B$9:$B$9008,MATCH(4788,$C$9:$C$9008,0)))</f>
        <v/>
      </c>
      <c r="B4796" s="9" t="str">
        <f>IFERROR(INDEX(Input!$L$20:$T$1019,INT((ROW()-9)/9)+1,MOD(ROW()-9,9)+1),"")</f>
        <v/>
      </c>
      <c r="C4796" s="9">
        <f t="shared" si="74"/>
        <v>0</v>
      </c>
    </row>
    <row r="4797" spans="1:3" x14ac:dyDescent="0.2">
      <c r="A4797" s="10" t="str">
        <f>IF(4789&gt;$C$9008,"",INDEX($B$9:$B$9008,MATCH(4789,$C$9:$C$9008,0)))</f>
        <v/>
      </c>
      <c r="B4797" s="9" t="str">
        <f>IFERROR(INDEX(Input!$L$20:$T$1019,INT((ROW()-9)/9)+1,MOD(ROW()-9,9)+1),"")</f>
        <v/>
      </c>
      <c r="C4797" s="9">
        <f t="shared" si="74"/>
        <v>0</v>
      </c>
    </row>
    <row r="4798" spans="1:3" x14ac:dyDescent="0.2">
      <c r="A4798" s="10" t="str">
        <f>IF(4790&gt;$C$9008,"",INDEX($B$9:$B$9008,MATCH(4790,$C$9:$C$9008,0)))</f>
        <v/>
      </c>
      <c r="B4798" s="9" t="str">
        <f>IFERROR(INDEX(Input!$L$20:$T$1019,INT((ROW()-9)/9)+1,MOD(ROW()-9,9)+1),"")</f>
        <v/>
      </c>
      <c r="C4798" s="9">
        <f t="shared" si="74"/>
        <v>0</v>
      </c>
    </row>
    <row r="4799" spans="1:3" x14ac:dyDescent="0.2">
      <c r="A4799" s="10" t="str">
        <f>IF(4791&gt;$C$9008,"",INDEX($B$9:$B$9008,MATCH(4791,$C$9:$C$9008,0)))</f>
        <v/>
      </c>
      <c r="B4799" s="9" t="str">
        <f>IFERROR(INDEX(Input!$L$20:$T$1019,INT((ROW()-9)/9)+1,MOD(ROW()-9,9)+1),"")</f>
        <v/>
      </c>
      <c r="C4799" s="9">
        <f t="shared" si="74"/>
        <v>0</v>
      </c>
    </row>
    <row r="4800" spans="1:3" x14ac:dyDescent="0.2">
      <c r="A4800" s="10" t="str">
        <f>IF(4792&gt;$C$9008,"",INDEX($B$9:$B$9008,MATCH(4792,$C$9:$C$9008,0)))</f>
        <v/>
      </c>
      <c r="B4800" s="9" t="str">
        <f>IFERROR(INDEX(Input!$L$20:$T$1019,INT((ROW()-9)/9)+1,MOD(ROW()-9,9)+1),"")</f>
        <v/>
      </c>
      <c r="C4800" s="9">
        <f t="shared" si="74"/>
        <v>0</v>
      </c>
    </row>
    <row r="4801" spans="1:3" x14ac:dyDescent="0.2">
      <c r="A4801" s="10" t="str">
        <f>IF(4793&gt;$C$9008,"",INDEX($B$9:$B$9008,MATCH(4793,$C$9:$C$9008,0)))</f>
        <v/>
      </c>
      <c r="B4801" s="9" t="str">
        <f>IFERROR(INDEX(Input!$L$20:$T$1019,INT((ROW()-9)/9)+1,MOD(ROW()-9,9)+1),"")</f>
        <v/>
      </c>
      <c r="C4801" s="9">
        <f t="shared" si="74"/>
        <v>0</v>
      </c>
    </row>
    <row r="4802" spans="1:3" x14ac:dyDescent="0.2">
      <c r="A4802" s="10" t="str">
        <f>IF(4794&gt;$C$9008,"",INDEX($B$9:$B$9008,MATCH(4794,$C$9:$C$9008,0)))</f>
        <v/>
      </c>
      <c r="B4802" s="9" t="str">
        <f>IFERROR(INDEX(Input!$L$20:$T$1019,INT((ROW()-9)/9)+1,MOD(ROW()-9,9)+1),"")</f>
        <v/>
      </c>
      <c r="C4802" s="9">
        <f t="shared" si="74"/>
        <v>0</v>
      </c>
    </row>
    <row r="4803" spans="1:3" x14ac:dyDescent="0.2">
      <c r="A4803" s="10" t="str">
        <f>IF(4795&gt;$C$9008,"",INDEX($B$9:$B$9008,MATCH(4795,$C$9:$C$9008,0)))</f>
        <v/>
      </c>
      <c r="B4803" s="9" t="str">
        <f>IFERROR(INDEX(Input!$L$20:$T$1019,INT((ROW()-9)/9)+1,MOD(ROW()-9,9)+1),"")</f>
        <v/>
      </c>
      <c r="C4803" s="9">
        <f t="shared" si="74"/>
        <v>0</v>
      </c>
    </row>
    <row r="4804" spans="1:3" x14ac:dyDescent="0.2">
      <c r="A4804" s="10" t="str">
        <f>IF(4796&gt;$C$9008,"",INDEX($B$9:$B$9008,MATCH(4796,$C$9:$C$9008,0)))</f>
        <v/>
      </c>
      <c r="B4804" s="9" t="str">
        <f>IFERROR(INDEX(Input!$L$20:$T$1019,INT((ROW()-9)/9)+1,MOD(ROW()-9,9)+1),"")</f>
        <v/>
      </c>
      <c r="C4804" s="9">
        <f t="shared" si="74"/>
        <v>0</v>
      </c>
    </row>
    <row r="4805" spans="1:3" x14ac:dyDescent="0.2">
      <c r="A4805" s="10" t="str">
        <f>IF(4797&gt;$C$9008,"",INDEX($B$9:$B$9008,MATCH(4797,$C$9:$C$9008,0)))</f>
        <v/>
      </c>
      <c r="B4805" s="9" t="str">
        <f>IFERROR(INDEX(Input!$L$20:$T$1019,INT((ROW()-9)/9)+1,MOD(ROW()-9,9)+1),"")</f>
        <v/>
      </c>
      <c r="C4805" s="9">
        <f t="shared" si="74"/>
        <v>0</v>
      </c>
    </row>
    <row r="4806" spans="1:3" x14ac:dyDescent="0.2">
      <c r="A4806" s="10" t="str">
        <f>IF(4798&gt;$C$9008,"",INDEX($B$9:$B$9008,MATCH(4798,$C$9:$C$9008,0)))</f>
        <v/>
      </c>
      <c r="B4806" s="9" t="str">
        <f>IFERROR(INDEX(Input!$L$20:$T$1019,INT((ROW()-9)/9)+1,MOD(ROW()-9,9)+1),"")</f>
        <v/>
      </c>
      <c r="C4806" s="9">
        <f t="shared" si="74"/>
        <v>0</v>
      </c>
    </row>
    <row r="4807" spans="1:3" x14ac:dyDescent="0.2">
      <c r="A4807" s="10" t="str">
        <f>IF(4799&gt;$C$9008,"",INDEX($B$9:$B$9008,MATCH(4799,$C$9:$C$9008,0)))</f>
        <v/>
      </c>
      <c r="B4807" s="9" t="str">
        <f>IFERROR(INDEX(Input!$L$20:$T$1019,INT((ROW()-9)/9)+1,MOD(ROW()-9,9)+1),"")</f>
        <v/>
      </c>
      <c r="C4807" s="9">
        <f t="shared" si="74"/>
        <v>0</v>
      </c>
    </row>
    <row r="4808" spans="1:3" x14ac:dyDescent="0.2">
      <c r="A4808" s="10" t="str">
        <f>IF(4800&gt;$C$9008,"",INDEX($B$9:$B$9008,MATCH(4800,$C$9:$C$9008,0)))</f>
        <v/>
      </c>
      <c r="B4808" s="9" t="str">
        <f>IFERROR(INDEX(Input!$L$20:$T$1019,INT((ROW()-9)/9)+1,MOD(ROW()-9,9)+1),"")</f>
        <v/>
      </c>
      <c r="C4808" s="9">
        <f t="shared" si="74"/>
        <v>0</v>
      </c>
    </row>
    <row r="4809" spans="1:3" x14ac:dyDescent="0.2">
      <c r="A4809" s="10" t="str">
        <f>IF(4801&gt;$C$9008,"",INDEX($B$9:$B$9008,MATCH(4801,$C$9:$C$9008,0)))</f>
        <v/>
      </c>
      <c r="B4809" s="9" t="str">
        <f>IFERROR(INDEX(Input!$L$20:$T$1019,INT((ROW()-9)/9)+1,MOD(ROW()-9,9)+1),"")</f>
        <v/>
      </c>
      <c r="C4809" s="9">
        <f t="shared" ref="C4809:C4872" si="75">$C4808+IF($B4809&lt;&gt;"",1,0)</f>
        <v>0</v>
      </c>
    </row>
    <row r="4810" spans="1:3" x14ac:dyDescent="0.2">
      <c r="A4810" s="10" t="str">
        <f>IF(4802&gt;$C$9008,"",INDEX($B$9:$B$9008,MATCH(4802,$C$9:$C$9008,0)))</f>
        <v/>
      </c>
      <c r="B4810" s="9" t="str">
        <f>IFERROR(INDEX(Input!$L$20:$T$1019,INT((ROW()-9)/9)+1,MOD(ROW()-9,9)+1),"")</f>
        <v/>
      </c>
      <c r="C4810" s="9">
        <f t="shared" si="75"/>
        <v>0</v>
      </c>
    </row>
    <row r="4811" spans="1:3" x14ac:dyDescent="0.2">
      <c r="A4811" s="10" t="str">
        <f>IF(4803&gt;$C$9008,"",INDEX($B$9:$B$9008,MATCH(4803,$C$9:$C$9008,0)))</f>
        <v/>
      </c>
      <c r="B4811" s="9" t="str">
        <f>IFERROR(INDEX(Input!$L$20:$T$1019,INT((ROW()-9)/9)+1,MOD(ROW()-9,9)+1),"")</f>
        <v/>
      </c>
      <c r="C4811" s="9">
        <f t="shared" si="75"/>
        <v>0</v>
      </c>
    </row>
    <row r="4812" spans="1:3" x14ac:dyDescent="0.2">
      <c r="A4812" s="10" t="str">
        <f>IF(4804&gt;$C$9008,"",INDEX($B$9:$B$9008,MATCH(4804,$C$9:$C$9008,0)))</f>
        <v/>
      </c>
      <c r="B4812" s="9" t="str">
        <f>IFERROR(INDEX(Input!$L$20:$T$1019,INT((ROW()-9)/9)+1,MOD(ROW()-9,9)+1),"")</f>
        <v/>
      </c>
      <c r="C4812" s="9">
        <f t="shared" si="75"/>
        <v>0</v>
      </c>
    </row>
    <row r="4813" spans="1:3" x14ac:dyDescent="0.2">
      <c r="A4813" s="10" t="str">
        <f>IF(4805&gt;$C$9008,"",INDEX($B$9:$B$9008,MATCH(4805,$C$9:$C$9008,0)))</f>
        <v/>
      </c>
      <c r="B4813" s="9" t="str">
        <f>IFERROR(INDEX(Input!$L$20:$T$1019,INT((ROW()-9)/9)+1,MOD(ROW()-9,9)+1),"")</f>
        <v/>
      </c>
      <c r="C4813" s="9">
        <f t="shared" si="75"/>
        <v>0</v>
      </c>
    </row>
    <row r="4814" spans="1:3" x14ac:dyDescent="0.2">
      <c r="A4814" s="10" t="str">
        <f>IF(4806&gt;$C$9008,"",INDEX($B$9:$B$9008,MATCH(4806,$C$9:$C$9008,0)))</f>
        <v/>
      </c>
      <c r="B4814" s="9" t="str">
        <f>IFERROR(INDEX(Input!$L$20:$T$1019,INT((ROW()-9)/9)+1,MOD(ROW()-9,9)+1),"")</f>
        <v/>
      </c>
      <c r="C4814" s="9">
        <f t="shared" si="75"/>
        <v>0</v>
      </c>
    </row>
    <row r="4815" spans="1:3" x14ac:dyDescent="0.2">
      <c r="A4815" s="10" t="str">
        <f>IF(4807&gt;$C$9008,"",INDEX($B$9:$B$9008,MATCH(4807,$C$9:$C$9008,0)))</f>
        <v/>
      </c>
      <c r="B4815" s="9" t="str">
        <f>IFERROR(INDEX(Input!$L$20:$T$1019,INT((ROW()-9)/9)+1,MOD(ROW()-9,9)+1),"")</f>
        <v/>
      </c>
      <c r="C4815" s="9">
        <f t="shared" si="75"/>
        <v>0</v>
      </c>
    </row>
    <row r="4816" spans="1:3" x14ac:dyDescent="0.2">
      <c r="A4816" s="10" t="str">
        <f>IF(4808&gt;$C$9008,"",INDEX($B$9:$B$9008,MATCH(4808,$C$9:$C$9008,0)))</f>
        <v/>
      </c>
      <c r="B4816" s="9" t="str">
        <f>IFERROR(INDEX(Input!$L$20:$T$1019,INT((ROW()-9)/9)+1,MOD(ROW()-9,9)+1),"")</f>
        <v/>
      </c>
      <c r="C4816" s="9">
        <f t="shared" si="75"/>
        <v>0</v>
      </c>
    </row>
    <row r="4817" spans="1:3" x14ac:dyDescent="0.2">
      <c r="A4817" s="10" t="str">
        <f>IF(4809&gt;$C$9008,"",INDEX($B$9:$B$9008,MATCH(4809,$C$9:$C$9008,0)))</f>
        <v/>
      </c>
      <c r="B4817" s="9" t="str">
        <f>IFERROR(INDEX(Input!$L$20:$T$1019,INT((ROW()-9)/9)+1,MOD(ROW()-9,9)+1),"")</f>
        <v/>
      </c>
      <c r="C4817" s="9">
        <f t="shared" si="75"/>
        <v>0</v>
      </c>
    </row>
    <row r="4818" spans="1:3" x14ac:dyDescent="0.2">
      <c r="A4818" s="10" t="str">
        <f>IF(4810&gt;$C$9008,"",INDEX($B$9:$B$9008,MATCH(4810,$C$9:$C$9008,0)))</f>
        <v/>
      </c>
      <c r="B4818" s="9" t="str">
        <f>IFERROR(INDEX(Input!$L$20:$T$1019,INT((ROW()-9)/9)+1,MOD(ROW()-9,9)+1),"")</f>
        <v/>
      </c>
      <c r="C4818" s="9">
        <f t="shared" si="75"/>
        <v>0</v>
      </c>
    </row>
    <row r="4819" spans="1:3" x14ac:dyDescent="0.2">
      <c r="A4819" s="10" t="str">
        <f>IF(4811&gt;$C$9008,"",INDEX($B$9:$B$9008,MATCH(4811,$C$9:$C$9008,0)))</f>
        <v/>
      </c>
      <c r="B4819" s="9" t="str">
        <f>IFERROR(INDEX(Input!$L$20:$T$1019,INT((ROW()-9)/9)+1,MOD(ROW()-9,9)+1),"")</f>
        <v/>
      </c>
      <c r="C4819" s="9">
        <f t="shared" si="75"/>
        <v>0</v>
      </c>
    </row>
    <row r="4820" spans="1:3" x14ac:dyDescent="0.2">
      <c r="A4820" s="10" t="str">
        <f>IF(4812&gt;$C$9008,"",INDEX($B$9:$B$9008,MATCH(4812,$C$9:$C$9008,0)))</f>
        <v/>
      </c>
      <c r="B4820" s="9" t="str">
        <f>IFERROR(INDEX(Input!$L$20:$T$1019,INT((ROW()-9)/9)+1,MOD(ROW()-9,9)+1),"")</f>
        <v/>
      </c>
      <c r="C4820" s="9">
        <f t="shared" si="75"/>
        <v>0</v>
      </c>
    </row>
    <row r="4821" spans="1:3" x14ac:dyDescent="0.2">
      <c r="A4821" s="10" t="str">
        <f>IF(4813&gt;$C$9008,"",INDEX($B$9:$B$9008,MATCH(4813,$C$9:$C$9008,0)))</f>
        <v/>
      </c>
      <c r="B4821" s="9" t="str">
        <f>IFERROR(INDEX(Input!$L$20:$T$1019,INT((ROW()-9)/9)+1,MOD(ROW()-9,9)+1),"")</f>
        <v/>
      </c>
      <c r="C4821" s="9">
        <f t="shared" si="75"/>
        <v>0</v>
      </c>
    </row>
    <row r="4822" spans="1:3" x14ac:dyDescent="0.2">
      <c r="A4822" s="10" t="str">
        <f>IF(4814&gt;$C$9008,"",INDEX($B$9:$B$9008,MATCH(4814,$C$9:$C$9008,0)))</f>
        <v/>
      </c>
      <c r="B4822" s="9" t="str">
        <f>IFERROR(INDEX(Input!$L$20:$T$1019,INT((ROW()-9)/9)+1,MOD(ROW()-9,9)+1),"")</f>
        <v/>
      </c>
      <c r="C4822" s="9">
        <f t="shared" si="75"/>
        <v>0</v>
      </c>
    </row>
    <row r="4823" spans="1:3" x14ac:dyDescent="0.2">
      <c r="A4823" s="10" t="str">
        <f>IF(4815&gt;$C$9008,"",INDEX($B$9:$B$9008,MATCH(4815,$C$9:$C$9008,0)))</f>
        <v/>
      </c>
      <c r="B4823" s="9" t="str">
        <f>IFERROR(INDEX(Input!$L$20:$T$1019,INT((ROW()-9)/9)+1,MOD(ROW()-9,9)+1),"")</f>
        <v/>
      </c>
      <c r="C4823" s="9">
        <f t="shared" si="75"/>
        <v>0</v>
      </c>
    </row>
    <row r="4824" spans="1:3" x14ac:dyDescent="0.2">
      <c r="A4824" s="10" t="str">
        <f>IF(4816&gt;$C$9008,"",INDEX($B$9:$B$9008,MATCH(4816,$C$9:$C$9008,0)))</f>
        <v/>
      </c>
      <c r="B4824" s="9" t="str">
        <f>IFERROR(INDEX(Input!$L$20:$T$1019,INT((ROW()-9)/9)+1,MOD(ROW()-9,9)+1),"")</f>
        <v/>
      </c>
      <c r="C4824" s="9">
        <f t="shared" si="75"/>
        <v>0</v>
      </c>
    </row>
    <row r="4825" spans="1:3" x14ac:dyDescent="0.2">
      <c r="A4825" s="10" t="str">
        <f>IF(4817&gt;$C$9008,"",INDEX($B$9:$B$9008,MATCH(4817,$C$9:$C$9008,0)))</f>
        <v/>
      </c>
      <c r="B4825" s="9" t="str">
        <f>IFERROR(INDEX(Input!$L$20:$T$1019,INT((ROW()-9)/9)+1,MOD(ROW()-9,9)+1),"")</f>
        <v/>
      </c>
      <c r="C4825" s="9">
        <f t="shared" si="75"/>
        <v>0</v>
      </c>
    </row>
    <row r="4826" spans="1:3" x14ac:dyDescent="0.2">
      <c r="A4826" s="10" t="str">
        <f>IF(4818&gt;$C$9008,"",INDEX($B$9:$B$9008,MATCH(4818,$C$9:$C$9008,0)))</f>
        <v/>
      </c>
      <c r="B4826" s="9" t="str">
        <f>IFERROR(INDEX(Input!$L$20:$T$1019,INT((ROW()-9)/9)+1,MOD(ROW()-9,9)+1),"")</f>
        <v/>
      </c>
      <c r="C4826" s="9">
        <f t="shared" si="75"/>
        <v>0</v>
      </c>
    </row>
    <row r="4827" spans="1:3" x14ac:dyDescent="0.2">
      <c r="A4827" s="10" t="str">
        <f>IF(4819&gt;$C$9008,"",INDEX($B$9:$B$9008,MATCH(4819,$C$9:$C$9008,0)))</f>
        <v/>
      </c>
      <c r="B4827" s="9" t="str">
        <f>IFERROR(INDEX(Input!$L$20:$T$1019,INT((ROW()-9)/9)+1,MOD(ROW()-9,9)+1),"")</f>
        <v/>
      </c>
      <c r="C4827" s="9">
        <f t="shared" si="75"/>
        <v>0</v>
      </c>
    </row>
    <row r="4828" spans="1:3" x14ac:dyDescent="0.2">
      <c r="A4828" s="10" t="str">
        <f>IF(4820&gt;$C$9008,"",INDEX($B$9:$B$9008,MATCH(4820,$C$9:$C$9008,0)))</f>
        <v/>
      </c>
      <c r="B4828" s="9" t="str">
        <f>IFERROR(INDEX(Input!$L$20:$T$1019,INT((ROW()-9)/9)+1,MOD(ROW()-9,9)+1),"")</f>
        <v/>
      </c>
      <c r="C4828" s="9">
        <f t="shared" si="75"/>
        <v>0</v>
      </c>
    </row>
    <row r="4829" spans="1:3" x14ac:dyDescent="0.2">
      <c r="A4829" s="10" t="str">
        <f>IF(4821&gt;$C$9008,"",INDEX($B$9:$B$9008,MATCH(4821,$C$9:$C$9008,0)))</f>
        <v/>
      </c>
      <c r="B4829" s="9" t="str">
        <f>IFERROR(INDEX(Input!$L$20:$T$1019,INT((ROW()-9)/9)+1,MOD(ROW()-9,9)+1),"")</f>
        <v/>
      </c>
      <c r="C4829" s="9">
        <f t="shared" si="75"/>
        <v>0</v>
      </c>
    </row>
    <row r="4830" spans="1:3" x14ac:dyDescent="0.2">
      <c r="A4830" s="10" t="str">
        <f>IF(4822&gt;$C$9008,"",INDEX($B$9:$B$9008,MATCH(4822,$C$9:$C$9008,0)))</f>
        <v/>
      </c>
      <c r="B4830" s="9" t="str">
        <f>IFERROR(INDEX(Input!$L$20:$T$1019,INT((ROW()-9)/9)+1,MOD(ROW()-9,9)+1),"")</f>
        <v/>
      </c>
      <c r="C4830" s="9">
        <f t="shared" si="75"/>
        <v>0</v>
      </c>
    </row>
    <row r="4831" spans="1:3" x14ac:dyDescent="0.2">
      <c r="A4831" s="10" t="str">
        <f>IF(4823&gt;$C$9008,"",INDEX($B$9:$B$9008,MATCH(4823,$C$9:$C$9008,0)))</f>
        <v/>
      </c>
      <c r="B4831" s="9" t="str">
        <f>IFERROR(INDEX(Input!$L$20:$T$1019,INT((ROW()-9)/9)+1,MOD(ROW()-9,9)+1),"")</f>
        <v/>
      </c>
      <c r="C4831" s="9">
        <f t="shared" si="75"/>
        <v>0</v>
      </c>
    </row>
    <row r="4832" spans="1:3" x14ac:dyDescent="0.2">
      <c r="A4832" s="10" t="str">
        <f>IF(4824&gt;$C$9008,"",INDEX($B$9:$B$9008,MATCH(4824,$C$9:$C$9008,0)))</f>
        <v/>
      </c>
      <c r="B4832" s="9" t="str">
        <f>IFERROR(INDEX(Input!$L$20:$T$1019,INT((ROW()-9)/9)+1,MOD(ROW()-9,9)+1),"")</f>
        <v/>
      </c>
      <c r="C4832" s="9">
        <f t="shared" si="75"/>
        <v>0</v>
      </c>
    </row>
    <row r="4833" spans="1:3" x14ac:dyDescent="0.2">
      <c r="A4833" s="10" t="str">
        <f>IF(4825&gt;$C$9008,"",INDEX($B$9:$B$9008,MATCH(4825,$C$9:$C$9008,0)))</f>
        <v/>
      </c>
      <c r="B4833" s="9" t="str">
        <f>IFERROR(INDEX(Input!$L$20:$T$1019,INT((ROW()-9)/9)+1,MOD(ROW()-9,9)+1),"")</f>
        <v/>
      </c>
      <c r="C4833" s="9">
        <f t="shared" si="75"/>
        <v>0</v>
      </c>
    </row>
    <row r="4834" spans="1:3" x14ac:dyDescent="0.2">
      <c r="A4834" s="10" t="str">
        <f>IF(4826&gt;$C$9008,"",INDEX($B$9:$B$9008,MATCH(4826,$C$9:$C$9008,0)))</f>
        <v/>
      </c>
      <c r="B4834" s="9" t="str">
        <f>IFERROR(INDEX(Input!$L$20:$T$1019,INT((ROW()-9)/9)+1,MOD(ROW()-9,9)+1),"")</f>
        <v/>
      </c>
      <c r="C4834" s="9">
        <f t="shared" si="75"/>
        <v>0</v>
      </c>
    </row>
    <row r="4835" spans="1:3" x14ac:dyDescent="0.2">
      <c r="A4835" s="10" t="str">
        <f>IF(4827&gt;$C$9008,"",INDEX($B$9:$B$9008,MATCH(4827,$C$9:$C$9008,0)))</f>
        <v/>
      </c>
      <c r="B4835" s="9" t="str">
        <f>IFERROR(INDEX(Input!$L$20:$T$1019,INT((ROW()-9)/9)+1,MOD(ROW()-9,9)+1),"")</f>
        <v/>
      </c>
      <c r="C4835" s="9">
        <f t="shared" si="75"/>
        <v>0</v>
      </c>
    </row>
    <row r="4836" spans="1:3" x14ac:dyDescent="0.2">
      <c r="A4836" s="10" t="str">
        <f>IF(4828&gt;$C$9008,"",INDEX($B$9:$B$9008,MATCH(4828,$C$9:$C$9008,0)))</f>
        <v/>
      </c>
      <c r="B4836" s="9" t="str">
        <f>IFERROR(INDEX(Input!$L$20:$T$1019,INT((ROW()-9)/9)+1,MOD(ROW()-9,9)+1),"")</f>
        <v/>
      </c>
      <c r="C4836" s="9">
        <f t="shared" si="75"/>
        <v>0</v>
      </c>
    </row>
    <row r="4837" spans="1:3" x14ac:dyDescent="0.2">
      <c r="A4837" s="10" t="str">
        <f>IF(4829&gt;$C$9008,"",INDEX($B$9:$B$9008,MATCH(4829,$C$9:$C$9008,0)))</f>
        <v/>
      </c>
      <c r="B4837" s="9" t="str">
        <f>IFERROR(INDEX(Input!$L$20:$T$1019,INT((ROW()-9)/9)+1,MOD(ROW()-9,9)+1),"")</f>
        <v/>
      </c>
      <c r="C4837" s="9">
        <f t="shared" si="75"/>
        <v>0</v>
      </c>
    </row>
    <row r="4838" spans="1:3" x14ac:dyDescent="0.2">
      <c r="A4838" s="10" t="str">
        <f>IF(4830&gt;$C$9008,"",INDEX($B$9:$B$9008,MATCH(4830,$C$9:$C$9008,0)))</f>
        <v/>
      </c>
      <c r="B4838" s="9" t="str">
        <f>IFERROR(INDEX(Input!$L$20:$T$1019,INT((ROW()-9)/9)+1,MOD(ROW()-9,9)+1),"")</f>
        <v/>
      </c>
      <c r="C4838" s="9">
        <f t="shared" si="75"/>
        <v>0</v>
      </c>
    </row>
    <row r="4839" spans="1:3" x14ac:dyDescent="0.2">
      <c r="A4839" s="10" t="str">
        <f>IF(4831&gt;$C$9008,"",INDEX($B$9:$B$9008,MATCH(4831,$C$9:$C$9008,0)))</f>
        <v/>
      </c>
      <c r="B4839" s="9" t="str">
        <f>IFERROR(INDEX(Input!$L$20:$T$1019,INT((ROW()-9)/9)+1,MOD(ROW()-9,9)+1),"")</f>
        <v/>
      </c>
      <c r="C4839" s="9">
        <f t="shared" si="75"/>
        <v>0</v>
      </c>
    </row>
    <row r="4840" spans="1:3" x14ac:dyDescent="0.2">
      <c r="A4840" s="10" t="str">
        <f>IF(4832&gt;$C$9008,"",INDEX($B$9:$B$9008,MATCH(4832,$C$9:$C$9008,0)))</f>
        <v/>
      </c>
      <c r="B4840" s="9" t="str">
        <f>IFERROR(INDEX(Input!$L$20:$T$1019,INT((ROW()-9)/9)+1,MOD(ROW()-9,9)+1),"")</f>
        <v/>
      </c>
      <c r="C4840" s="9">
        <f t="shared" si="75"/>
        <v>0</v>
      </c>
    </row>
    <row r="4841" spans="1:3" x14ac:dyDescent="0.2">
      <c r="A4841" s="10" t="str">
        <f>IF(4833&gt;$C$9008,"",INDEX($B$9:$B$9008,MATCH(4833,$C$9:$C$9008,0)))</f>
        <v/>
      </c>
      <c r="B4841" s="9" t="str">
        <f>IFERROR(INDEX(Input!$L$20:$T$1019,INT((ROW()-9)/9)+1,MOD(ROW()-9,9)+1),"")</f>
        <v/>
      </c>
      <c r="C4841" s="9">
        <f t="shared" si="75"/>
        <v>0</v>
      </c>
    </row>
    <row r="4842" spans="1:3" x14ac:dyDescent="0.2">
      <c r="A4842" s="10" t="str">
        <f>IF(4834&gt;$C$9008,"",INDEX($B$9:$B$9008,MATCH(4834,$C$9:$C$9008,0)))</f>
        <v/>
      </c>
      <c r="B4842" s="9" t="str">
        <f>IFERROR(INDEX(Input!$L$20:$T$1019,INT((ROW()-9)/9)+1,MOD(ROW()-9,9)+1),"")</f>
        <v/>
      </c>
      <c r="C4842" s="9">
        <f t="shared" si="75"/>
        <v>0</v>
      </c>
    </row>
    <row r="4843" spans="1:3" x14ac:dyDescent="0.2">
      <c r="A4843" s="10" t="str">
        <f>IF(4835&gt;$C$9008,"",INDEX($B$9:$B$9008,MATCH(4835,$C$9:$C$9008,0)))</f>
        <v/>
      </c>
      <c r="B4843" s="9" t="str">
        <f>IFERROR(INDEX(Input!$L$20:$T$1019,INT((ROW()-9)/9)+1,MOD(ROW()-9,9)+1),"")</f>
        <v/>
      </c>
      <c r="C4843" s="9">
        <f t="shared" si="75"/>
        <v>0</v>
      </c>
    </row>
    <row r="4844" spans="1:3" x14ac:dyDescent="0.2">
      <c r="A4844" s="10" t="str">
        <f>IF(4836&gt;$C$9008,"",INDEX($B$9:$B$9008,MATCH(4836,$C$9:$C$9008,0)))</f>
        <v/>
      </c>
      <c r="B4844" s="9" t="str">
        <f>IFERROR(INDEX(Input!$L$20:$T$1019,INT((ROW()-9)/9)+1,MOD(ROW()-9,9)+1),"")</f>
        <v/>
      </c>
      <c r="C4844" s="9">
        <f t="shared" si="75"/>
        <v>0</v>
      </c>
    </row>
    <row r="4845" spans="1:3" x14ac:dyDescent="0.2">
      <c r="A4845" s="10" t="str">
        <f>IF(4837&gt;$C$9008,"",INDEX($B$9:$B$9008,MATCH(4837,$C$9:$C$9008,0)))</f>
        <v/>
      </c>
      <c r="B4845" s="9" t="str">
        <f>IFERROR(INDEX(Input!$L$20:$T$1019,INT((ROW()-9)/9)+1,MOD(ROW()-9,9)+1),"")</f>
        <v/>
      </c>
      <c r="C4845" s="9">
        <f t="shared" si="75"/>
        <v>0</v>
      </c>
    </row>
    <row r="4846" spans="1:3" x14ac:dyDescent="0.2">
      <c r="A4846" s="10" t="str">
        <f>IF(4838&gt;$C$9008,"",INDEX($B$9:$B$9008,MATCH(4838,$C$9:$C$9008,0)))</f>
        <v/>
      </c>
      <c r="B4846" s="9" t="str">
        <f>IFERROR(INDEX(Input!$L$20:$T$1019,INT((ROW()-9)/9)+1,MOD(ROW()-9,9)+1),"")</f>
        <v/>
      </c>
      <c r="C4846" s="9">
        <f t="shared" si="75"/>
        <v>0</v>
      </c>
    </row>
    <row r="4847" spans="1:3" x14ac:dyDescent="0.2">
      <c r="A4847" s="10" t="str">
        <f>IF(4839&gt;$C$9008,"",INDEX($B$9:$B$9008,MATCH(4839,$C$9:$C$9008,0)))</f>
        <v/>
      </c>
      <c r="B4847" s="9" t="str">
        <f>IFERROR(INDEX(Input!$L$20:$T$1019,INT((ROW()-9)/9)+1,MOD(ROW()-9,9)+1),"")</f>
        <v/>
      </c>
      <c r="C4847" s="9">
        <f t="shared" si="75"/>
        <v>0</v>
      </c>
    </row>
    <row r="4848" spans="1:3" x14ac:dyDescent="0.2">
      <c r="A4848" s="10" t="str">
        <f>IF(4840&gt;$C$9008,"",INDEX($B$9:$B$9008,MATCH(4840,$C$9:$C$9008,0)))</f>
        <v/>
      </c>
      <c r="B4848" s="9" t="str">
        <f>IFERROR(INDEX(Input!$L$20:$T$1019,INT((ROW()-9)/9)+1,MOD(ROW()-9,9)+1),"")</f>
        <v/>
      </c>
      <c r="C4848" s="9">
        <f t="shared" si="75"/>
        <v>0</v>
      </c>
    </row>
    <row r="4849" spans="1:3" x14ac:dyDescent="0.2">
      <c r="A4849" s="10" t="str">
        <f>IF(4841&gt;$C$9008,"",INDEX($B$9:$B$9008,MATCH(4841,$C$9:$C$9008,0)))</f>
        <v/>
      </c>
      <c r="B4849" s="9" t="str">
        <f>IFERROR(INDEX(Input!$L$20:$T$1019,INT((ROW()-9)/9)+1,MOD(ROW()-9,9)+1),"")</f>
        <v/>
      </c>
      <c r="C4849" s="9">
        <f t="shared" si="75"/>
        <v>0</v>
      </c>
    </row>
    <row r="4850" spans="1:3" x14ac:dyDescent="0.2">
      <c r="A4850" s="10" t="str">
        <f>IF(4842&gt;$C$9008,"",INDEX($B$9:$B$9008,MATCH(4842,$C$9:$C$9008,0)))</f>
        <v/>
      </c>
      <c r="B4850" s="9" t="str">
        <f>IFERROR(INDEX(Input!$L$20:$T$1019,INT((ROW()-9)/9)+1,MOD(ROW()-9,9)+1),"")</f>
        <v/>
      </c>
      <c r="C4850" s="9">
        <f t="shared" si="75"/>
        <v>0</v>
      </c>
    </row>
    <row r="4851" spans="1:3" x14ac:dyDescent="0.2">
      <c r="A4851" s="10" t="str">
        <f>IF(4843&gt;$C$9008,"",INDEX($B$9:$B$9008,MATCH(4843,$C$9:$C$9008,0)))</f>
        <v/>
      </c>
      <c r="B4851" s="9" t="str">
        <f>IFERROR(INDEX(Input!$L$20:$T$1019,INT((ROW()-9)/9)+1,MOD(ROW()-9,9)+1),"")</f>
        <v/>
      </c>
      <c r="C4851" s="9">
        <f t="shared" si="75"/>
        <v>0</v>
      </c>
    </row>
    <row r="4852" spans="1:3" x14ac:dyDescent="0.2">
      <c r="A4852" s="10" t="str">
        <f>IF(4844&gt;$C$9008,"",INDEX($B$9:$B$9008,MATCH(4844,$C$9:$C$9008,0)))</f>
        <v/>
      </c>
      <c r="B4852" s="9" t="str">
        <f>IFERROR(INDEX(Input!$L$20:$T$1019,INT((ROW()-9)/9)+1,MOD(ROW()-9,9)+1),"")</f>
        <v/>
      </c>
      <c r="C4852" s="9">
        <f t="shared" si="75"/>
        <v>0</v>
      </c>
    </row>
    <row r="4853" spans="1:3" x14ac:dyDescent="0.2">
      <c r="A4853" s="10" t="str">
        <f>IF(4845&gt;$C$9008,"",INDEX($B$9:$B$9008,MATCH(4845,$C$9:$C$9008,0)))</f>
        <v/>
      </c>
      <c r="B4853" s="9" t="str">
        <f>IFERROR(INDEX(Input!$L$20:$T$1019,INT((ROW()-9)/9)+1,MOD(ROW()-9,9)+1),"")</f>
        <v/>
      </c>
      <c r="C4853" s="9">
        <f t="shared" si="75"/>
        <v>0</v>
      </c>
    </row>
    <row r="4854" spans="1:3" x14ac:dyDescent="0.2">
      <c r="A4854" s="10" t="str">
        <f>IF(4846&gt;$C$9008,"",INDEX($B$9:$B$9008,MATCH(4846,$C$9:$C$9008,0)))</f>
        <v/>
      </c>
      <c r="B4854" s="9" t="str">
        <f>IFERROR(INDEX(Input!$L$20:$T$1019,INT((ROW()-9)/9)+1,MOD(ROW()-9,9)+1),"")</f>
        <v/>
      </c>
      <c r="C4854" s="9">
        <f t="shared" si="75"/>
        <v>0</v>
      </c>
    </row>
    <row r="4855" spans="1:3" x14ac:dyDescent="0.2">
      <c r="A4855" s="10" t="str">
        <f>IF(4847&gt;$C$9008,"",INDEX($B$9:$B$9008,MATCH(4847,$C$9:$C$9008,0)))</f>
        <v/>
      </c>
      <c r="B4855" s="9" t="str">
        <f>IFERROR(INDEX(Input!$L$20:$T$1019,INT((ROW()-9)/9)+1,MOD(ROW()-9,9)+1),"")</f>
        <v/>
      </c>
      <c r="C4855" s="9">
        <f t="shared" si="75"/>
        <v>0</v>
      </c>
    </row>
    <row r="4856" spans="1:3" x14ac:dyDescent="0.2">
      <c r="A4856" s="10" t="str">
        <f>IF(4848&gt;$C$9008,"",INDEX($B$9:$B$9008,MATCH(4848,$C$9:$C$9008,0)))</f>
        <v/>
      </c>
      <c r="B4856" s="9" t="str">
        <f>IFERROR(INDEX(Input!$L$20:$T$1019,INT((ROW()-9)/9)+1,MOD(ROW()-9,9)+1),"")</f>
        <v/>
      </c>
      <c r="C4856" s="9">
        <f t="shared" si="75"/>
        <v>0</v>
      </c>
    </row>
    <row r="4857" spans="1:3" x14ac:dyDescent="0.2">
      <c r="A4857" s="10" t="str">
        <f>IF(4849&gt;$C$9008,"",INDEX($B$9:$B$9008,MATCH(4849,$C$9:$C$9008,0)))</f>
        <v/>
      </c>
      <c r="B4857" s="9" t="str">
        <f>IFERROR(INDEX(Input!$L$20:$T$1019,INT((ROW()-9)/9)+1,MOD(ROW()-9,9)+1),"")</f>
        <v/>
      </c>
      <c r="C4857" s="9">
        <f t="shared" si="75"/>
        <v>0</v>
      </c>
    </row>
    <row r="4858" spans="1:3" x14ac:dyDescent="0.2">
      <c r="A4858" s="10" t="str">
        <f>IF(4850&gt;$C$9008,"",INDEX($B$9:$B$9008,MATCH(4850,$C$9:$C$9008,0)))</f>
        <v/>
      </c>
      <c r="B4858" s="9" t="str">
        <f>IFERROR(INDEX(Input!$L$20:$T$1019,INT((ROW()-9)/9)+1,MOD(ROW()-9,9)+1),"")</f>
        <v/>
      </c>
      <c r="C4858" s="9">
        <f t="shared" si="75"/>
        <v>0</v>
      </c>
    </row>
    <row r="4859" spans="1:3" x14ac:dyDescent="0.2">
      <c r="A4859" s="10" t="str">
        <f>IF(4851&gt;$C$9008,"",INDEX($B$9:$B$9008,MATCH(4851,$C$9:$C$9008,0)))</f>
        <v/>
      </c>
      <c r="B4859" s="9" t="str">
        <f>IFERROR(INDEX(Input!$L$20:$T$1019,INT((ROW()-9)/9)+1,MOD(ROW()-9,9)+1),"")</f>
        <v/>
      </c>
      <c r="C4859" s="9">
        <f t="shared" si="75"/>
        <v>0</v>
      </c>
    </row>
    <row r="4860" spans="1:3" x14ac:dyDescent="0.2">
      <c r="A4860" s="10" t="str">
        <f>IF(4852&gt;$C$9008,"",INDEX($B$9:$B$9008,MATCH(4852,$C$9:$C$9008,0)))</f>
        <v/>
      </c>
      <c r="B4860" s="9" t="str">
        <f>IFERROR(INDEX(Input!$L$20:$T$1019,INT((ROW()-9)/9)+1,MOD(ROW()-9,9)+1),"")</f>
        <v/>
      </c>
      <c r="C4860" s="9">
        <f t="shared" si="75"/>
        <v>0</v>
      </c>
    </row>
    <row r="4861" spans="1:3" x14ac:dyDescent="0.2">
      <c r="A4861" s="10" t="str">
        <f>IF(4853&gt;$C$9008,"",INDEX($B$9:$B$9008,MATCH(4853,$C$9:$C$9008,0)))</f>
        <v/>
      </c>
      <c r="B4861" s="9" t="str">
        <f>IFERROR(INDEX(Input!$L$20:$T$1019,INT((ROW()-9)/9)+1,MOD(ROW()-9,9)+1),"")</f>
        <v/>
      </c>
      <c r="C4861" s="9">
        <f t="shared" si="75"/>
        <v>0</v>
      </c>
    </row>
    <row r="4862" spans="1:3" x14ac:dyDescent="0.2">
      <c r="A4862" s="10" t="str">
        <f>IF(4854&gt;$C$9008,"",INDEX($B$9:$B$9008,MATCH(4854,$C$9:$C$9008,0)))</f>
        <v/>
      </c>
      <c r="B4862" s="9" t="str">
        <f>IFERROR(INDEX(Input!$L$20:$T$1019,INT((ROW()-9)/9)+1,MOD(ROW()-9,9)+1),"")</f>
        <v/>
      </c>
      <c r="C4862" s="9">
        <f t="shared" si="75"/>
        <v>0</v>
      </c>
    </row>
    <row r="4863" spans="1:3" x14ac:dyDescent="0.2">
      <c r="A4863" s="10" t="str">
        <f>IF(4855&gt;$C$9008,"",INDEX($B$9:$B$9008,MATCH(4855,$C$9:$C$9008,0)))</f>
        <v/>
      </c>
      <c r="B4863" s="9" t="str">
        <f>IFERROR(INDEX(Input!$L$20:$T$1019,INT((ROW()-9)/9)+1,MOD(ROW()-9,9)+1),"")</f>
        <v/>
      </c>
      <c r="C4863" s="9">
        <f t="shared" si="75"/>
        <v>0</v>
      </c>
    </row>
    <row r="4864" spans="1:3" x14ac:dyDescent="0.2">
      <c r="A4864" s="10" t="str">
        <f>IF(4856&gt;$C$9008,"",INDEX($B$9:$B$9008,MATCH(4856,$C$9:$C$9008,0)))</f>
        <v/>
      </c>
      <c r="B4864" s="9" t="str">
        <f>IFERROR(INDEX(Input!$L$20:$T$1019,INT((ROW()-9)/9)+1,MOD(ROW()-9,9)+1),"")</f>
        <v/>
      </c>
      <c r="C4864" s="9">
        <f t="shared" si="75"/>
        <v>0</v>
      </c>
    </row>
    <row r="4865" spans="1:3" x14ac:dyDescent="0.2">
      <c r="A4865" s="10" t="str">
        <f>IF(4857&gt;$C$9008,"",INDEX($B$9:$B$9008,MATCH(4857,$C$9:$C$9008,0)))</f>
        <v/>
      </c>
      <c r="B4865" s="9" t="str">
        <f>IFERROR(INDEX(Input!$L$20:$T$1019,INT((ROW()-9)/9)+1,MOD(ROW()-9,9)+1),"")</f>
        <v/>
      </c>
      <c r="C4865" s="9">
        <f t="shared" si="75"/>
        <v>0</v>
      </c>
    </row>
    <row r="4866" spans="1:3" x14ac:dyDescent="0.2">
      <c r="A4866" s="10" t="str">
        <f>IF(4858&gt;$C$9008,"",INDEX($B$9:$B$9008,MATCH(4858,$C$9:$C$9008,0)))</f>
        <v/>
      </c>
      <c r="B4866" s="9" t="str">
        <f>IFERROR(INDEX(Input!$L$20:$T$1019,INT((ROW()-9)/9)+1,MOD(ROW()-9,9)+1),"")</f>
        <v/>
      </c>
      <c r="C4866" s="9">
        <f t="shared" si="75"/>
        <v>0</v>
      </c>
    </row>
    <row r="4867" spans="1:3" x14ac:dyDescent="0.2">
      <c r="A4867" s="10" t="str">
        <f>IF(4859&gt;$C$9008,"",INDEX($B$9:$B$9008,MATCH(4859,$C$9:$C$9008,0)))</f>
        <v/>
      </c>
      <c r="B4867" s="9" t="str">
        <f>IFERROR(INDEX(Input!$L$20:$T$1019,INT((ROW()-9)/9)+1,MOD(ROW()-9,9)+1),"")</f>
        <v/>
      </c>
      <c r="C4867" s="9">
        <f t="shared" si="75"/>
        <v>0</v>
      </c>
    </row>
    <row r="4868" spans="1:3" x14ac:dyDescent="0.2">
      <c r="A4868" s="10" t="str">
        <f>IF(4860&gt;$C$9008,"",INDEX($B$9:$B$9008,MATCH(4860,$C$9:$C$9008,0)))</f>
        <v/>
      </c>
      <c r="B4868" s="9" t="str">
        <f>IFERROR(INDEX(Input!$L$20:$T$1019,INT((ROW()-9)/9)+1,MOD(ROW()-9,9)+1),"")</f>
        <v/>
      </c>
      <c r="C4868" s="9">
        <f t="shared" si="75"/>
        <v>0</v>
      </c>
    </row>
    <row r="4869" spans="1:3" x14ac:dyDescent="0.2">
      <c r="A4869" s="10" t="str">
        <f>IF(4861&gt;$C$9008,"",INDEX($B$9:$B$9008,MATCH(4861,$C$9:$C$9008,0)))</f>
        <v/>
      </c>
      <c r="B4869" s="9" t="str">
        <f>IFERROR(INDEX(Input!$L$20:$T$1019,INT((ROW()-9)/9)+1,MOD(ROW()-9,9)+1),"")</f>
        <v/>
      </c>
      <c r="C4869" s="9">
        <f t="shared" si="75"/>
        <v>0</v>
      </c>
    </row>
    <row r="4870" spans="1:3" x14ac:dyDescent="0.2">
      <c r="A4870" s="10" t="str">
        <f>IF(4862&gt;$C$9008,"",INDEX($B$9:$B$9008,MATCH(4862,$C$9:$C$9008,0)))</f>
        <v/>
      </c>
      <c r="B4870" s="9" t="str">
        <f>IFERROR(INDEX(Input!$L$20:$T$1019,INT((ROW()-9)/9)+1,MOD(ROW()-9,9)+1),"")</f>
        <v/>
      </c>
      <c r="C4870" s="9">
        <f t="shared" si="75"/>
        <v>0</v>
      </c>
    </row>
    <row r="4871" spans="1:3" x14ac:dyDescent="0.2">
      <c r="A4871" s="10" t="str">
        <f>IF(4863&gt;$C$9008,"",INDEX($B$9:$B$9008,MATCH(4863,$C$9:$C$9008,0)))</f>
        <v/>
      </c>
      <c r="B4871" s="9" t="str">
        <f>IFERROR(INDEX(Input!$L$20:$T$1019,INT((ROW()-9)/9)+1,MOD(ROW()-9,9)+1),"")</f>
        <v/>
      </c>
      <c r="C4871" s="9">
        <f t="shared" si="75"/>
        <v>0</v>
      </c>
    </row>
    <row r="4872" spans="1:3" x14ac:dyDescent="0.2">
      <c r="A4872" s="10" t="str">
        <f>IF(4864&gt;$C$9008,"",INDEX($B$9:$B$9008,MATCH(4864,$C$9:$C$9008,0)))</f>
        <v/>
      </c>
      <c r="B4872" s="9" t="str">
        <f>IFERROR(INDEX(Input!$L$20:$T$1019,INT((ROW()-9)/9)+1,MOD(ROW()-9,9)+1),"")</f>
        <v/>
      </c>
      <c r="C4872" s="9">
        <f t="shared" si="75"/>
        <v>0</v>
      </c>
    </row>
    <row r="4873" spans="1:3" x14ac:dyDescent="0.2">
      <c r="A4873" s="10" t="str">
        <f>IF(4865&gt;$C$9008,"",INDEX($B$9:$B$9008,MATCH(4865,$C$9:$C$9008,0)))</f>
        <v/>
      </c>
      <c r="B4873" s="9" t="str">
        <f>IFERROR(INDEX(Input!$L$20:$T$1019,INT((ROW()-9)/9)+1,MOD(ROW()-9,9)+1),"")</f>
        <v/>
      </c>
      <c r="C4873" s="9">
        <f t="shared" ref="C4873:C4936" si="76">$C4872+IF($B4873&lt;&gt;"",1,0)</f>
        <v>0</v>
      </c>
    </row>
    <row r="4874" spans="1:3" x14ac:dyDescent="0.2">
      <c r="A4874" s="10" t="str">
        <f>IF(4866&gt;$C$9008,"",INDEX($B$9:$B$9008,MATCH(4866,$C$9:$C$9008,0)))</f>
        <v/>
      </c>
      <c r="B4874" s="9" t="str">
        <f>IFERROR(INDEX(Input!$L$20:$T$1019,INT((ROW()-9)/9)+1,MOD(ROW()-9,9)+1),"")</f>
        <v/>
      </c>
      <c r="C4874" s="9">
        <f t="shared" si="76"/>
        <v>0</v>
      </c>
    </row>
    <row r="4875" spans="1:3" x14ac:dyDescent="0.2">
      <c r="A4875" s="10" t="str">
        <f>IF(4867&gt;$C$9008,"",INDEX($B$9:$B$9008,MATCH(4867,$C$9:$C$9008,0)))</f>
        <v/>
      </c>
      <c r="B4875" s="9" t="str">
        <f>IFERROR(INDEX(Input!$L$20:$T$1019,INT((ROW()-9)/9)+1,MOD(ROW()-9,9)+1),"")</f>
        <v/>
      </c>
      <c r="C4875" s="9">
        <f t="shared" si="76"/>
        <v>0</v>
      </c>
    </row>
    <row r="4876" spans="1:3" x14ac:dyDescent="0.2">
      <c r="A4876" s="10" t="str">
        <f>IF(4868&gt;$C$9008,"",INDEX($B$9:$B$9008,MATCH(4868,$C$9:$C$9008,0)))</f>
        <v/>
      </c>
      <c r="B4876" s="9" t="str">
        <f>IFERROR(INDEX(Input!$L$20:$T$1019,INT((ROW()-9)/9)+1,MOD(ROW()-9,9)+1),"")</f>
        <v/>
      </c>
      <c r="C4876" s="9">
        <f t="shared" si="76"/>
        <v>0</v>
      </c>
    </row>
    <row r="4877" spans="1:3" x14ac:dyDescent="0.2">
      <c r="A4877" s="10" t="str">
        <f>IF(4869&gt;$C$9008,"",INDEX($B$9:$B$9008,MATCH(4869,$C$9:$C$9008,0)))</f>
        <v/>
      </c>
      <c r="B4877" s="9" t="str">
        <f>IFERROR(INDEX(Input!$L$20:$T$1019,INT((ROW()-9)/9)+1,MOD(ROW()-9,9)+1),"")</f>
        <v/>
      </c>
      <c r="C4877" s="9">
        <f t="shared" si="76"/>
        <v>0</v>
      </c>
    </row>
    <row r="4878" spans="1:3" x14ac:dyDescent="0.2">
      <c r="A4878" s="10" t="str">
        <f>IF(4870&gt;$C$9008,"",INDEX($B$9:$B$9008,MATCH(4870,$C$9:$C$9008,0)))</f>
        <v/>
      </c>
      <c r="B4878" s="9" t="str">
        <f>IFERROR(INDEX(Input!$L$20:$T$1019,INT((ROW()-9)/9)+1,MOD(ROW()-9,9)+1),"")</f>
        <v/>
      </c>
      <c r="C4878" s="9">
        <f t="shared" si="76"/>
        <v>0</v>
      </c>
    </row>
    <row r="4879" spans="1:3" x14ac:dyDescent="0.2">
      <c r="A4879" s="10" t="str">
        <f>IF(4871&gt;$C$9008,"",INDEX($B$9:$B$9008,MATCH(4871,$C$9:$C$9008,0)))</f>
        <v/>
      </c>
      <c r="B4879" s="9" t="str">
        <f>IFERROR(INDEX(Input!$L$20:$T$1019,INT((ROW()-9)/9)+1,MOD(ROW()-9,9)+1),"")</f>
        <v/>
      </c>
      <c r="C4879" s="9">
        <f t="shared" si="76"/>
        <v>0</v>
      </c>
    </row>
    <row r="4880" spans="1:3" x14ac:dyDescent="0.2">
      <c r="A4880" s="10" t="str">
        <f>IF(4872&gt;$C$9008,"",INDEX($B$9:$B$9008,MATCH(4872,$C$9:$C$9008,0)))</f>
        <v/>
      </c>
      <c r="B4880" s="9" t="str">
        <f>IFERROR(INDEX(Input!$L$20:$T$1019,INT((ROW()-9)/9)+1,MOD(ROW()-9,9)+1),"")</f>
        <v/>
      </c>
      <c r="C4880" s="9">
        <f t="shared" si="76"/>
        <v>0</v>
      </c>
    </row>
    <row r="4881" spans="1:3" x14ac:dyDescent="0.2">
      <c r="A4881" s="10" t="str">
        <f>IF(4873&gt;$C$9008,"",INDEX($B$9:$B$9008,MATCH(4873,$C$9:$C$9008,0)))</f>
        <v/>
      </c>
      <c r="B4881" s="9" t="str">
        <f>IFERROR(INDEX(Input!$L$20:$T$1019,INT((ROW()-9)/9)+1,MOD(ROW()-9,9)+1),"")</f>
        <v/>
      </c>
      <c r="C4881" s="9">
        <f t="shared" si="76"/>
        <v>0</v>
      </c>
    </row>
    <row r="4882" spans="1:3" x14ac:dyDescent="0.2">
      <c r="A4882" s="10" t="str">
        <f>IF(4874&gt;$C$9008,"",INDEX($B$9:$B$9008,MATCH(4874,$C$9:$C$9008,0)))</f>
        <v/>
      </c>
      <c r="B4882" s="9" t="str">
        <f>IFERROR(INDEX(Input!$L$20:$T$1019,INT((ROW()-9)/9)+1,MOD(ROW()-9,9)+1),"")</f>
        <v/>
      </c>
      <c r="C4882" s="9">
        <f t="shared" si="76"/>
        <v>0</v>
      </c>
    </row>
    <row r="4883" spans="1:3" x14ac:dyDescent="0.2">
      <c r="A4883" s="10" t="str">
        <f>IF(4875&gt;$C$9008,"",INDEX($B$9:$B$9008,MATCH(4875,$C$9:$C$9008,0)))</f>
        <v/>
      </c>
      <c r="B4883" s="9" t="str">
        <f>IFERROR(INDEX(Input!$L$20:$T$1019,INT((ROW()-9)/9)+1,MOD(ROW()-9,9)+1),"")</f>
        <v/>
      </c>
      <c r="C4883" s="9">
        <f t="shared" si="76"/>
        <v>0</v>
      </c>
    </row>
    <row r="4884" spans="1:3" x14ac:dyDescent="0.2">
      <c r="A4884" s="10" t="str">
        <f>IF(4876&gt;$C$9008,"",INDEX($B$9:$B$9008,MATCH(4876,$C$9:$C$9008,0)))</f>
        <v/>
      </c>
      <c r="B4884" s="9" t="str">
        <f>IFERROR(INDEX(Input!$L$20:$T$1019,INT((ROW()-9)/9)+1,MOD(ROW()-9,9)+1),"")</f>
        <v/>
      </c>
      <c r="C4884" s="9">
        <f t="shared" si="76"/>
        <v>0</v>
      </c>
    </row>
    <row r="4885" spans="1:3" x14ac:dyDescent="0.2">
      <c r="A4885" s="10" t="str">
        <f>IF(4877&gt;$C$9008,"",INDEX($B$9:$B$9008,MATCH(4877,$C$9:$C$9008,0)))</f>
        <v/>
      </c>
      <c r="B4885" s="9" t="str">
        <f>IFERROR(INDEX(Input!$L$20:$T$1019,INT((ROW()-9)/9)+1,MOD(ROW()-9,9)+1),"")</f>
        <v/>
      </c>
      <c r="C4885" s="9">
        <f t="shared" si="76"/>
        <v>0</v>
      </c>
    </row>
    <row r="4886" spans="1:3" x14ac:dyDescent="0.2">
      <c r="A4886" s="10" t="str">
        <f>IF(4878&gt;$C$9008,"",INDEX($B$9:$B$9008,MATCH(4878,$C$9:$C$9008,0)))</f>
        <v/>
      </c>
      <c r="B4886" s="9" t="str">
        <f>IFERROR(INDEX(Input!$L$20:$T$1019,INT((ROW()-9)/9)+1,MOD(ROW()-9,9)+1),"")</f>
        <v/>
      </c>
      <c r="C4886" s="9">
        <f t="shared" si="76"/>
        <v>0</v>
      </c>
    </row>
    <row r="4887" spans="1:3" x14ac:dyDescent="0.2">
      <c r="A4887" s="10" t="str">
        <f>IF(4879&gt;$C$9008,"",INDEX($B$9:$B$9008,MATCH(4879,$C$9:$C$9008,0)))</f>
        <v/>
      </c>
      <c r="B4887" s="9" t="str">
        <f>IFERROR(INDEX(Input!$L$20:$T$1019,INT((ROW()-9)/9)+1,MOD(ROW()-9,9)+1),"")</f>
        <v/>
      </c>
      <c r="C4887" s="9">
        <f t="shared" si="76"/>
        <v>0</v>
      </c>
    </row>
    <row r="4888" spans="1:3" x14ac:dyDescent="0.2">
      <c r="A4888" s="10" t="str">
        <f>IF(4880&gt;$C$9008,"",INDEX($B$9:$B$9008,MATCH(4880,$C$9:$C$9008,0)))</f>
        <v/>
      </c>
      <c r="B4888" s="9" t="str">
        <f>IFERROR(INDEX(Input!$L$20:$T$1019,INT((ROW()-9)/9)+1,MOD(ROW()-9,9)+1),"")</f>
        <v/>
      </c>
      <c r="C4888" s="9">
        <f t="shared" si="76"/>
        <v>0</v>
      </c>
    </row>
    <row r="4889" spans="1:3" x14ac:dyDescent="0.2">
      <c r="A4889" s="10" t="str">
        <f>IF(4881&gt;$C$9008,"",INDEX($B$9:$B$9008,MATCH(4881,$C$9:$C$9008,0)))</f>
        <v/>
      </c>
      <c r="B4889" s="9" t="str">
        <f>IFERROR(INDEX(Input!$L$20:$T$1019,INT((ROW()-9)/9)+1,MOD(ROW()-9,9)+1),"")</f>
        <v/>
      </c>
      <c r="C4889" s="9">
        <f t="shared" si="76"/>
        <v>0</v>
      </c>
    </row>
    <row r="4890" spans="1:3" x14ac:dyDescent="0.2">
      <c r="A4890" s="10" t="str">
        <f>IF(4882&gt;$C$9008,"",INDEX($B$9:$B$9008,MATCH(4882,$C$9:$C$9008,0)))</f>
        <v/>
      </c>
      <c r="B4890" s="9" t="str">
        <f>IFERROR(INDEX(Input!$L$20:$T$1019,INT((ROW()-9)/9)+1,MOD(ROW()-9,9)+1),"")</f>
        <v/>
      </c>
      <c r="C4890" s="9">
        <f t="shared" si="76"/>
        <v>0</v>
      </c>
    </row>
    <row r="4891" spans="1:3" x14ac:dyDescent="0.2">
      <c r="A4891" s="10" t="str">
        <f>IF(4883&gt;$C$9008,"",INDEX($B$9:$B$9008,MATCH(4883,$C$9:$C$9008,0)))</f>
        <v/>
      </c>
      <c r="B4891" s="9" t="str">
        <f>IFERROR(INDEX(Input!$L$20:$T$1019,INT((ROW()-9)/9)+1,MOD(ROW()-9,9)+1),"")</f>
        <v/>
      </c>
      <c r="C4891" s="9">
        <f t="shared" si="76"/>
        <v>0</v>
      </c>
    </row>
    <row r="4892" spans="1:3" x14ac:dyDescent="0.2">
      <c r="A4892" s="10" t="str">
        <f>IF(4884&gt;$C$9008,"",INDEX($B$9:$B$9008,MATCH(4884,$C$9:$C$9008,0)))</f>
        <v/>
      </c>
      <c r="B4892" s="9" t="str">
        <f>IFERROR(INDEX(Input!$L$20:$T$1019,INT((ROW()-9)/9)+1,MOD(ROW()-9,9)+1),"")</f>
        <v/>
      </c>
      <c r="C4892" s="9">
        <f t="shared" si="76"/>
        <v>0</v>
      </c>
    </row>
    <row r="4893" spans="1:3" x14ac:dyDescent="0.2">
      <c r="A4893" s="10" t="str">
        <f>IF(4885&gt;$C$9008,"",INDEX($B$9:$B$9008,MATCH(4885,$C$9:$C$9008,0)))</f>
        <v/>
      </c>
      <c r="B4893" s="9" t="str">
        <f>IFERROR(INDEX(Input!$L$20:$T$1019,INT((ROW()-9)/9)+1,MOD(ROW()-9,9)+1),"")</f>
        <v/>
      </c>
      <c r="C4893" s="9">
        <f t="shared" si="76"/>
        <v>0</v>
      </c>
    </row>
    <row r="4894" spans="1:3" x14ac:dyDescent="0.2">
      <c r="A4894" s="10" t="str">
        <f>IF(4886&gt;$C$9008,"",INDEX($B$9:$B$9008,MATCH(4886,$C$9:$C$9008,0)))</f>
        <v/>
      </c>
      <c r="B4894" s="9" t="str">
        <f>IFERROR(INDEX(Input!$L$20:$T$1019,INT((ROW()-9)/9)+1,MOD(ROW()-9,9)+1),"")</f>
        <v/>
      </c>
      <c r="C4894" s="9">
        <f t="shared" si="76"/>
        <v>0</v>
      </c>
    </row>
    <row r="4895" spans="1:3" x14ac:dyDescent="0.2">
      <c r="A4895" s="10" t="str">
        <f>IF(4887&gt;$C$9008,"",INDEX($B$9:$B$9008,MATCH(4887,$C$9:$C$9008,0)))</f>
        <v/>
      </c>
      <c r="B4895" s="9" t="str">
        <f>IFERROR(INDEX(Input!$L$20:$T$1019,INT((ROW()-9)/9)+1,MOD(ROW()-9,9)+1),"")</f>
        <v/>
      </c>
      <c r="C4895" s="9">
        <f t="shared" si="76"/>
        <v>0</v>
      </c>
    </row>
    <row r="4896" spans="1:3" x14ac:dyDescent="0.2">
      <c r="A4896" s="10" t="str">
        <f>IF(4888&gt;$C$9008,"",INDEX($B$9:$B$9008,MATCH(4888,$C$9:$C$9008,0)))</f>
        <v/>
      </c>
      <c r="B4896" s="9" t="str">
        <f>IFERROR(INDEX(Input!$L$20:$T$1019,INT((ROW()-9)/9)+1,MOD(ROW()-9,9)+1),"")</f>
        <v/>
      </c>
      <c r="C4896" s="9">
        <f t="shared" si="76"/>
        <v>0</v>
      </c>
    </row>
    <row r="4897" spans="1:3" x14ac:dyDescent="0.2">
      <c r="A4897" s="10" t="str">
        <f>IF(4889&gt;$C$9008,"",INDEX($B$9:$B$9008,MATCH(4889,$C$9:$C$9008,0)))</f>
        <v/>
      </c>
      <c r="B4897" s="9" t="str">
        <f>IFERROR(INDEX(Input!$L$20:$T$1019,INT((ROW()-9)/9)+1,MOD(ROW()-9,9)+1),"")</f>
        <v/>
      </c>
      <c r="C4897" s="9">
        <f t="shared" si="76"/>
        <v>0</v>
      </c>
    </row>
    <row r="4898" spans="1:3" x14ac:dyDescent="0.2">
      <c r="A4898" s="10" t="str">
        <f>IF(4890&gt;$C$9008,"",INDEX($B$9:$B$9008,MATCH(4890,$C$9:$C$9008,0)))</f>
        <v/>
      </c>
      <c r="B4898" s="9" t="str">
        <f>IFERROR(INDEX(Input!$L$20:$T$1019,INT((ROW()-9)/9)+1,MOD(ROW()-9,9)+1),"")</f>
        <v/>
      </c>
      <c r="C4898" s="9">
        <f t="shared" si="76"/>
        <v>0</v>
      </c>
    </row>
    <row r="4899" spans="1:3" x14ac:dyDescent="0.2">
      <c r="A4899" s="10" t="str">
        <f>IF(4891&gt;$C$9008,"",INDEX($B$9:$B$9008,MATCH(4891,$C$9:$C$9008,0)))</f>
        <v/>
      </c>
      <c r="B4899" s="9" t="str">
        <f>IFERROR(INDEX(Input!$L$20:$T$1019,INT((ROW()-9)/9)+1,MOD(ROW()-9,9)+1),"")</f>
        <v/>
      </c>
      <c r="C4899" s="9">
        <f t="shared" si="76"/>
        <v>0</v>
      </c>
    </row>
    <row r="4900" spans="1:3" x14ac:dyDescent="0.2">
      <c r="A4900" s="10" t="str">
        <f>IF(4892&gt;$C$9008,"",INDEX($B$9:$B$9008,MATCH(4892,$C$9:$C$9008,0)))</f>
        <v/>
      </c>
      <c r="B4900" s="9" t="str">
        <f>IFERROR(INDEX(Input!$L$20:$T$1019,INT((ROW()-9)/9)+1,MOD(ROW()-9,9)+1),"")</f>
        <v/>
      </c>
      <c r="C4900" s="9">
        <f t="shared" si="76"/>
        <v>0</v>
      </c>
    </row>
    <row r="4901" spans="1:3" x14ac:dyDescent="0.2">
      <c r="A4901" s="10" t="str">
        <f>IF(4893&gt;$C$9008,"",INDEX($B$9:$B$9008,MATCH(4893,$C$9:$C$9008,0)))</f>
        <v/>
      </c>
      <c r="B4901" s="9" t="str">
        <f>IFERROR(INDEX(Input!$L$20:$T$1019,INT((ROW()-9)/9)+1,MOD(ROW()-9,9)+1),"")</f>
        <v/>
      </c>
      <c r="C4901" s="9">
        <f t="shared" si="76"/>
        <v>0</v>
      </c>
    </row>
    <row r="4902" spans="1:3" x14ac:dyDescent="0.2">
      <c r="A4902" s="10" t="str">
        <f>IF(4894&gt;$C$9008,"",INDEX($B$9:$B$9008,MATCH(4894,$C$9:$C$9008,0)))</f>
        <v/>
      </c>
      <c r="B4902" s="9" t="str">
        <f>IFERROR(INDEX(Input!$L$20:$T$1019,INT((ROW()-9)/9)+1,MOD(ROW()-9,9)+1),"")</f>
        <v/>
      </c>
      <c r="C4902" s="9">
        <f t="shared" si="76"/>
        <v>0</v>
      </c>
    </row>
    <row r="4903" spans="1:3" x14ac:dyDescent="0.2">
      <c r="A4903" s="10" t="str">
        <f>IF(4895&gt;$C$9008,"",INDEX($B$9:$B$9008,MATCH(4895,$C$9:$C$9008,0)))</f>
        <v/>
      </c>
      <c r="B4903" s="9" t="str">
        <f>IFERROR(INDEX(Input!$L$20:$T$1019,INT((ROW()-9)/9)+1,MOD(ROW()-9,9)+1),"")</f>
        <v/>
      </c>
      <c r="C4903" s="9">
        <f t="shared" si="76"/>
        <v>0</v>
      </c>
    </row>
    <row r="4904" spans="1:3" x14ac:dyDescent="0.2">
      <c r="A4904" s="10" t="str">
        <f>IF(4896&gt;$C$9008,"",INDEX($B$9:$B$9008,MATCH(4896,$C$9:$C$9008,0)))</f>
        <v/>
      </c>
      <c r="B4904" s="9" t="str">
        <f>IFERROR(INDEX(Input!$L$20:$T$1019,INT((ROW()-9)/9)+1,MOD(ROW()-9,9)+1),"")</f>
        <v/>
      </c>
      <c r="C4904" s="9">
        <f t="shared" si="76"/>
        <v>0</v>
      </c>
    </row>
    <row r="4905" spans="1:3" x14ac:dyDescent="0.2">
      <c r="A4905" s="10" t="str">
        <f>IF(4897&gt;$C$9008,"",INDEX($B$9:$B$9008,MATCH(4897,$C$9:$C$9008,0)))</f>
        <v/>
      </c>
      <c r="B4905" s="9" t="str">
        <f>IFERROR(INDEX(Input!$L$20:$T$1019,INT((ROW()-9)/9)+1,MOD(ROW()-9,9)+1),"")</f>
        <v/>
      </c>
      <c r="C4905" s="9">
        <f t="shared" si="76"/>
        <v>0</v>
      </c>
    </row>
    <row r="4906" spans="1:3" x14ac:dyDescent="0.2">
      <c r="A4906" s="10" t="str">
        <f>IF(4898&gt;$C$9008,"",INDEX($B$9:$B$9008,MATCH(4898,$C$9:$C$9008,0)))</f>
        <v/>
      </c>
      <c r="B4906" s="9" t="str">
        <f>IFERROR(INDEX(Input!$L$20:$T$1019,INT((ROW()-9)/9)+1,MOD(ROW()-9,9)+1),"")</f>
        <v/>
      </c>
      <c r="C4906" s="9">
        <f t="shared" si="76"/>
        <v>0</v>
      </c>
    </row>
    <row r="4907" spans="1:3" x14ac:dyDescent="0.2">
      <c r="A4907" s="10" t="str">
        <f>IF(4899&gt;$C$9008,"",INDEX($B$9:$B$9008,MATCH(4899,$C$9:$C$9008,0)))</f>
        <v/>
      </c>
      <c r="B4907" s="9" t="str">
        <f>IFERROR(INDEX(Input!$L$20:$T$1019,INT((ROW()-9)/9)+1,MOD(ROW()-9,9)+1),"")</f>
        <v/>
      </c>
      <c r="C4907" s="9">
        <f t="shared" si="76"/>
        <v>0</v>
      </c>
    </row>
    <row r="4908" spans="1:3" x14ac:dyDescent="0.2">
      <c r="A4908" s="10" t="str">
        <f>IF(4900&gt;$C$9008,"",INDEX($B$9:$B$9008,MATCH(4900,$C$9:$C$9008,0)))</f>
        <v/>
      </c>
      <c r="B4908" s="9" t="str">
        <f>IFERROR(INDEX(Input!$L$20:$T$1019,INT((ROW()-9)/9)+1,MOD(ROW()-9,9)+1),"")</f>
        <v/>
      </c>
      <c r="C4908" s="9">
        <f t="shared" si="76"/>
        <v>0</v>
      </c>
    </row>
    <row r="4909" spans="1:3" x14ac:dyDescent="0.2">
      <c r="A4909" s="10" t="str">
        <f>IF(4901&gt;$C$9008,"",INDEX($B$9:$B$9008,MATCH(4901,$C$9:$C$9008,0)))</f>
        <v/>
      </c>
      <c r="B4909" s="9" t="str">
        <f>IFERROR(INDEX(Input!$L$20:$T$1019,INT((ROW()-9)/9)+1,MOD(ROW()-9,9)+1),"")</f>
        <v/>
      </c>
      <c r="C4909" s="9">
        <f t="shared" si="76"/>
        <v>0</v>
      </c>
    </row>
    <row r="4910" spans="1:3" x14ac:dyDescent="0.2">
      <c r="A4910" s="10" t="str">
        <f>IF(4902&gt;$C$9008,"",INDEX($B$9:$B$9008,MATCH(4902,$C$9:$C$9008,0)))</f>
        <v/>
      </c>
      <c r="B4910" s="9" t="str">
        <f>IFERROR(INDEX(Input!$L$20:$T$1019,INT((ROW()-9)/9)+1,MOD(ROW()-9,9)+1),"")</f>
        <v/>
      </c>
      <c r="C4910" s="9">
        <f t="shared" si="76"/>
        <v>0</v>
      </c>
    </row>
    <row r="4911" spans="1:3" x14ac:dyDescent="0.2">
      <c r="A4911" s="10" t="str">
        <f>IF(4903&gt;$C$9008,"",INDEX($B$9:$B$9008,MATCH(4903,$C$9:$C$9008,0)))</f>
        <v/>
      </c>
      <c r="B4911" s="9" t="str">
        <f>IFERROR(INDEX(Input!$L$20:$T$1019,INT((ROW()-9)/9)+1,MOD(ROW()-9,9)+1),"")</f>
        <v/>
      </c>
      <c r="C4911" s="9">
        <f t="shared" si="76"/>
        <v>0</v>
      </c>
    </row>
    <row r="4912" spans="1:3" x14ac:dyDescent="0.2">
      <c r="A4912" s="10" t="str">
        <f>IF(4904&gt;$C$9008,"",INDEX($B$9:$B$9008,MATCH(4904,$C$9:$C$9008,0)))</f>
        <v/>
      </c>
      <c r="B4912" s="9" t="str">
        <f>IFERROR(INDEX(Input!$L$20:$T$1019,INT((ROW()-9)/9)+1,MOD(ROW()-9,9)+1),"")</f>
        <v/>
      </c>
      <c r="C4912" s="9">
        <f t="shared" si="76"/>
        <v>0</v>
      </c>
    </row>
    <row r="4913" spans="1:3" x14ac:dyDescent="0.2">
      <c r="A4913" s="10" t="str">
        <f>IF(4905&gt;$C$9008,"",INDEX($B$9:$B$9008,MATCH(4905,$C$9:$C$9008,0)))</f>
        <v/>
      </c>
      <c r="B4913" s="9" t="str">
        <f>IFERROR(INDEX(Input!$L$20:$T$1019,INT((ROW()-9)/9)+1,MOD(ROW()-9,9)+1),"")</f>
        <v/>
      </c>
      <c r="C4913" s="9">
        <f t="shared" si="76"/>
        <v>0</v>
      </c>
    </row>
    <row r="4914" spans="1:3" x14ac:dyDescent="0.2">
      <c r="A4914" s="10" t="str">
        <f>IF(4906&gt;$C$9008,"",INDEX($B$9:$B$9008,MATCH(4906,$C$9:$C$9008,0)))</f>
        <v/>
      </c>
      <c r="B4914" s="9" t="str">
        <f>IFERROR(INDEX(Input!$L$20:$T$1019,INT((ROW()-9)/9)+1,MOD(ROW()-9,9)+1),"")</f>
        <v/>
      </c>
      <c r="C4914" s="9">
        <f t="shared" si="76"/>
        <v>0</v>
      </c>
    </row>
    <row r="4915" spans="1:3" x14ac:dyDescent="0.2">
      <c r="A4915" s="10" t="str">
        <f>IF(4907&gt;$C$9008,"",INDEX($B$9:$B$9008,MATCH(4907,$C$9:$C$9008,0)))</f>
        <v/>
      </c>
      <c r="B4915" s="9" t="str">
        <f>IFERROR(INDEX(Input!$L$20:$T$1019,INT((ROW()-9)/9)+1,MOD(ROW()-9,9)+1),"")</f>
        <v/>
      </c>
      <c r="C4915" s="9">
        <f t="shared" si="76"/>
        <v>0</v>
      </c>
    </row>
    <row r="4916" spans="1:3" x14ac:dyDescent="0.2">
      <c r="A4916" s="10" t="str">
        <f>IF(4908&gt;$C$9008,"",INDEX($B$9:$B$9008,MATCH(4908,$C$9:$C$9008,0)))</f>
        <v/>
      </c>
      <c r="B4916" s="9" t="str">
        <f>IFERROR(INDEX(Input!$L$20:$T$1019,INT((ROW()-9)/9)+1,MOD(ROW()-9,9)+1),"")</f>
        <v/>
      </c>
      <c r="C4916" s="9">
        <f t="shared" si="76"/>
        <v>0</v>
      </c>
    </row>
    <row r="4917" spans="1:3" x14ac:dyDescent="0.2">
      <c r="A4917" s="10" t="str">
        <f>IF(4909&gt;$C$9008,"",INDEX($B$9:$B$9008,MATCH(4909,$C$9:$C$9008,0)))</f>
        <v/>
      </c>
      <c r="B4917" s="9" t="str">
        <f>IFERROR(INDEX(Input!$L$20:$T$1019,INT((ROW()-9)/9)+1,MOD(ROW()-9,9)+1),"")</f>
        <v/>
      </c>
      <c r="C4917" s="9">
        <f t="shared" si="76"/>
        <v>0</v>
      </c>
    </row>
    <row r="4918" spans="1:3" x14ac:dyDescent="0.2">
      <c r="A4918" s="10" t="str">
        <f>IF(4910&gt;$C$9008,"",INDEX($B$9:$B$9008,MATCH(4910,$C$9:$C$9008,0)))</f>
        <v/>
      </c>
      <c r="B4918" s="9" t="str">
        <f>IFERROR(INDEX(Input!$L$20:$T$1019,INT((ROW()-9)/9)+1,MOD(ROW()-9,9)+1),"")</f>
        <v/>
      </c>
      <c r="C4918" s="9">
        <f t="shared" si="76"/>
        <v>0</v>
      </c>
    </row>
    <row r="4919" spans="1:3" x14ac:dyDescent="0.2">
      <c r="A4919" s="10" t="str">
        <f>IF(4911&gt;$C$9008,"",INDEX($B$9:$B$9008,MATCH(4911,$C$9:$C$9008,0)))</f>
        <v/>
      </c>
      <c r="B4919" s="9" t="str">
        <f>IFERROR(INDEX(Input!$L$20:$T$1019,INT((ROW()-9)/9)+1,MOD(ROW()-9,9)+1),"")</f>
        <v/>
      </c>
      <c r="C4919" s="9">
        <f t="shared" si="76"/>
        <v>0</v>
      </c>
    </row>
    <row r="4920" spans="1:3" x14ac:dyDescent="0.2">
      <c r="A4920" s="10" t="str">
        <f>IF(4912&gt;$C$9008,"",INDEX($B$9:$B$9008,MATCH(4912,$C$9:$C$9008,0)))</f>
        <v/>
      </c>
      <c r="B4920" s="9" t="str">
        <f>IFERROR(INDEX(Input!$L$20:$T$1019,INT((ROW()-9)/9)+1,MOD(ROW()-9,9)+1),"")</f>
        <v/>
      </c>
      <c r="C4920" s="9">
        <f t="shared" si="76"/>
        <v>0</v>
      </c>
    </row>
    <row r="4921" spans="1:3" x14ac:dyDescent="0.2">
      <c r="A4921" s="10" t="str">
        <f>IF(4913&gt;$C$9008,"",INDEX($B$9:$B$9008,MATCH(4913,$C$9:$C$9008,0)))</f>
        <v/>
      </c>
      <c r="B4921" s="9" t="str">
        <f>IFERROR(INDEX(Input!$L$20:$T$1019,INT((ROW()-9)/9)+1,MOD(ROW()-9,9)+1),"")</f>
        <v/>
      </c>
      <c r="C4921" s="9">
        <f t="shared" si="76"/>
        <v>0</v>
      </c>
    </row>
    <row r="4922" spans="1:3" x14ac:dyDescent="0.2">
      <c r="A4922" s="10" t="str">
        <f>IF(4914&gt;$C$9008,"",INDEX($B$9:$B$9008,MATCH(4914,$C$9:$C$9008,0)))</f>
        <v/>
      </c>
      <c r="B4922" s="9" t="str">
        <f>IFERROR(INDEX(Input!$L$20:$T$1019,INT((ROW()-9)/9)+1,MOD(ROW()-9,9)+1),"")</f>
        <v/>
      </c>
      <c r="C4922" s="9">
        <f t="shared" si="76"/>
        <v>0</v>
      </c>
    </row>
    <row r="4923" spans="1:3" x14ac:dyDescent="0.2">
      <c r="A4923" s="10" t="str">
        <f>IF(4915&gt;$C$9008,"",INDEX($B$9:$B$9008,MATCH(4915,$C$9:$C$9008,0)))</f>
        <v/>
      </c>
      <c r="B4923" s="9" t="str">
        <f>IFERROR(INDEX(Input!$L$20:$T$1019,INT((ROW()-9)/9)+1,MOD(ROW()-9,9)+1),"")</f>
        <v/>
      </c>
      <c r="C4923" s="9">
        <f t="shared" si="76"/>
        <v>0</v>
      </c>
    </row>
    <row r="4924" spans="1:3" x14ac:dyDescent="0.2">
      <c r="A4924" s="10" t="str">
        <f>IF(4916&gt;$C$9008,"",INDEX($B$9:$B$9008,MATCH(4916,$C$9:$C$9008,0)))</f>
        <v/>
      </c>
      <c r="B4924" s="9" t="str">
        <f>IFERROR(INDEX(Input!$L$20:$T$1019,INT((ROW()-9)/9)+1,MOD(ROW()-9,9)+1),"")</f>
        <v/>
      </c>
      <c r="C4924" s="9">
        <f t="shared" si="76"/>
        <v>0</v>
      </c>
    </row>
    <row r="4925" spans="1:3" x14ac:dyDescent="0.2">
      <c r="A4925" s="10" t="str">
        <f>IF(4917&gt;$C$9008,"",INDEX($B$9:$B$9008,MATCH(4917,$C$9:$C$9008,0)))</f>
        <v/>
      </c>
      <c r="B4925" s="9" t="str">
        <f>IFERROR(INDEX(Input!$L$20:$T$1019,INT((ROW()-9)/9)+1,MOD(ROW()-9,9)+1),"")</f>
        <v/>
      </c>
      <c r="C4925" s="9">
        <f t="shared" si="76"/>
        <v>0</v>
      </c>
    </row>
    <row r="4926" spans="1:3" x14ac:dyDescent="0.2">
      <c r="A4926" s="10" t="str">
        <f>IF(4918&gt;$C$9008,"",INDEX($B$9:$B$9008,MATCH(4918,$C$9:$C$9008,0)))</f>
        <v/>
      </c>
      <c r="B4926" s="9" t="str">
        <f>IFERROR(INDEX(Input!$L$20:$T$1019,INT((ROW()-9)/9)+1,MOD(ROW()-9,9)+1),"")</f>
        <v/>
      </c>
      <c r="C4926" s="9">
        <f t="shared" si="76"/>
        <v>0</v>
      </c>
    </row>
    <row r="4927" spans="1:3" x14ac:dyDescent="0.2">
      <c r="A4927" s="10" t="str">
        <f>IF(4919&gt;$C$9008,"",INDEX($B$9:$B$9008,MATCH(4919,$C$9:$C$9008,0)))</f>
        <v/>
      </c>
      <c r="B4927" s="9" t="str">
        <f>IFERROR(INDEX(Input!$L$20:$T$1019,INT((ROW()-9)/9)+1,MOD(ROW()-9,9)+1),"")</f>
        <v/>
      </c>
      <c r="C4927" s="9">
        <f t="shared" si="76"/>
        <v>0</v>
      </c>
    </row>
    <row r="4928" spans="1:3" x14ac:dyDescent="0.2">
      <c r="A4928" s="10" t="str">
        <f>IF(4920&gt;$C$9008,"",INDEX($B$9:$B$9008,MATCH(4920,$C$9:$C$9008,0)))</f>
        <v/>
      </c>
      <c r="B4928" s="9" t="str">
        <f>IFERROR(INDEX(Input!$L$20:$T$1019,INT((ROW()-9)/9)+1,MOD(ROW()-9,9)+1),"")</f>
        <v/>
      </c>
      <c r="C4928" s="9">
        <f t="shared" si="76"/>
        <v>0</v>
      </c>
    </row>
    <row r="4929" spans="1:3" x14ac:dyDescent="0.2">
      <c r="A4929" s="10" t="str">
        <f>IF(4921&gt;$C$9008,"",INDEX($B$9:$B$9008,MATCH(4921,$C$9:$C$9008,0)))</f>
        <v/>
      </c>
      <c r="B4929" s="9" t="str">
        <f>IFERROR(INDEX(Input!$L$20:$T$1019,INT((ROW()-9)/9)+1,MOD(ROW()-9,9)+1),"")</f>
        <v/>
      </c>
      <c r="C4929" s="9">
        <f t="shared" si="76"/>
        <v>0</v>
      </c>
    </row>
    <row r="4930" spans="1:3" x14ac:dyDescent="0.2">
      <c r="A4930" s="10" t="str">
        <f>IF(4922&gt;$C$9008,"",INDEX($B$9:$B$9008,MATCH(4922,$C$9:$C$9008,0)))</f>
        <v/>
      </c>
      <c r="B4930" s="9" t="str">
        <f>IFERROR(INDEX(Input!$L$20:$T$1019,INT((ROW()-9)/9)+1,MOD(ROW()-9,9)+1),"")</f>
        <v/>
      </c>
      <c r="C4930" s="9">
        <f t="shared" si="76"/>
        <v>0</v>
      </c>
    </row>
    <row r="4931" spans="1:3" x14ac:dyDescent="0.2">
      <c r="A4931" s="10" t="str">
        <f>IF(4923&gt;$C$9008,"",INDEX($B$9:$B$9008,MATCH(4923,$C$9:$C$9008,0)))</f>
        <v/>
      </c>
      <c r="B4931" s="9" t="str">
        <f>IFERROR(INDEX(Input!$L$20:$T$1019,INT((ROW()-9)/9)+1,MOD(ROW()-9,9)+1),"")</f>
        <v/>
      </c>
      <c r="C4931" s="9">
        <f t="shared" si="76"/>
        <v>0</v>
      </c>
    </row>
    <row r="4932" spans="1:3" x14ac:dyDescent="0.2">
      <c r="A4932" s="10" t="str">
        <f>IF(4924&gt;$C$9008,"",INDEX($B$9:$B$9008,MATCH(4924,$C$9:$C$9008,0)))</f>
        <v/>
      </c>
      <c r="B4932" s="9" t="str">
        <f>IFERROR(INDEX(Input!$L$20:$T$1019,INT((ROW()-9)/9)+1,MOD(ROW()-9,9)+1),"")</f>
        <v/>
      </c>
      <c r="C4932" s="9">
        <f t="shared" si="76"/>
        <v>0</v>
      </c>
    </row>
    <row r="4933" spans="1:3" x14ac:dyDescent="0.2">
      <c r="A4933" s="10" t="str">
        <f>IF(4925&gt;$C$9008,"",INDEX($B$9:$B$9008,MATCH(4925,$C$9:$C$9008,0)))</f>
        <v/>
      </c>
      <c r="B4933" s="9" t="str">
        <f>IFERROR(INDEX(Input!$L$20:$T$1019,INT((ROW()-9)/9)+1,MOD(ROW()-9,9)+1),"")</f>
        <v/>
      </c>
      <c r="C4933" s="9">
        <f t="shared" si="76"/>
        <v>0</v>
      </c>
    </row>
    <row r="4934" spans="1:3" x14ac:dyDescent="0.2">
      <c r="A4934" s="10" t="str">
        <f>IF(4926&gt;$C$9008,"",INDEX($B$9:$B$9008,MATCH(4926,$C$9:$C$9008,0)))</f>
        <v/>
      </c>
      <c r="B4934" s="9" t="str">
        <f>IFERROR(INDEX(Input!$L$20:$T$1019,INT((ROW()-9)/9)+1,MOD(ROW()-9,9)+1),"")</f>
        <v/>
      </c>
      <c r="C4934" s="9">
        <f t="shared" si="76"/>
        <v>0</v>
      </c>
    </row>
    <row r="4935" spans="1:3" x14ac:dyDescent="0.2">
      <c r="A4935" s="10" t="str">
        <f>IF(4927&gt;$C$9008,"",INDEX($B$9:$B$9008,MATCH(4927,$C$9:$C$9008,0)))</f>
        <v/>
      </c>
      <c r="B4935" s="9" t="str">
        <f>IFERROR(INDEX(Input!$L$20:$T$1019,INT((ROW()-9)/9)+1,MOD(ROW()-9,9)+1),"")</f>
        <v/>
      </c>
      <c r="C4935" s="9">
        <f t="shared" si="76"/>
        <v>0</v>
      </c>
    </row>
    <row r="4936" spans="1:3" x14ac:dyDescent="0.2">
      <c r="A4936" s="10" t="str">
        <f>IF(4928&gt;$C$9008,"",INDEX($B$9:$B$9008,MATCH(4928,$C$9:$C$9008,0)))</f>
        <v/>
      </c>
      <c r="B4936" s="9" t="str">
        <f>IFERROR(INDEX(Input!$L$20:$T$1019,INT((ROW()-9)/9)+1,MOD(ROW()-9,9)+1),"")</f>
        <v/>
      </c>
      <c r="C4936" s="9">
        <f t="shared" si="76"/>
        <v>0</v>
      </c>
    </row>
    <row r="4937" spans="1:3" x14ac:dyDescent="0.2">
      <c r="A4937" s="10" t="str">
        <f>IF(4929&gt;$C$9008,"",INDEX($B$9:$B$9008,MATCH(4929,$C$9:$C$9008,0)))</f>
        <v/>
      </c>
      <c r="B4937" s="9" t="str">
        <f>IFERROR(INDEX(Input!$L$20:$T$1019,INT((ROW()-9)/9)+1,MOD(ROW()-9,9)+1),"")</f>
        <v/>
      </c>
      <c r="C4937" s="9">
        <f t="shared" ref="C4937:C5000" si="77">$C4936+IF($B4937&lt;&gt;"",1,0)</f>
        <v>0</v>
      </c>
    </row>
    <row r="4938" spans="1:3" x14ac:dyDescent="0.2">
      <c r="A4938" s="10" t="str">
        <f>IF(4930&gt;$C$9008,"",INDEX($B$9:$B$9008,MATCH(4930,$C$9:$C$9008,0)))</f>
        <v/>
      </c>
      <c r="B4938" s="9" t="str">
        <f>IFERROR(INDEX(Input!$L$20:$T$1019,INT((ROW()-9)/9)+1,MOD(ROW()-9,9)+1),"")</f>
        <v/>
      </c>
      <c r="C4938" s="9">
        <f t="shared" si="77"/>
        <v>0</v>
      </c>
    </row>
    <row r="4939" spans="1:3" x14ac:dyDescent="0.2">
      <c r="A4939" s="10" t="str">
        <f>IF(4931&gt;$C$9008,"",INDEX($B$9:$B$9008,MATCH(4931,$C$9:$C$9008,0)))</f>
        <v/>
      </c>
      <c r="B4939" s="9" t="str">
        <f>IFERROR(INDEX(Input!$L$20:$T$1019,INT((ROW()-9)/9)+1,MOD(ROW()-9,9)+1),"")</f>
        <v/>
      </c>
      <c r="C4939" s="9">
        <f t="shared" si="77"/>
        <v>0</v>
      </c>
    </row>
    <row r="4940" spans="1:3" x14ac:dyDescent="0.2">
      <c r="A4940" s="10" t="str">
        <f>IF(4932&gt;$C$9008,"",INDEX($B$9:$B$9008,MATCH(4932,$C$9:$C$9008,0)))</f>
        <v/>
      </c>
      <c r="B4940" s="9" t="str">
        <f>IFERROR(INDEX(Input!$L$20:$T$1019,INT((ROW()-9)/9)+1,MOD(ROW()-9,9)+1),"")</f>
        <v/>
      </c>
      <c r="C4940" s="9">
        <f t="shared" si="77"/>
        <v>0</v>
      </c>
    </row>
    <row r="4941" spans="1:3" x14ac:dyDescent="0.2">
      <c r="A4941" s="10" t="str">
        <f>IF(4933&gt;$C$9008,"",INDEX($B$9:$B$9008,MATCH(4933,$C$9:$C$9008,0)))</f>
        <v/>
      </c>
      <c r="B4941" s="9" t="str">
        <f>IFERROR(INDEX(Input!$L$20:$T$1019,INT((ROW()-9)/9)+1,MOD(ROW()-9,9)+1),"")</f>
        <v/>
      </c>
      <c r="C4941" s="9">
        <f t="shared" si="77"/>
        <v>0</v>
      </c>
    </row>
    <row r="4942" spans="1:3" x14ac:dyDescent="0.2">
      <c r="A4942" s="10" t="str">
        <f>IF(4934&gt;$C$9008,"",INDEX($B$9:$B$9008,MATCH(4934,$C$9:$C$9008,0)))</f>
        <v/>
      </c>
      <c r="B4942" s="9" t="str">
        <f>IFERROR(INDEX(Input!$L$20:$T$1019,INT((ROW()-9)/9)+1,MOD(ROW()-9,9)+1),"")</f>
        <v/>
      </c>
      <c r="C4942" s="9">
        <f t="shared" si="77"/>
        <v>0</v>
      </c>
    </row>
    <row r="4943" spans="1:3" x14ac:dyDescent="0.2">
      <c r="A4943" s="10" t="str">
        <f>IF(4935&gt;$C$9008,"",INDEX($B$9:$B$9008,MATCH(4935,$C$9:$C$9008,0)))</f>
        <v/>
      </c>
      <c r="B4943" s="9" t="str">
        <f>IFERROR(INDEX(Input!$L$20:$T$1019,INT((ROW()-9)/9)+1,MOD(ROW()-9,9)+1),"")</f>
        <v/>
      </c>
      <c r="C4943" s="9">
        <f t="shared" si="77"/>
        <v>0</v>
      </c>
    </row>
    <row r="4944" spans="1:3" x14ac:dyDescent="0.2">
      <c r="A4944" s="10" t="str">
        <f>IF(4936&gt;$C$9008,"",INDEX($B$9:$B$9008,MATCH(4936,$C$9:$C$9008,0)))</f>
        <v/>
      </c>
      <c r="B4944" s="9" t="str">
        <f>IFERROR(INDEX(Input!$L$20:$T$1019,INT((ROW()-9)/9)+1,MOD(ROW()-9,9)+1),"")</f>
        <v/>
      </c>
      <c r="C4944" s="9">
        <f t="shared" si="77"/>
        <v>0</v>
      </c>
    </row>
    <row r="4945" spans="1:3" x14ac:dyDescent="0.2">
      <c r="A4945" s="10" t="str">
        <f>IF(4937&gt;$C$9008,"",INDEX($B$9:$B$9008,MATCH(4937,$C$9:$C$9008,0)))</f>
        <v/>
      </c>
      <c r="B4945" s="9" t="str">
        <f>IFERROR(INDEX(Input!$L$20:$T$1019,INT((ROW()-9)/9)+1,MOD(ROW()-9,9)+1),"")</f>
        <v/>
      </c>
      <c r="C4945" s="9">
        <f t="shared" si="77"/>
        <v>0</v>
      </c>
    </row>
    <row r="4946" spans="1:3" x14ac:dyDescent="0.2">
      <c r="A4946" s="10" t="str">
        <f>IF(4938&gt;$C$9008,"",INDEX($B$9:$B$9008,MATCH(4938,$C$9:$C$9008,0)))</f>
        <v/>
      </c>
      <c r="B4946" s="9" t="str">
        <f>IFERROR(INDEX(Input!$L$20:$T$1019,INT((ROW()-9)/9)+1,MOD(ROW()-9,9)+1),"")</f>
        <v/>
      </c>
      <c r="C4946" s="9">
        <f t="shared" si="77"/>
        <v>0</v>
      </c>
    </row>
    <row r="4947" spans="1:3" x14ac:dyDescent="0.2">
      <c r="A4947" s="10" t="str">
        <f>IF(4939&gt;$C$9008,"",INDEX($B$9:$B$9008,MATCH(4939,$C$9:$C$9008,0)))</f>
        <v/>
      </c>
      <c r="B4947" s="9" t="str">
        <f>IFERROR(INDEX(Input!$L$20:$T$1019,INT((ROW()-9)/9)+1,MOD(ROW()-9,9)+1),"")</f>
        <v/>
      </c>
      <c r="C4947" s="9">
        <f t="shared" si="77"/>
        <v>0</v>
      </c>
    </row>
    <row r="4948" spans="1:3" x14ac:dyDescent="0.2">
      <c r="A4948" s="10" t="str">
        <f>IF(4940&gt;$C$9008,"",INDEX($B$9:$B$9008,MATCH(4940,$C$9:$C$9008,0)))</f>
        <v/>
      </c>
      <c r="B4948" s="9" t="str">
        <f>IFERROR(INDEX(Input!$L$20:$T$1019,INT((ROW()-9)/9)+1,MOD(ROW()-9,9)+1),"")</f>
        <v/>
      </c>
      <c r="C4948" s="9">
        <f t="shared" si="77"/>
        <v>0</v>
      </c>
    </row>
    <row r="4949" spans="1:3" x14ac:dyDescent="0.2">
      <c r="A4949" s="10" t="str">
        <f>IF(4941&gt;$C$9008,"",INDEX($B$9:$B$9008,MATCH(4941,$C$9:$C$9008,0)))</f>
        <v/>
      </c>
      <c r="B4949" s="9" t="str">
        <f>IFERROR(INDEX(Input!$L$20:$T$1019,INT((ROW()-9)/9)+1,MOD(ROW()-9,9)+1),"")</f>
        <v/>
      </c>
      <c r="C4949" s="9">
        <f t="shared" si="77"/>
        <v>0</v>
      </c>
    </row>
    <row r="4950" spans="1:3" x14ac:dyDescent="0.2">
      <c r="A4950" s="10" t="str">
        <f>IF(4942&gt;$C$9008,"",INDEX($B$9:$B$9008,MATCH(4942,$C$9:$C$9008,0)))</f>
        <v/>
      </c>
      <c r="B4950" s="9" t="str">
        <f>IFERROR(INDEX(Input!$L$20:$T$1019,INT((ROW()-9)/9)+1,MOD(ROW()-9,9)+1),"")</f>
        <v/>
      </c>
      <c r="C4950" s="9">
        <f t="shared" si="77"/>
        <v>0</v>
      </c>
    </row>
    <row r="4951" spans="1:3" x14ac:dyDescent="0.2">
      <c r="A4951" s="10" t="str">
        <f>IF(4943&gt;$C$9008,"",INDEX($B$9:$B$9008,MATCH(4943,$C$9:$C$9008,0)))</f>
        <v/>
      </c>
      <c r="B4951" s="9" t="str">
        <f>IFERROR(INDEX(Input!$L$20:$T$1019,INT((ROW()-9)/9)+1,MOD(ROW()-9,9)+1),"")</f>
        <v/>
      </c>
      <c r="C4951" s="9">
        <f t="shared" si="77"/>
        <v>0</v>
      </c>
    </row>
    <row r="4952" spans="1:3" x14ac:dyDescent="0.2">
      <c r="A4952" s="10" t="str">
        <f>IF(4944&gt;$C$9008,"",INDEX($B$9:$B$9008,MATCH(4944,$C$9:$C$9008,0)))</f>
        <v/>
      </c>
      <c r="B4952" s="9" t="str">
        <f>IFERROR(INDEX(Input!$L$20:$T$1019,INT((ROW()-9)/9)+1,MOD(ROW()-9,9)+1),"")</f>
        <v/>
      </c>
      <c r="C4952" s="9">
        <f t="shared" si="77"/>
        <v>0</v>
      </c>
    </row>
    <row r="4953" spans="1:3" x14ac:dyDescent="0.2">
      <c r="A4953" s="10" t="str">
        <f>IF(4945&gt;$C$9008,"",INDEX($B$9:$B$9008,MATCH(4945,$C$9:$C$9008,0)))</f>
        <v/>
      </c>
      <c r="B4953" s="9" t="str">
        <f>IFERROR(INDEX(Input!$L$20:$T$1019,INT((ROW()-9)/9)+1,MOD(ROW()-9,9)+1),"")</f>
        <v/>
      </c>
      <c r="C4953" s="9">
        <f t="shared" si="77"/>
        <v>0</v>
      </c>
    </row>
    <row r="4954" spans="1:3" x14ac:dyDescent="0.2">
      <c r="A4954" s="10" t="str">
        <f>IF(4946&gt;$C$9008,"",INDEX($B$9:$B$9008,MATCH(4946,$C$9:$C$9008,0)))</f>
        <v/>
      </c>
      <c r="B4954" s="9" t="str">
        <f>IFERROR(INDEX(Input!$L$20:$T$1019,INT((ROW()-9)/9)+1,MOD(ROW()-9,9)+1),"")</f>
        <v/>
      </c>
      <c r="C4954" s="9">
        <f t="shared" si="77"/>
        <v>0</v>
      </c>
    </row>
    <row r="4955" spans="1:3" x14ac:dyDescent="0.2">
      <c r="A4955" s="10" t="str">
        <f>IF(4947&gt;$C$9008,"",INDEX($B$9:$B$9008,MATCH(4947,$C$9:$C$9008,0)))</f>
        <v/>
      </c>
      <c r="B4955" s="9" t="str">
        <f>IFERROR(INDEX(Input!$L$20:$T$1019,INT((ROW()-9)/9)+1,MOD(ROW()-9,9)+1),"")</f>
        <v/>
      </c>
      <c r="C4955" s="9">
        <f t="shared" si="77"/>
        <v>0</v>
      </c>
    </row>
    <row r="4956" spans="1:3" x14ac:dyDescent="0.2">
      <c r="A4956" s="10" t="str">
        <f>IF(4948&gt;$C$9008,"",INDEX($B$9:$B$9008,MATCH(4948,$C$9:$C$9008,0)))</f>
        <v/>
      </c>
      <c r="B4956" s="9" t="str">
        <f>IFERROR(INDEX(Input!$L$20:$T$1019,INT((ROW()-9)/9)+1,MOD(ROW()-9,9)+1),"")</f>
        <v/>
      </c>
      <c r="C4956" s="9">
        <f t="shared" si="77"/>
        <v>0</v>
      </c>
    </row>
    <row r="4957" spans="1:3" x14ac:dyDescent="0.2">
      <c r="A4957" s="10" t="str">
        <f>IF(4949&gt;$C$9008,"",INDEX($B$9:$B$9008,MATCH(4949,$C$9:$C$9008,0)))</f>
        <v/>
      </c>
      <c r="B4957" s="9" t="str">
        <f>IFERROR(INDEX(Input!$L$20:$T$1019,INT((ROW()-9)/9)+1,MOD(ROW()-9,9)+1),"")</f>
        <v/>
      </c>
      <c r="C4957" s="9">
        <f t="shared" si="77"/>
        <v>0</v>
      </c>
    </row>
    <row r="4958" spans="1:3" x14ac:dyDescent="0.2">
      <c r="A4958" s="10" t="str">
        <f>IF(4950&gt;$C$9008,"",INDEX($B$9:$B$9008,MATCH(4950,$C$9:$C$9008,0)))</f>
        <v/>
      </c>
      <c r="B4958" s="9" t="str">
        <f>IFERROR(INDEX(Input!$L$20:$T$1019,INT((ROW()-9)/9)+1,MOD(ROW()-9,9)+1),"")</f>
        <v/>
      </c>
      <c r="C4958" s="9">
        <f t="shared" si="77"/>
        <v>0</v>
      </c>
    </row>
    <row r="4959" spans="1:3" x14ac:dyDescent="0.2">
      <c r="A4959" s="10" t="str">
        <f>IF(4951&gt;$C$9008,"",INDEX($B$9:$B$9008,MATCH(4951,$C$9:$C$9008,0)))</f>
        <v/>
      </c>
      <c r="B4959" s="9" t="str">
        <f>IFERROR(INDEX(Input!$L$20:$T$1019,INT((ROW()-9)/9)+1,MOD(ROW()-9,9)+1),"")</f>
        <v/>
      </c>
      <c r="C4959" s="9">
        <f t="shared" si="77"/>
        <v>0</v>
      </c>
    </row>
    <row r="4960" spans="1:3" x14ac:dyDescent="0.2">
      <c r="A4960" s="10" t="str">
        <f>IF(4952&gt;$C$9008,"",INDEX($B$9:$B$9008,MATCH(4952,$C$9:$C$9008,0)))</f>
        <v/>
      </c>
      <c r="B4960" s="9" t="str">
        <f>IFERROR(INDEX(Input!$L$20:$T$1019,INT((ROW()-9)/9)+1,MOD(ROW()-9,9)+1),"")</f>
        <v/>
      </c>
      <c r="C4960" s="9">
        <f t="shared" si="77"/>
        <v>0</v>
      </c>
    </row>
    <row r="4961" spans="1:3" x14ac:dyDescent="0.2">
      <c r="A4961" s="10" t="str">
        <f>IF(4953&gt;$C$9008,"",INDEX($B$9:$B$9008,MATCH(4953,$C$9:$C$9008,0)))</f>
        <v/>
      </c>
      <c r="B4961" s="9" t="str">
        <f>IFERROR(INDEX(Input!$L$20:$T$1019,INT((ROW()-9)/9)+1,MOD(ROW()-9,9)+1),"")</f>
        <v/>
      </c>
      <c r="C4961" s="9">
        <f t="shared" si="77"/>
        <v>0</v>
      </c>
    </row>
    <row r="4962" spans="1:3" x14ac:dyDescent="0.2">
      <c r="A4962" s="10" t="str">
        <f>IF(4954&gt;$C$9008,"",INDEX($B$9:$B$9008,MATCH(4954,$C$9:$C$9008,0)))</f>
        <v/>
      </c>
      <c r="B4962" s="9" t="str">
        <f>IFERROR(INDEX(Input!$L$20:$T$1019,INT((ROW()-9)/9)+1,MOD(ROW()-9,9)+1),"")</f>
        <v/>
      </c>
      <c r="C4962" s="9">
        <f t="shared" si="77"/>
        <v>0</v>
      </c>
    </row>
    <row r="4963" spans="1:3" x14ac:dyDescent="0.2">
      <c r="A4963" s="10" t="str">
        <f>IF(4955&gt;$C$9008,"",INDEX($B$9:$B$9008,MATCH(4955,$C$9:$C$9008,0)))</f>
        <v/>
      </c>
      <c r="B4963" s="9" t="str">
        <f>IFERROR(INDEX(Input!$L$20:$T$1019,INT((ROW()-9)/9)+1,MOD(ROW()-9,9)+1),"")</f>
        <v/>
      </c>
      <c r="C4963" s="9">
        <f t="shared" si="77"/>
        <v>0</v>
      </c>
    </row>
    <row r="4964" spans="1:3" x14ac:dyDescent="0.2">
      <c r="A4964" s="10" t="str">
        <f>IF(4956&gt;$C$9008,"",INDEX($B$9:$B$9008,MATCH(4956,$C$9:$C$9008,0)))</f>
        <v/>
      </c>
      <c r="B4964" s="9" t="str">
        <f>IFERROR(INDEX(Input!$L$20:$T$1019,INT((ROW()-9)/9)+1,MOD(ROW()-9,9)+1),"")</f>
        <v/>
      </c>
      <c r="C4964" s="9">
        <f t="shared" si="77"/>
        <v>0</v>
      </c>
    </row>
    <row r="4965" spans="1:3" x14ac:dyDescent="0.2">
      <c r="A4965" s="10" t="str">
        <f>IF(4957&gt;$C$9008,"",INDEX($B$9:$B$9008,MATCH(4957,$C$9:$C$9008,0)))</f>
        <v/>
      </c>
      <c r="B4965" s="9" t="str">
        <f>IFERROR(INDEX(Input!$L$20:$T$1019,INT((ROW()-9)/9)+1,MOD(ROW()-9,9)+1),"")</f>
        <v/>
      </c>
      <c r="C4965" s="9">
        <f t="shared" si="77"/>
        <v>0</v>
      </c>
    </row>
    <row r="4966" spans="1:3" x14ac:dyDescent="0.2">
      <c r="A4966" s="10" t="str">
        <f>IF(4958&gt;$C$9008,"",INDEX($B$9:$B$9008,MATCH(4958,$C$9:$C$9008,0)))</f>
        <v/>
      </c>
      <c r="B4966" s="9" t="str">
        <f>IFERROR(INDEX(Input!$L$20:$T$1019,INT((ROW()-9)/9)+1,MOD(ROW()-9,9)+1),"")</f>
        <v/>
      </c>
      <c r="C4966" s="9">
        <f t="shared" si="77"/>
        <v>0</v>
      </c>
    </row>
    <row r="4967" spans="1:3" x14ac:dyDescent="0.2">
      <c r="A4967" s="10" t="str">
        <f>IF(4959&gt;$C$9008,"",INDEX($B$9:$B$9008,MATCH(4959,$C$9:$C$9008,0)))</f>
        <v/>
      </c>
      <c r="B4967" s="9" t="str">
        <f>IFERROR(INDEX(Input!$L$20:$T$1019,INT((ROW()-9)/9)+1,MOD(ROW()-9,9)+1),"")</f>
        <v/>
      </c>
      <c r="C4967" s="9">
        <f t="shared" si="77"/>
        <v>0</v>
      </c>
    </row>
    <row r="4968" spans="1:3" x14ac:dyDescent="0.2">
      <c r="A4968" s="10" t="str">
        <f>IF(4960&gt;$C$9008,"",INDEX($B$9:$B$9008,MATCH(4960,$C$9:$C$9008,0)))</f>
        <v/>
      </c>
      <c r="B4968" s="9" t="str">
        <f>IFERROR(INDEX(Input!$L$20:$T$1019,INT((ROW()-9)/9)+1,MOD(ROW()-9,9)+1),"")</f>
        <v/>
      </c>
      <c r="C4968" s="9">
        <f t="shared" si="77"/>
        <v>0</v>
      </c>
    </row>
    <row r="4969" spans="1:3" x14ac:dyDescent="0.2">
      <c r="A4969" s="10" t="str">
        <f>IF(4961&gt;$C$9008,"",INDEX($B$9:$B$9008,MATCH(4961,$C$9:$C$9008,0)))</f>
        <v/>
      </c>
      <c r="B4969" s="9" t="str">
        <f>IFERROR(INDEX(Input!$L$20:$T$1019,INT((ROW()-9)/9)+1,MOD(ROW()-9,9)+1),"")</f>
        <v/>
      </c>
      <c r="C4969" s="9">
        <f t="shared" si="77"/>
        <v>0</v>
      </c>
    </row>
    <row r="4970" spans="1:3" x14ac:dyDescent="0.2">
      <c r="A4970" s="10" t="str">
        <f>IF(4962&gt;$C$9008,"",INDEX($B$9:$B$9008,MATCH(4962,$C$9:$C$9008,0)))</f>
        <v/>
      </c>
      <c r="B4970" s="9" t="str">
        <f>IFERROR(INDEX(Input!$L$20:$T$1019,INT((ROW()-9)/9)+1,MOD(ROW()-9,9)+1),"")</f>
        <v/>
      </c>
      <c r="C4970" s="9">
        <f t="shared" si="77"/>
        <v>0</v>
      </c>
    </row>
    <row r="4971" spans="1:3" x14ac:dyDescent="0.2">
      <c r="A4971" s="10" t="str">
        <f>IF(4963&gt;$C$9008,"",INDEX($B$9:$B$9008,MATCH(4963,$C$9:$C$9008,0)))</f>
        <v/>
      </c>
      <c r="B4971" s="9" t="str">
        <f>IFERROR(INDEX(Input!$L$20:$T$1019,INT((ROW()-9)/9)+1,MOD(ROW()-9,9)+1),"")</f>
        <v/>
      </c>
      <c r="C4971" s="9">
        <f t="shared" si="77"/>
        <v>0</v>
      </c>
    </row>
    <row r="4972" spans="1:3" x14ac:dyDescent="0.2">
      <c r="A4972" s="10" t="str">
        <f>IF(4964&gt;$C$9008,"",INDEX($B$9:$B$9008,MATCH(4964,$C$9:$C$9008,0)))</f>
        <v/>
      </c>
      <c r="B4972" s="9" t="str">
        <f>IFERROR(INDEX(Input!$L$20:$T$1019,INT((ROW()-9)/9)+1,MOD(ROW()-9,9)+1),"")</f>
        <v/>
      </c>
      <c r="C4972" s="9">
        <f t="shared" si="77"/>
        <v>0</v>
      </c>
    </row>
    <row r="4973" spans="1:3" x14ac:dyDescent="0.2">
      <c r="A4973" s="10" t="str">
        <f>IF(4965&gt;$C$9008,"",INDEX($B$9:$B$9008,MATCH(4965,$C$9:$C$9008,0)))</f>
        <v/>
      </c>
      <c r="B4973" s="9" t="str">
        <f>IFERROR(INDEX(Input!$L$20:$T$1019,INT((ROW()-9)/9)+1,MOD(ROW()-9,9)+1),"")</f>
        <v/>
      </c>
      <c r="C4973" s="9">
        <f t="shared" si="77"/>
        <v>0</v>
      </c>
    </row>
    <row r="4974" spans="1:3" x14ac:dyDescent="0.2">
      <c r="A4974" s="10" t="str">
        <f>IF(4966&gt;$C$9008,"",INDEX($B$9:$B$9008,MATCH(4966,$C$9:$C$9008,0)))</f>
        <v/>
      </c>
      <c r="B4974" s="9" t="str">
        <f>IFERROR(INDEX(Input!$L$20:$T$1019,INT((ROW()-9)/9)+1,MOD(ROW()-9,9)+1),"")</f>
        <v/>
      </c>
      <c r="C4974" s="9">
        <f t="shared" si="77"/>
        <v>0</v>
      </c>
    </row>
    <row r="4975" spans="1:3" x14ac:dyDescent="0.2">
      <c r="A4975" s="10" t="str">
        <f>IF(4967&gt;$C$9008,"",INDEX($B$9:$B$9008,MATCH(4967,$C$9:$C$9008,0)))</f>
        <v/>
      </c>
      <c r="B4975" s="9" t="str">
        <f>IFERROR(INDEX(Input!$L$20:$T$1019,INT((ROW()-9)/9)+1,MOD(ROW()-9,9)+1),"")</f>
        <v/>
      </c>
      <c r="C4975" s="9">
        <f t="shared" si="77"/>
        <v>0</v>
      </c>
    </row>
    <row r="4976" spans="1:3" x14ac:dyDescent="0.2">
      <c r="A4976" s="10" t="str">
        <f>IF(4968&gt;$C$9008,"",INDEX($B$9:$B$9008,MATCH(4968,$C$9:$C$9008,0)))</f>
        <v/>
      </c>
      <c r="B4976" s="9" t="str">
        <f>IFERROR(INDEX(Input!$L$20:$T$1019,INT((ROW()-9)/9)+1,MOD(ROW()-9,9)+1),"")</f>
        <v/>
      </c>
      <c r="C4976" s="9">
        <f t="shared" si="77"/>
        <v>0</v>
      </c>
    </row>
    <row r="4977" spans="1:3" x14ac:dyDescent="0.2">
      <c r="A4977" s="10" t="str">
        <f>IF(4969&gt;$C$9008,"",INDEX($B$9:$B$9008,MATCH(4969,$C$9:$C$9008,0)))</f>
        <v/>
      </c>
      <c r="B4977" s="9" t="str">
        <f>IFERROR(INDEX(Input!$L$20:$T$1019,INT((ROW()-9)/9)+1,MOD(ROW()-9,9)+1),"")</f>
        <v/>
      </c>
      <c r="C4977" s="9">
        <f t="shared" si="77"/>
        <v>0</v>
      </c>
    </row>
    <row r="4978" spans="1:3" x14ac:dyDescent="0.2">
      <c r="A4978" s="10" t="str">
        <f>IF(4970&gt;$C$9008,"",INDEX($B$9:$B$9008,MATCH(4970,$C$9:$C$9008,0)))</f>
        <v/>
      </c>
      <c r="B4978" s="9" t="str">
        <f>IFERROR(INDEX(Input!$L$20:$T$1019,INT((ROW()-9)/9)+1,MOD(ROW()-9,9)+1),"")</f>
        <v/>
      </c>
      <c r="C4978" s="9">
        <f t="shared" si="77"/>
        <v>0</v>
      </c>
    </row>
    <row r="4979" spans="1:3" x14ac:dyDescent="0.2">
      <c r="A4979" s="10" t="str">
        <f>IF(4971&gt;$C$9008,"",INDEX($B$9:$B$9008,MATCH(4971,$C$9:$C$9008,0)))</f>
        <v/>
      </c>
      <c r="B4979" s="9" t="str">
        <f>IFERROR(INDEX(Input!$L$20:$T$1019,INT((ROW()-9)/9)+1,MOD(ROW()-9,9)+1),"")</f>
        <v/>
      </c>
      <c r="C4979" s="9">
        <f t="shared" si="77"/>
        <v>0</v>
      </c>
    </row>
    <row r="4980" spans="1:3" x14ac:dyDescent="0.2">
      <c r="A4980" s="10" t="str">
        <f>IF(4972&gt;$C$9008,"",INDEX($B$9:$B$9008,MATCH(4972,$C$9:$C$9008,0)))</f>
        <v/>
      </c>
      <c r="B4980" s="9" t="str">
        <f>IFERROR(INDEX(Input!$L$20:$T$1019,INT((ROW()-9)/9)+1,MOD(ROW()-9,9)+1),"")</f>
        <v/>
      </c>
      <c r="C4980" s="9">
        <f t="shared" si="77"/>
        <v>0</v>
      </c>
    </row>
    <row r="4981" spans="1:3" x14ac:dyDescent="0.2">
      <c r="A4981" s="10" t="str">
        <f>IF(4973&gt;$C$9008,"",INDEX($B$9:$B$9008,MATCH(4973,$C$9:$C$9008,0)))</f>
        <v/>
      </c>
      <c r="B4981" s="9" t="str">
        <f>IFERROR(INDEX(Input!$L$20:$T$1019,INT((ROW()-9)/9)+1,MOD(ROW()-9,9)+1),"")</f>
        <v/>
      </c>
      <c r="C4981" s="9">
        <f t="shared" si="77"/>
        <v>0</v>
      </c>
    </row>
    <row r="4982" spans="1:3" x14ac:dyDescent="0.2">
      <c r="A4982" s="10" t="str">
        <f>IF(4974&gt;$C$9008,"",INDEX($B$9:$B$9008,MATCH(4974,$C$9:$C$9008,0)))</f>
        <v/>
      </c>
      <c r="B4982" s="9" t="str">
        <f>IFERROR(INDEX(Input!$L$20:$T$1019,INT((ROW()-9)/9)+1,MOD(ROW()-9,9)+1),"")</f>
        <v/>
      </c>
      <c r="C4982" s="9">
        <f t="shared" si="77"/>
        <v>0</v>
      </c>
    </row>
    <row r="4983" spans="1:3" x14ac:dyDescent="0.2">
      <c r="A4983" s="10" t="str">
        <f>IF(4975&gt;$C$9008,"",INDEX($B$9:$B$9008,MATCH(4975,$C$9:$C$9008,0)))</f>
        <v/>
      </c>
      <c r="B4983" s="9" t="str">
        <f>IFERROR(INDEX(Input!$L$20:$T$1019,INT((ROW()-9)/9)+1,MOD(ROW()-9,9)+1),"")</f>
        <v/>
      </c>
      <c r="C4983" s="9">
        <f t="shared" si="77"/>
        <v>0</v>
      </c>
    </row>
    <row r="4984" spans="1:3" x14ac:dyDescent="0.2">
      <c r="A4984" s="10" t="str">
        <f>IF(4976&gt;$C$9008,"",INDEX($B$9:$B$9008,MATCH(4976,$C$9:$C$9008,0)))</f>
        <v/>
      </c>
      <c r="B4984" s="9" t="str">
        <f>IFERROR(INDEX(Input!$L$20:$T$1019,INT((ROW()-9)/9)+1,MOD(ROW()-9,9)+1),"")</f>
        <v/>
      </c>
      <c r="C4984" s="9">
        <f t="shared" si="77"/>
        <v>0</v>
      </c>
    </row>
    <row r="4985" spans="1:3" x14ac:dyDescent="0.2">
      <c r="A4985" s="10" t="str">
        <f>IF(4977&gt;$C$9008,"",INDEX($B$9:$B$9008,MATCH(4977,$C$9:$C$9008,0)))</f>
        <v/>
      </c>
      <c r="B4985" s="9" t="str">
        <f>IFERROR(INDEX(Input!$L$20:$T$1019,INT((ROW()-9)/9)+1,MOD(ROW()-9,9)+1),"")</f>
        <v/>
      </c>
      <c r="C4985" s="9">
        <f t="shared" si="77"/>
        <v>0</v>
      </c>
    </row>
    <row r="4986" spans="1:3" x14ac:dyDescent="0.2">
      <c r="A4986" s="10" t="str">
        <f>IF(4978&gt;$C$9008,"",INDEX($B$9:$B$9008,MATCH(4978,$C$9:$C$9008,0)))</f>
        <v/>
      </c>
      <c r="B4986" s="9" t="str">
        <f>IFERROR(INDEX(Input!$L$20:$T$1019,INT((ROW()-9)/9)+1,MOD(ROW()-9,9)+1),"")</f>
        <v/>
      </c>
      <c r="C4986" s="9">
        <f t="shared" si="77"/>
        <v>0</v>
      </c>
    </row>
    <row r="4987" spans="1:3" x14ac:dyDescent="0.2">
      <c r="A4987" s="10" t="str">
        <f>IF(4979&gt;$C$9008,"",INDEX($B$9:$B$9008,MATCH(4979,$C$9:$C$9008,0)))</f>
        <v/>
      </c>
      <c r="B4987" s="9" t="str">
        <f>IFERROR(INDEX(Input!$L$20:$T$1019,INT((ROW()-9)/9)+1,MOD(ROW()-9,9)+1),"")</f>
        <v/>
      </c>
      <c r="C4987" s="9">
        <f t="shared" si="77"/>
        <v>0</v>
      </c>
    </row>
    <row r="4988" spans="1:3" x14ac:dyDescent="0.2">
      <c r="A4988" s="10" t="str">
        <f>IF(4980&gt;$C$9008,"",INDEX($B$9:$B$9008,MATCH(4980,$C$9:$C$9008,0)))</f>
        <v/>
      </c>
      <c r="B4988" s="9" t="str">
        <f>IFERROR(INDEX(Input!$L$20:$T$1019,INT((ROW()-9)/9)+1,MOD(ROW()-9,9)+1),"")</f>
        <v/>
      </c>
      <c r="C4988" s="9">
        <f t="shared" si="77"/>
        <v>0</v>
      </c>
    </row>
    <row r="4989" spans="1:3" x14ac:dyDescent="0.2">
      <c r="A4989" s="10" t="str">
        <f>IF(4981&gt;$C$9008,"",INDEX($B$9:$B$9008,MATCH(4981,$C$9:$C$9008,0)))</f>
        <v/>
      </c>
      <c r="B4989" s="9" t="str">
        <f>IFERROR(INDEX(Input!$L$20:$T$1019,INT((ROW()-9)/9)+1,MOD(ROW()-9,9)+1),"")</f>
        <v/>
      </c>
      <c r="C4989" s="9">
        <f t="shared" si="77"/>
        <v>0</v>
      </c>
    </row>
    <row r="4990" spans="1:3" x14ac:dyDescent="0.2">
      <c r="A4990" s="10" t="str">
        <f>IF(4982&gt;$C$9008,"",INDEX($B$9:$B$9008,MATCH(4982,$C$9:$C$9008,0)))</f>
        <v/>
      </c>
      <c r="B4990" s="9" t="str">
        <f>IFERROR(INDEX(Input!$L$20:$T$1019,INT((ROW()-9)/9)+1,MOD(ROW()-9,9)+1),"")</f>
        <v/>
      </c>
      <c r="C4990" s="9">
        <f t="shared" si="77"/>
        <v>0</v>
      </c>
    </row>
    <row r="4991" spans="1:3" x14ac:dyDescent="0.2">
      <c r="A4991" s="10" t="str">
        <f>IF(4983&gt;$C$9008,"",INDEX($B$9:$B$9008,MATCH(4983,$C$9:$C$9008,0)))</f>
        <v/>
      </c>
      <c r="B4991" s="9" t="str">
        <f>IFERROR(INDEX(Input!$L$20:$T$1019,INT((ROW()-9)/9)+1,MOD(ROW()-9,9)+1),"")</f>
        <v/>
      </c>
      <c r="C4991" s="9">
        <f t="shared" si="77"/>
        <v>0</v>
      </c>
    </row>
    <row r="4992" spans="1:3" x14ac:dyDescent="0.2">
      <c r="A4992" s="10" t="str">
        <f>IF(4984&gt;$C$9008,"",INDEX($B$9:$B$9008,MATCH(4984,$C$9:$C$9008,0)))</f>
        <v/>
      </c>
      <c r="B4992" s="9" t="str">
        <f>IFERROR(INDEX(Input!$L$20:$T$1019,INT((ROW()-9)/9)+1,MOD(ROW()-9,9)+1),"")</f>
        <v/>
      </c>
      <c r="C4992" s="9">
        <f t="shared" si="77"/>
        <v>0</v>
      </c>
    </row>
    <row r="4993" spans="1:3" x14ac:dyDescent="0.2">
      <c r="A4993" s="10" t="str">
        <f>IF(4985&gt;$C$9008,"",INDEX($B$9:$B$9008,MATCH(4985,$C$9:$C$9008,0)))</f>
        <v/>
      </c>
      <c r="B4993" s="9" t="str">
        <f>IFERROR(INDEX(Input!$L$20:$T$1019,INT((ROW()-9)/9)+1,MOD(ROW()-9,9)+1),"")</f>
        <v/>
      </c>
      <c r="C4993" s="9">
        <f t="shared" si="77"/>
        <v>0</v>
      </c>
    </row>
    <row r="4994" spans="1:3" x14ac:dyDescent="0.2">
      <c r="A4994" s="10" t="str">
        <f>IF(4986&gt;$C$9008,"",INDEX($B$9:$B$9008,MATCH(4986,$C$9:$C$9008,0)))</f>
        <v/>
      </c>
      <c r="B4994" s="9" t="str">
        <f>IFERROR(INDEX(Input!$L$20:$T$1019,INT((ROW()-9)/9)+1,MOD(ROW()-9,9)+1),"")</f>
        <v/>
      </c>
      <c r="C4994" s="9">
        <f t="shared" si="77"/>
        <v>0</v>
      </c>
    </row>
    <row r="4995" spans="1:3" x14ac:dyDescent="0.2">
      <c r="A4995" s="10" t="str">
        <f>IF(4987&gt;$C$9008,"",INDEX($B$9:$B$9008,MATCH(4987,$C$9:$C$9008,0)))</f>
        <v/>
      </c>
      <c r="B4995" s="9" t="str">
        <f>IFERROR(INDEX(Input!$L$20:$T$1019,INT((ROW()-9)/9)+1,MOD(ROW()-9,9)+1),"")</f>
        <v/>
      </c>
      <c r="C4995" s="9">
        <f t="shared" si="77"/>
        <v>0</v>
      </c>
    </row>
    <row r="4996" spans="1:3" x14ac:dyDescent="0.2">
      <c r="A4996" s="10" t="str">
        <f>IF(4988&gt;$C$9008,"",INDEX($B$9:$B$9008,MATCH(4988,$C$9:$C$9008,0)))</f>
        <v/>
      </c>
      <c r="B4996" s="9" t="str">
        <f>IFERROR(INDEX(Input!$L$20:$T$1019,INT((ROW()-9)/9)+1,MOD(ROW()-9,9)+1),"")</f>
        <v/>
      </c>
      <c r="C4996" s="9">
        <f t="shared" si="77"/>
        <v>0</v>
      </c>
    </row>
    <row r="4997" spans="1:3" x14ac:dyDescent="0.2">
      <c r="A4997" s="10" t="str">
        <f>IF(4989&gt;$C$9008,"",INDEX($B$9:$B$9008,MATCH(4989,$C$9:$C$9008,0)))</f>
        <v/>
      </c>
      <c r="B4997" s="9" t="str">
        <f>IFERROR(INDEX(Input!$L$20:$T$1019,INT((ROW()-9)/9)+1,MOD(ROW()-9,9)+1),"")</f>
        <v/>
      </c>
      <c r="C4997" s="9">
        <f t="shared" si="77"/>
        <v>0</v>
      </c>
    </row>
    <row r="4998" spans="1:3" x14ac:dyDescent="0.2">
      <c r="A4998" s="10" t="str">
        <f>IF(4990&gt;$C$9008,"",INDEX($B$9:$B$9008,MATCH(4990,$C$9:$C$9008,0)))</f>
        <v/>
      </c>
      <c r="B4998" s="9" t="str">
        <f>IFERROR(INDEX(Input!$L$20:$T$1019,INT((ROW()-9)/9)+1,MOD(ROW()-9,9)+1),"")</f>
        <v/>
      </c>
      <c r="C4998" s="9">
        <f t="shared" si="77"/>
        <v>0</v>
      </c>
    </row>
    <row r="4999" spans="1:3" x14ac:dyDescent="0.2">
      <c r="A4999" s="10" t="str">
        <f>IF(4991&gt;$C$9008,"",INDEX($B$9:$B$9008,MATCH(4991,$C$9:$C$9008,0)))</f>
        <v/>
      </c>
      <c r="B4999" s="9" t="str">
        <f>IFERROR(INDEX(Input!$L$20:$T$1019,INT((ROW()-9)/9)+1,MOD(ROW()-9,9)+1),"")</f>
        <v/>
      </c>
      <c r="C4999" s="9">
        <f t="shared" si="77"/>
        <v>0</v>
      </c>
    </row>
    <row r="5000" spans="1:3" x14ac:dyDescent="0.2">
      <c r="A5000" s="10" t="str">
        <f>IF(4992&gt;$C$9008,"",INDEX($B$9:$B$9008,MATCH(4992,$C$9:$C$9008,0)))</f>
        <v/>
      </c>
      <c r="B5000" s="9" t="str">
        <f>IFERROR(INDEX(Input!$L$20:$T$1019,INT((ROW()-9)/9)+1,MOD(ROW()-9,9)+1),"")</f>
        <v/>
      </c>
      <c r="C5000" s="9">
        <f t="shared" si="77"/>
        <v>0</v>
      </c>
    </row>
    <row r="5001" spans="1:3" x14ac:dyDescent="0.2">
      <c r="A5001" s="10" t="str">
        <f>IF(4993&gt;$C$9008,"",INDEX($B$9:$B$9008,MATCH(4993,$C$9:$C$9008,0)))</f>
        <v/>
      </c>
      <c r="B5001" s="9" t="str">
        <f>IFERROR(INDEX(Input!$L$20:$T$1019,INT((ROW()-9)/9)+1,MOD(ROW()-9,9)+1),"")</f>
        <v/>
      </c>
      <c r="C5001" s="9">
        <f t="shared" ref="C5001:C5064" si="78">$C5000+IF($B5001&lt;&gt;"",1,0)</f>
        <v>0</v>
      </c>
    </row>
    <row r="5002" spans="1:3" x14ac:dyDescent="0.2">
      <c r="A5002" s="10" t="str">
        <f>IF(4994&gt;$C$9008,"",INDEX($B$9:$B$9008,MATCH(4994,$C$9:$C$9008,0)))</f>
        <v/>
      </c>
      <c r="B5002" s="9" t="str">
        <f>IFERROR(INDEX(Input!$L$20:$T$1019,INT((ROW()-9)/9)+1,MOD(ROW()-9,9)+1),"")</f>
        <v/>
      </c>
      <c r="C5002" s="9">
        <f t="shared" si="78"/>
        <v>0</v>
      </c>
    </row>
    <row r="5003" spans="1:3" x14ac:dyDescent="0.2">
      <c r="A5003" s="10" t="str">
        <f>IF(4995&gt;$C$9008,"",INDEX($B$9:$B$9008,MATCH(4995,$C$9:$C$9008,0)))</f>
        <v/>
      </c>
      <c r="B5003" s="9" t="str">
        <f>IFERROR(INDEX(Input!$L$20:$T$1019,INT((ROW()-9)/9)+1,MOD(ROW()-9,9)+1),"")</f>
        <v/>
      </c>
      <c r="C5003" s="9">
        <f t="shared" si="78"/>
        <v>0</v>
      </c>
    </row>
    <row r="5004" spans="1:3" x14ac:dyDescent="0.2">
      <c r="A5004" s="10" t="str">
        <f>IF(4996&gt;$C$9008,"",INDEX($B$9:$B$9008,MATCH(4996,$C$9:$C$9008,0)))</f>
        <v/>
      </c>
      <c r="B5004" s="9" t="str">
        <f>IFERROR(INDEX(Input!$L$20:$T$1019,INT((ROW()-9)/9)+1,MOD(ROW()-9,9)+1),"")</f>
        <v/>
      </c>
      <c r="C5004" s="9">
        <f t="shared" si="78"/>
        <v>0</v>
      </c>
    </row>
    <row r="5005" spans="1:3" x14ac:dyDescent="0.2">
      <c r="A5005" s="10" t="str">
        <f>IF(4997&gt;$C$9008,"",INDEX($B$9:$B$9008,MATCH(4997,$C$9:$C$9008,0)))</f>
        <v/>
      </c>
      <c r="B5005" s="9" t="str">
        <f>IFERROR(INDEX(Input!$L$20:$T$1019,INT((ROW()-9)/9)+1,MOD(ROW()-9,9)+1),"")</f>
        <v/>
      </c>
      <c r="C5005" s="9">
        <f t="shared" si="78"/>
        <v>0</v>
      </c>
    </row>
    <row r="5006" spans="1:3" x14ac:dyDescent="0.2">
      <c r="A5006" s="10" t="str">
        <f>IF(4998&gt;$C$9008,"",INDEX($B$9:$B$9008,MATCH(4998,$C$9:$C$9008,0)))</f>
        <v/>
      </c>
      <c r="B5006" s="9" t="str">
        <f>IFERROR(INDEX(Input!$L$20:$T$1019,INT((ROW()-9)/9)+1,MOD(ROW()-9,9)+1),"")</f>
        <v/>
      </c>
      <c r="C5006" s="9">
        <f t="shared" si="78"/>
        <v>0</v>
      </c>
    </row>
    <row r="5007" spans="1:3" x14ac:dyDescent="0.2">
      <c r="A5007" s="10" t="str">
        <f>IF(4999&gt;$C$9008,"",INDEX($B$9:$B$9008,MATCH(4999,$C$9:$C$9008,0)))</f>
        <v/>
      </c>
      <c r="B5007" s="9" t="str">
        <f>IFERROR(INDEX(Input!$L$20:$T$1019,INT((ROW()-9)/9)+1,MOD(ROW()-9,9)+1),"")</f>
        <v/>
      </c>
      <c r="C5007" s="9">
        <f t="shared" si="78"/>
        <v>0</v>
      </c>
    </row>
    <row r="5008" spans="1:3" x14ac:dyDescent="0.2">
      <c r="A5008" s="10" t="str">
        <f>IF(5000&gt;$C$9008,"",INDEX($B$9:$B$9008,MATCH(5000,$C$9:$C$9008,0)))</f>
        <v/>
      </c>
      <c r="B5008" s="9" t="str">
        <f>IFERROR(INDEX(Input!$L$20:$T$1019,INT((ROW()-9)/9)+1,MOD(ROW()-9,9)+1),"")</f>
        <v/>
      </c>
      <c r="C5008" s="9">
        <f t="shared" si="78"/>
        <v>0</v>
      </c>
    </row>
    <row r="5009" spans="1:3" x14ac:dyDescent="0.2">
      <c r="A5009" s="10" t="str">
        <f>IF(5001&gt;$C$9008,"",INDEX($B$9:$B$9008,MATCH(5001,$C$9:$C$9008,0)))</f>
        <v/>
      </c>
      <c r="B5009" s="9" t="str">
        <f>IFERROR(INDEX(Input!$L$20:$T$1019,INT((ROW()-9)/9)+1,MOD(ROW()-9,9)+1),"")</f>
        <v/>
      </c>
      <c r="C5009" s="9">
        <f t="shared" si="78"/>
        <v>0</v>
      </c>
    </row>
    <row r="5010" spans="1:3" x14ac:dyDescent="0.2">
      <c r="A5010" s="10" t="str">
        <f>IF(5002&gt;$C$9008,"",INDEX($B$9:$B$9008,MATCH(5002,$C$9:$C$9008,0)))</f>
        <v/>
      </c>
      <c r="B5010" s="9" t="str">
        <f>IFERROR(INDEX(Input!$L$20:$T$1019,INT((ROW()-9)/9)+1,MOD(ROW()-9,9)+1),"")</f>
        <v/>
      </c>
      <c r="C5010" s="9">
        <f t="shared" si="78"/>
        <v>0</v>
      </c>
    </row>
    <row r="5011" spans="1:3" x14ac:dyDescent="0.2">
      <c r="A5011" s="10" t="str">
        <f>IF(5003&gt;$C$9008,"",INDEX($B$9:$B$9008,MATCH(5003,$C$9:$C$9008,0)))</f>
        <v/>
      </c>
      <c r="B5011" s="9" t="str">
        <f>IFERROR(INDEX(Input!$L$20:$T$1019,INT((ROW()-9)/9)+1,MOD(ROW()-9,9)+1),"")</f>
        <v/>
      </c>
      <c r="C5011" s="9">
        <f t="shared" si="78"/>
        <v>0</v>
      </c>
    </row>
    <row r="5012" spans="1:3" x14ac:dyDescent="0.2">
      <c r="A5012" s="10" t="str">
        <f>IF(5004&gt;$C$9008,"",INDEX($B$9:$B$9008,MATCH(5004,$C$9:$C$9008,0)))</f>
        <v/>
      </c>
      <c r="B5012" s="9" t="str">
        <f>IFERROR(INDEX(Input!$L$20:$T$1019,INT((ROW()-9)/9)+1,MOD(ROW()-9,9)+1),"")</f>
        <v/>
      </c>
      <c r="C5012" s="9">
        <f t="shared" si="78"/>
        <v>0</v>
      </c>
    </row>
    <row r="5013" spans="1:3" x14ac:dyDescent="0.2">
      <c r="A5013" s="10" t="str">
        <f>IF(5005&gt;$C$9008,"",INDEX($B$9:$B$9008,MATCH(5005,$C$9:$C$9008,0)))</f>
        <v/>
      </c>
      <c r="B5013" s="9" t="str">
        <f>IFERROR(INDEX(Input!$L$20:$T$1019,INT((ROW()-9)/9)+1,MOD(ROW()-9,9)+1),"")</f>
        <v/>
      </c>
      <c r="C5013" s="9">
        <f t="shared" si="78"/>
        <v>0</v>
      </c>
    </row>
    <row r="5014" spans="1:3" x14ac:dyDescent="0.2">
      <c r="A5014" s="10" t="str">
        <f>IF(5006&gt;$C$9008,"",INDEX($B$9:$B$9008,MATCH(5006,$C$9:$C$9008,0)))</f>
        <v/>
      </c>
      <c r="B5014" s="9" t="str">
        <f>IFERROR(INDEX(Input!$L$20:$T$1019,INT((ROW()-9)/9)+1,MOD(ROW()-9,9)+1),"")</f>
        <v/>
      </c>
      <c r="C5014" s="9">
        <f t="shared" si="78"/>
        <v>0</v>
      </c>
    </row>
    <row r="5015" spans="1:3" x14ac:dyDescent="0.2">
      <c r="A5015" s="10" t="str">
        <f>IF(5007&gt;$C$9008,"",INDEX($B$9:$B$9008,MATCH(5007,$C$9:$C$9008,0)))</f>
        <v/>
      </c>
      <c r="B5015" s="9" t="str">
        <f>IFERROR(INDEX(Input!$L$20:$T$1019,INT((ROW()-9)/9)+1,MOD(ROW()-9,9)+1),"")</f>
        <v/>
      </c>
      <c r="C5015" s="9">
        <f t="shared" si="78"/>
        <v>0</v>
      </c>
    </row>
    <row r="5016" spans="1:3" x14ac:dyDescent="0.2">
      <c r="A5016" s="10" t="str">
        <f>IF(5008&gt;$C$9008,"",INDEX($B$9:$B$9008,MATCH(5008,$C$9:$C$9008,0)))</f>
        <v/>
      </c>
      <c r="B5016" s="9" t="str">
        <f>IFERROR(INDEX(Input!$L$20:$T$1019,INT((ROW()-9)/9)+1,MOD(ROW()-9,9)+1),"")</f>
        <v/>
      </c>
      <c r="C5016" s="9">
        <f t="shared" si="78"/>
        <v>0</v>
      </c>
    </row>
    <row r="5017" spans="1:3" x14ac:dyDescent="0.2">
      <c r="A5017" s="10" t="str">
        <f>IF(5009&gt;$C$9008,"",INDEX($B$9:$B$9008,MATCH(5009,$C$9:$C$9008,0)))</f>
        <v/>
      </c>
      <c r="B5017" s="9" t="str">
        <f>IFERROR(INDEX(Input!$L$20:$T$1019,INT((ROW()-9)/9)+1,MOD(ROW()-9,9)+1),"")</f>
        <v/>
      </c>
      <c r="C5017" s="9">
        <f t="shared" si="78"/>
        <v>0</v>
      </c>
    </row>
    <row r="5018" spans="1:3" x14ac:dyDescent="0.2">
      <c r="A5018" s="10" t="str">
        <f>IF(5010&gt;$C$9008,"",INDEX($B$9:$B$9008,MATCH(5010,$C$9:$C$9008,0)))</f>
        <v/>
      </c>
      <c r="B5018" s="9" t="str">
        <f>IFERROR(INDEX(Input!$L$20:$T$1019,INT((ROW()-9)/9)+1,MOD(ROW()-9,9)+1),"")</f>
        <v/>
      </c>
      <c r="C5018" s="9">
        <f t="shared" si="78"/>
        <v>0</v>
      </c>
    </row>
    <row r="5019" spans="1:3" x14ac:dyDescent="0.2">
      <c r="A5019" s="10" t="str">
        <f>IF(5011&gt;$C$9008,"",INDEX($B$9:$B$9008,MATCH(5011,$C$9:$C$9008,0)))</f>
        <v/>
      </c>
      <c r="B5019" s="9" t="str">
        <f>IFERROR(INDEX(Input!$L$20:$T$1019,INT((ROW()-9)/9)+1,MOD(ROW()-9,9)+1),"")</f>
        <v/>
      </c>
      <c r="C5019" s="9">
        <f t="shared" si="78"/>
        <v>0</v>
      </c>
    </row>
    <row r="5020" spans="1:3" x14ac:dyDescent="0.2">
      <c r="A5020" s="10" t="str">
        <f>IF(5012&gt;$C$9008,"",INDEX($B$9:$B$9008,MATCH(5012,$C$9:$C$9008,0)))</f>
        <v/>
      </c>
      <c r="B5020" s="9" t="str">
        <f>IFERROR(INDEX(Input!$L$20:$T$1019,INT((ROW()-9)/9)+1,MOD(ROW()-9,9)+1),"")</f>
        <v/>
      </c>
      <c r="C5020" s="9">
        <f t="shared" si="78"/>
        <v>0</v>
      </c>
    </row>
    <row r="5021" spans="1:3" x14ac:dyDescent="0.2">
      <c r="A5021" s="10" t="str">
        <f>IF(5013&gt;$C$9008,"",INDEX($B$9:$B$9008,MATCH(5013,$C$9:$C$9008,0)))</f>
        <v/>
      </c>
      <c r="B5021" s="9" t="str">
        <f>IFERROR(INDEX(Input!$L$20:$T$1019,INT((ROW()-9)/9)+1,MOD(ROW()-9,9)+1),"")</f>
        <v/>
      </c>
      <c r="C5021" s="9">
        <f t="shared" si="78"/>
        <v>0</v>
      </c>
    </row>
    <row r="5022" spans="1:3" x14ac:dyDescent="0.2">
      <c r="A5022" s="10" t="str">
        <f>IF(5014&gt;$C$9008,"",INDEX($B$9:$B$9008,MATCH(5014,$C$9:$C$9008,0)))</f>
        <v/>
      </c>
      <c r="B5022" s="9" t="str">
        <f>IFERROR(INDEX(Input!$L$20:$T$1019,INT((ROW()-9)/9)+1,MOD(ROW()-9,9)+1),"")</f>
        <v/>
      </c>
      <c r="C5022" s="9">
        <f t="shared" si="78"/>
        <v>0</v>
      </c>
    </row>
    <row r="5023" spans="1:3" x14ac:dyDescent="0.2">
      <c r="A5023" s="10" t="str">
        <f>IF(5015&gt;$C$9008,"",INDEX($B$9:$B$9008,MATCH(5015,$C$9:$C$9008,0)))</f>
        <v/>
      </c>
      <c r="B5023" s="9" t="str">
        <f>IFERROR(INDEX(Input!$L$20:$T$1019,INT((ROW()-9)/9)+1,MOD(ROW()-9,9)+1),"")</f>
        <v/>
      </c>
      <c r="C5023" s="9">
        <f t="shared" si="78"/>
        <v>0</v>
      </c>
    </row>
    <row r="5024" spans="1:3" x14ac:dyDescent="0.2">
      <c r="A5024" s="10" t="str">
        <f>IF(5016&gt;$C$9008,"",INDEX($B$9:$B$9008,MATCH(5016,$C$9:$C$9008,0)))</f>
        <v/>
      </c>
      <c r="B5024" s="9" t="str">
        <f>IFERROR(INDEX(Input!$L$20:$T$1019,INT((ROW()-9)/9)+1,MOD(ROW()-9,9)+1),"")</f>
        <v/>
      </c>
      <c r="C5024" s="9">
        <f t="shared" si="78"/>
        <v>0</v>
      </c>
    </row>
    <row r="5025" spans="1:3" x14ac:dyDescent="0.2">
      <c r="A5025" s="10" t="str">
        <f>IF(5017&gt;$C$9008,"",INDEX($B$9:$B$9008,MATCH(5017,$C$9:$C$9008,0)))</f>
        <v/>
      </c>
      <c r="B5025" s="9" t="str">
        <f>IFERROR(INDEX(Input!$L$20:$T$1019,INT((ROW()-9)/9)+1,MOD(ROW()-9,9)+1),"")</f>
        <v/>
      </c>
      <c r="C5025" s="9">
        <f t="shared" si="78"/>
        <v>0</v>
      </c>
    </row>
    <row r="5026" spans="1:3" x14ac:dyDescent="0.2">
      <c r="A5026" s="10" t="str">
        <f>IF(5018&gt;$C$9008,"",INDEX($B$9:$B$9008,MATCH(5018,$C$9:$C$9008,0)))</f>
        <v/>
      </c>
      <c r="B5026" s="9" t="str">
        <f>IFERROR(INDEX(Input!$L$20:$T$1019,INT((ROW()-9)/9)+1,MOD(ROW()-9,9)+1),"")</f>
        <v/>
      </c>
      <c r="C5026" s="9">
        <f t="shared" si="78"/>
        <v>0</v>
      </c>
    </row>
    <row r="5027" spans="1:3" x14ac:dyDescent="0.2">
      <c r="A5027" s="10" t="str">
        <f>IF(5019&gt;$C$9008,"",INDEX($B$9:$B$9008,MATCH(5019,$C$9:$C$9008,0)))</f>
        <v/>
      </c>
      <c r="B5027" s="9" t="str">
        <f>IFERROR(INDEX(Input!$L$20:$T$1019,INT((ROW()-9)/9)+1,MOD(ROW()-9,9)+1),"")</f>
        <v/>
      </c>
      <c r="C5027" s="9">
        <f t="shared" si="78"/>
        <v>0</v>
      </c>
    </row>
    <row r="5028" spans="1:3" x14ac:dyDescent="0.2">
      <c r="A5028" s="10" t="str">
        <f>IF(5020&gt;$C$9008,"",INDEX($B$9:$B$9008,MATCH(5020,$C$9:$C$9008,0)))</f>
        <v/>
      </c>
      <c r="B5028" s="9" t="str">
        <f>IFERROR(INDEX(Input!$L$20:$T$1019,INT((ROW()-9)/9)+1,MOD(ROW()-9,9)+1),"")</f>
        <v/>
      </c>
      <c r="C5028" s="9">
        <f t="shared" si="78"/>
        <v>0</v>
      </c>
    </row>
    <row r="5029" spans="1:3" x14ac:dyDescent="0.2">
      <c r="A5029" s="10" t="str">
        <f>IF(5021&gt;$C$9008,"",INDEX($B$9:$B$9008,MATCH(5021,$C$9:$C$9008,0)))</f>
        <v/>
      </c>
      <c r="B5029" s="9" t="str">
        <f>IFERROR(INDEX(Input!$L$20:$T$1019,INT((ROW()-9)/9)+1,MOD(ROW()-9,9)+1),"")</f>
        <v/>
      </c>
      <c r="C5029" s="9">
        <f t="shared" si="78"/>
        <v>0</v>
      </c>
    </row>
    <row r="5030" spans="1:3" x14ac:dyDescent="0.2">
      <c r="A5030" s="10" t="str">
        <f>IF(5022&gt;$C$9008,"",INDEX($B$9:$B$9008,MATCH(5022,$C$9:$C$9008,0)))</f>
        <v/>
      </c>
      <c r="B5030" s="9" t="str">
        <f>IFERROR(INDEX(Input!$L$20:$T$1019,INT((ROW()-9)/9)+1,MOD(ROW()-9,9)+1),"")</f>
        <v/>
      </c>
      <c r="C5030" s="9">
        <f t="shared" si="78"/>
        <v>0</v>
      </c>
    </row>
    <row r="5031" spans="1:3" x14ac:dyDescent="0.2">
      <c r="A5031" s="10" t="str">
        <f>IF(5023&gt;$C$9008,"",INDEX($B$9:$B$9008,MATCH(5023,$C$9:$C$9008,0)))</f>
        <v/>
      </c>
      <c r="B5031" s="9" t="str">
        <f>IFERROR(INDEX(Input!$L$20:$T$1019,INT((ROW()-9)/9)+1,MOD(ROW()-9,9)+1),"")</f>
        <v/>
      </c>
      <c r="C5031" s="9">
        <f t="shared" si="78"/>
        <v>0</v>
      </c>
    </row>
    <row r="5032" spans="1:3" x14ac:dyDescent="0.2">
      <c r="A5032" s="10" t="str">
        <f>IF(5024&gt;$C$9008,"",INDEX($B$9:$B$9008,MATCH(5024,$C$9:$C$9008,0)))</f>
        <v/>
      </c>
      <c r="B5032" s="9" t="str">
        <f>IFERROR(INDEX(Input!$L$20:$T$1019,INT((ROW()-9)/9)+1,MOD(ROW()-9,9)+1),"")</f>
        <v/>
      </c>
      <c r="C5032" s="9">
        <f t="shared" si="78"/>
        <v>0</v>
      </c>
    </row>
    <row r="5033" spans="1:3" x14ac:dyDescent="0.2">
      <c r="A5033" s="10" t="str">
        <f>IF(5025&gt;$C$9008,"",INDEX($B$9:$B$9008,MATCH(5025,$C$9:$C$9008,0)))</f>
        <v/>
      </c>
      <c r="B5033" s="9" t="str">
        <f>IFERROR(INDEX(Input!$L$20:$T$1019,INT((ROW()-9)/9)+1,MOD(ROW()-9,9)+1),"")</f>
        <v/>
      </c>
      <c r="C5033" s="9">
        <f t="shared" si="78"/>
        <v>0</v>
      </c>
    </row>
    <row r="5034" spans="1:3" x14ac:dyDescent="0.2">
      <c r="A5034" s="10" t="str">
        <f>IF(5026&gt;$C$9008,"",INDEX($B$9:$B$9008,MATCH(5026,$C$9:$C$9008,0)))</f>
        <v/>
      </c>
      <c r="B5034" s="9" t="str">
        <f>IFERROR(INDEX(Input!$L$20:$T$1019,INT((ROW()-9)/9)+1,MOD(ROW()-9,9)+1),"")</f>
        <v/>
      </c>
      <c r="C5034" s="9">
        <f t="shared" si="78"/>
        <v>0</v>
      </c>
    </row>
    <row r="5035" spans="1:3" x14ac:dyDescent="0.2">
      <c r="A5035" s="10" t="str">
        <f>IF(5027&gt;$C$9008,"",INDEX($B$9:$B$9008,MATCH(5027,$C$9:$C$9008,0)))</f>
        <v/>
      </c>
      <c r="B5035" s="9" t="str">
        <f>IFERROR(INDEX(Input!$L$20:$T$1019,INT((ROW()-9)/9)+1,MOD(ROW()-9,9)+1),"")</f>
        <v/>
      </c>
      <c r="C5035" s="9">
        <f t="shared" si="78"/>
        <v>0</v>
      </c>
    </row>
    <row r="5036" spans="1:3" x14ac:dyDescent="0.2">
      <c r="A5036" s="10" t="str">
        <f>IF(5028&gt;$C$9008,"",INDEX($B$9:$B$9008,MATCH(5028,$C$9:$C$9008,0)))</f>
        <v/>
      </c>
      <c r="B5036" s="9" t="str">
        <f>IFERROR(INDEX(Input!$L$20:$T$1019,INT((ROW()-9)/9)+1,MOD(ROW()-9,9)+1),"")</f>
        <v/>
      </c>
      <c r="C5036" s="9">
        <f t="shared" si="78"/>
        <v>0</v>
      </c>
    </row>
    <row r="5037" spans="1:3" x14ac:dyDescent="0.2">
      <c r="A5037" s="10" t="str">
        <f>IF(5029&gt;$C$9008,"",INDEX($B$9:$B$9008,MATCH(5029,$C$9:$C$9008,0)))</f>
        <v/>
      </c>
      <c r="B5037" s="9" t="str">
        <f>IFERROR(INDEX(Input!$L$20:$T$1019,INT((ROW()-9)/9)+1,MOD(ROW()-9,9)+1),"")</f>
        <v/>
      </c>
      <c r="C5037" s="9">
        <f t="shared" si="78"/>
        <v>0</v>
      </c>
    </row>
    <row r="5038" spans="1:3" x14ac:dyDescent="0.2">
      <c r="A5038" s="10" t="str">
        <f>IF(5030&gt;$C$9008,"",INDEX($B$9:$B$9008,MATCH(5030,$C$9:$C$9008,0)))</f>
        <v/>
      </c>
      <c r="B5038" s="9" t="str">
        <f>IFERROR(INDEX(Input!$L$20:$T$1019,INT((ROW()-9)/9)+1,MOD(ROW()-9,9)+1),"")</f>
        <v/>
      </c>
      <c r="C5038" s="9">
        <f t="shared" si="78"/>
        <v>0</v>
      </c>
    </row>
    <row r="5039" spans="1:3" x14ac:dyDescent="0.2">
      <c r="A5039" s="10" t="str">
        <f>IF(5031&gt;$C$9008,"",INDEX($B$9:$B$9008,MATCH(5031,$C$9:$C$9008,0)))</f>
        <v/>
      </c>
      <c r="B5039" s="9" t="str">
        <f>IFERROR(INDEX(Input!$L$20:$T$1019,INT((ROW()-9)/9)+1,MOD(ROW()-9,9)+1),"")</f>
        <v/>
      </c>
      <c r="C5039" s="9">
        <f t="shared" si="78"/>
        <v>0</v>
      </c>
    </row>
    <row r="5040" spans="1:3" x14ac:dyDescent="0.2">
      <c r="A5040" s="10" t="str">
        <f>IF(5032&gt;$C$9008,"",INDEX($B$9:$B$9008,MATCH(5032,$C$9:$C$9008,0)))</f>
        <v/>
      </c>
      <c r="B5040" s="9" t="str">
        <f>IFERROR(INDEX(Input!$L$20:$T$1019,INT((ROW()-9)/9)+1,MOD(ROW()-9,9)+1),"")</f>
        <v/>
      </c>
      <c r="C5040" s="9">
        <f t="shared" si="78"/>
        <v>0</v>
      </c>
    </row>
    <row r="5041" spans="1:3" x14ac:dyDescent="0.2">
      <c r="A5041" s="10" t="str">
        <f>IF(5033&gt;$C$9008,"",INDEX($B$9:$B$9008,MATCH(5033,$C$9:$C$9008,0)))</f>
        <v/>
      </c>
      <c r="B5041" s="9" t="str">
        <f>IFERROR(INDEX(Input!$L$20:$T$1019,INT((ROW()-9)/9)+1,MOD(ROW()-9,9)+1),"")</f>
        <v/>
      </c>
      <c r="C5041" s="9">
        <f t="shared" si="78"/>
        <v>0</v>
      </c>
    </row>
    <row r="5042" spans="1:3" x14ac:dyDescent="0.2">
      <c r="A5042" s="10" t="str">
        <f>IF(5034&gt;$C$9008,"",INDEX($B$9:$B$9008,MATCH(5034,$C$9:$C$9008,0)))</f>
        <v/>
      </c>
      <c r="B5042" s="9" t="str">
        <f>IFERROR(INDEX(Input!$L$20:$T$1019,INT((ROW()-9)/9)+1,MOD(ROW()-9,9)+1),"")</f>
        <v/>
      </c>
      <c r="C5042" s="9">
        <f t="shared" si="78"/>
        <v>0</v>
      </c>
    </row>
    <row r="5043" spans="1:3" x14ac:dyDescent="0.2">
      <c r="A5043" s="10" t="str">
        <f>IF(5035&gt;$C$9008,"",INDEX($B$9:$B$9008,MATCH(5035,$C$9:$C$9008,0)))</f>
        <v/>
      </c>
      <c r="B5043" s="9" t="str">
        <f>IFERROR(INDEX(Input!$L$20:$T$1019,INT((ROW()-9)/9)+1,MOD(ROW()-9,9)+1),"")</f>
        <v/>
      </c>
      <c r="C5043" s="9">
        <f t="shared" si="78"/>
        <v>0</v>
      </c>
    </row>
    <row r="5044" spans="1:3" x14ac:dyDescent="0.2">
      <c r="A5044" s="10" t="str">
        <f>IF(5036&gt;$C$9008,"",INDEX($B$9:$B$9008,MATCH(5036,$C$9:$C$9008,0)))</f>
        <v/>
      </c>
      <c r="B5044" s="9" t="str">
        <f>IFERROR(INDEX(Input!$L$20:$T$1019,INT((ROW()-9)/9)+1,MOD(ROW()-9,9)+1),"")</f>
        <v/>
      </c>
      <c r="C5044" s="9">
        <f t="shared" si="78"/>
        <v>0</v>
      </c>
    </row>
    <row r="5045" spans="1:3" x14ac:dyDescent="0.2">
      <c r="A5045" s="10" t="str">
        <f>IF(5037&gt;$C$9008,"",INDEX($B$9:$B$9008,MATCH(5037,$C$9:$C$9008,0)))</f>
        <v/>
      </c>
      <c r="B5045" s="9" t="str">
        <f>IFERROR(INDEX(Input!$L$20:$T$1019,INT((ROW()-9)/9)+1,MOD(ROW()-9,9)+1),"")</f>
        <v/>
      </c>
      <c r="C5045" s="9">
        <f t="shared" si="78"/>
        <v>0</v>
      </c>
    </row>
    <row r="5046" spans="1:3" x14ac:dyDescent="0.2">
      <c r="A5046" s="10" t="str">
        <f>IF(5038&gt;$C$9008,"",INDEX($B$9:$B$9008,MATCH(5038,$C$9:$C$9008,0)))</f>
        <v/>
      </c>
      <c r="B5046" s="9" t="str">
        <f>IFERROR(INDEX(Input!$L$20:$T$1019,INT((ROW()-9)/9)+1,MOD(ROW()-9,9)+1),"")</f>
        <v/>
      </c>
      <c r="C5046" s="9">
        <f t="shared" si="78"/>
        <v>0</v>
      </c>
    </row>
    <row r="5047" spans="1:3" x14ac:dyDescent="0.2">
      <c r="A5047" s="10" t="str">
        <f>IF(5039&gt;$C$9008,"",INDEX($B$9:$B$9008,MATCH(5039,$C$9:$C$9008,0)))</f>
        <v/>
      </c>
      <c r="B5047" s="9" t="str">
        <f>IFERROR(INDEX(Input!$L$20:$T$1019,INT((ROW()-9)/9)+1,MOD(ROW()-9,9)+1),"")</f>
        <v/>
      </c>
      <c r="C5047" s="9">
        <f t="shared" si="78"/>
        <v>0</v>
      </c>
    </row>
    <row r="5048" spans="1:3" x14ac:dyDescent="0.2">
      <c r="A5048" s="10" t="str">
        <f>IF(5040&gt;$C$9008,"",INDEX($B$9:$B$9008,MATCH(5040,$C$9:$C$9008,0)))</f>
        <v/>
      </c>
      <c r="B5048" s="9" t="str">
        <f>IFERROR(INDEX(Input!$L$20:$T$1019,INT((ROW()-9)/9)+1,MOD(ROW()-9,9)+1),"")</f>
        <v/>
      </c>
      <c r="C5048" s="9">
        <f t="shared" si="78"/>
        <v>0</v>
      </c>
    </row>
    <row r="5049" spans="1:3" x14ac:dyDescent="0.2">
      <c r="A5049" s="10" t="str">
        <f>IF(5041&gt;$C$9008,"",INDEX($B$9:$B$9008,MATCH(5041,$C$9:$C$9008,0)))</f>
        <v/>
      </c>
      <c r="B5049" s="9" t="str">
        <f>IFERROR(INDEX(Input!$L$20:$T$1019,INT((ROW()-9)/9)+1,MOD(ROW()-9,9)+1),"")</f>
        <v/>
      </c>
      <c r="C5049" s="9">
        <f t="shared" si="78"/>
        <v>0</v>
      </c>
    </row>
    <row r="5050" spans="1:3" x14ac:dyDescent="0.2">
      <c r="A5050" s="10" t="str">
        <f>IF(5042&gt;$C$9008,"",INDEX($B$9:$B$9008,MATCH(5042,$C$9:$C$9008,0)))</f>
        <v/>
      </c>
      <c r="B5050" s="9" t="str">
        <f>IFERROR(INDEX(Input!$L$20:$T$1019,INT((ROW()-9)/9)+1,MOD(ROW()-9,9)+1),"")</f>
        <v/>
      </c>
      <c r="C5050" s="9">
        <f t="shared" si="78"/>
        <v>0</v>
      </c>
    </row>
    <row r="5051" spans="1:3" x14ac:dyDescent="0.2">
      <c r="A5051" s="10" t="str">
        <f>IF(5043&gt;$C$9008,"",INDEX($B$9:$B$9008,MATCH(5043,$C$9:$C$9008,0)))</f>
        <v/>
      </c>
      <c r="B5051" s="9" t="str">
        <f>IFERROR(INDEX(Input!$L$20:$T$1019,INT((ROW()-9)/9)+1,MOD(ROW()-9,9)+1),"")</f>
        <v/>
      </c>
      <c r="C5051" s="9">
        <f t="shared" si="78"/>
        <v>0</v>
      </c>
    </row>
    <row r="5052" spans="1:3" x14ac:dyDescent="0.2">
      <c r="A5052" s="10" t="str">
        <f>IF(5044&gt;$C$9008,"",INDEX($B$9:$B$9008,MATCH(5044,$C$9:$C$9008,0)))</f>
        <v/>
      </c>
      <c r="B5052" s="9" t="str">
        <f>IFERROR(INDEX(Input!$L$20:$T$1019,INT((ROW()-9)/9)+1,MOD(ROW()-9,9)+1),"")</f>
        <v/>
      </c>
      <c r="C5052" s="9">
        <f t="shared" si="78"/>
        <v>0</v>
      </c>
    </row>
    <row r="5053" spans="1:3" x14ac:dyDescent="0.2">
      <c r="A5053" s="10" t="str">
        <f>IF(5045&gt;$C$9008,"",INDEX($B$9:$B$9008,MATCH(5045,$C$9:$C$9008,0)))</f>
        <v/>
      </c>
      <c r="B5053" s="9" t="str">
        <f>IFERROR(INDEX(Input!$L$20:$T$1019,INT((ROW()-9)/9)+1,MOD(ROW()-9,9)+1),"")</f>
        <v/>
      </c>
      <c r="C5053" s="9">
        <f t="shared" si="78"/>
        <v>0</v>
      </c>
    </row>
    <row r="5054" spans="1:3" x14ac:dyDescent="0.2">
      <c r="A5054" s="10" t="str">
        <f>IF(5046&gt;$C$9008,"",INDEX($B$9:$B$9008,MATCH(5046,$C$9:$C$9008,0)))</f>
        <v/>
      </c>
      <c r="B5054" s="9" t="str">
        <f>IFERROR(INDEX(Input!$L$20:$T$1019,INT((ROW()-9)/9)+1,MOD(ROW()-9,9)+1),"")</f>
        <v/>
      </c>
      <c r="C5054" s="9">
        <f t="shared" si="78"/>
        <v>0</v>
      </c>
    </row>
    <row r="5055" spans="1:3" x14ac:dyDescent="0.2">
      <c r="A5055" s="10" t="str">
        <f>IF(5047&gt;$C$9008,"",INDEX($B$9:$B$9008,MATCH(5047,$C$9:$C$9008,0)))</f>
        <v/>
      </c>
      <c r="B5055" s="9" t="str">
        <f>IFERROR(INDEX(Input!$L$20:$T$1019,INT((ROW()-9)/9)+1,MOD(ROW()-9,9)+1),"")</f>
        <v/>
      </c>
      <c r="C5055" s="9">
        <f t="shared" si="78"/>
        <v>0</v>
      </c>
    </row>
    <row r="5056" spans="1:3" x14ac:dyDescent="0.2">
      <c r="A5056" s="10" t="str">
        <f>IF(5048&gt;$C$9008,"",INDEX($B$9:$B$9008,MATCH(5048,$C$9:$C$9008,0)))</f>
        <v/>
      </c>
      <c r="B5056" s="9" t="str">
        <f>IFERROR(INDEX(Input!$L$20:$T$1019,INT((ROW()-9)/9)+1,MOD(ROW()-9,9)+1),"")</f>
        <v/>
      </c>
      <c r="C5056" s="9">
        <f t="shared" si="78"/>
        <v>0</v>
      </c>
    </row>
    <row r="5057" spans="1:3" x14ac:dyDescent="0.2">
      <c r="A5057" s="10" t="str">
        <f>IF(5049&gt;$C$9008,"",INDEX($B$9:$B$9008,MATCH(5049,$C$9:$C$9008,0)))</f>
        <v/>
      </c>
      <c r="B5057" s="9" t="str">
        <f>IFERROR(INDEX(Input!$L$20:$T$1019,INT((ROW()-9)/9)+1,MOD(ROW()-9,9)+1),"")</f>
        <v/>
      </c>
      <c r="C5057" s="9">
        <f t="shared" si="78"/>
        <v>0</v>
      </c>
    </row>
    <row r="5058" spans="1:3" x14ac:dyDescent="0.2">
      <c r="A5058" s="10" t="str">
        <f>IF(5050&gt;$C$9008,"",INDEX($B$9:$B$9008,MATCH(5050,$C$9:$C$9008,0)))</f>
        <v/>
      </c>
      <c r="B5058" s="9" t="str">
        <f>IFERROR(INDEX(Input!$L$20:$T$1019,INT((ROW()-9)/9)+1,MOD(ROW()-9,9)+1),"")</f>
        <v/>
      </c>
      <c r="C5058" s="9">
        <f t="shared" si="78"/>
        <v>0</v>
      </c>
    </row>
    <row r="5059" spans="1:3" x14ac:dyDescent="0.2">
      <c r="A5059" s="10" t="str">
        <f>IF(5051&gt;$C$9008,"",INDEX($B$9:$B$9008,MATCH(5051,$C$9:$C$9008,0)))</f>
        <v/>
      </c>
      <c r="B5059" s="9" t="str">
        <f>IFERROR(INDEX(Input!$L$20:$T$1019,INT((ROW()-9)/9)+1,MOD(ROW()-9,9)+1),"")</f>
        <v/>
      </c>
      <c r="C5059" s="9">
        <f t="shared" si="78"/>
        <v>0</v>
      </c>
    </row>
    <row r="5060" spans="1:3" x14ac:dyDescent="0.2">
      <c r="A5060" s="10" t="str">
        <f>IF(5052&gt;$C$9008,"",INDEX($B$9:$B$9008,MATCH(5052,$C$9:$C$9008,0)))</f>
        <v/>
      </c>
      <c r="B5060" s="9" t="str">
        <f>IFERROR(INDEX(Input!$L$20:$T$1019,INT((ROW()-9)/9)+1,MOD(ROW()-9,9)+1),"")</f>
        <v/>
      </c>
      <c r="C5060" s="9">
        <f t="shared" si="78"/>
        <v>0</v>
      </c>
    </row>
    <row r="5061" spans="1:3" x14ac:dyDescent="0.2">
      <c r="A5061" s="10" t="str">
        <f>IF(5053&gt;$C$9008,"",INDEX($B$9:$B$9008,MATCH(5053,$C$9:$C$9008,0)))</f>
        <v/>
      </c>
      <c r="B5061" s="9" t="str">
        <f>IFERROR(INDEX(Input!$L$20:$T$1019,INT((ROW()-9)/9)+1,MOD(ROW()-9,9)+1),"")</f>
        <v/>
      </c>
      <c r="C5061" s="9">
        <f t="shared" si="78"/>
        <v>0</v>
      </c>
    </row>
    <row r="5062" spans="1:3" x14ac:dyDescent="0.2">
      <c r="A5062" s="10" t="str">
        <f>IF(5054&gt;$C$9008,"",INDEX($B$9:$B$9008,MATCH(5054,$C$9:$C$9008,0)))</f>
        <v/>
      </c>
      <c r="B5062" s="9" t="str">
        <f>IFERROR(INDEX(Input!$L$20:$T$1019,INT((ROW()-9)/9)+1,MOD(ROW()-9,9)+1),"")</f>
        <v/>
      </c>
      <c r="C5062" s="9">
        <f t="shared" si="78"/>
        <v>0</v>
      </c>
    </row>
    <row r="5063" spans="1:3" x14ac:dyDescent="0.2">
      <c r="A5063" s="10" t="str">
        <f>IF(5055&gt;$C$9008,"",INDEX($B$9:$B$9008,MATCH(5055,$C$9:$C$9008,0)))</f>
        <v/>
      </c>
      <c r="B5063" s="9" t="str">
        <f>IFERROR(INDEX(Input!$L$20:$T$1019,INT((ROW()-9)/9)+1,MOD(ROW()-9,9)+1),"")</f>
        <v/>
      </c>
      <c r="C5063" s="9">
        <f t="shared" si="78"/>
        <v>0</v>
      </c>
    </row>
    <row r="5064" spans="1:3" x14ac:dyDescent="0.2">
      <c r="A5064" s="10" t="str">
        <f>IF(5056&gt;$C$9008,"",INDEX($B$9:$B$9008,MATCH(5056,$C$9:$C$9008,0)))</f>
        <v/>
      </c>
      <c r="B5064" s="9" t="str">
        <f>IFERROR(INDEX(Input!$L$20:$T$1019,INT((ROW()-9)/9)+1,MOD(ROW()-9,9)+1),"")</f>
        <v/>
      </c>
      <c r="C5064" s="9">
        <f t="shared" si="78"/>
        <v>0</v>
      </c>
    </row>
    <row r="5065" spans="1:3" x14ac:dyDescent="0.2">
      <c r="A5065" s="10" t="str">
        <f>IF(5057&gt;$C$9008,"",INDEX($B$9:$B$9008,MATCH(5057,$C$9:$C$9008,0)))</f>
        <v/>
      </c>
      <c r="B5065" s="9" t="str">
        <f>IFERROR(INDEX(Input!$L$20:$T$1019,INT((ROW()-9)/9)+1,MOD(ROW()-9,9)+1),"")</f>
        <v/>
      </c>
      <c r="C5065" s="9">
        <f t="shared" ref="C5065:C5128" si="79">$C5064+IF($B5065&lt;&gt;"",1,0)</f>
        <v>0</v>
      </c>
    </row>
    <row r="5066" spans="1:3" x14ac:dyDescent="0.2">
      <c r="A5066" s="10" t="str">
        <f>IF(5058&gt;$C$9008,"",INDEX($B$9:$B$9008,MATCH(5058,$C$9:$C$9008,0)))</f>
        <v/>
      </c>
      <c r="B5066" s="9" t="str">
        <f>IFERROR(INDEX(Input!$L$20:$T$1019,INT((ROW()-9)/9)+1,MOD(ROW()-9,9)+1),"")</f>
        <v/>
      </c>
      <c r="C5066" s="9">
        <f t="shared" si="79"/>
        <v>0</v>
      </c>
    </row>
    <row r="5067" spans="1:3" x14ac:dyDescent="0.2">
      <c r="A5067" s="10" t="str">
        <f>IF(5059&gt;$C$9008,"",INDEX($B$9:$B$9008,MATCH(5059,$C$9:$C$9008,0)))</f>
        <v/>
      </c>
      <c r="B5067" s="9" t="str">
        <f>IFERROR(INDEX(Input!$L$20:$T$1019,INT((ROW()-9)/9)+1,MOD(ROW()-9,9)+1),"")</f>
        <v/>
      </c>
      <c r="C5067" s="9">
        <f t="shared" si="79"/>
        <v>0</v>
      </c>
    </row>
    <row r="5068" spans="1:3" x14ac:dyDescent="0.2">
      <c r="A5068" s="10" t="str">
        <f>IF(5060&gt;$C$9008,"",INDEX($B$9:$B$9008,MATCH(5060,$C$9:$C$9008,0)))</f>
        <v/>
      </c>
      <c r="B5068" s="9" t="str">
        <f>IFERROR(INDEX(Input!$L$20:$T$1019,INT((ROW()-9)/9)+1,MOD(ROW()-9,9)+1),"")</f>
        <v/>
      </c>
      <c r="C5068" s="9">
        <f t="shared" si="79"/>
        <v>0</v>
      </c>
    </row>
    <row r="5069" spans="1:3" x14ac:dyDescent="0.2">
      <c r="A5069" s="10" t="str">
        <f>IF(5061&gt;$C$9008,"",INDEX($B$9:$B$9008,MATCH(5061,$C$9:$C$9008,0)))</f>
        <v/>
      </c>
      <c r="B5069" s="9" t="str">
        <f>IFERROR(INDEX(Input!$L$20:$T$1019,INT((ROW()-9)/9)+1,MOD(ROW()-9,9)+1),"")</f>
        <v/>
      </c>
      <c r="C5069" s="9">
        <f t="shared" si="79"/>
        <v>0</v>
      </c>
    </row>
    <row r="5070" spans="1:3" x14ac:dyDescent="0.2">
      <c r="A5070" s="10" t="str">
        <f>IF(5062&gt;$C$9008,"",INDEX($B$9:$B$9008,MATCH(5062,$C$9:$C$9008,0)))</f>
        <v/>
      </c>
      <c r="B5070" s="9" t="str">
        <f>IFERROR(INDEX(Input!$L$20:$T$1019,INT((ROW()-9)/9)+1,MOD(ROW()-9,9)+1),"")</f>
        <v/>
      </c>
      <c r="C5070" s="9">
        <f t="shared" si="79"/>
        <v>0</v>
      </c>
    </row>
    <row r="5071" spans="1:3" x14ac:dyDescent="0.2">
      <c r="A5071" s="10" t="str">
        <f>IF(5063&gt;$C$9008,"",INDEX($B$9:$B$9008,MATCH(5063,$C$9:$C$9008,0)))</f>
        <v/>
      </c>
      <c r="B5071" s="9" t="str">
        <f>IFERROR(INDEX(Input!$L$20:$T$1019,INT((ROW()-9)/9)+1,MOD(ROW()-9,9)+1),"")</f>
        <v/>
      </c>
      <c r="C5071" s="9">
        <f t="shared" si="79"/>
        <v>0</v>
      </c>
    </row>
    <row r="5072" spans="1:3" x14ac:dyDescent="0.2">
      <c r="A5072" s="10" t="str">
        <f>IF(5064&gt;$C$9008,"",INDEX($B$9:$B$9008,MATCH(5064,$C$9:$C$9008,0)))</f>
        <v/>
      </c>
      <c r="B5072" s="9" t="str">
        <f>IFERROR(INDEX(Input!$L$20:$T$1019,INT((ROW()-9)/9)+1,MOD(ROW()-9,9)+1),"")</f>
        <v/>
      </c>
      <c r="C5072" s="9">
        <f t="shared" si="79"/>
        <v>0</v>
      </c>
    </row>
    <row r="5073" spans="1:3" x14ac:dyDescent="0.2">
      <c r="A5073" s="10" t="str">
        <f>IF(5065&gt;$C$9008,"",INDEX($B$9:$B$9008,MATCH(5065,$C$9:$C$9008,0)))</f>
        <v/>
      </c>
      <c r="B5073" s="9" t="str">
        <f>IFERROR(INDEX(Input!$L$20:$T$1019,INT((ROW()-9)/9)+1,MOD(ROW()-9,9)+1),"")</f>
        <v/>
      </c>
      <c r="C5073" s="9">
        <f t="shared" si="79"/>
        <v>0</v>
      </c>
    </row>
    <row r="5074" spans="1:3" x14ac:dyDescent="0.2">
      <c r="A5074" s="10" t="str">
        <f>IF(5066&gt;$C$9008,"",INDEX($B$9:$B$9008,MATCH(5066,$C$9:$C$9008,0)))</f>
        <v/>
      </c>
      <c r="B5074" s="9" t="str">
        <f>IFERROR(INDEX(Input!$L$20:$T$1019,INT((ROW()-9)/9)+1,MOD(ROW()-9,9)+1),"")</f>
        <v/>
      </c>
      <c r="C5074" s="9">
        <f t="shared" si="79"/>
        <v>0</v>
      </c>
    </row>
    <row r="5075" spans="1:3" x14ac:dyDescent="0.2">
      <c r="A5075" s="10" t="str">
        <f>IF(5067&gt;$C$9008,"",INDEX($B$9:$B$9008,MATCH(5067,$C$9:$C$9008,0)))</f>
        <v/>
      </c>
      <c r="B5075" s="9" t="str">
        <f>IFERROR(INDEX(Input!$L$20:$T$1019,INT((ROW()-9)/9)+1,MOD(ROW()-9,9)+1),"")</f>
        <v/>
      </c>
      <c r="C5075" s="9">
        <f t="shared" si="79"/>
        <v>0</v>
      </c>
    </row>
    <row r="5076" spans="1:3" x14ac:dyDescent="0.2">
      <c r="A5076" s="10" t="str">
        <f>IF(5068&gt;$C$9008,"",INDEX($B$9:$B$9008,MATCH(5068,$C$9:$C$9008,0)))</f>
        <v/>
      </c>
      <c r="B5076" s="9" t="str">
        <f>IFERROR(INDEX(Input!$L$20:$T$1019,INT((ROW()-9)/9)+1,MOD(ROW()-9,9)+1),"")</f>
        <v/>
      </c>
      <c r="C5076" s="9">
        <f t="shared" si="79"/>
        <v>0</v>
      </c>
    </row>
    <row r="5077" spans="1:3" x14ac:dyDescent="0.2">
      <c r="A5077" s="10" t="str">
        <f>IF(5069&gt;$C$9008,"",INDEX($B$9:$B$9008,MATCH(5069,$C$9:$C$9008,0)))</f>
        <v/>
      </c>
      <c r="B5077" s="9" t="str">
        <f>IFERROR(INDEX(Input!$L$20:$T$1019,INT((ROW()-9)/9)+1,MOD(ROW()-9,9)+1),"")</f>
        <v/>
      </c>
      <c r="C5077" s="9">
        <f t="shared" si="79"/>
        <v>0</v>
      </c>
    </row>
    <row r="5078" spans="1:3" x14ac:dyDescent="0.2">
      <c r="A5078" s="10" t="str">
        <f>IF(5070&gt;$C$9008,"",INDEX($B$9:$B$9008,MATCH(5070,$C$9:$C$9008,0)))</f>
        <v/>
      </c>
      <c r="B5078" s="9" t="str">
        <f>IFERROR(INDEX(Input!$L$20:$T$1019,INT((ROW()-9)/9)+1,MOD(ROW()-9,9)+1),"")</f>
        <v/>
      </c>
      <c r="C5078" s="9">
        <f t="shared" si="79"/>
        <v>0</v>
      </c>
    </row>
    <row r="5079" spans="1:3" x14ac:dyDescent="0.2">
      <c r="A5079" s="10" t="str">
        <f>IF(5071&gt;$C$9008,"",INDEX($B$9:$B$9008,MATCH(5071,$C$9:$C$9008,0)))</f>
        <v/>
      </c>
      <c r="B5079" s="9" t="str">
        <f>IFERROR(INDEX(Input!$L$20:$T$1019,INT((ROW()-9)/9)+1,MOD(ROW()-9,9)+1),"")</f>
        <v/>
      </c>
      <c r="C5079" s="9">
        <f t="shared" si="79"/>
        <v>0</v>
      </c>
    </row>
    <row r="5080" spans="1:3" x14ac:dyDescent="0.2">
      <c r="A5080" s="10" t="str">
        <f>IF(5072&gt;$C$9008,"",INDEX($B$9:$B$9008,MATCH(5072,$C$9:$C$9008,0)))</f>
        <v/>
      </c>
      <c r="B5080" s="9" t="str">
        <f>IFERROR(INDEX(Input!$L$20:$T$1019,INT((ROW()-9)/9)+1,MOD(ROW()-9,9)+1),"")</f>
        <v/>
      </c>
      <c r="C5080" s="9">
        <f t="shared" si="79"/>
        <v>0</v>
      </c>
    </row>
    <row r="5081" spans="1:3" x14ac:dyDescent="0.2">
      <c r="A5081" s="10" t="str">
        <f>IF(5073&gt;$C$9008,"",INDEX($B$9:$B$9008,MATCH(5073,$C$9:$C$9008,0)))</f>
        <v/>
      </c>
      <c r="B5081" s="9" t="str">
        <f>IFERROR(INDEX(Input!$L$20:$T$1019,INT((ROW()-9)/9)+1,MOD(ROW()-9,9)+1),"")</f>
        <v/>
      </c>
      <c r="C5081" s="9">
        <f t="shared" si="79"/>
        <v>0</v>
      </c>
    </row>
    <row r="5082" spans="1:3" x14ac:dyDescent="0.2">
      <c r="A5082" s="10" t="str">
        <f>IF(5074&gt;$C$9008,"",INDEX($B$9:$B$9008,MATCH(5074,$C$9:$C$9008,0)))</f>
        <v/>
      </c>
      <c r="B5082" s="9" t="str">
        <f>IFERROR(INDEX(Input!$L$20:$T$1019,INT((ROW()-9)/9)+1,MOD(ROW()-9,9)+1),"")</f>
        <v/>
      </c>
      <c r="C5082" s="9">
        <f t="shared" si="79"/>
        <v>0</v>
      </c>
    </row>
    <row r="5083" spans="1:3" x14ac:dyDescent="0.2">
      <c r="A5083" s="10" t="str">
        <f>IF(5075&gt;$C$9008,"",INDEX($B$9:$B$9008,MATCH(5075,$C$9:$C$9008,0)))</f>
        <v/>
      </c>
      <c r="B5083" s="9" t="str">
        <f>IFERROR(INDEX(Input!$L$20:$T$1019,INT((ROW()-9)/9)+1,MOD(ROW()-9,9)+1),"")</f>
        <v/>
      </c>
      <c r="C5083" s="9">
        <f t="shared" si="79"/>
        <v>0</v>
      </c>
    </row>
    <row r="5084" spans="1:3" x14ac:dyDescent="0.2">
      <c r="A5084" s="10" t="str">
        <f>IF(5076&gt;$C$9008,"",INDEX($B$9:$B$9008,MATCH(5076,$C$9:$C$9008,0)))</f>
        <v/>
      </c>
      <c r="B5084" s="9" t="str">
        <f>IFERROR(INDEX(Input!$L$20:$T$1019,INT((ROW()-9)/9)+1,MOD(ROW()-9,9)+1),"")</f>
        <v/>
      </c>
      <c r="C5084" s="9">
        <f t="shared" si="79"/>
        <v>0</v>
      </c>
    </row>
    <row r="5085" spans="1:3" x14ac:dyDescent="0.2">
      <c r="A5085" s="10" t="str">
        <f>IF(5077&gt;$C$9008,"",INDEX($B$9:$B$9008,MATCH(5077,$C$9:$C$9008,0)))</f>
        <v/>
      </c>
      <c r="B5085" s="9" t="str">
        <f>IFERROR(INDEX(Input!$L$20:$T$1019,INT((ROW()-9)/9)+1,MOD(ROW()-9,9)+1),"")</f>
        <v/>
      </c>
      <c r="C5085" s="9">
        <f t="shared" si="79"/>
        <v>0</v>
      </c>
    </row>
    <row r="5086" spans="1:3" x14ac:dyDescent="0.2">
      <c r="A5086" s="10" t="str">
        <f>IF(5078&gt;$C$9008,"",INDEX($B$9:$B$9008,MATCH(5078,$C$9:$C$9008,0)))</f>
        <v/>
      </c>
      <c r="B5086" s="9" t="str">
        <f>IFERROR(INDEX(Input!$L$20:$T$1019,INT((ROW()-9)/9)+1,MOD(ROW()-9,9)+1),"")</f>
        <v/>
      </c>
      <c r="C5086" s="9">
        <f t="shared" si="79"/>
        <v>0</v>
      </c>
    </row>
    <row r="5087" spans="1:3" x14ac:dyDescent="0.2">
      <c r="A5087" s="10" t="str">
        <f>IF(5079&gt;$C$9008,"",INDEX($B$9:$B$9008,MATCH(5079,$C$9:$C$9008,0)))</f>
        <v/>
      </c>
      <c r="B5087" s="9" t="str">
        <f>IFERROR(INDEX(Input!$L$20:$T$1019,INT((ROW()-9)/9)+1,MOD(ROW()-9,9)+1),"")</f>
        <v/>
      </c>
      <c r="C5087" s="9">
        <f t="shared" si="79"/>
        <v>0</v>
      </c>
    </row>
    <row r="5088" spans="1:3" x14ac:dyDescent="0.2">
      <c r="A5088" s="10" t="str">
        <f>IF(5080&gt;$C$9008,"",INDEX($B$9:$B$9008,MATCH(5080,$C$9:$C$9008,0)))</f>
        <v/>
      </c>
      <c r="B5088" s="9" t="str">
        <f>IFERROR(INDEX(Input!$L$20:$T$1019,INT((ROW()-9)/9)+1,MOD(ROW()-9,9)+1),"")</f>
        <v/>
      </c>
      <c r="C5088" s="9">
        <f t="shared" si="79"/>
        <v>0</v>
      </c>
    </row>
    <row r="5089" spans="1:3" x14ac:dyDescent="0.2">
      <c r="A5089" s="10" t="str">
        <f>IF(5081&gt;$C$9008,"",INDEX($B$9:$B$9008,MATCH(5081,$C$9:$C$9008,0)))</f>
        <v/>
      </c>
      <c r="B5089" s="9" t="str">
        <f>IFERROR(INDEX(Input!$L$20:$T$1019,INT((ROW()-9)/9)+1,MOD(ROW()-9,9)+1),"")</f>
        <v/>
      </c>
      <c r="C5089" s="9">
        <f t="shared" si="79"/>
        <v>0</v>
      </c>
    </row>
    <row r="5090" spans="1:3" x14ac:dyDescent="0.2">
      <c r="A5090" s="10" t="str">
        <f>IF(5082&gt;$C$9008,"",INDEX($B$9:$B$9008,MATCH(5082,$C$9:$C$9008,0)))</f>
        <v/>
      </c>
      <c r="B5090" s="9" t="str">
        <f>IFERROR(INDEX(Input!$L$20:$T$1019,INT((ROW()-9)/9)+1,MOD(ROW()-9,9)+1),"")</f>
        <v/>
      </c>
      <c r="C5090" s="9">
        <f t="shared" si="79"/>
        <v>0</v>
      </c>
    </row>
    <row r="5091" spans="1:3" x14ac:dyDescent="0.2">
      <c r="A5091" s="10" t="str">
        <f>IF(5083&gt;$C$9008,"",INDEX($B$9:$B$9008,MATCH(5083,$C$9:$C$9008,0)))</f>
        <v/>
      </c>
      <c r="B5091" s="9" t="str">
        <f>IFERROR(INDEX(Input!$L$20:$T$1019,INT((ROW()-9)/9)+1,MOD(ROW()-9,9)+1),"")</f>
        <v/>
      </c>
      <c r="C5091" s="9">
        <f t="shared" si="79"/>
        <v>0</v>
      </c>
    </row>
    <row r="5092" spans="1:3" x14ac:dyDescent="0.2">
      <c r="A5092" s="10" t="str">
        <f>IF(5084&gt;$C$9008,"",INDEX($B$9:$B$9008,MATCH(5084,$C$9:$C$9008,0)))</f>
        <v/>
      </c>
      <c r="B5092" s="9" t="str">
        <f>IFERROR(INDEX(Input!$L$20:$T$1019,INT((ROW()-9)/9)+1,MOD(ROW()-9,9)+1),"")</f>
        <v/>
      </c>
      <c r="C5092" s="9">
        <f t="shared" si="79"/>
        <v>0</v>
      </c>
    </row>
    <row r="5093" spans="1:3" x14ac:dyDescent="0.2">
      <c r="A5093" s="10" t="str">
        <f>IF(5085&gt;$C$9008,"",INDEX($B$9:$B$9008,MATCH(5085,$C$9:$C$9008,0)))</f>
        <v/>
      </c>
      <c r="B5093" s="9" t="str">
        <f>IFERROR(INDEX(Input!$L$20:$T$1019,INT((ROW()-9)/9)+1,MOD(ROW()-9,9)+1),"")</f>
        <v/>
      </c>
      <c r="C5093" s="9">
        <f t="shared" si="79"/>
        <v>0</v>
      </c>
    </row>
    <row r="5094" spans="1:3" x14ac:dyDescent="0.2">
      <c r="A5094" s="10" t="str">
        <f>IF(5086&gt;$C$9008,"",INDEX($B$9:$B$9008,MATCH(5086,$C$9:$C$9008,0)))</f>
        <v/>
      </c>
      <c r="B5094" s="9" t="str">
        <f>IFERROR(INDEX(Input!$L$20:$T$1019,INT((ROW()-9)/9)+1,MOD(ROW()-9,9)+1),"")</f>
        <v/>
      </c>
      <c r="C5094" s="9">
        <f t="shared" si="79"/>
        <v>0</v>
      </c>
    </row>
    <row r="5095" spans="1:3" x14ac:dyDescent="0.2">
      <c r="A5095" s="10" t="str">
        <f>IF(5087&gt;$C$9008,"",INDEX($B$9:$B$9008,MATCH(5087,$C$9:$C$9008,0)))</f>
        <v/>
      </c>
      <c r="B5095" s="9" t="str">
        <f>IFERROR(INDEX(Input!$L$20:$T$1019,INT((ROW()-9)/9)+1,MOD(ROW()-9,9)+1),"")</f>
        <v/>
      </c>
      <c r="C5095" s="9">
        <f t="shared" si="79"/>
        <v>0</v>
      </c>
    </row>
    <row r="5096" spans="1:3" x14ac:dyDescent="0.2">
      <c r="A5096" s="10" t="str">
        <f>IF(5088&gt;$C$9008,"",INDEX($B$9:$B$9008,MATCH(5088,$C$9:$C$9008,0)))</f>
        <v/>
      </c>
      <c r="B5096" s="9" t="str">
        <f>IFERROR(INDEX(Input!$L$20:$T$1019,INT((ROW()-9)/9)+1,MOD(ROW()-9,9)+1),"")</f>
        <v/>
      </c>
      <c r="C5096" s="9">
        <f t="shared" si="79"/>
        <v>0</v>
      </c>
    </row>
    <row r="5097" spans="1:3" x14ac:dyDescent="0.2">
      <c r="A5097" s="10" t="str">
        <f>IF(5089&gt;$C$9008,"",INDEX($B$9:$B$9008,MATCH(5089,$C$9:$C$9008,0)))</f>
        <v/>
      </c>
      <c r="B5097" s="9" t="str">
        <f>IFERROR(INDEX(Input!$L$20:$T$1019,INT((ROW()-9)/9)+1,MOD(ROW()-9,9)+1),"")</f>
        <v/>
      </c>
      <c r="C5097" s="9">
        <f t="shared" si="79"/>
        <v>0</v>
      </c>
    </row>
    <row r="5098" spans="1:3" x14ac:dyDescent="0.2">
      <c r="A5098" s="10" t="str">
        <f>IF(5090&gt;$C$9008,"",INDEX($B$9:$B$9008,MATCH(5090,$C$9:$C$9008,0)))</f>
        <v/>
      </c>
      <c r="B5098" s="9" t="str">
        <f>IFERROR(INDEX(Input!$L$20:$T$1019,INT((ROW()-9)/9)+1,MOD(ROW()-9,9)+1),"")</f>
        <v/>
      </c>
      <c r="C5098" s="9">
        <f t="shared" si="79"/>
        <v>0</v>
      </c>
    </row>
    <row r="5099" spans="1:3" x14ac:dyDescent="0.2">
      <c r="A5099" s="10" t="str">
        <f>IF(5091&gt;$C$9008,"",INDEX($B$9:$B$9008,MATCH(5091,$C$9:$C$9008,0)))</f>
        <v/>
      </c>
      <c r="B5099" s="9" t="str">
        <f>IFERROR(INDEX(Input!$L$20:$T$1019,INT((ROW()-9)/9)+1,MOD(ROW()-9,9)+1),"")</f>
        <v/>
      </c>
      <c r="C5099" s="9">
        <f t="shared" si="79"/>
        <v>0</v>
      </c>
    </row>
    <row r="5100" spans="1:3" x14ac:dyDescent="0.2">
      <c r="A5100" s="10" t="str">
        <f>IF(5092&gt;$C$9008,"",INDEX($B$9:$B$9008,MATCH(5092,$C$9:$C$9008,0)))</f>
        <v/>
      </c>
      <c r="B5100" s="9" t="str">
        <f>IFERROR(INDEX(Input!$L$20:$T$1019,INT((ROW()-9)/9)+1,MOD(ROW()-9,9)+1),"")</f>
        <v/>
      </c>
      <c r="C5100" s="9">
        <f t="shared" si="79"/>
        <v>0</v>
      </c>
    </row>
    <row r="5101" spans="1:3" x14ac:dyDescent="0.2">
      <c r="A5101" s="10" t="str">
        <f>IF(5093&gt;$C$9008,"",INDEX($B$9:$B$9008,MATCH(5093,$C$9:$C$9008,0)))</f>
        <v/>
      </c>
      <c r="B5101" s="9" t="str">
        <f>IFERROR(INDEX(Input!$L$20:$T$1019,INT((ROW()-9)/9)+1,MOD(ROW()-9,9)+1),"")</f>
        <v/>
      </c>
      <c r="C5101" s="9">
        <f t="shared" si="79"/>
        <v>0</v>
      </c>
    </row>
    <row r="5102" spans="1:3" x14ac:dyDescent="0.2">
      <c r="A5102" s="10" t="str">
        <f>IF(5094&gt;$C$9008,"",INDEX($B$9:$B$9008,MATCH(5094,$C$9:$C$9008,0)))</f>
        <v/>
      </c>
      <c r="B5102" s="9" t="str">
        <f>IFERROR(INDEX(Input!$L$20:$T$1019,INT((ROW()-9)/9)+1,MOD(ROW()-9,9)+1),"")</f>
        <v/>
      </c>
      <c r="C5102" s="9">
        <f t="shared" si="79"/>
        <v>0</v>
      </c>
    </row>
    <row r="5103" spans="1:3" x14ac:dyDescent="0.2">
      <c r="A5103" s="10" t="str">
        <f>IF(5095&gt;$C$9008,"",INDEX($B$9:$B$9008,MATCH(5095,$C$9:$C$9008,0)))</f>
        <v/>
      </c>
      <c r="B5103" s="9" t="str">
        <f>IFERROR(INDEX(Input!$L$20:$T$1019,INT((ROW()-9)/9)+1,MOD(ROW()-9,9)+1),"")</f>
        <v/>
      </c>
      <c r="C5103" s="9">
        <f t="shared" si="79"/>
        <v>0</v>
      </c>
    </row>
    <row r="5104" spans="1:3" x14ac:dyDescent="0.2">
      <c r="A5104" s="10" t="str">
        <f>IF(5096&gt;$C$9008,"",INDEX($B$9:$B$9008,MATCH(5096,$C$9:$C$9008,0)))</f>
        <v/>
      </c>
      <c r="B5104" s="9" t="str">
        <f>IFERROR(INDEX(Input!$L$20:$T$1019,INT((ROW()-9)/9)+1,MOD(ROW()-9,9)+1),"")</f>
        <v/>
      </c>
      <c r="C5104" s="9">
        <f t="shared" si="79"/>
        <v>0</v>
      </c>
    </row>
    <row r="5105" spans="1:3" x14ac:dyDescent="0.2">
      <c r="A5105" s="10" t="str">
        <f>IF(5097&gt;$C$9008,"",INDEX($B$9:$B$9008,MATCH(5097,$C$9:$C$9008,0)))</f>
        <v/>
      </c>
      <c r="B5105" s="9" t="str">
        <f>IFERROR(INDEX(Input!$L$20:$T$1019,INT((ROW()-9)/9)+1,MOD(ROW()-9,9)+1),"")</f>
        <v/>
      </c>
      <c r="C5105" s="9">
        <f t="shared" si="79"/>
        <v>0</v>
      </c>
    </row>
    <row r="5106" spans="1:3" x14ac:dyDescent="0.2">
      <c r="A5106" s="10" t="str">
        <f>IF(5098&gt;$C$9008,"",INDEX($B$9:$B$9008,MATCH(5098,$C$9:$C$9008,0)))</f>
        <v/>
      </c>
      <c r="B5106" s="9" t="str">
        <f>IFERROR(INDEX(Input!$L$20:$T$1019,INT((ROW()-9)/9)+1,MOD(ROW()-9,9)+1),"")</f>
        <v/>
      </c>
      <c r="C5106" s="9">
        <f t="shared" si="79"/>
        <v>0</v>
      </c>
    </row>
    <row r="5107" spans="1:3" x14ac:dyDescent="0.2">
      <c r="A5107" s="10" t="str">
        <f>IF(5099&gt;$C$9008,"",INDEX($B$9:$B$9008,MATCH(5099,$C$9:$C$9008,0)))</f>
        <v/>
      </c>
      <c r="B5107" s="9" t="str">
        <f>IFERROR(INDEX(Input!$L$20:$T$1019,INT((ROW()-9)/9)+1,MOD(ROW()-9,9)+1),"")</f>
        <v/>
      </c>
      <c r="C5107" s="9">
        <f t="shared" si="79"/>
        <v>0</v>
      </c>
    </row>
    <row r="5108" spans="1:3" x14ac:dyDescent="0.2">
      <c r="A5108" s="10" t="str">
        <f>IF(5100&gt;$C$9008,"",INDEX($B$9:$B$9008,MATCH(5100,$C$9:$C$9008,0)))</f>
        <v/>
      </c>
      <c r="B5108" s="9" t="str">
        <f>IFERROR(INDEX(Input!$L$20:$T$1019,INT((ROW()-9)/9)+1,MOD(ROW()-9,9)+1),"")</f>
        <v/>
      </c>
      <c r="C5108" s="9">
        <f t="shared" si="79"/>
        <v>0</v>
      </c>
    </row>
    <row r="5109" spans="1:3" x14ac:dyDescent="0.2">
      <c r="A5109" s="10" t="str">
        <f>IF(5101&gt;$C$9008,"",INDEX($B$9:$B$9008,MATCH(5101,$C$9:$C$9008,0)))</f>
        <v/>
      </c>
      <c r="B5109" s="9" t="str">
        <f>IFERROR(INDEX(Input!$L$20:$T$1019,INT((ROW()-9)/9)+1,MOD(ROW()-9,9)+1),"")</f>
        <v/>
      </c>
      <c r="C5109" s="9">
        <f t="shared" si="79"/>
        <v>0</v>
      </c>
    </row>
    <row r="5110" spans="1:3" x14ac:dyDescent="0.2">
      <c r="A5110" s="10" t="str">
        <f>IF(5102&gt;$C$9008,"",INDEX($B$9:$B$9008,MATCH(5102,$C$9:$C$9008,0)))</f>
        <v/>
      </c>
      <c r="B5110" s="9" t="str">
        <f>IFERROR(INDEX(Input!$L$20:$T$1019,INT((ROW()-9)/9)+1,MOD(ROW()-9,9)+1),"")</f>
        <v/>
      </c>
      <c r="C5110" s="9">
        <f t="shared" si="79"/>
        <v>0</v>
      </c>
    </row>
    <row r="5111" spans="1:3" x14ac:dyDescent="0.2">
      <c r="A5111" s="10" t="str">
        <f>IF(5103&gt;$C$9008,"",INDEX($B$9:$B$9008,MATCH(5103,$C$9:$C$9008,0)))</f>
        <v/>
      </c>
      <c r="B5111" s="9" t="str">
        <f>IFERROR(INDEX(Input!$L$20:$T$1019,INT((ROW()-9)/9)+1,MOD(ROW()-9,9)+1),"")</f>
        <v/>
      </c>
      <c r="C5111" s="9">
        <f t="shared" si="79"/>
        <v>0</v>
      </c>
    </row>
    <row r="5112" spans="1:3" x14ac:dyDescent="0.2">
      <c r="A5112" s="10" t="str">
        <f>IF(5104&gt;$C$9008,"",INDEX($B$9:$B$9008,MATCH(5104,$C$9:$C$9008,0)))</f>
        <v/>
      </c>
      <c r="B5112" s="9" t="str">
        <f>IFERROR(INDEX(Input!$L$20:$T$1019,INT((ROW()-9)/9)+1,MOD(ROW()-9,9)+1),"")</f>
        <v/>
      </c>
      <c r="C5112" s="9">
        <f t="shared" si="79"/>
        <v>0</v>
      </c>
    </row>
    <row r="5113" spans="1:3" x14ac:dyDescent="0.2">
      <c r="A5113" s="10" t="str">
        <f>IF(5105&gt;$C$9008,"",INDEX($B$9:$B$9008,MATCH(5105,$C$9:$C$9008,0)))</f>
        <v/>
      </c>
      <c r="B5113" s="9" t="str">
        <f>IFERROR(INDEX(Input!$L$20:$T$1019,INT((ROW()-9)/9)+1,MOD(ROW()-9,9)+1),"")</f>
        <v/>
      </c>
      <c r="C5113" s="9">
        <f t="shared" si="79"/>
        <v>0</v>
      </c>
    </row>
    <row r="5114" spans="1:3" x14ac:dyDescent="0.2">
      <c r="A5114" s="10" t="str">
        <f>IF(5106&gt;$C$9008,"",INDEX($B$9:$B$9008,MATCH(5106,$C$9:$C$9008,0)))</f>
        <v/>
      </c>
      <c r="B5114" s="9" t="str">
        <f>IFERROR(INDEX(Input!$L$20:$T$1019,INT((ROW()-9)/9)+1,MOD(ROW()-9,9)+1),"")</f>
        <v/>
      </c>
      <c r="C5114" s="9">
        <f t="shared" si="79"/>
        <v>0</v>
      </c>
    </row>
    <row r="5115" spans="1:3" x14ac:dyDescent="0.2">
      <c r="A5115" s="10" t="str">
        <f>IF(5107&gt;$C$9008,"",INDEX($B$9:$B$9008,MATCH(5107,$C$9:$C$9008,0)))</f>
        <v/>
      </c>
      <c r="B5115" s="9" t="str">
        <f>IFERROR(INDEX(Input!$L$20:$T$1019,INT((ROW()-9)/9)+1,MOD(ROW()-9,9)+1),"")</f>
        <v/>
      </c>
      <c r="C5115" s="9">
        <f t="shared" si="79"/>
        <v>0</v>
      </c>
    </row>
    <row r="5116" spans="1:3" x14ac:dyDescent="0.2">
      <c r="A5116" s="10" t="str">
        <f>IF(5108&gt;$C$9008,"",INDEX($B$9:$B$9008,MATCH(5108,$C$9:$C$9008,0)))</f>
        <v/>
      </c>
      <c r="B5116" s="9" t="str">
        <f>IFERROR(INDEX(Input!$L$20:$T$1019,INT((ROW()-9)/9)+1,MOD(ROW()-9,9)+1),"")</f>
        <v/>
      </c>
      <c r="C5116" s="9">
        <f t="shared" si="79"/>
        <v>0</v>
      </c>
    </row>
    <row r="5117" spans="1:3" x14ac:dyDescent="0.2">
      <c r="A5117" s="10" t="str">
        <f>IF(5109&gt;$C$9008,"",INDEX($B$9:$B$9008,MATCH(5109,$C$9:$C$9008,0)))</f>
        <v/>
      </c>
      <c r="B5117" s="9" t="str">
        <f>IFERROR(INDEX(Input!$L$20:$T$1019,INT((ROW()-9)/9)+1,MOD(ROW()-9,9)+1),"")</f>
        <v/>
      </c>
      <c r="C5117" s="9">
        <f t="shared" si="79"/>
        <v>0</v>
      </c>
    </row>
    <row r="5118" spans="1:3" x14ac:dyDescent="0.2">
      <c r="A5118" s="10" t="str">
        <f>IF(5110&gt;$C$9008,"",INDEX($B$9:$B$9008,MATCH(5110,$C$9:$C$9008,0)))</f>
        <v/>
      </c>
      <c r="B5118" s="9" t="str">
        <f>IFERROR(INDEX(Input!$L$20:$T$1019,INT((ROW()-9)/9)+1,MOD(ROW()-9,9)+1),"")</f>
        <v/>
      </c>
      <c r="C5118" s="9">
        <f t="shared" si="79"/>
        <v>0</v>
      </c>
    </row>
    <row r="5119" spans="1:3" x14ac:dyDescent="0.2">
      <c r="A5119" s="10" t="str">
        <f>IF(5111&gt;$C$9008,"",INDEX($B$9:$B$9008,MATCH(5111,$C$9:$C$9008,0)))</f>
        <v/>
      </c>
      <c r="B5119" s="9" t="str">
        <f>IFERROR(INDEX(Input!$L$20:$T$1019,INT((ROW()-9)/9)+1,MOD(ROW()-9,9)+1),"")</f>
        <v/>
      </c>
      <c r="C5119" s="9">
        <f t="shared" si="79"/>
        <v>0</v>
      </c>
    </row>
    <row r="5120" spans="1:3" x14ac:dyDescent="0.2">
      <c r="A5120" s="10" t="str">
        <f>IF(5112&gt;$C$9008,"",INDEX($B$9:$B$9008,MATCH(5112,$C$9:$C$9008,0)))</f>
        <v/>
      </c>
      <c r="B5120" s="9" t="str">
        <f>IFERROR(INDEX(Input!$L$20:$T$1019,INT((ROW()-9)/9)+1,MOD(ROW()-9,9)+1),"")</f>
        <v/>
      </c>
      <c r="C5120" s="9">
        <f t="shared" si="79"/>
        <v>0</v>
      </c>
    </row>
    <row r="5121" spans="1:3" x14ac:dyDescent="0.2">
      <c r="A5121" s="10" t="str">
        <f>IF(5113&gt;$C$9008,"",INDEX($B$9:$B$9008,MATCH(5113,$C$9:$C$9008,0)))</f>
        <v/>
      </c>
      <c r="B5121" s="9" t="str">
        <f>IFERROR(INDEX(Input!$L$20:$T$1019,INT((ROW()-9)/9)+1,MOD(ROW()-9,9)+1),"")</f>
        <v/>
      </c>
      <c r="C5121" s="9">
        <f t="shared" si="79"/>
        <v>0</v>
      </c>
    </row>
    <row r="5122" spans="1:3" x14ac:dyDescent="0.2">
      <c r="A5122" s="10" t="str">
        <f>IF(5114&gt;$C$9008,"",INDEX($B$9:$B$9008,MATCH(5114,$C$9:$C$9008,0)))</f>
        <v/>
      </c>
      <c r="B5122" s="9" t="str">
        <f>IFERROR(INDEX(Input!$L$20:$T$1019,INT((ROW()-9)/9)+1,MOD(ROW()-9,9)+1),"")</f>
        <v/>
      </c>
      <c r="C5122" s="9">
        <f t="shared" si="79"/>
        <v>0</v>
      </c>
    </row>
    <row r="5123" spans="1:3" x14ac:dyDescent="0.2">
      <c r="A5123" s="10" t="str">
        <f>IF(5115&gt;$C$9008,"",INDEX($B$9:$B$9008,MATCH(5115,$C$9:$C$9008,0)))</f>
        <v/>
      </c>
      <c r="B5123" s="9" t="str">
        <f>IFERROR(INDEX(Input!$L$20:$T$1019,INT((ROW()-9)/9)+1,MOD(ROW()-9,9)+1),"")</f>
        <v/>
      </c>
      <c r="C5123" s="9">
        <f t="shared" si="79"/>
        <v>0</v>
      </c>
    </row>
    <row r="5124" spans="1:3" x14ac:dyDescent="0.2">
      <c r="A5124" s="10" t="str">
        <f>IF(5116&gt;$C$9008,"",INDEX($B$9:$B$9008,MATCH(5116,$C$9:$C$9008,0)))</f>
        <v/>
      </c>
      <c r="B5124" s="9" t="str">
        <f>IFERROR(INDEX(Input!$L$20:$T$1019,INT((ROW()-9)/9)+1,MOD(ROW()-9,9)+1),"")</f>
        <v/>
      </c>
      <c r="C5124" s="9">
        <f t="shared" si="79"/>
        <v>0</v>
      </c>
    </row>
    <row r="5125" spans="1:3" x14ac:dyDescent="0.2">
      <c r="A5125" s="10" t="str">
        <f>IF(5117&gt;$C$9008,"",INDEX($B$9:$B$9008,MATCH(5117,$C$9:$C$9008,0)))</f>
        <v/>
      </c>
      <c r="B5125" s="9" t="str">
        <f>IFERROR(INDEX(Input!$L$20:$T$1019,INT((ROW()-9)/9)+1,MOD(ROW()-9,9)+1),"")</f>
        <v/>
      </c>
      <c r="C5125" s="9">
        <f t="shared" si="79"/>
        <v>0</v>
      </c>
    </row>
    <row r="5126" spans="1:3" x14ac:dyDescent="0.2">
      <c r="A5126" s="10" t="str">
        <f>IF(5118&gt;$C$9008,"",INDEX($B$9:$B$9008,MATCH(5118,$C$9:$C$9008,0)))</f>
        <v/>
      </c>
      <c r="B5126" s="9" t="str">
        <f>IFERROR(INDEX(Input!$L$20:$T$1019,INT((ROW()-9)/9)+1,MOD(ROW()-9,9)+1),"")</f>
        <v/>
      </c>
      <c r="C5126" s="9">
        <f t="shared" si="79"/>
        <v>0</v>
      </c>
    </row>
    <row r="5127" spans="1:3" x14ac:dyDescent="0.2">
      <c r="A5127" s="10" t="str">
        <f>IF(5119&gt;$C$9008,"",INDEX($B$9:$B$9008,MATCH(5119,$C$9:$C$9008,0)))</f>
        <v/>
      </c>
      <c r="B5127" s="9" t="str">
        <f>IFERROR(INDEX(Input!$L$20:$T$1019,INT((ROW()-9)/9)+1,MOD(ROW()-9,9)+1),"")</f>
        <v/>
      </c>
      <c r="C5127" s="9">
        <f t="shared" si="79"/>
        <v>0</v>
      </c>
    </row>
    <row r="5128" spans="1:3" x14ac:dyDescent="0.2">
      <c r="A5128" s="10" t="str">
        <f>IF(5120&gt;$C$9008,"",INDEX($B$9:$B$9008,MATCH(5120,$C$9:$C$9008,0)))</f>
        <v/>
      </c>
      <c r="B5128" s="9" t="str">
        <f>IFERROR(INDEX(Input!$L$20:$T$1019,INT((ROW()-9)/9)+1,MOD(ROW()-9,9)+1),"")</f>
        <v/>
      </c>
      <c r="C5128" s="9">
        <f t="shared" si="79"/>
        <v>0</v>
      </c>
    </row>
    <row r="5129" spans="1:3" x14ac:dyDescent="0.2">
      <c r="A5129" s="10" t="str">
        <f>IF(5121&gt;$C$9008,"",INDEX($B$9:$B$9008,MATCH(5121,$C$9:$C$9008,0)))</f>
        <v/>
      </c>
      <c r="B5129" s="9" t="str">
        <f>IFERROR(INDEX(Input!$L$20:$T$1019,INT((ROW()-9)/9)+1,MOD(ROW()-9,9)+1),"")</f>
        <v/>
      </c>
      <c r="C5129" s="9">
        <f t="shared" ref="C5129:C5192" si="80">$C5128+IF($B5129&lt;&gt;"",1,0)</f>
        <v>0</v>
      </c>
    </row>
    <row r="5130" spans="1:3" x14ac:dyDescent="0.2">
      <c r="A5130" s="10" t="str">
        <f>IF(5122&gt;$C$9008,"",INDEX($B$9:$B$9008,MATCH(5122,$C$9:$C$9008,0)))</f>
        <v/>
      </c>
      <c r="B5130" s="9" t="str">
        <f>IFERROR(INDEX(Input!$L$20:$T$1019,INT((ROW()-9)/9)+1,MOD(ROW()-9,9)+1),"")</f>
        <v/>
      </c>
      <c r="C5130" s="9">
        <f t="shared" si="80"/>
        <v>0</v>
      </c>
    </row>
    <row r="5131" spans="1:3" x14ac:dyDescent="0.2">
      <c r="A5131" s="10" t="str">
        <f>IF(5123&gt;$C$9008,"",INDEX($B$9:$B$9008,MATCH(5123,$C$9:$C$9008,0)))</f>
        <v/>
      </c>
      <c r="B5131" s="9" t="str">
        <f>IFERROR(INDEX(Input!$L$20:$T$1019,INT((ROW()-9)/9)+1,MOD(ROW()-9,9)+1),"")</f>
        <v/>
      </c>
      <c r="C5131" s="9">
        <f t="shared" si="80"/>
        <v>0</v>
      </c>
    </row>
    <row r="5132" spans="1:3" x14ac:dyDescent="0.2">
      <c r="A5132" s="10" t="str">
        <f>IF(5124&gt;$C$9008,"",INDEX($B$9:$B$9008,MATCH(5124,$C$9:$C$9008,0)))</f>
        <v/>
      </c>
      <c r="B5132" s="9" t="str">
        <f>IFERROR(INDEX(Input!$L$20:$T$1019,INT((ROW()-9)/9)+1,MOD(ROW()-9,9)+1),"")</f>
        <v/>
      </c>
      <c r="C5132" s="9">
        <f t="shared" si="80"/>
        <v>0</v>
      </c>
    </row>
    <row r="5133" spans="1:3" x14ac:dyDescent="0.2">
      <c r="A5133" s="10" t="str">
        <f>IF(5125&gt;$C$9008,"",INDEX($B$9:$B$9008,MATCH(5125,$C$9:$C$9008,0)))</f>
        <v/>
      </c>
      <c r="B5133" s="9" t="str">
        <f>IFERROR(INDEX(Input!$L$20:$T$1019,INT((ROW()-9)/9)+1,MOD(ROW()-9,9)+1),"")</f>
        <v/>
      </c>
      <c r="C5133" s="9">
        <f t="shared" si="80"/>
        <v>0</v>
      </c>
    </row>
    <row r="5134" spans="1:3" x14ac:dyDescent="0.2">
      <c r="A5134" s="10" t="str">
        <f>IF(5126&gt;$C$9008,"",INDEX($B$9:$B$9008,MATCH(5126,$C$9:$C$9008,0)))</f>
        <v/>
      </c>
      <c r="B5134" s="9" t="str">
        <f>IFERROR(INDEX(Input!$L$20:$T$1019,INT((ROW()-9)/9)+1,MOD(ROW()-9,9)+1),"")</f>
        <v/>
      </c>
      <c r="C5134" s="9">
        <f t="shared" si="80"/>
        <v>0</v>
      </c>
    </row>
    <row r="5135" spans="1:3" x14ac:dyDescent="0.2">
      <c r="A5135" s="10" t="str">
        <f>IF(5127&gt;$C$9008,"",INDEX($B$9:$B$9008,MATCH(5127,$C$9:$C$9008,0)))</f>
        <v/>
      </c>
      <c r="B5135" s="9" t="str">
        <f>IFERROR(INDEX(Input!$L$20:$T$1019,INT((ROW()-9)/9)+1,MOD(ROW()-9,9)+1),"")</f>
        <v/>
      </c>
      <c r="C5135" s="9">
        <f t="shared" si="80"/>
        <v>0</v>
      </c>
    </row>
    <row r="5136" spans="1:3" x14ac:dyDescent="0.2">
      <c r="A5136" s="10" t="str">
        <f>IF(5128&gt;$C$9008,"",INDEX($B$9:$B$9008,MATCH(5128,$C$9:$C$9008,0)))</f>
        <v/>
      </c>
      <c r="B5136" s="9" t="str">
        <f>IFERROR(INDEX(Input!$L$20:$T$1019,INT((ROW()-9)/9)+1,MOD(ROW()-9,9)+1),"")</f>
        <v/>
      </c>
      <c r="C5136" s="9">
        <f t="shared" si="80"/>
        <v>0</v>
      </c>
    </row>
    <row r="5137" spans="1:3" x14ac:dyDescent="0.2">
      <c r="A5137" s="10" t="str">
        <f>IF(5129&gt;$C$9008,"",INDEX($B$9:$B$9008,MATCH(5129,$C$9:$C$9008,0)))</f>
        <v/>
      </c>
      <c r="B5137" s="9" t="str">
        <f>IFERROR(INDEX(Input!$L$20:$T$1019,INT((ROW()-9)/9)+1,MOD(ROW()-9,9)+1),"")</f>
        <v/>
      </c>
      <c r="C5137" s="9">
        <f t="shared" si="80"/>
        <v>0</v>
      </c>
    </row>
    <row r="5138" spans="1:3" x14ac:dyDescent="0.2">
      <c r="A5138" s="10" t="str">
        <f>IF(5130&gt;$C$9008,"",INDEX($B$9:$B$9008,MATCH(5130,$C$9:$C$9008,0)))</f>
        <v/>
      </c>
      <c r="B5138" s="9" t="str">
        <f>IFERROR(INDEX(Input!$L$20:$T$1019,INT((ROW()-9)/9)+1,MOD(ROW()-9,9)+1),"")</f>
        <v/>
      </c>
      <c r="C5138" s="9">
        <f t="shared" si="80"/>
        <v>0</v>
      </c>
    </row>
    <row r="5139" spans="1:3" x14ac:dyDescent="0.2">
      <c r="A5139" s="10" t="str">
        <f>IF(5131&gt;$C$9008,"",INDEX($B$9:$B$9008,MATCH(5131,$C$9:$C$9008,0)))</f>
        <v/>
      </c>
      <c r="B5139" s="9" t="str">
        <f>IFERROR(INDEX(Input!$L$20:$T$1019,INT((ROW()-9)/9)+1,MOD(ROW()-9,9)+1),"")</f>
        <v/>
      </c>
      <c r="C5139" s="9">
        <f t="shared" si="80"/>
        <v>0</v>
      </c>
    </row>
    <row r="5140" spans="1:3" x14ac:dyDescent="0.2">
      <c r="A5140" s="10" t="str">
        <f>IF(5132&gt;$C$9008,"",INDEX($B$9:$B$9008,MATCH(5132,$C$9:$C$9008,0)))</f>
        <v/>
      </c>
      <c r="B5140" s="9" t="str">
        <f>IFERROR(INDEX(Input!$L$20:$T$1019,INT((ROW()-9)/9)+1,MOD(ROW()-9,9)+1),"")</f>
        <v/>
      </c>
      <c r="C5140" s="9">
        <f t="shared" si="80"/>
        <v>0</v>
      </c>
    </row>
    <row r="5141" spans="1:3" x14ac:dyDescent="0.2">
      <c r="A5141" s="10" t="str">
        <f>IF(5133&gt;$C$9008,"",INDEX($B$9:$B$9008,MATCH(5133,$C$9:$C$9008,0)))</f>
        <v/>
      </c>
      <c r="B5141" s="9" t="str">
        <f>IFERROR(INDEX(Input!$L$20:$T$1019,INT((ROW()-9)/9)+1,MOD(ROW()-9,9)+1),"")</f>
        <v/>
      </c>
      <c r="C5141" s="9">
        <f t="shared" si="80"/>
        <v>0</v>
      </c>
    </row>
    <row r="5142" spans="1:3" x14ac:dyDescent="0.2">
      <c r="A5142" s="10" t="str">
        <f>IF(5134&gt;$C$9008,"",INDEX($B$9:$B$9008,MATCH(5134,$C$9:$C$9008,0)))</f>
        <v/>
      </c>
      <c r="B5142" s="9" t="str">
        <f>IFERROR(INDEX(Input!$L$20:$T$1019,INT((ROW()-9)/9)+1,MOD(ROW()-9,9)+1),"")</f>
        <v/>
      </c>
      <c r="C5142" s="9">
        <f t="shared" si="80"/>
        <v>0</v>
      </c>
    </row>
    <row r="5143" spans="1:3" x14ac:dyDescent="0.2">
      <c r="A5143" s="10" t="str">
        <f>IF(5135&gt;$C$9008,"",INDEX($B$9:$B$9008,MATCH(5135,$C$9:$C$9008,0)))</f>
        <v/>
      </c>
      <c r="B5143" s="9" t="str">
        <f>IFERROR(INDEX(Input!$L$20:$T$1019,INT((ROW()-9)/9)+1,MOD(ROW()-9,9)+1),"")</f>
        <v/>
      </c>
      <c r="C5143" s="9">
        <f t="shared" si="80"/>
        <v>0</v>
      </c>
    </row>
    <row r="5144" spans="1:3" x14ac:dyDescent="0.2">
      <c r="A5144" s="10" t="str">
        <f>IF(5136&gt;$C$9008,"",INDEX($B$9:$B$9008,MATCH(5136,$C$9:$C$9008,0)))</f>
        <v/>
      </c>
      <c r="B5144" s="9" t="str">
        <f>IFERROR(INDEX(Input!$L$20:$T$1019,INT((ROW()-9)/9)+1,MOD(ROW()-9,9)+1),"")</f>
        <v/>
      </c>
      <c r="C5144" s="9">
        <f t="shared" si="80"/>
        <v>0</v>
      </c>
    </row>
    <row r="5145" spans="1:3" x14ac:dyDescent="0.2">
      <c r="A5145" s="10" t="str">
        <f>IF(5137&gt;$C$9008,"",INDEX($B$9:$B$9008,MATCH(5137,$C$9:$C$9008,0)))</f>
        <v/>
      </c>
      <c r="B5145" s="9" t="str">
        <f>IFERROR(INDEX(Input!$L$20:$T$1019,INT((ROW()-9)/9)+1,MOD(ROW()-9,9)+1),"")</f>
        <v/>
      </c>
      <c r="C5145" s="9">
        <f t="shared" si="80"/>
        <v>0</v>
      </c>
    </row>
    <row r="5146" spans="1:3" x14ac:dyDescent="0.2">
      <c r="A5146" s="10" t="str">
        <f>IF(5138&gt;$C$9008,"",INDEX($B$9:$B$9008,MATCH(5138,$C$9:$C$9008,0)))</f>
        <v/>
      </c>
      <c r="B5146" s="9" t="str">
        <f>IFERROR(INDEX(Input!$L$20:$T$1019,INT((ROW()-9)/9)+1,MOD(ROW()-9,9)+1),"")</f>
        <v/>
      </c>
      <c r="C5146" s="9">
        <f t="shared" si="80"/>
        <v>0</v>
      </c>
    </row>
    <row r="5147" spans="1:3" x14ac:dyDescent="0.2">
      <c r="A5147" s="10" t="str">
        <f>IF(5139&gt;$C$9008,"",INDEX($B$9:$B$9008,MATCH(5139,$C$9:$C$9008,0)))</f>
        <v/>
      </c>
      <c r="B5147" s="9" t="str">
        <f>IFERROR(INDEX(Input!$L$20:$T$1019,INT((ROW()-9)/9)+1,MOD(ROW()-9,9)+1),"")</f>
        <v/>
      </c>
      <c r="C5147" s="9">
        <f t="shared" si="80"/>
        <v>0</v>
      </c>
    </row>
    <row r="5148" spans="1:3" x14ac:dyDescent="0.2">
      <c r="A5148" s="10" t="str">
        <f>IF(5140&gt;$C$9008,"",INDEX($B$9:$B$9008,MATCH(5140,$C$9:$C$9008,0)))</f>
        <v/>
      </c>
      <c r="B5148" s="9" t="str">
        <f>IFERROR(INDEX(Input!$L$20:$T$1019,INT((ROW()-9)/9)+1,MOD(ROW()-9,9)+1),"")</f>
        <v/>
      </c>
      <c r="C5148" s="9">
        <f t="shared" si="80"/>
        <v>0</v>
      </c>
    </row>
    <row r="5149" spans="1:3" x14ac:dyDescent="0.2">
      <c r="A5149" s="10" t="str">
        <f>IF(5141&gt;$C$9008,"",INDEX($B$9:$B$9008,MATCH(5141,$C$9:$C$9008,0)))</f>
        <v/>
      </c>
      <c r="B5149" s="9" t="str">
        <f>IFERROR(INDEX(Input!$L$20:$T$1019,INT((ROW()-9)/9)+1,MOD(ROW()-9,9)+1),"")</f>
        <v/>
      </c>
      <c r="C5149" s="9">
        <f t="shared" si="80"/>
        <v>0</v>
      </c>
    </row>
    <row r="5150" spans="1:3" x14ac:dyDescent="0.2">
      <c r="A5150" s="10" t="str">
        <f>IF(5142&gt;$C$9008,"",INDEX($B$9:$B$9008,MATCH(5142,$C$9:$C$9008,0)))</f>
        <v/>
      </c>
      <c r="B5150" s="9" t="str">
        <f>IFERROR(INDEX(Input!$L$20:$T$1019,INT((ROW()-9)/9)+1,MOD(ROW()-9,9)+1),"")</f>
        <v/>
      </c>
      <c r="C5150" s="9">
        <f t="shared" si="80"/>
        <v>0</v>
      </c>
    </row>
    <row r="5151" spans="1:3" x14ac:dyDescent="0.2">
      <c r="A5151" s="10" t="str">
        <f>IF(5143&gt;$C$9008,"",INDEX($B$9:$B$9008,MATCH(5143,$C$9:$C$9008,0)))</f>
        <v/>
      </c>
      <c r="B5151" s="9" t="str">
        <f>IFERROR(INDEX(Input!$L$20:$T$1019,INT((ROW()-9)/9)+1,MOD(ROW()-9,9)+1),"")</f>
        <v/>
      </c>
      <c r="C5151" s="9">
        <f t="shared" si="80"/>
        <v>0</v>
      </c>
    </row>
    <row r="5152" spans="1:3" x14ac:dyDescent="0.2">
      <c r="A5152" s="10" t="str">
        <f>IF(5144&gt;$C$9008,"",INDEX($B$9:$B$9008,MATCH(5144,$C$9:$C$9008,0)))</f>
        <v/>
      </c>
      <c r="B5152" s="9" t="str">
        <f>IFERROR(INDEX(Input!$L$20:$T$1019,INT((ROW()-9)/9)+1,MOD(ROW()-9,9)+1),"")</f>
        <v/>
      </c>
      <c r="C5152" s="9">
        <f t="shared" si="80"/>
        <v>0</v>
      </c>
    </row>
    <row r="5153" spans="1:3" x14ac:dyDescent="0.2">
      <c r="A5153" s="10" t="str">
        <f>IF(5145&gt;$C$9008,"",INDEX($B$9:$B$9008,MATCH(5145,$C$9:$C$9008,0)))</f>
        <v/>
      </c>
      <c r="B5153" s="9" t="str">
        <f>IFERROR(INDEX(Input!$L$20:$T$1019,INT((ROW()-9)/9)+1,MOD(ROW()-9,9)+1),"")</f>
        <v/>
      </c>
      <c r="C5153" s="9">
        <f t="shared" si="80"/>
        <v>0</v>
      </c>
    </row>
    <row r="5154" spans="1:3" x14ac:dyDescent="0.2">
      <c r="A5154" s="10" t="str">
        <f>IF(5146&gt;$C$9008,"",INDEX($B$9:$B$9008,MATCH(5146,$C$9:$C$9008,0)))</f>
        <v/>
      </c>
      <c r="B5154" s="9" t="str">
        <f>IFERROR(INDEX(Input!$L$20:$T$1019,INT((ROW()-9)/9)+1,MOD(ROW()-9,9)+1),"")</f>
        <v/>
      </c>
      <c r="C5154" s="9">
        <f t="shared" si="80"/>
        <v>0</v>
      </c>
    </row>
    <row r="5155" spans="1:3" x14ac:dyDescent="0.2">
      <c r="A5155" s="10" t="str">
        <f>IF(5147&gt;$C$9008,"",INDEX($B$9:$B$9008,MATCH(5147,$C$9:$C$9008,0)))</f>
        <v/>
      </c>
      <c r="B5155" s="9" t="str">
        <f>IFERROR(INDEX(Input!$L$20:$T$1019,INT((ROW()-9)/9)+1,MOD(ROW()-9,9)+1),"")</f>
        <v/>
      </c>
      <c r="C5155" s="9">
        <f t="shared" si="80"/>
        <v>0</v>
      </c>
    </row>
    <row r="5156" spans="1:3" x14ac:dyDescent="0.2">
      <c r="A5156" s="10" t="str">
        <f>IF(5148&gt;$C$9008,"",INDEX($B$9:$B$9008,MATCH(5148,$C$9:$C$9008,0)))</f>
        <v/>
      </c>
      <c r="B5156" s="9" t="str">
        <f>IFERROR(INDEX(Input!$L$20:$T$1019,INT((ROW()-9)/9)+1,MOD(ROW()-9,9)+1),"")</f>
        <v/>
      </c>
      <c r="C5156" s="9">
        <f t="shared" si="80"/>
        <v>0</v>
      </c>
    </row>
    <row r="5157" spans="1:3" x14ac:dyDescent="0.2">
      <c r="A5157" s="10" t="str">
        <f>IF(5149&gt;$C$9008,"",INDEX($B$9:$B$9008,MATCH(5149,$C$9:$C$9008,0)))</f>
        <v/>
      </c>
      <c r="B5157" s="9" t="str">
        <f>IFERROR(INDEX(Input!$L$20:$T$1019,INT((ROW()-9)/9)+1,MOD(ROW()-9,9)+1),"")</f>
        <v/>
      </c>
      <c r="C5157" s="9">
        <f t="shared" si="80"/>
        <v>0</v>
      </c>
    </row>
    <row r="5158" spans="1:3" x14ac:dyDescent="0.2">
      <c r="A5158" s="10" t="str">
        <f>IF(5150&gt;$C$9008,"",INDEX($B$9:$B$9008,MATCH(5150,$C$9:$C$9008,0)))</f>
        <v/>
      </c>
      <c r="B5158" s="9" t="str">
        <f>IFERROR(INDEX(Input!$L$20:$T$1019,INT((ROW()-9)/9)+1,MOD(ROW()-9,9)+1),"")</f>
        <v/>
      </c>
      <c r="C5158" s="9">
        <f t="shared" si="80"/>
        <v>0</v>
      </c>
    </row>
    <row r="5159" spans="1:3" x14ac:dyDescent="0.2">
      <c r="A5159" s="10" t="str">
        <f>IF(5151&gt;$C$9008,"",INDEX($B$9:$B$9008,MATCH(5151,$C$9:$C$9008,0)))</f>
        <v/>
      </c>
      <c r="B5159" s="9" t="str">
        <f>IFERROR(INDEX(Input!$L$20:$T$1019,INT((ROW()-9)/9)+1,MOD(ROW()-9,9)+1),"")</f>
        <v/>
      </c>
      <c r="C5159" s="9">
        <f t="shared" si="80"/>
        <v>0</v>
      </c>
    </row>
    <row r="5160" spans="1:3" x14ac:dyDescent="0.2">
      <c r="A5160" s="10" t="str">
        <f>IF(5152&gt;$C$9008,"",INDEX($B$9:$B$9008,MATCH(5152,$C$9:$C$9008,0)))</f>
        <v/>
      </c>
      <c r="B5160" s="9" t="str">
        <f>IFERROR(INDEX(Input!$L$20:$T$1019,INT((ROW()-9)/9)+1,MOD(ROW()-9,9)+1),"")</f>
        <v/>
      </c>
      <c r="C5160" s="9">
        <f t="shared" si="80"/>
        <v>0</v>
      </c>
    </row>
    <row r="5161" spans="1:3" x14ac:dyDescent="0.2">
      <c r="A5161" s="10" t="str">
        <f>IF(5153&gt;$C$9008,"",INDEX($B$9:$B$9008,MATCH(5153,$C$9:$C$9008,0)))</f>
        <v/>
      </c>
      <c r="B5161" s="9" t="str">
        <f>IFERROR(INDEX(Input!$L$20:$T$1019,INT((ROW()-9)/9)+1,MOD(ROW()-9,9)+1),"")</f>
        <v/>
      </c>
      <c r="C5161" s="9">
        <f t="shared" si="80"/>
        <v>0</v>
      </c>
    </row>
    <row r="5162" spans="1:3" x14ac:dyDescent="0.2">
      <c r="A5162" s="10" t="str">
        <f>IF(5154&gt;$C$9008,"",INDEX($B$9:$B$9008,MATCH(5154,$C$9:$C$9008,0)))</f>
        <v/>
      </c>
      <c r="B5162" s="9" t="str">
        <f>IFERROR(INDEX(Input!$L$20:$T$1019,INT((ROW()-9)/9)+1,MOD(ROW()-9,9)+1),"")</f>
        <v/>
      </c>
      <c r="C5162" s="9">
        <f t="shared" si="80"/>
        <v>0</v>
      </c>
    </row>
    <row r="5163" spans="1:3" x14ac:dyDescent="0.2">
      <c r="A5163" s="10" t="str">
        <f>IF(5155&gt;$C$9008,"",INDEX($B$9:$B$9008,MATCH(5155,$C$9:$C$9008,0)))</f>
        <v/>
      </c>
      <c r="B5163" s="9" t="str">
        <f>IFERROR(INDEX(Input!$L$20:$T$1019,INT((ROW()-9)/9)+1,MOD(ROW()-9,9)+1),"")</f>
        <v/>
      </c>
      <c r="C5163" s="9">
        <f t="shared" si="80"/>
        <v>0</v>
      </c>
    </row>
    <row r="5164" spans="1:3" x14ac:dyDescent="0.2">
      <c r="A5164" s="10" t="str">
        <f>IF(5156&gt;$C$9008,"",INDEX($B$9:$B$9008,MATCH(5156,$C$9:$C$9008,0)))</f>
        <v/>
      </c>
      <c r="B5164" s="9" t="str">
        <f>IFERROR(INDEX(Input!$L$20:$T$1019,INT((ROW()-9)/9)+1,MOD(ROW()-9,9)+1),"")</f>
        <v/>
      </c>
      <c r="C5164" s="9">
        <f t="shared" si="80"/>
        <v>0</v>
      </c>
    </row>
    <row r="5165" spans="1:3" x14ac:dyDescent="0.2">
      <c r="A5165" s="10" t="str">
        <f>IF(5157&gt;$C$9008,"",INDEX($B$9:$B$9008,MATCH(5157,$C$9:$C$9008,0)))</f>
        <v/>
      </c>
      <c r="B5165" s="9" t="str">
        <f>IFERROR(INDEX(Input!$L$20:$T$1019,INT((ROW()-9)/9)+1,MOD(ROW()-9,9)+1),"")</f>
        <v/>
      </c>
      <c r="C5165" s="9">
        <f t="shared" si="80"/>
        <v>0</v>
      </c>
    </row>
    <row r="5166" spans="1:3" x14ac:dyDescent="0.2">
      <c r="A5166" s="10" t="str">
        <f>IF(5158&gt;$C$9008,"",INDEX($B$9:$B$9008,MATCH(5158,$C$9:$C$9008,0)))</f>
        <v/>
      </c>
      <c r="B5166" s="9" t="str">
        <f>IFERROR(INDEX(Input!$L$20:$T$1019,INT((ROW()-9)/9)+1,MOD(ROW()-9,9)+1),"")</f>
        <v/>
      </c>
      <c r="C5166" s="9">
        <f t="shared" si="80"/>
        <v>0</v>
      </c>
    </row>
    <row r="5167" spans="1:3" x14ac:dyDescent="0.2">
      <c r="A5167" s="10" t="str">
        <f>IF(5159&gt;$C$9008,"",INDEX($B$9:$B$9008,MATCH(5159,$C$9:$C$9008,0)))</f>
        <v/>
      </c>
      <c r="B5167" s="9" t="str">
        <f>IFERROR(INDEX(Input!$L$20:$T$1019,INT((ROW()-9)/9)+1,MOD(ROW()-9,9)+1),"")</f>
        <v/>
      </c>
      <c r="C5167" s="9">
        <f t="shared" si="80"/>
        <v>0</v>
      </c>
    </row>
    <row r="5168" spans="1:3" x14ac:dyDescent="0.2">
      <c r="A5168" s="10" t="str">
        <f>IF(5160&gt;$C$9008,"",INDEX($B$9:$B$9008,MATCH(5160,$C$9:$C$9008,0)))</f>
        <v/>
      </c>
      <c r="B5168" s="9" t="str">
        <f>IFERROR(INDEX(Input!$L$20:$T$1019,INT((ROW()-9)/9)+1,MOD(ROW()-9,9)+1),"")</f>
        <v/>
      </c>
      <c r="C5168" s="9">
        <f t="shared" si="80"/>
        <v>0</v>
      </c>
    </row>
    <row r="5169" spans="1:3" x14ac:dyDescent="0.2">
      <c r="A5169" s="10" t="str">
        <f>IF(5161&gt;$C$9008,"",INDEX($B$9:$B$9008,MATCH(5161,$C$9:$C$9008,0)))</f>
        <v/>
      </c>
      <c r="B5169" s="9" t="str">
        <f>IFERROR(INDEX(Input!$L$20:$T$1019,INT((ROW()-9)/9)+1,MOD(ROW()-9,9)+1),"")</f>
        <v/>
      </c>
      <c r="C5169" s="9">
        <f t="shared" si="80"/>
        <v>0</v>
      </c>
    </row>
    <row r="5170" spans="1:3" x14ac:dyDescent="0.2">
      <c r="A5170" s="10" t="str">
        <f>IF(5162&gt;$C$9008,"",INDEX($B$9:$B$9008,MATCH(5162,$C$9:$C$9008,0)))</f>
        <v/>
      </c>
      <c r="B5170" s="9" t="str">
        <f>IFERROR(INDEX(Input!$L$20:$T$1019,INT((ROW()-9)/9)+1,MOD(ROW()-9,9)+1),"")</f>
        <v/>
      </c>
      <c r="C5170" s="9">
        <f t="shared" si="80"/>
        <v>0</v>
      </c>
    </row>
    <row r="5171" spans="1:3" x14ac:dyDescent="0.2">
      <c r="A5171" s="10" t="str">
        <f>IF(5163&gt;$C$9008,"",INDEX($B$9:$B$9008,MATCH(5163,$C$9:$C$9008,0)))</f>
        <v/>
      </c>
      <c r="B5171" s="9" t="str">
        <f>IFERROR(INDEX(Input!$L$20:$T$1019,INT((ROW()-9)/9)+1,MOD(ROW()-9,9)+1),"")</f>
        <v/>
      </c>
      <c r="C5171" s="9">
        <f t="shared" si="80"/>
        <v>0</v>
      </c>
    </row>
    <row r="5172" spans="1:3" x14ac:dyDescent="0.2">
      <c r="A5172" s="10" t="str">
        <f>IF(5164&gt;$C$9008,"",INDEX($B$9:$B$9008,MATCH(5164,$C$9:$C$9008,0)))</f>
        <v/>
      </c>
      <c r="B5172" s="9" t="str">
        <f>IFERROR(INDEX(Input!$L$20:$T$1019,INT((ROW()-9)/9)+1,MOD(ROW()-9,9)+1),"")</f>
        <v/>
      </c>
      <c r="C5172" s="9">
        <f t="shared" si="80"/>
        <v>0</v>
      </c>
    </row>
    <row r="5173" spans="1:3" x14ac:dyDescent="0.2">
      <c r="A5173" s="10" t="str">
        <f>IF(5165&gt;$C$9008,"",INDEX($B$9:$B$9008,MATCH(5165,$C$9:$C$9008,0)))</f>
        <v/>
      </c>
      <c r="B5173" s="9" t="str">
        <f>IFERROR(INDEX(Input!$L$20:$T$1019,INT((ROW()-9)/9)+1,MOD(ROW()-9,9)+1),"")</f>
        <v/>
      </c>
      <c r="C5173" s="9">
        <f t="shared" si="80"/>
        <v>0</v>
      </c>
    </row>
    <row r="5174" spans="1:3" x14ac:dyDescent="0.2">
      <c r="A5174" s="10" t="str">
        <f>IF(5166&gt;$C$9008,"",INDEX($B$9:$B$9008,MATCH(5166,$C$9:$C$9008,0)))</f>
        <v/>
      </c>
      <c r="B5174" s="9" t="str">
        <f>IFERROR(INDEX(Input!$L$20:$T$1019,INT((ROW()-9)/9)+1,MOD(ROW()-9,9)+1),"")</f>
        <v/>
      </c>
      <c r="C5174" s="9">
        <f t="shared" si="80"/>
        <v>0</v>
      </c>
    </row>
    <row r="5175" spans="1:3" x14ac:dyDescent="0.2">
      <c r="A5175" s="10" t="str">
        <f>IF(5167&gt;$C$9008,"",INDEX($B$9:$B$9008,MATCH(5167,$C$9:$C$9008,0)))</f>
        <v/>
      </c>
      <c r="B5175" s="9" t="str">
        <f>IFERROR(INDEX(Input!$L$20:$T$1019,INT((ROW()-9)/9)+1,MOD(ROW()-9,9)+1),"")</f>
        <v/>
      </c>
      <c r="C5175" s="9">
        <f t="shared" si="80"/>
        <v>0</v>
      </c>
    </row>
    <row r="5176" spans="1:3" x14ac:dyDescent="0.2">
      <c r="A5176" s="10" t="str">
        <f>IF(5168&gt;$C$9008,"",INDEX($B$9:$B$9008,MATCH(5168,$C$9:$C$9008,0)))</f>
        <v/>
      </c>
      <c r="B5176" s="9" t="str">
        <f>IFERROR(INDEX(Input!$L$20:$T$1019,INT((ROW()-9)/9)+1,MOD(ROW()-9,9)+1),"")</f>
        <v/>
      </c>
      <c r="C5176" s="9">
        <f t="shared" si="80"/>
        <v>0</v>
      </c>
    </row>
    <row r="5177" spans="1:3" x14ac:dyDescent="0.2">
      <c r="A5177" s="10" t="str">
        <f>IF(5169&gt;$C$9008,"",INDEX($B$9:$B$9008,MATCH(5169,$C$9:$C$9008,0)))</f>
        <v/>
      </c>
      <c r="B5177" s="9" t="str">
        <f>IFERROR(INDEX(Input!$L$20:$T$1019,INT((ROW()-9)/9)+1,MOD(ROW()-9,9)+1),"")</f>
        <v/>
      </c>
      <c r="C5177" s="9">
        <f t="shared" si="80"/>
        <v>0</v>
      </c>
    </row>
    <row r="5178" spans="1:3" x14ac:dyDescent="0.2">
      <c r="A5178" s="10" t="str">
        <f>IF(5170&gt;$C$9008,"",INDEX($B$9:$B$9008,MATCH(5170,$C$9:$C$9008,0)))</f>
        <v/>
      </c>
      <c r="B5178" s="9" t="str">
        <f>IFERROR(INDEX(Input!$L$20:$T$1019,INT((ROW()-9)/9)+1,MOD(ROW()-9,9)+1),"")</f>
        <v/>
      </c>
      <c r="C5178" s="9">
        <f t="shared" si="80"/>
        <v>0</v>
      </c>
    </row>
    <row r="5179" spans="1:3" x14ac:dyDescent="0.2">
      <c r="A5179" s="10" t="str">
        <f>IF(5171&gt;$C$9008,"",INDEX($B$9:$B$9008,MATCH(5171,$C$9:$C$9008,0)))</f>
        <v/>
      </c>
      <c r="B5179" s="9" t="str">
        <f>IFERROR(INDEX(Input!$L$20:$T$1019,INT((ROW()-9)/9)+1,MOD(ROW()-9,9)+1),"")</f>
        <v/>
      </c>
      <c r="C5179" s="9">
        <f t="shared" si="80"/>
        <v>0</v>
      </c>
    </row>
    <row r="5180" spans="1:3" x14ac:dyDescent="0.2">
      <c r="A5180" s="10" t="str">
        <f>IF(5172&gt;$C$9008,"",INDEX($B$9:$B$9008,MATCH(5172,$C$9:$C$9008,0)))</f>
        <v/>
      </c>
      <c r="B5180" s="9" t="str">
        <f>IFERROR(INDEX(Input!$L$20:$T$1019,INT((ROW()-9)/9)+1,MOD(ROW()-9,9)+1),"")</f>
        <v/>
      </c>
      <c r="C5180" s="9">
        <f t="shared" si="80"/>
        <v>0</v>
      </c>
    </row>
    <row r="5181" spans="1:3" x14ac:dyDescent="0.2">
      <c r="A5181" s="10" t="str">
        <f>IF(5173&gt;$C$9008,"",INDEX($B$9:$B$9008,MATCH(5173,$C$9:$C$9008,0)))</f>
        <v/>
      </c>
      <c r="B5181" s="9" t="str">
        <f>IFERROR(INDEX(Input!$L$20:$T$1019,INT((ROW()-9)/9)+1,MOD(ROW()-9,9)+1),"")</f>
        <v/>
      </c>
      <c r="C5181" s="9">
        <f t="shared" si="80"/>
        <v>0</v>
      </c>
    </row>
    <row r="5182" spans="1:3" x14ac:dyDescent="0.2">
      <c r="A5182" s="10" t="str">
        <f>IF(5174&gt;$C$9008,"",INDEX($B$9:$B$9008,MATCH(5174,$C$9:$C$9008,0)))</f>
        <v/>
      </c>
      <c r="B5182" s="9" t="str">
        <f>IFERROR(INDEX(Input!$L$20:$T$1019,INT((ROW()-9)/9)+1,MOD(ROW()-9,9)+1),"")</f>
        <v/>
      </c>
      <c r="C5182" s="9">
        <f t="shared" si="80"/>
        <v>0</v>
      </c>
    </row>
    <row r="5183" spans="1:3" x14ac:dyDescent="0.2">
      <c r="A5183" s="10" t="str">
        <f>IF(5175&gt;$C$9008,"",INDEX($B$9:$B$9008,MATCH(5175,$C$9:$C$9008,0)))</f>
        <v/>
      </c>
      <c r="B5183" s="9" t="str">
        <f>IFERROR(INDEX(Input!$L$20:$T$1019,INT((ROW()-9)/9)+1,MOD(ROW()-9,9)+1),"")</f>
        <v/>
      </c>
      <c r="C5183" s="9">
        <f t="shared" si="80"/>
        <v>0</v>
      </c>
    </row>
    <row r="5184" spans="1:3" x14ac:dyDescent="0.2">
      <c r="A5184" s="10" t="str">
        <f>IF(5176&gt;$C$9008,"",INDEX($B$9:$B$9008,MATCH(5176,$C$9:$C$9008,0)))</f>
        <v/>
      </c>
      <c r="B5184" s="9" t="str">
        <f>IFERROR(INDEX(Input!$L$20:$T$1019,INT((ROW()-9)/9)+1,MOD(ROW()-9,9)+1),"")</f>
        <v/>
      </c>
      <c r="C5184" s="9">
        <f t="shared" si="80"/>
        <v>0</v>
      </c>
    </row>
    <row r="5185" spans="1:3" x14ac:dyDescent="0.2">
      <c r="A5185" s="10" t="str">
        <f>IF(5177&gt;$C$9008,"",INDEX($B$9:$B$9008,MATCH(5177,$C$9:$C$9008,0)))</f>
        <v/>
      </c>
      <c r="B5185" s="9" t="str">
        <f>IFERROR(INDEX(Input!$L$20:$T$1019,INT((ROW()-9)/9)+1,MOD(ROW()-9,9)+1),"")</f>
        <v/>
      </c>
      <c r="C5185" s="9">
        <f t="shared" si="80"/>
        <v>0</v>
      </c>
    </row>
    <row r="5186" spans="1:3" x14ac:dyDescent="0.2">
      <c r="A5186" s="10" t="str">
        <f>IF(5178&gt;$C$9008,"",INDEX($B$9:$B$9008,MATCH(5178,$C$9:$C$9008,0)))</f>
        <v/>
      </c>
      <c r="B5186" s="9" t="str">
        <f>IFERROR(INDEX(Input!$L$20:$T$1019,INT((ROW()-9)/9)+1,MOD(ROW()-9,9)+1),"")</f>
        <v/>
      </c>
      <c r="C5186" s="9">
        <f t="shared" si="80"/>
        <v>0</v>
      </c>
    </row>
    <row r="5187" spans="1:3" x14ac:dyDescent="0.2">
      <c r="A5187" s="10" t="str">
        <f>IF(5179&gt;$C$9008,"",INDEX($B$9:$B$9008,MATCH(5179,$C$9:$C$9008,0)))</f>
        <v/>
      </c>
      <c r="B5187" s="9" t="str">
        <f>IFERROR(INDEX(Input!$L$20:$T$1019,INT((ROW()-9)/9)+1,MOD(ROW()-9,9)+1),"")</f>
        <v/>
      </c>
      <c r="C5187" s="9">
        <f t="shared" si="80"/>
        <v>0</v>
      </c>
    </row>
    <row r="5188" spans="1:3" x14ac:dyDescent="0.2">
      <c r="A5188" s="10" t="str">
        <f>IF(5180&gt;$C$9008,"",INDEX($B$9:$B$9008,MATCH(5180,$C$9:$C$9008,0)))</f>
        <v/>
      </c>
      <c r="B5188" s="9" t="str">
        <f>IFERROR(INDEX(Input!$L$20:$T$1019,INT((ROW()-9)/9)+1,MOD(ROW()-9,9)+1),"")</f>
        <v/>
      </c>
      <c r="C5188" s="9">
        <f t="shared" si="80"/>
        <v>0</v>
      </c>
    </row>
    <row r="5189" spans="1:3" x14ac:dyDescent="0.2">
      <c r="A5189" s="10" t="str">
        <f>IF(5181&gt;$C$9008,"",INDEX($B$9:$B$9008,MATCH(5181,$C$9:$C$9008,0)))</f>
        <v/>
      </c>
      <c r="B5189" s="9" t="str">
        <f>IFERROR(INDEX(Input!$L$20:$T$1019,INT((ROW()-9)/9)+1,MOD(ROW()-9,9)+1),"")</f>
        <v/>
      </c>
      <c r="C5189" s="9">
        <f t="shared" si="80"/>
        <v>0</v>
      </c>
    </row>
    <row r="5190" spans="1:3" x14ac:dyDescent="0.2">
      <c r="A5190" s="10" t="str">
        <f>IF(5182&gt;$C$9008,"",INDEX($B$9:$B$9008,MATCH(5182,$C$9:$C$9008,0)))</f>
        <v/>
      </c>
      <c r="B5190" s="9" t="str">
        <f>IFERROR(INDEX(Input!$L$20:$T$1019,INT((ROW()-9)/9)+1,MOD(ROW()-9,9)+1),"")</f>
        <v/>
      </c>
      <c r="C5190" s="9">
        <f t="shared" si="80"/>
        <v>0</v>
      </c>
    </row>
    <row r="5191" spans="1:3" x14ac:dyDescent="0.2">
      <c r="A5191" s="10" t="str">
        <f>IF(5183&gt;$C$9008,"",INDEX($B$9:$B$9008,MATCH(5183,$C$9:$C$9008,0)))</f>
        <v/>
      </c>
      <c r="B5191" s="9" t="str">
        <f>IFERROR(INDEX(Input!$L$20:$T$1019,INT((ROW()-9)/9)+1,MOD(ROW()-9,9)+1),"")</f>
        <v/>
      </c>
      <c r="C5191" s="9">
        <f t="shared" si="80"/>
        <v>0</v>
      </c>
    </row>
    <row r="5192" spans="1:3" x14ac:dyDescent="0.2">
      <c r="A5192" s="10" t="str">
        <f>IF(5184&gt;$C$9008,"",INDEX($B$9:$B$9008,MATCH(5184,$C$9:$C$9008,0)))</f>
        <v/>
      </c>
      <c r="B5192" s="9" t="str">
        <f>IFERROR(INDEX(Input!$L$20:$T$1019,INT((ROW()-9)/9)+1,MOD(ROW()-9,9)+1),"")</f>
        <v/>
      </c>
      <c r="C5192" s="9">
        <f t="shared" si="80"/>
        <v>0</v>
      </c>
    </row>
    <row r="5193" spans="1:3" x14ac:dyDescent="0.2">
      <c r="A5193" s="10" t="str">
        <f>IF(5185&gt;$C$9008,"",INDEX($B$9:$B$9008,MATCH(5185,$C$9:$C$9008,0)))</f>
        <v/>
      </c>
      <c r="B5193" s="9" t="str">
        <f>IFERROR(INDEX(Input!$L$20:$T$1019,INT((ROW()-9)/9)+1,MOD(ROW()-9,9)+1),"")</f>
        <v/>
      </c>
      <c r="C5193" s="9">
        <f t="shared" ref="C5193:C5256" si="81">$C5192+IF($B5193&lt;&gt;"",1,0)</f>
        <v>0</v>
      </c>
    </row>
    <row r="5194" spans="1:3" x14ac:dyDescent="0.2">
      <c r="A5194" s="10" t="str">
        <f>IF(5186&gt;$C$9008,"",INDEX($B$9:$B$9008,MATCH(5186,$C$9:$C$9008,0)))</f>
        <v/>
      </c>
      <c r="B5194" s="9" t="str">
        <f>IFERROR(INDEX(Input!$L$20:$T$1019,INT((ROW()-9)/9)+1,MOD(ROW()-9,9)+1),"")</f>
        <v/>
      </c>
      <c r="C5194" s="9">
        <f t="shared" si="81"/>
        <v>0</v>
      </c>
    </row>
    <row r="5195" spans="1:3" x14ac:dyDescent="0.2">
      <c r="A5195" s="10" t="str">
        <f>IF(5187&gt;$C$9008,"",INDEX($B$9:$B$9008,MATCH(5187,$C$9:$C$9008,0)))</f>
        <v/>
      </c>
      <c r="B5195" s="9" t="str">
        <f>IFERROR(INDEX(Input!$L$20:$T$1019,INT((ROW()-9)/9)+1,MOD(ROW()-9,9)+1),"")</f>
        <v/>
      </c>
      <c r="C5195" s="9">
        <f t="shared" si="81"/>
        <v>0</v>
      </c>
    </row>
    <row r="5196" spans="1:3" x14ac:dyDescent="0.2">
      <c r="A5196" s="10" t="str">
        <f>IF(5188&gt;$C$9008,"",INDEX($B$9:$B$9008,MATCH(5188,$C$9:$C$9008,0)))</f>
        <v/>
      </c>
      <c r="B5196" s="9" t="str">
        <f>IFERROR(INDEX(Input!$L$20:$T$1019,INT((ROW()-9)/9)+1,MOD(ROW()-9,9)+1),"")</f>
        <v/>
      </c>
      <c r="C5196" s="9">
        <f t="shared" si="81"/>
        <v>0</v>
      </c>
    </row>
    <row r="5197" spans="1:3" x14ac:dyDescent="0.2">
      <c r="A5197" s="10" t="str">
        <f>IF(5189&gt;$C$9008,"",INDEX($B$9:$B$9008,MATCH(5189,$C$9:$C$9008,0)))</f>
        <v/>
      </c>
      <c r="B5197" s="9" t="str">
        <f>IFERROR(INDEX(Input!$L$20:$T$1019,INT((ROW()-9)/9)+1,MOD(ROW()-9,9)+1),"")</f>
        <v/>
      </c>
      <c r="C5197" s="9">
        <f t="shared" si="81"/>
        <v>0</v>
      </c>
    </row>
    <row r="5198" spans="1:3" x14ac:dyDescent="0.2">
      <c r="A5198" s="10" t="str">
        <f>IF(5190&gt;$C$9008,"",INDEX($B$9:$B$9008,MATCH(5190,$C$9:$C$9008,0)))</f>
        <v/>
      </c>
      <c r="B5198" s="9" t="str">
        <f>IFERROR(INDEX(Input!$L$20:$T$1019,INT((ROW()-9)/9)+1,MOD(ROW()-9,9)+1),"")</f>
        <v/>
      </c>
      <c r="C5198" s="9">
        <f t="shared" si="81"/>
        <v>0</v>
      </c>
    </row>
    <row r="5199" spans="1:3" x14ac:dyDescent="0.2">
      <c r="A5199" s="10" t="str">
        <f>IF(5191&gt;$C$9008,"",INDEX($B$9:$B$9008,MATCH(5191,$C$9:$C$9008,0)))</f>
        <v/>
      </c>
      <c r="B5199" s="9" t="str">
        <f>IFERROR(INDEX(Input!$L$20:$T$1019,INT((ROW()-9)/9)+1,MOD(ROW()-9,9)+1),"")</f>
        <v/>
      </c>
      <c r="C5199" s="9">
        <f t="shared" si="81"/>
        <v>0</v>
      </c>
    </row>
    <row r="5200" spans="1:3" x14ac:dyDescent="0.2">
      <c r="A5200" s="10" t="str">
        <f>IF(5192&gt;$C$9008,"",INDEX($B$9:$B$9008,MATCH(5192,$C$9:$C$9008,0)))</f>
        <v/>
      </c>
      <c r="B5200" s="9" t="str">
        <f>IFERROR(INDEX(Input!$L$20:$T$1019,INT((ROW()-9)/9)+1,MOD(ROW()-9,9)+1),"")</f>
        <v/>
      </c>
      <c r="C5200" s="9">
        <f t="shared" si="81"/>
        <v>0</v>
      </c>
    </row>
    <row r="5201" spans="1:3" x14ac:dyDescent="0.2">
      <c r="A5201" s="10" t="str">
        <f>IF(5193&gt;$C$9008,"",INDEX($B$9:$B$9008,MATCH(5193,$C$9:$C$9008,0)))</f>
        <v/>
      </c>
      <c r="B5201" s="9" t="str">
        <f>IFERROR(INDEX(Input!$L$20:$T$1019,INT((ROW()-9)/9)+1,MOD(ROW()-9,9)+1),"")</f>
        <v/>
      </c>
      <c r="C5201" s="9">
        <f t="shared" si="81"/>
        <v>0</v>
      </c>
    </row>
    <row r="5202" spans="1:3" x14ac:dyDescent="0.2">
      <c r="A5202" s="10" t="str">
        <f>IF(5194&gt;$C$9008,"",INDEX($B$9:$B$9008,MATCH(5194,$C$9:$C$9008,0)))</f>
        <v/>
      </c>
      <c r="B5202" s="9" t="str">
        <f>IFERROR(INDEX(Input!$L$20:$T$1019,INT((ROW()-9)/9)+1,MOD(ROW()-9,9)+1),"")</f>
        <v/>
      </c>
      <c r="C5202" s="9">
        <f t="shared" si="81"/>
        <v>0</v>
      </c>
    </row>
    <row r="5203" spans="1:3" x14ac:dyDescent="0.2">
      <c r="A5203" s="10" t="str">
        <f>IF(5195&gt;$C$9008,"",INDEX($B$9:$B$9008,MATCH(5195,$C$9:$C$9008,0)))</f>
        <v/>
      </c>
      <c r="B5203" s="9" t="str">
        <f>IFERROR(INDEX(Input!$L$20:$T$1019,INT((ROW()-9)/9)+1,MOD(ROW()-9,9)+1),"")</f>
        <v/>
      </c>
      <c r="C5203" s="9">
        <f t="shared" si="81"/>
        <v>0</v>
      </c>
    </row>
    <row r="5204" spans="1:3" x14ac:dyDescent="0.2">
      <c r="A5204" s="10" t="str">
        <f>IF(5196&gt;$C$9008,"",INDEX($B$9:$B$9008,MATCH(5196,$C$9:$C$9008,0)))</f>
        <v/>
      </c>
      <c r="B5204" s="9" t="str">
        <f>IFERROR(INDEX(Input!$L$20:$T$1019,INT((ROW()-9)/9)+1,MOD(ROW()-9,9)+1),"")</f>
        <v/>
      </c>
      <c r="C5204" s="9">
        <f t="shared" si="81"/>
        <v>0</v>
      </c>
    </row>
    <row r="5205" spans="1:3" x14ac:dyDescent="0.2">
      <c r="A5205" s="10" t="str">
        <f>IF(5197&gt;$C$9008,"",INDEX($B$9:$B$9008,MATCH(5197,$C$9:$C$9008,0)))</f>
        <v/>
      </c>
      <c r="B5205" s="9" t="str">
        <f>IFERROR(INDEX(Input!$L$20:$T$1019,INT((ROW()-9)/9)+1,MOD(ROW()-9,9)+1),"")</f>
        <v/>
      </c>
      <c r="C5205" s="9">
        <f t="shared" si="81"/>
        <v>0</v>
      </c>
    </row>
    <row r="5206" spans="1:3" x14ac:dyDescent="0.2">
      <c r="A5206" s="10" t="str">
        <f>IF(5198&gt;$C$9008,"",INDEX($B$9:$B$9008,MATCH(5198,$C$9:$C$9008,0)))</f>
        <v/>
      </c>
      <c r="B5206" s="9" t="str">
        <f>IFERROR(INDEX(Input!$L$20:$T$1019,INT((ROW()-9)/9)+1,MOD(ROW()-9,9)+1),"")</f>
        <v/>
      </c>
      <c r="C5206" s="9">
        <f t="shared" si="81"/>
        <v>0</v>
      </c>
    </row>
    <row r="5207" spans="1:3" x14ac:dyDescent="0.2">
      <c r="A5207" s="10" t="str">
        <f>IF(5199&gt;$C$9008,"",INDEX($B$9:$B$9008,MATCH(5199,$C$9:$C$9008,0)))</f>
        <v/>
      </c>
      <c r="B5207" s="9" t="str">
        <f>IFERROR(INDEX(Input!$L$20:$T$1019,INT((ROW()-9)/9)+1,MOD(ROW()-9,9)+1),"")</f>
        <v/>
      </c>
      <c r="C5207" s="9">
        <f t="shared" si="81"/>
        <v>0</v>
      </c>
    </row>
    <row r="5208" spans="1:3" x14ac:dyDescent="0.2">
      <c r="A5208" s="10" t="str">
        <f>IF(5200&gt;$C$9008,"",INDEX($B$9:$B$9008,MATCH(5200,$C$9:$C$9008,0)))</f>
        <v/>
      </c>
      <c r="B5208" s="9" t="str">
        <f>IFERROR(INDEX(Input!$L$20:$T$1019,INT((ROW()-9)/9)+1,MOD(ROW()-9,9)+1),"")</f>
        <v/>
      </c>
      <c r="C5208" s="9">
        <f t="shared" si="81"/>
        <v>0</v>
      </c>
    </row>
    <row r="5209" spans="1:3" x14ac:dyDescent="0.2">
      <c r="A5209" s="10" t="str">
        <f>IF(5201&gt;$C$9008,"",INDEX($B$9:$B$9008,MATCH(5201,$C$9:$C$9008,0)))</f>
        <v/>
      </c>
      <c r="B5209" s="9" t="str">
        <f>IFERROR(INDEX(Input!$L$20:$T$1019,INT((ROW()-9)/9)+1,MOD(ROW()-9,9)+1),"")</f>
        <v/>
      </c>
      <c r="C5209" s="9">
        <f t="shared" si="81"/>
        <v>0</v>
      </c>
    </row>
    <row r="5210" spans="1:3" x14ac:dyDescent="0.2">
      <c r="A5210" s="10" t="str">
        <f>IF(5202&gt;$C$9008,"",INDEX($B$9:$B$9008,MATCH(5202,$C$9:$C$9008,0)))</f>
        <v/>
      </c>
      <c r="B5210" s="9" t="str">
        <f>IFERROR(INDEX(Input!$L$20:$T$1019,INT((ROW()-9)/9)+1,MOD(ROW()-9,9)+1),"")</f>
        <v/>
      </c>
      <c r="C5210" s="9">
        <f t="shared" si="81"/>
        <v>0</v>
      </c>
    </row>
    <row r="5211" spans="1:3" x14ac:dyDescent="0.2">
      <c r="A5211" s="10" t="str">
        <f>IF(5203&gt;$C$9008,"",INDEX($B$9:$B$9008,MATCH(5203,$C$9:$C$9008,0)))</f>
        <v/>
      </c>
      <c r="B5211" s="9" t="str">
        <f>IFERROR(INDEX(Input!$L$20:$T$1019,INT((ROW()-9)/9)+1,MOD(ROW()-9,9)+1),"")</f>
        <v/>
      </c>
      <c r="C5211" s="9">
        <f t="shared" si="81"/>
        <v>0</v>
      </c>
    </row>
    <row r="5212" spans="1:3" x14ac:dyDescent="0.2">
      <c r="A5212" s="10" t="str">
        <f>IF(5204&gt;$C$9008,"",INDEX($B$9:$B$9008,MATCH(5204,$C$9:$C$9008,0)))</f>
        <v/>
      </c>
      <c r="B5212" s="9" t="str">
        <f>IFERROR(INDEX(Input!$L$20:$T$1019,INT((ROW()-9)/9)+1,MOD(ROW()-9,9)+1),"")</f>
        <v/>
      </c>
      <c r="C5212" s="9">
        <f t="shared" si="81"/>
        <v>0</v>
      </c>
    </row>
    <row r="5213" spans="1:3" x14ac:dyDescent="0.2">
      <c r="A5213" s="10" t="str">
        <f>IF(5205&gt;$C$9008,"",INDEX($B$9:$B$9008,MATCH(5205,$C$9:$C$9008,0)))</f>
        <v/>
      </c>
      <c r="B5213" s="9" t="str">
        <f>IFERROR(INDEX(Input!$L$20:$T$1019,INT((ROW()-9)/9)+1,MOD(ROW()-9,9)+1),"")</f>
        <v/>
      </c>
      <c r="C5213" s="9">
        <f t="shared" si="81"/>
        <v>0</v>
      </c>
    </row>
    <row r="5214" spans="1:3" x14ac:dyDescent="0.2">
      <c r="A5214" s="10" t="str">
        <f>IF(5206&gt;$C$9008,"",INDEX($B$9:$B$9008,MATCH(5206,$C$9:$C$9008,0)))</f>
        <v/>
      </c>
      <c r="B5214" s="9" t="str">
        <f>IFERROR(INDEX(Input!$L$20:$T$1019,INT((ROW()-9)/9)+1,MOD(ROW()-9,9)+1),"")</f>
        <v/>
      </c>
      <c r="C5214" s="9">
        <f t="shared" si="81"/>
        <v>0</v>
      </c>
    </row>
    <row r="5215" spans="1:3" x14ac:dyDescent="0.2">
      <c r="A5215" s="10" t="str">
        <f>IF(5207&gt;$C$9008,"",INDEX($B$9:$B$9008,MATCH(5207,$C$9:$C$9008,0)))</f>
        <v/>
      </c>
      <c r="B5215" s="9" t="str">
        <f>IFERROR(INDEX(Input!$L$20:$T$1019,INT((ROW()-9)/9)+1,MOD(ROW()-9,9)+1),"")</f>
        <v/>
      </c>
      <c r="C5215" s="9">
        <f t="shared" si="81"/>
        <v>0</v>
      </c>
    </row>
    <row r="5216" spans="1:3" x14ac:dyDescent="0.2">
      <c r="A5216" s="10" t="str">
        <f>IF(5208&gt;$C$9008,"",INDEX($B$9:$B$9008,MATCH(5208,$C$9:$C$9008,0)))</f>
        <v/>
      </c>
      <c r="B5216" s="9" t="str">
        <f>IFERROR(INDEX(Input!$L$20:$T$1019,INT((ROW()-9)/9)+1,MOD(ROW()-9,9)+1),"")</f>
        <v/>
      </c>
      <c r="C5216" s="9">
        <f t="shared" si="81"/>
        <v>0</v>
      </c>
    </row>
    <row r="5217" spans="1:3" x14ac:dyDescent="0.2">
      <c r="A5217" s="10" t="str">
        <f>IF(5209&gt;$C$9008,"",INDEX($B$9:$B$9008,MATCH(5209,$C$9:$C$9008,0)))</f>
        <v/>
      </c>
      <c r="B5217" s="9" t="str">
        <f>IFERROR(INDEX(Input!$L$20:$T$1019,INT((ROW()-9)/9)+1,MOD(ROW()-9,9)+1),"")</f>
        <v/>
      </c>
      <c r="C5217" s="9">
        <f t="shared" si="81"/>
        <v>0</v>
      </c>
    </row>
    <row r="5218" spans="1:3" x14ac:dyDescent="0.2">
      <c r="A5218" s="10" t="str">
        <f>IF(5210&gt;$C$9008,"",INDEX($B$9:$B$9008,MATCH(5210,$C$9:$C$9008,0)))</f>
        <v/>
      </c>
      <c r="B5218" s="9" t="str">
        <f>IFERROR(INDEX(Input!$L$20:$T$1019,INT((ROW()-9)/9)+1,MOD(ROW()-9,9)+1),"")</f>
        <v/>
      </c>
      <c r="C5218" s="9">
        <f t="shared" si="81"/>
        <v>0</v>
      </c>
    </row>
    <row r="5219" spans="1:3" x14ac:dyDescent="0.2">
      <c r="A5219" s="10" t="str">
        <f>IF(5211&gt;$C$9008,"",INDEX($B$9:$B$9008,MATCH(5211,$C$9:$C$9008,0)))</f>
        <v/>
      </c>
      <c r="B5219" s="9" t="str">
        <f>IFERROR(INDEX(Input!$L$20:$T$1019,INT((ROW()-9)/9)+1,MOD(ROW()-9,9)+1),"")</f>
        <v/>
      </c>
      <c r="C5219" s="9">
        <f t="shared" si="81"/>
        <v>0</v>
      </c>
    </row>
    <row r="5220" spans="1:3" x14ac:dyDescent="0.2">
      <c r="A5220" s="10" t="str">
        <f>IF(5212&gt;$C$9008,"",INDEX($B$9:$B$9008,MATCH(5212,$C$9:$C$9008,0)))</f>
        <v/>
      </c>
      <c r="B5220" s="9" t="str">
        <f>IFERROR(INDEX(Input!$L$20:$T$1019,INT((ROW()-9)/9)+1,MOD(ROW()-9,9)+1),"")</f>
        <v/>
      </c>
      <c r="C5220" s="9">
        <f t="shared" si="81"/>
        <v>0</v>
      </c>
    </row>
    <row r="5221" spans="1:3" x14ac:dyDescent="0.2">
      <c r="A5221" s="10" t="str">
        <f>IF(5213&gt;$C$9008,"",INDEX($B$9:$B$9008,MATCH(5213,$C$9:$C$9008,0)))</f>
        <v/>
      </c>
      <c r="B5221" s="9" t="str">
        <f>IFERROR(INDEX(Input!$L$20:$T$1019,INT((ROW()-9)/9)+1,MOD(ROW()-9,9)+1),"")</f>
        <v/>
      </c>
      <c r="C5221" s="9">
        <f t="shared" si="81"/>
        <v>0</v>
      </c>
    </row>
    <row r="5222" spans="1:3" x14ac:dyDescent="0.2">
      <c r="A5222" s="10" t="str">
        <f>IF(5214&gt;$C$9008,"",INDEX($B$9:$B$9008,MATCH(5214,$C$9:$C$9008,0)))</f>
        <v/>
      </c>
      <c r="B5222" s="9" t="str">
        <f>IFERROR(INDEX(Input!$L$20:$T$1019,INT((ROW()-9)/9)+1,MOD(ROW()-9,9)+1),"")</f>
        <v/>
      </c>
      <c r="C5222" s="9">
        <f t="shared" si="81"/>
        <v>0</v>
      </c>
    </row>
    <row r="5223" spans="1:3" x14ac:dyDescent="0.2">
      <c r="A5223" s="10" t="str">
        <f>IF(5215&gt;$C$9008,"",INDEX($B$9:$B$9008,MATCH(5215,$C$9:$C$9008,0)))</f>
        <v/>
      </c>
      <c r="B5223" s="9" t="str">
        <f>IFERROR(INDEX(Input!$L$20:$T$1019,INT((ROW()-9)/9)+1,MOD(ROW()-9,9)+1),"")</f>
        <v/>
      </c>
      <c r="C5223" s="9">
        <f t="shared" si="81"/>
        <v>0</v>
      </c>
    </row>
    <row r="5224" spans="1:3" x14ac:dyDescent="0.2">
      <c r="A5224" s="10" t="str">
        <f>IF(5216&gt;$C$9008,"",INDEX($B$9:$B$9008,MATCH(5216,$C$9:$C$9008,0)))</f>
        <v/>
      </c>
      <c r="B5224" s="9" t="str">
        <f>IFERROR(INDEX(Input!$L$20:$T$1019,INT((ROW()-9)/9)+1,MOD(ROW()-9,9)+1),"")</f>
        <v/>
      </c>
      <c r="C5224" s="9">
        <f t="shared" si="81"/>
        <v>0</v>
      </c>
    </row>
    <row r="5225" spans="1:3" x14ac:dyDescent="0.2">
      <c r="A5225" s="10" t="str">
        <f>IF(5217&gt;$C$9008,"",INDEX($B$9:$B$9008,MATCH(5217,$C$9:$C$9008,0)))</f>
        <v/>
      </c>
      <c r="B5225" s="9" t="str">
        <f>IFERROR(INDEX(Input!$L$20:$T$1019,INT((ROW()-9)/9)+1,MOD(ROW()-9,9)+1),"")</f>
        <v/>
      </c>
      <c r="C5225" s="9">
        <f t="shared" si="81"/>
        <v>0</v>
      </c>
    </row>
    <row r="5226" spans="1:3" x14ac:dyDescent="0.2">
      <c r="A5226" s="10" t="str">
        <f>IF(5218&gt;$C$9008,"",INDEX($B$9:$B$9008,MATCH(5218,$C$9:$C$9008,0)))</f>
        <v/>
      </c>
      <c r="B5226" s="9" t="str">
        <f>IFERROR(INDEX(Input!$L$20:$T$1019,INT((ROW()-9)/9)+1,MOD(ROW()-9,9)+1),"")</f>
        <v/>
      </c>
      <c r="C5226" s="9">
        <f t="shared" si="81"/>
        <v>0</v>
      </c>
    </row>
    <row r="5227" spans="1:3" x14ac:dyDescent="0.2">
      <c r="A5227" s="10" t="str">
        <f>IF(5219&gt;$C$9008,"",INDEX($B$9:$B$9008,MATCH(5219,$C$9:$C$9008,0)))</f>
        <v/>
      </c>
      <c r="B5227" s="9" t="str">
        <f>IFERROR(INDEX(Input!$L$20:$T$1019,INT((ROW()-9)/9)+1,MOD(ROW()-9,9)+1),"")</f>
        <v/>
      </c>
      <c r="C5227" s="9">
        <f t="shared" si="81"/>
        <v>0</v>
      </c>
    </row>
    <row r="5228" spans="1:3" x14ac:dyDescent="0.2">
      <c r="A5228" s="10" t="str">
        <f>IF(5220&gt;$C$9008,"",INDEX($B$9:$B$9008,MATCH(5220,$C$9:$C$9008,0)))</f>
        <v/>
      </c>
      <c r="B5228" s="9" t="str">
        <f>IFERROR(INDEX(Input!$L$20:$T$1019,INT((ROW()-9)/9)+1,MOD(ROW()-9,9)+1),"")</f>
        <v/>
      </c>
      <c r="C5228" s="9">
        <f t="shared" si="81"/>
        <v>0</v>
      </c>
    </row>
    <row r="5229" spans="1:3" x14ac:dyDescent="0.2">
      <c r="A5229" s="10" t="str">
        <f>IF(5221&gt;$C$9008,"",INDEX($B$9:$B$9008,MATCH(5221,$C$9:$C$9008,0)))</f>
        <v/>
      </c>
      <c r="B5229" s="9" t="str">
        <f>IFERROR(INDEX(Input!$L$20:$T$1019,INT((ROW()-9)/9)+1,MOD(ROW()-9,9)+1),"")</f>
        <v/>
      </c>
      <c r="C5229" s="9">
        <f t="shared" si="81"/>
        <v>0</v>
      </c>
    </row>
    <row r="5230" spans="1:3" x14ac:dyDescent="0.2">
      <c r="A5230" s="10" t="str">
        <f>IF(5222&gt;$C$9008,"",INDEX($B$9:$B$9008,MATCH(5222,$C$9:$C$9008,0)))</f>
        <v/>
      </c>
      <c r="B5230" s="9" t="str">
        <f>IFERROR(INDEX(Input!$L$20:$T$1019,INT((ROW()-9)/9)+1,MOD(ROW()-9,9)+1),"")</f>
        <v/>
      </c>
      <c r="C5230" s="9">
        <f t="shared" si="81"/>
        <v>0</v>
      </c>
    </row>
    <row r="5231" spans="1:3" x14ac:dyDescent="0.2">
      <c r="A5231" s="10" t="str">
        <f>IF(5223&gt;$C$9008,"",INDEX($B$9:$B$9008,MATCH(5223,$C$9:$C$9008,0)))</f>
        <v/>
      </c>
      <c r="B5231" s="9" t="str">
        <f>IFERROR(INDEX(Input!$L$20:$T$1019,INT((ROW()-9)/9)+1,MOD(ROW()-9,9)+1),"")</f>
        <v/>
      </c>
      <c r="C5231" s="9">
        <f t="shared" si="81"/>
        <v>0</v>
      </c>
    </row>
    <row r="5232" spans="1:3" x14ac:dyDescent="0.2">
      <c r="A5232" s="10" t="str">
        <f>IF(5224&gt;$C$9008,"",INDEX($B$9:$B$9008,MATCH(5224,$C$9:$C$9008,0)))</f>
        <v/>
      </c>
      <c r="B5232" s="9" t="str">
        <f>IFERROR(INDEX(Input!$L$20:$T$1019,INT((ROW()-9)/9)+1,MOD(ROW()-9,9)+1),"")</f>
        <v/>
      </c>
      <c r="C5232" s="9">
        <f t="shared" si="81"/>
        <v>0</v>
      </c>
    </row>
    <row r="5233" spans="1:3" x14ac:dyDescent="0.2">
      <c r="A5233" s="10" t="str">
        <f>IF(5225&gt;$C$9008,"",INDEX($B$9:$B$9008,MATCH(5225,$C$9:$C$9008,0)))</f>
        <v/>
      </c>
      <c r="B5233" s="9" t="str">
        <f>IFERROR(INDEX(Input!$L$20:$T$1019,INT((ROW()-9)/9)+1,MOD(ROW()-9,9)+1),"")</f>
        <v/>
      </c>
      <c r="C5233" s="9">
        <f t="shared" si="81"/>
        <v>0</v>
      </c>
    </row>
    <row r="5234" spans="1:3" x14ac:dyDescent="0.2">
      <c r="A5234" s="10" t="str">
        <f>IF(5226&gt;$C$9008,"",INDEX($B$9:$B$9008,MATCH(5226,$C$9:$C$9008,0)))</f>
        <v/>
      </c>
      <c r="B5234" s="9" t="str">
        <f>IFERROR(INDEX(Input!$L$20:$T$1019,INT((ROW()-9)/9)+1,MOD(ROW()-9,9)+1),"")</f>
        <v/>
      </c>
      <c r="C5234" s="9">
        <f t="shared" si="81"/>
        <v>0</v>
      </c>
    </row>
    <row r="5235" spans="1:3" x14ac:dyDescent="0.2">
      <c r="A5235" s="10" t="str">
        <f>IF(5227&gt;$C$9008,"",INDEX($B$9:$B$9008,MATCH(5227,$C$9:$C$9008,0)))</f>
        <v/>
      </c>
      <c r="B5235" s="9" t="str">
        <f>IFERROR(INDEX(Input!$L$20:$T$1019,INT((ROW()-9)/9)+1,MOD(ROW()-9,9)+1),"")</f>
        <v/>
      </c>
      <c r="C5235" s="9">
        <f t="shared" si="81"/>
        <v>0</v>
      </c>
    </row>
    <row r="5236" spans="1:3" x14ac:dyDescent="0.2">
      <c r="A5236" s="10" t="str">
        <f>IF(5228&gt;$C$9008,"",INDEX($B$9:$B$9008,MATCH(5228,$C$9:$C$9008,0)))</f>
        <v/>
      </c>
      <c r="B5236" s="9" t="str">
        <f>IFERROR(INDEX(Input!$L$20:$T$1019,INT((ROW()-9)/9)+1,MOD(ROW()-9,9)+1),"")</f>
        <v/>
      </c>
      <c r="C5236" s="9">
        <f t="shared" si="81"/>
        <v>0</v>
      </c>
    </row>
    <row r="5237" spans="1:3" x14ac:dyDescent="0.2">
      <c r="A5237" s="10" t="str">
        <f>IF(5229&gt;$C$9008,"",INDEX($B$9:$B$9008,MATCH(5229,$C$9:$C$9008,0)))</f>
        <v/>
      </c>
      <c r="B5237" s="9" t="str">
        <f>IFERROR(INDEX(Input!$L$20:$T$1019,INT((ROW()-9)/9)+1,MOD(ROW()-9,9)+1),"")</f>
        <v/>
      </c>
      <c r="C5237" s="9">
        <f t="shared" si="81"/>
        <v>0</v>
      </c>
    </row>
    <row r="5238" spans="1:3" x14ac:dyDescent="0.2">
      <c r="A5238" s="10" t="str">
        <f>IF(5230&gt;$C$9008,"",INDEX($B$9:$B$9008,MATCH(5230,$C$9:$C$9008,0)))</f>
        <v/>
      </c>
      <c r="B5238" s="9" t="str">
        <f>IFERROR(INDEX(Input!$L$20:$T$1019,INT((ROW()-9)/9)+1,MOD(ROW()-9,9)+1),"")</f>
        <v/>
      </c>
      <c r="C5238" s="9">
        <f t="shared" si="81"/>
        <v>0</v>
      </c>
    </row>
    <row r="5239" spans="1:3" x14ac:dyDescent="0.2">
      <c r="A5239" s="10" t="str">
        <f>IF(5231&gt;$C$9008,"",INDEX($B$9:$B$9008,MATCH(5231,$C$9:$C$9008,0)))</f>
        <v/>
      </c>
      <c r="B5239" s="9" t="str">
        <f>IFERROR(INDEX(Input!$L$20:$T$1019,INT((ROW()-9)/9)+1,MOD(ROW()-9,9)+1),"")</f>
        <v/>
      </c>
      <c r="C5239" s="9">
        <f t="shared" si="81"/>
        <v>0</v>
      </c>
    </row>
    <row r="5240" spans="1:3" x14ac:dyDescent="0.2">
      <c r="A5240" s="10" t="str">
        <f>IF(5232&gt;$C$9008,"",INDEX($B$9:$B$9008,MATCH(5232,$C$9:$C$9008,0)))</f>
        <v/>
      </c>
      <c r="B5240" s="9" t="str">
        <f>IFERROR(INDEX(Input!$L$20:$T$1019,INT((ROW()-9)/9)+1,MOD(ROW()-9,9)+1),"")</f>
        <v/>
      </c>
      <c r="C5240" s="9">
        <f t="shared" si="81"/>
        <v>0</v>
      </c>
    </row>
    <row r="5241" spans="1:3" x14ac:dyDescent="0.2">
      <c r="A5241" s="10" t="str">
        <f>IF(5233&gt;$C$9008,"",INDEX($B$9:$B$9008,MATCH(5233,$C$9:$C$9008,0)))</f>
        <v/>
      </c>
      <c r="B5241" s="9" t="str">
        <f>IFERROR(INDEX(Input!$L$20:$T$1019,INT((ROW()-9)/9)+1,MOD(ROW()-9,9)+1),"")</f>
        <v/>
      </c>
      <c r="C5241" s="9">
        <f t="shared" si="81"/>
        <v>0</v>
      </c>
    </row>
    <row r="5242" spans="1:3" x14ac:dyDescent="0.2">
      <c r="A5242" s="10" t="str">
        <f>IF(5234&gt;$C$9008,"",INDEX($B$9:$B$9008,MATCH(5234,$C$9:$C$9008,0)))</f>
        <v/>
      </c>
      <c r="B5242" s="9" t="str">
        <f>IFERROR(INDEX(Input!$L$20:$T$1019,INT((ROW()-9)/9)+1,MOD(ROW()-9,9)+1),"")</f>
        <v/>
      </c>
      <c r="C5242" s="9">
        <f t="shared" si="81"/>
        <v>0</v>
      </c>
    </row>
    <row r="5243" spans="1:3" x14ac:dyDescent="0.2">
      <c r="A5243" s="10" t="str">
        <f>IF(5235&gt;$C$9008,"",INDEX($B$9:$B$9008,MATCH(5235,$C$9:$C$9008,0)))</f>
        <v/>
      </c>
      <c r="B5243" s="9" t="str">
        <f>IFERROR(INDEX(Input!$L$20:$T$1019,INT((ROW()-9)/9)+1,MOD(ROW()-9,9)+1),"")</f>
        <v/>
      </c>
      <c r="C5243" s="9">
        <f t="shared" si="81"/>
        <v>0</v>
      </c>
    </row>
    <row r="5244" spans="1:3" x14ac:dyDescent="0.2">
      <c r="A5244" s="10" t="str">
        <f>IF(5236&gt;$C$9008,"",INDEX($B$9:$B$9008,MATCH(5236,$C$9:$C$9008,0)))</f>
        <v/>
      </c>
      <c r="B5244" s="9" t="str">
        <f>IFERROR(INDEX(Input!$L$20:$T$1019,INT((ROW()-9)/9)+1,MOD(ROW()-9,9)+1),"")</f>
        <v/>
      </c>
      <c r="C5244" s="9">
        <f t="shared" si="81"/>
        <v>0</v>
      </c>
    </row>
    <row r="5245" spans="1:3" x14ac:dyDescent="0.2">
      <c r="A5245" s="10" t="str">
        <f>IF(5237&gt;$C$9008,"",INDEX($B$9:$B$9008,MATCH(5237,$C$9:$C$9008,0)))</f>
        <v/>
      </c>
      <c r="B5245" s="9" t="str">
        <f>IFERROR(INDEX(Input!$L$20:$T$1019,INT((ROW()-9)/9)+1,MOD(ROW()-9,9)+1),"")</f>
        <v/>
      </c>
      <c r="C5245" s="9">
        <f t="shared" si="81"/>
        <v>0</v>
      </c>
    </row>
    <row r="5246" spans="1:3" x14ac:dyDescent="0.2">
      <c r="A5246" s="10" t="str">
        <f>IF(5238&gt;$C$9008,"",INDEX($B$9:$B$9008,MATCH(5238,$C$9:$C$9008,0)))</f>
        <v/>
      </c>
      <c r="B5246" s="9" t="str">
        <f>IFERROR(INDEX(Input!$L$20:$T$1019,INT((ROW()-9)/9)+1,MOD(ROW()-9,9)+1),"")</f>
        <v/>
      </c>
      <c r="C5246" s="9">
        <f t="shared" si="81"/>
        <v>0</v>
      </c>
    </row>
    <row r="5247" spans="1:3" x14ac:dyDescent="0.2">
      <c r="A5247" s="10" t="str">
        <f>IF(5239&gt;$C$9008,"",INDEX($B$9:$B$9008,MATCH(5239,$C$9:$C$9008,0)))</f>
        <v/>
      </c>
      <c r="B5247" s="9" t="str">
        <f>IFERROR(INDEX(Input!$L$20:$T$1019,INT((ROW()-9)/9)+1,MOD(ROW()-9,9)+1),"")</f>
        <v/>
      </c>
      <c r="C5247" s="9">
        <f t="shared" si="81"/>
        <v>0</v>
      </c>
    </row>
    <row r="5248" spans="1:3" x14ac:dyDescent="0.2">
      <c r="A5248" s="10" t="str">
        <f>IF(5240&gt;$C$9008,"",INDEX($B$9:$B$9008,MATCH(5240,$C$9:$C$9008,0)))</f>
        <v/>
      </c>
      <c r="B5248" s="9" t="str">
        <f>IFERROR(INDEX(Input!$L$20:$T$1019,INT((ROW()-9)/9)+1,MOD(ROW()-9,9)+1),"")</f>
        <v/>
      </c>
      <c r="C5248" s="9">
        <f t="shared" si="81"/>
        <v>0</v>
      </c>
    </row>
    <row r="5249" spans="1:3" x14ac:dyDescent="0.2">
      <c r="A5249" s="10" t="str">
        <f>IF(5241&gt;$C$9008,"",INDEX($B$9:$B$9008,MATCH(5241,$C$9:$C$9008,0)))</f>
        <v/>
      </c>
      <c r="B5249" s="9" t="str">
        <f>IFERROR(INDEX(Input!$L$20:$T$1019,INT((ROW()-9)/9)+1,MOD(ROW()-9,9)+1),"")</f>
        <v/>
      </c>
      <c r="C5249" s="9">
        <f t="shared" si="81"/>
        <v>0</v>
      </c>
    </row>
    <row r="5250" spans="1:3" x14ac:dyDescent="0.2">
      <c r="A5250" s="10" t="str">
        <f>IF(5242&gt;$C$9008,"",INDEX($B$9:$B$9008,MATCH(5242,$C$9:$C$9008,0)))</f>
        <v/>
      </c>
      <c r="B5250" s="9" t="str">
        <f>IFERROR(INDEX(Input!$L$20:$T$1019,INT((ROW()-9)/9)+1,MOD(ROW()-9,9)+1),"")</f>
        <v/>
      </c>
      <c r="C5250" s="9">
        <f t="shared" si="81"/>
        <v>0</v>
      </c>
    </row>
    <row r="5251" spans="1:3" x14ac:dyDescent="0.2">
      <c r="A5251" s="10" t="str">
        <f>IF(5243&gt;$C$9008,"",INDEX($B$9:$B$9008,MATCH(5243,$C$9:$C$9008,0)))</f>
        <v/>
      </c>
      <c r="B5251" s="9" t="str">
        <f>IFERROR(INDEX(Input!$L$20:$T$1019,INT((ROW()-9)/9)+1,MOD(ROW()-9,9)+1),"")</f>
        <v/>
      </c>
      <c r="C5251" s="9">
        <f t="shared" si="81"/>
        <v>0</v>
      </c>
    </row>
    <row r="5252" spans="1:3" x14ac:dyDescent="0.2">
      <c r="A5252" s="10" t="str">
        <f>IF(5244&gt;$C$9008,"",INDEX($B$9:$B$9008,MATCH(5244,$C$9:$C$9008,0)))</f>
        <v/>
      </c>
      <c r="B5252" s="9" t="str">
        <f>IFERROR(INDEX(Input!$L$20:$T$1019,INT((ROW()-9)/9)+1,MOD(ROW()-9,9)+1),"")</f>
        <v/>
      </c>
      <c r="C5252" s="9">
        <f t="shared" si="81"/>
        <v>0</v>
      </c>
    </row>
    <row r="5253" spans="1:3" x14ac:dyDescent="0.2">
      <c r="A5253" s="10" t="str">
        <f>IF(5245&gt;$C$9008,"",INDEX($B$9:$B$9008,MATCH(5245,$C$9:$C$9008,0)))</f>
        <v/>
      </c>
      <c r="B5253" s="9" t="str">
        <f>IFERROR(INDEX(Input!$L$20:$T$1019,INT((ROW()-9)/9)+1,MOD(ROW()-9,9)+1),"")</f>
        <v/>
      </c>
      <c r="C5253" s="9">
        <f t="shared" si="81"/>
        <v>0</v>
      </c>
    </row>
    <row r="5254" spans="1:3" x14ac:dyDescent="0.2">
      <c r="A5254" s="10" t="str">
        <f>IF(5246&gt;$C$9008,"",INDEX($B$9:$B$9008,MATCH(5246,$C$9:$C$9008,0)))</f>
        <v/>
      </c>
      <c r="B5254" s="9" t="str">
        <f>IFERROR(INDEX(Input!$L$20:$T$1019,INT((ROW()-9)/9)+1,MOD(ROW()-9,9)+1),"")</f>
        <v/>
      </c>
      <c r="C5254" s="9">
        <f t="shared" si="81"/>
        <v>0</v>
      </c>
    </row>
    <row r="5255" spans="1:3" x14ac:dyDescent="0.2">
      <c r="A5255" s="10" t="str">
        <f>IF(5247&gt;$C$9008,"",INDEX($B$9:$B$9008,MATCH(5247,$C$9:$C$9008,0)))</f>
        <v/>
      </c>
      <c r="B5255" s="9" t="str">
        <f>IFERROR(INDEX(Input!$L$20:$T$1019,INT((ROW()-9)/9)+1,MOD(ROW()-9,9)+1),"")</f>
        <v/>
      </c>
      <c r="C5255" s="9">
        <f t="shared" si="81"/>
        <v>0</v>
      </c>
    </row>
    <row r="5256" spans="1:3" x14ac:dyDescent="0.2">
      <c r="A5256" s="10" t="str">
        <f>IF(5248&gt;$C$9008,"",INDEX($B$9:$B$9008,MATCH(5248,$C$9:$C$9008,0)))</f>
        <v/>
      </c>
      <c r="B5256" s="9" t="str">
        <f>IFERROR(INDEX(Input!$L$20:$T$1019,INT((ROW()-9)/9)+1,MOD(ROW()-9,9)+1),"")</f>
        <v/>
      </c>
      <c r="C5256" s="9">
        <f t="shared" si="81"/>
        <v>0</v>
      </c>
    </row>
    <row r="5257" spans="1:3" x14ac:dyDescent="0.2">
      <c r="A5257" s="10" t="str">
        <f>IF(5249&gt;$C$9008,"",INDEX($B$9:$B$9008,MATCH(5249,$C$9:$C$9008,0)))</f>
        <v/>
      </c>
      <c r="B5257" s="9" t="str">
        <f>IFERROR(INDEX(Input!$L$20:$T$1019,INT((ROW()-9)/9)+1,MOD(ROW()-9,9)+1),"")</f>
        <v/>
      </c>
      <c r="C5257" s="9">
        <f t="shared" ref="C5257:C5320" si="82">$C5256+IF($B5257&lt;&gt;"",1,0)</f>
        <v>0</v>
      </c>
    </row>
    <row r="5258" spans="1:3" x14ac:dyDescent="0.2">
      <c r="A5258" s="10" t="str">
        <f>IF(5250&gt;$C$9008,"",INDEX($B$9:$B$9008,MATCH(5250,$C$9:$C$9008,0)))</f>
        <v/>
      </c>
      <c r="B5258" s="9" t="str">
        <f>IFERROR(INDEX(Input!$L$20:$T$1019,INT((ROW()-9)/9)+1,MOD(ROW()-9,9)+1),"")</f>
        <v/>
      </c>
      <c r="C5258" s="9">
        <f t="shared" si="82"/>
        <v>0</v>
      </c>
    </row>
    <row r="5259" spans="1:3" x14ac:dyDescent="0.2">
      <c r="A5259" s="10" t="str">
        <f>IF(5251&gt;$C$9008,"",INDEX($B$9:$B$9008,MATCH(5251,$C$9:$C$9008,0)))</f>
        <v/>
      </c>
      <c r="B5259" s="9" t="str">
        <f>IFERROR(INDEX(Input!$L$20:$T$1019,INT((ROW()-9)/9)+1,MOD(ROW()-9,9)+1),"")</f>
        <v/>
      </c>
      <c r="C5259" s="9">
        <f t="shared" si="82"/>
        <v>0</v>
      </c>
    </row>
    <row r="5260" spans="1:3" x14ac:dyDescent="0.2">
      <c r="A5260" s="10" t="str">
        <f>IF(5252&gt;$C$9008,"",INDEX($B$9:$B$9008,MATCH(5252,$C$9:$C$9008,0)))</f>
        <v/>
      </c>
      <c r="B5260" s="9" t="str">
        <f>IFERROR(INDEX(Input!$L$20:$T$1019,INT((ROW()-9)/9)+1,MOD(ROW()-9,9)+1),"")</f>
        <v/>
      </c>
      <c r="C5260" s="9">
        <f t="shared" si="82"/>
        <v>0</v>
      </c>
    </row>
    <row r="5261" spans="1:3" x14ac:dyDescent="0.2">
      <c r="A5261" s="10" t="str">
        <f>IF(5253&gt;$C$9008,"",INDEX($B$9:$B$9008,MATCH(5253,$C$9:$C$9008,0)))</f>
        <v/>
      </c>
      <c r="B5261" s="9" t="str">
        <f>IFERROR(INDEX(Input!$L$20:$T$1019,INT((ROW()-9)/9)+1,MOD(ROW()-9,9)+1),"")</f>
        <v/>
      </c>
      <c r="C5261" s="9">
        <f t="shared" si="82"/>
        <v>0</v>
      </c>
    </row>
    <row r="5262" spans="1:3" x14ac:dyDescent="0.2">
      <c r="A5262" s="10" t="str">
        <f>IF(5254&gt;$C$9008,"",INDEX($B$9:$B$9008,MATCH(5254,$C$9:$C$9008,0)))</f>
        <v/>
      </c>
      <c r="B5262" s="9" t="str">
        <f>IFERROR(INDEX(Input!$L$20:$T$1019,INT((ROW()-9)/9)+1,MOD(ROW()-9,9)+1),"")</f>
        <v/>
      </c>
      <c r="C5262" s="9">
        <f t="shared" si="82"/>
        <v>0</v>
      </c>
    </row>
    <row r="5263" spans="1:3" x14ac:dyDescent="0.2">
      <c r="A5263" s="10" t="str">
        <f>IF(5255&gt;$C$9008,"",INDEX($B$9:$B$9008,MATCH(5255,$C$9:$C$9008,0)))</f>
        <v/>
      </c>
      <c r="B5263" s="9" t="str">
        <f>IFERROR(INDEX(Input!$L$20:$T$1019,INT((ROW()-9)/9)+1,MOD(ROW()-9,9)+1),"")</f>
        <v/>
      </c>
      <c r="C5263" s="9">
        <f t="shared" si="82"/>
        <v>0</v>
      </c>
    </row>
    <row r="5264" spans="1:3" x14ac:dyDescent="0.2">
      <c r="A5264" s="10" t="str">
        <f>IF(5256&gt;$C$9008,"",INDEX($B$9:$B$9008,MATCH(5256,$C$9:$C$9008,0)))</f>
        <v/>
      </c>
      <c r="B5264" s="9" t="str">
        <f>IFERROR(INDEX(Input!$L$20:$T$1019,INT((ROW()-9)/9)+1,MOD(ROW()-9,9)+1),"")</f>
        <v/>
      </c>
      <c r="C5264" s="9">
        <f t="shared" si="82"/>
        <v>0</v>
      </c>
    </row>
    <row r="5265" spans="1:3" x14ac:dyDescent="0.2">
      <c r="A5265" s="10" t="str">
        <f>IF(5257&gt;$C$9008,"",INDEX($B$9:$B$9008,MATCH(5257,$C$9:$C$9008,0)))</f>
        <v/>
      </c>
      <c r="B5265" s="9" t="str">
        <f>IFERROR(INDEX(Input!$L$20:$T$1019,INT((ROW()-9)/9)+1,MOD(ROW()-9,9)+1),"")</f>
        <v/>
      </c>
      <c r="C5265" s="9">
        <f t="shared" si="82"/>
        <v>0</v>
      </c>
    </row>
    <row r="5266" spans="1:3" x14ac:dyDescent="0.2">
      <c r="A5266" s="10" t="str">
        <f>IF(5258&gt;$C$9008,"",INDEX($B$9:$B$9008,MATCH(5258,$C$9:$C$9008,0)))</f>
        <v/>
      </c>
      <c r="B5266" s="9" t="str">
        <f>IFERROR(INDEX(Input!$L$20:$T$1019,INT((ROW()-9)/9)+1,MOD(ROW()-9,9)+1),"")</f>
        <v/>
      </c>
      <c r="C5266" s="9">
        <f t="shared" si="82"/>
        <v>0</v>
      </c>
    </row>
    <row r="5267" spans="1:3" x14ac:dyDescent="0.2">
      <c r="A5267" s="10" t="str">
        <f>IF(5259&gt;$C$9008,"",INDEX($B$9:$B$9008,MATCH(5259,$C$9:$C$9008,0)))</f>
        <v/>
      </c>
      <c r="B5267" s="9" t="str">
        <f>IFERROR(INDEX(Input!$L$20:$T$1019,INT((ROW()-9)/9)+1,MOD(ROW()-9,9)+1),"")</f>
        <v/>
      </c>
      <c r="C5267" s="9">
        <f t="shared" si="82"/>
        <v>0</v>
      </c>
    </row>
    <row r="5268" spans="1:3" x14ac:dyDescent="0.2">
      <c r="A5268" s="10" t="str">
        <f>IF(5260&gt;$C$9008,"",INDEX($B$9:$B$9008,MATCH(5260,$C$9:$C$9008,0)))</f>
        <v/>
      </c>
      <c r="B5268" s="9" t="str">
        <f>IFERROR(INDEX(Input!$L$20:$T$1019,INT((ROW()-9)/9)+1,MOD(ROW()-9,9)+1),"")</f>
        <v/>
      </c>
      <c r="C5268" s="9">
        <f t="shared" si="82"/>
        <v>0</v>
      </c>
    </row>
    <row r="5269" spans="1:3" x14ac:dyDescent="0.2">
      <c r="A5269" s="10" t="str">
        <f>IF(5261&gt;$C$9008,"",INDEX($B$9:$B$9008,MATCH(5261,$C$9:$C$9008,0)))</f>
        <v/>
      </c>
      <c r="B5269" s="9" t="str">
        <f>IFERROR(INDEX(Input!$L$20:$T$1019,INT((ROW()-9)/9)+1,MOD(ROW()-9,9)+1),"")</f>
        <v/>
      </c>
      <c r="C5269" s="9">
        <f t="shared" si="82"/>
        <v>0</v>
      </c>
    </row>
    <row r="5270" spans="1:3" x14ac:dyDescent="0.2">
      <c r="A5270" s="10" t="str">
        <f>IF(5262&gt;$C$9008,"",INDEX($B$9:$B$9008,MATCH(5262,$C$9:$C$9008,0)))</f>
        <v/>
      </c>
      <c r="B5270" s="9" t="str">
        <f>IFERROR(INDEX(Input!$L$20:$T$1019,INT((ROW()-9)/9)+1,MOD(ROW()-9,9)+1),"")</f>
        <v/>
      </c>
      <c r="C5270" s="9">
        <f t="shared" si="82"/>
        <v>0</v>
      </c>
    </row>
    <row r="5271" spans="1:3" x14ac:dyDescent="0.2">
      <c r="A5271" s="10" t="str">
        <f>IF(5263&gt;$C$9008,"",INDEX($B$9:$B$9008,MATCH(5263,$C$9:$C$9008,0)))</f>
        <v/>
      </c>
      <c r="B5271" s="9" t="str">
        <f>IFERROR(INDEX(Input!$L$20:$T$1019,INT((ROW()-9)/9)+1,MOD(ROW()-9,9)+1),"")</f>
        <v/>
      </c>
      <c r="C5271" s="9">
        <f t="shared" si="82"/>
        <v>0</v>
      </c>
    </row>
    <row r="5272" spans="1:3" x14ac:dyDescent="0.2">
      <c r="A5272" s="10" t="str">
        <f>IF(5264&gt;$C$9008,"",INDEX($B$9:$B$9008,MATCH(5264,$C$9:$C$9008,0)))</f>
        <v/>
      </c>
      <c r="B5272" s="9" t="str">
        <f>IFERROR(INDEX(Input!$L$20:$T$1019,INT((ROW()-9)/9)+1,MOD(ROW()-9,9)+1),"")</f>
        <v/>
      </c>
      <c r="C5272" s="9">
        <f t="shared" si="82"/>
        <v>0</v>
      </c>
    </row>
    <row r="5273" spans="1:3" x14ac:dyDescent="0.2">
      <c r="A5273" s="10" t="str">
        <f>IF(5265&gt;$C$9008,"",INDEX($B$9:$B$9008,MATCH(5265,$C$9:$C$9008,0)))</f>
        <v/>
      </c>
      <c r="B5273" s="9" t="str">
        <f>IFERROR(INDEX(Input!$L$20:$T$1019,INT((ROW()-9)/9)+1,MOD(ROW()-9,9)+1),"")</f>
        <v/>
      </c>
      <c r="C5273" s="9">
        <f t="shared" si="82"/>
        <v>0</v>
      </c>
    </row>
    <row r="5274" spans="1:3" x14ac:dyDescent="0.2">
      <c r="A5274" s="10" t="str">
        <f>IF(5266&gt;$C$9008,"",INDEX($B$9:$B$9008,MATCH(5266,$C$9:$C$9008,0)))</f>
        <v/>
      </c>
      <c r="B5274" s="9" t="str">
        <f>IFERROR(INDEX(Input!$L$20:$T$1019,INT((ROW()-9)/9)+1,MOD(ROW()-9,9)+1),"")</f>
        <v/>
      </c>
      <c r="C5274" s="9">
        <f t="shared" si="82"/>
        <v>0</v>
      </c>
    </row>
    <row r="5275" spans="1:3" x14ac:dyDescent="0.2">
      <c r="A5275" s="10" t="str">
        <f>IF(5267&gt;$C$9008,"",INDEX($B$9:$B$9008,MATCH(5267,$C$9:$C$9008,0)))</f>
        <v/>
      </c>
      <c r="B5275" s="9" t="str">
        <f>IFERROR(INDEX(Input!$L$20:$T$1019,INT((ROW()-9)/9)+1,MOD(ROW()-9,9)+1),"")</f>
        <v/>
      </c>
      <c r="C5275" s="9">
        <f t="shared" si="82"/>
        <v>0</v>
      </c>
    </row>
    <row r="5276" spans="1:3" x14ac:dyDescent="0.2">
      <c r="A5276" s="10" t="str">
        <f>IF(5268&gt;$C$9008,"",INDEX($B$9:$B$9008,MATCH(5268,$C$9:$C$9008,0)))</f>
        <v/>
      </c>
      <c r="B5276" s="9" t="str">
        <f>IFERROR(INDEX(Input!$L$20:$T$1019,INT((ROW()-9)/9)+1,MOD(ROW()-9,9)+1),"")</f>
        <v/>
      </c>
      <c r="C5276" s="9">
        <f t="shared" si="82"/>
        <v>0</v>
      </c>
    </row>
    <row r="5277" spans="1:3" x14ac:dyDescent="0.2">
      <c r="A5277" s="10" t="str">
        <f>IF(5269&gt;$C$9008,"",INDEX($B$9:$B$9008,MATCH(5269,$C$9:$C$9008,0)))</f>
        <v/>
      </c>
      <c r="B5277" s="9" t="str">
        <f>IFERROR(INDEX(Input!$L$20:$T$1019,INT((ROW()-9)/9)+1,MOD(ROW()-9,9)+1),"")</f>
        <v/>
      </c>
      <c r="C5277" s="9">
        <f t="shared" si="82"/>
        <v>0</v>
      </c>
    </row>
    <row r="5278" spans="1:3" x14ac:dyDescent="0.2">
      <c r="A5278" s="10" t="str">
        <f>IF(5270&gt;$C$9008,"",INDEX($B$9:$B$9008,MATCH(5270,$C$9:$C$9008,0)))</f>
        <v/>
      </c>
      <c r="B5278" s="9" t="str">
        <f>IFERROR(INDEX(Input!$L$20:$T$1019,INT((ROW()-9)/9)+1,MOD(ROW()-9,9)+1),"")</f>
        <v/>
      </c>
      <c r="C5278" s="9">
        <f t="shared" si="82"/>
        <v>0</v>
      </c>
    </row>
    <row r="5279" spans="1:3" x14ac:dyDescent="0.2">
      <c r="A5279" s="10" t="str">
        <f>IF(5271&gt;$C$9008,"",INDEX($B$9:$B$9008,MATCH(5271,$C$9:$C$9008,0)))</f>
        <v/>
      </c>
      <c r="B5279" s="9" t="str">
        <f>IFERROR(INDEX(Input!$L$20:$T$1019,INT((ROW()-9)/9)+1,MOD(ROW()-9,9)+1),"")</f>
        <v/>
      </c>
      <c r="C5279" s="9">
        <f t="shared" si="82"/>
        <v>0</v>
      </c>
    </row>
    <row r="5280" spans="1:3" x14ac:dyDescent="0.2">
      <c r="A5280" s="10" t="str">
        <f>IF(5272&gt;$C$9008,"",INDEX($B$9:$B$9008,MATCH(5272,$C$9:$C$9008,0)))</f>
        <v/>
      </c>
      <c r="B5280" s="9" t="str">
        <f>IFERROR(INDEX(Input!$L$20:$T$1019,INT((ROW()-9)/9)+1,MOD(ROW()-9,9)+1),"")</f>
        <v/>
      </c>
      <c r="C5280" s="9">
        <f t="shared" si="82"/>
        <v>0</v>
      </c>
    </row>
    <row r="5281" spans="1:3" x14ac:dyDescent="0.2">
      <c r="A5281" s="10" t="str">
        <f>IF(5273&gt;$C$9008,"",INDEX($B$9:$B$9008,MATCH(5273,$C$9:$C$9008,0)))</f>
        <v/>
      </c>
      <c r="B5281" s="9" t="str">
        <f>IFERROR(INDEX(Input!$L$20:$T$1019,INT((ROW()-9)/9)+1,MOD(ROW()-9,9)+1),"")</f>
        <v/>
      </c>
      <c r="C5281" s="9">
        <f t="shared" si="82"/>
        <v>0</v>
      </c>
    </row>
    <row r="5282" spans="1:3" x14ac:dyDescent="0.2">
      <c r="A5282" s="10" t="str">
        <f>IF(5274&gt;$C$9008,"",INDEX($B$9:$B$9008,MATCH(5274,$C$9:$C$9008,0)))</f>
        <v/>
      </c>
      <c r="B5282" s="9" t="str">
        <f>IFERROR(INDEX(Input!$L$20:$T$1019,INT((ROW()-9)/9)+1,MOD(ROW()-9,9)+1),"")</f>
        <v/>
      </c>
      <c r="C5282" s="9">
        <f t="shared" si="82"/>
        <v>0</v>
      </c>
    </row>
    <row r="5283" spans="1:3" x14ac:dyDescent="0.2">
      <c r="A5283" s="10" t="str">
        <f>IF(5275&gt;$C$9008,"",INDEX($B$9:$B$9008,MATCH(5275,$C$9:$C$9008,0)))</f>
        <v/>
      </c>
      <c r="B5283" s="9" t="str">
        <f>IFERROR(INDEX(Input!$L$20:$T$1019,INT((ROW()-9)/9)+1,MOD(ROW()-9,9)+1),"")</f>
        <v/>
      </c>
      <c r="C5283" s="9">
        <f t="shared" si="82"/>
        <v>0</v>
      </c>
    </row>
    <row r="5284" spans="1:3" x14ac:dyDescent="0.2">
      <c r="A5284" s="10" t="str">
        <f>IF(5276&gt;$C$9008,"",INDEX($B$9:$B$9008,MATCH(5276,$C$9:$C$9008,0)))</f>
        <v/>
      </c>
      <c r="B5284" s="9" t="str">
        <f>IFERROR(INDEX(Input!$L$20:$T$1019,INT((ROW()-9)/9)+1,MOD(ROW()-9,9)+1),"")</f>
        <v/>
      </c>
      <c r="C5284" s="9">
        <f t="shared" si="82"/>
        <v>0</v>
      </c>
    </row>
    <row r="5285" spans="1:3" x14ac:dyDescent="0.2">
      <c r="A5285" s="10" t="str">
        <f>IF(5277&gt;$C$9008,"",INDEX($B$9:$B$9008,MATCH(5277,$C$9:$C$9008,0)))</f>
        <v/>
      </c>
      <c r="B5285" s="9" t="str">
        <f>IFERROR(INDEX(Input!$L$20:$T$1019,INT((ROW()-9)/9)+1,MOD(ROW()-9,9)+1),"")</f>
        <v/>
      </c>
      <c r="C5285" s="9">
        <f t="shared" si="82"/>
        <v>0</v>
      </c>
    </row>
    <row r="5286" spans="1:3" x14ac:dyDescent="0.2">
      <c r="A5286" s="10" t="str">
        <f>IF(5278&gt;$C$9008,"",INDEX($B$9:$B$9008,MATCH(5278,$C$9:$C$9008,0)))</f>
        <v/>
      </c>
      <c r="B5286" s="9" t="str">
        <f>IFERROR(INDEX(Input!$L$20:$T$1019,INT((ROW()-9)/9)+1,MOD(ROW()-9,9)+1),"")</f>
        <v/>
      </c>
      <c r="C5286" s="9">
        <f t="shared" si="82"/>
        <v>0</v>
      </c>
    </row>
    <row r="5287" spans="1:3" x14ac:dyDescent="0.2">
      <c r="A5287" s="10" t="str">
        <f>IF(5279&gt;$C$9008,"",INDEX($B$9:$B$9008,MATCH(5279,$C$9:$C$9008,0)))</f>
        <v/>
      </c>
      <c r="B5287" s="9" t="str">
        <f>IFERROR(INDEX(Input!$L$20:$T$1019,INT((ROW()-9)/9)+1,MOD(ROW()-9,9)+1),"")</f>
        <v/>
      </c>
      <c r="C5287" s="9">
        <f t="shared" si="82"/>
        <v>0</v>
      </c>
    </row>
    <row r="5288" spans="1:3" x14ac:dyDescent="0.2">
      <c r="A5288" s="10" t="str">
        <f>IF(5280&gt;$C$9008,"",INDEX($B$9:$B$9008,MATCH(5280,$C$9:$C$9008,0)))</f>
        <v/>
      </c>
      <c r="B5288" s="9" t="str">
        <f>IFERROR(INDEX(Input!$L$20:$T$1019,INT((ROW()-9)/9)+1,MOD(ROW()-9,9)+1),"")</f>
        <v/>
      </c>
      <c r="C5288" s="9">
        <f t="shared" si="82"/>
        <v>0</v>
      </c>
    </row>
    <row r="5289" spans="1:3" x14ac:dyDescent="0.2">
      <c r="A5289" s="10" t="str">
        <f>IF(5281&gt;$C$9008,"",INDEX($B$9:$B$9008,MATCH(5281,$C$9:$C$9008,0)))</f>
        <v/>
      </c>
      <c r="B5289" s="9" t="str">
        <f>IFERROR(INDEX(Input!$L$20:$T$1019,INT((ROW()-9)/9)+1,MOD(ROW()-9,9)+1),"")</f>
        <v/>
      </c>
      <c r="C5289" s="9">
        <f t="shared" si="82"/>
        <v>0</v>
      </c>
    </row>
    <row r="5290" spans="1:3" x14ac:dyDescent="0.2">
      <c r="A5290" s="10" t="str">
        <f>IF(5282&gt;$C$9008,"",INDEX($B$9:$B$9008,MATCH(5282,$C$9:$C$9008,0)))</f>
        <v/>
      </c>
      <c r="B5290" s="9" t="str">
        <f>IFERROR(INDEX(Input!$L$20:$T$1019,INT((ROW()-9)/9)+1,MOD(ROW()-9,9)+1),"")</f>
        <v/>
      </c>
      <c r="C5290" s="9">
        <f t="shared" si="82"/>
        <v>0</v>
      </c>
    </row>
    <row r="5291" spans="1:3" x14ac:dyDescent="0.2">
      <c r="A5291" s="10" t="str">
        <f>IF(5283&gt;$C$9008,"",INDEX($B$9:$B$9008,MATCH(5283,$C$9:$C$9008,0)))</f>
        <v/>
      </c>
      <c r="B5291" s="9" t="str">
        <f>IFERROR(INDEX(Input!$L$20:$T$1019,INT((ROW()-9)/9)+1,MOD(ROW()-9,9)+1),"")</f>
        <v/>
      </c>
      <c r="C5291" s="9">
        <f t="shared" si="82"/>
        <v>0</v>
      </c>
    </row>
    <row r="5292" spans="1:3" x14ac:dyDescent="0.2">
      <c r="A5292" s="10" t="str">
        <f>IF(5284&gt;$C$9008,"",INDEX($B$9:$B$9008,MATCH(5284,$C$9:$C$9008,0)))</f>
        <v/>
      </c>
      <c r="B5292" s="9" t="str">
        <f>IFERROR(INDEX(Input!$L$20:$T$1019,INT((ROW()-9)/9)+1,MOD(ROW()-9,9)+1),"")</f>
        <v/>
      </c>
      <c r="C5292" s="9">
        <f t="shared" si="82"/>
        <v>0</v>
      </c>
    </row>
    <row r="5293" spans="1:3" x14ac:dyDescent="0.2">
      <c r="A5293" s="10" t="str">
        <f>IF(5285&gt;$C$9008,"",INDEX($B$9:$B$9008,MATCH(5285,$C$9:$C$9008,0)))</f>
        <v/>
      </c>
      <c r="B5293" s="9" t="str">
        <f>IFERROR(INDEX(Input!$L$20:$T$1019,INT((ROW()-9)/9)+1,MOD(ROW()-9,9)+1),"")</f>
        <v/>
      </c>
      <c r="C5293" s="9">
        <f t="shared" si="82"/>
        <v>0</v>
      </c>
    </row>
    <row r="5294" spans="1:3" x14ac:dyDescent="0.2">
      <c r="A5294" s="10" t="str">
        <f>IF(5286&gt;$C$9008,"",INDEX($B$9:$B$9008,MATCH(5286,$C$9:$C$9008,0)))</f>
        <v/>
      </c>
      <c r="B5294" s="9" t="str">
        <f>IFERROR(INDEX(Input!$L$20:$T$1019,INT((ROW()-9)/9)+1,MOD(ROW()-9,9)+1),"")</f>
        <v/>
      </c>
      <c r="C5294" s="9">
        <f t="shared" si="82"/>
        <v>0</v>
      </c>
    </row>
    <row r="5295" spans="1:3" x14ac:dyDescent="0.2">
      <c r="A5295" s="10" t="str">
        <f>IF(5287&gt;$C$9008,"",INDEX($B$9:$B$9008,MATCH(5287,$C$9:$C$9008,0)))</f>
        <v/>
      </c>
      <c r="B5295" s="9" t="str">
        <f>IFERROR(INDEX(Input!$L$20:$T$1019,INT((ROW()-9)/9)+1,MOD(ROW()-9,9)+1),"")</f>
        <v/>
      </c>
      <c r="C5295" s="9">
        <f t="shared" si="82"/>
        <v>0</v>
      </c>
    </row>
    <row r="5296" spans="1:3" x14ac:dyDescent="0.2">
      <c r="A5296" s="10" t="str">
        <f>IF(5288&gt;$C$9008,"",INDEX($B$9:$B$9008,MATCH(5288,$C$9:$C$9008,0)))</f>
        <v/>
      </c>
      <c r="B5296" s="9" t="str">
        <f>IFERROR(INDEX(Input!$L$20:$T$1019,INT((ROW()-9)/9)+1,MOD(ROW()-9,9)+1),"")</f>
        <v/>
      </c>
      <c r="C5296" s="9">
        <f t="shared" si="82"/>
        <v>0</v>
      </c>
    </row>
    <row r="5297" spans="1:3" x14ac:dyDescent="0.2">
      <c r="A5297" s="10" t="str">
        <f>IF(5289&gt;$C$9008,"",INDEX($B$9:$B$9008,MATCH(5289,$C$9:$C$9008,0)))</f>
        <v/>
      </c>
      <c r="B5297" s="9" t="str">
        <f>IFERROR(INDEX(Input!$L$20:$T$1019,INT((ROW()-9)/9)+1,MOD(ROW()-9,9)+1),"")</f>
        <v/>
      </c>
      <c r="C5297" s="9">
        <f t="shared" si="82"/>
        <v>0</v>
      </c>
    </row>
    <row r="5298" spans="1:3" x14ac:dyDescent="0.2">
      <c r="A5298" s="10" t="str">
        <f>IF(5290&gt;$C$9008,"",INDEX($B$9:$B$9008,MATCH(5290,$C$9:$C$9008,0)))</f>
        <v/>
      </c>
      <c r="B5298" s="9" t="str">
        <f>IFERROR(INDEX(Input!$L$20:$T$1019,INT((ROW()-9)/9)+1,MOD(ROW()-9,9)+1),"")</f>
        <v/>
      </c>
      <c r="C5298" s="9">
        <f t="shared" si="82"/>
        <v>0</v>
      </c>
    </row>
    <row r="5299" spans="1:3" x14ac:dyDescent="0.2">
      <c r="A5299" s="10" t="str">
        <f>IF(5291&gt;$C$9008,"",INDEX($B$9:$B$9008,MATCH(5291,$C$9:$C$9008,0)))</f>
        <v/>
      </c>
      <c r="B5299" s="9" t="str">
        <f>IFERROR(INDEX(Input!$L$20:$T$1019,INT((ROW()-9)/9)+1,MOD(ROW()-9,9)+1),"")</f>
        <v/>
      </c>
      <c r="C5299" s="9">
        <f t="shared" si="82"/>
        <v>0</v>
      </c>
    </row>
    <row r="5300" spans="1:3" x14ac:dyDescent="0.2">
      <c r="A5300" s="10" t="str">
        <f>IF(5292&gt;$C$9008,"",INDEX($B$9:$B$9008,MATCH(5292,$C$9:$C$9008,0)))</f>
        <v/>
      </c>
      <c r="B5300" s="9" t="str">
        <f>IFERROR(INDEX(Input!$L$20:$T$1019,INT((ROW()-9)/9)+1,MOD(ROW()-9,9)+1),"")</f>
        <v/>
      </c>
      <c r="C5300" s="9">
        <f t="shared" si="82"/>
        <v>0</v>
      </c>
    </row>
    <row r="5301" spans="1:3" x14ac:dyDescent="0.2">
      <c r="A5301" s="10" t="str">
        <f>IF(5293&gt;$C$9008,"",INDEX($B$9:$B$9008,MATCH(5293,$C$9:$C$9008,0)))</f>
        <v/>
      </c>
      <c r="B5301" s="9" t="str">
        <f>IFERROR(INDEX(Input!$L$20:$T$1019,INT((ROW()-9)/9)+1,MOD(ROW()-9,9)+1),"")</f>
        <v/>
      </c>
      <c r="C5301" s="9">
        <f t="shared" si="82"/>
        <v>0</v>
      </c>
    </row>
    <row r="5302" spans="1:3" x14ac:dyDescent="0.2">
      <c r="A5302" s="10" t="str">
        <f>IF(5294&gt;$C$9008,"",INDEX($B$9:$B$9008,MATCH(5294,$C$9:$C$9008,0)))</f>
        <v/>
      </c>
      <c r="B5302" s="9" t="str">
        <f>IFERROR(INDEX(Input!$L$20:$T$1019,INT((ROW()-9)/9)+1,MOD(ROW()-9,9)+1),"")</f>
        <v/>
      </c>
      <c r="C5302" s="9">
        <f t="shared" si="82"/>
        <v>0</v>
      </c>
    </row>
    <row r="5303" spans="1:3" x14ac:dyDescent="0.2">
      <c r="A5303" s="10" t="str">
        <f>IF(5295&gt;$C$9008,"",INDEX($B$9:$B$9008,MATCH(5295,$C$9:$C$9008,0)))</f>
        <v/>
      </c>
      <c r="B5303" s="9" t="str">
        <f>IFERROR(INDEX(Input!$L$20:$T$1019,INT((ROW()-9)/9)+1,MOD(ROW()-9,9)+1),"")</f>
        <v/>
      </c>
      <c r="C5303" s="9">
        <f t="shared" si="82"/>
        <v>0</v>
      </c>
    </row>
    <row r="5304" spans="1:3" x14ac:dyDescent="0.2">
      <c r="A5304" s="10" t="str">
        <f>IF(5296&gt;$C$9008,"",INDEX($B$9:$B$9008,MATCH(5296,$C$9:$C$9008,0)))</f>
        <v/>
      </c>
      <c r="B5304" s="9" t="str">
        <f>IFERROR(INDEX(Input!$L$20:$T$1019,INT((ROW()-9)/9)+1,MOD(ROW()-9,9)+1),"")</f>
        <v/>
      </c>
      <c r="C5304" s="9">
        <f t="shared" si="82"/>
        <v>0</v>
      </c>
    </row>
    <row r="5305" spans="1:3" x14ac:dyDescent="0.2">
      <c r="A5305" s="10" t="str">
        <f>IF(5297&gt;$C$9008,"",INDEX($B$9:$B$9008,MATCH(5297,$C$9:$C$9008,0)))</f>
        <v/>
      </c>
      <c r="B5305" s="9" t="str">
        <f>IFERROR(INDEX(Input!$L$20:$T$1019,INT((ROW()-9)/9)+1,MOD(ROW()-9,9)+1),"")</f>
        <v/>
      </c>
      <c r="C5305" s="9">
        <f t="shared" si="82"/>
        <v>0</v>
      </c>
    </row>
    <row r="5306" spans="1:3" x14ac:dyDescent="0.2">
      <c r="A5306" s="10" t="str">
        <f>IF(5298&gt;$C$9008,"",INDEX($B$9:$B$9008,MATCH(5298,$C$9:$C$9008,0)))</f>
        <v/>
      </c>
      <c r="B5306" s="9" t="str">
        <f>IFERROR(INDEX(Input!$L$20:$T$1019,INT((ROW()-9)/9)+1,MOD(ROW()-9,9)+1),"")</f>
        <v/>
      </c>
      <c r="C5306" s="9">
        <f t="shared" si="82"/>
        <v>0</v>
      </c>
    </row>
    <row r="5307" spans="1:3" x14ac:dyDescent="0.2">
      <c r="A5307" s="10" t="str">
        <f>IF(5299&gt;$C$9008,"",INDEX($B$9:$B$9008,MATCH(5299,$C$9:$C$9008,0)))</f>
        <v/>
      </c>
      <c r="B5307" s="9" t="str">
        <f>IFERROR(INDEX(Input!$L$20:$T$1019,INT((ROW()-9)/9)+1,MOD(ROW()-9,9)+1),"")</f>
        <v/>
      </c>
      <c r="C5307" s="9">
        <f t="shared" si="82"/>
        <v>0</v>
      </c>
    </row>
    <row r="5308" spans="1:3" x14ac:dyDescent="0.2">
      <c r="A5308" s="10" t="str">
        <f>IF(5300&gt;$C$9008,"",INDEX($B$9:$B$9008,MATCH(5300,$C$9:$C$9008,0)))</f>
        <v/>
      </c>
      <c r="B5308" s="9" t="str">
        <f>IFERROR(INDEX(Input!$L$20:$T$1019,INT((ROW()-9)/9)+1,MOD(ROW()-9,9)+1),"")</f>
        <v/>
      </c>
      <c r="C5308" s="9">
        <f t="shared" si="82"/>
        <v>0</v>
      </c>
    </row>
    <row r="5309" spans="1:3" x14ac:dyDescent="0.2">
      <c r="A5309" s="10" t="str">
        <f>IF(5301&gt;$C$9008,"",INDEX($B$9:$B$9008,MATCH(5301,$C$9:$C$9008,0)))</f>
        <v/>
      </c>
      <c r="B5309" s="9" t="str">
        <f>IFERROR(INDEX(Input!$L$20:$T$1019,INT((ROW()-9)/9)+1,MOD(ROW()-9,9)+1),"")</f>
        <v/>
      </c>
      <c r="C5309" s="9">
        <f t="shared" si="82"/>
        <v>0</v>
      </c>
    </row>
    <row r="5310" spans="1:3" x14ac:dyDescent="0.2">
      <c r="A5310" s="10" t="str">
        <f>IF(5302&gt;$C$9008,"",INDEX($B$9:$B$9008,MATCH(5302,$C$9:$C$9008,0)))</f>
        <v/>
      </c>
      <c r="B5310" s="9" t="str">
        <f>IFERROR(INDEX(Input!$L$20:$T$1019,INT((ROW()-9)/9)+1,MOD(ROW()-9,9)+1),"")</f>
        <v/>
      </c>
      <c r="C5310" s="9">
        <f t="shared" si="82"/>
        <v>0</v>
      </c>
    </row>
    <row r="5311" spans="1:3" x14ac:dyDescent="0.2">
      <c r="A5311" s="10" t="str">
        <f>IF(5303&gt;$C$9008,"",INDEX($B$9:$B$9008,MATCH(5303,$C$9:$C$9008,0)))</f>
        <v/>
      </c>
      <c r="B5311" s="9" t="str">
        <f>IFERROR(INDEX(Input!$L$20:$T$1019,INT((ROW()-9)/9)+1,MOD(ROW()-9,9)+1),"")</f>
        <v/>
      </c>
      <c r="C5311" s="9">
        <f t="shared" si="82"/>
        <v>0</v>
      </c>
    </row>
    <row r="5312" spans="1:3" x14ac:dyDescent="0.2">
      <c r="A5312" s="10" t="str">
        <f>IF(5304&gt;$C$9008,"",INDEX($B$9:$B$9008,MATCH(5304,$C$9:$C$9008,0)))</f>
        <v/>
      </c>
      <c r="B5312" s="9" t="str">
        <f>IFERROR(INDEX(Input!$L$20:$T$1019,INT((ROW()-9)/9)+1,MOD(ROW()-9,9)+1),"")</f>
        <v/>
      </c>
      <c r="C5312" s="9">
        <f t="shared" si="82"/>
        <v>0</v>
      </c>
    </row>
    <row r="5313" spans="1:3" x14ac:dyDescent="0.2">
      <c r="A5313" s="10" t="str">
        <f>IF(5305&gt;$C$9008,"",INDEX($B$9:$B$9008,MATCH(5305,$C$9:$C$9008,0)))</f>
        <v/>
      </c>
      <c r="B5313" s="9" t="str">
        <f>IFERROR(INDEX(Input!$L$20:$T$1019,INT((ROW()-9)/9)+1,MOD(ROW()-9,9)+1),"")</f>
        <v/>
      </c>
      <c r="C5313" s="9">
        <f t="shared" si="82"/>
        <v>0</v>
      </c>
    </row>
    <row r="5314" spans="1:3" x14ac:dyDescent="0.2">
      <c r="A5314" s="10" t="str">
        <f>IF(5306&gt;$C$9008,"",INDEX($B$9:$B$9008,MATCH(5306,$C$9:$C$9008,0)))</f>
        <v/>
      </c>
      <c r="B5314" s="9" t="str">
        <f>IFERROR(INDEX(Input!$L$20:$T$1019,INT((ROW()-9)/9)+1,MOD(ROW()-9,9)+1),"")</f>
        <v/>
      </c>
      <c r="C5314" s="9">
        <f t="shared" si="82"/>
        <v>0</v>
      </c>
    </row>
    <row r="5315" spans="1:3" x14ac:dyDescent="0.2">
      <c r="A5315" s="10" t="str">
        <f>IF(5307&gt;$C$9008,"",INDEX($B$9:$B$9008,MATCH(5307,$C$9:$C$9008,0)))</f>
        <v/>
      </c>
      <c r="B5315" s="9" t="str">
        <f>IFERROR(INDEX(Input!$L$20:$T$1019,INT((ROW()-9)/9)+1,MOD(ROW()-9,9)+1),"")</f>
        <v/>
      </c>
      <c r="C5315" s="9">
        <f t="shared" si="82"/>
        <v>0</v>
      </c>
    </row>
    <row r="5316" spans="1:3" x14ac:dyDescent="0.2">
      <c r="A5316" s="10" t="str">
        <f>IF(5308&gt;$C$9008,"",INDEX($B$9:$B$9008,MATCH(5308,$C$9:$C$9008,0)))</f>
        <v/>
      </c>
      <c r="B5316" s="9" t="str">
        <f>IFERROR(INDEX(Input!$L$20:$T$1019,INT((ROW()-9)/9)+1,MOD(ROW()-9,9)+1),"")</f>
        <v/>
      </c>
      <c r="C5316" s="9">
        <f t="shared" si="82"/>
        <v>0</v>
      </c>
    </row>
    <row r="5317" spans="1:3" x14ac:dyDescent="0.2">
      <c r="A5317" s="10" t="str">
        <f>IF(5309&gt;$C$9008,"",INDEX($B$9:$B$9008,MATCH(5309,$C$9:$C$9008,0)))</f>
        <v/>
      </c>
      <c r="B5317" s="9" t="str">
        <f>IFERROR(INDEX(Input!$L$20:$T$1019,INT((ROW()-9)/9)+1,MOD(ROW()-9,9)+1),"")</f>
        <v/>
      </c>
      <c r="C5317" s="9">
        <f t="shared" si="82"/>
        <v>0</v>
      </c>
    </row>
    <row r="5318" spans="1:3" x14ac:dyDescent="0.2">
      <c r="A5318" s="10" t="str">
        <f>IF(5310&gt;$C$9008,"",INDEX($B$9:$B$9008,MATCH(5310,$C$9:$C$9008,0)))</f>
        <v/>
      </c>
      <c r="B5318" s="9" t="str">
        <f>IFERROR(INDEX(Input!$L$20:$T$1019,INT((ROW()-9)/9)+1,MOD(ROW()-9,9)+1),"")</f>
        <v/>
      </c>
      <c r="C5318" s="9">
        <f t="shared" si="82"/>
        <v>0</v>
      </c>
    </row>
    <row r="5319" spans="1:3" x14ac:dyDescent="0.2">
      <c r="A5319" s="10" t="str">
        <f>IF(5311&gt;$C$9008,"",INDEX($B$9:$B$9008,MATCH(5311,$C$9:$C$9008,0)))</f>
        <v/>
      </c>
      <c r="B5319" s="9" t="str">
        <f>IFERROR(INDEX(Input!$L$20:$T$1019,INT((ROW()-9)/9)+1,MOD(ROW()-9,9)+1),"")</f>
        <v/>
      </c>
      <c r="C5319" s="9">
        <f t="shared" si="82"/>
        <v>0</v>
      </c>
    </row>
    <row r="5320" spans="1:3" x14ac:dyDescent="0.2">
      <c r="A5320" s="10" t="str">
        <f>IF(5312&gt;$C$9008,"",INDEX($B$9:$B$9008,MATCH(5312,$C$9:$C$9008,0)))</f>
        <v/>
      </c>
      <c r="B5320" s="9" t="str">
        <f>IFERROR(INDEX(Input!$L$20:$T$1019,INT((ROW()-9)/9)+1,MOD(ROW()-9,9)+1),"")</f>
        <v/>
      </c>
      <c r="C5320" s="9">
        <f t="shared" si="82"/>
        <v>0</v>
      </c>
    </row>
    <row r="5321" spans="1:3" x14ac:dyDescent="0.2">
      <c r="A5321" s="10" t="str">
        <f>IF(5313&gt;$C$9008,"",INDEX($B$9:$B$9008,MATCH(5313,$C$9:$C$9008,0)))</f>
        <v/>
      </c>
      <c r="B5321" s="9" t="str">
        <f>IFERROR(INDEX(Input!$L$20:$T$1019,INT((ROW()-9)/9)+1,MOD(ROW()-9,9)+1),"")</f>
        <v/>
      </c>
      <c r="C5321" s="9">
        <f t="shared" ref="C5321:C5384" si="83">$C5320+IF($B5321&lt;&gt;"",1,0)</f>
        <v>0</v>
      </c>
    </row>
    <row r="5322" spans="1:3" x14ac:dyDescent="0.2">
      <c r="A5322" s="10" t="str">
        <f>IF(5314&gt;$C$9008,"",INDEX($B$9:$B$9008,MATCH(5314,$C$9:$C$9008,0)))</f>
        <v/>
      </c>
      <c r="B5322" s="9" t="str">
        <f>IFERROR(INDEX(Input!$L$20:$T$1019,INT((ROW()-9)/9)+1,MOD(ROW()-9,9)+1),"")</f>
        <v/>
      </c>
      <c r="C5322" s="9">
        <f t="shared" si="83"/>
        <v>0</v>
      </c>
    </row>
    <row r="5323" spans="1:3" x14ac:dyDescent="0.2">
      <c r="A5323" s="10" t="str">
        <f>IF(5315&gt;$C$9008,"",INDEX($B$9:$B$9008,MATCH(5315,$C$9:$C$9008,0)))</f>
        <v/>
      </c>
      <c r="B5323" s="9" t="str">
        <f>IFERROR(INDEX(Input!$L$20:$T$1019,INT((ROW()-9)/9)+1,MOD(ROW()-9,9)+1),"")</f>
        <v/>
      </c>
      <c r="C5323" s="9">
        <f t="shared" si="83"/>
        <v>0</v>
      </c>
    </row>
    <row r="5324" spans="1:3" x14ac:dyDescent="0.2">
      <c r="A5324" s="10" t="str">
        <f>IF(5316&gt;$C$9008,"",INDEX($B$9:$B$9008,MATCH(5316,$C$9:$C$9008,0)))</f>
        <v/>
      </c>
      <c r="B5324" s="9" t="str">
        <f>IFERROR(INDEX(Input!$L$20:$T$1019,INT((ROW()-9)/9)+1,MOD(ROW()-9,9)+1),"")</f>
        <v/>
      </c>
      <c r="C5324" s="9">
        <f t="shared" si="83"/>
        <v>0</v>
      </c>
    </row>
    <row r="5325" spans="1:3" x14ac:dyDescent="0.2">
      <c r="A5325" s="10" t="str">
        <f>IF(5317&gt;$C$9008,"",INDEX($B$9:$B$9008,MATCH(5317,$C$9:$C$9008,0)))</f>
        <v/>
      </c>
      <c r="B5325" s="9" t="str">
        <f>IFERROR(INDEX(Input!$L$20:$T$1019,INT((ROW()-9)/9)+1,MOD(ROW()-9,9)+1),"")</f>
        <v/>
      </c>
      <c r="C5325" s="9">
        <f t="shared" si="83"/>
        <v>0</v>
      </c>
    </row>
    <row r="5326" spans="1:3" x14ac:dyDescent="0.2">
      <c r="A5326" s="10" t="str">
        <f>IF(5318&gt;$C$9008,"",INDEX($B$9:$B$9008,MATCH(5318,$C$9:$C$9008,0)))</f>
        <v/>
      </c>
      <c r="B5326" s="9" t="str">
        <f>IFERROR(INDEX(Input!$L$20:$T$1019,INT((ROW()-9)/9)+1,MOD(ROW()-9,9)+1),"")</f>
        <v/>
      </c>
      <c r="C5326" s="9">
        <f t="shared" si="83"/>
        <v>0</v>
      </c>
    </row>
    <row r="5327" spans="1:3" x14ac:dyDescent="0.2">
      <c r="A5327" s="10" t="str">
        <f>IF(5319&gt;$C$9008,"",INDEX($B$9:$B$9008,MATCH(5319,$C$9:$C$9008,0)))</f>
        <v/>
      </c>
      <c r="B5327" s="9" t="str">
        <f>IFERROR(INDEX(Input!$L$20:$T$1019,INT((ROW()-9)/9)+1,MOD(ROW()-9,9)+1),"")</f>
        <v/>
      </c>
      <c r="C5327" s="9">
        <f t="shared" si="83"/>
        <v>0</v>
      </c>
    </row>
    <row r="5328" spans="1:3" x14ac:dyDescent="0.2">
      <c r="A5328" s="10" t="str">
        <f>IF(5320&gt;$C$9008,"",INDEX($B$9:$B$9008,MATCH(5320,$C$9:$C$9008,0)))</f>
        <v/>
      </c>
      <c r="B5328" s="9" t="str">
        <f>IFERROR(INDEX(Input!$L$20:$T$1019,INT((ROW()-9)/9)+1,MOD(ROW()-9,9)+1),"")</f>
        <v/>
      </c>
      <c r="C5328" s="9">
        <f t="shared" si="83"/>
        <v>0</v>
      </c>
    </row>
    <row r="5329" spans="1:3" x14ac:dyDescent="0.2">
      <c r="A5329" s="10" t="str">
        <f>IF(5321&gt;$C$9008,"",INDEX($B$9:$B$9008,MATCH(5321,$C$9:$C$9008,0)))</f>
        <v/>
      </c>
      <c r="B5329" s="9" t="str">
        <f>IFERROR(INDEX(Input!$L$20:$T$1019,INT((ROW()-9)/9)+1,MOD(ROW()-9,9)+1),"")</f>
        <v/>
      </c>
      <c r="C5329" s="9">
        <f t="shared" si="83"/>
        <v>0</v>
      </c>
    </row>
    <row r="5330" spans="1:3" x14ac:dyDescent="0.2">
      <c r="A5330" s="10" t="str">
        <f>IF(5322&gt;$C$9008,"",INDEX($B$9:$B$9008,MATCH(5322,$C$9:$C$9008,0)))</f>
        <v/>
      </c>
      <c r="B5330" s="9" t="str">
        <f>IFERROR(INDEX(Input!$L$20:$T$1019,INT((ROW()-9)/9)+1,MOD(ROW()-9,9)+1),"")</f>
        <v/>
      </c>
      <c r="C5330" s="9">
        <f t="shared" si="83"/>
        <v>0</v>
      </c>
    </row>
    <row r="5331" spans="1:3" x14ac:dyDescent="0.2">
      <c r="A5331" s="10" t="str">
        <f>IF(5323&gt;$C$9008,"",INDEX($B$9:$B$9008,MATCH(5323,$C$9:$C$9008,0)))</f>
        <v/>
      </c>
      <c r="B5331" s="9" t="str">
        <f>IFERROR(INDEX(Input!$L$20:$T$1019,INT((ROW()-9)/9)+1,MOD(ROW()-9,9)+1),"")</f>
        <v/>
      </c>
      <c r="C5331" s="9">
        <f t="shared" si="83"/>
        <v>0</v>
      </c>
    </row>
    <row r="5332" spans="1:3" x14ac:dyDescent="0.2">
      <c r="A5332" s="10" t="str">
        <f>IF(5324&gt;$C$9008,"",INDEX($B$9:$B$9008,MATCH(5324,$C$9:$C$9008,0)))</f>
        <v/>
      </c>
      <c r="B5332" s="9" t="str">
        <f>IFERROR(INDEX(Input!$L$20:$T$1019,INT((ROW()-9)/9)+1,MOD(ROW()-9,9)+1),"")</f>
        <v/>
      </c>
      <c r="C5332" s="9">
        <f t="shared" si="83"/>
        <v>0</v>
      </c>
    </row>
    <row r="5333" spans="1:3" x14ac:dyDescent="0.2">
      <c r="A5333" s="10" t="str">
        <f>IF(5325&gt;$C$9008,"",INDEX($B$9:$B$9008,MATCH(5325,$C$9:$C$9008,0)))</f>
        <v/>
      </c>
      <c r="B5333" s="9" t="str">
        <f>IFERROR(INDEX(Input!$L$20:$T$1019,INT((ROW()-9)/9)+1,MOD(ROW()-9,9)+1),"")</f>
        <v/>
      </c>
      <c r="C5333" s="9">
        <f t="shared" si="83"/>
        <v>0</v>
      </c>
    </row>
    <row r="5334" spans="1:3" x14ac:dyDescent="0.2">
      <c r="A5334" s="10" t="str">
        <f>IF(5326&gt;$C$9008,"",INDEX($B$9:$B$9008,MATCH(5326,$C$9:$C$9008,0)))</f>
        <v/>
      </c>
      <c r="B5334" s="9" t="str">
        <f>IFERROR(INDEX(Input!$L$20:$T$1019,INT((ROW()-9)/9)+1,MOD(ROW()-9,9)+1),"")</f>
        <v/>
      </c>
      <c r="C5334" s="9">
        <f t="shared" si="83"/>
        <v>0</v>
      </c>
    </row>
    <row r="5335" spans="1:3" x14ac:dyDescent="0.2">
      <c r="A5335" s="10" t="str">
        <f>IF(5327&gt;$C$9008,"",INDEX($B$9:$B$9008,MATCH(5327,$C$9:$C$9008,0)))</f>
        <v/>
      </c>
      <c r="B5335" s="9" t="str">
        <f>IFERROR(INDEX(Input!$L$20:$T$1019,INT((ROW()-9)/9)+1,MOD(ROW()-9,9)+1),"")</f>
        <v/>
      </c>
      <c r="C5335" s="9">
        <f t="shared" si="83"/>
        <v>0</v>
      </c>
    </row>
    <row r="5336" spans="1:3" x14ac:dyDescent="0.2">
      <c r="A5336" s="10" t="str">
        <f>IF(5328&gt;$C$9008,"",INDEX($B$9:$B$9008,MATCH(5328,$C$9:$C$9008,0)))</f>
        <v/>
      </c>
      <c r="B5336" s="9" t="str">
        <f>IFERROR(INDEX(Input!$L$20:$T$1019,INT((ROW()-9)/9)+1,MOD(ROW()-9,9)+1),"")</f>
        <v/>
      </c>
      <c r="C5336" s="9">
        <f t="shared" si="83"/>
        <v>0</v>
      </c>
    </row>
    <row r="5337" spans="1:3" x14ac:dyDescent="0.2">
      <c r="A5337" s="10" t="str">
        <f>IF(5329&gt;$C$9008,"",INDEX($B$9:$B$9008,MATCH(5329,$C$9:$C$9008,0)))</f>
        <v/>
      </c>
      <c r="B5337" s="9" t="str">
        <f>IFERROR(INDEX(Input!$L$20:$T$1019,INT((ROW()-9)/9)+1,MOD(ROW()-9,9)+1),"")</f>
        <v/>
      </c>
      <c r="C5337" s="9">
        <f t="shared" si="83"/>
        <v>0</v>
      </c>
    </row>
    <row r="5338" spans="1:3" x14ac:dyDescent="0.2">
      <c r="A5338" s="10" t="str">
        <f>IF(5330&gt;$C$9008,"",INDEX($B$9:$B$9008,MATCH(5330,$C$9:$C$9008,0)))</f>
        <v/>
      </c>
      <c r="B5338" s="9" t="str">
        <f>IFERROR(INDEX(Input!$L$20:$T$1019,INT((ROW()-9)/9)+1,MOD(ROW()-9,9)+1),"")</f>
        <v/>
      </c>
      <c r="C5338" s="9">
        <f t="shared" si="83"/>
        <v>0</v>
      </c>
    </row>
    <row r="5339" spans="1:3" x14ac:dyDescent="0.2">
      <c r="A5339" s="10" t="str">
        <f>IF(5331&gt;$C$9008,"",INDEX($B$9:$B$9008,MATCH(5331,$C$9:$C$9008,0)))</f>
        <v/>
      </c>
      <c r="B5339" s="9" t="str">
        <f>IFERROR(INDEX(Input!$L$20:$T$1019,INT((ROW()-9)/9)+1,MOD(ROW()-9,9)+1),"")</f>
        <v/>
      </c>
      <c r="C5339" s="9">
        <f t="shared" si="83"/>
        <v>0</v>
      </c>
    </row>
    <row r="5340" spans="1:3" x14ac:dyDescent="0.2">
      <c r="A5340" s="10" t="str">
        <f>IF(5332&gt;$C$9008,"",INDEX($B$9:$B$9008,MATCH(5332,$C$9:$C$9008,0)))</f>
        <v/>
      </c>
      <c r="B5340" s="9" t="str">
        <f>IFERROR(INDEX(Input!$L$20:$T$1019,INT((ROW()-9)/9)+1,MOD(ROW()-9,9)+1),"")</f>
        <v/>
      </c>
      <c r="C5340" s="9">
        <f t="shared" si="83"/>
        <v>0</v>
      </c>
    </row>
    <row r="5341" spans="1:3" x14ac:dyDescent="0.2">
      <c r="A5341" s="10" t="str">
        <f>IF(5333&gt;$C$9008,"",INDEX($B$9:$B$9008,MATCH(5333,$C$9:$C$9008,0)))</f>
        <v/>
      </c>
      <c r="B5341" s="9" t="str">
        <f>IFERROR(INDEX(Input!$L$20:$T$1019,INT((ROW()-9)/9)+1,MOD(ROW()-9,9)+1),"")</f>
        <v/>
      </c>
      <c r="C5341" s="9">
        <f t="shared" si="83"/>
        <v>0</v>
      </c>
    </row>
    <row r="5342" spans="1:3" x14ac:dyDescent="0.2">
      <c r="A5342" s="10" t="str">
        <f>IF(5334&gt;$C$9008,"",INDEX($B$9:$B$9008,MATCH(5334,$C$9:$C$9008,0)))</f>
        <v/>
      </c>
      <c r="B5342" s="9" t="str">
        <f>IFERROR(INDEX(Input!$L$20:$T$1019,INT((ROW()-9)/9)+1,MOD(ROW()-9,9)+1),"")</f>
        <v/>
      </c>
      <c r="C5342" s="9">
        <f t="shared" si="83"/>
        <v>0</v>
      </c>
    </row>
    <row r="5343" spans="1:3" x14ac:dyDescent="0.2">
      <c r="A5343" s="10" t="str">
        <f>IF(5335&gt;$C$9008,"",INDEX($B$9:$B$9008,MATCH(5335,$C$9:$C$9008,0)))</f>
        <v/>
      </c>
      <c r="B5343" s="9" t="str">
        <f>IFERROR(INDEX(Input!$L$20:$T$1019,INT((ROW()-9)/9)+1,MOD(ROW()-9,9)+1),"")</f>
        <v/>
      </c>
      <c r="C5343" s="9">
        <f t="shared" si="83"/>
        <v>0</v>
      </c>
    </row>
    <row r="5344" spans="1:3" x14ac:dyDescent="0.2">
      <c r="A5344" s="10" t="str">
        <f>IF(5336&gt;$C$9008,"",INDEX($B$9:$B$9008,MATCH(5336,$C$9:$C$9008,0)))</f>
        <v/>
      </c>
      <c r="B5344" s="9" t="str">
        <f>IFERROR(INDEX(Input!$L$20:$T$1019,INT((ROW()-9)/9)+1,MOD(ROW()-9,9)+1),"")</f>
        <v/>
      </c>
      <c r="C5344" s="9">
        <f t="shared" si="83"/>
        <v>0</v>
      </c>
    </row>
    <row r="5345" spans="1:3" x14ac:dyDescent="0.2">
      <c r="A5345" s="10" t="str">
        <f>IF(5337&gt;$C$9008,"",INDEX($B$9:$B$9008,MATCH(5337,$C$9:$C$9008,0)))</f>
        <v/>
      </c>
      <c r="B5345" s="9" t="str">
        <f>IFERROR(INDEX(Input!$L$20:$T$1019,INT((ROW()-9)/9)+1,MOD(ROW()-9,9)+1),"")</f>
        <v/>
      </c>
      <c r="C5345" s="9">
        <f t="shared" si="83"/>
        <v>0</v>
      </c>
    </row>
    <row r="5346" spans="1:3" x14ac:dyDescent="0.2">
      <c r="A5346" s="10" t="str">
        <f>IF(5338&gt;$C$9008,"",INDEX($B$9:$B$9008,MATCH(5338,$C$9:$C$9008,0)))</f>
        <v/>
      </c>
      <c r="B5346" s="9" t="str">
        <f>IFERROR(INDEX(Input!$L$20:$T$1019,INT((ROW()-9)/9)+1,MOD(ROW()-9,9)+1),"")</f>
        <v/>
      </c>
      <c r="C5346" s="9">
        <f t="shared" si="83"/>
        <v>0</v>
      </c>
    </row>
    <row r="5347" spans="1:3" x14ac:dyDescent="0.2">
      <c r="A5347" s="10" t="str">
        <f>IF(5339&gt;$C$9008,"",INDEX($B$9:$B$9008,MATCH(5339,$C$9:$C$9008,0)))</f>
        <v/>
      </c>
      <c r="B5347" s="9" t="str">
        <f>IFERROR(INDEX(Input!$L$20:$T$1019,INT((ROW()-9)/9)+1,MOD(ROW()-9,9)+1),"")</f>
        <v/>
      </c>
      <c r="C5347" s="9">
        <f t="shared" si="83"/>
        <v>0</v>
      </c>
    </row>
    <row r="5348" spans="1:3" x14ac:dyDescent="0.2">
      <c r="A5348" s="10" t="str">
        <f>IF(5340&gt;$C$9008,"",INDEX($B$9:$B$9008,MATCH(5340,$C$9:$C$9008,0)))</f>
        <v/>
      </c>
      <c r="B5348" s="9" t="str">
        <f>IFERROR(INDEX(Input!$L$20:$T$1019,INT((ROW()-9)/9)+1,MOD(ROW()-9,9)+1),"")</f>
        <v/>
      </c>
      <c r="C5348" s="9">
        <f t="shared" si="83"/>
        <v>0</v>
      </c>
    </row>
    <row r="5349" spans="1:3" x14ac:dyDescent="0.2">
      <c r="A5349" s="10" t="str">
        <f>IF(5341&gt;$C$9008,"",INDEX($B$9:$B$9008,MATCH(5341,$C$9:$C$9008,0)))</f>
        <v/>
      </c>
      <c r="B5349" s="9" t="str">
        <f>IFERROR(INDEX(Input!$L$20:$T$1019,INT((ROW()-9)/9)+1,MOD(ROW()-9,9)+1),"")</f>
        <v/>
      </c>
      <c r="C5349" s="9">
        <f t="shared" si="83"/>
        <v>0</v>
      </c>
    </row>
    <row r="5350" spans="1:3" x14ac:dyDescent="0.2">
      <c r="A5350" s="10" t="str">
        <f>IF(5342&gt;$C$9008,"",INDEX($B$9:$B$9008,MATCH(5342,$C$9:$C$9008,0)))</f>
        <v/>
      </c>
      <c r="B5350" s="9" t="str">
        <f>IFERROR(INDEX(Input!$L$20:$T$1019,INT((ROW()-9)/9)+1,MOD(ROW()-9,9)+1),"")</f>
        <v/>
      </c>
      <c r="C5350" s="9">
        <f t="shared" si="83"/>
        <v>0</v>
      </c>
    </row>
    <row r="5351" spans="1:3" x14ac:dyDescent="0.2">
      <c r="A5351" s="10" t="str">
        <f>IF(5343&gt;$C$9008,"",INDEX($B$9:$B$9008,MATCH(5343,$C$9:$C$9008,0)))</f>
        <v/>
      </c>
      <c r="B5351" s="9" t="str">
        <f>IFERROR(INDEX(Input!$L$20:$T$1019,INT((ROW()-9)/9)+1,MOD(ROW()-9,9)+1),"")</f>
        <v/>
      </c>
      <c r="C5351" s="9">
        <f t="shared" si="83"/>
        <v>0</v>
      </c>
    </row>
    <row r="5352" spans="1:3" x14ac:dyDescent="0.2">
      <c r="A5352" s="10" t="str">
        <f>IF(5344&gt;$C$9008,"",INDEX($B$9:$B$9008,MATCH(5344,$C$9:$C$9008,0)))</f>
        <v/>
      </c>
      <c r="B5352" s="9" t="str">
        <f>IFERROR(INDEX(Input!$L$20:$T$1019,INT((ROW()-9)/9)+1,MOD(ROW()-9,9)+1),"")</f>
        <v/>
      </c>
      <c r="C5352" s="9">
        <f t="shared" si="83"/>
        <v>0</v>
      </c>
    </row>
    <row r="5353" spans="1:3" x14ac:dyDescent="0.2">
      <c r="A5353" s="10" t="str">
        <f>IF(5345&gt;$C$9008,"",INDEX($B$9:$B$9008,MATCH(5345,$C$9:$C$9008,0)))</f>
        <v/>
      </c>
      <c r="B5353" s="9" t="str">
        <f>IFERROR(INDEX(Input!$L$20:$T$1019,INT((ROW()-9)/9)+1,MOD(ROW()-9,9)+1),"")</f>
        <v/>
      </c>
      <c r="C5353" s="9">
        <f t="shared" si="83"/>
        <v>0</v>
      </c>
    </row>
    <row r="5354" spans="1:3" x14ac:dyDescent="0.2">
      <c r="A5354" s="10" t="str">
        <f>IF(5346&gt;$C$9008,"",INDEX($B$9:$B$9008,MATCH(5346,$C$9:$C$9008,0)))</f>
        <v/>
      </c>
      <c r="B5354" s="9" t="str">
        <f>IFERROR(INDEX(Input!$L$20:$T$1019,INT((ROW()-9)/9)+1,MOD(ROW()-9,9)+1),"")</f>
        <v/>
      </c>
      <c r="C5354" s="9">
        <f t="shared" si="83"/>
        <v>0</v>
      </c>
    </row>
    <row r="5355" spans="1:3" x14ac:dyDescent="0.2">
      <c r="A5355" s="10" t="str">
        <f>IF(5347&gt;$C$9008,"",INDEX($B$9:$B$9008,MATCH(5347,$C$9:$C$9008,0)))</f>
        <v/>
      </c>
      <c r="B5355" s="9" t="str">
        <f>IFERROR(INDEX(Input!$L$20:$T$1019,INT((ROW()-9)/9)+1,MOD(ROW()-9,9)+1),"")</f>
        <v/>
      </c>
      <c r="C5355" s="9">
        <f t="shared" si="83"/>
        <v>0</v>
      </c>
    </row>
    <row r="5356" spans="1:3" x14ac:dyDescent="0.2">
      <c r="A5356" s="10" t="str">
        <f>IF(5348&gt;$C$9008,"",INDEX($B$9:$B$9008,MATCH(5348,$C$9:$C$9008,0)))</f>
        <v/>
      </c>
      <c r="B5356" s="9" t="str">
        <f>IFERROR(INDEX(Input!$L$20:$T$1019,INT((ROW()-9)/9)+1,MOD(ROW()-9,9)+1),"")</f>
        <v/>
      </c>
      <c r="C5356" s="9">
        <f t="shared" si="83"/>
        <v>0</v>
      </c>
    </row>
    <row r="5357" spans="1:3" x14ac:dyDescent="0.2">
      <c r="A5357" s="10" t="str">
        <f>IF(5349&gt;$C$9008,"",INDEX($B$9:$B$9008,MATCH(5349,$C$9:$C$9008,0)))</f>
        <v/>
      </c>
      <c r="B5357" s="9" t="str">
        <f>IFERROR(INDEX(Input!$L$20:$T$1019,INT((ROW()-9)/9)+1,MOD(ROW()-9,9)+1),"")</f>
        <v/>
      </c>
      <c r="C5357" s="9">
        <f t="shared" si="83"/>
        <v>0</v>
      </c>
    </row>
    <row r="5358" spans="1:3" x14ac:dyDescent="0.2">
      <c r="A5358" s="10" t="str">
        <f>IF(5350&gt;$C$9008,"",INDEX($B$9:$B$9008,MATCH(5350,$C$9:$C$9008,0)))</f>
        <v/>
      </c>
      <c r="B5358" s="9" t="str">
        <f>IFERROR(INDEX(Input!$L$20:$T$1019,INT((ROW()-9)/9)+1,MOD(ROW()-9,9)+1),"")</f>
        <v/>
      </c>
      <c r="C5358" s="9">
        <f t="shared" si="83"/>
        <v>0</v>
      </c>
    </row>
    <row r="5359" spans="1:3" x14ac:dyDescent="0.2">
      <c r="A5359" s="10" t="str">
        <f>IF(5351&gt;$C$9008,"",INDEX($B$9:$B$9008,MATCH(5351,$C$9:$C$9008,0)))</f>
        <v/>
      </c>
      <c r="B5359" s="9" t="str">
        <f>IFERROR(INDEX(Input!$L$20:$T$1019,INT((ROW()-9)/9)+1,MOD(ROW()-9,9)+1),"")</f>
        <v/>
      </c>
      <c r="C5359" s="9">
        <f t="shared" si="83"/>
        <v>0</v>
      </c>
    </row>
    <row r="5360" spans="1:3" x14ac:dyDescent="0.2">
      <c r="A5360" s="10" t="str">
        <f>IF(5352&gt;$C$9008,"",INDEX($B$9:$B$9008,MATCH(5352,$C$9:$C$9008,0)))</f>
        <v/>
      </c>
      <c r="B5360" s="9" t="str">
        <f>IFERROR(INDEX(Input!$L$20:$T$1019,INT((ROW()-9)/9)+1,MOD(ROW()-9,9)+1),"")</f>
        <v/>
      </c>
      <c r="C5360" s="9">
        <f t="shared" si="83"/>
        <v>0</v>
      </c>
    </row>
    <row r="5361" spans="1:3" x14ac:dyDescent="0.2">
      <c r="A5361" s="10" t="str">
        <f>IF(5353&gt;$C$9008,"",INDEX($B$9:$B$9008,MATCH(5353,$C$9:$C$9008,0)))</f>
        <v/>
      </c>
      <c r="B5361" s="9" t="str">
        <f>IFERROR(INDEX(Input!$L$20:$T$1019,INT((ROW()-9)/9)+1,MOD(ROW()-9,9)+1),"")</f>
        <v/>
      </c>
      <c r="C5361" s="9">
        <f t="shared" si="83"/>
        <v>0</v>
      </c>
    </row>
    <row r="5362" spans="1:3" x14ac:dyDescent="0.2">
      <c r="A5362" s="10" t="str">
        <f>IF(5354&gt;$C$9008,"",INDEX($B$9:$B$9008,MATCH(5354,$C$9:$C$9008,0)))</f>
        <v/>
      </c>
      <c r="B5362" s="9" t="str">
        <f>IFERROR(INDEX(Input!$L$20:$T$1019,INT((ROW()-9)/9)+1,MOD(ROW()-9,9)+1),"")</f>
        <v/>
      </c>
      <c r="C5362" s="9">
        <f t="shared" si="83"/>
        <v>0</v>
      </c>
    </row>
    <row r="5363" spans="1:3" x14ac:dyDescent="0.2">
      <c r="A5363" s="10" t="str">
        <f>IF(5355&gt;$C$9008,"",INDEX($B$9:$B$9008,MATCH(5355,$C$9:$C$9008,0)))</f>
        <v/>
      </c>
      <c r="B5363" s="9" t="str">
        <f>IFERROR(INDEX(Input!$L$20:$T$1019,INT((ROW()-9)/9)+1,MOD(ROW()-9,9)+1),"")</f>
        <v/>
      </c>
      <c r="C5363" s="9">
        <f t="shared" si="83"/>
        <v>0</v>
      </c>
    </row>
    <row r="5364" spans="1:3" x14ac:dyDescent="0.2">
      <c r="A5364" s="10" t="str">
        <f>IF(5356&gt;$C$9008,"",INDEX($B$9:$B$9008,MATCH(5356,$C$9:$C$9008,0)))</f>
        <v/>
      </c>
      <c r="B5364" s="9" t="str">
        <f>IFERROR(INDEX(Input!$L$20:$T$1019,INT((ROW()-9)/9)+1,MOD(ROW()-9,9)+1),"")</f>
        <v/>
      </c>
      <c r="C5364" s="9">
        <f t="shared" si="83"/>
        <v>0</v>
      </c>
    </row>
    <row r="5365" spans="1:3" x14ac:dyDescent="0.2">
      <c r="A5365" s="10" t="str">
        <f>IF(5357&gt;$C$9008,"",INDEX($B$9:$B$9008,MATCH(5357,$C$9:$C$9008,0)))</f>
        <v/>
      </c>
      <c r="B5365" s="9" t="str">
        <f>IFERROR(INDEX(Input!$L$20:$T$1019,INT((ROW()-9)/9)+1,MOD(ROW()-9,9)+1),"")</f>
        <v/>
      </c>
      <c r="C5365" s="9">
        <f t="shared" si="83"/>
        <v>0</v>
      </c>
    </row>
    <row r="5366" spans="1:3" x14ac:dyDescent="0.2">
      <c r="A5366" s="10" t="str">
        <f>IF(5358&gt;$C$9008,"",INDEX($B$9:$B$9008,MATCH(5358,$C$9:$C$9008,0)))</f>
        <v/>
      </c>
      <c r="B5366" s="9" t="str">
        <f>IFERROR(INDEX(Input!$L$20:$T$1019,INT((ROW()-9)/9)+1,MOD(ROW()-9,9)+1),"")</f>
        <v/>
      </c>
      <c r="C5366" s="9">
        <f t="shared" si="83"/>
        <v>0</v>
      </c>
    </row>
    <row r="5367" spans="1:3" x14ac:dyDescent="0.2">
      <c r="A5367" s="10" t="str">
        <f>IF(5359&gt;$C$9008,"",INDEX($B$9:$B$9008,MATCH(5359,$C$9:$C$9008,0)))</f>
        <v/>
      </c>
      <c r="B5367" s="9" t="str">
        <f>IFERROR(INDEX(Input!$L$20:$T$1019,INT((ROW()-9)/9)+1,MOD(ROW()-9,9)+1),"")</f>
        <v/>
      </c>
      <c r="C5367" s="9">
        <f t="shared" si="83"/>
        <v>0</v>
      </c>
    </row>
    <row r="5368" spans="1:3" x14ac:dyDescent="0.2">
      <c r="A5368" s="10" t="str">
        <f>IF(5360&gt;$C$9008,"",INDEX($B$9:$B$9008,MATCH(5360,$C$9:$C$9008,0)))</f>
        <v/>
      </c>
      <c r="B5368" s="9" t="str">
        <f>IFERROR(INDEX(Input!$L$20:$T$1019,INT((ROW()-9)/9)+1,MOD(ROW()-9,9)+1),"")</f>
        <v/>
      </c>
      <c r="C5368" s="9">
        <f t="shared" si="83"/>
        <v>0</v>
      </c>
    </row>
    <row r="5369" spans="1:3" x14ac:dyDescent="0.2">
      <c r="A5369" s="10" t="str">
        <f>IF(5361&gt;$C$9008,"",INDEX($B$9:$B$9008,MATCH(5361,$C$9:$C$9008,0)))</f>
        <v/>
      </c>
      <c r="B5369" s="9" t="str">
        <f>IFERROR(INDEX(Input!$L$20:$T$1019,INT((ROW()-9)/9)+1,MOD(ROW()-9,9)+1),"")</f>
        <v/>
      </c>
      <c r="C5369" s="9">
        <f t="shared" si="83"/>
        <v>0</v>
      </c>
    </row>
    <row r="5370" spans="1:3" x14ac:dyDescent="0.2">
      <c r="A5370" s="10" t="str">
        <f>IF(5362&gt;$C$9008,"",INDEX($B$9:$B$9008,MATCH(5362,$C$9:$C$9008,0)))</f>
        <v/>
      </c>
      <c r="B5370" s="9" t="str">
        <f>IFERROR(INDEX(Input!$L$20:$T$1019,INT((ROW()-9)/9)+1,MOD(ROW()-9,9)+1),"")</f>
        <v/>
      </c>
      <c r="C5370" s="9">
        <f t="shared" si="83"/>
        <v>0</v>
      </c>
    </row>
    <row r="5371" spans="1:3" x14ac:dyDescent="0.2">
      <c r="A5371" s="10" t="str">
        <f>IF(5363&gt;$C$9008,"",INDEX($B$9:$B$9008,MATCH(5363,$C$9:$C$9008,0)))</f>
        <v/>
      </c>
      <c r="B5371" s="9" t="str">
        <f>IFERROR(INDEX(Input!$L$20:$T$1019,INT((ROW()-9)/9)+1,MOD(ROW()-9,9)+1),"")</f>
        <v/>
      </c>
      <c r="C5371" s="9">
        <f t="shared" si="83"/>
        <v>0</v>
      </c>
    </row>
    <row r="5372" spans="1:3" x14ac:dyDescent="0.2">
      <c r="A5372" s="10" t="str">
        <f>IF(5364&gt;$C$9008,"",INDEX($B$9:$B$9008,MATCH(5364,$C$9:$C$9008,0)))</f>
        <v/>
      </c>
      <c r="B5372" s="9" t="str">
        <f>IFERROR(INDEX(Input!$L$20:$T$1019,INT((ROW()-9)/9)+1,MOD(ROW()-9,9)+1),"")</f>
        <v/>
      </c>
      <c r="C5372" s="9">
        <f t="shared" si="83"/>
        <v>0</v>
      </c>
    </row>
    <row r="5373" spans="1:3" x14ac:dyDescent="0.2">
      <c r="A5373" s="10" t="str">
        <f>IF(5365&gt;$C$9008,"",INDEX($B$9:$B$9008,MATCH(5365,$C$9:$C$9008,0)))</f>
        <v/>
      </c>
      <c r="B5373" s="9" t="str">
        <f>IFERROR(INDEX(Input!$L$20:$T$1019,INT((ROW()-9)/9)+1,MOD(ROW()-9,9)+1),"")</f>
        <v/>
      </c>
      <c r="C5373" s="9">
        <f t="shared" si="83"/>
        <v>0</v>
      </c>
    </row>
    <row r="5374" spans="1:3" x14ac:dyDescent="0.2">
      <c r="A5374" s="10" t="str">
        <f>IF(5366&gt;$C$9008,"",INDEX($B$9:$B$9008,MATCH(5366,$C$9:$C$9008,0)))</f>
        <v/>
      </c>
      <c r="B5374" s="9" t="str">
        <f>IFERROR(INDEX(Input!$L$20:$T$1019,INT((ROW()-9)/9)+1,MOD(ROW()-9,9)+1),"")</f>
        <v/>
      </c>
      <c r="C5374" s="9">
        <f t="shared" si="83"/>
        <v>0</v>
      </c>
    </row>
    <row r="5375" spans="1:3" x14ac:dyDescent="0.2">
      <c r="A5375" s="10" t="str">
        <f>IF(5367&gt;$C$9008,"",INDEX($B$9:$B$9008,MATCH(5367,$C$9:$C$9008,0)))</f>
        <v/>
      </c>
      <c r="B5375" s="9" t="str">
        <f>IFERROR(INDEX(Input!$L$20:$T$1019,INT((ROW()-9)/9)+1,MOD(ROW()-9,9)+1),"")</f>
        <v/>
      </c>
      <c r="C5375" s="9">
        <f t="shared" si="83"/>
        <v>0</v>
      </c>
    </row>
    <row r="5376" spans="1:3" x14ac:dyDescent="0.2">
      <c r="A5376" s="10" t="str">
        <f>IF(5368&gt;$C$9008,"",INDEX($B$9:$B$9008,MATCH(5368,$C$9:$C$9008,0)))</f>
        <v/>
      </c>
      <c r="B5376" s="9" t="str">
        <f>IFERROR(INDEX(Input!$L$20:$T$1019,INT((ROW()-9)/9)+1,MOD(ROW()-9,9)+1),"")</f>
        <v/>
      </c>
      <c r="C5376" s="9">
        <f t="shared" si="83"/>
        <v>0</v>
      </c>
    </row>
    <row r="5377" spans="1:3" x14ac:dyDescent="0.2">
      <c r="A5377" s="10" t="str">
        <f>IF(5369&gt;$C$9008,"",INDEX($B$9:$B$9008,MATCH(5369,$C$9:$C$9008,0)))</f>
        <v/>
      </c>
      <c r="B5377" s="9" t="str">
        <f>IFERROR(INDEX(Input!$L$20:$T$1019,INT((ROW()-9)/9)+1,MOD(ROW()-9,9)+1),"")</f>
        <v/>
      </c>
      <c r="C5377" s="9">
        <f t="shared" si="83"/>
        <v>0</v>
      </c>
    </row>
    <row r="5378" spans="1:3" x14ac:dyDescent="0.2">
      <c r="A5378" s="10" t="str">
        <f>IF(5370&gt;$C$9008,"",INDEX($B$9:$B$9008,MATCH(5370,$C$9:$C$9008,0)))</f>
        <v/>
      </c>
      <c r="B5378" s="9" t="str">
        <f>IFERROR(INDEX(Input!$L$20:$T$1019,INT((ROW()-9)/9)+1,MOD(ROW()-9,9)+1),"")</f>
        <v/>
      </c>
      <c r="C5378" s="9">
        <f t="shared" si="83"/>
        <v>0</v>
      </c>
    </row>
    <row r="5379" spans="1:3" x14ac:dyDescent="0.2">
      <c r="A5379" s="10" t="str">
        <f>IF(5371&gt;$C$9008,"",INDEX($B$9:$B$9008,MATCH(5371,$C$9:$C$9008,0)))</f>
        <v/>
      </c>
      <c r="B5379" s="9" t="str">
        <f>IFERROR(INDEX(Input!$L$20:$T$1019,INT((ROW()-9)/9)+1,MOD(ROW()-9,9)+1),"")</f>
        <v/>
      </c>
      <c r="C5379" s="9">
        <f t="shared" si="83"/>
        <v>0</v>
      </c>
    </row>
    <row r="5380" spans="1:3" x14ac:dyDescent="0.2">
      <c r="A5380" s="10" t="str">
        <f>IF(5372&gt;$C$9008,"",INDEX($B$9:$B$9008,MATCH(5372,$C$9:$C$9008,0)))</f>
        <v/>
      </c>
      <c r="B5380" s="9" t="str">
        <f>IFERROR(INDEX(Input!$L$20:$T$1019,INT((ROW()-9)/9)+1,MOD(ROW()-9,9)+1),"")</f>
        <v/>
      </c>
      <c r="C5380" s="9">
        <f t="shared" si="83"/>
        <v>0</v>
      </c>
    </row>
    <row r="5381" spans="1:3" x14ac:dyDescent="0.2">
      <c r="A5381" s="10" t="str">
        <f>IF(5373&gt;$C$9008,"",INDEX($B$9:$B$9008,MATCH(5373,$C$9:$C$9008,0)))</f>
        <v/>
      </c>
      <c r="B5381" s="9" t="str">
        <f>IFERROR(INDEX(Input!$L$20:$T$1019,INT((ROW()-9)/9)+1,MOD(ROW()-9,9)+1),"")</f>
        <v/>
      </c>
      <c r="C5381" s="9">
        <f t="shared" si="83"/>
        <v>0</v>
      </c>
    </row>
    <row r="5382" spans="1:3" x14ac:dyDescent="0.2">
      <c r="A5382" s="10" t="str">
        <f>IF(5374&gt;$C$9008,"",INDEX($B$9:$B$9008,MATCH(5374,$C$9:$C$9008,0)))</f>
        <v/>
      </c>
      <c r="B5382" s="9" t="str">
        <f>IFERROR(INDEX(Input!$L$20:$T$1019,INT((ROW()-9)/9)+1,MOD(ROW()-9,9)+1),"")</f>
        <v/>
      </c>
      <c r="C5382" s="9">
        <f t="shared" si="83"/>
        <v>0</v>
      </c>
    </row>
    <row r="5383" spans="1:3" x14ac:dyDescent="0.2">
      <c r="A5383" s="10" t="str">
        <f>IF(5375&gt;$C$9008,"",INDEX($B$9:$B$9008,MATCH(5375,$C$9:$C$9008,0)))</f>
        <v/>
      </c>
      <c r="B5383" s="9" t="str">
        <f>IFERROR(INDEX(Input!$L$20:$T$1019,INT((ROW()-9)/9)+1,MOD(ROW()-9,9)+1),"")</f>
        <v/>
      </c>
      <c r="C5383" s="9">
        <f t="shared" si="83"/>
        <v>0</v>
      </c>
    </row>
    <row r="5384" spans="1:3" x14ac:dyDescent="0.2">
      <c r="A5384" s="10" t="str">
        <f>IF(5376&gt;$C$9008,"",INDEX($B$9:$B$9008,MATCH(5376,$C$9:$C$9008,0)))</f>
        <v/>
      </c>
      <c r="B5384" s="9" t="str">
        <f>IFERROR(INDEX(Input!$L$20:$T$1019,INT((ROW()-9)/9)+1,MOD(ROW()-9,9)+1),"")</f>
        <v/>
      </c>
      <c r="C5384" s="9">
        <f t="shared" si="83"/>
        <v>0</v>
      </c>
    </row>
    <row r="5385" spans="1:3" x14ac:dyDescent="0.2">
      <c r="A5385" s="10" t="str">
        <f>IF(5377&gt;$C$9008,"",INDEX($B$9:$B$9008,MATCH(5377,$C$9:$C$9008,0)))</f>
        <v/>
      </c>
      <c r="B5385" s="9" t="str">
        <f>IFERROR(INDEX(Input!$L$20:$T$1019,INT((ROW()-9)/9)+1,MOD(ROW()-9,9)+1),"")</f>
        <v/>
      </c>
      <c r="C5385" s="9">
        <f t="shared" ref="C5385:C5448" si="84">$C5384+IF($B5385&lt;&gt;"",1,0)</f>
        <v>0</v>
      </c>
    </row>
    <row r="5386" spans="1:3" x14ac:dyDescent="0.2">
      <c r="A5386" s="10" t="str">
        <f>IF(5378&gt;$C$9008,"",INDEX($B$9:$B$9008,MATCH(5378,$C$9:$C$9008,0)))</f>
        <v/>
      </c>
      <c r="B5386" s="9" t="str">
        <f>IFERROR(INDEX(Input!$L$20:$T$1019,INT((ROW()-9)/9)+1,MOD(ROW()-9,9)+1),"")</f>
        <v/>
      </c>
      <c r="C5386" s="9">
        <f t="shared" si="84"/>
        <v>0</v>
      </c>
    </row>
    <row r="5387" spans="1:3" x14ac:dyDescent="0.2">
      <c r="A5387" s="10" t="str">
        <f>IF(5379&gt;$C$9008,"",INDEX($B$9:$B$9008,MATCH(5379,$C$9:$C$9008,0)))</f>
        <v/>
      </c>
      <c r="B5387" s="9" t="str">
        <f>IFERROR(INDEX(Input!$L$20:$T$1019,INT((ROW()-9)/9)+1,MOD(ROW()-9,9)+1),"")</f>
        <v/>
      </c>
      <c r="C5387" s="9">
        <f t="shared" si="84"/>
        <v>0</v>
      </c>
    </row>
    <row r="5388" spans="1:3" x14ac:dyDescent="0.2">
      <c r="A5388" s="10" t="str">
        <f>IF(5380&gt;$C$9008,"",INDEX($B$9:$B$9008,MATCH(5380,$C$9:$C$9008,0)))</f>
        <v/>
      </c>
      <c r="B5388" s="9" t="str">
        <f>IFERROR(INDEX(Input!$L$20:$T$1019,INT((ROW()-9)/9)+1,MOD(ROW()-9,9)+1),"")</f>
        <v/>
      </c>
      <c r="C5388" s="9">
        <f t="shared" si="84"/>
        <v>0</v>
      </c>
    </row>
    <row r="5389" spans="1:3" x14ac:dyDescent="0.2">
      <c r="A5389" s="10" t="str">
        <f>IF(5381&gt;$C$9008,"",INDEX($B$9:$B$9008,MATCH(5381,$C$9:$C$9008,0)))</f>
        <v/>
      </c>
      <c r="B5389" s="9" t="str">
        <f>IFERROR(INDEX(Input!$L$20:$T$1019,INT((ROW()-9)/9)+1,MOD(ROW()-9,9)+1),"")</f>
        <v/>
      </c>
      <c r="C5389" s="9">
        <f t="shared" si="84"/>
        <v>0</v>
      </c>
    </row>
    <row r="5390" spans="1:3" x14ac:dyDescent="0.2">
      <c r="A5390" s="10" t="str">
        <f>IF(5382&gt;$C$9008,"",INDEX($B$9:$B$9008,MATCH(5382,$C$9:$C$9008,0)))</f>
        <v/>
      </c>
      <c r="B5390" s="9" t="str">
        <f>IFERROR(INDEX(Input!$L$20:$T$1019,INT((ROW()-9)/9)+1,MOD(ROW()-9,9)+1),"")</f>
        <v/>
      </c>
      <c r="C5390" s="9">
        <f t="shared" si="84"/>
        <v>0</v>
      </c>
    </row>
    <row r="5391" spans="1:3" x14ac:dyDescent="0.2">
      <c r="A5391" s="10" t="str">
        <f>IF(5383&gt;$C$9008,"",INDEX($B$9:$B$9008,MATCH(5383,$C$9:$C$9008,0)))</f>
        <v/>
      </c>
      <c r="B5391" s="9" t="str">
        <f>IFERROR(INDEX(Input!$L$20:$T$1019,INT((ROW()-9)/9)+1,MOD(ROW()-9,9)+1),"")</f>
        <v/>
      </c>
      <c r="C5391" s="9">
        <f t="shared" si="84"/>
        <v>0</v>
      </c>
    </row>
    <row r="5392" spans="1:3" x14ac:dyDescent="0.2">
      <c r="A5392" s="10" t="str">
        <f>IF(5384&gt;$C$9008,"",INDEX($B$9:$B$9008,MATCH(5384,$C$9:$C$9008,0)))</f>
        <v/>
      </c>
      <c r="B5392" s="9" t="str">
        <f>IFERROR(INDEX(Input!$L$20:$T$1019,INT((ROW()-9)/9)+1,MOD(ROW()-9,9)+1),"")</f>
        <v/>
      </c>
      <c r="C5392" s="9">
        <f t="shared" si="84"/>
        <v>0</v>
      </c>
    </row>
    <row r="5393" spans="1:3" x14ac:dyDescent="0.2">
      <c r="A5393" s="10" t="str">
        <f>IF(5385&gt;$C$9008,"",INDEX($B$9:$B$9008,MATCH(5385,$C$9:$C$9008,0)))</f>
        <v/>
      </c>
      <c r="B5393" s="9" t="str">
        <f>IFERROR(INDEX(Input!$L$20:$T$1019,INT((ROW()-9)/9)+1,MOD(ROW()-9,9)+1),"")</f>
        <v/>
      </c>
      <c r="C5393" s="9">
        <f t="shared" si="84"/>
        <v>0</v>
      </c>
    </row>
    <row r="5394" spans="1:3" x14ac:dyDescent="0.2">
      <c r="A5394" s="10" t="str">
        <f>IF(5386&gt;$C$9008,"",INDEX($B$9:$B$9008,MATCH(5386,$C$9:$C$9008,0)))</f>
        <v/>
      </c>
      <c r="B5394" s="9" t="str">
        <f>IFERROR(INDEX(Input!$L$20:$T$1019,INT((ROW()-9)/9)+1,MOD(ROW()-9,9)+1),"")</f>
        <v/>
      </c>
      <c r="C5394" s="9">
        <f t="shared" si="84"/>
        <v>0</v>
      </c>
    </row>
    <row r="5395" spans="1:3" x14ac:dyDescent="0.2">
      <c r="A5395" s="10" t="str">
        <f>IF(5387&gt;$C$9008,"",INDEX($B$9:$B$9008,MATCH(5387,$C$9:$C$9008,0)))</f>
        <v/>
      </c>
      <c r="B5395" s="9" t="str">
        <f>IFERROR(INDEX(Input!$L$20:$T$1019,INT((ROW()-9)/9)+1,MOD(ROW()-9,9)+1),"")</f>
        <v/>
      </c>
      <c r="C5395" s="9">
        <f t="shared" si="84"/>
        <v>0</v>
      </c>
    </row>
    <row r="5396" spans="1:3" x14ac:dyDescent="0.2">
      <c r="A5396" s="10" t="str">
        <f>IF(5388&gt;$C$9008,"",INDEX($B$9:$B$9008,MATCH(5388,$C$9:$C$9008,0)))</f>
        <v/>
      </c>
      <c r="B5396" s="9" t="str">
        <f>IFERROR(INDEX(Input!$L$20:$T$1019,INT((ROW()-9)/9)+1,MOD(ROW()-9,9)+1),"")</f>
        <v/>
      </c>
      <c r="C5396" s="9">
        <f t="shared" si="84"/>
        <v>0</v>
      </c>
    </row>
    <row r="5397" spans="1:3" x14ac:dyDescent="0.2">
      <c r="A5397" s="10" t="str">
        <f>IF(5389&gt;$C$9008,"",INDEX($B$9:$B$9008,MATCH(5389,$C$9:$C$9008,0)))</f>
        <v/>
      </c>
      <c r="B5397" s="9" t="str">
        <f>IFERROR(INDEX(Input!$L$20:$T$1019,INT((ROW()-9)/9)+1,MOD(ROW()-9,9)+1),"")</f>
        <v/>
      </c>
      <c r="C5397" s="9">
        <f t="shared" si="84"/>
        <v>0</v>
      </c>
    </row>
    <row r="5398" spans="1:3" x14ac:dyDescent="0.2">
      <c r="A5398" s="10" t="str">
        <f>IF(5390&gt;$C$9008,"",INDEX($B$9:$B$9008,MATCH(5390,$C$9:$C$9008,0)))</f>
        <v/>
      </c>
      <c r="B5398" s="9" t="str">
        <f>IFERROR(INDEX(Input!$L$20:$T$1019,INT((ROW()-9)/9)+1,MOD(ROW()-9,9)+1),"")</f>
        <v/>
      </c>
      <c r="C5398" s="9">
        <f t="shared" si="84"/>
        <v>0</v>
      </c>
    </row>
    <row r="5399" spans="1:3" x14ac:dyDescent="0.2">
      <c r="A5399" s="10" t="str">
        <f>IF(5391&gt;$C$9008,"",INDEX($B$9:$B$9008,MATCH(5391,$C$9:$C$9008,0)))</f>
        <v/>
      </c>
      <c r="B5399" s="9" t="str">
        <f>IFERROR(INDEX(Input!$L$20:$T$1019,INT((ROW()-9)/9)+1,MOD(ROW()-9,9)+1),"")</f>
        <v/>
      </c>
      <c r="C5399" s="9">
        <f t="shared" si="84"/>
        <v>0</v>
      </c>
    </row>
    <row r="5400" spans="1:3" x14ac:dyDescent="0.2">
      <c r="A5400" s="10" t="str">
        <f>IF(5392&gt;$C$9008,"",INDEX($B$9:$B$9008,MATCH(5392,$C$9:$C$9008,0)))</f>
        <v/>
      </c>
      <c r="B5400" s="9" t="str">
        <f>IFERROR(INDEX(Input!$L$20:$T$1019,INT((ROW()-9)/9)+1,MOD(ROW()-9,9)+1),"")</f>
        <v/>
      </c>
      <c r="C5400" s="9">
        <f t="shared" si="84"/>
        <v>0</v>
      </c>
    </row>
    <row r="5401" spans="1:3" x14ac:dyDescent="0.2">
      <c r="A5401" s="10" t="str">
        <f>IF(5393&gt;$C$9008,"",INDEX($B$9:$B$9008,MATCH(5393,$C$9:$C$9008,0)))</f>
        <v/>
      </c>
      <c r="B5401" s="9" t="str">
        <f>IFERROR(INDEX(Input!$L$20:$T$1019,INT((ROW()-9)/9)+1,MOD(ROW()-9,9)+1),"")</f>
        <v/>
      </c>
      <c r="C5401" s="9">
        <f t="shared" si="84"/>
        <v>0</v>
      </c>
    </row>
    <row r="5402" spans="1:3" x14ac:dyDescent="0.2">
      <c r="A5402" s="10" t="str">
        <f>IF(5394&gt;$C$9008,"",INDEX($B$9:$B$9008,MATCH(5394,$C$9:$C$9008,0)))</f>
        <v/>
      </c>
      <c r="B5402" s="9" t="str">
        <f>IFERROR(INDEX(Input!$L$20:$T$1019,INT((ROW()-9)/9)+1,MOD(ROW()-9,9)+1),"")</f>
        <v/>
      </c>
      <c r="C5402" s="9">
        <f t="shared" si="84"/>
        <v>0</v>
      </c>
    </row>
    <row r="5403" spans="1:3" x14ac:dyDescent="0.2">
      <c r="A5403" s="10" t="str">
        <f>IF(5395&gt;$C$9008,"",INDEX($B$9:$B$9008,MATCH(5395,$C$9:$C$9008,0)))</f>
        <v/>
      </c>
      <c r="B5403" s="9" t="str">
        <f>IFERROR(INDEX(Input!$L$20:$T$1019,INT((ROW()-9)/9)+1,MOD(ROW()-9,9)+1),"")</f>
        <v/>
      </c>
      <c r="C5403" s="9">
        <f t="shared" si="84"/>
        <v>0</v>
      </c>
    </row>
    <row r="5404" spans="1:3" x14ac:dyDescent="0.2">
      <c r="A5404" s="10" t="str">
        <f>IF(5396&gt;$C$9008,"",INDEX($B$9:$B$9008,MATCH(5396,$C$9:$C$9008,0)))</f>
        <v/>
      </c>
      <c r="B5404" s="9" t="str">
        <f>IFERROR(INDEX(Input!$L$20:$T$1019,INT((ROW()-9)/9)+1,MOD(ROW()-9,9)+1),"")</f>
        <v/>
      </c>
      <c r="C5404" s="9">
        <f t="shared" si="84"/>
        <v>0</v>
      </c>
    </row>
    <row r="5405" spans="1:3" x14ac:dyDescent="0.2">
      <c r="A5405" s="10" t="str">
        <f>IF(5397&gt;$C$9008,"",INDEX($B$9:$B$9008,MATCH(5397,$C$9:$C$9008,0)))</f>
        <v/>
      </c>
      <c r="B5405" s="9" t="str">
        <f>IFERROR(INDEX(Input!$L$20:$T$1019,INT((ROW()-9)/9)+1,MOD(ROW()-9,9)+1),"")</f>
        <v/>
      </c>
      <c r="C5405" s="9">
        <f t="shared" si="84"/>
        <v>0</v>
      </c>
    </row>
    <row r="5406" spans="1:3" x14ac:dyDescent="0.2">
      <c r="A5406" s="10" t="str">
        <f>IF(5398&gt;$C$9008,"",INDEX($B$9:$B$9008,MATCH(5398,$C$9:$C$9008,0)))</f>
        <v/>
      </c>
      <c r="B5406" s="9" t="str">
        <f>IFERROR(INDEX(Input!$L$20:$T$1019,INT((ROW()-9)/9)+1,MOD(ROW()-9,9)+1),"")</f>
        <v/>
      </c>
      <c r="C5406" s="9">
        <f t="shared" si="84"/>
        <v>0</v>
      </c>
    </row>
    <row r="5407" spans="1:3" x14ac:dyDescent="0.2">
      <c r="A5407" s="10" t="str">
        <f>IF(5399&gt;$C$9008,"",INDEX($B$9:$B$9008,MATCH(5399,$C$9:$C$9008,0)))</f>
        <v/>
      </c>
      <c r="B5407" s="9" t="str">
        <f>IFERROR(INDEX(Input!$L$20:$T$1019,INT((ROW()-9)/9)+1,MOD(ROW()-9,9)+1),"")</f>
        <v/>
      </c>
      <c r="C5407" s="9">
        <f t="shared" si="84"/>
        <v>0</v>
      </c>
    </row>
    <row r="5408" spans="1:3" x14ac:dyDescent="0.2">
      <c r="A5408" s="10" t="str">
        <f>IF(5400&gt;$C$9008,"",INDEX($B$9:$B$9008,MATCH(5400,$C$9:$C$9008,0)))</f>
        <v/>
      </c>
      <c r="B5408" s="9" t="str">
        <f>IFERROR(INDEX(Input!$L$20:$T$1019,INT((ROW()-9)/9)+1,MOD(ROW()-9,9)+1),"")</f>
        <v/>
      </c>
      <c r="C5408" s="9">
        <f t="shared" si="84"/>
        <v>0</v>
      </c>
    </row>
    <row r="5409" spans="1:3" x14ac:dyDescent="0.2">
      <c r="A5409" s="10" t="str">
        <f>IF(5401&gt;$C$9008,"",INDEX($B$9:$B$9008,MATCH(5401,$C$9:$C$9008,0)))</f>
        <v/>
      </c>
      <c r="B5409" s="9" t="str">
        <f>IFERROR(INDEX(Input!$L$20:$T$1019,INT((ROW()-9)/9)+1,MOD(ROW()-9,9)+1),"")</f>
        <v/>
      </c>
      <c r="C5409" s="9">
        <f t="shared" si="84"/>
        <v>0</v>
      </c>
    </row>
    <row r="5410" spans="1:3" x14ac:dyDescent="0.2">
      <c r="A5410" s="10" t="str">
        <f>IF(5402&gt;$C$9008,"",INDEX($B$9:$B$9008,MATCH(5402,$C$9:$C$9008,0)))</f>
        <v/>
      </c>
      <c r="B5410" s="9" t="str">
        <f>IFERROR(INDEX(Input!$L$20:$T$1019,INT((ROW()-9)/9)+1,MOD(ROW()-9,9)+1),"")</f>
        <v/>
      </c>
      <c r="C5410" s="9">
        <f t="shared" si="84"/>
        <v>0</v>
      </c>
    </row>
    <row r="5411" spans="1:3" x14ac:dyDescent="0.2">
      <c r="A5411" s="10" t="str">
        <f>IF(5403&gt;$C$9008,"",INDEX($B$9:$B$9008,MATCH(5403,$C$9:$C$9008,0)))</f>
        <v/>
      </c>
      <c r="B5411" s="9" t="str">
        <f>IFERROR(INDEX(Input!$L$20:$T$1019,INT((ROW()-9)/9)+1,MOD(ROW()-9,9)+1),"")</f>
        <v/>
      </c>
      <c r="C5411" s="9">
        <f t="shared" si="84"/>
        <v>0</v>
      </c>
    </row>
    <row r="5412" spans="1:3" x14ac:dyDescent="0.2">
      <c r="A5412" s="10" t="str">
        <f>IF(5404&gt;$C$9008,"",INDEX($B$9:$B$9008,MATCH(5404,$C$9:$C$9008,0)))</f>
        <v/>
      </c>
      <c r="B5412" s="9" t="str">
        <f>IFERROR(INDEX(Input!$L$20:$T$1019,INT((ROW()-9)/9)+1,MOD(ROW()-9,9)+1),"")</f>
        <v/>
      </c>
      <c r="C5412" s="9">
        <f t="shared" si="84"/>
        <v>0</v>
      </c>
    </row>
    <row r="5413" spans="1:3" x14ac:dyDescent="0.2">
      <c r="A5413" s="10" t="str">
        <f>IF(5405&gt;$C$9008,"",INDEX($B$9:$B$9008,MATCH(5405,$C$9:$C$9008,0)))</f>
        <v/>
      </c>
      <c r="B5413" s="9" t="str">
        <f>IFERROR(INDEX(Input!$L$20:$T$1019,INT((ROW()-9)/9)+1,MOD(ROW()-9,9)+1),"")</f>
        <v/>
      </c>
      <c r="C5413" s="9">
        <f t="shared" si="84"/>
        <v>0</v>
      </c>
    </row>
    <row r="5414" spans="1:3" x14ac:dyDescent="0.2">
      <c r="A5414" s="10" t="str">
        <f>IF(5406&gt;$C$9008,"",INDEX($B$9:$B$9008,MATCH(5406,$C$9:$C$9008,0)))</f>
        <v/>
      </c>
      <c r="B5414" s="9" t="str">
        <f>IFERROR(INDEX(Input!$L$20:$T$1019,INT((ROW()-9)/9)+1,MOD(ROW()-9,9)+1),"")</f>
        <v/>
      </c>
      <c r="C5414" s="9">
        <f t="shared" si="84"/>
        <v>0</v>
      </c>
    </row>
    <row r="5415" spans="1:3" x14ac:dyDescent="0.2">
      <c r="A5415" s="10" t="str">
        <f>IF(5407&gt;$C$9008,"",INDEX($B$9:$B$9008,MATCH(5407,$C$9:$C$9008,0)))</f>
        <v/>
      </c>
      <c r="B5415" s="9" t="str">
        <f>IFERROR(INDEX(Input!$L$20:$T$1019,INT((ROW()-9)/9)+1,MOD(ROW()-9,9)+1),"")</f>
        <v/>
      </c>
      <c r="C5415" s="9">
        <f t="shared" si="84"/>
        <v>0</v>
      </c>
    </row>
    <row r="5416" spans="1:3" x14ac:dyDescent="0.2">
      <c r="A5416" s="10" t="str">
        <f>IF(5408&gt;$C$9008,"",INDEX($B$9:$B$9008,MATCH(5408,$C$9:$C$9008,0)))</f>
        <v/>
      </c>
      <c r="B5416" s="9" t="str">
        <f>IFERROR(INDEX(Input!$L$20:$T$1019,INT((ROW()-9)/9)+1,MOD(ROW()-9,9)+1),"")</f>
        <v/>
      </c>
      <c r="C5416" s="9">
        <f t="shared" si="84"/>
        <v>0</v>
      </c>
    </row>
    <row r="5417" spans="1:3" x14ac:dyDescent="0.2">
      <c r="A5417" s="10" t="str">
        <f>IF(5409&gt;$C$9008,"",INDEX($B$9:$B$9008,MATCH(5409,$C$9:$C$9008,0)))</f>
        <v/>
      </c>
      <c r="B5417" s="9" t="str">
        <f>IFERROR(INDEX(Input!$L$20:$T$1019,INT((ROW()-9)/9)+1,MOD(ROW()-9,9)+1),"")</f>
        <v/>
      </c>
      <c r="C5417" s="9">
        <f t="shared" si="84"/>
        <v>0</v>
      </c>
    </row>
    <row r="5418" spans="1:3" x14ac:dyDescent="0.2">
      <c r="A5418" s="10" t="str">
        <f>IF(5410&gt;$C$9008,"",INDEX($B$9:$B$9008,MATCH(5410,$C$9:$C$9008,0)))</f>
        <v/>
      </c>
      <c r="B5418" s="9" t="str">
        <f>IFERROR(INDEX(Input!$L$20:$T$1019,INT((ROW()-9)/9)+1,MOD(ROW()-9,9)+1),"")</f>
        <v/>
      </c>
      <c r="C5418" s="9">
        <f t="shared" si="84"/>
        <v>0</v>
      </c>
    </row>
    <row r="5419" spans="1:3" x14ac:dyDescent="0.2">
      <c r="A5419" s="10" t="str">
        <f>IF(5411&gt;$C$9008,"",INDEX($B$9:$B$9008,MATCH(5411,$C$9:$C$9008,0)))</f>
        <v/>
      </c>
      <c r="B5419" s="9" t="str">
        <f>IFERROR(INDEX(Input!$L$20:$T$1019,INT((ROW()-9)/9)+1,MOD(ROW()-9,9)+1),"")</f>
        <v/>
      </c>
      <c r="C5419" s="9">
        <f t="shared" si="84"/>
        <v>0</v>
      </c>
    </row>
    <row r="5420" spans="1:3" x14ac:dyDescent="0.2">
      <c r="A5420" s="10" t="str">
        <f>IF(5412&gt;$C$9008,"",INDEX($B$9:$B$9008,MATCH(5412,$C$9:$C$9008,0)))</f>
        <v/>
      </c>
      <c r="B5420" s="9" t="str">
        <f>IFERROR(INDEX(Input!$L$20:$T$1019,INT((ROW()-9)/9)+1,MOD(ROW()-9,9)+1),"")</f>
        <v/>
      </c>
      <c r="C5420" s="9">
        <f t="shared" si="84"/>
        <v>0</v>
      </c>
    </row>
    <row r="5421" spans="1:3" x14ac:dyDescent="0.2">
      <c r="A5421" s="10" t="str">
        <f>IF(5413&gt;$C$9008,"",INDEX($B$9:$B$9008,MATCH(5413,$C$9:$C$9008,0)))</f>
        <v/>
      </c>
      <c r="B5421" s="9" t="str">
        <f>IFERROR(INDEX(Input!$L$20:$T$1019,INT((ROW()-9)/9)+1,MOD(ROW()-9,9)+1),"")</f>
        <v/>
      </c>
      <c r="C5421" s="9">
        <f t="shared" si="84"/>
        <v>0</v>
      </c>
    </row>
    <row r="5422" spans="1:3" x14ac:dyDescent="0.2">
      <c r="A5422" s="10" t="str">
        <f>IF(5414&gt;$C$9008,"",INDEX($B$9:$B$9008,MATCH(5414,$C$9:$C$9008,0)))</f>
        <v/>
      </c>
      <c r="B5422" s="9" t="str">
        <f>IFERROR(INDEX(Input!$L$20:$T$1019,INT((ROW()-9)/9)+1,MOD(ROW()-9,9)+1),"")</f>
        <v/>
      </c>
      <c r="C5422" s="9">
        <f t="shared" si="84"/>
        <v>0</v>
      </c>
    </row>
    <row r="5423" spans="1:3" x14ac:dyDescent="0.2">
      <c r="A5423" s="10" t="str">
        <f>IF(5415&gt;$C$9008,"",INDEX($B$9:$B$9008,MATCH(5415,$C$9:$C$9008,0)))</f>
        <v/>
      </c>
      <c r="B5423" s="9" t="str">
        <f>IFERROR(INDEX(Input!$L$20:$T$1019,INT((ROW()-9)/9)+1,MOD(ROW()-9,9)+1),"")</f>
        <v/>
      </c>
      <c r="C5423" s="9">
        <f t="shared" si="84"/>
        <v>0</v>
      </c>
    </row>
    <row r="5424" spans="1:3" x14ac:dyDescent="0.2">
      <c r="A5424" s="10" t="str">
        <f>IF(5416&gt;$C$9008,"",INDEX($B$9:$B$9008,MATCH(5416,$C$9:$C$9008,0)))</f>
        <v/>
      </c>
      <c r="B5424" s="9" t="str">
        <f>IFERROR(INDEX(Input!$L$20:$T$1019,INT((ROW()-9)/9)+1,MOD(ROW()-9,9)+1),"")</f>
        <v/>
      </c>
      <c r="C5424" s="9">
        <f t="shared" si="84"/>
        <v>0</v>
      </c>
    </row>
    <row r="5425" spans="1:3" x14ac:dyDescent="0.2">
      <c r="A5425" s="10" t="str">
        <f>IF(5417&gt;$C$9008,"",INDEX($B$9:$B$9008,MATCH(5417,$C$9:$C$9008,0)))</f>
        <v/>
      </c>
      <c r="B5425" s="9" t="str">
        <f>IFERROR(INDEX(Input!$L$20:$T$1019,INT((ROW()-9)/9)+1,MOD(ROW()-9,9)+1),"")</f>
        <v/>
      </c>
      <c r="C5425" s="9">
        <f t="shared" si="84"/>
        <v>0</v>
      </c>
    </row>
    <row r="5426" spans="1:3" x14ac:dyDescent="0.2">
      <c r="A5426" s="10" t="str">
        <f>IF(5418&gt;$C$9008,"",INDEX($B$9:$B$9008,MATCH(5418,$C$9:$C$9008,0)))</f>
        <v/>
      </c>
      <c r="B5426" s="9" t="str">
        <f>IFERROR(INDEX(Input!$L$20:$T$1019,INT((ROW()-9)/9)+1,MOD(ROW()-9,9)+1),"")</f>
        <v/>
      </c>
      <c r="C5426" s="9">
        <f t="shared" si="84"/>
        <v>0</v>
      </c>
    </row>
    <row r="5427" spans="1:3" x14ac:dyDescent="0.2">
      <c r="A5427" s="10" t="str">
        <f>IF(5419&gt;$C$9008,"",INDEX($B$9:$B$9008,MATCH(5419,$C$9:$C$9008,0)))</f>
        <v/>
      </c>
      <c r="B5427" s="9" t="str">
        <f>IFERROR(INDEX(Input!$L$20:$T$1019,INT((ROW()-9)/9)+1,MOD(ROW()-9,9)+1),"")</f>
        <v/>
      </c>
      <c r="C5427" s="9">
        <f t="shared" si="84"/>
        <v>0</v>
      </c>
    </row>
    <row r="5428" spans="1:3" x14ac:dyDescent="0.2">
      <c r="A5428" s="10" t="str">
        <f>IF(5420&gt;$C$9008,"",INDEX($B$9:$B$9008,MATCH(5420,$C$9:$C$9008,0)))</f>
        <v/>
      </c>
      <c r="B5428" s="9" t="str">
        <f>IFERROR(INDEX(Input!$L$20:$T$1019,INT((ROW()-9)/9)+1,MOD(ROW()-9,9)+1),"")</f>
        <v/>
      </c>
      <c r="C5428" s="9">
        <f t="shared" si="84"/>
        <v>0</v>
      </c>
    </row>
    <row r="5429" spans="1:3" x14ac:dyDescent="0.2">
      <c r="A5429" s="10" t="str">
        <f>IF(5421&gt;$C$9008,"",INDEX($B$9:$B$9008,MATCH(5421,$C$9:$C$9008,0)))</f>
        <v/>
      </c>
      <c r="B5429" s="9" t="str">
        <f>IFERROR(INDEX(Input!$L$20:$T$1019,INT((ROW()-9)/9)+1,MOD(ROW()-9,9)+1),"")</f>
        <v/>
      </c>
      <c r="C5429" s="9">
        <f t="shared" si="84"/>
        <v>0</v>
      </c>
    </row>
    <row r="5430" spans="1:3" x14ac:dyDescent="0.2">
      <c r="A5430" s="10" t="str">
        <f>IF(5422&gt;$C$9008,"",INDEX($B$9:$B$9008,MATCH(5422,$C$9:$C$9008,0)))</f>
        <v/>
      </c>
      <c r="B5430" s="9" t="str">
        <f>IFERROR(INDEX(Input!$L$20:$T$1019,INT((ROW()-9)/9)+1,MOD(ROW()-9,9)+1),"")</f>
        <v/>
      </c>
      <c r="C5430" s="9">
        <f t="shared" si="84"/>
        <v>0</v>
      </c>
    </row>
    <row r="5431" spans="1:3" x14ac:dyDescent="0.2">
      <c r="A5431" s="10" t="str">
        <f>IF(5423&gt;$C$9008,"",INDEX($B$9:$B$9008,MATCH(5423,$C$9:$C$9008,0)))</f>
        <v/>
      </c>
      <c r="B5431" s="9" t="str">
        <f>IFERROR(INDEX(Input!$L$20:$T$1019,INT((ROW()-9)/9)+1,MOD(ROW()-9,9)+1),"")</f>
        <v/>
      </c>
      <c r="C5431" s="9">
        <f t="shared" si="84"/>
        <v>0</v>
      </c>
    </row>
    <row r="5432" spans="1:3" x14ac:dyDescent="0.2">
      <c r="A5432" s="10" t="str">
        <f>IF(5424&gt;$C$9008,"",INDEX($B$9:$B$9008,MATCH(5424,$C$9:$C$9008,0)))</f>
        <v/>
      </c>
      <c r="B5432" s="9" t="str">
        <f>IFERROR(INDEX(Input!$L$20:$T$1019,INT((ROW()-9)/9)+1,MOD(ROW()-9,9)+1),"")</f>
        <v/>
      </c>
      <c r="C5432" s="9">
        <f t="shared" si="84"/>
        <v>0</v>
      </c>
    </row>
    <row r="5433" spans="1:3" x14ac:dyDescent="0.2">
      <c r="A5433" s="10" t="str">
        <f>IF(5425&gt;$C$9008,"",INDEX($B$9:$B$9008,MATCH(5425,$C$9:$C$9008,0)))</f>
        <v/>
      </c>
      <c r="B5433" s="9" t="str">
        <f>IFERROR(INDEX(Input!$L$20:$T$1019,INT((ROW()-9)/9)+1,MOD(ROW()-9,9)+1),"")</f>
        <v/>
      </c>
      <c r="C5433" s="9">
        <f t="shared" si="84"/>
        <v>0</v>
      </c>
    </row>
    <row r="5434" spans="1:3" x14ac:dyDescent="0.2">
      <c r="A5434" s="10" t="str">
        <f>IF(5426&gt;$C$9008,"",INDEX($B$9:$B$9008,MATCH(5426,$C$9:$C$9008,0)))</f>
        <v/>
      </c>
      <c r="B5434" s="9" t="str">
        <f>IFERROR(INDEX(Input!$L$20:$T$1019,INT((ROW()-9)/9)+1,MOD(ROW()-9,9)+1),"")</f>
        <v/>
      </c>
      <c r="C5434" s="9">
        <f t="shared" si="84"/>
        <v>0</v>
      </c>
    </row>
    <row r="5435" spans="1:3" x14ac:dyDescent="0.2">
      <c r="A5435" s="10" t="str">
        <f>IF(5427&gt;$C$9008,"",INDEX($B$9:$B$9008,MATCH(5427,$C$9:$C$9008,0)))</f>
        <v/>
      </c>
      <c r="B5435" s="9" t="str">
        <f>IFERROR(INDEX(Input!$L$20:$T$1019,INT((ROW()-9)/9)+1,MOD(ROW()-9,9)+1),"")</f>
        <v/>
      </c>
      <c r="C5435" s="9">
        <f t="shared" si="84"/>
        <v>0</v>
      </c>
    </row>
    <row r="5436" spans="1:3" x14ac:dyDescent="0.2">
      <c r="A5436" s="10" t="str">
        <f>IF(5428&gt;$C$9008,"",INDEX($B$9:$B$9008,MATCH(5428,$C$9:$C$9008,0)))</f>
        <v/>
      </c>
      <c r="B5436" s="9" t="str">
        <f>IFERROR(INDEX(Input!$L$20:$T$1019,INT((ROW()-9)/9)+1,MOD(ROW()-9,9)+1),"")</f>
        <v/>
      </c>
      <c r="C5436" s="9">
        <f t="shared" si="84"/>
        <v>0</v>
      </c>
    </row>
    <row r="5437" spans="1:3" x14ac:dyDescent="0.2">
      <c r="A5437" s="10" t="str">
        <f>IF(5429&gt;$C$9008,"",INDEX($B$9:$B$9008,MATCH(5429,$C$9:$C$9008,0)))</f>
        <v/>
      </c>
      <c r="B5437" s="9" t="str">
        <f>IFERROR(INDEX(Input!$L$20:$T$1019,INT((ROW()-9)/9)+1,MOD(ROW()-9,9)+1),"")</f>
        <v/>
      </c>
      <c r="C5437" s="9">
        <f t="shared" si="84"/>
        <v>0</v>
      </c>
    </row>
    <row r="5438" spans="1:3" x14ac:dyDescent="0.2">
      <c r="A5438" s="10" t="str">
        <f>IF(5430&gt;$C$9008,"",INDEX($B$9:$B$9008,MATCH(5430,$C$9:$C$9008,0)))</f>
        <v/>
      </c>
      <c r="B5438" s="9" t="str">
        <f>IFERROR(INDEX(Input!$L$20:$T$1019,INT((ROW()-9)/9)+1,MOD(ROW()-9,9)+1),"")</f>
        <v/>
      </c>
      <c r="C5438" s="9">
        <f t="shared" si="84"/>
        <v>0</v>
      </c>
    </row>
    <row r="5439" spans="1:3" x14ac:dyDescent="0.2">
      <c r="A5439" s="10" t="str">
        <f>IF(5431&gt;$C$9008,"",INDEX($B$9:$B$9008,MATCH(5431,$C$9:$C$9008,0)))</f>
        <v/>
      </c>
      <c r="B5439" s="9" t="str">
        <f>IFERROR(INDEX(Input!$L$20:$T$1019,INT((ROW()-9)/9)+1,MOD(ROW()-9,9)+1),"")</f>
        <v/>
      </c>
      <c r="C5439" s="9">
        <f t="shared" si="84"/>
        <v>0</v>
      </c>
    </row>
    <row r="5440" spans="1:3" x14ac:dyDescent="0.2">
      <c r="A5440" s="10" t="str">
        <f>IF(5432&gt;$C$9008,"",INDEX($B$9:$B$9008,MATCH(5432,$C$9:$C$9008,0)))</f>
        <v/>
      </c>
      <c r="B5440" s="9" t="str">
        <f>IFERROR(INDEX(Input!$L$20:$T$1019,INT((ROW()-9)/9)+1,MOD(ROW()-9,9)+1),"")</f>
        <v/>
      </c>
      <c r="C5440" s="9">
        <f t="shared" si="84"/>
        <v>0</v>
      </c>
    </row>
    <row r="5441" spans="1:3" x14ac:dyDescent="0.2">
      <c r="A5441" s="10" t="str">
        <f>IF(5433&gt;$C$9008,"",INDEX($B$9:$B$9008,MATCH(5433,$C$9:$C$9008,0)))</f>
        <v/>
      </c>
      <c r="B5441" s="9" t="str">
        <f>IFERROR(INDEX(Input!$L$20:$T$1019,INT((ROW()-9)/9)+1,MOD(ROW()-9,9)+1),"")</f>
        <v/>
      </c>
      <c r="C5441" s="9">
        <f t="shared" si="84"/>
        <v>0</v>
      </c>
    </row>
    <row r="5442" spans="1:3" x14ac:dyDescent="0.2">
      <c r="A5442" s="10" t="str">
        <f>IF(5434&gt;$C$9008,"",INDEX($B$9:$B$9008,MATCH(5434,$C$9:$C$9008,0)))</f>
        <v/>
      </c>
      <c r="B5442" s="9" t="str">
        <f>IFERROR(INDEX(Input!$L$20:$T$1019,INT((ROW()-9)/9)+1,MOD(ROW()-9,9)+1),"")</f>
        <v/>
      </c>
      <c r="C5442" s="9">
        <f t="shared" si="84"/>
        <v>0</v>
      </c>
    </row>
    <row r="5443" spans="1:3" x14ac:dyDescent="0.2">
      <c r="A5443" s="10" t="str">
        <f>IF(5435&gt;$C$9008,"",INDEX($B$9:$B$9008,MATCH(5435,$C$9:$C$9008,0)))</f>
        <v/>
      </c>
      <c r="B5443" s="9" t="str">
        <f>IFERROR(INDEX(Input!$L$20:$T$1019,INT((ROW()-9)/9)+1,MOD(ROW()-9,9)+1),"")</f>
        <v/>
      </c>
      <c r="C5443" s="9">
        <f t="shared" si="84"/>
        <v>0</v>
      </c>
    </row>
    <row r="5444" spans="1:3" x14ac:dyDescent="0.2">
      <c r="A5444" s="10" t="str">
        <f>IF(5436&gt;$C$9008,"",INDEX($B$9:$B$9008,MATCH(5436,$C$9:$C$9008,0)))</f>
        <v/>
      </c>
      <c r="B5444" s="9" t="str">
        <f>IFERROR(INDEX(Input!$L$20:$T$1019,INT((ROW()-9)/9)+1,MOD(ROW()-9,9)+1),"")</f>
        <v/>
      </c>
      <c r="C5444" s="9">
        <f t="shared" si="84"/>
        <v>0</v>
      </c>
    </row>
    <row r="5445" spans="1:3" x14ac:dyDescent="0.2">
      <c r="A5445" s="10" t="str">
        <f>IF(5437&gt;$C$9008,"",INDEX($B$9:$B$9008,MATCH(5437,$C$9:$C$9008,0)))</f>
        <v/>
      </c>
      <c r="B5445" s="9" t="str">
        <f>IFERROR(INDEX(Input!$L$20:$T$1019,INT((ROW()-9)/9)+1,MOD(ROW()-9,9)+1),"")</f>
        <v/>
      </c>
      <c r="C5445" s="9">
        <f t="shared" si="84"/>
        <v>0</v>
      </c>
    </row>
    <row r="5446" spans="1:3" x14ac:dyDescent="0.2">
      <c r="A5446" s="10" t="str">
        <f>IF(5438&gt;$C$9008,"",INDEX($B$9:$B$9008,MATCH(5438,$C$9:$C$9008,0)))</f>
        <v/>
      </c>
      <c r="B5446" s="9" t="str">
        <f>IFERROR(INDEX(Input!$L$20:$T$1019,INT((ROW()-9)/9)+1,MOD(ROW()-9,9)+1),"")</f>
        <v/>
      </c>
      <c r="C5446" s="9">
        <f t="shared" si="84"/>
        <v>0</v>
      </c>
    </row>
    <row r="5447" spans="1:3" x14ac:dyDescent="0.2">
      <c r="A5447" s="10" t="str">
        <f>IF(5439&gt;$C$9008,"",INDEX($B$9:$B$9008,MATCH(5439,$C$9:$C$9008,0)))</f>
        <v/>
      </c>
      <c r="B5447" s="9" t="str">
        <f>IFERROR(INDEX(Input!$L$20:$T$1019,INT((ROW()-9)/9)+1,MOD(ROW()-9,9)+1),"")</f>
        <v/>
      </c>
      <c r="C5447" s="9">
        <f t="shared" si="84"/>
        <v>0</v>
      </c>
    </row>
    <row r="5448" spans="1:3" x14ac:dyDescent="0.2">
      <c r="A5448" s="10" t="str">
        <f>IF(5440&gt;$C$9008,"",INDEX($B$9:$B$9008,MATCH(5440,$C$9:$C$9008,0)))</f>
        <v/>
      </c>
      <c r="B5448" s="9" t="str">
        <f>IFERROR(INDEX(Input!$L$20:$T$1019,INT((ROW()-9)/9)+1,MOD(ROW()-9,9)+1),"")</f>
        <v/>
      </c>
      <c r="C5448" s="9">
        <f t="shared" si="84"/>
        <v>0</v>
      </c>
    </row>
    <row r="5449" spans="1:3" x14ac:dyDescent="0.2">
      <c r="A5449" s="10" t="str">
        <f>IF(5441&gt;$C$9008,"",INDEX($B$9:$B$9008,MATCH(5441,$C$9:$C$9008,0)))</f>
        <v/>
      </c>
      <c r="B5449" s="9" t="str">
        <f>IFERROR(INDEX(Input!$L$20:$T$1019,INT((ROW()-9)/9)+1,MOD(ROW()-9,9)+1),"")</f>
        <v/>
      </c>
      <c r="C5449" s="9">
        <f t="shared" ref="C5449:C5512" si="85">$C5448+IF($B5449&lt;&gt;"",1,0)</f>
        <v>0</v>
      </c>
    </row>
    <row r="5450" spans="1:3" x14ac:dyDescent="0.2">
      <c r="A5450" s="10" t="str">
        <f>IF(5442&gt;$C$9008,"",INDEX($B$9:$B$9008,MATCH(5442,$C$9:$C$9008,0)))</f>
        <v/>
      </c>
      <c r="B5450" s="9" t="str">
        <f>IFERROR(INDEX(Input!$L$20:$T$1019,INT((ROW()-9)/9)+1,MOD(ROW()-9,9)+1),"")</f>
        <v/>
      </c>
      <c r="C5450" s="9">
        <f t="shared" si="85"/>
        <v>0</v>
      </c>
    </row>
    <row r="5451" spans="1:3" x14ac:dyDescent="0.2">
      <c r="A5451" s="10" t="str">
        <f>IF(5443&gt;$C$9008,"",INDEX($B$9:$B$9008,MATCH(5443,$C$9:$C$9008,0)))</f>
        <v/>
      </c>
      <c r="B5451" s="9" t="str">
        <f>IFERROR(INDEX(Input!$L$20:$T$1019,INT((ROW()-9)/9)+1,MOD(ROW()-9,9)+1),"")</f>
        <v/>
      </c>
      <c r="C5451" s="9">
        <f t="shared" si="85"/>
        <v>0</v>
      </c>
    </row>
    <row r="5452" spans="1:3" x14ac:dyDescent="0.2">
      <c r="A5452" s="10" t="str">
        <f>IF(5444&gt;$C$9008,"",INDEX($B$9:$B$9008,MATCH(5444,$C$9:$C$9008,0)))</f>
        <v/>
      </c>
      <c r="B5452" s="9" t="str">
        <f>IFERROR(INDEX(Input!$L$20:$T$1019,INT((ROW()-9)/9)+1,MOD(ROW()-9,9)+1),"")</f>
        <v/>
      </c>
      <c r="C5452" s="9">
        <f t="shared" si="85"/>
        <v>0</v>
      </c>
    </row>
    <row r="5453" spans="1:3" x14ac:dyDescent="0.2">
      <c r="A5453" s="10" t="str">
        <f>IF(5445&gt;$C$9008,"",INDEX($B$9:$B$9008,MATCH(5445,$C$9:$C$9008,0)))</f>
        <v/>
      </c>
      <c r="B5453" s="9" t="str">
        <f>IFERROR(INDEX(Input!$L$20:$T$1019,INT((ROW()-9)/9)+1,MOD(ROW()-9,9)+1),"")</f>
        <v/>
      </c>
      <c r="C5453" s="9">
        <f t="shared" si="85"/>
        <v>0</v>
      </c>
    </row>
    <row r="5454" spans="1:3" x14ac:dyDescent="0.2">
      <c r="A5454" s="10" t="str">
        <f>IF(5446&gt;$C$9008,"",INDEX($B$9:$B$9008,MATCH(5446,$C$9:$C$9008,0)))</f>
        <v/>
      </c>
      <c r="B5454" s="9" t="str">
        <f>IFERROR(INDEX(Input!$L$20:$T$1019,INT((ROW()-9)/9)+1,MOD(ROW()-9,9)+1),"")</f>
        <v/>
      </c>
      <c r="C5454" s="9">
        <f t="shared" si="85"/>
        <v>0</v>
      </c>
    </row>
    <row r="5455" spans="1:3" x14ac:dyDescent="0.2">
      <c r="A5455" s="10" t="str">
        <f>IF(5447&gt;$C$9008,"",INDEX($B$9:$B$9008,MATCH(5447,$C$9:$C$9008,0)))</f>
        <v/>
      </c>
      <c r="B5455" s="9" t="str">
        <f>IFERROR(INDEX(Input!$L$20:$T$1019,INT((ROW()-9)/9)+1,MOD(ROW()-9,9)+1),"")</f>
        <v/>
      </c>
      <c r="C5455" s="9">
        <f t="shared" si="85"/>
        <v>0</v>
      </c>
    </row>
    <row r="5456" spans="1:3" x14ac:dyDescent="0.2">
      <c r="A5456" s="10" t="str">
        <f>IF(5448&gt;$C$9008,"",INDEX($B$9:$B$9008,MATCH(5448,$C$9:$C$9008,0)))</f>
        <v/>
      </c>
      <c r="B5456" s="9" t="str">
        <f>IFERROR(INDEX(Input!$L$20:$T$1019,INT((ROW()-9)/9)+1,MOD(ROW()-9,9)+1),"")</f>
        <v/>
      </c>
      <c r="C5456" s="9">
        <f t="shared" si="85"/>
        <v>0</v>
      </c>
    </row>
    <row r="5457" spans="1:3" x14ac:dyDescent="0.2">
      <c r="A5457" s="10" t="str">
        <f>IF(5449&gt;$C$9008,"",INDEX($B$9:$B$9008,MATCH(5449,$C$9:$C$9008,0)))</f>
        <v/>
      </c>
      <c r="B5457" s="9" t="str">
        <f>IFERROR(INDEX(Input!$L$20:$T$1019,INT((ROW()-9)/9)+1,MOD(ROW()-9,9)+1),"")</f>
        <v/>
      </c>
      <c r="C5457" s="9">
        <f t="shared" si="85"/>
        <v>0</v>
      </c>
    </row>
    <row r="5458" spans="1:3" x14ac:dyDescent="0.2">
      <c r="A5458" s="10" t="str">
        <f>IF(5450&gt;$C$9008,"",INDEX($B$9:$B$9008,MATCH(5450,$C$9:$C$9008,0)))</f>
        <v/>
      </c>
      <c r="B5458" s="9" t="str">
        <f>IFERROR(INDEX(Input!$L$20:$T$1019,INT((ROW()-9)/9)+1,MOD(ROW()-9,9)+1),"")</f>
        <v/>
      </c>
      <c r="C5458" s="9">
        <f t="shared" si="85"/>
        <v>0</v>
      </c>
    </row>
    <row r="5459" spans="1:3" x14ac:dyDescent="0.2">
      <c r="A5459" s="10" t="str">
        <f>IF(5451&gt;$C$9008,"",INDEX($B$9:$B$9008,MATCH(5451,$C$9:$C$9008,0)))</f>
        <v/>
      </c>
      <c r="B5459" s="9" t="str">
        <f>IFERROR(INDEX(Input!$L$20:$T$1019,INT((ROW()-9)/9)+1,MOD(ROW()-9,9)+1),"")</f>
        <v/>
      </c>
      <c r="C5459" s="9">
        <f t="shared" si="85"/>
        <v>0</v>
      </c>
    </row>
    <row r="5460" spans="1:3" x14ac:dyDescent="0.2">
      <c r="A5460" s="10" t="str">
        <f>IF(5452&gt;$C$9008,"",INDEX($B$9:$B$9008,MATCH(5452,$C$9:$C$9008,0)))</f>
        <v/>
      </c>
      <c r="B5460" s="9" t="str">
        <f>IFERROR(INDEX(Input!$L$20:$T$1019,INT((ROW()-9)/9)+1,MOD(ROW()-9,9)+1),"")</f>
        <v/>
      </c>
      <c r="C5460" s="9">
        <f t="shared" si="85"/>
        <v>0</v>
      </c>
    </row>
    <row r="5461" spans="1:3" x14ac:dyDescent="0.2">
      <c r="A5461" s="10" t="str">
        <f>IF(5453&gt;$C$9008,"",INDEX($B$9:$B$9008,MATCH(5453,$C$9:$C$9008,0)))</f>
        <v/>
      </c>
      <c r="B5461" s="9" t="str">
        <f>IFERROR(INDEX(Input!$L$20:$T$1019,INT((ROW()-9)/9)+1,MOD(ROW()-9,9)+1),"")</f>
        <v/>
      </c>
      <c r="C5461" s="9">
        <f t="shared" si="85"/>
        <v>0</v>
      </c>
    </row>
    <row r="5462" spans="1:3" x14ac:dyDescent="0.2">
      <c r="A5462" s="10" t="str">
        <f>IF(5454&gt;$C$9008,"",INDEX($B$9:$B$9008,MATCH(5454,$C$9:$C$9008,0)))</f>
        <v/>
      </c>
      <c r="B5462" s="9" t="str">
        <f>IFERROR(INDEX(Input!$L$20:$T$1019,INT((ROW()-9)/9)+1,MOD(ROW()-9,9)+1),"")</f>
        <v/>
      </c>
      <c r="C5462" s="9">
        <f t="shared" si="85"/>
        <v>0</v>
      </c>
    </row>
    <row r="5463" spans="1:3" x14ac:dyDescent="0.2">
      <c r="A5463" s="10" t="str">
        <f>IF(5455&gt;$C$9008,"",INDEX($B$9:$B$9008,MATCH(5455,$C$9:$C$9008,0)))</f>
        <v/>
      </c>
      <c r="B5463" s="9" t="str">
        <f>IFERROR(INDEX(Input!$L$20:$T$1019,INT((ROW()-9)/9)+1,MOD(ROW()-9,9)+1),"")</f>
        <v/>
      </c>
      <c r="C5463" s="9">
        <f t="shared" si="85"/>
        <v>0</v>
      </c>
    </row>
    <row r="5464" spans="1:3" x14ac:dyDescent="0.2">
      <c r="A5464" s="10" t="str">
        <f>IF(5456&gt;$C$9008,"",INDEX($B$9:$B$9008,MATCH(5456,$C$9:$C$9008,0)))</f>
        <v/>
      </c>
      <c r="B5464" s="9" t="str">
        <f>IFERROR(INDEX(Input!$L$20:$T$1019,INT((ROW()-9)/9)+1,MOD(ROW()-9,9)+1),"")</f>
        <v/>
      </c>
      <c r="C5464" s="9">
        <f t="shared" si="85"/>
        <v>0</v>
      </c>
    </row>
    <row r="5465" spans="1:3" x14ac:dyDescent="0.2">
      <c r="A5465" s="10" t="str">
        <f>IF(5457&gt;$C$9008,"",INDEX($B$9:$B$9008,MATCH(5457,$C$9:$C$9008,0)))</f>
        <v/>
      </c>
      <c r="B5465" s="9" t="str">
        <f>IFERROR(INDEX(Input!$L$20:$T$1019,INT((ROW()-9)/9)+1,MOD(ROW()-9,9)+1),"")</f>
        <v/>
      </c>
      <c r="C5465" s="9">
        <f t="shared" si="85"/>
        <v>0</v>
      </c>
    </row>
    <row r="5466" spans="1:3" x14ac:dyDescent="0.2">
      <c r="A5466" s="10" t="str">
        <f>IF(5458&gt;$C$9008,"",INDEX($B$9:$B$9008,MATCH(5458,$C$9:$C$9008,0)))</f>
        <v/>
      </c>
      <c r="B5466" s="9" t="str">
        <f>IFERROR(INDEX(Input!$L$20:$T$1019,INT((ROW()-9)/9)+1,MOD(ROW()-9,9)+1),"")</f>
        <v/>
      </c>
      <c r="C5466" s="9">
        <f t="shared" si="85"/>
        <v>0</v>
      </c>
    </row>
    <row r="5467" spans="1:3" x14ac:dyDescent="0.2">
      <c r="A5467" s="10" t="str">
        <f>IF(5459&gt;$C$9008,"",INDEX($B$9:$B$9008,MATCH(5459,$C$9:$C$9008,0)))</f>
        <v/>
      </c>
      <c r="B5467" s="9" t="str">
        <f>IFERROR(INDEX(Input!$L$20:$T$1019,INT((ROW()-9)/9)+1,MOD(ROW()-9,9)+1),"")</f>
        <v/>
      </c>
      <c r="C5467" s="9">
        <f t="shared" si="85"/>
        <v>0</v>
      </c>
    </row>
    <row r="5468" spans="1:3" x14ac:dyDescent="0.2">
      <c r="A5468" s="10" t="str">
        <f>IF(5460&gt;$C$9008,"",INDEX($B$9:$B$9008,MATCH(5460,$C$9:$C$9008,0)))</f>
        <v/>
      </c>
      <c r="B5468" s="9" t="str">
        <f>IFERROR(INDEX(Input!$L$20:$T$1019,INT((ROW()-9)/9)+1,MOD(ROW()-9,9)+1),"")</f>
        <v/>
      </c>
      <c r="C5468" s="9">
        <f t="shared" si="85"/>
        <v>0</v>
      </c>
    </row>
    <row r="5469" spans="1:3" x14ac:dyDescent="0.2">
      <c r="A5469" s="10" t="str">
        <f>IF(5461&gt;$C$9008,"",INDEX($B$9:$B$9008,MATCH(5461,$C$9:$C$9008,0)))</f>
        <v/>
      </c>
      <c r="B5469" s="9" t="str">
        <f>IFERROR(INDEX(Input!$L$20:$T$1019,INT((ROW()-9)/9)+1,MOD(ROW()-9,9)+1),"")</f>
        <v/>
      </c>
      <c r="C5469" s="9">
        <f t="shared" si="85"/>
        <v>0</v>
      </c>
    </row>
    <row r="5470" spans="1:3" x14ac:dyDescent="0.2">
      <c r="A5470" s="10" t="str">
        <f>IF(5462&gt;$C$9008,"",INDEX($B$9:$B$9008,MATCH(5462,$C$9:$C$9008,0)))</f>
        <v/>
      </c>
      <c r="B5470" s="9" t="str">
        <f>IFERROR(INDEX(Input!$L$20:$T$1019,INT((ROW()-9)/9)+1,MOD(ROW()-9,9)+1),"")</f>
        <v/>
      </c>
      <c r="C5470" s="9">
        <f t="shared" si="85"/>
        <v>0</v>
      </c>
    </row>
    <row r="5471" spans="1:3" x14ac:dyDescent="0.2">
      <c r="A5471" s="10" t="str">
        <f>IF(5463&gt;$C$9008,"",INDEX($B$9:$B$9008,MATCH(5463,$C$9:$C$9008,0)))</f>
        <v/>
      </c>
      <c r="B5471" s="9" t="str">
        <f>IFERROR(INDEX(Input!$L$20:$T$1019,INT((ROW()-9)/9)+1,MOD(ROW()-9,9)+1),"")</f>
        <v/>
      </c>
      <c r="C5471" s="9">
        <f t="shared" si="85"/>
        <v>0</v>
      </c>
    </row>
    <row r="5472" spans="1:3" x14ac:dyDescent="0.2">
      <c r="A5472" s="10" t="str">
        <f>IF(5464&gt;$C$9008,"",INDEX($B$9:$B$9008,MATCH(5464,$C$9:$C$9008,0)))</f>
        <v/>
      </c>
      <c r="B5472" s="9" t="str">
        <f>IFERROR(INDEX(Input!$L$20:$T$1019,INT((ROW()-9)/9)+1,MOD(ROW()-9,9)+1),"")</f>
        <v/>
      </c>
      <c r="C5472" s="9">
        <f t="shared" si="85"/>
        <v>0</v>
      </c>
    </row>
    <row r="5473" spans="1:3" x14ac:dyDescent="0.2">
      <c r="A5473" s="10" t="str">
        <f>IF(5465&gt;$C$9008,"",INDEX($B$9:$B$9008,MATCH(5465,$C$9:$C$9008,0)))</f>
        <v/>
      </c>
      <c r="B5473" s="9" t="str">
        <f>IFERROR(INDEX(Input!$L$20:$T$1019,INT((ROW()-9)/9)+1,MOD(ROW()-9,9)+1),"")</f>
        <v/>
      </c>
      <c r="C5473" s="9">
        <f t="shared" si="85"/>
        <v>0</v>
      </c>
    </row>
    <row r="5474" spans="1:3" x14ac:dyDescent="0.2">
      <c r="A5474" s="10" t="str">
        <f>IF(5466&gt;$C$9008,"",INDEX($B$9:$B$9008,MATCH(5466,$C$9:$C$9008,0)))</f>
        <v/>
      </c>
      <c r="B5474" s="9" t="str">
        <f>IFERROR(INDEX(Input!$L$20:$T$1019,INT((ROW()-9)/9)+1,MOD(ROW()-9,9)+1),"")</f>
        <v/>
      </c>
      <c r="C5474" s="9">
        <f t="shared" si="85"/>
        <v>0</v>
      </c>
    </row>
    <row r="5475" spans="1:3" x14ac:dyDescent="0.2">
      <c r="A5475" s="10" t="str">
        <f>IF(5467&gt;$C$9008,"",INDEX($B$9:$B$9008,MATCH(5467,$C$9:$C$9008,0)))</f>
        <v/>
      </c>
      <c r="B5475" s="9" t="str">
        <f>IFERROR(INDEX(Input!$L$20:$T$1019,INT((ROW()-9)/9)+1,MOD(ROW()-9,9)+1),"")</f>
        <v/>
      </c>
      <c r="C5475" s="9">
        <f t="shared" si="85"/>
        <v>0</v>
      </c>
    </row>
    <row r="5476" spans="1:3" x14ac:dyDescent="0.2">
      <c r="A5476" s="10" t="str">
        <f>IF(5468&gt;$C$9008,"",INDEX($B$9:$B$9008,MATCH(5468,$C$9:$C$9008,0)))</f>
        <v/>
      </c>
      <c r="B5476" s="9" t="str">
        <f>IFERROR(INDEX(Input!$L$20:$T$1019,INT((ROW()-9)/9)+1,MOD(ROW()-9,9)+1),"")</f>
        <v/>
      </c>
      <c r="C5476" s="9">
        <f t="shared" si="85"/>
        <v>0</v>
      </c>
    </row>
    <row r="5477" spans="1:3" x14ac:dyDescent="0.2">
      <c r="A5477" s="10" t="str">
        <f>IF(5469&gt;$C$9008,"",INDEX($B$9:$B$9008,MATCH(5469,$C$9:$C$9008,0)))</f>
        <v/>
      </c>
      <c r="B5477" s="9" t="str">
        <f>IFERROR(INDEX(Input!$L$20:$T$1019,INT((ROW()-9)/9)+1,MOD(ROW()-9,9)+1),"")</f>
        <v/>
      </c>
      <c r="C5477" s="9">
        <f t="shared" si="85"/>
        <v>0</v>
      </c>
    </row>
    <row r="5478" spans="1:3" x14ac:dyDescent="0.2">
      <c r="A5478" s="10" t="str">
        <f>IF(5470&gt;$C$9008,"",INDEX($B$9:$B$9008,MATCH(5470,$C$9:$C$9008,0)))</f>
        <v/>
      </c>
      <c r="B5478" s="9" t="str">
        <f>IFERROR(INDEX(Input!$L$20:$T$1019,INT((ROW()-9)/9)+1,MOD(ROW()-9,9)+1),"")</f>
        <v/>
      </c>
      <c r="C5478" s="9">
        <f t="shared" si="85"/>
        <v>0</v>
      </c>
    </row>
    <row r="5479" spans="1:3" x14ac:dyDescent="0.2">
      <c r="A5479" s="10" t="str">
        <f>IF(5471&gt;$C$9008,"",INDEX($B$9:$B$9008,MATCH(5471,$C$9:$C$9008,0)))</f>
        <v/>
      </c>
      <c r="B5479" s="9" t="str">
        <f>IFERROR(INDEX(Input!$L$20:$T$1019,INT((ROW()-9)/9)+1,MOD(ROW()-9,9)+1),"")</f>
        <v/>
      </c>
      <c r="C5479" s="9">
        <f t="shared" si="85"/>
        <v>0</v>
      </c>
    </row>
    <row r="5480" spans="1:3" x14ac:dyDescent="0.2">
      <c r="A5480" s="10" t="str">
        <f>IF(5472&gt;$C$9008,"",INDEX($B$9:$B$9008,MATCH(5472,$C$9:$C$9008,0)))</f>
        <v/>
      </c>
      <c r="B5480" s="9" t="str">
        <f>IFERROR(INDEX(Input!$L$20:$T$1019,INT((ROW()-9)/9)+1,MOD(ROW()-9,9)+1),"")</f>
        <v/>
      </c>
      <c r="C5480" s="9">
        <f t="shared" si="85"/>
        <v>0</v>
      </c>
    </row>
    <row r="5481" spans="1:3" x14ac:dyDescent="0.2">
      <c r="A5481" s="10" t="str">
        <f>IF(5473&gt;$C$9008,"",INDEX($B$9:$B$9008,MATCH(5473,$C$9:$C$9008,0)))</f>
        <v/>
      </c>
      <c r="B5481" s="9" t="str">
        <f>IFERROR(INDEX(Input!$L$20:$T$1019,INT((ROW()-9)/9)+1,MOD(ROW()-9,9)+1),"")</f>
        <v/>
      </c>
      <c r="C5481" s="9">
        <f t="shared" si="85"/>
        <v>0</v>
      </c>
    </row>
    <row r="5482" spans="1:3" x14ac:dyDescent="0.2">
      <c r="A5482" s="10" t="str">
        <f>IF(5474&gt;$C$9008,"",INDEX($B$9:$B$9008,MATCH(5474,$C$9:$C$9008,0)))</f>
        <v/>
      </c>
      <c r="B5482" s="9" t="str">
        <f>IFERROR(INDEX(Input!$L$20:$T$1019,INT((ROW()-9)/9)+1,MOD(ROW()-9,9)+1),"")</f>
        <v/>
      </c>
      <c r="C5482" s="9">
        <f t="shared" si="85"/>
        <v>0</v>
      </c>
    </row>
    <row r="5483" spans="1:3" x14ac:dyDescent="0.2">
      <c r="A5483" s="10" t="str">
        <f>IF(5475&gt;$C$9008,"",INDEX($B$9:$B$9008,MATCH(5475,$C$9:$C$9008,0)))</f>
        <v/>
      </c>
      <c r="B5483" s="9" t="str">
        <f>IFERROR(INDEX(Input!$L$20:$T$1019,INT((ROW()-9)/9)+1,MOD(ROW()-9,9)+1),"")</f>
        <v/>
      </c>
      <c r="C5483" s="9">
        <f t="shared" si="85"/>
        <v>0</v>
      </c>
    </row>
    <row r="5484" spans="1:3" x14ac:dyDescent="0.2">
      <c r="A5484" s="10" t="str">
        <f>IF(5476&gt;$C$9008,"",INDEX($B$9:$B$9008,MATCH(5476,$C$9:$C$9008,0)))</f>
        <v/>
      </c>
      <c r="B5484" s="9" t="str">
        <f>IFERROR(INDEX(Input!$L$20:$T$1019,INT((ROW()-9)/9)+1,MOD(ROW()-9,9)+1),"")</f>
        <v/>
      </c>
      <c r="C5484" s="9">
        <f t="shared" si="85"/>
        <v>0</v>
      </c>
    </row>
    <row r="5485" spans="1:3" x14ac:dyDescent="0.2">
      <c r="A5485" s="10" t="str">
        <f>IF(5477&gt;$C$9008,"",INDEX($B$9:$B$9008,MATCH(5477,$C$9:$C$9008,0)))</f>
        <v/>
      </c>
      <c r="B5485" s="9" t="str">
        <f>IFERROR(INDEX(Input!$L$20:$T$1019,INT((ROW()-9)/9)+1,MOD(ROW()-9,9)+1),"")</f>
        <v/>
      </c>
      <c r="C5485" s="9">
        <f t="shared" si="85"/>
        <v>0</v>
      </c>
    </row>
    <row r="5486" spans="1:3" x14ac:dyDescent="0.2">
      <c r="A5486" s="10" t="str">
        <f>IF(5478&gt;$C$9008,"",INDEX($B$9:$B$9008,MATCH(5478,$C$9:$C$9008,0)))</f>
        <v/>
      </c>
      <c r="B5486" s="9" t="str">
        <f>IFERROR(INDEX(Input!$L$20:$T$1019,INT((ROW()-9)/9)+1,MOD(ROW()-9,9)+1),"")</f>
        <v/>
      </c>
      <c r="C5486" s="9">
        <f t="shared" si="85"/>
        <v>0</v>
      </c>
    </row>
    <row r="5487" spans="1:3" x14ac:dyDescent="0.2">
      <c r="A5487" s="10" t="str">
        <f>IF(5479&gt;$C$9008,"",INDEX($B$9:$B$9008,MATCH(5479,$C$9:$C$9008,0)))</f>
        <v/>
      </c>
      <c r="B5487" s="9" t="str">
        <f>IFERROR(INDEX(Input!$L$20:$T$1019,INT((ROW()-9)/9)+1,MOD(ROW()-9,9)+1),"")</f>
        <v/>
      </c>
      <c r="C5487" s="9">
        <f t="shared" si="85"/>
        <v>0</v>
      </c>
    </row>
    <row r="5488" spans="1:3" x14ac:dyDescent="0.2">
      <c r="A5488" s="10" t="str">
        <f>IF(5480&gt;$C$9008,"",INDEX($B$9:$B$9008,MATCH(5480,$C$9:$C$9008,0)))</f>
        <v/>
      </c>
      <c r="B5488" s="9" t="str">
        <f>IFERROR(INDEX(Input!$L$20:$T$1019,INT((ROW()-9)/9)+1,MOD(ROW()-9,9)+1),"")</f>
        <v/>
      </c>
      <c r="C5488" s="9">
        <f t="shared" si="85"/>
        <v>0</v>
      </c>
    </row>
    <row r="5489" spans="1:3" x14ac:dyDescent="0.2">
      <c r="A5489" s="10" t="str">
        <f>IF(5481&gt;$C$9008,"",INDEX($B$9:$B$9008,MATCH(5481,$C$9:$C$9008,0)))</f>
        <v/>
      </c>
      <c r="B5489" s="9" t="str">
        <f>IFERROR(INDEX(Input!$L$20:$T$1019,INT((ROW()-9)/9)+1,MOD(ROW()-9,9)+1),"")</f>
        <v/>
      </c>
      <c r="C5489" s="9">
        <f t="shared" si="85"/>
        <v>0</v>
      </c>
    </row>
    <row r="5490" spans="1:3" x14ac:dyDescent="0.2">
      <c r="A5490" s="10" t="str">
        <f>IF(5482&gt;$C$9008,"",INDEX($B$9:$B$9008,MATCH(5482,$C$9:$C$9008,0)))</f>
        <v/>
      </c>
      <c r="B5490" s="9" t="str">
        <f>IFERROR(INDEX(Input!$L$20:$T$1019,INT((ROW()-9)/9)+1,MOD(ROW()-9,9)+1),"")</f>
        <v/>
      </c>
      <c r="C5490" s="9">
        <f t="shared" si="85"/>
        <v>0</v>
      </c>
    </row>
    <row r="5491" spans="1:3" x14ac:dyDescent="0.2">
      <c r="A5491" s="10" t="str">
        <f>IF(5483&gt;$C$9008,"",INDEX($B$9:$B$9008,MATCH(5483,$C$9:$C$9008,0)))</f>
        <v/>
      </c>
      <c r="B5491" s="9" t="str">
        <f>IFERROR(INDEX(Input!$L$20:$T$1019,INT((ROW()-9)/9)+1,MOD(ROW()-9,9)+1),"")</f>
        <v/>
      </c>
      <c r="C5491" s="9">
        <f t="shared" si="85"/>
        <v>0</v>
      </c>
    </row>
    <row r="5492" spans="1:3" x14ac:dyDescent="0.2">
      <c r="A5492" s="10" t="str">
        <f>IF(5484&gt;$C$9008,"",INDEX($B$9:$B$9008,MATCH(5484,$C$9:$C$9008,0)))</f>
        <v/>
      </c>
      <c r="B5492" s="9" t="str">
        <f>IFERROR(INDEX(Input!$L$20:$T$1019,INT((ROW()-9)/9)+1,MOD(ROW()-9,9)+1),"")</f>
        <v/>
      </c>
      <c r="C5492" s="9">
        <f t="shared" si="85"/>
        <v>0</v>
      </c>
    </row>
    <row r="5493" spans="1:3" x14ac:dyDescent="0.2">
      <c r="A5493" s="10" t="str">
        <f>IF(5485&gt;$C$9008,"",INDEX($B$9:$B$9008,MATCH(5485,$C$9:$C$9008,0)))</f>
        <v/>
      </c>
      <c r="B5493" s="9" t="str">
        <f>IFERROR(INDEX(Input!$L$20:$T$1019,INT((ROW()-9)/9)+1,MOD(ROW()-9,9)+1),"")</f>
        <v/>
      </c>
      <c r="C5493" s="9">
        <f t="shared" si="85"/>
        <v>0</v>
      </c>
    </row>
    <row r="5494" spans="1:3" x14ac:dyDescent="0.2">
      <c r="A5494" s="10" t="str">
        <f>IF(5486&gt;$C$9008,"",INDEX($B$9:$B$9008,MATCH(5486,$C$9:$C$9008,0)))</f>
        <v/>
      </c>
      <c r="B5494" s="9" t="str">
        <f>IFERROR(INDEX(Input!$L$20:$T$1019,INT((ROW()-9)/9)+1,MOD(ROW()-9,9)+1),"")</f>
        <v/>
      </c>
      <c r="C5494" s="9">
        <f t="shared" si="85"/>
        <v>0</v>
      </c>
    </row>
    <row r="5495" spans="1:3" x14ac:dyDescent="0.2">
      <c r="A5495" s="10" t="str">
        <f>IF(5487&gt;$C$9008,"",INDEX($B$9:$B$9008,MATCH(5487,$C$9:$C$9008,0)))</f>
        <v/>
      </c>
      <c r="B5495" s="9" t="str">
        <f>IFERROR(INDEX(Input!$L$20:$T$1019,INT((ROW()-9)/9)+1,MOD(ROW()-9,9)+1),"")</f>
        <v/>
      </c>
      <c r="C5495" s="9">
        <f t="shared" si="85"/>
        <v>0</v>
      </c>
    </row>
    <row r="5496" spans="1:3" x14ac:dyDescent="0.2">
      <c r="A5496" s="10" t="str">
        <f>IF(5488&gt;$C$9008,"",INDEX($B$9:$B$9008,MATCH(5488,$C$9:$C$9008,0)))</f>
        <v/>
      </c>
      <c r="B5496" s="9" t="str">
        <f>IFERROR(INDEX(Input!$L$20:$T$1019,INT((ROW()-9)/9)+1,MOD(ROW()-9,9)+1),"")</f>
        <v/>
      </c>
      <c r="C5496" s="9">
        <f t="shared" si="85"/>
        <v>0</v>
      </c>
    </row>
    <row r="5497" spans="1:3" x14ac:dyDescent="0.2">
      <c r="A5497" s="10" t="str">
        <f>IF(5489&gt;$C$9008,"",INDEX($B$9:$B$9008,MATCH(5489,$C$9:$C$9008,0)))</f>
        <v/>
      </c>
      <c r="B5497" s="9" t="str">
        <f>IFERROR(INDEX(Input!$L$20:$T$1019,INT((ROW()-9)/9)+1,MOD(ROW()-9,9)+1),"")</f>
        <v/>
      </c>
      <c r="C5497" s="9">
        <f t="shared" si="85"/>
        <v>0</v>
      </c>
    </row>
    <row r="5498" spans="1:3" x14ac:dyDescent="0.2">
      <c r="A5498" s="10" t="str">
        <f>IF(5490&gt;$C$9008,"",INDEX($B$9:$B$9008,MATCH(5490,$C$9:$C$9008,0)))</f>
        <v/>
      </c>
      <c r="B5498" s="9" t="str">
        <f>IFERROR(INDEX(Input!$L$20:$T$1019,INT((ROW()-9)/9)+1,MOD(ROW()-9,9)+1),"")</f>
        <v/>
      </c>
      <c r="C5498" s="9">
        <f t="shared" si="85"/>
        <v>0</v>
      </c>
    </row>
    <row r="5499" spans="1:3" x14ac:dyDescent="0.2">
      <c r="A5499" s="10" t="str">
        <f>IF(5491&gt;$C$9008,"",INDEX($B$9:$B$9008,MATCH(5491,$C$9:$C$9008,0)))</f>
        <v/>
      </c>
      <c r="B5499" s="9" t="str">
        <f>IFERROR(INDEX(Input!$L$20:$T$1019,INT((ROW()-9)/9)+1,MOD(ROW()-9,9)+1),"")</f>
        <v/>
      </c>
      <c r="C5499" s="9">
        <f t="shared" si="85"/>
        <v>0</v>
      </c>
    </row>
    <row r="5500" spans="1:3" x14ac:dyDescent="0.2">
      <c r="A5500" s="10" t="str">
        <f>IF(5492&gt;$C$9008,"",INDEX($B$9:$B$9008,MATCH(5492,$C$9:$C$9008,0)))</f>
        <v/>
      </c>
      <c r="B5500" s="9" t="str">
        <f>IFERROR(INDEX(Input!$L$20:$T$1019,INT((ROW()-9)/9)+1,MOD(ROW()-9,9)+1),"")</f>
        <v/>
      </c>
      <c r="C5500" s="9">
        <f t="shared" si="85"/>
        <v>0</v>
      </c>
    </row>
    <row r="5501" spans="1:3" x14ac:dyDescent="0.2">
      <c r="A5501" s="10" t="str">
        <f>IF(5493&gt;$C$9008,"",INDEX($B$9:$B$9008,MATCH(5493,$C$9:$C$9008,0)))</f>
        <v/>
      </c>
      <c r="B5501" s="9" t="str">
        <f>IFERROR(INDEX(Input!$L$20:$T$1019,INT((ROW()-9)/9)+1,MOD(ROW()-9,9)+1),"")</f>
        <v/>
      </c>
      <c r="C5501" s="9">
        <f t="shared" si="85"/>
        <v>0</v>
      </c>
    </row>
    <row r="5502" spans="1:3" x14ac:dyDescent="0.2">
      <c r="A5502" s="10" t="str">
        <f>IF(5494&gt;$C$9008,"",INDEX($B$9:$B$9008,MATCH(5494,$C$9:$C$9008,0)))</f>
        <v/>
      </c>
      <c r="B5502" s="9" t="str">
        <f>IFERROR(INDEX(Input!$L$20:$T$1019,INT((ROW()-9)/9)+1,MOD(ROW()-9,9)+1),"")</f>
        <v/>
      </c>
      <c r="C5502" s="9">
        <f t="shared" si="85"/>
        <v>0</v>
      </c>
    </row>
    <row r="5503" spans="1:3" x14ac:dyDescent="0.2">
      <c r="A5503" s="10" t="str">
        <f>IF(5495&gt;$C$9008,"",INDEX($B$9:$B$9008,MATCH(5495,$C$9:$C$9008,0)))</f>
        <v/>
      </c>
      <c r="B5503" s="9" t="str">
        <f>IFERROR(INDEX(Input!$L$20:$T$1019,INT((ROW()-9)/9)+1,MOD(ROW()-9,9)+1),"")</f>
        <v/>
      </c>
      <c r="C5503" s="9">
        <f t="shared" si="85"/>
        <v>0</v>
      </c>
    </row>
    <row r="5504" spans="1:3" x14ac:dyDescent="0.2">
      <c r="A5504" s="10" t="str">
        <f>IF(5496&gt;$C$9008,"",INDEX($B$9:$B$9008,MATCH(5496,$C$9:$C$9008,0)))</f>
        <v/>
      </c>
      <c r="B5504" s="9" t="str">
        <f>IFERROR(INDEX(Input!$L$20:$T$1019,INT((ROW()-9)/9)+1,MOD(ROW()-9,9)+1),"")</f>
        <v/>
      </c>
      <c r="C5504" s="9">
        <f t="shared" si="85"/>
        <v>0</v>
      </c>
    </row>
    <row r="5505" spans="1:3" x14ac:dyDescent="0.2">
      <c r="A5505" s="10" t="str">
        <f>IF(5497&gt;$C$9008,"",INDEX($B$9:$B$9008,MATCH(5497,$C$9:$C$9008,0)))</f>
        <v/>
      </c>
      <c r="B5505" s="9" t="str">
        <f>IFERROR(INDEX(Input!$L$20:$T$1019,INT((ROW()-9)/9)+1,MOD(ROW()-9,9)+1),"")</f>
        <v/>
      </c>
      <c r="C5505" s="9">
        <f t="shared" si="85"/>
        <v>0</v>
      </c>
    </row>
    <row r="5506" spans="1:3" x14ac:dyDescent="0.2">
      <c r="A5506" s="10" t="str">
        <f>IF(5498&gt;$C$9008,"",INDEX($B$9:$B$9008,MATCH(5498,$C$9:$C$9008,0)))</f>
        <v/>
      </c>
      <c r="B5506" s="9" t="str">
        <f>IFERROR(INDEX(Input!$L$20:$T$1019,INT((ROW()-9)/9)+1,MOD(ROW()-9,9)+1),"")</f>
        <v/>
      </c>
      <c r="C5506" s="9">
        <f t="shared" si="85"/>
        <v>0</v>
      </c>
    </row>
    <row r="5507" spans="1:3" x14ac:dyDescent="0.2">
      <c r="A5507" s="10" t="str">
        <f>IF(5499&gt;$C$9008,"",INDEX($B$9:$B$9008,MATCH(5499,$C$9:$C$9008,0)))</f>
        <v/>
      </c>
      <c r="B5507" s="9" t="str">
        <f>IFERROR(INDEX(Input!$L$20:$T$1019,INT((ROW()-9)/9)+1,MOD(ROW()-9,9)+1),"")</f>
        <v/>
      </c>
      <c r="C5507" s="9">
        <f t="shared" si="85"/>
        <v>0</v>
      </c>
    </row>
    <row r="5508" spans="1:3" x14ac:dyDescent="0.2">
      <c r="A5508" s="10" t="str">
        <f>IF(5500&gt;$C$9008,"",INDEX($B$9:$B$9008,MATCH(5500,$C$9:$C$9008,0)))</f>
        <v/>
      </c>
      <c r="B5508" s="9" t="str">
        <f>IFERROR(INDEX(Input!$L$20:$T$1019,INT((ROW()-9)/9)+1,MOD(ROW()-9,9)+1),"")</f>
        <v/>
      </c>
      <c r="C5508" s="9">
        <f t="shared" si="85"/>
        <v>0</v>
      </c>
    </row>
    <row r="5509" spans="1:3" x14ac:dyDescent="0.2">
      <c r="A5509" s="10" t="str">
        <f>IF(5501&gt;$C$9008,"",INDEX($B$9:$B$9008,MATCH(5501,$C$9:$C$9008,0)))</f>
        <v/>
      </c>
      <c r="B5509" s="9" t="str">
        <f>IFERROR(INDEX(Input!$L$20:$T$1019,INT((ROW()-9)/9)+1,MOD(ROW()-9,9)+1),"")</f>
        <v/>
      </c>
      <c r="C5509" s="9">
        <f t="shared" si="85"/>
        <v>0</v>
      </c>
    </row>
    <row r="5510" spans="1:3" x14ac:dyDescent="0.2">
      <c r="A5510" s="10" t="str">
        <f>IF(5502&gt;$C$9008,"",INDEX($B$9:$B$9008,MATCH(5502,$C$9:$C$9008,0)))</f>
        <v/>
      </c>
      <c r="B5510" s="9" t="str">
        <f>IFERROR(INDEX(Input!$L$20:$T$1019,INT((ROW()-9)/9)+1,MOD(ROW()-9,9)+1),"")</f>
        <v/>
      </c>
      <c r="C5510" s="9">
        <f t="shared" si="85"/>
        <v>0</v>
      </c>
    </row>
    <row r="5511" spans="1:3" x14ac:dyDescent="0.2">
      <c r="A5511" s="10" t="str">
        <f>IF(5503&gt;$C$9008,"",INDEX($B$9:$B$9008,MATCH(5503,$C$9:$C$9008,0)))</f>
        <v/>
      </c>
      <c r="B5511" s="9" t="str">
        <f>IFERROR(INDEX(Input!$L$20:$T$1019,INT((ROW()-9)/9)+1,MOD(ROW()-9,9)+1),"")</f>
        <v/>
      </c>
      <c r="C5511" s="9">
        <f t="shared" si="85"/>
        <v>0</v>
      </c>
    </row>
    <row r="5512" spans="1:3" x14ac:dyDescent="0.2">
      <c r="A5512" s="10" t="str">
        <f>IF(5504&gt;$C$9008,"",INDEX($B$9:$B$9008,MATCH(5504,$C$9:$C$9008,0)))</f>
        <v/>
      </c>
      <c r="B5512" s="9" t="str">
        <f>IFERROR(INDEX(Input!$L$20:$T$1019,INT((ROW()-9)/9)+1,MOD(ROW()-9,9)+1),"")</f>
        <v/>
      </c>
      <c r="C5512" s="9">
        <f t="shared" si="85"/>
        <v>0</v>
      </c>
    </row>
    <row r="5513" spans="1:3" x14ac:dyDescent="0.2">
      <c r="A5513" s="10" t="str">
        <f>IF(5505&gt;$C$9008,"",INDEX($B$9:$B$9008,MATCH(5505,$C$9:$C$9008,0)))</f>
        <v/>
      </c>
      <c r="B5513" s="9" t="str">
        <f>IFERROR(INDEX(Input!$L$20:$T$1019,INT((ROW()-9)/9)+1,MOD(ROW()-9,9)+1),"")</f>
        <v/>
      </c>
      <c r="C5513" s="9">
        <f t="shared" ref="C5513:C5576" si="86">$C5512+IF($B5513&lt;&gt;"",1,0)</f>
        <v>0</v>
      </c>
    </row>
    <row r="5514" spans="1:3" x14ac:dyDescent="0.2">
      <c r="A5514" s="10" t="str">
        <f>IF(5506&gt;$C$9008,"",INDEX($B$9:$B$9008,MATCH(5506,$C$9:$C$9008,0)))</f>
        <v/>
      </c>
      <c r="B5514" s="9" t="str">
        <f>IFERROR(INDEX(Input!$L$20:$T$1019,INT((ROW()-9)/9)+1,MOD(ROW()-9,9)+1),"")</f>
        <v/>
      </c>
      <c r="C5514" s="9">
        <f t="shared" si="86"/>
        <v>0</v>
      </c>
    </row>
    <row r="5515" spans="1:3" x14ac:dyDescent="0.2">
      <c r="A5515" s="10" t="str">
        <f>IF(5507&gt;$C$9008,"",INDEX($B$9:$B$9008,MATCH(5507,$C$9:$C$9008,0)))</f>
        <v/>
      </c>
      <c r="B5515" s="9" t="str">
        <f>IFERROR(INDEX(Input!$L$20:$T$1019,INT((ROW()-9)/9)+1,MOD(ROW()-9,9)+1),"")</f>
        <v/>
      </c>
      <c r="C5515" s="9">
        <f t="shared" si="86"/>
        <v>0</v>
      </c>
    </row>
    <row r="5516" spans="1:3" x14ac:dyDescent="0.2">
      <c r="A5516" s="10" t="str">
        <f>IF(5508&gt;$C$9008,"",INDEX($B$9:$B$9008,MATCH(5508,$C$9:$C$9008,0)))</f>
        <v/>
      </c>
      <c r="B5516" s="9" t="str">
        <f>IFERROR(INDEX(Input!$L$20:$T$1019,INT((ROW()-9)/9)+1,MOD(ROW()-9,9)+1),"")</f>
        <v/>
      </c>
      <c r="C5516" s="9">
        <f t="shared" si="86"/>
        <v>0</v>
      </c>
    </row>
    <row r="5517" spans="1:3" x14ac:dyDescent="0.2">
      <c r="A5517" s="10" t="str">
        <f>IF(5509&gt;$C$9008,"",INDEX($B$9:$B$9008,MATCH(5509,$C$9:$C$9008,0)))</f>
        <v/>
      </c>
      <c r="B5517" s="9" t="str">
        <f>IFERROR(INDEX(Input!$L$20:$T$1019,INT((ROW()-9)/9)+1,MOD(ROW()-9,9)+1),"")</f>
        <v/>
      </c>
      <c r="C5517" s="9">
        <f t="shared" si="86"/>
        <v>0</v>
      </c>
    </row>
    <row r="5518" spans="1:3" x14ac:dyDescent="0.2">
      <c r="A5518" s="10" t="str">
        <f>IF(5510&gt;$C$9008,"",INDEX($B$9:$B$9008,MATCH(5510,$C$9:$C$9008,0)))</f>
        <v/>
      </c>
      <c r="B5518" s="9" t="str">
        <f>IFERROR(INDEX(Input!$L$20:$T$1019,INT((ROW()-9)/9)+1,MOD(ROW()-9,9)+1),"")</f>
        <v/>
      </c>
      <c r="C5518" s="9">
        <f t="shared" si="86"/>
        <v>0</v>
      </c>
    </row>
    <row r="5519" spans="1:3" x14ac:dyDescent="0.2">
      <c r="A5519" s="10" t="str">
        <f>IF(5511&gt;$C$9008,"",INDEX($B$9:$B$9008,MATCH(5511,$C$9:$C$9008,0)))</f>
        <v/>
      </c>
      <c r="B5519" s="9" t="str">
        <f>IFERROR(INDEX(Input!$L$20:$T$1019,INT((ROW()-9)/9)+1,MOD(ROW()-9,9)+1),"")</f>
        <v/>
      </c>
      <c r="C5519" s="9">
        <f t="shared" si="86"/>
        <v>0</v>
      </c>
    </row>
    <row r="5520" spans="1:3" x14ac:dyDescent="0.2">
      <c r="A5520" s="10" t="str">
        <f>IF(5512&gt;$C$9008,"",INDEX($B$9:$B$9008,MATCH(5512,$C$9:$C$9008,0)))</f>
        <v/>
      </c>
      <c r="B5520" s="9" t="str">
        <f>IFERROR(INDEX(Input!$L$20:$T$1019,INT((ROW()-9)/9)+1,MOD(ROW()-9,9)+1),"")</f>
        <v/>
      </c>
      <c r="C5520" s="9">
        <f t="shared" si="86"/>
        <v>0</v>
      </c>
    </row>
    <row r="5521" spans="1:3" x14ac:dyDescent="0.2">
      <c r="A5521" s="10" t="str">
        <f>IF(5513&gt;$C$9008,"",INDEX($B$9:$B$9008,MATCH(5513,$C$9:$C$9008,0)))</f>
        <v/>
      </c>
      <c r="B5521" s="9" t="str">
        <f>IFERROR(INDEX(Input!$L$20:$T$1019,INT((ROW()-9)/9)+1,MOD(ROW()-9,9)+1),"")</f>
        <v/>
      </c>
      <c r="C5521" s="9">
        <f t="shared" si="86"/>
        <v>0</v>
      </c>
    </row>
    <row r="5522" spans="1:3" x14ac:dyDescent="0.2">
      <c r="A5522" s="10" t="str">
        <f>IF(5514&gt;$C$9008,"",INDEX($B$9:$B$9008,MATCH(5514,$C$9:$C$9008,0)))</f>
        <v/>
      </c>
      <c r="B5522" s="9" t="str">
        <f>IFERROR(INDEX(Input!$L$20:$T$1019,INT((ROW()-9)/9)+1,MOD(ROW()-9,9)+1),"")</f>
        <v/>
      </c>
      <c r="C5522" s="9">
        <f t="shared" si="86"/>
        <v>0</v>
      </c>
    </row>
    <row r="5523" spans="1:3" x14ac:dyDescent="0.2">
      <c r="A5523" s="10" t="str">
        <f>IF(5515&gt;$C$9008,"",INDEX($B$9:$B$9008,MATCH(5515,$C$9:$C$9008,0)))</f>
        <v/>
      </c>
      <c r="B5523" s="9" t="str">
        <f>IFERROR(INDEX(Input!$L$20:$T$1019,INT((ROW()-9)/9)+1,MOD(ROW()-9,9)+1),"")</f>
        <v/>
      </c>
      <c r="C5523" s="9">
        <f t="shared" si="86"/>
        <v>0</v>
      </c>
    </row>
    <row r="5524" spans="1:3" x14ac:dyDescent="0.2">
      <c r="A5524" s="10" t="str">
        <f>IF(5516&gt;$C$9008,"",INDEX($B$9:$B$9008,MATCH(5516,$C$9:$C$9008,0)))</f>
        <v/>
      </c>
      <c r="B5524" s="9" t="str">
        <f>IFERROR(INDEX(Input!$L$20:$T$1019,INT((ROW()-9)/9)+1,MOD(ROW()-9,9)+1),"")</f>
        <v/>
      </c>
      <c r="C5524" s="9">
        <f t="shared" si="86"/>
        <v>0</v>
      </c>
    </row>
    <row r="5525" spans="1:3" x14ac:dyDescent="0.2">
      <c r="A5525" s="10" t="str">
        <f>IF(5517&gt;$C$9008,"",INDEX($B$9:$B$9008,MATCH(5517,$C$9:$C$9008,0)))</f>
        <v/>
      </c>
      <c r="B5525" s="9" t="str">
        <f>IFERROR(INDEX(Input!$L$20:$T$1019,INT((ROW()-9)/9)+1,MOD(ROW()-9,9)+1),"")</f>
        <v/>
      </c>
      <c r="C5525" s="9">
        <f t="shared" si="86"/>
        <v>0</v>
      </c>
    </row>
    <row r="5526" spans="1:3" x14ac:dyDescent="0.2">
      <c r="A5526" s="10" t="str">
        <f>IF(5518&gt;$C$9008,"",INDEX($B$9:$B$9008,MATCH(5518,$C$9:$C$9008,0)))</f>
        <v/>
      </c>
      <c r="B5526" s="9" t="str">
        <f>IFERROR(INDEX(Input!$L$20:$T$1019,INT((ROW()-9)/9)+1,MOD(ROW()-9,9)+1),"")</f>
        <v/>
      </c>
      <c r="C5526" s="9">
        <f t="shared" si="86"/>
        <v>0</v>
      </c>
    </row>
    <row r="5527" spans="1:3" x14ac:dyDescent="0.2">
      <c r="A5527" s="10" t="str">
        <f>IF(5519&gt;$C$9008,"",INDEX($B$9:$B$9008,MATCH(5519,$C$9:$C$9008,0)))</f>
        <v/>
      </c>
      <c r="B5527" s="9" t="str">
        <f>IFERROR(INDEX(Input!$L$20:$T$1019,INT((ROW()-9)/9)+1,MOD(ROW()-9,9)+1),"")</f>
        <v/>
      </c>
      <c r="C5527" s="9">
        <f t="shared" si="86"/>
        <v>0</v>
      </c>
    </row>
    <row r="5528" spans="1:3" x14ac:dyDescent="0.2">
      <c r="A5528" s="10" t="str">
        <f>IF(5520&gt;$C$9008,"",INDEX($B$9:$B$9008,MATCH(5520,$C$9:$C$9008,0)))</f>
        <v/>
      </c>
      <c r="B5528" s="9" t="str">
        <f>IFERROR(INDEX(Input!$L$20:$T$1019,INT((ROW()-9)/9)+1,MOD(ROW()-9,9)+1),"")</f>
        <v/>
      </c>
      <c r="C5528" s="9">
        <f t="shared" si="86"/>
        <v>0</v>
      </c>
    </row>
    <row r="5529" spans="1:3" x14ac:dyDescent="0.2">
      <c r="A5529" s="10" t="str">
        <f>IF(5521&gt;$C$9008,"",INDEX($B$9:$B$9008,MATCH(5521,$C$9:$C$9008,0)))</f>
        <v/>
      </c>
      <c r="B5529" s="9" t="str">
        <f>IFERROR(INDEX(Input!$L$20:$T$1019,INT((ROW()-9)/9)+1,MOD(ROW()-9,9)+1),"")</f>
        <v/>
      </c>
      <c r="C5529" s="9">
        <f t="shared" si="86"/>
        <v>0</v>
      </c>
    </row>
    <row r="5530" spans="1:3" x14ac:dyDescent="0.2">
      <c r="A5530" s="10" t="str">
        <f>IF(5522&gt;$C$9008,"",INDEX($B$9:$B$9008,MATCH(5522,$C$9:$C$9008,0)))</f>
        <v/>
      </c>
      <c r="B5530" s="9" t="str">
        <f>IFERROR(INDEX(Input!$L$20:$T$1019,INT((ROW()-9)/9)+1,MOD(ROW()-9,9)+1),"")</f>
        <v/>
      </c>
      <c r="C5530" s="9">
        <f t="shared" si="86"/>
        <v>0</v>
      </c>
    </row>
    <row r="5531" spans="1:3" x14ac:dyDescent="0.2">
      <c r="A5531" s="10" t="str">
        <f>IF(5523&gt;$C$9008,"",INDEX($B$9:$B$9008,MATCH(5523,$C$9:$C$9008,0)))</f>
        <v/>
      </c>
      <c r="B5531" s="9" t="str">
        <f>IFERROR(INDEX(Input!$L$20:$T$1019,INT((ROW()-9)/9)+1,MOD(ROW()-9,9)+1),"")</f>
        <v/>
      </c>
      <c r="C5531" s="9">
        <f t="shared" si="86"/>
        <v>0</v>
      </c>
    </row>
    <row r="5532" spans="1:3" x14ac:dyDescent="0.2">
      <c r="A5532" s="10" t="str">
        <f>IF(5524&gt;$C$9008,"",INDEX($B$9:$B$9008,MATCH(5524,$C$9:$C$9008,0)))</f>
        <v/>
      </c>
      <c r="B5532" s="9" t="str">
        <f>IFERROR(INDEX(Input!$L$20:$T$1019,INT((ROW()-9)/9)+1,MOD(ROW()-9,9)+1),"")</f>
        <v/>
      </c>
      <c r="C5532" s="9">
        <f t="shared" si="86"/>
        <v>0</v>
      </c>
    </row>
    <row r="5533" spans="1:3" x14ac:dyDescent="0.2">
      <c r="A5533" s="10" t="str">
        <f>IF(5525&gt;$C$9008,"",INDEX($B$9:$B$9008,MATCH(5525,$C$9:$C$9008,0)))</f>
        <v/>
      </c>
      <c r="B5533" s="9" t="str">
        <f>IFERROR(INDEX(Input!$L$20:$T$1019,INT((ROW()-9)/9)+1,MOD(ROW()-9,9)+1),"")</f>
        <v/>
      </c>
      <c r="C5533" s="9">
        <f t="shared" si="86"/>
        <v>0</v>
      </c>
    </row>
    <row r="5534" spans="1:3" x14ac:dyDescent="0.2">
      <c r="A5534" s="10" t="str">
        <f>IF(5526&gt;$C$9008,"",INDEX($B$9:$B$9008,MATCH(5526,$C$9:$C$9008,0)))</f>
        <v/>
      </c>
      <c r="B5534" s="9" t="str">
        <f>IFERROR(INDEX(Input!$L$20:$T$1019,INT((ROW()-9)/9)+1,MOD(ROW()-9,9)+1),"")</f>
        <v/>
      </c>
      <c r="C5534" s="9">
        <f t="shared" si="86"/>
        <v>0</v>
      </c>
    </row>
    <row r="5535" spans="1:3" x14ac:dyDescent="0.2">
      <c r="A5535" s="10" t="str">
        <f>IF(5527&gt;$C$9008,"",INDEX($B$9:$B$9008,MATCH(5527,$C$9:$C$9008,0)))</f>
        <v/>
      </c>
      <c r="B5535" s="9" t="str">
        <f>IFERROR(INDEX(Input!$L$20:$T$1019,INT((ROW()-9)/9)+1,MOD(ROW()-9,9)+1),"")</f>
        <v/>
      </c>
      <c r="C5535" s="9">
        <f t="shared" si="86"/>
        <v>0</v>
      </c>
    </row>
    <row r="5536" spans="1:3" x14ac:dyDescent="0.2">
      <c r="A5536" s="10" t="str">
        <f>IF(5528&gt;$C$9008,"",INDEX($B$9:$B$9008,MATCH(5528,$C$9:$C$9008,0)))</f>
        <v/>
      </c>
      <c r="B5536" s="9" t="str">
        <f>IFERROR(INDEX(Input!$L$20:$T$1019,INT((ROW()-9)/9)+1,MOD(ROW()-9,9)+1),"")</f>
        <v/>
      </c>
      <c r="C5536" s="9">
        <f t="shared" si="86"/>
        <v>0</v>
      </c>
    </row>
    <row r="5537" spans="1:3" x14ac:dyDescent="0.2">
      <c r="A5537" s="10" t="str">
        <f>IF(5529&gt;$C$9008,"",INDEX($B$9:$B$9008,MATCH(5529,$C$9:$C$9008,0)))</f>
        <v/>
      </c>
      <c r="B5537" s="9" t="str">
        <f>IFERROR(INDEX(Input!$L$20:$T$1019,INT((ROW()-9)/9)+1,MOD(ROW()-9,9)+1),"")</f>
        <v/>
      </c>
      <c r="C5537" s="9">
        <f t="shared" si="86"/>
        <v>0</v>
      </c>
    </row>
    <row r="5538" spans="1:3" x14ac:dyDescent="0.2">
      <c r="A5538" s="10" t="str">
        <f>IF(5530&gt;$C$9008,"",INDEX($B$9:$B$9008,MATCH(5530,$C$9:$C$9008,0)))</f>
        <v/>
      </c>
      <c r="B5538" s="9" t="str">
        <f>IFERROR(INDEX(Input!$L$20:$T$1019,INT((ROW()-9)/9)+1,MOD(ROW()-9,9)+1),"")</f>
        <v/>
      </c>
      <c r="C5538" s="9">
        <f t="shared" si="86"/>
        <v>0</v>
      </c>
    </row>
    <row r="5539" spans="1:3" x14ac:dyDescent="0.2">
      <c r="A5539" s="10" t="str">
        <f>IF(5531&gt;$C$9008,"",INDEX($B$9:$B$9008,MATCH(5531,$C$9:$C$9008,0)))</f>
        <v/>
      </c>
      <c r="B5539" s="9" t="str">
        <f>IFERROR(INDEX(Input!$L$20:$T$1019,INT((ROW()-9)/9)+1,MOD(ROW()-9,9)+1),"")</f>
        <v/>
      </c>
      <c r="C5539" s="9">
        <f t="shared" si="86"/>
        <v>0</v>
      </c>
    </row>
    <row r="5540" spans="1:3" x14ac:dyDescent="0.2">
      <c r="A5540" s="10" t="str">
        <f>IF(5532&gt;$C$9008,"",INDEX($B$9:$B$9008,MATCH(5532,$C$9:$C$9008,0)))</f>
        <v/>
      </c>
      <c r="B5540" s="9" t="str">
        <f>IFERROR(INDEX(Input!$L$20:$T$1019,INT((ROW()-9)/9)+1,MOD(ROW()-9,9)+1),"")</f>
        <v/>
      </c>
      <c r="C5540" s="9">
        <f t="shared" si="86"/>
        <v>0</v>
      </c>
    </row>
    <row r="5541" spans="1:3" x14ac:dyDescent="0.2">
      <c r="A5541" s="10" t="str">
        <f>IF(5533&gt;$C$9008,"",INDEX($B$9:$B$9008,MATCH(5533,$C$9:$C$9008,0)))</f>
        <v/>
      </c>
      <c r="B5541" s="9" t="str">
        <f>IFERROR(INDEX(Input!$L$20:$T$1019,INT((ROW()-9)/9)+1,MOD(ROW()-9,9)+1),"")</f>
        <v/>
      </c>
      <c r="C5541" s="9">
        <f t="shared" si="86"/>
        <v>0</v>
      </c>
    </row>
    <row r="5542" spans="1:3" x14ac:dyDescent="0.2">
      <c r="A5542" s="10" t="str">
        <f>IF(5534&gt;$C$9008,"",INDEX($B$9:$B$9008,MATCH(5534,$C$9:$C$9008,0)))</f>
        <v/>
      </c>
      <c r="B5542" s="9" t="str">
        <f>IFERROR(INDEX(Input!$L$20:$T$1019,INT((ROW()-9)/9)+1,MOD(ROW()-9,9)+1),"")</f>
        <v/>
      </c>
      <c r="C5542" s="9">
        <f t="shared" si="86"/>
        <v>0</v>
      </c>
    </row>
    <row r="5543" spans="1:3" x14ac:dyDescent="0.2">
      <c r="A5543" s="10" t="str">
        <f>IF(5535&gt;$C$9008,"",INDEX($B$9:$B$9008,MATCH(5535,$C$9:$C$9008,0)))</f>
        <v/>
      </c>
      <c r="B5543" s="9" t="str">
        <f>IFERROR(INDEX(Input!$L$20:$T$1019,INT((ROW()-9)/9)+1,MOD(ROW()-9,9)+1),"")</f>
        <v/>
      </c>
      <c r="C5543" s="9">
        <f t="shared" si="86"/>
        <v>0</v>
      </c>
    </row>
    <row r="5544" spans="1:3" x14ac:dyDescent="0.2">
      <c r="A5544" s="10" t="str">
        <f>IF(5536&gt;$C$9008,"",INDEX($B$9:$B$9008,MATCH(5536,$C$9:$C$9008,0)))</f>
        <v/>
      </c>
      <c r="B5544" s="9" t="str">
        <f>IFERROR(INDEX(Input!$L$20:$T$1019,INT((ROW()-9)/9)+1,MOD(ROW()-9,9)+1),"")</f>
        <v/>
      </c>
      <c r="C5544" s="9">
        <f t="shared" si="86"/>
        <v>0</v>
      </c>
    </row>
    <row r="5545" spans="1:3" x14ac:dyDescent="0.2">
      <c r="A5545" s="10" t="str">
        <f>IF(5537&gt;$C$9008,"",INDEX($B$9:$B$9008,MATCH(5537,$C$9:$C$9008,0)))</f>
        <v/>
      </c>
      <c r="B5545" s="9" t="str">
        <f>IFERROR(INDEX(Input!$L$20:$T$1019,INT((ROW()-9)/9)+1,MOD(ROW()-9,9)+1),"")</f>
        <v/>
      </c>
      <c r="C5545" s="9">
        <f t="shared" si="86"/>
        <v>0</v>
      </c>
    </row>
    <row r="5546" spans="1:3" x14ac:dyDescent="0.2">
      <c r="A5546" s="10" t="str">
        <f>IF(5538&gt;$C$9008,"",INDEX($B$9:$B$9008,MATCH(5538,$C$9:$C$9008,0)))</f>
        <v/>
      </c>
      <c r="B5546" s="9" t="str">
        <f>IFERROR(INDEX(Input!$L$20:$T$1019,INT((ROW()-9)/9)+1,MOD(ROW()-9,9)+1),"")</f>
        <v/>
      </c>
      <c r="C5546" s="9">
        <f t="shared" si="86"/>
        <v>0</v>
      </c>
    </row>
    <row r="5547" spans="1:3" x14ac:dyDescent="0.2">
      <c r="A5547" s="10" t="str">
        <f>IF(5539&gt;$C$9008,"",INDEX($B$9:$B$9008,MATCH(5539,$C$9:$C$9008,0)))</f>
        <v/>
      </c>
      <c r="B5547" s="9" t="str">
        <f>IFERROR(INDEX(Input!$L$20:$T$1019,INT((ROW()-9)/9)+1,MOD(ROW()-9,9)+1),"")</f>
        <v/>
      </c>
      <c r="C5547" s="9">
        <f t="shared" si="86"/>
        <v>0</v>
      </c>
    </row>
    <row r="5548" spans="1:3" x14ac:dyDescent="0.2">
      <c r="A5548" s="10" t="str">
        <f>IF(5540&gt;$C$9008,"",INDEX($B$9:$B$9008,MATCH(5540,$C$9:$C$9008,0)))</f>
        <v/>
      </c>
      <c r="B5548" s="9" t="str">
        <f>IFERROR(INDEX(Input!$L$20:$T$1019,INT((ROW()-9)/9)+1,MOD(ROW()-9,9)+1),"")</f>
        <v/>
      </c>
      <c r="C5548" s="9">
        <f t="shared" si="86"/>
        <v>0</v>
      </c>
    </row>
    <row r="5549" spans="1:3" x14ac:dyDescent="0.2">
      <c r="A5549" s="10" t="str">
        <f>IF(5541&gt;$C$9008,"",INDEX($B$9:$B$9008,MATCH(5541,$C$9:$C$9008,0)))</f>
        <v/>
      </c>
      <c r="B5549" s="9" t="str">
        <f>IFERROR(INDEX(Input!$L$20:$T$1019,INT((ROW()-9)/9)+1,MOD(ROW()-9,9)+1),"")</f>
        <v/>
      </c>
      <c r="C5549" s="9">
        <f t="shared" si="86"/>
        <v>0</v>
      </c>
    </row>
    <row r="5550" spans="1:3" x14ac:dyDescent="0.2">
      <c r="A5550" s="10" t="str">
        <f>IF(5542&gt;$C$9008,"",INDEX($B$9:$B$9008,MATCH(5542,$C$9:$C$9008,0)))</f>
        <v/>
      </c>
      <c r="B5550" s="9" t="str">
        <f>IFERROR(INDEX(Input!$L$20:$T$1019,INT((ROW()-9)/9)+1,MOD(ROW()-9,9)+1),"")</f>
        <v/>
      </c>
      <c r="C5550" s="9">
        <f t="shared" si="86"/>
        <v>0</v>
      </c>
    </row>
    <row r="5551" spans="1:3" x14ac:dyDescent="0.2">
      <c r="A5551" s="10" t="str">
        <f>IF(5543&gt;$C$9008,"",INDEX($B$9:$B$9008,MATCH(5543,$C$9:$C$9008,0)))</f>
        <v/>
      </c>
      <c r="B5551" s="9" t="str">
        <f>IFERROR(INDEX(Input!$L$20:$T$1019,INT((ROW()-9)/9)+1,MOD(ROW()-9,9)+1),"")</f>
        <v/>
      </c>
      <c r="C5551" s="9">
        <f t="shared" si="86"/>
        <v>0</v>
      </c>
    </row>
    <row r="5552" spans="1:3" x14ac:dyDescent="0.2">
      <c r="A5552" s="10" t="str">
        <f>IF(5544&gt;$C$9008,"",INDEX($B$9:$B$9008,MATCH(5544,$C$9:$C$9008,0)))</f>
        <v/>
      </c>
      <c r="B5552" s="9" t="str">
        <f>IFERROR(INDEX(Input!$L$20:$T$1019,INT((ROW()-9)/9)+1,MOD(ROW()-9,9)+1),"")</f>
        <v/>
      </c>
      <c r="C5552" s="9">
        <f t="shared" si="86"/>
        <v>0</v>
      </c>
    </row>
    <row r="5553" spans="1:3" x14ac:dyDescent="0.2">
      <c r="A5553" s="10" t="str">
        <f>IF(5545&gt;$C$9008,"",INDEX($B$9:$B$9008,MATCH(5545,$C$9:$C$9008,0)))</f>
        <v/>
      </c>
      <c r="B5553" s="9" t="str">
        <f>IFERROR(INDEX(Input!$L$20:$T$1019,INT((ROW()-9)/9)+1,MOD(ROW()-9,9)+1),"")</f>
        <v/>
      </c>
      <c r="C5553" s="9">
        <f t="shared" si="86"/>
        <v>0</v>
      </c>
    </row>
    <row r="5554" spans="1:3" x14ac:dyDescent="0.2">
      <c r="A5554" s="10" t="str">
        <f>IF(5546&gt;$C$9008,"",INDEX($B$9:$B$9008,MATCH(5546,$C$9:$C$9008,0)))</f>
        <v/>
      </c>
      <c r="B5554" s="9" t="str">
        <f>IFERROR(INDEX(Input!$L$20:$T$1019,INT((ROW()-9)/9)+1,MOD(ROW()-9,9)+1),"")</f>
        <v/>
      </c>
      <c r="C5554" s="9">
        <f t="shared" si="86"/>
        <v>0</v>
      </c>
    </row>
    <row r="5555" spans="1:3" x14ac:dyDescent="0.2">
      <c r="A5555" s="10" t="str">
        <f>IF(5547&gt;$C$9008,"",INDEX($B$9:$B$9008,MATCH(5547,$C$9:$C$9008,0)))</f>
        <v/>
      </c>
      <c r="B5555" s="9" t="str">
        <f>IFERROR(INDEX(Input!$L$20:$T$1019,INT((ROW()-9)/9)+1,MOD(ROW()-9,9)+1),"")</f>
        <v/>
      </c>
      <c r="C5555" s="9">
        <f t="shared" si="86"/>
        <v>0</v>
      </c>
    </row>
    <row r="5556" spans="1:3" x14ac:dyDescent="0.2">
      <c r="A5556" s="10" t="str">
        <f>IF(5548&gt;$C$9008,"",INDEX($B$9:$B$9008,MATCH(5548,$C$9:$C$9008,0)))</f>
        <v/>
      </c>
      <c r="B5556" s="9" t="str">
        <f>IFERROR(INDEX(Input!$L$20:$T$1019,INT((ROW()-9)/9)+1,MOD(ROW()-9,9)+1),"")</f>
        <v/>
      </c>
      <c r="C5556" s="9">
        <f t="shared" si="86"/>
        <v>0</v>
      </c>
    </row>
    <row r="5557" spans="1:3" x14ac:dyDescent="0.2">
      <c r="A5557" s="10" t="str">
        <f>IF(5549&gt;$C$9008,"",INDEX($B$9:$B$9008,MATCH(5549,$C$9:$C$9008,0)))</f>
        <v/>
      </c>
      <c r="B5557" s="9" t="str">
        <f>IFERROR(INDEX(Input!$L$20:$T$1019,INT((ROW()-9)/9)+1,MOD(ROW()-9,9)+1),"")</f>
        <v/>
      </c>
      <c r="C5557" s="9">
        <f t="shared" si="86"/>
        <v>0</v>
      </c>
    </row>
    <row r="5558" spans="1:3" x14ac:dyDescent="0.2">
      <c r="A5558" s="10" t="str">
        <f>IF(5550&gt;$C$9008,"",INDEX($B$9:$B$9008,MATCH(5550,$C$9:$C$9008,0)))</f>
        <v/>
      </c>
      <c r="B5558" s="9" t="str">
        <f>IFERROR(INDEX(Input!$L$20:$T$1019,INT((ROW()-9)/9)+1,MOD(ROW()-9,9)+1),"")</f>
        <v/>
      </c>
      <c r="C5558" s="9">
        <f t="shared" si="86"/>
        <v>0</v>
      </c>
    </row>
    <row r="5559" spans="1:3" x14ac:dyDescent="0.2">
      <c r="A5559" s="10" t="str">
        <f>IF(5551&gt;$C$9008,"",INDEX($B$9:$B$9008,MATCH(5551,$C$9:$C$9008,0)))</f>
        <v/>
      </c>
      <c r="B5559" s="9" t="str">
        <f>IFERROR(INDEX(Input!$L$20:$T$1019,INT((ROW()-9)/9)+1,MOD(ROW()-9,9)+1),"")</f>
        <v/>
      </c>
      <c r="C5559" s="9">
        <f t="shared" si="86"/>
        <v>0</v>
      </c>
    </row>
    <row r="5560" spans="1:3" x14ac:dyDescent="0.2">
      <c r="A5560" s="10" t="str">
        <f>IF(5552&gt;$C$9008,"",INDEX($B$9:$B$9008,MATCH(5552,$C$9:$C$9008,0)))</f>
        <v/>
      </c>
      <c r="B5560" s="9" t="str">
        <f>IFERROR(INDEX(Input!$L$20:$T$1019,INT((ROW()-9)/9)+1,MOD(ROW()-9,9)+1),"")</f>
        <v/>
      </c>
      <c r="C5560" s="9">
        <f t="shared" si="86"/>
        <v>0</v>
      </c>
    </row>
    <row r="5561" spans="1:3" x14ac:dyDescent="0.2">
      <c r="A5561" s="10" t="str">
        <f>IF(5553&gt;$C$9008,"",INDEX($B$9:$B$9008,MATCH(5553,$C$9:$C$9008,0)))</f>
        <v/>
      </c>
      <c r="B5561" s="9" t="str">
        <f>IFERROR(INDEX(Input!$L$20:$T$1019,INT((ROW()-9)/9)+1,MOD(ROW()-9,9)+1),"")</f>
        <v/>
      </c>
      <c r="C5561" s="9">
        <f t="shared" si="86"/>
        <v>0</v>
      </c>
    </row>
    <row r="5562" spans="1:3" x14ac:dyDescent="0.2">
      <c r="A5562" s="10" t="str">
        <f>IF(5554&gt;$C$9008,"",INDEX($B$9:$B$9008,MATCH(5554,$C$9:$C$9008,0)))</f>
        <v/>
      </c>
      <c r="B5562" s="9" t="str">
        <f>IFERROR(INDEX(Input!$L$20:$T$1019,INT((ROW()-9)/9)+1,MOD(ROW()-9,9)+1),"")</f>
        <v/>
      </c>
      <c r="C5562" s="9">
        <f t="shared" si="86"/>
        <v>0</v>
      </c>
    </row>
    <row r="5563" spans="1:3" x14ac:dyDescent="0.2">
      <c r="A5563" s="10" t="str">
        <f>IF(5555&gt;$C$9008,"",INDEX($B$9:$B$9008,MATCH(5555,$C$9:$C$9008,0)))</f>
        <v/>
      </c>
      <c r="B5563" s="9" t="str">
        <f>IFERROR(INDEX(Input!$L$20:$T$1019,INT((ROW()-9)/9)+1,MOD(ROW()-9,9)+1),"")</f>
        <v/>
      </c>
      <c r="C5563" s="9">
        <f t="shared" si="86"/>
        <v>0</v>
      </c>
    </row>
    <row r="5564" spans="1:3" x14ac:dyDescent="0.2">
      <c r="A5564" s="10" t="str">
        <f>IF(5556&gt;$C$9008,"",INDEX($B$9:$B$9008,MATCH(5556,$C$9:$C$9008,0)))</f>
        <v/>
      </c>
      <c r="B5564" s="9" t="str">
        <f>IFERROR(INDEX(Input!$L$20:$T$1019,INT((ROW()-9)/9)+1,MOD(ROW()-9,9)+1),"")</f>
        <v/>
      </c>
      <c r="C5564" s="9">
        <f t="shared" si="86"/>
        <v>0</v>
      </c>
    </row>
    <row r="5565" spans="1:3" x14ac:dyDescent="0.2">
      <c r="A5565" s="10" t="str">
        <f>IF(5557&gt;$C$9008,"",INDEX($B$9:$B$9008,MATCH(5557,$C$9:$C$9008,0)))</f>
        <v/>
      </c>
      <c r="B5565" s="9" t="str">
        <f>IFERROR(INDEX(Input!$L$20:$T$1019,INT((ROW()-9)/9)+1,MOD(ROW()-9,9)+1),"")</f>
        <v/>
      </c>
      <c r="C5565" s="9">
        <f t="shared" si="86"/>
        <v>0</v>
      </c>
    </row>
    <row r="5566" spans="1:3" x14ac:dyDescent="0.2">
      <c r="A5566" s="10" t="str">
        <f>IF(5558&gt;$C$9008,"",INDEX($B$9:$B$9008,MATCH(5558,$C$9:$C$9008,0)))</f>
        <v/>
      </c>
      <c r="B5566" s="9" t="str">
        <f>IFERROR(INDEX(Input!$L$20:$T$1019,INT((ROW()-9)/9)+1,MOD(ROW()-9,9)+1),"")</f>
        <v/>
      </c>
      <c r="C5566" s="9">
        <f t="shared" si="86"/>
        <v>0</v>
      </c>
    </row>
    <row r="5567" spans="1:3" x14ac:dyDescent="0.2">
      <c r="A5567" s="10" t="str">
        <f>IF(5559&gt;$C$9008,"",INDEX($B$9:$B$9008,MATCH(5559,$C$9:$C$9008,0)))</f>
        <v/>
      </c>
      <c r="B5567" s="9" t="str">
        <f>IFERROR(INDEX(Input!$L$20:$T$1019,INT((ROW()-9)/9)+1,MOD(ROW()-9,9)+1),"")</f>
        <v/>
      </c>
      <c r="C5567" s="9">
        <f t="shared" si="86"/>
        <v>0</v>
      </c>
    </row>
    <row r="5568" spans="1:3" x14ac:dyDescent="0.2">
      <c r="A5568" s="10" t="str">
        <f>IF(5560&gt;$C$9008,"",INDEX($B$9:$B$9008,MATCH(5560,$C$9:$C$9008,0)))</f>
        <v/>
      </c>
      <c r="B5568" s="9" t="str">
        <f>IFERROR(INDEX(Input!$L$20:$T$1019,INT((ROW()-9)/9)+1,MOD(ROW()-9,9)+1),"")</f>
        <v/>
      </c>
      <c r="C5568" s="9">
        <f t="shared" si="86"/>
        <v>0</v>
      </c>
    </row>
    <row r="5569" spans="1:3" x14ac:dyDescent="0.2">
      <c r="A5569" s="10" t="str">
        <f>IF(5561&gt;$C$9008,"",INDEX($B$9:$B$9008,MATCH(5561,$C$9:$C$9008,0)))</f>
        <v/>
      </c>
      <c r="B5569" s="9" t="str">
        <f>IFERROR(INDEX(Input!$L$20:$T$1019,INT((ROW()-9)/9)+1,MOD(ROW()-9,9)+1),"")</f>
        <v/>
      </c>
      <c r="C5569" s="9">
        <f t="shared" si="86"/>
        <v>0</v>
      </c>
    </row>
    <row r="5570" spans="1:3" x14ac:dyDescent="0.2">
      <c r="A5570" s="10" t="str">
        <f>IF(5562&gt;$C$9008,"",INDEX($B$9:$B$9008,MATCH(5562,$C$9:$C$9008,0)))</f>
        <v/>
      </c>
      <c r="B5570" s="9" t="str">
        <f>IFERROR(INDEX(Input!$L$20:$T$1019,INT((ROW()-9)/9)+1,MOD(ROW()-9,9)+1),"")</f>
        <v/>
      </c>
      <c r="C5570" s="9">
        <f t="shared" si="86"/>
        <v>0</v>
      </c>
    </row>
    <row r="5571" spans="1:3" x14ac:dyDescent="0.2">
      <c r="A5571" s="10" t="str">
        <f>IF(5563&gt;$C$9008,"",INDEX($B$9:$B$9008,MATCH(5563,$C$9:$C$9008,0)))</f>
        <v/>
      </c>
      <c r="B5571" s="9" t="str">
        <f>IFERROR(INDEX(Input!$L$20:$T$1019,INT((ROW()-9)/9)+1,MOD(ROW()-9,9)+1),"")</f>
        <v/>
      </c>
      <c r="C5571" s="9">
        <f t="shared" si="86"/>
        <v>0</v>
      </c>
    </row>
    <row r="5572" spans="1:3" x14ac:dyDescent="0.2">
      <c r="A5572" s="10" t="str">
        <f>IF(5564&gt;$C$9008,"",INDEX($B$9:$B$9008,MATCH(5564,$C$9:$C$9008,0)))</f>
        <v/>
      </c>
      <c r="B5572" s="9" t="str">
        <f>IFERROR(INDEX(Input!$L$20:$T$1019,INT((ROW()-9)/9)+1,MOD(ROW()-9,9)+1),"")</f>
        <v/>
      </c>
      <c r="C5572" s="9">
        <f t="shared" si="86"/>
        <v>0</v>
      </c>
    </row>
    <row r="5573" spans="1:3" x14ac:dyDescent="0.2">
      <c r="A5573" s="10" t="str">
        <f>IF(5565&gt;$C$9008,"",INDEX($B$9:$B$9008,MATCH(5565,$C$9:$C$9008,0)))</f>
        <v/>
      </c>
      <c r="B5573" s="9" t="str">
        <f>IFERROR(INDEX(Input!$L$20:$T$1019,INT((ROW()-9)/9)+1,MOD(ROW()-9,9)+1),"")</f>
        <v/>
      </c>
      <c r="C5573" s="9">
        <f t="shared" si="86"/>
        <v>0</v>
      </c>
    </row>
    <row r="5574" spans="1:3" x14ac:dyDescent="0.2">
      <c r="A5574" s="10" t="str">
        <f>IF(5566&gt;$C$9008,"",INDEX($B$9:$B$9008,MATCH(5566,$C$9:$C$9008,0)))</f>
        <v/>
      </c>
      <c r="B5574" s="9" t="str">
        <f>IFERROR(INDEX(Input!$L$20:$T$1019,INT((ROW()-9)/9)+1,MOD(ROW()-9,9)+1),"")</f>
        <v/>
      </c>
      <c r="C5574" s="9">
        <f t="shared" si="86"/>
        <v>0</v>
      </c>
    </row>
    <row r="5575" spans="1:3" x14ac:dyDescent="0.2">
      <c r="A5575" s="10" t="str">
        <f>IF(5567&gt;$C$9008,"",INDEX($B$9:$B$9008,MATCH(5567,$C$9:$C$9008,0)))</f>
        <v/>
      </c>
      <c r="B5575" s="9" t="str">
        <f>IFERROR(INDEX(Input!$L$20:$T$1019,INT((ROW()-9)/9)+1,MOD(ROW()-9,9)+1),"")</f>
        <v/>
      </c>
      <c r="C5575" s="9">
        <f t="shared" si="86"/>
        <v>0</v>
      </c>
    </row>
    <row r="5576" spans="1:3" x14ac:dyDescent="0.2">
      <c r="A5576" s="10" t="str">
        <f>IF(5568&gt;$C$9008,"",INDEX($B$9:$B$9008,MATCH(5568,$C$9:$C$9008,0)))</f>
        <v/>
      </c>
      <c r="B5576" s="9" t="str">
        <f>IFERROR(INDEX(Input!$L$20:$T$1019,INT((ROW()-9)/9)+1,MOD(ROW()-9,9)+1),"")</f>
        <v/>
      </c>
      <c r="C5576" s="9">
        <f t="shared" si="86"/>
        <v>0</v>
      </c>
    </row>
    <row r="5577" spans="1:3" x14ac:dyDescent="0.2">
      <c r="A5577" s="10" t="str">
        <f>IF(5569&gt;$C$9008,"",INDEX($B$9:$B$9008,MATCH(5569,$C$9:$C$9008,0)))</f>
        <v/>
      </c>
      <c r="B5577" s="9" t="str">
        <f>IFERROR(INDEX(Input!$L$20:$T$1019,INT((ROW()-9)/9)+1,MOD(ROW()-9,9)+1),"")</f>
        <v/>
      </c>
      <c r="C5577" s="9">
        <f t="shared" ref="C5577:C5640" si="87">$C5576+IF($B5577&lt;&gt;"",1,0)</f>
        <v>0</v>
      </c>
    </row>
    <row r="5578" spans="1:3" x14ac:dyDescent="0.2">
      <c r="A5578" s="10" t="str">
        <f>IF(5570&gt;$C$9008,"",INDEX($B$9:$B$9008,MATCH(5570,$C$9:$C$9008,0)))</f>
        <v/>
      </c>
      <c r="B5578" s="9" t="str">
        <f>IFERROR(INDEX(Input!$L$20:$T$1019,INT((ROW()-9)/9)+1,MOD(ROW()-9,9)+1),"")</f>
        <v/>
      </c>
      <c r="C5578" s="9">
        <f t="shared" si="87"/>
        <v>0</v>
      </c>
    </row>
    <row r="5579" spans="1:3" x14ac:dyDescent="0.2">
      <c r="A5579" s="10" t="str">
        <f>IF(5571&gt;$C$9008,"",INDEX($B$9:$B$9008,MATCH(5571,$C$9:$C$9008,0)))</f>
        <v/>
      </c>
      <c r="B5579" s="9" t="str">
        <f>IFERROR(INDEX(Input!$L$20:$T$1019,INT((ROW()-9)/9)+1,MOD(ROW()-9,9)+1),"")</f>
        <v/>
      </c>
      <c r="C5579" s="9">
        <f t="shared" si="87"/>
        <v>0</v>
      </c>
    </row>
    <row r="5580" spans="1:3" x14ac:dyDescent="0.2">
      <c r="A5580" s="10" t="str">
        <f>IF(5572&gt;$C$9008,"",INDEX($B$9:$B$9008,MATCH(5572,$C$9:$C$9008,0)))</f>
        <v/>
      </c>
      <c r="B5580" s="9" t="str">
        <f>IFERROR(INDEX(Input!$L$20:$T$1019,INT((ROW()-9)/9)+1,MOD(ROW()-9,9)+1),"")</f>
        <v/>
      </c>
      <c r="C5580" s="9">
        <f t="shared" si="87"/>
        <v>0</v>
      </c>
    </row>
    <row r="5581" spans="1:3" x14ac:dyDescent="0.2">
      <c r="A5581" s="10" t="str">
        <f>IF(5573&gt;$C$9008,"",INDEX($B$9:$B$9008,MATCH(5573,$C$9:$C$9008,0)))</f>
        <v/>
      </c>
      <c r="B5581" s="9" t="str">
        <f>IFERROR(INDEX(Input!$L$20:$T$1019,INT((ROW()-9)/9)+1,MOD(ROW()-9,9)+1),"")</f>
        <v/>
      </c>
      <c r="C5581" s="9">
        <f t="shared" si="87"/>
        <v>0</v>
      </c>
    </row>
    <row r="5582" spans="1:3" x14ac:dyDescent="0.2">
      <c r="A5582" s="10" t="str">
        <f>IF(5574&gt;$C$9008,"",INDEX($B$9:$B$9008,MATCH(5574,$C$9:$C$9008,0)))</f>
        <v/>
      </c>
      <c r="B5582" s="9" t="str">
        <f>IFERROR(INDEX(Input!$L$20:$T$1019,INT((ROW()-9)/9)+1,MOD(ROW()-9,9)+1),"")</f>
        <v/>
      </c>
      <c r="C5582" s="9">
        <f t="shared" si="87"/>
        <v>0</v>
      </c>
    </row>
    <row r="5583" spans="1:3" x14ac:dyDescent="0.2">
      <c r="A5583" s="10" t="str">
        <f>IF(5575&gt;$C$9008,"",INDEX($B$9:$B$9008,MATCH(5575,$C$9:$C$9008,0)))</f>
        <v/>
      </c>
      <c r="B5583" s="9" t="str">
        <f>IFERROR(INDEX(Input!$L$20:$T$1019,INT((ROW()-9)/9)+1,MOD(ROW()-9,9)+1),"")</f>
        <v/>
      </c>
      <c r="C5583" s="9">
        <f t="shared" si="87"/>
        <v>0</v>
      </c>
    </row>
    <row r="5584" spans="1:3" x14ac:dyDescent="0.2">
      <c r="A5584" s="10" t="str">
        <f>IF(5576&gt;$C$9008,"",INDEX($B$9:$B$9008,MATCH(5576,$C$9:$C$9008,0)))</f>
        <v/>
      </c>
      <c r="B5584" s="9" t="str">
        <f>IFERROR(INDEX(Input!$L$20:$T$1019,INT((ROW()-9)/9)+1,MOD(ROW()-9,9)+1),"")</f>
        <v/>
      </c>
      <c r="C5584" s="9">
        <f t="shared" si="87"/>
        <v>0</v>
      </c>
    </row>
    <row r="5585" spans="1:3" x14ac:dyDescent="0.2">
      <c r="A5585" s="10" t="str">
        <f>IF(5577&gt;$C$9008,"",INDEX($B$9:$B$9008,MATCH(5577,$C$9:$C$9008,0)))</f>
        <v/>
      </c>
      <c r="B5585" s="9" t="str">
        <f>IFERROR(INDEX(Input!$L$20:$T$1019,INT((ROW()-9)/9)+1,MOD(ROW()-9,9)+1),"")</f>
        <v/>
      </c>
      <c r="C5585" s="9">
        <f t="shared" si="87"/>
        <v>0</v>
      </c>
    </row>
    <row r="5586" spans="1:3" x14ac:dyDescent="0.2">
      <c r="A5586" s="10" t="str">
        <f>IF(5578&gt;$C$9008,"",INDEX($B$9:$B$9008,MATCH(5578,$C$9:$C$9008,0)))</f>
        <v/>
      </c>
      <c r="B5586" s="9" t="str">
        <f>IFERROR(INDEX(Input!$L$20:$T$1019,INT((ROW()-9)/9)+1,MOD(ROW()-9,9)+1),"")</f>
        <v/>
      </c>
      <c r="C5586" s="9">
        <f t="shared" si="87"/>
        <v>0</v>
      </c>
    </row>
    <row r="5587" spans="1:3" x14ac:dyDescent="0.2">
      <c r="A5587" s="10" t="str">
        <f>IF(5579&gt;$C$9008,"",INDEX($B$9:$B$9008,MATCH(5579,$C$9:$C$9008,0)))</f>
        <v/>
      </c>
      <c r="B5587" s="9" t="str">
        <f>IFERROR(INDEX(Input!$L$20:$T$1019,INT((ROW()-9)/9)+1,MOD(ROW()-9,9)+1),"")</f>
        <v/>
      </c>
      <c r="C5587" s="9">
        <f t="shared" si="87"/>
        <v>0</v>
      </c>
    </row>
    <row r="5588" spans="1:3" x14ac:dyDescent="0.2">
      <c r="A5588" s="10" t="str">
        <f>IF(5580&gt;$C$9008,"",INDEX($B$9:$B$9008,MATCH(5580,$C$9:$C$9008,0)))</f>
        <v/>
      </c>
      <c r="B5588" s="9" t="str">
        <f>IFERROR(INDEX(Input!$L$20:$T$1019,INT((ROW()-9)/9)+1,MOD(ROW()-9,9)+1),"")</f>
        <v/>
      </c>
      <c r="C5588" s="9">
        <f t="shared" si="87"/>
        <v>0</v>
      </c>
    </row>
    <row r="5589" spans="1:3" x14ac:dyDescent="0.2">
      <c r="A5589" s="10" t="str">
        <f>IF(5581&gt;$C$9008,"",INDEX($B$9:$B$9008,MATCH(5581,$C$9:$C$9008,0)))</f>
        <v/>
      </c>
      <c r="B5589" s="9" t="str">
        <f>IFERROR(INDEX(Input!$L$20:$T$1019,INT((ROW()-9)/9)+1,MOD(ROW()-9,9)+1),"")</f>
        <v/>
      </c>
      <c r="C5589" s="9">
        <f t="shared" si="87"/>
        <v>0</v>
      </c>
    </row>
    <row r="5590" spans="1:3" x14ac:dyDescent="0.2">
      <c r="A5590" s="10" t="str">
        <f>IF(5582&gt;$C$9008,"",INDEX($B$9:$B$9008,MATCH(5582,$C$9:$C$9008,0)))</f>
        <v/>
      </c>
      <c r="B5590" s="9" t="str">
        <f>IFERROR(INDEX(Input!$L$20:$T$1019,INT((ROW()-9)/9)+1,MOD(ROW()-9,9)+1),"")</f>
        <v/>
      </c>
      <c r="C5590" s="9">
        <f t="shared" si="87"/>
        <v>0</v>
      </c>
    </row>
    <row r="5591" spans="1:3" x14ac:dyDescent="0.2">
      <c r="A5591" s="10" t="str">
        <f>IF(5583&gt;$C$9008,"",INDEX($B$9:$B$9008,MATCH(5583,$C$9:$C$9008,0)))</f>
        <v/>
      </c>
      <c r="B5591" s="9" t="str">
        <f>IFERROR(INDEX(Input!$L$20:$T$1019,INT((ROW()-9)/9)+1,MOD(ROW()-9,9)+1),"")</f>
        <v/>
      </c>
      <c r="C5591" s="9">
        <f t="shared" si="87"/>
        <v>0</v>
      </c>
    </row>
    <row r="5592" spans="1:3" x14ac:dyDescent="0.2">
      <c r="A5592" s="10" t="str">
        <f>IF(5584&gt;$C$9008,"",INDEX($B$9:$B$9008,MATCH(5584,$C$9:$C$9008,0)))</f>
        <v/>
      </c>
      <c r="B5592" s="9" t="str">
        <f>IFERROR(INDEX(Input!$L$20:$T$1019,INT((ROW()-9)/9)+1,MOD(ROW()-9,9)+1),"")</f>
        <v/>
      </c>
      <c r="C5592" s="9">
        <f t="shared" si="87"/>
        <v>0</v>
      </c>
    </row>
    <row r="5593" spans="1:3" x14ac:dyDescent="0.2">
      <c r="A5593" s="10" t="str">
        <f>IF(5585&gt;$C$9008,"",INDEX($B$9:$B$9008,MATCH(5585,$C$9:$C$9008,0)))</f>
        <v/>
      </c>
      <c r="B5593" s="9" t="str">
        <f>IFERROR(INDEX(Input!$L$20:$T$1019,INT((ROW()-9)/9)+1,MOD(ROW()-9,9)+1),"")</f>
        <v/>
      </c>
      <c r="C5593" s="9">
        <f t="shared" si="87"/>
        <v>0</v>
      </c>
    </row>
    <row r="5594" spans="1:3" x14ac:dyDescent="0.2">
      <c r="A5594" s="10" t="str">
        <f>IF(5586&gt;$C$9008,"",INDEX($B$9:$B$9008,MATCH(5586,$C$9:$C$9008,0)))</f>
        <v/>
      </c>
      <c r="B5594" s="9" t="str">
        <f>IFERROR(INDEX(Input!$L$20:$T$1019,INT((ROW()-9)/9)+1,MOD(ROW()-9,9)+1),"")</f>
        <v/>
      </c>
      <c r="C5594" s="9">
        <f t="shared" si="87"/>
        <v>0</v>
      </c>
    </row>
    <row r="5595" spans="1:3" x14ac:dyDescent="0.2">
      <c r="A5595" s="10" t="str">
        <f>IF(5587&gt;$C$9008,"",INDEX($B$9:$B$9008,MATCH(5587,$C$9:$C$9008,0)))</f>
        <v/>
      </c>
      <c r="B5595" s="9" t="str">
        <f>IFERROR(INDEX(Input!$L$20:$T$1019,INT((ROW()-9)/9)+1,MOD(ROW()-9,9)+1),"")</f>
        <v/>
      </c>
      <c r="C5595" s="9">
        <f t="shared" si="87"/>
        <v>0</v>
      </c>
    </row>
    <row r="5596" spans="1:3" x14ac:dyDescent="0.2">
      <c r="A5596" s="10" t="str">
        <f>IF(5588&gt;$C$9008,"",INDEX($B$9:$B$9008,MATCH(5588,$C$9:$C$9008,0)))</f>
        <v/>
      </c>
      <c r="B5596" s="9" t="str">
        <f>IFERROR(INDEX(Input!$L$20:$T$1019,INT((ROW()-9)/9)+1,MOD(ROW()-9,9)+1),"")</f>
        <v/>
      </c>
      <c r="C5596" s="9">
        <f t="shared" si="87"/>
        <v>0</v>
      </c>
    </row>
    <row r="5597" spans="1:3" x14ac:dyDescent="0.2">
      <c r="A5597" s="10" t="str">
        <f>IF(5589&gt;$C$9008,"",INDEX($B$9:$B$9008,MATCH(5589,$C$9:$C$9008,0)))</f>
        <v/>
      </c>
      <c r="B5597" s="9" t="str">
        <f>IFERROR(INDEX(Input!$L$20:$T$1019,INT((ROW()-9)/9)+1,MOD(ROW()-9,9)+1),"")</f>
        <v/>
      </c>
      <c r="C5597" s="9">
        <f t="shared" si="87"/>
        <v>0</v>
      </c>
    </row>
    <row r="5598" spans="1:3" x14ac:dyDescent="0.2">
      <c r="A5598" s="10" t="str">
        <f>IF(5590&gt;$C$9008,"",INDEX($B$9:$B$9008,MATCH(5590,$C$9:$C$9008,0)))</f>
        <v/>
      </c>
      <c r="B5598" s="9" t="str">
        <f>IFERROR(INDEX(Input!$L$20:$T$1019,INT((ROW()-9)/9)+1,MOD(ROW()-9,9)+1),"")</f>
        <v/>
      </c>
      <c r="C5598" s="9">
        <f t="shared" si="87"/>
        <v>0</v>
      </c>
    </row>
    <row r="5599" spans="1:3" x14ac:dyDescent="0.2">
      <c r="A5599" s="10" t="str">
        <f>IF(5591&gt;$C$9008,"",INDEX($B$9:$B$9008,MATCH(5591,$C$9:$C$9008,0)))</f>
        <v/>
      </c>
      <c r="B5599" s="9" t="str">
        <f>IFERROR(INDEX(Input!$L$20:$T$1019,INT((ROW()-9)/9)+1,MOD(ROW()-9,9)+1),"")</f>
        <v/>
      </c>
      <c r="C5599" s="9">
        <f t="shared" si="87"/>
        <v>0</v>
      </c>
    </row>
    <row r="5600" spans="1:3" x14ac:dyDescent="0.2">
      <c r="A5600" s="10" t="str">
        <f>IF(5592&gt;$C$9008,"",INDEX($B$9:$B$9008,MATCH(5592,$C$9:$C$9008,0)))</f>
        <v/>
      </c>
      <c r="B5600" s="9" t="str">
        <f>IFERROR(INDEX(Input!$L$20:$T$1019,INT((ROW()-9)/9)+1,MOD(ROW()-9,9)+1),"")</f>
        <v/>
      </c>
      <c r="C5600" s="9">
        <f t="shared" si="87"/>
        <v>0</v>
      </c>
    </row>
    <row r="5601" spans="1:3" x14ac:dyDescent="0.2">
      <c r="A5601" s="10" t="str">
        <f>IF(5593&gt;$C$9008,"",INDEX($B$9:$B$9008,MATCH(5593,$C$9:$C$9008,0)))</f>
        <v/>
      </c>
      <c r="B5601" s="9" t="str">
        <f>IFERROR(INDEX(Input!$L$20:$T$1019,INT((ROW()-9)/9)+1,MOD(ROW()-9,9)+1),"")</f>
        <v/>
      </c>
      <c r="C5601" s="9">
        <f t="shared" si="87"/>
        <v>0</v>
      </c>
    </row>
    <row r="5602" spans="1:3" x14ac:dyDescent="0.2">
      <c r="A5602" s="10" t="str">
        <f>IF(5594&gt;$C$9008,"",INDEX($B$9:$B$9008,MATCH(5594,$C$9:$C$9008,0)))</f>
        <v/>
      </c>
      <c r="B5602" s="9" t="str">
        <f>IFERROR(INDEX(Input!$L$20:$T$1019,INT((ROW()-9)/9)+1,MOD(ROW()-9,9)+1),"")</f>
        <v/>
      </c>
      <c r="C5602" s="9">
        <f t="shared" si="87"/>
        <v>0</v>
      </c>
    </row>
    <row r="5603" spans="1:3" x14ac:dyDescent="0.2">
      <c r="A5603" s="10" t="str">
        <f>IF(5595&gt;$C$9008,"",INDEX($B$9:$B$9008,MATCH(5595,$C$9:$C$9008,0)))</f>
        <v/>
      </c>
      <c r="B5603" s="9" t="str">
        <f>IFERROR(INDEX(Input!$L$20:$T$1019,INT((ROW()-9)/9)+1,MOD(ROW()-9,9)+1),"")</f>
        <v/>
      </c>
      <c r="C5603" s="9">
        <f t="shared" si="87"/>
        <v>0</v>
      </c>
    </row>
    <row r="5604" spans="1:3" x14ac:dyDescent="0.2">
      <c r="A5604" s="10" t="str">
        <f>IF(5596&gt;$C$9008,"",INDEX($B$9:$B$9008,MATCH(5596,$C$9:$C$9008,0)))</f>
        <v/>
      </c>
      <c r="B5604" s="9" t="str">
        <f>IFERROR(INDEX(Input!$L$20:$T$1019,INT((ROW()-9)/9)+1,MOD(ROW()-9,9)+1),"")</f>
        <v/>
      </c>
      <c r="C5604" s="9">
        <f t="shared" si="87"/>
        <v>0</v>
      </c>
    </row>
    <row r="5605" spans="1:3" x14ac:dyDescent="0.2">
      <c r="A5605" s="10" t="str">
        <f>IF(5597&gt;$C$9008,"",INDEX($B$9:$B$9008,MATCH(5597,$C$9:$C$9008,0)))</f>
        <v/>
      </c>
      <c r="B5605" s="9" t="str">
        <f>IFERROR(INDEX(Input!$L$20:$T$1019,INT((ROW()-9)/9)+1,MOD(ROW()-9,9)+1),"")</f>
        <v/>
      </c>
      <c r="C5605" s="9">
        <f t="shared" si="87"/>
        <v>0</v>
      </c>
    </row>
    <row r="5606" spans="1:3" x14ac:dyDescent="0.2">
      <c r="A5606" s="10" t="str">
        <f>IF(5598&gt;$C$9008,"",INDEX($B$9:$B$9008,MATCH(5598,$C$9:$C$9008,0)))</f>
        <v/>
      </c>
      <c r="B5606" s="9" t="str">
        <f>IFERROR(INDEX(Input!$L$20:$T$1019,INT((ROW()-9)/9)+1,MOD(ROW()-9,9)+1),"")</f>
        <v/>
      </c>
      <c r="C5606" s="9">
        <f t="shared" si="87"/>
        <v>0</v>
      </c>
    </row>
    <row r="5607" spans="1:3" x14ac:dyDescent="0.2">
      <c r="A5607" s="10" t="str">
        <f>IF(5599&gt;$C$9008,"",INDEX($B$9:$B$9008,MATCH(5599,$C$9:$C$9008,0)))</f>
        <v/>
      </c>
      <c r="B5607" s="9" t="str">
        <f>IFERROR(INDEX(Input!$L$20:$T$1019,INT((ROW()-9)/9)+1,MOD(ROW()-9,9)+1),"")</f>
        <v/>
      </c>
      <c r="C5607" s="9">
        <f t="shared" si="87"/>
        <v>0</v>
      </c>
    </row>
    <row r="5608" spans="1:3" x14ac:dyDescent="0.2">
      <c r="A5608" s="10" t="str">
        <f>IF(5600&gt;$C$9008,"",INDEX($B$9:$B$9008,MATCH(5600,$C$9:$C$9008,0)))</f>
        <v/>
      </c>
      <c r="B5608" s="9" t="str">
        <f>IFERROR(INDEX(Input!$L$20:$T$1019,INT((ROW()-9)/9)+1,MOD(ROW()-9,9)+1),"")</f>
        <v/>
      </c>
      <c r="C5608" s="9">
        <f t="shared" si="87"/>
        <v>0</v>
      </c>
    </row>
    <row r="5609" spans="1:3" x14ac:dyDescent="0.2">
      <c r="A5609" s="10" t="str">
        <f>IF(5601&gt;$C$9008,"",INDEX($B$9:$B$9008,MATCH(5601,$C$9:$C$9008,0)))</f>
        <v/>
      </c>
      <c r="B5609" s="9" t="str">
        <f>IFERROR(INDEX(Input!$L$20:$T$1019,INT((ROW()-9)/9)+1,MOD(ROW()-9,9)+1),"")</f>
        <v/>
      </c>
      <c r="C5609" s="9">
        <f t="shared" si="87"/>
        <v>0</v>
      </c>
    </row>
    <row r="5610" spans="1:3" x14ac:dyDescent="0.2">
      <c r="A5610" s="10" t="str">
        <f>IF(5602&gt;$C$9008,"",INDEX($B$9:$B$9008,MATCH(5602,$C$9:$C$9008,0)))</f>
        <v/>
      </c>
      <c r="B5610" s="9" t="str">
        <f>IFERROR(INDEX(Input!$L$20:$T$1019,INT((ROW()-9)/9)+1,MOD(ROW()-9,9)+1),"")</f>
        <v/>
      </c>
      <c r="C5610" s="9">
        <f t="shared" si="87"/>
        <v>0</v>
      </c>
    </row>
    <row r="5611" spans="1:3" x14ac:dyDescent="0.2">
      <c r="A5611" s="10" t="str">
        <f>IF(5603&gt;$C$9008,"",INDEX($B$9:$B$9008,MATCH(5603,$C$9:$C$9008,0)))</f>
        <v/>
      </c>
      <c r="B5611" s="9" t="str">
        <f>IFERROR(INDEX(Input!$L$20:$T$1019,INT((ROW()-9)/9)+1,MOD(ROW()-9,9)+1),"")</f>
        <v/>
      </c>
      <c r="C5611" s="9">
        <f t="shared" si="87"/>
        <v>0</v>
      </c>
    </row>
    <row r="5612" spans="1:3" x14ac:dyDescent="0.2">
      <c r="A5612" s="10" t="str">
        <f>IF(5604&gt;$C$9008,"",INDEX($B$9:$B$9008,MATCH(5604,$C$9:$C$9008,0)))</f>
        <v/>
      </c>
      <c r="B5612" s="9" t="str">
        <f>IFERROR(INDEX(Input!$L$20:$T$1019,INT((ROW()-9)/9)+1,MOD(ROW()-9,9)+1),"")</f>
        <v/>
      </c>
      <c r="C5612" s="9">
        <f t="shared" si="87"/>
        <v>0</v>
      </c>
    </row>
    <row r="5613" spans="1:3" x14ac:dyDescent="0.2">
      <c r="A5613" s="10" t="str">
        <f>IF(5605&gt;$C$9008,"",INDEX($B$9:$B$9008,MATCH(5605,$C$9:$C$9008,0)))</f>
        <v/>
      </c>
      <c r="B5613" s="9" t="str">
        <f>IFERROR(INDEX(Input!$L$20:$T$1019,INT((ROW()-9)/9)+1,MOD(ROW()-9,9)+1),"")</f>
        <v/>
      </c>
      <c r="C5613" s="9">
        <f t="shared" si="87"/>
        <v>0</v>
      </c>
    </row>
    <row r="5614" spans="1:3" x14ac:dyDescent="0.2">
      <c r="A5614" s="10" t="str">
        <f>IF(5606&gt;$C$9008,"",INDEX($B$9:$B$9008,MATCH(5606,$C$9:$C$9008,0)))</f>
        <v/>
      </c>
      <c r="B5614" s="9" t="str">
        <f>IFERROR(INDEX(Input!$L$20:$T$1019,INT((ROW()-9)/9)+1,MOD(ROW()-9,9)+1),"")</f>
        <v/>
      </c>
      <c r="C5614" s="9">
        <f t="shared" si="87"/>
        <v>0</v>
      </c>
    </row>
    <row r="5615" spans="1:3" x14ac:dyDescent="0.2">
      <c r="A5615" s="10" t="str">
        <f>IF(5607&gt;$C$9008,"",INDEX($B$9:$B$9008,MATCH(5607,$C$9:$C$9008,0)))</f>
        <v/>
      </c>
      <c r="B5615" s="9" t="str">
        <f>IFERROR(INDEX(Input!$L$20:$T$1019,INT((ROW()-9)/9)+1,MOD(ROW()-9,9)+1),"")</f>
        <v/>
      </c>
      <c r="C5615" s="9">
        <f t="shared" si="87"/>
        <v>0</v>
      </c>
    </row>
    <row r="5616" spans="1:3" x14ac:dyDescent="0.2">
      <c r="A5616" s="10" t="str">
        <f>IF(5608&gt;$C$9008,"",INDEX($B$9:$B$9008,MATCH(5608,$C$9:$C$9008,0)))</f>
        <v/>
      </c>
      <c r="B5616" s="9" t="str">
        <f>IFERROR(INDEX(Input!$L$20:$T$1019,INT((ROW()-9)/9)+1,MOD(ROW()-9,9)+1),"")</f>
        <v/>
      </c>
      <c r="C5616" s="9">
        <f t="shared" si="87"/>
        <v>0</v>
      </c>
    </row>
    <row r="5617" spans="1:3" x14ac:dyDescent="0.2">
      <c r="A5617" s="10" t="str">
        <f>IF(5609&gt;$C$9008,"",INDEX($B$9:$B$9008,MATCH(5609,$C$9:$C$9008,0)))</f>
        <v/>
      </c>
      <c r="B5617" s="9" t="str">
        <f>IFERROR(INDEX(Input!$L$20:$T$1019,INT((ROW()-9)/9)+1,MOD(ROW()-9,9)+1),"")</f>
        <v/>
      </c>
      <c r="C5617" s="9">
        <f t="shared" si="87"/>
        <v>0</v>
      </c>
    </row>
    <row r="5618" spans="1:3" x14ac:dyDescent="0.2">
      <c r="A5618" s="10" t="str">
        <f>IF(5610&gt;$C$9008,"",INDEX($B$9:$B$9008,MATCH(5610,$C$9:$C$9008,0)))</f>
        <v/>
      </c>
      <c r="B5618" s="9" t="str">
        <f>IFERROR(INDEX(Input!$L$20:$T$1019,INT((ROW()-9)/9)+1,MOD(ROW()-9,9)+1),"")</f>
        <v/>
      </c>
      <c r="C5618" s="9">
        <f t="shared" si="87"/>
        <v>0</v>
      </c>
    </row>
    <row r="5619" spans="1:3" x14ac:dyDescent="0.2">
      <c r="A5619" s="10" t="str">
        <f>IF(5611&gt;$C$9008,"",INDEX($B$9:$B$9008,MATCH(5611,$C$9:$C$9008,0)))</f>
        <v/>
      </c>
      <c r="B5619" s="9" t="str">
        <f>IFERROR(INDEX(Input!$L$20:$T$1019,INT((ROW()-9)/9)+1,MOD(ROW()-9,9)+1),"")</f>
        <v/>
      </c>
      <c r="C5619" s="9">
        <f t="shared" si="87"/>
        <v>0</v>
      </c>
    </row>
    <row r="5620" spans="1:3" x14ac:dyDescent="0.2">
      <c r="A5620" s="10" t="str">
        <f>IF(5612&gt;$C$9008,"",INDEX($B$9:$B$9008,MATCH(5612,$C$9:$C$9008,0)))</f>
        <v/>
      </c>
      <c r="B5620" s="9" t="str">
        <f>IFERROR(INDEX(Input!$L$20:$T$1019,INT((ROW()-9)/9)+1,MOD(ROW()-9,9)+1),"")</f>
        <v/>
      </c>
      <c r="C5620" s="9">
        <f t="shared" si="87"/>
        <v>0</v>
      </c>
    </row>
    <row r="5621" spans="1:3" x14ac:dyDescent="0.2">
      <c r="A5621" s="10" t="str">
        <f>IF(5613&gt;$C$9008,"",INDEX($B$9:$B$9008,MATCH(5613,$C$9:$C$9008,0)))</f>
        <v/>
      </c>
      <c r="B5621" s="9" t="str">
        <f>IFERROR(INDEX(Input!$L$20:$T$1019,INT((ROW()-9)/9)+1,MOD(ROW()-9,9)+1),"")</f>
        <v/>
      </c>
      <c r="C5621" s="9">
        <f t="shared" si="87"/>
        <v>0</v>
      </c>
    </row>
    <row r="5622" spans="1:3" x14ac:dyDescent="0.2">
      <c r="A5622" s="10" t="str">
        <f>IF(5614&gt;$C$9008,"",INDEX($B$9:$B$9008,MATCH(5614,$C$9:$C$9008,0)))</f>
        <v/>
      </c>
      <c r="B5622" s="9" t="str">
        <f>IFERROR(INDEX(Input!$L$20:$T$1019,INT((ROW()-9)/9)+1,MOD(ROW()-9,9)+1),"")</f>
        <v/>
      </c>
      <c r="C5622" s="9">
        <f t="shared" si="87"/>
        <v>0</v>
      </c>
    </row>
    <row r="5623" spans="1:3" x14ac:dyDescent="0.2">
      <c r="A5623" s="10" t="str">
        <f>IF(5615&gt;$C$9008,"",INDEX($B$9:$B$9008,MATCH(5615,$C$9:$C$9008,0)))</f>
        <v/>
      </c>
      <c r="B5623" s="9" t="str">
        <f>IFERROR(INDEX(Input!$L$20:$T$1019,INT((ROW()-9)/9)+1,MOD(ROW()-9,9)+1),"")</f>
        <v/>
      </c>
      <c r="C5623" s="9">
        <f t="shared" si="87"/>
        <v>0</v>
      </c>
    </row>
    <row r="5624" spans="1:3" x14ac:dyDescent="0.2">
      <c r="A5624" s="10" t="str">
        <f>IF(5616&gt;$C$9008,"",INDEX($B$9:$B$9008,MATCH(5616,$C$9:$C$9008,0)))</f>
        <v/>
      </c>
      <c r="B5624" s="9" t="str">
        <f>IFERROR(INDEX(Input!$L$20:$T$1019,INT((ROW()-9)/9)+1,MOD(ROW()-9,9)+1),"")</f>
        <v/>
      </c>
      <c r="C5624" s="9">
        <f t="shared" si="87"/>
        <v>0</v>
      </c>
    </row>
    <row r="5625" spans="1:3" x14ac:dyDescent="0.2">
      <c r="A5625" s="10" t="str">
        <f>IF(5617&gt;$C$9008,"",INDEX($B$9:$B$9008,MATCH(5617,$C$9:$C$9008,0)))</f>
        <v/>
      </c>
      <c r="B5625" s="9" t="str">
        <f>IFERROR(INDEX(Input!$L$20:$T$1019,INT((ROW()-9)/9)+1,MOD(ROW()-9,9)+1),"")</f>
        <v/>
      </c>
      <c r="C5625" s="9">
        <f t="shared" si="87"/>
        <v>0</v>
      </c>
    </row>
    <row r="5626" spans="1:3" x14ac:dyDescent="0.2">
      <c r="A5626" s="10" t="str">
        <f>IF(5618&gt;$C$9008,"",INDEX($B$9:$B$9008,MATCH(5618,$C$9:$C$9008,0)))</f>
        <v/>
      </c>
      <c r="B5626" s="9" t="str">
        <f>IFERROR(INDEX(Input!$L$20:$T$1019,INT((ROW()-9)/9)+1,MOD(ROW()-9,9)+1),"")</f>
        <v/>
      </c>
      <c r="C5626" s="9">
        <f t="shared" si="87"/>
        <v>0</v>
      </c>
    </row>
    <row r="5627" spans="1:3" x14ac:dyDescent="0.2">
      <c r="A5627" s="10" t="str">
        <f>IF(5619&gt;$C$9008,"",INDEX($B$9:$B$9008,MATCH(5619,$C$9:$C$9008,0)))</f>
        <v/>
      </c>
      <c r="B5627" s="9" t="str">
        <f>IFERROR(INDEX(Input!$L$20:$T$1019,INT((ROW()-9)/9)+1,MOD(ROW()-9,9)+1),"")</f>
        <v/>
      </c>
      <c r="C5627" s="9">
        <f t="shared" si="87"/>
        <v>0</v>
      </c>
    </row>
    <row r="5628" spans="1:3" x14ac:dyDescent="0.2">
      <c r="A5628" s="10" t="str">
        <f>IF(5620&gt;$C$9008,"",INDEX($B$9:$B$9008,MATCH(5620,$C$9:$C$9008,0)))</f>
        <v/>
      </c>
      <c r="B5628" s="9" t="str">
        <f>IFERROR(INDEX(Input!$L$20:$T$1019,INT((ROW()-9)/9)+1,MOD(ROW()-9,9)+1),"")</f>
        <v/>
      </c>
      <c r="C5628" s="9">
        <f t="shared" si="87"/>
        <v>0</v>
      </c>
    </row>
    <row r="5629" spans="1:3" x14ac:dyDescent="0.2">
      <c r="A5629" s="10" t="str">
        <f>IF(5621&gt;$C$9008,"",INDEX($B$9:$B$9008,MATCH(5621,$C$9:$C$9008,0)))</f>
        <v/>
      </c>
      <c r="B5629" s="9" t="str">
        <f>IFERROR(INDEX(Input!$L$20:$T$1019,INT((ROW()-9)/9)+1,MOD(ROW()-9,9)+1),"")</f>
        <v/>
      </c>
      <c r="C5629" s="9">
        <f t="shared" si="87"/>
        <v>0</v>
      </c>
    </row>
    <row r="5630" spans="1:3" x14ac:dyDescent="0.2">
      <c r="A5630" s="10" t="str">
        <f>IF(5622&gt;$C$9008,"",INDEX($B$9:$B$9008,MATCH(5622,$C$9:$C$9008,0)))</f>
        <v/>
      </c>
      <c r="B5630" s="9" t="str">
        <f>IFERROR(INDEX(Input!$L$20:$T$1019,INT((ROW()-9)/9)+1,MOD(ROW()-9,9)+1),"")</f>
        <v/>
      </c>
      <c r="C5630" s="9">
        <f t="shared" si="87"/>
        <v>0</v>
      </c>
    </row>
    <row r="5631" spans="1:3" x14ac:dyDescent="0.2">
      <c r="A5631" s="10" t="str">
        <f>IF(5623&gt;$C$9008,"",INDEX($B$9:$B$9008,MATCH(5623,$C$9:$C$9008,0)))</f>
        <v/>
      </c>
      <c r="B5631" s="9" t="str">
        <f>IFERROR(INDEX(Input!$L$20:$T$1019,INT((ROW()-9)/9)+1,MOD(ROW()-9,9)+1),"")</f>
        <v/>
      </c>
      <c r="C5631" s="9">
        <f t="shared" si="87"/>
        <v>0</v>
      </c>
    </row>
    <row r="5632" spans="1:3" x14ac:dyDescent="0.2">
      <c r="A5632" s="10" t="str">
        <f>IF(5624&gt;$C$9008,"",INDEX($B$9:$B$9008,MATCH(5624,$C$9:$C$9008,0)))</f>
        <v/>
      </c>
      <c r="B5632" s="9" t="str">
        <f>IFERROR(INDEX(Input!$L$20:$T$1019,INT((ROW()-9)/9)+1,MOD(ROW()-9,9)+1),"")</f>
        <v/>
      </c>
      <c r="C5632" s="9">
        <f t="shared" si="87"/>
        <v>0</v>
      </c>
    </row>
    <row r="5633" spans="1:3" x14ac:dyDescent="0.2">
      <c r="A5633" s="10" t="str">
        <f>IF(5625&gt;$C$9008,"",INDEX($B$9:$B$9008,MATCH(5625,$C$9:$C$9008,0)))</f>
        <v/>
      </c>
      <c r="B5633" s="9" t="str">
        <f>IFERROR(INDEX(Input!$L$20:$T$1019,INT((ROW()-9)/9)+1,MOD(ROW()-9,9)+1),"")</f>
        <v/>
      </c>
      <c r="C5633" s="9">
        <f t="shared" si="87"/>
        <v>0</v>
      </c>
    </row>
    <row r="5634" spans="1:3" x14ac:dyDescent="0.2">
      <c r="A5634" s="10" t="str">
        <f>IF(5626&gt;$C$9008,"",INDEX($B$9:$B$9008,MATCH(5626,$C$9:$C$9008,0)))</f>
        <v/>
      </c>
      <c r="B5634" s="9" t="str">
        <f>IFERROR(INDEX(Input!$L$20:$T$1019,INT((ROW()-9)/9)+1,MOD(ROW()-9,9)+1),"")</f>
        <v/>
      </c>
      <c r="C5634" s="9">
        <f t="shared" si="87"/>
        <v>0</v>
      </c>
    </row>
    <row r="5635" spans="1:3" x14ac:dyDescent="0.2">
      <c r="A5635" s="10" t="str">
        <f>IF(5627&gt;$C$9008,"",INDEX($B$9:$B$9008,MATCH(5627,$C$9:$C$9008,0)))</f>
        <v/>
      </c>
      <c r="B5635" s="9" t="str">
        <f>IFERROR(INDEX(Input!$L$20:$T$1019,INT((ROW()-9)/9)+1,MOD(ROW()-9,9)+1),"")</f>
        <v/>
      </c>
      <c r="C5635" s="9">
        <f t="shared" si="87"/>
        <v>0</v>
      </c>
    </row>
    <row r="5636" spans="1:3" x14ac:dyDescent="0.2">
      <c r="A5636" s="10" t="str">
        <f>IF(5628&gt;$C$9008,"",INDEX($B$9:$B$9008,MATCH(5628,$C$9:$C$9008,0)))</f>
        <v/>
      </c>
      <c r="B5636" s="9" t="str">
        <f>IFERROR(INDEX(Input!$L$20:$T$1019,INT((ROW()-9)/9)+1,MOD(ROW()-9,9)+1),"")</f>
        <v/>
      </c>
      <c r="C5636" s="9">
        <f t="shared" si="87"/>
        <v>0</v>
      </c>
    </row>
    <row r="5637" spans="1:3" x14ac:dyDescent="0.2">
      <c r="A5637" s="10" t="str">
        <f>IF(5629&gt;$C$9008,"",INDEX($B$9:$B$9008,MATCH(5629,$C$9:$C$9008,0)))</f>
        <v/>
      </c>
      <c r="B5637" s="9" t="str">
        <f>IFERROR(INDEX(Input!$L$20:$T$1019,INT((ROW()-9)/9)+1,MOD(ROW()-9,9)+1),"")</f>
        <v/>
      </c>
      <c r="C5637" s="9">
        <f t="shared" si="87"/>
        <v>0</v>
      </c>
    </row>
    <row r="5638" spans="1:3" x14ac:dyDescent="0.2">
      <c r="A5638" s="10" t="str">
        <f>IF(5630&gt;$C$9008,"",INDEX($B$9:$B$9008,MATCH(5630,$C$9:$C$9008,0)))</f>
        <v/>
      </c>
      <c r="B5638" s="9" t="str">
        <f>IFERROR(INDEX(Input!$L$20:$T$1019,INT((ROW()-9)/9)+1,MOD(ROW()-9,9)+1),"")</f>
        <v/>
      </c>
      <c r="C5638" s="9">
        <f t="shared" si="87"/>
        <v>0</v>
      </c>
    </row>
    <row r="5639" spans="1:3" x14ac:dyDescent="0.2">
      <c r="A5639" s="10" t="str">
        <f>IF(5631&gt;$C$9008,"",INDEX($B$9:$B$9008,MATCH(5631,$C$9:$C$9008,0)))</f>
        <v/>
      </c>
      <c r="B5639" s="9" t="str">
        <f>IFERROR(INDEX(Input!$L$20:$T$1019,INT((ROW()-9)/9)+1,MOD(ROW()-9,9)+1),"")</f>
        <v/>
      </c>
      <c r="C5639" s="9">
        <f t="shared" si="87"/>
        <v>0</v>
      </c>
    </row>
    <row r="5640" spans="1:3" x14ac:dyDescent="0.2">
      <c r="A5640" s="10" t="str">
        <f>IF(5632&gt;$C$9008,"",INDEX($B$9:$B$9008,MATCH(5632,$C$9:$C$9008,0)))</f>
        <v/>
      </c>
      <c r="B5640" s="9" t="str">
        <f>IFERROR(INDEX(Input!$L$20:$T$1019,INT((ROW()-9)/9)+1,MOD(ROW()-9,9)+1),"")</f>
        <v/>
      </c>
      <c r="C5640" s="9">
        <f t="shared" si="87"/>
        <v>0</v>
      </c>
    </row>
    <row r="5641" spans="1:3" x14ac:dyDescent="0.2">
      <c r="A5641" s="10" t="str">
        <f>IF(5633&gt;$C$9008,"",INDEX($B$9:$B$9008,MATCH(5633,$C$9:$C$9008,0)))</f>
        <v/>
      </c>
      <c r="B5641" s="9" t="str">
        <f>IFERROR(INDEX(Input!$L$20:$T$1019,INT((ROW()-9)/9)+1,MOD(ROW()-9,9)+1),"")</f>
        <v/>
      </c>
      <c r="C5641" s="9">
        <f t="shared" ref="C5641:C5704" si="88">$C5640+IF($B5641&lt;&gt;"",1,0)</f>
        <v>0</v>
      </c>
    </row>
    <row r="5642" spans="1:3" x14ac:dyDescent="0.2">
      <c r="A5642" s="10" t="str">
        <f>IF(5634&gt;$C$9008,"",INDEX($B$9:$B$9008,MATCH(5634,$C$9:$C$9008,0)))</f>
        <v/>
      </c>
      <c r="B5642" s="9" t="str">
        <f>IFERROR(INDEX(Input!$L$20:$T$1019,INT((ROW()-9)/9)+1,MOD(ROW()-9,9)+1),"")</f>
        <v/>
      </c>
      <c r="C5642" s="9">
        <f t="shared" si="88"/>
        <v>0</v>
      </c>
    </row>
    <row r="5643" spans="1:3" x14ac:dyDescent="0.2">
      <c r="A5643" s="10" t="str">
        <f>IF(5635&gt;$C$9008,"",INDEX($B$9:$B$9008,MATCH(5635,$C$9:$C$9008,0)))</f>
        <v/>
      </c>
      <c r="B5643" s="9" t="str">
        <f>IFERROR(INDEX(Input!$L$20:$T$1019,INT((ROW()-9)/9)+1,MOD(ROW()-9,9)+1),"")</f>
        <v/>
      </c>
      <c r="C5643" s="9">
        <f t="shared" si="88"/>
        <v>0</v>
      </c>
    </row>
    <row r="5644" spans="1:3" x14ac:dyDescent="0.2">
      <c r="A5644" s="10" t="str">
        <f>IF(5636&gt;$C$9008,"",INDEX($B$9:$B$9008,MATCH(5636,$C$9:$C$9008,0)))</f>
        <v/>
      </c>
      <c r="B5644" s="9" t="str">
        <f>IFERROR(INDEX(Input!$L$20:$T$1019,INT((ROW()-9)/9)+1,MOD(ROW()-9,9)+1),"")</f>
        <v/>
      </c>
      <c r="C5644" s="9">
        <f t="shared" si="88"/>
        <v>0</v>
      </c>
    </row>
    <row r="5645" spans="1:3" x14ac:dyDescent="0.2">
      <c r="A5645" s="10" t="str">
        <f>IF(5637&gt;$C$9008,"",INDEX($B$9:$B$9008,MATCH(5637,$C$9:$C$9008,0)))</f>
        <v/>
      </c>
      <c r="B5645" s="9" t="str">
        <f>IFERROR(INDEX(Input!$L$20:$T$1019,INT((ROW()-9)/9)+1,MOD(ROW()-9,9)+1),"")</f>
        <v/>
      </c>
      <c r="C5645" s="9">
        <f t="shared" si="88"/>
        <v>0</v>
      </c>
    </row>
    <row r="5646" spans="1:3" x14ac:dyDescent="0.2">
      <c r="A5646" s="10" t="str">
        <f>IF(5638&gt;$C$9008,"",INDEX($B$9:$B$9008,MATCH(5638,$C$9:$C$9008,0)))</f>
        <v/>
      </c>
      <c r="B5646" s="9" t="str">
        <f>IFERROR(INDEX(Input!$L$20:$T$1019,INT((ROW()-9)/9)+1,MOD(ROW()-9,9)+1),"")</f>
        <v/>
      </c>
      <c r="C5646" s="9">
        <f t="shared" si="88"/>
        <v>0</v>
      </c>
    </row>
    <row r="5647" spans="1:3" x14ac:dyDescent="0.2">
      <c r="A5647" s="10" t="str">
        <f>IF(5639&gt;$C$9008,"",INDEX($B$9:$B$9008,MATCH(5639,$C$9:$C$9008,0)))</f>
        <v/>
      </c>
      <c r="B5647" s="9" t="str">
        <f>IFERROR(INDEX(Input!$L$20:$T$1019,INT((ROW()-9)/9)+1,MOD(ROW()-9,9)+1),"")</f>
        <v/>
      </c>
      <c r="C5647" s="9">
        <f t="shared" si="88"/>
        <v>0</v>
      </c>
    </row>
    <row r="5648" spans="1:3" x14ac:dyDescent="0.2">
      <c r="A5648" s="10" t="str">
        <f>IF(5640&gt;$C$9008,"",INDEX($B$9:$B$9008,MATCH(5640,$C$9:$C$9008,0)))</f>
        <v/>
      </c>
      <c r="B5648" s="9" t="str">
        <f>IFERROR(INDEX(Input!$L$20:$T$1019,INT((ROW()-9)/9)+1,MOD(ROW()-9,9)+1),"")</f>
        <v/>
      </c>
      <c r="C5648" s="9">
        <f t="shared" si="88"/>
        <v>0</v>
      </c>
    </row>
    <row r="5649" spans="1:3" x14ac:dyDescent="0.2">
      <c r="A5649" s="10" t="str">
        <f>IF(5641&gt;$C$9008,"",INDEX($B$9:$B$9008,MATCH(5641,$C$9:$C$9008,0)))</f>
        <v/>
      </c>
      <c r="B5649" s="9" t="str">
        <f>IFERROR(INDEX(Input!$L$20:$T$1019,INT((ROW()-9)/9)+1,MOD(ROW()-9,9)+1),"")</f>
        <v/>
      </c>
      <c r="C5649" s="9">
        <f t="shared" si="88"/>
        <v>0</v>
      </c>
    </row>
    <row r="5650" spans="1:3" x14ac:dyDescent="0.2">
      <c r="A5650" s="10" t="str">
        <f>IF(5642&gt;$C$9008,"",INDEX($B$9:$B$9008,MATCH(5642,$C$9:$C$9008,0)))</f>
        <v/>
      </c>
      <c r="B5650" s="9" t="str">
        <f>IFERROR(INDEX(Input!$L$20:$T$1019,INT((ROW()-9)/9)+1,MOD(ROW()-9,9)+1),"")</f>
        <v/>
      </c>
      <c r="C5650" s="9">
        <f t="shared" si="88"/>
        <v>0</v>
      </c>
    </row>
    <row r="5651" spans="1:3" x14ac:dyDescent="0.2">
      <c r="A5651" s="10" t="str">
        <f>IF(5643&gt;$C$9008,"",INDEX($B$9:$B$9008,MATCH(5643,$C$9:$C$9008,0)))</f>
        <v/>
      </c>
      <c r="B5651" s="9" t="str">
        <f>IFERROR(INDEX(Input!$L$20:$T$1019,INT((ROW()-9)/9)+1,MOD(ROW()-9,9)+1),"")</f>
        <v/>
      </c>
      <c r="C5651" s="9">
        <f t="shared" si="88"/>
        <v>0</v>
      </c>
    </row>
    <row r="5652" spans="1:3" x14ac:dyDescent="0.2">
      <c r="A5652" s="10" t="str">
        <f>IF(5644&gt;$C$9008,"",INDEX($B$9:$B$9008,MATCH(5644,$C$9:$C$9008,0)))</f>
        <v/>
      </c>
      <c r="B5652" s="9" t="str">
        <f>IFERROR(INDEX(Input!$L$20:$T$1019,INT((ROW()-9)/9)+1,MOD(ROW()-9,9)+1),"")</f>
        <v/>
      </c>
      <c r="C5652" s="9">
        <f t="shared" si="88"/>
        <v>0</v>
      </c>
    </row>
    <row r="5653" spans="1:3" x14ac:dyDescent="0.2">
      <c r="A5653" s="10" t="str">
        <f>IF(5645&gt;$C$9008,"",INDEX($B$9:$B$9008,MATCH(5645,$C$9:$C$9008,0)))</f>
        <v/>
      </c>
      <c r="B5653" s="9" t="str">
        <f>IFERROR(INDEX(Input!$L$20:$T$1019,INT((ROW()-9)/9)+1,MOD(ROW()-9,9)+1),"")</f>
        <v/>
      </c>
      <c r="C5653" s="9">
        <f t="shared" si="88"/>
        <v>0</v>
      </c>
    </row>
    <row r="5654" spans="1:3" x14ac:dyDescent="0.2">
      <c r="A5654" s="10" t="str">
        <f>IF(5646&gt;$C$9008,"",INDEX($B$9:$B$9008,MATCH(5646,$C$9:$C$9008,0)))</f>
        <v/>
      </c>
      <c r="B5654" s="9" t="str">
        <f>IFERROR(INDEX(Input!$L$20:$T$1019,INT((ROW()-9)/9)+1,MOD(ROW()-9,9)+1),"")</f>
        <v/>
      </c>
      <c r="C5654" s="9">
        <f t="shared" si="88"/>
        <v>0</v>
      </c>
    </row>
    <row r="5655" spans="1:3" x14ac:dyDescent="0.2">
      <c r="A5655" s="10" t="str">
        <f>IF(5647&gt;$C$9008,"",INDEX($B$9:$B$9008,MATCH(5647,$C$9:$C$9008,0)))</f>
        <v/>
      </c>
      <c r="B5655" s="9" t="str">
        <f>IFERROR(INDEX(Input!$L$20:$T$1019,INT((ROW()-9)/9)+1,MOD(ROW()-9,9)+1),"")</f>
        <v/>
      </c>
      <c r="C5655" s="9">
        <f t="shared" si="88"/>
        <v>0</v>
      </c>
    </row>
    <row r="5656" spans="1:3" x14ac:dyDescent="0.2">
      <c r="A5656" s="10" t="str">
        <f>IF(5648&gt;$C$9008,"",INDEX($B$9:$B$9008,MATCH(5648,$C$9:$C$9008,0)))</f>
        <v/>
      </c>
      <c r="B5656" s="9" t="str">
        <f>IFERROR(INDEX(Input!$L$20:$T$1019,INT((ROW()-9)/9)+1,MOD(ROW()-9,9)+1),"")</f>
        <v/>
      </c>
      <c r="C5656" s="9">
        <f t="shared" si="88"/>
        <v>0</v>
      </c>
    </row>
    <row r="5657" spans="1:3" x14ac:dyDescent="0.2">
      <c r="A5657" s="10" t="str">
        <f>IF(5649&gt;$C$9008,"",INDEX($B$9:$B$9008,MATCH(5649,$C$9:$C$9008,0)))</f>
        <v/>
      </c>
      <c r="B5657" s="9" t="str">
        <f>IFERROR(INDEX(Input!$L$20:$T$1019,INT((ROW()-9)/9)+1,MOD(ROW()-9,9)+1),"")</f>
        <v/>
      </c>
      <c r="C5657" s="9">
        <f t="shared" si="88"/>
        <v>0</v>
      </c>
    </row>
    <row r="5658" spans="1:3" x14ac:dyDescent="0.2">
      <c r="A5658" s="10" t="str">
        <f>IF(5650&gt;$C$9008,"",INDEX($B$9:$B$9008,MATCH(5650,$C$9:$C$9008,0)))</f>
        <v/>
      </c>
      <c r="B5658" s="9" t="str">
        <f>IFERROR(INDEX(Input!$L$20:$T$1019,INT((ROW()-9)/9)+1,MOD(ROW()-9,9)+1),"")</f>
        <v/>
      </c>
      <c r="C5658" s="9">
        <f t="shared" si="88"/>
        <v>0</v>
      </c>
    </row>
    <row r="5659" spans="1:3" x14ac:dyDescent="0.2">
      <c r="A5659" s="10" t="str">
        <f>IF(5651&gt;$C$9008,"",INDEX($B$9:$B$9008,MATCH(5651,$C$9:$C$9008,0)))</f>
        <v/>
      </c>
      <c r="B5659" s="9" t="str">
        <f>IFERROR(INDEX(Input!$L$20:$T$1019,INT((ROW()-9)/9)+1,MOD(ROW()-9,9)+1),"")</f>
        <v/>
      </c>
      <c r="C5659" s="9">
        <f t="shared" si="88"/>
        <v>0</v>
      </c>
    </row>
    <row r="5660" spans="1:3" x14ac:dyDescent="0.2">
      <c r="A5660" s="10" t="str">
        <f>IF(5652&gt;$C$9008,"",INDEX($B$9:$B$9008,MATCH(5652,$C$9:$C$9008,0)))</f>
        <v/>
      </c>
      <c r="B5660" s="9" t="str">
        <f>IFERROR(INDEX(Input!$L$20:$T$1019,INT((ROW()-9)/9)+1,MOD(ROW()-9,9)+1),"")</f>
        <v/>
      </c>
      <c r="C5660" s="9">
        <f t="shared" si="88"/>
        <v>0</v>
      </c>
    </row>
    <row r="5661" spans="1:3" x14ac:dyDescent="0.2">
      <c r="A5661" s="10" t="str">
        <f>IF(5653&gt;$C$9008,"",INDEX($B$9:$B$9008,MATCH(5653,$C$9:$C$9008,0)))</f>
        <v/>
      </c>
      <c r="B5661" s="9" t="str">
        <f>IFERROR(INDEX(Input!$L$20:$T$1019,INT((ROW()-9)/9)+1,MOD(ROW()-9,9)+1),"")</f>
        <v/>
      </c>
      <c r="C5661" s="9">
        <f t="shared" si="88"/>
        <v>0</v>
      </c>
    </row>
    <row r="5662" spans="1:3" x14ac:dyDescent="0.2">
      <c r="A5662" s="10" t="str">
        <f>IF(5654&gt;$C$9008,"",INDEX($B$9:$B$9008,MATCH(5654,$C$9:$C$9008,0)))</f>
        <v/>
      </c>
      <c r="B5662" s="9" t="str">
        <f>IFERROR(INDEX(Input!$L$20:$T$1019,INT((ROW()-9)/9)+1,MOD(ROW()-9,9)+1),"")</f>
        <v/>
      </c>
      <c r="C5662" s="9">
        <f t="shared" si="88"/>
        <v>0</v>
      </c>
    </row>
    <row r="5663" spans="1:3" x14ac:dyDescent="0.2">
      <c r="A5663" s="10" t="str">
        <f>IF(5655&gt;$C$9008,"",INDEX($B$9:$B$9008,MATCH(5655,$C$9:$C$9008,0)))</f>
        <v/>
      </c>
      <c r="B5663" s="9" t="str">
        <f>IFERROR(INDEX(Input!$L$20:$T$1019,INT((ROW()-9)/9)+1,MOD(ROW()-9,9)+1),"")</f>
        <v/>
      </c>
      <c r="C5663" s="9">
        <f t="shared" si="88"/>
        <v>0</v>
      </c>
    </row>
    <row r="5664" spans="1:3" x14ac:dyDescent="0.2">
      <c r="A5664" s="10" t="str">
        <f>IF(5656&gt;$C$9008,"",INDEX($B$9:$B$9008,MATCH(5656,$C$9:$C$9008,0)))</f>
        <v/>
      </c>
      <c r="B5664" s="9" t="str">
        <f>IFERROR(INDEX(Input!$L$20:$T$1019,INT((ROW()-9)/9)+1,MOD(ROW()-9,9)+1),"")</f>
        <v/>
      </c>
      <c r="C5664" s="9">
        <f t="shared" si="88"/>
        <v>0</v>
      </c>
    </row>
    <row r="5665" spans="1:3" x14ac:dyDescent="0.2">
      <c r="A5665" s="10" t="str">
        <f>IF(5657&gt;$C$9008,"",INDEX($B$9:$B$9008,MATCH(5657,$C$9:$C$9008,0)))</f>
        <v/>
      </c>
      <c r="B5665" s="9" t="str">
        <f>IFERROR(INDEX(Input!$L$20:$T$1019,INT((ROW()-9)/9)+1,MOD(ROW()-9,9)+1),"")</f>
        <v/>
      </c>
      <c r="C5665" s="9">
        <f t="shared" si="88"/>
        <v>0</v>
      </c>
    </row>
    <row r="5666" spans="1:3" x14ac:dyDescent="0.2">
      <c r="A5666" s="10" t="str">
        <f>IF(5658&gt;$C$9008,"",INDEX($B$9:$B$9008,MATCH(5658,$C$9:$C$9008,0)))</f>
        <v/>
      </c>
      <c r="B5666" s="9" t="str">
        <f>IFERROR(INDEX(Input!$L$20:$T$1019,INT((ROW()-9)/9)+1,MOD(ROW()-9,9)+1),"")</f>
        <v/>
      </c>
      <c r="C5666" s="9">
        <f t="shared" si="88"/>
        <v>0</v>
      </c>
    </row>
    <row r="5667" spans="1:3" x14ac:dyDescent="0.2">
      <c r="A5667" s="10" t="str">
        <f>IF(5659&gt;$C$9008,"",INDEX($B$9:$B$9008,MATCH(5659,$C$9:$C$9008,0)))</f>
        <v/>
      </c>
      <c r="B5667" s="9" t="str">
        <f>IFERROR(INDEX(Input!$L$20:$T$1019,INT((ROW()-9)/9)+1,MOD(ROW()-9,9)+1),"")</f>
        <v/>
      </c>
      <c r="C5667" s="9">
        <f t="shared" si="88"/>
        <v>0</v>
      </c>
    </row>
    <row r="5668" spans="1:3" x14ac:dyDescent="0.2">
      <c r="A5668" s="10" t="str">
        <f>IF(5660&gt;$C$9008,"",INDEX($B$9:$B$9008,MATCH(5660,$C$9:$C$9008,0)))</f>
        <v/>
      </c>
      <c r="B5668" s="9" t="str">
        <f>IFERROR(INDEX(Input!$L$20:$T$1019,INT((ROW()-9)/9)+1,MOD(ROW()-9,9)+1),"")</f>
        <v/>
      </c>
      <c r="C5668" s="9">
        <f t="shared" si="88"/>
        <v>0</v>
      </c>
    </row>
    <row r="5669" spans="1:3" x14ac:dyDescent="0.2">
      <c r="A5669" s="10" t="str">
        <f>IF(5661&gt;$C$9008,"",INDEX($B$9:$B$9008,MATCH(5661,$C$9:$C$9008,0)))</f>
        <v/>
      </c>
      <c r="B5669" s="9" t="str">
        <f>IFERROR(INDEX(Input!$L$20:$T$1019,INT((ROW()-9)/9)+1,MOD(ROW()-9,9)+1),"")</f>
        <v/>
      </c>
      <c r="C5669" s="9">
        <f t="shared" si="88"/>
        <v>0</v>
      </c>
    </row>
    <row r="5670" spans="1:3" x14ac:dyDescent="0.2">
      <c r="A5670" s="10" t="str">
        <f>IF(5662&gt;$C$9008,"",INDEX($B$9:$B$9008,MATCH(5662,$C$9:$C$9008,0)))</f>
        <v/>
      </c>
      <c r="B5670" s="9" t="str">
        <f>IFERROR(INDEX(Input!$L$20:$T$1019,INT((ROW()-9)/9)+1,MOD(ROW()-9,9)+1),"")</f>
        <v/>
      </c>
      <c r="C5670" s="9">
        <f t="shared" si="88"/>
        <v>0</v>
      </c>
    </row>
    <row r="5671" spans="1:3" x14ac:dyDescent="0.2">
      <c r="A5671" s="10" t="str">
        <f>IF(5663&gt;$C$9008,"",INDEX($B$9:$B$9008,MATCH(5663,$C$9:$C$9008,0)))</f>
        <v/>
      </c>
      <c r="B5671" s="9" t="str">
        <f>IFERROR(INDEX(Input!$L$20:$T$1019,INT((ROW()-9)/9)+1,MOD(ROW()-9,9)+1),"")</f>
        <v/>
      </c>
      <c r="C5671" s="9">
        <f t="shared" si="88"/>
        <v>0</v>
      </c>
    </row>
    <row r="5672" spans="1:3" x14ac:dyDescent="0.2">
      <c r="A5672" s="10" t="str">
        <f>IF(5664&gt;$C$9008,"",INDEX($B$9:$B$9008,MATCH(5664,$C$9:$C$9008,0)))</f>
        <v/>
      </c>
      <c r="B5672" s="9" t="str">
        <f>IFERROR(INDEX(Input!$L$20:$T$1019,INT((ROW()-9)/9)+1,MOD(ROW()-9,9)+1),"")</f>
        <v/>
      </c>
      <c r="C5672" s="9">
        <f t="shared" si="88"/>
        <v>0</v>
      </c>
    </row>
    <row r="5673" spans="1:3" x14ac:dyDescent="0.2">
      <c r="A5673" s="10" t="str">
        <f>IF(5665&gt;$C$9008,"",INDEX($B$9:$B$9008,MATCH(5665,$C$9:$C$9008,0)))</f>
        <v/>
      </c>
      <c r="B5673" s="9" t="str">
        <f>IFERROR(INDEX(Input!$L$20:$T$1019,INT((ROW()-9)/9)+1,MOD(ROW()-9,9)+1),"")</f>
        <v/>
      </c>
      <c r="C5673" s="9">
        <f t="shared" si="88"/>
        <v>0</v>
      </c>
    </row>
    <row r="5674" spans="1:3" x14ac:dyDescent="0.2">
      <c r="A5674" s="10" t="str">
        <f>IF(5666&gt;$C$9008,"",INDEX($B$9:$B$9008,MATCH(5666,$C$9:$C$9008,0)))</f>
        <v/>
      </c>
      <c r="B5674" s="9" t="str">
        <f>IFERROR(INDEX(Input!$L$20:$T$1019,INT((ROW()-9)/9)+1,MOD(ROW()-9,9)+1),"")</f>
        <v/>
      </c>
      <c r="C5674" s="9">
        <f t="shared" si="88"/>
        <v>0</v>
      </c>
    </row>
    <row r="5675" spans="1:3" x14ac:dyDescent="0.2">
      <c r="A5675" s="10" t="str">
        <f>IF(5667&gt;$C$9008,"",INDEX($B$9:$B$9008,MATCH(5667,$C$9:$C$9008,0)))</f>
        <v/>
      </c>
      <c r="B5675" s="9" t="str">
        <f>IFERROR(INDEX(Input!$L$20:$T$1019,INT((ROW()-9)/9)+1,MOD(ROW()-9,9)+1),"")</f>
        <v/>
      </c>
      <c r="C5675" s="9">
        <f t="shared" si="88"/>
        <v>0</v>
      </c>
    </row>
    <row r="5676" spans="1:3" x14ac:dyDescent="0.2">
      <c r="A5676" s="10" t="str">
        <f>IF(5668&gt;$C$9008,"",INDEX($B$9:$B$9008,MATCH(5668,$C$9:$C$9008,0)))</f>
        <v/>
      </c>
      <c r="B5676" s="9" t="str">
        <f>IFERROR(INDEX(Input!$L$20:$T$1019,INT((ROW()-9)/9)+1,MOD(ROW()-9,9)+1),"")</f>
        <v/>
      </c>
      <c r="C5676" s="9">
        <f t="shared" si="88"/>
        <v>0</v>
      </c>
    </row>
    <row r="5677" spans="1:3" x14ac:dyDescent="0.2">
      <c r="A5677" s="10" t="str">
        <f>IF(5669&gt;$C$9008,"",INDEX($B$9:$B$9008,MATCH(5669,$C$9:$C$9008,0)))</f>
        <v/>
      </c>
      <c r="B5677" s="9" t="str">
        <f>IFERROR(INDEX(Input!$L$20:$T$1019,INT((ROW()-9)/9)+1,MOD(ROW()-9,9)+1),"")</f>
        <v/>
      </c>
      <c r="C5677" s="9">
        <f t="shared" si="88"/>
        <v>0</v>
      </c>
    </row>
    <row r="5678" spans="1:3" x14ac:dyDescent="0.2">
      <c r="A5678" s="10" t="str">
        <f>IF(5670&gt;$C$9008,"",INDEX($B$9:$B$9008,MATCH(5670,$C$9:$C$9008,0)))</f>
        <v/>
      </c>
      <c r="B5678" s="9" t="str">
        <f>IFERROR(INDEX(Input!$L$20:$T$1019,INT((ROW()-9)/9)+1,MOD(ROW()-9,9)+1),"")</f>
        <v/>
      </c>
      <c r="C5678" s="9">
        <f t="shared" si="88"/>
        <v>0</v>
      </c>
    </row>
    <row r="5679" spans="1:3" x14ac:dyDescent="0.2">
      <c r="A5679" s="10" t="str">
        <f>IF(5671&gt;$C$9008,"",INDEX($B$9:$B$9008,MATCH(5671,$C$9:$C$9008,0)))</f>
        <v/>
      </c>
      <c r="B5679" s="9" t="str">
        <f>IFERROR(INDEX(Input!$L$20:$T$1019,INT((ROW()-9)/9)+1,MOD(ROW()-9,9)+1),"")</f>
        <v/>
      </c>
      <c r="C5679" s="9">
        <f t="shared" si="88"/>
        <v>0</v>
      </c>
    </row>
    <row r="5680" spans="1:3" x14ac:dyDescent="0.2">
      <c r="A5680" s="10" t="str">
        <f>IF(5672&gt;$C$9008,"",INDEX($B$9:$B$9008,MATCH(5672,$C$9:$C$9008,0)))</f>
        <v/>
      </c>
      <c r="B5680" s="9" t="str">
        <f>IFERROR(INDEX(Input!$L$20:$T$1019,INT((ROW()-9)/9)+1,MOD(ROW()-9,9)+1),"")</f>
        <v/>
      </c>
      <c r="C5680" s="9">
        <f t="shared" si="88"/>
        <v>0</v>
      </c>
    </row>
    <row r="5681" spans="1:3" x14ac:dyDescent="0.2">
      <c r="A5681" s="10" t="str">
        <f>IF(5673&gt;$C$9008,"",INDEX($B$9:$B$9008,MATCH(5673,$C$9:$C$9008,0)))</f>
        <v/>
      </c>
      <c r="B5681" s="9" t="str">
        <f>IFERROR(INDEX(Input!$L$20:$T$1019,INT((ROW()-9)/9)+1,MOD(ROW()-9,9)+1),"")</f>
        <v/>
      </c>
      <c r="C5681" s="9">
        <f t="shared" si="88"/>
        <v>0</v>
      </c>
    </row>
    <row r="5682" spans="1:3" x14ac:dyDescent="0.2">
      <c r="A5682" s="10" t="str">
        <f>IF(5674&gt;$C$9008,"",INDEX($B$9:$B$9008,MATCH(5674,$C$9:$C$9008,0)))</f>
        <v/>
      </c>
      <c r="B5682" s="9" t="str">
        <f>IFERROR(INDEX(Input!$L$20:$T$1019,INT((ROW()-9)/9)+1,MOD(ROW()-9,9)+1),"")</f>
        <v/>
      </c>
      <c r="C5682" s="9">
        <f t="shared" si="88"/>
        <v>0</v>
      </c>
    </row>
    <row r="5683" spans="1:3" x14ac:dyDescent="0.2">
      <c r="A5683" s="10" t="str">
        <f>IF(5675&gt;$C$9008,"",INDEX($B$9:$B$9008,MATCH(5675,$C$9:$C$9008,0)))</f>
        <v/>
      </c>
      <c r="B5683" s="9" t="str">
        <f>IFERROR(INDEX(Input!$L$20:$T$1019,INT((ROW()-9)/9)+1,MOD(ROW()-9,9)+1),"")</f>
        <v/>
      </c>
      <c r="C5683" s="9">
        <f t="shared" si="88"/>
        <v>0</v>
      </c>
    </row>
    <row r="5684" spans="1:3" x14ac:dyDescent="0.2">
      <c r="A5684" s="10" t="str">
        <f>IF(5676&gt;$C$9008,"",INDEX($B$9:$B$9008,MATCH(5676,$C$9:$C$9008,0)))</f>
        <v/>
      </c>
      <c r="B5684" s="9" t="str">
        <f>IFERROR(INDEX(Input!$L$20:$T$1019,INT((ROW()-9)/9)+1,MOD(ROW()-9,9)+1),"")</f>
        <v/>
      </c>
      <c r="C5684" s="9">
        <f t="shared" si="88"/>
        <v>0</v>
      </c>
    </row>
    <row r="5685" spans="1:3" x14ac:dyDescent="0.2">
      <c r="A5685" s="10" t="str">
        <f>IF(5677&gt;$C$9008,"",INDEX($B$9:$B$9008,MATCH(5677,$C$9:$C$9008,0)))</f>
        <v/>
      </c>
      <c r="B5685" s="9" t="str">
        <f>IFERROR(INDEX(Input!$L$20:$T$1019,INT((ROW()-9)/9)+1,MOD(ROW()-9,9)+1),"")</f>
        <v/>
      </c>
      <c r="C5685" s="9">
        <f t="shared" si="88"/>
        <v>0</v>
      </c>
    </row>
    <row r="5686" spans="1:3" x14ac:dyDescent="0.2">
      <c r="A5686" s="10" t="str">
        <f>IF(5678&gt;$C$9008,"",INDEX($B$9:$B$9008,MATCH(5678,$C$9:$C$9008,0)))</f>
        <v/>
      </c>
      <c r="B5686" s="9" t="str">
        <f>IFERROR(INDEX(Input!$L$20:$T$1019,INT((ROW()-9)/9)+1,MOD(ROW()-9,9)+1),"")</f>
        <v/>
      </c>
      <c r="C5686" s="9">
        <f t="shared" si="88"/>
        <v>0</v>
      </c>
    </row>
    <row r="5687" spans="1:3" x14ac:dyDescent="0.2">
      <c r="A5687" s="10" t="str">
        <f>IF(5679&gt;$C$9008,"",INDEX($B$9:$B$9008,MATCH(5679,$C$9:$C$9008,0)))</f>
        <v/>
      </c>
      <c r="B5687" s="9" t="str">
        <f>IFERROR(INDEX(Input!$L$20:$T$1019,INT((ROW()-9)/9)+1,MOD(ROW()-9,9)+1),"")</f>
        <v/>
      </c>
      <c r="C5687" s="9">
        <f t="shared" si="88"/>
        <v>0</v>
      </c>
    </row>
    <row r="5688" spans="1:3" x14ac:dyDescent="0.2">
      <c r="A5688" s="10" t="str">
        <f>IF(5680&gt;$C$9008,"",INDEX($B$9:$B$9008,MATCH(5680,$C$9:$C$9008,0)))</f>
        <v/>
      </c>
      <c r="B5688" s="9" t="str">
        <f>IFERROR(INDEX(Input!$L$20:$T$1019,INT((ROW()-9)/9)+1,MOD(ROW()-9,9)+1),"")</f>
        <v/>
      </c>
      <c r="C5688" s="9">
        <f t="shared" si="88"/>
        <v>0</v>
      </c>
    </row>
    <row r="5689" spans="1:3" x14ac:dyDescent="0.2">
      <c r="A5689" s="10" t="str">
        <f>IF(5681&gt;$C$9008,"",INDEX($B$9:$B$9008,MATCH(5681,$C$9:$C$9008,0)))</f>
        <v/>
      </c>
      <c r="B5689" s="9" t="str">
        <f>IFERROR(INDEX(Input!$L$20:$T$1019,INT((ROW()-9)/9)+1,MOD(ROW()-9,9)+1),"")</f>
        <v/>
      </c>
      <c r="C5689" s="9">
        <f t="shared" si="88"/>
        <v>0</v>
      </c>
    </row>
    <row r="5690" spans="1:3" x14ac:dyDescent="0.2">
      <c r="A5690" s="10" t="str">
        <f>IF(5682&gt;$C$9008,"",INDEX($B$9:$B$9008,MATCH(5682,$C$9:$C$9008,0)))</f>
        <v/>
      </c>
      <c r="B5690" s="9" t="str">
        <f>IFERROR(INDEX(Input!$L$20:$T$1019,INT((ROW()-9)/9)+1,MOD(ROW()-9,9)+1),"")</f>
        <v/>
      </c>
      <c r="C5690" s="9">
        <f t="shared" si="88"/>
        <v>0</v>
      </c>
    </row>
    <row r="5691" spans="1:3" x14ac:dyDescent="0.2">
      <c r="A5691" s="10" t="str">
        <f>IF(5683&gt;$C$9008,"",INDEX($B$9:$B$9008,MATCH(5683,$C$9:$C$9008,0)))</f>
        <v/>
      </c>
      <c r="B5691" s="9" t="str">
        <f>IFERROR(INDEX(Input!$L$20:$T$1019,INT((ROW()-9)/9)+1,MOD(ROW()-9,9)+1),"")</f>
        <v/>
      </c>
      <c r="C5691" s="9">
        <f t="shared" si="88"/>
        <v>0</v>
      </c>
    </row>
    <row r="5692" spans="1:3" x14ac:dyDescent="0.2">
      <c r="A5692" s="10" t="str">
        <f>IF(5684&gt;$C$9008,"",INDEX($B$9:$B$9008,MATCH(5684,$C$9:$C$9008,0)))</f>
        <v/>
      </c>
      <c r="B5692" s="9" t="str">
        <f>IFERROR(INDEX(Input!$L$20:$T$1019,INT((ROW()-9)/9)+1,MOD(ROW()-9,9)+1),"")</f>
        <v/>
      </c>
      <c r="C5692" s="9">
        <f t="shared" si="88"/>
        <v>0</v>
      </c>
    </row>
    <row r="5693" spans="1:3" x14ac:dyDescent="0.2">
      <c r="A5693" s="10" t="str">
        <f>IF(5685&gt;$C$9008,"",INDEX($B$9:$B$9008,MATCH(5685,$C$9:$C$9008,0)))</f>
        <v/>
      </c>
      <c r="B5693" s="9" t="str">
        <f>IFERROR(INDEX(Input!$L$20:$T$1019,INT((ROW()-9)/9)+1,MOD(ROW()-9,9)+1),"")</f>
        <v/>
      </c>
      <c r="C5693" s="9">
        <f t="shared" si="88"/>
        <v>0</v>
      </c>
    </row>
    <row r="5694" spans="1:3" x14ac:dyDescent="0.2">
      <c r="A5694" s="10" t="str">
        <f>IF(5686&gt;$C$9008,"",INDEX($B$9:$B$9008,MATCH(5686,$C$9:$C$9008,0)))</f>
        <v/>
      </c>
      <c r="B5694" s="9" t="str">
        <f>IFERROR(INDEX(Input!$L$20:$T$1019,INT((ROW()-9)/9)+1,MOD(ROW()-9,9)+1),"")</f>
        <v/>
      </c>
      <c r="C5694" s="9">
        <f t="shared" si="88"/>
        <v>0</v>
      </c>
    </row>
    <row r="5695" spans="1:3" x14ac:dyDescent="0.2">
      <c r="A5695" s="10" t="str">
        <f>IF(5687&gt;$C$9008,"",INDEX($B$9:$B$9008,MATCH(5687,$C$9:$C$9008,0)))</f>
        <v/>
      </c>
      <c r="B5695" s="9" t="str">
        <f>IFERROR(INDEX(Input!$L$20:$T$1019,INT((ROW()-9)/9)+1,MOD(ROW()-9,9)+1),"")</f>
        <v/>
      </c>
      <c r="C5695" s="9">
        <f t="shared" si="88"/>
        <v>0</v>
      </c>
    </row>
    <row r="5696" spans="1:3" x14ac:dyDescent="0.2">
      <c r="A5696" s="10" t="str">
        <f>IF(5688&gt;$C$9008,"",INDEX($B$9:$B$9008,MATCH(5688,$C$9:$C$9008,0)))</f>
        <v/>
      </c>
      <c r="B5696" s="9" t="str">
        <f>IFERROR(INDEX(Input!$L$20:$T$1019,INT((ROW()-9)/9)+1,MOD(ROW()-9,9)+1),"")</f>
        <v/>
      </c>
      <c r="C5696" s="9">
        <f t="shared" si="88"/>
        <v>0</v>
      </c>
    </row>
    <row r="5697" spans="1:3" x14ac:dyDescent="0.2">
      <c r="A5697" s="10" t="str">
        <f>IF(5689&gt;$C$9008,"",INDEX($B$9:$B$9008,MATCH(5689,$C$9:$C$9008,0)))</f>
        <v/>
      </c>
      <c r="B5697" s="9" t="str">
        <f>IFERROR(INDEX(Input!$L$20:$T$1019,INT((ROW()-9)/9)+1,MOD(ROW()-9,9)+1),"")</f>
        <v/>
      </c>
      <c r="C5697" s="9">
        <f t="shared" si="88"/>
        <v>0</v>
      </c>
    </row>
    <row r="5698" spans="1:3" x14ac:dyDescent="0.2">
      <c r="A5698" s="10" t="str">
        <f>IF(5690&gt;$C$9008,"",INDEX($B$9:$B$9008,MATCH(5690,$C$9:$C$9008,0)))</f>
        <v/>
      </c>
      <c r="B5698" s="9" t="str">
        <f>IFERROR(INDEX(Input!$L$20:$T$1019,INT((ROW()-9)/9)+1,MOD(ROW()-9,9)+1),"")</f>
        <v/>
      </c>
      <c r="C5698" s="9">
        <f t="shared" si="88"/>
        <v>0</v>
      </c>
    </row>
    <row r="5699" spans="1:3" x14ac:dyDescent="0.2">
      <c r="A5699" s="10" t="str">
        <f>IF(5691&gt;$C$9008,"",INDEX($B$9:$B$9008,MATCH(5691,$C$9:$C$9008,0)))</f>
        <v/>
      </c>
      <c r="B5699" s="9" t="str">
        <f>IFERROR(INDEX(Input!$L$20:$T$1019,INT((ROW()-9)/9)+1,MOD(ROW()-9,9)+1),"")</f>
        <v/>
      </c>
      <c r="C5699" s="9">
        <f t="shared" si="88"/>
        <v>0</v>
      </c>
    </row>
    <row r="5700" spans="1:3" x14ac:dyDescent="0.2">
      <c r="A5700" s="10" t="str">
        <f>IF(5692&gt;$C$9008,"",INDEX($B$9:$B$9008,MATCH(5692,$C$9:$C$9008,0)))</f>
        <v/>
      </c>
      <c r="B5700" s="9" t="str">
        <f>IFERROR(INDEX(Input!$L$20:$T$1019,INT((ROW()-9)/9)+1,MOD(ROW()-9,9)+1),"")</f>
        <v/>
      </c>
      <c r="C5700" s="9">
        <f t="shared" si="88"/>
        <v>0</v>
      </c>
    </row>
    <row r="5701" spans="1:3" x14ac:dyDescent="0.2">
      <c r="A5701" s="10" t="str">
        <f>IF(5693&gt;$C$9008,"",INDEX($B$9:$B$9008,MATCH(5693,$C$9:$C$9008,0)))</f>
        <v/>
      </c>
      <c r="B5701" s="9" t="str">
        <f>IFERROR(INDEX(Input!$L$20:$T$1019,INT((ROW()-9)/9)+1,MOD(ROW()-9,9)+1),"")</f>
        <v/>
      </c>
      <c r="C5701" s="9">
        <f t="shared" si="88"/>
        <v>0</v>
      </c>
    </row>
    <row r="5702" spans="1:3" x14ac:dyDescent="0.2">
      <c r="A5702" s="10" t="str">
        <f>IF(5694&gt;$C$9008,"",INDEX($B$9:$B$9008,MATCH(5694,$C$9:$C$9008,0)))</f>
        <v/>
      </c>
      <c r="B5702" s="9" t="str">
        <f>IFERROR(INDEX(Input!$L$20:$T$1019,INT((ROW()-9)/9)+1,MOD(ROW()-9,9)+1),"")</f>
        <v/>
      </c>
      <c r="C5702" s="9">
        <f t="shared" si="88"/>
        <v>0</v>
      </c>
    </row>
    <row r="5703" spans="1:3" x14ac:dyDescent="0.2">
      <c r="A5703" s="10" t="str">
        <f>IF(5695&gt;$C$9008,"",INDEX($B$9:$B$9008,MATCH(5695,$C$9:$C$9008,0)))</f>
        <v/>
      </c>
      <c r="B5703" s="9" t="str">
        <f>IFERROR(INDEX(Input!$L$20:$T$1019,INT((ROW()-9)/9)+1,MOD(ROW()-9,9)+1),"")</f>
        <v/>
      </c>
      <c r="C5703" s="9">
        <f t="shared" si="88"/>
        <v>0</v>
      </c>
    </row>
    <row r="5704" spans="1:3" x14ac:dyDescent="0.2">
      <c r="A5704" s="10" t="str">
        <f>IF(5696&gt;$C$9008,"",INDEX($B$9:$B$9008,MATCH(5696,$C$9:$C$9008,0)))</f>
        <v/>
      </c>
      <c r="B5704" s="9" t="str">
        <f>IFERROR(INDEX(Input!$L$20:$T$1019,INT((ROW()-9)/9)+1,MOD(ROW()-9,9)+1),"")</f>
        <v/>
      </c>
      <c r="C5704" s="9">
        <f t="shared" si="88"/>
        <v>0</v>
      </c>
    </row>
    <row r="5705" spans="1:3" x14ac:dyDescent="0.2">
      <c r="A5705" s="10" t="str">
        <f>IF(5697&gt;$C$9008,"",INDEX($B$9:$B$9008,MATCH(5697,$C$9:$C$9008,0)))</f>
        <v/>
      </c>
      <c r="B5705" s="9" t="str">
        <f>IFERROR(INDEX(Input!$L$20:$T$1019,INT((ROW()-9)/9)+1,MOD(ROW()-9,9)+1),"")</f>
        <v/>
      </c>
      <c r="C5705" s="9">
        <f t="shared" ref="C5705:C5768" si="89">$C5704+IF($B5705&lt;&gt;"",1,0)</f>
        <v>0</v>
      </c>
    </row>
    <row r="5706" spans="1:3" x14ac:dyDescent="0.2">
      <c r="A5706" s="10" t="str">
        <f>IF(5698&gt;$C$9008,"",INDEX($B$9:$B$9008,MATCH(5698,$C$9:$C$9008,0)))</f>
        <v/>
      </c>
      <c r="B5706" s="9" t="str">
        <f>IFERROR(INDEX(Input!$L$20:$T$1019,INT((ROW()-9)/9)+1,MOD(ROW()-9,9)+1),"")</f>
        <v/>
      </c>
      <c r="C5706" s="9">
        <f t="shared" si="89"/>
        <v>0</v>
      </c>
    </row>
    <row r="5707" spans="1:3" x14ac:dyDescent="0.2">
      <c r="A5707" s="10" t="str">
        <f>IF(5699&gt;$C$9008,"",INDEX($B$9:$B$9008,MATCH(5699,$C$9:$C$9008,0)))</f>
        <v/>
      </c>
      <c r="B5707" s="9" t="str">
        <f>IFERROR(INDEX(Input!$L$20:$T$1019,INT((ROW()-9)/9)+1,MOD(ROW()-9,9)+1),"")</f>
        <v/>
      </c>
      <c r="C5707" s="9">
        <f t="shared" si="89"/>
        <v>0</v>
      </c>
    </row>
    <row r="5708" spans="1:3" x14ac:dyDescent="0.2">
      <c r="A5708" s="10" t="str">
        <f>IF(5700&gt;$C$9008,"",INDEX($B$9:$B$9008,MATCH(5700,$C$9:$C$9008,0)))</f>
        <v/>
      </c>
      <c r="B5708" s="9" t="str">
        <f>IFERROR(INDEX(Input!$L$20:$T$1019,INT((ROW()-9)/9)+1,MOD(ROW()-9,9)+1),"")</f>
        <v/>
      </c>
      <c r="C5708" s="9">
        <f t="shared" si="89"/>
        <v>0</v>
      </c>
    </row>
    <row r="5709" spans="1:3" x14ac:dyDescent="0.2">
      <c r="A5709" s="10" t="str">
        <f>IF(5701&gt;$C$9008,"",INDEX($B$9:$B$9008,MATCH(5701,$C$9:$C$9008,0)))</f>
        <v/>
      </c>
      <c r="B5709" s="9" t="str">
        <f>IFERROR(INDEX(Input!$L$20:$T$1019,INT((ROW()-9)/9)+1,MOD(ROW()-9,9)+1),"")</f>
        <v/>
      </c>
      <c r="C5709" s="9">
        <f t="shared" si="89"/>
        <v>0</v>
      </c>
    </row>
    <row r="5710" spans="1:3" x14ac:dyDescent="0.2">
      <c r="A5710" s="10" t="str">
        <f>IF(5702&gt;$C$9008,"",INDEX($B$9:$B$9008,MATCH(5702,$C$9:$C$9008,0)))</f>
        <v/>
      </c>
      <c r="B5710" s="9" t="str">
        <f>IFERROR(INDEX(Input!$L$20:$T$1019,INT((ROW()-9)/9)+1,MOD(ROW()-9,9)+1),"")</f>
        <v/>
      </c>
      <c r="C5710" s="9">
        <f t="shared" si="89"/>
        <v>0</v>
      </c>
    </row>
    <row r="5711" spans="1:3" x14ac:dyDescent="0.2">
      <c r="A5711" s="10" t="str">
        <f>IF(5703&gt;$C$9008,"",INDEX($B$9:$B$9008,MATCH(5703,$C$9:$C$9008,0)))</f>
        <v/>
      </c>
      <c r="B5711" s="9" t="str">
        <f>IFERROR(INDEX(Input!$L$20:$T$1019,INT((ROW()-9)/9)+1,MOD(ROW()-9,9)+1),"")</f>
        <v/>
      </c>
      <c r="C5711" s="9">
        <f t="shared" si="89"/>
        <v>0</v>
      </c>
    </row>
    <row r="5712" spans="1:3" x14ac:dyDescent="0.2">
      <c r="A5712" s="10" t="str">
        <f>IF(5704&gt;$C$9008,"",INDEX($B$9:$B$9008,MATCH(5704,$C$9:$C$9008,0)))</f>
        <v/>
      </c>
      <c r="B5712" s="9" t="str">
        <f>IFERROR(INDEX(Input!$L$20:$T$1019,INT((ROW()-9)/9)+1,MOD(ROW()-9,9)+1),"")</f>
        <v/>
      </c>
      <c r="C5712" s="9">
        <f t="shared" si="89"/>
        <v>0</v>
      </c>
    </row>
    <row r="5713" spans="1:3" x14ac:dyDescent="0.2">
      <c r="A5713" s="10" t="str">
        <f>IF(5705&gt;$C$9008,"",INDEX($B$9:$B$9008,MATCH(5705,$C$9:$C$9008,0)))</f>
        <v/>
      </c>
      <c r="B5713" s="9" t="str">
        <f>IFERROR(INDEX(Input!$L$20:$T$1019,INT((ROW()-9)/9)+1,MOD(ROW()-9,9)+1),"")</f>
        <v/>
      </c>
      <c r="C5713" s="9">
        <f t="shared" si="89"/>
        <v>0</v>
      </c>
    </row>
    <row r="5714" spans="1:3" x14ac:dyDescent="0.2">
      <c r="A5714" s="10" t="str">
        <f>IF(5706&gt;$C$9008,"",INDEX($B$9:$B$9008,MATCH(5706,$C$9:$C$9008,0)))</f>
        <v/>
      </c>
      <c r="B5714" s="9" t="str">
        <f>IFERROR(INDEX(Input!$L$20:$T$1019,INT((ROW()-9)/9)+1,MOD(ROW()-9,9)+1),"")</f>
        <v/>
      </c>
      <c r="C5714" s="9">
        <f t="shared" si="89"/>
        <v>0</v>
      </c>
    </row>
    <row r="5715" spans="1:3" x14ac:dyDescent="0.2">
      <c r="A5715" s="10" t="str">
        <f>IF(5707&gt;$C$9008,"",INDEX($B$9:$B$9008,MATCH(5707,$C$9:$C$9008,0)))</f>
        <v/>
      </c>
      <c r="B5715" s="9" t="str">
        <f>IFERROR(INDEX(Input!$L$20:$T$1019,INT((ROW()-9)/9)+1,MOD(ROW()-9,9)+1),"")</f>
        <v/>
      </c>
      <c r="C5715" s="9">
        <f t="shared" si="89"/>
        <v>0</v>
      </c>
    </row>
    <row r="5716" spans="1:3" x14ac:dyDescent="0.2">
      <c r="A5716" s="10" t="str">
        <f>IF(5708&gt;$C$9008,"",INDEX($B$9:$B$9008,MATCH(5708,$C$9:$C$9008,0)))</f>
        <v/>
      </c>
      <c r="B5716" s="9" t="str">
        <f>IFERROR(INDEX(Input!$L$20:$T$1019,INT((ROW()-9)/9)+1,MOD(ROW()-9,9)+1),"")</f>
        <v/>
      </c>
      <c r="C5716" s="9">
        <f t="shared" si="89"/>
        <v>0</v>
      </c>
    </row>
    <row r="5717" spans="1:3" x14ac:dyDescent="0.2">
      <c r="A5717" s="10" t="str">
        <f>IF(5709&gt;$C$9008,"",INDEX($B$9:$B$9008,MATCH(5709,$C$9:$C$9008,0)))</f>
        <v/>
      </c>
      <c r="B5717" s="9" t="str">
        <f>IFERROR(INDEX(Input!$L$20:$T$1019,INT((ROW()-9)/9)+1,MOD(ROW()-9,9)+1),"")</f>
        <v/>
      </c>
      <c r="C5717" s="9">
        <f t="shared" si="89"/>
        <v>0</v>
      </c>
    </row>
    <row r="5718" spans="1:3" x14ac:dyDescent="0.2">
      <c r="A5718" s="10" t="str">
        <f>IF(5710&gt;$C$9008,"",INDEX($B$9:$B$9008,MATCH(5710,$C$9:$C$9008,0)))</f>
        <v/>
      </c>
      <c r="B5718" s="9" t="str">
        <f>IFERROR(INDEX(Input!$L$20:$T$1019,INT((ROW()-9)/9)+1,MOD(ROW()-9,9)+1),"")</f>
        <v/>
      </c>
      <c r="C5718" s="9">
        <f t="shared" si="89"/>
        <v>0</v>
      </c>
    </row>
    <row r="5719" spans="1:3" x14ac:dyDescent="0.2">
      <c r="A5719" s="10" t="str">
        <f>IF(5711&gt;$C$9008,"",INDEX($B$9:$B$9008,MATCH(5711,$C$9:$C$9008,0)))</f>
        <v/>
      </c>
      <c r="B5719" s="9" t="str">
        <f>IFERROR(INDEX(Input!$L$20:$T$1019,INT((ROW()-9)/9)+1,MOD(ROW()-9,9)+1),"")</f>
        <v/>
      </c>
      <c r="C5719" s="9">
        <f t="shared" si="89"/>
        <v>0</v>
      </c>
    </row>
    <row r="5720" spans="1:3" x14ac:dyDescent="0.2">
      <c r="A5720" s="10" t="str">
        <f>IF(5712&gt;$C$9008,"",INDEX($B$9:$B$9008,MATCH(5712,$C$9:$C$9008,0)))</f>
        <v/>
      </c>
      <c r="B5720" s="9" t="str">
        <f>IFERROR(INDEX(Input!$L$20:$T$1019,INT((ROW()-9)/9)+1,MOD(ROW()-9,9)+1),"")</f>
        <v/>
      </c>
      <c r="C5720" s="9">
        <f t="shared" si="89"/>
        <v>0</v>
      </c>
    </row>
    <row r="5721" spans="1:3" x14ac:dyDescent="0.2">
      <c r="A5721" s="10" t="str">
        <f>IF(5713&gt;$C$9008,"",INDEX($B$9:$B$9008,MATCH(5713,$C$9:$C$9008,0)))</f>
        <v/>
      </c>
      <c r="B5721" s="9" t="str">
        <f>IFERROR(INDEX(Input!$L$20:$T$1019,INT((ROW()-9)/9)+1,MOD(ROW()-9,9)+1),"")</f>
        <v/>
      </c>
      <c r="C5721" s="9">
        <f t="shared" si="89"/>
        <v>0</v>
      </c>
    </row>
    <row r="5722" spans="1:3" x14ac:dyDescent="0.2">
      <c r="A5722" s="10" t="str">
        <f>IF(5714&gt;$C$9008,"",INDEX($B$9:$B$9008,MATCH(5714,$C$9:$C$9008,0)))</f>
        <v/>
      </c>
      <c r="B5722" s="9" t="str">
        <f>IFERROR(INDEX(Input!$L$20:$T$1019,INT((ROW()-9)/9)+1,MOD(ROW()-9,9)+1),"")</f>
        <v/>
      </c>
      <c r="C5722" s="9">
        <f t="shared" si="89"/>
        <v>0</v>
      </c>
    </row>
    <row r="5723" spans="1:3" x14ac:dyDescent="0.2">
      <c r="A5723" s="10" t="str">
        <f>IF(5715&gt;$C$9008,"",INDEX($B$9:$B$9008,MATCH(5715,$C$9:$C$9008,0)))</f>
        <v/>
      </c>
      <c r="B5723" s="9" t="str">
        <f>IFERROR(INDEX(Input!$L$20:$T$1019,INT((ROW()-9)/9)+1,MOD(ROW()-9,9)+1),"")</f>
        <v/>
      </c>
      <c r="C5723" s="9">
        <f t="shared" si="89"/>
        <v>0</v>
      </c>
    </row>
    <row r="5724" spans="1:3" x14ac:dyDescent="0.2">
      <c r="A5724" s="10" t="str">
        <f>IF(5716&gt;$C$9008,"",INDEX($B$9:$B$9008,MATCH(5716,$C$9:$C$9008,0)))</f>
        <v/>
      </c>
      <c r="B5724" s="9" t="str">
        <f>IFERROR(INDEX(Input!$L$20:$T$1019,INT((ROW()-9)/9)+1,MOD(ROW()-9,9)+1),"")</f>
        <v/>
      </c>
      <c r="C5724" s="9">
        <f t="shared" si="89"/>
        <v>0</v>
      </c>
    </row>
    <row r="5725" spans="1:3" x14ac:dyDescent="0.2">
      <c r="A5725" s="10" t="str">
        <f>IF(5717&gt;$C$9008,"",INDEX($B$9:$B$9008,MATCH(5717,$C$9:$C$9008,0)))</f>
        <v/>
      </c>
      <c r="B5725" s="9" t="str">
        <f>IFERROR(INDEX(Input!$L$20:$T$1019,INT((ROW()-9)/9)+1,MOD(ROW()-9,9)+1),"")</f>
        <v/>
      </c>
      <c r="C5725" s="9">
        <f t="shared" si="89"/>
        <v>0</v>
      </c>
    </row>
    <row r="5726" spans="1:3" x14ac:dyDescent="0.2">
      <c r="A5726" s="10" t="str">
        <f>IF(5718&gt;$C$9008,"",INDEX($B$9:$B$9008,MATCH(5718,$C$9:$C$9008,0)))</f>
        <v/>
      </c>
      <c r="B5726" s="9" t="str">
        <f>IFERROR(INDEX(Input!$L$20:$T$1019,INT((ROW()-9)/9)+1,MOD(ROW()-9,9)+1),"")</f>
        <v/>
      </c>
      <c r="C5726" s="9">
        <f t="shared" si="89"/>
        <v>0</v>
      </c>
    </row>
    <row r="5727" spans="1:3" x14ac:dyDescent="0.2">
      <c r="A5727" s="10" t="str">
        <f>IF(5719&gt;$C$9008,"",INDEX($B$9:$B$9008,MATCH(5719,$C$9:$C$9008,0)))</f>
        <v/>
      </c>
      <c r="B5727" s="9" t="str">
        <f>IFERROR(INDEX(Input!$L$20:$T$1019,INT((ROW()-9)/9)+1,MOD(ROW()-9,9)+1),"")</f>
        <v/>
      </c>
      <c r="C5727" s="9">
        <f t="shared" si="89"/>
        <v>0</v>
      </c>
    </row>
    <row r="5728" spans="1:3" x14ac:dyDescent="0.2">
      <c r="A5728" s="10" t="str">
        <f>IF(5720&gt;$C$9008,"",INDEX($B$9:$B$9008,MATCH(5720,$C$9:$C$9008,0)))</f>
        <v/>
      </c>
      <c r="B5728" s="9" t="str">
        <f>IFERROR(INDEX(Input!$L$20:$T$1019,INT((ROW()-9)/9)+1,MOD(ROW()-9,9)+1),"")</f>
        <v/>
      </c>
      <c r="C5728" s="9">
        <f t="shared" si="89"/>
        <v>0</v>
      </c>
    </row>
    <row r="5729" spans="1:3" x14ac:dyDescent="0.2">
      <c r="A5729" s="10" t="str">
        <f>IF(5721&gt;$C$9008,"",INDEX($B$9:$B$9008,MATCH(5721,$C$9:$C$9008,0)))</f>
        <v/>
      </c>
      <c r="B5729" s="9" t="str">
        <f>IFERROR(INDEX(Input!$L$20:$T$1019,INT((ROW()-9)/9)+1,MOD(ROW()-9,9)+1),"")</f>
        <v/>
      </c>
      <c r="C5729" s="9">
        <f t="shared" si="89"/>
        <v>0</v>
      </c>
    </row>
    <row r="5730" spans="1:3" x14ac:dyDescent="0.2">
      <c r="A5730" s="10" t="str">
        <f>IF(5722&gt;$C$9008,"",INDEX($B$9:$B$9008,MATCH(5722,$C$9:$C$9008,0)))</f>
        <v/>
      </c>
      <c r="B5730" s="9" t="str">
        <f>IFERROR(INDEX(Input!$L$20:$T$1019,INT((ROW()-9)/9)+1,MOD(ROW()-9,9)+1),"")</f>
        <v/>
      </c>
      <c r="C5730" s="9">
        <f t="shared" si="89"/>
        <v>0</v>
      </c>
    </row>
    <row r="5731" spans="1:3" x14ac:dyDescent="0.2">
      <c r="A5731" s="10" t="str">
        <f>IF(5723&gt;$C$9008,"",INDEX($B$9:$B$9008,MATCH(5723,$C$9:$C$9008,0)))</f>
        <v/>
      </c>
      <c r="B5731" s="9" t="str">
        <f>IFERROR(INDEX(Input!$L$20:$T$1019,INT((ROW()-9)/9)+1,MOD(ROW()-9,9)+1),"")</f>
        <v/>
      </c>
      <c r="C5731" s="9">
        <f t="shared" si="89"/>
        <v>0</v>
      </c>
    </row>
    <row r="5732" spans="1:3" x14ac:dyDescent="0.2">
      <c r="A5732" s="10" t="str">
        <f>IF(5724&gt;$C$9008,"",INDEX($B$9:$B$9008,MATCH(5724,$C$9:$C$9008,0)))</f>
        <v/>
      </c>
      <c r="B5732" s="9" t="str">
        <f>IFERROR(INDEX(Input!$L$20:$T$1019,INT((ROW()-9)/9)+1,MOD(ROW()-9,9)+1),"")</f>
        <v/>
      </c>
      <c r="C5732" s="9">
        <f t="shared" si="89"/>
        <v>0</v>
      </c>
    </row>
    <row r="5733" spans="1:3" x14ac:dyDescent="0.2">
      <c r="A5733" s="10" t="str">
        <f>IF(5725&gt;$C$9008,"",INDEX($B$9:$B$9008,MATCH(5725,$C$9:$C$9008,0)))</f>
        <v/>
      </c>
      <c r="B5733" s="9" t="str">
        <f>IFERROR(INDEX(Input!$L$20:$T$1019,INT((ROW()-9)/9)+1,MOD(ROW()-9,9)+1),"")</f>
        <v/>
      </c>
      <c r="C5733" s="9">
        <f t="shared" si="89"/>
        <v>0</v>
      </c>
    </row>
    <row r="5734" spans="1:3" x14ac:dyDescent="0.2">
      <c r="A5734" s="10" t="str">
        <f>IF(5726&gt;$C$9008,"",INDEX($B$9:$B$9008,MATCH(5726,$C$9:$C$9008,0)))</f>
        <v/>
      </c>
      <c r="B5734" s="9" t="str">
        <f>IFERROR(INDEX(Input!$L$20:$T$1019,INT((ROW()-9)/9)+1,MOD(ROW()-9,9)+1),"")</f>
        <v/>
      </c>
      <c r="C5734" s="9">
        <f t="shared" si="89"/>
        <v>0</v>
      </c>
    </row>
    <row r="5735" spans="1:3" x14ac:dyDescent="0.2">
      <c r="A5735" s="10" t="str">
        <f>IF(5727&gt;$C$9008,"",INDEX($B$9:$B$9008,MATCH(5727,$C$9:$C$9008,0)))</f>
        <v/>
      </c>
      <c r="B5735" s="9" t="str">
        <f>IFERROR(INDEX(Input!$L$20:$T$1019,INT((ROW()-9)/9)+1,MOD(ROW()-9,9)+1),"")</f>
        <v/>
      </c>
      <c r="C5735" s="9">
        <f t="shared" si="89"/>
        <v>0</v>
      </c>
    </row>
    <row r="5736" spans="1:3" x14ac:dyDescent="0.2">
      <c r="A5736" s="10" t="str">
        <f>IF(5728&gt;$C$9008,"",INDEX($B$9:$B$9008,MATCH(5728,$C$9:$C$9008,0)))</f>
        <v/>
      </c>
      <c r="B5736" s="9" t="str">
        <f>IFERROR(INDEX(Input!$L$20:$T$1019,INT((ROW()-9)/9)+1,MOD(ROW()-9,9)+1),"")</f>
        <v/>
      </c>
      <c r="C5736" s="9">
        <f t="shared" si="89"/>
        <v>0</v>
      </c>
    </row>
    <row r="5737" spans="1:3" x14ac:dyDescent="0.2">
      <c r="A5737" s="10" t="str">
        <f>IF(5729&gt;$C$9008,"",INDEX($B$9:$B$9008,MATCH(5729,$C$9:$C$9008,0)))</f>
        <v/>
      </c>
      <c r="B5737" s="9" t="str">
        <f>IFERROR(INDEX(Input!$L$20:$T$1019,INT((ROW()-9)/9)+1,MOD(ROW()-9,9)+1),"")</f>
        <v/>
      </c>
      <c r="C5737" s="9">
        <f t="shared" si="89"/>
        <v>0</v>
      </c>
    </row>
    <row r="5738" spans="1:3" x14ac:dyDescent="0.2">
      <c r="A5738" s="10" t="str">
        <f>IF(5730&gt;$C$9008,"",INDEX($B$9:$B$9008,MATCH(5730,$C$9:$C$9008,0)))</f>
        <v/>
      </c>
      <c r="B5738" s="9" t="str">
        <f>IFERROR(INDEX(Input!$L$20:$T$1019,INT((ROW()-9)/9)+1,MOD(ROW()-9,9)+1),"")</f>
        <v/>
      </c>
      <c r="C5738" s="9">
        <f t="shared" si="89"/>
        <v>0</v>
      </c>
    </row>
    <row r="5739" spans="1:3" x14ac:dyDescent="0.2">
      <c r="A5739" s="10" t="str">
        <f>IF(5731&gt;$C$9008,"",INDEX($B$9:$B$9008,MATCH(5731,$C$9:$C$9008,0)))</f>
        <v/>
      </c>
      <c r="B5739" s="9" t="str">
        <f>IFERROR(INDEX(Input!$L$20:$T$1019,INT((ROW()-9)/9)+1,MOD(ROW()-9,9)+1),"")</f>
        <v/>
      </c>
      <c r="C5739" s="9">
        <f t="shared" si="89"/>
        <v>0</v>
      </c>
    </row>
    <row r="5740" spans="1:3" x14ac:dyDescent="0.2">
      <c r="A5740" s="10" t="str">
        <f>IF(5732&gt;$C$9008,"",INDEX($B$9:$B$9008,MATCH(5732,$C$9:$C$9008,0)))</f>
        <v/>
      </c>
      <c r="B5740" s="9" t="str">
        <f>IFERROR(INDEX(Input!$L$20:$T$1019,INT((ROW()-9)/9)+1,MOD(ROW()-9,9)+1),"")</f>
        <v/>
      </c>
      <c r="C5740" s="9">
        <f t="shared" si="89"/>
        <v>0</v>
      </c>
    </row>
    <row r="5741" spans="1:3" x14ac:dyDescent="0.2">
      <c r="A5741" s="10" t="str">
        <f>IF(5733&gt;$C$9008,"",INDEX($B$9:$B$9008,MATCH(5733,$C$9:$C$9008,0)))</f>
        <v/>
      </c>
      <c r="B5741" s="9" t="str">
        <f>IFERROR(INDEX(Input!$L$20:$T$1019,INT((ROW()-9)/9)+1,MOD(ROW()-9,9)+1),"")</f>
        <v/>
      </c>
      <c r="C5741" s="9">
        <f t="shared" si="89"/>
        <v>0</v>
      </c>
    </row>
    <row r="5742" spans="1:3" x14ac:dyDescent="0.2">
      <c r="A5742" s="10" t="str">
        <f>IF(5734&gt;$C$9008,"",INDEX($B$9:$B$9008,MATCH(5734,$C$9:$C$9008,0)))</f>
        <v/>
      </c>
      <c r="B5742" s="9" t="str">
        <f>IFERROR(INDEX(Input!$L$20:$T$1019,INT((ROW()-9)/9)+1,MOD(ROW()-9,9)+1),"")</f>
        <v/>
      </c>
      <c r="C5742" s="9">
        <f t="shared" si="89"/>
        <v>0</v>
      </c>
    </row>
    <row r="5743" spans="1:3" x14ac:dyDescent="0.2">
      <c r="A5743" s="10" t="str">
        <f>IF(5735&gt;$C$9008,"",INDEX($B$9:$B$9008,MATCH(5735,$C$9:$C$9008,0)))</f>
        <v/>
      </c>
      <c r="B5743" s="9" t="str">
        <f>IFERROR(INDEX(Input!$L$20:$T$1019,INT((ROW()-9)/9)+1,MOD(ROW()-9,9)+1),"")</f>
        <v/>
      </c>
      <c r="C5743" s="9">
        <f t="shared" si="89"/>
        <v>0</v>
      </c>
    </row>
    <row r="5744" spans="1:3" x14ac:dyDescent="0.2">
      <c r="A5744" s="10" t="str">
        <f>IF(5736&gt;$C$9008,"",INDEX($B$9:$B$9008,MATCH(5736,$C$9:$C$9008,0)))</f>
        <v/>
      </c>
      <c r="B5744" s="9" t="str">
        <f>IFERROR(INDEX(Input!$L$20:$T$1019,INT((ROW()-9)/9)+1,MOD(ROW()-9,9)+1),"")</f>
        <v/>
      </c>
      <c r="C5744" s="9">
        <f t="shared" si="89"/>
        <v>0</v>
      </c>
    </row>
    <row r="5745" spans="1:3" x14ac:dyDescent="0.2">
      <c r="A5745" s="10" t="str">
        <f>IF(5737&gt;$C$9008,"",INDEX($B$9:$B$9008,MATCH(5737,$C$9:$C$9008,0)))</f>
        <v/>
      </c>
      <c r="B5745" s="9" t="str">
        <f>IFERROR(INDEX(Input!$L$20:$T$1019,INT((ROW()-9)/9)+1,MOD(ROW()-9,9)+1),"")</f>
        <v/>
      </c>
      <c r="C5745" s="9">
        <f t="shared" si="89"/>
        <v>0</v>
      </c>
    </row>
    <row r="5746" spans="1:3" x14ac:dyDescent="0.2">
      <c r="A5746" s="10" t="str">
        <f>IF(5738&gt;$C$9008,"",INDEX($B$9:$B$9008,MATCH(5738,$C$9:$C$9008,0)))</f>
        <v/>
      </c>
      <c r="B5746" s="9" t="str">
        <f>IFERROR(INDEX(Input!$L$20:$T$1019,INT((ROW()-9)/9)+1,MOD(ROW()-9,9)+1),"")</f>
        <v/>
      </c>
      <c r="C5746" s="9">
        <f t="shared" si="89"/>
        <v>0</v>
      </c>
    </row>
    <row r="5747" spans="1:3" x14ac:dyDescent="0.2">
      <c r="A5747" s="10" t="str">
        <f>IF(5739&gt;$C$9008,"",INDEX($B$9:$B$9008,MATCH(5739,$C$9:$C$9008,0)))</f>
        <v/>
      </c>
      <c r="B5747" s="9" t="str">
        <f>IFERROR(INDEX(Input!$L$20:$T$1019,INT((ROW()-9)/9)+1,MOD(ROW()-9,9)+1),"")</f>
        <v/>
      </c>
      <c r="C5747" s="9">
        <f t="shared" si="89"/>
        <v>0</v>
      </c>
    </row>
    <row r="5748" spans="1:3" x14ac:dyDescent="0.2">
      <c r="A5748" s="10" t="str">
        <f>IF(5740&gt;$C$9008,"",INDEX($B$9:$B$9008,MATCH(5740,$C$9:$C$9008,0)))</f>
        <v/>
      </c>
      <c r="B5748" s="9" t="str">
        <f>IFERROR(INDEX(Input!$L$20:$T$1019,INT((ROW()-9)/9)+1,MOD(ROW()-9,9)+1),"")</f>
        <v/>
      </c>
      <c r="C5748" s="9">
        <f t="shared" si="89"/>
        <v>0</v>
      </c>
    </row>
    <row r="5749" spans="1:3" x14ac:dyDescent="0.2">
      <c r="A5749" s="10" t="str">
        <f>IF(5741&gt;$C$9008,"",INDEX($B$9:$B$9008,MATCH(5741,$C$9:$C$9008,0)))</f>
        <v/>
      </c>
      <c r="B5749" s="9" t="str">
        <f>IFERROR(INDEX(Input!$L$20:$T$1019,INT((ROW()-9)/9)+1,MOD(ROW()-9,9)+1),"")</f>
        <v/>
      </c>
      <c r="C5749" s="9">
        <f t="shared" si="89"/>
        <v>0</v>
      </c>
    </row>
    <row r="5750" spans="1:3" x14ac:dyDescent="0.2">
      <c r="A5750" s="10" t="str">
        <f>IF(5742&gt;$C$9008,"",INDEX($B$9:$B$9008,MATCH(5742,$C$9:$C$9008,0)))</f>
        <v/>
      </c>
      <c r="B5750" s="9" t="str">
        <f>IFERROR(INDEX(Input!$L$20:$T$1019,INT((ROW()-9)/9)+1,MOD(ROW()-9,9)+1),"")</f>
        <v/>
      </c>
      <c r="C5750" s="9">
        <f t="shared" si="89"/>
        <v>0</v>
      </c>
    </row>
    <row r="5751" spans="1:3" x14ac:dyDescent="0.2">
      <c r="A5751" s="10" t="str">
        <f>IF(5743&gt;$C$9008,"",INDEX($B$9:$B$9008,MATCH(5743,$C$9:$C$9008,0)))</f>
        <v/>
      </c>
      <c r="B5751" s="9" t="str">
        <f>IFERROR(INDEX(Input!$L$20:$T$1019,INT((ROW()-9)/9)+1,MOD(ROW()-9,9)+1),"")</f>
        <v/>
      </c>
      <c r="C5751" s="9">
        <f t="shared" si="89"/>
        <v>0</v>
      </c>
    </row>
    <row r="5752" spans="1:3" x14ac:dyDescent="0.2">
      <c r="A5752" s="10" t="str">
        <f>IF(5744&gt;$C$9008,"",INDEX($B$9:$B$9008,MATCH(5744,$C$9:$C$9008,0)))</f>
        <v/>
      </c>
      <c r="B5752" s="9" t="str">
        <f>IFERROR(INDEX(Input!$L$20:$T$1019,INT((ROW()-9)/9)+1,MOD(ROW()-9,9)+1),"")</f>
        <v/>
      </c>
      <c r="C5752" s="9">
        <f t="shared" si="89"/>
        <v>0</v>
      </c>
    </row>
    <row r="5753" spans="1:3" x14ac:dyDescent="0.2">
      <c r="A5753" s="10" t="str">
        <f>IF(5745&gt;$C$9008,"",INDEX($B$9:$B$9008,MATCH(5745,$C$9:$C$9008,0)))</f>
        <v/>
      </c>
      <c r="B5753" s="9" t="str">
        <f>IFERROR(INDEX(Input!$L$20:$T$1019,INT((ROW()-9)/9)+1,MOD(ROW()-9,9)+1),"")</f>
        <v/>
      </c>
      <c r="C5753" s="9">
        <f t="shared" si="89"/>
        <v>0</v>
      </c>
    </row>
    <row r="5754" spans="1:3" x14ac:dyDescent="0.2">
      <c r="A5754" s="10" t="str">
        <f>IF(5746&gt;$C$9008,"",INDEX($B$9:$B$9008,MATCH(5746,$C$9:$C$9008,0)))</f>
        <v/>
      </c>
      <c r="B5754" s="9" t="str">
        <f>IFERROR(INDEX(Input!$L$20:$T$1019,INT((ROW()-9)/9)+1,MOD(ROW()-9,9)+1),"")</f>
        <v/>
      </c>
      <c r="C5754" s="9">
        <f t="shared" si="89"/>
        <v>0</v>
      </c>
    </row>
    <row r="5755" spans="1:3" x14ac:dyDescent="0.2">
      <c r="A5755" s="10" t="str">
        <f>IF(5747&gt;$C$9008,"",INDEX($B$9:$B$9008,MATCH(5747,$C$9:$C$9008,0)))</f>
        <v/>
      </c>
      <c r="B5755" s="9" t="str">
        <f>IFERROR(INDEX(Input!$L$20:$T$1019,INT((ROW()-9)/9)+1,MOD(ROW()-9,9)+1),"")</f>
        <v/>
      </c>
      <c r="C5755" s="9">
        <f t="shared" si="89"/>
        <v>0</v>
      </c>
    </row>
    <row r="5756" spans="1:3" x14ac:dyDescent="0.2">
      <c r="A5756" s="10" t="str">
        <f>IF(5748&gt;$C$9008,"",INDEX($B$9:$B$9008,MATCH(5748,$C$9:$C$9008,0)))</f>
        <v/>
      </c>
      <c r="B5756" s="9" t="str">
        <f>IFERROR(INDEX(Input!$L$20:$T$1019,INT((ROW()-9)/9)+1,MOD(ROW()-9,9)+1),"")</f>
        <v/>
      </c>
      <c r="C5756" s="9">
        <f t="shared" si="89"/>
        <v>0</v>
      </c>
    </row>
    <row r="5757" spans="1:3" x14ac:dyDescent="0.2">
      <c r="A5757" s="10" t="str">
        <f>IF(5749&gt;$C$9008,"",INDEX($B$9:$B$9008,MATCH(5749,$C$9:$C$9008,0)))</f>
        <v/>
      </c>
      <c r="B5757" s="9" t="str">
        <f>IFERROR(INDEX(Input!$L$20:$T$1019,INT((ROW()-9)/9)+1,MOD(ROW()-9,9)+1),"")</f>
        <v/>
      </c>
      <c r="C5757" s="9">
        <f t="shared" si="89"/>
        <v>0</v>
      </c>
    </row>
    <row r="5758" spans="1:3" x14ac:dyDescent="0.2">
      <c r="A5758" s="10" t="str">
        <f>IF(5750&gt;$C$9008,"",INDEX($B$9:$B$9008,MATCH(5750,$C$9:$C$9008,0)))</f>
        <v/>
      </c>
      <c r="B5758" s="9" t="str">
        <f>IFERROR(INDEX(Input!$L$20:$T$1019,INT((ROW()-9)/9)+1,MOD(ROW()-9,9)+1),"")</f>
        <v/>
      </c>
      <c r="C5758" s="9">
        <f t="shared" si="89"/>
        <v>0</v>
      </c>
    </row>
    <row r="5759" spans="1:3" x14ac:dyDescent="0.2">
      <c r="A5759" s="10" t="str">
        <f>IF(5751&gt;$C$9008,"",INDEX($B$9:$B$9008,MATCH(5751,$C$9:$C$9008,0)))</f>
        <v/>
      </c>
      <c r="B5759" s="9" t="str">
        <f>IFERROR(INDEX(Input!$L$20:$T$1019,INT((ROW()-9)/9)+1,MOD(ROW()-9,9)+1),"")</f>
        <v/>
      </c>
      <c r="C5759" s="9">
        <f t="shared" si="89"/>
        <v>0</v>
      </c>
    </row>
    <row r="5760" spans="1:3" x14ac:dyDescent="0.2">
      <c r="A5760" s="10" t="str">
        <f>IF(5752&gt;$C$9008,"",INDEX($B$9:$B$9008,MATCH(5752,$C$9:$C$9008,0)))</f>
        <v/>
      </c>
      <c r="B5760" s="9" t="str">
        <f>IFERROR(INDEX(Input!$L$20:$T$1019,INT((ROW()-9)/9)+1,MOD(ROW()-9,9)+1),"")</f>
        <v/>
      </c>
      <c r="C5760" s="9">
        <f t="shared" si="89"/>
        <v>0</v>
      </c>
    </row>
    <row r="5761" spans="1:3" x14ac:dyDescent="0.2">
      <c r="A5761" s="10" t="str">
        <f>IF(5753&gt;$C$9008,"",INDEX($B$9:$B$9008,MATCH(5753,$C$9:$C$9008,0)))</f>
        <v/>
      </c>
      <c r="B5761" s="9" t="str">
        <f>IFERROR(INDEX(Input!$L$20:$T$1019,INT((ROW()-9)/9)+1,MOD(ROW()-9,9)+1),"")</f>
        <v/>
      </c>
      <c r="C5761" s="9">
        <f t="shared" si="89"/>
        <v>0</v>
      </c>
    </row>
    <row r="5762" spans="1:3" x14ac:dyDescent="0.2">
      <c r="A5762" s="10" t="str">
        <f>IF(5754&gt;$C$9008,"",INDEX($B$9:$B$9008,MATCH(5754,$C$9:$C$9008,0)))</f>
        <v/>
      </c>
      <c r="B5762" s="9" t="str">
        <f>IFERROR(INDEX(Input!$L$20:$T$1019,INT((ROW()-9)/9)+1,MOD(ROW()-9,9)+1),"")</f>
        <v/>
      </c>
      <c r="C5762" s="9">
        <f t="shared" si="89"/>
        <v>0</v>
      </c>
    </row>
    <row r="5763" spans="1:3" x14ac:dyDescent="0.2">
      <c r="A5763" s="10" t="str">
        <f>IF(5755&gt;$C$9008,"",INDEX($B$9:$B$9008,MATCH(5755,$C$9:$C$9008,0)))</f>
        <v/>
      </c>
      <c r="B5763" s="9" t="str">
        <f>IFERROR(INDEX(Input!$L$20:$T$1019,INT((ROW()-9)/9)+1,MOD(ROW()-9,9)+1),"")</f>
        <v/>
      </c>
      <c r="C5763" s="9">
        <f t="shared" si="89"/>
        <v>0</v>
      </c>
    </row>
    <row r="5764" spans="1:3" x14ac:dyDescent="0.2">
      <c r="A5764" s="10" t="str">
        <f>IF(5756&gt;$C$9008,"",INDEX($B$9:$B$9008,MATCH(5756,$C$9:$C$9008,0)))</f>
        <v/>
      </c>
      <c r="B5764" s="9" t="str">
        <f>IFERROR(INDEX(Input!$L$20:$T$1019,INT((ROW()-9)/9)+1,MOD(ROW()-9,9)+1),"")</f>
        <v/>
      </c>
      <c r="C5764" s="9">
        <f t="shared" si="89"/>
        <v>0</v>
      </c>
    </row>
    <row r="5765" spans="1:3" x14ac:dyDescent="0.2">
      <c r="A5765" s="10" t="str">
        <f>IF(5757&gt;$C$9008,"",INDEX($B$9:$B$9008,MATCH(5757,$C$9:$C$9008,0)))</f>
        <v/>
      </c>
      <c r="B5765" s="9" t="str">
        <f>IFERROR(INDEX(Input!$L$20:$T$1019,INT((ROW()-9)/9)+1,MOD(ROW()-9,9)+1),"")</f>
        <v/>
      </c>
      <c r="C5765" s="9">
        <f t="shared" si="89"/>
        <v>0</v>
      </c>
    </row>
    <row r="5766" spans="1:3" x14ac:dyDescent="0.2">
      <c r="A5766" s="10" t="str">
        <f>IF(5758&gt;$C$9008,"",INDEX($B$9:$B$9008,MATCH(5758,$C$9:$C$9008,0)))</f>
        <v/>
      </c>
      <c r="B5766" s="9" t="str">
        <f>IFERROR(INDEX(Input!$L$20:$T$1019,INT((ROW()-9)/9)+1,MOD(ROW()-9,9)+1),"")</f>
        <v/>
      </c>
      <c r="C5766" s="9">
        <f t="shared" si="89"/>
        <v>0</v>
      </c>
    </row>
    <row r="5767" spans="1:3" x14ac:dyDescent="0.2">
      <c r="A5767" s="10" t="str">
        <f>IF(5759&gt;$C$9008,"",INDEX($B$9:$B$9008,MATCH(5759,$C$9:$C$9008,0)))</f>
        <v/>
      </c>
      <c r="B5767" s="9" t="str">
        <f>IFERROR(INDEX(Input!$L$20:$T$1019,INT((ROW()-9)/9)+1,MOD(ROW()-9,9)+1),"")</f>
        <v/>
      </c>
      <c r="C5767" s="9">
        <f t="shared" si="89"/>
        <v>0</v>
      </c>
    </row>
    <row r="5768" spans="1:3" x14ac:dyDescent="0.2">
      <c r="A5768" s="10" t="str">
        <f>IF(5760&gt;$C$9008,"",INDEX($B$9:$B$9008,MATCH(5760,$C$9:$C$9008,0)))</f>
        <v/>
      </c>
      <c r="B5768" s="9" t="str">
        <f>IFERROR(INDEX(Input!$L$20:$T$1019,INT((ROW()-9)/9)+1,MOD(ROW()-9,9)+1),"")</f>
        <v/>
      </c>
      <c r="C5768" s="9">
        <f t="shared" si="89"/>
        <v>0</v>
      </c>
    </row>
    <row r="5769" spans="1:3" x14ac:dyDescent="0.2">
      <c r="A5769" s="10" t="str">
        <f>IF(5761&gt;$C$9008,"",INDEX($B$9:$B$9008,MATCH(5761,$C$9:$C$9008,0)))</f>
        <v/>
      </c>
      <c r="B5769" s="9" t="str">
        <f>IFERROR(INDEX(Input!$L$20:$T$1019,INT((ROW()-9)/9)+1,MOD(ROW()-9,9)+1),"")</f>
        <v/>
      </c>
      <c r="C5769" s="9">
        <f t="shared" ref="C5769:C5832" si="90">$C5768+IF($B5769&lt;&gt;"",1,0)</f>
        <v>0</v>
      </c>
    </row>
    <row r="5770" spans="1:3" x14ac:dyDescent="0.2">
      <c r="A5770" s="10" t="str">
        <f>IF(5762&gt;$C$9008,"",INDEX($B$9:$B$9008,MATCH(5762,$C$9:$C$9008,0)))</f>
        <v/>
      </c>
      <c r="B5770" s="9" t="str">
        <f>IFERROR(INDEX(Input!$L$20:$T$1019,INT((ROW()-9)/9)+1,MOD(ROW()-9,9)+1),"")</f>
        <v/>
      </c>
      <c r="C5770" s="9">
        <f t="shared" si="90"/>
        <v>0</v>
      </c>
    </row>
    <row r="5771" spans="1:3" x14ac:dyDescent="0.2">
      <c r="A5771" s="10" t="str">
        <f>IF(5763&gt;$C$9008,"",INDEX($B$9:$B$9008,MATCH(5763,$C$9:$C$9008,0)))</f>
        <v/>
      </c>
      <c r="B5771" s="9" t="str">
        <f>IFERROR(INDEX(Input!$L$20:$T$1019,INT((ROW()-9)/9)+1,MOD(ROW()-9,9)+1),"")</f>
        <v/>
      </c>
      <c r="C5771" s="9">
        <f t="shared" si="90"/>
        <v>0</v>
      </c>
    </row>
    <row r="5772" spans="1:3" x14ac:dyDescent="0.2">
      <c r="A5772" s="10" t="str">
        <f>IF(5764&gt;$C$9008,"",INDEX($B$9:$B$9008,MATCH(5764,$C$9:$C$9008,0)))</f>
        <v/>
      </c>
      <c r="B5772" s="9" t="str">
        <f>IFERROR(INDEX(Input!$L$20:$T$1019,INT((ROW()-9)/9)+1,MOD(ROW()-9,9)+1),"")</f>
        <v/>
      </c>
      <c r="C5772" s="9">
        <f t="shared" si="90"/>
        <v>0</v>
      </c>
    </row>
    <row r="5773" spans="1:3" x14ac:dyDescent="0.2">
      <c r="A5773" s="10" t="str">
        <f>IF(5765&gt;$C$9008,"",INDEX($B$9:$B$9008,MATCH(5765,$C$9:$C$9008,0)))</f>
        <v/>
      </c>
      <c r="B5773" s="9" t="str">
        <f>IFERROR(INDEX(Input!$L$20:$T$1019,INT((ROW()-9)/9)+1,MOD(ROW()-9,9)+1),"")</f>
        <v/>
      </c>
      <c r="C5773" s="9">
        <f t="shared" si="90"/>
        <v>0</v>
      </c>
    </row>
    <row r="5774" spans="1:3" x14ac:dyDescent="0.2">
      <c r="A5774" s="10" t="str">
        <f>IF(5766&gt;$C$9008,"",INDEX($B$9:$B$9008,MATCH(5766,$C$9:$C$9008,0)))</f>
        <v/>
      </c>
      <c r="B5774" s="9" t="str">
        <f>IFERROR(INDEX(Input!$L$20:$T$1019,INT((ROW()-9)/9)+1,MOD(ROW()-9,9)+1),"")</f>
        <v/>
      </c>
      <c r="C5774" s="9">
        <f t="shared" si="90"/>
        <v>0</v>
      </c>
    </row>
    <row r="5775" spans="1:3" x14ac:dyDescent="0.2">
      <c r="A5775" s="10" t="str">
        <f>IF(5767&gt;$C$9008,"",INDEX($B$9:$B$9008,MATCH(5767,$C$9:$C$9008,0)))</f>
        <v/>
      </c>
      <c r="B5775" s="9" t="str">
        <f>IFERROR(INDEX(Input!$L$20:$T$1019,INT((ROW()-9)/9)+1,MOD(ROW()-9,9)+1),"")</f>
        <v/>
      </c>
      <c r="C5775" s="9">
        <f t="shared" si="90"/>
        <v>0</v>
      </c>
    </row>
    <row r="5776" spans="1:3" x14ac:dyDescent="0.2">
      <c r="A5776" s="10" t="str">
        <f>IF(5768&gt;$C$9008,"",INDEX($B$9:$B$9008,MATCH(5768,$C$9:$C$9008,0)))</f>
        <v/>
      </c>
      <c r="B5776" s="9" t="str">
        <f>IFERROR(INDEX(Input!$L$20:$T$1019,INT((ROW()-9)/9)+1,MOD(ROW()-9,9)+1),"")</f>
        <v/>
      </c>
      <c r="C5776" s="9">
        <f t="shared" si="90"/>
        <v>0</v>
      </c>
    </row>
    <row r="5777" spans="1:3" x14ac:dyDescent="0.2">
      <c r="A5777" s="10" t="str">
        <f>IF(5769&gt;$C$9008,"",INDEX($B$9:$B$9008,MATCH(5769,$C$9:$C$9008,0)))</f>
        <v/>
      </c>
      <c r="B5777" s="9" t="str">
        <f>IFERROR(INDEX(Input!$L$20:$T$1019,INT((ROW()-9)/9)+1,MOD(ROW()-9,9)+1),"")</f>
        <v/>
      </c>
      <c r="C5777" s="9">
        <f t="shared" si="90"/>
        <v>0</v>
      </c>
    </row>
    <row r="5778" spans="1:3" x14ac:dyDescent="0.2">
      <c r="A5778" s="10" t="str">
        <f>IF(5770&gt;$C$9008,"",INDEX($B$9:$B$9008,MATCH(5770,$C$9:$C$9008,0)))</f>
        <v/>
      </c>
      <c r="B5778" s="9" t="str">
        <f>IFERROR(INDEX(Input!$L$20:$T$1019,INT((ROW()-9)/9)+1,MOD(ROW()-9,9)+1),"")</f>
        <v/>
      </c>
      <c r="C5778" s="9">
        <f t="shared" si="90"/>
        <v>0</v>
      </c>
    </row>
    <row r="5779" spans="1:3" x14ac:dyDescent="0.2">
      <c r="A5779" s="10" t="str">
        <f>IF(5771&gt;$C$9008,"",INDEX($B$9:$B$9008,MATCH(5771,$C$9:$C$9008,0)))</f>
        <v/>
      </c>
      <c r="B5779" s="9" t="str">
        <f>IFERROR(INDEX(Input!$L$20:$T$1019,INT((ROW()-9)/9)+1,MOD(ROW()-9,9)+1),"")</f>
        <v/>
      </c>
      <c r="C5779" s="9">
        <f t="shared" si="90"/>
        <v>0</v>
      </c>
    </row>
    <row r="5780" spans="1:3" x14ac:dyDescent="0.2">
      <c r="A5780" s="10" t="str">
        <f>IF(5772&gt;$C$9008,"",INDEX($B$9:$B$9008,MATCH(5772,$C$9:$C$9008,0)))</f>
        <v/>
      </c>
      <c r="B5780" s="9" t="str">
        <f>IFERROR(INDEX(Input!$L$20:$T$1019,INT((ROW()-9)/9)+1,MOD(ROW()-9,9)+1),"")</f>
        <v/>
      </c>
      <c r="C5780" s="9">
        <f t="shared" si="90"/>
        <v>0</v>
      </c>
    </row>
    <row r="5781" spans="1:3" x14ac:dyDescent="0.2">
      <c r="A5781" s="10" t="str">
        <f>IF(5773&gt;$C$9008,"",INDEX($B$9:$B$9008,MATCH(5773,$C$9:$C$9008,0)))</f>
        <v/>
      </c>
      <c r="B5781" s="9" t="str">
        <f>IFERROR(INDEX(Input!$L$20:$T$1019,INT((ROW()-9)/9)+1,MOD(ROW()-9,9)+1),"")</f>
        <v/>
      </c>
      <c r="C5781" s="9">
        <f t="shared" si="90"/>
        <v>0</v>
      </c>
    </row>
    <row r="5782" spans="1:3" x14ac:dyDescent="0.2">
      <c r="A5782" s="10" t="str">
        <f>IF(5774&gt;$C$9008,"",INDEX($B$9:$B$9008,MATCH(5774,$C$9:$C$9008,0)))</f>
        <v/>
      </c>
      <c r="B5782" s="9" t="str">
        <f>IFERROR(INDEX(Input!$L$20:$T$1019,INT((ROW()-9)/9)+1,MOD(ROW()-9,9)+1),"")</f>
        <v/>
      </c>
      <c r="C5782" s="9">
        <f t="shared" si="90"/>
        <v>0</v>
      </c>
    </row>
    <row r="5783" spans="1:3" x14ac:dyDescent="0.2">
      <c r="A5783" s="10" t="str">
        <f>IF(5775&gt;$C$9008,"",INDEX($B$9:$B$9008,MATCH(5775,$C$9:$C$9008,0)))</f>
        <v/>
      </c>
      <c r="B5783" s="9" t="str">
        <f>IFERROR(INDEX(Input!$L$20:$T$1019,INT((ROW()-9)/9)+1,MOD(ROW()-9,9)+1),"")</f>
        <v/>
      </c>
      <c r="C5783" s="9">
        <f t="shared" si="90"/>
        <v>0</v>
      </c>
    </row>
    <row r="5784" spans="1:3" x14ac:dyDescent="0.2">
      <c r="A5784" s="10" t="str">
        <f>IF(5776&gt;$C$9008,"",INDEX($B$9:$B$9008,MATCH(5776,$C$9:$C$9008,0)))</f>
        <v/>
      </c>
      <c r="B5784" s="9" t="str">
        <f>IFERROR(INDEX(Input!$L$20:$T$1019,INT((ROW()-9)/9)+1,MOD(ROW()-9,9)+1),"")</f>
        <v/>
      </c>
      <c r="C5784" s="9">
        <f t="shared" si="90"/>
        <v>0</v>
      </c>
    </row>
    <row r="5785" spans="1:3" x14ac:dyDescent="0.2">
      <c r="A5785" s="10" t="str">
        <f>IF(5777&gt;$C$9008,"",INDEX($B$9:$B$9008,MATCH(5777,$C$9:$C$9008,0)))</f>
        <v/>
      </c>
      <c r="B5785" s="9" t="str">
        <f>IFERROR(INDEX(Input!$L$20:$T$1019,INT((ROW()-9)/9)+1,MOD(ROW()-9,9)+1),"")</f>
        <v/>
      </c>
      <c r="C5785" s="9">
        <f t="shared" si="90"/>
        <v>0</v>
      </c>
    </row>
    <row r="5786" spans="1:3" x14ac:dyDescent="0.2">
      <c r="A5786" s="10" t="str">
        <f>IF(5778&gt;$C$9008,"",INDEX($B$9:$B$9008,MATCH(5778,$C$9:$C$9008,0)))</f>
        <v/>
      </c>
      <c r="B5786" s="9" t="str">
        <f>IFERROR(INDEX(Input!$L$20:$T$1019,INT((ROW()-9)/9)+1,MOD(ROW()-9,9)+1),"")</f>
        <v/>
      </c>
      <c r="C5786" s="9">
        <f t="shared" si="90"/>
        <v>0</v>
      </c>
    </row>
    <row r="5787" spans="1:3" x14ac:dyDescent="0.2">
      <c r="A5787" s="10" t="str">
        <f>IF(5779&gt;$C$9008,"",INDEX($B$9:$B$9008,MATCH(5779,$C$9:$C$9008,0)))</f>
        <v/>
      </c>
      <c r="B5787" s="9" t="str">
        <f>IFERROR(INDEX(Input!$L$20:$T$1019,INT((ROW()-9)/9)+1,MOD(ROW()-9,9)+1),"")</f>
        <v/>
      </c>
      <c r="C5787" s="9">
        <f t="shared" si="90"/>
        <v>0</v>
      </c>
    </row>
    <row r="5788" spans="1:3" x14ac:dyDescent="0.2">
      <c r="A5788" s="10" t="str">
        <f>IF(5780&gt;$C$9008,"",INDEX($B$9:$B$9008,MATCH(5780,$C$9:$C$9008,0)))</f>
        <v/>
      </c>
      <c r="B5788" s="9" t="str">
        <f>IFERROR(INDEX(Input!$L$20:$T$1019,INT((ROW()-9)/9)+1,MOD(ROW()-9,9)+1),"")</f>
        <v/>
      </c>
      <c r="C5788" s="9">
        <f t="shared" si="90"/>
        <v>0</v>
      </c>
    </row>
    <row r="5789" spans="1:3" x14ac:dyDescent="0.2">
      <c r="A5789" s="10" t="str">
        <f>IF(5781&gt;$C$9008,"",INDEX($B$9:$B$9008,MATCH(5781,$C$9:$C$9008,0)))</f>
        <v/>
      </c>
      <c r="B5789" s="9" t="str">
        <f>IFERROR(INDEX(Input!$L$20:$T$1019,INT((ROW()-9)/9)+1,MOD(ROW()-9,9)+1),"")</f>
        <v/>
      </c>
      <c r="C5789" s="9">
        <f t="shared" si="90"/>
        <v>0</v>
      </c>
    </row>
    <row r="5790" spans="1:3" x14ac:dyDescent="0.2">
      <c r="A5790" s="10" t="str">
        <f>IF(5782&gt;$C$9008,"",INDEX($B$9:$B$9008,MATCH(5782,$C$9:$C$9008,0)))</f>
        <v/>
      </c>
      <c r="B5790" s="9" t="str">
        <f>IFERROR(INDEX(Input!$L$20:$T$1019,INT((ROW()-9)/9)+1,MOD(ROW()-9,9)+1),"")</f>
        <v/>
      </c>
      <c r="C5790" s="9">
        <f t="shared" si="90"/>
        <v>0</v>
      </c>
    </row>
    <row r="5791" spans="1:3" x14ac:dyDescent="0.2">
      <c r="A5791" s="10" t="str">
        <f>IF(5783&gt;$C$9008,"",INDEX($B$9:$B$9008,MATCH(5783,$C$9:$C$9008,0)))</f>
        <v/>
      </c>
      <c r="B5791" s="9" t="str">
        <f>IFERROR(INDEX(Input!$L$20:$T$1019,INT((ROW()-9)/9)+1,MOD(ROW()-9,9)+1),"")</f>
        <v/>
      </c>
      <c r="C5791" s="9">
        <f t="shared" si="90"/>
        <v>0</v>
      </c>
    </row>
    <row r="5792" spans="1:3" x14ac:dyDescent="0.2">
      <c r="A5792" s="10" t="str">
        <f>IF(5784&gt;$C$9008,"",INDEX($B$9:$B$9008,MATCH(5784,$C$9:$C$9008,0)))</f>
        <v/>
      </c>
      <c r="B5792" s="9" t="str">
        <f>IFERROR(INDEX(Input!$L$20:$T$1019,INT((ROW()-9)/9)+1,MOD(ROW()-9,9)+1),"")</f>
        <v/>
      </c>
      <c r="C5792" s="9">
        <f t="shared" si="90"/>
        <v>0</v>
      </c>
    </row>
    <row r="5793" spans="1:3" x14ac:dyDescent="0.2">
      <c r="A5793" s="10" t="str">
        <f>IF(5785&gt;$C$9008,"",INDEX($B$9:$B$9008,MATCH(5785,$C$9:$C$9008,0)))</f>
        <v/>
      </c>
      <c r="B5793" s="9" t="str">
        <f>IFERROR(INDEX(Input!$L$20:$T$1019,INT((ROW()-9)/9)+1,MOD(ROW()-9,9)+1),"")</f>
        <v/>
      </c>
      <c r="C5793" s="9">
        <f t="shared" si="90"/>
        <v>0</v>
      </c>
    </row>
    <row r="5794" spans="1:3" x14ac:dyDescent="0.2">
      <c r="A5794" s="10" t="str">
        <f>IF(5786&gt;$C$9008,"",INDEX($B$9:$B$9008,MATCH(5786,$C$9:$C$9008,0)))</f>
        <v/>
      </c>
      <c r="B5794" s="9" t="str">
        <f>IFERROR(INDEX(Input!$L$20:$T$1019,INT((ROW()-9)/9)+1,MOD(ROW()-9,9)+1),"")</f>
        <v/>
      </c>
      <c r="C5794" s="9">
        <f t="shared" si="90"/>
        <v>0</v>
      </c>
    </row>
    <row r="5795" spans="1:3" x14ac:dyDescent="0.2">
      <c r="A5795" s="10" t="str">
        <f>IF(5787&gt;$C$9008,"",INDEX($B$9:$B$9008,MATCH(5787,$C$9:$C$9008,0)))</f>
        <v/>
      </c>
      <c r="B5795" s="9" t="str">
        <f>IFERROR(INDEX(Input!$L$20:$T$1019,INT((ROW()-9)/9)+1,MOD(ROW()-9,9)+1),"")</f>
        <v/>
      </c>
      <c r="C5795" s="9">
        <f t="shared" si="90"/>
        <v>0</v>
      </c>
    </row>
    <row r="5796" spans="1:3" x14ac:dyDescent="0.2">
      <c r="A5796" s="10" t="str">
        <f>IF(5788&gt;$C$9008,"",INDEX($B$9:$B$9008,MATCH(5788,$C$9:$C$9008,0)))</f>
        <v/>
      </c>
      <c r="B5796" s="9" t="str">
        <f>IFERROR(INDEX(Input!$L$20:$T$1019,INT((ROW()-9)/9)+1,MOD(ROW()-9,9)+1),"")</f>
        <v/>
      </c>
      <c r="C5796" s="9">
        <f t="shared" si="90"/>
        <v>0</v>
      </c>
    </row>
    <row r="5797" spans="1:3" x14ac:dyDescent="0.2">
      <c r="A5797" s="10" t="str">
        <f>IF(5789&gt;$C$9008,"",INDEX($B$9:$B$9008,MATCH(5789,$C$9:$C$9008,0)))</f>
        <v/>
      </c>
      <c r="B5797" s="9" t="str">
        <f>IFERROR(INDEX(Input!$L$20:$T$1019,INT((ROW()-9)/9)+1,MOD(ROW()-9,9)+1),"")</f>
        <v/>
      </c>
      <c r="C5797" s="9">
        <f t="shared" si="90"/>
        <v>0</v>
      </c>
    </row>
    <row r="5798" spans="1:3" x14ac:dyDescent="0.2">
      <c r="A5798" s="10" t="str">
        <f>IF(5790&gt;$C$9008,"",INDEX($B$9:$B$9008,MATCH(5790,$C$9:$C$9008,0)))</f>
        <v/>
      </c>
      <c r="B5798" s="9" t="str">
        <f>IFERROR(INDEX(Input!$L$20:$T$1019,INT((ROW()-9)/9)+1,MOD(ROW()-9,9)+1),"")</f>
        <v/>
      </c>
      <c r="C5798" s="9">
        <f t="shared" si="90"/>
        <v>0</v>
      </c>
    </row>
    <row r="5799" spans="1:3" x14ac:dyDescent="0.2">
      <c r="A5799" s="10" t="str">
        <f>IF(5791&gt;$C$9008,"",INDEX($B$9:$B$9008,MATCH(5791,$C$9:$C$9008,0)))</f>
        <v/>
      </c>
      <c r="B5799" s="9" t="str">
        <f>IFERROR(INDEX(Input!$L$20:$T$1019,INT((ROW()-9)/9)+1,MOD(ROW()-9,9)+1),"")</f>
        <v/>
      </c>
      <c r="C5799" s="9">
        <f t="shared" si="90"/>
        <v>0</v>
      </c>
    </row>
    <row r="5800" spans="1:3" x14ac:dyDescent="0.2">
      <c r="A5800" s="10" t="str">
        <f>IF(5792&gt;$C$9008,"",INDEX($B$9:$B$9008,MATCH(5792,$C$9:$C$9008,0)))</f>
        <v/>
      </c>
      <c r="B5800" s="9" t="str">
        <f>IFERROR(INDEX(Input!$L$20:$T$1019,INT((ROW()-9)/9)+1,MOD(ROW()-9,9)+1),"")</f>
        <v/>
      </c>
      <c r="C5800" s="9">
        <f t="shared" si="90"/>
        <v>0</v>
      </c>
    </row>
    <row r="5801" spans="1:3" x14ac:dyDescent="0.2">
      <c r="A5801" s="10" t="str">
        <f>IF(5793&gt;$C$9008,"",INDEX($B$9:$B$9008,MATCH(5793,$C$9:$C$9008,0)))</f>
        <v/>
      </c>
      <c r="B5801" s="9" t="str">
        <f>IFERROR(INDEX(Input!$L$20:$T$1019,INT((ROW()-9)/9)+1,MOD(ROW()-9,9)+1),"")</f>
        <v/>
      </c>
      <c r="C5801" s="9">
        <f t="shared" si="90"/>
        <v>0</v>
      </c>
    </row>
    <row r="5802" spans="1:3" x14ac:dyDescent="0.2">
      <c r="A5802" s="10" t="str">
        <f>IF(5794&gt;$C$9008,"",INDEX($B$9:$B$9008,MATCH(5794,$C$9:$C$9008,0)))</f>
        <v/>
      </c>
      <c r="B5802" s="9" t="str">
        <f>IFERROR(INDEX(Input!$L$20:$T$1019,INT((ROW()-9)/9)+1,MOD(ROW()-9,9)+1),"")</f>
        <v/>
      </c>
      <c r="C5802" s="9">
        <f t="shared" si="90"/>
        <v>0</v>
      </c>
    </row>
    <row r="5803" spans="1:3" x14ac:dyDescent="0.2">
      <c r="A5803" s="10" t="str">
        <f>IF(5795&gt;$C$9008,"",INDEX($B$9:$B$9008,MATCH(5795,$C$9:$C$9008,0)))</f>
        <v/>
      </c>
      <c r="B5803" s="9" t="str">
        <f>IFERROR(INDEX(Input!$L$20:$T$1019,INT((ROW()-9)/9)+1,MOD(ROW()-9,9)+1),"")</f>
        <v/>
      </c>
      <c r="C5803" s="9">
        <f t="shared" si="90"/>
        <v>0</v>
      </c>
    </row>
    <row r="5804" spans="1:3" x14ac:dyDescent="0.2">
      <c r="A5804" s="10" t="str">
        <f>IF(5796&gt;$C$9008,"",INDEX($B$9:$B$9008,MATCH(5796,$C$9:$C$9008,0)))</f>
        <v/>
      </c>
      <c r="B5804" s="9" t="str">
        <f>IFERROR(INDEX(Input!$L$20:$T$1019,INT((ROW()-9)/9)+1,MOD(ROW()-9,9)+1),"")</f>
        <v/>
      </c>
      <c r="C5804" s="9">
        <f t="shared" si="90"/>
        <v>0</v>
      </c>
    </row>
    <row r="5805" spans="1:3" x14ac:dyDescent="0.2">
      <c r="A5805" s="10" t="str">
        <f>IF(5797&gt;$C$9008,"",INDEX($B$9:$B$9008,MATCH(5797,$C$9:$C$9008,0)))</f>
        <v/>
      </c>
      <c r="B5805" s="9" t="str">
        <f>IFERROR(INDEX(Input!$L$20:$T$1019,INT((ROW()-9)/9)+1,MOD(ROW()-9,9)+1),"")</f>
        <v/>
      </c>
      <c r="C5805" s="9">
        <f t="shared" si="90"/>
        <v>0</v>
      </c>
    </row>
    <row r="5806" spans="1:3" x14ac:dyDescent="0.2">
      <c r="A5806" s="10" t="str">
        <f>IF(5798&gt;$C$9008,"",INDEX($B$9:$B$9008,MATCH(5798,$C$9:$C$9008,0)))</f>
        <v/>
      </c>
      <c r="B5806" s="9" t="str">
        <f>IFERROR(INDEX(Input!$L$20:$T$1019,INT((ROW()-9)/9)+1,MOD(ROW()-9,9)+1),"")</f>
        <v/>
      </c>
      <c r="C5806" s="9">
        <f t="shared" si="90"/>
        <v>0</v>
      </c>
    </row>
    <row r="5807" spans="1:3" x14ac:dyDescent="0.2">
      <c r="A5807" s="10" t="str">
        <f>IF(5799&gt;$C$9008,"",INDEX($B$9:$B$9008,MATCH(5799,$C$9:$C$9008,0)))</f>
        <v/>
      </c>
      <c r="B5807" s="9" t="str">
        <f>IFERROR(INDEX(Input!$L$20:$T$1019,INT((ROW()-9)/9)+1,MOD(ROW()-9,9)+1),"")</f>
        <v/>
      </c>
      <c r="C5807" s="9">
        <f t="shared" si="90"/>
        <v>0</v>
      </c>
    </row>
    <row r="5808" spans="1:3" x14ac:dyDescent="0.2">
      <c r="A5808" s="10" t="str">
        <f>IF(5800&gt;$C$9008,"",INDEX($B$9:$B$9008,MATCH(5800,$C$9:$C$9008,0)))</f>
        <v/>
      </c>
      <c r="B5808" s="9" t="str">
        <f>IFERROR(INDEX(Input!$L$20:$T$1019,INT((ROW()-9)/9)+1,MOD(ROW()-9,9)+1),"")</f>
        <v/>
      </c>
      <c r="C5808" s="9">
        <f t="shared" si="90"/>
        <v>0</v>
      </c>
    </row>
    <row r="5809" spans="1:3" x14ac:dyDescent="0.2">
      <c r="A5809" s="10" t="str">
        <f>IF(5801&gt;$C$9008,"",INDEX($B$9:$B$9008,MATCH(5801,$C$9:$C$9008,0)))</f>
        <v/>
      </c>
      <c r="B5809" s="9" t="str">
        <f>IFERROR(INDEX(Input!$L$20:$T$1019,INT((ROW()-9)/9)+1,MOD(ROW()-9,9)+1),"")</f>
        <v/>
      </c>
      <c r="C5809" s="9">
        <f t="shared" si="90"/>
        <v>0</v>
      </c>
    </row>
    <row r="5810" spans="1:3" x14ac:dyDescent="0.2">
      <c r="A5810" s="10" t="str">
        <f>IF(5802&gt;$C$9008,"",INDEX($B$9:$B$9008,MATCH(5802,$C$9:$C$9008,0)))</f>
        <v/>
      </c>
      <c r="B5810" s="9" t="str">
        <f>IFERROR(INDEX(Input!$L$20:$T$1019,INT((ROW()-9)/9)+1,MOD(ROW()-9,9)+1),"")</f>
        <v/>
      </c>
      <c r="C5810" s="9">
        <f t="shared" si="90"/>
        <v>0</v>
      </c>
    </row>
    <row r="5811" spans="1:3" x14ac:dyDescent="0.2">
      <c r="A5811" s="10" t="str">
        <f>IF(5803&gt;$C$9008,"",INDEX($B$9:$B$9008,MATCH(5803,$C$9:$C$9008,0)))</f>
        <v/>
      </c>
      <c r="B5811" s="9" t="str">
        <f>IFERROR(INDEX(Input!$L$20:$T$1019,INT((ROW()-9)/9)+1,MOD(ROW()-9,9)+1),"")</f>
        <v/>
      </c>
      <c r="C5811" s="9">
        <f t="shared" si="90"/>
        <v>0</v>
      </c>
    </row>
    <row r="5812" spans="1:3" x14ac:dyDescent="0.2">
      <c r="A5812" s="10" t="str">
        <f>IF(5804&gt;$C$9008,"",INDEX($B$9:$B$9008,MATCH(5804,$C$9:$C$9008,0)))</f>
        <v/>
      </c>
      <c r="B5812" s="9" t="str">
        <f>IFERROR(INDEX(Input!$L$20:$T$1019,INT((ROW()-9)/9)+1,MOD(ROW()-9,9)+1),"")</f>
        <v/>
      </c>
      <c r="C5812" s="9">
        <f t="shared" si="90"/>
        <v>0</v>
      </c>
    </row>
    <row r="5813" spans="1:3" x14ac:dyDescent="0.2">
      <c r="A5813" s="10" t="str">
        <f>IF(5805&gt;$C$9008,"",INDEX($B$9:$B$9008,MATCH(5805,$C$9:$C$9008,0)))</f>
        <v/>
      </c>
      <c r="B5813" s="9" t="str">
        <f>IFERROR(INDEX(Input!$L$20:$T$1019,INT((ROW()-9)/9)+1,MOD(ROW()-9,9)+1),"")</f>
        <v/>
      </c>
      <c r="C5813" s="9">
        <f t="shared" si="90"/>
        <v>0</v>
      </c>
    </row>
    <row r="5814" spans="1:3" x14ac:dyDescent="0.2">
      <c r="A5814" s="10" t="str">
        <f>IF(5806&gt;$C$9008,"",INDEX($B$9:$B$9008,MATCH(5806,$C$9:$C$9008,0)))</f>
        <v/>
      </c>
      <c r="B5814" s="9" t="str">
        <f>IFERROR(INDEX(Input!$L$20:$T$1019,INT((ROW()-9)/9)+1,MOD(ROW()-9,9)+1),"")</f>
        <v/>
      </c>
      <c r="C5814" s="9">
        <f t="shared" si="90"/>
        <v>0</v>
      </c>
    </row>
    <row r="5815" spans="1:3" x14ac:dyDescent="0.2">
      <c r="A5815" s="10" t="str">
        <f>IF(5807&gt;$C$9008,"",INDEX($B$9:$B$9008,MATCH(5807,$C$9:$C$9008,0)))</f>
        <v/>
      </c>
      <c r="B5815" s="9" t="str">
        <f>IFERROR(INDEX(Input!$L$20:$T$1019,INT((ROW()-9)/9)+1,MOD(ROW()-9,9)+1),"")</f>
        <v/>
      </c>
      <c r="C5815" s="9">
        <f t="shared" si="90"/>
        <v>0</v>
      </c>
    </row>
    <row r="5816" spans="1:3" x14ac:dyDescent="0.2">
      <c r="A5816" s="10" t="str">
        <f>IF(5808&gt;$C$9008,"",INDEX($B$9:$B$9008,MATCH(5808,$C$9:$C$9008,0)))</f>
        <v/>
      </c>
      <c r="B5816" s="9" t="str">
        <f>IFERROR(INDEX(Input!$L$20:$T$1019,INT((ROW()-9)/9)+1,MOD(ROW()-9,9)+1),"")</f>
        <v/>
      </c>
      <c r="C5816" s="9">
        <f t="shared" si="90"/>
        <v>0</v>
      </c>
    </row>
    <row r="5817" spans="1:3" x14ac:dyDescent="0.2">
      <c r="A5817" s="10" t="str">
        <f>IF(5809&gt;$C$9008,"",INDEX($B$9:$B$9008,MATCH(5809,$C$9:$C$9008,0)))</f>
        <v/>
      </c>
      <c r="B5817" s="9" t="str">
        <f>IFERROR(INDEX(Input!$L$20:$T$1019,INT((ROW()-9)/9)+1,MOD(ROW()-9,9)+1),"")</f>
        <v/>
      </c>
      <c r="C5817" s="9">
        <f t="shared" si="90"/>
        <v>0</v>
      </c>
    </row>
    <row r="5818" spans="1:3" x14ac:dyDescent="0.2">
      <c r="A5818" s="10" t="str">
        <f>IF(5810&gt;$C$9008,"",INDEX($B$9:$B$9008,MATCH(5810,$C$9:$C$9008,0)))</f>
        <v/>
      </c>
      <c r="B5818" s="9" t="str">
        <f>IFERROR(INDEX(Input!$L$20:$T$1019,INT((ROW()-9)/9)+1,MOD(ROW()-9,9)+1),"")</f>
        <v/>
      </c>
      <c r="C5818" s="9">
        <f t="shared" si="90"/>
        <v>0</v>
      </c>
    </row>
    <row r="5819" spans="1:3" x14ac:dyDescent="0.2">
      <c r="A5819" s="10" t="str">
        <f>IF(5811&gt;$C$9008,"",INDEX($B$9:$B$9008,MATCH(5811,$C$9:$C$9008,0)))</f>
        <v/>
      </c>
      <c r="B5819" s="9" t="str">
        <f>IFERROR(INDEX(Input!$L$20:$T$1019,INT((ROW()-9)/9)+1,MOD(ROW()-9,9)+1),"")</f>
        <v/>
      </c>
      <c r="C5819" s="9">
        <f t="shared" si="90"/>
        <v>0</v>
      </c>
    </row>
    <row r="5820" spans="1:3" x14ac:dyDescent="0.2">
      <c r="A5820" s="10" t="str">
        <f>IF(5812&gt;$C$9008,"",INDEX($B$9:$B$9008,MATCH(5812,$C$9:$C$9008,0)))</f>
        <v/>
      </c>
      <c r="B5820" s="9" t="str">
        <f>IFERROR(INDEX(Input!$L$20:$T$1019,INT((ROW()-9)/9)+1,MOD(ROW()-9,9)+1),"")</f>
        <v/>
      </c>
      <c r="C5820" s="9">
        <f t="shared" si="90"/>
        <v>0</v>
      </c>
    </row>
    <row r="5821" spans="1:3" x14ac:dyDescent="0.2">
      <c r="A5821" s="10" t="str">
        <f>IF(5813&gt;$C$9008,"",INDEX($B$9:$B$9008,MATCH(5813,$C$9:$C$9008,0)))</f>
        <v/>
      </c>
      <c r="B5821" s="9" t="str">
        <f>IFERROR(INDEX(Input!$L$20:$T$1019,INT((ROW()-9)/9)+1,MOD(ROW()-9,9)+1),"")</f>
        <v/>
      </c>
      <c r="C5821" s="9">
        <f t="shared" si="90"/>
        <v>0</v>
      </c>
    </row>
    <row r="5822" spans="1:3" x14ac:dyDescent="0.2">
      <c r="A5822" s="10" t="str">
        <f>IF(5814&gt;$C$9008,"",INDEX($B$9:$B$9008,MATCH(5814,$C$9:$C$9008,0)))</f>
        <v/>
      </c>
      <c r="B5822" s="9" t="str">
        <f>IFERROR(INDEX(Input!$L$20:$T$1019,INT((ROW()-9)/9)+1,MOD(ROW()-9,9)+1),"")</f>
        <v/>
      </c>
      <c r="C5822" s="9">
        <f t="shared" si="90"/>
        <v>0</v>
      </c>
    </row>
    <row r="5823" spans="1:3" x14ac:dyDescent="0.2">
      <c r="A5823" s="10" t="str">
        <f>IF(5815&gt;$C$9008,"",INDEX($B$9:$B$9008,MATCH(5815,$C$9:$C$9008,0)))</f>
        <v/>
      </c>
      <c r="B5823" s="9" t="str">
        <f>IFERROR(INDEX(Input!$L$20:$T$1019,INT((ROW()-9)/9)+1,MOD(ROW()-9,9)+1),"")</f>
        <v/>
      </c>
      <c r="C5823" s="9">
        <f t="shared" si="90"/>
        <v>0</v>
      </c>
    </row>
    <row r="5824" spans="1:3" x14ac:dyDescent="0.2">
      <c r="A5824" s="10" t="str">
        <f>IF(5816&gt;$C$9008,"",INDEX($B$9:$B$9008,MATCH(5816,$C$9:$C$9008,0)))</f>
        <v/>
      </c>
      <c r="B5824" s="9" t="str">
        <f>IFERROR(INDEX(Input!$L$20:$T$1019,INT((ROW()-9)/9)+1,MOD(ROW()-9,9)+1),"")</f>
        <v/>
      </c>
      <c r="C5824" s="9">
        <f t="shared" si="90"/>
        <v>0</v>
      </c>
    </row>
    <row r="5825" spans="1:3" x14ac:dyDescent="0.2">
      <c r="A5825" s="10" t="str">
        <f>IF(5817&gt;$C$9008,"",INDEX($B$9:$B$9008,MATCH(5817,$C$9:$C$9008,0)))</f>
        <v/>
      </c>
      <c r="B5825" s="9" t="str">
        <f>IFERROR(INDEX(Input!$L$20:$T$1019,INT((ROW()-9)/9)+1,MOD(ROW()-9,9)+1),"")</f>
        <v/>
      </c>
      <c r="C5825" s="9">
        <f t="shared" si="90"/>
        <v>0</v>
      </c>
    </row>
    <row r="5826" spans="1:3" x14ac:dyDescent="0.2">
      <c r="A5826" s="10" t="str">
        <f>IF(5818&gt;$C$9008,"",INDEX($B$9:$B$9008,MATCH(5818,$C$9:$C$9008,0)))</f>
        <v/>
      </c>
      <c r="B5826" s="9" t="str">
        <f>IFERROR(INDEX(Input!$L$20:$T$1019,INT((ROW()-9)/9)+1,MOD(ROW()-9,9)+1),"")</f>
        <v/>
      </c>
      <c r="C5826" s="9">
        <f t="shared" si="90"/>
        <v>0</v>
      </c>
    </row>
    <row r="5827" spans="1:3" x14ac:dyDescent="0.2">
      <c r="A5827" s="10" t="str">
        <f>IF(5819&gt;$C$9008,"",INDEX($B$9:$B$9008,MATCH(5819,$C$9:$C$9008,0)))</f>
        <v/>
      </c>
      <c r="B5827" s="9" t="str">
        <f>IFERROR(INDEX(Input!$L$20:$T$1019,INT((ROW()-9)/9)+1,MOD(ROW()-9,9)+1),"")</f>
        <v/>
      </c>
      <c r="C5827" s="9">
        <f t="shared" si="90"/>
        <v>0</v>
      </c>
    </row>
    <row r="5828" spans="1:3" x14ac:dyDescent="0.2">
      <c r="A5828" s="10" t="str">
        <f>IF(5820&gt;$C$9008,"",INDEX($B$9:$B$9008,MATCH(5820,$C$9:$C$9008,0)))</f>
        <v/>
      </c>
      <c r="B5828" s="9" t="str">
        <f>IFERROR(INDEX(Input!$L$20:$T$1019,INT((ROW()-9)/9)+1,MOD(ROW()-9,9)+1),"")</f>
        <v/>
      </c>
      <c r="C5828" s="9">
        <f t="shared" si="90"/>
        <v>0</v>
      </c>
    </row>
    <row r="5829" spans="1:3" x14ac:dyDescent="0.2">
      <c r="A5829" s="10" t="str">
        <f>IF(5821&gt;$C$9008,"",INDEX($B$9:$B$9008,MATCH(5821,$C$9:$C$9008,0)))</f>
        <v/>
      </c>
      <c r="B5829" s="9" t="str">
        <f>IFERROR(INDEX(Input!$L$20:$T$1019,INT((ROW()-9)/9)+1,MOD(ROW()-9,9)+1),"")</f>
        <v/>
      </c>
      <c r="C5829" s="9">
        <f t="shared" si="90"/>
        <v>0</v>
      </c>
    </row>
    <row r="5830" spans="1:3" x14ac:dyDescent="0.2">
      <c r="A5830" s="10" t="str">
        <f>IF(5822&gt;$C$9008,"",INDEX($B$9:$B$9008,MATCH(5822,$C$9:$C$9008,0)))</f>
        <v/>
      </c>
      <c r="B5830" s="9" t="str">
        <f>IFERROR(INDEX(Input!$L$20:$T$1019,INT((ROW()-9)/9)+1,MOD(ROW()-9,9)+1),"")</f>
        <v/>
      </c>
      <c r="C5830" s="9">
        <f t="shared" si="90"/>
        <v>0</v>
      </c>
    </row>
    <row r="5831" spans="1:3" x14ac:dyDescent="0.2">
      <c r="A5831" s="10" t="str">
        <f>IF(5823&gt;$C$9008,"",INDEX($B$9:$B$9008,MATCH(5823,$C$9:$C$9008,0)))</f>
        <v/>
      </c>
      <c r="B5831" s="9" t="str">
        <f>IFERROR(INDEX(Input!$L$20:$T$1019,INT((ROW()-9)/9)+1,MOD(ROW()-9,9)+1),"")</f>
        <v/>
      </c>
      <c r="C5831" s="9">
        <f t="shared" si="90"/>
        <v>0</v>
      </c>
    </row>
    <row r="5832" spans="1:3" x14ac:dyDescent="0.2">
      <c r="A5832" s="10" t="str">
        <f>IF(5824&gt;$C$9008,"",INDEX($B$9:$B$9008,MATCH(5824,$C$9:$C$9008,0)))</f>
        <v/>
      </c>
      <c r="B5832" s="9" t="str">
        <f>IFERROR(INDEX(Input!$L$20:$T$1019,INT((ROW()-9)/9)+1,MOD(ROW()-9,9)+1),"")</f>
        <v/>
      </c>
      <c r="C5832" s="9">
        <f t="shared" si="90"/>
        <v>0</v>
      </c>
    </row>
    <row r="5833" spans="1:3" x14ac:dyDescent="0.2">
      <c r="A5833" s="10" t="str">
        <f>IF(5825&gt;$C$9008,"",INDEX($B$9:$B$9008,MATCH(5825,$C$9:$C$9008,0)))</f>
        <v/>
      </c>
      <c r="B5833" s="9" t="str">
        <f>IFERROR(INDEX(Input!$L$20:$T$1019,INT((ROW()-9)/9)+1,MOD(ROW()-9,9)+1),"")</f>
        <v/>
      </c>
      <c r="C5833" s="9">
        <f t="shared" ref="C5833:C5896" si="91">$C5832+IF($B5833&lt;&gt;"",1,0)</f>
        <v>0</v>
      </c>
    </row>
    <row r="5834" spans="1:3" x14ac:dyDescent="0.2">
      <c r="A5834" s="10" t="str">
        <f>IF(5826&gt;$C$9008,"",INDEX($B$9:$B$9008,MATCH(5826,$C$9:$C$9008,0)))</f>
        <v/>
      </c>
      <c r="B5834" s="9" t="str">
        <f>IFERROR(INDEX(Input!$L$20:$T$1019,INT((ROW()-9)/9)+1,MOD(ROW()-9,9)+1),"")</f>
        <v/>
      </c>
      <c r="C5834" s="9">
        <f t="shared" si="91"/>
        <v>0</v>
      </c>
    </row>
    <row r="5835" spans="1:3" x14ac:dyDescent="0.2">
      <c r="A5835" s="10" t="str">
        <f>IF(5827&gt;$C$9008,"",INDEX($B$9:$B$9008,MATCH(5827,$C$9:$C$9008,0)))</f>
        <v/>
      </c>
      <c r="B5835" s="9" t="str">
        <f>IFERROR(INDEX(Input!$L$20:$T$1019,INT((ROW()-9)/9)+1,MOD(ROW()-9,9)+1),"")</f>
        <v/>
      </c>
      <c r="C5835" s="9">
        <f t="shared" si="91"/>
        <v>0</v>
      </c>
    </row>
    <row r="5836" spans="1:3" x14ac:dyDescent="0.2">
      <c r="A5836" s="10" t="str">
        <f>IF(5828&gt;$C$9008,"",INDEX($B$9:$B$9008,MATCH(5828,$C$9:$C$9008,0)))</f>
        <v/>
      </c>
      <c r="B5836" s="9" t="str">
        <f>IFERROR(INDEX(Input!$L$20:$T$1019,INT((ROW()-9)/9)+1,MOD(ROW()-9,9)+1),"")</f>
        <v/>
      </c>
      <c r="C5836" s="9">
        <f t="shared" si="91"/>
        <v>0</v>
      </c>
    </row>
    <row r="5837" spans="1:3" x14ac:dyDescent="0.2">
      <c r="A5837" s="10" t="str">
        <f>IF(5829&gt;$C$9008,"",INDEX($B$9:$B$9008,MATCH(5829,$C$9:$C$9008,0)))</f>
        <v/>
      </c>
      <c r="B5837" s="9" t="str">
        <f>IFERROR(INDEX(Input!$L$20:$T$1019,INT((ROW()-9)/9)+1,MOD(ROW()-9,9)+1),"")</f>
        <v/>
      </c>
      <c r="C5837" s="9">
        <f t="shared" si="91"/>
        <v>0</v>
      </c>
    </row>
    <row r="5838" spans="1:3" x14ac:dyDescent="0.2">
      <c r="A5838" s="10" t="str">
        <f>IF(5830&gt;$C$9008,"",INDEX($B$9:$B$9008,MATCH(5830,$C$9:$C$9008,0)))</f>
        <v/>
      </c>
      <c r="B5838" s="9" t="str">
        <f>IFERROR(INDEX(Input!$L$20:$T$1019,INT((ROW()-9)/9)+1,MOD(ROW()-9,9)+1),"")</f>
        <v/>
      </c>
      <c r="C5838" s="9">
        <f t="shared" si="91"/>
        <v>0</v>
      </c>
    </row>
    <row r="5839" spans="1:3" x14ac:dyDescent="0.2">
      <c r="A5839" s="10" t="str">
        <f>IF(5831&gt;$C$9008,"",INDEX($B$9:$B$9008,MATCH(5831,$C$9:$C$9008,0)))</f>
        <v/>
      </c>
      <c r="B5839" s="9" t="str">
        <f>IFERROR(INDEX(Input!$L$20:$T$1019,INT((ROW()-9)/9)+1,MOD(ROW()-9,9)+1),"")</f>
        <v/>
      </c>
      <c r="C5839" s="9">
        <f t="shared" si="91"/>
        <v>0</v>
      </c>
    </row>
    <row r="5840" spans="1:3" x14ac:dyDescent="0.2">
      <c r="A5840" s="10" t="str">
        <f>IF(5832&gt;$C$9008,"",INDEX($B$9:$B$9008,MATCH(5832,$C$9:$C$9008,0)))</f>
        <v/>
      </c>
      <c r="B5840" s="9" t="str">
        <f>IFERROR(INDEX(Input!$L$20:$T$1019,INT((ROW()-9)/9)+1,MOD(ROW()-9,9)+1),"")</f>
        <v/>
      </c>
      <c r="C5840" s="9">
        <f t="shared" si="91"/>
        <v>0</v>
      </c>
    </row>
    <row r="5841" spans="1:3" x14ac:dyDescent="0.2">
      <c r="A5841" s="10" t="str">
        <f>IF(5833&gt;$C$9008,"",INDEX($B$9:$B$9008,MATCH(5833,$C$9:$C$9008,0)))</f>
        <v/>
      </c>
      <c r="B5841" s="9" t="str">
        <f>IFERROR(INDEX(Input!$L$20:$T$1019,INT((ROW()-9)/9)+1,MOD(ROW()-9,9)+1),"")</f>
        <v/>
      </c>
      <c r="C5841" s="9">
        <f t="shared" si="91"/>
        <v>0</v>
      </c>
    </row>
    <row r="5842" spans="1:3" x14ac:dyDescent="0.2">
      <c r="A5842" s="10" t="str">
        <f>IF(5834&gt;$C$9008,"",INDEX($B$9:$B$9008,MATCH(5834,$C$9:$C$9008,0)))</f>
        <v/>
      </c>
      <c r="B5842" s="9" t="str">
        <f>IFERROR(INDEX(Input!$L$20:$T$1019,INT((ROW()-9)/9)+1,MOD(ROW()-9,9)+1),"")</f>
        <v/>
      </c>
      <c r="C5842" s="9">
        <f t="shared" si="91"/>
        <v>0</v>
      </c>
    </row>
    <row r="5843" spans="1:3" x14ac:dyDescent="0.2">
      <c r="A5843" s="10" t="str">
        <f>IF(5835&gt;$C$9008,"",INDEX($B$9:$B$9008,MATCH(5835,$C$9:$C$9008,0)))</f>
        <v/>
      </c>
      <c r="B5843" s="9" t="str">
        <f>IFERROR(INDEX(Input!$L$20:$T$1019,INT((ROW()-9)/9)+1,MOD(ROW()-9,9)+1),"")</f>
        <v/>
      </c>
      <c r="C5843" s="9">
        <f t="shared" si="91"/>
        <v>0</v>
      </c>
    </row>
    <row r="5844" spans="1:3" x14ac:dyDescent="0.2">
      <c r="A5844" s="10" t="str">
        <f>IF(5836&gt;$C$9008,"",INDEX($B$9:$B$9008,MATCH(5836,$C$9:$C$9008,0)))</f>
        <v/>
      </c>
      <c r="B5844" s="9" t="str">
        <f>IFERROR(INDEX(Input!$L$20:$T$1019,INT((ROW()-9)/9)+1,MOD(ROW()-9,9)+1),"")</f>
        <v/>
      </c>
      <c r="C5844" s="9">
        <f t="shared" si="91"/>
        <v>0</v>
      </c>
    </row>
    <row r="5845" spans="1:3" x14ac:dyDescent="0.2">
      <c r="A5845" s="10" t="str">
        <f>IF(5837&gt;$C$9008,"",INDEX($B$9:$B$9008,MATCH(5837,$C$9:$C$9008,0)))</f>
        <v/>
      </c>
      <c r="B5845" s="9" t="str">
        <f>IFERROR(INDEX(Input!$L$20:$T$1019,INT((ROW()-9)/9)+1,MOD(ROW()-9,9)+1),"")</f>
        <v/>
      </c>
      <c r="C5845" s="9">
        <f t="shared" si="91"/>
        <v>0</v>
      </c>
    </row>
    <row r="5846" spans="1:3" x14ac:dyDescent="0.2">
      <c r="A5846" s="10" t="str">
        <f>IF(5838&gt;$C$9008,"",INDEX($B$9:$B$9008,MATCH(5838,$C$9:$C$9008,0)))</f>
        <v/>
      </c>
      <c r="B5846" s="9" t="str">
        <f>IFERROR(INDEX(Input!$L$20:$T$1019,INT((ROW()-9)/9)+1,MOD(ROW()-9,9)+1),"")</f>
        <v/>
      </c>
      <c r="C5846" s="9">
        <f t="shared" si="91"/>
        <v>0</v>
      </c>
    </row>
    <row r="5847" spans="1:3" x14ac:dyDescent="0.2">
      <c r="A5847" s="10" t="str">
        <f>IF(5839&gt;$C$9008,"",INDEX($B$9:$B$9008,MATCH(5839,$C$9:$C$9008,0)))</f>
        <v/>
      </c>
      <c r="B5847" s="9" t="str">
        <f>IFERROR(INDEX(Input!$L$20:$T$1019,INT((ROW()-9)/9)+1,MOD(ROW()-9,9)+1),"")</f>
        <v/>
      </c>
      <c r="C5847" s="9">
        <f t="shared" si="91"/>
        <v>0</v>
      </c>
    </row>
    <row r="5848" spans="1:3" x14ac:dyDescent="0.2">
      <c r="A5848" s="10" t="str">
        <f>IF(5840&gt;$C$9008,"",INDEX($B$9:$B$9008,MATCH(5840,$C$9:$C$9008,0)))</f>
        <v/>
      </c>
      <c r="B5848" s="9" t="str">
        <f>IFERROR(INDEX(Input!$L$20:$T$1019,INT((ROW()-9)/9)+1,MOD(ROW()-9,9)+1),"")</f>
        <v/>
      </c>
      <c r="C5848" s="9">
        <f t="shared" si="91"/>
        <v>0</v>
      </c>
    </row>
    <row r="5849" spans="1:3" x14ac:dyDescent="0.2">
      <c r="A5849" s="10" t="str">
        <f>IF(5841&gt;$C$9008,"",INDEX($B$9:$B$9008,MATCH(5841,$C$9:$C$9008,0)))</f>
        <v/>
      </c>
      <c r="B5849" s="9" t="str">
        <f>IFERROR(INDEX(Input!$L$20:$T$1019,INT((ROW()-9)/9)+1,MOD(ROW()-9,9)+1),"")</f>
        <v/>
      </c>
      <c r="C5849" s="9">
        <f t="shared" si="91"/>
        <v>0</v>
      </c>
    </row>
    <row r="5850" spans="1:3" x14ac:dyDescent="0.2">
      <c r="A5850" s="10" t="str">
        <f>IF(5842&gt;$C$9008,"",INDEX($B$9:$B$9008,MATCH(5842,$C$9:$C$9008,0)))</f>
        <v/>
      </c>
      <c r="B5850" s="9" t="str">
        <f>IFERROR(INDEX(Input!$L$20:$T$1019,INT((ROW()-9)/9)+1,MOD(ROW()-9,9)+1),"")</f>
        <v/>
      </c>
      <c r="C5850" s="9">
        <f t="shared" si="91"/>
        <v>0</v>
      </c>
    </row>
    <row r="5851" spans="1:3" x14ac:dyDescent="0.2">
      <c r="A5851" s="10" t="str">
        <f>IF(5843&gt;$C$9008,"",INDEX($B$9:$B$9008,MATCH(5843,$C$9:$C$9008,0)))</f>
        <v/>
      </c>
      <c r="B5851" s="9" t="str">
        <f>IFERROR(INDEX(Input!$L$20:$T$1019,INT((ROW()-9)/9)+1,MOD(ROW()-9,9)+1),"")</f>
        <v/>
      </c>
      <c r="C5851" s="9">
        <f t="shared" si="91"/>
        <v>0</v>
      </c>
    </row>
    <row r="5852" spans="1:3" x14ac:dyDescent="0.2">
      <c r="A5852" s="10" t="str">
        <f>IF(5844&gt;$C$9008,"",INDEX($B$9:$B$9008,MATCH(5844,$C$9:$C$9008,0)))</f>
        <v/>
      </c>
      <c r="B5852" s="9" t="str">
        <f>IFERROR(INDEX(Input!$L$20:$T$1019,INT((ROW()-9)/9)+1,MOD(ROW()-9,9)+1),"")</f>
        <v/>
      </c>
      <c r="C5852" s="9">
        <f t="shared" si="91"/>
        <v>0</v>
      </c>
    </row>
    <row r="5853" spans="1:3" x14ac:dyDescent="0.2">
      <c r="A5853" s="10" t="str">
        <f>IF(5845&gt;$C$9008,"",INDEX($B$9:$B$9008,MATCH(5845,$C$9:$C$9008,0)))</f>
        <v/>
      </c>
      <c r="B5853" s="9" t="str">
        <f>IFERROR(INDEX(Input!$L$20:$T$1019,INT((ROW()-9)/9)+1,MOD(ROW()-9,9)+1),"")</f>
        <v/>
      </c>
      <c r="C5853" s="9">
        <f t="shared" si="91"/>
        <v>0</v>
      </c>
    </row>
    <row r="5854" spans="1:3" x14ac:dyDescent="0.2">
      <c r="A5854" s="10" t="str">
        <f>IF(5846&gt;$C$9008,"",INDEX($B$9:$B$9008,MATCH(5846,$C$9:$C$9008,0)))</f>
        <v/>
      </c>
      <c r="B5854" s="9" t="str">
        <f>IFERROR(INDEX(Input!$L$20:$T$1019,INT((ROW()-9)/9)+1,MOD(ROW()-9,9)+1),"")</f>
        <v/>
      </c>
      <c r="C5854" s="9">
        <f t="shared" si="91"/>
        <v>0</v>
      </c>
    </row>
    <row r="5855" spans="1:3" x14ac:dyDescent="0.2">
      <c r="A5855" s="10" t="str">
        <f>IF(5847&gt;$C$9008,"",INDEX($B$9:$B$9008,MATCH(5847,$C$9:$C$9008,0)))</f>
        <v/>
      </c>
      <c r="B5855" s="9" t="str">
        <f>IFERROR(INDEX(Input!$L$20:$T$1019,INT((ROW()-9)/9)+1,MOD(ROW()-9,9)+1),"")</f>
        <v/>
      </c>
      <c r="C5855" s="9">
        <f t="shared" si="91"/>
        <v>0</v>
      </c>
    </row>
    <row r="5856" spans="1:3" x14ac:dyDescent="0.2">
      <c r="A5856" s="10" t="str">
        <f>IF(5848&gt;$C$9008,"",INDEX($B$9:$B$9008,MATCH(5848,$C$9:$C$9008,0)))</f>
        <v/>
      </c>
      <c r="B5856" s="9" t="str">
        <f>IFERROR(INDEX(Input!$L$20:$T$1019,INT((ROW()-9)/9)+1,MOD(ROW()-9,9)+1),"")</f>
        <v/>
      </c>
      <c r="C5856" s="9">
        <f t="shared" si="91"/>
        <v>0</v>
      </c>
    </row>
    <row r="5857" spans="1:3" x14ac:dyDescent="0.2">
      <c r="A5857" s="10" t="str">
        <f>IF(5849&gt;$C$9008,"",INDEX($B$9:$B$9008,MATCH(5849,$C$9:$C$9008,0)))</f>
        <v/>
      </c>
      <c r="B5857" s="9" t="str">
        <f>IFERROR(INDEX(Input!$L$20:$T$1019,INT((ROW()-9)/9)+1,MOD(ROW()-9,9)+1),"")</f>
        <v/>
      </c>
      <c r="C5857" s="9">
        <f t="shared" si="91"/>
        <v>0</v>
      </c>
    </row>
    <row r="5858" spans="1:3" x14ac:dyDescent="0.2">
      <c r="A5858" s="10" t="str">
        <f>IF(5850&gt;$C$9008,"",INDEX($B$9:$B$9008,MATCH(5850,$C$9:$C$9008,0)))</f>
        <v/>
      </c>
      <c r="B5858" s="9" t="str">
        <f>IFERROR(INDEX(Input!$L$20:$T$1019,INT((ROW()-9)/9)+1,MOD(ROW()-9,9)+1),"")</f>
        <v/>
      </c>
      <c r="C5858" s="9">
        <f t="shared" si="91"/>
        <v>0</v>
      </c>
    </row>
    <row r="5859" spans="1:3" x14ac:dyDescent="0.2">
      <c r="A5859" s="10" t="str">
        <f>IF(5851&gt;$C$9008,"",INDEX($B$9:$B$9008,MATCH(5851,$C$9:$C$9008,0)))</f>
        <v/>
      </c>
      <c r="B5859" s="9" t="str">
        <f>IFERROR(INDEX(Input!$L$20:$T$1019,INT((ROW()-9)/9)+1,MOD(ROW()-9,9)+1),"")</f>
        <v/>
      </c>
      <c r="C5859" s="9">
        <f t="shared" si="91"/>
        <v>0</v>
      </c>
    </row>
    <row r="5860" spans="1:3" x14ac:dyDescent="0.2">
      <c r="A5860" s="10" t="str">
        <f>IF(5852&gt;$C$9008,"",INDEX($B$9:$B$9008,MATCH(5852,$C$9:$C$9008,0)))</f>
        <v/>
      </c>
      <c r="B5860" s="9" t="str">
        <f>IFERROR(INDEX(Input!$L$20:$T$1019,INT((ROW()-9)/9)+1,MOD(ROW()-9,9)+1),"")</f>
        <v/>
      </c>
      <c r="C5860" s="9">
        <f t="shared" si="91"/>
        <v>0</v>
      </c>
    </row>
    <row r="5861" spans="1:3" x14ac:dyDescent="0.2">
      <c r="A5861" s="10" t="str">
        <f>IF(5853&gt;$C$9008,"",INDEX($B$9:$B$9008,MATCH(5853,$C$9:$C$9008,0)))</f>
        <v/>
      </c>
      <c r="B5861" s="9" t="str">
        <f>IFERROR(INDEX(Input!$L$20:$T$1019,INT((ROW()-9)/9)+1,MOD(ROW()-9,9)+1),"")</f>
        <v/>
      </c>
      <c r="C5861" s="9">
        <f t="shared" si="91"/>
        <v>0</v>
      </c>
    </row>
    <row r="5862" spans="1:3" x14ac:dyDescent="0.2">
      <c r="A5862" s="10" t="str">
        <f>IF(5854&gt;$C$9008,"",INDEX($B$9:$B$9008,MATCH(5854,$C$9:$C$9008,0)))</f>
        <v/>
      </c>
      <c r="B5862" s="9" t="str">
        <f>IFERROR(INDEX(Input!$L$20:$T$1019,INT((ROW()-9)/9)+1,MOD(ROW()-9,9)+1),"")</f>
        <v/>
      </c>
      <c r="C5862" s="9">
        <f t="shared" si="91"/>
        <v>0</v>
      </c>
    </row>
    <row r="5863" spans="1:3" x14ac:dyDescent="0.2">
      <c r="A5863" s="10" t="str">
        <f>IF(5855&gt;$C$9008,"",INDEX($B$9:$B$9008,MATCH(5855,$C$9:$C$9008,0)))</f>
        <v/>
      </c>
      <c r="B5863" s="9" t="str">
        <f>IFERROR(INDEX(Input!$L$20:$T$1019,INT((ROW()-9)/9)+1,MOD(ROW()-9,9)+1),"")</f>
        <v/>
      </c>
      <c r="C5863" s="9">
        <f t="shared" si="91"/>
        <v>0</v>
      </c>
    </row>
    <row r="5864" spans="1:3" x14ac:dyDescent="0.2">
      <c r="A5864" s="10" t="str">
        <f>IF(5856&gt;$C$9008,"",INDEX($B$9:$B$9008,MATCH(5856,$C$9:$C$9008,0)))</f>
        <v/>
      </c>
      <c r="B5864" s="9" t="str">
        <f>IFERROR(INDEX(Input!$L$20:$T$1019,INT((ROW()-9)/9)+1,MOD(ROW()-9,9)+1),"")</f>
        <v/>
      </c>
      <c r="C5864" s="9">
        <f t="shared" si="91"/>
        <v>0</v>
      </c>
    </row>
    <row r="5865" spans="1:3" x14ac:dyDescent="0.2">
      <c r="A5865" s="10" t="str">
        <f>IF(5857&gt;$C$9008,"",INDEX($B$9:$B$9008,MATCH(5857,$C$9:$C$9008,0)))</f>
        <v/>
      </c>
      <c r="B5865" s="9" t="str">
        <f>IFERROR(INDEX(Input!$L$20:$T$1019,INT((ROW()-9)/9)+1,MOD(ROW()-9,9)+1),"")</f>
        <v/>
      </c>
      <c r="C5865" s="9">
        <f t="shared" si="91"/>
        <v>0</v>
      </c>
    </row>
    <row r="5866" spans="1:3" x14ac:dyDescent="0.2">
      <c r="A5866" s="10" t="str">
        <f>IF(5858&gt;$C$9008,"",INDEX($B$9:$B$9008,MATCH(5858,$C$9:$C$9008,0)))</f>
        <v/>
      </c>
      <c r="B5866" s="9" t="str">
        <f>IFERROR(INDEX(Input!$L$20:$T$1019,INT((ROW()-9)/9)+1,MOD(ROW()-9,9)+1),"")</f>
        <v/>
      </c>
      <c r="C5866" s="9">
        <f t="shared" si="91"/>
        <v>0</v>
      </c>
    </row>
    <row r="5867" spans="1:3" x14ac:dyDescent="0.2">
      <c r="A5867" s="10" t="str">
        <f>IF(5859&gt;$C$9008,"",INDEX($B$9:$B$9008,MATCH(5859,$C$9:$C$9008,0)))</f>
        <v/>
      </c>
      <c r="B5867" s="9" t="str">
        <f>IFERROR(INDEX(Input!$L$20:$T$1019,INT((ROW()-9)/9)+1,MOD(ROW()-9,9)+1),"")</f>
        <v/>
      </c>
      <c r="C5867" s="9">
        <f t="shared" si="91"/>
        <v>0</v>
      </c>
    </row>
    <row r="5868" spans="1:3" x14ac:dyDescent="0.2">
      <c r="A5868" s="10" t="str">
        <f>IF(5860&gt;$C$9008,"",INDEX($B$9:$B$9008,MATCH(5860,$C$9:$C$9008,0)))</f>
        <v/>
      </c>
      <c r="B5868" s="9" t="str">
        <f>IFERROR(INDEX(Input!$L$20:$T$1019,INT((ROW()-9)/9)+1,MOD(ROW()-9,9)+1),"")</f>
        <v/>
      </c>
      <c r="C5868" s="9">
        <f t="shared" si="91"/>
        <v>0</v>
      </c>
    </row>
    <row r="5869" spans="1:3" x14ac:dyDescent="0.2">
      <c r="A5869" s="10" t="str">
        <f>IF(5861&gt;$C$9008,"",INDEX($B$9:$B$9008,MATCH(5861,$C$9:$C$9008,0)))</f>
        <v/>
      </c>
      <c r="B5869" s="9" t="str">
        <f>IFERROR(INDEX(Input!$L$20:$T$1019,INT((ROW()-9)/9)+1,MOD(ROW()-9,9)+1),"")</f>
        <v/>
      </c>
      <c r="C5869" s="9">
        <f t="shared" si="91"/>
        <v>0</v>
      </c>
    </row>
    <row r="5870" spans="1:3" x14ac:dyDescent="0.2">
      <c r="A5870" s="10" t="str">
        <f>IF(5862&gt;$C$9008,"",INDEX($B$9:$B$9008,MATCH(5862,$C$9:$C$9008,0)))</f>
        <v/>
      </c>
      <c r="B5870" s="9" t="str">
        <f>IFERROR(INDEX(Input!$L$20:$T$1019,INT((ROW()-9)/9)+1,MOD(ROW()-9,9)+1),"")</f>
        <v/>
      </c>
      <c r="C5870" s="9">
        <f t="shared" si="91"/>
        <v>0</v>
      </c>
    </row>
    <row r="5871" spans="1:3" x14ac:dyDescent="0.2">
      <c r="A5871" s="10" t="str">
        <f>IF(5863&gt;$C$9008,"",INDEX($B$9:$B$9008,MATCH(5863,$C$9:$C$9008,0)))</f>
        <v/>
      </c>
      <c r="B5871" s="9" t="str">
        <f>IFERROR(INDEX(Input!$L$20:$T$1019,INT((ROW()-9)/9)+1,MOD(ROW()-9,9)+1),"")</f>
        <v/>
      </c>
      <c r="C5871" s="9">
        <f t="shared" si="91"/>
        <v>0</v>
      </c>
    </row>
    <row r="5872" spans="1:3" x14ac:dyDescent="0.2">
      <c r="A5872" s="10" t="str">
        <f>IF(5864&gt;$C$9008,"",INDEX($B$9:$B$9008,MATCH(5864,$C$9:$C$9008,0)))</f>
        <v/>
      </c>
      <c r="B5872" s="9" t="str">
        <f>IFERROR(INDEX(Input!$L$20:$T$1019,INT((ROW()-9)/9)+1,MOD(ROW()-9,9)+1),"")</f>
        <v/>
      </c>
      <c r="C5872" s="9">
        <f t="shared" si="91"/>
        <v>0</v>
      </c>
    </row>
    <row r="5873" spans="1:3" x14ac:dyDescent="0.2">
      <c r="A5873" s="10" t="str">
        <f>IF(5865&gt;$C$9008,"",INDEX($B$9:$B$9008,MATCH(5865,$C$9:$C$9008,0)))</f>
        <v/>
      </c>
      <c r="B5873" s="9" t="str">
        <f>IFERROR(INDEX(Input!$L$20:$T$1019,INT((ROW()-9)/9)+1,MOD(ROW()-9,9)+1),"")</f>
        <v/>
      </c>
      <c r="C5873" s="9">
        <f t="shared" si="91"/>
        <v>0</v>
      </c>
    </row>
    <row r="5874" spans="1:3" x14ac:dyDescent="0.2">
      <c r="A5874" s="10" t="str">
        <f>IF(5866&gt;$C$9008,"",INDEX($B$9:$B$9008,MATCH(5866,$C$9:$C$9008,0)))</f>
        <v/>
      </c>
      <c r="B5874" s="9" t="str">
        <f>IFERROR(INDEX(Input!$L$20:$T$1019,INT((ROW()-9)/9)+1,MOD(ROW()-9,9)+1),"")</f>
        <v/>
      </c>
      <c r="C5874" s="9">
        <f t="shared" si="91"/>
        <v>0</v>
      </c>
    </row>
    <row r="5875" spans="1:3" x14ac:dyDescent="0.2">
      <c r="A5875" s="10" t="str">
        <f>IF(5867&gt;$C$9008,"",INDEX($B$9:$B$9008,MATCH(5867,$C$9:$C$9008,0)))</f>
        <v/>
      </c>
      <c r="B5875" s="9" t="str">
        <f>IFERROR(INDEX(Input!$L$20:$T$1019,INT((ROW()-9)/9)+1,MOD(ROW()-9,9)+1),"")</f>
        <v/>
      </c>
      <c r="C5875" s="9">
        <f t="shared" si="91"/>
        <v>0</v>
      </c>
    </row>
    <row r="5876" spans="1:3" x14ac:dyDescent="0.2">
      <c r="A5876" s="10" t="str">
        <f>IF(5868&gt;$C$9008,"",INDEX($B$9:$B$9008,MATCH(5868,$C$9:$C$9008,0)))</f>
        <v/>
      </c>
      <c r="B5876" s="9" t="str">
        <f>IFERROR(INDEX(Input!$L$20:$T$1019,INT((ROW()-9)/9)+1,MOD(ROW()-9,9)+1),"")</f>
        <v/>
      </c>
      <c r="C5876" s="9">
        <f t="shared" si="91"/>
        <v>0</v>
      </c>
    </row>
    <row r="5877" spans="1:3" x14ac:dyDescent="0.2">
      <c r="A5877" s="10" t="str">
        <f>IF(5869&gt;$C$9008,"",INDEX($B$9:$B$9008,MATCH(5869,$C$9:$C$9008,0)))</f>
        <v/>
      </c>
      <c r="B5877" s="9" t="str">
        <f>IFERROR(INDEX(Input!$L$20:$T$1019,INT((ROW()-9)/9)+1,MOD(ROW()-9,9)+1),"")</f>
        <v/>
      </c>
      <c r="C5877" s="9">
        <f t="shared" si="91"/>
        <v>0</v>
      </c>
    </row>
    <row r="5878" spans="1:3" x14ac:dyDescent="0.2">
      <c r="A5878" s="10" t="str">
        <f>IF(5870&gt;$C$9008,"",INDEX($B$9:$B$9008,MATCH(5870,$C$9:$C$9008,0)))</f>
        <v/>
      </c>
      <c r="B5878" s="9" t="str">
        <f>IFERROR(INDEX(Input!$L$20:$T$1019,INT((ROW()-9)/9)+1,MOD(ROW()-9,9)+1),"")</f>
        <v/>
      </c>
      <c r="C5878" s="9">
        <f t="shared" si="91"/>
        <v>0</v>
      </c>
    </row>
    <row r="5879" spans="1:3" x14ac:dyDescent="0.2">
      <c r="A5879" s="10" t="str">
        <f>IF(5871&gt;$C$9008,"",INDEX($B$9:$B$9008,MATCH(5871,$C$9:$C$9008,0)))</f>
        <v/>
      </c>
      <c r="B5879" s="9" t="str">
        <f>IFERROR(INDEX(Input!$L$20:$T$1019,INT((ROW()-9)/9)+1,MOD(ROW()-9,9)+1),"")</f>
        <v/>
      </c>
      <c r="C5879" s="9">
        <f t="shared" si="91"/>
        <v>0</v>
      </c>
    </row>
    <row r="5880" spans="1:3" x14ac:dyDescent="0.2">
      <c r="A5880" s="10" t="str">
        <f>IF(5872&gt;$C$9008,"",INDEX($B$9:$B$9008,MATCH(5872,$C$9:$C$9008,0)))</f>
        <v/>
      </c>
      <c r="B5880" s="9" t="str">
        <f>IFERROR(INDEX(Input!$L$20:$T$1019,INT((ROW()-9)/9)+1,MOD(ROW()-9,9)+1),"")</f>
        <v/>
      </c>
      <c r="C5880" s="9">
        <f t="shared" si="91"/>
        <v>0</v>
      </c>
    </row>
    <row r="5881" spans="1:3" x14ac:dyDescent="0.2">
      <c r="A5881" s="10" t="str">
        <f>IF(5873&gt;$C$9008,"",INDEX($B$9:$B$9008,MATCH(5873,$C$9:$C$9008,0)))</f>
        <v/>
      </c>
      <c r="B5881" s="9" t="str">
        <f>IFERROR(INDEX(Input!$L$20:$T$1019,INT((ROW()-9)/9)+1,MOD(ROW()-9,9)+1),"")</f>
        <v/>
      </c>
      <c r="C5881" s="9">
        <f t="shared" si="91"/>
        <v>0</v>
      </c>
    </row>
    <row r="5882" spans="1:3" x14ac:dyDescent="0.2">
      <c r="A5882" s="10" t="str">
        <f>IF(5874&gt;$C$9008,"",INDEX($B$9:$B$9008,MATCH(5874,$C$9:$C$9008,0)))</f>
        <v/>
      </c>
      <c r="B5882" s="9" t="str">
        <f>IFERROR(INDEX(Input!$L$20:$T$1019,INT((ROW()-9)/9)+1,MOD(ROW()-9,9)+1),"")</f>
        <v/>
      </c>
      <c r="C5882" s="9">
        <f t="shared" si="91"/>
        <v>0</v>
      </c>
    </row>
    <row r="5883" spans="1:3" x14ac:dyDescent="0.2">
      <c r="A5883" s="10" t="str">
        <f>IF(5875&gt;$C$9008,"",INDEX($B$9:$B$9008,MATCH(5875,$C$9:$C$9008,0)))</f>
        <v/>
      </c>
      <c r="B5883" s="9" t="str">
        <f>IFERROR(INDEX(Input!$L$20:$T$1019,INT((ROW()-9)/9)+1,MOD(ROW()-9,9)+1),"")</f>
        <v/>
      </c>
      <c r="C5883" s="9">
        <f t="shared" si="91"/>
        <v>0</v>
      </c>
    </row>
    <row r="5884" spans="1:3" x14ac:dyDescent="0.2">
      <c r="A5884" s="10" t="str">
        <f>IF(5876&gt;$C$9008,"",INDEX($B$9:$B$9008,MATCH(5876,$C$9:$C$9008,0)))</f>
        <v/>
      </c>
      <c r="B5884" s="9" t="str">
        <f>IFERROR(INDEX(Input!$L$20:$T$1019,INT((ROW()-9)/9)+1,MOD(ROW()-9,9)+1),"")</f>
        <v/>
      </c>
      <c r="C5884" s="9">
        <f t="shared" si="91"/>
        <v>0</v>
      </c>
    </row>
    <row r="5885" spans="1:3" x14ac:dyDescent="0.2">
      <c r="A5885" s="10" t="str">
        <f>IF(5877&gt;$C$9008,"",INDEX($B$9:$B$9008,MATCH(5877,$C$9:$C$9008,0)))</f>
        <v/>
      </c>
      <c r="B5885" s="9" t="str">
        <f>IFERROR(INDEX(Input!$L$20:$T$1019,INT((ROW()-9)/9)+1,MOD(ROW()-9,9)+1),"")</f>
        <v/>
      </c>
      <c r="C5885" s="9">
        <f t="shared" si="91"/>
        <v>0</v>
      </c>
    </row>
    <row r="5886" spans="1:3" x14ac:dyDescent="0.2">
      <c r="A5886" s="10" t="str">
        <f>IF(5878&gt;$C$9008,"",INDEX($B$9:$B$9008,MATCH(5878,$C$9:$C$9008,0)))</f>
        <v/>
      </c>
      <c r="B5886" s="9" t="str">
        <f>IFERROR(INDEX(Input!$L$20:$T$1019,INT((ROW()-9)/9)+1,MOD(ROW()-9,9)+1),"")</f>
        <v/>
      </c>
      <c r="C5886" s="9">
        <f t="shared" si="91"/>
        <v>0</v>
      </c>
    </row>
    <row r="5887" spans="1:3" x14ac:dyDescent="0.2">
      <c r="A5887" s="10" t="str">
        <f>IF(5879&gt;$C$9008,"",INDEX($B$9:$B$9008,MATCH(5879,$C$9:$C$9008,0)))</f>
        <v/>
      </c>
      <c r="B5887" s="9" t="str">
        <f>IFERROR(INDEX(Input!$L$20:$T$1019,INT((ROW()-9)/9)+1,MOD(ROW()-9,9)+1),"")</f>
        <v/>
      </c>
      <c r="C5887" s="9">
        <f t="shared" si="91"/>
        <v>0</v>
      </c>
    </row>
    <row r="5888" spans="1:3" x14ac:dyDescent="0.2">
      <c r="A5888" s="10" t="str">
        <f>IF(5880&gt;$C$9008,"",INDEX($B$9:$B$9008,MATCH(5880,$C$9:$C$9008,0)))</f>
        <v/>
      </c>
      <c r="B5888" s="9" t="str">
        <f>IFERROR(INDEX(Input!$L$20:$T$1019,INT((ROW()-9)/9)+1,MOD(ROW()-9,9)+1),"")</f>
        <v/>
      </c>
      <c r="C5888" s="9">
        <f t="shared" si="91"/>
        <v>0</v>
      </c>
    </row>
    <row r="5889" spans="1:3" x14ac:dyDescent="0.2">
      <c r="A5889" s="10" t="str">
        <f>IF(5881&gt;$C$9008,"",INDEX($B$9:$B$9008,MATCH(5881,$C$9:$C$9008,0)))</f>
        <v/>
      </c>
      <c r="B5889" s="9" t="str">
        <f>IFERROR(INDEX(Input!$L$20:$T$1019,INT((ROW()-9)/9)+1,MOD(ROW()-9,9)+1),"")</f>
        <v/>
      </c>
      <c r="C5889" s="9">
        <f t="shared" si="91"/>
        <v>0</v>
      </c>
    </row>
    <row r="5890" spans="1:3" x14ac:dyDescent="0.2">
      <c r="A5890" s="10" t="str">
        <f>IF(5882&gt;$C$9008,"",INDEX($B$9:$B$9008,MATCH(5882,$C$9:$C$9008,0)))</f>
        <v/>
      </c>
      <c r="B5890" s="9" t="str">
        <f>IFERROR(INDEX(Input!$L$20:$T$1019,INT((ROW()-9)/9)+1,MOD(ROW()-9,9)+1),"")</f>
        <v/>
      </c>
      <c r="C5890" s="9">
        <f t="shared" si="91"/>
        <v>0</v>
      </c>
    </row>
    <row r="5891" spans="1:3" x14ac:dyDescent="0.2">
      <c r="A5891" s="10" t="str">
        <f>IF(5883&gt;$C$9008,"",INDEX($B$9:$B$9008,MATCH(5883,$C$9:$C$9008,0)))</f>
        <v/>
      </c>
      <c r="B5891" s="9" t="str">
        <f>IFERROR(INDEX(Input!$L$20:$T$1019,INT((ROW()-9)/9)+1,MOD(ROW()-9,9)+1),"")</f>
        <v/>
      </c>
      <c r="C5891" s="9">
        <f t="shared" si="91"/>
        <v>0</v>
      </c>
    </row>
    <row r="5892" spans="1:3" x14ac:dyDescent="0.2">
      <c r="A5892" s="10" t="str">
        <f>IF(5884&gt;$C$9008,"",INDEX($B$9:$B$9008,MATCH(5884,$C$9:$C$9008,0)))</f>
        <v/>
      </c>
      <c r="B5892" s="9" t="str">
        <f>IFERROR(INDEX(Input!$L$20:$T$1019,INT((ROW()-9)/9)+1,MOD(ROW()-9,9)+1),"")</f>
        <v/>
      </c>
      <c r="C5892" s="9">
        <f t="shared" si="91"/>
        <v>0</v>
      </c>
    </row>
    <row r="5893" spans="1:3" x14ac:dyDescent="0.2">
      <c r="A5893" s="10" t="str">
        <f>IF(5885&gt;$C$9008,"",INDEX($B$9:$B$9008,MATCH(5885,$C$9:$C$9008,0)))</f>
        <v/>
      </c>
      <c r="B5893" s="9" t="str">
        <f>IFERROR(INDEX(Input!$L$20:$T$1019,INT((ROW()-9)/9)+1,MOD(ROW()-9,9)+1),"")</f>
        <v/>
      </c>
      <c r="C5893" s="9">
        <f t="shared" si="91"/>
        <v>0</v>
      </c>
    </row>
    <row r="5894" spans="1:3" x14ac:dyDescent="0.2">
      <c r="A5894" s="10" t="str">
        <f>IF(5886&gt;$C$9008,"",INDEX($B$9:$B$9008,MATCH(5886,$C$9:$C$9008,0)))</f>
        <v/>
      </c>
      <c r="B5894" s="9" t="str">
        <f>IFERROR(INDEX(Input!$L$20:$T$1019,INT((ROW()-9)/9)+1,MOD(ROW()-9,9)+1),"")</f>
        <v/>
      </c>
      <c r="C5894" s="9">
        <f t="shared" si="91"/>
        <v>0</v>
      </c>
    </row>
    <row r="5895" spans="1:3" x14ac:dyDescent="0.2">
      <c r="A5895" s="10" t="str">
        <f>IF(5887&gt;$C$9008,"",INDEX($B$9:$B$9008,MATCH(5887,$C$9:$C$9008,0)))</f>
        <v/>
      </c>
      <c r="B5895" s="9" t="str">
        <f>IFERROR(INDEX(Input!$L$20:$T$1019,INT((ROW()-9)/9)+1,MOD(ROW()-9,9)+1),"")</f>
        <v/>
      </c>
      <c r="C5895" s="9">
        <f t="shared" si="91"/>
        <v>0</v>
      </c>
    </row>
    <row r="5896" spans="1:3" x14ac:dyDescent="0.2">
      <c r="A5896" s="10" t="str">
        <f>IF(5888&gt;$C$9008,"",INDEX($B$9:$B$9008,MATCH(5888,$C$9:$C$9008,0)))</f>
        <v/>
      </c>
      <c r="B5896" s="9" t="str">
        <f>IFERROR(INDEX(Input!$L$20:$T$1019,INT((ROW()-9)/9)+1,MOD(ROW()-9,9)+1),"")</f>
        <v/>
      </c>
      <c r="C5896" s="9">
        <f t="shared" si="91"/>
        <v>0</v>
      </c>
    </row>
    <row r="5897" spans="1:3" x14ac:dyDescent="0.2">
      <c r="A5897" s="10" t="str">
        <f>IF(5889&gt;$C$9008,"",INDEX($B$9:$B$9008,MATCH(5889,$C$9:$C$9008,0)))</f>
        <v/>
      </c>
      <c r="B5897" s="9" t="str">
        <f>IFERROR(INDEX(Input!$L$20:$T$1019,INT((ROW()-9)/9)+1,MOD(ROW()-9,9)+1),"")</f>
        <v/>
      </c>
      <c r="C5897" s="9">
        <f t="shared" ref="C5897:C5960" si="92">$C5896+IF($B5897&lt;&gt;"",1,0)</f>
        <v>0</v>
      </c>
    </row>
    <row r="5898" spans="1:3" x14ac:dyDescent="0.2">
      <c r="A5898" s="10" t="str">
        <f>IF(5890&gt;$C$9008,"",INDEX($B$9:$B$9008,MATCH(5890,$C$9:$C$9008,0)))</f>
        <v/>
      </c>
      <c r="B5898" s="9" t="str">
        <f>IFERROR(INDEX(Input!$L$20:$T$1019,INT((ROW()-9)/9)+1,MOD(ROW()-9,9)+1),"")</f>
        <v/>
      </c>
      <c r="C5898" s="9">
        <f t="shared" si="92"/>
        <v>0</v>
      </c>
    </row>
    <row r="5899" spans="1:3" x14ac:dyDescent="0.2">
      <c r="A5899" s="10" t="str">
        <f>IF(5891&gt;$C$9008,"",INDEX($B$9:$B$9008,MATCH(5891,$C$9:$C$9008,0)))</f>
        <v/>
      </c>
      <c r="B5899" s="9" t="str">
        <f>IFERROR(INDEX(Input!$L$20:$T$1019,INT((ROW()-9)/9)+1,MOD(ROW()-9,9)+1),"")</f>
        <v/>
      </c>
      <c r="C5899" s="9">
        <f t="shared" si="92"/>
        <v>0</v>
      </c>
    </row>
    <row r="5900" spans="1:3" x14ac:dyDescent="0.2">
      <c r="A5900" s="10" t="str">
        <f>IF(5892&gt;$C$9008,"",INDEX($B$9:$B$9008,MATCH(5892,$C$9:$C$9008,0)))</f>
        <v/>
      </c>
      <c r="B5900" s="9" t="str">
        <f>IFERROR(INDEX(Input!$L$20:$T$1019,INT((ROW()-9)/9)+1,MOD(ROW()-9,9)+1),"")</f>
        <v/>
      </c>
      <c r="C5900" s="9">
        <f t="shared" si="92"/>
        <v>0</v>
      </c>
    </row>
    <row r="5901" spans="1:3" x14ac:dyDescent="0.2">
      <c r="A5901" s="10" t="str">
        <f>IF(5893&gt;$C$9008,"",INDEX($B$9:$B$9008,MATCH(5893,$C$9:$C$9008,0)))</f>
        <v/>
      </c>
      <c r="B5901" s="9" t="str">
        <f>IFERROR(INDEX(Input!$L$20:$T$1019,INT((ROW()-9)/9)+1,MOD(ROW()-9,9)+1),"")</f>
        <v/>
      </c>
      <c r="C5901" s="9">
        <f t="shared" si="92"/>
        <v>0</v>
      </c>
    </row>
    <row r="5902" spans="1:3" x14ac:dyDescent="0.2">
      <c r="A5902" s="10" t="str">
        <f>IF(5894&gt;$C$9008,"",INDEX($B$9:$B$9008,MATCH(5894,$C$9:$C$9008,0)))</f>
        <v/>
      </c>
      <c r="B5902" s="9" t="str">
        <f>IFERROR(INDEX(Input!$L$20:$T$1019,INT((ROW()-9)/9)+1,MOD(ROW()-9,9)+1),"")</f>
        <v/>
      </c>
      <c r="C5902" s="9">
        <f t="shared" si="92"/>
        <v>0</v>
      </c>
    </row>
    <row r="5903" spans="1:3" x14ac:dyDescent="0.2">
      <c r="A5903" s="10" t="str">
        <f>IF(5895&gt;$C$9008,"",INDEX($B$9:$B$9008,MATCH(5895,$C$9:$C$9008,0)))</f>
        <v/>
      </c>
      <c r="B5903" s="9" t="str">
        <f>IFERROR(INDEX(Input!$L$20:$T$1019,INT((ROW()-9)/9)+1,MOD(ROW()-9,9)+1),"")</f>
        <v/>
      </c>
      <c r="C5903" s="9">
        <f t="shared" si="92"/>
        <v>0</v>
      </c>
    </row>
    <row r="5904" spans="1:3" x14ac:dyDescent="0.2">
      <c r="A5904" s="10" t="str">
        <f>IF(5896&gt;$C$9008,"",INDEX($B$9:$B$9008,MATCH(5896,$C$9:$C$9008,0)))</f>
        <v/>
      </c>
      <c r="B5904" s="9" t="str">
        <f>IFERROR(INDEX(Input!$L$20:$T$1019,INT((ROW()-9)/9)+1,MOD(ROW()-9,9)+1),"")</f>
        <v/>
      </c>
      <c r="C5904" s="9">
        <f t="shared" si="92"/>
        <v>0</v>
      </c>
    </row>
    <row r="5905" spans="1:3" x14ac:dyDescent="0.2">
      <c r="A5905" s="10" t="str">
        <f>IF(5897&gt;$C$9008,"",INDEX($B$9:$B$9008,MATCH(5897,$C$9:$C$9008,0)))</f>
        <v/>
      </c>
      <c r="B5905" s="9" t="str">
        <f>IFERROR(INDEX(Input!$L$20:$T$1019,INT((ROW()-9)/9)+1,MOD(ROW()-9,9)+1),"")</f>
        <v/>
      </c>
      <c r="C5905" s="9">
        <f t="shared" si="92"/>
        <v>0</v>
      </c>
    </row>
    <row r="5906" spans="1:3" x14ac:dyDescent="0.2">
      <c r="A5906" s="10" t="str">
        <f>IF(5898&gt;$C$9008,"",INDEX($B$9:$B$9008,MATCH(5898,$C$9:$C$9008,0)))</f>
        <v/>
      </c>
      <c r="B5906" s="9" t="str">
        <f>IFERROR(INDEX(Input!$L$20:$T$1019,INT((ROW()-9)/9)+1,MOD(ROW()-9,9)+1),"")</f>
        <v/>
      </c>
      <c r="C5906" s="9">
        <f t="shared" si="92"/>
        <v>0</v>
      </c>
    </row>
    <row r="5907" spans="1:3" x14ac:dyDescent="0.2">
      <c r="A5907" s="10" t="str">
        <f>IF(5899&gt;$C$9008,"",INDEX($B$9:$B$9008,MATCH(5899,$C$9:$C$9008,0)))</f>
        <v/>
      </c>
      <c r="B5907" s="9" t="str">
        <f>IFERROR(INDEX(Input!$L$20:$T$1019,INT((ROW()-9)/9)+1,MOD(ROW()-9,9)+1),"")</f>
        <v/>
      </c>
      <c r="C5907" s="9">
        <f t="shared" si="92"/>
        <v>0</v>
      </c>
    </row>
    <row r="5908" spans="1:3" x14ac:dyDescent="0.2">
      <c r="A5908" s="10" t="str">
        <f>IF(5900&gt;$C$9008,"",INDEX($B$9:$B$9008,MATCH(5900,$C$9:$C$9008,0)))</f>
        <v/>
      </c>
      <c r="B5908" s="9" t="str">
        <f>IFERROR(INDEX(Input!$L$20:$T$1019,INT((ROW()-9)/9)+1,MOD(ROW()-9,9)+1),"")</f>
        <v/>
      </c>
      <c r="C5908" s="9">
        <f t="shared" si="92"/>
        <v>0</v>
      </c>
    </row>
    <row r="5909" spans="1:3" x14ac:dyDescent="0.2">
      <c r="A5909" s="10" t="str">
        <f>IF(5901&gt;$C$9008,"",INDEX($B$9:$B$9008,MATCH(5901,$C$9:$C$9008,0)))</f>
        <v/>
      </c>
      <c r="B5909" s="9" t="str">
        <f>IFERROR(INDEX(Input!$L$20:$T$1019,INT((ROW()-9)/9)+1,MOD(ROW()-9,9)+1),"")</f>
        <v/>
      </c>
      <c r="C5909" s="9">
        <f t="shared" si="92"/>
        <v>0</v>
      </c>
    </row>
    <row r="5910" spans="1:3" x14ac:dyDescent="0.2">
      <c r="A5910" s="10" t="str">
        <f>IF(5902&gt;$C$9008,"",INDEX($B$9:$B$9008,MATCH(5902,$C$9:$C$9008,0)))</f>
        <v/>
      </c>
      <c r="B5910" s="9" t="str">
        <f>IFERROR(INDEX(Input!$L$20:$T$1019,INT((ROW()-9)/9)+1,MOD(ROW()-9,9)+1),"")</f>
        <v/>
      </c>
      <c r="C5910" s="9">
        <f t="shared" si="92"/>
        <v>0</v>
      </c>
    </row>
    <row r="5911" spans="1:3" x14ac:dyDescent="0.2">
      <c r="A5911" s="10" t="str">
        <f>IF(5903&gt;$C$9008,"",INDEX($B$9:$B$9008,MATCH(5903,$C$9:$C$9008,0)))</f>
        <v/>
      </c>
      <c r="B5911" s="9" t="str">
        <f>IFERROR(INDEX(Input!$L$20:$T$1019,INT((ROW()-9)/9)+1,MOD(ROW()-9,9)+1),"")</f>
        <v/>
      </c>
      <c r="C5911" s="9">
        <f t="shared" si="92"/>
        <v>0</v>
      </c>
    </row>
    <row r="5912" spans="1:3" x14ac:dyDescent="0.2">
      <c r="A5912" s="10" t="str">
        <f>IF(5904&gt;$C$9008,"",INDEX($B$9:$B$9008,MATCH(5904,$C$9:$C$9008,0)))</f>
        <v/>
      </c>
      <c r="B5912" s="9" t="str">
        <f>IFERROR(INDEX(Input!$L$20:$T$1019,INT((ROW()-9)/9)+1,MOD(ROW()-9,9)+1),"")</f>
        <v/>
      </c>
      <c r="C5912" s="9">
        <f t="shared" si="92"/>
        <v>0</v>
      </c>
    </row>
    <row r="5913" spans="1:3" x14ac:dyDescent="0.2">
      <c r="A5913" s="10" t="str">
        <f>IF(5905&gt;$C$9008,"",INDEX($B$9:$B$9008,MATCH(5905,$C$9:$C$9008,0)))</f>
        <v/>
      </c>
      <c r="B5913" s="9" t="str">
        <f>IFERROR(INDEX(Input!$L$20:$T$1019,INT((ROW()-9)/9)+1,MOD(ROW()-9,9)+1),"")</f>
        <v/>
      </c>
      <c r="C5913" s="9">
        <f t="shared" si="92"/>
        <v>0</v>
      </c>
    </row>
    <row r="5914" spans="1:3" x14ac:dyDescent="0.2">
      <c r="A5914" s="10" t="str">
        <f>IF(5906&gt;$C$9008,"",INDEX($B$9:$B$9008,MATCH(5906,$C$9:$C$9008,0)))</f>
        <v/>
      </c>
      <c r="B5914" s="9" t="str">
        <f>IFERROR(INDEX(Input!$L$20:$T$1019,INT((ROW()-9)/9)+1,MOD(ROW()-9,9)+1),"")</f>
        <v/>
      </c>
      <c r="C5914" s="9">
        <f t="shared" si="92"/>
        <v>0</v>
      </c>
    </row>
    <row r="5915" spans="1:3" x14ac:dyDescent="0.2">
      <c r="A5915" s="10" t="str">
        <f>IF(5907&gt;$C$9008,"",INDEX($B$9:$B$9008,MATCH(5907,$C$9:$C$9008,0)))</f>
        <v/>
      </c>
      <c r="B5915" s="9" t="str">
        <f>IFERROR(INDEX(Input!$L$20:$T$1019,INT((ROW()-9)/9)+1,MOD(ROW()-9,9)+1),"")</f>
        <v/>
      </c>
      <c r="C5915" s="9">
        <f t="shared" si="92"/>
        <v>0</v>
      </c>
    </row>
    <row r="5916" spans="1:3" x14ac:dyDescent="0.2">
      <c r="A5916" s="10" t="str">
        <f>IF(5908&gt;$C$9008,"",INDEX($B$9:$B$9008,MATCH(5908,$C$9:$C$9008,0)))</f>
        <v/>
      </c>
      <c r="B5916" s="9" t="str">
        <f>IFERROR(INDEX(Input!$L$20:$T$1019,INT((ROW()-9)/9)+1,MOD(ROW()-9,9)+1),"")</f>
        <v/>
      </c>
      <c r="C5916" s="9">
        <f t="shared" si="92"/>
        <v>0</v>
      </c>
    </row>
    <row r="5917" spans="1:3" x14ac:dyDescent="0.2">
      <c r="A5917" s="10" t="str">
        <f>IF(5909&gt;$C$9008,"",INDEX($B$9:$B$9008,MATCH(5909,$C$9:$C$9008,0)))</f>
        <v/>
      </c>
      <c r="B5917" s="9" t="str">
        <f>IFERROR(INDEX(Input!$L$20:$T$1019,INT((ROW()-9)/9)+1,MOD(ROW()-9,9)+1),"")</f>
        <v/>
      </c>
      <c r="C5917" s="9">
        <f t="shared" si="92"/>
        <v>0</v>
      </c>
    </row>
    <row r="5918" spans="1:3" x14ac:dyDescent="0.2">
      <c r="A5918" s="10" t="str">
        <f>IF(5910&gt;$C$9008,"",INDEX($B$9:$B$9008,MATCH(5910,$C$9:$C$9008,0)))</f>
        <v/>
      </c>
      <c r="B5918" s="9" t="str">
        <f>IFERROR(INDEX(Input!$L$20:$T$1019,INT((ROW()-9)/9)+1,MOD(ROW()-9,9)+1),"")</f>
        <v/>
      </c>
      <c r="C5918" s="9">
        <f t="shared" si="92"/>
        <v>0</v>
      </c>
    </row>
    <row r="5919" spans="1:3" x14ac:dyDescent="0.2">
      <c r="A5919" s="10" t="str">
        <f>IF(5911&gt;$C$9008,"",INDEX($B$9:$B$9008,MATCH(5911,$C$9:$C$9008,0)))</f>
        <v/>
      </c>
      <c r="B5919" s="9" t="str">
        <f>IFERROR(INDEX(Input!$L$20:$T$1019,INT((ROW()-9)/9)+1,MOD(ROW()-9,9)+1),"")</f>
        <v/>
      </c>
      <c r="C5919" s="9">
        <f t="shared" si="92"/>
        <v>0</v>
      </c>
    </row>
    <row r="5920" spans="1:3" x14ac:dyDescent="0.2">
      <c r="A5920" s="10" t="str">
        <f>IF(5912&gt;$C$9008,"",INDEX($B$9:$B$9008,MATCH(5912,$C$9:$C$9008,0)))</f>
        <v/>
      </c>
      <c r="B5920" s="9" t="str">
        <f>IFERROR(INDEX(Input!$L$20:$T$1019,INT((ROW()-9)/9)+1,MOD(ROW()-9,9)+1),"")</f>
        <v/>
      </c>
      <c r="C5920" s="9">
        <f t="shared" si="92"/>
        <v>0</v>
      </c>
    </row>
    <row r="5921" spans="1:3" x14ac:dyDescent="0.2">
      <c r="A5921" s="10" t="str">
        <f>IF(5913&gt;$C$9008,"",INDEX($B$9:$B$9008,MATCH(5913,$C$9:$C$9008,0)))</f>
        <v/>
      </c>
      <c r="B5921" s="9" t="str">
        <f>IFERROR(INDEX(Input!$L$20:$T$1019,INT((ROW()-9)/9)+1,MOD(ROW()-9,9)+1),"")</f>
        <v/>
      </c>
      <c r="C5921" s="9">
        <f t="shared" si="92"/>
        <v>0</v>
      </c>
    </row>
    <row r="5922" spans="1:3" x14ac:dyDescent="0.2">
      <c r="A5922" s="10" t="str">
        <f>IF(5914&gt;$C$9008,"",INDEX($B$9:$B$9008,MATCH(5914,$C$9:$C$9008,0)))</f>
        <v/>
      </c>
      <c r="B5922" s="9" t="str">
        <f>IFERROR(INDEX(Input!$L$20:$T$1019,INT((ROW()-9)/9)+1,MOD(ROW()-9,9)+1),"")</f>
        <v/>
      </c>
      <c r="C5922" s="9">
        <f t="shared" si="92"/>
        <v>0</v>
      </c>
    </row>
    <row r="5923" spans="1:3" x14ac:dyDescent="0.2">
      <c r="A5923" s="10" t="str">
        <f>IF(5915&gt;$C$9008,"",INDEX($B$9:$B$9008,MATCH(5915,$C$9:$C$9008,0)))</f>
        <v/>
      </c>
      <c r="B5923" s="9" t="str">
        <f>IFERROR(INDEX(Input!$L$20:$T$1019,INT((ROW()-9)/9)+1,MOD(ROW()-9,9)+1),"")</f>
        <v/>
      </c>
      <c r="C5923" s="9">
        <f t="shared" si="92"/>
        <v>0</v>
      </c>
    </row>
    <row r="5924" spans="1:3" x14ac:dyDescent="0.2">
      <c r="A5924" s="10" t="str">
        <f>IF(5916&gt;$C$9008,"",INDEX($B$9:$B$9008,MATCH(5916,$C$9:$C$9008,0)))</f>
        <v/>
      </c>
      <c r="B5924" s="9" t="str">
        <f>IFERROR(INDEX(Input!$L$20:$T$1019,INT((ROW()-9)/9)+1,MOD(ROW()-9,9)+1),"")</f>
        <v/>
      </c>
      <c r="C5924" s="9">
        <f t="shared" si="92"/>
        <v>0</v>
      </c>
    </row>
    <row r="5925" spans="1:3" x14ac:dyDescent="0.2">
      <c r="A5925" s="10" t="str">
        <f>IF(5917&gt;$C$9008,"",INDEX($B$9:$B$9008,MATCH(5917,$C$9:$C$9008,0)))</f>
        <v/>
      </c>
      <c r="B5925" s="9" t="str">
        <f>IFERROR(INDEX(Input!$L$20:$T$1019,INT((ROW()-9)/9)+1,MOD(ROW()-9,9)+1),"")</f>
        <v/>
      </c>
      <c r="C5925" s="9">
        <f t="shared" si="92"/>
        <v>0</v>
      </c>
    </row>
    <row r="5926" spans="1:3" x14ac:dyDescent="0.2">
      <c r="A5926" s="10" t="str">
        <f>IF(5918&gt;$C$9008,"",INDEX($B$9:$B$9008,MATCH(5918,$C$9:$C$9008,0)))</f>
        <v/>
      </c>
      <c r="B5926" s="9" t="str">
        <f>IFERROR(INDEX(Input!$L$20:$T$1019,INT((ROW()-9)/9)+1,MOD(ROW()-9,9)+1),"")</f>
        <v/>
      </c>
      <c r="C5926" s="9">
        <f t="shared" si="92"/>
        <v>0</v>
      </c>
    </row>
    <row r="5927" spans="1:3" x14ac:dyDescent="0.2">
      <c r="A5927" s="10" t="str">
        <f>IF(5919&gt;$C$9008,"",INDEX($B$9:$B$9008,MATCH(5919,$C$9:$C$9008,0)))</f>
        <v/>
      </c>
      <c r="B5927" s="9" t="str">
        <f>IFERROR(INDEX(Input!$L$20:$T$1019,INT((ROW()-9)/9)+1,MOD(ROW()-9,9)+1),"")</f>
        <v/>
      </c>
      <c r="C5927" s="9">
        <f t="shared" si="92"/>
        <v>0</v>
      </c>
    </row>
    <row r="5928" spans="1:3" x14ac:dyDescent="0.2">
      <c r="A5928" s="10" t="str">
        <f>IF(5920&gt;$C$9008,"",INDEX($B$9:$B$9008,MATCH(5920,$C$9:$C$9008,0)))</f>
        <v/>
      </c>
      <c r="B5928" s="9" t="str">
        <f>IFERROR(INDEX(Input!$L$20:$T$1019,INT((ROW()-9)/9)+1,MOD(ROW()-9,9)+1),"")</f>
        <v/>
      </c>
      <c r="C5928" s="9">
        <f t="shared" si="92"/>
        <v>0</v>
      </c>
    </row>
    <row r="5929" spans="1:3" x14ac:dyDescent="0.2">
      <c r="A5929" s="10" t="str">
        <f>IF(5921&gt;$C$9008,"",INDEX($B$9:$B$9008,MATCH(5921,$C$9:$C$9008,0)))</f>
        <v/>
      </c>
      <c r="B5929" s="9" t="str">
        <f>IFERROR(INDEX(Input!$L$20:$T$1019,INT((ROW()-9)/9)+1,MOD(ROW()-9,9)+1),"")</f>
        <v/>
      </c>
      <c r="C5929" s="9">
        <f t="shared" si="92"/>
        <v>0</v>
      </c>
    </row>
    <row r="5930" spans="1:3" x14ac:dyDescent="0.2">
      <c r="A5930" s="10" t="str">
        <f>IF(5922&gt;$C$9008,"",INDEX($B$9:$B$9008,MATCH(5922,$C$9:$C$9008,0)))</f>
        <v/>
      </c>
      <c r="B5930" s="9" t="str">
        <f>IFERROR(INDEX(Input!$L$20:$T$1019,INT((ROW()-9)/9)+1,MOD(ROW()-9,9)+1),"")</f>
        <v/>
      </c>
      <c r="C5930" s="9">
        <f t="shared" si="92"/>
        <v>0</v>
      </c>
    </row>
    <row r="5931" spans="1:3" x14ac:dyDescent="0.2">
      <c r="A5931" s="10" t="str">
        <f>IF(5923&gt;$C$9008,"",INDEX($B$9:$B$9008,MATCH(5923,$C$9:$C$9008,0)))</f>
        <v/>
      </c>
      <c r="B5931" s="9" t="str">
        <f>IFERROR(INDEX(Input!$L$20:$T$1019,INT((ROW()-9)/9)+1,MOD(ROW()-9,9)+1),"")</f>
        <v/>
      </c>
      <c r="C5931" s="9">
        <f t="shared" si="92"/>
        <v>0</v>
      </c>
    </row>
    <row r="5932" spans="1:3" x14ac:dyDescent="0.2">
      <c r="A5932" s="10" t="str">
        <f>IF(5924&gt;$C$9008,"",INDEX($B$9:$B$9008,MATCH(5924,$C$9:$C$9008,0)))</f>
        <v/>
      </c>
      <c r="B5932" s="9" t="str">
        <f>IFERROR(INDEX(Input!$L$20:$T$1019,INT((ROW()-9)/9)+1,MOD(ROW()-9,9)+1),"")</f>
        <v/>
      </c>
      <c r="C5932" s="9">
        <f t="shared" si="92"/>
        <v>0</v>
      </c>
    </row>
    <row r="5933" spans="1:3" x14ac:dyDescent="0.2">
      <c r="A5933" s="10" t="str">
        <f>IF(5925&gt;$C$9008,"",INDEX($B$9:$B$9008,MATCH(5925,$C$9:$C$9008,0)))</f>
        <v/>
      </c>
      <c r="B5933" s="9" t="str">
        <f>IFERROR(INDEX(Input!$L$20:$T$1019,INT((ROW()-9)/9)+1,MOD(ROW()-9,9)+1),"")</f>
        <v/>
      </c>
      <c r="C5933" s="9">
        <f t="shared" si="92"/>
        <v>0</v>
      </c>
    </row>
    <row r="5934" spans="1:3" x14ac:dyDescent="0.2">
      <c r="A5934" s="10" t="str">
        <f>IF(5926&gt;$C$9008,"",INDEX($B$9:$B$9008,MATCH(5926,$C$9:$C$9008,0)))</f>
        <v/>
      </c>
      <c r="B5934" s="9" t="str">
        <f>IFERROR(INDEX(Input!$L$20:$T$1019,INT((ROW()-9)/9)+1,MOD(ROW()-9,9)+1),"")</f>
        <v/>
      </c>
      <c r="C5934" s="9">
        <f t="shared" si="92"/>
        <v>0</v>
      </c>
    </row>
    <row r="5935" spans="1:3" x14ac:dyDescent="0.2">
      <c r="A5935" s="10" t="str">
        <f>IF(5927&gt;$C$9008,"",INDEX($B$9:$B$9008,MATCH(5927,$C$9:$C$9008,0)))</f>
        <v/>
      </c>
      <c r="B5935" s="9" t="str">
        <f>IFERROR(INDEX(Input!$L$20:$T$1019,INT((ROW()-9)/9)+1,MOD(ROW()-9,9)+1),"")</f>
        <v/>
      </c>
      <c r="C5935" s="9">
        <f t="shared" si="92"/>
        <v>0</v>
      </c>
    </row>
    <row r="5936" spans="1:3" x14ac:dyDescent="0.2">
      <c r="A5936" s="10" t="str">
        <f>IF(5928&gt;$C$9008,"",INDEX($B$9:$B$9008,MATCH(5928,$C$9:$C$9008,0)))</f>
        <v/>
      </c>
      <c r="B5936" s="9" t="str">
        <f>IFERROR(INDEX(Input!$L$20:$T$1019,INT((ROW()-9)/9)+1,MOD(ROW()-9,9)+1),"")</f>
        <v/>
      </c>
      <c r="C5936" s="9">
        <f t="shared" si="92"/>
        <v>0</v>
      </c>
    </row>
    <row r="5937" spans="1:3" x14ac:dyDescent="0.2">
      <c r="A5937" s="10" t="str">
        <f>IF(5929&gt;$C$9008,"",INDEX($B$9:$B$9008,MATCH(5929,$C$9:$C$9008,0)))</f>
        <v/>
      </c>
      <c r="B5937" s="9" t="str">
        <f>IFERROR(INDEX(Input!$L$20:$T$1019,INT((ROW()-9)/9)+1,MOD(ROW()-9,9)+1),"")</f>
        <v/>
      </c>
      <c r="C5937" s="9">
        <f t="shared" si="92"/>
        <v>0</v>
      </c>
    </row>
    <row r="5938" spans="1:3" x14ac:dyDescent="0.2">
      <c r="A5938" s="10" t="str">
        <f>IF(5930&gt;$C$9008,"",INDEX($B$9:$B$9008,MATCH(5930,$C$9:$C$9008,0)))</f>
        <v/>
      </c>
      <c r="B5938" s="9" t="str">
        <f>IFERROR(INDEX(Input!$L$20:$T$1019,INT((ROW()-9)/9)+1,MOD(ROW()-9,9)+1),"")</f>
        <v/>
      </c>
      <c r="C5938" s="9">
        <f t="shared" si="92"/>
        <v>0</v>
      </c>
    </row>
    <row r="5939" spans="1:3" x14ac:dyDescent="0.2">
      <c r="A5939" s="10" t="str">
        <f>IF(5931&gt;$C$9008,"",INDEX($B$9:$B$9008,MATCH(5931,$C$9:$C$9008,0)))</f>
        <v/>
      </c>
      <c r="B5939" s="9" t="str">
        <f>IFERROR(INDEX(Input!$L$20:$T$1019,INT((ROW()-9)/9)+1,MOD(ROW()-9,9)+1),"")</f>
        <v/>
      </c>
      <c r="C5939" s="9">
        <f t="shared" si="92"/>
        <v>0</v>
      </c>
    </row>
    <row r="5940" spans="1:3" x14ac:dyDescent="0.2">
      <c r="A5940" s="10" t="str">
        <f>IF(5932&gt;$C$9008,"",INDEX($B$9:$B$9008,MATCH(5932,$C$9:$C$9008,0)))</f>
        <v/>
      </c>
      <c r="B5940" s="9" t="str">
        <f>IFERROR(INDEX(Input!$L$20:$T$1019,INT((ROW()-9)/9)+1,MOD(ROW()-9,9)+1),"")</f>
        <v/>
      </c>
      <c r="C5940" s="9">
        <f t="shared" si="92"/>
        <v>0</v>
      </c>
    </row>
    <row r="5941" spans="1:3" x14ac:dyDescent="0.2">
      <c r="A5941" s="10" t="str">
        <f>IF(5933&gt;$C$9008,"",INDEX($B$9:$B$9008,MATCH(5933,$C$9:$C$9008,0)))</f>
        <v/>
      </c>
      <c r="B5941" s="9" t="str">
        <f>IFERROR(INDEX(Input!$L$20:$T$1019,INT((ROW()-9)/9)+1,MOD(ROW()-9,9)+1),"")</f>
        <v/>
      </c>
      <c r="C5941" s="9">
        <f t="shared" si="92"/>
        <v>0</v>
      </c>
    </row>
    <row r="5942" spans="1:3" x14ac:dyDescent="0.2">
      <c r="A5942" s="10" t="str">
        <f>IF(5934&gt;$C$9008,"",INDEX($B$9:$B$9008,MATCH(5934,$C$9:$C$9008,0)))</f>
        <v/>
      </c>
      <c r="B5942" s="9" t="str">
        <f>IFERROR(INDEX(Input!$L$20:$T$1019,INT((ROW()-9)/9)+1,MOD(ROW()-9,9)+1),"")</f>
        <v/>
      </c>
      <c r="C5942" s="9">
        <f t="shared" si="92"/>
        <v>0</v>
      </c>
    </row>
    <row r="5943" spans="1:3" x14ac:dyDescent="0.2">
      <c r="A5943" s="10" t="str">
        <f>IF(5935&gt;$C$9008,"",INDEX($B$9:$B$9008,MATCH(5935,$C$9:$C$9008,0)))</f>
        <v/>
      </c>
      <c r="B5943" s="9" t="str">
        <f>IFERROR(INDEX(Input!$L$20:$T$1019,INT((ROW()-9)/9)+1,MOD(ROW()-9,9)+1),"")</f>
        <v/>
      </c>
      <c r="C5943" s="9">
        <f t="shared" si="92"/>
        <v>0</v>
      </c>
    </row>
    <row r="5944" spans="1:3" x14ac:dyDescent="0.2">
      <c r="A5944" s="10" t="str">
        <f>IF(5936&gt;$C$9008,"",INDEX($B$9:$B$9008,MATCH(5936,$C$9:$C$9008,0)))</f>
        <v/>
      </c>
      <c r="B5944" s="9" t="str">
        <f>IFERROR(INDEX(Input!$L$20:$T$1019,INT((ROW()-9)/9)+1,MOD(ROW()-9,9)+1),"")</f>
        <v/>
      </c>
      <c r="C5944" s="9">
        <f t="shared" si="92"/>
        <v>0</v>
      </c>
    </row>
    <row r="5945" spans="1:3" x14ac:dyDescent="0.2">
      <c r="A5945" s="10" t="str">
        <f>IF(5937&gt;$C$9008,"",INDEX($B$9:$B$9008,MATCH(5937,$C$9:$C$9008,0)))</f>
        <v/>
      </c>
      <c r="B5945" s="9" t="str">
        <f>IFERROR(INDEX(Input!$L$20:$T$1019,INT((ROW()-9)/9)+1,MOD(ROW()-9,9)+1),"")</f>
        <v/>
      </c>
      <c r="C5945" s="9">
        <f t="shared" si="92"/>
        <v>0</v>
      </c>
    </row>
    <row r="5946" spans="1:3" x14ac:dyDescent="0.2">
      <c r="A5946" s="10" t="str">
        <f>IF(5938&gt;$C$9008,"",INDEX($B$9:$B$9008,MATCH(5938,$C$9:$C$9008,0)))</f>
        <v/>
      </c>
      <c r="B5946" s="9" t="str">
        <f>IFERROR(INDEX(Input!$L$20:$T$1019,INT((ROW()-9)/9)+1,MOD(ROW()-9,9)+1),"")</f>
        <v/>
      </c>
      <c r="C5946" s="9">
        <f t="shared" si="92"/>
        <v>0</v>
      </c>
    </row>
    <row r="5947" spans="1:3" x14ac:dyDescent="0.2">
      <c r="A5947" s="10" t="str">
        <f>IF(5939&gt;$C$9008,"",INDEX($B$9:$B$9008,MATCH(5939,$C$9:$C$9008,0)))</f>
        <v/>
      </c>
      <c r="B5947" s="9" t="str">
        <f>IFERROR(INDEX(Input!$L$20:$T$1019,INT((ROW()-9)/9)+1,MOD(ROW()-9,9)+1),"")</f>
        <v/>
      </c>
      <c r="C5947" s="9">
        <f t="shared" si="92"/>
        <v>0</v>
      </c>
    </row>
    <row r="5948" spans="1:3" x14ac:dyDescent="0.2">
      <c r="A5948" s="10" t="str">
        <f>IF(5940&gt;$C$9008,"",INDEX($B$9:$B$9008,MATCH(5940,$C$9:$C$9008,0)))</f>
        <v/>
      </c>
      <c r="B5948" s="9" t="str">
        <f>IFERROR(INDEX(Input!$L$20:$T$1019,INT((ROW()-9)/9)+1,MOD(ROW()-9,9)+1),"")</f>
        <v/>
      </c>
      <c r="C5948" s="9">
        <f t="shared" si="92"/>
        <v>0</v>
      </c>
    </row>
    <row r="5949" spans="1:3" x14ac:dyDescent="0.2">
      <c r="A5949" s="10" t="str">
        <f>IF(5941&gt;$C$9008,"",INDEX($B$9:$B$9008,MATCH(5941,$C$9:$C$9008,0)))</f>
        <v/>
      </c>
      <c r="B5949" s="9" t="str">
        <f>IFERROR(INDEX(Input!$L$20:$T$1019,INT((ROW()-9)/9)+1,MOD(ROW()-9,9)+1),"")</f>
        <v/>
      </c>
      <c r="C5949" s="9">
        <f t="shared" si="92"/>
        <v>0</v>
      </c>
    </row>
    <row r="5950" spans="1:3" x14ac:dyDescent="0.2">
      <c r="A5950" s="10" t="str">
        <f>IF(5942&gt;$C$9008,"",INDEX($B$9:$B$9008,MATCH(5942,$C$9:$C$9008,0)))</f>
        <v/>
      </c>
      <c r="B5950" s="9" t="str">
        <f>IFERROR(INDEX(Input!$L$20:$T$1019,INT((ROW()-9)/9)+1,MOD(ROW()-9,9)+1),"")</f>
        <v/>
      </c>
      <c r="C5950" s="9">
        <f t="shared" si="92"/>
        <v>0</v>
      </c>
    </row>
    <row r="5951" spans="1:3" x14ac:dyDescent="0.2">
      <c r="A5951" s="10" t="str">
        <f>IF(5943&gt;$C$9008,"",INDEX($B$9:$B$9008,MATCH(5943,$C$9:$C$9008,0)))</f>
        <v/>
      </c>
      <c r="B5951" s="9" t="str">
        <f>IFERROR(INDEX(Input!$L$20:$T$1019,INT((ROW()-9)/9)+1,MOD(ROW()-9,9)+1),"")</f>
        <v/>
      </c>
      <c r="C5951" s="9">
        <f t="shared" si="92"/>
        <v>0</v>
      </c>
    </row>
    <row r="5952" spans="1:3" x14ac:dyDescent="0.2">
      <c r="A5952" s="10" t="str">
        <f>IF(5944&gt;$C$9008,"",INDEX($B$9:$B$9008,MATCH(5944,$C$9:$C$9008,0)))</f>
        <v/>
      </c>
      <c r="B5952" s="9" t="str">
        <f>IFERROR(INDEX(Input!$L$20:$T$1019,INT((ROW()-9)/9)+1,MOD(ROW()-9,9)+1),"")</f>
        <v/>
      </c>
      <c r="C5952" s="9">
        <f t="shared" si="92"/>
        <v>0</v>
      </c>
    </row>
    <row r="5953" spans="1:3" x14ac:dyDescent="0.2">
      <c r="A5953" s="10" t="str">
        <f>IF(5945&gt;$C$9008,"",INDEX($B$9:$B$9008,MATCH(5945,$C$9:$C$9008,0)))</f>
        <v/>
      </c>
      <c r="B5953" s="9" t="str">
        <f>IFERROR(INDEX(Input!$L$20:$T$1019,INT((ROW()-9)/9)+1,MOD(ROW()-9,9)+1),"")</f>
        <v/>
      </c>
      <c r="C5953" s="9">
        <f t="shared" si="92"/>
        <v>0</v>
      </c>
    </row>
    <row r="5954" spans="1:3" x14ac:dyDescent="0.2">
      <c r="A5954" s="10" t="str">
        <f>IF(5946&gt;$C$9008,"",INDEX($B$9:$B$9008,MATCH(5946,$C$9:$C$9008,0)))</f>
        <v/>
      </c>
      <c r="B5954" s="9" t="str">
        <f>IFERROR(INDEX(Input!$L$20:$T$1019,INT((ROW()-9)/9)+1,MOD(ROW()-9,9)+1),"")</f>
        <v/>
      </c>
      <c r="C5954" s="9">
        <f t="shared" si="92"/>
        <v>0</v>
      </c>
    </row>
    <row r="5955" spans="1:3" x14ac:dyDescent="0.2">
      <c r="A5955" s="10" t="str">
        <f>IF(5947&gt;$C$9008,"",INDEX($B$9:$B$9008,MATCH(5947,$C$9:$C$9008,0)))</f>
        <v/>
      </c>
      <c r="B5955" s="9" t="str">
        <f>IFERROR(INDEX(Input!$L$20:$T$1019,INT((ROW()-9)/9)+1,MOD(ROW()-9,9)+1),"")</f>
        <v/>
      </c>
      <c r="C5955" s="9">
        <f t="shared" si="92"/>
        <v>0</v>
      </c>
    </row>
    <row r="5956" spans="1:3" x14ac:dyDescent="0.2">
      <c r="A5956" s="10" t="str">
        <f>IF(5948&gt;$C$9008,"",INDEX($B$9:$B$9008,MATCH(5948,$C$9:$C$9008,0)))</f>
        <v/>
      </c>
      <c r="B5956" s="9" t="str">
        <f>IFERROR(INDEX(Input!$L$20:$T$1019,INT((ROW()-9)/9)+1,MOD(ROW()-9,9)+1),"")</f>
        <v/>
      </c>
      <c r="C5956" s="9">
        <f t="shared" si="92"/>
        <v>0</v>
      </c>
    </row>
    <row r="5957" spans="1:3" x14ac:dyDescent="0.2">
      <c r="A5957" s="10" t="str">
        <f>IF(5949&gt;$C$9008,"",INDEX($B$9:$B$9008,MATCH(5949,$C$9:$C$9008,0)))</f>
        <v/>
      </c>
      <c r="B5957" s="9" t="str">
        <f>IFERROR(INDEX(Input!$L$20:$T$1019,INT((ROW()-9)/9)+1,MOD(ROW()-9,9)+1),"")</f>
        <v/>
      </c>
      <c r="C5957" s="9">
        <f t="shared" si="92"/>
        <v>0</v>
      </c>
    </row>
    <row r="5958" spans="1:3" x14ac:dyDescent="0.2">
      <c r="A5958" s="10" t="str">
        <f>IF(5950&gt;$C$9008,"",INDEX($B$9:$B$9008,MATCH(5950,$C$9:$C$9008,0)))</f>
        <v/>
      </c>
      <c r="B5958" s="9" t="str">
        <f>IFERROR(INDEX(Input!$L$20:$T$1019,INT((ROW()-9)/9)+1,MOD(ROW()-9,9)+1),"")</f>
        <v/>
      </c>
      <c r="C5958" s="9">
        <f t="shared" si="92"/>
        <v>0</v>
      </c>
    </row>
    <row r="5959" spans="1:3" x14ac:dyDescent="0.2">
      <c r="A5959" s="10" t="str">
        <f>IF(5951&gt;$C$9008,"",INDEX($B$9:$B$9008,MATCH(5951,$C$9:$C$9008,0)))</f>
        <v/>
      </c>
      <c r="B5959" s="9" t="str">
        <f>IFERROR(INDEX(Input!$L$20:$T$1019,INT((ROW()-9)/9)+1,MOD(ROW()-9,9)+1),"")</f>
        <v/>
      </c>
      <c r="C5959" s="9">
        <f t="shared" si="92"/>
        <v>0</v>
      </c>
    </row>
    <row r="5960" spans="1:3" x14ac:dyDescent="0.2">
      <c r="A5960" s="10" t="str">
        <f>IF(5952&gt;$C$9008,"",INDEX($B$9:$B$9008,MATCH(5952,$C$9:$C$9008,0)))</f>
        <v/>
      </c>
      <c r="B5960" s="9" t="str">
        <f>IFERROR(INDEX(Input!$L$20:$T$1019,INT((ROW()-9)/9)+1,MOD(ROW()-9,9)+1),"")</f>
        <v/>
      </c>
      <c r="C5960" s="9">
        <f t="shared" si="92"/>
        <v>0</v>
      </c>
    </row>
    <row r="5961" spans="1:3" x14ac:dyDescent="0.2">
      <c r="A5961" s="10" t="str">
        <f>IF(5953&gt;$C$9008,"",INDEX($B$9:$B$9008,MATCH(5953,$C$9:$C$9008,0)))</f>
        <v/>
      </c>
      <c r="B5961" s="9" t="str">
        <f>IFERROR(INDEX(Input!$L$20:$T$1019,INT((ROW()-9)/9)+1,MOD(ROW()-9,9)+1),"")</f>
        <v/>
      </c>
      <c r="C5961" s="9">
        <f t="shared" ref="C5961:C6024" si="93">$C5960+IF($B5961&lt;&gt;"",1,0)</f>
        <v>0</v>
      </c>
    </row>
    <row r="5962" spans="1:3" x14ac:dyDescent="0.2">
      <c r="A5962" s="10" t="str">
        <f>IF(5954&gt;$C$9008,"",INDEX($B$9:$B$9008,MATCH(5954,$C$9:$C$9008,0)))</f>
        <v/>
      </c>
      <c r="B5962" s="9" t="str">
        <f>IFERROR(INDEX(Input!$L$20:$T$1019,INT((ROW()-9)/9)+1,MOD(ROW()-9,9)+1),"")</f>
        <v/>
      </c>
      <c r="C5962" s="9">
        <f t="shared" si="93"/>
        <v>0</v>
      </c>
    </row>
    <row r="5963" spans="1:3" x14ac:dyDescent="0.2">
      <c r="A5963" s="10" t="str">
        <f>IF(5955&gt;$C$9008,"",INDEX($B$9:$B$9008,MATCH(5955,$C$9:$C$9008,0)))</f>
        <v/>
      </c>
      <c r="B5963" s="9" t="str">
        <f>IFERROR(INDEX(Input!$L$20:$T$1019,INT((ROW()-9)/9)+1,MOD(ROW()-9,9)+1),"")</f>
        <v/>
      </c>
      <c r="C5963" s="9">
        <f t="shared" si="93"/>
        <v>0</v>
      </c>
    </row>
    <row r="5964" spans="1:3" x14ac:dyDescent="0.2">
      <c r="A5964" s="10" t="str">
        <f>IF(5956&gt;$C$9008,"",INDEX($B$9:$B$9008,MATCH(5956,$C$9:$C$9008,0)))</f>
        <v/>
      </c>
      <c r="B5964" s="9" t="str">
        <f>IFERROR(INDEX(Input!$L$20:$T$1019,INT((ROW()-9)/9)+1,MOD(ROW()-9,9)+1),"")</f>
        <v/>
      </c>
      <c r="C5964" s="9">
        <f t="shared" si="93"/>
        <v>0</v>
      </c>
    </row>
    <row r="5965" spans="1:3" x14ac:dyDescent="0.2">
      <c r="A5965" s="10" t="str">
        <f>IF(5957&gt;$C$9008,"",INDEX($B$9:$B$9008,MATCH(5957,$C$9:$C$9008,0)))</f>
        <v/>
      </c>
      <c r="B5965" s="9" t="str">
        <f>IFERROR(INDEX(Input!$L$20:$T$1019,INT((ROW()-9)/9)+1,MOD(ROW()-9,9)+1),"")</f>
        <v/>
      </c>
      <c r="C5965" s="9">
        <f t="shared" si="93"/>
        <v>0</v>
      </c>
    </row>
    <row r="5966" spans="1:3" x14ac:dyDescent="0.2">
      <c r="A5966" s="10" t="str">
        <f>IF(5958&gt;$C$9008,"",INDEX($B$9:$B$9008,MATCH(5958,$C$9:$C$9008,0)))</f>
        <v/>
      </c>
      <c r="B5966" s="9" t="str">
        <f>IFERROR(INDEX(Input!$L$20:$T$1019,INT((ROW()-9)/9)+1,MOD(ROW()-9,9)+1),"")</f>
        <v/>
      </c>
      <c r="C5966" s="9">
        <f t="shared" si="93"/>
        <v>0</v>
      </c>
    </row>
    <row r="5967" spans="1:3" x14ac:dyDescent="0.2">
      <c r="A5967" s="10" t="str">
        <f>IF(5959&gt;$C$9008,"",INDEX($B$9:$B$9008,MATCH(5959,$C$9:$C$9008,0)))</f>
        <v/>
      </c>
      <c r="B5967" s="9" t="str">
        <f>IFERROR(INDEX(Input!$L$20:$T$1019,INT((ROW()-9)/9)+1,MOD(ROW()-9,9)+1),"")</f>
        <v/>
      </c>
      <c r="C5967" s="9">
        <f t="shared" si="93"/>
        <v>0</v>
      </c>
    </row>
    <row r="5968" spans="1:3" x14ac:dyDescent="0.2">
      <c r="A5968" s="10" t="str">
        <f>IF(5960&gt;$C$9008,"",INDEX($B$9:$B$9008,MATCH(5960,$C$9:$C$9008,0)))</f>
        <v/>
      </c>
      <c r="B5968" s="9" t="str">
        <f>IFERROR(INDEX(Input!$L$20:$T$1019,INT((ROW()-9)/9)+1,MOD(ROW()-9,9)+1),"")</f>
        <v/>
      </c>
      <c r="C5968" s="9">
        <f t="shared" si="93"/>
        <v>0</v>
      </c>
    </row>
    <row r="5969" spans="1:3" x14ac:dyDescent="0.2">
      <c r="A5969" s="10" t="str">
        <f>IF(5961&gt;$C$9008,"",INDEX($B$9:$B$9008,MATCH(5961,$C$9:$C$9008,0)))</f>
        <v/>
      </c>
      <c r="B5969" s="9" t="str">
        <f>IFERROR(INDEX(Input!$L$20:$T$1019,INT((ROW()-9)/9)+1,MOD(ROW()-9,9)+1),"")</f>
        <v/>
      </c>
      <c r="C5969" s="9">
        <f t="shared" si="93"/>
        <v>0</v>
      </c>
    </row>
    <row r="5970" spans="1:3" x14ac:dyDescent="0.2">
      <c r="A5970" s="10" t="str">
        <f>IF(5962&gt;$C$9008,"",INDEX($B$9:$B$9008,MATCH(5962,$C$9:$C$9008,0)))</f>
        <v/>
      </c>
      <c r="B5970" s="9" t="str">
        <f>IFERROR(INDEX(Input!$L$20:$T$1019,INT((ROW()-9)/9)+1,MOD(ROW()-9,9)+1),"")</f>
        <v/>
      </c>
      <c r="C5970" s="9">
        <f t="shared" si="93"/>
        <v>0</v>
      </c>
    </row>
    <row r="5971" spans="1:3" x14ac:dyDescent="0.2">
      <c r="A5971" s="10" t="str">
        <f>IF(5963&gt;$C$9008,"",INDEX($B$9:$B$9008,MATCH(5963,$C$9:$C$9008,0)))</f>
        <v/>
      </c>
      <c r="B5971" s="9" t="str">
        <f>IFERROR(INDEX(Input!$L$20:$T$1019,INT((ROW()-9)/9)+1,MOD(ROW()-9,9)+1),"")</f>
        <v/>
      </c>
      <c r="C5971" s="9">
        <f t="shared" si="93"/>
        <v>0</v>
      </c>
    </row>
    <row r="5972" spans="1:3" x14ac:dyDescent="0.2">
      <c r="A5972" s="10" t="str">
        <f>IF(5964&gt;$C$9008,"",INDEX($B$9:$B$9008,MATCH(5964,$C$9:$C$9008,0)))</f>
        <v/>
      </c>
      <c r="B5972" s="9" t="str">
        <f>IFERROR(INDEX(Input!$L$20:$T$1019,INT((ROW()-9)/9)+1,MOD(ROW()-9,9)+1),"")</f>
        <v/>
      </c>
      <c r="C5972" s="9">
        <f t="shared" si="93"/>
        <v>0</v>
      </c>
    </row>
    <row r="5973" spans="1:3" x14ac:dyDescent="0.2">
      <c r="A5973" s="10" t="str">
        <f>IF(5965&gt;$C$9008,"",INDEX($B$9:$B$9008,MATCH(5965,$C$9:$C$9008,0)))</f>
        <v/>
      </c>
      <c r="B5973" s="9" t="str">
        <f>IFERROR(INDEX(Input!$L$20:$T$1019,INT((ROW()-9)/9)+1,MOD(ROW()-9,9)+1),"")</f>
        <v/>
      </c>
      <c r="C5973" s="9">
        <f t="shared" si="93"/>
        <v>0</v>
      </c>
    </row>
    <row r="5974" spans="1:3" x14ac:dyDescent="0.2">
      <c r="A5974" s="10" t="str">
        <f>IF(5966&gt;$C$9008,"",INDEX($B$9:$B$9008,MATCH(5966,$C$9:$C$9008,0)))</f>
        <v/>
      </c>
      <c r="B5974" s="9" t="str">
        <f>IFERROR(INDEX(Input!$L$20:$T$1019,INT((ROW()-9)/9)+1,MOD(ROW()-9,9)+1),"")</f>
        <v/>
      </c>
      <c r="C5974" s="9">
        <f t="shared" si="93"/>
        <v>0</v>
      </c>
    </row>
    <row r="5975" spans="1:3" x14ac:dyDescent="0.2">
      <c r="A5975" s="10" t="str">
        <f>IF(5967&gt;$C$9008,"",INDEX($B$9:$B$9008,MATCH(5967,$C$9:$C$9008,0)))</f>
        <v/>
      </c>
      <c r="B5975" s="9" t="str">
        <f>IFERROR(INDEX(Input!$L$20:$T$1019,INT((ROW()-9)/9)+1,MOD(ROW()-9,9)+1),"")</f>
        <v/>
      </c>
      <c r="C5975" s="9">
        <f t="shared" si="93"/>
        <v>0</v>
      </c>
    </row>
    <row r="5976" spans="1:3" x14ac:dyDescent="0.2">
      <c r="A5976" s="10" t="str">
        <f>IF(5968&gt;$C$9008,"",INDEX($B$9:$B$9008,MATCH(5968,$C$9:$C$9008,0)))</f>
        <v/>
      </c>
      <c r="B5976" s="9" t="str">
        <f>IFERROR(INDEX(Input!$L$20:$T$1019,INT((ROW()-9)/9)+1,MOD(ROW()-9,9)+1),"")</f>
        <v/>
      </c>
      <c r="C5976" s="9">
        <f t="shared" si="93"/>
        <v>0</v>
      </c>
    </row>
    <row r="5977" spans="1:3" x14ac:dyDescent="0.2">
      <c r="A5977" s="10" t="str">
        <f>IF(5969&gt;$C$9008,"",INDEX($B$9:$B$9008,MATCH(5969,$C$9:$C$9008,0)))</f>
        <v/>
      </c>
      <c r="B5977" s="9" t="str">
        <f>IFERROR(INDEX(Input!$L$20:$T$1019,INT((ROW()-9)/9)+1,MOD(ROW()-9,9)+1),"")</f>
        <v/>
      </c>
      <c r="C5977" s="9">
        <f t="shared" si="93"/>
        <v>0</v>
      </c>
    </row>
    <row r="5978" spans="1:3" x14ac:dyDescent="0.2">
      <c r="A5978" s="10" t="str">
        <f>IF(5970&gt;$C$9008,"",INDEX($B$9:$B$9008,MATCH(5970,$C$9:$C$9008,0)))</f>
        <v/>
      </c>
      <c r="B5978" s="9" t="str">
        <f>IFERROR(INDEX(Input!$L$20:$T$1019,INT((ROW()-9)/9)+1,MOD(ROW()-9,9)+1),"")</f>
        <v/>
      </c>
      <c r="C5978" s="9">
        <f t="shared" si="93"/>
        <v>0</v>
      </c>
    </row>
    <row r="5979" spans="1:3" x14ac:dyDescent="0.2">
      <c r="A5979" s="10" t="str">
        <f>IF(5971&gt;$C$9008,"",INDEX($B$9:$B$9008,MATCH(5971,$C$9:$C$9008,0)))</f>
        <v/>
      </c>
      <c r="B5979" s="9" t="str">
        <f>IFERROR(INDEX(Input!$L$20:$T$1019,INT((ROW()-9)/9)+1,MOD(ROW()-9,9)+1),"")</f>
        <v/>
      </c>
      <c r="C5979" s="9">
        <f t="shared" si="93"/>
        <v>0</v>
      </c>
    </row>
    <row r="5980" spans="1:3" x14ac:dyDescent="0.2">
      <c r="A5980" s="10" t="str">
        <f>IF(5972&gt;$C$9008,"",INDEX($B$9:$B$9008,MATCH(5972,$C$9:$C$9008,0)))</f>
        <v/>
      </c>
      <c r="B5980" s="9" t="str">
        <f>IFERROR(INDEX(Input!$L$20:$T$1019,INT((ROW()-9)/9)+1,MOD(ROW()-9,9)+1),"")</f>
        <v/>
      </c>
      <c r="C5980" s="9">
        <f t="shared" si="93"/>
        <v>0</v>
      </c>
    </row>
    <row r="5981" spans="1:3" x14ac:dyDescent="0.2">
      <c r="A5981" s="10" t="str">
        <f>IF(5973&gt;$C$9008,"",INDEX($B$9:$B$9008,MATCH(5973,$C$9:$C$9008,0)))</f>
        <v/>
      </c>
      <c r="B5981" s="9" t="str">
        <f>IFERROR(INDEX(Input!$L$20:$T$1019,INT((ROW()-9)/9)+1,MOD(ROW()-9,9)+1),"")</f>
        <v/>
      </c>
      <c r="C5981" s="9">
        <f t="shared" si="93"/>
        <v>0</v>
      </c>
    </row>
    <row r="5982" spans="1:3" x14ac:dyDescent="0.2">
      <c r="A5982" s="10" t="str">
        <f>IF(5974&gt;$C$9008,"",INDEX($B$9:$B$9008,MATCH(5974,$C$9:$C$9008,0)))</f>
        <v/>
      </c>
      <c r="B5982" s="9" t="str">
        <f>IFERROR(INDEX(Input!$L$20:$T$1019,INT((ROW()-9)/9)+1,MOD(ROW()-9,9)+1),"")</f>
        <v/>
      </c>
      <c r="C5982" s="9">
        <f t="shared" si="93"/>
        <v>0</v>
      </c>
    </row>
    <row r="5983" spans="1:3" x14ac:dyDescent="0.2">
      <c r="A5983" s="10" t="str">
        <f>IF(5975&gt;$C$9008,"",INDEX($B$9:$B$9008,MATCH(5975,$C$9:$C$9008,0)))</f>
        <v/>
      </c>
      <c r="B5983" s="9" t="str">
        <f>IFERROR(INDEX(Input!$L$20:$T$1019,INT((ROW()-9)/9)+1,MOD(ROW()-9,9)+1),"")</f>
        <v/>
      </c>
      <c r="C5983" s="9">
        <f t="shared" si="93"/>
        <v>0</v>
      </c>
    </row>
    <row r="5984" spans="1:3" x14ac:dyDescent="0.2">
      <c r="A5984" s="10" t="str">
        <f>IF(5976&gt;$C$9008,"",INDEX($B$9:$B$9008,MATCH(5976,$C$9:$C$9008,0)))</f>
        <v/>
      </c>
      <c r="B5984" s="9" t="str">
        <f>IFERROR(INDEX(Input!$L$20:$T$1019,INT((ROW()-9)/9)+1,MOD(ROW()-9,9)+1),"")</f>
        <v/>
      </c>
      <c r="C5984" s="9">
        <f t="shared" si="93"/>
        <v>0</v>
      </c>
    </row>
    <row r="5985" spans="1:3" x14ac:dyDescent="0.2">
      <c r="A5985" s="10" t="str">
        <f>IF(5977&gt;$C$9008,"",INDEX($B$9:$B$9008,MATCH(5977,$C$9:$C$9008,0)))</f>
        <v/>
      </c>
      <c r="B5985" s="9" t="str">
        <f>IFERROR(INDEX(Input!$L$20:$T$1019,INT((ROW()-9)/9)+1,MOD(ROW()-9,9)+1),"")</f>
        <v/>
      </c>
      <c r="C5985" s="9">
        <f t="shared" si="93"/>
        <v>0</v>
      </c>
    </row>
    <row r="5986" spans="1:3" x14ac:dyDescent="0.2">
      <c r="A5986" s="10" t="str">
        <f>IF(5978&gt;$C$9008,"",INDEX($B$9:$B$9008,MATCH(5978,$C$9:$C$9008,0)))</f>
        <v/>
      </c>
      <c r="B5986" s="9" t="str">
        <f>IFERROR(INDEX(Input!$L$20:$T$1019,INT((ROW()-9)/9)+1,MOD(ROW()-9,9)+1),"")</f>
        <v/>
      </c>
      <c r="C5986" s="9">
        <f t="shared" si="93"/>
        <v>0</v>
      </c>
    </row>
    <row r="5987" spans="1:3" x14ac:dyDescent="0.2">
      <c r="A5987" s="10" t="str">
        <f>IF(5979&gt;$C$9008,"",INDEX($B$9:$B$9008,MATCH(5979,$C$9:$C$9008,0)))</f>
        <v/>
      </c>
      <c r="B5987" s="9" t="str">
        <f>IFERROR(INDEX(Input!$L$20:$T$1019,INT((ROW()-9)/9)+1,MOD(ROW()-9,9)+1),"")</f>
        <v/>
      </c>
      <c r="C5987" s="9">
        <f t="shared" si="93"/>
        <v>0</v>
      </c>
    </row>
    <row r="5988" spans="1:3" x14ac:dyDescent="0.2">
      <c r="A5988" s="10" t="str">
        <f>IF(5980&gt;$C$9008,"",INDEX($B$9:$B$9008,MATCH(5980,$C$9:$C$9008,0)))</f>
        <v/>
      </c>
      <c r="B5988" s="9" t="str">
        <f>IFERROR(INDEX(Input!$L$20:$T$1019,INT((ROW()-9)/9)+1,MOD(ROW()-9,9)+1),"")</f>
        <v/>
      </c>
      <c r="C5988" s="9">
        <f t="shared" si="93"/>
        <v>0</v>
      </c>
    </row>
    <row r="5989" spans="1:3" x14ac:dyDescent="0.2">
      <c r="A5989" s="10" t="str">
        <f>IF(5981&gt;$C$9008,"",INDEX($B$9:$B$9008,MATCH(5981,$C$9:$C$9008,0)))</f>
        <v/>
      </c>
      <c r="B5989" s="9" t="str">
        <f>IFERROR(INDEX(Input!$L$20:$T$1019,INT((ROW()-9)/9)+1,MOD(ROW()-9,9)+1),"")</f>
        <v/>
      </c>
      <c r="C5989" s="9">
        <f t="shared" si="93"/>
        <v>0</v>
      </c>
    </row>
    <row r="5990" spans="1:3" x14ac:dyDescent="0.2">
      <c r="A5990" s="10" t="str">
        <f>IF(5982&gt;$C$9008,"",INDEX($B$9:$B$9008,MATCH(5982,$C$9:$C$9008,0)))</f>
        <v/>
      </c>
      <c r="B5990" s="9" t="str">
        <f>IFERROR(INDEX(Input!$L$20:$T$1019,INT((ROW()-9)/9)+1,MOD(ROW()-9,9)+1),"")</f>
        <v/>
      </c>
      <c r="C5990" s="9">
        <f t="shared" si="93"/>
        <v>0</v>
      </c>
    </row>
    <row r="5991" spans="1:3" x14ac:dyDescent="0.2">
      <c r="A5991" s="10" t="str">
        <f>IF(5983&gt;$C$9008,"",INDEX($B$9:$B$9008,MATCH(5983,$C$9:$C$9008,0)))</f>
        <v/>
      </c>
      <c r="B5991" s="9" t="str">
        <f>IFERROR(INDEX(Input!$L$20:$T$1019,INT((ROW()-9)/9)+1,MOD(ROW()-9,9)+1),"")</f>
        <v/>
      </c>
      <c r="C5991" s="9">
        <f t="shared" si="93"/>
        <v>0</v>
      </c>
    </row>
    <row r="5992" spans="1:3" x14ac:dyDescent="0.2">
      <c r="A5992" s="10" t="str">
        <f>IF(5984&gt;$C$9008,"",INDEX($B$9:$B$9008,MATCH(5984,$C$9:$C$9008,0)))</f>
        <v/>
      </c>
      <c r="B5992" s="9" t="str">
        <f>IFERROR(INDEX(Input!$L$20:$T$1019,INT((ROW()-9)/9)+1,MOD(ROW()-9,9)+1),"")</f>
        <v/>
      </c>
      <c r="C5992" s="9">
        <f t="shared" si="93"/>
        <v>0</v>
      </c>
    </row>
    <row r="5993" spans="1:3" x14ac:dyDescent="0.2">
      <c r="A5993" s="10" t="str">
        <f>IF(5985&gt;$C$9008,"",INDEX($B$9:$B$9008,MATCH(5985,$C$9:$C$9008,0)))</f>
        <v/>
      </c>
      <c r="B5993" s="9" t="str">
        <f>IFERROR(INDEX(Input!$L$20:$T$1019,INT((ROW()-9)/9)+1,MOD(ROW()-9,9)+1),"")</f>
        <v/>
      </c>
      <c r="C5993" s="9">
        <f t="shared" si="93"/>
        <v>0</v>
      </c>
    </row>
    <row r="5994" spans="1:3" x14ac:dyDescent="0.2">
      <c r="A5994" s="10" t="str">
        <f>IF(5986&gt;$C$9008,"",INDEX($B$9:$B$9008,MATCH(5986,$C$9:$C$9008,0)))</f>
        <v/>
      </c>
      <c r="B5994" s="9" t="str">
        <f>IFERROR(INDEX(Input!$L$20:$T$1019,INT((ROW()-9)/9)+1,MOD(ROW()-9,9)+1),"")</f>
        <v/>
      </c>
      <c r="C5994" s="9">
        <f t="shared" si="93"/>
        <v>0</v>
      </c>
    </row>
    <row r="5995" spans="1:3" x14ac:dyDescent="0.2">
      <c r="A5995" s="10" t="str">
        <f>IF(5987&gt;$C$9008,"",INDEX($B$9:$B$9008,MATCH(5987,$C$9:$C$9008,0)))</f>
        <v/>
      </c>
      <c r="B5995" s="9" t="str">
        <f>IFERROR(INDEX(Input!$L$20:$T$1019,INT((ROW()-9)/9)+1,MOD(ROW()-9,9)+1),"")</f>
        <v/>
      </c>
      <c r="C5995" s="9">
        <f t="shared" si="93"/>
        <v>0</v>
      </c>
    </row>
    <row r="5996" spans="1:3" x14ac:dyDescent="0.2">
      <c r="A5996" s="10" t="str">
        <f>IF(5988&gt;$C$9008,"",INDEX($B$9:$B$9008,MATCH(5988,$C$9:$C$9008,0)))</f>
        <v/>
      </c>
      <c r="B5996" s="9" t="str">
        <f>IFERROR(INDEX(Input!$L$20:$T$1019,INT((ROW()-9)/9)+1,MOD(ROW()-9,9)+1),"")</f>
        <v/>
      </c>
      <c r="C5996" s="9">
        <f t="shared" si="93"/>
        <v>0</v>
      </c>
    </row>
    <row r="5997" spans="1:3" x14ac:dyDescent="0.2">
      <c r="A5997" s="10" t="str">
        <f>IF(5989&gt;$C$9008,"",INDEX($B$9:$B$9008,MATCH(5989,$C$9:$C$9008,0)))</f>
        <v/>
      </c>
      <c r="B5997" s="9" t="str">
        <f>IFERROR(INDEX(Input!$L$20:$T$1019,INT((ROW()-9)/9)+1,MOD(ROW()-9,9)+1),"")</f>
        <v/>
      </c>
      <c r="C5997" s="9">
        <f t="shared" si="93"/>
        <v>0</v>
      </c>
    </row>
    <row r="5998" spans="1:3" x14ac:dyDescent="0.2">
      <c r="A5998" s="10" t="str">
        <f>IF(5990&gt;$C$9008,"",INDEX($B$9:$B$9008,MATCH(5990,$C$9:$C$9008,0)))</f>
        <v/>
      </c>
      <c r="B5998" s="9" t="str">
        <f>IFERROR(INDEX(Input!$L$20:$T$1019,INT((ROW()-9)/9)+1,MOD(ROW()-9,9)+1),"")</f>
        <v/>
      </c>
      <c r="C5998" s="9">
        <f t="shared" si="93"/>
        <v>0</v>
      </c>
    </row>
    <row r="5999" spans="1:3" x14ac:dyDescent="0.2">
      <c r="A5999" s="10" t="str">
        <f>IF(5991&gt;$C$9008,"",INDEX($B$9:$B$9008,MATCH(5991,$C$9:$C$9008,0)))</f>
        <v/>
      </c>
      <c r="B5999" s="9" t="str">
        <f>IFERROR(INDEX(Input!$L$20:$T$1019,INT((ROW()-9)/9)+1,MOD(ROW()-9,9)+1),"")</f>
        <v/>
      </c>
      <c r="C5999" s="9">
        <f t="shared" si="93"/>
        <v>0</v>
      </c>
    </row>
    <row r="6000" spans="1:3" x14ac:dyDescent="0.2">
      <c r="A6000" s="10" t="str">
        <f>IF(5992&gt;$C$9008,"",INDEX($B$9:$B$9008,MATCH(5992,$C$9:$C$9008,0)))</f>
        <v/>
      </c>
      <c r="B6000" s="9" t="str">
        <f>IFERROR(INDEX(Input!$L$20:$T$1019,INT((ROW()-9)/9)+1,MOD(ROW()-9,9)+1),"")</f>
        <v/>
      </c>
      <c r="C6000" s="9">
        <f t="shared" si="93"/>
        <v>0</v>
      </c>
    </row>
    <row r="6001" spans="1:3" x14ac:dyDescent="0.2">
      <c r="A6001" s="10" t="str">
        <f>IF(5993&gt;$C$9008,"",INDEX($B$9:$B$9008,MATCH(5993,$C$9:$C$9008,0)))</f>
        <v/>
      </c>
      <c r="B6001" s="9" t="str">
        <f>IFERROR(INDEX(Input!$L$20:$T$1019,INT((ROW()-9)/9)+1,MOD(ROW()-9,9)+1),"")</f>
        <v/>
      </c>
      <c r="C6001" s="9">
        <f t="shared" si="93"/>
        <v>0</v>
      </c>
    </row>
    <row r="6002" spans="1:3" x14ac:dyDescent="0.2">
      <c r="A6002" s="10" t="str">
        <f>IF(5994&gt;$C$9008,"",INDEX($B$9:$B$9008,MATCH(5994,$C$9:$C$9008,0)))</f>
        <v/>
      </c>
      <c r="B6002" s="9" t="str">
        <f>IFERROR(INDEX(Input!$L$20:$T$1019,INT((ROW()-9)/9)+1,MOD(ROW()-9,9)+1),"")</f>
        <v/>
      </c>
      <c r="C6002" s="9">
        <f t="shared" si="93"/>
        <v>0</v>
      </c>
    </row>
    <row r="6003" spans="1:3" x14ac:dyDescent="0.2">
      <c r="A6003" s="10" t="str">
        <f>IF(5995&gt;$C$9008,"",INDEX($B$9:$B$9008,MATCH(5995,$C$9:$C$9008,0)))</f>
        <v/>
      </c>
      <c r="B6003" s="9" t="str">
        <f>IFERROR(INDEX(Input!$L$20:$T$1019,INT((ROW()-9)/9)+1,MOD(ROW()-9,9)+1),"")</f>
        <v/>
      </c>
      <c r="C6003" s="9">
        <f t="shared" si="93"/>
        <v>0</v>
      </c>
    </row>
    <row r="6004" spans="1:3" x14ac:dyDescent="0.2">
      <c r="A6004" s="10" t="str">
        <f>IF(5996&gt;$C$9008,"",INDEX($B$9:$B$9008,MATCH(5996,$C$9:$C$9008,0)))</f>
        <v/>
      </c>
      <c r="B6004" s="9" t="str">
        <f>IFERROR(INDEX(Input!$L$20:$T$1019,INT((ROW()-9)/9)+1,MOD(ROW()-9,9)+1),"")</f>
        <v/>
      </c>
      <c r="C6004" s="9">
        <f t="shared" si="93"/>
        <v>0</v>
      </c>
    </row>
    <row r="6005" spans="1:3" x14ac:dyDescent="0.2">
      <c r="A6005" s="10" t="str">
        <f>IF(5997&gt;$C$9008,"",INDEX($B$9:$B$9008,MATCH(5997,$C$9:$C$9008,0)))</f>
        <v/>
      </c>
      <c r="B6005" s="9" t="str">
        <f>IFERROR(INDEX(Input!$L$20:$T$1019,INT((ROW()-9)/9)+1,MOD(ROW()-9,9)+1),"")</f>
        <v/>
      </c>
      <c r="C6005" s="9">
        <f t="shared" si="93"/>
        <v>0</v>
      </c>
    </row>
    <row r="6006" spans="1:3" x14ac:dyDescent="0.2">
      <c r="A6006" s="10" t="str">
        <f>IF(5998&gt;$C$9008,"",INDEX($B$9:$B$9008,MATCH(5998,$C$9:$C$9008,0)))</f>
        <v/>
      </c>
      <c r="B6006" s="9" t="str">
        <f>IFERROR(INDEX(Input!$L$20:$T$1019,INT((ROW()-9)/9)+1,MOD(ROW()-9,9)+1),"")</f>
        <v/>
      </c>
      <c r="C6006" s="9">
        <f t="shared" si="93"/>
        <v>0</v>
      </c>
    </row>
    <row r="6007" spans="1:3" x14ac:dyDescent="0.2">
      <c r="A6007" s="10" t="str">
        <f>IF(5999&gt;$C$9008,"",INDEX($B$9:$B$9008,MATCH(5999,$C$9:$C$9008,0)))</f>
        <v/>
      </c>
      <c r="B6007" s="9" t="str">
        <f>IFERROR(INDEX(Input!$L$20:$T$1019,INT((ROW()-9)/9)+1,MOD(ROW()-9,9)+1),"")</f>
        <v/>
      </c>
      <c r="C6007" s="9">
        <f t="shared" si="93"/>
        <v>0</v>
      </c>
    </row>
    <row r="6008" spans="1:3" x14ac:dyDescent="0.2">
      <c r="A6008" s="10" t="str">
        <f>IF(6000&gt;$C$9008,"",INDEX($B$9:$B$9008,MATCH(6000,$C$9:$C$9008,0)))</f>
        <v/>
      </c>
      <c r="B6008" s="9" t="str">
        <f>IFERROR(INDEX(Input!$L$20:$T$1019,INT((ROW()-9)/9)+1,MOD(ROW()-9,9)+1),"")</f>
        <v/>
      </c>
      <c r="C6008" s="9">
        <f t="shared" si="93"/>
        <v>0</v>
      </c>
    </row>
    <row r="6009" spans="1:3" x14ac:dyDescent="0.2">
      <c r="A6009" s="10" t="str">
        <f>IF(6001&gt;$C$9008,"",INDEX($B$9:$B$9008,MATCH(6001,$C$9:$C$9008,0)))</f>
        <v/>
      </c>
      <c r="B6009" s="9" t="str">
        <f>IFERROR(INDEX(Input!$L$20:$T$1019,INT((ROW()-9)/9)+1,MOD(ROW()-9,9)+1),"")</f>
        <v/>
      </c>
      <c r="C6009" s="9">
        <f t="shared" si="93"/>
        <v>0</v>
      </c>
    </row>
    <row r="6010" spans="1:3" x14ac:dyDescent="0.2">
      <c r="A6010" s="10" t="str">
        <f>IF(6002&gt;$C$9008,"",INDEX($B$9:$B$9008,MATCH(6002,$C$9:$C$9008,0)))</f>
        <v/>
      </c>
      <c r="B6010" s="9" t="str">
        <f>IFERROR(INDEX(Input!$L$20:$T$1019,INT((ROW()-9)/9)+1,MOD(ROW()-9,9)+1),"")</f>
        <v/>
      </c>
      <c r="C6010" s="9">
        <f t="shared" si="93"/>
        <v>0</v>
      </c>
    </row>
    <row r="6011" spans="1:3" x14ac:dyDescent="0.2">
      <c r="A6011" s="10" t="str">
        <f>IF(6003&gt;$C$9008,"",INDEX($B$9:$B$9008,MATCH(6003,$C$9:$C$9008,0)))</f>
        <v/>
      </c>
      <c r="B6011" s="9" t="str">
        <f>IFERROR(INDEX(Input!$L$20:$T$1019,INT((ROW()-9)/9)+1,MOD(ROW()-9,9)+1),"")</f>
        <v/>
      </c>
      <c r="C6011" s="9">
        <f t="shared" si="93"/>
        <v>0</v>
      </c>
    </row>
    <row r="6012" spans="1:3" x14ac:dyDescent="0.2">
      <c r="A6012" s="10" t="str">
        <f>IF(6004&gt;$C$9008,"",INDEX($B$9:$B$9008,MATCH(6004,$C$9:$C$9008,0)))</f>
        <v/>
      </c>
      <c r="B6012" s="9" t="str">
        <f>IFERROR(INDEX(Input!$L$20:$T$1019,INT((ROW()-9)/9)+1,MOD(ROW()-9,9)+1),"")</f>
        <v/>
      </c>
      <c r="C6012" s="9">
        <f t="shared" si="93"/>
        <v>0</v>
      </c>
    </row>
    <row r="6013" spans="1:3" x14ac:dyDescent="0.2">
      <c r="A6013" s="10" t="str">
        <f>IF(6005&gt;$C$9008,"",INDEX($B$9:$B$9008,MATCH(6005,$C$9:$C$9008,0)))</f>
        <v/>
      </c>
      <c r="B6013" s="9" t="str">
        <f>IFERROR(INDEX(Input!$L$20:$T$1019,INT((ROW()-9)/9)+1,MOD(ROW()-9,9)+1),"")</f>
        <v/>
      </c>
      <c r="C6013" s="9">
        <f t="shared" si="93"/>
        <v>0</v>
      </c>
    </row>
    <row r="6014" spans="1:3" x14ac:dyDescent="0.2">
      <c r="A6014" s="10" t="str">
        <f>IF(6006&gt;$C$9008,"",INDEX($B$9:$B$9008,MATCH(6006,$C$9:$C$9008,0)))</f>
        <v/>
      </c>
      <c r="B6014" s="9" t="str">
        <f>IFERROR(INDEX(Input!$L$20:$T$1019,INT((ROW()-9)/9)+1,MOD(ROW()-9,9)+1),"")</f>
        <v/>
      </c>
      <c r="C6014" s="9">
        <f t="shared" si="93"/>
        <v>0</v>
      </c>
    </row>
    <row r="6015" spans="1:3" x14ac:dyDescent="0.2">
      <c r="A6015" s="10" t="str">
        <f>IF(6007&gt;$C$9008,"",INDEX($B$9:$B$9008,MATCH(6007,$C$9:$C$9008,0)))</f>
        <v/>
      </c>
      <c r="B6015" s="9" t="str">
        <f>IFERROR(INDEX(Input!$L$20:$T$1019,INT((ROW()-9)/9)+1,MOD(ROW()-9,9)+1),"")</f>
        <v/>
      </c>
      <c r="C6015" s="9">
        <f t="shared" si="93"/>
        <v>0</v>
      </c>
    </row>
    <row r="6016" spans="1:3" x14ac:dyDescent="0.2">
      <c r="A6016" s="10" t="str">
        <f>IF(6008&gt;$C$9008,"",INDEX($B$9:$B$9008,MATCH(6008,$C$9:$C$9008,0)))</f>
        <v/>
      </c>
      <c r="B6016" s="9" t="str">
        <f>IFERROR(INDEX(Input!$L$20:$T$1019,INT((ROW()-9)/9)+1,MOD(ROW()-9,9)+1),"")</f>
        <v/>
      </c>
      <c r="C6016" s="9">
        <f t="shared" si="93"/>
        <v>0</v>
      </c>
    </row>
    <row r="6017" spans="1:3" x14ac:dyDescent="0.2">
      <c r="A6017" s="10" t="str">
        <f>IF(6009&gt;$C$9008,"",INDEX($B$9:$B$9008,MATCH(6009,$C$9:$C$9008,0)))</f>
        <v/>
      </c>
      <c r="B6017" s="9" t="str">
        <f>IFERROR(INDEX(Input!$L$20:$T$1019,INT((ROW()-9)/9)+1,MOD(ROW()-9,9)+1),"")</f>
        <v/>
      </c>
      <c r="C6017" s="9">
        <f t="shared" si="93"/>
        <v>0</v>
      </c>
    </row>
    <row r="6018" spans="1:3" x14ac:dyDescent="0.2">
      <c r="A6018" s="10" t="str">
        <f>IF(6010&gt;$C$9008,"",INDEX($B$9:$B$9008,MATCH(6010,$C$9:$C$9008,0)))</f>
        <v/>
      </c>
      <c r="B6018" s="9" t="str">
        <f>IFERROR(INDEX(Input!$L$20:$T$1019,INT((ROW()-9)/9)+1,MOD(ROW()-9,9)+1),"")</f>
        <v/>
      </c>
      <c r="C6018" s="9">
        <f t="shared" si="93"/>
        <v>0</v>
      </c>
    </row>
    <row r="6019" spans="1:3" x14ac:dyDescent="0.2">
      <c r="A6019" s="10" t="str">
        <f>IF(6011&gt;$C$9008,"",INDEX($B$9:$B$9008,MATCH(6011,$C$9:$C$9008,0)))</f>
        <v/>
      </c>
      <c r="B6019" s="9" t="str">
        <f>IFERROR(INDEX(Input!$L$20:$T$1019,INT((ROW()-9)/9)+1,MOD(ROW()-9,9)+1),"")</f>
        <v/>
      </c>
      <c r="C6019" s="9">
        <f t="shared" si="93"/>
        <v>0</v>
      </c>
    </row>
    <row r="6020" spans="1:3" x14ac:dyDescent="0.2">
      <c r="A6020" s="10" t="str">
        <f>IF(6012&gt;$C$9008,"",INDEX($B$9:$B$9008,MATCH(6012,$C$9:$C$9008,0)))</f>
        <v/>
      </c>
      <c r="B6020" s="9" t="str">
        <f>IFERROR(INDEX(Input!$L$20:$T$1019,INT((ROW()-9)/9)+1,MOD(ROW()-9,9)+1),"")</f>
        <v/>
      </c>
      <c r="C6020" s="9">
        <f t="shared" si="93"/>
        <v>0</v>
      </c>
    </row>
    <row r="6021" spans="1:3" x14ac:dyDescent="0.2">
      <c r="A6021" s="10" t="str">
        <f>IF(6013&gt;$C$9008,"",INDEX($B$9:$B$9008,MATCH(6013,$C$9:$C$9008,0)))</f>
        <v/>
      </c>
      <c r="B6021" s="9" t="str">
        <f>IFERROR(INDEX(Input!$L$20:$T$1019,INT((ROW()-9)/9)+1,MOD(ROW()-9,9)+1),"")</f>
        <v/>
      </c>
      <c r="C6021" s="9">
        <f t="shared" si="93"/>
        <v>0</v>
      </c>
    </row>
    <row r="6022" spans="1:3" x14ac:dyDescent="0.2">
      <c r="A6022" s="10" t="str">
        <f>IF(6014&gt;$C$9008,"",INDEX($B$9:$B$9008,MATCH(6014,$C$9:$C$9008,0)))</f>
        <v/>
      </c>
      <c r="B6022" s="9" t="str">
        <f>IFERROR(INDEX(Input!$L$20:$T$1019,INT((ROW()-9)/9)+1,MOD(ROW()-9,9)+1),"")</f>
        <v/>
      </c>
      <c r="C6022" s="9">
        <f t="shared" si="93"/>
        <v>0</v>
      </c>
    </row>
    <row r="6023" spans="1:3" x14ac:dyDescent="0.2">
      <c r="A6023" s="10" t="str">
        <f>IF(6015&gt;$C$9008,"",INDEX($B$9:$B$9008,MATCH(6015,$C$9:$C$9008,0)))</f>
        <v/>
      </c>
      <c r="B6023" s="9" t="str">
        <f>IFERROR(INDEX(Input!$L$20:$T$1019,INT((ROW()-9)/9)+1,MOD(ROW()-9,9)+1),"")</f>
        <v/>
      </c>
      <c r="C6023" s="9">
        <f t="shared" si="93"/>
        <v>0</v>
      </c>
    </row>
    <row r="6024" spans="1:3" x14ac:dyDescent="0.2">
      <c r="A6024" s="10" t="str">
        <f>IF(6016&gt;$C$9008,"",INDEX($B$9:$B$9008,MATCH(6016,$C$9:$C$9008,0)))</f>
        <v/>
      </c>
      <c r="B6024" s="9" t="str">
        <f>IFERROR(INDEX(Input!$L$20:$T$1019,INT((ROW()-9)/9)+1,MOD(ROW()-9,9)+1),"")</f>
        <v/>
      </c>
      <c r="C6024" s="9">
        <f t="shared" si="93"/>
        <v>0</v>
      </c>
    </row>
    <row r="6025" spans="1:3" x14ac:dyDescent="0.2">
      <c r="A6025" s="10" t="str">
        <f>IF(6017&gt;$C$9008,"",INDEX($B$9:$B$9008,MATCH(6017,$C$9:$C$9008,0)))</f>
        <v/>
      </c>
      <c r="B6025" s="9" t="str">
        <f>IFERROR(INDEX(Input!$L$20:$T$1019,INT((ROW()-9)/9)+1,MOD(ROW()-9,9)+1),"")</f>
        <v/>
      </c>
      <c r="C6025" s="9">
        <f t="shared" ref="C6025:C6088" si="94">$C6024+IF($B6025&lt;&gt;"",1,0)</f>
        <v>0</v>
      </c>
    </row>
    <row r="6026" spans="1:3" x14ac:dyDescent="0.2">
      <c r="A6026" s="10" t="str">
        <f>IF(6018&gt;$C$9008,"",INDEX($B$9:$B$9008,MATCH(6018,$C$9:$C$9008,0)))</f>
        <v/>
      </c>
      <c r="B6026" s="9" t="str">
        <f>IFERROR(INDEX(Input!$L$20:$T$1019,INT((ROW()-9)/9)+1,MOD(ROW()-9,9)+1),"")</f>
        <v/>
      </c>
      <c r="C6026" s="9">
        <f t="shared" si="94"/>
        <v>0</v>
      </c>
    </row>
    <row r="6027" spans="1:3" x14ac:dyDescent="0.2">
      <c r="A6027" s="10" t="str">
        <f>IF(6019&gt;$C$9008,"",INDEX($B$9:$B$9008,MATCH(6019,$C$9:$C$9008,0)))</f>
        <v/>
      </c>
      <c r="B6027" s="9" t="str">
        <f>IFERROR(INDEX(Input!$L$20:$T$1019,INT((ROW()-9)/9)+1,MOD(ROW()-9,9)+1),"")</f>
        <v/>
      </c>
      <c r="C6027" s="9">
        <f t="shared" si="94"/>
        <v>0</v>
      </c>
    </row>
    <row r="6028" spans="1:3" x14ac:dyDescent="0.2">
      <c r="A6028" s="10" t="str">
        <f>IF(6020&gt;$C$9008,"",INDEX($B$9:$B$9008,MATCH(6020,$C$9:$C$9008,0)))</f>
        <v/>
      </c>
      <c r="B6028" s="9" t="str">
        <f>IFERROR(INDEX(Input!$L$20:$T$1019,INT((ROW()-9)/9)+1,MOD(ROW()-9,9)+1),"")</f>
        <v/>
      </c>
      <c r="C6028" s="9">
        <f t="shared" si="94"/>
        <v>0</v>
      </c>
    </row>
    <row r="6029" spans="1:3" x14ac:dyDescent="0.2">
      <c r="A6029" s="10" t="str">
        <f>IF(6021&gt;$C$9008,"",INDEX($B$9:$B$9008,MATCH(6021,$C$9:$C$9008,0)))</f>
        <v/>
      </c>
      <c r="B6029" s="9" t="str">
        <f>IFERROR(INDEX(Input!$L$20:$T$1019,INT((ROW()-9)/9)+1,MOD(ROW()-9,9)+1),"")</f>
        <v/>
      </c>
      <c r="C6029" s="9">
        <f t="shared" si="94"/>
        <v>0</v>
      </c>
    </row>
    <row r="6030" spans="1:3" x14ac:dyDescent="0.2">
      <c r="A6030" s="10" t="str">
        <f>IF(6022&gt;$C$9008,"",INDEX($B$9:$B$9008,MATCH(6022,$C$9:$C$9008,0)))</f>
        <v/>
      </c>
      <c r="B6030" s="9" t="str">
        <f>IFERROR(INDEX(Input!$L$20:$T$1019,INT((ROW()-9)/9)+1,MOD(ROW()-9,9)+1),"")</f>
        <v/>
      </c>
      <c r="C6030" s="9">
        <f t="shared" si="94"/>
        <v>0</v>
      </c>
    </row>
    <row r="6031" spans="1:3" x14ac:dyDescent="0.2">
      <c r="A6031" s="10" t="str">
        <f>IF(6023&gt;$C$9008,"",INDEX($B$9:$B$9008,MATCH(6023,$C$9:$C$9008,0)))</f>
        <v/>
      </c>
      <c r="B6031" s="9" t="str">
        <f>IFERROR(INDEX(Input!$L$20:$T$1019,INT((ROW()-9)/9)+1,MOD(ROW()-9,9)+1),"")</f>
        <v/>
      </c>
      <c r="C6031" s="9">
        <f t="shared" si="94"/>
        <v>0</v>
      </c>
    </row>
    <row r="6032" spans="1:3" x14ac:dyDescent="0.2">
      <c r="A6032" s="10" t="str">
        <f>IF(6024&gt;$C$9008,"",INDEX($B$9:$B$9008,MATCH(6024,$C$9:$C$9008,0)))</f>
        <v/>
      </c>
      <c r="B6032" s="9" t="str">
        <f>IFERROR(INDEX(Input!$L$20:$T$1019,INT((ROW()-9)/9)+1,MOD(ROW()-9,9)+1),"")</f>
        <v/>
      </c>
      <c r="C6032" s="9">
        <f t="shared" si="94"/>
        <v>0</v>
      </c>
    </row>
    <row r="6033" spans="1:3" x14ac:dyDescent="0.2">
      <c r="A6033" s="10" t="str">
        <f>IF(6025&gt;$C$9008,"",INDEX($B$9:$B$9008,MATCH(6025,$C$9:$C$9008,0)))</f>
        <v/>
      </c>
      <c r="B6033" s="9" t="str">
        <f>IFERROR(INDEX(Input!$L$20:$T$1019,INT((ROW()-9)/9)+1,MOD(ROW()-9,9)+1),"")</f>
        <v/>
      </c>
      <c r="C6033" s="9">
        <f t="shared" si="94"/>
        <v>0</v>
      </c>
    </row>
    <row r="6034" spans="1:3" x14ac:dyDescent="0.2">
      <c r="A6034" s="10" t="str">
        <f>IF(6026&gt;$C$9008,"",INDEX($B$9:$B$9008,MATCH(6026,$C$9:$C$9008,0)))</f>
        <v/>
      </c>
      <c r="B6034" s="9" t="str">
        <f>IFERROR(INDEX(Input!$L$20:$T$1019,INT((ROW()-9)/9)+1,MOD(ROW()-9,9)+1),"")</f>
        <v/>
      </c>
      <c r="C6034" s="9">
        <f t="shared" si="94"/>
        <v>0</v>
      </c>
    </row>
    <row r="6035" spans="1:3" x14ac:dyDescent="0.2">
      <c r="A6035" s="10" t="str">
        <f>IF(6027&gt;$C$9008,"",INDEX($B$9:$B$9008,MATCH(6027,$C$9:$C$9008,0)))</f>
        <v/>
      </c>
      <c r="B6035" s="9" t="str">
        <f>IFERROR(INDEX(Input!$L$20:$T$1019,INT((ROW()-9)/9)+1,MOD(ROW()-9,9)+1),"")</f>
        <v/>
      </c>
      <c r="C6035" s="9">
        <f t="shared" si="94"/>
        <v>0</v>
      </c>
    </row>
    <row r="6036" spans="1:3" x14ac:dyDescent="0.2">
      <c r="A6036" s="10" t="str">
        <f>IF(6028&gt;$C$9008,"",INDEX($B$9:$B$9008,MATCH(6028,$C$9:$C$9008,0)))</f>
        <v/>
      </c>
      <c r="B6036" s="9" t="str">
        <f>IFERROR(INDEX(Input!$L$20:$T$1019,INT((ROW()-9)/9)+1,MOD(ROW()-9,9)+1),"")</f>
        <v/>
      </c>
      <c r="C6036" s="9">
        <f t="shared" si="94"/>
        <v>0</v>
      </c>
    </row>
    <row r="6037" spans="1:3" x14ac:dyDescent="0.2">
      <c r="A6037" s="10" t="str">
        <f>IF(6029&gt;$C$9008,"",INDEX($B$9:$B$9008,MATCH(6029,$C$9:$C$9008,0)))</f>
        <v/>
      </c>
      <c r="B6037" s="9" t="str">
        <f>IFERROR(INDEX(Input!$L$20:$T$1019,INT((ROW()-9)/9)+1,MOD(ROW()-9,9)+1),"")</f>
        <v/>
      </c>
      <c r="C6037" s="9">
        <f t="shared" si="94"/>
        <v>0</v>
      </c>
    </row>
    <row r="6038" spans="1:3" x14ac:dyDescent="0.2">
      <c r="A6038" s="10" t="str">
        <f>IF(6030&gt;$C$9008,"",INDEX($B$9:$B$9008,MATCH(6030,$C$9:$C$9008,0)))</f>
        <v/>
      </c>
      <c r="B6038" s="9" t="str">
        <f>IFERROR(INDEX(Input!$L$20:$T$1019,INT((ROW()-9)/9)+1,MOD(ROW()-9,9)+1),"")</f>
        <v/>
      </c>
      <c r="C6038" s="9">
        <f t="shared" si="94"/>
        <v>0</v>
      </c>
    </row>
    <row r="6039" spans="1:3" x14ac:dyDescent="0.2">
      <c r="A6039" s="10" t="str">
        <f>IF(6031&gt;$C$9008,"",INDEX($B$9:$B$9008,MATCH(6031,$C$9:$C$9008,0)))</f>
        <v/>
      </c>
      <c r="B6039" s="9" t="str">
        <f>IFERROR(INDEX(Input!$L$20:$T$1019,INT((ROW()-9)/9)+1,MOD(ROW()-9,9)+1),"")</f>
        <v/>
      </c>
      <c r="C6039" s="9">
        <f t="shared" si="94"/>
        <v>0</v>
      </c>
    </row>
    <row r="6040" spans="1:3" x14ac:dyDescent="0.2">
      <c r="A6040" s="10" t="str">
        <f>IF(6032&gt;$C$9008,"",INDEX($B$9:$B$9008,MATCH(6032,$C$9:$C$9008,0)))</f>
        <v/>
      </c>
      <c r="B6040" s="9" t="str">
        <f>IFERROR(INDEX(Input!$L$20:$T$1019,INT((ROW()-9)/9)+1,MOD(ROW()-9,9)+1),"")</f>
        <v/>
      </c>
      <c r="C6040" s="9">
        <f t="shared" si="94"/>
        <v>0</v>
      </c>
    </row>
    <row r="6041" spans="1:3" x14ac:dyDescent="0.2">
      <c r="A6041" s="10" t="str">
        <f>IF(6033&gt;$C$9008,"",INDEX($B$9:$B$9008,MATCH(6033,$C$9:$C$9008,0)))</f>
        <v/>
      </c>
      <c r="B6041" s="9" t="str">
        <f>IFERROR(INDEX(Input!$L$20:$T$1019,INT((ROW()-9)/9)+1,MOD(ROW()-9,9)+1),"")</f>
        <v/>
      </c>
      <c r="C6041" s="9">
        <f t="shared" si="94"/>
        <v>0</v>
      </c>
    </row>
    <row r="6042" spans="1:3" x14ac:dyDescent="0.2">
      <c r="A6042" s="10" t="str">
        <f>IF(6034&gt;$C$9008,"",INDEX($B$9:$B$9008,MATCH(6034,$C$9:$C$9008,0)))</f>
        <v/>
      </c>
      <c r="B6042" s="9" t="str">
        <f>IFERROR(INDEX(Input!$L$20:$T$1019,INT((ROW()-9)/9)+1,MOD(ROW()-9,9)+1),"")</f>
        <v/>
      </c>
      <c r="C6042" s="9">
        <f t="shared" si="94"/>
        <v>0</v>
      </c>
    </row>
    <row r="6043" spans="1:3" x14ac:dyDescent="0.2">
      <c r="A6043" s="10" t="str">
        <f>IF(6035&gt;$C$9008,"",INDEX($B$9:$B$9008,MATCH(6035,$C$9:$C$9008,0)))</f>
        <v/>
      </c>
      <c r="B6043" s="9" t="str">
        <f>IFERROR(INDEX(Input!$L$20:$T$1019,INT((ROW()-9)/9)+1,MOD(ROW()-9,9)+1),"")</f>
        <v/>
      </c>
      <c r="C6043" s="9">
        <f t="shared" si="94"/>
        <v>0</v>
      </c>
    </row>
    <row r="6044" spans="1:3" x14ac:dyDescent="0.2">
      <c r="A6044" s="10" t="str">
        <f>IF(6036&gt;$C$9008,"",INDEX($B$9:$B$9008,MATCH(6036,$C$9:$C$9008,0)))</f>
        <v/>
      </c>
      <c r="B6044" s="9" t="str">
        <f>IFERROR(INDEX(Input!$L$20:$T$1019,INT((ROW()-9)/9)+1,MOD(ROW()-9,9)+1),"")</f>
        <v/>
      </c>
      <c r="C6044" s="9">
        <f t="shared" si="94"/>
        <v>0</v>
      </c>
    </row>
    <row r="6045" spans="1:3" x14ac:dyDescent="0.2">
      <c r="A6045" s="10" t="str">
        <f>IF(6037&gt;$C$9008,"",INDEX($B$9:$B$9008,MATCH(6037,$C$9:$C$9008,0)))</f>
        <v/>
      </c>
      <c r="B6045" s="9" t="str">
        <f>IFERROR(INDEX(Input!$L$20:$T$1019,INT((ROW()-9)/9)+1,MOD(ROW()-9,9)+1),"")</f>
        <v/>
      </c>
      <c r="C6045" s="9">
        <f t="shared" si="94"/>
        <v>0</v>
      </c>
    </row>
    <row r="6046" spans="1:3" x14ac:dyDescent="0.2">
      <c r="A6046" s="10" t="str">
        <f>IF(6038&gt;$C$9008,"",INDEX($B$9:$B$9008,MATCH(6038,$C$9:$C$9008,0)))</f>
        <v/>
      </c>
      <c r="B6046" s="9" t="str">
        <f>IFERROR(INDEX(Input!$L$20:$T$1019,INT((ROW()-9)/9)+1,MOD(ROW()-9,9)+1),"")</f>
        <v/>
      </c>
      <c r="C6046" s="9">
        <f t="shared" si="94"/>
        <v>0</v>
      </c>
    </row>
    <row r="6047" spans="1:3" x14ac:dyDescent="0.2">
      <c r="A6047" s="10" t="str">
        <f>IF(6039&gt;$C$9008,"",INDEX($B$9:$B$9008,MATCH(6039,$C$9:$C$9008,0)))</f>
        <v/>
      </c>
      <c r="B6047" s="9" t="str">
        <f>IFERROR(INDEX(Input!$L$20:$T$1019,INT((ROW()-9)/9)+1,MOD(ROW()-9,9)+1),"")</f>
        <v/>
      </c>
      <c r="C6047" s="9">
        <f t="shared" si="94"/>
        <v>0</v>
      </c>
    </row>
    <row r="6048" spans="1:3" x14ac:dyDescent="0.2">
      <c r="A6048" s="10" t="str">
        <f>IF(6040&gt;$C$9008,"",INDEX($B$9:$B$9008,MATCH(6040,$C$9:$C$9008,0)))</f>
        <v/>
      </c>
      <c r="B6048" s="9" t="str">
        <f>IFERROR(INDEX(Input!$L$20:$T$1019,INT((ROW()-9)/9)+1,MOD(ROW()-9,9)+1),"")</f>
        <v/>
      </c>
      <c r="C6048" s="9">
        <f t="shared" si="94"/>
        <v>0</v>
      </c>
    </row>
    <row r="6049" spans="1:3" x14ac:dyDescent="0.2">
      <c r="A6049" s="10" t="str">
        <f>IF(6041&gt;$C$9008,"",INDEX($B$9:$B$9008,MATCH(6041,$C$9:$C$9008,0)))</f>
        <v/>
      </c>
      <c r="B6049" s="9" t="str">
        <f>IFERROR(INDEX(Input!$L$20:$T$1019,INT((ROW()-9)/9)+1,MOD(ROW()-9,9)+1),"")</f>
        <v/>
      </c>
      <c r="C6049" s="9">
        <f t="shared" si="94"/>
        <v>0</v>
      </c>
    </row>
    <row r="6050" spans="1:3" x14ac:dyDescent="0.2">
      <c r="A6050" s="10" t="str">
        <f>IF(6042&gt;$C$9008,"",INDEX($B$9:$B$9008,MATCH(6042,$C$9:$C$9008,0)))</f>
        <v/>
      </c>
      <c r="B6050" s="9" t="str">
        <f>IFERROR(INDEX(Input!$L$20:$T$1019,INT((ROW()-9)/9)+1,MOD(ROW()-9,9)+1),"")</f>
        <v/>
      </c>
      <c r="C6050" s="9">
        <f t="shared" si="94"/>
        <v>0</v>
      </c>
    </row>
    <row r="6051" spans="1:3" x14ac:dyDescent="0.2">
      <c r="A6051" s="10" t="str">
        <f>IF(6043&gt;$C$9008,"",INDEX($B$9:$B$9008,MATCH(6043,$C$9:$C$9008,0)))</f>
        <v/>
      </c>
      <c r="B6051" s="9" t="str">
        <f>IFERROR(INDEX(Input!$L$20:$T$1019,INT((ROW()-9)/9)+1,MOD(ROW()-9,9)+1),"")</f>
        <v/>
      </c>
      <c r="C6051" s="9">
        <f t="shared" si="94"/>
        <v>0</v>
      </c>
    </row>
    <row r="6052" spans="1:3" x14ac:dyDescent="0.2">
      <c r="A6052" s="10" t="str">
        <f>IF(6044&gt;$C$9008,"",INDEX($B$9:$B$9008,MATCH(6044,$C$9:$C$9008,0)))</f>
        <v/>
      </c>
      <c r="B6052" s="9" t="str">
        <f>IFERROR(INDEX(Input!$L$20:$T$1019,INT((ROW()-9)/9)+1,MOD(ROW()-9,9)+1),"")</f>
        <v/>
      </c>
      <c r="C6052" s="9">
        <f t="shared" si="94"/>
        <v>0</v>
      </c>
    </row>
    <row r="6053" spans="1:3" x14ac:dyDescent="0.2">
      <c r="A6053" s="10" t="str">
        <f>IF(6045&gt;$C$9008,"",INDEX($B$9:$B$9008,MATCH(6045,$C$9:$C$9008,0)))</f>
        <v/>
      </c>
      <c r="B6053" s="9" t="str">
        <f>IFERROR(INDEX(Input!$L$20:$T$1019,INT((ROW()-9)/9)+1,MOD(ROW()-9,9)+1),"")</f>
        <v/>
      </c>
      <c r="C6053" s="9">
        <f t="shared" si="94"/>
        <v>0</v>
      </c>
    </row>
    <row r="6054" spans="1:3" x14ac:dyDescent="0.2">
      <c r="A6054" s="10" t="str">
        <f>IF(6046&gt;$C$9008,"",INDEX($B$9:$B$9008,MATCH(6046,$C$9:$C$9008,0)))</f>
        <v/>
      </c>
      <c r="B6054" s="9" t="str">
        <f>IFERROR(INDEX(Input!$L$20:$T$1019,INT((ROW()-9)/9)+1,MOD(ROW()-9,9)+1),"")</f>
        <v/>
      </c>
      <c r="C6054" s="9">
        <f t="shared" si="94"/>
        <v>0</v>
      </c>
    </row>
    <row r="6055" spans="1:3" x14ac:dyDescent="0.2">
      <c r="A6055" s="10" t="str">
        <f>IF(6047&gt;$C$9008,"",INDEX($B$9:$B$9008,MATCH(6047,$C$9:$C$9008,0)))</f>
        <v/>
      </c>
      <c r="B6055" s="9" t="str">
        <f>IFERROR(INDEX(Input!$L$20:$T$1019,INT((ROW()-9)/9)+1,MOD(ROW()-9,9)+1),"")</f>
        <v/>
      </c>
      <c r="C6055" s="9">
        <f t="shared" si="94"/>
        <v>0</v>
      </c>
    </row>
    <row r="6056" spans="1:3" x14ac:dyDescent="0.2">
      <c r="A6056" s="10" t="str">
        <f>IF(6048&gt;$C$9008,"",INDEX($B$9:$B$9008,MATCH(6048,$C$9:$C$9008,0)))</f>
        <v/>
      </c>
      <c r="B6056" s="9" t="str">
        <f>IFERROR(INDEX(Input!$L$20:$T$1019,INT((ROW()-9)/9)+1,MOD(ROW()-9,9)+1),"")</f>
        <v/>
      </c>
      <c r="C6056" s="9">
        <f t="shared" si="94"/>
        <v>0</v>
      </c>
    </row>
    <row r="6057" spans="1:3" x14ac:dyDescent="0.2">
      <c r="A6057" s="10" t="str">
        <f>IF(6049&gt;$C$9008,"",INDEX($B$9:$B$9008,MATCH(6049,$C$9:$C$9008,0)))</f>
        <v/>
      </c>
      <c r="B6057" s="9" t="str">
        <f>IFERROR(INDEX(Input!$L$20:$T$1019,INT((ROW()-9)/9)+1,MOD(ROW()-9,9)+1),"")</f>
        <v/>
      </c>
      <c r="C6057" s="9">
        <f t="shared" si="94"/>
        <v>0</v>
      </c>
    </row>
    <row r="6058" spans="1:3" x14ac:dyDescent="0.2">
      <c r="A6058" s="10" t="str">
        <f>IF(6050&gt;$C$9008,"",INDEX($B$9:$B$9008,MATCH(6050,$C$9:$C$9008,0)))</f>
        <v/>
      </c>
      <c r="B6058" s="9" t="str">
        <f>IFERROR(INDEX(Input!$L$20:$T$1019,INT((ROW()-9)/9)+1,MOD(ROW()-9,9)+1),"")</f>
        <v/>
      </c>
      <c r="C6058" s="9">
        <f t="shared" si="94"/>
        <v>0</v>
      </c>
    </row>
    <row r="6059" spans="1:3" x14ac:dyDescent="0.2">
      <c r="A6059" s="10" t="str">
        <f>IF(6051&gt;$C$9008,"",INDEX($B$9:$B$9008,MATCH(6051,$C$9:$C$9008,0)))</f>
        <v/>
      </c>
      <c r="B6059" s="9" t="str">
        <f>IFERROR(INDEX(Input!$L$20:$T$1019,INT((ROW()-9)/9)+1,MOD(ROW()-9,9)+1),"")</f>
        <v/>
      </c>
      <c r="C6059" s="9">
        <f t="shared" si="94"/>
        <v>0</v>
      </c>
    </row>
    <row r="6060" spans="1:3" x14ac:dyDescent="0.2">
      <c r="A6060" s="10" t="str">
        <f>IF(6052&gt;$C$9008,"",INDEX($B$9:$B$9008,MATCH(6052,$C$9:$C$9008,0)))</f>
        <v/>
      </c>
      <c r="B6060" s="9" t="str">
        <f>IFERROR(INDEX(Input!$L$20:$T$1019,INT((ROW()-9)/9)+1,MOD(ROW()-9,9)+1),"")</f>
        <v/>
      </c>
      <c r="C6060" s="9">
        <f t="shared" si="94"/>
        <v>0</v>
      </c>
    </row>
    <row r="6061" spans="1:3" x14ac:dyDescent="0.2">
      <c r="A6061" s="10" t="str">
        <f>IF(6053&gt;$C$9008,"",INDEX($B$9:$B$9008,MATCH(6053,$C$9:$C$9008,0)))</f>
        <v/>
      </c>
      <c r="B6061" s="9" t="str">
        <f>IFERROR(INDEX(Input!$L$20:$T$1019,INT((ROW()-9)/9)+1,MOD(ROW()-9,9)+1),"")</f>
        <v/>
      </c>
      <c r="C6061" s="9">
        <f t="shared" si="94"/>
        <v>0</v>
      </c>
    </row>
    <row r="6062" spans="1:3" x14ac:dyDescent="0.2">
      <c r="A6062" s="10" t="str">
        <f>IF(6054&gt;$C$9008,"",INDEX($B$9:$B$9008,MATCH(6054,$C$9:$C$9008,0)))</f>
        <v/>
      </c>
      <c r="B6062" s="9" t="str">
        <f>IFERROR(INDEX(Input!$L$20:$T$1019,INT((ROW()-9)/9)+1,MOD(ROW()-9,9)+1),"")</f>
        <v/>
      </c>
      <c r="C6062" s="9">
        <f t="shared" si="94"/>
        <v>0</v>
      </c>
    </row>
    <row r="6063" spans="1:3" x14ac:dyDescent="0.2">
      <c r="A6063" s="10" t="str">
        <f>IF(6055&gt;$C$9008,"",INDEX($B$9:$B$9008,MATCH(6055,$C$9:$C$9008,0)))</f>
        <v/>
      </c>
      <c r="B6063" s="9" t="str">
        <f>IFERROR(INDEX(Input!$L$20:$T$1019,INT((ROW()-9)/9)+1,MOD(ROW()-9,9)+1),"")</f>
        <v/>
      </c>
      <c r="C6063" s="9">
        <f t="shared" si="94"/>
        <v>0</v>
      </c>
    </row>
    <row r="6064" spans="1:3" x14ac:dyDescent="0.2">
      <c r="A6064" s="10" t="str">
        <f>IF(6056&gt;$C$9008,"",INDEX($B$9:$B$9008,MATCH(6056,$C$9:$C$9008,0)))</f>
        <v/>
      </c>
      <c r="B6064" s="9" t="str">
        <f>IFERROR(INDEX(Input!$L$20:$T$1019,INT((ROW()-9)/9)+1,MOD(ROW()-9,9)+1),"")</f>
        <v/>
      </c>
      <c r="C6064" s="9">
        <f t="shared" si="94"/>
        <v>0</v>
      </c>
    </row>
    <row r="6065" spans="1:3" x14ac:dyDescent="0.2">
      <c r="A6065" s="10" t="str">
        <f>IF(6057&gt;$C$9008,"",INDEX($B$9:$B$9008,MATCH(6057,$C$9:$C$9008,0)))</f>
        <v/>
      </c>
      <c r="B6065" s="9" t="str">
        <f>IFERROR(INDEX(Input!$L$20:$T$1019,INT((ROW()-9)/9)+1,MOD(ROW()-9,9)+1),"")</f>
        <v/>
      </c>
      <c r="C6065" s="9">
        <f t="shared" si="94"/>
        <v>0</v>
      </c>
    </row>
    <row r="6066" spans="1:3" x14ac:dyDescent="0.2">
      <c r="A6066" s="10" t="str">
        <f>IF(6058&gt;$C$9008,"",INDEX($B$9:$B$9008,MATCH(6058,$C$9:$C$9008,0)))</f>
        <v/>
      </c>
      <c r="B6066" s="9" t="str">
        <f>IFERROR(INDEX(Input!$L$20:$T$1019,INT((ROW()-9)/9)+1,MOD(ROW()-9,9)+1),"")</f>
        <v/>
      </c>
      <c r="C6066" s="9">
        <f t="shared" si="94"/>
        <v>0</v>
      </c>
    </row>
    <row r="6067" spans="1:3" x14ac:dyDescent="0.2">
      <c r="A6067" s="10" t="str">
        <f>IF(6059&gt;$C$9008,"",INDEX($B$9:$B$9008,MATCH(6059,$C$9:$C$9008,0)))</f>
        <v/>
      </c>
      <c r="B6067" s="9" t="str">
        <f>IFERROR(INDEX(Input!$L$20:$T$1019,INT((ROW()-9)/9)+1,MOD(ROW()-9,9)+1),"")</f>
        <v/>
      </c>
      <c r="C6067" s="9">
        <f t="shared" si="94"/>
        <v>0</v>
      </c>
    </row>
    <row r="6068" spans="1:3" x14ac:dyDescent="0.2">
      <c r="A6068" s="10" t="str">
        <f>IF(6060&gt;$C$9008,"",INDEX($B$9:$B$9008,MATCH(6060,$C$9:$C$9008,0)))</f>
        <v/>
      </c>
      <c r="B6068" s="9" t="str">
        <f>IFERROR(INDEX(Input!$L$20:$T$1019,INT((ROW()-9)/9)+1,MOD(ROW()-9,9)+1),"")</f>
        <v/>
      </c>
      <c r="C6068" s="9">
        <f t="shared" si="94"/>
        <v>0</v>
      </c>
    </row>
    <row r="6069" spans="1:3" x14ac:dyDescent="0.2">
      <c r="A6069" s="10" t="str">
        <f>IF(6061&gt;$C$9008,"",INDEX($B$9:$B$9008,MATCH(6061,$C$9:$C$9008,0)))</f>
        <v/>
      </c>
      <c r="B6069" s="9" t="str">
        <f>IFERROR(INDEX(Input!$L$20:$T$1019,INT((ROW()-9)/9)+1,MOD(ROW()-9,9)+1),"")</f>
        <v/>
      </c>
      <c r="C6069" s="9">
        <f t="shared" si="94"/>
        <v>0</v>
      </c>
    </row>
    <row r="6070" spans="1:3" x14ac:dyDescent="0.2">
      <c r="A6070" s="10" t="str">
        <f>IF(6062&gt;$C$9008,"",INDEX($B$9:$B$9008,MATCH(6062,$C$9:$C$9008,0)))</f>
        <v/>
      </c>
      <c r="B6070" s="9" t="str">
        <f>IFERROR(INDEX(Input!$L$20:$T$1019,INT((ROW()-9)/9)+1,MOD(ROW()-9,9)+1),"")</f>
        <v/>
      </c>
      <c r="C6070" s="9">
        <f t="shared" si="94"/>
        <v>0</v>
      </c>
    </row>
    <row r="6071" spans="1:3" x14ac:dyDescent="0.2">
      <c r="A6071" s="10" t="str">
        <f>IF(6063&gt;$C$9008,"",INDEX($B$9:$B$9008,MATCH(6063,$C$9:$C$9008,0)))</f>
        <v/>
      </c>
      <c r="B6071" s="9" t="str">
        <f>IFERROR(INDEX(Input!$L$20:$T$1019,INT((ROW()-9)/9)+1,MOD(ROW()-9,9)+1),"")</f>
        <v/>
      </c>
      <c r="C6071" s="9">
        <f t="shared" si="94"/>
        <v>0</v>
      </c>
    </row>
    <row r="6072" spans="1:3" x14ac:dyDescent="0.2">
      <c r="A6072" s="10" t="str">
        <f>IF(6064&gt;$C$9008,"",INDEX($B$9:$B$9008,MATCH(6064,$C$9:$C$9008,0)))</f>
        <v/>
      </c>
      <c r="B6072" s="9" t="str">
        <f>IFERROR(INDEX(Input!$L$20:$T$1019,INT((ROW()-9)/9)+1,MOD(ROW()-9,9)+1),"")</f>
        <v/>
      </c>
      <c r="C6072" s="9">
        <f t="shared" si="94"/>
        <v>0</v>
      </c>
    </row>
    <row r="6073" spans="1:3" x14ac:dyDescent="0.2">
      <c r="A6073" s="10" t="str">
        <f>IF(6065&gt;$C$9008,"",INDEX($B$9:$B$9008,MATCH(6065,$C$9:$C$9008,0)))</f>
        <v/>
      </c>
      <c r="B6073" s="9" t="str">
        <f>IFERROR(INDEX(Input!$L$20:$T$1019,INT((ROW()-9)/9)+1,MOD(ROW()-9,9)+1),"")</f>
        <v/>
      </c>
      <c r="C6073" s="9">
        <f t="shared" si="94"/>
        <v>0</v>
      </c>
    </row>
    <row r="6074" spans="1:3" x14ac:dyDescent="0.2">
      <c r="A6074" s="10" t="str">
        <f>IF(6066&gt;$C$9008,"",INDEX($B$9:$B$9008,MATCH(6066,$C$9:$C$9008,0)))</f>
        <v/>
      </c>
      <c r="B6074" s="9" t="str">
        <f>IFERROR(INDEX(Input!$L$20:$T$1019,INT((ROW()-9)/9)+1,MOD(ROW()-9,9)+1),"")</f>
        <v/>
      </c>
      <c r="C6074" s="9">
        <f t="shared" si="94"/>
        <v>0</v>
      </c>
    </row>
    <row r="6075" spans="1:3" x14ac:dyDescent="0.2">
      <c r="A6075" s="10" t="str">
        <f>IF(6067&gt;$C$9008,"",INDEX($B$9:$B$9008,MATCH(6067,$C$9:$C$9008,0)))</f>
        <v/>
      </c>
      <c r="B6075" s="9" t="str">
        <f>IFERROR(INDEX(Input!$L$20:$T$1019,INT((ROW()-9)/9)+1,MOD(ROW()-9,9)+1),"")</f>
        <v/>
      </c>
      <c r="C6075" s="9">
        <f t="shared" si="94"/>
        <v>0</v>
      </c>
    </row>
    <row r="6076" spans="1:3" x14ac:dyDescent="0.2">
      <c r="A6076" s="10" t="str">
        <f>IF(6068&gt;$C$9008,"",INDEX($B$9:$B$9008,MATCH(6068,$C$9:$C$9008,0)))</f>
        <v/>
      </c>
      <c r="B6076" s="9" t="str">
        <f>IFERROR(INDEX(Input!$L$20:$T$1019,INT((ROW()-9)/9)+1,MOD(ROW()-9,9)+1),"")</f>
        <v/>
      </c>
      <c r="C6076" s="9">
        <f t="shared" si="94"/>
        <v>0</v>
      </c>
    </row>
    <row r="6077" spans="1:3" x14ac:dyDescent="0.2">
      <c r="A6077" s="10" t="str">
        <f>IF(6069&gt;$C$9008,"",INDEX($B$9:$B$9008,MATCH(6069,$C$9:$C$9008,0)))</f>
        <v/>
      </c>
      <c r="B6077" s="9" t="str">
        <f>IFERROR(INDEX(Input!$L$20:$T$1019,INT((ROW()-9)/9)+1,MOD(ROW()-9,9)+1),"")</f>
        <v/>
      </c>
      <c r="C6077" s="9">
        <f t="shared" si="94"/>
        <v>0</v>
      </c>
    </row>
    <row r="6078" spans="1:3" x14ac:dyDescent="0.2">
      <c r="A6078" s="10" t="str">
        <f>IF(6070&gt;$C$9008,"",INDEX($B$9:$B$9008,MATCH(6070,$C$9:$C$9008,0)))</f>
        <v/>
      </c>
      <c r="B6078" s="9" t="str">
        <f>IFERROR(INDEX(Input!$L$20:$T$1019,INT((ROW()-9)/9)+1,MOD(ROW()-9,9)+1),"")</f>
        <v/>
      </c>
      <c r="C6078" s="9">
        <f t="shared" si="94"/>
        <v>0</v>
      </c>
    </row>
    <row r="6079" spans="1:3" x14ac:dyDescent="0.2">
      <c r="A6079" s="10" t="str">
        <f>IF(6071&gt;$C$9008,"",INDEX($B$9:$B$9008,MATCH(6071,$C$9:$C$9008,0)))</f>
        <v/>
      </c>
      <c r="B6079" s="9" t="str">
        <f>IFERROR(INDEX(Input!$L$20:$T$1019,INT((ROW()-9)/9)+1,MOD(ROW()-9,9)+1),"")</f>
        <v/>
      </c>
      <c r="C6079" s="9">
        <f t="shared" si="94"/>
        <v>0</v>
      </c>
    </row>
    <row r="6080" spans="1:3" x14ac:dyDescent="0.2">
      <c r="A6080" s="10" t="str">
        <f>IF(6072&gt;$C$9008,"",INDEX($B$9:$B$9008,MATCH(6072,$C$9:$C$9008,0)))</f>
        <v/>
      </c>
      <c r="B6080" s="9" t="str">
        <f>IFERROR(INDEX(Input!$L$20:$T$1019,INT((ROW()-9)/9)+1,MOD(ROW()-9,9)+1),"")</f>
        <v/>
      </c>
      <c r="C6080" s="9">
        <f t="shared" si="94"/>
        <v>0</v>
      </c>
    </row>
    <row r="6081" spans="1:3" x14ac:dyDescent="0.2">
      <c r="A6081" s="10" t="str">
        <f>IF(6073&gt;$C$9008,"",INDEX($B$9:$B$9008,MATCH(6073,$C$9:$C$9008,0)))</f>
        <v/>
      </c>
      <c r="B6081" s="9" t="str">
        <f>IFERROR(INDEX(Input!$L$20:$T$1019,INT((ROW()-9)/9)+1,MOD(ROW()-9,9)+1),"")</f>
        <v/>
      </c>
      <c r="C6081" s="9">
        <f t="shared" si="94"/>
        <v>0</v>
      </c>
    </row>
    <row r="6082" spans="1:3" x14ac:dyDescent="0.2">
      <c r="A6082" s="10" t="str">
        <f>IF(6074&gt;$C$9008,"",INDEX($B$9:$B$9008,MATCH(6074,$C$9:$C$9008,0)))</f>
        <v/>
      </c>
      <c r="B6082" s="9" t="str">
        <f>IFERROR(INDEX(Input!$L$20:$T$1019,INT((ROW()-9)/9)+1,MOD(ROW()-9,9)+1),"")</f>
        <v/>
      </c>
      <c r="C6082" s="9">
        <f t="shared" si="94"/>
        <v>0</v>
      </c>
    </row>
    <row r="6083" spans="1:3" x14ac:dyDescent="0.2">
      <c r="A6083" s="10" t="str">
        <f>IF(6075&gt;$C$9008,"",INDEX($B$9:$B$9008,MATCH(6075,$C$9:$C$9008,0)))</f>
        <v/>
      </c>
      <c r="B6083" s="9" t="str">
        <f>IFERROR(INDEX(Input!$L$20:$T$1019,INT((ROW()-9)/9)+1,MOD(ROW()-9,9)+1),"")</f>
        <v/>
      </c>
      <c r="C6083" s="9">
        <f t="shared" si="94"/>
        <v>0</v>
      </c>
    </row>
    <row r="6084" spans="1:3" x14ac:dyDescent="0.2">
      <c r="A6084" s="10" t="str">
        <f>IF(6076&gt;$C$9008,"",INDEX($B$9:$B$9008,MATCH(6076,$C$9:$C$9008,0)))</f>
        <v/>
      </c>
      <c r="B6084" s="9" t="str">
        <f>IFERROR(INDEX(Input!$L$20:$T$1019,INT((ROW()-9)/9)+1,MOD(ROW()-9,9)+1),"")</f>
        <v/>
      </c>
      <c r="C6084" s="9">
        <f t="shared" si="94"/>
        <v>0</v>
      </c>
    </row>
    <row r="6085" spans="1:3" x14ac:dyDescent="0.2">
      <c r="A6085" s="10" t="str">
        <f>IF(6077&gt;$C$9008,"",INDEX($B$9:$B$9008,MATCH(6077,$C$9:$C$9008,0)))</f>
        <v/>
      </c>
      <c r="B6085" s="9" t="str">
        <f>IFERROR(INDEX(Input!$L$20:$T$1019,INT((ROW()-9)/9)+1,MOD(ROW()-9,9)+1),"")</f>
        <v/>
      </c>
      <c r="C6085" s="9">
        <f t="shared" si="94"/>
        <v>0</v>
      </c>
    </row>
    <row r="6086" spans="1:3" x14ac:dyDescent="0.2">
      <c r="A6086" s="10" t="str">
        <f>IF(6078&gt;$C$9008,"",INDEX($B$9:$B$9008,MATCH(6078,$C$9:$C$9008,0)))</f>
        <v/>
      </c>
      <c r="B6086" s="9" t="str">
        <f>IFERROR(INDEX(Input!$L$20:$T$1019,INT((ROW()-9)/9)+1,MOD(ROW()-9,9)+1),"")</f>
        <v/>
      </c>
      <c r="C6086" s="9">
        <f t="shared" si="94"/>
        <v>0</v>
      </c>
    </row>
    <row r="6087" spans="1:3" x14ac:dyDescent="0.2">
      <c r="A6087" s="10" t="str">
        <f>IF(6079&gt;$C$9008,"",INDEX($B$9:$B$9008,MATCH(6079,$C$9:$C$9008,0)))</f>
        <v/>
      </c>
      <c r="B6087" s="9" t="str">
        <f>IFERROR(INDEX(Input!$L$20:$T$1019,INT((ROW()-9)/9)+1,MOD(ROW()-9,9)+1),"")</f>
        <v/>
      </c>
      <c r="C6087" s="9">
        <f t="shared" si="94"/>
        <v>0</v>
      </c>
    </row>
    <row r="6088" spans="1:3" x14ac:dyDescent="0.2">
      <c r="A6088" s="10" t="str">
        <f>IF(6080&gt;$C$9008,"",INDEX($B$9:$B$9008,MATCH(6080,$C$9:$C$9008,0)))</f>
        <v/>
      </c>
      <c r="B6088" s="9" t="str">
        <f>IFERROR(INDEX(Input!$L$20:$T$1019,INT((ROW()-9)/9)+1,MOD(ROW()-9,9)+1),"")</f>
        <v/>
      </c>
      <c r="C6088" s="9">
        <f t="shared" si="94"/>
        <v>0</v>
      </c>
    </row>
    <row r="6089" spans="1:3" x14ac:dyDescent="0.2">
      <c r="A6089" s="10" t="str">
        <f>IF(6081&gt;$C$9008,"",INDEX($B$9:$B$9008,MATCH(6081,$C$9:$C$9008,0)))</f>
        <v/>
      </c>
      <c r="B6089" s="9" t="str">
        <f>IFERROR(INDEX(Input!$L$20:$T$1019,INT((ROW()-9)/9)+1,MOD(ROW()-9,9)+1),"")</f>
        <v/>
      </c>
      <c r="C6089" s="9">
        <f t="shared" ref="C6089:C6152" si="95">$C6088+IF($B6089&lt;&gt;"",1,0)</f>
        <v>0</v>
      </c>
    </row>
    <row r="6090" spans="1:3" x14ac:dyDescent="0.2">
      <c r="A6090" s="10" t="str">
        <f>IF(6082&gt;$C$9008,"",INDEX($B$9:$B$9008,MATCH(6082,$C$9:$C$9008,0)))</f>
        <v/>
      </c>
      <c r="B6090" s="9" t="str">
        <f>IFERROR(INDEX(Input!$L$20:$T$1019,INT((ROW()-9)/9)+1,MOD(ROW()-9,9)+1),"")</f>
        <v/>
      </c>
      <c r="C6090" s="9">
        <f t="shared" si="95"/>
        <v>0</v>
      </c>
    </row>
    <row r="6091" spans="1:3" x14ac:dyDescent="0.2">
      <c r="A6091" s="10" t="str">
        <f>IF(6083&gt;$C$9008,"",INDEX($B$9:$B$9008,MATCH(6083,$C$9:$C$9008,0)))</f>
        <v/>
      </c>
      <c r="B6091" s="9" t="str">
        <f>IFERROR(INDEX(Input!$L$20:$T$1019,INT((ROW()-9)/9)+1,MOD(ROW()-9,9)+1),"")</f>
        <v/>
      </c>
      <c r="C6091" s="9">
        <f t="shared" si="95"/>
        <v>0</v>
      </c>
    </row>
    <row r="6092" spans="1:3" x14ac:dyDescent="0.2">
      <c r="A6092" s="10" t="str">
        <f>IF(6084&gt;$C$9008,"",INDEX($B$9:$B$9008,MATCH(6084,$C$9:$C$9008,0)))</f>
        <v/>
      </c>
      <c r="B6092" s="9" t="str">
        <f>IFERROR(INDEX(Input!$L$20:$T$1019,INT((ROW()-9)/9)+1,MOD(ROW()-9,9)+1),"")</f>
        <v/>
      </c>
      <c r="C6092" s="9">
        <f t="shared" si="95"/>
        <v>0</v>
      </c>
    </row>
    <row r="6093" spans="1:3" x14ac:dyDescent="0.2">
      <c r="A6093" s="10" t="str">
        <f>IF(6085&gt;$C$9008,"",INDEX($B$9:$B$9008,MATCH(6085,$C$9:$C$9008,0)))</f>
        <v/>
      </c>
      <c r="B6093" s="9" t="str">
        <f>IFERROR(INDEX(Input!$L$20:$T$1019,INT((ROW()-9)/9)+1,MOD(ROW()-9,9)+1),"")</f>
        <v/>
      </c>
      <c r="C6093" s="9">
        <f t="shared" si="95"/>
        <v>0</v>
      </c>
    </row>
    <row r="6094" spans="1:3" x14ac:dyDescent="0.2">
      <c r="A6094" s="10" t="str">
        <f>IF(6086&gt;$C$9008,"",INDEX($B$9:$B$9008,MATCH(6086,$C$9:$C$9008,0)))</f>
        <v/>
      </c>
      <c r="B6094" s="9" t="str">
        <f>IFERROR(INDEX(Input!$L$20:$T$1019,INT((ROW()-9)/9)+1,MOD(ROW()-9,9)+1),"")</f>
        <v/>
      </c>
      <c r="C6094" s="9">
        <f t="shared" si="95"/>
        <v>0</v>
      </c>
    </row>
    <row r="6095" spans="1:3" x14ac:dyDescent="0.2">
      <c r="A6095" s="10" t="str">
        <f>IF(6087&gt;$C$9008,"",INDEX($B$9:$B$9008,MATCH(6087,$C$9:$C$9008,0)))</f>
        <v/>
      </c>
      <c r="B6095" s="9" t="str">
        <f>IFERROR(INDEX(Input!$L$20:$T$1019,INT((ROW()-9)/9)+1,MOD(ROW()-9,9)+1),"")</f>
        <v/>
      </c>
      <c r="C6095" s="9">
        <f t="shared" si="95"/>
        <v>0</v>
      </c>
    </row>
    <row r="6096" spans="1:3" x14ac:dyDescent="0.2">
      <c r="A6096" s="10" t="str">
        <f>IF(6088&gt;$C$9008,"",INDEX($B$9:$B$9008,MATCH(6088,$C$9:$C$9008,0)))</f>
        <v/>
      </c>
      <c r="B6096" s="9" t="str">
        <f>IFERROR(INDEX(Input!$L$20:$T$1019,INT((ROW()-9)/9)+1,MOD(ROW()-9,9)+1),"")</f>
        <v/>
      </c>
      <c r="C6096" s="9">
        <f t="shared" si="95"/>
        <v>0</v>
      </c>
    </row>
    <row r="6097" spans="1:3" x14ac:dyDescent="0.2">
      <c r="A6097" s="10" t="str">
        <f>IF(6089&gt;$C$9008,"",INDEX($B$9:$B$9008,MATCH(6089,$C$9:$C$9008,0)))</f>
        <v/>
      </c>
      <c r="B6097" s="9" t="str">
        <f>IFERROR(INDEX(Input!$L$20:$T$1019,INT((ROW()-9)/9)+1,MOD(ROW()-9,9)+1),"")</f>
        <v/>
      </c>
      <c r="C6097" s="9">
        <f t="shared" si="95"/>
        <v>0</v>
      </c>
    </row>
    <row r="6098" spans="1:3" x14ac:dyDescent="0.2">
      <c r="A6098" s="10" t="str">
        <f>IF(6090&gt;$C$9008,"",INDEX($B$9:$B$9008,MATCH(6090,$C$9:$C$9008,0)))</f>
        <v/>
      </c>
      <c r="B6098" s="9" t="str">
        <f>IFERROR(INDEX(Input!$L$20:$T$1019,INT((ROW()-9)/9)+1,MOD(ROW()-9,9)+1),"")</f>
        <v/>
      </c>
      <c r="C6098" s="9">
        <f t="shared" si="95"/>
        <v>0</v>
      </c>
    </row>
    <row r="6099" spans="1:3" x14ac:dyDescent="0.2">
      <c r="A6099" s="10" t="str">
        <f>IF(6091&gt;$C$9008,"",INDEX($B$9:$B$9008,MATCH(6091,$C$9:$C$9008,0)))</f>
        <v/>
      </c>
      <c r="B6099" s="9" t="str">
        <f>IFERROR(INDEX(Input!$L$20:$T$1019,INT((ROW()-9)/9)+1,MOD(ROW()-9,9)+1),"")</f>
        <v/>
      </c>
      <c r="C6099" s="9">
        <f t="shared" si="95"/>
        <v>0</v>
      </c>
    </row>
    <row r="6100" spans="1:3" x14ac:dyDescent="0.2">
      <c r="A6100" s="10" t="str">
        <f>IF(6092&gt;$C$9008,"",INDEX($B$9:$B$9008,MATCH(6092,$C$9:$C$9008,0)))</f>
        <v/>
      </c>
      <c r="B6100" s="9" t="str">
        <f>IFERROR(INDEX(Input!$L$20:$T$1019,INT((ROW()-9)/9)+1,MOD(ROW()-9,9)+1),"")</f>
        <v/>
      </c>
      <c r="C6100" s="9">
        <f t="shared" si="95"/>
        <v>0</v>
      </c>
    </row>
    <row r="6101" spans="1:3" x14ac:dyDescent="0.2">
      <c r="A6101" s="10" t="str">
        <f>IF(6093&gt;$C$9008,"",INDEX($B$9:$B$9008,MATCH(6093,$C$9:$C$9008,0)))</f>
        <v/>
      </c>
      <c r="B6101" s="9" t="str">
        <f>IFERROR(INDEX(Input!$L$20:$T$1019,INT((ROW()-9)/9)+1,MOD(ROW()-9,9)+1),"")</f>
        <v/>
      </c>
      <c r="C6101" s="9">
        <f t="shared" si="95"/>
        <v>0</v>
      </c>
    </row>
    <row r="6102" spans="1:3" x14ac:dyDescent="0.2">
      <c r="A6102" s="10" t="str">
        <f>IF(6094&gt;$C$9008,"",INDEX($B$9:$B$9008,MATCH(6094,$C$9:$C$9008,0)))</f>
        <v/>
      </c>
      <c r="B6102" s="9" t="str">
        <f>IFERROR(INDEX(Input!$L$20:$T$1019,INT((ROW()-9)/9)+1,MOD(ROW()-9,9)+1),"")</f>
        <v/>
      </c>
      <c r="C6102" s="9">
        <f t="shared" si="95"/>
        <v>0</v>
      </c>
    </row>
    <row r="6103" spans="1:3" x14ac:dyDescent="0.2">
      <c r="A6103" s="10" t="str">
        <f>IF(6095&gt;$C$9008,"",INDEX($B$9:$B$9008,MATCH(6095,$C$9:$C$9008,0)))</f>
        <v/>
      </c>
      <c r="B6103" s="9" t="str">
        <f>IFERROR(INDEX(Input!$L$20:$T$1019,INT((ROW()-9)/9)+1,MOD(ROW()-9,9)+1),"")</f>
        <v/>
      </c>
      <c r="C6103" s="9">
        <f t="shared" si="95"/>
        <v>0</v>
      </c>
    </row>
    <row r="6104" spans="1:3" x14ac:dyDescent="0.2">
      <c r="A6104" s="10" t="str">
        <f>IF(6096&gt;$C$9008,"",INDEX($B$9:$B$9008,MATCH(6096,$C$9:$C$9008,0)))</f>
        <v/>
      </c>
      <c r="B6104" s="9" t="str">
        <f>IFERROR(INDEX(Input!$L$20:$T$1019,INT((ROW()-9)/9)+1,MOD(ROW()-9,9)+1),"")</f>
        <v/>
      </c>
      <c r="C6104" s="9">
        <f t="shared" si="95"/>
        <v>0</v>
      </c>
    </row>
    <row r="6105" spans="1:3" x14ac:dyDescent="0.2">
      <c r="A6105" s="10" t="str">
        <f>IF(6097&gt;$C$9008,"",INDEX($B$9:$B$9008,MATCH(6097,$C$9:$C$9008,0)))</f>
        <v/>
      </c>
      <c r="B6105" s="9" t="str">
        <f>IFERROR(INDEX(Input!$L$20:$T$1019,INT((ROW()-9)/9)+1,MOD(ROW()-9,9)+1),"")</f>
        <v/>
      </c>
      <c r="C6105" s="9">
        <f t="shared" si="95"/>
        <v>0</v>
      </c>
    </row>
    <row r="6106" spans="1:3" x14ac:dyDescent="0.2">
      <c r="A6106" s="10" t="str">
        <f>IF(6098&gt;$C$9008,"",INDEX($B$9:$B$9008,MATCH(6098,$C$9:$C$9008,0)))</f>
        <v/>
      </c>
      <c r="B6106" s="9" t="str">
        <f>IFERROR(INDEX(Input!$L$20:$T$1019,INT((ROW()-9)/9)+1,MOD(ROW()-9,9)+1),"")</f>
        <v/>
      </c>
      <c r="C6106" s="9">
        <f t="shared" si="95"/>
        <v>0</v>
      </c>
    </row>
    <row r="6107" spans="1:3" x14ac:dyDescent="0.2">
      <c r="A6107" s="10" t="str">
        <f>IF(6099&gt;$C$9008,"",INDEX($B$9:$B$9008,MATCH(6099,$C$9:$C$9008,0)))</f>
        <v/>
      </c>
      <c r="B6107" s="9" t="str">
        <f>IFERROR(INDEX(Input!$L$20:$T$1019,INT((ROW()-9)/9)+1,MOD(ROW()-9,9)+1),"")</f>
        <v/>
      </c>
      <c r="C6107" s="9">
        <f t="shared" si="95"/>
        <v>0</v>
      </c>
    </row>
    <row r="6108" spans="1:3" x14ac:dyDescent="0.2">
      <c r="A6108" s="10" t="str">
        <f>IF(6100&gt;$C$9008,"",INDEX($B$9:$B$9008,MATCH(6100,$C$9:$C$9008,0)))</f>
        <v/>
      </c>
      <c r="B6108" s="9" t="str">
        <f>IFERROR(INDEX(Input!$L$20:$T$1019,INT((ROW()-9)/9)+1,MOD(ROW()-9,9)+1),"")</f>
        <v/>
      </c>
      <c r="C6108" s="9">
        <f t="shared" si="95"/>
        <v>0</v>
      </c>
    </row>
    <row r="6109" spans="1:3" x14ac:dyDescent="0.2">
      <c r="A6109" s="10" t="str">
        <f>IF(6101&gt;$C$9008,"",INDEX($B$9:$B$9008,MATCH(6101,$C$9:$C$9008,0)))</f>
        <v/>
      </c>
      <c r="B6109" s="9" t="str">
        <f>IFERROR(INDEX(Input!$L$20:$T$1019,INT((ROW()-9)/9)+1,MOD(ROW()-9,9)+1),"")</f>
        <v/>
      </c>
      <c r="C6109" s="9">
        <f t="shared" si="95"/>
        <v>0</v>
      </c>
    </row>
    <row r="6110" spans="1:3" x14ac:dyDescent="0.2">
      <c r="A6110" s="10" t="str">
        <f>IF(6102&gt;$C$9008,"",INDEX($B$9:$B$9008,MATCH(6102,$C$9:$C$9008,0)))</f>
        <v/>
      </c>
      <c r="B6110" s="9" t="str">
        <f>IFERROR(INDEX(Input!$L$20:$T$1019,INT((ROW()-9)/9)+1,MOD(ROW()-9,9)+1),"")</f>
        <v/>
      </c>
      <c r="C6110" s="9">
        <f t="shared" si="95"/>
        <v>0</v>
      </c>
    </row>
    <row r="6111" spans="1:3" x14ac:dyDescent="0.2">
      <c r="A6111" s="10" t="str">
        <f>IF(6103&gt;$C$9008,"",INDEX($B$9:$B$9008,MATCH(6103,$C$9:$C$9008,0)))</f>
        <v/>
      </c>
      <c r="B6111" s="9" t="str">
        <f>IFERROR(INDEX(Input!$L$20:$T$1019,INT((ROW()-9)/9)+1,MOD(ROW()-9,9)+1),"")</f>
        <v/>
      </c>
      <c r="C6111" s="9">
        <f t="shared" si="95"/>
        <v>0</v>
      </c>
    </row>
    <row r="6112" spans="1:3" x14ac:dyDescent="0.2">
      <c r="A6112" s="10" t="str">
        <f>IF(6104&gt;$C$9008,"",INDEX($B$9:$B$9008,MATCH(6104,$C$9:$C$9008,0)))</f>
        <v/>
      </c>
      <c r="B6112" s="9" t="str">
        <f>IFERROR(INDEX(Input!$L$20:$T$1019,INT((ROW()-9)/9)+1,MOD(ROW()-9,9)+1),"")</f>
        <v/>
      </c>
      <c r="C6112" s="9">
        <f t="shared" si="95"/>
        <v>0</v>
      </c>
    </row>
    <row r="6113" spans="1:3" x14ac:dyDescent="0.2">
      <c r="A6113" s="10" t="str">
        <f>IF(6105&gt;$C$9008,"",INDEX($B$9:$B$9008,MATCH(6105,$C$9:$C$9008,0)))</f>
        <v/>
      </c>
      <c r="B6113" s="9" t="str">
        <f>IFERROR(INDEX(Input!$L$20:$T$1019,INT((ROW()-9)/9)+1,MOD(ROW()-9,9)+1),"")</f>
        <v/>
      </c>
      <c r="C6113" s="9">
        <f t="shared" si="95"/>
        <v>0</v>
      </c>
    </row>
    <row r="6114" spans="1:3" x14ac:dyDescent="0.2">
      <c r="A6114" s="10" t="str">
        <f>IF(6106&gt;$C$9008,"",INDEX($B$9:$B$9008,MATCH(6106,$C$9:$C$9008,0)))</f>
        <v/>
      </c>
      <c r="B6114" s="9" t="str">
        <f>IFERROR(INDEX(Input!$L$20:$T$1019,INT((ROW()-9)/9)+1,MOD(ROW()-9,9)+1),"")</f>
        <v/>
      </c>
      <c r="C6114" s="9">
        <f t="shared" si="95"/>
        <v>0</v>
      </c>
    </row>
    <row r="6115" spans="1:3" x14ac:dyDescent="0.2">
      <c r="A6115" s="10" t="str">
        <f>IF(6107&gt;$C$9008,"",INDEX($B$9:$B$9008,MATCH(6107,$C$9:$C$9008,0)))</f>
        <v/>
      </c>
      <c r="B6115" s="9" t="str">
        <f>IFERROR(INDEX(Input!$L$20:$T$1019,INT((ROW()-9)/9)+1,MOD(ROW()-9,9)+1),"")</f>
        <v/>
      </c>
      <c r="C6115" s="9">
        <f t="shared" si="95"/>
        <v>0</v>
      </c>
    </row>
    <row r="6116" spans="1:3" x14ac:dyDescent="0.2">
      <c r="A6116" s="10" t="str">
        <f>IF(6108&gt;$C$9008,"",INDEX($B$9:$B$9008,MATCH(6108,$C$9:$C$9008,0)))</f>
        <v/>
      </c>
      <c r="B6116" s="9" t="str">
        <f>IFERROR(INDEX(Input!$L$20:$T$1019,INT((ROW()-9)/9)+1,MOD(ROW()-9,9)+1),"")</f>
        <v/>
      </c>
      <c r="C6116" s="9">
        <f t="shared" si="95"/>
        <v>0</v>
      </c>
    </row>
    <row r="6117" spans="1:3" x14ac:dyDescent="0.2">
      <c r="A6117" s="10" t="str">
        <f>IF(6109&gt;$C$9008,"",INDEX($B$9:$B$9008,MATCH(6109,$C$9:$C$9008,0)))</f>
        <v/>
      </c>
      <c r="B6117" s="9" t="str">
        <f>IFERROR(INDEX(Input!$L$20:$T$1019,INT((ROW()-9)/9)+1,MOD(ROW()-9,9)+1),"")</f>
        <v/>
      </c>
      <c r="C6117" s="9">
        <f t="shared" si="95"/>
        <v>0</v>
      </c>
    </row>
    <row r="6118" spans="1:3" x14ac:dyDescent="0.2">
      <c r="A6118" s="10" t="str">
        <f>IF(6110&gt;$C$9008,"",INDEX($B$9:$B$9008,MATCH(6110,$C$9:$C$9008,0)))</f>
        <v/>
      </c>
      <c r="B6118" s="9" t="str">
        <f>IFERROR(INDEX(Input!$L$20:$T$1019,INT((ROW()-9)/9)+1,MOD(ROW()-9,9)+1),"")</f>
        <v/>
      </c>
      <c r="C6118" s="9">
        <f t="shared" si="95"/>
        <v>0</v>
      </c>
    </row>
    <row r="6119" spans="1:3" x14ac:dyDescent="0.2">
      <c r="A6119" s="10" t="str">
        <f>IF(6111&gt;$C$9008,"",INDEX($B$9:$B$9008,MATCH(6111,$C$9:$C$9008,0)))</f>
        <v/>
      </c>
      <c r="B6119" s="9" t="str">
        <f>IFERROR(INDEX(Input!$L$20:$T$1019,INT((ROW()-9)/9)+1,MOD(ROW()-9,9)+1),"")</f>
        <v/>
      </c>
      <c r="C6119" s="9">
        <f t="shared" si="95"/>
        <v>0</v>
      </c>
    </row>
    <row r="6120" spans="1:3" x14ac:dyDescent="0.2">
      <c r="A6120" s="10" t="str">
        <f>IF(6112&gt;$C$9008,"",INDEX($B$9:$B$9008,MATCH(6112,$C$9:$C$9008,0)))</f>
        <v/>
      </c>
      <c r="B6120" s="9" t="str">
        <f>IFERROR(INDEX(Input!$L$20:$T$1019,INT((ROW()-9)/9)+1,MOD(ROW()-9,9)+1),"")</f>
        <v/>
      </c>
      <c r="C6120" s="9">
        <f t="shared" si="95"/>
        <v>0</v>
      </c>
    </row>
    <row r="6121" spans="1:3" x14ac:dyDescent="0.2">
      <c r="A6121" s="10" t="str">
        <f>IF(6113&gt;$C$9008,"",INDEX($B$9:$B$9008,MATCH(6113,$C$9:$C$9008,0)))</f>
        <v/>
      </c>
      <c r="B6121" s="9" t="str">
        <f>IFERROR(INDEX(Input!$L$20:$T$1019,INT((ROW()-9)/9)+1,MOD(ROW()-9,9)+1),"")</f>
        <v/>
      </c>
      <c r="C6121" s="9">
        <f t="shared" si="95"/>
        <v>0</v>
      </c>
    </row>
    <row r="6122" spans="1:3" x14ac:dyDescent="0.2">
      <c r="A6122" s="10" t="str">
        <f>IF(6114&gt;$C$9008,"",INDEX($B$9:$B$9008,MATCH(6114,$C$9:$C$9008,0)))</f>
        <v/>
      </c>
      <c r="B6122" s="9" t="str">
        <f>IFERROR(INDEX(Input!$L$20:$T$1019,INT((ROW()-9)/9)+1,MOD(ROW()-9,9)+1),"")</f>
        <v/>
      </c>
      <c r="C6122" s="9">
        <f t="shared" si="95"/>
        <v>0</v>
      </c>
    </row>
    <row r="6123" spans="1:3" x14ac:dyDescent="0.2">
      <c r="A6123" s="10" t="str">
        <f>IF(6115&gt;$C$9008,"",INDEX($B$9:$B$9008,MATCH(6115,$C$9:$C$9008,0)))</f>
        <v/>
      </c>
      <c r="B6123" s="9" t="str">
        <f>IFERROR(INDEX(Input!$L$20:$T$1019,INT((ROW()-9)/9)+1,MOD(ROW()-9,9)+1),"")</f>
        <v/>
      </c>
      <c r="C6123" s="9">
        <f t="shared" si="95"/>
        <v>0</v>
      </c>
    </row>
    <row r="6124" spans="1:3" x14ac:dyDescent="0.2">
      <c r="A6124" s="10" t="str">
        <f>IF(6116&gt;$C$9008,"",INDEX($B$9:$B$9008,MATCH(6116,$C$9:$C$9008,0)))</f>
        <v/>
      </c>
      <c r="B6124" s="9" t="str">
        <f>IFERROR(INDEX(Input!$L$20:$T$1019,INT((ROW()-9)/9)+1,MOD(ROW()-9,9)+1),"")</f>
        <v/>
      </c>
      <c r="C6124" s="9">
        <f t="shared" si="95"/>
        <v>0</v>
      </c>
    </row>
    <row r="6125" spans="1:3" x14ac:dyDescent="0.2">
      <c r="A6125" s="10" t="str">
        <f>IF(6117&gt;$C$9008,"",INDEX($B$9:$B$9008,MATCH(6117,$C$9:$C$9008,0)))</f>
        <v/>
      </c>
      <c r="B6125" s="9" t="str">
        <f>IFERROR(INDEX(Input!$L$20:$T$1019,INT((ROW()-9)/9)+1,MOD(ROW()-9,9)+1),"")</f>
        <v/>
      </c>
      <c r="C6125" s="9">
        <f t="shared" si="95"/>
        <v>0</v>
      </c>
    </row>
    <row r="6126" spans="1:3" x14ac:dyDescent="0.2">
      <c r="A6126" s="10" t="str">
        <f>IF(6118&gt;$C$9008,"",INDEX($B$9:$B$9008,MATCH(6118,$C$9:$C$9008,0)))</f>
        <v/>
      </c>
      <c r="B6126" s="9" t="str">
        <f>IFERROR(INDEX(Input!$L$20:$T$1019,INT((ROW()-9)/9)+1,MOD(ROW()-9,9)+1),"")</f>
        <v/>
      </c>
      <c r="C6126" s="9">
        <f t="shared" si="95"/>
        <v>0</v>
      </c>
    </row>
    <row r="6127" spans="1:3" x14ac:dyDescent="0.2">
      <c r="A6127" s="10" t="str">
        <f>IF(6119&gt;$C$9008,"",INDEX($B$9:$B$9008,MATCH(6119,$C$9:$C$9008,0)))</f>
        <v/>
      </c>
      <c r="B6127" s="9" t="str">
        <f>IFERROR(INDEX(Input!$L$20:$T$1019,INT((ROW()-9)/9)+1,MOD(ROW()-9,9)+1),"")</f>
        <v/>
      </c>
      <c r="C6127" s="9">
        <f t="shared" si="95"/>
        <v>0</v>
      </c>
    </row>
    <row r="6128" spans="1:3" x14ac:dyDescent="0.2">
      <c r="A6128" s="10" t="str">
        <f>IF(6120&gt;$C$9008,"",INDEX($B$9:$B$9008,MATCH(6120,$C$9:$C$9008,0)))</f>
        <v/>
      </c>
      <c r="B6128" s="9" t="str">
        <f>IFERROR(INDEX(Input!$L$20:$T$1019,INT((ROW()-9)/9)+1,MOD(ROW()-9,9)+1),"")</f>
        <v/>
      </c>
      <c r="C6128" s="9">
        <f t="shared" si="95"/>
        <v>0</v>
      </c>
    </row>
    <row r="6129" spans="1:3" x14ac:dyDescent="0.2">
      <c r="A6129" s="10" t="str">
        <f>IF(6121&gt;$C$9008,"",INDEX($B$9:$B$9008,MATCH(6121,$C$9:$C$9008,0)))</f>
        <v/>
      </c>
      <c r="B6129" s="9" t="str">
        <f>IFERROR(INDEX(Input!$L$20:$T$1019,INT((ROW()-9)/9)+1,MOD(ROW()-9,9)+1),"")</f>
        <v/>
      </c>
      <c r="C6129" s="9">
        <f t="shared" si="95"/>
        <v>0</v>
      </c>
    </row>
    <row r="6130" spans="1:3" x14ac:dyDescent="0.2">
      <c r="A6130" s="10" t="str">
        <f>IF(6122&gt;$C$9008,"",INDEX($B$9:$B$9008,MATCH(6122,$C$9:$C$9008,0)))</f>
        <v/>
      </c>
      <c r="B6130" s="9" t="str">
        <f>IFERROR(INDEX(Input!$L$20:$T$1019,INT((ROW()-9)/9)+1,MOD(ROW()-9,9)+1),"")</f>
        <v/>
      </c>
      <c r="C6130" s="9">
        <f t="shared" si="95"/>
        <v>0</v>
      </c>
    </row>
    <row r="6131" spans="1:3" x14ac:dyDescent="0.2">
      <c r="A6131" s="10" t="str">
        <f>IF(6123&gt;$C$9008,"",INDEX($B$9:$B$9008,MATCH(6123,$C$9:$C$9008,0)))</f>
        <v/>
      </c>
      <c r="B6131" s="9" t="str">
        <f>IFERROR(INDEX(Input!$L$20:$T$1019,INT((ROW()-9)/9)+1,MOD(ROW()-9,9)+1),"")</f>
        <v/>
      </c>
      <c r="C6131" s="9">
        <f t="shared" si="95"/>
        <v>0</v>
      </c>
    </row>
    <row r="6132" spans="1:3" x14ac:dyDescent="0.2">
      <c r="A6132" s="10" t="str">
        <f>IF(6124&gt;$C$9008,"",INDEX($B$9:$B$9008,MATCH(6124,$C$9:$C$9008,0)))</f>
        <v/>
      </c>
      <c r="B6132" s="9" t="str">
        <f>IFERROR(INDEX(Input!$L$20:$T$1019,INT((ROW()-9)/9)+1,MOD(ROW()-9,9)+1),"")</f>
        <v/>
      </c>
      <c r="C6132" s="9">
        <f t="shared" si="95"/>
        <v>0</v>
      </c>
    </row>
    <row r="6133" spans="1:3" x14ac:dyDescent="0.2">
      <c r="A6133" s="10" t="str">
        <f>IF(6125&gt;$C$9008,"",INDEX($B$9:$B$9008,MATCH(6125,$C$9:$C$9008,0)))</f>
        <v/>
      </c>
      <c r="B6133" s="9" t="str">
        <f>IFERROR(INDEX(Input!$L$20:$T$1019,INT((ROW()-9)/9)+1,MOD(ROW()-9,9)+1),"")</f>
        <v/>
      </c>
      <c r="C6133" s="9">
        <f t="shared" si="95"/>
        <v>0</v>
      </c>
    </row>
    <row r="6134" spans="1:3" x14ac:dyDescent="0.2">
      <c r="A6134" s="10" t="str">
        <f>IF(6126&gt;$C$9008,"",INDEX($B$9:$B$9008,MATCH(6126,$C$9:$C$9008,0)))</f>
        <v/>
      </c>
      <c r="B6134" s="9" t="str">
        <f>IFERROR(INDEX(Input!$L$20:$T$1019,INT((ROW()-9)/9)+1,MOD(ROW()-9,9)+1),"")</f>
        <v/>
      </c>
      <c r="C6134" s="9">
        <f t="shared" si="95"/>
        <v>0</v>
      </c>
    </row>
    <row r="6135" spans="1:3" x14ac:dyDescent="0.2">
      <c r="A6135" s="10" t="str">
        <f>IF(6127&gt;$C$9008,"",INDEX($B$9:$B$9008,MATCH(6127,$C$9:$C$9008,0)))</f>
        <v/>
      </c>
      <c r="B6135" s="9" t="str">
        <f>IFERROR(INDEX(Input!$L$20:$T$1019,INT((ROW()-9)/9)+1,MOD(ROW()-9,9)+1),"")</f>
        <v/>
      </c>
      <c r="C6135" s="9">
        <f t="shared" si="95"/>
        <v>0</v>
      </c>
    </row>
    <row r="6136" spans="1:3" x14ac:dyDescent="0.2">
      <c r="A6136" s="10" t="str">
        <f>IF(6128&gt;$C$9008,"",INDEX($B$9:$B$9008,MATCH(6128,$C$9:$C$9008,0)))</f>
        <v/>
      </c>
      <c r="B6136" s="9" t="str">
        <f>IFERROR(INDEX(Input!$L$20:$T$1019,INT((ROW()-9)/9)+1,MOD(ROW()-9,9)+1),"")</f>
        <v/>
      </c>
      <c r="C6136" s="9">
        <f t="shared" si="95"/>
        <v>0</v>
      </c>
    </row>
    <row r="6137" spans="1:3" x14ac:dyDescent="0.2">
      <c r="A6137" s="10" t="str">
        <f>IF(6129&gt;$C$9008,"",INDEX($B$9:$B$9008,MATCH(6129,$C$9:$C$9008,0)))</f>
        <v/>
      </c>
      <c r="B6137" s="9" t="str">
        <f>IFERROR(INDEX(Input!$L$20:$T$1019,INT((ROW()-9)/9)+1,MOD(ROW()-9,9)+1),"")</f>
        <v/>
      </c>
      <c r="C6137" s="9">
        <f t="shared" si="95"/>
        <v>0</v>
      </c>
    </row>
    <row r="6138" spans="1:3" x14ac:dyDescent="0.2">
      <c r="A6138" s="10" t="str">
        <f>IF(6130&gt;$C$9008,"",INDEX($B$9:$B$9008,MATCH(6130,$C$9:$C$9008,0)))</f>
        <v/>
      </c>
      <c r="B6138" s="9" t="str">
        <f>IFERROR(INDEX(Input!$L$20:$T$1019,INT((ROW()-9)/9)+1,MOD(ROW()-9,9)+1),"")</f>
        <v/>
      </c>
      <c r="C6138" s="9">
        <f t="shared" si="95"/>
        <v>0</v>
      </c>
    </row>
    <row r="6139" spans="1:3" x14ac:dyDescent="0.2">
      <c r="A6139" s="10" t="str">
        <f>IF(6131&gt;$C$9008,"",INDEX($B$9:$B$9008,MATCH(6131,$C$9:$C$9008,0)))</f>
        <v/>
      </c>
      <c r="B6139" s="9" t="str">
        <f>IFERROR(INDEX(Input!$L$20:$T$1019,INT((ROW()-9)/9)+1,MOD(ROW()-9,9)+1),"")</f>
        <v/>
      </c>
      <c r="C6139" s="9">
        <f t="shared" si="95"/>
        <v>0</v>
      </c>
    </row>
    <row r="6140" spans="1:3" x14ac:dyDescent="0.2">
      <c r="A6140" s="10" t="str">
        <f>IF(6132&gt;$C$9008,"",INDEX($B$9:$B$9008,MATCH(6132,$C$9:$C$9008,0)))</f>
        <v/>
      </c>
      <c r="B6140" s="9" t="str">
        <f>IFERROR(INDEX(Input!$L$20:$T$1019,INT((ROW()-9)/9)+1,MOD(ROW()-9,9)+1),"")</f>
        <v/>
      </c>
      <c r="C6140" s="9">
        <f t="shared" si="95"/>
        <v>0</v>
      </c>
    </row>
    <row r="6141" spans="1:3" x14ac:dyDescent="0.2">
      <c r="A6141" s="10" t="str">
        <f>IF(6133&gt;$C$9008,"",INDEX($B$9:$B$9008,MATCH(6133,$C$9:$C$9008,0)))</f>
        <v/>
      </c>
      <c r="B6141" s="9" t="str">
        <f>IFERROR(INDEX(Input!$L$20:$T$1019,INT((ROW()-9)/9)+1,MOD(ROW()-9,9)+1),"")</f>
        <v/>
      </c>
      <c r="C6141" s="9">
        <f t="shared" si="95"/>
        <v>0</v>
      </c>
    </row>
    <row r="6142" spans="1:3" x14ac:dyDescent="0.2">
      <c r="A6142" s="10" t="str">
        <f>IF(6134&gt;$C$9008,"",INDEX($B$9:$B$9008,MATCH(6134,$C$9:$C$9008,0)))</f>
        <v/>
      </c>
      <c r="B6142" s="9" t="str">
        <f>IFERROR(INDEX(Input!$L$20:$T$1019,INT((ROW()-9)/9)+1,MOD(ROW()-9,9)+1),"")</f>
        <v/>
      </c>
      <c r="C6142" s="9">
        <f t="shared" si="95"/>
        <v>0</v>
      </c>
    </row>
    <row r="6143" spans="1:3" x14ac:dyDescent="0.2">
      <c r="A6143" s="10" t="str">
        <f>IF(6135&gt;$C$9008,"",INDEX($B$9:$B$9008,MATCH(6135,$C$9:$C$9008,0)))</f>
        <v/>
      </c>
      <c r="B6143" s="9" t="str">
        <f>IFERROR(INDEX(Input!$L$20:$T$1019,INT((ROW()-9)/9)+1,MOD(ROW()-9,9)+1),"")</f>
        <v/>
      </c>
      <c r="C6143" s="9">
        <f t="shared" si="95"/>
        <v>0</v>
      </c>
    </row>
    <row r="6144" spans="1:3" x14ac:dyDescent="0.2">
      <c r="A6144" s="10" t="str">
        <f>IF(6136&gt;$C$9008,"",INDEX($B$9:$B$9008,MATCH(6136,$C$9:$C$9008,0)))</f>
        <v/>
      </c>
      <c r="B6144" s="9" t="str">
        <f>IFERROR(INDEX(Input!$L$20:$T$1019,INT((ROW()-9)/9)+1,MOD(ROW()-9,9)+1),"")</f>
        <v/>
      </c>
      <c r="C6144" s="9">
        <f t="shared" si="95"/>
        <v>0</v>
      </c>
    </row>
    <row r="6145" spans="1:3" x14ac:dyDescent="0.2">
      <c r="A6145" s="10" t="str">
        <f>IF(6137&gt;$C$9008,"",INDEX($B$9:$B$9008,MATCH(6137,$C$9:$C$9008,0)))</f>
        <v/>
      </c>
      <c r="B6145" s="9" t="str">
        <f>IFERROR(INDEX(Input!$L$20:$T$1019,INT((ROW()-9)/9)+1,MOD(ROW()-9,9)+1),"")</f>
        <v/>
      </c>
      <c r="C6145" s="9">
        <f t="shared" si="95"/>
        <v>0</v>
      </c>
    </row>
    <row r="6146" spans="1:3" x14ac:dyDescent="0.2">
      <c r="A6146" s="10" t="str">
        <f>IF(6138&gt;$C$9008,"",INDEX($B$9:$B$9008,MATCH(6138,$C$9:$C$9008,0)))</f>
        <v/>
      </c>
      <c r="B6146" s="9" t="str">
        <f>IFERROR(INDEX(Input!$L$20:$T$1019,INT((ROW()-9)/9)+1,MOD(ROW()-9,9)+1),"")</f>
        <v/>
      </c>
      <c r="C6146" s="9">
        <f t="shared" si="95"/>
        <v>0</v>
      </c>
    </row>
    <row r="6147" spans="1:3" x14ac:dyDescent="0.2">
      <c r="A6147" s="10" t="str">
        <f>IF(6139&gt;$C$9008,"",INDEX($B$9:$B$9008,MATCH(6139,$C$9:$C$9008,0)))</f>
        <v/>
      </c>
      <c r="B6147" s="9" t="str">
        <f>IFERROR(INDEX(Input!$L$20:$T$1019,INT((ROW()-9)/9)+1,MOD(ROW()-9,9)+1),"")</f>
        <v/>
      </c>
      <c r="C6147" s="9">
        <f t="shared" si="95"/>
        <v>0</v>
      </c>
    </row>
    <row r="6148" spans="1:3" x14ac:dyDescent="0.2">
      <c r="A6148" s="10" t="str">
        <f>IF(6140&gt;$C$9008,"",INDEX($B$9:$B$9008,MATCH(6140,$C$9:$C$9008,0)))</f>
        <v/>
      </c>
      <c r="B6148" s="9" t="str">
        <f>IFERROR(INDEX(Input!$L$20:$T$1019,INT((ROW()-9)/9)+1,MOD(ROW()-9,9)+1),"")</f>
        <v/>
      </c>
      <c r="C6148" s="9">
        <f t="shared" si="95"/>
        <v>0</v>
      </c>
    </row>
    <row r="6149" spans="1:3" x14ac:dyDescent="0.2">
      <c r="A6149" s="10" t="str">
        <f>IF(6141&gt;$C$9008,"",INDEX($B$9:$B$9008,MATCH(6141,$C$9:$C$9008,0)))</f>
        <v/>
      </c>
      <c r="B6149" s="9" t="str">
        <f>IFERROR(INDEX(Input!$L$20:$T$1019,INT((ROW()-9)/9)+1,MOD(ROW()-9,9)+1),"")</f>
        <v/>
      </c>
      <c r="C6149" s="9">
        <f t="shared" si="95"/>
        <v>0</v>
      </c>
    </row>
    <row r="6150" spans="1:3" x14ac:dyDescent="0.2">
      <c r="A6150" s="10" t="str">
        <f>IF(6142&gt;$C$9008,"",INDEX($B$9:$B$9008,MATCH(6142,$C$9:$C$9008,0)))</f>
        <v/>
      </c>
      <c r="B6150" s="9" t="str">
        <f>IFERROR(INDEX(Input!$L$20:$T$1019,INT((ROW()-9)/9)+1,MOD(ROW()-9,9)+1),"")</f>
        <v/>
      </c>
      <c r="C6150" s="9">
        <f t="shared" si="95"/>
        <v>0</v>
      </c>
    </row>
    <row r="6151" spans="1:3" x14ac:dyDescent="0.2">
      <c r="A6151" s="10" t="str">
        <f>IF(6143&gt;$C$9008,"",INDEX($B$9:$B$9008,MATCH(6143,$C$9:$C$9008,0)))</f>
        <v/>
      </c>
      <c r="B6151" s="9" t="str">
        <f>IFERROR(INDEX(Input!$L$20:$T$1019,INT((ROW()-9)/9)+1,MOD(ROW()-9,9)+1),"")</f>
        <v/>
      </c>
      <c r="C6151" s="9">
        <f t="shared" si="95"/>
        <v>0</v>
      </c>
    </row>
    <row r="6152" spans="1:3" x14ac:dyDescent="0.2">
      <c r="A6152" s="10" t="str">
        <f>IF(6144&gt;$C$9008,"",INDEX($B$9:$B$9008,MATCH(6144,$C$9:$C$9008,0)))</f>
        <v/>
      </c>
      <c r="B6152" s="9" t="str">
        <f>IFERROR(INDEX(Input!$L$20:$T$1019,INT((ROW()-9)/9)+1,MOD(ROW()-9,9)+1),"")</f>
        <v/>
      </c>
      <c r="C6152" s="9">
        <f t="shared" si="95"/>
        <v>0</v>
      </c>
    </row>
    <row r="6153" spans="1:3" x14ac:dyDescent="0.2">
      <c r="A6153" s="10" t="str">
        <f>IF(6145&gt;$C$9008,"",INDEX($B$9:$B$9008,MATCH(6145,$C$9:$C$9008,0)))</f>
        <v/>
      </c>
      <c r="B6153" s="9" t="str">
        <f>IFERROR(INDEX(Input!$L$20:$T$1019,INT((ROW()-9)/9)+1,MOD(ROW()-9,9)+1),"")</f>
        <v/>
      </c>
      <c r="C6153" s="9">
        <f t="shared" ref="C6153:C6216" si="96">$C6152+IF($B6153&lt;&gt;"",1,0)</f>
        <v>0</v>
      </c>
    </row>
    <row r="6154" spans="1:3" x14ac:dyDescent="0.2">
      <c r="A6154" s="10" t="str">
        <f>IF(6146&gt;$C$9008,"",INDEX($B$9:$B$9008,MATCH(6146,$C$9:$C$9008,0)))</f>
        <v/>
      </c>
      <c r="B6154" s="9" t="str">
        <f>IFERROR(INDEX(Input!$L$20:$T$1019,INT((ROW()-9)/9)+1,MOD(ROW()-9,9)+1),"")</f>
        <v/>
      </c>
      <c r="C6154" s="9">
        <f t="shared" si="96"/>
        <v>0</v>
      </c>
    </row>
    <row r="6155" spans="1:3" x14ac:dyDescent="0.2">
      <c r="A6155" s="10" t="str">
        <f>IF(6147&gt;$C$9008,"",INDEX($B$9:$B$9008,MATCH(6147,$C$9:$C$9008,0)))</f>
        <v/>
      </c>
      <c r="B6155" s="9" t="str">
        <f>IFERROR(INDEX(Input!$L$20:$T$1019,INT((ROW()-9)/9)+1,MOD(ROW()-9,9)+1),"")</f>
        <v/>
      </c>
      <c r="C6155" s="9">
        <f t="shared" si="96"/>
        <v>0</v>
      </c>
    </row>
    <row r="6156" spans="1:3" x14ac:dyDescent="0.2">
      <c r="A6156" s="10" t="str">
        <f>IF(6148&gt;$C$9008,"",INDEX($B$9:$B$9008,MATCH(6148,$C$9:$C$9008,0)))</f>
        <v/>
      </c>
      <c r="B6156" s="9" t="str">
        <f>IFERROR(INDEX(Input!$L$20:$T$1019,INT((ROW()-9)/9)+1,MOD(ROW()-9,9)+1),"")</f>
        <v/>
      </c>
      <c r="C6156" s="9">
        <f t="shared" si="96"/>
        <v>0</v>
      </c>
    </row>
    <row r="6157" spans="1:3" x14ac:dyDescent="0.2">
      <c r="A6157" s="10" t="str">
        <f>IF(6149&gt;$C$9008,"",INDEX($B$9:$B$9008,MATCH(6149,$C$9:$C$9008,0)))</f>
        <v/>
      </c>
      <c r="B6157" s="9" t="str">
        <f>IFERROR(INDEX(Input!$L$20:$T$1019,INT((ROW()-9)/9)+1,MOD(ROW()-9,9)+1),"")</f>
        <v/>
      </c>
      <c r="C6157" s="9">
        <f t="shared" si="96"/>
        <v>0</v>
      </c>
    </row>
    <row r="6158" spans="1:3" x14ac:dyDescent="0.2">
      <c r="A6158" s="10" t="str">
        <f>IF(6150&gt;$C$9008,"",INDEX($B$9:$B$9008,MATCH(6150,$C$9:$C$9008,0)))</f>
        <v/>
      </c>
      <c r="B6158" s="9" t="str">
        <f>IFERROR(INDEX(Input!$L$20:$T$1019,INT((ROW()-9)/9)+1,MOD(ROW()-9,9)+1),"")</f>
        <v/>
      </c>
      <c r="C6158" s="9">
        <f t="shared" si="96"/>
        <v>0</v>
      </c>
    </row>
    <row r="6159" spans="1:3" x14ac:dyDescent="0.2">
      <c r="A6159" s="10" t="str">
        <f>IF(6151&gt;$C$9008,"",INDEX($B$9:$B$9008,MATCH(6151,$C$9:$C$9008,0)))</f>
        <v/>
      </c>
      <c r="B6159" s="9" t="str">
        <f>IFERROR(INDEX(Input!$L$20:$T$1019,INT((ROW()-9)/9)+1,MOD(ROW()-9,9)+1),"")</f>
        <v/>
      </c>
      <c r="C6159" s="9">
        <f t="shared" si="96"/>
        <v>0</v>
      </c>
    </row>
    <row r="6160" spans="1:3" x14ac:dyDescent="0.2">
      <c r="A6160" s="10" t="str">
        <f>IF(6152&gt;$C$9008,"",INDEX($B$9:$B$9008,MATCH(6152,$C$9:$C$9008,0)))</f>
        <v/>
      </c>
      <c r="B6160" s="9" t="str">
        <f>IFERROR(INDEX(Input!$L$20:$T$1019,INT((ROW()-9)/9)+1,MOD(ROW()-9,9)+1),"")</f>
        <v/>
      </c>
      <c r="C6160" s="9">
        <f t="shared" si="96"/>
        <v>0</v>
      </c>
    </row>
    <row r="6161" spans="1:3" x14ac:dyDescent="0.2">
      <c r="A6161" s="10" t="str">
        <f>IF(6153&gt;$C$9008,"",INDEX($B$9:$B$9008,MATCH(6153,$C$9:$C$9008,0)))</f>
        <v/>
      </c>
      <c r="B6161" s="9" t="str">
        <f>IFERROR(INDEX(Input!$L$20:$T$1019,INT((ROW()-9)/9)+1,MOD(ROW()-9,9)+1),"")</f>
        <v/>
      </c>
      <c r="C6161" s="9">
        <f t="shared" si="96"/>
        <v>0</v>
      </c>
    </row>
    <row r="6162" spans="1:3" x14ac:dyDescent="0.2">
      <c r="A6162" s="10" t="str">
        <f>IF(6154&gt;$C$9008,"",INDEX($B$9:$B$9008,MATCH(6154,$C$9:$C$9008,0)))</f>
        <v/>
      </c>
      <c r="B6162" s="9" t="str">
        <f>IFERROR(INDEX(Input!$L$20:$T$1019,INT((ROW()-9)/9)+1,MOD(ROW()-9,9)+1),"")</f>
        <v/>
      </c>
      <c r="C6162" s="9">
        <f t="shared" si="96"/>
        <v>0</v>
      </c>
    </row>
    <row r="6163" spans="1:3" x14ac:dyDescent="0.2">
      <c r="A6163" s="10" t="str">
        <f>IF(6155&gt;$C$9008,"",INDEX($B$9:$B$9008,MATCH(6155,$C$9:$C$9008,0)))</f>
        <v/>
      </c>
      <c r="B6163" s="9" t="str">
        <f>IFERROR(INDEX(Input!$L$20:$T$1019,INT((ROW()-9)/9)+1,MOD(ROW()-9,9)+1),"")</f>
        <v/>
      </c>
      <c r="C6163" s="9">
        <f t="shared" si="96"/>
        <v>0</v>
      </c>
    </row>
    <row r="6164" spans="1:3" x14ac:dyDescent="0.2">
      <c r="A6164" s="10" t="str">
        <f>IF(6156&gt;$C$9008,"",INDEX($B$9:$B$9008,MATCH(6156,$C$9:$C$9008,0)))</f>
        <v/>
      </c>
      <c r="B6164" s="9" t="str">
        <f>IFERROR(INDEX(Input!$L$20:$T$1019,INT((ROW()-9)/9)+1,MOD(ROW()-9,9)+1),"")</f>
        <v/>
      </c>
      <c r="C6164" s="9">
        <f t="shared" si="96"/>
        <v>0</v>
      </c>
    </row>
    <row r="6165" spans="1:3" x14ac:dyDescent="0.2">
      <c r="A6165" s="10" t="str">
        <f>IF(6157&gt;$C$9008,"",INDEX($B$9:$B$9008,MATCH(6157,$C$9:$C$9008,0)))</f>
        <v/>
      </c>
      <c r="B6165" s="9" t="str">
        <f>IFERROR(INDEX(Input!$L$20:$T$1019,INT((ROW()-9)/9)+1,MOD(ROW()-9,9)+1),"")</f>
        <v/>
      </c>
      <c r="C6165" s="9">
        <f t="shared" si="96"/>
        <v>0</v>
      </c>
    </row>
    <row r="6166" spans="1:3" x14ac:dyDescent="0.2">
      <c r="A6166" s="10" t="str">
        <f>IF(6158&gt;$C$9008,"",INDEX($B$9:$B$9008,MATCH(6158,$C$9:$C$9008,0)))</f>
        <v/>
      </c>
      <c r="B6166" s="9" t="str">
        <f>IFERROR(INDEX(Input!$L$20:$T$1019,INT((ROW()-9)/9)+1,MOD(ROW()-9,9)+1),"")</f>
        <v/>
      </c>
      <c r="C6166" s="9">
        <f t="shared" si="96"/>
        <v>0</v>
      </c>
    </row>
    <row r="6167" spans="1:3" x14ac:dyDescent="0.2">
      <c r="A6167" s="10" t="str">
        <f>IF(6159&gt;$C$9008,"",INDEX($B$9:$B$9008,MATCH(6159,$C$9:$C$9008,0)))</f>
        <v/>
      </c>
      <c r="B6167" s="9" t="str">
        <f>IFERROR(INDEX(Input!$L$20:$T$1019,INT((ROW()-9)/9)+1,MOD(ROW()-9,9)+1),"")</f>
        <v/>
      </c>
      <c r="C6167" s="9">
        <f t="shared" si="96"/>
        <v>0</v>
      </c>
    </row>
    <row r="6168" spans="1:3" x14ac:dyDescent="0.2">
      <c r="A6168" s="10" t="str">
        <f>IF(6160&gt;$C$9008,"",INDEX($B$9:$B$9008,MATCH(6160,$C$9:$C$9008,0)))</f>
        <v/>
      </c>
      <c r="B6168" s="9" t="str">
        <f>IFERROR(INDEX(Input!$L$20:$T$1019,INT((ROW()-9)/9)+1,MOD(ROW()-9,9)+1),"")</f>
        <v/>
      </c>
      <c r="C6168" s="9">
        <f t="shared" si="96"/>
        <v>0</v>
      </c>
    </row>
    <row r="6169" spans="1:3" x14ac:dyDescent="0.2">
      <c r="A6169" s="10" t="str">
        <f>IF(6161&gt;$C$9008,"",INDEX($B$9:$B$9008,MATCH(6161,$C$9:$C$9008,0)))</f>
        <v/>
      </c>
      <c r="B6169" s="9" t="str">
        <f>IFERROR(INDEX(Input!$L$20:$T$1019,INT((ROW()-9)/9)+1,MOD(ROW()-9,9)+1),"")</f>
        <v/>
      </c>
      <c r="C6169" s="9">
        <f t="shared" si="96"/>
        <v>0</v>
      </c>
    </row>
    <row r="6170" spans="1:3" x14ac:dyDescent="0.2">
      <c r="A6170" s="10" t="str">
        <f>IF(6162&gt;$C$9008,"",INDEX($B$9:$B$9008,MATCH(6162,$C$9:$C$9008,0)))</f>
        <v/>
      </c>
      <c r="B6170" s="9" t="str">
        <f>IFERROR(INDEX(Input!$L$20:$T$1019,INT((ROW()-9)/9)+1,MOD(ROW()-9,9)+1),"")</f>
        <v/>
      </c>
      <c r="C6170" s="9">
        <f t="shared" si="96"/>
        <v>0</v>
      </c>
    </row>
    <row r="6171" spans="1:3" x14ac:dyDescent="0.2">
      <c r="A6171" s="10" t="str">
        <f>IF(6163&gt;$C$9008,"",INDEX($B$9:$B$9008,MATCH(6163,$C$9:$C$9008,0)))</f>
        <v/>
      </c>
      <c r="B6171" s="9" t="str">
        <f>IFERROR(INDEX(Input!$L$20:$T$1019,INT((ROW()-9)/9)+1,MOD(ROW()-9,9)+1),"")</f>
        <v/>
      </c>
      <c r="C6171" s="9">
        <f t="shared" si="96"/>
        <v>0</v>
      </c>
    </row>
    <row r="6172" spans="1:3" x14ac:dyDescent="0.2">
      <c r="A6172" s="10" t="str">
        <f>IF(6164&gt;$C$9008,"",INDEX($B$9:$B$9008,MATCH(6164,$C$9:$C$9008,0)))</f>
        <v/>
      </c>
      <c r="B6172" s="9" t="str">
        <f>IFERROR(INDEX(Input!$L$20:$T$1019,INT((ROW()-9)/9)+1,MOD(ROW()-9,9)+1),"")</f>
        <v/>
      </c>
      <c r="C6172" s="9">
        <f t="shared" si="96"/>
        <v>0</v>
      </c>
    </row>
    <row r="6173" spans="1:3" x14ac:dyDescent="0.2">
      <c r="A6173" s="10" t="str">
        <f>IF(6165&gt;$C$9008,"",INDEX($B$9:$B$9008,MATCH(6165,$C$9:$C$9008,0)))</f>
        <v/>
      </c>
      <c r="B6173" s="9" t="str">
        <f>IFERROR(INDEX(Input!$L$20:$T$1019,INT((ROW()-9)/9)+1,MOD(ROW()-9,9)+1),"")</f>
        <v/>
      </c>
      <c r="C6173" s="9">
        <f t="shared" si="96"/>
        <v>0</v>
      </c>
    </row>
    <row r="6174" spans="1:3" x14ac:dyDescent="0.2">
      <c r="A6174" s="10" t="str">
        <f>IF(6166&gt;$C$9008,"",INDEX($B$9:$B$9008,MATCH(6166,$C$9:$C$9008,0)))</f>
        <v/>
      </c>
      <c r="B6174" s="9" t="str">
        <f>IFERROR(INDEX(Input!$L$20:$T$1019,INT((ROW()-9)/9)+1,MOD(ROW()-9,9)+1),"")</f>
        <v/>
      </c>
      <c r="C6174" s="9">
        <f t="shared" si="96"/>
        <v>0</v>
      </c>
    </row>
    <row r="6175" spans="1:3" x14ac:dyDescent="0.2">
      <c r="A6175" s="10" t="str">
        <f>IF(6167&gt;$C$9008,"",INDEX($B$9:$B$9008,MATCH(6167,$C$9:$C$9008,0)))</f>
        <v/>
      </c>
      <c r="B6175" s="9" t="str">
        <f>IFERROR(INDEX(Input!$L$20:$T$1019,INT((ROW()-9)/9)+1,MOD(ROW()-9,9)+1),"")</f>
        <v/>
      </c>
      <c r="C6175" s="9">
        <f t="shared" si="96"/>
        <v>0</v>
      </c>
    </row>
    <row r="6176" spans="1:3" x14ac:dyDescent="0.2">
      <c r="A6176" s="10" t="str">
        <f>IF(6168&gt;$C$9008,"",INDEX($B$9:$B$9008,MATCH(6168,$C$9:$C$9008,0)))</f>
        <v/>
      </c>
      <c r="B6176" s="9" t="str">
        <f>IFERROR(INDEX(Input!$L$20:$T$1019,INT((ROW()-9)/9)+1,MOD(ROW()-9,9)+1),"")</f>
        <v/>
      </c>
      <c r="C6176" s="9">
        <f t="shared" si="96"/>
        <v>0</v>
      </c>
    </row>
    <row r="6177" spans="1:3" x14ac:dyDescent="0.2">
      <c r="A6177" s="10" t="str">
        <f>IF(6169&gt;$C$9008,"",INDEX($B$9:$B$9008,MATCH(6169,$C$9:$C$9008,0)))</f>
        <v/>
      </c>
      <c r="B6177" s="9" t="str">
        <f>IFERROR(INDEX(Input!$L$20:$T$1019,INT((ROW()-9)/9)+1,MOD(ROW()-9,9)+1),"")</f>
        <v/>
      </c>
      <c r="C6177" s="9">
        <f t="shared" si="96"/>
        <v>0</v>
      </c>
    </row>
    <row r="6178" spans="1:3" x14ac:dyDescent="0.2">
      <c r="A6178" s="10" t="str">
        <f>IF(6170&gt;$C$9008,"",INDEX($B$9:$B$9008,MATCH(6170,$C$9:$C$9008,0)))</f>
        <v/>
      </c>
      <c r="B6178" s="9" t="str">
        <f>IFERROR(INDEX(Input!$L$20:$T$1019,INT((ROW()-9)/9)+1,MOD(ROW()-9,9)+1),"")</f>
        <v/>
      </c>
      <c r="C6178" s="9">
        <f t="shared" si="96"/>
        <v>0</v>
      </c>
    </row>
    <row r="6179" spans="1:3" x14ac:dyDescent="0.2">
      <c r="A6179" s="10" t="str">
        <f>IF(6171&gt;$C$9008,"",INDEX($B$9:$B$9008,MATCH(6171,$C$9:$C$9008,0)))</f>
        <v/>
      </c>
      <c r="B6179" s="9" t="str">
        <f>IFERROR(INDEX(Input!$L$20:$T$1019,INT((ROW()-9)/9)+1,MOD(ROW()-9,9)+1),"")</f>
        <v/>
      </c>
      <c r="C6179" s="9">
        <f t="shared" si="96"/>
        <v>0</v>
      </c>
    </row>
    <row r="6180" spans="1:3" x14ac:dyDescent="0.2">
      <c r="A6180" s="10" t="str">
        <f>IF(6172&gt;$C$9008,"",INDEX($B$9:$B$9008,MATCH(6172,$C$9:$C$9008,0)))</f>
        <v/>
      </c>
      <c r="B6180" s="9" t="str">
        <f>IFERROR(INDEX(Input!$L$20:$T$1019,INT((ROW()-9)/9)+1,MOD(ROW()-9,9)+1),"")</f>
        <v/>
      </c>
      <c r="C6180" s="9">
        <f t="shared" si="96"/>
        <v>0</v>
      </c>
    </row>
    <row r="6181" spans="1:3" x14ac:dyDescent="0.2">
      <c r="A6181" s="10" t="str">
        <f>IF(6173&gt;$C$9008,"",INDEX($B$9:$B$9008,MATCH(6173,$C$9:$C$9008,0)))</f>
        <v/>
      </c>
      <c r="B6181" s="9" t="str">
        <f>IFERROR(INDEX(Input!$L$20:$T$1019,INT((ROW()-9)/9)+1,MOD(ROW()-9,9)+1),"")</f>
        <v/>
      </c>
      <c r="C6181" s="9">
        <f t="shared" si="96"/>
        <v>0</v>
      </c>
    </row>
    <row r="6182" spans="1:3" x14ac:dyDescent="0.2">
      <c r="A6182" s="10" t="str">
        <f>IF(6174&gt;$C$9008,"",INDEX($B$9:$B$9008,MATCH(6174,$C$9:$C$9008,0)))</f>
        <v/>
      </c>
      <c r="B6182" s="9" t="str">
        <f>IFERROR(INDEX(Input!$L$20:$T$1019,INT((ROW()-9)/9)+1,MOD(ROW()-9,9)+1),"")</f>
        <v/>
      </c>
      <c r="C6182" s="9">
        <f t="shared" si="96"/>
        <v>0</v>
      </c>
    </row>
    <row r="6183" spans="1:3" x14ac:dyDescent="0.2">
      <c r="A6183" s="10" t="str">
        <f>IF(6175&gt;$C$9008,"",INDEX($B$9:$B$9008,MATCH(6175,$C$9:$C$9008,0)))</f>
        <v/>
      </c>
      <c r="B6183" s="9" t="str">
        <f>IFERROR(INDEX(Input!$L$20:$T$1019,INT((ROW()-9)/9)+1,MOD(ROW()-9,9)+1),"")</f>
        <v/>
      </c>
      <c r="C6183" s="9">
        <f t="shared" si="96"/>
        <v>0</v>
      </c>
    </row>
    <row r="6184" spans="1:3" x14ac:dyDescent="0.2">
      <c r="A6184" s="10" t="str">
        <f>IF(6176&gt;$C$9008,"",INDEX($B$9:$B$9008,MATCH(6176,$C$9:$C$9008,0)))</f>
        <v/>
      </c>
      <c r="B6184" s="9" t="str">
        <f>IFERROR(INDEX(Input!$L$20:$T$1019,INT((ROW()-9)/9)+1,MOD(ROW()-9,9)+1),"")</f>
        <v/>
      </c>
      <c r="C6184" s="9">
        <f t="shared" si="96"/>
        <v>0</v>
      </c>
    </row>
    <row r="6185" spans="1:3" x14ac:dyDescent="0.2">
      <c r="A6185" s="10" t="str">
        <f>IF(6177&gt;$C$9008,"",INDEX($B$9:$B$9008,MATCH(6177,$C$9:$C$9008,0)))</f>
        <v/>
      </c>
      <c r="B6185" s="9" t="str">
        <f>IFERROR(INDEX(Input!$L$20:$T$1019,INT((ROW()-9)/9)+1,MOD(ROW()-9,9)+1),"")</f>
        <v/>
      </c>
      <c r="C6185" s="9">
        <f t="shared" si="96"/>
        <v>0</v>
      </c>
    </row>
    <row r="6186" spans="1:3" x14ac:dyDescent="0.2">
      <c r="A6186" s="10" t="str">
        <f>IF(6178&gt;$C$9008,"",INDEX($B$9:$B$9008,MATCH(6178,$C$9:$C$9008,0)))</f>
        <v/>
      </c>
      <c r="B6186" s="9" t="str">
        <f>IFERROR(INDEX(Input!$L$20:$T$1019,INT((ROW()-9)/9)+1,MOD(ROW()-9,9)+1),"")</f>
        <v/>
      </c>
      <c r="C6186" s="9">
        <f t="shared" si="96"/>
        <v>0</v>
      </c>
    </row>
    <row r="6187" spans="1:3" x14ac:dyDescent="0.2">
      <c r="A6187" s="10" t="str">
        <f>IF(6179&gt;$C$9008,"",INDEX($B$9:$B$9008,MATCH(6179,$C$9:$C$9008,0)))</f>
        <v/>
      </c>
      <c r="B6187" s="9" t="str">
        <f>IFERROR(INDEX(Input!$L$20:$T$1019,INT((ROW()-9)/9)+1,MOD(ROW()-9,9)+1),"")</f>
        <v/>
      </c>
      <c r="C6187" s="9">
        <f t="shared" si="96"/>
        <v>0</v>
      </c>
    </row>
    <row r="6188" spans="1:3" x14ac:dyDescent="0.2">
      <c r="A6188" s="10" t="str">
        <f>IF(6180&gt;$C$9008,"",INDEX($B$9:$B$9008,MATCH(6180,$C$9:$C$9008,0)))</f>
        <v/>
      </c>
      <c r="B6188" s="9" t="str">
        <f>IFERROR(INDEX(Input!$L$20:$T$1019,INT((ROW()-9)/9)+1,MOD(ROW()-9,9)+1),"")</f>
        <v/>
      </c>
      <c r="C6188" s="9">
        <f t="shared" si="96"/>
        <v>0</v>
      </c>
    </row>
    <row r="6189" spans="1:3" x14ac:dyDescent="0.2">
      <c r="A6189" s="10" t="str">
        <f>IF(6181&gt;$C$9008,"",INDEX($B$9:$B$9008,MATCH(6181,$C$9:$C$9008,0)))</f>
        <v/>
      </c>
      <c r="B6189" s="9" t="str">
        <f>IFERROR(INDEX(Input!$L$20:$T$1019,INT((ROW()-9)/9)+1,MOD(ROW()-9,9)+1),"")</f>
        <v/>
      </c>
      <c r="C6189" s="9">
        <f t="shared" si="96"/>
        <v>0</v>
      </c>
    </row>
    <row r="6190" spans="1:3" x14ac:dyDescent="0.2">
      <c r="A6190" s="10" t="str">
        <f>IF(6182&gt;$C$9008,"",INDEX($B$9:$B$9008,MATCH(6182,$C$9:$C$9008,0)))</f>
        <v/>
      </c>
      <c r="B6190" s="9" t="str">
        <f>IFERROR(INDEX(Input!$L$20:$T$1019,INT((ROW()-9)/9)+1,MOD(ROW()-9,9)+1),"")</f>
        <v/>
      </c>
      <c r="C6190" s="9">
        <f t="shared" si="96"/>
        <v>0</v>
      </c>
    </row>
    <row r="6191" spans="1:3" x14ac:dyDescent="0.2">
      <c r="A6191" s="10" t="str">
        <f>IF(6183&gt;$C$9008,"",INDEX($B$9:$B$9008,MATCH(6183,$C$9:$C$9008,0)))</f>
        <v/>
      </c>
      <c r="B6191" s="9" t="str">
        <f>IFERROR(INDEX(Input!$L$20:$T$1019,INT((ROW()-9)/9)+1,MOD(ROW()-9,9)+1),"")</f>
        <v/>
      </c>
      <c r="C6191" s="9">
        <f t="shared" si="96"/>
        <v>0</v>
      </c>
    </row>
    <row r="6192" spans="1:3" x14ac:dyDescent="0.2">
      <c r="A6192" s="10" t="str">
        <f>IF(6184&gt;$C$9008,"",INDEX($B$9:$B$9008,MATCH(6184,$C$9:$C$9008,0)))</f>
        <v/>
      </c>
      <c r="B6192" s="9" t="str">
        <f>IFERROR(INDEX(Input!$L$20:$T$1019,INT((ROW()-9)/9)+1,MOD(ROW()-9,9)+1),"")</f>
        <v/>
      </c>
      <c r="C6192" s="9">
        <f t="shared" si="96"/>
        <v>0</v>
      </c>
    </row>
    <row r="6193" spans="1:3" x14ac:dyDescent="0.2">
      <c r="A6193" s="10" t="str">
        <f>IF(6185&gt;$C$9008,"",INDEX($B$9:$B$9008,MATCH(6185,$C$9:$C$9008,0)))</f>
        <v/>
      </c>
      <c r="B6193" s="9" t="str">
        <f>IFERROR(INDEX(Input!$L$20:$T$1019,INT((ROW()-9)/9)+1,MOD(ROW()-9,9)+1),"")</f>
        <v/>
      </c>
      <c r="C6193" s="9">
        <f t="shared" si="96"/>
        <v>0</v>
      </c>
    </row>
    <row r="6194" spans="1:3" x14ac:dyDescent="0.2">
      <c r="A6194" s="10" t="str">
        <f>IF(6186&gt;$C$9008,"",INDEX($B$9:$B$9008,MATCH(6186,$C$9:$C$9008,0)))</f>
        <v/>
      </c>
      <c r="B6194" s="9" t="str">
        <f>IFERROR(INDEX(Input!$L$20:$T$1019,INT((ROW()-9)/9)+1,MOD(ROW()-9,9)+1),"")</f>
        <v/>
      </c>
      <c r="C6194" s="9">
        <f t="shared" si="96"/>
        <v>0</v>
      </c>
    </row>
    <row r="6195" spans="1:3" x14ac:dyDescent="0.2">
      <c r="A6195" s="10" t="str">
        <f>IF(6187&gt;$C$9008,"",INDEX($B$9:$B$9008,MATCH(6187,$C$9:$C$9008,0)))</f>
        <v/>
      </c>
      <c r="B6195" s="9" t="str">
        <f>IFERROR(INDEX(Input!$L$20:$T$1019,INT((ROW()-9)/9)+1,MOD(ROW()-9,9)+1),"")</f>
        <v/>
      </c>
      <c r="C6195" s="9">
        <f t="shared" si="96"/>
        <v>0</v>
      </c>
    </row>
    <row r="6196" spans="1:3" x14ac:dyDescent="0.2">
      <c r="A6196" s="10" t="str">
        <f>IF(6188&gt;$C$9008,"",INDEX($B$9:$B$9008,MATCH(6188,$C$9:$C$9008,0)))</f>
        <v/>
      </c>
      <c r="B6196" s="9" t="str">
        <f>IFERROR(INDEX(Input!$L$20:$T$1019,INT((ROW()-9)/9)+1,MOD(ROW()-9,9)+1),"")</f>
        <v/>
      </c>
      <c r="C6196" s="9">
        <f t="shared" si="96"/>
        <v>0</v>
      </c>
    </row>
    <row r="6197" spans="1:3" x14ac:dyDescent="0.2">
      <c r="A6197" s="10" t="str">
        <f>IF(6189&gt;$C$9008,"",INDEX($B$9:$B$9008,MATCH(6189,$C$9:$C$9008,0)))</f>
        <v/>
      </c>
      <c r="B6197" s="9" t="str">
        <f>IFERROR(INDEX(Input!$L$20:$T$1019,INT((ROW()-9)/9)+1,MOD(ROW()-9,9)+1),"")</f>
        <v/>
      </c>
      <c r="C6197" s="9">
        <f t="shared" si="96"/>
        <v>0</v>
      </c>
    </row>
    <row r="6198" spans="1:3" x14ac:dyDescent="0.2">
      <c r="A6198" s="10" t="str">
        <f>IF(6190&gt;$C$9008,"",INDEX($B$9:$B$9008,MATCH(6190,$C$9:$C$9008,0)))</f>
        <v/>
      </c>
      <c r="B6198" s="9" t="str">
        <f>IFERROR(INDEX(Input!$L$20:$T$1019,INT((ROW()-9)/9)+1,MOD(ROW()-9,9)+1),"")</f>
        <v/>
      </c>
      <c r="C6198" s="9">
        <f t="shared" si="96"/>
        <v>0</v>
      </c>
    </row>
    <row r="6199" spans="1:3" x14ac:dyDescent="0.2">
      <c r="A6199" s="10" t="str">
        <f>IF(6191&gt;$C$9008,"",INDEX($B$9:$B$9008,MATCH(6191,$C$9:$C$9008,0)))</f>
        <v/>
      </c>
      <c r="B6199" s="9" t="str">
        <f>IFERROR(INDEX(Input!$L$20:$T$1019,INT((ROW()-9)/9)+1,MOD(ROW()-9,9)+1),"")</f>
        <v/>
      </c>
      <c r="C6199" s="9">
        <f t="shared" si="96"/>
        <v>0</v>
      </c>
    </row>
    <row r="6200" spans="1:3" x14ac:dyDescent="0.2">
      <c r="A6200" s="10" t="str">
        <f>IF(6192&gt;$C$9008,"",INDEX($B$9:$B$9008,MATCH(6192,$C$9:$C$9008,0)))</f>
        <v/>
      </c>
      <c r="B6200" s="9" t="str">
        <f>IFERROR(INDEX(Input!$L$20:$T$1019,INT((ROW()-9)/9)+1,MOD(ROW()-9,9)+1),"")</f>
        <v/>
      </c>
      <c r="C6200" s="9">
        <f t="shared" si="96"/>
        <v>0</v>
      </c>
    </row>
    <row r="6201" spans="1:3" x14ac:dyDescent="0.2">
      <c r="A6201" s="10" t="str">
        <f>IF(6193&gt;$C$9008,"",INDEX($B$9:$B$9008,MATCH(6193,$C$9:$C$9008,0)))</f>
        <v/>
      </c>
      <c r="B6201" s="9" t="str">
        <f>IFERROR(INDEX(Input!$L$20:$T$1019,INT((ROW()-9)/9)+1,MOD(ROW()-9,9)+1),"")</f>
        <v/>
      </c>
      <c r="C6201" s="9">
        <f t="shared" si="96"/>
        <v>0</v>
      </c>
    </row>
    <row r="6202" spans="1:3" x14ac:dyDescent="0.2">
      <c r="A6202" s="10" t="str">
        <f>IF(6194&gt;$C$9008,"",INDEX($B$9:$B$9008,MATCH(6194,$C$9:$C$9008,0)))</f>
        <v/>
      </c>
      <c r="B6202" s="9" t="str">
        <f>IFERROR(INDEX(Input!$L$20:$T$1019,INT((ROW()-9)/9)+1,MOD(ROW()-9,9)+1),"")</f>
        <v/>
      </c>
      <c r="C6202" s="9">
        <f t="shared" si="96"/>
        <v>0</v>
      </c>
    </row>
    <row r="6203" spans="1:3" x14ac:dyDescent="0.2">
      <c r="A6203" s="10" t="str">
        <f>IF(6195&gt;$C$9008,"",INDEX($B$9:$B$9008,MATCH(6195,$C$9:$C$9008,0)))</f>
        <v/>
      </c>
      <c r="B6203" s="9" t="str">
        <f>IFERROR(INDEX(Input!$L$20:$T$1019,INT((ROW()-9)/9)+1,MOD(ROW()-9,9)+1),"")</f>
        <v/>
      </c>
      <c r="C6203" s="9">
        <f t="shared" si="96"/>
        <v>0</v>
      </c>
    </row>
    <row r="6204" spans="1:3" x14ac:dyDescent="0.2">
      <c r="A6204" s="10" t="str">
        <f>IF(6196&gt;$C$9008,"",INDEX($B$9:$B$9008,MATCH(6196,$C$9:$C$9008,0)))</f>
        <v/>
      </c>
      <c r="B6204" s="9" t="str">
        <f>IFERROR(INDEX(Input!$L$20:$T$1019,INT((ROW()-9)/9)+1,MOD(ROW()-9,9)+1),"")</f>
        <v/>
      </c>
      <c r="C6204" s="9">
        <f t="shared" si="96"/>
        <v>0</v>
      </c>
    </row>
    <row r="6205" spans="1:3" x14ac:dyDescent="0.2">
      <c r="A6205" s="10" t="str">
        <f>IF(6197&gt;$C$9008,"",INDEX($B$9:$B$9008,MATCH(6197,$C$9:$C$9008,0)))</f>
        <v/>
      </c>
      <c r="B6205" s="9" t="str">
        <f>IFERROR(INDEX(Input!$L$20:$T$1019,INT((ROW()-9)/9)+1,MOD(ROW()-9,9)+1),"")</f>
        <v/>
      </c>
      <c r="C6205" s="9">
        <f t="shared" si="96"/>
        <v>0</v>
      </c>
    </row>
    <row r="6206" spans="1:3" x14ac:dyDescent="0.2">
      <c r="A6206" s="10" t="str">
        <f>IF(6198&gt;$C$9008,"",INDEX($B$9:$B$9008,MATCH(6198,$C$9:$C$9008,0)))</f>
        <v/>
      </c>
      <c r="B6206" s="9" t="str">
        <f>IFERROR(INDEX(Input!$L$20:$T$1019,INT((ROW()-9)/9)+1,MOD(ROW()-9,9)+1),"")</f>
        <v/>
      </c>
      <c r="C6206" s="9">
        <f t="shared" si="96"/>
        <v>0</v>
      </c>
    </row>
    <row r="6207" spans="1:3" x14ac:dyDescent="0.2">
      <c r="A6207" s="10" t="str">
        <f>IF(6199&gt;$C$9008,"",INDEX($B$9:$B$9008,MATCH(6199,$C$9:$C$9008,0)))</f>
        <v/>
      </c>
      <c r="B6207" s="9" t="str">
        <f>IFERROR(INDEX(Input!$L$20:$T$1019,INT((ROW()-9)/9)+1,MOD(ROW()-9,9)+1),"")</f>
        <v/>
      </c>
      <c r="C6207" s="9">
        <f t="shared" si="96"/>
        <v>0</v>
      </c>
    </row>
    <row r="6208" spans="1:3" x14ac:dyDescent="0.2">
      <c r="A6208" s="10" t="str">
        <f>IF(6200&gt;$C$9008,"",INDEX($B$9:$B$9008,MATCH(6200,$C$9:$C$9008,0)))</f>
        <v/>
      </c>
      <c r="B6208" s="9" t="str">
        <f>IFERROR(INDEX(Input!$L$20:$T$1019,INT((ROW()-9)/9)+1,MOD(ROW()-9,9)+1),"")</f>
        <v/>
      </c>
      <c r="C6208" s="9">
        <f t="shared" si="96"/>
        <v>0</v>
      </c>
    </row>
    <row r="6209" spans="1:3" x14ac:dyDescent="0.2">
      <c r="A6209" s="10" t="str">
        <f>IF(6201&gt;$C$9008,"",INDEX($B$9:$B$9008,MATCH(6201,$C$9:$C$9008,0)))</f>
        <v/>
      </c>
      <c r="B6209" s="9" t="str">
        <f>IFERROR(INDEX(Input!$L$20:$T$1019,INT((ROW()-9)/9)+1,MOD(ROW()-9,9)+1),"")</f>
        <v/>
      </c>
      <c r="C6209" s="9">
        <f t="shared" si="96"/>
        <v>0</v>
      </c>
    </row>
    <row r="6210" spans="1:3" x14ac:dyDescent="0.2">
      <c r="A6210" s="10" t="str">
        <f>IF(6202&gt;$C$9008,"",INDEX($B$9:$B$9008,MATCH(6202,$C$9:$C$9008,0)))</f>
        <v/>
      </c>
      <c r="B6210" s="9" t="str">
        <f>IFERROR(INDEX(Input!$L$20:$T$1019,INT((ROW()-9)/9)+1,MOD(ROW()-9,9)+1),"")</f>
        <v/>
      </c>
      <c r="C6210" s="9">
        <f t="shared" si="96"/>
        <v>0</v>
      </c>
    </row>
    <row r="6211" spans="1:3" x14ac:dyDescent="0.2">
      <c r="A6211" s="10" t="str">
        <f>IF(6203&gt;$C$9008,"",INDEX($B$9:$B$9008,MATCH(6203,$C$9:$C$9008,0)))</f>
        <v/>
      </c>
      <c r="B6211" s="9" t="str">
        <f>IFERROR(INDEX(Input!$L$20:$T$1019,INT((ROW()-9)/9)+1,MOD(ROW()-9,9)+1),"")</f>
        <v/>
      </c>
      <c r="C6211" s="9">
        <f t="shared" si="96"/>
        <v>0</v>
      </c>
    </row>
    <row r="6212" spans="1:3" x14ac:dyDescent="0.2">
      <c r="A6212" s="10" t="str">
        <f>IF(6204&gt;$C$9008,"",INDEX($B$9:$B$9008,MATCH(6204,$C$9:$C$9008,0)))</f>
        <v/>
      </c>
      <c r="B6212" s="9" t="str">
        <f>IFERROR(INDEX(Input!$L$20:$T$1019,INT((ROW()-9)/9)+1,MOD(ROW()-9,9)+1),"")</f>
        <v/>
      </c>
      <c r="C6212" s="9">
        <f t="shared" si="96"/>
        <v>0</v>
      </c>
    </row>
    <row r="6213" spans="1:3" x14ac:dyDescent="0.2">
      <c r="A6213" s="10" t="str">
        <f>IF(6205&gt;$C$9008,"",INDEX($B$9:$B$9008,MATCH(6205,$C$9:$C$9008,0)))</f>
        <v/>
      </c>
      <c r="B6213" s="9" t="str">
        <f>IFERROR(INDEX(Input!$L$20:$T$1019,INT((ROW()-9)/9)+1,MOD(ROW()-9,9)+1),"")</f>
        <v/>
      </c>
      <c r="C6213" s="9">
        <f t="shared" si="96"/>
        <v>0</v>
      </c>
    </row>
    <row r="6214" spans="1:3" x14ac:dyDescent="0.2">
      <c r="A6214" s="10" t="str">
        <f>IF(6206&gt;$C$9008,"",INDEX($B$9:$B$9008,MATCH(6206,$C$9:$C$9008,0)))</f>
        <v/>
      </c>
      <c r="B6214" s="9" t="str">
        <f>IFERROR(INDEX(Input!$L$20:$T$1019,INT((ROW()-9)/9)+1,MOD(ROW()-9,9)+1),"")</f>
        <v/>
      </c>
      <c r="C6214" s="9">
        <f t="shared" si="96"/>
        <v>0</v>
      </c>
    </row>
    <row r="6215" spans="1:3" x14ac:dyDescent="0.2">
      <c r="A6215" s="10" t="str">
        <f>IF(6207&gt;$C$9008,"",INDEX($B$9:$B$9008,MATCH(6207,$C$9:$C$9008,0)))</f>
        <v/>
      </c>
      <c r="B6215" s="9" t="str">
        <f>IFERROR(INDEX(Input!$L$20:$T$1019,INT((ROW()-9)/9)+1,MOD(ROW()-9,9)+1),"")</f>
        <v/>
      </c>
      <c r="C6215" s="9">
        <f t="shared" si="96"/>
        <v>0</v>
      </c>
    </row>
    <row r="6216" spans="1:3" x14ac:dyDescent="0.2">
      <c r="A6216" s="10" t="str">
        <f>IF(6208&gt;$C$9008,"",INDEX($B$9:$B$9008,MATCH(6208,$C$9:$C$9008,0)))</f>
        <v/>
      </c>
      <c r="B6216" s="9" t="str">
        <f>IFERROR(INDEX(Input!$L$20:$T$1019,INT((ROW()-9)/9)+1,MOD(ROW()-9,9)+1),"")</f>
        <v/>
      </c>
      <c r="C6216" s="9">
        <f t="shared" si="96"/>
        <v>0</v>
      </c>
    </row>
    <row r="6217" spans="1:3" x14ac:dyDescent="0.2">
      <c r="A6217" s="10" t="str">
        <f>IF(6209&gt;$C$9008,"",INDEX($B$9:$B$9008,MATCH(6209,$C$9:$C$9008,0)))</f>
        <v/>
      </c>
      <c r="B6217" s="9" t="str">
        <f>IFERROR(INDEX(Input!$L$20:$T$1019,INT((ROW()-9)/9)+1,MOD(ROW()-9,9)+1),"")</f>
        <v/>
      </c>
      <c r="C6217" s="9">
        <f t="shared" ref="C6217:C6280" si="97">$C6216+IF($B6217&lt;&gt;"",1,0)</f>
        <v>0</v>
      </c>
    </row>
    <row r="6218" spans="1:3" x14ac:dyDescent="0.2">
      <c r="A6218" s="10" t="str">
        <f>IF(6210&gt;$C$9008,"",INDEX($B$9:$B$9008,MATCH(6210,$C$9:$C$9008,0)))</f>
        <v/>
      </c>
      <c r="B6218" s="9" t="str">
        <f>IFERROR(INDEX(Input!$L$20:$T$1019,INT((ROW()-9)/9)+1,MOD(ROW()-9,9)+1),"")</f>
        <v/>
      </c>
      <c r="C6218" s="9">
        <f t="shared" si="97"/>
        <v>0</v>
      </c>
    </row>
    <row r="6219" spans="1:3" x14ac:dyDescent="0.2">
      <c r="A6219" s="10" t="str">
        <f>IF(6211&gt;$C$9008,"",INDEX($B$9:$B$9008,MATCH(6211,$C$9:$C$9008,0)))</f>
        <v/>
      </c>
      <c r="B6219" s="9" t="str">
        <f>IFERROR(INDEX(Input!$L$20:$T$1019,INT((ROW()-9)/9)+1,MOD(ROW()-9,9)+1),"")</f>
        <v/>
      </c>
      <c r="C6219" s="9">
        <f t="shared" si="97"/>
        <v>0</v>
      </c>
    </row>
    <row r="6220" spans="1:3" x14ac:dyDescent="0.2">
      <c r="A6220" s="10" t="str">
        <f>IF(6212&gt;$C$9008,"",INDEX($B$9:$B$9008,MATCH(6212,$C$9:$C$9008,0)))</f>
        <v/>
      </c>
      <c r="B6220" s="9" t="str">
        <f>IFERROR(INDEX(Input!$L$20:$T$1019,INT((ROW()-9)/9)+1,MOD(ROW()-9,9)+1),"")</f>
        <v/>
      </c>
      <c r="C6220" s="9">
        <f t="shared" si="97"/>
        <v>0</v>
      </c>
    </row>
    <row r="6221" spans="1:3" x14ac:dyDescent="0.2">
      <c r="A6221" s="10" t="str">
        <f>IF(6213&gt;$C$9008,"",INDEX($B$9:$B$9008,MATCH(6213,$C$9:$C$9008,0)))</f>
        <v/>
      </c>
      <c r="B6221" s="9" t="str">
        <f>IFERROR(INDEX(Input!$L$20:$T$1019,INT((ROW()-9)/9)+1,MOD(ROW()-9,9)+1),"")</f>
        <v/>
      </c>
      <c r="C6221" s="9">
        <f t="shared" si="97"/>
        <v>0</v>
      </c>
    </row>
    <row r="6222" spans="1:3" x14ac:dyDescent="0.2">
      <c r="A6222" s="10" t="str">
        <f>IF(6214&gt;$C$9008,"",INDEX($B$9:$B$9008,MATCH(6214,$C$9:$C$9008,0)))</f>
        <v/>
      </c>
      <c r="B6222" s="9" t="str">
        <f>IFERROR(INDEX(Input!$L$20:$T$1019,INT((ROW()-9)/9)+1,MOD(ROW()-9,9)+1),"")</f>
        <v/>
      </c>
      <c r="C6222" s="9">
        <f t="shared" si="97"/>
        <v>0</v>
      </c>
    </row>
    <row r="6223" spans="1:3" x14ac:dyDescent="0.2">
      <c r="A6223" s="10" t="str">
        <f>IF(6215&gt;$C$9008,"",INDEX($B$9:$B$9008,MATCH(6215,$C$9:$C$9008,0)))</f>
        <v/>
      </c>
      <c r="B6223" s="9" t="str">
        <f>IFERROR(INDEX(Input!$L$20:$T$1019,INT((ROW()-9)/9)+1,MOD(ROW()-9,9)+1),"")</f>
        <v/>
      </c>
      <c r="C6223" s="9">
        <f t="shared" si="97"/>
        <v>0</v>
      </c>
    </row>
    <row r="6224" spans="1:3" x14ac:dyDescent="0.2">
      <c r="A6224" s="10" t="str">
        <f>IF(6216&gt;$C$9008,"",INDEX($B$9:$B$9008,MATCH(6216,$C$9:$C$9008,0)))</f>
        <v/>
      </c>
      <c r="B6224" s="9" t="str">
        <f>IFERROR(INDEX(Input!$L$20:$T$1019,INT((ROW()-9)/9)+1,MOD(ROW()-9,9)+1),"")</f>
        <v/>
      </c>
      <c r="C6224" s="9">
        <f t="shared" si="97"/>
        <v>0</v>
      </c>
    </row>
    <row r="6225" spans="1:3" x14ac:dyDescent="0.2">
      <c r="A6225" s="10" t="str">
        <f>IF(6217&gt;$C$9008,"",INDEX($B$9:$B$9008,MATCH(6217,$C$9:$C$9008,0)))</f>
        <v/>
      </c>
      <c r="B6225" s="9" t="str">
        <f>IFERROR(INDEX(Input!$L$20:$T$1019,INT((ROW()-9)/9)+1,MOD(ROW()-9,9)+1),"")</f>
        <v/>
      </c>
      <c r="C6225" s="9">
        <f t="shared" si="97"/>
        <v>0</v>
      </c>
    </row>
    <row r="6226" spans="1:3" x14ac:dyDescent="0.2">
      <c r="A6226" s="10" t="str">
        <f>IF(6218&gt;$C$9008,"",INDEX($B$9:$B$9008,MATCH(6218,$C$9:$C$9008,0)))</f>
        <v/>
      </c>
      <c r="B6226" s="9" t="str">
        <f>IFERROR(INDEX(Input!$L$20:$T$1019,INT((ROW()-9)/9)+1,MOD(ROW()-9,9)+1),"")</f>
        <v/>
      </c>
      <c r="C6226" s="9">
        <f t="shared" si="97"/>
        <v>0</v>
      </c>
    </row>
    <row r="6227" spans="1:3" x14ac:dyDescent="0.2">
      <c r="A6227" s="10" t="str">
        <f>IF(6219&gt;$C$9008,"",INDEX($B$9:$B$9008,MATCH(6219,$C$9:$C$9008,0)))</f>
        <v/>
      </c>
      <c r="B6227" s="9" t="str">
        <f>IFERROR(INDEX(Input!$L$20:$T$1019,INT((ROW()-9)/9)+1,MOD(ROW()-9,9)+1),"")</f>
        <v/>
      </c>
      <c r="C6227" s="9">
        <f t="shared" si="97"/>
        <v>0</v>
      </c>
    </row>
    <row r="6228" spans="1:3" x14ac:dyDescent="0.2">
      <c r="A6228" s="10" t="str">
        <f>IF(6220&gt;$C$9008,"",INDEX($B$9:$B$9008,MATCH(6220,$C$9:$C$9008,0)))</f>
        <v/>
      </c>
      <c r="B6228" s="9" t="str">
        <f>IFERROR(INDEX(Input!$L$20:$T$1019,INT((ROW()-9)/9)+1,MOD(ROW()-9,9)+1),"")</f>
        <v/>
      </c>
      <c r="C6228" s="9">
        <f t="shared" si="97"/>
        <v>0</v>
      </c>
    </row>
    <row r="6229" spans="1:3" x14ac:dyDescent="0.2">
      <c r="A6229" s="10" t="str">
        <f>IF(6221&gt;$C$9008,"",INDEX($B$9:$B$9008,MATCH(6221,$C$9:$C$9008,0)))</f>
        <v/>
      </c>
      <c r="B6229" s="9" t="str">
        <f>IFERROR(INDEX(Input!$L$20:$T$1019,INT((ROW()-9)/9)+1,MOD(ROW()-9,9)+1),"")</f>
        <v/>
      </c>
      <c r="C6229" s="9">
        <f t="shared" si="97"/>
        <v>0</v>
      </c>
    </row>
    <row r="6230" spans="1:3" x14ac:dyDescent="0.2">
      <c r="A6230" s="10" t="str">
        <f>IF(6222&gt;$C$9008,"",INDEX($B$9:$B$9008,MATCH(6222,$C$9:$C$9008,0)))</f>
        <v/>
      </c>
      <c r="B6230" s="9" t="str">
        <f>IFERROR(INDEX(Input!$L$20:$T$1019,INT((ROW()-9)/9)+1,MOD(ROW()-9,9)+1),"")</f>
        <v/>
      </c>
      <c r="C6230" s="9">
        <f t="shared" si="97"/>
        <v>0</v>
      </c>
    </row>
    <row r="6231" spans="1:3" x14ac:dyDescent="0.2">
      <c r="A6231" s="10" t="str">
        <f>IF(6223&gt;$C$9008,"",INDEX($B$9:$B$9008,MATCH(6223,$C$9:$C$9008,0)))</f>
        <v/>
      </c>
      <c r="B6231" s="9" t="str">
        <f>IFERROR(INDEX(Input!$L$20:$T$1019,INT((ROW()-9)/9)+1,MOD(ROW()-9,9)+1),"")</f>
        <v/>
      </c>
      <c r="C6231" s="9">
        <f t="shared" si="97"/>
        <v>0</v>
      </c>
    </row>
    <row r="6232" spans="1:3" x14ac:dyDescent="0.2">
      <c r="A6232" s="10" t="str">
        <f>IF(6224&gt;$C$9008,"",INDEX($B$9:$B$9008,MATCH(6224,$C$9:$C$9008,0)))</f>
        <v/>
      </c>
      <c r="B6232" s="9" t="str">
        <f>IFERROR(INDEX(Input!$L$20:$T$1019,INT((ROW()-9)/9)+1,MOD(ROW()-9,9)+1),"")</f>
        <v/>
      </c>
      <c r="C6232" s="9">
        <f t="shared" si="97"/>
        <v>0</v>
      </c>
    </row>
    <row r="6233" spans="1:3" x14ac:dyDescent="0.2">
      <c r="A6233" s="10" t="str">
        <f>IF(6225&gt;$C$9008,"",INDEX($B$9:$B$9008,MATCH(6225,$C$9:$C$9008,0)))</f>
        <v/>
      </c>
      <c r="B6233" s="9" t="str">
        <f>IFERROR(INDEX(Input!$L$20:$T$1019,INT((ROW()-9)/9)+1,MOD(ROW()-9,9)+1),"")</f>
        <v/>
      </c>
      <c r="C6233" s="9">
        <f t="shared" si="97"/>
        <v>0</v>
      </c>
    </row>
    <row r="6234" spans="1:3" x14ac:dyDescent="0.2">
      <c r="A6234" s="10" t="str">
        <f>IF(6226&gt;$C$9008,"",INDEX($B$9:$B$9008,MATCH(6226,$C$9:$C$9008,0)))</f>
        <v/>
      </c>
      <c r="B6234" s="9" t="str">
        <f>IFERROR(INDEX(Input!$L$20:$T$1019,INT((ROW()-9)/9)+1,MOD(ROW()-9,9)+1),"")</f>
        <v/>
      </c>
      <c r="C6234" s="9">
        <f t="shared" si="97"/>
        <v>0</v>
      </c>
    </row>
    <row r="6235" spans="1:3" x14ac:dyDescent="0.2">
      <c r="A6235" s="10" t="str">
        <f>IF(6227&gt;$C$9008,"",INDEX($B$9:$B$9008,MATCH(6227,$C$9:$C$9008,0)))</f>
        <v/>
      </c>
      <c r="B6235" s="9" t="str">
        <f>IFERROR(INDEX(Input!$L$20:$T$1019,INT((ROW()-9)/9)+1,MOD(ROW()-9,9)+1),"")</f>
        <v/>
      </c>
      <c r="C6235" s="9">
        <f t="shared" si="97"/>
        <v>0</v>
      </c>
    </row>
    <row r="6236" spans="1:3" x14ac:dyDescent="0.2">
      <c r="A6236" s="10" t="str">
        <f>IF(6228&gt;$C$9008,"",INDEX($B$9:$B$9008,MATCH(6228,$C$9:$C$9008,0)))</f>
        <v/>
      </c>
      <c r="B6236" s="9" t="str">
        <f>IFERROR(INDEX(Input!$L$20:$T$1019,INT((ROW()-9)/9)+1,MOD(ROW()-9,9)+1),"")</f>
        <v/>
      </c>
      <c r="C6236" s="9">
        <f t="shared" si="97"/>
        <v>0</v>
      </c>
    </row>
    <row r="6237" spans="1:3" x14ac:dyDescent="0.2">
      <c r="A6237" s="10" t="str">
        <f>IF(6229&gt;$C$9008,"",INDEX($B$9:$B$9008,MATCH(6229,$C$9:$C$9008,0)))</f>
        <v/>
      </c>
      <c r="B6237" s="9" t="str">
        <f>IFERROR(INDEX(Input!$L$20:$T$1019,INT((ROW()-9)/9)+1,MOD(ROW()-9,9)+1),"")</f>
        <v/>
      </c>
      <c r="C6237" s="9">
        <f t="shared" si="97"/>
        <v>0</v>
      </c>
    </row>
    <row r="6238" spans="1:3" x14ac:dyDescent="0.2">
      <c r="A6238" s="10" t="str">
        <f>IF(6230&gt;$C$9008,"",INDEX($B$9:$B$9008,MATCH(6230,$C$9:$C$9008,0)))</f>
        <v/>
      </c>
      <c r="B6238" s="9" t="str">
        <f>IFERROR(INDEX(Input!$L$20:$T$1019,INT((ROW()-9)/9)+1,MOD(ROW()-9,9)+1),"")</f>
        <v/>
      </c>
      <c r="C6238" s="9">
        <f t="shared" si="97"/>
        <v>0</v>
      </c>
    </row>
    <row r="6239" spans="1:3" x14ac:dyDescent="0.2">
      <c r="A6239" s="10" t="str">
        <f>IF(6231&gt;$C$9008,"",INDEX($B$9:$B$9008,MATCH(6231,$C$9:$C$9008,0)))</f>
        <v/>
      </c>
      <c r="B6239" s="9" t="str">
        <f>IFERROR(INDEX(Input!$L$20:$T$1019,INT((ROW()-9)/9)+1,MOD(ROW()-9,9)+1),"")</f>
        <v/>
      </c>
      <c r="C6239" s="9">
        <f t="shared" si="97"/>
        <v>0</v>
      </c>
    </row>
    <row r="6240" spans="1:3" x14ac:dyDescent="0.2">
      <c r="A6240" s="10" t="str">
        <f>IF(6232&gt;$C$9008,"",INDEX($B$9:$B$9008,MATCH(6232,$C$9:$C$9008,0)))</f>
        <v/>
      </c>
      <c r="B6240" s="9" t="str">
        <f>IFERROR(INDEX(Input!$L$20:$T$1019,INT((ROW()-9)/9)+1,MOD(ROW()-9,9)+1),"")</f>
        <v/>
      </c>
      <c r="C6240" s="9">
        <f t="shared" si="97"/>
        <v>0</v>
      </c>
    </row>
    <row r="6241" spans="1:3" x14ac:dyDescent="0.2">
      <c r="A6241" s="10" t="str">
        <f>IF(6233&gt;$C$9008,"",INDEX($B$9:$B$9008,MATCH(6233,$C$9:$C$9008,0)))</f>
        <v/>
      </c>
      <c r="B6241" s="9" t="str">
        <f>IFERROR(INDEX(Input!$L$20:$T$1019,INT((ROW()-9)/9)+1,MOD(ROW()-9,9)+1),"")</f>
        <v/>
      </c>
      <c r="C6241" s="9">
        <f t="shared" si="97"/>
        <v>0</v>
      </c>
    </row>
    <row r="6242" spans="1:3" x14ac:dyDescent="0.2">
      <c r="A6242" s="10" t="str">
        <f>IF(6234&gt;$C$9008,"",INDEX($B$9:$B$9008,MATCH(6234,$C$9:$C$9008,0)))</f>
        <v/>
      </c>
      <c r="B6242" s="9" t="str">
        <f>IFERROR(INDEX(Input!$L$20:$T$1019,INT((ROW()-9)/9)+1,MOD(ROW()-9,9)+1),"")</f>
        <v/>
      </c>
      <c r="C6242" s="9">
        <f t="shared" si="97"/>
        <v>0</v>
      </c>
    </row>
    <row r="6243" spans="1:3" x14ac:dyDescent="0.2">
      <c r="A6243" s="10" t="str">
        <f>IF(6235&gt;$C$9008,"",INDEX($B$9:$B$9008,MATCH(6235,$C$9:$C$9008,0)))</f>
        <v/>
      </c>
      <c r="B6243" s="9" t="str">
        <f>IFERROR(INDEX(Input!$L$20:$T$1019,INT((ROW()-9)/9)+1,MOD(ROW()-9,9)+1),"")</f>
        <v/>
      </c>
      <c r="C6243" s="9">
        <f t="shared" si="97"/>
        <v>0</v>
      </c>
    </row>
    <row r="6244" spans="1:3" x14ac:dyDescent="0.2">
      <c r="A6244" s="10" t="str">
        <f>IF(6236&gt;$C$9008,"",INDEX($B$9:$B$9008,MATCH(6236,$C$9:$C$9008,0)))</f>
        <v/>
      </c>
      <c r="B6244" s="9" t="str">
        <f>IFERROR(INDEX(Input!$L$20:$T$1019,INT((ROW()-9)/9)+1,MOD(ROW()-9,9)+1),"")</f>
        <v/>
      </c>
      <c r="C6244" s="9">
        <f t="shared" si="97"/>
        <v>0</v>
      </c>
    </row>
    <row r="6245" spans="1:3" x14ac:dyDescent="0.2">
      <c r="A6245" s="10" t="str">
        <f>IF(6237&gt;$C$9008,"",INDEX($B$9:$B$9008,MATCH(6237,$C$9:$C$9008,0)))</f>
        <v/>
      </c>
      <c r="B6245" s="9" t="str">
        <f>IFERROR(INDEX(Input!$L$20:$T$1019,INT((ROW()-9)/9)+1,MOD(ROW()-9,9)+1),"")</f>
        <v/>
      </c>
      <c r="C6245" s="9">
        <f t="shared" si="97"/>
        <v>0</v>
      </c>
    </row>
    <row r="6246" spans="1:3" x14ac:dyDescent="0.2">
      <c r="A6246" s="10" t="str">
        <f>IF(6238&gt;$C$9008,"",INDEX($B$9:$B$9008,MATCH(6238,$C$9:$C$9008,0)))</f>
        <v/>
      </c>
      <c r="B6246" s="9" t="str">
        <f>IFERROR(INDEX(Input!$L$20:$T$1019,INT((ROW()-9)/9)+1,MOD(ROW()-9,9)+1),"")</f>
        <v/>
      </c>
      <c r="C6246" s="9">
        <f t="shared" si="97"/>
        <v>0</v>
      </c>
    </row>
    <row r="6247" spans="1:3" x14ac:dyDescent="0.2">
      <c r="A6247" s="10" t="str">
        <f>IF(6239&gt;$C$9008,"",INDEX($B$9:$B$9008,MATCH(6239,$C$9:$C$9008,0)))</f>
        <v/>
      </c>
      <c r="B6247" s="9" t="str">
        <f>IFERROR(INDEX(Input!$L$20:$T$1019,INT((ROW()-9)/9)+1,MOD(ROW()-9,9)+1),"")</f>
        <v/>
      </c>
      <c r="C6247" s="9">
        <f t="shared" si="97"/>
        <v>0</v>
      </c>
    </row>
    <row r="6248" spans="1:3" x14ac:dyDescent="0.2">
      <c r="A6248" s="10" t="str">
        <f>IF(6240&gt;$C$9008,"",INDEX($B$9:$B$9008,MATCH(6240,$C$9:$C$9008,0)))</f>
        <v/>
      </c>
      <c r="B6248" s="9" t="str">
        <f>IFERROR(INDEX(Input!$L$20:$T$1019,INT((ROW()-9)/9)+1,MOD(ROW()-9,9)+1),"")</f>
        <v/>
      </c>
      <c r="C6248" s="9">
        <f t="shared" si="97"/>
        <v>0</v>
      </c>
    </row>
    <row r="6249" spans="1:3" x14ac:dyDescent="0.2">
      <c r="A6249" s="10" t="str">
        <f>IF(6241&gt;$C$9008,"",INDEX($B$9:$B$9008,MATCH(6241,$C$9:$C$9008,0)))</f>
        <v/>
      </c>
      <c r="B6249" s="9" t="str">
        <f>IFERROR(INDEX(Input!$L$20:$T$1019,INT((ROW()-9)/9)+1,MOD(ROW()-9,9)+1),"")</f>
        <v/>
      </c>
      <c r="C6249" s="9">
        <f t="shared" si="97"/>
        <v>0</v>
      </c>
    </row>
    <row r="6250" spans="1:3" x14ac:dyDescent="0.2">
      <c r="A6250" s="10" t="str">
        <f>IF(6242&gt;$C$9008,"",INDEX($B$9:$B$9008,MATCH(6242,$C$9:$C$9008,0)))</f>
        <v/>
      </c>
      <c r="B6250" s="9" t="str">
        <f>IFERROR(INDEX(Input!$L$20:$T$1019,INT((ROW()-9)/9)+1,MOD(ROW()-9,9)+1),"")</f>
        <v/>
      </c>
      <c r="C6250" s="9">
        <f t="shared" si="97"/>
        <v>0</v>
      </c>
    </row>
    <row r="6251" spans="1:3" x14ac:dyDescent="0.2">
      <c r="A6251" s="10" t="str">
        <f>IF(6243&gt;$C$9008,"",INDEX($B$9:$B$9008,MATCH(6243,$C$9:$C$9008,0)))</f>
        <v/>
      </c>
      <c r="B6251" s="9" t="str">
        <f>IFERROR(INDEX(Input!$L$20:$T$1019,INT((ROW()-9)/9)+1,MOD(ROW()-9,9)+1),"")</f>
        <v/>
      </c>
      <c r="C6251" s="9">
        <f t="shared" si="97"/>
        <v>0</v>
      </c>
    </row>
    <row r="6252" spans="1:3" x14ac:dyDescent="0.2">
      <c r="A6252" s="10" t="str">
        <f>IF(6244&gt;$C$9008,"",INDEX($B$9:$B$9008,MATCH(6244,$C$9:$C$9008,0)))</f>
        <v/>
      </c>
      <c r="B6252" s="9" t="str">
        <f>IFERROR(INDEX(Input!$L$20:$T$1019,INT((ROW()-9)/9)+1,MOD(ROW()-9,9)+1),"")</f>
        <v/>
      </c>
      <c r="C6252" s="9">
        <f t="shared" si="97"/>
        <v>0</v>
      </c>
    </row>
    <row r="6253" spans="1:3" x14ac:dyDescent="0.2">
      <c r="A6253" s="10" t="str">
        <f>IF(6245&gt;$C$9008,"",INDEX($B$9:$B$9008,MATCH(6245,$C$9:$C$9008,0)))</f>
        <v/>
      </c>
      <c r="B6253" s="9" t="str">
        <f>IFERROR(INDEX(Input!$L$20:$T$1019,INT((ROW()-9)/9)+1,MOD(ROW()-9,9)+1),"")</f>
        <v/>
      </c>
      <c r="C6253" s="9">
        <f t="shared" si="97"/>
        <v>0</v>
      </c>
    </row>
    <row r="6254" spans="1:3" x14ac:dyDescent="0.2">
      <c r="A6254" s="10" t="str">
        <f>IF(6246&gt;$C$9008,"",INDEX($B$9:$B$9008,MATCH(6246,$C$9:$C$9008,0)))</f>
        <v/>
      </c>
      <c r="B6254" s="9" t="str">
        <f>IFERROR(INDEX(Input!$L$20:$T$1019,INT((ROW()-9)/9)+1,MOD(ROW()-9,9)+1),"")</f>
        <v/>
      </c>
      <c r="C6254" s="9">
        <f t="shared" si="97"/>
        <v>0</v>
      </c>
    </row>
    <row r="6255" spans="1:3" x14ac:dyDescent="0.2">
      <c r="A6255" s="10" t="str">
        <f>IF(6247&gt;$C$9008,"",INDEX($B$9:$B$9008,MATCH(6247,$C$9:$C$9008,0)))</f>
        <v/>
      </c>
      <c r="B6255" s="9" t="str">
        <f>IFERROR(INDEX(Input!$L$20:$T$1019,INT((ROW()-9)/9)+1,MOD(ROW()-9,9)+1),"")</f>
        <v/>
      </c>
      <c r="C6255" s="9">
        <f t="shared" si="97"/>
        <v>0</v>
      </c>
    </row>
    <row r="6256" spans="1:3" x14ac:dyDescent="0.2">
      <c r="A6256" s="10" t="str">
        <f>IF(6248&gt;$C$9008,"",INDEX($B$9:$B$9008,MATCH(6248,$C$9:$C$9008,0)))</f>
        <v/>
      </c>
      <c r="B6256" s="9" t="str">
        <f>IFERROR(INDEX(Input!$L$20:$T$1019,INT((ROW()-9)/9)+1,MOD(ROW()-9,9)+1),"")</f>
        <v/>
      </c>
      <c r="C6256" s="9">
        <f t="shared" si="97"/>
        <v>0</v>
      </c>
    </row>
    <row r="6257" spans="1:3" x14ac:dyDescent="0.2">
      <c r="A6257" s="10" t="str">
        <f>IF(6249&gt;$C$9008,"",INDEX($B$9:$B$9008,MATCH(6249,$C$9:$C$9008,0)))</f>
        <v/>
      </c>
      <c r="B6257" s="9" t="str">
        <f>IFERROR(INDEX(Input!$L$20:$T$1019,INT((ROW()-9)/9)+1,MOD(ROW()-9,9)+1),"")</f>
        <v/>
      </c>
      <c r="C6257" s="9">
        <f t="shared" si="97"/>
        <v>0</v>
      </c>
    </row>
    <row r="6258" spans="1:3" x14ac:dyDescent="0.2">
      <c r="A6258" s="10" t="str">
        <f>IF(6250&gt;$C$9008,"",INDEX($B$9:$B$9008,MATCH(6250,$C$9:$C$9008,0)))</f>
        <v/>
      </c>
      <c r="B6258" s="9" t="str">
        <f>IFERROR(INDEX(Input!$L$20:$T$1019,INT((ROW()-9)/9)+1,MOD(ROW()-9,9)+1),"")</f>
        <v/>
      </c>
      <c r="C6258" s="9">
        <f t="shared" si="97"/>
        <v>0</v>
      </c>
    </row>
    <row r="6259" spans="1:3" x14ac:dyDescent="0.2">
      <c r="A6259" s="10" t="str">
        <f>IF(6251&gt;$C$9008,"",INDEX($B$9:$B$9008,MATCH(6251,$C$9:$C$9008,0)))</f>
        <v/>
      </c>
      <c r="B6259" s="9" t="str">
        <f>IFERROR(INDEX(Input!$L$20:$T$1019,INT((ROW()-9)/9)+1,MOD(ROW()-9,9)+1),"")</f>
        <v/>
      </c>
      <c r="C6259" s="9">
        <f t="shared" si="97"/>
        <v>0</v>
      </c>
    </row>
    <row r="6260" spans="1:3" x14ac:dyDescent="0.2">
      <c r="A6260" s="10" t="str">
        <f>IF(6252&gt;$C$9008,"",INDEX($B$9:$B$9008,MATCH(6252,$C$9:$C$9008,0)))</f>
        <v/>
      </c>
      <c r="B6260" s="9" t="str">
        <f>IFERROR(INDEX(Input!$L$20:$T$1019,INT((ROW()-9)/9)+1,MOD(ROW()-9,9)+1),"")</f>
        <v/>
      </c>
      <c r="C6260" s="9">
        <f t="shared" si="97"/>
        <v>0</v>
      </c>
    </row>
    <row r="6261" spans="1:3" x14ac:dyDescent="0.2">
      <c r="A6261" s="10" t="str">
        <f>IF(6253&gt;$C$9008,"",INDEX($B$9:$B$9008,MATCH(6253,$C$9:$C$9008,0)))</f>
        <v/>
      </c>
      <c r="B6261" s="9" t="str">
        <f>IFERROR(INDEX(Input!$L$20:$T$1019,INT((ROW()-9)/9)+1,MOD(ROW()-9,9)+1),"")</f>
        <v/>
      </c>
      <c r="C6261" s="9">
        <f t="shared" si="97"/>
        <v>0</v>
      </c>
    </row>
    <row r="6262" spans="1:3" x14ac:dyDescent="0.2">
      <c r="A6262" s="10" t="str">
        <f>IF(6254&gt;$C$9008,"",INDEX($B$9:$B$9008,MATCH(6254,$C$9:$C$9008,0)))</f>
        <v/>
      </c>
      <c r="B6262" s="9" t="str">
        <f>IFERROR(INDEX(Input!$L$20:$T$1019,INT((ROW()-9)/9)+1,MOD(ROW()-9,9)+1),"")</f>
        <v/>
      </c>
      <c r="C6262" s="9">
        <f t="shared" si="97"/>
        <v>0</v>
      </c>
    </row>
    <row r="6263" spans="1:3" x14ac:dyDescent="0.2">
      <c r="A6263" s="10" t="str">
        <f>IF(6255&gt;$C$9008,"",INDEX($B$9:$B$9008,MATCH(6255,$C$9:$C$9008,0)))</f>
        <v/>
      </c>
      <c r="B6263" s="9" t="str">
        <f>IFERROR(INDEX(Input!$L$20:$T$1019,INT((ROW()-9)/9)+1,MOD(ROW()-9,9)+1),"")</f>
        <v/>
      </c>
      <c r="C6263" s="9">
        <f t="shared" si="97"/>
        <v>0</v>
      </c>
    </row>
    <row r="6264" spans="1:3" x14ac:dyDescent="0.2">
      <c r="A6264" s="10" t="str">
        <f>IF(6256&gt;$C$9008,"",INDEX($B$9:$B$9008,MATCH(6256,$C$9:$C$9008,0)))</f>
        <v/>
      </c>
      <c r="B6264" s="9" t="str">
        <f>IFERROR(INDEX(Input!$L$20:$T$1019,INT((ROW()-9)/9)+1,MOD(ROW()-9,9)+1),"")</f>
        <v/>
      </c>
      <c r="C6264" s="9">
        <f t="shared" si="97"/>
        <v>0</v>
      </c>
    </row>
    <row r="6265" spans="1:3" x14ac:dyDescent="0.2">
      <c r="A6265" s="10" t="str">
        <f>IF(6257&gt;$C$9008,"",INDEX($B$9:$B$9008,MATCH(6257,$C$9:$C$9008,0)))</f>
        <v/>
      </c>
      <c r="B6265" s="9" t="str">
        <f>IFERROR(INDEX(Input!$L$20:$T$1019,INT((ROW()-9)/9)+1,MOD(ROW()-9,9)+1),"")</f>
        <v/>
      </c>
      <c r="C6265" s="9">
        <f t="shared" si="97"/>
        <v>0</v>
      </c>
    </row>
    <row r="6266" spans="1:3" x14ac:dyDescent="0.2">
      <c r="A6266" s="10" t="str">
        <f>IF(6258&gt;$C$9008,"",INDEX($B$9:$B$9008,MATCH(6258,$C$9:$C$9008,0)))</f>
        <v/>
      </c>
      <c r="B6266" s="9" t="str">
        <f>IFERROR(INDEX(Input!$L$20:$T$1019,INT((ROW()-9)/9)+1,MOD(ROW()-9,9)+1),"")</f>
        <v/>
      </c>
      <c r="C6266" s="9">
        <f t="shared" si="97"/>
        <v>0</v>
      </c>
    </row>
    <row r="6267" spans="1:3" x14ac:dyDescent="0.2">
      <c r="A6267" s="10" t="str">
        <f>IF(6259&gt;$C$9008,"",INDEX($B$9:$B$9008,MATCH(6259,$C$9:$C$9008,0)))</f>
        <v/>
      </c>
      <c r="B6267" s="9" t="str">
        <f>IFERROR(INDEX(Input!$L$20:$T$1019,INT((ROW()-9)/9)+1,MOD(ROW()-9,9)+1),"")</f>
        <v/>
      </c>
      <c r="C6267" s="9">
        <f t="shared" si="97"/>
        <v>0</v>
      </c>
    </row>
    <row r="6268" spans="1:3" x14ac:dyDescent="0.2">
      <c r="A6268" s="10" t="str">
        <f>IF(6260&gt;$C$9008,"",INDEX($B$9:$B$9008,MATCH(6260,$C$9:$C$9008,0)))</f>
        <v/>
      </c>
      <c r="B6268" s="9" t="str">
        <f>IFERROR(INDEX(Input!$L$20:$T$1019,INT((ROW()-9)/9)+1,MOD(ROW()-9,9)+1),"")</f>
        <v/>
      </c>
      <c r="C6268" s="9">
        <f t="shared" si="97"/>
        <v>0</v>
      </c>
    </row>
    <row r="6269" spans="1:3" x14ac:dyDescent="0.2">
      <c r="A6269" s="10" t="str">
        <f>IF(6261&gt;$C$9008,"",INDEX($B$9:$B$9008,MATCH(6261,$C$9:$C$9008,0)))</f>
        <v/>
      </c>
      <c r="B6269" s="9" t="str">
        <f>IFERROR(INDEX(Input!$L$20:$T$1019,INT((ROW()-9)/9)+1,MOD(ROW()-9,9)+1),"")</f>
        <v/>
      </c>
      <c r="C6269" s="9">
        <f t="shared" si="97"/>
        <v>0</v>
      </c>
    </row>
    <row r="6270" spans="1:3" x14ac:dyDescent="0.2">
      <c r="A6270" s="10" t="str">
        <f>IF(6262&gt;$C$9008,"",INDEX($B$9:$B$9008,MATCH(6262,$C$9:$C$9008,0)))</f>
        <v/>
      </c>
      <c r="B6270" s="9" t="str">
        <f>IFERROR(INDEX(Input!$L$20:$T$1019,INT((ROW()-9)/9)+1,MOD(ROW()-9,9)+1),"")</f>
        <v/>
      </c>
      <c r="C6270" s="9">
        <f t="shared" si="97"/>
        <v>0</v>
      </c>
    </row>
    <row r="6271" spans="1:3" x14ac:dyDescent="0.2">
      <c r="A6271" s="10" t="str">
        <f>IF(6263&gt;$C$9008,"",INDEX($B$9:$B$9008,MATCH(6263,$C$9:$C$9008,0)))</f>
        <v/>
      </c>
      <c r="B6271" s="9" t="str">
        <f>IFERROR(INDEX(Input!$L$20:$T$1019,INT((ROW()-9)/9)+1,MOD(ROW()-9,9)+1),"")</f>
        <v/>
      </c>
      <c r="C6271" s="9">
        <f t="shared" si="97"/>
        <v>0</v>
      </c>
    </row>
    <row r="6272" spans="1:3" x14ac:dyDescent="0.2">
      <c r="A6272" s="10" t="str">
        <f>IF(6264&gt;$C$9008,"",INDEX($B$9:$B$9008,MATCH(6264,$C$9:$C$9008,0)))</f>
        <v/>
      </c>
      <c r="B6272" s="9" t="str">
        <f>IFERROR(INDEX(Input!$L$20:$T$1019,INT((ROW()-9)/9)+1,MOD(ROW()-9,9)+1),"")</f>
        <v/>
      </c>
      <c r="C6272" s="9">
        <f t="shared" si="97"/>
        <v>0</v>
      </c>
    </row>
    <row r="6273" spans="1:3" x14ac:dyDescent="0.2">
      <c r="A6273" s="10" t="str">
        <f>IF(6265&gt;$C$9008,"",INDEX($B$9:$B$9008,MATCH(6265,$C$9:$C$9008,0)))</f>
        <v/>
      </c>
      <c r="B6273" s="9" t="str">
        <f>IFERROR(INDEX(Input!$L$20:$T$1019,INT((ROW()-9)/9)+1,MOD(ROW()-9,9)+1),"")</f>
        <v/>
      </c>
      <c r="C6273" s="9">
        <f t="shared" si="97"/>
        <v>0</v>
      </c>
    </row>
    <row r="6274" spans="1:3" x14ac:dyDescent="0.2">
      <c r="A6274" s="10" t="str">
        <f>IF(6266&gt;$C$9008,"",INDEX($B$9:$B$9008,MATCH(6266,$C$9:$C$9008,0)))</f>
        <v/>
      </c>
      <c r="B6274" s="9" t="str">
        <f>IFERROR(INDEX(Input!$L$20:$T$1019,INT((ROW()-9)/9)+1,MOD(ROW()-9,9)+1),"")</f>
        <v/>
      </c>
      <c r="C6274" s="9">
        <f t="shared" si="97"/>
        <v>0</v>
      </c>
    </row>
    <row r="6275" spans="1:3" x14ac:dyDescent="0.2">
      <c r="A6275" s="10" t="str">
        <f>IF(6267&gt;$C$9008,"",INDEX($B$9:$B$9008,MATCH(6267,$C$9:$C$9008,0)))</f>
        <v/>
      </c>
      <c r="B6275" s="9" t="str">
        <f>IFERROR(INDEX(Input!$L$20:$T$1019,INT((ROW()-9)/9)+1,MOD(ROW()-9,9)+1),"")</f>
        <v/>
      </c>
      <c r="C6275" s="9">
        <f t="shared" si="97"/>
        <v>0</v>
      </c>
    </row>
    <row r="6276" spans="1:3" x14ac:dyDescent="0.2">
      <c r="A6276" s="10" t="str">
        <f>IF(6268&gt;$C$9008,"",INDEX($B$9:$B$9008,MATCH(6268,$C$9:$C$9008,0)))</f>
        <v/>
      </c>
      <c r="B6276" s="9" t="str">
        <f>IFERROR(INDEX(Input!$L$20:$T$1019,INT((ROW()-9)/9)+1,MOD(ROW()-9,9)+1),"")</f>
        <v/>
      </c>
      <c r="C6276" s="9">
        <f t="shared" si="97"/>
        <v>0</v>
      </c>
    </row>
    <row r="6277" spans="1:3" x14ac:dyDescent="0.2">
      <c r="A6277" s="10" t="str">
        <f>IF(6269&gt;$C$9008,"",INDEX($B$9:$B$9008,MATCH(6269,$C$9:$C$9008,0)))</f>
        <v/>
      </c>
      <c r="B6277" s="9" t="str">
        <f>IFERROR(INDEX(Input!$L$20:$T$1019,INT((ROW()-9)/9)+1,MOD(ROW()-9,9)+1),"")</f>
        <v/>
      </c>
      <c r="C6277" s="9">
        <f t="shared" si="97"/>
        <v>0</v>
      </c>
    </row>
    <row r="6278" spans="1:3" x14ac:dyDescent="0.2">
      <c r="A6278" s="10" t="str">
        <f>IF(6270&gt;$C$9008,"",INDEX($B$9:$B$9008,MATCH(6270,$C$9:$C$9008,0)))</f>
        <v/>
      </c>
      <c r="B6278" s="9" t="str">
        <f>IFERROR(INDEX(Input!$L$20:$T$1019,INT((ROW()-9)/9)+1,MOD(ROW()-9,9)+1),"")</f>
        <v/>
      </c>
      <c r="C6278" s="9">
        <f t="shared" si="97"/>
        <v>0</v>
      </c>
    </row>
    <row r="6279" spans="1:3" x14ac:dyDescent="0.2">
      <c r="A6279" s="10" t="str">
        <f>IF(6271&gt;$C$9008,"",INDEX($B$9:$B$9008,MATCH(6271,$C$9:$C$9008,0)))</f>
        <v/>
      </c>
      <c r="B6279" s="9" t="str">
        <f>IFERROR(INDEX(Input!$L$20:$T$1019,INT((ROW()-9)/9)+1,MOD(ROW()-9,9)+1),"")</f>
        <v/>
      </c>
      <c r="C6279" s="9">
        <f t="shared" si="97"/>
        <v>0</v>
      </c>
    </row>
    <row r="6280" spans="1:3" x14ac:dyDescent="0.2">
      <c r="A6280" s="10" t="str">
        <f>IF(6272&gt;$C$9008,"",INDEX($B$9:$B$9008,MATCH(6272,$C$9:$C$9008,0)))</f>
        <v/>
      </c>
      <c r="B6280" s="9" t="str">
        <f>IFERROR(INDEX(Input!$L$20:$T$1019,INT((ROW()-9)/9)+1,MOD(ROW()-9,9)+1),"")</f>
        <v/>
      </c>
      <c r="C6280" s="9">
        <f t="shared" si="97"/>
        <v>0</v>
      </c>
    </row>
    <row r="6281" spans="1:3" x14ac:dyDescent="0.2">
      <c r="A6281" s="10" t="str">
        <f>IF(6273&gt;$C$9008,"",INDEX($B$9:$B$9008,MATCH(6273,$C$9:$C$9008,0)))</f>
        <v/>
      </c>
      <c r="B6281" s="9" t="str">
        <f>IFERROR(INDEX(Input!$L$20:$T$1019,INT((ROW()-9)/9)+1,MOD(ROW()-9,9)+1),"")</f>
        <v/>
      </c>
      <c r="C6281" s="9">
        <f t="shared" ref="C6281:C6344" si="98">$C6280+IF($B6281&lt;&gt;"",1,0)</f>
        <v>0</v>
      </c>
    </row>
    <row r="6282" spans="1:3" x14ac:dyDescent="0.2">
      <c r="A6282" s="10" t="str">
        <f>IF(6274&gt;$C$9008,"",INDEX($B$9:$B$9008,MATCH(6274,$C$9:$C$9008,0)))</f>
        <v/>
      </c>
      <c r="B6282" s="9" t="str">
        <f>IFERROR(INDEX(Input!$L$20:$T$1019,INT((ROW()-9)/9)+1,MOD(ROW()-9,9)+1),"")</f>
        <v/>
      </c>
      <c r="C6282" s="9">
        <f t="shared" si="98"/>
        <v>0</v>
      </c>
    </row>
    <row r="6283" spans="1:3" x14ac:dyDescent="0.2">
      <c r="A6283" s="10" t="str">
        <f>IF(6275&gt;$C$9008,"",INDEX($B$9:$B$9008,MATCH(6275,$C$9:$C$9008,0)))</f>
        <v/>
      </c>
      <c r="B6283" s="9" t="str">
        <f>IFERROR(INDEX(Input!$L$20:$T$1019,INT((ROW()-9)/9)+1,MOD(ROW()-9,9)+1),"")</f>
        <v/>
      </c>
      <c r="C6283" s="9">
        <f t="shared" si="98"/>
        <v>0</v>
      </c>
    </row>
    <row r="6284" spans="1:3" x14ac:dyDescent="0.2">
      <c r="A6284" s="10" t="str">
        <f>IF(6276&gt;$C$9008,"",INDEX($B$9:$B$9008,MATCH(6276,$C$9:$C$9008,0)))</f>
        <v/>
      </c>
      <c r="B6284" s="9" t="str">
        <f>IFERROR(INDEX(Input!$L$20:$T$1019,INT((ROW()-9)/9)+1,MOD(ROW()-9,9)+1),"")</f>
        <v/>
      </c>
      <c r="C6284" s="9">
        <f t="shared" si="98"/>
        <v>0</v>
      </c>
    </row>
    <row r="6285" spans="1:3" x14ac:dyDescent="0.2">
      <c r="A6285" s="10" t="str">
        <f>IF(6277&gt;$C$9008,"",INDEX($B$9:$B$9008,MATCH(6277,$C$9:$C$9008,0)))</f>
        <v/>
      </c>
      <c r="B6285" s="9" t="str">
        <f>IFERROR(INDEX(Input!$L$20:$T$1019,INT((ROW()-9)/9)+1,MOD(ROW()-9,9)+1),"")</f>
        <v/>
      </c>
      <c r="C6285" s="9">
        <f t="shared" si="98"/>
        <v>0</v>
      </c>
    </row>
    <row r="6286" spans="1:3" x14ac:dyDescent="0.2">
      <c r="A6286" s="10" t="str">
        <f>IF(6278&gt;$C$9008,"",INDEX($B$9:$B$9008,MATCH(6278,$C$9:$C$9008,0)))</f>
        <v/>
      </c>
      <c r="B6286" s="9" t="str">
        <f>IFERROR(INDEX(Input!$L$20:$T$1019,INT((ROW()-9)/9)+1,MOD(ROW()-9,9)+1),"")</f>
        <v/>
      </c>
      <c r="C6286" s="9">
        <f t="shared" si="98"/>
        <v>0</v>
      </c>
    </row>
    <row r="6287" spans="1:3" x14ac:dyDescent="0.2">
      <c r="A6287" s="10" t="str">
        <f>IF(6279&gt;$C$9008,"",INDEX($B$9:$B$9008,MATCH(6279,$C$9:$C$9008,0)))</f>
        <v/>
      </c>
      <c r="B6287" s="9" t="str">
        <f>IFERROR(INDEX(Input!$L$20:$T$1019,INT((ROW()-9)/9)+1,MOD(ROW()-9,9)+1),"")</f>
        <v/>
      </c>
      <c r="C6287" s="9">
        <f t="shared" si="98"/>
        <v>0</v>
      </c>
    </row>
    <row r="6288" spans="1:3" x14ac:dyDescent="0.2">
      <c r="A6288" s="10" t="str">
        <f>IF(6280&gt;$C$9008,"",INDEX($B$9:$B$9008,MATCH(6280,$C$9:$C$9008,0)))</f>
        <v/>
      </c>
      <c r="B6288" s="9" t="str">
        <f>IFERROR(INDEX(Input!$L$20:$T$1019,INT((ROW()-9)/9)+1,MOD(ROW()-9,9)+1),"")</f>
        <v/>
      </c>
      <c r="C6288" s="9">
        <f t="shared" si="98"/>
        <v>0</v>
      </c>
    </row>
    <row r="6289" spans="1:3" x14ac:dyDescent="0.2">
      <c r="A6289" s="10" t="str">
        <f>IF(6281&gt;$C$9008,"",INDEX($B$9:$B$9008,MATCH(6281,$C$9:$C$9008,0)))</f>
        <v/>
      </c>
      <c r="B6289" s="9" t="str">
        <f>IFERROR(INDEX(Input!$L$20:$T$1019,INT((ROW()-9)/9)+1,MOD(ROW()-9,9)+1),"")</f>
        <v/>
      </c>
      <c r="C6289" s="9">
        <f t="shared" si="98"/>
        <v>0</v>
      </c>
    </row>
    <row r="6290" spans="1:3" x14ac:dyDescent="0.2">
      <c r="A6290" s="10" t="str">
        <f>IF(6282&gt;$C$9008,"",INDEX($B$9:$B$9008,MATCH(6282,$C$9:$C$9008,0)))</f>
        <v/>
      </c>
      <c r="B6290" s="9" t="str">
        <f>IFERROR(INDEX(Input!$L$20:$T$1019,INT((ROW()-9)/9)+1,MOD(ROW()-9,9)+1),"")</f>
        <v/>
      </c>
      <c r="C6290" s="9">
        <f t="shared" si="98"/>
        <v>0</v>
      </c>
    </row>
    <row r="6291" spans="1:3" x14ac:dyDescent="0.2">
      <c r="A6291" s="10" t="str">
        <f>IF(6283&gt;$C$9008,"",INDEX($B$9:$B$9008,MATCH(6283,$C$9:$C$9008,0)))</f>
        <v/>
      </c>
      <c r="B6291" s="9" t="str">
        <f>IFERROR(INDEX(Input!$L$20:$T$1019,INT((ROW()-9)/9)+1,MOD(ROW()-9,9)+1),"")</f>
        <v/>
      </c>
      <c r="C6291" s="9">
        <f t="shared" si="98"/>
        <v>0</v>
      </c>
    </row>
    <row r="6292" spans="1:3" x14ac:dyDescent="0.2">
      <c r="A6292" s="10" t="str">
        <f>IF(6284&gt;$C$9008,"",INDEX($B$9:$B$9008,MATCH(6284,$C$9:$C$9008,0)))</f>
        <v/>
      </c>
      <c r="B6292" s="9" t="str">
        <f>IFERROR(INDEX(Input!$L$20:$T$1019,INT((ROW()-9)/9)+1,MOD(ROW()-9,9)+1),"")</f>
        <v/>
      </c>
      <c r="C6292" s="9">
        <f t="shared" si="98"/>
        <v>0</v>
      </c>
    </row>
    <row r="6293" spans="1:3" x14ac:dyDescent="0.2">
      <c r="A6293" s="10" t="str">
        <f>IF(6285&gt;$C$9008,"",INDEX($B$9:$B$9008,MATCH(6285,$C$9:$C$9008,0)))</f>
        <v/>
      </c>
      <c r="B6293" s="9" t="str">
        <f>IFERROR(INDEX(Input!$L$20:$T$1019,INT((ROW()-9)/9)+1,MOD(ROW()-9,9)+1),"")</f>
        <v/>
      </c>
      <c r="C6293" s="9">
        <f t="shared" si="98"/>
        <v>0</v>
      </c>
    </row>
    <row r="6294" spans="1:3" x14ac:dyDescent="0.2">
      <c r="A6294" s="10" t="str">
        <f>IF(6286&gt;$C$9008,"",INDEX($B$9:$B$9008,MATCH(6286,$C$9:$C$9008,0)))</f>
        <v/>
      </c>
      <c r="B6294" s="9" t="str">
        <f>IFERROR(INDEX(Input!$L$20:$T$1019,INT((ROW()-9)/9)+1,MOD(ROW()-9,9)+1),"")</f>
        <v/>
      </c>
      <c r="C6294" s="9">
        <f t="shared" si="98"/>
        <v>0</v>
      </c>
    </row>
    <row r="6295" spans="1:3" x14ac:dyDescent="0.2">
      <c r="A6295" s="10" t="str">
        <f>IF(6287&gt;$C$9008,"",INDEX($B$9:$B$9008,MATCH(6287,$C$9:$C$9008,0)))</f>
        <v/>
      </c>
      <c r="B6295" s="9" t="str">
        <f>IFERROR(INDEX(Input!$L$20:$T$1019,INT((ROW()-9)/9)+1,MOD(ROW()-9,9)+1),"")</f>
        <v/>
      </c>
      <c r="C6295" s="9">
        <f t="shared" si="98"/>
        <v>0</v>
      </c>
    </row>
    <row r="6296" spans="1:3" x14ac:dyDescent="0.2">
      <c r="A6296" s="10" t="str">
        <f>IF(6288&gt;$C$9008,"",INDEX($B$9:$B$9008,MATCH(6288,$C$9:$C$9008,0)))</f>
        <v/>
      </c>
      <c r="B6296" s="9" t="str">
        <f>IFERROR(INDEX(Input!$L$20:$T$1019,INT((ROW()-9)/9)+1,MOD(ROW()-9,9)+1),"")</f>
        <v/>
      </c>
      <c r="C6296" s="9">
        <f t="shared" si="98"/>
        <v>0</v>
      </c>
    </row>
    <row r="6297" spans="1:3" x14ac:dyDescent="0.2">
      <c r="A6297" s="10" t="str">
        <f>IF(6289&gt;$C$9008,"",INDEX($B$9:$B$9008,MATCH(6289,$C$9:$C$9008,0)))</f>
        <v/>
      </c>
      <c r="B6297" s="9" t="str">
        <f>IFERROR(INDEX(Input!$L$20:$T$1019,INT((ROW()-9)/9)+1,MOD(ROW()-9,9)+1),"")</f>
        <v/>
      </c>
      <c r="C6297" s="9">
        <f t="shared" si="98"/>
        <v>0</v>
      </c>
    </row>
    <row r="6298" spans="1:3" x14ac:dyDescent="0.2">
      <c r="A6298" s="10" t="str">
        <f>IF(6290&gt;$C$9008,"",INDEX($B$9:$B$9008,MATCH(6290,$C$9:$C$9008,0)))</f>
        <v/>
      </c>
      <c r="B6298" s="9" t="str">
        <f>IFERROR(INDEX(Input!$L$20:$T$1019,INT((ROW()-9)/9)+1,MOD(ROW()-9,9)+1),"")</f>
        <v/>
      </c>
      <c r="C6298" s="9">
        <f t="shared" si="98"/>
        <v>0</v>
      </c>
    </row>
    <row r="6299" spans="1:3" x14ac:dyDescent="0.2">
      <c r="A6299" s="10" t="str">
        <f>IF(6291&gt;$C$9008,"",INDEX($B$9:$B$9008,MATCH(6291,$C$9:$C$9008,0)))</f>
        <v/>
      </c>
      <c r="B6299" s="9" t="str">
        <f>IFERROR(INDEX(Input!$L$20:$T$1019,INT((ROW()-9)/9)+1,MOD(ROW()-9,9)+1),"")</f>
        <v/>
      </c>
      <c r="C6299" s="9">
        <f t="shared" si="98"/>
        <v>0</v>
      </c>
    </row>
    <row r="6300" spans="1:3" x14ac:dyDescent="0.2">
      <c r="A6300" s="10" t="str">
        <f>IF(6292&gt;$C$9008,"",INDEX($B$9:$B$9008,MATCH(6292,$C$9:$C$9008,0)))</f>
        <v/>
      </c>
      <c r="B6300" s="9" t="str">
        <f>IFERROR(INDEX(Input!$L$20:$T$1019,INT((ROW()-9)/9)+1,MOD(ROW()-9,9)+1),"")</f>
        <v/>
      </c>
      <c r="C6300" s="9">
        <f t="shared" si="98"/>
        <v>0</v>
      </c>
    </row>
    <row r="6301" spans="1:3" x14ac:dyDescent="0.2">
      <c r="A6301" s="10" t="str">
        <f>IF(6293&gt;$C$9008,"",INDEX($B$9:$B$9008,MATCH(6293,$C$9:$C$9008,0)))</f>
        <v/>
      </c>
      <c r="B6301" s="9" t="str">
        <f>IFERROR(INDEX(Input!$L$20:$T$1019,INT((ROW()-9)/9)+1,MOD(ROW()-9,9)+1),"")</f>
        <v/>
      </c>
      <c r="C6301" s="9">
        <f t="shared" si="98"/>
        <v>0</v>
      </c>
    </row>
    <row r="6302" spans="1:3" x14ac:dyDescent="0.2">
      <c r="A6302" s="10" t="str">
        <f>IF(6294&gt;$C$9008,"",INDEX($B$9:$B$9008,MATCH(6294,$C$9:$C$9008,0)))</f>
        <v/>
      </c>
      <c r="B6302" s="9" t="str">
        <f>IFERROR(INDEX(Input!$L$20:$T$1019,INT((ROW()-9)/9)+1,MOD(ROW()-9,9)+1),"")</f>
        <v/>
      </c>
      <c r="C6302" s="9">
        <f t="shared" si="98"/>
        <v>0</v>
      </c>
    </row>
    <row r="6303" spans="1:3" x14ac:dyDescent="0.2">
      <c r="A6303" s="10" t="str">
        <f>IF(6295&gt;$C$9008,"",INDEX($B$9:$B$9008,MATCH(6295,$C$9:$C$9008,0)))</f>
        <v/>
      </c>
      <c r="B6303" s="9" t="str">
        <f>IFERROR(INDEX(Input!$L$20:$T$1019,INT((ROW()-9)/9)+1,MOD(ROW()-9,9)+1),"")</f>
        <v/>
      </c>
      <c r="C6303" s="9">
        <f t="shared" si="98"/>
        <v>0</v>
      </c>
    </row>
    <row r="6304" spans="1:3" x14ac:dyDescent="0.2">
      <c r="A6304" s="10" t="str">
        <f>IF(6296&gt;$C$9008,"",INDEX($B$9:$B$9008,MATCH(6296,$C$9:$C$9008,0)))</f>
        <v/>
      </c>
      <c r="B6304" s="9" t="str">
        <f>IFERROR(INDEX(Input!$L$20:$T$1019,INT((ROW()-9)/9)+1,MOD(ROW()-9,9)+1),"")</f>
        <v/>
      </c>
      <c r="C6304" s="9">
        <f t="shared" si="98"/>
        <v>0</v>
      </c>
    </row>
    <row r="6305" spans="1:3" x14ac:dyDescent="0.2">
      <c r="A6305" s="10" t="str">
        <f>IF(6297&gt;$C$9008,"",INDEX($B$9:$B$9008,MATCH(6297,$C$9:$C$9008,0)))</f>
        <v/>
      </c>
      <c r="B6305" s="9" t="str">
        <f>IFERROR(INDEX(Input!$L$20:$T$1019,INT((ROW()-9)/9)+1,MOD(ROW()-9,9)+1),"")</f>
        <v/>
      </c>
      <c r="C6305" s="9">
        <f t="shared" si="98"/>
        <v>0</v>
      </c>
    </row>
    <row r="6306" spans="1:3" x14ac:dyDescent="0.2">
      <c r="A6306" s="10" t="str">
        <f>IF(6298&gt;$C$9008,"",INDEX($B$9:$B$9008,MATCH(6298,$C$9:$C$9008,0)))</f>
        <v/>
      </c>
      <c r="B6306" s="9" t="str">
        <f>IFERROR(INDEX(Input!$L$20:$T$1019,INT((ROW()-9)/9)+1,MOD(ROW()-9,9)+1),"")</f>
        <v/>
      </c>
      <c r="C6306" s="9">
        <f t="shared" si="98"/>
        <v>0</v>
      </c>
    </row>
    <row r="6307" spans="1:3" x14ac:dyDescent="0.2">
      <c r="A6307" s="10" t="str">
        <f>IF(6299&gt;$C$9008,"",INDEX($B$9:$B$9008,MATCH(6299,$C$9:$C$9008,0)))</f>
        <v/>
      </c>
      <c r="B6307" s="9" t="str">
        <f>IFERROR(INDEX(Input!$L$20:$T$1019,INT((ROW()-9)/9)+1,MOD(ROW()-9,9)+1),"")</f>
        <v/>
      </c>
      <c r="C6307" s="9">
        <f t="shared" si="98"/>
        <v>0</v>
      </c>
    </row>
    <row r="6308" spans="1:3" x14ac:dyDescent="0.2">
      <c r="A6308" s="10" t="str">
        <f>IF(6300&gt;$C$9008,"",INDEX($B$9:$B$9008,MATCH(6300,$C$9:$C$9008,0)))</f>
        <v/>
      </c>
      <c r="B6308" s="9" t="str">
        <f>IFERROR(INDEX(Input!$L$20:$T$1019,INT((ROW()-9)/9)+1,MOD(ROW()-9,9)+1),"")</f>
        <v/>
      </c>
      <c r="C6308" s="9">
        <f t="shared" si="98"/>
        <v>0</v>
      </c>
    </row>
    <row r="6309" spans="1:3" x14ac:dyDescent="0.2">
      <c r="A6309" s="10" t="str">
        <f>IF(6301&gt;$C$9008,"",INDEX($B$9:$B$9008,MATCH(6301,$C$9:$C$9008,0)))</f>
        <v/>
      </c>
      <c r="B6309" s="9" t="str">
        <f>IFERROR(INDEX(Input!$L$20:$T$1019,INT((ROW()-9)/9)+1,MOD(ROW()-9,9)+1),"")</f>
        <v/>
      </c>
      <c r="C6309" s="9">
        <f t="shared" si="98"/>
        <v>0</v>
      </c>
    </row>
    <row r="6310" spans="1:3" x14ac:dyDescent="0.2">
      <c r="A6310" s="10" t="str">
        <f>IF(6302&gt;$C$9008,"",INDEX($B$9:$B$9008,MATCH(6302,$C$9:$C$9008,0)))</f>
        <v/>
      </c>
      <c r="B6310" s="9" t="str">
        <f>IFERROR(INDEX(Input!$L$20:$T$1019,INT((ROW()-9)/9)+1,MOD(ROW()-9,9)+1),"")</f>
        <v/>
      </c>
      <c r="C6310" s="9">
        <f t="shared" si="98"/>
        <v>0</v>
      </c>
    </row>
    <row r="6311" spans="1:3" x14ac:dyDescent="0.2">
      <c r="A6311" s="10" t="str">
        <f>IF(6303&gt;$C$9008,"",INDEX($B$9:$B$9008,MATCH(6303,$C$9:$C$9008,0)))</f>
        <v/>
      </c>
      <c r="B6311" s="9" t="str">
        <f>IFERROR(INDEX(Input!$L$20:$T$1019,INT((ROW()-9)/9)+1,MOD(ROW()-9,9)+1),"")</f>
        <v/>
      </c>
      <c r="C6311" s="9">
        <f t="shared" si="98"/>
        <v>0</v>
      </c>
    </row>
    <row r="6312" spans="1:3" x14ac:dyDescent="0.2">
      <c r="A6312" s="10" t="str">
        <f>IF(6304&gt;$C$9008,"",INDEX($B$9:$B$9008,MATCH(6304,$C$9:$C$9008,0)))</f>
        <v/>
      </c>
      <c r="B6312" s="9" t="str">
        <f>IFERROR(INDEX(Input!$L$20:$T$1019,INT((ROW()-9)/9)+1,MOD(ROW()-9,9)+1),"")</f>
        <v/>
      </c>
      <c r="C6312" s="9">
        <f t="shared" si="98"/>
        <v>0</v>
      </c>
    </row>
    <row r="6313" spans="1:3" x14ac:dyDescent="0.2">
      <c r="A6313" s="10" t="str">
        <f>IF(6305&gt;$C$9008,"",INDEX($B$9:$B$9008,MATCH(6305,$C$9:$C$9008,0)))</f>
        <v/>
      </c>
      <c r="B6313" s="9" t="str">
        <f>IFERROR(INDEX(Input!$L$20:$T$1019,INT((ROW()-9)/9)+1,MOD(ROW()-9,9)+1),"")</f>
        <v/>
      </c>
      <c r="C6313" s="9">
        <f t="shared" si="98"/>
        <v>0</v>
      </c>
    </row>
    <row r="6314" spans="1:3" x14ac:dyDescent="0.2">
      <c r="A6314" s="10" t="str">
        <f>IF(6306&gt;$C$9008,"",INDEX($B$9:$B$9008,MATCH(6306,$C$9:$C$9008,0)))</f>
        <v/>
      </c>
      <c r="B6314" s="9" t="str">
        <f>IFERROR(INDEX(Input!$L$20:$T$1019,INT((ROW()-9)/9)+1,MOD(ROW()-9,9)+1),"")</f>
        <v/>
      </c>
      <c r="C6314" s="9">
        <f t="shared" si="98"/>
        <v>0</v>
      </c>
    </row>
    <row r="6315" spans="1:3" x14ac:dyDescent="0.2">
      <c r="A6315" s="10" t="str">
        <f>IF(6307&gt;$C$9008,"",INDEX($B$9:$B$9008,MATCH(6307,$C$9:$C$9008,0)))</f>
        <v/>
      </c>
      <c r="B6315" s="9" t="str">
        <f>IFERROR(INDEX(Input!$L$20:$T$1019,INT((ROW()-9)/9)+1,MOD(ROW()-9,9)+1),"")</f>
        <v/>
      </c>
      <c r="C6315" s="9">
        <f t="shared" si="98"/>
        <v>0</v>
      </c>
    </row>
    <row r="6316" spans="1:3" x14ac:dyDescent="0.2">
      <c r="A6316" s="10" t="str">
        <f>IF(6308&gt;$C$9008,"",INDEX($B$9:$B$9008,MATCH(6308,$C$9:$C$9008,0)))</f>
        <v/>
      </c>
      <c r="B6316" s="9" t="str">
        <f>IFERROR(INDEX(Input!$L$20:$T$1019,INT((ROW()-9)/9)+1,MOD(ROW()-9,9)+1),"")</f>
        <v/>
      </c>
      <c r="C6316" s="9">
        <f t="shared" si="98"/>
        <v>0</v>
      </c>
    </row>
    <row r="6317" spans="1:3" x14ac:dyDescent="0.2">
      <c r="A6317" s="10" t="str">
        <f>IF(6309&gt;$C$9008,"",INDEX($B$9:$B$9008,MATCH(6309,$C$9:$C$9008,0)))</f>
        <v/>
      </c>
      <c r="B6317" s="9" t="str">
        <f>IFERROR(INDEX(Input!$L$20:$T$1019,INT((ROW()-9)/9)+1,MOD(ROW()-9,9)+1),"")</f>
        <v/>
      </c>
      <c r="C6317" s="9">
        <f t="shared" si="98"/>
        <v>0</v>
      </c>
    </row>
    <row r="6318" spans="1:3" x14ac:dyDescent="0.2">
      <c r="A6318" s="10" t="str">
        <f>IF(6310&gt;$C$9008,"",INDEX($B$9:$B$9008,MATCH(6310,$C$9:$C$9008,0)))</f>
        <v/>
      </c>
      <c r="B6318" s="9" t="str">
        <f>IFERROR(INDEX(Input!$L$20:$T$1019,INT((ROW()-9)/9)+1,MOD(ROW()-9,9)+1),"")</f>
        <v/>
      </c>
      <c r="C6318" s="9">
        <f t="shared" si="98"/>
        <v>0</v>
      </c>
    </row>
    <row r="6319" spans="1:3" x14ac:dyDescent="0.2">
      <c r="A6319" s="10" t="str">
        <f>IF(6311&gt;$C$9008,"",INDEX($B$9:$B$9008,MATCH(6311,$C$9:$C$9008,0)))</f>
        <v/>
      </c>
      <c r="B6319" s="9" t="str">
        <f>IFERROR(INDEX(Input!$L$20:$T$1019,INT((ROW()-9)/9)+1,MOD(ROW()-9,9)+1),"")</f>
        <v/>
      </c>
      <c r="C6319" s="9">
        <f t="shared" si="98"/>
        <v>0</v>
      </c>
    </row>
    <row r="6320" spans="1:3" x14ac:dyDescent="0.2">
      <c r="A6320" s="10" t="str">
        <f>IF(6312&gt;$C$9008,"",INDEX($B$9:$B$9008,MATCH(6312,$C$9:$C$9008,0)))</f>
        <v/>
      </c>
      <c r="B6320" s="9" t="str">
        <f>IFERROR(INDEX(Input!$L$20:$T$1019,INT((ROW()-9)/9)+1,MOD(ROW()-9,9)+1),"")</f>
        <v/>
      </c>
      <c r="C6320" s="9">
        <f t="shared" si="98"/>
        <v>0</v>
      </c>
    </row>
    <row r="6321" spans="1:3" x14ac:dyDescent="0.2">
      <c r="A6321" s="10" t="str">
        <f>IF(6313&gt;$C$9008,"",INDEX($B$9:$B$9008,MATCH(6313,$C$9:$C$9008,0)))</f>
        <v/>
      </c>
      <c r="B6321" s="9" t="str">
        <f>IFERROR(INDEX(Input!$L$20:$T$1019,INT((ROW()-9)/9)+1,MOD(ROW()-9,9)+1),"")</f>
        <v/>
      </c>
      <c r="C6321" s="9">
        <f t="shared" si="98"/>
        <v>0</v>
      </c>
    </row>
    <row r="6322" spans="1:3" x14ac:dyDescent="0.2">
      <c r="A6322" s="10" t="str">
        <f>IF(6314&gt;$C$9008,"",INDEX($B$9:$B$9008,MATCH(6314,$C$9:$C$9008,0)))</f>
        <v/>
      </c>
      <c r="B6322" s="9" t="str">
        <f>IFERROR(INDEX(Input!$L$20:$T$1019,INT((ROW()-9)/9)+1,MOD(ROW()-9,9)+1),"")</f>
        <v/>
      </c>
      <c r="C6322" s="9">
        <f t="shared" si="98"/>
        <v>0</v>
      </c>
    </row>
    <row r="6323" spans="1:3" x14ac:dyDescent="0.2">
      <c r="A6323" s="10" t="str">
        <f>IF(6315&gt;$C$9008,"",INDEX($B$9:$B$9008,MATCH(6315,$C$9:$C$9008,0)))</f>
        <v/>
      </c>
      <c r="B6323" s="9" t="str">
        <f>IFERROR(INDEX(Input!$L$20:$T$1019,INT((ROW()-9)/9)+1,MOD(ROW()-9,9)+1),"")</f>
        <v/>
      </c>
      <c r="C6323" s="9">
        <f t="shared" si="98"/>
        <v>0</v>
      </c>
    </row>
    <row r="6324" spans="1:3" x14ac:dyDescent="0.2">
      <c r="A6324" s="10" t="str">
        <f>IF(6316&gt;$C$9008,"",INDEX($B$9:$B$9008,MATCH(6316,$C$9:$C$9008,0)))</f>
        <v/>
      </c>
      <c r="B6324" s="9" t="str">
        <f>IFERROR(INDEX(Input!$L$20:$T$1019,INT((ROW()-9)/9)+1,MOD(ROW()-9,9)+1),"")</f>
        <v/>
      </c>
      <c r="C6324" s="9">
        <f t="shared" si="98"/>
        <v>0</v>
      </c>
    </row>
    <row r="6325" spans="1:3" x14ac:dyDescent="0.2">
      <c r="A6325" s="10" t="str">
        <f>IF(6317&gt;$C$9008,"",INDEX($B$9:$B$9008,MATCH(6317,$C$9:$C$9008,0)))</f>
        <v/>
      </c>
      <c r="B6325" s="9" t="str">
        <f>IFERROR(INDEX(Input!$L$20:$T$1019,INT((ROW()-9)/9)+1,MOD(ROW()-9,9)+1),"")</f>
        <v/>
      </c>
      <c r="C6325" s="9">
        <f t="shared" si="98"/>
        <v>0</v>
      </c>
    </row>
    <row r="6326" spans="1:3" x14ac:dyDescent="0.2">
      <c r="A6326" s="10" t="str">
        <f>IF(6318&gt;$C$9008,"",INDEX($B$9:$B$9008,MATCH(6318,$C$9:$C$9008,0)))</f>
        <v/>
      </c>
      <c r="B6326" s="9" t="str">
        <f>IFERROR(INDEX(Input!$L$20:$T$1019,INT((ROW()-9)/9)+1,MOD(ROW()-9,9)+1),"")</f>
        <v/>
      </c>
      <c r="C6326" s="9">
        <f t="shared" si="98"/>
        <v>0</v>
      </c>
    </row>
    <row r="6327" spans="1:3" x14ac:dyDescent="0.2">
      <c r="A6327" s="10" t="str">
        <f>IF(6319&gt;$C$9008,"",INDEX($B$9:$B$9008,MATCH(6319,$C$9:$C$9008,0)))</f>
        <v/>
      </c>
      <c r="B6327" s="9" t="str">
        <f>IFERROR(INDEX(Input!$L$20:$T$1019,INT((ROW()-9)/9)+1,MOD(ROW()-9,9)+1),"")</f>
        <v/>
      </c>
      <c r="C6327" s="9">
        <f t="shared" si="98"/>
        <v>0</v>
      </c>
    </row>
    <row r="6328" spans="1:3" x14ac:dyDescent="0.2">
      <c r="A6328" s="10" t="str">
        <f>IF(6320&gt;$C$9008,"",INDEX($B$9:$B$9008,MATCH(6320,$C$9:$C$9008,0)))</f>
        <v/>
      </c>
      <c r="B6328" s="9" t="str">
        <f>IFERROR(INDEX(Input!$L$20:$T$1019,INT((ROW()-9)/9)+1,MOD(ROW()-9,9)+1),"")</f>
        <v/>
      </c>
      <c r="C6328" s="9">
        <f t="shared" si="98"/>
        <v>0</v>
      </c>
    </row>
    <row r="6329" spans="1:3" x14ac:dyDescent="0.2">
      <c r="A6329" s="10" t="str">
        <f>IF(6321&gt;$C$9008,"",INDEX($B$9:$B$9008,MATCH(6321,$C$9:$C$9008,0)))</f>
        <v/>
      </c>
      <c r="B6329" s="9" t="str">
        <f>IFERROR(INDEX(Input!$L$20:$T$1019,INT((ROW()-9)/9)+1,MOD(ROW()-9,9)+1),"")</f>
        <v/>
      </c>
      <c r="C6329" s="9">
        <f t="shared" si="98"/>
        <v>0</v>
      </c>
    </row>
    <row r="6330" spans="1:3" x14ac:dyDescent="0.2">
      <c r="A6330" s="10" t="str">
        <f>IF(6322&gt;$C$9008,"",INDEX($B$9:$B$9008,MATCH(6322,$C$9:$C$9008,0)))</f>
        <v/>
      </c>
      <c r="B6330" s="9" t="str">
        <f>IFERROR(INDEX(Input!$L$20:$T$1019,INT((ROW()-9)/9)+1,MOD(ROW()-9,9)+1),"")</f>
        <v/>
      </c>
      <c r="C6330" s="9">
        <f t="shared" si="98"/>
        <v>0</v>
      </c>
    </row>
    <row r="6331" spans="1:3" x14ac:dyDescent="0.2">
      <c r="A6331" s="10" t="str">
        <f>IF(6323&gt;$C$9008,"",INDEX($B$9:$B$9008,MATCH(6323,$C$9:$C$9008,0)))</f>
        <v/>
      </c>
      <c r="B6331" s="9" t="str">
        <f>IFERROR(INDEX(Input!$L$20:$T$1019,INT((ROW()-9)/9)+1,MOD(ROW()-9,9)+1),"")</f>
        <v/>
      </c>
      <c r="C6331" s="9">
        <f t="shared" si="98"/>
        <v>0</v>
      </c>
    </row>
    <row r="6332" spans="1:3" x14ac:dyDescent="0.2">
      <c r="A6332" s="10" t="str">
        <f>IF(6324&gt;$C$9008,"",INDEX($B$9:$B$9008,MATCH(6324,$C$9:$C$9008,0)))</f>
        <v/>
      </c>
      <c r="B6332" s="9" t="str">
        <f>IFERROR(INDEX(Input!$L$20:$T$1019,INT((ROW()-9)/9)+1,MOD(ROW()-9,9)+1),"")</f>
        <v/>
      </c>
      <c r="C6332" s="9">
        <f t="shared" si="98"/>
        <v>0</v>
      </c>
    </row>
    <row r="6333" spans="1:3" x14ac:dyDescent="0.2">
      <c r="A6333" s="10" t="str">
        <f>IF(6325&gt;$C$9008,"",INDEX($B$9:$B$9008,MATCH(6325,$C$9:$C$9008,0)))</f>
        <v/>
      </c>
      <c r="B6333" s="9" t="str">
        <f>IFERROR(INDEX(Input!$L$20:$T$1019,INT((ROW()-9)/9)+1,MOD(ROW()-9,9)+1),"")</f>
        <v/>
      </c>
      <c r="C6333" s="9">
        <f t="shared" si="98"/>
        <v>0</v>
      </c>
    </row>
    <row r="6334" spans="1:3" x14ac:dyDescent="0.2">
      <c r="A6334" s="10" t="str">
        <f>IF(6326&gt;$C$9008,"",INDEX($B$9:$B$9008,MATCH(6326,$C$9:$C$9008,0)))</f>
        <v/>
      </c>
      <c r="B6334" s="9" t="str">
        <f>IFERROR(INDEX(Input!$L$20:$T$1019,INT((ROW()-9)/9)+1,MOD(ROW()-9,9)+1),"")</f>
        <v/>
      </c>
      <c r="C6334" s="9">
        <f t="shared" si="98"/>
        <v>0</v>
      </c>
    </row>
    <row r="6335" spans="1:3" x14ac:dyDescent="0.2">
      <c r="A6335" s="10" t="str">
        <f>IF(6327&gt;$C$9008,"",INDEX($B$9:$B$9008,MATCH(6327,$C$9:$C$9008,0)))</f>
        <v/>
      </c>
      <c r="B6335" s="9" t="str">
        <f>IFERROR(INDEX(Input!$L$20:$T$1019,INT((ROW()-9)/9)+1,MOD(ROW()-9,9)+1),"")</f>
        <v/>
      </c>
      <c r="C6335" s="9">
        <f t="shared" si="98"/>
        <v>0</v>
      </c>
    </row>
    <row r="6336" spans="1:3" x14ac:dyDescent="0.2">
      <c r="A6336" s="10" t="str">
        <f>IF(6328&gt;$C$9008,"",INDEX($B$9:$B$9008,MATCH(6328,$C$9:$C$9008,0)))</f>
        <v/>
      </c>
      <c r="B6336" s="9" t="str">
        <f>IFERROR(INDEX(Input!$L$20:$T$1019,INT((ROW()-9)/9)+1,MOD(ROW()-9,9)+1),"")</f>
        <v/>
      </c>
      <c r="C6336" s="9">
        <f t="shared" si="98"/>
        <v>0</v>
      </c>
    </row>
    <row r="6337" spans="1:3" x14ac:dyDescent="0.2">
      <c r="A6337" s="10" t="str">
        <f>IF(6329&gt;$C$9008,"",INDEX($B$9:$B$9008,MATCH(6329,$C$9:$C$9008,0)))</f>
        <v/>
      </c>
      <c r="B6337" s="9" t="str">
        <f>IFERROR(INDEX(Input!$L$20:$T$1019,INT((ROW()-9)/9)+1,MOD(ROW()-9,9)+1),"")</f>
        <v/>
      </c>
      <c r="C6337" s="9">
        <f t="shared" si="98"/>
        <v>0</v>
      </c>
    </row>
    <row r="6338" spans="1:3" x14ac:dyDescent="0.2">
      <c r="A6338" s="10" t="str">
        <f>IF(6330&gt;$C$9008,"",INDEX($B$9:$B$9008,MATCH(6330,$C$9:$C$9008,0)))</f>
        <v/>
      </c>
      <c r="B6338" s="9" t="str">
        <f>IFERROR(INDEX(Input!$L$20:$T$1019,INT((ROW()-9)/9)+1,MOD(ROW()-9,9)+1),"")</f>
        <v/>
      </c>
      <c r="C6338" s="9">
        <f t="shared" si="98"/>
        <v>0</v>
      </c>
    </row>
    <row r="6339" spans="1:3" x14ac:dyDescent="0.2">
      <c r="A6339" s="10" t="str">
        <f>IF(6331&gt;$C$9008,"",INDEX($B$9:$B$9008,MATCH(6331,$C$9:$C$9008,0)))</f>
        <v/>
      </c>
      <c r="B6339" s="9" t="str">
        <f>IFERROR(INDEX(Input!$L$20:$T$1019,INT((ROW()-9)/9)+1,MOD(ROW()-9,9)+1),"")</f>
        <v/>
      </c>
      <c r="C6339" s="9">
        <f t="shared" si="98"/>
        <v>0</v>
      </c>
    </row>
    <row r="6340" spans="1:3" x14ac:dyDescent="0.2">
      <c r="A6340" s="10" t="str">
        <f>IF(6332&gt;$C$9008,"",INDEX($B$9:$B$9008,MATCH(6332,$C$9:$C$9008,0)))</f>
        <v/>
      </c>
      <c r="B6340" s="9" t="str">
        <f>IFERROR(INDEX(Input!$L$20:$T$1019,INT((ROW()-9)/9)+1,MOD(ROW()-9,9)+1),"")</f>
        <v/>
      </c>
      <c r="C6340" s="9">
        <f t="shared" si="98"/>
        <v>0</v>
      </c>
    </row>
    <row r="6341" spans="1:3" x14ac:dyDescent="0.2">
      <c r="A6341" s="10" t="str">
        <f>IF(6333&gt;$C$9008,"",INDEX($B$9:$B$9008,MATCH(6333,$C$9:$C$9008,0)))</f>
        <v/>
      </c>
      <c r="B6341" s="9" t="str">
        <f>IFERROR(INDEX(Input!$L$20:$T$1019,INT((ROW()-9)/9)+1,MOD(ROW()-9,9)+1),"")</f>
        <v/>
      </c>
      <c r="C6341" s="9">
        <f t="shared" si="98"/>
        <v>0</v>
      </c>
    </row>
    <row r="6342" spans="1:3" x14ac:dyDescent="0.2">
      <c r="A6342" s="10" t="str">
        <f>IF(6334&gt;$C$9008,"",INDEX($B$9:$B$9008,MATCH(6334,$C$9:$C$9008,0)))</f>
        <v/>
      </c>
      <c r="B6342" s="9" t="str">
        <f>IFERROR(INDEX(Input!$L$20:$T$1019,INT((ROW()-9)/9)+1,MOD(ROW()-9,9)+1),"")</f>
        <v/>
      </c>
      <c r="C6342" s="9">
        <f t="shared" si="98"/>
        <v>0</v>
      </c>
    </row>
    <row r="6343" spans="1:3" x14ac:dyDescent="0.2">
      <c r="A6343" s="10" t="str">
        <f>IF(6335&gt;$C$9008,"",INDEX($B$9:$B$9008,MATCH(6335,$C$9:$C$9008,0)))</f>
        <v/>
      </c>
      <c r="B6343" s="9" t="str">
        <f>IFERROR(INDEX(Input!$L$20:$T$1019,INT((ROW()-9)/9)+1,MOD(ROW()-9,9)+1),"")</f>
        <v/>
      </c>
      <c r="C6343" s="9">
        <f t="shared" si="98"/>
        <v>0</v>
      </c>
    </row>
    <row r="6344" spans="1:3" x14ac:dyDescent="0.2">
      <c r="A6344" s="10" t="str">
        <f>IF(6336&gt;$C$9008,"",INDEX($B$9:$B$9008,MATCH(6336,$C$9:$C$9008,0)))</f>
        <v/>
      </c>
      <c r="B6344" s="9" t="str">
        <f>IFERROR(INDEX(Input!$L$20:$T$1019,INT((ROW()-9)/9)+1,MOD(ROW()-9,9)+1),"")</f>
        <v/>
      </c>
      <c r="C6344" s="9">
        <f t="shared" si="98"/>
        <v>0</v>
      </c>
    </row>
    <row r="6345" spans="1:3" x14ac:dyDescent="0.2">
      <c r="A6345" s="10" t="str">
        <f>IF(6337&gt;$C$9008,"",INDEX($B$9:$B$9008,MATCH(6337,$C$9:$C$9008,0)))</f>
        <v/>
      </c>
      <c r="B6345" s="9" t="str">
        <f>IFERROR(INDEX(Input!$L$20:$T$1019,INT((ROW()-9)/9)+1,MOD(ROW()-9,9)+1),"")</f>
        <v/>
      </c>
      <c r="C6345" s="9">
        <f t="shared" ref="C6345:C6408" si="99">$C6344+IF($B6345&lt;&gt;"",1,0)</f>
        <v>0</v>
      </c>
    </row>
    <row r="6346" spans="1:3" x14ac:dyDescent="0.2">
      <c r="A6346" s="10" t="str">
        <f>IF(6338&gt;$C$9008,"",INDEX($B$9:$B$9008,MATCH(6338,$C$9:$C$9008,0)))</f>
        <v/>
      </c>
      <c r="B6346" s="9" t="str">
        <f>IFERROR(INDEX(Input!$L$20:$T$1019,INT((ROW()-9)/9)+1,MOD(ROW()-9,9)+1),"")</f>
        <v/>
      </c>
      <c r="C6346" s="9">
        <f t="shared" si="99"/>
        <v>0</v>
      </c>
    </row>
    <row r="6347" spans="1:3" x14ac:dyDescent="0.2">
      <c r="A6347" s="10" t="str">
        <f>IF(6339&gt;$C$9008,"",INDEX($B$9:$B$9008,MATCH(6339,$C$9:$C$9008,0)))</f>
        <v/>
      </c>
      <c r="B6347" s="9" t="str">
        <f>IFERROR(INDEX(Input!$L$20:$T$1019,INT((ROW()-9)/9)+1,MOD(ROW()-9,9)+1),"")</f>
        <v/>
      </c>
      <c r="C6347" s="9">
        <f t="shared" si="99"/>
        <v>0</v>
      </c>
    </row>
    <row r="6348" spans="1:3" x14ac:dyDescent="0.2">
      <c r="A6348" s="10" t="str">
        <f>IF(6340&gt;$C$9008,"",INDEX($B$9:$B$9008,MATCH(6340,$C$9:$C$9008,0)))</f>
        <v/>
      </c>
      <c r="B6348" s="9" t="str">
        <f>IFERROR(INDEX(Input!$L$20:$T$1019,INT((ROW()-9)/9)+1,MOD(ROW()-9,9)+1),"")</f>
        <v/>
      </c>
      <c r="C6348" s="9">
        <f t="shared" si="99"/>
        <v>0</v>
      </c>
    </row>
    <row r="6349" spans="1:3" x14ac:dyDescent="0.2">
      <c r="A6349" s="10" t="str">
        <f>IF(6341&gt;$C$9008,"",INDEX($B$9:$B$9008,MATCH(6341,$C$9:$C$9008,0)))</f>
        <v/>
      </c>
      <c r="B6349" s="9" t="str">
        <f>IFERROR(INDEX(Input!$L$20:$T$1019,INT((ROW()-9)/9)+1,MOD(ROW()-9,9)+1),"")</f>
        <v/>
      </c>
      <c r="C6349" s="9">
        <f t="shared" si="99"/>
        <v>0</v>
      </c>
    </row>
    <row r="6350" spans="1:3" x14ac:dyDescent="0.2">
      <c r="A6350" s="10" t="str">
        <f>IF(6342&gt;$C$9008,"",INDEX($B$9:$B$9008,MATCH(6342,$C$9:$C$9008,0)))</f>
        <v/>
      </c>
      <c r="B6350" s="9" t="str">
        <f>IFERROR(INDEX(Input!$L$20:$T$1019,INT((ROW()-9)/9)+1,MOD(ROW()-9,9)+1),"")</f>
        <v/>
      </c>
      <c r="C6350" s="9">
        <f t="shared" si="99"/>
        <v>0</v>
      </c>
    </row>
    <row r="6351" spans="1:3" x14ac:dyDescent="0.2">
      <c r="A6351" s="10" t="str">
        <f>IF(6343&gt;$C$9008,"",INDEX($B$9:$B$9008,MATCH(6343,$C$9:$C$9008,0)))</f>
        <v/>
      </c>
      <c r="B6351" s="9" t="str">
        <f>IFERROR(INDEX(Input!$L$20:$T$1019,INT((ROW()-9)/9)+1,MOD(ROW()-9,9)+1),"")</f>
        <v/>
      </c>
      <c r="C6351" s="9">
        <f t="shared" si="99"/>
        <v>0</v>
      </c>
    </row>
    <row r="6352" spans="1:3" x14ac:dyDescent="0.2">
      <c r="A6352" s="10" t="str">
        <f>IF(6344&gt;$C$9008,"",INDEX($B$9:$B$9008,MATCH(6344,$C$9:$C$9008,0)))</f>
        <v/>
      </c>
      <c r="B6352" s="9" t="str">
        <f>IFERROR(INDEX(Input!$L$20:$T$1019,INT((ROW()-9)/9)+1,MOD(ROW()-9,9)+1),"")</f>
        <v/>
      </c>
      <c r="C6352" s="9">
        <f t="shared" si="99"/>
        <v>0</v>
      </c>
    </row>
    <row r="6353" spans="1:3" x14ac:dyDescent="0.2">
      <c r="A6353" s="10" t="str">
        <f>IF(6345&gt;$C$9008,"",INDEX($B$9:$B$9008,MATCH(6345,$C$9:$C$9008,0)))</f>
        <v/>
      </c>
      <c r="B6353" s="9" t="str">
        <f>IFERROR(INDEX(Input!$L$20:$T$1019,INT((ROW()-9)/9)+1,MOD(ROW()-9,9)+1),"")</f>
        <v/>
      </c>
      <c r="C6353" s="9">
        <f t="shared" si="99"/>
        <v>0</v>
      </c>
    </row>
    <row r="6354" spans="1:3" x14ac:dyDescent="0.2">
      <c r="A6354" s="10" t="str">
        <f>IF(6346&gt;$C$9008,"",INDEX($B$9:$B$9008,MATCH(6346,$C$9:$C$9008,0)))</f>
        <v/>
      </c>
      <c r="B6354" s="9" t="str">
        <f>IFERROR(INDEX(Input!$L$20:$T$1019,INT((ROW()-9)/9)+1,MOD(ROW()-9,9)+1),"")</f>
        <v/>
      </c>
      <c r="C6354" s="9">
        <f t="shared" si="99"/>
        <v>0</v>
      </c>
    </row>
    <row r="6355" spans="1:3" x14ac:dyDescent="0.2">
      <c r="A6355" s="10" t="str">
        <f>IF(6347&gt;$C$9008,"",INDEX($B$9:$B$9008,MATCH(6347,$C$9:$C$9008,0)))</f>
        <v/>
      </c>
      <c r="B6355" s="9" t="str">
        <f>IFERROR(INDEX(Input!$L$20:$T$1019,INT((ROW()-9)/9)+1,MOD(ROW()-9,9)+1),"")</f>
        <v/>
      </c>
      <c r="C6355" s="9">
        <f t="shared" si="99"/>
        <v>0</v>
      </c>
    </row>
    <row r="6356" spans="1:3" x14ac:dyDescent="0.2">
      <c r="A6356" s="10" t="str">
        <f>IF(6348&gt;$C$9008,"",INDEX($B$9:$B$9008,MATCH(6348,$C$9:$C$9008,0)))</f>
        <v/>
      </c>
      <c r="B6356" s="9" t="str">
        <f>IFERROR(INDEX(Input!$L$20:$T$1019,INT((ROW()-9)/9)+1,MOD(ROW()-9,9)+1),"")</f>
        <v/>
      </c>
      <c r="C6356" s="9">
        <f t="shared" si="99"/>
        <v>0</v>
      </c>
    </row>
    <row r="6357" spans="1:3" x14ac:dyDescent="0.2">
      <c r="A6357" s="10" t="str">
        <f>IF(6349&gt;$C$9008,"",INDEX($B$9:$B$9008,MATCH(6349,$C$9:$C$9008,0)))</f>
        <v/>
      </c>
      <c r="B6357" s="9" t="str">
        <f>IFERROR(INDEX(Input!$L$20:$T$1019,INT((ROW()-9)/9)+1,MOD(ROW()-9,9)+1),"")</f>
        <v/>
      </c>
      <c r="C6357" s="9">
        <f t="shared" si="99"/>
        <v>0</v>
      </c>
    </row>
    <row r="6358" spans="1:3" x14ac:dyDescent="0.2">
      <c r="A6358" s="10" t="str">
        <f>IF(6350&gt;$C$9008,"",INDEX($B$9:$B$9008,MATCH(6350,$C$9:$C$9008,0)))</f>
        <v/>
      </c>
      <c r="B6358" s="9" t="str">
        <f>IFERROR(INDEX(Input!$L$20:$T$1019,INT((ROW()-9)/9)+1,MOD(ROW()-9,9)+1),"")</f>
        <v/>
      </c>
      <c r="C6358" s="9">
        <f t="shared" si="99"/>
        <v>0</v>
      </c>
    </row>
    <row r="6359" spans="1:3" x14ac:dyDescent="0.2">
      <c r="A6359" s="10" t="str">
        <f>IF(6351&gt;$C$9008,"",INDEX($B$9:$B$9008,MATCH(6351,$C$9:$C$9008,0)))</f>
        <v/>
      </c>
      <c r="B6359" s="9" t="str">
        <f>IFERROR(INDEX(Input!$L$20:$T$1019,INT((ROW()-9)/9)+1,MOD(ROW()-9,9)+1),"")</f>
        <v/>
      </c>
      <c r="C6359" s="9">
        <f t="shared" si="99"/>
        <v>0</v>
      </c>
    </row>
    <row r="6360" spans="1:3" x14ac:dyDescent="0.2">
      <c r="A6360" s="10" t="str">
        <f>IF(6352&gt;$C$9008,"",INDEX($B$9:$B$9008,MATCH(6352,$C$9:$C$9008,0)))</f>
        <v/>
      </c>
      <c r="B6360" s="9" t="str">
        <f>IFERROR(INDEX(Input!$L$20:$T$1019,INT((ROW()-9)/9)+1,MOD(ROW()-9,9)+1),"")</f>
        <v/>
      </c>
      <c r="C6360" s="9">
        <f t="shared" si="99"/>
        <v>0</v>
      </c>
    </row>
    <row r="6361" spans="1:3" x14ac:dyDescent="0.2">
      <c r="A6361" s="10" t="str">
        <f>IF(6353&gt;$C$9008,"",INDEX($B$9:$B$9008,MATCH(6353,$C$9:$C$9008,0)))</f>
        <v/>
      </c>
      <c r="B6361" s="9" t="str">
        <f>IFERROR(INDEX(Input!$L$20:$T$1019,INT((ROW()-9)/9)+1,MOD(ROW()-9,9)+1),"")</f>
        <v/>
      </c>
      <c r="C6361" s="9">
        <f t="shared" si="99"/>
        <v>0</v>
      </c>
    </row>
    <row r="6362" spans="1:3" x14ac:dyDescent="0.2">
      <c r="A6362" s="10" t="str">
        <f>IF(6354&gt;$C$9008,"",INDEX($B$9:$B$9008,MATCH(6354,$C$9:$C$9008,0)))</f>
        <v/>
      </c>
      <c r="B6362" s="9" t="str">
        <f>IFERROR(INDEX(Input!$L$20:$T$1019,INT((ROW()-9)/9)+1,MOD(ROW()-9,9)+1),"")</f>
        <v/>
      </c>
      <c r="C6362" s="9">
        <f t="shared" si="99"/>
        <v>0</v>
      </c>
    </row>
    <row r="6363" spans="1:3" x14ac:dyDescent="0.2">
      <c r="A6363" s="10" t="str">
        <f>IF(6355&gt;$C$9008,"",INDEX($B$9:$B$9008,MATCH(6355,$C$9:$C$9008,0)))</f>
        <v/>
      </c>
      <c r="B6363" s="9" t="str">
        <f>IFERROR(INDEX(Input!$L$20:$T$1019,INT((ROW()-9)/9)+1,MOD(ROW()-9,9)+1),"")</f>
        <v/>
      </c>
      <c r="C6363" s="9">
        <f t="shared" si="99"/>
        <v>0</v>
      </c>
    </row>
    <row r="6364" spans="1:3" x14ac:dyDescent="0.2">
      <c r="A6364" s="10" t="str">
        <f>IF(6356&gt;$C$9008,"",INDEX($B$9:$B$9008,MATCH(6356,$C$9:$C$9008,0)))</f>
        <v/>
      </c>
      <c r="B6364" s="9" t="str">
        <f>IFERROR(INDEX(Input!$L$20:$T$1019,INT((ROW()-9)/9)+1,MOD(ROW()-9,9)+1),"")</f>
        <v/>
      </c>
      <c r="C6364" s="9">
        <f t="shared" si="99"/>
        <v>0</v>
      </c>
    </row>
    <row r="6365" spans="1:3" x14ac:dyDescent="0.2">
      <c r="A6365" s="10" t="str">
        <f>IF(6357&gt;$C$9008,"",INDEX($B$9:$B$9008,MATCH(6357,$C$9:$C$9008,0)))</f>
        <v/>
      </c>
      <c r="B6365" s="9" t="str">
        <f>IFERROR(INDEX(Input!$L$20:$T$1019,INT((ROW()-9)/9)+1,MOD(ROW()-9,9)+1),"")</f>
        <v/>
      </c>
      <c r="C6365" s="9">
        <f t="shared" si="99"/>
        <v>0</v>
      </c>
    </row>
    <row r="6366" spans="1:3" x14ac:dyDescent="0.2">
      <c r="A6366" s="10" t="str">
        <f>IF(6358&gt;$C$9008,"",INDEX($B$9:$B$9008,MATCH(6358,$C$9:$C$9008,0)))</f>
        <v/>
      </c>
      <c r="B6366" s="9" t="str">
        <f>IFERROR(INDEX(Input!$L$20:$T$1019,INT((ROW()-9)/9)+1,MOD(ROW()-9,9)+1),"")</f>
        <v/>
      </c>
      <c r="C6366" s="9">
        <f t="shared" si="99"/>
        <v>0</v>
      </c>
    </row>
    <row r="6367" spans="1:3" x14ac:dyDescent="0.2">
      <c r="A6367" s="10" t="str">
        <f>IF(6359&gt;$C$9008,"",INDEX($B$9:$B$9008,MATCH(6359,$C$9:$C$9008,0)))</f>
        <v/>
      </c>
      <c r="B6367" s="9" t="str">
        <f>IFERROR(INDEX(Input!$L$20:$T$1019,INT((ROW()-9)/9)+1,MOD(ROW()-9,9)+1),"")</f>
        <v/>
      </c>
      <c r="C6367" s="9">
        <f t="shared" si="99"/>
        <v>0</v>
      </c>
    </row>
    <row r="6368" spans="1:3" x14ac:dyDescent="0.2">
      <c r="A6368" s="10" t="str">
        <f>IF(6360&gt;$C$9008,"",INDEX($B$9:$B$9008,MATCH(6360,$C$9:$C$9008,0)))</f>
        <v/>
      </c>
      <c r="B6368" s="9" t="str">
        <f>IFERROR(INDEX(Input!$L$20:$T$1019,INT((ROW()-9)/9)+1,MOD(ROW()-9,9)+1),"")</f>
        <v/>
      </c>
      <c r="C6368" s="9">
        <f t="shared" si="99"/>
        <v>0</v>
      </c>
    </row>
    <row r="6369" spans="1:3" x14ac:dyDescent="0.2">
      <c r="A6369" s="10" t="str">
        <f>IF(6361&gt;$C$9008,"",INDEX($B$9:$B$9008,MATCH(6361,$C$9:$C$9008,0)))</f>
        <v/>
      </c>
      <c r="B6369" s="9" t="str">
        <f>IFERROR(INDEX(Input!$L$20:$T$1019,INT((ROW()-9)/9)+1,MOD(ROW()-9,9)+1),"")</f>
        <v/>
      </c>
      <c r="C6369" s="9">
        <f t="shared" si="99"/>
        <v>0</v>
      </c>
    </row>
    <row r="6370" spans="1:3" x14ac:dyDescent="0.2">
      <c r="A6370" s="10" t="str">
        <f>IF(6362&gt;$C$9008,"",INDEX($B$9:$B$9008,MATCH(6362,$C$9:$C$9008,0)))</f>
        <v/>
      </c>
      <c r="B6370" s="9" t="str">
        <f>IFERROR(INDEX(Input!$L$20:$T$1019,INT((ROW()-9)/9)+1,MOD(ROW()-9,9)+1),"")</f>
        <v/>
      </c>
      <c r="C6370" s="9">
        <f t="shared" si="99"/>
        <v>0</v>
      </c>
    </row>
    <row r="6371" spans="1:3" x14ac:dyDescent="0.2">
      <c r="A6371" s="10" t="str">
        <f>IF(6363&gt;$C$9008,"",INDEX($B$9:$B$9008,MATCH(6363,$C$9:$C$9008,0)))</f>
        <v/>
      </c>
      <c r="B6371" s="9" t="str">
        <f>IFERROR(INDEX(Input!$L$20:$T$1019,INT((ROW()-9)/9)+1,MOD(ROW()-9,9)+1),"")</f>
        <v/>
      </c>
      <c r="C6371" s="9">
        <f t="shared" si="99"/>
        <v>0</v>
      </c>
    </row>
    <row r="6372" spans="1:3" x14ac:dyDescent="0.2">
      <c r="A6372" s="10" t="str">
        <f>IF(6364&gt;$C$9008,"",INDEX($B$9:$B$9008,MATCH(6364,$C$9:$C$9008,0)))</f>
        <v/>
      </c>
      <c r="B6372" s="9" t="str">
        <f>IFERROR(INDEX(Input!$L$20:$T$1019,INT((ROW()-9)/9)+1,MOD(ROW()-9,9)+1),"")</f>
        <v/>
      </c>
      <c r="C6372" s="9">
        <f t="shared" si="99"/>
        <v>0</v>
      </c>
    </row>
    <row r="6373" spans="1:3" x14ac:dyDescent="0.2">
      <c r="A6373" s="10" t="str">
        <f>IF(6365&gt;$C$9008,"",INDEX($B$9:$B$9008,MATCH(6365,$C$9:$C$9008,0)))</f>
        <v/>
      </c>
      <c r="B6373" s="9" t="str">
        <f>IFERROR(INDEX(Input!$L$20:$T$1019,INT((ROW()-9)/9)+1,MOD(ROW()-9,9)+1),"")</f>
        <v/>
      </c>
      <c r="C6373" s="9">
        <f t="shared" si="99"/>
        <v>0</v>
      </c>
    </row>
    <row r="6374" spans="1:3" x14ac:dyDescent="0.2">
      <c r="A6374" s="10" t="str">
        <f>IF(6366&gt;$C$9008,"",INDEX($B$9:$B$9008,MATCH(6366,$C$9:$C$9008,0)))</f>
        <v/>
      </c>
      <c r="B6374" s="9" t="str">
        <f>IFERROR(INDEX(Input!$L$20:$T$1019,INT((ROW()-9)/9)+1,MOD(ROW()-9,9)+1),"")</f>
        <v/>
      </c>
      <c r="C6374" s="9">
        <f t="shared" si="99"/>
        <v>0</v>
      </c>
    </row>
    <row r="6375" spans="1:3" x14ac:dyDescent="0.2">
      <c r="A6375" s="10" t="str">
        <f>IF(6367&gt;$C$9008,"",INDEX($B$9:$B$9008,MATCH(6367,$C$9:$C$9008,0)))</f>
        <v/>
      </c>
      <c r="B6375" s="9" t="str">
        <f>IFERROR(INDEX(Input!$L$20:$T$1019,INT((ROW()-9)/9)+1,MOD(ROW()-9,9)+1),"")</f>
        <v/>
      </c>
      <c r="C6375" s="9">
        <f t="shared" si="99"/>
        <v>0</v>
      </c>
    </row>
    <row r="6376" spans="1:3" x14ac:dyDescent="0.2">
      <c r="A6376" s="10" t="str">
        <f>IF(6368&gt;$C$9008,"",INDEX($B$9:$B$9008,MATCH(6368,$C$9:$C$9008,0)))</f>
        <v/>
      </c>
      <c r="B6376" s="9" t="str">
        <f>IFERROR(INDEX(Input!$L$20:$T$1019,INT((ROW()-9)/9)+1,MOD(ROW()-9,9)+1),"")</f>
        <v/>
      </c>
      <c r="C6376" s="9">
        <f t="shared" si="99"/>
        <v>0</v>
      </c>
    </row>
    <row r="6377" spans="1:3" x14ac:dyDescent="0.2">
      <c r="A6377" s="10" t="str">
        <f>IF(6369&gt;$C$9008,"",INDEX($B$9:$B$9008,MATCH(6369,$C$9:$C$9008,0)))</f>
        <v/>
      </c>
      <c r="B6377" s="9" t="str">
        <f>IFERROR(INDEX(Input!$L$20:$T$1019,INT((ROW()-9)/9)+1,MOD(ROW()-9,9)+1),"")</f>
        <v/>
      </c>
      <c r="C6377" s="9">
        <f t="shared" si="99"/>
        <v>0</v>
      </c>
    </row>
    <row r="6378" spans="1:3" x14ac:dyDescent="0.2">
      <c r="A6378" s="10" t="str">
        <f>IF(6370&gt;$C$9008,"",INDEX($B$9:$B$9008,MATCH(6370,$C$9:$C$9008,0)))</f>
        <v/>
      </c>
      <c r="B6378" s="9" t="str">
        <f>IFERROR(INDEX(Input!$L$20:$T$1019,INT((ROW()-9)/9)+1,MOD(ROW()-9,9)+1),"")</f>
        <v/>
      </c>
      <c r="C6378" s="9">
        <f t="shared" si="99"/>
        <v>0</v>
      </c>
    </row>
    <row r="6379" spans="1:3" x14ac:dyDescent="0.2">
      <c r="A6379" s="10" t="str">
        <f>IF(6371&gt;$C$9008,"",INDEX($B$9:$B$9008,MATCH(6371,$C$9:$C$9008,0)))</f>
        <v/>
      </c>
      <c r="B6379" s="9" t="str">
        <f>IFERROR(INDEX(Input!$L$20:$T$1019,INT((ROW()-9)/9)+1,MOD(ROW()-9,9)+1),"")</f>
        <v/>
      </c>
      <c r="C6379" s="9">
        <f t="shared" si="99"/>
        <v>0</v>
      </c>
    </row>
    <row r="6380" spans="1:3" x14ac:dyDescent="0.2">
      <c r="A6380" s="10" t="str">
        <f>IF(6372&gt;$C$9008,"",INDEX($B$9:$B$9008,MATCH(6372,$C$9:$C$9008,0)))</f>
        <v/>
      </c>
      <c r="B6380" s="9" t="str">
        <f>IFERROR(INDEX(Input!$L$20:$T$1019,INT((ROW()-9)/9)+1,MOD(ROW()-9,9)+1),"")</f>
        <v/>
      </c>
      <c r="C6380" s="9">
        <f t="shared" si="99"/>
        <v>0</v>
      </c>
    </row>
    <row r="6381" spans="1:3" x14ac:dyDescent="0.2">
      <c r="A6381" s="10" t="str">
        <f>IF(6373&gt;$C$9008,"",INDEX($B$9:$B$9008,MATCH(6373,$C$9:$C$9008,0)))</f>
        <v/>
      </c>
      <c r="B6381" s="9" t="str">
        <f>IFERROR(INDEX(Input!$L$20:$T$1019,INT((ROW()-9)/9)+1,MOD(ROW()-9,9)+1),"")</f>
        <v/>
      </c>
      <c r="C6381" s="9">
        <f t="shared" si="99"/>
        <v>0</v>
      </c>
    </row>
    <row r="6382" spans="1:3" x14ac:dyDescent="0.2">
      <c r="A6382" s="10" t="str">
        <f>IF(6374&gt;$C$9008,"",INDEX($B$9:$B$9008,MATCH(6374,$C$9:$C$9008,0)))</f>
        <v/>
      </c>
      <c r="B6382" s="9" t="str">
        <f>IFERROR(INDEX(Input!$L$20:$T$1019,INT((ROW()-9)/9)+1,MOD(ROW()-9,9)+1),"")</f>
        <v/>
      </c>
      <c r="C6382" s="9">
        <f t="shared" si="99"/>
        <v>0</v>
      </c>
    </row>
    <row r="6383" spans="1:3" x14ac:dyDescent="0.2">
      <c r="A6383" s="10" t="str">
        <f>IF(6375&gt;$C$9008,"",INDEX($B$9:$B$9008,MATCH(6375,$C$9:$C$9008,0)))</f>
        <v/>
      </c>
      <c r="B6383" s="9" t="str">
        <f>IFERROR(INDEX(Input!$L$20:$T$1019,INT((ROW()-9)/9)+1,MOD(ROW()-9,9)+1),"")</f>
        <v/>
      </c>
      <c r="C6383" s="9">
        <f t="shared" si="99"/>
        <v>0</v>
      </c>
    </row>
    <row r="6384" spans="1:3" x14ac:dyDescent="0.2">
      <c r="A6384" s="10" t="str">
        <f>IF(6376&gt;$C$9008,"",INDEX($B$9:$B$9008,MATCH(6376,$C$9:$C$9008,0)))</f>
        <v/>
      </c>
      <c r="B6384" s="9" t="str">
        <f>IFERROR(INDEX(Input!$L$20:$T$1019,INT((ROW()-9)/9)+1,MOD(ROW()-9,9)+1),"")</f>
        <v/>
      </c>
      <c r="C6384" s="9">
        <f t="shared" si="99"/>
        <v>0</v>
      </c>
    </row>
    <row r="6385" spans="1:3" x14ac:dyDescent="0.2">
      <c r="A6385" s="10" t="str">
        <f>IF(6377&gt;$C$9008,"",INDEX($B$9:$B$9008,MATCH(6377,$C$9:$C$9008,0)))</f>
        <v/>
      </c>
      <c r="B6385" s="9" t="str">
        <f>IFERROR(INDEX(Input!$L$20:$T$1019,INT((ROW()-9)/9)+1,MOD(ROW()-9,9)+1),"")</f>
        <v/>
      </c>
      <c r="C6385" s="9">
        <f t="shared" si="99"/>
        <v>0</v>
      </c>
    </row>
    <row r="6386" spans="1:3" x14ac:dyDescent="0.2">
      <c r="A6386" s="10" t="str">
        <f>IF(6378&gt;$C$9008,"",INDEX($B$9:$B$9008,MATCH(6378,$C$9:$C$9008,0)))</f>
        <v/>
      </c>
      <c r="B6386" s="9" t="str">
        <f>IFERROR(INDEX(Input!$L$20:$T$1019,INT((ROW()-9)/9)+1,MOD(ROW()-9,9)+1),"")</f>
        <v/>
      </c>
      <c r="C6386" s="9">
        <f t="shared" si="99"/>
        <v>0</v>
      </c>
    </row>
    <row r="6387" spans="1:3" x14ac:dyDescent="0.2">
      <c r="A6387" s="10" t="str">
        <f>IF(6379&gt;$C$9008,"",INDEX($B$9:$B$9008,MATCH(6379,$C$9:$C$9008,0)))</f>
        <v/>
      </c>
      <c r="B6387" s="9" t="str">
        <f>IFERROR(INDEX(Input!$L$20:$T$1019,INT((ROW()-9)/9)+1,MOD(ROW()-9,9)+1),"")</f>
        <v/>
      </c>
      <c r="C6387" s="9">
        <f t="shared" si="99"/>
        <v>0</v>
      </c>
    </row>
    <row r="6388" spans="1:3" x14ac:dyDescent="0.2">
      <c r="A6388" s="10" t="str">
        <f>IF(6380&gt;$C$9008,"",INDEX($B$9:$B$9008,MATCH(6380,$C$9:$C$9008,0)))</f>
        <v/>
      </c>
      <c r="B6388" s="9" t="str">
        <f>IFERROR(INDEX(Input!$L$20:$T$1019,INT((ROW()-9)/9)+1,MOD(ROW()-9,9)+1),"")</f>
        <v/>
      </c>
      <c r="C6388" s="9">
        <f t="shared" si="99"/>
        <v>0</v>
      </c>
    </row>
    <row r="6389" spans="1:3" x14ac:dyDescent="0.2">
      <c r="A6389" s="10" t="str">
        <f>IF(6381&gt;$C$9008,"",INDEX($B$9:$B$9008,MATCH(6381,$C$9:$C$9008,0)))</f>
        <v/>
      </c>
      <c r="B6389" s="9" t="str">
        <f>IFERROR(INDEX(Input!$L$20:$T$1019,INT((ROW()-9)/9)+1,MOD(ROW()-9,9)+1),"")</f>
        <v/>
      </c>
      <c r="C6389" s="9">
        <f t="shared" si="99"/>
        <v>0</v>
      </c>
    </row>
    <row r="6390" spans="1:3" x14ac:dyDescent="0.2">
      <c r="A6390" s="10" t="str">
        <f>IF(6382&gt;$C$9008,"",INDEX($B$9:$B$9008,MATCH(6382,$C$9:$C$9008,0)))</f>
        <v/>
      </c>
      <c r="B6390" s="9" t="str">
        <f>IFERROR(INDEX(Input!$L$20:$T$1019,INT((ROW()-9)/9)+1,MOD(ROW()-9,9)+1),"")</f>
        <v/>
      </c>
      <c r="C6390" s="9">
        <f t="shared" si="99"/>
        <v>0</v>
      </c>
    </row>
    <row r="6391" spans="1:3" x14ac:dyDescent="0.2">
      <c r="A6391" s="10" t="str">
        <f>IF(6383&gt;$C$9008,"",INDEX($B$9:$B$9008,MATCH(6383,$C$9:$C$9008,0)))</f>
        <v/>
      </c>
      <c r="B6391" s="9" t="str">
        <f>IFERROR(INDEX(Input!$L$20:$T$1019,INT((ROW()-9)/9)+1,MOD(ROW()-9,9)+1),"")</f>
        <v/>
      </c>
      <c r="C6391" s="9">
        <f t="shared" si="99"/>
        <v>0</v>
      </c>
    </row>
    <row r="6392" spans="1:3" x14ac:dyDescent="0.2">
      <c r="A6392" s="10" t="str">
        <f>IF(6384&gt;$C$9008,"",INDEX($B$9:$B$9008,MATCH(6384,$C$9:$C$9008,0)))</f>
        <v/>
      </c>
      <c r="B6392" s="9" t="str">
        <f>IFERROR(INDEX(Input!$L$20:$T$1019,INT((ROW()-9)/9)+1,MOD(ROW()-9,9)+1),"")</f>
        <v/>
      </c>
      <c r="C6392" s="9">
        <f t="shared" si="99"/>
        <v>0</v>
      </c>
    </row>
    <row r="6393" spans="1:3" x14ac:dyDescent="0.2">
      <c r="A6393" s="10" t="str">
        <f>IF(6385&gt;$C$9008,"",INDEX($B$9:$B$9008,MATCH(6385,$C$9:$C$9008,0)))</f>
        <v/>
      </c>
      <c r="B6393" s="9" t="str">
        <f>IFERROR(INDEX(Input!$L$20:$T$1019,INT((ROW()-9)/9)+1,MOD(ROW()-9,9)+1),"")</f>
        <v/>
      </c>
      <c r="C6393" s="9">
        <f t="shared" si="99"/>
        <v>0</v>
      </c>
    </row>
    <row r="6394" spans="1:3" x14ac:dyDescent="0.2">
      <c r="A6394" s="10" t="str">
        <f>IF(6386&gt;$C$9008,"",INDEX($B$9:$B$9008,MATCH(6386,$C$9:$C$9008,0)))</f>
        <v/>
      </c>
      <c r="B6394" s="9" t="str">
        <f>IFERROR(INDEX(Input!$L$20:$T$1019,INT((ROW()-9)/9)+1,MOD(ROW()-9,9)+1),"")</f>
        <v/>
      </c>
      <c r="C6394" s="9">
        <f t="shared" si="99"/>
        <v>0</v>
      </c>
    </row>
    <row r="6395" spans="1:3" x14ac:dyDescent="0.2">
      <c r="A6395" s="10" t="str">
        <f>IF(6387&gt;$C$9008,"",INDEX($B$9:$B$9008,MATCH(6387,$C$9:$C$9008,0)))</f>
        <v/>
      </c>
      <c r="B6395" s="9" t="str">
        <f>IFERROR(INDEX(Input!$L$20:$T$1019,INT((ROW()-9)/9)+1,MOD(ROW()-9,9)+1),"")</f>
        <v/>
      </c>
      <c r="C6395" s="9">
        <f t="shared" si="99"/>
        <v>0</v>
      </c>
    </row>
    <row r="6396" spans="1:3" x14ac:dyDescent="0.2">
      <c r="A6396" s="10" t="str">
        <f>IF(6388&gt;$C$9008,"",INDEX($B$9:$B$9008,MATCH(6388,$C$9:$C$9008,0)))</f>
        <v/>
      </c>
      <c r="B6396" s="9" t="str">
        <f>IFERROR(INDEX(Input!$L$20:$T$1019,INT((ROW()-9)/9)+1,MOD(ROW()-9,9)+1),"")</f>
        <v/>
      </c>
      <c r="C6396" s="9">
        <f t="shared" si="99"/>
        <v>0</v>
      </c>
    </row>
    <row r="6397" spans="1:3" x14ac:dyDescent="0.2">
      <c r="A6397" s="10" t="str">
        <f>IF(6389&gt;$C$9008,"",INDEX($B$9:$B$9008,MATCH(6389,$C$9:$C$9008,0)))</f>
        <v/>
      </c>
      <c r="B6397" s="9" t="str">
        <f>IFERROR(INDEX(Input!$L$20:$T$1019,INT((ROW()-9)/9)+1,MOD(ROW()-9,9)+1),"")</f>
        <v/>
      </c>
      <c r="C6397" s="9">
        <f t="shared" si="99"/>
        <v>0</v>
      </c>
    </row>
    <row r="6398" spans="1:3" x14ac:dyDescent="0.2">
      <c r="A6398" s="10" t="str">
        <f>IF(6390&gt;$C$9008,"",INDEX($B$9:$B$9008,MATCH(6390,$C$9:$C$9008,0)))</f>
        <v/>
      </c>
      <c r="B6398" s="9" t="str">
        <f>IFERROR(INDEX(Input!$L$20:$T$1019,INT((ROW()-9)/9)+1,MOD(ROW()-9,9)+1),"")</f>
        <v/>
      </c>
      <c r="C6398" s="9">
        <f t="shared" si="99"/>
        <v>0</v>
      </c>
    </row>
    <row r="6399" spans="1:3" x14ac:dyDescent="0.2">
      <c r="A6399" s="10" t="str">
        <f>IF(6391&gt;$C$9008,"",INDEX($B$9:$B$9008,MATCH(6391,$C$9:$C$9008,0)))</f>
        <v/>
      </c>
      <c r="B6399" s="9" t="str">
        <f>IFERROR(INDEX(Input!$L$20:$T$1019,INT((ROW()-9)/9)+1,MOD(ROW()-9,9)+1),"")</f>
        <v/>
      </c>
      <c r="C6399" s="9">
        <f t="shared" si="99"/>
        <v>0</v>
      </c>
    </row>
    <row r="6400" spans="1:3" x14ac:dyDescent="0.2">
      <c r="A6400" s="10" t="str">
        <f>IF(6392&gt;$C$9008,"",INDEX($B$9:$B$9008,MATCH(6392,$C$9:$C$9008,0)))</f>
        <v/>
      </c>
      <c r="B6400" s="9" t="str">
        <f>IFERROR(INDEX(Input!$L$20:$T$1019,INT((ROW()-9)/9)+1,MOD(ROW()-9,9)+1),"")</f>
        <v/>
      </c>
      <c r="C6400" s="9">
        <f t="shared" si="99"/>
        <v>0</v>
      </c>
    </row>
    <row r="6401" spans="1:3" x14ac:dyDescent="0.2">
      <c r="A6401" s="10" t="str">
        <f>IF(6393&gt;$C$9008,"",INDEX($B$9:$B$9008,MATCH(6393,$C$9:$C$9008,0)))</f>
        <v/>
      </c>
      <c r="B6401" s="9" t="str">
        <f>IFERROR(INDEX(Input!$L$20:$T$1019,INT((ROW()-9)/9)+1,MOD(ROW()-9,9)+1),"")</f>
        <v/>
      </c>
      <c r="C6401" s="9">
        <f t="shared" si="99"/>
        <v>0</v>
      </c>
    </row>
    <row r="6402" spans="1:3" x14ac:dyDescent="0.2">
      <c r="A6402" s="10" t="str">
        <f>IF(6394&gt;$C$9008,"",INDEX($B$9:$B$9008,MATCH(6394,$C$9:$C$9008,0)))</f>
        <v/>
      </c>
      <c r="B6402" s="9" t="str">
        <f>IFERROR(INDEX(Input!$L$20:$T$1019,INT((ROW()-9)/9)+1,MOD(ROW()-9,9)+1),"")</f>
        <v/>
      </c>
      <c r="C6402" s="9">
        <f t="shared" si="99"/>
        <v>0</v>
      </c>
    </row>
    <row r="6403" spans="1:3" x14ac:dyDescent="0.2">
      <c r="A6403" s="10" t="str">
        <f>IF(6395&gt;$C$9008,"",INDEX($B$9:$B$9008,MATCH(6395,$C$9:$C$9008,0)))</f>
        <v/>
      </c>
      <c r="B6403" s="9" t="str">
        <f>IFERROR(INDEX(Input!$L$20:$T$1019,INT((ROW()-9)/9)+1,MOD(ROW()-9,9)+1),"")</f>
        <v/>
      </c>
      <c r="C6403" s="9">
        <f t="shared" si="99"/>
        <v>0</v>
      </c>
    </row>
    <row r="6404" spans="1:3" x14ac:dyDescent="0.2">
      <c r="A6404" s="10" t="str">
        <f>IF(6396&gt;$C$9008,"",INDEX($B$9:$B$9008,MATCH(6396,$C$9:$C$9008,0)))</f>
        <v/>
      </c>
      <c r="B6404" s="9" t="str">
        <f>IFERROR(INDEX(Input!$L$20:$T$1019,INT((ROW()-9)/9)+1,MOD(ROW()-9,9)+1),"")</f>
        <v/>
      </c>
      <c r="C6404" s="9">
        <f t="shared" si="99"/>
        <v>0</v>
      </c>
    </row>
    <row r="6405" spans="1:3" x14ac:dyDescent="0.2">
      <c r="A6405" s="10" t="str">
        <f>IF(6397&gt;$C$9008,"",INDEX($B$9:$B$9008,MATCH(6397,$C$9:$C$9008,0)))</f>
        <v/>
      </c>
      <c r="B6405" s="9" t="str">
        <f>IFERROR(INDEX(Input!$L$20:$T$1019,INT((ROW()-9)/9)+1,MOD(ROW()-9,9)+1),"")</f>
        <v/>
      </c>
      <c r="C6405" s="9">
        <f t="shared" si="99"/>
        <v>0</v>
      </c>
    </row>
    <row r="6406" spans="1:3" x14ac:dyDescent="0.2">
      <c r="A6406" s="10" t="str">
        <f>IF(6398&gt;$C$9008,"",INDEX($B$9:$B$9008,MATCH(6398,$C$9:$C$9008,0)))</f>
        <v/>
      </c>
      <c r="B6406" s="9" t="str">
        <f>IFERROR(INDEX(Input!$L$20:$T$1019,INT((ROW()-9)/9)+1,MOD(ROW()-9,9)+1),"")</f>
        <v/>
      </c>
      <c r="C6406" s="9">
        <f t="shared" si="99"/>
        <v>0</v>
      </c>
    </row>
    <row r="6407" spans="1:3" x14ac:dyDescent="0.2">
      <c r="A6407" s="10" t="str">
        <f>IF(6399&gt;$C$9008,"",INDEX($B$9:$B$9008,MATCH(6399,$C$9:$C$9008,0)))</f>
        <v/>
      </c>
      <c r="B6407" s="9" t="str">
        <f>IFERROR(INDEX(Input!$L$20:$T$1019,INT((ROW()-9)/9)+1,MOD(ROW()-9,9)+1),"")</f>
        <v/>
      </c>
      <c r="C6407" s="9">
        <f t="shared" si="99"/>
        <v>0</v>
      </c>
    </row>
    <row r="6408" spans="1:3" x14ac:dyDescent="0.2">
      <c r="A6408" s="10" t="str">
        <f>IF(6400&gt;$C$9008,"",INDEX($B$9:$B$9008,MATCH(6400,$C$9:$C$9008,0)))</f>
        <v/>
      </c>
      <c r="B6408" s="9" t="str">
        <f>IFERROR(INDEX(Input!$L$20:$T$1019,INT((ROW()-9)/9)+1,MOD(ROW()-9,9)+1),"")</f>
        <v/>
      </c>
      <c r="C6408" s="9">
        <f t="shared" si="99"/>
        <v>0</v>
      </c>
    </row>
    <row r="6409" spans="1:3" x14ac:dyDescent="0.2">
      <c r="A6409" s="10" t="str">
        <f>IF(6401&gt;$C$9008,"",INDEX($B$9:$B$9008,MATCH(6401,$C$9:$C$9008,0)))</f>
        <v/>
      </c>
      <c r="B6409" s="9" t="str">
        <f>IFERROR(INDEX(Input!$L$20:$T$1019,INT((ROW()-9)/9)+1,MOD(ROW()-9,9)+1),"")</f>
        <v/>
      </c>
      <c r="C6409" s="9">
        <f t="shared" ref="C6409:C6472" si="100">$C6408+IF($B6409&lt;&gt;"",1,0)</f>
        <v>0</v>
      </c>
    </row>
    <row r="6410" spans="1:3" x14ac:dyDescent="0.2">
      <c r="A6410" s="10" t="str">
        <f>IF(6402&gt;$C$9008,"",INDEX($B$9:$B$9008,MATCH(6402,$C$9:$C$9008,0)))</f>
        <v/>
      </c>
      <c r="B6410" s="9" t="str">
        <f>IFERROR(INDEX(Input!$L$20:$T$1019,INT((ROW()-9)/9)+1,MOD(ROW()-9,9)+1),"")</f>
        <v/>
      </c>
      <c r="C6410" s="9">
        <f t="shared" si="100"/>
        <v>0</v>
      </c>
    </row>
    <row r="6411" spans="1:3" x14ac:dyDescent="0.2">
      <c r="A6411" s="10" t="str">
        <f>IF(6403&gt;$C$9008,"",INDEX($B$9:$B$9008,MATCH(6403,$C$9:$C$9008,0)))</f>
        <v/>
      </c>
      <c r="B6411" s="9" t="str">
        <f>IFERROR(INDEX(Input!$L$20:$T$1019,INT((ROW()-9)/9)+1,MOD(ROW()-9,9)+1),"")</f>
        <v/>
      </c>
      <c r="C6411" s="9">
        <f t="shared" si="100"/>
        <v>0</v>
      </c>
    </row>
    <row r="6412" spans="1:3" x14ac:dyDescent="0.2">
      <c r="A6412" s="10" t="str">
        <f>IF(6404&gt;$C$9008,"",INDEX($B$9:$B$9008,MATCH(6404,$C$9:$C$9008,0)))</f>
        <v/>
      </c>
      <c r="B6412" s="9" t="str">
        <f>IFERROR(INDEX(Input!$L$20:$T$1019,INT((ROW()-9)/9)+1,MOD(ROW()-9,9)+1),"")</f>
        <v/>
      </c>
      <c r="C6412" s="9">
        <f t="shared" si="100"/>
        <v>0</v>
      </c>
    </row>
    <row r="6413" spans="1:3" x14ac:dyDescent="0.2">
      <c r="A6413" s="10" t="str">
        <f>IF(6405&gt;$C$9008,"",INDEX($B$9:$B$9008,MATCH(6405,$C$9:$C$9008,0)))</f>
        <v/>
      </c>
      <c r="B6413" s="9" t="str">
        <f>IFERROR(INDEX(Input!$L$20:$T$1019,INT((ROW()-9)/9)+1,MOD(ROW()-9,9)+1),"")</f>
        <v/>
      </c>
      <c r="C6413" s="9">
        <f t="shared" si="100"/>
        <v>0</v>
      </c>
    </row>
    <row r="6414" spans="1:3" x14ac:dyDescent="0.2">
      <c r="A6414" s="10" t="str">
        <f>IF(6406&gt;$C$9008,"",INDEX($B$9:$B$9008,MATCH(6406,$C$9:$C$9008,0)))</f>
        <v/>
      </c>
      <c r="B6414" s="9" t="str">
        <f>IFERROR(INDEX(Input!$L$20:$T$1019,INT((ROW()-9)/9)+1,MOD(ROW()-9,9)+1),"")</f>
        <v/>
      </c>
      <c r="C6414" s="9">
        <f t="shared" si="100"/>
        <v>0</v>
      </c>
    </row>
    <row r="6415" spans="1:3" x14ac:dyDescent="0.2">
      <c r="A6415" s="10" t="str">
        <f>IF(6407&gt;$C$9008,"",INDEX($B$9:$B$9008,MATCH(6407,$C$9:$C$9008,0)))</f>
        <v/>
      </c>
      <c r="B6415" s="9" t="str">
        <f>IFERROR(INDEX(Input!$L$20:$T$1019,INT((ROW()-9)/9)+1,MOD(ROW()-9,9)+1),"")</f>
        <v/>
      </c>
      <c r="C6415" s="9">
        <f t="shared" si="100"/>
        <v>0</v>
      </c>
    </row>
    <row r="6416" spans="1:3" x14ac:dyDescent="0.2">
      <c r="A6416" s="10" t="str">
        <f>IF(6408&gt;$C$9008,"",INDEX($B$9:$B$9008,MATCH(6408,$C$9:$C$9008,0)))</f>
        <v/>
      </c>
      <c r="B6416" s="9" t="str">
        <f>IFERROR(INDEX(Input!$L$20:$T$1019,INT((ROW()-9)/9)+1,MOD(ROW()-9,9)+1),"")</f>
        <v/>
      </c>
      <c r="C6416" s="9">
        <f t="shared" si="100"/>
        <v>0</v>
      </c>
    </row>
    <row r="6417" spans="1:3" x14ac:dyDescent="0.2">
      <c r="A6417" s="10" t="str">
        <f>IF(6409&gt;$C$9008,"",INDEX($B$9:$B$9008,MATCH(6409,$C$9:$C$9008,0)))</f>
        <v/>
      </c>
      <c r="B6417" s="9" t="str">
        <f>IFERROR(INDEX(Input!$L$20:$T$1019,INT((ROW()-9)/9)+1,MOD(ROW()-9,9)+1),"")</f>
        <v/>
      </c>
      <c r="C6417" s="9">
        <f t="shared" si="100"/>
        <v>0</v>
      </c>
    </row>
    <row r="6418" spans="1:3" x14ac:dyDescent="0.2">
      <c r="A6418" s="10" t="str">
        <f>IF(6410&gt;$C$9008,"",INDEX($B$9:$B$9008,MATCH(6410,$C$9:$C$9008,0)))</f>
        <v/>
      </c>
      <c r="B6418" s="9" t="str">
        <f>IFERROR(INDEX(Input!$L$20:$T$1019,INT((ROW()-9)/9)+1,MOD(ROW()-9,9)+1),"")</f>
        <v/>
      </c>
      <c r="C6418" s="9">
        <f t="shared" si="100"/>
        <v>0</v>
      </c>
    </row>
    <row r="6419" spans="1:3" x14ac:dyDescent="0.2">
      <c r="A6419" s="10" t="str">
        <f>IF(6411&gt;$C$9008,"",INDEX($B$9:$B$9008,MATCH(6411,$C$9:$C$9008,0)))</f>
        <v/>
      </c>
      <c r="B6419" s="9" t="str">
        <f>IFERROR(INDEX(Input!$L$20:$T$1019,INT((ROW()-9)/9)+1,MOD(ROW()-9,9)+1),"")</f>
        <v/>
      </c>
      <c r="C6419" s="9">
        <f t="shared" si="100"/>
        <v>0</v>
      </c>
    </row>
    <row r="6420" spans="1:3" x14ac:dyDescent="0.2">
      <c r="A6420" s="10" t="str">
        <f>IF(6412&gt;$C$9008,"",INDEX($B$9:$B$9008,MATCH(6412,$C$9:$C$9008,0)))</f>
        <v/>
      </c>
      <c r="B6420" s="9" t="str">
        <f>IFERROR(INDEX(Input!$L$20:$T$1019,INT((ROW()-9)/9)+1,MOD(ROW()-9,9)+1),"")</f>
        <v/>
      </c>
      <c r="C6420" s="9">
        <f t="shared" si="100"/>
        <v>0</v>
      </c>
    </row>
    <row r="6421" spans="1:3" x14ac:dyDescent="0.2">
      <c r="A6421" s="10" t="str">
        <f>IF(6413&gt;$C$9008,"",INDEX($B$9:$B$9008,MATCH(6413,$C$9:$C$9008,0)))</f>
        <v/>
      </c>
      <c r="B6421" s="9" t="str">
        <f>IFERROR(INDEX(Input!$L$20:$T$1019,INT((ROW()-9)/9)+1,MOD(ROW()-9,9)+1),"")</f>
        <v/>
      </c>
      <c r="C6421" s="9">
        <f t="shared" si="100"/>
        <v>0</v>
      </c>
    </row>
    <row r="6422" spans="1:3" x14ac:dyDescent="0.2">
      <c r="A6422" s="10" t="str">
        <f>IF(6414&gt;$C$9008,"",INDEX($B$9:$B$9008,MATCH(6414,$C$9:$C$9008,0)))</f>
        <v/>
      </c>
      <c r="B6422" s="9" t="str">
        <f>IFERROR(INDEX(Input!$L$20:$T$1019,INT((ROW()-9)/9)+1,MOD(ROW()-9,9)+1),"")</f>
        <v/>
      </c>
      <c r="C6422" s="9">
        <f t="shared" si="100"/>
        <v>0</v>
      </c>
    </row>
    <row r="6423" spans="1:3" x14ac:dyDescent="0.2">
      <c r="A6423" s="10" t="str">
        <f>IF(6415&gt;$C$9008,"",INDEX($B$9:$B$9008,MATCH(6415,$C$9:$C$9008,0)))</f>
        <v/>
      </c>
      <c r="B6423" s="9" t="str">
        <f>IFERROR(INDEX(Input!$L$20:$T$1019,INT((ROW()-9)/9)+1,MOD(ROW()-9,9)+1),"")</f>
        <v/>
      </c>
      <c r="C6423" s="9">
        <f t="shared" si="100"/>
        <v>0</v>
      </c>
    </row>
    <row r="6424" spans="1:3" x14ac:dyDescent="0.2">
      <c r="A6424" s="10" t="str">
        <f>IF(6416&gt;$C$9008,"",INDEX($B$9:$B$9008,MATCH(6416,$C$9:$C$9008,0)))</f>
        <v/>
      </c>
      <c r="B6424" s="9" t="str">
        <f>IFERROR(INDEX(Input!$L$20:$T$1019,INT((ROW()-9)/9)+1,MOD(ROW()-9,9)+1),"")</f>
        <v/>
      </c>
      <c r="C6424" s="9">
        <f t="shared" si="100"/>
        <v>0</v>
      </c>
    </row>
    <row r="6425" spans="1:3" x14ac:dyDescent="0.2">
      <c r="A6425" s="10" t="str">
        <f>IF(6417&gt;$C$9008,"",INDEX($B$9:$B$9008,MATCH(6417,$C$9:$C$9008,0)))</f>
        <v/>
      </c>
      <c r="B6425" s="9" t="str">
        <f>IFERROR(INDEX(Input!$L$20:$T$1019,INT((ROW()-9)/9)+1,MOD(ROW()-9,9)+1),"")</f>
        <v/>
      </c>
      <c r="C6425" s="9">
        <f t="shared" si="100"/>
        <v>0</v>
      </c>
    </row>
    <row r="6426" spans="1:3" x14ac:dyDescent="0.2">
      <c r="A6426" s="10" t="str">
        <f>IF(6418&gt;$C$9008,"",INDEX($B$9:$B$9008,MATCH(6418,$C$9:$C$9008,0)))</f>
        <v/>
      </c>
      <c r="B6426" s="9" t="str">
        <f>IFERROR(INDEX(Input!$L$20:$T$1019,INT((ROW()-9)/9)+1,MOD(ROW()-9,9)+1),"")</f>
        <v/>
      </c>
      <c r="C6426" s="9">
        <f t="shared" si="100"/>
        <v>0</v>
      </c>
    </row>
    <row r="6427" spans="1:3" x14ac:dyDescent="0.2">
      <c r="A6427" s="10" t="str">
        <f>IF(6419&gt;$C$9008,"",INDEX($B$9:$B$9008,MATCH(6419,$C$9:$C$9008,0)))</f>
        <v/>
      </c>
      <c r="B6427" s="9" t="str">
        <f>IFERROR(INDEX(Input!$L$20:$T$1019,INT((ROW()-9)/9)+1,MOD(ROW()-9,9)+1),"")</f>
        <v/>
      </c>
      <c r="C6427" s="9">
        <f t="shared" si="100"/>
        <v>0</v>
      </c>
    </row>
    <row r="6428" spans="1:3" x14ac:dyDescent="0.2">
      <c r="A6428" s="10" t="str">
        <f>IF(6420&gt;$C$9008,"",INDEX($B$9:$B$9008,MATCH(6420,$C$9:$C$9008,0)))</f>
        <v/>
      </c>
      <c r="B6428" s="9" t="str">
        <f>IFERROR(INDEX(Input!$L$20:$T$1019,INT((ROW()-9)/9)+1,MOD(ROW()-9,9)+1),"")</f>
        <v/>
      </c>
      <c r="C6428" s="9">
        <f t="shared" si="100"/>
        <v>0</v>
      </c>
    </row>
    <row r="6429" spans="1:3" x14ac:dyDescent="0.2">
      <c r="A6429" s="10" t="str">
        <f>IF(6421&gt;$C$9008,"",INDEX($B$9:$B$9008,MATCH(6421,$C$9:$C$9008,0)))</f>
        <v/>
      </c>
      <c r="B6429" s="9" t="str">
        <f>IFERROR(INDEX(Input!$L$20:$T$1019,INT((ROW()-9)/9)+1,MOD(ROW()-9,9)+1),"")</f>
        <v/>
      </c>
      <c r="C6429" s="9">
        <f t="shared" si="100"/>
        <v>0</v>
      </c>
    </row>
    <row r="6430" spans="1:3" x14ac:dyDescent="0.2">
      <c r="A6430" s="10" t="str">
        <f>IF(6422&gt;$C$9008,"",INDEX($B$9:$B$9008,MATCH(6422,$C$9:$C$9008,0)))</f>
        <v/>
      </c>
      <c r="B6430" s="9" t="str">
        <f>IFERROR(INDEX(Input!$L$20:$T$1019,INT((ROW()-9)/9)+1,MOD(ROW()-9,9)+1),"")</f>
        <v/>
      </c>
      <c r="C6430" s="9">
        <f t="shared" si="100"/>
        <v>0</v>
      </c>
    </row>
    <row r="6431" spans="1:3" x14ac:dyDescent="0.2">
      <c r="A6431" s="10" t="str">
        <f>IF(6423&gt;$C$9008,"",INDEX($B$9:$B$9008,MATCH(6423,$C$9:$C$9008,0)))</f>
        <v/>
      </c>
      <c r="B6431" s="9" t="str">
        <f>IFERROR(INDEX(Input!$L$20:$T$1019,INT((ROW()-9)/9)+1,MOD(ROW()-9,9)+1),"")</f>
        <v/>
      </c>
      <c r="C6431" s="9">
        <f t="shared" si="100"/>
        <v>0</v>
      </c>
    </row>
    <row r="6432" spans="1:3" x14ac:dyDescent="0.2">
      <c r="A6432" s="10" t="str">
        <f>IF(6424&gt;$C$9008,"",INDEX($B$9:$B$9008,MATCH(6424,$C$9:$C$9008,0)))</f>
        <v/>
      </c>
      <c r="B6432" s="9" t="str">
        <f>IFERROR(INDEX(Input!$L$20:$T$1019,INT((ROW()-9)/9)+1,MOD(ROW()-9,9)+1),"")</f>
        <v/>
      </c>
      <c r="C6432" s="9">
        <f t="shared" si="100"/>
        <v>0</v>
      </c>
    </row>
    <row r="6433" spans="1:3" x14ac:dyDescent="0.2">
      <c r="A6433" s="10" t="str">
        <f>IF(6425&gt;$C$9008,"",INDEX($B$9:$B$9008,MATCH(6425,$C$9:$C$9008,0)))</f>
        <v/>
      </c>
      <c r="B6433" s="9" t="str">
        <f>IFERROR(INDEX(Input!$L$20:$T$1019,INT((ROW()-9)/9)+1,MOD(ROW()-9,9)+1),"")</f>
        <v/>
      </c>
      <c r="C6433" s="9">
        <f t="shared" si="100"/>
        <v>0</v>
      </c>
    </row>
    <row r="6434" spans="1:3" x14ac:dyDescent="0.2">
      <c r="A6434" s="10" t="str">
        <f>IF(6426&gt;$C$9008,"",INDEX($B$9:$B$9008,MATCH(6426,$C$9:$C$9008,0)))</f>
        <v/>
      </c>
      <c r="B6434" s="9" t="str">
        <f>IFERROR(INDEX(Input!$L$20:$T$1019,INT((ROW()-9)/9)+1,MOD(ROW()-9,9)+1),"")</f>
        <v/>
      </c>
      <c r="C6434" s="9">
        <f t="shared" si="100"/>
        <v>0</v>
      </c>
    </row>
    <row r="6435" spans="1:3" x14ac:dyDescent="0.2">
      <c r="A6435" s="10" t="str">
        <f>IF(6427&gt;$C$9008,"",INDEX($B$9:$B$9008,MATCH(6427,$C$9:$C$9008,0)))</f>
        <v/>
      </c>
      <c r="B6435" s="9" t="str">
        <f>IFERROR(INDEX(Input!$L$20:$T$1019,INT((ROW()-9)/9)+1,MOD(ROW()-9,9)+1),"")</f>
        <v/>
      </c>
      <c r="C6435" s="9">
        <f t="shared" si="100"/>
        <v>0</v>
      </c>
    </row>
    <row r="6436" spans="1:3" x14ac:dyDescent="0.2">
      <c r="A6436" s="10" t="str">
        <f>IF(6428&gt;$C$9008,"",INDEX($B$9:$B$9008,MATCH(6428,$C$9:$C$9008,0)))</f>
        <v/>
      </c>
      <c r="B6436" s="9" t="str">
        <f>IFERROR(INDEX(Input!$L$20:$T$1019,INT((ROW()-9)/9)+1,MOD(ROW()-9,9)+1),"")</f>
        <v/>
      </c>
      <c r="C6436" s="9">
        <f t="shared" si="100"/>
        <v>0</v>
      </c>
    </row>
    <row r="6437" spans="1:3" x14ac:dyDescent="0.2">
      <c r="A6437" s="10" t="str">
        <f>IF(6429&gt;$C$9008,"",INDEX($B$9:$B$9008,MATCH(6429,$C$9:$C$9008,0)))</f>
        <v/>
      </c>
      <c r="B6437" s="9" t="str">
        <f>IFERROR(INDEX(Input!$L$20:$T$1019,INT((ROW()-9)/9)+1,MOD(ROW()-9,9)+1),"")</f>
        <v/>
      </c>
      <c r="C6437" s="9">
        <f t="shared" si="100"/>
        <v>0</v>
      </c>
    </row>
    <row r="6438" spans="1:3" x14ac:dyDescent="0.2">
      <c r="A6438" s="10" t="str">
        <f>IF(6430&gt;$C$9008,"",INDEX($B$9:$B$9008,MATCH(6430,$C$9:$C$9008,0)))</f>
        <v/>
      </c>
      <c r="B6438" s="9" t="str">
        <f>IFERROR(INDEX(Input!$L$20:$T$1019,INT((ROW()-9)/9)+1,MOD(ROW()-9,9)+1),"")</f>
        <v/>
      </c>
      <c r="C6438" s="9">
        <f t="shared" si="100"/>
        <v>0</v>
      </c>
    </row>
    <row r="6439" spans="1:3" x14ac:dyDescent="0.2">
      <c r="A6439" s="10" t="str">
        <f>IF(6431&gt;$C$9008,"",INDEX($B$9:$B$9008,MATCH(6431,$C$9:$C$9008,0)))</f>
        <v/>
      </c>
      <c r="B6439" s="9" t="str">
        <f>IFERROR(INDEX(Input!$L$20:$T$1019,INT((ROW()-9)/9)+1,MOD(ROW()-9,9)+1),"")</f>
        <v/>
      </c>
      <c r="C6439" s="9">
        <f t="shared" si="100"/>
        <v>0</v>
      </c>
    </row>
    <row r="6440" spans="1:3" x14ac:dyDescent="0.2">
      <c r="A6440" s="10" t="str">
        <f>IF(6432&gt;$C$9008,"",INDEX($B$9:$B$9008,MATCH(6432,$C$9:$C$9008,0)))</f>
        <v/>
      </c>
      <c r="B6440" s="9" t="str">
        <f>IFERROR(INDEX(Input!$L$20:$T$1019,INT((ROW()-9)/9)+1,MOD(ROW()-9,9)+1),"")</f>
        <v/>
      </c>
      <c r="C6440" s="9">
        <f t="shared" si="100"/>
        <v>0</v>
      </c>
    </row>
    <row r="6441" spans="1:3" x14ac:dyDescent="0.2">
      <c r="A6441" s="10" t="str">
        <f>IF(6433&gt;$C$9008,"",INDEX($B$9:$B$9008,MATCH(6433,$C$9:$C$9008,0)))</f>
        <v/>
      </c>
      <c r="B6441" s="9" t="str">
        <f>IFERROR(INDEX(Input!$L$20:$T$1019,INT((ROW()-9)/9)+1,MOD(ROW()-9,9)+1),"")</f>
        <v/>
      </c>
      <c r="C6441" s="9">
        <f t="shared" si="100"/>
        <v>0</v>
      </c>
    </row>
    <row r="6442" spans="1:3" x14ac:dyDescent="0.2">
      <c r="A6442" s="10" t="str">
        <f>IF(6434&gt;$C$9008,"",INDEX($B$9:$B$9008,MATCH(6434,$C$9:$C$9008,0)))</f>
        <v/>
      </c>
      <c r="B6442" s="9" t="str">
        <f>IFERROR(INDEX(Input!$L$20:$T$1019,INT((ROW()-9)/9)+1,MOD(ROW()-9,9)+1),"")</f>
        <v/>
      </c>
      <c r="C6442" s="9">
        <f t="shared" si="100"/>
        <v>0</v>
      </c>
    </row>
    <row r="6443" spans="1:3" x14ac:dyDescent="0.2">
      <c r="A6443" s="10" t="str">
        <f>IF(6435&gt;$C$9008,"",INDEX($B$9:$B$9008,MATCH(6435,$C$9:$C$9008,0)))</f>
        <v/>
      </c>
      <c r="B6443" s="9" t="str">
        <f>IFERROR(INDEX(Input!$L$20:$T$1019,INT((ROW()-9)/9)+1,MOD(ROW()-9,9)+1),"")</f>
        <v/>
      </c>
      <c r="C6443" s="9">
        <f t="shared" si="100"/>
        <v>0</v>
      </c>
    </row>
    <row r="6444" spans="1:3" x14ac:dyDescent="0.2">
      <c r="A6444" s="10" t="str">
        <f>IF(6436&gt;$C$9008,"",INDEX($B$9:$B$9008,MATCH(6436,$C$9:$C$9008,0)))</f>
        <v/>
      </c>
      <c r="B6444" s="9" t="str">
        <f>IFERROR(INDEX(Input!$L$20:$T$1019,INT((ROW()-9)/9)+1,MOD(ROW()-9,9)+1),"")</f>
        <v/>
      </c>
      <c r="C6444" s="9">
        <f t="shared" si="100"/>
        <v>0</v>
      </c>
    </row>
    <row r="6445" spans="1:3" x14ac:dyDescent="0.2">
      <c r="A6445" s="10" t="str">
        <f>IF(6437&gt;$C$9008,"",INDEX($B$9:$B$9008,MATCH(6437,$C$9:$C$9008,0)))</f>
        <v/>
      </c>
      <c r="B6445" s="9" t="str">
        <f>IFERROR(INDEX(Input!$L$20:$T$1019,INT((ROW()-9)/9)+1,MOD(ROW()-9,9)+1),"")</f>
        <v/>
      </c>
      <c r="C6445" s="9">
        <f t="shared" si="100"/>
        <v>0</v>
      </c>
    </row>
    <row r="6446" spans="1:3" x14ac:dyDescent="0.2">
      <c r="A6446" s="10" t="str">
        <f>IF(6438&gt;$C$9008,"",INDEX($B$9:$B$9008,MATCH(6438,$C$9:$C$9008,0)))</f>
        <v/>
      </c>
      <c r="B6446" s="9" t="str">
        <f>IFERROR(INDEX(Input!$L$20:$T$1019,INT((ROW()-9)/9)+1,MOD(ROW()-9,9)+1),"")</f>
        <v/>
      </c>
      <c r="C6446" s="9">
        <f t="shared" si="100"/>
        <v>0</v>
      </c>
    </row>
    <row r="6447" spans="1:3" x14ac:dyDescent="0.2">
      <c r="A6447" s="10" t="str">
        <f>IF(6439&gt;$C$9008,"",INDEX($B$9:$B$9008,MATCH(6439,$C$9:$C$9008,0)))</f>
        <v/>
      </c>
      <c r="B6447" s="9" t="str">
        <f>IFERROR(INDEX(Input!$L$20:$T$1019,INT((ROW()-9)/9)+1,MOD(ROW()-9,9)+1),"")</f>
        <v/>
      </c>
      <c r="C6447" s="9">
        <f t="shared" si="100"/>
        <v>0</v>
      </c>
    </row>
    <row r="6448" spans="1:3" x14ac:dyDescent="0.2">
      <c r="A6448" s="10" t="str">
        <f>IF(6440&gt;$C$9008,"",INDEX($B$9:$B$9008,MATCH(6440,$C$9:$C$9008,0)))</f>
        <v/>
      </c>
      <c r="B6448" s="9" t="str">
        <f>IFERROR(INDEX(Input!$L$20:$T$1019,INT((ROW()-9)/9)+1,MOD(ROW()-9,9)+1),"")</f>
        <v/>
      </c>
      <c r="C6448" s="9">
        <f t="shared" si="100"/>
        <v>0</v>
      </c>
    </row>
    <row r="6449" spans="1:3" x14ac:dyDescent="0.2">
      <c r="A6449" s="10" t="str">
        <f>IF(6441&gt;$C$9008,"",INDEX($B$9:$B$9008,MATCH(6441,$C$9:$C$9008,0)))</f>
        <v/>
      </c>
      <c r="B6449" s="9" t="str">
        <f>IFERROR(INDEX(Input!$L$20:$T$1019,INT((ROW()-9)/9)+1,MOD(ROW()-9,9)+1),"")</f>
        <v/>
      </c>
      <c r="C6449" s="9">
        <f t="shared" si="100"/>
        <v>0</v>
      </c>
    </row>
    <row r="6450" spans="1:3" x14ac:dyDescent="0.2">
      <c r="A6450" s="10" t="str">
        <f>IF(6442&gt;$C$9008,"",INDEX($B$9:$B$9008,MATCH(6442,$C$9:$C$9008,0)))</f>
        <v/>
      </c>
      <c r="B6450" s="9" t="str">
        <f>IFERROR(INDEX(Input!$L$20:$T$1019,INT((ROW()-9)/9)+1,MOD(ROW()-9,9)+1),"")</f>
        <v/>
      </c>
      <c r="C6450" s="9">
        <f t="shared" si="100"/>
        <v>0</v>
      </c>
    </row>
    <row r="6451" spans="1:3" x14ac:dyDescent="0.2">
      <c r="A6451" s="10" t="str">
        <f>IF(6443&gt;$C$9008,"",INDEX($B$9:$B$9008,MATCH(6443,$C$9:$C$9008,0)))</f>
        <v/>
      </c>
      <c r="B6451" s="9" t="str">
        <f>IFERROR(INDEX(Input!$L$20:$T$1019,INT((ROW()-9)/9)+1,MOD(ROW()-9,9)+1),"")</f>
        <v/>
      </c>
      <c r="C6451" s="9">
        <f t="shared" si="100"/>
        <v>0</v>
      </c>
    </row>
    <row r="6452" spans="1:3" x14ac:dyDescent="0.2">
      <c r="A6452" s="10" t="str">
        <f>IF(6444&gt;$C$9008,"",INDEX($B$9:$B$9008,MATCH(6444,$C$9:$C$9008,0)))</f>
        <v/>
      </c>
      <c r="B6452" s="9" t="str">
        <f>IFERROR(INDEX(Input!$L$20:$T$1019,INT((ROW()-9)/9)+1,MOD(ROW()-9,9)+1),"")</f>
        <v/>
      </c>
      <c r="C6452" s="9">
        <f t="shared" si="100"/>
        <v>0</v>
      </c>
    </row>
    <row r="6453" spans="1:3" x14ac:dyDescent="0.2">
      <c r="A6453" s="10" t="str">
        <f>IF(6445&gt;$C$9008,"",INDEX($B$9:$B$9008,MATCH(6445,$C$9:$C$9008,0)))</f>
        <v/>
      </c>
      <c r="B6453" s="9" t="str">
        <f>IFERROR(INDEX(Input!$L$20:$T$1019,INT((ROW()-9)/9)+1,MOD(ROW()-9,9)+1),"")</f>
        <v/>
      </c>
      <c r="C6453" s="9">
        <f t="shared" si="100"/>
        <v>0</v>
      </c>
    </row>
    <row r="6454" spans="1:3" x14ac:dyDescent="0.2">
      <c r="A6454" s="10" t="str">
        <f>IF(6446&gt;$C$9008,"",INDEX($B$9:$B$9008,MATCH(6446,$C$9:$C$9008,0)))</f>
        <v/>
      </c>
      <c r="B6454" s="9" t="str">
        <f>IFERROR(INDEX(Input!$L$20:$T$1019,INT((ROW()-9)/9)+1,MOD(ROW()-9,9)+1),"")</f>
        <v/>
      </c>
      <c r="C6454" s="9">
        <f t="shared" si="100"/>
        <v>0</v>
      </c>
    </row>
    <row r="6455" spans="1:3" x14ac:dyDescent="0.2">
      <c r="A6455" s="10" t="str">
        <f>IF(6447&gt;$C$9008,"",INDEX($B$9:$B$9008,MATCH(6447,$C$9:$C$9008,0)))</f>
        <v/>
      </c>
      <c r="B6455" s="9" t="str">
        <f>IFERROR(INDEX(Input!$L$20:$T$1019,INT((ROW()-9)/9)+1,MOD(ROW()-9,9)+1),"")</f>
        <v/>
      </c>
      <c r="C6455" s="9">
        <f t="shared" si="100"/>
        <v>0</v>
      </c>
    </row>
    <row r="6456" spans="1:3" x14ac:dyDescent="0.2">
      <c r="A6456" s="10" t="str">
        <f>IF(6448&gt;$C$9008,"",INDEX($B$9:$B$9008,MATCH(6448,$C$9:$C$9008,0)))</f>
        <v/>
      </c>
      <c r="B6456" s="9" t="str">
        <f>IFERROR(INDEX(Input!$L$20:$T$1019,INT((ROW()-9)/9)+1,MOD(ROW()-9,9)+1),"")</f>
        <v/>
      </c>
      <c r="C6456" s="9">
        <f t="shared" si="100"/>
        <v>0</v>
      </c>
    </row>
    <row r="6457" spans="1:3" x14ac:dyDescent="0.2">
      <c r="A6457" s="10" t="str">
        <f>IF(6449&gt;$C$9008,"",INDEX($B$9:$B$9008,MATCH(6449,$C$9:$C$9008,0)))</f>
        <v/>
      </c>
      <c r="B6457" s="9" t="str">
        <f>IFERROR(INDEX(Input!$L$20:$T$1019,INT((ROW()-9)/9)+1,MOD(ROW()-9,9)+1),"")</f>
        <v/>
      </c>
      <c r="C6457" s="9">
        <f t="shared" si="100"/>
        <v>0</v>
      </c>
    </row>
    <row r="6458" spans="1:3" x14ac:dyDescent="0.2">
      <c r="A6458" s="10" t="str">
        <f>IF(6450&gt;$C$9008,"",INDEX($B$9:$B$9008,MATCH(6450,$C$9:$C$9008,0)))</f>
        <v/>
      </c>
      <c r="B6458" s="9" t="str">
        <f>IFERROR(INDEX(Input!$L$20:$T$1019,INT((ROW()-9)/9)+1,MOD(ROW()-9,9)+1),"")</f>
        <v/>
      </c>
      <c r="C6458" s="9">
        <f t="shared" si="100"/>
        <v>0</v>
      </c>
    </row>
    <row r="6459" spans="1:3" x14ac:dyDescent="0.2">
      <c r="A6459" s="10" t="str">
        <f>IF(6451&gt;$C$9008,"",INDEX($B$9:$B$9008,MATCH(6451,$C$9:$C$9008,0)))</f>
        <v/>
      </c>
      <c r="B6459" s="9" t="str">
        <f>IFERROR(INDEX(Input!$L$20:$T$1019,INT((ROW()-9)/9)+1,MOD(ROW()-9,9)+1),"")</f>
        <v/>
      </c>
      <c r="C6459" s="9">
        <f t="shared" si="100"/>
        <v>0</v>
      </c>
    </row>
    <row r="6460" spans="1:3" x14ac:dyDescent="0.2">
      <c r="A6460" s="10" t="str">
        <f>IF(6452&gt;$C$9008,"",INDEX($B$9:$B$9008,MATCH(6452,$C$9:$C$9008,0)))</f>
        <v/>
      </c>
      <c r="B6460" s="9" t="str">
        <f>IFERROR(INDEX(Input!$L$20:$T$1019,INT((ROW()-9)/9)+1,MOD(ROW()-9,9)+1),"")</f>
        <v/>
      </c>
      <c r="C6460" s="9">
        <f t="shared" si="100"/>
        <v>0</v>
      </c>
    </row>
    <row r="6461" spans="1:3" x14ac:dyDescent="0.2">
      <c r="A6461" s="10" t="str">
        <f>IF(6453&gt;$C$9008,"",INDEX($B$9:$B$9008,MATCH(6453,$C$9:$C$9008,0)))</f>
        <v/>
      </c>
      <c r="B6461" s="9" t="str">
        <f>IFERROR(INDEX(Input!$L$20:$T$1019,INT((ROW()-9)/9)+1,MOD(ROW()-9,9)+1),"")</f>
        <v/>
      </c>
      <c r="C6461" s="9">
        <f t="shared" si="100"/>
        <v>0</v>
      </c>
    </row>
    <row r="6462" spans="1:3" x14ac:dyDescent="0.2">
      <c r="A6462" s="10" t="str">
        <f>IF(6454&gt;$C$9008,"",INDEX($B$9:$B$9008,MATCH(6454,$C$9:$C$9008,0)))</f>
        <v/>
      </c>
      <c r="B6462" s="9" t="str">
        <f>IFERROR(INDEX(Input!$L$20:$T$1019,INT((ROW()-9)/9)+1,MOD(ROW()-9,9)+1),"")</f>
        <v/>
      </c>
      <c r="C6462" s="9">
        <f t="shared" si="100"/>
        <v>0</v>
      </c>
    </row>
    <row r="6463" spans="1:3" x14ac:dyDescent="0.2">
      <c r="A6463" s="10" t="str">
        <f>IF(6455&gt;$C$9008,"",INDEX($B$9:$B$9008,MATCH(6455,$C$9:$C$9008,0)))</f>
        <v/>
      </c>
      <c r="B6463" s="9" t="str">
        <f>IFERROR(INDEX(Input!$L$20:$T$1019,INT((ROW()-9)/9)+1,MOD(ROW()-9,9)+1),"")</f>
        <v/>
      </c>
      <c r="C6463" s="9">
        <f t="shared" si="100"/>
        <v>0</v>
      </c>
    </row>
    <row r="6464" spans="1:3" x14ac:dyDescent="0.2">
      <c r="A6464" s="10" t="str">
        <f>IF(6456&gt;$C$9008,"",INDEX($B$9:$B$9008,MATCH(6456,$C$9:$C$9008,0)))</f>
        <v/>
      </c>
      <c r="B6464" s="9" t="str">
        <f>IFERROR(INDEX(Input!$L$20:$T$1019,INT((ROW()-9)/9)+1,MOD(ROW()-9,9)+1),"")</f>
        <v/>
      </c>
      <c r="C6464" s="9">
        <f t="shared" si="100"/>
        <v>0</v>
      </c>
    </row>
    <row r="6465" spans="1:3" x14ac:dyDescent="0.2">
      <c r="A6465" s="10" t="str">
        <f>IF(6457&gt;$C$9008,"",INDEX($B$9:$B$9008,MATCH(6457,$C$9:$C$9008,0)))</f>
        <v/>
      </c>
      <c r="B6465" s="9" t="str">
        <f>IFERROR(INDEX(Input!$L$20:$T$1019,INT((ROW()-9)/9)+1,MOD(ROW()-9,9)+1),"")</f>
        <v/>
      </c>
      <c r="C6465" s="9">
        <f t="shared" si="100"/>
        <v>0</v>
      </c>
    </row>
    <row r="6466" spans="1:3" x14ac:dyDescent="0.2">
      <c r="A6466" s="10" t="str">
        <f>IF(6458&gt;$C$9008,"",INDEX($B$9:$B$9008,MATCH(6458,$C$9:$C$9008,0)))</f>
        <v/>
      </c>
      <c r="B6466" s="9" t="str">
        <f>IFERROR(INDEX(Input!$L$20:$T$1019,INT((ROW()-9)/9)+1,MOD(ROW()-9,9)+1),"")</f>
        <v/>
      </c>
      <c r="C6466" s="9">
        <f t="shared" si="100"/>
        <v>0</v>
      </c>
    </row>
    <row r="6467" spans="1:3" x14ac:dyDescent="0.2">
      <c r="A6467" s="10" t="str">
        <f>IF(6459&gt;$C$9008,"",INDEX($B$9:$B$9008,MATCH(6459,$C$9:$C$9008,0)))</f>
        <v/>
      </c>
      <c r="B6467" s="9" t="str">
        <f>IFERROR(INDEX(Input!$L$20:$T$1019,INT((ROW()-9)/9)+1,MOD(ROW()-9,9)+1),"")</f>
        <v/>
      </c>
      <c r="C6467" s="9">
        <f t="shared" si="100"/>
        <v>0</v>
      </c>
    </row>
    <row r="6468" spans="1:3" x14ac:dyDescent="0.2">
      <c r="A6468" s="10" t="str">
        <f>IF(6460&gt;$C$9008,"",INDEX($B$9:$B$9008,MATCH(6460,$C$9:$C$9008,0)))</f>
        <v/>
      </c>
      <c r="B6468" s="9" t="str">
        <f>IFERROR(INDEX(Input!$L$20:$T$1019,INT((ROW()-9)/9)+1,MOD(ROW()-9,9)+1),"")</f>
        <v/>
      </c>
      <c r="C6468" s="9">
        <f t="shared" si="100"/>
        <v>0</v>
      </c>
    </row>
    <row r="6469" spans="1:3" x14ac:dyDescent="0.2">
      <c r="A6469" s="10" t="str">
        <f>IF(6461&gt;$C$9008,"",INDEX($B$9:$B$9008,MATCH(6461,$C$9:$C$9008,0)))</f>
        <v/>
      </c>
      <c r="B6469" s="9" t="str">
        <f>IFERROR(INDEX(Input!$L$20:$T$1019,INT((ROW()-9)/9)+1,MOD(ROW()-9,9)+1),"")</f>
        <v/>
      </c>
      <c r="C6469" s="9">
        <f t="shared" si="100"/>
        <v>0</v>
      </c>
    </row>
    <row r="6470" spans="1:3" x14ac:dyDescent="0.2">
      <c r="A6470" s="10" t="str">
        <f>IF(6462&gt;$C$9008,"",INDEX($B$9:$B$9008,MATCH(6462,$C$9:$C$9008,0)))</f>
        <v/>
      </c>
      <c r="B6470" s="9" t="str">
        <f>IFERROR(INDEX(Input!$L$20:$T$1019,INT((ROW()-9)/9)+1,MOD(ROW()-9,9)+1),"")</f>
        <v/>
      </c>
      <c r="C6470" s="9">
        <f t="shared" si="100"/>
        <v>0</v>
      </c>
    </row>
    <row r="6471" spans="1:3" x14ac:dyDescent="0.2">
      <c r="A6471" s="10" t="str">
        <f>IF(6463&gt;$C$9008,"",INDEX($B$9:$B$9008,MATCH(6463,$C$9:$C$9008,0)))</f>
        <v/>
      </c>
      <c r="B6471" s="9" t="str">
        <f>IFERROR(INDEX(Input!$L$20:$T$1019,INT((ROW()-9)/9)+1,MOD(ROW()-9,9)+1),"")</f>
        <v/>
      </c>
      <c r="C6471" s="9">
        <f t="shared" si="100"/>
        <v>0</v>
      </c>
    </row>
    <row r="6472" spans="1:3" x14ac:dyDescent="0.2">
      <c r="A6472" s="10" t="str">
        <f>IF(6464&gt;$C$9008,"",INDEX($B$9:$B$9008,MATCH(6464,$C$9:$C$9008,0)))</f>
        <v/>
      </c>
      <c r="B6472" s="9" t="str">
        <f>IFERROR(INDEX(Input!$L$20:$T$1019,INT((ROW()-9)/9)+1,MOD(ROW()-9,9)+1),"")</f>
        <v/>
      </c>
      <c r="C6472" s="9">
        <f t="shared" si="100"/>
        <v>0</v>
      </c>
    </row>
    <row r="6473" spans="1:3" x14ac:dyDescent="0.2">
      <c r="A6473" s="10" t="str">
        <f>IF(6465&gt;$C$9008,"",INDEX($B$9:$B$9008,MATCH(6465,$C$9:$C$9008,0)))</f>
        <v/>
      </c>
      <c r="B6473" s="9" t="str">
        <f>IFERROR(INDEX(Input!$L$20:$T$1019,INT((ROW()-9)/9)+1,MOD(ROW()-9,9)+1),"")</f>
        <v/>
      </c>
      <c r="C6473" s="9">
        <f t="shared" ref="C6473:C6536" si="101">$C6472+IF($B6473&lt;&gt;"",1,0)</f>
        <v>0</v>
      </c>
    </row>
    <row r="6474" spans="1:3" x14ac:dyDescent="0.2">
      <c r="A6474" s="10" t="str">
        <f>IF(6466&gt;$C$9008,"",INDEX($B$9:$B$9008,MATCH(6466,$C$9:$C$9008,0)))</f>
        <v/>
      </c>
      <c r="B6474" s="9" t="str">
        <f>IFERROR(INDEX(Input!$L$20:$T$1019,INT((ROW()-9)/9)+1,MOD(ROW()-9,9)+1),"")</f>
        <v/>
      </c>
      <c r="C6474" s="9">
        <f t="shared" si="101"/>
        <v>0</v>
      </c>
    </row>
    <row r="6475" spans="1:3" x14ac:dyDescent="0.2">
      <c r="A6475" s="10" t="str">
        <f>IF(6467&gt;$C$9008,"",INDEX($B$9:$B$9008,MATCH(6467,$C$9:$C$9008,0)))</f>
        <v/>
      </c>
      <c r="B6475" s="9" t="str">
        <f>IFERROR(INDEX(Input!$L$20:$T$1019,INT((ROW()-9)/9)+1,MOD(ROW()-9,9)+1),"")</f>
        <v/>
      </c>
      <c r="C6475" s="9">
        <f t="shared" si="101"/>
        <v>0</v>
      </c>
    </row>
    <row r="6476" spans="1:3" x14ac:dyDescent="0.2">
      <c r="A6476" s="10" t="str">
        <f>IF(6468&gt;$C$9008,"",INDEX($B$9:$B$9008,MATCH(6468,$C$9:$C$9008,0)))</f>
        <v/>
      </c>
      <c r="B6476" s="9" t="str">
        <f>IFERROR(INDEX(Input!$L$20:$T$1019,INT((ROW()-9)/9)+1,MOD(ROW()-9,9)+1),"")</f>
        <v/>
      </c>
      <c r="C6476" s="9">
        <f t="shared" si="101"/>
        <v>0</v>
      </c>
    </row>
    <row r="6477" spans="1:3" x14ac:dyDescent="0.2">
      <c r="A6477" s="10" t="str">
        <f>IF(6469&gt;$C$9008,"",INDEX($B$9:$B$9008,MATCH(6469,$C$9:$C$9008,0)))</f>
        <v/>
      </c>
      <c r="B6477" s="9" t="str">
        <f>IFERROR(INDEX(Input!$L$20:$T$1019,INT((ROW()-9)/9)+1,MOD(ROW()-9,9)+1),"")</f>
        <v/>
      </c>
      <c r="C6477" s="9">
        <f t="shared" si="101"/>
        <v>0</v>
      </c>
    </row>
    <row r="6478" spans="1:3" x14ac:dyDescent="0.2">
      <c r="A6478" s="10" t="str">
        <f>IF(6470&gt;$C$9008,"",INDEX($B$9:$B$9008,MATCH(6470,$C$9:$C$9008,0)))</f>
        <v/>
      </c>
      <c r="B6478" s="9" t="str">
        <f>IFERROR(INDEX(Input!$L$20:$T$1019,INT((ROW()-9)/9)+1,MOD(ROW()-9,9)+1),"")</f>
        <v/>
      </c>
      <c r="C6478" s="9">
        <f t="shared" si="101"/>
        <v>0</v>
      </c>
    </row>
    <row r="6479" spans="1:3" x14ac:dyDescent="0.2">
      <c r="A6479" s="10" t="str">
        <f>IF(6471&gt;$C$9008,"",INDEX($B$9:$B$9008,MATCH(6471,$C$9:$C$9008,0)))</f>
        <v/>
      </c>
      <c r="B6479" s="9" t="str">
        <f>IFERROR(INDEX(Input!$L$20:$T$1019,INT((ROW()-9)/9)+1,MOD(ROW()-9,9)+1),"")</f>
        <v/>
      </c>
      <c r="C6479" s="9">
        <f t="shared" si="101"/>
        <v>0</v>
      </c>
    </row>
    <row r="6480" spans="1:3" x14ac:dyDescent="0.2">
      <c r="A6480" s="10" t="str">
        <f>IF(6472&gt;$C$9008,"",INDEX($B$9:$B$9008,MATCH(6472,$C$9:$C$9008,0)))</f>
        <v/>
      </c>
      <c r="B6480" s="9" t="str">
        <f>IFERROR(INDEX(Input!$L$20:$T$1019,INT((ROW()-9)/9)+1,MOD(ROW()-9,9)+1),"")</f>
        <v/>
      </c>
      <c r="C6480" s="9">
        <f t="shared" si="101"/>
        <v>0</v>
      </c>
    </row>
    <row r="6481" spans="1:3" x14ac:dyDescent="0.2">
      <c r="A6481" s="10" t="str">
        <f>IF(6473&gt;$C$9008,"",INDEX($B$9:$B$9008,MATCH(6473,$C$9:$C$9008,0)))</f>
        <v/>
      </c>
      <c r="B6481" s="9" t="str">
        <f>IFERROR(INDEX(Input!$L$20:$T$1019,INT((ROW()-9)/9)+1,MOD(ROW()-9,9)+1),"")</f>
        <v/>
      </c>
      <c r="C6481" s="9">
        <f t="shared" si="101"/>
        <v>0</v>
      </c>
    </row>
    <row r="6482" spans="1:3" x14ac:dyDescent="0.2">
      <c r="A6482" s="10" t="str">
        <f>IF(6474&gt;$C$9008,"",INDEX($B$9:$B$9008,MATCH(6474,$C$9:$C$9008,0)))</f>
        <v/>
      </c>
      <c r="B6482" s="9" t="str">
        <f>IFERROR(INDEX(Input!$L$20:$T$1019,INT((ROW()-9)/9)+1,MOD(ROW()-9,9)+1),"")</f>
        <v/>
      </c>
      <c r="C6482" s="9">
        <f t="shared" si="101"/>
        <v>0</v>
      </c>
    </row>
    <row r="6483" spans="1:3" x14ac:dyDescent="0.2">
      <c r="A6483" s="10" t="str">
        <f>IF(6475&gt;$C$9008,"",INDEX($B$9:$B$9008,MATCH(6475,$C$9:$C$9008,0)))</f>
        <v/>
      </c>
      <c r="B6483" s="9" t="str">
        <f>IFERROR(INDEX(Input!$L$20:$T$1019,INT((ROW()-9)/9)+1,MOD(ROW()-9,9)+1),"")</f>
        <v/>
      </c>
      <c r="C6483" s="9">
        <f t="shared" si="101"/>
        <v>0</v>
      </c>
    </row>
    <row r="6484" spans="1:3" x14ac:dyDescent="0.2">
      <c r="A6484" s="10" t="str">
        <f>IF(6476&gt;$C$9008,"",INDEX($B$9:$B$9008,MATCH(6476,$C$9:$C$9008,0)))</f>
        <v/>
      </c>
      <c r="B6484" s="9" t="str">
        <f>IFERROR(INDEX(Input!$L$20:$T$1019,INT((ROW()-9)/9)+1,MOD(ROW()-9,9)+1),"")</f>
        <v/>
      </c>
      <c r="C6484" s="9">
        <f t="shared" si="101"/>
        <v>0</v>
      </c>
    </row>
    <row r="6485" spans="1:3" x14ac:dyDescent="0.2">
      <c r="A6485" s="10" t="str">
        <f>IF(6477&gt;$C$9008,"",INDEX($B$9:$B$9008,MATCH(6477,$C$9:$C$9008,0)))</f>
        <v/>
      </c>
      <c r="B6485" s="9" t="str">
        <f>IFERROR(INDEX(Input!$L$20:$T$1019,INT((ROW()-9)/9)+1,MOD(ROW()-9,9)+1),"")</f>
        <v/>
      </c>
      <c r="C6485" s="9">
        <f t="shared" si="101"/>
        <v>0</v>
      </c>
    </row>
    <row r="6486" spans="1:3" x14ac:dyDescent="0.2">
      <c r="A6486" s="10" t="str">
        <f>IF(6478&gt;$C$9008,"",INDEX($B$9:$B$9008,MATCH(6478,$C$9:$C$9008,0)))</f>
        <v/>
      </c>
      <c r="B6486" s="9" t="str">
        <f>IFERROR(INDEX(Input!$L$20:$T$1019,INT((ROW()-9)/9)+1,MOD(ROW()-9,9)+1),"")</f>
        <v/>
      </c>
      <c r="C6486" s="9">
        <f t="shared" si="101"/>
        <v>0</v>
      </c>
    </row>
    <row r="6487" spans="1:3" x14ac:dyDescent="0.2">
      <c r="A6487" s="10" t="str">
        <f>IF(6479&gt;$C$9008,"",INDEX($B$9:$B$9008,MATCH(6479,$C$9:$C$9008,0)))</f>
        <v/>
      </c>
      <c r="B6487" s="9" t="str">
        <f>IFERROR(INDEX(Input!$L$20:$T$1019,INT((ROW()-9)/9)+1,MOD(ROW()-9,9)+1),"")</f>
        <v/>
      </c>
      <c r="C6487" s="9">
        <f t="shared" si="101"/>
        <v>0</v>
      </c>
    </row>
    <row r="6488" spans="1:3" x14ac:dyDescent="0.2">
      <c r="A6488" s="10" t="str">
        <f>IF(6480&gt;$C$9008,"",INDEX($B$9:$B$9008,MATCH(6480,$C$9:$C$9008,0)))</f>
        <v/>
      </c>
      <c r="B6488" s="9" t="str">
        <f>IFERROR(INDEX(Input!$L$20:$T$1019,INT((ROW()-9)/9)+1,MOD(ROW()-9,9)+1),"")</f>
        <v/>
      </c>
      <c r="C6488" s="9">
        <f t="shared" si="101"/>
        <v>0</v>
      </c>
    </row>
    <row r="6489" spans="1:3" x14ac:dyDescent="0.2">
      <c r="A6489" s="10" t="str">
        <f>IF(6481&gt;$C$9008,"",INDEX($B$9:$B$9008,MATCH(6481,$C$9:$C$9008,0)))</f>
        <v/>
      </c>
      <c r="B6489" s="9" t="str">
        <f>IFERROR(INDEX(Input!$L$20:$T$1019,INT((ROW()-9)/9)+1,MOD(ROW()-9,9)+1),"")</f>
        <v/>
      </c>
      <c r="C6489" s="9">
        <f t="shared" si="101"/>
        <v>0</v>
      </c>
    </row>
    <row r="6490" spans="1:3" x14ac:dyDescent="0.2">
      <c r="A6490" s="10" t="str">
        <f>IF(6482&gt;$C$9008,"",INDEX($B$9:$B$9008,MATCH(6482,$C$9:$C$9008,0)))</f>
        <v/>
      </c>
      <c r="B6490" s="9" t="str">
        <f>IFERROR(INDEX(Input!$L$20:$T$1019,INT((ROW()-9)/9)+1,MOD(ROW()-9,9)+1),"")</f>
        <v/>
      </c>
      <c r="C6490" s="9">
        <f t="shared" si="101"/>
        <v>0</v>
      </c>
    </row>
    <row r="6491" spans="1:3" x14ac:dyDescent="0.2">
      <c r="A6491" s="10" t="str">
        <f>IF(6483&gt;$C$9008,"",INDEX($B$9:$B$9008,MATCH(6483,$C$9:$C$9008,0)))</f>
        <v/>
      </c>
      <c r="B6491" s="9" t="str">
        <f>IFERROR(INDEX(Input!$L$20:$T$1019,INT((ROW()-9)/9)+1,MOD(ROW()-9,9)+1),"")</f>
        <v/>
      </c>
      <c r="C6491" s="9">
        <f t="shared" si="101"/>
        <v>0</v>
      </c>
    </row>
    <row r="6492" spans="1:3" x14ac:dyDescent="0.2">
      <c r="A6492" s="10" t="str">
        <f>IF(6484&gt;$C$9008,"",INDEX($B$9:$B$9008,MATCH(6484,$C$9:$C$9008,0)))</f>
        <v/>
      </c>
      <c r="B6492" s="9" t="str">
        <f>IFERROR(INDEX(Input!$L$20:$T$1019,INT((ROW()-9)/9)+1,MOD(ROW()-9,9)+1),"")</f>
        <v/>
      </c>
      <c r="C6492" s="9">
        <f t="shared" si="101"/>
        <v>0</v>
      </c>
    </row>
    <row r="6493" spans="1:3" x14ac:dyDescent="0.2">
      <c r="A6493" s="10" t="str">
        <f>IF(6485&gt;$C$9008,"",INDEX($B$9:$B$9008,MATCH(6485,$C$9:$C$9008,0)))</f>
        <v/>
      </c>
      <c r="B6493" s="9" t="str">
        <f>IFERROR(INDEX(Input!$L$20:$T$1019,INT((ROW()-9)/9)+1,MOD(ROW()-9,9)+1),"")</f>
        <v/>
      </c>
      <c r="C6493" s="9">
        <f t="shared" si="101"/>
        <v>0</v>
      </c>
    </row>
    <row r="6494" spans="1:3" x14ac:dyDescent="0.2">
      <c r="A6494" s="10" t="str">
        <f>IF(6486&gt;$C$9008,"",INDEX($B$9:$B$9008,MATCH(6486,$C$9:$C$9008,0)))</f>
        <v/>
      </c>
      <c r="B6494" s="9" t="str">
        <f>IFERROR(INDEX(Input!$L$20:$T$1019,INT((ROW()-9)/9)+1,MOD(ROW()-9,9)+1),"")</f>
        <v/>
      </c>
      <c r="C6494" s="9">
        <f t="shared" si="101"/>
        <v>0</v>
      </c>
    </row>
    <row r="6495" spans="1:3" x14ac:dyDescent="0.2">
      <c r="A6495" s="10" t="str">
        <f>IF(6487&gt;$C$9008,"",INDEX($B$9:$B$9008,MATCH(6487,$C$9:$C$9008,0)))</f>
        <v/>
      </c>
      <c r="B6495" s="9" t="str">
        <f>IFERROR(INDEX(Input!$L$20:$T$1019,INT((ROW()-9)/9)+1,MOD(ROW()-9,9)+1),"")</f>
        <v/>
      </c>
      <c r="C6495" s="9">
        <f t="shared" si="101"/>
        <v>0</v>
      </c>
    </row>
    <row r="6496" spans="1:3" x14ac:dyDescent="0.2">
      <c r="A6496" s="10" t="str">
        <f>IF(6488&gt;$C$9008,"",INDEX($B$9:$B$9008,MATCH(6488,$C$9:$C$9008,0)))</f>
        <v/>
      </c>
      <c r="B6496" s="9" t="str">
        <f>IFERROR(INDEX(Input!$L$20:$T$1019,INT((ROW()-9)/9)+1,MOD(ROW()-9,9)+1),"")</f>
        <v/>
      </c>
      <c r="C6496" s="9">
        <f t="shared" si="101"/>
        <v>0</v>
      </c>
    </row>
    <row r="6497" spans="1:3" x14ac:dyDescent="0.2">
      <c r="A6497" s="10" t="str">
        <f>IF(6489&gt;$C$9008,"",INDEX($B$9:$B$9008,MATCH(6489,$C$9:$C$9008,0)))</f>
        <v/>
      </c>
      <c r="B6497" s="9" t="str">
        <f>IFERROR(INDEX(Input!$L$20:$T$1019,INT((ROW()-9)/9)+1,MOD(ROW()-9,9)+1),"")</f>
        <v/>
      </c>
      <c r="C6497" s="9">
        <f t="shared" si="101"/>
        <v>0</v>
      </c>
    </row>
    <row r="6498" spans="1:3" x14ac:dyDescent="0.2">
      <c r="A6498" s="10" t="str">
        <f>IF(6490&gt;$C$9008,"",INDEX($B$9:$B$9008,MATCH(6490,$C$9:$C$9008,0)))</f>
        <v/>
      </c>
      <c r="B6498" s="9" t="str">
        <f>IFERROR(INDEX(Input!$L$20:$T$1019,INT((ROW()-9)/9)+1,MOD(ROW()-9,9)+1),"")</f>
        <v/>
      </c>
      <c r="C6498" s="9">
        <f t="shared" si="101"/>
        <v>0</v>
      </c>
    </row>
    <row r="6499" spans="1:3" x14ac:dyDescent="0.2">
      <c r="A6499" s="10" t="str">
        <f>IF(6491&gt;$C$9008,"",INDEX($B$9:$B$9008,MATCH(6491,$C$9:$C$9008,0)))</f>
        <v/>
      </c>
      <c r="B6499" s="9" t="str">
        <f>IFERROR(INDEX(Input!$L$20:$T$1019,INT((ROW()-9)/9)+1,MOD(ROW()-9,9)+1),"")</f>
        <v/>
      </c>
      <c r="C6499" s="9">
        <f t="shared" si="101"/>
        <v>0</v>
      </c>
    </row>
    <row r="6500" spans="1:3" x14ac:dyDescent="0.2">
      <c r="A6500" s="10" t="str">
        <f>IF(6492&gt;$C$9008,"",INDEX($B$9:$B$9008,MATCH(6492,$C$9:$C$9008,0)))</f>
        <v/>
      </c>
      <c r="B6500" s="9" t="str">
        <f>IFERROR(INDEX(Input!$L$20:$T$1019,INT((ROW()-9)/9)+1,MOD(ROW()-9,9)+1),"")</f>
        <v/>
      </c>
      <c r="C6500" s="9">
        <f t="shared" si="101"/>
        <v>0</v>
      </c>
    </row>
    <row r="6501" spans="1:3" x14ac:dyDescent="0.2">
      <c r="A6501" s="10" t="str">
        <f>IF(6493&gt;$C$9008,"",INDEX($B$9:$B$9008,MATCH(6493,$C$9:$C$9008,0)))</f>
        <v/>
      </c>
      <c r="B6501" s="9" t="str">
        <f>IFERROR(INDEX(Input!$L$20:$T$1019,INT((ROW()-9)/9)+1,MOD(ROW()-9,9)+1),"")</f>
        <v/>
      </c>
      <c r="C6501" s="9">
        <f t="shared" si="101"/>
        <v>0</v>
      </c>
    </row>
    <row r="6502" spans="1:3" x14ac:dyDescent="0.2">
      <c r="A6502" s="10" t="str">
        <f>IF(6494&gt;$C$9008,"",INDEX($B$9:$B$9008,MATCH(6494,$C$9:$C$9008,0)))</f>
        <v/>
      </c>
      <c r="B6502" s="9" t="str">
        <f>IFERROR(INDEX(Input!$L$20:$T$1019,INT((ROW()-9)/9)+1,MOD(ROW()-9,9)+1),"")</f>
        <v/>
      </c>
      <c r="C6502" s="9">
        <f t="shared" si="101"/>
        <v>0</v>
      </c>
    </row>
    <row r="6503" spans="1:3" x14ac:dyDescent="0.2">
      <c r="A6503" s="10" t="str">
        <f>IF(6495&gt;$C$9008,"",INDEX($B$9:$B$9008,MATCH(6495,$C$9:$C$9008,0)))</f>
        <v/>
      </c>
      <c r="B6503" s="9" t="str">
        <f>IFERROR(INDEX(Input!$L$20:$T$1019,INT((ROW()-9)/9)+1,MOD(ROW()-9,9)+1),"")</f>
        <v/>
      </c>
      <c r="C6503" s="9">
        <f t="shared" si="101"/>
        <v>0</v>
      </c>
    </row>
    <row r="6504" spans="1:3" x14ac:dyDescent="0.2">
      <c r="A6504" s="10" t="str">
        <f>IF(6496&gt;$C$9008,"",INDEX($B$9:$B$9008,MATCH(6496,$C$9:$C$9008,0)))</f>
        <v/>
      </c>
      <c r="B6504" s="9" t="str">
        <f>IFERROR(INDEX(Input!$L$20:$T$1019,INT((ROW()-9)/9)+1,MOD(ROW()-9,9)+1),"")</f>
        <v/>
      </c>
      <c r="C6504" s="9">
        <f t="shared" si="101"/>
        <v>0</v>
      </c>
    </row>
    <row r="6505" spans="1:3" x14ac:dyDescent="0.2">
      <c r="A6505" s="10" t="str">
        <f>IF(6497&gt;$C$9008,"",INDEX($B$9:$B$9008,MATCH(6497,$C$9:$C$9008,0)))</f>
        <v/>
      </c>
      <c r="B6505" s="9" t="str">
        <f>IFERROR(INDEX(Input!$L$20:$T$1019,INT((ROW()-9)/9)+1,MOD(ROW()-9,9)+1),"")</f>
        <v/>
      </c>
      <c r="C6505" s="9">
        <f t="shared" si="101"/>
        <v>0</v>
      </c>
    </row>
    <row r="6506" spans="1:3" x14ac:dyDescent="0.2">
      <c r="A6506" s="10" t="str">
        <f>IF(6498&gt;$C$9008,"",INDEX($B$9:$B$9008,MATCH(6498,$C$9:$C$9008,0)))</f>
        <v/>
      </c>
      <c r="B6506" s="9" t="str">
        <f>IFERROR(INDEX(Input!$L$20:$T$1019,INT((ROW()-9)/9)+1,MOD(ROW()-9,9)+1),"")</f>
        <v/>
      </c>
      <c r="C6506" s="9">
        <f t="shared" si="101"/>
        <v>0</v>
      </c>
    </row>
    <row r="6507" spans="1:3" x14ac:dyDescent="0.2">
      <c r="A6507" s="10" t="str">
        <f>IF(6499&gt;$C$9008,"",INDEX($B$9:$B$9008,MATCH(6499,$C$9:$C$9008,0)))</f>
        <v/>
      </c>
      <c r="B6507" s="9" t="str">
        <f>IFERROR(INDEX(Input!$L$20:$T$1019,INT((ROW()-9)/9)+1,MOD(ROW()-9,9)+1),"")</f>
        <v/>
      </c>
      <c r="C6507" s="9">
        <f t="shared" si="101"/>
        <v>0</v>
      </c>
    </row>
    <row r="6508" spans="1:3" x14ac:dyDescent="0.2">
      <c r="A6508" s="10" t="str">
        <f>IF(6500&gt;$C$9008,"",INDEX($B$9:$B$9008,MATCH(6500,$C$9:$C$9008,0)))</f>
        <v/>
      </c>
      <c r="B6508" s="9" t="str">
        <f>IFERROR(INDEX(Input!$L$20:$T$1019,INT((ROW()-9)/9)+1,MOD(ROW()-9,9)+1),"")</f>
        <v/>
      </c>
      <c r="C6508" s="9">
        <f t="shared" si="101"/>
        <v>0</v>
      </c>
    </row>
    <row r="6509" spans="1:3" x14ac:dyDescent="0.2">
      <c r="A6509" s="10" t="str">
        <f>IF(6501&gt;$C$9008,"",INDEX($B$9:$B$9008,MATCH(6501,$C$9:$C$9008,0)))</f>
        <v/>
      </c>
      <c r="B6509" s="9" t="str">
        <f>IFERROR(INDEX(Input!$L$20:$T$1019,INT((ROW()-9)/9)+1,MOD(ROW()-9,9)+1),"")</f>
        <v/>
      </c>
      <c r="C6509" s="9">
        <f t="shared" si="101"/>
        <v>0</v>
      </c>
    </row>
    <row r="6510" spans="1:3" x14ac:dyDescent="0.2">
      <c r="A6510" s="10" t="str">
        <f>IF(6502&gt;$C$9008,"",INDEX($B$9:$B$9008,MATCH(6502,$C$9:$C$9008,0)))</f>
        <v/>
      </c>
      <c r="B6510" s="9" t="str">
        <f>IFERROR(INDEX(Input!$L$20:$T$1019,INT((ROW()-9)/9)+1,MOD(ROW()-9,9)+1),"")</f>
        <v/>
      </c>
      <c r="C6510" s="9">
        <f t="shared" si="101"/>
        <v>0</v>
      </c>
    </row>
    <row r="6511" spans="1:3" x14ac:dyDescent="0.2">
      <c r="A6511" s="10" t="str">
        <f>IF(6503&gt;$C$9008,"",INDEX($B$9:$B$9008,MATCH(6503,$C$9:$C$9008,0)))</f>
        <v/>
      </c>
      <c r="B6511" s="9" t="str">
        <f>IFERROR(INDEX(Input!$L$20:$T$1019,INT((ROW()-9)/9)+1,MOD(ROW()-9,9)+1),"")</f>
        <v/>
      </c>
      <c r="C6511" s="9">
        <f t="shared" si="101"/>
        <v>0</v>
      </c>
    </row>
    <row r="6512" spans="1:3" x14ac:dyDescent="0.2">
      <c r="A6512" s="10" t="str">
        <f>IF(6504&gt;$C$9008,"",INDEX($B$9:$B$9008,MATCH(6504,$C$9:$C$9008,0)))</f>
        <v/>
      </c>
      <c r="B6512" s="9" t="str">
        <f>IFERROR(INDEX(Input!$L$20:$T$1019,INT((ROW()-9)/9)+1,MOD(ROW()-9,9)+1),"")</f>
        <v/>
      </c>
      <c r="C6512" s="9">
        <f t="shared" si="101"/>
        <v>0</v>
      </c>
    </row>
    <row r="6513" spans="1:3" x14ac:dyDescent="0.2">
      <c r="A6513" s="10" t="str">
        <f>IF(6505&gt;$C$9008,"",INDEX($B$9:$B$9008,MATCH(6505,$C$9:$C$9008,0)))</f>
        <v/>
      </c>
      <c r="B6513" s="9" t="str">
        <f>IFERROR(INDEX(Input!$L$20:$T$1019,INT((ROW()-9)/9)+1,MOD(ROW()-9,9)+1),"")</f>
        <v/>
      </c>
      <c r="C6513" s="9">
        <f t="shared" si="101"/>
        <v>0</v>
      </c>
    </row>
    <row r="6514" spans="1:3" x14ac:dyDescent="0.2">
      <c r="A6514" s="10" t="str">
        <f>IF(6506&gt;$C$9008,"",INDEX($B$9:$B$9008,MATCH(6506,$C$9:$C$9008,0)))</f>
        <v/>
      </c>
      <c r="B6514" s="9" t="str">
        <f>IFERROR(INDEX(Input!$L$20:$T$1019,INT((ROW()-9)/9)+1,MOD(ROW()-9,9)+1),"")</f>
        <v/>
      </c>
      <c r="C6514" s="9">
        <f t="shared" si="101"/>
        <v>0</v>
      </c>
    </row>
    <row r="6515" spans="1:3" x14ac:dyDescent="0.2">
      <c r="A6515" s="10" t="str">
        <f>IF(6507&gt;$C$9008,"",INDEX($B$9:$B$9008,MATCH(6507,$C$9:$C$9008,0)))</f>
        <v/>
      </c>
      <c r="B6515" s="9" t="str">
        <f>IFERROR(INDEX(Input!$L$20:$T$1019,INT((ROW()-9)/9)+1,MOD(ROW()-9,9)+1),"")</f>
        <v/>
      </c>
      <c r="C6515" s="9">
        <f t="shared" si="101"/>
        <v>0</v>
      </c>
    </row>
    <row r="6516" spans="1:3" x14ac:dyDescent="0.2">
      <c r="A6516" s="10" t="str">
        <f>IF(6508&gt;$C$9008,"",INDEX($B$9:$B$9008,MATCH(6508,$C$9:$C$9008,0)))</f>
        <v/>
      </c>
      <c r="B6516" s="9" t="str">
        <f>IFERROR(INDEX(Input!$L$20:$T$1019,INT((ROW()-9)/9)+1,MOD(ROW()-9,9)+1),"")</f>
        <v/>
      </c>
      <c r="C6516" s="9">
        <f t="shared" si="101"/>
        <v>0</v>
      </c>
    </row>
    <row r="6517" spans="1:3" x14ac:dyDescent="0.2">
      <c r="A6517" s="10" t="str">
        <f>IF(6509&gt;$C$9008,"",INDEX($B$9:$B$9008,MATCH(6509,$C$9:$C$9008,0)))</f>
        <v/>
      </c>
      <c r="B6517" s="9" t="str">
        <f>IFERROR(INDEX(Input!$L$20:$T$1019,INT((ROW()-9)/9)+1,MOD(ROW()-9,9)+1),"")</f>
        <v/>
      </c>
      <c r="C6517" s="9">
        <f t="shared" si="101"/>
        <v>0</v>
      </c>
    </row>
    <row r="6518" spans="1:3" x14ac:dyDescent="0.2">
      <c r="A6518" s="10" t="str">
        <f>IF(6510&gt;$C$9008,"",INDEX($B$9:$B$9008,MATCH(6510,$C$9:$C$9008,0)))</f>
        <v/>
      </c>
      <c r="B6518" s="9" t="str">
        <f>IFERROR(INDEX(Input!$L$20:$T$1019,INT((ROW()-9)/9)+1,MOD(ROW()-9,9)+1),"")</f>
        <v/>
      </c>
      <c r="C6518" s="9">
        <f t="shared" si="101"/>
        <v>0</v>
      </c>
    </row>
    <row r="6519" spans="1:3" x14ac:dyDescent="0.2">
      <c r="A6519" s="10" t="str">
        <f>IF(6511&gt;$C$9008,"",INDEX($B$9:$B$9008,MATCH(6511,$C$9:$C$9008,0)))</f>
        <v/>
      </c>
      <c r="B6519" s="9" t="str">
        <f>IFERROR(INDEX(Input!$L$20:$T$1019,INT((ROW()-9)/9)+1,MOD(ROW()-9,9)+1),"")</f>
        <v/>
      </c>
      <c r="C6519" s="9">
        <f t="shared" si="101"/>
        <v>0</v>
      </c>
    </row>
    <row r="6520" spans="1:3" x14ac:dyDescent="0.2">
      <c r="A6520" s="10" t="str">
        <f>IF(6512&gt;$C$9008,"",INDEX($B$9:$B$9008,MATCH(6512,$C$9:$C$9008,0)))</f>
        <v/>
      </c>
      <c r="B6520" s="9" t="str">
        <f>IFERROR(INDEX(Input!$L$20:$T$1019,INT((ROW()-9)/9)+1,MOD(ROW()-9,9)+1),"")</f>
        <v/>
      </c>
      <c r="C6520" s="9">
        <f t="shared" si="101"/>
        <v>0</v>
      </c>
    </row>
    <row r="6521" spans="1:3" x14ac:dyDescent="0.2">
      <c r="A6521" s="10" t="str">
        <f>IF(6513&gt;$C$9008,"",INDEX($B$9:$B$9008,MATCH(6513,$C$9:$C$9008,0)))</f>
        <v/>
      </c>
      <c r="B6521" s="9" t="str">
        <f>IFERROR(INDEX(Input!$L$20:$T$1019,INT((ROW()-9)/9)+1,MOD(ROW()-9,9)+1),"")</f>
        <v/>
      </c>
      <c r="C6521" s="9">
        <f t="shared" si="101"/>
        <v>0</v>
      </c>
    </row>
    <row r="6522" spans="1:3" x14ac:dyDescent="0.2">
      <c r="A6522" s="10" t="str">
        <f>IF(6514&gt;$C$9008,"",INDEX($B$9:$B$9008,MATCH(6514,$C$9:$C$9008,0)))</f>
        <v/>
      </c>
      <c r="B6522" s="9" t="str">
        <f>IFERROR(INDEX(Input!$L$20:$T$1019,INT((ROW()-9)/9)+1,MOD(ROW()-9,9)+1),"")</f>
        <v/>
      </c>
      <c r="C6522" s="9">
        <f t="shared" si="101"/>
        <v>0</v>
      </c>
    </row>
    <row r="6523" spans="1:3" x14ac:dyDescent="0.2">
      <c r="A6523" s="10" t="str">
        <f>IF(6515&gt;$C$9008,"",INDEX($B$9:$B$9008,MATCH(6515,$C$9:$C$9008,0)))</f>
        <v/>
      </c>
      <c r="B6523" s="9" t="str">
        <f>IFERROR(INDEX(Input!$L$20:$T$1019,INT((ROW()-9)/9)+1,MOD(ROW()-9,9)+1),"")</f>
        <v/>
      </c>
      <c r="C6523" s="9">
        <f t="shared" si="101"/>
        <v>0</v>
      </c>
    </row>
    <row r="6524" spans="1:3" x14ac:dyDescent="0.2">
      <c r="A6524" s="10" t="str">
        <f>IF(6516&gt;$C$9008,"",INDEX($B$9:$B$9008,MATCH(6516,$C$9:$C$9008,0)))</f>
        <v/>
      </c>
      <c r="B6524" s="9" t="str">
        <f>IFERROR(INDEX(Input!$L$20:$T$1019,INT((ROW()-9)/9)+1,MOD(ROW()-9,9)+1),"")</f>
        <v/>
      </c>
      <c r="C6524" s="9">
        <f t="shared" si="101"/>
        <v>0</v>
      </c>
    </row>
    <row r="6525" spans="1:3" x14ac:dyDescent="0.2">
      <c r="A6525" s="10" t="str">
        <f>IF(6517&gt;$C$9008,"",INDEX($B$9:$B$9008,MATCH(6517,$C$9:$C$9008,0)))</f>
        <v/>
      </c>
      <c r="B6525" s="9" t="str">
        <f>IFERROR(INDEX(Input!$L$20:$T$1019,INT((ROW()-9)/9)+1,MOD(ROW()-9,9)+1),"")</f>
        <v/>
      </c>
      <c r="C6525" s="9">
        <f t="shared" si="101"/>
        <v>0</v>
      </c>
    </row>
    <row r="6526" spans="1:3" x14ac:dyDescent="0.2">
      <c r="A6526" s="10" t="str">
        <f>IF(6518&gt;$C$9008,"",INDEX($B$9:$B$9008,MATCH(6518,$C$9:$C$9008,0)))</f>
        <v/>
      </c>
      <c r="B6526" s="9" t="str">
        <f>IFERROR(INDEX(Input!$L$20:$T$1019,INT((ROW()-9)/9)+1,MOD(ROW()-9,9)+1),"")</f>
        <v/>
      </c>
      <c r="C6526" s="9">
        <f t="shared" si="101"/>
        <v>0</v>
      </c>
    </row>
    <row r="6527" spans="1:3" x14ac:dyDescent="0.2">
      <c r="A6527" s="10" t="str">
        <f>IF(6519&gt;$C$9008,"",INDEX($B$9:$B$9008,MATCH(6519,$C$9:$C$9008,0)))</f>
        <v/>
      </c>
      <c r="B6527" s="9" t="str">
        <f>IFERROR(INDEX(Input!$L$20:$T$1019,INT((ROW()-9)/9)+1,MOD(ROW()-9,9)+1),"")</f>
        <v/>
      </c>
      <c r="C6527" s="9">
        <f t="shared" si="101"/>
        <v>0</v>
      </c>
    </row>
    <row r="6528" spans="1:3" x14ac:dyDescent="0.2">
      <c r="A6528" s="10" t="str">
        <f>IF(6520&gt;$C$9008,"",INDEX($B$9:$B$9008,MATCH(6520,$C$9:$C$9008,0)))</f>
        <v/>
      </c>
      <c r="B6528" s="9" t="str">
        <f>IFERROR(INDEX(Input!$L$20:$T$1019,INT((ROW()-9)/9)+1,MOD(ROW()-9,9)+1),"")</f>
        <v/>
      </c>
      <c r="C6528" s="9">
        <f t="shared" si="101"/>
        <v>0</v>
      </c>
    </row>
    <row r="6529" spans="1:3" x14ac:dyDescent="0.2">
      <c r="A6529" s="10" t="str">
        <f>IF(6521&gt;$C$9008,"",INDEX($B$9:$B$9008,MATCH(6521,$C$9:$C$9008,0)))</f>
        <v/>
      </c>
      <c r="B6529" s="9" t="str">
        <f>IFERROR(INDEX(Input!$L$20:$T$1019,INT((ROW()-9)/9)+1,MOD(ROW()-9,9)+1),"")</f>
        <v/>
      </c>
      <c r="C6529" s="9">
        <f t="shared" si="101"/>
        <v>0</v>
      </c>
    </row>
    <row r="6530" spans="1:3" x14ac:dyDescent="0.2">
      <c r="A6530" s="10" t="str">
        <f>IF(6522&gt;$C$9008,"",INDEX($B$9:$B$9008,MATCH(6522,$C$9:$C$9008,0)))</f>
        <v/>
      </c>
      <c r="B6530" s="9" t="str">
        <f>IFERROR(INDEX(Input!$L$20:$T$1019,INT((ROW()-9)/9)+1,MOD(ROW()-9,9)+1),"")</f>
        <v/>
      </c>
      <c r="C6530" s="9">
        <f t="shared" si="101"/>
        <v>0</v>
      </c>
    </row>
    <row r="6531" spans="1:3" x14ac:dyDescent="0.2">
      <c r="A6531" s="10" t="str">
        <f>IF(6523&gt;$C$9008,"",INDEX($B$9:$B$9008,MATCH(6523,$C$9:$C$9008,0)))</f>
        <v/>
      </c>
      <c r="B6531" s="9" t="str">
        <f>IFERROR(INDEX(Input!$L$20:$T$1019,INT((ROW()-9)/9)+1,MOD(ROW()-9,9)+1),"")</f>
        <v/>
      </c>
      <c r="C6531" s="9">
        <f t="shared" si="101"/>
        <v>0</v>
      </c>
    </row>
    <row r="6532" spans="1:3" x14ac:dyDescent="0.2">
      <c r="A6532" s="10" t="str">
        <f>IF(6524&gt;$C$9008,"",INDEX($B$9:$B$9008,MATCH(6524,$C$9:$C$9008,0)))</f>
        <v/>
      </c>
      <c r="B6532" s="9" t="str">
        <f>IFERROR(INDEX(Input!$L$20:$T$1019,INT((ROW()-9)/9)+1,MOD(ROW()-9,9)+1),"")</f>
        <v/>
      </c>
      <c r="C6532" s="9">
        <f t="shared" si="101"/>
        <v>0</v>
      </c>
    </row>
    <row r="6533" spans="1:3" x14ac:dyDescent="0.2">
      <c r="A6533" s="10" t="str">
        <f>IF(6525&gt;$C$9008,"",INDEX($B$9:$B$9008,MATCH(6525,$C$9:$C$9008,0)))</f>
        <v/>
      </c>
      <c r="B6533" s="9" t="str">
        <f>IFERROR(INDEX(Input!$L$20:$T$1019,INT((ROW()-9)/9)+1,MOD(ROW()-9,9)+1),"")</f>
        <v/>
      </c>
      <c r="C6533" s="9">
        <f t="shared" si="101"/>
        <v>0</v>
      </c>
    </row>
    <row r="6534" spans="1:3" x14ac:dyDescent="0.2">
      <c r="A6534" s="10" t="str">
        <f>IF(6526&gt;$C$9008,"",INDEX($B$9:$B$9008,MATCH(6526,$C$9:$C$9008,0)))</f>
        <v/>
      </c>
      <c r="B6534" s="9" t="str">
        <f>IFERROR(INDEX(Input!$L$20:$T$1019,INT((ROW()-9)/9)+1,MOD(ROW()-9,9)+1),"")</f>
        <v/>
      </c>
      <c r="C6534" s="9">
        <f t="shared" si="101"/>
        <v>0</v>
      </c>
    </row>
    <row r="6535" spans="1:3" x14ac:dyDescent="0.2">
      <c r="A6535" s="10" t="str">
        <f>IF(6527&gt;$C$9008,"",INDEX($B$9:$B$9008,MATCH(6527,$C$9:$C$9008,0)))</f>
        <v/>
      </c>
      <c r="B6535" s="9" t="str">
        <f>IFERROR(INDEX(Input!$L$20:$T$1019,INT((ROW()-9)/9)+1,MOD(ROW()-9,9)+1),"")</f>
        <v/>
      </c>
      <c r="C6535" s="9">
        <f t="shared" si="101"/>
        <v>0</v>
      </c>
    </row>
    <row r="6536" spans="1:3" x14ac:dyDescent="0.2">
      <c r="A6536" s="10" t="str">
        <f>IF(6528&gt;$C$9008,"",INDEX($B$9:$B$9008,MATCH(6528,$C$9:$C$9008,0)))</f>
        <v/>
      </c>
      <c r="B6536" s="9" t="str">
        <f>IFERROR(INDEX(Input!$L$20:$T$1019,INT((ROW()-9)/9)+1,MOD(ROW()-9,9)+1),"")</f>
        <v/>
      </c>
      <c r="C6536" s="9">
        <f t="shared" si="101"/>
        <v>0</v>
      </c>
    </row>
    <row r="6537" spans="1:3" x14ac:dyDescent="0.2">
      <c r="A6537" s="10" t="str">
        <f>IF(6529&gt;$C$9008,"",INDEX($B$9:$B$9008,MATCH(6529,$C$9:$C$9008,0)))</f>
        <v/>
      </c>
      <c r="B6537" s="9" t="str">
        <f>IFERROR(INDEX(Input!$L$20:$T$1019,INT((ROW()-9)/9)+1,MOD(ROW()-9,9)+1),"")</f>
        <v/>
      </c>
      <c r="C6537" s="9">
        <f t="shared" ref="C6537:C6600" si="102">$C6536+IF($B6537&lt;&gt;"",1,0)</f>
        <v>0</v>
      </c>
    </row>
    <row r="6538" spans="1:3" x14ac:dyDescent="0.2">
      <c r="A6538" s="10" t="str">
        <f>IF(6530&gt;$C$9008,"",INDEX($B$9:$B$9008,MATCH(6530,$C$9:$C$9008,0)))</f>
        <v/>
      </c>
      <c r="B6538" s="9" t="str">
        <f>IFERROR(INDEX(Input!$L$20:$T$1019,INT((ROW()-9)/9)+1,MOD(ROW()-9,9)+1),"")</f>
        <v/>
      </c>
      <c r="C6538" s="9">
        <f t="shared" si="102"/>
        <v>0</v>
      </c>
    </row>
    <row r="6539" spans="1:3" x14ac:dyDescent="0.2">
      <c r="A6539" s="10" t="str">
        <f>IF(6531&gt;$C$9008,"",INDEX($B$9:$B$9008,MATCH(6531,$C$9:$C$9008,0)))</f>
        <v/>
      </c>
      <c r="B6539" s="9" t="str">
        <f>IFERROR(INDEX(Input!$L$20:$T$1019,INT((ROW()-9)/9)+1,MOD(ROW()-9,9)+1),"")</f>
        <v/>
      </c>
      <c r="C6539" s="9">
        <f t="shared" si="102"/>
        <v>0</v>
      </c>
    </row>
    <row r="6540" spans="1:3" x14ac:dyDescent="0.2">
      <c r="A6540" s="10" t="str">
        <f>IF(6532&gt;$C$9008,"",INDEX($B$9:$B$9008,MATCH(6532,$C$9:$C$9008,0)))</f>
        <v/>
      </c>
      <c r="B6540" s="9" t="str">
        <f>IFERROR(INDEX(Input!$L$20:$T$1019,INT((ROW()-9)/9)+1,MOD(ROW()-9,9)+1),"")</f>
        <v/>
      </c>
      <c r="C6540" s="9">
        <f t="shared" si="102"/>
        <v>0</v>
      </c>
    </row>
    <row r="6541" spans="1:3" x14ac:dyDescent="0.2">
      <c r="A6541" s="10" t="str">
        <f>IF(6533&gt;$C$9008,"",INDEX($B$9:$B$9008,MATCH(6533,$C$9:$C$9008,0)))</f>
        <v/>
      </c>
      <c r="B6541" s="9" t="str">
        <f>IFERROR(INDEX(Input!$L$20:$T$1019,INT((ROW()-9)/9)+1,MOD(ROW()-9,9)+1),"")</f>
        <v/>
      </c>
      <c r="C6541" s="9">
        <f t="shared" si="102"/>
        <v>0</v>
      </c>
    </row>
    <row r="6542" spans="1:3" x14ac:dyDescent="0.2">
      <c r="A6542" s="10" t="str">
        <f>IF(6534&gt;$C$9008,"",INDEX($B$9:$B$9008,MATCH(6534,$C$9:$C$9008,0)))</f>
        <v/>
      </c>
      <c r="B6542" s="9" t="str">
        <f>IFERROR(INDEX(Input!$L$20:$T$1019,INT((ROW()-9)/9)+1,MOD(ROW()-9,9)+1),"")</f>
        <v/>
      </c>
      <c r="C6542" s="9">
        <f t="shared" si="102"/>
        <v>0</v>
      </c>
    </row>
    <row r="6543" spans="1:3" x14ac:dyDescent="0.2">
      <c r="A6543" s="10" t="str">
        <f>IF(6535&gt;$C$9008,"",INDEX($B$9:$B$9008,MATCH(6535,$C$9:$C$9008,0)))</f>
        <v/>
      </c>
      <c r="B6543" s="9" t="str">
        <f>IFERROR(INDEX(Input!$L$20:$T$1019,INT((ROW()-9)/9)+1,MOD(ROW()-9,9)+1),"")</f>
        <v/>
      </c>
      <c r="C6543" s="9">
        <f t="shared" si="102"/>
        <v>0</v>
      </c>
    </row>
    <row r="6544" spans="1:3" x14ac:dyDescent="0.2">
      <c r="A6544" s="10" t="str">
        <f>IF(6536&gt;$C$9008,"",INDEX($B$9:$B$9008,MATCH(6536,$C$9:$C$9008,0)))</f>
        <v/>
      </c>
      <c r="B6544" s="9" t="str">
        <f>IFERROR(INDEX(Input!$L$20:$T$1019,INT((ROW()-9)/9)+1,MOD(ROW()-9,9)+1),"")</f>
        <v/>
      </c>
      <c r="C6544" s="9">
        <f t="shared" si="102"/>
        <v>0</v>
      </c>
    </row>
    <row r="6545" spans="1:3" x14ac:dyDescent="0.2">
      <c r="A6545" s="10" t="str">
        <f>IF(6537&gt;$C$9008,"",INDEX($B$9:$B$9008,MATCH(6537,$C$9:$C$9008,0)))</f>
        <v/>
      </c>
      <c r="B6545" s="9" t="str">
        <f>IFERROR(INDEX(Input!$L$20:$T$1019,INT((ROW()-9)/9)+1,MOD(ROW()-9,9)+1),"")</f>
        <v/>
      </c>
      <c r="C6545" s="9">
        <f t="shared" si="102"/>
        <v>0</v>
      </c>
    </row>
    <row r="6546" spans="1:3" x14ac:dyDescent="0.2">
      <c r="A6546" s="10" t="str">
        <f>IF(6538&gt;$C$9008,"",INDEX($B$9:$B$9008,MATCH(6538,$C$9:$C$9008,0)))</f>
        <v/>
      </c>
      <c r="B6546" s="9" t="str">
        <f>IFERROR(INDEX(Input!$L$20:$T$1019,INT((ROW()-9)/9)+1,MOD(ROW()-9,9)+1),"")</f>
        <v/>
      </c>
      <c r="C6546" s="9">
        <f t="shared" si="102"/>
        <v>0</v>
      </c>
    </row>
    <row r="6547" spans="1:3" x14ac:dyDescent="0.2">
      <c r="A6547" s="10" t="str">
        <f>IF(6539&gt;$C$9008,"",INDEX($B$9:$B$9008,MATCH(6539,$C$9:$C$9008,0)))</f>
        <v/>
      </c>
      <c r="B6547" s="9" t="str">
        <f>IFERROR(INDEX(Input!$L$20:$T$1019,INT((ROW()-9)/9)+1,MOD(ROW()-9,9)+1),"")</f>
        <v/>
      </c>
      <c r="C6547" s="9">
        <f t="shared" si="102"/>
        <v>0</v>
      </c>
    </row>
    <row r="6548" spans="1:3" x14ac:dyDescent="0.2">
      <c r="A6548" s="10" t="str">
        <f>IF(6540&gt;$C$9008,"",INDEX($B$9:$B$9008,MATCH(6540,$C$9:$C$9008,0)))</f>
        <v/>
      </c>
      <c r="B6548" s="9" t="str">
        <f>IFERROR(INDEX(Input!$L$20:$T$1019,INT((ROW()-9)/9)+1,MOD(ROW()-9,9)+1),"")</f>
        <v/>
      </c>
      <c r="C6548" s="9">
        <f t="shared" si="102"/>
        <v>0</v>
      </c>
    </row>
    <row r="6549" spans="1:3" x14ac:dyDescent="0.2">
      <c r="A6549" s="10" t="str">
        <f>IF(6541&gt;$C$9008,"",INDEX($B$9:$B$9008,MATCH(6541,$C$9:$C$9008,0)))</f>
        <v/>
      </c>
      <c r="B6549" s="9" t="str">
        <f>IFERROR(INDEX(Input!$L$20:$T$1019,INT((ROW()-9)/9)+1,MOD(ROW()-9,9)+1),"")</f>
        <v/>
      </c>
      <c r="C6549" s="9">
        <f t="shared" si="102"/>
        <v>0</v>
      </c>
    </row>
    <row r="6550" spans="1:3" x14ac:dyDescent="0.2">
      <c r="A6550" s="10" t="str">
        <f>IF(6542&gt;$C$9008,"",INDEX($B$9:$B$9008,MATCH(6542,$C$9:$C$9008,0)))</f>
        <v/>
      </c>
      <c r="B6550" s="9" t="str">
        <f>IFERROR(INDEX(Input!$L$20:$T$1019,INT((ROW()-9)/9)+1,MOD(ROW()-9,9)+1),"")</f>
        <v/>
      </c>
      <c r="C6550" s="9">
        <f t="shared" si="102"/>
        <v>0</v>
      </c>
    </row>
    <row r="6551" spans="1:3" x14ac:dyDescent="0.2">
      <c r="A6551" s="10" t="str">
        <f>IF(6543&gt;$C$9008,"",INDEX($B$9:$B$9008,MATCH(6543,$C$9:$C$9008,0)))</f>
        <v/>
      </c>
      <c r="B6551" s="9" t="str">
        <f>IFERROR(INDEX(Input!$L$20:$T$1019,INT((ROW()-9)/9)+1,MOD(ROW()-9,9)+1),"")</f>
        <v/>
      </c>
      <c r="C6551" s="9">
        <f t="shared" si="102"/>
        <v>0</v>
      </c>
    </row>
    <row r="6552" spans="1:3" x14ac:dyDescent="0.2">
      <c r="A6552" s="10" t="str">
        <f>IF(6544&gt;$C$9008,"",INDEX($B$9:$B$9008,MATCH(6544,$C$9:$C$9008,0)))</f>
        <v/>
      </c>
      <c r="B6552" s="9" t="str">
        <f>IFERROR(INDEX(Input!$L$20:$T$1019,INT((ROW()-9)/9)+1,MOD(ROW()-9,9)+1),"")</f>
        <v/>
      </c>
      <c r="C6552" s="9">
        <f t="shared" si="102"/>
        <v>0</v>
      </c>
    </row>
    <row r="6553" spans="1:3" x14ac:dyDescent="0.2">
      <c r="A6553" s="10" t="str">
        <f>IF(6545&gt;$C$9008,"",INDEX($B$9:$B$9008,MATCH(6545,$C$9:$C$9008,0)))</f>
        <v/>
      </c>
      <c r="B6553" s="9" t="str">
        <f>IFERROR(INDEX(Input!$L$20:$T$1019,INT((ROW()-9)/9)+1,MOD(ROW()-9,9)+1),"")</f>
        <v/>
      </c>
      <c r="C6553" s="9">
        <f t="shared" si="102"/>
        <v>0</v>
      </c>
    </row>
    <row r="6554" spans="1:3" x14ac:dyDescent="0.2">
      <c r="A6554" s="10" t="str">
        <f>IF(6546&gt;$C$9008,"",INDEX($B$9:$B$9008,MATCH(6546,$C$9:$C$9008,0)))</f>
        <v/>
      </c>
      <c r="B6554" s="9" t="str">
        <f>IFERROR(INDEX(Input!$L$20:$T$1019,INT((ROW()-9)/9)+1,MOD(ROW()-9,9)+1),"")</f>
        <v/>
      </c>
      <c r="C6554" s="9">
        <f t="shared" si="102"/>
        <v>0</v>
      </c>
    </row>
    <row r="6555" spans="1:3" x14ac:dyDescent="0.2">
      <c r="A6555" s="10" t="str">
        <f>IF(6547&gt;$C$9008,"",INDEX($B$9:$B$9008,MATCH(6547,$C$9:$C$9008,0)))</f>
        <v/>
      </c>
      <c r="B6555" s="9" t="str">
        <f>IFERROR(INDEX(Input!$L$20:$T$1019,INT((ROW()-9)/9)+1,MOD(ROW()-9,9)+1),"")</f>
        <v/>
      </c>
      <c r="C6555" s="9">
        <f t="shared" si="102"/>
        <v>0</v>
      </c>
    </row>
    <row r="6556" spans="1:3" x14ac:dyDescent="0.2">
      <c r="A6556" s="10" t="str">
        <f>IF(6548&gt;$C$9008,"",INDEX($B$9:$B$9008,MATCH(6548,$C$9:$C$9008,0)))</f>
        <v/>
      </c>
      <c r="B6556" s="9" t="str">
        <f>IFERROR(INDEX(Input!$L$20:$T$1019,INT((ROW()-9)/9)+1,MOD(ROW()-9,9)+1),"")</f>
        <v/>
      </c>
      <c r="C6556" s="9">
        <f t="shared" si="102"/>
        <v>0</v>
      </c>
    </row>
    <row r="6557" spans="1:3" x14ac:dyDescent="0.2">
      <c r="A6557" s="10" t="str">
        <f>IF(6549&gt;$C$9008,"",INDEX($B$9:$B$9008,MATCH(6549,$C$9:$C$9008,0)))</f>
        <v/>
      </c>
      <c r="B6557" s="9" t="str">
        <f>IFERROR(INDEX(Input!$L$20:$T$1019,INT((ROW()-9)/9)+1,MOD(ROW()-9,9)+1),"")</f>
        <v/>
      </c>
      <c r="C6557" s="9">
        <f t="shared" si="102"/>
        <v>0</v>
      </c>
    </row>
    <row r="6558" spans="1:3" x14ac:dyDescent="0.2">
      <c r="A6558" s="10" t="str">
        <f>IF(6550&gt;$C$9008,"",INDEX($B$9:$B$9008,MATCH(6550,$C$9:$C$9008,0)))</f>
        <v/>
      </c>
      <c r="B6558" s="9" t="str">
        <f>IFERROR(INDEX(Input!$L$20:$T$1019,INT((ROW()-9)/9)+1,MOD(ROW()-9,9)+1),"")</f>
        <v/>
      </c>
      <c r="C6558" s="9">
        <f t="shared" si="102"/>
        <v>0</v>
      </c>
    </row>
    <row r="6559" spans="1:3" x14ac:dyDescent="0.2">
      <c r="A6559" s="10" t="str">
        <f>IF(6551&gt;$C$9008,"",INDEX($B$9:$B$9008,MATCH(6551,$C$9:$C$9008,0)))</f>
        <v/>
      </c>
      <c r="B6559" s="9" t="str">
        <f>IFERROR(INDEX(Input!$L$20:$T$1019,INT((ROW()-9)/9)+1,MOD(ROW()-9,9)+1),"")</f>
        <v/>
      </c>
      <c r="C6559" s="9">
        <f t="shared" si="102"/>
        <v>0</v>
      </c>
    </row>
    <row r="6560" spans="1:3" x14ac:dyDescent="0.2">
      <c r="A6560" s="10" t="str">
        <f>IF(6552&gt;$C$9008,"",INDEX($B$9:$B$9008,MATCH(6552,$C$9:$C$9008,0)))</f>
        <v/>
      </c>
      <c r="B6560" s="9" t="str">
        <f>IFERROR(INDEX(Input!$L$20:$T$1019,INT((ROW()-9)/9)+1,MOD(ROW()-9,9)+1),"")</f>
        <v/>
      </c>
      <c r="C6560" s="9">
        <f t="shared" si="102"/>
        <v>0</v>
      </c>
    </row>
    <row r="6561" spans="1:3" x14ac:dyDescent="0.2">
      <c r="A6561" s="10" t="str">
        <f>IF(6553&gt;$C$9008,"",INDEX($B$9:$B$9008,MATCH(6553,$C$9:$C$9008,0)))</f>
        <v/>
      </c>
      <c r="B6561" s="9" t="str">
        <f>IFERROR(INDEX(Input!$L$20:$T$1019,INT((ROW()-9)/9)+1,MOD(ROW()-9,9)+1),"")</f>
        <v/>
      </c>
      <c r="C6561" s="9">
        <f t="shared" si="102"/>
        <v>0</v>
      </c>
    </row>
    <row r="6562" spans="1:3" x14ac:dyDescent="0.2">
      <c r="A6562" s="10" t="str">
        <f>IF(6554&gt;$C$9008,"",INDEX($B$9:$B$9008,MATCH(6554,$C$9:$C$9008,0)))</f>
        <v/>
      </c>
      <c r="B6562" s="9" t="str">
        <f>IFERROR(INDEX(Input!$L$20:$T$1019,INT((ROW()-9)/9)+1,MOD(ROW()-9,9)+1),"")</f>
        <v/>
      </c>
      <c r="C6562" s="9">
        <f t="shared" si="102"/>
        <v>0</v>
      </c>
    </row>
    <row r="6563" spans="1:3" x14ac:dyDescent="0.2">
      <c r="A6563" s="10" t="str">
        <f>IF(6555&gt;$C$9008,"",INDEX($B$9:$B$9008,MATCH(6555,$C$9:$C$9008,0)))</f>
        <v/>
      </c>
      <c r="B6563" s="9" t="str">
        <f>IFERROR(INDEX(Input!$L$20:$T$1019,INT((ROW()-9)/9)+1,MOD(ROW()-9,9)+1),"")</f>
        <v/>
      </c>
      <c r="C6563" s="9">
        <f t="shared" si="102"/>
        <v>0</v>
      </c>
    </row>
    <row r="6564" spans="1:3" x14ac:dyDescent="0.2">
      <c r="A6564" s="10" t="str">
        <f>IF(6556&gt;$C$9008,"",INDEX($B$9:$B$9008,MATCH(6556,$C$9:$C$9008,0)))</f>
        <v/>
      </c>
      <c r="B6564" s="9" t="str">
        <f>IFERROR(INDEX(Input!$L$20:$T$1019,INT((ROW()-9)/9)+1,MOD(ROW()-9,9)+1),"")</f>
        <v/>
      </c>
      <c r="C6564" s="9">
        <f t="shared" si="102"/>
        <v>0</v>
      </c>
    </row>
    <row r="6565" spans="1:3" x14ac:dyDescent="0.2">
      <c r="A6565" s="10" t="str">
        <f>IF(6557&gt;$C$9008,"",INDEX($B$9:$B$9008,MATCH(6557,$C$9:$C$9008,0)))</f>
        <v/>
      </c>
      <c r="B6565" s="9" t="str">
        <f>IFERROR(INDEX(Input!$L$20:$T$1019,INT((ROW()-9)/9)+1,MOD(ROW()-9,9)+1),"")</f>
        <v/>
      </c>
      <c r="C6565" s="9">
        <f t="shared" si="102"/>
        <v>0</v>
      </c>
    </row>
    <row r="6566" spans="1:3" x14ac:dyDescent="0.2">
      <c r="A6566" s="10" t="str">
        <f>IF(6558&gt;$C$9008,"",INDEX($B$9:$B$9008,MATCH(6558,$C$9:$C$9008,0)))</f>
        <v/>
      </c>
      <c r="B6566" s="9" t="str">
        <f>IFERROR(INDEX(Input!$L$20:$T$1019,INT((ROW()-9)/9)+1,MOD(ROW()-9,9)+1),"")</f>
        <v/>
      </c>
      <c r="C6566" s="9">
        <f t="shared" si="102"/>
        <v>0</v>
      </c>
    </row>
    <row r="6567" spans="1:3" x14ac:dyDescent="0.2">
      <c r="A6567" s="10" t="str">
        <f>IF(6559&gt;$C$9008,"",INDEX($B$9:$B$9008,MATCH(6559,$C$9:$C$9008,0)))</f>
        <v/>
      </c>
      <c r="B6567" s="9" t="str">
        <f>IFERROR(INDEX(Input!$L$20:$T$1019,INT((ROW()-9)/9)+1,MOD(ROW()-9,9)+1),"")</f>
        <v/>
      </c>
      <c r="C6567" s="9">
        <f t="shared" si="102"/>
        <v>0</v>
      </c>
    </row>
    <row r="6568" spans="1:3" x14ac:dyDescent="0.2">
      <c r="A6568" s="10" t="str">
        <f>IF(6560&gt;$C$9008,"",INDEX($B$9:$B$9008,MATCH(6560,$C$9:$C$9008,0)))</f>
        <v/>
      </c>
      <c r="B6568" s="9" t="str">
        <f>IFERROR(INDEX(Input!$L$20:$T$1019,INT((ROW()-9)/9)+1,MOD(ROW()-9,9)+1),"")</f>
        <v/>
      </c>
      <c r="C6568" s="9">
        <f t="shared" si="102"/>
        <v>0</v>
      </c>
    </row>
    <row r="6569" spans="1:3" x14ac:dyDescent="0.2">
      <c r="A6569" s="10" t="str">
        <f>IF(6561&gt;$C$9008,"",INDEX($B$9:$B$9008,MATCH(6561,$C$9:$C$9008,0)))</f>
        <v/>
      </c>
      <c r="B6569" s="9" t="str">
        <f>IFERROR(INDEX(Input!$L$20:$T$1019,INT((ROW()-9)/9)+1,MOD(ROW()-9,9)+1),"")</f>
        <v/>
      </c>
      <c r="C6569" s="9">
        <f t="shared" si="102"/>
        <v>0</v>
      </c>
    </row>
    <row r="6570" spans="1:3" x14ac:dyDescent="0.2">
      <c r="A6570" s="10" t="str">
        <f>IF(6562&gt;$C$9008,"",INDEX($B$9:$B$9008,MATCH(6562,$C$9:$C$9008,0)))</f>
        <v/>
      </c>
      <c r="B6570" s="9" t="str">
        <f>IFERROR(INDEX(Input!$L$20:$T$1019,INT((ROW()-9)/9)+1,MOD(ROW()-9,9)+1),"")</f>
        <v/>
      </c>
      <c r="C6570" s="9">
        <f t="shared" si="102"/>
        <v>0</v>
      </c>
    </row>
    <row r="6571" spans="1:3" x14ac:dyDescent="0.2">
      <c r="A6571" s="10" t="str">
        <f>IF(6563&gt;$C$9008,"",INDEX($B$9:$B$9008,MATCH(6563,$C$9:$C$9008,0)))</f>
        <v/>
      </c>
      <c r="B6571" s="9" t="str">
        <f>IFERROR(INDEX(Input!$L$20:$T$1019,INT((ROW()-9)/9)+1,MOD(ROW()-9,9)+1),"")</f>
        <v/>
      </c>
      <c r="C6571" s="9">
        <f t="shared" si="102"/>
        <v>0</v>
      </c>
    </row>
    <row r="6572" spans="1:3" x14ac:dyDescent="0.2">
      <c r="A6572" s="10" t="str">
        <f>IF(6564&gt;$C$9008,"",INDEX($B$9:$B$9008,MATCH(6564,$C$9:$C$9008,0)))</f>
        <v/>
      </c>
      <c r="B6572" s="9" t="str">
        <f>IFERROR(INDEX(Input!$L$20:$T$1019,INT((ROW()-9)/9)+1,MOD(ROW()-9,9)+1),"")</f>
        <v/>
      </c>
      <c r="C6572" s="9">
        <f t="shared" si="102"/>
        <v>0</v>
      </c>
    </row>
    <row r="6573" spans="1:3" x14ac:dyDescent="0.2">
      <c r="A6573" s="10" t="str">
        <f>IF(6565&gt;$C$9008,"",INDEX($B$9:$B$9008,MATCH(6565,$C$9:$C$9008,0)))</f>
        <v/>
      </c>
      <c r="B6573" s="9" t="str">
        <f>IFERROR(INDEX(Input!$L$20:$T$1019,INT((ROW()-9)/9)+1,MOD(ROW()-9,9)+1),"")</f>
        <v/>
      </c>
      <c r="C6573" s="9">
        <f t="shared" si="102"/>
        <v>0</v>
      </c>
    </row>
    <row r="6574" spans="1:3" x14ac:dyDescent="0.2">
      <c r="A6574" s="10" t="str">
        <f>IF(6566&gt;$C$9008,"",INDEX($B$9:$B$9008,MATCH(6566,$C$9:$C$9008,0)))</f>
        <v/>
      </c>
      <c r="B6574" s="9" t="str">
        <f>IFERROR(INDEX(Input!$L$20:$T$1019,INT((ROW()-9)/9)+1,MOD(ROW()-9,9)+1),"")</f>
        <v/>
      </c>
      <c r="C6574" s="9">
        <f t="shared" si="102"/>
        <v>0</v>
      </c>
    </row>
    <row r="6575" spans="1:3" x14ac:dyDescent="0.2">
      <c r="A6575" s="10" t="str">
        <f>IF(6567&gt;$C$9008,"",INDEX($B$9:$B$9008,MATCH(6567,$C$9:$C$9008,0)))</f>
        <v/>
      </c>
      <c r="B6575" s="9" t="str">
        <f>IFERROR(INDEX(Input!$L$20:$T$1019,INT((ROW()-9)/9)+1,MOD(ROW()-9,9)+1),"")</f>
        <v/>
      </c>
      <c r="C6575" s="9">
        <f t="shared" si="102"/>
        <v>0</v>
      </c>
    </row>
    <row r="6576" spans="1:3" x14ac:dyDescent="0.2">
      <c r="A6576" s="10" t="str">
        <f>IF(6568&gt;$C$9008,"",INDEX($B$9:$B$9008,MATCH(6568,$C$9:$C$9008,0)))</f>
        <v/>
      </c>
      <c r="B6576" s="9" t="str">
        <f>IFERROR(INDEX(Input!$L$20:$T$1019,INT((ROW()-9)/9)+1,MOD(ROW()-9,9)+1),"")</f>
        <v/>
      </c>
      <c r="C6576" s="9">
        <f t="shared" si="102"/>
        <v>0</v>
      </c>
    </row>
    <row r="6577" spans="1:3" x14ac:dyDescent="0.2">
      <c r="A6577" s="10" t="str">
        <f>IF(6569&gt;$C$9008,"",INDEX($B$9:$B$9008,MATCH(6569,$C$9:$C$9008,0)))</f>
        <v/>
      </c>
      <c r="B6577" s="9" t="str">
        <f>IFERROR(INDEX(Input!$L$20:$T$1019,INT((ROW()-9)/9)+1,MOD(ROW()-9,9)+1),"")</f>
        <v/>
      </c>
      <c r="C6577" s="9">
        <f t="shared" si="102"/>
        <v>0</v>
      </c>
    </row>
    <row r="6578" spans="1:3" x14ac:dyDescent="0.2">
      <c r="A6578" s="10" t="str">
        <f>IF(6570&gt;$C$9008,"",INDEX($B$9:$B$9008,MATCH(6570,$C$9:$C$9008,0)))</f>
        <v/>
      </c>
      <c r="B6578" s="9" t="str">
        <f>IFERROR(INDEX(Input!$L$20:$T$1019,INT((ROW()-9)/9)+1,MOD(ROW()-9,9)+1),"")</f>
        <v/>
      </c>
      <c r="C6578" s="9">
        <f t="shared" si="102"/>
        <v>0</v>
      </c>
    </row>
    <row r="6579" spans="1:3" x14ac:dyDescent="0.2">
      <c r="A6579" s="10" t="str">
        <f>IF(6571&gt;$C$9008,"",INDEX($B$9:$B$9008,MATCH(6571,$C$9:$C$9008,0)))</f>
        <v/>
      </c>
      <c r="B6579" s="9" t="str">
        <f>IFERROR(INDEX(Input!$L$20:$T$1019,INT((ROW()-9)/9)+1,MOD(ROW()-9,9)+1),"")</f>
        <v/>
      </c>
      <c r="C6579" s="9">
        <f t="shared" si="102"/>
        <v>0</v>
      </c>
    </row>
    <row r="6580" spans="1:3" x14ac:dyDescent="0.2">
      <c r="A6580" s="10" t="str">
        <f>IF(6572&gt;$C$9008,"",INDEX($B$9:$B$9008,MATCH(6572,$C$9:$C$9008,0)))</f>
        <v/>
      </c>
      <c r="B6580" s="9" t="str">
        <f>IFERROR(INDEX(Input!$L$20:$T$1019,INT((ROW()-9)/9)+1,MOD(ROW()-9,9)+1),"")</f>
        <v/>
      </c>
      <c r="C6580" s="9">
        <f t="shared" si="102"/>
        <v>0</v>
      </c>
    </row>
    <row r="6581" spans="1:3" x14ac:dyDescent="0.2">
      <c r="A6581" s="10" t="str">
        <f>IF(6573&gt;$C$9008,"",INDEX($B$9:$B$9008,MATCH(6573,$C$9:$C$9008,0)))</f>
        <v/>
      </c>
      <c r="B6581" s="9" t="str">
        <f>IFERROR(INDEX(Input!$L$20:$T$1019,INT((ROW()-9)/9)+1,MOD(ROW()-9,9)+1),"")</f>
        <v/>
      </c>
      <c r="C6581" s="9">
        <f t="shared" si="102"/>
        <v>0</v>
      </c>
    </row>
    <row r="6582" spans="1:3" x14ac:dyDescent="0.2">
      <c r="A6582" s="10" t="str">
        <f>IF(6574&gt;$C$9008,"",INDEX($B$9:$B$9008,MATCH(6574,$C$9:$C$9008,0)))</f>
        <v/>
      </c>
      <c r="B6582" s="9" t="str">
        <f>IFERROR(INDEX(Input!$L$20:$T$1019,INT((ROW()-9)/9)+1,MOD(ROW()-9,9)+1),"")</f>
        <v/>
      </c>
      <c r="C6582" s="9">
        <f t="shared" si="102"/>
        <v>0</v>
      </c>
    </row>
    <row r="6583" spans="1:3" x14ac:dyDescent="0.2">
      <c r="A6583" s="10" t="str">
        <f>IF(6575&gt;$C$9008,"",INDEX($B$9:$B$9008,MATCH(6575,$C$9:$C$9008,0)))</f>
        <v/>
      </c>
      <c r="B6583" s="9" t="str">
        <f>IFERROR(INDEX(Input!$L$20:$T$1019,INT((ROW()-9)/9)+1,MOD(ROW()-9,9)+1),"")</f>
        <v/>
      </c>
      <c r="C6583" s="9">
        <f t="shared" si="102"/>
        <v>0</v>
      </c>
    </row>
    <row r="6584" spans="1:3" x14ac:dyDescent="0.2">
      <c r="A6584" s="10" t="str">
        <f>IF(6576&gt;$C$9008,"",INDEX($B$9:$B$9008,MATCH(6576,$C$9:$C$9008,0)))</f>
        <v/>
      </c>
      <c r="B6584" s="9" t="str">
        <f>IFERROR(INDEX(Input!$L$20:$T$1019,INT((ROW()-9)/9)+1,MOD(ROW()-9,9)+1),"")</f>
        <v/>
      </c>
      <c r="C6584" s="9">
        <f t="shared" si="102"/>
        <v>0</v>
      </c>
    </row>
    <row r="6585" spans="1:3" x14ac:dyDescent="0.2">
      <c r="A6585" s="10" t="str">
        <f>IF(6577&gt;$C$9008,"",INDEX($B$9:$B$9008,MATCH(6577,$C$9:$C$9008,0)))</f>
        <v/>
      </c>
      <c r="B6585" s="9" t="str">
        <f>IFERROR(INDEX(Input!$L$20:$T$1019,INT((ROW()-9)/9)+1,MOD(ROW()-9,9)+1),"")</f>
        <v/>
      </c>
      <c r="C6585" s="9">
        <f t="shared" si="102"/>
        <v>0</v>
      </c>
    </row>
    <row r="6586" spans="1:3" x14ac:dyDescent="0.2">
      <c r="A6586" s="10" t="str">
        <f>IF(6578&gt;$C$9008,"",INDEX($B$9:$B$9008,MATCH(6578,$C$9:$C$9008,0)))</f>
        <v/>
      </c>
      <c r="B6586" s="9" t="str">
        <f>IFERROR(INDEX(Input!$L$20:$T$1019,INT((ROW()-9)/9)+1,MOD(ROW()-9,9)+1),"")</f>
        <v/>
      </c>
      <c r="C6586" s="9">
        <f t="shared" si="102"/>
        <v>0</v>
      </c>
    </row>
    <row r="6587" spans="1:3" x14ac:dyDescent="0.2">
      <c r="A6587" s="10" t="str">
        <f>IF(6579&gt;$C$9008,"",INDEX($B$9:$B$9008,MATCH(6579,$C$9:$C$9008,0)))</f>
        <v/>
      </c>
      <c r="B6587" s="9" t="str">
        <f>IFERROR(INDEX(Input!$L$20:$T$1019,INT((ROW()-9)/9)+1,MOD(ROW()-9,9)+1),"")</f>
        <v/>
      </c>
      <c r="C6587" s="9">
        <f t="shared" si="102"/>
        <v>0</v>
      </c>
    </row>
    <row r="6588" spans="1:3" x14ac:dyDescent="0.2">
      <c r="A6588" s="10" t="str">
        <f>IF(6580&gt;$C$9008,"",INDEX($B$9:$B$9008,MATCH(6580,$C$9:$C$9008,0)))</f>
        <v/>
      </c>
      <c r="B6588" s="9" t="str">
        <f>IFERROR(INDEX(Input!$L$20:$T$1019,INT((ROW()-9)/9)+1,MOD(ROW()-9,9)+1),"")</f>
        <v/>
      </c>
      <c r="C6588" s="9">
        <f t="shared" si="102"/>
        <v>0</v>
      </c>
    </row>
    <row r="6589" spans="1:3" x14ac:dyDescent="0.2">
      <c r="A6589" s="10" t="str">
        <f>IF(6581&gt;$C$9008,"",INDEX($B$9:$B$9008,MATCH(6581,$C$9:$C$9008,0)))</f>
        <v/>
      </c>
      <c r="B6589" s="9" t="str">
        <f>IFERROR(INDEX(Input!$L$20:$T$1019,INT((ROW()-9)/9)+1,MOD(ROW()-9,9)+1),"")</f>
        <v/>
      </c>
      <c r="C6589" s="9">
        <f t="shared" si="102"/>
        <v>0</v>
      </c>
    </row>
    <row r="6590" spans="1:3" x14ac:dyDescent="0.2">
      <c r="A6590" s="10" t="str">
        <f>IF(6582&gt;$C$9008,"",INDEX($B$9:$B$9008,MATCH(6582,$C$9:$C$9008,0)))</f>
        <v/>
      </c>
      <c r="B6590" s="9" t="str">
        <f>IFERROR(INDEX(Input!$L$20:$T$1019,INT((ROW()-9)/9)+1,MOD(ROW()-9,9)+1),"")</f>
        <v/>
      </c>
      <c r="C6590" s="9">
        <f t="shared" si="102"/>
        <v>0</v>
      </c>
    </row>
    <row r="6591" spans="1:3" x14ac:dyDescent="0.2">
      <c r="A6591" s="10" t="str">
        <f>IF(6583&gt;$C$9008,"",INDEX($B$9:$B$9008,MATCH(6583,$C$9:$C$9008,0)))</f>
        <v/>
      </c>
      <c r="B6591" s="9" t="str">
        <f>IFERROR(INDEX(Input!$L$20:$T$1019,INT((ROW()-9)/9)+1,MOD(ROW()-9,9)+1),"")</f>
        <v/>
      </c>
      <c r="C6591" s="9">
        <f t="shared" si="102"/>
        <v>0</v>
      </c>
    </row>
    <row r="6592" spans="1:3" x14ac:dyDescent="0.2">
      <c r="A6592" s="10" t="str">
        <f>IF(6584&gt;$C$9008,"",INDEX($B$9:$B$9008,MATCH(6584,$C$9:$C$9008,0)))</f>
        <v/>
      </c>
      <c r="B6592" s="9" t="str">
        <f>IFERROR(INDEX(Input!$L$20:$T$1019,INT((ROW()-9)/9)+1,MOD(ROW()-9,9)+1),"")</f>
        <v/>
      </c>
      <c r="C6592" s="9">
        <f t="shared" si="102"/>
        <v>0</v>
      </c>
    </row>
    <row r="6593" spans="1:3" x14ac:dyDescent="0.2">
      <c r="A6593" s="10" t="str">
        <f>IF(6585&gt;$C$9008,"",INDEX($B$9:$B$9008,MATCH(6585,$C$9:$C$9008,0)))</f>
        <v/>
      </c>
      <c r="B6593" s="9" t="str">
        <f>IFERROR(INDEX(Input!$L$20:$T$1019,INT((ROW()-9)/9)+1,MOD(ROW()-9,9)+1),"")</f>
        <v/>
      </c>
      <c r="C6593" s="9">
        <f t="shared" si="102"/>
        <v>0</v>
      </c>
    </row>
    <row r="6594" spans="1:3" x14ac:dyDescent="0.2">
      <c r="A6594" s="10" t="str">
        <f>IF(6586&gt;$C$9008,"",INDEX($B$9:$B$9008,MATCH(6586,$C$9:$C$9008,0)))</f>
        <v/>
      </c>
      <c r="B6594" s="9" t="str">
        <f>IFERROR(INDEX(Input!$L$20:$T$1019,INT((ROW()-9)/9)+1,MOD(ROW()-9,9)+1),"")</f>
        <v/>
      </c>
      <c r="C6594" s="9">
        <f t="shared" si="102"/>
        <v>0</v>
      </c>
    </row>
    <row r="6595" spans="1:3" x14ac:dyDescent="0.2">
      <c r="A6595" s="10" t="str">
        <f>IF(6587&gt;$C$9008,"",INDEX($B$9:$B$9008,MATCH(6587,$C$9:$C$9008,0)))</f>
        <v/>
      </c>
      <c r="B6595" s="9" t="str">
        <f>IFERROR(INDEX(Input!$L$20:$T$1019,INT((ROW()-9)/9)+1,MOD(ROW()-9,9)+1),"")</f>
        <v/>
      </c>
      <c r="C6595" s="9">
        <f t="shared" si="102"/>
        <v>0</v>
      </c>
    </row>
    <row r="6596" spans="1:3" x14ac:dyDescent="0.2">
      <c r="A6596" s="10" t="str">
        <f>IF(6588&gt;$C$9008,"",INDEX($B$9:$B$9008,MATCH(6588,$C$9:$C$9008,0)))</f>
        <v/>
      </c>
      <c r="B6596" s="9" t="str">
        <f>IFERROR(INDEX(Input!$L$20:$T$1019,INT((ROW()-9)/9)+1,MOD(ROW()-9,9)+1),"")</f>
        <v/>
      </c>
      <c r="C6596" s="9">
        <f t="shared" si="102"/>
        <v>0</v>
      </c>
    </row>
    <row r="6597" spans="1:3" x14ac:dyDescent="0.2">
      <c r="A6597" s="10" t="str">
        <f>IF(6589&gt;$C$9008,"",INDEX($B$9:$B$9008,MATCH(6589,$C$9:$C$9008,0)))</f>
        <v/>
      </c>
      <c r="B6597" s="9" t="str">
        <f>IFERROR(INDEX(Input!$L$20:$T$1019,INT((ROW()-9)/9)+1,MOD(ROW()-9,9)+1),"")</f>
        <v/>
      </c>
      <c r="C6597" s="9">
        <f t="shared" si="102"/>
        <v>0</v>
      </c>
    </row>
    <row r="6598" spans="1:3" x14ac:dyDescent="0.2">
      <c r="A6598" s="10" t="str">
        <f>IF(6590&gt;$C$9008,"",INDEX($B$9:$B$9008,MATCH(6590,$C$9:$C$9008,0)))</f>
        <v/>
      </c>
      <c r="B6598" s="9" t="str">
        <f>IFERROR(INDEX(Input!$L$20:$T$1019,INT((ROW()-9)/9)+1,MOD(ROW()-9,9)+1),"")</f>
        <v/>
      </c>
      <c r="C6598" s="9">
        <f t="shared" si="102"/>
        <v>0</v>
      </c>
    </row>
    <row r="6599" spans="1:3" x14ac:dyDescent="0.2">
      <c r="A6599" s="10" t="str">
        <f>IF(6591&gt;$C$9008,"",INDEX($B$9:$B$9008,MATCH(6591,$C$9:$C$9008,0)))</f>
        <v/>
      </c>
      <c r="B6599" s="9" t="str">
        <f>IFERROR(INDEX(Input!$L$20:$T$1019,INT((ROW()-9)/9)+1,MOD(ROW()-9,9)+1),"")</f>
        <v/>
      </c>
      <c r="C6599" s="9">
        <f t="shared" si="102"/>
        <v>0</v>
      </c>
    </row>
    <row r="6600" spans="1:3" x14ac:dyDescent="0.2">
      <c r="A6600" s="10" t="str">
        <f>IF(6592&gt;$C$9008,"",INDEX($B$9:$B$9008,MATCH(6592,$C$9:$C$9008,0)))</f>
        <v/>
      </c>
      <c r="B6600" s="9" t="str">
        <f>IFERROR(INDEX(Input!$L$20:$T$1019,INT((ROW()-9)/9)+1,MOD(ROW()-9,9)+1),"")</f>
        <v/>
      </c>
      <c r="C6600" s="9">
        <f t="shared" si="102"/>
        <v>0</v>
      </c>
    </row>
    <row r="6601" spans="1:3" x14ac:dyDescent="0.2">
      <c r="A6601" s="10" t="str">
        <f>IF(6593&gt;$C$9008,"",INDEX($B$9:$B$9008,MATCH(6593,$C$9:$C$9008,0)))</f>
        <v/>
      </c>
      <c r="B6601" s="9" t="str">
        <f>IFERROR(INDEX(Input!$L$20:$T$1019,INT((ROW()-9)/9)+1,MOD(ROW()-9,9)+1),"")</f>
        <v/>
      </c>
      <c r="C6601" s="9">
        <f t="shared" ref="C6601:C6664" si="103">$C6600+IF($B6601&lt;&gt;"",1,0)</f>
        <v>0</v>
      </c>
    </row>
    <row r="6602" spans="1:3" x14ac:dyDescent="0.2">
      <c r="A6602" s="10" t="str">
        <f>IF(6594&gt;$C$9008,"",INDEX($B$9:$B$9008,MATCH(6594,$C$9:$C$9008,0)))</f>
        <v/>
      </c>
      <c r="B6602" s="9" t="str">
        <f>IFERROR(INDEX(Input!$L$20:$T$1019,INT((ROW()-9)/9)+1,MOD(ROW()-9,9)+1),"")</f>
        <v/>
      </c>
      <c r="C6602" s="9">
        <f t="shared" si="103"/>
        <v>0</v>
      </c>
    </row>
    <row r="6603" spans="1:3" x14ac:dyDescent="0.2">
      <c r="A6603" s="10" t="str">
        <f>IF(6595&gt;$C$9008,"",INDEX($B$9:$B$9008,MATCH(6595,$C$9:$C$9008,0)))</f>
        <v/>
      </c>
      <c r="B6603" s="9" t="str">
        <f>IFERROR(INDEX(Input!$L$20:$T$1019,INT((ROW()-9)/9)+1,MOD(ROW()-9,9)+1),"")</f>
        <v/>
      </c>
      <c r="C6603" s="9">
        <f t="shared" si="103"/>
        <v>0</v>
      </c>
    </row>
    <row r="6604" spans="1:3" x14ac:dyDescent="0.2">
      <c r="A6604" s="10" t="str">
        <f>IF(6596&gt;$C$9008,"",INDEX($B$9:$B$9008,MATCH(6596,$C$9:$C$9008,0)))</f>
        <v/>
      </c>
      <c r="B6604" s="9" t="str">
        <f>IFERROR(INDEX(Input!$L$20:$T$1019,INT((ROW()-9)/9)+1,MOD(ROW()-9,9)+1),"")</f>
        <v/>
      </c>
      <c r="C6604" s="9">
        <f t="shared" si="103"/>
        <v>0</v>
      </c>
    </row>
    <row r="6605" spans="1:3" x14ac:dyDescent="0.2">
      <c r="A6605" s="10" t="str">
        <f>IF(6597&gt;$C$9008,"",INDEX($B$9:$B$9008,MATCH(6597,$C$9:$C$9008,0)))</f>
        <v/>
      </c>
      <c r="B6605" s="9" t="str">
        <f>IFERROR(INDEX(Input!$L$20:$T$1019,INT((ROW()-9)/9)+1,MOD(ROW()-9,9)+1),"")</f>
        <v/>
      </c>
      <c r="C6605" s="9">
        <f t="shared" si="103"/>
        <v>0</v>
      </c>
    </row>
    <row r="6606" spans="1:3" x14ac:dyDescent="0.2">
      <c r="A6606" s="10" t="str">
        <f>IF(6598&gt;$C$9008,"",INDEX($B$9:$B$9008,MATCH(6598,$C$9:$C$9008,0)))</f>
        <v/>
      </c>
      <c r="B6606" s="9" t="str">
        <f>IFERROR(INDEX(Input!$L$20:$T$1019,INT((ROW()-9)/9)+1,MOD(ROW()-9,9)+1),"")</f>
        <v/>
      </c>
      <c r="C6606" s="9">
        <f t="shared" si="103"/>
        <v>0</v>
      </c>
    </row>
    <row r="6607" spans="1:3" x14ac:dyDescent="0.2">
      <c r="A6607" s="10" t="str">
        <f>IF(6599&gt;$C$9008,"",INDEX($B$9:$B$9008,MATCH(6599,$C$9:$C$9008,0)))</f>
        <v/>
      </c>
      <c r="B6607" s="9" t="str">
        <f>IFERROR(INDEX(Input!$L$20:$T$1019,INT((ROW()-9)/9)+1,MOD(ROW()-9,9)+1),"")</f>
        <v/>
      </c>
      <c r="C6607" s="9">
        <f t="shared" si="103"/>
        <v>0</v>
      </c>
    </row>
    <row r="6608" spans="1:3" x14ac:dyDescent="0.2">
      <c r="A6608" s="10" t="str">
        <f>IF(6600&gt;$C$9008,"",INDEX($B$9:$B$9008,MATCH(6600,$C$9:$C$9008,0)))</f>
        <v/>
      </c>
      <c r="B6608" s="9" t="str">
        <f>IFERROR(INDEX(Input!$L$20:$T$1019,INT((ROW()-9)/9)+1,MOD(ROW()-9,9)+1),"")</f>
        <v/>
      </c>
      <c r="C6608" s="9">
        <f t="shared" si="103"/>
        <v>0</v>
      </c>
    </row>
    <row r="6609" spans="1:3" x14ac:dyDescent="0.2">
      <c r="A6609" s="10" t="str">
        <f>IF(6601&gt;$C$9008,"",INDEX($B$9:$B$9008,MATCH(6601,$C$9:$C$9008,0)))</f>
        <v/>
      </c>
      <c r="B6609" s="9" t="str">
        <f>IFERROR(INDEX(Input!$L$20:$T$1019,INT((ROW()-9)/9)+1,MOD(ROW()-9,9)+1),"")</f>
        <v/>
      </c>
      <c r="C6609" s="9">
        <f t="shared" si="103"/>
        <v>0</v>
      </c>
    </row>
    <row r="6610" spans="1:3" x14ac:dyDescent="0.2">
      <c r="A6610" s="10" t="str">
        <f>IF(6602&gt;$C$9008,"",INDEX($B$9:$B$9008,MATCH(6602,$C$9:$C$9008,0)))</f>
        <v/>
      </c>
      <c r="B6610" s="9" t="str">
        <f>IFERROR(INDEX(Input!$L$20:$T$1019,INT((ROW()-9)/9)+1,MOD(ROW()-9,9)+1),"")</f>
        <v/>
      </c>
      <c r="C6610" s="9">
        <f t="shared" si="103"/>
        <v>0</v>
      </c>
    </row>
    <row r="6611" spans="1:3" x14ac:dyDescent="0.2">
      <c r="A6611" s="10" t="str">
        <f>IF(6603&gt;$C$9008,"",INDEX($B$9:$B$9008,MATCH(6603,$C$9:$C$9008,0)))</f>
        <v/>
      </c>
      <c r="B6611" s="9" t="str">
        <f>IFERROR(INDEX(Input!$L$20:$T$1019,INT((ROW()-9)/9)+1,MOD(ROW()-9,9)+1),"")</f>
        <v/>
      </c>
      <c r="C6611" s="9">
        <f t="shared" si="103"/>
        <v>0</v>
      </c>
    </row>
    <row r="6612" spans="1:3" x14ac:dyDescent="0.2">
      <c r="A6612" s="10" t="str">
        <f>IF(6604&gt;$C$9008,"",INDEX($B$9:$B$9008,MATCH(6604,$C$9:$C$9008,0)))</f>
        <v/>
      </c>
      <c r="B6612" s="9" t="str">
        <f>IFERROR(INDEX(Input!$L$20:$T$1019,INT((ROW()-9)/9)+1,MOD(ROW()-9,9)+1),"")</f>
        <v/>
      </c>
      <c r="C6612" s="9">
        <f t="shared" si="103"/>
        <v>0</v>
      </c>
    </row>
    <row r="6613" spans="1:3" x14ac:dyDescent="0.2">
      <c r="A6613" s="10" t="str">
        <f>IF(6605&gt;$C$9008,"",INDEX($B$9:$B$9008,MATCH(6605,$C$9:$C$9008,0)))</f>
        <v/>
      </c>
      <c r="B6613" s="9" t="str">
        <f>IFERROR(INDEX(Input!$L$20:$T$1019,INT((ROW()-9)/9)+1,MOD(ROW()-9,9)+1),"")</f>
        <v/>
      </c>
      <c r="C6613" s="9">
        <f t="shared" si="103"/>
        <v>0</v>
      </c>
    </row>
    <row r="6614" spans="1:3" x14ac:dyDescent="0.2">
      <c r="A6614" s="10" t="str">
        <f>IF(6606&gt;$C$9008,"",INDEX($B$9:$B$9008,MATCH(6606,$C$9:$C$9008,0)))</f>
        <v/>
      </c>
      <c r="B6614" s="9" t="str">
        <f>IFERROR(INDEX(Input!$L$20:$T$1019,INT((ROW()-9)/9)+1,MOD(ROW()-9,9)+1),"")</f>
        <v/>
      </c>
      <c r="C6614" s="9">
        <f t="shared" si="103"/>
        <v>0</v>
      </c>
    </row>
    <row r="6615" spans="1:3" x14ac:dyDescent="0.2">
      <c r="A6615" s="10" t="str">
        <f>IF(6607&gt;$C$9008,"",INDEX($B$9:$B$9008,MATCH(6607,$C$9:$C$9008,0)))</f>
        <v/>
      </c>
      <c r="B6615" s="9" t="str">
        <f>IFERROR(INDEX(Input!$L$20:$T$1019,INT((ROW()-9)/9)+1,MOD(ROW()-9,9)+1),"")</f>
        <v/>
      </c>
      <c r="C6615" s="9">
        <f t="shared" si="103"/>
        <v>0</v>
      </c>
    </row>
    <row r="6616" spans="1:3" x14ac:dyDescent="0.2">
      <c r="A6616" s="10" t="str">
        <f>IF(6608&gt;$C$9008,"",INDEX($B$9:$B$9008,MATCH(6608,$C$9:$C$9008,0)))</f>
        <v/>
      </c>
      <c r="B6616" s="9" t="str">
        <f>IFERROR(INDEX(Input!$L$20:$T$1019,INT((ROW()-9)/9)+1,MOD(ROW()-9,9)+1),"")</f>
        <v/>
      </c>
      <c r="C6616" s="9">
        <f t="shared" si="103"/>
        <v>0</v>
      </c>
    </row>
    <row r="6617" spans="1:3" x14ac:dyDescent="0.2">
      <c r="A6617" s="10" t="str">
        <f>IF(6609&gt;$C$9008,"",INDEX($B$9:$B$9008,MATCH(6609,$C$9:$C$9008,0)))</f>
        <v/>
      </c>
      <c r="B6617" s="9" t="str">
        <f>IFERROR(INDEX(Input!$L$20:$T$1019,INT((ROW()-9)/9)+1,MOD(ROW()-9,9)+1),"")</f>
        <v/>
      </c>
      <c r="C6617" s="9">
        <f t="shared" si="103"/>
        <v>0</v>
      </c>
    </row>
    <row r="6618" spans="1:3" x14ac:dyDescent="0.2">
      <c r="A6618" s="10" t="str">
        <f>IF(6610&gt;$C$9008,"",INDEX($B$9:$B$9008,MATCH(6610,$C$9:$C$9008,0)))</f>
        <v/>
      </c>
      <c r="B6618" s="9" t="str">
        <f>IFERROR(INDEX(Input!$L$20:$T$1019,INT((ROW()-9)/9)+1,MOD(ROW()-9,9)+1),"")</f>
        <v/>
      </c>
      <c r="C6618" s="9">
        <f t="shared" si="103"/>
        <v>0</v>
      </c>
    </row>
    <row r="6619" spans="1:3" x14ac:dyDescent="0.2">
      <c r="A6619" s="10" t="str">
        <f>IF(6611&gt;$C$9008,"",INDEX($B$9:$B$9008,MATCH(6611,$C$9:$C$9008,0)))</f>
        <v/>
      </c>
      <c r="B6619" s="9" t="str">
        <f>IFERROR(INDEX(Input!$L$20:$T$1019,INT((ROW()-9)/9)+1,MOD(ROW()-9,9)+1),"")</f>
        <v/>
      </c>
      <c r="C6619" s="9">
        <f t="shared" si="103"/>
        <v>0</v>
      </c>
    </row>
    <row r="6620" spans="1:3" x14ac:dyDescent="0.2">
      <c r="A6620" s="10" t="str">
        <f>IF(6612&gt;$C$9008,"",INDEX($B$9:$B$9008,MATCH(6612,$C$9:$C$9008,0)))</f>
        <v/>
      </c>
      <c r="B6620" s="9" t="str">
        <f>IFERROR(INDEX(Input!$L$20:$T$1019,INT((ROW()-9)/9)+1,MOD(ROW()-9,9)+1),"")</f>
        <v/>
      </c>
      <c r="C6620" s="9">
        <f t="shared" si="103"/>
        <v>0</v>
      </c>
    </row>
    <row r="6621" spans="1:3" x14ac:dyDescent="0.2">
      <c r="A6621" s="10" t="str">
        <f>IF(6613&gt;$C$9008,"",INDEX($B$9:$B$9008,MATCH(6613,$C$9:$C$9008,0)))</f>
        <v/>
      </c>
      <c r="B6621" s="9" t="str">
        <f>IFERROR(INDEX(Input!$L$20:$T$1019,INT((ROW()-9)/9)+1,MOD(ROW()-9,9)+1),"")</f>
        <v/>
      </c>
      <c r="C6621" s="9">
        <f t="shared" si="103"/>
        <v>0</v>
      </c>
    </row>
    <row r="6622" spans="1:3" x14ac:dyDescent="0.2">
      <c r="A6622" s="10" t="str">
        <f>IF(6614&gt;$C$9008,"",INDEX($B$9:$B$9008,MATCH(6614,$C$9:$C$9008,0)))</f>
        <v/>
      </c>
      <c r="B6622" s="9" t="str">
        <f>IFERROR(INDEX(Input!$L$20:$T$1019,INT((ROW()-9)/9)+1,MOD(ROW()-9,9)+1),"")</f>
        <v/>
      </c>
      <c r="C6622" s="9">
        <f t="shared" si="103"/>
        <v>0</v>
      </c>
    </row>
    <row r="6623" spans="1:3" x14ac:dyDescent="0.2">
      <c r="A6623" s="10" t="str">
        <f>IF(6615&gt;$C$9008,"",INDEX($B$9:$B$9008,MATCH(6615,$C$9:$C$9008,0)))</f>
        <v/>
      </c>
      <c r="B6623" s="9" t="str">
        <f>IFERROR(INDEX(Input!$L$20:$T$1019,INT((ROW()-9)/9)+1,MOD(ROW()-9,9)+1),"")</f>
        <v/>
      </c>
      <c r="C6623" s="9">
        <f t="shared" si="103"/>
        <v>0</v>
      </c>
    </row>
    <row r="6624" spans="1:3" x14ac:dyDescent="0.2">
      <c r="A6624" s="10" t="str">
        <f>IF(6616&gt;$C$9008,"",INDEX($B$9:$B$9008,MATCH(6616,$C$9:$C$9008,0)))</f>
        <v/>
      </c>
      <c r="B6624" s="9" t="str">
        <f>IFERROR(INDEX(Input!$L$20:$T$1019,INT((ROW()-9)/9)+1,MOD(ROW()-9,9)+1),"")</f>
        <v/>
      </c>
      <c r="C6624" s="9">
        <f t="shared" si="103"/>
        <v>0</v>
      </c>
    </row>
    <row r="6625" spans="1:3" x14ac:dyDescent="0.2">
      <c r="A6625" s="10" t="str">
        <f>IF(6617&gt;$C$9008,"",INDEX($B$9:$B$9008,MATCH(6617,$C$9:$C$9008,0)))</f>
        <v/>
      </c>
      <c r="B6625" s="9" t="str">
        <f>IFERROR(INDEX(Input!$L$20:$T$1019,INT((ROW()-9)/9)+1,MOD(ROW()-9,9)+1),"")</f>
        <v/>
      </c>
      <c r="C6625" s="9">
        <f t="shared" si="103"/>
        <v>0</v>
      </c>
    </row>
    <row r="6626" spans="1:3" x14ac:dyDescent="0.2">
      <c r="A6626" s="10" t="str">
        <f>IF(6618&gt;$C$9008,"",INDEX($B$9:$B$9008,MATCH(6618,$C$9:$C$9008,0)))</f>
        <v/>
      </c>
      <c r="B6626" s="9" t="str">
        <f>IFERROR(INDEX(Input!$L$20:$T$1019,INT((ROW()-9)/9)+1,MOD(ROW()-9,9)+1),"")</f>
        <v/>
      </c>
      <c r="C6626" s="9">
        <f t="shared" si="103"/>
        <v>0</v>
      </c>
    </row>
    <row r="6627" spans="1:3" x14ac:dyDescent="0.2">
      <c r="A6627" s="10" t="str">
        <f>IF(6619&gt;$C$9008,"",INDEX($B$9:$B$9008,MATCH(6619,$C$9:$C$9008,0)))</f>
        <v/>
      </c>
      <c r="B6627" s="9" t="str">
        <f>IFERROR(INDEX(Input!$L$20:$T$1019,INT((ROW()-9)/9)+1,MOD(ROW()-9,9)+1),"")</f>
        <v/>
      </c>
      <c r="C6627" s="9">
        <f t="shared" si="103"/>
        <v>0</v>
      </c>
    </row>
    <row r="6628" spans="1:3" x14ac:dyDescent="0.2">
      <c r="A6628" s="10" t="str">
        <f>IF(6620&gt;$C$9008,"",INDEX($B$9:$B$9008,MATCH(6620,$C$9:$C$9008,0)))</f>
        <v/>
      </c>
      <c r="B6628" s="9" t="str">
        <f>IFERROR(INDEX(Input!$L$20:$T$1019,INT((ROW()-9)/9)+1,MOD(ROW()-9,9)+1),"")</f>
        <v/>
      </c>
      <c r="C6628" s="9">
        <f t="shared" si="103"/>
        <v>0</v>
      </c>
    </row>
    <row r="6629" spans="1:3" x14ac:dyDescent="0.2">
      <c r="A6629" s="10" t="str">
        <f>IF(6621&gt;$C$9008,"",INDEX($B$9:$B$9008,MATCH(6621,$C$9:$C$9008,0)))</f>
        <v/>
      </c>
      <c r="B6629" s="9" t="str">
        <f>IFERROR(INDEX(Input!$L$20:$T$1019,INT((ROW()-9)/9)+1,MOD(ROW()-9,9)+1),"")</f>
        <v/>
      </c>
      <c r="C6629" s="9">
        <f t="shared" si="103"/>
        <v>0</v>
      </c>
    </row>
    <row r="6630" spans="1:3" x14ac:dyDescent="0.2">
      <c r="A6630" s="10" t="str">
        <f>IF(6622&gt;$C$9008,"",INDEX($B$9:$B$9008,MATCH(6622,$C$9:$C$9008,0)))</f>
        <v/>
      </c>
      <c r="B6630" s="9" t="str">
        <f>IFERROR(INDEX(Input!$L$20:$T$1019,INT((ROW()-9)/9)+1,MOD(ROW()-9,9)+1),"")</f>
        <v/>
      </c>
      <c r="C6630" s="9">
        <f t="shared" si="103"/>
        <v>0</v>
      </c>
    </row>
    <row r="6631" spans="1:3" x14ac:dyDescent="0.2">
      <c r="A6631" s="10" t="str">
        <f>IF(6623&gt;$C$9008,"",INDEX($B$9:$B$9008,MATCH(6623,$C$9:$C$9008,0)))</f>
        <v/>
      </c>
      <c r="B6631" s="9" t="str">
        <f>IFERROR(INDEX(Input!$L$20:$T$1019,INT((ROW()-9)/9)+1,MOD(ROW()-9,9)+1),"")</f>
        <v/>
      </c>
      <c r="C6631" s="9">
        <f t="shared" si="103"/>
        <v>0</v>
      </c>
    </row>
    <row r="6632" spans="1:3" x14ac:dyDescent="0.2">
      <c r="A6632" s="10" t="str">
        <f>IF(6624&gt;$C$9008,"",INDEX($B$9:$B$9008,MATCH(6624,$C$9:$C$9008,0)))</f>
        <v/>
      </c>
      <c r="B6632" s="9" t="str">
        <f>IFERROR(INDEX(Input!$L$20:$T$1019,INT((ROW()-9)/9)+1,MOD(ROW()-9,9)+1),"")</f>
        <v/>
      </c>
      <c r="C6632" s="9">
        <f t="shared" si="103"/>
        <v>0</v>
      </c>
    </row>
    <row r="6633" spans="1:3" x14ac:dyDescent="0.2">
      <c r="A6633" s="10" t="str">
        <f>IF(6625&gt;$C$9008,"",INDEX($B$9:$B$9008,MATCH(6625,$C$9:$C$9008,0)))</f>
        <v/>
      </c>
      <c r="B6633" s="9" t="str">
        <f>IFERROR(INDEX(Input!$L$20:$T$1019,INT((ROW()-9)/9)+1,MOD(ROW()-9,9)+1),"")</f>
        <v/>
      </c>
      <c r="C6633" s="9">
        <f t="shared" si="103"/>
        <v>0</v>
      </c>
    </row>
    <row r="6634" spans="1:3" x14ac:dyDescent="0.2">
      <c r="A6634" s="10" t="str">
        <f>IF(6626&gt;$C$9008,"",INDEX($B$9:$B$9008,MATCH(6626,$C$9:$C$9008,0)))</f>
        <v/>
      </c>
      <c r="B6634" s="9" t="str">
        <f>IFERROR(INDEX(Input!$L$20:$T$1019,INT((ROW()-9)/9)+1,MOD(ROW()-9,9)+1),"")</f>
        <v/>
      </c>
      <c r="C6634" s="9">
        <f t="shared" si="103"/>
        <v>0</v>
      </c>
    </row>
    <row r="6635" spans="1:3" x14ac:dyDescent="0.2">
      <c r="A6635" s="10" t="str">
        <f>IF(6627&gt;$C$9008,"",INDEX($B$9:$B$9008,MATCH(6627,$C$9:$C$9008,0)))</f>
        <v/>
      </c>
      <c r="B6635" s="9" t="str">
        <f>IFERROR(INDEX(Input!$L$20:$T$1019,INT((ROW()-9)/9)+1,MOD(ROW()-9,9)+1),"")</f>
        <v/>
      </c>
      <c r="C6635" s="9">
        <f t="shared" si="103"/>
        <v>0</v>
      </c>
    </row>
    <row r="6636" spans="1:3" x14ac:dyDescent="0.2">
      <c r="A6636" s="10" t="str">
        <f>IF(6628&gt;$C$9008,"",INDEX($B$9:$B$9008,MATCH(6628,$C$9:$C$9008,0)))</f>
        <v/>
      </c>
      <c r="B6636" s="9" t="str">
        <f>IFERROR(INDEX(Input!$L$20:$T$1019,INT((ROW()-9)/9)+1,MOD(ROW()-9,9)+1),"")</f>
        <v/>
      </c>
      <c r="C6636" s="9">
        <f t="shared" si="103"/>
        <v>0</v>
      </c>
    </row>
    <row r="6637" spans="1:3" x14ac:dyDescent="0.2">
      <c r="A6637" s="10" t="str">
        <f>IF(6629&gt;$C$9008,"",INDEX($B$9:$B$9008,MATCH(6629,$C$9:$C$9008,0)))</f>
        <v/>
      </c>
      <c r="B6637" s="9" t="str">
        <f>IFERROR(INDEX(Input!$L$20:$T$1019,INT((ROW()-9)/9)+1,MOD(ROW()-9,9)+1),"")</f>
        <v/>
      </c>
      <c r="C6637" s="9">
        <f t="shared" si="103"/>
        <v>0</v>
      </c>
    </row>
    <row r="6638" spans="1:3" x14ac:dyDescent="0.2">
      <c r="A6638" s="10" t="str">
        <f>IF(6630&gt;$C$9008,"",INDEX($B$9:$B$9008,MATCH(6630,$C$9:$C$9008,0)))</f>
        <v/>
      </c>
      <c r="B6638" s="9" t="str">
        <f>IFERROR(INDEX(Input!$L$20:$T$1019,INT((ROW()-9)/9)+1,MOD(ROW()-9,9)+1),"")</f>
        <v/>
      </c>
      <c r="C6638" s="9">
        <f t="shared" si="103"/>
        <v>0</v>
      </c>
    </row>
    <row r="6639" spans="1:3" x14ac:dyDescent="0.2">
      <c r="A6639" s="10" t="str">
        <f>IF(6631&gt;$C$9008,"",INDEX($B$9:$B$9008,MATCH(6631,$C$9:$C$9008,0)))</f>
        <v/>
      </c>
      <c r="B6639" s="9" t="str">
        <f>IFERROR(INDEX(Input!$L$20:$T$1019,INT((ROW()-9)/9)+1,MOD(ROW()-9,9)+1),"")</f>
        <v/>
      </c>
      <c r="C6639" s="9">
        <f t="shared" si="103"/>
        <v>0</v>
      </c>
    </row>
    <row r="6640" spans="1:3" x14ac:dyDescent="0.2">
      <c r="A6640" s="10" t="str">
        <f>IF(6632&gt;$C$9008,"",INDEX($B$9:$B$9008,MATCH(6632,$C$9:$C$9008,0)))</f>
        <v/>
      </c>
      <c r="B6640" s="9" t="str">
        <f>IFERROR(INDEX(Input!$L$20:$T$1019,INT((ROW()-9)/9)+1,MOD(ROW()-9,9)+1),"")</f>
        <v/>
      </c>
      <c r="C6640" s="9">
        <f t="shared" si="103"/>
        <v>0</v>
      </c>
    </row>
    <row r="6641" spans="1:3" x14ac:dyDescent="0.2">
      <c r="A6641" s="10" t="str">
        <f>IF(6633&gt;$C$9008,"",INDEX($B$9:$B$9008,MATCH(6633,$C$9:$C$9008,0)))</f>
        <v/>
      </c>
      <c r="B6641" s="9" t="str">
        <f>IFERROR(INDEX(Input!$L$20:$T$1019,INT((ROW()-9)/9)+1,MOD(ROW()-9,9)+1),"")</f>
        <v/>
      </c>
      <c r="C6641" s="9">
        <f t="shared" si="103"/>
        <v>0</v>
      </c>
    </row>
    <row r="6642" spans="1:3" x14ac:dyDescent="0.2">
      <c r="A6642" s="10" t="str">
        <f>IF(6634&gt;$C$9008,"",INDEX($B$9:$B$9008,MATCH(6634,$C$9:$C$9008,0)))</f>
        <v/>
      </c>
      <c r="B6642" s="9" t="str">
        <f>IFERROR(INDEX(Input!$L$20:$T$1019,INT((ROW()-9)/9)+1,MOD(ROW()-9,9)+1),"")</f>
        <v/>
      </c>
      <c r="C6642" s="9">
        <f t="shared" si="103"/>
        <v>0</v>
      </c>
    </row>
    <row r="6643" spans="1:3" x14ac:dyDescent="0.2">
      <c r="A6643" s="10" t="str">
        <f>IF(6635&gt;$C$9008,"",INDEX($B$9:$B$9008,MATCH(6635,$C$9:$C$9008,0)))</f>
        <v/>
      </c>
      <c r="B6643" s="9" t="str">
        <f>IFERROR(INDEX(Input!$L$20:$T$1019,INT((ROW()-9)/9)+1,MOD(ROW()-9,9)+1),"")</f>
        <v/>
      </c>
      <c r="C6643" s="9">
        <f t="shared" si="103"/>
        <v>0</v>
      </c>
    </row>
    <row r="6644" spans="1:3" x14ac:dyDescent="0.2">
      <c r="A6644" s="10" t="str">
        <f>IF(6636&gt;$C$9008,"",INDEX($B$9:$B$9008,MATCH(6636,$C$9:$C$9008,0)))</f>
        <v/>
      </c>
      <c r="B6644" s="9" t="str">
        <f>IFERROR(INDEX(Input!$L$20:$T$1019,INT((ROW()-9)/9)+1,MOD(ROW()-9,9)+1),"")</f>
        <v/>
      </c>
      <c r="C6644" s="9">
        <f t="shared" si="103"/>
        <v>0</v>
      </c>
    </row>
    <row r="6645" spans="1:3" x14ac:dyDescent="0.2">
      <c r="A6645" s="10" t="str">
        <f>IF(6637&gt;$C$9008,"",INDEX($B$9:$B$9008,MATCH(6637,$C$9:$C$9008,0)))</f>
        <v/>
      </c>
      <c r="B6645" s="9" t="str">
        <f>IFERROR(INDEX(Input!$L$20:$T$1019,INT((ROW()-9)/9)+1,MOD(ROW()-9,9)+1),"")</f>
        <v/>
      </c>
      <c r="C6645" s="9">
        <f t="shared" si="103"/>
        <v>0</v>
      </c>
    </row>
    <row r="6646" spans="1:3" x14ac:dyDescent="0.2">
      <c r="A6646" s="10" t="str">
        <f>IF(6638&gt;$C$9008,"",INDEX($B$9:$B$9008,MATCH(6638,$C$9:$C$9008,0)))</f>
        <v/>
      </c>
      <c r="B6646" s="9" t="str">
        <f>IFERROR(INDEX(Input!$L$20:$T$1019,INT((ROW()-9)/9)+1,MOD(ROW()-9,9)+1),"")</f>
        <v/>
      </c>
      <c r="C6646" s="9">
        <f t="shared" si="103"/>
        <v>0</v>
      </c>
    </row>
    <row r="6647" spans="1:3" x14ac:dyDescent="0.2">
      <c r="A6647" s="10" t="str">
        <f>IF(6639&gt;$C$9008,"",INDEX($B$9:$B$9008,MATCH(6639,$C$9:$C$9008,0)))</f>
        <v/>
      </c>
      <c r="B6647" s="9" t="str">
        <f>IFERROR(INDEX(Input!$L$20:$T$1019,INT((ROW()-9)/9)+1,MOD(ROW()-9,9)+1),"")</f>
        <v/>
      </c>
      <c r="C6647" s="9">
        <f t="shared" si="103"/>
        <v>0</v>
      </c>
    </row>
    <row r="6648" spans="1:3" x14ac:dyDescent="0.2">
      <c r="A6648" s="10" t="str">
        <f>IF(6640&gt;$C$9008,"",INDEX($B$9:$B$9008,MATCH(6640,$C$9:$C$9008,0)))</f>
        <v/>
      </c>
      <c r="B6648" s="9" t="str">
        <f>IFERROR(INDEX(Input!$L$20:$T$1019,INT((ROW()-9)/9)+1,MOD(ROW()-9,9)+1),"")</f>
        <v/>
      </c>
      <c r="C6648" s="9">
        <f t="shared" si="103"/>
        <v>0</v>
      </c>
    </row>
    <row r="6649" spans="1:3" x14ac:dyDescent="0.2">
      <c r="A6649" s="10" t="str">
        <f>IF(6641&gt;$C$9008,"",INDEX($B$9:$B$9008,MATCH(6641,$C$9:$C$9008,0)))</f>
        <v/>
      </c>
      <c r="B6649" s="9" t="str">
        <f>IFERROR(INDEX(Input!$L$20:$T$1019,INT((ROW()-9)/9)+1,MOD(ROW()-9,9)+1),"")</f>
        <v/>
      </c>
      <c r="C6649" s="9">
        <f t="shared" si="103"/>
        <v>0</v>
      </c>
    </row>
    <row r="6650" spans="1:3" x14ac:dyDescent="0.2">
      <c r="A6650" s="10" t="str">
        <f>IF(6642&gt;$C$9008,"",INDEX($B$9:$B$9008,MATCH(6642,$C$9:$C$9008,0)))</f>
        <v/>
      </c>
      <c r="B6650" s="9" t="str">
        <f>IFERROR(INDEX(Input!$L$20:$T$1019,INT((ROW()-9)/9)+1,MOD(ROW()-9,9)+1),"")</f>
        <v/>
      </c>
      <c r="C6650" s="9">
        <f t="shared" si="103"/>
        <v>0</v>
      </c>
    </row>
    <row r="6651" spans="1:3" x14ac:dyDescent="0.2">
      <c r="A6651" s="10" t="str">
        <f>IF(6643&gt;$C$9008,"",INDEX($B$9:$B$9008,MATCH(6643,$C$9:$C$9008,0)))</f>
        <v/>
      </c>
      <c r="B6651" s="9" t="str">
        <f>IFERROR(INDEX(Input!$L$20:$T$1019,INT((ROW()-9)/9)+1,MOD(ROW()-9,9)+1),"")</f>
        <v/>
      </c>
      <c r="C6651" s="9">
        <f t="shared" si="103"/>
        <v>0</v>
      </c>
    </row>
    <row r="6652" spans="1:3" x14ac:dyDescent="0.2">
      <c r="A6652" s="10" t="str">
        <f>IF(6644&gt;$C$9008,"",INDEX($B$9:$B$9008,MATCH(6644,$C$9:$C$9008,0)))</f>
        <v/>
      </c>
      <c r="B6652" s="9" t="str">
        <f>IFERROR(INDEX(Input!$L$20:$T$1019,INT((ROW()-9)/9)+1,MOD(ROW()-9,9)+1),"")</f>
        <v/>
      </c>
      <c r="C6652" s="9">
        <f t="shared" si="103"/>
        <v>0</v>
      </c>
    </row>
    <row r="6653" spans="1:3" x14ac:dyDescent="0.2">
      <c r="A6653" s="10" t="str">
        <f>IF(6645&gt;$C$9008,"",INDEX($B$9:$B$9008,MATCH(6645,$C$9:$C$9008,0)))</f>
        <v/>
      </c>
      <c r="B6653" s="9" t="str">
        <f>IFERROR(INDEX(Input!$L$20:$T$1019,INT((ROW()-9)/9)+1,MOD(ROW()-9,9)+1),"")</f>
        <v/>
      </c>
      <c r="C6653" s="9">
        <f t="shared" si="103"/>
        <v>0</v>
      </c>
    </row>
    <row r="6654" spans="1:3" x14ac:dyDescent="0.2">
      <c r="A6654" s="10" t="str">
        <f>IF(6646&gt;$C$9008,"",INDEX($B$9:$B$9008,MATCH(6646,$C$9:$C$9008,0)))</f>
        <v/>
      </c>
      <c r="B6654" s="9" t="str">
        <f>IFERROR(INDEX(Input!$L$20:$T$1019,INT((ROW()-9)/9)+1,MOD(ROW()-9,9)+1),"")</f>
        <v/>
      </c>
      <c r="C6654" s="9">
        <f t="shared" si="103"/>
        <v>0</v>
      </c>
    </row>
    <row r="6655" spans="1:3" x14ac:dyDescent="0.2">
      <c r="A6655" s="10" t="str">
        <f>IF(6647&gt;$C$9008,"",INDEX($B$9:$B$9008,MATCH(6647,$C$9:$C$9008,0)))</f>
        <v/>
      </c>
      <c r="B6655" s="9" t="str">
        <f>IFERROR(INDEX(Input!$L$20:$T$1019,INT((ROW()-9)/9)+1,MOD(ROW()-9,9)+1),"")</f>
        <v/>
      </c>
      <c r="C6655" s="9">
        <f t="shared" si="103"/>
        <v>0</v>
      </c>
    </row>
    <row r="6656" spans="1:3" x14ac:dyDescent="0.2">
      <c r="A6656" s="10" t="str">
        <f>IF(6648&gt;$C$9008,"",INDEX($B$9:$B$9008,MATCH(6648,$C$9:$C$9008,0)))</f>
        <v/>
      </c>
      <c r="B6656" s="9" t="str">
        <f>IFERROR(INDEX(Input!$L$20:$T$1019,INT((ROW()-9)/9)+1,MOD(ROW()-9,9)+1),"")</f>
        <v/>
      </c>
      <c r="C6656" s="9">
        <f t="shared" si="103"/>
        <v>0</v>
      </c>
    </row>
    <row r="6657" spans="1:3" x14ac:dyDescent="0.2">
      <c r="A6657" s="10" t="str">
        <f>IF(6649&gt;$C$9008,"",INDEX($B$9:$B$9008,MATCH(6649,$C$9:$C$9008,0)))</f>
        <v/>
      </c>
      <c r="B6657" s="9" t="str">
        <f>IFERROR(INDEX(Input!$L$20:$T$1019,INT((ROW()-9)/9)+1,MOD(ROW()-9,9)+1),"")</f>
        <v/>
      </c>
      <c r="C6657" s="9">
        <f t="shared" si="103"/>
        <v>0</v>
      </c>
    </row>
    <row r="6658" spans="1:3" x14ac:dyDescent="0.2">
      <c r="A6658" s="10" t="str">
        <f>IF(6650&gt;$C$9008,"",INDEX($B$9:$B$9008,MATCH(6650,$C$9:$C$9008,0)))</f>
        <v/>
      </c>
      <c r="B6658" s="9" t="str">
        <f>IFERROR(INDEX(Input!$L$20:$T$1019,INT((ROW()-9)/9)+1,MOD(ROW()-9,9)+1),"")</f>
        <v/>
      </c>
      <c r="C6658" s="9">
        <f t="shared" si="103"/>
        <v>0</v>
      </c>
    </row>
    <row r="6659" spans="1:3" x14ac:dyDescent="0.2">
      <c r="A6659" s="10" t="str">
        <f>IF(6651&gt;$C$9008,"",INDEX($B$9:$B$9008,MATCH(6651,$C$9:$C$9008,0)))</f>
        <v/>
      </c>
      <c r="B6659" s="9" t="str">
        <f>IFERROR(INDEX(Input!$L$20:$T$1019,INT((ROW()-9)/9)+1,MOD(ROW()-9,9)+1),"")</f>
        <v/>
      </c>
      <c r="C6659" s="9">
        <f t="shared" si="103"/>
        <v>0</v>
      </c>
    </row>
    <row r="6660" spans="1:3" x14ac:dyDescent="0.2">
      <c r="A6660" s="10" t="str">
        <f>IF(6652&gt;$C$9008,"",INDEX($B$9:$B$9008,MATCH(6652,$C$9:$C$9008,0)))</f>
        <v/>
      </c>
      <c r="B6660" s="9" t="str">
        <f>IFERROR(INDEX(Input!$L$20:$T$1019,INT((ROW()-9)/9)+1,MOD(ROW()-9,9)+1),"")</f>
        <v/>
      </c>
      <c r="C6660" s="9">
        <f t="shared" si="103"/>
        <v>0</v>
      </c>
    </row>
    <row r="6661" spans="1:3" x14ac:dyDescent="0.2">
      <c r="A6661" s="10" t="str">
        <f>IF(6653&gt;$C$9008,"",INDEX($B$9:$B$9008,MATCH(6653,$C$9:$C$9008,0)))</f>
        <v/>
      </c>
      <c r="B6661" s="9" t="str">
        <f>IFERROR(INDEX(Input!$L$20:$T$1019,INT((ROW()-9)/9)+1,MOD(ROW()-9,9)+1),"")</f>
        <v/>
      </c>
      <c r="C6661" s="9">
        <f t="shared" si="103"/>
        <v>0</v>
      </c>
    </row>
    <row r="6662" spans="1:3" x14ac:dyDescent="0.2">
      <c r="A6662" s="10" t="str">
        <f>IF(6654&gt;$C$9008,"",INDEX($B$9:$B$9008,MATCH(6654,$C$9:$C$9008,0)))</f>
        <v/>
      </c>
      <c r="B6662" s="9" t="str">
        <f>IFERROR(INDEX(Input!$L$20:$T$1019,INT((ROW()-9)/9)+1,MOD(ROW()-9,9)+1),"")</f>
        <v/>
      </c>
      <c r="C6662" s="9">
        <f t="shared" si="103"/>
        <v>0</v>
      </c>
    </row>
    <row r="6663" spans="1:3" x14ac:dyDescent="0.2">
      <c r="A6663" s="10" t="str">
        <f>IF(6655&gt;$C$9008,"",INDEX($B$9:$B$9008,MATCH(6655,$C$9:$C$9008,0)))</f>
        <v/>
      </c>
      <c r="B6663" s="9" t="str">
        <f>IFERROR(INDEX(Input!$L$20:$T$1019,INT((ROW()-9)/9)+1,MOD(ROW()-9,9)+1),"")</f>
        <v/>
      </c>
      <c r="C6663" s="9">
        <f t="shared" si="103"/>
        <v>0</v>
      </c>
    </row>
    <row r="6664" spans="1:3" x14ac:dyDescent="0.2">
      <c r="A6664" s="10" t="str">
        <f>IF(6656&gt;$C$9008,"",INDEX($B$9:$B$9008,MATCH(6656,$C$9:$C$9008,0)))</f>
        <v/>
      </c>
      <c r="B6664" s="9" t="str">
        <f>IFERROR(INDEX(Input!$L$20:$T$1019,INT((ROW()-9)/9)+1,MOD(ROW()-9,9)+1),"")</f>
        <v/>
      </c>
      <c r="C6664" s="9">
        <f t="shared" si="103"/>
        <v>0</v>
      </c>
    </row>
    <row r="6665" spans="1:3" x14ac:dyDescent="0.2">
      <c r="A6665" s="10" t="str">
        <f>IF(6657&gt;$C$9008,"",INDEX($B$9:$B$9008,MATCH(6657,$C$9:$C$9008,0)))</f>
        <v/>
      </c>
      <c r="B6665" s="9" t="str">
        <f>IFERROR(INDEX(Input!$L$20:$T$1019,INT((ROW()-9)/9)+1,MOD(ROW()-9,9)+1),"")</f>
        <v/>
      </c>
      <c r="C6665" s="9">
        <f t="shared" ref="C6665:C6728" si="104">$C6664+IF($B6665&lt;&gt;"",1,0)</f>
        <v>0</v>
      </c>
    </row>
    <row r="6666" spans="1:3" x14ac:dyDescent="0.2">
      <c r="A6666" s="10" t="str">
        <f>IF(6658&gt;$C$9008,"",INDEX($B$9:$B$9008,MATCH(6658,$C$9:$C$9008,0)))</f>
        <v/>
      </c>
      <c r="B6666" s="9" t="str">
        <f>IFERROR(INDEX(Input!$L$20:$T$1019,INT((ROW()-9)/9)+1,MOD(ROW()-9,9)+1),"")</f>
        <v/>
      </c>
      <c r="C6666" s="9">
        <f t="shared" si="104"/>
        <v>0</v>
      </c>
    </row>
    <row r="6667" spans="1:3" x14ac:dyDescent="0.2">
      <c r="A6667" s="10" t="str">
        <f>IF(6659&gt;$C$9008,"",INDEX($B$9:$B$9008,MATCH(6659,$C$9:$C$9008,0)))</f>
        <v/>
      </c>
      <c r="B6667" s="9" t="str">
        <f>IFERROR(INDEX(Input!$L$20:$T$1019,INT((ROW()-9)/9)+1,MOD(ROW()-9,9)+1),"")</f>
        <v/>
      </c>
      <c r="C6667" s="9">
        <f t="shared" si="104"/>
        <v>0</v>
      </c>
    </row>
    <row r="6668" spans="1:3" x14ac:dyDescent="0.2">
      <c r="A6668" s="10" t="str">
        <f>IF(6660&gt;$C$9008,"",INDEX($B$9:$B$9008,MATCH(6660,$C$9:$C$9008,0)))</f>
        <v/>
      </c>
      <c r="B6668" s="9" t="str">
        <f>IFERROR(INDEX(Input!$L$20:$T$1019,INT((ROW()-9)/9)+1,MOD(ROW()-9,9)+1),"")</f>
        <v/>
      </c>
      <c r="C6668" s="9">
        <f t="shared" si="104"/>
        <v>0</v>
      </c>
    </row>
    <row r="6669" spans="1:3" x14ac:dyDescent="0.2">
      <c r="A6669" s="10" t="str">
        <f>IF(6661&gt;$C$9008,"",INDEX($B$9:$B$9008,MATCH(6661,$C$9:$C$9008,0)))</f>
        <v/>
      </c>
      <c r="B6669" s="9" t="str">
        <f>IFERROR(INDEX(Input!$L$20:$T$1019,INT((ROW()-9)/9)+1,MOD(ROW()-9,9)+1),"")</f>
        <v/>
      </c>
      <c r="C6669" s="9">
        <f t="shared" si="104"/>
        <v>0</v>
      </c>
    </row>
    <row r="6670" spans="1:3" x14ac:dyDescent="0.2">
      <c r="A6670" s="10" t="str">
        <f>IF(6662&gt;$C$9008,"",INDEX($B$9:$B$9008,MATCH(6662,$C$9:$C$9008,0)))</f>
        <v/>
      </c>
      <c r="B6670" s="9" t="str">
        <f>IFERROR(INDEX(Input!$L$20:$T$1019,INT((ROW()-9)/9)+1,MOD(ROW()-9,9)+1),"")</f>
        <v/>
      </c>
      <c r="C6670" s="9">
        <f t="shared" si="104"/>
        <v>0</v>
      </c>
    </row>
    <row r="6671" spans="1:3" x14ac:dyDescent="0.2">
      <c r="A6671" s="10" t="str">
        <f>IF(6663&gt;$C$9008,"",INDEX($B$9:$B$9008,MATCH(6663,$C$9:$C$9008,0)))</f>
        <v/>
      </c>
      <c r="B6671" s="9" t="str">
        <f>IFERROR(INDEX(Input!$L$20:$T$1019,INT((ROW()-9)/9)+1,MOD(ROW()-9,9)+1),"")</f>
        <v/>
      </c>
      <c r="C6671" s="9">
        <f t="shared" si="104"/>
        <v>0</v>
      </c>
    </row>
    <row r="6672" spans="1:3" x14ac:dyDescent="0.2">
      <c r="A6672" s="10" t="str">
        <f>IF(6664&gt;$C$9008,"",INDEX($B$9:$B$9008,MATCH(6664,$C$9:$C$9008,0)))</f>
        <v/>
      </c>
      <c r="B6672" s="9" t="str">
        <f>IFERROR(INDEX(Input!$L$20:$T$1019,INT((ROW()-9)/9)+1,MOD(ROW()-9,9)+1),"")</f>
        <v/>
      </c>
      <c r="C6672" s="9">
        <f t="shared" si="104"/>
        <v>0</v>
      </c>
    </row>
    <row r="6673" spans="1:3" x14ac:dyDescent="0.2">
      <c r="A6673" s="10" t="str">
        <f>IF(6665&gt;$C$9008,"",INDEX($B$9:$B$9008,MATCH(6665,$C$9:$C$9008,0)))</f>
        <v/>
      </c>
      <c r="B6673" s="9" t="str">
        <f>IFERROR(INDEX(Input!$L$20:$T$1019,INT((ROW()-9)/9)+1,MOD(ROW()-9,9)+1),"")</f>
        <v/>
      </c>
      <c r="C6673" s="9">
        <f t="shared" si="104"/>
        <v>0</v>
      </c>
    </row>
    <row r="6674" spans="1:3" x14ac:dyDescent="0.2">
      <c r="A6674" s="10" t="str">
        <f>IF(6666&gt;$C$9008,"",INDEX($B$9:$B$9008,MATCH(6666,$C$9:$C$9008,0)))</f>
        <v/>
      </c>
      <c r="B6674" s="9" t="str">
        <f>IFERROR(INDEX(Input!$L$20:$T$1019,INT((ROW()-9)/9)+1,MOD(ROW()-9,9)+1),"")</f>
        <v/>
      </c>
      <c r="C6674" s="9">
        <f t="shared" si="104"/>
        <v>0</v>
      </c>
    </row>
    <row r="6675" spans="1:3" x14ac:dyDescent="0.2">
      <c r="A6675" s="10" t="str">
        <f>IF(6667&gt;$C$9008,"",INDEX($B$9:$B$9008,MATCH(6667,$C$9:$C$9008,0)))</f>
        <v/>
      </c>
      <c r="B6675" s="9" t="str">
        <f>IFERROR(INDEX(Input!$L$20:$T$1019,INT((ROW()-9)/9)+1,MOD(ROW()-9,9)+1),"")</f>
        <v/>
      </c>
      <c r="C6675" s="9">
        <f t="shared" si="104"/>
        <v>0</v>
      </c>
    </row>
    <row r="6676" spans="1:3" x14ac:dyDescent="0.2">
      <c r="A6676" s="10" t="str">
        <f>IF(6668&gt;$C$9008,"",INDEX($B$9:$B$9008,MATCH(6668,$C$9:$C$9008,0)))</f>
        <v/>
      </c>
      <c r="B6676" s="9" t="str">
        <f>IFERROR(INDEX(Input!$L$20:$T$1019,INT((ROW()-9)/9)+1,MOD(ROW()-9,9)+1),"")</f>
        <v/>
      </c>
      <c r="C6676" s="9">
        <f t="shared" si="104"/>
        <v>0</v>
      </c>
    </row>
    <row r="6677" spans="1:3" x14ac:dyDescent="0.2">
      <c r="A6677" s="10" t="str">
        <f>IF(6669&gt;$C$9008,"",INDEX($B$9:$B$9008,MATCH(6669,$C$9:$C$9008,0)))</f>
        <v/>
      </c>
      <c r="B6677" s="9" t="str">
        <f>IFERROR(INDEX(Input!$L$20:$T$1019,INT((ROW()-9)/9)+1,MOD(ROW()-9,9)+1),"")</f>
        <v/>
      </c>
      <c r="C6677" s="9">
        <f t="shared" si="104"/>
        <v>0</v>
      </c>
    </row>
    <row r="6678" spans="1:3" x14ac:dyDescent="0.2">
      <c r="A6678" s="10" t="str">
        <f>IF(6670&gt;$C$9008,"",INDEX($B$9:$B$9008,MATCH(6670,$C$9:$C$9008,0)))</f>
        <v/>
      </c>
      <c r="B6678" s="9" t="str">
        <f>IFERROR(INDEX(Input!$L$20:$T$1019,INT((ROW()-9)/9)+1,MOD(ROW()-9,9)+1),"")</f>
        <v/>
      </c>
      <c r="C6678" s="9">
        <f t="shared" si="104"/>
        <v>0</v>
      </c>
    </row>
    <row r="6679" spans="1:3" x14ac:dyDescent="0.2">
      <c r="A6679" s="10" t="str">
        <f>IF(6671&gt;$C$9008,"",INDEX($B$9:$B$9008,MATCH(6671,$C$9:$C$9008,0)))</f>
        <v/>
      </c>
      <c r="B6679" s="9" t="str">
        <f>IFERROR(INDEX(Input!$L$20:$T$1019,INT((ROW()-9)/9)+1,MOD(ROW()-9,9)+1),"")</f>
        <v/>
      </c>
      <c r="C6679" s="9">
        <f t="shared" si="104"/>
        <v>0</v>
      </c>
    </row>
    <row r="6680" spans="1:3" x14ac:dyDescent="0.2">
      <c r="A6680" s="10" t="str">
        <f>IF(6672&gt;$C$9008,"",INDEX($B$9:$B$9008,MATCH(6672,$C$9:$C$9008,0)))</f>
        <v/>
      </c>
      <c r="B6680" s="9" t="str">
        <f>IFERROR(INDEX(Input!$L$20:$T$1019,INT((ROW()-9)/9)+1,MOD(ROW()-9,9)+1),"")</f>
        <v/>
      </c>
      <c r="C6680" s="9">
        <f t="shared" si="104"/>
        <v>0</v>
      </c>
    </row>
    <row r="6681" spans="1:3" x14ac:dyDescent="0.2">
      <c r="A6681" s="10" t="str">
        <f>IF(6673&gt;$C$9008,"",INDEX($B$9:$B$9008,MATCH(6673,$C$9:$C$9008,0)))</f>
        <v/>
      </c>
      <c r="B6681" s="9" t="str">
        <f>IFERROR(INDEX(Input!$L$20:$T$1019,INT((ROW()-9)/9)+1,MOD(ROW()-9,9)+1),"")</f>
        <v/>
      </c>
      <c r="C6681" s="9">
        <f t="shared" si="104"/>
        <v>0</v>
      </c>
    </row>
    <row r="6682" spans="1:3" x14ac:dyDescent="0.2">
      <c r="A6682" s="10" t="str">
        <f>IF(6674&gt;$C$9008,"",INDEX($B$9:$B$9008,MATCH(6674,$C$9:$C$9008,0)))</f>
        <v/>
      </c>
      <c r="B6682" s="9" t="str">
        <f>IFERROR(INDEX(Input!$L$20:$T$1019,INT((ROW()-9)/9)+1,MOD(ROW()-9,9)+1),"")</f>
        <v/>
      </c>
      <c r="C6682" s="9">
        <f t="shared" si="104"/>
        <v>0</v>
      </c>
    </row>
    <row r="6683" spans="1:3" x14ac:dyDescent="0.2">
      <c r="A6683" s="10" t="str">
        <f>IF(6675&gt;$C$9008,"",INDEX($B$9:$B$9008,MATCH(6675,$C$9:$C$9008,0)))</f>
        <v/>
      </c>
      <c r="B6683" s="9" t="str">
        <f>IFERROR(INDEX(Input!$L$20:$T$1019,INT((ROW()-9)/9)+1,MOD(ROW()-9,9)+1),"")</f>
        <v/>
      </c>
      <c r="C6683" s="9">
        <f t="shared" si="104"/>
        <v>0</v>
      </c>
    </row>
    <row r="6684" spans="1:3" x14ac:dyDescent="0.2">
      <c r="A6684" s="10" t="str">
        <f>IF(6676&gt;$C$9008,"",INDEX($B$9:$B$9008,MATCH(6676,$C$9:$C$9008,0)))</f>
        <v/>
      </c>
      <c r="B6684" s="9" t="str">
        <f>IFERROR(INDEX(Input!$L$20:$T$1019,INT((ROW()-9)/9)+1,MOD(ROW()-9,9)+1),"")</f>
        <v/>
      </c>
      <c r="C6684" s="9">
        <f t="shared" si="104"/>
        <v>0</v>
      </c>
    </row>
    <row r="6685" spans="1:3" x14ac:dyDescent="0.2">
      <c r="A6685" s="10" t="str">
        <f>IF(6677&gt;$C$9008,"",INDEX($B$9:$B$9008,MATCH(6677,$C$9:$C$9008,0)))</f>
        <v/>
      </c>
      <c r="B6685" s="9" t="str">
        <f>IFERROR(INDEX(Input!$L$20:$T$1019,INT((ROW()-9)/9)+1,MOD(ROW()-9,9)+1),"")</f>
        <v/>
      </c>
      <c r="C6685" s="9">
        <f t="shared" si="104"/>
        <v>0</v>
      </c>
    </row>
    <row r="6686" spans="1:3" x14ac:dyDescent="0.2">
      <c r="A6686" s="10" t="str">
        <f>IF(6678&gt;$C$9008,"",INDEX($B$9:$B$9008,MATCH(6678,$C$9:$C$9008,0)))</f>
        <v/>
      </c>
      <c r="B6686" s="9" t="str">
        <f>IFERROR(INDEX(Input!$L$20:$T$1019,INT((ROW()-9)/9)+1,MOD(ROW()-9,9)+1),"")</f>
        <v/>
      </c>
      <c r="C6686" s="9">
        <f t="shared" si="104"/>
        <v>0</v>
      </c>
    </row>
    <row r="6687" spans="1:3" x14ac:dyDescent="0.2">
      <c r="A6687" s="10" t="str">
        <f>IF(6679&gt;$C$9008,"",INDEX($B$9:$B$9008,MATCH(6679,$C$9:$C$9008,0)))</f>
        <v/>
      </c>
      <c r="B6687" s="9" t="str">
        <f>IFERROR(INDEX(Input!$L$20:$T$1019,INT((ROW()-9)/9)+1,MOD(ROW()-9,9)+1),"")</f>
        <v/>
      </c>
      <c r="C6687" s="9">
        <f t="shared" si="104"/>
        <v>0</v>
      </c>
    </row>
    <row r="6688" spans="1:3" x14ac:dyDescent="0.2">
      <c r="A6688" s="10" t="str">
        <f>IF(6680&gt;$C$9008,"",INDEX($B$9:$B$9008,MATCH(6680,$C$9:$C$9008,0)))</f>
        <v/>
      </c>
      <c r="B6688" s="9" t="str">
        <f>IFERROR(INDEX(Input!$L$20:$T$1019,INT((ROW()-9)/9)+1,MOD(ROW()-9,9)+1),"")</f>
        <v/>
      </c>
      <c r="C6688" s="9">
        <f t="shared" si="104"/>
        <v>0</v>
      </c>
    </row>
    <row r="6689" spans="1:3" x14ac:dyDescent="0.2">
      <c r="A6689" s="10" t="str">
        <f>IF(6681&gt;$C$9008,"",INDEX($B$9:$B$9008,MATCH(6681,$C$9:$C$9008,0)))</f>
        <v/>
      </c>
      <c r="B6689" s="9" t="str">
        <f>IFERROR(INDEX(Input!$L$20:$T$1019,INT((ROW()-9)/9)+1,MOD(ROW()-9,9)+1),"")</f>
        <v/>
      </c>
      <c r="C6689" s="9">
        <f t="shared" si="104"/>
        <v>0</v>
      </c>
    </row>
    <row r="6690" spans="1:3" x14ac:dyDescent="0.2">
      <c r="A6690" s="10" t="str">
        <f>IF(6682&gt;$C$9008,"",INDEX($B$9:$B$9008,MATCH(6682,$C$9:$C$9008,0)))</f>
        <v/>
      </c>
      <c r="B6690" s="9" t="str">
        <f>IFERROR(INDEX(Input!$L$20:$T$1019,INT((ROW()-9)/9)+1,MOD(ROW()-9,9)+1),"")</f>
        <v/>
      </c>
      <c r="C6690" s="9">
        <f t="shared" si="104"/>
        <v>0</v>
      </c>
    </row>
    <row r="6691" spans="1:3" x14ac:dyDescent="0.2">
      <c r="A6691" s="10" t="str">
        <f>IF(6683&gt;$C$9008,"",INDEX($B$9:$B$9008,MATCH(6683,$C$9:$C$9008,0)))</f>
        <v/>
      </c>
      <c r="B6691" s="9" t="str">
        <f>IFERROR(INDEX(Input!$L$20:$T$1019,INT((ROW()-9)/9)+1,MOD(ROW()-9,9)+1),"")</f>
        <v/>
      </c>
      <c r="C6691" s="9">
        <f t="shared" si="104"/>
        <v>0</v>
      </c>
    </row>
    <row r="6692" spans="1:3" x14ac:dyDescent="0.2">
      <c r="A6692" s="10" t="str">
        <f>IF(6684&gt;$C$9008,"",INDEX($B$9:$B$9008,MATCH(6684,$C$9:$C$9008,0)))</f>
        <v/>
      </c>
      <c r="B6692" s="9" t="str">
        <f>IFERROR(INDEX(Input!$L$20:$T$1019,INT((ROW()-9)/9)+1,MOD(ROW()-9,9)+1),"")</f>
        <v/>
      </c>
      <c r="C6692" s="9">
        <f t="shared" si="104"/>
        <v>0</v>
      </c>
    </row>
    <row r="6693" spans="1:3" x14ac:dyDescent="0.2">
      <c r="A6693" s="10" t="str">
        <f>IF(6685&gt;$C$9008,"",INDEX($B$9:$B$9008,MATCH(6685,$C$9:$C$9008,0)))</f>
        <v/>
      </c>
      <c r="B6693" s="9" t="str">
        <f>IFERROR(INDEX(Input!$L$20:$T$1019,INT((ROW()-9)/9)+1,MOD(ROW()-9,9)+1),"")</f>
        <v/>
      </c>
      <c r="C6693" s="9">
        <f t="shared" si="104"/>
        <v>0</v>
      </c>
    </row>
    <row r="6694" spans="1:3" x14ac:dyDescent="0.2">
      <c r="A6694" s="10" t="str">
        <f>IF(6686&gt;$C$9008,"",INDEX($B$9:$B$9008,MATCH(6686,$C$9:$C$9008,0)))</f>
        <v/>
      </c>
      <c r="B6694" s="9" t="str">
        <f>IFERROR(INDEX(Input!$L$20:$T$1019,INT((ROW()-9)/9)+1,MOD(ROW()-9,9)+1),"")</f>
        <v/>
      </c>
      <c r="C6694" s="9">
        <f t="shared" si="104"/>
        <v>0</v>
      </c>
    </row>
    <row r="6695" spans="1:3" x14ac:dyDescent="0.2">
      <c r="A6695" s="10" t="str">
        <f>IF(6687&gt;$C$9008,"",INDEX($B$9:$B$9008,MATCH(6687,$C$9:$C$9008,0)))</f>
        <v/>
      </c>
      <c r="B6695" s="9" t="str">
        <f>IFERROR(INDEX(Input!$L$20:$T$1019,INT((ROW()-9)/9)+1,MOD(ROW()-9,9)+1),"")</f>
        <v/>
      </c>
      <c r="C6695" s="9">
        <f t="shared" si="104"/>
        <v>0</v>
      </c>
    </row>
    <row r="6696" spans="1:3" x14ac:dyDescent="0.2">
      <c r="A6696" s="10" t="str">
        <f>IF(6688&gt;$C$9008,"",INDEX($B$9:$B$9008,MATCH(6688,$C$9:$C$9008,0)))</f>
        <v/>
      </c>
      <c r="B6696" s="9" t="str">
        <f>IFERROR(INDEX(Input!$L$20:$T$1019,INT((ROW()-9)/9)+1,MOD(ROW()-9,9)+1),"")</f>
        <v/>
      </c>
      <c r="C6696" s="9">
        <f t="shared" si="104"/>
        <v>0</v>
      </c>
    </row>
    <row r="6697" spans="1:3" x14ac:dyDescent="0.2">
      <c r="A6697" s="10" t="str">
        <f>IF(6689&gt;$C$9008,"",INDEX($B$9:$B$9008,MATCH(6689,$C$9:$C$9008,0)))</f>
        <v/>
      </c>
      <c r="B6697" s="9" t="str">
        <f>IFERROR(INDEX(Input!$L$20:$T$1019,INT((ROW()-9)/9)+1,MOD(ROW()-9,9)+1),"")</f>
        <v/>
      </c>
      <c r="C6697" s="9">
        <f t="shared" si="104"/>
        <v>0</v>
      </c>
    </row>
    <row r="6698" spans="1:3" x14ac:dyDescent="0.2">
      <c r="A6698" s="10" t="str">
        <f>IF(6690&gt;$C$9008,"",INDEX($B$9:$B$9008,MATCH(6690,$C$9:$C$9008,0)))</f>
        <v/>
      </c>
      <c r="B6698" s="9" t="str">
        <f>IFERROR(INDEX(Input!$L$20:$T$1019,INT((ROW()-9)/9)+1,MOD(ROW()-9,9)+1),"")</f>
        <v/>
      </c>
      <c r="C6698" s="9">
        <f t="shared" si="104"/>
        <v>0</v>
      </c>
    </row>
    <row r="6699" spans="1:3" x14ac:dyDescent="0.2">
      <c r="A6699" s="10" t="str">
        <f>IF(6691&gt;$C$9008,"",INDEX($B$9:$B$9008,MATCH(6691,$C$9:$C$9008,0)))</f>
        <v/>
      </c>
      <c r="B6699" s="9" t="str">
        <f>IFERROR(INDEX(Input!$L$20:$T$1019,INT((ROW()-9)/9)+1,MOD(ROW()-9,9)+1),"")</f>
        <v/>
      </c>
      <c r="C6699" s="9">
        <f t="shared" si="104"/>
        <v>0</v>
      </c>
    </row>
    <row r="6700" spans="1:3" x14ac:dyDescent="0.2">
      <c r="A6700" s="10" t="str">
        <f>IF(6692&gt;$C$9008,"",INDEX($B$9:$B$9008,MATCH(6692,$C$9:$C$9008,0)))</f>
        <v/>
      </c>
      <c r="B6700" s="9" t="str">
        <f>IFERROR(INDEX(Input!$L$20:$T$1019,INT((ROW()-9)/9)+1,MOD(ROW()-9,9)+1),"")</f>
        <v/>
      </c>
      <c r="C6700" s="9">
        <f t="shared" si="104"/>
        <v>0</v>
      </c>
    </row>
    <row r="6701" spans="1:3" x14ac:dyDescent="0.2">
      <c r="A6701" s="10" t="str">
        <f>IF(6693&gt;$C$9008,"",INDEX($B$9:$B$9008,MATCH(6693,$C$9:$C$9008,0)))</f>
        <v/>
      </c>
      <c r="B6701" s="9" t="str">
        <f>IFERROR(INDEX(Input!$L$20:$T$1019,INT((ROW()-9)/9)+1,MOD(ROW()-9,9)+1),"")</f>
        <v/>
      </c>
      <c r="C6701" s="9">
        <f t="shared" si="104"/>
        <v>0</v>
      </c>
    </row>
    <row r="6702" spans="1:3" x14ac:dyDescent="0.2">
      <c r="A6702" s="10" t="str">
        <f>IF(6694&gt;$C$9008,"",INDEX($B$9:$B$9008,MATCH(6694,$C$9:$C$9008,0)))</f>
        <v/>
      </c>
      <c r="B6702" s="9" t="str">
        <f>IFERROR(INDEX(Input!$L$20:$T$1019,INT((ROW()-9)/9)+1,MOD(ROW()-9,9)+1),"")</f>
        <v/>
      </c>
      <c r="C6702" s="9">
        <f t="shared" si="104"/>
        <v>0</v>
      </c>
    </row>
    <row r="6703" spans="1:3" x14ac:dyDescent="0.2">
      <c r="A6703" s="10" t="str">
        <f>IF(6695&gt;$C$9008,"",INDEX($B$9:$B$9008,MATCH(6695,$C$9:$C$9008,0)))</f>
        <v/>
      </c>
      <c r="B6703" s="9" t="str">
        <f>IFERROR(INDEX(Input!$L$20:$T$1019,INT((ROW()-9)/9)+1,MOD(ROW()-9,9)+1),"")</f>
        <v/>
      </c>
      <c r="C6703" s="9">
        <f t="shared" si="104"/>
        <v>0</v>
      </c>
    </row>
    <row r="6704" spans="1:3" x14ac:dyDescent="0.2">
      <c r="A6704" s="10" t="str">
        <f>IF(6696&gt;$C$9008,"",INDEX($B$9:$B$9008,MATCH(6696,$C$9:$C$9008,0)))</f>
        <v/>
      </c>
      <c r="B6704" s="9" t="str">
        <f>IFERROR(INDEX(Input!$L$20:$T$1019,INT((ROW()-9)/9)+1,MOD(ROW()-9,9)+1),"")</f>
        <v/>
      </c>
      <c r="C6704" s="9">
        <f t="shared" si="104"/>
        <v>0</v>
      </c>
    </row>
    <row r="6705" spans="1:3" x14ac:dyDescent="0.2">
      <c r="A6705" s="10" t="str">
        <f>IF(6697&gt;$C$9008,"",INDEX($B$9:$B$9008,MATCH(6697,$C$9:$C$9008,0)))</f>
        <v/>
      </c>
      <c r="B6705" s="9" t="str">
        <f>IFERROR(INDEX(Input!$L$20:$T$1019,INT((ROW()-9)/9)+1,MOD(ROW()-9,9)+1),"")</f>
        <v/>
      </c>
      <c r="C6705" s="9">
        <f t="shared" si="104"/>
        <v>0</v>
      </c>
    </row>
    <row r="6706" spans="1:3" x14ac:dyDescent="0.2">
      <c r="A6706" s="10" t="str">
        <f>IF(6698&gt;$C$9008,"",INDEX($B$9:$B$9008,MATCH(6698,$C$9:$C$9008,0)))</f>
        <v/>
      </c>
      <c r="B6706" s="9" t="str">
        <f>IFERROR(INDEX(Input!$L$20:$T$1019,INT((ROW()-9)/9)+1,MOD(ROW()-9,9)+1),"")</f>
        <v/>
      </c>
      <c r="C6706" s="9">
        <f t="shared" si="104"/>
        <v>0</v>
      </c>
    </row>
    <row r="6707" spans="1:3" x14ac:dyDescent="0.2">
      <c r="A6707" s="10" t="str">
        <f>IF(6699&gt;$C$9008,"",INDEX($B$9:$B$9008,MATCH(6699,$C$9:$C$9008,0)))</f>
        <v/>
      </c>
      <c r="B6707" s="9" t="str">
        <f>IFERROR(INDEX(Input!$L$20:$T$1019,INT((ROW()-9)/9)+1,MOD(ROW()-9,9)+1),"")</f>
        <v/>
      </c>
      <c r="C6707" s="9">
        <f t="shared" si="104"/>
        <v>0</v>
      </c>
    </row>
    <row r="6708" spans="1:3" x14ac:dyDescent="0.2">
      <c r="A6708" s="10" t="str">
        <f>IF(6700&gt;$C$9008,"",INDEX($B$9:$B$9008,MATCH(6700,$C$9:$C$9008,0)))</f>
        <v/>
      </c>
      <c r="B6708" s="9" t="str">
        <f>IFERROR(INDEX(Input!$L$20:$T$1019,INT((ROW()-9)/9)+1,MOD(ROW()-9,9)+1),"")</f>
        <v/>
      </c>
      <c r="C6708" s="9">
        <f t="shared" si="104"/>
        <v>0</v>
      </c>
    </row>
    <row r="6709" spans="1:3" x14ac:dyDescent="0.2">
      <c r="A6709" s="10" t="str">
        <f>IF(6701&gt;$C$9008,"",INDEX($B$9:$B$9008,MATCH(6701,$C$9:$C$9008,0)))</f>
        <v/>
      </c>
      <c r="B6709" s="9" t="str">
        <f>IFERROR(INDEX(Input!$L$20:$T$1019,INT((ROW()-9)/9)+1,MOD(ROW()-9,9)+1),"")</f>
        <v/>
      </c>
      <c r="C6709" s="9">
        <f t="shared" si="104"/>
        <v>0</v>
      </c>
    </row>
    <row r="6710" spans="1:3" x14ac:dyDescent="0.2">
      <c r="A6710" s="10" t="str">
        <f>IF(6702&gt;$C$9008,"",INDEX($B$9:$B$9008,MATCH(6702,$C$9:$C$9008,0)))</f>
        <v/>
      </c>
      <c r="B6710" s="9" t="str">
        <f>IFERROR(INDEX(Input!$L$20:$T$1019,INT((ROW()-9)/9)+1,MOD(ROW()-9,9)+1),"")</f>
        <v/>
      </c>
      <c r="C6710" s="9">
        <f t="shared" si="104"/>
        <v>0</v>
      </c>
    </row>
    <row r="6711" spans="1:3" x14ac:dyDescent="0.2">
      <c r="A6711" s="10" t="str">
        <f>IF(6703&gt;$C$9008,"",INDEX($B$9:$B$9008,MATCH(6703,$C$9:$C$9008,0)))</f>
        <v/>
      </c>
      <c r="B6711" s="9" t="str">
        <f>IFERROR(INDEX(Input!$L$20:$T$1019,INT((ROW()-9)/9)+1,MOD(ROW()-9,9)+1),"")</f>
        <v/>
      </c>
      <c r="C6711" s="9">
        <f t="shared" si="104"/>
        <v>0</v>
      </c>
    </row>
    <row r="6712" spans="1:3" x14ac:dyDescent="0.2">
      <c r="A6712" s="10" t="str">
        <f>IF(6704&gt;$C$9008,"",INDEX($B$9:$B$9008,MATCH(6704,$C$9:$C$9008,0)))</f>
        <v/>
      </c>
      <c r="B6712" s="9" t="str">
        <f>IFERROR(INDEX(Input!$L$20:$T$1019,INT((ROW()-9)/9)+1,MOD(ROW()-9,9)+1),"")</f>
        <v/>
      </c>
      <c r="C6712" s="9">
        <f t="shared" si="104"/>
        <v>0</v>
      </c>
    </row>
    <row r="6713" spans="1:3" x14ac:dyDescent="0.2">
      <c r="A6713" s="10" t="str">
        <f>IF(6705&gt;$C$9008,"",INDEX($B$9:$B$9008,MATCH(6705,$C$9:$C$9008,0)))</f>
        <v/>
      </c>
      <c r="B6713" s="9" t="str">
        <f>IFERROR(INDEX(Input!$L$20:$T$1019,INT((ROW()-9)/9)+1,MOD(ROW()-9,9)+1),"")</f>
        <v/>
      </c>
      <c r="C6713" s="9">
        <f t="shared" si="104"/>
        <v>0</v>
      </c>
    </row>
    <row r="6714" spans="1:3" x14ac:dyDescent="0.2">
      <c r="A6714" s="10" t="str">
        <f>IF(6706&gt;$C$9008,"",INDEX($B$9:$B$9008,MATCH(6706,$C$9:$C$9008,0)))</f>
        <v/>
      </c>
      <c r="B6714" s="9" t="str">
        <f>IFERROR(INDEX(Input!$L$20:$T$1019,INT((ROW()-9)/9)+1,MOD(ROW()-9,9)+1),"")</f>
        <v/>
      </c>
      <c r="C6714" s="9">
        <f t="shared" si="104"/>
        <v>0</v>
      </c>
    </row>
    <row r="6715" spans="1:3" x14ac:dyDescent="0.2">
      <c r="A6715" s="10" t="str">
        <f>IF(6707&gt;$C$9008,"",INDEX($B$9:$B$9008,MATCH(6707,$C$9:$C$9008,0)))</f>
        <v/>
      </c>
      <c r="B6715" s="9" t="str">
        <f>IFERROR(INDEX(Input!$L$20:$T$1019,INT((ROW()-9)/9)+1,MOD(ROW()-9,9)+1),"")</f>
        <v/>
      </c>
      <c r="C6715" s="9">
        <f t="shared" si="104"/>
        <v>0</v>
      </c>
    </row>
    <row r="6716" spans="1:3" x14ac:dyDescent="0.2">
      <c r="A6716" s="10" t="str">
        <f>IF(6708&gt;$C$9008,"",INDEX($B$9:$B$9008,MATCH(6708,$C$9:$C$9008,0)))</f>
        <v/>
      </c>
      <c r="B6716" s="9" t="str">
        <f>IFERROR(INDEX(Input!$L$20:$T$1019,INT((ROW()-9)/9)+1,MOD(ROW()-9,9)+1),"")</f>
        <v/>
      </c>
      <c r="C6716" s="9">
        <f t="shared" si="104"/>
        <v>0</v>
      </c>
    </row>
    <row r="6717" spans="1:3" x14ac:dyDescent="0.2">
      <c r="A6717" s="10" t="str">
        <f>IF(6709&gt;$C$9008,"",INDEX($B$9:$B$9008,MATCH(6709,$C$9:$C$9008,0)))</f>
        <v/>
      </c>
      <c r="B6717" s="9" t="str">
        <f>IFERROR(INDEX(Input!$L$20:$T$1019,INT((ROW()-9)/9)+1,MOD(ROW()-9,9)+1),"")</f>
        <v/>
      </c>
      <c r="C6717" s="9">
        <f t="shared" si="104"/>
        <v>0</v>
      </c>
    </row>
    <row r="6718" spans="1:3" x14ac:dyDescent="0.2">
      <c r="A6718" s="10" t="str">
        <f>IF(6710&gt;$C$9008,"",INDEX($B$9:$B$9008,MATCH(6710,$C$9:$C$9008,0)))</f>
        <v/>
      </c>
      <c r="B6718" s="9" t="str">
        <f>IFERROR(INDEX(Input!$L$20:$T$1019,INT((ROW()-9)/9)+1,MOD(ROW()-9,9)+1),"")</f>
        <v/>
      </c>
      <c r="C6718" s="9">
        <f t="shared" si="104"/>
        <v>0</v>
      </c>
    </row>
    <row r="6719" spans="1:3" x14ac:dyDescent="0.2">
      <c r="A6719" s="10" t="str">
        <f>IF(6711&gt;$C$9008,"",INDEX($B$9:$B$9008,MATCH(6711,$C$9:$C$9008,0)))</f>
        <v/>
      </c>
      <c r="B6719" s="9" t="str">
        <f>IFERROR(INDEX(Input!$L$20:$T$1019,INT((ROW()-9)/9)+1,MOD(ROW()-9,9)+1),"")</f>
        <v/>
      </c>
      <c r="C6719" s="9">
        <f t="shared" si="104"/>
        <v>0</v>
      </c>
    </row>
    <row r="6720" spans="1:3" x14ac:dyDescent="0.2">
      <c r="A6720" s="10" t="str">
        <f>IF(6712&gt;$C$9008,"",INDEX($B$9:$B$9008,MATCH(6712,$C$9:$C$9008,0)))</f>
        <v/>
      </c>
      <c r="B6720" s="9" t="str">
        <f>IFERROR(INDEX(Input!$L$20:$T$1019,INT((ROW()-9)/9)+1,MOD(ROW()-9,9)+1),"")</f>
        <v/>
      </c>
      <c r="C6720" s="9">
        <f t="shared" si="104"/>
        <v>0</v>
      </c>
    </row>
    <row r="6721" spans="1:3" x14ac:dyDescent="0.2">
      <c r="A6721" s="10" t="str">
        <f>IF(6713&gt;$C$9008,"",INDEX($B$9:$B$9008,MATCH(6713,$C$9:$C$9008,0)))</f>
        <v/>
      </c>
      <c r="B6721" s="9" t="str">
        <f>IFERROR(INDEX(Input!$L$20:$T$1019,INT((ROW()-9)/9)+1,MOD(ROW()-9,9)+1),"")</f>
        <v/>
      </c>
      <c r="C6721" s="9">
        <f t="shared" si="104"/>
        <v>0</v>
      </c>
    </row>
    <row r="6722" spans="1:3" x14ac:dyDescent="0.2">
      <c r="A6722" s="10" t="str">
        <f>IF(6714&gt;$C$9008,"",INDEX($B$9:$B$9008,MATCH(6714,$C$9:$C$9008,0)))</f>
        <v/>
      </c>
      <c r="B6722" s="9" t="str">
        <f>IFERROR(INDEX(Input!$L$20:$T$1019,INT((ROW()-9)/9)+1,MOD(ROW()-9,9)+1),"")</f>
        <v/>
      </c>
      <c r="C6722" s="9">
        <f t="shared" si="104"/>
        <v>0</v>
      </c>
    </row>
    <row r="6723" spans="1:3" x14ac:dyDescent="0.2">
      <c r="A6723" s="10" t="str">
        <f>IF(6715&gt;$C$9008,"",INDEX($B$9:$B$9008,MATCH(6715,$C$9:$C$9008,0)))</f>
        <v/>
      </c>
      <c r="B6723" s="9" t="str">
        <f>IFERROR(INDEX(Input!$L$20:$T$1019,INT((ROW()-9)/9)+1,MOD(ROW()-9,9)+1),"")</f>
        <v/>
      </c>
      <c r="C6723" s="9">
        <f t="shared" si="104"/>
        <v>0</v>
      </c>
    </row>
    <row r="6724" spans="1:3" x14ac:dyDescent="0.2">
      <c r="A6724" s="10" t="str">
        <f>IF(6716&gt;$C$9008,"",INDEX($B$9:$B$9008,MATCH(6716,$C$9:$C$9008,0)))</f>
        <v/>
      </c>
      <c r="B6724" s="9" t="str">
        <f>IFERROR(INDEX(Input!$L$20:$T$1019,INT((ROW()-9)/9)+1,MOD(ROW()-9,9)+1),"")</f>
        <v/>
      </c>
      <c r="C6724" s="9">
        <f t="shared" si="104"/>
        <v>0</v>
      </c>
    </row>
    <row r="6725" spans="1:3" x14ac:dyDescent="0.2">
      <c r="A6725" s="10" t="str">
        <f>IF(6717&gt;$C$9008,"",INDEX($B$9:$B$9008,MATCH(6717,$C$9:$C$9008,0)))</f>
        <v/>
      </c>
      <c r="B6725" s="9" t="str">
        <f>IFERROR(INDEX(Input!$L$20:$T$1019,INT((ROW()-9)/9)+1,MOD(ROW()-9,9)+1),"")</f>
        <v/>
      </c>
      <c r="C6725" s="9">
        <f t="shared" si="104"/>
        <v>0</v>
      </c>
    </row>
    <row r="6726" spans="1:3" x14ac:dyDescent="0.2">
      <c r="A6726" s="10" t="str">
        <f>IF(6718&gt;$C$9008,"",INDEX($B$9:$B$9008,MATCH(6718,$C$9:$C$9008,0)))</f>
        <v/>
      </c>
      <c r="B6726" s="9" t="str">
        <f>IFERROR(INDEX(Input!$L$20:$T$1019,INT((ROW()-9)/9)+1,MOD(ROW()-9,9)+1),"")</f>
        <v/>
      </c>
      <c r="C6726" s="9">
        <f t="shared" si="104"/>
        <v>0</v>
      </c>
    </row>
    <row r="6727" spans="1:3" x14ac:dyDescent="0.2">
      <c r="A6727" s="10" t="str">
        <f>IF(6719&gt;$C$9008,"",INDEX($B$9:$B$9008,MATCH(6719,$C$9:$C$9008,0)))</f>
        <v/>
      </c>
      <c r="B6727" s="9" t="str">
        <f>IFERROR(INDEX(Input!$L$20:$T$1019,INT((ROW()-9)/9)+1,MOD(ROW()-9,9)+1),"")</f>
        <v/>
      </c>
      <c r="C6727" s="9">
        <f t="shared" si="104"/>
        <v>0</v>
      </c>
    </row>
    <row r="6728" spans="1:3" x14ac:dyDescent="0.2">
      <c r="A6728" s="10" t="str">
        <f>IF(6720&gt;$C$9008,"",INDEX($B$9:$B$9008,MATCH(6720,$C$9:$C$9008,0)))</f>
        <v/>
      </c>
      <c r="B6728" s="9" t="str">
        <f>IFERROR(INDEX(Input!$L$20:$T$1019,INT((ROW()-9)/9)+1,MOD(ROW()-9,9)+1),"")</f>
        <v/>
      </c>
      <c r="C6728" s="9">
        <f t="shared" si="104"/>
        <v>0</v>
      </c>
    </row>
    <row r="6729" spans="1:3" x14ac:dyDescent="0.2">
      <c r="A6729" s="10" t="str">
        <f>IF(6721&gt;$C$9008,"",INDEX($B$9:$B$9008,MATCH(6721,$C$9:$C$9008,0)))</f>
        <v/>
      </c>
      <c r="B6729" s="9" t="str">
        <f>IFERROR(INDEX(Input!$L$20:$T$1019,INT((ROW()-9)/9)+1,MOD(ROW()-9,9)+1),"")</f>
        <v/>
      </c>
      <c r="C6729" s="9">
        <f t="shared" ref="C6729:C6792" si="105">$C6728+IF($B6729&lt;&gt;"",1,0)</f>
        <v>0</v>
      </c>
    </row>
    <row r="6730" spans="1:3" x14ac:dyDescent="0.2">
      <c r="A6730" s="10" t="str">
        <f>IF(6722&gt;$C$9008,"",INDEX($B$9:$B$9008,MATCH(6722,$C$9:$C$9008,0)))</f>
        <v/>
      </c>
      <c r="B6730" s="9" t="str">
        <f>IFERROR(INDEX(Input!$L$20:$T$1019,INT((ROW()-9)/9)+1,MOD(ROW()-9,9)+1),"")</f>
        <v/>
      </c>
      <c r="C6730" s="9">
        <f t="shared" si="105"/>
        <v>0</v>
      </c>
    </row>
    <row r="6731" spans="1:3" x14ac:dyDescent="0.2">
      <c r="A6731" s="10" t="str">
        <f>IF(6723&gt;$C$9008,"",INDEX($B$9:$B$9008,MATCH(6723,$C$9:$C$9008,0)))</f>
        <v/>
      </c>
      <c r="B6731" s="9" t="str">
        <f>IFERROR(INDEX(Input!$L$20:$T$1019,INT((ROW()-9)/9)+1,MOD(ROW()-9,9)+1),"")</f>
        <v/>
      </c>
      <c r="C6731" s="9">
        <f t="shared" si="105"/>
        <v>0</v>
      </c>
    </row>
    <row r="6732" spans="1:3" x14ac:dyDescent="0.2">
      <c r="A6732" s="10" t="str">
        <f>IF(6724&gt;$C$9008,"",INDEX($B$9:$B$9008,MATCH(6724,$C$9:$C$9008,0)))</f>
        <v/>
      </c>
      <c r="B6732" s="9" t="str">
        <f>IFERROR(INDEX(Input!$L$20:$T$1019,INT((ROW()-9)/9)+1,MOD(ROW()-9,9)+1),"")</f>
        <v/>
      </c>
      <c r="C6732" s="9">
        <f t="shared" si="105"/>
        <v>0</v>
      </c>
    </row>
    <row r="6733" spans="1:3" x14ac:dyDescent="0.2">
      <c r="A6733" s="10" t="str">
        <f>IF(6725&gt;$C$9008,"",INDEX($B$9:$B$9008,MATCH(6725,$C$9:$C$9008,0)))</f>
        <v/>
      </c>
      <c r="B6733" s="9" t="str">
        <f>IFERROR(INDEX(Input!$L$20:$T$1019,INT((ROW()-9)/9)+1,MOD(ROW()-9,9)+1),"")</f>
        <v/>
      </c>
      <c r="C6733" s="9">
        <f t="shared" si="105"/>
        <v>0</v>
      </c>
    </row>
    <row r="6734" spans="1:3" x14ac:dyDescent="0.2">
      <c r="A6734" s="10" t="str">
        <f>IF(6726&gt;$C$9008,"",INDEX($B$9:$B$9008,MATCH(6726,$C$9:$C$9008,0)))</f>
        <v/>
      </c>
      <c r="B6734" s="9" t="str">
        <f>IFERROR(INDEX(Input!$L$20:$T$1019,INT((ROW()-9)/9)+1,MOD(ROW()-9,9)+1),"")</f>
        <v/>
      </c>
      <c r="C6734" s="9">
        <f t="shared" si="105"/>
        <v>0</v>
      </c>
    </row>
    <row r="6735" spans="1:3" x14ac:dyDescent="0.2">
      <c r="A6735" s="10" t="str">
        <f>IF(6727&gt;$C$9008,"",INDEX($B$9:$B$9008,MATCH(6727,$C$9:$C$9008,0)))</f>
        <v/>
      </c>
      <c r="B6735" s="9" t="str">
        <f>IFERROR(INDEX(Input!$L$20:$T$1019,INT((ROW()-9)/9)+1,MOD(ROW()-9,9)+1),"")</f>
        <v/>
      </c>
      <c r="C6735" s="9">
        <f t="shared" si="105"/>
        <v>0</v>
      </c>
    </row>
    <row r="6736" spans="1:3" x14ac:dyDescent="0.2">
      <c r="A6736" s="10" t="str">
        <f>IF(6728&gt;$C$9008,"",INDEX($B$9:$B$9008,MATCH(6728,$C$9:$C$9008,0)))</f>
        <v/>
      </c>
      <c r="B6736" s="9" t="str">
        <f>IFERROR(INDEX(Input!$L$20:$T$1019,INT((ROW()-9)/9)+1,MOD(ROW()-9,9)+1),"")</f>
        <v/>
      </c>
      <c r="C6736" s="9">
        <f t="shared" si="105"/>
        <v>0</v>
      </c>
    </row>
    <row r="6737" spans="1:3" x14ac:dyDescent="0.2">
      <c r="A6737" s="10" t="str">
        <f>IF(6729&gt;$C$9008,"",INDEX($B$9:$B$9008,MATCH(6729,$C$9:$C$9008,0)))</f>
        <v/>
      </c>
      <c r="B6737" s="9" t="str">
        <f>IFERROR(INDEX(Input!$L$20:$T$1019,INT((ROW()-9)/9)+1,MOD(ROW()-9,9)+1),"")</f>
        <v/>
      </c>
      <c r="C6737" s="9">
        <f t="shared" si="105"/>
        <v>0</v>
      </c>
    </row>
    <row r="6738" spans="1:3" x14ac:dyDescent="0.2">
      <c r="A6738" s="10" t="str">
        <f>IF(6730&gt;$C$9008,"",INDEX($B$9:$B$9008,MATCH(6730,$C$9:$C$9008,0)))</f>
        <v/>
      </c>
      <c r="B6738" s="9" t="str">
        <f>IFERROR(INDEX(Input!$L$20:$T$1019,INT((ROW()-9)/9)+1,MOD(ROW()-9,9)+1),"")</f>
        <v/>
      </c>
      <c r="C6738" s="9">
        <f t="shared" si="105"/>
        <v>0</v>
      </c>
    </row>
    <row r="6739" spans="1:3" x14ac:dyDescent="0.2">
      <c r="A6739" s="10" t="str">
        <f>IF(6731&gt;$C$9008,"",INDEX($B$9:$B$9008,MATCH(6731,$C$9:$C$9008,0)))</f>
        <v/>
      </c>
      <c r="B6739" s="9" t="str">
        <f>IFERROR(INDEX(Input!$L$20:$T$1019,INT((ROW()-9)/9)+1,MOD(ROW()-9,9)+1),"")</f>
        <v/>
      </c>
      <c r="C6739" s="9">
        <f t="shared" si="105"/>
        <v>0</v>
      </c>
    </row>
    <row r="6740" spans="1:3" x14ac:dyDescent="0.2">
      <c r="A6740" s="10" t="str">
        <f>IF(6732&gt;$C$9008,"",INDEX($B$9:$B$9008,MATCH(6732,$C$9:$C$9008,0)))</f>
        <v/>
      </c>
      <c r="B6740" s="9" t="str">
        <f>IFERROR(INDEX(Input!$L$20:$T$1019,INT((ROW()-9)/9)+1,MOD(ROW()-9,9)+1),"")</f>
        <v/>
      </c>
      <c r="C6740" s="9">
        <f t="shared" si="105"/>
        <v>0</v>
      </c>
    </row>
    <row r="6741" spans="1:3" x14ac:dyDescent="0.2">
      <c r="A6741" s="10" t="str">
        <f>IF(6733&gt;$C$9008,"",INDEX($B$9:$B$9008,MATCH(6733,$C$9:$C$9008,0)))</f>
        <v/>
      </c>
      <c r="B6741" s="9" t="str">
        <f>IFERROR(INDEX(Input!$L$20:$T$1019,INT((ROW()-9)/9)+1,MOD(ROW()-9,9)+1),"")</f>
        <v/>
      </c>
      <c r="C6741" s="9">
        <f t="shared" si="105"/>
        <v>0</v>
      </c>
    </row>
    <row r="6742" spans="1:3" x14ac:dyDescent="0.2">
      <c r="A6742" s="10" t="str">
        <f>IF(6734&gt;$C$9008,"",INDEX($B$9:$B$9008,MATCH(6734,$C$9:$C$9008,0)))</f>
        <v/>
      </c>
      <c r="B6742" s="9" t="str">
        <f>IFERROR(INDEX(Input!$L$20:$T$1019,INT((ROW()-9)/9)+1,MOD(ROW()-9,9)+1),"")</f>
        <v/>
      </c>
      <c r="C6742" s="9">
        <f t="shared" si="105"/>
        <v>0</v>
      </c>
    </row>
    <row r="6743" spans="1:3" x14ac:dyDescent="0.2">
      <c r="A6743" s="10" t="str">
        <f>IF(6735&gt;$C$9008,"",INDEX($B$9:$B$9008,MATCH(6735,$C$9:$C$9008,0)))</f>
        <v/>
      </c>
      <c r="B6743" s="9" t="str">
        <f>IFERROR(INDEX(Input!$L$20:$T$1019,INT((ROW()-9)/9)+1,MOD(ROW()-9,9)+1),"")</f>
        <v/>
      </c>
      <c r="C6743" s="9">
        <f t="shared" si="105"/>
        <v>0</v>
      </c>
    </row>
    <row r="6744" spans="1:3" x14ac:dyDescent="0.2">
      <c r="A6744" s="10" t="str">
        <f>IF(6736&gt;$C$9008,"",INDEX($B$9:$B$9008,MATCH(6736,$C$9:$C$9008,0)))</f>
        <v/>
      </c>
      <c r="B6744" s="9" t="str">
        <f>IFERROR(INDEX(Input!$L$20:$T$1019,INT((ROW()-9)/9)+1,MOD(ROW()-9,9)+1),"")</f>
        <v/>
      </c>
      <c r="C6744" s="9">
        <f t="shared" si="105"/>
        <v>0</v>
      </c>
    </row>
    <row r="6745" spans="1:3" x14ac:dyDescent="0.2">
      <c r="A6745" s="10" t="str">
        <f>IF(6737&gt;$C$9008,"",INDEX($B$9:$B$9008,MATCH(6737,$C$9:$C$9008,0)))</f>
        <v/>
      </c>
      <c r="B6745" s="9" t="str">
        <f>IFERROR(INDEX(Input!$L$20:$T$1019,INT((ROW()-9)/9)+1,MOD(ROW()-9,9)+1),"")</f>
        <v/>
      </c>
      <c r="C6745" s="9">
        <f t="shared" si="105"/>
        <v>0</v>
      </c>
    </row>
    <row r="6746" spans="1:3" x14ac:dyDescent="0.2">
      <c r="A6746" s="10" t="str">
        <f>IF(6738&gt;$C$9008,"",INDEX($B$9:$B$9008,MATCH(6738,$C$9:$C$9008,0)))</f>
        <v/>
      </c>
      <c r="B6746" s="9" t="str">
        <f>IFERROR(INDEX(Input!$L$20:$T$1019,INT((ROW()-9)/9)+1,MOD(ROW()-9,9)+1),"")</f>
        <v/>
      </c>
      <c r="C6746" s="9">
        <f t="shared" si="105"/>
        <v>0</v>
      </c>
    </row>
    <row r="6747" spans="1:3" x14ac:dyDescent="0.2">
      <c r="A6747" s="10" t="str">
        <f>IF(6739&gt;$C$9008,"",INDEX($B$9:$B$9008,MATCH(6739,$C$9:$C$9008,0)))</f>
        <v/>
      </c>
      <c r="B6747" s="9" t="str">
        <f>IFERROR(INDEX(Input!$L$20:$T$1019,INT((ROW()-9)/9)+1,MOD(ROW()-9,9)+1),"")</f>
        <v/>
      </c>
      <c r="C6747" s="9">
        <f t="shared" si="105"/>
        <v>0</v>
      </c>
    </row>
    <row r="6748" spans="1:3" x14ac:dyDescent="0.2">
      <c r="A6748" s="10" t="str">
        <f>IF(6740&gt;$C$9008,"",INDEX($B$9:$B$9008,MATCH(6740,$C$9:$C$9008,0)))</f>
        <v/>
      </c>
      <c r="B6748" s="9" t="str">
        <f>IFERROR(INDEX(Input!$L$20:$T$1019,INT((ROW()-9)/9)+1,MOD(ROW()-9,9)+1),"")</f>
        <v/>
      </c>
      <c r="C6748" s="9">
        <f t="shared" si="105"/>
        <v>0</v>
      </c>
    </row>
    <row r="6749" spans="1:3" x14ac:dyDescent="0.2">
      <c r="A6749" s="10" t="str">
        <f>IF(6741&gt;$C$9008,"",INDEX($B$9:$B$9008,MATCH(6741,$C$9:$C$9008,0)))</f>
        <v/>
      </c>
      <c r="B6749" s="9" t="str">
        <f>IFERROR(INDEX(Input!$L$20:$T$1019,INT((ROW()-9)/9)+1,MOD(ROW()-9,9)+1),"")</f>
        <v/>
      </c>
      <c r="C6749" s="9">
        <f t="shared" si="105"/>
        <v>0</v>
      </c>
    </row>
    <row r="6750" spans="1:3" x14ac:dyDescent="0.2">
      <c r="A6750" s="10" t="str">
        <f>IF(6742&gt;$C$9008,"",INDEX($B$9:$B$9008,MATCH(6742,$C$9:$C$9008,0)))</f>
        <v/>
      </c>
      <c r="B6750" s="9" t="str">
        <f>IFERROR(INDEX(Input!$L$20:$T$1019,INT((ROW()-9)/9)+1,MOD(ROW()-9,9)+1),"")</f>
        <v/>
      </c>
      <c r="C6750" s="9">
        <f t="shared" si="105"/>
        <v>0</v>
      </c>
    </row>
    <row r="6751" spans="1:3" x14ac:dyDescent="0.2">
      <c r="A6751" s="10" t="str">
        <f>IF(6743&gt;$C$9008,"",INDEX($B$9:$B$9008,MATCH(6743,$C$9:$C$9008,0)))</f>
        <v/>
      </c>
      <c r="B6751" s="9" t="str">
        <f>IFERROR(INDEX(Input!$L$20:$T$1019,INT((ROW()-9)/9)+1,MOD(ROW()-9,9)+1),"")</f>
        <v/>
      </c>
      <c r="C6751" s="9">
        <f t="shared" si="105"/>
        <v>0</v>
      </c>
    </row>
    <row r="6752" spans="1:3" x14ac:dyDescent="0.2">
      <c r="A6752" s="10" t="str">
        <f>IF(6744&gt;$C$9008,"",INDEX($B$9:$B$9008,MATCH(6744,$C$9:$C$9008,0)))</f>
        <v/>
      </c>
      <c r="B6752" s="9" t="str">
        <f>IFERROR(INDEX(Input!$L$20:$T$1019,INT((ROW()-9)/9)+1,MOD(ROW()-9,9)+1),"")</f>
        <v/>
      </c>
      <c r="C6752" s="9">
        <f t="shared" si="105"/>
        <v>0</v>
      </c>
    </row>
    <row r="6753" spans="1:3" x14ac:dyDescent="0.2">
      <c r="A6753" s="10" t="str">
        <f>IF(6745&gt;$C$9008,"",INDEX($B$9:$B$9008,MATCH(6745,$C$9:$C$9008,0)))</f>
        <v/>
      </c>
      <c r="B6753" s="9" t="str">
        <f>IFERROR(INDEX(Input!$L$20:$T$1019,INT((ROW()-9)/9)+1,MOD(ROW()-9,9)+1),"")</f>
        <v/>
      </c>
      <c r="C6753" s="9">
        <f t="shared" si="105"/>
        <v>0</v>
      </c>
    </row>
    <row r="6754" spans="1:3" x14ac:dyDescent="0.2">
      <c r="A6754" s="10" t="str">
        <f>IF(6746&gt;$C$9008,"",INDEX($B$9:$B$9008,MATCH(6746,$C$9:$C$9008,0)))</f>
        <v/>
      </c>
      <c r="B6754" s="9" t="str">
        <f>IFERROR(INDEX(Input!$L$20:$T$1019,INT((ROW()-9)/9)+1,MOD(ROW()-9,9)+1),"")</f>
        <v/>
      </c>
      <c r="C6754" s="9">
        <f t="shared" si="105"/>
        <v>0</v>
      </c>
    </row>
    <row r="6755" spans="1:3" x14ac:dyDescent="0.2">
      <c r="A6755" s="10" t="str">
        <f>IF(6747&gt;$C$9008,"",INDEX($B$9:$B$9008,MATCH(6747,$C$9:$C$9008,0)))</f>
        <v/>
      </c>
      <c r="B6755" s="9" t="str">
        <f>IFERROR(INDEX(Input!$L$20:$T$1019,INT((ROW()-9)/9)+1,MOD(ROW()-9,9)+1),"")</f>
        <v/>
      </c>
      <c r="C6755" s="9">
        <f t="shared" si="105"/>
        <v>0</v>
      </c>
    </row>
    <row r="6756" spans="1:3" x14ac:dyDescent="0.2">
      <c r="A6756" s="10" t="str">
        <f>IF(6748&gt;$C$9008,"",INDEX($B$9:$B$9008,MATCH(6748,$C$9:$C$9008,0)))</f>
        <v/>
      </c>
      <c r="B6756" s="9" t="str">
        <f>IFERROR(INDEX(Input!$L$20:$T$1019,INT((ROW()-9)/9)+1,MOD(ROW()-9,9)+1),"")</f>
        <v/>
      </c>
      <c r="C6756" s="9">
        <f t="shared" si="105"/>
        <v>0</v>
      </c>
    </row>
    <row r="6757" spans="1:3" x14ac:dyDescent="0.2">
      <c r="A6757" s="10" t="str">
        <f>IF(6749&gt;$C$9008,"",INDEX($B$9:$B$9008,MATCH(6749,$C$9:$C$9008,0)))</f>
        <v/>
      </c>
      <c r="B6757" s="9" t="str">
        <f>IFERROR(INDEX(Input!$L$20:$T$1019,INT((ROW()-9)/9)+1,MOD(ROW()-9,9)+1),"")</f>
        <v/>
      </c>
      <c r="C6757" s="9">
        <f t="shared" si="105"/>
        <v>0</v>
      </c>
    </row>
    <row r="6758" spans="1:3" x14ac:dyDescent="0.2">
      <c r="A6758" s="10" t="str">
        <f>IF(6750&gt;$C$9008,"",INDEX($B$9:$B$9008,MATCH(6750,$C$9:$C$9008,0)))</f>
        <v/>
      </c>
      <c r="B6758" s="9" t="str">
        <f>IFERROR(INDEX(Input!$L$20:$T$1019,INT((ROW()-9)/9)+1,MOD(ROW()-9,9)+1),"")</f>
        <v/>
      </c>
      <c r="C6758" s="9">
        <f t="shared" si="105"/>
        <v>0</v>
      </c>
    </row>
    <row r="6759" spans="1:3" x14ac:dyDescent="0.2">
      <c r="A6759" s="10" t="str">
        <f>IF(6751&gt;$C$9008,"",INDEX($B$9:$B$9008,MATCH(6751,$C$9:$C$9008,0)))</f>
        <v/>
      </c>
      <c r="B6759" s="9" t="str">
        <f>IFERROR(INDEX(Input!$L$20:$T$1019,INT((ROW()-9)/9)+1,MOD(ROW()-9,9)+1),"")</f>
        <v/>
      </c>
      <c r="C6759" s="9">
        <f t="shared" si="105"/>
        <v>0</v>
      </c>
    </row>
    <row r="6760" spans="1:3" x14ac:dyDescent="0.2">
      <c r="A6760" s="10" t="str">
        <f>IF(6752&gt;$C$9008,"",INDEX($B$9:$B$9008,MATCH(6752,$C$9:$C$9008,0)))</f>
        <v/>
      </c>
      <c r="B6760" s="9" t="str">
        <f>IFERROR(INDEX(Input!$L$20:$T$1019,INT((ROW()-9)/9)+1,MOD(ROW()-9,9)+1),"")</f>
        <v/>
      </c>
      <c r="C6760" s="9">
        <f t="shared" si="105"/>
        <v>0</v>
      </c>
    </row>
    <row r="6761" spans="1:3" x14ac:dyDescent="0.2">
      <c r="A6761" s="10" t="str">
        <f>IF(6753&gt;$C$9008,"",INDEX($B$9:$B$9008,MATCH(6753,$C$9:$C$9008,0)))</f>
        <v/>
      </c>
      <c r="B6761" s="9" t="str">
        <f>IFERROR(INDEX(Input!$L$20:$T$1019,INT((ROW()-9)/9)+1,MOD(ROW()-9,9)+1),"")</f>
        <v/>
      </c>
      <c r="C6761" s="9">
        <f t="shared" si="105"/>
        <v>0</v>
      </c>
    </row>
    <row r="6762" spans="1:3" x14ac:dyDescent="0.2">
      <c r="A6762" s="10" t="str">
        <f>IF(6754&gt;$C$9008,"",INDEX($B$9:$B$9008,MATCH(6754,$C$9:$C$9008,0)))</f>
        <v/>
      </c>
      <c r="B6762" s="9" t="str">
        <f>IFERROR(INDEX(Input!$L$20:$T$1019,INT((ROW()-9)/9)+1,MOD(ROW()-9,9)+1),"")</f>
        <v/>
      </c>
      <c r="C6762" s="9">
        <f t="shared" si="105"/>
        <v>0</v>
      </c>
    </row>
    <row r="6763" spans="1:3" x14ac:dyDescent="0.2">
      <c r="A6763" s="10" t="str">
        <f>IF(6755&gt;$C$9008,"",INDEX($B$9:$B$9008,MATCH(6755,$C$9:$C$9008,0)))</f>
        <v/>
      </c>
      <c r="B6763" s="9" t="str">
        <f>IFERROR(INDEX(Input!$L$20:$T$1019,INT((ROW()-9)/9)+1,MOD(ROW()-9,9)+1),"")</f>
        <v/>
      </c>
      <c r="C6763" s="9">
        <f t="shared" si="105"/>
        <v>0</v>
      </c>
    </row>
    <row r="6764" spans="1:3" x14ac:dyDescent="0.2">
      <c r="A6764" s="10" t="str">
        <f>IF(6756&gt;$C$9008,"",INDEX($B$9:$B$9008,MATCH(6756,$C$9:$C$9008,0)))</f>
        <v/>
      </c>
      <c r="B6764" s="9" t="str">
        <f>IFERROR(INDEX(Input!$L$20:$T$1019,INT((ROW()-9)/9)+1,MOD(ROW()-9,9)+1),"")</f>
        <v/>
      </c>
      <c r="C6764" s="9">
        <f t="shared" si="105"/>
        <v>0</v>
      </c>
    </row>
    <row r="6765" spans="1:3" x14ac:dyDescent="0.2">
      <c r="A6765" s="10" t="str">
        <f>IF(6757&gt;$C$9008,"",INDEX($B$9:$B$9008,MATCH(6757,$C$9:$C$9008,0)))</f>
        <v/>
      </c>
      <c r="B6765" s="9" t="str">
        <f>IFERROR(INDEX(Input!$L$20:$T$1019,INT((ROW()-9)/9)+1,MOD(ROW()-9,9)+1),"")</f>
        <v/>
      </c>
      <c r="C6765" s="9">
        <f t="shared" si="105"/>
        <v>0</v>
      </c>
    </row>
    <row r="6766" spans="1:3" x14ac:dyDescent="0.2">
      <c r="A6766" s="10" t="str">
        <f>IF(6758&gt;$C$9008,"",INDEX($B$9:$B$9008,MATCH(6758,$C$9:$C$9008,0)))</f>
        <v/>
      </c>
      <c r="B6766" s="9" t="str">
        <f>IFERROR(INDEX(Input!$L$20:$T$1019,INT((ROW()-9)/9)+1,MOD(ROW()-9,9)+1),"")</f>
        <v/>
      </c>
      <c r="C6766" s="9">
        <f t="shared" si="105"/>
        <v>0</v>
      </c>
    </row>
    <row r="6767" spans="1:3" x14ac:dyDescent="0.2">
      <c r="A6767" s="10" t="str">
        <f>IF(6759&gt;$C$9008,"",INDEX($B$9:$B$9008,MATCH(6759,$C$9:$C$9008,0)))</f>
        <v/>
      </c>
      <c r="B6767" s="9" t="str">
        <f>IFERROR(INDEX(Input!$L$20:$T$1019,INT((ROW()-9)/9)+1,MOD(ROW()-9,9)+1),"")</f>
        <v/>
      </c>
      <c r="C6767" s="9">
        <f t="shared" si="105"/>
        <v>0</v>
      </c>
    </row>
    <row r="6768" spans="1:3" x14ac:dyDescent="0.2">
      <c r="A6768" s="10" t="str">
        <f>IF(6760&gt;$C$9008,"",INDEX($B$9:$B$9008,MATCH(6760,$C$9:$C$9008,0)))</f>
        <v/>
      </c>
      <c r="B6768" s="9" t="str">
        <f>IFERROR(INDEX(Input!$L$20:$T$1019,INT((ROW()-9)/9)+1,MOD(ROW()-9,9)+1),"")</f>
        <v/>
      </c>
      <c r="C6768" s="9">
        <f t="shared" si="105"/>
        <v>0</v>
      </c>
    </row>
    <row r="6769" spans="1:3" x14ac:dyDescent="0.2">
      <c r="A6769" s="10" t="str">
        <f>IF(6761&gt;$C$9008,"",INDEX($B$9:$B$9008,MATCH(6761,$C$9:$C$9008,0)))</f>
        <v/>
      </c>
      <c r="B6769" s="9" t="str">
        <f>IFERROR(INDEX(Input!$L$20:$T$1019,INT((ROW()-9)/9)+1,MOD(ROW()-9,9)+1),"")</f>
        <v/>
      </c>
      <c r="C6769" s="9">
        <f t="shared" si="105"/>
        <v>0</v>
      </c>
    </row>
    <row r="6770" spans="1:3" x14ac:dyDescent="0.2">
      <c r="A6770" s="10" t="str">
        <f>IF(6762&gt;$C$9008,"",INDEX($B$9:$B$9008,MATCH(6762,$C$9:$C$9008,0)))</f>
        <v/>
      </c>
      <c r="B6770" s="9" t="str">
        <f>IFERROR(INDEX(Input!$L$20:$T$1019,INT((ROW()-9)/9)+1,MOD(ROW()-9,9)+1),"")</f>
        <v/>
      </c>
      <c r="C6770" s="9">
        <f t="shared" si="105"/>
        <v>0</v>
      </c>
    </row>
    <row r="6771" spans="1:3" x14ac:dyDescent="0.2">
      <c r="A6771" s="10" t="str">
        <f>IF(6763&gt;$C$9008,"",INDEX($B$9:$B$9008,MATCH(6763,$C$9:$C$9008,0)))</f>
        <v/>
      </c>
      <c r="B6771" s="9" t="str">
        <f>IFERROR(INDEX(Input!$L$20:$T$1019,INT((ROW()-9)/9)+1,MOD(ROW()-9,9)+1),"")</f>
        <v/>
      </c>
      <c r="C6771" s="9">
        <f t="shared" si="105"/>
        <v>0</v>
      </c>
    </row>
    <row r="6772" spans="1:3" x14ac:dyDescent="0.2">
      <c r="A6772" s="10" t="str">
        <f>IF(6764&gt;$C$9008,"",INDEX($B$9:$B$9008,MATCH(6764,$C$9:$C$9008,0)))</f>
        <v/>
      </c>
      <c r="B6772" s="9" t="str">
        <f>IFERROR(INDEX(Input!$L$20:$T$1019,INT((ROW()-9)/9)+1,MOD(ROW()-9,9)+1),"")</f>
        <v/>
      </c>
      <c r="C6772" s="9">
        <f t="shared" si="105"/>
        <v>0</v>
      </c>
    </row>
    <row r="6773" spans="1:3" x14ac:dyDescent="0.2">
      <c r="A6773" s="10" t="str">
        <f>IF(6765&gt;$C$9008,"",INDEX($B$9:$B$9008,MATCH(6765,$C$9:$C$9008,0)))</f>
        <v/>
      </c>
      <c r="B6773" s="9" t="str">
        <f>IFERROR(INDEX(Input!$L$20:$T$1019,INT((ROW()-9)/9)+1,MOD(ROW()-9,9)+1),"")</f>
        <v/>
      </c>
      <c r="C6773" s="9">
        <f t="shared" si="105"/>
        <v>0</v>
      </c>
    </row>
    <row r="6774" spans="1:3" x14ac:dyDescent="0.2">
      <c r="A6774" s="10" t="str">
        <f>IF(6766&gt;$C$9008,"",INDEX($B$9:$B$9008,MATCH(6766,$C$9:$C$9008,0)))</f>
        <v/>
      </c>
      <c r="B6774" s="9" t="str">
        <f>IFERROR(INDEX(Input!$L$20:$T$1019,INT((ROW()-9)/9)+1,MOD(ROW()-9,9)+1),"")</f>
        <v/>
      </c>
      <c r="C6774" s="9">
        <f t="shared" si="105"/>
        <v>0</v>
      </c>
    </row>
    <row r="6775" spans="1:3" x14ac:dyDescent="0.2">
      <c r="A6775" s="10" t="str">
        <f>IF(6767&gt;$C$9008,"",INDEX($B$9:$B$9008,MATCH(6767,$C$9:$C$9008,0)))</f>
        <v/>
      </c>
      <c r="B6775" s="9" t="str">
        <f>IFERROR(INDEX(Input!$L$20:$T$1019,INT((ROW()-9)/9)+1,MOD(ROW()-9,9)+1),"")</f>
        <v/>
      </c>
      <c r="C6775" s="9">
        <f t="shared" si="105"/>
        <v>0</v>
      </c>
    </row>
    <row r="6776" spans="1:3" x14ac:dyDescent="0.2">
      <c r="A6776" s="10" t="str">
        <f>IF(6768&gt;$C$9008,"",INDEX($B$9:$B$9008,MATCH(6768,$C$9:$C$9008,0)))</f>
        <v/>
      </c>
      <c r="B6776" s="9" t="str">
        <f>IFERROR(INDEX(Input!$L$20:$T$1019,INT((ROW()-9)/9)+1,MOD(ROW()-9,9)+1),"")</f>
        <v/>
      </c>
      <c r="C6776" s="9">
        <f t="shared" si="105"/>
        <v>0</v>
      </c>
    </row>
    <row r="6777" spans="1:3" x14ac:dyDescent="0.2">
      <c r="A6777" s="10" t="str">
        <f>IF(6769&gt;$C$9008,"",INDEX($B$9:$B$9008,MATCH(6769,$C$9:$C$9008,0)))</f>
        <v/>
      </c>
      <c r="B6777" s="9" t="str">
        <f>IFERROR(INDEX(Input!$L$20:$T$1019,INT((ROW()-9)/9)+1,MOD(ROW()-9,9)+1),"")</f>
        <v/>
      </c>
      <c r="C6777" s="9">
        <f t="shared" si="105"/>
        <v>0</v>
      </c>
    </row>
    <row r="6778" spans="1:3" x14ac:dyDescent="0.2">
      <c r="A6778" s="10" t="str">
        <f>IF(6770&gt;$C$9008,"",INDEX($B$9:$B$9008,MATCH(6770,$C$9:$C$9008,0)))</f>
        <v/>
      </c>
      <c r="B6778" s="9" t="str">
        <f>IFERROR(INDEX(Input!$L$20:$T$1019,INT((ROW()-9)/9)+1,MOD(ROW()-9,9)+1),"")</f>
        <v/>
      </c>
      <c r="C6778" s="9">
        <f t="shared" si="105"/>
        <v>0</v>
      </c>
    </row>
    <row r="6779" spans="1:3" x14ac:dyDescent="0.2">
      <c r="A6779" s="10" t="str">
        <f>IF(6771&gt;$C$9008,"",INDEX($B$9:$B$9008,MATCH(6771,$C$9:$C$9008,0)))</f>
        <v/>
      </c>
      <c r="B6779" s="9" t="str">
        <f>IFERROR(INDEX(Input!$L$20:$T$1019,INT((ROW()-9)/9)+1,MOD(ROW()-9,9)+1),"")</f>
        <v/>
      </c>
      <c r="C6779" s="9">
        <f t="shared" si="105"/>
        <v>0</v>
      </c>
    </row>
    <row r="6780" spans="1:3" x14ac:dyDescent="0.2">
      <c r="A6780" s="10" t="str">
        <f>IF(6772&gt;$C$9008,"",INDEX($B$9:$B$9008,MATCH(6772,$C$9:$C$9008,0)))</f>
        <v/>
      </c>
      <c r="B6780" s="9" t="str">
        <f>IFERROR(INDEX(Input!$L$20:$T$1019,INT((ROW()-9)/9)+1,MOD(ROW()-9,9)+1),"")</f>
        <v/>
      </c>
      <c r="C6780" s="9">
        <f t="shared" si="105"/>
        <v>0</v>
      </c>
    </row>
    <row r="6781" spans="1:3" x14ac:dyDescent="0.2">
      <c r="A6781" s="10" t="str">
        <f>IF(6773&gt;$C$9008,"",INDEX($B$9:$B$9008,MATCH(6773,$C$9:$C$9008,0)))</f>
        <v/>
      </c>
      <c r="B6781" s="9" t="str">
        <f>IFERROR(INDEX(Input!$L$20:$T$1019,INT((ROW()-9)/9)+1,MOD(ROW()-9,9)+1),"")</f>
        <v/>
      </c>
      <c r="C6781" s="9">
        <f t="shared" si="105"/>
        <v>0</v>
      </c>
    </row>
    <row r="6782" spans="1:3" x14ac:dyDescent="0.2">
      <c r="A6782" s="10" t="str">
        <f>IF(6774&gt;$C$9008,"",INDEX($B$9:$B$9008,MATCH(6774,$C$9:$C$9008,0)))</f>
        <v/>
      </c>
      <c r="B6782" s="9" t="str">
        <f>IFERROR(INDEX(Input!$L$20:$T$1019,INT((ROW()-9)/9)+1,MOD(ROW()-9,9)+1),"")</f>
        <v/>
      </c>
      <c r="C6782" s="9">
        <f t="shared" si="105"/>
        <v>0</v>
      </c>
    </row>
    <row r="6783" spans="1:3" x14ac:dyDescent="0.2">
      <c r="A6783" s="10" t="str">
        <f>IF(6775&gt;$C$9008,"",INDEX($B$9:$B$9008,MATCH(6775,$C$9:$C$9008,0)))</f>
        <v/>
      </c>
      <c r="B6783" s="9" t="str">
        <f>IFERROR(INDEX(Input!$L$20:$T$1019,INT((ROW()-9)/9)+1,MOD(ROW()-9,9)+1),"")</f>
        <v/>
      </c>
      <c r="C6783" s="9">
        <f t="shared" si="105"/>
        <v>0</v>
      </c>
    </row>
    <row r="6784" spans="1:3" x14ac:dyDescent="0.2">
      <c r="A6784" s="10" t="str">
        <f>IF(6776&gt;$C$9008,"",INDEX($B$9:$B$9008,MATCH(6776,$C$9:$C$9008,0)))</f>
        <v/>
      </c>
      <c r="B6784" s="9" t="str">
        <f>IFERROR(INDEX(Input!$L$20:$T$1019,INT((ROW()-9)/9)+1,MOD(ROW()-9,9)+1),"")</f>
        <v/>
      </c>
      <c r="C6784" s="9">
        <f t="shared" si="105"/>
        <v>0</v>
      </c>
    </row>
    <row r="6785" spans="1:3" x14ac:dyDescent="0.2">
      <c r="A6785" s="10" t="str">
        <f>IF(6777&gt;$C$9008,"",INDEX($B$9:$B$9008,MATCH(6777,$C$9:$C$9008,0)))</f>
        <v/>
      </c>
      <c r="B6785" s="9" t="str">
        <f>IFERROR(INDEX(Input!$L$20:$T$1019,INT((ROW()-9)/9)+1,MOD(ROW()-9,9)+1),"")</f>
        <v/>
      </c>
      <c r="C6785" s="9">
        <f t="shared" si="105"/>
        <v>0</v>
      </c>
    </row>
    <row r="6786" spans="1:3" x14ac:dyDescent="0.2">
      <c r="A6786" s="10" t="str">
        <f>IF(6778&gt;$C$9008,"",INDEX($B$9:$B$9008,MATCH(6778,$C$9:$C$9008,0)))</f>
        <v/>
      </c>
      <c r="B6786" s="9" t="str">
        <f>IFERROR(INDEX(Input!$L$20:$T$1019,INT((ROW()-9)/9)+1,MOD(ROW()-9,9)+1),"")</f>
        <v/>
      </c>
      <c r="C6786" s="9">
        <f t="shared" si="105"/>
        <v>0</v>
      </c>
    </row>
    <row r="6787" spans="1:3" x14ac:dyDescent="0.2">
      <c r="A6787" s="10" t="str">
        <f>IF(6779&gt;$C$9008,"",INDEX($B$9:$B$9008,MATCH(6779,$C$9:$C$9008,0)))</f>
        <v/>
      </c>
      <c r="B6787" s="9" t="str">
        <f>IFERROR(INDEX(Input!$L$20:$T$1019,INT((ROW()-9)/9)+1,MOD(ROW()-9,9)+1),"")</f>
        <v/>
      </c>
      <c r="C6787" s="9">
        <f t="shared" si="105"/>
        <v>0</v>
      </c>
    </row>
    <row r="6788" spans="1:3" x14ac:dyDescent="0.2">
      <c r="A6788" s="10" t="str">
        <f>IF(6780&gt;$C$9008,"",INDEX($B$9:$B$9008,MATCH(6780,$C$9:$C$9008,0)))</f>
        <v/>
      </c>
      <c r="B6788" s="9" t="str">
        <f>IFERROR(INDEX(Input!$L$20:$T$1019,INT((ROW()-9)/9)+1,MOD(ROW()-9,9)+1),"")</f>
        <v/>
      </c>
      <c r="C6788" s="9">
        <f t="shared" si="105"/>
        <v>0</v>
      </c>
    </row>
    <row r="6789" spans="1:3" x14ac:dyDescent="0.2">
      <c r="A6789" s="10" t="str">
        <f>IF(6781&gt;$C$9008,"",INDEX($B$9:$B$9008,MATCH(6781,$C$9:$C$9008,0)))</f>
        <v/>
      </c>
      <c r="B6789" s="9" t="str">
        <f>IFERROR(INDEX(Input!$L$20:$T$1019,INT((ROW()-9)/9)+1,MOD(ROW()-9,9)+1),"")</f>
        <v/>
      </c>
      <c r="C6789" s="9">
        <f t="shared" si="105"/>
        <v>0</v>
      </c>
    </row>
    <row r="6790" spans="1:3" x14ac:dyDescent="0.2">
      <c r="A6790" s="10" t="str">
        <f>IF(6782&gt;$C$9008,"",INDEX($B$9:$B$9008,MATCH(6782,$C$9:$C$9008,0)))</f>
        <v/>
      </c>
      <c r="B6790" s="9" t="str">
        <f>IFERROR(INDEX(Input!$L$20:$T$1019,INT((ROW()-9)/9)+1,MOD(ROW()-9,9)+1),"")</f>
        <v/>
      </c>
      <c r="C6790" s="9">
        <f t="shared" si="105"/>
        <v>0</v>
      </c>
    </row>
    <row r="6791" spans="1:3" x14ac:dyDescent="0.2">
      <c r="A6791" s="10" t="str">
        <f>IF(6783&gt;$C$9008,"",INDEX($B$9:$B$9008,MATCH(6783,$C$9:$C$9008,0)))</f>
        <v/>
      </c>
      <c r="B6791" s="9" t="str">
        <f>IFERROR(INDEX(Input!$L$20:$T$1019,INT((ROW()-9)/9)+1,MOD(ROW()-9,9)+1),"")</f>
        <v/>
      </c>
      <c r="C6791" s="9">
        <f t="shared" si="105"/>
        <v>0</v>
      </c>
    </row>
    <row r="6792" spans="1:3" x14ac:dyDescent="0.2">
      <c r="A6792" s="10" t="str">
        <f>IF(6784&gt;$C$9008,"",INDEX($B$9:$B$9008,MATCH(6784,$C$9:$C$9008,0)))</f>
        <v/>
      </c>
      <c r="B6792" s="9" t="str">
        <f>IFERROR(INDEX(Input!$L$20:$T$1019,INT((ROW()-9)/9)+1,MOD(ROW()-9,9)+1),"")</f>
        <v/>
      </c>
      <c r="C6792" s="9">
        <f t="shared" si="105"/>
        <v>0</v>
      </c>
    </row>
    <row r="6793" spans="1:3" x14ac:dyDescent="0.2">
      <c r="A6793" s="10" t="str">
        <f>IF(6785&gt;$C$9008,"",INDEX($B$9:$B$9008,MATCH(6785,$C$9:$C$9008,0)))</f>
        <v/>
      </c>
      <c r="B6793" s="9" t="str">
        <f>IFERROR(INDEX(Input!$L$20:$T$1019,INT((ROW()-9)/9)+1,MOD(ROW()-9,9)+1),"")</f>
        <v/>
      </c>
      <c r="C6793" s="9">
        <f t="shared" ref="C6793:C6856" si="106">$C6792+IF($B6793&lt;&gt;"",1,0)</f>
        <v>0</v>
      </c>
    </row>
    <row r="6794" spans="1:3" x14ac:dyDescent="0.2">
      <c r="A6794" s="10" t="str">
        <f>IF(6786&gt;$C$9008,"",INDEX($B$9:$B$9008,MATCH(6786,$C$9:$C$9008,0)))</f>
        <v/>
      </c>
      <c r="B6794" s="9" t="str">
        <f>IFERROR(INDEX(Input!$L$20:$T$1019,INT((ROW()-9)/9)+1,MOD(ROW()-9,9)+1),"")</f>
        <v/>
      </c>
      <c r="C6794" s="9">
        <f t="shared" si="106"/>
        <v>0</v>
      </c>
    </row>
    <row r="6795" spans="1:3" x14ac:dyDescent="0.2">
      <c r="A6795" s="10" t="str">
        <f>IF(6787&gt;$C$9008,"",INDEX($B$9:$B$9008,MATCH(6787,$C$9:$C$9008,0)))</f>
        <v/>
      </c>
      <c r="B6795" s="9" t="str">
        <f>IFERROR(INDEX(Input!$L$20:$T$1019,INT((ROW()-9)/9)+1,MOD(ROW()-9,9)+1),"")</f>
        <v/>
      </c>
      <c r="C6795" s="9">
        <f t="shared" si="106"/>
        <v>0</v>
      </c>
    </row>
    <row r="6796" spans="1:3" x14ac:dyDescent="0.2">
      <c r="A6796" s="10" t="str">
        <f>IF(6788&gt;$C$9008,"",INDEX($B$9:$B$9008,MATCH(6788,$C$9:$C$9008,0)))</f>
        <v/>
      </c>
      <c r="B6796" s="9" t="str">
        <f>IFERROR(INDEX(Input!$L$20:$T$1019,INT((ROW()-9)/9)+1,MOD(ROW()-9,9)+1),"")</f>
        <v/>
      </c>
      <c r="C6796" s="9">
        <f t="shared" si="106"/>
        <v>0</v>
      </c>
    </row>
    <row r="6797" spans="1:3" x14ac:dyDescent="0.2">
      <c r="A6797" s="10" t="str">
        <f>IF(6789&gt;$C$9008,"",INDEX($B$9:$B$9008,MATCH(6789,$C$9:$C$9008,0)))</f>
        <v/>
      </c>
      <c r="B6797" s="9" t="str">
        <f>IFERROR(INDEX(Input!$L$20:$T$1019,INT((ROW()-9)/9)+1,MOD(ROW()-9,9)+1),"")</f>
        <v/>
      </c>
      <c r="C6797" s="9">
        <f t="shared" si="106"/>
        <v>0</v>
      </c>
    </row>
    <row r="6798" spans="1:3" x14ac:dyDescent="0.2">
      <c r="A6798" s="10" t="str">
        <f>IF(6790&gt;$C$9008,"",INDEX($B$9:$B$9008,MATCH(6790,$C$9:$C$9008,0)))</f>
        <v/>
      </c>
      <c r="B6798" s="9" t="str">
        <f>IFERROR(INDEX(Input!$L$20:$T$1019,INT((ROW()-9)/9)+1,MOD(ROW()-9,9)+1),"")</f>
        <v/>
      </c>
      <c r="C6798" s="9">
        <f t="shared" si="106"/>
        <v>0</v>
      </c>
    </row>
    <row r="6799" spans="1:3" x14ac:dyDescent="0.2">
      <c r="A6799" s="10" t="str">
        <f>IF(6791&gt;$C$9008,"",INDEX($B$9:$B$9008,MATCH(6791,$C$9:$C$9008,0)))</f>
        <v/>
      </c>
      <c r="B6799" s="9" t="str">
        <f>IFERROR(INDEX(Input!$L$20:$T$1019,INT((ROW()-9)/9)+1,MOD(ROW()-9,9)+1),"")</f>
        <v/>
      </c>
      <c r="C6799" s="9">
        <f t="shared" si="106"/>
        <v>0</v>
      </c>
    </row>
    <row r="6800" spans="1:3" x14ac:dyDescent="0.2">
      <c r="A6800" s="10" t="str">
        <f>IF(6792&gt;$C$9008,"",INDEX($B$9:$B$9008,MATCH(6792,$C$9:$C$9008,0)))</f>
        <v/>
      </c>
      <c r="B6800" s="9" t="str">
        <f>IFERROR(INDEX(Input!$L$20:$T$1019,INT((ROW()-9)/9)+1,MOD(ROW()-9,9)+1),"")</f>
        <v/>
      </c>
      <c r="C6800" s="9">
        <f t="shared" si="106"/>
        <v>0</v>
      </c>
    </row>
    <row r="6801" spans="1:3" x14ac:dyDescent="0.2">
      <c r="A6801" s="10" t="str">
        <f>IF(6793&gt;$C$9008,"",INDEX($B$9:$B$9008,MATCH(6793,$C$9:$C$9008,0)))</f>
        <v/>
      </c>
      <c r="B6801" s="9" t="str">
        <f>IFERROR(INDEX(Input!$L$20:$T$1019,INT((ROW()-9)/9)+1,MOD(ROW()-9,9)+1),"")</f>
        <v/>
      </c>
      <c r="C6801" s="9">
        <f t="shared" si="106"/>
        <v>0</v>
      </c>
    </row>
    <row r="6802" spans="1:3" x14ac:dyDescent="0.2">
      <c r="A6802" s="10" t="str">
        <f>IF(6794&gt;$C$9008,"",INDEX($B$9:$B$9008,MATCH(6794,$C$9:$C$9008,0)))</f>
        <v/>
      </c>
      <c r="B6802" s="9" t="str">
        <f>IFERROR(INDEX(Input!$L$20:$T$1019,INT((ROW()-9)/9)+1,MOD(ROW()-9,9)+1),"")</f>
        <v/>
      </c>
      <c r="C6802" s="9">
        <f t="shared" si="106"/>
        <v>0</v>
      </c>
    </row>
    <row r="6803" spans="1:3" x14ac:dyDescent="0.2">
      <c r="A6803" s="10" t="str">
        <f>IF(6795&gt;$C$9008,"",INDEX($B$9:$B$9008,MATCH(6795,$C$9:$C$9008,0)))</f>
        <v/>
      </c>
      <c r="B6803" s="9" t="str">
        <f>IFERROR(INDEX(Input!$L$20:$T$1019,INT((ROW()-9)/9)+1,MOD(ROW()-9,9)+1),"")</f>
        <v/>
      </c>
      <c r="C6803" s="9">
        <f t="shared" si="106"/>
        <v>0</v>
      </c>
    </row>
    <row r="6804" spans="1:3" x14ac:dyDescent="0.2">
      <c r="A6804" s="10" t="str">
        <f>IF(6796&gt;$C$9008,"",INDEX($B$9:$B$9008,MATCH(6796,$C$9:$C$9008,0)))</f>
        <v/>
      </c>
      <c r="B6804" s="9" t="str">
        <f>IFERROR(INDEX(Input!$L$20:$T$1019,INT((ROW()-9)/9)+1,MOD(ROW()-9,9)+1),"")</f>
        <v/>
      </c>
      <c r="C6804" s="9">
        <f t="shared" si="106"/>
        <v>0</v>
      </c>
    </row>
    <row r="6805" spans="1:3" x14ac:dyDescent="0.2">
      <c r="A6805" s="10" t="str">
        <f>IF(6797&gt;$C$9008,"",INDEX($B$9:$B$9008,MATCH(6797,$C$9:$C$9008,0)))</f>
        <v/>
      </c>
      <c r="B6805" s="9" t="str">
        <f>IFERROR(INDEX(Input!$L$20:$T$1019,INT((ROW()-9)/9)+1,MOD(ROW()-9,9)+1),"")</f>
        <v/>
      </c>
      <c r="C6805" s="9">
        <f t="shared" si="106"/>
        <v>0</v>
      </c>
    </row>
    <row r="6806" spans="1:3" x14ac:dyDescent="0.2">
      <c r="A6806" s="10" t="str">
        <f>IF(6798&gt;$C$9008,"",INDEX($B$9:$B$9008,MATCH(6798,$C$9:$C$9008,0)))</f>
        <v/>
      </c>
      <c r="B6806" s="9" t="str">
        <f>IFERROR(INDEX(Input!$L$20:$T$1019,INT((ROW()-9)/9)+1,MOD(ROW()-9,9)+1),"")</f>
        <v/>
      </c>
      <c r="C6806" s="9">
        <f t="shared" si="106"/>
        <v>0</v>
      </c>
    </row>
    <row r="6807" spans="1:3" x14ac:dyDescent="0.2">
      <c r="A6807" s="10" t="str">
        <f>IF(6799&gt;$C$9008,"",INDEX($B$9:$B$9008,MATCH(6799,$C$9:$C$9008,0)))</f>
        <v/>
      </c>
      <c r="B6807" s="9" t="str">
        <f>IFERROR(INDEX(Input!$L$20:$T$1019,INT((ROW()-9)/9)+1,MOD(ROW()-9,9)+1),"")</f>
        <v/>
      </c>
      <c r="C6807" s="9">
        <f t="shared" si="106"/>
        <v>0</v>
      </c>
    </row>
    <row r="6808" spans="1:3" x14ac:dyDescent="0.2">
      <c r="A6808" s="10" t="str">
        <f>IF(6800&gt;$C$9008,"",INDEX($B$9:$B$9008,MATCH(6800,$C$9:$C$9008,0)))</f>
        <v/>
      </c>
      <c r="B6808" s="9" t="str">
        <f>IFERROR(INDEX(Input!$L$20:$T$1019,INT((ROW()-9)/9)+1,MOD(ROW()-9,9)+1),"")</f>
        <v/>
      </c>
      <c r="C6808" s="9">
        <f t="shared" si="106"/>
        <v>0</v>
      </c>
    </row>
    <row r="6809" spans="1:3" x14ac:dyDescent="0.2">
      <c r="A6809" s="10" t="str">
        <f>IF(6801&gt;$C$9008,"",INDEX($B$9:$B$9008,MATCH(6801,$C$9:$C$9008,0)))</f>
        <v/>
      </c>
      <c r="B6809" s="9" t="str">
        <f>IFERROR(INDEX(Input!$L$20:$T$1019,INT((ROW()-9)/9)+1,MOD(ROW()-9,9)+1),"")</f>
        <v/>
      </c>
      <c r="C6809" s="9">
        <f t="shared" si="106"/>
        <v>0</v>
      </c>
    </row>
    <row r="6810" spans="1:3" x14ac:dyDescent="0.2">
      <c r="A6810" s="10" t="str">
        <f>IF(6802&gt;$C$9008,"",INDEX($B$9:$B$9008,MATCH(6802,$C$9:$C$9008,0)))</f>
        <v/>
      </c>
      <c r="B6810" s="9" t="str">
        <f>IFERROR(INDEX(Input!$L$20:$T$1019,INT((ROW()-9)/9)+1,MOD(ROW()-9,9)+1),"")</f>
        <v/>
      </c>
      <c r="C6810" s="9">
        <f t="shared" si="106"/>
        <v>0</v>
      </c>
    </row>
    <row r="6811" spans="1:3" x14ac:dyDescent="0.2">
      <c r="A6811" s="10" t="str">
        <f>IF(6803&gt;$C$9008,"",INDEX($B$9:$B$9008,MATCH(6803,$C$9:$C$9008,0)))</f>
        <v/>
      </c>
      <c r="B6811" s="9" t="str">
        <f>IFERROR(INDEX(Input!$L$20:$T$1019,INT((ROW()-9)/9)+1,MOD(ROW()-9,9)+1),"")</f>
        <v/>
      </c>
      <c r="C6811" s="9">
        <f t="shared" si="106"/>
        <v>0</v>
      </c>
    </row>
    <row r="6812" spans="1:3" x14ac:dyDescent="0.2">
      <c r="A6812" s="10" t="str">
        <f>IF(6804&gt;$C$9008,"",INDEX($B$9:$B$9008,MATCH(6804,$C$9:$C$9008,0)))</f>
        <v/>
      </c>
      <c r="B6812" s="9" t="str">
        <f>IFERROR(INDEX(Input!$L$20:$T$1019,INT((ROW()-9)/9)+1,MOD(ROW()-9,9)+1),"")</f>
        <v/>
      </c>
      <c r="C6812" s="9">
        <f t="shared" si="106"/>
        <v>0</v>
      </c>
    </row>
    <row r="6813" spans="1:3" x14ac:dyDescent="0.2">
      <c r="A6813" s="10" t="str">
        <f>IF(6805&gt;$C$9008,"",INDEX($B$9:$B$9008,MATCH(6805,$C$9:$C$9008,0)))</f>
        <v/>
      </c>
      <c r="B6813" s="9" t="str">
        <f>IFERROR(INDEX(Input!$L$20:$T$1019,INT((ROW()-9)/9)+1,MOD(ROW()-9,9)+1),"")</f>
        <v/>
      </c>
      <c r="C6813" s="9">
        <f t="shared" si="106"/>
        <v>0</v>
      </c>
    </row>
    <row r="6814" spans="1:3" x14ac:dyDescent="0.2">
      <c r="A6814" s="10" t="str">
        <f>IF(6806&gt;$C$9008,"",INDEX($B$9:$B$9008,MATCH(6806,$C$9:$C$9008,0)))</f>
        <v/>
      </c>
      <c r="B6814" s="9" t="str">
        <f>IFERROR(INDEX(Input!$L$20:$T$1019,INT((ROW()-9)/9)+1,MOD(ROW()-9,9)+1),"")</f>
        <v/>
      </c>
      <c r="C6814" s="9">
        <f t="shared" si="106"/>
        <v>0</v>
      </c>
    </row>
    <row r="6815" spans="1:3" x14ac:dyDescent="0.2">
      <c r="A6815" s="10" t="str">
        <f>IF(6807&gt;$C$9008,"",INDEX($B$9:$B$9008,MATCH(6807,$C$9:$C$9008,0)))</f>
        <v/>
      </c>
      <c r="B6815" s="9" t="str">
        <f>IFERROR(INDEX(Input!$L$20:$T$1019,INT((ROW()-9)/9)+1,MOD(ROW()-9,9)+1),"")</f>
        <v/>
      </c>
      <c r="C6815" s="9">
        <f t="shared" si="106"/>
        <v>0</v>
      </c>
    </row>
    <row r="6816" spans="1:3" x14ac:dyDescent="0.2">
      <c r="A6816" s="10" t="str">
        <f>IF(6808&gt;$C$9008,"",INDEX($B$9:$B$9008,MATCH(6808,$C$9:$C$9008,0)))</f>
        <v/>
      </c>
      <c r="B6816" s="9" t="str">
        <f>IFERROR(INDEX(Input!$L$20:$T$1019,INT((ROW()-9)/9)+1,MOD(ROW()-9,9)+1),"")</f>
        <v/>
      </c>
      <c r="C6816" s="9">
        <f t="shared" si="106"/>
        <v>0</v>
      </c>
    </row>
    <row r="6817" spans="1:3" x14ac:dyDescent="0.2">
      <c r="A6817" s="10" t="str">
        <f>IF(6809&gt;$C$9008,"",INDEX($B$9:$B$9008,MATCH(6809,$C$9:$C$9008,0)))</f>
        <v/>
      </c>
      <c r="B6817" s="9" t="str">
        <f>IFERROR(INDEX(Input!$L$20:$T$1019,INT((ROW()-9)/9)+1,MOD(ROW()-9,9)+1),"")</f>
        <v/>
      </c>
      <c r="C6817" s="9">
        <f t="shared" si="106"/>
        <v>0</v>
      </c>
    </row>
    <row r="6818" spans="1:3" x14ac:dyDescent="0.2">
      <c r="A6818" s="10" t="str">
        <f>IF(6810&gt;$C$9008,"",INDEX($B$9:$B$9008,MATCH(6810,$C$9:$C$9008,0)))</f>
        <v/>
      </c>
      <c r="B6818" s="9" t="str">
        <f>IFERROR(INDEX(Input!$L$20:$T$1019,INT((ROW()-9)/9)+1,MOD(ROW()-9,9)+1),"")</f>
        <v/>
      </c>
      <c r="C6818" s="9">
        <f t="shared" si="106"/>
        <v>0</v>
      </c>
    </row>
    <row r="6819" spans="1:3" x14ac:dyDescent="0.2">
      <c r="A6819" s="10" t="str">
        <f>IF(6811&gt;$C$9008,"",INDEX($B$9:$B$9008,MATCH(6811,$C$9:$C$9008,0)))</f>
        <v/>
      </c>
      <c r="B6819" s="9" t="str">
        <f>IFERROR(INDEX(Input!$L$20:$T$1019,INT((ROW()-9)/9)+1,MOD(ROW()-9,9)+1),"")</f>
        <v/>
      </c>
      <c r="C6819" s="9">
        <f t="shared" si="106"/>
        <v>0</v>
      </c>
    </row>
    <row r="6820" spans="1:3" x14ac:dyDescent="0.2">
      <c r="A6820" s="10" t="str">
        <f>IF(6812&gt;$C$9008,"",INDEX($B$9:$B$9008,MATCH(6812,$C$9:$C$9008,0)))</f>
        <v/>
      </c>
      <c r="B6820" s="9" t="str">
        <f>IFERROR(INDEX(Input!$L$20:$T$1019,INT((ROW()-9)/9)+1,MOD(ROW()-9,9)+1),"")</f>
        <v/>
      </c>
      <c r="C6820" s="9">
        <f t="shared" si="106"/>
        <v>0</v>
      </c>
    </row>
    <row r="6821" spans="1:3" x14ac:dyDescent="0.2">
      <c r="A6821" s="10" t="str">
        <f>IF(6813&gt;$C$9008,"",INDEX($B$9:$B$9008,MATCH(6813,$C$9:$C$9008,0)))</f>
        <v/>
      </c>
      <c r="B6821" s="9" t="str">
        <f>IFERROR(INDEX(Input!$L$20:$T$1019,INT((ROW()-9)/9)+1,MOD(ROW()-9,9)+1),"")</f>
        <v/>
      </c>
      <c r="C6821" s="9">
        <f t="shared" si="106"/>
        <v>0</v>
      </c>
    </row>
    <row r="6822" spans="1:3" x14ac:dyDescent="0.2">
      <c r="A6822" s="10" t="str">
        <f>IF(6814&gt;$C$9008,"",INDEX($B$9:$B$9008,MATCH(6814,$C$9:$C$9008,0)))</f>
        <v/>
      </c>
      <c r="B6822" s="9" t="str">
        <f>IFERROR(INDEX(Input!$L$20:$T$1019,INT((ROW()-9)/9)+1,MOD(ROW()-9,9)+1),"")</f>
        <v/>
      </c>
      <c r="C6822" s="9">
        <f t="shared" si="106"/>
        <v>0</v>
      </c>
    </row>
    <row r="6823" spans="1:3" x14ac:dyDescent="0.2">
      <c r="A6823" s="10" t="str">
        <f>IF(6815&gt;$C$9008,"",INDEX($B$9:$B$9008,MATCH(6815,$C$9:$C$9008,0)))</f>
        <v/>
      </c>
      <c r="B6823" s="9" t="str">
        <f>IFERROR(INDEX(Input!$L$20:$T$1019,INT((ROW()-9)/9)+1,MOD(ROW()-9,9)+1),"")</f>
        <v/>
      </c>
      <c r="C6823" s="9">
        <f t="shared" si="106"/>
        <v>0</v>
      </c>
    </row>
    <row r="6824" spans="1:3" x14ac:dyDescent="0.2">
      <c r="A6824" s="10" t="str">
        <f>IF(6816&gt;$C$9008,"",INDEX($B$9:$B$9008,MATCH(6816,$C$9:$C$9008,0)))</f>
        <v/>
      </c>
      <c r="B6824" s="9" t="str">
        <f>IFERROR(INDEX(Input!$L$20:$T$1019,INT((ROW()-9)/9)+1,MOD(ROW()-9,9)+1),"")</f>
        <v/>
      </c>
      <c r="C6824" s="9">
        <f t="shared" si="106"/>
        <v>0</v>
      </c>
    </row>
    <row r="6825" spans="1:3" x14ac:dyDescent="0.2">
      <c r="A6825" s="10" t="str">
        <f>IF(6817&gt;$C$9008,"",INDEX($B$9:$B$9008,MATCH(6817,$C$9:$C$9008,0)))</f>
        <v/>
      </c>
      <c r="B6825" s="9" t="str">
        <f>IFERROR(INDEX(Input!$L$20:$T$1019,INT((ROW()-9)/9)+1,MOD(ROW()-9,9)+1),"")</f>
        <v/>
      </c>
      <c r="C6825" s="9">
        <f t="shared" si="106"/>
        <v>0</v>
      </c>
    </row>
    <row r="6826" spans="1:3" x14ac:dyDescent="0.2">
      <c r="A6826" s="10" t="str">
        <f>IF(6818&gt;$C$9008,"",INDEX($B$9:$B$9008,MATCH(6818,$C$9:$C$9008,0)))</f>
        <v/>
      </c>
      <c r="B6826" s="9" t="str">
        <f>IFERROR(INDEX(Input!$L$20:$T$1019,INT((ROW()-9)/9)+1,MOD(ROW()-9,9)+1),"")</f>
        <v/>
      </c>
      <c r="C6826" s="9">
        <f t="shared" si="106"/>
        <v>0</v>
      </c>
    </row>
    <row r="6827" spans="1:3" x14ac:dyDescent="0.2">
      <c r="A6827" s="10" t="str">
        <f>IF(6819&gt;$C$9008,"",INDEX($B$9:$B$9008,MATCH(6819,$C$9:$C$9008,0)))</f>
        <v/>
      </c>
      <c r="B6827" s="9" t="str">
        <f>IFERROR(INDEX(Input!$L$20:$T$1019,INT((ROW()-9)/9)+1,MOD(ROW()-9,9)+1),"")</f>
        <v/>
      </c>
      <c r="C6827" s="9">
        <f t="shared" si="106"/>
        <v>0</v>
      </c>
    </row>
    <row r="6828" spans="1:3" x14ac:dyDescent="0.2">
      <c r="A6828" s="10" t="str">
        <f>IF(6820&gt;$C$9008,"",INDEX($B$9:$B$9008,MATCH(6820,$C$9:$C$9008,0)))</f>
        <v/>
      </c>
      <c r="B6828" s="9" t="str">
        <f>IFERROR(INDEX(Input!$L$20:$T$1019,INT((ROW()-9)/9)+1,MOD(ROW()-9,9)+1),"")</f>
        <v/>
      </c>
      <c r="C6828" s="9">
        <f t="shared" si="106"/>
        <v>0</v>
      </c>
    </row>
    <row r="6829" spans="1:3" x14ac:dyDescent="0.2">
      <c r="A6829" s="10" t="str">
        <f>IF(6821&gt;$C$9008,"",INDEX($B$9:$B$9008,MATCH(6821,$C$9:$C$9008,0)))</f>
        <v/>
      </c>
      <c r="B6829" s="9" t="str">
        <f>IFERROR(INDEX(Input!$L$20:$T$1019,INT((ROW()-9)/9)+1,MOD(ROW()-9,9)+1),"")</f>
        <v/>
      </c>
      <c r="C6829" s="9">
        <f t="shared" si="106"/>
        <v>0</v>
      </c>
    </row>
    <row r="6830" spans="1:3" x14ac:dyDescent="0.2">
      <c r="A6830" s="10" t="str">
        <f>IF(6822&gt;$C$9008,"",INDEX($B$9:$B$9008,MATCH(6822,$C$9:$C$9008,0)))</f>
        <v/>
      </c>
      <c r="B6830" s="9" t="str">
        <f>IFERROR(INDEX(Input!$L$20:$T$1019,INT((ROW()-9)/9)+1,MOD(ROW()-9,9)+1),"")</f>
        <v/>
      </c>
      <c r="C6830" s="9">
        <f t="shared" si="106"/>
        <v>0</v>
      </c>
    </row>
    <row r="6831" spans="1:3" x14ac:dyDescent="0.2">
      <c r="A6831" s="10" t="str">
        <f>IF(6823&gt;$C$9008,"",INDEX($B$9:$B$9008,MATCH(6823,$C$9:$C$9008,0)))</f>
        <v/>
      </c>
      <c r="B6831" s="9" t="str">
        <f>IFERROR(INDEX(Input!$L$20:$T$1019,INT((ROW()-9)/9)+1,MOD(ROW()-9,9)+1),"")</f>
        <v/>
      </c>
      <c r="C6831" s="9">
        <f t="shared" si="106"/>
        <v>0</v>
      </c>
    </row>
    <row r="6832" spans="1:3" x14ac:dyDescent="0.2">
      <c r="A6832" s="10" t="str">
        <f>IF(6824&gt;$C$9008,"",INDEX($B$9:$B$9008,MATCH(6824,$C$9:$C$9008,0)))</f>
        <v/>
      </c>
      <c r="B6832" s="9" t="str">
        <f>IFERROR(INDEX(Input!$L$20:$T$1019,INT((ROW()-9)/9)+1,MOD(ROW()-9,9)+1),"")</f>
        <v/>
      </c>
      <c r="C6832" s="9">
        <f t="shared" si="106"/>
        <v>0</v>
      </c>
    </row>
    <row r="6833" spans="1:3" x14ac:dyDescent="0.2">
      <c r="A6833" s="10" t="str">
        <f>IF(6825&gt;$C$9008,"",INDEX($B$9:$B$9008,MATCH(6825,$C$9:$C$9008,0)))</f>
        <v/>
      </c>
      <c r="B6833" s="9" t="str">
        <f>IFERROR(INDEX(Input!$L$20:$T$1019,INT((ROW()-9)/9)+1,MOD(ROW()-9,9)+1),"")</f>
        <v/>
      </c>
      <c r="C6833" s="9">
        <f t="shared" si="106"/>
        <v>0</v>
      </c>
    </row>
    <row r="6834" spans="1:3" x14ac:dyDescent="0.2">
      <c r="A6834" s="10" t="str">
        <f>IF(6826&gt;$C$9008,"",INDEX($B$9:$B$9008,MATCH(6826,$C$9:$C$9008,0)))</f>
        <v/>
      </c>
      <c r="B6834" s="9" t="str">
        <f>IFERROR(INDEX(Input!$L$20:$T$1019,INT((ROW()-9)/9)+1,MOD(ROW()-9,9)+1),"")</f>
        <v/>
      </c>
      <c r="C6834" s="9">
        <f t="shared" si="106"/>
        <v>0</v>
      </c>
    </row>
    <row r="6835" spans="1:3" x14ac:dyDescent="0.2">
      <c r="A6835" s="10" t="str">
        <f>IF(6827&gt;$C$9008,"",INDEX($B$9:$B$9008,MATCH(6827,$C$9:$C$9008,0)))</f>
        <v/>
      </c>
      <c r="B6835" s="9" t="str">
        <f>IFERROR(INDEX(Input!$L$20:$T$1019,INT((ROW()-9)/9)+1,MOD(ROW()-9,9)+1),"")</f>
        <v/>
      </c>
      <c r="C6835" s="9">
        <f t="shared" si="106"/>
        <v>0</v>
      </c>
    </row>
    <row r="6836" spans="1:3" x14ac:dyDescent="0.2">
      <c r="A6836" s="10" t="str">
        <f>IF(6828&gt;$C$9008,"",INDEX($B$9:$B$9008,MATCH(6828,$C$9:$C$9008,0)))</f>
        <v/>
      </c>
      <c r="B6836" s="9" t="str">
        <f>IFERROR(INDEX(Input!$L$20:$T$1019,INT((ROW()-9)/9)+1,MOD(ROW()-9,9)+1),"")</f>
        <v/>
      </c>
      <c r="C6836" s="9">
        <f t="shared" si="106"/>
        <v>0</v>
      </c>
    </row>
    <row r="6837" spans="1:3" x14ac:dyDescent="0.2">
      <c r="A6837" s="10" t="str">
        <f>IF(6829&gt;$C$9008,"",INDEX($B$9:$B$9008,MATCH(6829,$C$9:$C$9008,0)))</f>
        <v/>
      </c>
      <c r="B6837" s="9" t="str">
        <f>IFERROR(INDEX(Input!$L$20:$T$1019,INT((ROW()-9)/9)+1,MOD(ROW()-9,9)+1),"")</f>
        <v/>
      </c>
      <c r="C6837" s="9">
        <f t="shared" si="106"/>
        <v>0</v>
      </c>
    </row>
    <row r="6838" spans="1:3" x14ac:dyDescent="0.2">
      <c r="A6838" s="10" t="str">
        <f>IF(6830&gt;$C$9008,"",INDEX($B$9:$B$9008,MATCH(6830,$C$9:$C$9008,0)))</f>
        <v/>
      </c>
      <c r="B6838" s="9" t="str">
        <f>IFERROR(INDEX(Input!$L$20:$T$1019,INT((ROW()-9)/9)+1,MOD(ROW()-9,9)+1),"")</f>
        <v/>
      </c>
      <c r="C6838" s="9">
        <f t="shared" si="106"/>
        <v>0</v>
      </c>
    </row>
    <row r="6839" spans="1:3" x14ac:dyDescent="0.2">
      <c r="A6839" s="10" t="str">
        <f>IF(6831&gt;$C$9008,"",INDEX($B$9:$B$9008,MATCH(6831,$C$9:$C$9008,0)))</f>
        <v/>
      </c>
      <c r="B6839" s="9" t="str">
        <f>IFERROR(INDEX(Input!$L$20:$T$1019,INT((ROW()-9)/9)+1,MOD(ROW()-9,9)+1),"")</f>
        <v/>
      </c>
      <c r="C6839" s="9">
        <f t="shared" si="106"/>
        <v>0</v>
      </c>
    </row>
    <row r="6840" spans="1:3" x14ac:dyDescent="0.2">
      <c r="A6840" s="10" t="str">
        <f>IF(6832&gt;$C$9008,"",INDEX($B$9:$B$9008,MATCH(6832,$C$9:$C$9008,0)))</f>
        <v/>
      </c>
      <c r="B6840" s="9" t="str">
        <f>IFERROR(INDEX(Input!$L$20:$T$1019,INT((ROW()-9)/9)+1,MOD(ROW()-9,9)+1),"")</f>
        <v/>
      </c>
      <c r="C6840" s="9">
        <f t="shared" si="106"/>
        <v>0</v>
      </c>
    </row>
    <row r="6841" spans="1:3" x14ac:dyDescent="0.2">
      <c r="A6841" s="10" t="str">
        <f>IF(6833&gt;$C$9008,"",INDEX($B$9:$B$9008,MATCH(6833,$C$9:$C$9008,0)))</f>
        <v/>
      </c>
      <c r="B6841" s="9" t="str">
        <f>IFERROR(INDEX(Input!$L$20:$T$1019,INT((ROW()-9)/9)+1,MOD(ROW()-9,9)+1),"")</f>
        <v/>
      </c>
      <c r="C6841" s="9">
        <f t="shared" si="106"/>
        <v>0</v>
      </c>
    </row>
    <row r="6842" spans="1:3" x14ac:dyDescent="0.2">
      <c r="A6842" s="10" t="str">
        <f>IF(6834&gt;$C$9008,"",INDEX($B$9:$B$9008,MATCH(6834,$C$9:$C$9008,0)))</f>
        <v/>
      </c>
      <c r="B6842" s="9" t="str">
        <f>IFERROR(INDEX(Input!$L$20:$T$1019,INT((ROW()-9)/9)+1,MOD(ROW()-9,9)+1),"")</f>
        <v/>
      </c>
      <c r="C6842" s="9">
        <f t="shared" si="106"/>
        <v>0</v>
      </c>
    </row>
    <row r="6843" spans="1:3" x14ac:dyDescent="0.2">
      <c r="A6843" s="10" t="str">
        <f>IF(6835&gt;$C$9008,"",INDEX($B$9:$B$9008,MATCH(6835,$C$9:$C$9008,0)))</f>
        <v/>
      </c>
      <c r="B6843" s="9" t="str">
        <f>IFERROR(INDEX(Input!$L$20:$T$1019,INT((ROW()-9)/9)+1,MOD(ROW()-9,9)+1),"")</f>
        <v/>
      </c>
      <c r="C6843" s="9">
        <f t="shared" si="106"/>
        <v>0</v>
      </c>
    </row>
    <row r="6844" spans="1:3" x14ac:dyDescent="0.2">
      <c r="A6844" s="10" t="str">
        <f>IF(6836&gt;$C$9008,"",INDEX($B$9:$B$9008,MATCH(6836,$C$9:$C$9008,0)))</f>
        <v/>
      </c>
      <c r="B6844" s="9" t="str">
        <f>IFERROR(INDEX(Input!$L$20:$T$1019,INT((ROW()-9)/9)+1,MOD(ROW()-9,9)+1),"")</f>
        <v/>
      </c>
      <c r="C6844" s="9">
        <f t="shared" si="106"/>
        <v>0</v>
      </c>
    </row>
    <row r="6845" spans="1:3" x14ac:dyDescent="0.2">
      <c r="A6845" s="10" t="str">
        <f>IF(6837&gt;$C$9008,"",INDEX($B$9:$B$9008,MATCH(6837,$C$9:$C$9008,0)))</f>
        <v/>
      </c>
      <c r="B6845" s="9" t="str">
        <f>IFERROR(INDEX(Input!$L$20:$T$1019,INT((ROW()-9)/9)+1,MOD(ROW()-9,9)+1),"")</f>
        <v/>
      </c>
      <c r="C6845" s="9">
        <f t="shared" si="106"/>
        <v>0</v>
      </c>
    </row>
    <row r="6846" spans="1:3" x14ac:dyDescent="0.2">
      <c r="A6846" s="10" t="str">
        <f>IF(6838&gt;$C$9008,"",INDEX($B$9:$B$9008,MATCH(6838,$C$9:$C$9008,0)))</f>
        <v/>
      </c>
      <c r="B6846" s="9" t="str">
        <f>IFERROR(INDEX(Input!$L$20:$T$1019,INT((ROW()-9)/9)+1,MOD(ROW()-9,9)+1),"")</f>
        <v/>
      </c>
      <c r="C6846" s="9">
        <f t="shared" si="106"/>
        <v>0</v>
      </c>
    </row>
    <row r="6847" spans="1:3" x14ac:dyDescent="0.2">
      <c r="A6847" s="10" t="str">
        <f>IF(6839&gt;$C$9008,"",INDEX($B$9:$B$9008,MATCH(6839,$C$9:$C$9008,0)))</f>
        <v/>
      </c>
      <c r="B6847" s="9" t="str">
        <f>IFERROR(INDEX(Input!$L$20:$T$1019,INT((ROW()-9)/9)+1,MOD(ROW()-9,9)+1),"")</f>
        <v/>
      </c>
      <c r="C6847" s="9">
        <f t="shared" si="106"/>
        <v>0</v>
      </c>
    </row>
    <row r="6848" spans="1:3" x14ac:dyDescent="0.2">
      <c r="A6848" s="10" t="str">
        <f>IF(6840&gt;$C$9008,"",INDEX($B$9:$B$9008,MATCH(6840,$C$9:$C$9008,0)))</f>
        <v/>
      </c>
      <c r="B6848" s="9" t="str">
        <f>IFERROR(INDEX(Input!$L$20:$T$1019,INT((ROW()-9)/9)+1,MOD(ROW()-9,9)+1),"")</f>
        <v/>
      </c>
      <c r="C6848" s="9">
        <f t="shared" si="106"/>
        <v>0</v>
      </c>
    </row>
    <row r="6849" spans="1:3" x14ac:dyDescent="0.2">
      <c r="A6849" s="10" t="str">
        <f>IF(6841&gt;$C$9008,"",INDEX($B$9:$B$9008,MATCH(6841,$C$9:$C$9008,0)))</f>
        <v/>
      </c>
      <c r="B6849" s="9" t="str">
        <f>IFERROR(INDEX(Input!$L$20:$T$1019,INT((ROW()-9)/9)+1,MOD(ROW()-9,9)+1),"")</f>
        <v/>
      </c>
      <c r="C6849" s="9">
        <f t="shared" si="106"/>
        <v>0</v>
      </c>
    </row>
    <row r="6850" spans="1:3" x14ac:dyDescent="0.2">
      <c r="A6850" s="10" t="str">
        <f>IF(6842&gt;$C$9008,"",INDEX($B$9:$B$9008,MATCH(6842,$C$9:$C$9008,0)))</f>
        <v/>
      </c>
      <c r="B6850" s="9" t="str">
        <f>IFERROR(INDEX(Input!$L$20:$T$1019,INT((ROW()-9)/9)+1,MOD(ROW()-9,9)+1),"")</f>
        <v/>
      </c>
      <c r="C6850" s="9">
        <f t="shared" si="106"/>
        <v>0</v>
      </c>
    </row>
    <row r="6851" spans="1:3" x14ac:dyDescent="0.2">
      <c r="A6851" s="10" t="str">
        <f>IF(6843&gt;$C$9008,"",INDEX($B$9:$B$9008,MATCH(6843,$C$9:$C$9008,0)))</f>
        <v/>
      </c>
      <c r="B6851" s="9" t="str">
        <f>IFERROR(INDEX(Input!$L$20:$T$1019,INT((ROW()-9)/9)+1,MOD(ROW()-9,9)+1),"")</f>
        <v/>
      </c>
      <c r="C6851" s="9">
        <f t="shared" si="106"/>
        <v>0</v>
      </c>
    </row>
    <row r="6852" spans="1:3" x14ac:dyDescent="0.2">
      <c r="A6852" s="10" t="str">
        <f>IF(6844&gt;$C$9008,"",INDEX($B$9:$B$9008,MATCH(6844,$C$9:$C$9008,0)))</f>
        <v/>
      </c>
      <c r="B6852" s="9" t="str">
        <f>IFERROR(INDEX(Input!$L$20:$T$1019,INT((ROW()-9)/9)+1,MOD(ROW()-9,9)+1),"")</f>
        <v/>
      </c>
      <c r="C6852" s="9">
        <f t="shared" si="106"/>
        <v>0</v>
      </c>
    </row>
    <row r="6853" spans="1:3" x14ac:dyDescent="0.2">
      <c r="A6853" s="10" t="str">
        <f>IF(6845&gt;$C$9008,"",INDEX($B$9:$B$9008,MATCH(6845,$C$9:$C$9008,0)))</f>
        <v/>
      </c>
      <c r="B6853" s="9" t="str">
        <f>IFERROR(INDEX(Input!$L$20:$T$1019,INT((ROW()-9)/9)+1,MOD(ROW()-9,9)+1),"")</f>
        <v/>
      </c>
      <c r="C6853" s="9">
        <f t="shared" si="106"/>
        <v>0</v>
      </c>
    </row>
    <row r="6854" spans="1:3" x14ac:dyDescent="0.2">
      <c r="A6854" s="10" t="str">
        <f>IF(6846&gt;$C$9008,"",INDEX($B$9:$B$9008,MATCH(6846,$C$9:$C$9008,0)))</f>
        <v/>
      </c>
      <c r="B6854" s="9" t="str">
        <f>IFERROR(INDEX(Input!$L$20:$T$1019,INT((ROW()-9)/9)+1,MOD(ROW()-9,9)+1),"")</f>
        <v/>
      </c>
      <c r="C6854" s="9">
        <f t="shared" si="106"/>
        <v>0</v>
      </c>
    </row>
    <row r="6855" spans="1:3" x14ac:dyDescent="0.2">
      <c r="A6855" s="10" t="str">
        <f>IF(6847&gt;$C$9008,"",INDEX($B$9:$B$9008,MATCH(6847,$C$9:$C$9008,0)))</f>
        <v/>
      </c>
      <c r="B6855" s="9" t="str">
        <f>IFERROR(INDEX(Input!$L$20:$T$1019,INT((ROW()-9)/9)+1,MOD(ROW()-9,9)+1),"")</f>
        <v/>
      </c>
      <c r="C6855" s="9">
        <f t="shared" si="106"/>
        <v>0</v>
      </c>
    </row>
    <row r="6856" spans="1:3" x14ac:dyDescent="0.2">
      <c r="A6856" s="10" t="str">
        <f>IF(6848&gt;$C$9008,"",INDEX($B$9:$B$9008,MATCH(6848,$C$9:$C$9008,0)))</f>
        <v/>
      </c>
      <c r="B6856" s="9" t="str">
        <f>IFERROR(INDEX(Input!$L$20:$T$1019,INT((ROW()-9)/9)+1,MOD(ROW()-9,9)+1),"")</f>
        <v/>
      </c>
      <c r="C6856" s="9">
        <f t="shared" si="106"/>
        <v>0</v>
      </c>
    </row>
    <row r="6857" spans="1:3" x14ac:dyDescent="0.2">
      <c r="A6857" s="10" t="str">
        <f>IF(6849&gt;$C$9008,"",INDEX($B$9:$B$9008,MATCH(6849,$C$9:$C$9008,0)))</f>
        <v/>
      </c>
      <c r="B6857" s="9" t="str">
        <f>IFERROR(INDEX(Input!$L$20:$T$1019,INT((ROW()-9)/9)+1,MOD(ROW()-9,9)+1),"")</f>
        <v/>
      </c>
      <c r="C6857" s="9">
        <f t="shared" ref="C6857:C6920" si="107">$C6856+IF($B6857&lt;&gt;"",1,0)</f>
        <v>0</v>
      </c>
    </row>
    <row r="6858" spans="1:3" x14ac:dyDescent="0.2">
      <c r="A6858" s="10" t="str">
        <f>IF(6850&gt;$C$9008,"",INDEX($B$9:$B$9008,MATCH(6850,$C$9:$C$9008,0)))</f>
        <v/>
      </c>
      <c r="B6858" s="9" t="str">
        <f>IFERROR(INDEX(Input!$L$20:$T$1019,INT((ROW()-9)/9)+1,MOD(ROW()-9,9)+1),"")</f>
        <v/>
      </c>
      <c r="C6858" s="9">
        <f t="shared" si="107"/>
        <v>0</v>
      </c>
    </row>
    <row r="6859" spans="1:3" x14ac:dyDescent="0.2">
      <c r="A6859" s="10" t="str">
        <f>IF(6851&gt;$C$9008,"",INDEX($B$9:$B$9008,MATCH(6851,$C$9:$C$9008,0)))</f>
        <v/>
      </c>
      <c r="B6859" s="9" t="str">
        <f>IFERROR(INDEX(Input!$L$20:$T$1019,INT((ROW()-9)/9)+1,MOD(ROW()-9,9)+1),"")</f>
        <v/>
      </c>
      <c r="C6859" s="9">
        <f t="shared" si="107"/>
        <v>0</v>
      </c>
    </row>
    <row r="6860" spans="1:3" x14ac:dyDescent="0.2">
      <c r="A6860" s="10" t="str">
        <f>IF(6852&gt;$C$9008,"",INDEX($B$9:$B$9008,MATCH(6852,$C$9:$C$9008,0)))</f>
        <v/>
      </c>
      <c r="B6860" s="9" t="str">
        <f>IFERROR(INDEX(Input!$L$20:$T$1019,INT((ROW()-9)/9)+1,MOD(ROW()-9,9)+1),"")</f>
        <v/>
      </c>
      <c r="C6860" s="9">
        <f t="shared" si="107"/>
        <v>0</v>
      </c>
    </row>
    <row r="6861" spans="1:3" x14ac:dyDescent="0.2">
      <c r="A6861" s="10" t="str">
        <f>IF(6853&gt;$C$9008,"",INDEX($B$9:$B$9008,MATCH(6853,$C$9:$C$9008,0)))</f>
        <v/>
      </c>
      <c r="B6861" s="9" t="str">
        <f>IFERROR(INDEX(Input!$L$20:$T$1019,INT((ROW()-9)/9)+1,MOD(ROW()-9,9)+1),"")</f>
        <v/>
      </c>
      <c r="C6861" s="9">
        <f t="shared" si="107"/>
        <v>0</v>
      </c>
    </row>
    <row r="6862" spans="1:3" x14ac:dyDescent="0.2">
      <c r="A6862" s="10" t="str">
        <f>IF(6854&gt;$C$9008,"",INDEX($B$9:$B$9008,MATCH(6854,$C$9:$C$9008,0)))</f>
        <v/>
      </c>
      <c r="B6862" s="9" t="str">
        <f>IFERROR(INDEX(Input!$L$20:$T$1019,INT((ROW()-9)/9)+1,MOD(ROW()-9,9)+1),"")</f>
        <v/>
      </c>
      <c r="C6862" s="9">
        <f t="shared" si="107"/>
        <v>0</v>
      </c>
    </row>
    <row r="6863" spans="1:3" x14ac:dyDescent="0.2">
      <c r="A6863" s="10" t="str">
        <f>IF(6855&gt;$C$9008,"",INDEX($B$9:$B$9008,MATCH(6855,$C$9:$C$9008,0)))</f>
        <v/>
      </c>
      <c r="B6863" s="9" t="str">
        <f>IFERROR(INDEX(Input!$L$20:$T$1019,INT((ROW()-9)/9)+1,MOD(ROW()-9,9)+1),"")</f>
        <v/>
      </c>
      <c r="C6863" s="9">
        <f t="shared" si="107"/>
        <v>0</v>
      </c>
    </row>
    <row r="6864" spans="1:3" x14ac:dyDescent="0.2">
      <c r="A6864" s="10" t="str">
        <f>IF(6856&gt;$C$9008,"",INDEX($B$9:$B$9008,MATCH(6856,$C$9:$C$9008,0)))</f>
        <v/>
      </c>
      <c r="B6864" s="9" t="str">
        <f>IFERROR(INDEX(Input!$L$20:$T$1019,INT((ROW()-9)/9)+1,MOD(ROW()-9,9)+1),"")</f>
        <v/>
      </c>
      <c r="C6864" s="9">
        <f t="shared" si="107"/>
        <v>0</v>
      </c>
    </row>
    <row r="6865" spans="1:3" x14ac:dyDescent="0.2">
      <c r="A6865" s="10" t="str">
        <f>IF(6857&gt;$C$9008,"",INDEX($B$9:$B$9008,MATCH(6857,$C$9:$C$9008,0)))</f>
        <v/>
      </c>
      <c r="B6865" s="9" t="str">
        <f>IFERROR(INDEX(Input!$L$20:$T$1019,INT((ROW()-9)/9)+1,MOD(ROW()-9,9)+1),"")</f>
        <v/>
      </c>
      <c r="C6865" s="9">
        <f t="shared" si="107"/>
        <v>0</v>
      </c>
    </row>
    <row r="6866" spans="1:3" x14ac:dyDescent="0.2">
      <c r="A6866" s="10" t="str">
        <f>IF(6858&gt;$C$9008,"",INDEX($B$9:$B$9008,MATCH(6858,$C$9:$C$9008,0)))</f>
        <v/>
      </c>
      <c r="B6866" s="9" t="str">
        <f>IFERROR(INDEX(Input!$L$20:$T$1019,INT((ROW()-9)/9)+1,MOD(ROW()-9,9)+1),"")</f>
        <v/>
      </c>
      <c r="C6866" s="9">
        <f t="shared" si="107"/>
        <v>0</v>
      </c>
    </row>
    <row r="6867" spans="1:3" x14ac:dyDescent="0.2">
      <c r="A6867" s="10" t="str">
        <f>IF(6859&gt;$C$9008,"",INDEX($B$9:$B$9008,MATCH(6859,$C$9:$C$9008,0)))</f>
        <v/>
      </c>
      <c r="B6867" s="9" t="str">
        <f>IFERROR(INDEX(Input!$L$20:$T$1019,INT((ROW()-9)/9)+1,MOD(ROW()-9,9)+1),"")</f>
        <v/>
      </c>
      <c r="C6867" s="9">
        <f t="shared" si="107"/>
        <v>0</v>
      </c>
    </row>
    <row r="6868" spans="1:3" x14ac:dyDescent="0.2">
      <c r="A6868" s="10" t="str">
        <f>IF(6860&gt;$C$9008,"",INDEX($B$9:$B$9008,MATCH(6860,$C$9:$C$9008,0)))</f>
        <v/>
      </c>
      <c r="B6868" s="9" t="str">
        <f>IFERROR(INDEX(Input!$L$20:$T$1019,INT((ROW()-9)/9)+1,MOD(ROW()-9,9)+1),"")</f>
        <v/>
      </c>
      <c r="C6868" s="9">
        <f t="shared" si="107"/>
        <v>0</v>
      </c>
    </row>
    <row r="6869" spans="1:3" x14ac:dyDescent="0.2">
      <c r="A6869" s="10" t="str">
        <f>IF(6861&gt;$C$9008,"",INDEX($B$9:$B$9008,MATCH(6861,$C$9:$C$9008,0)))</f>
        <v/>
      </c>
      <c r="B6869" s="9" t="str">
        <f>IFERROR(INDEX(Input!$L$20:$T$1019,INT((ROW()-9)/9)+1,MOD(ROW()-9,9)+1),"")</f>
        <v/>
      </c>
      <c r="C6869" s="9">
        <f t="shared" si="107"/>
        <v>0</v>
      </c>
    </row>
    <row r="6870" spans="1:3" x14ac:dyDescent="0.2">
      <c r="A6870" s="10" t="str">
        <f>IF(6862&gt;$C$9008,"",INDEX($B$9:$B$9008,MATCH(6862,$C$9:$C$9008,0)))</f>
        <v/>
      </c>
      <c r="B6870" s="9" t="str">
        <f>IFERROR(INDEX(Input!$L$20:$T$1019,INT((ROW()-9)/9)+1,MOD(ROW()-9,9)+1),"")</f>
        <v/>
      </c>
      <c r="C6870" s="9">
        <f t="shared" si="107"/>
        <v>0</v>
      </c>
    </row>
    <row r="6871" spans="1:3" x14ac:dyDescent="0.2">
      <c r="A6871" s="10" t="str">
        <f>IF(6863&gt;$C$9008,"",INDEX($B$9:$B$9008,MATCH(6863,$C$9:$C$9008,0)))</f>
        <v/>
      </c>
      <c r="B6871" s="9" t="str">
        <f>IFERROR(INDEX(Input!$L$20:$T$1019,INT((ROW()-9)/9)+1,MOD(ROW()-9,9)+1),"")</f>
        <v/>
      </c>
      <c r="C6871" s="9">
        <f t="shared" si="107"/>
        <v>0</v>
      </c>
    </row>
    <row r="6872" spans="1:3" x14ac:dyDescent="0.2">
      <c r="A6872" s="10" t="str">
        <f>IF(6864&gt;$C$9008,"",INDEX($B$9:$B$9008,MATCH(6864,$C$9:$C$9008,0)))</f>
        <v/>
      </c>
      <c r="B6872" s="9" t="str">
        <f>IFERROR(INDEX(Input!$L$20:$T$1019,INT((ROW()-9)/9)+1,MOD(ROW()-9,9)+1),"")</f>
        <v/>
      </c>
      <c r="C6872" s="9">
        <f t="shared" si="107"/>
        <v>0</v>
      </c>
    </row>
    <row r="6873" spans="1:3" x14ac:dyDescent="0.2">
      <c r="A6873" s="10" t="str">
        <f>IF(6865&gt;$C$9008,"",INDEX($B$9:$B$9008,MATCH(6865,$C$9:$C$9008,0)))</f>
        <v/>
      </c>
      <c r="B6873" s="9" t="str">
        <f>IFERROR(INDEX(Input!$L$20:$T$1019,INT((ROW()-9)/9)+1,MOD(ROW()-9,9)+1),"")</f>
        <v/>
      </c>
      <c r="C6873" s="9">
        <f t="shared" si="107"/>
        <v>0</v>
      </c>
    </row>
    <row r="6874" spans="1:3" x14ac:dyDescent="0.2">
      <c r="A6874" s="10" t="str">
        <f>IF(6866&gt;$C$9008,"",INDEX($B$9:$B$9008,MATCH(6866,$C$9:$C$9008,0)))</f>
        <v/>
      </c>
      <c r="B6874" s="9" t="str">
        <f>IFERROR(INDEX(Input!$L$20:$T$1019,INT((ROW()-9)/9)+1,MOD(ROW()-9,9)+1),"")</f>
        <v/>
      </c>
      <c r="C6874" s="9">
        <f t="shared" si="107"/>
        <v>0</v>
      </c>
    </row>
    <row r="6875" spans="1:3" x14ac:dyDescent="0.2">
      <c r="A6875" s="10" t="str">
        <f>IF(6867&gt;$C$9008,"",INDEX($B$9:$B$9008,MATCH(6867,$C$9:$C$9008,0)))</f>
        <v/>
      </c>
      <c r="B6875" s="9" t="str">
        <f>IFERROR(INDEX(Input!$L$20:$T$1019,INT((ROW()-9)/9)+1,MOD(ROW()-9,9)+1),"")</f>
        <v/>
      </c>
      <c r="C6875" s="9">
        <f t="shared" si="107"/>
        <v>0</v>
      </c>
    </row>
    <row r="6876" spans="1:3" x14ac:dyDescent="0.2">
      <c r="A6876" s="10" t="str">
        <f>IF(6868&gt;$C$9008,"",INDEX($B$9:$B$9008,MATCH(6868,$C$9:$C$9008,0)))</f>
        <v/>
      </c>
      <c r="B6876" s="9" t="str">
        <f>IFERROR(INDEX(Input!$L$20:$T$1019,INT((ROW()-9)/9)+1,MOD(ROW()-9,9)+1),"")</f>
        <v/>
      </c>
      <c r="C6876" s="9">
        <f t="shared" si="107"/>
        <v>0</v>
      </c>
    </row>
    <row r="6877" spans="1:3" x14ac:dyDescent="0.2">
      <c r="A6877" s="10" t="str">
        <f>IF(6869&gt;$C$9008,"",INDEX($B$9:$B$9008,MATCH(6869,$C$9:$C$9008,0)))</f>
        <v/>
      </c>
      <c r="B6877" s="9" t="str">
        <f>IFERROR(INDEX(Input!$L$20:$T$1019,INT((ROW()-9)/9)+1,MOD(ROW()-9,9)+1),"")</f>
        <v/>
      </c>
      <c r="C6877" s="9">
        <f t="shared" si="107"/>
        <v>0</v>
      </c>
    </row>
    <row r="6878" spans="1:3" x14ac:dyDescent="0.2">
      <c r="A6878" s="10" t="str">
        <f>IF(6870&gt;$C$9008,"",INDEX($B$9:$B$9008,MATCH(6870,$C$9:$C$9008,0)))</f>
        <v/>
      </c>
      <c r="B6878" s="9" t="str">
        <f>IFERROR(INDEX(Input!$L$20:$T$1019,INT((ROW()-9)/9)+1,MOD(ROW()-9,9)+1),"")</f>
        <v/>
      </c>
      <c r="C6878" s="9">
        <f t="shared" si="107"/>
        <v>0</v>
      </c>
    </row>
    <row r="6879" spans="1:3" x14ac:dyDescent="0.2">
      <c r="A6879" s="10" t="str">
        <f>IF(6871&gt;$C$9008,"",INDEX($B$9:$B$9008,MATCH(6871,$C$9:$C$9008,0)))</f>
        <v/>
      </c>
      <c r="B6879" s="9" t="str">
        <f>IFERROR(INDEX(Input!$L$20:$T$1019,INT((ROW()-9)/9)+1,MOD(ROW()-9,9)+1),"")</f>
        <v/>
      </c>
      <c r="C6879" s="9">
        <f t="shared" si="107"/>
        <v>0</v>
      </c>
    </row>
    <row r="6880" spans="1:3" x14ac:dyDescent="0.2">
      <c r="A6880" s="10" t="str">
        <f>IF(6872&gt;$C$9008,"",INDEX($B$9:$B$9008,MATCH(6872,$C$9:$C$9008,0)))</f>
        <v/>
      </c>
      <c r="B6880" s="9" t="str">
        <f>IFERROR(INDEX(Input!$L$20:$T$1019,INT((ROW()-9)/9)+1,MOD(ROW()-9,9)+1),"")</f>
        <v/>
      </c>
      <c r="C6880" s="9">
        <f t="shared" si="107"/>
        <v>0</v>
      </c>
    </row>
    <row r="6881" spans="1:3" x14ac:dyDescent="0.2">
      <c r="A6881" s="10" t="str">
        <f>IF(6873&gt;$C$9008,"",INDEX($B$9:$B$9008,MATCH(6873,$C$9:$C$9008,0)))</f>
        <v/>
      </c>
      <c r="B6881" s="9" t="str">
        <f>IFERROR(INDEX(Input!$L$20:$T$1019,INT((ROW()-9)/9)+1,MOD(ROW()-9,9)+1),"")</f>
        <v/>
      </c>
      <c r="C6881" s="9">
        <f t="shared" si="107"/>
        <v>0</v>
      </c>
    </row>
    <row r="6882" spans="1:3" x14ac:dyDescent="0.2">
      <c r="A6882" s="10" t="str">
        <f>IF(6874&gt;$C$9008,"",INDEX($B$9:$B$9008,MATCH(6874,$C$9:$C$9008,0)))</f>
        <v/>
      </c>
      <c r="B6882" s="9" t="str">
        <f>IFERROR(INDEX(Input!$L$20:$T$1019,INT((ROW()-9)/9)+1,MOD(ROW()-9,9)+1),"")</f>
        <v/>
      </c>
      <c r="C6882" s="9">
        <f t="shared" si="107"/>
        <v>0</v>
      </c>
    </row>
    <row r="6883" spans="1:3" x14ac:dyDescent="0.2">
      <c r="A6883" s="10" t="str">
        <f>IF(6875&gt;$C$9008,"",INDEX($B$9:$B$9008,MATCH(6875,$C$9:$C$9008,0)))</f>
        <v/>
      </c>
      <c r="B6883" s="9" t="str">
        <f>IFERROR(INDEX(Input!$L$20:$T$1019,INT((ROW()-9)/9)+1,MOD(ROW()-9,9)+1),"")</f>
        <v/>
      </c>
      <c r="C6883" s="9">
        <f t="shared" si="107"/>
        <v>0</v>
      </c>
    </row>
    <row r="6884" spans="1:3" x14ac:dyDescent="0.2">
      <c r="A6884" s="10" t="str">
        <f>IF(6876&gt;$C$9008,"",INDEX($B$9:$B$9008,MATCH(6876,$C$9:$C$9008,0)))</f>
        <v/>
      </c>
      <c r="B6884" s="9" t="str">
        <f>IFERROR(INDEX(Input!$L$20:$T$1019,INT((ROW()-9)/9)+1,MOD(ROW()-9,9)+1),"")</f>
        <v/>
      </c>
      <c r="C6884" s="9">
        <f t="shared" si="107"/>
        <v>0</v>
      </c>
    </row>
    <row r="6885" spans="1:3" x14ac:dyDescent="0.2">
      <c r="A6885" s="10" t="str">
        <f>IF(6877&gt;$C$9008,"",INDEX($B$9:$B$9008,MATCH(6877,$C$9:$C$9008,0)))</f>
        <v/>
      </c>
      <c r="B6885" s="9" t="str">
        <f>IFERROR(INDEX(Input!$L$20:$T$1019,INT((ROW()-9)/9)+1,MOD(ROW()-9,9)+1),"")</f>
        <v/>
      </c>
      <c r="C6885" s="9">
        <f t="shared" si="107"/>
        <v>0</v>
      </c>
    </row>
    <row r="6886" spans="1:3" x14ac:dyDescent="0.2">
      <c r="A6886" s="10" t="str">
        <f>IF(6878&gt;$C$9008,"",INDEX($B$9:$B$9008,MATCH(6878,$C$9:$C$9008,0)))</f>
        <v/>
      </c>
      <c r="B6886" s="9" t="str">
        <f>IFERROR(INDEX(Input!$L$20:$T$1019,INT((ROW()-9)/9)+1,MOD(ROW()-9,9)+1),"")</f>
        <v/>
      </c>
      <c r="C6886" s="9">
        <f t="shared" si="107"/>
        <v>0</v>
      </c>
    </row>
    <row r="6887" spans="1:3" x14ac:dyDescent="0.2">
      <c r="A6887" s="10" t="str">
        <f>IF(6879&gt;$C$9008,"",INDEX($B$9:$B$9008,MATCH(6879,$C$9:$C$9008,0)))</f>
        <v/>
      </c>
      <c r="B6887" s="9" t="str">
        <f>IFERROR(INDEX(Input!$L$20:$T$1019,INT((ROW()-9)/9)+1,MOD(ROW()-9,9)+1),"")</f>
        <v/>
      </c>
      <c r="C6887" s="9">
        <f t="shared" si="107"/>
        <v>0</v>
      </c>
    </row>
    <row r="6888" spans="1:3" x14ac:dyDescent="0.2">
      <c r="A6888" s="10" t="str">
        <f>IF(6880&gt;$C$9008,"",INDEX($B$9:$B$9008,MATCH(6880,$C$9:$C$9008,0)))</f>
        <v/>
      </c>
      <c r="B6888" s="9" t="str">
        <f>IFERROR(INDEX(Input!$L$20:$T$1019,INT((ROW()-9)/9)+1,MOD(ROW()-9,9)+1),"")</f>
        <v/>
      </c>
      <c r="C6888" s="9">
        <f t="shared" si="107"/>
        <v>0</v>
      </c>
    </row>
    <row r="6889" spans="1:3" x14ac:dyDescent="0.2">
      <c r="A6889" s="10" t="str">
        <f>IF(6881&gt;$C$9008,"",INDEX($B$9:$B$9008,MATCH(6881,$C$9:$C$9008,0)))</f>
        <v/>
      </c>
      <c r="B6889" s="9" t="str">
        <f>IFERROR(INDEX(Input!$L$20:$T$1019,INT((ROW()-9)/9)+1,MOD(ROW()-9,9)+1),"")</f>
        <v/>
      </c>
      <c r="C6889" s="9">
        <f t="shared" si="107"/>
        <v>0</v>
      </c>
    </row>
    <row r="6890" spans="1:3" x14ac:dyDescent="0.2">
      <c r="A6890" s="10" t="str">
        <f>IF(6882&gt;$C$9008,"",INDEX($B$9:$B$9008,MATCH(6882,$C$9:$C$9008,0)))</f>
        <v/>
      </c>
      <c r="B6890" s="9" t="str">
        <f>IFERROR(INDEX(Input!$L$20:$T$1019,INT((ROW()-9)/9)+1,MOD(ROW()-9,9)+1),"")</f>
        <v/>
      </c>
      <c r="C6890" s="9">
        <f t="shared" si="107"/>
        <v>0</v>
      </c>
    </row>
    <row r="6891" spans="1:3" x14ac:dyDescent="0.2">
      <c r="A6891" s="10" t="str">
        <f>IF(6883&gt;$C$9008,"",INDEX($B$9:$B$9008,MATCH(6883,$C$9:$C$9008,0)))</f>
        <v/>
      </c>
      <c r="B6891" s="9" t="str">
        <f>IFERROR(INDEX(Input!$L$20:$T$1019,INT((ROW()-9)/9)+1,MOD(ROW()-9,9)+1),"")</f>
        <v/>
      </c>
      <c r="C6891" s="9">
        <f t="shared" si="107"/>
        <v>0</v>
      </c>
    </row>
    <row r="6892" spans="1:3" x14ac:dyDescent="0.2">
      <c r="A6892" s="10" t="str">
        <f>IF(6884&gt;$C$9008,"",INDEX($B$9:$B$9008,MATCH(6884,$C$9:$C$9008,0)))</f>
        <v/>
      </c>
      <c r="B6892" s="9" t="str">
        <f>IFERROR(INDEX(Input!$L$20:$T$1019,INT((ROW()-9)/9)+1,MOD(ROW()-9,9)+1),"")</f>
        <v/>
      </c>
      <c r="C6892" s="9">
        <f t="shared" si="107"/>
        <v>0</v>
      </c>
    </row>
    <row r="6893" spans="1:3" x14ac:dyDescent="0.2">
      <c r="A6893" s="10" t="str">
        <f>IF(6885&gt;$C$9008,"",INDEX($B$9:$B$9008,MATCH(6885,$C$9:$C$9008,0)))</f>
        <v/>
      </c>
      <c r="B6893" s="9" t="str">
        <f>IFERROR(INDEX(Input!$L$20:$T$1019,INT((ROW()-9)/9)+1,MOD(ROW()-9,9)+1),"")</f>
        <v/>
      </c>
      <c r="C6893" s="9">
        <f t="shared" si="107"/>
        <v>0</v>
      </c>
    </row>
    <row r="6894" spans="1:3" x14ac:dyDescent="0.2">
      <c r="A6894" s="10" t="str">
        <f>IF(6886&gt;$C$9008,"",INDEX($B$9:$B$9008,MATCH(6886,$C$9:$C$9008,0)))</f>
        <v/>
      </c>
      <c r="B6894" s="9" t="str">
        <f>IFERROR(INDEX(Input!$L$20:$T$1019,INT((ROW()-9)/9)+1,MOD(ROW()-9,9)+1),"")</f>
        <v/>
      </c>
      <c r="C6894" s="9">
        <f t="shared" si="107"/>
        <v>0</v>
      </c>
    </row>
    <row r="6895" spans="1:3" x14ac:dyDescent="0.2">
      <c r="A6895" s="10" t="str">
        <f>IF(6887&gt;$C$9008,"",INDEX($B$9:$B$9008,MATCH(6887,$C$9:$C$9008,0)))</f>
        <v/>
      </c>
      <c r="B6895" s="9" t="str">
        <f>IFERROR(INDEX(Input!$L$20:$T$1019,INT((ROW()-9)/9)+1,MOD(ROW()-9,9)+1),"")</f>
        <v/>
      </c>
      <c r="C6895" s="9">
        <f t="shared" si="107"/>
        <v>0</v>
      </c>
    </row>
    <row r="6896" spans="1:3" x14ac:dyDescent="0.2">
      <c r="A6896" s="10" t="str">
        <f>IF(6888&gt;$C$9008,"",INDEX($B$9:$B$9008,MATCH(6888,$C$9:$C$9008,0)))</f>
        <v/>
      </c>
      <c r="B6896" s="9" t="str">
        <f>IFERROR(INDEX(Input!$L$20:$T$1019,INT((ROW()-9)/9)+1,MOD(ROW()-9,9)+1),"")</f>
        <v/>
      </c>
      <c r="C6896" s="9">
        <f t="shared" si="107"/>
        <v>0</v>
      </c>
    </row>
    <row r="6897" spans="1:3" x14ac:dyDescent="0.2">
      <c r="A6897" s="10" t="str">
        <f>IF(6889&gt;$C$9008,"",INDEX($B$9:$B$9008,MATCH(6889,$C$9:$C$9008,0)))</f>
        <v/>
      </c>
      <c r="B6897" s="9" t="str">
        <f>IFERROR(INDEX(Input!$L$20:$T$1019,INT((ROW()-9)/9)+1,MOD(ROW()-9,9)+1),"")</f>
        <v/>
      </c>
      <c r="C6897" s="9">
        <f t="shared" si="107"/>
        <v>0</v>
      </c>
    </row>
    <row r="6898" spans="1:3" x14ac:dyDescent="0.2">
      <c r="A6898" s="10" t="str">
        <f>IF(6890&gt;$C$9008,"",INDEX($B$9:$B$9008,MATCH(6890,$C$9:$C$9008,0)))</f>
        <v/>
      </c>
      <c r="B6898" s="9" t="str">
        <f>IFERROR(INDEX(Input!$L$20:$T$1019,INT((ROW()-9)/9)+1,MOD(ROW()-9,9)+1),"")</f>
        <v/>
      </c>
      <c r="C6898" s="9">
        <f t="shared" si="107"/>
        <v>0</v>
      </c>
    </row>
    <row r="6899" spans="1:3" x14ac:dyDescent="0.2">
      <c r="A6899" s="10" t="str">
        <f>IF(6891&gt;$C$9008,"",INDEX($B$9:$B$9008,MATCH(6891,$C$9:$C$9008,0)))</f>
        <v/>
      </c>
      <c r="B6899" s="9" t="str">
        <f>IFERROR(INDEX(Input!$L$20:$T$1019,INT((ROW()-9)/9)+1,MOD(ROW()-9,9)+1),"")</f>
        <v/>
      </c>
      <c r="C6899" s="9">
        <f t="shared" si="107"/>
        <v>0</v>
      </c>
    </row>
    <row r="6900" spans="1:3" x14ac:dyDescent="0.2">
      <c r="A6900" s="10" t="str">
        <f>IF(6892&gt;$C$9008,"",INDEX($B$9:$B$9008,MATCH(6892,$C$9:$C$9008,0)))</f>
        <v/>
      </c>
      <c r="B6900" s="9" t="str">
        <f>IFERROR(INDEX(Input!$L$20:$T$1019,INT((ROW()-9)/9)+1,MOD(ROW()-9,9)+1),"")</f>
        <v/>
      </c>
      <c r="C6900" s="9">
        <f t="shared" si="107"/>
        <v>0</v>
      </c>
    </row>
    <row r="6901" spans="1:3" x14ac:dyDescent="0.2">
      <c r="A6901" s="10" t="str">
        <f>IF(6893&gt;$C$9008,"",INDEX($B$9:$B$9008,MATCH(6893,$C$9:$C$9008,0)))</f>
        <v/>
      </c>
      <c r="B6901" s="9" t="str">
        <f>IFERROR(INDEX(Input!$L$20:$T$1019,INT((ROW()-9)/9)+1,MOD(ROW()-9,9)+1),"")</f>
        <v/>
      </c>
      <c r="C6901" s="9">
        <f t="shared" si="107"/>
        <v>0</v>
      </c>
    </row>
    <row r="6902" spans="1:3" x14ac:dyDescent="0.2">
      <c r="A6902" s="10" t="str">
        <f>IF(6894&gt;$C$9008,"",INDEX($B$9:$B$9008,MATCH(6894,$C$9:$C$9008,0)))</f>
        <v/>
      </c>
      <c r="B6902" s="9" t="str">
        <f>IFERROR(INDEX(Input!$L$20:$T$1019,INT((ROW()-9)/9)+1,MOD(ROW()-9,9)+1),"")</f>
        <v/>
      </c>
      <c r="C6902" s="9">
        <f t="shared" si="107"/>
        <v>0</v>
      </c>
    </row>
    <row r="6903" spans="1:3" x14ac:dyDescent="0.2">
      <c r="A6903" s="10" t="str">
        <f>IF(6895&gt;$C$9008,"",INDEX($B$9:$B$9008,MATCH(6895,$C$9:$C$9008,0)))</f>
        <v/>
      </c>
      <c r="B6903" s="9" t="str">
        <f>IFERROR(INDEX(Input!$L$20:$T$1019,INT((ROW()-9)/9)+1,MOD(ROW()-9,9)+1),"")</f>
        <v/>
      </c>
      <c r="C6903" s="9">
        <f t="shared" si="107"/>
        <v>0</v>
      </c>
    </row>
    <row r="6904" spans="1:3" x14ac:dyDescent="0.2">
      <c r="A6904" s="10" t="str">
        <f>IF(6896&gt;$C$9008,"",INDEX($B$9:$B$9008,MATCH(6896,$C$9:$C$9008,0)))</f>
        <v/>
      </c>
      <c r="B6904" s="9" t="str">
        <f>IFERROR(INDEX(Input!$L$20:$T$1019,INT((ROW()-9)/9)+1,MOD(ROW()-9,9)+1),"")</f>
        <v/>
      </c>
      <c r="C6904" s="9">
        <f t="shared" si="107"/>
        <v>0</v>
      </c>
    </row>
    <row r="6905" spans="1:3" x14ac:dyDescent="0.2">
      <c r="A6905" s="10" t="str">
        <f>IF(6897&gt;$C$9008,"",INDEX($B$9:$B$9008,MATCH(6897,$C$9:$C$9008,0)))</f>
        <v/>
      </c>
      <c r="B6905" s="9" t="str">
        <f>IFERROR(INDEX(Input!$L$20:$T$1019,INT((ROW()-9)/9)+1,MOD(ROW()-9,9)+1),"")</f>
        <v/>
      </c>
      <c r="C6905" s="9">
        <f t="shared" si="107"/>
        <v>0</v>
      </c>
    </row>
    <row r="6906" spans="1:3" x14ac:dyDescent="0.2">
      <c r="A6906" s="10" t="str">
        <f>IF(6898&gt;$C$9008,"",INDEX($B$9:$B$9008,MATCH(6898,$C$9:$C$9008,0)))</f>
        <v/>
      </c>
      <c r="B6906" s="9" t="str">
        <f>IFERROR(INDEX(Input!$L$20:$T$1019,INT((ROW()-9)/9)+1,MOD(ROW()-9,9)+1),"")</f>
        <v/>
      </c>
      <c r="C6906" s="9">
        <f t="shared" si="107"/>
        <v>0</v>
      </c>
    </row>
    <row r="6907" spans="1:3" x14ac:dyDescent="0.2">
      <c r="A6907" s="10" t="str">
        <f>IF(6899&gt;$C$9008,"",INDEX($B$9:$B$9008,MATCH(6899,$C$9:$C$9008,0)))</f>
        <v/>
      </c>
      <c r="B6907" s="9" t="str">
        <f>IFERROR(INDEX(Input!$L$20:$T$1019,INT((ROW()-9)/9)+1,MOD(ROW()-9,9)+1),"")</f>
        <v/>
      </c>
      <c r="C6907" s="9">
        <f t="shared" si="107"/>
        <v>0</v>
      </c>
    </row>
    <row r="6908" spans="1:3" x14ac:dyDescent="0.2">
      <c r="A6908" s="10" t="str">
        <f>IF(6900&gt;$C$9008,"",INDEX($B$9:$B$9008,MATCH(6900,$C$9:$C$9008,0)))</f>
        <v/>
      </c>
      <c r="B6908" s="9" t="str">
        <f>IFERROR(INDEX(Input!$L$20:$T$1019,INT((ROW()-9)/9)+1,MOD(ROW()-9,9)+1),"")</f>
        <v/>
      </c>
      <c r="C6908" s="9">
        <f t="shared" si="107"/>
        <v>0</v>
      </c>
    </row>
    <row r="6909" spans="1:3" x14ac:dyDescent="0.2">
      <c r="A6909" s="10" t="str">
        <f>IF(6901&gt;$C$9008,"",INDEX($B$9:$B$9008,MATCH(6901,$C$9:$C$9008,0)))</f>
        <v/>
      </c>
      <c r="B6909" s="9" t="str">
        <f>IFERROR(INDEX(Input!$L$20:$T$1019,INT((ROW()-9)/9)+1,MOD(ROW()-9,9)+1),"")</f>
        <v/>
      </c>
      <c r="C6909" s="9">
        <f t="shared" si="107"/>
        <v>0</v>
      </c>
    </row>
    <row r="6910" spans="1:3" x14ac:dyDescent="0.2">
      <c r="A6910" s="10" t="str">
        <f>IF(6902&gt;$C$9008,"",INDEX($B$9:$B$9008,MATCH(6902,$C$9:$C$9008,0)))</f>
        <v/>
      </c>
      <c r="B6910" s="9" t="str">
        <f>IFERROR(INDEX(Input!$L$20:$T$1019,INT((ROW()-9)/9)+1,MOD(ROW()-9,9)+1),"")</f>
        <v/>
      </c>
      <c r="C6910" s="9">
        <f t="shared" si="107"/>
        <v>0</v>
      </c>
    </row>
    <row r="6911" spans="1:3" x14ac:dyDescent="0.2">
      <c r="A6911" s="10" t="str">
        <f>IF(6903&gt;$C$9008,"",INDEX($B$9:$B$9008,MATCH(6903,$C$9:$C$9008,0)))</f>
        <v/>
      </c>
      <c r="B6911" s="9" t="str">
        <f>IFERROR(INDEX(Input!$L$20:$T$1019,INT((ROW()-9)/9)+1,MOD(ROW()-9,9)+1),"")</f>
        <v/>
      </c>
      <c r="C6911" s="9">
        <f t="shared" si="107"/>
        <v>0</v>
      </c>
    </row>
    <row r="6912" spans="1:3" x14ac:dyDescent="0.2">
      <c r="A6912" s="10" t="str">
        <f>IF(6904&gt;$C$9008,"",INDEX($B$9:$B$9008,MATCH(6904,$C$9:$C$9008,0)))</f>
        <v/>
      </c>
      <c r="B6912" s="9" t="str">
        <f>IFERROR(INDEX(Input!$L$20:$T$1019,INT((ROW()-9)/9)+1,MOD(ROW()-9,9)+1),"")</f>
        <v/>
      </c>
      <c r="C6912" s="9">
        <f t="shared" si="107"/>
        <v>0</v>
      </c>
    </row>
    <row r="6913" spans="1:3" x14ac:dyDescent="0.2">
      <c r="A6913" s="10" t="str">
        <f>IF(6905&gt;$C$9008,"",INDEX($B$9:$B$9008,MATCH(6905,$C$9:$C$9008,0)))</f>
        <v/>
      </c>
      <c r="B6913" s="9" t="str">
        <f>IFERROR(INDEX(Input!$L$20:$T$1019,INT((ROW()-9)/9)+1,MOD(ROW()-9,9)+1),"")</f>
        <v/>
      </c>
      <c r="C6913" s="9">
        <f t="shared" si="107"/>
        <v>0</v>
      </c>
    </row>
    <row r="6914" spans="1:3" x14ac:dyDescent="0.2">
      <c r="A6914" s="10" t="str">
        <f>IF(6906&gt;$C$9008,"",INDEX($B$9:$B$9008,MATCH(6906,$C$9:$C$9008,0)))</f>
        <v/>
      </c>
      <c r="B6914" s="9" t="str">
        <f>IFERROR(INDEX(Input!$L$20:$T$1019,INT((ROW()-9)/9)+1,MOD(ROW()-9,9)+1),"")</f>
        <v/>
      </c>
      <c r="C6914" s="9">
        <f t="shared" si="107"/>
        <v>0</v>
      </c>
    </row>
    <row r="6915" spans="1:3" x14ac:dyDescent="0.2">
      <c r="A6915" s="10" t="str">
        <f>IF(6907&gt;$C$9008,"",INDEX($B$9:$B$9008,MATCH(6907,$C$9:$C$9008,0)))</f>
        <v/>
      </c>
      <c r="B6915" s="9" t="str">
        <f>IFERROR(INDEX(Input!$L$20:$T$1019,INT((ROW()-9)/9)+1,MOD(ROW()-9,9)+1),"")</f>
        <v/>
      </c>
      <c r="C6915" s="9">
        <f t="shared" si="107"/>
        <v>0</v>
      </c>
    </row>
    <row r="6916" spans="1:3" x14ac:dyDescent="0.2">
      <c r="A6916" s="10" t="str">
        <f>IF(6908&gt;$C$9008,"",INDEX($B$9:$B$9008,MATCH(6908,$C$9:$C$9008,0)))</f>
        <v/>
      </c>
      <c r="B6916" s="9" t="str">
        <f>IFERROR(INDEX(Input!$L$20:$T$1019,INT((ROW()-9)/9)+1,MOD(ROW()-9,9)+1),"")</f>
        <v/>
      </c>
      <c r="C6916" s="9">
        <f t="shared" si="107"/>
        <v>0</v>
      </c>
    </row>
    <row r="6917" spans="1:3" x14ac:dyDescent="0.2">
      <c r="A6917" s="10" t="str">
        <f>IF(6909&gt;$C$9008,"",INDEX($B$9:$B$9008,MATCH(6909,$C$9:$C$9008,0)))</f>
        <v/>
      </c>
      <c r="B6917" s="9" t="str">
        <f>IFERROR(INDEX(Input!$L$20:$T$1019,INT((ROW()-9)/9)+1,MOD(ROW()-9,9)+1),"")</f>
        <v/>
      </c>
      <c r="C6917" s="9">
        <f t="shared" si="107"/>
        <v>0</v>
      </c>
    </row>
    <row r="6918" spans="1:3" x14ac:dyDescent="0.2">
      <c r="A6918" s="10" t="str">
        <f>IF(6910&gt;$C$9008,"",INDEX($B$9:$B$9008,MATCH(6910,$C$9:$C$9008,0)))</f>
        <v/>
      </c>
      <c r="B6918" s="9" t="str">
        <f>IFERROR(INDEX(Input!$L$20:$T$1019,INT((ROW()-9)/9)+1,MOD(ROW()-9,9)+1),"")</f>
        <v/>
      </c>
      <c r="C6918" s="9">
        <f t="shared" si="107"/>
        <v>0</v>
      </c>
    </row>
    <row r="6919" spans="1:3" x14ac:dyDescent="0.2">
      <c r="A6919" s="10" t="str">
        <f>IF(6911&gt;$C$9008,"",INDEX($B$9:$B$9008,MATCH(6911,$C$9:$C$9008,0)))</f>
        <v/>
      </c>
      <c r="B6919" s="9" t="str">
        <f>IFERROR(INDEX(Input!$L$20:$T$1019,INT((ROW()-9)/9)+1,MOD(ROW()-9,9)+1),"")</f>
        <v/>
      </c>
      <c r="C6919" s="9">
        <f t="shared" si="107"/>
        <v>0</v>
      </c>
    </row>
    <row r="6920" spans="1:3" x14ac:dyDescent="0.2">
      <c r="A6920" s="10" t="str">
        <f>IF(6912&gt;$C$9008,"",INDEX($B$9:$B$9008,MATCH(6912,$C$9:$C$9008,0)))</f>
        <v/>
      </c>
      <c r="B6920" s="9" t="str">
        <f>IFERROR(INDEX(Input!$L$20:$T$1019,INT((ROW()-9)/9)+1,MOD(ROW()-9,9)+1),"")</f>
        <v/>
      </c>
      <c r="C6920" s="9">
        <f t="shared" si="107"/>
        <v>0</v>
      </c>
    </row>
    <row r="6921" spans="1:3" x14ac:dyDescent="0.2">
      <c r="A6921" s="10" t="str">
        <f>IF(6913&gt;$C$9008,"",INDEX($B$9:$B$9008,MATCH(6913,$C$9:$C$9008,0)))</f>
        <v/>
      </c>
      <c r="B6921" s="9" t="str">
        <f>IFERROR(INDEX(Input!$L$20:$T$1019,INT((ROW()-9)/9)+1,MOD(ROW()-9,9)+1),"")</f>
        <v/>
      </c>
      <c r="C6921" s="9">
        <f t="shared" ref="C6921:C6984" si="108">$C6920+IF($B6921&lt;&gt;"",1,0)</f>
        <v>0</v>
      </c>
    </row>
    <row r="6922" spans="1:3" x14ac:dyDescent="0.2">
      <c r="A6922" s="10" t="str">
        <f>IF(6914&gt;$C$9008,"",INDEX($B$9:$B$9008,MATCH(6914,$C$9:$C$9008,0)))</f>
        <v/>
      </c>
      <c r="B6922" s="9" t="str">
        <f>IFERROR(INDEX(Input!$L$20:$T$1019,INT((ROW()-9)/9)+1,MOD(ROW()-9,9)+1),"")</f>
        <v/>
      </c>
      <c r="C6922" s="9">
        <f t="shared" si="108"/>
        <v>0</v>
      </c>
    </row>
    <row r="6923" spans="1:3" x14ac:dyDescent="0.2">
      <c r="A6923" s="10" t="str">
        <f>IF(6915&gt;$C$9008,"",INDEX($B$9:$B$9008,MATCH(6915,$C$9:$C$9008,0)))</f>
        <v/>
      </c>
      <c r="B6923" s="9" t="str">
        <f>IFERROR(INDEX(Input!$L$20:$T$1019,INT((ROW()-9)/9)+1,MOD(ROW()-9,9)+1),"")</f>
        <v/>
      </c>
      <c r="C6923" s="9">
        <f t="shared" si="108"/>
        <v>0</v>
      </c>
    </row>
    <row r="6924" spans="1:3" x14ac:dyDescent="0.2">
      <c r="A6924" s="10" t="str">
        <f>IF(6916&gt;$C$9008,"",INDEX($B$9:$B$9008,MATCH(6916,$C$9:$C$9008,0)))</f>
        <v/>
      </c>
      <c r="B6924" s="9" t="str">
        <f>IFERROR(INDEX(Input!$L$20:$T$1019,INT((ROW()-9)/9)+1,MOD(ROW()-9,9)+1),"")</f>
        <v/>
      </c>
      <c r="C6924" s="9">
        <f t="shared" si="108"/>
        <v>0</v>
      </c>
    </row>
    <row r="6925" spans="1:3" x14ac:dyDescent="0.2">
      <c r="A6925" s="10" t="str">
        <f>IF(6917&gt;$C$9008,"",INDEX($B$9:$B$9008,MATCH(6917,$C$9:$C$9008,0)))</f>
        <v/>
      </c>
      <c r="B6925" s="9" t="str">
        <f>IFERROR(INDEX(Input!$L$20:$T$1019,INT((ROW()-9)/9)+1,MOD(ROW()-9,9)+1),"")</f>
        <v/>
      </c>
      <c r="C6925" s="9">
        <f t="shared" si="108"/>
        <v>0</v>
      </c>
    </row>
    <row r="6926" spans="1:3" x14ac:dyDescent="0.2">
      <c r="A6926" s="10" t="str">
        <f>IF(6918&gt;$C$9008,"",INDEX($B$9:$B$9008,MATCH(6918,$C$9:$C$9008,0)))</f>
        <v/>
      </c>
      <c r="B6926" s="9" t="str">
        <f>IFERROR(INDEX(Input!$L$20:$T$1019,INT((ROW()-9)/9)+1,MOD(ROW()-9,9)+1),"")</f>
        <v/>
      </c>
      <c r="C6926" s="9">
        <f t="shared" si="108"/>
        <v>0</v>
      </c>
    </row>
    <row r="6927" spans="1:3" x14ac:dyDescent="0.2">
      <c r="A6927" s="10" t="str">
        <f>IF(6919&gt;$C$9008,"",INDEX($B$9:$B$9008,MATCH(6919,$C$9:$C$9008,0)))</f>
        <v/>
      </c>
      <c r="B6927" s="9" t="str">
        <f>IFERROR(INDEX(Input!$L$20:$T$1019,INT((ROW()-9)/9)+1,MOD(ROW()-9,9)+1),"")</f>
        <v/>
      </c>
      <c r="C6927" s="9">
        <f t="shared" si="108"/>
        <v>0</v>
      </c>
    </row>
    <row r="6928" spans="1:3" x14ac:dyDescent="0.2">
      <c r="A6928" s="10" t="str">
        <f>IF(6920&gt;$C$9008,"",INDEX($B$9:$B$9008,MATCH(6920,$C$9:$C$9008,0)))</f>
        <v/>
      </c>
      <c r="B6928" s="9" t="str">
        <f>IFERROR(INDEX(Input!$L$20:$T$1019,INT((ROW()-9)/9)+1,MOD(ROW()-9,9)+1),"")</f>
        <v/>
      </c>
      <c r="C6928" s="9">
        <f t="shared" si="108"/>
        <v>0</v>
      </c>
    </row>
    <row r="6929" spans="1:3" x14ac:dyDescent="0.2">
      <c r="A6929" s="10" t="str">
        <f>IF(6921&gt;$C$9008,"",INDEX($B$9:$B$9008,MATCH(6921,$C$9:$C$9008,0)))</f>
        <v/>
      </c>
      <c r="B6929" s="9" t="str">
        <f>IFERROR(INDEX(Input!$L$20:$T$1019,INT((ROW()-9)/9)+1,MOD(ROW()-9,9)+1),"")</f>
        <v/>
      </c>
      <c r="C6929" s="9">
        <f t="shared" si="108"/>
        <v>0</v>
      </c>
    </row>
    <row r="6930" spans="1:3" x14ac:dyDescent="0.2">
      <c r="A6930" s="10" t="str">
        <f>IF(6922&gt;$C$9008,"",INDEX($B$9:$B$9008,MATCH(6922,$C$9:$C$9008,0)))</f>
        <v/>
      </c>
      <c r="B6930" s="9" t="str">
        <f>IFERROR(INDEX(Input!$L$20:$T$1019,INT((ROW()-9)/9)+1,MOD(ROW()-9,9)+1),"")</f>
        <v/>
      </c>
      <c r="C6930" s="9">
        <f t="shared" si="108"/>
        <v>0</v>
      </c>
    </row>
    <row r="6931" spans="1:3" x14ac:dyDescent="0.2">
      <c r="A6931" s="10" t="str">
        <f>IF(6923&gt;$C$9008,"",INDEX($B$9:$B$9008,MATCH(6923,$C$9:$C$9008,0)))</f>
        <v/>
      </c>
      <c r="B6931" s="9" t="str">
        <f>IFERROR(INDEX(Input!$L$20:$T$1019,INT((ROW()-9)/9)+1,MOD(ROW()-9,9)+1),"")</f>
        <v/>
      </c>
      <c r="C6931" s="9">
        <f t="shared" si="108"/>
        <v>0</v>
      </c>
    </row>
    <row r="6932" spans="1:3" x14ac:dyDescent="0.2">
      <c r="A6932" s="10" t="str">
        <f>IF(6924&gt;$C$9008,"",INDEX($B$9:$B$9008,MATCH(6924,$C$9:$C$9008,0)))</f>
        <v/>
      </c>
      <c r="B6932" s="9" t="str">
        <f>IFERROR(INDEX(Input!$L$20:$T$1019,INT((ROW()-9)/9)+1,MOD(ROW()-9,9)+1),"")</f>
        <v/>
      </c>
      <c r="C6932" s="9">
        <f t="shared" si="108"/>
        <v>0</v>
      </c>
    </row>
    <row r="6933" spans="1:3" x14ac:dyDescent="0.2">
      <c r="A6933" s="10" t="str">
        <f>IF(6925&gt;$C$9008,"",INDEX($B$9:$B$9008,MATCH(6925,$C$9:$C$9008,0)))</f>
        <v/>
      </c>
      <c r="B6933" s="9" t="str">
        <f>IFERROR(INDEX(Input!$L$20:$T$1019,INT((ROW()-9)/9)+1,MOD(ROW()-9,9)+1),"")</f>
        <v/>
      </c>
      <c r="C6933" s="9">
        <f t="shared" si="108"/>
        <v>0</v>
      </c>
    </row>
    <row r="6934" spans="1:3" x14ac:dyDescent="0.2">
      <c r="A6934" s="10" t="str">
        <f>IF(6926&gt;$C$9008,"",INDEX($B$9:$B$9008,MATCH(6926,$C$9:$C$9008,0)))</f>
        <v/>
      </c>
      <c r="B6934" s="9" t="str">
        <f>IFERROR(INDEX(Input!$L$20:$T$1019,INT((ROW()-9)/9)+1,MOD(ROW()-9,9)+1),"")</f>
        <v/>
      </c>
      <c r="C6934" s="9">
        <f t="shared" si="108"/>
        <v>0</v>
      </c>
    </row>
    <row r="6935" spans="1:3" x14ac:dyDescent="0.2">
      <c r="A6935" s="10" t="str">
        <f>IF(6927&gt;$C$9008,"",INDEX($B$9:$B$9008,MATCH(6927,$C$9:$C$9008,0)))</f>
        <v/>
      </c>
      <c r="B6935" s="9" t="str">
        <f>IFERROR(INDEX(Input!$L$20:$T$1019,INT((ROW()-9)/9)+1,MOD(ROW()-9,9)+1),"")</f>
        <v/>
      </c>
      <c r="C6935" s="9">
        <f t="shared" si="108"/>
        <v>0</v>
      </c>
    </row>
    <row r="6936" spans="1:3" x14ac:dyDescent="0.2">
      <c r="A6936" s="10" t="str">
        <f>IF(6928&gt;$C$9008,"",INDEX($B$9:$B$9008,MATCH(6928,$C$9:$C$9008,0)))</f>
        <v/>
      </c>
      <c r="B6936" s="9" t="str">
        <f>IFERROR(INDEX(Input!$L$20:$T$1019,INT((ROW()-9)/9)+1,MOD(ROW()-9,9)+1),"")</f>
        <v/>
      </c>
      <c r="C6936" s="9">
        <f t="shared" si="108"/>
        <v>0</v>
      </c>
    </row>
    <row r="6937" spans="1:3" x14ac:dyDescent="0.2">
      <c r="A6937" s="10" t="str">
        <f>IF(6929&gt;$C$9008,"",INDEX($B$9:$B$9008,MATCH(6929,$C$9:$C$9008,0)))</f>
        <v/>
      </c>
      <c r="B6937" s="9" t="str">
        <f>IFERROR(INDEX(Input!$L$20:$T$1019,INT((ROW()-9)/9)+1,MOD(ROW()-9,9)+1),"")</f>
        <v/>
      </c>
      <c r="C6937" s="9">
        <f t="shared" si="108"/>
        <v>0</v>
      </c>
    </row>
    <row r="6938" spans="1:3" x14ac:dyDescent="0.2">
      <c r="A6938" s="10" t="str">
        <f>IF(6930&gt;$C$9008,"",INDEX($B$9:$B$9008,MATCH(6930,$C$9:$C$9008,0)))</f>
        <v/>
      </c>
      <c r="B6938" s="9" t="str">
        <f>IFERROR(INDEX(Input!$L$20:$T$1019,INT((ROW()-9)/9)+1,MOD(ROW()-9,9)+1),"")</f>
        <v/>
      </c>
      <c r="C6938" s="9">
        <f t="shared" si="108"/>
        <v>0</v>
      </c>
    </row>
    <row r="6939" spans="1:3" x14ac:dyDescent="0.2">
      <c r="A6939" s="10" t="str">
        <f>IF(6931&gt;$C$9008,"",INDEX($B$9:$B$9008,MATCH(6931,$C$9:$C$9008,0)))</f>
        <v/>
      </c>
      <c r="B6939" s="9" t="str">
        <f>IFERROR(INDEX(Input!$L$20:$T$1019,INT((ROW()-9)/9)+1,MOD(ROW()-9,9)+1),"")</f>
        <v/>
      </c>
      <c r="C6939" s="9">
        <f t="shared" si="108"/>
        <v>0</v>
      </c>
    </row>
    <row r="6940" spans="1:3" x14ac:dyDescent="0.2">
      <c r="A6940" s="10" t="str">
        <f>IF(6932&gt;$C$9008,"",INDEX($B$9:$B$9008,MATCH(6932,$C$9:$C$9008,0)))</f>
        <v/>
      </c>
      <c r="B6940" s="9" t="str">
        <f>IFERROR(INDEX(Input!$L$20:$T$1019,INT((ROW()-9)/9)+1,MOD(ROW()-9,9)+1),"")</f>
        <v/>
      </c>
      <c r="C6940" s="9">
        <f t="shared" si="108"/>
        <v>0</v>
      </c>
    </row>
    <row r="6941" spans="1:3" x14ac:dyDescent="0.2">
      <c r="A6941" s="10" t="str">
        <f>IF(6933&gt;$C$9008,"",INDEX($B$9:$B$9008,MATCH(6933,$C$9:$C$9008,0)))</f>
        <v/>
      </c>
      <c r="B6941" s="9" t="str">
        <f>IFERROR(INDEX(Input!$L$20:$T$1019,INT((ROW()-9)/9)+1,MOD(ROW()-9,9)+1),"")</f>
        <v/>
      </c>
      <c r="C6941" s="9">
        <f t="shared" si="108"/>
        <v>0</v>
      </c>
    </row>
    <row r="6942" spans="1:3" x14ac:dyDescent="0.2">
      <c r="A6942" s="10" t="str">
        <f>IF(6934&gt;$C$9008,"",INDEX($B$9:$B$9008,MATCH(6934,$C$9:$C$9008,0)))</f>
        <v/>
      </c>
      <c r="B6942" s="9" t="str">
        <f>IFERROR(INDEX(Input!$L$20:$T$1019,INT((ROW()-9)/9)+1,MOD(ROW()-9,9)+1),"")</f>
        <v/>
      </c>
      <c r="C6942" s="9">
        <f t="shared" si="108"/>
        <v>0</v>
      </c>
    </row>
    <row r="6943" spans="1:3" x14ac:dyDescent="0.2">
      <c r="A6943" s="10" t="str">
        <f>IF(6935&gt;$C$9008,"",INDEX($B$9:$B$9008,MATCH(6935,$C$9:$C$9008,0)))</f>
        <v/>
      </c>
      <c r="B6943" s="9" t="str">
        <f>IFERROR(INDEX(Input!$L$20:$T$1019,INT((ROW()-9)/9)+1,MOD(ROW()-9,9)+1),"")</f>
        <v/>
      </c>
      <c r="C6943" s="9">
        <f t="shared" si="108"/>
        <v>0</v>
      </c>
    </row>
    <row r="6944" spans="1:3" x14ac:dyDescent="0.2">
      <c r="A6944" s="10" t="str">
        <f>IF(6936&gt;$C$9008,"",INDEX($B$9:$B$9008,MATCH(6936,$C$9:$C$9008,0)))</f>
        <v/>
      </c>
      <c r="B6944" s="9" t="str">
        <f>IFERROR(INDEX(Input!$L$20:$T$1019,INT((ROW()-9)/9)+1,MOD(ROW()-9,9)+1),"")</f>
        <v/>
      </c>
      <c r="C6944" s="9">
        <f t="shared" si="108"/>
        <v>0</v>
      </c>
    </row>
    <row r="6945" spans="1:3" x14ac:dyDescent="0.2">
      <c r="A6945" s="10" t="str">
        <f>IF(6937&gt;$C$9008,"",INDEX($B$9:$B$9008,MATCH(6937,$C$9:$C$9008,0)))</f>
        <v/>
      </c>
      <c r="B6945" s="9" t="str">
        <f>IFERROR(INDEX(Input!$L$20:$T$1019,INT((ROW()-9)/9)+1,MOD(ROW()-9,9)+1),"")</f>
        <v/>
      </c>
      <c r="C6945" s="9">
        <f t="shared" si="108"/>
        <v>0</v>
      </c>
    </row>
    <row r="6946" spans="1:3" x14ac:dyDescent="0.2">
      <c r="A6946" s="10" t="str">
        <f>IF(6938&gt;$C$9008,"",INDEX($B$9:$B$9008,MATCH(6938,$C$9:$C$9008,0)))</f>
        <v/>
      </c>
      <c r="B6946" s="9" t="str">
        <f>IFERROR(INDEX(Input!$L$20:$T$1019,INT((ROW()-9)/9)+1,MOD(ROW()-9,9)+1),"")</f>
        <v/>
      </c>
      <c r="C6946" s="9">
        <f t="shared" si="108"/>
        <v>0</v>
      </c>
    </row>
    <row r="6947" spans="1:3" x14ac:dyDescent="0.2">
      <c r="A6947" s="10" t="str">
        <f>IF(6939&gt;$C$9008,"",INDEX($B$9:$B$9008,MATCH(6939,$C$9:$C$9008,0)))</f>
        <v/>
      </c>
      <c r="B6947" s="9" t="str">
        <f>IFERROR(INDEX(Input!$L$20:$T$1019,INT((ROW()-9)/9)+1,MOD(ROW()-9,9)+1),"")</f>
        <v/>
      </c>
      <c r="C6947" s="9">
        <f t="shared" si="108"/>
        <v>0</v>
      </c>
    </row>
    <row r="6948" spans="1:3" x14ac:dyDescent="0.2">
      <c r="A6948" s="10" t="str">
        <f>IF(6940&gt;$C$9008,"",INDEX($B$9:$B$9008,MATCH(6940,$C$9:$C$9008,0)))</f>
        <v/>
      </c>
      <c r="B6948" s="9" t="str">
        <f>IFERROR(INDEX(Input!$L$20:$T$1019,INT((ROW()-9)/9)+1,MOD(ROW()-9,9)+1),"")</f>
        <v/>
      </c>
      <c r="C6948" s="9">
        <f t="shared" si="108"/>
        <v>0</v>
      </c>
    </row>
    <row r="6949" spans="1:3" x14ac:dyDescent="0.2">
      <c r="A6949" s="10" t="str">
        <f>IF(6941&gt;$C$9008,"",INDEX($B$9:$B$9008,MATCH(6941,$C$9:$C$9008,0)))</f>
        <v/>
      </c>
      <c r="B6949" s="9" t="str">
        <f>IFERROR(INDEX(Input!$L$20:$T$1019,INT((ROW()-9)/9)+1,MOD(ROW()-9,9)+1),"")</f>
        <v/>
      </c>
      <c r="C6949" s="9">
        <f t="shared" si="108"/>
        <v>0</v>
      </c>
    </row>
    <row r="6950" spans="1:3" x14ac:dyDescent="0.2">
      <c r="A6950" s="10" t="str">
        <f>IF(6942&gt;$C$9008,"",INDEX($B$9:$B$9008,MATCH(6942,$C$9:$C$9008,0)))</f>
        <v/>
      </c>
      <c r="B6950" s="9" t="str">
        <f>IFERROR(INDEX(Input!$L$20:$T$1019,INT((ROW()-9)/9)+1,MOD(ROW()-9,9)+1),"")</f>
        <v/>
      </c>
      <c r="C6950" s="9">
        <f t="shared" si="108"/>
        <v>0</v>
      </c>
    </row>
    <row r="6951" spans="1:3" x14ac:dyDescent="0.2">
      <c r="A6951" s="10" t="str">
        <f>IF(6943&gt;$C$9008,"",INDEX($B$9:$B$9008,MATCH(6943,$C$9:$C$9008,0)))</f>
        <v/>
      </c>
      <c r="B6951" s="9" t="str">
        <f>IFERROR(INDEX(Input!$L$20:$T$1019,INT((ROW()-9)/9)+1,MOD(ROW()-9,9)+1),"")</f>
        <v/>
      </c>
      <c r="C6951" s="9">
        <f t="shared" si="108"/>
        <v>0</v>
      </c>
    </row>
    <row r="6952" spans="1:3" x14ac:dyDescent="0.2">
      <c r="A6952" s="10" t="str">
        <f>IF(6944&gt;$C$9008,"",INDEX($B$9:$B$9008,MATCH(6944,$C$9:$C$9008,0)))</f>
        <v/>
      </c>
      <c r="B6952" s="9" t="str">
        <f>IFERROR(INDEX(Input!$L$20:$T$1019,INT((ROW()-9)/9)+1,MOD(ROW()-9,9)+1),"")</f>
        <v/>
      </c>
      <c r="C6952" s="9">
        <f t="shared" si="108"/>
        <v>0</v>
      </c>
    </row>
    <row r="6953" spans="1:3" x14ac:dyDescent="0.2">
      <c r="A6953" s="10" t="str">
        <f>IF(6945&gt;$C$9008,"",INDEX($B$9:$B$9008,MATCH(6945,$C$9:$C$9008,0)))</f>
        <v/>
      </c>
      <c r="B6953" s="9" t="str">
        <f>IFERROR(INDEX(Input!$L$20:$T$1019,INT((ROW()-9)/9)+1,MOD(ROW()-9,9)+1),"")</f>
        <v/>
      </c>
      <c r="C6953" s="9">
        <f t="shared" si="108"/>
        <v>0</v>
      </c>
    </row>
    <row r="6954" spans="1:3" x14ac:dyDescent="0.2">
      <c r="A6954" s="10" t="str">
        <f>IF(6946&gt;$C$9008,"",INDEX($B$9:$B$9008,MATCH(6946,$C$9:$C$9008,0)))</f>
        <v/>
      </c>
      <c r="B6954" s="9" t="str">
        <f>IFERROR(INDEX(Input!$L$20:$T$1019,INT((ROW()-9)/9)+1,MOD(ROW()-9,9)+1),"")</f>
        <v/>
      </c>
      <c r="C6954" s="9">
        <f t="shared" si="108"/>
        <v>0</v>
      </c>
    </row>
    <row r="6955" spans="1:3" x14ac:dyDescent="0.2">
      <c r="A6955" s="10" t="str">
        <f>IF(6947&gt;$C$9008,"",INDEX($B$9:$B$9008,MATCH(6947,$C$9:$C$9008,0)))</f>
        <v/>
      </c>
      <c r="B6955" s="9" t="str">
        <f>IFERROR(INDEX(Input!$L$20:$T$1019,INT((ROW()-9)/9)+1,MOD(ROW()-9,9)+1),"")</f>
        <v/>
      </c>
      <c r="C6955" s="9">
        <f t="shared" si="108"/>
        <v>0</v>
      </c>
    </row>
    <row r="6956" spans="1:3" x14ac:dyDescent="0.2">
      <c r="A6956" s="10" t="str">
        <f>IF(6948&gt;$C$9008,"",INDEX($B$9:$B$9008,MATCH(6948,$C$9:$C$9008,0)))</f>
        <v/>
      </c>
      <c r="B6956" s="9" t="str">
        <f>IFERROR(INDEX(Input!$L$20:$T$1019,INT((ROW()-9)/9)+1,MOD(ROW()-9,9)+1),"")</f>
        <v/>
      </c>
      <c r="C6956" s="9">
        <f t="shared" si="108"/>
        <v>0</v>
      </c>
    </row>
    <row r="6957" spans="1:3" x14ac:dyDescent="0.2">
      <c r="A6957" s="10" t="str">
        <f>IF(6949&gt;$C$9008,"",INDEX($B$9:$B$9008,MATCH(6949,$C$9:$C$9008,0)))</f>
        <v/>
      </c>
      <c r="B6957" s="9" t="str">
        <f>IFERROR(INDEX(Input!$L$20:$T$1019,INT((ROW()-9)/9)+1,MOD(ROW()-9,9)+1),"")</f>
        <v/>
      </c>
      <c r="C6957" s="9">
        <f t="shared" si="108"/>
        <v>0</v>
      </c>
    </row>
    <row r="6958" spans="1:3" x14ac:dyDescent="0.2">
      <c r="A6958" s="10" t="str">
        <f>IF(6950&gt;$C$9008,"",INDEX($B$9:$B$9008,MATCH(6950,$C$9:$C$9008,0)))</f>
        <v/>
      </c>
      <c r="B6958" s="9" t="str">
        <f>IFERROR(INDEX(Input!$L$20:$T$1019,INT((ROW()-9)/9)+1,MOD(ROW()-9,9)+1),"")</f>
        <v/>
      </c>
      <c r="C6958" s="9">
        <f t="shared" si="108"/>
        <v>0</v>
      </c>
    </row>
    <row r="6959" spans="1:3" x14ac:dyDescent="0.2">
      <c r="A6959" s="10" t="str">
        <f>IF(6951&gt;$C$9008,"",INDEX($B$9:$B$9008,MATCH(6951,$C$9:$C$9008,0)))</f>
        <v/>
      </c>
      <c r="B6959" s="9" t="str">
        <f>IFERROR(INDEX(Input!$L$20:$T$1019,INT((ROW()-9)/9)+1,MOD(ROW()-9,9)+1),"")</f>
        <v/>
      </c>
      <c r="C6959" s="9">
        <f t="shared" si="108"/>
        <v>0</v>
      </c>
    </row>
    <row r="6960" spans="1:3" x14ac:dyDescent="0.2">
      <c r="A6960" s="10" t="str">
        <f>IF(6952&gt;$C$9008,"",INDEX($B$9:$B$9008,MATCH(6952,$C$9:$C$9008,0)))</f>
        <v/>
      </c>
      <c r="B6960" s="9" t="str">
        <f>IFERROR(INDEX(Input!$L$20:$T$1019,INT((ROW()-9)/9)+1,MOD(ROW()-9,9)+1),"")</f>
        <v/>
      </c>
      <c r="C6960" s="9">
        <f t="shared" si="108"/>
        <v>0</v>
      </c>
    </row>
    <row r="6961" spans="1:3" x14ac:dyDescent="0.2">
      <c r="A6961" s="10" t="str">
        <f>IF(6953&gt;$C$9008,"",INDEX($B$9:$B$9008,MATCH(6953,$C$9:$C$9008,0)))</f>
        <v/>
      </c>
      <c r="B6961" s="9" t="str">
        <f>IFERROR(INDEX(Input!$L$20:$T$1019,INT((ROW()-9)/9)+1,MOD(ROW()-9,9)+1),"")</f>
        <v/>
      </c>
      <c r="C6961" s="9">
        <f t="shared" si="108"/>
        <v>0</v>
      </c>
    </row>
    <row r="6962" spans="1:3" x14ac:dyDescent="0.2">
      <c r="A6962" s="10" t="str">
        <f>IF(6954&gt;$C$9008,"",INDEX($B$9:$B$9008,MATCH(6954,$C$9:$C$9008,0)))</f>
        <v/>
      </c>
      <c r="B6962" s="9" t="str">
        <f>IFERROR(INDEX(Input!$L$20:$T$1019,INT((ROW()-9)/9)+1,MOD(ROW()-9,9)+1),"")</f>
        <v/>
      </c>
      <c r="C6962" s="9">
        <f t="shared" si="108"/>
        <v>0</v>
      </c>
    </row>
    <row r="6963" spans="1:3" x14ac:dyDescent="0.2">
      <c r="A6963" s="10" t="str">
        <f>IF(6955&gt;$C$9008,"",INDEX($B$9:$B$9008,MATCH(6955,$C$9:$C$9008,0)))</f>
        <v/>
      </c>
      <c r="B6963" s="9" t="str">
        <f>IFERROR(INDEX(Input!$L$20:$T$1019,INT((ROW()-9)/9)+1,MOD(ROW()-9,9)+1),"")</f>
        <v/>
      </c>
      <c r="C6963" s="9">
        <f t="shared" si="108"/>
        <v>0</v>
      </c>
    </row>
    <row r="6964" spans="1:3" x14ac:dyDescent="0.2">
      <c r="A6964" s="10" t="str">
        <f>IF(6956&gt;$C$9008,"",INDEX($B$9:$B$9008,MATCH(6956,$C$9:$C$9008,0)))</f>
        <v/>
      </c>
      <c r="B6964" s="9" t="str">
        <f>IFERROR(INDEX(Input!$L$20:$T$1019,INT((ROW()-9)/9)+1,MOD(ROW()-9,9)+1),"")</f>
        <v/>
      </c>
      <c r="C6964" s="9">
        <f t="shared" si="108"/>
        <v>0</v>
      </c>
    </row>
    <row r="6965" spans="1:3" x14ac:dyDescent="0.2">
      <c r="A6965" s="10" t="str">
        <f>IF(6957&gt;$C$9008,"",INDEX($B$9:$B$9008,MATCH(6957,$C$9:$C$9008,0)))</f>
        <v/>
      </c>
      <c r="B6965" s="9" t="str">
        <f>IFERROR(INDEX(Input!$L$20:$T$1019,INT((ROW()-9)/9)+1,MOD(ROW()-9,9)+1),"")</f>
        <v/>
      </c>
      <c r="C6965" s="9">
        <f t="shared" si="108"/>
        <v>0</v>
      </c>
    </row>
    <row r="6966" spans="1:3" x14ac:dyDescent="0.2">
      <c r="A6966" s="10" t="str">
        <f>IF(6958&gt;$C$9008,"",INDEX($B$9:$B$9008,MATCH(6958,$C$9:$C$9008,0)))</f>
        <v/>
      </c>
      <c r="B6966" s="9" t="str">
        <f>IFERROR(INDEX(Input!$L$20:$T$1019,INT((ROW()-9)/9)+1,MOD(ROW()-9,9)+1),"")</f>
        <v/>
      </c>
      <c r="C6966" s="9">
        <f t="shared" si="108"/>
        <v>0</v>
      </c>
    </row>
    <row r="6967" spans="1:3" x14ac:dyDescent="0.2">
      <c r="A6967" s="10" t="str">
        <f>IF(6959&gt;$C$9008,"",INDEX($B$9:$B$9008,MATCH(6959,$C$9:$C$9008,0)))</f>
        <v/>
      </c>
      <c r="B6967" s="9" t="str">
        <f>IFERROR(INDEX(Input!$L$20:$T$1019,INT((ROW()-9)/9)+1,MOD(ROW()-9,9)+1),"")</f>
        <v/>
      </c>
      <c r="C6967" s="9">
        <f t="shared" si="108"/>
        <v>0</v>
      </c>
    </row>
    <row r="6968" spans="1:3" x14ac:dyDescent="0.2">
      <c r="A6968" s="10" t="str">
        <f>IF(6960&gt;$C$9008,"",INDEX($B$9:$B$9008,MATCH(6960,$C$9:$C$9008,0)))</f>
        <v/>
      </c>
      <c r="B6968" s="9" t="str">
        <f>IFERROR(INDEX(Input!$L$20:$T$1019,INT((ROW()-9)/9)+1,MOD(ROW()-9,9)+1),"")</f>
        <v/>
      </c>
      <c r="C6968" s="9">
        <f t="shared" si="108"/>
        <v>0</v>
      </c>
    </row>
    <row r="6969" spans="1:3" x14ac:dyDescent="0.2">
      <c r="A6969" s="10" t="str">
        <f>IF(6961&gt;$C$9008,"",INDEX($B$9:$B$9008,MATCH(6961,$C$9:$C$9008,0)))</f>
        <v/>
      </c>
      <c r="B6969" s="9" t="str">
        <f>IFERROR(INDEX(Input!$L$20:$T$1019,INT((ROW()-9)/9)+1,MOD(ROW()-9,9)+1),"")</f>
        <v/>
      </c>
      <c r="C6969" s="9">
        <f t="shared" si="108"/>
        <v>0</v>
      </c>
    </row>
    <row r="6970" spans="1:3" x14ac:dyDescent="0.2">
      <c r="A6970" s="10" t="str">
        <f>IF(6962&gt;$C$9008,"",INDEX($B$9:$B$9008,MATCH(6962,$C$9:$C$9008,0)))</f>
        <v/>
      </c>
      <c r="B6970" s="9" t="str">
        <f>IFERROR(INDEX(Input!$L$20:$T$1019,INT((ROW()-9)/9)+1,MOD(ROW()-9,9)+1),"")</f>
        <v/>
      </c>
      <c r="C6970" s="9">
        <f t="shared" si="108"/>
        <v>0</v>
      </c>
    </row>
    <row r="6971" spans="1:3" x14ac:dyDescent="0.2">
      <c r="A6971" s="10" t="str">
        <f>IF(6963&gt;$C$9008,"",INDEX($B$9:$B$9008,MATCH(6963,$C$9:$C$9008,0)))</f>
        <v/>
      </c>
      <c r="B6971" s="9" t="str">
        <f>IFERROR(INDEX(Input!$L$20:$T$1019,INT((ROW()-9)/9)+1,MOD(ROW()-9,9)+1),"")</f>
        <v/>
      </c>
      <c r="C6971" s="9">
        <f t="shared" si="108"/>
        <v>0</v>
      </c>
    </row>
    <row r="6972" spans="1:3" x14ac:dyDescent="0.2">
      <c r="A6972" s="10" t="str">
        <f>IF(6964&gt;$C$9008,"",INDEX($B$9:$B$9008,MATCH(6964,$C$9:$C$9008,0)))</f>
        <v/>
      </c>
      <c r="B6972" s="9" t="str">
        <f>IFERROR(INDEX(Input!$L$20:$T$1019,INT((ROW()-9)/9)+1,MOD(ROW()-9,9)+1),"")</f>
        <v/>
      </c>
      <c r="C6972" s="9">
        <f t="shared" si="108"/>
        <v>0</v>
      </c>
    </row>
    <row r="6973" spans="1:3" x14ac:dyDescent="0.2">
      <c r="A6973" s="10" t="str">
        <f>IF(6965&gt;$C$9008,"",INDEX($B$9:$B$9008,MATCH(6965,$C$9:$C$9008,0)))</f>
        <v/>
      </c>
      <c r="B6973" s="9" t="str">
        <f>IFERROR(INDEX(Input!$L$20:$T$1019,INT((ROW()-9)/9)+1,MOD(ROW()-9,9)+1),"")</f>
        <v/>
      </c>
      <c r="C6973" s="9">
        <f t="shared" si="108"/>
        <v>0</v>
      </c>
    </row>
    <row r="6974" spans="1:3" x14ac:dyDescent="0.2">
      <c r="A6974" s="10" t="str">
        <f>IF(6966&gt;$C$9008,"",INDEX($B$9:$B$9008,MATCH(6966,$C$9:$C$9008,0)))</f>
        <v/>
      </c>
      <c r="B6974" s="9" t="str">
        <f>IFERROR(INDEX(Input!$L$20:$T$1019,INT((ROW()-9)/9)+1,MOD(ROW()-9,9)+1),"")</f>
        <v/>
      </c>
      <c r="C6974" s="9">
        <f t="shared" si="108"/>
        <v>0</v>
      </c>
    </row>
    <row r="6975" spans="1:3" x14ac:dyDescent="0.2">
      <c r="A6975" s="10" t="str">
        <f>IF(6967&gt;$C$9008,"",INDEX($B$9:$B$9008,MATCH(6967,$C$9:$C$9008,0)))</f>
        <v/>
      </c>
      <c r="B6975" s="9" t="str">
        <f>IFERROR(INDEX(Input!$L$20:$T$1019,INT((ROW()-9)/9)+1,MOD(ROW()-9,9)+1),"")</f>
        <v/>
      </c>
      <c r="C6975" s="9">
        <f t="shared" si="108"/>
        <v>0</v>
      </c>
    </row>
    <row r="6976" spans="1:3" x14ac:dyDescent="0.2">
      <c r="A6976" s="10" t="str">
        <f>IF(6968&gt;$C$9008,"",INDEX($B$9:$B$9008,MATCH(6968,$C$9:$C$9008,0)))</f>
        <v/>
      </c>
      <c r="B6976" s="9" t="str">
        <f>IFERROR(INDEX(Input!$L$20:$T$1019,INT((ROW()-9)/9)+1,MOD(ROW()-9,9)+1),"")</f>
        <v/>
      </c>
      <c r="C6976" s="9">
        <f t="shared" si="108"/>
        <v>0</v>
      </c>
    </row>
    <row r="6977" spans="1:3" x14ac:dyDescent="0.2">
      <c r="A6977" s="10" t="str">
        <f>IF(6969&gt;$C$9008,"",INDEX($B$9:$B$9008,MATCH(6969,$C$9:$C$9008,0)))</f>
        <v/>
      </c>
      <c r="B6977" s="9" t="str">
        <f>IFERROR(INDEX(Input!$L$20:$T$1019,INT((ROW()-9)/9)+1,MOD(ROW()-9,9)+1),"")</f>
        <v/>
      </c>
      <c r="C6977" s="9">
        <f t="shared" si="108"/>
        <v>0</v>
      </c>
    </row>
    <row r="6978" spans="1:3" x14ac:dyDescent="0.2">
      <c r="A6978" s="10" t="str">
        <f>IF(6970&gt;$C$9008,"",INDEX($B$9:$B$9008,MATCH(6970,$C$9:$C$9008,0)))</f>
        <v/>
      </c>
      <c r="B6978" s="9" t="str">
        <f>IFERROR(INDEX(Input!$L$20:$T$1019,INT((ROW()-9)/9)+1,MOD(ROW()-9,9)+1),"")</f>
        <v/>
      </c>
      <c r="C6978" s="9">
        <f t="shared" si="108"/>
        <v>0</v>
      </c>
    </row>
    <row r="6979" spans="1:3" x14ac:dyDescent="0.2">
      <c r="A6979" s="10" t="str">
        <f>IF(6971&gt;$C$9008,"",INDEX($B$9:$B$9008,MATCH(6971,$C$9:$C$9008,0)))</f>
        <v/>
      </c>
      <c r="B6979" s="9" t="str">
        <f>IFERROR(INDEX(Input!$L$20:$T$1019,INT((ROW()-9)/9)+1,MOD(ROW()-9,9)+1),"")</f>
        <v/>
      </c>
      <c r="C6979" s="9">
        <f t="shared" si="108"/>
        <v>0</v>
      </c>
    </row>
    <row r="6980" spans="1:3" x14ac:dyDescent="0.2">
      <c r="A6980" s="10" t="str">
        <f>IF(6972&gt;$C$9008,"",INDEX($B$9:$B$9008,MATCH(6972,$C$9:$C$9008,0)))</f>
        <v/>
      </c>
      <c r="B6980" s="9" t="str">
        <f>IFERROR(INDEX(Input!$L$20:$T$1019,INT((ROW()-9)/9)+1,MOD(ROW()-9,9)+1),"")</f>
        <v/>
      </c>
      <c r="C6980" s="9">
        <f t="shared" si="108"/>
        <v>0</v>
      </c>
    </row>
    <row r="6981" spans="1:3" x14ac:dyDescent="0.2">
      <c r="A6981" s="10" t="str">
        <f>IF(6973&gt;$C$9008,"",INDEX($B$9:$B$9008,MATCH(6973,$C$9:$C$9008,0)))</f>
        <v/>
      </c>
      <c r="B6981" s="9" t="str">
        <f>IFERROR(INDEX(Input!$L$20:$T$1019,INT((ROW()-9)/9)+1,MOD(ROW()-9,9)+1),"")</f>
        <v/>
      </c>
      <c r="C6981" s="9">
        <f t="shared" si="108"/>
        <v>0</v>
      </c>
    </row>
    <row r="6982" spans="1:3" x14ac:dyDescent="0.2">
      <c r="A6982" s="10" t="str">
        <f>IF(6974&gt;$C$9008,"",INDEX($B$9:$B$9008,MATCH(6974,$C$9:$C$9008,0)))</f>
        <v/>
      </c>
      <c r="B6982" s="9" t="str">
        <f>IFERROR(INDEX(Input!$L$20:$T$1019,INT((ROW()-9)/9)+1,MOD(ROW()-9,9)+1),"")</f>
        <v/>
      </c>
      <c r="C6982" s="9">
        <f t="shared" si="108"/>
        <v>0</v>
      </c>
    </row>
    <row r="6983" spans="1:3" x14ac:dyDescent="0.2">
      <c r="A6983" s="10" t="str">
        <f>IF(6975&gt;$C$9008,"",INDEX($B$9:$B$9008,MATCH(6975,$C$9:$C$9008,0)))</f>
        <v/>
      </c>
      <c r="B6983" s="9" t="str">
        <f>IFERROR(INDEX(Input!$L$20:$T$1019,INT((ROW()-9)/9)+1,MOD(ROW()-9,9)+1),"")</f>
        <v/>
      </c>
      <c r="C6983" s="9">
        <f t="shared" si="108"/>
        <v>0</v>
      </c>
    </row>
    <row r="6984" spans="1:3" x14ac:dyDescent="0.2">
      <c r="A6984" s="10" t="str">
        <f>IF(6976&gt;$C$9008,"",INDEX($B$9:$B$9008,MATCH(6976,$C$9:$C$9008,0)))</f>
        <v/>
      </c>
      <c r="B6984" s="9" t="str">
        <f>IFERROR(INDEX(Input!$L$20:$T$1019,INT((ROW()-9)/9)+1,MOD(ROW()-9,9)+1),"")</f>
        <v/>
      </c>
      <c r="C6984" s="9">
        <f t="shared" si="108"/>
        <v>0</v>
      </c>
    </row>
    <row r="6985" spans="1:3" x14ac:dyDescent="0.2">
      <c r="A6985" s="10" t="str">
        <f>IF(6977&gt;$C$9008,"",INDEX($B$9:$B$9008,MATCH(6977,$C$9:$C$9008,0)))</f>
        <v/>
      </c>
      <c r="B6985" s="9" t="str">
        <f>IFERROR(INDEX(Input!$L$20:$T$1019,INT((ROW()-9)/9)+1,MOD(ROW()-9,9)+1),"")</f>
        <v/>
      </c>
      <c r="C6985" s="9">
        <f t="shared" ref="C6985:C7048" si="109">$C6984+IF($B6985&lt;&gt;"",1,0)</f>
        <v>0</v>
      </c>
    </row>
    <row r="6986" spans="1:3" x14ac:dyDescent="0.2">
      <c r="A6986" s="10" t="str">
        <f>IF(6978&gt;$C$9008,"",INDEX($B$9:$B$9008,MATCH(6978,$C$9:$C$9008,0)))</f>
        <v/>
      </c>
      <c r="B6986" s="9" t="str">
        <f>IFERROR(INDEX(Input!$L$20:$T$1019,INT((ROW()-9)/9)+1,MOD(ROW()-9,9)+1),"")</f>
        <v/>
      </c>
      <c r="C6986" s="9">
        <f t="shared" si="109"/>
        <v>0</v>
      </c>
    </row>
    <row r="6987" spans="1:3" x14ac:dyDescent="0.2">
      <c r="A6987" s="10" t="str">
        <f>IF(6979&gt;$C$9008,"",INDEX($B$9:$B$9008,MATCH(6979,$C$9:$C$9008,0)))</f>
        <v/>
      </c>
      <c r="B6987" s="9" t="str">
        <f>IFERROR(INDEX(Input!$L$20:$T$1019,INT((ROW()-9)/9)+1,MOD(ROW()-9,9)+1),"")</f>
        <v/>
      </c>
      <c r="C6987" s="9">
        <f t="shared" si="109"/>
        <v>0</v>
      </c>
    </row>
    <row r="6988" spans="1:3" x14ac:dyDescent="0.2">
      <c r="A6988" s="10" t="str">
        <f>IF(6980&gt;$C$9008,"",INDEX($B$9:$B$9008,MATCH(6980,$C$9:$C$9008,0)))</f>
        <v/>
      </c>
      <c r="B6988" s="9" t="str">
        <f>IFERROR(INDEX(Input!$L$20:$T$1019,INT((ROW()-9)/9)+1,MOD(ROW()-9,9)+1),"")</f>
        <v/>
      </c>
      <c r="C6988" s="9">
        <f t="shared" si="109"/>
        <v>0</v>
      </c>
    </row>
    <row r="6989" spans="1:3" x14ac:dyDescent="0.2">
      <c r="A6989" s="10" t="str">
        <f>IF(6981&gt;$C$9008,"",INDEX($B$9:$B$9008,MATCH(6981,$C$9:$C$9008,0)))</f>
        <v/>
      </c>
      <c r="B6989" s="9" t="str">
        <f>IFERROR(INDEX(Input!$L$20:$T$1019,INT((ROW()-9)/9)+1,MOD(ROW()-9,9)+1),"")</f>
        <v/>
      </c>
      <c r="C6989" s="9">
        <f t="shared" si="109"/>
        <v>0</v>
      </c>
    </row>
    <row r="6990" spans="1:3" x14ac:dyDescent="0.2">
      <c r="A6990" s="10" t="str">
        <f>IF(6982&gt;$C$9008,"",INDEX($B$9:$B$9008,MATCH(6982,$C$9:$C$9008,0)))</f>
        <v/>
      </c>
      <c r="B6990" s="9" t="str">
        <f>IFERROR(INDEX(Input!$L$20:$T$1019,INT((ROW()-9)/9)+1,MOD(ROW()-9,9)+1),"")</f>
        <v/>
      </c>
      <c r="C6990" s="9">
        <f t="shared" si="109"/>
        <v>0</v>
      </c>
    </row>
    <row r="6991" spans="1:3" x14ac:dyDescent="0.2">
      <c r="A6991" s="10" t="str">
        <f>IF(6983&gt;$C$9008,"",INDEX($B$9:$B$9008,MATCH(6983,$C$9:$C$9008,0)))</f>
        <v/>
      </c>
      <c r="B6991" s="9" t="str">
        <f>IFERROR(INDEX(Input!$L$20:$T$1019,INT((ROW()-9)/9)+1,MOD(ROW()-9,9)+1),"")</f>
        <v/>
      </c>
      <c r="C6991" s="9">
        <f t="shared" si="109"/>
        <v>0</v>
      </c>
    </row>
    <row r="6992" spans="1:3" x14ac:dyDescent="0.2">
      <c r="A6992" s="10" t="str">
        <f>IF(6984&gt;$C$9008,"",INDEX($B$9:$B$9008,MATCH(6984,$C$9:$C$9008,0)))</f>
        <v/>
      </c>
      <c r="B6992" s="9" t="str">
        <f>IFERROR(INDEX(Input!$L$20:$T$1019,INT((ROW()-9)/9)+1,MOD(ROW()-9,9)+1),"")</f>
        <v/>
      </c>
      <c r="C6992" s="9">
        <f t="shared" si="109"/>
        <v>0</v>
      </c>
    </row>
    <row r="6993" spans="1:3" x14ac:dyDescent="0.2">
      <c r="A6993" s="10" t="str">
        <f>IF(6985&gt;$C$9008,"",INDEX($B$9:$B$9008,MATCH(6985,$C$9:$C$9008,0)))</f>
        <v/>
      </c>
      <c r="B6993" s="9" t="str">
        <f>IFERROR(INDEX(Input!$L$20:$T$1019,INT((ROW()-9)/9)+1,MOD(ROW()-9,9)+1),"")</f>
        <v/>
      </c>
      <c r="C6993" s="9">
        <f t="shared" si="109"/>
        <v>0</v>
      </c>
    </row>
    <row r="6994" spans="1:3" x14ac:dyDescent="0.2">
      <c r="A6994" s="10" t="str">
        <f>IF(6986&gt;$C$9008,"",INDEX($B$9:$B$9008,MATCH(6986,$C$9:$C$9008,0)))</f>
        <v/>
      </c>
      <c r="B6994" s="9" t="str">
        <f>IFERROR(INDEX(Input!$L$20:$T$1019,INT((ROW()-9)/9)+1,MOD(ROW()-9,9)+1),"")</f>
        <v/>
      </c>
      <c r="C6994" s="9">
        <f t="shared" si="109"/>
        <v>0</v>
      </c>
    </row>
    <row r="6995" spans="1:3" x14ac:dyDescent="0.2">
      <c r="A6995" s="10" t="str">
        <f>IF(6987&gt;$C$9008,"",INDEX($B$9:$B$9008,MATCH(6987,$C$9:$C$9008,0)))</f>
        <v/>
      </c>
      <c r="B6995" s="9" t="str">
        <f>IFERROR(INDEX(Input!$L$20:$T$1019,INT((ROW()-9)/9)+1,MOD(ROW()-9,9)+1),"")</f>
        <v/>
      </c>
      <c r="C6995" s="9">
        <f t="shared" si="109"/>
        <v>0</v>
      </c>
    </row>
    <row r="6996" spans="1:3" x14ac:dyDescent="0.2">
      <c r="A6996" s="10" t="str">
        <f>IF(6988&gt;$C$9008,"",INDEX($B$9:$B$9008,MATCH(6988,$C$9:$C$9008,0)))</f>
        <v/>
      </c>
      <c r="B6996" s="9" t="str">
        <f>IFERROR(INDEX(Input!$L$20:$T$1019,INT((ROW()-9)/9)+1,MOD(ROW()-9,9)+1),"")</f>
        <v/>
      </c>
      <c r="C6996" s="9">
        <f t="shared" si="109"/>
        <v>0</v>
      </c>
    </row>
    <row r="6997" spans="1:3" x14ac:dyDescent="0.2">
      <c r="A6997" s="10" t="str">
        <f>IF(6989&gt;$C$9008,"",INDEX($B$9:$B$9008,MATCH(6989,$C$9:$C$9008,0)))</f>
        <v/>
      </c>
      <c r="B6997" s="9" t="str">
        <f>IFERROR(INDEX(Input!$L$20:$T$1019,INT((ROW()-9)/9)+1,MOD(ROW()-9,9)+1),"")</f>
        <v/>
      </c>
      <c r="C6997" s="9">
        <f t="shared" si="109"/>
        <v>0</v>
      </c>
    </row>
    <row r="6998" spans="1:3" x14ac:dyDescent="0.2">
      <c r="A6998" s="10" t="str">
        <f>IF(6990&gt;$C$9008,"",INDEX($B$9:$B$9008,MATCH(6990,$C$9:$C$9008,0)))</f>
        <v/>
      </c>
      <c r="B6998" s="9" t="str">
        <f>IFERROR(INDEX(Input!$L$20:$T$1019,INT((ROW()-9)/9)+1,MOD(ROW()-9,9)+1),"")</f>
        <v/>
      </c>
      <c r="C6998" s="9">
        <f t="shared" si="109"/>
        <v>0</v>
      </c>
    </row>
    <row r="6999" spans="1:3" x14ac:dyDescent="0.2">
      <c r="A6999" s="10" t="str">
        <f>IF(6991&gt;$C$9008,"",INDEX($B$9:$B$9008,MATCH(6991,$C$9:$C$9008,0)))</f>
        <v/>
      </c>
      <c r="B6999" s="9" t="str">
        <f>IFERROR(INDEX(Input!$L$20:$T$1019,INT((ROW()-9)/9)+1,MOD(ROW()-9,9)+1),"")</f>
        <v/>
      </c>
      <c r="C6999" s="9">
        <f t="shared" si="109"/>
        <v>0</v>
      </c>
    </row>
    <row r="7000" spans="1:3" x14ac:dyDescent="0.2">
      <c r="A7000" s="10" t="str">
        <f>IF(6992&gt;$C$9008,"",INDEX($B$9:$B$9008,MATCH(6992,$C$9:$C$9008,0)))</f>
        <v/>
      </c>
      <c r="B7000" s="9" t="str">
        <f>IFERROR(INDEX(Input!$L$20:$T$1019,INT((ROW()-9)/9)+1,MOD(ROW()-9,9)+1),"")</f>
        <v/>
      </c>
      <c r="C7000" s="9">
        <f t="shared" si="109"/>
        <v>0</v>
      </c>
    </row>
    <row r="7001" spans="1:3" x14ac:dyDescent="0.2">
      <c r="A7001" s="10" t="str">
        <f>IF(6993&gt;$C$9008,"",INDEX($B$9:$B$9008,MATCH(6993,$C$9:$C$9008,0)))</f>
        <v/>
      </c>
      <c r="B7001" s="9" t="str">
        <f>IFERROR(INDEX(Input!$L$20:$T$1019,INT((ROW()-9)/9)+1,MOD(ROW()-9,9)+1),"")</f>
        <v/>
      </c>
      <c r="C7001" s="9">
        <f t="shared" si="109"/>
        <v>0</v>
      </c>
    </row>
    <row r="7002" spans="1:3" x14ac:dyDescent="0.2">
      <c r="A7002" s="10" t="str">
        <f>IF(6994&gt;$C$9008,"",INDEX($B$9:$B$9008,MATCH(6994,$C$9:$C$9008,0)))</f>
        <v/>
      </c>
      <c r="B7002" s="9" t="str">
        <f>IFERROR(INDEX(Input!$L$20:$T$1019,INT((ROW()-9)/9)+1,MOD(ROW()-9,9)+1),"")</f>
        <v/>
      </c>
      <c r="C7002" s="9">
        <f t="shared" si="109"/>
        <v>0</v>
      </c>
    </row>
    <row r="7003" spans="1:3" x14ac:dyDescent="0.2">
      <c r="A7003" s="10" t="str">
        <f>IF(6995&gt;$C$9008,"",INDEX($B$9:$B$9008,MATCH(6995,$C$9:$C$9008,0)))</f>
        <v/>
      </c>
      <c r="B7003" s="9" t="str">
        <f>IFERROR(INDEX(Input!$L$20:$T$1019,INT((ROW()-9)/9)+1,MOD(ROW()-9,9)+1),"")</f>
        <v/>
      </c>
      <c r="C7003" s="9">
        <f t="shared" si="109"/>
        <v>0</v>
      </c>
    </row>
    <row r="7004" spans="1:3" x14ac:dyDescent="0.2">
      <c r="A7004" s="10" t="str">
        <f>IF(6996&gt;$C$9008,"",INDEX($B$9:$B$9008,MATCH(6996,$C$9:$C$9008,0)))</f>
        <v/>
      </c>
      <c r="B7004" s="9" t="str">
        <f>IFERROR(INDEX(Input!$L$20:$T$1019,INT((ROW()-9)/9)+1,MOD(ROW()-9,9)+1),"")</f>
        <v/>
      </c>
      <c r="C7004" s="9">
        <f t="shared" si="109"/>
        <v>0</v>
      </c>
    </row>
    <row r="7005" spans="1:3" x14ac:dyDescent="0.2">
      <c r="A7005" s="10" t="str">
        <f>IF(6997&gt;$C$9008,"",INDEX($B$9:$B$9008,MATCH(6997,$C$9:$C$9008,0)))</f>
        <v/>
      </c>
      <c r="B7005" s="9" t="str">
        <f>IFERROR(INDEX(Input!$L$20:$T$1019,INT((ROW()-9)/9)+1,MOD(ROW()-9,9)+1),"")</f>
        <v/>
      </c>
      <c r="C7005" s="9">
        <f t="shared" si="109"/>
        <v>0</v>
      </c>
    </row>
    <row r="7006" spans="1:3" x14ac:dyDescent="0.2">
      <c r="A7006" s="10" t="str">
        <f>IF(6998&gt;$C$9008,"",INDEX($B$9:$B$9008,MATCH(6998,$C$9:$C$9008,0)))</f>
        <v/>
      </c>
      <c r="B7006" s="9" t="str">
        <f>IFERROR(INDEX(Input!$L$20:$T$1019,INT((ROW()-9)/9)+1,MOD(ROW()-9,9)+1),"")</f>
        <v/>
      </c>
      <c r="C7006" s="9">
        <f t="shared" si="109"/>
        <v>0</v>
      </c>
    </row>
    <row r="7007" spans="1:3" x14ac:dyDescent="0.2">
      <c r="A7007" s="10" t="str">
        <f>IF(6999&gt;$C$9008,"",INDEX($B$9:$B$9008,MATCH(6999,$C$9:$C$9008,0)))</f>
        <v/>
      </c>
      <c r="B7007" s="9" t="str">
        <f>IFERROR(INDEX(Input!$L$20:$T$1019,INT((ROW()-9)/9)+1,MOD(ROW()-9,9)+1),"")</f>
        <v/>
      </c>
      <c r="C7007" s="9">
        <f t="shared" si="109"/>
        <v>0</v>
      </c>
    </row>
    <row r="7008" spans="1:3" x14ac:dyDescent="0.2">
      <c r="A7008" s="10" t="str">
        <f>IF(7000&gt;$C$9008,"",INDEX($B$9:$B$9008,MATCH(7000,$C$9:$C$9008,0)))</f>
        <v/>
      </c>
      <c r="B7008" s="9" t="str">
        <f>IFERROR(INDEX(Input!$L$20:$T$1019,INT((ROW()-9)/9)+1,MOD(ROW()-9,9)+1),"")</f>
        <v/>
      </c>
      <c r="C7008" s="9">
        <f t="shared" si="109"/>
        <v>0</v>
      </c>
    </row>
    <row r="7009" spans="1:3" x14ac:dyDescent="0.2">
      <c r="A7009" s="10" t="str">
        <f>IF(7001&gt;$C$9008,"",INDEX($B$9:$B$9008,MATCH(7001,$C$9:$C$9008,0)))</f>
        <v/>
      </c>
      <c r="B7009" s="9" t="str">
        <f>IFERROR(INDEX(Input!$L$20:$T$1019,INT((ROW()-9)/9)+1,MOD(ROW()-9,9)+1),"")</f>
        <v/>
      </c>
      <c r="C7009" s="9">
        <f t="shared" si="109"/>
        <v>0</v>
      </c>
    </row>
    <row r="7010" spans="1:3" x14ac:dyDescent="0.2">
      <c r="A7010" s="10" t="str">
        <f>IF(7002&gt;$C$9008,"",INDEX($B$9:$B$9008,MATCH(7002,$C$9:$C$9008,0)))</f>
        <v/>
      </c>
      <c r="B7010" s="9" t="str">
        <f>IFERROR(INDEX(Input!$L$20:$T$1019,INT((ROW()-9)/9)+1,MOD(ROW()-9,9)+1),"")</f>
        <v/>
      </c>
      <c r="C7010" s="9">
        <f t="shared" si="109"/>
        <v>0</v>
      </c>
    </row>
    <row r="7011" spans="1:3" x14ac:dyDescent="0.2">
      <c r="A7011" s="10" t="str">
        <f>IF(7003&gt;$C$9008,"",INDEX($B$9:$B$9008,MATCH(7003,$C$9:$C$9008,0)))</f>
        <v/>
      </c>
      <c r="B7011" s="9" t="str">
        <f>IFERROR(INDEX(Input!$L$20:$T$1019,INT((ROW()-9)/9)+1,MOD(ROW()-9,9)+1),"")</f>
        <v/>
      </c>
      <c r="C7011" s="9">
        <f t="shared" si="109"/>
        <v>0</v>
      </c>
    </row>
    <row r="7012" spans="1:3" x14ac:dyDescent="0.2">
      <c r="A7012" s="10" t="str">
        <f>IF(7004&gt;$C$9008,"",INDEX($B$9:$B$9008,MATCH(7004,$C$9:$C$9008,0)))</f>
        <v/>
      </c>
      <c r="B7012" s="9" t="str">
        <f>IFERROR(INDEX(Input!$L$20:$T$1019,INT((ROW()-9)/9)+1,MOD(ROW()-9,9)+1),"")</f>
        <v/>
      </c>
      <c r="C7012" s="9">
        <f t="shared" si="109"/>
        <v>0</v>
      </c>
    </row>
    <row r="7013" spans="1:3" x14ac:dyDescent="0.2">
      <c r="A7013" s="10" t="str">
        <f>IF(7005&gt;$C$9008,"",INDEX($B$9:$B$9008,MATCH(7005,$C$9:$C$9008,0)))</f>
        <v/>
      </c>
      <c r="B7013" s="9" t="str">
        <f>IFERROR(INDEX(Input!$L$20:$T$1019,INT((ROW()-9)/9)+1,MOD(ROW()-9,9)+1),"")</f>
        <v/>
      </c>
      <c r="C7013" s="9">
        <f t="shared" si="109"/>
        <v>0</v>
      </c>
    </row>
    <row r="7014" spans="1:3" x14ac:dyDescent="0.2">
      <c r="A7014" s="10" t="str">
        <f>IF(7006&gt;$C$9008,"",INDEX($B$9:$B$9008,MATCH(7006,$C$9:$C$9008,0)))</f>
        <v/>
      </c>
      <c r="B7014" s="9" t="str">
        <f>IFERROR(INDEX(Input!$L$20:$T$1019,INT((ROW()-9)/9)+1,MOD(ROW()-9,9)+1),"")</f>
        <v/>
      </c>
      <c r="C7014" s="9">
        <f t="shared" si="109"/>
        <v>0</v>
      </c>
    </row>
    <row r="7015" spans="1:3" x14ac:dyDescent="0.2">
      <c r="A7015" s="10" t="str">
        <f>IF(7007&gt;$C$9008,"",INDEX($B$9:$B$9008,MATCH(7007,$C$9:$C$9008,0)))</f>
        <v/>
      </c>
      <c r="B7015" s="9" t="str">
        <f>IFERROR(INDEX(Input!$L$20:$T$1019,INT((ROW()-9)/9)+1,MOD(ROW()-9,9)+1),"")</f>
        <v/>
      </c>
      <c r="C7015" s="9">
        <f t="shared" si="109"/>
        <v>0</v>
      </c>
    </row>
    <row r="7016" spans="1:3" x14ac:dyDescent="0.2">
      <c r="A7016" s="10" t="str">
        <f>IF(7008&gt;$C$9008,"",INDEX($B$9:$B$9008,MATCH(7008,$C$9:$C$9008,0)))</f>
        <v/>
      </c>
      <c r="B7016" s="9" t="str">
        <f>IFERROR(INDEX(Input!$L$20:$T$1019,INT((ROW()-9)/9)+1,MOD(ROW()-9,9)+1),"")</f>
        <v/>
      </c>
      <c r="C7016" s="9">
        <f t="shared" si="109"/>
        <v>0</v>
      </c>
    </row>
    <row r="7017" spans="1:3" x14ac:dyDescent="0.2">
      <c r="A7017" s="10" t="str">
        <f>IF(7009&gt;$C$9008,"",INDEX($B$9:$B$9008,MATCH(7009,$C$9:$C$9008,0)))</f>
        <v/>
      </c>
      <c r="B7017" s="9" t="str">
        <f>IFERROR(INDEX(Input!$L$20:$T$1019,INT((ROW()-9)/9)+1,MOD(ROW()-9,9)+1),"")</f>
        <v/>
      </c>
      <c r="C7017" s="9">
        <f t="shared" si="109"/>
        <v>0</v>
      </c>
    </row>
    <row r="7018" spans="1:3" x14ac:dyDescent="0.2">
      <c r="A7018" s="10" t="str">
        <f>IF(7010&gt;$C$9008,"",INDEX($B$9:$B$9008,MATCH(7010,$C$9:$C$9008,0)))</f>
        <v/>
      </c>
      <c r="B7018" s="9" t="str">
        <f>IFERROR(INDEX(Input!$L$20:$T$1019,INT((ROW()-9)/9)+1,MOD(ROW()-9,9)+1),"")</f>
        <v/>
      </c>
      <c r="C7018" s="9">
        <f t="shared" si="109"/>
        <v>0</v>
      </c>
    </row>
    <row r="7019" spans="1:3" x14ac:dyDescent="0.2">
      <c r="A7019" s="10" t="str">
        <f>IF(7011&gt;$C$9008,"",INDEX($B$9:$B$9008,MATCH(7011,$C$9:$C$9008,0)))</f>
        <v/>
      </c>
      <c r="B7019" s="9" t="str">
        <f>IFERROR(INDEX(Input!$L$20:$T$1019,INT((ROW()-9)/9)+1,MOD(ROW()-9,9)+1),"")</f>
        <v/>
      </c>
      <c r="C7019" s="9">
        <f t="shared" si="109"/>
        <v>0</v>
      </c>
    </row>
    <row r="7020" spans="1:3" x14ac:dyDescent="0.2">
      <c r="A7020" s="10" t="str">
        <f>IF(7012&gt;$C$9008,"",INDEX($B$9:$B$9008,MATCH(7012,$C$9:$C$9008,0)))</f>
        <v/>
      </c>
      <c r="B7020" s="9" t="str">
        <f>IFERROR(INDEX(Input!$L$20:$T$1019,INT((ROW()-9)/9)+1,MOD(ROW()-9,9)+1),"")</f>
        <v/>
      </c>
      <c r="C7020" s="9">
        <f t="shared" si="109"/>
        <v>0</v>
      </c>
    </row>
    <row r="7021" spans="1:3" x14ac:dyDescent="0.2">
      <c r="A7021" s="10" t="str">
        <f>IF(7013&gt;$C$9008,"",INDEX($B$9:$B$9008,MATCH(7013,$C$9:$C$9008,0)))</f>
        <v/>
      </c>
      <c r="B7021" s="9" t="str">
        <f>IFERROR(INDEX(Input!$L$20:$T$1019,INT((ROW()-9)/9)+1,MOD(ROW()-9,9)+1),"")</f>
        <v/>
      </c>
      <c r="C7021" s="9">
        <f t="shared" si="109"/>
        <v>0</v>
      </c>
    </row>
    <row r="7022" spans="1:3" x14ac:dyDescent="0.2">
      <c r="A7022" s="10" t="str">
        <f>IF(7014&gt;$C$9008,"",INDEX($B$9:$B$9008,MATCH(7014,$C$9:$C$9008,0)))</f>
        <v/>
      </c>
      <c r="B7022" s="9" t="str">
        <f>IFERROR(INDEX(Input!$L$20:$T$1019,INT((ROW()-9)/9)+1,MOD(ROW()-9,9)+1),"")</f>
        <v/>
      </c>
      <c r="C7022" s="9">
        <f t="shared" si="109"/>
        <v>0</v>
      </c>
    </row>
    <row r="7023" spans="1:3" x14ac:dyDescent="0.2">
      <c r="A7023" s="10" t="str">
        <f>IF(7015&gt;$C$9008,"",INDEX($B$9:$B$9008,MATCH(7015,$C$9:$C$9008,0)))</f>
        <v/>
      </c>
      <c r="B7023" s="9" t="str">
        <f>IFERROR(INDEX(Input!$L$20:$T$1019,INT((ROW()-9)/9)+1,MOD(ROW()-9,9)+1),"")</f>
        <v/>
      </c>
      <c r="C7023" s="9">
        <f t="shared" si="109"/>
        <v>0</v>
      </c>
    </row>
    <row r="7024" spans="1:3" x14ac:dyDescent="0.2">
      <c r="A7024" s="10" t="str">
        <f>IF(7016&gt;$C$9008,"",INDEX($B$9:$B$9008,MATCH(7016,$C$9:$C$9008,0)))</f>
        <v/>
      </c>
      <c r="B7024" s="9" t="str">
        <f>IFERROR(INDEX(Input!$L$20:$T$1019,INT((ROW()-9)/9)+1,MOD(ROW()-9,9)+1),"")</f>
        <v/>
      </c>
      <c r="C7024" s="9">
        <f t="shared" si="109"/>
        <v>0</v>
      </c>
    </row>
    <row r="7025" spans="1:3" x14ac:dyDescent="0.2">
      <c r="A7025" s="10" t="str">
        <f>IF(7017&gt;$C$9008,"",INDEX($B$9:$B$9008,MATCH(7017,$C$9:$C$9008,0)))</f>
        <v/>
      </c>
      <c r="B7025" s="9" t="str">
        <f>IFERROR(INDEX(Input!$L$20:$T$1019,INT((ROW()-9)/9)+1,MOD(ROW()-9,9)+1),"")</f>
        <v/>
      </c>
      <c r="C7025" s="9">
        <f t="shared" si="109"/>
        <v>0</v>
      </c>
    </row>
    <row r="7026" spans="1:3" x14ac:dyDescent="0.2">
      <c r="A7026" s="10" t="str">
        <f>IF(7018&gt;$C$9008,"",INDEX($B$9:$B$9008,MATCH(7018,$C$9:$C$9008,0)))</f>
        <v/>
      </c>
      <c r="B7026" s="9" t="str">
        <f>IFERROR(INDEX(Input!$L$20:$T$1019,INT((ROW()-9)/9)+1,MOD(ROW()-9,9)+1),"")</f>
        <v/>
      </c>
      <c r="C7026" s="9">
        <f t="shared" si="109"/>
        <v>0</v>
      </c>
    </row>
    <row r="7027" spans="1:3" x14ac:dyDescent="0.2">
      <c r="A7027" s="10" t="str">
        <f>IF(7019&gt;$C$9008,"",INDEX($B$9:$B$9008,MATCH(7019,$C$9:$C$9008,0)))</f>
        <v/>
      </c>
      <c r="B7027" s="9" t="str">
        <f>IFERROR(INDEX(Input!$L$20:$T$1019,INT((ROW()-9)/9)+1,MOD(ROW()-9,9)+1),"")</f>
        <v/>
      </c>
      <c r="C7027" s="9">
        <f t="shared" si="109"/>
        <v>0</v>
      </c>
    </row>
    <row r="7028" spans="1:3" x14ac:dyDescent="0.2">
      <c r="A7028" s="10" t="str">
        <f>IF(7020&gt;$C$9008,"",INDEX($B$9:$B$9008,MATCH(7020,$C$9:$C$9008,0)))</f>
        <v/>
      </c>
      <c r="B7028" s="9" t="str">
        <f>IFERROR(INDEX(Input!$L$20:$T$1019,INT((ROW()-9)/9)+1,MOD(ROW()-9,9)+1),"")</f>
        <v/>
      </c>
      <c r="C7028" s="9">
        <f t="shared" si="109"/>
        <v>0</v>
      </c>
    </row>
    <row r="7029" spans="1:3" x14ac:dyDescent="0.2">
      <c r="A7029" s="10" t="str">
        <f>IF(7021&gt;$C$9008,"",INDEX($B$9:$B$9008,MATCH(7021,$C$9:$C$9008,0)))</f>
        <v/>
      </c>
      <c r="B7029" s="9" t="str">
        <f>IFERROR(INDEX(Input!$L$20:$T$1019,INT((ROW()-9)/9)+1,MOD(ROW()-9,9)+1),"")</f>
        <v/>
      </c>
      <c r="C7029" s="9">
        <f t="shared" si="109"/>
        <v>0</v>
      </c>
    </row>
    <row r="7030" spans="1:3" x14ac:dyDescent="0.2">
      <c r="A7030" s="10" t="str">
        <f>IF(7022&gt;$C$9008,"",INDEX($B$9:$B$9008,MATCH(7022,$C$9:$C$9008,0)))</f>
        <v/>
      </c>
      <c r="B7030" s="9" t="str">
        <f>IFERROR(INDEX(Input!$L$20:$T$1019,INT((ROW()-9)/9)+1,MOD(ROW()-9,9)+1),"")</f>
        <v/>
      </c>
      <c r="C7030" s="9">
        <f t="shared" si="109"/>
        <v>0</v>
      </c>
    </row>
    <row r="7031" spans="1:3" x14ac:dyDescent="0.2">
      <c r="A7031" s="10" t="str">
        <f>IF(7023&gt;$C$9008,"",INDEX($B$9:$B$9008,MATCH(7023,$C$9:$C$9008,0)))</f>
        <v/>
      </c>
      <c r="B7031" s="9" t="str">
        <f>IFERROR(INDEX(Input!$L$20:$T$1019,INT((ROW()-9)/9)+1,MOD(ROW()-9,9)+1),"")</f>
        <v/>
      </c>
      <c r="C7031" s="9">
        <f t="shared" si="109"/>
        <v>0</v>
      </c>
    </row>
    <row r="7032" spans="1:3" x14ac:dyDescent="0.2">
      <c r="A7032" s="10" t="str">
        <f>IF(7024&gt;$C$9008,"",INDEX($B$9:$B$9008,MATCH(7024,$C$9:$C$9008,0)))</f>
        <v/>
      </c>
      <c r="B7032" s="9" t="str">
        <f>IFERROR(INDEX(Input!$L$20:$T$1019,INT((ROW()-9)/9)+1,MOD(ROW()-9,9)+1),"")</f>
        <v/>
      </c>
      <c r="C7032" s="9">
        <f t="shared" si="109"/>
        <v>0</v>
      </c>
    </row>
    <row r="7033" spans="1:3" x14ac:dyDescent="0.2">
      <c r="A7033" s="10" t="str">
        <f>IF(7025&gt;$C$9008,"",INDEX($B$9:$B$9008,MATCH(7025,$C$9:$C$9008,0)))</f>
        <v/>
      </c>
      <c r="B7033" s="9" t="str">
        <f>IFERROR(INDEX(Input!$L$20:$T$1019,INT((ROW()-9)/9)+1,MOD(ROW()-9,9)+1),"")</f>
        <v/>
      </c>
      <c r="C7033" s="9">
        <f t="shared" si="109"/>
        <v>0</v>
      </c>
    </row>
    <row r="7034" spans="1:3" x14ac:dyDescent="0.2">
      <c r="A7034" s="10" t="str">
        <f>IF(7026&gt;$C$9008,"",INDEX($B$9:$B$9008,MATCH(7026,$C$9:$C$9008,0)))</f>
        <v/>
      </c>
      <c r="B7034" s="9" t="str">
        <f>IFERROR(INDEX(Input!$L$20:$T$1019,INT((ROW()-9)/9)+1,MOD(ROW()-9,9)+1),"")</f>
        <v/>
      </c>
      <c r="C7034" s="9">
        <f t="shared" si="109"/>
        <v>0</v>
      </c>
    </row>
    <row r="7035" spans="1:3" x14ac:dyDescent="0.2">
      <c r="A7035" s="10" t="str">
        <f>IF(7027&gt;$C$9008,"",INDEX($B$9:$B$9008,MATCH(7027,$C$9:$C$9008,0)))</f>
        <v/>
      </c>
      <c r="B7035" s="9" t="str">
        <f>IFERROR(INDEX(Input!$L$20:$T$1019,INT((ROW()-9)/9)+1,MOD(ROW()-9,9)+1),"")</f>
        <v/>
      </c>
      <c r="C7035" s="9">
        <f t="shared" si="109"/>
        <v>0</v>
      </c>
    </row>
    <row r="7036" spans="1:3" x14ac:dyDescent="0.2">
      <c r="A7036" s="10" t="str">
        <f>IF(7028&gt;$C$9008,"",INDEX($B$9:$B$9008,MATCH(7028,$C$9:$C$9008,0)))</f>
        <v/>
      </c>
      <c r="B7036" s="9" t="str">
        <f>IFERROR(INDEX(Input!$L$20:$T$1019,INT((ROW()-9)/9)+1,MOD(ROW()-9,9)+1),"")</f>
        <v/>
      </c>
      <c r="C7036" s="9">
        <f t="shared" si="109"/>
        <v>0</v>
      </c>
    </row>
    <row r="7037" spans="1:3" x14ac:dyDescent="0.2">
      <c r="A7037" s="10" t="str">
        <f>IF(7029&gt;$C$9008,"",INDEX($B$9:$B$9008,MATCH(7029,$C$9:$C$9008,0)))</f>
        <v/>
      </c>
      <c r="B7037" s="9" t="str">
        <f>IFERROR(INDEX(Input!$L$20:$T$1019,INT((ROW()-9)/9)+1,MOD(ROW()-9,9)+1),"")</f>
        <v/>
      </c>
      <c r="C7037" s="9">
        <f t="shared" si="109"/>
        <v>0</v>
      </c>
    </row>
    <row r="7038" spans="1:3" x14ac:dyDescent="0.2">
      <c r="A7038" s="10" t="str">
        <f>IF(7030&gt;$C$9008,"",INDEX($B$9:$B$9008,MATCH(7030,$C$9:$C$9008,0)))</f>
        <v/>
      </c>
      <c r="B7038" s="9" t="str">
        <f>IFERROR(INDEX(Input!$L$20:$T$1019,INT((ROW()-9)/9)+1,MOD(ROW()-9,9)+1),"")</f>
        <v/>
      </c>
      <c r="C7038" s="9">
        <f t="shared" si="109"/>
        <v>0</v>
      </c>
    </row>
    <row r="7039" spans="1:3" x14ac:dyDescent="0.2">
      <c r="A7039" s="10" t="str">
        <f>IF(7031&gt;$C$9008,"",INDEX($B$9:$B$9008,MATCH(7031,$C$9:$C$9008,0)))</f>
        <v/>
      </c>
      <c r="B7039" s="9" t="str">
        <f>IFERROR(INDEX(Input!$L$20:$T$1019,INT((ROW()-9)/9)+1,MOD(ROW()-9,9)+1),"")</f>
        <v/>
      </c>
      <c r="C7039" s="9">
        <f t="shared" si="109"/>
        <v>0</v>
      </c>
    </row>
    <row r="7040" spans="1:3" x14ac:dyDescent="0.2">
      <c r="A7040" s="10" t="str">
        <f>IF(7032&gt;$C$9008,"",INDEX($B$9:$B$9008,MATCH(7032,$C$9:$C$9008,0)))</f>
        <v/>
      </c>
      <c r="B7040" s="9" t="str">
        <f>IFERROR(INDEX(Input!$L$20:$T$1019,INT((ROW()-9)/9)+1,MOD(ROW()-9,9)+1),"")</f>
        <v/>
      </c>
      <c r="C7040" s="9">
        <f t="shared" si="109"/>
        <v>0</v>
      </c>
    </row>
    <row r="7041" spans="1:3" x14ac:dyDescent="0.2">
      <c r="A7041" s="10" t="str">
        <f>IF(7033&gt;$C$9008,"",INDEX($B$9:$B$9008,MATCH(7033,$C$9:$C$9008,0)))</f>
        <v/>
      </c>
      <c r="B7041" s="9" t="str">
        <f>IFERROR(INDEX(Input!$L$20:$T$1019,INT((ROW()-9)/9)+1,MOD(ROW()-9,9)+1),"")</f>
        <v/>
      </c>
      <c r="C7041" s="9">
        <f t="shared" si="109"/>
        <v>0</v>
      </c>
    </row>
    <row r="7042" spans="1:3" x14ac:dyDescent="0.2">
      <c r="A7042" s="10" t="str">
        <f>IF(7034&gt;$C$9008,"",INDEX($B$9:$B$9008,MATCH(7034,$C$9:$C$9008,0)))</f>
        <v/>
      </c>
      <c r="B7042" s="9" t="str">
        <f>IFERROR(INDEX(Input!$L$20:$T$1019,INT((ROW()-9)/9)+1,MOD(ROW()-9,9)+1),"")</f>
        <v/>
      </c>
      <c r="C7042" s="9">
        <f t="shared" si="109"/>
        <v>0</v>
      </c>
    </row>
    <row r="7043" spans="1:3" x14ac:dyDescent="0.2">
      <c r="A7043" s="10" t="str">
        <f>IF(7035&gt;$C$9008,"",INDEX($B$9:$B$9008,MATCH(7035,$C$9:$C$9008,0)))</f>
        <v/>
      </c>
      <c r="B7043" s="9" t="str">
        <f>IFERROR(INDEX(Input!$L$20:$T$1019,INT((ROW()-9)/9)+1,MOD(ROW()-9,9)+1),"")</f>
        <v/>
      </c>
      <c r="C7043" s="9">
        <f t="shared" si="109"/>
        <v>0</v>
      </c>
    </row>
    <row r="7044" spans="1:3" x14ac:dyDescent="0.2">
      <c r="A7044" s="10" t="str">
        <f>IF(7036&gt;$C$9008,"",INDEX($B$9:$B$9008,MATCH(7036,$C$9:$C$9008,0)))</f>
        <v/>
      </c>
      <c r="B7044" s="9" t="str">
        <f>IFERROR(INDEX(Input!$L$20:$T$1019,INT((ROW()-9)/9)+1,MOD(ROW()-9,9)+1),"")</f>
        <v/>
      </c>
      <c r="C7044" s="9">
        <f t="shared" si="109"/>
        <v>0</v>
      </c>
    </row>
    <row r="7045" spans="1:3" x14ac:dyDescent="0.2">
      <c r="A7045" s="10" t="str">
        <f>IF(7037&gt;$C$9008,"",INDEX($B$9:$B$9008,MATCH(7037,$C$9:$C$9008,0)))</f>
        <v/>
      </c>
      <c r="B7045" s="9" t="str">
        <f>IFERROR(INDEX(Input!$L$20:$T$1019,INT((ROW()-9)/9)+1,MOD(ROW()-9,9)+1),"")</f>
        <v/>
      </c>
      <c r="C7045" s="9">
        <f t="shared" si="109"/>
        <v>0</v>
      </c>
    </row>
    <row r="7046" spans="1:3" x14ac:dyDescent="0.2">
      <c r="A7046" s="10" t="str">
        <f>IF(7038&gt;$C$9008,"",INDEX($B$9:$B$9008,MATCH(7038,$C$9:$C$9008,0)))</f>
        <v/>
      </c>
      <c r="B7046" s="9" t="str">
        <f>IFERROR(INDEX(Input!$L$20:$T$1019,INT((ROW()-9)/9)+1,MOD(ROW()-9,9)+1),"")</f>
        <v/>
      </c>
      <c r="C7046" s="9">
        <f t="shared" si="109"/>
        <v>0</v>
      </c>
    </row>
    <row r="7047" spans="1:3" x14ac:dyDescent="0.2">
      <c r="A7047" s="10" t="str">
        <f>IF(7039&gt;$C$9008,"",INDEX($B$9:$B$9008,MATCH(7039,$C$9:$C$9008,0)))</f>
        <v/>
      </c>
      <c r="B7047" s="9" t="str">
        <f>IFERROR(INDEX(Input!$L$20:$T$1019,INT((ROW()-9)/9)+1,MOD(ROW()-9,9)+1),"")</f>
        <v/>
      </c>
      <c r="C7047" s="9">
        <f t="shared" si="109"/>
        <v>0</v>
      </c>
    </row>
    <row r="7048" spans="1:3" x14ac:dyDescent="0.2">
      <c r="A7048" s="10" t="str">
        <f>IF(7040&gt;$C$9008,"",INDEX($B$9:$B$9008,MATCH(7040,$C$9:$C$9008,0)))</f>
        <v/>
      </c>
      <c r="B7048" s="9" t="str">
        <f>IFERROR(INDEX(Input!$L$20:$T$1019,INT((ROW()-9)/9)+1,MOD(ROW()-9,9)+1),"")</f>
        <v/>
      </c>
      <c r="C7048" s="9">
        <f t="shared" si="109"/>
        <v>0</v>
      </c>
    </row>
    <row r="7049" spans="1:3" x14ac:dyDescent="0.2">
      <c r="A7049" s="10" t="str">
        <f>IF(7041&gt;$C$9008,"",INDEX($B$9:$B$9008,MATCH(7041,$C$9:$C$9008,0)))</f>
        <v/>
      </c>
      <c r="B7049" s="9" t="str">
        <f>IFERROR(INDEX(Input!$L$20:$T$1019,INT((ROW()-9)/9)+1,MOD(ROW()-9,9)+1),"")</f>
        <v/>
      </c>
      <c r="C7049" s="9">
        <f t="shared" ref="C7049:C7112" si="110">$C7048+IF($B7049&lt;&gt;"",1,0)</f>
        <v>0</v>
      </c>
    </row>
    <row r="7050" spans="1:3" x14ac:dyDescent="0.2">
      <c r="A7050" s="10" t="str">
        <f>IF(7042&gt;$C$9008,"",INDEX($B$9:$B$9008,MATCH(7042,$C$9:$C$9008,0)))</f>
        <v/>
      </c>
      <c r="B7050" s="9" t="str">
        <f>IFERROR(INDEX(Input!$L$20:$T$1019,INT((ROW()-9)/9)+1,MOD(ROW()-9,9)+1),"")</f>
        <v/>
      </c>
      <c r="C7050" s="9">
        <f t="shared" si="110"/>
        <v>0</v>
      </c>
    </row>
    <row r="7051" spans="1:3" x14ac:dyDescent="0.2">
      <c r="A7051" s="10" t="str">
        <f>IF(7043&gt;$C$9008,"",INDEX($B$9:$B$9008,MATCH(7043,$C$9:$C$9008,0)))</f>
        <v/>
      </c>
      <c r="B7051" s="9" t="str">
        <f>IFERROR(INDEX(Input!$L$20:$T$1019,INT((ROW()-9)/9)+1,MOD(ROW()-9,9)+1),"")</f>
        <v/>
      </c>
      <c r="C7051" s="9">
        <f t="shared" si="110"/>
        <v>0</v>
      </c>
    </row>
    <row r="7052" spans="1:3" x14ac:dyDescent="0.2">
      <c r="A7052" s="10" t="str">
        <f>IF(7044&gt;$C$9008,"",INDEX($B$9:$B$9008,MATCH(7044,$C$9:$C$9008,0)))</f>
        <v/>
      </c>
      <c r="B7052" s="9" t="str">
        <f>IFERROR(INDEX(Input!$L$20:$T$1019,INT((ROW()-9)/9)+1,MOD(ROW()-9,9)+1),"")</f>
        <v/>
      </c>
      <c r="C7052" s="9">
        <f t="shared" si="110"/>
        <v>0</v>
      </c>
    </row>
    <row r="7053" spans="1:3" x14ac:dyDescent="0.2">
      <c r="A7053" s="10" t="str">
        <f>IF(7045&gt;$C$9008,"",INDEX($B$9:$B$9008,MATCH(7045,$C$9:$C$9008,0)))</f>
        <v/>
      </c>
      <c r="B7053" s="9" t="str">
        <f>IFERROR(INDEX(Input!$L$20:$T$1019,INT((ROW()-9)/9)+1,MOD(ROW()-9,9)+1),"")</f>
        <v/>
      </c>
      <c r="C7053" s="9">
        <f t="shared" si="110"/>
        <v>0</v>
      </c>
    </row>
    <row r="7054" spans="1:3" x14ac:dyDescent="0.2">
      <c r="A7054" s="10" t="str">
        <f>IF(7046&gt;$C$9008,"",INDEX($B$9:$B$9008,MATCH(7046,$C$9:$C$9008,0)))</f>
        <v/>
      </c>
      <c r="B7054" s="9" t="str">
        <f>IFERROR(INDEX(Input!$L$20:$T$1019,INT((ROW()-9)/9)+1,MOD(ROW()-9,9)+1),"")</f>
        <v/>
      </c>
      <c r="C7054" s="9">
        <f t="shared" si="110"/>
        <v>0</v>
      </c>
    </row>
    <row r="7055" spans="1:3" x14ac:dyDescent="0.2">
      <c r="A7055" s="10" t="str">
        <f>IF(7047&gt;$C$9008,"",INDEX($B$9:$B$9008,MATCH(7047,$C$9:$C$9008,0)))</f>
        <v/>
      </c>
      <c r="B7055" s="9" t="str">
        <f>IFERROR(INDEX(Input!$L$20:$T$1019,INT((ROW()-9)/9)+1,MOD(ROW()-9,9)+1),"")</f>
        <v/>
      </c>
      <c r="C7055" s="9">
        <f t="shared" si="110"/>
        <v>0</v>
      </c>
    </row>
    <row r="7056" spans="1:3" x14ac:dyDescent="0.2">
      <c r="A7056" s="10" t="str">
        <f>IF(7048&gt;$C$9008,"",INDEX($B$9:$B$9008,MATCH(7048,$C$9:$C$9008,0)))</f>
        <v/>
      </c>
      <c r="B7056" s="9" t="str">
        <f>IFERROR(INDEX(Input!$L$20:$T$1019,INT((ROW()-9)/9)+1,MOD(ROW()-9,9)+1),"")</f>
        <v/>
      </c>
      <c r="C7056" s="9">
        <f t="shared" si="110"/>
        <v>0</v>
      </c>
    </row>
    <row r="7057" spans="1:3" x14ac:dyDescent="0.2">
      <c r="A7057" s="10" t="str">
        <f>IF(7049&gt;$C$9008,"",INDEX($B$9:$B$9008,MATCH(7049,$C$9:$C$9008,0)))</f>
        <v/>
      </c>
      <c r="B7057" s="9" t="str">
        <f>IFERROR(INDEX(Input!$L$20:$T$1019,INT((ROW()-9)/9)+1,MOD(ROW()-9,9)+1),"")</f>
        <v/>
      </c>
      <c r="C7057" s="9">
        <f t="shared" si="110"/>
        <v>0</v>
      </c>
    </row>
    <row r="7058" spans="1:3" x14ac:dyDescent="0.2">
      <c r="A7058" s="10" t="str">
        <f>IF(7050&gt;$C$9008,"",INDEX($B$9:$B$9008,MATCH(7050,$C$9:$C$9008,0)))</f>
        <v/>
      </c>
      <c r="B7058" s="9" t="str">
        <f>IFERROR(INDEX(Input!$L$20:$T$1019,INT((ROW()-9)/9)+1,MOD(ROW()-9,9)+1),"")</f>
        <v/>
      </c>
      <c r="C7058" s="9">
        <f t="shared" si="110"/>
        <v>0</v>
      </c>
    </row>
    <row r="7059" spans="1:3" x14ac:dyDescent="0.2">
      <c r="A7059" s="10" t="str">
        <f>IF(7051&gt;$C$9008,"",INDEX($B$9:$B$9008,MATCH(7051,$C$9:$C$9008,0)))</f>
        <v/>
      </c>
      <c r="B7059" s="9" t="str">
        <f>IFERROR(INDEX(Input!$L$20:$T$1019,INT((ROW()-9)/9)+1,MOD(ROW()-9,9)+1),"")</f>
        <v/>
      </c>
      <c r="C7059" s="9">
        <f t="shared" si="110"/>
        <v>0</v>
      </c>
    </row>
    <row r="7060" spans="1:3" x14ac:dyDescent="0.2">
      <c r="A7060" s="10" t="str">
        <f>IF(7052&gt;$C$9008,"",INDEX($B$9:$B$9008,MATCH(7052,$C$9:$C$9008,0)))</f>
        <v/>
      </c>
      <c r="B7060" s="9" t="str">
        <f>IFERROR(INDEX(Input!$L$20:$T$1019,INT((ROW()-9)/9)+1,MOD(ROW()-9,9)+1),"")</f>
        <v/>
      </c>
      <c r="C7060" s="9">
        <f t="shared" si="110"/>
        <v>0</v>
      </c>
    </row>
    <row r="7061" spans="1:3" x14ac:dyDescent="0.2">
      <c r="A7061" s="10" t="str">
        <f>IF(7053&gt;$C$9008,"",INDEX($B$9:$B$9008,MATCH(7053,$C$9:$C$9008,0)))</f>
        <v/>
      </c>
      <c r="B7061" s="9" t="str">
        <f>IFERROR(INDEX(Input!$L$20:$T$1019,INT((ROW()-9)/9)+1,MOD(ROW()-9,9)+1),"")</f>
        <v/>
      </c>
      <c r="C7061" s="9">
        <f t="shared" si="110"/>
        <v>0</v>
      </c>
    </row>
    <row r="7062" spans="1:3" x14ac:dyDescent="0.2">
      <c r="A7062" s="10" t="str">
        <f>IF(7054&gt;$C$9008,"",INDEX($B$9:$B$9008,MATCH(7054,$C$9:$C$9008,0)))</f>
        <v/>
      </c>
      <c r="B7062" s="9" t="str">
        <f>IFERROR(INDEX(Input!$L$20:$T$1019,INT((ROW()-9)/9)+1,MOD(ROW()-9,9)+1),"")</f>
        <v/>
      </c>
      <c r="C7062" s="9">
        <f t="shared" si="110"/>
        <v>0</v>
      </c>
    </row>
    <row r="7063" spans="1:3" x14ac:dyDescent="0.2">
      <c r="A7063" s="10" t="str">
        <f>IF(7055&gt;$C$9008,"",INDEX($B$9:$B$9008,MATCH(7055,$C$9:$C$9008,0)))</f>
        <v/>
      </c>
      <c r="B7063" s="9" t="str">
        <f>IFERROR(INDEX(Input!$L$20:$T$1019,INT((ROW()-9)/9)+1,MOD(ROW()-9,9)+1),"")</f>
        <v/>
      </c>
      <c r="C7063" s="9">
        <f t="shared" si="110"/>
        <v>0</v>
      </c>
    </row>
    <row r="7064" spans="1:3" x14ac:dyDescent="0.2">
      <c r="A7064" s="10" t="str">
        <f>IF(7056&gt;$C$9008,"",INDEX($B$9:$B$9008,MATCH(7056,$C$9:$C$9008,0)))</f>
        <v/>
      </c>
      <c r="B7064" s="9" t="str">
        <f>IFERROR(INDEX(Input!$L$20:$T$1019,INT((ROW()-9)/9)+1,MOD(ROW()-9,9)+1),"")</f>
        <v/>
      </c>
      <c r="C7064" s="9">
        <f t="shared" si="110"/>
        <v>0</v>
      </c>
    </row>
    <row r="7065" spans="1:3" x14ac:dyDescent="0.2">
      <c r="A7065" s="10" t="str">
        <f>IF(7057&gt;$C$9008,"",INDEX($B$9:$B$9008,MATCH(7057,$C$9:$C$9008,0)))</f>
        <v/>
      </c>
      <c r="B7065" s="9" t="str">
        <f>IFERROR(INDEX(Input!$L$20:$T$1019,INT((ROW()-9)/9)+1,MOD(ROW()-9,9)+1),"")</f>
        <v/>
      </c>
      <c r="C7065" s="9">
        <f t="shared" si="110"/>
        <v>0</v>
      </c>
    </row>
    <row r="7066" spans="1:3" x14ac:dyDescent="0.2">
      <c r="A7066" s="10" t="str">
        <f>IF(7058&gt;$C$9008,"",INDEX($B$9:$B$9008,MATCH(7058,$C$9:$C$9008,0)))</f>
        <v/>
      </c>
      <c r="B7066" s="9" t="str">
        <f>IFERROR(INDEX(Input!$L$20:$T$1019,INT((ROW()-9)/9)+1,MOD(ROW()-9,9)+1),"")</f>
        <v/>
      </c>
      <c r="C7066" s="9">
        <f t="shared" si="110"/>
        <v>0</v>
      </c>
    </row>
    <row r="7067" spans="1:3" x14ac:dyDescent="0.2">
      <c r="A7067" s="10" t="str">
        <f>IF(7059&gt;$C$9008,"",INDEX($B$9:$B$9008,MATCH(7059,$C$9:$C$9008,0)))</f>
        <v/>
      </c>
      <c r="B7067" s="9" t="str">
        <f>IFERROR(INDEX(Input!$L$20:$T$1019,INT((ROW()-9)/9)+1,MOD(ROW()-9,9)+1),"")</f>
        <v/>
      </c>
      <c r="C7067" s="9">
        <f t="shared" si="110"/>
        <v>0</v>
      </c>
    </row>
    <row r="7068" spans="1:3" x14ac:dyDescent="0.2">
      <c r="A7068" s="10" t="str">
        <f>IF(7060&gt;$C$9008,"",INDEX($B$9:$B$9008,MATCH(7060,$C$9:$C$9008,0)))</f>
        <v/>
      </c>
      <c r="B7068" s="9" t="str">
        <f>IFERROR(INDEX(Input!$L$20:$T$1019,INT((ROW()-9)/9)+1,MOD(ROW()-9,9)+1),"")</f>
        <v/>
      </c>
      <c r="C7068" s="9">
        <f t="shared" si="110"/>
        <v>0</v>
      </c>
    </row>
    <row r="7069" spans="1:3" x14ac:dyDescent="0.2">
      <c r="A7069" s="10" t="str">
        <f>IF(7061&gt;$C$9008,"",INDEX($B$9:$B$9008,MATCH(7061,$C$9:$C$9008,0)))</f>
        <v/>
      </c>
      <c r="B7069" s="9" t="str">
        <f>IFERROR(INDEX(Input!$L$20:$T$1019,INT((ROW()-9)/9)+1,MOD(ROW()-9,9)+1),"")</f>
        <v/>
      </c>
      <c r="C7069" s="9">
        <f t="shared" si="110"/>
        <v>0</v>
      </c>
    </row>
    <row r="7070" spans="1:3" x14ac:dyDescent="0.2">
      <c r="A7070" s="10" t="str">
        <f>IF(7062&gt;$C$9008,"",INDEX($B$9:$B$9008,MATCH(7062,$C$9:$C$9008,0)))</f>
        <v/>
      </c>
      <c r="B7070" s="9" t="str">
        <f>IFERROR(INDEX(Input!$L$20:$T$1019,INT((ROW()-9)/9)+1,MOD(ROW()-9,9)+1),"")</f>
        <v/>
      </c>
      <c r="C7070" s="9">
        <f t="shared" si="110"/>
        <v>0</v>
      </c>
    </row>
    <row r="7071" spans="1:3" x14ac:dyDescent="0.2">
      <c r="A7071" s="10" t="str">
        <f>IF(7063&gt;$C$9008,"",INDEX($B$9:$B$9008,MATCH(7063,$C$9:$C$9008,0)))</f>
        <v/>
      </c>
      <c r="B7071" s="9" t="str">
        <f>IFERROR(INDEX(Input!$L$20:$T$1019,INT((ROW()-9)/9)+1,MOD(ROW()-9,9)+1),"")</f>
        <v/>
      </c>
      <c r="C7071" s="9">
        <f t="shared" si="110"/>
        <v>0</v>
      </c>
    </row>
    <row r="7072" spans="1:3" x14ac:dyDescent="0.2">
      <c r="A7072" s="10" t="str">
        <f>IF(7064&gt;$C$9008,"",INDEX($B$9:$B$9008,MATCH(7064,$C$9:$C$9008,0)))</f>
        <v/>
      </c>
      <c r="B7072" s="9" t="str">
        <f>IFERROR(INDEX(Input!$L$20:$T$1019,INT((ROW()-9)/9)+1,MOD(ROW()-9,9)+1),"")</f>
        <v/>
      </c>
      <c r="C7072" s="9">
        <f t="shared" si="110"/>
        <v>0</v>
      </c>
    </row>
    <row r="7073" spans="1:3" x14ac:dyDescent="0.2">
      <c r="A7073" s="10" t="str">
        <f>IF(7065&gt;$C$9008,"",INDEX($B$9:$B$9008,MATCH(7065,$C$9:$C$9008,0)))</f>
        <v/>
      </c>
      <c r="B7073" s="9" t="str">
        <f>IFERROR(INDEX(Input!$L$20:$T$1019,INT((ROW()-9)/9)+1,MOD(ROW()-9,9)+1),"")</f>
        <v/>
      </c>
      <c r="C7073" s="9">
        <f t="shared" si="110"/>
        <v>0</v>
      </c>
    </row>
    <row r="7074" spans="1:3" x14ac:dyDescent="0.2">
      <c r="A7074" s="10" t="str">
        <f>IF(7066&gt;$C$9008,"",INDEX($B$9:$B$9008,MATCH(7066,$C$9:$C$9008,0)))</f>
        <v/>
      </c>
      <c r="B7074" s="9" t="str">
        <f>IFERROR(INDEX(Input!$L$20:$T$1019,INT((ROW()-9)/9)+1,MOD(ROW()-9,9)+1),"")</f>
        <v/>
      </c>
      <c r="C7074" s="9">
        <f t="shared" si="110"/>
        <v>0</v>
      </c>
    </row>
    <row r="7075" spans="1:3" x14ac:dyDescent="0.2">
      <c r="A7075" s="10" t="str">
        <f>IF(7067&gt;$C$9008,"",INDEX($B$9:$B$9008,MATCH(7067,$C$9:$C$9008,0)))</f>
        <v/>
      </c>
      <c r="B7075" s="9" t="str">
        <f>IFERROR(INDEX(Input!$L$20:$T$1019,INT((ROW()-9)/9)+1,MOD(ROW()-9,9)+1),"")</f>
        <v/>
      </c>
      <c r="C7075" s="9">
        <f t="shared" si="110"/>
        <v>0</v>
      </c>
    </row>
    <row r="7076" spans="1:3" x14ac:dyDescent="0.2">
      <c r="A7076" s="10" t="str">
        <f>IF(7068&gt;$C$9008,"",INDEX($B$9:$B$9008,MATCH(7068,$C$9:$C$9008,0)))</f>
        <v/>
      </c>
      <c r="B7076" s="9" t="str">
        <f>IFERROR(INDEX(Input!$L$20:$T$1019,INT((ROW()-9)/9)+1,MOD(ROW()-9,9)+1),"")</f>
        <v/>
      </c>
      <c r="C7076" s="9">
        <f t="shared" si="110"/>
        <v>0</v>
      </c>
    </row>
    <row r="7077" spans="1:3" x14ac:dyDescent="0.2">
      <c r="A7077" s="10" t="str">
        <f>IF(7069&gt;$C$9008,"",INDEX($B$9:$B$9008,MATCH(7069,$C$9:$C$9008,0)))</f>
        <v/>
      </c>
      <c r="B7077" s="9" t="str">
        <f>IFERROR(INDEX(Input!$L$20:$T$1019,INT((ROW()-9)/9)+1,MOD(ROW()-9,9)+1),"")</f>
        <v/>
      </c>
      <c r="C7077" s="9">
        <f t="shared" si="110"/>
        <v>0</v>
      </c>
    </row>
    <row r="7078" spans="1:3" x14ac:dyDescent="0.2">
      <c r="A7078" s="10" t="str">
        <f>IF(7070&gt;$C$9008,"",INDEX($B$9:$B$9008,MATCH(7070,$C$9:$C$9008,0)))</f>
        <v/>
      </c>
      <c r="B7078" s="9" t="str">
        <f>IFERROR(INDEX(Input!$L$20:$T$1019,INT((ROW()-9)/9)+1,MOD(ROW()-9,9)+1),"")</f>
        <v/>
      </c>
      <c r="C7078" s="9">
        <f t="shared" si="110"/>
        <v>0</v>
      </c>
    </row>
    <row r="7079" spans="1:3" x14ac:dyDescent="0.2">
      <c r="A7079" s="10" t="str">
        <f>IF(7071&gt;$C$9008,"",INDEX($B$9:$B$9008,MATCH(7071,$C$9:$C$9008,0)))</f>
        <v/>
      </c>
      <c r="B7079" s="9" t="str">
        <f>IFERROR(INDEX(Input!$L$20:$T$1019,INT((ROW()-9)/9)+1,MOD(ROW()-9,9)+1),"")</f>
        <v/>
      </c>
      <c r="C7079" s="9">
        <f t="shared" si="110"/>
        <v>0</v>
      </c>
    </row>
    <row r="7080" spans="1:3" x14ac:dyDescent="0.2">
      <c r="A7080" s="10" t="str">
        <f>IF(7072&gt;$C$9008,"",INDEX($B$9:$B$9008,MATCH(7072,$C$9:$C$9008,0)))</f>
        <v/>
      </c>
      <c r="B7080" s="9" t="str">
        <f>IFERROR(INDEX(Input!$L$20:$T$1019,INT((ROW()-9)/9)+1,MOD(ROW()-9,9)+1),"")</f>
        <v/>
      </c>
      <c r="C7080" s="9">
        <f t="shared" si="110"/>
        <v>0</v>
      </c>
    </row>
    <row r="7081" spans="1:3" x14ac:dyDescent="0.2">
      <c r="A7081" s="10" t="str">
        <f>IF(7073&gt;$C$9008,"",INDEX($B$9:$B$9008,MATCH(7073,$C$9:$C$9008,0)))</f>
        <v/>
      </c>
      <c r="B7081" s="9" t="str">
        <f>IFERROR(INDEX(Input!$L$20:$T$1019,INT((ROW()-9)/9)+1,MOD(ROW()-9,9)+1),"")</f>
        <v/>
      </c>
      <c r="C7081" s="9">
        <f t="shared" si="110"/>
        <v>0</v>
      </c>
    </row>
    <row r="7082" spans="1:3" x14ac:dyDescent="0.2">
      <c r="A7082" s="10" t="str">
        <f>IF(7074&gt;$C$9008,"",INDEX($B$9:$B$9008,MATCH(7074,$C$9:$C$9008,0)))</f>
        <v/>
      </c>
      <c r="B7082" s="9" t="str">
        <f>IFERROR(INDEX(Input!$L$20:$T$1019,INT((ROW()-9)/9)+1,MOD(ROW()-9,9)+1),"")</f>
        <v/>
      </c>
      <c r="C7082" s="9">
        <f t="shared" si="110"/>
        <v>0</v>
      </c>
    </row>
    <row r="7083" spans="1:3" x14ac:dyDescent="0.2">
      <c r="A7083" s="10" t="str">
        <f>IF(7075&gt;$C$9008,"",INDEX($B$9:$B$9008,MATCH(7075,$C$9:$C$9008,0)))</f>
        <v/>
      </c>
      <c r="B7083" s="9" t="str">
        <f>IFERROR(INDEX(Input!$L$20:$T$1019,INT((ROW()-9)/9)+1,MOD(ROW()-9,9)+1),"")</f>
        <v/>
      </c>
      <c r="C7083" s="9">
        <f t="shared" si="110"/>
        <v>0</v>
      </c>
    </row>
    <row r="7084" spans="1:3" x14ac:dyDescent="0.2">
      <c r="A7084" s="10" t="str">
        <f>IF(7076&gt;$C$9008,"",INDEX($B$9:$B$9008,MATCH(7076,$C$9:$C$9008,0)))</f>
        <v/>
      </c>
      <c r="B7084" s="9" t="str">
        <f>IFERROR(INDEX(Input!$L$20:$T$1019,INT((ROW()-9)/9)+1,MOD(ROW()-9,9)+1),"")</f>
        <v/>
      </c>
      <c r="C7084" s="9">
        <f t="shared" si="110"/>
        <v>0</v>
      </c>
    </row>
    <row r="7085" spans="1:3" x14ac:dyDescent="0.2">
      <c r="A7085" s="10" t="str">
        <f>IF(7077&gt;$C$9008,"",INDEX($B$9:$B$9008,MATCH(7077,$C$9:$C$9008,0)))</f>
        <v/>
      </c>
      <c r="B7085" s="9" t="str">
        <f>IFERROR(INDEX(Input!$L$20:$T$1019,INT((ROW()-9)/9)+1,MOD(ROW()-9,9)+1),"")</f>
        <v/>
      </c>
      <c r="C7085" s="9">
        <f t="shared" si="110"/>
        <v>0</v>
      </c>
    </row>
    <row r="7086" spans="1:3" x14ac:dyDescent="0.2">
      <c r="A7086" s="10" t="str">
        <f>IF(7078&gt;$C$9008,"",INDEX($B$9:$B$9008,MATCH(7078,$C$9:$C$9008,0)))</f>
        <v/>
      </c>
      <c r="B7086" s="9" t="str">
        <f>IFERROR(INDEX(Input!$L$20:$T$1019,INT((ROW()-9)/9)+1,MOD(ROW()-9,9)+1),"")</f>
        <v/>
      </c>
      <c r="C7086" s="9">
        <f t="shared" si="110"/>
        <v>0</v>
      </c>
    </row>
    <row r="7087" spans="1:3" x14ac:dyDescent="0.2">
      <c r="A7087" s="10" t="str">
        <f>IF(7079&gt;$C$9008,"",INDEX($B$9:$B$9008,MATCH(7079,$C$9:$C$9008,0)))</f>
        <v/>
      </c>
      <c r="B7087" s="9" t="str">
        <f>IFERROR(INDEX(Input!$L$20:$T$1019,INT((ROW()-9)/9)+1,MOD(ROW()-9,9)+1),"")</f>
        <v/>
      </c>
      <c r="C7087" s="9">
        <f t="shared" si="110"/>
        <v>0</v>
      </c>
    </row>
    <row r="7088" spans="1:3" x14ac:dyDescent="0.2">
      <c r="A7088" s="10" t="str">
        <f>IF(7080&gt;$C$9008,"",INDEX($B$9:$B$9008,MATCH(7080,$C$9:$C$9008,0)))</f>
        <v/>
      </c>
      <c r="B7088" s="9" t="str">
        <f>IFERROR(INDEX(Input!$L$20:$T$1019,INT((ROW()-9)/9)+1,MOD(ROW()-9,9)+1),"")</f>
        <v/>
      </c>
      <c r="C7088" s="9">
        <f t="shared" si="110"/>
        <v>0</v>
      </c>
    </row>
    <row r="7089" spans="1:3" x14ac:dyDescent="0.2">
      <c r="A7089" s="10" t="str">
        <f>IF(7081&gt;$C$9008,"",INDEX($B$9:$B$9008,MATCH(7081,$C$9:$C$9008,0)))</f>
        <v/>
      </c>
      <c r="B7089" s="9" t="str">
        <f>IFERROR(INDEX(Input!$L$20:$T$1019,INT((ROW()-9)/9)+1,MOD(ROW()-9,9)+1),"")</f>
        <v/>
      </c>
      <c r="C7089" s="9">
        <f t="shared" si="110"/>
        <v>0</v>
      </c>
    </row>
    <row r="7090" spans="1:3" x14ac:dyDescent="0.2">
      <c r="A7090" s="10" t="str">
        <f>IF(7082&gt;$C$9008,"",INDEX($B$9:$B$9008,MATCH(7082,$C$9:$C$9008,0)))</f>
        <v/>
      </c>
      <c r="B7090" s="9" t="str">
        <f>IFERROR(INDEX(Input!$L$20:$T$1019,INT((ROW()-9)/9)+1,MOD(ROW()-9,9)+1),"")</f>
        <v/>
      </c>
      <c r="C7090" s="9">
        <f t="shared" si="110"/>
        <v>0</v>
      </c>
    </row>
    <row r="7091" spans="1:3" x14ac:dyDescent="0.2">
      <c r="A7091" s="10" t="str">
        <f>IF(7083&gt;$C$9008,"",INDEX($B$9:$B$9008,MATCH(7083,$C$9:$C$9008,0)))</f>
        <v/>
      </c>
      <c r="B7091" s="9" t="str">
        <f>IFERROR(INDEX(Input!$L$20:$T$1019,INT((ROW()-9)/9)+1,MOD(ROW()-9,9)+1),"")</f>
        <v/>
      </c>
      <c r="C7091" s="9">
        <f t="shared" si="110"/>
        <v>0</v>
      </c>
    </row>
    <row r="7092" spans="1:3" x14ac:dyDescent="0.2">
      <c r="A7092" s="10" t="str">
        <f>IF(7084&gt;$C$9008,"",INDEX($B$9:$B$9008,MATCH(7084,$C$9:$C$9008,0)))</f>
        <v/>
      </c>
      <c r="B7092" s="9" t="str">
        <f>IFERROR(INDEX(Input!$L$20:$T$1019,INT((ROW()-9)/9)+1,MOD(ROW()-9,9)+1),"")</f>
        <v/>
      </c>
      <c r="C7092" s="9">
        <f t="shared" si="110"/>
        <v>0</v>
      </c>
    </row>
    <row r="7093" spans="1:3" x14ac:dyDescent="0.2">
      <c r="A7093" s="10" t="str">
        <f>IF(7085&gt;$C$9008,"",INDEX($B$9:$B$9008,MATCH(7085,$C$9:$C$9008,0)))</f>
        <v/>
      </c>
      <c r="B7093" s="9" t="str">
        <f>IFERROR(INDEX(Input!$L$20:$T$1019,INT((ROW()-9)/9)+1,MOD(ROW()-9,9)+1),"")</f>
        <v/>
      </c>
      <c r="C7093" s="9">
        <f t="shared" si="110"/>
        <v>0</v>
      </c>
    </row>
    <row r="7094" spans="1:3" x14ac:dyDescent="0.2">
      <c r="A7094" s="10" t="str">
        <f>IF(7086&gt;$C$9008,"",INDEX($B$9:$B$9008,MATCH(7086,$C$9:$C$9008,0)))</f>
        <v/>
      </c>
      <c r="B7094" s="9" t="str">
        <f>IFERROR(INDEX(Input!$L$20:$T$1019,INT((ROW()-9)/9)+1,MOD(ROW()-9,9)+1),"")</f>
        <v/>
      </c>
      <c r="C7094" s="9">
        <f t="shared" si="110"/>
        <v>0</v>
      </c>
    </row>
    <row r="7095" spans="1:3" x14ac:dyDescent="0.2">
      <c r="A7095" s="10" t="str">
        <f>IF(7087&gt;$C$9008,"",INDEX($B$9:$B$9008,MATCH(7087,$C$9:$C$9008,0)))</f>
        <v/>
      </c>
      <c r="B7095" s="9" t="str">
        <f>IFERROR(INDEX(Input!$L$20:$T$1019,INT((ROW()-9)/9)+1,MOD(ROW()-9,9)+1),"")</f>
        <v/>
      </c>
      <c r="C7095" s="9">
        <f t="shared" si="110"/>
        <v>0</v>
      </c>
    </row>
    <row r="7096" spans="1:3" x14ac:dyDescent="0.2">
      <c r="A7096" s="10" t="str">
        <f>IF(7088&gt;$C$9008,"",INDEX($B$9:$B$9008,MATCH(7088,$C$9:$C$9008,0)))</f>
        <v/>
      </c>
      <c r="B7096" s="9" t="str">
        <f>IFERROR(INDEX(Input!$L$20:$T$1019,INT((ROW()-9)/9)+1,MOD(ROW()-9,9)+1),"")</f>
        <v/>
      </c>
      <c r="C7096" s="9">
        <f t="shared" si="110"/>
        <v>0</v>
      </c>
    </row>
    <row r="7097" spans="1:3" x14ac:dyDescent="0.2">
      <c r="A7097" s="10" t="str">
        <f>IF(7089&gt;$C$9008,"",INDEX($B$9:$B$9008,MATCH(7089,$C$9:$C$9008,0)))</f>
        <v/>
      </c>
      <c r="B7097" s="9" t="str">
        <f>IFERROR(INDEX(Input!$L$20:$T$1019,INT((ROW()-9)/9)+1,MOD(ROW()-9,9)+1),"")</f>
        <v/>
      </c>
      <c r="C7097" s="9">
        <f t="shared" si="110"/>
        <v>0</v>
      </c>
    </row>
    <row r="7098" spans="1:3" x14ac:dyDescent="0.2">
      <c r="A7098" s="10" t="str">
        <f>IF(7090&gt;$C$9008,"",INDEX($B$9:$B$9008,MATCH(7090,$C$9:$C$9008,0)))</f>
        <v/>
      </c>
      <c r="B7098" s="9" t="str">
        <f>IFERROR(INDEX(Input!$L$20:$T$1019,INT((ROW()-9)/9)+1,MOD(ROW()-9,9)+1),"")</f>
        <v/>
      </c>
      <c r="C7098" s="9">
        <f t="shared" si="110"/>
        <v>0</v>
      </c>
    </row>
    <row r="7099" spans="1:3" x14ac:dyDescent="0.2">
      <c r="A7099" s="10" t="str">
        <f>IF(7091&gt;$C$9008,"",INDEX($B$9:$B$9008,MATCH(7091,$C$9:$C$9008,0)))</f>
        <v/>
      </c>
      <c r="B7099" s="9" t="str">
        <f>IFERROR(INDEX(Input!$L$20:$T$1019,INT((ROW()-9)/9)+1,MOD(ROW()-9,9)+1),"")</f>
        <v/>
      </c>
      <c r="C7099" s="9">
        <f t="shared" si="110"/>
        <v>0</v>
      </c>
    </row>
    <row r="7100" spans="1:3" x14ac:dyDescent="0.2">
      <c r="A7100" s="10" t="str">
        <f>IF(7092&gt;$C$9008,"",INDEX($B$9:$B$9008,MATCH(7092,$C$9:$C$9008,0)))</f>
        <v/>
      </c>
      <c r="B7100" s="9" t="str">
        <f>IFERROR(INDEX(Input!$L$20:$T$1019,INT((ROW()-9)/9)+1,MOD(ROW()-9,9)+1),"")</f>
        <v/>
      </c>
      <c r="C7100" s="9">
        <f t="shared" si="110"/>
        <v>0</v>
      </c>
    </row>
    <row r="7101" spans="1:3" x14ac:dyDescent="0.2">
      <c r="A7101" s="10" t="str">
        <f>IF(7093&gt;$C$9008,"",INDEX($B$9:$B$9008,MATCH(7093,$C$9:$C$9008,0)))</f>
        <v/>
      </c>
      <c r="B7101" s="9" t="str">
        <f>IFERROR(INDEX(Input!$L$20:$T$1019,INT((ROW()-9)/9)+1,MOD(ROW()-9,9)+1),"")</f>
        <v/>
      </c>
      <c r="C7101" s="9">
        <f t="shared" si="110"/>
        <v>0</v>
      </c>
    </row>
    <row r="7102" spans="1:3" x14ac:dyDescent="0.2">
      <c r="A7102" s="10" t="str">
        <f>IF(7094&gt;$C$9008,"",INDEX($B$9:$B$9008,MATCH(7094,$C$9:$C$9008,0)))</f>
        <v/>
      </c>
      <c r="B7102" s="9" t="str">
        <f>IFERROR(INDEX(Input!$L$20:$T$1019,INT((ROW()-9)/9)+1,MOD(ROW()-9,9)+1),"")</f>
        <v/>
      </c>
      <c r="C7102" s="9">
        <f t="shared" si="110"/>
        <v>0</v>
      </c>
    </row>
    <row r="7103" spans="1:3" x14ac:dyDescent="0.2">
      <c r="A7103" s="10" t="str">
        <f>IF(7095&gt;$C$9008,"",INDEX($B$9:$B$9008,MATCH(7095,$C$9:$C$9008,0)))</f>
        <v/>
      </c>
      <c r="B7103" s="9" t="str">
        <f>IFERROR(INDEX(Input!$L$20:$T$1019,INT((ROW()-9)/9)+1,MOD(ROW()-9,9)+1),"")</f>
        <v/>
      </c>
      <c r="C7103" s="9">
        <f t="shared" si="110"/>
        <v>0</v>
      </c>
    </row>
    <row r="7104" spans="1:3" x14ac:dyDescent="0.2">
      <c r="A7104" s="10" t="str">
        <f>IF(7096&gt;$C$9008,"",INDEX($B$9:$B$9008,MATCH(7096,$C$9:$C$9008,0)))</f>
        <v/>
      </c>
      <c r="B7104" s="9" t="str">
        <f>IFERROR(INDEX(Input!$L$20:$T$1019,INT((ROW()-9)/9)+1,MOD(ROW()-9,9)+1),"")</f>
        <v/>
      </c>
      <c r="C7104" s="9">
        <f t="shared" si="110"/>
        <v>0</v>
      </c>
    </row>
    <row r="7105" spans="1:3" x14ac:dyDescent="0.2">
      <c r="A7105" s="10" t="str">
        <f>IF(7097&gt;$C$9008,"",INDEX($B$9:$B$9008,MATCH(7097,$C$9:$C$9008,0)))</f>
        <v/>
      </c>
      <c r="B7105" s="9" t="str">
        <f>IFERROR(INDEX(Input!$L$20:$T$1019,INT((ROW()-9)/9)+1,MOD(ROW()-9,9)+1),"")</f>
        <v/>
      </c>
      <c r="C7105" s="9">
        <f t="shared" si="110"/>
        <v>0</v>
      </c>
    </row>
    <row r="7106" spans="1:3" x14ac:dyDescent="0.2">
      <c r="A7106" s="10" t="str">
        <f>IF(7098&gt;$C$9008,"",INDEX($B$9:$B$9008,MATCH(7098,$C$9:$C$9008,0)))</f>
        <v/>
      </c>
      <c r="B7106" s="9" t="str">
        <f>IFERROR(INDEX(Input!$L$20:$T$1019,INT((ROW()-9)/9)+1,MOD(ROW()-9,9)+1),"")</f>
        <v/>
      </c>
      <c r="C7106" s="9">
        <f t="shared" si="110"/>
        <v>0</v>
      </c>
    </row>
    <row r="7107" spans="1:3" x14ac:dyDescent="0.2">
      <c r="A7107" s="10" t="str">
        <f>IF(7099&gt;$C$9008,"",INDEX($B$9:$B$9008,MATCH(7099,$C$9:$C$9008,0)))</f>
        <v/>
      </c>
      <c r="B7107" s="9" t="str">
        <f>IFERROR(INDEX(Input!$L$20:$T$1019,INT((ROW()-9)/9)+1,MOD(ROW()-9,9)+1),"")</f>
        <v/>
      </c>
      <c r="C7107" s="9">
        <f t="shared" si="110"/>
        <v>0</v>
      </c>
    </row>
    <row r="7108" spans="1:3" x14ac:dyDescent="0.2">
      <c r="A7108" s="10" t="str">
        <f>IF(7100&gt;$C$9008,"",INDEX($B$9:$B$9008,MATCH(7100,$C$9:$C$9008,0)))</f>
        <v/>
      </c>
      <c r="B7108" s="9" t="str">
        <f>IFERROR(INDEX(Input!$L$20:$T$1019,INT((ROW()-9)/9)+1,MOD(ROW()-9,9)+1),"")</f>
        <v/>
      </c>
      <c r="C7108" s="9">
        <f t="shared" si="110"/>
        <v>0</v>
      </c>
    </row>
    <row r="7109" spans="1:3" x14ac:dyDescent="0.2">
      <c r="A7109" s="10" t="str">
        <f>IF(7101&gt;$C$9008,"",INDEX($B$9:$B$9008,MATCH(7101,$C$9:$C$9008,0)))</f>
        <v/>
      </c>
      <c r="B7109" s="9" t="str">
        <f>IFERROR(INDEX(Input!$L$20:$T$1019,INT((ROW()-9)/9)+1,MOD(ROW()-9,9)+1),"")</f>
        <v/>
      </c>
      <c r="C7109" s="9">
        <f t="shared" si="110"/>
        <v>0</v>
      </c>
    </row>
    <row r="7110" spans="1:3" x14ac:dyDescent="0.2">
      <c r="A7110" s="10" t="str">
        <f>IF(7102&gt;$C$9008,"",INDEX($B$9:$B$9008,MATCH(7102,$C$9:$C$9008,0)))</f>
        <v/>
      </c>
      <c r="B7110" s="9" t="str">
        <f>IFERROR(INDEX(Input!$L$20:$T$1019,INT((ROW()-9)/9)+1,MOD(ROW()-9,9)+1),"")</f>
        <v/>
      </c>
      <c r="C7110" s="9">
        <f t="shared" si="110"/>
        <v>0</v>
      </c>
    </row>
    <row r="7111" spans="1:3" x14ac:dyDescent="0.2">
      <c r="A7111" s="10" t="str">
        <f>IF(7103&gt;$C$9008,"",INDEX($B$9:$B$9008,MATCH(7103,$C$9:$C$9008,0)))</f>
        <v/>
      </c>
      <c r="B7111" s="9" t="str">
        <f>IFERROR(INDEX(Input!$L$20:$T$1019,INT((ROW()-9)/9)+1,MOD(ROW()-9,9)+1),"")</f>
        <v/>
      </c>
      <c r="C7111" s="9">
        <f t="shared" si="110"/>
        <v>0</v>
      </c>
    </row>
    <row r="7112" spans="1:3" x14ac:dyDescent="0.2">
      <c r="A7112" s="10" t="str">
        <f>IF(7104&gt;$C$9008,"",INDEX($B$9:$B$9008,MATCH(7104,$C$9:$C$9008,0)))</f>
        <v/>
      </c>
      <c r="B7112" s="9" t="str">
        <f>IFERROR(INDEX(Input!$L$20:$T$1019,INT((ROW()-9)/9)+1,MOD(ROW()-9,9)+1),"")</f>
        <v/>
      </c>
      <c r="C7112" s="9">
        <f t="shared" si="110"/>
        <v>0</v>
      </c>
    </row>
    <row r="7113" spans="1:3" x14ac:dyDescent="0.2">
      <c r="A7113" s="10" t="str">
        <f>IF(7105&gt;$C$9008,"",INDEX($B$9:$B$9008,MATCH(7105,$C$9:$C$9008,0)))</f>
        <v/>
      </c>
      <c r="B7113" s="9" t="str">
        <f>IFERROR(INDEX(Input!$L$20:$T$1019,INT((ROW()-9)/9)+1,MOD(ROW()-9,9)+1),"")</f>
        <v/>
      </c>
      <c r="C7113" s="9">
        <f t="shared" ref="C7113:C7176" si="111">$C7112+IF($B7113&lt;&gt;"",1,0)</f>
        <v>0</v>
      </c>
    </row>
    <row r="7114" spans="1:3" x14ac:dyDescent="0.2">
      <c r="A7114" s="10" t="str">
        <f>IF(7106&gt;$C$9008,"",INDEX($B$9:$B$9008,MATCH(7106,$C$9:$C$9008,0)))</f>
        <v/>
      </c>
      <c r="B7114" s="9" t="str">
        <f>IFERROR(INDEX(Input!$L$20:$T$1019,INT((ROW()-9)/9)+1,MOD(ROW()-9,9)+1),"")</f>
        <v/>
      </c>
      <c r="C7114" s="9">
        <f t="shared" si="111"/>
        <v>0</v>
      </c>
    </row>
    <row r="7115" spans="1:3" x14ac:dyDescent="0.2">
      <c r="A7115" s="10" t="str">
        <f>IF(7107&gt;$C$9008,"",INDEX($B$9:$B$9008,MATCH(7107,$C$9:$C$9008,0)))</f>
        <v/>
      </c>
      <c r="B7115" s="9" t="str">
        <f>IFERROR(INDEX(Input!$L$20:$T$1019,INT((ROW()-9)/9)+1,MOD(ROW()-9,9)+1),"")</f>
        <v/>
      </c>
      <c r="C7115" s="9">
        <f t="shared" si="111"/>
        <v>0</v>
      </c>
    </row>
    <row r="7116" spans="1:3" x14ac:dyDescent="0.2">
      <c r="A7116" s="10" t="str">
        <f>IF(7108&gt;$C$9008,"",INDEX($B$9:$B$9008,MATCH(7108,$C$9:$C$9008,0)))</f>
        <v/>
      </c>
      <c r="B7116" s="9" t="str">
        <f>IFERROR(INDEX(Input!$L$20:$T$1019,INT((ROW()-9)/9)+1,MOD(ROW()-9,9)+1),"")</f>
        <v/>
      </c>
      <c r="C7116" s="9">
        <f t="shared" si="111"/>
        <v>0</v>
      </c>
    </row>
    <row r="7117" spans="1:3" x14ac:dyDescent="0.2">
      <c r="A7117" s="10" t="str">
        <f>IF(7109&gt;$C$9008,"",INDEX($B$9:$B$9008,MATCH(7109,$C$9:$C$9008,0)))</f>
        <v/>
      </c>
      <c r="B7117" s="9" t="str">
        <f>IFERROR(INDEX(Input!$L$20:$T$1019,INT((ROW()-9)/9)+1,MOD(ROW()-9,9)+1),"")</f>
        <v/>
      </c>
      <c r="C7117" s="9">
        <f t="shared" si="111"/>
        <v>0</v>
      </c>
    </row>
    <row r="7118" spans="1:3" x14ac:dyDescent="0.2">
      <c r="A7118" s="10" t="str">
        <f>IF(7110&gt;$C$9008,"",INDEX($B$9:$B$9008,MATCH(7110,$C$9:$C$9008,0)))</f>
        <v/>
      </c>
      <c r="B7118" s="9" t="str">
        <f>IFERROR(INDEX(Input!$L$20:$T$1019,INT((ROW()-9)/9)+1,MOD(ROW()-9,9)+1),"")</f>
        <v/>
      </c>
      <c r="C7118" s="9">
        <f t="shared" si="111"/>
        <v>0</v>
      </c>
    </row>
    <row r="7119" spans="1:3" x14ac:dyDescent="0.2">
      <c r="A7119" s="10" t="str">
        <f>IF(7111&gt;$C$9008,"",INDEX($B$9:$B$9008,MATCH(7111,$C$9:$C$9008,0)))</f>
        <v/>
      </c>
      <c r="B7119" s="9" t="str">
        <f>IFERROR(INDEX(Input!$L$20:$T$1019,INT((ROW()-9)/9)+1,MOD(ROW()-9,9)+1),"")</f>
        <v/>
      </c>
      <c r="C7119" s="9">
        <f t="shared" si="111"/>
        <v>0</v>
      </c>
    </row>
    <row r="7120" spans="1:3" x14ac:dyDescent="0.2">
      <c r="A7120" s="10" t="str">
        <f>IF(7112&gt;$C$9008,"",INDEX($B$9:$B$9008,MATCH(7112,$C$9:$C$9008,0)))</f>
        <v/>
      </c>
      <c r="B7120" s="9" t="str">
        <f>IFERROR(INDEX(Input!$L$20:$T$1019,INT((ROW()-9)/9)+1,MOD(ROW()-9,9)+1),"")</f>
        <v/>
      </c>
      <c r="C7120" s="9">
        <f t="shared" si="111"/>
        <v>0</v>
      </c>
    </row>
    <row r="7121" spans="1:3" x14ac:dyDescent="0.2">
      <c r="A7121" s="10" t="str">
        <f>IF(7113&gt;$C$9008,"",INDEX($B$9:$B$9008,MATCH(7113,$C$9:$C$9008,0)))</f>
        <v/>
      </c>
      <c r="B7121" s="9" t="str">
        <f>IFERROR(INDEX(Input!$L$20:$T$1019,INT((ROW()-9)/9)+1,MOD(ROW()-9,9)+1),"")</f>
        <v/>
      </c>
      <c r="C7121" s="9">
        <f t="shared" si="111"/>
        <v>0</v>
      </c>
    </row>
    <row r="7122" spans="1:3" x14ac:dyDescent="0.2">
      <c r="A7122" s="10" t="str">
        <f>IF(7114&gt;$C$9008,"",INDEX($B$9:$B$9008,MATCH(7114,$C$9:$C$9008,0)))</f>
        <v/>
      </c>
      <c r="B7122" s="9" t="str">
        <f>IFERROR(INDEX(Input!$L$20:$T$1019,INT((ROW()-9)/9)+1,MOD(ROW()-9,9)+1),"")</f>
        <v/>
      </c>
      <c r="C7122" s="9">
        <f t="shared" si="111"/>
        <v>0</v>
      </c>
    </row>
    <row r="7123" spans="1:3" x14ac:dyDescent="0.2">
      <c r="A7123" s="10" t="str">
        <f>IF(7115&gt;$C$9008,"",INDEX($B$9:$B$9008,MATCH(7115,$C$9:$C$9008,0)))</f>
        <v/>
      </c>
      <c r="B7123" s="9" t="str">
        <f>IFERROR(INDEX(Input!$L$20:$T$1019,INT((ROW()-9)/9)+1,MOD(ROW()-9,9)+1),"")</f>
        <v/>
      </c>
      <c r="C7123" s="9">
        <f t="shared" si="111"/>
        <v>0</v>
      </c>
    </row>
    <row r="7124" spans="1:3" x14ac:dyDescent="0.2">
      <c r="A7124" s="10" t="str">
        <f>IF(7116&gt;$C$9008,"",INDEX($B$9:$B$9008,MATCH(7116,$C$9:$C$9008,0)))</f>
        <v/>
      </c>
      <c r="B7124" s="9" t="str">
        <f>IFERROR(INDEX(Input!$L$20:$T$1019,INT((ROW()-9)/9)+1,MOD(ROW()-9,9)+1),"")</f>
        <v/>
      </c>
      <c r="C7124" s="9">
        <f t="shared" si="111"/>
        <v>0</v>
      </c>
    </row>
    <row r="7125" spans="1:3" x14ac:dyDescent="0.2">
      <c r="A7125" s="10" t="str">
        <f>IF(7117&gt;$C$9008,"",INDEX($B$9:$B$9008,MATCH(7117,$C$9:$C$9008,0)))</f>
        <v/>
      </c>
      <c r="B7125" s="9" t="str">
        <f>IFERROR(INDEX(Input!$L$20:$T$1019,INT((ROW()-9)/9)+1,MOD(ROW()-9,9)+1),"")</f>
        <v/>
      </c>
      <c r="C7125" s="9">
        <f t="shared" si="111"/>
        <v>0</v>
      </c>
    </row>
    <row r="7126" spans="1:3" x14ac:dyDescent="0.2">
      <c r="A7126" s="10" t="str">
        <f>IF(7118&gt;$C$9008,"",INDEX($B$9:$B$9008,MATCH(7118,$C$9:$C$9008,0)))</f>
        <v/>
      </c>
      <c r="B7126" s="9" t="str">
        <f>IFERROR(INDEX(Input!$L$20:$T$1019,INT((ROW()-9)/9)+1,MOD(ROW()-9,9)+1),"")</f>
        <v/>
      </c>
      <c r="C7126" s="9">
        <f t="shared" si="111"/>
        <v>0</v>
      </c>
    </row>
    <row r="7127" spans="1:3" x14ac:dyDescent="0.2">
      <c r="A7127" s="10" t="str">
        <f>IF(7119&gt;$C$9008,"",INDEX($B$9:$B$9008,MATCH(7119,$C$9:$C$9008,0)))</f>
        <v/>
      </c>
      <c r="B7127" s="9" t="str">
        <f>IFERROR(INDEX(Input!$L$20:$T$1019,INT((ROW()-9)/9)+1,MOD(ROW()-9,9)+1),"")</f>
        <v/>
      </c>
      <c r="C7127" s="9">
        <f t="shared" si="111"/>
        <v>0</v>
      </c>
    </row>
    <row r="7128" spans="1:3" x14ac:dyDescent="0.2">
      <c r="A7128" s="10" t="str">
        <f>IF(7120&gt;$C$9008,"",INDEX($B$9:$B$9008,MATCH(7120,$C$9:$C$9008,0)))</f>
        <v/>
      </c>
      <c r="B7128" s="9" t="str">
        <f>IFERROR(INDEX(Input!$L$20:$T$1019,INT((ROW()-9)/9)+1,MOD(ROW()-9,9)+1),"")</f>
        <v/>
      </c>
      <c r="C7128" s="9">
        <f t="shared" si="111"/>
        <v>0</v>
      </c>
    </row>
    <row r="7129" spans="1:3" x14ac:dyDescent="0.2">
      <c r="A7129" s="10" t="str">
        <f>IF(7121&gt;$C$9008,"",INDEX($B$9:$B$9008,MATCH(7121,$C$9:$C$9008,0)))</f>
        <v/>
      </c>
      <c r="B7129" s="9" t="str">
        <f>IFERROR(INDEX(Input!$L$20:$T$1019,INT((ROW()-9)/9)+1,MOD(ROW()-9,9)+1),"")</f>
        <v/>
      </c>
      <c r="C7129" s="9">
        <f t="shared" si="111"/>
        <v>0</v>
      </c>
    </row>
    <row r="7130" spans="1:3" x14ac:dyDescent="0.2">
      <c r="A7130" s="10" t="str">
        <f>IF(7122&gt;$C$9008,"",INDEX($B$9:$B$9008,MATCH(7122,$C$9:$C$9008,0)))</f>
        <v/>
      </c>
      <c r="B7130" s="9" t="str">
        <f>IFERROR(INDEX(Input!$L$20:$T$1019,INT((ROW()-9)/9)+1,MOD(ROW()-9,9)+1),"")</f>
        <v/>
      </c>
      <c r="C7130" s="9">
        <f t="shared" si="111"/>
        <v>0</v>
      </c>
    </row>
    <row r="7131" spans="1:3" x14ac:dyDescent="0.2">
      <c r="A7131" s="10" t="str">
        <f>IF(7123&gt;$C$9008,"",INDEX($B$9:$B$9008,MATCH(7123,$C$9:$C$9008,0)))</f>
        <v/>
      </c>
      <c r="B7131" s="9" t="str">
        <f>IFERROR(INDEX(Input!$L$20:$T$1019,INT((ROW()-9)/9)+1,MOD(ROW()-9,9)+1),"")</f>
        <v/>
      </c>
      <c r="C7131" s="9">
        <f t="shared" si="111"/>
        <v>0</v>
      </c>
    </row>
    <row r="7132" spans="1:3" x14ac:dyDescent="0.2">
      <c r="A7132" s="10" t="str">
        <f>IF(7124&gt;$C$9008,"",INDEX($B$9:$B$9008,MATCH(7124,$C$9:$C$9008,0)))</f>
        <v/>
      </c>
      <c r="B7132" s="9" t="str">
        <f>IFERROR(INDEX(Input!$L$20:$T$1019,INT((ROW()-9)/9)+1,MOD(ROW()-9,9)+1),"")</f>
        <v/>
      </c>
      <c r="C7132" s="9">
        <f t="shared" si="111"/>
        <v>0</v>
      </c>
    </row>
    <row r="7133" spans="1:3" x14ac:dyDescent="0.2">
      <c r="A7133" s="10" t="str">
        <f>IF(7125&gt;$C$9008,"",INDEX($B$9:$B$9008,MATCH(7125,$C$9:$C$9008,0)))</f>
        <v/>
      </c>
      <c r="B7133" s="9" t="str">
        <f>IFERROR(INDEX(Input!$L$20:$T$1019,INT((ROW()-9)/9)+1,MOD(ROW()-9,9)+1),"")</f>
        <v/>
      </c>
      <c r="C7133" s="9">
        <f t="shared" si="111"/>
        <v>0</v>
      </c>
    </row>
    <row r="7134" spans="1:3" x14ac:dyDescent="0.2">
      <c r="A7134" s="10" t="str">
        <f>IF(7126&gt;$C$9008,"",INDEX($B$9:$B$9008,MATCH(7126,$C$9:$C$9008,0)))</f>
        <v/>
      </c>
      <c r="B7134" s="9" t="str">
        <f>IFERROR(INDEX(Input!$L$20:$T$1019,INT((ROW()-9)/9)+1,MOD(ROW()-9,9)+1),"")</f>
        <v/>
      </c>
      <c r="C7134" s="9">
        <f t="shared" si="111"/>
        <v>0</v>
      </c>
    </row>
    <row r="7135" spans="1:3" x14ac:dyDescent="0.2">
      <c r="A7135" s="10" t="str">
        <f>IF(7127&gt;$C$9008,"",INDEX($B$9:$B$9008,MATCH(7127,$C$9:$C$9008,0)))</f>
        <v/>
      </c>
      <c r="B7135" s="9" t="str">
        <f>IFERROR(INDEX(Input!$L$20:$T$1019,INT((ROW()-9)/9)+1,MOD(ROW()-9,9)+1),"")</f>
        <v/>
      </c>
      <c r="C7135" s="9">
        <f t="shared" si="111"/>
        <v>0</v>
      </c>
    </row>
    <row r="7136" spans="1:3" x14ac:dyDescent="0.2">
      <c r="A7136" s="10" t="str">
        <f>IF(7128&gt;$C$9008,"",INDEX($B$9:$B$9008,MATCH(7128,$C$9:$C$9008,0)))</f>
        <v/>
      </c>
      <c r="B7136" s="9" t="str">
        <f>IFERROR(INDEX(Input!$L$20:$T$1019,INT((ROW()-9)/9)+1,MOD(ROW()-9,9)+1),"")</f>
        <v/>
      </c>
      <c r="C7136" s="9">
        <f t="shared" si="111"/>
        <v>0</v>
      </c>
    </row>
    <row r="7137" spans="1:3" x14ac:dyDescent="0.2">
      <c r="A7137" s="10" t="str">
        <f>IF(7129&gt;$C$9008,"",INDEX($B$9:$B$9008,MATCH(7129,$C$9:$C$9008,0)))</f>
        <v/>
      </c>
      <c r="B7137" s="9" t="str">
        <f>IFERROR(INDEX(Input!$L$20:$T$1019,INT((ROW()-9)/9)+1,MOD(ROW()-9,9)+1),"")</f>
        <v/>
      </c>
      <c r="C7137" s="9">
        <f t="shared" si="111"/>
        <v>0</v>
      </c>
    </row>
    <row r="7138" spans="1:3" x14ac:dyDescent="0.2">
      <c r="A7138" s="10" t="str">
        <f>IF(7130&gt;$C$9008,"",INDEX($B$9:$B$9008,MATCH(7130,$C$9:$C$9008,0)))</f>
        <v/>
      </c>
      <c r="B7138" s="9" t="str">
        <f>IFERROR(INDEX(Input!$L$20:$T$1019,INT((ROW()-9)/9)+1,MOD(ROW()-9,9)+1),"")</f>
        <v/>
      </c>
      <c r="C7138" s="9">
        <f t="shared" si="111"/>
        <v>0</v>
      </c>
    </row>
    <row r="7139" spans="1:3" x14ac:dyDescent="0.2">
      <c r="A7139" s="10" t="str">
        <f>IF(7131&gt;$C$9008,"",INDEX($B$9:$B$9008,MATCH(7131,$C$9:$C$9008,0)))</f>
        <v/>
      </c>
      <c r="B7139" s="9" t="str">
        <f>IFERROR(INDEX(Input!$L$20:$T$1019,INT((ROW()-9)/9)+1,MOD(ROW()-9,9)+1),"")</f>
        <v/>
      </c>
      <c r="C7139" s="9">
        <f t="shared" si="111"/>
        <v>0</v>
      </c>
    </row>
    <row r="7140" spans="1:3" x14ac:dyDescent="0.2">
      <c r="A7140" s="10" t="str">
        <f>IF(7132&gt;$C$9008,"",INDEX($B$9:$B$9008,MATCH(7132,$C$9:$C$9008,0)))</f>
        <v/>
      </c>
      <c r="B7140" s="9" t="str">
        <f>IFERROR(INDEX(Input!$L$20:$T$1019,INT((ROW()-9)/9)+1,MOD(ROW()-9,9)+1),"")</f>
        <v/>
      </c>
      <c r="C7140" s="9">
        <f t="shared" si="111"/>
        <v>0</v>
      </c>
    </row>
    <row r="7141" spans="1:3" x14ac:dyDescent="0.2">
      <c r="A7141" s="10" t="str">
        <f>IF(7133&gt;$C$9008,"",INDEX($B$9:$B$9008,MATCH(7133,$C$9:$C$9008,0)))</f>
        <v/>
      </c>
      <c r="B7141" s="9" t="str">
        <f>IFERROR(INDEX(Input!$L$20:$T$1019,INT((ROW()-9)/9)+1,MOD(ROW()-9,9)+1),"")</f>
        <v/>
      </c>
      <c r="C7141" s="9">
        <f t="shared" si="111"/>
        <v>0</v>
      </c>
    </row>
    <row r="7142" spans="1:3" x14ac:dyDescent="0.2">
      <c r="A7142" s="10" t="str">
        <f>IF(7134&gt;$C$9008,"",INDEX($B$9:$B$9008,MATCH(7134,$C$9:$C$9008,0)))</f>
        <v/>
      </c>
      <c r="B7142" s="9" t="str">
        <f>IFERROR(INDEX(Input!$L$20:$T$1019,INT((ROW()-9)/9)+1,MOD(ROW()-9,9)+1),"")</f>
        <v/>
      </c>
      <c r="C7142" s="9">
        <f t="shared" si="111"/>
        <v>0</v>
      </c>
    </row>
    <row r="7143" spans="1:3" x14ac:dyDescent="0.2">
      <c r="A7143" s="10" t="str">
        <f>IF(7135&gt;$C$9008,"",INDEX($B$9:$B$9008,MATCH(7135,$C$9:$C$9008,0)))</f>
        <v/>
      </c>
      <c r="B7143" s="9" t="str">
        <f>IFERROR(INDEX(Input!$L$20:$T$1019,INT((ROW()-9)/9)+1,MOD(ROW()-9,9)+1),"")</f>
        <v/>
      </c>
      <c r="C7143" s="9">
        <f t="shared" si="111"/>
        <v>0</v>
      </c>
    </row>
    <row r="7144" spans="1:3" x14ac:dyDescent="0.2">
      <c r="A7144" s="10" t="str">
        <f>IF(7136&gt;$C$9008,"",INDEX($B$9:$B$9008,MATCH(7136,$C$9:$C$9008,0)))</f>
        <v/>
      </c>
      <c r="B7144" s="9" t="str">
        <f>IFERROR(INDEX(Input!$L$20:$T$1019,INT((ROW()-9)/9)+1,MOD(ROW()-9,9)+1),"")</f>
        <v/>
      </c>
      <c r="C7144" s="9">
        <f t="shared" si="111"/>
        <v>0</v>
      </c>
    </row>
    <row r="7145" spans="1:3" x14ac:dyDescent="0.2">
      <c r="A7145" s="10" t="str">
        <f>IF(7137&gt;$C$9008,"",INDEX($B$9:$B$9008,MATCH(7137,$C$9:$C$9008,0)))</f>
        <v/>
      </c>
      <c r="B7145" s="9" t="str">
        <f>IFERROR(INDEX(Input!$L$20:$T$1019,INT((ROW()-9)/9)+1,MOD(ROW()-9,9)+1),"")</f>
        <v/>
      </c>
      <c r="C7145" s="9">
        <f t="shared" si="111"/>
        <v>0</v>
      </c>
    </row>
    <row r="7146" spans="1:3" x14ac:dyDescent="0.2">
      <c r="A7146" s="10" t="str">
        <f>IF(7138&gt;$C$9008,"",INDEX($B$9:$B$9008,MATCH(7138,$C$9:$C$9008,0)))</f>
        <v/>
      </c>
      <c r="B7146" s="9" t="str">
        <f>IFERROR(INDEX(Input!$L$20:$T$1019,INT((ROW()-9)/9)+1,MOD(ROW()-9,9)+1),"")</f>
        <v/>
      </c>
      <c r="C7146" s="9">
        <f t="shared" si="111"/>
        <v>0</v>
      </c>
    </row>
    <row r="7147" spans="1:3" x14ac:dyDescent="0.2">
      <c r="A7147" s="10" t="str">
        <f>IF(7139&gt;$C$9008,"",INDEX($B$9:$B$9008,MATCH(7139,$C$9:$C$9008,0)))</f>
        <v/>
      </c>
      <c r="B7147" s="9" t="str">
        <f>IFERROR(INDEX(Input!$L$20:$T$1019,INT((ROW()-9)/9)+1,MOD(ROW()-9,9)+1),"")</f>
        <v/>
      </c>
      <c r="C7147" s="9">
        <f t="shared" si="111"/>
        <v>0</v>
      </c>
    </row>
    <row r="7148" spans="1:3" x14ac:dyDescent="0.2">
      <c r="A7148" s="10" t="str">
        <f>IF(7140&gt;$C$9008,"",INDEX($B$9:$B$9008,MATCH(7140,$C$9:$C$9008,0)))</f>
        <v/>
      </c>
      <c r="B7148" s="9" t="str">
        <f>IFERROR(INDEX(Input!$L$20:$T$1019,INT((ROW()-9)/9)+1,MOD(ROW()-9,9)+1),"")</f>
        <v/>
      </c>
      <c r="C7148" s="9">
        <f t="shared" si="111"/>
        <v>0</v>
      </c>
    </row>
    <row r="7149" spans="1:3" x14ac:dyDescent="0.2">
      <c r="A7149" s="10" t="str">
        <f>IF(7141&gt;$C$9008,"",INDEX($B$9:$B$9008,MATCH(7141,$C$9:$C$9008,0)))</f>
        <v/>
      </c>
      <c r="B7149" s="9" t="str">
        <f>IFERROR(INDEX(Input!$L$20:$T$1019,INT((ROW()-9)/9)+1,MOD(ROW()-9,9)+1),"")</f>
        <v/>
      </c>
      <c r="C7149" s="9">
        <f t="shared" si="111"/>
        <v>0</v>
      </c>
    </row>
    <row r="7150" spans="1:3" x14ac:dyDescent="0.2">
      <c r="A7150" s="10" t="str">
        <f>IF(7142&gt;$C$9008,"",INDEX($B$9:$B$9008,MATCH(7142,$C$9:$C$9008,0)))</f>
        <v/>
      </c>
      <c r="B7150" s="9" t="str">
        <f>IFERROR(INDEX(Input!$L$20:$T$1019,INT((ROW()-9)/9)+1,MOD(ROW()-9,9)+1),"")</f>
        <v/>
      </c>
      <c r="C7150" s="9">
        <f t="shared" si="111"/>
        <v>0</v>
      </c>
    </row>
    <row r="7151" spans="1:3" x14ac:dyDescent="0.2">
      <c r="A7151" s="10" t="str">
        <f>IF(7143&gt;$C$9008,"",INDEX($B$9:$B$9008,MATCH(7143,$C$9:$C$9008,0)))</f>
        <v/>
      </c>
      <c r="B7151" s="9" t="str">
        <f>IFERROR(INDEX(Input!$L$20:$T$1019,INT((ROW()-9)/9)+1,MOD(ROW()-9,9)+1),"")</f>
        <v/>
      </c>
      <c r="C7151" s="9">
        <f t="shared" si="111"/>
        <v>0</v>
      </c>
    </row>
    <row r="7152" spans="1:3" x14ac:dyDescent="0.2">
      <c r="A7152" s="10" t="str">
        <f>IF(7144&gt;$C$9008,"",INDEX($B$9:$B$9008,MATCH(7144,$C$9:$C$9008,0)))</f>
        <v/>
      </c>
      <c r="B7152" s="9" t="str">
        <f>IFERROR(INDEX(Input!$L$20:$T$1019,INT((ROW()-9)/9)+1,MOD(ROW()-9,9)+1),"")</f>
        <v/>
      </c>
      <c r="C7152" s="9">
        <f t="shared" si="111"/>
        <v>0</v>
      </c>
    </row>
    <row r="7153" spans="1:3" x14ac:dyDescent="0.2">
      <c r="A7153" s="10" t="str">
        <f>IF(7145&gt;$C$9008,"",INDEX($B$9:$B$9008,MATCH(7145,$C$9:$C$9008,0)))</f>
        <v/>
      </c>
      <c r="B7153" s="9" t="str">
        <f>IFERROR(INDEX(Input!$L$20:$T$1019,INT((ROW()-9)/9)+1,MOD(ROW()-9,9)+1),"")</f>
        <v/>
      </c>
      <c r="C7153" s="9">
        <f t="shared" si="111"/>
        <v>0</v>
      </c>
    </row>
    <row r="7154" spans="1:3" x14ac:dyDescent="0.2">
      <c r="A7154" s="10" t="str">
        <f>IF(7146&gt;$C$9008,"",INDEX($B$9:$B$9008,MATCH(7146,$C$9:$C$9008,0)))</f>
        <v/>
      </c>
      <c r="B7154" s="9" t="str">
        <f>IFERROR(INDEX(Input!$L$20:$T$1019,INT((ROW()-9)/9)+1,MOD(ROW()-9,9)+1),"")</f>
        <v/>
      </c>
      <c r="C7154" s="9">
        <f t="shared" si="111"/>
        <v>0</v>
      </c>
    </row>
    <row r="7155" spans="1:3" x14ac:dyDescent="0.2">
      <c r="A7155" s="10" t="str">
        <f>IF(7147&gt;$C$9008,"",INDEX($B$9:$B$9008,MATCH(7147,$C$9:$C$9008,0)))</f>
        <v/>
      </c>
      <c r="B7155" s="9" t="str">
        <f>IFERROR(INDEX(Input!$L$20:$T$1019,INT((ROW()-9)/9)+1,MOD(ROW()-9,9)+1),"")</f>
        <v/>
      </c>
      <c r="C7155" s="9">
        <f t="shared" si="111"/>
        <v>0</v>
      </c>
    </row>
    <row r="7156" spans="1:3" x14ac:dyDescent="0.2">
      <c r="A7156" s="10" t="str">
        <f>IF(7148&gt;$C$9008,"",INDEX($B$9:$B$9008,MATCH(7148,$C$9:$C$9008,0)))</f>
        <v/>
      </c>
      <c r="B7156" s="9" t="str">
        <f>IFERROR(INDEX(Input!$L$20:$T$1019,INT((ROW()-9)/9)+1,MOD(ROW()-9,9)+1),"")</f>
        <v/>
      </c>
      <c r="C7156" s="9">
        <f t="shared" si="111"/>
        <v>0</v>
      </c>
    </row>
    <row r="7157" spans="1:3" x14ac:dyDescent="0.2">
      <c r="A7157" s="10" t="str">
        <f>IF(7149&gt;$C$9008,"",INDEX($B$9:$B$9008,MATCH(7149,$C$9:$C$9008,0)))</f>
        <v/>
      </c>
      <c r="B7157" s="9" t="str">
        <f>IFERROR(INDEX(Input!$L$20:$T$1019,INT((ROW()-9)/9)+1,MOD(ROW()-9,9)+1),"")</f>
        <v/>
      </c>
      <c r="C7157" s="9">
        <f t="shared" si="111"/>
        <v>0</v>
      </c>
    </row>
    <row r="7158" spans="1:3" x14ac:dyDescent="0.2">
      <c r="A7158" s="10" t="str">
        <f>IF(7150&gt;$C$9008,"",INDEX($B$9:$B$9008,MATCH(7150,$C$9:$C$9008,0)))</f>
        <v/>
      </c>
      <c r="B7158" s="9" t="str">
        <f>IFERROR(INDEX(Input!$L$20:$T$1019,INT((ROW()-9)/9)+1,MOD(ROW()-9,9)+1),"")</f>
        <v/>
      </c>
      <c r="C7158" s="9">
        <f t="shared" si="111"/>
        <v>0</v>
      </c>
    </row>
    <row r="7159" spans="1:3" x14ac:dyDescent="0.2">
      <c r="A7159" s="10" t="str">
        <f>IF(7151&gt;$C$9008,"",INDEX($B$9:$B$9008,MATCH(7151,$C$9:$C$9008,0)))</f>
        <v/>
      </c>
      <c r="B7159" s="9" t="str">
        <f>IFERROR(INDEX(Input!$L$20:$T$1019,INT((ROW()-9)/9)+1,MOD(ROW()-9,9)+1),"")</f>
        <v/>
      </c>
      <c r="C7159" s="9">
        <f t="shared" si="111"/>
        <v>0</v>
      </c>
    </row>
    <row r="7160" spans="1:3" x14ac:dyDescent="0.2">
      <c r="A7160" s="10" t="str">
        <f>IF(7152&gt;$C$9008,"",INDEX($B$9:$B$9008,MATCH(7152,$C$9:$C$9008,0)))</f>
        <v/>
      </c>
      <c r="B7160" s="9" t="str">
        <f>IFERROR(INDEX(Input!$L$20:$T$1019,INT((ROW()-9)/9)+1,MOD(ROW()-9,9)+1),"")</f>
        <v/>
      </c>
      <c r="C7160" s="9">
        <f t="shared" si="111"/>
        <v>0</v>
      </c>
    </row>
    <row r="7161" spans="1:3" x14ac:dyDescent="0.2">
      <c r="A7161" s="10" t="str">
        <f>IF(7153&gt;$C$9008,"",INDEX($B$9:$B$9008,MATCH(7153,$C$9:$C$9008,0)))</f>
        <v/>
      </c>
      <c r="B7161" s="9" t="str">
        <f>IFERROR(INDEX(Input!$L$20:$T$1019,INT((ROW()-9)/9)+1,MOD(ROW()-9,9)+1),"")</f>
        <v/>
      </c>
      <c r="C7161" s="9">
        <f t="shared" si="111"/>
        <v>0</v>
      </c>
    </row>
    <row r="7162" spans="1:3" x14ac:dyDescent="0.2">
      <c r="A7162" s="10" t="str">
        <f>IF(7154&gt;$C$9008,"",INDEX($B$9:$B$9008,MATCH(7154,$C$9:$C$9008,0)))</f>
        <v/>
      </c>
      <c r="B7162" s="9" t="str">
        <f>IFERROR(INDEX(Input!$L$20:$T$1019,INT((ROW()-9)/9)+1,MOD(ROW()-9,9)+1),"")</f>
        <v/>
      </c>
      <c r="C7162" s="9">
        <f t="shared" si="111"/>
        <v>0</v>
      </c>
    </row>
    <row r="7163" spans="1:3" x14ac:dyDescent="0.2">
      <c r="A7163" s="10" t="str">
        <f>IF(7155&gt;$C$9008,"",INDEX($B$9:$B$9008,MATCH(7155,$C$9:$C$9008,0)))</f>
        <v/>
      </c>
      <c r="B7163" s="9" t="str">
        <f>IFERROR(INDEX(Input!$L$20:$T$1019,INT((ROW()-9)/9)+1,MOD(ROW()-9,9)+1),"")</f>
        <v/>
      </c>
      <c r="C7163" s="9">
        <f t="shared" si="111"/>
        <v>0</v>
      </c>
    </row>
    <row r="7164" spans="1:3" x14ac:dyDescent="0.2">
      <c r="A7164" s="10" t="str">
        <f>IF(7156&gt;$C$9008,"",INDEX($B$9:$B$9008,MATCH(7156,$C$9:$C$9008,0)))</f>
        <v/>
      </c>
      <c r="B7164" s="9" t="str">
        <f>IFERROR(INDEX(Input!$L$20:$T$1019,INT((ROW()-9)/9)+1,MOD(ROW()-9,9)+1),"")</f>
        <v/>
      </c>
      <c r="C7164" s="9">
        <f t="shared" si="111"/>
        <v>0</v>
      </c>
    </row>
    <row r="7165" spans="1:3" x14ac:dyDescent="0.2">
      <c r="A7165" s="10" t="str">
        <f>IF(7157&gt;$C$9008,"",INDEX($B$9:$B$9008,MATCH(7157,$C$9:$C$9008,0)))</f>
        <v/>
      </c>
      <c r="B7165" s="9" t="str">
        <f>IFERROR(INDEX(Input!$L$20:$T$1019,INT((ROW()-9)/9)+1,MOD(ROW()-9,9)+1),"")</f>
        <v/>
      </c>
      <c r="C7165" s="9">
        <f t="shared" si="111"/>
        <v>0</v>
      </c>
    </row>
    <row r="7166" spans="1:3" x14ac:dyDescent="0.2">
      <c r="A7166" s="10" t="str">
        <f>IF(7158&gt;$C$9008,"",INDEX($B$9:$B$9008,MATCH(7158,$C$9:$C$9008,0)))</f>
        <v/>
      </c>
      <c r="B7166" s="9" t="str">
        <f>IFERROR(INDEX(Input!$L$20:$T$1019,INT((ROW()-9)/9)+1,MOD(ROW()-9,9)+1),"")</f>
        <v/>
      </c>
      <c r="C7166" s="9">
        <f t="shared" si="111"/>
        <v>0</v>
      </c>
    </row>
    <row r="7167" spans="1:3" x14ac:dyDescent="0.2">
      <c r="A7167" s="10" t="str">
        <f>IF(7159&gt;$C$9008,"",INDEX($B$9:$B$9008,MATCH(7159,$C$9:$C$9008,0)))</f>
        <v/>
      </c>
      <c r="B7167" s="9" t="str">
        <f>IFERROR(INDEX(Input!$L$20:$T$1019,INT((ROW()-9)/9)+1,MOD(ROW()-9,9)+1),"")</f>
        <v/>
      </c>
      <c r="C7167" s="9">
        <f t="shared" si="111"/>
        <v>0</v>
      </c>
    </row>
    <row r="7168" spans="1:3" x14ac:dyDescent="0.2">
      <c r="A7168" s="10" t="str">
        <f>IF(7160&gt;$C$9008,"",INDEX($B$9:$B$9008,MATCH(7160,$C$9:$C$9008,0)))</f>
        <v/>
      </c>
      <c r="B7168" s="9" t="str">
        <f>IFERROR(INDEX(Input!$L$20:$T$1019,INT((ROW()-9)/9)+1,MOD(ROW()-9,9)+1),"")</f>
        <v/>
      </c>
      <c r="C7168" s="9">
        <f t="shared" si="111"/>
        <v>0</v>
      </c>
    </row>
    <row r="7169" spans="1:3" x14ac:dyDescent="0.2">
      <c r="A7169" s="10" t="str">
        <f>IF(7161&gt;$C$9008,"",INDEX($B$9:$B$9008,MATCH(7161,$C$9:$C$9008,0)))</f>
        <v/>
      </c>
      <c r="B7169" s="9" t="str">
        <f>IFERROR(INDEX(Input!$L$20:$T$1019,INT((ROW()-9)/9)+1,MOD(ROW()-9,9)+1),"")</f>
        <v/>
      </c>
      <c r="C7169" s="9">
        <f t="shared" si="111"/>
        <v>0</v>
      </c>
    </row>
    <row r="7170" spans="1:3" x14ac:dyDescent="0.2">
      <c r="A7170" s="10" t="str">
        <f>IF(7162&gt;$C$9008,"",INDEX($B$9:$B$9008,MATCH(7162,$C$9:$C$9008,0)))</f>
        <v/>
      </c>
      <c r="B7170" s="9" t="str">
        <f>IFERROR(INDEX(Input!$L$20:$T$1019,INT((ROW()-9)/9)+1,MOD(ROW()-9,9)+1),"")</f>
        <v/>
      </c>
      <c r="C7170" s="9">
        <f t="shared" si="111"/>
        <v>0</v>
      </c>
    </row>
    <row r="7171" spans="1:3" x14ac:dyDescent="0.2">
      <c r="A7171" s="10" t="str">
        <f>IF(7163&gt;$C$9008,"",INDEX($B$9:$B$9008,MATCH(7163,$C$9:$C$9008,0)))</f>
        <v/>
      </c>
      <c r="B7171" s="9" t="str">
        <f>IFERROR(INDEX(Input!$L$20:$T$1019,INT((ROW()-9)/9)+1,MOD(ROW()-9,9)+1),"")</f>
        <v/>
      </c>
      <c r="C7171" s="9">
        <f t="shared" si="111"/>
        <v>0</v>
      </c>
    </row>
    <row r="7172" spans="1:3" x14ac:dyDescent="0.2">
      <c r="A7172" s="10" t="str">
        <f>IF(7164&gt;$C$9008,"",INDEX($B$9:$B$9008,MATCH(7164,$C$9:$C$9008,0)))</f>
        <v/>
      </c>
      <c r="B7172" s="9" t="str">
        <f>IFERROR(INDEX(Input!$L$20:$T$1019,INT((ROW()-9)/9)+1,MOD(ROW()-9,9)+1),"")</f>
        <v/>
      </c>
      <c r="C7172" s="9">
        <f t="shared" si="111"/>
        <v>0</v>
      </c>
    </row>
    <row r="7173" spans="1:3" x14ac:dyDescent="0.2">
      <c r="A7173" s="10" t="str">
        <f>IF(7165&gt;$C$9008,"",INDEX($B$9:$B$9008,MATCH(7165,$C$9:$C$9008,0)))</f>
        <v/>
      </c>
      <c r="B7173" s="9" t="str">
        <f>IFERROR(INDEX(Input!$L$20:$T$1019,INT((ROW()-9)/9)+1,MOD(ROW()-9,9)+1),"")</f>
        <v/>
      </c>
      <c r="C7173" s="9">
        <f t="shared" si="111"/>
        <v>0</v>
      </c>
    </row>
    <row r="7174" spans="1:3" x14ac:dyDescent="0.2">
      <c r="A7174" s="10" t="str">
        <f>IF(7166&gt;$C$9008,"",INDEX($B$9:$B$9008,MATCH(7166,$C$9:$C$9008,0)))</f>
        <v/>
      </c>
      <c r="B7174" s="9" t="str">
        <f>IFERROR(INDEX(Input!$L$20:$T$1019,INT((ROW()-9)/9)+1,MOD(ROW()-9,9)+1),"")</f>
        <v/>
      </c>
      <c r="C7174" s="9">
        <f t="shared" si="111"/>
        <v>0</v>
      </c>
    </row>
    <row r="7175" spans="1:3" x14ac:dyDescent="0.2">
      <c r="A7175" s="10" t="str">
        <f>IF(7167&gt;$C$9008,"",INDEX($B$9:$B$9008,MATCH(7167,$C$9:$C$9008,0)))</f>
        <v/>
      </c>
      <c r="B7175" s="9" t="str">
        <f>IFERROR(INDEX(Input!$L$20:$T$1019,INT((ROW()-9)/9)+1,MOD(ROW()-9,9)+1),"")</f>
        <v/>
      </c>
      <c r="C7175" s="9">
        <f t="shared" si="111"/>
        <v>0</v>
      </c>
    </row>
    <row r="7176" spans="1:3" x14ac:dyDescent="0.2">
      <c r="A7176" s="10" t="str">
        <f>IF(7168&gt;$C$9008,"",INDEX($B$9:$B$9008,MATCH(7168,$C$9:$C$9008,0)))</f>
        <v/>
      </c>
      <c r="B7176" s="9" t="str">
        <f>IFERROR(INDEX(Input!$L$20:$T$1019,INT((ROW()-9)/9)+1,MOD(ROW()-9,9)+1),"")</f>
        <v/>
      </c>
      <c r="C7176" s="9">
        <f t="shared" si="111"/>
        <v>0</v>
      </c>
    </row>
    <row r="7177" spans="1:3" x14ac:dyDescent="0.2">
      <c r="A7177" s="10" t="str">
        <f>IF(7169&gt;$C$9008,"",INDEX($B$9:$B$9008,MATCH(7169,$C$9:$C$9008,0)))</f>
        <v/>
      </c>
      <c r="B7177" s="9" t="str">
        <f>IFERROR(INDEX(Input!$L$20:$T$1019,INT((ROW()-9)/9)+1,MOD(ROW()-9,9)+1),"")</f>
        <v/>
      </c>
      <c r="C7177" s="9">
        <f t="shared" ref="C7177:C7240" si="112">$C7176+IF($B7177&lt;&gt;"",1,0)</f>
        <v>0</v>
      </c>
    </row>
    <row r="7178" spans="1:3" x14ac:dyDescent="0.2">
      <c r="A7178" s="10" t="str">
        <f>IF(7170&gt;$C$9008,"",INDEX($B$9:$B$9008,MATCH(7170,$C$9:$C$9008,0)))</f>
        <v/>
      </c>
      <c r="B7178" s="9" t="str">
        <f>IFERROR(INDEX(Input!$L$20:$T$1019,INT((ROW()-9)/9)+1,MOD(ROW()-9,9)+1),"")</f>
        <v/>
      </c>
      <c r="C7178" s="9">
        <f t="shared" si="112"/>
        <v>0</v>
      </c>
    </row>
    <row r="7179" spans="1:3" x14ac:dyDescent="0.2">
      <c r="A7179" s="10" t="str">
        <f>IF(7171&gt;$C$9008,"",INDEX($B$9:$B$9008,MATCH(7171,$C$9:$C$9008,0)))</f>
        <v/>
      </c>
      <c r="B7179" s="9" t="str">
        <f>IFERROR(INDEX(Input!$L$20:$T$1019,INT((ROW()-9)/9)+1,MOD(ROW()-9,9)+1),"")</f>
        <v/>
      </c>
      <c r="C7179" s="9">
        <f t="shared" si="112"/>
        <v>0</v>
      </c>
    </row>
    <row r="7180" spans="1:3" x14ac:dyDescent="0.2">
      <c r="A7180" s="10" t="str">
        <f>IF(7172&gt;$C$9008,"",INDEX($B$9:$B$9008,MATCH(7172,$C$9:$C$9008,0)))</f>
        <v/>
      </c>
      <c r="B7180" s="9" t="str">
        <f>IFERROR(INDEX(Input!$L$20:$T$1019,INT((ROW()-9)/9)+1,MOD(ROW()-9,9)+1),"")</f>
        <v/>
      </c>
      <c r="C7180" s="9">
        <f t="shared" si="112"/>
        <v>0</v>
      </c>
    </row>
    <row r="7181" spans="1:3" x14ac:dyDescent="0.2">
      <c r="A7181" s="10" t="str">
        <f>IF(7173&gt;$C$9008,"",INDEX($B$9:$B$9008,MATCH(7173,$C$9:$C$9008,0)))</f>
        <v/>
      </c>
      <c r="B7181" s="9" t="str">
        <f>IFERROR(INDEX(Input!$L$20:$T$1019,INT((ROW()-9)/9)+1,MOD(ROW()-9,9)+1),"")</f>
        <v/>
      </c>
      <c r="C7181" s="9">
        <f t="shared" si="112"/>
        <v>0</v>
      </c>
    </row>
    <row r="7182" spans="1:3" x14ac:dyDescent="0.2">
      <c r="A7182" s="10" t="str">
        <f>IF(7174&gt;$C$9008,"",INDEX($B$9:$B$9008,MATCH(7174,$C$9:$C$9008,0)))</f>
        <v/>
      </c>
      <c r="B7182" s="9" t="str">
        <f>IFERROR(INDEX(Input!$L$20:$T$1019,INT((ROW()-9)/9)+1,MOD(ROW()-9,9)+1),"")</f>
        <v/>
      </c>
      <c r="C7182" s="9">
        <f t="shared" si="112"/>
        <v>0</v>
      </c>
    </row>
    <row r="7183" spans="1:3" x14ac:dyDescent="0.2">
      <c r="A7183" s="10" t="str">
        <f>IF(7175&gt;$C$9008,"",INDEX($B$9:$B$9008,MATCH(7175,$C$9:$C$9008,0)))</f>
        <v/>
      </c>
      <c r="B7183" s="9" t="str">
        <f>IFERROR(INDEX(Input!$L$20:$T$1019,INT((ROW()-9)/9)+1,MOD(ROW()-9,9)+1),"")</f>
        <v/>
      </c>
      <c r="C7183" s="9">
        <f t="shared" si="112"/>
        <v>0</v>
      </c>
    </row>
    <row r="7184" spans="1:3" x14ac:dyDescent="0.2">
      <c r="A7184" s="10" t="str">
        <f>IF(7176&gt;$C$9008,"",INDEX($B$9:$B$9008,MATCH(7176,$C$9:$C$9008,0)))</f>
        <v/>
      </c>
      <c r="B7184" s="9" t="str">
        <f>IFERROR(INDEX(Input!$L$20:$T$1019,INT((ROW()-9)/9)+1,MOD(ROW()-9,9)+1),"")</f>
        <v/>
      </c>
      <c r="C7184" s="9">
        <f t="shared" si="112"/>
        <v>0</v>
      </c>
    </row>
    <row r="7185" spans="1:3" x14ac:dyDescent="0.2">
      <c r="A7185" s="10" t="str">
        <f>IF(7177&gt;$C$9008,"",INDEX($B$9:$B$9008,MATCH(7177,$C$9:$C$9008,0)))</f>
        <v/>
      </c>
      <c r="B7185" s="9" t="str">
        <f>IFERROR(INDEX(Input!$L$20:$T$1019,INT((ROW()-9)/9)+1,MOD(ROW()-9,9)+1),"")</f>
        <v/>
      </c>
      <c r="C7185" s="9">
        <f t="shared" si="112"/>
        <v>0</v>
      </c>
    </row>
    <row r="7186" spans="1:3" x14ac:dyDescent="0.2">
      <c r="A7186" s="10" t="str">
        <f>IF(7178&gt;$C$9008,"",INDEX($B$9:$B$9008,MATCH(7178,$C$9:$C$9008,0)))</f>
        <v/>
      </c>
      <c r="B7186" s="9" t="str">
        <f>IFERROR(INDEX(Input!$L$20:$T$1019,INT((ROW()-9)/9)+1,MOD(ROW()-9,9)+1),"")</f>
        <v/>
      </c>
      <c r="C7186" s="9">
        <f t="shared" si="112"/>
        <v>0</v>
      </c>
    </row>
    <row r="7187" spans="1:3" x14ac:dyDescent="0.2">
      <c r="A7187" s="10" t="str">
        <f>IF(7179&gt;$C$9008,"",INDEX($B$9:$B$9008,MATCH(7179,$C$9:$C$9008,0)))</f>
        <v/>
      </c>
      <c r="B7187" s="9" t="str">
        <f>IFERROR(INDEX(Input!$L$20:$T$1019,INT((ROW()-9)/9)+1,MOD(ROW()-9,9)+1),"")</f>
        <v/>
      </c>
      <c r="C7187" s="9">
        <f t="shared" si="112"/>
        <v>0</v>
      </c>
    </row>
    <row r="7188" spans="1:3" x14ac:dyDescent="0.2">
      <c r="A7188" s="10" t="str">
        <f>IF(7180&gt;$C$9008,"",INDEX($B$9:$B$9008,MATCH(7180,$C$9:$C$9008,0)))</f>
        <v/>
      </c>
      <c r="B7188" s="9" t="str">
        <f>IFERROR(INDEX(Input!$L$20:$T$1019,INT((ROW()-9)/9)+1,MOD(ROW()-9,9)+1),"")</f>
        <v/>
      </c>
      <c r="C7188" s="9">
        <f t="shared" si="112"/>
        <v>0</v>
      </c>
    </row>
    <row r="7189" spans="1:3" x14ac:dyDescent="0.2">
      <c r="A7189" s="10" t="str">
        <f>IF(7181&gt;$C$9008,"",INDEX($B$9:$B$9008,MATCH(7181,$C$9:$C$9008,0)))</f>
        <v/>
      </c>
      <c r="B7189" s="9" t="str">
        <f>IFERROR(INDEX(Input!$L$20:$T$1019,INT((ROW()-9)/9)+1,MOD(ROW()-9,9)+1),"")</f>
        <v/>
      </c>
      <c r="C7189" s="9">
        <f t="shared" si="112"/>
        <v>0</v>
      </c>
    </row>
    <row r="7190" spans="1:3" x14ac:dyDescent="0.2">
      <c r="A7190" s="10" t="str">
        <f>IF(7182&gt;$C$9008,"",INDEX($B$9:$B$9008,MATCH(7182,$C$9:$C$9008,0)))</f>
        <v/>
      </c>
      <c r="B7190" s="9" t="str">
        <f>IFERROR(INDEX(Input!$L$20:$T$1019,INT((ROW()-9)/9)+1,MOD(ROW()-9,9)+1),"")</f>
        <v/>
      </c>
      <c r="C7190" s="9">
        <f t="shared" si="112"/>
        <v>0</v>
      </c>
    </row>
    <row r="7191" spans="1:3" x14ac:dyDescent="0.2">
      <c r="A7191" s="10" t="str">
        <f>IF(7183&gt;$C$9008,"",INDEX($B$9:$B$9008,MATCH(7183,$C$9:$C$9008,0)))</f>
        <v/>
      </c>
      <c r="B7191" s="9" t="str">
        <f>IFERROR(INDEX(Input!$L$20:$T$1019,INT((ROW()-9)/9)+1,MOD(ROW()-9,9)+1),"")</f>
        <v/>
      </c>
      <c r="C7191" s="9">
        <f t="shared" si="112"/>
        <v>0</v>
      </c>
    </row>
    <row r="7192" spans="1:3" x14ac:dyDescent="0.2">
      <c r="A7192" s="10" t="str">
        <f>IF(7184&gt;$C$9008,"",INDEX($B$9:$B$9008,MATCH(7184,$C$9:$C$9008,0)))</f>
        <v/>
      </c>
      <c r="B7192" s="9" t="str">
        <f>IFERROR(INDEX(Input!$L$20:$T$1019,INT((ROW()-9)/9)+1,MOD(ROW()-9,9)+1),"")</f>
        <v/>
      </c>
      <c r="C7192" s="9">
        <f t="shared" si="112"/>
        <v>0</v>
      </c>
    </row>
    <row r="7193" spans="1:3" x14ac:dyDescent="0.2">
      <c r="A7193" s="10" t="str">
        <f>IF(7185&gt;$C$9008,"",INDEX($B$9:$B$9008,MATCH(7185,$C$9:$C$9008,0)))</f>
        <v/>
      </c>
      <c r="B7193" s="9" t="str">
        <f>IFERROR(INDEX(Input!$L$20:$T$1019,INT((ROW()-9)/9)+1,MOD(ROW()-9,9)+1),"")</f>
        <v/>
      </c>
      <c r="C7193" s="9">
        <f t="shared" si="112"/>
        <v>0</v>
      </c>
    </row>
    <row r="7194" spans="1:3" x14ac:dyDescent="0.2">
      <c r="A7194" s="10" t="str">
        <f>IF(7186&gt;$C$9008,"",INDEX($B$9:$B$9008,MATCH(7186,$C$9:$C$9008,0)))</f>
        <v/>
      </c>
      <c r="B7194" s="9" t="str">
        <f>IFERROR(INDEX(Input!$L$20:$T$1019,INT((ROW()-9)/9)+1,MOD(ROW()-9,9)+1),"")</f>
        <v/>
      </c>
      <c r="C7194" s="9">
        <f t="shared" si="112"/>
        <v>0</v>
      </c>
    </row>
    <row r="7195" spans="1:3" x14ac:dyDescent="0.2">
      <c r="A7195" s="10" t="str">
        <f>IF(7187&gt;$C$9008,"",INDEX($B$9:$B$9008,MATCH(7187,$C$9:$C$9008,0)))</f>
        <v/>
      </c>
      <c r="B7195" s="9" t="str">
        <f>IFERROR(INDEX(Input!$L$20:$T$1019,INT((ROW()-9)/9)+1,MOD(ROW()-9,9)+1),"")</f>
        <v/>
      </c>
      <c r="C7195" s="9">
        <f t="shared" si="112"/>
        <v>0</v>
      </c>
    </row>
    <row r="7196" spans="1:3" x14ac:dyDescent="0.2">
      <c r="A7196" s="10" t="str">
        <f>IF(7188&gt;$C$9008,"",INDEX($B$9:$B$9008,MATCH(7188,$C$9:$C$9008,0)))</f>
        <v/>
      </c>
      <c r="B7196" s="9" t="str">
        <f>IFERROR(INDEX(Input!$L$20:$T$1019,INT((ROW()-9)/9)+1,MOD(ROW()-9,9)+1),"")</f>
        <v/>
      </c>
      <c r="C7196" s="9">
        <f t="shared" si="112"/>
        <v>0</v>
      </c>
    </row>
    <row r="7197" spans="1:3" x14ac:dyDescent="0.2">
      <c r="A7197" s="10" t="str">
        <f>IF(7189&gt;$C$9008,"",INDEX($B$9:$B$9008,MATCH(7189,$C$9:$C$9008,0)))</f>
        <v/>
      </c>
      <c r="B7197" s="9" t="str">
        <f>IFERROR(INDEX(Input!$L$20:$T$1019,INT((ROW()-9)/9)+1,MOD(ROW()-9,9)+1),"")</f>
        <v/>
      </c>
      <c r="C7197" s="9">
        <f t="shared" si="112"/>
        <v>0</v>
      </c>
    </row>
    <row r="7198" spans="1:3" x14ac:dyDescent="0.2">
      <c r="A7198" s="10" t="str">
        <f>IF(7190&gt;$C$9008,"",INDEX($B$9:$B$9008,MATCH(7190,$C$9:$C$9008,0)))</f>
        <v/>
      </c>
      <c r="B7198" s="9" t="str">
        <f>IFERROR(INDEX(Input!$L$20:$T$1019,INT((ROW()-9)/9)+1,MOD(ROW()-9,9)+1),"")</f>
        <v/>
      </c>
      <c r="C7198" s="9">
        <f t="shared" si="112"/>
        <v>0</v>
      </c>
    </row>
    <row r="7199" spans="1:3" x14ac:dyDescent="0.2">
      <c r="A7199" s="10" t="str">
        <f>IF(7191&gt;$C$9008,"",INDEX($B$9:$B$9008,MATCH(7191,$C$9:$C$9008,0)))</f>
        <v/>
      </c>
      <c r="B7199" s="9" t="str">
        <f>IFERROR(INDEX(Input!$L$20:$T$1019,INT((ROW()-9)/9)+1,MOD(ROW()-9,9)+1),"")</f>
        <v/>
      </c>
      <c r="C7199" s="9">
        <f t="shared" si="112"/>
        <v>0</v>
      </c>
    </row>
    <row r="7200" spans="1:3" x14ac:dyDescent="0.2">
      <c r="A7200" s="10" t="str">
        <f>IF(7192&gt;$C$9008,"",INDEX($B$9:$B$9008,MATCH(7192,$C$9:$C$9008,0)))</f>
        <v/>
      </c>
      <c r="B7200" s="9" t="str">
        <f>IFERROR(INDEX(Input!$L$20:$T$1019,INT((ROW()-9)/9)+1,MOD(ROW()-9,9)+1),"")</f>
        <v/>
      </c>
      <c r="C7200" s="9">
        <f t="shared" si="112"/>
        <v>0</v>
      </c>
    </row>
    <row r="7201" spans="1:3" x14ac:dyDescent="0.2">
      <c r="A7201" s="10" t="str">
        <f>IF(7193&gt;$C$9008,"",INDEX($B$9:$B$9008,MATCH(7193,$C$9:$C$9008,0)))</f>
        <v/>
      </c>
      <c r="B7201" s="9" t="str">
        <f>IFERROR(INDEX(Input!$L$20:$T$1019,INT((ROW()-9)/9)+1,MOD(ROW()-9,9)+1),"")</f>
        <v/>
      </c>
      <c r="C7201" s="9">
        <f t="shared" si="112"/>
        <v>0</v>
      </c>
    </row>
    <row r="7202" spans="1:3" x14ac:dyDescent="0.2">
      <c r="A7202" s="10" t="str">
        <f>IF(7194&gt;$C$9008,"",INDEX($B$9:$B$9008,MATCH(7194,$C$9:$C$9008,0)))</f>
        <v/>
      </c>
      <c r="B7202" s="9" t="str">
        <f>IFERROR(INDEX(Input!$L$20:$T$1019,INT((ROW()-9)/9)+1,MOD(ROW()-9,9)+1),"")</f>
        <v/>
      </c>
      <c r="C7202" s="9">
        <f t="shared" si="112"/>
        <v>0</v>
      </c>
    </row>
    <row r="7203" spans="1:3" x14ac:dyDescent="0.2">
      <c r="A7203" s="10" t="str">
        <f>IF(7195&gt;$C$9008,"",INDEX($B$9:$B$9008,MATCH(7195,$C$9:$C$9008,0)))</f>
        <v/>
      </c>
      <c r="B7203" s="9" t="str">
        <f>IFERROR(INDEX(Input!$L$20:$T$1019,INT((ROW()-9)/9)+1,MOD(ROW()-9,9)+1),"")</f>
        <v/>
      </c>
      <c r="C7203" s="9">
        <f t="shared" si="112"/>
        <v>0</v>
      </c>
    </row>
    <row r="7204" spans="1:3" x14ac:dyDescent="0.2">
      <c r="A7204" s="10" t="str">
        <f>IF(7196&gt;$C$9008,"",INDEX($B$9:$B$9008,MATCH(7196,$C$9:$C$9008,0)))</f>
        <v/>
      </c>
      <c r="B7204" s="9" t="str">
        <f>IFERROR(INDEX(Input!$L$20:$T$1019,INT((ROW()-9)/9)+1,MOD(ROW()-9,9)+1),"")</f>
        <v/>
      </c>
      <c r="C7204" s="9">
        <f t="shared" si="112"/>
        <v>0</v>
      </c>
    </row>
    <row r="7205" spans="1:3" x14ac:dyDescent="0.2">
      <c r="A7205" s="10" t="str">
        <f>IF(7197&gt;$C$9008,"",INDEX($B$9:$B$9008,MATCH(7197,$C$9:$C$9008,0)))</f>
        <v/>
      </c>
      <c r="B7205" s="9" t="str">
        <f>IFERROR(INDEX(Input!$L$20:$T$1019,INT((ROW()-9)/9)+1,MOD(ROW()-9,9)+1),"")</f>
        <v/>
      </c>
      <c r="C7205" s="9">
        <f t="shared" si="112"/>
        <v>0</v>
      </c>
    </row>
    <row r="7206" spans="1:3" x14ac:dyDescent="0.2">
      <c r="A7206" s="10" t="str">
        <f>IF(7198&gt;$C$9008,"",INDEX($B$9:$B$9008,MATCH(7198,$C$9:$C$9008,0)))</f>
        <v/>
      </c>
      <c r="B7206" s="9" t="str">
        <f>IFERROR(INDEX(Input!$L$20:$T$1019,INT((ROW()-9)/9)+1,MOD(ROW()-9,9)+1),"")</f>
        <v/>
      </c>
      <c r="C7206" s="9">
        <f t="shared" si="112"/>
        <v>0</v>
      </c>
    </row>
    <row r="7207" spans="1:3" x14ac:dyDescent="0.2">
      <c r="A7207" s="10" t="str">
        <f>IF(7199&gt;$C$9008,"",INDEX($B$9:$B$9008,MATCH(7199,$C$9:$C$9008,0)))</f>
        <v/>
      </c>
      <c r="B7207" s="9" t="str">
        <f>IFERROR(INDEX(Input!$L$20:$T$1019,INT((ROW()-9)/9)+1,MOD(ROW()-9,9)+1),"")</f>
        <v/>
      </c>
      <c r="C7207" s="9">
        <f t="shared" si="112"/>
        <v>0</v>
      </c>
    </row>
    <row r="7208" spans="1:3" x14ac:dyDescent="0.2">
      <c r="A7208" s="10" t="str">
        <f>IF(7200&gt;$C$9008,"",INDEX($B$9:$B$9008,MATCH(7200,$C$9:$C$9008,0)))</f>
        <v/>
      </c>
      <c r="B7208" s="9" t="str">
        <f>IFERROR(INDEX(Input!$L$20:$T$1019,INT((ROW()-9)/9)+1,MOD(ROW()-9,9)+1),"")</f>
        <v/>
      </c>
      <c r="C7208" s="9">
        <f t="shared" si="112"/>
        <v>0</v>
      </c>
    </row>
    <row r="7209" spans="1:3" x14ac:dyDescent="0.2">
      <c r="A7209" s="10" t="str">
        <f>IF(7201&gt;$C$9008,"",INDEX($B$9:$B$9008,MATCH(7201,$C$9:$C$9008,0)))</f>
        <v/>
      </c>
      <c r="B7209" s="9" t="str">
        <f>IFERROR(INDEX(Input!$L$20:$T$1019,INT((ROW()-9)/9)+1,MOD(ROW()-9,9)+1),"")</f>
        <v/>
      </c>
      <c r="C7209" s="9">
        <f t="shared" si="112"/>
        <v>0</v>
      </c>
    </row>
    <row r="7210" spans="1:3" x14ac:dyDescent="0.2">
      <c r="A7210" s="10" t="str">
        <f>IF(7202&gt;$C$9008,"",INDEX($B$9:$B$9008,MATCH(7202,$C$9:$C$9008,0)))</f>
        <v/>
      </c>
      <c r="B7210" s="9" t="str">
        <f>IFERROR(INDEX(Input!$L$20:$T$1019,INT((ROW()-9)/9)+1,MOD(ROW()-9,9)+1),"")</f>
        <v/>
      </c>
      <c r="C7210" s="9">
        <f t="shared" si="112"/>
        <v>0</v>
      </c>
    </row>
    <row r="7211" spans="1:3" x14ac:dyDescent="0.2">
      <c r="A7211" s="10" t="str">
        <f>IF(7203&gt;$C$9008,"",INDEX($B$9:$B$9008,MATCH(7203,$C$9:$C$9008,0)))</f>
        <v/>
      </c>
      <c r="B7211" s="9" t="str">
        <f>IFERROR(INDEX(Input!$L$20:$T$1019,INT((ROW()-9)/9)+1,MOD(ROW()-9,9)+1),"")</f>
        <v/>
      </c>
      <c r="C7211" s="9">
        <f t="shared" si="112"/>
        <v>0</v>
      </c>
    </row>
    <row r="7212" spans="1:3" x14ac:dyDescent="0.2">
      <c r="A7212" s="10" t="str">
        <f>IF(7204&gt;$C$9008,"",INDEX($B$9:$B$9008,MATCH(7204,$C$9:$C$9008,0)))</f>
        <v/>
      </c>
      <c r="B7212" s="9" t="str">
        <f>IFERROR(INDEX(Input!$L$20:$T$1019,INT((ROW()-9)/9)+1,MOD(ROW()-9,9)+1),"")</f>
        <v/>
      </c>
      <c r="C7212" s="9">
        <f t="shared" si="112"/>
        <v>0</v>
      </c>
    </row>
    <row r="7213" spans="1:3" x14ac:dyDescent="0.2">
      <c r="A7213" s="10" t="str">
        <f>IF(7205&gt;$C$9008,"",INDEX($B$9:$B$9008,MATCH(7205,$C$9:$C$9008,0)))</f>
        <v/>
      </c>
      <c r="B7213" s="9" t="str">
        <f>IFERROR(INDEX(Input!$L$20:$T$1019,INT((ROW()-9)/9)+1,MOD(ROW()-9,9)+1),"")</f>
        <v/>
      </c>
      <c r="C7213" s="9">
        <f t="shared" si="112"/>
        <v>0</v>
      </c>
    </row>
    <row r="7214" spans="1:3" x14ac:dyDescent="0.2">
      <c r="A7214" s="10" t="str">
        <f>IF(7206&gt;$C$9008,"",INDEX($B$9:$B$9008,MATCH(7206,$C$9:$C$9008,0)))</f>
        <v/>
      </c>
      <c r="B7214" s="9" t="str">
        <f>IFERROR(INDEX(Input!$L$20:$T$1019,INT((ROW()-9)/9)+1,MOD(ROW()-9,9)+1),"")</f>
        <v/>
      </c>
      <c r="C7214" s="9">
        <f t="shared" si="112"/>
        <v>0</v>
      </c>
    </row>
    <row r="7215" spans="1:3" x14ac:dyDescent="0.2">
      <c r="A7215" s="10" t="str">
        <f>IF(7207&gt;$C$9008,"",INDEX($B$9:$B$9008,MATCH(7207,$C$9:$C$9008,0)))</f>
        <v/>
      </c>
      <c r="B7215" s="9" t="str">
        <f>IFERROR(INDEX(Input!$L$20:$T$1019,INT((ROW()-9)/9)+1,MOD(ROW()-9,9)+1),"")</f>
        <v/>
      </c>
      <c r="C7215" s="9">
        <f t="shared" si="112"/>
        <v>0</v>
      </c>
    </row>
    <row r="7216" spans="1:3" x14ac:dyDescent="0.2">
      <c r="A7216" s="10" t="str">
        <f>IF(7208&gt;$C$9008,"",INDEX($B$9:$B$9008,MATCH(7208,$C$9:$C$9008,0)))</f>
        <v/>
      </c>
      <c r="B7216" s="9" t="str">
        <f>IFERROR(INDEX(Input!$L$20:$T$1019,INT((ROW()-9)/9)+1,MOD(ROW()-9,9)+1),"")</f>
        <v/>
      </c>
      <c r="C7216" s="9">
        <f t="shared" si="112"/>
        <v>0</v>
      </c>
    </row>
    <row r="7217" spans="1:3" x14ac:dyDescent="0.2">
      <c r="A7217" s="10" t="str">
        <f>IF(7209&gt;$C$9008,"",INDEX($B$9:$B$9008,MATCH(7209,$C$9:$C$9008,0)))</f>
        <v/>
      </c>
      <c r="B7217" s="9" t="str">
        <f>IFERROR(INDEX(Input!$L$20:$T$1019,INT((ROW()-9)/9)+1,MOD(ROW()-9,9)+1),"")</f>
        <v/>
      </c>
      <c r="C7217" s="9">
        <f t="shared" si="112"/>
        <v>0</v>
      </c>
    </row>
    <row r="7218" spans="1:3" x14ac:dyDescent="0.2">
      <c r="A7218" s="10" t="str">
        <f>IF(7210&gt;$C$9008,"",INDEX($B$9:$B$9008,MATCH(7210,$C$9:$C$9008,0)))</f>
        <v/>
      </c>
      <c r="B7218" s="9" t="str">
        <f>IFERROR(INDEX(Input!$L$20:$T$1019,INT((ROW()-9)/9)+1,MOD(ROW()-9,9)+1),"")</f>
        <v/>
      </c>
      <c r="C7218" s="9">
        <f t="shared" si="112"/>
        <v>0</v>
      </c>
    </row>
    <row r="7219" spans="1:3" x14ac:dyDescent="0.2">
      <c r="A7219" s="10" t="str">
        <f>IF(7211&gt;$C$9008,"",INDEX($B$9:$B$9008,MATCH(7211,$C$9:$C$9008,0)))</f>
        <v/>
      </c>
      <c r="B7219" s="9" t="str">
        <f>IFERROR(INDEX(Input!$L$20:$T$1019,INT((ROW()-9)/9)+1,MOD(ROW()-9,9)+1),"")</f>
        <v/>
      </c>
      <c r="C7219" s="9">
        <f t="shared" si="112"/>
        <v>0</v>
      </c>
    </row>
    <row r="7220" spans="1:3" x14ac:dyDescent="0.2">
      <c r="A7220" s="10" t="str">
        <f>IF(7212&gt;$C$9008,"",INDEX($B$9:$B$9008,MATCH(7212,$C$9:$C$9008,0)))</f>
        <v/>
      </c>
      <c r="B7220" s="9" t="str">
        <f>IFERROR(INDEX(Input!$L$20:$T$1019,INT((ROW()-9)/9)+1,MOD(ROW()-9,9)+1),"")</f>
        <v/>
      </c>
      <c r="C7220" s="9">
        <f t="shared" si="112"/>
        <v>0</v>
      </c>
    </row>
    <row r="7221" spans="1:3" x14ac:dyDescent="0.2">
      <c r="A7221" s="10" t="str">
        <f>IF(7213&gt;$C$9008,"",INDEX($B$9:$B$9008,MATCH(7213,$C$9:$C$9008,0)))</f>
        <v/>
      </c>
      <c r="B7221" s="9" t="str">
        <f>IFERROR(INDEX(Input!$L$20:$T$1019,INT((ROW()-9)/9)+1,MOD(ROW()-9,9)+1),"")</f>
        <v/>
      </c>
      <c r="C7221" s="9">
        <f t="shared" si="112"/>
        <v>0</v>
      </c>
    </row>
    <row r="7222" spans="1:3" x14ac:dyDescent="0.2">
      <c r="A7222" s="10" t="str">
        <f>IF(7214&gt;$C$9008,"",INDEX($B$9:$B$9008,MATCH(7214,$C$9:$C$9008,0)))</f>
        <v/>
      </c>
      <c r="B7222" s="9" t="str">
        <f>IFERROR(INDEX(Input!$L$20:$T$1019,INT((ROW()-9)/9)+1,MOD(ROW()-9,9)+1),"")</f>
        <v/>
      </c>
      <c r="C7222" s="9">
        <f t="shared" si="112"/>
        <v>0</v>
      </c>
    </row>
    <row r="7223" spans="1:3" x14ac:dyDescent="0.2">
      <c r="A7223" s="10" t="str">
        <f>IF(7215&gt;$C$9008,"",INDEX($B$9:$B$9008,MATCH(7215,$C$9:$C$9008,0)))</f>
        <v/>
      </c>
      <c r="B7223" s="9" t="str">
        <f>IFERROR(INDEX(Input!$L$20:$T$1019,INT((ROW()-9)/9)+1,MOD(ROW()-9,9)+1),"")</f>
        <v/>
      </c>
      <c r="C7223" s="9">
        <f t="shared" si="112"/>
        <v>0</v>
      </c>
    </row>
    <row r="7224" spans="1:3" x14ac:dyDescent="0.2">
      <c r="A7224" s="10" t="str">
        <f>IF(7216&gt;$C$9008,"",INDEX($B$9:$B$9008,MATCH(7216,$C$9:$C$9008,0)))</f>
        <v/>
      </c>
      <c r="B7224" s="9" t="str">
        <f>IFERROR(INDEX(Input!$L$20:$T$1019,INT((ROW()-9)/9)+1,MOD(ROW()-9,9)+1),"")</f>
        <v/>
      </c>
      <c r="C7224" s="9">
        <f t="shared" si="112"/>
        <v>0</v>
      </c>
    </row>
    <row r="7225" spans="1:3" x14ac:dyDescent="0.2">
      <c r="A7225" s="10" t="str">
        <f>IF(7217&gt;$C$9008,"",INDEX($B$9:$B$9008,MATCH(7217,$C$9:$C$9008,0)))</f>
        <v/>
      </c>
      <c r="B7225" s="9" t="str">
        <f>IFERROR(INDEX(Input!$L$20:$T$1019,INT((ROW()-9)/9)+1,MOD(ROW()-9,9)+1),"")</f>
        <v/>
      </c>
      <c r="C7225" s="9">
        <f t="shared" si="112"/>
        <v>0</v>
      </c>
    </row>
    <row r="7226" spans="1:3" x14ac:dyDescent="0.2">
      <c r="A7226" s="10" t="str">
        <f>IF(7218&gt;$C$9008,"",INDEX($B$9:$B$9008,MATCH(7218,$C$9:$C$9008,0)))</f>
        <v/>
      </c>
      <c r="B7226" s="9" t="str">
        <f>IFERROR(INDEX(Input!$L$20:$T$1019,INT((ROW()-9)/9)+1,MOD(ROW()-9,9)+1),"")</f>
        <v/>
      </c>
      <c r="C7226" s="9">
        <f t="shared" si="112"/>
        <v>0</v>
      </c>
    </row>
    <row r="7227" spans="1:3" x14ac:dyDescent="0.2">
      <c r="A7227" s="10" t="str">
        <f>IF(7219&gt;$C$9008,"",INDEX($B$9:$B$9008,MATCH(7219,$C$9:$C$9008,0)))</f>
        <v/>
      </c>
      <c r="B7227" s="9" t="str">
        <f>IFERROR(INDEX(Input!$L$20:$T$1019,INT((ROW()-9)/9)+1,MOD(ROW()-9,9)+1),"")</f>
        <v/>
      </c>
      <c r="C7227" s="9">
        <f t="shared" si="112"/>
        <v>0</v>
      </c>
    </row>
    <row r="7228" spans="1:3" x14ac:dyDescent="0.2">
      <c r="A7228" s="10" t="str">
        <f>IF(7220&gt;$C$9008,"",INDEX($B$9:$B$9008,MATCH(7220,$C$9:$C$9008,0)))</f>
        <v/>
      </c>
      <c r="B7228" s="9" t="str">
        <f>IFERROR(INDEX(Input!$L$20:$T$1019,INT((ROW()-9)/9)+1,MOD(ROW()-9,9)+1),"")</f>
        <v/>
      </c>
      <c r="C7228" s="9">
        <f t="shared" si="112"/>
        <v>0</v>
      </c>
    </row>
    <row r="7229" spans="1:3" x14ac:dyDescent="0.2">
      <c r="A7229" s="10" t="str">
        <f>IF(7221&gt;$C$9008,"",INDEX($B$9:$B$9008,MATCH(7221,$C$9:$C$9008,0)))</f>
        <v/>
      </c>
      <c r="B7229" s="9" t="str">
        <f>IFERROR(INDEX(Input!$L$20:$T$1019,INT((ROW()-9)/9)+1,MOD(ROW()-9,9)+1),"")</f>
        <v/>
      </c>
      <c r="C7229" s="9">
        <f t="shared" si="112"/>
        <v>0</v>
      </c>
    </row>
    <row r="7230" spans="1:3" x14ac:dyDescent="0.2">
      <c r="A7230" s="10" t="str">
        <f>IF(7222&gt;$C$9008,"",INDEX($B$9:$B$9008,MATCH(7222,$C$9:$C$9008,0)))</f>
        <v/>
      </c>
      <c r="B7230" s="9" t="str">
        <f>IFERROR(INDEX(Input!$L$20:$T$1019,INT((ROW()-9)/9)+1,MOD(ROW()-9,9)+1),"")</f>
        <v/>
      </c>
      <c r="C7230" s="9">
        <f t="shared" si="112"/>
        <v>0</v>
      </c>
    </row>
    <row r="7231" spans="1:3" x14ac:dyDescent="0.2">
      <c r="A7231" s="10" t="str">
        <f>IF(7223&gt;$C$9008,"",INDEX($B$9:$B$9008,MATCH(7223,$C$9:$C$9008,0)))</f>
        <v/>
      </c>
      <c r="B7231" s="9" t="str">
        <f>IFERROR(INDEX(Input!$L$20:$T$1019,INT((ROW()-9)/9)+1,MOD(ROW()-9,9)+1),"")</f>
        <v/>
      </c>
      <c r="C7231" s="9">
        <f t="shared" si="112"/>
        <v>0</v>
      </c>
    </row>
    <row r="7232" spans="1:3" x14ac:dyDescent="0.2">
      <c r="A7232" s="10" t="str">
        <f>IF(7224&gt;$C$9008,"",INDEX($B$9:$B$9008,MATCH(7224,$C$9:$C$9008,0)))</f>
        <v/>
      </c>
      <c r="B7232" s="9" t="str">
        <f>IFERROR(INDEX(Input!$L$20:$T$1019,INT((ROW()-9)/9)+1,MOD(ROW()-9,9)+1),"")</f>
        <v/>
      </c>
      <c r="C7232" s="9">
        <f t="shared" si="112"/>
        <v>0</v>
      </c>
    </row>
    <row r="7233" spans="1:3" x14ac:dyDescent="0.2">
      <c r="A7233" s="10" t="str">
        <f>IF(7225&gt;$C$9008,"",INDEX($B$9:$B$9008,MATCH(7225,$C$9:$C$9008,0)))</f>
        <v/>
      </c>
      <c r="B7233" s="9" t="str">
        <f>IFERROR(INDEX(Input!$L$20:$T$1019,INT((ROW()-9)/9)+1,MOD(ROW()-9,9)+1),"")</f>
        <v/>
      </c>
      <c r="C7233" s="9">
        <f t="shared" si="112"/>
        <v>0</v>
      </c>
    </row>
    <row r="7234" spans="1:3" x14ac:dyDescent="0.2">
      <c r="A7234" s="10" t="str">
        <f>IF(7226&gt;$C$9008,"",INDEX($B$9:$B$9008,MATCH(7226,$C$9:$C$9008,0)))</f>
        <v/>
      </c>
      <c r="B7234" s="9" t="str">
        <f>IFERROR(INDEX(Input!$L$20:$T$1019,INT((ROW()-9)/9)+1,MOD(ROW()-9,9)+1),"")</f>
        <v/>
      </c>
      <c r="C7234" s="9">
        <f t="shared" si="112"/>
        <v>0</v>
      </c>
    </row>
    <row r="7235" spans="1:3" x14ac:dyDescent="0.2">
      <c r="A7235" s="10" t="str">
        <f>IF(7227&gt;$C$9008,"",INDEX($B$9:$B$9008,MATCH(7227,$C$9:$C$9008,0)))</f>
        <v/>
      </c>
      <c r="B7235" s="9" t="str">
        <f>IFERROR(INDEX(Input!$L$20:$T$1019,INT((ROW()-9)/9)+1,MOD(ROW()-9,9)+1),"")</f>
        <v/>
      </c>
      <c r="C7235" s="9">
        <f t="shared" si="112"/>
        <v>0</v>
      </c>
    </row>
    <row r="7236" spans="1:3" x14ac:dyDescent="0.2">
      <c r="A7236" s="10" t="str">
        <f>IF(7228&gt;$C$9008,"",INDEX($B$9:$B$9008,MATCH(7228,$C$9:$C$9008,0)))</f>
        <v/>
      </c>
      <c r="B7236" s="9" t="str">
        <f>IFERROR(INDEX(Input!$L$20:$T$1019,INT((ROW()-9)/9)+1,MOD(ROW()-9,9)+1),"")</f>
        <v/>
      </c>
      <c r="C7236" s="9">
        <f t="shared" si="112"/>
        <v>0</v>
      </c>
    </row>
    <row r="7237" spans="1:3" x14ac:dyDescent="0.2">
      <c r="A7237" s="10" t="str">
        <f>IF(7229&gt;$C$9008,"",INDEX($B$9:$B$9008,MATCH(7229,$C$9:$C$9008,0)))</f>
        <v/>
      </c>
      <c r="B7237" s="9" t="str">
        <f>IFERROR(INDEX(Input!$L$20:$T$1019,INT((ROW()-9)/9)+1,MOD(ROW()-9,9)+1),"")</f>
        <v/>
      </c>
      <c r="C7237" s="9">
        <f t="shared" si="112"/>
        <v>0</v>
      </c>
    </row>
    <row r="7238" spans="1:3" x14ac:dyDescent="0.2">
      <c r="A7238" s="10" t="str">
        <f>IF(7230&gt;$C$9008,"",INDEX($B$9:$B$9008,MATCH(7230,$C$9:$C$9008,0)))</f>
        <v/>
      </c>
      <c r="B7238" s="9" t="str">
        <f>IFERROR(INDEX(Input!$L$20:$T$1019,INT((ROW()-9)/9)+1,MOD(ROW()-9,9)+1),"")</f>
        <v/>
      </c>
      <c r="C7238" s="9">
        <f t="shared" si="112"/>
        <v>0</v>
      </c>
    </row>
    <row r="7239" spans="1:3" x14ac:dyDescent="0.2">
      <c r="A7239" s="10" t="str">
        <f>IF(7231&gt;$C$9008,"",INDEX($B$9:$B$9008,MATCH(7231,$C$9:$C$9008,0)))</f>
        <v/>
      </c>
      <c r="B7239" s="9" t="str">
        <f>IFERROR(INDEX(Input!$L$20:$T$1019,INT((ROW()-9)/9)+1,MOD(ROW()-9,9)+1),"")</f>
        <v/>
      </c>
      <c r="C7239" s="9">
        <f t="shared" si="112"/>
        <v>0</v>
      </c>
    </row>
    <row r="7240" spans="1:3" x14ac:dyDescent="0.2">
      <c r="A7240" s="10" t="str">
        <f>IF(7232&gt;$C$9008,"",INDEX($B$9:$B$9008,MATCH(7232,$C$9:$C$9008,0)))</f>
        <v/>
      </c>
      <c r="B7240" s="9" t="str">
        <f>IFERROR(INDEX(Input!$L$20:$T$1019,INT((ROW()-9)/9)+1,MOD(ROW()-9,9)+1),"")</f>
        <v/>
      </c>
      <c r="C7240" s="9">
        <f t="shared" si="112"/>
        <v>0</v>
      </c>
    </row>
    <row r="7241" spans="1:3" x14ac:dyDescent="0.2">
      <c r="A7241" s="10" t="str">
        <f>IF(7233&gt;$C$9008,"",INDEX($B$9:$B$9008,MATCH(7233,$C$9:$C$9008,0)))</f>
        <v/>
      </c>
      <c r="B7241" s="9" t="str">
        <f>IFERROR(INDEX(Input!$L$20:$T$1019,INT((ROW()-9)/9)+1,MOD(ROW()-9,9)+1),"")</f>
        <v/>
      </c>
      <c r="C7241" s="9">
        <f t="shared" ref="C7241:C7304" si="113">$C7240+IF($B7241&lt;&gt;"",1,0)</f>
        <v>0</v>
      </c>
    </row>
    <row r="7242" spans="1:3" x14ac:dyDescent="0.2">
      <c r="A7242" s="10" t="str">
        <f>IF(7234&gt;$C$9008,"",INDEX($B$9:$B$9008,MATCH(7234,$C$9:$C$9008,0)))</f>
        <v/>
      </c>
      <c r="B7242" s="9" t="str">
        <f>IFERROR(INDEX(Input!$L$20:$T$1019,INT((ROW()-9)/9)+1,MOD(ROW()-9,9)+1),"")</f>
        <v/>
      </c>
      <c r="C7242" s="9">
        <f t="shared" si="113"/>
        <v>0</v>
      </c>
    </row>
    <row r="7243" spans="1:3" x14ac:dyDescent="0.2">
      <c r="A7243" s="10" t="str">
        <f>IF(7235&gt;$C$9008,"",INDEX($B$9:$B$9008,MATCH(7235,$C$9:$C$9008,0)))</f>
        <v/>
      </c>
      <c r="B7243" s="9" t="str">
        <f>IFERROR(INDEX(Input!$L$20:$T$1019,INT((ROW()-9)/9)+1,MOD(ROW()-9,9)+1),"")</f>
        <v/>
      </c>
      <c r="C7243" s="9">
        <f t="shared" si="113"/>
        <v>0</v>
      </c>
    </row>
    <row r="7244" spans="1:3" x14ac:dyDescent="0.2">
      <c r="A7244" s="10" t="str">
        <f>IF(7236&gt;$C$9008,"",INDEX($B$9:$B$9008,MATCH(7236,$C$9:$C$9008,0)))</f>
        <v/>
      </c>
      <c r="B7244" s="9" t="str">
        <f>IFERROR(INDEX(Input!$L$20:$T$1019,INT((ROW()-9)/9)+1,MOD(ROW()-9,9)+1),"")</f>
        <v/>
      </c>
      <c r="C7244" s="9">
        <f t="shared" si="113"/>
        <v>0</v>
      </c>
    </row>
    <row r="7245" spans="1:3" x14ac:dyDescent="0.2">
      <c r="A7245" s="10" t="str">
        <f>IF(7237&gt;$C$9008,"",INDEX($B$9:$B$9008,MATCH(7237,$C$9:$C$9008,0)))</f>
        <v/>
      </c>
      <c r="B7245" s="9" t="str">
        <f>IFERROR(INDEX(Input!$L$20:$T$1019,INT((ROW()-9)/9)+1,MOD(ROW()-9,9)+1),"")</f>
        <v/>
      </c>
      <c r="C7245" s="9">
        <f t="shared" si="113"/>
        <v>0</v>
      </c>
    </row>
    <row r="7246" spans="1:3" x14ac:dyDescent="0.2">
      <c r="A7246" s="10" t="str">
        <f>IF(7238&gt;$C$9008,"",INDEX($B$9:$B$9008,MATCH(7238,$C$9:$C$9008,0)))</f>
        <v/>
      </c>
      <c r="B7246" s="9" t="str">
        <f>IFERROR(INDEX(Input!$L$20:$T$1019,INT((ROW()-9)/9)+1,MOD(ROW()-9,9)+1),"")</f>
        <v/>
      </c>
      <c r="C7246" s="9">
        <f t="shared" si="113"/>
        <v>0</v>
      </c>
    </row>
    <row r="7247" spans="1:3" x14ac:dyDescent="0.2">
      <c r="A7247" s="10" t="str">
        <f>IF(7239&gt;$C$9008,"",INDEX($B$9:$B$9008,MATCH(7239,$C$9:$C$9008,0)))</f>
        <v/>
      </c>
      <c r="B7247" s="9" t="str">
        <f>IFERROR(INDEX(Input!$L$20:$T$1019,INT((ROW()-9)/9)+1,MOD(ROW()-9,9)+1),"")</f>
        <v/>
      </c>
      <c r="C7247" s="9">
        <f t="shared" si="113"/>
        <v>0</v>
      </c>
    </row>
    <row r="7248" spans="1:3" x14ac:dyDescent="0.2">
      <c r="A7248" s="10" t="str">
        <f>IF(7240&gt;$C$9008,"",INDEX($B$9:$B$9008,MATCH(7240,$C$9:$C$9008,0)))</f>
        <v/>
      </c>
      <c r="B7248" s="9" t="str">
        <f>IFERROR(INDEX(Input!$L$20:$T$1019,INT((ROW()-9)/9)+1,MOD(ROW()-9,9)+1),"")</f>
        <v/>
      </c>
      <c r="C7248" s="9">
        <f t="shared" si="113"/>
        <v>0</v>
      </c>
    </row>
    <row r="7249" spans="1:3" x14ac:dyDescent="0.2">
      <c r="A7249" s="10" t="str">
        <f>IF(7241&gt;$C$9008,"",INDEX($B$9:$B$9008,MATCH(7241,$C$9:$C$9008,0)))</f>
        <v/>
      </c>
      <c r="B7249" s="9" t="str">
        <f>IFERROR(INDEX(Input!$L$20:$T$1019,INT((ROW()-9)/9)+1,MOD(ROW()-9,9)+1),"")</f>
        <v/>
      </c>
      <c r="C7249" s="9">
        <f t="shared" si="113"/>
        <v>0</v>
      </c>
    </row>
    <row r="7250" spans="1:3" x14ac:dyDescent="0.2">
      <c r="A7250" s="10" t="str">
        <f>IF(7242&gt;$C$9008,"",INDEX($B$9:$B$9008,MATCH(7242,$C$9:$C$9008,0)))</f>
        <v/>
      </c>
      <c r="B7250" s="9" t="str">
        <f>IFERROR(INDEX(Input!$L$20:$T$1019,INT((ROW()-9)/9)+1,MOD(ROW()-9,9)+1),"")</f>
        <v/>
      </c>
      <c r="C7250" s="9">
        <f t="shared" si="113"/>
        <v>0</v>
      </c>
    </row>
    <row r="7251" spans="1:3" x14ac:dyDescent="0.2">
      <c r="A7251" s="10" t="str">
        <f>IF(7243&gt;$C$9008,"",INDEX($B$9:$B$9008,MATCH(7243,$C$9:$C$9008,0)))</f>
        <v/>
      </c>
      <c r="B7251" s="9" t="str">
        <f>IFERROR(INDEX(Input!$L$20:$T$1019,INT((ROW()-9)/9)+1,MOD(ROW()-9,9)+1),"")</f>
        <v/>
      </c>
      <c r="C7251" s="9">
        <f t="shared" si="113"/>
        <v>0</v>
      </c>
    </row>
    <row r="7252" spans="1:3" x14ac:dyDescent="0.2">
      <c r="A7252" s="10" t="str">
        <f>IF(7244&gt;$C$9008,"",INDEX($B$9:$B$9008,MATCH(7244,$C$9:$C$9008,0)))</f>
        <v/>
      </c>
      <c r="B7252" s="9" t="str">
        <f>IFERROR(INDEX(Input!$L$20:$T$1019,INT((ROW()-9)/9)+1,MOD(ROW()-9,9)+1),"")</f>
        <v/>
      </c>
      <c r="C7252" s="9">
        <f t="shared" si="113"/>
        <v>0</v>
      </c>
    </row>
    <row r="7253" spans="1:3" x14ac:dyDescent="0.2">
      <c r="A7253" s="10" t="str">
        <f>IF(7245&gt;$C$9008,"",INDEX($B$9:$B$9008,MATCH(7245,$C$9:$C$9008,0)))</f>
        <v/>
      </c>
      <c r="B7253" s="9" t="str">
        <f>IFERROR(INDEX(Input!$L$20:$T$1019,INT((ROW()-9)/9)+1,MOD(ROW()-9,9)+1),"")</f>
        <v/>
      </c>
      <c r="C7253" s="9">
        <f t="shared" si="113"/>
        <v>0</v>
      </c>
    </row>
    <row r="7254" spans="1:3" x14ac:dyDescent="0.2">
      <c r="A7254" s="10" t="str">
        <f>IF(7246&gt;$C$9008,"",INDEX($B$9:$B$9008,MATCH(7246,$C$9:$C$9008,0)))</f>
        <v/>
      </c>
      <c r="B7254" s="9" t="str">
        <f>IFERROR(INDEX(Input!$L$20:$T$1019,INT((ROW()-9)/9)+1,MOD(ROW()-9,9)+1),"")</f>
        <v/>
      </c>
      <c r="C7254" s="9">
        <f t="shared" si="113"/>
        <v>0</v>
      </c>
    </row>
    <row r="7255" spans="1:3" x14ac:dyDescent="0.2">
      <c r="A7255" s="10" t="str">
        <f>IF(7247&gt;$C$9008,"",INDEX($B$9:$B$9008,MATCH(7247,$C$9:$C$9008,0)))</f>
        <v/>
      </c>
      <c r="B7255" s="9" t="str">
        <f>IFERROR(INDEX(Input!$L$20:$T$1019,INT((ROW()-9)/9)+1,MOD(ROW()-9,9)+1),"")</f>
        <v/>
      </c>
      <c r="C7255" s="9">
        <f t="shared" si="113"/>
        <v>0</v>
      </c>
    </row>
    <row r="7256" spans="1:3" x14ac:dyDescent="0.2">
      <c r="A7256" s="10" t="str">
        <f>IF(7248&gt;$C$9008,"",INDEX($B$9:$B$9008,MATCH(7248,$C$9:$C$9008,0)))</f>
        <v/>
      </c>
      <c r="B7256" s="9" t="str">
        <f>IFERROR(INDEX(Input!$L$20:$T$1019,INT((ROW()-9)/9)+1,MOD(ROW()-9,9)+1),"")</f>
        <v/>
      </c>
      <c r="C7256" s="9">
        <f t="shared" si="113"/>
        <v>0</v>
      </c>
    </row>
    <row r="7257" spans="1:3" x14ac:dyDescent="0.2">
      <c r="A7257" s="10" t="str">
        <f>IF(7249&gt;$C$9008,"",INDEX($B$9:$B$9008,MATCH(7249,$C$9:$C$9008,0)))</f>
        <v/>
      </c>
      <c r="B7257" s="9" t="str">
        <f>IFERROR(INDEX(Input!$L$20:$T$1019,INT((ROW()-9)/9)+1,MOD(ROW()-9,9)+1),"")</f>
        <v/>
      </c>
      <c r="C7257" s="9">
        <f t="shared" si="113"/>
        <v>0</v>
      </c>
    </row>
    <row r="7258" spans="1:3" x14ac:dyDescent="0.2">
      <c r="A7258" s="10" t="str">
        <f>IF(7250&gt;$C$9008,"",INDEX($B$9:$B$9008,MATCH(7250,$C$9:$C$9008,0)))</f>
        <v/>
      </c>
      <c r="B7258" s="9" t="str">
        <f>IFERROR(INDEX(Input!$L$20:$T$1019,INT((ROW()-9)/9)+1,MOD(ROW()-9,9)+1),"")</f>
        <v/>
      </c>
      <c r="C7258" s="9">
        <f t="shared" si="113"/>
        <v>0</v>
      </c>
    </row>
    <row r="7259" spans="1:3" x14ac:dyDescent="0.2">
      <c r="A7259" s="10" t="str">
        <f>IF(7251&gt;$C$9008,"",INDEX($B$9:$B$9008,MATCH(7251,$C$9:$C$9008,0)))</f>
        <v/>
      </c>
      <c r="B7259" s="9" t="str">
        <f>IFERROR(INDEX(Input!$L$20:$T$1019,INT((ROW()-9)/9)+1,MOD(ROW()-9,9)+1),"")</f>
        <v/>
      </c>
      <c r="C7259" s="9">
        <f t="shared" si="113"/>
        <v>0</v>
      </c>
    </row>
    <row r="7260" spans="1:3" x14ac:dyDescent="0.2">
      <c r="A7260" s="10" t="str">
        <f>IF(7252&gt;$C$9008,"",INDEX($B$9:$B$9008,MATCH(7252,$C$9:$C$9008,0)))</f>
        <v/>
      </c>
      <c r="B7260" s="9" t="str">
        <f>IFERROR(INDEX(Input!$L$20:$T$1019,INT((ROW()-9)/9)+1,MOD(ROW()-9,9)+1),"")</f>
        <v/>
      </c>
      <c r="C7260" s="9">
        <f t="shared" si="113"/>
        <v>0</v>
      </c>
    </row>
    <row r="7261" spans="1:3" x14ac:dyDescent="0.2">
      <c r="A7261" s="10" t="str">
        <f>IF(7253&gt;$C$9008,"",INDEX($B$9:$B$9008,MATCH(7253,$C$9:$C$9008,0)))</f>
        <v/>
      </c>
      <c r="B7261" s="9" t="str">
        <f>IFERROR(INDEX(Input!$L$20:$T$1019,INT((ROW()-9)/9)+1,MOD(ROW()-9,9)+1),"")</f>
        <v/>
      </c>
      <c r="C7261" s="9">
        <f t="shared" si="113"/>
        <v>0</v>
      </c>
    </row>
    <row r="7262" spans="1:3" x14ac:dyDescent="0.2">
      <c r="A7262" s="10" t="str">
        <f>IF(7254&gt;$C$9008,"",INDEX($B$9:$B$9008,MATCH(7254,$C$9:$C$9008,0)))</f>
        <v/>
      </c>
      <c r="B7262" s="9" t="str">
        <f>IFERROR(INDEX(Input!$L$20:$T$1019,INT((ROW()-9)/9)+1,MOD(ROW()-9,9)+1),"")</f>
        <v/>
      </c>
      <c r="C7262" s="9">
        <f t="shared" si="113"/>
        <v>0</v>
      </c>
    </row>
    <row r="7263" spans="1:3" x14ac:dyDescent="0.2">
      <c r="A7263" s="10" t="str">
        <f>IF(7255&gt;$C$9008,"",INDEX($B$9:$B$9008,MATCH(7255,$C$9:$C$9008,0)))</f>
        <v/>
      </c>
      <c r="B7263" s="9" t="str">
        <f>IFERROR(INDEX(Input!$L$20:$T$1019,INT((ROW()-9)/9)+1,MOD(ROW()-9,9)+1),"")</f>
        <v/>
      </c>
      <c r="C7263" s="9">
        <f t="shared" si="113"/>
        <v>0</v>
      </c>
    </row>
    <row r="7264" spans="1:3" x14ac:dyDescent="0.2">
      <c r="A7264" s="10" t="str">
        <f>IF(7256&gt;$C$9008,"",INDEX($B$9:$B$9008,MATCH(7256,$C$9:$C$9008,0)))</f>
        <v/>
      </c>
      <c r="B7264" s="9" t="str">
        <f>IFERROR(INDEX(Input!$L$20:$T$1019,INT((ROW()-9)/9)+1,MOD(ROW()-9,9)+1),"")</f>
        <v/>
      </c>
      <c r="C7264" s="9">
        <f t="shared" si="113"/>
        <v>0</v>
      </c>
    </row>
    <row r="7265" spans="1:3" x14ac:dyDescent="0.2">
      <c r="A7265" s="10" t="str">
        <f>IF(7257&gt;$C$9008,"",INDEX($B$9:$B$9008,MATCH(7257,$C$9:$C$9008,0)))</f>
        <v/>
      </c>
      <c r="B7265" s="9" t="str">
        <f>IFERROR(INDEX(Input!$L$20:$T$1019,INT((ROW()-9)/9)+1,MOD(ROW()-9,9)+1),"")</f>
        <v/>
      </c>
      <c r="C7265" s="9">
        <f t="shared" si="113"/>
        <v>0</v>
      </c>
    </row>
    <row r="7266" spans="1:3" x14ac:dyDescent="0.2">
      <c r="A7266" s="10" t="str">
        <f>IF(7258&gt;$C$9008,"",INDEX($B$9:$B$9008,MATCH(7258,$C$9:$C$9008,0)))</f>
        <v/>
      </c>
      <c r="B7266" s="9" t="str">
        <f>IFERROR(INDEX(Input!$L$20:$T$1019,INT((ROW()-9)/9)+1,MOD(ROW()-9,9)+1),"")</f>
        <v/>
      </c>
      <c r="C7266" s="9">
        <f t="shared" si="113"/>
        <v>0</v>
      </c>
    </row>
    <row r="7267" spans="1:3" x14ac:dyDescent="0.2">
      <c r="A7267" s="10" t="str">
        <f>IF(7259&gt;$C$9008,"",INDEX($B$9:$B$9008,MATCH(7259,$C$9:$C$9008,0)))</f>
        <v/>
      </c>
      <c r="B7267" s="9" t="str">
        <f>IFERROR(INDEX(Input!$L$20:$T$1019,INT((ROW()-9)/9)+1,MOD(ROW()-9,9)+1),"")</f>
        <v/>
      </c>
      <c r="C7267" s="9">
        <f t="shared" si="113"/>
        <v>0</v>
      </c>
    </row>
    <row r="7268" spans="1:3" x14ac:dyDescent="0.2">
      <c r="A7268" s="10" t="str">
        <f>IF(7260&gt;$C$9008,"",INDEX($B$9:$B$9008,MATCH(7260,$C$9:$C$9008,0)))</f>
        <v/>
      </c>
      <c r="B7268" s="9" t="str">
        <f>IFERROR(INDEX(Input!$L$20:$T$1019,INT((ROW()-9)/9)+1,MOD(ROW()-9,9)+1),"")</f>
        <v/>
      </c>
      <c r="C7268" s="9">
        <f t="shared" si="113"/>
        <v>0</v>
      </c>
    </row>
    <row r="7269" spans="1:3" x14ac:dyDescent="0.2">
      <c r="A7269" s="10" t="str">
        <f>IF(7261&gt;$C$9008,"",INDEX($B$9:$B$9008,MATCH(7261,$C$9:$C$9008,0)))</f>
        <v/>
      </c>
      <c r="B7269" s="9" t="str">
        <f>IFERROR(INDEX(Input!$L$20:$T$1019,INT((ROW()-9)/9)+1,MOD(ROW()-9,9)+1),"")</f>
        <v/>
      </c>
      <c r="C7269" s="9">
        <f t="shared" si="113"/>
        <v>0</v>
      </c>
    </row>
    <row r="7270" spans="1:3" x14ac:dyDescent="0.2">
      <c r="A7270" s="10" t="str">
        <f>IF(7262&gt;$C$9008,"",INDEX($B$9:$B$9008,MATCH(7262,$C$9:$C$9008,0)))</f>
        <v/>
      </c>
      <c r="B7270" s="9" t="str">
        <f>IFERROR(INDEX(Input!$L$20:$T$1019,INT((ROW()-9)/9)+1,MOD(ROW()-9,9)+1),"")</f>
        <v/>
      </c>
      <c r="C7270" s="9">
        <f t="shared" si="113"/>
        <v>0</v>
      </c>
    </row>
    <row r="7271" spans="1:3" x14ac:dyDescent="0.2">
      <c r="A7271" s="10" t="str">
        <f>IF(7263&gt;$C$9008,"",INDEX($B$9:$B$9008,MATCH(7263,$C$9:$C$9008,0)))</f>
        <v/>
      </c>
      <c r="B7271" s="9" t="str">
        <f>IFERROR(INDEX(Input!$L$20:$T$1019,INT((ROW()-9)/9)+1,MOD(ROW()-9,9)+1),"")</f>
        <v/>
      </c>
      <c r="C7271" s="9">
        <f t="shared" si="113"/>
        <v>0</v>
      </c>
    </row>
    <row r="7272" spans="1:3" x14ac:dyDescent="0.2">
      <c r="A7272" s="10" t="str">
        <f>IF(7264&gt;$C$9008,"",INDEX($B$9:$B$9008,MATCH(7264,$C$9:$C$9008,0)))</f>
        <v/>
      </c>
      <c r="B7272" s="9" t="str">
        <f>IFERROR(INDEX(Input!$L$20:$T$1019,INT((ROW()-9)/9)+1,MOD(ROW()-9,9)+1),"")</f>
        <v/>
      </c>
      <c r="C7272" s="9">
        <f t="shared" si="113"/>
        <v>0</v>
      </c>
    </row>
    <row r="7273" spans="1:3" x14ac:dyDescent="0.2">
      <c r="A7273" s="10" t="str">
        <f>IF(7265&gt;$C$9008,"",INDEX($B$9:$B$9008,MATCH(7265,$C$9:$C$9008,0)))</f>
        <v/>
      </c>
      <c r="B7273" s="9" t="str">
        <f>IFERROR(INDEX(Input!$L$20:$T$1019,INT((ROW()-9)/9)+1,MOD(ROW()-9,9)+1),"")</f>
        <v/>
      </c>
      <c r="C7273" s="9">
        <f t="shared" si="113"/>
        <v>0</v>
      </c>
    </row>
    <row r="7274" spans="1:3" x14ac:dyDescent="0.2">
      <c r="A7274" s="10" t="str">
        <f>IF(7266&gt;$C$9008,"",INDEX($B$9:$B$9008,MATCH(7266,$C$9:$C$9008,0)))</f>
        <v/>
      </c>
      <c r="B7274" s="9" t="str">
        <f>IFERROR(INDEX(Input!$L$20:$T$1019,INT((ROW()-9)/9)+1,MOD(ROW()-9,9)+1),"")</f>
        <v/>
      </c>
      <c r="C7274" s="9">
        <f t="shared" si="113"/>
        <v>0</v>
      </c>
    </row>
    <row r="7275" spans="1:3" x14ac:dyDescent="0.2">
      <c r="A7275" s="10" t="str">
        <f>IF(7267&gt;$C$9008,"",INDEX($B$9:$B$9008,MATCH(7267,$C$9:$C$9008,0)))</f>
        <v/>
      </c>
      <c r="B7275" s="9" t="str">
        <f>IFERROR(INDEX(Input!$L$20:$T$1019,INT((ROW()-9)/9)+1,MOD(ROW()-9,9)+1),"")</f>
        <v/>
      </c>
      <c r="C7275" s="9">
        <f t="shared" si="113"/>
        <v>0</v>
      </c>
    </row>
    <row r="7276" spans="1:3" x14ac:dyDescent="0.2">
      <c r="A7276" s="10" t="str">
        <f>IF(7268&gt;$C$9008,"",INDEX($B$9:$B$9008,MATCH(7268,$C$9:$C$9008,0)))</f>
        <v/>
      </c>
      <c r="B7276" s="9" t="str">
        <f>IFERROR(INDEX(Input!$L$20:$T$1019,INT((ROW()-9)/9)+1,MOD(ROW()-9,9)+1),"")</f>
        <v/>
      </c>
      <c r="C7276" s="9">
        <f t="shared" si="113"/>
        <v>0</v>
      </c>
    </row>
    <row r="7277" spans="1:3" x14ac:dyDescent="0.2">
      <c r="A7277" s="10" t="str">
        <f>IF(7269&gt;$C$9008,"",INDEX($B$9:$B$9008,MATCH(7269,$C$9:$C$9008,0)))</f>
        <v/>
      </c>
      <c r="B7277" s="9" t="str">
        <f>IFERROR(INDEX(Input!$L$20:$T$1019,INT((ROW()-9)/9)+1,MOD(ROW()-9,9)+1),"")</f>
        <v/>
      </c>
      <c r="C7277" s="9">
        <f t="shared" si="113"/>
        <v>0</v>
      </c>
    </row>
    <row r="7278" spans="1:3" x14ac:dyDescent="0.2">
      <c r="A7278" s="10" t="str">
        <f>IF(7270&gt;$C$9008,"",INDEX($B$9:$B$9008,MATCH(7270,$C$9:$C$9008,0)))</f>
        <v/>
      </c>
      <c r="B7278" s="9" t="str">
        <f>IFERROR(INDEX(Input!$L$20:$T$1019,INT((ROW()-9)/9)+1,MOD(ROW()-9,9)+1),"")</f>
        <v/>
      </c>
      <c r="C7278" s="9">
        <f t="shared" si="113"/>
        <v>0</v>
      </c>
    </row>
    <row r="7279" spans="1:3" x14ac:dyDescent="0.2">
      <c r="A7279" s="10" t="str">
        <f>IF(7271&gt;$C$9008,"",INDEX($B$9:$B$9008,MATCH(7271,$C$9:$C$9008,0)))</f>
        <v/>
      </c>
      <c r="B7279" s="9" t="str">
        <f>IFERROR(INDEX(Input!$L$20:$T$1019,INT((ROW()-9)/9)+1,MOD(ROW()-9,9)+1),"")</f>
        <v/>
      </c>
      <c r="C7279" s="9">
        <f t="shared" si="113"/>
        <v>0</v>
      </c>
    </row>
    <row r="7280" spans="1:3" x14ac:dyDescent="0.2">
      <c r="A7280" s="10" t="str">
        <f>IF(7272&gt;$C$9008,"",INDEX($B$9:$B$9008,MATCH(7272,$C$9:$C$9008,0)))</f>
        <v/>
      </c>
      <c r="B7280" s="9" t="str">
        <f>IFERROR(INDEX(Input!$L$20:$T$1019,INT((ROW()-9)/9)+1,MOD(ROW()-9,9)+1),"")</f>
        <v/>
      </c>
      <c r="C7280" s="9">
        <f t="shared" si="113"/>
        <v>0</v>
      </c>
    </row>
    <row r="7281" spans="1:3" x14ac:dyDescent="0.2">
      <c r="A7281" s="10" t="str">
        <f>IF(7273&gt;$C$9008,"",INDEX($B$9:$B$9008,MATCH(7273,$C$9:$C$9008,0)))</f>
        <v/>
      </c>
      <c r="B7281" s="9" t="str">
        <f>IFERROR(INDEX(Input!$L$20:$T$1019,INT((ROW()-9)/9)+1,MOD(ROW()-9,9)+1),"")</f>
        <v/>
      </c>
      <c r="C7281" s="9">
        <f t="shared" si="113"/>
        <v>0</v>
      </c>
    </row>
    <row r="7282" spans="1:3" x14ac:dyDescent="0.2">
      <c r="A7282" s="10" t="str">
        <f>IF(7274&gt;$C$9008,"",INDEX($B$9:$B$9008,MATCH(7274,$C$9:$C$9008,0)))</f>
        <v/>
      </c>
      <c r="B7282" s="9" t="str">
        <f>IFERROR(INDEX(Input!$L$20:$T$1019,INT((ROW()-9)/9)+1,MOD(ROW()-9,9)+1),"")</f>
        <v/>
      </c>
      <c r="C7282" s="9">
        <f t="shared" si="113"/>
        <v>0</v>
      </c>
    </row>
    <row r="7283" spans="1:3" x14ac:dyDescent="0.2">
      <c r="A7283" s="10" t="str">
        <f>IF(7275&gt;$C$9008,"",INDEX($B$9:$B$9008,MATCH(7275,$C$9:$C$9008,0)))</f>
        <v/>
      </c>
      <c r="B7283" s="9" t="str">
        <f>IFERROR(INDEX(Input!$L$20:$T$1019,INT((ROW()-9)/9)+1,MOD(ROW()-9,9)+1),"")</f>
        <v/>
      </c>
      <c r="C7283" s="9">
        <f t="shared" si="113"/>
        <v>0</v>
      </c>
    </row>
    <row r="7284" spans="1:3" x14ac:dyDescent="0.2">
      <c r="A7284" s="10" t="str">
        <f>IF(7276&gt;$C$9008,"",INDEX($B$9:$B$9008,MATCH(7276,$C$9:$C$9008,0)))</f>
        <v/>
      </c>
      <c r="B7284" s="9" t="str">
        <f>IFERROR(INDEX(Input!$L$20:$T$1019,INT((ROW()-9)/9)+1,MOD(ROW()-9,9)+1),"")</f>
        <v/>
      </c>
      <c r="C7284" s="9">
        <f t="shared" si="113"/>
        <v>0</v>
      </c>
    </row>
    <row r="7285" spans="1:3" x14ac:dyDescent="0.2">
      <c r="A7285" s="10" t="str">
        <f>IF(7277&gt;$C$9008,"",INDEX($B$9:$B$9008,MATCH(7277,$C$9:$C$9008,0)))</f>
        <v/>
      </c>
      <c r="B7285" s="9" t="str">
        <f>IFERROR(INDEX(Input!$L$20:$T$1019,INT((ROW()-9)/9)+1,MOD(ROW()-9,9)+1),"")</f>
        <v/>
      </c>
      <c r="C7285" s="9">
        <f t="shared" si="113"/>
        <v>0</v>
      </c>
    </row>
    <row r="7286" spans="1:3" x14ac:dyDescent="0.2">
      <c r="A7286" s="10" t="str">
        <f>IF(7278&gt;$C$9008,"",INDEX($B$9:$B$9008,MATCH(7278,$C$9:$C$9008,0)))</f>
        <v/>
      </c>
      <c r="B7286" s="9" t="str">
        <f>IFERROR(INDEX(Input!$L$20:$T$1019,INT((ROW()-9)/9)+1,MOD(ROW()-9,9)+1),"")</f>
        <v/>
      </c>
      <c r="C7286" s="9">
        <f t="shared" si="113"/>
        <v>0</v>
      </c>
    </row>
    <row r="7287" spans="1:3" x14ac:dyDescent="0.2">
      <c r="A7287" s="10" t="str">
        <f>IF(7279&gt;$C$9008,"",INDEX($B$9:$B$9008,MATCH(7279,$C$9:$C$9008,0)))</f>
        <v/>
      </c>
      <c r="B7287" s="9" t="str">
        <f>IFERROR(INDEX(Input!$L$20:$T$1019,INT((ROW()-9)/9)+1,MOD(ROW()-9,9)+1),"")</f>
        <v/>
      </c>
      <c r="C7287" s="9">
        <f t="shared" si="113"/>
        <v>0</v>
      </c>
    </row>
    <row r="7288" spans="1:3" x14ac:dyDescent="0.2">
      <c r="A7288" s="10" t="str">
        <f>IF(7280&gt;$C$9008,"",INDEX($B$9:$B$9008,MATCH(7280,$C$9:$C$9008,0)))</f>
        <v/>
      </c>
      <c r="B7288" s="9" t="str">
        <f>IFERROR(INDEX(Input!$L$20:$T$1019,INT((ROW()-9)/9)+1,MOD(ROW()-9,9)+1),"")</f>
        <v/>
      </c>
      <c r="C7288" s="9">
        <f t="shared" si="113"/>
        <v>0</v>
      </c>
    </row>
    <row r="7289" spans="1:3" x14ac:dyDescent="0.2">
      <c r="A7289" s="10" t="str">
        <f>IF(7281&gt;$C$9008,"",INDEX($B$9:$B$9008,MATCH(7281,$C$9:$C$9008,0)))</f>
        <v/>
      </c>
      <c r="B7289" s="9" t="str">
        <f>IFERROR(INDEX(Input!$L$20:$T$1019,INT((ROW()-9)/9)+1,MOD(ROW()-9,9)+1),"")</f>
        <v/>
      </c>
      <c r="C7289" s="9">
        <f t="shared" si="113"/>
        <v>0</v>
      </c>
    </row>
    <row r="7290" spans="1:3" x14ac:dyDescent="0.2">
      <c r="A7290" s="10" t="str">
        <f>IF(7282&gt;$C$9008,"",INDEX($B$9:$B$9008,MATCH(7282,$C$9:$C$9008,0)))</f>
        <v/>
      </c>
      <c r="B7290" s="9" t="str">
        <f>IFERROR(INDEX(Input!$L$20:$T$1019,INT((ROW()-9)/9)+1,MOD(ROW()-9,9)+1),"")</f>
        <v/>
      </c>
      <c r="C7290" s="9">
        <f t="shared" si="113"/>
        <v>0</v>
      </c>
    </row>
    <row r="7291" spans="1:3" x14ac:dyDescent="0.2">
      <c r="A7291" s="10" t="str">
        <f>IF(7283&gt;$C$9008,"",INDEX($B$9:$B$9008,MATCH(7283,$C$9:$C$9008,0)))</f>
        <v/>
      </c>
      <c r="B7291" s="9" t="str">
        <f>IFERROR(INDEX(Input!$L$20:$T$1019,INT((ROW()-9)/9)+1,MOD(ROW()-9,9)+1),"")</f>
        <v/>
      </c>
      <c r="C7291" s="9">
        <f t="shared" si="113"/>
        <v>0</v>
      </c>
    </row>
    <row r="7292" spans="1:3" x14ac:dyDescent="0.2">
      <c r="A7292" s="10" t="str">
        <f>IF(7284&gt;$C$9008,"",INDEX($B$9:$B$9008,MATCH(7284,$C$9:$C$9008,0)))</f>
        <v/>
      </c>
      <c r="B7292" s="9" t="str">
        <f>IFERROR(INDEX(Input!$L$20:$T$1019,INT((ROW()-9)/9)+1,MOD(ROW()-9,9)+1),"")</f>
        <v/>
      </c>
      <c r="C7292" s="9">
        <f t="shared" si="113"/>
        <v>0</v>
      </c>
    </row>
    <row r="7293" spans="1:3" x14ac:dyDescent="0.2">
      <c r="A7293" s="10" t="str">
        <f>IF(7285&gt;$C$9008,"",INDEX($B$9:$B$9008,MATCH(7285,$C$9:$C$9008,0)))</f>
        <v/>
      </c>
      <c r="B7293" s="9" t="str">
        <f>IFERROR(INDEX(Input!$L$20:$T$1019,INT((ROW()-9)/9)+1,MOD(ROW()-9,9)+1),"")</f>
        <v/>
      </c>
      <c r="C7293" s="9">
        <f t="shared" si="113"/>
        <v>0</v>
      </c>
    </row>
    <row r="7294" spans="1:3" x14ac:dyDescent="0.2">
      <c r="A7294" s="10" t="str">
        <f>IF(7286&gt;$C$9008,"",INDEX($B$9:$B$9008,MATCH(7286,$C$9:$C$9008,0)))</f>
        <v/>
      </c>
      <c r="B7294" s="9" t="str">
        <f>IFERROR(INDEX(Input!$L$20:$T$1019,INT((ROW()-9)/9)+1,MOD(ROW()-9,9)+1),"")</f>
        <v/>
      </c>
      <c r="C7294" s="9">
        <f t="shared" si="113"/>
        <v>0</v>
      </c>
    </row>
    <row r="7295" spans="1:3" x14ac:dyDescent="0.2">
      <c r="A7295" s="10" t="str">
        <f>IF(7287&gt;$C$9008,"",INDEX($B$9:$B$9008,MATCH(7287,$C$9:$C$9008,0)))</f>
        <v/>
      </c>
      <c r="B7295" s="9" t="str">
        <f>IFERROR(INDEX(Input!$L$20:$T$1019,INT((ROW()-9)/9)+1,MOD(ROW()-9,9)+1),"")</f>
        <v/>
      </c>
      <c r="C7295" s="9">
        <f t="shared" si="113"/>
        <v>0</v>
      </c>
    </row>
    <row r="7296" spans="1:3" x14ac:dyDescent="0.2">
      <c r="A7296" s="10" t="str">
        <f>IF(7288&gt;$C$9008,"",INDEX($B$9:$B$9008,MATCH(7288,$C$9:$C$9008,0)))</f>
        <v/>
      </c>
      <c r="B7296" s="9" t="str">
        <f>IFERROR(INDEX(Input!$L$20:$T$1019,INT((ROW()-9)/9)+1,MOD(ROW()-9,9)+1),"")</f>
        <v/>
      </c>
      <c r="C7296" s="9">
        <f t="shared" si="113"/>
        <v>0</v>
      </c>
    </row>
    <row r="7297" spans="1:3" x14ac:dyDescent="0.2">
      <c r="A7297" s="10" t="str">
        <f>IF(7289&gt;$C$9008,"",INDEX($B$9:$B$9008,MATCH(7289,$C$9:$C$9008,0)))</f>
        <v/>
      </c>
      <c r="B7297" s="9" t="str">
        <f>IFERROR(INDEX(Input!$L$20:$T$1019,INT((ROW()-9)/9)+1,MOD(ROW()-9,9)+1),"")</f>
        <v/>
      </c>
      <c r="C7297" s="9">
        <f t="shared" si="113"/>
        <v>0</v>
      </c>
    </row>
    <row r="7298" spans="1:3" x14ac:dyDescent="0.2">
      <c r="A7298" s="10" t="str">
        <f>IF(7290&gt;$C$9008,"",INDEX($B$9:$B$9008,MATCH(7290,$C$9:$C$9008,0)))</f>
        <v/>
      </c>
      <c r="B7298" s="9" t="str">
        <f>IFERROR(INDEX(Input!$L$20:$T$1019,INT((ROW()-9)/9)+1,MOD(ROW()-9,9)+1),"")</f>
        <v/>
      </c>
      <c r="C7298" s="9">
        <f t="shared" si="113"/>
        <v>0</v>
      </c>
    </row>
    <row r="7299" spans="1:3" x14ac:dyDescent="0.2">
      <c r="A7299" s="10" t="str">
        <f>IF(7291&gt;$C$9008,"",INDEX($B$9:$B$9008,MATCH(7291,$C$9:$C$9008,0)))</f>
        <v/>
      </c>
      <c r="B7299" s="9" t="str">
        <f>IFERROR(INDEX(Input!$L$20:$T$1019,INT((ROW()-9)/9)+1,MOD(ROW()-9,9)+1),"")</f>
        <v/>
      </c>
      <c r="C7299" s="9">
        <f t="shared" si="113"/>
        <v>0</v>
      </c>
    </row>
    <row r="7300" spans="1:3" x14ac:dyDescent="0.2">
      <c r="A7300" s="10" t="str">
        <f>IF(7292&gt;$C$9008,"",INDEX($B$9:$B$9008,MATCH(7292,$C$9:$C$9008,0)))</f>
        <v/>
      </c>
      <c r="B7300" s="9" t="str">
        <f>IFERROR(INDEX(Input!$L$20:$T$1019,INT((ROW()-9)/9)+1,MOD(ROW()-9,9)+1),"")</f>
        <v/>
      </c>
      <c r="C7300" s="9">
        <f t="shared" si="113"/>
        <v>0</v>
      </c>
    </row>
    <row r="7301" spans="1:3" x14ac:dyDescent="0.2">
      <c r="A7301" s="10" t="str">
        <f>IF(7293&gt;$C$9008,"",INDEX($B$9:$B$9008,MATCH(7293,$C$9:$C$9008,0)))</f>
        <v/>
      </c>
      <c r="B7301" s="9" t="str">
        <f>IFERROR(INDEX(Input!$L$20:$T$1019,INT((ROW()-9)/9)+1,MOD(ROW()-9,9)+1),"")</f>
        <v/>
      </c>
      <c r="C7301" s="9">
        <f t="shared" si="113"/>
        <v>0</v>
      </c>
    </row>
    <row r="7302" spans="1:3" x14ac:dyDescent="0.2">
      <c r="A7302" s="10" t="str">
        <f>IF(7294&gt;$C$9008,"",INDEX($B$9:$B$9008,MATCH(7294,$C$9:$C$9008,0)))</f>
        <v/>
      </c>
      <c r="B7302" s="9" t="str">
        <f>IFERROR(INDEX(Input!$L$20:$T$1019,INT((ROW()-9)/9)+1,MOD(ROW()-9,9)+1),"")</f>
        <v/>
      </c>
      <c r="C7302" s="9">
        <f t="shared" si="113"/>
        <v>0</v>
      </c>
    </row>
    <row r="7303" spans="1:3" x14ac:dyDescent="0.2">
      <c r="A7303" s="10" t="str">
        <f>IF(7295&gt;$C$9008,"",INDEX($B$9:$B$9008,MATCH(7295,$C$9:$C$9008,0)))</f>
        <v/>
      </c>
      <c r="B7303" s="9" t="str">
        <f>IFERROR(INDEX(Input!$L$20:$T$1019,INT((ROW()-9)/9)+1,MOD(ROW()-9,9)+1),"")</f>
        <v/>
      </c>
      <c r="C7303" s="9">
        <f t="shared" si="113"/>
        <v>0</v>
      </c>
    </row>
    <row r="7304" spans="1:3" x14ac:dyDescent="0.2">
      <c r="A7304" s="10" t="str">
        <f>IF(7296&gt;$C$9008,"",INDEX($B$9:$B$9008,MATCH(7296,$C$9:$C$9008,0)))</f>
        <v/>
      </c>
      <c r="B7304" s="9" t="str">
        <f>IFERROR(INDEX(Input!$L$20:$T$1019,INT((ROW()-9)/9)+1,MOD(ROW()-9,9)+1),"")</f>
        <v/>
      </c>
      <c r="C7304" s="9">
        <f t="shared" si="113"/>
        <v>0</v>
      </c>
    </row>
    <row r="7305" spans="1:3" x14ac:dyDescent="0.2">
      <c r="A7305" s="10" t="str">
        <f>IF(7297&gt;$C$9008,"",INDEX($B$9:$B$9008,MATCH(7297,$C$9:$C$9008,0)))</f>
        <v/>
      </c>
      <c r="B7305" s="9" t="str">
        <f>IFERROR(INDEX(Input!$L$20:$T$1019,INT((ROW()-9)/9)+1,MOD(ROW()-9,9)+1),"")</f>
        <v/>
      </c>
      <c r="C7305" s="9">
        <f t="shared" ref="C7305:C7368" si="114">$C7304+IF($B7305&lt;&gt;"",1,0)</f>
        <v>0</v>
      </c>
    </row>
    <row r="7306" spans="1:3" x14ac:dyDescent="0.2">
      <c r="A7306" s="10" t="str">
        <f>IF(7298&gt;$C$9008,"",INDEX($B$9:$B$9008,MATCH(7298,$C$9:$C$9008,0)))</f>
        <v/>
      </c>
      <c r="B7306" s="9" t="str">
        <f>IFERROR(INDEX(Input!$L$20:$T$1019,INT((ROW()-9)/9)+1,MOD(ROW()-9,9)+1),"")</f>
        <v/>
      </c>
      <c r="C7306" s="9">
        <f t="shared" si="114"/>
        <v>0</v>
      </c>
    </row>
    <row r="7307" spans="1:3" x14ac:dyDescent="0.2">
      <c r="A7307" s="10" t="str">
        <f>IF(7299&gt;$C$9008,"",INDEX($B$9:$B$9008,MATCH(7299,$C$9:$C$9008,0)))</f>
        <v/>
      </c>
      <c r="B7307" s="9" t="str">
        <f>IFERROR(INDEX(Input!$L$20:$T$1019,INT((ROW()-9)/9)+1,MOD(ROW()-9,9)+1),"")</f>
        <v/>
      </c>
      <c r="C7307" s="9">
        <f t="shared" si="114"/>
        <v>0</v>
      </c>
    </row>
    <row r="7308" spans="1:3" x14ac:dyDescent="0.2">
      <c r="A7308" s="10" t="str">
        <f>IF(7300&gt;$C$9008,"",INDEX($B$9:$B$9008,MATCH(7300,$C$9:$C$9008,0)))</f>
        <v/>
      </c>
      <c r="B7308" s="9" t="str">
        <f>IFERROR(INDEX(Input!$L$20:$T$1019,INT((ROW()-9)/9)+1,MOD(ROW()-9,9)+1),"")</f>
        <v/>
      </c>
      <c r="C7308" s="9">
        <f t="shared" si="114"/>
        <v>0</v>
      </c>
    </row>
    <row r="7309" spans="1:3" x14ac:dyDescent="0.2">
      <c r="A7309" s="10" t="str">
        <f>IF(7301&gt;$C$9008,"",INDEX($B$9:$B$9008,MATCH(7301,$C$9:$C$9008,0)))</f>
        <v/>
      </c>
      <c r="B7309" s="9" t="str">
        <f>IFERROR(INDEX(Input!$L$20:$T$1019,INT((ROW()-9)/9)+1,MOD(ROW()-9,9)+1),"")</f>
        <v/>
      </c>
      <c r="C7309" s="9">
        <f t="shared" si="114"/>
        <v>0</v>
      </c>
    </row>
    <row r="7310" spans="1:3" x14ac:dyDescent="0.2">
      <c r="A7310" s="10" t="str">
        <f>IF(7302&gt;$C$9008,"",INDEX($B$9:$B$9008,MATCH(7302,$C$9:$C$9008,0)))</f>
        <v/>
      </c>
      <c r="B7310" s="9" t="str">
        <f>IFERROR(INDEX(Input!$L$20:$T$1019,INT((ROW()-9)/9)+1,MOD(ROW()-9,9)+1),"")</f>
        <v/>
      </c>
      <c r="C7310" s="9">
        <f t="shared" si="114"/>
        <v>0</v>
      </c>
    </row>
    <row r="7311" spans="1:3" x14ac:dyDescent="0.2">
      <c r="A7311" s="10" t="str">
        <f>IF(7303&gt;$C$9008,"",INDEX($B$9:$B$9008,MATCH(7303,$C$9:$C$9008,0)))</f>
        <v/>
      </c>
      <c r="B7311" s="9" t="str">
        <f>IFERROR(INDEX(Input!$L$20:$T$1019,INT((ROW()-9)/9)+1,MOD(ROW()-9,9)+1),"")</f>
        <v/>
      </c>
      <c r="C7311" s="9">
        <f t="shared" si="114"/>
        <v>0</v>
      </c>
    </row>
    <row r="7312" spans="1:3" x14ac:dyDescent="0.2">
      <c r="A7312" s="10" t="str">
        <f>IF(7304&gt;$C$9008,"",INDEX($B$9:$B$9008,MATCH(7304,$C$9:$C$9008,0)))</f>
        <v/>
      </c>
      <c r="B7312" s="9" t="str">
        <f>IFERROR(INDEX(Input!$L$20:$T$1019,INT((ROW()-9)/9)+1,MOD(ROW()-9,9)+1),"")</f>
        <v/>
      </c>
      <c r="C7312" s="9">
        <f t="shared" si="114"/>
        <v>0</v>
      </c>
    </row>
    <row r="7313" spans="1:3" x14ac:dyDescent="0.2">
      <c r="A7313" s="10" t="str">
        <f>IF(7305&gt;$C$9008,"",INDEX($B$9:$B$9008,MATCH(7305,$C$9:$C$9008,0)))</f>
        <v/>
      </c>
      <c r="B7313" s="9" t="str">
        <f>IFERROR(INDEX(Input!$L$20:$T$1019,INT((ROW()-9)/9)+1,MOD(ROW()-9,9)+1),"")</f>
        <v/>
      </c>
      <c r="C7313" s="9">
        <f t="shared" si="114"/>
        <v>0</v>
      </c>
    </row>
    <row r="7314" spans="1:3" x14ac:dyDescent="0.2">
      <c r="A7314" s="10" t="str">
        <f>IF(7306&gt;$C$9008,"",INDEX($B$9:$B$9008,MATCH(7306,$C$9:$C$9008,0)))</f>
        <v/>
      </c>
      <c r="B7314" s="9" t="str">
        <f>IFERROR(INDEX(Input!$L$20:$T$1019,INT((ROW()-9)/9)+1,MOD(ROW()-9,9)+1),"")</f>
        <v/>
      </c>
      <c r="C7314" s="9">
        <f t="shared" si="114"/>
        <v>0</v>
      </c>
    </row>
    <row r="7315" spans="1:3" x14ac:dyDescent="0.2">
      <c r="A7315" s="10" t="str">
        <f>IF(7307&gt;$C$9008,"",INDEX($B$9:$B$9008,MATCH(7307,$C$9:$C$9008,0)))</f>
        <v/>
      </c>
      <c r="B7315" s="9" t="str">
        <f>IFERROR(INDEX(Input!$L$20:$T$1019,INT((ROW()-9)/9)+1,MOD(ROW()-9,9)+1),"")</f>
        <v/>
      </c>
      <c r="C7315" s="9">
        <f t="shared" si="114"/>
        <v>0</v>
      </c>
    </row>
    <row r="7316" spans="1:3" x14ac:dyDescent="0.2">
      <c r="A7316" s="10" t="str">
        <f>IF(7308&gt;$C$9008,"",INDEX($B$9:$B$9008,MATCH(7308,$C$9:$C$9008,0)))</f>
        <v/>
      </c>
      <c r="B7316" s="9" t="str">
        <f>IFERROR(INDEX(Input!$L$20:$T$1019,INT((ROW()-9)/9)+1,MOD(ROW()-9,9)+1),"")</f>
        <v/>
      </c>
      <c r="C7316" s="9">
        <f t="shared" si="114"/>
        <v>0</v>
      </c>
    </row>
    <row r="7317" spans="1:3" x14ac:dyDescent="0.2">
      <c r="A7317" s="10" t="str">
        <f>IF(7309&gt;$C$9008,"",INDEX($B$9:$B$9008,MATCH(7309,$C$9:$C$9008,0)))</f>
        <v/>
      </c>
      <c r="B7317" s="9" t="str">
        <f>IFERROR(INDEX(Input!$L$20:$T$1019,INT((ROW()-9)/9)+1,MOD(ROW()-9,9)+1),"")</f>
        <v/>
      </c>
      <c r="C7317" s="9">
        <f t="shared" si="114"/>
        <v>0</v>
      </c>
    </row>
    <row r="7318" spans="1:3" x14ac:dyDescent="0.2">
      <c r="A7318" s="10" t="str">
        <f>IF(7310&gt;$C$9008,"",INDEX($B$9:$B$9008,MATCH(7310,$C$9:$C$9008,0)))</f>
        <v/>
      </c>
      <c r="B7318" s="9" t="str">
        <f>IFERROR(INDEX(Input!$L$20:$T$1019,INT((ROW()-9)/9)+1,MOD(ROW()-9,9)+1),"")</f>
        <v/>
      </c>
      <c r="C7318" s="9">
        <f t="shared" si="114"/>
        <v>0</v>
      </c>
    </row>
    <row r="7319" spans="1:3" x14ac:dyDescent="0.2">
      <c r="A7319" s="10" t="str">
        <f>IF(7311&gt;$C$9008,"",INDEX($B$9:$B$9008,MATCH(7311,$C$9:$C$9008,0)))</f>
        <v/>
      </c>
      <c r="B7319" s="9" t="str">
        <f>IFERROR(INDEX(Input!$L$20:$T$1019,INT((ROW()-9)/9)+1,MOD(ROW()-9,9)+1),"")</f>
        <v/>
      </c>
      <c r="C7319" s="9">
        <f t="shared" si="114"/>
        <v>0</v>
      </c>
    </row>
    <row r="7320" spans="1:3" x14ac:dyDescent="0.2">
      <c r="A7320" s="10" t="str">
        <f>IF(7312&gt;$C$9008,"",INDEX($B$9:$B$9008,MATCH(7312,$C$9:$C$9008,0)))</f>
        <v/>
      </c>
      <c r="B7320" s="9" t="str">
        <f>IFERROR(INDEX(Input!$L$20:$T$1019,INT((ROW()-9)/9)+1,MOD(ROW()-9,9)+1),"")</f>
        <v/>
      </c>
      <c r="C7320" s="9">
        <f t="shared" si="114"/>
        <v>0</v>
      </c>
    </row>
    <row r="7321" spans="1:3" x14ac:dyDescent="0.2">
      <c r="A7321" s="10" t="str">
        <f>IF(7313&gt;$C$9008,"",INDEX($B$9:$B$9008,MATCH(7313,$C$9:$C$9008,0)))</f>
        <v/>
      </c>
      <c r="B7321" s="9" t="str">
        <f>IFERROR(INDEX(Input!$L$20:$T$1019,INT((ROW()-9)/9)+1,MOD(ROW()-9,9)+1),"")</f>
        <v/>
      </c>
      <c r="C7321" s="9">
        <f t="shared" si="114"/>
        <v>0</v>
      </c>
    </row>
    <row r="7322" spans="1:3" x14ac:dyDescent="0.2">
      <c r="A7322" s="10" t="str">
        <f>IF(7314&gt;$C$9008,"",INDEX($B$9:$B$9008,MATCH(7314,$C$9:$C$9008,0)))</f>
        <v/>
      </c>
      <c r="B7322" s="9" t="str">
        <f>IFERROR(INDEX(Input!$L$20:$T$1019,INT((ROW()-9)/9)+1,MOD(ROW()-9,9)+1),"")</f>
        <v/>
      </c>
      <c r="C7322" s="9">
        <f t="shared" si="114"/>
        <v>0</v>
      </c>
    </row>
    <row r="7323" spans="1:3" x14ac:dyDescent="0.2">
      <c r="A7323" s="10" t="str">
        <f>IF(7315&gt;$C$9008,"",INDEX($B$9:$B$9008,MATCH(7315,$C$9:$C$9008,0)))</f>
        <v/>
      </c>
      <c r="B7323" s="9" t="str">
        <f>IFERROR(INDEX(Input!$L$20:$T$1019,INT((ROW()-9)/9)+1,MOD(ROW()-9,9)+1),"")</f>
        <v/>
      </c>
      <c r="C7323" s="9">
        <f t="shared" si="114"/>
        <v>0</v>
      </c>
    </row>
    <row r="7324" spans="1:3" x14ac:dyDescent="0.2">
      <c r="A7324" s="10" t="str">
        <f>IF(7316&gt;$C$9008,"",INDEX($B$9:$B$9008,MATCH(7316,$C$9:$C$9008,0)))</f>
        <v/>
      </c>
      <c r="B7324" s="9" t="str">
        <f>IFERROR(INDEX(Input!$L$20:$T$1019,INT((ROW()-9)/9)+1,MOD(ROW()-9,9)+1),"")</f>
        <v/>
      </c>
      <c r="C7324" s="9">
        <f t="shared" si="114"/>
        <v>0</v>
      </c>
    </row>
    <row r="7325" spans="1:3" x14ac:dyDescent="0.2">
      <c r="A7325" s="10" t="str">
        <f>IF(7317&gt;$C$9008,"",INDEX($B$9:$B$9008,MATCH(7317,$C$9:$C$9008,0)))</f>
        <v/>
      </c>
      <c r="B7325" s="9" t="str">
        <f>IFERROR(INDEX(Input!$L$20:$T$1019,INT((ROW()-9)/9)+1,MOD(ROW()-9,9)+1),"")</f>
        <v/>
      </c>
      <c r="C7325" s="9">
        <f t="shared" si="114"/>
        <v>0</v>
      </c>
    </row>
    <row r="7326" spans="1:3" x14ac:dyDescent="0.2">
      <c r="A7326" s="10" t="str">
        <f>IF(7318&gt;$C$9008,"",INDEX($B$9:$B$9008,MATCH(7318,$C$9:$C$9008,0)))</f>
        <v/>
      </c>
      <c r="B7326" s="9" t="str">
        <f>IFERROR(INDEX(Input!$L$20:$T$1019,INT((ROW()-9)/9)+1,MOD(ROW()-9,9)+1),"")</f>
        <v/>
      </c>
      <c r="C7326" s="9">
        <f t="shared" si="114"/>
        <v>0</v>
      </c>
    </row>
    <row r="7327" spans="1:3" x14ac:dyDescent="0.2">
      <c r="A7327" s="10" t="str">
        <f>IF(7319&gt;$C$9008,"",INDEX($B$9:$B$9008,MATCH(7319,$C$9:$C$9008,0)))</f>
        <v/>
      </c>
      <c r="B7327" s="9" t="str">
        <f>IFERROR(INDEX(Input!$L$20:$T$1019,INT((ROW()-9)/9)+1,MOD(ROW()-9,9)+1),"")</f>
        <v/>
      </c>
      <c r="C7327" s="9">
        <f t="shared" si="114"/>
        <v>0</v>
      </c>
    </row>
    <row r="7328" spans="1:3" x14ac:dyDescent="0.2">
      <c r="A7328" s="10" t="str">
        <f>IF(7320&gt;$C$9008,"",INDEX($B$9:$B$9008,MATCH(7320,$C$9:$C$9008,0)))</f>
        <v/>
      </c>
      <c r="B7328" s="9" t="str">
        <f>IFERROR(INDEX(Input!$L$20:$T$1019,INT((ROW()-9)/9)+1,MOD(ROW()-9,9)+1),"")</f>
        <v/>
      </c>
      <c r="C7328" s="9">
        <f t="shared" si="114"/>
        <v>0</v>
      </c>
    </row>
    <row r="7329" spans="1:3" x14ac:dyDescent="0.2">
      <c r="A7329" s="10" t="str">
        <f>IF(7321&gt;$C$9008,"",INDEX($B$9:$B$9008,MATCH(7321,$C$9:$C$9008,0)))</f>
        <v/>
      </c>
      <c r="B7329" s="9" t="str">
        <f>IFERROR(INDEX(Input!$L$20:$T$1019,INT((ROW()-9)/9)+1,MOD(ROW()-9,9)+1),"")</f>
        <v/>
      </c>
      <c r="C7329" s="9">
        <f t="shared" si="114"/>
        <v>0</v>
      </c>
    </row>
    <row r="7330" spans="1:3" x14ac:dyDescent="0.2">
      <c r="A7330" s="10" t="str">
        <f>IF(7322&gt;$C$9008,"",INDEX($B$9:$B$9008,MATCH(7322,$C$9:$C$9008,0)))</f>
        <v/>
      </c>
      <c r="B7330" s="9" t="str">
        <f>IFERROR(INDEX(Input!$L$20:$T$1019,INT((ROW()-9)/9)+1,MOD(ROW()-9,9)+1),"")</f>
        <v/>
      </c>
      <c r="C7330" s="9">
        <f t="shared" si="114"/>
        <v>0</v>
      </c>
    </row>
    <row r="7331" spans="1:3" x14ac:dyDescent="0.2">
      <c r="A7331" s="10" t="str">
        <f>IF(7323&gt;$C$9008,"",INDEX($B$9:$B$9008,MATCH(7323,$C$9:$C$9008,0)))</f>
        <v/>
      </c>
      <c r="B7331" s="9" t="str">
        <f>IFERROR(INDEX(Input!$L$20:$T$1019,INT((ROW()-9)/9)+1,MOD(ROW()-9,9)+1),"")</f>
        <v/>
      </c>
      <c r="C7331" s="9">
        <f t="shared" si="114"/>
        <v>0</v>
      </c>
    </row>
    <row r="7332" spans="1:3" x14ac:dyDescent="0.2">
      <c r="A7332" s="10" t="str">
        <f>IF(7324&gt;$C$9008,"",INDEX($B$9:$B$9008,MATCH(7324,$C$9:$C$9008,0)))</f>
        <v/>
      </c>
      <c r="B7332" s="9" t="str">
        <f>IFERROR(INDEX(Input!$L$20:$T$1019,INT((ROW()-9)/9)+1,MOD(ROW()-9,9)+1),"")</f>
        <v/>
      </c>
      <c r="C7332" s="9">
        <f t="shared" si="114"/>
        <v>0</v>
      </c>
    </row>
    <row r="7333" spans="1:3" x14ac:dyDescent="0.2">
      <c r="A7333" s="10" t="str">
        <f>IF(7325&gt;$C$9008,"",INDEX($B$9:$B$9008,MATCH(7325,$C$9:$C$9008,0)))</f>
        <v/>
      </c>
      <c r="B7333" s="9" t="str">
        <f>IFERROR(INDEX(Input!$L$20:$T$1019,INT((ROW()-9)/9)+1,MOD(ROW()-9,9)+1),"")</f>
        <v/>
      </c>
      <c r="C7333" s="9">
        <f t="shared" si="114"/>
        <v>0</v>
      </c>
    </row>
    <row r="7334" spans="1:3" x14ac:dyDescent="0.2">
      <c r="A7334" s="10" t="str">
        <f>IF(7326&gt;$C$9008,"",INDEX($B$9:$B$9008,MATCH(7326,$C$9:$C$9008,0)))</f>
        <v/>
      </c>
      <c r="B7334" s="9" t="str">
        <f>IFERROR(INDEX(Input!$L$20:$T$1019,INT((ROW()-9)/9)+1,MOD(ROW()-9,9)+1),"")</f>
        <v/>
      </c>
      <c r="C7334" s="9">
        <f t="shared" si="114"/>
        <v>0</v>
      </c>
    </row>
    <row r="7335" spans="1:3" x14ac:dyDescent="0.2">
      <c r="A7335" s="10" t="str">
        <f>IF(7327&gt;$C$9008,"",INDEX($B$9:$B$9008,MATCH(7327,$C$9:$C$9008,0)))</f>
        <v/>
      </c>
      <c r="B7335" s="9" t="str">
        <f>IFERROR(INDEX(Input!$L$20:$T$1019,INT((ROW()-9)/9)+1,MOD(ROW()-9,9)+1),"")</f>
        <v/>
      </c>
      <c r="C7335" s="9">
        <f t="shared" si="114"/>
        <v>0</v>
      </c>
    </row>
    <row r="7336" spans="1:3" x14ac:dyDescent="0.2">
      <c r="A7336" s="10" t="str">
        <f>IF(7328&gt;$C$9008,"",INDEX($B$9:$B$9008,MATCH(7328,$C$9:$C$9008,0)))</f>
        <v/>
      </c>
      <c r="B7336" s="9" t="str">
        <f>IFERROR(INDEX(Input!$L$20:$T$1019,INT((ROW()-9)/9)+1,MOD(ROW()-9,9)+1),"")</f>
        <v/>
      </c>
      <c r="C7336" s="9">
        <f t="shared" si="114"/>
        <v>0</v>
      </c>
    </row>
    <row r="7337" spans="1:3" x14ac:dyDescent="0.2">
      <c r="A7337" s="10" t="str">
        <f>IF(7329&gt;$C$9008,"",INDEX($B$9:$B$9008,MATCH(7329,$C$9:$C$9008,0)))</f>
        <v/>
      </c>
      <c r="B7337" s="9" t="str">
        <f>IFERROR(INDEX(Input!$L$20:$T$1019,INT((ROW()-9)/9)+1,MOD(ROW()-9,9)+1),"")</f>
        <v/>
      </c>
      <c r="C7337" s="9">
        <f t="shared" si="114"/>
        <v>0</v>
      </c>
    </row>
    <row r="7338" spans="1:3" x14ac:dyDescent="0.2">
      <c r="A7338" s="10" t="str">
        <f>IF(7330&gt;$C$9008,"",INDEX($B$9:$B$9008,MATCH(7330,$C$9:$C$9008,0)))</f>
        <v/>
      </c>
      <c r="B7338" s="9" t="str">
        <f>IFERROR(INDEX(Input!$L$20:$T$1019,INT((ROW()-9)/9)+1,MOD(ROW()-9,9)+1),"")</f>
        <v/>
      </c>
      <c r="C7338" s="9">
        <f t="shared" si="114"/>
        <v>0</v>
      </c>
    </row>
    <row r="7339" spans="1:3" x14ac:dyDescent="0.2">
      <c r="A7339" s="10" t="str">
        <f>IF(7331&gt;$C$9008,"",INDEX($B$9:$B$9008,MATCH(7331,$C$9:$C$9008,0)))</f>
        <v/>
      </c>
      <c r="B7339" s="9" t="str">
        <f>IFERROR(INDEX(Input!$L$20:$T$1019,INT((ROW()-9)/9)+1,MOD(ROW()-9,9)+1),"")</f>
        <v/>
      </c>
      <c r="C7339" s="9">
        <f t="shared" si="114"/>
        <v>0</v>
      </c>
    </row>
    <row r="7340" spans="1:3" x14ac:dyDescent="0.2">
      <c r="A7340" s="10" t="str">
        <f>IF(7332&gt;$C$9008,"",INDEX($B$9:$B$9008,MATCH(7332,$C$9:$C$9008,0)))</f>
        <v/>
      </c>
      <c r="B7340" s="9" t="str">
        <f>IFERROR(INDEX(Input!$L$20:$T$1019,INT((ROW()-9)/9)+1,MOD(ROW()-9,9)+1),"")</f>
        <v/>
      </c>
      <c r="C7340" s="9">
        <f t="shared" si="114"/>
        <v>0</v>
      </c>
    </row>
    <row r="7341" spans="1:3" x14ac:dyDescent="0.2">
      <c r="A7341" s="10" t="str">
        <f>IF(7333&gt;$C$9008,"",INDEX($B$9:$B$9008,MATCH(7333,$C$9:$C$9008,0)))</f>
        <v/>
      </c>
      <c r="B7341" s="9" t="str">
        <f>IFERROR(INDEX(Input!$L$20:$T$1019,INT((ROW()-9)/9)+1,MOD(ROW()-9,9)+1),"")</f>
        <v/>
      </c>
      <c r="C7341" s="9">
        <f t="shared" si="114"/>
        <v>0</v>
      </c>
    </row>
    <row r="7342" spans="1:3" x14ac:dyDescent="0.2">
      <c r="A7342" s="10" t="str">
        <f>IF(7334&gt;$C$9008,"",INDEX($B$9:$B$9008,MATCH(7334,$C$9:$C$9008,0)))</f>
        <v/>
      </c>
      <c r="B7342" s="9" t="str">
        <f>IFERROR(INDEX(Input!$L$20:$T$1019,INT((ROW()-9)/9)+1,MOD(ROW()-9,9)+1),"")</f>
        <v/>
      </c>
      <c r="C7342" s="9">
        <f t="shared" si="114"/>
        <v>0</v>
      </c>
    </row>
    <row r="7343" spans="1:3" x14ac:dyDescent="0.2">
      <c r="A7343" s="10" t="str">
        <f>IF(7335&gt;$C$9008,"",INDEX($B$9:$B$9008,MATCH(7335,$C$9:$C$9008,0)))</f>
        <v/>
      </c>
      <c r="B7343" s="9" t="str">
        <f>IFERROR(INDEX(Input!$L$20:$T$1019,INT((ROW()-9)/9)+1,MOD(ROW()-9,9)+1),"")</f>
        <v/>
      </c>
      <c r="C7343" s="9">
        <f t="shared" si="114"/>
        <v>0</v>
      </c>
    </row>
    <row r="7344" spans="1:3" x14ac:dyDescent="0.2">
      <c r="A7344" s="10" t="str">
        <f>IF(7336&gt;$C$9008,"",INDEX($B$9:$B$9008,MATCH(7336,$C$9:$C$9008,0)))</f>
        <v/>
      </c>
      <c r="B7344" s="9" t="str">
        <f>IFERROR(INDEX(Input!$L$20:$T$1019,INT((ROW()-9)/9)+1,MOD(ROW()-9,9)+1),"")</f>
        <v/>
      </c>
      <c r="C7344" s="9">
        <f t="shared" si="114"/>
        <v>0</v>
      </c>
    </row>
    <row r="7345" spans="1:3" x14ac:dyDescent="0.2">
      <c r="A7345" s="10" t="str">
        <f>IF(7337&gt;$C$9008,"",INDEX($B$9:$B$9008,MATCH(7337,$C$9:$C$9008,0)))</f>
        <v/>
      </c>
      <c r="B7345" s="9" t="str">
        <f>IFERROR(INDEX(Input!$L$20:$T$1019,INT((ROW()-9)/9)+1,MOD(ROW()-9,9)+1),"")</f>
        <v/>
      </c>
      <c r="C7345" s="9">
        <f t="shared" si="114"/>
        <v>0</v>
      </c>
    </row>
    <row r="7346" spans="1:3" x14ac:dyDescent="0.2">
      <c r="A7346" s="10" t="str">
        <f>IF(7338&gt;$C$9008,"",INDEX($B$9:$B$9008,MATCH(7338,$C$9:$C$9008,0)))</f>
        <v/>
      </c>
      <c r="B7346" s="9" t="str">
        <f>IFERROR(INDEX(Input!$L$20:$T$1019,INT((ROW()-9)/9)+1,MOD(ROW()-9,9)+1),"")</f>
        <v/>
      </c>
      <c r="C7346" s="9">
        <f t="shared" si="114"/>
        <v>0</v>
      </c>
    </row>
    <row r="7347" spans="1:3" x14ac:dyDescent="0.2">
      <c r="A7347" s="10" t="str">
        <f>IF(7339&gt;$C$9008,"",INDEX($B$9:$B$9008,MATCH(7339,$C$9:$C$9008,0)))</f>
        <v/>
      </c>
      <c r="B7347" s="9" t="str">
        <f>IFERROR(INDEX(Input!$L$20:$T$1019,INT((ROW()-9)/9)+1,MOD(ROW()-9,9)+1),"")</f>
        <v/>
      </c>
      <c r="C7347" s="9">
        <f t="shared" si="114"/>
        <v>0</v>
      </c>
    </row>
    <row r="7348" spans="1:3" x14ac:dyDescent="0.2">
      <c r="A7348" s="10" t="str">
        <f>IF(7340&gt;$C$9008,"",INDEX($B$9:$B$9008,MATCH(7340,$C$9:$C$9008,0)))</f>
        <v/>
      </c>
      <c r="B7348" s="9" t="str">
        <f>IFERROR(INDEX(Input!$L$20:$T$1019,INT((ROW()-9)/9)+1,MOD(ROW()-9,9)+1),"")</f>
        <v/>
      </c>
      <c r="C7348" s="9">
        <f t="shared" si="114"/>
        <v>0</v>
      </c>
    </row>
    <row r="7349" spans="1:3" x14ac:dyDescent="0.2">
      <c r="A7349" s="10" t="str">
        <f>IF(7341&gt;$C$9008,"",INDEX($B$9:$B$9008,MATCH(7341,$C$9:$C$9008,0)))</f>
        <v/>
      </c>
      <c r="B7349" s="9" t="str">
        <f>IFERROR(INDEX(Input!$L$20:$T$1019,INT((ROW()-9)/9)+1,MOD(ROW()-9,9)+1),"")</f>
        <v/>
      </c>
      <c r="C7349" s="9">
        <f t="shared" si="114"/>
        <v>0</v>
      </c>
    </row>
    <row r="7350" spans="1:3" x14ac:dyDescent="0.2">
      <c r="A7350" s="10" t="str">
        <f>IF(7342&gt;$C$9008,"",INDEX($B$9:$B$9008,MATCH(7342,$C$9:$C$9008,0)))</f>
        <v/>
      </c>
      <c r="B7350" s="9" t="str">
        <f>IFERROR(INDEX(Input!$L$20:$T$1019,INT((ROW()-9)/9)+1,MOD(ROW()-9,9)+1),"")</f>
        <v/>
      </c>
      <c r="C7350" s="9">
        <f t="shared" si="114"/>
        <v>0</v>
      </c>
    </row>
    <row r="7351" spans="1:3" x14ac:dyDescent="0.2">
      <c r="A7351" s="10" t="str">
        <f>IF(7343&gt;$C$9008,"",INDEX($B$9:$B$9008,MATCH(7343,$C$9:$C$9008,0)))</f>
        <v/>
      </c>
      <c r="B7351" s="9" t="str">
        <f>IFERROR(INDEX(Input!$L$20:$T$1019,INT((ROW()-9)/9)+1,MOD(ROW()-9,9)+1),"")</f>
        <v/>
      </c>
      <c r="C7351" s="9">
        <f t="shared" si="114"/>
        <v>0</v>
      </c>
    </row>
    <row r="7352" spans="1:3" x14ac:dyDescent="0.2">
      <c r="A7352" s="10" t="str">
        <f>IF(7344&gt;$C$9008,"",INDEX($B$9:$B$9008,MATCH(7344,$C$9:$C$9008,0)))</f>
        <v/>
      </c>
      <c r="B7352" s="9" t="str">
        <f>IFERROR(INDEX(Input!$L$20:$T$1019,INT((ROW()-9)/9)+1,MOD(ROW()-9,9)+1),"")</f>
        <v/>
      </c>
      <c r="C7352" s="9">
        <f t="shared" si="114"/>
        <v>0</v>
      </c>
    </row>
    <row r="7353" spans="1:3" x14ac:dyDescent="0.2">
      <c r="A7353" s="10" t="str">
        <f>IF(7345&gt;$C$9008,"",INDEX($B$9:$B$9008,MATCH(7345,$C$9:$C$9008,0)))</f>
        <v/>
      </c>
      <c r="B7353" s="9" t="str">
        <f>IFERROR(INDEX(Input!$L$20:$T$1019,INT((ROW()-9)/9)+1,MOD(ROW()-9,9)+1),"")</f>
        <v/>
      </c>
      <c r="C7353" s="9">
        <f t="shared" si="114"/>
        <v>0</v>
      </c>
    </row>
    <row r="7354" spans="1:3" x14ac:dyDescent="0.2">
      <c r="A7354" s="10" t="str">
        <f>IF(7346&gt;$C$9008,"",INDEX($B$9:$B$9008,MATCH(7346,$C$9:$C$9008,0)))</f>
        <v/>
      </c>
      <c r="B7354" s="9" t="str">
        <f>IFERROR(INDEX(Input!$L$20:$T$1019,INT((ROW()-9)/9)+1,MOD(ROW()-9,9)+1),"")</f>
        <v/>
      </c>
      <c r="C7354" s="9">
        <f t="shared" si="114"/>
        <v>0</v>
      </c>
    </row>
    <row r="7355" spans="1:3" x14ac:dyDescent="0.2">
      <c r="A7355" s="10" t="str">
        <f>IF(7347&gt;$C$9008,"",INDEX($B$9:$B$9008,MATCH(7347,$C$9:$C$9008,0)))</f>
        <v/>
      </c>
      <c r="B7355" s="9" t="str">
        <f>IFERROR(INDEX(Input!$L$20:$T$1019,INT((ROW()-9)/9)+1,MOD(ROW()-9,9)+1),"")</f>
        <v/>
      </c>
      <c r="C7355" s="9">
        <f t="shared" si="114"/>
        <v>0</v>
      </c>
    </row>
    <row r="7356" spans="1:3" x14ac:dyDescent="0.2">
      <c r="A7356" s="10" t="str">
        <f>IF(7348&gt;$C$9008,"",INDEX($B$9:$B$9008,MATCH(7348,$C$9:$C$9008,0)))</f>
        <v/>
      </c>
      <c r="B7356" s="9" t="str">
        <f>IFERROR(INDEX(Input!$L$20:$T$1019,INT((ROW()-9)/9)+1,MOD(ROW()-9,9)+1),"")</f>
        <v/>
      </c>
      <c r="C7356" s="9">
        <f t="shared" si="114"/>
        <v>0</v>
      </c>
    </row>
    <row r="7357" spans="1:3" x14ac:dyDescent="0.2">
      <c r="A7357" s="10" t="str">
        <f>IF(7349&gt;$C$9008,"",INDEX($B$9:$B$9008,MATCH(7349,$C$9:$C$9008,0)))</f>
        <v/>
      </c>
      <c r="B7357" s="9" t="str">
        <f>IFERROR(INDEX(Input!$L$20:$T$1019,INT((ROW()-9)/9)+1,MOD(ROW()-9,9)+1),"")</f>
        <v/>
      </c>
      <c r="C7357" s="9">
        <f t="shared" si="114"/>
        <v>0</v>
      </c>
    </row>
    <row r="7358" spans="1:3" x14ac:dyDescent="0.2">
      <c r="A7358" s="10" t="str">
        <f>IF(7350&gt;$C$9008,"",INDEX($B$9:$B$9008,MATCH(7350,$C$9:$C$9008,0)))</f>
        <v/>
      </c>
      <c r="B7358" s="9" t="str">
        <f>IFERROR(INDEX(Input!$L$20:$T$1019,INT((ROW()-9)/9)+1,MOD(ROW()-9,9)+1),"")</f>
        <v/>
      </c>
      <c r="C7358" s="9">
        <f t="shared" si="114"/>
        <v>0</v>
      </c>
    </row>
    <row r="7359" spans="1:3" x14ac:dyDescent="0.2">
      <c r="A7359" s="10" t="str">
        <f>IF(7351&gt;$C$9008,"",INDEX($B$9:$B$9008,MATCH(7351,$C$9:$C$9008,0)))</f>
        <v/>
      </c>
      <c r="B7359" s="9" t="str">
        <f>IFERROR(INDEX(Input!$L$20:$T$1019,INT((ROW()-9)/9)+1,MOD(ROW()-9,9)+1),"")</f>
        <v/>
      </c>
      <c r="C7359" s="9">
        <f t="shared" si="114"/>
        <v>0</v>
      </c>
    </row>
    <row r="7360" spans="1:3" x14ac:dyDescent="0.2">
      <c r="A7360" s="10" t="str">
        <f>IF(7352&gt;$C$9008,"",INDEX($B$9:$B$9008,MATCH(7352,$C$9:$C$9008,0)))</f>
        <v/>
      </c>
      <c r="B7360" s="9" t="str">
        <f>IFERROR(INDEX(Input!$L$20:$T$1019,INT((ROW()-9)/9)+1,MOD(ROW()-9,9)+1),"")</f>
        <v/>
      </c>
      <c r="C7360" s="9">
        <f t="shared" si="114"/>
        <v>0</v>
      </c>
    </row>
    <row r="7361" spans="1:3" x14ac:dyDescent="0.2">
      <c r="A7361" s="10" t="str">
        <f>IF(7353&gt;$C$9008,"",INDEX($B$9:$B$9008,MATCH(7353,$C$9:$C$9008,0)))</f>
        <v/>
      </c>
      <c r="B7361" s="9" t="str">
        <f>IFERROR(INDEX(Input!$L$20:$T$1019,INT((ROW()-9)/9)+1,MOD(ROW()-9,9)+1),"")</f>
        <v/>
      </c>
      <c r="C7361" s="9">
        <f t="shared" si="114"/>
        <v>0</v>
      </c>
    </row>
    <row r="7362" spans="1:3" x14ac:dyDescent="0.2">
      <c r="A7362" s="10" t="str">
        <f>IF(7354&gt;$C$9008,"",INDEX($B$9:$B$9008,MATCH(7354,$C$9:$C$9008,0)))</f>
        <v/>
      </c>
      <c r="B7362" s="9" t="str">
        <f>IFERROR(INDEX(Input!$L$20:$T$1019,INT((ROW()-9)/9)+1,MOD(ROW()-9,9)+1),"")</f>
        <v/>
      </c>
      <c r="C7362" s="9">
        <f t="shared" si="114"/>
        <v>0</v>
      </c>
    </row>
    <row r="7363" spans="1:3" x14ac:dyDescent="0.2">
      <c r="A7363" s="10" t="str">
        <f>IF(7355&gt;$C$9008,"",INDEX($B$9:$B$9008,MATCH(7355,$C$9:$C$9008,0)))</f>
        <v/>
      </c>
      <c r="B7363" s="9" t="str">
        <f>IFERROR(INDEX(Input!$L$20:$T$1019,INT((ROW()-9)/9)+1,MOD(ROW()-9,9)+1),"")</f>
        <v/>
      </c>
      <c r="C7363" s="9">
        <f t="shared" si="114"/>
        <v>0</v>
      </c>
    </row>
    <row r="7364" spans="1:3" x14ac:dyDescent="0.2">
      <c r="A7364" s="10" t="str">
        <f>IF(7356&gt;$C$9008,"",INDEX($B$9:$B$9008,MATCH(7356,$C$9:$C$9008,0)))</f>
        <v/>
      </c>
      <c r="B7364" s="9" t="str">
        <f>IFERROR(INDEX(Input!$L$20:$T$1019,INT((ROW()-9)/9)+1,MOD(ROW()-9,9)+1),"")</f>
        <v/>
      </c>
      <c r="C7364" s="9">
        <f t="shared" si="114"/>
        <v>0</v>
      </c>
    </row>
    <row r="7365" spans="1:3" x14ac:dyDescent="0.2">
      <c r="A7365" s="10" t="str">
        <f>IF(7357&gt;$C$9008,"",INDEX($B$9:$B$9008,MATCH(7357,$C$9:$C$9008,0)))</f>
        <v/>
      </c>
      <c r="B7365" s="9" t="str">
        <f>IFERROR(INDEX(Input!$L$20:$T$1019,INT((ROW()-9)/9)+1,MOD(ROW()-9,9)+1),"")</f>
        <v/>
      </c>
      <c r="C7365" s="9">
        <f t="shared" si="114"/>
        <v>0</v>
      </c>
    </row>
    <row r="7366" spans="1:3" x14ac:dyDescent="0.2">
      <c r="A7366" s="10" t="str">
        <f>IF(7358&gt;$C$9008,"",INDEX($B$9:$B$9008,MATCH(7358,$C$9:$C$9008,0)))</f>
        <v/>
      </c>
      <c r="B7366" s="9" t="str">
        <f>IFERROR(INDEX(Input!$L$20:$T$1019,INT((ROW()-9)/9)+1,MOD(ROW()-9,9)+1),"")</f>
        <v/>
      </c>
      <c r="C7366" s="9">
        <f t="shared" si="114"/>
        <v>0</v>
      </c>
    </row>
    <row r="7367" spans="1:3" x14ac:dyDescent="0.2">
      <c r="A7367" s="10" t="str">
        <f>IF(7359&gt;$C$9008,"",INDEX($B$9:$B$9008,MATCH(7359,$C$9:$C$9008,0)))</f>
        <v/>
      </c>
      <c r="B7367" s="9" t="str">
        <f>IFERROR(INDEX(Input!$L$20:$T$1019,INT((ROW()-9)/9)+1,MOD(ROW()-9,9)+1),"")</f>
        <v/>
      </c>
      <c r="C7367" s="9">
        <f t="shared" si="114"/>
        <v>0</v>
      </c>
    </row>
    <row r="7368" spans="1:3" x14ac:dyDescent="0.2">
      <c r="A7368" s="10" t="str">
        <f>IF(7360&gt;$C$9008,"",INDEX($B$9:$B$9008,MATCH(7360,$C$9:$C$9008,0)))</f>
        <v/>
      </c>
      <c r="B7368" s="9" t="str">
        <f>IFERROR(INDEX(Input!$L$20:$T$1019,INT((ROW()-9)/9)+1,MOD(ROW()-9,9)+1),"")</f>
        <v/>
      </c>
      <c r="C7368" s="9">
        <f t="shared" si="114"/>
        <v>0</v>
      </c>
    </row>
    <row r="7369" spans="1:3" x14ac:dyDescent="0.2">
      <c r="A7369" s="10" t="str">
        <f>IF(7361&gt;$C$9008,"",INDEX($B$9:$B$9008,MATCH(7361,$C$9:$C$9008,0)))</f>
        <v/>
      </c>
      <c r="B7369" s="9" t="str">
        <f>IFERROR(INDEX(Input!$L$20:$T$1019,INT((ROW()-9)/9)+1,MOD(ROW()-9,9)+1),"")</f>
        <v/>
      </c>
      <c r="C7369" s="9">
        <f t="shared" ref="C7369:C7432" si="115">$C7368+IF($B7369&lt;&gt;"",1,0)</f>
        <v>0</v>
      </c>
    </row>
    <row r="7370" spans="1:3" x14ac:dyDescent="0.2">
      <c r="A7370" s="10" t="str">
        <f>IF(7362&gt;$C$9008,"",INDEX($B$9:$B$9008,MATCH(7362,$C$9:$C$9008,0)))</f>
        <v/>
      </c>
      <c r="B7370" s="9" t="str">
        <f>IFERROR(INDEX(Input!$L$20:$T$1019,INT((ROW()-9)/9)+1,MOD(ROW()-9,9)+1),"")</f>
        <v/>
      </c>
      <c r="C7370" s="9">
        <f t="shared" si="115"/>
        <v>0</v>
      </c>
    </row>
    <row r="7371" spans="1:3" x14ac:dyDescent="0.2">
      <c r="A7371" s="10" t="str">
        <f>IF(7363&gt;$C$9008,"",INDEX($B$9:$B$9008,MATCH(7363,$C$9:$C$9008,0)))</f>
        <v/>
      </c>
      <c r="B7371" s="9" t="str">
        <f>IFERROR(INDEX(Input!$L$20:$T$1019,INT((ROW()-9)/9)+1,MOD(ROW()-9,9)+1),"")</f>
        <v/>
      </c>
      <c r="C7371" s="9">
        <f t="shared" si="115"/>
        <v>0</v>
      </c>
    </row>
    <row r="7372" spans="1:3" x14ac:dyDescent="0.2">
      <c r="A7372" s="10" t="str">
        <f>IF(7364&gt;$C$9008,"",INDEX($B$9:$B$9008,MATCH(7364,$C$9:$C$9008,0)))</f>
        <v/>
      </c>
      <c r="B7372" s="9" t="str">
        <f>IFERROR(INDEX(Input!$L$20:$T$1019,INT((ROW()-9)/9)+1,MOD(ROW()-9,9)+1),"")</f>
        <v/>
      </c>
      <c r="C7372" s="9">
        <f t="shared" si="115"/>
        <v>0</v>
      </c>
    </row>
    <row r="7373" spans="1:3" x14ac:dyDescent="0.2">
      <c r="A7373" s="10" t="str">
        <f>IF(7365&gt;$C$9008,"",INDEX($B$9:$B$9008,MATCH(7365,$C$9:$C$9008,0)))</f>
        <v/>
      </c>
      <c r="B7373" s="9" t="str">
        <f>IFERROR(INDEX(Input!$L$20:$T$1019,INT((ROW()-9)/9)+1,MOD(ROW()-9,9)+1),"")</f>
        <v/>
      </c>
      <c r="C7373" s="9">
        <f t="shared" si="115"/>
        <v>0</v>
      </c>
    </row>
    <row r="7374" spans="1:3" x14ac:dyDescent="0.2">
      <c r="A7374" s="10" t="str">
        <f>IF(7366&gt;$C$9008,"",INDEX($B$9:$B$9008,MATCH(7366,$C$9:$C$9008,0)))</f>
        <v/>
      </c>
      <c r="B7374" s="9" t="str">
        <f>IFERROR(INDEX(Input!$L$20:$T$1019,INT((ROW()-9)/9)+1,MOD(ROW()-9,9)+1),"")</f>
        <v/>
      </c>
      <c r="C7374" s="9">
        <f t="shared" si="115"/>
        <v>0</v>
      </c>
    </row>
    <row r="7375" spans="1:3" x14ac:dyDescent="0.2">
      <c r="A7375" s="10" t="str">
        <f>IF(7367&gt;$C$9008,"",INDEX($B$9:$B$9008,MATCH(7367,$C$9:$C$9008,0)))</f>
        <v/>
      </c>
      <c r="B7375" s="9" t="str">
        <f>IFERROR(INDEX(Input!$L$20:$T$1019,INT((ROW()-9)/9)+1,MOD(ROW()-9,9)+1),"")</f>
        <v/>
      </c>
      <c r="C7375" s="9">
        <f t="shared" si="115"/>
        <v>0</v>
      </c>
    </row>
    <row r="7376" spans="1:3" x14ac:dyDescent="0.2">
      <c r="A7376" s="10" t="str">
        <f>IF(7368&gt;$C$9008,"",INDEX($B$9:$B$9008,MATCH(7368,$C$9:$C$9008,0)))</f>
        <v/>
      </c>
      <c r="B7376" s="9" t="str">
        <f>IFERROR(INDEX(Input!$L$20:$T$1019,INT((ROW()-9)/9)+1,MOD(ROW()-9,9)+1),"")</f>
        <v/>
      </c>
      <c r="C7376" s="9">
        <f t="shared" si="115"/>
        <v>0</v>
      </c>
    </row>
    <row r="7377" spans="1:3" x14ac:dyDescent="0.2">
      <c r="A7377" s="10" t="str">
        <f>IF(7369&gt;$C$9008,"",INDEX($B$9:$B$9008,MATCH(7369,$C$9:$C$9008,0)))</f>
        <v/>
      </c>
      <c r="B7377" s="9" t="str">
        <f>IFERROR(INDEX(Input!$L$20:$T$1019,INT((ROW()-9)/9)+1,MOD(ROW()-9,9)+1),"")</f>
        <v/>
      </c>
      <c r="C7377" s="9">
        <f t="shared" si="115"/>
        <v>0</v>
      </c>
    </row>
    <row r="7378" spans="1:3" x14ac:dyDescent="0.2">
      <c r="A7378" s="10" t="str">
        <f>IF(7370&gt;$C$9008,"",INDEX($B$9:$B$9008,MATCH(7370,$C$9:$C$9008,0)))</f>
        <v/>
      </c>
      <c r="B7378" s="9" t="str">
        <f>IFERROR(INDEX(Input!$L$20:$T$1019,INT((ROW()-9)/9)+1,MOD(ROW()-9,9)+1),"")</f>
        <v/>
      </c>
      <c r="C7378" s="9">
        <f t="shared" si="115"/>
        <v>0</v>
      </c>
    </row>
    <row r="7379" spans="1:3" x14ac:dyDescent="0.2">
      <c r="A7379" s="10" t="str">
        <f>IF(7371&gt;$C$9008,"",INDEX($B$9:$B$9008,MATCH(7371,$C$9:$C$9008,0)))</f>
        <v/>
      </c>
      <c r="B7379" s="9" t="str">
        <f>IFERROR(INDEX(Input!$L$20:$T$1019,INT((ROW()-9)/9)+1,MOD(ROW()-9,9)+1),"")</f>
        <v/>
      </c>
      <c r="C7379" s="9">
        <f t="shared" si="115"/>
        <v>0</v>
      </c>
    </row>
    <row r="7380" spans="1:3" x14ac:dyDescent="0.2">
      <c r="A7380" s="10" t="str">
        <f>IF(7372&gt;$C$9008,"",INDEX($B$9:$B$9008,MATCH(7372,$C$9:$C$9008,0)))</f>
        <v/>
      </c>
      <c r="B7380" s="9" t="str">
        <f>IFERROR(INDEX(Input!$L$20:$T$1019,INT((ROW()-9)/9)+1,MOD(ROW()-9,9)+1),"")</f>
        <v/>
      </c>
      <c r="C7380" s="9">
        <f t="shared" si="115"/>
        <v>0</v>
      </c>
    </row>
    <row r="7381" spans="1:3" x14ac:dyDescent="0.2">
      <c r="A7381" s="10" t="str">
        <f>IF(7373&gt;$C$9008,"",INDEX($B$9:$B$9008,MATCH(7373,$C$9:$C$9008,0)))</f>
        <v/>
      </c>
      <c r="B7381" s="9" t="str">
        <f>IFERROR(INDEX(Input!$L$20:$T$1019,INT((ROW()-9)/9)+1,MOD(ROW()-9,9)+1),"")</f>
        <v/>
      </c>
      <c r="C7381" s="9">
        <f t="shared" si="115"/>
        <v>0</v>
      </c>
    </row>
    <row r="7382" spans="1:3" x14ac:dyDescent="0.2">
      <c r="A7382" s="10" t="str">
        <f>IF(7374&gt;$C$9008,"",INDEX($B$9:$B$9008,MATCH(7374,$C$9:$C$9008,0)))</f>
        <v/>
      </c>
      <c r="B7382" s="9" t="str">
        <f>IFERROR(INDEX(Input!$L$20:$T$1019,INT((ROW()-9)/9)+1,MOD(ROW()-9,9)+1),"")</f>
        <v/>
      </c>
      <c r="C7382" s="9">
        <f t="shared" si="115"/>
        <v>0</v>
      </c>
    </row>
    <row r="7383" spans="1:3" x14ac:dyDescent="0.2">
      <c r="A7383" s="10" t="str">
        <f>IF(7375&gt;$C$9008,"",INDEX($B$9:$B$9008,MATCH(7375,$C$9:$C$9008,0)))</f>
        <v/>
      </c>
      <c r="B7383" s="9" t="str">
        <f>IFERROR(INDEX(Input!$L$20:$T$1019,INT((ROW()-9)/9)+1,MOD(ROW()-9,9)+1),"")</f>
        <v/>
      </c>
      <c r="C7383" s="9">
        <f t="shared" si="115"/>
        <v>0</v>
      </c>
    </row>
    <row r="7384" spans="1:3" x14ac:dyDescent="0.2">
      <c r="A7384" s="10" t="str">
        <f>IF(7376&gt;$C$9008,"",INDEX($B$9:$B$9008,MATCH(7376,$C$9:$C$9008,0)))</f>
        <v/>
      </c>
      <c r="B7384" s="9" t="str">
        <f>IFERROR(INDEX(Input!$L$20:$T$1019,INT((ROW()-9)/9)+1,MOD(ROW()-9,9)+1),"")</f>
        <v/>
      </c>
      <c r="C7384" s="9">
        <f t="shared" si="115"/>
        <v>0</v>
      </c>
    </row>
    <row r="7385" spans="1:3" x14ac:dyDescent="0.2">
      <c r="A7385" s="10" t="str">
        <f>IF(7377&gt;$C$9008,"",INDEX($B$9:$B$9008,MATCH(7377,$C$9:$C$9008,0)))</f>
        <v/>
      </c>
      <c r="B7385" s="9" t="str">
        <f>IFERROR(INDEX(Input!$L$20:$T$1019,INT((ROW()-9)/9)+1,MOD(ROW()-9,9)+1),"")</f>
        <v/>
      </c>
      <c r="C7385" s="9">
        <f t="shared" si="115"/>
        <v>0</v>
      </c>
    </row>
    <row r="7386" spans="1:3" x14ac:dyDescent="0.2">
      <c r="A7386" s="10" t="str">
        <f>IF(7378&gt;$C$9008,"",INDEX($B$9:$B$9008,MATCH(7378,$C$9:$C$9008,0)))</f>
        <v/>
      </c>
      <c r="B7386" s="9" t="str">
        <f>IFERROR(INDEX(Input!$L$20:$T$1019,INT((ROW()-9)/9)+1,MOD(ROW()-9,9)+1),"")</f>
        <v/>
      </c>
      <c r="C7386" s="9">
        <f t="shared" si="115"/>
        <v>0</v>
      </c>
    </row>
    <row r="7387" spans="1:3" x14ac:dyDescent="0.2">
      <c r="A7387" s="10" t="str">
        <f>IF(7379&gt;$C$9008,"",INDEX($B$9:$B$9008,MATCH(7379,$C$9:$C$9008,0)))</f>
        <v/>
      </c>
      <c r="B7387" s="9" t="str">
        <f>IFERROR(INDEX(Input!$L$20:$T$1019,INT((ROW()-9)/9)+1,MOD(ROW()-9,9)+1),"")</f>
        <v/>
      </c>
      <c r="C7387" s="9">
        <f t="shared" si="115"/>
        <v>0</v>
      </c>
    </row>
    <row r="7388" spans="1:3" x14ac:dyDescent="0.2">
      <c r="A7388" s="10" t="str">
        <f>IF(7380&gt;$C$9008,"",INDEX($B$9:$B$9008,MATCH(7380,$C$9:$C$9008,0)))</f>
        <v/>
      </c>
      <c r="B7388" s="9" t="str">
        <f>IFERROR(INDEX(Input!$L$20:$T$1019,INT((ROW()-9)/9)+1,MOD(ROW()-9,9)+1),"")</f>
        <v/>
      </c>
      <c r="C7388" s="9">
        <f t="shared" si="115"/>
        <v>0</v>
      </c>
    </row>
    <row r="7389" spans="1:3" x14ac:dyDescent="0.2">
      <c r="A7389" s="10" t="str">
        <f>IF(7381&gt;$C$9008,"",INDEX($B$9:$B$9008,MATCH(7381,$C$9:$C$9008,0)))</f>
        <v/>
      </c>
      <c r="B7389" s="9" t="str">
        <f>IFERROR(INDEX(Input!$L$20:$T$1019,INT((ROW()-9)/9)+1,MOD(ROW()-9,9)+1),"")</f>
        <v/>
      </c>
      <c r="C7389" s="9">
        <f t="shared" si="115"/>
        <v>0</v>
      </c>
    </row>
    <row r="7390" spans="1:3" x14ac:dyDescent="0.2">
      <c r="A7390" s="10" t="str">
        <f>IF(7382&gt;$C$9008,"",INDEX($B$9:$B$9008,MATCH(7382,$C$9:$C$9008,0)))</f>
        <v/>
      </c>
      <c r="B7390" s="9" t="str">
        <f>IFERROR(INDEX(Input!$L$20:$T$1019,INT((ROW()-9)/9)+1,MOD(ROW()-9,9)+1),"")</f>
        <v/>
      </c>
      <c r="C7390" s="9">
        <f t="shared" si="115"/>
        <v>0</v>
      </c>
    </row>
    <row r="7391" spans="1:3" x14ac:dyDescent="0.2">
      <c r="A7391" s="10" t="str">
        <f>IF(7383&gt;$C$9008,"",INDEX($B$9:$B$9008,MATCH(7383,$C$9:$C$9008,0)))</f>
        <v/>
      </c>
      <c r="B7391" s="9" t="str">
        <f>IFERROR(INDEX(Input!$L$20:$T$1019,INT((ROW()-9)/9)+1,MOD(ROW()-9,9)+1),"")</f>
        <v/>
      </c>
      <c r="C7391" s="9">
        <f t="shared" si="115"/>
        <v>0</v>
      </c>
    </row>
    <row r="7392" spans="1:3" x14ac:dyDescent="0.2">
      <c r="A7392" s="10" t="str">
        <f>IF(7384&gt;$C$9008,"",INDEX($B$9:$B$9008,MATCH(7384,$C$9:$C$9008,0)))</f>
        <v/>
      </c>
      <c r="B7392" s="9" t="str">
        <f>IFERROR(INDEX(Input!$L$20:$T$1019,INT((ROW()-9)/9)+1,MOD(ROW()-9,9)+1),"")</f>
        <v/>
      </c>
      <c r="C7392" s="9">
        <f t="shared" si="115"/>
        <v>0</v>
      </c>
    </row>
    <row r="7393" spans="1:3" x14ac:dyDescent="0.2">
      <c r="A7393" s="10" t="str">
        <f>IF(7385&gt;$C$9008,"",INDEX($B$9:$B$9008,MATCH(7385,$C$9:$C$9008,0)))</f>
        <v/>
      </c>
      <c r="B7393" s="9" t="str">
        <f>IFERROR(INDEX(Input!$L$20:$T$1019,INT((ROW()-9)/9)+1,MOD(ROW()-9,9)+1),"")</f>
        <v/>
      </c>
      <c r="C7393" s="9">
        <f t="shared" si="115"/>
        <v>0</v>
      </c>
    </row>
    <row r="7394" spans="1:3" x14ac:dyDescent="0.2">
      <c r="A7394" s="10" t="str">
        <f>IF(7386&gt;$C$9008,"",INDEX($B$9:$B$9008,MATCH(7386,$C$9:$C$9008,0)))</f>
        <v/>
      </c>
      <c r="B7394" s="9" t="str">
        <f>IFERROR(INDEX(Input!$L$20:$T$1019,INT((ROW()-9)/9)+1,MOD(ROW()-9,9)+1),"")</f>
        <v/>
      </c>
      <c r="C7394" s="9">
        <f t="shared" si="115"/>
        <v>0</v>
      </c>
    </row>
    <row r="7395" spans="1:3" x14ac:dyDescent="0.2">
      <c r="A7395" s="10" t="str">
        <f>IF(7387&gt;$C$9008,"",INDEX($B$9:$B$9008,MATCH(7387,$C$9:$C$9008,0)))</f>
        <v/>
      </c>
      <c r="B7395" s="9" t="str">
        <f>IFERROR(INDEX(Input!$L$20:$T$1019,INT((ROW()-9)/9)+1,MOD(ROW()-9,9)+1),"")</f>
        <v/>
      </c>
      <c r="C7395" s="9">
        <f t="shared" si="115"/>
        <v>0</v>
      </c>
    </row>
    <row r="7396" spans="1:3" x14ac:dyDescent="0.2">
      <c r="A7396" s="10" t="str">
        <f>IF(7388&gt;$C$9008,"",INDEX($B$9:$B$9008,MATCH(7388,$C$9:$C$9008,0)))</f>
        <v/>
      </c>
      <c r="B7396" s="9" t="str">
        <f>IFERROR(INDEX(Input!$L$20:$T$1019,INT((ROW()-9)/9)+1,MOD(ROW()-9,9)+1),"")</f>
        <v/>
      </c>
      <c r="C7396" s="9">
        <f t="shared" si="115"/>
        <v>0</v>
      </c>
    </row>
    <row r="7397" spans="1:3" x14ac:dyDescent="0.2">
      <c r="A7397" s="10" t="str">
        <f>IF(7389&gt;$C$9008,"",INDEX($B$9:$B$9008,MATCH(7389,$C$9:$C$9008,0)))</f>
        <v/>
      </c>
      <c r="B7397" s="9" t="str">
        <f>IFERROR(INDEX(Input!$L$20:$T$1019,INT((ROW()-9)/9)+1,MOD(ROW()-9,9)+1),"")</f>
        <v/>
      </c>
      <c r="C7397" s="9">
        <f t="shared" si="115"/>
        <v>0</v>
      </c>
    </row>
    <row r="7398" spans="1:3" x14ac:dyDescent="0.2">
      <c r="A7398" s="10" t="str">
        <f>IF(7390&gt;$C$9008,"",INDEX($B$9:$B$9008,MATCH(7390,$C$9:$C$9008,0)))</f>
        <v/>
      </c>
      <c r="B7398" s="9" t="str">
        <f>IFERROR(INDEX(Input!$L$20:$T$1019,INT((ROW()-9)/9)+1,MOD(ROW()-9,9)+1),"")</f>
        <v/>
      </c>
      <c r="C7398" s="9">
        <f t="shared" si="115"/>
        <v>0</v>
      </c>
    </row>
    <row r="7399" spans="1:3" x14ac:dyDescent="0.2">
      <c r="A7399" s="10" t="str">
        <f>IF(7391&gt;$C$9008,"",INDEX($B$9:$B$9008,MATCH(7391,$C$9:$C$9008,0)))</f>
        <v/>
      </c>
      <c r="B7399" s="9" t="str">
        <f>IFERROR(INDEX(Input!$L$20:$T$1019,INT((ROW()-9)/9)+1,MOD(ROW()-9,9)+1),"")</f>
        <v/>
      </c>
      <c r="C7399" s="9">
        <f t="shared" si="115"/>
        <v>0</v>
      </c>
    </row>
    <row r="7400" spans="1:3" x14ac:dyDescent="0.2">
      <c r="A7400" s="10" t="str">
        <f>IF(7392&gt;$C$9008,"",INDEX($B$9:$B$9008,MATCH(7392,$C$9:$C$9008,0)))</f>
        <v/>
      </c>
      <c r="B7400" s="9" t="str">
        <f>IFERROR(INDEX(Input!$L$20:$T$1019,INT((ROW()-9)/9)+1,MOD(ROW()-9,9)+1),"")</f>
        <v/>
      </c>
      <c r="C7400" s="9">
        <f t="shared" si="115"/>
        <v>0</v>
      </c>
    </row>
    <row r="7401" spans="1:3" x14ac:dyDescent="0.2">
      <c r="A7401" s="10" t="str">
        <f>IF(7393&gt;$C$9008,"",INDEX($B$9:$B$9008,MATCH(7393,$C$9:$C$9008,0)))</f>
        <v/>
      </c>
      <c r="B7401" s="9" t="str">
        <f>IFERROR(INDEX(Input!$L$20:$T$1019,INT((ROW()-9)/9)+1,MOD(ROW()-9,9)+1),"")</f>
        <v/>
      </c>
      <c r="C7401" s="9">
        <f t="shared" si="115"/>
        <v>0</v>
      </c>
    </row>
    <row r="7402" spans="1:3" x14ac:dyDescent="0.2">
      <c r="A7402" s="10" t="str">
        <f>IF(7394&gt;$C$9008,"",INDEX($B$9:$B$9008,MATCH(7394,$C$9:$C$9008,0)))</f>
        <v/>
      </c>
      <c r="B7402" s="9" t="str">
        <f>IFERROR(INDEX(Input!$L$20:$T$1019,INT((ROW()-9)/9)+1,MOD(ROW()-9,9)+1),"")</f>
        <v/>
      </c>
      <c r="C7402" s="9">
        <f t="shared" si="115"/>
        <v>0</v>
      </c>
    </row>
    <row r="7403" spans="1:3" x14ac:dyDescent="0.2">
      <c r="A7403" s="10" t="str">
        <f>IF(7395&gt;$C$9008,"",INDEX($B$9:$B$9008,MATCH(7395,$C$9:$C$9008,0)))</f>
        <v/>
      </c>
      <c r="B7403" s="9" t="str">
        <f>IFERROR(INDEX(Input!$L$20:$T$1019,INT((ROW()-9)/9)+1,MOD(ROW()-9,9)+1),"")</f>
        <v/>
      </c>
      <c r="C7403" s="9">
        <f t="shared" si="115"/>
        <v>0</v>
      </c>
    </row>
    <row r="7404" spans="1:3" x14ac:dyDescent="0.2">
      <c r="A7404" s="10" t="str">
        <f>IF(7396&gt;$C$9008,"",INDEX($B$9:$B$9008,MATCH(7396,$C$9:$C$9008,0)))</f>
        <v/>
      </c>
      <c r="B7404" s="9" t="str">
        <f>IFERROR(INDEX(Input!$L$20:$T$1019,INT((ROW()-9)/9)+1,MOD(ROW()-9,9)+1),"")</f>
        <v/>
      </c>
      <c r="C7404" s="9">
        <f t="shared" si="115"/>
        <v>0</v>
      </c>
    </row>
    <row r="7405" spans="1:3" x14ac:dyDescent="0.2">
      <c r="A7405" s="10" t="str">
        <f>IF(7397&gt;$C$9008,"",INDEX($B$9:$B$9008,MATCH(7397,$C$9:$C$9008,0)))</f>
        <v/>
      </c>
      <c r="B7405" s="9" t="str">
        <f>IFERROR(INDEX(Input!$L$20:$T$1019,INT((ROW()-9)/9)+1,MOD(ROW()-9,9)+1),"")</f>
        <v/>
      </c>
      <c r="C7405" s="9">
        <f t="shared" si="115"/>
        <v>0</v>
      </c>
    </row>
    <row r="7406" spans="1:3" x14ac:dyDescent="0.2">
      <c r="A7406" s="10" t="str">
        <f>IF(7398&gt;$C$9008,"",INDEX($B$9:$B$9008,MATCH(7398,$C$9:$C$9008,0)))</f>
        <v/>
      </c>
      <c r="B7406" s="9" t="str">
        <f>IFERROR(INDEX(Input!$L$20:$T$1019,INT((ROW()-9)/9)+1,MOD(ROW()-9,9)+1),"")</f>
        <v/>
      </c>
      <c r="C7406" s="9">
        <f t="shared" si="115"/>
        <v>0</v>
      </c>
    </row>
    <row r="7407" spans="1:3" x14ac:dyDescent="0.2">
      <c r="A7407" s="10" t="str">
        <f>IF(7399&gt;$C$9008,"",INDEX($B$9:$B$9008,MATCH(7399,$C$9:$C$9008,0)))</f>
        <v/>
      </c>
      <c r="B7407" s="9" t="str">
        <f>IFERROR(INDEX(Input!$L$20:$T$1019,INT((ROW()-9)/9)+1,MOD(ROW()-9,9)+1),"")</f>
        <v/>
      </c>
      <c r="C7407" s="9">
        <f t="shared" si="115"/>
        <v>0</v>
      </c>
    </row>
    <row r="7408" spans="1:3" x14ac:dyDescent="0.2">
      <c r="A7408" s="10" t="str">
        <f>IF(7400&gt;$C$9008,"",INDEX($B$9:$B$9008,MATCH(7400,$C$9:$C$9008,0)))</f>
        <v/>
      </c>
      <c r="B7408" s="9" t="str">
        <f>IFERROR(INDEX(Input!$L$20:$T$1019,INT((ROW()-9)/9)+1,MOD(ROW()-9,9)+1),"")</f>
        <v/>
      </c>
      <c r="C7408" s="9">
        <f t="shared" si="115"/>
        <v>0</v>
      </c>
    </row>
    <row r="7409" spans="1:3" x14ac:dyDescent="0.2">
      <c r="A7409" s="10" t="str">
        <f>IF(7401&gt;$C$9008,"",INDEX($B$9:$B$9008,MATCH(7401,$C$9:$C$9008,0)))</f>
        <v/>
      </c>
      <c r="B7409" s="9" t="str">
        <f>IFERROR(INDEX(Input!$L$20:$T$1019,INT((ROW()-9)/9)+1,MOD(ROW()-9,9)+1),"")</f>
        <v/>
      </c>
      <c r="C7409" s="9">
        <f t="shared" si="115"/>
        <v>0</v>
      </c>
    </row>
    <row r="7410" spans="1:3" x14ac:dyDescent="0.2">
      <c r="A7410" s="10" t="str">
        <f>IF(7402&gt;$C$9008,"",INDEX($B$9:$B$9008,MATCH(7402,$C$9:$C$9008,0)))</f>
        <v/>
      </c>
      <c r="B7410" s="9" t="str">
        <f>IFERROR(INDEX(Input!$L$20:$T$1019,INT((ROW()-9)/9)+1,MOD(ROW()-9,9)+1),"")</f>
        <v/>
      </c>
      <c r="C7410" s="9">
        <f t="shared" si="115"/>
        <v>0</v>
      </c>
    </row>
    <row r="7411" spans="1:3" x14ac:dyDescent="0.2">
      <c r="A7411" s="10" t="str">
        <f>IF(7403&gt;$C$9008,"",INDEX($B$9:$B$9008,MATCH(7403,$C$9:$C$9008,0)))</f>
        <v/>
      </c>
      <c r="B7411" s="9" t="str">
        <f>IFERROR(INDEX(Input!$L$20:$T$1019,INT((ROW()-9)/9)+1,MOD(ROW()-9,9)+1),"")</f>
        <v/>
      </c>
      <c r="C7411" s="9">
        <f t="shared" si="115"/>
        <v>0</v>
      </c>
    </row>
    <row r="7412" spans="1:3" x14ac:dyDescent="0.2">
      <c r="A7412" s="10" t="str">
        <f>IF(7404&gt;$C$9008,"",INDEX($B$9:$B$9008,MATCH(7404,$C$9:$C$9008,0)))</f>
        <v/>
      </c>
      <c r="B7412" s="9" t="str">
        <f>IFERROR(INDEX(Input!$L$20:$T$1019,INT((ROW()-9)/9)+1,MOD(ROW()-9,9)+1),"")</f>
        <v/>
      </c>
      <c r="C7412" s="9">
        <f t="shared" si="115"/>
        <v>0</v>
      </c>
    </row>
    <row r="7413" spans="1:3" x14ac:dyDescent="0.2">
      <c r="A7413" s="10" t="str">
        <f>IF(7405&gt;$C$9008,"",INDEX($B$9:$B$9008,MATCH(7405,$C$9:$C$9008,0)))</f>
        <v/>
      </c>
      <c r="B7413" s="9" t="str">
        <f>IFERROR(INDEX(Input!$L$20:$T$1019,INT((ROW()-9)/9)+1,MOD(ROW()-9,9)+1),"")</f>
        <v/>
      </c>
      <c r="C7413" s="9">
        <f t="shared" si="115"/>
        <v>0</v>
      </c>
    </row>
    <row r="7414" spans="1:3" x14ac:dyDescent="0.2">
      <c r="A7414" s="10" t="str">
        <f>IF(7406&gt;$C$9008,"",INDEX($B$9:$B$9008,MATCH(7406,$C$9:$C$9008,0)))</f>
        <v/>
      </c>
      <c r="B7414" s="9" t="str">
        <f>IFERROR(INDEX(Input!$L$20:$T$1019,INT((ROW()-9)/9)+1,MOD(ROW()-9,9)+1),"")</f>
        <v/>
      </c>
      <c r="C7414" s="9">
        <f t="shared" si="115"/>
        <v>0</v>
      </c>
    </row>
    <row r="7415" spans="1:3" x14ac:dyDescent="0.2">
      <c r="A7415" s="10" t="str">
        <f>IF(7407&gt;$C$9008,"",INDEX($B$9:$B$9008,MATCH(7407,$C$9:$C$9008,0)))</f>
        <v/>
      </c>
      <c r="B7415" s="9" t="str">
        <f>IFERROR(INDEX(Input!$L$20:$T$1019,INT((ROW()-9)/9)+1,MOD(ROW()-9,9)+1),"")</f>
        <v/>
      </c>
      <c r="C7415" s="9">
        <f t="shared" si="115"/>
        <v>0</v>
      </c>
    </row>
    <row r="7416" spans="1:3" x14ac:dyDescent="0.2">
      <c r="A7416" s="10" t="str">
        <f>IF(7408&gt;$C$9008,"",INDEX($B$9:$B$9008,MATCH(7408,$C$9:$C$9008,0)))</f>
        <v/>
      </c>
      <c r="B7416" s="9" t="str">
        <f>IFERROR(INDEX(Input!$L$20:$T$1019,INT((ROW()-9)/9)+1,MOD(ROW()-9,9)+1),"")</f>
        <v/>
      </c>
      <c r="C7416" s="9">
        <f t="shared" si="115"/>
        <v>0</v>
      </c>
    </row>
    <row r="7417" spans="1:3" x14ac:dyDescent="0.2">
      <c r="A7417" s="10" t="str">
        <f>IF(7409&gt;$C$9008,"",INDEX($B$9:$B$9008,MATCH(7409,$C$9:$C$9008,0)))</f>
        <v/>
      </c>
      <c r="B7417" s="9" t="str">
        <f>IFERROR(INDEX(Input!$L$20:$T$1019,INT((ROW()-9)/9)+1,MOD(ROW()-9,9)+1),"")</f>
        <v/>
      </c>
      <c r="C7417" s="9">
        <f t="shared" si="115"/>
        <v>0</v>
      </c>
    </row>
    <row r="7418" spans="1:3" x14ac:dyDescent="0.2">
      <c r="A7418" s="10" t="str">
        <f>IF(7410&gt;$C$9008,"",INDEX($B$9:$B$9008,MATCH(7410,$C$9:$C$9008,0)))</f>
        <v/>
      </c>
      <c r="B7418" s="9" t="str">
        <f>IFERROR(INDEX(Input!$L$20:$T$1019,INT((ROW()-9)/9)+1,MOD(ROW()-9,9)+1),"")</f>
        <v/>
      </c>
      <c r="C7418" s="9">
        <f t="shared" si="115"/>
        <v>0</v>
      </c>
    </row>
    <row r="7419" spans="1:3" x14ac:dyDescent="0.2">
      <c r="A7419" s="10" t="str">
        <f>IF(7411&gt;$C$9008,"",INDEX($B$9:$B$9008,MATCH(7411,$C$9:$C$9008,0)))</f>
        <v/>
      </c>
      <c r="B7419" s="9" t="str">
        <f>IFERROR(INDEX(Input!$L$20:$T$1019,INT((ROW()-9)/9)+1,MOD(ROW()-9,9)+1),"")</f>
        <v/>
      </c>
      <c r="C7419" s="9">
        <f t="shared" si="115"/>
        <v>0</v>
      </c>
    </row>
    <row r="7420" spans="1:3" x14ac:dyDescent="0.2">
      <c r="A7420" s="10" t="str">
        <f>IF(7412&gt;$C$9008,"",INDEX($B$9:$B$9008,MATCH(7412,$C$9:$C$9008,0)))</f>
        <v/>
      </c>
      <c r="B7420" s="9" t="str">
        <f>IFERROR(INDEX(Input!$L$20:$T$1019,INT((ROW()-9)/9)+1,MOD(ROW()-9,9)+1),"")</f>
        <v/>
      </c>
      <c r="C7420" s="9">
        <f t="shared" si="115"/>
        <v>0</v>
      </c>
    </row>
    <row r="7421" spans="1:3" x14ac:dyDescent="0.2">
      <c r="A7421" s="10" t="str">
        <f>IF(7413&gt;$C$9008,"",INDEX($B$9:$B$9008,MATCH(7413,$C$9:$C$9008,0)))</f>
        <v/>
      </c>
      <c r="B7421" s="9" t="str">
        <f>IFERROR(INDEX(Input!$L$20:$T$1019,INT((ROW()-9)/9)+1,MOD(ROW()-9,9)+1),"")</f>
        <v/>
      </c>
      <c r="C7421" s="9">
        <f t="shared" si="115"/>
        <v>0</v>
      </c>
    </row>
    <row r="7422" spans="1:3" x14ac:dyDescent="0.2">
      <c r="A7422" s="10" t="str">
        <f>IF(7414&gt;$C$9008,"",INDEX($B$9:$B$9008,MATCH(7414,$C$9:$C$9008,0)))</f>
        <v/>
      </c>
      <c r="B7422" s="9" t="str">
        <f>IFERROR(INDEX(Input!$L$20:$T$1019,INT((ROW()-9)/9)+1,MOD(ROW()-9,9)+1),"")</f>
        <v/>
      </c>
      <c r="C7422" s="9">
        <f t="shared" si="115"/>
        <v>0</v>
      </c>
    </row>
    <row r="7423" spans="1:3" x14ac:dyDescent="0.2">
      <c r="A7423" s="10" t="str">
        <f>IF(7415&gt;$C$9008,"",INDEX($B$9:$B$9008,MATCH(7415,$C$9:$C$9008,0)))</f>
        <v/>
      </c>
      <c r="B7423" s="9" t="str">
        <f>IFERROR(INDEX(Input!$L$20:$T$1019,INT((ROW()-9)/9)+1,MOD(ROW()-9,9)+1),"")</f>
        <v/>
      </c>
      <c r="C7423" s="9">
        <f t="shared" si="115"/>
        <v>0</v>
      </c>
    </row>
    <row r="7424" spans="1:3" x14ac:dyDescent="0.2">
      <c r="A7424" s="10" t="str">
        <f>IF(7416&gt;$C$9008,"",INDEX($B$9:$B$9008,MATCH(7416,$C$9:$C$9008,0)))</f>
        <v/>
      </c>
      <c r="B7424" s="9" t="str">
        <f>IFERROR(INDEX(Input!$L$20:$T$1019,INT((ROW()-9)/9)+1,MOD(ROW()-9,9)+1),"")</f>
        <v/>
      </c>
      <c r="C7424" s="9">
        <f t="shared" si="115"/>
        <v>0</v>
      </c>
    </row>
    <row r="7425" spans="1:3" x14ac:dyDescent="0.2">
      <c r="A7425" s="10" t="str">
        <f>IF(7417&gt;$C$9008,"",INDEX($B$9:$B$9008,MATCH(7417,$C$9:$C$9008,0)))</f>
        <v/>
      </c>
      <c r="B7425" s="9" t="str">
        <f>IFERROR(INDEX(Input!$L$20:$T$1019,INT((ROW()-9)/9)+1,MOD(ROW()-9,9)+1),"")</f>
        <v/>
      </c>
      <c r="C7425" s="9">
        <f t="shared" si="115"/>
        <v>0</v>
      </c>
    </row>
    <row r="7426" spans="1:3" x14ac:dyDescent="0.2">
      <c r="A7426" s="10" t="str">
        <f>IF(7418&gt;$C$9008,"",INDEX($B$9:$B$9008,MATCH(7418,$C$9:$C$9008,0)))</f>
        <v/>
      </c>
      <c r="B7426" s="9" t="str">
        <f>IFERROR(INDEX(Input!$L$20:$T$1019,INT((ROW()-9)/9)+1,MOD(ROW()-9,9)+1),"")</f>
        <v/>
      </c>
      <c r="C7426" s="9">
        <f t="shared" si="115"/>
        <v>0</v>
      </c>
    </row>
    <row r="7427" spans="1:3" x14ac:dyDescent="0.2">
      <c r="A7427" s="10" t="str">
        <f>IF(7419&gt;$C$9008,"",INDEX($B$9:$B$9008,MATCH(7419,$C$9:$C$9008,0)))</f>
        <v/>
      </c>
      <c r="B7427" s="9" t="str">
        <f>IFERROR(INDEX(Input!$L$20:$T$1019,INT((ROW()-9)/9)+1,MOD(ROW()-9,9)+1),"")</f>
        <v/>
      </c>
      <c r="C7427" s="9">
        <f t="shared" si="115"/>
        <v>0</v>
      </c>
    </row>
    <row r="7428" spans="1:3" x14ac:dyDescent="0.2">
      <c r="A7428" s="10" t="str">
        <f>IF(7420&gt;$C$9008,"",INDEX($B$9:$B$9008,MATCH(7420,$C$9:$C$9008,0)))</f>
        <v/>
      </c>
      <c r="B7428" s="9" t="str">
        <f>IFERROR(INDEX(Input!$L$20:$T$1019,INT((ROW()-9)/9)+1,MOD(ROW()-9,9)+1),"")</f>
        <v/>
      </c>
      <c r="C7428" s="9">
        <f t="shared" si="115"/>
        <v>0</v>
      </c>
    </row>
    <row r="7429" spans="1:3" x14ac:dyDescent="0.2">
      <c r="A7429" s="10" t="str">
        <f>IF(7421&gt;$C$9008,"",INDEX($B$9:$B$9008,MATCH(7421,$C$9:$C$9008,0)))</f>
        <v/>
      </c>
      <c r="B7429" s="9" t="str">
        <f>IFERROR(INDEX(Input!$L$20:$T$1019,INT((ROW()-9)/9)+1,MOD(ROW()-9,9)+1),"")</f>
        <v/>
      </c>
      <c r="C7429" s="9">
        <f t="shared" si="115"/>
        <v>0</v>
      </c>
    </row>
    <row r="7430" spans="1:3" x14ac:dyDescent="0.2">
      <c r="A7430" s="10" t="str">
        <f>IF(7422&gt;$C$9008,"",INDEX($B$9:$B$9008,MATCH(7422,$C$9:$C$9008,0)))</f>
        <v/>
      </c>
      <c r="B7430" s="9" t="str">
        <f>IFERROR(INDEX(Input!$L$20:$T$1019,INT((ROW()-9)/9)+1,MOD(ROW()-9,9)+1),"")</f>
        <v/>
      </c>
      <c r="C7430" s="9">
        <f t="shared" si="115"/>
        <v>0</v>
      </c>
    </row>
    <row r="7431" spans="1:3" x14ac:dyDescent="0.2">
      <c r="A7431" s="10" t="str">
        <f>IF(7423&gt;$C$9008,"",INDEX($B$9:$B$9008,MATCH(7423,$C$9:$C$9008,0)))</f>
        <v/>
      </c>
      <c r="B7431" s="9" t="str">
        <f>IFERROR(INDEX(Input!$L$20:$T$1019,INT((ROW()-9)/9)+1,MOD(ROW()-9,9)+1),"")</f>
        <v/>
      </c>
      <c r="C7431" s="9">
        <f t="shared" si="115"/>
        <v>0</v>
      </c>
    </row>
    <row r="7432" spans="1:3" x14ac:dyDescent="0.2">
      <c r="A7432" s="10" t="str">
        <f>IF(7424&gt;$C$9008,"",INDEX($B$9:$B$9008,MATCH(7424,$C$9:$C$9008,0)))</f>
        <v/>
      </c>
      <c r="B7432" s="9" t="str">
        <f>IFERROR(INDEX(Input!$L$20:$T$1019,INT((ROW()-9)/9)+1,MOD(ROW()-9,9)+1),"")</f>
        <v/>
      </c>
      <c r="C7432" s="9">
        <f t="shared" si="115"/>
        <v>0</v>
      </c>
    </row>
    <row r="7433" spans="1:3" x14ac:dyDescent="0.2">
      <c r="A7433" s="10" t="str">
        <f>IF(7425&gt;$C$9008,"",INDEX($B$9:$B$9008,MATCH(7425,$C$9:$C$9008,0)))</f>
        <v/>
      </c>
      <c r="B7433" s="9" t="str">
        <f>IFERROR(INDEX(Input!$L$20:$T$1019,INT((ROW()-9)/9)+1,MOD(ROW()-9,9)+1),"")</f>
        <v/>
      </c>
      <c r="C7433" s="9">
        <f t="shared" ref="C7433:C7496" si="116">$C7432+IF($B7433&lt;&gt;"",1,0)</f>
        <v>0</v>
      </c>
    </row>
    <row r="7434" spans="1:3" x14ac:dyDescent="0.2">
      <c r="A7434" s="10" t="str">
        <f>IF(7426&gt;$C$9008,"",INDEX($B$9:$B$9008,MATCH(7426,$C$9:$C$9008,0)))</f>
        <v/>
      </c>
      <c r="B7434" s="9" t="str">
        <f>IFERROR(INDEX(Input!$L$20:$T$1019,INT((ROW()-9)/9)+1,MOD(ROW()-9,9)+1),"")</f>
        <v/>
      </c>
      <c r="C7434" s="9">
        <f t="shared" si="116"/>
        <v>0</v>
      </c>
    </row>
    <row r="7435" spans="1:3" x14ac:dyDescent="0.2">
      <c r="A7435" s="10" t="str">
        <f>IF(7427&gt;$C$9008,"",INDEX($B$9:$B$9008,MATCH(7427,$C$9:$C$9008,0)))</f>
        <v/>
      </c>
      <c r="B7435" s="9" t="str">
        <f>IFERROR(INDEX(Input!$L$20:$T$1019,INT((ROW()-9)/9)+1,MOD(ROW()-9,9)+1),"")</f>
        <v/>
      </c>
      <c r="C7435" s="9">
        <f t="shared" si="116"/>
        <v>0</v>
      </c>
    </row>
    <row r="7436" spans="1:3" x14ac:dyDescent="0.2">
      <c r="A7436" s="10" t="str">
        <f>IF(7428&gt;$C$9008,"",INDEX($B$9:$B$9008,MATCH(7428,$C$9:$C$9008,0)))</f>
        <v/>
      </c>
      <c r="B7436" s="9" t="str">
        <f>IFERROR(INDEX(Input!$L$20:$T$1019,INT((ROW()-9)/9)+1,MOD(ROW()-9,9)+1),"")</f>
        <v/>
      </c>
      <c r="C7436" s="9">
        <f t="shared" si="116"/>
        <v>0</v>
      </c>
    </row>
    <row r="7437" spans="1:3" x14ac:dyDescent="0.2">
      <c r="A7437" s="10" t="str">
        <f>IF(7429&gt;$C$9008,"",INDEX($B$9:$B$9008,MATCH(7429,$C$9:$C$9008,0)))</f>
        <v/>
      </c>
      <c r="B7437" s="9" t="str">
        <f>IFERROR(INDEX(Input!$L$20:$T$1019,INT((ROW()-9)/9)+1,MOD(ROW()-9,9)+1),"")</f>
        <v/>
      </c>
      <c r="C7437" s="9">
        <f t="shared" si="116"/>
        <v>0</v>
      </c>
    </row>
    <row r="7438" spans="1:3" x14ac:dyDescent="0.2">
      <c r="A7438" s="10" t="str">
        <f>IF(7430&gt;$C$9008,"",INDEX($B$9:$B$9008,MATCH(7430,$C$9:$C$9008,0)))</f>
        <v/>
      </c>
      <c r="B7438" s="9" t="str">
        <f>IFERROR(INDEX(Input!$L$20:$T$1019,INT((ROW()-9)/9)+1,MOD(ROW()-9,9)+1),"")</f>
        <v/>
      </c>
      <c r="C7438" s="9">
        <f t="shared" si="116"/>
        <v>0</v>
      </c>
    </row>
    <row r="7439" spans="1:3" x14ac:dyDescent="0.2">
      <c r="A7439" s="10" t="str">
        <f>IF(7431&gt;$C$9008,"",INDEX($B$9:$B$9008,MATCH(7431,$C$9:$C$9008,0)))</f>
        <v/>
      </c>
      <c r="B7439" s="9" t="str">
        <f>IFERROR(INDEX(Input!$L$20:$T$1019,INT((ROW()-9)/9)+1,MOD(ROW()-9,9)+1),"")</f>
        <v/>
      </c>
      <c r="C7439" s="9">
        <f t="shared" si="116"/>
        <v>0</v>
      </c>
    </row>
    <row r="7440" spans="1:3" x14ac:dyDescent="0.2">
      <c r="A7440" s="10" t="str">
        <f>IF(7432&gt;$C$9008,"",INDEX($B$9:$B$9008,MATCH(7432,$C$9:$C$9008,0)))</f>
        <v/>
      </c>
      <c r="B7440" s="9" t="str">
        <f>IFERROR(INDEX(Input!$L$20:$T$1019,INT((ROW()-9)/9)+1,MOD(ROW()-9,9)+1),"")</f>
        <v/>
      </c>
      <c r="C7440" s="9">
        <f t="shared" si="116"/>
        <v>0</v>
      </c>
    </row>
    <row r="7441" spans="1:3" x14ac:dyDescent="0.2">
      <c r="A7441" s="10" t="str">
        <f>IF(7433&gt;$C$9008,"",INDEX($B$9:$B$9008,MATCH(7433,$C$9:$C$9008,0)))</f>
        <v/>
      </c>
      <c r="B7441" s="9" t="str">
        <f>IFERROR(INDEX(Input!$L$20:$T$1019,INT((ROW()-9)/9)+1,MOD(ROW()-9,9)+1),"")</f>
        <v/>
      </c>
      <c r="C7441" s="9">
        <f t="shared" si="116"/>
        <v>0</v>
      </c>
    </row>
    <row r="7442" spans="1:3" x14ac:dyDescent="0.2">
      <c r="A7442" s="10" t="str">
        <f>IF(7434&gt;$C$9008,"",INDEX($B$9:$B$9008,MATCH(7434,$C$9:$C$9008,0)))</f>
        <v/>
      </c>
      <c r="B7442" s="9" t="str">
        <f>IFERROR(INDEX(Input!$L$20:$T$1019,INT((ROW()-9)/9)+1,MOD(ROW()-9,9)+1),"")</f>
        <v/>
      </c>
      <c r="C7442" s="9">
        <f t="shared" si="116"/>
        <v>0</v>
      </c>
    </row>
    <row r="7443" spans="1:3" x14ac:dyDescent="0.2">
      <c r="A7443" s="10" t="str">
        <f>IF(7435&gt;$C$9008,"",INDEX($B$9:$B$9008,MATCH(7435,$C$9:$C$9008,0)))</f>
        <v/>
      </c>
      <c r="B7443" s="9" t="str">
        <f>IFERROR(INDEX(Input!$L$20:$T$1019,INT((ROW()-9)/9)+1,MOD(ROW()-9,9)+1),"")</f>
        <v/>
      </c>
      <c r="C7443" s="9">
        <f t="shared" si="116"/>
        <v>0</v>
      </c>
    </row>
    <row r="7444" spans="1:3" x14ac:dyDescent="0.2">
      <c r="A7444" s="10" t="str">
        <f>IF(7436&gt;$C$9008,"",INDEX($B$9:$B$9008,MATCH(7436,$C$9:$C$9008,0)))</f>
        <v/>
      </c>
      <c r="B7444" s="9" t="str">
        <f>IFERROR(INDEX(Input!$L$20:$T$1019,INT((ROW()-9)/9)+1,MOD(ROW()-9,9)+1),"")</f>
        <v/>
      </c>
      <c r="C7444" s="9">
        <f t="shared" si="116"/>
        <v>0</v>
      </c>
    </row>
    <row r="7445" spans="1:3" x14ac:dyDescent="0.2">
      <c r="A7445" s="10" t="str">
        <f>IF(7437&gt;$C$9008,"",INDEX($B$9:$B$9008,MATCH(7437,$C$9:$C$9008,0)))</f>
        <v/>
      </c>
      <c r="B7445" s="9" t="str">
        <f>IFERROR(INDEX(Input!$L$20:$T$1019,INT((ROW()-9)/9)+1,MOD(ROW()-9,9)+1),"")</f>
        <v/>
      </c>
      <c r="C7445" s="9">
        <f t="shared" si="116"/>
        <v>0</v>
      </c>
    </row>
    <row r="7446" spans="1:3" x14ac:dyDescent="0.2">
      <c r="A7446" s="10" t="str">
        <f>IF(7438&gt;$C$9008,"",INDEX($B$9:$B$9008,MATCH(7438,$C$9:$C$9008,0)))</f>
        <v/>
      </c>
      <c r="B7446" s="9" t="str">
        <f>IFERROR(INDEX(Input!$L$20:$T$1019,INT((ROW()-9)/9)+1,MOD(ROW()-9,9)+1),"")</f>
        <v/>
      </c>
      <c r="C7446" s="9">
        <f t="shared" si="116"/>
        <v>0</v>
      </c>
    </row>
    <row r="7447" spans="1:3" x14ac:dyDescent="0.2">
      <c r="A7447" s="10" t="str">
        <f>IF(7439&gt;$C$9008,"",INDEX($B$9:$B$9008,MATCH(7439,$C$9:$C$9008,0)))</f>
        <v/>
      </c>
      <c r="B7447" s="9" t="str">
        <f>IFERROR(INDEX(Input!$L$20:$T$1019,INT((ROW()-9)/9)+1,MOD(ROW()-9,9)+1),"")</f>
        <v/>
      </c>
      <c r="C7447" s="9">
        <f t="shared" si="116"/>
        <v>0</v>
      </c>
    </row>
    <row r="7448" spans="1:3" x14ac:dyDescent="0.2">
      <c r="A7448" s="10" t="str">
        <f>IF(7440&gt;$C$9008,"",INDEX($B$9:$B$9008,MATCH(7440,$C$9:$C$9008,0)))</f>
        <v/>
      </c>
      <c r="B7448" s="9" t="str">
        <f>IFERROR(INDEX(Input!$L$20:$T$1019,INT((ROW()-9)/9)+1,MOD(ROW()-9,9)+1),"")</f>
        <v/>
      </c>
      <c r="C7448" s="9">
        <f t="shared" si="116"/>
        <v>0</v>
      </c>
    </row>
    <row r="7449" spans="1:3" x14ac:dyDescent="0.2">
      <c r="A7449" s="10" t="str">
        <f>IF(7441&gt;$C$9008,"",INDEX($B$9:$B$9008,MATCH(7441,$C$9:$C$9008,0)))</f>
        <v/>
      </c>
      <c r="B7449" s="9" t="str">
        <f>IFERROR(INDEX(Input!$L$20:$T$1019,INT((ROW()-9)/9)+1,MOD(ROW()-9,9)+1),"")</f>
        <v/>
      </c>
      <c r="C7449" s="9">
        <f t="shared" si="116"/>
        <v>0</v>
      </c>
    </row>
    <row r="7450" spans="1:3" x14ac:dyDescent="0.2">
      <c r="A7450" s="10" t="str">
        <f>IF(7442&gt;$C$9008,"",INDEX($B$9:$B$9008,MATCH(7442,$C$9:$C$9008,0)))</f>
        <v/>
      </c>
      <c r="B7450" s="9" t="str">
        <f>IFERROR(INDEX(Input!$L$20:$T$1019,INT((ROW()-9)/9)+1,MOD(ROW()-9,9)+1),"")</f>
        <v/>
      </c>
      <c r="C7450" s="9">
        <f t="shared" si="116"/>
        <v>0</v>
      </c>
    </row>
    <row r="7451" spans="1:3" x14ac:dyDescent="0.2">
      <c r="A7451" s="10" t="str">
        <f>IF(7443&gt;$C$9008,"",INDEX($B$9:$B$9008,MATCH(7443,$C$9:$C$9008,0)))</f>
        <v/>
      </c>
      <c r="B7451" s="9" t="str">
        <f>IFERROR(INDEX(Input!$L$20:$T$1019,INT((ROW()-9)/9)+1,MOD(ROW()-9,9)+1),"")</f>
        <v/>
      </c>
      <c r="C7451" s="9">
        <f t="shared" si="116"/>
        <v>0</v>
      </c>
    </row>
    <row r="7452" spans="1:3" x14ac:dyDescent="0.2">
      <c r="A7452" s="10" t="str">
        <f>IF(7444&gt;$C$9008,"",INDEX($B$9:$B$9008,MATCH(7444,$C$9:$C$9008,0)))</f>
        <v/>
      </c>
      <c r="B7452" s="9" t="str">
        <f>IFERROR(INDEX(Input!$L$20:$T$1019,INT((ROW()-9)/9)+1,MOD(ROW()-9,9)+1),"")</f>
        <v/>
      </c>
      <c r="C7452" s="9">
        <f t="shared" si="116"/>
        <v>0</v>
      </c>
    </row>
    <row r="7453" spans="1:3" x14ac:dyDescent="0.2">
      <c r="A7453" s="10" t="str">
        <f>IF(7445&gt;$C$9008,"",INDEX($B$9:$B$9008,MATCH(7445,$C$9:$C$9008,0)))</f>
        <v/>
      </c>
      <c r="B7453" s="9" t="str">
        <f>IFERROR(INDEX(Input!$L$20:$T$1019,INT((ROW()-9)/9)+1,MOD(ROW()-9,9)+1),"")</f>
        <v/>
      </c>
      <c r="C7453" s="9">
        <f t="shared" si="116"/>
        <v>0</v>
      </c>
    </row>
    <row r="7454" spans="1:3" x14ac:dyDescent="0.2">
      <c r="A7454" s="10" t="str">
        <f>IF(7446&gt;$C$9008,"",INDEX($B$9:$B$9008,MATCH(7446,$C$9:$C$9008,0)))</f>
        <v/>
      </c>
      <c r="B7454" s="9" t="str">
        <f>IFERROR(INDEX(Input!$L$20:$T$1019,INT((ROW()-9)/9)+1,MOD(ROW()-9,9)+1),"")</f>
        <v/>
      </c>
      <c r="C7454" s="9">
        <f t="shared" si="116"/>
        <v>0</v>
      </c>
    </row>
    <row r="7455" spans="1:3" x14ac:dyDescent="0.2">
      <c r="A7455" s="10" t="str">
        <f>IF(7447&gt;$C$9008,"",INDEX($B$9:$B$9008,MATCH(7447,$C$9:$C$9008,0)))</f>
        <v/>
      </c>
      <c r="B7455" s="9" t="str">
        <f>IFERROR(INDEX(Input!$L$20:$T$1019,INT((ROW()-9)/9)+1,MOD(ROW()-9,9)+1),"")</f>
        <v/>
      </c>
      <c r="C7455" s="9">
        <f t="shared" si="116"/>
        <v>0</v>
      </c>
    </row>
    <row r="7456" spans="1:3" x14ac:dyDescent="0.2">
      <c r="A7456" s="10" t="str">
        <f>IF(7448&gt;$C$9008,"",INDEX($B$9:$B$9008,MATCH(7448,$C$9:$C$9008,0)))</f>
        <v/>
      </c>
      <c r="B7456" s="9" t="str">
        <f>IFERROR(INDEX(Input!$L$20:$T$1019,INT((ROW()-9)/9)+1,MOD(ROW()-9,9)+1),"")</f>
        <v/>
      </c>
      <c r="C7456" s="9">
        <f t="shared" si="116"/>
        <v>0</v>
      </c>
    </row>
    <row r="7457" spans="1:3" x14ac:dyDescent="0.2">
      <c r="A7457" s="10" t="str">
        <f>IF(7449&gt;$C$9008,"",INDEX($B$9:$B$9008,MATCH(7449,$C$9:$C$9008,0)))</f>
        <v/>
      </c>
      <c r="B7457" s="9" t="str">
        <f>IFERROR(INDEX(Input!$L$20:$T$1019,INT((ROW()-9)/9)+1,MOD(ROW()-9,9)+1),"")</f>
        <v/>
      </c>
      <c r="C7457" s="9">
        <f t="shared" si="116"/>
        <v>0</v>
      </c>
    </row>
    <row r="7458" spans="1:3" x14ac:dyDescent="0.2">
      <c r="A7458" s="10" t="str">
        <f>IF(7450&gt;$C$9008,"",INDEX($B$9:$B$9008,MATCH(7450,$C$9:$C$9008,0)))</f>
        <v/>
      </c>
      <c r="B7458" s="9" t="str">
        <f>IFERROR(INDEX(Input!$L$20:$T$1019,INT((ROW()-9)/9)+1,MOD(ROW()-9,9)+1),"")</f>
        <v/>
      </c>
      <c r="C7458" s="9">
        <f t="shared" si="116"/>
        <v>0</v>
      </c>
    </row>
    <row r="7459" spans="1:3" x14ac:dyDescent="0.2">
      <c r="A7459" s="10" t="str">
        <f>IF(7451&gt;$C$9008,"",INDEX($B$9:$B$9008,MATCH(7451,$C$9:$C$9008,0)))</f>
        <v/>
      </c>
      <c r="B7459" s="9" t="str">
        <f>IFERROR(INDEX(Input!$L$20:$T$1019,INT((ROW()-9)/9)+1,MOD(ROW()-9,9)+1),"")</f>
        <v/>
      </c>
      <c r="C7459" s="9">
        <f t="shared" si="116"/>
        <v>0</v>
      </c>
    </row>
    <row r="7460" spans="1:3" x14ac:dyDescent="0.2">
      <c r="A7460" s="10" t="str">
        <f>IF(7452&gt;$C$9008,"",INDEX($B$9:$B$9008,MATCH(7452,$C$9:$C$9008,0)))</f>
        <v/>
      </c>
      <c r="B7460" s="9" t="str">
        <f>IFERROR(INDEX(Input!$L$20:$T$1019,INT((ROW()-9)/9)+1,MOD(ROW()-9,9)+1),"")</f>
        <v/>
      </c>
      <c r="C7460" s="9">
        <f t="shared" si="116"/>
        <v>0</v>
      </c>
    </row>
    <row r="7461" spans="1:3" x14ac:dyDescent="0.2">
      <c r="A7461" s="10" t="str">
        <f>IF(7453&gt;$C$9008,"",INDEX($B$9:$B$9008,MATCH(7453,$C$9:$C$9008,0)))</f>
        <v/>
      </c>
      <c r="B7461" s="9" t="str">
        <f>IFERROR(INDEX(Input!$L$20:$T$1019,INT((ROW()-9)/9)+1,MOD(ROW()-9,9)+1),"")</f>
        <v/>
      </c>
      <c r="C7461" s="9">
        <f t="shared" si="116"/>
        <v>0</v>
      </c>
    </row>
    <row r="7462" spans="1:3" x14ac:dyDescent="0.2">
      <c r="A7462" s="10" t="str">
        <f>IF(7454&gt;$C$9008,"",INDEX($B$9:$B$9008,MATCH(7454,$C$9:$C$9008,0)))</f>
        <v/>
      </c>
      <c r="B7462" s="9" t="str">
        <f>IFERROR(INDEX(Input!$L$20:$T$1019,INT((ROW()-9)/9)+1,MOD(ROW()-9,9)+1),"")</f>
        <v/>
      </c>
      <c r="C7462" s="9">
        <f t="shared" si="116"/>
        <v>0</v>
      </c>
    </row>
    <row r="7463" spans="1:3" x14ac:dyDescent="0.2">
      <c r="A7463" s="10" t="str">
        <f>IF(7455&gt;$C$9008,"",INDEX($B$9:$B$9008,MATCH(7455,$C$9:$C$9008,0)))</f>
        <v/>
      </c>
      <c r="B7463" s="9" t="str">
        <f>IFERROR(INDEX(Input!$L$20:$T$1019,INT((ROW()-9)/9)+1,MOD(ROW()-9,9)+1),"")</f>
        <v/>
      </c>
      <c r="C7463" s="9">
        <f t="shared" si="116"/>
        <v>0</v>
      </c>
    </row>
    <row r="7464" spans="1:3" x14ac:dyDescent="0.2">
      <c r="A7464" s="10" t="str">
        <f>IF(7456&gt;$C$9008,"",INDEX($B$9:$B$9008,MATCH(7456,$C$9:$C$9008,0)))</f>
        <v/>
      </c>
      <c r="B7464" s="9" t="str">
        <f>IFERROR(INDEX(Input!$L$20:$T$1019,INT((ROW()-9)/9)+1,MOD(ROW()-9,9)+1),"")</f>
        <v/>
      </c>
      <c r="C7464" s="9">
        <f t="shared" si="116"/>
        <v>0</v>
      </c>
    </row>
    <row r="7465" spans="1:3" x14ac:dyDescent="0.2">
      <c r="A7465" s="10" t="str">
        <f>IF(7457&gt;$C$9008,"",INDEX($B$9:$B$9008,MATCH(7457,$C$9:$C$9008,0)))</f>
        <v/>
      </c>
      <c r="B7465" s="9" t="str">
        <f>IFERROR(INDEX(Input!$L$20:$T$1019,INT((ROW()-9)/9)+1,MOD(ROW()-9,9)+1),"")</f>
        <v/>
      </c>
      <c r="C7465" s="9">
        <f t="shared" si="116"/>
        <v>0</v>
      </c>
    </row>
    <row r="7466" spans="1:3" x14ac:dyDescent="0.2">
      <c r="A7466" s="10" t="str">
        <f>IF(7458&gt;$C$9008,"",INDEX($B$9:$B$9008,MATCH(7458,$C$9:$C$9008,0)))</f>
        <v/>
      </c>
      <c r="B7466" s="9" t="str">
        <f>IFERROR(INDEX(Input!$L$20:$T$1019,INT((ROW()-9)/9)+1,MOD(ROW()-9,9)+1),"")</f>
        <v/>
      </c>
      <c r="C7466" s="9">
        <f t="shared" si="116"/>
        <v>0</v>
      </c>
    </row>
    <row r="7467" spans="1:3" x14ac:dyDescent="0.2">
      <c r="A7467" s="10" t="str">
        <f>IF(7459&gt;$C$9008,"",INDEX($B$9:$B$9008,MATCH(7459,$C$9:$C$9008,0)))</f>
        <v/>
      </c>
      <c r="B7467" s="9" t="str">
        <f>IFERROR(INDEX(Input!$L$20:$T$1019,INT((ROW()-9)/9)+1,MOD(ROW()-9,9)+1),"")</f>
        <v/>
      </c>
      <c r="C7467" s="9">
        <f t="shared" si="116"/>
        <v>0</v>
      </c>
    </row>
    <row r="7468" spans="1:3" x14ac:dyDescent="0.2">
      <c r="A7468" s="10" t="str">
        <f>IF(7460&gt;$C$9008,"",INDEX($B$9:$B$9008,MATCH(7460,$C$9:$C$9008,0)))</f>
        <v/>
      </c>
      <c r="B7468" s="9" t="str">
        <f>IFERROR(INDEX(Input!$L$20:$T$1019,INT((ROW()-9)/9)+1,MOD(ROW()-9,9)+1),"")</f>
        <v/>
      </c>
      <c r="C7468" s="9">
        <f t="shared" si="116"/>
        <v>0</v>
      </c>
    </row>
    <row r="7469" spans="1:3" x14ac:dyDescent="0.2">
      <c r="A7469" s="10" t="str">
        <f>IF(7461&gt;$C$9008,"",INDEX($B$9:$B$9008,MATCH(7461,$C$9:$C$9008,0)))</f>
        <v/>
      </c>
      <c r="B7469" s="9" t="str">
        <f>IFERROR(INDEX(Input!$L$20:$T$1019,INT((ROW()-9)/9)+1,MOD(ROW()-9,9)+1),"")</f>
        <v/>
      </c>
      <c r="C7469" s="9">
        <f t="shared" si="116"/>
        <v>0</v>
      </c>
    </row>
    <row r="7470" spans="1:3" x14ac:dyDescent="0.2">
      <c r="A7470" s="10" t="str">
        <f>IF(7462&gt;$C$9008,"",INDEX($B$9:$B$9008,MATCH(7462,$C$9:$C$9008,0)))</f>
        <v/>
      </c>
      <c r="B7470" s="9" t="str">
        <f>IFERROR(INDEX(Input!$L$20:$T$1019,INT((ROW()-9)/9)+1,MOD(ROW()-9,9)+1),"")</f>
        <v/>
      </c>
      <c r="C7470" s="9">
        <f t="shared" si="116"/>
        <v>0</v>
      </c>
    </row>
    <row r="7471" spans="1:3" x14ac:dyDescent="0.2">
      <c r="A7471" s="10" t="str">
        <f>IF(7463&gt;$C$9008,"",INDEX($B$9:$B$9008,MATCH(7463,$C$9:$C$9008,0)))</f>
        <v/>
      </c>
      <c r="B7471" s="9" t="str">
        <f>IFERROR(INDEX(Input!$L$20:$T$1019,INT((ROW()-9)/9)+1,MOD(ROW()-9,9)+1),"")</f>
        <v/>
      </c>
      <c r="C7471" s="9">
        <f t="shared" si="116"/>
        <v>0</v>
      </c>
    </row>
    <row r="7472" spans="1:3" x14ac:dyDescent="0.2">
      <c r="A7472" s="10" t="str">
        <f>IF(7464&gt;$C$9008,"",INDEX($B$9:$B$9008,MATCH(7464,$C$9:$C$9008,0)))</f>
        <v/>
      </c>
      <c r="B7472" s="9" t="str">
        <f>IFERROR(INDEX(Input!$L$20:$T$1019,INT((ROW()-9)/9)+1,MOD(ROW()-9,9)+1),"")</f>
        <v/>
      </c>
      <c r="C7472" s="9">
        <f t="shared" si="116"/>
        <v>0</v>
      </c>
    </row>
    <row r="7473" spans="1:3" x14ac:dyDescent="0.2">
      <c r="A7473" s="10" t="str">
        <f>IF(7465&gt;$C$9008,"",INDEX($B$9:$B$9008,MATCH(7465,$C$9:$C$9008,0)))</f>
        <v/>
      </c>
      <c r="B7473" s="9" t="str">
        <f>IFERROR(INDEX(Input!$L$20:$T$1019,INT((ROW()-9)/9)+1,MOD(ROW()-9,9)+1),"")</f>
        <v/>
      </c>
      <c r="C7473" s="9">
        <f t="shared" si="116"/>
        <v>0</v>
      </c>
    </row>
    <row r="7474" spans="1:3" x14ac:dyDescent="0.2">
      <c r="A7474" s="10" t="str">
        <f>IF(7466&gt;$C$9008,"",INDEX($B$9:$B$9008,MATCH(7466,$C$9:$C$9008,0)))</f>
        <v/>
      </c>
      <c r="B7474" s="9" t="str">
        <f>IFERROR(INDEX(Input!$L$20:$T$1019,INT((ROW()-9)/9)+1,MOD(ROW()-9,9)+1),"")</f>
        <v/>
      </c>
      <c r="C7474" s="9">
        <f t="shared" si="116"/>
        <v>0</v>
      </c>
    </row>
    <row r="7475" spans="1:3" x14ac:dyDescent="0.2">
      <c r="A7475" s="10" t="str">
        <f>IF(7467&gt;$C$9008,"",INDEX($B$9:$B$9008,MATCH(7467,$C$9:$C$9008,0)))</f>
        <v/>
      </c>
      <c r="B7475" s="9" t="str">
        <f>IFERROR(INDEX(Input!$L$20:$T$1019,INT((ROW()-9)/9)+1,MOD(ROW()-9,9)+1),"")</f>
        <v/>
      </c>
      <c r="C7475" s="9">
        <f t="shared" si="116"/>
        <v>0</v>
      </c>
    </row>
    <row r="7476" spans="1:3" x14ac:dyDescent="0.2">
      <c r="A7476" s="10" t="str">
        <f>IF(7468&gt;$C$9008,"",INDEX($B$9:$B$9008,MATCH(7468,$C$9:$C$9008,0)))</f>
        <v/>
      </c>
      <c r="B7476" s="9" t="str">
        <f>IFERROR(INDEX(Input!$L$20:$T$1019,INT((ROW()-9)/9)+1,MOD(ROW()-9,9)+1),"")</f>
        <v/>
      </c>
      <c r="C7476" s="9">
        <f t="shared" si="116"/>
        <v>0</v>
      </c>
    </row>
    <row r="7477" spans="1:3" x14ac:dyDescent="0.2">
      <c r="A7477" s="10" t="str">
        <f>IF(7469&gt;$C$9008,"",INDEX($B$9:$B$9008,MATCH(7469,$C$9:$C$9008,0)))</f>
        <v/>
      </c>
      <c r="B7477" s="9" t="str">
        <f>IFERROR(INDEX(Input!$L$20:$T$1019,INT((ROW()-9)/9)+1,MOD(ROW()-9,9)+1),"")</f>
        <v/>
      </c>
      <c r="C7477" s="9">
        <f t="shared" si="116"/>
        <v>0</v>
      </c>
    </row>
    <row r="7478" spans="1:3" x14ac:dyDescent="0.2">
      <c r="A7478" s="10" t="str">
        <f>IF(7470&gt;$C$9008,"",INDEX($B$9:$B$9008,MATCH(7470,$C$9:$C$9008,0)))</f>
        <v/>
      </c>
      <c r="B7478" s="9" t="str">
        <f>IFERROR(INDEX(Input!$L$20:$T$1019,INT((ROW()-9)/9)+1,MOD(ROW()-9,9)+1),"")</f>
        <v/>
      </c>
      <c r="C7478" s="9">
        <f t="shared" si="116"/>
        <v>0</v>
      </c>
    </row>
    <row r="7479" spans="1:3" x14ac:dyDescent="0.2">
      <c r="A7479" s="10" t="str">
        <f>IF(7471&gt;$C$9008,"",INDEX($B$9:$B$9008,MATCH(7471,$C$9:$C$9008,0)))</f>
        <v/>
      </c>
      <c r="B7479" s="9" t="str">
        <f>IFERROR(INDEX(Input!$L$20:$T$1019,INT((ROW()-9)/9)+1,MOD(ROW()-9,9)+1),"")</f>
        <v/>
      </c>
      <c r="C7479" s="9">
        <f t="shared" si="116"/>
        <v>0</v>
      </c>
    </row>
    <row r="7480" spans="1:3" x14ac:dyDescent="0.2">
      <c r="A7480" s="10" t="str">
        <f>IF(7472&gt;$C$9008,"",INDEX($B$9:$B$9008,MATCH(7472,$C$9:$C$9008,0)))</f>
        <v/>
      </c>
      <c r="B7480" s="9" t="str">
        <f>IFERROR(INDEX(Input!$L$20:$T$1019,INT((ROW()-9)/9)+1,MOD(ROW()-9,9)+1),"")</f>
        <v/>
      </c>
      <c r="C7480" s="9">
        <f t="shared" si="116"/>
        <v>0</v>
      </c>
    </row>
    <row r="7481" spans="1:3" x14ac:dyDescent="0.2">
      <c r="A7481" s="10" t="str">
        <f>IF(7473&gt;$C$9008,"",INDEX($B$9:$B$9008,MATCH(7473,$C$9:$C$9008,0)))</f>
        <v/>
      </c>
      <c r="B7481" s="9" t="str">
        <f>IFERROR(INDEX(Input!$L$20:$T$1019,INT((ROW()-9)/9)+1,MOD(ROW()-9,9)+1),"")</f>
        <v/>
      </c>
      <c r="C7481" s="9">
        <f t="shared" si="116"/>
        <v>0</v>
      </c>
    </row>
    <row r="7482" spans="1:3" x14ac:dyDescent="0.2">
      <c r="A7482" s="10" t="str">
        <f>IF(7474&gt;$C$9008,"",INDEX($B$9:$B$9008,MATCH(7474,$C$9:$C$9008,0)))</f>
        <v/>
      </c>
      <c r="B7482" s="9" t="str">
        <f>IFERROR(INDEX(Input!$L$20:$T$1019,INT((ROW()-9)/9)+1,MOD(ROW()-9,9)+1),"")</f>
        <v/>
      </c>
      <c r="C7482" s="9">
        <f t="shared" si="116"/>
        <v>0</v>
      </c>
    </row>
    <row r="7483" spans="1:3" x14ac:dyDescent="0.2">
      <c r="A7483" s="10" t="str">
        <f>IF(7475&gt;$C$9008,"",INDEX($B$9:$B$9008,MATCH(7475,$C$9:$C$9008,0)))</f>
        <v/>
      </c>
      <c r="B7483" s="9" t="str">
        <f>IFERROR(INDEX(Input!$L$20:$T$1019,INT((ROW()-9)/9)+1,MOD(ROW()-9,9)+1),"")</f>
        <v/>
      </c>
      <c r="C7483" s="9">
        <f t="shared" si="116"/>
        <v>0</v>
      </c>
    </row>
    <row r="7484" spans="1:3" x14ac:dyDescent="0.2">
      <c r="A7484" s="10" t="str">
        <f>IF(7476&gt;$C$9008,"",INDEX($B$9:$B$9008,MATCH(7476,$C$9:$C$9008,0)))</f>
        <v/>
      </c>
      <c r="B7484" s="9" t="str">
        <f>IFERROR(INDEX(Input!$L$20:$T$1019,INT((ROW()-9)/9)+1,MOD(ROW()-9,9)+1),"")</f>
        <v/>
      </c>
      <c r="C7484" s="9">
        <f t="shared" si="116"/>
        <v>0</v>
      </c>
    </row>
    <row r="7485" spans="1:3" x14ac:dyDescent="0.2">
      <c r="A7485" s="10" t="str">
        <f>IF(7477&gt;$C$9008,"",INDEX($B$9:$B$9008,MATCH(7477,$C$9:$C$9008,0)))</f>
        <v/>
      </c>
      <c r="B7485" s="9" t="str">
        <f>IFERROR(INDEX(Input!$L$20:$T$1019,INT((ROW()-9)/9)+1,MOD(ROW()-9,9)+1),"")</f>
        <v/>
      </c>
      <c r="C7485" s="9">
        <f t="shared" si="116"/>
        <v>0</v>
      </c>
    </row>
    <row r="7486" spans="1:3" x14ac:dyDescent="0.2">
      <c r="A7486" s="10" t="str">
        <f>IF(7478&gt;$C$9008,"",INDEX($B$9:$B$9008,MATCH(7478,$C$9:$C$9008,0)))</f>
        <v/>
      </c>
      <c r="B7486" s="9" t="str">
        <f>IFERROR(INDEX(Input!$L$20:$T$1019,INT((ROW()-9)/9)+1,MOD(ROW()-9,9)+1),"")</f>
        <v/>
      </c>
      <c r="C7486" s="9">
        <f t="shared" si="116"/>
        <v>0</v>
      </c>
    </row>
    <row r="7487" spans="1:3" x14ac:dyDescent="0.2">
      <c r="A7487" s="10" t="str">
        <f>IF(7479&gt;$C$9008,"",INDEX($B$9:$B$9008,MATCH(7479,$C$9:$C$9008,0)))</f>
        <v/>
      </c>
      <c r="B7487" s="9" t="str">
        <f>IFERROR(INDEX(Input!$L$20:$T$1019,INT((ROW()-9)/9)+1,MOD(ROW()-9,9)+1),"")</f>
        <v/>
      </c>
      <c r="C7487" s="9">
        <f t="shared" si="116"/>
        <v>0</v>
      </c>
    </row>
    <row r="7488" spans="1:3" x14ac:dyDescent="0.2">
      <c r="A7488" s="10" t="str">
        <f>IF(7480&gt;$C$9008,"",INDEX($B$9:$B$9008,MATCH(7480,$C$9:$C$9008,0)))</f>
        <v/>
      </c>
      <c r="B7488" s="9" t="str">
        <f>IFERROR(INDEX(Input!$L$20:$T$1019,INT((ROW()-9)/9)+1,MOD(ROW()-9,9)+1),"")</f>
        <v/>
      </c>
      <c r="C7488" s="9">
        <f t="shared" si="116"/>
        <v>0</v>
      </c>
    </row>
    <row r="7489" spans="1:3" x14ac:dyDescent="0.2">
      <c r="A7489" s="10" t="str">
        <f>IF(7481&gt;$C$9008,"",INDEX($B$9:$B$9008,MATCH(7481,$C$9:$C$9008,0)))</f>
        <v/>
      </c>
      <c r="B7489" s="9" t="str">
        <f>IFERROR(INDEX(Input!$L$20:$T$1019,INT((ROW()-9)/9)+1,MOD(ROW()-9,9)+1),"")</f>
        <v/>
      </c>
      <c r="C7489" s="9">
        <f t="shared" si="116"/>
        <v>0</v>
      </c>
    </row>
    <row r="7490" spans="1:3" x14ac:dyDescent="0.2">
      <c r="A7490" s="10" t="str">
        <f>IF(7482&gt;$C$9008,"",INDEX($B$9:$B$9008,MATCH(7482,$C$9:$C$9008,0)))</f>
        <v/>
      </c>
      <c r="B7490" s="9" t="str">
        <f>IFERROR(INDEX(Input!$L$20:$T$1019,INT((ROW()-9)/9)+1,MOD(ROW()-9,9)+1),"")</f>
        <v/>
      </c>
      <c r="C7490" s="9">
        <f t="shared" si="116"/>
        <v>0</v>
      </c>
    </row>
    <row r="7491" spans="1:3" x14ac:dyDescent="0.2">
      <c r="A7491" s="10" t="str">
        <f>IF(7483&gt;$C$9008,"",INDEX($B$9:$B$9008,MATCH(7483,$C$9:$C$9008,0)))</f>
        <v/>
      </c>
      <c r="B7491" s="9" t="str">
        <f>IFERROR(INDEX(Input!$L$20:$T$1019,INT((ROW()-9)/9)+1,MOD(ROW()-9,9)+1),"")</f>
        <v/>
      </c>
      <c r="C7491" s="9">
        <f t="shared" si="116"/>
        <v>0</v>
      </c>
    </row>
    <row r="7492" spans="1:3" x14ac:dyDescent="0.2">
      <c r="A7492" s="10" t="str">
        <f>IF(7484&gt;$C$9008,"",INDEX($B$9:$B$9008,MATCH(7484,$C$9:$C$9008,0)))</f>
        <v/>
      </c>
      <c r="B7492" s="9" t="str">
        <f>IFERROR(INDEX(Input!$L$20:$T$1019,INT((ROW()-9)/9)+1,MOD(ROW()-9,9)+1),"")</f>
        <v/>
      </c>
      <c r="C7492" s="9">
        <f t="shared" si="116"/>
        <v>0</v>
      </c>
    </row>
    <row r="7493" spans="1:3" x14ac:dyDescent="0.2">
      <c r="A7493" s="10" t="str">
        <f>IF(7485&gt;$C$9008,"",INDEX($B$9:$B$9008,MATCH(7485,$C$9:$C$9008,0)))</f>
        <v/>
      </c>
      <c r="B7493" s="9" t="str">
        <f>IFERROR(INDEX(Input!$L$20:$T$1019,INT((ROW()-9)/9)+1,MOD(ROW()-9,9)+1),"")</f>
        <v/>
      </c>
      <c r="C7493" s="9">
        <f t="shared" si="116"/>
        <v>0</v>
      </c>
    </row>
    <row r="7494" spans="1:3" x14ac:dyDescent="0.2">
      <c r="A7494" s="10" t="str">
        <f>IF(7486&gt;$C$9008,"",INDEX($B$9:$B$9008,MATCH(7486,$C$9:$C$9008,0)))</f>
        <v/>
      </c>
      <c r="B7494" s="9" t="str">
        <f>IFERROR(INDEX(Input!$L$20:$T$1019,INT((ROW()-9)/9)+1,MOD(ROW()-9,9)+1),"")</f>
        <v/>
      </c>
      <c r="C7494" s="9">
        <f t="shared" si="116"/>
        <v>0</v>
      </c>
    </row>
    <row r="7495" spans="1:3" x14ac:dyDescent="0.2">
      <c r="A7495" s="10" t="str">
        <f>IF(7487&gt;$C$9008,"",INDEX($B$9:$B$9008,MATCH(7487,$C$9:$C$9008,0)))</f>
        <v/>
      </c>
      <c r="B7495" s="9" t="str">
        <f>IFERROR(INDEX(Input!$L$20:$T$1019,INT((ROW()-9)/9)+1,MOD(ROW()-9,9)+1),"")</f>
        <v/>
      </c>
      <c r="C7495" s="9">
        <f t="shared" si="116"/>
        <v>0</v>
      </c>
    </row>
    <row r="7496" spans="1:3" x14ac:dyDescent="0.2">
      <c r="A7496" s="10" t="str">
        <f>IF(7488&gt;$C$9008,"",INDEX($B$9:$B$9008,MATCH(7488,$C$9:$C$9008,0)))</f>
        <v/>
      </c>
      <c r="B7496" s="9" t="str">
        <f>IFERROR(INDEX(Input!$L$20:$T$1019,INT((ROW()-9)/9)+1,MOD(ROW()-9,9)+1),"")</f>
        <v/>
      </c>
      <c r="C7496" s="9">
        <f t="shared" si="116"/>
        <v>0</v>
      </c>
    </row>
    <row r="7497" spans="1:3" x14ac:dyDescent="0.2">
      <c r="A7497" s="10" t="str">
        <f>IF(7489&gt;$C$9008,"",INDEX($B$9:$B$9008,MATCH(7489,$C$9:$C$9008,0)))</f>
        <v/>
      </c>
      <c r="B7497" s="9" t="str">
        <f>IFERROR(INDEX(Input!$L$20:$T$1019,INT((ROW()-9)/9)+1,MOD(ROW()-9,9)+1),"")</f>
        <v/>
      </c>
      <c r="C7497" s="9">
        <f t="shared" ref="C7497:C7560" si="117">$C7496+IF($B7497&lt;&gt;"",1,0)</f>
        <v>0</v>
      </c>
    </row>
    <row r="7498" spans="1:3" x14ac:dyDescent="0.2">
      <c r="A7498" s="10" t="str">
        <f>IF(7490&gt;$C$9008,"",INDEX($B$9:$B$9008,MATCH(7490,$C$9:$C$9008,0)))</f>
        <v/>
      </c>
      <c r="B7498" s="9" t="str">
        <f>IFERROR(INDEX(Input!$L$20:$T$1019,INT((ROW()-9)/9)+1,MOD(ROW()-9,9)+1),"")</f>
        <v/>
      </c>
      <c r="C7498" s="9">
        <f t="shared" si="117"/>
        <v>0</v>
      </c>
    </row>
    <row r="7499" spans="1:3" x14ac:dyDescent="0.2">
      <c r="A7499" s="10" t="str">
        <f>IF(7491&gt;$C$9008,"",INDEX($B$9:$B$9008,MATCH(7491,$C$9:$C$9008,0)))</f>
        <v/>
      </c>
      <c r="B7499" s="9" t="str">
        <f>IFERROR(INDEX(Input!$L$20:$T$1019,INT((ROW()-9)/9)+1,MOD(ROW()-9,9)+1),"")</f>
        <v/>
      </c>
      <c r="C7499" s="9">
        <f t="shared" si="117"/>
        <v>0</v>
      </c>
    </row>
    <row r="7500" spans="1:3" x14ac:dyDescent="0.2">
      <c r="A7500" s="10" t="str">
        <f>IF(7492&gt;$C$9008,"",INDEX($B$9:$B$9008,MATCH(7492,$C$9:$C$9008,0)))</f>
        <v/>
      </c>
      <c r="B7500" s="9" t="str">
        <f>IFERROR(INDEX(Input!$L$20:$T$1019,INT((ROW()-9)/9)+1,MOD(ROW()-9,9)+1),"")</f>
        <v/>
      </c>
      <c r="C7500" s="9">
        <f t="shared" si="117"/>
        <v>0</v>
      </c>
    </row>
    <row r="7501" spans="1:3" x14ac:dyDescent="0.2">
      <c r="A7501" s="10" t="str">
        <f>IF(7493&gt;$C$9008,"",INDEX($B$9:$B$9008,MATCH(7493,$C$9:$C$9008,0)))</f>
        <v/>
      </c>
      <c r="B7501" s="9" t="str">
        <f>IFERROR(INDEX(Input!$L$20:$T$1019,INT((ROW()-9)/9)+1,MOD(ROW()-9,9)+1),"")</f>
        <v/>
      </c>
      <c r="C7501" s="9">
        <f t="shared" si="117"/>
        <v>0</v>
      </c>
    </row>
    <row r="7502" spans="1:3" x14ac:dyDescent="0.2">
      <c r="A7502" s="10" t="str">
        <f>IF(7494&gt;$C$9008,"",INDEX($B$9:$B$9008,MATCH(7494,$C$9:$C$9008,0)))</f>
        <v/>
      </c>
      <c r="B7502" s="9" t="str">
        <f>IFERROR(INDEX(Input!$L$20:$T$1019,INT((ROW()-9)/9)+1,MOD(ROW()-9,9)+1),"")</f>
        <v/>
      </c>
      <c r="C7502" s="9">
        <f t="shared" si="117"/>
        <v>0</v>
      </c>
    </row>
    <row r="7503" spans="1:3" x14ac:dyDescent="0.2">
      <c r="A7503" s="10" t="str">
        <f>IF(7495&gt;$C$9008,"",INDEX($B$9:$B$9008,MATCH(7495,$C$9:$C$9008,0)))</f>
        <v/>
      </c>
      <c r="B7503" s="9" t="str">
        <f>IFERROR(INDEX(Input!$L$20:$T$1019,INT((ROW()-9)/9)+1,MOD(ROW()-9,9)+1),"")</f>
        <v/>
      </c>
      <c r="C7503" s="9">
        <f t="shared" si="117"/>
        <v>0</v>
      </c>
    </row>
    <row r="7504" spans="1:3" x14ac:dyDescent="0.2">
      <c r="A7504" s="10" t="str">
        <f>IF(7496&gt;$C$9008,"",INDEX($B$9:$B$9008,MATCH(7496,$C$9:$C$9008,0)))</f>
        <v/>
      </c>
      <c r="B7504" s="9" t="str">
        <f>IFERROR(INDEX(Input!$L$20:$T$1019,INT((ROW()-9)/9)+1,MOD(ROW()-9,9)+1),"")</f>
        <v/>
      </c>
      <c r="C7504" s="9">
        <f t="shared" si="117"/>
        <v>0</v>
      </c>
    </row>
    <row r="7505" spans="1:3" x14ac:dyDescent="0.2">
      <c r="A7505" s="10" t="str">
        <f>IF(7497&gt;$C$9008,"",INDEX($B$9:$B$9008,MATCH(7497,$C$9:$C$9008,0)))</f>
        <v/>
      </c>
      <c r="B7505" s="9" t="str">
        <f>IFERROR(INDEX(Input!$L$20:$T$1019,INT((ROW()-9)/9)+1,MOD(ROW()-9,9)+1),"")</f>
        <v/>
      </c>
      <c r="C7505" s="9">
        <f t="shared" si="117"/>
        <v>0</v>
      </c>
    </row>
    <row r="7506" spans="1:3" x14ac:dyDescent="0.2">
      <c r="A7506" s="10" t="str">
        <f>IF(7498&gt;$C$9008,"",INDEX($B$9:$B$9008,MATCH(7498,$C$9:$C$9008,0)))</f>
        <v/>
      </c>
      <c r="B7506" s="9" t="str">
        <f>IFERROR(INDEX(Input!$L$20:$T$1019,INT((ROW()-9)/9)+1,MOD(ROW()-9,9)+1),"")</f>
        <v/>
      </c>
      <c r="C7506" s="9">
        <f t="shared" si="117"/>
        <v>0</v>
      </c>
    </row>
    <row r="7507" spans="1:3" x14ac:dyDescent="0.2">
      <c r="A7507" s="10" t="str">
        <f>IF(7499&gt;$C$9008,"",INDEX($B$9:$B$9008,MATCH(7499,$C$9:$C$9008,0)))</f>
        <v/>
      </c>
      <c r="B7507" s="9" t="str">
        <f>IFERROR(INDEX(Input!$L$20:$T$1019,INT((ROW()-9)/9)+1,MOD(ROW()-9,9)+1),"")</f>
        <v/>
      </c>
      <c r="C7507" s="9">
        <f t="shared" si="117"/>
        <v>0</v>
      </c>
    </row>
    <row r="7508" spans="1:3" x14ac:dyDescent="0.2">
      <c r="A7508" s="10" t="str">
        <f>IF(7500&gt;$C$9008,"",INDEX($B$9:$B$9008,MATCH(7500,$C$9:$C$9008,0)))</f>
        <v/>
      </c>
      <c r="B7508" s="9" t="str">
        <f>IFERROR(INDEX(Input!$L$20:$T$1019,INT((ROW()-9)/9)+1,MOD(ROW()-9,9)+1),"")</f>
        <v/>
      </c>
      <c r="C7508" s="9">
        <f t="shared" si="117"/>
        <v>0</v>
      </c>
    </row>
    <row r="7509" spans="1:3" x14ac:dyDescent="0.2">
      <c r="A7509" s="10" t="str">
        <f>IF(7501&gt;$C$9008,"",INDEX($B$9:$B$9008,MATCH(7501,$C$9:$C$9008,0)))</f>
        <v/>
      </c>
      <c r="B7509" s="9" t="str">
        <f>IFERROR(INDEX(Input!$L$20:$T$1019,INT((ROW()-9)/9)+1,MOD(ROW()-9,9)+1),"")</f>
        <v/>
      </c>
      <c r="C7509" s="9">
        <f t="shared" si="117"/>
        <v>0</v>
      </c>
    </row>
    <row r="7510" spans="1:3" x14ac:dyDescent="0.2">
      <c r="A7510" s="10" t="str">
        <f>IF(7502&gt;$C$9008,"",INDEX($B$9:$B$9008,MATCH(7502,$C$9:$C$9008,0)))</f>
        <v/>
      </c>
      <c r="B7510" s="9" t="str">
        <f>IFERROR(INDEX(Input!$L$20:$T$1019,INT((ROW()-9)/9)+1,MOD(ROW()-9,9)+1),"")</f>
        <v/>
      </c>
      <c r="C7510" s="9">
        <f t="shared" si="117"/>
        <v>0</v>
      </c>
    </row>
    <row r="7511" spans="1:3" x14ac:dyDescent="0.2">
      <c r="A7511" s="10" t="str">
        <f>IF(7503&gt;$C$9008,"",INDEX($B$9:$B$9008,MATCH(7503,$C$9:$C$9008,0)))</f>
        <v/>
      </c>
      <c r="B7511" s="9" t="str">
        <f>IFERROR(INDEX(Input!$L$20:$T$1019,INT((ROW()-9)/9)+1,MOD(ROW()-9,9)+1),"")</f>
        <v/>
      </c>
      <c r="C7511" s="9">
        <f t="shared" si="117"/>
        <v>0</v>
      </c>
    </row>
    <row r="7512" spans="1:3" x14ac:dyDescent="0.2">
      <c r="A7512" s="10" t="str">
        <f>IF(7504&gt;$C$9008,"",INDEX($B$9:$B$9008,MATCH(7504,$C$9:$C$9008,0)))</f>
        <v/>
      </c>
      <c r="B7512" s="9" t="str">
        <f>IFERROR(INDEX(Input!$L$20:$T$1019,INT((ROW()-9)/9)+1,MOD(ROW()-9,9)+1),"")</f>
        <v/>
      </c>
      <c r="C7512" s="9">
        <f t="shared" si="117"/>
        <v>0</v>
      </c>
    </row>
    <row r="7513" spans="1:3" x14ac:dyDescent="0.2">
      <c r="A7513" s="10" t="str">
        <f>IF(7505&gt;$C$9008,"",INDEX($B$9:$B$9008,MATCH(7505,$C$9:$C$9008,0)))</f>
        <v/>
      </c>
      <c r="B7513" s="9" t="str">
        <f>IFERROR(INDEX(Input!$L$20:$T$1019,INT((ROW()-9)/9)+1,MOD(ROW()-9,9)+1),"")</f>
        <v/>
      </c>
      <c r="C7513" s="9">
        <f t="shared" si="117"/>
        <v>0</v>
      </c>
    </row>
    <row r="7514" spans="1:3" x14ac:dyDescent="0.2">
      <c r="A7514" s="10" t="str">
        <f>IF(7506&gt;$C$9008,"",INDEX($B$9:$B$9008,MATCH(7506,$C$9:$C$9008,0)))</f>
        <v/>
      </c>
      <c r="B7514" s="9" t="str">
        <f>IFERROR(INDEX(Input!$L$20:$T$1019,INT((ROW()-9)/9)+1,MOD(ROW()-9,9)+1),"")</f>
        <v/>
      </c>
      <c r="C7514" s="9">
        <f t="shared" si="117"/>
        <v>0</v>
      </c>
    </row>
    <row r="7515" spans="1:3" x14ac:dyDescent="0.2">
      <c r="A7515" s="10" t="str">
        <f>IF(7507&gt;$C$9008,"",INDEX($B$9:$B$9008,MATCH(7507,$C$9:$C$9008,0)))</f>
        <v/>
      </c>
      <c r="B7515" s="9" t="str">
        <f>IFERROR(INDEX(Input!$L$20:$T$1019,INT((ROW()-9)/9)+1,MOD(ROW()-9,9)+1),"")</f>
        <v/>
      </c>
      <c r="C7515" s="9">
        <f t="shared" si="117"/>
        <v>0</v>
      </c>
    </row>
    <row r="7516" spans="1:3" x14ac:dyDescent="0.2">
      <c r="A7516" s="10" t="str">
        <f>IF(7508&gt;$C$9008,"",INDEX($B$9:$B$9008,MATCH(7508,$C$9:$C$9008,0)))</f>
        <v/>
      </c>
      <c r="B7516" s="9" t="str">
        <f>IFERROR(INDEX(Input!$L$20:$T$1019,INT((ROW()-9)/9)+1,MOD(ROW()-9,9)+1),"")</f>
        <v/>
      </c>
      <c r="C7516" s="9">
        <f t="shared" si="117"/>
        <v>0</v>
      </c>
    </row>
    <row r="7517" spans="1:3" x14ac:dyDescent="0.2">
      <c r="A7517" s="10" t="str">
        <f>IF(7509&gt;$C$9008,"",INDEX($B$9:$B$9008,MATCH(7509,$C$9:$C$9008,0)))</f>
        <v/>
      </c>
      <c r="B7517" s="9" t="str">
        <f>IFERROR(INDEX(Input!$L$20:$T$1019,INT((ROW()-9)/9)+1,MOD(ROW()-9,9)+1),"")</f>
        <v/>
      </c>
      <c r="C7517" s="9">
        <f t="shared" si="117"/>
        <v>0</v>
      </c>
    </row>
    <row r="7518" spans="1:3" x14ac:dyDescent="0.2">
      <c r="A7518" s="10" t="str">
        <f>IF(7510&gt;$C$9008,"",INDEX($B$9:$B$9008,MATCH(7510,$C$9:$C$9008,0)))</f>
        <v/>
      </c>
      <c r="B7518" s="9" t="str">
        <f>IFERROR(INDEX(Input!$L$20:$T$1019,INT((ROW()-9)/9)+1,MOD(ROW()-9,9)+1),"")</f>
        <v/>
      </c>
      <c r="C7518" s="9">
        <f t="shared" si="117"/>
        <v>0</v>
      </c>
    </row>
    <row r="7519" spans="1:3" x14ac:dyDescent="0.2">
      <c r="A7519" s="10" t="str">
        <f>IF(7511&gt;$C$9008,"",INDEX($B$9:$B$9008,MATCH(7511,$C$9:$C$9008,0)))</f>
        <v/>
      </c>
      <c r="B7519" s="9" t="str">
        <f>IFERROR(INDEX(Input!$L$20:$T$1019,INT((ROW()-9)/9)+1,MOD(ROW()-9,9)+1),"")</f>
        <v/>
      </c>
      <c r="C7519" s="9">
        <f t="shared" si="117"/>
        <v>0</v>
      </c>
    </row>
    <row r="7520" spans="1:3" x14ac:dyDescent="0.2">
      <c r="A7520" s="10" t="str">
        <f>IF(7512&gt;$C$9008,"",INDEX($B$9:$B$9008,MATCH(7512,$C$9:$C$9008,0)))</f>
        <v/>
      </c>
      <c r="B7520" s="9" t="str">
        <f>IFERROR(INDEX(Input!$L$20:$T$1019,INT((ROW()-9)/9)+1,MOD(ROW()-9,9)+1),"")</f>
        <v/>
      </c>
      <c r="C7520" s="9">
        <f t="shared" si="117"/>
        <v>0</v>
      </c>
    </row>
    <row r="7521" spans="1:3" x14ac:dyDescent="0.2">
      <c r="A7521" s="10" t="str">
        <f>IF(7513&gt;$C$9008,"",INDEX($B$9:$B$9008,MATCH(7513,$C$9:$C$9008,0)))</f>
        <v/>
      </c>
      <c r="B7521" s="9" t="str">
        <f>IFERROR(INDEX(Input!$L$20:$T$1019,INT((ROW()-9)/9)+1,MOD(ROW()-9,9)+1),"")</f>
        <v/>
      </c>
      <c r="C7521" s="9">
        <f t="shared" si="117"/>
        <v>0</v>
      </c>
    </row>
    <row r="7522" spans="1:3" x14ac:dyDescent="0.2">
      <c r="A7522" s="10" t="str">
        <f>IF(7514&gt;$C$9008,"",INDEX($B$9:$B$9008,MATCH(7514,$C$9:$C$9008,0)))</f>
        <v/>
      </c>
      <c r="B7522" s="9" t="str">
        <f>IFERROR(INDEX(Input!$L$20:$T$1019,INT((ROW()-9)/9)+1,MOD(ROW()-9,9)+1),"")</f>
        <v/>
      </c>
      <c r="C7522" s="9">
        <f t="shared" si="117"/>
        <v>0</v>
      </c>
    </row>
    <row r="7523" spans="1:3" x14ac:dyDescent="0.2">
      <c r="A7523" s="10" t="str">
        <f>IF(7515&gt;$C$9008,"",INDEX($B$9:$B$9008,MATCH(7515,$C$9:$C$9008,0)))</f>
        <v/>
      </c>
      <c r="B7523" s="9" t="str">
        <f>IFERROR(INDEX(Input!$L$20:$T$1019,INT((ROW()-9)/9)+1,MOD(ROW()-9,9)+1),"")</f>
        <v/>
      </c>
      <c r="C7523" s="9">
        <f t="shared" si="117"/>
        <v>0</v>
      </c>
    </row>
    <row r="7524" spans="1:3" x14ac:dyDescent="0.2">
      <c r="A7524" s="10" t="str">
        <f>IF(7516&gt;$C$9008,"",INDEX($B$9:$B$9008,MATCH(7516,$C$9:$C$9008,0)))</f>
        <v/>
      </c>
      <c r="B7524" s="9" t="str">
        <f>IFERROR(INDEX(Input!$L$20:$T$1019,INT((ROW()-9)/9)+1,MOD(ROW()-9,9)+1),"")</f>
        <v/>
      </c>
      <c r="C7524" s="9">
        <f t="shared" si="117"/>
        <v>0</v>
      </c>
    </row>
    <row r="7525" spans="1:3" x14ac:dyDescent="0.2">
      <c r="A7525" s="10" t="str">
        <f>IF(7517&gt;$C$9008,"",INDEX($B$9:$B$9008,MATCH(7517,$C$9:$C$9008,0)))</f>
        <v/>
      </c>
      <c r="B7525" s="9" t="str">
        <f>IFERROR(INDEX(Input!$L$20:$T$1019,INT((ROW()-9)/9)+1,MOD(ROW()-9,9)+1),"")</f>
        <v/>
      </c>
      <c r="C7525" s="9">
        <f t="shared" si="117"/>
        <v>0</v>
      </c>
    </row>
    <row r="7526" spans="1:3" x14ac:dyDescent="0.2">
      <c r="A7526" s="10" t="str">
        <f>IF(7518&gt;$C$9008,"",INDEX($B$9:$B$9008,MATCH(7518,$C$9:$C$9008,0)))</f>
        <v/>
      </c>
      <c r="B7526" s="9" t="str">
        <f>IFERROR(INDEX(Input!$L$20:$T$1019,INT((ROW()-9)/9)+1,MOD(ROW()-9,9)+1),"")</f>
        <v/>
      </c>
      <c r="C7526" s="9">
        <f t="shared" si="117"/>
        <v>0</v>
      </c>
    </row>
    <row r="7527" spans="1:3" x14ac:dyDescent="0.2">
      <c r="A7527" s="10" t="str">
        <f>IF(7519&gt;$C$9008,"",INDEX($B$9:$B$9008,MATCH(7519,$C$9:$C$9008,0)))</f>
        <v/>
      </c>
      <c r="B7527" s="9" t="str">
        <f>IFERROR(INDEX(Input!$L$20:$T$1019,INT((ROW()-9)/9)+1,MOD(ROW()-9,9)+1),"")</f>
        <v/>
      </c>
      <c r="C7527" s="9">
        <f t="shared" si="117"/>
        <v>0</v>
      </c>
    </row>
    <row r="7528" spans="1:3" x14ac:dyDescent="0.2">
      <c r="A7528" s="10" t="str">
        <f>IF(7520&gt;$C$9008,"",INDEX($B$9:$B$9008,MATCH(7520,$C$9:$C$9008,0)))</f>
        <v/>
      </c>
      <c r="B7528" s="9" t="str">
        <f>IFERROR(INDEX(Input!$L$20:$T$1019,INT((ROW()-9)/9)+1,MOD(ROW()-9,9)+1),"")</f>
        <v/>
      </c>
      <c r="C7528" s="9">
        <f t="shared" si="117"/>
        <v>0</v>
      </c>
    </row>
    <row r="7529" spans="1:3" x14ac:dyDescent="0.2">
      <c r="A7529" s="10" t="str">
        <f>IF(7521&gt;$C$9008,"",INDEX($B$9:$B$9008,MATCH(7521,$C$9:$C$9008,0)))</f>
        <v/>
      </c>
      <c r="B7529" s="9" t="str">
        <f>IFERROR(INDEX(Input!$L$20:$T$1019,INT((ROW()-9)/9)+1,MOD(ROW()-9,9)+1),"")</f>
        <v/>
      </c>
      <c r="C7529" s="9">
        <f t="shared" si="117"/>
        <v>0</v>
      </c>
    </row>
    <row r="7530" spans="1:3" x14ac:dyDescent="0.2">
      <c r="A7530" s="10" t="str">
        <f>IF(7522&gt;$C$9008,"",INDEX($B$9:$B$9008,MATCH(7522,$C$9:$C$9008,0)))</f>
        <v/>
      </c>
      <c r="B7530" s="9" t="str">
        <f>IFERROR(INDEX(Input!$L$20:$T$1019,INT((ROW()-9)/9)+1,MOD(ROW()-9,9)+1),"")</f>
        <v/>
      </c>
      <c r="C7530" s="9">
        <f t="shared" si="117"/>
        <v>0</v>
      </c>
    </row>
    <row r="7531" spans="1:3" x14ac:dyDescent="0.2">
      <c r="A7531" s="10" t="str">
        <f>IF(7523&gt;$C$9008,"",INDEX($B$9:$B$9008,MATCH(7523,$C$9:$C$9008,0)))</f>
        <v/>
      </c>
      <c r="B7531" s="9" t="str">
        <f>IFERROR(INDEX(Input!$L$20:$T$1019,INT((ROW()-9)/9)+1,MOD(ROW()-9,9)+1),"")</f>
        <v/>
      </c>
      <c r="C7531" s="9">
        <f t="shared" si="117"/>
        <v>0</v>
      </c>
    </row>
    <row r="7532" spans="1:3" x14ac:dyDescent="0.2">
      <c r="A7532" s="10" t="str">
        <f>IF(7524&gt;$C$9008,"",INDEX($B$9:$B$9008,MATCH(7524,$C$9:$C$9008,0)))</f>
        <v/>
      </c>
      <c r="B7532" s="9" t="str">
        <f>IFERROR(INDEX(Input!$L$20:$T$1019,INT((ROW()-9)/9)+1,MOD(ROW()-9,9)+1),"")</f>
        <v/>
      </c>
      <c r="C7532" s="9">
        <f t="shared" si="117"/>
        <v>0</v>
      </c>
    </row>
    <row r="7533" spans="1:3" x14ac:dyDescent="0.2">
      <c r="A7533" s="10" t="str">
        <f>IF(7525&gt;$C$9008,"",INDEX($B$9:$B$9008,MATCH(7525,$C$9:$C$9008,0)))</f>
        <v/>
      </c>
      <c r="B7533" s="9" t="str">
        <f>IFERROR(INDEX(Input!$L$20:$T$1019,INT((ROW()-9)/9)+1,MOD(ROW()-9,9)+1),"")</f>
        <v/>
      </c>
      <c r="C7533" s="9">
        <f t="shared" si="117"/>
        <v>0</v>
      </c>
    </row>
    <row r="7534" spans="1:3" x14ac:dyDescent="0.2">
      <c r="A7534" s="10" t="str">
        <f>IF(7526&gt;$C$9008,"",INDEX($B$9:$B$9008,MATCH(7526,$C$9:$C$9008,0)))</f>
        <v/>
      </c>
      <c r="B7534" s="9" t="str">
        <f>IFERROR(INDEX(Input!$L$20:$T$1019,INT((ROW()-9)/9)+1,MOD(ROW()-9,9)+1),"")</f>
        <v/>
      </c>
      <c r="C7534" s="9">
        <f t="shared" si="117"/>
        <v>0</v>
      </c>
    </row>
    <row r="7535" spans="1:3" x14ac:dyDescent="0.2">
      <c r="A7535" s="10" t="str">
        <f>IF(7527&gt;$C$9008,"",INDEX($B$9:$B$9008,MATCH(7527,$C$9:$C$9008,0)))</f>
        <v/>
      </c>
      <c r="B7535" s="9" t="str">
        <f>IFERROR(INDEX(Input!$L$20:$T$1019,INT((ROW()-9)/9)+1,MOD(ROW()-9,9)+1),"")</f>
        <v/>
      </c>
      <c r="C7535" s="9">
        <f t="shared" si="117"/>
        <v>0</v>
      </c>
    </row>
    <row r="7536" spans="1:3" x14ac:dyDescent="0.2">
      <c r="A7536" s="10" t="str">
        <f>IF(7528&gt;$C$9008,"",INDEX($B$9:$B$9008,MATCH(7528,$C$9:$C$9008,0)))</f>
        <v/>
      </c>
      <c r="B7536" s="9" t="str">
        <f>IFERROR(INDEX(Input!$L$20:$T$1019,INT((ROW()-9)/9)+1,MOD(ROW()-9,9)+1),"")</f>
        <v/>
      </c>
      <c r="C7536" s="9">
        <f t="shared" si="117"/>
        <v>0</v>
      </c>
    </row>
    <row r="7537" spans="1:3" x14ac:dyDescent="0.2">
      <c r="A7537" s="10" t="str">
        <f>IF(7529&gt;$C$9008,"",INDEX($B$9:$B$9008,MATCH(7529,$C$9:$C$9008,0)))</f>
        <v/>
      </c>
      <c r="B7537" s="9" t="str">
        <f>IFERROR(INDEX(Input!$L$20:$T$1019,INT((ROW()-9)/9)+1,MOD(ROW()-9,9)+1),"")</f>
        <v/>
      </c>
      <c r="C7537" s="9">
        <f t="shared" si="117"/>
        <v>0</v>
      </c>
    </row>
    <row r="7538" spans="1:3" x14ac:dyDescent="0.2">
      <c r="A7538" s="10" t="str">
        <f>IF(7530&gt;$C$9008,"",INDEX($B$9:$B$9008,MATCH(7530,$C$9:$C$9008,0)))</f>
        <v/>
      </c>
      <c r="B7538" s="9" t="str">
        <f>IFERROR(INDEX(Input!$L$20:$T$1019,INT((ROW()-9)/9)+1,MOD(ROW()-9,9)+1),"")</f>
        <v/>
      </c>
      <c r="C7538" s="9">
        <f t="shared" si="117"/>
        <v>0</v>
      </c>
    </row>
    <row r="7539" spans="1:3" x14ac:dyDescent="0.2">
      <c r="A7539" s="10" t="str">
        <f>IF(7531&gt;$C$9008,"",INDEX($B$9:$B$9008,MATCH(7531,$C$9:$C$9008,0)))</f>
        <v/>
      </c>
      <c r="B7539" s="9" t="str">
        <f>IFERROR(INDEX(Input!$L$20:$T$1019,INT((ROW()-9)/9)+1,MOD(ROW()-9,9)+1),"")</f>
        <v/>
      </c>
      <c r="C7539" s="9">
        <f t="shared" si="117"/>
        <v>0</v>
      </c>
    </row>
    <row r="7540" spans="1:3" x14ac:dyDescent="0.2">
      <c r="A7540" s="10" t="str">
        <f>IF(7532&gt;$C$9008,"",INDEX($B$9:$B$9008,MATCH(7532,$C$9:$C$9008,0)))</f>
        <v/>
      </c>
      <c r="B7540" s="9" t="str">
        <f>IFERROR(INDEX(Input!$L$20:$T$1019,INT((ROW()-9)/9)+1,MOD(ROW()-9,9)+1),"")</f>
        <v/>
      </c>
      <c r="C7540" s="9">
        <f t="shared" si="117"/>
        <v>0</v>
      </c>
    </row>
    <row r="7541" spans="1:3" x14ac:dyDescent="0.2">
      <c r="A7541" s="10" t="str">
        <f>IF(7533&gt;$C$9008,"",INDEX($B$9:$B$9008,MATCH(7533,$C$9:$C$9008,0)))</f>
        <v/>
      </c>
      <c r="B7541" s="9" t="str">
        <f>IFERROR(INDEX(Input!$L$20:$T$1019,INT((ROW()-9)/9)+1,MOD(ROW()-9,9)+1),"")</f>
        <v/>
      </c>
      <c r="C7541" s="9">
        <f t="shared" si="117"/>
        <v>0</v>
      </c>
    </row>
    <row r="7542" spans="1:3" x14ac:dyDescent="0.2">
      <c r="A7542" s="10" t="str">
        <f>IF(7534&gt;$C$9008,"",INDEX($B$9:$B$9008,MATCH(7534,$C$9:$C$9008,0)))</f>
        <v/>
      </c>
      <c r="B7542" s="9" t="str">
        <f>IFERROR(INDEX(Input!$L$20:$T$1019,INT((ROW()-9)/9)+1,MOD(ROW()-9,9)+1),"")</f>
        <v/>
      </c>
      <c r="C7542" s="9">
        <f t="shared" si="117"/>
        <v>0</v>
      </c>
    </row>
    <row r="7543" spans="1:3" x14ac:dyDescent="0.2">
      <c r="A7543" s="10" t="str">
        <f>IF(7535&gt;$C$9008,"",INDEX($B$9:$B$9008,MATCH(7535,$C$9:$C$9008,0)))</f>
        <v/>
      </c>
      <c r="B7543" s="9" t="str">
        <f>IFERROR(INDEX(Input!$L$20:$T$1019,INT((ROW()-9)/9)+1,MOD(ROW()-9,9)+1),"")</f>
        <v/>
      </c>
      <c r="C7543" s="9">
        <f t="shared" si="117"/>
        <v>0</v>
      </c>
    </row>
    <row r="7544" spans="1:3" x14ac:dyDescent="0.2">
      <c r="A7544" s="10" t="str">
        <f>IF(7536&gt;$C$9008,"",INDEX($B$9:$B$9008,MATCH(7536,$C$9:$C$9008,0)))</f>
        <v/>
      </c>
      <c r="B7544" s="9" t="str">
        <f>IFERROR(INDEX(Input!$L$20:$T$1019,INT((ROW()-9)/9)+1,MOD(ROW()-9,9)+1),"")</f>
        <v/>
      </c>
      <c r="C7544" s="9">
        <f t="shared" si="117"/>
        <v>0</v>
      </c>
    </row>
    <row r="7545" spans="1:3" x14ac:dyDescent="0.2">
      <c r="A7545" s="10" t="str">
        <f>IF(7537&gt;$C$9008,"",INDEX($B$9:$B$9008,MATCH(7537,$C$9:$C$9008,0)))</f>
        <v/>
      </c>
      <c r="B7545" s="9" t="str">
        <f>IFERROR(INDEX(Input!$L$20:$T$1019,INT((ROW()-9)/9)+1,MOD(ROW()-9,9)+1),"")</f>
        <v/>
      </c>
      <c r="C7545" s="9">
        <f t="shared" si="117"/>
        <v>0</v>
      </c>
    </row>
    <row r="7546" spans="1:3" x14ac:dyDescent="0.2">
      <c r="A7546" s="10" t="str">
        <f>IF(7538&gt;$C$9008,"",INDEX($B$9:$B$9008,MATCH(7538,$C$9:$C$9008,0)))</f>
        <v/>
      </c>
      <c r="B7546" s="9" t="str">
        <f>IFERROR(INDEX(Input!$L$20:$T$1019,INT((ROW()-9)/9)+1,MOD(ROW()-9,9)+1),"")</f>
        <v/>
      </c>
      <c r="C7546" s="9">
        <f t="shared" si="117"/>
        <v>0</v>
      </c>
    </row>
    <row r="7547" spans="1:3" x14ac:dyDescent="0.2">
      <c r="A7547" s="10" t="str">
        <f>IF(7539&gt;$C$9008,"",INDEX($B$9:$B$9008,MATCH(7539,$C$9:$C$9008,0)))</f>
        <v/>
      </c>
      <c r="B7547" s="9" t="str">
        <f>IFERROR(INDEX(Input!$L$20:$T$1019,INT((ROW()-9)/9)+1,MOD(ROW()-9,9)+1),"")</f>
        <v/>
      </c>
      <c r="C7547" s="9">
        <f t="shared" si="117"/>
        <v>0</v>
      </c>
    </row>
    <row r="7548" spans="1:3" x14ac:dyDescent="0.2">
      <c r="A7548" s="10" t="str">
        <f>IF(7540&gt;$C$9008,"",INDEX($B$9:$B$9008,MATCH(7540,$C$9:$C$9008,0)))</f>
        <v/>
      </c>
      <c r="B7548" s="9" t="str">
        <f>IFERROR(INDEX(Input!$L$20:$T$1019,INT((ROW()-9)/9)+1,MOD(ROW()-9,9)+1),"")</f>
        <v/>
      </c>
      <c r="C7548" s="9">
        <f t="shared" si="117"/>
        <v>0</v>
      </c>
    </row>
    <row r="7549" spans="1:3" x14ac:dyDescent="0.2">
      <c r="A7549" s="10" t="str">
        <f>IF(7541&gt;$C$9008,"",INDEX($B$9:$B$9008,MATCH(7541,$C$9:$C$9008,0)))</f>
        <v/>
      </c>
      <c r="B7549" s="9" t="str">
        <f>IFERROR(INDEX(Input!$L$20:$T$1019,INT((ROW()-9)/9)+1,MOD(ROW()-9,9)+1),"")</f>
        <v/>
      </c>
      <c r="C7549" s="9">
        <f t="shared" si="117"/>
        <v>0</v>
      </c>
    </row>
    <row r="7550" spans="1:3" x14ac:dyDescent="0.2">
      <c r="A7550" s="10" t="str">
        <f>IF(7542&gt;$C$9008,"",INDEX($B$9:$B$9008,MATCH(7542,$C$9:$C$9008,0)))</f>
        <v/>
      </c>
      <c r="B7550" s="9" t="str">
        <f>IFERROR(INDEX(Input!$L$20:$T$1019,INT((ROW()-9)/9)+1,MOD(ROW()-9,9)+1),"")</f>
        <v/>
      </c>
      <c r="C7550" s="9">
        <f t="shared" si="117"/>
        <v>0</v>
      </c>
    </row>
    <row r="7551" spans="1:3" x14ac:dyDescent="0.2">
      <c r="A7551" s="10" t="str">
        <f>IF(7543&gt;$C$9008,"",INDEX($B$9:$B$9008,MATCH(7543,$C$9:$C$9008,0)))</f>
        <v/>
      </c>
      <c r="B7551" s="9" t="str">
        <f>IFERROR(INDEX(Input!$L$20:$T$1019,INT((ROW()-9)/9)+1,MOD(ROW()-9,9)+1),"")</f>
        <v/>
      </c>
      <c r="C7551" s="9">
        <f t="shared" si="117"/>
        <v>0</v>
      </c>
    </row>
    <row r="7552" spans="1:3" x14ac:dyDescent="0.2">
      <c r="A7552" s="10" t="str">
        <f>IF(7544&gt;$C$9008,"",INDEX($B$9:$B$9008,MATCH(7544,$C$9:$C$9008,0)))</f>
        <v/>
      </c>
      <c r="B7552" s="9" t="str">
        <f>IFERROR(INDEX(Input!$L$20:$T$1019,INT((ROW()-9)/9)+1,MOD(ROW()-9,9)+1),"")</f>
        <v/>
      </c>
      <c r="C7552" s="9">
        <f t="shared" si="117"/>
        <v>0</v>
      </c>
    </row>
    <row r="7553" spans="1:3" x14ac:dyDescent="0.2">
      <c r="A7553" s="10" t="str">
        <f>IF(7545&gt;$C$9008,"",INDEX($B$9:$B$9008,MATCH(7545,$C$9:$C$9008,0)))</f>
        <v/>
      </c>
      <c r="B7553" s="9" t="str">
        <f>IFERROR(INDEX(Input!$L$20:$T$1019,INT((ROW()-9)/9)+1,MOD(ROW()-9,9)+1),"")</f>
        <v/>
      </c>
      <c r="C7553" s="9">
        <f t="shared" si="117"/>
        <v>0</v>
      </c>
    </row>
    <row r="7554" spans="1:3" x14ac:dyDescent="0.2">
      <c r="A7554" s="10" t="str">
        <f>IF(7546&gt;$C$9008,"",INDEX($B$9:$B$9008,MATCH(7546,$C$9:$C$9008,0)))</f>
        <v/>
      </c>
      <c r="B7554" s="9" t="str">
        <f>IFERROR(INDEX(Input!$L$20:$T$1019,INT((ROW()-9)/9)+1,MOD(ROW()-9,9)+1),"")</f>
        <v/>
      </c>
      <c r="C7554" s="9">
        <f t="shared" si="117"/>
        <v>0</v>
      </c>
    </row>
    <row r="7555" spans="1:3" x14ac:dyDescent="0.2">
      <c r="A7555" s="10" t="str">
        <f>IF(7547&gt;$C$9008,"",INDEX($B$9:$B$9008,MATCH(7547,$C$9:$C$9008,0)))</f>
        <v/>
      </c>
      <c r="B7555" s="9" t="str">
        <f>IFERROR(INDEX(Input!$L$20:$T$1019,INT((ROW()-9)/9)+1,MOD(ROW()-9,9)+1),"")</f>
        <v/>
      </c>
      <c r="C7555" s="9">
        <f t="shared" si="117"/>
        <v>0</v>
      </c>
    </row>
    <row r="7556" spans="1:3" x14ac:dyDescent="0.2">
      <c r="A7556" s="10" t="str">
        <f>IF(7548&gt;$C$9008,"",INDEX($B$9:$B$9008,MATCH(7548,$C$9:$C$9008,0)))</f>
        <v/>
      </c>
      <c r="B7556" s="9" t="str">
        <f>IFERROR(INDEX(Input!$L$20:$T$1019,INT((ROW()-9)/9)+1,MOD(ROW()-9,9)+1),"")</f>
        <v/>
      </c>
      <c r="C7556" s="9">
        <f t="shared" si="117"/>
        <v>0</v>
      </c>
    </row>
    <row r="7557" spans="1:3" x14ac:dyDescent="0.2">
      <c r="A7557" s="10" t="str">
        <f>IF(7549&gt;$C$9008,"",INDEX($B$9:$B$9008,MATCH(7549,$C$9:$C$9008,0)))</f>
        <v/>
      </c>
      <c r="B7557" s="9" t="str">
        <f>IFERROR(INDEX(Input!$L$20:$T$1019,INT((ROW()-9)/9)+1,MOD(ROW()-9,9)+1),"")</f>
        <v/>
      </c>
      <c r="C7557" s="9">
        <f t="shared" si="117"/>
        <v>0</v>
      </c>
    </row>
    <row r="7558" spans="1:3" x14ac:dyDescent="0.2">
      <c r="A7558" s="10" t="str">
        <f>IF(7550&gt;$C$9008,"",INDEX($B$9:$B$9008,MATCH(7550,$C$9:$C$9008,0)))</f>
        <v/>
      </c>
      <c r="B7558" s="9" t="str">
        <f>IFERROR(INDEX(Input!$L$20:$T$1019,INT((ROW()-9)/9)+1,MOD(ROW()-9,9)+1),"")</f>
        <v/>
      </c>
      <c r="C7558" s="9">
        <f t="shared" si="117"/>
        <v>0</v>
      </c>
    </row>
    <row r="7559" spans="1:3" x14ac:dyDescent="0.2">
      <c r="A7559" s="10" t="str">
        <f>IF(7551&gt;$C$9008,"",INDEX($B$9:$B$9008,MATCH(7551,$C$9:$C$9008,0)))</f>
        <v/>
      </c>
      <c r="B7559" s="9" t="str">
        <f>IFERROR(INDEX(Input!$L$20:$T$1019,INT((ROW()-9)/9)+1,MOD(ROW()-9,9)+1),"")</f>
        <v/>
      </c>
      <c r="C7559" s="9">
        <f t="shared" si="117"/>
        <v>0</v>
      </c>
    </row>
    <row r="7560" spans="1:3" x14ac:dyDescent="0.2">
      <c r="A7560" s="10" t="str">
        <f>IF(7552&gt;$C$9008,"",INDEX($B$9:$B$9008,MATCH(7552,$C$9:$C$9008,0)))</f>
        <v/>
      </c>
      <c r="B7560" s="9" t="str">
        <f>IFERROR(INDEX(Input!$L$20:$T$1019,INT((ROW()-9)/9)+1,MOD(ROW()-9,9)+1),"")</f>
        <v/>
      </c>
      <c r="C7560" s="9">
        <f t="shared" si="117"/>
        <v>0</v>
      </c>
    </row>
    <row r="7561" spans="1:3" x14ac:dyDescent="0.2">
      <c r="A7561" s="10" t="str">
        <f>IF(7553&gt;$C$9008,"",INDEX($B$9:$B$9008,MATCH(7553,$C$9:$C$9008,0)))</f>
        <v/>
      </c>
      <c r="B7561" s="9" t="str">
        <f>IFERROR(INDEX(Input!$L$20:$T$1019,INT((ROW()-9)/9)+1,MOD(ROW()-9,9)+1),"")</f>
        <v/>
      </c>
      <c r="C7561" s="9">
        <f t="shared" ref="C7561:C7624" si="118">$C7560+IF($B7561&lt;&gt;"",1,0)</f>
        <v>0</v>
      </c>
    </row>
    <row r="7562" spans="1:3" x14ac:dyDescent="0.2">
      <c r="A7562" s="10" t="str">
        <f>IF(7554&gt;$C$9008,"",INDEX($B$9:$B$9008,MATCH(7554,$C$9:$C$9008,0)))</f>
        <v/>
      </c>
      <c r="B7562" s="9" t="str">
        <f>IFERROR(INDEX(Input!$L$20:$T$1019,INT((ROW()-9)/9)+1,MOD(ROW()-9,9)+1),"")</f>
        <v/>
      </c>
      <c r="C7562" s="9">
        <f t="shared" si="118"/>
        <v>0</v>
      </c>
    </row>
    <row r="7563" spans="1:3" x14ac:dyDescent="0.2">
      <c r="A7563" s="10" t="str">
        <f>IF(7555&gt;$C$9008,"",INDEX($B$9:$B$9008,MATCH(7555,$C$9:$C$9008,0)))</f>
        <v/>
      </c>
      <c r="B7563" s="9" t="str">
        <f>IFERROR(INDEX(Input!$L$20:$T$1019,INT((ROW()-9)/9)+1,MOD(ROW()-9,9)+1),"")</f>
        <v/>
      </c>
      <c r="C7563" s="9">
        <f t="shared" si="118"/>
        <v>0</v>
      </c>
    </row>
    <row r="7564" spans="1:3" x14ac:dyDescent="0.2">
      <c r="A7564" s="10" t="str">
        <f>IF(7556&gt;$C$9008,"",INDEX($B$9:$B$9008,MATCH(7556,$C$9:$C$9008,0)))</f>
        <v/>
      </c>
      <c r="B7564" s="9" t="str">
        <f>IFERROR(INDEX(Input!$L$20:$T$1019,INT((ROW()-9)/9)+1,MOD(ROW()-9,9)+1),"")</f>
        <v/>
      </c>
      <c r="C7564" s="9">
        <f t="shared" si="118"/>
        <v>0</v>
      </c>
    </row>
    <row r="7565" spans="1:3" x14ac:dyDescent="0.2">
      <c r="A7565" s="10" t="str">
        <f>IF(7557&gt;$C$9008,"",INDEX($B$9:$B$9008,MATCH(7557,$C$9:$C$9008,0)))</f>
        <v/>
      </c>
      <c r="B7565" s="9" t="str">
        <f>IFERROR(INDEX(Input!$L$20:$T$1019,INT((ROW()-9)/9)+1,MOD(ROW()-9,9)+1),"")</f>
        <v/>
      </c>
      <c r="C7565" s="9">
        <f t="shared" si="118"/>
        <v>0</v>
      </c>
    </row>
    <row r="7566" spans="1:3" x14ac:dyDescent="0.2">
      <c r="A7566" s="10" t="str">
        <f>IF(7558&gt;$C$9008,"",INDEX($B$9:$B$9008,MATCH(7558,$C$9:$C$9008,0)))</f>
        <v/>
      </c>
      <c r="B7566" s="9" t="str">
        <f>IFERROR(INDEX(Input!$L$20:$T$1019,INT((ROW()-9)/9)+1,MOD(ROW()-9,9)+1),"")</f>
        <v/>
      </c>
      <c r="C7566" s="9">
        <f t="shared" si="118"/>
        <v>0</v>
      </c>
    </row>
    <row r="7567" spans="1:3" x14ac:dyDescent="0.2">
      <c r="A7567" s="10" t="str">
        <f>IF(7559&gt;$C$9008,"",INDEX($B$9:$B$9008,MATCH(7559,$C$9:$C$9008,0)))</f>
        <v/>
      </c>
      <c r="B7567" s="9" t="str">
        <f>IFERROR(INDEX(Input!$L$20:$T$1019,INT((ROW()-9)/9)+1,MOD(ROW()-9,9)+1),"")</f>
        <v/>
      </c>
      <c r="C7567" s="9">
        <f t="shared" si="118"/>
        <v>0</v>
      </c>
    </row>
    <row r="7568" spans="1:3" x14ac:dyDescent="0.2">
      <c r="A7568" s="10" t="str">
        <f>IF(7560&gt;$C$9008,"",INDEX($B$9:$B$9008,MATCH(7560,$C$9:$C$9008,0)))</f>
        <v/>
      </c>
      <c r="B7568" s="9" t="str">
        <f>IFERROR(INDEX(Input!$L$20:$T$1019,INT((ROW()-9)/9)+1,MOD(ROW()-9,9)+1),"")</f>
        <v/>
      </c>
      <c r="C7568" s="9">
        <f t="shared" si="118"/>
        <v>0</v>
      </c>
    </row>
    <row r="7569" spans="1:3" x14ac:dyDescent="0.2">
      <c r="A7569" s="10" t="str">
        <f>IF(7561&gt;$C$9008,"",INDEX($B$9:$B$9008,MATCH(7561,$C$9:$C$9008,0)))</f>
        <v/>
      </c>
      <c r="B7569" s="9" t="str">
        <f>IFERROR(INDEX(Input!$L$20:$T$1019,INT((ROW()-9)/9)+1,MOD(ROW()-9,9)+1),"")</f>
        <v/>
      </c>
      <c r="C7569" s="9">
        <f t="shared" si="118"/>
        <v>0</v>
      </c>
    </row>
    <row r="7570" spans="1:3" x14ac:dyDescent="0.2">
      <c r="A7570" s="10" t="str">
        <f>IF(7562&gt;$C$9008,"",INDEX($B$9:$B$9008,MATCH(7562,$C$9:$C$9008,0)))</f>
        <v/>
      </c>
      <c r="B7570" s="9" t="str">
        <f>IFERROR(INDEX(Input!$L$20:$T$1019,INT((ROW()-9)/9)+1,MOD(ROW()-9,9)+1),"")</f>
        <v/>
      </c>
      <c r="C7570" s="9">
        <f t="shared" si="118"/>
        <v>0</v>
      </c>
    </row>
    <row r="7571" spans="1:3" x14ac:dyDescent="0.2">
      <c r="A7571" s="10" t="str">
        <f>IF(7563&gt;$C$9008,"",INDEX($B$9:$B$9008,MATCH(7563,$C$9:$C$9008,0)))</f>
        <v/>
      </c>
      <c r="B7571" s="9" t="str">
        <f>IFERROR(INDEX(Input!$L$20:$T$1019,INT((ROW()-9)/9)+1,MOD(ROW()-9,9)+1),"")</f>
        <v/>
      </c>
      <c r="C7571" s="9">
        <f t="shared" si="118"/>
        <v>0</v>
      </c>
    </row>
    <row r="7572" spans="1:3" x14ac:dyDescent="0.2">
      <c r="A7572" s="10" t="str">
        <f>IF(7564&gt;$C$9008,"",INDEX($B$9:$B$9008,MATCH(7564,$C$9:$C$9008,0)))</f>
        <v/>
      </c>
      <c r="B7572" s="9" t="str">
        <f>IFERROR(INDEX(Input!$L$20:$T$1019,INT((ROW()-9)/9)+1,MOD(ROW()-9,9)+1),"")</f>
        <v/>
      </c>
      <c r="C7572" s="9">
        <f t="shared" si="118"/>
        <v>0</v>
      </c>
    </row>
    <row r="7573" spans="1:3" x14ac:dyDescent="0.2">
      <c r="A7573" s="10" t="str">
        <f>IF(7565&gt;$C$9008,"",INDEX($B$9:$B$9008,MATCH(7565,$C$9:$C$9008,0)))</f>
        <v/>
      </c>
      <c r="B7573" s="9" t="str">
        <f>IFERROR(INDEX(Input!$L$20:$T$1019,INT((ROW()-9)/9)+1,MOD(ROW()-9,9)+1),"")</f>
        <v/>
      </c>
      <c r="C7573" s="9">
        <f t="shared" si="118"/>
        <v>0</v>
      </c>
    </row>
    <row r="7574" spans="1:3" x14ac:dyDescent="0.2">
      <c r="A7574" s="10" t="str">
        <f>IF(7566&gt;$C$9008,"",INDEX($B$9:$B$9008,MATCH(7566,$C$9:$C$9008,0)))</f>
        <v/>
      </c>
      <c r="B7574" s="9" t="str">
        <f>IFERROR(INDEX(Input!$L$20:$T$1019,INT((ROW()-9)/9)+1,MOD(ROW()-9,9)+1),"")</f>
        <v/>
      </c>
      <c r="C7574" s="9">
        <f t="shared" si="118"/>
        <v>0</v>
      </c>
    </row>
    <row r="7575" spans="1:3" x14ac:dyDescent="0.2">
      <c r="A7575" s="10" t="str">
        <f>IF(7567&gt;$C$9008,"",INDEX($B$9:$B$9008,MATCH(7567,$C$9:$C$9008,0)))</f>
        <v/>
      </c>
      <c r="B7575" s="9" t="str">
        <f>IFERROR(INDEX(Input!$L$20:$T$1019,INT((ROW()-9)/9)+1,MOD(ROW()-9,9)+1),"")</f>
        <v/>
      </c>
      <c r="C7575" s="9">
        <f t="shared" si="118"/>
        <v>0</v>
      </c>
    </row>
    <row r="7576" spans="1:3" x14ac:dyDescent="0.2">
      <c r="A7576" s="10" t="str">
        <f>IF(7568&gt;$C$9008,"",INDEX($B$9:$B$9008,MATCH(7568,$C$9:$C$9008,0)))</f>
        <v/>
      </c>
      <c r="B7576" s="9" t="str">
        <f>IFERROR(INDEX(Input!$L$20:$T$1019,INT((ROW()-9)/9)+1,MOD(ROW()-9,9)+1),"")</f>
        <v/>
      </c>
      <c r="C7576" s="9">
        <f t="shared" si="118"/>
        <v>0</v>
      </c>
    </row>
    <row r="7577" spans="1:3" x14ac:dyDescent="0.2">
      <c r="A7577" s="10" t="str">
        <f>IF(7569&gt;$C$9008,"",INDEX($B$9:$B$9008,MATCH(7569,$C$9:$C$9008,0)))</f>
        <v/>
      </c>
      <c r="B7577" s="9" t="str">
        <f>IFERROR(INDEX(Input!$L$20:$T$1019,INT((ROW()-9)/9)+1,MOD(ROW()-9,9)+1),"")</f>
        <v/>
      </c>
      <c r="C7577" s="9">
        <f t="shared" si="118"/>
        <v>0</v>
      </c>
    </row>
    <row r="7578" spans="1:3" x14ac:dyDescent="0.2">
      <c r="A7578" s="10" t="str">
        <f>IF(7570&gt;$C$9008,"",INDEX($B$9:$B$9008,MATCH(7570,$C$9:$C$9008,0)))</f>
        <v/>
      </c>
      <c r="B7578" s="9" t="str">
        <f>IFERROR(INDEX(Input!$L$20:$T$1019,INT((ROW()-9)/9)+1,MOD(ROW()-9,9)+1),"")</f>
        <v/>
      </c>
      <c r="C7578" s="9">
        <f t="shared" si="118"/>
        <v>0</v>
      </c>
    </row>
    <row r="7579" spans="1:3" x14ac:dyDescent="0.2">
      <c r="A7579" s="10" t="str">
        <f>IF(7571&gt;$C$9008,"",INDEX($B$9:$B$9008,MATCH(7571,$C$9:$C$9008,0)))</f>
        <v/>
      </c>
      <c r="B7579" s="9" t="str">
        <f>IFERROR(INDEX(Input!$L$20:$T$1019,INT((ROW()-9)/9)+1,MOD(ROW()-9,9)+1),"")</f>
        <v/>
      </c>
      <c r="C7579" s="9">
        <f t="shared" si="118"/>
        <v>0</v>
      </c>
    </row>
    <row r="7580" spans="1:3" x14ac:dyDescent="0.2">
      <c r="A7580" s="10" t="str">
        <f>IF(7572&gt;$C$9008,"",INDEX($B$9:$B$9008,MATCH(7572,$C$9:$C$9008,0)))</f>
        <v/>
      </c>
      <c r="B7580" s="9" t="str">
        <f>IFERROR(INDEX(Input!$L$20:$T$1019,INT((ROW()-9)/9)+1,MOD(ROW()-9,9)+1),"")</f>
        <v/>
      </c>
      <c r="C7580" s="9">
        <f t="shared" si="118"/>
        <v>0</v>
      </c>
    </row>
    <row r="7581" spans="1:3" x14ac:dyDescent="0.2">
      <c r="A7581" s="10" t="str">
        <f>IF(7573&gt;$C$9008,"",INDEX($B$9:$B$9008,MATCH(7573,$C$9:$C$9008,0)))</f>
        <v/>
      </c>
      <c r="B7581" s="9" t="str">
        <f>IFERROR(INDEX(Input!$L$20:$T$1019,INT((ROW()-9)/9)+1,MOD(ROW()-9,9)+1),"")</f>
        <v/>
      </c>
      <c r="C7581" s="9">
        <f t="shared" si="118"/>
        <v>0</v>
      </c>
    </row>
    <row r="7582" spans="1:3" x14ac:dyDescent="0.2">
      <c r="A7582" s="10" t="str">
        <f>IF(7574&gt;$C$9008,"",INDEX($B$9:$B$9008,MATCH(7574,$C$9:$C$9008,0)))</f>
        <v/>
      </c>
      <c r="B7582" s="9" t="str">
        <f>IFERROR(INDEX(Input!$L$20:$T$1019,INT((ROW()-9)/9)+1,MOD(ROW()-9,9)+1),"")</f>
        <v/>
      </c>
      <c r="C7582" s="9">
        <f t="shared" si="118"/>
        <v>0</v>
      </c>
    </row>
    <row r="7583" spans="1:3" x14ac:dyDescent="0.2">
      <c r="A7583" s="10" t="str">
        <f>IF(7575&gt;$C$9008,"",INDEX($B$9:$B$9008,MATCH(7575,$C$9:$C$9008,0)))</f>
        <v/>
      </c>
      <c r="B7583" s="9" t="str">
        <f>IFERROR(INDEX(Input!$L$20:$T$1019,INT((ROW()-9)/9)+1,MOD(ROW()-9,9)+1),"")</f>
        <v/>
      </c>
      <c r="C7583" s="9">
        <f t="shared" si="118"/>
        <v>0</v>
      </c>
    </row>
    <row r="7584" spans="1:3" x14ac:dyDescent="0.2">
      <c r="A7584" s="10" t="str">
        <f>IF(7576&gt;$C$9008,"",INDEX($B$9:$B$9008,MATCH(7576,$C$9:$C$9008,0)))</f>
        <v/>
      </c>
      <c r="B7584" s="9" t="str">
        <f>IFERROR(INDEX(Input!$L$20:$T$1019,INT((ROW()-9)/9)+1,MOD(ROW()-9,9)+1),"")</f>
        <v/>
      </c>
      <c r="C7584" s="9">
        <f t="shared" si="118"/>
        <v>0</v>
      </c>
    </row>
    <row r="7585" spans="1:3" x14ac:dyDescent="0.2">
      <c r="A7585" s="10" t="str">
        <f>IF(7577&gt;$C$9008,"",INDEX($B$9:$B$9008,MATCH(7577,$C$9:$C$9008,0)))</f>
        <v/>
      </c>
      <c r="B7585" s="9" t="str">
        <f>IFERROR(INDEX(Input!$L$20:$T$1019,INT((ROW()-9)/9)+1,MOD(ROW()-9,9)+1),"")</f>
        <v/>
      </c>
      <c r="C7585" s="9">
        <f t="shared" si="118"/>
        <v>0</v>
      </c>
    </row>
    <row r="7586" spans="1:3" x14ac:dyDescent="0.2">
      <c r="A7586" s="10" t="str">
        <f>IF(7578&gt;$C$9008,"",INDEX($B$9:$B$9008,MATCH(7578,$C$9:$C$9008,0)))</f>
        <v/>
      </c>
      <c r="B7586" s="9" t="str">
        <f>IFERROR(INDEX(Input!$L$20:$T$1019,INT((ROW()-9)/9)+1,MOD(ROW()-9,9)+1),"")</f>
        <v/>
      </c>
      <c r="C7586" s="9">
        <f t="shared" si="118"/>
        <v>0</v>
      </c>
    </row>
    <row r="7587" spans="1:3" x14ac:dyDescent="0.2">
      <c r="A7587" s="10" t="str">
        <f>IF(7579&gt;$C$9008,"",INDEX($B$9:$B$9008,MATCH(7579,$C$9:$C$9008,0)))</f>
        <v/>
      </c>
      <c r="B7587" s="9" t="str">
        <f>IFERROR(INDEX(Input!$L$20:$T$1019,INT((ROW()-9)/9)+1,MOD(ROW()-9,9)+1),"")</f>
        <v/>
      </c>
      <c r="C7587" s="9">
        <f t="shared" si="118"/>
        <v>0</v>
      </c>
    </row>
    <row r="7588" spans="1:3" x14ac:dyDescent="0.2">
      <c r="A7588" s="10" t="str">
        <f>IF(7580&gt;$C$9008,"",INDEX($B$9:$B$9008,MATCH(7580,$C$9:$C$9008,0)))</f>
        <v/>
      </c>
      <c r="B7588" s="9" t="str">
        <f>IFERROR(INDEX(Input!$L$20:$T$1019,INT((ROW()-9)/9)+1,MOD(ROW()-9,9)+1),"")</f>
        <v/>
      </c>
      <c r="C7588" s="9">
        <f t="shared" si="118"/>
        <v>0</v>
      </c>
    </row>
    <row r="7589" spans="1:3" x14ac:dyDescent="0.2">
      <c r="A7589" s="10" t="str">
        <f>IF(7581&gt;$C$9008,"",INDEX($B$9:$B$9008,MATCH(7581,$C$9:$C$9008,0)))</f>
        <v/>
      </c>
      <c r="B7589" s="9" t="str">
        <f>IFERROR(INDEX(Input!$L$20:$T$1019,INT((ROW()-9)/9)+1,MOD(ROW()-9,9)+1),"")</f>
        <v/>
      </c>
      <c r="C7589" s="9">
        <f t="shared" si="118"/>
        <v>0</v>
      </c>
    </row>
    <row r="7590" spans="1:3" x14ac:dyDescent="0.2">
      <c r="A7590" s="10" t="str">
        <f>IF(7582&gt;$C$9008,"",INDEX($B$9:$B$9008,MATCH(7582,$C$9:$C$9008,0)))</f>
        <v/>
      </c>
      <c r="B7590" s="9" t="str">
        <f>IFERROR(INDEX(Input!$L$20:$T$1019,INT((ROW()-9)/9)+1,MOD(ROW()-9,9)+1),"")</f>
        <v/>
      </c>
      <c r="C7590" s="9">
        <f t="shared" si="118"/>
        <v>0</v>
      </c>
    </row>
    <row r="7591" spans="1:3" x14ac:dyDescent="0.2">
      <c r="A7591" s="10" t="str">
        <f>IF(7583&gt;$C$9008,"",INDEX($B$9:$B$9008,MATCH(7583,$C$9:$C$9008,0)))</f>
        <v/>
      </c>
      <c r="B7591" s="9" t="str">
        <f>IFERROR(INDEX(Input!$L$20:$T$1019,INT((ROW()-9)/9)+1,MOD(ROW()-9,9)+1),"")</f>
        <v/>
      </c>
      <c r="C7591" s="9">
        <f t="shared" si="118"/>
        <v>0</v>
      </c>
    </row>
    <row r="7592" spans="1:3" x14ac:dyDescent="0.2">
      <c r="A7592" s="10" t="str">
        <f>IF(7584&gt;$C$9008,"",INDEX($B$9:$B$9008,MATCH(7584,$C$9:$C$9008,0)))</f>
        <v/>
      </c>
      <c r="B7592" s="9" t="str">
        <f>IFERROR(INDEX(Input!$L$20:$T$1019,INT((ROW()-9)/9)+1,MOD(ROW()-9,9)+1),"")</f>
        <v/>
      </c>
      <c r="C7592" s="9">
        <f t="shared" si="118"/>
        <v>0</v>
      </c>
    </row>
    <row r="7593" spans="1:3" x14ac:dyDescent="0.2">
      <c r="A7593" s="10" t="str">
        <f>IF(7585&gt;$C$9008,"",INDEX($B$9:$B$9008,MATCH(7585,$C$9:$C$9008,0)))</f>
        <v/>
      </c>
      <c r="B7593" s="9" t="str">
        <f>IFERROR(INDEX(Input!$L$20:$T$1019,INT((ROW()-9)/9)+1,MOD(ROW()-9,9)+1),"")</f>
        <v/>
      </c>
      <c r="C7593" s="9">
        <f t="shared" si="118"/>
        <v>0</v>
      </c>
    </row>
    <row r="7594" spans="1:3" x14ac:dyDescent="0.2">
      <c r="A7594" s="10" t="str">
        <f>IF(7586&gt;$C$9008,"",INDEX($B$9:$B$9008,MATCH(7586,$C$9:$C$9008,0)))</f>
        <v/>
      </c>
      <c r="B7594" s="9" t="str">
        <f>IFERROR(INDEX(Input!$L$20:$T$1019,INT((ROW()-9)/9)+1,MOD(ROW()-9,9)+1),"")</f>
        <v/>
      </c>
      <c r="C7594" s="9">
        <f t="shared" si="118"/>
        <v>0</v>
      </c>
    </row>
    <row r="7595" spans="1:3" x14ac:dyDescent="0.2">
      <c r="A7595" s="10" t="str">
        <f>IF(7587&gt;$C$9008,"",INDEX($B$9:$B$9008,MATCH(7587,$C$9:$C$9008,0)))</f>
        <v/>
      </c>
      <c r="B7595" s="9" t="str">
        <f>IFERROR(INDEX(Input!$L$20:$T$1019,INT((ROW()-9)/9)+1,MOD(ROW()-9,9)+1),"")</f>
        <v/>
      </c>
      <c r="C7595" s="9">
        <f t="shared" si="118"/>
        <v>0</v>
      </c>
    </row>
    <row r="7596" spans="1:3" x14ac:dyDescent="0.2">
      <c r="A7596" s="10" t="str">
        <f>IF(7588&gt;$C$9008,"",INDEX($B$9:$B$9008,MATCH(7588,$C$9:$C$9008,0)))</f>
        <v/>
      </c>
      <c r="B7596" s="9" t="str">
        <f>IFERROR(INDEX(Input!$L$20:$T$1019,INT((ROW()-9)/9)+1,MOD(ROW()-9,9)+1),"")</f>
        <v/>
      </c>
      <c r="C7596" s="9">
        <f t="shared" si="118"/>
        <v>0</v>
      </c>
    </row>
    <row r="7597" spans="1:3" x14ac:dyDescent="0.2">
      <c r="A7597" s="10" t="str">
        <f>IF(7589&gt;$C$9008,"",INDEX($B$9:$B$9008,MATCH(7589,$C$9:$C$9008,0)))</f>
        <v/>
      </c>
      <c r="B7597" s="9" t="str">
        <f>IFERROR(INDEX(Input!$L$20:$T$1019,INT((ROW()-9)/9)+1,MOD(ROW()-9,9)+1),"")</f>
        <v/>
      </c>
      <c r="C7597" s="9">
        <f t="shared" si="118"/>
        <v>0</v>
      </c>
    </row>
    <row r="7598" spans="1:3" x14ac:dyDescent="0.2">
      <c r="A7598" s="10" t="str">
        <f>IF(7590&gt;$C$9008,"",INDEX($B$9:$B$9008,MATCH(7590,$C$9:$C$9008,0)))</f>
        <v/>
      </c>
      <c r="B7598" s="9" t="str">
        <f>IFERROR(INDEX(Input!$L$20:$T$1019,INT((ROW()-9)/9)+1,MOD(ROW()-9,9)+1),"")</f>
        <v/>
      </c>
      <c r="C7598" s="9">
        <f t="shared" si="118"/>
        <v>0</v>
      </c>
    </row>
    <row r="7599" spans="1:3" x14ac:dyDescent="0.2">
      <c r="A7599" s="10" t="str">
        <f>IF(7591&gt;$C$9008,"",INDEX($B$9:$B$9008,MATCH(7591,$C$9:$C$9008,0)))</f>
        <v/>
      </c>
      <c r="B7599" s="9" t="str">
        <f>IFERROR(INDEX(Input!$L$20:$T$1019,INT((ROW()-9)/9)+1,MOD(ROW()-9,9)+1),"")</f>
        <v/>
      </c>
      <c r="C7599" s="9">
        <f t="shared" si="118"/>
        <v>0</v>
      </c>
    </row>
    <row r="7600" spans="1:3" x14ac:dyDescent="0.2">
      <c r="A7600" s="10" t="str">
        <f>IF(7592&gt;$C$9008,"",INDEX($B$9:$B$9008,MATCH(7592,$C$9:$C$9008,0)))</f>
        <v/>
      </c>
      <c r="B7600" s="9" t="str">
        <f>IFERROR(INDEX(Input!$L$20:$T$1019,INT((ROW()-9)/9)+1,MOD(ROW()-9,9)+1),"")</f>
        <v/>
      </c>
      <c r="C7600" s="9">
        <f t="shared" si="118"/>
        <v>0</v>
      </c>
    </row>
    <row r="7601" spans="1:3" x14ac:dyDescent="0.2">
      <c r="A7601" s="10" t="str">
        <f>IF(7593&gt;$C$9008,"",INDEX($B$9:$B$9008,MATCH(7593,$C$9:$C$9008,0)))</f>
        <v/>
      </c>
      <c r="B7601" s="9" t="str">
        <f>IFERROR(INDEX(Input!$L$20:$T$1019,INT((ROW()-9)/9)+1,MOD(ROW()-9,9)+1),"")</f>
        <v/>
      </c>
      <c r="C7601" s="9">
        <f t="shared" si="118"/>
        <v>0</v>
      </c>
    </row>
    <row r="7602" spans="1:3" x14ac:dyDescent="0.2">
      <c r="A7602" s="10" t="str">
        <f>IF(7594&gt;$C$9008,"",INDEX($B$9:$B$9008,MATCH(7594,$C$9:$C$9008,0)))</f>
        <v/>
      </c>
      <c r="B7602" s="9" t="str">
        <f>IFERROR(INDEX(Input!$L$20:$T$1019,INT((ROW()-9)/9)+1,MOD(ROW()-9,9)+1),"")</f>
        <v/>
      </c>
      <c r="C7602" s="9">
        <f t="shared" si="118"/>
        <v>0</v>
      </c>
    </row>
    <row r="7603" spans="1:3" x14ac:dyDescent="0.2">
      <c r="A7603" s="10" t="str">
        <f>IF(7595&gt;$C$9008,"",INDEX($B$9:$B$9008,MATCH(7595,$C$9:$C$9008,0)))</f>
        <v/>
      </c>
      <c r="B7603" s="9" t="str">
        <f>IFERROR(INDEX(Input!$L$20:$T$1019,INT((ROW()-9)/9)+1,MOD(ROW()-9,9)+1),"")</f>
        <v/>
      </c>
      <c r="C7603" s="9">
        <f t="shared" si="118"/>
        <v>0</v>
      </c>
    </row>
    <row r="7604" spans="1:3" x14ac:dyDescent="0.2">
      <c r="A7604" s="10" t="str">
        <f>IF(7596&gt;$C$9008,"",INDEX($B$9:$B$9008,MATCH(7596,$C$9:$C$9008,0)))</f>
        <v/>
      </c>
      <c r="B7604" s="9" t="str">
        <f>IFERROR(INDEX(Input!$L$20:$T$1019,INT((ROW()-9)/9)+1,MOD(ROW()-9,9)+1),"")</f>
        <v/>
      </c>
      <c r="C7604" s="9">
        <f t="shared" si="118"/>
        <v>0</v>
      </c>
    </row>
    <row r="7605" spans="1:3" x14ac:dyDescent="0.2">
      <c r="A7605" s="10" t="str">
        <f>IF(7597&gt;$C$9008,"",INDEX($B$9:$B$9008,MATCH(7597,$C$9:$C$9008,0)))</f>
        <v/>
      </c>
      <c r="B7605" s="9" t="str">
        <f>IFERROR(INDEX(Input!$L$20:$T$1019,INT((ROW()-9)/9)+1,MOD(ROW()-9,9)+1),"")</f>
        <v/>
      </c>
      <c r="C7605" s="9">
        <f t="shared" si="118"/>
        <v>0</v>
      </c>
    </row>
    <row r="7606" spans="1:3" x14ac:dyDescent="0.2">
      <c r="A7606" s="10" t="str">
        <f>IF(7598&gt;$C$9008,"",INDEX($B$9:$B$9008,MATCH(7598,$C$9:$C$9008,0)))</f>
        <v/>
      </c>
      <c r="B7606" s="9" t="str">
        <f>IFERROR(INDEX(Input!$L$20:$T$1019,INT((ROW()-9)/9)+1,MOD(ROW()-9,9)+1),"")</f>
        <v/>
      </c>
      <c r="C7606" s="9">
        <f t="shared" si="118"/>
        <v>0</v>
      </c>
    </row>
    <row r="7607" spans="1:3" x14ac:dyDescent="0.2">
      <c r="A7607" s="10" t="str">
        <f>IF(7599&gt;$C$9008,"",INDEX($B$9:$B$9008,MATCH(7599,$C$9:$C$9008,0)))</f>
        <v/>
      </c>
      <c r="B7607" s="9" t="str">
        <f>IFERROR(INDEX(Input!$L$20:$T$1019,INT((ROW()-9)/9)+1,MOD(ROW()-9,9)+1),"")</f>
        <v/>
      </c>
      <c r="C7607" s="9">
        <f t="shared" si="118"/>
        <v>0</v>
      </c>
    </row>
    <row r="7608" spans="1:3" x14ac:dyDescent="0.2">
      <c r="A7608" s="10" t="str">
        <f>IF(7600&gt;$C$9008,"",INDEX($B$9:$B$9008,MATCH(7600,$C$9:$C$9008,0)))</f>
        <v/>
      </c>
      <c r="B7608" s="9" t="str">
        <f>IFERROR(INDEX(Input!$L$20:$T$1019,INT((ROW()-9)/9)+1,MOD(ROW()-9,9)+1),"")</f>
        <v/>
      </c>
      <c r="C7608" s="9">
        <f t="shared" si="118"/>
        <v>0</v>
      </c>
    </row>
    <row r="7609" spans="1:3" x14ac:dyDescent="0.2">
      <c r="A7609" s="10" t="str">
        <f>IF(7601&gt;$C$9008,"",INDEX($B$9:$B$9008,MATCH(7601,$C$9:$C$9008,0)))</f>
        <v/>
      </c>
      <c r="B7609" s="9" t="str">
        <f>IFERROR(INDEX(Input!$L$20:$T$1019,INT((ROW()-9)/9)+1,MOD(ROW()-9,9)+1),"")</f>
        <v/>
      </c>
      <c r="C7609" s="9">
        <f t="shared" si="118"/>
        <v>0</v>
      </c>
    </row>
    <row r="7610" spans="1:3" x14ac:dyDescent="0.2">
      <c r="A7610" s="10" t="str">
        <f>IF(7602&gt;$C$9008,"",INDEX($B$9:$B$9008,MATCH(7602,$C$9:$C$9008,0)))</f>
        <v/>
      </c>
      <c r="B7610" s="9" t="str">
        <f>IFERROR(INDEX(Input!$L$20:$T$1019,INT((ROW()-9)/9)+1,MOD(ROW()-9,9)+1),"")</f>
        <v/>
      </c>
      <c r="C7610" s="9">
        <f t="shared" si="118"/>
        <v>0</v>
      </c>
    </row>
    <row r="7611" spans="1:3" x14ac:dyDescent="0.2">
      <c r="A7611" s="10" t="str">
        <f>IF(7603&gt;$C$9008,"",INDEX($B$9:$B$9008,MATCH(7603,$C$9:$C$9008,0)))</f>
        <v/>
      </c>
      <c r="B7611" s="9" t="str">
        <f>IFERROR(INDEX(Input!$L$20:$T$1019,INT((ROW()-9)/9)+1,MOD(ROW()-9,9)+1),"")</f>
        <v/>
      </c>
      <c r="C7611" s="9">
        <f t="shared" si="118"/>
        <v>0</v>
      </c>
    </row>
    <row r="7612" spans="1:3" x14ac:dyDescent="0.2">
      <c r="A7612" s="10" t="str">
        <f>IF(7604&gt;$C$9008,"",INDEX($B$9:$B$9008,MATCH(7604,$C$9:$C$9008,0)))</f>
        <v/>
      </c>
      <c r="B7612" s="9" t="str">
        <f>IFERROR(INDEX(Input!$L$20:$T$1019,INT((ROW()-9)/9)+1,MOD(ROW()-9,9)+1),"")</f>
        <v/>
      </c>
      <c r="C7612" s="9">
        <f t="shared" si="118"/>
        <v>0</v>
      </c>
    </row>
    <row r="7613" spans="1:3" x14ac:dyDescent="0.2">
      <c r="A7613" s="10" t="str">
        <f>IF(7605&gt;$C$9008,"",INDEX($B$9:$B$9008,MATCH(7605,$C$9:$C$9008,0)))</f>
        <v/>
      </c>
      <c r="B7613" s="9" t="str">
        <f>IFERROR(INDEX(Input!$L$20:$T$1019,INT((ROW()-9)/9)+1,MOD(ROW()-9,9)+1),"")</f>
        <v/>
      </c>
      <c r="C7613" s="9">
        <f t="shared" si="118"/>
        <v>0</v>
      </c>
    </row>
    <row r="7614" spans="1:3" x14ac:dyDescent="0.2">
      <c r="A7614" s="10" t="str">
        <f>IF(7606&gt;$C$9008,"",INDEX($B$9:$B$9008,MATCH(7606,$C$9:$C$9008,0)))</f>
        <v/>
      </c>
      <c r="B7614" s="9" t="str">
        <f>IFERROR(INDEX(Input!$L$20:$T$1019,INT((ROW()-9)/9)+1,MOD(ROW()-9,9)+1),"")</f>
        <v/>
      </c>
      <c r="C7614" s="9">
        <f t="shared" si="118"/>
        <v>0</v>
      </c>
    </row>
    <row r="7615" spans="1:3" x14ac:dyDescent="0.2">
      <c r="A7615" s="10" t="str">
        <f>IF(7607&gt;$C$9008,"",INDEX($B$9:$B$9008,MATCH(7607,$C$9:$C$9008,0)))</f>
        <v/>
      </c>
      <c r="B7615" s="9" t="str">
        <f>IFERROR(INDEX(Input!$L$20:$T$1019,INT((ROW()-9)/9)+1,MOD(ROW()-9,9)+1),"")</f>
        <v/>
      </c>
      <c r="C7615" s="9">
        <f t="shared" si="118"/>
        <v>0</v>
      </c>
    </row>
    <row r="7616" spans="1:3" x14ac:dyDescent="0.2">
      <c r="A7616" s="10" t="str">
        <f>IF(7608&gt;$C$9008,"",INDEX($B$9:$B$9008,MATCH(7608,$C$9:$C$9008,0)))</f>
        <v/>
      </c>
      <c r="B7616" s="9" t="str">
        <f>IFERROR(INDEX(Input!$L$20:$T$1019,INT((ROW()-9)/9)+1,MOD(ROW()-9,9)+1),"")</f>
        <v/>
      </c>
      <c r="C7616" s="9">
        <f t="shared" si="118"/>
        <v>0</v>
      </c>
    </row>
    <row r="7617" spans="1:3" x14ac:dyDescent="0.2">
      <c r="A7617" s="10" t="str">
        <f>IF(7609&gt;$C$9008,"",INDEX($B$9:$B$9008,MATCH(7609,$C$9:$C$9008,0)))</f>
        <v/>
      </c>
      <c r="B7617" s="9" t="str">
        <f>IFERROR(INDEX(Input!$L$20:$T$1019,INT((ROW()-9)/9)+1,MOD(ROW()-9,9)+1),"")</f>
        <v/>
      </c>
      <c r="C7617" s="9">
        <f t="shared" si="118"/>
        <v>0</v>
      </c>
    </row>
    <row r="7618" spans="1:3" x14ac:dyDescent="0.2">
      <c r="A7618" s="10" t="str">
        <f>IF(7610&gt;$C$9008,"",INDEX($B$9:$B$9008,MATCH(7610,$C$9:$C$9008,0)))</f>
        <v/>
      </c>
      <c r="B7618" s="9" t="str">
        <f>IFERROR(INDEX(Input!$L$20:$T$1019,INT((ROW()-9)/9)+1,MOD(ROW()-9,9)+1),"")</f>
        <v/>
      </c>
      <c r="C7618" s="9">
        <f t="shared" si="118"/>
        <v>0</v>
      </c>
    </row>
    <row r="7619" spans="1:3" x14ac:dyDescent="0.2">
      <c r="A7619" s="10" t="str">
        <f>IF(7611&gt;$C$9008,"",INDEX($B$9:$B$9008,MATCH(7611,$C$9:$C$9008,0)))</f>
        <v/>
      </c>
      <c r="B7619" s="9" t="str">
        <f>IFERROR(INDEX(Input!$L$20:$T$1019,INT((ROW()-9)/9)+1,MOD(ROW()-9,9)+1),"")</f>
        <v/>
      </c>
      <c r="C7619" s="9">
        <f t="shared" si="118"/>
        <v>0</v>
      </c>
    </row>
    <row r="7620" spans="1:3" x14ac:dyDescent="0.2">
      <c r="A7620" s="10" t="str">
        <f>IF(7612&gt;$C$9008,"",INDEX($B$9:$B$9008,MATCH(7612,$C$9:$C$9008,0)))</f>
        <v/>
      </c>
      <c r="B7620" s="9" t="str">
        <f>IFERROR(INDEX(Input!$L$20:$T$1019,INT((ROW()-9)/9)+1,MOD(ROW()-9,9)+1),"")</f>
        <v/>
      </c>
      <c r="C7620" s="9">
        <f t="shared" si="118"/>
        <v>0</v>
      </c>
    </row>
    <row r="7621" spans="1:3" x14ac:dyDescent="0.2">
      <c r="A7621" s="10" t="str">
        <f>IF(7613&gt;$C$9008,"",INDEX($B$9:$B$9008,MATCH(7613,$C$9:$C$9008,0)))</f>
        <v/>
      </c>
      <c r="B7621" s="9" t="str">
        <f>IFERROR(INDEX(Input!$L$20:$T$1019,INT((ROW()-9)/9)+1,MOD(ROW()-9,9)+1),"")</f>
        <v/>
      </c>
      <c r="C7621" s="9">
        <f t="shared" si="118"/>
        <v>0</v>
      </c>
    </row>
    <row r="7622" spans="1:3" x14ac:dyDescent="0.2">
      <c r="A7622" s="10" t="str">
        <f>IF(7614&gt;$C$9008,"",INDEX($B$9:$B$9008,MATCH(7614,$C$9:$C$9008,0)))</f>
        <v/>
      </c>
      <c r="B7622" s="9" t="str">
        <f>IFERROR(INDEX(Input!$L$20:$T$1019,INT((ROW()-9)/9)+1,MOD(ROW()-9,9)+1),"")</f>
        <v/>
      </c>
      <c r="C7622" s="9">
        <f t="shared" si="118"/>
        <v>0</v>
      </c>
    </row>
    <row r="7623" spans="1:3" x14ac:dyDescent="0.2">
      <c r="A7623" s="10" t="str">
        <f>IF(7615&gt;$C$9008,"",INDEX($B$9:$B$9008,MATCH(7615,$C$9:$C$9008,0)))</f>
        <v/>
      </c>
      <c r="B7623" s="9" t="str">
        <f>IFERROR(INDEX(Input!$L$20:$T$1019,INT((ROW()-9)/9)+1,MOD(ROW()-9,9)+1),"")</f>
        <v/>
      </c>
      <c r="C7623" s="9">
        <f t="shared" si="118"/>
        <v>0</v>
      </c>
    </row>
    <row r="7624" spans="1:3" x14ac:dyDescent="0.2">
      <c r="A7624" s="10" t="str">
        <f>IF(7616&gt;$C$9008,"",INDEX($B$9:$B$9008,MATCH(7616,$C$9:$C$9008,0)))</f>
        <v/>
      </c>
      <c r="B7624" s="9" t="str">
        <f>IFERROR(INDEX(Input!$L$20:$T$1019,INT((ROW()-9)/9)+1,MOD(ROW()-9,9)+1),"")</f>
        <v/>
      </c>
      <c r="C7624" s="9">
        <f t="shared" si="118"/>
        <v>0</v>
      </c>
    </row>
    <row r="7625" spans="1:3" x14ac:dyDescent="0.2">
      <c r="A7625" s="10" t="str">
        <f>IF(7617&gt;$C$9008,"",INDEX($B$9:$B$9008,MATCH(7617,$C$9:$C$9008,0)))</f>
        <v/>
      </c>
      <c r="B7625" s="9" t="str">
        <f>IFERROR(INDEX(Input!$L$20:$T$1019,INT((ROW()-9)/9)+1,MOD(ROW()-9,9)+1),"")</f>
        <v/>
      </c>
      <c r="C7625" s="9">
        <f t="shared" ref="C7625:C7688" si="119">$C7624+IF($B7625&lt;&gt;"",1,0)</f>
        <v>0</v>
      </c>
    </row>
    <row r="7626" spans="1:3" x14ac:dyDescent="0.2">
      <c r="A7626" s="10" t="str">
        <f>IF(7618&gt;$C$9008,"",INDEX($B$9:$B$9008,MATCH(7618,$C$9:$C$9008,0)))</f>
        <v/>
      </c>
      <c r="B7626" s="9" t="str">
        <f>IFERROR(INDEX(Input!$L$20:$T$1019,INT((ROW()-9)/9)+1,MOD(ROW()-9,9)+1),"")</f>
        <v/>
      </c>
      <c r="C7626" s="9">
        <f t="shared" si="119"/>
        <v>0</v>
      </c>
    </row>
    <row r="7627" spans="1:3" x14ac:dyDescent="0.2">
      <c r="A7627" s="10" t="str">
        <f>IF(7619&gt;$C$9008,"",INDEX($B$9:$B$9008,MATCH(7619,$C$9:$C$9008,0)))</f>
        <v/>
      </c>
      <c r="B7627" s="9" t="str">
        <f>IFERROR(INDEX(Input!$L$20:$T$1019,INT((ROW()-9)/9)+1,MOD(ROW()-9,9)+1),"")</f>
        <v/>
      </c>
      <c r="C7627" s="9">
        <f t="shared" si="119"/>
        <v>0</v>
      </c>
    </row>
    <row r="7628" spans="1:3" x14ac:dyDescent="0.2">
      <c r="A7628" s="10" t="str">
        <f>IF(7620&gt;$C$9008,"",INDEX($B$9:$B$9008,MATCH(7620,$C$9:$C$9008,0)))</f>
        <v/>
      </c>
      <c r="B7628" s="9" t="str">
        <f>IFERROR(INDEX(Input!$L$20:$T$1019,INT((ROW()-9)/9)+1,MOD(ROW()-9,9)+1),"")</f>
        <v/>
      </c>
      <c r="C7628" s="9">
        <f t="shared" si="119"/>
        <v>0</v>
      </c>
    </row>
    <row r="7629" spans="1:3" x14ac:dyDescent="0.2">
      <c r="A7629" s="10" t="str">
        <f>IF(7621&gt;$C$9008,"",INDEX($B$9:$B$9008,MATCH(7621,$C$9:$C$9008,0)))</f>
        <v/>
      </c>
      <c r="B7629" s="9" t="str">
        <f>IFERROR(INDEX(Input!$L$20:$T$1019,INT((ROW()-9)/9)+1,MOD(ROW()-9,9)+1),"")</f>
        <v/>
      </c>
      <c r="C7629" s="9">
        <f t="shared" si="119"/>
        <v>0</v>
      </c>
    </row>
    <row r="7630" spans="1:3" x14ac:dyDescent="0.2">
      <c r="A7630" s="10" t="str">
        <f>IF(7622&gt;$C$9008,"",INDEX($B$9:$B$9008,MATCH(7622,$C$9:$C$9008,0)))</f>
        <v/>
      </c>
      <c r="B7630" s="9" t="str">
        <f>IFERROR(INDEX(Input!$L$20:$T$1019,INT((ROW()-9)/9)+1,MOD(ROW()-9,9)+1),"")</f>
        <v/>
      </c>
      <c r="C7630" s="9">
        <f t="shared" si="119"/>
        <v>0</v>
      </c>
    </row>
    <row r="7631" spans="1:3" x14ac:dyDescent="0.2">
      <c r="A7631" s="10" t="str">
        <f>IF(7623&gt;$C$9008,"",INDEX($B$9:$B$9008,MATCH(7623,$C$9:$C$9008,0)))</f>
        <v/>
      </c>
      <c r="B7631" s="9" t="str">
        <f>IFERROR(INDEX(Input!$L$20:$T$1019,INT((ROW()-9)/9)+1,MOD(ROW()-9,9)+1),"")</f>
        <v/>
      </c>
      <c r="C7631" s="9">
        <f t="shared" si="119"/>
        <v>0</v>
      </c>
    </row>
    <row r="7632" spans="1:3" x14ac:dyDescent="0.2">
      <c r="A7632" s="10" t="str">
        <f>IF(7624&gt;$C$9008,"",INDEX($B$9:$B$9008,MATCH(7624,$C$9:$C$9008,0)))</f>
        <v/>
      </c>
      <c r="B7632" s="9" t="str">
        <f>IFERROR(INDEX(Input!$L$20:$T$1019,INT((ROW()-9)/9)+1,MOD(ROW()-9,9)+1),"")</f>
        <v/>
      </c>
      <c r="C7632" s="9">
        <f t="shared" si="119"/>
        <v>0</v>
      </c>
    </row>
    <row r="7633" spans="1:3" x14ac:dyDescent="0.2">
      <c r="A7633" s="10" t="str">
        <f>IF(7625&gt;$C$9008,"",INDEX($B$9:$B$9008,MATCH(7625,$C$9:$C$9008,0)))</f>
        <v/>
      </c>
      <c r="B7633" s="9" t="str">
        <f>IFERROR(INDEX(Input!$L$20:$T$1019,INT((ROW()-9)/9)+1,MOD(ROW()-9,9)+1),"")</f>
        <v/>
      </c>
      <c r="C7633" s="9">
        <f t="shared" si="119"/>
        <v>0</v>
      </c>
    </row>
    <row r="7634" spans="1:3" x14ac:dyDescent="0.2">
      <c r="A7634" s="10" t="str">
        <f>IF(7626&gt;$C$9008,"",INDEX($B$9:$B$9008,MATCH(7626,$C$9:$C$9008,0)))</f>
        <v/>
      </c>
      <c r="B7634" s="9" t="str">
        <f>IFERROR(INDEX(Input!$L$20:$T$1019,INT((ROW()-9)/9)+1,MOD(ROW()-9,9)+1),"")</f>
        <v/>
      </c>
      <c r="C7634" s="9">
        <f t="shared" si="119"/>
        <v>0</v>
      </c>
    </row>
    <row r="7635" spans="1:3" x14ac:dyDescent="0.2">
      <c r="A7635" s="10" t="str">
        <f>IF(7627&gt;$C$9008,"",INDEX($B$9:$B$9008,MATCH(7627,$C$9:$C$9008,0)))</f>
        <v/>
      </c>
      <c r="B7635" s="9" t="str">
        <f>IFERROR(INDEX(Input!$L$20:$T$1019,INT((ROW()-9)/9)+1,MOD(ROW()-9,9)+1),"")</f>
        <v/>
      </c>
      <c r="C7635" s="9">
        <f t="shared" si="119"/>
        <v>0</v>
      </c>
    </row>
    <row r="7636" spans="1:3" x14ac:dyDescent="0.2">
      <c r="A7636" s="10" t="str">
        <f>IF(7628&gt;$C$9008,"",INDEX($B$9:$B$9008,MATCH(7628,$C$9:$C$9008,0)))</f>
        <v/>
      </c>
      <c r="B7636" s="9" t="str">
        <f>IFERROR(INDEX(Input!$L$20:$T$1019,INT((ROW()-9)/9)+1,MOD(ROW()-9,9)+1),"")</f>
        <v/>
      </c>
      <c r="C7636" s="9">
        <f t="shared" si="119"/>
        <v>0</v>
      </c>
    </row>
    <row r="7637" spans="1:3" x14ac:dyDescent="0.2">
      <c r="A7637" s="10" t="str">
        <f>IF(7629&gt;$C$9008,"",INDEX($B$9:$B$9008,MATCH(7629,$C$9:$C$9008,0)))</f>
        <v/>
      </c>
      <c r="B7637" s="9" t="str">
        <f>IFERROR(INDEX(Input!$L$20:$T$1019,INT((ROW()-9)/9)+1,MOD(ROW()-9,9)+1),"")</f>
        <v/>
      </c>
      <c r="C7637" s="9">
        <f t="shared" si="119"/>
        <v>0</v>
      </c>
    </row>
    <row r="7638" spans="1:3" x14ac:dyDescent="0.2">
      <c r="A7638" s="10" t="str">
        <f>IF(7630&gt;$C$9008,"",INDEX($B$9:$B$9008,MATCH(7630,$C$9:$C$9008,0)))</f>
        <v/>
      </c>
      <c r="B7638" s="9" t="str">
        <f>IFERROR(INDEX(Input!$L$20:$T$1019,INT((ROW()-9)/9)+1,MOD(ROW()-9,9)+1),"")</f>
        <v/>
      </c>
      <c r="C7638" s="9">
        <f t="shared" si="119"/>
        <v>0</v>
      </c>
    </row>
    <row r="7639" spans="1:3" x14ac:dyDescent="0.2">
      <c r="A7639" s="10" t="str">
        <f>IF(7631&gt;$C$9008,"",INDEX($B$9:$B$9008,MATCH(7631,$C$9:$C$9008,0)))</f>
        <v/>
      </c>
      <c r="B7639" s="9" t="str">
        <f>IFERROR(INDEX(Input!$L$20:$T$1019,INT((ROW()-9)/9)+1,MOD(ROW()-9,9)+1),"")</f>
        <v/>
      </c>
      <c r="C7639" s="9">
        <f t="shared" si="119"/>
        <v>0</v>
      </c>
    </row>
    <row r="7640" spans="1:3" x14ac:dyDescent="0.2">
      <c r="A7640" s="10" t="str">
        <f>IF(7632&gt;$C$9008,"",INDEX($B$9:$B$9008,MATCH(7632,$C$9:$C$9008,0)))</f>
        <v/>
      </c>
      <c r="B7640" s="9" t="str">
        <f>IFERROR(INDEX(Input!$L$20:$T$1019,INT((ROW()-9)/9)+1,MOD(ROW()-9,9)+1),"")</f>
        <v/>
      </c>
      <c r="C7640" s="9">
        <f t="shared" si="119"/>
        <v>0</v>
      </c>
    </row>
    <row r="7641" spans="1:3" x14ac:dyDescent="0.2">
      <c r="A7641" s="10" t="str">
        <f>IF(7633&gt;$C$9008,"",INDEX($B$9:$B$9008,MATCH(7633,$C$9:$C$9008,0)))</f>
        <v/>
      </c>
      <c r="B7641" s="9" t="str">
        <f>IFERROR(INDEX(Input!$L$20:$T$1019,INT((ROW()-9)/9)+1,MOD(ROW()-9,9)+1),"")</f>
        <v/>
      </c>
      <c r="C7641" s="9">
        <f t="shared" si="119"/>
        <v>0</v>
      </c>
    </row>
    <row r="7642" spans="1:3" x14ac:dyDescent="0.2">
      <c r="A7642" s="10" t="str">
        <f>IF(7634&gt;$C$9008,"",INDEX($B$9:$B$9008,MATCH(7634,$C$9:$C$9008,0)))</f>
        <v/>
      </c>
      <c r="B7642" s="9" t="str">
        <f>IFERROR(INDEX(Input!$L$20:$T$1019,INT((ROW()-9)/9)+1,MOD(ROW()-9,9)+1),"")</f>
        <v/>
      </c>
      <c r="C7642" s="9">
        <f t="shared" si="119"/>
        <v>0</v>
      </c>
    </row>
    <row r="7643" spans="1:3" x14ac:dyDescent="0.2">
      <c r="A7643" s="10" t="str">
        <f>IF(7635&gt;$C$9008,"",INDEX($B$9:$B$9008,MATCH(7635,$C$9:$C$9008,0)))</f>
        <v/>
      </c>
      <c r="B7643" s="9" t="str">
        <f>IFERROR(INDEX(Input!$L$20:$T$1019,INT((ROW()-9)/9)+1,MOD(ROW()-9,9)+1),"")</f>
        <v/>
      </c>
      <c r="C7643" s="9">
        <f t="shared" si="119"/>
        <v>0</v>
      </c>
    </row>
    <row r="7644" spans="1:3" x14ac:dyDescent="0.2">
      <c r="A7644" s="10" t="str">
        <f>IF(7636&gt;$C$9008,"",INDEX($B$9:$B$9008,MATCH(7636,$C$9:$C$9008,0)))</f>
        <v/>
      </c>
      <c r="B7644" s="9" t="str">
        <f>IFERROR(INDEX(Input!$L$20:$T$1019,INT((ROW()-9)/9)+1,MOD(ROW()-9,9)+1),"")</f>
        <v/>
      </c>
      <c r="C7644" s="9">
        <f t="shared" si="119"/>
        <v>0</v>
      </c>
    </row>
    <row r="7645" spans="1:3" x14ac:dyDescent="0.2">
      <c r="A7645" s="10" t="str">
        <f>IF(7637&gt;$C$9008,"",INDEX($B$9:$B$9008,MATCH(7637,$C$9:$C$9008,0)))</f>
        <v/>
      </c>
      <c r="B7645" s="9" t="str">
        <f>IFERROR(INDEX(Input!$L$20:$T$1019,INT((ROW()-9)/9)+1,MOD(ROW()-9,9)+1),"")</f>
        <v/>
      </c>
      <c r="C7645" s="9">
        <f t="shared" si="119"/>
        <v>0</v>
      </c>
    </row>
    <row r="7646" spans="1:3" x14ac:dyDescent="0.2">
      <c r="A7646" s="10" t="str">
        <f>IF(7638&gt;$C$9008,"",INDEX($B$9:$B$9008,MATCH(7638,$C$9:$C$9008,0)))</f>
        <v/>
      </c>
      <c r="B7646" s="9" t="str">
        <f>IFERROR(INDEX(Input!$L$20:$T$1019,INT((ROW()-9)/9)+1,MOD(ROW()-9,9)+1),"")</f>
        <v/>
      </c>
      <c r="C7646" s="9">
        <f t="shared" si="119"/>
        <v>0</v>
      </c>
    </row>
    <row r="7647" spans="1:3" x14ac:dyDescent="0.2">
      <c r="A7647" s="10" t="str">
        <f>IF(7639&gt;$C$9008,"",INDEX($B$9:$B$9008,MATCH(7639,$C$9:$C$9008,0)))</f>
        <v/>
      </c>
      <c r="B7647" s="9" t="str">
        <f>IFERROR(INDEX(Input!$L$20:$T$1019,INT((ROW()-9)/9)+1,MOD(ROW()-9,9)+1),"")</f>
        <v/>
      </c>
      <c r="C7647" s="9">
        <f t="shared" si="119"/>
        <v>0</v>
      </c>
    </row>
    <row r="7648" spans="1:3" x14ac:dyDescent="0.2">
      <c r="A7648" s="10" t="str">
        <f>IF(7640&gt;$C$9008,"",INDEX($B$9:$B$9008,MATCH(7640,$C$9:$C$9008,0)))</f>
        <v/>
      </c>
      <c r="B7648" s="9" t="str">
        <f>IFERROR(INDEX(Input!$L$20:$T$1019,INT((ROW()-9)/9)+1,MOD(ROW()-9,9)+1),"")</f>
        <v/>
      </c>
      <c r="C7648" s="9">
        <f t="shared" si="119"/>
        <v>0</v>
      </c>
    </row>
    <row r="7649" spans="1:3" x14ac:dyDescent="0.2">
      <c r="A7649" s="10" t="str">
        <f>IF(7641&gt;$C$9008,"",INDEX($B$9:$B$9008,MATCH(7641,$C$9:$C$9008,0)))</f>
        <v/>
      </c>
      <c r="B7649" s="9" t="str">
        <f>IFERROR(INDEX(Input!$L$20:$T$1019,INT((ROW()-9)/9)+1,MOD(ROW()-9,9)+1),"")</f>
        <v/>
      </c>
      <c r="C7649" s="9">
        <f t="shared" si="119"/>
        <v>0</v>
      </c>
    </row>
    <row r="7650" spans="1:3" x14ac:dyDescent="0.2">
      <c r="A7650" s="10" t="str">
        <f>IF(7642&gt;$C$9008,"",INDEX($B$9:$B$9008,MATCH(7642,$C$9:$C$9008,0)))</f>
        <v/>
      </c>
      <c r="B7650" s="9" t="str">
        <f>IFERROR(INDEX(Input!$L$20:$T$1019,INT((ROW()-9)/9)+1,MOD(ROW()-9,9)+1),"")</f>
        <v/>
      </c>
      <c r="C7650" s="9">
        <f t="shared" si="119"/>
        <v>0</v>
      </c>
    </row>
    <row r="7651" spans="1:3" x14ac:dyDescent="0.2">
      <c r="A7651" s="10" t="str">
        <f>IF(7643&gt;$C$9008,"",INDEX($B$9:$B$9008,MATCH(7643,$C$9:$C$9008,0)))</f>
        <v/>
      </c>
      <c r="B7651" s="9" t="str">
        <f>IFERROR(INDEX(Input!$L$20:$T$1019,INT((ROW()-9)/9)+1,MOD(ROW()-9,9)+1),"")</f>
        <v/>
      </c>
      <c r="C7651" s="9">
        <f t="shared" si="119"/>
        <v>0</v>
      </c>
    </row>
    <row r="7652" spans="1:3" x14ac:dyDescent="0.2">
      <c r="A7652" s="10" t="str">
        <f>IF(7644&gt;$C$9008,"",INDEX($B$9:$B$9008,MATCH(7644,$C$9:$C$9008,0)))</f>
        <v/>
      </c>
      <c r="B7652" s="9" t="str">
        <f>IFERROR(INDEX(Input!$L$20:$T$1019,INT((ROW()-9)/9)+1,MOD(ROW()-9,9)+1),"")</f>
        <v/>
      </c>
      <c r="C7652" s="9">
        <f t="shared" si="119"/>
        <v>0</v>
      </c>
    </row>
    <row r="7653" spans="1:3" x14ac:dyDescent="0.2">
      <c r="A7653" s="10" t="str">
        <f>IF(7645&gt;$C$9008,"",INDEX($B$9:$B$9008,MATCH(7645,$C$9:$C$9008,0)))</f>
        <v/>
      </c>
      <c r="B7653" s="9" t="str">
        <f>IFERROR(INDEX(Input!$L$20:$T$1019,INT((ROW()-9)/9)+1,MOD(ROW()-9,9)+1),"")</f>
        <v/>
      </c>
      <c r="C7653" s="9">
        <f t="shared" si="119"/>
        <v>0</v>
      </c>
    </row>
    <row r="7654" spans="1:3" x14ac:dyDescent="0.2">
      <c r="A7654" s="10" t="str">
        <f>IF(7646&gt;$C$9008,"",INDEX($B$9:$B$9008,MATCH(7646,$C$9:$C$9008,0)))</f>
        <v/>
      </c>
      <c r="B7654" s="9" t="str">
        <f>IFERROR(INDEX(Input!$L$20:$T$1019,INT((ROW()-9)/9)+1,MOD(ROW()-9,9)+1),"")</f>
        <v/>
      </c>
      <c r="C7654" s="9">
        <f t="shared" si="119"/>
        <v>0</v>
      </c>
    </row>
    <row r="7655" spans="1:3" x14ac:dyDescent="0.2">
      <c r="A7655" s="10" t="str">
        <f>IF(7647&gt;$C$9008,"",INDEX($B$9:$B$9008,MATCH(7647,$C$9:$C$9008,0)))</f>
        <v/>
      </c>
      <c r="B7655" s="9" t="str">
        <f>IFERROR(INDEX(Input!$L$20:$T$1019,INT((ROW()-9)/9)+1,MOD(ROW()-9,9)+1),"")</f>
        <v/>
      </c>
      <c r="C7655" s="9">
        <f t="shared" si="119"/>
        <v>0</v>
      </c>
    </row>
    <row r="7656" spans="1:3" x14ac:dyDescent="0.2">
      <c r="A7656" s="10" t="str">
        <f>IF(7648&gt;$C$9008,"",INDEX($B$9:$B$9008,MATCH(7648,$C$9:$C$9008,0)))</f>
        <v/>
      </c>
      <c r="B7656" s="9" t="str">
        <f>IFERROR(INDEX(Input!$L$20:$T$1019,INT((ROW()-9)/9)+1,MOD(ROW()-9,9)+1),"")</f>
        <v/>
      </c>
      <c r="C7656" s="9">
        <f t="shared" si="119"/>
        <v>0</v>
      </c>
    </row>
    <row r="7657" spans="1:3" x14ac:dyDescent="0.2">
      <c r="A7657" s="10" t="str">
        <f>IF(7649&gt;$C$9008,"",INDEX($B$9:$B$9008,MATCH(7649,$C$9:$C$9008,0)))</f>
        <v/>
      </c>
      <c r="B7657" s="9" t="str">
        <f>IFERROR(INDEX(Input!$L$20:$T$1019,INT((ROW()-9)/9)+1,MOD(ROW()-9,9)+1),"")</f>
        <v/>
      </c>
      <c r="C7657" s="9">
        <f t="shared" si="119"/>
        <v>0</v>
      </c>
    </row>
    <row r="7658" spans="1:3" x14ac:dyDescent="0.2">
      <c r="A7658" s="10" t="str">
        <f>IF(7650&gt;$C$9008,"",INDEX($B$9:$B$9008,MATCH(7650,$C$9:$C$9008,0)))</f>
        <v/>
      </c>
      <c r="B7658" s="9" t="str">
        <f>IFERROR(INDEX(Input!$L$20:$T$1019,INT((ROW()-9)/9)+1,MOD(ROW()-9,9)+1),"")</f>
        <v/>
      </c>
      <c r="C7658" s="9">
        <f t="shared" si="119"/>
        <v>0</v>
      </c>
    </row>
    <row r="7659" spans="1:3" x14ac:dyDescent="0.2">
      <c r="A7659" s="10" t="str">
        <f>IF(7651&gt;$C$9008,"",INDEX($B$9:$B$9008,MATCH(7651,$C$9:$C$9008,0)))</f>
        <v/>
      </c>
      <c r="B7659" s="9" t="str">
        <f>IFERROR(INDEX(Input!$L$20:$T$1019,INT((ROW()-9)/9)+1,MOD(ROW()-9,9)+1),"")</f>
        <v/>
      </c>
      <c r="C7659" s="9">
        <f t="shared" si="119"/>
        <v>0</v>
      </c>
    </row>
    <row r="7660" spans="1:3" x14ac:dyDescent="0.2">
      <c r="A7660" s="10" t="str">
        <f>IF(7652&gt;$C$9008,"",INDEX($B$9:$B$9008,MATCH(7652,$C$9:$C$9008,0)))</f>
        <v/>
      </c>
      <c r="B7660" s="9" t="str">
        <f>IFERROR(INDEX(Input!$L$20:$T$1019,INT((ROW()-9)/9)+1,MOD(ROW()-9,9)+1),"")</f>
        <v/>
      </c>
      <c r="C7660" s="9">
        <f t="shared" si="119"/>
        <v>0</v>
      </c>
    </row>
    <row r="7661" spans="1:3" x14ac:dyDescent="0.2">
      <c r="A7661" s="10" t="str">
        <f>IF(7653&gt;$C$9008,"",INDEX($B$9:$B$9008,MATCH(7653,$C$9:$C$9008,0)))</f>
        <v/>
      </c>
      <c r="B7661" s="9" t="str">
        <f>IFERROR(INDEX(Input!$L$20:$T$1019,INT((ROW()-9)/9)+1,MOD(ROW()-9,9)+1),"")</f>
        <v/>
      </c>
      <c r="C7661" s="9">
        <f t="shared" si="119"/>
        <v>0</v>
      </c>
    </row>
    <row r="7662" spans="1:3" x14ac:dyDescent="0.2">
      <c r="A7662" s="10" t="str">
        <f>IF(7654&gt;$C$9008,"",INDEX($B$9:$B$9008,MATCH(7654,$C$9:$C$9008,0)))</f>
        <v/>
      </c>
      <c r="B7662" s="9" t="str">
        <f>IFERROR(INDEX(Input!$L$20:$T$1019,INT((ROW()-9)/9)+1,MOD(ROW()-9,9)+1),"")</f>
        <v/>
      </c>
      <c r="C7662" s="9">
        <f t="shared" si="119"/>
        <v>0</v>
      </c>
    </row>
    <row r="7663" spans="1:3" x14ac:dyDescent="0.2">
      <c r="A7663" s="10" t="str">
        <f>IF(7655&gt;$C$9008,"",INDEX($B$9:$B$9008,MATCH(7655,$C$9:$C$9008,0)))</f>
        <v/>
      </c>
      <c r="B7663" s="9" t="str">
        <f>IFERROR(INDEX(Input!$L$20:$T$1019,INT((ROW()-9)/9)+1,MOD(ROW()-9,9)+1),"")</f>
        <v/>
      </c>
      <c r="C7663" s="9">
        <f t="shared" si="119"/>
        <v>0</v>
      </c>
    </row>
    <row r="7664" spans="1:3" x14ac:dyDescent="0.2">
      <c r="A7664" s="10" t="str">
        <f>IF(7656&gt;$C$9008,"",INDEX($B$9:$B$9008,MATCH(7656,$C$9:$C$9008,0)))</f>
        <v/>
      </c>
      <c r="B7664" s="9" t="str">
        <f>IFERROR(INDEX(Input!$L$20:$T$1019,INT((ROW()-9)/9)+1,MOD(ROW()-9,9)+1),"")</f>
        <v/>
      </c>
      <c r="C7664" s="9">
        <f t="shared" si="119"/>
        <v>0</v>
      </c>
    </row>
    <row r="7665" spans="1:3" x14ac:dyDescent="0.2">
      <c r="A7665" s="10" t="str">
        <f>IF(7657&gt;$C$9008,"",INDEX($B$9:$B$9008,MATCH(7657,$C$9:$C$9008,0)))</f>
        <v/>
      </c>
      <c r="B7665" s="9" t="str">
        <f>IFERROR(INDEX(Input!$L$20:$T$1019,INT((ROW()-9)/9)+1,MOD(ROW()-9,9)+1),"")</f>
        <v/>
      </c>
      <c r="C7665" s="9">
        <f t="shared" si="119"/>
        <v>0</v>
      </c>
    </row>
    <row r="7666" spans="1:3" x14ac:dyDescent="0.2">
      <c r="A7666" s="10" t="str">
        <f>IF(7658&gt;$C$9008,"",INDEX($B$9:$B$9008,MATCH(7658,$C$9:$C$9008,0)))</f>
        <v/>
      </c>
      <c r="B7666" s="9" t="str">
        <f>IFERROR(INDEX(Input!$L$20:$T$1019,INT((ROW()-9)/9)+1,MOD(ROW()-9,9)+1),"")</f>
        <v/>
      </c>
      <c r="C7666" s="9">
        <f t="shared" si="119"/>
        <v>0</v>
      </c>
    </row>
    <row r="7667" spans="1:3" x14ac:dyDescent="0.2">
      <c r="A7667" s="10" t="str">
        <f>IF(7659&gt;$C$9008,"",INDEX($B$9:$B$9008,MATCH(7659,$C$9:$C$9008,0)))</f>
        <v/>
      </c>
      <c r="B7667" s="9" t="str">
        <f>IFERROR(INDEX(Input!$L$20:$T$1019,INT((ROW()-9)/9)+1,MOD(ROW()-9,9)+1),"")</f>
        <v/>
      </c>
      <c r="C7667" s="9">
        <f t="shared" si="119"/>
        <v>0</v>
      </c>
    </row>
    <row r="7668" spans="1:3" x14ac:dyDescent="0.2">
      <c r="A7668" s="10" t="str">
        <f>IF(7660&gt;$C$9008,"",INDEX($B$9:$B$9008,MATCH(7660,$C$9:$C$9008,0)))</f>
        <v/>
      </c>
      <c r="B7668" s="9" t="str">
        <f>IFERROR(INDEX(Input!$L$20:$T$1019,INT((ROW()-9)/9)+1,MOD(ROW()-9,9)+1),"")</f>
        <v/>
      </c>
      <c r="C7668" s="9">
        <f t="shared" si="119"/>
        <v>0</v>
      </c>
    </row>
    <row r="7669" spans="1:3" x14ac:dyDescent="0.2">
      <c r="A7669" s="10" t="str">
        <f>IF(7661&gt;$C$9008,"",INDEX($B$9:$B$9008,MATCH(7661,$C$9:$C$9008,0)))</f>
        <v/>
      </c>
      <c r="B7669" s="9" t="str">
        <f>IFERROR(INDEX(Input!$L$20:$T$1019,INT((ROW()-9)/9)+1,MOD(ROW()-9,9)+1),"")</f>
        <v/>
      </c>
      <c r="C7669" s="9">
        <f t="shared" si="119"/>
        <v>0</v>
      </c>
    </row>
    <row r="7670" spans="1:3" x14ac:dyDescent="0.2">
      <c r="A7670" s="10" t="str">
        <f>IF(7662&gt;$C$9008,"",INDEX($B$9:$B$9008,MATCH(7662,$C$9:$C$9008,0)))</f>
        <v/>
      </c>
      <c r="B7670" s="9" t="str">
        <f>IFERROR(INDEX(Input!$L$20:$T$1019,INT((ROW()-9)/9)+1,MOD(ROW()-9,9)+1),"")</f>
        <v/>
      </c>
      <c r="C7670" s="9">
        <f t="shared" si="119"/>
        <v>0</v>
      </c>
    </row>
    <row r="7671" spans="1:3" x14ac:dyDescent="0.2">
      <c r="A7671" s="10" t="str">
        <f>IF(7663&gt;$C$9008,"",INDEX($B$9:$B$9008,MATCH(7663,$C$9:$C$9008,0)))</f>
        <v/>
      </c>
      <c r="B7671" s="9" t="str">
        <f>IFERROR(INDEX(Input!$L$20:$T$1019,INT((ROW()-9)/9)+1,MOD(ROW()-9,9)+1),"")</f>
        <v/>
      </c>
      <c r="C7671" s="9">
        <f t="shared" si="119"/>
        <v>0</v>
      </c>
    </row>
    <row r="7672" spans="1:3" x14ac:dyDescent="0.2">
      <c r="A7672" s="10" t="str">
        <f>IF(7664&gt;$C$9008,"",INDEX($B$9:$B$9008,MATCH(7664,$C$9:$C$9008,0)))</f>
        <v/>
      </c>
      <c r="B7672" s="9" t="str">
        <f>IFERROR(INDEX(Input!$L$20:$T$1019,INT((ROW()-9)/9)+1,MOD(ROW()-9,9)+1),"")</f>
        <v/>
      </c>
      <c r="C7672" s="9">
        <f t="shared" si="119"/>
        <v>0</v>
      </c>
    </row>
    <row r="7673" spans="1:3" x14ac:dyDescent="0.2">
      <c r="A7673" s="10" t="str">
        <f>IF(7665&gt;$C$9008,"",INDEX($B$9:$B$9008,MATCH(7665,$C$9:$C$9008,0)))</f>
        <v/>
      </c>
      <c r="B7673" s="9" t="str">
        <f>IFERROR(INDEX(Input!$L$20:$T$1019,INT((ROW()-9)/9)+1,MOD(ROW()-9,9)+1),"")</f>
        <v/>
      </c>
      <c r="C7673" s="9">
        <f t="shared" si="119"/>
        <v>0</v>
      </c>
    </row>
    <row r="7674" spans="1:3" x14ac:dyDescent="0.2">
      <c r="A7674" s="10" t="str">
        <f>IF(7666&gt;$C$9008,"",INDEX($B$9:$B$9008,MATCH(7666,$C$9:$C$9008,0)))</f>
        <v/>
      </c>
      <c r="B7674" s="9" t="str">
        <f>IFERROR(INDEX(Input!$L$20:$T$1019,INT((ROW()-9)/9)+1,MOD(ROW()-9,9)+1),"")</f>
        <v/>
      </c>
      <c r="C7674" s="9">
        <f t="shared" si="119"/>
        <v>0</v>
      </c>
    </row>
    <row r="7675" spans="1:3" x14ac:dyDescent="0.2">
      <c r="A7675" s="10" t="str">
        <f>IF(7667&gt;$C$9008,"",INDEX($B$9:$B$9008,MATCH(7667,$C$9:$C$9008,0)))</f>
        <v/>
      </c>
      <c r="B7675" s="9" t="str">
        <f>IFERROR(INDEX(Input!$L$20:$T$1019,INT((ROW()-9)/9)+1,MOD(ROW()-9,9)+1),"")</f>
        <v/>
      </c>
      <c r="C7675" s="9">
        <f t="shared" si="119"/>
        <v>0</v>
      </c>
    </row>
    <row r="7676" spans="1:3" x14ac:dyDescent="0.2">
      <c r="A7676" s="10" t="str">
        <f>IF(7668&gt;$C$9008,"",INDEX($B$9:$B$9008,MATCH(7668,$C$9:$C$9008,0)))</f>
        <v/>
      </c>
      <c r="B7676" s="9" t="str">
        <f>IFERROR(INDEX(Input!$L$20:$T$1019,INT((ROW()-9)/9)+1,MOD(ROW()-9,9)+1),"")</f>
        <v/>
      </c>
      <c r="C7676" s="9">
        <f t="shared" si="119"/>
        <v>0</v>
      </c>
    </row>
    <row r="7677" spans="1:3" x14ac:dyDescent="0.2">
      <c r="A7677" s="10" t="str">
        <f>IF(7669&gt;$C$9008,"",INDEX($B$9:$B$9008,MATCH(7669,$C$9:$C$9008,0)))</f>
        <v/>
      </c>
      <c r="B7677" s="9" t="str">
        <f>IFERROR(INDEX(Input!$L$20:$T$1019,INT((ROW()-9)/9)+1,MOD(ROW()-9,9)+1),"")</f>
        <v/>
      </c>
      <c r="C7677" s="9">
        <f t="shared" si="119"/>
        <v>0</v>
      </c>
    </row>
    <row r="7678" spans="1:3" x14ac:dyDescent="0.2">
      <c r="A7678" s="10" t="str">
        <f>IF(7670&gt;$C$9008,"",INDEX($B$9:$B$9008,MATCH(7670,$C$9:$C$9008,0)))</f>
        <v/>
      </c>
      <c r="B7678" s="9" t="str">
        <f>IFERROR(INDEX(Input!$L$20:$T$1019,INT((ROW()-9)/9)+1,MOD(ROW()-9,9)+1),"")</f>
        <v/>
      </c>
      <c r="C7678" s="9">
        <f t="shared" si="119"/>
        <v>0</v>
      </c>
    </row>
    <row r="7679" spans="1:3" x14ac:dyDescent="0.2">
      <c r="A7679" s="10" t="str">
        <f>IF(7671&gt;$C$9008,"",INDEX($B$9:$B$9008,MATCH(7671,$C$9:$C$9008,0)))</f>
        <v/>
      </c>
      <c r="B7679" s="9" t="str">
        <f>IFERROR(INDEX(Input!$L$20:$T$1019,INT((ROW()-9)/9)+1,MOD(ROW()-9,9)+1),"")</f>
        <v/>
      </c>
      <c r="C7679" s="9">
        <f t="shared" si="119"/>
        <v>0</v>
      </c>
    </row>
    <row r="7680" spans="1:3" x14ac:dyDescent="0.2">
      <c r="A7680" s="10" t="str">
        <f>IF(7672&gt;$C$9008,"",INDEX($B$9:$B$9008,MATCH(7672,$C$9:$C$9008,0)))</f>
        <v/>
      </c>
      <c r="B7680" s="9" t="str">
        <f>IFERROR(INDEX(Input!$L$20:$T$1019,INT((ROW()-9)/9)+1,MOD(ROW()-9,9)+1),"")</f>
        <v/>
      </c>
      <c r="C7680" s="9">
        <f t="shared" si="119"/>
        <v>0</v>
      </c>
    </row>
    <row r="7681" spans="1:3" x14ac:dyDescent="0.2">
      <c r="A7681" s="10" t="str">
        <f>IF(7673&gt;$C$9008,"",INDEX($B$9:$B$9008,MATCH(7673,$C$9:$C$9008,0)))</f>
        <v/>
      </c>
      <c r="B7681" s="9" t="str">
        <f>IFERROR(INDEX(Input!$L$20:$T$1019,INT((ROW()-9)/9)+1,MOD(ROW()-9,9)+1),"")</f>
        <v/>
      </c>
      <c r="C7681" s="9">
        <f t="shared" si="119"/>
        <v>0</v>
      </c>
    </row>
    <row r="7682" spans="1:3" x14ac:dyDescent="0.2">
      <c r="A7682" s="10" t="str">
        <f>IF(7674&gt;$C$9008,"",INDEX($B$9:$B$9008,MATCH(7674,$C$9:$C$9008,0)))</f>
        <v/>
      </c>
      <c r="B7682" s="9" t="str">
        <f>IFERROR(INDEX(Input!$L$20:$T$1019,INT((ROW()-9)/9)+1,MOD(ROW()-9,9)+1),"")</f>
        <v/>
      </c>
      <c r="C7682" s="9">
        <f t="shared" si="119"/>
        <v>0</v>
      </c>
    </row>
    <row r="7683" spans="1:3" x14ac:dyDescent="0.2">
      <c r="A7683" s="10" t="str">
        <f>IF(7675&gt;$C$9008,"",INDEX($B$9:$B$9008,MATCH(7675,$C$9:$C$9008,0)))</f>
        <v/>
      </c>
      <c r="B7683" s="9" t="str">
        <f>IFERROR(INDEX(Input!$L$20:$T$1019,INT((ROW()-9)/9)+1,MOD(ROW()-9,9)+1),"")</f>
        <v/>
      </c>
      <c r="C7683" s="9">
        <f t="shared" si="119"/>
        <v>0</v>
      </c>
    </row>
    <row r="7684" spans="1:3" x14ac:dyDescent="0.2">
      <c r="A7684" s="10" t="str">
        <f>IF(7676&gt;$C$9008,"",INDEX($B$9:$B$9008,MATCH(7676,$C$9:$C$9008,0)))</f>
        <v/>
      </c>
      <c r="B7684" s="9" t="str">
        <f>IFERROR(INDEX(Input!$L$20:$T$1019,INT((ROW()-9)/9)+1,MOD(ROW()-9,9)+1),"")</f>
        <v/>
      </c>
      <c r="C7684" s="9">
        <f t="shared" si="119"/>
        <v>0</v>
      </c>
    </row>
    <row r="7685" spans="1:3" x14ac:dyDescent="0.2">
      <c r="A7685" s="10" t="str">
        <f>IF(7677&gt;$C$9008,"",INDEX($B$9:$B$9008,MATCH(7677,$C$9:$C$9008,0)))</f>
        <v/>
      </c>
      <c r="B7685" s="9" t="str">
        <f>IFERROR(INDEX(Input!$L$20:$T$1019,INT((ROW()-9)/9)+1,MOD(ROW()-9,9)+1),"")</f>
        <v/>
      </c>
      <c r="C7685" s="9">
        <f t="shared" si="119"/>
        <v>0</v>
      </c>
    </row>
    <row r="7686" spans="1:3" x14ac:dyDescent="0.2">
      <c r="A7686" s="10" t="str">
        <f>IF(7678&gt;$C$9008,"",INDEX($B$9:$B$9008,MATCH(7678,$C$9:$C$9008,0)))</f>
        <v/>
      </c>
      <c r="B7686" s="9" t="str">
        <f>IFERROR(INDEX(Input!$L$20:$T$1019,INT((ROW()-9)/9)+1,MOD(ROW()-9,9)+1),"")</f>
        <v/>
      </c>
      <c r="C7686" s="9">
        <f t="shared" si="119"/>
        <v>0</v>
      </c>
    </row>
    <row r="7687" spans="1:3" x14ac:dyDescent="0.2">
      <c r="A7687" s="10" t="str">
        <f>IF(7679&gt;$C$9008,"",INDEX($B$9:$B$9008,MATCH(7679,$C$9:$C$9008,0)))</f>
        <v/>
      </c>
      <c r="B7687" s="9" t="str">
        <f>IFERROR(INDEX(Input!$L$20:$T$1019,INT((ROW()-9)/9)+1,MOD(ROW()-9,9)+1),"")</f>
        <v/>
      </c>
      <c r="C7687" s="9">
        <f t="shared" si="119"/>
        <v>0</v>
      </c>
    </row>
    <row r="7688" spans="1:3" x14ac:dyDescent="0.2">
      <c r="A7688" s="10" t="str">
        <f>IF(7680&gt;$C$9008,"",INDEX($B$9:$B$9008,MATCH(7680,$C$9:$C$9008,0)))</f>
        <v/>
      </c>
      <c r="B7688" s="9" t="str">
        <f>IFERROR(INDEX(Input!$L$20:$T$1019,INT((ROW()-9)/9)+1,MOD(ROW()-9,9)+1),"")</f>
        <v/>
      </c>
      <c r="C7688" s="9">
        <f t="shared" si="119"/>
        <v>0</v>
      </c>
    </row>
    <row r="7689" spans="1:3" x14ac:dyDescent="0.2">
      <c r="A7689" s="10" t="str">
        <f>IF(7681&gt;$C$9008,"",INDEX($B$9:$B$9008,MATCH(7681,$C$9:$C$9008,0)))</f>
        <v/>
      </c>
      <c r="B7689" s="9" t="str">
        <f>IFERROR(INDEX(Input!$L$20:$T$1019,INT((ROW()-9)/9)+1,MOD(ROW()-9,9)+1),"")</f>
        <v/>
      </c>
      <c r="C7689" s="9">
        <f t="shared" ref="C7689:C7752" si="120">$C7688+IF($B7689&lt;&gt;"",1,0)</f>
        <v>0</v>
      </c>
    </row>
    <row r="7690" spans="1:3" x14ac:dyDescent="0.2">
      <c r="A7690" s="10" t="str">
        <f>IF(7682&gt;$C$9008,"",INDEX($B$9:$B$9008,MATCH(7682,$C$9:$C$9008,0)))</f>
        <v/>
      </c>
      <c r="B7690" s="9" t="str">
        <f>IFERROR(INDEX(Input!$L$20:$T$1019,INT((ROW()-9)/9)+1,MOD(ROW()-9,9)+1),"")</f>
        <v/>
      </c>
      <c r="C7690" s="9">
        <f t="shared" si="120"/>
        <v>0</v>
      </c>
    </row>
    <row r="7691" spans="1:3" x14ac:dyDescent="0.2">
      <c r="A7691" s="10" t="str">
        <f>IF(7683&gt;$C$9008,"",INDEX($B$9:$B$9008,MATCH(7683,$C$9:$C$9008,0)))</f>
        <v/>
      </c>
      <c r="B7691" s="9" t="str">
        <f>IFERROR(INDEX(Input!$L$20:$T$1019,INT((ROW()-9)/9)+1,MOD(ROW()-9,9)+1),"")</f>
        <v/>
      </c>
      <c r="C7691" s="9">
        <f t="shared" si="120"/>
        <v>0</v>
      </c>
    </row>
    <row r="7692" spans="1:3" x14ac:dyDescent="0.2">
      <c r="A7692" s="10" t="str">
        <f>IF(7684&gt;$C$9008,"",INDEX($B$9:$B$9008,MATCH(7684,$C$9:$C$9008,0)))</f>
        <v/>
      </c>
      <c r="B7692" s="9" t="str">
        <f>IFERROR(INDEX(Input!$L$20:$T$1019,INT((ROW()-9)/9)+1,MOD(ROW()-9,9)+1),"")</f>
        <v/>
      </c>
      <c r="C7692" s="9">
        <f t="shared" si="120"/>
        <v>0</v>
      </c>
    </row>
    <row r="7693" spans="1:3" x14ac:dyDescent="0.2">
      <c r="A7693" s="10" t="str">
        <f>IF(7685&gt;$C$9008,"",INDEX($B$9:$B$9008,MATCH(7685,$C$9:$C$9008,0)))</f>
        <v/>
      </c>
      <c r="B7693" s="9" t="str">
        <f>IFERROR(INDEX(Input!$L$20:$T$1019,INT((ROW()-9)/9)+1,MOD(ROW()-9,9)+1),"")</f>
        <v/>
      </c>
      <c r="C7693" s="9">
        <f t="shared" si="120"/>
        <v>0</v>
      </c>
    </row>
    <row r="7694" spans="1:3" x14ac:dyDescent="0.2">
      <c r="A7694" s="10" t="str">
        <f>IF(7686&gt;$C$9008,"",INDEX($B$9:$B$9008,MATCH(7686,$C$9:$C$9008,0)))</f>
        <v/>
      </c>
      <c r="B7694" s="9" t="str">
        <f>IFERROR(INDEX(Input!$L$20:$T$1019,INT((ROW()-9)/9)+1,MOD(ROW()-9,9)+1),"")</f>
        <v/>
      </c>
      <c r="C7694" s="9">
        <f t="shared" si="120"/>
        <v>0</v>
      </c>
    </row>
    <row r="7695" spans="1:3" x14ac:dyDescent="0.2">
      <c r="A7695" s="10" t="str">
        <f>IF(7687&gt;$C$9008,"",INDEX($B$9:$B$9008,MATCH(7687,$C$9:$C$9008,0)))</f>
        <v/>
      </c>
      <c r="B7695" s="9" t="str">
        <f>IFERROR(INDEX(Input!$L$20:$T$1019,INT((ROW()-9)/9)+1,MOD(ROW()-9,9)+1),"")</f>
        <v/>
      </c>
      <c r="C7695" s="9">
        <f t="shared" si="120"/>
        <v>0</v>
      </c>
    </row>
    <row r="7696" spans="1:3" x14ac:dyDescent="0.2">
      <c r="A7696" s="10" t="str">
        <f>IF(7688&gt;$C$9008,"",INDEX($B$9:$B$9008,MATCH(7688,$C$9:$C$9008,0)))</f>
        <v/>
      </c>
      <c r="B7696" s="9" t="str">
        <f>IFERROR(INDEX(Input!$L$20:$T$1019,INT((ROW()-9)/9)+1,MOD(ROW()-9,9)+1),"")</f>
        <v/>
      </c>
      <c r="C7696" s="9">
        <f t="shared" si="120"/>
        <v>0</v>
      </c>
    </row>
    <row r="7697" spans="1:3" x14ac:dyDescent="0.2">
      <c r="A7697" s="10" t="str">
        <f>IF(7689&gt;$C$9008,"",INDEX($B$9:$B$9008,MATCH(7689,$C$9:$C$9008,0)))</f>
        <v/>
      </c>
      <c r="B7697" s="9" t="str">
        <f>IFERROR(INDEX(Input!$L$20:$T$1019,INT((ROW()-9)/9)+1,MOD(ROW()-9,9)+1),"")</f>
        <v/>
      </c>
      <c r="C7697" s="9">
        <f t="shared" si="120"/>
        <v>0</v>
      </c>
    </row>
    <row r="7698" spans="1:3" x14ac:dyDescent="0.2">
      <c r="A7698" s="10" t="str">
        <f>IF(7690&gt;$C$9008,"",INDEX($B$9:$B$9008,MATCH(7690,$C$9:$C$9008,0)))</f>
        <v/>
      </c>
      <c r="B7698" s="9" t="str">
        <f>IFERROR(INDEX(Input!$L$20:$T$1019,INT((ROW()-9)/9)+1,MOD(ROW()-9,9)+1),"")</f>
        <v/>
      </c>
      <c r="C7698" s="9">
        <f t="shared" si="120"/>
        <v>0</v>
      </c>
    </row>
    <row r="7699" spans="1:3" x14ac:dyDescent="0.2">
      <c r="A7699" s="10" t="str">
        <f>IF(7691&gt;$C$9008,"",INDEX($B$9:$B$9008,MATCH(7691,$C$9:$C$9008,0)))</f>
        <v/>
      </c>
      <c r="B7699" s="9" t="str">
        <f>IFERROR(INDEX(Input!$L$20:$T$1019,INT((ROW()-9)/9)+1,MOD(ROW()-9,9)+1),"")</f>
        <v/>
      </c>
      <c r="C7699" s="9">
        <f t="shared" si="120"/>
        <v>0</v>
      </c>
    </row>
    <row r="7700" spans="1:3" x14ac:dyDescent="0.2">
      <c r="A7700" s="10" t="str">
        <f>IF(7692&gt;$C$9008,"",INDEX($B$9:$B$9008,MATCH(7692,$C$9:$C$9008,0)))</f>
        <v/>
      </c>
      <c r="B7700" s="9" t="str">
        <f>IFERROR(INDEX(Input!$L$20:$T$1019,INT((ROW()-9)/9)+1,MOD(ROW()-9,9)+1),"")</f>
        <v/>
      </c>
      <c r="C7700" s="9">
        <f t="shared" si="120"/>
        <v>0</v>
      </c>
    </row>
    <row r="7701" spans="1:3" x14ac:dyDescent="0.2">
      <c r="A7701" s="10" t="str">
        <f>IF(7693&gt;$C$9008,"",INDEX($B$9:$B$9008,MATCH(7693,$C$9:$C$9008,0)))</f>
        <v/>
      </c>
      <c r="B7701" s="9" t="str">
        <f>IFERROR(INDEX(Input!$L$20:$T$1019,INT((ROW()-9)/9)+1,MOD(ROW()-9,9)+1),"")</f>
        <v/>
      </c>
      <c r="C7701" s="9">
        <f t="shared" si="120"/>
        <v>0</v>
      </c>
    </row>
    <row r="7702" spans="1:3" x14ac:dyDescent="0.2">
      <c r="A7702" s="10" t="str">
        <f>IF(7694&gt;$C$9008,"",INDEX($B$9:$B$9008,MATCH(7694,$C$9:$C$9008,0)))</f>
        <v/>
      </c>
      <c r="B7702" s="9" t="str">
        <f>IFERROR(INDEX(Input!$L$20:$T$1019,INT((ROW()-9)/9)+1,MOD(ROW()-9,9)+1),"")</f>
        <v/>
      </c>
      <c r="C7702" s="9">
        <f t="shared" si="120"/>
        <v>0</v>
      </c>
    </row>
    <row r="7703" spans="1:3" x14ac:dyDescent="0.2">
      <c r="A7703" s="10" t="str">
        <f>IF(7695&gt;$C$9008,"",INDEX($B$9:$B$9008,MATCH(7695,$C$9:$C$9008,0)))</f>
        <v/>
      </c>
      <c r="B7703" s="9" t="str">
        <f>IFERROR(INDEX(Input!$L$20:$T$1019,INT((ROW()-9)/9)+1,MOD(ROW()-9,9)+1),"")</f>
        <v/>
      </c>
      <c r="C7703" s="9">
        <f t="shared" si="120"/>
        <v>0</v>
      </c>
    </row>
    <row r="7704" spans="1:3" x14ac:dyDescent="0.2">
      <c r="A7704" s="10" t="str">
        <f>IF(7696&gt;$C$9008,"",INDEX($B$9:$B$9008,MATCH(7696,$C$9:$C$9008,0)))</f>
        <v/>
      </c>
      <c r="B7704" s="9" t="str">
        <f>IFERROR(INDEX(Input!$L$20:$T$1019,INT((ROW()-9)/9)+1,MOD(ROW()-9,9)+1),"")</f>
        <v/>
      </c>
      <c r="C7704" s="9">
        <f t="shared" si="120"/>
        <v>0</v>
      </c>
    </row>
    <row r="7705" spans="1:3" x14ac:dyDescent="0.2">
      <c r="A7705" s="10" t="str">
        <f>IF(7697&gt;$C$9008,"",INDEX($B$9:$B$9008,MATCH(7697,$C$9:$C$9008,0)))</f>
        <v/>
      </c>
      <c r="B7705" s="9" t="str">
        <f>IFERROR(INDEX(Input!$L$20:$T$1019,INT((ROW()-9)/9)+1,MOD(ROW()-9,9)+1),"")</f>
        <v/>
      </c>
      <c r="C7705" s="9">
        <f t="shared" si="120"/>
        <v>0</v>
      </c>
    </row>
    <row r="7706" spans="1:3" x14ac:dyDescent="0.2">
      <c r="A7706" s="10" t="str">
        <f>IF(7698&gt;$C$9008,"",INDEX($B$9:$B$9008,MATCH(7698,$C$9:$C$9008,0)))</f>
        <v/>
      </c>
      <c r="B7706" s="9" t="str">
        <f>IFERROR(INDEX(Input!$L$20:$T$1019,INT((ROW()-9)/9)+1,MOD(ROW()-9,9)+1),"")</f>
        <v/>
      </c>
      <c r="C7706" s="9">
        <f t="shared" si="120"/>
        <v>0</v>
      </c>
    </row>
    <row r="7707" spans="1:3" x14ac:dyDescent="0.2">
      <c r="A7707" s="10" t="str">
        <f>IF(7699&gt;$C$9008,"",INDEX($B$9:$B$9008,MATCH(7699,$C$9:$C$9008,0)))</f>
        <v/>
      </c>
      <c r="B7707" s="9" t="str">
        <f>IFERROR(INDEX(Input!$L$20:$T$1019,INT((ROW()-9)/9)+1,MOD(ROW()-9,9)+1),"")</f>
        <v/>
      </c>
      <c r="C7707" s="9">
        <f t="shared" si="120"/>
        <v>0</v>
      </c>
    </row>
    <row r="7708" spans="1:3" x14ac:dyDescent="0.2">
      <c r="A7708" s="10" t="str">
        <f>IF(7700&gt;$C$9008,"",INDEX($B$9:$B$9008,MATCH(7700,$C$9:$C$9008,0)))</f>
        <v/>
      </c>
      <c r="B7708" s="9" t="str">
        <f>IFERROR(INDEX(Input!$L$20:$T$1019,INT((ROW()-9)/9)+1,MOD(ROW()-9,9)+1),"")</f>
        <v/>
      </c>
      <c r="C7708" s="9">
        <f t="shared" si="120"/>
        <v>0</v>
      </c>
    </row>
    <row r="7709" spans="1:3" x14ac:dyDescent="0.2">
      <c r="A7709" s="10" t="str">
        <f>IF(7701&gt;$C$9008,"",INDEX($B$9:$B$9008,MATCH(7701,$C$9:$C$9008,0)))</f>
        <v/>
      </c>
      <c r="B7709" s="9" t="str">
        <f>IFERROR(INDEX(Input!$L$20:$T$1019,INT((ROW()-9)/9)+1,MOD(ROW()-9,9)+1),"")</f>
        <v/>
      </c>
      <c r="C7709" s="9">
        <f t="shared" si="120"/>
        <v>0</v>
      </c>
    </row>
    <row r="7710" spans="1:3" x14ac:dyDescent="0.2">
      <c r="A7710" s="10" t="str">
        <f>IF(7702&gt;$C$9008,"",INDEX($B$9:$B$9008,MATCH(7702,$C$9:$C$9008,0)))</f>
        <v/>
      </c>
      <c r="B7710" s="9" t="str">
        <f>IFERROR(INDEX(Input!$L$20:$T$1019,INT((ROW()-9)/9)+1,MOD(ROW()-9,9)+1),"")</f>
        <v/>
      </c>
      <c r="C7710" s="9">
        <f t="shared" si="120"/>
        <v>0</v>
      </c>
    </row>
    <row r="7711" spans="1:3" x14ac:dyDescent="0.2">
      <c r="A7711" s="10" t="str">
        <f>IF(7703&gt;$C$9008,"",INDEX($B$9:$B$9008,MATCH(7703,$C$9:$C$9008,0)))</f>
        <v/>
      </c>
      <c r="B7711" s="9" t="str">
        <f>IFERROR(INDEX(Input!$L$20:$T$1019,INT((ROW()-9)/9)+1,MOD(ROW()-9,9)+1),"")</f>
        <v/>
      </c>
      <c r="C7711" s="9">
        <f t="shared" si="120"/>
        <v>0</v>
      </c>
    </row>
    <row r="7712" spans="1:3" x14ac:dyDescent="0.2">
      <c r="A7712" s="10" t="str">
        <f>IF(7704&gt;$C$9008,"",INDEX($B$9:$B$9008,MATCH(7704,$C$9:$C$9008,0)))</f>
        <v/>
      </c>
      <c r="B7712" s="9" t="str">
        <f>IFERROR(INDEX(Input!$L$20:$T$1019,INT((ROW()-9)/9)+1,MOD(ROW()-9,9)+1),"")</f>
        <v/>
      </c>
      <c r="C7712" s="9">
        <f t="shared" si="120"/>
        <v>0</v>
      </c>
    </row>
    <row r="7713" spans="1:3" x14ac:dyDescent="0.2">
      <c r="A7713" s="10" t="str">
        <f>IF(7705&gt;$C$9008,"",INDEX($B$9:$B$9008,MATCH(7705,$C$9:$C$9008,0)))</f>
        <v/>
      </c>
      <c r="B7713" s="9" t="str">
        <f>IFERROR(INDEX(Input!$L$20:$T$1019,INT((ROW()-9)/9)+1,MOD(ROW()-9,9)+1),"")</f>
        <v/>
      </c>
      <c r="C7713" s="9">
        <f t="shared" si="120"/>
        <v>0</v>
      </c>
    </row>
    <row r="7714" spans="1:3" x14ac:dyDescent="0.2">
      <c r="A7714" s="10" t="str">
        <f>IF(7706&gt;$C$9008,"",INDEX($B$9:$B$9008,MATCH(7706,$C$9:$C$9008,0)))</f>
        <v/>
      </c>
      <c r="B7714" s="9" t="str">
        <f>IFERROR(INDEX(Input!$L$20:$T$1019,INT((ROW()-9)/9)+1,MOD(ROW()-9,9)+1),"")</f>
        <v/>
      </c>
      <c r="C7714" s="9">
        <f t="shared" si="120"/>
        <v>0</v>
      </c>
    </row>
    <row r="7715" spans="1:3" x14ac:dyDescent="0.2">
      <c r="A7715" s="10" t="str">
        <f>IF(7707&gt;$C$9008,"",INDEX($B$9:$B$9008,MATCH(7707,$C$9:$C$9008,0)))</f>
        <v/>
      </c>
      <c r="B7715" s="9" t="str">
        <f>IFERROR(INDEX(Input!$L$20:$T$1019,INT((ROW()-9)/9)+1,MOD(ROW()-9,9)+1),"")</f>
        <v/>
      </c>
      <c r="C7715" s="9">
        <f t="shared" si="120"/>
        <v>0</v>
      </c>
    </row>
    <row r="7716" spans="1:3" x14ac:dyDescent="0.2">
      <c r="A7716" s="10" t="str">
        <f>IF(7708&gt;$C$9008,"",INDEX($B$9:$B$9008,MATCH(7708,$C$9:$C$9008,0)))</f>
        <v/>
      </c>
      <c r="B7716" s="9" t="str">
        <f>IFERROR(INDEX(Input!$L$20:$T$1019,INT((ROW()-9)/9)+1,MOD(ROW()-9,9)+1),"")</f>
        <v/>
      </c>
      <c r="C7716" s="9">
        <f t="shared" si="120"/>
        <v>0</v>
      </c>
    </row>
    <row r="7717" spans="1:3" x14ac:dyDescent="0.2">
      <c r="A7717" s="10" t="str">
        <f>IF(7709&gt;$C$9008,"",INDEX($B$9:$B$9008,MATCH(7709,$C$9:$C$9008,0)))</f>
        <v/>
      </c>
      <c r="B7717" s="9" t="str">
        <f>IFERROR(INDEX(Input!$L$20:$T$1019,INT((ROW()-9)/9)+1,MOD(ROW()-9,9)+1),"")</f>
        <v/>
      </c>
      <c r="C7717" s="9">
        <f t="shared" si="120"/>
        <v>0</v>
      </c>
    </row>
    <row r="7718" spans="1:3" x14ac:dyDescent="0.2">
      <c r="A7718" s="10" t="str">
        <f>IF(7710&gt;$C$9008,"",INDEX($B$9:$B$9008,MATCH(7710,$C$9:$C$9008,0)))</f>
        <v/>
      </c>
      <c r="B7718" s="9" t="str">
        <f>IFERROR(INDEX(Input!$L$20:$T$1019,INT((ROW()-9)/9)+1,MOD(ROW()-9,9)+1),"")</f>
        <v/>
      </c>
      <c r="C7718" s="9">
        <f t="shared" si="120"/>
        <v>0</v>
      </c>
    </row>
    <row r="7719" spans="1:3" x14ac:dyDescent="0.2">
      <c r="A7719" s="10" t="str">
        <f>IF(7711&gt;$C$9008,"",INDEX($B$9:$B$9008,MATCH(7711,$C$9:$C$9008,0)))</f>
        <v/>
      </c>
      <c r="B7719" s="9" t="str">
        <f>IFERROR(INDEX(Input!$L$20:$T$1019,INT((ROW()-9)/9)+1,MOD(ROW()-9,9)+1),"")</f>
        <v/>
      </c>
      <c r="C7719" s="9">
        <f t="shared" si="120"/>
        <v>0</v>
      </c>
    </row>
    <row r="7720" spans="1:3" x14ac:dyDescent="0.2">
      <c r="A7720" s="10" t="str">
        <f>IF(7712&gt;$C$9008,"",INDEX($B$9:$B$9008,MATCH(7712,$C$9:$C$9008,0)))</f>
        <v/>
      </c>
      <c r="B7720" s="9" t="str">
        <f>IFERROR(INDEX(Input!$L$20:$T$1019,INT((ROW()-9)/9)+1,MOD(ROW()-9,9)+1),"")</f>
        <v/>
      </c>
      <c r="C7720" s="9">
        <f t="shared" si="120"/>
        <v>0</v>
      </c>
    </row>
    <row r="7721" spans="1:3" x14ac:dyDescent="0.2">
      <c r="A7721" s="10" t="str">
        <f>IF(7713&gt;$C$9008,"",INDEX($B$9:$B$9008,MATCH(7713,$C$9:$C$9008,0)))</f>
        <v/>
      </c>
      <c r="B7721" s="9" t="str">
        <f>IFERROR(INDEX(Input!$L$20:$T$1019,INT((ROW()-9)/9)+1,MOD(ROW()-9,9)+1),"")</f>
        <v/>
      </c>
      <c r="C7721" s="9">
        <f t="shared" si="120"/>
        <v>0</v>
      </c>
    </row>
    <row r="7722" spans="1:3" x14ac:dyDescent="0.2">
      <c r="A7722" s="10" t="str">
        <f>IF(7714&gt;$C$9008,"",INDEX($B$9:$B$9008,MATCH(7714,$C$9:$C$9008,0)))</f>
        <v/>
      </c>
      <c r="B7722" s="9" t="str">
        <f>IFERROR(INDEX(Input!$L$20:$T$1019,INT((ROW()-9)/9)+1,MOD(ROW()-9,9)+1),"")</f>
        <v/>
      </c>
      <c r="C7722" s="9">
        <f t="shared" si="120"/>
        <v>0</v>
      </c>
    </row>
    <row r="7723" spans="1:3" x14ac:dyDescent="0.2">
      <c r="A7723" s="10" t="str">
        <f>IF(7715&gt;$C$9008,"",INDEX($B$9:$B$9008,MATCH(7715,$C$9:$C$9008,0)))</f>
        <v/>
      </c>
      <c r="B7723" s="9" t="str">
        <f>IFERROR(INDEX(Input!$L$20:$T$1019,INT((ROW()-9)/9)+1,MOD(ROW()-9,9)+1),"")</f>
        <v/>
      </c>
      <c r="C7723" s="9">
        <f t="shared" si="120"/>
        <v>0</v>
      </c>
    </row>
    <row r="7724" spans="1:3" x14ac:dyDescent="0.2">
      <c r="A7724" s="10" t="str">
        <f>IF(7716&gt;$C$9008,"",INDEX($B$9:$B$9008,MATCH(7716,$C$9:$C$9008,0)))</f>
        <v/>
      </c>
      <c r="B7724" s="9" t="str">
        <f>IFERROR(INDEX(Input!$L$20:$T$1019,INT((ROW()-9)/9)+1,MOD(ROW()-9,9)+1),"")</f>
        <v/>
      </c>
      <c r="C7724" s="9">
        <f t="shared" si="120"/>
        <v>0</v>
      </c>
    </row>
    <row r="7725" spans="1:3" x14ac:dyDescent="0.2">
      <c r="A7725" s="10" t="str">
        <f>IF(7717&gt;$C$9008,"",INDEX($B$9:$B$9008,MATCH(7717,$C$9:$C$9008,0)))</f>
        <v/>
      </c>
      <c r="B7725" s="9" t="str">
        <f>IFERROR(INDEX(Input!$L$20:$T$1019,INT((ROW()-9)/9)+1,MOD(ROW()-9,9)+1),"")</f>
        <v/>
      </c>
      <c r="C7725" s="9">
        <f t="shared" si="120"/>
        <v>0</v>
      </c>
    </row>
    <row r="7726" spans="1:3" x14ac:dyDescent="0.2">
      <c r="A7726" s="10" t="str">
        <f>IF(7718&gt;$C$9008,"",INDEX($B$9:$B$9008,MATCH(7718,$C$9:$C$9008,0)))</f>
        <v/>
      </c>
      <c r="B7726" s="9" t="str">
        <f>IFERROR(INDEX(Input!$L$20:$T$1019,INT((ROW()-9)/9)+1,MOD(ROW()-9,9)+1),"")</f>
        <v/>
      </c>
      <c r="C7726" s="9">
        <f t="shared" si="120"/>
        <v>0</v>
      </c>
    </row>
    <row r="7727" spans="1:3" x14ac:dyDescent="0.2">
      <c r="A7727" s="10" t="str">
        <f>IF(7719&gt;$C$9008,"",INDEX($B$9:$B$9008,MATCH(7719,$C$9:$C$9008,0)))</f>
        <v/>
      </c>
      <c r="B7727" s="9" t="str">
        <f>IFERROR(INDEX(Input!$L$20:$T$1019,INT((ROW()-9)/9)+1,MOD(ROW()-9,9)+1),"")</f>
        <v/>
      </c>
      <c r="C7727" s="9">
        <f t="shared" si="120"/>
        <v>0</v>
      </c>
    </row>
    <row r="7728" spans="1:3" x14ac:dyDescent="0.2">
      <c r="A7728" s="10" t="str">
        <f>IF(7720&gt;$C$9008,"",INDEX($B$9:$B$9008,MATCH(7720,$C$9:$C$9008,0)))</f>
        <v/>
      </c>
      <c r="B7728" s="9" t="str">
        <f>IFERROR(INDEX(Input!$L$20:$T$1019,INT((ROW()-9)/9)+1,MOD(ROW()-9,9)+1),"")</f>
        <v/>
      </c>
      <c r="C7728" s="9">
        <f t="shared" si="120"/>
        <v>0</v>
      </c>
    </row>
    <row r="7729" spans="1:3" x14ac:dyDescent="0.2">
      <c r="A7729" s="10" t="str">
        <f>IF(7721&gt;$C$9008,"",INDEX($B$9:$B$9008,MATCH(7721,$C$9:$C$9008,0)))</f>
        <v/>
      </c>
      <c r="B7729" s="9" t="str">
        <f>IFERROR(INDEX(Input!$L$20:$T$1019,INT((ROW()-9)/9)+1,MOD(ROW()-9,9)+1),"")</f>
        <v/>
      </c>
      <c r="C7729" s="9">
        <f t="shared" si="120"/>
        <v>0</v>
      </c>
    </row>
    <row r="7730" spans="1:3" x14ac:dyDescent="0.2">
      <c r="A7730" s="10" t="str">
        <f>IF(7722&gt;$C$9008,"",INDEX($B$9:$B$9008,MATCH(7722,$C$9:$C$9008,0)))</f>
        <v/>
      </c>
      <c r="B7730" s="9" t="str">
        <f>IFERROR(INDEX(Input!$L$20:$T$1019,INT((ROW()-9)/9)+1,MOD(ROW()-9,9)+1),"")</f>
        <v/>
      </c>
      <c r="C7730" s="9">
        <f t="shared" si="120"/>
        <v>0</v>
      </c>
    </row>
    <row r="7731" spans="1:3" x14ac:dyDescent="0.2">
      <c r="A7731" s="10" t="str">
        <f>IF(7723&gt;$C$9008,"",INDEX($B$9:$B$9008,MATCH(7723,$C$9:$C$9008,0)))</f>
        <v/>
      </c>
      <c r="B7731" s="9" t="str">
        <f>IFERROR(INDEX(Input!$L$20:$T$1019,INT((ROW()-9)/9)+1,MOD(ROW()-9,9)+1),"")</f>
        <v/>
      </c>
      <c r="C7731" s="9">
        <f t="shared" si="120"/>
        <v>0</v>
      </c>
    </row>
    <row r="7732" spans="1:3" x14ac:dyDescent="0.2">
      <c r="A7732" s="10" t="str">
        <f>IF(7724&gt;$C$9008,"",INDEX($B$9:$B$9008,MATCH(7724,$C$9:$C$9008,0)))</f>
        <v/>
      </c>
      <c r="B7732" s="9" t="str">
        <f>IFERROR(INDEX(Input!$L$20:$T$1019,INT((ROW()-9)/9)+1,MOD(ROW()-9,9)+1),"")</f>
        <v/>
      </c>
      <c r="C7732" s="9">
        <f t="shared" si="120"/>
        <v>0</v>
      </c>
    </row>
    <row r="7733" spans="1:3" x14ac:dyDescent="0.2">
      <c r="A7733" s="10" t="str">
        <f>IF(7725&gt;$C$9008,"",INDEX($B$9:$B$9008,MATCH(7725,$C$9:$C$9008,0)))</f>
        <v/>
      </c>
      <c r="B7733" s="9" t="str">
        <f>IFERROR(INDEX(Input!$L$20:$T$1019,INT((ROW()-9)/9)+1,MOD(ROW()-9,9)+1),"")</f>
        <v/>
      </c>
      <c r="C7733" s="9">
        <f t="shared" si="120"/>
        <v>0</v>
      </c>
    </row>
    <row r="7734" spans="1:3" x14ac:dyDescent="0.2">
      <c r="A7734" s="10" t="str">
        <f>IF(7726&gt;$C$9008,"",INDEX($B$9:$B$9008,MATCH(7726,$C$9:$C$9008,0)))</f>
        <v/>
      </c>
      <c r="B7734" s="9" t="str">
        <f>IFERROR(INDEX(Input!$L$20:$T$1019,INT((ROW()-9)/9)+1,MOD(ROW()-9,9)+1),"")</f>
        <v/>
      </c>
      <c r="C7734" s="9">
        <f t="shared" si="120"/>
        <v>0</v>
      </c>
    </row>
    <row r="7735" spans="1:3" x14ac:dyDescent="0.2">
      <c r="A7735" s="10" t="str">
        <f>IF(7727&gt;$C$9008,"",INDEX($B$9:$B$9008,MATCH(7727,$C$9:$C$9008,0)))</f>
        <v/>
      </c>
      <c r="B7735" s="9" t="str">
        <f>IFERROR(INDEX(Input!$L$20:$T$1019,INT((ROW()-9)/9)+1,MOD(ROW()-9,9)+1),"")</f>
        <v/>
      </c>
      <c r="C7735" s="9">
        <f t="shared" si="120"/>
        <v>0</v>
      </c>
    </row>
    <row r="7736" spans="1:3" x14ac:dyDescent="0.2">
      <c r="A7736" s="10" t="str">
        <f>IF(7728&gt;$C$9008,"",INDEX($B$9:$B$9008,MATCH(7728,$C$9:$C$9008,0)))</f>
        <v/>
      </c>
      <c r="B7736" s="9" t="str">
        <f>IFERROR(INDEX(Input!$L$20:$T$1019,INT((ROW()-9)/9)+1,MOD(ROW()-9,9)+1),"")</f>
        <v/>
      </c>
      <c r="C7736" s="9">
        <f t="shared" si="120"/>
        <v>0</v>
      </c>
    </row>
    <row r="7737" spans="1:3" x14ac:dyDescent="0.2">
      <c r="A7737" s="10" t="str">
        <f>IF(7729&gt;$C$9008,"",INDEX($B$9:$B$9008,MATCH(7729,$C$9:$C$9008,0)))</f>
        <v/>
      </c>
      <c r="B7737" s="9" t="str">
        <f>IFERROR(INDEX(Input!$L$20:$T$1019,INT((ROW()-9)/9)+1,MOD(ROW()-9,9)+1),"")</f>
        <v/>
      </c>
      <c r="C7737" s="9">
        <f t="shared" si="120"/>
        <v>0</v>
      </c>
    </row>
    <row r="7738" spans="1:3" x14ac:dyDescent="0.2">
      <c r="A7738" s="10" t="str">
        <f>IF(7730&gt;$C$9008,"",INDEX($B$9:$B$9008,MATCH(7730,$C$9:$C$9008,0)))</f>
        <v/>
      </c>
      <c r="B7738" s="9" t="str">
        <f>IFERROR(INDEX(Input!$L$20:$T$1019,INT((ROW()-9)/9)+1,MOD(ROW()-9,9)+1),"")</f>
        <v/>
      </c>
      <c r="C7738" s="9">
        <f t="shared" si="120"/>
        <v>0</v>
      </c>
    </row>
    <row r="7739" spans="1:3" x14ac:dyDescent="0.2">
      <c r="A7739" s="10" t="str">
        <f>IF(7731&gt;$C$9008,"",INDEX($B$9:$B$9008,MATCH(7731,$C$9:$C$9008,0)))</f>
        <v/>
      </c>
      <c r="B7739" s="9" t="str">
        <f>IFERROR(INDEX(Input!$L$20:$T$1019,INT((ROW()-9)/9)+1,MOD(ROW()-9,9)+1),"")</f>
        <v/>
      </c>
      <c r="C7739" s="9">
        <f t="shared" si="120"/>
        <v>0</v>
      </c>
    </row>
    <row r="7740" spans="1:3" x14ac:dyDescent="0.2">
      <c r="A7740" s="10" t="str">
        <f>IF(7732&gt;$C$9008,"",INDEX($B$9:$B$9008,MATCH(7732,$C$9:$C$9008,0)))</f>
        <v/>
      </c>
      <c r="B7740" s="9" t="str">
        <f>IFERROR(INDEX(Input!$L$20:$T$1019,INT((ROW()-9)/9)+1,MOD(ROW()-9,9)+1),"")</f>
        <v/>
      </c>
      <c r="C7740" s="9">
        <f t="shared" si="120"/>
        <v>0</v>
      </c>
    </row>
    <row r="7741" spans="1:3" x14ac:dyDescent="0.2">
      <c r="A7741" s="10" t="str">
        <f>IF(7733&gt;$C$9008,"",INDEX($B$9:$B$9008,MATCH(7733,$C$9:$C$9008,0)))</f>
        <v/>
      </c>
      <c r="B7741" s="9" t="str">
        <f>IFERROR(INDEX(Input!$L$20:$T$1019,INT((ROW()-9)/9)+1,MOD(ROW()-9,9)+1),"")</f>
        <v/>
      </c>
      <c r="C7741" s="9">
        <f t="shared" si="120"/>
        <v>0</v>
      </c>
    </row>
    <row r="7742" spans="1:3" x14ac:dyDescent="0.2">
      <c r="A7742" s="10" t="str">
        <f>IF(7734&gt;$C$9008,"",INDEX($B$9:$B$9008,MATCH(7734,$C$9:$C$9008,0)))</f>
        <v/>
      </c>
      <c r="B7742" s="9" t="str">
        <f>IFERROR(INDEX(Input!$L$20:$T$1019,INT((ROW()-9)/9)+1,MOD(ROW()-9,9)+1),"")</f>
        <v/>
      </c>
      <c r="C7742" s="9">
        <f t="shared" si="120"/>
        <v>0</v>
      </c>
    </row>
    <row r="7743" spans="1:3" x14ac:dyDescent="0.2">
      <c r="A7743" s="10" t="str">
        <f>IF(7735&gt;$C$9008,"",INDEX($B$9:$B$9008,MATCH(7735,$C$9:$C$9008,0)))</f>
        <v/>
      </c>
      <c r="B7743" s="9" t="str">
        <f>IFERROR(INDEX(Input!$L$20:$T$1019,INT((ROW()-9)/9)+1,MOD(ROW()-9,9)+1),"")</f>
        <v/>
      </c>
      <c r="C7743" s="9">
        <f t="shared" si="120"/>
        <v>0</v>
      </c>
    </row>
    <row r="7744" spans="1:3" x14ac:dyDescent="0.2">
      <c r="A7744" s="10" t="str">
        <f>IF(7736&gt;$C$9008,"",INDEX($B$9:$B$9008,MATCH(7736,$C$9:$C$9008,0)))</f>
        <v/>
      </c>
      <c r="B7744" s="9" t="str">
        <f>IFERROR(INDEX(Input!$L$20:$T$1019,INT((ROW()-9)/9)+1,MOD(ROW()-9,9)+1),"")</f>
        <v/>
      </c>
      <c r="C7744" s="9">
        <f t="shared" si="120"/>
        <v>0</v>
      </c>
    </row>
    <row r="7745" spans="1:3" x14ac:dyDescent="0.2">
      <c r="A7745" s="10" t="str">
        <f>IF(7737&gt;$C$9008,"",INDEX($B$9:$B$9008,MATCH(7737,$C$9:$C$9008,0)))</f>
        <v/>
      </c>
      <c r="B7745" s="9" t="str">
        <f>IFERROR(INDEX(Input!$L$20:$T$1019,INT((ROW()-9)/9)+1,MOD(ROW()-9,9)+1),"")</f>
        <v/>
      </c>
      <c r="C7745" s="9">
        <f t="shared" si="120"/>
        <v>0</v>
      </c>
    </row>
    <row r="7746" spans="1:3" x14ac:dyDescent="0.2">
      <c r="A7746" s="10" t="str">
        <f>IF(7738&gt;$C$9008,"",INDEX($B$9:$B$9008,MATCH(7738,$C$9:$C$9008,0)))</f>
        <v/>
      </c>
      <c r="B7746" s="9" t="str">
        <f>IFERROR(INDEX(Input!$L$20:$T$1019,INT((ROW()-9)/9)+1,MOD(ROW()-9,9)+1),"")</f>
        <v/>
      </c>
      <c r="C7746" s="9">
        <f t="shared" si="120"/>
        <v>0</v>
      </c>
    </row>
    <row r="7747" spans="1:3" x14ac:dyDescent="0.2">
      <c r="A7747" s="10" t="str">
        <f>IF(7739&gt;$C$9008,"",INDEX($B$9:$B$9008,MATCH(7739,$C$9:$C$9008,0)))</f>
        <v/>
      </c>
      <c r="B7747" s="9" t="str">
        <f>IFERROR(INDEX(Input!$L$20:$T$1019,INT((ROW()-9)/9)+1,MOD(ROW()-9,9)+1),"")</f>
        <v/>
      </c>
      <c r="C7747" s="9">
        <f t="shared" si="120"/>
        <v>0</v>
      </c>
    </row>
    <row r="7748" spans="1:3" x14ac:dyDescent="0.2">
      <c r="A7748" s="10" t="str">
        <f>IF(7740&gt;$C$9008,"",INDEX($B$9:$B$9008,MATCH(7740,$C$9:$C$9008,0)))</f>
        <v/>
      </c>
      <c r="B7748" s="9" t="str">
        <f>IFERROR(INDEX(Input!$L$20:$T$1019,INT((ROW()-9)/9)+1,MOD(ROW()-9,9)+1),"")</f>
        <v/>
      </c>
      <c r="C7748" s="9">
        <f t="shared" si="120"/>
        <v>0</v>
      </c>
    </row>
    <row r="7749" spans="1:3" x14ac:dyDescent="0.2">
      <c r="A7749" s="10" t="str">
        <f>IF(7741&gt;$C$9008,"",INDEX($B$9:$B$9008,MATCH(7741,$C$9:$C$9008,0)))</f>
        <v/>
      </c>
      <c r="B7749" s="9" t="str">
        <f>IFERROR(INDEX(Input!$L$20:$T$1019,INT((ROW()-9)/9)+1,MOD(ROW()-9,9)+1),"")</f>
        <v/>
      </c>
      <c r="C7749" s="9">
        <f t="shared" si="120"/>
        <v>0</v>
      </c>
    </row>
    <row r="7750" spans="1:3" x14ac:dyDescent="0.2">
      <c r="A7750" s="10" t="str">
        <f>IF(7742&gt;$C$9008,"",INDEX($B$9:$B$9008,MATCH(7742,$C$9:$C$9008,0)))</f>
        <v/>
      </c>
      <c r="B7750" s="9" t="str">
        <f>IFERROR(INDEX(Input!$L$20:$T$1019,INT((ROW()-9)/9)+1,MOD(ROW()-9,9)+1),"")</f>
        <v/>
      </c>
      <c r="C7750" s="9">
        <f t="shared" si="120"/>
        <v>0</v>
      </c>
    </row>
    <row r="7751" spans="1:3" x14ac:dyDescent="0.2">
      <c r="A7751" s="10" t="str">
        <f>IF(7743&gt;$C$9008,"",INDEX($B$9:$B$9008,MATCH(7743,$C$9:$C$9008,0)))</f>
        <v/>
      </c>
      <c r="B7751" s="9" t="str">
        <f>IFERROR(INDEX(Input!$L$20:$T$1019,INT((ROW()-9)/9)+1,MOD(ROW()-9,9)+1),"")</f>
        <v/>
      </c>
      <c r="C7751" s="9">
        <f t="shared" si="120"/>
        <v>0</v>
      </c>
    </row>
    <row r="7752" spans="1:3" x14ac:dyDescent="0.2">
      <c r="A7752" s="10" t="str">
        <f>IF(7744&gt;$C$9008,"",INDEX($B$9:$B$9008,MATCH(7744,$C$9:$C$9008,0)))</f>
        <v/>
      </c>
      <c r="B7752" s="9" t="str">
        <f>IFERROR(INDEX(Input!$L$20:$T$1019,INT((ROW()-9)/9)+1,MOD(ROW()-9,9)+1),"")</f>
        <v/>
      </c>
      <c r="C7752" s="9">
        <f t="shared" si="120"/>
        <v>0</v>
      </c>
    </row>
    <row r="7753" spans="1:3" x14ac:dyDescent="0.2">
      <c r="A7753" s="10" t="str">
        <f>IF(7745&gt;$C$9008,"",INDEX($B$9:$B$9008,MATCH(7745,$C$9:$C$9008,0)))</f>
        <v/>
      </c>
      <c r="B7753" s="9" t="str">
        <f>IFERROR(INDEX(Input!$L$20:$T$1019,INT((ROW()-9)/9)+1,MOD(ROW()-9,9)+1),"")</f>
        <v/>
      </c>
      <c r="C7753" s="9">
        <f t="shared" ref="C7753:C7816" si="121">$C7752+IF($B7753&lt;&gt;"",1,0)</f>
        <v>0</v>
      </c>
    </row>
    <row r="7754" spans="1:3" x14ac:dyDescent="0.2">
      <c r="A7754" s="10" t="str">
        <f>IF(7746&gt;$C$9008,"",INDEX($B$9:$B$9008,MATCH(7746,$C$9:$C$9008,0)))</f>
        <v/>
      </c>
      <c r="B7754" s="9" t="str">
        <f>IFERROR(INDEX(Input!$L$20:$T$1019,INT((ROW()-9)/9)+1,MOD(ROW()-9,9)+1),"")</f>
        <v/>
      </c>
      <c r="C7754" s="9">
        <f t="shared" si="121"/>
        <v>0</v>
      </c>
    </row>
    <row r="7755" spans="1:3" x14ac:dyDescent="0.2">
      <c r="A7755" s="10" t="str">
        <f>IF(7747&gt;$C$9008,"",INDEX($B$9:$B$9008,MATCH(7747,$C$9:$C$9008,0)))</f>
        <v/>
      </c>
      <c r="B7755" s="9" t="str">
        <f>IFERROR(INDEX(Input!$L$20:$T$1019,INT((ROW()-9)/9)+1,MOD(ROW()-9,9)+1),"")</f>
        <v/>
      </c>
      <c r="C7755" s="9">
        <f t="shared" si="121"/>
        <v>0</v>
      </c>
    </row>
    <row r="7756" spans="1:3" x14ac:dyDescent="0.2">
      <c r="A7756" s="10" t="str">
        <f>IF(7748&gt;$C$9008,"",INDEX($B$9:$B$9008,MATCH(7748,$C$9:$C$9008,0)))</f>
        <v/>
      </c>
      <c r="B7756" s="9" t="str">
        <f>IFERROR(INDEX(Input!$L$20:$T$1019,INT((ROW()-9)/9)+1,MOD(ROW()-9,9)+1),"")</f>
        <v/>
      </c>
      <c r="C7756" s="9">
        <f t="shared" si="121"/>
        <v>0</v>
      </c>
    </row>
    <row r="7757" spans="1:3" x14ac:dyDescent="0.2">
      <c r="A7757" s="10" t="str">
        <f>IF(7749&gt;$C$9008,"",INDEX($B$9:$B$9008,MATCH(7749,$C$9:$C$9008,0)))</f>
        <v/>
      </c>
      <c r="B7757" s="9" t="str">
        <f>IFERROR(INDEX(Input!$L$20:$T$1019,INT((ROW()-9)/9)+1,MOD(ROW()-9,9)+1),"")</f>
        <v/>
      </c>
      <c r="C7757" s="9">
        <f t="shared" si="121"/>
        <v>0</v>
      </c>
    </row>
    <row r="7758" spans="1:3" x14ac:dyDescent="0.2">
      <c r="A7758" s="10" t="str">
        <f>IF(7750&gt;$C$9008,"",INDEX($B$9:$B$9008,MATCH(7750,$C$9:$C$9008,0)))</f>
        <v/>
      </c>
      <c r="B7758" s="9" t="str">
        <f>IFERROR(INDEX(Input!$L$20:$T$1019,INT((ROW()-9)/9)+1,MOD(ROW()-9,9)+1),"")</f>
        <v/>
      </c>
      <c r="C7758" s="9">
        <f t="shared" si="121"/>
        <v>0</v>
      </c>
    </row>
    <row r="7759" spans="1:3" x14ac:dyDescent="0.2">
      <c r="A7759" s="10" t="str">
        <f>IF(7751&gt;$C$9008,"",INDEX($B$9:$B$9008,MATCH(7751,$C$9:$C$9008,0)))</f>
        <v/>
      </c>
      <c r="B7759" s="9" t="str">
        <f>IFERROR(INDEX(Input!$L$20:$T$1019,INT((ROW()-9)/9)+1,MOD(ROW()-9,9)+1),"")</f>
        <v/>
      </c>
      <c r="C7759" s="9">
        <f t="shared" si="121"/>
        <v>0</v>
      </c>
    </row>
    <row r="7760" spans="1:3" x14ac:dyDescent="0.2">
      <c r="A7760" s="10" t="str">
        <f>IF(7752&gt;$C$9008,"",INDEX($B$9:$B$9008,MATCH(7752,$C$9:$C$9008,0)))</f>
        <v/>
      </c>
      <c r="B7760" s="9" t="str">
        <f>IFERROR(INDEX(Input!$L$20:$T$1019,INT((ROW()-9)/9)+1,MOD(ROW()-9,9)+1),"")</f>
        <v/>
      </c>
      <c r="C7760" s="9">
        <f t="shared" si="121"/>
        <v>0</v>
      </c>
    </row>
    <row r="7761" spans="1:3" x14ac:dyDescent="0.2">
      <c r="A7761" s="10" t="str">
        <f>IF(7753&gt;$C$9008,"",INDEX($B$9:$B$9008,MATCH(7753,$C$9:$C$9008,0)))</f>
        <v/>
      </c>
      <c r="B7761" s="9" t="str">
        <f>IFERROR(INDEX(Input!$L$20:$T$1019,INT((ROW()-9)/9)+1,MOD(ROW()-9,9)+1),"")</f>
        <v/>
      </c>
      <c r="C7761" s="9">
        <f t="shared" si="121"/>
        <v>0</v>
      </c>
    </row>
    <row r="7762" spans="1:3" x14ac:dyDescent="0.2">
      <c r="A7762" s="10" t="str">
        <f>IF(7754&gt;$C$9008,"",INDEX($B$9:$B$9008,MATCH(7754,$C$9:$C$9008,0)))</f>
        <v/>
      </c>
      <c r="B7762" s="9" t="str">
        <f>IFERROR(INDEX(Input!$L$20:$T$1019,INT((ROW()-9)/9)+1,MOD(ROW()-9,9)+1),"")</f>
        <v/>
      </c>
      <c r="C7762" s="9">
        <f t="shared" si="121"/>
        <v>0</v>
      </c>
    </row>
    <row r="7763" spans="1:3" x14ac:dyDescent="0.2">
      <c r="A7763" s="10" t="str">
        <f>IF(7755&gt;$C$9008,"",INDEX($B$9:$B$9008,MATCH(7755,$C$9:$C$9008,0)))</f>
        <v/>
      </c>
      <c r="B7763" s="9" t="str">
        <f>IFERROR(INDEX(Input!$L$20:$T$1019,INT((ROW()-9)/9)+1,MOD(ROW()-9,9)+1),"")</f>
        <v/>
      </c>
      <c r="C7763" s="9">
        <f t="shared" si="121"/>
        <v>0</v>
      </c>
    </row>
    <row r="7764" spans="1:3" x14ac:dyDescent="0.2">
      <c r="A7764" s="10" t="str">
        <f>IF(7756&gt;$C$9008,"",INDEX($B$9:$B$9008,MATCH(7756,$C$9:$C$9008,0)))</f>
        <v/>
      </c>
      <c r="B7764" s="9" t="str">
        <f>IFERROR(INDEX(Input!$L$20:$T$1019,INT((ROW()-9)/9)+1,MOD(ROW()-9,9)+1),"")</f>
        <v/>
      </c>
      <c r="C7764" s="9">
        <f t="shared" si="121"/>
        <v>0</v>
      </c>
    </row>
    <row r="7765" spans="1:3" x14ac:dyDescent="0.2">
      <c r="A7765" s="10" t="str">
        <f>IF(7757&gt;$C$9008,"",INDEX($B$9:$B$9008,MATCH(7757,$C$9:$C$9008,0)))</f>
        <v/>
      </c>
      <c r="B7765" s="9" t="str">
        <f>IFERROR(INDEX(Input!$L$20:$T$1019,INT((ROW()-9)/9)+1,MOD(ROW()-9,9)+1),"")</f>
        <v/>
      </c>
      <c r="C7765" s="9">
        <f t="shared" si="121"/>
        <v>0</v>
      </c>
    </row>
    <row r="7766" spans="1:3" x14ac:dyDescent="0.2">
      <c r="A7766" s="10" t="str">
        <f>IF(7758&gt;$C$9008,"",INDEX($B$9:$B$9008,MATCH(7758,$C$9:$C$9008,0)))</f>
        <v/>
      </c>
      <c r="B7766" s="9" t="str">
        <f>IFERROR(INDEX(Input!$L$20:$T$1019,INT((ROW()-9)/9)+1,MOD(ROW()-9,9)+1),"")</f>
        <v/>
      </c>
      <c r="C7766" s="9">
        <f t="shared" si="121"/>
        <v>0</v>
      </c>
    </row>
    <row r="7767" spans="1:3" x14ac:dyDescent="0.2">
      <c r="A7767" s="10" t="str">
        <f>IF(7759&gt;$C$9008,"",INDEX($B$9:$B$9008,MATCH(7759,$C$9:$C$9008,0)))</f>
        <v/>
      </c>
      <c r="B7767" s="9" t="str">
        <f>IFERROR(INDEX(Input!$L$20:$T$1019,INT((ROW()-9)/9)+1,MOD(ROW()-9,9)+1),"")</f>
        <v/>
      </c>
      <c r="C7767" s="9">
        <f t="shared" si="121"/>
        <v>0</v>
      </c>
    </row>
    <row r="7768" spans="1:3" x14ac:dyDescent="0.2">
      <c r="A7768" s="10" t="str">
        <f>IF(7760&gt;$C$9008,"",INDEX($B$9:$B$9008,MATCH(7760,$C$9:$C$9008,0)))</f>
        <v/>
      </c>
      <c r="B7768" s="9" t="str">
        <f>IFERROR(INDEX(Input!$L$20:$T$1019,INT((ROW()-9)/9)+1,MOD(ROW()-9,9)+1),"")</f>
        <v/>
      </c>
      <c r="C7768" s="9">
        <f t="shared" si="121"/>
        <v>0</v>
      </c>
    </row>
    <row r="7769" spans="1:3" x14ac:dyDescent="0.2">
      <c r="A7769" s="10" t="str">
        <f>IF(7761&gt;$C$9008,"",INDEX($B$9:$B$9008,MATCH(7761,$C$9:$C$9008,0)))</f>
        <v/>
      </c>
      <c r="B7769" s="9" t="str">
        <f>IFERROR(INDEX(Input!$L$20:$T$1019,INT((ROW()-9)/9)+1,MOD(ROW()-9,9)+1),"")</f>
        <v/>
      </c>
      <c r="C7769" s="9">
        <f t="shared" si="121"/>
        <v>0</v>
      </c>
    </row>
    <row r="7770" spans="1:3" x14ac:dyDescent="0.2">
      <c r="A7770" s="10" t="str">
        <f>IF(7762&gt;$C$9008,"",INDEX($B$9:$B$9008,MATCH(7762,$C$9:$C$9008,0)))</f>
        <v/>
      </c>
      <c r="B7770" s="9" t="str">
        <f>IFERROR(INDEX(Input!$L$20:$T$1019,INT((ROW()-9)/9)+1,MOD(ROW()-9,9)+1),"")</f>
        <v/>
      </c>
      <c r="C7770" s="9">
        <f t="shared" si="121"/>
        <v>0</v>
      </c>
    </row>
    <row r="7771" spans="1:3" x14ac:dyDescent="0.2">
      <c r="A7771" s="10" t="str">
        <f>IF(7763&gt;$C$9008,"",INDEX($B$9:$B$9008,MATCH(7763,$C$9:$C$9008,0)))</f>
        <v/>
      </c>
      <c r="B7771" s="9" t="str">
        <f>IFERROR(INDEX(Input!$L$20:$T$1019,INT((ROW()-9)/9)+1,MOD(ROW()-9,9)+1),"")</f>
        <v/>
      </c>
      <c r="C7771" s="9">
        <f t="shared" si="121"/>
        <v>0</v>
      </c>
    </row>
    <row r="7772" spans="1:3" x14ac:dyDescent="0.2">
      <c r="A7772" s="10" t="str">
        <f>IF(7764&gt;$C$9008,"",INDEX($B$9:$B$9008,MATCH(7764,$C$9:$C$9008,0)))</f>
        <v/>
      </c>
      <c r="B7772" s="9" t="str">
        <f>IFERROR(INDEX(Input!$L$20:$T$1019,INT((ROW()-9)/9)+1,MOD(ROW()-9,9)+1),"")</f>
        <v/>
      </c>
      <c r="C7772" s="9">
        <f t="shared" si="121"/>
        <v>0</v>
      </c>
    </row>
    <row r="7773" spans="1:3" x14ac:dyDescent="0.2">
      <c r="A7773" s="10" t="str">
        <f>IF(7765&gt;$C$9008,"",INDEX($B$9:$B$9008,MATCH(7765,$C$9:$C$9008,0)))</f>
        <v/>
      </c>
      <c r="B7773" s="9" t="str">
        <f>IFERROR(INDEX(Input!$L$20:$T$1019,INT((ROW()-9)/9)+1,MOD(ROW()-9,9)+1),"")</f>
        <v/>
      </c>
      <c r="C7773" s="9">
        <f t="shared" si="121"/>
        <v>0</v>
      </c>
    </row>
    <row r="7774" spans="1:3" x14ac:dyDescent="0.2">
      <c r="A7774" s="10" t="str">
        <f>IF(7766&gt;$C$9008,"",INDEX($B$9:$B$9008,MATCH(7766,$C$9:$C$9008,0)))</f>
        <v/>
      </c>
      <c r="B7774" s="9" t="str">
        <f>IFERROR(INDEX(Input!$L$20:$T$1019,INT((ROW()-9)/9)+1,MOD(ROW()-9,9)+1),"")</f>
        <v/>
      </c>
      <c r="C7774" s="9">
        <f t="shared" si="121"/>
        <v>0</v>
      </c>
    </row>
    <row r="7775" spans="1:3" x14ac:dyDescent="0.2">
      <c r="A7775" s="10" t="str">
        <f>IF(7767&gt;$C$9008,"",INDEX($B$9:$B$9008,MATCH(7767,$C$9:$C$9008,0)))</f>
        <v/>
      </c>
      <c r="B7775" s="9" t="str">
        <f>IFERROR(INDEX(Input!$L$20:$T$1019,INT((ROW()-9)/9)+1,MOD(ROW()-9,9)+1),"")</f>
        <v/>
      </c>
      <c r="C7775" s="9">
        <f t="shared" si="121"/>
        <v>0</v>
      </c>
    </row>
    <row r="7776" spans="1:3" x14ac:dyDescent="0.2">
      <c r="A7776" s="10" t="str">
        <f>IF(7768&gt;$C$9008,"",INDEX($B$9:$B$9008,MATCH(7768,$C$9:$C$9008,0)))</f>
        <v/>
      </c>
      <c r="B7776" s="9" t="str">
        <f>IFERROR(INDEX(Input!$L$20:$T$1019,INT((ROW()-9)/9)+1,MOD(ROW()-9,9)+1),"")</f>
        <v/>
      </c>
      <c r="C7776" s="9">
        <f t="shared" si="121"/>
        <v>0</v>
      </c>
    </row>
    <row r="7777" spans="1:3" x14ac:dyDescent="0.2">
      <c r="A7777" s="10" t="str">
        <f>IF(7769&gt;$C$9008,"",INDEX($B$9:$B$9008,MATCH(7769,$C$9:$C$9008,0)))</f>
        <v/>
      </c>
      <c r="B7777" s="9" t="str">
        <f>IFERROR(INDEX(Input!$L$20:$T$1019,INT((ROW()-9)/9)+1,MOD(ROW()-9,9)+1),"")</f>
        <v/>
      </c>
      <c r="C7777" s="9">
        <f t="shared" si="121"/>
        <v>0</v>
      </c>
    </row>
    <row r="7778" spans="1:3" x14ac:dyDescent="0.2">
      <c r="A7778" s="10" t="str">
        <f>IF(7770&gt;$C$9008,"",INDEX($B$9:$B$9008,MATCH(7770,$C$9:$C$9008,0)))</f>
        <v/>
      </c>
      <c r="B7778" s="9" t="str">
        <f>IFERROR(INDEX(Input!$L$20:$T$1019,INT((ROW()-9)/9)+1,MOD(ROW()-9,9)+1),"")</f>
        <v/>
      </c>
      <c r="C7778" s="9">
        <f t="shared" si="121"/>
        <v>0</v>
      </c>
    </row>
    <row r="7779" spans="1:3" x14ac:dyDescent="0.2">
      <c r="A7779" s="10" t="str">
        <f>IF(7771&gt;$C$9008,"",INDEX($B$9:$B$9008,MATCH(7771,$C$9:$C$9008,0)))</f>
        <v/>
      </c>
      <c r="B7779" s="9" t="str">
        <f>IFERROR(INDEX(Input!$L$20:$T$1019,INT((ROW()-9)/9)+1,MOD(ROW()-9,9)+1),"")</f>
        <v/>
      </c>
      <c r="C7779" s="9">
        <f t="shared" si="121"/>
        <v>0</v>
      </c>
    </row>
    <row r="7780" spans="1:3" x14ac:dyDescent="0.2">
      <c r="A7780" s="10" t="str">
        <f>IF(7772&gt;$C$9008,"",INDEX($B$9:$B$9008,MATCH(7772,$C$9:$C$9008,0)))</f>
        <v/>
      </c>
      <c r="B7780" s="9" t="str">
        <f>IFERROR(INDEX(Input!$L$20:$T$1019,INT((ROW()-9)/9)+1,MOD(ROW()-9,9)+1),"")</f>
        <v/>
      </c>
      <c r="C7780" s="9">
        <f t="shared" si="121"/>
        <v>0</v>
      </c>
    </row>
    <row r="7781" spans="1:3" x14ac:dyDescent="0.2">
      <c r="A7781" s="10" t="str">
        <f>IF(7773&gt;$C$9008,"",INDEX($B$9:$B$9008,MATCH(7773,$C$9:$C$9008,0)))</f>
        <v/>
      </c>
      <c r="B7781" s="9" t="str">
        <f>IFERROR(INDEX(Input!$L$20:$T$1019,INT((ROW()-9)/9)+1,MOD(ROW()-9,9)+1),"")</f>
        <v/>
      </c>
      <c r="C7781" s="9">
        <f t="shared" si="121"/>
        <v>0</v>
      </c>
    </row>
    <row r="7782" spans="1:3" x14ac:dyDescent="0.2">
      <c r="A7782" s="10" t="str">
        <f>IF(7774&gt;$C$9008,"",INDEX($B$9:$B$9008,MATCH(7774,$C$9:$C$9008,0)))</f>
        <v/>
      </c>
      <c r="B7782" s="9" t="str">
        <f>IFERROR(INDEX(Input!$L$20:$T$1019,INT((ROW()-9)/9)+1,MOD(ROW()-9,9)+1),"")</f>
        <v/>
      </c>
      <c r="C7782" s="9">
        <f t="shared" si="121"/>
        <v>0</v>
      </c>
    </row>
    <row r="7783" spans="1:3" x14ac:dyDescent="0.2">
      <c r="A7783" s="10" t="str">
        <f>IF(7775&gt;$C$9008,"",INDEX($B$9:$B$9008,MATCH(7775,$C$9:$C$9008,0)))</f>
        <v/>
      </c>
      <c r="B7783" s="9" t="str">
        <f>IFERROR(INDEX(Input!$L$20:$T$1019,INT((ROW()-9)/9)+1,MOD(ROW()-9,9)+1),"")</f>
        <v/>
      </c>
      <c r="C7783" s="9">
        <f t="shared" si="121"/>
        <v>0</v>
      </c>
    </row>
    <row r="7784" spans="1:3" x14ac:dyDescent="0.2">
      <c r="A7784" s="10" t="str">
        <f>IF(7776&gt;$C$9008,"",INDEX($B$9:$B$9008,MATCH(7776,$C$9:$C$9008,0)))</f>
        <v/>
      </c>
      <c r="B7784" s="9" t="str">
        <f>IFERROR(INDEX(Input!$L$20:$T$1019,INT((ROW()-9)/9)+1,MOD(ROW()-9,9)+1),"")</f>
        <v/>
      </c>
      <c r="C7784" s="9">
        <f t="shared" si="121"/>
        <v>0</v>
      </c>
    </row>
    <row r="7785" spans="1:3" x14ac:dyDescent="0.2">
      <c r="A7785" s="10" t="str">
        <f>IF(7777&gt;$C$9008,"",INDEX($B$9:$B$9008,MATCH(7777,$C$9:$C$9008,0)))</f>
        <v/>
      </c>
      <c r="B7785" s="9" t="str">
        <f>IFERROR(INDEX(Input!$L$20:$T$1019,INT((ROW()-9)/9)+1,MOD(ROW()-9,9)+1),"")</f>
        <v/>
      </c>
      <c r="C7785" s="9">
        <f t="shared" si="121"/>
        <v>0</v>
      </c>
    </row>
    <row r="7786" spans="1:3" x14ac:dyDescent="0.2">
      <c r="A7786" s="10" t="str">
        <f>IF(7778&gt;$C$9008,"",INDEX($B$9:$B$9008,MATCH(7778,$C$9:$C$9008,0)))</f>
        <v/>
      </c>
      <c r="B7786" s="9" t="str">
        <f>IFERROR(INDEX(Input!$L$20:$T$1019,INT((ROW()-9)/9)+1,MOD(ROW()-9,9)+1),"")</f>
        <v/>
      </c>
      <c r="C7786" s="9">
        <f t="shared" si="121"/>
        <v>0</v>
      </c>
    </row>
    <row r="7787" spans="1:3" x14ac:dyDescent="0.2">
      <c r="A7787" s="10" t="str">
        <f>IF(7779&gt;$C$9008,"",INDEX($B$9:$B$9008,MATCH(7779,$C$9:$C$9008,0)))</f>
        <v/>
      </c>
      <c r="B7787" s="9" t="str">
        <f>IFERROR(INDEX(Input!$L$20:$T$1019,INT((ROW()-9)/9)+1,MOD(ROW()-9,9)+1),"")</f>
        <v/>
      </c>
      <c r="C7787" s="9">
        <f t="shared" si="121"/>
        <v>0</v>
      </c>
    </row>
    <row r="7788" spans="1:3" x14ac:dyDescent="0.2">
      <c r="A7788" s="10" t="str">
        <f>IF(7780&gt;$C$9008,"",INDEX($B$9:$B$9008,MATCH(7780,$C$9:$C$9008,0)))</f>
        <v/>
      </c>
      <c r="B7788" s="9" t="str">
        <f>IFERROR(INDEX(Input!$L$20:$T$1019,INT((ROW()-9)/9)+1,MOD(ROW()-9,9)+1),"")</f>
        <v/>
      </c>
      <c r="C7788" s="9">
        <f t="shared" si="121"/>
        <v>0</v>
      </c>
    </row>
    <row r="7789" spans="1:3" x14ac:dyDescent="0.2">
      <c r="A7789" s="10" t="str">
        <f>IF(7781&gt;$C$9008,"",INDEX($B$9:$B$9008,MATCH(7781,$C$9:$C$9008,0)))</f>
        <v/>
      </c>
      <c r="B7789" s="9" t="str">
        <f>IFERROR(INDEX(Input!$L$20:$T$1019,INT((ROW()-9)/9)+1,MOD(ROW()-9,9)+1),"")</f>
        <v/>
      </c>
      <c r="C7789" s="9">
        <f t="shared" si="121"/>
        <v>0</v>
      </c>
    </row>
    <row r="7790" spans="1:3" x14ac:dyDescent="0.2">
      <c r="A7790" s="10" t="str">
        <f>IF(7782&gt;$C$9008,"",INDEX($B$9:$B$9008,MATCH(7782,$C$9:$C$9008,0)))</f>
        <v/>
      </c>
      <c r="B7790" s="9" t="str">
        <f>IFERROR(INDEX(Input!$L$20:$T$1019,INT((ROW()-9)/9)+1,MOD(ROW()-9,9)+1),"")</f>
        <v/>
      </c>
      <c r="C7790" s="9">
        <f t="shared" si="121"/>
        <v>0</v>
      </c>
    </row>
    <row r="7791" spans="1:3" x14ac:dyDescent="0.2">
      <c r="A7791" s="10" t="str">
        <f>IF(7783&gt;$C$9008,"",INDEX($B$9:$B$9008,MATCH(7783,$C$9:$C$9008,0)))</f>
        <v/>
      </c>
      <c r="B7791" s="9" t="str">
        <f>IFERROR(INDEX(Input!$L$20:$T$1019,INT((ROW()-9)/9)+1,MOD(ROW()-9,9)+1),"")</f>
        <v/>
      </c>
      <c r="C7791" s="9">
        <f t="shared" si="121"/>
        <v>0</v>
      </c>
    </row>
    <row r="7792" spans="1:3" x14ac:dyDescent="0.2">
      <c r="A7792" s="10" t="str">
        <f>IF(7784&gt;$C$9008,"",INDEX($B$9:$B$9008,MATCH(7784,$C$9:$C$9008,0)))</f>
        <v/>
      </c>
      <c r="B7792" s="9" t="str">
        <f>IFERROR(INDEX(Input!$L$20:$T$1019,INT((ROW()-9)/9)+1,MOD(ROW()-9,9)+1),"")</f>
        <v/>
      </c>
      <c r="C7792" s="9">
        <f t="shared" si="121"/>
        <v>0</v>
      </c>
    </row>
    <row r="7793" spans="1:3" x14ac:dyDescent="0.2">
      <c r="A7793" s="10" t="str">
        <f>IF(7785&gt;$C$9008,"",INDEX($B$9:$B$9008,MATCH(7785,$C$9:$C$9008,0)))</f>
        <v/>
      </c>
      <c r="B7793" s="9" t="str">
        <f>IFERROR(INDEX(Input!$L$20:$T$1019,INT((ROW()-9)/9)+1,MOD(ROW()-9,9)+1),"")</f>
        <v/>
      </c>
      <c r="C7793" s="9">
        <f t="shared" si="121"/>
        <v>0</v>
      </c>
    </row>
    <row r="7794" spans="1:3" x14ac:dyDescent="0.2">
      <c r="A7794" s="10" t="str">
        <f>IF(7786&gt;$C$9008,"",INDEX($B$9:$B$9008,MATCH(7786,$C$9:$C$9008,0)))</f>
        <v/>
      </c>
      <c r="B7794" s="9" t="str">
        <f>IFERROR(INDEX(Input!$L$20:$T$1019,INT((ROW()-9)/9)+1,MOD(ROW()-9,9)+1),"")</f>
        <v/>
      </c>
      <c r="C7794" s="9">
        <f t="shared" si="121"/>
        <v>0</v>
      </c>
    </row>
    <row r="7795" spans="1:3" x14ac:dyDescent="0.2">
      <c r="A7795" s="10" t="str">
        <f>IF(7787&gt;$C$9008,"",INDEX($B$9:$B$9008,MATCH(7787,$C$9:$C$9008,0)))</f>
        <v/>
      </c>
      <c r="B7795" s="9" t="str">
        <f>IFERROR(INDEX(Input!$L$20:$T$1019,INT((ROW()-9)/9)+1,MOD(ROW()-9,9)+1),"")</f>
        <v/>
      </c>
      <c r="C7795" s="9">
        <f t="shared" si="121"/>
        <v>0</v>
      </c>
    </row>
    <row r="7796" spans="1:3" x14ac:dyDescent="0.2">
      <c r="A7796" s="10" t="str">
        <f>IF(7788&gt;$C$9008,"",INDEX($B$9:$B$9008,MATCH(7788,$C$9:$C$9008,0)))</f>
        <v/>
      </c>
      <c r="B7796" s="9" t="str">
        <f>IFERROR(INDEX(Input!$L$20:$T$1019,INT((ROW()-9)/9)+1,MOD(ROW()-9,9)+1),"")</f>
        <v/>
      </c>
      <c r="C7796" s="9">
        <f t="shared" si="121"/>
        <v>0</v>
      </c>
    </row>
    <row r="7797" spans="1:3" x14ac:dyDescent="0.2">
      <c r="A7797" s="10" t="str">
        <f>IF(7789&gt;$C$9008,"",INDEX($B$9:$B$9008,MATCH(7789,$C$9:$C$9008,0)))</f>
        <v/>
      </c>
      <c r="B7797" s="9" t="str">
        <f>IFERROR(INDEX(Input!$L$20:$T$1019,INT((ROW()-9)/9)+1,MOD(ROW()-9,9)+1),"")</f>
        <v/>
      </c>
      <c r="C7797" s="9">
        <f t="shared" si="121"/>
        <v>0</v>
      </c>
    </row>
    <row r="7798" spans="1:3" x14ac:dyDescent="0.2">
      <c r="A7798" s="10" t="str">
        <f>IF(7790&gt;$C$9008,"",INDEX($B$9:$B$9008,MATCH(7790,$C$9:$C$9008,0)))</f>
        <v/>
      </c>
      <c r="B7798" s="9" t="str">
        <f>IFERROR(INDEX(Input!$L$20:$T$1019,INT((ROW()-9)/9)+1,MOD(ROW()-9,9)+1),"")</f>
        <v/>
      </c>
      <c r="C7798" s="9">
        <f t="shared" si="121"/>
        <v>0</v>
      </c>
    </row>
    <row r="7799" spans="1:3" x14ac:dyDescent="0.2">
      <c r="A7799" s="10" t="str">
        <f>IF(7791&gt;$C$9008,"",INDEX($B$9:$B$9008,MATCH(7791,$C$9:$C$9008,0)))</f>
        <v/>
      </c>
      <c r="B7799" s="9" t="str">
        <f>IFERROR(INDEX(Input!$L$20:$T$1019,INT((ROW()-9)/9)+1,MOD(ROW()-9,9)+1),"")</f>
        <v/>
      </c>
      <c r="C7799" s="9">
        <f t="shared" si="121"/>
        <v>0</v>
      </c>
    </row>
    <row r="7800" spans="1:3" x14ac:dyDescent="0.2">
      <c r="A7800" s="10" t="str">
        <f>IF(7792&gt;$C$9008,"",INDEX($B$9:$B$9008,MATCH(7792,$C$9:$C$9008,0)))</f>
        <v/>
      </c>
      <c r="B7800" s="9" t="str">
        <f>IFERROR(INDEX(Input!$L$20:$T$1019,INT((ROW()-9)/9)+1,MOD(ROW()-9,9)+1),"")</f>
        <v/>
      </c>
      <c r="C7800" s="9">
        <f t="shared" si="121"/>
        <v>0</v>
      </c>
    </row>
    <row r="7801" spans="1:3" x14ac:dyDescent="0.2">
      <c r="A7801" s="10" t="str">
        <f>IF(7793&gt;$C$9008,"",INDEX($B$9:$B$9008,MATCH(7793,$C$9:$C$9008,0)))</f>
        <v/>
      </c>
      <c r="B7801" s="9" t="str">
        <f>IFERROR(INDEX(Input!$L$20:$T$1019,INT((ROW()-9)/9)+1,MOD(ROW()-9,9)+1),"")</f>
        <v/>
      </c>
      <c r="C7801" s="9">
        <f t="shared" si="121"/>
        <v>0</v>
      </c>
    </row>
    <row r="7802" spans="1:3" x14ac:dyDescent="0.2">
      <c r="A7802" s="10" t="str">
        <f>IF(7794&gt;$C$9008,"",INDEX($B$9:$B$9008,MATCH(7794,$C$9:$C$9008,0)))</f>
        <v/>
      </c>
      <c r="B7802" s="9" t="str">
        <f>IFERROR(INDEX(Input!$L$20:$T$1019,INT((ROW()-9)/9)+1,MOD(ROW()-9,9)+1),"")</f>
        <v/>
      </c>
      <c r="C7802" s="9">
        <f t="shared" si="121"/>
        <v>0</v>
      </c>
    </row>
    <row r="7803" spans="1:3" x14ac:dyDescent="0.2">
      <c r="A7803" s="10" t="str">
        <f>IF(7795&gt;$C$9008,"",INDEX($B$9:$B$9008,MATCH(7795,$C$9:$C$9008,0)))</f>
        <v/>
      </c>
      <c r="B7803" s="9" t="str">
        <f>IFERROR(INDEX(Input!$L$20:$T$1019,INT((ROW()-9)/9)+1,MOD(ROW()-9,9)+1),"")</f>
        <v/>
      </c>
      <c r="C7803" s="9">
        <f t="shared" si="121"/>
        <v>0</v>
      </c>
    </row>
    <row r="7804" spans="1:3" x14ac:dyDescent="0.2">
      <c r="A7804" s="10" t="str">
        <f>IF(7796&gt;$C$9008,"",INDEX($B$9:$B$9008,MATCH(7796,$C$9:$C$9008,0)))</f>
        <v/>
      </c>
      <c r="B7804" s="9" t="str">
        <f>IFERROR(INDEX(Input!$L$20:$T$1019,INT((ROW()-9)/9)+1,MOD(ROW()-9,9)+1),"")</f>
        <v/>
      </c>
      <c r="C7804" s="9">
        <f t="shared" si="121"/>
        <v>0</v>
      </c>
    </row>
    <row r="7805" spans="1:3" x14ac:dyDescent="0.2">
      <c r="A7805" s="10" t="str">
        <f>IF(7797&gt;$C$9008,"",INDEX($B$9:$B$9008,MATCH(7797,$C$9:$C$9008,0)))</f>
        <v/>
      </c>
      <c r="B7805" s="9" t="str">
        <f>IFERROR(INDEX(Input!$L$20:$T$1019,INT((ROW()-9)/9)+1,MOD(ROW()-9,9)+1),"")</f>
        <v/>
      </c>
      <c r="C7805" s="9">
        <f t="shared" si="121"/>
        <v>0</v>
      </c>
    </row>
    <row r="7806" spans="1:3" x14ac:dyDescent="0.2">
      <c r="A7806" s="10" t="str">
        <f>IF(7798&gt;$C$9008,"",INDEX($B$9:$B$9008,MATCH(7798,$C$9:$C$9008,0)))</f>
        <v/>
      </c>
      <c r="B7806" s="9" t="str">
        <f>IFERROR(INDEX(Input!$L$20:$T$1019,INT((ROW()-9)/9)+1,MOD(ROW()-9,9)+1),"")</f>
        <v/>
      </c>
      <c r="C7806" s="9">
        <f t="shared" si="121"/>
        <v>0</v>
      </c>
    </row>
    <row r="7807" spans="1:3" x14ac:dyDescent="0.2">
      <c r="A7807" s="10" t="str">
        <f>IF(7799&gt;$C$9008,"",INDEX($B$9:$B$9008,MATCH(7799,$C$9:$C$9008,0)))</f>
        <v/>
      </c>
      <c r="B7807" s="9" t="str">
        <f>IFERROR(INDEX(Input!$L$20:$T$1019,INT((ROW()-9)/9)+1,MOD(ROW()-9,9)+1),"")</f>
        <v/>
      </c>
      <c r="C7807" s="9">
        <f t="shared" si="121"/>
        <v>0</v>
      </c>
    </row>
    <row r="7808" spans="1:3" x14ac:dyDescent="0.2">
      <c r="A7808" s="10" t="str">
        <f>IF(7800&gt;$C$9008,"",INDEX($B$9:$B$9008,MATCH(7800,$C$9:$C$9008,0)))</f>
        <v/>
      </c>
      <c r="B7808" s="9" t="str">
        <f>IFERROR(INDEX(Input!$L$20:$T$1019,INT((ROW()-9)/9)+1,MOD(ROW()-9,9)+1),"")</f>
        <v/>
      </c>
      <c r="C7808" s="9">
        <f t="shared" si="121"/>
        <v>0</v>
      </c>
    </row>
    <row r="7809" spans="1:3" x14ac:dyDescent="0.2">
      <c r="A7809" s="10" t="str">
        <f>IF(7801&gt;$C$9008,"",INDEX($B$9:$B$9008,MATCH(7801,$C$9:$C$9008,0)))</f>
        <v/>
      </c>
      <c r="B7809" s="9" t="str">
        <f>IFERROR(INDEX(Input!$L$20:$T$1019,INT((ROW()-9)/9)+1,MOD(ROW()-9,9)+1),"")</f>
        <v/>
      </c>
      <c r="C7809" s="9">
        <f t="shared" si="121"/>
        <v>0</v>
      </c>
    </row>
    <row r="7810" spans="1:3" x14ac:dyDescent="0.2">
      <c r="A7810" s="10" t="str">
        <f>IF(7802&gt;$C$9008,"",INDEX($B$9:$B$9008,MATCH(7802,$C$9:$C$9008,0)))</f>
        <v/>
      </c>
      <c r="B7810" s="9" t="str">
        <f>IFERROR(INDEX(Input!$L$20:$T$1019,INT((ROW()-9)/9)+1,MOD(ROW()-9,9)+1),"")</f>
        <v/>
      </c>
      <c r="C7810" s="9">
        <f t="shared" si="121"/>
        <v>0</v>
      </c>
    </row>
    <row r="7811" spans="1:3" x14ac:dyDescent="0.2">
      <c r="A7811" s="10" t="str">
        <f>IF(7803&gt;$C$9008,"",INDEX($B$9:$B$9008,MATCH(7803,$C$9:$C$9008,0)))</f>
        <v/>
      </c>
      <c r="B7811" s="9" t="str">
        <f>IFERROR(INDEX(Input!$L$20:$T$1019,INT((ROW()-9)/9)+1,MOD(ROW()-9,9)+1),"")</f>
        <v/>
      </c>
      <c r="C7811" s="9">
        <f t="shared" si="121"/>
        <v>0</v>
      </c>
    </row>
    <row r="7812" spans="1:3" x14ac:dyDescent="0.2">
      <c r="A7812" s="10" t="str">
        <f>IF(7804&gt;$C$9008,"",INDEX($B$9:$B$9008,MATCH(7804,$C$9:$C$9008,0)))</f>
        <v/>
      </c>
      <c r="B7812" s="9" t="str">
        <f>IFERROR(INDEX(Input!$L$20:$T$1019,INT((ROW()-9)/9)+1,MOD(ROW()-9,9)+1),"")</f>
        <v/>
      </c>
      <c r="C7812" s="9">
        <f t="shared" si="121"/>
        <v>0</v>
      </c>
    </row>
    <row r="7813" spans="1:3" x14ac:dyDescent="0.2">
      <c r="A7813" s="10" t="str">
        <f>IF(7805&gt;$C$9008,"",INDEX($B$9:$B$9008,MATCH(7805,$C$9:$C$9008,0)))</f>
        <v/>
      </c>
      <c r="B7813" s="9" t="str">
        <f>IFERROR(INDEX(Input!$L$20:$T$1019,INT((ROW()-9)/9)+1,MOD(ROW()-9,9)+1),"")</f>
        <v/>
      </c>
      <c r="C7813" s="9">
        <f t="shared" si="121"/>
        <v>0</v>
      </c>
    </row>
    <row r="7814" spans="1:3" x14ac:dyDescent="0.2">
      <c r="A7814" s="10" t="str">
        <f>IF(7806&gt;$C$9008,"",INDEX($B$9:$B$9008,MATCH(7806,$C$9:$C$9008,0)))</f>
        <v/>
      </c>
      <c r="B7814" s="9" t="str">
        <f>IFERROR(INDEX(Input!$L$20:$T$1019,INT((ROW()-9)/9)+1,MOD(ROW()-9,9)+1),"")</f>
        <v/>
      </c>
      <c r="C7814" s="9">
        <f t="shared" si="121"/>
        <v>0</v>
      </c>
    </row>
    <row r="7815" spans="1:3" x14ac:dyDescent="0.2">
      <c r="A7815" s="10" t="str">
        <f>IF(7807&gt;$C$9008,"",INDEX($B$9:$B$9008,MATCH(7807,$C$9:$C$9008,0)))</f>
        <v/>
      </c>
      <c r="B7815" s="9" t="str">
        <f>IFERROR(INDEX(Input!$L$20:$T$1019,INT((ROW()-9)/9)+1,MOD(ROW()-9,9)+1),"")</f>
        <v/>
      </c>
      <c r="C7815" s="9">
        <f t="shared" si="121"/>
        <v>0</v>
      </c>
    </row>
    <row r="7816" spans="1:3" x14ac:dyDescent="0.2">
      <c r="A7816" s="10" t="str">
        <f>IF(7808&gt;$C$9008,"",INDEX($B$9:$B$9008,MATCH(7808,$C$9:$C$9008,0)))</f>
        <v/>
      </c>
      <c r="B7816" s="9" t="str">
        <f>IFERROR(INDEX(Input!$L$20:$T$1019,INT((ROW()-9)/9)+1,MOD(ROW()-9,9)+1),"")</f>
        <v/>
      </c>
      <c r="C7816" s="9">
        <f t="shared" si="121"/>
        <v>0</v>
      </c>
    </row>
    <row r="7817" spans="1:3" x14ac:dyDescent="0.2">
      <c r="A7817" s="10" t="str">
        <f>IF(7809&gt;$C$9008,"",INDEX($B$9:$B$9008,MATCH(7809,$C$9:$C$9008,0)))</f>
        <v/>
      </c>
      <c r="B7817" s="9" t="str">
        <f>IFERROR(INDEX(Input!$L$20:$T$1019,INT((ROW()-9)/9)+1,MOD(ROW()-9,9)+1),"")</f>
        <v/>
      </c>
      <c r="C7817" s="9">
        <f t="shared" ref="C7817:C7880" si="122">$C7816+IF($B7817&lt;&gt;"",1,0)</f>
        <v>0</v>
      </c>
    </row>
    <row r="7818" spans="1:3" x14ac:dyDescent="0.2">
      <c r="A7818" s="10" t="str">
        <f>IF(7810&gt;$C$9008,"",INDEX($B$9:$B$9008,MATCH(7810,$C$9:$C$9008,0)))</f>
        <v/>
      </c>
      <c r="B7818" s="9" t="str">
        <f>IFERROR(INDEX(Input!$L$20:$T$1019,INT((ROW()-9)/9)+1,MOD(ROW()-9,9)+1),"")</f>
        <v/>
      </c>
      <c r="C7818" s="9">
        <f t="shared" si="122"/>
        <v>0</v>
      </c>
    </row>
    <row r="7819" spans="1:3" x14ac:dyDescent="0.2">
      <c r="A7819" s="10" t="str">
        <f>IF(7811&gt;$C$9008,"",INDEX($B$9:$B$9008,MATCH(7811,$C$9:$C$9008,0)))</f>
        <v/>
      </c>
      <c r="B7819" s="9" t="str">
        <f>IFERROR(INDEX(Input!$L$20:$T$1019,INT((ROW()-9)/9)+1,MOD(ROW()-9,9)+1),"")</f>
        <v/>
      </c>
      <c r="C7819" s="9">
        <f t="shared" si="122"/>
        <v>0</v>
      </c>
    </row>
    <row r="7820" spans="1:3" x14ac:dyDescent="0.2">
      <c r="A7820" s="10" t="str">
        <f>IF(7812&gt;$C$9008,"",INDEX($B$9:$B$9008,MATCH(7812,$C$9:$C$9008,0)))</f>
        <v/>
      </c>
      <c r="B7820" s="9" t="str">
        <f>IFERROR(INDEX(Input!$L$20:$T$1019,INT((ROW()-9)/9)+1,MOD(ROW()-9,9)+1),"")</f>
        <v/>
      </c>
      <c r="C7820" s="9">
        <f t="shared" si="122"/>
        <v>0</v>
      </c>
    </row>
    <row r="7821" spans="1:3" x14ac:dyDescent="0.2">
      <c r="A7821" s="10" t="str">
        <f>IF(7813&gt;$C$9008,"",INDEX($B$9:$B$9008,MATCH(7813,$C$9:$C$9008,0)))</f>
        <v/>
      </c>
      <c r="B7821" s="9" t="str">
        <f>IFERROR(INDEX(Input!$L$20:$T$1019,INT((ROW()-9)/9)+1,MOD(ROW()-9,9)+1),"")</f>
        <v/>
      </c>
      <c r="C7821" s="9">
        <f t="shared" si="122"/>
        <v>0</v>
      </c>
    </row>
    <row r="7822" spans="1:3" x14ac:dyDescent="0.2">
      <c r="A7822" s="10" t="str">
        <f>IF(7814&gt;$C$9008,"",INDEX($B$9:$B$9008,MATCH(7814,$C$9:$C$9008,0)))</f>
        <v/>
      </c>
      <c r="B7822" s="9" t="str">
        <f>IFERROR(INDEX(Input!$L$20:$T$1019,INT((ROW()-9)/9)+1,MOD(ROW()-9,9)+1),"")</f>
        <v/>
      </c>
      <c r="C7822" s="9">
        <f t="shared" si="122"/>
        <v>0</v>
      </c>
    </row>
    <row r="7823" spans="1:3" x14ac:dyDescent="0.2">
      <c r="A7823" s="10" t="str">
        <f>IF(7815&gt;$C$9008,"",INDEX($B$9:$B$9008,MATCH(7815,$C$9:$C$9008,0)))</f>
        <v/>
      </c>
      <c r="B7823" s="9" t="str">
        <f>IFERROR(INDEX(Input!$L$20:$T$1019,INT((ROW()-9)/9)+1,MOD(ROW()-9,9)+1),"")</f>
        <v/>
      </c>
      <c r="C7823" s="9">
        <f t="shared" si="122"/>
        <v>0</v>
      </c>
    </row>
    <row r="7824" spans="1:3" x14ac:dyDescent="0.2">
      <c r="A7824" s="10" t="str">
        <f>IF(7816&gt;$C$9008,"",INDEX($B$9:$B$9008,MATCH(7816,$C$9:$C$9008,0)))</f>
        <v/>
      </c>
      <c r="B7824" s="9" t="str">
        <f>IFERROR(INDEX(Input!$L$20:$T$1019,INT((ROW()-9)/9)+1,MOD(ROW()-9,9)+1),"")</f>
        <v/>
      </c>
      <c r="C7824" s="9">
        <f t="shared" si="122"/>
        <v>0</v>
      </c>
    </row>
    <row r="7825" spans="1:3" x14ac:dyDescent="0.2">
      <c r="A7825" s="10" t="str">
        <f>IF(7817&gt;$C$9008,"",INDEX($B$9:$B$9008,MATCH(7817,$C$9:$C$9008,0)))</f>
        <v/>
      </c>
      <c r="B7825" s="9" t="str">
        <f>IFERROR(INDEX(Input!$L$20:$T$1019,INT((ROW()-9)/9)+1,MOD(ROW()-9,9)+1),"")</f>
        <v/>
      </c>
      <c r="C7825" s="9">
        <f t="shared" si="122"/>
        <v>0</v>
      </c>
    </row>
    <row r="7826" spans="1:3" x14ac:dyDescent="0.2">
      <c r="A7826" s="10" t="str">
        <f>IF(7818&gt;$C$9008,"",INDEX($B$9:$B$9008,MATCH(7818,$C$9:$C$9008,0)))</f>
        <v/>
      </c>
      <c r="B7826" s="9" t="str">
        <f>IFERROR(INDEX(Input!$L$20:$T$1019,INT((ROW()-9)/9)+1,MOD(ROW()-9,9)+1),"")</f>
        <v/>
      </c>
      <c r="C7826" s="9">
        <f t="shared" si="122"/>
        <v>0</v>
      </c>
    </row>
    <row r="7827" spans="1:3" x14ac:dyDescent="0.2">
      <c r="A7827" s="10" t="str">
        <f>IF(7819&gt;$C$9008,"",INDEX($B$9:$B$9008,MATCH(7819,$C$9:$C$9008,0)))</f>
        <v/>
      </c>
      <c r="B7827" s="9" t="str">
        <f>IFERROR(INDEX(Input!$L$20:$T$1019,INT((ROW()-9)/9)+1,MOD(ROW()-9,9)+1),"")</f>
        <v/>
      </c>
      <c r="C7827" s="9">
        <f t="shared" si="122"/>
        <v>0</v>
      </c>
    </row>
    <row r="7828" spans="1:3" x14ac:dyDescent="0.2">
      <c r="A7828" s="10" t="str">
        <f>IF(7820&gt;$C$9008,"",INDEX($B$9:$B$9008,MATCH(7820,$C$9:$C$9008,0)))</f>
        <v/>
      </c>
      <c r="B7828" s="9" t="str">
        <f>IFERROR(INDEX(Input!$L$20:$T$1019,INT((ROW()-9)/9)+1,MOD(ROW()-9,9)+1),"")</f>
        <v/>
      </c>
      <c r="C7828" s="9">
        <f t="shared" si="122"/>
        <v>0</v>
      </c>
    </row>
    <row r="7829" spans="1:3" x14ac:dyDescent="0.2">
      <c r="A7829" s="10" t="str">
        <f>IF(7821&gt;$C$9008,"",INDEX($B$9:$B$9008,MATCH(7821,$C$9:$C$9008,0)))</f>
        <v/>
      </c>
      <c r="B7829" s="9" t="str">
        <f>IFERROR(INDEX(Input!$L$20:$T$1019,INT((ROW()-9)/9)+1,MOD(ROW()-9,9)+1),"")</f>
        <v/>
      </c>
      <c r="C7829" s="9">
        <f t="shared" si="122"/>
        <v>0</v>
      </c>
    </row>
    <row r="7830" spans="1:3" x14ac:dyDescent="0.2">
      <c r="A7830" s="10" t="str">
        <f>IF(7822&gt;$C$9008,"",INDEX($B$9:$B$9008,MATCH(7822,$C$9:$C$9008,0)))</f>
        <v/>
      </c>
      <c r="B7830" s="9" t="str">
        <f>IFERROR(INDEX(Input!$L$20:$T$1019,INT((ROW()-9)/9)+1,MOD(ROW()-9,9)+1),"")</f>
        <v/>
      </c>
      <c r="C7830" s="9">
        <f t="shared" si="122"/>
        <v>0</v>
      </c>
    </row>
    <row r="7831" spans="1:3" x14ac:dyDescent="0.2">
      <c r="A7831" s="10" t="str">
        <f>IF(7823&gt;$C$9008,"",INDEX($B$9:$B$9008,MATCH(7823,$C$9:$C$9008,0)))</f>
        <v/>
      </c>
      <c r="B7831" s="9" t="str">
        <f>IFERROR(INDEX(Input!$L$20:$T$1019,INT((ROW()-9)/9)+1,MOD(ROW()-9,9)+1),"")</f>
        <v/>
      </c>
      <c r="C7831" s="9">
        <f t="shared" si="122"/>
        <v>0</v>
      </c>
    </row>
    <row r="7832" spans="1:3" x14ac:dyDescent="0.2">
      <c r="A7832" s="10" t="str">
        <f>IF(7824&gt;$C$9008,"",INDEX($B$9:$B$9008,MATCH(7824,$C$9:$C$9008,0)))</f>
        <v/>
      </c>
      <c r="B7832" s="9" t="str">
        <f>IFERROR(INDEX(Input!$L$20:$T$1019,INT((ROW()-9)/9)+1,MOD(ROW()-9,9)+1),"")</f>
        <v/>
      </c>
      <c r="C7832" s="9">
        <f t="shared" si="122"/>
        <v>0</v>
      </c>
    </row>
    <row r="7833" spans="1:3" x14ac:dyDescent="0.2">
      <c r="A7833" s="10" t="str">
        <f>IF(7825&gt;$C$9008,"",INDEX($B$9:$B$9008,MATCH(7825,$C$9:$C$9008,0)))</f>
        <v/>
      </c>
      <c r="B7833" s="9" t="str">
        <f>IFERROR(INDEX(Input!$L$20:$T$1019,INT((ROW()-9)/9)+1,MOD(ROW()-9,9)+1),"")</f>
        <v/>
      </c>
      <c r="C7833" s="9">
        <f t="shared" si="122"/>
        <v>0</v>
      </c>
    </row>
    <row r="7834" spans="1:3" x14ac:dyDescent="0.2">
      <c r="A7834" s="10" t="str">
        <f>IF(7826&gt;$C$9008,"",INDEX($B$9:$B$9008,MATCH(7826,$C$9:$C$9008,0)))</f>
        <v/>
      </c>
      <c r="B7834" s="9" t="str">
        <f>IFERROR(INDEX(Input!$L$20:$T$1019,INT((ROW()-9)/9)+1,MOD(ROW()-9,9)+1),"")</f>
        <v/>
      </c>
      <c r="C7834" s="9">
        <f t="shared" si="122"/>
        <v>0</v>
      </c>
    </row>
    <row r="7835" spans="1:3" x14ac:dyDescent="0.2">
      <c r="A7835" s="10" t="str">
        <f>IF(7827&gt;$C$9008,"",INDEX($B$9:$B$9008,MATCH(7827,$C$9:$C$9008,0)))</f>
        <v/>
      </c>
      <c r="B7835" s="9" t="str">
        <f>IFERROR(INDEX(Input!$L$20:$T$1019,INT((ROW()-9)/9)+1,MOD(ROW()-9,9)+1),"")</f>
        <v/>
      </c>
      <c r="C7835" s="9">
        <f t="shared" si="122"/>
        <v>0</v>
      </c>
    </row>
    <row r="7836" spans="1:3" x14ac:dyDescent="0.2">
      <c r="A7836" s="10" t="str">
        <f>IF(7828&gt;$C$9008,"",INDEX($B$9:$B$9008,MATCH(7828,$C$9:$C$9008,0)))</f>
        <v/>
      </c>
      <c r="B7836" s="9" t="str">
        <f>IFERROR(INDEX(Input!$L$20:$T$1019,INT((ROW()-9)/9)+1,MOD(ROW()-9,9)+1),"")</f>
        <v/>
      </c>
      <c r="C7836" s="9">
        <f t="shared" si="122"/>
        <v>0</v>
      </c>
    </row>
    <row r="7837" spans="1:3" x14ac:dyDescent="0.2">
      <c r="A7837" s="10" t="str">
        <f>IF(7829&gt;$C$9008,"",INDEX($B$9:$B$9008,MATCH(7829,$C$9:$C$9008,0)))</f>
        <v/>
      </c>
      <c r="B7837" s="9" t="str">
        <f>IFERROR(INDEX(Input!$L$20:$T$1019,INT((ROW()-9)/9)+1,MOD(ROW()-9,9)+1),"")</f>
        <v/>
      </c>
      <c r="C7837" s="9">
        <f t="shared" si="122"/>
        <v>0</v>
      </c>
    </row>
    <row r="7838" spans="1:3" x14ac:dyDescent="0.2">
      <c r="A7838" s="10" t="str">
        <f>IF(7830&gt;$C$9008,"",INDEX($B$9:$B$9008,MATCH(7830,$C$9:$C$9008,0)))</f>
        <v/>
      </c>
      <c r="B7838" s="9" t="str">
        <f>IFERROR(INDEX(Input!$L$20:$T$1019,INT((ROW()-9)/9)+1,MOD(ROW()-9,9)+1),"")</f>
        <v/>
      </c>
      <c r="C7838" s="9">
        <f t="shared" si="122"/>
        <v>0</v>
      </c>
    </row>
    <row r="7839" spans="1:3" x14ac:dyDescent="0.2">
      <c r="A7839" s="10" t="str">
        <f>IF(7831&gt;$C$9008,"",INDEX($B$9:$B$9008,MATCH(7831,$C$9:$C$9008,0)))</f>
        <v/>
      </c>
      <c r="B7839" s="9" t="str">
        <f>IFERROR(INDEX(Input!$L$20:$T$1019,INT((ROW()-9)/9)+1,MOD(ROW()-9,9)+1),"")</f>
        <v/>
      </c>
      <c r="C7839" s="9">
        <f t="shared" si="122"/>
        <v>0</v>
      </c>
    </row>
    <row r="7840" spans="1:3" x14ac:dyDescent="0.2">
      <c r="A7840" s="10" t="str">
        <f>IF(7832&gt;$C$9008,"",INDEX($B$9:$B$9008,MATCH(7832,$C$9:$C$9008,0)))</f>
        <v/>
      </c>
      <c r="B7840" s="9" t="str">
        <f>IFERROR(INDEX(Input!$L$20:$T$1019,INT((ROW()-9)/9)+1,MOD(ROW()-9,9)+1),"")</f>
        <v/>
      </c>
      <c r="C7840" s="9">
        <f t="shared" si="122"/>
        <v>0</v>
      </c>
    </row>
    <row r="7841" spans="1:3" x14ac:dyDescent="0.2">
      <c r="A7841" s="10" t="str">
        <f>IF(7833&gt;$C$9008,"",INDEX($B$9:$B$9008,MATCH(7833,$C$9:$C$9008,0)))</f>
        <v/>
      </c>
      <c r="B7841" s="9" t="str">
        <f>IFERROR(INDEX(Input!$L$20:$T$1019,INT((ROW()-9)/9)+1,MOD(ROW()-9,9)+1),"")</f>
        <v/>
      </c>
      <c r="C7841" s="9">
        <f t="shared" si="122"/>
        <v>0</v>
      </c>
    </row>
    <row r="7842" spans="1:3" x14ac:dyDescent="0.2">
      <c r="A7842" s="10" t="str">
        <f>IF(7834&gt;$C$9008,"",INDEX($B$9:$B$9008,MATCH(7834,$C$9:$C$9008,0)))</f>
        <v/>
      </c>
      <c r="B7842" s="9" t="str">
        <f>IFERROR(INDEX(Input!$L$20:$T$1019,INT((ROW()-9)/9)+1,MOD(ROW()-9,9)+1),"")</f>
        <v/>
      </c>
      <c r="C7842" s="9">
        <f t="shared" si="122"/>
        <v>0</v>
      </c>
    </row>
    <row r="7843" spans="1:3" x14ac:dyDescent="0.2">
      <c r="A7843" s="10" t="str">
        <f>IF(7835&gt;$C$9008,"",INDEX($B$9:$B$9008,MATCH(7835,$C$9:$C$9008,0)))</f>
        <v/>
      </c>
      <c r="B7843" s="9" t="str">
        <f>IFERROR(INDEX(Input!$L$20:$T$1019,INT((ROW()-9)/9)+1,MOD(ROW()-9,9)+1),"")</f>
        <v/>
      </c>
      <c r="C7843" s="9">
        <f t="shared" si="122"/>
        <v>0</v>
      </c>
    </row>
    <row r="7844" spans="1:3" x14ac:dyDescent="0.2">
      <c r="A7844" s="10" t="str">
        <f>IF(7836&gt;$C$9008,"",INDEX($B$9:$B$9008,MATCH(7836,$C$9:$C$9008,0)))</f>
        <v/>
      </c>
      <c r="B7844" s="9" t="str">
        <f>IFERROR(INDEX(Input!$L$20:$T$1019,INT((ROW()-9)/9)+1,MOD(ROW()-9,9)+1),"")</f>
        <v/>
      </c>
      <c r="C7844" s="9">
        <f t="shared" si="122"/>
        <v>0</v>
      </c>
    </row>
    <row r="7845" spans="1:3" x14ac:dyDescent="0.2">
      <c r="A7845" s="10" t="str">
        <f>IF(7837&gt;$C$9008,"",INDEX($B$9:$B$9008,MATCH(7837,$C$9:$C$9008,0)))</f>
        <v/>
      </c>
      <c r="B7845" s="9" t="str">
        <f>IFERROR(INDEX(Input!$L$20:$T$1019,INT((ROW()-9)/9)+1,MOD(ROW()-9,9)+1),"")</f>
        <v/>
      </c>
      <c r="C7845" s="9">
        <f t="shared" si="122"/>
        <v>0</v>
      </c>
    </row>
    <row r="7846" spans="1:3" x14ac:dyDescent="0.2">
      <c r="A7846" s="10" t="str">
        <f>IF(7838&gt;$C$9008,"",INDEX($B$9:$B$9008,MATCH(7838,$C$9:$C$9008,0)))</f>
        <v/>
      </c>
      <c r="B7846" s="9" t="str">
        <f>IFERROR(INDEX(Input!$L$20:$T$1019,INT((ROW()-9)/9)+1,MOD(ROW()-9,9)+1),"")</f>
        <v/>
      </c>
      <c r="C7846" s="9">
        <f t="shared" si="122"/>
        <v>0</v>
      </c>
    </row>
    <row r="7847" spans="1:3" x14ac:dyDescent="0.2">
      <c r="A7847" s="10" t="str">
        <f>IF(7839&gt;$C$9008,"",INDEX($B$9:$B$9008,MATCH(7839,$C$9:$C$9008,0)))</f>
        <v/>
      </c>
      <c r="B7847" s="9" t="str">
        <f>IFERROR(INDEX(Input!$L$20:$T$1019,INT((ROW()-9)/9)+1,MOD(ROW()-9,9)+1),"")</f>
        <v/>
      </c>
      <c r="C7847" s="9">
        <f t="shared" si="122"/>
        <v>0</v>
      </c>
    </row>
    <row r="7848" spans="1:3" x14ac:dyDescent="0.2">
      <c r="A7848" s="10" t="str">
        <f>IF(7840&gt;$C$9008,"",INDEX($B$9:$B$9008,MATCH(7840,$C$9:$C$9008,0)))</f>
        <v/>
      </c>
      <c r="B7848" s="9" t="str">
        <f>IFERROR(INDEX(Input!$L$20:$T$1019,INT((ROW()-9)/9)+1,MOD(ROW()-9,9)+1),"")</f>
        <v/>
      </c>
      <c r="C7848" s="9">
        <f t="shared" si="122"/>
        <v>0</v>
      </c>
    </row>
    <row r="7849" spans="1:3" x14ac:dyDescent="0.2">
      <c r="A7849" s="10" t="str">
        <f>IF(7841&gt;$C$9008,"",INDEX($B$9:$B$9008,MATCH(7841,$C$9:$C$9008,0)))</f>
        <v/>
      </c>
      <c r="B7849" s="9" t="str">
        <f>IFERROR(INDEX(Input!$L$20:$T$1019,INT((ROW()-9)/9)+1,MOD(ROW()-9,9)+1),"")</f>
        <v/>
      </c>
      <c r="C7849" s="9">
        <f t="shared" si="122"/>
        <v>0</v>
      </c>
    </row>
    <row r="7850" spans="1:3" x14ac:dyDescent="0.2">
      <c r="A7850" s="10" t="str">
        <f>IF(7842&gt;$C$9008,"",INDEX($B$9:$B$9008,MATCH(7842,$C$9:$C$9008,0)))</f>
        <v/>
      </c>
      <c r="B7850" s="9" t="str">
        <f>IFERROR(INDEX(Input!$L$20:$T$1019,INT((ROW()-9)/9)+1,MOD(ROW()-9,9)+1),"")</f>
        <v/>
      </c>
      <c r="C7850" s="9">
        <f t="shared" si="122"/>
        <v>0</v>
      </c>
    </row>
    <row r="7851" spans="1:3" x14ac:dyDescent="0.2">
      <c r="A7851" s="10" t="str">
        <f>IF(7843&gt;$C$9008,"",INDEX($B$9:$B$9008,MATCH(7843,$C$9:$C$9008,0)))</f>
        <v/>
      </c>
      <c r="B7851" s="9" t="str">
        <f>IFERROR(INDEX(Input!$L$20:$T$1019,INT((ROW()-9)/9)+1,MOD(ROW()-9,9)+1),"")</f>
        <v/>
      </c>
      <c r="C7851" s="9">
        <f t="shared" si="122"/>
        <v>0</v>
      </c>
    </row>
    <row r="7852" spans="1:3" x14ac:dyDescent="0.2">
      <c r="A7852" s="10" t="str">
        <f>IF(7844&gt;$C$9008,"",INDEX($B$9:$B$9008,MATCH(7844,$C$9:$C$9008,0)))</f>
        <v/>
      </c>
      <c r="B7852" s="9" t="str">
        <f>IFERROR(INDEX(Input!$L$20:$T$1019,INT((ROW()-9)/9)+1,MOD(ROW()-9,9)+1),"")</f>
        <v/>
      </c>
      <c r="C7852" s="9">
        <f t="shared" si="122"/>
        <v>0</v>
      </c>
    </row>
    <row r="7853" spans="1:3" x14ac:dyDescent="0.2">
      <c r="A7853" s="10" t="str">
        <f>IF(7845&gt;$C$9008,"",INDEX($B$9:$B$9008,MATCH(7845,$C$9:$C$9008,0)))</f>
        <v/>
      </c>
      <c r="B7853" s="9" t="str">
        <f>IFERROR(INDEX(Input!$L$20:$T$1019,INT((ROW()-9)/9)+1,MOD(ROW()-9,9)+1),"")</f>
        <v/>
      </c>
      <c r="C7853" s="9">
        <f t="shared" si="122"/>
        <v>0</v>
      </c>
    </row>
    <row r="7854" spans="1:3" x14ac:dyDescent="0.2">
      <c r="A7854" s="10" t="str">
        <f>IF(7846&gt;$C$9008,"",INDEX($B$9:$B$9008,MATCH(7846,$C$9:$C$9008,0)))</f>
        <v/>
      </c>
      <c r="B7854" s="9" t="str">
        <f>IFERROR(INDEX(Input!$L$20:$T$1019,INT((ROW()-9)/9)+1,MOD(ROW()-9,9)+1),"")</f>
        <v/>
      </c>
      <c r="C7854" s="9">
        <f t="shared" si="122"/>
        <v>0</v>
      </c>
    </row>
    <row r="7855" spans="1:3" x14ac:dyDescent="0.2">
      <c r="A7855" s="10" t="str">
        <f>IF(7847&gt;$C$9008,"",INDEX($B$9:$B$9008,MATCH(7847,$C$9:$C$9008,0)))</f>
        <v/>
      </c>
      <c r="B7855" s="9" t="str">
        <f>IFERROR(INDEX(Input!$L$20:$T$1019,INT((ROW()-9)/9)+1,MOD(ROW()-9,9)+1),"")</f>
        <v/>
      </c>
      <c r="C7855" s="9">
        <f t="shared" si="122"/>
        <v>0</v>
      </c>
    </row>
    <row r="7856" spans="1:3" x14ac:dyDescent="0.2">
      <c r="A7856" s="10" t="str">
        <f>IF(7848&gt;$C$9008,"",INDEX($B$9:$B$9008,MATCH(7848,$C$9:$C$9008,0)))</f>
        <v/>
      </c>
      <c r="B7856" s="9" t="str">
        <f>IFERROR(INDEX(Input!$L$20:$T$1019,INT((ROW()-9)/9)+1,MOD(ROW()-9,9)+1),"")</f>
        <v/>
      </c>
      <c r="C7856" s="9">
        <f t="shared" si="122"/>
        <v>0</v>
      </c>
    </row>
    <row r="7857" spans="1:3" x14ac:dyDescent="0.2">
      <c r="A7857" s="10" t="str">
        <f>IF(7849&gt;$C$9008,"",INDEX($B$9:$B$9008,MATCH(7849,$C$9:$C$9008,0)))</f>
        <v/>
      </c>
      <c r="B7857" s="9" t="str">
        <f>IFERROR(INDEX(Input!$L$20:$T$1019,INT((ROW()-9)/9)+1,MOD(ROW()-9,9)+1),"")</f>
        <v/>
      </c>
      <c r="C7857" s="9">
        <f t="shared" si="122"/>
        <v>0</v>
      </c>
    </row>
    <row r="7858" spans="1:3" x14ac:dyDescent="0.2">
      <c r="A7858" s="10" t="str">
        <f>IF(7850&gt;$C$9008,"",INDEX($B$9:$B$9008,MATCH(7850,$C$9:$C$9008,0)))</f>
        <v/>
      </c>
      <c r="B7858" s="9" t="str">
        <f>IFERROR(INDEX(Input!$L$20:$T$1019,INT((ROW()-9)/9)+1,MOD(ROW()-9,9)+1),"")</f>
        <v/>
      </c>
      <c r="C7858" s="9">
        <f t="shared" si="122"/>
        <v>0</v>
      </c>
    </row>
    <row r="7859" spans="1:3" x14ac:dyDescent="0.2">
      <c r="A7859" s="10" t="str">
        <f>IF(7851&gt;$C$9008,"",INDEX($B$9:$B$9008,MATCH(7851,$C$9:$C$9008,0)))</f>
        <v/>
      </c>
      <c r="B7859" s="9" t="str">
        <f>IFERROR(INDEX(Input!$L$20:$T$1019,INT((ROW()-9)/9)+1,MOD(ROW()-9,9)+1),"")</f>
        <v/>
      </c>
      <c r="C7859" s="9">
        <f t="shared" si="122"/>
        <v>0</v>
      </c>
    </row>
    <row r="7860" spans="1:3" x14ac:dyDescent="0.2">
      <c r="A7860" s="10" t="str">
        <f>IF(7852&gt;$C$9008,"",INDEX($B$9:$B$9008,MATCH(7852,$C$9:$C$9008,0)))</f>
        <v/>
      </c>
      <c r="B7860" s="9" t="str">
        <f>IFERROR(INDEX(Input!$L$20:$T$1019,INT((ROW()-9)/9)+1,MOD(ROW()-9,9)+1),"")</f>
        <v/>
      </c>
      <c r="C7860" s="9">
        <f t="shared" si="122"/>
        <v>0</v>
      </c>
    </row>
    <row r="7861" spans="1:3" x14ac:dyDescent="0.2">
      <c r="A7861" s="10" t="str">
        <f>IF(7853&gt;$C$9008,"",INDEX($B$9:$B$9008,MATCH(7853,$C$9:$C$9008,0)))</f>
        <v/>
      </c>
      <c r="B7861" s="9" t="str">
        <f>IFERROR(INDEX(Input!$L$20:$T$1019,INT((ROW()-9)/9)+1,MOD(ROW()-9,9)+1),"")</f>
        <v/>
      </c>
      <c r="C7861" s="9">
        <f t="shared" si="122"/>
        <v>0</v>
      </c>
    </row>
    <row r="7862" spans="1:3" x14ac:dyDescent="0.2">
      <c r="A7862" s="10" t="str">
        <f>IF(7854&gt;$C$9008,"",INDEX($B$9:$B$9008,MATCH(7854,$C$9:$C$9008,0)))</f>
        <v/>
      </c>
      <c r="B7862" s="9" t="str">
        <f>IFERROR(INDEX(Input!$L$20:$T$1019,INT((ROW()-9)/9)+1,MOD(ROW()-9,9)+1),"")</f>
        <v/>
      </c>
      <c r="C7862" s="9">
        <f t="shared" si="122"/>
        <v>0</v>
      </c>
    </row>
    <row r="7863" spans="1:3" x14ac:dyDescent="0.2">
      <c r="A7863" s="10" t="str">
        <f>IF(7855&gt;$C$9008,"",INDEX($B$9:$B$9008,MATCH(7855,$C$9:$C$9008,0)))</f>
        <v/>
      </c>
      <c r="B7863" s="9" t="str">
        <f>IFERROR(INDEX(Input!$L$20:$T$1019,INT((ROW()-9)/9)+1,MOD(ROW()-9,9)+1),"")</f>
        <v/>
      </c>
      <c r="C7863" s="9">
        <f t="shared" si="122"/>
        <v>0</v>
      </c>
    </row>
    <row r="7864" spans="1:3" x14ac:dyDescent="0.2">
      <c r="A7864" s="10" t="str">
        <f>IF(7856&gt;$C$9008,"",INDEX($B$9:$B$9008,MATCH(7856,$C$9:$C$9008,0)))</f>
        <v/>
      </c>
      <c r="B7864" s="9" t="str">
        <f>IFERROR(INDEX(Input!$L$20:$T$1019,INT((ROW()-9)/9)+1,MOD(ROW()-9,9)+1),"")</f>
        <v/>
      </c>
      <c r="C7864" s="9">
        <f t="shared" si="122"/>
        <v>0</v>
      </c>
    </row>
    <row r="7865" spans="1:3" x14ac:dyDescent="0.2">
      <c r="A7865" s="10" t="str">
        <f>IF(7857&gt;$C$9008,"",INDEX($B$9:$B$9008,MATCH(7857,$C$9:$C$9008,0)))</f>
        <v/>
      </c>
      <c r="B7865" s="9" t="str">
        <f>IFERROR(INDEX(Input!$L$20:$T$1019,INT((ROW()-9)/9)+1,MOD(ROW()-9,9)+1),"")</f>
        <v/>
      </c>
      <c r="C7865" s="9">
        <f t="shared" si="122"/>
        <v>0</v>
      </c>
    </row>
    <row r="7866" spans="1:3" x14ac:dyDescent="0.2">
      <c r="A7866" s="10" t="str">
        <f>IF(7858&gt;$C$9008,"",INDEX($B$9:$B$9008,MATCH(7858,$C$9:$C$9008,0)))</f>
        <v/>
      </c>
      <c r="B7866" s="9" t="str">
        <f>IFERROR(INDEX(Input!$L$20:$T$1019,INT((ROW()-9)/9)+1,MOD(ROW()-9,9)+1),"")</f>
        <v/>
      </c>
      <c r="C7866" s="9">
        <f t="shared" si="122"/>
        <v>0</v>
      </c>
    </row>
    <row r="7867" spans="1:3" x14ac:dyDescent="0.2">
      <c r="A7867" s="10" t="str">
        <f>IF(7859&gt;$C$9008,"",INDEX($B$9:$B$9008,MATCH(7859,$C$9:$C$9008,0)))</f>
        <v/>
      </c>
      <c r="B7867" s="9" t="str">
        <f>IFERROR(INDEX(Input!$L$20:$T$1019,INT((ROW()-9)/9)+1,MOD(ROW()-9,9)+1),"")</f>
        <v/>
      </c>
      <c r="C7867" s="9">
        <f t="shared" si="122"/>
        <v>0</v>
      </c>
    </row>
    <row r="7868" spans="1:3" x14ac:dyDescent="0.2">
      <c r="A7868" s="10" t="str">
        <f>IF(7860&gt;$C$9008,"",INDEX($B$9:$B$9008,MATCH(7860,$C$9:$C$9008,0)))</f>
        <v/>
      </c>
      <c r="B7868" s="9" t="str">
        <f>IFERROR(INDEX(Input!$L$20:$T$1019,INT((ROW()-9)/9)+1,MOD(ROW()-9,9)+1),"")</f>
        <v/>
      </c>
      <c r="C7868" s="9">
        <f t="shared" si="122"/>
        <v>0</v>
      </c>
    </row>
    <row r="7869" spans="1:3" x14ac:dyDescent="0.2">
      <c r="A7869" s="10" t="str">
        <f>IF(7861&gt;$C$9008,"",INDEX($B$9:$B$9008,MATCH(7861,$C$9:$C$9008,0)))</f>
        <v/>
      </c>
      <c r="B7869" s="9" t="str">
        <f>IFERROR(INDEX(Input!$L$20:$T$1019,INT((ROW()-9)/9)+1,MOD(ROW()-9,9)+1),"")</f>
        <v/>
      </c>
      <c r="C7869" s="9">
        <f t="shared" si="122"/>
        <v>0</v>
      </c>
    </row>
    <row r="7870" spans="1:3" x14ac:dyDescent="0.2">
      <c r="A7870" s="10" t="str">
        <f>IF(7862&gt;$C$9008,"",INDEX($B$9:$B$9008,MATCH(7862,$C$9:$C$9008,0)))</f>
        <v/>
      </c>
      <c r="B7870" s="9" t="str">
        <f>IFERROR(INDEX(Input!$L$20:$T$1019,INT((ROW()-9)/9)+1,MOD(ROW()-9,9)+1),"")</f>
        <v/>
      </c>
      <c r="C7870" s="9">
        <f t="shared" si="122"/>
        <v>0</v>
      </c>
    </row>
    <row r="7871" spans="1:3" x14ac:dyDescent="0.2">
      <c r="A7871" s="10" t="str">
        <f>IF(7863&gt;$C$9008,"",INDEX($B$9:$B$9008,MATCH(7863,$C$9:$C$9008,0)))</f>
        <v/>
      </c>
      <c r="B7871" s="9" t="str">
        <f>IFERROR(INDEX(Input!$L$20:$T$1019,INT((ROW()-9)/9)+1,MOD(ROW()-9,9)+1),"")</f>
        <v/>
      </c>
      <c r="C7871" s="9">
        <f t="shared" si="122"/>
        <v>0</v>
      </c>
    </row>
    <row r="7872" spans="1:3" x14ac:dyDescent="0.2">
      <c r="A7872" s="10" t="str">
        <f>IF(7864&gt;$C$9008,"",INDEX($B$9:$B$9008,MATCH(7864,$C$9:$C$9008,0)))</f>
        <v/>
      </c>
      <c r="B7872" s="9" t="str">
        <f>IFERROR(INDEX(Input!$L$20:$T$1019,INT((ROW()-9)/9)+1,MOD(ROW()-9,9)+1),"")</f>
        <v/>
      </c>
      <c r="C7872" s="9">
        <f t="shared" si="122"/>
        <v>0</v>
      </c>
    </row>
    <row r="7873" spans="1:3" x14ac:dyDescent="0.2">
      <c r="A7873" s="10" t="str">
        <f>IF(7865&gt;$C$9008,"",INDEX($B$9:$B$9008,MATCH(7865,$C$9:$C$9008,0)))</f>
        <v/>
      </c>
      <c r="B7873" s="9" t="str">
        <f>IFERROR(INDEX(Input!$L$20:$T$1019,INT((ROW()-9)/9)+1,MOD(ROW()-9,9)+1),"")</f>
        <v/>
      </c>
      <c r="C7873" s="9">
        <f t="shared" si="122"/>
        <v>0</v>
      </c>
    </row>
    <row r="7874" spans="1:3" x14ac:dyDescent="0.2">
      <c r="A7874" s="10" t="str">
        <f>IF(7866&gt;$C$9008,"",INDEX($B$9:$B$9008,MATCH(7866,$C$9:$C$9008,0)))</f>
        <v/>
      </c>
      <c r="B7874" s="9" t="str">
        <f>IFERROR(INDEX(Input!$L$20:$T$1019,INT((ROW()-9)/9)+1,MOD(ROW()-9,9)+1),"")</f>
        <v/>
      </c>
      <c r="C7874" s="9">
        <f t="shared" si="122"/>
        <v>0</v>
      </c>
    </row>
    <row r="7875" spans="1:3" x14ac:dyDescent="0.2">
      <c r="A7875" s="10" t="str">
        <f>IF(7867&gt;$C$9008,"",INDEX($B$9:$B$9008,MATCH(7867,$C$9:$C$9008,0)))</f>
        <v/>
      </c>
      <c r="B7875" s="9" t="str">
        <f>IFERROR(INDEX(Input!$L$20:$T$1019,INT((ROW()-9)/9)+1,MOD(ROW()-9,9)+1),"")</f>
        <v/>
      </c>
      <c r="C7875" s="9">
        <f t="shared" si="122"/>
        <v>0</v>
      </c>
    </row>
    <row r="7876" spans="1:3" x14ac:dyDescent="0.2">
      <c r="A7876" s="10" t="str">
        <f>IF(7868&gt;$C$9008,"",INDEX($B$9:$B$9008,MATCH(7868,$C$9:$C$9008,0)))</f>
        <v/>
      </c>
      <c r="B7876" s="9" t="str">
        <f>IFERROR(INDEX(Input!$L$20:$T$1019,INT((ROW()-9)/9)+1,MOD(ROW()-9,9)+1),"")</f>
        <v/>
      </c>
      <c r="C7876" s="9">
        <f t="shared" si="122"/>
        <v>0</v>
      </c>
    </row>
    <row r="7877" spans="1:3" x14ac:dyDescent="0.2">
      <c r="A7877" s="10" t="str">
        <f>IF(7869&gt;$C$9008,"",INDEX($B$9:$B$9008,MATCH(7869,$C$9:$C$9008,0)))</f>
        <v/>
      </c>
      <c r="B7877" s="9" t="str">
        <f>IFERROR(INDEX(Input!$L$20:$T$1019,INT((ROW()-9)/9)+1,MOD(ROW()-9,9)+1),"")</f>
        <v/>
      </c>
      <c r="C7877" s="9">
        <f t="shared" si="122"/>
        <v>0</v>
      </c>
    </row>
    <row r="7878" spans="1:3" x14ac:dyDescent="0.2">
      <c r="A7878" s="10" t="str">
        <f>IF(7870&gt;$C$9008,"",INDEX($B$9:$B$9008,MATCH(7870,$C$9:$C$9008,0)))</f>
        <v/>
      </c>
      <c r="B7878" s="9" t="str">
        <f>IFERROR(INDEX(Input!$L$20:$T$1019,INT((ROW()-9)/9)+1,MOD(ROW()-9,9)+1),"")</f>
        <v/>
      </c>
      <c r="C7878" s="9">
        <f t="shared" si="122"/>
        <v>0</v>
      </c>
    </row>
    <row r="7879" spans="1:3" x14ac:dyDescent="0.2">
      <c r="A7879" s="10" t="str">
        <f>IF(7871&gt;$C$9008,"",INDEX($B$9:$B$9008,MATCH(7871,$C$9:$C$9008,0)))</f>
        <v/>
      </c>
      <c r="B7879" s="9" t="str">
        <f>IFERROR(INDEX(Input!$L$20:$T$1019,INT((ROW()-9)/9)+1,MOD(ROW()-9,9)+1),"")</f>
        <v/>
      </c>
      <c r="C7879" s="9">
        <f t="shared" si="122"/>
        <v>0</v>
      </c>
    </row>
    <row r="7880" spans="1:3" x14ac:dyDescent="0.2">
      <c r="A7880" s="10" t="str">
        <f>IF(7872&gt;$C$9008,"",INDEX($B$9:$B$9008,MATCH(7872,$C$9:$C$9008,0)))</f>
        <v/>
      </c>
      <c r="B7880" s="9" t="str">
        <f>IFERROR(INDEX(Input!$L$20:$T$1019,INT((ROW()-9)/9)+1,MOD(ROW()-9,9)+1),"")</f>
        <v/>
      </c>
      <c r="C7880" s="9">
        <f t="shared" si="122"/>
        <v>0</v>
      </c>
    </row>
    <row r="7881" spans="1:3" x14ac:dyDescent="0.2">
      <c r="A7881" s="10" t="str">
        <f>IF(7873&gt;$C$9008,"",INDEX($B$9:$B$9008,MATCH(7873,$C$9:$C$9008,0)))</f>
        <v/>
      </c>
      <c r="B7881" s="9" t="str">
        <f>IFERROR(INDEX(Input!$L$20:$T$1019,INT((ROW()-9)/9)+1,MOD(ROW()-9,9)+1),"")</f>
        <v/>
      </c>
      <c r="C7881" s="9">
        <f t="shared" ref="C7881:C7944" si="123">$C7880+IF($B7881&lt;&gt;"",1,0)</f>
        <v>0</v>
      </c>
    </row>
    <row r="7882" spans="1:3" x14ac:dyDescent="0.2">
      <c r="A7882" s="10" t="str">
        <f>IF(7874&gt;$C$9008,"",INDEX($B$9:$B$9008,MATCH(7874,$C$9:$C$9008,0)))</f>
        <v/>
      </c>
      <c r="B7882" s="9" t="str">
        <f>IFERROR(INDEX(Input!$L$20:$T$1019,INT((ROW()-9)/9)+1,MOD(ROW()-9,9)+1),"")</f>
        <v/>
      </c>
      <c r="C7882" s="9">
        <f t="shared" si="123"/>
        <v>0</v>
      </c>
    </row>
    <row r="7883" spans="1:3" x14ac:dyDescent="0.2">
      <c r="A7883" s="10" t="str">
        <f>IF(7875&gt;$C$9008,"",INDEX($B$9:$B$9008,MATCH(7875,$C$9:$C$9008,0)))</f>
        <v/>
      </c>
      <c r="B7883" s="9" t="str">
        <f>IFERROR(INDEX(Input!$L$20:$T$1019,INT((ROW()-9)/9)+1,MOD(ROW()-9,9)+1),"")</f>
        <v/>
      </c>
      <c r="C7883" s="9">
        <f t="shared" si="123"/>
        <v>0</v>
      </c>
    </row>
    <row r="7884" spans="1:3" x14ac:dyDescent="0.2">
      <c r="A7884" s="10" t="str">
        <f>IF(7876&gt;$C$9008,"",INDEX($B$9:$B$9008,MATCH(7876,$C$9:$C$9008,0)))</f>
        <v/>
      </c>
      <c r="B7884" s="9" t="str">
        <f>IFERROR(INDEX(Input!$L$20:$T$1019,INT((ROW()-9)/9)+1,MOD(ROW()-9,9)+1),"")</f>
        <v/>
      </c>
      <c r="C7884" s="9">
        <f t="shared" si="123"/>
        <v>0</v>
      </c>
    </row>
    <row r="7885" spans="1:3" x14ac:dyDescent="0.2">
      <c r="A7885" s="10" t="str">
        <f>IF(7877&gt;$C$9008,"",INDEX($B$9:$B$9008,MATCH(7877,$C$9:$C$9008,0)))</f>
        <v/>
      </c>
      <c r="B7885" s="9" t="str">
        <f>IFERROR(INDEX(Input!$L$20:$T$1019,INT((ROW()-9)/9)+1,MOD(ROW()-9,9)+1),"")</f>
        <v/>
      </c>
      <c r="C7885" s="9">
        <f t="shared" si="123"/>
        <v>0</v>
      </c>
    </row>
    <row r="7886" spans="1:3" x14ac:dyDescent="0.2">
      <c r="A7886" s="10" t="str">
        <f>IF(7878&gt;$C$9008,"",INDEX($B$9:$B$9008,MATCH(7878,$C$9:$C$9008,0)))</f>
        <v/>
      </c>
      <c r="B7886" s="9" t="str">
        <f>IFERROR(INDEX(Input!$L$20:$T$1019,INT((ROW()-9)/9)+1,MOD(ROW()-9,9)+1),"")</f>
        <v/>
      </c>
      <c r="C7886" s="9">
        <f t="shared" si="123"/>
        <v>0</v>
      </c>
    </row>
    <row r="7887" spans="1:3" x14ac:dyDescent="0.2">
      <c r="A7887" s="10" t="str">
        <f>IF(7879&gt;$C$9008,"",INDEX($B$9:$B$9008,MATCH(7879,$C$9:$C$9008,0)))</f>
        <v/>
      </c>
      <c r="B7887" s="9" t="str">
        <f>IFERROR(INDEX(Input!$L$20:$T$1019,INT((ROW()-9)/9)+1,MOD(ROW()-9,9)+1),"")</f>
        <v/>
      </c>
      <c r="C7887" s="9">
        <f t="shared" si="123"/>
        <v>0</v>
      </c>
    </row>
    <row r="7888" spans="1:3" x14ac:dyDescent="0.2">
      <c r="A7888" s="10" t="str">
        <f>IF(7880&gt;$C$9008,"",INDEX($B$9:$B$9008,MATCH(7880,$C$9:$C$9008,0)))</f>
        <v/>
      </c>
      <c r="B7888" s="9" t="str">
        <f>IFERROR(INDEX(Input!$L$20:$T$1019,INT((ROW()-9)/9)+1,MOD(ROW()-9,9)+1),"")</f>
        <v/>
      </c>
      <c r="C7888" s="9">
        <f t="shared" si="123"/>
        <v>0</v>
      </c>
    </row>
    <row r="7889" spans="1:3" x14ac:dyDescent="0.2">
      <c r="A7889" s="10" t="str">
        <f>IF(7881&gt;$C$9008,"",INDEX($B$9:$B$9008,MATCH(7881,$C$9:$C$9008,0)))</f>
        <v/>
      </c>
      <c r="B7889" s="9" t="str">
        <f>IFERROR(INDEX(Input!$L$20:$T$1019,INT((ROW()-9)/9)+1,MOD(ROW()-9,9)+1),"")</f>
        <v/>
      </c>
      <c r="C7889" s="9">
        <f t="shared" si="123"/>
        <v>0</v>
      </c>
    </row>
    <row r="7890" spans="1:3" x14ac:dyDescent="0.2">
      <c r="A7890" s="10" t="str">
        <f>IF(7882&gt;$C$9008,"",INDEX($B$9:$B$9008,MATCH(7882,$C$9:$C$9008,0)))</f>
        <v/>
      </c>
      <c r="B7890" s="9" t="str">
        <f>IFERROR(INDEX(Input!$L$20:$T$1019,INT((ROW()-9)/9)+1,MOD(ROW()-9,9)+1),"")</f>
        <v/>
      </c>
      <c r="C7890" s="9">
        <f t="shared" si="123"/>
        <v>0</v>
      </c>
    </row>
    <row r="7891" spans="1:3" x14ac:dyDescent="0.2">
      <c r="A7891" s="10" t="str">
        <f>IF(7883&gt;$C$9008,"",INDEX($B$9:$B$9008,MATCH(7883,$C$9:$C$9008,0)))</f>
        <v/>
      </c>
      <c r="B7891" s="9" t="str">
        <f>IFERROR(INDEX(Input!$L$20:$T$1019,INT((ROW()-9)/9)+1,MOD(ROW()-9,9)+1),"")</f>
        <v/>
      </c>
      <c r="C7891" s="9">
        <f t="shared" si="123"/>
        <v>0</v>
      </c>
    </row>
    <row r="7892" spans="1:3" x14ac:dyDescent="0.2">
      <c r="A7892" s="10" t="str">
        <f>IF(7884&gt;$C$9008,"",INDEX($B$9:$B$9008,MATCH(7884,$C$9:$C$9008,0)))</f>
        <v/>
      </c>
      <c r="B7892" s="9" t="str">
        <f>IFERROR(INDEX(Input!$L$20:$T$1019,INT((ROW()-9)/9)+1,MOD(ROW()-9,9)+1),"")</f>
        <v/>
      </c>
      <c r="C7892" s="9">
        <f t="shared" si="123"/>
        <v>0</v>
      </c>
    </row>
    <row r="7893" spans="1:3" x14ac:dyDescent="0.2">
      <c r="A7893" s="10" t="str">
        <f>IF(7885&gt;$C$9008,"",INDEX($B$9:$B$9008,MATCH(7885,$C$9:$C$9008,0)))</f>
        <v/>
      </c>
      <c r="B7893" s="9" t="str">
        <f>IFERROR(INDEX(Input!$L$20:$T$1019,INT((ROW()-9)/9)+1,MOD(ROW()-9,9)+1),"")</f>
        <v/>
      </c>
      <c r="C7893" s="9">
        <f t="shared" si="123"/>
        <v>0</v>
      </c>
    </row>
    <row r="7894" spans="1:3" x14ac:dyDescent="0.2">
      <c r="A7894" s="10" t="str">
        <f>IF(7886&gt;$C$9008,"",INDEX($B$9:$B$9008,MATCH(7886,$C$9:$C$9008,0)))</f>
        <v/>
      </c>
      <c r="B7894" s="9" t="str">
        <f>IFERROR(INDEX(Input!$L$20:$T$1019,INT((ROW()-9)/9)+1,MOD(ROW()-9,9)+1),"")</f>
        <v/>
      </c>
      <c r="C7894" s="9">
        <f t="shared" si="123"/>
        <v>0</v>
      </c>
    </row>
    <row r="7895" spans="1:3" x14ac:dyDescent="0.2">
      <c r="A7895" s="10" t="str">
        <f>IF(7887&gt;$C$9008,"",INDEX($B$9:$B$9008,MATCH(7887,$C$9:$C$9008,0)))</f>
        <v/>
      </c>
      <c r="B7895" s="9" t="str">
        <f>IFERROR(INDEX(Input!$L$20:$T$1019,INT((ROW()-9)/9)+1,MOD(ROW()-9,9)+1),"")</f>
        <v/>
      </c>
      <c r="C7895" s="9">
        <f t="shared" si="123"/>
        <v>0</v>
      </c>
    </row>
    <row r="7896" spans="1:3" x14ac:dyDescent="0.2">
      <c r="A7896" s="10" t="str">
        <f>IF(7888&gt;$C$9008,"",INDEX($B$9:$B$9008,MATCH(7888,$C$9:$C$9008,0)))</f>
        <v/>
      </c>
      <c r="B7896" s="9" t="str">
        <f>IFERROR(INDEX(Input!$L$20:$T$1019,INT((ROW()-9)/9)+1,MOD(ROW()-9,9)+1),"")</f>
        <v/>
      </c>
      <c r="C7896" s="9">
        <f t="shared" si="123"/>
        <v>0</v>
      </c>
    </row>
    <row r="7897" spans="1:3" x14ac:dyDescent="0.2">
      <c r="A7897" s="10" t="str">
        <f>IF(7889&gt;$C$9008,"",INDEX($B$9:$B$9008,MATCH(7889,$C$9:$C$9008,0)))</f>
        <v/>
      </c>
      <c r="B7897" s="9" t="str">
        <f>IFERROR(INDEX(Input!$L$20:$T$1019,INT((ROW()-9)/9)+1,MOD(ROW()-9,9)+1),"")</f>
        <v/>
      </c>
      <c r="C7897" s="9">
        <f t="shared" si="123"/>
        <v>0</v>
      </c>
    </row>
    <row r="7898" spans="1:3" x14ac:dyDescent="0.2">
      <c r="A7898" s="10" t="str">
        <f>IF(7890&gt;$C$9008,"",INDEX($B$9:$B$9008,MATCH(7890,$C$9:$C$9008,0)))</f>
        <v/>
      </c>
      <c r="B7898" s="9" t="str">
        <f>IFERROR(INDEX(Input!$L$20:$T$1019,INT((ROW()-9)/9)+1,MOD(ROW()-9,9)+1),"")</f>
        <v/>
      </c>
      <c r="C7898" s="9">
        <f t="shared" si="123"/>
        <v>0</v>
      </c>
    </row>
    <row r="7899" spans="1:3" x14ac:dyDescent="0.2">
      <c r="A7899" s="10" t="str">
        <f>IF(7891&gt;$C$9008,"",INDEX($B$9:$B$9008,MATCH(7891,$C$9:$C$9008,0)))</f>
        <v/>
      </c>
      <c r="B7899" s="9" t="str">
        <f>IFERROR(INDEX(Input!$L$20:$T$1019,INT((ROW()-9)/9)+1,MOD(ROW()-9,9)+1),"")</f>
        <v/>
      </c>
      <c r="C7899" s="9">
        <f t="shared" si="123"/>
        <v>0</v>
      </c>
    </row>
    <row r="7900" spans="1:3" x14ac:dyDescent="0.2">
      <c r="A7900" s="10" t="str">
        <f>IF(7892&gt;$C$9008,"",INDEX($B$9:$B$9008,MATCH(7892,$C$9:$C$9008,0)))</f>
        <v/>
      </c>
      <c r="B7900" s="9" t="str">
        <f>IFERROR(INDEX(Input!$L$20:$T$1019,INT((ROW()-9)/9)+1,MOD(ROW()-9,9)+1),"")</f>
        <v/>
      </c>
      <c r="C7900" s="9">
        <f t="shared" si="123"/>
        <v>0</v>
      </c>
    </row>
    <row r="7901" spans="1:3" x14ac:dyDescent="0.2">
      <c r="A7901" s="10" t="str">
        <f>IF(7893&gt;$C$9008,"",INDEX($B$9:$B$9008,MATCH(7893,$C$9:$C$9008,0)))</f>
        <v/>
      </c>
      <c r="B7901" s="9" t="str">
        <f>IFERROR(INDEX(Input!$L$20:$T$1019,INT((ROW()-9)/9)+1,MOD(ROW()-9,9)+1),"")</f>
        <v/>
      </c>
      <c r="C7901" s="9">
        <f t="shared" si="123"/>
        <v>0</v>
      </c>
    </row>
    <row r="7902" spans="1:3" x14ac:dyDescent="0.2">
      <c r="A7902" s="10" t="str">
        <f>IF(7894&gt;$C$9008,"",INDEX($B$9:$B$9008,MATCH(7894,$C$9:$C$9008,0)))</f>
        <v/>
      </c>
      <c r="B7902" s="9" t="str">
        <f>IFERROR(INDEX(Input!$L$20:$T$1019,INT((ROW()-9)/9)+1,MOD(ROW()-9,9)+1),"")</f>
        <v/>
      </c>
      <c r="C7902" s="9">
        <f t="shared" si="123"/>
        <v>0</v>
      </c>
    </row>
    <row r="7903" spans="1:3" x14ac:dyDescent="0.2">
      <c r="A7903" s="10" t="str">
        <f>IF(7895&gt;$C$9008,"",INDEX($B$9:$B$9008,MATCH(7895,$C$9:$C$9008,0)))</f>
        <v/>
      </c>
      <c r="B7903" s="9" t="str">
        <f>IFERROR(INDEX(Input!$L$20:$T$1019,INT((ROW()-9)/9)+1,MOD(ROW()-9,9)+1),"")</f>
        <v/>
      </c>
      <c r="C7903" s="9">
        <f t="shared" si="123"/>
        <v>0</v>
      </c>
    </row>
    <row r="7904" spans="1:3" x14ac:dyDescent="0.2">
      <c r="A7904" s="10" t="str">
        <f>IF(7896&gt;$C$9008,"",INDEX($B$9:$B$9008,MATCH(7896,$C$9:$C$9008,0)))</f>
        <v/>
      </c>
      <c r="B7904" s="9" t="str">
        <f>IFERROR(INDEX(Input!$L$20:$T$1019,INT((ROW()-9)/9)+1,MOD(ROW()-9,9)+1),"")</f>
        <v/>
      </c>
      <c r="C7904" s="9">
        <f t="shared" si="123"/>
        <v>0</v>
      </c>
    </row>
    <row r="7905" spans="1:3" x14ac:dyDescent="0.2">
      <c r="A7905" s="10" t="str">
        <f>IF(7897&gt;$C$9008,"",INDEX($B$9:$B$9008,MATCH(7897,$C$9:$C$9008,0)))</f>
        <v/>
      </c>
      <c r="B7905" s="9" t="str">
        <f>IFERROR(INDEX(Input!$L$20:$T$1019,INT((ROW()-9)/9)+1,MOD(ROW()-9,9)+1),"")</f>
        <v/>
      </c>
      <c r="C7905" s="9">
        <f t="shared" si="123"/>
        <v>0</v>
      </c>
    </row>
    <row r="7906" spans="1:3" x14ac:dyDescent="0.2">
      <c r="A7906" s="10" t="str">
        <f>IF(7898&gt;$C$9008,"",INDEX($B$9:$B$9008,MATCH(7898,$C$9:$C$9008,0)))</f>
        <v/>
      </c>
      <c r="B7906" s="9" t="str">
        <f>IFERROR(INDEX(Input!$L$20:$T$1019,INT((ROW()-9)/9)+1,MOD(ROW()-9,9)+1),"")</f>
        <v/>
      </c>
      <c r="C7906" s="9">
        <f t="shared" si="123"/>
        <v>0</v>
      </c>
    </row>
    <row r="7907" spans="1:3" x14ac:dyDescent="0.2">
      <c r="A7907" s="10" t="str">
        <f>IF(7899&gt;$C$9008,"",INDEX($B$9:$B$9008,MATCH(7899,$C$9:$C$9008,0)))</f>
        <v/>
      </c>
      <c r="B7907" s="9" t="str">
        <f>IFERROR(INDEX(Input!$L$20:$T$1019,INT((ROW()-9)/9)+1,MOD(ROW()-9,9)+1),"")</f>
        <v/>
      </c>
      <c r="C7907" s="9">
        <f t="shared" si="123"/>
        <v>0</v>
      </c>
    </row>
    <row r="7908" spans="1:3" x14ac:dyDescent="0.2">
      <c r="A7908" s="10" t="str">
        <f>IF(7900&gt;$C$9008,"",INDEX($B$9:$B$9008,MATCH(7900,$C$9:$C$9008,0)))</f>
        <v/>
      </c>
      <c r="B7908" s="9" t="str">
        <f>IFERROR(INDEX(Input!$L$20:$T$1019,INT((ROW()-9)/9)+1,MOD(ROW()-9,9)+1),"")</f>
        <v/>
      </c>
      <c r="C7908" s="9">
        <f t="shared" si="123"/>
        <v>0</v>
      </c>
    </row>
    <row r="7909" spans="1:3" x14ac:dyDescent="0.2">
      <c r="A7909" s="10" t="str">
        <f>IF(7901&gt;$C$9008,"",INDEX($B$9:$B$9008,MATCH(7901,$C$9:$C$9008,0)))</f>
        <v/>
      </c>
      <c r="B7909" s="9" t="str">
        <f>IFERROR(INDEX(Input!$L$20:$T$1019,INT((ROW()-9)/9)+1,MOD(ROW()-9,9)+1),"")</f>
        <v/>
      </c>
      <c r="C7909" s="9">
        <f t="shared" si="123"/>
        <v>0</v>
      </c>
    </row>
    <row r="7910" spans="1:3" x14ac:dyDescent="0.2">
      <c r="A7910" s="10" t="str">
        <f>IF(7902&gt;$C$9008,"",INDEX($B$9:$B$9008,MATCH(7902,$C$9:$C$9008,0)))</f>
        <v/>
      </c>
      <c r="B7910" s="9" t="str">
        <f>IFERROR(INDEX(Input!$L$20:$T$1019,INT((ROW()-9)/9)+1,MOD(ROW()-9,9)+1),"")</f>
        <v/>
      </c>
      <c r="C7910" s="9">
        <f t="shared" si="123"/>
        <v>0</v>
      </c>
    </row>
    <row r="7911" spans="1:3" x14ac:dyDescent="0.2">
      <c r="A7911" s="10" t="str">
        <f>IF(7903&gt;$C$9008,"",INDEX($B$9:$B$9008,MATCH(7903,$C$9:$C$9008,0)))</f>
        <v/>
      </c>
      <c r="B7911" s="9" t="str">
        <f>IFERROR(INDEX(Input!$L$20:$T$1019,INT((ROW()-9)/9)+1,MOD(ROW()-9,9)+1),"")</f>
        <v/>
      </c>
      <c r="C7911" s="9">
        <f t="shared" si="123"/>
        <v>0</v>
      </c>
    </row>
    <row r="7912" spans="1:3" x14ac:dyDescent="0.2">
      <c r="A7912" s="10" t="str">
        <f>IF(7904&gt;$C$9008,"",INDEX($B$9:$B$9008,MATCH(7904,$C$9:$C$9008,0)))</f>
        <v/>
      </c>
      <c r="B7912" s="9" t="str">
        <f>IFERROR(INDEX(Input!$L$20:$T$1019,INT((ROW()-9)/9)+1,MOD(ROW()-9,9)+1),"")</f>
        <v/>
      </c>
      <c r="C7912" s="9">
        <f t="shared" si="123"/>
        <v>0</v>
      </c>
    </row>
    <row r="7913" spans="1:3" x14ac:dyDescent="0.2">
      <c r="A7913" s="10" t="str">
        <f>IF(7905&gt;$C$9008,"",INDEX($B$9:$B$9008,MATCH(7905,$C$9:$C$9008,0)))</f>
        <v/>
      </c>
      <c r="B7913" s="9" t="str">
        <f>IFERROR(INDEX(Input!$L$20:$T$1019,INT((ROW()-9)/9)+1,MOD(ROW()-9,9)+1),"")</f>
        <v/>
      </c>
      <c r="C7913" s="9">
        <f t="shared" si="123"/>
        <v>0</v>
      </c>
    </row>
    <row r="7914" spans="1:3" x14ac:dyDescent="0.2">
      <c r="A7914" s="10" t="str">
        <f>IF(7906&gt;$C$9008,"",INDEX($B$9:$B$9008,MATCH(7906,$C$9:$C$9008,0)))</f>
        <v/>
      </c>
      <c r="B7914" s="9" t="str">
        <f>IFERROR(INDEX(Input!$L$20:$T$1019,INT((ROW()-9)/9)+1,MOD(ROW()-9,9)+1),"")</f>
        <v/>
      </c>
      <c r="C7914" s="9">
        <f t="shared" si="123"/>
        <v>0</v>
      </c>
    </row>
    <row r="7915" spans="1:3" x14ac:dyDescent="0.2">
      <c r="A7915" s="10" t="str">
        <f>IF(7907&gt;$C$9008,"",INDEX($B$9:$B$9008,MATCH(7907,$C$9:$C$9008,0)))</f>
        <v/>
      </c>
      <c r="B7915" s="9" t="str">
        <f>IFERROR(INDEX(Input!$L$20:$T$1019,INT((ROW()-9)/9)+1,MOD(ROW()-9,9)+1),"")</f>
        <v/>
      </c>
      <c r="C7915" s="9">
        <f t="shared" si="123"/>
        <v>0</v>
      </c>
    </row>
    <row r="7916" spans="1:3" x14ac:dyDescent="0.2">
      <c r="A7916" s="10" t="str">
        <f>IF(7908&gt;$C$9008,"",INDEX($B$9:$B$9008,MATCH(7908,$C$9:$C$9008,0)))</f>
        <v/>
      </c>
      <c r="B7916" s="9" t="str">
        <f>IFERROR(INDEX(Input!$L$20:$T$1019,INT((ROW()-9)/9)+1,MOD(ROW()-9,9)+1),"")</f>
        <v/>
      </c>
      <c r="C7916" s="9">
        <f t="shared" si="123"/>
        <v>0</v>
      </c>
    </row>
    <row r="7917" spans="1:3" x14ac:dyDescent="0.2">
      <c r="A7917" s="10" t="str">
        <f>IF(7909&gt;$C$9008,"",INDEX($B$9:$B$9008,MATCH(7909,$C$9:$C$9008,0)))</f>
        <v/>
      </c>
      <c r="B7917" s="9" t="str">
        <f>IFERROR(INDEX(Input!$L$20:$T$1019,INT((ROW()-9)/9)+1,MOD(ROW()-9,9)+1),"")</f>
        <v/>
      </c>
      <c r="C7917" s="9">
        <f t="shared" si="123"/>
        <v>0</v>
      </c>
    </row>
    <row r="7918" spans="1:3" x14ac:dyDescent="0.2">
      <c r="A7918" s="10" t="str">
        <f>IF(7910&gt;$C$9008,"",INDEX($B$9:$B$9008,MATCH(7910,$C$9:$C$9008,0)))</f>
        <v/>
      </c>
      <c r="B7918" s="9" t="str">
        <f>IFERROR(INDEX(Input!$L$20:$T$1019,INT((ROW()-9)/9)+1,MOD(ROW()-9,9)+1),"")</f>
        <v/>
      </c>
      <c r="C7918" s="9">
        <f t="shared" si="123"/>
        <v>0</v>
      </c>
    </row>
    <row r="7919" spans="1:3" x14ac:dyDescent="0.2">
      <c r="A7919" s="10" t="str">
        <f>IF(7911&gt;$C$9008,"",INDEX($B$9:$B$9008,MATCH(7911,$C$9:$C$9008,0)))</f>
        <v/>
      </c>
      <c r="B7919" s="9" t="str">
        <f>IFERROR(INDEX(Input!$L$20:$T$1019,INT((ROW()-9)/9)+1,MOD(ROW()-9,9)+1),"")</f>
        <v/>
      </c>
      <c r="C7919" s="9">
        <f t="shared" si="123"/>
        <v>0</v>
      </c>
    </row>
    <row r="7920" spans="1:3" x14ac:dyDescent="0.2">
      <c r="A7920" s="10" t="str">
        <f>IF(7912&gt;$C$9008,"",INDEX($B$9:$B$9008,MATCH(7912,$C$9:$C$9008,0)))</f>
        <v/>
      </c>
      <c r="B7920" s="9" t="str">
        <f>IFERROR(INDEX(Input!$L$20:$T$1019,INT((ROW()-9)/9)+1,MOD(ROW()-9,9)+1),"")</f>
        <v/>
      </c>
      <c r="C7920" s="9">
        <f t="shared" si="123"/>
        <v>0</v>
      </c>
    </row>
    <row r="7921" spans="1:3" x14ac:dyDescent="0.2">
      <c r="A7921" s="10" t="str">
        <f>IF(7913&gt;$C$9008,"",INDEX($B$9:$B$9008,MATCH(7913,$C$9:$C$9008,0)))</f>
        <v/>
      </c>
      <c r="B7921" s="9" t="str">
        <f>IFERROR(INDEX(Input!$L$20:$T$1019,INT((ROW()-9)/9)+1,MOD(ROW()-9,9)+1),"")</f>
        <v/>
      </c>
      <c r="C7921" s="9">
        <f t="shared" si="123"/>
        <v>0</v>
      </c>
    </row>
    <row r="7922" spans="1:3" x14ac:dyDescent="0.2">
      <c r="A7922" s="10" t="str">
        <f>IF(7914&gt;$C$9008,"",INDEX($B$9:$B$9008,MATCH(7914,$C$9:$C$9008,0)))</f>
        <v/>
      </c>
      <c r="B7922" s="9" t="str">
        <f>IFERROR(INDEX(Input!$L$20:$T$1019,INT((ROW()-9)/9)+1,MOD(ROW()-9,9)+1),"")</f>
        <v/>
      </c>
      <c r="C7922" s="9">
        <f t="shared" si="123"/>
        <v>0</v>
      </c>
    </row>
    <row r="7923" spans="1:3" x14ac:dyDescent="0.2">
      <c r="A7923" s="10" t="str">
        <f>IF(7915&gt;$C$9008,"",INDEX($B$9:$B$9008,MATCH(7915,$C$9:$C$9008,0)))</f>
        <v/>
      </c>
      <c r="B7923" s="9" t="str">
        <f>IFERROR(INDEX(Input!$L$20:$T$1019,INT((ROW()-9)/9)+1,MOD(ROW()-9,9)+1),"")</f>
        <v/>
      </c>
      <c r="C7923" s="9">
        <f t="shared" si="123"/>
        <v>0</v>
      </c>
    </row>
    <row r="7924" spans="1:3" x14ac:dyDescent="0.2">
      <c r="A7924" s="10" t="str">
        <f>IF(7916&gt;$C$9008,"",INDEX($B$9:$B$9008,MATCH(7916,$C$9:$C$9008,0)))</f>
        <v/>
      </c>
      <c r="B7924" s="9" t="str">
        <f>IFERROR(INDEX(Input!$L$20:$T$1019,INT((ROW()-9)/9)+1,MOD(ROW()-9,9)+1),"")</f>
        <v/>
      </c>
      <c r="C7924" s="9">
        <f t="shared" si="123"/>
        <v>0</v>
      </c>
    </row>
    <row r="7925" spans="1:3" x14ac:dyDescent="0.2">
      <c r="A7925" s="10" t="str">
        <f>IF(7917&gt;$C$9008,"",INDEX($B$9:$B$9008,MATCH(7917,$C$9:$C$9008,0)))</f>
        <v/>
      </c>
      <c r="B7925" s="9" t="str">
        <f>IFERROR(INDEX(Input!$L$20:$T$1019,INT((ROW()-9)/9)+1,MOD(ROW()-9,9)+1),"")</f>
        <v/>
      </c>
      <c r="C7925" s="9">
        <f t="shared" si="123"/>
        <v>0</v>
      </c>
    </row>
    <row r="7926" spans="1:3" x14ac:dyDescent="0.2">
      <c r="A7926" s="10" t="str">
        <f>IF(7918&gt;$C$9008,"",INDEX($B$9:$B$9008,MATCH(7918,$C$9:$C$9008,0)))</f>
        <v/>
      </c>
      <c r="B7926" s="9" t="str">
        <f>IFERROR(INDEX(Input!$L$20:$T$1019,INT((ROW()-9)/9)+1,MOD(ROW()-9,9)+1),"")</f>
        <v/>
      </c>
      <c r="C7926" s="9">
        <f t="shared" si="123"/>
        <v>0</v>
      </c>
    </row>
    <row r="7927" spans="1:3" x14ac:dyDescent="0.2">
      <c r="A7927" s="10" t="str">
        <f>IF(7919&gt;$C$9008,"",INDEX($B$9:$B$9008,MATCH(7919,$C$9:$C$9008,0)))</f>
        <v/>
      </c>
      <c r="B7927" s="9" t="str">
        <f>IFERROR(INDEX(Input!$L$20:$T$1019,INT((ROW()-9)/9)+1,MOD(ROW()-9,9)+1),"")</f>
        <v/>
      </c>
      <c r="C7927" s="9">
        <f t="shared" si="123"/>
        <v>0</v>
      </c>
    </row>
    <row r="7928" spans="1:3" x14ac:dyDescent="0.2">
      <c r="A7928" s="10" t="str">
        <f>IF(7920&gt;$C$9008,"",INDEX($B$9:$B$9008,MATCH(7920,$C$9:$C$9008,0)))</f>
        <v/>
      </c>
      <c r="B7928" s="9" t="str">
        <f>IFERROR(INDEX(Input!$L$20:$T$1019,INT((ROW()-9)/9)+1,MOD(ROW()-9,9)+1),"")</f>
        <v/>
      </c>
      <c r="C7928" s="9">
        <f t="shared" si="123"/>
        <v>0</v>
      </c>
    </row>
    <row r="7929" spans="1:3" x14ac:dyDescent="0.2">
      <c r="A7929" s="10" t="str">
        <f>IF(7921&gt;$C$9008,"",INDEX($B$9:$B$9008,MATCH(7921,$C$9:$C$9008,0)))</f>
        <v/>
      </c>
      <c r="B7929" s="9" t="str">
        <f>IFERROR(INDEX(Input!$L$20:$T$1019,INT((ROW()-9)/9)+1,MOD(ROW()-9,9)+1),"")</f>
        <v/>
      </c>
      <c r="C7929" s="9">
        <f t="shared" si="123"/>
        <v>0</v>
      </c>
    </row>
    <row r="7930" spans="1:3" x14ac:dyDescent="0.2">
      <c r="A7930" s="10" t="str">
        <f>IF(7922&gt;$C$9008,"",INDEX($B$9:$B$9008,MATCH(7922,$C$9:$C$9008,0)))</f>
        <v/>
      </c>
      <c r="B7930" s="9" t="str">
        <f>IFERROR(INDEX(Input!$L$20:$T$1019,INT((ROW()-9)/9)+1,MOD(ROW()-9,9)+1),"")</f>
        <v/>
      </c>
      <c r="C7930" s="9">
        <f t="shared" si="123"/>
        <v>0</v>
      </c>
    </row>
    <row r="7931" spans="1:3" x14ac:dyDescent="0.2">
      <c r="A7931" s="10" t="str">
        <f>IF(7923&gt;$C$9008,"",INDEX($B$9:$B$9008,MATCH(7923,$C$9:$C$9008,0)))</f>
        <v/>
      </c>
      <c r="B7931" s="9" t="str">
        <f>IFERROR(INDEX(Input!$L$20:$T$1019,INT((ROW()-9)/9)+1,MOD(ROW()-9,9)+1),"")</f>
        <v/>
      </c>
      <c r="C7931" s="9">
        <f t="shared" si="123"/>
        <v>0</v>
      </c>
    </row>
    <row r="7932" spans="1:3" x14ac:dyDescent="0.2">
      <c r="A7932" s="10" t="str">
        <f>IF(7924&gt;$C$9008,"",INDEX($B$9:$B$9008,MATCH(7924,$C$9:$C$9008,0)))</f>
        <v/>
      </c>
      <c r="B7932" s="9" t="str">
        <f>IFERROR(INDEX(Input!$L$20:$T$1019,INT((ROW()-9)/9)+1,MOD(ROW()-9,9)+1),"")</f>
        <v/>
      </c>
      <c r="C7932" s="9">
        <f t="shared" si="123"/>
        <v>0</v>
      </c>
    </row>
    <row r="7933" spans="1:3" x14ac:dyDescent="0.2">
      <c r="A7933" s="10" t="str">
        <f>IF(7925&gt;$C$9008,"",INDEX($B$9:$B$9008,MATCH(7925,$C$9:$C$9008,0)))</f>
        <v/>
      </c>
      <c r="B7933" s="9" t="str">
        <f>IFERROR(INDEX(Input!$L$20:$T$1019,INT((ROW()-9)/9)+1,MOD(ROW()-9,9)+1),"")</f>
        <v/>
      </c>
      <c r="C7933" s="9">
        <f t="shared" si="123"/>
        <v>0</v>
      </c>
    </row>
    <row r="7934" spans="1:3" x14ac:dyDescent="0.2">
      <c r="A7934" s="10" t="str">
        <f>IF(7926&gt;$C$9008,"",INDEX($B$9:$B$9008,MATCH(7926,$C$9:$C$9008,0)))</f>
        <v/>
      </c>
      <c r="B7934" s="9" t="str">
        <f>IFERROR(INDEX(Input!$L$20:$T$1019,INT((ROW()-9)/9)+1,MOD(ROW()-9,9)+1),"")</f>
        <v/>
      </c>
      <c r="C7934" s="9">
        <f t="shared" si="123"/>
        <v>0</v>
      </c>
    </row>
    <row r="7935" spans="1:3" x14ac:dyDescent="0.2">
      <c r="A7935" s="10" t="str">
        <f>IF(7927&gt;$C$9008,"",INDEX($B$9:$B$9008,MATCH(7927,$C$9:$C$9008,0)))</f>
        <v/>
      </c>
      <c r="B7935" s="9" t="str">
        <f>IFERROR(INDEX(Input!$L$20:$T$1019,INT((ROW()-9)/9)+1,MOD(ROW()-9,9)+1),"")</f>
        <v/>
      </c>
      <c r="C7935" s="9">
        <f t="shared" si="123"/>
        <v>0</v>
      </c>
    </row>
    <row r="7936" spans="1:3" x14ac:dyDescent="0.2">
      <c r="A7936" s="10" t="str">
        <f>IF(7928&gt;$C$9008,"",INDEX($B$9:$B$9008,MATCH(7928,$C$9:$C$9008,0)))</f>
        <v/>
      </c>
      <c r="B7936" s="9" t="str">
        <f>IFERROR(INDEX(Input!$L$20:$T$1019,INT((ROW()-9)/9)+1,MOD(ROW()-9,9)+1),"")</f>
        <v/>
      </c>
      <c r="C7936" s="9">
        <f t="shared" si="123"/>
        <v>0</v>
      </c>
    </row>
    <row r="7937" spans="1:3" x14ac:dyDescent="0.2">
      <c r="A7937" s="10" t="str">
        <f>IF(7929&gt;$C$9008,"",INDEX($B$9:$B$9008,MATCH(7929,$C$9:$C$9008,0)))</f>
        <v/>
      </c>
      <c r="B7937" s="9" t="str">
        <f>IFERROR(INDEX(Input!$L$20:$T$1019,INT((ROW()-9)/9)+1,MOD(ROW()-9,9)+1),"")</f>
        <v/>
      </c>
      <c r="C7937" s="9">
        <f t="shared" si="123"/>
        <v>0</v>
      </c>
    </row>
    <row r="7938" spans="1:3" x14ac:dyDescent="0.2">
      <c r="A7938" s="10" t="str">
        <f>IF(7930&gt;$C$9008,"",INDEX($B$9:$B$9008,MATCH(7930,$C$9:$C$9008,0)))</f>
        <v/>
      </c>
      <c r="B7938" s="9" t="str">
        <f>IFERROR(INDEX(Input!$L$20:$T$1019,INT((ROW()-9)/9)+1,MOD(ROW()-9,9)+1),"")</f>
        <v/>
      </c>
      <c r="C7938" s="9">
        <f t="shared" si="123"/>
        <v>0</v>
      </c>
    </row>
    <row r="7939" spans="1:3" x14ac:dyDescent="0.2">
      <c r="A7939" s="10" t="str">
        <f>IF(7931&gt;$C$9008,"",INDEX($B$9:$B$9008,MATCH(7931,$C$9:$C$9008,0)))</f>
        <v/>
      </c>
      <c r="B7939" s="9" t="str">
        <f>IFERROR(INDEX(Input!$L$20:$T$1019,INT((ROW()-9)/9)+1,MOD(ROW()-9,9)+1),"")</f>
        <v/>
      </c>
      <c r="C7939" s="9">
        <f t="shared" si="123"/>
        <v>0</v>
      </c>
    </row>
    <row r="7940" spans="1:3" x14ac:dyDescent="0.2">
      <c r="A7940" s="10" t="str">
        <f>IF(7932&gt;$C$9008,"",INDEX($B$9:$B$9008,MATCH(7932,$C$9:$C$9008,0)))</f>
        <v/>
      </c>
      <c r="B7940" s="9" t="str">
        <f>IFERROR(INDEX(Input!$L$20:$T$1019,INT((ROW()-9)/9)+1,MOD(ROW()-9,9)+1),"")</f>
        <v/>
      </c>
      <c r="C7940" s="9">
        <f t="shared" si="123"/>
        <v>0</v>
      </c>
    </row>
    <row r="7941" spans="1:3" x14ac:dyDescent="0.2">
      <c r="A7941" s="10" t="str">
        <f>IF(7933&gt;$C$9008,"",INDEX($B$9:$B$9008,MATCH(7933,$C$9:$C$9008,0)))</f>
        <v/>
      </c>
      <c r="B7941" s="9" t="str">
        <f>IFERROR(INDEX(Input!$L$20:$T$1019,INT((ROW()-9)/9)+1,MOD(ROW()-9,9)+1),"")</f>
        <v/>
      </c>
      <c r="C7941" s="9">
        <f t="shared" si="123"/>
        <v>0</v>
      </c>
    </row>
    <row r="7942" spans="1:3" x14ac:dyDescent="0.2">
      <c r="A7942" s="10" t="str">
        <f>IF(7934&gt;$C$9008,"",INDEX($B$9:$B$9008,MATCH(7934,$C$9:$C$9008,0)))</f>
        <v/>
      </c>
      <c r="B7942" s="9" t="str">
        <f>IFERROR(INDEX(Input!$L$20:$T$1019,INT((ROW()-9)/9)+1,MOD(ROW()-9,9)+1),"")</f>
        <v/>
      </c>
      <c r="C7942" s="9">
        <f t="shared" si="123"/>
        <v>0</v>
      </c>
    </row>
    <row r="7943" spans="1:3" x14ac:dyDescent="0.2">
      <c r="A7943" s="10" t="str">
        <f>IF(7935&gt;$C$9008,"",INDEX($B$9:$B$9008,MATCH(7935,$C$9:$C$9008,0)))</f>
        <v/>
      </c>
      <c r="B7943" s="9" t="str">
        <f>IFERROR(INDEX(Input!$L$20:$T$1019,INT((ROW()-9)/9)+1,MOD(ROW()-9,9)+1),"")</f>
        <v/>
      </c>
      <c r="C7943" s="9">
        <f t="shared" si="123"/>
        <v>0</v>
      </c>
    </row>
    <row r="7944" spans="1:3" x14ac:dyDescent="0.2">
      <c r="A7944" s="10" t="str">
        <f>IF(7936&gt;$C$9008,"",INDEX($B$9:$B$9008,MATCH(7936,$C$9:$C$9008,0)))</f>
        <v/>
      </c>
      <c r="B7944" s="9" t="str">
        <f>IFERROR(INDEX(Input!$L$20:$T$1019,INT((ROW()-9)/9)+1,MOD(ROW()-9,9)+1),"")</f>
        <v/>
      </c>
      <c r="C7944" s="9">
        <f t="shared" si="123"/>
        <v>0</v>
      </c>
    </row>
    <row r="7945" spans="1:3" x14ac:dyDescent="0.2">
      <c r="A7945" s="10" t="str">
        <f>IF(7937&gt;$C$9008,"",INDEX($B$9:$B$9008,MATCH(7937,$C$9:$C$9008,0)))</f>
        <v/>
      </c>
      <c r="B7945" s="9" t="str">
        <f>IFERROR(INDEX(Input!$L$20:$T$1019,INT((ROW()-9)/9)+1,MOD(ROW()-9,9)+1),"")</f>
        <v/>
      </c>
      <c r="C7945" s="9">
        <f t="shared" ref="C7945:C8008" si="124">$C7944+IF($B7945&lt;&gt;"",1,0)</f>
        <v>0</v>
      </c>
    </row>
    <row r="7946" spans="1:3" x14ac:dyDescent="0.2">
      <c r="A7946" s="10" t="str">
        <f>IF(7938&gt;$C$9008,"",INDEX($B$9:$B$9008,MATCH(7938,$C$9:$C$9008,0)))</f>
        <v/>
      </c>
      <c r="B7946" s="9" t="str">
        <f>IFERROR(INDEX(Input!$L$20:$T$1019,INT((ROW()-9)/9)+1,MOD(ROW()-9,9)+1),"")</f>
        <v/>
      </c>
      <c r="C7946" s="9">
        <f t="shared" si="124"/>
        <v>0</v>
      </c>
    </row>
    <row r="7947" spans="1:3" x14ac:dyDescent="0.2">
      <c r="A7947" s="10" t="str">
        <f>IF(7939&gt;$C$9008,"",INDEX($B$9:$B$9008,MATCH(7939,$C$9:$C$9008,0)))</f>
        <v/>
      </c>
      <c r="B7947" s="9" t="str">
        <f>IFERROR(INDEX(Input!$L$20:$T$1019,INT((ROW()-9)/9)+1,MOD(ROW()-9,9)+1),"")</f>
        <v/>
      </c>
      <c r="C7947" s="9">
        <f t="shared" si="124"/>
        <v>0</v>
      </c>
    </row>
    <row r="7948" spans="1:3" x14ac:dyDescent="0.2">
      <c r="A7948" s="10" t="str">
        <f>IF(7940&gt;$C$9008,"",INDEX($B$9:$B$9008,MATCH(7940,$C$9:$C$9008,0)))</f>
        <v/>
      </c>
      <c r="B7948" s="9" t="str">
        <f>IFERROR(INDEX(Input!$L$20:$T$1019,INT((ROW()-9)/9)+1,MOD(ROW()-9,9)+1),"")</f>
        <v/>
      </c>
      <c r="C7948" s="9">
        <f t="shared" si="124"/>
        <v>0</v>
      </c>
    </row>
    <row r="7949" spans="1:3" x14ac:dyDescent="0.2">
      <c r="A7949" s="10" t="str">
        <f>IF(7941&gt;$C$9008,"",INDEX($B$9:$B$9008,MATCH(7941,$C$9:$C$9008,0)))</f>
        <v/>
      </c>
      <c r="B7949" s="9" t="str">
        <f>IFERROR(INDEX(Input!$L$20:$T$1019,INT((ROW()-9)/9)+1,MOD(ROW()-9,9)+1),"")</f>
        <v/>
      </c>
      <c r="C7949" s="9">
        <f t="shared" si="124"/>
        <v>0</v>
      </c>
    </row>
    <row r="7950" spans="1:3" x14ac:dyDescent="0.2">
      <c r="A7950" s="10" t="str">
        <f>IF(7942&gt;$C$9008,"",INDEX($B$9:$B$9008,MATCH(7942,$C$9:$C$9008,0)))</f>
        <v/>
      </c>
      <c r="B7950" s="9" t="str">
        <f>IFERROR(INDEX(Input!$L$20:$T$1019,INT((ROW()-9)/9)+1,MOD(ROW()-9,9)+1),"")</f>
        <v/>
      </c>
      <c r="C7950" s="9">
        <f t="shared" si="124"/>
        <v>0</v>
      </c>
    </row>
    <row r="7951" spans="1:3" x14ac:dyDescent="0.2">
      <c r="A7951" s="10" t="str">
        <f>IF(7943&gt;$C$9008,"",INDEX($B$9:$B$9008,MATCH(7943,$C$9:$C$9008,0)))</f>
        <v/>
      </c>
      <c r="B7951" s="9" t="str">
        <f>IFERROR(INDEX(Input!$L$20:$T$1019,INT((ROW()-9)/9)+1,MOD(ROW()-9,9)+1),"")</f>
        <v/>
      </c>
      <c r="C7951" s="9">
        <f t="shared" si="124"/>
        <v>0</v>
      </c>
    </row>
    <row r="7952" spans="1:3" x14ac:dyDescent="0.2">
      <c r="A7952" s="10" t="str">
        <f>IF(7944&gt;$C$9008,"",INDEX($B$9:$B$9008,MATCH(7944,$C$9:$C$9008,0)))</f>
        <v/>
      </c>
      <c r="B7952" s="9" t="str">
        <f>IFERROR(INDEX(Input!$L$20:$T$1019,INT((ROW()-9)/9)+1,MOD(ROW()-9,9)+1),"")</f>
        <v/>
      </c>
      <c r="C7952" s="9">
        <f t="shared" si="124"/>
        <v>0</v>
      </c>
    </row>
    <row r="7953" spans="1:3" x14ac:dyDescent="0.2">
      <c r="A7953" s="10" t="str">
        <f>IF(7945&gt;$C$9008,"",INDEX($B$9:$B$9008,MATCH(7945,$C$9:$C$9008,0)))</f>
        <v/>
      </c>
      <c r="B7953" s="9" t="str">
        <f>IFERROR(INDEX(Input!$L$20:$T$1019,INT((ROW()-9)/9)+1,MOD(ROW()-9,9)+1),"")</f>
        <v/>
      </c>
      <c r="C7953" s="9">
        <f t="shared" si="124"/>
        <v>0</v>
      </c>
    </row>
    <row r="7954" spans="1:3" x14ac:dyDescent="0.2">
      <c r="A7954" s="10" t="str">
        <f>IF(7946&gt;$C$9008,"",INDEX($B$9:$B$9008,MATCH(7946,$C$9:$C$9008,0)))</f>
        <v/>
      </c>
      <c r="B7954" s="9" t="str">
        <f>IFERROR(INDEX(Input!$L$20:$T$1019,INT((ROW()-9)/9)+1,MOD(ROW()-9,9)+1),"")</f>
        <v/>
      </c>
      <c r="C7954" s="9">
        <f t="shared" si="124"/>
        <v>0</v>
      </c>
    </row>
    <row r="7955" spans="1:3" x14ac:dyDescent="0.2">
      <c r="A7955" s="10" t="str">
        <f>IF(7947&gt;$C$9008,"",INDEX($B$9:$B$9008,MATCH(7947,$C$9:$C$9008,0)))</f>
        <v/>
      </c>
      <c r="B7955" s="9" t="str">
        <f>IFERROR(INDEX(Input!$L$20:$T$1019,INT((ROW()-9)/9)+1,MOD(ROW()-9,9)+1),"")</f>
        <v/>
      </c>
      <c r="C7955" s="9">
        <f t="shared" si="124"/>
        <v>0</v>
      </c>
    </row>
    <row r="7956" spans="1:3" x14ac:dyDescent="0.2">
      <c r="A7956" s="10" t="str">
        <f>IF(7948&gt;$C$9008,"",INDEX($B$9:$B$9008,MATCH(7948,$C$9:$C$9008,0)))</f>
        <v/>
      </c>
      <c r="B7956" s="9" t="str">
        <f>IFERROR(INDEX(Input!$L$20:$T$1019,INT((ROW()-9)/9)+1,MOD(ROW()-9,9)+1),"")</f>
        <v/>
      </c>
      <c r="C7956" s="9">
        <f t="shared" si="124"/>
        <v>0</v>
      </c>
    </row>
    <row r="7957" spans="1:3" x14ac:dyDescent="0.2">
      <c r="A7957" s="10" t="str">
        <f>IF(7949&gt;$C$9008,"",INDEX($B$9:$B$9008,MATCH(7949,$C$9:$C$9008,0)))</f>
        <v/>
      </c>
      <c r="B7957" s="9" t="str">
        <f>IFERROR(INDEX(Input!$L$20:$T$1019,INT((ROW()-9)/9)+1,MOD(ROW()-9,9)+1),"")</f>
        <v/>
      </c>
      <c r="C7957" s="9">
        <f t="shared" si="124"/>
        <v>0</v>
      </c>
    </row>
    <row r="7958" spans="1:3" x14ac:dyDescent="0.2">
      <c r="A7958" s="10" t="str">
        <f>IF(7950&gt;$C$9008,"",INDEX($B$9:$B$9008,MATCH(7950,$C$9:$C$9008,0)))</f>
        <v/>
      </c>
      <c r="B7958" s="9" t="str">
        <f>IFERROR(INDEX(Input!$L$20:$T$1019,INT((ROW()-9)/9)+1,MOD(ROW()-9,9)+1),"")</f>
        <v/>
      </c>
      <c r="C7958" s="9">
        <f t="shared" si="124"/>
        <v>0</v>
      </c>
    </row>
    <row r="7959" spans="1:3" x14ac:dyDescent="0.2">
      <c r="A7959" s="10" t="str">
        <f>IF(7951&gt;$C$9008,"",INDEX($B$9:$B$9008,MATCH(7951,$C$9:$C$9008,0)))</f>
        <v/>
      </c>
      <c r="B7959" s="9" t="str">
        <f>IFERROR(INDEX(Input!$L$20:$T$1019,INT((ROW()-9)/9)+1,MOD(ROW()-9,9)+1),"")</f>
        <v/>
      </c>
      <c r="C7959" s="9">
        <f t="shared" si="124"/>
        <v>0</v>
      </c>
    </row>
    <row r="7960" spans="1:3" x14ac:dyDescent="0.2">
      <c r="A7960" s="10" t="str">
        <f>IF(7952&gt;$C$9008,"",INDEX($B$9:$B$9008,MATCH(7952,$C$9:$C$9008,0)))</f>
        <v/>
      </c>
      <c r="B7960" s="9" t="str">
        <f>IFERROR(INDEX(Input!$L$20:$T$1019,INT((ROW()-9)/9)+1,MOD(ROW()-9,9)+1),"")</f>
        <v/>
      </c>
      <c r="C7960" s="9">
        <f t="shared" si="124"/>
        <v>0</v>
      </c>
    </row>
    <row r="7961" spans="1:3" x14ac:dyDescent="0.2">
      <c r="A7961" s="10" t="str">
        <f>IF(7953&gt;$C$9008,"",INDEX($B$9:$B$9008,MATCH(7953,$C$9:$C$9008,0)))</f>
        <v/>
      </c>
      <c r="B7961" s="9" t="str">
        <f>IFERROR(INDEX(Input!$L$20:$T$1019,INT((ROW()-9)/9)+1,MOD(ROW()-9,9)+1),"")</f>
        <v/>
      </c>
      <c r="C7961" s="9">
        <f t="shared" si="124"/>
        <v>0</v>
      </c>
    </row>
    <row r="7962" spans="1:3" x14ac:dyDescent="0.2">
      <c r="A7962" s="10" t="str">
        <f>IF(7954&gt;$C$9008,"",INDEX($B$9:$B$9008,MATCH(7954,$C$9:$C$9008,0)))</f>
        <v/>
      </c>
      <c r="B7962" s="9" t="str">
        <f>IFERROR(INDEX(Input!$L$20:$T$1019,INT((ROW()-9)/9)+1,MOD(ROW()-9,9)+1),"")</f>
        <v/>
      </c>
      <c r="C7962" s="9">
        <f t="shared" si="124"/>
        <v>0</v>
      </c>
    </row>
    <row r="7963" spans="1:3" x14ac:dyDescent="0.2">
      <c r="A7963" s="10" t="str">
        <f>IF(7955&gt;$C$9008,"",INDEX($B$9:$B$9008,MATCH(7955,$C$9:$C$9008,0)))</f>
        <v/>
      </c>
      <c r="B7963" s="9" t="str">
        <f>IFERROR(INDEX(Input!$L$20:$T$1019,INT((ROW()-9)/9)+1,MOD(ROW()-9,9)+1),"")</f>
        <v/>
      </c>
      <c r="C7963" s="9">
        <f t="shared" si="124"/>
        <v>0</v>
      </c>
    </row>
    <row r="7964" spans="1:3" x14ac:dyDescent="0.2">
      <c r="A7964" s="10" t="str">
        <f>IF(7956&gt;$C$9008,"",INDEX($B$9:$B$9008,MATCH(7956,$C$9:$C$9008,0)))</f>
        <v/>
      </c>
      <c r="B7964" s="9" t="str">
        <f>IFERROR(INDEX(Input!$L$20:$T$1019,INT((ROW()-9)/9)+1,MOD(ROW()-9,9)+1),"")</f>
        <v/>
      </c>
      <c r="C7964" s="9">
        <f t="shared" si="124"/>
        <v>0</v>
      </c>
    </row>
    <row r="7965" spans="1:3" x14ac:dyDescent="0.2">
      <c r="A7965" s="10" t="str">
        <f>IF(7957&gt;$C$9008,"",INDEX($B$9:$B$9008,MATCH(7957,$C$9:$C$9008,0)))</f>
        <v/>
      </c>
      <c r="B7965" s="9" t="str">
        <f>IFERROR(INDEX(Input!$L$20:$T$1019,INT((ROW()-9)/9)+1,MOD(ROW()-9,9)+1),"")</f>
        <v/>
      </c>
      <c r="C7965" s="9">
        <f t="shared" si="124"/>
        <v>0</v>
      </c>
    </row>
    <row r="7966" spans="1:3" x14ac:dyDescent="0.2">
      <c r="A7966" s="10" t="str">
        <f>IF(7958&gt;$C$9008,"",INDEX($B$9:$B$9008,MATCH(7958,$C$9:$C$9008,0)))</f>
        <v/>
      </c>
      <c r="B7966" s="9" t="str">
        <f>IFERROR(INDEX(Input!$L$20:$T$1019,INT((ROW()-9)/9)+1,MOD(ROW()-9,9)+1),"")</f>
        <v/>
      </c>
      <c r="C7966" s="9">
        <f t="shared" si="124"/>
        <v>0</v>
      </c>
    </row>
    <row r="7967" spans="1:3" x14ac:dyDescent="0.2">
      <c r="A7967" s="10" t="str">
        <f>IF(7959&gt;$C$9008,"",INDEX($B$9:$B$9008,MATCH(7959,$C$9:$C$9008,0)))</f>
        <v/>
      </c>
      <c r="B7967" s="9" t="str">
        <f>IFERROR(INDEX(Input!$L$20:$T$1019,INT((ROW()-9)/9)+1,MOD(ROW()-9,9)+1),"")</f>
        <v/>
      </c>
      <c r="C7967" s="9">
        <f t="shared" si="124"/>
        <v>0</v>
      </c>
    </row>
    <row r="7968" spans="1:3" x14ac:dyDescent="0.2">
      <c r="A7968" s="10" t="str">
        <f>IF(7960&gt;$C$9008,"",INDEX($B$9:$B$9008,MATCH(7960,$C$9:$C$9008,0)))</f>
        <v/>
      </c>
      <c r="B7968" s="9" t="str">
        <f>IFERROR(INDEX(Input!$L$20:$T$1019,INT((ROW()-9)/9)+1,MOD(ROW()-9,9)+1),"")</f>
        <v/>
      </c>
      <c r="C7968" s="9">
        <f t="shared" si="124"/>
        <v>0</v>
      </c>
    </row>
    <row r="7969" spans="1:3" x14ac:dyDescent="0.2">
      <c r="A7969" s="10" t="str">
        <f>IF(7961&gt;$C$9008,"",INDEX($B$9:$B$9008,MATCH(7961,$C$9:$C$9008,0)))</f>
        <v/>
      </c>
      <c r="B7969" s="9" t="str">
        <f>IFERROR(INDEX(Input!$L$20:$T$1019,INT((ROW()-9)/9)+1,MOD(ROW()-9,9)+1),"")</f>
        <v/>
      </c>
      <c r="C7969" s="9">
        <f t="shared" si="124"/>
        <v>0</v>
      </c>
    </row>
    <row r="7970" spans="1:3" x14ac:dyDescent="0.2">
      <c r="A7970" s="10" t="str">
        <f>IF(7962&gt;$C$9008,"",INDEX($B$9:$B$9008,MATCH(7962,$C$9:$C$9008,0)))</f>
        <v/>
      </c>
      <c r="B7970" s="9" t="str">
        <f>IFERROR(INDEX(Input!$L$20:$T$1019,INT((ROW()-9)/9)+1,MOD(ROW()-9,9)+1),"")</f>
        <v/>
      </c>
      <c r="C7970" s="9">
        <f t="shared" si="124"/>
        <v>0</v>
      </c>
    </row>
    <row r="7971" spans="1:3" x14ac:dyDescent="0.2">
      <c r="A7971" s="10" t="str">
        <f>IF(7963&gt;$C$9008,"",INDEX($B$9:$B$9008,MATCH(7963,$C$9:$C$9008,0)))</f>
        <v/>
      </c>
      <c r="B7971" s="9" t="str">
        <f>IFERROR(INDEX(Input!$L$20:$T$1019,INT((ROW()-9)/9)+1,MOD(ROW()-9,9)+1),"")</f>
        <v/>
      </c>
      <c r="C7971" s="9">
        <f t="shared" si="124"/>
        <v>0</v>
      </c>
    </row>
    <row r="7972" spans="1:3" x14ac:dyDescent="0.2">
      <c r="A7972" s="10" t="str">
        <f>IF(7964&gt;$C$9008,"",INDEX($B$9:$B$9008,MATCH(7964,$C$9:$C$9008,0)))</f>
        <v/>
      </c>
      <c r="B7972" s="9" t="str">
        <f>IFERROR(INDEX(Input!$L$20:$T$1019,INT((ROW()-9)/9)+1,MOD(ROW()-9,9)+1),"")</f>
        <v/>
      </c>
      <c r="C7972" s="9">
        <f t="shared" si="124"/>
        <v>0</v>
      </c>
    </row>
    <row r="7973" spans="1:3" x14ac:dyDescent="0.2">
      <c r="A7973" s="10" t="str">
        <f>IF(7965&gt;$C$9008,"",INDEX($B$9:$B$9008,MATCH(7965,$C$9:$C$9008,0)))</f>
        <v/>
      </c>
      <c r="B7973" s="9" t="str">
        <f>IFERROR(INDEX(Input!$L$20:$T$1019,INT((ROW()-9)/9)+1,MOD(ROW()-9,9)+1),"")</f>
        <v/>
      </c>
      <c r="C7973" s="9">
        <f t="shared" si="124"/>
        <v>0</v>
      </c>
    </row>
    <row r="7974" spans="1:3" x14ac:dyDescent="0.2">
      <c r="A7974" s="10" t="str">
        <f>IF(7966&gt;$C$9008,"",INDEX($B$9:$B$9008,MATCH(7966,$C$9:$C$9008,0)))</f>
        <v/>
      </c>
      <c r="B7974" s="9" t="str">
        <f>IFERROR(INDEX(Input!$L$20:$T$1019,INT((ROW()-9)/9)+1,MOD(ROW()-9,9)+1),"")</f>
        <v/>
      </c>
      <c r="C7974" s="9">
        <f t="shared" si="124"/>
        <v>0</v>
      </c>
    </row>
    <row r="7975" spans="1:3" x14ac:dyDescent="0.2">
      <c r="A7975" s="10" t="str">
        <f>IF(7967&gt;$C$9008,"",INDEX($B$9:$B$9008,MATCH(7967,$C$9:$C$9008,0)))</f>
        <v/>
      </c>
      <c r="B7975" s="9" t="str">
        <f>IFERROR(INDEX(Input!$L$20:$T$1019,INT((ROW()-9)/9)+1,MOD(ROW()-9,9)+1),"")</f>
        <v/>
      </c>
      <c r="C7975" s="9">
        <f t="shared" si="124"/>
        <v>0</v>
      </c>
    </row>
    <row r="7976" spans="1:3" x14ac:dyDescent="0.2">
      <c r="A7976" s="10" t="str">
        <f>IF(7968&gt;$C$9008,"",INDEX($B$9:$B$9008,MATCH(7968,$C$9:$C$9008,0)))</f>
        <v/>
      </c>
      <c r="B7976" s="9" t="str">
        <f>IFERROR(INDEX(Input!$L$20:$T$1019,INT((ROW()-9)/9)+1,MOD(ROW()-9,9)+1),"")</f>
        <v/>
      </c>
      <c r="C7976" s="9">
        <f t="shared" si="124"/>
        <v>0</v>
      </c>
    </row>
    <row r="7977" spans="1:3" x14ac:dyDescent="0.2">
      <c r="A7977" s="10" t="str">
        <f>IF(7969&gt;$C$9008,"",INDEX($B$9:$B$9008,MATCH(7969,$C$9:$C$9008,0)))</f>
        <v/>
      </c>
      <c r="B7977" s="9" t="str">
        <f>IFERROR(INDEX(Input!$L$20:$T$1019,INT((ROW()-9)/9)+1,MOD(ROW()-9,9)+1),"")</f>
        <v/>
      </c>
      <c r="C7977" s="9">
        <f t="shared" si="124"/>
        <v>0</v>
      </c>
    </row>
    <row r="7978" spans="1:3" x14ac:dyDescent="0.2">
      <c r="A7978" s="10" t="str">
        <f>IF(7970&gt;$C$9008,"",INDEX($B$9:$B$9008,MATCH(7970,$C$9:$C$9008,0)))</f>
        <v/>
      </c>
      <c r="B7978" s="9" t="str">
        <f>IFERROR(INDEX(Input!$L$20:$T$1019,INT((ROW()-9)/9)+1,MOD(ROW()-9,9)+1),"")</f>
        <v/>
      </c>
      <c r="C7978" s="9">
        <f t="shared" si="124"/>
        <v>0</v>
      </c>
    </row>
    <row r="7979" spans="1:3" x14ac:dyDescent="0.2">
      <c r="A7979" s="10" t="str">
        <f>IF(7971&gt;$C$9008,"",INDEX($B$9:$B$9008,MATCH(7971,$C$9:$C$9008,0)))</f>
        <v/>
      </c>
      <c r="B7979" s="9" t="str">
        <f>IFERROR(INDEX(Input!$L$20:$T$1019,INT((ROW()-9)/9)+1,MOD(ROW()-9,9)+1),"")</f>
        <v/>
      </c>
      <c r="C7979" s="9">
        <f t="shared" si="124"/>
        <v>0</v>
      </c>
    </row>
    <row r="7980" spans="1:3" x14ac:dyDescent="0.2">
      <c r="A7980" s="10" t="str">
        <f>IF(7972&gt;$C$9008,"",INDEX($B$9:$B$9008,MATCH(7972,$C$9:$C$9008,0)))</f>
        <v/>
      </c>
      <c r="B7980" s="9" t="str">
        <f>IFERROR(INDEX(Input!$L$20:$T$1019,INT((ROW()-9)/9)+1,MOD(ROW()-9,9)+1),"")</f>
        <v/>
      </c>
      <c r="C7980" s="9">
        <f t="shared" si="124"/>
        <v>0</v>
      </c>
    </row>
    <row r="7981" spans="1:3" x14ac:dyDescent="0.2">
      <c r="A7981" s="10" t="str">
        <f>IF(7973&gt;$C$9008,"",INDEX($B$9:$B$9008,MATCH(7973,$C$9:$C$9008,0)))</f>
        <v/>
      </c>
      <c r="B7981" s="9" t="str">
        <f>IFERROR(INDEX(Input!$L$20:$T$1019,INT((ROW()-9)/9)+1,MOD(ROW()-9,9)+1),"")</f>
        <v/>
      </c>
      <c r="C7981" s="9">
        <f t="shared" si="124"/>
        <v>0</v>
      </c>
    </row>
    <row r="7982" spans="1:3" x14ac:dyDescent="0.2">
      <c r="A7982" s="10" t="str">
        <f>IF(7974&gt;$C$9008,"",INDEX($B$9:$B$9008,MATCH(7974,$C$9:$C$9008,0)))</f>
        <v/>
      </c>
      <c r="B7982" s="9" t="str">
        <f>IFERROR(INDEX(Input!$L$20:$T$1019,INT((ROW()-9)/9)+1,MOD(ROW()-9,9)+1),"")</f>
        <v/>
      </c>
      <c r="C7982" s="9">
        <f t="shared" si="124"/>
        <v>0</v>
      </c>
    </row>
    <row r="7983" spans="1:3" x14ac:dyDescent="0.2">
      <c r="A7983" s="10" t="str">
        <f>IF(7975&gt;$C$9008,"",INDEX($B$9:$B$9008,MATCH(7975,$C$9:$C$9008,0)))</f>
        <v/>
      </c>
      <c r="B7983" s="9" t="str">
        <f>IFERROR(INDEX(Input!$L$20:$T$1019,INT((ROW()-9)/9)+1,MOD(ROW()-9,9)+1),"")</f>
        <v/>
      </c>
      <c r="C7983" s="9">
        <f t="shared" si="124"/>
        <v>0</v>
      </c>
    </row>
    <row r="7984" spans="1:3" x14ac:dyDescent="0.2">
      <c r="A7984" s="10" t="str">
        <f>IF(7976&gt;$C$9008,"",INDEX($B$9:$B$9008,MATCH(7976,$C$9:$C$9008,0)))</f>
        <v/>
      </c>
      <c r="B7984" s="9" t="str">
        <f>IFERROR(INDEX(Input!$L$20:$T$1019,INT((ROW()-9)/9)+1,MOD(ROW()-9,9)+1),"")</f>
        <v/>
      </c>
      <c r="C7984" s="9">
        <f t="shared" si="124"/>
        <v>0</v>
      </c>
    </row>
    <row r="7985" spans="1:3" x14ac:dyDescent="0.2">
      <c r="A7985" s="10" t="str">
        <f>IF(7977&gt;$C$9008,"",INDEX($B$9:$B$9008,MATCH(7977,$C$9:$C$9008,0)))</f>
        <v/>
      </c>
      <c r="B7985" s="9" t="str">
        <f>IFERROR(INDEX(Input!$L$20:$T$1019,INT((ROW()-9)/9)+1,MOD(ROW()-9,9)+1),"")</f>
        <v/>
      </c>
      <c r="C7985" s="9">
        <f t="shared" si="124"/>
        <v>0</v>
      </c>
    </row>
    <row r="7986" spans="1:3" x14ac:dyDescent="0.2">
      <c r="A7986" s="10" t="str">
        <f>IF(7978&gt;$C$9008,"",INDEX($B$9:$B$9008,MATCH(7978,$C$9:$C$9008,0)))</f>
        <v/>
      </c>
      <c r="B7986" s="9" t="str">
        <f>IFERROR(INDEX(Input!$L$20:$T$1019,INT((ROW()-9)/9)+1,MOD(ROW()-9,9)+1),"")</f>
        <v/>
      </c>
      <c r="C7986" s="9">
        <f t="shared" si="124"/>
        <v>0</v>
      </c>
    </row>
    <row r="7987" spans="1:3" x14ac:dyDescent="0.2">
      <c r="A7987" s="10" t="str">
        <f>IF(7979&gt;$C$9008,"",INDEX($B$9:$B$9008,MATCH(7979,$C$9:$C$9008,0)))</f>
        <v/>
      </c>
      <c r="B7987" s="9" t="str">
        <f>IFERROR(INDEX(Input!$L$20:$T$1019,INT((ROW()-9)/9)+1,MOD(ROW()-9,9)+1),"")</f>
        <v/>
      </c>
      <c r="C7987" s="9">
        <f t="shared" si="124"/>
        <v>0</v>
      </c>
    </row>
    <row r="7988" spans="1:3" x14ac:dyDescent="0.2">
      <c r="A7988" s="10" t="str">
        <f>IF(7980&gt;$C$9008,"",INDEX($B$9:$B$9008,MATCH(7980,$C$9:$C$9008,0)))</f>
        <v/>
      </c>
      <c r="B7988" s="9" t="str">
        <f>IFERROR(INDEX(Input!$L$20:$T$1019,INT((ROW()-9)/9)+1,MOD(ROW()-9,9)+1),"")</f>
        <v/>
      </c>
      <c r="C7988" s="9">
        <f t="shared" si="124"/>
        <v>0</v>
      </c>
    </row>
    <row r="7989" spans="1:3" x14ac:dyDescent="0.2">
      <c r="A7989" s="10" t="str">
        <f>IF(7981&gt;$C$9008,"",INDEX($B$9:$B$9008,MATCH(7981,$C$9:$C$9008,0)))</f>
        <v/>
      </c>
      <c r="B7989" s="9" t="str">
        <f>IFERROR(INDEX(Input!$L$20:$T$1019,INT((ROW()-9)/9)+1,MOD(ROW()-9,9)+1),"")</f>
        <v/>
      </c>
      <c r="C7989" s="9">
        <f t="shared" si="124"/>
        <v>0</v>
      </c>
    </row>
    <row r="7990" spans="1:3" x14ac:dyDescent="0.2">
      <c r="A7990" s="10" t="str">
        <f>IF(7982&gt;$C$9008,"",INDEX($B$9:$B$9008,MATCH(7982,$C$9:$C$9008,0)))</f>
        <v/>
      </c>
      <c r="B7990" s="9" t="str">
        <f>IFERROR(INDEX(Input!$L$20:$T$1019,INT((ROW()-9)/9)+1,MOD(ROW()-9,9)+1),"")</f>
        <v/>
      </c>
      <c r="C7990" s="9">
        <f t="shared" si="124"/>
        <v>0</v>
      </c>
    </row>
    <row r="7991" spans="1:3" x14ac:dyDescent="0.2">
      <c r="A7991" s="10" t="str">
        <f>IF(7983&gt;$C$9008,"",INDEX($B$9:$B$9008,MATCH(7983,$C$9:$C$9008,0)))</f>
        <v/>
      </c>
      <c r="B7991" s="9" t="str">
        <f>IFERROR(INDEX(Input!$L$20:$T$1019,INT((ROW()-9)/9)+1,MOD(ROW()-9,9)+1),"")</f>
        <v/>
      </c>
      <c r="C7991" s="9">
        <f t="shared" si="124"/>
        <v>0</v>
      </c>
    </row>
    <row r="7992" spans="1:3" x14ac:dyDescent="0.2">
      <c r="A7992" s="10" t="str">
        <f>IF(7984&gt;$C$9008,"",INDEX($B$9:$B$9008,MATCH(7984,$C$9:$C$9008,0)))</f>
        <v/>
      </c>
      <c r="B7992" s="9" t="str">
        <f>IFERROR(INDEX(Input!$L$20:$T$1019,INT((ROW()-9)/9)+1,MOD(ROW()-9,9)+1),"")</f>
        <v/>
      </c>
      <c r="C7992" s="9">
        <f t="shared" si="124"/>
        <v>0</v>
      </c>
    </row>
    <row r="7993" spans="1:3" x14ac:dyDescent="0.2">
      <c r="A7993" s="10" t="str">
        <f>IF(7985&gt;$C$9008,"",INDEX($B$9:$B$9008,MATCH(7985,$C$9:$C$9008,0)))</f>
        <v/>
      </c>
      <c r="B7993" s="9" t="str">
        <f>IFERROR(INDEX(Input!$L$20:$T$1019,INT((ROW()-9)/9)+1,MOD(ROW()-9,9)+1),"")</f>
        <v/>
      </c>
      <c r="C7993" s="9">
        <f t="shared" si="124"/>
        <v>0</v>
      </c>
    </row>
    <row r="7994" spans="1:3" x14ac:dyDescent="0.2">
      <c r="A7994" s="10" t="str">
        <f>IF(7986&gt;$C$9008,"",INDEX($B$9:$B$9008,MATCH(7986,$C$9:$C$9008,0)))</f>
        <v/>
      </c>
      <c r="B7994" s="9" t="str">
        <f>IFERROR(INDEX(Input!$L$20:$T$1019,INT((ROW()-9)/9)+1,MOD(ROW()-9,9)+1),"")</f>
        <v/>
      </c>
      <c r="C7994" s="9">
        <f t="shared" si="124"/>
        <v>0</v>
      </c>
    </row>
    <row r="7995" spans="1:3" x14ac:dyDescent="0.2">
      <c r="A7995" s="10" t="str">
        <f>IF(7987&gt;$C$9008,"",INDEX($B$9:$B$9008,MATCH(7987,$C$9:$C$9008,0)))</f>
        <v/>
      </c>
      <c r="B7995" s="9" t="str">
        <f>IFERROR(INDEX(Input!$L$20:$T$1019,INT((ROW()-9)/9)+1,MOD(ROW()-9,9)+1),"")</f>
        <v/>
      </c>
      <c r="C7995" s="9">
        <f t="shared" si="124"/>
        <v>0</v>
      </c>
    </row>
    <row r="7996" spans="1:3" x14ac:dyDescent="0.2">
      <c r="A7996" s="10" t="str">
        <f>IF(7988&gt;$C$9008,"",INDEX($B$9:$B$9008,MATCH(7988,$C$9:$C$9008,0)))</f>
        <v/>
      </c>
      <c r="B7996" s="9" t="str">
        <f>IFERROR(INDEX(Input!$L$20:$T$1019,INT((ROW()-9)/9)+1,MOD(ROW()-9,9)+1),"")</f>
        <v/>
      </c>
      <c r="C7996" s="9">
        <f t="shared" si="124"/>
        <v>0</v>
      </c>
    </row>
    <row r="7997" spans="1:3" x14ac:dyDescent="0.2">
      <c r="A7997" s="10" t="str">
        <f>IF(7989&gt;$C$9008,"",INDEX($B$9:$B$9008,MATCH(7989,$C$9:$C$9008,0)))</f>
        <v/>
      </c>
      <c r="B7997" s="9" t="str">
        <f>IFERROR(INDEX(Input!$L$20:$T$1019,INT((ROW()-9)/9)+1,MOD(ROW()-9,9)+1),"")</f>
        <v/>
      </c>
      <c r="C7997" s="9">
        <f t="shared" si="124"/>
        <v>0</v>
      </c>
    </row>
    <row r="7998" spans="1:3" x14ac:dyDescent="0.2">
      <c r="A7998" s="10" t="str">
        <f>IF(7990&gt;$C$9008,"",INDEX($B$9:$B$9008,MATCH(7990,$C$9:$C$9008,0)))</f>
        <v/>
      </c>
      <c r="B7998" s="9" t="str">
        <f>IFERROR(INDEX(Input!$L$20:$T$1019,INT((ROW()-9)/9)+1,MOD(ROW()-9,9)+1),"")</f>
        <v/>
      </c>
      <c r="C7998" s="9">
        <f t="shared" si="124"/>
        <v>0</v>
      </c>
    </row>
    <row r="7999" spans="1:3" x14ac:dyDescent="0.2">
      <c r="A7999" s="10" t="str">
        <f>IF(7991&gt;$C$9008,"",INDEX($B$9:$B$9008,MATCH(7991,$C$9:$C$9008,0)))</f>
        <v/>
      </c>
      <c r="B7999" s="9" t="str">
        <f>IFERROR(INDEX(Input!$L$20:$T$1019,INT((ROW()-9)/9)+1,MOD(ROW()-9,9)+1),"")</f>
        <v/>
      </c>
      <c r="C7999" s="9">
        <f t="shared" si="124"/>
        <v>0</v>
      </c>
    </row>
    <row r="8000" spans="1:3" x14ac:dyDescent="0.2">
      <c r="A8000" s="10" t="str">
        <f>IF(7992&gt;$C$9008,"",INDEX($B$9:$B$9008,MATCH(7992,$C$9:$C$9008,0)))</f>
        <v/>
      </c>
      <c r="B8000" s="9" t="str">
        <f>IFERROR(INDEX(Input!$L$20:$T$1019,INT((ROW()-9)/9)+1,MOD(ROW()-9,9)+1),"")</f>
        <v/>
      </c>
      <c r="C8000" s="9">
        <f t="shared" si="124"/>
        <v>0</v>
      </c>
    </row>
    <row r="8001" spans="1:3" x14ac:dyDescent="0.2">
      <c r="A8001" s="10" t="str">
        <f>IF(7993&gt;$C$9008,"",INDEX($B$9:$B$9008,MATCH(7993,$C$9:$C$9008,0)))</f>
        <v/>
      </c>
      <c r="B8001" s="9" t="str">
        <f>IFERROR(INDEX(Input!$L$20:$T$1019,INT((ROW()-9)/9)+1,MOD(ROW()-9,9)+1),"")</f>
        <v/>
      </c>
      <c r="C8001" s="9">
        <f t="shared" si="124"/>
        <v>0</v>
      </c>
    </row>
    <row r="8002" spans="1:3" x14ac:dyDescent="0.2">
      <c r="A8002" s="10" t="str">
        <f>IF(7994&gt;$C$9008,"",INDEX($B$9:$B$9008,MATCH(7994,$C$9:$C$9008,0)))</f>
        <v/>
      </c>
      <c r="B8002" s="9" t="str">
        <f>IFERROR(INDEX(Input!$L$20:$T$1019,INT((ROW()-9)/9)+1,MOD(ROW()-9,9)+1),"")</f>
        <v/>
      </c>
      <c r="C8002" s="9">
        <f t="shared" si="124"/>
        <v>0</v>
      </c>
    </row>
    <row r="8003" spans="1:3" x14ac:dyDescent="0.2">
      <c r="A8003" s="10" t="str">
        <f>IF(7995&gt;$C$9008,"",INDEX($B$9:$B$9008,MATCH(7995,$C$9:$C$9008,0)))</f>
        <v/>
      </c>
      <c r="B8003" s="9" t="str">
        <f>IFERROR(INDEX(Input!$L$20:$T$1019,INT((ROW()-9)/9)+1,MOD(ROW()-9,9)+1),"")</f>
        <v/>
      </c>
      <c r="C8003" s="9">
        <f t="shared" si="124"/>
        <v>0</v>
      </c>
    </row>
    <row r="8004" spans="1:3" x14ac:dyDescent="0.2">
      <c r="A8004" s="10" t="str">
        <f>IF(7996&gt;$C$9008,"",INDEX($B$9:$B$9008,MATCH(7996,$C$9:$C$9008,0)))</f>
        <v/>
      </c>
      <c r="B8004" s="9" t="str">
        <f>IFERROR(INDEX(Input!$L$20:$T$1019,INT((ROW()-9)/9)+1,MOD(ROW()-9,9)+1),"")</f>
        <v/>
      </c>
      <c r="C8004" s="9">
        <f t="shared" si="124"/>
        <v>0</v>
      </c>
    </row>
    <row r="8005" spans="1:3" x14ac:dyDescent="0.2">
      <c r="A8005" s="10" t="str">
        <f>IF(7997&gt;$C$9008,"",INDEX($B$9:$B$9008,MATCH(7997,$C$9:$C$9008,0)))</f>
        <v/>
      </c>
      <c r="B8005" s="9" t="str">
        <f>IFERROR(INDEX(Input!$L$20:$T$1019,INT((ROW()-9)/9)+1,MOD(ROW()-9,9)+1),"")</f>
        <v/>
      </c>
      <c r="C8005" s="9">
        <f t="shared" si="124"/>
        <v>0</v>
      </c>
    </row>
    <row r="8006" spans="1:3" x14ac:dyDescent="0.2">
      <c r="A8006" s="10" t="str">
        <f>IF(7998&gt;$C$9008,"",INDEX($B$9:$B$9008,MATCH(7998,$C$9:$C$9008,0)))</f>
        <v/>
      </c>
      <c r="B8006" s="9" t="str">
        <f>IFERROR(INDEX(Input!$L$20:$T$1019,INT((ROW()-9)/9)+1,MOD(ROW()-9,9)+1),"")</f>
        <v/>
      </c>
      <c r="C8006" s="9">
        <f t="shared" si="124"/>
        <v>0</v>
      </c>
    </row>
    <row r="8007" spans="1:3" x14ac:dyDescent="0.2">
      <c r="A8007" s="10" t="str">
        <f>IF(7999&gt;$C$9008,"",INDEX($B$9:$B$9008,MATCH(7999,$C$9:$C$9008,0)))</f>
        <v/>
      </c>
      <c r="B8007" s="9" t="str">
        <f>IFERROR(INDEX(Input!$L$20:$T$1019,INT((ROW()-9)/9)+1,MOD(ROW()-9,9)+1),"")</f>
        <v/>
      </c>
      <c r="C8007" s="9">
        <f t="shared" si="124"/>
        <v>0</v>
      </c>
    </row>
    <row r="8008" spans="1:3" x14ac:dyDescent="0.2">
      <c r="A8008" s="10" t="str">
        <f>IF(8000&gt;$C$9008,"",INDEX($B$9:$B$9008,MATCH(8000,$C$9:$C$9008,0)))</f>
        <v/>
      </c>
      <c r="B8008" s="9" t="str">
        <f>IFERROR(INDEX(Input!$L$20:$T$1019,INT((ROW()-9)/9)+1,MOD(ROW()-9,9)+1),"")</f>
        <v/>
      </c>
      <c r="C8008" s="9">
        <f t="shared" si="124"/>
        <v>0</v>
      </c>
    </row>
    <row r="8009" spans="1:3" x14ac:dyDescent="0.2">
      <c r="A8009" s="10" t="str">
        <f>IF(8001&gt;$C$9008,"",INDEX($B$9:$B$9008,MATCH(8001,$C$9:$C$9008,0)))</f>
        <v/>
      </c>
      <c r="B8009" s="9" t="str">
        <f>IFERROR(INDEX(Input!$L$20:$T$1019,INT((ROW()-9)/9)+1,MOD(ROW()-9,9)+1),"")</f>
        <v/>
      </c>
      <c r="C8009" s="9">
        <f t="shared" ref="C8009:C8072" si="125">$C8008+IF($B8009&lt;&gt;"",1,0)</f>
        <v>0</v>
      </c>
    </row>
    <row r="8010" spans="1:3" x14ac:dyDescent="0.2">
      <c r="A8010" s="10" t="str">
        <f>IF(8002&gt;$C$9008,"",INDEX($B$9:$B$9008,MATCH(8002,$C$9:$C$9008,0)))</f>
        <v/>
      </c>
      <c r="B8010" s="9" t="str">
        <f>IFERROR(INDEX(Input!$L$20:$T$1019,INT((ROW()-9)/9)+1,MOD(ROW()-9,9)+1),"")</f>
        <v/>
      </c>
      <c r="C8010" s="9">
        <f t="shared" si="125"/>
        <v>0</v>
      </c>
    </row>
    <row r="8011" spans="1:3" x14ac:dyDescent="0.2">
      <c r="A8011" s="10" t="str">
        <f>IF(8003&gt;$C$9008,"",INDEX($B$9:$B$9008,MATCH(8003,$C$9:$C$9008,0)))</f>
        <v/>
      </c>
      <c r="B8011" s="9" t="str">
        <f>IFERROR(INDEX(Input!$L$20:$T$1019,INT((ROW()-9)/9)+1,MOD(ROW()-9,9)+1),"")</f>
        <v/>
      </c>
      <c r="C8011" s="9">
        <f t="shared" si="125"/>
        <v>0</v>
      </c>
    </row>
    <row r="8012" spans="1:3" x14ac:dyDescent="0.2">
      <c r="A8012" s="10" t="str">
        <f>IF(8004&gt;$C$9008,"",INDEX($B$9:$B$9008,MATCH(8004,$C$9:$C$9008,0)))</f>
        <v/>
      </c>
      <c r="B8012" s="9" t="str">
        <f>IFERROR(INDEX(Input!$L$20:$T$1019,INT((ROW()-9)/9)+1,MOD(ROW()-9,9)+1),"")</f>
        <v/>
      </c>
      <c r="C8012" s="9">
        <f t="shared" si="125"/>
        <v>0</v>
      </c>
    </row>
    <row r="8013" spans="1:3" x14ac:dyDescent="0.2">
      <c r="A8013" s="10" t="str">
        <f>IF(8005&gt;$C$9008,"",INDEX($B$9:$B$9008,MATCH(8005,$C$9:$C$9008,0)))</f>
        <v/>
      </c>
      <c r="B8013" s="9" t="str">
        <f>IFERROR(INDEX(Input!$L$20:$T$1019,INT((ROW()-9)/9)+1,MOD(ROW()-9,9)+1),"")</f>
        <v/>
      </c>
      <c r="C8013" s="9">
        <f t="shared" si="125"/>
        <v>0</v>
      </c>
    </row>
    <row r="8014" spans="1:3" x14ac:dyDescent="0.2">
      <c r="A8014" s="10" t="str">
        <f>IF(8006&gt;$C$9008,"",INDEX($B$9:$B$9008,MATCH(8006,$C$9:$C$9008,0)))</f>
        <v/>
      </c>
      <c r="B8014" s="9" t="str">
        <f>IFERROR(INDEX(Input!$L$20:$T$1019,INT((ROW()-9)/9)+1,MOD(ROW()-9,9)+1),"")</f>
        <v/>
      </c>
      <c r="C8014" s="9">
        <f t="shared" si="125"/>
        <v>0</v>
      </c>
    </row>
    <row r="8015" spans="1:3" x14ac:dyDescent="0.2">
      <c r="A8015" s="10" t="str">
        <f>IF(8007&gt;$C$9008,"",INDEX($B$9:$B$9008,MATCH(8007,$C$9:$C$9008,0)))</f>
        <v/>
      </c>
      <c r="B8015" s="9" t="str">
        <f>IFERROR(INDEX(Input!$L$20:$T$1019,INT((ROW()-9)/9)+1,MOD(ROW()-9,9)+1),"")</f>
        <v/>
      </c>
      <c r="C8015" s="9">
        <f t="shared" si="125"/>
        <v>0</v>
      </c>
    </row>
    <row r="8016" spans="1:3" x14ac:dyDescent="0.2">
      <c r="A8016" s="10" t="str">
        <f>IF(8008&gt;$C$9008,"",INDEX($B$9:$B$9008,MATCH(8008,$C$9:$C$9008,0)))</f>
        <v/>
      </c>
      <c r="B8016" s="9" t="str">
        <f>IFERROR(INDEX(Input!$L$20:$T$1019,INT((ROW()-9)/9)+1,MOD(ROW()-9,9)+1),"")</f>
        <v/>
      </c>
      <c r="C8016" s="9">
        <f t="shared" si="125"/>
        <v>0</v>
      </c>
    </row>
    <row r="8017" spans="1:3" x14ac:dyDescent="0.2">
      <c r="A8017" s="10" t="str">
        <f>IF(8009&gt;$C$9008,"",INDEX($B$9:$B$9008,MATCH(8009,$C$9:$C$9008,0)))</f>
        <v/>
      </c>
      <c r="B8017" s="9" t="str">
        <f>IFERROR(INDEX(Input!$L$20:$T$1019,INT((ROW()-9)/9)+1,MOD(ROW()-9,9)+1),"")</f>
        <v/>
      </c>
      <c r="C8017" s="9">
        <f t="shared" si="125"/>
        <v>0</v>
      </c>
    </row>
    <row r="8018" spans="1:3" x14ac:dyDescent="0.2">
      <c r="A8018" s="10" t="str">
        <f>IF(8010&gt;$C$9008,"",INDEX($B$9:$B$9008,MATCH(8010,$C$9:$C$9008,0)))</f>
        <v/>
      </c>
      <c r="B8018" s="9" t="str">
        <f>IFERROR(INDEX(Input!$L$20:$T$1019,INT((ROW()-9)/9)+1,MOD(ROW()-9,9)+1),"")</f>
        <v/>
      </c>
      <c r="C8018" s="9">
        <f t="shared" si="125"/>
        <v>0</v>
      </c>
    </row>
    <row r="8019" spans="1:3" x14ac:dyDescent="0.2">
      <c r="A8019" s="10" t="str">
        <f>IF(8011&gt;$C$9008,"",INDEX($B$9:$B$9008,MATCH(8011,$C$9:$C$9008,0)))</f>
        <v/>
      </c>
      <c r="B8019" s="9" t="str">
        <f>IFERROR(INDEX(Input!$L$20:$T$1019,INT((ROW()-9)/9)+1,MOD(ROW()-9,9)+1),"")</f>
        <v/>
      </c>
      <c r="C8019" s="9">
        <f t="shared" si="125"/>
        <v>0</v>
      </c>
    </row>
    <row r="8020" spans="1:3" x14ac:dyDescent="0.2">
      <c r="A8020" s="10" t="str">
        <f>IF(8012&gt;$C$9008,"",INDEX($B$9:$B$9008,MATCH(8012,$C$9:$C$9008,0)))</f>
        <v/>
      </c>
      <c r="B8020" s="9" t="str">
        <f>IFERROR(INDEX(Input!$L$20:$T$1019,INT((ROW()-9)/9)+1,MOD(ROW()-9,9)+1),"")</f>
        <v/>
      </c>
      <c r="C8020" s="9">
        <f t="shared" si="125"/>
        <v>0</v>
      </c>
    </row>
    <row r="8021" spans="1:3" x14ac:dyDescent="0.2">
      <c r="A8021" s="10" t="str">
        <f>IF(8013&gt;$C$9008,"",INDEX($B$9:$B$9008,MATCH(8013,$C$9:$C$9008,0)))</f>
        <v/>
      </c>
      <c r="B8021" s="9" t="str">
        <f>IFERROR(INDEX(Input!$L$20:$T$1019,INT((ROW()-9)/9)+1,MOD(ROW()-9,9)+1),"")</f>
        <v/>
      </c>
      <c r="C8021" s="9">
        <f t="shared" si="125"/>
        <v>0</v>
      </c>
    </row>
    <row r="8022" spans="1:3" x14ac:dyDescent="0.2">
      <c r="A8022" s="10" t="str">
        <f>IF(8014&gt;$C$9008,"",INDEX($B$9:$B$9008,MATCH(8014,$C$9:$C$9008,0)))</f>
        <v/>
      </c>
      <c r="B8022" s="9" t="str">
        <f>IFERROR(INDEX(Input!$L$20:$T$1019,INT((ROW()-9)/9)+1,MOD(ROW()-9,9)+1),"")</f>
        <v/>
      </c>
      <c r="C8022" s="9">
        <f t="shared" si="125"/>
        <v>0</v>
      </c>
    </row>
    <row r="8023" spans="1:3" x14ac:dyDescent="0.2">
      <c r="A8023" s="10" t="str">
        <f>IF(8015&gt;$C$9008,"",INDEX($B$9:$B$9008,MATCH(8015,$C$9:$C$9008,0)))</f>
        <v/>
      </c>
      <c r="B8023" s="9" t="str">
        <f>IFERROR(INDEX(Input!$L$20:$T$1019,INT((ROW()-9)/9)+1,MOD(ROW()-9,9)+1),"")</f>
        <v/>
      </c>
      <c r="C8023" s="9">
        <f t="shared" si="125"/>
        <v>0</v>
      </c>
    </row>
    <row r="8024" spans="1:3" x14ac:dyDescent="0.2">
      <c r="A8024" s="10" t="str">
        <f>IF(8016&gt;$C$9008,"",INDEX($B$9:$B$9008,MATCH(8016,$C$9:$C$9008,0)))</f>
        <v/>
      </c>
      <c r="B8024" s="9" t="str">
        <f>IFERROR(INDEX(Input!$L$20:$T$1019,INT((ROW()-9)/9)+1,MOD(ROW()-9,9)+1),"")</f>
        <v/>
      </c>
      <c r="C8024" s="9">
        <f t="shared" si="125"/>
        <v>0</v>
      </c>
    </row>
    <row r="8025" spans="1:3" x14ac:dyDescent="0.2">
      <c r="A8025" s="10" t="str">
        <f>IF(8017&gt;$C$9008,"",INDEX($B$9:$B$9008,MATCH(8017,$C$9:$C$9008,0)))</f>
        <v/>
      </c>
      <c r="B8025" s="9" t="str">
        <f>IFERROR(INDEX(Input!$L$20:$T$1019,INT((ROW()-9)/9)+1,MOD(ROW()-9,9)+1),"")</f>
        <v/>
      </c>
      <c r="C8025" s="9">
        <f t="shared" si="125"/>
        <v>0</v>
      </c>
    </row>
    <row r="8026" spans="1:3" x14ac:dyDescent="0.2">
      <c r="A8026" s="10" t="str">
        <f>IF(8018&gt;$C$9008,"",INDEX($B$9:$B$9008,MATCH(8018,$C$9:$C$9008,0)))</f>
        <v/>
      </c>
      <c r="B8026" s="9" t="str">
        <f>IFERROR(INDEX(Input!$L$20:$T$1019,INT((ROW()-9)/9)+1,MOD(ROW()-9,9)+1),"")</f>
        <v/>
      </c>
      <c r="C8026" s="9">
        <f t="shared" si="125"/>
        <v>0</v>
      </c>
    </row>
    <row r="8027" spans="1:3" x14ac:dyDescent="0.2">
      <c r="A8027" s="10" t="str">
        <f>IF(8019&gt;$C$9008,"",INDEX($B$9:$B$9008,MATCH(8019,$C$9:$C$9008,0)))</f>
        <v/>
      </c>
      <c r="B8027" s="9" t="str">
        <f>IFERROR(INDEX(Input!$L$20:$T$1019,INT((ROW()-9)/9)+1,MOD(ROW()-9,9)+1),"")</f>
        <v/>
      </c>
      <c r="C8027" s="9">
        <f t="shared" si="125"/>
        <v>0</v>
      </c>
    </row>
    <row r="8028" spans="1:3" x14ac:dyDescent="0.2">
      <c r="A8028" s="10" t="str">
        <f>IF(8020&gt;$C$9008,"",INDEX($B$9:$B$9008,MATCH(8020,$C$9:$C$9008,0)))</f>
        <v/>
      </c>
      <c r="B8028" s="9" t="str">
        <f>IFERROR(INDEX(Input!$L$20:$T$1019,INT((ROW()-9)/9)+1,MOD(ROW()-9,9)+1),"")</f>
        <v/>
      </c>
      <c r="C8028" s="9">
        <f t="shared" si="125"/>
        <v>0</v>
      </c>
    </row>
    <row r="8029" spans="1:3" x14ac:dyDescent="0.2">
      <c r="A8029" s="10" t="str">
        <f>IF(8021&gt;$C$9008,"",INDEX($B$9:$B$9008,MATCH(8021,$C$9:$C$9008,0)))</f>
        <v/>
      </c>
      <c r="B8029" s="9" t="str">
        <f>IFERROR(INDEX(Input!$L$20:$T$1019,INT((ROW()-9)/9)+1,MOD(ROW()-9,9)+1),"")</f>
        <v/>
      </c>
      <c r="C8029" s="9">
        <f t="shared" si="125"/>
        <v>0</v>
      </c>
    </row>
    <row r="8030" spans="1:3" x14ac:dyDescent="0.2">
      <c r="A8030" s="10" t="str">
        <f>IF(8022&gt;$C$9008,"",INDEX($B$9:$B$9008,MATCH(8022,$C$9:$C$9008,0)))</f>
        <v/>
      </c>
      <c r="B8030" s="9" t="str">
        <f>IFERROR(INDEX(Input!$L$20:$T$1019,INT((ROW()-9)/9)+1,MOD(ROW()-9,9)+1),"")</f>
        <v/>
      </c>
      <c r="C8030" s="9">
        <f t="shared" si="125"/>
        <v>0</v>
      </c>
    </row>
    <row r="8031" spans="1:3" x14ac:dyDescent="0.2">
      <c r="A8031" s="10" t="str">
        <f>IF(8023&gt;$C$9008,"",INDEX($B$9:$B$9008,MATCH(8023,$C$9:$C$9008,0)))</f>
        <v/>
      </c>
      <c r="B8031" s="9" t="str">
        <f>IFERROR(INDEX(Input!$L$20:$T$1019,INT((ROW()-9)/9)+1,MOD(ROW()-9,9)+1),"")</f>
        <v/>
      </c>
      <c r="C8031" s="9">
        <f t="shared" si="125"/>
        <v>0</v>
      </c>
    </row>
    <row r="8032" spans="1:3" x14ac:dyDescent="0.2">
      <c r="A8032" s="10" t="str">
        <f>IF(8024&gt;$C$9008,"",INDEX($B$9:$B$9008,MATCH(8024,$C$9:$C$9008,0)))</f>
        <v/>
      </c>
      <c r="B8032" s="9" t="str">
        <f>IFERROR(INDEX(Input!$L$20:$T$1019,INT((ROW()-9)/9)+1,MOD(ROW()-9,9)+1),"")</f>
        <v/>
      </c>
      <c r="C8032" s="9">
        <f t="shared" si="125"/>
        <v>0</v>
      </c>
    </row>
    <row r="8033" spans="1:3" x14ac:dyDescent="0.2">
      <c r="A8033" s="10" t="str">
        <f>IF(8025&gt;$C$9008,"",INDEX($B$9:$B$9008,MATCH(8025,$C$9:$C$9008,0)))</f>
        <v/>
      </c>
      <c r="B8033" s="9" t="str">
        <f>IFERROR(INDEX(Input!$L$20:$T$1019,INT((ROW()-9)/9)+1,MOD(ROW()-9,9)+1),"")</f>
        <v/>
      </c>
      <c r="C8033" s="9">
        <f t="shared" si="125"/>
        <v>0</v>
      </c>
    </row>
    <row r="8034" spans="1:3" x14ac:dyDescent="0.2">
      <c r="A8034" s="10" t="str">
        <f>IF(8026&gt;$C$9008,"",INDEX($B$9:$B$9008,MATCH(8026,$C$9:$C$9008,0)))</f>
        <v/>
      </c>
      <c r="B8034" s="9" t="str">
        <f>IFERROR(INDEX(Input!$L$20:$T$1019,INT((ROW()-9)/9)+1,MOD(ROW()-9,9)+1),"")</f>
        <v/>
      </c>
      <c r="C8034" s="9">
        <f t="shared" si="125"/>
        <v>0</v>
      </c>
    </row>
    <row r="8035" spans="1:3" x14ac:dyDescent="0.2">
      <c r="A8035" s="10" t="str">
        <f>IF(8027&gt;$C$9008,"",INDEX($B$9:$B$9008,MATCH(8027,$C$9:$C$9008,0)))</f>
        <v/>
      </c>
      <c r="B8035" s="9" t="str">
        <f>IFERROR(INDEX(Input!$L$20:$T$1019,INT((ROW()-9)/9)+1,MOD(ROW()-9,9)+1),"")</f>
        <v/>
      </c>
      <c r="C8035" s="9">
        <f t="shared" si="125"/>
        <v>0</v>
      </c>
    </row>
    <row r="8036" spans="1:3" x14ac:dyDescent="0.2">
      <c r="A8036" s="10" t="str">
        <f>IF(8028&gt;$C$9008,"",INDEX($B$9:$B$9008,MATCH(8028,$C$9:$C$9008,0)))</f>
        <v/>
      </c>
      <c r="B8036" s="9" t="str">
        <f>IFERROR(INDEX(Input!$L$20:$T$1019,INT((ROW()-9)/9)+1,MOD(ROW()-9,9)+1),"")</f>
        <v/>
      </c>
      <c r="C8036" s="9">
        <f t="shared" si="125"/>
        <v>0</v>
      </c>
    </row>
    <row r="8037" spans="1:3" x14ac:dyDescent="0.2">
      <c r="A8037" s="10" t="str">
        <f>IF(8029&gt;$C$9008,"",INDEX($B$9:$B$9008,MATCH(8029,$C$9:$C$9008,0)))</f>
        <v/>
      </c>
      <c r="B8037" s="9" t="str">
        <f>IFERROR(INDEX(Input!$L$20:$T$1019,INT((ROW()-9)/9)+1,MOD(ROW()-9,9)+1),"")</f>
        <v/>
      </c>
      <c r="C8037" s="9">
        <f t="shared" si="125"/>
        <v>0</v>
      </c>
    </row>
    <row r="8038" spans="1:3" x14ac:dyDescent="0.2">
      <c r="A8038" s="10" t="str">
        <f>IF(8030&gt;$C$9008,"",INDEX($B$9:$B$9008,MATCH(8030,$C$9:$C$9008,0)))</f>
        <v/>
      </c>
      <c r="B8038" s="9" t="str">
        <f>IFERROR(INDEX(Input!$L$20:$T$1019,INT((ROW()-9)/9)+1,MOD(ROW()-9,9)+1),"")</f>
        <v/>
      </c>
      <c r="C8038" s="9">
        <f t="shared" si="125"/>
        <v>0</v>
      </c>
    </row>
    <row r="8039" spans="1:3" x14ac:dyDescent="0.2">
      <c r="A8039" s="10" t="str">
        <f>IF(8031&gt;$C$9008,"",INDEX($B$9:$B$9008,MATCH(8031,$C$9:$C$9008,0)))</f>
        <v/>
      </c>
      <c r="B8039" s="9" t="str">
        <f>IFERROR(INDEX(Input!$L$20:$T$1019,INT((ROW()-9)/9)+1,MOD(ROW()-9,9)+1),"")</f>
        <v/>
      </c>
      <c r="C8039" s="9">
        <f t="shared" si="125"/>
        <v>0</v>
      </c>
    </row>
    <row r="8040" spans="1:3" x14ac:dyDescent="0.2">
      <c r="A8040" s="10" t="str">
        <f>IF(8032&gt;$C$9008,"",INDEX($B$9:$B$9008,MATCH(8032,$C$9:$C$9008,0)))</f>
        <v/>
      </c>
      <c r="B8040" s="9" t="str">
        <f>IFERROR(INDEX(Input!$L$20:$T$1019,INT((ROW()-9)/9)+1,MOD(ROW()-9,9)+1),"")</f>
        <v/>
      </c>
      <c r="C8040" s="9">
        <f t="shared" si="125"/>
        <v>0</v>
      </c>
    </row>
    <row r="8041" spans="1:3" x14ac:dyDescent="0.2">
      <c r="A8041" s="10" t="str">
        <f>IF(8033&gt;$C$9008,"",INDEX($B$9:$B$9008,MATCH(8033,$C$9:$C$9008,0)))</f>
        <v/>
      </c>
      <c r="B8041" s="9" t="str">
        <f>IFERROR(INDEX(Input!$L$20:$T$1019,INT((ROW()-9)/9)+1,MOD(ROW()-9,9)+1),"")</f>
        <v/>
      </c>
      <c r="C8041" s="9">
        <f t="shared" si="125"/>
        <v>0</v>
      </c>
    </row>
    <row r="8042" spans="1:3" x14ac:dyDescent="0.2">
      <c r="A8042" s="10" t="str">
        <f>IF(8034&gt;$C$9008,"",INDEX($B$9:$B$9008,MATCH(8034,$C$9:$C$9008,0)))</f>
        <v/>
      </c>
      <c r="B8042" s="9" t="str">
        <f>IFERROR(INDEX(Input!$L$20:$T$1019,INT((ROW()-9)/9)+1,MOD(ROW()-9,9)+1),"")</f>
        <v/>
      </c>
      <c r="C8042" s="9">
        <f t="shared" si="125"/>
        <v>0</v>
      </c>
    </row>
    <row r="8043" spans="1:3" x14ac:dyDescent="0.2">
      <c r="A8043" s="10" t="str">
        <f>IF(8035&gt;$C$9008,"",INDEX($B$9:$B$9008,MATCH(8035,$C$9:$C$9008,0)))</f>
        <v/>
      </c>
      <c r="B8043" s="9" t="str">
        <f>IFERROR(INDEX(Input!$L$20:$T$1019,INT((ROW()-9)/9)+1,MOD(ROW()-9,9)+1),"")</f>
        <v/>
      </c>
      <c r="C8043" s="9">
        <f t="shared" si="125"/>
        <v>0</v>
      </c>
    </row>
    <row r="8044" spans="1:3" x14ac:dyDescent="0.2">
      <c r="A8044" s="10" t="str">
        <f>IF(8036&gt;$C$9008,"",INDEX($B$9:$B$9008,MATCH(8036,$C$9:$C$9008,0)))</f>
        <v/>
      </c>
      <c r="B8044" s="9" t="str">
        <f>IFERROR(INDEX(Input!$L$20:$T$1019,INT((ROW()-9)/9)+1,MOD(ROW()-9,9)+1),"")</f>
        <v/>
      </c>
      <c r="C8044" s="9">
        <f t="shared" si="125"/>
        <v>0</v>
      </c>
    </row>
    <row r="8045" spans="1:3" x14ac:dyDescent="0.2">
      <c r="A8045" s="10" t="str">
        <f>IF(8037&gt;$C$9008,"",INDEX($B$9:$B$9008,MATCH(8037,$C$9:$C$9008,0)))</f>
        <v/>
      </c>
      <c r="B8045" s="9" t="str">
        <f>IFERROR(INDEX(Input!$L$20:$T$1019,INT((ROW()-9)/9)+1,MOD(ROW()-9,9)+1),"")</f>
        <v/>
      </c>
      <c r="C8045" s="9">
        <f t="shared" si="125"/>
        <v>0</v>
      </c>
    </row>
    <row r="8046" spans="1:3" x14ac:dyDescent="0.2">
      <c r="A8046" s="10" t="str">
        <f>IF(8038&gt;$C$9008,"",INDEX($B$9:$B$9008,MATCH(8038,$C$9:$C$9008,0)))</f>
        <v/>
      </c>
      <c r="B8046" s="9" t="str">
        <f>IFERROR(INDEX(Input!$L$20:$T$1019,INT((ROW()-9)/9)+1,MOD(ROW()-9,9)+1),"")</f>
        <v/>
      </c>
      <c r="C8046" s="9">
        <f t="shared" si="125"/>
        <v>0</v>
      </c>
    </row>
    <row r="8047" spans="1:3" x14ac:dyDescent="0.2">
      <c r="A8047" s="10" t="str">
        <f>IF(8039&gt;$C$9008,"",INDEX($B$9:$B$9008,MATCH(8039,$C$9:$C$9008,0)))</f>
        <v/>
      </c>
      <c r="B8047" s="9" t="str">
        <f>IFERROR(INDEX(Input!$L$20:$T$1019,INT((ROW()-9)/9)+1,MOD(ROW()-9,9)+1),"")</f>
        <v/>
      </c>
      <c r="C8047" s="9">
        <f t="shared" si="125"/>
        <v>0</v>
      </c>
    </row>
    <row r="8048" spans="1:3" x14ac:dyDescent="0.2">
      <c r="A8048" s="10" t="str">
        <f>IF(8040&gt;$C$9008,"",INDEX($B$9:$B$9008,MATCH(8040,$C$9:$C$9008,0)))</f>
        <v/>
      </c>
      <c r="B8048" s="9" t="str">
        <f>IFERROR(INDEX(Input!$L$20:$T$1019,INT((ROW()-9)/9)+1,MOD(ROW()-9,9)+1),"")</f>
        <v/>
      </c>
      <c r="C8048" s="9">
        <f t="shared" si="125"/>
        <v>0</v>
      </c>
    </row>
    <row r="8049" spans="1:3" x14ac:dyDescent="0.2">
      <c r="A8049" s="10" t="str">
        <f>IF(8041&gt;$C$9008,"",INDEX($B$9:$B$9008,MATCH(8041,$C$9:$C$9008,0)))</f>
        <v/>
      </c>
      <c r="B8049" s="9" t="str">
        <f>IFERROR(INDEX(Input!$L$20:$T$1019,INT((ROW()-9)/9)+1,MOD(ROW()-9,9)+1),"")</f>
        <v/>
      </c>
      <c r="C8049" s="9">
        <f t="shared" si="125"/>
        <v>0</v>
      </c>
    </row>
    <row r="8050" spans="1:3" x14ac:dyDescent="0.2">
      <c r="A8050" s="10" t="str">
        <f>IF(8042&gt;$C$9008,"",INDEX($B$9:$B$9008,MATCH(8042,$C$9:$C$9008,0)))</f>
        <v/>
      </c>
      <c r="B8050" s="9" t="str">
        <f>IFERROR(INDEX(Input!$L$20:$T$1019,INT((ROW()-9)/9)+1,MOD(ROW()-9,9)+1),"")</f>
        <v/>
      </c>
      <c r="C8050" s="9">
        <f t="shared" si="125"/>
        <v>0</v>
      </c>
    </row>
    <row r="8051" spans="1:3" x14ac:dyDescent="0.2">
      <c r="A8051" s="10" t="str">
        <f>IF(8043&gt;$C$9008,"",INDEX($B$9:$B$9008,MATCH(8043,$C$9:$C$9008,0)))</f>
        <v/>
      </c>
      <c r="B8051" s="9" t="str">
        <f>IFERROR(INDEX(Input!$L$20:$T$1019,INT((ROW()-9)/9)+1,MOD(ROW()-9,9)+1),"")</f>
        <v/>
      </c>
      <c r="C8051" s="9">
        <f t="shared" si="125"/>
        <v>0</v>
      </c>
    </row>
    <row r="8052" spans="1:3" x14ac:dyDescent="0.2">
      <c r="A8052" s="10" t="str">
        <f>IF(8044&gt;$C$9008,"",INDEX($B$9:$B$9008,MATCH(8044,$C$9:$C$9008,0)))</f>
        <v/>
      </c>
      <c r="B8052" s="9" t="str">
        <f>IFERROR(INDEX(Input!$L$20:$T$1019,INT((ROW()-9)/9)+1,MOD(ROW()-9,9)+1),"")</f>
        <v/>
      </c>
      <c r="C8052" s="9">
        <f t="shared" si="125"/>
        <v>0</v>
      </c>
    </row>
    <row r="8053" spans="1:3" x14ac:dyDescent="0.2">
      <c r="A8053" s="10" t="str">
        <f>IF(8045&gt;$C$9008,"",INDEX($B$9:$B$9008,MATCH(8045,$C$9:$C$9008,0)))</f>
        <v/>
      </c>
      <c r="B8053" s="9" t="str">
        <f>IFERROR(INDEX(Input!$L$20:$T$1019,INT((ROW()-9)/9)+1,MOD(ROW()-9,9)+1),"")</f>
        <v/>
      </c>
      <c r="C8053" s="9">
        <f t="shared" si="125"/>
        <v>0</v>
      </c>
    </row>
    <row r="8054" spans="1:3" x14ac:dyDescent="0.2">
      <c r="A8054" s="10" t="str">
        <f>IF(8046&gt;$C$9008,"",INDEX($B$9:$B$9008,MATCH(8046,$C$9:$C$9008,0)))</f>
        <v/>
      </c>
      <c r="B8054" s="9" t="str">
        <f>IFERROR(INDEX(Input!$L$20:$T$1019,INT((ROW()-9)/9)+1,MOD(ROW()-9,9)+1),"")</f>
        <v/>
      </c>
      <c r="C8054" s="9">
        <f t="shared" si="125"/>
        <v>0</v>
      </c>
    </row>
    <row r="8055" spans="1:3" x14ac:dyDescent="0.2">
      <c r="A8055" s="10" t="str">
        <f>IF(8047&gt;$C$9008,"",INDEX($B$9:$B$9008,MATCH(8047,$C$9:$C$9008,0)))</f>
        <v/>
      </c>
      <c r="B8055" s="9" t="str">
        <f>IFERROR(INDEX(Input!$L$20:$T$1019,INT((ROW()-9)/9)+1,MOD(ROW()-9,9)+1),"")</f>
        <v/>
      </c>
      <c r="C8055" s="9">
        <f t="shared" si="125"/>
        <v>0</v>
      </c>
    </row>
    <row r="8056" spans="1:3" x14ac:dyDescent="0.2">
      <c r="A8056" s="10" t="str">
        <f>IF(8048&gt;$C$9008,"",INDEX($B$9:$B$9008,MATCH(8048,$C$9:$C$9008,0)))</f>
        <v/>
      </c>
      <c r="B8056" s="9" t="str">
        <f>IFERROR(INDEX(Input!$L$20:$T$1019,INT((ROW()-9)/9)+1,MOD(ROW()-9,9)+1),"")</f>
        <v/>
      </c>
      <c r="C8056" s="9">
        <f t="shared" si="125"/>
        <v>0</v>
      </c>
    </row>
    <row r="8057" spans="1:3" x14ac:dyDescent="0.2">
      <c r="A8057" s="10" t="str">
        <f>IF(8049&gt;$C$9008,"",INDEX($B$9:$B$9008,MATCH(8049,$C$9:$C$9008,0)))</f>
        <v/>
      </c>
      <c r="B8057" s="9" t="str">
        <f>IFERROR(INDEX(Input!$L$20:$T$1019,INT((ROW()-9)/9)+1,MOD(ROW()-9,9)+1),"")</f>
        <v/>
      </c>
      <c r="C8057" s="9">
        <f t="shared" si="125"/>
        <v>0</v>
      </c>
    </row>
    <row r="8058" spans="1:3" x14ac:dyDescent="0.2">
      <c r="A8058" s="10" t="str">
        <f>IF(8050&gt;$C$9008,"",INDEX($B$9:$B$9008,MATCH(8050,$C$9:$C$9008,0)))</f>
        <v/>
      </c>
      <c r="B8058" s="9" t="str">
        <f>IFERROR(INDEX(Input!$L$20:$T$1019,INT((ROW()-9)/9)+1,MOD(ROW()-9,9)+1),"")</f>
        <v/>
      </c>
      <c r="C8058" s="9">
        <f t="shared" si="125"/>
        <v>0</v>
      </c>
    </row>
    <row r="8059" spans="1:3" x14ac:dyDescent="0.2">
      <c r="A8059" s="10" t="str">
        <f>IF(8051&gt;$C$9008,"",INDEX($B$9:$B$9008,MATCH(8051,$C$9:$C$9008,0)))</f>
        <v/>
      </c>
      <c r="B8059" s="9" t="str">
        <f>IFERROR(INDEX(Input!$L$20:$T$1019,INT((ROW()-9)/9)+1,MOD(ROW()-9,9)+1),"")</f>
        <v/>
      </c>
      <c r="C8059" s="9">
        <f t="shared" si="125"/>
        <v>0</v>
      </c>
    </row>
    <row r="8060" spans="1:3" x14ac:dyDescent="0.2">
      <c r="A8060" s="10" t="str">
        <f>IF(8052&gt;$C$9008,"",INDEX($B$9:$B$9008,MATCH(8052,$C$9:$C$9008,0)))</f>
        <v/>
      </c>
      <c r="B8060" s="9" t="str">
        <f>IFERROR(INDEX(Input!$L$20:$T$1019,INT((ROW()-9)/9)+1,MOD(ROW()-9,9)+1),"")</f>
        <v/>
      </c>
      <c r="C8060" s="9">
        <f t="shared" si="125"/>
        <v>0</v>
      </c>
    </row>
    <row r="8061" spans="1:3" x14ac:dyDescent="0.2">
      <c r="A8061" s="10" t="str">
        <f>IF(8053&gt;$C$9008,"",INDEX($B$9:$B$9008,MATCH(8053,$C$9:$C$9008,0)))</f>
        <v/>
      </c>
      <c r="B8061" s="9" t="str">
        <f>IFERROR(INDEX(Input!$L$20:$T$1019,INT((ROW()-9)/9)+1,MOD(ROW()-9,9)+1),"")</f>
        <v/>
      </c>
      <c r="C8061" s="9">
        <f t="shared" si="125"/>
        <v>0</v>
      </c>
    </row>
    <row r="8062" spans="1:3" x14ac:dyDescent="0.2">
      <c r="A8062" s="10" t="str">
        <f>IF(8054&gt;$C$9008,"",INDEX($B$9:$B$9008,MATCH(8054,$C$9:$C$9008,0)))</f>
        <v/>
      </c>
      <c r="B8062" s="9" t="str">
        <f>IFERROR(INDEX(Input!$L$20:$T$1019,INT((ROW()-9)/9)+1,MOD(ROW()-9,9)+1),"")</f>
        <v/>
      </c>
      <c r="C8062" s="9">
        <f t="shared" si="125"/>
        <v>0</v>
      </c>
    </row>
    <row r="8063" spans="1:3" x14ac:dyDescent="0.2">
      <c r="A8063" s="10" t="str">
        <f>IF(8055&gt;$C$9008,"",INDEX($B$9:$B$9008,MATCH(8055,$C$9:$C$9008,0)))</f>
        <v/>
      </c>
      <c r="B8063" s="9" t="str">
        <f>IFERROR(INDEX(Input!$L$20:$T$1019,INT((ROW()-9)/9)+1,MOD(ROW()-9,9)+1),"")</f>
        <v/>
      </c>
      <c r="C8063" s="9">
        <f t="shared" si="125"/>
        <v>0</v>
      </c>
    </row>
    <row r="8064" spans="1:3" x14ac:dyDescent="0.2">
      <c r="A8064" s="10" t="str">
        <f>IF(8056&gt;$C$9008,"",INDEX($B$9:$B$9008,MATCH(8056,$C$9:$C$9008,0)))</f>
        <v/>
      </c>
      <c r="B8064" s="9" t="str">
        <f>IFERROR(INDEX(Input!$L$20:$T$1019,INT((ROW()-9)/9)+1,MOD(ROW()-9,9)+1),"")</f>
        <v/>
      </c>
      <c r="C8064" s="9">
        <f t="shared" si="125"/>
        <v>0</v>
      </c>
    </row>
    <row r="8065" spans="1:3" x14ac:dyDescent="0.2">
      <c r="A8065" s="10" t="str">
        <f>IF(8057&gt;$C$9008,"",INDEX($B$9:$B$9008,MATCH(8057,$C$9:$C$9008,0)))</f>
        <v/>
      </c>
      <c r="B8065" s="9" t="str">
        <f>IFERROR(INDEX(Input!$L$20:$T$1019,INT((ROW()-9)/9)+1,MOD(ROW()-9,9)+1),"")</f>
        <v/>
      </c>
      <c r="C8065" s="9">
        <f t="shared" si="125"/>
        <v>0</v>
      </c>
    </row>
    <row r="8066" spans="1:3" x14ac:dyDescent="0.2">
      <c r="A8066" s="10" t="str">
        <f>IF(8058&gt;$C$9008,"",INDEX($B$9:$B$9008,MATCH(8058,$C$9:$C$9008,0)))</f>
        <v/>
      </c>
      <c r="B8066" s="9" t="str">
        <f>IFERROR(INDEX(Input!$L$20:$T$1019,INT((ROW()-9)/9)+1,MOD(ROW()-9,9)+1),"")</f>
        <v/>
      </c>
      <c r="C8066" s="9">
        <f t="shared" si="125"/>
        <v>0</v>
      </c>
    </row>
    <row r="8067" spans="1:3" x14ac:dyDescent="0.2">
      <c r="A8067" s="10" t="str">
        <f>IF(8059&gt;$C$9008,"",INDEX($B$9:$B$9008,MATCH(8059,$C$9:$C$9008,0)))</f>
        <v/>
      </c>
      <c r="B8067" s="9" t="str">
        <f>IFERROR(INDEX(Input!$L$20:$T$1019,INT((ROW()-9)/9)+1,MOD(ROW()-9,9)+1),"")</f>
        <v/>
      </c>
      <c r="C8067" s="9">
        <f t="shared" si="125"/>
        <v>0</v>
      </c>
    </row>
    <row r="8068" spans="1:3" x14ac:dyDescent="0.2">
      <c r="A8068" s="10" t="str">
        <f>IF(8060&gt;$C$9008,"",INDEX($B$9:$B$9008,MATCH(8060,$C$9:$C$9008,0)))</f>
        <v/>
      </c>
      <c r="B8068" s="9" t="str">
        <f>IFERROR(INDEX(Input!$L$20:$T$1019,INT((ROW()-9)/9)+1,MOD(ROW()-9,9)+1),"")</f>
        <v/>
      </c>
      <c r="C8068" s="9">
        <f t="shared" si="125"/>
        <v>0</v>
      </c>
    </row>
    <row r="8069" spans="1:3" x14ac:dyDescent="0.2">
      <c r="A8069" s="10" t="str">
        <f>IF(8061&gt;$C$9008,"",INDEX($B$9:$B$9008,MATCH(8061,$C$9:$C$9008,0)))</f>
        <v/>
      </c>
      <c r="B8069" s="9" t="str">
        <f>IFERROR(INDEX(Input!$L$20:$T$1019,INT((ROW()-9)/9)+1,MOD(ROW()-9,9)+1),"")</f>
        <v/>
      </c>
      <c r="C8069" s="9">
        <f t="shared" si="125"/>
        <v>0</v>
      </c>
    </row>
    <row r="8070" spans="1:3" x14ac:dyDescent="0.2">
      <c r="A8070" s="10" t="str">
        <f>IF(8062&gt;$C$9008,"",INDEX($B$9:$B$9008,MATCH(8062,$C$9:$C$9008,0)))</f>
        <v/>
      </c>
      <c r="B8070" s="9" t="str">
        <f>IFERROR(INDEX(Input!$L$20:$T$1019,INT((ROW()-9)/9)+1,MOD(ROW()-9,9)+1),"")</f>
        <v/>
      </c>
      <c r="C8070" s="9">
        <f t="shared" si="125"/>
        <v>0</v>
      </c>
    </row>
    <row r="8071" spans="1:3" x14ac:dyDescent="0.2">
      <c r="A8071" s="10" t="str">
        <f>IF(8063&gt;$C$9008,"",INDEX($B$9:$B$9008,MATCH(8063,$C$9:$C$9008,0)))</f>
        <v/>
      </c>
      <c r="B8071" s="9" t="str">
        <f>IFERROR(INDEX(Input!$L$20:$T$1019,INT((ROW()-9)/9)+1,MOD(ROW()-9,9)+1),"")</f>
        <v/>
      </c>
      <c r="C8071" s="9">
        <f t="shared" si="125"/>
        <v>0</v>
      </c>
    </row>
    <row r="8072" spans="1:3" x14ac:dyDescent="0.2">
      <c r="A8072" s="10" t="str">
        <f>IF(8064&gt;$C$9008,"",INDEX($B$9:$B$9008,MATCH(8064,$C$9:$C$9008,0)))</f>
        <v/>
      </c>
      <c r="B8072" s="9" t="str">
        <f>IFERROR(INDEX(Input!$L$20:$T$1019,INT((ROW()-9)/9)+1,MOD(ROW()-9,9)+1),"")</f>
        <v/>
      </c>
      <c r="C8072" s="9">
        <f t="shared" si="125"/>
        <v>0</v>
      </c>
    </row>
    <row r="8073" spans="1:3" x14ac:dyDescent="0.2">
      <c r="A8073" s="10" t="str">
        <f>IF(8065&gt;$C$9008,"",INDEX($B$9:$B$9008,MATCH(8065,$C$9:$C$9008,0)))</f>
        <v/>
      </c>
      <c r="B8073" s="9" t="str">
        <f>IFERROR(INDEX(Input!$L$20:$T$1019,INT((ROW()-9)/9)+1,MOD(ROW()-9,9)+1),"")</f>
        <v/>
      </c>
      <c r="C8073" s="9">
        <f t="shared" ref="C8073:C8136" si="126">$C8072+IF($B8073&lt;&gt;"",1,0)</f>
        <v>0</v>
      </c>
    </row>
    <row r="8074" spans="1:3" x14ac:dyDescent="0.2">
      <c r="A8074" s="10" t="str">
        <f>IF(8066&gt;$C$9008,"",INDEX($B$9:$B$9008,MATCH(8066,$C$9:$C$9008,0)))</f>
        <v/>
      </c>
      <c r="B8074" s="9" t="str">
        <f>IFERROR(INDEX(Input!$L$20:$T$1019,INT((ROW()-9)/9)+1,MOD(ROW()-9,9)+1),"")</f>
        <v/>
      </c>
      <c r="C8074" s="9">
        <f t="shared" si="126"/>
        <v>0</v>
      </c>
    </row>
    <row r="8075" spans="1:3" x14ac:dyDescent="0.2">
      <c r="A8075" s="10" t="str">
        <f>IF(8067&gt;$C$9008,"",INDEX($B$9:$B$9008,MATCH(8067,$C$9:$C$9008,0)))</f>
        <v/>
      </c>
      <c r="B8075" s="9" t="str">
        <f>IFERROR(INDEX(Input!$L$20:$T$1019,INT((ROW()-9)/9)+1,MOD(ROW()-9,9)+1),"")</f>
        <v/>
      </c>
      <c r="C8075" s="9">
        <f t="shared" si="126"/>
        <v>0</v>
      </c>
    </row>
    <row r="8076" spans="1:3" x14ac:dyDescent="0.2">
      <c r="A8076" s="10" t="str">
        <f>IF(8068&gt;$C$9008,"",INDEX($B$9:$B$9008,MATCH(8068,$C$9:$C$9008,0)))</f>
        <v/>
      </c>
      <c r="B8076" s="9" t="str">
        <f>IFERROR(INDEX(Input!$L$20:$T$1019,INT((ROW()-9)/9)+1,MOD(ROW()-9,9)+1),"")</f>
        <v/>
      </c>
      <c r="C8076" s="9">
        <f t="shared" si="126"/>
        <v>0</v>
      </c>
    </row>
    <row r="8077" spans="1:3" x14ac:dyDescent="0.2">
      <c r="A8077" s="10" t="str">
        <f>IF(8069&gt;$C$9008,"",INDEX($B$9:$B$9008,MATCH(8069,$C$9:$C$9008,0)))</f>
        <v/>
      </c>
      <c r="B8077" s="9" t="str">
        <f>IFERROR(INDEX(Input!$L$20:$T$1019,INT((ROW()-9)/9)+1,MOD(ROW()-9,9)+1),"")</f>
        <v/>
      </c>
      <c r="C8077" s="9">
        <f t="shared" si="126"/>
        <v>0</v>
      </c>
    </row>
    <row r="8078" spans="1:3" x14ac:dyDescent="0.2">
      <c r="A8078" s="10" t="str">
        <f>IF(8070&gt;$C$9008,"",INDEX($B$9:$B$9008,MATCH(8070,$C$9:$C$9008,0)))</f>
        <v/>
      </c>
      <c r="B8078" s="9" t="str">
        <f>IFERROR(INDEX(Input!$L$20:$T$1019,INT((ROW()-9)/9)+1,MOD(ROW()-9,9)+1),"")</f>
        <v/>
      </c>
      <c r="C8078" s="9">
        <f t="shared" si="126"/>
        <v>0</v>
      </c>
    </row>
    <row r="8079" spans="1:3" x14ac:dyDescent="0.2">
      <c r="A8079" s="10" t="str">
        <f>IF(8071&gt;$C$9008,"",INDEX($B$9:$B$9008,MATCH(8071,$C$9:$C$9008,0)))</f>
        <v/>
      </c>
      <c r="B8079" s="9" t="str">
        <f>IFERROR(INDEX(Input!$L$20:$T$1019,INT((ROW()-9)/9)+1,MOD(ROW()-9,9)+1),"")</f>
        <v/>
      </c>
      <c r="C8079" s="9">
        <f t="shared" si="126"/>
        <v>0</v>
      </c>
    </row>
    <row r="8080" spans="1:3" x14ac:dyDescent="0.2">
      <c r="A8080" s="10" t="str">
        <f>IF(8072&gt;$C$9008,"",INDEX($B$9:$B$9008,MATCH(8072,$C$9:$C$9008,0)))</f>
        <v/>
      </c>
      <c r="B8080" s="9" t="str">
        <f>IFERROR(INDEX(Input!$L$20:$T$1019,INT((ROW()-9)/9)+1,MOD(ROW()-9,9)+1),"")</f>
        <v/>
      </c>
      <c r="C8080" s="9">
        <f t="shared" si="126"/>
        <v>0</v>
      </c>
    </row>
    <row r="8081" spans="1:3" x14ac:dyDescent="0.2">
      <c r="A8081" s="10" t="str">
        <f>IF(8073&gt;$C$9008,"",INDEX($B$9:$B$9008,MATCH(8073,$C$9:$C$9008,0)))</f>
        <v/>
      </c>
      <c r="B8081" s="9" t="str">
        <f>IFERROR(INDEX(Input!$L$20:$T$1019,INT((ROW()-9)/9)+1,MOD(ROW()-9,9)+1),"")</f>
        <v/>
      </c>
      <c r="C8081" s="9">
        <f t="shared" si="126"/>
        <v>0</v>
      </c>
    </row>
    <row r="8082" spans="1:3" x14ac:dyDescent="0.2">
      <c r="A8082" s="10" t="str">
        <f>IF(8074&gt;$C$9008,"",INDEX($B$9:$B$9008,MATCH(8074,$C$9:$C$9008,0)))</f>
        <v/>
      </c>
      <c r="B8082" s="9" t="str">
        <f>IFERROR(INDEX(Input!$L$20:$T$1019,INT((ROW()-9)/9)+1,MOD(ROW()-9,9)+1),"")</f>
        <v/>
      </c>
      <c r="C8082" s="9">
        <f t="shared" si="126"/>
        <v>0</v>
      </c>
    </row>
    <row r="8083" spans="1:3" x14ac:dyDescent="0.2">
      <c r="A8083" s="10" t="str">
        <f>IF(8075&gt;$C$9008,"",INDEX($B$9:$B$9008,MATCH(8075,$C$9:$C$9008,0)))</f>
        <v/>
      </c>
      <c r="B8083" s="9" t="str">
        <f>IFERROR(INDEX(Input!$L$20:$T$1019,INT((ROW()-9)/9)+1,MOD(ROW()-9,9)+1),"")</f>
        <v/>
      </c>
      <c r="C8083" s="9">
        <f t="shared" si="126"/>
        <v>0</v>
      </c>
    </row>
    <row r="8084" spans="1:3" x14ac:dyDescent="0.2">
      <c r="A8084" s="10" t="str">
        <f>IF(8076&gt;$C$9008,"",INDEX($B$9:$B$9008,MATCH(8076,$C$9:$C$9008,0)))</f>
        <v/>
      </c>
      <c r="B8084" s="9" t="str">
        <f>IFERROR(INDEX(Input!$L$20:$T$1019,INT((ROW()-9)/9)+1,MOD(ROW()-9,9)+1),"")</f>
        <v/>
      </c>
      <c r="C8084" s="9">
        <f t="shared" si="126"/>
        <v>0</v>
      </c>
    </row>
    <row r="8085" spans="1:3" x14ac:dyDescent="0.2">
      <c r="A8085" s="10" t="str">
        <f>IF(8077&gt;$C$9008,"",INDEX($B$9:$B$9008,MATCH(8077,$C$9:$C$9008,0)))</f>
        <v/>
      </c>
      <c r="B8085" s="9" t="str">
        <f>IFERROR(INDEX(Input!$L$20:$T$1019,INT((ROW()-9)/9)+1,MOD(ROW()-9,9)+1),"")</f>
        <v/>
      </c>
      <c r="C8085" s="9">
        <f t="shared" si="126"/>
        <v>0</v>
      </c>
    </row>
    <row r="8086" spans="1:3" x14ac:dyDescent="0.2">
      <c r="A8086" s="10" t="str">
        <f>IF(8078&gt;$C$9008,"",INDEX($B$9:$B$9008,MATCH(8078,$C$9:$C$9008,0)))</f>
        <v/>
      </c>
      <c r="B8086" s="9" t="str">
        <f>IFERROR(INDEX(Input!$L$20:$T$1019,INT((ROW()-9)/9)+1,MOD(ROW()-9,9)+1),"")</f>
        <v/>
      </c>
      <c r="C8086" s="9">
        <f t="shared" si="126"/>
        <v>0</v>
      </c>
    </row>
    <row r="8087" spans="1:3" x14ac:dyDescent="0.2">
      <c r="A8087" s="10" t="str">
        <f>IF(8079&gt;$C$9008,"",INDEX($B$9:$B$9008,MATCH(8079,$C$9:$C$9008,0)))</f>
        <v/>
      </c>
      <c r="B8087" s="9" t="str">
        <f>IFERROR(INDEX(Input!$L$20:$T$1019,INT((ROW()-9)/9)+1,MOD(ROW()-9,9)+1),"")</f>
        <v/>
      </c>
      <c r="C8087" s="9">
        <f t="shared" si="126"/>
        <v>0</v>
      </c>
    </row>
    <row r="8088" spans="1:3" x14ac:dyDescent="0.2">
      <c r="A8088" s="10" t="str">
        <f>IF(8080&gt;$C$9008,"",INDEX($B$9:$B$9008,MATCH(8080,$C$9:$C$9008,0)))</f>
        <v/>
      </c>
      <c r="B8088" s="9" t="str">
        <f>IFERROR(INDEX(Input!$L$20:$T$1019,INT((ROW()-9)/9)+1,MOD(ROW()-9,9)+1),"")</f>
        <v/>
      </c>
      <c r="C8088" s="9">
        <f t="shared" si="126"/>
        <v>0</v>
      </c>
    </row>
    <row r="8089" spans="1:3" x14ac:dyDescent="0.2">
      <c r="A8089" s="10" t="str">
        <f>IF(8081&gt;$C$9008,"",INDEX($B$9:$B$9008,MATCH(8081,$C$9:$C$9008,0)))</f>
        <v/>
      </c>
      <c r="B8089" s="9" t="str">
        <f>IFERROR(INDEX(Input!$L$20:$T$1019,INT((ROW()-9)/9)+1,MOD(ROW()-9,9)+1),"")</f>
        <v/>
      </c>
      <c r="C8089" s="9">
        <f t="shared" si="126"/>
        <v>0</v>
      </c>
    </row>
    <row r="8090" spans="1:3" x14ac:dyDescent="0.2">
      <c r="A8090" s="10" t="str">
        <f>IF(8082&gt;$C$9008,"",INDEX($B$9:$B$9008,MATCH(8082,$C$9:$C$9008,0)))</f>
        <v/>
      </c>
      <c r="B8090" s="9" t="str">
        <f>IFERROR(INDEX(Input!$L$20:$T$1019,INT((ROW()-9)/9)+1,MOD(ROW()-9,9)+1),"")</f>
        <v/>
      </c>
      <c r="C8090" s="9">
        <f t="shared" si="126"/>
        <v>0</v>
      </c>
    </row>
    <row r="8091" spans="1:3" x14ac:dyDescent="0.2">
      <c r="A8091" s="10" t="str">
        <f>IF(8083&gt;$C$9008,"",INDEX($B$9:$B$9008,MATCH(8083,$C$9:$C$9008,0)))</f>
        <v/>
      </c>
      <c r="B8091" s="9" t="str">
        <f>IFERROR(INDEX(Input!$L$20:$T$1019,INT((ROW()-9)/9)+1,MOD(ROW()-9,9)+1),"")</f>
        <v/>
      </c>
      <c r="C8091" s="9">
        <f t="shared" si="126"/>
        <v>0</v>
      </c>
    </row>
    <row r="8092" spans="1:3" x14ac:dyDescent="0.2">
      <c r="A8092" s="10" t="str">
        <f>IF(8084&gt;$C$9008,"",INDEX($B$9:$B$9008,MATCH(8084,$C$9:$C$9008,0)))</f>
        <v/>
      </c>
      <c r="B8092" s="9" t="str">
        <f>IFERROR(INDEX(Input!$L$20:$T$1019,INT((ROW()-9)/9)+1,MOD(ROW()-9,9)+1),"")</f>
        <v/>
      </c>
      <c r="C8092" s="9">
        <f t="shared" si="126"/>
        <v>0</v>
      </c>
    </row>
    <row r="8093" spans="1:3" x14ac:dyDescent="0.2">
      <c r="A8093" s="10" t="str">
        <f>IF(8085&gt;$C$9008,"",INDEX($B$9:$B$9008,MATCH(8085,$C$9:$C$9008,0)))</f>
        <v/>
      </c>
      <c r="B8093" s="9" t="str">
        <f>IFERROR(INDEX(Input!$L$20:$T$1019,INT((ROW()-9)/9)+1,MOD(ROW()-9,9)+1),"")</f>
        <v/>
      </c>
      <c r="C8093" s="9">
        <f t="shared" si="126"/>
        <v>0</v>
      </c>
    </row>
    <row r="8094" spans="1:3" x14ac:dyDescent="0.2">
      <c r="A8094" s="10" t="str">
        <f>IF(8086&gt;$C$9008,"",INDEX($B$9:$B$9008,MATCH(8086,$C$9:$C$9008,0)))</f>
        <v/>
      </c>
      <c r="B8094" s="9" t="str">
        <f>IFERROR(INDEX(Input!$L$20:$T$1019,INT((ROW()-9)/9)+1,MOD(ROW()-9,9)+1),"")</f>
        <v/>
      </c>
      <c r="C8094" s="9">
        <f t="shared" si="126"/>
        <v>0</v>
      </c>
    </row>
    <row r="8095" spans="1:3" x14ac:dyDescent="0.2">
      <c r="A8095" s="10" t="str">
        <f>IF(8087&gt;$C$9008,"",INDEX($B$9:$B$9008,MATCH(8087,$C$9:$C$9008,0)))</f>
        <v/>
      </c>
      <c r="B8095" s="9" t="str">
        <f>IFERROR(INDEX(Input!$L$20:$T$1019,INT((ROW()-9)/9)+1,MOD(ROW()-9,9)+1),"")</f>
        <v/>
      </c>
      <c r="C8095" s="9">
        <f t="shared" si="126"/>
        <v>0</v>
      </c>
    </row>
    <row r="8096" spans="1:3" x14ac:dyDescent="0.2">
      <c r="A8096" s="10" t="str">
        <f>IF(8088&gt;$C$9008,"",INDEX($B$9:$B$9008,MATCH(8088,$C$9:$C$9008,0)))</f>
        <v/>
      </c>
      <c r="B8096" s="9" t="str">
        <f>IFERROR(INDEX(Input!$L$20:$T$1019,INT((ROW()-9)/9)+1,MOD(ROW()-9,9)+1),"")</f>
        <v/>
      </c>
      <c r="C8096" s="9">
        <f t="shared" si="126"/>
        <v>0</v>
      </c>
    </row>
    <row r="8097" spans="1:3" x14ac:dyDescent="0.2">
      <c r="A8097" s="10" t="str">
        <f>IF(8089&gt;$C$9008,"",INDEX($B$9:$B$9008,MATCH(8089,$C$9:$C$9008,0)))</f>
        <v/>
      </c>
      <c r="B8097" s="9" t="str">
        <f>IFERROR(INDEX(Input!$L$20:$T$1019,INT((ROW()-9)/9)+1,MOD(ROW()-9,9)+1),"")</f>
        <v/>
      </c>
      <c r="C8097" s="9">
        <f t="shared" si="126"/>
        <v>0</v>
      </c>
    </row>
    <row r="8098" spans="1:3" x14ac:dyDescent="0.2">
      <c r="A8098" s="10" t="str">
        <f>IF(8090&gt;$C$9008,"",INDEX($B$9:$B$9008,MATCH(8090,$C$9:$C$9008,0)))</f>
        <v/>
      </c>
      <c r="B8098" s="9" t="str">
        <f>IFERROR(INDEX(Input!$L$20:$T$1019,INT((ROW()-9)/9)+1,MOD(ROW()-9,9)+1),"")</f>
        <v/>
      </c>
      <c r="C8098" s="9">
        <f t="shared" si="126"/>
        <v>0</v>
      </c>
    </row>
    <row r="8099" spans="1:3" x14ac:dyDescent="0.2">
      <c r="A8099" s="10" t="str">
        <f>IF(8091&gt;$C$9008,"",INDEX($B$9:$B$9008,MATCH(8091,$C$9:$C$9008,0)))</f>
        <v/>
      </c>
      <c r="B8099" s="9" t="str">
        <f>IFERROR(INDEX(Input!$L$20:$T$1019,INT((ROW()-9)/9)+1,MOD(ROW()-9,9)+1),"")</f>
        <v/>
      </c>
      <c r="C8099" s="9">
        <f t="shared" si="126"/>
        <v>0</v>
      </c>
    </row>
    <row r="8100" spans="1:3" x14ac:dyDescent="0.2">
      <c r="A8100" s="10" t="str">
        <f>IF(8092&gt;$C$9008,"",INDEX($B$9:$B$9008,MATCH(8092,$C$9:$C$9008,0)))</f>
        <v/>
      </c>
      <c r="B8100" s="9" t="str">
        <f>IFERROR(INDEX(Input!$L$20:$T$1019,INT((ROW()-9)/9)+1,MOD(ROW()-9,9)+1),"")</f>
        <v/>
      </c>
      <c r="C8100" s="9">
        <f t="shared" si="126"/>
        <v>0</v>
      </c>
    </row>
    <row r="8101" spans="1:3" x14ac:dyDescent="0.2">
      <c r="A8101" s="10" t="str">
        <f>IF(8093&gt;$C$9008,"",INDEX($B$9:$B$9008,MATCH(8093,$C$9:$C$9008,0)))</f>
        <v/>
      </c>
      <c r="B8101" s="9" t="str">
        <f>IFERROR(INDEX(Input!$L$20:$T$1019,INT((ROW()-9)/9)+1,MOD(ROW()-9,9)+1),"")</f>
        <v/>
      </c>
      <c r="C8101" s="9">
        <f t="shared" si="126"/>
        <v>0</v>
      </c>
    </row>
    <row r="8102" spans="1:3" x14ac:dyDescent="0.2">
      <c r="A8102" s="10" t="str">
        <f>IF(8094&gt;$C$9008,"",INDEX($B$9:$B$9008,MATCH(8094,$C$9:$C$9008,0)))</f>
        <v/>
      </c>
      <c r="B8102" s="9" t="str">
        <f>IFERROR(INDEX(Input!$L$20:$T$1019,INT((ROW()-9)/9)+1,MOD(ROW()-9,9)+1),"")</f>
        <v/>
      </c>
      <c r="C8102" s="9">
        <f t="shared" si="126"/>
        <v>0</v>
      </c>
    </row>
    <row r="8103" spans="1:3" x14ac:dyDescent="0.2">
      <c r="A8103" s="10" t="str">
        <f>IF(8095&gt;$C$9008,"",INDEX($B$9:$B$9008,MATCH(8095,$C$9:$C$9008,0)))</f>
        <v/>
      </c>
      <c r="B8103" s="9" t="str">
        <f>IFERROR(INDEX(Input!$L$20:$T$1019,INT((ROW()-9)/9)+1,MOD(ROW()-9,9)+1),"")</f>
        <v/>
      </c>
      <c r="C8103" s="9">
        <f t="shared" si="126"/>
        <v>0</v>
      </c>
    </row>
    <row r="8104" spans="1:3" x14ac:dyDescent="0.2">
      <c r="A8104" s="10" t="str">
        <f>IF(8096&gt;$C$9008,"",INDEX($B$9:$B$9008,MATCH(8096,$C$9:$C$9008,0)))</f>
        <v/>
      </c>
      <c r="B8104" s="9" t="str">
        <f>IFERROR(INDEX(Input!$L$20:$T$1019,INT((ROW()-9)/9)+1,MOD(ROW()-9,9)+1),"")</f>
        <v/>
      </c>
      <c r="C8104" s="9">
        <f t="shared" si="126"/>
        <v>0</v>
      </c>
    </row>
    <row r="8105" spans="1:3" x14ac:dyDescent="0.2">
      <c r="A8105" s="10" t="str">
        <f>IF(8097&gt;$C$9008,"",INDEX($B$9:$B$9008,MATCH(8097,$C$9:$C$9008,0)))</f>
        <v/>
      </c>
      <c r="B8105" s="9" t="str">
        <f>IFERROR(INDEX(Input!$L$20:$T$1019,INT((ROW()-9)/9)+1,MOD(ROW()-9,9)+1),"")</f>
        <v/>
      </c>
      <c r="C8105" s="9">
        <f t="shared" si="126"/>
        <v>0</v>
      </c>
    </row>
    <row r="8106" spans="1:3" x14ac:dyDescent="0.2">
      <c r="A8106" s="10" t="str">
        <f>IF(8098&gt;$C$9008,"",INDEX($B$9:$B$9008,MATCH(8098,$C$9:$C$9008,0)))</f>
        <v/>
      </c>
      <c r="B8106" s="9" t="str">
        <f>IFERROR(INDEX(Input!$L$20:$T$1019,INT((ROW()-9)/9)+1,MOD(ROW()-9,9)+1),"")</f>
        <v/>
      </c>
      <c r="C8106" s="9">
        <f t="shared" si="126"/>
        <v>0</v>
      </c>
    </row>
    <row r="8107" spans="1:3" x14ac:dyDescent="0.2">
      <c r="A8107" s="10" t="str">
        <f>IF(8099&gt;$C$9008,"",INDEX($B$9:$B$9008,MATCH(8099,$C$9:$C$9008,0)))</f>
        <v/>
      </c>
      <c r="B8107" s="9" t="str">
        <f>IFERROR(INDEX(Input!$L$20:$T$1019,INT((ROW()-9)/9)+1,MOD(ROW()-9,9)+1),"")</f>
        <v/>
      </c>
      <c r="C8107" s="9">
        <f t="shared" si="126"/>
        <v>0</v>
      </c>
    </row>
    <row r="8108" spans="1:3" x14ac:dyDescent="0.2">
      <c r="A8108" s="10" t="str">
        <f>IF(8100&gt;$C$9008,"",INDEX($B$9:$B$9008,MATCH(8100,$C$9:$C$9008,0)))</f>
        <v/>
      </c>
      <c r="B8108" s="9" t="str">
        <f>IFERROR(INDEX(Input!$L$20:$T$1019,INT((ROW()-9)/9)+1,MOD(ROW()-9,9)+1),"")</f>
        <v/>
      </c>
      <c r="C8108" s="9">
        <f t="shared" si="126"/>
        <v>0</v>
      </c>
    </row>
    <row r="8109" spans="1:3" x14ac:dyDescent="0.2">
      <c r="A8109" s="10" t="str">
        <f>IF(8101&gt;$C$9008,"",INDEX($B$9:$B$9008,MATCH(8101,$C$9:$C$9008,0)))</f>
        <v/>
      </c>
      <c r="B8109" s="9" t="str">
        <f>IFERROR(INDEX(Input!$L$20:$T$1019,INT((ROW()-9)/9)+1,MOD(ROW()-9,9)+1),"")</f>
        <v/>
      </c>
      <c r="C8109" s="9">
        <f t="shared" si="126"/>
        <v>0</v>
      </c>
    </row>
    <row r="8110" spans="1:3" x14ac:dyDescent="0.2">
      <c r="A8110" s="10" t="str">
        <f>IF(8102&gt;$C$9008,"",INDEX($B$9:$B$9008,MATCH(8102,$C$9:$C$9008,0)))</f>
        <v/>
      </c>
      <c r="B8110" s="9" t="str">
        <f>IFERROR(INDEX(Input!$L$20:$T$1019,INT((ROW()-9)/9)+1,MOD(ROW()-9,9)+1),"")</f>
        <v/>
      </c>
      <c r="C8110" s="9">
        <f t="shared" si="126"/>
        <v>0</v>
      </c>
    </row>
    <row r="8111" spans="1:3" x14ac:dyDescent="0.2">
      <c r="A8111" s="10" t="str">
        <f>IF(8103&gt;$C$9008,"",INDEX($B$9:$B$9008,MATCH(8103,$C$9:$C$9008,0)))</f>
        <v/>
      </c>
      <c r="B8111" s="9" t="str">
        <f>IFERROR(INDEX(Input!$L$20:$T$1019,INT((ROW()-9)/9)+1,MOD(ROW()-9,9)+1),"")</f>
        <v/>
      </c>
      <c r="C8111" s="9">
        <f t="shared" si="126"/>
        <v>0</v>
      </c>
    </row>
    <row r="8112" spans="1:3" x14ac:dyDescent="0.2">
      <c r="A8112" s="10" t="str">
        <f>IF(8104&gt;$C$9008,"",INDEX($B$9:$B$9008,MATCH(8104,$C$9:$C$9008,0)))</f>
        <v/>
      </c>
      <c r="B8112" s="9" t="str">
        <f>IFERROR(INDEX(Input!$L$20:$T$1019,INT((ROW()-9)/9)+1,MOD(ROW()-9,9)+1),"")</f>
        <v/>
      </c>
      <c r="C8112" s="9">
        <f t="shared" si="126"/>
        <v>0</v>
      </c>
    </row>
    <row r="8113" spans="1:3" x14ac:dyDescent="0.2">
      <c r="A8113" s="10" t="str">
        <f>IF(8105&gt;$C$9008,"",INDEX($B$9:$B$9008,MATCH(8105,$C$9:$C$9008,0)))</f>
        <v/>
      </c>
      <c r="B8113" s="9" t="str">
        <f>IFERROR(INDEX(Input!$L$20:$T$1019,INT((ROW()-9)/9)+1,MOD(ROW()-9,9)+1),"")</f>
        <v/>
      </c>
      <c r="C8113" s="9">
        <f t="shared" si="126"/>
        <v>0</v>
      </c>
    </row>
    <row r="8114" spans="1:3" x14ac:dyDescent="0.2">
      <c r="A8114" s="10" t="str">
        <f>IF(8106&gt;$C$9008,"",INDEX($B$9:$B$9008,MATCH(8106,$C$9:$C$9008,0)))</f>
        <v/>
      </c>
      <c r="B8114" s="9" t="str">
        <f>IFERROR(INDEX(Input!$L$20:$T$1019,INT((ROW()-9)/9)+1,MOD(ROW()-9,9)+1),"")</f>
        <v/>
      </c>
      <c r="C8114" s="9">
        <f t="shared" si="126"/>
        <v>0</v>
      </c>
    </row>
    <row r="8115" spans="1:3" x14ac:dyDescent="0.2">
      <c r="A8115" s="10" t="str">
        <f>IF(8107&gt;$C$9008,"",INDEX($B$9:$B$9008,MATCH(8107,$C$9:$C$9008,0)))</f>
        <v/>
      </c>
      <c r="B8115" s="9" t="str">
        <f>IFERROR(INDEX(Input!$L$20:$T$1019,INT((ROW()-9)/9)+1,MOD(ROW()-9,9)+1),"")</f>
        <v/>
      </c>
      <c r="C8115" s="9">
        <f t="shared" si="126"/>
        <v>0</v>
      </c>
    </row>
    <row r="8116" spans="1:3" x14ac:dyDescent="0.2">
      <c r="A8116" s="10" t="str">
        <f>IF(8108&gt;$C$9008,"",INDEX($B$9:$B$9008,MATCH(8108,$C$9:$C$9008,0)))</f>
        <v/>
      </c>
      <c r="B8116" s="9" t="str">
        <f>IFERROR(INDEX(Input!$L$20:$T$1019,INT((ROW()-9)/9)+1,MOD(ROW()-9,9)+1),"")</f>
        <v/>
      </c>
      <c r="C8116" s="9">
        <f t="shared" si="126"/>
        <v>0</v>
      </c>
    </row>
    <row r="8117" spans="1:3" x14ac:dyDescent="0.2">
      <c r="A8117" s="10" t="str">
        <f>IF(8109&gt;$C$9008,"",INDEX($B$9:$B$9008,MATCH(8109,$C$9:$C$9008,0)))</f>
        <v/>
      </c>
      <c r="B8117" s="9" t="str">
        <f>IFERROR(INDEX(Input!$L$20:$T$1019,INT((ROW()-9)/9)+1,MOD(ROW()-9,9)+1),"")</f>
        <v/>
      </c>
      <c r="C8117" s="9">
        <f t="shared" si="126"/>
        <v>0</v>
      </c>
    </row>
    <row r="8118" spans="1:3" x14ac:dyDescent="0.2">
      <c r="A8118" s="10" t="str">
        <f>IF(8110&gt;$C$9008,"",INDEX($B$9:$B$9008,MATCH(8110,$C$9:$C$9008,0)))</f>
        <v/>
      </c>
      <c r="B8118" s="9" t="str">
        <f>IFERROR(INDEX(Input!$L$20:$T$1019,INT((ROW()-9)/9)+1,MOD(ROW()-9,9)+1),"")</f>
        <v/>
      </c>
      <c r="C8118" s="9">
        <f t="shared" si="126"/>
        <v>0</v>
      </c>
    </row>
    <row r="8119" spans="1:3" x14ac:dyDescent="0.2">
      <c r="A8119" s="10" t="str">
        <f>IF(8111&gt;$C$9008,"",INDEX($B$9:$B$9008,MATCH(8111,$C$9:$C$9008,0)))</f>
        <v/>
      </c>
      <c r="B8119" s="9" t="str">
        <f>IFERROR(INDEX(Input!$L$20:$T$1019,INT((ROW()-9)/9)+1,MOD(ROW()-9,9)+1),"")</f>
        <v/>
      </c>
      <c r="C8119" s="9">
        <f t="shared" si="126"/>
        <v>0</v>
      </c>
    </row>
    <row r="8120" spans="1:3" x14ac:dyDescent="0.2">
      <c r="A8120" s="10" t="str">
        <f>IF(8112&gt;$C$9008,"",INDEX($B$9:$B$9008,MATCH(8112,$C$9:$C$9008,0)))</f>
        <v/>
      </c>
      <c r="B8120" s="9" t="str">
        <f>IFERROR(INDEX(Input!$L$20:$T$1019,INT((ROW()-9)/9)+1,MOD(ROW()-9,9)+1),"")</f>
        <v/>
      </c>
      <c r="C8120" s="9">
        <f t="shared" si="126"/>
        <v>0</v>
      </c>
    </row>
    <row r="8121" spans="1:3" x14ac:dyDescent="0.2">
      <c r="A8121" s="10" t="str">
        <f>IF(8113&gt;$C$9008,"",INDEX($B$9:$B$9008,MATCH(8113,$C$9:$C$9008,0)))</f>
        <v/>
      </c>
      <c r="B8121" s="9" t="str">
        <f>IFERROR(INDEX(Input!$L$20:$T$1019,INT((ROW()-9)/9)+1,MOD(ROW()-9,9)+1),"")</f>
        <v/>
      </c>
      <c r="C8121" s="9">
        <f t="shared" si="126"/>
        <v>0</v>
      </c>
    </row>
    <row r="8122" spans="1:3" x14ac:dyDescent="0.2">
      <c r="A8122" s="10" t="str">
        <f>IF(8114&gt;$C$9008,"",INDEX($B$9:$B$9008,MATCH(8114,$C$9:$C$9008,0)))</f>
        <v/>
      </c>
      <c r="B8122" s="9" t="str">
        <f>IFERROR(INDEX(Input!$L$20:$T$1019,INT((ROW()-9)/9)+1,MOD(ROW()-9,9)+1),"")</f>
        <v/>
      </c>
      <c r="C8122" s="9">
        <f t="shared" si="126"/>
        <v>0</v>
      </c>
    </row>
    <row r="8123" spans="1:3" x14ac:dyDescent="0.2">
      <c r="A8123" s="10" t="str">
        <f>IF(8115&gt;$C$9008,"",INDEX($B$9:$B$9008,MATCH(8115,$C$9:$C$9008,0)))</f>
        <v/>
      </c>
      <c r="B8123" s="9" t="str">
        <f>IFERROR(INDEX(Input!$L$20:$T$1019,INT((ROW()-9)/9)+1,MOD(ROW()-9,9)+1),"")</f>
        <v/>
      </c>
      <c r="C8123" s="9">
        <f t="shared" si="126"/>
        <v>0</v>
      </c>
    </row>
    <row r="8124" spans="1:3" x14ac:dyDescent="0.2">
      <c r="A8124" s="10" t="str">
        <f>IF(8116&gt;$C$9008,"",INDEX($B$9:$B$9008,MATCH(8116,$C$9:$C$9008,0)))</f>
        <v/>
      </c>
      <c r="B8124" s="9" t="str">
        <f>IFERROR(INDEX(Input!$L$20:$T$1019,INT((ROW()-9)/9)+1,MOD(ROW()-9,9)+1),"")</f>
        <v/>
      </c>
      <c r="C8124" s="9">
        <f t="shared" si="126"/>
        <v>0</v>
      </c>
    </row>
    <row r="8125" spans="1:3" x14ac:dyDescent="0.2">
      <c r="A8125" s="10" t="str">
        <f>IF(8117&gt;$C$9008,"",INDEX($B$9:$B$9008,MATCH(8117,$C$9:$C$9008,0)))</f>
        <v/>
      </c>
      <c r="B8125" s="9" t="str">
        <f>IFERROR(INDEX(Input!$L$20:$T$1019,INT((ROW()-9)/9)+1,MOD(ROW()-9,9)+1),"")</f>
        <v/>
      </c>
      <c r="C8125" s="9">
        <f t="shared" si="126"/>
        <v>0</v>
      </c>
    </row>
    <row r="8126" spans="1:3" x14ac:dyDescent="0.2">
      <c r="A8126" s="10" t="str">
        <f>IF(8118&gt;$C$9008,"",INDEX($B$9:$B$9008,MATCH(8118,$C$9:$C$9008,0)))</f>
        <v/>
      </c>
      <c r="B8126" s="9" t="str">
        <f>IFERROR(INDEX(Input!$L$20:$T$1019,INT((ROW()-9)/9)+1,MOD(ROW()-9,9)+1),"")</f>
        <v/>
      </c>
      <c r="C8126" s="9">
        <f t="shared" si="126"/>
        <v>0</v>
      </c>
    </row>
    <row r="8127" spans="1:3" x14ac:dyDescent="0.2">
      <c r="A8127" s="10" t="str">
        <f>IF(8119&gt;$C$9008,"",INDEX($B$9:$B$9008,MATCH(8119,$C$9:$C$9008,0)))</f>
        <v/>
      </c>
      <c r="B8127" s="9" t="str">
        <f>IFERROR(INDEX(Input!$L$20:$T$1019,INT((ROW()-9)/9)+1,MOD(ROW()-9,9)+1),"")</f>
        <v/>
      </c>
      <c r="C8127" s="9">
        <f t="shared" si="126"/>
        <v>0</v>
      </c>
    </row>
    <row r="8128" spans="1:3" x14ac:dyDescent="0.2">
      <c r="A8128" s="10" t="str">
        <f>IF(8120&gt;$C$9008,"",INDEX($B$9:$B$9008,MATCH(8120,$C$9:$C$9008,0)))</f>
        <v/>
      </c>
      <c r="B8128" s="9" t="str">
        <f>IFERROR(INDEX(Input!$L$20:$T$1019,INT((ROW()-9)/9)+1,MOD(ROW()-9,9)+1),"")</f>
        <v/>
      </c>
      <c r="C8128" s="9">
        <f t="shared" si="126"/>
        <v>0</v>
      </c>
    </row>
    <row r="8129" spans="1:3" x14ac:dyDescent="0.2">
      <c r="A8129" s="10" t="str">
        <f>IF(8121&gt;$C$9008,"",INDEX($B$9:$B$9008,MATCH(8121,$C$9:$C$9008,0)))</f>
        <v/>
      </c>
      <c r="B8129" s="9" t="str">
        <f>IFERROR(INDEX(Input!$L$20:$T$1019,INT((ROW()-9)/9)+1,MOD(ROW()-9,9)+1),"")</f>
        <v/>
      </c>
      <c r="C8129" s="9">
        <f t="shared" si="126"/>
        <v>0</v>
      </c>
    </row>
    <row r="8130" spans="1:3" x14ac:dyDescent="0.2">
      <c r="A8130" s="10" t="str">
        <f>IF(8122&gt;$C$9008,"",INDEX($B$9:$B$9008,MATCH(8122,$C$9:$C$9008,0)))</f>
        <v/>
      </c>
      <c r="B8130" s="9" t="str">
        <f>IFERROR(INDEX(Input!$L$20:$T$1019,INT((ROW()-9)/9)+1,MOD(ROW()-9,9)+1),"")</f>
        <v/>
      </c>
      <c r="C8130" s="9">
        <f t="shared" si="126"/>
        <v>0</v>
      </c>
    </row>
    <row r="8131" spans="1:3" x14ac:dyDescent="0.2">
      <c r="A8131" s="10" t="str">
        <f>IF(8123&gt;$C$9008,"",INDEX($B$9:$B$9008,MATCH(8123,$C$9:$C$9008,0)))</f>
        <v/>
      </c>
      <c r="B8131" s="9" t="str">
        <f>IFERROR(INDEX(Input!$L$20:$T$1019,INT((ROW()-9)/9)+1,MOD(ROW()-9,9)+1),"")</f>
        <v/>
      </c>
      <c r="C8131" s="9">
        <f t="shared" si="126"/>
        <v>0</v>
      </c>
    </row>
    <row r="8132" spans="1:3" x14ac:dyDescent="0.2">
      <c r="A8132" s="10" t="str">
        <f>IF(8124&gt;$C$9008,"",INDEX($B$9:$B$9008,MATCH(8124,$C$9:$C$9008,0)))</f>
        <v/>
      </c>
      <c r="B8132" s="9" t="str">
        <f>IFERROR(INDEX(Input!$L$20:$T$1019,INT((ROW()-9)/9)+1,MOD(ROW()-9,9)+1),"")</f>
        <v/>
      </c>
      <c r="C8132" s="9">
        <f t="shared" si="126"/>
        <v>0</v>
      </c>
    </row>
    <row r="8133" spans="1:3" x14ac:dyDescent="0.2">
      <c r="A8133" s="10" t="str">
        <f>IF(8125&gt;$C$9008,"",INDEX($B$9:$B$9008,MATCH(8125,$C$9:$C$9008,0)))</f>
        <v/>
      </c>
      <c r="B8133" s="9" t="str">
        <f>IFERROR(INDEX(Input!$L$20:$T$1019,INT((ROW()-9)/9)+1,MOD(ROW()-9,9)+1),"")</f>
        <v/>
      </c>
      <c r="C8133" s="9">
        <f t="shared" si="126"/>
        <v>0</v>
      </c>
    </row>
    <row r="8134" spans="1:3" x14ac:dyDescent="0.2">
      <c r="A8134" s="10" t="str">
        <f>IF(8126&gt;$C$9008,"",INDEX($B$9:$B$9008,MATCH(8126,$C$9:$C$9008,0)))</f>
        <v/>
      </c>
      <c r="B8134" s="9" t="str">
        <f>IFERROR(INDEX(Input!$L$20:$T$1019,INT((ROW()-9)/9)+1,MOD(ROW()-9,9)+1),"")</f>
        <v/>
      </c>
      <c r="C8134" s="9">
        <f t="shared" si="126"/>
        <v>0</v>
      </c>
    </row>
    <row r="8135" spans="1:3" x14ac:dyDescent="0.2">
      <c r="A8135" s="10" t="str">
        <f>IF(8127&gt;$C$9008,"",INDEX($B$9:$B$9008,MATCH(8127,$C$9:$C$9008,0)))</f>
        <v/>
      </c>
      <c r="B8135" s="9" t="str">
        <f>IFERROR(INDEX(Input!$L$20:$T$1019,INT((ROW()-9)/9)+1,MOD(ROW()-9,9)+1),"")</f>
        <v/>
      </c>
      <c r="C8135" s="9">
        <f t="shared" si="126"/>
        <v>0</v>
      </c>
    </row>
    <row r="8136" spans="1:3" x14ac:dyDescent="0.2">
      <c r="A8136" s="10" t="str">
        <f>IF(8128&gt;$C$9008,"",INDEX($B$9:$B$9008,MATCH(8128,$C$9:$C$9008,0)))</f>
        <v/>
      </c>
      <c r="B8136" s="9" t="str">
        <f>IFERROR(INDEX(Input!$L$20:$T$1019,INT((ROW()-9)/9)+1,MOD(ROW()-9,9)+1),"")</f>
        <v/>
      </c>
      <c r="C8136" s="9">
        <f t="shared" si="126"/>
        <v>0</v>
      </c>
    </row>
    <row r="8137" spans="1:3" x14ac:dyDescent="0.2">
      <c r="A8137" s="10" t="str">
        <f>IF(8129&gt;$C$9008,"",INDEX($B$9:$B$9008,MATCH(8129,$C$9:$C$9008,0)))</f>
        <v/>
      </c>
      <c r="B8137" s="9" t="str">
        <f>IFERROR(INDEX(Input!$L$20:$T$1019,INT((ROW()-9)/9)+1,MOD(ROW()-9,9)+1),"")</f>
        <v/>
      </c>
      <c r="C8137" s="9">
        <f t="shared" ref="C8137:C8200" si="127">$C8136+IF($B8137&lt;&gt;"",1,0)</f>
        <v>0</v>
      </c>
    </row>
    <row r="8138" spans="1:3" x14ac:dyDescent="0.2">
      <c r="A8138" s="10" t="str">
        <f>IF(8130&gt;$C$9008,"",INDEX($B$9:$B$9008,MATCH(8130,$C$9:$C$9008,0)))</f>
        <v/>
      </c>
      <c r="B8138" s="9" t="str">
        <f>IFERROR(INDEX(Input!$L$20:$T$1019,INT((ROW()-9)/9)+1,MOD(ROW()-9,9)+1),"")</f>
        <v/>
      </c>
      <c r="C8138" s="9">
        <f t="shared" si="127"/>
        <v>0</v>
      </c>
    </row>
    <row r="8139" spans="1:3" x14ac:dyDescent="0.2">
      <c r="A8139" s="10" t="str">
        <f>IF(8131&gt;$C$9008,"",INDEX($B$9:$B$9008,MATCH(8131,$C$9:$C$9008,0)))</f>
        <v/>
      </c>
      <c r="B8139" s="9" t="str">
        <f>IFERROR(INDEX(Input!$L$20:$T$1019,INT((ROW()-9)/9)+1,MOD(ROW()-9,9)+1),"")</f>
        <v/>
      </c>
      <c r="C8139" s="9">
        <f t="shared" si="127"/>
        <v>0</v>
      </c>
    </row>
    <row r="8140" spans="1:3" x14ac:dyDescent="0.2">
      <c r="A8140" s="10" t="str">
        <f>IF(8132&gt;$C$9008,"",INDEX($B$9:$B$9008,MATCH(8132,$C$9:$C$9008,0)))</f>
        <v/>
      </c>
      <c r="B8140" s="9" t="str">
        <f>IFERROR(INDEX(Input!$L$20:$T$1019,INT((ROW()-9)/9)+1,MOD(ROW()-9,9)+1),"")</f>
        <v/>
      </c>
      <c r="C8140" s="9">
        <f t="shared" si="127"/>
        <v>0</v>
      </c>
    </row>
    <row r="8141" spans="1:3" x14ac:dyDescent="0.2">
      <c r="A8141" s="10" t="str">
        <f>IF(8133&gt;$C$9008,"",INDEX($B$9:$B$9008,MATCH(8133,$C$9:$C$9008,0)))</f>
        <v/>
      </c>
      <c r="B8141" s="9" t="str">
        <f>IFERROR(INDEX(Input!$L$20:$T$1019,INT((ROW()-9)/9)+1,MOD(ROW()-9,9)+1),"")</f>
        <v/>
      </c>
      <c r="C8141" s="9">
        <f t="shared" si="127"/>
        <v>0</v>
      </c>
    </row>
    <row r="8142" spans="1:3" x14ac:dyDescent="0.2">
      <c r="A8142" s="10" t="str">
        <f>IF(8134&gt;$C$9008,"",INDEX($B$9:$B$9008,MATCH(8134,$C$9:$C$9008,0)))</f>
        <v/>
      </c>
      <c r="B8142" s="9" t="str">
        <f>IFERROR(INDEX(Input!$L$20:$T$1019,INT((ROW()-9)/9)+1,MOD(ROW()-9,9)+1),"")</f>
        <v/>
      </c>
      <c r="C8142" s="9">
        <f t="shared" si="127"/>
        <v>0</v>
      </c>
    </row>
    <row r="8143" spans="1:3" x14ac:dyDescent="0.2">
      <c r="A8143" s="10" t="str">
        <f>IF(8135&gt;$C$9008,"",INDEX($B$9:$B$9008,MATCH(8135,$C$9:$C$9008,0)))</f>
        <v/>
      </c>
      <c r="B8143" s="9" t="str">
        <f>IFERROR(INDEX(Input!$L$20:$T$1019,INT((ROW()-9)/9)+1,MOD(ROW()-9,9)+1),"")</f>
        <v/>
      </c>
      <c r="C8143" s="9">
        <f t="shared" si="127"/>
        <v>0</v>
      </c>
    </row>
    <row r="8144" spans="1:3" x14ac:dyDescent="0.2">
      <c r="A8144" s="10" t="str">
        <f>IF(8136&gt;$C$9008,"",INDEX($B$9:$B$9008,MATCH(8136,$C$9:$C$9008,0)))</f>
        <v/>
      </c>
      <c r="B8144" s="9" t="str">
        <f>IFERROR(INDEX(Input!$L$20:$T$1019,INT((ROW()-9)/9)+1,MOD(ROW()-9,9)+1),"")</f>
        <v/>
      </c>
      <c r="C8144" s="9">
        <f t="shared" si="127"/>
        <v>0</v>
      </c>
    </row>
    <row r="8145" spans="1:3" x14ac:dyDescent="0.2">
      <c r="A8145" s="10" t="str">
        <f>IF(8137&gt;$C$9008,"",INDEX($B$9:$B$9008,MATCH(8137,$C$9:$C$9008,0)))</f>
        <v/>
      </c>
      <c r="B8145" s="9" t="str">
        <f>IFERROR(INDEX(Input!$L$20:$T$1019,INT((ROW()-9)/9)+1,MOD(ROW()-9,9)+1),"")</f>
        <v/>
      </c>
      <c r="C8145" s="9">
        <f t="shared" si="127"/>
        <v>0</v>
      </c>
    </row>
    <row r="8146" spans="1:3" x14ac:dyDescent="0.2">
      <c r="A8146" s="10" t="str">
        <f>IF(8138&gt;$C$9008,"",INDEX($B$9:$B$9008,MATCH(8138,$C$9:$C$9008,0)))</f>
        <v/>
      </c>
      <c r="B8146" s="9" t="str">
        <f>IFERROR(INDEX(Input!$L$20:$T$1019,INT((ROW()-9)/9)+1,MOD(ROW()-9,9)+1),"")</f>
        <v/>
      </c>
      <c r="C8146" s="9">
        <f t="shared" si="127"/>
        <v>0</v>
      </c>
    </row>
    <row r="8147" spans="1:3" x14ac:dyDescent="0.2">
      <c r="A8147" s="10" t="str">
        <f>IF(8139&gt;$C$9008,"",INDEX($B$9:$B$9008,MATCH(8139,$C$9:$C$9008,0)))</f>
        <v/>
      </c>
      <c r="B8147" s="9" t="str">
        <f>IFERROR(INDEX(Input!$L$20:$T$1019,INT((ROW()-9)/9)+1,MOD(ROW()-9,9)+1),"")</f>
        <v/>
      </c>
      <c r="C8147" s="9">
        <f t="shared" si="127"/>
        <v>0</v>
      </c>
    </row>
    <row r="8148" spans="1:3" x14ac:dyDescent="0.2">
      <c r="A8148" s="10" t="str">
        <f>IF(8140&gt;$C$9008,"",INDEX($B$9:$B$9008,MATCH(8140,$C$9:$C$9008,0)))</f>
        <v/>
      </c>
      <c r="B8148" s="9" t="str">
        <f>IFERROR(INDEX(Input!$L$20:$T$1019,INT((ROW()-9)/9)+1,MOD(ROW()-9,9)+1),"")</f>
        <v/>
      </c>
      <c r="C8148" s="9">
        <f t="shared" si="127"/>
        <v>0</v>
      </c>
    </row>
    <row r="8149" spans="1:3" x14ac:dyDescent="0.2">
      <c r="A8149" s="10" t="str">
        <f>IF(8141&gt;$C$9008,"",INDEX($B$9:$B$9008,MATCH(8141,$C$9:$C$9008,0)))</f>
        <v/>
      </c>
      <c r="B8149" s="9" t="str">
        <f>IFERROR(INDEX(Input!$L$20:$T$1019,INT((ROW()-9)/9)+1,MOD(ROW()-9,9)+1),"")</f>
        <v/>
      </c>
      <c r="C8149" s="9">
        <f t="shared" si="127"/>
        <v>0</v>
      </c>
    </row>
    <row r="8150" spans="1:3" x14ac:dyDescent="0.2">
      <c r="A8150" s="10" t="str">
        <f>IF(8142&gt;$C$9008,"",INDEX($B$9:$B$9008,MATCH(8142,$C$9:$C$9008,0)))</f>
        <v/>
      </c>
      <c r="B8150" s="9" t="str">
        <f>IFERROR(INDEX(Input!$L$20:$T$1019,INT((ROW()-9)/9)+1,MOD(ROW()-9,9)+1),"")</f>
        <v/>
      </c>
      <c r="C8150" s="9">
        <f t="shared" si="127"/>
        <v>0</v>
      </c>
    </row>
    <row r="8151" spans="1:3" x14ac:dyDescent="0.2">
      <c r="A8151" s="10" t="str">
        <f>IF(8143&gt;$C$9008,"",INDEX($B$9:$B$9008,MATCH(8143,$C$9:$C$9008,0)))</f>
        <v/>
      </c>
      <c r="B8151" s="9" t="str">
        <f>IFERROR(INDEX(Input!$L$20:$T$1019,INT((ROW()-9)/9)+1,MOD(ROW()-9,9)+1),"")</f>
        <v/>
      </c>
      <c r="C8151" s="9">
        <f t="shared" si="127"/>
        <v>0</v>
      </c>
    </row>
    <row r="8152" spans="1:3" x14ac:dyDescent="0.2">
      <c r="A8152" s="10" t="str">
        <f>IF(8144&gt;$C$9008,"",INDEX($B$9:$B$9008,MATCH(8144,$C$9:$C$9008,0)))</f>
        <v/>
      </c>
      <c r="B8152" s="9" t="str">
        <f>IFERROR(INDEX(Input!$L$20:$T$1019,INT((ROW()-9)/9)+1,MOD(ROW()-9,9)+1),"")</f>
        <v/>
      </c>
      <c r="C8152" s="9">
        <f t="shared" si="127"/>
        <v>0</v>
      </c>
    </row>
    <row r="8153" spans="1:3" x14ac:dyDescent="0.2">
      <c r="A8153" s="10" t="str">
        <f>IF(8145&gt;$C$9008,"",INDEX($B$9:$B$9008,MATCH(8145,$C$9:$C$9008,0)))</f>
        <v/>
      </c>
      <c r="B8153" s="9" t="str">
        <f>IFERROR(INDEX(Input!$L$20:$T$1019,INT((ROW()-9)/9)+1,MOD(ROW()-9,9)+1),"")</f>
        <v/>
      </c>
      <c r="C8153" s="9">
        <f t="shared" si="127"/>
        <v>0</v>
      </c>
    </row>
    <row r="8154" spans="1:3" x14ac:dyDescent="0.2">
      <c r="A8154" s="10" t="str">
        <f>IF(8146&gt;$C$9008,"",INDEX($B$9:$B$9008,MATCH(8146,$C$9:$C$9008,0)))</f>
        <v/>
      </c>
      <c r="B8154" s="9" t="str">
        <f>IFERROR(INDEX(Input!$L$20:$T$1019,INT((ROW()-9)/9)+1,MOD(ROW()-9,9)+1),"")</f>
        <v/>
      </c>
      <c r="C8154" s="9">
        <f t="shared" si="127"/>
        <v>0</v>
      </c>
    </row>
    <row r="8155" spans="1:3" x14ac:dyDescent="0.2">
      <c r="A8155" s="10" t="str">
        <f>IF(8147&gt;$C$9008,"",INDEX($B$9:$B$9008,MATCH(8147,$C$9:$C$9008,0)))</f>
        <v/>
      </c>
      <c r="B8155" s="9" t="str">
        <f>IFERROR(INDEX(Input!$L$20:$T$1019,INT((ROW()-9)/9)+1,MOD(ROW()-9,9)+1),"")</f>
        <v/>
      </c>
      <c r="C8155" s="9">
        <f t="shared" si="127"/>
        <v>0</v>
      </c>
    </row>
    <row r="8156" spans="1:3" x14ac:dyDescent="0.2">
      <c r="A8156" s="10" t="str">
        <f>IF(8148&gt;$C$9008,"",INDEX($B$9:$B$9008,MATCH(8148,$C$9:$C$9008,0)))</f>
        <v/>
      </c>
      <c r="B8156" s="9" t="str">
        <f>IFERROR(INDEX(Input!$L$20:$T$1019,INT((ROW()-9)/9)+1,MOD(ROW()-9,9)+1),"")</f>
        <v/>
      </c>
      <c r="C8156" s="9">
        <f t="shared" si="127"/>
        <v>0</v>
      </c>
    </row>
    <row r="8157" spans="1:3" x14ac:dyDescent="0.2">
      <c r="A8157" s="10" t="str">
        <f>IF(8149&gt;$C$9008,"",INDEX($B$9:$B$9008,MATCH(8149,$C$9:$C$9008,0)))</f>
        <v/>
      </c>
      <c r="B8157" s="9" t="str">
        <f>IFERROR(INDEX(Input!$L$20:$T$1019,INT((ROW()-9)/9)+1,MOD(ROW()-9,9)+1),"")</f>
        <v/>
      </c>
      <c r="C8157" s="9">
        <f t="shared" si="127"/>
        <v>0</v>
      </c>
    </row>
    <row r="8158" spans="1:3" x14ac:dyDescent="0.2">
      <c r="A8158" s="10" t="str">
        <f>IF(8150&gt;$C$9008,"",INDEX($B$9:$B$9008,MATCH(8150,$C$9:$C$9008,0)))</f>
        <v/>
      </c>
      <c r="B8158" s="9" t="str">
        <f>IFERROR(INDEX(Input!$L$20:$T$1019,INT((ROW()-9)/9)+1,MOD(ROW()-9,9)+1),"")</f>
        <v/>
      </c>
      <c r="C8158" s="9">
        <f t="shared" si="127"/>
        <v>0</v>
      </c>
    </row>
    <row r="8159" spans="1:3" x14ac:dyDescent="0.2">
      <c r="A8159" s="10" t="str">
        <f>IF(8151&gt;$C$9008,"",INDEX($B$9:$B$9008,MATCH(8151,$C$9:$C$9008,0)))</f>
        <v/>
      </c>
      <c r="B8159" s="9" t="str">
        <f>IFERROR(INDEX(Input!$L$20:$T$1019,INT((ROW()-9)/9)+1,MOD(ROW()-9,9)+1),"")</f>
        <v/>
      </c>
      <c r="C8159" s="9">
        <f t="shared" si="127"/>
        <v>0</v>
      </c>
    </row>
    <row r="8160" spans="1:3" x14ac:dyDescent="0.2">
      <c r="A8160" s="10" t="str">
        <f>IF(8152&gt;$C$9008,"",INDEX($B$9:$B$9008,MATCH(8152,$C$9:$C$9008,0)))</f>
        <v/>
      </c>
      <c r="B8160" s="9" t="str">
        <f>IFERROR(INDEX(Input!$L$20:$T$1019,INT((ROW()-9)/9)+1,MOD(ROW()-9,9)+1),"")</f>
        <v/>
      </c>
      <c r="C8160" s="9">
        <f t="shared" si="127"/>
        <v>0</v>
      </c>
    </row>
    <row r="8161" spans="1:3" x14ac:dyDescent="0.2">
      <c r="A8161" s="10" t="str">
        <f>IF(8153&gt;$C$9008,"",INDEX($B$9:$B$9008,MATCH(8153,$C$9:$C$9008,0)))</f>
        <v/>
      </c>
      <c r="B8161" s="9" t="str">
        <f>IFERROR(INDEX(Input!$L$20:$T$1019,INT((ROW()-9)/9)+1,MOD(ROW()-9,9)+1),"")</f>
        <v/>
      </c>
      <c r="C8161" s="9">
        <f t="shared" si="127"/>
        <v>0</v>
      </c>
    </row>
    <row r="8162" spans="1:3" x14ac:dyDescent="0.2">
      <c r="A8162" s="10" t="str">
        <f>IF(8154&gt;$C$9008,"",INDEX($B$9:$B$9008,MATCH(8154,$C$9:$C$9008,0)))</f>
        <v/>
      </c>
      <c r="B8162" s="9" t="str">
        <f>IFERROR(INDEX(Input!$L$20:$T$1019,INT((ROW()-9)/9)+1,MOD(ROW()-9,9)+1),"")</f>
        <v/>
      </c>
      <c r="C8162" s="9">
        <f t="shared" si="127"/>
        <v>0</v>
      </c>
    </row>
    <row r="8163" spans="1:3" x14ac:dyDescent="0.2">
      <c r="A8163" s="10" t="str">
        <f>IF(8155&gt;$C$9008,"",INDEX($B$9:$B$9008,MATCH(8155,$C$9:$C$9008,0)))</f>
        <v/>
      </c>
      <c r="B8163" s="9" t="str">
        <f>IFERROR(INDEX(Input!$L$20:$T$1019,INT((ROW()-9)/9)+1,MOD(ROW()-9,9)+1),"")</f>
        <v/>
      </c>
      <c r="C8163" s="9">
        <f t="shared" si="127"/>
        <v>0</v>
      </c>
    </row>
    <row r="8164" spans="1:3" x14ac:dyDescent="0.2">
      <c r="A8164" s="10" t="str">
        <f>IF(8156&gt;$C$9008,"",INDEX($B$9:$B$9008,MATCH(8156,$C$9:$C$9008,0)))</f>
        <v/>
      </c>
      <c r="B8164" s="9" t="str">
        <f>IFERROR(INDEX(Input!$L$20:$T$1019,INT((ROW()-9)/9)+1,MOD(ROW()-9,9)+1),"")</f>
        <v/>
      </c>
      <c r="C8164" s="9">
        <f t="shared" si="127"/>
        <v>0</v>
      </c>
    </row>
    <row r="8165" spans="1:3" x14ac:dyDescent="0.2">
      <c r="A8165" s="10" t="str">
        <f>IF(8157&gt;$C$9008,"",INDEX($B$9:$B$9008,MATCH(8157,$C$9:$C$9008,0)))</f>
        <v/>
      </c>
      <c r="B8165" s="9" t="str">
        <f>IFERROR(INDEX(Input!$L$20:$T$1019,INT((ROW()-9)/9)+1,MOD(ROW()-9,9)+1),"")</f>
        <v/>
      </c>
      <c r="C8165" s="9">
        <f t="shared" si="127"/>
        <v>0</v>
      </c>
    </row>
    <row r="8166" spans="1:3" x14ac:dyDescent="0.2">
      <c r="A8166" s="10" t="str">
        <f>IF(8158&gt;$C$9008,"",INDEX($B$9:$B$9008,MATCH(8158,$C$9:$C$9008,0)))</f>
        <v/>
      </c>
      <c r="B8166" s="9" t="str">
        <f>IFERROR(INDEX(Input!$L$20:$T$1019,INT((ROW()-9)/9)+1,MOD(ROW()-9,9)+1),"")</f>
        <v/>
      </c>
      <c r="C8166" s="9">
        <f t="shared" si="127"/>
        <v>0</v>
      </c>
    </row>
    <row r="8167" spans="1:3" x14ac:dyDescent="0.2">
      <c r="A8167" s="10" t="str">
        <f>IF(8159&gt;$C$9008,"",INDEX($B$9:$B$9008,MATCH(8159,$C$9:$C$9008,0)))</f>
        <v/>
      </c>
      <c r="B8167" s="9" t="str">
        <f>IFERROR(INDEX(Input!$L$20:$T$1019,INT((ROW()-9)/9)+1,MOD(ROW()-9,9)+1),"")</f>
        <v/>
      </c>
      <c r="C8167" s="9">
        <f t="shared" si="127"/>
        <v>0</v>
      </c>
    </row>
    <row r="8168" spans="1:3" x14ac:dyDescent="0.2">
      <c r="A8168" s="10" t="str">
        <f>IF(8160&gt;$C$9008,"",INDEX($B$9:$B$9008,MATCH(8160,$C$9:$C$9008,0)))</f>
        <v/>
      </c>
      <c r="B8168" s="9" t="str">
        <f>IFERROR(INDEX(Input!$L$20:$T$1019,INT((ROW()-9)/9)+1,MOD(ROW()-9,9)+1),"")</f>
        <v/>
      </c>
      <c r="C8168" s="9">
        <f t="shared" si="127"/>
        <v>0</v>
      </c>
    </row>
    <row r="8169" spans="1:3" x14ac:dyDescent="0.2">
      <c r="A8169" s="10" t="str">
        <f>IF(8161&gt;$C$9008,"",INDEX($B$9:$B$9008,MATCH(8161,$C$9:$C$9008,0)))</f>
        <v/>
      </c>
      <c r="B8169" s="9" t="str">
        <f>IFERROR(INDEX(Input!$L$20:$T$1019,INT((ROW()-9)/9)+1,MOD(ROW()-9,9)+1),"")</f>
        <v/>
      </c>
      <c r="C8169" s="9">
        <f t="shared" si="127"/>
        <v>0</v>
      </c>
    </row>
    <row r="8170" spans="1:3" x14ac:dyDescent="0.2">
      <c r="A8170" s="10" t="str">
        <f>IF(8162&gt;$C$9008,"",INDEX($B$9:$B$9008,MATCH(8162,$C$9:$C$9008,0)))</f>
        <v/>
      </c>
      <c r="B8170" s="9" t="str">
        <f>IFERROR(INDEX(Input!$L$20:$T$1019,INT((ROW()-9)/9)+1,MOD(ROW()-9,9)+1),"")</f>
        <v/>
      </c>
      <c r="C8170" s="9">
        <f t="shared" si="127"/>
        <v>0</v>
      </c>
    </row>
    <row r="8171" spans="1:3" x14ac:dyDescent="0.2">
      <c r="A8171" s="10" t="str">
        <f>IF(8163&gt;$C$9008,"",INDEX($B$9:$B$9008,MATCH(8163,$C$9:$C$9008,0)))</f>
        <v/>
      </c>
      <c r="B8171" s="9" t="str">
        <f>IFERROR(INDEX(Input!$L$20:$T$1019,INT((ROW()-9)/9)+1,MOD(ROW()-9,9)+1),"")</f>
        <v/>
      </c>
      <c r="C8171" s="9">
        <f t="shared" si="127"/>
        <v>0</v>
      </c>
    </row>
    <row r="8172" spans="1:3" x14ac:dyDescent="0.2">
      <c r="A8172" s="10" t="str">
        <f>IF(8164&gt;$C$9008,"",INDEX($B$9:$B$9008,MATCH(8164,$C$9:$C$9008,0)))</f>
        <v/>
      </c>
      <c r="B8172" s="9" t="str">
        <f>IFERROR(INDEX(Input!$L$20:$T$1019,INT((ROW()-9)/9)+1,MOD(ROW()-9,9)+1),"")</f>
        <v/>
      </c>
      <c r="C8172" s="9">
        <f t="shared" si="127"/>
        <v>0</v>
      </c>
    </row>
    <row r="8173" spans="1:3" x14ac:dyDescent="0.2">
      <c r="A8173" s="10" t="str">
        <f>IF(8165&gt;$C$9008,"",INDEX($B$9:$B$9008,MATCH(8165,$C$9:$C$9008,0)))</f>
        <v/>
      </c>
      <c r="B8173" s="9" t="str">
        <f>IFERROR(INDEX(Input!$L$20:$T$1019,INT((ROW()-9)/9)+1,MOD(ROW()-9,9)+1),"")</f>
        <v/>
      </c>
      <c r="C8173" s="9">
        <f t="shared" si="127"/>
        <v>0</v>
      </c>
    </row>
    <row r="8174" spans="1:3" x14ac:dyDescent="0.2">
      <c r="A8174" s="10" t="str">
        <f>IF(8166&gt;$C$9008,"",INDEX($B$9:$B$9008,MATCH(8166,$C$9:$C$9008,0)))</f>
        <v/>
      </c>
      <c r="B8174" s="9" t="str">
        <f>IFERROR(INDEX(Input!$L$20:$T$1019,INT((ROW()-9)/9)+1,MOD(ROW()-9,9)+1),"")</f>
        <v/>
      </c>
      <c r="C8174" s="9">
        <f t="shared" si="127"/>
        <v>0</v>
      </c>
    </row>
    <row r="8175" spans="1:3" x14ac:dyDescent="0.2">
      <c r="A8175" s="10" t="str">
        <f>IF(8167&gt;$C$9008,"",INDEX($B$9:$B$9008,MATCH(8167,$C$9:$C$9008,0)))</f>
        <v/>
      </c>
      <c r="B8175" s="9" t="str">
        <f>IFERROR(INDEX(Input!$L$20:$T$1019,INT((ROW()-9)/9)+1,MOD(ROW()-9,9)+1),"")</f>
        <v/>
      </c>
      <c r="C8175" s="9">
        <f t="shared" si="127"/>
        <v>0</v>
      </c>
    </row>
    <row r="8176" spans="1:3" x14ac:dyDescent="0.2">
      <c r="A8176" s="10" t="str">
        <f>IF(8168&gt;$C$9008,"",INDEX($B$9:$B$9008,MATCH(8168,$C$9:$C$9008,0)))</f>
        <v/>
      </c>
      <c r="B8176" s="9" t="str">
        <f>IFERROR(INDEX(Input!$L$20:$T$1019,INT((ROW()-9)/9)+1,MOD(ROW()-9,9)+1),"")</f>
        <v/>
      </c>
      <c r="C8176" s="9">
        <f t="shared" si="127"/>
        <v>0</v>
      </c>
    </row>
    <row r="8177" spans="1:3" x14ac:dyDescent="0.2">
      <c r="A8177" s="10" t="str">
        <f>IF(8169&gt;$C$9008,"",INDEX($B$9:$B$9008,MATCH(8169,$C$9:$C$9008,0)))</f>
        <v/>
      </c>
      <c r="B8177" s="9" t="str">
        <f>IFERROR(INDEX(Input!$L$20:$T$1019,INT((ROW()-9)/9)+1,MOD(ROW()-9,9)+1),"")</f>
        <v/>
      </c>
      <c r="C8177" s="9">
        <f t="shared" si="127"/>
        <v>0</v>
      </c>
    </row>
    <row r="8178" spans="1:3" x14ac:dyDescent="0.2">
      <c r="A8178" s="10" t="str">
        <f>IF(8170&gt;$C$9008,"",INDEX($B$9:$B$9008,MATCH(8170,$C$9:$C$9008,0)))</f>
        <v/>
      </c>
      <c r="B8178" s="9" t="str">
        <f>IFERROR(INDEX(Input!$L$20:$T$1019,INT((ROW()-9)/9)+1,MOD(ROW()-9,9)+1),"")</f>
        <v/>
      </c>
      <c r="C8178" s="9">
        <f t="shared" si="127"/>
        <v>0</v>
      </c>
    </row>
    <row r="8179" spans="1:3" x14ac:dyDescent="0.2">
      <c r="A8179" s="10" t="str">
        <f>IF(8171&gt;$C$9008,"",INDEX($B$9:$B$9008,MATCH(8171,$C$9:$C$9008,0)))</f>
        <v/>
      </c>
      <c r="B8179" s="9" t="str">
        <f>IFERROR(INDEX(Input!$L$20:$T$1019,INT((ROW()-9)/9)+1,MOD(ROW()-9,9)+1),"")</f>
        <v/>
      </c>
      <c r="C8179" s="9">
        <f t="shared" si="127"/>
        <v>0</v>
      </c>
    </row>
    <row r="8180" spans="1:3" x14ac:dyDescent="0.2">
      <c r="A8180" s="10" t="str">
        <f>IF(8172&gt;$C$9008,"",INDEX($B$9:$B$9008,MATCH(8172,$C$9:$C$9008,0)))</f>
        <v/>
      </c>
      <c r="B8180" s="9" t="str">
        <f>IFERROR(INDEX(Input!$L$20:$T$1019,INT((ROW()-9)/9)+1,MOD(ROW()-9,9)+1),"")</f>
        <v/>
      </c>
      <c r="C8180" s="9">
        <f t="shared" si="127"/>
        <v>0</v>
      </c>
    </row>
    <row r="8181" spans="1:3" x14ac:dyDescent="0.2">
      <c r="A8181" s="10" t="str">
        <f>IF(8173&gt;$C$9008,"",INDEX($B$9:$B$9008,MATCH(8173,$C$9:$C$9008,0)))</f>
        <v/>
      </c>
      <c r="B8181" s="9" t="str">
        <f>IFERROR(INDEX(Input!$L$20:$T$1019,INT((ROW()-9)/9)+1,MOD(ROW()-9,9)+1),"")</f>
        <v/>
      </c>
      <c r="C8181" s="9">
        <f t="shared" si="127"/>
        <v>0</v>
      </c>
    </row>
    <row r="8182" spans="1:3" x14ac:dyDescent="0.2">
      <c r="A8182" s="10" t="str">
        <f>IF(8174&gt;$C$9008,"",INDEX($B$9:$B$9008,MATCH(8174,$C$9:$C$9008,0)))</f>
        <v/>
      </c>
      <c r="B8182" s="9" t="str">
        <f>IFERROR(INDEX(Input!$L$20:$T$1019,INT((ROW()-9)/9)+1,MOD(ROW()-9,9)+1),"")</f>
        <v/>
      </c>
      <c r="C8182" s="9">
        <f t="shared" si="127"/>
        <v>0</v>
      </c>
    </row>
    <row r="8183" spans="1:3" x14ac:dyDescent="0.2">
      <c r="A8183" s="10" t="str">
        <f>IF(8175&gt;$C$9008,"",INDEX($B$9:$B$9008,MATCH(8175,$C$9:$C$9008,0)))</f>
        <v/>
      </c>
      <c r="B8183" s="9" t="str">
        <f>IFERROR(INDEX(Input!$L$20:$T$1019,INT((ROW()-9)/9)+1,MOD(ROW()-9,9)+1),"")</f>
        <v/>
      </c>
      <c r="C8183" s="9">
        <f t="shared" si="127"/>
        <v>0</v>
      </c>
    </row>
    <row r="8184" spans="1:3" x14ac:dyDescent="0.2">
      <c r="A8184" s="10" t="str">
        <f>IF(8176&gt;$C$9008,"",INDEX($B$9:$B$9008,MATCH(8176,$C$9:$C$9008,0)))</f>
        <v/>
      </c>
      <c r="B8184" s="9" t="str">
        <f>IFERROR(INDEX(Input!$L$20:$T$1019,INT((ROW()-9)/9)+1,MOD(ROW()-9,9)+1),"")</f>
        <v/>
      </c>
      <c r="C8184" s="9">
        <f t="shared" si="127"/>
        <v>0</v>
      </c>
    </row>
    <row r="8185" spans="1:3" x14ac:dyDescent="0.2">
      <c r="A8185" s="10" t="str">
        <f>IF(8177&gt;$C$9008,"",INDEX($B$9:$B$9008,MATCH(8177,$C$9:$C$9008,0)))</f>
        <v/>
      </c>
      <c r="B8185" s="9" t="str">
        <f>IFERROR(INDEX(Input!$L$20:$T$1019,INT((ROW()-9)/9)+1,MOD(ROW()-9,9)+1),"")</f>
        <v/>
      </c>
      <c r="C8185" s="9">
        <f t="shared" si="127"/>
        <v>0</v>
      </c>
    </row>
    <row r="8186" spans="1:3" x14ac:dyDescent="0.2">
      <c r="A8186" s="10" t="str">
        <f>IF(8178&gt;$C$9008,"",INDEX($B$9:$B$9008,MATCH(8178,$C$9:$C$9008,0)))</f>
        <v/>
      </c>
      <c r="B8186" s="9" t="str">
        <f>IFERROR(INDEX(Input!$L$20:$T$1019,INT((ROW()-9)/9)+1,MOD(ROW()-9,9)+1),"")</f>
        <v/>
      </c>
      <c r="C8186" s="9">
        <f t="shared" si="127"/>
        <v>0</v>
      </c>
    </row>
    <row r="8187" spans="1:3" x14ac:dyDescent="0.2">
      <c r="A8187" s="10" t="str">
        <f>IF(8179&gt;$C$9008,"",INDEX($B$9:$B$9008,MATCH(8179,$C$9:$C$9008,0)))</f>
        <v/>
      </c>
      <c r="B8187" s="9" t="str">
        <f>IFERROR(INDEX(Input!$L$20:$T$1019,INT((ROW()-9)/9)+1,MOD(ROW()-9,9)+1),"")</f>
        <v/>
      </c>
      <c r="C8187" s="9">
        <f t="shared" si="127"/>
        <v>0</v>
      </c>
    </row>
    <row r="8188" spans="1:3" x14ac:dyDescent="0.2">
      <c r="A8188" s="10" t="str">
        <f>IF(8180&gt;$C$9008,"",INDEX($B$9:$B$9008,MATCH(8180,$C$9:$C$9008,0)))</f>
        <v/>
      </c>
      <c r="B8188" s="9" t="str">
        <f>IFERROR(INDEX(Input!$L$20:$T$1019,INT((ROW()-9)/9)+1,MOD(ROW()-9,9)+1),"")</f>
        <v/>
      </c>
      <c r="C8188" s="9">
        <f t="shared" si="127"/>
        <v>0</v>
      </c>
    </row>
    <row r="8189" spans="1:3" x14ac:dyDescent="0.2">
      <c r="A8189" s="10" t="str">
        <f>IF(8181&gt;$C$9008,"",INDEX($B$9:$B$9008,MATCH(8181,$C$9:$C$9008,0)))</f>
        <v/>
      </c>
      <c r="B8189" s="9" t="str">
        <f>IFERROR(INDEX(Input!$L$20:$T$1019,INT((ROW()-9)/9)+1,MOD(ROW()-9,9)+1),"")</f>
        <v/>
      </c>
      <c r="C8189" s="9">
        <f t="shared" si="127"/>
        <v>0</v>
      </c>
    </row>
    <row r="8190" spans="1:3" x14ac:dyDescent="0.2">
      <c r="A8190" s="10" t="str">
        <f>IF(8182&gt;$C$9008,"",INDEX($B$9:$B$9008,MATCH(8182,$C$9:$C$9008,0)))</f>
        <v/>
      </c>
      <c r="B8190" s="9" t="str">
        <f>IFERROR(INDEX(Input!$L$20:$T$1019,INT((ROW()-9)/9)+1,MOD(ROW()-9,9)+1),"")</f>
        <v/>
      </c>
      <c r="C8190" s="9">
        <f t="shared" si="127"/>
        <v>0</v>
      </c>
    </row>
    <row r="8191" spans="1:3" x14ac:dyDescent="0.2">
      <c r="A8191" s="10" t="str">
        <f>IF(8183&gt;$C$9008,"",INDEX($B$9:$B$9008,MATCH(8183,$C$9:$C$9008,0)))</f>
        <v/>
      </c>
      <c r="B8191" s="9" t="str">
        <f>IFERROR(INDEX(Input!$L$20:$T$1019,INT((ROW()-9)/9)+1,MOD(ROW()-9,9)+1),"")</f>
        <v/>
      </c>
      <c r="C8191" s="9">
        <f t="shared" si="127"/>
        <v>0</v>
      </c>
    </row>
    <row r="8192" spans="1:3" x14ac:dyDescent="0.2">
      <c r="A8192" s="10" t="str">
        <f>IF(8184&gt;$C$9008,"",INDEX($B$9:$B$9008,MATCH(8184,$C$9:$C$9008,0)))</f>
        <v/>
      </c>
      <c r="B8192" s="9" t="str">
        <f>IFERROR(INDEX(Input!$L$20:$T$1019,INT((ROW()-9)/9)+1,MOD(ROW()-9,9)+1),"")</f>
        <v/>
      </c>
      <c r="C8192" s="9">
        <f t="shared" si="127"/>
        <v>0</v>
      </c>
    </row>
    <row r="8193" spans="1:3" x14ac:dyDescent="0.2">
      <c r="A8193" s="10" t="str">
        <f>IF(8185&gt;$C$9008,"",INDEX($B$9:$B$9008,MATCH(8185,$C$9:$C$9008,0)))</f>
        <v/>
      </c>
      <c r="B8193" s="9" t="str">
        <f>IFERROR(INDEX(Input!$L$20:$T$1019,INT((ROW()-9)/9)+1,MOD(ROW()-9,9)+1),"")</f>
        <v/>
      </c>
      <c r="C8193" s="9">
        <f t="shared" si="127"/>
        <v>0</v>
      </c>
    </row>
    <row r="8194" spans="1:3" x14ac:dyDescent="0.2">
      <c r="A8194" s="10" t="str">
        <f>IF(8186&gt;$C$9008,"",INDEX($B$9:$B$9008,MATCH(8186,$C$9:$C$9008,0)))</f>
        <v/>
      </c>
      <c r="B8194" s="9" t="str">
        <f>IFERROR(INDEX(Input!$L$20:$T$1019,INT((ROW()-9)/9)+1,MOD(ROW()-9,9)+1),"")</f>
        <v/>
      </c>
      <c r="C8194" s="9">
        <f t="shared" si="127"/>
        <v>0</v>
      </c>
    </row>
    <row r="8195" spans="1:3" x14ac:dyDescent="0.2">
      <c r="A8195" s="10" t="str">
        <f>IF(8187&gt;$C$9008,"",INDEX($B$9:$B$9008,MATCH(8187,$C$9:$C$9008,0)))</f>
        <v/>
      </c>
      <c r="B8195" s="9" t="str">
        <f>IFERROR(INDEX(Input!$L$20:$T$1019,INT((ROW()-9)/9)+1,MOD(ROW()-9,9)+1),"")</f>
        <v/>
      </c>
      <c r="C8195" s="9">
        <f t="shared" si="127"/>
        <v>0</v>
      </c>
    </row>
    <row r="8196" spans="1:3" x14ac:dyDescent="0.2">
      <c r="A8196" s="10" t="str">
        <f>IF(8188&gt;$C$9008,"",INDEX($B$9:$B$9008,MATCH(8188,$C$9:$C$9008,0)))</f>
        <v/>
      </c>
      <c r="B8196" s="9" t="str">
        <f>IFERROR(INDEX(Input!$L$20:$T$1019,INT((ROW()-9)/9)+1,MOD(ROW()-9,9)+1),"")</f>
        <v/>
      </c>
      <c r="C8196" s="9">
        <f t="shared" si="127"/>
        <v>0</v>
      </c>
    </row>
    <row r="8197" spans="1:3" x14ac:dyDescent="0.2">
      <c r="A8197" s="10" t="str">
        <f>IF(8189&gt;$C$9008,"",INDEX($B$9:$B$9008,MATCH(8189,$C$9:$C$9008,0)))</f>
        <v/>
      </c>
      <c r="B8197" s="9" t="str">
        <f>IFERROR(INDEX(Input!$L$20:$T$1019,INT((ROW()-9)/9)+1,MOD(ROW()-9,9)+1),"")</f>
        <v/>
      </c>
      <c r="C8197" s="9">
        <f t="shared" si="127"/>
        <v>0</v>
      </c>
    </row>
    <row r="8198" spans="1:3" x14ac:dyDescent="0.2">
      <c r="A8198" s="10" t="str">
        <f>IF(8190&gt;$C$9008,"",INDEX($B$9:$B$9008,MATCH(8190,$C$9:$C$9008,0)))</f>
        <v/>
      </c>
      <c r="B8198" s="9" t="str">
        <f>IFERROR(INDEX(Input!$L$20:$T$1019,INT((ROW()-9)/9)+1,MOD(ROW()-9,9)+1),"")</f>
        <v/>
      </c>
      <c r="C8198" s="9">
        <f t="shared" si="127"/>
        <v>0</v>
      </c>
    </row>
    <row r="8199" spans="1:3" x14ac:dyDescent="0.2">
      <c r="A8199" s="10" t="str">
        <f>IF(8191&gt;$C$9008,"",INDEX($B$9:$B$9008,MATCH(8191,$C$9:$C$9008,0)))</f>
        <v/>
      </c>
      <c r="B8199" s="9" t="str">
        <f>IFERROR(INDEX(Input!$L$20:$T$1019,INT((ROW()-9)/9)+1,MOD(ROW()-9,9)+1),"")</f>
        <v/>
      </c>
      <c r="C8199" s="9">
        <f t="shared" si="127"/>
        <v>0</v>
      </c>
    </row>
    <row r="8200" spans="1:3" x14ac:dyDescent="0.2">
      <c r="A8200" s="10" t="str">
        <f>IF(8192&gt;$C$9008,"",INDEX($B$9:$B$9008,MATCH(8192,$C$9:$C$9008,0)))</f>
        <v/>
      </c>
      <c r="B8200" s="9" t="str">
        <f>IFERROR(INDEX(Input!$L$20:$T$1019,INT((ROW()-9)/9)+1,MOD(ROW()-9,9)+1),"")</f>
        <v/>
      </c>
      <c r="C8200" s="9">
        <f t="shared" si="127"/>
        <v>0</v>
      </c>
    </row>
    <row r="8201" spans="1:3" x14ac:dyDescent="0.2">
      <c r="A8201" s="10" t="str">
        <f>IF(8193&gt;$C$9008,"",INDEX($B$9:$B$9008,MATCH(8193,$C$9:$C$9008,0)))</f>
        <v/>
      </c>
      <c r="B8201" s="9" t="str">
        <f>IFERROR(INDEX(Input!$L$20:$T$1019,INT((ROW()-9)/9)+1,MOD(ROW()-9,9)+1),"")</f>
        <v/>
      </c>
      <c r="C8201" s="9">
        <f t="shared" ref="C8201:C8264" si="128">$C8200+IF($B8201&lt;&gt;"",1,0)</f>
        <v>0</v>
      </c>
    </row>
    <row r="8202" spans="1:3" x14ac:dyDescent="0.2">
      <c r="A8202" s="10" t="str">
        <f>IF(8194&gt;$C$9008,"",INDEX($B$9:$B$9008,MATCH(8194,$C$9:$C$9008,0)))</f>
        <v/>
      </c>
      <c r="B8202" s="9" t="str">
        <f>IFERROR(INDEX(Input!$L$20:$T$1019,INT((ROW()-9)/9)+1,MOD(ROW()-9,9)+1),"")</f>
        <v/>
      </c>
      <c r="C8202" s="9">
        <f t="shared" si="128"/>
        <v>0</v>
      </c>
    </row>
    <row r="8203" spans="1:3" x14ac:dyDescent="0.2">
      <c r="A8203" s="10" t="str">
        <f>IF(8195&gt;$C$9008,"",INDEX($B$9:$B$9008,MATCH(8195,$C$9:$C$9008,0)))</f>
        <v/>
      </c>
      <c r="B8203" s="9" t="str">
        <f>IFERROR(INDEX(Input!$L$20:$T$1019,INT((ROW()-9)/9)+1,MOD(ROW()-9,9)+1),"")</f>
        <v/>
      </c>
      <c r="C8203" s="9">
        <f t="shared" si="128"/>
        <v>0</v>
      </c>
    </row>
    <row r="8204" spans="1:3" x14ac:dyDescent="0.2">
      <c r="A8204" s="10" t="str">
        <f>IF(8196&gt;$C$9008,"",INDEX($B$9:$B$9008,MATCH(8196,$C$9:$C$9008,0)))</f>
        <v/>
      </c>
      <c r="B8204" s="9" t="str">
        <f>IFERROR(INDEX(Input!$L$20:$T$1019,INT((ROW()-9)/9)+1,MOD(ROW()-9,9)+1),"")</f>
        <v/>
      </c>
      <c r="C8204" s="9">
        <f t="shared" si="128"/>
        <v>0</v>
      </c>
    </row>
    <row r="8205" spans="1:3" x14ac:dyDescent="0.2">
      <c r="A8205" s="10" t="str">
        <f>IF(8197&gt;$C$9008,"",INDEX($B$9:$B$9008,MATCH(8197,$C$9:$C$9008,0)))</f>
        <v/>
      </c>
      <c r="B8205" s="9" t="str">
        <f>IFERROR(INDEX(Input!$L$20:$T$1019,INT((ROW()-9)/9)+1,MOD(ROW()-9,9)+1),"")</f>
        <v/>
      </c>
      <c r="C8205" s="9">
        <f t="shared" si="128"/>
        <v>0</v>
      </c>
    </row>
    <row r="8206" spans="1:3" x14ac:dyDescent="0.2">
      <c r="A8206" s="10" t="str">
        <f>IF(8198&gt;$C$9008,"",INDEX($B$9:$B$9008,MATCH(8198,$C$9:$C$9008,0)))</f>
        <v/>
      </c>
      <c r="B8206" s="9" t="str">
        <f>IFERROR(INDEX(Input!$L$20:$T$1019,INT((ROW()-9)/9)+1,MOD(ROW()-9,9)+1),"")</f>
        <v/>
      </c>
      <c r="C8206" s="9">
        <f t="shared" si="128"/>
        <v>0</v>
      </c>
    </row>
    <row r="8207" spans="1:3" x14ac:dyDescent="0.2">
      <c r="A8207" s="10" t="str">
        <f>IF(8199&gt;$C$9008,"",INDEX($B$9:$B$9008,MATCH(8199,$C$9:$C$9008,0)))</f>
        <v/>
      </c>
      <c r="B8207" s="9" t="str">
        <f>IFERROR(INDEX(Input!$L$20:$T$1019,INT((ROW()-9)/9)+1,MOD(ROW()-9,9)+1),"")</f>
        <v/>
      </c>
      <c r="C8207" s="9">
        <f t="shared" si="128"/>
        <v>0</v>
      </c>
    </row>
    <row r="8208" spans="1:3" x14ac:dyDescent="0.2">
      <c r="A8208" s="10" t="str">
        <f>IF(8200&gt;$C$9008,"",INDEX($B$9:$B$9008,MATCH(8200,$C$9:$C$9008,0)))</f>
        <v/>
      </c>
      <c r="B8208" s="9" t="str">
        <f>IFERROR(INDEX(Input!$L$20:$T$1019,INT((ROW()-9)/9)+1,MOD(ROW()-9,9)+1),"")</f>
        <v/>
      </c>
      <c r="C8208" s="9">
        <f t="shared" si="128"/>
        <v>0</v>
      </c>
    </row>
    <row r="8209" spans="1:3" x14ac:dyDescent="0.2">
      <c r="A8209" s="10" t="str">
        <f>IF(8201&gt;$C$9008,"",INDEX($B$9:$B$9008,MATCH(8201,$C$9:$C$9008,0)))</f>
        <v/>
      </c>
      <c r="B8209" s="9" t="str">
        <f>IFERROR(INDEX(Input!$L$20:$T$1019,INT((ROW()-9)/9)+1,MOD(ROW()-9,9)+1),"")</f>
        <v/>
      </c>
      <c r="C8209" s="9">
        <f t="shared" si="128"/>
        <v>0</v>
      </c>
    </row>
    <row r="8210" spans="1:3" x14ac:dyDescent="0.2">
      <c r="A8210" s="10" t="str">
        <f>IF(8202&gt;$C$9008,"",INDEX($B$9:$B$9008,MATCH(8202,$C$9:$C$9008,0)))</f>
        <v/>
      </c>
      <c r="B8210" s="9" t="str">
        <f>IFERROR(INDEX(Input!$L$20:$T$1019,INT((ROW()-9)/9)+1,MOD(ROW()-9,9)+1),"")</f>
        <v/>
      </c>
      <c r="C8210" s="9">
        <f t="shared" si="128"/>
        <v>0</v>
      </c>
    </row>
    <row r="8211" spans="1:3" x14ac:dyDescent="0.2">
      <c r="A8211" s="10" t="str">
        <f>IF(8203&gt;$C$9008,"",INDEX($B$9:$B$9008,MATCH(8203,$C$9:$C$9008,0)))</f>
        <v/>
      </c>
      <c r="B8211" s="9" t="str">
        <f>IFERROR(INDEX(Input!$L$20:$T$1019,INT((ROW()-9)/9)+1,MOD(ROW()-9,9)+1),"")</f>
        <v/>
      </c>
      <c r="C8211" s="9">
        <f t="shared" si="128"/>
        <v>0</v>
      </c>
    </row>
    <row r="8212" spans="1:3" x14ac:dyDescent="0.2">
      <c r="A8212" s="10" t="str">
        <f>IF(8204&gt;$C$9008,"",INDEX($B$9:$B$9008,MATCH(8204,$C$9:$C$9008,0)))</f>
        <v/>
      </c>
      <c r="B8212" s="9" t="str">
        <f>IFERROR(INDEX(Input!$L$20:$T$1019,INT((ROW()-9)/9)+1,MOD(ROW()-9,9)+1),"")</f>
        <v/>
      </c>
      <c r="C8212" s="9">
        <f t="shared" si="128"/>
        <v>0</v>
      </c>
    </row>
    <row r="8213" spans="1:3" x14ac:dyDescent="0.2">
      <c r="A8213" s="10" t="str">
        <f>IF(8205&gt;$C$9008,"",INDEX($B$9:$B$9008,MATCH(8205,$C$9:$C$9008,0)))</f>
        <v/>
      </c>
      <c r="B8213" s="9" t="str">
        <f>IFERROR(INDEX(Input!$L$20:$T$1019,INT((ROW()-9)/9)+1,MOD(ROW()-9,9)+1),"")</f>
        <v/>
      </c>
      <c r="C8213" s="9">
        <f t="shared" si="128"/>
        <v>0</v>
      </c>
    </row>
    <row r="8214" spans="1:3" x14ac:dyDescent="0.2">
      <c r="A8214" s="10" t="str">
        <f>IF(8206&gt;$C$9008,"",INDEX($B$9:$B$9008,MATCH(8206,$C$9:$C$9008,0)))</f>
        <v/>
      </c>
      <c r="B8214" s="9" t="str">
        <f>IFERROR(INDEX(Input!$L$20:$T$1019,INT((ROW()-9)/9)+1,MOD(ROW()-9,9)+1),"")</f>
        <v/>
      </c>
      <c r="C8214" s="9">
        <f t="shared" si="128"/>
        <v>0</v>
      </c>
    </row>
    <row r="8215" spans="1:3" x14ac:dyDescent="0.2">
      <c r="A8215" s="10" t="str">
        <f>IF(8207&gt;$C$9008,"",INDEX($B$9:$B$9008,MATCH(8207,$C$9:$C$9008,0)))</f>
        <v/>
      </c>
      <c r="B8215" s="9" t="str">
        <f>IFERROR(INDEX(Input!$L$20:$T$1019,INT((ROW()-9)/9)+1,MOD(ROW()-9,9)+1),"")</f>
        <v/>
      </c>
      <c r="C8215" s="9">
        <f t="shared" si="128"/>
        <v>0</v>
      </c>
    </row>
    <row r="8216" spans="1:3" x14ac:dyDescent="0.2">
      <c r="A8216" s="10" t="str">
        <f>IF(8208&gt;$C$9008,"",INDEX($B$9:$B$9008,MATCH(8208,$C$9:$C$9008,0)))</f>
        <v/>
      </c>
      <c r="B8216" s="9" t="str">
        <f>IFERROR(INDEX(Input!$L$20:$T$1019,INT((ROW()-9)/9)+1,MOD(ROW()-9,9)+1),"")</f>
        <v/>
      </c>
      <c r="C8216" s="9">
        <f t="shared" si="128"/>
        <v>0</v>
      </c>
    </row>
    <row r="8217" spans="1:3" x14ac:dyDescent="0.2">
      <c r="A8217" s="10" t="str">
        <f>IF(8209&gt;$C$9008,"",INDEX($B$9:$B$9008,MATCH(8209,$C$9:$C$9008,0)))</f>
        <v/>
      </c>
      <c r="B8217" s="9" t="str">
        <f>IFERROR(INDEX(Input!$L$20:$T$1019,INT((ROW()-9)/9)+1,MOD(ROW()-9,9)+1),"")</f>
        <v/>
      </c>
      <c r="C8217" s="9">
        <f t="shared" si="128"/>
        <v>0</v>
      </c>
    </row>
    <row r="8218" spans="1:3" x14ac:dyDescent="0.2">
      <c r="A8218" s="10" t="str">
        <f>IF(8210&gt;$C$9008,"",INDEX($B$9:$B$9008,MATCH(8210,$C$9:$C$9008,0)))</f>
        <v/>
      </c>
      <c r="B8218" s="9" t="str">
        <f>IFERROR(INDEX(Input!$L$20:$T$1019,INT((ROW()-9)/9)+1,MOD(ROW()-9,9)+1),"")</f>
        <v/>
      </c>
      <c r="C8218" s="9">
        <f t="shared" si="128"/>
        <v>0</v>
      </c>
    </row>
    <row r="8219" spans="1:3" x14ac:dyDescent="0.2">
      <c r="A8219" s="10" t="str">
        <f>IF(8211&gt;$C$9008,"",INDEX($B$9:$B$9008,MATCH(8211,$C$9:$C$9008,0)))</f>
        <v/>
      </c>
      <c r="B8219" s="9" t="str">
        <f>IFERROR(INDEX(Input!$L$20:$T$1019,INT((ROW()-9)/9)+1,MOD(ROW()-9,9)+1),"")</f>
        <v/>
      </c>
      <c r="C8219" s="9">
        <f t="shared" si="128"/>
        <v>0</v>
      </c>
    </row>
    <row r="8220" spans="1:3" x14ac:dyDescent="0.2">
      <c r="A8220" s="10" t="str">
        <f>IF(8212&gt;$C$9008,"",INDEX($B$9:$B$9008,MATCH(8212,$C$9:$C$9008,0)))</f>
        <v/>
      </c>
      <c r="B8220" s="9" t="str">
        <f>IFERROR(INDEX(Input!$L$20:$T$1019,INT((ROW()-9)/9)+1,MOD(ROW()-9,9)+1),"")</f>
        <v/>
      </c>
      <c r="C8220" s="9">
        <f t="shared" si="128"/>
        <v>0</v>
      </c>
    </row>
    <row r="8221" spans="1:3" x14ac:dyDescent="0.2">
      <c r="A8221" s="10" t="str">
        <f>IF(8213&gt;$C$9008,"",INDEX($B$9:$B$9008,MATCH(8213,$C$9:$C$9008,0)))</f>
        <v/>
      </c>
      <c r="B8221" s="9" t="str">
        <f>IFERROR(INDEX(Input!$L$20:$T$1019,INT((ROW()-9)/9)+1,MOD(ROW()-9,9)+1),"")</f>
        <v/>
      </c>
      <c r="C8221" s="9">
        <f t="shared" si="128"/>
        <v>0</v>
      </c>
    </row>
    <row r="8222" spans="1:3" x14ac:dyDescent="0.2">
      <c r="A8222" s="10" t="str">
        <f>IF(8214&gt;$C$9008,"",INDEX($B$9:$B$9008,MATCH(8214,$C$9:$C$9008,0)))</f>
        <v/>
      </c>
      <c r="B8222" s="9" t="str">
        <f>IFERROR(INDEX(Input!$L$20:$T$1019,INT((ROW()-9)/9)+1,MOD(ROW()-9,9)+1),"")</f>
        <v/>
      </c>
      <c r="C8222" s="9">
        <f t="shared" si="128"/>
        <v>0</v>
      </c>
    </row>
    <row r="8223" spans="1:3" x14ac:dyDescent="0.2">
      <c r="A8223" s="10" t="str">
        <f>IF(8215&gt;$C$9008,"",INDEX($B$9:$B$9008,MATCH(8215,$C$9:$C$9008,0)))</f>
        <v/>
      </c>
      <c r="B8223" s="9" t="str">
        <f>IFERROR(INDEX(Input!$L$20:$T$1019,INT((ROW()-9)/9)+1,MOD(ROW()-9,9)+1),"")</f>
        <v/>
      </c>
      <c r="C8223" s="9">
        <f t="shared" si="128"/>
        <v>0</v>
      </c>
    </row>
    <row r="8224" spans="1:3" x14ac:dyDescent="0.2">
      <c r="A8224" s="10" t="str">
        <f>IF(8216&gt;$C$9008,"",INDEX($B$9:$B$9008,MATCH(8216,$C$9:$C$9008,0)))</f>
        <v/>
      </c>
      <c r="B8224" s="9" t="str">
        <f>IFERROR(INDEX(Input!$L$20:$T$1019,INT((ROW()-9)/9)+1,MOD(ROW()-9,9)+1),"")</f>
        <v/>
      </c>
      <c r="C8224" s="9">
        <f t="shared" si="128"/>
        <v>0</v>
      </c>
    </row>
    <row r="8225" spans="1:3" x14ac:dyDescent="0.2">
      <c r="A8225" s="10" t="str">
        <f>IF(8217&gt;$C$9008,"",INDEX($B$9:$B$9008,MATCH(8217,$C$9:$C$9008,0)))</f>
        <v/>
      </c>
      <c r="B8225" s="9" t="str">
        <f>IFERROR(INDEX(Input!$L$20:$T$1019,INT((ROW()-9)/9)+1,MOD(ROW()-9,9)+1),"")</f>
        <v/>
      </c>
      <c r="C8225" s="9">
        <f t="shared" si="128"/>
        <v>0</v>
      </c>
    </row>
    <row r="8226" spans="1:3" x14ac:dyDescent="0.2">
      <c r="A8226" s="10" t="str">
        <f>IF(8218&gt;$C$9008,"",INDEX($B$9:$B$9008,MATCH(8218,$C$9:$C$9008,0)))</f>
        <v/>
      </c>
      <c r="B8226" s="9" t="str">
        <f>IFERROR(INDEX(Input!$L$20:$T$1019,INT((ROW()-9)/9)+1,MOD(ROW()-9,9)+1),"")</f>
        <v/>
      </c>
      <c r="C8226" s="9">
        <f t="shared" si="128"/>
        <v>0</v>
      </c>
    </row>
    <row r="8227" spans="1:3" x14ac:dyDescent="0.2">
      <c r="A8227" s="10" t="str">
        <f>IF(8219&gt;$C$9008,"",INDEX($B$9:$B$9008,MATCH(8219,$C$9:$C$9008,0)))</f>
        <v/>
      </c>
      <c r="B8227" s="9" t="str">
        <f>IFERROR(INDEX(Input!$L$20:$T$1019,INT((ROW()-9)/9)+1,MOD(ROW()-9,9)+1),"")</f>
        <v/>
      </c>
      <c r="C8227" s="9">
        <f t="shared" si="128"/>
        <v>0</v>
      </c>
    </row>
    <row r="8228" spans="1:3" x14ac:dyDescent="0.2">
      <c r="A8228" s="10" t="str">
        <f>IF(8220&gt;$C$9008,"",INDEX($B$9:$B$9008,MATCH(8220,$C$9:$C$9008,0)))</f>
        <v/>
      </c>
      <c r="B8228" s="9" t="str">
        <f>IFERROR(INDEX(Input!$L$20:$T$1019,INT((ROW()-9)/9)+1,MOD(ROW()-9,9)+1),"")</f>
        <v/>
      </c>
      <c r="C8228" s="9">
        <f t="shared" si="128"/>
        <v>0</v>
      </c>
    </row>
    <row r="8229" spans="1:3" x14ac:dyDescent="0.2">
      <c r="A8229" s="10" t="str">
        <f>IF(8221&gt;$C$9008,"",INDEX($B$9:$B$9008,MATCH(8221,$C$9:$C$9008,0)))</f>
        <v/>
      </c>
      <c r="B8229" s="9" t="str">
        <f>IFERROR(INDEX(Input!$L$20:$T$1019,INT((ROW()-9)/9)+1,MOD(ROW()-9,9)+1),"")</f>
        <v/>
      </c>
      <c r="C8229" s="9">
        <f t="shared" si="128"/>
        <v>0</v>
      </c>
    </row>
    <row r="8230" spans="1:3" x14ac:dyDescent="0.2">
      <c r="A8230" s="10" t="str">
        <f>IF(8222&gt;$C$9008,"",INDEX($B$9:$B$9008,MATCH(8222,$C$9:$C$9008,0)))</f>
        <v/>
      </c>
      <c r="B8230" s="9" t="str">
        <f>IFERROR(INDEX(Input!$L$20:$T$1019,INT((ROW()-9)/9)+1,MOD(ROW()-9,9)+1),"")</f>
        <v/>
      </c>
      <c r="C8230" s="9">
        <f t="shared" si="128"/>
        <v>0</v>
      </c>
    </row>
    <row r="8231" spans="1:3" x14ac:dyDescent="0.2">
      <c r="A8231" s="10" t="str">
        <f>IF(8223&gt;$C$9008,"",INDEX($B$9:$B$9008,MATCH(8223,$C$9:$C$9008,0)))</f>
        <v/>
      </c>
      <c r="B8231" s="9" t="str">
        <f>IFERROR(INDEX(Input!$L$20:$T$1019,INT((ROW()-9)/9)+1,MOD(ROW()-9,9)+1),"")</f>
        <v/>
      </c>
      <c r="C8231" s="9">
        <f t="shared" si="128"/>
        <v>0</v>
      </c>
    </row>
    <row r="8232" spans="1:3" x14ac:dyDescent="0.2">
      <c r="A8232" s="10" t="str">
        <f>IF(8224&gt;$C$9008,"",INDEX($B$9:$B$9008,MATCH(8224,$C$9:$C$9008,0)))</f>
        <v/>
      </c>
      <c r="B8232" s="9" t="str">
        <f>IFERROR(INDEX(Input!$L$20:$T$1019,INT((ROW()-9)/9)+1,MOD(ROW()-9,9)+1),"")</f>
        <v/>
      </c>
      <c r="C8232" s="9">
        <f t="shared" si="128"/>
        <v>0</v>
      </c>
    </row>
    <row r="8233" spans="1:3" x14ac:dyDescent="0.2">
      <c r="A8233" s="10" t="str">
        <f>IF(8225&gt;$C$9008,"",INDEX($B$9:$B$9008,MATCH(8225,$C$9:$C$9008,0)))</f>
        <v/>
      </c>
      <c r="B8233" s="9" t="str">
        <f>IFERROR(INDEX(Input!$L$20:$T$1019,INT((ROW()-9)/9)+1,MOD(ROW()-9,9)+1),"")</f>
        <v/>
      </c>
      <c r="C8233" s="9">
        <f t="shared" si="128"/>
        <v>0</v>
      </c>
    </row>
    <row r="8234" spans="1:3" x14ac:dyDescent="0.2">
      <c r="A8234" s="10" t="str">
        <f>IF(8226&gt;$C$9008,"",INDEX($B$9:$B$9008,MATCH(8226,$C$9:$C$9008,0)))</f>
        <v/>
      </c>
      <c r="B8234" s="9" t="str">
        <f>IFERROR(INDEX(Input!$L$20:$T$1019,INT((ROW()-9)/9)+1,MOD(ROW()-9,9)+1),"")</f>
        <v/>
      </c>
      <c r="C8234" s="9">
        <f t="shared" si="128"/>
        <v>0</v>
      </c>
    </row>
    <row r="8235" spans="1:3" x14ac:dyDescent="0.2">
      <c r="A8235" s="10" t="str">
        <f>IF(8227&gt;$C$9008,"",INDEX($B$9:$B$9008,MATCH(8227,$C$9:$C$9008,0)))</f>
        <v/>
      </c>
      <c r="B8235" s="9" t="str">
        <f>IFERROR(INDEX(Input!$L$20:$T$1019,INT((ROW()-9)/9)+1,MOD(ROW()-9,9)+1),"")</f>
        <v/>
      </c>
      <c r="C8235" s="9">
        <f t="shared" si="128"/>
        <v>0</v>
      </c>
    </row>
    <row r="8236" spans="1:3" x14ac:dyDescent="0.2">
      <c r="A8236" s="10" t="str">
        <f>IF(8228&gt;$C$9008,"",INDEX($B$9:$B$9008,MATCH(8228,$C$9:$C$9008,0)))</f>
        <v/>
      </c>
      <c r="B8236" s="9" t="str">
        <f>IFERROR(INDEX(Input!$L$20:$T$1019,INT((ROW()-9)/9)+1,MOD(ROW()-9,9)+1),"")</f>
        <v/>
      </c>
      <c r="C8236" s="9">
        <f t="shared" si="128"/>
        <v>0</v>
      </c>
    </row>
    <row r="8237" spans="1:3" x14ac:dyDescent="0.2">
      <c r="A8237" s="10" t="str">
        <f>IF(8229&gt;$C$9008,"",INDEX($B$9:$B$9008,MATCH(8229,$C$9:$C$9008,0)))</f>
        <v/>
      </c>
      <c r="B8237" s="9" t="str">
        <f>IFERROR(INDEX(Input!$L$20:$T$1019,INT((ROW()-9)/9)+1,MOD(ROW()-9,9)+1),"")</f>
        <v/>
      </c>
      <c r="C8237" s="9">
        <f t="shared" si="128"/>
        <v>0</v>
      </c>
    </row>
    <row r="8238" spans="1:3" x14ac:dyDescent="0.2">
      <c r="A8238" s="10" t="str">
        <f>IF(8230&gt;$C$9008,"",INDEX($B$9:$B$9008,MATCH(8230,$C$9:$C$9008,0)))</f>
        <v/>
      </c>
      <c r="B8238" s="9" t="str">
        <f>IFERROR(INDEX(Input!$L$20:$T$1019,INT((ROW()-9)/9)+1,MOD(ROW()-9,9)+1),"")</f>
        <v/>
      </c>
      <c r="C8238" s="9">
        <f t="shared" si="128"/>
        <v>0</v>
      </c>
    </row>
    <row r="8239" spans="1:3" x14ac:dyDescent="0.2">
      <c r="A8239" s="10" t="str">
        <f>IF(8231&gt;$C$9008,"",INDEX($B$9:$B$9008,MATCH(8231,$C$9:$C$9008,0)))</f>
        <v/>
      </c>
      <c r="B8239" s="9" t="str">
        <f>IFERROR(INDEX(Input!$L$20:$T$1019,INT((ROW()-9)/9)+1,MOD(ROW()-9,9)+1),"")</f>
        <v/>
      </c>
      <c r="C8239" s="9">
        <f t="shared" si="128"/>
        <v>0</v>
      </c>
    </row>
    <row r="8240" spans="1:3" x14ac:dyDescent="0.2">
      <c r="A8240" s="10" t="str">
        <f>IF(8232&gt;$C$9008,"",INDEX($B$9:$B$9008,MATCH(8232,$C$9:$C$9008,0)))</f>
        <v/>
      </c>
      <c r="B8240" s="9" t="str">
        <f>IFERROR(INDEX(Input!$L$20:$T$1019,INT((ROW()-9)/9)+1,MOD(ROW()-9,9)+1),"")</f>
        <v/>
      </c>
      <c r="C8240" s="9">
        <f t="shared" si="128"/>
        <v>0</v>
      </c>
    </row>
    <row r="8241" spans="1:3" x14ac:dyDescent="0.2">
      <c r="A8241" s="10" t="str">
        <f>IF(8233&gt;$C$9008,"",INDEX($B$9:$B$9008,MATCH(8233,$C$9:$C$9008,0)))</f>
        <v/>
      </c>
      <c r="B8241" s="9" t="str">
        <f>IFERROR(INDEX(Input!$L$20:$T$1019,INT((ROW()-9)/9)+1,MOD(ROW()-9,9)+1),"")</f>
        <v/>
      </c>
      <c r="C8241" s="9">
        <f t="shared" si="128"/>
        <v>0</v>
      </c>
    </row>
    <row r="8242" spans="1:3" x14ac:dyDescent="0.2">
      <c r="A8242" s="10" t="str">
        <f>IF(8234&gt;$C$9008,"",INDEX($B$9:$B$9008,MATCH(8234,$C$9:$C$9008,0)))</f>
        <v/>
      </c>
      <c r="B8242" s="9" t="str">
        <f>IFERROR(INDEX(Input!$L$20:$T$1019,INT((ROW()-9)/9)+1,MOD(ROW()-9,9)+1),"")</f>
        <v/>
      </c>
      <c r="C8242" s="9">
        <f t="shared" si="128"/>
        <v>0</v>
      </c>
    </row>
    <row r="8243" spans="1:3" x14ac:dyDescent="0.2">
      <c r="A8243" s="10" t="str">
        <f>IF(8235&gt;$C$9008,"",INDEX($B$9:$B$9008,MATCH(8235,$C$9:$C$9008,0)))</f>
        <v/>
      </c>
      <c r="B8243" s="9" t="str">
        <f>IFERROR(INDEX(Input!$L$20:$T$1019,INT((ROW()-9)/9)+1,MOD(ROW()-9,9)+1),"")</f>
        <v/>
      </c>
      <c r="C8243" s="9">
        <f t="shared" si="128"/>
        <v>0</v>
      </c>
    </row>
    <row r="8244" spans="1:3" x14ac:dyDescent="0.2">
      <c r="A8244" s="10" t="str">
        <f>IF(8236&gt;$C$9008,"",INDEX($B$9:$B$9008,MATCH(8236,$C$9:$C$9008,0)))</f>
        <v/>
      </c>
      <c r="B8244" s="9" t="str">
        <f>IFERROR(INDEX(Input!$L$20:$T$1019,INT((ROW()-9)/9)+1,MOD(ROW()-9,9)+1),"")</f>
        <v/>
      </c>
      <c r="C8244" s="9">
        <f t="shared" si="128"/>
        <v>0</v>
      </c>
    </row>
    <row r="8245" spans="1:3" x14ac:dyDescent="0.2">
      <c r="A8245" s="10" t="str">
        <f>IF(8237&gt;$C$9008,"",INDEX($B$9:$B$9008,MATCH(8237,$C$9:$C$9008,0)))</f>
        <v/>
      </c>
      <c r="B8245" s="9" t="str">
        <f>IFERROR(INDEX(Input!$L$20:$T$1019,INT((ROW()-9)/9)+1,MOD(ROW()-9,9)+1),"")</f>
        <v/>
      </c>
      <c r="C8245" s="9">
        <f t="shared" si="128"/>
        <v>0</v>
      </c>
    </row>
    <row r="8246" spans="1:3" x14ac:dyDescent="0.2">
      <c r="A8246" s="10" t="str">
        <f>IF(8238&gt;$C$9008,"",INDEX($B$9:$B$9008,MATCH(8238,$C$9:$C$9008,0)))</f>
        <v/>
      </c>
      <c r="B8246" s="9" t="str">
        <f>IFERROR(INDEX(Input!$L$20:$T$1019,INT((ROW()-9)/9)+1,MOD(ROW()-9,9)+1),"")</f>
        <v/>
      </c>
      <c r="C8246" s="9">
        <f t="shared" si="128"/>
        <v>0</v>
      </c>
    </row>
    <row r="8247" spans="1:3" x14ac:dyDescent="0.2">
      <c r="A8247" s="10" t="str">
        <f>IF(8239&gt;$C$9008,"",INDEX($B$9:$B$9008,MATCH(8239,$C$9:$C$9008,0)))</f>
        <v/>
      </c>
      <c r="B8247" s="9" t="str">
        <f>IFERROR(INDEX(Input!$L$20:$T$1019,INT((ROW()-9)/9)+1,MOD(ROW()-9,9)+1),"")</f>
        <v/>
      </c>
      <c r="C8247" s="9">
        <f t="shared" si="128"/>
        <v>0</v>
      </c>
    </row>
    <row r="8248" spans="1:3" x14ac:dyDescent="0.2">
      <c r="A8248" s="10" t="str">
        <f>IF(8240&gt;$C$9008,"",INDEX($B$9:$B$9008,MATCH(8240,$C$9:$C$9008,0)))</f>
        <v/>
      </c>
      <c r="B8248" s="9" t="str">
        <f>IFERROR(INDEX(Input!$L$20:$T$1019,INT((ROW()-9)/9)+1,MOD(ROW()-9,9)+1),"")</f>
        <v/>
      </c>
      <c r="C8248" s="9">
        <f t="shared" si="128"/>
        <v>0</v>
      </c>
    </row>
    <row r="8249" spans="1:3" x14ac:dyDescent="0.2">
      <c r="A8249" s="10" t="str">
        <f>IF(8241&gt;$C$9008,"",INDEX($B$9:$B$9008,MATCH(8241,$C$9:$C$9008,0)))</f>
        <v/>
      </c>
      <c r="B8249" s="9" t="str">
        <f>IFERROR(INDEX(Input!$L$20:$T$1019,INT((ROW()-9)/9)+1,MOD(ROW()-9,9)+1),"")</f>
        <v/>
      </c>
      <c r="C8249" s="9">
        <f t="shared" si="128"/>
        <v>0</v>
      </c>
    </row>
    <row r="8250" spans="1:3" x14ac:dyDescent="0.2">
      <c r="A8250" s="10" t="str">
        <f>IF(8242&gt;$C$9008,"",INDEX($B$9:$B$9008,MATCH(8242,$C$9:$C$9008,0)))</f>
        <v/>
      </c>
      <c r="B8250" s="9" t="str">
        <f>IFERROR(INDEX(Input!$L$20:$T$1019,INT((ROW()-9)/9)+1,MOD(ROW()-9,9)+1),"")</f>
        <v/>
      </c>
      <c r="C8250" s="9">
        <f t="shared" si="128"/>
        <v>0</v>
      </c>
    </row>
    <row r="8251" spans="1:3" x14ac:dyDescent="0.2">
      <c r="A8251" s="10" t="str">
        <f>IF(8243&gt;$C$9008,"",INDEX($B$9:$B$9008,MATCH(8243,$C$9:$C$9008,0)))</f>
        <v/>
      </c>
      <c r="B8251" s="9" t="str">
        <f>IFERROR(INDEX(Input!$L$20:$T$1019,INT((ROW()-9)/9)+1,MOD(ROW()-9,9)+1),"")</f>
        <v/>
      </c>
      <c r="C8251" s="9">
        <f t="shared" si="128"/>
        <v>0</v>
      </c>
    </row>
    <row r="8252" spans="1:3" x14ac:dyDescent="0.2">
      <c r="A8252" s="10" t="str">
        <f>IF(8244&gt;$C$9008,"",INDEX($B$9:$B$9008,MATCH(8244,$C$9:$C$9008,0)))</f>
        <v/>
      </c>
      <c r="B8252" s="9" t="str">
        <f>IFERROR(INDEX(Input!$L$20:$T$1019,INT((ROW()-9)/9)+1,MOD(ROW()-9,9)+1),"")</f>
        <v/>
      </c>
      <c r="C8252" s="9">
        <f t="shared" si="128"/>
        <v>0</v>
      </c>
    </row>
    <row r="8253" spans="1:3" x14ac:dyDescent="0.2">
      <c r="A8253" s="10" t="str">
        <f>IF(8245&gt;$C$9008,"",INDEX($B$9:$B$9008,MATCH(8245,$C$9:$C$9008,0)))</f>
        <v/>
      </c>
      <c r="B8253" s="9" t="str">
        <f>IFERROR(INDEX(Input!$L$20:$T$1019,INT((ROW()-9)/9)+1,MOD(ROW()-9,9)+1),"")</f>
        <v/>
      </c>
      <c r="C8253" s="9">
        <f t="shared" si="128"/>
        <v>0</v>
      </c>
    </row>
    <row r="8254" spans="1:3" x14ac:dyDescent="0.2">
      <c r="A8254" s="10" t="str">
        <f>IF(8246&gt;$C$9008,"",INDEX($B$9:$B$9008,MATCH(8246,$C$9:$C$9008,0)))</f>
        <v/>
      </c>
      <c r="B8254" s="9" t="str">
        <f>IFERROR(INDEX(Input!$L$20:$T$1019,INT((ROW()-9)/9)+1,MOD(ROW()-9,9)+1),"")</f>
        <v/>
      </c>
      <c r="C8254" s="9">
        <f t="shared" si="128"/>
        <v>0</v>
      </c>
    </row>
    <row r="8255" spans="1:3" x14ac:dyDescent="0.2">
      <c r="A8255" s="10" t="str">
        <f>IF(8247&gt;$C$9008,"",INDEX($B$9:$B$9008,MATCH(8247,$C$9:$C$9008,0)))</f>
        <v/>
      </c>
      <c r="B8255" s="9" t="str">
        <f>IFERROR(INDEX(Input!$L$20:$T$1019,INT((ROW()-9)/9)+1,MOD(ROW()-9,9)+1),"")</f>
        <v/>
      </c>
      <c r="C8255" s="9">
        <f t="shared" si="128"/>
        <v>0</v>
      </c>
    </row>
    <row r="8256" spans="1:3" x14ac:dyDescent="0.2">
      <c r="A8256" s="10" t="str">
        <f>IF(8248&gt;$C$9008,"",INDEX($B$9:$B$9008,MATCH(8248,$C$9:$C$9008,0)))</f>
        <v/>
      </c>
      <c r="B8256" s="9" t="str">
        <f>IFERROR(INDEX(Input!$L$20:$T$1019,INT((ROW()-9)/9)+1,MOD(ROW()-9,9)+1),"")</f>
        <v/>
      </c>
      <c r="C8256" s="9">
        <f t="shared" si="128"/>
        <v>0</v>
      </c>
    </row>
    <row r="8257" spans="1:3" x14ac:dyDescent="0.2">
      <c r="A8257" s="10" t="str">
        <f>IF(8249&gt;$C$9008,"",INDEX($B$9:$B$9008,MATCH(8249,$C$9:$C$9008,0)))</f>
        <v/>
      </c>
      <c r="B8257" s="9" t="str">
        <f>IFERROR(INDEX(Input!$L$20:$T$1019,INT((ROW()-9)/9)+1,MOD(ROW()-9,9)+1),"")</f>
        <v/>
      </c>
      <c r="C8257" s="9">
        <f t="shared" si="128"/>
        <v>0</v>
      </c>
    </row>
    <row r="8258" spans="1:3" x14ac:dyDescent="0.2">
      <c r="A8258" s="10" t="str">
        <f>IF(8250&gt;$C$9008,"",INDEX($B$9:$B$9008,MATCH(8250,$C$9:$C$9008,0)))</f>
        <v/>
      </c>
      <c r="B8258" s="9" t="str">
        <f>IFERROR(INDEX(Input!$L$20:$T$1019,INT((ROW()-9)/9)+1,MOD(ROW()-9,9)+1),"")</f>
        <v/>
      </c>
      <c r="C8258" s="9">
        <f t="shared" si="128"/>
        <v>0</v>
      </c>
    </row>
    <row r="8259" spans="1:3" x14ac:dyDescent="0.2">
      <c r="A8259" s="10" t="str">
        <f>IF(8251&gt;$C$9008,"",INDEX($B$9:$B$9008,MATCH(8251,$C$9:$C$9008,0)))</f>
        <v/>
      </c>
      <c r="B8259" s="9" t="str">
        <f>IFERROR(INDEX(Input!$L$20:$T$1019,INT((ROW()-9)/9)+1,MOD(ROW()-9,9)+1),"")</f>
        <v/>
      </c>
      <c r="C8259" s="9">
        <f t="shared" si="128"/>
        <v>0</v>
      </c>
    </row>
    <row r="8260" spans="1:3" x14ac:dyDescent="0.2">
      <c r="A8260" s="10" t="str">
        <f>IF(8252&gt;$C$9008,"",INDEX($B$9:$B$9008,MATCH(8252,$C$9:$C$9008,0)))</f>
        <v/>
      </c>
      <c r="B8260" s="9" t="str">
        <f>IFERROR(INDEX(Input!$L$20:$T$1019,INT((ROW()-9)/9)+1,MOD(ROW()-9,9)+1),"")</f>
        <v/>
      </c>
      <c r="C8260" s="9">
        <f t="shared" si="128"/>
        <v>0</v>
      </c>
    </row>
    <row r="8261" spans="1:3" x14ac:dyDescent="0.2">
      <c r="A8261" s="10" t="str">
        <f>IF(8253&gt;$C$9008,"",INDEX($B$9:$B$9008,MATCH(8253,$C$9:$C$9008,0)))</f>
        <v/>
      </c>
      <c r="B8261" s="9" t="str">
        <f>IFERROR(INDEX(Input!$L$20:$T$1019,INT((ROW()-9)/9)+1,MOD(ROW()-9,9)+1),"")</f>
        <v/>
      </c>
      <c r="C8261" s="9">
        <f t="shared" si="128"/>
        <v>0</v>
      </c>
    </row>
    <row r="8262" spans="1:3" x14ac:dyDescent="0.2">
      <c r="A8262" s="10" t="str">
        <f>IF(8254&gt;$C$9008,"",INDEX($B$9:$B$9008,MATCH(8254,$C$9:$C$9008,0)))</f>
        <v/>
      </c>
      <c r="B8262" s="9" t="str">
        <f>IFERROR(INDEX(Input!$L$20:$T$1019,INT((ROW()-9)/9)+1,MOD(ROW()-9,9)+1),"")</f>
        <v/>
      </c>
      <c r="C8262" s="9">
        <f t="shared" si="128"/>
        <v>0</v>
      </c>
    </row>
    <row r="8263" spans="1:3" x14ac:dyDescent="0.2">
      <c r="A8263" s="10" t="str">
        <f>IF(8255&gt;$C$9008,"",INDEX($B$9:$B$9008,MATCH(8255,$C$9:$C$9008,0)))</f>
        <v/>
      </c>
      <c r="B8263" s="9" t="str">
        <f>IFERROR(INDEX(Input!$L$20:$T$1019,INT((ROW()-9)/9)+1,MOD(ROW()-9,9)+1),"")</f>
        <v/>
      </c>
      <c r="C8263" s="9">
        <f t="shared" si="128"/>
        <v>0</v>
      </c>
    </row>
    <row r="8264" spans="1:3" x14ac:dyDescent="0.2">
      <c r="A8264" s="10" t="str">
        <f>IF(8256&gt;$C$9008,"",INDEX($B$9:$B$9008,MATCH(8256,$C$9:$C$9008,0)))</f>
        <v/>
      </c>
      <c r="B8264" s="9" t="str">
        <f>IFERROR(INDEX(Input!$L$20:$T$1019,INT((ROW()-9)/9)+1,MOD(ROW()-9,9)+1),"")</f>
        <v/>
      </c>
      <c r="C8264" s="9">
        <f t="shared" si="128"/>
        <v>0</v>
      </c>
    </row>
    <row r="8265" spans="1:3" x14ac:dyDescent="0.2">
      <c r="A8265" s="10" t="str">
        <f>IF(8257&gt;$C$9008,"",INDEX($B$9:$B$9008,MATCH(8257,$C$9:$C$9008,0)))</f>
        <v/>
      </c>
      <c r="B8265" s="9" t="str">
        <f>IFERROR(INDEX(Input!$L$20:$T$1019,INT((ROW()-9)/9)+1,MOD(ROW()-9,9)+1),"")</f>
        <v/>
      </c>
      <c r="C8265" s="9">
        <f t="shared" ref="C8265:C8328" si="129">$C8264+IF($B8265&lt;&gt;"",1,0)</f>
        <v>0</v>
      </c>
    </row>
    <row r="8266" spans="1:3" x14ac:dyDescent="0.2">
      <c r="A8266" s="10" t="str">
        <f>IF(8258&gt;$C$9008,"",INDEX($B$9:$B$9008,MATCH(8258,$C$9:$C$9008,0)))</f>
        <v/>
      </c>
      <c r="B8266" s="9" t="str">
        <f>IFERROR(INDEX(Input!$L$20:$T$1019,INT((ROW()-9)/9)+1,MOD(ROW()-9,9)+1),"")</f>
        <v/>
      </c>
      <c r="C8266" s="9">
        <f t="shared" si="129"/>
        <v>0</v>
      </c>
    </row>
    <row r="8267" spans="1:3" x14ac:dyDescent="0.2">
      <c r="A8267" s="10" t="str">
        <f>IF(8259&gt;$C$9008,"",INDEX($B$9:$B$9008,MATCH(8259,$C$9:$C$9008,0)))</f>
        <v/>
      </c>
      <c r="B8267" s="9" t="str">
        <f>IFERROR(INDEX(Input!$L$20:$T$1019,INT((ROW()-9)/9)+1,MOD(ROW()-9,9)+1),"")</f>
        <v/>
      </c>
      <c r="C8267" s="9">
        <f t="shared" si="129"/>
        <v>0</v>
      </c>
    </row>
    <row r="8268" spans="1:3" x14ac:dyDescent="0.2">
      <c r="A8268" s="10" t="str">
        <f>IF(8260&gt;$C$9008,"",INDEX($B$9:$B$9008,MATCH(8260,$C$9:$C$9008,0)))</f>
        <v/>
      </c>
      <c r="B8268" s="9" t="str">
        <f>IFERROR(INDEX(Input!$L$20:$T$1019,INT((ROW()-9)/9)+1,MOD(ROW()-9,9)+1),"")</f>
        <v/>
      </c>
      <c r="C8268" s="9">
        <f t="shared" si="129"/>
        <v>0</v>
      </c>
    </row>
    <row r="8269" spans="1:3" x14ac:dyDescent="0.2">
      <c r="A8269" s="10" t="str">
        <f>IF(8261&gt;$C$9008,"",INDEX($B$9:$B$9008,MATCH(8261,$C$9:$C$9008,0)))</f>
        <v/>
      </c>
      <c r="B8269" s="9" t="str">
        <f>IFERROR(INDEX(Input!$L$20:$T$1019,INT((ROW()-9)/9)+1,MOD(ROW()-9,9)+1),"")</f>
        <v/>
      </c>
      <c r="C8269" s="9">
        <f t="shared" si="129"/>
        <v>0</v>
      </c>
    </row>
    <row r="8270" spans="1:3" x14ac:dyDescent="0.2">
      <c r="A8270" s="10" t="str">
        <f>IF(8262&gt;$C$9008,"",INDEX($B$9:$B$9008,MATCH(8262,$C$9:$C$9008,0)))</f>
        <v/>
      </c>
      <c r="B8270" s="9" t="str">
        <f>IFERROR(INDEX(Input!$L$20:$T$1019,INT((ROW()-9)/9)+1,MOD(ROW()-9,9)+1),"")</f>
        <v/>
      </c>
      <c r="C8270" s="9">
        <f t="shared" si="129"/>
        <v>0</v>
      </c>
    </row>
    <row r="8271" spans="1:3" x14ac:dyDescent="0.2">
      <c r="A8271" s="10" t="str">
        <f>IF(8263&gt;$C$9008,"",INDEX($B$9:$B$9008,MATCH(8263,$C$9:$C$9008,0)))</f>
        <v/>
      </c>
      <c r="B8271" s="9" t="str">
        <f>IFERROR(INDEX(Input!$L$20:$T$1019,INT((ROW()-9)/9)+1,MOD(ROW()-9,9)+1),"")</f>
        <v/>
      </c>
      <c r="C8271" s="9">
        <f t="shared" si="129"/>
        <v>0</v>
      </c>
    </row>
    <row r="8272" spans="1:3" x14ac:dyDescent="0.2">
      <c r="A8272" s="10" t="str">
        <f>IF(8264&gt;$C$9008,"",INDEX($B$9:$B$9008,MATCH(8264,$C$9:$C$9008,0)))</f>
        <v/>
      </c>
      <c r="B8272" s="9" t="str">
        <f>IFERROR(INDEX(Input!$L$20:$T$1019,INT((ROW()-9)/9)+1,MOD(ROW()-9,9)+1),"")</f>
        <v/>
      </c>
      <c r="C8272" s="9">
        <f t="shared" si="129"/>
        <v>0</v>
      </c>
    </row>
    <row r="8273" spans="1:3" x14ac:dyDescent="0.2">
      <c r="A8273" s="10" t="str">
        <f>IF(8265&gt;$C$9008,"",INDEX($B$9:$B$9008,MATCH(8265,$C$9:$C$9008,0)))</f>
        <v/>
      </c>
      <c r="B8273" s="9" t="str">
        <f>IFERROR(INDEX(Input!$L$20:$T$1019,INT((ROW()-9)/9)+1,MOD(ROW()-9,9)+1),"")</f>
        <v/>
      </c>
      <c r="C8273" s="9">
        <f t="shared" si="129"/>
        <v>0</v>
      </c>
    </row>
    <row r="8274" spans="1:3" x14ac:dyDescent="0.2">
      <c r="A8274" s="10" t="str">
        <f>IF(8266&gt;$C$9008,"",INDEX($B$9:$B$9008,MATCH(8266,$C$9:$C$9008,0)))</f>
        <v/>
      </c>
      <c r="B8274" s="9" t="str">
        <f>IFERROR(INDEX(Input!$L$20:$T$1019,INT((ROW()-9)/9)+1,MOD(ROW()-9,9)+1),"")</f>
        <v/>
      </c>
      <c r="C8274" s="9">
        <f t="shared" si="129"/>
        <v>0</v>
      </c>
    </row>
    <row r="8275" spans="1:3" x14ac:dyDescent="0.2">
      <c r="A8275" s="10" t="str">
        <f>IF(8267&gt;$C$9008,"",INDEX($B$9:$B$9008,MATCH(8267,$C$9:$C$9008,0)))</f>
        <v/>
      </c>
      <c r="B8275" s="9" t="str">
        <f>IFERROR(INDEX(Input!$L$20:$T$1019,INT((ROW()-9)/9)+1,MOD(ROW()-9,9)+1),"")</f>
        <v/>
      </c>
      <c r="C8275" s="9">
        <f t="shared" si="129"/>
        <v>0</v>
      </c>
    </row>
    <row r="8276" spans="1:3" x14ac:dyDescent="0.2">
      <c r="A8276" s="10" t="str">
        <f>IF(8268&gt;$C$9008,"",INDEX($B$9:$B$9008,MATCH(8268,$C$9:$C$9008,0)))</f>
        <v/>
      </c>
      <c r="B8276" s="9" t="str">
        <f>IFERROR(INDEX(Input!$L$20:$T$1019,INT((ROW()-9)/9)+1,MOD(ROW()-9,9)+1),"")</f>
        <v/>
      </c>
      <c r="C8276" s="9">
        <f t="shared" si="129"/>
        <v>0</v>
      </c>
    </row>
    <row r="8277" spans="1:3" x14ac:dyDescent="0.2">
      <c r="A8277" s="10" t="str">
        <f>IF(8269&gt;$C$9008,"",INDEX($B$9:$B$9008,MATCH(8269,$C$9:$C$9008,0)))</f>
        <v/>
      </c>
      <c r="B8277" s="9" t="str">
        <f>IFERROR(INDEX(Input!$L$20:$T$1019,INT((ROW()-9)/9)+1,MOD(ROW()-9,9)+1),"")</f>
        <v/>
      </c>
      <c r="C8277" s="9">
        <f t="shared" si="129"/>
        <v>0</v>
      </c>
    </row>
    <row r="8278" spans="1:3" x14ac:dyDescent="0.2">
      <c r="A8278" s="10" t="str">
        <f>IF(8270&gt;$C$9008,"",INDEX($B$9:$B$9008,MATCH(8270,$C$9:$C$9008,0)))</f>
        <v/>
      </c>
      <c r="B8278" s="9" t="str">
        <f>IFERROR(INDEX(Input!$L$20:$T$1019,INT((ROW()-9)/9)+1,MOD(ROW()-9,9)+1),"")</f>
        <v/>
      </c>
      <c r="C8278" s="9">
        <f t="shared" si="129"/>
        <v>0</v>
      </c>
    </row>
    <row r="8279" spans="1:3" x14ac:dyDescent="0.2">
      <c r="A8279" s="10" t="str">
        <f>IF(8271&gt;$C$9008,"",INDEX($B$9:$B$9008,MATCH(8271,$C$9:$C$9008,0)))</f>
        <v/>
      </c>
      <c r="B8279" s="9" t="str">
        <f>IFERROR(INDEX(Input!$L$20:$T$1019,INT((ROW()-9)/9)+1,MOD(ROW()-9,9)+1),"")</f>
        <v/>
      </c>
      <c r="C8279" s="9">
        <f t="shared" si="129"/>
        <v>0</v>
      </c>
    </row>
    <row r="8280" spans="1:3" x14ac:dyDescent="0.2">
      <c r="A8280" s="10" t="str">
        <f>IF(8272&gt;$C$9008,"",INDEX($B$9:$B$9008,MATCH(8272,$C$9:$C$9008,0)))</f>
        <v/>
      </c>
      <c r="B8280" s="9" t="str">
        <f>IFERROR(INDEX(Input!$L$20:$T$1019,INT((ROW()-9)/9)+1,MOD(ROW()-9,9)+1),"")</f>
        <v/>
      </c>
      <c r="C8280" s="9">
        <f t="shared" si="129"/>
        <v>0</v>
      </c>
    </row>
    <row r="8281" spans="1:3" x14ac:dyDescent="0.2">
      <c r="A8281" s="10" t="str">
        <f>IF(8273&gt;$C$9008,"",INDEX($B$9:$B$9008,MATCH(8273,$C$9:$C$9008,0)))</f>
        <v/>
      </c>
      <c r="B8281" s="9" t="str">
        <f>IFERROR(INDEX(Input!$L$20:$T$1019,INT((ROW()-9)/9)+1,MOD(ROW()-9,9)+1),"")</f>
        <v/>
      </c>
      <c r="C8281" s="9">
        <f t="shared" si="129"/>
        <v>0</v>
      </c>
    </row>
    <row r="8282" spans="1:3" x14ac:dyDescent="0.2">
      <c r="A8282" s="10" t="str">
        <f>IF(8274&gt;$C$9008,"",INDEX($B$9:$B$9008,MATCH(8274,$C$9:$C$9008,0)))</f>
        <v/>
      </c>
      <c r="B8282" s="9" t="str">
        <f>IFERROR(INDEX(Input!$L$20:$T$1019,INT((ROW()-9)/9)+1,MOD(ROW()-9,9)+1),"")</f>
        <v/>
      </c>
      <c r="C8282" s="9">
        <f t="shared" si="129"/>
        <v>0</v>
      </c>
    </row>
    <row r="8283" spans="1:3" x14ac:dyDescent="0.2">
      <c r="A8283" s="10" t="str">
        <f>IF(8275&gt;$C$9008,"",INDEX($B$9:$B$9008,MATCH(8275,$C$9:$C$9008,0)))</f>
        <v/>
      </c>
      <c r="B8283" s="9" t="str">
        <f>IFERROR(INDEX(Input!$L$20:$T$1019,INT((ROW()-9)/9)+1,MOD(ROW()-9,9)+1),"")</f>
        <v/>
      </c>
      <c r="C8283" s="9">
        <f t="shared" si="129"/>
        <v>0</v>
      </c>
    </row>
    <row r="8284" spans="1:3" x14ac:dyDescent="0.2">
      <c r="A8284" s="10" t="str">
        <f>IF(8276&gt;$C$9008,"",INDEX($B$9:$B$9008,MATCH(8276,$C$9:$C$9008,0)))</f>
        <v/>
      </c>
      <c r="B8284" s="9" t="str">
        <f>IFERROR(INDEX(Input!$L$20:$T$1019,INT((ROW()-9)/9)+1,MOD(ROW()-9,9)+1),"")</f>
        <v/>
      </c>
      <c r="C8284" s="9">
        <f t="shared" si="129"/>
        <v>0</v>
      </c>
    </row>
    <row r="8285" spans="1:3" x14ac:dyDescent="0.2">
      <c r="A8285" s="10" t="str">
        <f>IF(8277&gt;$C$9008,"",INDEX($B$9:$B$9008,MATCH(8277,$C$9:$C$9008,0)))</f>
        <v/>
      </c>
      <c r="B8285" s="9" t="str">
        <f>IFERROR(INDEX(Input!$L$20:$T$1019,INT((ROW()-9)/9)+1,MOD(ROW()-9,9)+1),"")</f>
        <v/>
      </c>
      <c r="C8285" s="9">
        <f t="shared" si="129"/>
        <v>0</v>
      </c>
    </row>
    <row r="8286" spans="1:3" x14ac:dyDescent="0.2">
      <c r="A8286" s="10" t="str">
        <f>IF(8278&gt;$C$9008,"",INDEX($B$9:$B$9008,MATCH(8278,$C$9:$C$9008,0)))</f>
        <v/>
      </c>
      <c r="B8286" s="9" t="str">
        <f>IFERROR(INDEX(Input!$L$20:$T$1019,INT((ROW()-9)/9)+1,MOD(ROW()-9,9)+1),"")</f>
        <v/>
      </c>
      <c r="C8286" s="9">
        <f t="shared" si="129"/>
        <v>0</v>
      </c>
    </row>
    <row r="8287" spans="1:3" x14ac:dyDescent="0.2">
      <c r="A8287" s="10" t="str">
        <f>IF(8279&gt;$C$9008,"",INDEX($B$9:$B$9008,MATCH(8279,$C$9:$C$9008,0)))</f>
        <v/>
      </c>
      <c r="B8287" s="9" t="str">
        <f>IFERROR(INDEX(Input!$L$20:$T$1019,INT((ROW()-9)/9)+1,MOD(ROW()-9,9)+1),"")</f>
        <v/>
      </c>
      <c r="C8287" s="9">
        <f t="shared" si="129"/>
        <v>0</v>
      </c>
    </row>
    <row r="8288" spans="1:3" x14ac:dyDescent="0.2">
      <c r="A8288" s="10" t="str">
        <f>IF(8280&gt;$C$9008,"",INDEX($B$9:$B$9008,MATCH(8280,$C$9:$C$9008,0)))</f>
        <v/>
      </c>
      <c r="B8288" s="9" t="str">
        <f>IFERROR(INDEX(Input!$L$20:$T$1019,INT((ROW()-9)/9)+1,MOD(ROW()-9,9)+1),"")</f>
        <v/>
      </c>
      <c r="C8288" s="9">
        <f t="shared" si="129"/>
        <v>0</v>
      </c>
    </row>
    <row r="8289" spans="1:3" x14ac:dyDescent="0.2">
      <c r="A8289" s="10" t="str">
        <f>IF(8281&gt;$C$9008,"",INDEX($B$9:$B$9008,MATCH(8281,$C$9:$C$9008,0)))</f>
        <v/>
      </c>
      <c r="B8289" s="9" t="str">
        <f>IFERROR(INDEX(Input!$L$20:$T$1019,INT((ROW()-9)/9)+1,MOD(ROW()-9,9)+1),"")</f>
        <v/>
      </c>
      <c r="C8289" s="9">
        <f t="shared" si="129"/>
        <v>0</v>
      </c>
    </row>
    <row r="8290" spans="1:3" x14ac:dyDescent="0.2">
      <c r="A8290" s="10" t="str">
        <f>IF(8282&gt;$C$9008,"",INDEX($B$9:$B$9008,MATCH(8282,$C$9:$C$9008,0)))</f>
        <v/>
      </c>
      <c r="B8290" s="9" t="str">
        <f>IFERROR(INDEX(Input!$L$20:$T$1019,INT((ROW()-9)/9)+1,MOD(ROW()-9,9)+1),"")</f>
        <v/>
      </c>
      <c r="C8290" s="9">
        <f t="shared" si="129"/>
        <v>0</v>
      </c>
    </row>
    <row r="8291" spans="1:3" x14ac:dyDescent="0.2">
      <c r="A8291" s="10" t="str">
        <f>IF(8283&gt;$C$9008,"",INDEX($B$9:$B$9008,MATCH(8283,$C$9:$C$9008,0)))</f>
        <v/>
      </c>
      <c r="B8291" s="9" t="str">
        <f>IFERROR(INDEX(Input!$L$20:$T$1019,INT((ROW()-9)/9)+1,MOD(ROW()-9,9)+1),"")</f>
        <v/>
      </c>
      <c r="C8291" s="9">
        <f t="shared" si="129"/>
        <v>0</v>
      </c>
    </row>
    <row r="8292" spans="1:3" x14ac:dyDescent="0.2">
      <c r="A8292" s="10" t="str">
        <f>IF(8284&gt;$C$9008,"",INDEX($B$9:$B$9008,MATCH(8284,$C$9:$C$9008,0)))</f>
        <v/>
      </c>
      <c r="B8292" s="9" t="str">
        <f>IFERROR(INDEX(Input!$L$20:$T$1019,INT((ROW()-9)/9)+1,MOD(ROW()-9,9)+1),"")</f>
        <v/>
      </c>
      <c r="C8292" s="9">
        <f t="shared" si="129"/>
        <v>0</v>
      </c>
    </row>
    <row r="8293" spans="1:3" x14ac:dyDescent="0.2">
      <c r="A8293" s="10" t="str">
        <f>IF(8285&gt;$C$9008,"",INDEX($B$9:$B$9008,MATCH(8285,$C$9:$C$9008,0)))</f>
        <v/>
      </c>
      <c r="B8293" s="9" t="str">
        <f>IFERROR(INDEX(Input!$L$20:$T$1019,INT((ROW()-9)/9)+1,MOD(ROW()-9,9)+1),"")</f>
        <v/>
      </c>
      <c r="C8293" s="9">
        <f t="shared" si="129"/>
        <v>0</v>
      </c>
    </row>
    <row r="8294" spans="1:3" x14ac:dyDescent="0.2">
      <c r="A8294" s="10" t="str">
        <f>IF(8286&gt;$C$9008,"",INDEX($B$9:$B$9008,MATCH(8286,$C$9:$C$9008,0)))</f>
        <v/>
      </c>
      <c r="B8294" s="9" t="str">
        <f>IFERROR(INDEX(Input!$L$20:$T$1019,INT((ROW()-9)/9)+1,MOD(ROW()-9,9)+1),"")</f>
        <v/>
      </c>
      <c r="C8294" s="9">
        <f t="shared" si="129"/>
        <v>0</v>
      </c>
    </row>
    <row r="8295" spans="1:3" x14ac:dyDescent="0.2">
      <c r="A8295" s="10" t="str">
        <f>IF(8287&gt;$C$9008,"",INDEX($B$9:$B$9008,MATCH(8287,$C$9:$C$9008,0)))</f>
        <v/>
      </c>
      <c r="B8295" s="9" t="str">
        <f>IFERROR(INDEX(Input!$L$20:$T$1019,INT((ROW()-9)/9)+1,MOD(ROW()-9,9)+1),"")</f>
        <v/>
      </c>
      <c r="C8295" s="9">
        <f t="shared" si="129"/>
        <v>0</v>
      </c>
    </row>
    <row r="8296" spans="1:3" x14ac:dyDescent="0.2">
      <c r="A8296" s="10" t="str">
        <f>IF(8288&gt;$C$9008,"",INDEX($B$9:$B$9008,MATCH(8288,$C$9:$C$9008,0)))</f>
        <v/>
      </c>
      <c r="B8296" s="9" t="str">
        <f>IFERROR(INDEX(Input!$L$20:$T$1019,INT((ROW()-9)/9)+1,MOD(ROW()-9,9)+1),"")</f>
        <v/>
      </c>
      <c r="C8296" s="9">
        <f t="shared" si="129"/>
        <v>0</v>
      </c>
    </row>
    <row r="8297" spans="1:3" x14ac:dyDescent="0.2">
      <c r="A8297" s="10" t="str">
        <f>IF(8289&gt;$C$9008,"",INDEX($B$9:$B$9008,MATCH(8289,$C$9:$C$9008,0)))</f>
        <v/>
      </c>
      <c r="B8297" s="9" t="str">
        <f>IFERROR(INDEX(Input!$L$20:$T$1019,INT((ROW()-9)/9)+1,MOD(ROW()-9,9)+1),"")</f>
        <v/>
      </c>
      <c r="C8297" s="9">
        <f t="shared" si="129"/>
        <v>0</v>
      </c>
    </row>
    <row r="8298" spans="1:3" x14ac:dyDescent="0.2">
      <c r="A8298" s="10" t="str">
        <f>IF(8290&gt;$C$9008,"",INDEX($B$9:$B$9008,MATCH(8290,$C$9:$C$9008,0)))</f>
        <v/>
      </c>
      <c r="B8298" s="9" t="str">
        <f>IFERROR(INDEX(Input!$L$20:$T$1019,INT((ROW()-9)/9)+1,MOD(ROW()-9,9)+1),"")</f>
        <v/>
      </c>
      <c r="C8298" s="9">
        <f t="shared" si="129"/>
        <v>0</v>
      </c>
    </row>
    <row r="8299" spans="1:3" x14ac:dyDescent="0.2">
      <c r="A8299" s="10" t="str">
        <f>IF(8291&gt;$C$9008,"",INDEX($B$9:$B$9008,MATCH(8291,$C$9:$C$9008,0)))</f>
        <v/>
      </c>
      <c r="B8299" s="9" t="str">
        <f>IFERROR(INDEX(Input!$L$20:$T$1019,INT((ROW()-9)/9)+1,MOD(ROW()-9,9)+1),"")</f>
        <v/>
      </c>
      <c r="C8299" s="9">
        <f t="shared" si="129"/>
        <v>0</v>
      </c>
    </row>
    <row r="8300" spans="1:3" x14ac:dyDescent="0.2">
      <c r="A8300" s="10" t="str">
        <f>IF(8292&gt;$C$9008,"",INDEX($B$9:$B$9008,MATCH(8292,$C$9:$C$9008,0)))</f>
        <v/>
      </c>
      <c r="B8300" s="9" t="str">
        <f>IFERROR(INDEX(Input!$L$20:$T$1019,INT((ROW()-9)/9)+1,MOD(ROW()-9,9)+1),"")</f>
        <v/>
      </c>
      <c r="C8300" s="9">
        <f t="shared" si="129"/>
        <v>0</v>
      </c>
    </row>
    <row r="8301" spans="1:3" x14ac:dyDescent="0.2">
      <c r="A8301" s="10" t="str">
        <f>IF(8293&gt;$C$9008,"",INDEX($B$9:$B$9008,MATCH(8293,$C$9:$C$9008,0)))</f>
        <v/>
      </c>
      <c r="B8301" s="9" t="str">
        <f>IFERROR(INDEX(Input!$L$20:$T$1019,INT((ROW()-9)/9)+1,MOD(ROW()-9,9)+1),"")</f>
        <v/>
      </c>
      <c r="C8301" s="9">
        <f t="shared" si="129"/>
        <v>0</v>
      </c>
    </row>
    <row r="8302" spans="1:3" x14ac:dyDescent="0.2">
      <c r="A8302" s="10" t="str">
        <f>IF(8294&gt;$C$9008,"",INDEX($B$9:$B$9008,MATCH(8294,$C$9:$C$9008,0)))</f>
        <v/>
      </c>
      <c r="B8302" s="9" t="str">
        <f>IFERROR(INDEX(Input!$L$20:$T$1019,INT((ROW()-9)/9)+1,MOD(ROW()-9,9)+1),"")</f>
        <v/>
      </c>
      <c r="C8302" s="9">
        <f t="shared" si="129"/>
        <v>0</v>
      </c>
    </row>
    <row r="8303" spans="1:3" x14ac:dyDescent="0.2">
      <c r="A8303" s="10" t="str">
        <f>IF(8295&gt;$C$9008,"",INDEX($B$9:$B$9008,MATCH(8295,$C$9:$C$9008,0)))</f>
        <v/>
      </c>
      <c r="B8303" s="9" t="str">
        <f>IFERROR(INDEX(Input!$L$20:$T$1019,INT((ROW()-9)/9)+1,MOD(ROW()-9,9)+1),"")</f>
        <v/>
      </c>
      <c r="C8303" s="9">
        <f t="shared" si="129"/>
        <v>0</v>
      </c>
    </row>
    <row r="8304" spans="1:3" x14ac:dyDescent="0.2">
      <c r="A8304" s="10" t="str">
        <f>IF(8296&gt;$C$9008,"",INDEX($B$9:$B$9008,MATCH(8296,$C$9:$C$9008,0)))</f>
        <v/>
      </c>
      <c r="B8304" s="9" t="str">
        <f>IFERROR(INDEX(Input!$L$20:$T$1019,INT((ROW()-9)/9)+1,MOD(ROW()-9,9)+1),"")</f>
        <v/>
      </c>
      <c r="C8304" s="9">
        <f t="shared" si="129"/>
        <v>0</v>
      </c>
    </row>
    <row r="8305" spans="1:3" x14ac:dyDescent="0.2">
      <c r="A8305" s="10" t="str">
        <f>IF(8297&gt;$C$9008,"",INDEX($B$9:$B$9008,MATCH(8297,$C$9:$C$9008,0)))</f>
        <v/>
      </c>
      <c r="B8305" s="9" t="str">
        <f>IFERROR(INDEX(Input!$L$20:$T$1019,INT((ROW()-9)/9)+1,MOD(ROW()-9,9)+1),"")</f>
        <v/>
      </c>
      <c r="C8305" s="9">
        <f t="shared" si="129"/>
        <v>0</v>
      </c>
    </row>
    <row r="8306" spans="1:3" x14ac:dyDescent="0.2">
      <c r="A8306" s="10" t="str">
        <f>IF(8298&gt;$C$9008,"",INDEX($B$9:$B$9008,MATCH(8298,$C$9:$C$9008,0)))</f>
        <v/>
      </c>
      <c r="B8306" s="9" t="str">
        <f>IFERROR(INDEX(Input!$L$20:$T$1019,INT((ROW()-9)/9)+1,MOD(ROW()-9,9)+1),"")</f>
        <v/>
      </c>
      <c r="C8306" s="9">
        <f t="shared" si="129"/>
        <v>0</v>
      </c>
    </row>
    <row r="8307" spans="1:3" x14ac:dyDescent="0.2">
      <c r="A8307" s="10" t="str">
        <f>IF(8299&gt;$C$9008,"",INDEX($B$9:$B$9008,MATCH(8299,$C$9:$C$9008,0)))</f>
        <v/>
      </c>
      <c r="B8307" s="9" t="str">
        <f>IFERROR(INDEX(Input!$L$20:$T$1019,INT((ROW()-9)/9)+1,MOD(ROW()-9,9)+1),"")</f>
        <v/>
      </c>
      <c r="C8307" s="9">
        <f t="shared" si="129"/>
        <v>0</v>
      </c>
    </row>
    <row r="8308" spans="1:3" x14ac:dyDescent="0.2">
      <c r="A8308" s="10" t="str">
        <f>IF(8300&gt;$C$9008,"",INDEX($B$9:$B$9008,MATCH(8300,$C$9:$C$9008,0)))</f>
        <v/>
      </c>
      <c r="B8308" s="9" t="str">
        <f>IFERROR(INDEX(Input!$L$20:$T$1019,INT((ROW()-9)/9)+1,MOD(ROW()-9,9)+1),"")</f>
        <v/>
      </c>
      <c r="C8308" s="9">
        <f t="shared" si="129"/>
        <v>0</v>
      </c>
    </row>
    <row r="8309" spans="1:3" x14ac:dyDescent="0.2">
      <c r="A8309" s="10" t="str">
        <f>IF(8301&gt;$C$9008,"",INDEX($B$9:$B$9008,MATCH(8301,$C$9:$C$9008,0)))</f>
        <v/>
      </c>
      <c r="B8309" s="9" t="str">
        <f>IFERROR(INDEX(Input!$L$20:$T$1019,INT((ROW()-9)/9)+1,MOD(ROW()-9,9)+1),"")</f>
        <v/>
      </c>
      <c r="C8309" s="9">
        <f t="shared" si="129"/>
        <v>0</v>
      </c>
    </row>
    <row r="8310" spans="1:3" x14ac:dyDescent="0.2">
      <c r="A8310" s="10" t="str">
        <f>IF(8302&gt;$C$9008,"",INDEX($B$9:$B$9008,MATCH(8302,$C$9:$C$9008,0)))</f>
        <v/>
      </c>
      <c r="B8310" s="9" t="str">
        <f>IFERROR(INDEX(Input!$L$20:$T$1019,INT((ROW()-9)/9)+1,MOD(ROW()-9,9)+1),"")</f>
        <v/>
      </c>
      <c r="C8310" s="9">
        <f t="shared" si="129"/>
        <v>0</v>
      </c>
    </row>
    <row r="8311" spans="1:3" x14ac:dyDescent="0.2">
      <c r="A8311" s="10" t="str">
        <f>IF(8303&gt;$C$9008,"",INDEX($B$9:$B$9008,MATCH(8303,$C$9:$C$9008,0)))</f>
        <v/>
      </c>
      <c r="B8311" s="9" t="str">
        <f>IFERROR(INDEX(Input!$L$20:$T$1019,INT((ROW()-9)/9)+1,MOD(ROW()-9,9)+1),"")</f>
        <v/>
      </c>
      <c r="C8311" s="9">
        <f t="shared" si="129"/>
        <v>0</v>
      </c>
    </row>
    <row r="8312" spans="1:3" x14ac:dyDescent="0.2">
      <c r="A8312" s="10" t="str">
        <f>IF(8304&gt;$C$9008,"",INDEX($B$9:$B$9008,MATCH(8304,$C$9:$C$9008,0)))</f>
        <v/>
      </c>
      <c r="B8312" s="9" t="str">
        <f>IFERROR(INDEX(Input!$L$20:$T$1019,INT((ROW()-9)/9)+1,MOD(ROW()-9,9)+1),"")</f>
        <v/>
      </c>
      <c r="C8312" s="9">
        <f t="shared" si="129"/>
        <v>0</v>
      </c>
    </row>
    <row r="8313" spans="1:3" x14ac:dyDescent="0.2">
      <c r="A8313" s="10" t="str">
        <f>IF(8305&gt;$C$9008,"",INDEX($B$9:$B$9008,MATCH(8305,$C$9:$C$9008,0)))</f>
        <v/>
      </c>
      <c r="B8313" s="9" t="str">
        <f>IFERROR(INDEX(Input!$L$20:$T$1019,INT((ROW()-9)/9)+1,MOD(ROW()-9,9)+1),"")</f>
        <v/>
      </c>
      <c r="C8313" s="9">
        <f t="shared" si="129"/>
        <v>0</v>
      </c>
    </row>
    <row r="8314" spans="1:3" x14ac:dyDescent="0.2">
      <c r="A8314" s="10" t="str">
        <f>IF(8306&gt;$C$9008,"",INDEX($B$9:$B$9008,MATCH(8306,$C$9:$C$9008,0)))</f>
        <v/>
      </c>
      <c r="B8314" s="9" t="str">
        <f>IFERROR(INDEX(Input!$L$20:$T$1019,INT((ROW()-9)/9)+1,MOD(ROW()-9,9)+1),"")</f>
        <v/>
      </c>
      <c r="C8314" s="9">
        <f t="shared" si="129"/>
        <v>0</v>
      </c>
    </row>
    <row r="8315" spans="1:3" x14ac:dyDescent="0.2">
      <c r="A8315" s="10" t="str">
        <f>IF(8307&gt;$C$9008,"",INDEX($B$9:$B$9008,MATCH(8307,$C$9:$C$9008,0)))</f>
        <v/>
      </c>
      <c r="B8315" s="9" t="str">
        <f>IFERROR(INDEX(Input!$L$20:$T$1019,INT((ROW()-9)/9)+1,MOD(ROW()-9,9)+1),"")</f>
        <v/>
      </c>
      <c r="C8315" s="9">
        <f t="shared" si="129"/>
        <v>0</v>
      </c>
    </row>
    <row r="8316" spans="1:3" x14ac:dyDescent="0.2">
      <c r="A8316" s="10" t="str">
        <f>IF(8308&gt;$C$9008,"",INDEX($B$9:$B$9008,MATCH(8308,$C$9:$C$9008,0)))</f>
        <v/>
      </c>
      <c r="B8316" s="9" t="str">
        <f>IFERROR(INDEX(Input!$L$20:$T$1019,INT((ROW()-9)/9)+1,MOD(ROW()-9,9)+1),"")</f>
        <v/>
      </c>
      <c r="C8316" s="9">
        <f t="shared" si="129"/>
        <v>0</v>
      </c>
    </row>
    <row r="8317" spans="1:3" x14ac:dyDescent="0.2">
      <c r="A8317" s="10" t="str">
        <f>IF(8309&gt;$C$9008,"",INDEX($B$9:$B$9008,MATCH(8309,$C$9:$C$9008,0)))</f>
        <v/>
      </c>
      <c r="B8317" s="9" t="str">
        <f>IFERROR(INDEX(Input!$L$20:$T$1019,INT((ROW()-9)/9)+1,MOD(ROW()-9,9)+1),"")</f>
        <v/>
      </c>
      <c r="C8317" s="9">
        <f t="shared" si="129"/>
        <v>0</v>
      </c>
    </row>
    <row r="8318" spans="1:3" x14ac:dyDescent="0.2">
      <c r="A8318" s="10" t="str">
        <f>IF(8310&gt;$C$9008,"",INDEX($B$9:$B$9008,MATCH(8310,$C$9:$C$9008,0)))</f>
        <v/>
      </c>
      <c r="B8318" s="9" t="str">
        <f>IFERROR(INDEX(Input!$L$20:$T$1019,INT((ROW()-9)/9)+1,MOD(ROW()-9,9)+1),"")</f>
        <v/>
      </c>
      <c r="C8318" s="9">
        <f t="shared" si="129"/>
        <v>0</v>
      </c>
    </row>
    <row r="8319" spans="1:3" x14ac:dyDescent="0.2">
      <c r="A8319" s="10" t="str">
        <f>IF(8311&gt;$C$9008,"",INDEX($B$9:$B$9008,MATCH(8311,$C$9:$C$9008,0)))</f>
        <v/>
      </c>
      <c r="B8319" s="9" t="str">
        <f>IFERROR(INDEX(Input!$L$20:$T$1019,INT((ROW()-9)/9)+1,MOD(ROW()-9,9)+1),"")</f>
        <v/>
      </c>
      <c r="C8319" s="9">
        <f t="shared" si="129"/>
        <v>0</v>
      </c>
    </row>
    <row r="8320" spans="1:3" x14ac:dyDescent="0.2">
      <c r="A8320" s="10" t="str">
        <f>IF(8312&gt;$C$9008,"",INDEX($B$9:$B$9008,MATCH(8312,$C$9:$C$9008,0)))</f>
        <v/>
      </c>
      <c r="B8320" s="9" t="str">
        <f>IFERROR(INDEX(Input!$L$20:$T$1019,INT((ROW()-9)/9)+1,MOD(ROW()-9,9)+1),"")</f>
        <v/>
      </c>
      <c r="C8320" s="9">
        <f t="shared" si="129"/>
        <v>0</v>
      </c>
    </row>
    <row r="8321" spans="1:3" x14ac:dyDescent="0.2">
      <c r="A8321" s="10" t="str">
        <f>IF(8313&gt;$C$9008,"",INDEX($B$9:$B$9008,MATCH(8313,$C$9:$C$9008,0)))</f>
        <v/>
      </c>
      <c r="B8321" s="9" t="str">
        <f>IFERROR(INDEX(Input!$L$20:$T$1019,INT((ROW()-9)/9)+1,MOD(ROW()-9,9)+1),"")</f>
        <v/>
      </c>
      <c r="C8321" s="9">
        <f t="shared" si="129"/>
        <v>0</v>
      </c>
    </row>
    <row r="8322" spans="1:3" x14ac:dyDescent="0.2">
      <c r="A8322" s="10" t="str">
        <f>IF(8314&gt;$C$9008,"",INDEX($B$9:$B$9008,MATCH(8314,$C$9:$C$9008,0)))</f>
        <v/>
      </c>
      <c r="B8322" s="9" t="str">
        <f>IFERROR(INDEX(Input!$L$20:$T$1019,INT((ROW()-9)/9)+1,MOD(ROW()-9,9)+1),"")</f>
        <v/>
      </c>
      <c r="C8322" s="9">
        <f t="shared" si="129"/>
        <v>0</v>
      </c>
    </row>
    <row r="8323" spans="1:3" x14ac:dyDescent="0.2">
      <c r="A8323" s="10" t="str">
        <f>IF(8315&gt;$C$9008,"",INDEX($B$9:$B$9008,MATCH(8315,$C$9:$C$9008,0)))</f>
        <v/>
      </c>
      <c r="B8323" s="9" t="str">
        <f>IFERROR(INDEX(Input!$L$20:$T$1019,INT((ROW()-9)/9)+1,MOD(ROW()-9,9)+1),"")</f>
        <v/>
      </c>
      <c r="C8323" s="9">
        <f t="shared" si="129"/>
        <v>0</v>
      </c>
    </row>
    <row r="8324" spans="1:3" x14ac:dyDescent="0.2">
      <c r="A8324" s="10" t="str">
        <f>IF(8316&gt;$C$9008,"",INDEX($B$9:$B$9008,MATCH(8316,$C$9:$C$9008,0)))</f>
        <v/>
      </c>
      <c r="B8324" s="9" t="str">
        <f>IFERROR(INDEX(Input!$L$20:$T$1019,INT((ROW()-9)/9)+1,MOD(ROW()-9,9)+1),"")</f>
        <v/>
      </c>
      <c r="C8324" s="9">
        <f t="shared" si="129"/>
        <v>0</v>
      </c>
    </row>
    <row r="8325" spans="1:3" x14ac:dyDescent="0.2">
      <c r="A8325" s="10" t="str">
        <f>IF(8317&gt;$C$9008,"",INDEX($B$9:$B$9008,MATCH(8317,$C$9:$C$9008,0)))</f>
        <v/>
      </c>
      <c r="B8325" s="9" t="str">
        <f>IFERROR(INDEX(Input!$L$20:$T$1019,INT((ROW()-9)/9)+1,MOD(ROW()-9,9)+1),"")</f>
        <v/>
      </c>
      <c r="C8325" s="9">
        <f t="shared" si="129"/>
        <v>0</v>
      </c>
    </row>
    <row r="8326" spans="1:3" x14ac:dyDescent="0.2">
      <c r="A8326" s="10" t="str">
        <f>IF(8318&gt;$C$9008,"",INDEX($B$9:$B$9008,MATCH(8318,$C$9:$C$9008,0)))</f>
        <v/>
      </c>
      <c r="B8326" s="9" t="str">
        <f>IFERROR(INDEX(Input!$L$20:$T$1019,INT((ROW()-9)/9)+1,MOD(ROW()-9,9)+1),"")</f>
        <v/>
      </c>
      <c r="C8326" s="9">
        <f t="shared" si="129"/>
        <v>0</v>
      </c>
    </row>
    <row r="8327" spans="1:3" x14ac:dyDescent="0.2">
      <c r="A8327" s="10" t="str">
        <f>IF(8319&gt;$C$9008,"",INDEX($B$9:$B$9008,MATCH(8319,$C$9:$C$9008,0)))</f>
        <v/>
      </c>
      <c r="B8327" s="9" t="str">
        <f>IFERROR(INDEX(Input!$L$20:$T$1019,INT((ROW()-9)/9)+1,MOD(ROW()-9,9)+1),"")</f>
        <v/>
      </c>
      <c r="C8327" s="9">
        <f t="shared" si="129"/>
        <v>0</v>
      </c>
    </row>
    <row r="8328" spans="1:3" x14ac:dyDescent="0.2">
      <c r="A8328" s="10" t="str">
        <f>IF(8320&gt;$C$9008,"",INDEX($B$9:$B$9008,MATCH(8320,$C$9:$C$9008,0)))</f>
        <v/>
      </c>
      <c r="B8328" s="9" t="str">
        <f>IFERROR(INDEX(Input!$L$20:$T$1019,INT((ROW()-9)/9)+1,MOD(ROW()-9,9)+1),"")</f>
        <v/>
      </c>
      <c r="C8328" s="9">
        <f t="shared" si="129"/>
        <v>0</v>
      </c>
    </row>
    <row r="8329" spans="1:3" x14ac:dyDescent="0.2">
      <c r="A8329" s="10" t="str">
        <f>IF(8321&gt;$C$9008,"",INDEX($B$9:$B$9008,MATCH(8321,$C$9:$C$9008,0)))</f>
        <v/>
      </c>
      <c r="B8329" s="9" t="str">
        <f>IFERROR(INDEX(Input!$L$20:$T$1019,INT((ROW()-9)/9)+1,MOD(ROW()-9,9)+1),"")</f>
        <v/>
      </c>
      <c r="C8329" s="9">
        <f t="shared" ref="C8329:C8392" si="130">$C8328+IF($B8329&lt;&gt;"",1,0)</f>
        <v>0</v>
      </c>
    </row>
    <row r="8330" spans="1:3" x14ac:dyDescent="0.2">
      <c r="A8330" s="10" t="str">
        <f>IF(8322&gt;$C$9008,"",INDEX($B$9:$B$9008,MATCH(8322,$C$9:$C$9008,0)))</f>
        <v/>
      </c>
      <c r="B8330" s="9" t="str">
        <f>IFERROR(INDEX(Input!$L$20:$T$1019,INT((ROW()-9)/9)+1,MOD(ROW()-9,9)+1),"")</f>
        <v/>
      </c>
      <c r="C8330" s="9">
        <f t="shared" si="130"/>
        <v>0</v>
      </c>
    </row>
    <row r="8331" spans="1:3" x14ac:dyDescent="0.2">
      <c r="A8331" s="10" t="str">
        <f>IF(8323&gt;$C$9008,"",INDEX($B$9:$B$9008,MATCH(8323,$C$9:$C$9008,0)))</f>
        <v/>
      </c>
      <c r="B8331" s="9" t="str">
        <f>IFERROR(INDEX(Input!$L$20:$T$1019,INT((ROW()-9)/9)+1,MOD(ROW()-9,9)+1),"")</f>
        <v/>
      </c>
      <c r="C8331" s="9">
        <f t="shared" si="130"/>
        <v>0</v>
      </c>
    </row>
    <row r="8332" spans="1:3" x14ac:dyDescent="0.2">
      <c r="A8332" s="10" t="str">
        <f>IF(8324&gt;$C$9008,"",INDEX($B$9:$B$9008,MATCH(8324,$C$9:$C$9008,0)))</f>
        <v/>
      </c>
      <c r="B8332" s="9" t="str">
        <f>IFERROR(INDEX(Input!$L$20:$T$1019,INT((ROW()-9)/9)+1,MOD(ROW()-9,9)+1),"")</f>
        <v/>
      </c>
      <c r="C8332" s="9">
        <f t="shared" si="130"/>
        <v>0</v>
      </c>
    </row>
    <row r="8333" spans="1:3" x14ac:dyDescent="0.2">
      <c r="A8333" s="10" t="str">
        <f>IF(8325&gt;$C$9008,"",INDEX($B$9:$B$9008,MATCH(8325,$C$9:$C$9008,0)))</f>
        <v/>
      </c>
      <c r="B8333" s="9" t="str">
        <f>IFERROR(INDEX(Input!$L$20:$T$1019,INT((ROW()-9)/9)+1,MOD(ROW()-9,9)+1),"")</f>
        <v/>
      </c>
      <c r="C8333" s="9">
        <f t="shared" si="130"/>
        <v>0</v>
      </c>
    </row>
    <row r="8334" spans="1:3" x14ac:dyDescent="0.2">
      <c r="A8334" s="10" t="str">
        <f>IF(8326&gt;$C$9008,"",INDEX($B$9:$B$9008,MATCH(8326,$C$9:$C$9008,0)))</f>
        <v/>
      </c>
      <c r="B8334" s="9" t="str">
        <f>IFERROR(INDEX(Input!$L$20:$T$1019,INT((ROW()-9)/9)+1,MOD(ROW()-9,9)+1),"")</f>
        <v/>
      </c>
      <c r="C8334" s="9">
        <f t="shared" si="130"/>
        <v>0</v>
      </c>
    </row>
    <row r="8335" spans="1:3" x14ac:dyDescent="0.2">
      <c r="A8335" s="10" t="str">
        <f>IF(8327&gt;$C$9008,"",INDEX($B$9:$B$9008,MATCH(8327,$C$9:$C$9008,0)))</f>
        <v/>
      </c>
      <c r="B8335" s="9" t="str">
        <f>IFERROR(INDEX(Input!$L$20:$T$1019,INT((ROW()-9)/9)+1,MOD(ROW()-9,9)+1),"")</f>
        <v/>
      </c>
      <c r="C8335" s="9">
        <f t="shared" si="130"/>
        <v>0</v>
      </c>
    </row>
    <row r="8336" spans="1:3" x14ac:dyDescent="0.2">
      <c r="A8336" s="10" t="str">
        <f>IF(8328&gt;$C$9008,"",INDEX($B$9:$B$9008,MATCH(8328,$C$9:$C$9008,0)))</f>
        <v/>
      </c>
      <c r="B8336" s="9" t="str">
        <f>IFERROR(INDEX(Input!$L$20:$T$1019,INT((ROW()-9)/9)+1,MOD(ROW()-9,9)+1),"")</f>
        <v/>
      </c>
      <c r="C8336" s="9">
        <f t="shared" si="130"/>
        <v>0</v>
      </c>
    </row>
    <row r="8337" spans="1:3" x14ac:dyDescent="0.2">
      <c r="A8337" s="10" t="str">
        <f>IF(8329&gt;$C$9008,"",INDEX($B$9:$B$9008,MATCH(8329,$C$9:$C$9008,0)))</f>
        <v/>
      </c>
      <c r="B8337" s="9" t="str">
        <f>IFERROR(INDEX(Input!$L$20:$T$1019,INT((ROW()-9)/9)+1,MOD(ROW()-9,9)+1),"")</f>
        <v/>
      </c>
      <c r="C8337" s="9">
        <f t="shared" si="130"/>
        <v>0</v>
      </c>
    </row>
    <row r="8338" spans="1:3" x14ac:dyDescent="0.2">
      <c r="A8338" s="10" t="str">
        <f>IF(8330&gt;$C$9008,"",INDEX($B$9:$B$9008,MATCH(8330,$C$9:$C$9008,0)))</f>
        <v/>
      </c>
      <c r="B8338" s="9" t="str">
        <f>IFERROR(INDEX(Input!$L$20:$T$1019,INT((ROW()-9)/9)+1,MOD(ROW()-9,9)+1),"")</f>
        <v/>
      </c>
      <c r="C8338" s="9">
        <f t="shared" si="130"/>
        <v>0</v>
      </c>
    </row>
    <row r="8339" spans="1:3" x14ac:dyDescent="0.2">
      <c r="A8339" s="10" t="str">
        <f>IF(8331&gt;$C$9008,"",INDEX($B$9:$B$9008,MATCH(8331,$C$9:$C$9008,0)))</f>
        <v/>
      </c>
      <c r="B8339" s="9" t="str">
        <f>IFERROR(INDEX(Input!$L$20:$T$1019,INT((ROW()-9)/9)+1,MOD(ROW()-9,9)+1),"")</f>
        <v/>
      </c>
      <c r="C8339" s="9">
        <f t="shared" si="130"/>
        <v>0</v>
      </c>
    </row>
    <row r="8340" spans="1:3" x14ac:dyDescent="0.2">
      <c r="A8340" s="10" t="str">
        <f>IF(8332&gt;$C$9008,"",INDEX($B$9:$B$9008,MATCH(8332,$C$9:$C$9008,0)))</f>
        <v/>
      </c>
      <c r="B8340" s="9" t="str">
        <f>IFERROR(INDEX(Input!$L$20:$T$1019,INT((ROW()-9)/9)+1,MOD(ROW()-9,9)+1),"")</f>
        <v/>
      </c>
      <c r="C8340" s="9">
        <f t="shared" si="130"/>
        <v>0</v>
      </c>
    </row>
    <row r="8341" spans="1:3" x14ac:dyDescent="0.2">
      <c r="A8341" s="10" t="str">
        <f>IF(8333&gt;$C$9008,"",INDEX($B$9:$B$9008,MATCH(8333,$C$9:$C$9008,0)))</f>
        <v/>
      </c>
      <c r="B8341" s="9" t="str">
        <f>IFERROR(INDEX(Input!$L$20:$T$1019,INT((ROW()-9)/9)+1,MOD(ROW()-9,9)+1),"")</f>
        <v/>
      </c>
      <c r="C8341" s="9">
        <f t="shared" si="130"/>
        <v>0</v>
      </c>
    </row>
    <row r="8342" spans="1:3" x14ac:dyDescent="0.2">
      <c r="A8342" s="10" t="str">
        <f>IF(8334&gt;$C$9008,"",INDEX($B$9:$B$9008,MATCH(8334,$C$9:$C$9008,0)))</f>
        <v/>
      </c>
      <c r="B8342" s="9" t="str">
        <f>IFERROR(INDEX(Input!$L$20:$T$1019,INT((ROW()-9)/9)+1,MOD(ROW()-9,9)+1),"")</f>
        <v/>
      </c>
      <c r="C8342" s="9">
        <f t="shared" si="130"/>
        <v>0</v>
      </c>
    </row>
    <row r="8343" spans="1:3" x14ac:dyDescent="0.2">
      <c r="A8343" s="10" t="str">
        <f>IF(8335&gt;$C$9008,"",INDEX($B$9:$B$9008,MATCH(8335,$C$9:$C$9008,0)))</f>
        <v/>
      </c>
      <c r="B8343" s="9" t="str">
        <f>IFERROR(INDEX(Input!$L$20:$T$1019,INT((ROW()-9)/9)+1,MOD(ROW()-9,9)+1),"")</f>
        <v/>
      </c>
      <c r="C8343" s="9">
        <f t="shared" si="130"/>
        <v>0</v>
      </c>
    </row>
    <row r="8344" spans="1:3" x14ac:dyDescent="0.2">
      <c r="A8344" s="10" t="str">
        <f>IF(8336&gt;$C$9008,"",INDEX($B$9:$B$9008,MATCH(8336,$C$9:$C$9008,0)))</f>
        <v/>
      </c>
      <c r="B8344" s="9" t="str">
        <f>IFERROR(INDEX(Input!$L$20:$T$1019,INT((ROW()-9)/9)+1,MOD(ROW()-9,9)+1),"")</f>
        <v/>
      </c>
      <c r="C8344" s="9">
        <f t="shared" si="130"/>
        <v>0</v>
      </c>
    </row>
    <row r="8345" spans="1:3" x14ac:dyDescent="0.2">
      <c r="A8345" s="10" t="str">
        <f>IF(8337&gt;$C$9008,"",INDEX($B$9:$B$9008,MATCH(8337,$C$9:$C$9008,0)))</f>
        <v/>
      </c>
      <c r="B8345" s="9" t="str">
        <f>IFERROR(INDEX(Input!$L$20:$T$1019,INT((ROW()-9)/9)+1,MOD(ROW()-9,9)+1),"")</f>
        <v/>
      </c>
      <c r="C8345" s="9">
        <f t="shared" si="130"/>
        <v>0</v>
      </c>
    </row>
    <row r="8346" spans="1:3" x14ac:dyDescent="0.2">
      <c r="A8346" s="10" t="str">
        <f>IF(8338&gt;$C$9008,"",INDEX($B$9:$B$9008,MATCH(8338,$C$9:$C$9008,0)))</f>
        <v/>
      </c>
      <c r="B8346" s="9" t="str">
        <f>IFERROR(INDEX(Input!$L$20:$T$1019,INT((ROW()-9)/9)+1,MOD(ROW()-9,9)+1),"")</f>
        <v/>
      </c>
      <c r="C8346" s="9">
        <f t="shared" si="130"/>
        <v>0</v>
      </c>
    </row>
    <row r="8347" spans="1:3" x14ac:dyDescent="0.2">
      <c r="A8347" s="10" t="str">
        <f>IF(8339&gt;$C$9008,"",INDEX($B$9:$B$9008,MATCH(8339,$C$9:$C$9008,0)))</f>
        <v/>
      </c>
      <c r="B8347" s="9" t="str">
        <f>IFERROR(INDEX(Input!$L$20:$T$1019,INT((ROW()-9)/9)+1,MOD(ROW()-9,9)+1),"")</f>
        <v/>
      </c>
      <c r="C8347" s="9">
        <f t="shared" si="130"/>
        <v>0</v>
      </c>
    </row>
    <row r="8348" spans="1:3" x14ac:dyDescent="0.2">
      <c r="A8348" s="10" t="str">
        <f>IF(8340&gt;$C$9008,"",INDEX($B$9:$B$9008,MATCH(8340,$C$9:$C$9008,0)))</f>
        <v/>
      </c>
      <c r="B8348" s="9" t="str">
        <f>IFERROR(INDEX(Input!$L$20:$T$1019,INT((ROW()-9)/9)+1,MOD(ROW()-9,9)+1),"")</f>
        <v/>
      </c>
      <c r="C8348" s="9">
        <f t="shared" si="130"/>
        <v>0</v>
      </c>
    </row>
    <row r="8349" spans="1:3" x14ac:dyDescent="0.2">
      <c r="A8349" s="10" t="str">
        <f>IF(8341&gt;$C$9008,"",INDEX($B$9:$B$9008,MATCH(8341,$C$9:$C$9008,0)))</f>
        <v/>
      </c>
      <c r="B8349" s="9" t="str">
        <f>IFERROR(INDEX(Input!$L$20:$T$1019,INT((ROW()-9)/9)+1,MOD(ROW()-9,9)+1),"")</f>
        <v/>
      </c>
      <c r="C8349" s="9">
        <f t="shared" si="130"/>
        <v>0</v>
      </c>
    </row>
    <row r="8350" spans="1:3" x14ac:dyDescent="0.2">
      <c r="A8350" s="10" t="str">
        <f>IF(8342&gt;$C$9008,"",INDEX($B$9:$B$9008,MATCH(8342,$C$9:$C$9008,0)))</f>
        <v/>
      </c>
      <c r="B8350" s="9" t="str">
        <f>IFERROR(INDEX(Input!$L$20:$T$1019,INT((ROW()-9)/9)+1,MOD(ROW()-9,9)+1),"")</f>
        <v/>
      </c>
      <c r="C8350" s="9">
        <f t="shared" si="130"/>
        <v>0</v>
      </c>
    </row>
    <row r="8351" spans="1:3" x14ac:dyDescent="0.2">
      <c r="A8351" s="10" t="str">
        <f>IF(8343&gt;$C$9008,"",INDEX($B$9:$B$9008,MATCH(8343,$C$9:$C$9008,0)))</f>
        <v/>
      </c>
      <c r="B8351" s="9" t="str">
        <f>IFERROR(INDEX(Input!$L$20:$T$1019,INT((ROW()-9)/9)+1,MOD(ROW()-9,9)+1),"")</f>
        <v/>
      </c>
      <c r="C8351" s="9">
        <f t="shared" si="130"/>
        <v>0</v>
      </c>
    </row>
    <row r="8352" spans="1:3" x14ac:dyDescent="0.2">
      <c r="A8352" s="10" t="str">
        <f>IF(8344&gt;$C$9008,"",INDEX($B$9:$B$9008,MATCH(8344,$C$9:$C$9008,0)))</f>
        <v/>
      </c>
      <c r="B8352" s="9" t="str">
        <f>IFERROR(INDEX(Input!$L$20:$T$1019,INT((ROW()-9)/9)+1,MOD(ROW()-9,9)+1),"")</f>
        <v/>
      </c>
      <c r="C8352" s="9">
        <f t="shared" si="130"/>
        <v>0</v>
      </c>
    </row>
    <row r="8353" spans="1:3" x14ac:dyDescent="0.2">
      <c r="A8353" s="10" t="str">
        <f>IF(8345&gt;$C$9008,"",INDEX($B$9:$B$9008,MATCH(8345,$C$9:$C$9008,0)))</f>
        <v/>
      </c>
      <c r="B8353" s="9" t="str">
        <f>IFERROR(INDEX(Input!$L$20:$T$1019,INT((ROW()-9)/9)+1,MOD(ROW()-9,9)+1),"")</f>
        <v/>
      </c>
      <c r="C8353" s="9">
        <f t="shared" si="130"/>
        <v>0</v>
      </c>
    </row>
    <row r="8354" spans="1:3" x14ac:dyDescent="0.2">
      <c r="A8354" s="10" t="str">
        <f>IF(8346&gt;$C$9008,"",INDEX($B$9:$B$9008,MATCH(8346,$C$9:$C$9008,0)))</f>
        <v/>
      </c>
      <c r="B8354" s="9" t="str">
        <f>IFERROR(INDEX(Input!$L$20:$T$1019,INT((ROW()-9)/9)+1,MOD(ROW()-9,9)+1),"")</f>
        <v/>
      </c>
      <c r="C8354" s="9">
        <f t="shared" si="130"/>
        <v>0</v>
      </c>
    </row>
    <row r="8355" spans="1:3" x14ac:dyDescent="0.2">
      <c r="A8355" s="10" t="str">
        <f>IF(8347&gt;$C$9008,"",INDEX($B$9:$B$9008,MATCH(8347,$C$9:$C$9008,0)))</f>
        <v/>
      </c>
      <c r="B8355" s="9" t="str">
        <f>IFERROR(INDEX(Input!$L$20:$T$1019,INT((ROW()-9)/9)+1,MOD(ROW()-9,9)+1),"")</f>
        <v/>
      </c>
      <c r="C8355" s="9">
        <f t="shared" si="130"/>
        <v>0</v>
      </c>
    </row>
    <row r="8356" spans="1:3" x14ac:dyDescent="0.2">
      <c r="A8356" s="10" t="str">
        <f>IF(8348&gt;$C$9008,"",INDEX($B$9:$B$9008,MATCH(8348,$C$9:$C$9008,0)))</f>
        <v/>
      </c>
      <c r="B8356" s="9" t="str">
        <f>IFERROR(INDEX(Input!$L$20:$T$1019,INT((ROW()-9)/9)+1,MOD(ROW()-9,9)+1),"")</f>
        <v/>
      </c>
      <c r="C8356" s="9">
        <f t="shared" si="130"/>
        <v>0</v>
      </c>
    </row>
    <row r="8357" spans="1:3" x14ac:dyDescent="0.2">
      <c r="A8357" s="10" t="str">
        <f>IF(8349&gt;$C$9008,"",INDEX($B$9:$B$9008,MATCH(8349,$C$9:$C$9008,0)))</f>
        <v/>
      </c>
      <c r="B8357" s="9" t="str">
        <f>IFERROR(INDEX(Input!$L$20:$T$1019,INT((ROW()-9)/9)+1,MOD(ROW()-9,9)+1),"")</f>
        <v/>
      </c>
      <c r="C8357" s="9">
        <f t="shared" si="130"/>
        <v>0</v>
      </c>
    </row>
    <row r="8358" spans="1:3" x14ac:dyDescent="0.2">
      <c r="A8358" s="10" t="str">
        <f>IF(8350&gt;$C$9008,"",INDEX($B$9:$B$9008,MATCH(8350,$C$9:$C$9008,0)))</f>
        <v/>
      </c>
      <c r="B8358" s="9" t="str">
        <f>IFERROR(INDEX(Input!$L$20:$T$1019,INT((ROW()-9)/9)+1,MOD(ROW()-9,9)+1),"")</f>
        <v/>
      </c>
      <c r="C8358" s="9">
        <f t="shared" si="130"/>
        <v>0</v>
      </c>
    </row>
    <row r="8359" spans="1:3" x14ac:dyDescent="0.2">
      <c r="A8359" s="10" t="str">
        <f>IF(8351&gt;$C$9008,"",INDEX($B$9:$B$9008,MATCH(8351,$C$9:$C$9008,0)))</f>
        <v/>
      </c>
      <c r="B8359" s="9" t="str">
        <f>IFERROR(INDEX(Input!$L$20:$T$1019,INT((ROW()-9)/9)+1,MOD(ROW()-9,9)+1),"")</f>
        <v/>
      </c>
      <c r="C8359" s="9">
        <f t="shared" si="130"/>
        <v>0</v>
      </c>
    </row>
    <row r="8360" spans="1:3" x14ac:dyDescent="0.2">
      <c r="A8360" s="10" t="str">
        <f>IF(8352&gt;$C$9008,"",INDEX($B$9:$B$9008,MATCH(8352,$C$9:$C$9008,0)))</f>
        <v/>
      </c>
      <c r="B8360" s="9" t="str">
        <f>IFERROR(INDEX(Input!$L$20:$T$1019,INT((ROW()-9)/9)+1,MOD(ROW()-9,9)+1),"")</f>
        <v/>
      </c>
      <c r="C8360" s="9">
        <f t="shared" si="130"/>
        <v>0</v>
      </c>
    </row>
    <row r="8361" spans="1:3" x14ac:dyDescent="0.2">
      <c r="A8361" s="10" t="str">
        <f>IF(8353&gt;$C$9008,"",INDEX($B$9:$B$9008,MATCH(8353,$C$9:$C$9008,0)))</f>
        <v/>
      </c>
      <c r="B8361" s="9" t="str">
        <f>IFERROR(INDEX(Input!$L$20:$T$1019,INT((ROW()-9)/9)+1,MOD(ROW()-9,9)+1),"")</f>
        <v/>
      </c>
      <c r="C8361" s="9">
        <f t="shared" si="130"/>
        <v>0</v>
      </c>
    </row>
    <row r="8362" spans="1:3" x14ac:dyDescent="0.2">
      <c r="A8362" s="10" t="str">
        <f>IF(8354&gt;$C$9008,"",INDEX($B$9:$B$9008,MATCH(8354,$C$9:$C$9008,0)))</f>
        <v/>
      </c>
      <c r="B8362" s="9" t="str">
        <f>IFERROR(INDEX(Input!$L$20:$T$1019,INT((ROW()-9)/9)+1,MOD(ROW()-9,9)+1),"")</f>
        <v/>
      </c>
      <c r="C8362" s="9">
        <f t="shared" si="130"/>
        <v>0</v>
      </c>
    </row>
    <row r="8363" spans="1:3" x14ac:dyDescent="0.2">
      <c r="A8363" s="10" t="str">
        <f>IF(8355&gt;$C$9008,"",INDEX($B$9:$B$9008,MATCH(8355,$C$9:$C$9008,0)))</f>
        <v/>
      </c>
      <c r="B8363" s="9" t="str">
        <f>IFERROR(INDEX(Input!$L$20:$T$1019,INT((ROW()-9)/9)+1,MOD(ROW()-9,9)+1),"")</f>
        <v/>
      </c>
      <c r="C8363" s="9">
        <f t="shared" si="130"/>
        <v>0</v>
      </c>
    </row>
    <row r="8364" spans="1:3" x14ac:dyDescent="0.2">
      <c r="A8364" s="10" t="str">
        <f>IF(8356&gt;$C$9008,"",INDEX($B$9:$B$9008,MATCH(8356,$C$9:$C$9008,0)))</f>
        <v/>
      </c>
      <c r="B8364" s="9" t="str">
        <f>IFERROR(INDEX(Input!$L$20:$T$1019,INT((ROW()-9)/9)+1,MOD(ROW()-9,9)+1),"")</f>
        <v/>
      </c>
      <c r="C8364" s="9">
        <f t="shared" si="130"/>
        <v>0</v>
      </c>
    </row>
    <row r="8365" spans="1:3" x14ac:dyDescent="0.2">
      <c r="A8365" s="10" t="str">
        <f>IF(8357&gt;$C$9008,"",INDEX($B$9:$B$9008,MATCH(8357,$C$9:$C$9008,0)))</f>
        <v/>
      </c>
      <c r="B8365" s="9" t="str">
        <f>IFERROR(INDEX(Input!$L$20:$T$1019,INT((ROW()-9)/9)+1,MOD(ROW()-9,9)+1),"")</f>
        <v/>
      </c>
      <c r="C8365" s="9">
        <f t="shared" si="130"/>
        <v>0</v>
      </c>
    </row>
    <row r="8366" spans="1:3" x14ac:dyDescent="0.2">
      <c r="A8366" s="10" t="str">
        <f>IF(8358&gt;$C$9008,"",INDEX($B$9:$B$9008,MATCH(8358,$C$9:$C$9008,0)))</f>
        <v/>
      </c>
      <c r="B8366" s="9" t="str">
        <f>IFERROR(INDEX(Input!$L$20:$T$1019,INT((ROW()-9)/9)+1,MOD(ROW()-9,9)+1),"")</f>
        <v/>
      </c>
      <c r="C8366" s="9">
        <f t="shared" si="130"/>
        <v>0</v>
      </c>
    </row>
    <row r="8367" spans="1:3" x14ac:dyDescent="0.2">
      <c r="A8367" s="10" t="str">
        <f>IF(8359&gt;$C$9008,"",INDEX($B$9:$B$9008,MATCH(8359,$C$9:$C$9008,0)))</f>
        <v/>
      </c>
      <c r="B8367" s="9" t="str">
        <f>IFERROR(INDEX(Input!$L$20:$T$1019,INT((ROW()-9)/9)+1,MOD(ROW()-9,9)+1),"")</f>
        <v/>
      </c>
      <c r="C8367" s="9">
        <f t="shared" si="130"/>
        <v>0</v>
      </c>
    </row>
    <row r="8368" spans="1:3" x14ac:dyDescent="0.2">
      <c r="A8368" s="10" t="str">
        <f>IF(8360&gt;$C$9008,"",INDEX($B$9:$B$9008,MATCH(8360,$C$9:$C$9008,0)))</f>
        <v/>
      </c>
      <c r="B8368" s="9" t="str">
        <f>IFERROR(INDEX(Input!$L$20:$T$1019,INT((ROW()-9)/9)+1,MOD(ROW()-9,9)+1),"")</f>
        <v/>
      </c>
      <c r="C8368" s="9">
        <f t="shared" si="130"/>
        <v>0</v>
      </c>
    </row>
    <row r="8369" spans="1:3" x14ac:dyDescent="0.2">
      <c r="A8369" s="10" t="str">
        <f>IF(8361&gt;$C$9008,"",INDEX($B$9:$B$9008,MATCH(8361,$C$9:$C$9008,0)))</f>
        <v/>
      </c>
      <c r="B8369" s="9" t="str">
        <f>IFERROR(INDEX(Input!$L$20:$T$1019,INT((ROW()-9)/9)+1,MOD(ROW()-9,9)+1),"")</f>
        <v/>
      </c>
      <c r="C8369" s="9">
        <f t="shared" si="130"/>
        <v>0</v>
      </c>
    </row>
    <row r="8370" spans="1:3" x14ac:dyDescent="0.2">
      <c r="A8370" s="10" t="str">
        <f>IF(8362&gt;$C$9008,"",INDEX($B$9:$B$9008,MATCH(8362,$C$9:$C$9008,0)))</f>
        <v/>
      </c>
      <c r="B8370" s="9" t="str">
        <f>IFERROR(INDEX(Input!$L$20:$T$1019,INT((ROW()-9)/9)+1,MOD(ROW()-9,9)+1),"")</f>
        <v/>
      </c>
      <c r="C8370" s="9">
        <f t="shared" si="130"/>
        <v>0</v>
      </c>
    </row>
    <row r="8371" spans="1:3" x14ac:dyDescent="0.2">
      <c r="A8371" s="10" t="str">
        <f>IF(8363&gt;$C$9008,"",INDEX($B$9:$B$9008,MATCH(8363,$C$9:$C$9008,0)))</f>
        <v/>
      </c>
      <c r="B8371" s="9" t="str">
        <f>IFERROR(INDEX(Input!$L$20:$T$1019,INT((ROW()-9)/9)+1,MOD(ROW()-9,9)+1),"")</f>
        <v/>
      </c>
      <c r="C8371" s="9">
        <f t="shared" si="130"/>
        <v>0</v>
      </c>
    </row>
    <row r="8372" spans="1:3" x14ac:dyDescent="0.2">
      <c r="A8372" s="10" t="str">
        <f>IF(8364&gt;$C$9008,"",INDEX($B$9:$B$9008,MATCH(8364,$C$9:$C$9008,0)))</f>
        <v/>
      </c>
      <c r="B8372" s="9" t="str">
        <f>IFERROR(INDEX(Input!$L$20:$T$1019,INT((ROW()-9)/9)+1,MOD(ROW()-9,9)+1),"")</f>
        <v/>
      </c>
      <c r="C8372" s="9">
        <f t="shared" si="130"/>
        <v>0</v>
      </c>
    </row>
    <row r="8373" spans="1:3" x14ac:dyDescent="0.2">
      <c r="A8373" s="10" t="str">
        <f>IF(8365&gt;$C$9008,"",INDEX($B$9:$B$9008,MATCH(8365,$C$9:$C$9008,0)))</f>
        <v/>
      </c>
      <c r="B8373" s="9" t="str">
        <f>IFERROR(INDEX(Input!$L$20:$T$1019,INT((ROW()-9)/9)+1,MOD(ROW()-9,9)+1),"")</f>
        <v/>
      </c>
      <c r="C8373" s="9">
        <f t="shared" si="130"/>
        <v>0</v>
      </c>
    </row>
    <row r="8374" spans="1:3" x14ac:dyDescent="0.2">
      <c r="A8374" s="10" t="str">
        <f>IF(8366&gt;$C$9008,"",INDEX($B$9:$B$9008,MATCH(8366,$C$9:$C$9008,0)))</f>
        <v/>
      </c>
      <c r="B8374" s="9" t="str">
        <f>IFERROR(INDEX(Input!$L$20:$T$1019,INT((ROW()-9)/9)+1,MOD(ROW()-9,9)+1),"")</f>
        <v/>
      </c>
      <c r="C8374" s="9">
        <f t="shared" si="130"/>
        <v>0</v>
      </c>
    </row>
    <row r="8375" spans="1:3" x14ac:dyDescent="0.2">
      <c r="A8375" s="10" t="str">
        <f>IF(8367&gt;$C$9008,"",INDEX($B$9:$B$9008,MATCH(8367,$C$9:$C$9008,0)))</f>
        <v/>
      </c>
      <c r="B8375" s="9" t="str">
        <f>IFERROR(INDEX(Input!$L$20:$T$1019,INT((ROW()-9)/9)+1,MOD(ROW()-9,9)+1),"")</f>
        <v/>
      </c>
      <c r="C8375" s="9">
        <f t="shared" si="130"/>
        <v>0</v>
      </c>
    </row>
    <row r="8376" spans="1:3" x14ac:dyDescent="0.2">
      <c r="A8376" s="10" t="str">
        <f>IF(8368&gt;$C$9008,"",INDEX($B$9:$B$9008,MATCH(8368,$C$9:$C$9008,0)))</f>
        <v/>
      </c>
      <c r="B8376" s="9" t="str">
        <f>IFERROR(INDEX(Input!$L$20:$T$1019,INT((ROW()-9)/9)+1,MOD(ROW()-9,9)+1),"")</f>
        <v/>
      </c>
      <c r="C8376" s="9">
        <f t="shared" si="130"/>
        <v>0</v>
      </c>
    </row>
    <row r="8377" spans="1:3" x14ac:dyDescent="0.2">
      <c r="A8377" s="10" t="str">
        <f>IF(8369&gt;$C$9008,"",INDEX($B$9:$B$9008,MATCH(8369,$C$9:$C$9008,0)))</f>
        <v/>
      </c>
      <c r="B8377" s="9" t="str">
        <f>IFERROR(INDEX(Input!$L$20:$T$1019,INT((ROW()-9)/9)+1,MOD(ROW()-9,9)+1),"")</f>
        <v/>
      </c>
      <c r="C8377" s="9">
        <f t="shared" si="130"/>
        <v>0</v>
      </c>
    </row>
    <row r="8378" spans="1:3" x14ac:dyDescent="0.2">
      <c r="A8378" s="10" t="str">
        <f>IF(8370&gt;$C$9008,"",INDEX($B$9:$B$9008,MATCH(8370,$C$9:$C$9008,0)))</f>
        <v/>
      </c>
      <c r="B8378" s="9" t="str">
        <f>IFERROR(INDEX(Input!$L$20:$T$1019,INT((ROW()-9)/9)+1,MOD(ROW()-9,9)+1),"")</f>
        <v/>
      </c>
      <c r="C8378" s="9">
        <f t="shared" si="130"/>
        <v>0</v>
      </c>
    </row>
    <row r="8379" spans="1:3" x14ac:dyDescent="0.2">
      <c r="A8379" s="10" t="str">
        <f>IF(8371&gt;$C$9008,"",INDEX($B$9:$B$9008,MATCH(8371,$C$9:$C$9008,0)))</f>
        <v/>
      </c>
      <c r="B8379" s="9" t="str">
        <f>IFERROR(INDEX(Input!$L$20:$T$1019,INT((ROW()-9)/9)+1,MOD(ROW()-9,9)+1),"")</f>
        <v/>
      </c>
      <c r="C8379" s="9">
        <f t="shared" si="130"/>
        <v>0</v>
      </c>
    </row>
    <row r="8380" spans="1:3" x14ac:dyDescent="0.2">
      <c r="A8380" s="10" t="str">
        <f>IF(8372&gt;$C$9008,"",INDEX($B$9:$B$9008,MATCH(8372,$C$9:$C$9008,0)))</f>
        <v/>
      </c>
      <c r="B8380" s="9" t="str">
        <f>IFERROR(INDEX(Input!$L$20:$T$1019,INT((ROW()-9)/9)+1,MOD(ROW()-9,9)+1),"")</f>
        <v/>
      </c>
      <c r="C8380" s="9">
        <f t="shared" si="130"/>
        <v>0</v>
      </c>
    </row>
    <row r="8381" spans="1:3" x14ac:dyDescent="0.2">
      <c r="A8381" s="10" t="str">
        <f>IF(8373&gt;$C$9008,"",INDEX($B$9:$B$9008,MATCH(8373,$C$9:$C$9008,0)))</f>
        <v/>
      </c>
      <c r="B8381" s="9" t="str">
        <f>IFERROR(INDEX(Input!$L$20:$T$1019,INT((ROW()-9)/9)+1,MOD(ROW()-9,9)+1),"")</f>
        <v/>
      </c>
      <c r="C8381" s="9">
        <f t="shared" si="130"/>
        <v>0</v>
      </c>
    </row>
    <row r="8382" spans="1:3" x14ac:dyDescent="0.2">
      <c r="A8382" s="10" t="str">
        <f>IF(8374&gt;$C$9008,"",INDEX($B$9:$B$9008,MATCH(8374,$C$9:$C$9008,0)))</f>
        <v/>
      </c>
      <c r="B8382" s="9" t="str">
        <f>IFERROR(INDEX(Input!$L$20:$T$1019,INT((ROW()-9)/9)+1,MOD(ROW()-9,9)+1),"")</f>
        <v/>
      </c>
      <c r="C8382" s="9">
        <f t="shared" si="130"/>
        <v>0</v>
      </c>
    </row>
    <row r="8383" spans="1:3" x14ac:dyDescent="0.2">
      <c r="A8383" s="10" t="str">
        <f>IF(8375&gt;$C$9008,"",INDEX($B$9:$B$9008,MATCH(8375,$C$9:$C$9008,0)))</f>
        <v/>
      </c>
      <c r="B8383" s="9" t="str">
        <f>IFERROR(INDEX(Input!$L$20:$T$1019,INT((ROW()-9)/9)+1,MOD(ROW()-9,9)+1),"")</f>
        <v/>
      </c>
      <c r="C8383" s="9">
        <f t="shared" si="130"/>
        <v>0</v>
      </c>
    </row>
    <row r="8384" spans="1:3" x14ac:dyDescent="0.2">
      <c r="A8384" s="10" t="str">
        <f>IF(8376&gt;$C$9008,"",INDEX($B$9:$B$9008,MATCH(8376,$C$9:$C$9008,0)))</f>
        <v/>
      </c>
      <c r="B8384" s="9" t="str">
        <f>IFERROR(INDEX(Input!$L$20:$T$1019,INT((ROW()-9)/9)+1,MOD(ROW()-9,9)+1),"")</f>
        <v/>
      </c>
      <c r="C8384" s="9">
        <f t="shared" si="130"/>
        <v>0</v>
      </c>
    </row>
    <row r="8385" spans="1:3" x14ac:dyDescent="0.2">
      <c r="A8385" s="10" t="str">
        <f>IF(8377&gt;$C$9008,"",INDEX($B$9:$B$9008,MATCH(8377,$C$9:$C$9008,0)))</f>
        <v/>
      </c>
      <c r="B8385" s="9" t="str">
        <f>IFERROR(INDEX(Input!$L$20:$T$1019,INT((ROW()-9)/9)+1,MOD(ROW()-9,9)+1),"")</f>
        <v/>
      </c>
      <c r="C8385" s="9">
        <f t="shared" si="130"/>
        <v>0</v>
      </c>
    </row>
    <row r="8386" spans="1:3" x14ac:dyDescent="0.2">
      <c r="A8386" s="10" t="str">
        <f>IF(8378&gt;$C$9008,"",INDEX($B$9:$B$9008,MATCH(8378,$C$9:$C$9008,0)))</f>
        <v/>
      </c>
      <c r="B8386" s="9" t="str">
        <f>IFERROR(INDEX(Input!$L$20:$T$1019,INT((ROW()-9)/9)+1,MOD(ROW()-9,9)+1),"")</f>
        <v/>
      </c>
      <c r="C8386" s="9">
        <f t="shared" si="130"/>
        <v>0</v>
      </c>
    </row>
    <row r="8387" spans="1:3" x14ac:dyDescent="0.2">
      <c r="A8387" s="10" t="str">
        <f>IF(8379&gt;$C$9008,"",INDEX($B$9:$B$9008,MATCH(8379,$C$9:$C$9008,0)))</f>
        <v/>
      </c>
      <c r="B8387" s="9" t="str">
        <f>IFERROR(INDEX(Input!$L$20:$T$1019,INT((ROW()-9)/9)+1,MOD(ROW()-9,9)+1),"")</f>
        <v/>
      </c>
      <c r="C8387" s="9">
        <f t="shared" si="130"/>
        <v>0</v>
      </c>
    </row>
    <row r="8388" spans="1:3" x14ac:dyDescent="0.2">
      <c r="A8388" s="10" t="str">
        <f>IF(8380&gt;$C$9008,"",INDEX($B$9:$B$9008,MATCH(8380,$C$9:$C$9008,0)))</f>
        <v/>
      </c>
      <c r="B8388" s="9" t="str">
        <f>IFERROR(INDEX(Input!$L$20:$T$1019,INT((ROW()-9)/9)+1,MOD(ROW()-9,9)+1),"")</f>
        <v/>
      </c>
      <c r="C8388" s="9">
        <f t="shared" si="130"/>
        <v>0</v>
      </c>
    </row>
    <row r="8389" spans="1:3" x14ac:dyDescent="0.2">
      <c r="A8389" s="10" t="str">
        <f>IF(8381&gt;$C$9008,"",INDEX($B$9:$B$9008,MATCH(8381,$C$9:$C$9008,0)))</f>
        <v/>
      </c>
      <c r="B8389" s="9" t="str">
        <f>IFERROR(INDEX(Input!$L$20:$T$1019,INT((ROW()-9)/9)+1,MOD(ROW()-9,9)+1),"")</f>
        <v/>
      </c>
      <c r="C8389" s="9">
        <f t="shared" si="130"/>
        <v>0</v>
      </c>
    </row>
    <row r="8390" spans="1:3" x14ac:dyDescent="0.2">
      <c r="A8390" s="10" t="str">
        <f>IF(8382&gt;$C$9008,"",INDEX($B$9:$B$9008,MATCH(8382,$C$9:$C$9008,0)))</f>
        <v/>
      </c>
      <c r="B8390" s="9" t="str">
        <f>IFERROR(INDEX(Input!$L$20:$T$1019,INT((ROW()-9)/9)+1,MOD(ROW()-9,9)+1),"")</f>
        <v/>
      </c>
      <c r="C8390" s="9">
        <f t="shared" si="130"/>
        <v>0</v>
      </c>
    </row>
    <row r="8391" spans="1:3" x14ac:dyDescent="0.2">
      <c r="A8391" s="10" t="str">
        <f>IF(8383&gt;$C$9008,"",INDEX($B$9:$B$9008,MATCH(8383,$C$9:$C$9008,0)))</f>
        <v/>
      </c>
      <c r="B8391" s="9" t="str">
        <f>IFERROR(INDEX(Input!$L$20:$T$1019,INT((ROW()-9)/9)+1,MOD(ROW()-9,9)+1),"")</f>
        <v/>
      </c>
      <c r="C8391" s="9">
        <f t="shared" si="130"/>
        <v>0</v>
      </c>
    </row>
    <row r="8392" spans="1:3" x14ac:dyDescent="0.2">
      <c r="A8392" s="10" t="str">
        <f>IF(8384&gt;$C$9008,"",INDEX($B$9:$B$9008,MATCH(8384,$C$9:$C$9008,0)))</f>
        <v/>
      </c>
      <c r="B8392" s="9" t="str">
        <f>IFERROR(INDEX(Input!$L$20:$T$1019,INT((ROW()-9)/9)+1,MOD(ROW()-9,9)+1),"")</f>
        <v/>
      </c>
      <c r="C8392" s="9">
        <f t="shared" si="130"/>
        <v>0</v>
      </c>
    </row>
    <row r="8393" spans="1:3" x14ac:dyDescent="0.2">
      <c r="A8393" s="10" t="str">
        <f>IF(8385&gt;$C$9008,"",INDEX($B$9:$B$9008,MATCH(8385,$C$9:$C$9008,0)))</f>
        <v/>
      </c>
      <c r="B8393" s="9" t="str">
        <f>IFERROR(INDEX(Input!$L$20:$T$1019,INT((ROW()-9)/9)+1,MOD(ROW()-9,9)+1),"")</f>
        <v/>
      </c>
      <c r="C8393" s="9">
        <f t="shared" ref="C8393:C8456" si="131">$C8392+IF($B8393&lt;&gt;"",1,0)</f>
        <v>0</v>
      </c>
    </row>
    <row r="8394" spans="1:3" x14ac:dyDescent="0.2">
      <c r="A8394" s="10" t="str">
        <f>IF(8386&gt;$C$9008,"",INDEX($B$9:$B$9008,MATCH(8386,$C$9:$C$9008,0)))</f>
        <v/>
      </c>
      <c r="B8394" s="9" t="str">
        <f>IFERROR(INDEX(Input!$L$20:$T$1019,INT((ROW()-9)/9)+1,MOD(ROW()-9,9)+1),"")</f>
        <v/>
      </c>
      <c r="C8394" s="9">
        <f t="shared" si="131"/>
        <v>0</v>
      </c>
    </row>
    <row r="8395" spans="1:3" x14ac:dyDescent="0.2">
      <c r="A8395" s="10" t="str">
        <f>IF(8387&gt;$C$9008,"",INDEX($B$9:$B$9008,MATCH(8387,$C$9:$C$9008,0)))</f>
        <v/>
      </c>
      <c r="B8395" s="9" t="str">
        <f>IFERROR(INDEX(Input!$L$20:$T$1019,INT((ROW()-9)/9)+1,MOD(ROW()-9,9)+1),"")</f>
        <v/>
      </c>
      <c r="C8395" s="9">
        <f t="shared" si="131"/>
        <v>0</v>
      </c>
    </row>
    <row r="8396" spans="1:3" x14ac:dyDescent="0.2">
      <c r="A8396" s="10" t="str">
        <f>IF(8388&gt;$C$9008,"",INDEX($B$9:$B$9008,MATCH(8388,$C$9:$C$9008,0)))</f>
        <v/>
      </c>
      <c r="B8396" s="9" t="str">
        <f>IFERROR(INDEX(Input!$L$20:$T$1019,INT((ROW()-9)/9)+1,MOD(ROW()-9,9)+1),"")</f>
        <v/>
      </c>
      <c r="C8396" s="9">
        <f t="shared" si="131"/>
        <v>0</v>
      </c>
    </row>
    <row r="8397" spans="1:3" x14ac:dyDescent="0.2">
      <c r="A8397" s="10" t="str">
        <f>IF(8389&gt;$C$9008,"",INDEX($B$9:$B$9008,MATCH(8389,$C$9:$C$9008,0)))</f>
        <v/>
      </c>
      <c r="B8397" s="9" t="str">
        <f>IFERROR(INDEX(Input!$L$20:$T$1019,INT((ROW()-9)/9)+1,MOD(ROW()-9,9)+1),"")</f>
        <v/>
      </c>
      <c r="C8397" s="9">
        <f t="shared" si="131"/>
        <v>0</v>
      </c>
    </row>
    <row r="8398" spans="1:3" x14ac:dyDescent="0.2">
      <c r="A8398" s="10" t="str">
        <f>IF(8390&gt;$C$9008,"",INDEX($B$9:$B$9008,MATCH(8390,$C$9:$C$9008,0)))</f>
        <v/>
      </c>
      <c r="B8398" s="9" t="str">
        <f>IFERROR(INDEX(Input!$L$20:$T$1019,INT((ROW()-9)/9)+1,MOD(ROW()-9,9)+1),"")</f>
        <v/>
      </c>
      <c r="C8398" s="9">
        <f t="shared" si="131"/>
        <v>0</v>
      </c>
    </row>
    <row r="8399" spans="1:3" x14ac:dyDescent="0.2">
      <c r="A8399" s="10" t="str">
        <f>IF(8391&gt;$C$9008,"",INDEX($B$9:$B$9008,MATCH(8391,$C$9:$C$9008,0)))</f>
        <v/>
      </c>
      <c r="B8399" s="9" t="str">
        <f>IFERROR(INDEX(Input!$L$20:$T$1019,INT((ROW()-9)/9)+1,MOD(ROW()-9,9)+1),"")</f>
        <v/>
      </c>
      <c r="C8399" s="9">
        <f t="shared" si="131"/>
        <v>0</v>
      </c>
    </row>
    <row r="8400" spans="1:3" x14ac:dyDescent="0.2">
      <c r="A8400" s="10" t="str">
        <f>IF(8392&gt;$C$9008,"",INDEX($B$9:$B$9008,MATCH(8392,$C$9:$C$9008,0)))</f>
        <v/>
      </c>
      <c r="B8400" s="9" t="str">
        <f>IFERROR(INDEX(Input!$L$20:$T$1019,INT((ROW()-9)/9)+1,MOD(ROW()-9,9)+1),"")</f>
        <v/>
      </c>
      <c r="C8400" s="9">
        <f t="shared" si="131"/>
        <v>0</v>
      </c>
    </row>
    <row r="8401" spans="1:3" x14ac:dyDescent="0.2">
      <c r="A8401" s="10" t="str">
        <f>IF(8393&gt;$C$9008,"",INDEX($B$9:$B$9008,MATCH(8393,$C$9:$C$9008,0)))</f>
        <v/>
      </c>
      <c r="B8401" s="9" t="str">
        <f>IFERROR(INDEX(Input!$L$20:$T$1019,INT((ROW()-9)/9)+1,MOD(ROW()-9,9)+1),"")</f>
        <v/>
      </c>
      <c r="C8401" s="9">
        <f t="shared" si="131"/>
        <v>0</v>
      </c>
    </row>
    <row r="8402" spans="1:3" x14ac:dyDescent="0.2">
      <c r="A8402" s="10" t="str">
        <f>IF(8394&gt;$C$9008,"",INDEX($B$9:$B$9008,MATCH(8394,$C$9:$C$9008,0)))</f>
        <v/>
      </c>
      <c r="B8402" s="9" t="str">
        <f>IFERROR(INDEX(Input!$L$20:$T$1019,INT((ROW()-9)/9)+1,MOD(ROW()-9,9)+1),"")</f>
        <v/>
      </c>
      <c r="C8402" s="9">
        <f t="shared" si="131"/>
        <v>0</v>
      </c>
    </row>
    <row r="8403" spans="1:3" x14ac:dyDescent="0.2">
      <c r="A8403" s="10" t="str">
        <f>IF(8395&gt;$C$9008,"",INDEX($B$9:$B$9008,MATCH(8395,$C$9:$C$9008,0)))</f>
        <v/>
      </c>
      <c r="B8403" s="9" t="str">
        <f>IFERROR(INDEX(Input!$L$20:$T$1019,INT((ROW()-9)/9)+1,MOD(ROW()-9,9)+1),"")</f>
        <v/>
      </c>
      <c r="C8403" s="9">
        <f t="shared" si="131"/>
        <v>0</v>
      </c>
    </row>
    <row r="8404" spans="1:3" x14ac:dyDescent="0.2">
      <c r="A8404" s="10" t="str">
        <f>IF(8396&gt;$C$9008,"",INDEX($B$9:$B$9008,MATCH(8396,$C$9:$C$9008,0)))</f>
        <v/>
      </c>
      <c r="B8404" s="9" t="str">
        <f>IFERROR(INDEX(Input!$L$20:$T$1019,INT((ROW()-9)/9)+1,MOD(ROW()-9,9)+1),"")</f>
        <v/>
      </c>
      <c r="C8404" s="9">
        <f t="shared" si="131"/>
        <v>0</v>
      </c>
    </row>
    <row r="8405" spans="1:3" x14ac:dyDescent="0.2">
      <c r="A8405" s="10" t="str">
        <f>IF(8397&gt;$C$9008,"",INDEX($B$9:$B$9008,MATCH(8397,$C$9:$C$9008,0)))</f>
        <v/>
      </c>
      <c r="B8405" s="9" t="str">
        <f>IFERROR(INDEX(Input!$L$20:$T$1019,INT((ROW()-9)/9)+1,MOD(ROW()-9,9)+1),"")</f>
        <v/>
      </c>
      <c r="C8405" s="9">
        <f t="shared" si="131"/>
        <v>0</v>
      </c>
    </row>
    <row r="8406" spans="1:3" x14ac:dyDescent="0.2">
      <c r="A8406" s="10" t="str">
        <f>IF(8398&gt;$C$9008,"",INDEX($B$9:$B$9008,MATCH(8398,$C$9:$C$9008,0)))</f>
        <v/>
      </c>
      <c r="B8406" s="9" t="str">
        <f>IFERROR(INDEX(Input!$L$20:$T$1019,INT((ROW()-9)/9)+1,MOD(ROW()-9,9)+1),"")</f>
        <v/>
      </c>
      <c r="C8406" s="9">
        <f t="shared" si="131"/>
        <v>0</v>
      </c>
    </row>
    <row r="8407" spans="1:3" x14ac:dyDescent="0.2">
      <c r="A8407" s="10" t="str">
        <f>IF(8399&gt;$C$9008,"",INDEX($B$9:$B$9008,MATCH(8399,$C$9:$C$9008,0)))</f>
        <v/>
      </c>
      <c r="B8407" s="9" t="str">
        <f>IFERROR(INDEX(Input!$L$20:$T$1019,INT((ROW()-9)/9)+1,MOD(ROW()-9,9)+1),"")</f>
        <v/>
      </c>
      <c r="C8407" s="9">
        <f t="shared" si="131"/>
        <v>0</v>
      </c>
    </row>
    <row r="8408" spans="1:3" x14ac:dyDescent="0.2">
      <c r="A8408" s="10" t="str">
        <f>IF(8400&gt;$C$9008,"",INDEX($B$9:$B$9008,MATCH(8400,$C$9:$C$9008,0)))</f>
        <v/>
      </c>
      <c r="B8408" s="9" t="str">
        <f>IFERROR(INDEX(Input!$L$20:$T$1019,INT((ROW()-9)/9)+1,MOD(ROW()-9,9)+1),"")</f>
        <v/>
      </c>
      <c r="C8408" s="9">
        <f t="shared" si="131"/>
        <v>0</v>
      </c>
    </row>
    <row r="8409" spans="1:3" x14ac:dyDescent="0.2">
      <c r="A8409" s="10" t="str">
        <f>IF(8401&gt;$C$9008,"",INDEX($B$9:$B$9008,MATCH(8401,$C$9:$C$9008,0)))</f>
        <v/>
      </c>
      <c r="B8409" s="9" t="str">
        <f>IFERROR(INDEX(Input!$L$20:$T$1019,INT((ROW()-9)/9)+1,MOD(ROW()-9,9)+1),"")</f>
        <v/>
      </c>
      <c r="C8409" s="9">
        <f t="shared" si="131"/>
        <v>0</v>
      </c>
    </row>
    <row r="8410" spans="1:3" x14ac:dyDescent="0.2">
      <c r="A8410" s="10" t="str">
        <f>IF(8402&gt;$C$9008,"",INDEX($B$9:$B$9008,MATCH(8402,$C$9:$C$9008,0)))</f>
        <v/>
      </c>
      <c r="B8410" s="9" t="str">
        <f>IFERROR(INDEX(Input!$L$20:$T$1019,INT((ROW()-9)/9)+1,MOD(ROW()-9,9)+1),"")</f>
        <v/>
      </c>
      <c r="C8410" s="9">
        <f t="shared" si="131"/>
        <v>0</v>
      </c>
    </row>
    <row r="8411" spans="1:3" x14ac:dyDescent="0.2">
      <c r="A8411" s="10" t="str">
        <f>IF(8403&gt;$C$9008,"",INDEX($B$9:$B$9008,MATCH(8403,$C$9:$C$9008,0)))</f>
        <v/>
      </c>
      <c r="B8411" s="9" t="str">
        <f>IFERROR(INDEX(Input!$L$20:$T$1019,INT((ROW()-9)/9)+1,MOD(ROW()-9,9)+1),"")</f>
        <v/>
      </c>
      <c r="C8411" s="9">
        <f t="shared" si="131"/>
        <v>0</v>
      </c>
    </row>
    <row r="8412" spans="1:3" x14ac:dyDescent="0.2">
      <c r="A8412" s="10" t="str">
        <f>IF(8404&gt;$C$9008,"",INDEX($B$9:$B$9008,MATCH(8404,$C$9:$C$9008,0)))</f>
        <v/>
      </c>
      <c r="B8412" s="9" t="str">
        <f>IFERROR(INDEX(Input!$L$20:$T$1019,INT((ROW()-9)/9)+1,MOD(ROW()-9,9)+1),"")</f>
        <v/>
      </c>
      <c r="C8412" s="9">
        <f t="shared" si="131"/>
        <v>0</v>
      </c>
    </row>
    <row r="8413" spans="1:3" x14ac:dyDescent="0.2">
      <c r="A8413" s="10" t="str">
        <f>IF(8405&gt;$C$9008,"",INDEX($B$9:$B$9008,MATCH(8405,$C$9:$C$9008,0)))</f>
        <v/>
      </c>
      <c r="B8413" s="9" t="str">
        <f>IFERROR(INDEX(Input!$L$20:$T$1019,INT((ROW()-9)/9)+1,MOD(ROW()-9,9)+1),"")</f>
        <v/>
      </c>
      <c r="C8413" s="9">
        <f t="shared" si="131"/>
        <v>0</v>
      </c>
    </row>
    <row r="8414" spans="1:3" x14ac:dyDescent="0.2">
      <c r="A8414" s="10" t="str">
        <f>IF(8406&gt;$C$9008,"",INDEX($B$9:$B$9008,MATCH(8406,$C$9:$C$9008,0)))</f>
        <v/>
      </c>
      <c r="B8414" s="9" t="str">
        <f>IFERROR(INDEX(Input!$L$20:$T$1019,INT((ROW()-9)/9)+1,MOD(ROW()-9,9)+1),"")</f>
        <v/>
      </c>
      <c r="C8414" s="9">
        <f t="shared" si="131"/>
        <v>0</v>
      </c>
    </row>
    <row r="8415" spans="1:3" x14ac:dyDescent="0.2">
      <c r="A8415" s="10" t="str">
        <f>IF(8407&gt;$C$9008,"",INDEX($B$9:$B$9008,MATCH(8407,$C$9:$C$9008,0)))</f>
        <v/>
      </c>
      <c r="B8415" s="9" t="str">
        <f>IFERROR(INDEX(Input!$L$20:$T$1019,INT((ROW()-9)/9)+1,MOD(ROW()-9,9)+1),"")</f>
        <v/>
      </c>
      <c r="C8415" s="9">
        <f t="shared" si="131"/>
        <v>0</v>
      </c>
    </row>
    <row r="8416" spans="1:3" x14ac:dyDescent="0.2">
      <c r="A8416" s="10" t="str">
        <f>IF(8408&gt;$C$9008,"",INDEX($B$9:$B$9008,MATCH(8408,$C$9:$C$9008,0)))</f>
        <v/>
      </c>
      <c r="B8416" s="9" t="str">
        <f>IFERROR(INDEX(Input!$L$20:$T$1019,INT((ROW()-9)/9)+1,MOD(ROW()-9,9)+1),"")</f>
        <v/>
      </c>
      <c r="C8416" s="9">
        <f t="shared" si="131"/>
        <v>0</v>
      </c>
    </row>
    <row r="8417" spans="1:3" x14ac:dyDescent="0.2">
      <c r="A8417" s="10" t="str">
        <f>IF(8409&gt;$C$9008,"",INDEX($B$9:$B$9008,MATCH(8409,$C$9:$C$9008,0)))</f>
        <v/>
      </c>
      <c r="B8417" s="9" t="str">
        <f>IFERROR(INDEX(Input!$L$20:$T$1019,INT((ROW()-9)/9)+1,MOD(ROW()-9,9)+1),"")</f>
        <v/>
      </c>
      <c r="C8417" s="9">
        <f t="shared" si="131"/>
        <v>0</v>
      </c>
    </row>
    <row r="8418" spans="1:3" x14ac:dyDescent="0.2">
      <c r="A8418" s="10" t="str">
        <f>IF(8410&gt;$C$9008,"",INDEX($B$9:$B$9008,MATCH(8410,$C$9:$C$9008,0)))</f>
        <v/>
      </c>
      <c r="B8418" s="9" t="str">
        <f>IFERROR(INDEX(Input!$L$20:$T$1019,INT((ROW()-9)/9)+1,MOD(ROW()-9,9)+1),"")</f>
        <v/>
      </c>
      <c r="C8418" s="9">
        <f t="shared" si="131"/>
        <v>0</v>
      </c>
    </row>
    <row r="8419" spans="1:3" x14ac:dyDescent="0.2">
      <c r="A8419" s="10" t="str">
        <f>IF(8411&gt;$C$9008,"",INDEX($B$9:$B$9008,MATCH(8411,$C$9:$C$9008,0)))</f>
        <v/>
      </c>
      <c r="B8419" s="9" t="str">
        <f>IFERROR(INDEX(Input!$L$20:$T$1019,INT((ROW()-9)/9)+1,MOD(ROW()-9,9)+1),"")</f>
        <v/>
      </c>
      <c r="C8419" s="9">
        <f t="shared" si="131"/>
        <v>0</v>
      </c>
    </row>
    <row r="8420" spans="1:3" x14ac:dyDescent="0.2">
      <c r="A8420" s="10" t="str">
        <f>IF(8412&gt;$C$9008,"",INDEX($B$9:$B$9008,MATCH(8412,$C$9:$C$9008,0)))</f>
        <v/>
      </c>
      <c r="B8420" s="9" t="str">
        <f>IFERROR(INDEX(Input!$L$20:$T$1019,INT((ROW()-9)/9)+1,MOD(ROW()-9,9)+1),"")</f>
        <v/>
      </c>
      <c r="C8420" s="9">
        <f t="shared" si="131"/>
        <v>0</v>
      </c>
    </row>
    <row r="8421" spans="1:3" x14ac:dyDescent="0.2">
      <c r="A8421" s="10" t="str">
        <f>IF(8413&gt;$C$9008,"",INDEX($B$9:$B$9008,MATCH(8413,$C$9:$C$9008,0)))</f>
        <v/>
      </c>
      <c r="B8421" s="9" t="str">
        <f>IFERROR(INDEX(Input!$L$20:$T$1019,INT((ROW()-9)/9)+1,MOD(ROW()-9,9)+1),"")</f>
        <v/>
      </c>
      <c r="C8421" s="9">
        <f t="shared" si="131"/>
        <v>0</v>
      </c>
    </row>
    <row r="8422" spans="1:3" x14ac:dyDescent="0.2">
      <c r="A8422" s="10" t="str">
        <f>IF(8414&gt;$C$9008,"",INDEX($B$9:$B$9008,MATCH(8414,$C$9:$C$9008,0)))</f>
        <v/>
      </c>
      <c r="B8422" s="9" t="str">
        <f>IFERROR(INDEX(Input!$L$20:$T$1019,INT((ROW()-9)/9)+1,MOD(ROW()-9,9)+1),"")</f>
        <v/>
      </c>
      <c r="C8422" s="9">
        <f t="shared" si="131"/>
        <v>0</v>
      </c>
    </row>
    <row r="8423" spans="1:3" x14ac:dyDescent="0.2">
      <c r="A8423" s="10" t="str">
        <f>IF(8415&gt;$C$9008,"",INDEX($B$9:$B$9008,MATCH(8415,$C$9:$C$9008,0)))</f>
        <v/>
      </c>
      <c r="B8423" s="9" t="str">
        <f>IFERROR(INDEX(Input!$L$20:$T$1019,INT((ROW()-9)/9)+1,MOD(ROW()-9,9)+1),"")</f>
        <v/>
      </c>
      <c r="C8423" s="9">
        <f t="shared" si="131"/>
        <v>0</v>
      </c>
    </row>
    <row r="8424" spans="1:3" x14ac:dyDescent="0.2">
      <c r="A8424" s="10" t="str">
        <f>IF(8416&gt;$C$9008,"",INDEX($B$9:$B$9008,MATCH(8416,$C$9:$C$9008,0)))</f>
        <v/>
      </c>
      <c r="B8424" s="9" t="str">
        <f>IFERROR(INDEX(Input!$L$20:$T$1019,INT((ROW()-9)/9)+1,MOD(ROW()-9,9)+1),"")</f>
        <v/>
      </c>
      <c r="C8424" s="9">
        <f t="shared" si="131"/>
        <v>0</v>
      </c>
    </row>
    <row r="8425" spans="1:3" x14ac:dyDescent="0.2">
      <c r="A8425" s="10" t="str">
        <f>IF(8417&gt;$C$9008,"",INDEX($B$9:$B$9008,MATCH(8417,$C$9:$C$9008,0)))</f>
        <v/>
      </c>
      <c r="B8425" s="9" t="str">
        <f>IFERROR(INDEX(Input!$L$20:$T$1019,INT((ROW()-9)/9)+1,MOD(ROW()-9,9)+1),"")</f>
        <v/>
      </c>
      <c r="C8425" s="9">
        <f t="shared" si="131"/>
        <v>0</v>
      </c>
    </row>
    <row r="8426" spans="1:3" x14ac:dyDescent="0.2">
      <c r="A8426" s="10" t="str">
        <f>IF(8418&gt;$C$9008,"",INDEX($B$9:$B$9008,MATCH(8418,$C$9:$C$9008,0)))</f>
        <v/>
      </c>
      <c r="B8426" s="9" t="str">
        <f>IFERROR(INDEX(Input!$L$20:$T$1019,INT((ROW()-9)/9)+1,MOD(ROW()-9,9)+1),"")</f>
        <v/>
      </c>
      <c r="C8426" s="9">
        <f t="shared" si="131"/>
        <v>0</v>
      </c>
    </row>
    <row r="8427" spans="1:3" x14ac:dyDescent="0.2">
      <c r="A8427" s="10" t="str">
        <f>IF(8419&gt;$C$9008,"",INDEX($B$9:$B$9008,MATCH(8419,$C$9:$C$9008,0)))</f>
        <v/>
      </c>
      <c r="B8427" s="9" t="str">
        <f>IFERROR(INDEX(Input!$L$20:$T$1019,INT((ROW()-9)/9)+1,MOD(ROW()-9,9)+1),"")</f>
        <v/>
      </c>
      <c r="C8427" s="9">
        <f t="shared" si="131"/>
        <v>0</v>
      </c>
    </row>
    <row r="8428" spans="1:3" x14ac:dyDescent="0.2">
      <c r="A8428" s="10" t="str">
        <f>IF(8420&gt;$C$9008,"",INDEX($B$9:$B$9008,MATCH(8420,$C$9:$C$9008,0)))</f>
        <v/>
      </c>
      <c r="B8428" s="9" t="str">
        <f>IFERROR(INDEX(Input!$L$20:$T$1019,INT((ROW()-9)/9)+1,MOD(ROW()-9,9)+1),"")</f>
        <v/>
      </c>
      <c r="C8428" s="9">
        <f t="shared" si="131"/>
        <v>0</v>
      </c>
    </row>
    <row r="8429" spans="1:3" x14ac:dyDescent="0.2">
      <c r="A8429" s="10" t="str">
        <f>IF(8421&gt;$C$9008,"",INDEX($B$9:$B$9008,MATCH(8421,$C$9:$C$9008,0)))</f>
        <v/>
      </c>
      <c r="B8429" s="9" t="str">
        <f>IFERROR(INDEX(Input!$L$20:$T$1019,INT((ROW()-9)/9)+1,MOD(ROW()-9,9)+1),"")</f>
        <v/>
      </c>
      <c r="C8429" s="9">
        <f t="shared" si="131"/>
        <v>0</v>
      </c>
    </row>
    <row r="8430" spans="1:3" x14ac:dyDescent="0.2">
      <c r="A8430" s="10" t="str">
        <f>IF(8422&gt;$C$9008,"",INDEX($B$9:$B$9008,MATCH(8422,$C$9:$C$9008,0)))</f>
        <v/>
      </c>
      <c r="B8430" s="9" t="str">
        <f>IFERROR(INDEX(Input!$L$20:$T$1019,INT((ROW()-9)/9)+1,MOD(ROW()-9,9)+1),"")</f>
        <v/>
      </c>
      <c r="C8430" s="9">
        <f t="shared" si="131"/>
        <v>0</v>
      </c>
    </row>
    <row r="8431" spans="1:3" x14ac:dyDescent="0.2">
      <c r="A8431" s="10" t="str">
        <f>IF(8423&gt;$C$9008,"",INDEX($B$9:$B$9008,MATCH(8423,$C$9:$C$9008,0)))</f>
        <v/>
      </c>
      <c r="B8431" s="9" t="str">
        <f>IFERROR(INDEX(Input!$L$20:$T$1019,INT((ROW()-9)/9)+1,MOD(ROW()-9,9)+1),"")</f>
        <v/>
      </c>
      <c r="C8431" s="9">
        <f t="shared" si="131"/>
        <v>0</v>
      </c>
    </row>
    <row r="8432" spans="1:3" x14ac:dyDescent="0.2">
      <c r="A8432" s="10" t="str">
        <f>IF(8424&gt;$C$9008,"",INDEX($B$9:$B$9008,MATCH(8424,$C$9:$C$9008,0)))</f>
        <v/>
      </c>
      <c r="B8432" s="9" t="str">
        <f>IFERROR(INDEX(Input!$L$20:$T$1019,INT((ROW()-9)/9)+1,MOD(ROW()-9,9)+1),"")</f>
        <v/>
      </c>
      <c r="C8432" s="9">
        <f t="shared" si="131"/>
        <v>0</v>
      </c>
    </row>
    <row r="8433" spans="1:3" x14ac:dyDescent="0.2">
      <c r="A8433" s="10" t="str">
        <f>IF(8425&gt;$C$9008,"",INDEX($B$9:$B$9008,MATCH(8425,$C$9:$C$9008,0)))</f>
        <v/>
      </c>
      <c r="B8433" s="9" t="str">
        <f>IFERROR(INDEX(Input!$L$20:$T$1019,INT((ROW()-9)/9)+1,MOD(ROW()-9,9)+1),"")</f>
        <v/>
      </c>
      <c r="C8433" s="9">
        <f t="shared" si="131"/>
        <v>0</v>
      </c>
    </row>
    <row r="8434" spans="1:3" x14ac:dyDescent="0.2">
      <c r="A8434" s="10" t="str">
        <f>IF(8426&gt;$C$9008,"",INDEX($B$9:$B$9008,MATCH(8426,$C$9:$C$9008,0)))</f>
        <v/>
      </c>
      <c r="B8434" s="9" t="str">
        <f>IFERROR(INDEX(Input!$L$20:$T$1019,INT((ROW()-9)/9)+1,MOD(ROW()-9,9)+1),"")</f>
        <v/>
      </c>
      <c r="C8434" s="9">
        <f t="shared" si="131"/>
        <v>0</v>
      </c>
    </row>
    <row r="8435" spans="1:3" x14ac:dyDescent="0.2">
      <c r="A8435" s="10" t="str">
        <f>IF(8427&gt;$C$9008,"",INDEX($B$9:$B$9008,MATCH(8427,$C$9:$C$9008,0)))</f>
        <v/>
      </c>
      <c r="B8435" s="9" t="str">
        <f>IFERROR(INDEX(Input!$L$20:$T$1019,INT((ROW()-9)/9)+1,MOD(ROW()-9,9)+1),"")</f>
        <v/>
      </c>
      <c r="C8435" s="9">
        <f t="shared" si="131"/>
        <v>0</v>
      </c>
    </row>
    <row r="8436" spans="1:3" x14ac:dyDescent="0.2">
      <c r="A8436" s="10" t="str">
        <f>IF(8428&gt;$C$9008,"",INDEX($B$9:$B$9008,MATCH(8428,$C$9:$C$9008,0)))</f>
        <v/>
      </c>
      <c r="B8436" s="9" t="str">
        <f>IFERROR(INDEX(Input!$L$20:$T$1019,INT((ROW()-9)/9)+1,MOD(ROW()-9,9)+1),"")</f>
        <v/>
      </c>
      <c r="C8436" s="9">
        <f t="shared" si="131"/>
        <v>0</v>
      </c>
    </row>
    <row r="8437" spans="1:3" x14ac:dyDescent="0.2">
      <c r="A8437" s="10" t="str">
        <f>IF(8429&gt;$C$9008,"",INDEX($B$9:$B$9008,MATCH(8429,$C$9:$C$9008,0)))</f>
        <v/>
      </c>
      <c r="B8437" s="9" t="str">
        <f>IFERROR(INDEX(Input!$L$20:$T$1019,INT((ROW()-9)/9)+1,MOD(ROW()-9,9)+1),"")</f>
        <v/>
      </c>
      <c r="C8437" s="9">
        <f t="shared" si="131"/>
        <v>0</v>
      </c>
    </row>
    <row r="8438" spans="1:3" x14ac:dyDescent="0.2">
      <c r="A8438" s="10" t="str">
        <f>IF(8430&gt;$C$9008,"",INDEX($B$9:$B$9008,MATCH(8430,$C$9:$C$9008,0)))</f>
        <v/>
      </c>
      <c r="B8438" s="9" t="str">
        <f>IFERROR(INDEX(Input!$L$20:$T$1019,INT((ROW()-9)/9)+1,MOD(ROW()-9,9)+1),"")</f>
        <v/>
      </c>
      <c r="C8438" s="9">
        <f t="shared" si="131"/>
        <v>0</v>
      </c>
    </row>
    <row r="8439" spans="1:3" x14ac:dyDescent="0.2">
      <c r="A8439" s="10" t="str">
        <f>IF(8431&gt;$C$9008,"",INDEX($B$9:$B$9008,MATCH(8431,$C$9:$C$9008,0)))</f>
        <v/>
      </c>
      <c r="B8439" s="9" t="str">
        <f>IFERROR(INDEX(Input!$L$20:$T$1019,INT((ROW()-9)/9)+1,MOD(ROW()-9,9)+1),"")</f>
        <v/>
      </c>
      <c r="C8439" s="9">
        <f t="shared" si="131"/>
        <v>0</v>
      </c>
    </row>
    <row r="8440" spans="1:3" x14ac:dyDescent="0.2">
      <c r="A8440" s="10" t="str">
        <f>IF(8432&gt;$C$9008,"",INDEX($B$9:$B$9008,MATCH(8432,$C$9:$C$9008,0)))</f>
        <v/>
      </c>
      <c r="B8440" s="9" t="str">
        <f>IFERROR(INDEX(Input!$L$20:$T$1019,INT((ROW()-9)/9)+1,MOD(ROW()-9,9)+1),"")</f>
        <v/>
      </c>
      <c r="C8440" s="9">
        <f t="shared" si="131"/>
        <v>0</v>
      </c>
    </row>
    <row r="8441" spans="1:3" x14ac:dyDescent="0.2">
      <c r="A8441" s="10" t="str">
        <f>IF(8433&gt;$C$9008,"",INDEX($B$9:$B$9008,MATCH(8433,$C$9:$C$9008,0)))</f>
        <v/>
      </c>
      <c r="B8441" s="9" t="str">
        <f>IFERROR(INDEX(Input!$L$20:$T$1019,INT((ROW()-9)/9)+1,MOD(ROW()-9,9)+1),"")</f>
        <v/>
      </c>
      <c r="C8441" s="9">
        <f t="shared" si="131"/>
        <v>0</v>
      </c>
    </row>
    <row r="8442" spans="1:3" x14ac:dyDescent="0.2">
      <c r="A8442" s="10" t="str">
        <f>IF(8434&gt;$C$9008,"",INDEX($B$9:$B$9008,MATCH(8434,$C$9:$C$9008,0)))</f>
        <v/>
      </c>
      <c r="B8442" s="9" t="str">
        <f>IFERROR(INDEX(Input!$L$20:$T$1019,INT((ROW()-9)/9)+1,MOD(ROW()-9,9)+1),"")</f>
        <v/>
      </c>
      <c r="C8442" s="9">
        <f t="shared" si="131"/>
        <v>0</v>
      </c>
    </row>
    <row r="8443" spans="1:3" x14ac:dyDescent="0.2">
      <c r="A8443" s="10" t="str">
        <f>IF(8435&gt;$C$9008,"",INDEX($B$9:$B$9008,MATCH(8435,$C$9:$C$9008,0)))</f>
        <v/>
      </c>
      <c r="B8443" s="9" t="str">
        <f>IFERROR(INDEX(Input!$L$20:$T$1019,INT((ROW()-9)/9)+1,MOD(ROW()-9,9)+1),"")</f>
        <v/>
      </c>
      <c r="C8443" s="9">
        <f t="shared" si="131"/>
        <v>0</v>
      </c>
    </row>
    <row r="8444" spans="1:3" x14ac:dyDescent="0.2">
      <c r="A8444" s="10" t="str">
        <f>IF(8436&gt;$C$9008,"",INDEX($B$9:$B$9008,MATCH(8436,$C$9:$C$9008,0)))</f>
        <v/>
      </c>
      <c r="B8444" s="9" t="str">
        <f>IFERROR(INDEX(Input!$L$20:$T$1019,INT((ROW()-9)/9)+1,MOD(ROW()-9,9)+1),"")</f>
        <v/>
      </c>
      <c r="C8444" s="9">
        <f t="shared" si="131"/>
        <v>0</v>
      </c>
    </row>
    <row r="8445" spans="1:3" x14ac:dyDescent="0.2">
      <c r="A8445" s="10" t="str">
        <f>IF(8437&gt;$C$9008,"",INDEX($B$9:$B$9008,MATCH(8437,$C$9:$C$9008,0)))</f>
        <v/>
      </c>
      <c r="B8445" s="9" t="str">
        <f>IFERROR(INDEX(Input!$L$20:$T$1019,INT((ROW()-9)/9)+1,MOD(ROW()-9,9)+1),"")</f>
        <v/>
      </c>
      <c r="C8445" s="9">
        <f t="shared" si="131"/>
        <v>0</v>
      </c>
    </row>
    <row r="8446" spans="1:3" x14ac:dyDescent="0.2">
      <c r="A8446" s="10" t="str">
        <f>IF(8438&gt;$C$9008,"",INDEX($B$9:$B$9008,MATCH(8438,$C$9:$C$9008,0)))</f>
        <v/>
      </c>
      <c r="B8446" s="9" t="str">
        <f>IFERROR(INDEX(Input!$L$20:$T$1019,INT((ROW()-9)/9)+1,MOD(ROW()-9,9)+1),"")</f>
        <v/>
      </c>
      <c r="C8446" s="9">
        <f t="shared" si="131"/>
        <v>0</v>
      </c>
    </row>
    <row r="8447" spans="1:3" x14ac:dyDescent="0.2">
      <c r="A8447" s="10" t="str">
        <f>IF(8439&gt;$C$9008,"",INDEX($B$9:$B$9008,MATCH(8439,$C$9:$C$9008,0)))</f>
        <v/>
      </c>
      <c r="B8447" s="9" t="str">
        <f>IFERROR(INDEX(Input!$L$20:$T$1019,INT((ROW()-9)/9)+1,MOD(ROW()-9,9)+1),"")</f>
        <v/>
      </c>
      <c r="C8447" s="9">
        <f t="shared" si="131"/>
        <v>0</v>
      </c>
    </row>
    <row r="8448" spans="1:3" x14ac:dyDescent="0.2">
      <c r="A8448" s="10" t="str">
        <f>IF(8440&gt;$C$9008,"",INDEX($B$9:$B$9008,MATCH(8440,$C$9:$C$9008,0)))</f>
        <v/>
      </c>
      <c r="B8448" s="9" t="str">
        <f>IFERROR(INDEX(Input!$L$20:$T$1019,INT((ROW()-9)/9)+1,MOD(ROW()-9,9)+1),"")</f>
        <v/>
      </c>
      <c r="C8448" s="9">
        <f t="shared" si="131"/>
        <v>0</v>
      </c>
    </row>
    <row r="8449" spans="1:3" x14ac:dyDescent="0.2">
      <c r="A8449" s="10" t="str">
        <f>IF(8441&gt;$C$9008,"",INDEX($B$9:$B$9008,MATCH(8441,$C$9:$C$9008,0)))</f>
        <v/>
      </c>
      <c r="B8449" s="9" t="str">
        <f>IFERROR(INDEX(Input!$L$20:$T$1019,INT((ROW()-9)/9)+1,MOD(ROW()-9,9)+1),"")</f>
        <v/>
      </c>
      <c r="C8449" s="9">
        <f t="shared" si="131"/>
        <v>0</v>
      </c>
    </row>
    <row r="8450" spans="1:3" x14ac:dyDescent="0.2">
      <c r="A8450" s="10" t="str">
        <f>IF(8442&gt;$C$9008,"",INDEX($B$9:$B$9008,MATCH(8442,$C$9:$C$9008,0)))</f>
        <v/>
      </c>
      <c r="B8450" s="9" t="str">
        <f>IFERROR(INDEX(Input!$L$20:$T$1019,INT((ROW()-9)/9)+1,MOD(ROW()-9,9)+1),"")</f>
        <v/>
      </c>
      <c r="C8450" s="9">
        <f t="shared" si="131"/>
        <v>0</v>
      </c>
    </row>
    <row r="8451" spans="1:3" x14ac:dyDescent="0.2">
      <c r="A8451" s="10" t="str">
        <f>IF(8443&gt;$C$9008,"",INDEX($B$9:$B$9008,MATCH(8443,$C$9:$C$9008,0)))</f>
        <v/>
      </c>
      <c r="B8451" s="9" t="str">
        <f>IFERROR(INDEX(Input!$L$20:$T$1019,INT((ROW()-9)/9)+1,MOD(ROW()-9,9)+1),"")</f>
        <v/>
      </c>
      <c r="C8451" s="9">
        <f t="shared" si="131"/>
        <v>0</v>
      </c>
    </row>
    <row r="8452" spans="1:3" x14ac:dyDescent="0.2">
      <c r="A8452" s="10" t="str">
        <f>IF(8444&gt;$C$9008,"",INDEX($B$9:$B$9008,MATCH(8444,$C$9:$C$9008,0)))</f>
        <v/>
      </c>
      <c r="B8452" s="9" t="str">
        <f>IFERROR(INDEX(Input!$L$20:$T$1019,INT((ROW()-9)/9)+1,MOD(ROW()-9,9)+1),"")</f>
        <v/>
      </c>
      <c r="C8452" s="9">
        <f t="shared" si="131"/>
        <v>0</v>
      </c>
    </row>
    <row r="8453" spans="1:3" x14ac:dyDescent="0.2">
      <c r="A8453" s="10" t="str">
        <f>IF(8445&gt;$C$9008,"",INDEX($B$9:$B$9008,MATCH(8445,$C$9:$C$9008,0)))</f>
        <v/>
      </c>
      <c r="B8453" s="9" t="str">
        <f>IFERROR(INDEX(Input!$L$20:$T$1019,INT((ROW()-9)/9)+1,MOD(ROW()-9,9)+1),"")</f>
        <v/>
      </c>
      <c r="C8453" s="9">
        <f t="shared" si="131"/>
        <v>0</v>
      </c>
    </row>
    <row r="8454" spans="1:3" x14ac:dyDescent="0.2">
      <c r="A8454" s="10" t="str">
        <f>IF(8446&gt;$C$9008,"",INDEX($B$9:$B$9008,MATCH(8446,$C$9:$C$9008,0)))</f>
        <v/>
      </c>
      <c r="B8454" s="9" t="str">
        <f>IFERROR(INDEX(Input!$L$20:$T$1019,INT((ROW()-9)/9)+1,MOD(ROW()-9,9)+1),"")</f>
        <v/>
      </c>
      <c r="C8454" s="9">
        <f t="shared" si="131"/>
        <v>0</v>
      </c>
    </row>
    <row r="8455" spans="1:3" x14ac:dyDescent="0.2">
      <c r="A8455" s="10" t="str">
        <f>IF(8447&gt;$C$9008,"",INDEX($B$9:$B$9008,MATCH(8447,$C$9:$C$9008,0)))</f>
        <v/>
      </c>
      <c r="B8455" s="9" t="str">
        <f>IFERROR(INDEX(Input!$L$20:$T$1019,INT((ROW()-9)/9)+1,MOD(ROW()-9,9)+1),"")</f>
        <v/>
      </c>
      <c r="C8455" s="9">
        <f t="shared" si="131"/>
        <v>0</v>
      </c>
    </row>
    <row r="8456" spans="1:3" x14ac:dyDescent="0.2">
      <c r="A8456" s="10" t="str">
        <f>IF(8448&gt;$C$9008,"",INDEX($B$9:$B$9008,MATCH(8448,$C$9:$C$9008,0)))</f>
        <v/>
      </c>
      <c r="B8456" s="9" t="str">
        <f>IFERROR(INDEX(Input!$L$20:$T$1019,INT((ROW()-9)/9)+1,MOD(ROW()-9,9)+1),"")</f>
        <v/>
      </c>
      <c r="C8456" s="9">
        <f t="shared" si="131"/>
        <v>0</v>
      </c>
    </row>
    <row r="8457" spans="1:3" x14ac:dyDescent="0.2">
      <c r="A8457" s="10" t="str">
        <f>IF(8449&gt;$C$9008,"",INDEX($B$9:$B$9008,MATCH(8449,$C$9:$C$9008,0)))</f>
        <v/>
      </c>
      <c r="B8457" s="9" t="str">
        <f>IFERROR(INDEX(Input!$L$20:$T$1019,INT((ROW()-9)/9)+1,MOD(ROW()-9,9)+1),"")</f>
        <v/>
      </c>
      <c r="C8457" s="9">
        <f t="shared" ref="C8457:C8520" si="132">$C8456+IF($B8457&lt;&gt;"",1,0)</f>
        <v>0</v>
      </c>
    </row>
    <row r="8458" spans="1:3" x14ac:dyDescent="0.2">
      <c r="A8458" s="10" t="str">
        <f>IF(8450&gt;$C$9008,"",INDEX($B$9:$B$9008,MATCH(8450,$C$9:$C$9008,0)))</f>
        <v/>
      </c>
      <c r="B8458" s="9" t="str">
        <f>IFERROR(INDEX(Input!$L$20:$T$1019,INT((ROW()-9)/9)+1,MOD(ROW()-9,9)+1),"")</f>
        <v/>
      </c>
      <c r="C8458" s="9">
        <f t="shared" si="132"/>
        <v>0</v>
      </c>
    </row>
    <row r="8459" spans="1:3" x14ac:dyDescent="0.2">
      <c r="A8459" s="10" t="str">
        <f>IF(8451&gt;$C$9008,"",INDEX($B$9:$B$9008,MATCH(8451,$C$9:$C$9008,0)))</f>
        <v/>
      </c>
      <c r="B8459" s="9" t="str">
        <f>IFERROR(INDEX(Input!$L$20:$T$1019,INT((ROW()-9)/9)+1,MOD(ROW()-9,9)+1),"")</f>
        <v/>
      </c>
      <c r="C8459" s="9">
        <f t="shared" si="132"/>
        <v>0</v>
      </c>
    </row>
    <row r="8460" spans="1:3" x14ac:dyDescent="0.2">
      <c r="A8460" s="10" t="str">
        <f>IF(8452&gt;$C$9008,"",INDEX($B$9:$B$9008,MATCH(8452,$C$9:$C$9008,0)))</f>
        <v/>
      </c>
      <c r="B8460" s="9" t="str">
        <f>IFERROR(INDEX(Input!$L$20:$T$1019,INT((ROW()-9)/9)+1,MOD(ROW()-9,9)+1),"")</f>
        <v/>
      </c>
      <c r="C8460" s="9">
        <f t="shared" si="132"/>
        <v>0</v>
      </c>
    </row>
    <row r="8461" spans="1:3" x14ac:dyDescent="0.2">
      <c r="A8461" s="10" t="str">
        <f>IF(8453&gt;$C$9008,"",INDEX($B$9:$B$9008,MATCH(8453,$C$9:$C$9008,0)))</f>
        <v/>
      </c>
      <c r="B8461" s="9" t="str">
        <f>IFERROR(INDEX(Input!$L$20:$T$1019,INT((ROW()-9)/9)+1,MOD(ROW()-9,9)+1),"")</f>
        <v/>
      </c>
      <c r="C8461" s="9">
        <f t="shared" si="132"/>
        <v>0</v>
      </c>
    </row>
    <row r="8462" spans="1:3" x14ac:dyDescent="0.2">
      <c r="A8462" s="10" t="str">
        <f>IF(8454&gt;$C$9008,"",INDEX($B$9:$B$9008,MATCH(8454,$C$9:$C$9008,0)))</f>
        <v/>
      </c>
      <c r="B8462" s="9" t="str">
        <f>IFERROR(INDEX(Input!$L$20:$T$1019,INT((ROW()-9)/9)+1,MOD(ROW()-9,9)+1),"")</f>
        <v/>
      </c>
      <c r="C8462" s="9">
        <f t="shared" si="132"/>
        <v>0</v>
      </c>
    </row>
    <row r="8463" spans="1:3" x14ac:dyDescent="0.2">
      <c r="A8463" s="10" t="str">
        <f>IF(8455&gt;$C$9008,"",INDEX($B$9:$B$9008,MATCH(8455,$C$9:$C$9008,0)))</f>
        <v/>
      </c>
      <c r="B8463" s="9" t="str">
        <f>IFERROR(INDEX(Input!$L$20:$T$1019,INT((ROW()-9)/9)+1,MOD(ROW()-9,9)+1),"")</f>
        <v/>
      </c>
      <c r="C8463" s="9">
        <f t="shared" si="132"/>
        <v>0</v>
      </c>
    </row>
    <row r="8464" spans="1:3" x14ac:dyDescent="0.2">
      <c r="A8464" s="10" t="str">
        <f>IF(8456&gt;$C$9008,"",INDEX($B$9:$B$9008,MATCH(8456,$C$9:$C$9008,0)))</f>
        <v/>
      </c>
      <c r="B8464" s="9" t="str">
        <f>IFERROR(INDEX(Input!$L$20:$T$1019,INT((ROW()-9)/9)+1,MOD(ROW()-9,9)+1),"")</f>
        <v/>
      </c>
      <c r="C8464" s="9">
        <f t="shared" si="132"/>
        <v>0</v>
      </c>
    </row>
    <row r="8465" spans="1:3" x14ac:dyDescent="0.2">
      <c r="A8465" s="10" t="str">
        <f>IF(8457&gt;$C$9008,"",INDEX($B$9:$B$9008,MATCH(8457,$C$9:$C$9008,0)))</f>
        <v/>
      </c>
      <c r="B8465" s="9" t="str">
        <f>IFERROR(INDEX(Input!$L$20:$T$1019,INT((ROW()-9)/9)+1,MOD(ROW()-9,9)+1),"")</f>
        <v/>
      </c>
      <c r="C8465" s="9">
        <f t="shared" si="132"/>
        <v>0</v>
      </c>
    </row>
    <row r="8466" spans="1:3" x14ac:dyDescent="0.2">
      <c r="A8466" s="10" t="str">
        <f>IF(8458&gt;$C$9008,"",INDEX($B$9:$B$9008,MATCH(8458,$C$9:$C$9008,0)))</f>
        <v/>
      </c>
      <c r="B8466" s="9" t="str">
        <f>IFERROR(INDEX(Input!$L$20:$T$1019,INT((ROW()-9)/9)+1,MOD(ROW()-9,9)+1),"")</f>
        <v/>
      </c>
      <c r="C8466" s="9">
        <f t="shared" si="132"/>
        <v>0</v>
      </c>
    </row>
    <row r="8467" spans="1:3" x14ac:dyDescent="0.2">
      <c r="A8467" s="10" t="str">
        <f>IF(8459&gt;$C$9008,"",INDEX($B$9:$B$9008,MATCH(8459,$C$9:$C$9008,0)))</f>
        <v/>
      </c>
      <c r="B8467" s="9" t="str">
        <f>IFERROR(INDEX(Input!$L$20:$T$1019,INT((ROW()-9)/9)+1,MOD(ROW()-9,9)+1),"")</f>
        <v/>
      </c>
      <c r="C8467" s="9">
        <f t="shared" si="132"/>
        <v>0</v>
      </c>
    </row>
    <row r="8468" spans="1:3" x14ac:dyDescent="0.2">
      <c r="A8468" s="10" t="str">
        <f>IF(8460&gt;$C$9008,"",INDEX($B$9:$B$9008,MATCH(8460,$C$9:$C$9008,0)))</f>
        <v/>
      </c>
      <c r="B8468" s="9" t="str">
        <f>IFERROR(INDEX(Input!$L$20:$T$1019,INT((ROW()-9)/9)+1,MOD(ROW()-9,9)+1),"")</f>
        <v/>
      </c>
      <c r="C8468" s="9">
        <f t="shared" si="132"/>
        <v>0</v>
      </c>
    </row>
    <row r="8469" spans="1:3" x14ac:dyDescent="0.2">
      <c r="A8469" s="10" t="str">
        <f>IF(8461&gt;$C$9008,"",INDEX($B$9:$B$9008,MATCH(8461,$C$9:$C$9008,0)))</f>
        <v/>
      </c>
      <c r="B8469" s="9" t="str">
        <f>IFERROR(INDEX(Input!$L$20:$T$1019,INT((ROW()-9)/9)+1,MOD(ROW()-9,9)+1),"")</f>
        <v/>
      </c>
      <c r="C8469" s="9">
        <f t="shared" si="132"/>
        <v>0</v>
      </c>
    </row>
    <row r="8470" spans="1:3" x14ac:dyDescent="0.2">
      <c r="A8470" s="10" t="str">
        <f>IF(8462&gt;$C$9008,"",INDEX($B$9:$B$9008,MATCH(8462,$C$9:$C$9008,0)))</f>
        <v/>
      </c>
      <c r="B8470" s="9" t="str">
        <f>IFERROR(INDEX(Input!$L$20:$T$1019,INT((ROW()-9)/9)+1,MOD(ROW()-9,9)+1),"")</f>
        <v/>
      </c>
      <c r="C8470" s="9">
        <f t="shared" si="132"/>
        <v>0</v>
      </c>
    </row>
    <row r="8471" spans="1:3" x14ac:dyDescent="0.2">
      <c r="A8471" s="10" t="str">
        <f>IF(8463&gt;$C$9008,"",INDEX($B$9:$B$9008,MATCH(8463,$C$9:$C$9008,0)))</f>
        <v/>
      </c>
      <c r="B8471" s="9" t="str">
        <f>IFERROR(INDEX(Input!$L$20:$T$1019,INT((ROW()-9)/9)+1,MOD(ROW()-9,9)+1),"")</f>
        <v/>
      </c>
      <c r="C8471" s="9">
        <f t="shared" si="132"/>
        <v>0</v>
      </c>
    </row>
    <row r="8472" spans="1:3" x14ac:dyDescent="0.2">
      <c r="A8472" s="10" t="str">
        <f>IF(8464&gt;$C$9008,"",INDEX($B$9:$B$9008,MATCH(8464,$C$9:$C$9008,0)))</f>
        <v/>
      </c>
      <c r="B8472" s="9" t="str">
        <f>IFERROR(INDEX(Input!$L$20:$T$1019,INT((ROW()-9)/9)+1,MOD(ROW()-9,9)+1),"")</f>
        <v/>
      </c>
      <c r="C8472" s="9">
        <f t="shared" si="132"/>
        <v>0</v>
      </c>
    </row>
    <row r="8473" spans="1:3" x14ac:dyDescent="0.2">
      <c r="A8473" s="10" t="str">
        <f>IF(8465&gt;$C$9008,"",INDEX($B$9:$B$9008,MATCH(8465,$C$9:$C$9008,0)))</f>
        <v/>
      </c>
      <c r="B8473" s="9" t="str">
        <f>IFERROR(INDEX(Input!$L$20:$T$1019,INT((ROW()-9)/9)+1,MOD(ROW()-9,9)+1),"")</f>
        <v/>
      </c>
      <c r="C8473" s="9">
        <f t="shared" si="132"/>
        <v>0</v>
      </c>
    </row>
    <row r="8474" spans="1:3" x14ac:dyDescent="0.2">
      <c r="A8474" s="10" t="str">
        <f>IF(8466&gt;$C$9008,"",INDEX($B$9:$B$9008,MATCH(8466,$C$9:$C$9008,0)))</f>
        <v/>
      </c>
      <c r="B8474" s="9" t="str">
        <f>IFERROR(INDEX(Input!$L$20:$T$1019,INT((ROW()-9)/9)+1,MOD(ROW()-9,9)+1),"")</f>
        <v/>
      </c>
      <c r="C8474" s="9">
        <f t="shared" si="132"/>
        <v>0</v>
      </c>
    </row>
    <row r="8475" spans="1:3" x14ac:dyDescent="0.2">
      <c r="A8475" s="10" t="str">
        <f>IF(8467&gt;$C$9008,"",INDEX($B$9:$B$9008,MATCH(8467,$C$9:$C$9008,0)))</f>
        <v/>
      </c>
      <c r="B8475" s="9" t="str">
        <f>IFERROR(INDEX(Input!$L$20:$T$1019,INT((ROW()-9)/9)+1,MOD(ROW()-9,9)+1),"")</f>
        <v/>
      </c>
      <c r="C8475" s="9">
        <f t="shared" si="132"/>
        <v>0</v>
      </c>
    </row>
    <row r="8476" spans="1:3" x14ac:dyDescent="0.2">
      <c r="A8476" s="10" t="str">
        <f>IF(8468&gt;$C$9008,"",INDEX($B$9:$B$9008,MATCH(8468,$C$9:$C$9008,0)))</f>
        <v/>
      </c>
      <c r="B8476" s="9" t="str">
        <f>IFERROR(INDEX(Input!$L$20:$T$1019,INT((ROW()-9)/9)+1,MOD(ROW()-9,9)+1),"")</f>
        <v/>
      </c>
      <c r="C8476" s="9">
        <f t="shared" si="132"/>
        <v>0</v>
      </c>
    </row>
    <row r="8477" spans="1:3" x14ac:dyDescent="0.2">
      <c r="A8477" s="10" t="str">
        <f>IF(8469&gt;$C$9008,"",INDEX($B$9:$B$9008,MATCH(8469,$C$9:$C$9008,0)))</f>
        <v/>
      </c>
      <c r="B8477" s="9" t="str">
        <f>IFERROR(INDEX(Input!$L$20:$T$1019,INT((ROW()-9)/9)+1,MOD(ROW()-9,9)+1),"")</f>
        <v/>
      </c>
      <c r="C8477" s="9">
        <f t="shared" si="132"/>
        <v>0</v>
      </c>
    </row>
    <row r="8478" spans="1:3" x14ac:dyDescent="0.2">
      <c r="A8478" s="10" t="str">
        <f>IF(8470&gt;$C$9008,"",INDEX($B$9:$B$9008,MATCH(8470,$C$9:$C$9008,0)))</f>
        <v/>
      </c>
      <c r="B8478" s="9" t="str">
        <f>IFERROR(INDEX(Input!$L$20:$T$1019,INT((ROW()-9)/9)+1,MOD(ROW()-9,9)+1),"")</f>
        <v/>
      </c>
      <c r="C8478" s="9">
        <f t="shared" si="132"/>
        <v>0</v>
      </c>
    </row>
    <row r="8479" spans="1:3" x14ac:dyDescent="0.2">
      <c r="A8479" s="10" t="str">
        <f>IF(8471&gt;$C$9008,"",INDEX($B$9:$B$9008,MATCH(8471,$C$9:$C$9008,0)))</f>
        <v/>
      </c>
      <c r="B8479" s="9" t="str">
        <f>IFERROR(INDEX(Input!$L$20:$T$1019,INT((ROW()-9)/9)+1,MOD(ROW()-9,9)+1),"")</f>
        <v/>
      </c>
      <c r="C8479" s="9">
        <f t="shared" si="132"/>
        <v>0</v>
      </c>
    </row>
    <row r="8480" spans="1:3" x14ac:dyDescent="0.2">
      <c r="A8480" s="10" t="str">
        <f>IF(8472&gt;$C$9008,"",INDEX($B$9:$B$9008,MATCH(8472,$C$9:$C$9008,0)))</f>
        <v/>
      </c>
      <c r="B8480" s="9" t="str">
        <f>IFERROR(INDEX(Input!$L$20:$T$1019,INT((ROW()-9)/9)+1,MOD(ROW()-9,9)+1),"")</f>
        <v/>
      </c>
      <c r="C8480" s="9">
        <f t="shared" si="132"/>
        <v>0</v>
      </c>
    </row>
    <row r="8481" spans="1:3" x14ac:dyDescent="0.2">
      <c r="A8481" s="10" t="str">
        <f>IF(8473&gt;$C$9008,"",INDEX($B$9:$B$9008,MATCH(8473,$C$9:$C$9008,0)))</f>
        <v/>
      </c>
      <c r="B8481" s="9" t="str">
        <f>IFERROR(INDEX(Input!$L$20:$T$1019,INT((ROW()-9)/9)+1,MOD(ROW()-9,9)+1),"")</f>
        <v/>
      </c>
      <c r="C8481" s="9">
        <f t="shared" si="132"/>
        <v>0</v>
      </c>
    </row>
    <row r="8482" spans="1:3" x14ac:dyDescent="0.2">
      <c r="A8482" s="10" t="str">
        <f>IF(8474&gt;$C$9008,"",INDEX($B$9:$B$9008,MATCH(8474,$C$9:$C$9008,0)))</f>
        <v/>
      </c>
      <c r="B8482" s="9" t="str">
        <f>IFERROR(INDEX(Input!$L$20:$T$1019,INT((ROW()-9)/9)+1,MOD(ROW()-9,9)+1),"")</f>
        <v/>
      </c>
      <c r="C8482" s="9">
        <f t="shared" si="132"/>
        <v>0</v>
      </c>
    </row>
    <row r="8483" spans="1:3" x14ac:dyDescent="0.2">
      <c r="A8483" s="10" t="str">
        <f>IF(8475&gt;$C$9008,"",INDEX($B$9:$B$9008,MATCH(8475,$C$9:$C$9008,0)))</f>
        <v/>
      </c>
      <c r="B8483" s="9" t="str">
        <f>IFERROR(INDEX(Input!$L$20:$T$1019,INT((ROW()-9)/9)+1,MOD(ROW()-9,9)+1),"")</f>
        <v/>
      </c>
      <c r="C8483" s="9">
        <f t="shared" si="132"/>
        <v>0</v>
      </c>
    </row>
    <row r="8484" spans="1:3" x14ac:dyDescent="0.2">
      <c r="A8484" s="10" t="str">
        <f>IF(8476&gt;$C$9008,"",INDEX($B$9:$B$9008,MATCH(8476,$C$9:$C$9008,0)))</f>
        <v/>
      </c>
      <c r="B8484" s="9" t="str">
        <f>IFERROR(INDEX(Input!$L$20:$T$1019,INT((ROW()-9)/9)+1,MOD(ROW()-9,9)+1),"")</f>
        <v/>
      </c>
      <c r="C8484" s="9">
        <f t="shared" si="132"/>
        <v>0</v>
      </c>
    </row>
    <row r="8485" spans="1:3" x14ac:dyDescent="0.2">
      <c r="A8485" s="10" t="str">
        <f>IF(8477&gt;$C$9008,"",INDEX($B$9:$B$9008,MATCH(8477,$C$9:$C$9008,0)))</f>
        <v/>
      </c>
      <c r="B8485" s="9" t="str">
        <f>IFERROR(INDEX(Input!$L$20:$T$1019,INT((ROW()-9)/9)+1,MOD(ROW()-9,9)+1),"")</f>
        <v/>
      </c>
      <c r="C8485" s="9">
        <f t="shared" si="132"/>
        <v>0</v>
      </c>
    </row>
    <row r="8486" spans="1:3" x14ac:dyDescent="0.2">
      <c r="A8486" s="10" t="str">
        <f>IF(8478&gt;$C$9008,"",INDEX($B$9:$B$9008,MATCH(8478,$C$9:$C$9008,0)))</f>
        <v/>
      </c>
      <c r="B8486" s="9" t="str">
        <f>IFERROR(INDEX(Input!$L$20:$T$1019,INT((ROW()-9)/9)+1,MOD(ROW()-9,9)+1),"")</f>
        <v/>
      </c>
      <c r="C8486" s="9">
        <f t="shared" si="132"/>
        <v>0</v>
      </c>
    </row>
    <row r="8487" spans="1:3" x14ac:dyDescent="0.2">
      <c r="A8487" s="10" t="str">
        <f>IF(8479&gt;$C$9008,"",INDEX($B$9:$B$9008,MATCH(8479,$C$9:$C$9008,0)))</f>
        <v/>
      </c>
      <c r="B8487" s="9" t="str">
        <f>IFERROR(INDEX(Input!$L$20:$T$1019,INT((ROW()-9)/9)+1,MOD(ROW()-9,9)+1),"")</f>
        <v/>
      </c>
      <c r="C8487" s="9">
        <f t="shared" si="132"/>
        <v>0</v>
      </c>
    </row>
    <row r="8488" spans="1:3" x14ac:dyDescent="0.2">
      <c r="A8488" s="10" t="str">
        <f>IF(8480&gt;$C$9008,"",INDEX($B$9:$B$9008,MATCH(8480,$C$9:$C$9008,0)))</f>
        <v/>
      </c>
      <c r="B8488" s="9" t="str">
        <f>IFERROR(INDEX(Input!$L$20:$T$1019,INT((ROW()-9)/9)+1,MOD(ROW()-9,9)+1),"")</f>
        <v/>
      </c>
      <c r="C8488" s="9">
        <f t="shared" si="132"/>
        <v>0</v>
      </c>
    </row>
    <row r="8489" spans="1:3" x14ac:dyDescent="0.2">
      <c r="A8489" s="10" t="str">
        <f>IF(8481&gt;$C$9008,"",INDEX($B$9:$B$9008,MATCH(8481,$C$9:$C$9008,0)))</f>
        <v/>
      </c>
      <c r="B8489" s="9" t="str">
        <f>IFERROR(INDEX(Input!$L$20:$T$1019,INT((ROW()-9)/9)+1,MOD(ROW()-9,9)+1),"")</f>
        <v/>
      </c>
      <c r="C8489" s="9">
        <f t="shared" si="132"/>
        <v>0</v>
      </c>
    </row>
    <row r="8490" spans="1:3" x14ac:dyDescent="0.2">
      <c r="A8490" s="10" t="str">
        <f>IF(8482&gt;$C$9008,"",INDEX($B$9:$B$9008,MATCH(8482,$C$9:$C$9008,0)))</f>
        <v/>
      </c>
      <c r="B8490" s="9" t="str">
        <f>IFERROR(INDEX(Input!$L$20:$T$1019,INT((ROW()-9)/9)+1,MOD(ROW()-9,9)+1),"")</f>
        <v/>
      </c>
      <c r="C8490" s="9">
        <f t="shared" si="132"/>
        <v>0</v>
      </c>
    </row>
    <row r="8491" spans="1:3" x14ac:dyDescent="0.2">
      <c r="A8491" s="10" t="str">
        <f>IF(8483&gt;$C$9008,"",INDEX($B$9:$B$9008,MATCH(8483,$C$9:$C$9008,0)))</f>
        <v/>
      </c>
      <c r="B8491" s="9" t="str">
        <f>IFERROR(INDEX(Input!$L$20:$T$1019,INT((ROW()-9)/9)+1,MOD(ROW()-9,9)+1),"")</f>
        <v/>
      </c>
      <c r="C8491" s="9">
        <f t="shared" si="132"/>
        <v>0</v>
      </c>
    </row>
    <row r="8492" spans="1:3" x14ac:dyDescent="0.2">
      <c r="A8492" s="10" t="str">
        <f>IF(8484&gt;$C$9008,"",INDEX($B$9:$B$9008,MATCH(8484,$C$9:$C$9008,0)))</f>
        <v/>
      </c>
      <c r="B8492" s="9" t="str">
        <f>IFERROR(INDEX(Input!$L$20:$T$1019,INT((ROW()-9)/9)+1,MOD(ROW()-9,9)+1),"")</f>
        <v/>
      </c>
      <c r="C8492" s="9">
        <f t="shared" si="132"/>
        <v>0</v>
      </c>
    </row>
    <row r="8493" spans="1:3" x14ac:dyDescent="0.2">
      <c r="A8493" s="10" t="str">
        <f>IF(8485&gt;$C$9008,"",INDEX($B$9:$B$9008,MATCH(8485,$C$9:$C$9008,0)))</f>
        <v/>
      </c>
      <c r="B8493" s="9" t="str">
        <f>IFERROR(INDEX(Input!$L$20:$T$1019,INT((ROW()-9)/9)+1,MOD(ROW()-9,9)+1),"")</f>
        <v/>
      </c>
      <c r="C8493" s="9">
        <f t="shared" si="132"/>
        <v>0</v>
      </c>
    </row>
    <row r="8494" spans="1:3" x14ac:dyDescent="0.2">
      <c r="A8494" s="10" t="str">
        <f>IF(8486&gt;$C$9008,"",INDEX($B$9:$B$9008,MATCH(8486,$C$9:$C$9008,0)))</f>
        <v/>
      </c>
      <c r="B8494" s="9" t="str">
        <f>IFERROR(INDEX(Input!$L$20:$T$1019,INT((ROW()-9)/9)+1,MOD(ROW()-9,9)+1),"")</f>
        <v/>
      </c>
      <c r="C8494" s="9">
        <f t="shared" si="132"/>
        <v>0</v>
      </c>
    </row>
    <row r="8495" spans="1:3" x14ac:dyDescent="0.2">
      <c r="A8495" s="10" t="str">
        <f>IF(8487&gt;$C$9008,"",INDEX($B$9:$B$9008,MATCH(8487,$C$9:$C$9008,0)))</f>
        <v/>
      </c>
      <c r="B8495" s="9" t="str">
        <f>IFERROR(INDEX(Input!$L$20:$T$1019,INT((ROW()-9)/9)+1,MOD(ROW()-9,9)+1),"")</f>
        <v/>
      </c>
      <c r="C8495" s="9">
        <f t="shared" si="132"/>
        <v>0</v>
      </c>
    </row>
    <row r="8496" spans="1:3" x14ac:dyDescent="0.2">
      <c r="A8496" s="10" t="str">
        <f>IF(8488&gt;$C$9008,"",INDEX($B$9:$B$9008,MATCH(8488,$C$9:$C$9008,0)))</f>
        <v/>
      </c>
      <c r="B8496" s="9" t="str">
        <f>IFERROR(INDEX(Input!$L$20:$T$1019,INT((ROW()-9)/9)+1,MOD(ROW()-9,9)+1),"")</f>
        <v/>
      </c>
      <c r="C8496" s="9">
        <f t="shared" si="132"/>
        <v>0</v>
      </c>
    </row>
    <row r="8497" spans="1:3" x14ac:dyDescent="0.2">
      <c r="A8497" s="10" t="str">
        <f>IF(8489&gt;$C$9008,"",INDEX($B$9:$B$9008,MATCH(8489,$C$9:$C$9008,0)))</f>
        <v/>
      </c>
      <c r="B8497" s="9" t="str">
        <f>IFERROR(INDEX(Input!$L$20:$T$1019,INT((ROW()-9)/9)+1,MOD(ROW()-9,9)+1),"")</f>
        <v/>
      </c>
      <c r="C8497" s="9">
        <f t="shared" si="132"/>
        <v>0</v>
      </c>
    </row>
    <row r="8498" spans="1:3" x14ac:dyDescent="0.2">
      <c r="A8498" s="10" t="str">
        <f>IF(8490&gt;$C$9008,"",INDEX($B$9:$B$9008,MATCH(8490,$C$9:$C$9008,0)))</f>
        <v/>
      </c>
      <c r="B8498" s="9" t="str">
        <f>IFERROR(INDEX(Input!$L$20:$T$1019,INT((ROW()-9)/9)+1,MOD(ROW()-9,9)+1),"")</f>
        <v/>
      </c>
      <c r="C8498" s="9">
        <f t="shared" si="132"/>
        <v>0</v>
      </c>
    </row>
    <row r="8499" spans="1:3" x14ac:dyDescent="0.2">
      <c r="A8499" s="10" t="str">
        <f>IF(8491&gt;$C$9008,"",INDEX($B$9:$B$9008,MATCH(8491,$C$9:$C$9008,0)))</f>
        <v/>
      </c>
      <c r="B8499" s="9" t="str">
        <f>IFERROR(INDEX(Input!$L$20:$T$1019,INT((ROW()-9)/9)+1,MOD(ROW()-9,9)+1),"")</f>
        <v/>
      </c>
      <c r="C8499" s="9">
        <f t="shared" si="132"/>
        <v>0</v>
      </c>
    </row>
    <row r="8500" spans="1:3" x14ac:dyDescent="0.2">
      <c r="A8500" s="10" t="str">
        <f>IF(8492&gt;$C$9008,"",INDEX($B$9:$B$9008,MATCH(8492,$C$9:$C$9008,0)))</f>
        <v/>
      </c>
      <c r="B8500" s="9" t="str">
        <f>IFERROR(INDEX(Input!$L$20:$T$1019,INT((ROW()-9)/9)+1,MOD(ROW()-9,9)+1),"")</f>
        <v/>
      </c>
      <c r="C8500" s="9">
        <f t="shared" si="132"/>
        <v>0</v>
      </c>
    </row>
    <row r="8501" spans="1:3" x14ac:dyDescent="0.2">
      <c r="A8501" s="10" t="str">
        <f>IF(8493&gt;$C$9008,"",INDEX($B$9:$B$9008,MATCH(8493,$C$9:$C$9008,0)))</f>
        <v/>
      </c>
      <c r="B8501" s="9" t="str">
        <f>IFERROR(INDEX(Input!$L$20:$T$1019,INT((ROW()-9)/9)+1,MOD(ROW()-9,9)+1),"")</f>
        <v/>
      </c>
      <c r="C8501" s="9">
        <f t="shared" si="132"/>
        <v>0</v>
      </c>
    </row>
    <row r="8502" spans="1:3" x14ac:dyDescent="0.2">
      <c r="A8502" s="10" t="str">
        <f>IF(8494&gt;$C$9008,"",INDEX($B$9:$B$9008,MATCH(8494,$C$9:$C$9008,0)))</f>
        <v/>
      </c>
      <c r="B8502" s="9" t="str">
        <f>IFERROR(INDEX(Input!$L$20:$T$1019,INT((ROW()-9)/9)+1,MOD(ROW()-9,9)+1),"")</f>
        <v/>
      </c>
      <c r="C8502" s="9">
        <f t="shared" si="132"/>
        <v>0</v>
      </c>
    </row>
    <row r="8503" spans="1:3" x14ac:dyDescent="0.2">
      <c r="A8503" s="10" t="str">
        <f>IF(8495&gt;$C$9008,"",INDEX($B$9:$B$9008,MATCH(8495,$C$9:$C$9008,0)))</f>
        <v/>
      </c>
      <c r="B8503" s="9" t="str">
        <f>IFERROR(INDEX(Input!$L$20:$T$1019,INT((ROW()-9)/9)+1,MOD(ROW()-9,9)+1),"")</f>
        <v/>
      </c>
      <c r="C8503" s="9">
        <f t="shared" si="132"/>
        <v>0</v>
      </c>
    </row>
    <row r="8504" spans="1:3" x14ac:dyDescent="0.2">
      <c r="A8504" s="10" t="str">
        <f>IF(8496&gt;$C$9008,"",INDEX($B$9:$B$9008,MATCH(8496,$C$9:$C$9008,0)))</f>
        <v/>
      </c>
      <c r="B8504" s="9" t="str">
        <f>IFERROR(INDEX(Input!$L$20:$T$1019,INT((ROW()-9)/9)+1,MOD(ROW()-9,9)+1),"")</f>
        <v/>
      </c>
      <c r="C8504" s="9">
        <f t="shared" si="132"/>
        <v>0</v>
      </c>
    </row>
    <row r="8505" spans="1:3" x14ac:dyDescent="0.2">
      <c r="A8505" s="10" t="str">
        <f>IF(8497&gt;$C$9008,"",INDEX($B$9:$B$9008,MATCH(8497,$C$9:$C$9008,0)))</f>
        <v/>
      </c>
      <c r="B8505" s="9" t="str">
        <f>IFERROR(INDEX(Input!$L$20:$T$1019,INT((ROW()-9)/9)+1,MOD(ROW()-9,9)+1),"")</f>
        <v/>
      </c>
      <c r="C8505" s="9">
        <f t="shared" si="132"/>
        <v>0</v>
      </c>
    </row>
    <row r="8506" spans="1:3" x14ac:dyDescent="0.2">
      <c r="A8506" s="10" t="str">
        <f>IF(8498&gt;$C$9008,"",INDEX($B$9:$B$9008,MATCH(8498,$C$9:$C$9008,0)))</f>
        <v/>
      </c>
      <c r="B8506" s="9" t="str">
        <f>IFERROR(INDEX(Input!$L$20:$T$1019,INT((ROW()-9)/9)+1,MOD(ROW()-9,9)+1),"")</f>
        <v/>
      </c>
      <c r="C8506" s="9">
        <f t="shared" si="132"/>
        <v>0</v>
      </c>
    </row>
    <row r="8507" spans="1:3" x14ac:dyDescent="0.2">
      <c r="A8507" s="10" t="str">
        <f>IF(8499&gt;$C$9008,"",INDEX($B$9:$B$9008,MATCH(8499,$C$9:$C$9008,0)))</f>
        <v/>
      </c>
      <c r="B8507" s="9" t="str">
        <f>IFERROR(INDEX(Input!$L$20:$T$1019,INT((ROW()-9)/9)+1,MOD(ROW()-9,9)+1),"")</f>
        <v/>
      </c>
      <c r="C8507" s="9">
        <f t="shared" si="132"/>
        <v>0</v>
      </c>
    </row>
    <row r="8508" spans="1:3" x14ac:dyDescent="0.2">
      <c r="A8508" s="10" t="str">
        <f>IF(8500&gt;$C$9008,"",INDEX($B$9:$B$9008,MATCH(8500,$C$9:$C$9008,0)))</f>
        <v/>
      </c>
      <c r="B8508" s="9" t="str">
        <f>IFERROR(INDEX(Input!$L$20:$T$1019,INT((ROW()-9)/9)+1,MOD(ROW()-9,9)+1),"")</f>
        <v/>
      </c>
      <c r="C8508" s="9">
        <f t="shared" si="132"/>
        <v>0</v>
      </c>
    </row>
    <row r="8509" spans="1:3" x14ac:dyDescent="0.2">
      <c r="A8509" s="10" t="str">
        <f>IF(8501&gt;$C$9008,"",INDEX($B$9:$B$9008,MATCH(8501,$C$9:$C$9008,0)))</f>
        <v/>
      </c>
      <c r="B8509" s="9" t="str">
        <f>IFERROR(INDEX(Input!$L$20:$T$1019,INT((ROW()-9)/9)+1,MOD(ROW()-9,9)+1),"")</f>
        <v/>
      </c>
      <c r="C8509" s="9">
        <f t="shared" si="132"/>
        <v>0</v>
      </c>
    </row>
    <row r="8510" spans="1:3" x14ac:dyDescent="0.2">
      <c r="A8510" s="10" t="str">
        <f>IF(8502&gt;$C$9008,"",INDEX($B$9:$B$9008,MATCH(8502,$C$9:$C$9008,0)))</f>
        <v/>
      </c>
      <c r="B8510" s="9" t="str">
        <f>IFERROR(INDEX(Input!$L$20:$T$1019,INT((ROW()-9)/9)+1,MOD(ROW()-9,9)+1),"")</f>
        <v/>
      </c>
      <c r="C8510" s="9">
        <f t="shared" si="132"/>
        <v>0</v>
      </c>
    </row>
    <row r="8511" spans="1:3" x14ac:dyDescent="0.2">
      <c r="A8511" s="10" t="str">
        <f>IF(8503&gt;$C$9008,"",INDEX($B$9:$B$9008,MATCH(8503,$C$9:$C$9008,0)))</f>
        <v/>
      </c>
      <c r="B8511" s="9" t="str">
        <f>IFERROR(INDEX(Input!$L$20:$T$1019,INT((ROW()-9)/9)+1,MOD(ROW()-9,9)+1),"")</f>
        <v/>
      </c>
      <c r="C8511" s="9">
        <f t="shared" si="132"/>
        <v>0</v>
      </c>
    </row>
    <row r="8512" spans="1:3" x14ac:dyDescent="0.2">
      <c r="A8512" s="10" t="str">
        <f>IF(8504&gt;$C$9008,"",INDEX($B$9:$B$9008,MATCH(8504,$C$9:$C$9008,0)))</f>
        <v/>
      </c>
      <c r="B8512" s="9" t="str">
        <f>IFERROR(INDEX(Input!$L$20:$T$1019,INT((ROW()-9)/9)+1,MOD(ROW()-9,9)+1),"")</f>
        <v/>
      </c>
      <c r="C8512" s="9">
        <f t="shared" si="132"/>
        <v>0</v>
      </c>
    </row>
    <row r="8513" spans="1:3" x14ac:dyDescent="0.2">
      <c r="A8513" s="10" t="str">
        <f>IF(8505&gt;$C$9008,"",INDEX($B$9:$B$9008,MATCH(8505,$C$9:$C$9008,0)))</f>
        <v/>
      </c>
      <c r="B8513" s="9" t="str">
        <f>IFERROR(INDEX(Input!$L$20:$T$1019,INT((ROW()-9)/9)+1,MOD(ROW()-9,9)+1),"")</f>
        <v/>
      </c>
      <c r="C8513" s="9">
        <f t="shared" si="132"/>
        <v>0</v>
      </c>
    </row>
    <row r="8514" spans="1:3" x14ac:dyDescent="0.2">
      <c r="A8514" s="10" t="str">
        <f>IF(8506&gt;$C$9008,"",INDEX($B$9:$B$9008,MATCH(8506,$C$9:$C$9008,0)))</f>
        <v/>
      </c>
      <c r="B8514" s="9" t="str">
        <f>IFERROR(INDEX(Input!$L$20:$T$1019,INT((ROW()-9)/9)+1,MOD(ROW()-9,9)+1),"")</f>
        <v/>
      </c>
      <c r="C8514" s="9">
        <f t="shared" si="132"/>
        <v>0</v>
      </c>
    </row>
    <row r="8515" spans="1:3" x14ac:dyDescent="0.2">
      <c r="A8515" s="10" t="str">
        <f>IF(8507&gt;$C$9008,"",INDEX($B$9:$B$9008,MATCH(8507,$C$9:$C$9008,0)))</f>
        <v/>
      </c>
      <c r="B8515" s="9" t="str">
        <f>IFERROR(INDEX(Input!$L$20:$T$1019,INT((ROW()-9)/9)+1,MOD(ROW()-9,9)+1),"")</f>
        <v/>
      </c>
      <c r="C8515" s="9">
        <f t="shared" si="132"/>
        <v>0</v>
      </c>
    </row>
    <row r="8516" spans="1:3" x14ac:dyDescent="0.2">
      <c r="A8516" s="10" t="str">
        <f>IF(8508&gt;$C$9008,"",INDEX($B$9:$B$9008,MATCH(8508,$C$9:$C$9008,0)))</f>
        <v/>
      </c>
      <c r="B8516" s="9" t="str">
        <f>IFERROR(INDEX(Input!$L$20:$T$1019,INT((ROW()-9)/9)+1,MOD(ROW()-9,9)+1),"")</f>
        <v/>
      </c>
      <c r="C8516" s="9">
        <f t="shared" si="132"/>
        <v>0</v>
      </c>
    </row>
    <row r="8517" spans="1:3" x14ac:dyDescent="0.2">
      <c r="A8517" s="10" t="str">
        <f>IF(8509&gt;$C$9008,"",INDEX($B$9:$B$9008,MATCH(8509,$C$9:$C$9008,0)))</f>
        <v/>
      </c>
      <c r="B8517" s="9" t="str">
        <f>IFERROR(INDEX(Input!$L$20:$T$1019,INT((ROW()-9)/9)+1,MOD(ROW()-9,9)+1),"")</f>
        <v/>
      </c>
      <c r="C8517" s="9">
        <f t="shared" si="132"/>
        <v>0</v>
      </c>
    </row>
    <row r="8518" spans="1:3" x14ac:dyDescent="0.2">
      <c r="A8518" s="10" t="str">
        <f>IF(8510&gt;$C$9008,"",INDEX($B$9:$B$9008,MATCH(8510,$C$9:$C$9008,0)))</f>
        <v/>
      </c>
      <c r="B8518" s="9" t="str">
        <f>IFERROR(INDEX(Input!$L$20:$T$1019,INT((ROW()-9)/9)+1,MOD(ROW()-9,9)+1),"")</f>
        <v/>
      </c>
      <c r="C8518" s="9">
        <f t="shared" si="132"/>
        <v>0</v>
      </c>
    </row>
    <row r="8519" spans="1:3" x14ac:dyDescent="0.2">
      <c r="A8519" s="10" t="str">
        <f>IF(8511&gt;$C$9008,"",INDEX($B$9:$B$9008,MATCH(8511,$C$9:$C$9008,0)))</f>
        <v/>
      </c>
      <c r="B8519" s="9" t="str">
        <f>IFERROR(INDEX(Input!$L$20:$T$1019,INT((ROW()-9)/9)+1,MOD(ROW()-9,9)+1),"")</f>
        <v/>
      </c>
      <c r="C8519" s="9">
        <f t="shared" si="132"/>
        <v>0</v>
      </c>
    </row>
    <row r="8520" spans="1:3" x14ac:dyDescent="0.2">
      <c r="A8520" s="10" t="str">
        <f>IF(8512&gt;$C$9008,"",INDEX($B$9:$B$9008,MATCH(8512,$C$9:$C$9008,0)))</f>
        <v/>
      </c>
      <c r="B8520" s="9" t="str">
        <f>IFERROR(INDEX(Input!$L$20:$T$1019,INT((ROW()-9)/9)+1,MOD(ROW()-9,9)+1),"")</f>
        <v/>
      </c>
      <c r="C8520" s="9">
        <f t="shared" si="132"/>
        <v>0</v>
      </c>
    </row>
    <row r="8521" spans="1:3" x14ac:dyDescent="0.2">
      <c r="A8521" s="10" t="str">
        <f>IF(8513&gt;$C$9008,"",INDEX($B$9:$B$9008,MATCH(8513,$C$9:$C$9008,0)))</f>
        <v/>
      </c>
      <c r="B8521" s="9" t="str">
        <f>IFERROR(INDEX(Input!$L$20:$T$1019,INT((ROW()-9)/9)+1,MOD(ROW()-9,9)+1),"")</f>
        <v/>
      </c>
      <c r="C8521" s="9">
        <f t="shared" ref="C8521:C8584" si="133">$C8520+IF($B8521&lt;&gt;"",1,0)</f>
        <v>0</v>
      </c>
    </row>
    <row r="8522" spans="1:3" x14ac:dyDescent="0.2">
      <c r="A8522" s="10" t="str">
        <f>IF(8514&gt;$C$9008,"",INDEX($B$9:$B$9008,MATCH(8514,$C$9:$C$9008,0)))</f>
        <v/>
      </c>
      <c r="B8522" s="9" t="str">
        <f>IFERROR(INDEX(Input!$L$20:$T$1019,INT((ROW()-9)/9)+1,MOD(ROW()-9,9)+1),"")</f>
        <v/>
      </c>
      <c r="C8522" s="9">
        <f t="shared" si="133"/>
        <v>0</v>
      </c>
    </row>
    <row r="8523" spans="1:3" x14ac:dyDescent="0.2">
      <c r="A8523" s="10" t="str">
        <f>IF(8515&gt;$C$9008,"",INDEX($B$9:$B$9008,MATCH(8515,$C$9:$C$9008,0)))</f>
        <v/>
      </c>
      <c r="B8523" s="9" t="str">
        <f>IFERROR(INDEX(Input!$L$20:$T$1019,INT((ROW()-9)/9)+1,MOD(ROW()-9,9)+1),"")</f>
        <v/>
      </c>
      <c r="C8523" s="9">
        <f t="shared" si="133"/>
        <v>0</v>
      </c>
    </row>
    <row r="8524" spans="1:3" x14ac:dyDescent="0.2">
      <c r="A8524" s="10" t="str">
        <f>IF(8516&gt;$C$9008,"",INDEX($B$9:$B$9008,MATCH(8516,$C$9:$C$9008,0)))</f>
        <v/>
      </c>
      <c r="B8524" s="9" t="str">
        <f>IFERROR(INDEX(Input!$L$20:$T$1019,INT((ROW()-9)/9)+1,MOD(ROW()-9,9)+1),"")</f>
        <v/>
      </c>
      <c r="C8524" s="9">
        <f t="shared" si="133"/>
        <v>0</v>
      </c>
    </row>
    <row r="8525" spans="1:3" x14ac:dyDescent="0.2">
      <c r="A8525" s="10" t="str">
        <f>IF(8517&gt;$C$9008,"",INDEX($B$9:$B$9008,MATCH(8517,$C$9:$C$9008,0)))</f>
        <v/>
      </c>
      <c r="B8525" s="9" t="str">
        <f>IFERROR(INDEX(Input!$L$20:$T$1019,INT((ROW()-9)/9)+1,MOD(ROW()-9,9)+1),"")</f>
        <v/>
      </c>
      <c r="C8525" s="9">
        <f t="shared" si="133"/>
        <v>0</v>
      </c>
    </row>
    <row r="8526" spans="1:3" x14ac:dyDescent="0.2">
      <c r="A8526" s="10" t="str">
        <f>IF(8518&gt;$C$9008,"",INDEX($B$9:$B$9008,MATCH(8518,$C$9:$C$9008,0)))</f>
        <v/>
      </c>
      <c r="B8526" s="9" t="str">
        <f>IFERROR(INDEX(Input!$L$20:$T$1019,INT((ROW()-9)/9)+1,MOD(ROW()-9,9)+1),"")</f>
        <v/>
      </c>
      <c r="C8526" s="9">
        <f t="shared" si="133"/>
        <v>0</v>
      </c>
    </row>
    <row r="8527" spans="1:3" x14ac:dyDescent="0.2">
      <c r="A8527" s="10" t="str">
        <f>IF(8519&gt;$C$9008,"",INDEX($B$9:$B$9008,MATCH(8519,$C$9:$C$9008,0)))</f>
        <v/>
      </c>
      <c r="B8527" s="9" t="str">
        <f>IFERROR(INDEX(Input!$L$20:$T$1019,INT((ROW()-9)/9)+1,MOD(ROW()-9,9)+1),"")</f>
        <v/>
      </c>
      <c r="C8527" s="9">
        <f t="shared" si="133"/>
        <v>0</v>
      </c>
    </row>
    <row r="8528" spans="1:3" x14ac:dyDescent="0.2">
      <c r="A8528" s="10" t="str">
        <f>IF(8520&gt;$C$9008,"",INDEX($B$9:$B$9008,MATCH(8520,$C$9:$C$9008,0)))</f>
        <v/>
      </c>
      <c r="B8528" s="9" t="str">
        <f>IFERROR(INDEX(Input!$L$20:$T$1019,INT((ROW()-9)/9)+1,MOD(ROW()-9,9)+1),"")</f>
        <v/>
      </c>
      <c r="C8528" s="9">
        <f t="shared" si="133"/>
        <v>0</v>
      </c>
    </row>
    <row r="8529" spans="1:3" x14ac:dyDescent="0.2">
      <c r="A8529" s="10" t="str">
        <f>IF(8521&gt;$C$9008,"",INDEX($B$9:$B$9008,MATCH(8521,$C$9:$C$9008,0)))</f>
        <v/>
      </c>
      <c r="B8529" s="9" t="str">
        <f>IFERROR(INDEX(Input!$L$20:$T$1019,INT((ROW()-9)/9)+1,MOD(ROW()-9,9)+1),"")</f>
        <v/>
      </c>
      <c r="C8529" s="9">
        <f t="shared" si="133"/>
        <v>0</v>
      </c>
    </row>
    <row r="8530" spans="1:3" x14ac:dyDescent="0.2">
      <c r="A8530" s="10" t="str">
        <f>IF(8522&gt;$C$9008,"",INDEX($B$9:$B$9008,MATCH(8522,$C$9:$C$9008,0)))</f>
        <v/>
      </c>
      <c r="B8530" s="9" t="str">
        <f>IFERROR(INDEX(Input!$L$20:$T$1019,INT((ROW()-9)/9)+1,MOD(ROW()-9,9)+1),"")</f>
        <v/>
      </c>
      <c r="C8530" s="9">
        <f t="shared" si="133"/>
        <v>0</v>
      </c>
    </row>
    <row r="8531" spans="1:3" x14ac:dyDescent="0.2">
      <c r="A8531" s="10" t="str">
        <f>IF(8523&gt;$C$9008,"",INDEX($B$9:$B$9008,MATCH(8523,$C$9:$C$9008,0)))</f>
        <v/>
      </c>
      <c r="B8531" s="9" t="str">
        <f>IFERROR(INDEX(Input!$L$20:$T$1019,INT((ROW()-9)/9)+1,MOD(ROW()-9,9)+1),"")</f>
        <v/>
      </c>
      <c r="C8531" s="9">
        <f t="shared" si="133"/>
        <v>0</v>
      </c>
    </row>
    <row r="8532" spans="1:3" x14ac:dyDescent="0.2">
      <c r="A8532" s="10" t="str">
        <f>IF(8524&gt;$C$9008,"",INDEX($B$9:$B$9008,MATCH(8524,$C$9:$C$9008,0)))</f>
        <v/>
      </c>
      <c r="B8532" s="9" t="str">
        <f>IFERROR(INDEX(Input!$L$20:$T$1019,INT((ROW()-9)/9)+1,MOD(ROW()-9,9)+1),"")</f>
        <v/>
      </c>
      <c r="C8532" s="9">
        <f t="shared" si="133"/>
        <v>0</v>
      </c>
    </row>
    <row r="8533" spans="1:3" x14ac:dyDescent="0.2">
      <c r="A8533" s="10" t="str">
        <f>IF(8525&gt;$C$9008,"",INDEX($B$9:$B$9008,MATCH(8525,$C$9:$C$9008,0)))</f>
        <v/>
      </c>
      <c r="B8533" s="9" t="str">
        <f>IFERROR(INDEX(Input!$L$20:$T$1019,INT((ROW()-9)/9)+1,MOD(ROW()-9,9)+1),"")</f>
        <v/>
      </c>
      <c r="C8533" s="9">
        <f t="shared" si="133"/>
        <v>0</v>
      </c>
    </row>
    <row r="8534" spans="1:3" x14ac:dyDescent="0.2">
      <c r="A8534" s="10" t="str">
        <f>IF(8526&gt;$C$9008,"",INDEX($B$9:$B$9008,MATCH(8526,$C$9:$C$9008,0)))</f>
        <v/>
      </c>
      <c r="B8534" s="9" t="str">
        <f>IFERROR(INDEX(Input!$L$20:$T$1019,INT((ROW()-9)/9)+1,MOD(ROW()-9,9)+1),"")</f>
        <v/>
      </c>
      <c r="C8534" s="9">
        <f t="shared" si="133"/>
        <v>0</v>
      </c>
    </row>
    <row r="8535" spans="1:3" x14ac:dyDescent="0.2">
      <c r="A8535" s="10" t="str">
        <f>IF(8527&gt;$C$9008,"",INDEX($B$9:$B$9008,MATCH(8527,$C$9:$C$9008,0)))</f>
        <v/>
      </c>
      <c r="B8535" s="9" t="str">
        <f>IFERROR(INDEX(Input!$L$20:$T$1019,INT((ROW()-9)/9)+1,MOD(ROW()-9,9)+1),"")</f>
        <v/>
      </c>
      <c r="C8535" s="9">
        <f t="shared" si="133"/>
        <v>0</v>
      </c>
    </row>
    <row r="8536" spans="1:3" x14ac:dyDescent="0.2">
      <c r="A8536" s="10" t="str">
        <f>IF(8528&gt;$C$9008,"",INDEX($B$9:$B$9008,MATCH(8528,$C$9:$C$9008,0)))</f>
        <v/>
      </c>
      <c r="B8536" s="9" t="str">
        <f>IFERROR(INDEX(Input!$L$20:$T$1019,INT((ROW()-9)/9)+1,MOD(ROW()-9,9)+1),"")</f>
        <v/>
      </c>
      <c r="C8536" s="9">
        <f t="shared" si="133"/>
        <v>0</v>
      </c>
    </row>
    <row r="8537" spans="1:3" x14ac:dyDescent="0.2">
      <c r="A8537" s="10" t="str">
        <f>IF(8529&gt;$C$9008,"",INDEX($B$9:$B$9008,MATCH(8529,$C$9:$C$9008,0)))</f>
        <v/>
      </c>
      <c r="B8537" s="9" t="str">
        <f>IFERROR(INDEX(Input!$L$20:$T$1019,INT((ROW()-9)/9)+1,MOD(ROW()-9,9)+1),"")</f>
        <v/>
      </c>
      <c r="C8537" s="9">
        <f t="shared" si="133"/>
        <v>0</v>
      </c>
    </row>
    <row r="8538" spans="1:3" x14ac:dyDescent="0.2">
      <c r="A8538" s="10" t="str">
        <f>IF(8530&gt;$C$9008,"",INDEX($B$9:$B$9008,MATCH(8530,$C$9:$C$9008,0)))</f>
        <v/>
      </c>
      <c r="B8538" s="9" t="str">
        <f>IFERROR(INDEX(Input!$L$20:$T$1019,INT((ROW()-9)/9)+1,MOD(ROW()-9,9)+1),"")</f>
        <v/>
      </c>
      <c r="C8538" s="9">
        <f t="shared" si="133"/>
        <v>0</v>
      </c>
    </row>
    <row r="8539" spans="1:3" x14ac:dyDescent="0.2">
      <c r="A8539" s="10" t="str">
        <f>IF(8531&gt;$C$9008,"",INDEX($B$9:$B$9008,MATCH(8531,$C$9:$C$9008,0)))</f>
        <v/>
      </c>
      <c r="B8539" s="9" t="str">
        <f>IFERROR(INDEX(Input!$L$20:$T$1019,INT((ROW()-9)/9)+1,MOD(ROW()-9,9)+1),"")</f>
        <v/>
      </c>
      <c r="C8539" s="9">
        <f t="shared" si="133"/>
        <v>0</v>
      </c>
    </row>
    <row r="8540" spans="1:3" x14ac:dyDescent="0.2">
      <c r="A8540" s="10" t="str">
        <f>IF(8532&gt;$C$9008,"",INDEX($B$9:$B$9008,MATCH(8532,$C$9:$C$9008,0)))</f>
        <v/>
      </c>
      <c r="B8540" s="9" t="str">
        <f>IFERROR(INDEX(Input!$L$20:$T$1019,INT((ROW()-9)/9)+1,MOD(ROW()-9,9)+1),"")</f>
        <v/>
      </c>
      <c r="C8540" s="9">
        <f t="shared" si="133"/>
        <v>0</v>
      </c>
    </row>
    <row r="8541" spans="1:3" x14ac:dyDescent="0.2">
      <c r="A8541" s="10" t="str">
        <f>IF(8533&gt;$C$9008,"",INDEX($B$9:$B$9008,MATCH(8533,$C$9:$C$9008,0)))</f>
        <v/>
      </c>
      <c r="B8541" s="9" t="str">
        <f>IFERROR(INDEX(Input!$L$20:$T$1019,INT((ROW()-9)/9)+1,MOD(ROW()-9,9)+1),"")</f>
        <v/>
      </c>
      <c r="C8541" s="9">
        <f t="shared" si="133"/>
        <v>0</v>
      </c>
    </row>
    <row r="8542" spans="1:3" x14ac:dyDescent="0.2">
      <c r="A8542" s="10" t="str">
        <f>IF(8534&gt;$C$9008,"",INDEX($B$9:$B$9008,MATCH(8534,$C$9:$C$9008,0)))</f>
        <v/>
      </c>
      <c r="B8542" s="9" t="str">
        <f>IFERROR(INDEX(Input!$L$20:$T$1019,INT((ROW()-9)/9)+1,MOD(ROW()-9,9)+1),"")</f>
        <v/>
      </c>
      <c r="C8542" s="9">
        <f t="shared" si="133"/>
        <v>0</v>
      </c>
    </row>
    <row r="8543" spans="1:3" x14ac:dyDescent="0.2">
      <c r="A8543" s="10" t="str">
        <f>IF(8535&gt;$C$9008,"",INDEX($B$9:$B$9008,MATCH(8535,$C$9:$C$9008,0)))</f>
        <v/>
      </c>
      <c r="B8543" s="9" t="str">
        <f>IFERROR(INDEX(Input!$L$20:$T$1019,INT((ROW()-9)/9)+1,MOD(ROW()-9,9)+1),"")</f>
        <v/>
      </c>
      <c r="C8543" s="9">
        <f t="shared" si="133"/>
        <v>0</v>
      </c>
    </row>
    <row r="8544" spans="1:3" x14ac:dyDescent="0.2">
      <c r="A8544" s="10" t="str">
        <f>IF(8536&gt;$C$9008,"",INDEX($B$9:$B$9008,MATCH(8536,$C$9:$C$9008,0)))</f>
        <v/>
      </c>
      <c r="B8544" s="9" t="str">
        <f>IFERROR(INDEX(Input!$L$20:$T$1019,INT((ROW()-9)/9)+1,MOD(ROW()-9,9)+1),"")</f>
        <v/>
      </c>
      <c r="C8544" s="9">
        <f t="shared" si="133"/>
        <v>0</v>
      </c>
    </row>
    <row r="8545" spans="1:3" x14ac:dyDescent="0.2">
      <c r="A8545" s="10" t="str">
        <f>IF(8537&gt;$C$9008,"",INDEX($B$9:$B$9008,MATCH(8537,$C$9:$C$9008,0)))</f>
        <v/>
      </c>
      <c r="B8545" s="9" t="str">
        <f>IFERROR(INDEX(Input!$L$20:$T$1019,INT((ROW()-9)/9)+1,MOD(ROW()-9,9)+1),"")</f>
        <v/>
      </c>
      <c r="C8545" s="9">
        <f t="shared" si="133"/>
        <v>0</v>
      </c>
    </row>
    <row r="8546" spans="1:3" x14ac:dyDescent="0.2">
      <c r="A8546" s="10" t="str">
        <f>IF(8538&gt;$C$9008,"",INDEX($B$9:$B$9008,MATCH(8538,$C$9:$C$9008,0)))</f>
        <v/>
      </c>
      <c r="B8546" s="9" t="str">
        <f>IFERROR(INDEX(Input!$L$20:$T$1019,INT((ROW()-9)/9)+1,MOD(ROW()-9,9)+1),"")</f>
        <v/>
      </c>
      <c r="C8546" s="9">
        <f t="shared" si="133"/>
        <v>0</v>
      </c>
    </row>
    <row r="8547" spans="1:3" x14ac:dyDescent="0.2">
      <c r="A8547" s="10" t="str">
        <f>IF(8539&gt;$C$9008,"",INDEX($B$9:$B$9008,MATCH(8539,$C$9:$C$9008,0)))</f>
        <v/>
      </c>
      <c r="B8547" s="9" t="str">
        <f>IFERROR(INDEX(Input!$L$20:$T$1019,INT((ROW()-9)/9)+1,MOD(ROW()-9,9)+1),"")</f>
        <v/>
      </c>
      <c r="C8547" s="9">
        <f t="shared" si="133"/>
        <v>0</v>
      </c>
    </row>
    <row r="8548" spans="1:3" x14ac:dyDescent="0.2">
      <c r="A8548" s="10" t="str">
        <f>IF(8540&gt;$C$9008,"",INDEX($B$9:$B$9008,MATCH(8540,$C$9:$C$9008,0)))</f>
        <v/>
      </c>
      <c r="B8548" s="9" t="str">
        <f>IFERROR(INDEX(Input!$L$20:$T$1019,INT((ROW()-9)/9)+1,MOD(ROW()-9,9)+1),"")</f>
        <v/>
      </c>
      <c r="C8548" s="9">
        <f t="shared" si="133"/>
        <v>0</v>
      </c>
    </row>
    <row r="8549" spans="1:3" x14ac:dyDescent="0.2">
      <c r="A8549" s="10" t="str">
        <f>IF(8541&gt;$C$9008,"",INDEX($B$9:$B$9008,MATCH(8541,$C$9:$C$9008,0)))</f>
        <v/>
      </c>
      <c r="B8549" s="9" t="str">
        <f>IFERROR(INDEX(Input!$L$20:$T$1019,INT((ROW()-9)/9)+1,MOD(ROW()-9,9)+1),"")</f>
        <v/>
      </c>
      <c r="C8549" s="9">
        <f t="shared" si="133"/>
        <v>0</v>
      </c>
    </row>
    <row r="8550" spans="1:3" x14ac:dyDescent="0.2">
      <c r="A8550" s="10" t="str">
        <f>IF(8542&gt;$C$9008,"",INDEX($B$9:$B$9008,MATCH(8542,$C$9:$C$9008,0)))</f>
        <v/>
      </c>
      <c r="B8550" s="9" t="str">
        <f>IFERROR(INDEX(Input!$L$20:$T$1019,INT((ROW()-9)/9)+1,MOD(ROW()-9,9)+1),"")</f>
        <v/>
      </c>
      <c r="C8550" s="9">
        <f t="shared" si="133"/>
        <v>0</v>
      </c>
    </row>
    <row r="8551" spans="1:3" x14ac:dyDescent="0.2">
      <c r="A8551" s="10" t="str">
        <f>IF(8543&gt;$C$9008,"",INDEX($B$9:$B$9008,MATCH(8543,$C$9:$C$9008,0)))</f>
        <v/>
      </c>
      <c r="B8551" s="9" t="str">
        <f>IFERROR(INDEX(Input!$L$20:$T$1019,INT((ROW()-9)/9)+1,MOD(ROW()-9,9)+1),"")</f>
        <v/>
      </c>
      <c r="C8551" s="9">
        <f t="shared" si="133"/>
        <v>0</v>
      </c>
    </row>
    <row r="8552" spans="1:3" x14ac:dyDescent="0.2">
      <c r="A8552" s="10" t="str">
        <f>IF(8544&gt;$C$9008,"",INDEX($B$9:$B$9008,MATCH(8544,$C$9:$C$9008,0)))</f>
        <v/>
      </c>
      <c r="B8552" s="9" t="str">
        <f>IFERROR(INDEX(Input!$L$20:$T$1019,INT((ROW()-9)/9)+1,MOD(ROW()-9,9)+1),"")</f>
        <v/>
      </c>
      <c r="C8552" s="9">
        <f t="shared" si="133"/>
        <v>0</v>
      </c>
    </row>
    <row r="8553" spans="1:3" x14ac:dyDescent="0.2">
      <c r="A8553" s="10" t="str">
        <f>IF(8545&gt;$C$9008,"",INDEX($B$9:$B$9008,MATCH(8545,$C$9:$C$9008,0)))</f>
        <v/>
      </c>
      <c r="B8553" s="9" t="str">
        <f>IFERROR(INDEX(Input!$L$20:$T$1019,INT((ROW()-9)/9)+1,MOD(ROW()-9,9)+1),"")</f>
        <v/>
      </c>
      <c r="C8553" s="9">
        <f t="shared" si="133"/>
        <v>0</v>
      </c>
    </row>
    <row r="8554" spans="1:3" x14ac:dyDescent="0.2">
      <c r="A8554" s="10" t="str">
        <f>IF(8546&gt;$C$9008,"",INDEX($B$9:$B$9008,MATCH(8546,$C$9:$C$9008,0)))</f>
        <v/>
      </c>
      <c r="B8554" s="9" t="str">
        <f>IFERROR(INDEX(Input!$L$20:$T$1019,INT((ROW()-9)/9)+1,MOD(ROW()-9,9)+1),"")</f>
        <v/>
      </c>
      <c r="C8554" s="9">
        <f t="shared" si="133"/>
        <v>0</v>
      </c>
    </row>
    <row r="8555" spans="1:3" x14ac:dyDescent="0.2">
      <c r="A8555" s="10" t="str">
        <f>IF(8547&gt;$C$9008,"",INDEX($B$9:$B$9008,MATCH(8547,$C$9:$C$9008,0)))</f>
        <v/>
      </c>
      <c r="B8555" s="9" t="str">
        <f>IFERROR(INDEX(Input!$L$20:$T$1019,INT((ROW()-9)/9)+1,MOD(ROW()-9,9)+1),"")</f>
        <v/>
      </c>
      <c r="C8555" s="9">
        <f t="shared" si="133"/>
        <v>0</v>
      </c>
    </row>
    <row r="8556" spans="1:3" x14ac:dyDescent="0.2">
      <c r="A8556" s="10" t="str">
        <f>IF(8548&gt;$C$9008,"",INDEX($B$9:$B$9008,MATCH(8548,$C$9:$C$9008,0)))</f>
        <v/>
      </c>
      <c r="B8556" s="9" t="str">
        <f>IFERROR(INDEX(Input!$L$20:$T$1019,INT((ROW()-9)/9)+1,MOD(ROW()-9,9)+1),"")</f>
        <v/>
      </c>
      <c r="C8556" s="9">
        <f t="shared" si="133"/>
        <v>0</v>
      </c>
    </row>
    <row r="8557" spans="1:3" x14ac:dyDescent="0.2">
      <c r="A8557" s="10" t="str">
        <f>IF(8549&gt;$C$9008,"",INDEX($B$9:$B$9008,MATCH(8549,$C$9:$C$9008,0)))</f>
        <v/>
      </c>
      <c r="B8557" s="9" t="str">
        <f>IFERROR(INDEX(Input!$L$20:$T$1019,INT((ROW()-9)/9)+1,MOD(ROW()-9,9)+1),"")</f>
        <v/>
      </c>
      <c r="C8557" s="9">
        <f t="shared" si="133"/>
        <v>0</v>
      </c>
    </row>
    <row r="8558" spans="1:3" x14ac:dyDescent="0.2">
      <c r="A8558" s="10" t="str">
        <f>IF(8550&gt;$C$9008,"",INDEX($B$9:$B$9008,MATCH(8550,$C$9:$C$9008,0)))</f>
        <v/>
      </c>
      <c r="B8558" s="9" t="str">
        <f>IFERROR(INDEX(Input!$L$20:$T$1019,INT((ROW()-9)/9)+1,MOD(ROW()-9,9)+1),"")</f>
        <v/>
      </c>
      <c r="C8558" s="9">
        <f t="shared" si="133"/>
        <v>0</v>
      </c>
    </row>
    <row r="8559" spans="1:3" x14ac:dyDescent="0.2">
      <c r="A8559" s="10" t="str">
        <f>IF(8551&gt;$C$9008,"",INDEX($B$9:$B$9008,MATCH(8551,$C$9:$C$9008,0)))</f>
        <v/>
      </c>
      <c r="B8559" s="9" t="str">
        <f>IFERROR(INDEX(Input!$L$20:$T$1019,INT((ROW()-9)/9)+1,MOD(ROW()-9,9)+1),"")</f>
        <v/>
      </c>
      <c r="C8559" s="9">
        <f t="shared" si="133"/>
        <v>0</v>
      </c>
    </row>
    <row r="8560" spans="1:3" x14ac:dyDescent="0.2">
      <c r="A8560" s="10" t="str">
        <f>IF(8552&gt;$C$9008,"",INDEX($B$9:$B$9008,MATCH(8552,$C$9:$C$9008,0)))</f>
        <v/>
      </c>
      <c r="B8560" s="9" t="str">
        <f>IFERROR(INDEX(Input!$L$20:$T$1019,INT((ROW()-9)/9)+1,MOD(ROW()-9,9)+1),"")</f>
        <v/>
      </c>
      <c r="C8560" s="9">
        <f t="shared" si="133"/>
        <v>0</v>
      </c>
    </row>
    <row r="8561" spans="1:3" x14ac:dyDescent="0.2">
      <c r="A8561" s="10" t="str">
        <f>IF(8553&gt;$C$9008,"",INDEX($B$9:$B$9008,MATCH(8553,$C$9:$C$9008,0)))</f>
        <v/>
      </c>
      <c r="B8561" s="9" t="str">
        <f>IFERROR(INDEX(Input!$L$20:$T$1019,INT((ROW()-9)/9)+1,MOD(ROW()-9,9)+1),"")</f>
        <v/>
      </c>
      <c r="C8561" s="9">
        <f t="shared" si="133"/>
        <v>0</v>
      </c>
    </row>
    <row r="8562" spans="1:3" x14ac:dyDescent="0.2">
      <c r="A8562" s="10" t="str">
        <f>IF(8554&gt;$C$9008,"",INDEX($B$9:$B$9008,MATCH(8554,$C$9:$C$9008,0)))</f>
        <v/>
      </c>
      <c r="B8562" s="9" t="str">
        <f>IFERROR(INDEX(Input!$L$20:$T$1019,INT((ROW()-9)/9)+1,MOD(ROW()-9,9)+1),"")</f>
        <v/>
      </c>
      <c r="C8562" s="9">
        <f t="shared" si="133"/>
        <v>0</v>
      </c>
    </row>
    <row r="8563" spans="1:3" x14ac:dyDescent="0.2">
      <c r="A8563" s="10" t="str">
        <f>IF(8555&gt;$C$9008,"",INDEX($B$9:$B$9008,MATCH(8555,$C$9:$C$9008,0)))</f>
        <v/>
      </c>
      <c r="B8563" s="9" t="str">
        <f>IFERROR(INDEX(Input!$L$20:$T$1019,INT((ROW()-9)/9)+1,MOD(ROW()-9,9)+1),"")</f>
        <v/>
      </c>
      <c r="C8563" s="9">
        <f t="shared" si="133"/>
        <v>0</v>
      </c>
    </row>
    <row r="8564" spans="1:3" x14ac:dyDescent="0.2">
      <c r="A8564" s="10" t="str">
        <f>IF(8556&gt;$C$9008,"",INDEX($B$9:$B$9008,MATCH(8556,$C$9:$C$9008,0)))</f>
        <v/>
      </c>
      <c r="B8564" s="9" t="str">
        <f>IFERROR(INDEX(Input!$L$20:$T$1019,INT((ROW()-9)/9)+1,MOD(ROW()-9,9)+1),"")</f>
        <v/>
      </c>
      <c r="C8564" s="9">
        <f t="shared" si="133"/>
        <v>0</v>
      </c>
    </row>
    <row r="8565" spans="1:3" x14ac:dyDescent="0.2">
      <c r="A8565" s="10" t="str">
        <f>IF(8557&gt;$C$9008,"",INDEX($B$9:$B$9008,MATCH(8557,$C$9:$C$9008,0)))</f>
        <v/>
      </c>
      <c r="B8565" s="9" t="str">
        <f>IFERROR(INDEX(Input!$L$20:$T$1019,INT((ROW()-9)/9)+1,MOD(ROW()-9,9)+1),"")</f>
        <v/>
      </c>
      <c r="C8565" s="9">
        <f t="shared" si="133"/>
        <v>0</v>
      </c>
    </row>
    <row r="8566" spans="1:3" x14ac:dyDescent="0.2">
      <c r="A8566" s="10" t="str">
        <f>IF(8558&gt;$C$9008,"",INDEX($B$9:$B$9008,MATCH(8558,$C$9:$C$9008,0)))</f>
        <v/>
      </c>
      <c r="B8566" s="9" t="str">
        <f>IFERROR(INDEX(Input!$L$20:$T$1019,INT((ROW()-9)/9)+1,MOD(ROW()-9,9)+1),"")</f>
        <v/>
      </c>
      <c r="C8566" s="9">
        <f t="shared" si="133"/>
        <v>0</v>
      </c>
    </row>
    <row r="8567" spans="1:3" x14ac:dyDescent="0.2">
      <c r="A8567" s="10" t="str">
        <f>IF(8559&gt;$C$9008,"",INDEX($B$9:$B$9008,MATCH(8559,$C$9:$C$9008,0)))</f>
        <v/>
      </c>
      <c r="B8567" s="9" t="str">
        <f>IFERROR(INDEX(Input!$L$20:$T$1019,INT((ROW()-9)/9)+1,MOD(ROW()-9,9)+1),"")</f>
        <v/>
      </c>
      <c r="C8567" s="9">
        <f t="shared" si="133"/>
        <v>0</v>
      </c>
    </row>
    <row r="8568" spans="1:3" x14ac:dyDescent="0.2">
      <c r="A8568" s="10" t="str">
        <f>IF(8560&gt;$C$9008,"",INDEX($B$9:$B$9008,MATCH(8560,$C$9:$C$9008,0)))</f>
        <v/>
      </c>
      <c r="B8568" s="9" t="str">
        <f>IFERROR(INDEX(Input!$L$20:$T$1019,INT((ROW()-9)/9)+1,MOD(ROW()-9,9)+1),"")</f>
        <v/>
      </c>
      <c r="C8568" s="9">
        <f t="shared" si="133"/>
        <v>0</v>
      </c>
    </row>
    <row r="8569" spans="1:3" x14ac:dyDescent="0.2">
      <c r="A8569" s="10" t="str">
        <f>IF(8561&gt;$C$9008,"",INDEX($B$9:$B$9008,MATCH(8561,$C$9:$C$9008,0)))</f>
        <v/>
      </c>
      <c r="B8569" s="9" t="str">
        <f>IFERROR(INDEX(Input!$L$20:$T$1019,INT((ROW()-9)/9)+1,MOD(ROW()-9,9)+1),"")</f>
        <v/>
      </c>
      <c r="C8569" s="9">
        <f t="shared" si="133"/>
        <v>0</v>
      </c>
    </row>
    <row r="8570" spans="1:3" x14ac:dyDescent="0.2">
      <c r="A8570" s="10" t="str">
        <f>IF(8562&gt;$C$9008,"",INDEX($B$9:$B$9008,MATCH(8562,$C$9:$C$9008,0)))</f>
        <v/>
      </c>
      <c r="B8570" s="9" t="str">
        <f>IFERROR(INDEX(Input!$L$20:$T$1019,INT((ROW()-9)/9)+1,MOD(ROW()-9,9)+1),"")</f>
        <v/>
      </c>
      <c r="C8570" s="9">
        <f t="shared" si="133"/>
        <v>0</v>
      </c>
    </row>
    <row r="8571" spans="1:3" x14ac:dyDescent="0.2">
      <c r="A8571" s="10" t="str">
        <f>IF(8563&gt;$C$9008,"",INDEX($B$9:$B$9008,MATCH(8563,$C$9:$C$9008,0)))</f>
        <v/>
      </c>
      <c r="B8571" s="9" t="str">
        <f>IFERROR(INDEX(Input!$L$20:$T$1019,INT((ROW()-9)/9)+1,MOD(ROW()-9,9)+1),"")</f>
        <v/>
      </c>
      <c r="C8571" s="9">
        <f t="shared" si="133"/>
        <v>0</v>
      </c>
    </row>
    <row r="8572" spans="1:3" x14ac:dyDescent="0.2">
      <c r="A8572" s="10" t="str">
        <f>IF(8564&gt;$C$9008,"",INDEX($B$9:$B$9008,MATCH(8564,$C$9:$C$9008,0)))</f>
        <v/>
      </c>
      <c r="B8572" s="9" t="str">
        <f>IFERROR(INDEX(Input!$L$20:$T$1019,INT((ROW()-9)/9)+1,MOD(ROW()-9,9)+1),"")</f>
        <v/>
      </c>
      <c r="C8572" s="9">
        <f t="shared" si="133"/>
        <v>0</v>
      </c>
    </row>
    <row r="8573" spans="1:3" x14ac:dyDescent="0.2">
      <c r="A8573" s="10" t="str">
        <f>IF(8565&gt;$C$9008,"",INDEX($B$9:$B$9008,MATCH(8565,$C$9:$C$9008,0)))</f>
        <v/>
      </c>
      <c r="B8573" s="9" t="str">
        <f>IFERROR(INDEX(Input!$L$20:$T$1019,INT((ROW()-9)/9)+1,MOD(ROW()-9,9)+1),"")</f>
        <v/>
      </c>
      <c r="C8573" s="9">
        <f t="shared" si="133"/>
        <v>0</v>
      </c>
    </row>
    <row r="8574" spans="1:3" x14ac:dyDescent="0.2">
      <c r="A8574" s="10" t="str">
        <f>IF(8566&gt;$C$9008,"",INDEX($B$9:$B$9008,MATCH(8566,$C$9:$C$9008,0)))</f>
        <v/>
      </c>
      <c r="B8574" s="9" t="str">
        <f>IFERROR(INDEX(Input!$L$20:$T$1019,INT((ROW()-9)/9)+1,MOD(ROW()-9,9)+1),"")</f>
        <v/>
      </c>
      <c r="C8574" s="9">
        <f t="shared" si="133"/>
        <v>0</v>
      </c>
    </row>
    <row r="8575" spans="1:3" x14ac:dyDescent="0.2">
      <c r="A8575" s="10" t="str">
        <f>IF(8567&gt;$C$9008,"",INDEX($B$9:$B$9008,MATCH(8567,$C$9:$C$9008,0)))</f>
        <v/>
      </c>
      <c r="B8575" s="9" t="str">
        <f>IFERROR(INDEX(Input!$L$20:$T$1019,INT((ROW()-9)/9)+1,MOD(ROW()-9,9)+1),"")</f>
        <v/>
      </c>
      <c r="C8575" s="9">
        <f t="shared" si="133"/>
        <v>0</v>
      </c>
    </row>
    <row r="8576" spans="1:3" x14ac:dyDescent="0.2">
      <c r="A8576" s="10" t="str">
        <f>IF(8568&gt;$C$9008,"",INDEX($B$9:$B$9008,MATCH(8568,$C$9:$C$9008,0)))</f>
        <v/>
      </c>
      <c r="B8576" s="9" t="str">
        <f>IFERROR(INDEX(Input!$L$20:$T$1019,INT((ROW()-9)/9)+1,MOD(ROW()-9,9)+1),"")</f>
        <v/>
      </c>
      <c r="C8576" s="9">
        <f t="shared" si="133"/>
        <v>0</v>
      </c>
    </row>
    <row r="8577" spans="1:3" x14ac:dyDescent="0.2">
      <c r="A8577" s="10" t="str">
        <f>IF(8569&gt;$C$9008,"",INDEX($B$9:$B$9008,MATCH(8569,$C$9:$C$9008,0)))</f>
        <v/>
      </c>
      <c r="B8577" s="9" t="str">
        <f>IFERROR(INDEX(Input!$L$20:$T$1019,INT((ROW()-9)/9)+1,MOD(ROW()-9,9)+1),"")</f>
        <v/>
      </c>
      <c r="C8577" s="9">
        <f t="shared" si="133"/>
        <v>0</v>
      </c>
    </row>
    <row r="8578" spans="1:3" x14ac:dyDescent="0.2">
      <c r="A8578" s="10" t="str">
        <f>IF(8570&gt;$C$9008,"",INDEX($B$9:$B$9008,MATCH(8570,$C$9:$C$9008,0)))</f>
        <v/>
      </c>
      <c r="B8578" s="9" t="str">
        <f>IFERROR(INDEX(Input!$L$20:$T$1019,INT((ROW()-9)/9)+1,MOD(ROW()-9,9)+1),"")</f>
        <v/>
      </c>
      <c r="C8578" s="9">
        <f t="shared" si="133"/>
        <v>0</v>
      </c>
    </row>
    <row r="8579" spans="1:3" x14ac:dyDescent="0.2">
      <c r="A8579" s="10" t="str">
        <f>IF(8571&gt;$C$9008,"",INDEX($B$9:$B$9008,MATCH(8571,$C$9:$C$9008,0)))</f>
        <v/>
      </c>
      <c r="B8579" s="9" t="str">
        <f>IFERROR(INDEX(Input!$L$20:$T$1019,INT((ROW()-9)/9)+1,MOD(ROW()-9,9)+1),"")</f>
        <v/>
      </c>
      <c r="C8579" s="9">
        <f t="shared" si="133"/>
        <v>0</v>
      </c>
    </row>
    <row r="8580" spans="1:3" x14ac:dyDescent="0.2">
      <c r="A8580" s="10" t="str">
        <f>IF(8572&gt;$C$9008,"",INDEX($B$9:$B$9008,MATCH(8572,$C$9:$C$9008,0)))</f>
        <v/>
      </c>
      <c r="B8580" s="9" t="str">
        <f>IFERROR(INDEX(Input!$L$20:$T$1019,INT((ROW()-9)/9)+1,MOD(ROW()-9,9)+1),"")</f>
        <v/>
      </c>
      <c r="C8580" s="9">
        <f t="shared" si="133"/>
        <v>0</v>
      </c>
    </row>
    <row r="8581" spans="1:3" x14ac:dyDescent="0.2">
      <c r="A8581" s="10" t="str">
        <f>IF(8573&gt;$C$9008,"",INDEX($B$9:$B$9008,MATCH(8573,$C$9:$C$9008,0)))</f>
        <v/>
      </c>
      <c r="B8581" s="9" t="str">
        <f>IFERROR(INDEX(Input!$L$20:$T$1019,INT((ROW()-9)/9)+1,MOD(ROW()-9,9)+1),"")</f>
        <v/>
      </c>
      <c r="C8581" s="9">
        <f t="shared" si="133"/>
        <v>0</v>
      </c>
    </row>
    <row r="8582" spans="1:3" x14ac:dyDescent="0.2">
      <c r="A8582" s="10" t="str">
        <f>IF(8574&gt;$C$9008,"",INDEX($B$9:$B$9008,MATCH(8574,$C$9:$C$9008,0)))</f>
        <v/>
      </c>
      <c r="B8582" s="9" t="str">
        <f>IFERROR(INDEX(Input!$L$20:$T$1019,INT((ROW()-9)/9)+1,MOD(ROW()-9,9)+1),"")</f>
        <v/>
      </c>
      <c r="C8582" s="9">
        <f t="shared" si="133"/>
        <v>0</v>
      </c>
    </row>
    <row r="8583" spans="1:3" x14ac:dyDescent="0.2">
      <c r="A8583" s="10" t="str">
        <f>IF(8575&gt;$C$9008,"",INDEX($B$9:$B$9008,MATCH(8575,$C$9:$C$9008,0)))</f>
        <v/>
      </c>
      <c r="B8583" s="9" t="str">
        <f>IFERROR(INDEX(Input!$L$20:$T$1019,INT((ROW()-9)/9)+1,MOD(ROW()-9,9)+1),"")</f>
        <v/>
      </c>
      <c r="C8583" s="9">
        <f t="shared" si="133"/>
        <v>0</v>
      </c>
    </row>
    <row r="8584" spans="1:3" x14ac:dyDescent="0.2">
      <c r="A8584" s="10" t="str">
        <f>IF(8576&gt;$C$9008,"",INDEX($B$9:$B$9008,MATCH(8576,$C$9:$C$9008,0)))</f>
        <v/>
      </c>
      <c r="B8584" s="9" t="str">
        <f>IFERROR(INDEX(Input!$L$20:$T$1019,INT((ROW()-9)/9)+1,MOD(ROW()-9,9)+1),"")</f>
        <v/>
      </c>
      <c r="C8584" s="9">
        <f t="shared" si="133"/>
        <v>0</v>
      </c>
    </row>
    <row r="8585" spans="1:3" x14ac:dyDescent="0.2">
      <c r="A8585" s="10" t="str">
        <f>IF(8577&gt;$C$9008,"",INDEX($B$9:$B$9008,MATCH(8577,$C$9:$C$9008,0)))</f>
        <v/>
      </c>
      <c r="B8585" s="9" t="str">
        <f>IFERROR(INDEX(Input!$L$20:$T$1019,INT((ROW()-9)/9)+1,MOD(ROW()-9,9)+1),"")</f>
        <v/>
      </c>
      <c r="C8585" s="9">
        <f t="shared" ref="C8585:C8648" si="134">$C8584+IF($B8585&lt;&gt;"",1,0)</f>
        <v>0</v>
      </c>
    </row>
    <row r="8586" spans="1:3" x14ac:dyDescent="0.2">
      <c r="A8586" s="10" t="str">
        <f>IF(8578&gt;$C$9008,"",INDEX($B$9:$B$9008,MATCH(8578,$C$9:$C$9008,0)))</f>
        <v/>
      </c>
      <c r="B8586" s="9" t="str">
        <f>IFERROR(INDEX(Input!$L$20:$T$1019,INT((ROW()-9)/9)+1,MOD(ROW()-9,9)+1),"")</f>
        <v/>
      </c>
      <c r="C8586" s="9">
        <f t="shared" si="134"/>
        <v>0</v>
      </c>
    </row>
    <row r="8587" spans="1:3" x14ac:dyDescent="0.2">
      <c r="A8587" s="10" t="str">
        <f>IF(8579&gt;$C$9008,"",INDEX($B$9:$B$9008,MATCH(8579,$C$9:$C$9008,0)))</f>
        <v/>
      </c>
      <c r="B8587" s="9" t="str">
        <f>IFERROR(INDEX(Input!$L$20:$T$1019,INT((ROW()-9)/9)+1,MOD(ROW()-9,9)+1),"")</f>
        <v/>
      </c>
      <c r="C8587" s="9">
        <f t="shared" si="134"/>
        <v>0</v>
      </c>
    </row>
    <row r="8588" spans="1:3" x14ac:dyDescent="0.2">
      <c r="A8588" s="10" t="str">
        <f>IF(8580&gt;$C$9008,"",INDEX($B$9:$B$9008,MATCH(8580,$C$9:$C$9008,0)))</f>
        <v/>
      </c>
      <c r="B8588" s="9" t="str">
        <f>IFERROR(INDEX(Input!$L$20:$T$1019,INT((ROW()-9)/9)+1,MOD(ROW()-9,9)+1),"")</f>
        <v/>
      </c>
      <c r="C8588" s="9">
        <f t="shared" si="134"/>
        <v>0</v>
      </c>
    </row>
    <row r="8589" spans="1:3" x14ac:dyDescent="0.2">
      <c r="A8589" s="10" t="str">
        <f>IF(8581&gt;$C$9008,"",INDEX($B$9:$B$9008,MATCH(8581,$C$9:$C$9008,0)))</f>
        <v/>
      </c>
      <c r="B8589" s="9" t="str">
        <f>IFERROR(INDEX(Input!$L$20:$T$1019,INT((ROW()-9)/9)+1,MOD(ROW()-9,9)+1),"")</f>
        <v/>
      </c>
      <c r="C8589" s="9">
        <f t="shared" si="134"/>
        <v>0</v>
      </c>
    </row>
    <row r="8590" spans="1:3" x14ac:dyDescent="0.2">
      <c r="A8590" s="10" t="str">
        <f>IF(8582&gt;$C$9008,"",INDEX($B$9:$B$9008,MATCH(8582,$C$9:$C$9008,0)))</f>
        <v/>
      </c>
      <c r="B8590" s="9" t="str">
        <f>IFERROR(INDEX(Input!$L$20:$T$1019,INT((ROW()-9)/9)+1,MOD(ROW()-9,9)+1),"")</f>
        <v/>
      </c>
      <c r="C8590" s="9">
        <f t="shared" si="134"/>
        <v>0</v>
      </c>
    </row>
    <row r="8591" spans="1:3" x14ac:dyDescent="0.2">
      <c r="A8591" s="10" t="str">
        <f>IF(8583&gt;$C$9008,"",INDEX($B$9:$B$9008,MATCH(8583,$C$9:$C$9008,0)))</f>
        <v/>
      </c>
      <c r="B8591" s="9" t="str">
        <f>IFERROR(INDEX(Input!$L$20:$T$1019,INT((ROW()-9)/9)+1,MOD(ROW()-9,9)+1),"")</f>
        <v/>
      </c>
      <c r="C8591" s="9">
        <f t="shared" si="134"/>
        <v>0</v>
      </c>
    </row>
    <row r="8592" spans="1:3" x14ac:dyDescent="0.2">
      <c r="A8592" s="10" t="str">
        <f>IF(8584&gt;$C$9008,"",INDEX($B$9:$B$9008,MATCH(8584,$C$9:$C$9008,0)))</f>
        <v/>
      </c>
      <c r="B8592" s="9" t="str">
        <f>IFERROR(INDEX(Input!$L$20:$T$1019,INT((ROW()-9)/9)+1,MOD(ROW()-9,9)+1),"")</f>
        <v/>
      </c>
      <c r="C8592" s="9">
        <f t="shared" si="134"/>
        <v>0</v>
      </c>
    </row>
    <row r="8593" spans="1:3" x14ac:dyDescent="0.2">
      <c r="A8593" s="10" t="str">
        <f>IF(8585&gt;$C$9008,"",INDEX($B$9:$B$9008,MATCH(8585,$C$9:$C$9008,0)))</f>
        <v/>
      </c>
      <c r="B8593" s="9" t="str">
        <f>IFERROR(INDEX(Input!$L$20:$T$1019,INT((ROW()-9)/9)+1,MOD(ROW()-9,9)+1),"")</f>
        <v/>
      </c>
      <c r="C8593" s="9">
        <f t="shared" si="134"/>
        <v>0</v>
      </c>
    </row>
    <row r="8594" spans="1:3" x14ac:dyDescent="0.2">
      <c r="A8594" s="10" t="str">
        <f>IF(8586&gt;$C$9008,"",INDEX($B$9:$B$9008,MATCH(8586,$C$9:$C$9008,0)))</f>
        <v/>
      </c>
      <c r="B8594" s="9" t="str">
        <f>IFERROR(INDEX(Input!$L$20:$T$1019,INT((ROW()-9)/9)+1,MOD(ROW()-9,9)+1),"")</f>
        <v/>
      </c>
      <c r="C8594" s="9">
        <f t="shared" si="134"/>
        <v>0</v>
      </c>
    </row>
    <row r="8595" spans="1:3" x14ac:dyDescent="0.2">
      <c r="A8595" s="10" t="str">
        <f>IF(8587&gt;$C$9008,"",INDEX($B$9:$B$9008,MATCH(8587,$C$9:$C$9008,0)))</f>
        <v/>
      </c>
      <c r="B8595" s="9" t="str">
        <f>IFERROR(INDEX(Input!$L$20:$T$1019,INT((ROW()-9)/9)+1,MOD(ROW()-9,9)+1),"")</f>
        <v/>
      </c>
      <c r="C8595" s="9">
        <f t="shared" si="134"/>
        <v>0</v>
      </c>
    </row>
    <row r="8596" spans="1:3" x14ac:dyDescent="0.2">
      <c r="A8596" s="10" t="str">
        <f>IF(8588&gt;$C$9008,"",INDEX($B$9:$B$9008,MATCH(8588,$C$9:$C$9008,0)))</f>
        <v/>
      </c>
      <c r="B8596" s="9" t="str">
        <f>IFERROR(INDEX(Input!$L$20:$T$1019,INT((ROW()-9)/9)+1,MOD(ROW()-9,9)+1),"")</f>
        <v/>
      </c>
      <c r="C8596" s="9">
        <f t="shared" si="134"/>
        <v>0</v>
      </c>
    </row>
    <row r="8597" spans="1:3" x14ac:dyDescent="0.2">
      <c r="A8597" s="10" t="str">
        <f>IF(8589&gt;$C$9008,"",INDEX($B$9:$B$9008,MATCH(8589,$C$9:$C$9008,0)))</f>
        <v/>
      </c>
      <c r="B8597" s="9" t="str">
        <f>IFERROR(INDEX(Input!$L$20:$T$1019,INT((ROW()-9)/9)+1,MOD(ROW()-9,9)+1),"")</f>
        <v/>
      </c>
      <c r="C8597" s="9">
        <f t="shared" si="134"/>
        <v>0</v>
      </c>
    </row>
    <row r="8598" spans="1:3" x14ac:dyDescent="0.2">
      <c r="A8598" s="10" t="str">
        <f>IF(8590&gt;$C$9008,"",INDEX($B$9:$B$9008,MATCH(8590,$C$9:$C$9008,0)))</f>
        <v/>
      </c>
      <c r="B8598" s="9" t="str">
        <f>IFERROR(INDEX(Input!$L$20:$T$1019,INT((ROW()-9)/9)+1,MOD(ROW()-9,9)+1),"")</f>
        <v/>
      </c>
      <c r="C8598" s="9">
        <f t="shared" si="134"/>
        <v>0</v>
      </c>
    </row>
    <row r="8599" spans="1:3" x14ac:dyDescent="0.2">
      <c r="A8599" s="10" t="str">
        <f>IF(8591&gt;$C$9008,"",INDEX($B$9:$B$9008,MATCH(8591,$C$9:$C$9008,0)))</f>
        <v/>
      </c>
      <c r="B8599" s="9" t="str">
        <f>IFERROR(INDEX(Input!$L$20:$T$1019,INT((ROW()-9)/9)+1,MOD(ROW()-9,9)+1),"")</f>
        <v/>
      </c>
      <c r="C8599" s="9">
        <f t="shared" si="134"/>
        <v>0</v>
      </c>
    </row>
    <row r="8600" spans="1:3" x14ac:dyDescent="0.2">
      <c r="A8600" s="10" t="str">
        <f>IF(8592&gt;$C$9008,"",INDEX($B$9:$B$9008,MATCH(8592,$C$9:$C$9008,0)))</f>
        <v/>
      </c>
      <c r="B8600" s="9" t="str">
        <f>IFERROR(INDEX(Input!$L$20:$T$1019,INT((ROW()-9)/9)+1,MOD(ROW()-9,9)+1),"")</f>
        <v/>
      </c>
      <c r="C8600" s="9">
        <f t="shared" si="134"/>
        <v>0</v>
      </c>
    </row>
    <row r="8601" spans="1:3" x14ac:dyDescent="0.2">
      <c r="A8601" s="10" t="str">
        <f>IF(8593&gt;$C$9008,"",INDEX($B$9:$B$9008,MATCH(8593,$C$9:$C$9008,0)))</f>
        <v/>
      </c>
      <c r="B8601" s="9" t="str">
        <f>IFERROR(INDEX(Input!$L$20:$T$1019,INT((ROW()-9)/9)+1,MOD(ROW()-9,9)+1),"")</f>
        <v/>
      </c>
      <c r="C8601" s="9">
        <f t="shared" si="134"/>
        <v>0</v>
      </c>
    </row>
    <row r="8602" spans="1:3" x14ac:dyDescent="0.2">
      <c r="A8602" s="10" t="str">
        <f>IF(8594&gt;$C$9008,"",INDEX($B$9:$B$9008,MATCH(8594,$C$9:$C$9008,0)))</f>
        <v/>
      </c>
      <c r="B8602" s="9" t="str">
        <f>IFERROR(INDEX(Input!$L$20:$T$1019,INT((ROW()-9)/9)+1,MOD(ROW()-9,9)+1),"")</f>
        <v/>
      </c>
      <c r="C8602" s="9">
        <f t="shared" si="134"/>
        <v>0</v>
      </c>
    </row>
    <row r="8603" spans="1:3" x14ac:dyDescent="0.2">
      <c r="A8603" s="10" t="str">
        <f>IF(8595&gt;$C$9008,"",INDEX($B$9:$B$9008,MATCH(8595,$C$9:$C$9008,0)))</f>
        <v/>
      </c>
      <c r="B8603" s="9" t="str">
        <f>IFERROR(INDEX(Input!$L$20:$T$1019,INT((ROW()-9)/9)+1,MOD(ROW()-9,9)+1),"")</f>
        <v/>
      </c>
      <c r="C8603" s="9">
        <f t="shared" si="134"/>
        <v>0</v>
      </c>
    </row>
    <row r="8604" spans="1:3" x14ac:dyDescent="0.2">
      <c r="A8604" s="10" t="str">
        <f>IF(8596&gt;$C$9008,"",INDEX($B$9:$B$9008,MATCH(8596,$C$9:$C$9008,0)))</f>
        <v/>
      </c>
      <c r="B8604" s="9" t="str">
        <f>IFERROR(INDEX(Input!$L$20:$T$1019,INT((ROW()-9)/9)+1,MOD(ROW()-9,9)+1),"")</f>
        <v/>
      </c>
      <c r="C8604" s="9">
        <f t="shared" si="134"/>
        <v>0</v>
      </c>
    </row>
    <row r="8605" spans="1:3" x14ac:dyDescent="0.2">
      <c r="A8605" s="10" t="str">
        <f>IF(8597&gt;$C$9008,"",INDEX($B$9:$B$9008,MATCH(8597,$C$9:$C$9008,0)))</f>
        <v/>
      </c>
      <c r="B8605" s="9" t="str">
        <f>IFERROR(INDEX(Input!$L$20:$T$1019,INT((ROW()-9)/9)+1,MOD(ROW()-9,9)+1),"")</f>
        <v/>
      </c>
      <c r="C8605" s="9">
        <f t="shared" si="134"/>
        <v>0</v>
      </c>
    </row>
    <row r="8606" spans="1:3" x14ac:dyDescent="0.2">
      <c r="A8606" s="10" t="str">
        <f>IF(8598&gt;$C$9008,"",INDEX($B$9:$B$9008,MATCH(8598,$C$9:$C$9008,0)))</f>
        <v/>
      </c>
      <c r="B8606" s="9" t="str">
        <f>IFERROR(INDEX(Input!$L$20:$T$1019,INT((ROW()-9)/9)+1,MOD(ROW()-9,9)+1),"")</f>
        <v/>
      </c>
      <c r="C8606" s="9">
        <f t="shared" si="134"/>
        <v>0</v>
      </c>
    </row>
    <row r="8607" spans="1:3" x14ac:dyDescent="0.2">
      <c r="A8607" s="10" t="str">
        <f>IF(8599&gt;$C$9008,"",INDEX($B$9:$B$9008,MATCH(8599,$C$9:$C$9008,0)))</f>
        <v/>
      </c>
      <c r="B8607" s="9" t="str">
        <f>IFERROR(INDEX(Input!$L$20:$T$1019,INT((ROW()-9)/9)+1,MOD(ROW()-9,9)+1),"")</f>
        <v/>
      </c>
      <c r="C8607" s="9">
        <f t="shared" si="134"/>
        <v>0</v>
      </c>
    </row>
    <row r="8608" spans="1:3" x14ac:dyDescent="0.2">
      <c r="A8608" s="10" t="str">
        <f>IF(8600&gt;$C$9008,"",INDEX($B$9:$B$9008,MATCH(8600,$C$9:$C$9008,0)))</f>
        <v/>
      </c>
      <c r="B8608" s="9" t="str">
        <f>IFERROR(INDEX(Input!$L$20:$T$1019,INT((ROW()-9)/9)+1,MOD(ROW()-9,9)+1),"")</f>
        <v/>
      </c>
      <c r="C8608" s="9">
        <f t="shared" si="134"/>
        <v>0</v>
      </c>
    </row>
    <row r="8609" spans="1:3" x14ac:dyDescent="0.2">
      <c r="A8609" s="10" t="str">
        <f>IF(8601&gt;$C$9008,"",INDEX($B$9:$B$9008,MATCH(8601,$C$9:$C$9008,0)))</f>
        <v/>
      </c>
      <c r="B8609" s="9" t="str">
        <f>IFERROR(INDEX(Input!$L$20:$T$1019,INT((ROW()-9)/9)+1,MOD(ROW()-9,9)+1),"")</f>
        <v/>
      </c>
      <c r="C8609" s="9">
        <f t="shared" si="134"/>
        <v>0</v>
      </c>
    </row>
    <row r="8610" spans="1:3" x14ac:dyDescent="0.2">
      <c r="A8610" s="10" t="str">
        <f>IF(8602&gt;$C$9008,"",INDEX($B$9:$B$9008,MATCH(8602,$C$9:$C$9008,0)))</f>
        <v/>
      </c>
      <c r="B8610" s="9" t="str">
        <f>IFERROR(INDEX(Input!$L$20:$T$1019,INT((ROW()-9)/9)+1,MOD(ROW()-9,9)+1),"")</f>
        <v/>
      </c>
      <c r="C8610" s="9">
        <f t="shared" si="134"/>
        <v>0</v>
      </c>
    </row>
    <row r="8611" spans="1:3" x14ac:dyDescent="0.2">
      <c r="A8611" s="10" t="str">
        <f>IF(8603&gt;$C$9008,"",INDEX($B$9:$B$9008,MATCH(8603,$C$9:$C$9008,0)))</f>
        <v/>
      </c>
      <c r="B8611" s="9" t="str">
        <f>IFERROR(INDEX(Input!$L$20:$T$1019,INT((ROW()-9)/9)+1,MOD(ROW()-9,9)+1),"")</f>
        <v/>
      </c>
      <c r="C8611" s="9">
        <f t="shared" si="134"/>
        <v>0</v>
      </c>
    </row>
    <row r="8612" spans="1:3" x14ac:dyDescent="0.2">
      <c r="A8612" s="10" t="str">
        <f>IF(8604&gt;$C$9008,"",INDEX($B$9:$B$9008,MATCH(8604,$C$9:$C$9008,0)))</f>
        <v/>
      </c>
      <c r="B8612" s="9" t="str">
        <f>IFERROR(INDEX(Input!$L$20:$T$1019,INT((ROW()-9)/9)+1,MOD(ROW()-9,9)+1),"")</f>
        <v/>
      </c>
      <c r="C8612" s="9">
        <f t="shared" si="134"/>
        <v>0</v>
      </c>
    </row>
    <row r="8613" spans="1:3" x14ac:dyDescent="0.2">
      <c r="A8613" s="10" t="str">
        <f>IF(8605&gt;$C$9008,"",INDEX($B$9:$B$9008,MATCH(8605,$C$9:$C$9008,0)))</f>
        <v/>
      </c>
      <c r="B8613" s="9" t="str">
        <f>IFERROR(INDEX(Input!$L$20:$T$1019,INT((ROW()-9)/9)+1,MOD(ROW()-9,9)+1),"")</f>
        <v/>
      </c>
      <c r="C8613" s="9">
        <f t="shared" si="134"/>
        <v>0</v>
      </c>
    </row>
    <row r="8614" spans="1:3" x14ac:dyDescent="0.2">
      <c r="A8614" s="10" t="str">
        <f>IF(8606&gt;$C$9008,"",INDEX($B$9:$B$9008,MATCH(8606,$C$9:$C$9008,0)))</f>
        <v/>
      </c>
      <c r="B8614" s="9" t="str">
        <f>IFERROR(INDEX(Input!$L$20:$T$1019,INT((ROW()-9)/9)+1,MOD(ROW()-9,9)+1),"")</f>
        <v/>
      </c>
      <c r="C8614" s="9">
        <f t="shared" si="134"/>
        <v>0</v>
      </c>
    </row>
    <row r="8615" spans="1:3" x14ac:dyDescent="0.2">
      <c r="A8615" s="10" t="str">
        <f>IF(8607&gt;$C$9008,"",INDEX($B$9:$B$9008,MATCH(8607,$C$9:$C$9008,0)))</f>
        <v/>
      </c>
      <c r="B8615" s="9" t="str">
        <f>IFERROR(INDEX(Input!$L$20:$T$1019,INT((ROW()-9)/9)+1,MOD(ROW()-9,9)+1),"")</f>
        <v/>
      </c>
      <c r="C8615" s="9">
        <f t="shared" si="134"/>
        <v>0</v>
      </c>
    </row>
    <row r="8616" spans="1:3" x14ac:dyDescent="0.2">
      <c r="A8616" s="10" t="str">
        <f>IF(8608&gt;$C$9008,"",INDEX($B$9:$B$9008,MATCH(8608,$C$9:$C$9008,0)))</f>
        <v/>
      </c>
      <c r="B8616" s="9" t="str">
        <f>IFERROR(INDEX(Input!$L$20:$T$1019,INT((ROW()-9)/9)+1,MOD(ROW()-9,9)+1),"")</f>
        <v/>
      </c>
      <c r="C8616" s="9">
        <f t="shared" si="134"/>
        <v>0</v>
      </c>
    </row>
    <row r="8617" spans="1:3" x14ac:dyDescent="0.2">
      <c r="A8617" s="10" t="str">
        <f>IF(8609&gt;$C$9008,"",INDEX($B$9:$B$9008,MATCH(8609,$C$9:$C$9008,0)))</f>
        <v/>
      </c>
      <c r="B8617" s="9" t="str">
        <f>IFERROR(INDEX(Input!$L$20:$T$1019,INT((ROW()-9)/9)+1,MOD(ROW()-9,9)+1),"")</f>
        <v/>
      </c>
      <c r="C8617" s="9">
        <f t="shared" si="134"/>
        <v>0</v>
      </c>
    </row>
    <row r="8618" spans="1:3" x14ac:dyDescent="0.2">
      <c r="A8618" s="10" t="str">
        <f>IF(8610&gt;$C$9008,"",INDEX($B$9:$B$9008,MATCH(8610,$C$9:$C$9008,0)))</f>
        <v/>
      </c>
      <c r="B8618" s="9" t="str">
        <f>IFERROR(INDEX(Input!$L$20:$T$1019,INT((ROW()-9)/9)+1,MOD(ROW()-9,9)+1),"")</f>
        <v/>
      </c>
      <c r="C8618" s="9">
        <f t="shared" si="134"/>
        <v>0</v>
      </c>
    </row>
    <row r="8619" spans="1:3" x14ac:dyDescent="0.2">
      <c r="A8619" s="10" t="str">
        <f>IF(8611&gt;$C$9008,"",INDEX($B$9:$B$9008,MATCH(8611,$C$9:$C$9008,0)))</f>
        <v/>
      </c>
      <c r="B8619" s="9" t="str">
        <f>IFERROR(INDEX(Input!$L$20:$T$1019,INT((ROW()-9)/9)+1,MOD(ROW()-9,9)+1),"")</f>
        <v/>
      </c>
      <c r="C8619" s="9">
        <f t="shared" si="134"/>
        <v>0</v>
      </c>
    </row>
    <row r="8620" spans="1:3" x14ac:dyDescent="0.2">
      <c r="A8620" s="10" t="str">
        <f>IF(8612&gt;$C$9008,"",INDEX($B$9:$B$9008,MATCH(8612,$C$9:$C$9008,0)))</f>
        <v/>
      </c>
      <c r="B8620" s="9" t="str">
        <f>IFERROR(INDEX(Input!$L$20:$T$1019,INT((ROW()-9)/9)+1,MOD(ROW()-9,9)+1),"")</f>
        <v/>
      </c>
      <c r="C8620" s="9">
        <f t="shared" si="134"/>
        <v>0</v>
      </c>
    </row>
    <row r="8621" spans="1:3" x14ac:dyDescent="0.2">
      <c r="A8621" s="10" t="str">
        <f>IF(8613&gt;$C$9008,"",INDEX($B$9:$B$9008,MATCH(8613,$C$9:$C$9008,0)))</f>
        <v/>
      </c>
      <c r="B8621" s="9" t="str">
        <f>IFERROR(INDEX(Input!$L$20:$T$1019,INT((ROW()-9)/9)+1,MOD(ROW()-9,9)+1),"")</f>
        <v/>
      </c>
      <c r="C8621" s="9">
        <f t="shared" si="134"/>
        <v>0</v>
      </c>
    </row>
    <row r="8622" spans="1:3" x14ac:dyDescent="0.2">
      <c r="A8622" s="10" t="str">
        <f>IF(8614&gt;$C$9008,"",INDEX($B$9:$B$9008,MATCH(8614,$C$9:$C$9008,0)))</f>
        <v/>
      </c>
      <c r="B8622" s="9" t="str">
        <f>IFERROR(INDEX(Input!$L$20:$T$1019,INT((ROW()-9)/9)+1,MOD(ROW()-9,9)+1),"")</f>
        <v/>
      </c>
      <c r="C8622" s="9">
        <f t="shared" si="134"/>
        <v>0</v>
      </c>
    </row>
    <row r="8623" spans="1:3" x14ac:dyDescent="0.2">
      <c r="A8623" s="10" t="str">
        <f>IF(8615&gt;$C$9008,"",INDEX($B$9:$B$9008,MATCH(8615,$C$9:$C$9008,0)))</f>
        <v/>
      </c>
      <c r="B8623" s="9" t="str">
        <f>IFERROR(INDEX(Input!$L$20:$T$1019,INT((ROW()-9)/9)+1,MOD(ROW()-9,9)+1),"")</f>
        <v/>
      </c>
      <c r="C8623" s="9">
        <f t="shared" si="134"/>
        <v>0</v>
      </c>
    </row>
    <row r="8624" spans="1:3" x14ac:dyDescent="0.2">
      <c r="A8624" s="10" t="str">
        <f>IF(8616&gt;$C$9008,"",INDEX($B$9:$B$9008,MATCH(8616,$C$9:$C$9008,0)))</f>
        <v/>
      </c>
      <c r="B8624" s="9" t="str">
        <f>IFERROR(INDEX(Input!$L$20:$T$1019,INT((ROW()-9)/9)+1,MOD(ROW()-9,9)+1),"")</f>
        <v/>
      </c>
      <c r="C8624" s="9">
        <f t="shared" si="134"/>
        <v>0</v>
      </c>
    </row>
    <row r="8625" spans="1:3" x14ac:dyDescent="0.2">
      <c r="A8625" s="10" t="str">
        <f>IF(8617&gt;$C$9008,"",INDEX($B$9:$B$9008,MATCH(8617,$C$9:$C$9008,0)))</f>
        <v/>
      </c>
      <c r="B8625" s="9" t="str">
        <f>IFERROR(INDEX(Input!$L$20:$T$1019,INT((ROW()-9)/9)+1,MOD(ROW()-9,9)+1),"")</f>
        <v/>
      </c>
      <c r="C8625" s="9">
        <f t="shared" si="134"/>
        <v>0</v>
      </c>
    </row>
    <row r="8626" spans="1:3" x14ac:dyDescent="0.2">
      <c r="A8626" s="10" t="str">
        <f>IF(8618&gt;$C$9008,"",INDEX($B$9:$B$9008,MATCH(8618,$C$9:$C$9008,0)))</f>
        <v/>
      </c>
      <c r="B8626" s="9" t="str">
        <f>IFERROR(INDEX(Input!$L$20:$T$1019,INT((ROW()-9)/9)+1,MOD(ROW()-9,9)+1),"")</f>
        <v/>
      </c>
      <c r="C8626" s="9">
        <f t="shared" si="134"/>
        <v>0</v>
      </c>
    </row>
    <row r="8627" spans="1:3" x14ac:dyDescent="0.2">
      <c r="A8627" s="10" t="str">
        <f>IF(8619&gt;$C$9008,"",INDEX($B$9:$B$9008,MATCH(8619,$C$9:$C$9008,0)))</f>
        <v/>
      </c>
      <c r="B8627" s="9" t="str">
        <f>IFERROR(INDEX(Input!$L$20:$T$1019,INT((ROW()-9)/9)+1,MOD(ROW()-9,9)+1),"")</f>
        <v/>
      </c>
      <c r="C8627" s="9">
        <f t="shared" si="134"/>
        <v>0</v>
      </c>
    </row>
    <row r="8628" spans="1:3" x14ac:dyDescent="0.2">
      <c r="A8628" s="10" t="str">
        <f>IF(8620&gt;$C$9008,"",INDEX($B$9:$B$9008,MATCH(8620,$C$9:$C$9008,0)))</f>
        <v/>
      </c>
      <c r="B8628" s="9" t="str">
        <f>IFERROR(INDEX(Input!$L$20:$T$1019,INT((ROW()-9)/9)+1,MOD(ROW()-9,9)+1),"")</f>
        <v/>
      </c>
      <c r="C8628" s="9">
        <f t="shared" si="134"/>
        <v>0</v>
      </c>
    </row>
    <row r="8629" spans="1:3" x14ac:dyDescent="0.2">
      <c r="A8629" s="10" t="str">
        <f>IF(8621&gt;$C$9008,"",INDEX($B$9:$B$9008,MATCH(8621,$C$9:$C$9008,0)))</f>
        <v/>
      </c>
      <c r="B8629" s="9" t="str">
        <f>IFERROR(INDEX(Input!$L$20:$T$1019,INT((ROW()-9)/9)+1,MOD(ROW()-9,9)+1),"")</f>
        <v/>
      </c>
      <c r="C8629" s="9">
        <f t="shared" si="134"/>
        <v>0</v>
      </c>
    </row>
    <row r="8630" spans="1:3" x14ac:dyDescent="0.2">
      <c r="A8630" s="10" t="str">
        <f>IF(8622&gt;$C$9008,"",INDEX($B$9:$B$9008,MATCH(8622,$C$9:$C$9008,0)))</f>
        <v/>
      </c>
      <c r="B8630" s="9" t="str">
        <f>IFERROR(INDEX(Input!$L$20:$T$1019,INT((ROW()-9)/9)+1,MOD(ROW()-9,9)+1),"")</f>
        <v/>
      </c>
      <c r="C8630" s="9">
        <f t="shared" si="134"/>
        <v>0</v>
      </c>
    </row>
    <row r="8631" spans="1:3" x14ac:dyDescent="0.2">
      <c r="A8631" s="10" t="str">
        <f>IF(8623&gt;$C$9008,"",INDEX($B$9:$B$9008,MATCH(8623,$C$9:$C$9008,0)))</f>
        <v/>
      </c>
      <c r="B8631" s="9" t="str">
        <f>IFERROR(INDEX(Input!$L$20:$T$1019,INT((ROW()-9)/9)+1,MOD(ROW()-9,9)+1),"")</f>
        <v/>
      </c>
      <c r="C8631" s="9">
        <f t="shared" si="134"/>
        <v>0</v>
      </c>
    </row>
    <row r="8632" spans="1:3" x14ac:dyDescent="0.2">
      <c r="A8632" s="10" t="str">
        <f>IF(8624&gt;$C$9008,"",INDEX($B$9:$B$9008,MATCH(8624,$C$9:$C$9008,0)))</f>
        <v/>
      </c>
      <c r="B8632" s="9" t="str">
        <f>IFERROR(INDEX(Input!$L$20:$T$1019,INT((ROW()-9)/9)+1,MOD(ROW()-9,9)+1),"")</f>
        <v/>
      </c>
      <c r="C8632" s="9">
        <f t="shared" si="134"/>
        <v>0</v>
      </c>
    </row>
    <row r="8633" spans="1:3" x14ac:dyDescent="0.2">
      <c r="A8633" s="10" t="str">
        <f>IF(8625&gt;$C$9008,"",INDEX($B$9:$B$9008,MATCH(8625,$C$9:$C$9008,0)))</f>
        <v/>
      </c>
      <c r="B8633" s="9" t="str">
        <f>IFERROR(INDEX(Input!$L$20:$T$1019,INT((ROW()-9)/9)+1,MOD(ROW()-9,9)+1),"")</f>
        <v/>
      </c>
      <c r="C8633" s="9">
        <f t="shared" si="134"/>
        <v>0</v>
      </c>
    </row>
    <row r="8634" spans="1:3" x14ac:dyDescent="0.2">
      <c r="A8634" s="10" t="str">
        <f>IF(8626&gt;$C$9008,"",INDEX($B$9:$B$9008,MATCH(8626,$C$9:$C$9008,0)))</f>
        <v/>
      </c>
      <c r="B8634" s="9" t="str">
        <f>IFERROR(INDEX(Input!$L$20:$T$1019,INT((ROW()-9)/9)+1,MOD(ROW()-9,9)+1),"")</f>
        <v/>
      </c>
      <c r="C8634" s="9">
        <f t="shared" si="134"/>
        <v>0</v>
      </c>
    </row>
    <row r="8635" spans="1:3" x14ac:dyDescent="0.2">
      <c r="A8635" s="10" t="str">
        <f>IF(8627&gt;$C$9008,"",INDEX($B$9:$B$9008,MATCH(8627,$C$9:$C$9008,0)))</f>
        <v/>
      </c>
      <c r="B8635" s="9" t="str">
        <f>IFERROR(INDEX(Input!$L$20:$T$1019,INT((ROW()-9)/9)+1,MOD(ROW()-9,9)+1),"")</f>
        <v/>
      </c>
      <c r="C8635" s="9">
        <f t="shared" si="134"/>
        <v>0</v>
      </c>
    </row>
    <row r="8636" spans="1:3" x14ac:dyDescent="0.2">
      <c r="A8636" s="10" t="str">
        <f>IF(8628&gt;$C$9008,"",INDEX($B$9:$B$9008,MATCH(8628,$C$9:$C$9008,0)))</f>
        <v/>
      </c>
      <c r="B8636" s="9" t="str">
        <f>IFERROR(INDEX(Input!$L$20:$T$1019,INT((ROW()-9)/9)+1,MOD(ROW()-9,9)+1),"")</f>
        <v/>
      </c>
      <c r="C8636" s="9">
        <f t="shared" si="134"/>
        <v>0</v>
      </c>
    </row>
    <row r="8637" spans="1:3" x14ac:dyDescent="0.2">
      <c r="A8637" s="10" t="str">
        <f>IF(8629&gt;$C$9008,"",INDEX($B$9:$B$9008,MATCH(8629,$C$9:$C$9008,0)))</f>
        <v/>
      </c>
      <c r="B8637" s="9" t="str">
        <f>IFERROR(INDEX(Input!$L$20:$T$1019,INT((ROW()-9)/9)+1,MOD(ROW()-9,9)+1),"")</f>
        <v/>
      </c>
      <c r="C8637" s="9">
        <f t="shared" si="134"/>
        <v>0</v>
      </c>
    </row>
    <row r="8638" spans="1:3" x14ac:dyDescent="0.2">
      <c r="A8638" s="10" t="str">
        <f>IF(8630&gt;$C$9008,"",INDEX($B$9:$B$9008,MATCH(8630,$C$9:$C$9008,0)))</f>
        <v/>
      </c>
      <c r="B8638" s="9" t="str">
        <f>IFERROR(INDEX(Input!$L$20:$T$1019,INT((ROW()-9)/9)+1,MOD(ROW()-9,9)+1),"")</f>
        <v/>
      </c>
      <c r="C8638" s="9">
        <f t="shared" si="134"/>
        <v>0</v>
      </c>
    </row>
    <row r="8639" spans="1:3" x14ac:dyDescent="0.2">
      <c r="A8639" s="10" t="str">
        <f>IF(8631&gt;$C$9008,"",INDEX($B$9:$B$9008,MATCH(8631,$C$9:$C$9008,0)))</f>
        <v/>
      </c>
      <c r="B8639" s="9" t="str">
        <f>IFERROR(INDEX(Input!$L$20:$T$1019,INT((ROW()-9)/9)+1,MOD(ROW()-9,9)+1),"")</f>
        <v/>
      </c>
      <c r="C8639" s="9">
        <f t="shared" si="134"/>
        <v>0</v>
      </c>
    </row>
    <row r="8640" spans="1:3" x14ac:dyDescent="0.2">
      <c r="A8640" s="10" t="str">
        <f>IF(8632&gt;$C$9008,"",INDEX($B$9:$B$9008,MATCH(8632,$C$9:$C$9008,0)))</f>
        <v/>
      </c>
      <c r="B8640" s="9" t="str">
        <f>IFERROR(INDEX(Input!$L$20:$T$1019,INT((ROW()-9)/9)+1,MOD(ROW()-9,9)+1),"")</f>
        <v/>
      </c>
      <c r="C8640" s="9">
        <f t="shared" si="134"/>
        <v>0</v>
      </c>
    </row>
    <row r="8641" spans="1:3" x14ac:dyDescent="0.2">
      <c r="A8641" s="10" t="str">
        <f>IF(8633&gt;$C$9008,"",INDEX($B$9:$B$9008,MATCH(8633,$C$9:$C$9008,0)))</f>
        <v/>
      </c>
      <c r="B8641" s="9" t="str">
        <f>IFERROR(INDEX(Input!$L$20:$T$1019,INT((ROW()-9)/9)+1,MOD(ROW()-9,9)+1),"")</f>
        <v/>
      </c>
      <c r="C8641" s="9">
        <f t="shared" si="134"/>
        <v>0</v>
      </c>
    </row>
    <row r="8642" spans="1:3" x14ac:dyDescent="0.2">
      <c r="A8642" s="10" t="str">
        <f>IF(8634&gt;$C$9008,"",INDEX($B$9:$B$9008,MATCH(8634,$C$9:$C$9008,0)))</f>
        <v/>
      </c>
      <c r="B8642" s="9" t="str">
        <f>IFERROR(INDEX(Input!$L$20:$T$1019,INT((ROW()-9)/9)+1,MOD(ROW()-9,9)+1),"")</f>
        <v/>
      </c>
      <c r="C8642" s="9">
        <f t="shared" si="134"/>
        <v>0</v>
      </c>
    </row>
    <row r="8643" spans="1:3" x14ac:dyDescent="0.2">
      <c r="A8643" s="10" t="str">
        <f>IF(8635&gt;$C$9008,"",INDEX($B$9:$B$9008,MATCH(8635,$C$9:$C$9008,0)))</f>
        <v/>
      </c>
      <c r="B8643" s="9" t="str">
        <f>IFERROR(INDEX(Input!$L$20:$T$1019,INT((ROW()-9)/9)+1,MOD(ROW()-9,9)+1),"")</f>
        <v/>
      </c>
      <c r="C8643" s="9">
        <f t="shared" si="134"/>
        <v>0</v>
      </c>
    </row>
    <row r="8644" spans="1:3" x14ac:dyDescent="0.2">
      <c r="A8644" s="10" t="str">
        <f>IF(8636&gt;$C$9008,"",INDEX($B$9:$B$9008,MATCH(8636,$C$9:$C$9008,0)))</f>
        <v/>
      </c>
      <c r="B8644" s="9" t="str">
        <f>IFERROR(INDEX(Input!$L$20:$T$1019,INT((ROW()-9)/9)+1,MOD(ROW()-9,9)+1),"")</f>
        <v/>
      </c>
      <c r="C8644" s="9">
        <f t="shared" si="134"/>
        <v>0</v>
      </c>
    </row>
    <row r="8645" spans="1:3" x14ac:dyDescent="0.2">
      <c r="A8645" s="10" t="str">
        <f>IF(8637&gt;$C$9008,"",INDEX($B$9:$B$9008,MATCH(8637,$C$9:$C$9008,0)))</f>
        <v/>
      </c>
      <c r="B8645" s="9" t="str">
        <f>IFERROR(INDEX(Input!$L$20:$T$1019,INT((ROW()-9)/9)+1,MOD(ROW()-9,9)+1),"")</f>
        <v/>
      </c>
      <c r="C8645" s="9">
        <f t="shared" si="134"/>
        <v>0</v>
      </c>
    </row>
    <row r="8646" spans="1:3" x14ac:dyDescent="0.2">
      <c r="A8646" s="10" t="str">
        <f>IF(8638&gt;$C$9008,"",INDEX($B$9:$B$9008,MATCH(8638,$C$9:$C$9008,0)))</f>
        <v/>
      </c>
      <c r="B8646" s="9" t="str">
        <f>IFERROR(INDEX(Input!$L$20:$T$1019,INT((ROW()-9)/9)+1,MOD(ROW()-9,9)+1),"")</f>
        <v/>
      </c>
      <c r="C8646" s="9">
        <f t="shared" si="134"/>
        <v>0</v>
      </c>
    </row>
    <row r="8647" spans="1:3" x14ac:dyDescent="0.2">
      <c r="A8647" s="10" t="str">
        <f>IF(8639&gt;$C$9008,"",INDEX($B$9:$B$9008,MATCH(8639,$C$9:$C$9008,0)))</f>
        <v/>
      </c>
      <c r="B8647" s="9" t="str">
        <f>IFERROR(INDEX(Input!$L$20:$T$1019,INT((ROW()-9)/9)+1,MOD(ROW()-9,9)+1),"")</f>
        <v/>
      </c>
      <c r="C8647" s="9">
        <f t="shared" si="134"/>
        <v>0</v>
      </c>
    </row>
    <row r="8648" spans="1:3" x14ac:dyDescent="0.2">
      <c r="A8648" s="10" t="str">
        <f>IF(8640&gt;$C$9008,"",INDEX($B$9:$B$9008,MATCH(8640,$C$9:$C$9008,0)))</f>
        <v/>
      </c>
      <c r="B8648" s="9" t="str">
        <f>IFERROR(INDEX(Input!$L$20:$T$1019,INT((ROW()-9)/9)+1,MOD(ROW()-9,9)+1),"")</f>
        <v/>
      </c>
      <c r="C8648" s="9">
        <f t="shared" si="134"/>
        <v>0</v>
      </c>
    </row>
    <row r="8649" spans="1:3" x14ac:dyDescent="0.2">
      <c r="A8649" s="10" t="str">
        <f>IF(8641&gt;$C$9008,"",INDEX($B$9:$B$9008,MATCH(8641,$C$9:$C$9008,0)))</f>
        <v/>
      </c>
      <c r="B8649" s="9" t="str">
        <f>IFERROR(INDEX(Input!$L$20:$T$1019,INT((ROW()-9)/9)+1,MOD(ROW()-9,9)+1),"")</f>
        <v/>
      </c>
      <c r="C8649" s="9">
        <f t="shared" ref="C8649:C8712" si="135">$C8648+IF($B8649&lt;&gt;"",1,0)</f>
        <v>0</v>
      </c>
    </row>
    <row r="8650" spans="1:3" x14ac:dyDescent="0.2">
      <c r="A8650" s="10" t="str">
        <f>IF(8642&gt;$C$9008,"",INDEX($B$9:$B$9008,MATCH(8642,$C$9:$C$9008,0)))</f>
        <v/>
      </c>
      <c r="B8650" s="9" t="str">
        <f>IFERROR(INDEX(Input!$L$20:$T$1019,INT((ROW()-9)/9)+1,MOD(ROW()-9,9)+1),"")</f>
        <v/>
      </c>
      <c r="C8650" s="9">
        <f t="shared" si="135"/>
        <v>0</v>
      </c>
    </row>
    <row r="8651" spans="1:3" x14ac:dyDescent="0.2">
      <c r="A8651" s="10" t="str">
        <f>IF(8643&gt;$C$9008,"",INDEX($B$9:$B$9008,MATCH(8643,$C$9:$C$9008,0)))</f>
        <v/>
      </c>
      <c r="B8651" s="9" t="str">
        <f>IFERROR(INDEX(Input!$L$20:$T$1019,INT((ROW()-9)/9)+1,MOD(ROW()-9,9)+1),"")</f>
        <v/>
      </c>
      <c r="C8651" s="9">
        <f t="shared" si="135"/>
        <v>0</v>
      </c>
    </row>
    <row r="8652" spans="1:3" x14ac:dyDescent="0.2">
      <c r="A8652" s="10" t="str">
        <f>IF(8644&gt;$C$9008,"",INDEX($B$9:$B$9008,MATCH(8644,$C$9:$C$9008,0)))</f>
        <v/>
      </c>
      <c r="B8652" s="9" t="str">
        <f>IFERROR(INDEX(Input!$L$20:$T$1019,INT((ROW()-9)/9)+1,MOD(ROW()-9,9)+1),"")</f>
        <v/>
      </c>
      <c r="C8652" s="9">
        <f t="shared" si="135"/>
        <v>0</v>
      </c>
    </row>
    <row r="8653" spans="1:3" x14ac:dyDescent="0.2">
      <c r="A8653" s="10" t="str">
        <f>IF(8645&gt;$C$9008,"",INDEX($B$9:$B$9008,MATCH(8645,$C$9:$C$9008,0)))</f>
        <v/>
      </c>
      <c r="B8653" s="9" t="str">
        <f>IFERROR(INDEX(Input!$L$20:$T$1019,INT((ROW()-9)/9)+1,MOD(ROW()-9,9)+1),"")</f>
        <v/>
      </c>
      <c r="C8653" s="9">
        <f t="shared" si="135"/>
        <v>0</v>
      </c>
    </row>
    <row r="8654" spans="1:3" x14ac:dyDescent="0.2">
      <c r="A8654" s="10" t="str">
        <f>IF(8646&gt;$C$9008,"",INDEX($B$9:$B$9008,MATCH(8646,$C$9:$C$9008,0)))</f>
        <v/>
      </c>
      <c r="B8654" s="9" t="str">
        <f>IFERROR(INDEX(Input!$L$20:$T$1019,INT((ROW()-9)/9)+1,MOD(ROW()-9,9)+1),"")</f>
        <v/>
      </c>
      <c r="C8654" s="9">
        <f t="shared" si="135"/>
        <v>0</v>
      </c>
    </row>
    <row r="8655" spans="1:3" x14ac:dyDescent="0.2">
      <c r="A8655" s="10" t="str">
        <f>IF(8647&gt;$C$9008,"",INDEX($B$9:$B$9008,MATCH(8647,$C$9:$C$9008,0)))</f>
        <v/>
      </c>
      <c r="B8655" s="9" t="str">
        <f>IFERROR(INDEX(Input!$L$20:$T$1019,INT((ROW()-9)/9)+1,MOD(ROW()-9,9)+1),"")</f>
        <v/>
      </c>
      <c r="C8655" s="9">
        <f t="shared" si="135"/>
        <v>0</v>
      </c>
    </row>
    <row r="8656" spans="1:3" x14ac:dyDescent="0.2">
      <c r="A8656" s="10" t="str">
        <f>IF(8648&gt;$C$9008,"",INDEX($B$9:$B$9008,MATCH(8648,$C$9:$C$9008,0)))</f>
        <v/>
      </c>
      <c r="B8656" s="9" t="str">
        <f>IFERROR(INDEX(Input!$L$20:$T$1019,INT((ROW()-9)/9)+1,MOD(ROW()-9,9)+1),"")</f>
        <v/>
      </c>
      <c r="C8656" s="9">
        <f t="shared" si="135"/>
        <v>0</v>
      </c>
    </row>
    <row r="8657" spans="1:3" x14ac:dyDescent="0.2">
      <c r="A8657" s="10" t="str">
        <f>IF(8649&gt;$C$9008,"",INDEX($B$9:$B$9008,MATCH(8649,$C$9:$C$9008,0)))</f>
        <v/>
      </c>
      <c r="B8657" s="9" t="str">
        <f>IFERROR(INDEX(Input!$L$20:$T$1019,INT((ROW()-9)/9)+1,MOD(ROW()-9,9)+1),"")</f>
        <v/>
      </c>
      <c r="C8657" s="9">
        <f t="shared" si="135"/>
        <v>0</v>
      </c>
    </row>
    <row r="8658" spans="1:3" x14ac:dyDescent="0.2">
      <c r="A8658" s="10" t="str">
        <f>IF(8650&gt;$C$9008,"",INDEX($B$9:$B$9008,MATCH(8650,$C$9:$C$9008,0)))</f>
        <v/>
      </c>
      <c r="B8658" s="9" t="str">
        <f>IFERROR(INDEX(Input!$L$20:$T$1019,INT((ROW()-9)/9)+1,MOD(ROW()-9,9)+1),"")</f>
        <v/>
      </c>
      <c r="C8658" s="9">
        <f t="shared" si="135"/>
        <v>0</v>
      </c>
    </row>
    <row r="8659" spans="1:3" x14ac:dyDescent="0.2">
      <c r="A8659" s="10" t="str">
        <f>IF(8651&gt;$C$9008,"",INDEX($B$9:$B$9008,MATCH(8651,$C$9:$C$9008,0)))</f>
        <v/>
      </c>
      <c r="B8659" s="9" t="str">
        <f>IFERROR(INDEX(Input!$L$20:$T$1019,INT((ROW()-9)/9)+1,MOD(ROW()-9,9)+1),"")</f>
        <v/>
      </c>
      <c r="C8659" s="9">
        <f t="shared" si="135"/>
        <v>0</v>
      </c>
    </row>
    <row r="8660" spans="1:3" x14ac:dyDescent="0.2">
      <c r="A8660" s="10" t="str">
        <f>IF(8652&gt;$C$9008,"",INDEX($B$9:$B$9008,MATCH(8652,$C$9:$C$9008,0)))</f>
        <v/>
      </c>
      <c r="B8660" s="9" t="str">
        <f>IFERROR(INDEX(Input!$L$20:$T$1019,INT((ROW()-9)/9)+1,MOD(ROW()-9,9)+1),"")</f>
        <v/>
      </c>
      <c r="C8660" s="9">
        <f t="shared" si="135"/>
        <v>0</v>
      </c>
    </row>
    <row r="8661" spans="1:3" x14ac:dyDescent="0.2">
      <c r="A8661" s="10" t="str">
        <f>IF(8653&gt;$C$9008,"",INDEX($B$9:$B$9008,MATCH(8653,$C$9:$C$9008,0)))</f>
        <v/>
      </c>
      <c r="B8661" s="9" t="str">
        <f>IFERROR(INDEX(Input!$L$20:$T$1019,INT((ROW()-9)/9)+1,MOD(ROW()-9,9)+1),"")</f>
        <v/>
      </c>
      <c r="C8661" s="9">
        <f t="shared" si="135"/>
        <v>0</v>
      </c>
    </row>
    <row r="8662" spans="1:3" x14ac:dyDescent="0.2">
      <c r="A8662" s="10" t="str">
        <f>IF(8654&gt;$C$9008,"",INDEX($B$9:$B$9008,MATCH(8654,$C$9:$C$9008,0)))</f>
        <v/>
      </c>
      <c r="B8662" s="9" t="str">
        <f>IFERROR(INDEX(Input!$L$20:$T$1019,INT((ROW()-9)/9)+1,MOD(ROW()-9,9)+1),"")</f>
        <v/>
      </c>
      <c r="C8662" s="9">
        <f t="shared" si="135"/>
        <v>0</v>
      </c>
    </row>
    <row r="8663" spans="1:3" x14ac:dyDescent="0.2">
      <c r="A8663" s="10" t="str">
        <f>IF(8655&gt;$C$9008,"",INDEX($B$9:$B$9008,MATCH(8655,$C$9:$C$9008,0)))</f>
        <v/>
      </c>
      <c r="B8663" s="9" t="str">
        <f>IFERROR(INDEX(Input!$L$20:$T$1019,INT((ROW()-9)/9)+1,MOD(ROW()-9,9)+1),"")</f>
        <v/>
      </c>
      <c r="C8663" s="9">
        <f t="shared" si="135"/>
        <v>0</v>
      </c>
    </row>
    <row r="8664" spans="1:3" x14ac:dyDescent="0.2">
      <c r="A8664" s="10" t="str">
        <f>IF(8656&gt;$C$9008,"",INDEX($B$9:$B$9008,MATCH(8656,$C$9:$C$9008,0)))</f>
        <v/>
      </c>
      <c r="B8664" s="9" t="str">
        <f>IFERROR(INDEX(Input!$L$20:$T$1019,INT((ROW()-9)/9)+1,MOD(ROW()-9,9)+1),"")</f>
        <v/>
      </c>
      <c r="C8664" s="9">
        <f t="shared" si="135"/>
        <v>0</v>
      </c>
    </row>
    <row r="8665" spans="1:3" x14ac:dyDescent="0.2">
      <c r="A8665" s="10" t="str">
        <f>IF(8657&gt;$C$9008,"",INDEX($B$9:$B$9008,MATCH(8657,$C$9:$C$9008,0)))</f>
        <v/>
      </c>
      <c r="B8665" s="9" t="str">
        <f>IFERROR(INDEX(Input!$L$20:$T$1019,INT((ROW()-9)/9)+1,MOD(ROW()-9,9)+1),"")</f>
        <v/>
      </c>
      <c r="C8665" s="9">
        <f t="shared" si="135"/>
        <v>0</v>
      </c>
    </row>
    <row r="8666" spans="1:3" x14ac:dyDescent="0.2">
      <c r="A8666" s="10" t="str">
        <f>IF(8658&gt;$C$9008,"",INDEX($B$9:$B$9008,MATCH(8658,$C$9:$C$9008,0)))</f>
        <v/>
      </c>
      <c r="B8666" s="9" t="str">
        <f>IFERROR(INDEX(Input!$L$20:$T$1019,INT((ROW()-9)/9)+1,MOD(ROW()-9,9)+1),"")</f>
        <v/>
      </c>
      <c r="C8666" s="9">
        <f t="shared" si="135"/>
        <v>0</v>
      </c>
    </row>
    <row r="8667" spans="1:3" x14ac:dyDescent="0.2">
      <c r="A8667" s="10" t="str">
        <f>IF(8659&gt;$C$9008,"",INDEX($B$9:$B$9008,MATCH(8659,$C$9:$C$9008,0)))</f>
        <v/>
      </c>
      <c r="B8667" s="9" t="str">
        <f>IFERROR(INDEX(Input!$L$20:$T$1019,INT((ROW()-9)/9)+1,MOD(ROW()-9,9)+1),"")</f>
        <v/>
      </c>
      <c r="C8667" s="9">
        <f t="shared" si="135"/>
        <v>0</v>
      </c>
    </row>
    <row r="8668" spans="1:3" x14ac:dyDescent="0.2">
      <c r="A8668" s="10" t="str">
        <f>IF(8660&gt;$C$9008,"",INDEX($B$9:$B$9008,MATCH(8660,$C$9:$C$9008,0)))</f>
        <v/>
      </c>
      <c r="B8668" s="9" t="str">
        <f>IFERROR(INDEX(Input!$L$20:$T$1019,INT((ROW()-9)/9)+1,MOD(ROW()-9,9)+1),"")</f>
        <v/>
      </c>
      <c r="C8668" s="9">
        <f t="shared" si="135"/>
        <v>0</v>
      </c>
    </row>
    <row r="8669" spans="1:3" x14ac:dyDescent="0.2">
      <c r="A8669" s="10" t="str">
        <f>IF(8661&gt;$C$9008,"",INDEX($B$9:$B$9008,MATCH(8661,$C$9:$C$9008,0)))</f>
        <v/>
      </c>
      <c r="B8669" s="9" t="str">
        <f>IFERROR(INDEX(Input!$L$20:$T$1019,INT((ROW()-9)/9)+1,MOD(ROW()-9,9)+1),"")</f>
        <v/>
      </c>
      <c r="C8669" s="9">
        <f t="shared" si="135"/>
        <v>0</v>
      </c>
    </row>
    <row r="8670" spans="1:3" x14ac:dyDescent="0.2">
      <c r="A8670" s="10" t="str">
        <f>IF(8662&gt;$C$9008,"",INDEX($B$9:$B$9008,MATCH(8662,$C$9:$C$9008,0)))</f>
        <v/>
      </c>
      <c r="B8670" s="9" t="str">
        <f>IFERROR(INDEX(Input!$L$20:$T$1019,INT((ROW()-9)/9)+1,MOD(ROW()-9,9)+1),"")</f>
        <v/>
      </c>
      <c r="C8670" s="9">
        <f t="shared" si="135"/>
        <v>0</v>
      </c>
    </row>
    <row r="8671" spans="1:3" x14ac:dyDescent="0.2">
      <c r="A8671" s="10" t="str">
        <f>IF(8663&gt;$C$9008,"",INDEX($B$9:$B$9008,MATCH(8663,$C$9:$C$9008,0)))</f>
        <v/>
      </c>
      <c r="B8671" s="9" t="str">
        <f>IFERROR(INDEX(Input!$L$20:$T$1019,INT((ROW()-9)/9)+1,MOD(ROW()-9,9)+1),"")</f>
        <v/>
      </c>
      <c r="C8671" s="9">
        <f t="shared" si="135"/>
        <v>0</v>
      </c>
    </row>
    <row r="8672" spans="1:3" x14ac:dyDescent="0.2">
      <c r="A8672" s="10" t="str">
        <f>IF(8664&gt;$C$9008,"",INDEX($B$9:$B$9008,MATCH(8664,$C$9:$C$9008,0)))</f>
        <v/>
      </c>
      <c r="B8672" s="9" t="str">
        <f>IFERROR(INDEX(Input!$L$20:$T$1019,INT((ROW()-9)/9)+1,MOD(ROW()-9,9)+1),"")</f>
        <v/>
      </c>
      <c r="C8672" s="9">
        <f t="shared" si="135"/>
        <v>0</v>
      </c>
    </row>
    <row r="8673" spans="1:3" x14ac:dyDescent="0.2">
      <c r="A8673" s="10" t="str">
        <f>IF(8665&gt;$C$9008,"",INDEX($B$9:$B$9008,MATCH(8665,$C$9:$C$9008,0)))</f>
        <v/>
      </c>
      <c r="B8673" s="9" t="str">
        <f>IFERROR(INDEX(Input!$L$20:$T$1019,INT((ROW()-9)/9)+1,MOD(ROW()-9,9)+1),"")</f>
        <v/>
      </c>
      <c r="C8673" s="9">
        <f t="shared" si="135"/>
        <v>0</v>
      </c>
    </row>
    <row r="8674" spans="1:3" x14ac:dyDescent="0.2">
      <c r="A8674" s="10" t="str">
        <f>IF(8666&gt;$C$9008,"",INDEX($B$9:$B$9008,MATCH(8666,$C$9:$C$9008,0)))</f>
        <v/>
      </c>
      <c r="B8674" s="9" t="str">
        <f>IFERROR(INDEX(Input!$L$20:$T$1019,INT((ROW()-9)/9)+1,MOD(ROW()-9,9)+1),"")</f>
        <v/>
      </c>
      <c r="C8674" s="9">
        <f t="shared" si="135"/>
        <v>0</v>
      </c>
    </row>
    <row r="8675" spans="1:3" x14ac:dyDescent="0.2">
      <c r="A8675" s="10" t="str">
        <f>IF(8667&gt;$C$9008,"",INDEX($B$9:$B$9008,MATCH(8667,$C$9:$C$9008,0)))</f>
        <v/>
      </c>
      <c r="B8675" s="9" t="str">
        <f>IFERROR(INDEX(Input!$L$20:$T$1019,INT((ROW()-9)/9)+1,MOD(ROW()-9,9)+1),"")</f>
        <v/>
      </c>
      <c r="C8675" s="9">
        <f t="shared" si="135"/>
        <v>0</v>
      </c>
    </row>
    <row r="8676" spans="1:3" x14ac:dyDescent="0.2">
      <c r="A8676" s="10" t="str">
        <f>IF(8668&gt;$C$9008,"",INDEX($B$9:$B$9008,MATCH(8668,$C$9:$C$9008,0)))</f>
        <v/>
      </c>
      <c r="B8676" s="9" t="str">
        <f>IFERROR(INDEX(Input!$L$20:$T$1019,INT((ROW()-9)/9)+1,MOD(ROW()-9,9)+1),"")</f>
        <v/>
      </c>
      <c r="C8676" s="9">
        <f t="shared" si="135"/>
        <v>0</v>
      </c>
    </row>
    <row r="8677" spans="1:3" x14ac:dyDescent="0.2">
      <c r="A8677" s="10" t="str">
        <f>IF(8669&gt;$C$9008,"",INDEX($B$9:$B$9008,MATCH(8669,$C$9:$C$9008,0)))</f>
        <v/>
      </c>
      <c r="B8677" s="9" t="str">
        <f>IFERROR(INDEX(Input!$L$20:$T$1019,INT((ROW()-9)/9)+1,MOD(ROW()-9,9)+1),"")</f>
        <v/>
      </c>
      <c r="C8677" s="9">
        <f t="shared" si="135"/>
        <v>0</v>
      </c>
    </row>
    <row r="8678" spans="1:3" x14ac:dyDescent="0.2">
      <c r="A8678" s="10" t="str">
        <f>IF(8670&gt;$C$9008,"",INDEX($B$9:$B$9008,MATCH(8670,$C$9:$C$9008,0)))</f>
        <v/>
      </c>
      <c r="B8678" s="9" t="str">
        <f>IFERROR(INDEX(Input!$L$20:$T$1019,INT((ROW()-9)/9)+1,MOD(ROW()-9,9)+1),"")</f>
        <v/>
      </c>
      <c r="C8678" s="9">
        <f t="shared" si="135"/>
        <v>0</v>
      </c>
    </row>
    <row r="8679" spans="1:3" x14ac:dyDescent="0.2">
      <c r="A8679" s="10" t="str">
        <f>IF(8671&gt;$C$9008,"",INDEX($B$9:$B$9008,MATCH(8671,$C$9:$C$9008,0)))</f>
        <v/>
      </c>
      <c r="B8679" s="9" t="str">
        <f>IFERROR(INDEX(Input!$L$20:$T$1019,INT((ROW()-9)/9)+1,MOD(ROW()-9,9)+1),"")</f>
        <v/>
      </c>
      <c r="C8679" s="9">
        <f t="shared" si="135"/>
        <v>0</v>
      </c>
    </row>
    <row r="8680" spans="1:3" x14ac:dyDescent="0.2">
      <c r="A8680" s="10" t="str">
        <f>IF(8672&gt;$C$9008,"",INDEX($B$9:$B$9008,MATCH(8672,$C$9:$C$9008,0)))</f>
        <v/>
      </c>
      <c r="B8680" s="9" t="str">
        <f>IFERROR(INDEX(Input!$L$20:$T$1019,INT((ROW()-9)/9)+1,MOD(ROW()-9,9)+1),"")</f>
        <v/>
      </c>
      <c r="C8680" s="9">
        <f t="shared" si="135"/>
        <v>0</v>
      </c>
    </row>
    <row r="8681" spans="1:3" x14ac:dyDescent="0.2">
      <c r="A8681" s="10" t="str">
        <f>IF(8673&gt;$C$9008,"",INDEX($B$9:$B$9008,MATCH(8673,$C$9:$C$9008,0)))</f>
        <v/>
      </c>
      <c r="B8681" s="9" t="str">
        <f>IFERROR(INDEX(Input!$L$20:$T$1019,INT((ROW()-9)/9)+1,MOD(ROW()-9,9)+1),"")</f>
        <v/>
      </c>
      <c r="C8681" s="9">
        <f t="shared" si="135"/>
        <v>0</v>
      </c>
    </row>
    <row r="8682" spans="1:3" x14ac:dyDescent="0.2">
      <c r="A8682" s="10" t="str">
        <f>IF(8674&gt;$C$9008,"",INDEX($B$9:$B$9008,MATCH(8674,$C$9:$C$9008,0)))</f>
        <v/>
      </c>
      <c r="B8682" s="9" t="str">
        <f>IFERROR(INDEX(Input!$L$20:$T$1019,INT((ROW()-9)/9)+1,MOD(ROW()-9,9)+1),"")</f>
        <v/>
      </c>
      <c r="C8682" s="9">
        <f t="shared" si="135"/>
        <v>0</v>
      </c>
    </row>
    <row r="8683" spans="1:3" x14ac:dyDescent="0.2">
      <c r="A8683" s="10" t="str">
        <f>IF(8675&gt;$C$9008,"",INDEX($B$9:$B$9008,MATCH(8675,$C$9:$C$9008,0)))</f>
        <v/>
      </c>
      <c r="B8683" s="9" t="str">
        <f>IFERROR(INDEX(Input!$L$20:$T$1019,INT((ROW()-9)/9)+1,MOD(ROW()-9,9)+1),"")</f>
        <v/>
      </c>
      <c r="C8683" s="9">
        <f t="shared" si="135"/>
        <v>0</v>
      </c>
    </row>
    <row r="8684" spans="1:3" x14ac:dyDescent="0.2">
      <c r="A8684" s="10" t="str">
        <f>IF(8676&gt;$C$9008,"",INDEX($B$9:$B$9008,MATCH(8676,$C$9:$C$9008,0)))</f>
        <v/>
      </c>
      <c r="B8684" s="9" t="str">
        <f>IFERROR(INDEX(Input!$L$20:$T$1019,INT((ROW()-9)/9)+1,MOD(ROW()-9,9)+1),"")</f>
        <v/>
      </c>
      <c r="C8684" s="9">
        <f t="shared" si="135"/>
        <v>0</v>
      </c>
    </row>
    <row r="8685" spans="1:3" x14ac:dyDescent="0.2">
      <c r="A8685" s="10" t="str">
        <f>IF(8677&gt;$C$9008,"",INDEX($B$9:$B$9008,MATCH(8677,$C$9:$C$9008,0)))</f>
        <v/>
      </c>
      <c r="B8685" s="9" t="str">
        <f>IFERROR(INDEX(Input!$L$20:$T$1019,INT((ROW()-9)/9)+1,MOD(ROW()-9,9)+1),"")</f>
        <v/>
      </c>
      <c r="C8685" s="9">
        <f t="shared" si="135"/>
        <v>0</v>
      </c>
    </row>
    <row r="8686" spans="1:3" x14ac:dyDescent="0.2">
      <c r="A8686" s="10" t="str">
        <f>IF(8678&gt;$C$9008,"",INDEX($B$9:$B$9008,MATCH(8678,$C$9:$C$9008,0)))</f>
        <v/>
      </c>
      <c r="B8686" s="9" t="str">
        <f>IFERROR(INDEX(Input!$L$20:$T$1019,INT((ROW()-9)/9)+1,MOD(ROW()-9,9)+1),"")</f>
        <v/>
      </c>
      <c r="C8686" s="9">
        <f t="shared" si="135"/>
        <v>0</v>
      </c>
    </row>
    <row r="8687" spans="1:3" x14ac:dyDescent="0.2">
      <c r="A8687" s="10" t="str">
        <f>IF(8679&gt;$C$9008,"",INDEX($B$9:$B$9008,MATCH(8679,$C$9:$C$9008,0)))</f>
        <v/>
      </c>
      <c r="B8687" s="9" t="str">
        <f>IFERROR(INDEX(Input!$L$20:$T$1019,INT((ROW()-9)/9)+1,MOD(ROW()-9,9)+1),"")</f>
        <v/>
      </c>
      <c r="C8687" s="9">
        <f t="shared" si="135"/>
        <v>0</v>
      </c>
    </row>
    <row r="8688" spans="1:3" x14ac:dyDescent="0.2">
      <c r="A8688" s="10" t="str">
        <f>IF(8680&gt;$C$9008,"",INDEX($B$9:$B$9008,MATCH(8680,$C$9:$C$9008,0)))</f>
        <v/>
      </c>
      <c r="B8688" s="9" t="str">
        <f>IFERROR(INDEX(Input!$L$20:$T$1019,INT((ROW()-9)/9)+1,MOD(ROW()-9,9)+1),"")</f>
        <v/>
      </c>
      <c r="C8688" s="9">
        <f t="shared" si="135"/>
        <v>0</v>
      </c>
    </row>
    <row r="8689" spans="1:3" x14ac:dyDescent="0.2">
      <c r="A8689" s="10" t="str">
        <f>IF(8681&gt;$C$9008,"",INDEX($B$9:$B$9008,MATCH(8681,$C$9:$C$9008,0)))</f>
        <v/>
      </c>
      <c r="B8689" s="9" t="str">
        <f>IFERROR(INDEX(Input!$L$20:$T$1019,INT((ROW()-9)/9)+1,MOD(ROW()-9,9)+1),"")</f>
        <v/>
      </c>
      <c r="C8689" s="9">
        <f t="shared" si="135"/>
        <v>0</v>
      </c>
    </row>
    <row r="8690" spans="1:3" x14ac:dyDescent="0.2">
      <c r="A8690" s="10" t="str">
        <f>IF(8682&gt;$C$9008,"",INDEX($B$9:$B$9008,MATCH(8682,$C$9:$C$9008,0)))</f>
        <v/>
      </c>
      <c r="B8690" s="9" t="str">
        <f>IFERROR(INDEX(Input!$L$20:$T$1019,INT((ROW()-9)/9)+1,MOD(ROW()-9,9)+1),"")</f>
        <v/>
      </c>
      <c r="C8690" s="9">
        <f t="shared" si="135"/>
        <v>0</v>
      </c>
    </row>
    <row r="8691" spans="1:3" x14ac:dyDescent="0.2">
      <c r="A8691" s="10" t="str">
        <f>IF(8683&gt;$C$9008,"",INDEX($B$9:$B$9008,MATCH(8683,$C$9:$C$9008,0)))</f>
        <v/>
      </c>
      <c r="B8691" s="9" t="str">
        <f>IFERROR(INDEX(Input!$L$20:$T$1019,INT((ROW()-9)/9)+1,MOD(ROW()-9,9)+1),"")</f>
        <v/>
      </c>
      <c r="C8691" s="9">
        <f t="shared" si="135"/>
        <v>0</v>
      </c>
    </row>
    <row r="8692" spans="1:3" x14ac:dyDescent="0.2">
      <c r="A8692" s="10" t="str">
        <f>IF(8684&gt;$C$9008,"",INDEX($B$9:$B$9008,MATCH(8684,$C$9:$C$9008,0)))</f>
        <v/>
      </c>
      <c r="B8692" s="9" t="str">
        <f>IFERROR(INDEX(Input!$L$20:$T$1019,INT((ROW()-9)/9)+1,MOD(ROW()-9,9)+1),"")</f>
        <v/>
      </c>
      <c r="C8692" s="9">
        <f t="shared" si="135"/>
        <v>0</v>
      </c>
    </row>
    <row r="8693" spans="1:3" x14ac:dyDescent="0.2">
      <c r="A8693" s="10" t="str">
        <f>IF(8685&gt;$C$9008,"",INDEX($B$9:$B$9008,MATCH(8685,$C$9:$C$9008,0)))</f>
        <v/>
      </c>
      <c r="B8693" s="9" t="str">
        <f>IFERROR(INDEX(Input!$L$20:$T$1019,INT((ROW()-9)/9)+1,MOD(ROW()-9,9)+1),"")</f>
        <v/>
      </c>
      <c r="C8693" s="9">
        <f t="shared" si="135"/>
        <v>0</v>
      </c>
    </row>
    <row r="8694" spans="1:3" x14ac:dyDescent="0.2">
      <c r="A8694" s="10" t="str">
        <f>IF(8686&gt;$C$9008,"",INDEX($B$9:$B$9008,MATCH(8686,$C$9:$C$9008,0)))</f>
        <v/>
      </c>
      <c r="B8694" s="9" t="str">
        <f>IFERROR(INDEX(Input!$L$20:$T$1019,INT((ROW()-9)/9)+1,MOD(ROW()-9,9)+1),"")</f>
        <v/>
      </c>
      <c r="C8694" s="9">
        <f t="shared" si="135"/>
        <v>0</v>
      </c>
    </row>
    <row r="8695" spans="1:3" x14ac:dyDescent="0.2">
      <c r="A8695" s="10" t="str">
        <f>IF(8687&gt;$C$9008,"",INDEX($B$9:$B$9008,MATCH(8687,$C$9:$C$9008,0)))</f>
        <v/>
      </c>
      <c r="B8695" s="9" t="str">
        <f>IFERROR(INDEX(Input!$L$20:$T$1019,INT((ROW()-9)/9)+1,MOD(ROW()-9,9)+1),"")</f>
        <v/>
      </c>
      <c r="C8695" s="9">
        <f t="shared" si="135"/>
        <v>0</v>
      </c>
    </row>
    <row r="8696" spans="1:3" x14ac:dyDescent="0.2">
      <c r="A8696" s="10" t="str">
        <f>IF(8688&gt;$C$9008,"",INDEX($B$9:$B$9008,MATCH(8688,$C$9:$C$9008,0)))</f>
        <v/>
      </c>
      <c r="B8696" s="9" t="str">
        <f>IFERROR(INDEX(Input!$L$20:$T$1019,INT((ROW()-9)/9)+1,MOD(ROW()-9,9)+1),"")</f>
        <v/>
      </c>
      <c r="C8696" s="9">
        <f t="shared" si="135"/>
        <v>0</v>
      </c>
    </row>
    <row r="8697" spans="1:3" x14ac:dyDescent="0.2">
      <c r="A8697" s="10" t="str">
        <f>IF(8689&gt;$C$9008,"",INDEX($B$9:$B$9008,MATCH(8689,$C$9:$C$9008,0)))</f>
        <v/>
      </c>
      <c r="B8697" s="9" t="str">
        <f>IFERROR(INDEX(Input!$L$20:$T$1019,INT((ROW()-9)/9)+1,MOD(ROW()-9,9)+1),"")</f>
        <v/>
      </c>
      <c r="C8697" s="9">
        <f t="shared" si="135"/>
        <v>0</v>
      </c>
    </row>
    <row r="8698" spans="1:3" x14ac:dyDescent="0.2">
      <c r="A8698" s="10" t="str">
        <f>IF(8690&gt;$C$9008,"",INDEX($B$9:$B$9008,MATCH(8690,$C$9:$C$9008,0)))</f>
        <v/>
      </c>
      <c r="B8698" s="9" t="str">
        <f>IFERROR(INDEX(Input!$L$20:$T$1019,INT((ROW()-9)/9)+1,MOD(ROW()-9,9)+1),"")</f>
        <v/>
      </c>
      <c r="C8698" s="9">
        <f t="shared" si="135"/>
        <v>0</v>
      </c>
    </row>
    <row r="8699" spans="1:3" x14ac:dyDescent="0.2">
      <c r="A8699" s="10" t="str">
        <f>IF(8691&gt;$C$9008,"",INDEX($B$9:$B$9008,MATCH(8691,$C$9:$C$9008,0)))</f>
        <v/>
      </c>
      <c r="B8699" s="9" t="str">
        <f>IFERROR(INDEX(Input!$L$20:$T$1019,INT((ROW()-9)/9)+1,MOD(ROW()-9,9)+1),"")</f>
        <v/>
      </c>
      <c r="C8699" s="9">
        <f t="shared" si="135"/>
        <v>0</v>
      </c>
    </row>
    <row r="8700" spans="1:3" x14ac:dyDescent="0.2">
      <c r="A8700" s="10" t="str">
        <f>IF(8692&gt;$C$9008,"",INDEX($B$9:$B$9008,MATCH(8692,$C$9:$C$9008,0)))</f>
        <v/>
      </c>
      <c r="B8700" s="9" t="str">
        <f>IFERROR(INDEX(Input!$L$20:$T$1019,INT((ROW()-9)/9)+1,MOD(ROW()-9,9)+1),"")</f>
        <v/>
      </c>
      <c r="C8700" s="9">
        <f t="shared" si="135"/>
        <v>0</v>
      </c>
    </row>
    <row r="8701" spans="1:3" x14ac:dyDescent="0.2">
      <c r="A8701" s="10" t="str">
        <f>IF(8693&gt;$C$9008,"",INDEX($B$9:$B$9008,MATCH(8693,$C$9:$C$9008,0)))</f>
        <v/>
      </c>
      <c r="B8701" s="9" t="str">
        <f>IFERROR(INDEX(Input!$L$20:$T$1019,INT((ROW()-9)/9)+1,MOD(ROW()-9,9)+1),"")</f>
        <v/>
      </c>
      <c r="C8701" s="9">
        <f t="shared" si="135"/>
        <v>0</v>
      </c>
    </row>
    <row r="8702" spans="1:3" x14ac:dyDescent="0.2">
      <c r="A8702" s="10" t="str">
        <f>IF(8694&gt;$C$9008,"",INDEX($B$9:$B$9008,MATCH(8694,$C$9:$C$9008,0)))</f>
        <v/>
      </c>
      <c r="B8702" s="9" t="str">
        <f>IFERROR(INDEX(Input!$L$20:$T$1019,INT((ROW()-9)/9)+1,MOD(ROW()-9,9)+1),"")</f>
        <v/>
      </c>
      <c r="C8702" s="9">
        <f t="shared" si="135"/>
        <v>0</v>
      </c>
    </row>
    <row r="8703" spans="1:3" x14ac:dyDescent="0.2">
      <c r="A8703" s="10" t="str">
        <f>IF(8695&gt;$C$9008,"",INDEX($B$9:$B$9008,MATCH(8695,$C$9:$C$9008,0)))</f>
        <v/>
      </c>
      <c r="B8703" s="9" t="str">
        <f>IFERROR(INDEX(Input!$L$20:$T$1019,INT((ROW()-9)/9)+1,MOD(ROW()-9,9)+1),"")</f>
        <v/>
      </c>
      <c r="C8703" s="9">
        <f t="shared" si="135"/>
        <v>0</v>
      </c>
    </row>
    <row r="8704" spans="1:3" x14ac:dyDescent="0.2">
      <c r="A8704" s="10" t="str">
        <f>IF(8696&gt;$C$9008,"",INDEX($B$9:$B$9008,MATCH(8696,$C$9:$C$9008,0)))</f>
        <v/>
      </c>
      <c r="B8704" s="9" t="str">
        <f>IFERROR(INDEX(Input!$L$20:$T$1019,INT((ROW()-9)/9)+1,MOD(ROW()-9,9)+1),"")</f>
        <v/>
      </c>
      <c r="C8704" s="9">
        <f t="shared" si="135"/>
        <v>0</v>
      </c>
    </row>
    <row r="8705" spans="1:3" x14ac:dyDescent="0.2">
      <c r="A8705" s="10" t="str">
        <f>IF(8697&gt;$C$9008,"",INDEX($B$9:$B$9008,MATCH(8697,$C$9:$C$9008,0)))</f>
        <v/>
      </c>
      <c r="B8705" s="9" t="str">
        <f>IFERROR(INDEX(Input!$L$20:$T$1019,INT((ROW()-9)/9)+1,MOD(ROW()-9,9)+1),"")</f>
        <v/>
      </c>
      <c r="C8705" s="9">
        <f t="shared" si="135"/>
        <v>0</v>
      </c>
    </row>
    <row r="8706" spans="1:3" x14ac:dyDescent="0.2">
      <c r="A8706" s="10" t="str">
        <f>IF(8698&gt;$C$9008,"",INDEX($B$9:$B$9008,MATCH(8698,$C$9:$C$9008,0)))</f>
        <v/>
      </c>
      <c r="B8706" s="9" t="str">
        <f>IFERROR(INDEX(Input!$L$20:$T$1019,INT((ROW()-9)/9)+1,MOD(ROW()-9,9)+1),"")</f>
        <v/>
      </c>
      <c r="C8706" s="9">
        <f t="shared" si="135"/>
        <v>0</v>
      </c>
    </row>
    <row r="8707" spans="1:3" x14ac:dyDescent="0.2">
      <c r="A8707" s="10" t="str">
        <f>IF(8699&gt;$C$9008,"",INDEX($B$9:$B$9008,MATCH(8699,$C$9:$C$9008,0)))</f>
        <v/>
      </c>
      <c r="B8707" s="9" t="str">
        <f>IFERROR(INDEX(Input!$L$20:$T$1019,INT((ROW()-9)/9)+1,MOD(ROW()-9,9)+1),"")</f>
        <v/>
      </c>
      <c r="C8707" s="9">
        <f t="shared" si="135"/>
        <v>0</v>
      </c>
    </row>
    <row r="8708" spans="1:3" x14ac:dyDescent="0.2">
      <c r="A8708" s="10" t="str">
        <f>IF(8700&gt;$C$9008,"",INDEX($B$9:$B$9008,MATCH(8700,$C$9:$C$9008,0)))</f>
        <v/>
      </c>
      <c r="B8708" s="9" t="str">
        <f>IFERROR(INDEX(Input!$L$20:$T$1019,INT((ROW()-9)/9)+1,MOD(ROW()-9,9)+1),"")</f>
        <v/>
      </c>
      <c r="C8708" s="9">
        <f t="shared" si="135"/>
        <v>0</v>
      </c>
    </row>
    <row r="8709" spans="1:3" x14ac:dyDescent="0.2">
      <c r="A8709" s="10" t="str">
        <f>IF(8701&gt;$C$9008,"",INDEX($B$9:$B$9008,MATCH(8701,$C$9:$C$9008,0)))</f>
        <v/>
      </c>
      <c r="B8709" s="9" t="str">
        <f>IFERROR(INDEX(Input!$L$20:$T$1019,INT((ROW()-9)/9)+1,MOD(ROW()-9,9)+1),"")</f>
        <v/>
      </c>
      <c r="C8709" s="9">
        <f t="shared" si="135"/>
        <v>0</v>
      </c>
    </row>
    <row r="8710" spans="1:3" x14ac:dyDescent="0.2">
      <c r="A8710" s="10" t="str">
        <f>IF(8702&gt;$C$9008,"",INDEX($B$9:$B$9008,MATCH(8702,$C$9:$C$9008,0)))</f>
        <v/>
      </c>
      <c r="B8710" s="9" t="str">
        <f>IFERROR(INDEX(Input!$L$20:$T$1019,INT((ROW()-9)/9)+1,MOD(ROW()-9,9)+1),"")</f>
        <v/>
      </c>
      <c r="C8710" s="9">
        <f t="shared" si="135"/>
        <v>0</v>
      </c>
    </row>
    <row r="8711" spans="1:3" x14ac:dyDescent="0.2">
      <c r="A8711" s="10" t="str">
        <f>IF(8703&gt;$C$9008,"",INDEX($B$9:$B$9008,MATCH(8703,$C$9:$C$9008,0)))</f>
        <v/>
      </c>
      <c r="B8711" s="9" t="str">
        <f>IFERROR(INDEX(Input!$L$20:$T$1019,INT((ROW()-9)/9)+1,MOD(ROW()-9,9)+1),"")</f>
        <v/>
      </c>
      <c r="C8711" s="9">
        <f t="shared" si="135"/>
        <v>0</v>
      </c>
    </row>
    <row r="8712" spans="1:3" x14ac:dyDescent="0.2">
      <c r="A8712" s="10" t="str">
        <f>IF(8704&gt;$C$9008,"",INDEX($B$9:$B$9008,MATCH(8704,$C$9:$C$9008,0)))</f>
        <v/>
      </c>
      <c r="B8712" s="9" t="str">
        <f>IFERROR(INDEX(Input!$L$20:$T$1019,INT((ROW()-9)/9)+1,MOD(ROW()-9,9)+1),"")</f>
        <v/>
      </c>
      <c r="C8712" s="9">
        <f t="shared" si="135"/>
        <v>0</v>
      </c>
    </row>
    <row r="8713" spans="1:3" x14ac:dyDescent="0.2">
      <c r="A8713" s="10" t="str">
        <f>IF(8705&gt;$C$9008,"",INDEX($B$9:$B$9008,MATCH(8705,$C$9:$C$9008,0)))</f>
        <v/>
      </c>
      <c r="B8713" s="9" t="str">
        <f>IFERROR(INDEX(Input!$L$20:$T$1019,INT((ROW()-9)/9)+1,MOD(ROW()-9,9)+1),"")</f>
        <v/>
      </c>
      <c r="C8713" s="9">
        <f t="shared" ref="C8713:C8776" si="136">$C8712+IF($B8713&lt;&gt;"",1,0)</f>
        <v>0</v>
      </c>
    </row>
    <row r="8714" spans="1:3" x14ac:dyDescent="0.2">
      <c r="A8714" s="10" t="str">
        <f>IF(8706&gt;$C$9008,"",INDEX($B$9:$B$9008,MATCH(8706,$C$9:$C$9008,0)))</f>
        <v/>
      </c>
      <c r="B8714" s="9" t="str">
        <f>IFERROR(INDEX(Input!$L$20:$T$1019,INT((ROW()-9)/9)+1,MOD(ROW()-9,9)+1),"")</f>
        <v/>
      </c>
      <c r="C8714" s="9">
        <f t="shared" si="136"/>
        <v>0</v>
      </c>
    </row>
    <row r="8715" spans="1:3" x14ac:dyDescent="0.2">
      <c r="A8715" s="10" t="str">
        <f>IF(8707&gt;$C$9008,"",INDEX($B$9:$B$9008,MATCH(8707,$C$9:$C$9008,0)))</f>
        <v/>
      </c>
      <c r="B8715" s="9" t="str">
        <f>IFERROR(INDEX(Input!$L$20:$T$1019,INT((ROW()-9)/9)+1,MOD(ROW()-9,9)+1),"")</f>
        <v/>
      </c>
      <c r="C8715" s="9">
        <f t="shared" si="136"/>
        <v>0</v>
      </c>
    </row>
    <row r="8716" spans="1:3" x14ac:dyDescent="0.2">
      <c r="A8716" s="10" t="str">
        <f>IF(8708&gt;$C$9008,"",INDEX($B$9:$B$9008,MATCH(8708,$C$9:$C$9008,0)))</f>
        <v/>
      </c>
      <c r="B8716" s="9" t="str">
        <f>IFERROR(INDEX(Input!$L$20:$T$1019,INT((ROW()-9)/9)+1,MOD(ROW()-9,9)+1),"")</f>
        <v/>
      </c>
      <c r="C8716" s="9">
        <f t="shared" si="136"/>
        <v>0</v>
      </c>
    </row>
    <row r="8717" spans="1:3" x14ac:dyDescent="0.2">
      <c r="A8717" s="10" t="str">
        <f>IF(8709&gt;$C$9008,"",INDEX($B$9:$B$9008,MATCH(8709,$C$9:$C$9008,0)))</f>
        <v/>
      </c>
      <c r="B8717" s="9" t="str">
        <f>IFERROR(INDEX(Input!$L$20:$T$1019,INT((ROW()-9)/9)+1,MOD(ROW()-9,9)+1),"")</f>
        <v/>
      </c>
      <c r="C8717" s="9">
        <f t="shared" si="136"/>
        <v>0</v>
      </c>
    </row>
    <row r="8718" spans="1:3" x14ac:dyDescent="0.2">
      <c r="A8718" s="10" t="str">
        <f>IF(8710&gt;$C$9008,"",INDEX($B$9:$B$9008,MATCH(8710,$C$9:$C$9008,0)))</f>
        <v/>
      </c>
      <c r="B8718" s="9" t="str">
        <f>IFERROR(INDEX(Input!$L$20:$T$1019,INT((ROW()-9)/9)+1,MOD(ROW()-9,9)+1),"")</f>
        <v/>
      </c>
      <c r="C8718" s="9">
        <f t="shared" si="136"/>
        <v>0</v>
      </c>
    </row>
    <row r="8719" spans="1:3" x14ac:dyDescent="0.2">
      <c r="A8719" s="10" t="str">
        <f>IF(8711&gt;$C$9008,"",INDEX($B$9:$B$9008,MATCH(8711,$C$9:$C$9008,0)))</f>
        <v/>
      </c>
      <c r="B8719" s="9" t="str">
        <f>IFERROR(INDEX(Input!$L$20:$T$1019,INT((ROW()-9)/9)+1,MOD(ROW()-9,9)+1),"")</f>
        <v/>
      </c>
      <c r="C8719" s="9">
        <f t="shared" si="136"/>
        <v>0</v>
      </c>
    </row>
    <row r="8720" spans="1:3" x14ac:dyDescent="0.2">
      <c r="A8720" s="10" t="str">
        <f>IF(8712&gt;$C$9008,"",INDEX($B$9:$B$9008,MATCH(8712,$C$9:$C$9008,0)))</f>
        <v/>
      </c>
      <c r="B8720" s="9" t="str">
        <f>IFERROR(INDEX(Input!$L$20:$T$1019,INT((ROW()-9)/9)+1,MOD(ROW()-9,9)+1),"")</f>
        <v/>
      </c>
      <c r="C8720" s="9">
        <f t="shared" si="136"/>
        <v>0</v>
      </c>
    </row>
    <row r="8721" spans="1:3" x14ac:dyDescent="0.2">
      <c r="A8721" s="10" t="str">
        <f>IF(8713&gt;$C$9008,"",INDEX($B$9:$B$9008,MATCH(8713,$C$9:$C$9008,0)))</f>
        <v/>
      </c>
      <c r="B8721" s="9" t="str">
        <f>IFERROR(INDEX(Input!$L$20:$T$1019,INT((ROW()-9)/9)+1,MOD(ROW()-9,9)+1),"")</f>
        <v/>
      </c>
      <c r="C8721" s="9">
        <f t="shared" si="136"/>
        <v>0</v>
      </c>
    </row>
    <row r="8722" spans="1:3" x14ac:dyDescent="0.2">
      <c r="A8722" s="10" t="str">
        <f>IF(8714&gt;$C$9008,"",INDEX($B$9:$B$9008,MATCH(8714,$C$9:$C$9008,0)))</f>
        <v/>
      </c>
      <c r="B8722" s="9" t="str">
        <f>IFERROR(INDEX(Input!$L$20:$T$1019,INT((ROW()-9)/9)+1,MOD(ROW()-9,9)+1),"")</f>
        <v/>
      </c>
      <c r="C8722" s="9">
        <f t="shared" si="136"/>
        <v>0</v>
      </c>
    </row>
    <row r="8723" spans="1:3" x14ac:dyDescent="0.2">
      <c r="A8723" s="10" t="str">
        <f>IF(8715&gt;$C$9008,"",INDEX($B$9:$B$9008,MATCH(8715,$C$9:$C$9008,0)))</f>
        <v/>
      </c>
      <c r="B8723" s="9" t="str">
        <f>IFERROR(INDEX(Input!$L$20:$T$1019,INT((ROW()-9)/9)+1,MOD(ROW()-9,9)+1),"")</f>
        <v/>
      </c>
      <c r="C8723" s="9">
        <f t="shared" si="136"/>
        <v>0</v>
      </c>
    </row>
    <row r="8724" spans="1:3" x14ac:dyDescent="0.2">
      <c r="A8724" s="10" t="str">
        <f>IF(8716&gt;$C$9008,"",INDEX($B$9:$B$9008,MATCH(8716,$C$9:$C$9008,0)))</f>
        <v/>
      </c>
      <c r="B8724" s="9" t="str">
        <f>IFERROR(INDEX(Input!$L$20:$T$1019,INT((ROW()-9)/9)+1,MOD(ROW()-9,9)+1),"")</f>
        <v/>
      </c>
      <c r="C8724" s="9">
        <f t="shared" si="136"/>
        <v>0</v>
      </c>
    </row>
    <row r="8725" spans="1:3" x14ac:dyDescent="0.2">
      <c r="A8725" s="10" t="str">
        <f>IF(8717&gt;$C$9008,"",INDEX($B$9:$B$9008,MATCH(8717,$C$9:$C$9008,0)))</f>
        <v/>
      </c>
      <c r="B8725" s="9" t="str">
        <f>IFERROR(INDEX(Input!$L$20:$T$1019,INT((ROW()-9)/9)+1,MOD(ROW()-9,9)+1),"")</f>
        <v/>
      </c>
      <c r="C8725" s="9">
        <f t="shared" si="136"/>
        <v>0</v>
      </c>
    </row>
    <row r="8726" spans="1:3" x14ac:dyDescent="0.2">
      <c r="A8726" s="10" t="str">
        <f>IF(8718&gt;$C$9008,"",INDEX($B$9:$B$9008,MATCH(8718,$C$9:$C$9008,0)))</f>
        <v/>
      </c>
      <c r="B8726" s="9" t="str">
        <f>IFERROR(INDEX(Input!$L$20:$T$1019,INT((ROW()-9)/9)+1,MOD(ROW()-9,9)+1),"")</f>
        <v/>
      </c>
      <c r="C8726" s="9">
        <f t="shared" si="136"/>
        <v>0</v>
      </c>
    </row>
    <row r="8727" spans="1:3" x14ac:dyDescent="0.2">
      <c r="A8727" s="10" t="str">
        <f>IF(8719&gt;$C$9008,"",INDEX($B$9:$B$9008,MATCH(8719,$C$9:$C$9008,0)))</f>
        <v/>
      </c>
      <c r="B8727" s="9" t="str">
        <f>IFERROR(INDEX(Input!$L$20:$T$1019,INT((ROW()-9)/9)+1,MOD(ROW()-9,9)+1),"")</f>
        <v/>
      </c>
      <c r="C8727" s="9">
        <f t="shared" si="136"/>
        <v>0</v>
      </c>
    </row>
    <row r="8728" spans="1:3" x14ac:dyDescent="0.2">
      <c r="A8728" s="10" t="str">
        <f>IF(8720&gt;$C$9008,"",INDEX($B$9:$B$9008,MATCH(8720,$C$9:$C$9008,0)))</f>
        <v/>
      </c>
      <c r="B8728" s="9" t="str">
        <f>IFERROR(INDEX(Input!$L$20:$T$1019,INT((ROW()-9)/9)+1,MOD(ROW()-9,9)+1),"")</f>
        <v/>
      </c>
      <c r="C8728" s="9">
        <f t="shared" si="136"/>
        <v>0</v>
      </c>
    </row>
    <row r="8729" spans="1:3" x14ac:dyDescent="0.2">
      <c r="A8729" s="10" t="str">
        <f>IF(8721&gt;$C$9008,"",INDEX($B$9:$B$9008,MATCH(8721,$C$9:$C$9008,0)))</f>
        <v/>
      </c>
      <c r="B8729" s="9" t="str">
        <f>IFERROR(INDEX(Input!$L$20:$T$1019,INT((ROW()-9)/9)+1,MOD(ROW()-9,9)+1),"")</f>
        <v/>
      </c>
      <c r="C8729" s="9">
        <f t="shared" si="136"/>
        <v>0</v>
      </c>
    </row>
    <row r="8730" spans="1:3" x14ac:dyDescent="0.2">
      <c r="A8730" s="10" t="str">
        <f>IF(8722&gt;$C$9008,"",INDEX($B$9:$B$9008,MATCH(8722,$C$9:$C$9008,0)))</f>
        <v/>
      </c>
      <c r="B8730" s="9" t="str">
        <f>IFERROR(INDEX(Input!$L$20:$T$1019,INT((ROW()-9)/9)+1,MOD(ROW()-9,9)+1),"")</f>
        <v/>
      </c>
      <c r="C8730" s="9">
        <f t="shared" si="136"/>
        <v>0</v>
      </c>
    </row>
    <row r="8731" spans="1:3" x14ac:dyDescent="0.2">
      <c r="A8731" s="10" t="str">
        <f>IF(8723&gt;$C$9008,"",INDEX($B$9:$B$9008,MATCH(8723,$C$9:$C$9008,0)))</f>
        <v/>
      </c>
      <c r="B8731" s="9" t="str">
        <f>IFERROR(INDEX(Input!$L$20:$T$1019,INT((ROW()-9)/9)+1,MOD(ROW()-9,9)+1),"")</f>
        <v/>
      </c>
      <c r="C8731" s="9">
        <f t="shared" si="136"/>
        <v>0</v>
      </c>
    </row>
    <row r="8732" spans="1:3" x14ac:dyDescent="0.2">
      <c r="A8732" s="10" t="str">
        <f>IF(8724&gt;$C$9008,"",INDEX($B$9:$B$9008,MATCH(8724,$C$9:$C$9008,0)))</f>
        <v/>
      </c>
      <c r="B8732" s="9" t="str">
        <f>IFERROR(INDEX(Input!$L$20:$T$1019,INT((ROW()-9)/9)+1,MOD(ROW()-9,9)+1),"")</f>
        <v/>
      </c>
      <c r="C8732" s="9">
        <f t="shared" si="136"/>
        <v>0</v>
      </c>
    </row>
    <row r="8733" spans="1:3" x14ac:dyDescent="0.2">
      <c r="A8733" s="10" t="str">
        <f>IF(8725&gt;$C$9008,"",INDEX($B$9:$B$9008,MATCH(8725,$C$9:$C$9008,0)))</f>
        <v/>
      </c>
      <c r="B8733" s="9" t="str">
        <f>IFERROR(INDEX(Input!$L$20:$T$1019,INT((ROW()-9)/9)+1,MOD(ROW()-9,9)+1),"")</f>
        <v/>
      </c>
      <c r="C8733" s="9">
        <f t="shared" si="136"/>
        <v>0</v>
      </c>
    </row>
    <row r="8734" spans="1:3" x14ac:dyDescent="0.2">
      <c r="A8734" s="10" t="str">
        <f>IF(8726&gt;$C$9008,"",INDEX($B$9:$B$9008,MATCH(8726,$C$9:$C$9008,0)))</f>
        <v/>
      </c>
      <c r="B8734" s="9" t="str">
        <f>IFERROR(INDEX(Input!$L$20:$T$1019,INT((ROW()-9)/9)+1,MOD(ROW()-9,9)+1),"")</f>
        <v/>
      </c>
      <c r="C8734" s="9">
        <f t="shared" si="136"/>
        <v>0</v>
      </c>
    </row>
    <row r="8735" spans="1:3" x14ac:dyDescent="0.2">
      <c r="A8735" s="10" t="str">
        <f>IF(8727&gt;$C$9008,"",INDEX($B$9:$B$9008,MATCH(8727,$C$9:$C$9008,0)))</f>
        <v/>
      </c>
      <c r="B8735" s="9" t="str">
        <f>IFERROR(INDEX(Input!$L$20:$T$1019,INT((ROW()-9)/9)+1,MOD(ROW()-9,9)+1),"")</f>
        <v/>
      </c>
      <c r="C8735" s="9">
        <f t="shared" si="136"/>
        <v>0</v>
      </c>
    </row>
    <row r="8736" spans="1:3" x14ac:dyDescent="0.2">
      <c r="A8736" s="10" t="str">
        <f>IF(8728&gt;$C$9008,"",INDEX($B$9:$B$9008,MATCH(8728,$C$9:$C$9008,0)))</f>
        <v/>
      </c>
      <c r="B8736" s="9" t="str">
        <f>IFERROR(INDEX(Input!$L$20:$T$1019,INT((ROW()-9)/9)+1,MOD(ROW()-9,9)+1),"")</f>
        <v/>
      </c>
      <c r="C8736" s="9">
        <f t="shared" si="136"/>
        <v>0</v>
      </c>
    </row>
    <row r="8737" spans="1:3" x14ac:dyDescent="0.2">
      <c r="A8737" s="10" t="str">
        <f>IF(8729&gt;$C$9008,"",INDEX($B$9:$B$9008,MATCH(8729,$C$9:$C$9008,0)))</f>
        <v/>
      </c>
      <c r="B8737" s="9" t="str">
        <f>IFERROR(INDEX(Input!$L$20:$T$1019,INT((ROW()-9)/9)+1,MOD(ROW()-9,9)+1),"")</f>
        <v/>
      </c>
      <c r="C8737" s="9">
        <f t="shared" si="136"/>
        <v>0</v>
      </c>
    </row>
    <row r="8738" spans="1:3" x14ac:dyDescent="0.2">
      <c r="A8738" s="10" t="str">
        <f>IF(8730&gt;$C$9008,"",INDEX($B$9:$B$9008,MATCH(8730,$C$9:$C$9008,0)))</f>
        <v/>
      </c>
      <c r="B8738" s="9" t="str">
        <f>IFERROR(INDEX(Input!$L$20:$T$1019,INT((ROW()-9)/9)+1,MOD(ROW()-9,9)+1),"")</f>
        <v/>
      </c>
      <c r="C8738" s="9">
        <f t="shared" si="136"/>
        <v>0</v>
      </c>
    </row>
    <row r="8739" spans="1:3" x14ac:dyDescent="0.2">
      <c r="A8739" s="10" t="str">
        <f>IF(8731&gt;$C$9008,"",INDEX($B$9:$B$9008,MATCH(8731,$C$9:$C$9008,0)))</f>
        <v/>
      </c>
      <c r="B8739" s="9" t="str">
        <f>IFERROR(INDEX(Input!$L$20:$T$1019,INT((ROW()-9)/9)+1,MOD(ROW()-9,9)+1),"")</f>
        <v/>
      </c>
      <c r="C8739" s="9">
        <f t="shared" si="136"/>
        <v>0</v>
      </c>
    </row>
    <row r="8740" spans="1:3" x14ac:dyDescent="0.2">
      <c r="A8740" s="10" t="str">
        <f>IF(8732&gt;$C$9008,"",INDEX($B$9:$B$9008,MATCH(8732,$C$9:$C$9008,0)))</f>
        <v/>
      </c>
      <c r="B8740" s="9" t="str">
        <f>IFERROR(INDEX(Input!$L$20:$T$1019,INT((ROW()-9)/9)+1,MOD(ROW()-9,9)+1),"")</f>
        <v/>
      </c>
      <c r="C8740" s="9">
        <f t="shared" si="136"/>
        <v>0</v>
      </c>
    </row>
    <row r="8741" spans="1:3" x14ac:dyDescent="0.2">
      <c r="A8741" s="10" t="str">
        <f>IF(8733&gt;$C$9008,"",INDEX($B$9:$B$9008,MATCH(8733,$C$9:$C$9008,0)))</f>
        <v/>
      </c>
      <c r="B8741" s="9" t="str">
        <f>IFERROR(INDEX(Input!$L$20:$T$1019,INT((ROW()-9)/9)+1,MOD(ROW()-9,9)+1),"")</f>
        <v/>
      </c>
      <c r="C8741" s="9">
        <f t="shared" si="136"/>
        <v>0</v>
      </c>
    </row>
    <row r="8742" spans="1:3" x14ac:dyDescent="0.2">
      <c r="A8742" s="10" t="str">
        <f>IF(8734&gt;$C$9008,"",INDEX($B$9:$B$9008,MATCH(8734,$C$9:$C$9008,0)))</f>
        <v/>
      </c>
      <c r="B8742" s="9" t="str">
        <f>IFERROR(INDEX(Input!$L$20:$T$1019,INT((ROW()-9)/9)+1,MOD(ROW()-9,9)+1),"")</f>
        <v/>
      </c>
      <c r="C8742" s="9">
        <f t="shared" si="136"/>
        <v>0</v>
      </c>
    </row>
    <row r="8743" spans="1:3" x14ac:dyDescent="0.2">
      <c r="A8743" s="10" t="str">
        <f>IF(8735&gt;$C$9008,"",INDEX($B$9:$B$9008,MATCH(8735,$C$9:$C$9008,0)))</f>
        <v/>
      </c>
      <c r="B8743" s="9" t="str">
        <f>IFERROR(INDEX(Input!$L$20:$T$1019,INT((ROW()-9)/9)+1,MOD(ROW()-9,9)+1),"")</f>
        <v/>
      </c>
      <c r="C8743" s="9">
        <f t="shared" si="136"/>
        <v>0</v>
      </c>
    </row>
    <row r="8744" spans="1:3" x14ac:dyDescent="0.2">
      <c r="A8744" s="10" t="str">
        <f>IF(8736&gt;$C$9008,"",INDEX($B$9:$B$9008,MATCH(8736,$C$9:$C$9008,0)))</f>
        <v/>
      </c>
      <c r="B8744" s="9" t="str">
        <f>IFERROR(INDEX(Input!$L$20:$T$1019,INT((ROW()-9)/9)+1,MOD(ROW()-9,9)+1),"")</f>
        <v/>
      </c>
      <c r="C8744" s="9">
        <f t="shared" si="136"/>
        <v>0</v>
      </c>
    </row>
    <row r="8745" spans="1:3" x14ac:dyDescent="0.2">
      <c r="A8745" s="10" t="str">
        <f>IF(8737&gt;$C$9008,"",INDEX($B$9:$B$9008,MATCH(8737,$C$9:$C$9008,0)))</f>
        <v/>
      </c>
      <c r="B8745" s="9" t="str">
        <f>IFERROR(INDEX(Input!$L$20:$T$1019,INT((ROW()-9)/9)+1,MOD(ROW()-9,9)+1),"")</f>
        <v/>
      </c>
      <c r="C8745" s="9">
        <f t="shared" si="136"/>
        <v>0</v>
      </c>
    </row>
    <row r="8746" spans="1:3" x14ac:dyDescent="0.2">
      <c r="A8746" s="10" t="str">
        <f>IF(8738&gt;$C$9008,"",INDEX($B$9:$B$9008,MATCH(8738,$C$9:$C$9008,0)))</f>
        <v/>
      </c>
      <c r="B8746" s="9" t="str">
        <f>IFERROR(INDEX(Input!$L$20:$T$1019,INT((ROW()-9)/9)+1,MOD(ROW()-9,9)+1),"")</f>
        <v/>
      </c>
      <c r="C8746" s="9">
        <f t="shared" si="136"/>
        <v>0</v>
      </c>
    </row>
    <row r="8747" spans="1:3" x14ac:dyDescent="0.2">
      <c r="A8747" s="10" t="str">
        <f>IF(8739&gt;$C$9008,"",INDEX($B$9:$B$9008,MATCH(8739,$C$9:$C$9008,0)))</f>
        <v/>
      </c>
      <c r="B8747" s="9" t="str">
        <f>IFERROR(INDEX(Input!$L$20:$T$1019,INT((ROW()-9)/9)+1,MOD(ROW()-9,9)+1),"")</f>
        <v/>
      </c>
      <c r="C8747" s="9">
        <f t="shared" si="136"/>
        <v>0</v>
      </c>
    </row>
    <row r="8748" spans="1:3" x14ac:dyDescent="0.2">
      <c r="A8748" s="10" t="str">
        <f>IF(8740&gt;$C$9008,"",INDEX($B$9:$B$9008,MATCH(8740,$C$9:$C$9008,0)))</f>
        <v/>
      </c>
      <c r="B8748" s="9" t="str">
        <f>IFERROR(INDEX(Input!$L$20:$T$1019,INT((ROW()-9)/9)+1,MOD(ROW()-9,9)+1),"")</f>
        <v/>
      </c>
      <c r="C8748" s="9">
        <f t="shared" si="136"/>
        <v>0</v>
      </c>
    </row>
    <row r="8749" spans="1:3" x14ac:dyDescent="0.2">
      <c r="A8749" s="10" t="str">
        <f>IF(8741&gt;$C$9008,"",INDEX($B$9:$B$9008,MATCH(8741,$C$9:$C$9008,0)))</f>
        <v/>
      </c>
      <c r="B8749" s="9" t="str">
        <f>IFERROR(INDEX(Input!$L$20:$T$1019,INT((ROW()-9)/9)+1,MOD(ROW()-9,9)+1),"")</f>
        <v/>
      </c>
      <c r="C8749" s="9">
        <f t="shared" si="136"/>
        <v>0</v>
      </c>
    </row>
    <row r="8750" spans="1:3" x14ac:dyDescent="0.2">
      <c r="A8750" s="10" t="str">
        <f>IF(8742&gt;$C$9008,"",INDEX($B$9:$B$9008,MATCH(8742,$C$9:$C$9008,0)))</f>
        <v/>
      </c>
      <c r="B8750" s="9" t="str">
        <f>IFERROR(INDEX(Input!$L$20:$T$1019,INT((ROW()-9)/9)+1,MOD(ROW()-9,9)+1),"")</f>
        <v/>
      </c>
      <c r="C8750" s="9">
        <f t="shared" si="136"/>
        <v>0</v>
      </c>
    </row>
    <row r="8751" spans="1:3" x14ac:dyDescent="0.2">
      <c r="A8751" s="10" t="str">
        <f>IF(8743&gt;$C$9008,"",INDEX($B$9:$B$9008,MATCH(8743,$C$9:$C$9008,0)))</f>
        <v/>
      </c>
      <c r="B8751" s="9" t="str">
        <f>IFERROR(INDEX(Input!$L$20:$T$1019,INT((ROW()-9)/9)+1,MOD(ROW()-9,9)+1),"")</f>
        <v/>
      </c>
      <c r="C8751" s="9">
        <f t="shared" si="136"/>
        <v>0</v>
      </c>
    </row>
    <row r="8752" spans="1:3" x14ac:dyDescent="0.2">
      <c r="A8752" s="10" t="str">
        <f>IF(8744&gt;$C$9008,"",INDEX($B$9:$B$9008,MATCH(8744,$C$9:$C$9008,0)))</f>
        <v/>
      </c>
      <c r="B8752" s="9" t="str">
        <f>IFERROR(INDEX(Input!$L$20:$T$1019,INT((ROW()-9)/9)+1,MOD(ROW()-9,9)+1),"")</f>
        <v/>
      </c>
      <c r="C8752" s="9">
        <f t="shared" si="136"/>
        <v>0</v>
      </c>
    </row>
    <row r="8753" spans="1:3" x14ac:dyDescent="0.2">
      <c r="A8753" s="10" t="str">
        <f>IF(8745&gt;$C$9008,"",INDEX($B$9:$B$9008,MATCH(8745,$C$9:$C$9008,0)))</f>
        <v/>
      </c>
      <c r="B8753" s="9" t="str">
        <f>IFERROR(INDEX(Input!$L$20:$T$1019,INT((ROW()-9)/9)+1,MOD(ROW()-9,9)+1),"")</f>
        <v/>
      </c>
      <c r="C8753" s="9">
        <f t="shared" si="136"/>
        <v>0</v>
      </c>
    </row>
    <row r="8754" spans="1:3" x14ac:dyDescent="0.2">
      <c r="A8754" s="10" t="str">
        <f>IF(8746&gt;$C$9008,"",INDEX($B$9:$B$9008,MATCH(8746,$C$9:$C$9008,0)))</f>
        <v/>
      </c>
      <c r="B8754" s="9" t="str">
        <f>IFERROR(INDEX(Input!$L$20:$T$1019,INT((ROW()-9)/9)+1,MOD(ROW()-9,9)+1),"")</f>
        <v/>
      </c>
      <c r="C8754" s="9">
        <f t="shared" si="136"/>
        <v>0</v>
      </c>
    </row>
    <row r="8755" spans="1:3" x14ac:dyDescent="0.2">
      <c r="A8755" s="10" t="str">
        <f>IF(8747&gt;$C$9008,"",INDEX($B$9:$B$9008,MATCH(8747,$C$9:$C$9008,0)))</f>
        <v/>
      </c>
      <c r="B8755" s="9" t="str">
        <f>IFERROR(INDEX(Input!$L$20:$T$1019,INT((ROW()-9)/9)+1,MOD(ROW()-9,9)+1),"")</f>
        <v/>
      </c>
      <c r="C8755" s="9">
        <f t="shared" si="136"/>
        <v>0</v>
      </c>
    </row>
    <row r="8756" spans="1:3" x14ac:dyDescent="0.2">
      <c r="A8756" s="10" t="str">
        <f>IF(8748&gt;$C$9008,"",INDEX($B$9:$B$9008,MATCH(8748,$C$9:$C$9008,0)))</f>
        <v/>
      </c>
      <c r="B8756" s="9" t="str">
        <f>IFERROR(INDEX(Input!$L$20:$T$1019,INT((ROW()-9)/9)+1,MOD(ROW()-9,9)+1),"")</f>
        <v/>
      </c>
      <c r="C8756" s="9">
        <f t="shared" si="136"/>
        <v>0</v>
      </c>
    </row>
    <row r="8757" spans="1:3" x14ac:dyDescent="0.2">
      <c r="A8757" s="10" t="str">
        <f>IF(8749&gt;$C$9008,"",INDEX($B$9:$B$9008,MATCH(8749,$C$9:$C$9008,0)))</f>
        <v/>
      </c>
      <c r="B8757" s="9" t="str">
        <f>IFERROR(INDEX(Input!$L$20:$T$1019,INT((ROW()-9)/9)+1,MOD(ROW()-9,9)+1),"")</f>
        <v/>
      </c>
      <c r="C8757" s="9">
        <f t="shared" si="136"/>
        <v>0</v>
      </c>
    </row>
    <row r="8758" spans="1:3" x14ac:dyDescent="0.2">
      <c r="A8758" s="10" t="str">
        <f>IF(8750&gt;$C$9008,"",INDEX($B$9:$B$9008,MATCH(8750,$C$9:$C$9008,0)))</f>
        <v/>
      </c>
      <c r="B8758" s="9" t="str">
        <f>IFERROR(INDEX(Input!$L$20:$T$1019,INT((ROW()-9)/9)+1,MOD(ROW()-9,9)+1),"")</f>
        <v/>
      </c>
      <c r="C8758" s="9">
        <f t="shared" si="136"/>
        <v>0</v>
      </c>
    </row>
    <row r="8759" spans="1:3" x14ac:dyDescent="0.2">
      <c r="A8759" s="10" t="str">
        <f>IF(8751&gt;$C$9008,"",INDEX($B$9:$B$9008,MATCH(8751,$C$9:$C$9008,0)))</f>
        <v/>
      </c>
      <c r="B8759" s="9" t="str">
        <f>IFERROR(INDEX(Input!$L$20:$T$1019,INT((ROW()-9)/9)+1,MOD(ROW()-9,9)+1),"")</f>
        <v/>
      </c>
      <c r="C8759" s="9">
        <f t="shared" si="136"/>
        <v>0</v>
      </c>
    </row>
    <row r="8760" spans="1:3" x14ac:dyDescent="0.2">
      <c r="A8760" s="10" t="str">
        <f>IF(8752&gt;$C$9008,"",INDEX($B$9:$B$9008,MATCH(8752,$C$9:$C$9008,0)))</f>
        <v/>
      </c>
      <c r="B8760" s="9" t="str">
        <f>IFERROR(INDEX(Input!$L$20:$T$1019,INT((ROW()-9)/9)+1,MOD(ROW()-9,9)+1),"")</f>
        <v/>
      </c>
      <c r="C8760" s="9">
        <f t="shared" si="136"/>
        <v>0</v>
      </c>
    </row>
    <row r="8761" spans="1:3" x14ac:dyDescent="0.2">
      <c r="A8761" s="10" t="str">
        <f>IF(8753&gt;$C$9008,"",INDEX($B$9:$B$9008,MATCH(8753,$C$9:$C$9008,0)))</f>
        <v/>
      </c>
      <c r="B8761" s="9" t="str">
        <f>IFERROR(INDEX(Input!$L$20:$T$1019,INT((ROW()-9)/9)+1,MOD(ROW()-9,9)+1),"")</f>
        <v/>
      </c>
      <c r="C8761" s="9">
        <f t="shared" si="136"/>
        <v>0</v>
      </c>
    </row>
    <row r="8762" spans="1:3" x14ac:dyDescent="0.2">
      <c r="A8762" s="10" t="str">
        <f>IF(8754&gt;$C$9008,"",INDEX($B$9:$B$9008,MATCH(8754,$C$9:$C$9008,0)))</f>
        <v/>
      </c>
      <c r="B8762" s="9" t="str">
        <f>IFERROR(INDEX(Input!$L$20:$T$1019,INT((ROW()-9)/9)+1,MOD(ROW()-9,9)+1),"")</f>
        <v/>
      </c>
      <c r="C8762" s="9">
        <f t="shared" si="136"/>
        <v>0</v>
      </c>
    </row>
    <row r="8763" spans="1:3" x14ac:dyDescent="0.2">
      <c r="A8763" s="10" t="str">
        <f>IF(8755&gt;$C$9008,"",INDEX($B$9:$B$9008,MATCH(8755,$C$9:$C$9008,0)))</f>
        <v/>
      </c>
      <c r="B8763" s="9" t="str">
        <f>IFERROR(INDEX(Input!$L$20:$T$1019,INT((ROW()-9)/9)+1,MOD(ROW()-9,9)+1),"")</f>
        <v/>
      </c>
      <c r="C8763" s="9">
        <f t="shared" si="136"/>
        <v>0</v>
      </c>
    </row>
    <row r="8764" spans="1:3" x14ac:dyDescent="0.2">
      <c r="A8764" s="10" t="str">
        <f>IF(8756&gt;$C$9008,"",INDEX($B$9:$B$9008,MATCH(8756,$C$9:$C$9008,0)))</f>
        <v/>
      </c>
      <c r="B8764" s="9" t="str">
        <f>IFERROR(INDEX(Input!$L$20:$T$1019,INT((ROW()-9)/9)+1,MOD(ROW()-9,9)+1),"")</f>
        <v/>
      </c>
      <c r="C8764" s="9">
        <f t="shared" si="136"/>
        <v>0</v>
      </c>
    </row>
    <row r="8765" spans="1:3" x14ac:dyDescent="0.2">
      <c r="A8765" s="10" t="str">
        <f>IF(8757&gt;$C$9008,"",INDEX($B$9:$B$9008,MATCH(8757,$C$9:$C$9008,0)))</f>
        <v/>
      </c>
      <c r="B8765" s="9" t="str">
        <f>IFERROR(INDEX(Input!$L$20:$T$1019,INT((ROW()-9)/9)+1,MOD(ROW()-9,9)+1),"")</f>
        <v/>
      </c>
      <c r="C8765" s="9">
        <f t="shared" si="136"/>
        <v>0</v>
      </c>
    </row>
    <row r="8766" spans="1:3" x14ac:dyDescent="0.2">
      <c r="A8766" s="10" t="str">
        <f>IF(8758&gt;$C$9008,"",INDEX($B$9:$B$9008,MATCH(8758,$C$9:$C$9008,0)))</f>
        <v/>
      </c>
      <c r="B8766" s="9" t="str">
        <f>IFERROR(INDEX(Input!$L$20:$T$1019,INT((ROW()-9)/9)+1,MOD(ROW()-9,9)+1),"")</f>
        <v/>
      </c>
      <c r="C8766" s="9">
        <f t="shared" si="136"/>
        <v>0</v>
      </c>
    </row>
    <row r="8767" spans="1:3" x14ac:dyDescent="0.2">
      <c r="A8767" s="10" t="str">
        <f>IF(8759&gt;$C$9008,"",INDEX($B$9:$B$9008,MATCH(8759,$C$9:$C$9008,0)))</f>
        <v/>
      </c>
      <c r="B8767" s="9" t="str">
        <f>IFERROR(INDEX(Input!$L$20:$T$1019,INT((ROW()-9)/9)+1,MOD(ROW()-9,9)+1),"")</f>
        <v/>
      </c>
      <c r="C8767" s="9">
        <f t="shared" si="136"/>
        <v>0</v>
      </c>
    </row>
    <row r="8768" spans="1:3" x14ac:dyDescent="0.2">
      <c r="A8768" s="10" t="str">
        <f>IF(8760&gt;$C$9008,"",INDEX($B$9:$B$9008,MATCH(8760,$C$9:$C$9008,0)))</f>
        <v/>
      </c>
      <c r="B8768" s="9" t="str">
        <f>IFERROR(INDEX(Input!$L$20:$T$1019,INT((ROW()-9)/9)+1,MOD(ROW()-9,9)+1),"")</f>
        <v/>
      </c>
      <c r="C8768" s="9">
        <f t="shared" si="136"/>
        <v>0</v>
      </c>
    </row>
    <row r="8769" spans="1:3" x14ac:dyDescent="0.2">
      <c r="A8769" s="10" t="str">
        <f>IF(8761&gt;$C$9008,"",INDEX($B$9:$B$9008,MATCH(8761,$C$9:$C$9008,0)))</f>
        <v/>
      </c>
      <c r="B8769" s="9" t="str">
        <f>IFERROR(INDEX(Input!$L$20:$T$1019,INT((ROW()-9)/9)+1,MOD(ROW()-9,9)+1),"")</f>
        <v/>
      </c>
      <c r="C8769" s="9">
        <f t="shared" si="136"/>
        <v>0</v>
      </c>
    </row>
    <row r="8770" spans="1:3" x14ac:dyDescent="0.2">
      <c r="A8770" s="10" t="str">
        <f>IF(8762&gt;$C$9008,"",INDEX($B$9:$B$9008,MATCH(8762,$C$9:$C$9008,0)))</f>
        <v/>
      </c>
      <c r="B8770" s="9" t="str">
        <f>IFERROR(INDEX(Input!$L$20:$T$1019,INT((ROW()-9)/9)+1,MOD(ROW()-9,9)+1),"")</f>
        <v/>
      </c>
      <c r="C8770" s="9">
        <f t="shared" si="136"/>
        <v>0</v>
      </c>
    </row>
    <row r="8771" spans="1:3" x14ac:dyDescent="0.2">
      <c r="A8771" s="10" t="str">
        <f>IF(8763&gt;$C$9008,"",INDEX($B$9:$B$9008,MATCH(8763,$C$9:$C$9008,0)))</f>
        <v/>
      </c>
      <c r="B8771" s="9" t="str">
        <f>IFERROR(INDEX(Input!$L$20:$T$1019,INT((ROW()-9)/9)+1,MOD(ROW()-9,9)+1),"")</f>
        <v/>
      </c>
      <c r="C8771" s="9">
        <f t="shared" si="136"/>
        <v>0</v>
      </c>
    </row>
    <row r="8772" spans="1:3" x14ac:dyDescent="0.2">
      <c r="A8772" s="10" t="str">
        <f>IF(8764&gt;$C$9008,"",INDEX($B$9:$B$9008,MATCH(8764,$C$9:$C$9008,0)))</f>
        <v/>
      </c>
      <c r="B8772" s="9" t="str">
        <f>IFERROR(INDEX(Input!$L$20:$T$1019,INT((ROW()-9)/9)+1,MOD(ROW()-9,9)+1),"")</f>
        <v/>
      </c>
      <c r="C8772" s="9">
        <f t="shared" si="136"/>
        <v>0</v>
      </c>
    </row>
    <row r="8773" spans="1:3" x14ac:dyDescent="0.2">
      <c r="A8773" s="10" t="str">
        <f>IF(8765&gt;$C$9008,"",INDEX($B$9:$B$9008,MATCH(8765,$C$9:$C$9008,0)))</f>
        <v/>
      </c>
      <c r="B8773" s="9" t="str">
        <f>IFERROR(INDEX(Input!$L$20:$T$1019,INT((ROW()-9)/9)+1,MOD(ROW()-9,9)+1),"")</f>
        <v/>
      </c>
      <c r="C8773" s="9">
        <f t="shared" si="136"/>
        <v>0</v>
      </c>
    </row>
    <row r="8774" spans="1:3" x14ac:dyDescent="0.2">
      <c r="A8774" s="10" t="str">
        <f>IF(8766&gt;$C$9008,"",INDEX($B$9:$B$9008,MATCH(8766,$C$9:$C$9008,0)))</f>
        <v/>
      </c>
      <c r="B8774" s="9" t="str">
        <f>IFERROR(INDEX(Input!$L$20:$T$1019,INT((ROW()-9)/9)+1,MOD(ROW()-9,9)+1),"")</f>
        <v/>
      </c>
      <c r="C8774" s="9">
        <f t="shared" si="136"/>
        <v>0</v>
      </c>
    </row>
    <row r="8775" spans="1:3" x14ac:dyDescent="0.2">
      <c r="A8775" s="10" t="str">
        <f>IF(8767&gt;$C$9008,"",INDEX($B$9:$B$9008,MATCH(8767,$C$9:$C$9008,0)))</f>
        <v/>
      </c>
      <c r="B8775" s="9" t="str">
        <f>IFERROR(INDEX(Input!$L$20:$T$1019,INT((ROW()-9)/9)+1,MOD(ROW()-9,9)+1),"")</f>
        <v/>
      </c>
      <c r="C8775" s="9">
        <f t="shared" si="136"/>
        <v>0</v>
      </c>
    </row>
    <row r="8776" spans="1:3" x14ac:dyDescent="0.2">
      <c r="A8776" s="10" t="str">
        <f>IF(8768&gt;$C$9008,"",INDEX($B$9:$B$9008,MATCH(8768,$C$9:$C$9008,0)))</f>
        <v/>
      </c>
      <c r="B8776" s="9" t="str">
        <f>IFERROR(INDEX(Input!$L$20:$T$1019,INT((ROW()-9)/9)+1,MOD(ROW()-9,9)+1),"")</f>
        <v/>
      </c>
      <c r="C8776" s="9">
        <f t="shared" si="136"/>
        <v>0</v>
      </c>
    </row>
    <row r="8777" spans="1:3" x14ac:dyDescent="0.2">
      <c r="A8777" s="10" t="str">
        <f>IF(8769&gt;$C$9008,"",INDEX($B$9:$B$9008,MATCH(8769,$C$9:$C$9008,0)))</f>
        <v/>
      </c>
      <c r="B8777" s="9" t="str">
        <f>IFERROR(INDEX(Input!$L$20:$T$1019,INT((ROW()-9)/9)+1,MOD(ROW()-9,9)+1),"")</f>
        <v/>
      </c>
      <c r="C8777" s="9">
        <f t="shared" ref="C8777:C8840" si="137">$C8776+IF($B8777&lt;&gt;"",1,0)</f>
        <v>0</v>
      </c>
    </row>
    <row r="8778" spans="1:3" x14ac:dyDescent="0.2">
      <c r="A8778" s="10" t="str">
        <f>IF(8770&gt;$C$9008,"",INDEX($B$9:$B$9008,MATCH(8770,$C$9:$C$9008,0)))</f>
        <v/>
      </c>
      <c r="B8778" s="9" t="str">
        <f>IFERROR(INDEX(Input!$L$20:$T$1019,INT((ROW()-9)/9)+1,MOD(ROW()-9,9)+1),"")</f>
        <v/>
      </c>
      <c r="C8778" s="9">
        <f t="shared" si="137"/>
        <v>0</v>
      </c>
    </row>
    <row r="8779" spans="1:3" x14ac:dyDescent="0.2">
      <c r="A8779" s="10" t="str">
        <f>IF(8771&gt;$C$9008,"",INDEX($B$9:$B$9008,MATCH(8771,$C$9:$C$9008,0)))</f>
        <v/>
      </c>
      <c r="B8779" s="9" t="str">
        <f>IFERROR(INDEX(Input!$L$20:$T$1019,INT((ROW()-9)/9)+1,MOD(ROW()-9,9)+1),"")</f>
        <v/>
      </c>
      <c r="C8779" s="9">
        <f t="shared" si="137"/>
        <v>0</v>
      </c>
    </row>
    <row r="8780" spans="1:3" x14ac:dyDescent="0.2">
      <c r="A8780" s="10" t="str">
        <f>IF(8772&gt;$C$9008,"",INDEX($B$9:$B$9008,MATCH(8772,$C$9:$C$9008,0)))</f>
        <v/>
      </c>
      <c r="B8780" s="9" t="str">
        <f>IFERROR(INDEX(Input!$L$20:$T$1019,INT((ROW()-9)/9)+1,MOD(ROW()-9,9)+1),"")</f>
        <v/>
      </c>
      <c r="C8780" s="9">
        <f t="shared" si="137"/>
        <v>0</v>
      </c>
    </row>
    <row r="8781" spans="1:3" x14ac:dyDescent="0.2">
      <c r="A8781" s="10" t="str">
        <f>IF(8773&gt;$C$9008,"",INDEX($B$9:$B$9008,MATCH(8773,$C$9:$C$9008,0)))</f>
        <v/>
      </c>
      <c r="B8781" s="9" t="str">
        <f>IFERROR(INDEX(Input!$L$20:$T$1019,INT((ROW()-9)/9)+1,MOD(ROW()-9,9)+1),"")</f>
        <v/>
      </c>
      <c r="C8781" s="9">
        <f t="shared" si="137"/>
        <v>0</v>
      </c>
    </row>
    <row r="8782" spans="1:3" x14ac:dyDescent="0.2">
      <c r="A8782" s="10" t="str">
        <f>IF(8774&gt;$C$9008,"",INDEX($B$9:$B$9008,MATCH(8774,$C$9:$C$9008,0)))</f>
        <v/>
      </c>
      <c r="B8782" s="9" t="str">
        <f>IFERROR(INDEX(Input!$L$20:$T$1019,INT((ROW()-9)/9)+1,MOD(ROW()-9,9)+1),"")</f>
        <v/>
      </c>
      <c r="C8782" s="9">
        <f t="shared" si="137"/>
        <v>0</v>
      </c>
    </row>
    <row r="8783" spans="1:3" x14ac:dyDescent="0.2">
      <c r="A8783" s="10" t="str">
        <f>IF(8775&gt;$C$9008,"",INDEX($B$9:$B$9008,MATCH(8775,$C$9:$C$9008,0)))</f>
        <v/>
      </c>
      <c r="B8783" s="9" t="str">
        <f>IFERROR(INDEX(Input!$L$20:$T$1019,INT((ROW()-9)/9)+1,MOD(ROW()-9,9)+1),"")</f>
        <v/>
      </c>
      <c r="C8783" s="9">
        <f t="shared" si="137"/>
        <v>0</v>
      </c>
    </row>
    <row r="8784" spans="1:3" x14ac:dyDescent="0.2">
      <c r="A8784" s="10" t="str">
        <f>IF(8776&gt;$C$9008,"",INDEX($B$9:$B$9008,MATCH(8776,$C$9:$C$9008,0)))</f>
        <v/>
      </c>
      <c r="B8784" s="9" t="str">
        <f>IFERROR(INDEX(Input!$L$20:$T$1019,INT((ROW()-9)/9)+1,MOD(ROW()-9,9)+1),"")</f>
        <v/>
      </c>
      <c r="C8784" s="9">
        <f t="shared" si="137"/>
        <v>0</v>
      </c>
    </row>
    <row r="8785" spans="1:3" x14ac:dyDescent="0.2">
      <c r="A8785" s="10" t="str">
        <f>IF(8777&gt;$C$9008,"",INDEX($B$9:$B$9008,MATCH(8777,$C$9:$C$9008,0)))</f>
        <v/>
      </c>
      <c r="B8785" s="9" t="str">
        <f>IFERROR(INDEX(Input!$L$20:$T$1019,INT((ROW()-9)/9)+1,MOD(ROW()-9,9)+1),"")</f>
        <v/>
      </c>
      <c r="C8785" s="9">
        <f t="shared" si="137"/>
        <v>0</v>
      </c>
    </row>
    <row r="8786" spans="1:3" x14ac:dyDescent="0.2">
      <c r="A8786" s="10" t="str">
        <f>IF(8778&gt;$C$9008,"",INDEX($B$9:$B$9008,MATCH(8778,$C$9:$C$9008,0)))</f>
        <v/>
      </c>
      <c r="B8786" s="9" t="str">
        <f>IFERROR(INDEX(Input!$L$20:$T$1019,INT((ROW()-9)/9)+1,MOD(ROW()-9,9)+1),"")</f>
        <v/>
      </c>
      <c r="C8786" s="9">
        <f t="shared" si="137"/>
        <v>0</v>
      </c>
    </row>
    <row r="8787" spans="1:3" x14ac:dyDescent="0.2">
      <c r="A8787" s="10" t="str">
        <f>IF(8779&gt;$C$9008,"",INDEX($B$9:$B$9008,MATCH(8779,$C$9:$C$9008,0)))</f>
        <v/>
      </c>
      <c r="B8787" s="9" t="str">
        <f>IFERROR(INDEX(Input!$L$20:$T$1019,INT((ROW()-9)/9)+1,MOD(ROW()-9,9)+1),"")</f>
        <v/>
      </c>
      <c r="C8787" s="9">
        <f t="shared" si="137"/>
        <v>0</v>
      </c>
    </row>
    <row r="8788" spans="1:3" x14ac:dyDescent="0.2">
      <c r="A8788" s="10" t="str">
        <f>IF(8780&gt;$C$9008,"",INDEX($B$9:$B$9008,MATCH(8780,$C$9:$C$9008,0)))</f>
        <v/>
      </c>
      <c r="B8788" s="9" t="str">
        <f>IFERROR(INDEX(Input!$L$20:$T$1019,INT((ROW()-9)/9)+1,MOD(ROW()-9,9)+1),"")</f>
        <v/>
      </c>
      <c r="C8788" s="9">
        <f t="shared" si="137"/>
        <v>0</v>
      </c>
    </row>
    <row r="8789" spans="1:3" x14ac:dyDescent="0.2">
      <c r="A8789" s="10" t="str">
        <f>IF(8781&gt;$C$9008,"",INDEX($B$9:$B$9008,MATCH(8781,$C$9:$C$9008,0)))</f>
        <v/>
      </c>
      <c r="B8789" s="9" t="str">
        <f>IFERROR(INDEX(Input!$L$20:$T$1019,INT((ROW()-9)/9)+1,MOD(ROW()-9,9)+1),"")</f>
        <v/>
      </c>
      <c r="C8789" s="9">
        <f t="shared" si="137"/>
        <v>0</v>
      </c>
    </row>
    <row r="8790" spans="1:3" x14ac:dyDescent="0.2">
      <c r="A8790" s="10" t="str">
        <f>IF(8782&gt;$C$9008,"",INDEX($B$9:$B$9008,MATCH(8782,$C$9:$C$9008,0)))</f>
        <v/>
      </c>
      <c r="B8790" s="9" t="str">
        <f>IFERROR(INDEX(Input!$L$20:$T$1019,INT((ROW()-9)/9)+1,MOD(ROW()-9,9)+1),"")</f>
        <v/>
      </c>
      <c r="C8790" s="9">
        <f t="shared" si="137"/>
        <v>0</v>
      </c>
    </row>
    <row r="8791" spans="1:3" x14ac:dyDescent="0.2">
      <c r="A8791" s="10" t="str">
        <f>IF(8783&gt;$C$9008,"",INDEX($B$9:$B$9008,MATCH(8783,$C$9:$C$9008,0)))</f>
        <v/>
      </c>
      <c r="B8791" s="9" t="str">
        <f>IFERROR(INDEX(Input!$L$20:$T$1019,INT((ROW()-9)/9)+1,MOD(ROW()-9,9)+1),"")</f>
        <v/>
      </c>
      <c r="C8791" s="9">
        <f t="shared" si="137"/>
        <v>0</v>
      </c>
    </row>
    <row r="8792" spans="1:3" x14ac:dyDescent="0.2">
      <c r="A8792" s="10" t="str">
        <f>IF(8784&gt;$C$9008,"",INDEX($B$9:$B$9008,MATCH(8784,$C$9:$C$9008,0)))</f>
        <v/>
      </c>
      <c r="B8792" s="9" t="str">
        <f>IFERROR(INDEX(Input!$L$20:$T$1019,INT((ROW()-9)/9)+1,MOD(ROW()-9,9)+1),"")</f>
        <v/>
      </c>
      <c r="C8792" s="9">
        <f t="shared" si="137"/>
        <v>0</v>
      </c>
    </row>
    <row r="8793" spans="1:3" x14ac:dyDescent="0.2">
      <c r="A8793" s="10" t="str">
        <f>IF(8785&gt;$C$9008,"",INDEX($B$9:$B$9008,MATCH(8785,$C$9:$C$9008,0)))</f>
        <v/>
      </c>
      <c r="B8793" s="9" t="str">
        <f>IFERROR(INDEX(Input!$L$20:$T$1019,INT((ROW()-9)/9)+1,MOD(ROW()-9,9)+1),"")</f>
        <v/>
      </c>
      <c r="C8793" s="9">
        <f t="shared" si="137"/>
        <v>0</v>
      </c>
    </row>
    <row r="8794" spans="1:3" x14ac:dyDescent="0.2">
      <c r="A8794" s="10" t="str">
        <f>IF(8786&gt;$C$9008,"",INDEX($B$9:$B$9008,MATCH(8786,$C$9:$C$9008,0)))</f>
        <v/>
      </c>
      <c r="B8794" s="9" t="str">
        <f>IFERROR(INDEX(Input!$L$20:$T$1019,INT((ROW()-9)/9)+1,MOD(ROW()-9,9)+1),"")</f>
        <v/>
      </c>
      <c r="C8794" s="9">
        <f t="shared" si="137"/>
        <v>0</v>
      </c>
    </row>
    <row r="8795" spans="1:3" x14ac:dyDescent="0.2">
      <c r="A8795" s="10" t="str">
        <f>IF(8787&gt;$C$9008,"",INDEX($B$9:$B$9008,MATCH(8787,$C$9:$C$9008,0)))</f>
        <v/>
      </c>
      <c r="B8795" s="9" t="str">
        <f>IFERROR(INDEX(Input!$L$20:$T$1019,INT((ROW()-9)/9)+1,MOD(ROW()-9,9)+1),"")</f>
        <v/>
      </c>
      <c r="C8795" s="9">
        <f t="shared" si="137"/>
        <v>0</v>
      </c>
    </row>
    <row r="8796" spans="1:3" x14ac:dyDescent="0.2">
      <c r="A8796" s="10" t="str">
        <f>IF(8788&gt;$C$9008,"",INDEX($B$9:$B$9008,MATCH(8788,$C$9:$C$9008,0)))</f>
        <v/>
      </c>
      <c r="B8796" s="9" t="str">
        <f>IFERROR(INDEX(Input!$L$20:$T$1019,INT((ROW()-9)/9)+1,MOD(ROW()-9,9)+1),"")</f>
        <v/>
      </c>
      <c r="C8796" s="9">
        <f t="shared" si="137"/>
        <v>0</v>
      </c>
    </row>
    <row r="8797" spans="1:3" x14ac:dyDescent="0.2">
      <c r="A8797" s="10" t="str">
        <f>IF(8789&gt;$C$9008,"",INDEX($B$9:$B$9008,MATCH(8789,$C$9:$C$9008,0)))</f>
        <v/>
      </c>
      <c r="B8797" s="9" t="str">
        <f>IFERROR(INDEX(Input!$L$20:$T$1019,INT((ROW()-9)/9)+1,MOD(ROW()-9,9)+1),"")</f>
        <v/>
      </c>
      <c r="C8797" s="9">
        <f t="shared" si="137"/>
        <v>0</v>
      </c>
    </row>
    <row r="8798" spans="1:3" x14ac:dyDescent="0.2">
      <c r="A8798" s="10" t="str">
        <f>IF(8790&gt;$C$9008,"",INDEX($B$9:$B$9008,MATCH(8790,$C$9:$C$9008,0)))</f>
        <v/>
      </c>
      <c r="B8798" s="9" t="str">
        <f>IFERROR(INDEX(Input!$L$20:$T$1019,INT((ROW()-9)/9)+1,MOD(ROW()-9,9)+1),"")</f>
        <v/>
      </c>
      <c r="C8798" s="9">
        <f t="shared" si="137"/>
        <v>0</v>
      </c>
    </row>
    <row r="8799" spans="1:3" x14ac:dyDescent="0.2">
      <c r="A8799" s="10" t="str">
        <f>IF(8791&gt;$C$9008,"",INDEX($B$9:$B$9008,MATCH(8791,$C$9:$C$9008,0)))</f>
        <v/>
      </c>
      <c r="B8799" s="9" t="str">
        <f>IFERROR(INDEX(Input!$L$20:$T$1019,INT((ROW()-9)/9)+1,MOD(ROW()-9,9)+1),"")</f>
        <v/>
      </c>
      <c r="C8799" s="9">
        <f t="shared" si="137"/>
        <v>0</v>
      </c>
    </row>
    <row r="8800" spans="1:3" x14ac:dyDescent="0.2">
      <c r="A8800" s="10" t="str">
        <f>IF(8792&gt;$C$9008,"",INDEX($B$9:$B$9008,MATCH(8792,$C$9:$C$9008,0)))</f>
        <v/>
      </c>
      <c r="B8800" s="9" t="str">
        <f>IFERROR(INDEX(Input!$L$20:$T$1019,INT((ROW()-9)/9)+1,MOD(ROW()-9,9)+1),"")</f>
        <v/>
      </c>
      <c r="C8800" s="9">
        <f t="shared" si="137"/>
        <v>0</v>
      </c>
    </row>
    <row r="8801" spans="1:3" x14ac:dyDescent="0.2">
      <c r="A8801" s="10" t="str">
        <f>IF(8793&gt;$C$9008,"",INDEX($B$9:$B$9008,MATCH(8793,$C$9:$C$9008,0)))</f>
        <v/>
      </c>
      <c r="B8801" s="9" t="str">
        <f>IFERROR(INDEX(Input!$L$20:$T$1019,INT((ROW()-9)/9)+1,MOD(ROW()-9,9)+1),"")</f>
        <v/>
      </c>
      <c r="C8801" s="9">
        <f t="shared" si="137"/>
        <v>0</v>
      </c>
    </row>
    <row r="8802" spans="1:3" x14ac:dyDescent="0.2">
      <c r="A8802" s="10" t="str">
        <f>IF(8794&gt;$C$9008,"",INDEX($B$9:$B$9008,MATCH(8794,$C$9:$C$9008,0)))</f>
        <v/>
      </c>
      <c r="B8802" s="9" t="str">
        <f>IFERROR(INDEX(Input!$L$20:$T$1019,INT((ROW()-9)/9)+1,MOD(ROW()-9,9)+1),"")</f>
        <v/>
      </c>
      <c r="C8802" s="9">
        <f t="shared" si="137"/>
        <v>0</v>
      </c>
    </row>
    <row r="8803" spans="1:3" x14ac:dyDescent="0.2">
      <c r="A8803" s="10" t="str">
        <f>IF(8795&gt;$C$9008,"",INDEX($B$9:$B$9008,MATCH(8795,$C$9:$C$9008,0)))</f>
        <v/>
      </c>
      <c r="B8803" s="9" t="str">
        <f>IFERROR(INDEX(Input!$L$20:$T$1019,INT((ROW()-9)/9)+1,MOD(ROW()-9,9)+1),"")</f>
        <v/>
      </c>
      <c r="C8803" s="9">
        <f t="shared" si="137"/>
        <v>0</v>
      </c>
    </row>
    <row r="8804" spans="1:3" x14ac:dyDescent="0.2">
      <c r="A8804" s="10" t="str">
        <f>IF(8796&gt;$C$9008,"",INDEX($B$9:$B$9008,MATCH(8796,$C$9:$C$9008,0)))</f>
        <v/>
      </c>
      <c r="B8804" s="9" t="str">
        <f>IFERROR(INDEX(Input!$L$20:$T$1019,INT((ROW()-9)/9)+1,MOD(ROW()-9,9)+1),"")</f>
        <v/>
      </c>
      <c r="C8804" s="9">
        <f t="shared" si="137"/>
        <v>0</v>
      </c>
    </row>
    <row r="8805" spans="1:3" x14ac:dyDescent="0.2">
      <c r="A8805" s="10" t="str">
        <f>IF(8797&gt;$C$9008,"",INDEX($B$9:$B$9008,MATCH(8797,$C$9:$C$9008,0)))</f>
        <v/>
      </c>
      <c r="B8805" s="9" t="str">
        <f>IFERROR(INDEX(Input!$L$20:$T$1019,INT((ROW()-9)/9)+1,MOD(ROW()-9,9)+1),"")</f>
        <v/>
      </c>
      <c r="C8805" s="9">
        <f t="shared" si="137"/>
        <v>0</v>
      </c>
    </row>
    <row r="8806" spans="1:3" x14ac:dyDescent="0.2">
      <c r="A8806" s="10" t="str">
        <f>IF(8798&gt;$C$9008,"",INDEX($B$9:$B$9008,MATCH(8798,$C$9:$C$9008,0)))</f>
        <v/>
      </c>
      <c r="B8806" s="9" t="str">
        <f>IFERROR(INDEX(Input!$L$20:$T$1019,INT((ROW()-9)/9)+1,MOD(ROW()-9,9)+1),"")</f>
        <v/>
      </c>
      <c r="C8806" s="9">
        <f t="shared" si="137"/>
        <v>0</v>
      </c>
    </row>
    <row r="8807" spans="1:3" x14ac:dyDescent="0.2">
      <c r="A8807" s="10" t="str">
        <f>IF(8799&gt;$C$9008,"",INDEX($B$9:$B$9008,MATCH(8799,$C$9:$C$9008,0)))</f>
        <v/>
      </c>
      <c r="B8807" s="9" t="str">
        <f>IFERROR(INDEX(Input!$L$20:$T$1019,INT((ROW()-9)/9)+1,MOD(ROW()-9,9)+1),"")</f>
        <v/>
      </c>
      <c r="C8807" s="9">
        <f t="shared" si="137"/>
        <v>0</v>
      </c>
    </row>
    <row r="8808" spans="1:3" x14ac:dyDescent="0.2">
      <c r="A8808" s="10" t="str">
        <f>IF(8800&gt;$C$9008,"",INDEX($B$9:$B$9008,MATCH(8800,$C$9:$C$9008,0)))</f>
        <v/>
      </c>
      <c r="B8808" s="9" t="str">
        <f>IFERROR(INDEX(Input!$L$20:$T$1019,INT((ROW()-9)/9)+1,MOD(ROW()-9,9)+1),"")</f>
        <v/>
      </c>
      <c r="C8808" s="9">
        <f t="shared" si="137"/>
        <v>0</v>
      </c>
    </row>
    <row r="8809" spans="1:3" x14ac:dyDescent="0.2">
      <c r="A8809" s="10" t="str">
        <f>IF(8801&gt;$C$9008,"",INDEX($B$9:$B$9008,MATCH(8801,$C$9:$C$9008,0)))</f>
        <v/>
      </c>
      <c r="B8809" s="9" t="str">
        <f>IFERROR(INDEX(Input!$L$20:$T$1019,INT((ROW()-9)/9)+1,MOD(ROW()-9,9)+1),"")</f>
        <v/>
      </c>
      <c r="C8809" s="9">
        <f t="shared" si="137"/>
        <v>0</v>
      </c>
    </row>
    <row r="8810" spans="1:3" x14ac:dyDescent="0.2">
      <c r="A8810" s="10" t="str">
        <f>IF(8802&gt;$C$9008,"",INDEX($B$9:$B$9008,MATCH(8802,$C$9:$C$9008,0)))</f>
        <v/>
      </c>
      <c r="B8810" s="9" t="str">
        <f>IFERROR(INDEX(Input!$L$20:$T$1019,INT((ROW()-9)/9)+1,MOD(ROW()-9,9)+1),"")</f>
        <v/>
      </c>
      <c r="C8810" s="9">
        <f t="shared" si="137"/>
        <v>0</v>
      </c>
    </row>
    <row r="8811" spans="1:3" x14ac:dyDescent="0.2">
      <c r="A8811" s="10" t="str">
        <f>IF(8803&gt;$C$9008,"",INDEX($B$9:$B$9008,MATCH(8803,$C$9:$C$9008,0)))</f>
        <v/>
      </c>
      <c r="B8811" s="9" t="str">
        <f>IFERROR(INDEX(Input!$L$20:$T$1019,INT((ROW()-9)/9)+1,MOD(ROW()-9,9)+1),"")</f>
        <v/>
      </c>
      <c r="C8811" s="9">
        <f t="shared" si="137"/>
        <v>0</v>
      </c>
    </row>
    <row r="8812" spans="1:3" x14ac:dyDescent="0.2">
      <c r="A8812" s="10" t="str">
        <f>IF(8804&gt;$C$9008,"",INDEX($B$9:$B$9008,MATCH(8804,$C$9:$C$9008,0)))</f>
        <v/>
      </c>
      <c r="B8812" s="9" t="str">
        <f>IFERROR(INDEX(Input!$L$20:$T$1019,INT((ROW()-9)/9)+1,MOD(ROW()-9,9)+1),"")</f>
        <v/>
      </c>
      <c r="C8812" s="9">
        <f t="shared" si="137"/>
        <v>0</v>
      </c>
    </row>
    <row r="8813" spans="1:3" x14ac:dyDescent="0.2">
      <c r="A8813" s="10" t="str">
        <f>IF(8805&gt;$C$9008,"",INDEX($B$9:$B$9008,MATCH(8805,$C$9:$C$9008,0)))</f>
        <v/>
      </c>
      <c r="B8813" s="9" t="str">
        <f>IFERROR(INDEX(Input!$L$20:$T$1019,INT((ROW()-9)/9)+1,MOD(ROW()-9,9)+1),"")</f>
        <v/>
      </c>
      <c r="C8813" s="9">
        <f t="shared" si="137"/>
        <v>0</v>
      </c>
    </row>
    <row r="8814" spans="1:3" x14ac:dyDescent="0.2">
      <c r="A8814" s="10" t="str">
        <f>IF(8806&gt;$C$9008,"",INDEX($B$9:$B$9008,MATCH(8806,$C$9:$C$9008,0)))</f>
        <v/>
      </c>
      <c r="B8814" s="9" t="str">
        <f>IFERROR(INDEX(Input!$L$20:$T$1019,INT((ROW()-9)/9)+1,MOD(ROW()-9,9)+1),"")</f>
        <v/>
      </c>
      <c r="C8814" s="9">
        <f t="shared" si="137"/>
        <v>0</v>
      </c>
    </row>
    <row r="8815" spans="1:3" x14ac:dyDescent="0.2">
      <c r="A8815" s="10" t="str">
        <f>IF(8807&gt;$C$9008,"",INDEX($B$9:$B$9008,MATCH(8807,$C$9:$C$9008,0)))</f>
        <v/>
      </c>
      <c r="B8815" s="9" t="str">
        <f>IFERROR(INDEX(Input!$L$20:$T$1019,INT((ROW()-9)/9)+1,MOD(ROW()-9,9)+1),"")</f>
        <v/>
      </c>
      <c r="C8815" s="9">
        <f t="shared" si="137"/>
        <v>0</v>
      </c>
    </row>
    <row r="8816" spans="1:3" x14ac:dyDescent="0.2">
      <c r="A8816" s="10" t="str">
        <f>IF(8808&gt;$C$9008,"",INDEX($B$9:$B$9008,MATCH(8808,$C$9:$C$9008,0)))</f>
        <v/>
      </c>
      <c r="B8816" s="9" t="str">
        <f>IFERROR(INDEX(Input!$L$20:$T$1019,INT((ROW()-9)/9)+1,MOD(ROW()-9,9)+1),"")</f>
        <v/>
      </c>
      <c r="C8816" s="9">
        <f t="shared" si="137"/>
        <v>0</v>
      </c>
    </row>
    <row r="8817" spans="1:3" x14ac:dyDescent="0.2">
      <c r="A8817" s="10" t="str">
        <f>IF(8809&gt;$C$9008,"",INDEX($B$9:$B$9008,MATCH(8809,$C$9:$C$9008,0)))</f>
        <v/>
      </c>
      <c r="B8817" s="9" t="str">
        <f>IFERROR(INDEX(Input!$L$20:$T$1019,INT((ROW()-9)/9)+1,MOD(ROW()-9,9)+1),"")</f>
        <v/>
      </c>
      <c r="C8817" s="9">
        <f t="shared" si="137"/>
        <v>0</v>
      </c>
    </row>
    <row r="8818" spans="1:3" x14ac:dyDescent="0.2">
      <c r="A8818" s="10" t="str">
        <f>IF(8810&gt;$C$9008,"",INDEX($B$9:$B$9008,MATCH(8810,$C$9:$C$9008,0)))</f>
        <v/>
      </c>
      <c r="B8818" s="9" t="str">
        <f>IFERROR(INDEX(Input!$L$20:$T$1019,INT((ROW()-9)/9)+1,MOD(ROW()-9,9)+1),"")</f>
        <v/>
      </c>
      <c r="C8818" s="9">
        <f t="shared" si="137"/>
        <v>0</v>
      </c>
    </row>
    <row r="8819" spans="1:3" x14ac:dyDescent="0.2">
      <c r="A8819" s="10" t="str">
        <f>IF(8811&gt;$C$9008,"",INDEX($B$9:$B$9008,MATCH(8811,$C$9:$C$9008,0)))</f>
        <v/>
      </c>
      <c r="B8819" s="9" t="str">
        <f>IFERROR(INDEX(Input!$L$20:$T$1019,INT((ROW()-9)/9)+1,MOD(ROW()-9,9)+1),"")</f>
        <v/>
      </c>
      <c r="C8819" s="9">
        <f t="shared" si="137"/>
        <v>0</v>
      </c>
    </row>
    <row r="8820" spans="1:3" x14ac:dyDescent="0.2">
      <c r="A8820" s="10" t="str">
        <f>IF(8812&gt;$C$9008,"",INDEX($B$9:$B$9008,MATCH(8812,$C$9:$C$9008,0)))</f>
        <v/>
      </c>
      <c r="B8820" s="9" t="str">
        <f>IFERROR(INDEX(Input!$L$20:$T$1019,INT((ROW()-9)/9)+1,MOD(ROW()-9,9)+1),"")</f>
        <v/>
      </c>
      <c r="C8820" s="9">
        <f t="shared" si="137"/>
        <v>0</v>
      </c>
    </row>
    <row r="8821" spans="1:3" x14ac:dyDescent="0.2">
      <c r="A8821" s="10" t="str">
        <f>IF(8813&gt;$C$9008,"",INDEX($B$9:$B$9008,MATCH(8813,$C$9:$C$9008,0)))</f>
        <v/>
      </c>
      <c r="B8821" s="9" t="str">
        <f>IFERROR(INDEX(Input!$L$20:$T$1019,INT((ROW()-9)/9)+1,MOD(ROW()-9,9)+1),"")</f>
        <v/>
      </c>
      <c r="C8821" s="9">
        <f t="shared" si="137"/>
        <v>0</v>
      </c>
    </row>
    <row r="8822" spans="1:3" x14ac:dyDescent="0.2">
      <c r="A8822" s="10" t="str">
        <f>IF(8814&gt;$C$9008,"",INDEX($B$9:$B$9008,MATCH(8814,$C$9:$C$9008,0)))</f>
        <v/>
      </c>
      <c r="B8822" s="9" t="str">
        <f>IFERROR(INDEX(Input!$L$20:$T$1019,INT((ROW()-9)/9)+1,MOD(ROW()-9,9)+1),"")</f>
        <v/>
      </c>
      <c r="C8822" s="9">
        <f t="shared" si="137"/>
        <v>0</v>
      </c>
    </row>
    <row r="8823" spans="1:3" x14ac:dyDescent="0.2">
      <c r="A8823" s="10" t="str">
        <f>IF(8815&gt;$C$9008,"",INDEX($B$9:$B$9008,MATCH(8815,$C$9:$C$9008,0)))</f>
        <v/>
      </c>
      <c r="B8823" s="9" t="str">
        <f>IFERROR(INDEX(Input!$L$20:$T$1019,INT((ROW()-9)/9)+1,MOD(ROW()-9,9)+1),"")</f>
        <v/>
      </c>
      <c r="C8823" s="9">
        <f t="shared" si="137"/>
        <v>0</v>
      </c>
    </row>
    <row r="8824" spans="1:3" x14ac:dyDescent="0.2">
      <c r="A8824" s="10" t="str">
        <f>IF(8816&gt;$C$9008,"",INDEX($B$9:$B$9008,MATCH(8816,$C$9:$C$9008,0)))</f>
        <v/>
      </c>
      <c r="B8824" s="9" t="str">
        <f>IFERROR(INDEX(Input!$L$20:$T$1019,INT((ROW()-9)/9)+1,MOD(ROW()-9,9)+1),"")</f>
        <v/>
      </c>
      <c r="C8824" s="9">
        <f t="shared" si="137"/>
        <v>0</v>
      </c>
    </row>
    <row r="8825" spans="1:3" x14ac:dyDescent="0.2">
      <c r="A8825" s="10" t="str">
        <f>IF(8817&gt;$C$9008,"",INDEX($B$9:$B$9008,MATCH(8817,$C$9:$C$9008,0)))</f>
        <v/>
      </c>
      <c r="B8825" s="9" t="str">
        <f>IFERROR(INDEX(Input!$L$20:$T$1019,INT((ROW()-9)/9)+1,MOD(ROW()-9,9)+1),"")</f>
        <v/>
      </c>
      <c r="C8825" s="9">
        <f t="shared" si="137"/>
        <v>0</v>
      </c>
    </row>
    <row r="8826" spans="1:3" x14ac:dyDescent="0.2">
      <c r="A8826" s="10" t="str">
        <f>IF(8818&gt;$C$9008,"",INDEX($B$9:$B$9008,MATCH(8818,$C$9:$C$9008,0)))</f>
        <v/>
      </c>
      <c r="B8826" s="9" t="str">
        <f>IFERROR(INDEX(Input!$L$20:$T$1019,INT((ROW()-9)/9)+1,MOD(ROW()-9,9)+1),"")</f>
        <v/>
      </c>
      <c r="C8826" s="9">
        <f t="shared" si="137"/>
        <v>0</v>
      </c>
    </row>
    <row r="8827" spans="1:3" x14ac:dyDescent="0.2">
      <c r="A8827" s="10" t="str">
        <f>IF(8819&gt;$C$9008,"",INDEX($B$9:$B$9008,MATCH(8819,$C$9:$C$9008,0)))</f>
        <v/>
      </c>
      <c r="B8827" s="9" t="str">
        <f>IFERROR(INDEX(Input!$L$20:$T$1019,INT((ROW()-9)/9)+1,MOD(ROW()-9,9)+1),"")</f>
        <v/>
      </c>
      <c r="C8827" s="9">
        <f t="shared" si="137"/>
        <v>0</v>
      </c>
    </row>
    <row r="8828" spans="1:3" x14ac:dyDescent="0.2">
      <c r="A8828" s="10" t="str">
        <f>IF(8820&gt;$C$9008,"",INDEX($B$9:$B$9008,MATCH(8820,$C$9:$C$9008,0)))</f>
        <v/>
      </c>
      <c r="B8828" s="9" t="str">
        <f>IFERROR(INDEX(Input!$L$20:$T$1019,INT((ROW()-9)/9)+1,MOD(ROW()-9,9)+1),"")</f>
        <v/>
      </c>
      <c r="C8828" s="9">
        <f t="shared" si="137"/>
        <v>0</v>
      </c>
    </row>
    <row r="8829" spans="1:3" x14ac:dyDescent="0.2">
      <c r="A8829" s="10" t="str">
        <f>IF(8821&gt;$C$9008,"",INDEX($B$9:$B$9008,MATCH(8821,$C$9:$C$9008,0)))</f>
        <v/>
      </c>
      <c r="B8829" s="9" t="str">
        <f>IFERROR(INDEX(Input!$L$20:$T$1019,INT((ROW()-9)/9)+1,MOD(ROW()-9,9)+1),"")</f>
        <v/>
      </c>
      <c r="C8829" s="9">
        <f t="shared" si="137"/>
        <v>0</v>
      </c>
    </row>
    <row r="8830" spans="1:3" x14ac:dyDescent="0.2">
      <c r="A8830" s="10" t="str">
        <f>IF(8822&gt;$C$9008,"",INDEX($B$9:$B$9008,MATCH(8822,$C$9:$C$9008,0)))</f>
        <v/>
      </c>
      <c r="B8830" s="9" t="str">
        <f>IFERROR(INDEX(Input!$L$20:$T$1019,INT((ROW()-9)/9)+1,MOD(ROW()-9,9)+1),"")</f>
        <v/>
      </c>
      <c r="C8830" s="9">
        <f t="shared" si="137"/>
        <v>0</v>
      </c>
    </row>
    <row r="8831" spans="1:3" x14ac:dyDescent="0.2">
      <c r="A8831" s="10" t="str">
        <f>IF(8823&gt;$C$9008,"",INDEX($B$9:$B$9008,MATCH(8823,$C$9:$C$9008,0)))</f>
        <v/>
      </c>
      <c r="B8831" s="9" t="str">
        <f>IFERROR(INDEX(Input!$L$20:$T$1019,INT((ROW()-9)/9)+1,MOD(ROW()-9,9)+1),"")</f>
        <v/>
      </c>
      <c r="C8831" s="9">
        <f t="shared" si="137"/>
        <v>0</v>
      </c>
    </row>
    <row r="8832" spans="1:3" x14ac:dyDescent="0.2">
      <c r="A8832" s="10" t="str">
        <f>IF(8824&gt;$C$9008,"",INDEX($B$9:$B$9008,MATCH(8824,$C$9:$C$9008,0)))</f>
        <v/>
      </c>
      <c r="B8832" s="9" t="str">
        <f>IFERROR(INDEX(Input!$L$20:$T$1019,INT((ROW()-9)/9)+1,MOD(ROW()-9,9)+1),"")</f>
        <v/>
      </c>
      <c r="C8832" s="9">
        <f t="shared" si="137"/>
        <v>0</v>
      </c>
    </row>
    <row r="8833" spans="1:3" x14ac:dyDescent="0.2">
      <c r="A8833" s="10" t="str">
        <f>IF(8825&gt;$C$9008,"",INDEX($B$9:$B$9008,MATCH(8825,$C$9:$C$9008,0)))</f>
        <v/>
      </c>
      <c r="B8833" s="9" t="str">
        <f>IFERROR(INDEX(Input!$L$20:$T$1019,INT((ROW()-9)/9)+1,MOD(ROW()-9,9)+1),"")</f>
        <v/>
      </c>
      <c r="C8833" s="9">
        <f t="shared" si="137"/>
        <v>0</v>
      </c>
    </row>
    <row r="8834" spans="1:3" x14ac:dyDescent="0.2">
      <c r="A8834" s="10" t="str">
        <f>IF(8826&gt;$C$9008,"",INDEX($B$9:$B$9008,MATCH(8826,$C$9:$C$9008,0)))</f>
        <v/>
      </c>
      <c r="B8834" s="9" t="str">
        <f>IFERROR(INDEX(Input!$L$20:$T$1019,INT((ROW()-9)/9)+1,MOD(ROW()-9,9)+1),"")</f>
        <v/>
      </c>
      <c r="C8834" s="9">
        <f t="shared" si="137"/>
        <v>0</v>
      </c>
    </row>
    <row r="8835" spans="1:3" x14ac:dyDescent="0.2">
      <c r="A8835" s="10" t="str">
        <f>IF(8827&gt;$C$9008,"",INDEX($B$9:$B$9008,MATCH(8827,$C$9:$C$9008,0)))</f>
        <v/>
      </c>
      <c r="B8835" s="9" t="str">
        <f>IFERROR(INDEX(Input!$L$20:$T$1019,INT((ROW()-9)/9)+1,MOD(ROW()-9,9)+1),"")</f>
        <v/>
      </c>
      <c r="C8835" s="9">
        <f t="shared" si="137"/>
        <v>0</v>
      </c>
    </row>
    <row r="8836" spans="1:3" x14ac:dyDescent="0.2">
      <c r="A8836" s="10" t="str">
        <f>IF(8828&gt;$C$9008,"",INDEX($B$9:$B$9008,MATCH(8828,$C$9:$C$9008,0)))</f>
        <v/>
      </c>
      <c r="B8836" s="9" t="str">
        <f>IFERROR(INDEX(Input!$L$20:$T$1019,INT((ROW()-9)/9)+1,MOD(ROW()-9,9)+1),"")</f>
        <v/>
      </c>
      <c r="C8836" s="9">
        <f t="shared" si="137"/>
        <v>0</v>
      </c>
    </row>
    <row r="8837" spans="1:3" x14ac:dyDescent="0.2">
      <c r="A8837" s="10" t="str">
        <f>IF(8829&gt;$C$9008,"",INDEX($B$9:$B$9008,MATCH(8829,$C$9:$C$9008,0)))</f>
        <v/>
      </c>
      <c r="B8837" s="9" t="str">
        <f>IFERROR(INDEX(Input!$L$20:$T$1019,INT((ROW()-9)/9)+1,MOD(ROW()-9,9)+1),"")</f>
        <v/>
      </c>
      <c r="C8837" s="9">
        <f t="shared" si="137"/>
        <v>0</v>
      </c>
    </row>
    <row r="8838" spans="1:3" x14ac:dyDescent="0.2">
      <c r="A8838" s="10" t="str">
        <f>IF(8830&gt;$C$9008,"",INDEX($B$9:$B$9008,MATCH(8830,$C$9:$C$9008,0)))</f>
        <v/>
      </c>
      <c r="B8838" s="9" t="str">
        <f>IFERROR(INDEX(Input!$L$20:$T$1019,INT((ROW()-9)/9)+1,MOD(ROW()-9,9)+1),"")</f>
        <v/>
      </c>
      <c r="C8838" s="9">
        <f t="shared" si="137"/>
        <v>0</v>
      </c>
    </row>
    <row r="8839" spans="1:3" x14ac:dyDescent="0.2">
      <c r="A8839" s="10" t="str">
        <f>IF(8831&gt;$C$9008,"",INDEX($B$9:$B$9008,MATCH(8831,$C$9:$C$9008,0)))</f>
        <v/>
      </c>
      <c r="B8839" s="9" t="str">
        <f>IFERROR(INDEX(Input!$L$20:$T$1019,INT((ROW()-9)/9)+1,MOD(ROW()-9,9)+1),"")</f>
        <v/>
      </c>
      <c r="C8839" s="9">
        <f t="shared" si="137"/>
        <v>0</v>
      </c>
    </row>
    <row r="8840" spans="1:3" x14ac:dyDescent="0.2">
      <c r="A8840" s="10" t="str">
        <f>IF(8832&gt;$C$9008,"",INDEX($B$9:$B$9008,MATCH(8832,$C$9:$C$9008,0)))</f>
        <v/>
      </c>
      <c r="B8840" s="9" t="str">
        <f>IFERROR(INDEX(Input!$L$20:$T$1019,INT((ROW()-9)/9)+1,MOD(ROW()-9,9)+1),"")</f>
        <v/>
      </c>
      <c r="C8840" s="9">
        <f t="shared" si="137"/>
        <v>0</v>
      </c>
    </row>
    <row r="8841" spans="1:3" x14ac:dyDescent="0.2">
      <c r="A8841" s="10" t="str">
        <f>IF(8833&gt;$C$9008,"",INDEX($B$9:$B$9008,MATCH(8833,$C$9:$C$9008,0)))</f>
        <v/>
      </c>
      <c r="B8841" s="9" t="str">
        <f>IFERROR(INDEX(Input!$L$20:$T$1019,INT((ROW()-9)/9)+1,MOD(ROW()-9,9)+1),"")</f>
        <v/>
      </c>
      <c r="C8841" s="9">
        <f t="shared" ref="C8841:C8904" si="138">$C8840+IF($B8841&lt;&gt;"",1,0)</f>
        <v>0</v>
      </c>
    </row>
    <row r="8842" spans="1:3" x14ac:dyDescent="0.2">
      <c r="A8842" s="10" t="str">
        <f>IF(8834&gt;$C$9008,"",INDEX($B$9:$B$9008,MATCH(8834,$C$9:$C$9008,0)))</f>
        <v/>
      </c>
      <c r="B8842" s="9" t="str">
        <f>IFERROR(INDEX(Input!$L$20:$T$1019,INT((ROW()-9)/9)+1,MOD(ROW()-9,9)+1),"")</f>
        <v/>
      </c>
      <c r="C8842" s="9">
        <f t="shared" si="138"/>
        <v>0</v>
      </c>
    </row>
    <row r="8843" spans="1:3" x14ac:dyDescent="0.2">
      <c r="A8843" s="10" t="str">
        <f>IF(8835&gt;$C$9008,"",INDEX($B$9:$B$9008,MATCH(8835,$C$9:$C$9008,0)))</f>
        <v/>
      </c>
      <c r="B8843" s="9" t="str">
        <f>IFERROR(INDEX(Input!$L$20:$T$1019,INT((ROW()-9)/9)+1,MOD(ROW()-9,9)+1),"")</f>
        <v/>
      </c>
      <c r="C8843" s="9">
        <f t="shared" si="138"/>
        <v>0</v>
      </c>
    </row>
    <row r="8844" spans="1:3" x14ac:dyDescent="0.2">
      <c r="A8844" s="10" t="str">
        <f>IF(8836&gt;$C$9008,"",INDEX($B$9:$B$9008,MATCH(8836,$C$9:$C$9008,0)))</f>
        <v/>
      </c>
      <c r="B8844" s="9" t="str">
        <f>IFERROR(INDEX(Input!$L$20:$T$1019,INT((ROW()-9)/9)+1,MOD(ROW()-9,9)+1),"")</f>
        <v/>
      </c>
      <c r="C8844" s="9">
        <f t="shared" si="138"/>
        <v>0</v>
      </c>
    </row>
    <row r="8845" spans="1:3" x14ac:dyDescent="0.2">
      <c r="A8845" s="10" t="str">
        <f>IF(8837&gt;$C$9008,"",INDEX($B$9:$B$9008,MATCH(8837,$C$9:$C$9008,0)))</f>
        <v/>
      </c>
      <c r="B8845" s="9" t="str">
        <f>IFERROR(INDEX(Input!$L$20:$T$1019,INT((ROW()-9)/9)+1,MOD(ROW()-9,9)+1),"")</f>
        <v/>
      </c>
      <c r="C8845" s="9">
        <f t="shared" si="138"/>
        <v>0</v>
      </c>
    </row>
    <row r="8846" spans="1:3" x14ac:dyDescent="0.2">
      <c r="A8846" s="10" t="str">
        <f>IF(8838&gt;$C$9008,"",INDEX($B$9:$B$9008,MATCH(8838,$C$9:$C$9008,0)))</f>
        <v/>
      </c>
      <c r="B8846" s="9" t="str">
        <f>IFERROR(INDEX(Input!$L$20:$T$1019,INT((ROW()-9)/9)+1,MOD(ROW()-9,9)+1),"")</f>
        <v/>
      </c>
      <c r="C8846" s="9">
        <f t="shared" si="138"/>
        <v>0</v>
      </c>
    </row>
    <row r="8847" spans="1:3" x14ac:dyDescent="0.2">
      <c r="A8847" s="10" t="str">
        <f>IF(8839&gt;$C$9008,"",INDEX($B$9:$B$9008,MATCH(8839,$C$9:$C$9008,0)))</f>
        <v/>
      </c>
      <c r="B8847" s="9" t="str">
        <f>IFERROR(INDEX(Input!$L$20:$T$1019,INT((ROW()-9)/9)+1,MOD(ROW()-9,9)+1),"")</f>
        <v/>
      </c>
      <c r="C8847" s="9">
        <f t="shared" si="138"/>
        <v>0</v>
      </c>
    </row>
    <row r="8848" spans="1:3" x14ac:dyDescent="0.2">
      <c r="A8848" s="10" t="str">
        <f>IF(8840&gt;$C$9008,"",INDEX($B$9:$B$9008,MATCH(8840,$C$9:$C$9008,0)))</f>
        <v/>
      </c>
      <c r="B8848" s="9" t="str">
        <f>IFERROR(INDEX(Input!$L$20:$T$1019,INT((ROW()-9)/9)+1,MOD(ROW()-9,9)+1),"")</f>
        <v/>
      </c>
      <c r="C8848" s="9">
        <f t="shared" si="138"/>
        <v>0</v>
      </c>
    </row>
    <row r="8849" spans="1:3" x14ac:dyDescent="0.2">
      <c r="A8849" s="10" t="str">
        <f>IF(8841&gt;$C$9008,"",INDEX($B$9:$B$9008,MATCH(8841,$C$9:$C$9008,0)))</f>
        <v/>
      </c>
      <c r="B8849" s="9" t="str">
        <f>IFERROR(INDEX(Input!$L$20:$T$1019,INT((ROW()-9)/9)+1,MOD(ROW()-9,9)+1),"")</f>
        <v/>
      </c>
      <c r="C8849" s="9">
        <f t="shared" si="138"/>
        <v>0</v>
      </c>
    </row>
    <row r="8850" spans="1:3" x14ac:dyDescent="0.2">
      <c r="A8850" s="10" t="str">
        <f>IF(8842&gt;$C$9008,"",INDEX($B$9:$B$9008,MATCH(8842,$C$9:$C$9008,0)))</f>
        <v/>
      </c>
      <c r="B8850" s="9" t="str">
        <f>IFERROR(INDEX(Input!$L$20:$T$1019,INT((ROW()-9)/9)+1,MOD(ROW()-9,9)+1),"")</f>
        <v/>
      </c>
      <c r="C8850" s="9">
        <f t="shared" si="138"/>
        <v>0</v>
      </c>
    </row>
    <row r="8851" spans="1:3" x14ac:dyDescent="0.2">
      <c r="A8851" s="10" t="str">
        <f>IF(8843&gt;$C$9008,"",INDEX($B$9:$B$9008,MATCH(8843,$C$9:$C$9008,0)))</f>
        <v/>
      </c>
      <c r="B8851" s="9" t="str">
        <f>IFERROR(INDEX(Input!$L$20:$T$1019,INT((ROW()-9)/9)+1,MOD(ROW()-9,9)+1),"")</f>
        <v/>
      </c>
      <c r="C8851" s="9">
        <f t="shared" si="138"/>
        <v>0</v>
      </c>
    </row>
    <row r="8852" spans="1:3" x14ac:dyDescent="0.2">
      <c r="A8852" s="10" t="str">
        <f>IF(8844&gt;$C$9008,"",INDEX($B$9:$B$9008,MATCH(8844,$C$9:$C$9008,0)))</f>
        <v/>
      </c>
      <c r="B8852" s="9" t="str">
        <f>IFERROR(INDEX(Input!$L$20:$T$1019,INT((ROW()-9)/9)+1,MOD(ROW()-9,9)+1),"")</f>
        <v/>
      </c>
      <c r="C8852" s="9">
        <f t="shared" si="138"/>
        <v>0</v>
      </c>
    </row>
    <row r="8853" spans="1:3" x14ac:dyDescent="0.2">
      <c r="A8853" s="10" t="str">
        <f>IF(8845&gt;$C$9008,"",INDEX($B$9:$B$9008,MATCH(8845,$C$9:$C$9008,0)))</f>
        <v/>
      </c>
      <c r="B8853" s="9" t="str">
        <f>IFERROR(INDEX(Input!$L$20:$T$1019,INT((ROW()-9)/9)+1,MOD(ROW()-9,9)+1),"")</f>
        <v/>
      </c>
      <c r="C8853" s="9">
        <f t="shared" si="138"/>
        <v>0</v>
      </c>
    </row>
    <row r="8854" spans="1:3" x14ac:dyDescent="0.2">
      <c r="A8854" s="10" t="str">
        <f>IF(8846&gt;$C$9008,"",INDEX($B$9:$B$9008,MATCH(8846,$C$9:$C$9008,0)))</f>
        <v/>
      </c>
      <c r="B8854" s="9" t="str">
        <f>IFERROR(INDEX(Input!$L$20:$T$1019,INT((ROW()-9)/9)+1,MOD(ROW()-9,9)+1),"")</f>
        <v/>
      </c>
      <c r="C8854" s="9">
        <f t="shared" si="138"/>
        <v>0</v>
      </c>
    </row>
    <row r="8855" spans="1:3" x14ac:dyDescent="0.2">
      <c r="A8855" s="10" t="str">
        <f>IF(8847&gt;$C$9008,"",INDEX($B$9:$B$9008,MATCH(8847,$C$9:$C$9008,0)))</f>
        <v/>
      </c>
      <c r="B8855" s="9" t="str">
        <f>IFERROR(INDEX(Input!$L$20:$T$1019,INT((ROW()-9)/9)+1,MOD(ROW()-9,9)+1),"")</f>
        <v/>
      </c>
      <c r="C8855" s="9">
        <f t="shared" si="138"/>
        <v>0</v>
      </c>
    </row>
    <row r="8856" spans="1:3" x14ac:dyDescent="0.2">
      <c r="A8856" s="10" t="str">
        <f>IF(8848&gt;$C$9008,"",INDEX($B$9:$B$9008,MATCH(8848,$C$9:$C$9008,0)))</f>
        <v/>
      </c>
      <c r="B8856" s="9" t="str">
        <f>IFERROR(INDEX(Input!$L$20:$T$1019,INT((ROW()-9)/9)+1,MOD(ROW()-9,9)+1),"")</f>
        <v/>
      </c>
      <c r="C8856" s="9">
        <f t="shared" si="138"/>
        <v>0</v>
      </c>
    </row>
    <row r="8857" spans="1:3" x14ac:dyDescent="0.2">
      <c r="A8857" s="10" t="str">
        <f>IF(8849&gt;$C$9008,"",INDEX($B$9:$B$9008,MATCH(8849,$C$9:$C$9008,0)))</f>
        <v/>
      </c>
      <c r="B8857" s="9" t="str">
        <f>IFERROR(INDEX(Input!$L$20:$T$1019,INT((ROW()-9)/9)+1,MOD(ROW()-9,9)+1),"")</f>
        <v/>
      </c>
      <c r="C8857" s="9">
        <f t="shared" si="138"/>
        <v>0</v>
      </c>
    </row>
    <row r="8858" spans="1:3" x14ac:dyDescent="0.2">
      <c r="A8858" s="10" t="str">
        <f>IF(8850&gt;$C$9008,"",INDEX($B$9:$B$9008,MATCH(8850,$C$9:$C$9008,0)))</f>
        <v/>
      </c>
      <c r="B8858" s="9" t="str">
        <f>IFERROR(INDEX(Input!$L$20:$T$1019,INT((ROW()-9)/9)+1,MOD(ROW()-9,9)+1),"")</f>
        <v/>
      </c>
      <c r="C8858" s="9">
        <f t="shared" si="138"/>
        <v>0</v>
      </c>
    </row>
    <row r="8859" spans="1:3" x14ac:dyDescent="0.2">
      <c r="A8859" s="10" t="str">
        <f>IF(8851&gt;$C$9008,"",INDEX($B$9:$B$9008,MATCH(8851,$C$9:$C$9008,0)))</f>
        <v/>
      </c>
      <c r="B8859" s="9" t="str">
        <f>IFERROR(INDEX(Input!$L$20:$T$1019,INT((ROW()-9)/9)+1,MOD(ROW()-9,9)+1),"")</f>
        <v/>
      </c>
      <c r="C8859" s="9">
        <f t="shared" si="138"/>
        <v>0</v>
      </c>
    </row>
    <row r="8860" spans="1:3" x14ac:dyDescent="0.2">
      <c r="A8860" s="10" t="str">
        <f>IF(8852&gt;$C$9008,"",INDEX($B$9:$B$9008,MATCH(8852,$C$9:$C$9008,0)))</f>
        <v/>
      </c>
      <c r="B8860" s="9" t="str">
        <f>IFERROR(INDEX(Input!$L$20:$T$1019,INT((ROW()-9)/9)+1,MOD(ROW()-9,9)+1),"")</f>
        <v/>
      </c>
      <c r="C8860" s="9">
        <f t="shared" si="138"/>
        <v>0</v>
      </c>
    </row>
    <row r="8861" spans="1:3" x14ac:dyDescent="0.2">
      <c r="A8861" s="10" t="str">
        <f>IF(8853&gt;$C$9008,"",INDEX($B$9:$B$9008,MATCH(8853,$C$9:$C$9008,0)))</f>
        <v/>
      </c>
      <c r="B8861" s="9" t="str">
        <f>IFERROR(INDEX(Input!$L$20:$T$1019,INT((ROW()-9)/9)+1,MOD(ROW()-9,9)+1),"")</f>
        <v/>
      </c>
      <c r="C8861" s="9">
        <f t="shared" si="138"/>
        <v>0</v>
      </c>
    </row>
    <row r="8862" spans="1:3" x14ac:dyDescent="0.2">
      <c r="A8862" s="10" t="str">
        <f>IF(8854&gt;$C$9008,"",INDEX($B$9:$B$9008,MATCH(8854,$C$9:$C$9008,0)))</f>
        <v/>
      </c>
      <c r="B8862" s="9" t="str">
        <f>IFERROR(INDEX(Input!$L$20:$T$1019,INT((ROW()-9)/9)+1,MOD(ROW()-9,9)+1),"")</f>
        <v/>
      </c>
      <c r="C8862" s="9">
        <f t="shared" si="138"/>
        <v>0</v>
      </c>
    </row>
    <row r="8863" spans="1:3" x14ac:dyDescent="0.2">
      <c r="A8863" s="10" t="str">
        <f>IF(8855&gt;$C$9008,"",INDEX($B$9:$B$9008,MATCH(8855,$C$9:$C$9008,0)))</f>
        <v/>
      </c>
      <c r="B8863" s="9" t="str">
        <f>IFERROR(INDEX(Input!$L$20:$T$1019,INT((ROW()-9)/9)+1,MOD(ROW()-9,9)+1),"")</f>
        <v/>
      </c>
      <c r="C8863" s="9">
        <f t="shared" si="138"/>
        <v>0</v>
      </c>
    </row>
    <row r="8864" spans="1:3" x14ac:dyDescent="0.2">
      <c r="A8864" s="10" t="str">
        <f>IF(8856&gt;$C$9008,"",INDEX($B$9:$B$9008,MATCH(8856,$C$9:$C$9008,0)))</f>
        <v/>
      </c>
      <c r="B8864" s="9" t="str">
        <f>IFERROR(INDEX(Input!$L$20:$T$1019,INT((ROW()-9)/9)+1,MOD(ROW()-9,9)+1),"")</f>
        <v/>
      </c>
      <c r="C8864" s="9">
        <f t="shared" si="138"/>
        <v>0</v>
      </c>
    </row>
    <row r="8865" spans="1:3" x14ac:dyDescent="0.2">
      <c r="A8865" s="10" t="str">
        <f>IF(8857&gt;$C$9008,"",INDEX($B$9:$B$9008,MATCH(8857,$C$9:$C$9008,0)))</f>
        <v/>
      </c>
      <c r="B8865" s="9" t="str">
        <f>IFERROR(INDEX(Input!$L$20:$T$1019,INT((ROW()-9)/9)+1,MOD(ROW()-9,9)+1),"")</f>
        <v/>
      </c>
      <c r="C8865" s="9">
        <f t="shared" si="138"/>
        <v>0</v>
      </c>
    </row>
    <row r="8866" spans="1:3" x14ac:dyDescent="0.2">
      <c r="A8866" s="10" t="str">
        <f>IF(8858&gt;$C$9008,"",INDEX($B$9:$B$9008,MATCH(8858,$C$9:$C$9008,0)))</f>
        <v/>
      </c>
      <c r="B8866" s="9" t="str">
        <f>IFERROR(INDEX(Input!$L$20:$T$1019,INT((ROW()-9)/9)+1,MOD(ROW()-9,9)+1),"")</f>
        <v/>
      </c>
      <c r="C8866" s="9">
        <f t="shared" si="138"/>
        <v>0</v>
      </c>
    </row>
    <row r="8867" spans="1:3" x14ac:dyDescent="0.2">
      <c r="A8867" s="10" t="str">
        <f>IF(8859&gt;$C$9008,"",INDEX($B$9:$B$9008,MATCH(8859,$C$9:$C$9008,0)))</f>
        <v/>
      </c>
      <c r="B8867" s="9" t="str">
        <f>IFERROR(INDEX(Input!$L$20:$T$1019,INT((ROW()-9)/9)+1,MOD(ROW()-9,9)+1),"")</f>
        <v/>
      </c>
      <c r="C8867" s="9">
        <f t="shared" si="138"/>
        <v>0</v>
      </c>
    </row>
    <row r="8868" spans="1:3" x14ac:dyDescent="0.2">
      <c r="A8868" s="10" t="str">
        <f>IF(8860&gt;$C$9008,"",INDEX($B$9:$B$9008,MATCH(8860,$C$9:$C$9008,0)))</f>
        <v/>
      </c>
      <c r="B8868" s="9" t="str">
        <f>IFERROR(INDEX(Input!$L$20:$T$1019,INT((ROW()-9)/9)+1,MOD(ROW()-9,9)+1),"")</f>
        <v/>
      </c>
      <c r="C8868" s="9">
        <f t="shared" si="138"/>
        <v>0</v>
      </c>
    </row>
    <row r="8869" spans="1:3" x14ac:dyDescent="0.2">
      <c r="A8869" s="10" t="str">
        <f>IF(8861&gt;$C$9008,"",INDEX($B$9:$B$9008,MATCH(8861,$C$9:$C$9008,0)))</f>
        <v/>
      </c>
      <c r="B8869" s="9" t="str">
        <f>IFERROR(INDEX(Input!$L$20:$T$1019,INT((ROW()-9)/9)+1,MOD(ROW()-9,9)+1),"")</f>
        <v/>
      </c>
      <c r="C8869" s="9">
        <f t="shared" si="138"/>
        <v>0</v>
      </c>
    </row>
    <row r="8870" spans="1:3" x14ac:dyDescent="0.2">
      <c r="A8870" s="10" t="str">
        <f>IF(8862&gt;$C$9008,"",INDEX($B$9:$B$9008,MATCH(8862,$C$9:$C$9008,0)))</f>
        <v/>
      </c>
      <c r="B8870" s="9" t="str">
        <f>IFERROR(INDEX(Input!$L$20:$T$1019,INT((ROW()-9)/9)+1,MOD(ROW()-9,9)+1),"")</f>
        <v/>
      </c>
      <c r="C8870" s="9">
        <f t="shared" si="138"/>
        <v>0</v>
      </c>
    </row>
    <row r="8871" spans="1:3" x14ac:dyDescent="0.2">
      <c r="A8871" s="10" t="str">
        <f>IF(8863&gt;$C$9008,"",INDEX($B$9:$B$9008,MATCH(8863,$C$9:$C$9008,0)))</f>
        <v/>
      </c>
      <c r="B8871" s="9" t="str">
        <f>IFERROR(INDEX(Input!$L$20:$T$1019,INT((ROW()-9)/9)+1,MOD(ROW()-9,9)+1),"")</f>
        <v/>
      </c>
      <c r="C8871" s="9">
        <f t="shared" si="138"/>
        <v>0</v>
      </c>
    </row>
    <row r="8872" spans="1:3" x14ac:dyDescent="0.2">
      <c r="A8872" s="10" t="str">
        <f>IF(8864&gt;$C$9008,"",INDEX($B$9:$B$9008,MATCH(8864,$C$9:$C$9008,0)))</f>
        <v/>
      </c>
      <c r="B8872" s="9" t="str">
        <f>IFERROR(INDEX(Input!$L$20:$T$1019,INT((ROW()-9)/9)+1,MOD(ROW()-9,9)+1),"")</f>
        <v/>
      </c>
      <c r="C8872" s="9">
        <f t="shared" si="138"/>
        <v>0</v>
      </c>
    </row>
    <row r="8873" spans="1:3" x14ac:dyDescent="0.2">
      <c r="A8873" s="10" t="str">
        <f>IF(8865&gt;$C$9008,"",INDEX($B$9:$B$9008,MATCH(8865,$C$9:$C$9008,0)))</f>
        <v/>
      </c>
      <c r="B8873" s="9" t="str">
        <f>IFERROR(INDEX(Input!$L$20:$T$1019,INT((ROW()-9)/9)+1,MOD(ROW()-9,9)+1),"")</f>
        <v/>
      </c>
      <c r="C8873" s="9">
        <f t="shared" si="138"/>
        <v>0</v>
      </c>
    </row>
    <row r="8874" spans="1:3" x14ac:dyDescent="0.2">
      <c r="A8874" s="10" t="str">
        <f>IF(8866&gt;$C$9008,"",INDEX($B$9:$B$9008,MATCH(8866,$C$9:$C$9008,0)))</f>
        <v/>
      </c>
      <c r="B8874" s="9" t="str">
        <f>IFERROR(INDEX(Input!$L$20:$T$1019,INT((ROW()-9)/9)+1,MOD(ROW()-9,9)+1),"")</f>
        <v/>
      </c>
      <c r="C8874" s="9">
        <f t="shared" si="138"/>
        <v>0</v>
      </c>
    </row>
    <row r="8875" spans="1:3" x14ac:dyDescent="0.2">
      <c r="A8875" s="10" t="str">
        <f>IF(8867&gt;$C$9008,"",INDEX($B$9:$B$9008,MATCH(8867,$C$9:$C$9008,0)))</f>
        <v/>
      </c>
      <c r="B8875" s="9" t="str">
        <f>IFERROR(INDEX(Input!$L$20:$T$1019,INT((ROW()-9)/9)+1,MOD(ROW()-9,9)+1),"")</f>
        <v/>
      </c>
      <c r="C8875" s="9">
        <f t="shared" si="138"/>
        <v>0</v>
      </c>
    </row>
    <row r="8876" spans="1:3" x14ac:dyDescent="0.2">
      <c r="A8876" s="10" t="str">
        <f>IF(8868&gt;$C$9008,"",INDEX($B$9:$B$9008,MATCH(8868,$C$9:$C$9008,0)))</f>
        <v/>
      </c>
      <c r="B8876" s="9" t="str">
        <f>IFERROR(INDEX(Input!$L$20:$T$1019,INT((ROW()-9)/9)+1,MOD(ROW()-9,9)+1),"")</f>
        <v/>
      </c>
      <c r="C8876" s="9">
        <f t="shared" si="138"/>
        <v>0</v>
      </c>
    </row>
    <row r="8877" spans="1:3" x14ac:dyDescent="0.2">
      <c r="A8877" s="10" t="str">
        <f>IF(8869&gt;$C$9008,"",INDEX($B$9:$B$9008,MATCH(8869,$C$9:$C$9008,0)))</f>
        <v/>
      </c>
      <c r="B8877" s="9" t="str">
        <f>IFERROR(INDEX(Input!$L$20:$T$1019,INT((ROW()-9)/9)+1,MOD(ROW()-9,9)+1),"")</f>
        <v/>
      </c>
      <c r="C8877" s="9">
        <f t="shared" si="138"/>
        <v>0</v>
      </c>
    </row>
    <row r="8878" spans="1:3" x14ac:dyDescent="0.2">
      <c r="A8878" s="10" t="str">
        <f>IF(8870&gt;$C$9008,"",INDEX($B$9:$B$9008,MATCH(8870,$C$9:$C$9008,0)))</f>
        <v/>
      </c>
      <c r="B8878" s="9" t="str">
        <f>IFERROR(INDEX(Input!$L$20:$T$1019,INT((ROW()-9)/9)+1,MOD(ROW()-9,9)+1),"")</f>
        <v/>
      </c>
      <c r="C8878" s="9">
        <f t="shared" si="138"/>
        <v>0</v>
      </c>
    </row>
    <row r="8879" spans="1:3" x14ac:dyDescent="0.2">
      <c r="A8879" s="10" t="str">
        <f>IF(8871&gt;$C$9008,"",INDEX($B$9:$B$9008,MATCH(8871,$C$9:$C$9008,0)))</f>
        <v/>
      </c>
      <c r="B8879" s="9" t="str">
        <f>IFERROR(INDEX(Input!$L$20:$T$1019,INT((ROW()-9)/9)+1,MOD(ROW()-9,9)+1),"")</f>
        <v/>
      </c>
      <c r="C8879" s="9">
        <f t="shared" si="138"/>
        <v>0</v>
      </c>
    </row>
    <row r="8880" spans="1:3" x14ac:dyDescent="0.2">
      <c r="A8880" s="10" t="str">
        <f>IF(8872&gt;$C$9008,"",INDEX($B$9:$B$9008,MATCH(8872,$C$9:$C$9008,0)))</f>
        <v/>
      </c>
      <c r="B8880" s="9" t="str">
        <f>IFERROR(INDEX(Input!$L$20:$T$1019,INT((ROW()-9)/9)+1,MOD(ROW()-9,9)+1),"")</f>
        <v/>
      </c>
      <c r="C8880" s="9">
        <f t="shared" si="138"/>
        <v>0</v>
      </c>
    </row>
    <row r="8881" spans="1:3" x14ac:dyDescent="0.2">
      <c r="A8881" s="10" t="str">
        <f>IF(8873&gt;$C$9008,"",INDEX($B$9:$B$9008,MATCH(8873,$C$9:$C$9008,0)))</f>
        <v/>
      </c>
      <c r="B8881" s="9" t="str">
        <f>IFERROR(INDEX(Input!$L$20:$T$1019,INT((ROW()-9)/9)+1,MOD(ROW()-9,9)+1),"")</f>
        <v/>
      </c>
      <c r="C8881" s="9">
        <f t="shared" si="138"/>
        <v>0</v>
      </c>
    </row>
    <row r="8882" spans="1:3" x14ac:dyDescent="0.2">
      <c r="A8882" s="10" t="str">
        <f>IF(8874&gt;$C$9008,"",INDEX($B$9:$B$9008,MATCH(8874,$C$9:$C$9008,0)))</f>
        <v/>
      </c>
      <c r="B8882" s="9" t="str">
        <f>IFERROR(INDEX(Input!$L$20:$T$1019,INT((ROW()-9)/9)+1,MOD(ROW()-9,9)+1),"")</f>
        <v/>
      </c>
      <c r="C8882" s="9">
        <f t="shared" si="138"/>
        <v>0</v>
      </c>
    </row>
    <row r="8883" spans="1:3" x14ac:dyDescent="0.2">
      <c r="A8883" s="10" t="str">
        <f>IF(8875&gt;$C$9008,"",INDEX($B$9:$B$9008,MATCH(8875,$C$9:$C$9008,0)))</f>
        <v/>
      </c>
      <c r="B8883" s="9" t="str">
        <f>IFERROR(INDEX(Input!$L$20:$T$1019,INT((ROW()-9)/9)+1,MOD(ROW()-9,9)+1),"")</f>
        <v/>
      </c>
      <c r="C8883" s="9">
        <f t="shared" si="138"/>
        <v>0</v>
      </c>
    </row>
    <row r="8884" spans="1:3" x14ac:dyDescent="0.2">
      <c r="A8884" s="10" t="str">
        <f>IF(8876&gt;$C$9008,"",INDEX($B$9:$B$9008,MATCH(8876,$C$9:$C$9008,0)))</f>
        <v/>
      </c>
      <c r="B8884" s="9" t="str">
        <f>IFERROR(INDEX(Input!$L$20:$T$1019,INT((ROW()-9)/9)+1,MOD(ROW()-9,9)+1),"")</f>
        <v/>
      </c>
      <c r="C8884" s="9">
        <f t="shared" si="138"/>
        <v>0</v>
      </c>
    </row>
    <row r="8885" spans="1:3" x14ac:dyDescent="0.2">
      <c r="A8885" s="10" t="str">
        <f>IF(8877&gt;$C$9008,"",INDEX($B$9:$B$9008,MATCH(8877,$C$9:$C$9008,0)))</f>
        <v/>
      </c>
      <c r="B8885" s="9" t="str">
        <f>IFERROR(INDEX(Input!$L$20:$T$1019,INT((ROW()-9)/9)+1,MOD(ROW()-9,9)+1),"")</f>
        <v/>
      </c>
      <c r="C8885" s="9">
        <f t="shared" si="138"/>
        <v>0</v>
      </c>
    </row>
    <row r="8886" spans="1:3" x14ac:dyDescent="0.2">
      <c r="A8886" s="10" t="str">
        <f>IF(8878&gt;$C$9008,"",INDEX($B$9:$B$9008,MATCH(8878,$C$9:$C$9008,0)))</f>
        <v/>
      </c>
      <c r="B8886" s="9" t="str">
        <f>IFERROR(INDEX(Input!$L$20:$T$1019,INT((ROW()-9)/9)+1,MOD(ROW()-9,9)+1),"")</f>
        <v/>
      </c>
      <c r="C8886" s="9">
        <f t="shared" si="138"/>
        <v>0</v>
      </c>
    </row>
    <row r="8887" spans="1:3" x14ac:dyDescent="0.2">
      <c r="A8887" s="10" t="str">
        <f>IF(8879&gt;$C$9008,"",INDEX($B$9:$B$9008,MATCH(8879,$C$9:$C$9008,0)))</f>
        <v/>
      </c>
      <c r="B8887" s="9" t="str">
        <f>IFERROR(INDEX(Input!$L$20:$T$1019,INT((ROW()-9)/9)+1,MOD(ROW()-9,9)+1),"")</f>
        <v/>
      </c>
      <c r="C8887" s="9">
        <f t="shared" si="138"/>
        <v>0</v>
      </c>
    </row>
    <row r="8888" spans="1:3" x14ac:dyDescent="0.2">
      <c r="A8888" s="10" t="str">
        <f>IF(8880&gt;$C$9008,"",INDEX($B$9:$B$9008,MATCH(8880,$C$9:$C$9008,0)))</f>
        <v/>
      </c>
      <c r="B8888" s="9" t="str">
        <f>IFERROR(INDEX(Input!$L$20:$T$1019,INT((ROW()-9)/9)+1,MOD(ROW()-9,9)+1),"")</f>
        <v/>
      </c>
      <c r="C8888" s="9">
        <f t="shared" si="138"/>
        <v>0</v>
      </c>
    </row>
    <row r="8889" spans="1:3" x14ac:dyDescent="0.2">
      <c r="A8889" s="10" t="str">
        <f>IF(8881&gt;$C$9008,"",INDEX($B$9:$B$9008,MATCH(8881,$C$9:$C$9008,0)))</f>
        <v/>
      </c>
      <c r="B8889" s="9" t="str">
        <f>IFERROR(INDEX(Input!$L$20:$T$1019,INT((ROW()-9)/9)+1,MOD(ROW()-9,9)+1),"")</f>
        <v/>
      </c>
      <c r="C8889" s="9">
        <f t="shared" si="138"/>
        <v>0</v>
      </c>
    </row>
    <row r="8890" spans="1:3" x14ac:dyDescent="0.2">
      <c r="A8890" s="10" t="str">
        <f>IF(8882&gt;$C$9008,"",INDEX($B$9:$B$9008,MATCH(8882,$C$9:$C$9008,0)))</f>
        <v/>
      </c>
      <c r="B8890" s="9" t="str">
        <f>IFERROR(INDEX(Input!$L$20:$T$1019,INT((ROW()-9)/9)+1,MOD(ROW()-9,9)+1),"")</f>
        <v/>
      </c>
      <c r="C8890" s="9">
        <f t="shared" si="138"/>
        <v>0</v>
      </c>
    </row>
    <row r="8891" spans="1:3" x14ac:dyDescent="0.2">
      <c r="A8891" s="10" t="str">
        <f>IF(8883&gt;$C$9008,"",INDEX($B$9:$B$9008,MATCH(8883,$C$9:$C$9008,0)))</f>
        <v/>
      </c>
      <c r="B8891" s="9" t="str">
        <f>IFERROR(INDEX(Input!$L$20:$T$1019,INT((ROW()-9)/9)+1,MOD(ROW()-9,9)+1),"")</f>
        <v/>
      </c>
      <c r="C8891" s="9">
        <f t="shared" si="138"/>
        <v>0</v>
      </c>
    </row>
    <row r="8892" spans="1:3" x14ac:dyDescent="0.2">
      <c r="A8892" s="10" t="str">
        <f>IF(8884&gt;$C$9008,"",INDEX($B$9:$B$9008,MATCH(8884,$C$9:$C$9008,0)))</f>
        <v/>
      </c>
      <c r="B8892" s="9" t="str">
        <f>IFERROR(INDEX(Input!$L$20:$T$1019,INT((ROW()-9)/9)+1,MOD(ROW()-9,9)+1),"")</f>
        <v/>
      </c>
      <c r="C8892" s="9">
        <f t="shared" si="138"/>
        <v>0</v>
      </c>
    </row>
    <row r="8893" spans="1:3" x14ac:dyDescent="0.2">
      <c r="A8893" s="10" t="str">
        <f>IF(8885&gt;$C$9008,"",INDEX($B$9:$B$9008,MATCH(8885,$C$9:$C$9008,0)))</f>
        <v/>
      </c>
      <c r="B8893" s="9" t="str">
        <f>IFERROR(INDEX(Input!$L$20:$T$1019,INT((ROW()-9)/9)+1,MOD(ROW()-9,9)+1),"")</f>
        <v/>
      </c>
      <c r="C8893" s="9">
        <f t="shared" si="138"/>
        <v>0</v>
      </c>
    </row>
    <row r="8894" spans="1:3" x14ac:dyDescent="0.2">
      <c r="A8894" s="10" t="str">
        <f>IF(8886&gt;$C$9008,"",INDEX($B$9:$B$9008,MATCH(8886,$C$9:$C$9008,0)))</f>
        <v/>
      </c>
      <c r="B8894" s="9" t="str">
        <f>IFERROR(INDEX(Input!$L$20:$T$1019,INT((ROW()-9)/9)+1,MOD(ROW()-9,9)+1),"")</f>
        <v/>
      </c>
      <c r="C8894" s="9">
        <f t="shared" si="138"/>
        <v>0</v>
      </c>
    </row>
    <row r="8895" spans="1:3" x14ac:dyDescent="0.2">
      <c r="A8895" s="10" t="str">
        <f>IF(8887&gt;$C$9008,"",INDEX($B$9:$B$9008,MATCH(8887,$C$9:$C$9008,0)))</f>
        <v/>
      </c>
      <c r="B8895" s="9" t="str">
        <f>IFERROR(INDEX(Input!$L$20:$T$1019,INT((ROW()-9)/9)+1,MOD(ROW()-9,9)+1),"")</f>
        <v/>
      </c>
      <c r="C8895" s="9">
        <f t="shared" si="138"/>
        <v>0</v>
      </c>
    </row>
    <row r="8896" spans="1:3" x14ac:dyDescent="0.2">
      <c r="A8896" s="10" t="str">
        <f>IF(8888&gt;$C$9008,"",INDEX($B$9:$B$9008,MATCH(8888,$C$9:$C$9008,0)))</f>
        <v/>
      </c>
      <c r="B8896" s="9" t="str">
        <f>IFERROR(INDEX(Input!$L$20:$T$1019,INT((ROW()-9)/9)+1,MOD(ROW()-9,9)+1),"")</f>
        <v/>
      </c>
      <c r="C8896" s="9">
        <f t="shared" si="138"/>
        <v>0</v>
      </c>
    </row>
    <row r="8897" spans="1:3" x14ac:dyDescent="0.2">
      <c r="A8897" s="10" t="str">
        <f>IF(8889&gt;$C$9008,"",INDEX($B$9:$B$9008,MATCH(8889,$C$9:$C$9008,0)))</f>
        <v/>
      </c>
      <c r="B8897" s="9" t="str">
        <f>IFERROR(INDEX(Input!$L$20:$T$1019,INT((ROW()-9)/9)+1,MOD(ROW()-9,9)+1),"")</f>
        <v/>
      </c>
      <c r="C8897" s="9">
        <f t="shared" si="138"/>
        <v>0</v>
      </c>
    </row>
    <row r="8898" spans="1:3" x14ac:dyDescent="0.2">
      <c r="A8898" s="10" t="str">
        <f>IF(8890&gt;$C$9008,"",INDEX($B$9:$B$9008,MATCH(8890,$C$9:$C$9008,0)))</f>
        <v/>
      </c>
      <c r="B8898" s="9" t="str">
        <f>IFERROR(INDEX(Input!$L$20:$T$1019,INT((ROW()-9)/9)+1,MOD(ROW()-9,9)+1),"")</f>
        <v/>
      </c>
      <c r="C8898" s="9">
        <f t="shared" si="138"/>
        <v>0</v>
      </c>
    </row>
    <row r="8899" spans="1:3" x14ac:dyDescent="0.2">
      <c r="A8899" s="10" t="str">
        <f>IF(8891&gt;$C$9008,"",INDEX($B$9:$B$9008,MATCH(8891,$C$9:$C$9008,0)))</f>
        <v/>
      </c>
      <c r="B8899" s="9" t="str">
        <f>IFERROR(INDEX(Input!$L$20:$T$1019,INT((ROW()-9)/9)+1,MOD(ROW()-9,9)+1),"")</f>
        <v/>
      </c>
      <c r="C8899" s="9">
        <f t="shared" si="138"/>
        <v>0</v>
      </c>
    </row>
    <row r="8900" spans="1:3" x14ac:dyDescent="0.2">
      <c r="A8900" s="10" t="str">
        <f>IF(8892&gt;$C$9008,"",INDEX($B$9:$B$9008,MATCH(8892,$C$9:$C$9008,0)))</f>
        <v/>
      </c>
      <c r="B8900" s="9" t="str">
        <f>IFERROR(INDEX(Input!$L$20:$T$1019,INT((ROW()-9)/9)+1,MOD(ROW()-9,9)+1),"")</f>
        <v/>
      </c>
      <c r="C8900" s="9">
        <f t="shared" si="138"/>
        <v>0</v>
      </c>
    </row>
    <row r="8901" spans="1:3" x14ac:dyDescent="0.2">
      <c r="A8901" s="10" t="str">
        <f>IF(8893&gt;$C$9008,"",INDEX($B$9:$B$9008,MATCH(8893,$C$9:$C$9008,0)))</f>
        <v/>
      </c>
      <c r="B8901" s="9" t="str">
        <f>IFERROR(INDEX(Input!$L$20:$T$1019,INT((ROW()-9)/9)+1,MOD(ROW()-9,9)+1),"")</f>
        <v/>
      </c>
      <c r="C8901" s="9">
        <f t="shared" si="138"/>
        <v>0</v>
      </c>
    </row>
    <row r="8902" spans="1:3" x14ac:dyDescent="0.2">
      <c r="A8902" s="10" t="str">
        <f>IF(8894&gt;$C$9008,"",INDEX($B$9:$B$9008,MATCH(8894,$C$9:$C$9008,0)))</f>
        <v/>
      </c>
      <c r="B8902" s="9" t="str">
        <f>IFERROR(INDEX(Input!$L$20:$T$1019,INT((ROW()-9)/9)+1,MOD(ROW()-9,9)+1),"")</f>
        <v/>
      </c>
      <c r="C8902" s="9">
        <f t="shared" si="138"/>
        <v>0</v>
      </c>
    </row>
    <row r="8903" spans="1:3" x14ac:dyDescent="0.2">
      <c r="A8903" s="10" t="str">
        <f>IF(8895&gt;$C$9008,"",INDEX($B$9:$B$9008,MATCH(8895,$C$9:$C$9008,0)))</f>
        <v/>
      </c>
      <c r="B8903" s="9" t="str">
        <f>IFERROR(INDEX(Input!$L$20:$T$1019,INT((ROW()-9)/9)+1,MOD(ROW()-9,9)+1),"")</f>
        <v/>
      </c>
      <c r="C8903" s="9">
        <f t="shared" si="138"/>
        <v>0</v>
      </c>
    </row>
    <row r="8904" spans="1:3" x14ac:dyDescent="0.2">
      <c r="A8904" s="10" t="str">
        <f>IF(8896&gt;$C$9008,"",INDEX($B$9:$B$9008,MATCH(8896,$C$9:$C$9008,0)))</f>
        <v/>
      </c>
      <c r="B8904" s="9" t="str">
        <f>IFERROR(INDEX(Input!$L$20:$T$1019,INT((ROW()-9)/9)+1,MOD(ROW()-9,9)+1),"")</f>
        <v/>
      </c>
      <c r="C8904" s="9">
        <f t="shared" si="138"/>
        <v>0</v>
      </c>
    </row>
    <row r="8905" spans="1:3" x14ac:dyDescent="0.2">
      <c r="A8905" s="10" t="str">
        <f>IF(8897&gt;$C$9008,"",INDEX($B$9:$B$9008,MATCH(8897,$C$9:$C$9008,0)))</f>
        <v/>
      </c>
      <c r="B8905" s="9" t="str">
        <f>IFERROR(INDEX(Input!$L$20:$T$1019,INT((ROW()-9)/9)+1,MOD(ROW()-9,9)+1),"")</f>
        <v/>
      </c>
      <c r="C8905" s="9">
        <f t="shared" ref="C8905:C8968" si="139">$C8904+IF($B8905&lt;&gt;"",1,0)</f>
        <v>0</v>
      </c>
    </row>
    <row r="8906" spans="1:3" x14ac:dyDescent="0.2">
      <c r="A8906" s="10" t="str">
        <f>IF(8898&gt;$C$9008,"",INDEX($B$9:$B$9008,MATCH(8898,$C$9:$C$9008,0)))</f>
        <v/>
      </c>
      <c r="B8906" s="9" t="str">
        <f>IFERROR(INDEX(Input!$L$20:$T$1019,INT((ROW()-9)/9)+1,MOD(ROW()-9,9)+1),"")</f>
        <v/>
      </c>
      <c r="C8906" s="9">
        <f t="shared" si="139"/>
        <v>0</v>
      </c>
    </row>
    <row r="8907" spans="1:3" x14ac:dyDescent="0.2">
      <c r="A8907" s="10" t="str">
        <f>IF(8899&gt;$C$9008,"",INDEX($B$9:$B$9008,MATCH(8899,$C$9:$C$9008,0)))</f>
        <v/>
      </c>
      <c r="B8907" s="9" t="str">
        <f>IFERROR(INDEX(Input!$L$20:$T$1019,INT((ROW()-9)/9)+1,MOD(ROW()-9,9)+1),"")</f>
        <v/>
      </c>
      <c r="C8907" s="9">
        <f t="shared" si="139"/>
        <v>0</v>
      </c>
    </row>
    <row r="8908" spans="1:3" x14ac:dyDescent="0.2">
      <c r="A8908" s="10" t="str">
        <f>IF(8900&gt;$C$9008,"",INDEX($B$9:$B$9008,MATCH(8900,$C$9:$C$9008,0)))</f>
        <v/>
      </c>
      <c r="B8908" s="9" t="str">
        <f>IFERROR(INDEX(Input!$L$20:$T$1019,INT((ROW()-9)/9)+1,MOD(ROW()-9,9)+1),"")</f>
        <v/>
      </c>
      <c r="C8908" s="9">
        <f t="shared" si="139"/>
        <v>0</v>
      </c>
    </row>
    <row r="8909" spans="1:3" x14ac:dyDescent="0.2">
      <c r="A8909" s="10" t="str">
        <f>IF(8901&gt;$C$9008,"",INDEX($B$9:$B$9008,MATCH(8901,$C$9:$C$9008,0)))</f>
        <v/>
      </c>
      <c r="B8909" s="9" t="str">
        <f>IFERROR(INDEX(Input!$L$20:$T$1019,INT((ROW()-9)/9)+1,MOD(ROW()-9,9)+1),"")</f>
        <v/>
      </c>
      <c r="C8909" s="9">
        <f t="shared" si="139"/>
        <v>0</v>
      </c>
    </row>
    <row r="8910" spans="1:3" x14ac:dyDescent="0.2">
      <c r="A8910" s="10" t="str">
        <f>IF(8902&gt;$C$9008,"",INDEX($B$9:$B$9008,MATCH(8902,$C$9:$C$9008,0)))</f>
        <v/>
      </c>
      <c r="B8910" s="9" t="str">
        <f>IFERROR(INDEX(Input!$L$20:$T$1019,INT((ROW()-9)/9)+1,MOD(ROW()-9,9)+1),"")</f>
        <v/>
      </c>
      <c r="C8910" s="9">
        <f t="shared" si="139"/>
        <v>0</v>
      </c>
    </row>
    <row r="8911" spans="1:3" x14ac:dyDescent="0.2">
      <c r="A8911" s="10" t="str">
        <f>IF(8903&gt;$C$9008,"",INDEX($B$9:$B$9008,MATCH(8903,$C$9:$C$9008,0)))</f>
        <v/>
      </c>
      <c r="B8911" s="9" t="str">
        <f>IFERROR(INDEX(Input!$L$20:$T$1019,INT((ROW()-9)/9)+1,MOD(ROW()-9,9)+1),"")</f>
        <v/>
      </c>
      <c r="C8911" s="9">
        <f t="shared" si="139"/>
        <v>0</v>
      </c>
    </row>
    <row r="8912" spans="1:3" x14ac:dyDescent="0.2">
      <c r="A8912" s="10" t="str">
        <f>IF(8904&gt;$C$9008,"",INDEX($B$9:$B$9008,MATCH(8904,$C$9:$C$9008,0)))</f>
        <v/>
      </c>
      <c r="B8912" s="9" t="str">
        <f>IFERROR(INDEX(Input!$L$20:$T$1019,INT((ROW()-9)/9)+1,MOD(ROW()-9,9)+1),"")</f>
        <v/>
      </c>
      <c r="C8912" s="9">
        <f t="shared" si="139"/>
        <v>0</v>
      </c>
    </row>
    <row r="8913" spans="1:3" x14ac:dyDescent="0.2">
      <c r="A8913" s="10" t="str">
        <f>IF(8905&gt;$C$9008,"",INDEX($B$9:$B$9008,MATCH(8905,$C$9:$C$9008,0)))</f>
        <v/>
      </c>
      <c r="B8913" s="9" t="str">
        <f>IFERROR(INDEX(Input!$L$20:$T$1019,INT((ROW()-9)/9)+1,MOD(ROW()-9,9)+1),"")</f>
        <v/>
      </c>
      <c r="C8913" s="9">
        <f t="shared" si="139"/>
        <v>0</v>
      </c>
    </row>
    <row r="8914" spans="1:3" x14ac:dyDescent="0.2">
      <c r="A8914" s="10" t="str">
        <f>IF(8906&gt;$C$9008,"",INDEX($B$9:$B$9008,MATCH(8906,$C$9:$C$9008,0)))</f>
        <v/>
      </c>
      <c r="B8914" s="9" t="str">
        <f>IFERROR(INDEX(Input!$L$20:$T$1019,INT((ROW()-9)/9)+1,MOD(ROW()-9,9)+1),"")</f>
        <v/>
      </c>
      <c r="C8914" s="9">
        <f t="shared" si="139"/>
        <v>0</v>
      </c>
    </row>
    <row r="8915" spans="1:3" x14ac:dyDescent="0.2">
      <c r="A8915" s="10" t="str">
        <f>IF(8907&gt;$C$9008,"",INDEX($B$9:$B$9008,MATCH(8907,$C$9:$C$9008,0)))</f>
        <v/>
      </c>
      <c r="B8915" s="9" t="str">
        <f>IFERROR(INDEX(Input!$L$20:$T$1019,INT((ROW()-9)/9)+1,MOD(ROW()-9,9)+1),"")</f>
        <v/>
      </c>
      <c r="C8915" s="9">
        <f t="shared" si="139"/>
        <v>0</v>
      </c>
    </row>
    <row r="8916" spans="1:3" x14ac:dyDescent="0.2">
      <c r="A8916" s="10" t="str">
        <f>IF(8908&gt;$C$9008,"",INDEX($B$9:$B$9008,MATCH(8908,$C$9:$C$9008,0)))</f>
        <v/>
      </c>
      <c r="B8916" s="9" t="str">
        <f>IFERROR(INDEX(Input!$L$20:$T$1019,INT((ROW()-9)/9)+1,MOD(ROW()-9,9)+1),"")</f>
        <v/>
      </c>
      <c r="C8916" s="9">
        <f t="shared" si="139"/>
        <v>0</v>
      </c>
    </row>
    <row r="8917" spans="1:3" x14ac:dyDescent="0.2">
      <c r="A8917" s="10" t="str">
        <f>IF(8909&gt;$C$9008,"",INDEX($B$9:$B$9008,MATCH(8909,$C$9:$C$9008,0)))</f>
        <v/>
      </c>
      <c r="B8917" s="9" t="str">
        <f>IFERROR(INDEX(Input!$L$20:$T$1019,INT((ROW()-9)/9)+1,MOD(ROW()-9,9)+1),"")</f>
        <v/>
      </c>
      <c r="C8917" s="9">
        <f t="shared" si="139"/>
        <v>0</v>
      </c>
    </row>
    <row r="8918" spans="1:3" x14ac:dyDescent="0.2">
      <c r="A8918" s="10" t="str">
        <f>IF(8910&gt;$C$9008,"",INDEX($B$9:$B$9008,MATCH(8910,$C$9:$C$9008,0)))</f>
        <v/>
      </c>
      <c r="B8918" s="9" t="str">
        <f>IFERROR(INDEX(Input!$L$20:$T$1019,INT((ROW()-9)/9)+1,MOD(ROW()-9,9)+1),"")</f>
        <v/>
      </c>
      <c r="C8918" s="9">
        <f t="shared" si="139"/>
        <v>0</v>
      </c>
    </row>
    <row r="8919" spans="1:3" x14ac:dyDescent="0.2">
      <c r="A8919" s="10" t="str">
        <f>IF(8911&gt;$C$9008,"",INDEX($B$9:$B$9008,MATCH(8911,$C$9:$C$9008,0)))</f>
        <v/>
      </c>
      <c r="B8919" s="9" t="str">
        <f>IFERROR(INDEX(Input!$L$20:$T$1019,INT((ROW()-9)/9)+1,MOD(ROW()-9,9)+1),"")</f>
        <v/>
      </c>
      <c r="C8919" s="9">
        <f t="shared" si="139"/>
        <v>0</v>
      </c>
    </row>
    <row r="8920" spans="1:3" x14ac:dyDescent="0.2">
      <c r="A8920" s="10" t="str">
        <f>IF(8912&gt;$C$9008,"",INDEX($B$9:$B$9008,MATCH(8912,$C$9:$C$9008,0)))</f>
        <v/>
      </c>
      <c r="B8920" s="9" t="str">
        <f>IFERROR(INDEX(Input!$L$20:$T$1019,INT((ROW()-9)/9)+1,MOD(ROW()-9,9)+1),"")</f>
        <v/>
      </c>
      <c r="C8920" s="9">
        <f t="shared" si="139"/>
        <v>0</v>
      </c>
    </row>
    <row r="8921" spans="1:3" x14ac:dyDescent="0.2">
      <c r="A8921" s="10" t="str">
        <f>IF(8913&gt;$C$9008,"",INDEX($B$9:$B$9008,MATCH(8913,$C$9:$C$9008,0)))</f>
        <v/>
      </c>
      <c r="B8921" s="9" t="str">
        <f>IFERROR(INDEX(Input!$L$20:$T$1019,INT((ROW()-9)/9)+1,MOD(ROW()-9,9)+1),"")</f>
        <v/>
      </c>
      <c r="C8921" s="9">
        <f t="shared" si="139"/>
        <v>0</v>
      </c>
    </row>
    <row r="8922" spans="1:3" x14ac:dyDescent="0.2">
      <c r="A8922" s="10" t="str">
        <f>IF(8914&gt;$C$9008,"",INDEX($B$9:$B$9008,MATCH(8914,$C$9:$C$9008,0)))</f>
        <v/>
      </c>
      <c r="B8922" s="9" t="str">
        <f>IFERROR(INDEX(Input!$L$20:$T$1019,INT((ROW()-9)/9)+1,MOD(ROW()-9,9)+1),"")</f>
        <v/>
      </c>
      <c r="C8922" s="9">
        <f t="shared" si="139"/>
        <v>0</v>
      </c>
    </row>
    <row r="8923" spans="1:3" x14ac:dyDescent="0.2">
      <c r="A8923" s="10" t="str">
        <f>IF(8915&gt;$C$9008,"",INDEX($B$9:$B$9008,MATCH(8915,$C$9:$C$9008,0)))</f>
        <v/>
      </c>
      <c r="B8923" s="9" t="str">
        <f>IFERROR(INDEX(Input!$L$20:$T$1019,INT((ROW()-9)/9)+1,MOD(ROW()-9,9)+1),"")</f>
        <v/>
      </c>
      <c r="C8923" s="9">
        <f t="shared" si="139"/>
        <v>0</v>
      </c>
    </row>
    <row r="8924" spans="1:3" x14ac:dyDescent="0.2">
      <c r="A8924" s="10" t="str">
        <f>IF(8916&gt;$C$9008,"",INDEX($B$9:$B$9008,MATCH(8916,$C$9:$C$9008,0)))</f>
        <v/>
      </c>
      <c r="B8924" s="9" t="str">
        <f>IFERROR(INDEX(Input!$L$20:$T$1019,INT((ROW()-9)/9)+1,MOD(ROW()-9,9)+1),"")</f>
        <v/>
      </c>
      <c r="C8924" s="9">
        <f t="shared" si="139"/>
        <v>0</v>
      </c>
    </row>
    <row r="8925" spans="1:3" x14ac:dyDescent="0.2">
      <c r="A8925" s="10" t="str">
        <f>IF(8917&gt;$C$9008,"",INDEX($B$9:$B$9008,MATCH(8917,$C$9:$C$9008,0)))</f>
        <v/>
      </c>
      <c r="B8925" s="9" t="str">
        <f>IFERROR(INDEX(Input!$L$20:$T$1019,INT((ROW()-9)/9)+1,MOD(ROW()-9,9)+1),"")</f>
        <v/>
      </c>
      <c r="C8925" s="9">
        <f t="shared" si="139"/>
        <v>0</v>
      </c>
    </row>
    <row r="8926" spans="1:3" x14ac:dyDescent="0.2">
      <c r="A8926" s="10" t="str">
        <f>IF(8918&gt;$C$9008,"",INDEX($B$9:$B$9008,MATCH(8918,$C$9:$C$9008,0)))</f>
        <v/>
      </c>
      <c r="B8926" s="9" t="str">
        <f>IFERROR(INDEX(Input!$L$20:$T$1019,INT((ROW()-9)/9)+1,MOD(ROW()-9,9)+1),"")</f>
        <v/>
      </c>
      <c r="C8926" s="9">
        <f t="shared" si="139"/>
        <v>0</v>
      </c>
    </row>
    <row r="8927" spans="1:3" x14ac:dyDescent="0.2">
      <c r="A8927" s="10" t="str">
        <f>IF(8919&gt;$C$9008,"",INDEX($B$9:$B$9008,MATCH(8919,$C$9:$C$9008,0)))</f>
        <v/>
      </c>
      <c r="B8927" s="9" t="str">
        <f>IFERROR(INDEX(Input!$L$20:$T$1019,INT((ROW()-9)/9)+1,MOD(ROW()-9,9)+1),"")</f>
        <v/>
      </c>
      <c r="C8927" s="9">
        <f t="shared" si="139"/>
        <v>0</v>
      </c>
    </row>
    <row r="8928" spans="1:3" x14ac:dyDescent="0.2">
      <c r="A8928" s="10" t="str">
        <f>IF(8920&gt;$C$9008,"",INDEX($B$9:$B$9008,MATCH(8920,$C$9:$C$9008,0)))</f>
        <v/>
      </c>
      <c r="B8928" s="9" t="str">
        <f>IFERROR(INDEX(Input!$L$20:$T$1019,INT((ROW()-9)/9)+1,MOD(ROW()-9,9)+1),"")</f>
        <v/>
      </c>
      <c r="C8928" s="9">
        <f t="shared" si="139"/>
        <v>0</v>
      </c>
    </row>
    <row r="8929" spans="1:3" x14ac:dyDescent="0.2">
      <c r="A8929" s="10" t="str">
        <f>IF(8921&gt;$C$9008,"",INDEX($B$9:$B$9008,MATCH(8921,$C$9:$C$9008,0)))</f>
        <v/>
      </c>
      <c r="B8929" s="9" t="str">
        <f>IFERROR(INDEX(Input!$L$20:$T$1019,INT((ROW()-9)/9)+1,MOD(ROW()-9,9)+1),"")</f>
        <v/>
      </c>
      <c r="C8929" s="9">
        <f t="shared" si="139"/>
        <v>0</v>
      </c>
    </row>
    <row r="8930" spans="1:3" x14ac:dyDescent="0.2">
      <c r="A8930" s="10" t="str">
        <f>IF(8922&gt;$C$9008,"",INDEX($B$9:$B$9008,MATCH(8922,$C$9:$C$9008,0)))</f>
        <v/>
      </c>
      <c r="B8930" s="9" t="str">
        <f>IFERROR(INDEX(Input!$L$20:$T$1019,INT((ROW()-9)/9)+1,MOD(ROW()-9,9)+1),"")</f>
        <v/>
      </c>
      <c r="C8930" s="9">
        <f t="shared" si="139"/>
        <v>0</v>
      </c>
    </row>
    <row r="8931" spans="1:3" x14ac:dyDescent="0.2">
      <c r="A8931" s="10" t="str">
        <f>IF(8923&gt;$C$9008,"",INDEX($B$9:$B$9008,MATCH(8923,$C$9:$C$9008,0)))</f>
        <v/>
      </c>
      <c r="B8931" s="9" t="str">
        <f>IFERROR(INDEX(Input!$L$20:$T$1019,INT((ROW()-9)/9)+1,MOD(ROW()-9,9)+1),"")</f>
        <v/>
      </c>
      <c r="C8931" s="9">
        <f t="shared" si="139"/>
        <v>0</v>
      </c>
    </row>
    <row r="8932" spans="1:3" x14ac:dyDescent="0.2">
      <c r="A8932" s="10" t="str">
        <f>IF(8924&gt;$C$9008,"",INDEX($B$9:$B$9008,MATCH(8924,$C$9:$C$9008,0)))</f>
        <v/>
      </c>
      <c r="B8932" s="9" t="str">
        <f>IFERROR(INDEX(Input!$L$20:$T$1019,INT((ROW()-9)/9)+1,MOD(ROW()-9,9)+1),"")</f>
        <v/>
      </c>
      <c r="C8932" s="9">
        <f t="shared" si="139"/>
        <v>0</v>
      </c>
    </row>
    <row r="8933" spans="1:3" x14ac:dyDescent="0.2">
      <c r="A8933" s="10" t="str">
        <f>IF(8925&gt;$C$9008,"",INDEX($B$9:$B$9008,MATCH(8925,$C$9:$C$9008,0)))</f>
        <v/>
      </c>
      <c r="B8933" s="9" t="str">
        <f>IFERROR(INDEX(Input!$L$20:$T$1019,INT((ROW()-9)/9)+1,MOD(ROW()-9,9)+1),"")</f>
        <v/>
      </c>
      <c r="C8933" s="9">
        <f t="shared" si="139"/>
        <v>0</v>
      </c>
    </row>
    <row r="8934" spans="1:3" x14ac:dyDescent="0.2">
      <c r="A8934" s="10" t="str">
        <f>IF(8926&gt;$C$9008,"",INDEX($B$9:$B$9008,MATCH(8926,$C$9:$C$9008,0)))</f>
        <v/>
      </c>
      <c r="B8934" s="9" t="str">
        <f>IFERROR(INDEX(Input!$L$20:$T$1019,INT((ROW()-9)/9)+1,MOD(ROW()-9,9)+1),"")</f>
        <v/>
      </c>
      <c r="C8934" s="9">
        <f t="shared" si="139"/>
        <v>0</v>
      </c>
    </row>
    <row r="8935" spans="1:3" x14ac:dyDescent="0.2">
      <c r="A8935" s="10" t="str">
        <f>IF(8927&gt;$C$9008,"",INDEX($B$9:$B$9008,MATCH(8927,$C$9:$C$9008,0)))</f>
        <v/>
      </c>
      <c r="B8935" s="9" t="str">
        <f>IFERROR(INDEX(Input!$L$20:$T$1019,INT((ROW()-9)/9)+1,MOD(ROW()-9,9)+1),"")</f>
        <v/>
      </c>
      <c r="C8935" s="9">
        <f t="shared" si="139"/>
        <v>0</v>
      </c>
    </row>
    <row r="8936" spans="1:3" x14ac:dyDescent="0.2">
      <c r="A8936" s="10" t="str">
        <f>IF(8928&gt;$C$9008,"",INDEX($B$9:$B$9008,MATCH(8928,$C$9:$C$9008,0)))</f>
        <v/>
      </c>
      <c r="B8936" s="9" t="str">
        <f>IFERROR(INDEX(Input!$L$20:$T$1019,INT((ROW()-9)/9)+1,MOD(ROW()-9,9)+1),"")</f>
        <v/>
      </c>
      <c r="C8936" s="9">
        <f t="shared" si="139"/>
        <v>0</v>
      </c>
    </row>
    <row r="8937" spans="1:3" x14ac:dyDescent="0.2">
      <c r="A8937" s="10" t="str">
        <f>IF(8929&gt;$C$9008,"",INDEX($B$9:$B$9008,MATCH(8929,$C$9:$C$9008,0)))</f>
        <v/>
      </c>
      <c r="B8937" s="9" t="str">
        <f>IFERROR(INDEX(Input!$L$20:$T$1019,INT((ROW()-9)/9)+1,MOD(ROW()-9,9)+1),"")</f>
        <v/>
      </c>
      <c r="C8937" s="9">
        <f t="shared" si="139"/>
        <v>0</v>
      </c>
    </row>
    <row r="8938" spans="1:3" x14ac:dyDescent="0.2">
      <c r="A8938" s="10" t="str">
        <f>IF(8930&gt;$C$9008,"",INDEX($B$9:$B$9008,MATCH(8930,$C$9:$C$9008,0)))</f>
        <v/>
      </c>
      <c r="B8938" s="9" t="str">
        <f>IFERROR(INDEX(Input!$L$20:$T$1019,INT((ROW()-9)/9)+1,MOD(ROW()-9,9)+1),"")</f>
        <v/>
      </c>
      <c r="C8938" s="9">
        <f t="shared" si="139"/>
        <v>0</v>
      </c>
    </row>
    <row r="8939" spans="1:3" x14ac:dyDescent="0.2">
      <c r="A8939" s="10" t="str">
        <f>IF(8931&gt;$C$9008,"",INDEX($B$9:$B$9008,MATCH(8931,$C$9:$C$9008,0)))</f>
        <v/>
      </c>
      <c r="B8939" s="9" t="str">
        <f>IFERROR(INDEX(Input!$L$20:$T$1019,INT((ROW()-9)/9)+1,MOD(ROW()-9,9)+1),"")</f>
        <v/>
      </c>
      <c r="C8939" s="9">
        <f t="shared" si="139"/>
        <v>0</v>
      </c>
    </row>
    <row r="8940" spans="1:3" x14ac:dyDescent="0.2">
      <c r="A8940" s="10" t="str">
        <f>IF(8932&gt;$C$9008,"",INDEX($B$9:$B$9008,MATCH(8932,$C$9:$C$9008,0)))</f>
        <v/>
      </c>
      <c r="B8940" s="9" t="str">
        <f>IFERROR(INDEX(Input!$L$20:$T$1019,INT((ROW()-9)/9)+1,MOD(ROW()-9,9)+1),"")</f>
        <v/>
      </c>
      <c r="C8940" s="9">
        <f t="shared" si="139"/>
        <v>0</v>
      </c>
    </row>
    <row r="8941" spans="1:3" x14ac:dyDescent="0.2">
      <c r="A8941" s="10" t="str">
        <f>IF(8933&gt;$C$9008,"",INDEX($B$9:$B$9008,MATCH(8933,$C$9:$C$9008,0)))</f>
        <v/>
      </c>
      <c r="B8941" s="9" t="str">
        <f>IFERROR(INDEX(Input!$L$20:$T$1019,INT((ROW()-9)/9)+1,MOD(ROW()-9,9)+1),"")</f>
        <v/>
      </c>
      <c r="C8941" s="9">
        <f t="shared" si="139"/>
        <v>0</v>
      </c>
    </row>
    <row r="8942" spans="1:3" x14ac:dyDescent="0.2">
      <c r="A8942" s="10" t="str">
        <f>IF(8934&gt;$C$9008,"",INDEX($B$9:$B$9008,MATCH(8934,$C$9:$C$9008,0)))</f>
        <v/>
      </c>
      <c r="B8942" s="9" t="str">
        <f>IFERROR(INDEX(Input!$L$20:$T$1019,INT((ROW()-9)/9)+1,MOD(ROW()-9,9)+1),"")</f>
        <v/>
      </c>
      <c r="C8942" s="9">
        <f t="shared" si="139"/>
        <v>0</v>
      </c>
    </row>
    <row r="8943" spans="1:3" x14ac:dyDescent="0.2">
      <c r="A8943" s="10" t="str">
        <f>IF(8935&gt;$C$9008,"",INDEX($B$9:$B$9008,MATCH(8935,$C$9:$C$9008,0)))</f>
        <v/>
      </c>
      <c r="B8943" s="9" t="str">
        <f>IFERROR(INDEX(Input!$L$20:$T$1019,INT((ROW()-9)/9)+1,MOD(ROW()-9,9)+1),"")</f>
        <v/>
      </c>
      <c r="C8943" s="9">
        <f t="shared" si="139"/>
        <v>0</v>
      </c>
    </row>
    <row r="8944" spans="1:3" x14ac:dyDescent="0.2">
      <c r="A8944" s="10" t="str">
        <f>IF(8936&gt;$C$9008,"",INDEX($B$9:$B$9008,MATCH(8936,$C$9:$C$9008,0)))</f>
        <v/>
      </c>
      <c r="B8944" s="9" t="str">
        <f>IFERROR(INDEX(Input!$L$20:$T$1019,INT((ROW()-9)/9)+1,MOD(ROW()-9,9)+1),"")</f>
        <v/>
      </c>
      <c r="C8944" s="9">
        <f t="shared" si="139"/>
        <v>0</v>
      </c>
    </row>
    <row r="8945" spans="1:3" x14ac:dyDescent="0.2">
      <c r="A8945" s="10" t="str">
        <f>IF(8937&gt;$C$9008,"",INDEX($B$9:$B$9008,MATCH(8937,$C$9:$C$9008,0)))</f>
        <v/>
      </c>
      <c r="B8945" s="9" t="str">
        <f>IFERROR(INDEX(Input!$L$20:$T$1019,INT((ROW()-9)/9)+1,MOD(ROW()-9,9)+1),"")</f>
        <v/>
      </c>
      <c r="C8945" s="9">
        <f t="shared" si="139"/>
        <v>0</v>
      </c>
    </row>
    <row r="8946" spans="1:3" x14ac:dyDescent="0.2">
      <c r="A8946" s="10" t="str">
        <f>IF(8938&gt;$C$9008,"",INDEX($B$9:$B$9008,MATCH(8938,$C$9:$C$9008,0)))</f>
        <v/>
      </c>
      <c r="B8946" s="9" t="str">
        <f>IFERROR(INDEX(Input!$L$20:$T$1019,INT((ROW()-9)/9)+1,MOD(ROW()-9,9)+1),"")</f>
        <v/>
      </c>
      <c r="C8946" s="9">
        <f t="shared" si="139"/>
        <v>0</v>
      </c>
    </row>
    <row r="8947" spans="1:3" x14ac:dyDescent="0.2">
      <c r="A8947" s="10" t="str">
        <f>IF(8939&gt;$C$9008,"",INDEX($B$9:$B$9008,MATCH(8939,$C$9:$C$9008,0)))</f>
        <v/>
      </c>
      <c r="B8947" s="9" t="str">
        <f>IFERROR(INDEX(Input!$L$20:$T$1019,INT((ROW()-9)/9)+1,MOD(ROW()-9,9)+1),"")</f>
        <v/>
      </c>
      <c r="C8947" s="9">
        <f t="shared" si="139"/>
        <v>0</v>
      </c>
    </row>
    <row r="8948" spans="1:3" x14ac:dyDescent="0.2">
      <c r="A8948" s="10" t="str">
        <f>IF(8940&gt;$C$9008,"",INDEX($B$9:$B$9008,MATCH(8940,$C$9:$C$9008,0)))</f>
        <v/>
      </c>
      <c r="B8948" s="9" t="str">
        <f>IFERROR(INDEX(Input!$L$20:$T$1019,INT((ROW()-9)/9)+1,MOD(ROW()-9,9)+1),"")</f>
        <v/>
      </c>
      <c r="C8948" s="9">
        <f t="shared" si="139"/>
        <v>0</v>
      </c>
    </row>
    <row r="8949" spans="1:3" x14ac:dyDescent="0.2">
      <c r="A8949" s="10" t="str">
        <f>IF(8941&gt;$C$9008,"",INDEX($B$9:$B$9008,MATCH(8941,$C$9:$C$9008,0)))</f>
        <v/>
      </c>
      <c r="B8949" s="9" t="str">
        <f>IFERROR(INDEX(Input!$L$20:$T$1019,INT((ROW()-9)/9)+1,MOD(ROW()-9,9)+1),"")</f>
        <v/>
      </c>
      <c r="C8949" s="9">
        <f t="shared" si="139"/>
        <v>0</v>
      </c>
    </row>
    <row r="8950" spans="1:3" x14ac:dyDescent="0.2">
      <c r="A8950" s="10" t="str">
        <f>IF(8942&gt;$C$9008,"",INDEX($B$9:$B$9008,MATCH(8942,$C$9:$C$9008,0)))</f>
        <v/>
      </c>
      <c r="B8950" s="9" t="str">
        <f>IFERROR(INDEX(Input!$L$20:$T$1019,INT((ROW()-9)/9)+1,MOD(ROW()-9,9)+1),"")</f>
        <v/>
      </c>
      <c r="C8950" s="9">
        <f t="shared" si="139"/>
        <v>0</v>
      </c>
    </row>
    <row r="8951" spans="1:3" x14ac:dyDescent="0.2">
      <c r="A8951" s="10" t="str">
        <f>IF(8943&gt;$C$9008,"",INDEX($B$9:$B$9008,MATCH(8943,$C$9:$C$9008,0)))</f>
        <v/>
      </c>
      <c r="B8951" s="9" t="str">
        <f>IFERROR(INDEX(Input!$L$20:$T$1019,INT((ROW()-9)/9)+1,MOD(ROW()-9,9)+1),"")</f>
        <v/>
      </c>
      <c r="C8951" s="9">
        <f t="shared" si="139"/>
        <v>0</v>
      </c>
    </row>
    <row r="8952" spans="1:3" x14ac:dyDescent="0.2">
      <c r="A8952" s="10" t="str">
        <f>IF(8944&gt;$C$9008,"",INDEX($B$9:$B$9008,MATCH(8944,$C$9:$C$9008,0)))</f>
        <v/>
      </c>
      <c r="B8952" s="9" t="str">
        <f>IFERROR(INDEX(Input!$L$20:$T$1019,INT((ROW()-9)/9)+1,MOD(ROW()-9,9)+1),"")</f>
        <v/>
      </c>
      <c r="C8952" s="9">
        <f t="shared" si="139"/>
        <v>0</v>
      </c>
    </row>
    <row r="8953" spans="1:3" x14ac:dyDescent="0.2">
      <c r="A8953" s="10" t="str">
        <f>IF(8945&gt;$C$9008,"",INDEX($B$9:$B$9008,MATCH(8945,$C$9:$C$9008,0)))</f>
        <v/>
      </c>
      <c r="B8953" s="9" t="str">
        <f>IFERROR(INDEX(Input!$L$20:$T$1019,INT((ROW()-9)/9)+1,MOD(ROW()-9,9)+1),"")</f>
        <v/>
      </c>
      <c r="C8953" s="9">
        <f t="shared" si="139"/>
        <v>0</v>
      </c>
    </row>
    <row r="8954" spans="1:3" x14ac:dyDescent="0.2">
      <c r="A8954" s="10" t="str">
        <f>IF(8946&gt;$C$9008,"",INDEX($B$9:$B$9008,MATCH(8946,$C$9:$C$9008,0)))</f>
        <v/>
      </c>
      <c r="B8954" s="9" t="str">
        <f>IFERROR(INDEX(Input!$L$20:$T$1019,INT((ROW()-9)/9)+1,MOD(ROW()-9,9)+1),"")</f>
        <v/>
      </c>
      <c r="C8954" s="9">
        <f t="shared" si="139"/>
        <v>0</v>
      </c>
    </row>
    <row r="8955" spans="1:3" x14ac:dyDescent="0.2">
      <c r="A8955" s="10" t="str">
        <f>IF(8947&gt;$C$9008,"",INDEX($B$9:$B$9008,MATCH(8947,$C$9:$C$9008,0)))</f>
        <v/>
      </c>
      <c r="B8955" s="9" t="str">
        <f>IFERROR(INDEX(Input!$L$20:$T$1019,INT((ROW()-9)/9)+1,MOD(ROW()-9,9)+1),"")</f>
        <v/>
      </c>
      <c r="C8955" s="9">
        <f t="shared" si="139"/>
        <v>0</v>
      </c>
    </row>
    <row r="8956" spans="1:3" x14ac:dyDescent="0.2">
      <c r="A8956" s="10" t="str">
        <f>IF(8948&gt;$C$9008,"",INDEX($B$9:$B$9008,MATCH(8948,$C$9:$C$9008,0)))</f>
        <v/>
      </c>
      <c r="B8956" s="9" t="str">
        <f>IFERROR(INDEX(Input!$L$20:$T$1019,INT((ROW()-9)/9)+1,MOD(ROW()-9,9)+1),"")</f>
        <v/>
      </c>
      <c r="C8956" s="9">
        <f t="shared" si="139"/>
        <v>0</v>
      </c>
    </row>
    <row r="8957" spans="1:3" x14ac:dyDescent="0.2">
      <c r="A8957" s="10" t="str">
        <f>IF(8949&gt;$C$9008,"",INDEX($B$9:$B$9008,MATCH(8949,$C$9:$C$9008,0)))</f>
        <v/>
      </c>
      <c r="B8957" s="9" t="str">
        <f>IFERROR(INDEX(Input!$L$20:$T$1019,INT((ROW()-9)/9)+1,MOD(ROW()-9,9)+1),"")</f>
        <v/>
      </c>
      <c r="C8957" s="9">
        <f t="shared" si="139"/>
        <v>0</v>
      </c>
    </row>
    <row r="8958" spans="1:3" x14ac:dyDescent="0.2">
      <c r="A8958" s="10" t="str">
        <f>IF(8950&gt;$C$9008,"",INDEX($B$9:$B$9008,MATCH(8950,$C$9:$C$9008,0)))</f>
        <v/>
      </c>
      <c r="B8958" s="9" t="str">
        <f>IFERROR(INDEX(Input!$L$20:$T$1019,INT((ROW()-9)/9)+1,MOD(ROW()-9,9)+1),"")</f>
        <v/>
      </c>
      <c r="C8958" s="9">
        <f t="shared" si="139"/>
        <v>0</v>
      </c>
    </row>
    <row r="8959" spans="1:3" x14ac:dyDescent="0.2">
      <c r="A8959" s="10" t="str">
        <f>IF(8951&gt;$C$9008,"",INDEX($B$9:$B$9008,MATCH(8951,$C$9:$C$9008,0)))</f>
        <v/>
      </c>
      <c r="B8959" s="9" t="str">
        <f>IFERROR(INDEX(Input!$L$20:$T$1019,INT((ROW()-9)/9)+1,MOD(ROW()-9,9)+1),"")</f>
        <v/>
      </c>
      <c r="C8959" s="9">
        <f t="shared" si="139"/>
        <v>0</v>
      </c>
    </row>
    <row r="8960" spans="1:3" x14ac:dyDescent="0.2">
      <c r="A8960" s="10" t="str">
        <f>IF(8952&gt;$C$9008,"",INDEX($B$9:$B$9008,MATCH(8952,$C$9:$C$9008,0)))</f>
        <v/>
      </c>
      <c r="B8960" s="9" t="str">
        <f>IFERROR(INDEX(Input!$L$20:$T$1019,INT((ROW()-9)/9)+1,MOD(ROW()-9,9)+1),"")</f>
        <v/>
      </c>
      <c r="C8960" s="9">
        <f t="shared" si="139"/>
        <v>0</v>
      </c>
    </row>
    <row r="8961" spans="1:3" x14ac:dyDescent="0.2">
      <c r="A8961" s="10" t="str">
        <f>IF(8953&gt;$C$9008,"",INDEX($B$9:$B$9008,MATCH(8953,$C$9:$C$9008,0)))</f>
        <v/>
      </c>
      <c r="B8961" s="9" t="str">
        <f>IFERROR(INDEX(Input!$L$20:$T$1019,INT((ROW()-9)/9)+1,MOD(ROW()-9,9)+1),"")</f>
        <v/>
      </c>
      <c r="C8961" s="9">
        <f t="shared" si="139"/>
        <v>0</v>
      </c>
    </row>
    <row r="8962" spans="1:3" x14ac:dyDescent="0.2">
      <c r="A8962" s="10" t="str">
        <f>IF(8954&gt;$C$9008,"",INDEX($B$9:$B$9008,MATCH(8954,$C$9:$C$9008,0)))</f>
        <v/>
      </c>
      <c r="B8962" s="9" t="str">
        <f>IFERROR(INDEX(Input!$L$20:$T$1019,INT((ROW()-9)/9)+1,MOD(ROW()-9,9)+1),"")</f>
        <v/>
      </c>
      <c r="C8962" s="9">
        <f t="shared" si="139"/>
        <v>0</v>
      </c>
    </row>
    <row r="8963" spans="1:3" x14ac:dyDescent="0.2">
      <c r="A8963" s="10" t="str">
        <f>IF(8955&gt;$C$9008,"",INDEX($B$9:$B$9008,MATCH(8955,$C$9:$C$9008,0)))</f>
        <v/>
      </c>
      <c r="B8963" s="9" t="str">
        <f>IFERROR(INDEX(Input!$L$20:$T$1019,INT((ROW()-9)/9)+1,MOD(ROW()-9,9)+1),"")</f>
        <v/>
      </c>
      <c r="C8963" s="9">
        <f t="shared" si="139"/>
        <v>0</v>
      </c>
    </row>
    <row r="8964" spans="1:3" x14ac:dyDescent="0.2">
      <c r="A8964" s="10" t="str">
        <f>IF(8956&gt;$C$9008,"",INDEX($B$9:$B$9008,MATCH(8956,$C$9:$C$9008,0)))</f>
        <v/>
      </c>
      <c r="B8964" s="9" t="str">
        <f>IFERROR(INDEX(Input!$L$20:$T$1019,INT((ROW()-9)/9)+1,MOD(ROW()-9,9)+1),"")</f>
        <v/>
      </c>
      <c r="C8964" s="9">
        <f t="shared" si="139"/>
        <v>0</v>
      </c>
    </row>
    <row r="8965" spans="1:3" x14ac:dyDescent="0.2">
      <c r="A8965" s="10" t="str">
        <f>IF(8957&gt;$C$9008,"",INDEX($B$9:$B$9008,MATCH(8957,$C$9:$C$9008,0)))</f>
        <v/>
      </c>
      <c r="B8965" s="9" t="str">
        <f>IFERROR(INDEX(Input!$L$20:$T$1019,INT((ROW()-9)/9)+1,MOD(ROW()-9,9)+1),"")</f>
        <v/>
      </c>
      <c r="C8965" s="9">
        <f t="shared" si="139"/>
        <v>0</v>
      </c>
    </row>
    <row r="8966" spans="1:3" x14ac:dyDescent="0.2">
      <c r="A8966" s="10" t="str">
        <f>IF(8958&gt;$C$9008,"",INDEX($B$9:$B$9008,MATCH(8958,$C$9:$C$9008,0)))</f>
        <v/>
      </c>
      <c r="B8966" s="9" t="str">
        <f>IFERROR(INDEX(Input!$L$20:$T$1019,INT((ROW()-9)/9)+1,MOD(ROW()-9,9)+1),"")</f>
        <v/>
      </c>
      <c r="C8966" s="9">
        <f t="shared" si="139"/>
        <v>0</v>
      </c>
    </row>
    <row r="8967" spans="1:3" x14ac:dyDescent="0.2">
      <c r="A8967" s="10" t="str">
        <f>IF(8959&gt;$C$9008,"",INDEX($B$9:$B$9008,MATCH(8959,$C$9:$C$9008,0)))</f>
        <v/>
      </c>
      <c r="B8967" s="9" t="str">
        <f>IFERROR(INDEX(Input!$L$20:$T$1019,INT((ROW()-9)/9)+1,MOD(ROW()-9,9)+1),"")</f>
        <v/>
      </c>
      <c r="C8967" s="9">
        <f t="shared" si="139"/>
        <v>0</v>
      </c>
    </row>
    <row r="8968" spans="1:3" x14ac:dyDescent="0.2">
      <c r="A8968" s="10" t="str">
        <f>IF(8960&gt;$C$9008,"",INDEX($B$9:$B$9008,MATCH(8960,$C$9:$C$9008,0)))</f>
        <v/>
      </c>
      <c r="B8968" s="9" t="str">
        <f>IFERROR(INDEX(Input!$L$20:$T$1019,INT((ROW()-9)/9)+1,MOD(ROW()-9,9)+1),"")</f>
        <v/>
      </c>
      <c r="C8968" s="9">
        <f t="shared" si="139"/>
        <v>0</v>
      </c>
    </row>
    <row r="8969" spans="1:3" x14ac:dyDescent="0.2">
      <c r="A8969" s="10" t="str">
        <f>IF(8961&gt;$C$9008,"",INDEX($B$9:$B$9008,MATCH(8961,$C$9:$C$9008,0)))</f>
        <v/>
      </c>
      <c r="B8969" s="9" t="str">
        <f>IFERROR(INDEX(Input!$L$20:$T$1019,INT((ROW()-9)/9)+1,MOD(ROW()-9,9)+1),"")</f>
        <v/>
      </c>
      <c r="C8969" s="9">
        <f t="shared" ref="C8969:C9008" si="140">$C8968+IF($B8969&lt;&gt;"",1,0)</f>
        <v>0</v>
      </c>
    </row>
    <row r="8970" spans="1:3" x14ac:dyDescent="0.2">
      <c r="A8970" s="10" t="str">
        <f>IF(8962&gt;$C$9008,"",INDEX($B$9:$B$9008,MATCH(8962,$C$9:$C$9008,0)))</f>
        <v/>
      </c>
      <c r="B8970" s="9" t="str">
        <f>IFERROR(INDEX(Input!$L$20:$T$1019,INT((ROW()-9)/9)+1,MOD(ROW()-9,9)+1),"")</f>
        <v/>
      </c>
      <c r="C8970" s="9">
        <f t="shared" si="140"/>
        <v>0</v>
      </c>
    </row>
    <row r="8971" spans="1:3" x14ac:dyDescent="0.2">
      <c r="A8971" s="10" t="str">
        <f>IF(8963&gt;$C$9008,"",INDEX($B$9:$B$9008,MATCH(8963,$C$9:$C$9008,0)))</f>
        <v/>
      </c>
      <c r="B8971" s="9" t="str">
        <f>IFERROR(INDEX(Input!$L$20:$T$1019,INT((ROW()-9)/9)+1,MOD(ROW()-9,9)+1),"")</f>
        <v/>
      </c>
      <c r="C8971" s="9">
        <f t="shared" si="140"/>
        <v>0</v>
      </c>
    </row>
    <row r="8972" spans="1:3" x14ac:dyDescent="0.2">
      <c r="A8972" s="10" t="str">
        <f>IF(8964&gt;$C$9008,"",INDEX($B$9:$B$9008,MATCH(8964,$C$9:$C$9008,0)))</f>
        <v/>
      </c>
      <c r="B8972" s="9" t="str">
        <f>IFERROR(INDEX(Input!$L$20:$T$1019,INT((ROW()-9)/9)+1,MOD(ROW()-9,9)+1),"")</f>
        <v/>
      </c>
      <c r="C8972" s="9">
        <f t="shared" si="140"/>
        <v>0</v>
      </c>
    </row>
    <row r="8973" spans="1:3" x14ac:dyDescent="0.2">
      <c r="A8973" s="10" t="str">
        <f>IF(8965&gt;$C$9008,"",INDEX($B$9:$B$9008,MATCH(8965,$C$9:$C$9008,0)))</f>
        <v/>
      </c>
      <c r="B8973" s="9" t="str">
        <f>IFERROR(INDEX(Input!$L$20:$T$1019,INT((ROW()-9)/9)+1,MOD(ROW()-9,9)+1),"")</f>
        <v/>
      </c>
      <c r="C8973" s="9">
        <f t="shared" si="140"/>
        <v>0</v>
      </c>
    </row>
    <row r="8974" spans="1:3" x14ac:dyDescent="0.2">
      <c r="A8974" s="10" t="str">
        <f>IF(8966&gt;$C$9008,"",INDEX($B$9:$B$9008,MATCH(8966,$C$9:$C$9008,0)))</f>
        <v/>
      </c>
      <c r="B8974" s="9" t="str">
        <f>IFERROR(INDEX(Input!$L$20:$T$1019,INT((ROW()-9)/9)+1,MOD(ROW()-9,9)+1),"")</f>
        <v/>
      </c>
      <c r="C8974" s="9">
        <f t="shared" si="140"/>
        <v>0</v>
      </c>
    </row>
    <row r="8975" spans="1:3" x14ac:dyDescent="0.2">
      <c r="A8975" s="10" t="str">
        <f>IF(8967&gt;$C$9008,"",INDEX($B$9:$B$9008,MATCH(8967,$C$9:$C$9008,0)))</f>
        <v/>
      </c>
      <c r="B8975" s="9" t="str">
        <f>IFERROR(INDEX(Input!$L$20:$T$1019,INT((ROW()-9)/9)+1,MOD(ROW()-9,9)+1),"")</f>
        <v/>
      </c>
      <c r="C8975" s="9">
        <f t="shared" si="140"/>
        <v>0</v>
      </c>
    </row>
    <row r="8976" spans="1:3" x14ac:dyDescent="0.2">
      <c r="A8976" s="10" t="str">
        <f>IF(8968&gt;$C$9008,"",INDEX($B$9:$B$9008,MATCH(8968,$C$9:$C$9008,0)))</f>
        <v/>
      </c>
      <c r="B8976" s="9" t="str">
        <f>IFERROR(INDEX(Input!$L$20:$T$1019,INT((ROW()-9)/9)+1,MOD(ROW()-9,9)+1),"")</f>
        <v/>
      </c>
      <c r="C8976" s="9">
        <f t="shared" si="140"/>
        <v>0</v>
      </c>
    </row>
    <row r="8977" spans="1:3" x14ac:dyDescent="0.2">
      <c r="A8977" s="10" t="str">
        <f>IF(8969&gt;$C$9008,"",INDEX($B$9:$B$9008,MATCH(8969,$C$9:$C$9008,0)))</f>
        <v/>
      </c>
      <c r="B8977" s="9" t="str">
        <f>IFERROR(INDEX(Input!$L$20:$T$1019,INT((ROW()-9)/9)+1,MOD(ROW()-9,9)+1),"")</f>
        <v/>
      </c>
      <c r="C8977" s="9">
        <f t="shared" si="140"/>
        <v>0</v>
      </c>
    </row>
    <row r="8978" spans="1:3" x14ac:dyDescent="0.2">
      <c r="A8978" s="10" t="str">
        <f>IF(8970&gt;$C$9008,"",INDEX($B$9:$B$9008,MATCH(8970,$C$9:$C$9008,0)))</f>
        <v/>
      </c>
      <c r="B8978" s="9" t="str">
        <f>IFERROR(INDEX(Input!$L$20:$T$1019,INT((ROW()-9)/9)+1,MOD(ROW()-9,9)+1),"")</f>
        <v/>
      </c>
      <c r="C8978" s="9">
        <f t="shared" si="140"/>
        <v>0</v>
      </c>
    </row>
    <row r="8979" spans="1:3" x14ac:dyDescent="0.2">
      <c r="A8979" s="10" t="str">
        <f>IF(8971&gt;$C$9008,"",INDEX($B$9:$B$9008,MATCH(8971,$C$9:$C$9008,0)))</f>
        <v/>
      </c>
      <c r="B8979" s="9" t="str">
        <f>IFERROR(INDEX(Input!$L$20:$T$1019,INT((ROW()-9)/9)+1,MOD(ROW()-9,9)+1),"")</f>
        <v/>
      </c>
      <c r="C8979" s="9">
        <f t="shared" si="140"/>
        <v>0</v>
      </c>
    </row>
    <row r="8980" spans="1:3" x14ac:dyDescent="0.2">
      <c r="A8980" s="10" t="str">
        <f>IF(8972&gt;$C$9008,"",INDEX($B$9:$B$9008,MATCH(8972,$C$9:$C$9008,0)))</f>
        <v/>
      </c>
      <c r="B8980" s="9" t="str">
        <f>IFERROR(INDEX(Input!$L$20:$T$1019,INT((ROW()-9)/9)+1,MOD(ROW()-9,9)+1),"")</f>
        <v/>
      </c>
      <c r="C8980" s="9">
        <f t="shared" si="140"/>
        <v>0</v>
      </c>
    </row>
    <row r="8981" spans="1:3" x14ac:dyDescent="0.2">
      <c r="A8981" s="10" t="str">
        <f>IF(8973&gt;$C$9008,"",INDEX($B$9:$B$9008,MATCH(8973,$C$9:$C$9008,0)))</f>
        <v/>
      </c>
      <c r="B8981" s="9" t="str">
        <f>IFERROR(INDEX(Input!$L$20:$T$1019,INT((ROW()-9)/9)+1,MOD(ROW()-9,9)+1),"")</f>
        <v/>
      </c>
      <c r="C8981" s="9">
        <f t="shared" si="140"/>
        <v>0</v>
      </c>
    </row>
    <row r="8982" spans="1:3" x14ac:dyDescent="0.2">
      <c r="A8982" s="10" t="str">
        <f>IF(8974&gt;$C$9008,"",INDEX($B$9:$B$9008,MATCH(8974,$C$9:$C$9008,0)))</f>
        <v/>
      </c>
      <c r="B8982" s="9" t="str">
        <f>IFERROR(INDEX(Input!$L$20:$T$1019,INT((ROW()-9)/9)+1,MOD(ROW()-9,9)+1),"")</f>
        <v/>
      </c>
      <c r="C8982" s="9">
        <f t="shared" si="140"/>
        <v>0</v>
      </c>
    </row>
    <row r="8983" spans="1:3" x14ac:dyDescent="0.2">
      <c r="A8983" s="10" t="str">
        <f>IF(8975&gt;$C$9008,"",INDEX($B$9:$B$9008,MATCH(8975,$C$9:$C$9008,0)))</f>
        <v/>
      </c>
      <c r="B8983" s="9" t="str">
        <f>IFERROR(INDEX(Input!$L$20:$T$1019,INT((ROW()-9)/9)+1,MOD(ROW()-9,9)+1),"")</f>
        <v/>
      </c>
      <c r="C8983" s="9">
        <f t="shared" si="140"/>
        <v>0</v>
      </c>
    </row>
    <row r="8984" spans="1:3" x14ac:dyDescent="0.2">
      <c r="A8984" s="10" t="str">
        <f>IF(8976&gt;$C$9008,"",INDEX($B$9:$B$9008,MATCH(8976,$C$9:$C$9008,0)))</f>
        <v/>
      </c>
      <c r="B8984" s="9" t="str">
        <f>IFERROR(INDEX(Input!$L$20:$T$1019,INT((ROW()-9)/9)+1,MOD(ROW()-9,9)+1),"")</f>
        <v/>
      </c>
      <c r="C8984" s="9">
        <f t="shared" si="140"/>
        <v>0</v>
      </c>
    </row>
    <row r="8985" spans="1:3" x14ac:dyDescent="0.2">
      <c r="A8985" s="10" t="str">
        <f>IF(8977&gt;$C$9008,"",INDEX($B$9:$B$9008,MATCH(8977,$C$9:$C$9008,0)))</f>
        <v/>
      </c>
      <c r="B8985" s="9" t="str">
        <f>IFERROR(INDEX(Input!$L$20:$T$1019,INT((ROW()-9)/9)+1,MOD(ROW()-9,9)+1),"")</f>
        <v/>
      </c>
      <c r="C8985" s="9">
        <f t="shared" si="140"/>
        <v>0</v>
      </c>
    </row>
    <row r="8986" spans="1:3" x14ac:dyDescent="0.2">
      <c r="A8986" s="10" t="str">
        <f>IF(8978&gt;$C$9008,"",INDEX($B$9:$B$9008,MATCH(8978,$C$9:$C$9008,0)))</f>
        <v/>
      </c>
      <c r="B8986" s="9" t="str">
        <f>IFERROR(INDEX(Input!$L$20:$T$1019,INT((ROW()-9)/9)+1,MOD(ROW()-9,9)+1),"")</f>
        <v/>
      </c>
      <c r="C8986" s="9">
        <f t="shared" si="140"/>
        <v>0</v>
      </c>
    </row>
    <row r="8987" spans="1:3" x14ac:dyDescent="0.2">
      <c r="A8987" s="10" t="str">
        <f>IF(8979&gt;$C$9008,"",INDEX($B$9:$B$9008,MATCH(8979,$C$9:$C$9008,0)))</f>
        <v/>
      </c>
      <c r="B8987" s="9" t="str">
        <f>IFERROR(INDEX(Input!$L$20:$T$1019,INT((ROW()-9)/9)+1,MOD(ROW()-9,9)+1),"")</f>
        <v/>
      </c>
      <c r="C8987" s="9">
        <f t="shared" si="140"/>
        <v>0</v>
      </c>
    </row>
    <row r="8988" spans="1:3" x14ac:dyDescent="0.2">
      <c r="A8988" s="10" t="str">
        <f>IF(8980&gt;$C$9008,"",INDEX($B$9:$B$9008,MATCH(8980,$C$9:$C$9008,0)))</f>
        <v/>
      </c>
      <c r="B8988" s="9" t="str">
        <f>IFERROR(INDEX(Input!$L$20:$T$1019,INT((ROW()-9)/9)+1,MOD(ROW()-9,9)+1),"")</f>
        <v/>
      </c>
      <c r="C8988" s="9">
        <f t="shared" si="140"/>
        <v>0</v>
      </c>
    </row>
    <row r="8989" spans="1:3" x14ac:dyDescent="0.2">
      <c r="A8989" s="10" t="str">
        <f>IF(8981&gt;$C$9008,"",INDEX($B$9:$B$9008,MATCH(8981,$C$9:$C$9008,0)))</f>
        <v/>
      </c>
      <c r="B8989" s="9" t="str">
        <f>IFERROR(INDEX(Input!$L$20:$T$1019,INT((ROW()-9)/9)+1,MOD(ROW()-9,9)+1),"")</f>
        <v/>
      </c>
      <c r="C8989" s="9">
        <f t="shared" si="140"/>
        <v>0</v>
      </c>
    </row>
    <row r="8990" spans="1:3" x14ac:dyDescent="0.2">
      <c r="A8990" s="10" t="str">
        <f>IF(8982&gt;$C$9008,"",INDEX($B$9:$B$9008,MATCH(8982,$C$9:$C$9008,0)))</f>
        <v/>
      </c>
      <c r="B8990" s="9" t="str">
        <f>IFERROR(INDEX(Input!$L$20:$T$1019,INT((ROW()-9)/9)+1,MOD(ROW()-9,9)+1),"")</f>
        <v/>
      </c>
      <c r="C8990" s="9">
        <f t="shared" si="140"/>
        <v>0</v>
      </c>
    </row>
    <row r="8991" spans="1:3" x14ac:dyDescent="0.2">
      <c r="A8991" s="10" t="str">
        <f>IF(8983&gt;$C$9008,"",INDEX($B$9:$B$9008,MATCH(8983,$C$9:$C$9008,0)))</f>
        <v/>
      </c>
      <c r="B8991" s="9" t="str">
        <f>IFERROR(INDEX(Input!$L$20:$T$1019,INT((ROW()-9)/9)+1,MOD(ROW()-9,9)+1),"")</f>
        <v/>
      </c>
      <c r="C8991" s="9">
        <f t="shared" si="140"/>
        <v>0</v>
      </c>
    </row>
    <row r="8992" spans="1:3" x14ac:dyDescent="0.2">
      <c r="A8992" s="10" t="str">
        <f>IF(8984&gt;$C$9008,"",INDEX($B$9:$B$9008,MATCH(8984,$C$9:$C$9008,0)))</f>
        <v/>
      </c>
      <c r="B8992" s="9" t="str">
        <f>IFERROR(INDEX(Input!$L$20:$T$1019,INT((ROW()-9)/9)+1,MOD(ROW()-9,9)+1),"")</f>
        <v/>
      </c>
      <c r="C8992" s="9">
        <f t="shared" si="140"/>
        <v>0</v>
      </c>
    </row>
    <row r="8993" spans="1:3" x14ac:dyDescent="0.2">
      <c r="A8993" s="10" t="str">
        <f>IF(8985&gt;$C$9008,"",INDEX($B$9:$B$9008,MATCH(8985,$C$9:$C$9008,0)))</f>
        <v/>
      </c>
      <c r="B8993" s="9" t="str">
        <f>IFERROR(INDEX(Input!$L$20:$T$1019,INT((ROW()-9)/9)+1,MOD(ROW()-9,9)+1),"")</f>
        <v/>
      </c>
      <c r="C8993" s="9">
        <f t="shared" si="140"/>
        <v>0</v>
      </c>
    </row>
    <row r="8994" spans="1:3" x14ac:dyDescent="0.2">
      <c r="A8994" s="10" t="str">
        <f>IF(8986&gt;$C$9008,"",INDEX($B$9:$B$9008,MATCH(8986,$C$9:$C$9008,0)))</f>
        <v/>
      </c>
      <c r="B8994" s="9" t="str">
        <f>IFERROR(INDEX(Input!$L$20:$T$1019,INT((ROW()-9)/9)+1,MOD(ROW()-9,9)+1),"")</f>
        <v/>
      </c>
      <c r="C8994" s="9">
        <f t="shared" si="140"/>
        <v>0</v>
      </c>
    </row>
    <row r="8995" spans="1:3" x14ac:dyDescent="0.2">
      <c r="A8995" s="10" t="str">
        <f>IF(8987&gt;$C$9008,"",INDEX($B$9:$B$9008,MATCH(8987,$C$9:$C$9008,0)))</f>
        <v/>
      </c>
      <c r="B8995" s="9" t="str">
        <f>IFERROR(INDEX(Input!$L$20:$T$1019,INT((ROW()-9)/9)+1,MOD(ROW()-9,9)+1),"")</f>
        <v/>
      </c>
      <c r="C8995" s="9">
        <f t="shared" si="140"/>
        <v>0</v>
      </c>
    </row>
    <row r="8996" spans="1:3" x14ac:dyDescent="0.2">
      <c r="A8996" s="10" t="str">
        <f>IF(8988&gt;$C$9008,"",INDEX($B$9:$B$9008,MATCH(8988,$C$9:$C$9008,0)))</f>
        <v/>
      </c>
      <c r="B8996" s="9" t="str">
        <f>IFERROR(INDEX(Input!$L$20:$T$1019,INT((ROW()-9)/9)+1,MOD(ROW()-9,9)+1),"")</f>
        <v/>
      </c>
      <c r="C8996" s="9">
        <f t="shared" si="140"/>
        <v>0</v>
      </c>
    </row>
    <row r="8997" spans="1:3" x14ac:dyDescent="0.2">
      <c r="A8997" s="10" t="str">
        <f>IF(8989&gt;$C$9008,"",INDEX($B$9:$B$9008,MATCH(8989,$C$9:$C$9008,0)))</f>
        <v/>
      </c>
      <c r="B8997" s="9" t="str">
        <f>IFERROR(INDEX(Input!$L$20:$T$1019,INT((ROW()-9)/9)+1,MOD(ROW()-9,9)+1),"")</f>
        <v/>
      </c>
      <c r="C8997" s="9">
        <f t="shared" si="140"/>
        <v>0</v>
      </c>
    </row>
    <row r="8998" spans="1:3" x14ac:dyDescent="0.2">
      <c r="A8998" s="10" t="str">
        <f>IF(8990&gt;$C$9008,"",INDEX($B$9:$B$9008,MATCH(8990,$C$9:$C$9008,0)))</f>
        <v/>
      </c>
      <c r="B8998" s="9" t="str">
        <f>IFERROR(INDEX(Input!$L$20:$T$1019,INT((ROW()-9)/9)+1,MOD(ROW()-9,9)+1),"")</f>
        <v/>
      </c>
      <c r="C8998" s="9">
        <f t="shared" si="140"/>
        <v>0</v>
      </c>
    </row>
    <row r="8999" spans="1:3" x14ac:dyDescent="0.2">
      <c r="A8999" s="10" t="str">
        <f>IF(8991&gt;$C$9008,"",INDEX($B$9:$B$9008,MATCH(8991,$C$9:$C$9008,0)))</f>
        <v/>
      </c>
      <c r="B8999" s="9" t="str">
        <f>IFERROR(INDEX(Input!$L$20:$T$1019,INT((ROW()-9)/9)+1,MOD(ROW()-9,9)+1),"")</f>
        <v/>
      </c>
      <c r="C8999" s="9">
        <f t="shared" si="140"/>
        <v>0</v>
      </c>
    </row>
    <row r="9000" spans="1:3" x14ac:dyDescent="0.2">
      <c r="A9000" s="10" t="str">
        <f>IF(8992&gt;$C$9008,"",INDEX($B$9:$B$9008,MATCH(8992,$C$9:$C$9008,0)))</f>
        <v/>
      </c>
      <c r="B9000" s="9" t="str">
        <f>IFERROR(INDEX(Input!$L$20:$T$1019,INT((ROW()-9)/9)+1,MOD(ROW()-9,9)+1),"")</f>
        <v/>
      </c>
      <c r="C9000" s="9">
        <f t="shared" si="140"/>
        <v>0</v>
      </c>
    </row>
    <row r="9001" spans="1:3" x14ac:dyDescent="0.2">
      <c r="A9001" s="10" t="str">
        <f>IF(8993&gt;$C$9008,"",INDEX($B$9:$B$9008,MATCH(8993,$C$9:$C$9008,0)))</f>
        <v/>
      </c>
      <c r="B9001" s="9" t="str">
        <f>IFERROR(INDEX(Input!$L$20:$T$1019,INT((ROW()-9)/9)+1,MOD(ROW()-9,9)+1),"")</f>
        <v/>
      </c>
      <c r="C9001" s="9">
        <f t="shared" si="140"/>
        <v>0</v>
      </c>
    </row>
    <row r="9002" spans="1:3" x14ac:dyDescent="0.2">
      <c r="A9002" s="10" t="str">
        <f>IF(8994&gt;$C$9008,"",INDEX($B$9:$B$9008,MATCH(8994,$C$9:$C$9008,0)))</f>
        <v/>
      </c>
      <c r="B9002" s="9" t="str">
        <f>IFERROR(INDEX(Input!$L$20:$T$1019,INT((ROW()-9)/9)+1,MOD(ROW()-9,9)+1),"")</f>
        <v/>
      </c>
      <c r="C9002" s="9">
        <f t="shared" si="140"/>
        <v>0</v>
      </c>
    </row>
    <row r="9003" spans="1:3" x14ac:dyDescent="0.2">
      <c r="A9003" s="10" t="str">
        <f>IF(8995&gt;$C$9008,"",INDEX($B$9:$B$9008,MATCH(8995,$C$9:$C$9008,0)))</f>
        <v/>
      </c>
      <c r="B9003" s="9" t="str">
        <f>IFERROR(INDEX(Input!$L$20:$T$1019,INT((ROW()-9)/9)+1,MOD(ROW()-9,9)+1),"")</f>
        <v/>
      </c>
      <c r="C9003" s="9">
        <f t="shared" si="140"/>
        <v>0</v>
      </c>
    </row>
    <row r="9004" spans="1:3" x14ac:dyDescent="0.2">
      <c r="A9004" s="10" t="str">
        <f>IF(8996&gt;$C$9008,"",INDEX($B$9:$B$9008,MATCH(8996,$C$9:$C$9008,0)))</f>
        <v/>
      </c>
      <c r="B9004" s="9" t="str">
        <f>IFERROR(INDEX(Input!$L$20:$T$1019,INT((ROW()-9)/9)+1,MOD(ROW()-9,9)+1),"")</f>
        <v/>
      </c>
      <c r="C9004" s="9">
        <f t="shared" si="140"/>
        <v>0</v>
      </c>
    </row>
    <row r="9005" spans="1:3" x14ac:dyDescent="0.2">
      <c r="A9005" s="10" t="str">
        <f>IF(8997&gt;$C$9008,"",INDEX($B$9:$B$9008,MATCH(8997,$C$9:$C$9008,0)))</f>
        <v/>
      </c>
      <c r="B9005" s="9" t="str">
        <f>IFERROR(INDEX(Input!$L$20:$T$1019,INT((ROW()-9)/9)+1,MOD(ROW()-9,9)+1),"")</f>
        <v/>
      </c>
      <c r="C9005" s="9">
        <f t="shared" si="140"/>
        <v>0</v>
      </c>
    </row>
    <row r="9006" spans="1:3" x14ac:dyDescent="0.2">
      <c r="A9006" s="10" t="str">
        <f>IF(8998&gt;$C$9008,"",INDEX($B$9:$B$9008,MATCH(8998,$C$9:$C$9008,0)))</f>
        <v/>
      </c>
      <c r="B9006" s="9" t="str">
        <f>IFERROR(INDEX(Input!$L$20:$T$1019,INT((ROW()-9)/9)+1,MOD(ROW()-9,9)+1),"")</f>
        <v/>
      </c>
      <c r="C9006" s="9">
        <f t="shared" si="140"/>
        <v>0</v>
      </c>
    </row>
    <row r="9007" spans="1:3" x14ac:dyDescent="0.2">
      <c r="A9007" s="10" t="str">
        <f>IF(8999&gt;$C$9008,"",INDEX($B$9:$B$9008,MATCH(8999,$C$9:$C$9008,0)))</f>
        <v/>
      </c>
      <c r="B9007" s="9" t="str">
        <f>IFERROR(INDEX(Input!$L$20:$T$1019,INT((ROW()-9)/9)+1,MOD(ROW()-9,9)+1),"")</f>
        <v/>
      </c>
      <c r="C9007" s="9">
        <f t="shared" si="140"/>
        <v>0</v>
      </c>
    </row>
    <row r="9008" spans="1:3" x14ac:dyDescent="0.2">
      <c r="A9008" s="10" t="str">
        <f>IF(9000&gt;$C$9008,"",INDEX($B$9:$B$9008,MATCH(9000,$C$9:$C$9008,0)))</f>
        <v/>
      </c>
      <c r="B9008" s="9" t="str">
        <f>IFERROR(INDEX(Input!$L$20:$T$1019,INT((ROW()-9)/9)+1,MOD(ROW()-9,9)+1),"")</f>
        <v/>
      </c>
      <c r="C9008" s="9">
        <f t="shared" si="140"/>
        <v>0</v>
      </c>
    </row>
  </sheetData>
  <pageMargins left="0.7" right="0.7" top="0.75" bottom="0.75" header="0.3" footer="0.3"/>
  <pageSetup fitToHeight="0"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Input</vt:lpstr>
      <vt:lpstr>Stata do-file commands</vt:lpstr>
      <vt:lpstr>Input!Print_Area</vt:lpstr>
      <vt:lpstr>'Stata do-file commands'!Print_Area</vt:lpstr>
      <vt:lpstr>Input!Print_Titles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Kenneth Elpus</cp:lastModifiedBy>
  <dcterms:created xsi:type="dcterms:W3CDTF">2026-10-11T22:31:00Z</dcterms:created>
  <dcterms:modified xsi:type="dcterms:W3CDTF">2026-10-12T17:45:37Z</dcterms:modified>
  <cp:category/>
</cp:coreProperties>
</file>